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36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8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900004323</v>
      </c>
      <c r="D3" s="7">
        <f>IFERROR(VLOOKUP(C3,TRAOPE!$G:$H,2,0),"")</f>
        <v/>
      </c>
      <c r="E3" s="8" t="inlineStr">
        <is>
          <t>D836</t>
        </is>
      </c>
      <c r="F3" s="8" t="inlineStr">
        <is>
          <t>65292088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10003132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20230323</t>
        </is>
      </c>
      <c r="M3" s="8" t="inlineStr">
        <is>
          <t>20230329</t>
        </is>
      </c>
      <c r="N3" s="10" t="n">
        <v>130</v>
      </c>
      <c r="O3" s="10">
        <f>IFERROR(VLOOKUP(A3,Flete!$A:$J,10,0),"")</f>
        <v/>
      </c>
      <c r="P3" s="8" t="inlineStr">
        <is>
          <t>M3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900004077</v>
      </c>
      <c r="D4" s="7">
        <f>IFERROR(VLOOKUP(C4,TRAOPE!$G:$H,2,0),"")</f>
        <v/>
      </c>
      <c r="E4" s="8" t="inlineStr">
        <is>
          <t>D836</t>
        </is>
      </c>
      <c r="F4" s="8" t="inlineStr">
        <is>
          <t>65002610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10002802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20180910</t>
        </is>
      </c>
      <c r="M4" s="8" t="inlineStr">
        <is>
          <t>20240612</t>
        </is>
      </c>
      <c r="N4" s="10" t="n">
        <v>140</v>
      </c>
      <c r="O4" s="10">
        <f>IFERROR(VLOOKUP(A4,Flete!$A:$J,10,0),"")</f>
        <v/>
      </c>
      <c r="P4" s="8" t="inlineStr">
        <is>
          <t>M3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900004077</v>
      </c>
      <c r="D5" s="7">
        <f>IFERROR(VLOOKUP(C5,TRAOPE!$G:$H,2,0),"")</f>
        <v/>
      </c>
      <c r="E5" s="8" t="inlineStr">
        <is>
          <t>D836</t>
        </is>
      </c>
      <c r="F5" s="8" t="inlineStr">
        <is>
          <t>65016451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10002802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20200117</t>
        </is>
      </c>
      <c r="M5" s="8" t="inlineStr">
        <is>
          <t>20240612</t>
        </is>
      </c>
      <c r="N5" s="10" t="n">
        <v>147</v>
      </c>
      <c r="O5" s="10">
        <f>IFERROR(VLOOKUP(A5,Flete!$A:$J,10,0),"")</f>
        <v/>
      </c>
      <c r="P5" s="8" t="inlineStr">
        <is>
          <t>M3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900004077</v>
      </c>
      <c r="D6" s="7">
        <f>IFERROR(VLOOKUP(C6,TRAOPE!$G:$H,2,0),"")</f>
        <v/>
      </c>
      <c r="E6" s="8" t="inlineStr">
        <is>
          <t>D836</t>
        </is>
      </c>
      <c r="F6" s="8" t="inlineStr">
        <is>
          <t>65094369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10002802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20180910</t>
        </is>
      </c>
      <c r="M6" s="8" t="inlineStr">
        <is>
          <t>20240612</t>
        </is>
      </c>
      <c r="N6" s="10" t="n">
        <v>140</v>
      </c>
      <c r="O6" s="10">
        <f>IFERROR(VLOOKUP(A6,Flete!$A:$J,10,0),"")</f>
        <v/>
      </c>
      <c r="P6" s="8" t="inlineStr">
        <is>
          <t>M3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900004077</v>
      </c>
      <c r="D7" s="7">
        <f>IFERROR(VLOOKUP(C7,TRAOPE!$G:$H,2,0),"")</f>
        <v/>
      </c>
      <c r="E7" s="8" t="inlineStr">
        <is>
          <t>D836</t>
        </is>
      </c>
      <c r="F7" s="8" t="inlineStr">
        <is>
          <t>65232687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10002802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20240423</t>
        </is>
      </c>
      <c r="M7" s="8" t="inlineStr">
        <is>
          <t>20240612</t>
        </is>
      </c>
      <c r="N7" s="10" t="n">
        <v>160</v>
      </c>
      <c r="O7" s="10">
        <f>IFERROR(VLOOKUP(A7,Flete!$A:$J,10,0),"")</f>
        <v/>
      </c>
      <c r="P7" s="8" t="inlineStr">
        <is>
          <t>M3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900004077</v>
      </c>
      <c r="D8" s="7">
        <f>IFERROR(VLOOKUP(C8,TRAOPE!$G:$H,2,0),"")</f>
        <v/>
      </c>
      <c r="E8" s="8" t="inlineStr">
        <is>
          <t>D836</t>
        </is>
      </c>
      <c r="F8" s="8" t="inlineStr">
        <is>
          <t>65246763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10002802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20170101</t>
        </is>
      </c>
      <c r="M8" s="8" t="inlineStr">
        <is>
          <t>20240612</t>
        </is>
      </c>
      <c r="N8" s="10" t="n">
        <v>128.8</v>
      </c>
      <c r="O8" s="10">
        <f>IFERROR(VLOOKUP(A8,Flete!$A:$J,10,0),"")</f>
        <v/>
      </c>
      <c r="P8" s="8" t="inlineStr">
        <is>
          <t>M3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900004077</v>
      </c>
      <c r="D9" s="7">
        <f>IFERROR(VLOOKUP(C9,TRAOPE!$G:$H,2,0),"")</f>
        <v/>
      </c>
      <c r="E9" s="8" t="inlineStr">
        <is>
          <t>D836</t>
        </is>
      </c>
      <c r="F9" s="8" t="inlineStr">
        <is>
          <t>65251399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10002802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20181116</t>
        </is>
      </c>
      <c r="M9" s="8" t="inlineStr">
        <is>
          <t>20240612</t>
        </is>
      </c>
      <c r="N9" s="10" t="n">
        <v>140</v>
      </c>
      <c r="O9" s="10">
        <f>IFERROR(VLOOKUP(A9,Flete!$A:$J,10,0),"")</f>
        <v/>
      </c>
      <c r="P9" s="8" t="inlineStr">
        <is>
          <t>M3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900004077</v>
      </c>
      <c r="D10" s="7">
        <f>IFERROR(VLOOKUP(C10,TRAOPE!$G:$H,2,0),"")</f>
        <v/>
      </c>
      <c r="E10" s="8" t="inlineStr">
        <is>
          <t>D836</t>
        </is>
      </c>
      <c r="F10" s="8" t="inlineStr">
        <is>
          <t>65346224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10002802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20180206</t>
        </is>
      </c>
      <c r="M10" s="8" t="inlineStr">
        <is>
          <t>20240612</t>
        </is>
      </c>
      <c r="N10" s="10" t="n">
        <v>140</v>
      </c>
      <c r="O10" s="10">
        <f>IFERROR(VLOOKUP(A10,Flete!$A:$J,10,0),"")</f>
        <v/>
      </c>
      <c r="P10" s="8" t="inlineStr">
        <is>
          <t>M3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900004077</v>
      </c>
      <c r="D11" s="7">
        <f>IFERROR(VLOOKUP(C11,TRAOPE!$G:$H,2,0),"")</f>
        <v/>
      </c>
      <c r="E11" s="8" t="inlineStr">
        <is>
          <t>D836</t>
        </is>
      </c>
      <c r="F11" s="8" t="inlineStr">
        <is>
          <t>65387641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10002802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20240423</t>
        </is>
      </c>
      <c r="M11" s="8" t="inlineStr">
        <is>
          <t>20240612</t>
        </is>
      </c>
      <c r="N11" s="10" t="n">
        <v>160</v>
      </c>
      <c r="O11" s="10">
        <f>IFERROR(VLOOKUP(A11,Flete!$A:$J,10,0),"")</f>
        <v/>
      </c>
      <c r="P11" s="8" t="inlineStr">
        <is>
          <t>M3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900004077</v>
      </c>
      <c r="D12" s="7">
        <f>IFERROR(VLOOKUP(C12,TRAOPE!$G:$H,2,0),"")</f>
        <v/>
      </c>
      <c r="E12" s="8" t="inlineStr">
        <is>
          <t>D836</t>
        </is>
      </c>
      <c r="F12" s="8" t="inlineStr">
        <is>
          <t>65565826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10002802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20170101</t>
        </is>
      </c>
      <c r="M12" s="8" t="inlineStr">
        <is>
          <t>20240612</t>
        </is>
      </c>
      <c r="N12" s="10" t="n">
        <v>132.25</v>
      </c>
      <c r="O12" s="10">
        <f>IFERROR(VLOOKUP(A12,Flete!$A:$J,10,0),"")</f>
        <v/>
      </c>
      <c r="P12" s="8" t="inlineStr">
        <is>
          <t>M3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900004077</v>
      </c>
      <c r="D13" s="7">
        <f>IFERROR(VLOOKUP(C13,TRAOPE!$G:$H,2,0),"")</f>
        <v/>
      </c>
      <c r="E13" s="8" t="inlineStr">
        <is>
          <t>D836</t>
        </is>
      </c>
      <c r="F13" s="8" t="inlineStr">
        <is>
          <t>65729122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10002802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20170101</t>
        </is>
      </c>
      <c r="M13" s="8" t="inlineStr">
        <is>
          <t>20240612</t>
        </is>
      </c>
      <c r="N13" s="10" t="n">
        <v>132.25</v>
      </c>
      <c r="O13" s="10">
        <f>IFERROR(VLOOKUP(A13,Flete!$A:$J,10,0),"")</f>
        <v/>
      </c>
      <c r="P13" s="8" t="inlineStr">
        <is>
          <t>M3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900004077</v>
      </c>
      <c r="D14" s="7">
        <f>IFERROR(VLOOKUP(C14,TRAOPE!$G:$H,2,0),"")</f>
        <v/>
      </c>
      <c r="E14" s="8" t="inlineStr">
        <is>
          <t>D836</t>
        </is>
      </c>
      <c r="F14" s="8" t="inlineStr">
        <is>
          <t>65908426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10002802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20180206</t>
        </is>
      </c>
      <c r="M14" s="8" t="inlineStr">
        <is>
          <t>20240612</t>
        </is>
      </c>
      <c r="N14" s="10" t="n">
        <v>140</v>
      </c>
      <c r="O14" s="10">
        <f>IFERROR(VLOOKUP(A14,Flete!$A:$J,10,0),"")</f>
        <v/>
      </c>
      <c r="P14" s="8" t="inlineStr">
        <is>
          <t>M3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900004077</v>
      </c>
      <c r="D15" s="7">
        <f>IFERROR(VLOOKUP(C15,TRAOPE!$G:$H,2,0),"")</f>
        <v/>
      </c>
      <c r="E15" s="8" t="inlineStr">
        <is>
          <t>D836</t>
        </is>
      </c>
      <c r="F15" s="8" t="inlineStr">
        <is>
          <t>66024400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10002802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20170101</t>
        </is>
      </c>
      <c r="M15" s="8" t="inlineStr">
        <is>
          <t>20240612</t>
        </is>
      </c>
      <c r="N15" s="10" t="n">
        <v>128.8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900004077</v>
      </c>
      <c r="D16" s="7">
        <f>IFERROR(VLOOKUP(C16,TRAOPE!$G:$H,2,0),"")</f>
        <v/>
      </c>
      <c r="E16" s="8" t="inlineStr">
        <is>
          <t>D836</t>
        </is>
      </c>
      <c r="F16" s="8" t="inlineStr">
        <is>
          <t>66181113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10002802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20170101</t>
        </is>
      </c>
      <c r="M16" s="8" t="inlineStr">
        <is>
          <t>20240612</t>
        </is>
      </c>
      <c r="N16" s="10" t="n">
        <v>128.8</v>
      </c>
      <c r="O16" s="10">
        <f>IFERROR(VLOOKUP(A16,Flete!$A:$J,10,0),"")</f>
        <v/>
      </c>
      <c r="P16" s="8" t="inlineStr">
        <is>
          <t>M3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900004077</v>
      </c>
      <c r="D17" s="7">
        <f>IFERROR(VLOOKUP(C17,TRAOPE!$G:$H,2,0),"")</f>
        <v/>
      </c>
      <c r="E17" s="8" t="inlineStr">
        <is>
          <t>D836</t>
        </is>
      </c>
      <c r="F17" s="8" t="inlineStr">
        <is>
          <t>66181114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10002802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20170101</t>
        </is>
      </c>
      <c r="M17" s="8" t="inlineStr">
        <is>
          <t>20240612</t>
        </is>
      </c>
      <c r="N17" s="10" t="n">
        <v>128.8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900004077</v>
      </c>
      <c r="D18" s="7">
        <f>IFERROR(VLOOKUP(C18,TRAOPE!$G:$H,2,0),"")</f>
        <v/>
      </c>
      <c r="E18" s="8" t="inlineStr">
        <is>
          <t>D836</t>
        </is>
      </c>
      <c r="F18" s="8" t="inlineStr">
        <is>
          <t>66233244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10002802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20180613</t>
        </is>
      </c>
      <c r="M18" s="8" t="inlineStr">
        <is>
          <t>20240612</t>
        </is>
      </c>
      <c r="N18" s="10" t="n">
        <v>140</v>
      </c>
      <c r="O18" s="10">
        <f>IFERROR(VLOOKUP(A18,Flete!$A:$J,10,0),"")</f>
        <v/>
      </c>
      <c r="P18" s="8" t="inlineStr">
        <is>
          <t>M3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900004077</v>
      </c>
      <c r="D19" s="7">
        <f>IFERROR(VLOOKUP(C19,TRAOPE!$G:$H,2,0),"")</f>
        <v/>
      </c>
      <c r="E19" s="8" t="inlineStr">
        <is>
          <t>D836</t>
        </is>
      </c>
      <c r="F19" s="8" t="inlineStr">
        <is>
          <t>66243150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10002802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20171213</t>
        </is>
      </c>
      <c r="M19" s="8" t="inlineStr">
        <is>
          <t>20240612</t>
        </is>
      </c>
      <c r="N19" s="10" t="n">
        <v>153.12</v>
      </c>
      <c r="O19" s="10">
        <f>IFERROR(VLOOKUP(A19,Flete!$A:$J,10,0),"")</f>
        <v/>
      </c>
      <c r="P19" s="8" t="inlineStr">
        <is>
          <t>M3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900004077</v>
      </c>
      <c r="D20" s="7">
        <f>IFERROR(VLOOKUP(C20,TRAOPE!$G:$H,2,0),"")</f>
        <v/>
      </c>
      <c r="E20" s="8" t="inlineStr">
        <is>
          <t>D836</t>
        </is>
      </c>
      <c r="F20" s="8" t="inlineStr">
        <is>
          <t>66260760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10002802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20180206</t>
        </is>
      </c>
      <c r="M20" s="8" t="inlineStr">
        <is>
          <t>20240612</t>
        </is>
      </c>
      <c r="N20" s="10" t="n">
        <v>140</v>
      </c>
      <c r="O20" s="10">
        <f>IFERROR(VLOOKUP(A20,Flete!$A:$J,10,0),"")</f>
        <v/>
      </c>
      <c r="P20" s="8" t="inlineStr">
        <is>
          <t>M3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900004077</v>
      </c>
      <c r="D21" s="7">
        <f>IFERROR(VLOOKUP(C21,TRAOPE!$G:$H,2,0),"")</f>
        <v/>
      </c>
      <c r="E21" s="8" t="inlineStr">
        <is>
          <t>D836</t>
        </is>
      </c>
      <c r="F21" s="8" t="inlineStr">
        <is>
          <t>66265943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10002802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20170101</t>
        </is>
      </c>
      <c r="M21" s="8" t="inlineStr">
        <is>
          <t>20240612</t>
        </is>
      </c>
      <c r="N21" s="10" t="n">
        <v>128.8</v>
      </c>
      <c r="O21" s="10">
        <f>IFERROR(VLOOKUP(A21,Flete!$A:$J,10,0),"")</f>
        <v/>
      </c>
      <c r="P21" s="8" t="inlineStr">
        <is>
          <t>M3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900004077</v>
      </c>
      <c r="D22" s="7">
        <f>IFERROR(VLOOKUP(C22,TRAOPE!$G:$H,2,0),"")</f>
        <v/>
      </c>
      <c r="E22" s="8" t="inlineStr">
        <is>
          <t>D836</t>
        </is>
      </c>
      <c r="F22" s="8" t="inlineStr">
        <is>
          <t>66265944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10002802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20170101</t>
        </is>
      </c>
      <c r="M22" s="8" t="inlineStr">
        <is>
          <t>20240612</t>
        </is>
      </c>
      <c r="N22" s="10" t="n">
        <v>128.8</v>
      </c>
      <c r="O22" s="10">
        <f>IFERROR(VLOOKUP(A22,Flete!$A:$J,10,0),"")</f>
        <v/>
      </c>
      <c r="P22" s="8" t="inlineStr">
        <is>
          <t>M3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900004077</v>
      </c>
      <c r="D23" s="7">
        <f>IFERROR(VLOOKUP(C23,TRAOPE!$G:$H,2,0),"")</f>
        <v/>
      </c>
      <c r="E23" s="8" t="inlineStr">
        <is>
          <t>D836</t>
        </is>
      </c>
      <c r="F23" s="8" t="inlineStr">
        <is>
          <t>66279408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10002802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20170101</t>
        </is>
      </c>
      <c r="M23" s="8" t="inlineStr">
        <is>
          <t>20240612</t>
        </is>
      </c>
      <c r="N23" s="10" t="n">
        <v>128.8</v>
      </c>
      <c r="O23" s="10">
        <f>IFERROR(VLOOKUP(A23,Flete!$A:$J,10,0),"")</f>
        <v/>
      </c>
      <c r="P23" s="8" t="inlineStr">
        <is>
          <t>M3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900004077</v>
      </c>
      <c r="D24" s="7">
        <f>IFERROR(VLOOKUP(C24,TRAOPE!$G:$H,2,0),"")</f>
        <v/>
      </c>
      <c r="E24" s="8" t="inlineStr">
        <is>
          <t>D836</t>
        </is>
      </c>
      <c r="F24" s="8" t="inlineStr">
        <is>
          <t>66279410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10002802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20170101</t>
        </is>
      </c>
      <c r="M24" s="8" t="inlineStr">
        <is>
          <t>20240612</t>
        </is>
      </c>
      <c r="N24" s="10" t="n">
        <v>128.8</v>
      </c>
      <c r="O24" s="10">
        <f>IFERROR(VLOOKUP(A24,Flete!$A:$J,10,0),"")</f>
        <v/>
      </c>
      <c r="P24" s="8" t="inlineStr">
        <is>
          <t>M3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900004077</v>
      </c>
      <c r="D25" s="7">
        <f>IFERROR(VLOOKUP(C25,TRAOPE!$G:$H,2,0),"")</f>
        <v/>
      </c>
      <c r="E25" s="8" t="inlineStr">
        <is>
          <t>D836</t>
        </is>
      </c>
      <c r="F25" s="8" t="inlineStr">
        <is>
          <t>66338952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10002802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20170213</t>
        </is>
      </c>
      <c r="M25" s="8" t="inlineStr">
        <is>
          <t>20240612</t>
        </is>
      </c>
      <c r="N25" s="10" t="n">
        <v>145</v>
      </c>
      <c r="O25" s="10">
        <f>IFERROR(VLOOKUP(A25,Flete!$A:$J,10,0),"")</f>
        <v/>
      </c>
      <c r="P25" s="8" t="inlineStr">
        <is>
          <t>M3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900004077</v>
      </c>
      <c r="D26" s="7">
        <f>IFERROR(VLOOKUP(C26,TRAOPE!$G:$H,2,0),"")</f>
        <v/>
      </c>
      <c r="E26" s="8" t="inlineStr">
        <is>
          <t>D836</t>
        </is>
      </c>
      <c r="F26" s="8" t="inlineStr">
        <is>
          <t>66450072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10002802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20181116</t>
        </is>
      </c>
      <c r="M26" s="8" t="inlineStr">
        <is>
          <t>20240612</t>
        </is>
      </c>
      <c r="N26" s="10" t="n">
        <v>140</v>
      </c>
      <c r="O26" s="10">
        <f>IFERROR(VLOOKUP(A26,Flete!$A:$J,10,0),"")</f>
        <v/>
      </c>
      <c r="P26" s="8" t="inlineStr">
        <is>
          <t>M3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900004077</v>
      </c>
      <c r="D27" s="7">
        <f>IFERROR(VLOOKUP(C27,TRAOPE!$G:$H,2,0),"")</f>
        <v/>
      </c>
      <c r="E27" s="8" t="inlineStr">
        <is>
          <t>D836</t>
        </is>
      </c>
      <c r="F27" s="8" t="inlineStr">
        <is>
          <t>66463792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10002802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20240612</t>
        </is>
      </c>
      <c r="M27" s="8" t="inlineStr">
        <is>
          <t>20240612</t>
        </is>
      </c>
      <c r="N27" s="10" t="n">
        <v>140</v>
      </c>
      <c r="O27" s="10">
        <f>IFERROR(VLOOKUP(A27,Flete!$A:$J,10,0),"")</f>
        <v/>
      </c>
      <c r="P27" s="8" t="inlineStr">
        <is>
          <t>M3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900004077</v>
      </c>
      <c r="D28" s="7">
        <f>IFERROR(VLOOKUP(C28,TRAOPE!$G:$H,2,0),"")</f>
        <v/>
      </c>
      <c r="E28" s="8" t="inlineStr">
        <is>
          <t>D836</t>
        </is>
      </c>
      <c r="F28" s="8" t="inlineStr">
        <is>
          <t>66779276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10002802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20201216</t>
        </is>
      </c>
      <c r="M28" s="8" t="inlineStr">
        <is>
          <t>20240612</t>
        </is>
      </c>
      <c r="N28" s="10" t="n">
        <v>136</v>
      </c>
      <c r="O28" s="10">
        <f>IFERROR(VLOOKUP(A28,Flete!$A:$J,10,0),"")</f>
        <v/>
      </c>
      <c r="P28" s="8" t="inlineStr">
        <is>
          <t>M3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900004077</v>
      </c>
      <c r="D29" s="7">
        <f>IFERROR(VLOOKUP(C29,TRAOPE!$G:$H,2,0),"")</f>
        <v/>
      </c>
      <c r="E29" s="8" t="inlineStr">
        <is>
          <t>D836</t>
        </is>
      </c>
      <c r="F29" s="8" t="inlineStr">
        <is>
          <t>66793827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10002802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20231030</t>
        </is>
      </c>
      <c r="M29" s="8" t="inlineStr">
        <is>
          <t>20240612</t>
        </is>
      </c>
      <c r="N29" s="10" t="n">
        <v>155</v>
      </c>
      <c r="O29" s="10">
        <f>IFERROR(VLOOKUP(A29,Flete!$A:$J,10,0),"")</f>
        <v/>
      </c>
      <c r="P29" s="8" t="inlineStr">
        <is>
          <t>M3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900004077</v>
      </c>
      <c r="D30" s="7">
        <f>IFERROR(VLOOKUP(C30,TRAOPE!$G:$H,2,0),"")</f>
        <v/>
      </c>
      <c r="E30" s="8" t="inlineStr">
        <is>
          <t>D836</t>
        </is>
      </c>
      <c r="F30" s="8" t="inlineStr">
        <is>
          <t>66798315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10002802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20201016</t>
        </is>
      </c>
      <c r="M30" s="8" t="inlineStr">
        <is>
          <t>20240612</t>
        </is>
      </c>
      <c r="N30" s="10" t="n">
        <v>135</v>
      </c>
      <c r="O30" s="10">
        <f>IFERROR(VLOOKUP(A30,Flete!$A:$J,10,0),"")</f>
        <v/>
      </c>
      <c r="P30" s="8" t="inlineStr">
        <is>
          <t>M3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900004077</v>
      </c>
      <c r="D31" s="7">
        <f>IFERROR(VLOOKUP(C31,TRAOPE!$G:$H,2,0),"")</f>
        <v/>
      </c>
      <c r="E31" s="8" t="inlineStr">
        <is>
          <t>D836</t>
        </is>
      </c>
      <c r="F31" s="8" t="inlineStr">
        <is>
          <t>66825797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10002802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20200911</t>
        </is>
      </c>
      <c r="M31" s="8" t="inlineStr">
        <is>
          <t>20240612</t>
        </is>
      </c>
      <c r="N31" s="10" t="n">
        <v>140.81</v>
      </c>
      <c r="O31" s="10">
        <f>IFERROR(VLOOKUP(A31,Flete!$A:$J,10,0),"")</f>
        <v/>
      </c>
      <c r="P31" s="8" t="inlineStr">
        <is>
          <t>M3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900004077</v>
      </c>
      <c r="D32" s="7">
        <f>IFERROR(VLOOKUP(C32,TRAOPE!$G:$H,2,0),"")</f>
        <v/>
      </c>
      <c r="E32" s="8" t="inlineStr">
        <is>
          <t>D836</t>
        </is>
      </c>
      <c r="F32" s="8" t="inlineStr">
        <is>
          <t>66838326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10002802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20240612</t>
        </is>
      </c>
      <c r="M32" s="8" t="inlineStr">
        <is>
          <t>20240612</t>
        </is>
      </c>
      <c r="N32" s="10" t="n">
        <v>145</v>
      </c>
      <c r="O32" s="10">
        <f>IFERROR(VLOOKUP(A32,Flete!$A:$J,10,0),"")</f>
        <v/>
      </c>
      <c r="P32" s="8" t="inlineStr">
        <is>
          <t>M3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900004077</v>
      </c>
      <c r="D33" s="7">
        <f>IFERROR(VLOOKUP(C33,TRAOPE!$G:$H,2,0),"")</f>
        <v/>
      </c>
      <c r="E33" s="8" t="inlineStr">
        <is>
          <t>D836</t>
        </is>
      </c>
      <c r="F33" s="8" t="inlineStr">
        <is>
          <t>66853813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10002802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20220223</t>
        </is>
      </c>
      <c r="M33" s="8" t="inlineStr">
        <is>
          <t>20240612</t>
        </is>
      </c>
      <c r="N33" s="10" t="n">
        <v>134</v>
      </c>
      <c r="O33" s="10">
        <f>IFERROR(VLOOKUP(A33,Flete!$A:$J,10,0),"")</f>
        <v/>
      </c>
      <c r="P33" s="8" t="inlineStr">
        <is>
          <t>M3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900004077</v>
      </c>
      <c r="D34" s="7">
        <f>IFERROR(VLOOKUP(C34,TRAOPE!$G:$H,2,0),"")</f>
        <v/>
      </c>
      <c r="E34" s="8" t="inlineStr">
        <is>
          <t>D836</t>
        </is>
      </c>
      <c r="F34" s="8" t="inlineStr">
        <is>
          <t>66865547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10002802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20200922</t>
        </is>
      </c>
      <c r="M34" s="8" t="inlineStr">
        <is>
          <t>20240612</t>
        </is>
      </c>
      <c r="N34" s="10" t="n">
        <v>129</v>
      </c>
      <c r="O34" s="10">
        <f>IFERROR(VLOOKUP(A34,Flete!$A:$J,10,0),"")</f>
        <v/>
      </c>
      <c r="P34" s="8" t="inlineStr">
        <is>
          <t>M3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900004077</v>
      </c>
      <c r="D35" s="7">
        <f>IFERROR(VLOOKUP(C35,TRAOPE!$G:$H,2,0),"")</f>
        <v/>
      </c>
      <c r="E35" s="8" t="inlineStr">
        <is>
          <t>D836</t>
        </is>
      </c>
      <c r="F35" s="8" t="inlineStr">
        <is>
          <t>66874616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10002802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20240612</t>
        </is>
      </c>
      <c r="M35" s="8" t="inlineStr">
        <is>
          <t>20240612</t>
        </is>
      </c>
      <c r="N35" s="10" t="n">
        <v>145</v>
      </c>
      <c r="O35" s="10">
        <f>IFERROR(VLOOKUP(A35,Flete!$A:$J,10,0),"")</f>
        <v/>
      </c>
      <c r="P35" s="8" t="inlineStr">
        <is>
          <t>M3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900004077</v>
      </c>
      <c r="D36" s="7">
        <f>IFERROR(VLOOKUP(C36,TRAOPE!$G:$H,2,0),"")</f>
        <v/>
      </c>
      <c r="E36" s="8" t="inlineStr">
        <is>
          <t>D836</t>
        </is>
      </c>
      <c r="F36" s="8" t="inlineStr">
        <is>
          <t>66898280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10002802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20200911</t>
        </is>
      </c>
      <c r="M36" s="8" t="inlineStr">
        <is>
          <t>20240612</t>
        </is>
      </c>
      <c r="N36" s="10" t="n">
        <v>140.81</v>
      </c>
      <c r="O36" s="10">
        <f>IFERROR(VLOOKUP(A36,Flete!$A:$J,10,0),"")</f>
        <v/>
      </c>
      <c r="P36" s="8" t="inlineStr">
        <is>
          <t>M3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900004077</v>
      </c>
      <c r="D37" s="7">
        <f>IFERROR(VLOOKUP(C37,TRAOPE!$G:$H,2,0),"")</f>
        <v/>
      </c>
      <c r="E37" s="8" t="inlineStr">
        <is>
          <t>D836</t>
        </is>
      </c>
      <c r="F37" s="8" t="inlineStr">
        <is>
          <t>66898281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10002802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20200911</t>
        </is>
      </c>
      <c r="M37" s="8" t="inlineStr">
        <is>
          <t>20240612</t>
        </is>
      </c>
      <c r="N37" s="10" t="n">
        <v>140.81</v>
      </c>
      <c r="O37" s="10">
        <f>IFERROR(VLOOKUP(A37,Flete!$A:$J,10,0),"")</f>
        <v/>
      </c>
      <c r="P37" s="8" t="inlineStr">
        <is>
          <t>M3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900004077</v>
      </c>
      <c r="D38" s="7">
        <f>IFERROR(VLOOKUP(C38,TRAOPE!$G:$H,2,0),"")</f>
        <v/>
      </c>
      <c r="E38" s="8" t="inlineStr">
        <is>
          <t>D836</t>
        </is>
      </c>
      <c r="F38" s="8" t="inlineStr">
        <is>
          <t>66928379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10002802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20210121</t>
        </is>
      </c>
      <c r="M38" s="8" t="inlineStr">
        <is>
          <t>20240612</t>
        </is>
      </c>
      <c r="N38" s="10" t="n">
        <v>129</v>
      </c>
      <c r="O38" s="10">
        <f>IFERROR(VLOOKUP(A38,Flete!$A:$J,10,0),"")</f>
        <v/>
      </c>
      <c r="P38" s="8" t="inlineStr">
        <is>
          <t>M3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900004077</v>
      </c>
      <c r="D39" s="7">
        <f>IFERROR(VLOOKUP(C39,TRAOPE!$G:$H,2,0),"")</f>
        <v/>
      </c>
      <c r="E39" s="8" t="inlineStr">
        <is>
          <t>D836</t>
        </is>
      </c>
      <c r="F39" s="8" t="inlineStr">
        <is>
          <t>67007016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10002802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20240612</t>
        </is>
      </c>
      <c r="M39" s="8" t="inlineStr">
        <is>
          <t>20240612</t>
        </is>
      </c>
      <c r="N39" s="10" t="n">
        <v>135</v>
      </c>
      <c r="O39" s="10">
        <f>IFERROR(VLOOKUP(A39,Flete!$A:$J,10,0),"")</f>
        <v/>
      </c>
      <c r="P39" s="8" t="inlineStr">
        <is>
          <t>M3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900005356</v>
      </c>
      <c r="D40" s="7">
        <f>IFERROR(VLOOKUP(C40,TRAOPE!$G:$H,2,0),"")</f>
        <v/>
      </c>
      <c r="E40" s="8" t="inlineStr">
        <is>
          <t>D836</t>
        </is>
      </c>
      <c r="F40" s="8" t="inlineStr">
        <is>
          <t>66864508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10000160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20231011</t>
        </is>
      </c>
      <c r="M40" s="8" t="inlineStr">
        <is>
          <t>20240820</t>
        </is>
      </c>
      <c r="N40" s="10" t="n">
        <v>120</v>
      </c>
      <c r="O40" s="10">
        <f>IFERROR(VLOOKUP(A40,Flete!$A:$J,10,0),"")</f>
        <v/>
      </c>
      <c r="P40" s="8" t="inlineStr">
        <is>
          <t>M3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900005356</v>
      </c>
      <c r="D41" s="7">
        <f>IFERROR(VLOOKUP(C41,TRAOPE!$G:$H,2,0),"")</f>
        <v/>
      </c>
      <c r="E41" s="8" t="inlineStr">
        <is>
          <t>D836</t>
        </is>
      </c>
      <c r="F41" s="8" t="inlineStr">
        <is>
          <t>66864540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10000160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20231011</t>
        </is>
      </c>
      <c r="M41" s="8" t="inlineStr">
        <is>
          <t>20240820</t>
        </is>
      </c>
      <c r="N41" s="10" t="n">
        <v>120</v>
      </c>
      <c r="O41" s="10">
        <f>IFERROR(VLOOKUP(A41,Flete!$A:$J,10,0),"")</f>
        <v/>
      </c>
      <c r="P41" s="8" t="inlineStr">
        <is>
          <t>M3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900005356</v>
      </c>
      <c r="D42" s="7">
        <f>IFERROR(VLOOKUP(C42,TRAOPE!$G:$H,2,0),"")</f>
        <v/>
      </c>
      <c r="E42" s="8" t="inlineStr">
        <is>
          <t>D836</t>
        </is>
      </c>
      <c r="F42" s="8" t="inlineStr">
        <is>
          <t>66982053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10000160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20231011</t>
        </is>
      </c>
      <c r="M42" s="8" t="inlineStr">
        <is>
          <t>20240820</t>
        </is>
      </c>
      <c r="N42" s="10" t="n">
        <v>120</v>
      </c>
      <c r="O42" s="10">
        <f>IFERROR(VLOOKUP(A42,Flete!$A:$J,10,0),"")</f>
        <v/>
      </c>
      <c r="P42" s="8" t="inlineStr">
        <is>
          <t>M3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900005356</v>
      </c>
      <c r="D43" s="7">
        <f>IFERROR(VLOOKUP(C43,TRAOPE!$G:$H,2,0),"")</f>
        <v/>
      </c>
      <c r="E43" s="8" t="inlineStr">
        <is>
          <t>D836</t>
        </is>
      </c>
      <c r="F43" s="8" t="inlineStr">
        <is>
          <t>67019979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10000160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20231011</t>
        </is>
      </c>
      <c r="M43" s="8" t="inlineStr">
        <is>
          <t>20240820</t>
        </is>
      </c>
      <c r="N43" s="10" t="n">
        <v>120</v>
      </c>
      <c r="O43" s="10">
        <f>IFERROR(VLOOKUP(A43,Flete!$A:$J,10,0),"")</f>
        <v/>
      </c>
      <c r="P43" s="8" t="inlineStr">
        <is>
          <t>M3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900003609</v>
      </c>
      <c r="D44" s="7">
        <f>IFERROR(VLOOKUP(C44,TRAOPE!$G:$H,2,0),"")</f>
        <v/>
      </c>
      <c r="E44" s="8" t="inlineStr">
        <is>
          <t>D836</t>
        </is>
      </c>
      <c r="F44" s="8" t="inlineStr">
        <is>
          <t>65015067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10058345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20220324</t>
        </is>
      </c>
      <c r="M44" s="8" t="inlineStr">
        <is>
          <t>20240822</t>
        </is>
      </c>
      <c r="N44" s="10" t="n">
        <v>133</v>
      </c>
      <c r="O44" s="10">
        <f>IFERROR(VLOOKUP(A44,Flete!$A:$J,10,0),"")</f>
        <v/>
      </c>
      <c r="P44" s="8" t="inlineStr">
        <is>
          <t>M3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900003609</v>
      </c>
      <c r="D45" s="7">
        <f>IFERROR(VLOOKUP(C45,TRAOPE!$G:$H,2,0),"")</f>
        <v/>
      </c>
      <c r="E45" s="8" t="inlineStr">
        <is>
          <t>D836</t>
        </is>
      </c>
      <c r="F45" s="8" t="inlineStr">
        <is>
          <t>65712814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10058345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20220324</t>
        </is>
      </c>
      <c r="M45" s="8" t="inlineStr">
        <is>
          <t>20240822</t>
        </is>
      </c>
      <c r="N45" s="10" t="n">
        <v>110</v>
      </c>
      <c r="O45" s="10">
        <f>IFERROR(VLOOKUP(A45,Flete!$A:$J,10,0),"")</f>
        <v/>
      </c>
      <c r="P45" s="8" t="inlineStr">
        <is>
          <t>M3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900003609</v>
      </c>
      <c r="D46" s="7">
        <f>IFERROR(VLOOKUP(C46,TRAOPE!$G:$H,2,0),"")</f>
        <v/>
      </c>
      <c r="E46" s="8" t="inlineStr">
        <is>
          <t>D836</t>
        </is>
      </c>
      <c r="F46" s="8" t="inlineStr">
        <is>
          <t>65713808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10058345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20220324</t>
        </is>
      </c>
      <c r="M46" s="8" t="inlineStr">
        <is>
          <t>20240822</t>
        </is>
      </c>
      <c r="N46" s="10" t="n">
        <v>110</v>
      </c>
      <c r="O46" s="10">
        <f>IFERROR(VLOOKUP(A46,Flete!$A:$J,10,0),"")</f>
        <v/>
      </c>
      <c r="P46" s="8" t="inlineStr">
        <is>
          <t>M3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900003609</v>
      </c>
      <c r="D47" s="7">
        <f>IFERROR(VLOOKUP(C47,TRAOPE!$G:$H,2,0),"")</f>
        <v/>
      </c>
      <c r="E47" s="8" t="inlineStr">
        <is>
          <t>D836</t>
        </is>
      </c>
      <c r="F47" s="8" t="inlineStr">
        <is>
          <t>66243150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10058345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20220324</t>
        </is>
      </c>
      <c r="M47" s="8" t="inlineStr">
        <is>
          <t>20240822</t>
        </is>
      </c>
      <c r="N47" s="10" t="n">
        <v>131.58</v>
      </c>
      <c r="O47" s="10">
        <f>IFERROR(VLOOKUP(A47,Flete!$A:$J,10,0),"")</f>
        <v/>
      </c>
      <c r="P47" s="8" t="inlineStr">
        <is>
          <t>M3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900003609</v>
      </c>
      <c r="D48" s="7">
        <f>IFERROR(VLOOKUP(C48,TRAOPE!$G:$H,2,0),"")</f>
        <v/>
      </c>
      <c r="E48" s="8" t="inlineStr">
        <is>
          <t>D836</t>
        </is>
      </c>
      <c r="F48" s="8" t="inlineStr">
        <is>
          <t>66338102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10058345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20220324</t>
        </is>
      </c>
      <c r="M48" s="8" t="inlineStr">
        <is>
          <t>20240822</t>
        </is>
      </c>
      <c r="N48" s="10" t="n">
        <v>104.44</v>
      </c>
      <c r="O48" s="10">
        <f>IFERROR(VLOOKUP(A48,Flete!$A:$J,10,0),"")</f>
        <v/>
      </c>
      <c r="P48" s="8" t="inlineStr">
        <is>
          <t>M3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900003609</v>
      </c>
      <c r="D49" s="7">
        <f>IFERROR(VLOOKUP(C49,TRAOPE!$G:$H,2,0),"")</f>
        <v/>
      </c>
      <c r="E49" s="8" t="inlineStr">
        <is>
          <t>D836</t>
        </is>
      </c>
      <c r="F49" s="8" t="inlineStr">
        <is>
          <t>66857228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10058345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20220324</t>
        </is>
      </c>
      <c r="M49" s="8" t="inlineStr">
        <is>
          <t>20240822</t>
        </is>
      </c>
      <c r="N49" s="10" t="n">
        <v>133</v>
      </c>
      <c r="O49" s="10">
        <f>IFERROR(VLOOKUP(A49,Flete!$A:$J,10,0),"")</f>
        <v/>
      </c>
      <c r="P49" s="8" t="inlineStr">
        <is>
          <t>M3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900003609</v>
      </c>
      <c r="D50" s="7">
        <f>IFERROR(VLOOKUP(C50,TRAOPE!$G:$H,2,0),"")</f>
        <v/>
      </c>
      <c r="E50" s="8" t="inlineStr">
        <is>
          <t>D836</t>
        </is>
      </c>
      <c r="F50" s="8" t="inlineStr">
        <is>
          <t>67007619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10058345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20220324</t>
        </is>
      </c>
      <c r="M50" s="8" t="inlineStr">
        <is>
          <t>20240822</t>
        </is>
      </c>
      <c r="N50" s="10" t="n">
        <v>105</v>
      </c>
      <c r="O50" s="10">
        <f>IFERROR(VLOOKUP(A50,Flete!$A:$J,10,0),"")</f>
        <v/>
      </c>
      <c r="P50" s="8" t="inlineStr">
        <is>
          <t>M3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900003609</v>
      </c>
      <c r="D51" s="7">
        <f>IFERROR(VLOOKUP(C51,TRAOPE!$G:$H,2,0),"")</f>
        <v/>
      </c>
      <c r="E51" s="8" t="inlineStr">
        <is>
          <t>D836</t>
        </is>
      </c>
      <c r="F51" s="8" t="inlineStr">
        <is>
          <t>67032666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10058345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20220324</t>
        </is>
      </c>
      <c r="M51" s="8" t="inlineStr">
        <is>
          <t>20240822</t>
        </is>
      </c>
      <c r="N51" s="10" t="n">
        <v>120</v>
      </c>
      <c r="O51" s="10">
        <f>IFERROR(VLOOKUP(A51,Flete!$A:$J,10,0),"")</f>
        <v/>
      </c>
      <c r="P51" s="8" t="inlineStr">
        <is>
          <t>M3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900003609</v>
      </c>
      <c r="D52" s="7">
        <f>IFERROR(VLOOKUP(C52,TRAOPE!$G:$H,2,0),"")</f>
        <v/>
      </c>
      <c r="E52" s="8" t="inlineStr">
        <is>
          <t>D836</t>
        </is>
      </c>
      <c r="F52" s="8" t="inlineStr">
        <is>
          <t>67213976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10058345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20220324</t>
        </is>
      </c>
      <c r="M52" s="8" t="inlineStr">
        <is>
          <t>20240822</t>
        </is>
      </c>
      <c r="N52" s="10" t="n">
        <v>170</v>
      </c>
      <c r="O52" s="10">
        <f>IFERROR(VLOOKUP(A52,Flete!$A:$J,10,0),"")</f>
        <v/>
      </c>
      <c r="P52" s="8" t="inlineStr">
        <is>
          <t>M3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900004598</v>
      </c>
      <c r="D53" s="7">
        <f>IFERROR(VLOOKUP(C53,TRAOPE!$G:$H,2,0),"")</f>
        <v/>
      </c>
      <c r="E53" s="8" t="inlineStr">
        <is>
          <t>D836</t>
        </is>
      </c>
      <c r="F53" s="8" t="inlineStr">
        <is>
          <t>67098138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10006150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20241022</t>
        </is>
      </c>
      <c r="M53" s="8" t="inlineStr">
        <is>
          <t>20241025</t>
        </is>
      </c>
      <c r="N53" s="10" t="n">
        <v>310</v>
      </c>
      <c r="O53" s="10">
        <f>IFERROR(VLOOKUP(A53,Flete!$A:$J,10,0),"")</f>
        <v/>
      </c>
      <c r="P53" s="8" t="inlineStr">
        <is>
          <t>M3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900004598</v>
      </c>
      <c r="D54" s="7">
        <f>IFERROR(VLOOKUP(C54,TRAOPE!$G:$H,2,0),"")</f>
        <v/>
      </c>
      <c r="E54" s="8" t="inlineStr">
        <is>
          <t>D836</t>
        </is>
      </c>
      <c r="F54" s="8" t="inlineStr">
        <is>
          <t>67098138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10047573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20241022</t>
        </is>
      </c>
      <c r="M54" s="8" t="inlineStr">
        <is>
          <t>20241025</t>
        </is>
      </c>
      <c r="N54" s="10" t="n">
        <v>58</v>
      </c>
      <c r="O54" s="10">
        <f>IFERROR(VLOOKUP(A54,Flete!$A:$J,10,0),"")</f>
        <v/>
      </c>
      <c r="P54" s="8" t="inlineStr">
        <is>
          <t>M3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900000034</v>
      </c>
      <c r="D55" s="7">
        <f>IFERROR(VLOOKUP(C55,TRAOPE!$G:$H,2,0),"")</f>
        <v/>
      </c>
      <c r="E55" s="8" t="inlineStr">
        <is>
          <t>D836</t>
        </is>
      </c>
      <c r="F55" s="8" t="inlineStr">
        <is>
          <t>65002173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10000624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20190426</t>
        </is>
      </c>
      <c r="M55" s="8" t="inlineStr">
        <is>
          <t>20250127</t>
        </is>
      </c>
      <c r="N55" s="10" t="n">
        <v>93.40000000000001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900000034</v>
      </c>
      <c r="D56" s="7">
        <f>IFERROR(VLOOKUP(C56,TRAOPE!$G:$H,2,0),"")</f>
        <v/>
      </c>
      <c r="E56" s="8" t="inlineStr">
        <is>
          <t>D836</t>
        </is>
      </c>
      <c r="F56" s="8" t="inlineStr">
        <is>
          <t>65050507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10000757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20190426</t>
        </is>
      </c>
      <c r="M56" s="8" t="inlineStr">
        <is>
          <t>20250127</t>
        </is>
      </c>
      <c r="N56" s="10" t="n">
        <v>91.08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900000034</v>
      </c>
      <c r="D57" s="7">
        <f>IFERROR(VLOOKUP(C57,TRAOPE!$G:$H,2,0),"")</f>
        <v/>
      </c>
      <c r="E57" s="8" t="inlineStr">
        <is>
          <t>D836</t>
        </is>
      </c>
      <c r="F57" s="8" t="inlineStr">
        <is>
          <t>65077509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10000624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20190426</t>
        </is>
      </c>
      <c r="M57" s="8" t="inlineStr">
        <is>
          <t>20250127</t>
        </is>
      </c>
      <c r="N57" s="10" t="n">
        <v>102.57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900000034</v>
      </c>
      <c r="D58" s="7">
        <f>IFERROR(VLOOKUP(C58,TRAOPE!$G:$H,2,0),"")</f>
        <v/>
      </c>
      <c r="E58" s="8" t="inlineStr">
        <is>
          <t>D836</t>
        </is>
      </c>
      <c r="F58" s="8" t="inlineStr">
        <is>
          <t>65077509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10000722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20190426</t>
        </is>
      </c>
      <c r="M58" s="8" t="inlineStr">
        <is>
          <t>20250127</t>
        </is>
      </c>
      <c r="N58" s="10" t="n">
        <v>93.29000000000001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900000034</v>
      </c>
      <c r="D59" s="7">
        <f>IFERROR(VLOOKUP(C59,TRAOPE!$G:$H,2,0),"")</f>
        <v/>
      </c>
      <c r="E59" s="8" t="inlineStr">
        <is>
          <t>D836</t>
        </is>
      </c>
      <c r="F59" s="8" t="inlineStr">
        <is>
          <t>65077518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10000624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20190426</t>
        </is>
      </c>
      <c r="M59" s="8" t="inlineStr">
        <is>
          <t>20250127</t>
        </is>
      </c>
      <c r="N59" s="10" t="n">
        <v>102.57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900000034</v>
      </c>
      <c r="D60" s="7">
        <f>IFERROR(VLOOKUP(C60,TRAOPE!$G:$H,2,0),"")</f>
        <v/>
      </c>
      <c r="E60" s="8" t="inlineStr">
        <is>
          <t>D836</t>
        </is>
      </c>
      <c r="F60" s="8" t="inlineStr">
        <is>
          <t>65077518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10000722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20190426</t>
        </is>
      </c>
      <c r="M60" s="8" t="inlineStr">
        <is>
          <t>20250127</t>
        </is>
      </c>
      <c r="N60" s="10" t="n">
        <v>93.29000000000001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900000034</v>
      </c>
      <c r="D61" s="7">
        <f>IFERROR(VLOOKUP(C61,TRAOPE!$G:$H,2,0),"")</f>
        <v/>
      </c>
      <c r="E61" s="8" t="inlineStr">
        <is>
          <t>D836</t>
        </is>
      </c>
      <c r="F61" s="8" t="inlineStr">
        <is>
          <t>65077582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10000624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20190426</t>
        </is>
      </c>
      <c r="M61" s="8" t="inlineStr">
        <is>
          <t>20250127</t>
        </is>
      </c>
      <c r="N61" s="10" t="n">
        <v>102.57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900000034</v>
      </c>
      <c r="D62" s="7">
        <f>IFERROR(VLOOKUP(C62,TRAOPE!$G:$H,2,0),"")</f>
        <v/>
      </c>
      <c r="E62" s="8" t="inlineStr">
        <is>
          <t>D836</t>
        </is>
      </c>
      <c r="F62" s="8" t="inlineStr">
        <is>
          <t>65077582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10000722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20190426</t>
        </is>
      </c>
      <c r="M62" s="8" t="inlineStr">
        <is>
          <t>20250127</t>
        </is>
      </c>
      <c r="N62" s="10" t="n">
        <v>93.29000000000001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900000034</v>
      </c>
      <c r="D63" s="7">
        <f>IFERROR(VLOOKUP(C63,TRAOPE!$G:$H,2,0),"")</f>
        <v/>
      </c>
      <c r="E63" s="8" t="inlineStr">
        <is>
          <t>D836</t>
        </is>
      </c>
      <c r="F63" s="8" t="inlineStr">
        <is>
          <t>65210427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10000624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20190426</t>
        </is>
      </c>
      <c r="M63" s="8" t="inlineStr">
        <is>
          <t>20250127</t>
        </is>
      </c>
      <c r="N63" s="10" t="n">
        <v>86.11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900000034</v>
      </c>
      <c r="D64" s="7">
        <f>IFERROR(VLOOKUP(C64,TRAOPE!$G:$H,2,0),"")</f>
        <v/>
      </c>
      <c r="E64" s="8" t="inlineStr">
        <is>
          <t>D836</t>
        </is>
      </c>
      <c r="F64" s="8" t="inlineStr">
        <is>
          <t>65210427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10000722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20190426</t>
        </is>
      </c>
      <c r="M64" s="8" t="inlineStr">
        <is>
          <t>20250127</t>
        </is>
      </c>
      <c r="N64" s="10" t="n">
        <v>93.29000000000001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900000034</v>
      </c>
      <c r="D65" s="7">
        <f>IFERROR(VLOOKUP(C65,TRAOPE!$G:$H,2,0),"")</f>
        <v/>
      </c>
      <c r="E65" s="8" t="inlineStr">
        <is>
          <t>D836</t>
        </is>
      </c>
      <c r="F65" s="8" t="inlineStr">
        <is>
          <t>65565803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10000722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20190426</t>
        </is>
      </c>
      <c r="M65" s="8" t="inlineStr">
        <is>
          <t>20250127</t>
        </is>
      </c>
      <c r="N65" s="10" t="n">
        <v>102.86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900000034</v>
      </c>
      <c r="D66" s="7">
        <f>IFERROR(VLOOKUP(C66,TRAOPE!$G:$H,2,0),"")</f>
        <v/>
      </c>
      <c r="E66" s="8" t="inlineStr">
        <is>
          <t>D836</t>
        </is>
      </c>
      <c r="F66" s="8" t="inlineStr">
        <is>
          <t>65774826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10000623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20190426</t>
        </is>
      </c>
      <c r="M66" s="8" t="inlineStr">
        <is>
          <t>20250127</t>
        </is>
      </c>
      <c r="N66" s="10" t="n">
        <v>112.88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900000034</v>
      </c>
      <c r="D67" s="7">
        <f>IFERROR(VLOOKUP(C67,TRAOPE!$G:$H,2,0),"")</f>
        <v/>
      </c>
      <c r="E67" s="8" t="inlineStr">
        <is>
          <t>D836</t>
        </is>
      </c>
      <c r="F67" s="8" t="inlineStr">
        <is>
          <t>65921764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10000623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20190426</t>
        </is>
      </c>
      <c r="M67" s="8" t="inlineStr">
        <is>
          <t>20250127</t>
        </is>
      </c>
      <c r="N67" s="10" t="n">
        <v>119.3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900000080</v>
      </c>
      <c r="D68" s="7">
        <f>IFERROR(VLOOKUP(C68,TRAOPE!$G:$H,2,0),"")</f>
        <v/>
      </c>
      <c r="E68" s="8" t="inlineStr">
        <is>
          <t>D836</t>
        </is>
      </c>
      <c r="F68" s="8" t="inlineStr">
        <is>
          <t>65061685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10003015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20190426</t>
        </is>
      </c>
      <c r="M68" s="8" t="inlineStr">
        <is>
          <t>20250127</t>
        </is>
      </c>
      <c r="N68" s="10" t="n">
        <v>71.3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900000080</v>
      </c>
      <c r="D69" s="7">
        <f>IFERROR(VLOOKUP(C69,TRAOPE!$G:$H,2,0),"")</f>
        <v/>
      </c>
      <c r="E69" s="8" t="inlineStr">
        <is>
          <t>D836</t>
        </is>
      </c>
      <c r="F69" s="8" t="inlineStr">
        <is>
          <t>65200522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10000357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20190426</t>
        </is>
      </c>
      <c r="M69" s="8" t="inlineStr">
        <is>
          <t>20250127</t>
        </is>
      </c>
      <c r="N69" s="10" t="n">
        <v>90.28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900000080</v>
      </c>
      <c r="D70" s="7">
        <f>IFERROR(VLOOKUP(C70,TRAOPE!$G:$H,2,0),"")</f>
        <v/>
      </c>
      <c r="E70" s="8" t="inlineStr">
        <is>
          <t>D836</t>
        </is>
      </c>
      <c r="F70" s="8" t="inlineStr">
        <is>
          <t>65200522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10000625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20190426</t>
        </is>
      </c>
      <c r="M70" s="8" t="inlineStr">
        <is>
          <t>20250127</t>
        </is>
      </c>
      <c r="N70" s="10" t="n">
        <v>64.94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900000080</v>
      </c>
      <c r="D71" s="7">
        <f>IFERROR(VLOOKUP(C71,TRAOPE!$G:$H,2,0),"")</f>
        <v/>
      </c>
      <c r="E71" s="8" t="inlineStr">
        <is>
          <t>D836</t>
        </is>
      </c>
      <c r="F71" s="8" t="inlineStr">
        <is>
          <t>65796882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10000357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20190426</t>
        </is>
      </c>
      <c r="M71" s="8" t="inlineStr">
        <is>
          <t>20250127</t>
        </is>
      </c>
      <c r="N71" s="10" t="n">
        <v>93.29000000000001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900000080</v>
      </c>
      <c r="D72" s="7">
        <f>IFERROR(VLOOKUP(C72,TRAOPE!$G:$H,2,0),"")</f>
        <v/>
      </c>
      <c r="E72" s="8" t="inlineStr">
        <is>
          <t>D836</t>
        </is>
      </c>
      <c r="F72" s="8" t="inlineStr">
        <is>
          <t>65796882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10000625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20190426</t>
        </is>
      </c>
      <c r="M72" s="8" t="inlineStr">
        <is>
          <t>20250127</t>
        </is>
      </c>
      <c r="N72" s="10" t="n">
        <v>62.78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900000080</v>
      </c>
      <c r="D73" s="7">
        <f>IFERROR(VLOOKUP(C73,TRAOPE!$G:$H,2,0),"")</f>
        <v/>
      </c>
      <c r="E73" s="8" t="inlineStr">
        <is>
          <t>D836</t>
        </is>
      </c>
      <c r="F73" s="8" t="inlineStr">
        <is>
          <t>65796882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10000627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20190426</t>
        </is>
      </c>
      <c r="M73" s="8" t="inlineStr">
        <is>
          <t>20250127</t>
        </is>
      </c>
      <c r="N73" s="10" t="n">
        <v>75.06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900000137</v>
      </c>
      <c r="D74" s="7">
        <f>IFERROR(VLOOKUP(C74,TRAOPE!$G:$H,2,0),"")</f>
        <v/>
      </c>
      <c r="E74" s="8" t="inlineStr">
        <is>
          <t>D836</t>
        </is>
      </c>
      <c r="F74" s="8" t="inlineStr">
        <is>
          <t>65015153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10000722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20190426</t>
        </is>
      </c>
      <c r="M74" s="8" t="inlineStr">
        <is>
          <t>20250127</t>
        </is>
      </c>
      <c r="N74" s="10" t="n">
        <v>95.08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900000137</v>
      </c>
      <c r="D75" s="7">
        <f>IFERROR(VLOOKUP(C75,TRAOPE!$G:$H,2,0),"")</f>
        <v/>
      </c>
      <c r="E75" s="8" t="inlineStr">
        <is>
          <t>D836</t>
        </is>
      </c>
      <c r="F75" s="8" t="inlineStr">
        <is>
          <t>65061685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10000624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20190426</t>
        </is>
      </c>
      <c r="M75" s="8" t="inlineStr">
        <is>
          <t>20250127</t>
        </is>
      </c>
      <c r="N75" s="10" t="n">
        <v>127.35</v>
      </c>
      <c r="O75" s="10">
        <f>IFERROR(VLOOKUP(A75,Flete!$A:$J,10,0),"")</f>
        <v/>
      </c>
      <c r="P75" s="8" t="inlineStr">
        <is>
          <t>M3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900000137</v>
      </c>
      <c r="D76" s="7">
        <f>IFERROR(VLOOKUP(C76,TRAOPE!$G:$H,2,0),"")</f>
        <v/>
      </c>
      <c r="E76" s="8" t="inlineStr">
        <is>
          <t>D836</t>
        </is>
      </c>
      <c r="F76" s="8" t="inlineStr">
        <is>
          <t>65061685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10000722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20190426</t>
        </is>
      </c>
      <c r="M76" s="8" t="inlineStr">
        <is>
          <t>20250127</t>
        </is>
      </c>
      <c r="N76" s="10" t="n">
        <v>125.58</v>
      </c>
      <c r="O76" s="10">
        <f>IFERROR(VLOOKUP(A76,Flete!$A:$J,10,0),"")</f>
        <v/>
      </c>
      <c r="P76" s="8" t="inlineStr">
        <is>
          <t>M3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900000137</v>
      </c>
      <c r="D77" s="7">
        <f>IFERROR(VLOOKUP(C77,TRAOPE!$G:$H,2,0),"")</f>
        <v/>
      </c>
      <c r="E77" s="8" t="inlineStr">
        <is>
          <t>D836</t>
        </is>
      </c>
      <c r="F77" s="8" t="inlineStr">
        <is>
          <t>65077509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10000624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20190426</t>
        </is>
      </c>
      <c r="M77" s="8" t="inlineStr">
        <is>
          <t>20250127</t>
        </is>
      </c>
      <c r="N77" s="10" t="n">
        <v>99.03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900000137</v>
      </c>
      <c r="D78" s="7">
        <f>IFERROR(VLOOKUP(C78,TRAOPE!$G:$H,2,0),"")</f>
        <v/>
      </c>
      <c r="E78" s="8" t="inlineStr">
        <is>
          <t>D836</t>
        </is>
      </c>
      <c r="F78" s="8" t="inlineStr">
        <is>
          <t>65077509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10000722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20190426</t>
        </is>
      </c>
      <c r="M78" s="8" t="inlineStr">
        <is>
          <t>20250127</t>
        </is>
      </c>
      <c r="N78" s="10" t="n">
        <v>107.28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900000137</v>
      </c>
      <c r="D79" s="7">
        <f>IFERROR(VLOOKUP(C79,TRAOPE!$G:$H,2,0),"")</f>
        <v/>
      </c>
      <c r="E79" s="8" t="inlineStr">
        <is>
          <t>D836</t>
        </is>
      </c>
      <c r="F79" s="8" t="inlineStr">
        <is>
          <t>65077518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10000624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20190426</t>
        </is>
      </c>
      <c r="M79" s="8" t="inlineStr">
        <is>
          <t>20250127</t>
        </is>
      </c>
      <c r="N79" s="10" t="n">
        <v>99.03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900000137</v>
      </c>
      <c r="D80" s="7">
        <f>IFERROR(VLOOKUP(C80,TRAOPE!$G:$H,2,0),"")</f>
        <v/>
      </c>
      <c r="E80" s="8" t="inlineStr">
        <is>
          <t>D836</t>
        </is>
      </c>
      <c r="F80" s="8" t="inlineStr">
        <is>
          <t>65077518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10000722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20190426</t>
        </is>
      </c>
      <c r="M80" s="8" t="inlineStr">
        <is>
          <t>20250127</t>
        </is>
      </c>
      <c r="N80" s="10" t="n">
        <v>107.28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900000137</v>
      </c>
      <c r="D81" s="7">
        <f>IFERROR(VLOOKUP(C81,TRAOPE!$G:$H,2,0),"")</f>
        <v/>
      </c>
      <c r="E81" s="8" t="inlineStr">
        <is>
          <t>D836</t>
        </is>
      </c>
      <c r="F81" s="8" t="inlineStr">
        <is>
          <t>65077582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10000624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20190426</t>
        </is>
      </c>
      <c r="M81" s="8" t="inlineStr">
        <is>
          <t>20250127</t>
        </is>
      </c>
      <c r="N81" s="10" t="n">
        <v>99.03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900000137</v>
      </c>
      <c r="D82" s="7">
        <f>IFERROR(VLOOKUP(C82,TRAOPE!$G:$H,2,0),"")</f>
        <v/>
      </c>
      <c r="E82" s="8" t="inlineStr">
        <is>
          <t>D836</t>
        </is>
      </c>
      <c r="F82" s="8" t="inlineStr">
        <is>
          <t>65077582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10000722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20190426</t>
        </is>
      </c>
      <c r="M82" s="8" t="inlineStr">
        <is>
          <t>20250127</t>
        </is>
      </c>
      <c r="N82" s="10" t="n">
        <v>107.28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900000137</v>
      </c>
      <c r="D83" s="7">
        <f>IFERROR(VLOOKUP(C83,TRAOPE!$G:$H,2,0),"")</f>
        <v/>
      </c>
      <c r="E83" s="8" t="inlineStr">
        <is>
          <t>D836</t>
        </is>
      </c>
      <c r="F83" s="8" t="inlineStr">
        <is>
          <t>65081426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10000630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20190426</t>
        </is>
      </c>
      <c r="M83" s="8" t="inlineStr">
        <is>
          <t>20250127</t>
        </is>
      </c>
      <c r="N83" s="10" t="n">
        <v>101.66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900000137</v>
      </c>
      <c r="D84" s="7">
        <f>IFERROR(VLOOKUP(C84,TRAOPE!$G:$H,2,0),"")</f>
        <v/>
      </c>
      <c r="E84" s="8" t="inlineStr">
        <is>
          <t>D836</t>
        </is>
      </c>
      <c r="F84" s="8" t="inlineStr">
        <is>
          <t>65084091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10000630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20190426</t>
        </is>
      </c>
      <c r="M84" s="8" t="inlineStr">
        <is>
          <t>20250127</t>
        </is>
      </c>
      <c r="N84" s="10" t="n">
        <v>104.05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900000137</v>
      </c>
      <c r="D85" s="7">
        <f>IFERROR(VLOOKUP(C85,TRAOPE!$G:$H,2,0),"")</f>
        <v/>
      </c>
      <c r="E85" s="8" t="inlineStr">
        <is>
          <t>D836</t>
        </is>
      </c>
      <c r="F85" s="8" t="inlineStr">
        <is>
          <t>65084190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10000811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20190426</t>
        </is>
      </c>
      <c r="M85" s="8" t="inlineStr">
        <is>
          <t>20250127</t>
        </is>
      </c>
      <c r="N85" s="10" t="n">
        <v>107.64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900000137</v>
      </c>
      <c r="D86" s="7">
        <f>IFERROR(VLOOKUP(C86,TRAOPE!$G:$H,2,0),"")</f>
        <v/>
      </c>
      <c r="E86" s="8" t="inlineStr">
        <is>
          <t>D836</t>
        </is>
      </c>
      <c r="F86" s="8" t="inlineStr">
        <is>
          <t>65087219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10000630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20190426</t>
        </is>
      </c>
      <c r="M86" s="8" t="inlineStr">
        <is>
          <t>20250127</t>
        </is>
      </c>
      <c r="N86" s="10" t="n">
        <v>101.66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900000137</v>
      </c>
      <c r="D87" s="7">
        <f>IFERROR(VLOOKUP(C87,TRAOPE!$G:$H,2,0),"")</f>
        <v/>
      </c>
      <c r="E87" s="8" t="inlineStr">
        <is>
          <t>D836</t>
        </is>
      </c>
      <c r="F87" s="8" t="inlineStr">
        <is>
          <t>65134617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10000630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20190426</t>
        </is>
      </c>
      <c r="M87" s="8" t="inlineStr">
        <is>
          <t>20250127</t>
        </is>
      </c>
      <c r="N87" s="10" t="n">
        <v>101.66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900000137</v>
      </c>
      <c r="D88" s="7">
        <f>IFERROR(VLOOKUP(C88,TRAOPE!$G:$H,2,0),"")</f>
        <v/>
      </c>
      <c r="E88" s="8" t="inlineStr">
        <is>
          <t>D836</t>
        </is>
      </c>
      <c r="F88" s="8" t="inlineStr">
        <is>
          <t>65210427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10000624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20190426</t>
        </is>
      </c>
      <c r="M88" s="8" t="inlineStr">
        <is>
          <t>20250127</t>
        </is>
      </c>
      <c r="N88" s="10" t="n">
        <v>86.11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900000137</v>
      </c>
      <c r="D89" s="7">
        <f>IFERROR(VLOOKUP(C89,TRAOPE!$G:$H,2,0),"")</f>
        <v/>
      </c>
      <c r="E89" s="8" t="inlineStr">
        <is>
          <t>D836</t>
        </is>
      </c>
      <c r="F89" s="8" t="inlineStr">
        <is>
          <t>65210427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10000722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20190426</t>
        </is>
      </c>
      <c r="M89" s="8" t="inlineStr">
        <is>
          <t>20250127</t>
        </is>
      </c>
      <c r="N89" s="10" t="n">
        <v>93.29000000000001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900000137</v>
      </c>
      <c r="D90" s="7">
        <f>IFERROR(VLOOKUP(C90,TRAOPE!$G:$H,2,0),"")</f>
        <v/>
      </c>
      <c r="E90" s="8" t="inlineStr">
        <is>
          <t>D836</t>
        </is>
      </c>
      <c r="F90" s="8" t="inlineStr">
        <is>
          <t>65221521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10000811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20190426</t>
        </is>
      </c>
      <c r="M90" s="8" t="inlineStr">
        <is>
          <t>20250127</t>
        </is>
      </c>
      <c r="N90" s="10" t="n">
        <v>87.2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900000137</v>
      </c>
      <c r="D91" s="7">
        <f>IFERROR(VLOOKUP(C91,TRAOPE!$G:$H,2,0),"")</f>
        <v/>
      </c>
      <c r="E91" s="8" t="inlineStr">
        <is>
          <t>D836</t>
        </is>
      </c>
      <c r="F91" s="8" t="inlineStr">
        <is>
          <t>65246763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10000624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20190426</t>
        </is>
      </c>
      <c r="M91" s="8" t="inlineStr">
        <is>
          <t>20250127</t>
        </is>
      </c>
      <c r="N91" s="10" t="n">
        <v>129.17</v>
      </c>
      <c r="O91" s="10">
        <f>IFERROR(VLOOKUP(A91,Flete!$A:$J,10,0),"")</f>
        <v/>
      </c>
      <c r="P91" s="8" t="inlineStr">
        <is>
          <t>M3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900000137</v>
      </c>
      <c r="D92" s="7">
        <f>IFERROR(VLOOKUP(C92,TRAOPE!$G:$H,2,0),"")</f>
        <v/>
      </c>
      <c r="E92" s="8" t="inlineStr">
        <is>
          <t>D836</t>
        </is>
      </c>
      <c r="F92" s="8" t="inlineStr">
        <is>
          <t>65246763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10000722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20190426</t>
        </is>
      </c>
      <c r="M92" s="8" t="inlineStr">
        <is>
          <t>20250127</t>
        </is>
      </c>
      <c r="N92" s="10" t="n">
        <v>129.17</v>
      </c>
      <c r="O92" s="10">
        <f>IFERROR(VLOOKUP(A92,Flete!$A:$J,10,0),"")</f>
        <v/>
      </c>
      <c r="P92" s="8" t="inlineStr">
        <is>
          <t>M3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900000137</v>
      </c>
      <c r="D93" s="7">
        <f>IFERROR(VLOOKUP(C93,TRAOPE!$G:$H,2,0),"")</f>
        <v/>
      </c>
      <c r="E93" s="8" t="inlineStr">
        <is>
          <t>D836</t>
        </is>
      </c>
      <c r="F93" s="8" t="inlineStr">
        <is>
          <t>65251399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10000624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20190426</t>
        </is>
      </c>
      <c r="M93" s="8" t="inlineStr">
        <is>
          <t>20250127</t>
        </is>
      </c>
      <c r="N93" s="10" t="n">
        <v>127.37</v>
      </c>
      <c r="O93" s="10">
        <f>IFERROR(VLOOKUP(A93,Flete!$A:$J,10,0),"")</f>
        <v/>
      </c>
      <c r="P93" s="8" t="inlineStr">
        <is>
          <t>M3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900000137</v>
      </c>
      <c r="D94" s="7">
        <f>IFERROR(VLOOKUP(C94,TRAOPE!$G:$H,2,0),"")</f>
        <v/>
      </c>
      <c r="E94" s="8" t="inlineStr">
        <is>
          <t>D836</t>
        </is>
      </c>
      <c r="F94" s="8" t="inlineStr">
        <is>
          <t>65251399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10000722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20190426</t>
        </is>
      </c>
      <c r="M94" s="8" t="inlineStr">
        <is>
          <t>20250127</t>
        </is>
      </c>
      <c r="N94" s="10" t="n">
        <v>95.68000000000001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900000137</v>
      </c>
      <c r="D95" s="7">
        <f>IFERROR(VLOOKUP(C95,TRAOPE!$G:$H,2,0),"")</f>
        <v/>
      </c>
      <c r="E95" s="8" t="inlineStr">
        <is>
          <t>D836</t>
        </is>
      </c>
      <c r="F95" s="8" t="inlineStr">
        <is>
          <t>65296485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10000722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20190426</t>
        </is>
      </c>
      <c r="M95" s="8" t="inlineStr">
        <is>
          <t>20250127</t>
        </is>
      </c>
      <c r="N95" s="10" t="n">
        <v>95.68000000000001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900000137</v>
      </c>
      <c r="D96" s="7">
        <f>IFERROR(VLOOKUP(C96,TRAOPE!$G:$H,2,0),"")</f>
        <v/>
      </c>
      <c r="E96" s="8" t="inlineStr">
        <is>
          <t>D836</t>
        </is>
      </c>
      <c r="F96" s="8" t="inlineStr">
        <is>
          <t>65370785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10000722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20190426</t>
        </is>
      </c>
      <c r="M96" s="8" t="inlineStr">
        <is>
          <t>20250127</t>
        </is>
      </c>
      <c r="N96" s="10" t="n">
        <v>129.17</v>
      </c>
      <c r="O96" s="10">
        <f>IFERROR(VLOOKUP(A96,Flete!$A:$J,10,0),"")</f>
        <v/>
      </c>
      <c r="P96" s="8" t="inlineStr">
        <is>
          <t>M3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900000137</v>
      </c>
      <c r="D97" s="7">
        <f>IFERROR(VLOOKUP(C97,TRAOPE!$G:$H,2,0),"")</f>
        <v/>
      </c>
      <c r="E97" s="8" t="inlineStr">
        <is>
          <t>D836</t>
        </is>
      </c>
      <c r="F97" s="8" t="inlineStr">
        <is>
          <t>65442270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10000624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20190426</t>
        </is>
      </c>
      <c r="M97" s="8" t="inlineStr">
        <is>
          <t>20250127</t>
        </is>
      </c>
      <c r="N97" s="10" t="n">
        <v>129.17</v>
      </c>
      <c r="O97" s="10">
        <f>IFERROR(VLOOKUP(A97,Flete!$A:$J,10,0),"")</f>
        <v/>
      </c>
      <c r="P97" s="8" t="inlineStr">
        <is>
          <t>M3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900000137</v>
      </c>
      <c r="D98" s="7">
        <f>IFERROR(VLOOKUP(C98,TRAOPE!$G:$H,2,0),"")</f>
        <v/>
      </c>
      <c r="E98" s="8" t="inlineStr">
        <is>
          <t>D836</t>
        </is>
      </c>
      <c r="F98" s="8" t="inlineStr">
        <is>
          <t>65442270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10000722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20190426</t>
        </is>
      </c>
      <c r="M98" s="8" t="inlineStr">
        <is>
          <t>20250127</t>
        </is>
      </c>
      <c r="N98" s="10" t="n">
        <v>129.17</v>
      </c>
      <c r="O98" s="10">
        <f>IFERROR(VLOOKUP(A98,Flete!$A:$J,10,0),"")</f>
        <v/>
      </c>
      <c r="P98" s="8" t="inlineStr">
        <is>
          <t>M3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900000137</v>
      </c>
      <c r="D99" s="7">
        <f>IFERROR(VLOOKUP(C99,TRAOPE!$G:$H,2,0),"")</f>
        <v/>
      </c>
      <c r="E99" s="8" t="inlineStr">
        <is>
          <t>D836</t>
        </is>
      </c>
      <c r="F99" s="8" t="inlineStr">
        <is>
          <t>65570346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10000624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20190426</t>
        </is>
      </c>
      <c r="M99" s="8" t="inlineStr">
        <is>
          <t>20250127</t>
        </is>
      </c>
      <c r="N99" s="10" t="n">
        <v>127.35</v>
      </c>
      <c r="O99" s="10">
        <f>IFERROR(VLOOKUP(A99,Flete!$A:$J,10,0),"")</f>
        <v/>
      </c>
      <c r="P99" s="8" t="inlineStr">
        <is>
          <t>M3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900000137</v>
      </c>
      <c r="D100" s="7">
        <f>IFERROR(VLOOKUP(C100,TRAOPE!$G:$H,2,0),"")</f>
        <v/>
      </c>
      <c r="E100" s="8" t="inlineStr">
        <is>
          <t>D836</t>
        </is>
      </c>
      <c r="F100" s="8" t="inlineStr">
        <is>
          <t>65570346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10000722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20190426</t>
        </is>
      </c>
      <c r="M100" s="8" t="inlineStr">
        <is>
          <t>20250127</t>
        </is>
      </c>
      <c r="N100" s="10" t="n">
        <v>125.58</v>
      </c>
      <c r="O100" s="10">
        <f>IFERROR(VLOOKUP(A100,Flete!$A:$J,10,0),"")</f>
        <v/>
      </c>
      <c r="P100" s="8" t="inlineStr">
        <is>
          <t>M3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900000154</v>
      </c>
      <c r="D101" s="7">
        <f>IFERROR(VLOOKUP(C101,TRAOPE!$G:$H,2,0),"")</f>
        <v/>
      </c>
      <c r="E101" s="8" t="inlineStr">
        <is>
          <t>D836</t>
        </is>
      </c>
      <c r="F101" s="8" t="inlineStr">
        <is>
          <t>65002173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10000160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20190426</t>
        </is>
      </c>
      <c r="M101" s="8" t="inlineStr">
        <is>
          <t>20250127</t>
        </is>
      </c>
      <c r="N101" s="10" t="n">
        <v>50.95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900000154</v>
      </c>
      <c r="D102" s="7">
        <f>IFERROR(VLOOKUP(C102,TRAOPE!$G:$H,2,0),"")</f>
        <v/>
      </c>
      <c r="E102" s="8" t="inlineStr">
        <is>
          <t>D836</t>
        </is>
      </c>
      <c r="F102" s="8" t="inlineStr">
        <is>
          <t>65002173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10000357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20190426</t>
        </is>
      </c>
      <c r="M102" s="8" t="inlineStr">
        <is>
          <t>20250127</t>
        </is>
      </c>
      <c r="N102" s="10" t="n">
        <v>54.57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900000295</v>
      </c>
      <c r="D103" s="7">
        <f>IFERROR(VLOOKUP(C103,TRAOPE!$G:$H,2,0),"")</f>
        <v/>
      </c>
      <c r="E103" s="8" t="inlineStr">
        <is>
          <t>D836</t>
        </is>
      </c>
      <c r="F103" s="8" t="inlineStr">
        <is>
          <t>65006122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10000357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20190426</t>
        </is>
      </c>
      <c r="M103" s="8" t="inlineStr">
        <is>
          <t>20250127</t>
        </is>
      </c>
      <c r="N103" s="10" t="n">
        <v>86.11</v>
      </c>
      <c r="O103" s="10">
        <f>IFERROR(VLOOKUP(A103,Flete!$A:$J,10,0),"")</f>
        <v/>
      </c>
      <c r="P103" s="8" t="inlineStr">
        <is>
          <t>M3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900000295</v>
      </c>
      <c r="D104" s="7">
        <f>IFERROR(VLOOKUP(C104,TRAOPE!$G:$H,2,0),"")</f>
        <v/>
      </c>
      <c r="E104" s="8" t="inlineStr">
        <is>
          <t>D836</t>
        </is>
      </c>
      <c r="F104" s="8" t="inlineStr">
        <is>
          <t>65011573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10000252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20190426</t>
        </is>
      </c>
      <c r="M104" s="8" t="inlineStr">
        <is>
          <t>20250127</t>
        </is>
      </c>
      <c r="N104" s="10" t="n">
        <v>71.37</v>
      </c>
      <c r="O104" s="10">
        <f>IFERROR(VLOOKUP(A104,Flete!$A:$J,10,0),"")</f>
        <v/>
      </c>
      <c r="P104" s="8" t="inlineStr">
        <is>
          <t>TN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900000295</v>
      </c>
      <c r="D105" s="7">
        <f>IFERROR(VLOOKUP(C105,TRAOPE!$G:$H,2,0),"")</f>
        <v/>
      </c>
      <c r="E105" s="8" t="inlineStr">
        <is>
          <t>D836</t>
        </is>
      </c>
      <c r="F105" s="8" t="inlineStr">
        <is>
          <t>65916616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10000160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20190426</t>
        </is>
      </c>
      <c r="M105" s="8" t="inlineStr">
        <is>
          <t>20250127</t>
        </is>
      </c>
      <c r="N105" s="10" t="n">
        <v>79.23999999999999</v>
      </c>
      <c r="O105" s="10">
        <f>IFERROR(VLOOKUP(A105,Flete!$A:$J,10,0),"")</f>
        <v/>
      </c>
      <c r="P105" s="8" t="inlineStr">
        <is>
          <t>M3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900001001</v>
      </c>
      <c r="D106" s="7">
        <f>IFERROR(VLOOKUP(C106,TRAOPE!$G:$H,2,0),"")</f>
        <v/>
      </c>
      <c r="E106" s="8" t="inlineStr">
        <is>
          <t>D836</t>
        </is>
      </c>
      <c r="F106" s="8" t="inlineStr">
        <is>
          <t>65003945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10000160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20190426</t>
        </is>
      </c>
      <c r="M106" s="8" t="inlineStr">
        <is>
          <t>20250127</t>
        </is>
      </c>
      <c r="N106" s="10" t="n">
        <v>45.32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900001001</v>
      </c>
      <c r="D107" s="7">
        <f>IFERROR(VLOOKUP(C107,TRAOPE!$G:$H,2,0),"")</f>
        <v/>
      </c>
      <c r="E107" s="8" t="inlineStr">
        <is>
          <t>D836</t>
        </is>
      </c>
      <c r="F107" s="8" t="inlineStr">
        <is>
          <t>65003945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10000253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20190426</t>
        </is>
      </c>
      <c r="M107" s="8" t="inlineStr">
        <is>
          <t>20250127</t>
        </is>
      </c>
      <c r="N107" s="10" t="n">
        <v>44.46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900001069</v>
      </c>
      <c r="D108" s="7">
        <f>IFERROR(VLOOKUP(C108,TRAOPE!$G:$H,2,0),"")</f>
        <v/>
      </c>
      <c r="E108" s="8" t="inlineStr">
        <is>
          <t>D836</t>
        </is>
      </c>
      <c r="F108" s="8" t="inlineStr">
        <is>
          <t>66203478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10000229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20190426</t>
        </is>
      </c>
      <c r="M108" s="8" t="inlineStr">
        <is>
          <t>20250127</t>
        </is>
      </c>
      <c r="N108" s="10" t="n">
        <v>392</v>
      </c>
      <c r="O108" s="10">
        <f>IFERROR(VLOOKUP(A108,Flete!$A:$J,10,0),"")</f>
        <v/>
      </c>
      <c r="P108" s="8" t="inlineStr">
        <is>
          <t>M3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900001069</v>
      </c>
      <c r="D109" s="7">
        <f>IFERROR(VLOOKUP(C109,TRAOPE!$G:$H,2,0),"")</f>
        <v/>
      </c>
      <c r="E109" s="8" t="inlineStr">
        <is>
          <t>D836</t>
        </is>
      </c>
      <c r="F109" s="8" t="inlineStr">
        <is>
          <t>66397958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10000229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20190426</t>
        </is>
      </c>
      <c r="M109" s="8" t="inlineStr">
        <is>
          <t>20250127</t>
        </is>
      </c>
      <c r="N109" s="10" t="n">
        <v>610.37</v>
      </c>
      <c r="O109" s="10">
        <f>IFERROR(VLOOKUP(A109,Flete!$A:$J,10,0),"")</f>
        <v/>
      </c>
      <c r="P109" s="8" t="inlineStr">
        <is>
          <t>M3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900001069</v>
      </c>
      <c r="D110" s="7">
        <f>IFERROR(VLOOKUP(C110,TRAOPE!$G:$H,2,0),"")</f>
        <v/>
      </c>
      <c r="E110" s="8" t="inlineStr">
        <is>
          <t>D836</t>
        </is>
      </c>
      <c r="F110" s="8" t="inlineStr">
        <is>
          <t>66865536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10159061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20190426</t>
        </is>
      </c>
      <c r="M110" s="8" t="inlineStr">
        <is>
          <t>20250127</t>
        </is>
      </c>
      <c r="N110" s="10" t="n">
        <v>325</v>
      </c>
      <c r="O110" s="10">
        <f>IFERROR(VLOOKUP(A110,Flete!$A:$J,10,0),"")</f>
        <v/>
      </c>
      <c r="P110" s="8" t="inlineStr">
        <is>
          <t>M3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900001069</v>
      </c>
      <c r="D111" s="7">
        <f>IFERROR(VLOOKUP(C111,TRAOPE!$G:$H,2,0),"")</f>
        <v/>
      </c>
      <c r="E111" s="8" t="inlineStr">
        <is>
          <t>D836</t>
        </is>
      </c>
      <c r="F111" s="8" t="inlineStr">
        <is>
          <t>66865536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10183535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20190426</t>
        </is>
      </c>
      <c r="M111" s="8" t="inlineStr">
        <is>
          <t>20250127</t>
        </is>
      </c>
      <c r="N111" s="10" t="n">
        <v>225</v>
      </c>
      <c r="O111" s="10">
        <f>IFERROR(VLOOKUP(A111,Flete!$A:$J,10,0),"")</f>
        <v/>
      </c>
      <c r="P111" s="8" t="inlineStr">
        <is>
          <t>M3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900001074</v>
      </c>
      <c r="D112" s="7">
        <f>IFERROR(VLOOKUP(C112,TRAOPE!$G:$H,2,0),"")</f>
        <v/>
      </c>
      <c r="E112" s="8" t="inlineStr">
        <is>
          <t>D836</t>
        </is>
      </c>
      <c r="F112" s="8" t="inlineStr">
        <is>
          <t>65002459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10000160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20190426</t>
        </is>
      </c>
      <c r="M112" s="8" t="inlineStr">
        <is>
          <t>20250127</t>
        </is>
      </c>
      <c r="N112" s="10" t="n">
        <v>87</v>
      </c>
      <c r="O112" s="10">
        <f>IFERROR(VLOOKUP(A112,Flete!$A:$J,10,0),"")</f>
        <v/>
      </c>
      <c r="P112" s="8" t="inlineStr">
        <is>
          <t>M3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900001074</v>
      </c>
      <c r="D113" s="7">
        <f>IFERROR(VLOOKUP(C113,TRAOPE!$G:$H,2,0),"")</f>
        <v/>
      </c>
      <c r="E113" s="8" t="inlineStr">
        <is>
          <t>D836</t>
        </is>
      </c>
      <c r="F113" s="8" t="inlineStr">
        <is>
          <t>65002459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10000357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20190426</t>
        </is>
      </c>
      <c r="M113" s="8" t="inlineStr">
        <is>
          <t>20250127</t>
        </is>
      </c>
      <c r="N113" s="10" t="n">
        <v>95</v>
      </c>
      <c r="O113" s="10">
        <f>IFERROR(VLOOKUP(A113,Flete!$A:$J,10,0),"")</f>
        <v/>
      </c>
      <c r="P113" s="8" t="inlineStr">
        <is>
          <t>M3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900001074</v>
      </c>
      <c r="D114" s="7">
        <f>IFERROR(VLOOKUP(C114,TRAOPE!$G:$H,2,0),"")</f>
        <v/>
      </c>
      <c r="E114" s="8" t="inlineStr">
        <is>
          <t>D836</t>
        </is>
      </c>
      <c r="F114" s="8" t="inlineStr">
        <is>
          <t>65002622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10000160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20190426</t>
        </is>
      </c>
      <c r="M114" s="8" t="inlineStr">
        <is>
          <t>20250127</t>
        </is>
      </c>
      <c r="N114" s="10" t="n">
        <v>89.7</v>
      </c>
      <c r="O114" s="10">
        <f>IFERROR(VLOOKUP(A114,Flete!$A:$J,10,0),"")</f>
        <v/>
      </c>
      <c r="P114" s="8" t="inlineStr">
        <is>
          <t>M3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900001074</v>
      </c>
      <c r="D115" s="7">
        <f>IFERROR(VLOOKUP(C115,TRAOPE!$G:$H,2,0),"")</f>
        <v/>
      </c>
      <c r="E115" s="8" t="inlineStr">
        <is>
          <t>D836</t>
        </is>
      </c>
      <c r="F115" s="8" t="inlineStr">
        <is>
          <t>65003945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10000627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20190426</t>
        </is>
      </c>
      <c r="M115" s="8" t="inlineStr">
        <is>
          <t>20250127</t>
        </is>
      </c>
      <c r="N115" s="10" t="n">
        <v>92</v>
      </c>
      <c r="O115" s="10">
        <f>IFERROR(VLOOKUP(A115,Flete!$A:$J,10,0),"")</f>
        <v/>
      </c>
      <c r="P115" s="8" t="inlineStr">
        <is>
          <t>M3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900001074</v>
      </c>
      <c r="D116" s="7">
        <f>IFERROR(VLOOKUP(C116,TRAOPE!$G:$H,2,0),"")</f>
        <v/>
      </c>
      <c r="E116" s="8" t="inlineStr">
        <is>
          <t>D836</t>
        </is>
      </c>
      <c r="F116" s="8" t="inlineStr">
        <is>
          <t>65005713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10000160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20190426</t>
        </is>
      </c>
      <c r="M116" s="8" t="inlineStr">
        <is>
          <t>20250127</t>
        </is>
      </c>
      <c r="N116" s="10" t="n">
        <v>84.11</v>
      </c>
      <c r="O116" s="10">
        <f>IFERROR(VLOOKUP(A116,Flete!$A:$J,10,0),"")</f>
        <v/>
      </c>
      <c r="P116" s="8" t="inlineStr">
        <is>
          <t>M3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900001074</v>
      </c>
      <c r="D117" s="7">
        <f>IFERROR(VLOOKUP(C117,TRAOPE!$G:$H,2,0),"")</f>
        <v/>
      </c>
      <c r="E117" s="8" t="inlineStr">
        <is>
          <t>D836</t>
        </is>
      </c>
      <c r="F117" s="8" t="inlineStr">
        <is>
          <t>65005713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10000357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20190426</t>
        </is>
      </c>
      <c r="M117" s="8" t="inlineStr">
        <is>
          <t>20250127</t>
        </is>
      </c>
      <c r="N117" s="10" t="n">
        <v>89.7</v>
      </c>
      <c r="O117" s="10">
        <f>IFERROR(VLOOKUP(A117,Flete!$A:$J,10,0),"")</f>
        <v/>
      </c>
      <c r="P117" s="8" t="inlineStr">
        <is>
          <t>M3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900001074</v>
      </c>
      <c r="D118" s="7">
        <f>IFERROR(VLOOKUP(C118,TRAOPE!$G:$H,2,0),"")</f>
        <v/>
      </c>
      <c r="E118" s="8" t="inlineStr">
        <is>
          <t>D836</t>
        </is>
      </c>
      <c r="F118" s="8" t="inlineStr">
        <is>
          <t>65006122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10043251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20190426</t>
        </is>
      </c>
      <c r="M118" s="8" t="inlineStr">
        <is>
          <t>20250127</t>
        </is>
      </c>
      <c r="N118" s="10" t="n">
        <v>110</v>
      </c>
      <c r="O118" s="10">
        <f>IFERROR(VLOOKUP(A118,Flete!$A:$J,10,0),"")</f>
        <v/>
      </c>
      <c r="P118" s="8" t="inlineStr">
        <is>
          <t>M3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900001074</v>
      </c>
      <c r="D119" s="7">
        <f>IFERROR(VLOOKUP(C119,TRAOPE!$G:$H,2,0),"")</f>
        <v/>
      </c>
      <c r="E119" s="8" t="inlineStr">
        <is>
          <t>D836</t>
        </is>
      </c>
      <c r="F119" s="8" t="inlineStr">
        <is>
          <t>65006122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10215074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20190426</t>
        </is>
      </c>
      <c r="M119" s="8" t="inlineStr">
        <is>
          <t>20250127</t>
        </is>
      </c>
      <c r="N119" s="10" t="n">
        <v>140</v>
      </c>
      <c r="O119" s="10">
        <f>IFERROR(VLOOKUP(A119,Flete!$A:$J,10,0),"")</f>
        <v/>
      </c>
      <c r="P119" s="8" t="inlineStr">
        <is>
          <t>M3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900001074</v>
      </c>
      <c r="D120" s="7">
        <f>IFERROR(VLOOKUP(C120,TRAOPE!$G:$H,2,0),"")</f>
        <v/>
      </c>
      <c r="E120" s="8" t="inlineStr">
        <is>
          <t>D836</t>
        </is>
      </c>
      <c r="F120" s="8" t="inlineStr">
        <is>
          <t>65014784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10000160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20190426</t>
        </is>
      </c>
      <c r="M120" s="8" t="inlineStr">
        <is>
          <t>20250127</t>
        </is>
      </c>
      <c r="N120" s="10" t="n">
        <v>66.56</v>
      </c>
      <c r="O120" s="10">
        <f>IFERROR(VLOOKUP(A120,Flete!$A:$J,10,0),"")</f>
        <v/>
      </c>
      <c r="P120" s="8" t="inlineStr">
        <is>
          <t>TN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900001074</v>
      </c>
      <c r="D121" s="7">
        <f>IFERROR(VLOOKUP(C121,TRAOPE!$G:$H,2,0),"")</f>
        <v/>
      </c>
      <c r="E121" s="8" t="inlineStr">
        <is>
          <t>D836</t>
        </is>
      </c>
      <c r="F121" s="8" t="inlineStr">
        <is>
          <t>65030275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10000160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20190426</t>
        </is>
      </c>
      <c r="M121" s="8" t="inlineStr">
        <is>
          <t>20250127</t>
        </is>
      </c>
      <c r="N121" s="10" t="n">
        <v>83</v>
      </c>
      <c r="O121" s="10">
        <f>IFERROR(VLOOKUP(A121,Flete!$A:$J,10,0),"")</f>
        <v/>
      </c>
      <c r="P121" s="8" t="inlineStr">
        <is>
          <t>M3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900001074</v>
      </c>
      <c r="D122" s="7">
        <f>IFERROR(VLOOKUP(C122,TRAOPE!$G:$H,2,0),"")</f>
        <v/>
      </c>
      <c r="E122" s="8" t="inlineStr">
        <is>
          <t>D836</t>
        </is>
      </c>
      <c r="F122" s="8" t="inlineStr">
        <is>
          <t>65061685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10000160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20190426</t>
        </is>
      </c>
      <c r="M122" s="8" t="inlineStr">
        <is>
          <t>20250127</t>
        </is>
      </c>
      <c r="N122" s="10" t="n">
        <v>88</v>
      </c>
      <c r="O122" s="10">
        <f>IFERROR(VLOOKUP(A122,Flete!$A:$J,10,0),"")</f>
        <v/>
      </c>
      <c r="P122" s="8" t="inlineStr">
        <is>
          <t>M3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900001074</v>
      </c>
      <c r="D123" s="7">
        <f>IFERROR(VLOOKUP(C123,TRAOPE!$G:$H,2,0),"")</f>
        <v/>
      </c>
      <c r="E123" s="8" t="inlineStr">
        <is>
          <t>D836</t>
        </is>
      </c>
      <c r="F123" s="8" t="inlineStr">
        <is>
          <t>65061685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10000357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20190426</t>
        </is>
      </c>
      <c r="M123" s="8" t="inlineStr">
        <is>
          <t>20250127</t>
        </is>
      </c>
      <c r="N123" s="10" t="n">
        <v>100</v>
      </c>
      <c r="O123" s="10">
        <f>IFERROR(VLOOKUP(A123,Flete!$A:$J,10,0),"")</f>
        <v/>
      </c>
      <c r="P123" s="8" t="inlineStr">
        <is>
          <t>M3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900001074</v>
      </c>
      <c r="D124" s="7">
        <f>IFERROR(VLOOKUP(C124,TRAOPE!$G:$H,2,0),"")</f>
        <v/>
      </c>
      <c r="E124" s="8" t="inlineStr">
        <is>
          <t>D836</t>
        </is>
      </c>
      <c r="F124" s="8" t="inlineStr">
        <is>
          <t>65061687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10000160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20190426</t>
        </is>
      </c>
      <c r="M124" s="8" t="inlineStr">
        <is>
          <t>20250127</t>
        </is>
      </c>
      <c r="N124" s="10" t="n">
        <v>99.98</v>
      </c>
      <c r="O124" s="10">
        <f>IFERROR(VLOOKUP(A124,Flete!$A:$J,10,0),"")</f>
        <v/>
      </c>
      <c r="P124" s="8" t="inlineStr">
        <is>
          <t>M3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900001074</v>
      </c>
      <c r="D125" s="7">
        <f>IFERROR(VLOOKUP(C125,TRAOPE!$G:$H,2,0),"")</f>
        <v/>
      </c>
      <c r="E125" s="8" t="inlineStr">
        <is>
          <t>D836</t>
        </is>
      </c>
      <c r="F125" s="8" t="inlineStr">
        <is>
          <t>65061687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10000357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20190426</t>
        </is>
      </c>
      <c r="M125" s="8" t="inlineStr">
        <is>
          <t>20250127</t>
        </is>
      </c>
      <c r="N125" s="10" t="n">
        <v>121</v>
      </c>
      <c r="O125" s="10">
        <f>IFERROR(VLOOKUP(A125,Flete!$A:$J,10,0),"")</f>
        <v/>
      </c>
      <c r="P125" s="8" t="inlineStr">
        <is>
          <t>M3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900001074</v>
      </c>
      <c r="D126" s="7">
        <f>IFERROR(VLOOKUP(C126,TRAOPE!$G:$H,2,0),"")</f>
        <v/>
      </c>
      <c r="E126" s="8" t="inlineStr">
        <is>
          <t>D836</t>
        </is>
      </c>
      <c r="F126" s="8" t="inlineStr">
        <is>
          <t>65127339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10000160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20190426</t>
        </is>
      </c>
      <c r="M126" s="8" t="inlineStr">
        <is>
          <t>20250127</t>
        </is>
      </c>
      <c r="N126" s="10" t="n">
        <v>83</v>
      </c>
      <c r="O126" s="10">
        <f>IFERROR(VLOOKUP(A126,Flete!$A:$J,10,0),"")</f>
        <v/>
      </c>
      <c r="P126" s="8" t="inlineStr">
        <is>
          <t>M3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900001074</v>
      </c>
      <c r="D127" s="7">
        <f>IFERROR(VLOOKUP(C127,TRAOPE!$G:$H,2,0),"")</f>
        <v/>
      </c>
      <c r="E127" s="8" t="inlineStr">
        <is>
          <t>D836</t>
        </is>
      </c>
      <c r="F127" s="8" t="inlineStr">
        <is>
          <t>65127339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10000357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20190426</t>
        </is>
      </c>
      <c r="M127" s="8" t="inlineStr">
        <is>
          <t>20250127</t>
        </is>
      </c>
      <c r="N127" s="10" t="n">
        <v>95</v>
      </c>
      <c r="O127" s="10">
        <f>IFERROR(VLOOKUP(A127,Flete!$A:$J,10,0),"")</f>
        <v/>
      </c>
      <c r="P127" s="8" t="inlineStr">
        <is>
          <t>M3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900001074</v>
      </c>
      <c r="D128" s="7">
        <f>IFERROR(VLOOKUP(C128,TRAOPE!$G:$H,2,0),"")</f>
        <v/>
      </c>
      <c r="E128" s="8" t="inlineStr">
        <is>
          <t>D836</t>
        </is>
      </c>
      <c r="F128" s="8" t="inlineStr">
        <is>
          <t>65129997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10000160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20190426</t>
        </is>
      </c>
      <c r="M128" s="8" t="inlineStr">
        <is>
          <t>20250127</t>
        </is>
      </c>
      <c r="N128" s="10" t="n">
        <v>84.11</v>
      </c>
      <c r="O128" s="10">
        <f>IFERROR(VLOOKUP(A128,Flete!$A:$J,10,0),"")</f>
        <v/>
      </c>
      <c r="P128" s="8" t="inlineStr">
        <is>
          <t>M3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900001074</v>
      </c>
      <c r="D129" s="7">
        <f>IFERROR(VLOOKUP(C129,TRAOPE!$G:$H,2,0),"")</f>
        <v/>
      </c>
      <c r="E129" s="8" t="inlineStr">
        <is>
          <t>D836</t>
        </is>
      </c>
      <c r="F129" s="8" t="inlineStr">
        <is>
          <t>65129997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10000357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20190426</t>
        </is>
      </c>
      <c r="M129" s="8" t="inlineStr">
        <is>
          <t>20250127</t>
        </is>
      </c>
      <c r="N129" s="10" t="n">
        <v>86.11</v>
      </c>
      <c r="O129" s="10">
        <f>IFERROR(VLOOKUP(A129,Flete!$A:$J,10,0),"")</f>
        <v/>
      </c>
      <c r="P129" s="8" t="inlineStr">
        <is>
          <t>M3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900001074</v>
      </c>
      <c r="D130" s="7">
        <f>IFERROR(VLOOKUP(C130,TRAOPE!$G:$H,2,0),"")</f>
        <v/>
      </c>
      <c r="E130" s="8" t="inlineStr">
        <is>
          <t>D836</t>
        </is>
      </c>
      <c r="F130" s="8" t="inlineStr">
        <is>
          <t>65129997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10000627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20190426</t>
        </is>
      </c>
      <c r="M130" s="8" t="inlineStr">
        <is>
          <t>20250127</t>
        </is>
      </c>
      <c r="N130" s="10" t="n">
        <v>103.36</v>
      </c>
      <c r="O130" s="10">
        <f>IFERROR(VLOOKUP(A130,Flete!$A:$J,10,0),"")</f>
        <v/>
      </c>
      <c r="P130" s="8" t="inlineStr">
        <is>
          <t>M3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900001074</v>
      </c>
      <c r="D131" s="7">
        <f>IFERROR(VLOOKUP(C131,TRAOPE!$G:$H,2,0),"")</f>
        <v/>
      </c>
      <c r="E131" s="8" t="inlineStr">
        <is>
          <t>D836</t>
        </is>
      </c>
      <c r="F131" s="8" t="inlineStr">
        <is>
          <t>65148238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10000160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20190426</t>
        </is>
      </c>
      <c r="M131" s="8" t="inlineStr">
        <is>
          <t>20250127</t>
        </is>
      </c>
      <c r="N131" s="10" t="n">
        <v>57.68</v>
      </c>
      <c r="O131" s="10">
        <f>IFERROR(VLOOKUP(A131,Flete!$A:$J,10,0),"")</f>
        <v/>
      </c>
      <c r="P131" s="8" t="inlineStr">
        <is>
          <t>TN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900001074</v>
      </c>
      <c r="D132" s="7">
        <f>IFERROR(VLOOKUP(C132,TRAOPE!$G:$H,2,0),"")</f>
        <v/>
      </c>
      <c r="E132" s="8" t="inlineStr">
        <is>
          <t>D836</t>
        </is>
      </c>
      <c r="F132" s="8" t="inlineStr">
        <is>
          <t>65155820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10000160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20190426</t>
        </is>
      </c>
      <c r="M132" s="8" t="inlineStr">
        <is>
          <t>20250127</t>
        </is>
      </c>
      <c r="N132" s="10" t="n">
        <v>92</v>
      </c>
      <c r="O132" s="10">
        <f>IFERROR(VLOOKUP(A132,Flete!$A:$J,10,0),"")</f>
        <v/>
      </c>
      <c r="P132" s="8" t="inlineStr">
        <is>
          <t>M3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900001074</v>
      </c>
      <c r="D133" s="7">
        <f>IFERROR(VLOOKUP(C133,TRAOPE!$G:$H,2,0),"")</f>
        <v/>
      </c>
      <c r="E133" s="8" t="inlineStr">
        <is>
          <t>D836</t>
        </is>
      </c>
      <c r="F133" s="8" t="inlineStr">
        <is>
          <t>65155820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10000357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20190426</t>
        </is>
      </c>
      <c r="M133" s="8" t="inlineStr">
        <is>
          <t>20250127</t>
        </is>
      </c>
      <c r="N133" s="10" t="n">
        <v>96.95</v>
      </c>
      <c r="O133" s="10">
        <f>IFERROR(VLOOKUP(A133,Flete!$A:$J,10,0),"")</f>
        <v/>
      </c>
      <c r="P133" s="8" t="inlineStr">
        <is>
          <t>M3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900001074</v>
      </c>
      <c r="D134" s="7">
        <f>IFERROR(VLOOKUP(C134,TRAOPE!$G:$H,2,0),"")</f>
        <v/>
      </c>
      <c r="E134" s="8" t="inlineStr">
        <is>
          <t>D836</t>
        </is>
      </c>
      <c r="F134" s="8" t="inlineStr">
        <is>
          <t>65232687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10000160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20190426</t>
        </is>
      </c>
      <c r="M134" s="8" t="inlineStr">
        <is>
          <t>20250127</t>
        </is>
      </c>
      <c r="N134" s="10" t="n">
        <v>85</v>
      </c>
      <c r="O134" s="10">
        <f>IFERROR(VLOOKUP(A134,Flete!$A:$J,10,0),"")</f>
        <v/>
      </c>
      <c r="P134" s="8" t="inlineStr">
        <is>
          <t>M3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900001074</v>
      </c>
      <c r="D135" s="7">
        <f>IFERROR(VLOOKUP(C135,TRAOPE!$G:$H,2,0),"")</f>
        <v/>
      </c>
      <c r="E135" s="8" t="inlineStr">
        <is>
          <t>D836</t>
        </is>
      </c>
      <c r="F135" s="8" t="inlineStr">
        <is>
          <t>65251399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10000160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20190426</t>
        </is>
      </c>
      <c r="M135" s="8" t="inlineStr">
        <is>
          <t>20250127</t>
        </is>
      </c>
      <c r="N135" s="10" t="n">
        <v>88</v>
      </c>
      <c r="O135" s="10">
        <f>IFERROR(VLOOKUP(A135,Flete!$A:$J,10,0),"")</f>
        <v/>
      </c>
      <c r="P135" s="8" t="inlineStr">
        <is>
          <t>M3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900001074</v>
      </c>
      <c r="D136" s="7">
        <f>IFERROR(VLOOKUP(C136,TRAOPE!$G:$H,2,0),"")</f>
        <v/>
      </c>
      <c r="E136" s="8" t="inlineStr">
        <is>
          <t>D836</t>
        </is>
      </c>
      <c r="F136" s="8" t="inlineStr">
        <is>
          <t>65251399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10000357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20190426</t>
        </is>
      </c>
      <c r="M136" s="8" t="inlineStr">
        <is>
          <t>20250127</t>
        </is>
      </c>
      <c r="N136" s="10" t="n">
        <v>100</v>
      </c>
      <c r="O136" s="10">
        <f>IFERROR(VLOOKUP(A136,Flete!$A:$J,10,0),"")</f>
        <v/>
      </c>
      <c r="P136" s="8" t="inlineStr">
        <is>
          <t>M3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900001074</v>
      </c>
      <c r="D137" s="7">
        <f>IFERROR(VLOOKUP(C137,TRAOPE!$G:$H,2,0),"")</f>
        <v/>
      </c>
      <c r="E137" s="8" t="inlineStr">
        <is>
          <t>D836</t>
        </is>
      </c>
      <c r="F137" s="8" t="inlineStr">
        <is>
          <t>65292088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10000357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20190426</t>
        </is>
      </c>
      <c r="M137" s="8" t="inlineStr">
        <is>
          <t>20250127</t>
        </is>
      </c>
      <c r="N137" s="10" t="n">
        <v>123</v>
      </c>
      <c r="O137" s="10">
        <f>IFERROR(VLOOKUP(A137,Flete!$A:$J,10,0),"")</f>
        <v/>
      </c>
      <c r="P137" s="8" t="inlineStr">
        <is>
          <t>M3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900001074</v>
      </c>
      <c r="D138" s="7">
        <f>IFERROR(VLOOKUP(C138,TRAOPE!$G:$H,2,0),"")</f>
        <v/>
      </c>
      <c r="E138" s="8" t="inlineStr">
        <is>
          <t>D836</t>
        </is>
      </c>
      <c r="F138" s="8" t="inlineStr">
        <is>
          <t>65292088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10175723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20190426</t>
        </is>
      </c>
      <c r="M138" s="8" t="inlineStr">
        <is>
          <t>20250127</t>
        </is>
      </c>
      <c r="N138" s="10" t="n">
        <v>130</v>
      </c>
      <c r="O138" s="10">
        <f>IFERROR(VLOOKUP(A138,Flete!$A:$J,10,0),"")</f>
        <v/>
      </c>
      <c r="P138" s="8" t="inlineStr">
        <is>
          <t>M3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900001074</v>
      </c>
      <c r="D139" s="7">
        <f>IFERROR(VLOOKUP(C139,TRAOPE!$G:$H,2,0),"")</f>
        <v/>
      </c>
      <c r="E139" s="8" t="inlineStr">
        <is>
          <t>D836</t>
        </is>
      </c>
      <c r="F139" s="8" t="inlineStr">
        <is>
          <t>65345243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10000160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20190426</t>
        </is>
      </c>
      <c r="M139" s="8" t="inlineStr">
        <is>
          <t>20250127</t>
        </is>
      </c>
      <c r="N139" s="10" t="n">
        <v>84</v>
      </c>
      <c r="O139" s="10">
        <f>IFERROR(VLOOKUP(A139,Flete!$A:$J,10,0),"")</f>
        <v/>
      </c>
      <c r="P139" s="8" t="inlineStr">
        <is>
          <t>M3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900001074</v>
      </c>
      <c r="D140" s="7">
        <f>IFERROR(VLOOKUP(C140,TRAOPE!$G:$H,2,0),"")</f>
        <v/>
      </c>
      <c r="E140" s="8" t="inlineStr">
        <is>
          <t>D836</t>
        </is>
      </c>
      <c r="F140" s="8" t="inlineStr">
        <is>
          <t>65345243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10000357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20190426</t>
        </is>
      </c>
      <c r="M140" s="8" t="inlineStr">
        <is>
          <t>20250127</t>
        </is>
      </c>
      <c r="N140" s="10" t="n">
        <v>95.5</v>
      </c>
      <c r="O140" s="10">
        <f>IFERROR(VLOOKUP(A140,Flete!$A:$J,10,0),"")</f>
        <v/>
      </c>
      <c r="P140" s="8" t="inlineStr">
        <is>
          <t>M3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900001074</v>
      </c>
      <c r="D141" s="7">
        <f>IFERROR(VLOOKUP(C141,TRAOPE!$G:$H,2,0),"")</f>
        <v/>
      </c>
      <c r="E141" s="8" t="inlineStr">
        <is>
          <t>D836</t>
        </is>
      </c>
      <c r="F141" s="8" t="inlineStr">
        <is>
          <t>65345243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10000627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20190426</t>
        </is>
      </c>
      <c r="M141" s="8" t="inlineStr">
        <is>
          <t>20250127</t>
        </is>
      </c>
      <c r="N141" s="10" t="n">
        <v>84</v>
      </c>
      <c r="O141" s="10">
        <f>IFERROR(VLOOKUP(A141,Flete!$A:$J,10,0),"")</f>
        <v/>
      </c>
      <c r="P141" s="8" t="inlineStr">
        <is>
          <t>M3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900001074</v>
      </c>
      <c r="D142" s="7">
        <f>IFERROR(VLOOKUP(C142,TRAOPE!$G:$H,2,0),"")</f>
        <v/>
      </c>
      <c r="E142" s="8" t="inlineStr">
        <is>
          <t>D836</t>
        </is>
      </c>
      <c r="F142" s="8" t="inlineStr">
        <is>
          <t>65350956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10019515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20190426</t>
        </is>
      </c>
      <c r="M142" s="8" t="inlineStr">
        <is>
          <t>20250127</t>
        </is>
      </c>
      <c r="N142" s="10" t="n">
        <v>77.84</v>
      </c>
      <c r="O142" s="10">
        <f>IFERROR(VLOOKUP(A142,Flete!$A:$J,10,0),"")</f>
        <v/>
      </c>
      <c r="P142" s="8" t="inlineStr">
        <is>
          <t>TN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900001074</v>
      </c>
      <c r="D143" s="7">
        <f>IFERROR(VLOOKUP(C143,TRAOPE!$G:$H,2,0),"")</f>
        <v/>
      </c>
      <c r="E143" s="8" t="inlineStr">
        <is>
          <t>D836</t>
        </is>
      </c>
      <c r="F143" s="8" t="inlineStr">
        <is>
          <t>65350956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10019516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20190426</t>
        </is>
      </c>
      <c r="M143" s="8" t="inlineStr">
        <is>
          <t>20250127</t>
        </is>
      </c>
      <c r="N143" s="10" t="n">
        <v>69</v>
      </c>
      <c r="O143" s="10">
        <f>IFERROR(VLOOKUP(A143,Flete!$A:$J,10,0),"")</f>
        <v/>
      </c>
      <c r="P143" s="8" t="inlineStr">
        <is>
          <t>TN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900001074</v>
      </c>
      <c r="D144" s="7">
        <f>IFERROR(VLOOKUP(C144,TRAOPE!$G:$H,2,0),"")</f>
        <v/>
      </c>
      <c r="E144" s="8" t="inlineStr">
        <is>
          <t>D836</t>
        </is>
      </c>
      <c r="F144" s="8" t="inlineStr">
        <is>
          <t>65366156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10000160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20190426</t>
        </is>
      </c>
      <c r="M144" s="8" t="inlineStr">
        <is>
          <t>20250127</t>
        </is>
      </c>
      <c r="N144" s="10" t="n">
        <v>84</v>
      </c>
      <c r="O144" s="10">
        <f>IFERROR(VLOOKUP(A144,Flete!$A:$J,10,0),"")</f>
        <v/>
      </c>
      <c r="P144" s="8" t="inlineStr">
        <is>
          <t>M3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900001074</v>
      </c>
      <c r="D145" s="7">
        <f>IFERROR(VLOOKUP(C145,TRAOPE!$G:$H,2,0),"")</f>
        <v/>
      </c>
      <c r="E145" s="8" t="inlineStr">
        <is>
          <t>D836</t>
        </is>
      </c>
      <c r="F145" s="8" t="inlineStr">
        <is>
          <t>65366156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10000357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20190426</t>
        </is>
      </c>
      <c r="M145" s="8" t="inlineStr">
        <is>
          <t>20250127</t>
        </is>
      </c>
      <c r="N145" s="10" t="n">
        <v>95.5</v>
      </c>
      <c r="O145" s="10">
        <f>IFERROR(VLOOKUP(A145,Flete!$A:$J,10,0),"")</f>
        <v/>
      </c>
      <c r="P145" s="8" t="inlineStr">
        <is>
          <t>M3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900001074</v>
      </c>
      <c r="D146" s="7">
        <f>IFERROR(VLOOKUP(C146,TRAOPE!$G:$H,2,0),"")</f>
        <v/>
      </c>
      <c r="E146" s="8" t="inlineStr">
        <is>
          <t>D836</t>
        </is>
      </c>
      <c r="F146" s="8" t="inlineStr">
        <is>
          <t>65366156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10000627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20190426</t>
        </is>
      </c>
      <c r="M146" s="8" t="inlineStr">
        <is>
          <t>20250127</t>
        </is>
      </c>
      <c r="N146" s="10" t="n">
        <v>84</v>
      </c>
      <c r="O146" s="10">
        <f>IFERROR(VLOOKUP(A146,Flete!$A:$J,10,0),"")</f>
        <v/>
      </c>
      <c r="P146" s="8" t="inlineStr">
        <is>
          <t>M3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900001074</v>
      </c>
      <c r="D147" s="7">
        <f>IFERROR(VLOOKUP(C147,TRAOPE!$G:$H,2,0),"")</f>
        <v/>
      </c>
      <c r="E147" s="8" t="inlineStr">
        <is>
          <t>D836</t>
        </is>
      </c>
      <c r="F147" s="8" t="inlineStr">
        <is>
          <t>65366167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10000160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20190426</t>
        </is>
      </c>
      <c r="M147" s="8" t="inlineStr">
        <is>
          <t>20250127</t>
        </is>
      </c>
      <c r="N147" s="10" t="n">
        <v>84</v>
      </c>
      <c r="O147" s="10">
        <f>IFERROR(VLOOKUP(A147,Flete!$A:$J,10,0),"")</f>
        <v/>
      </c>
      <c r="P147" s="8" t="inlineStr">
        <is>
          <t>M3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900001074</v>
      </c>
      <c r="D148" s="7">
        <f>IFERROR(VLOOKUP(C148,TRAOPE!$G:$H,2,0),"")</f>
        <v/>
      </c>
      <c r="E148" s="8" t="inlineStr">
        <is>
          <t>D836</t>
        </is>
      </c>
      <c r="F148" s="8" t="inlineStr">
        <is>
          <t>65366167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10000357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20190426</t>
        </is>
      </c>
      <c r="M148" s="8" t="inlineStr">
        <is>
          <t>20250127</t>
        </is>
      </c>
      <c r="N148" s="10" t="n">
        <v>95.5</v>
      </c>
      <c r="O148" s="10">
        <f>IFERROR(VLOOKUP(A148,Flete!$A:$J,10,0),"")</f>
        <v/>
      </c>
      <c r="P148" s="8" t="inlineStr">
        <is>
          <t>M3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900001074</v>
      </c>
      <c r="D149" s="7">
        <f>IFERROR(VLOOKUP(C149,TRAOPE!$G:$H,2,0),"")</f>
        <v/>
      </c>
      <c r="E149" s="8" t="inlineStr">
        <is>
          <t>D836</t>
        </is>
      </c>
      <c r="F149" s="8" t="inlineStr">
        <is>
          <t>65366167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10000627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20190426</t>
        </is>
      </c>
      <c r="M149" s="8" t="inlineStr">
        <is>
          <t>20250127</t>
        </is>
      </c>
      <c r="N149" s="10" t="n">
        <v>84</v>
      </c>
      <c r="O149" s="10">
        <f>IFERROR(VLOOKUP(A149,Flete!$A:$J,10,0),"")</f>
        <v/>
      </c>
      <c r="P149" s="8" t="inlineStr">
        <is>
          <t>M3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900001074</v>
      </c>
      <c r="D150" s="7">
        <f>IFERROR(VLOOKUP(C150,TRAOPE!$G:$H,2,0),"")</f>
        <v/>
      </c>
      <c r="E150" s="8" t="inlineStr">
        <is>
          <t>D836</t>
        </is>
      </c>
      <c r="F150" s="8" t="inlineStr">
        <is>
          <t>65366169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10000160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20190426</t>
        </is>
      </c>
      <c r="M150" s="8" t="inlineStr">
        <is>
          <t>20250127</t>
        </is>
      </c>
      <c r="N150" s="10" t="n">
        <v>84</v>
      </c>
      <c r="O150" s="10">
        <f>IFERROR(VLOOKUP(A150,Flete!$A:$J,10,0),"")</f>
        <v/>
      </c>
      <c r="P150" s="8" t="inlineStr">
        <is>
          <t>M3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900001074</v>
      </c>
      <c r="D151" s="7">
        <f>IFERROR(VLOOKUP(C151,TRAOPE!$G:$H,2,0),"")</f>
        <v/>
      </c>
      <c r="E151" s="8" t="inlineStr">
        <is>
          <t>D836</t>
        </is>
      </c>
      <c r="F151" s="8" t="inlineStr">
        <is>
          <t>65366169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10000357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20190426</t>
        </is>
      </c>
      <c r="M151" s="8" t="inlineStr">
        <is>
          <t>20250127</t>
        </is>
      </c>
      <c r="N151" s="10" t="n">
        <v>95.5</v>
      </c>
      <c r="O151" s="10">
        <f>IFERROR(VLOOKUP(A151,Flete!$A:$J,10,0),"")</f>
        <v/>
      </c>
      <c r="P151" s="8" t="inlineStr">
        <is>
          <t>M3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900001074</v>
      </c>
      <c r="D152" s="7">
        <f>IFERROR(VLOOKUP(C152,TRAOPE!$G:$H,2,0),"")</f>
        <v/>
      </c>
      <c r="E152" s="8" t="inlineStr">
        <is>
          <t>D836</t>
        </is>
      </c>
      <c r="F152" s="8" t="inlineStr">
        <is>
          <t>65366169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10000627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20190426</t>
        </is>
      </c>
      <c r="M152" s="8" t="inlineStr">
        <is>
          <t>20250127</t>
        </is>
      </c>
      <c r="N152" s="10" t="n">
        <v>84</v>
      </c>
      <c r="O152" s="10">
        <f>IFERROR(VLOOKUP(A152,Flete!$A:$J,10,0),"")</f>
        <v/>
      </c>
      <c r="P152" s="8" t="inlineStr">
        <is>
          <t>M3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900001074</v>
      </c>
      <c r="D153" s="7">
        <f>IFERROR(VLOOKUP(C153,TRAOPE!$G:$H,2,0),"")</f>
        <v/>
      </c>
      <c r="E153" s="8" t="inlineStr">
        <is>
          <t>D836</t>
        </is>
      </c>
      <c r="F153" s="8" t="inlineStr">
        <is>
          <t>65368150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10000206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20190426</t>
        </is>
      </c>
      <c r="M153" s="8" t="inlineStr">
        <is>
          <t>20250127</t>
        </is>
      </c>
      <c r="N153" s="10" t="n">
        <v>24.15</v>
      </c>
      <c r="O153" s="10">
        <f>IFERROR(VLOOKUP(A153,Flete!$A:$J,10,0),"")</f>
        <v/>
      </c>
      <c r="P153" s="8" t="inlineStr">
        <is>
          <t>M3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900001074</v>
      </c>
      <c r="D154" s="7">
        <f>IFERROR(VLOOKUP(C154,TRAOPE!$G:$H,2,0),"")</f>
        <v/>
      </c>
      <c r="E154" s="8" t="inlineStr">
        <is>
          <t>D836</t>
        </is>
      </c>
      <c r="F154" s="8" t="inlineStr">
        <is>
          <t>65370785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10000160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20190426</t>
        </is>
      </c>
      <c r="M154" s="8" t="inlineStr">
        <is>
          <t>20250127</t>
        </is>
      </c>
      <c r="N154" s="10" t="n">
        <v>75</v>
      </c>
      <c r="O154" s="10">
        <f>IFERROR(VLOOKUP(A154,Flete!$A:$J,10,0),"")</f>
        <v/>
      </c>
      <c r="P154" s="8" t="inlineStr">
        <is>
          <t>M3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900001074</v>
      </c>
      <c r="D155" s="7">
        <f>IFERROR(VLOOKUP(C155,TRAOPE!$G:$H,2,0),"")</f>
        <v/>
      </c>
      <c r="E155" s="8" t="inlineStr">
        <is>
          <t>D836</t>
        </is>
      </c>
      <c r="F155" s="8" t="inlineStr">
        <is>
          <t>65370785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10000357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20190426</t>
        </is>
      </c>
      <c r="M155" s="8" t="inlineStr">
        <is>
          <t>20250127</t>
        </is>
      </c>
      <c r="N155" s="10" t="n">
        <v>87</v>
      </c>
      <c r="O155" s="10">
        <f>IFERROR(VLOOKUP(A155,Flete!$A:$J,10,0),"")</f>
        <v/>
      </c>
      <c r="P155" s="8" t="inlineStr">
        <is>
          <t>M3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900001074</v>
      </c>
      <c r="D156" s="7">
        <f>IFERROR(VLOOKUP(C156,TRAOPE!$G:$H,2,0),"")</f>
        <v/>
      </c>
      <c r="E156" s="8" t="inlineStr">
        <is>
          <t>D836</t>
        </is>
      </c>
      <c r="F156" s="8" t="inlineStr">
        <is>
          <t>65370785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10019515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20190426</t>
        </is>
      </c>
      <c r="M156" s="8" t="inlineStr">
        <is>
          <t>20250127</t>
        </is>
      </c>
      <c r="N156" s="10" t="n">
        <v>73.59999999999999</v>
      </c>
      <c r="O156" s="10">
        <f>IFERROR(VLOOKUP(A156,Flete!$A:$J,10,0),"")</f>
        <v/>
      </c>
      <c r="P156" s="8" t="inlineStr">
        <is>
          <t>TN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900001074</v>
      </c>
      <c r="D157" s="7">
        <f>IFERROR(VLOOKUP(C157,TRAOPE!$G:$H,2,0),"")</f>
        <v/>
      </c>
      <c r="E157" s="8" t="inlineStr">
        <is>
          <t>D836</t>
        </is>
      </c>
      <c r="F157" s="8" t="inlineStr">
        <is>
          <t>65406062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10000160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20190426</t>
        </is>
      </c>
      <c r="M157" s="8" t="inlineStr">
        <is>
          <t>20250127</t>
        </is>
      </c>
      <c r="N157" s="10" t="n">
        <v>86.5</v>
      </c>
      <c r="O157" s="10">
        <f>IFERROR(VLOOKUP(A157,Flete!$A:$J,10,0),"")</f>
        <v/>
      </c>
      <c r="P157" s="8" t="inlineStr">
        <is>
          <t>M3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900001074</v>
      </c>
      <c r="D158" s="7">
        <f>IFERROR(VLOOKUP(C158,TRAOPE!$G:$H,2,0),"")</f>
        <v/>
      </c>
      <c r="E158" s="8" t="inlineStr">
        <is>
          <t>D836</t>
        </is>
      </c>
      <c r="F158" s="8" t="inlineStr">
        <is>
          <t>65406062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10000206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20190426</t>
        </is>
      </c>
      <c r="M158" s="8" t="inlineStr">
        <is>
          <t>20250127</t>
        </is>
      </c>
      <c r="N158" s="10" t="n">
        <v>28.75</v>
      </c>
      <c r="O158" s="10">
        <f>IFERROR(VLOOKUP(A158,Flete!$A:$J,10,0),"")</f>
        <v/>
      </c>
      <c r="P158" s="8" t="inlineStr">
        <is>
          <t>M3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900001074</v>
      </c>
      <c r="D159" s="7">
        <f>IFERROR(VLOOKUP(C159,TRAOPE!$G:$H,2,0),"")</f>
        <v/>
      </c>
      <c r="E159" s="8" t="inlineStr">
        <is>
          <t>D836</t>
        </is>
      </c>
      <c r="F159" s="8" t="inlineStr">
        <is>
          <t>65406062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10000357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20190426</t>
        </is>
      </c>
      <c r="M159" s="8" t="inlineStr">
        <is>
          <t>20250127</t>
        </is>
      </c>
      <c r="N159" s="10" t="n">
        <v>100.8</v>
      </c>
      <c r="O159" s="10">
        <f>IFERROR(VLOOKUP(A159,Flete!$A:$J,10,0),"")</f>
        <v/>
      </c>
      <c r="P159" s="8" t="inlineStr">
        <is>
          <t>M3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900001074</v>
      </c>
      <c r="D160" s="7">
        <f>IFERROR(VLOOKUP(C160,TRAOPE!$G:$H,2,0),"")</f>
        <v/>
      </c>
      <c r="E160" s="8" t="inlineStr">
        <is>
          <t>D836</t>
        </is>
      </c>
      <c r="F160" s="8" t="inlineStr">
        <is>
          <t>65406062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10000627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20190426</t>
        </is>
      </c>
      <c r="M160" s="8" t="inlineStr">
        <is>
          <t>20250127</t>
        </is>
      </c>
      <c r="N160" s="10" t="n">
        <v>85</v>
      </c>
      <c r="O160" s="10">
        <f>IFERROR(VLOOKUP(A160,Flete!$A:$J,10,0),"")</f>
        <v/>
      </c>
      <c r="P160" s="8" t="inlineStr">
        <is>
          <t>M3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900001074</v>
      </c>
      <c r="D161" s="7">
        <f>IFERROR(VLOOKUP(C161,TRAOPE!$G:$H,2,0),"")</f>
        <v/>
      </c>
      <c r="E161" s="8" t="inlineStr">
        <is>
          <t>D836</t>
        </is>
      </c>
      <c r="F161" s="8" t="inlineStr">
        <is>
          <t>65406064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10000160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20190426</t>
        </is>
      </c>
      <c r="M161" s="8" t="inlineStr">
        <is>
          <t>20250127</t>
        </is>
      </c>
      <c r="N161" s="10" t="n">
        <v>86.5</v>
      </c>
      <c r="O161" s="10">
        <f>IFERROR(VLOOKUP(A161,Flete!$A:$J,10,0),"")</f>
        <v/>
      </c>
      <c r="P161" s="8" t="inlineStr">
        <is>
          <t>M3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900001074</v>
      </c>
      <c r="D162" s="7">
        <f>IFERROR(VLOOKUP(C162,TRAOPE!$G:$H,2,0),"")</f>
        <v/>
      </c>
      <c r="E162" s="8" t="inlineStr">
        <is>
          <t>D836</t>
        </is>
      </c>
      <c r="F162" s="8" t="inlineStr">
        <is>
          <t>65406064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10000206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20190426</t>
        </is>
      </c>
      <c r="M162" s="8" t="inlineStr">
        <is>
          <t>20250127</t>
        </is>
      </c>
      <c r="N162" s="10" t="n">
        <v>28.75</v>
      </c>
      <c r="O162" s="10">
        <f>IFERROR(VLOOKUP(A162,Flete!$A:$J,10,0),"")</f>
        <v/>
      </c>
      <c r="P162" s="8" t="inlineStr">
        <is>
          <t>M3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900001074</v>
      </c>
      <c r="D163" s="7">
        <f>IFERROR(VLOOKUP(C163,TRAOPE!$G:$H,2,0),"")</f>
        <v/>
      </c>
      <c r="E163" s="8" t="inlineStr">
        <is>
          <t>D836</t>
        </is>
      </c>
      <c r="F163" s="8" t="inlineStr">
        <is>
          <t>65406064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10000357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20190426</t>
        </is>
      </c>
      <c r="M163" s="8" t="inlineStr">
        <is>
          <t>20250127</t>
        </is>
      </c>
      <c r="N163" s="10" t="n">
        <v>100.8</v>
      </c>
      <c r="O163" s="10">
        <f>IFERROR(VLOOKUP(A163,Flete!$A:$J,10,0),"")</f>
        <v/>
      </c>
      <c r="P163" s="8" t="inlineStr">
        <is>
          <t>M3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900001074</v>
      </c>
      <c r="D164" s="7">
        <f>IFERROR(VLOOKUP(C164,TRAOPE!$G:$H,2,0),"")</f>
        <v/>
      </c>
      <c r="E164" s="8" t="inlineStr">
        <is>
          <t>D836</t>
        </is>
      </c>
      <c r="F164" s="8" t="inlineStr">
        <is>
          <t>65406064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10000627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20190426</t>
        </is>
      </c>
      <c r="M164" s="8" t="inlineStr">
        <is>
          <t>20250127</t>
        </is>
      </c>
      <c r="N164" s="10" t="n">
        <v>85</v>
      </c>
      <c r="O164" s="10">
        <f>IFERROR(VLOOKUP(A164,Flete!$A:$J,10,0),"")</f>
        <v/>
      </c>
      <c r="P164" s="8" t="inlineStr">
        <is>
          <t>M3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900001074</v>
      </c>
      <c r="D165" s="7">
        <f>IFERROR(VLOOKUP(C165,TRAOPE!$G:$H,2,0),"")</f>
        <v/>
      </c>
      <c r="E165" s="8" t="inlineStr">
        <is>
          <t>D836</t>
        </is>
      </c>
      <c r="F165" s="8" t="inlineStr">
        <is>
          <t>65437651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10000206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20190426</t>
        </is>
      </c>
      <c r="M165" s="8" t="inlineStr">
        <is>
          <t>20250127</t>
        </is>
      </c>
      <c r="N165" s="10" t="n">
        <v>26</v>
      </c>
      <c r="O165" s="10">
        <f>IFERROR(VLOOKUP(A165,Flete!$A:$J,10,0),"")</f>
        <v/>
      </c>
      <c r="P165" s="8" t="inlineStr">
        <is>
          <t>M3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900001074</v>
      </c>
      <c r="D166" s="7">
        <f>IFERROR(VLOOKUP(C166,TRAOPE!$G:$H,2,0),"")</f>
        <v/>
      </c>
      <c r="E166" s="8" t="inlineStr">
        <is>
          <t>D836</t>
        </is>
      </c>
      <c r="F166" s="8" t="inlineStr">
        <is>
          <t>65439405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10000160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20190426</t>
        </is>
      </c>
      <c r="M166" s="8" t="inlineStr">
        <is>
          <t>20250127</t>
        </is>
      </c>
      <c r="N166" s="10" t="n">
        <v>53.64</v>
      </c>
      <c r="O166" s="10">
        <f>IFERROR(VLOOKUP(A166,Flete!$A:$J,10,0),"")</f>
        <v/>
      </c>
      <c r="P166" s="8" t="inlineStr">
        <is>
          <t>TN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900001074</v>
      </c>
      <c r="D167" s="7">
        <f>IFERROR(VLOOKUP(C167,TRAOPE!$G:$H,2,0),"")</f>
        <v/>
      </c>
      <c r="E167" s="8" t="inlineStr">
        <is>
          <t>D836</t>
        </is>
      </c>
      <c r="F167" s="8" t="inlineStr">
        <is>
          <t>65439405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10000253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20190426</t>
        </is>
      </c>
      <c r="M167" s="8" t="inlineStr">
        <is>
          <t>20250127</t>
        </is>
      </c>
      <c r="N167" s="10" t="n">
        <v>57.87</v>
      </c>
      <c r="O167" s="10">
        <f>IFERROR(VLOOKUP(A167,Flete!$A:$J,10,0),"")</f>
        <v/>
      </c>
      <c r="P167" s="8" t="inlineStr">
        <is>
          <t>TN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900001074</v>
      </c>
      <c r="D168" s="7">
        <f>IFERROR(VLOOKUP(C168,TRAOPE!$G:$H,2,0),"")</f>
        <v/>
      </c>
      <c r="E168" s="8" t="inlineStr">
        <is>
          <t>D836</t>
        </is>
      </c>
      <c r="F168" s="8" t="inlineStr">
        <is>
          <t>65439405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10000357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20190426</t>
        </is>
      </c>
      <c r="M168" s="8" t="inlineStr">
        <is>
          <t>20250127</t>
        </is>
      </c>
      <c r="N168" s="10" t="n">
        <v>60.43</v>
      </c>
      <c r="O168" s="10">
        <f>IFERROR(VLOOKUP(A168,Flete!$A:$J,10,0),"")</f>
        <v/>
      </c>
      <c r="P168" s="8" t="inlineStr">
        <is>
          <t>TN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900001074</v>
      </c>
      <c r="D169" s="7">
        <f>IFERROR(VLOOKUP(C169,TRAOPE!$G:$H,2,0),"")</f>
        <v/>
      </c>
      <c r="E169" s="8" t="inlineStr">
        <is>
          <t>D836</t>
        </is>
      </c>
      <c r="F169" s="8" t="inlineStr">
        <is>
          <t>65442270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10019515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20190426</t>
        </is>
      </c>
      <c r="M169" s="8" t="inlineStr">
        <is>
          <t>20250127</t>
        </is>
      </c>
      <c r="N169" s="10" t="n">
        <v>115</v>
      </c>
      <c r="O169" s="10">
        <f>IFERROR(VLOOKUP(A169,Flete!$A:$J,10,0),"")</f>
        <v/>
      </c>
      <c r="P169" s="8" t="inlineStr">
        <is>
          <t>M3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900001074</v>
      </c>
      <c r="D170" s="7">
        <f>IFERROR(VLOOKUP(C170,TRAOPE!$G:$H,2,0),"")</f>
        <v/>
      </c>
      <c r="E170" s="8" t="inlineStr">
        <is>
          <t>D836</t>
        </is>
      </c>
      <c r="F170" s="8" t="inlineStr">
        <is>
          <t>65442710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10000160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20190426</t>
        </is>
      </c>
      <c r="M170" s="8" t="inlineStr">
        <is>
          <t>20250127</t>
        </is>
      </c>
      <c r="N170" s="10" t="n">
        <v>150</v>
      </c>
      <c r="O170" s="10">
        <f>IFERROR(VLOOKUP(A170,Flete!$A:$J,10,0),"")</f>
        <v/>
      </c>
      <c r="P170" s="8" t="inlineStr">
        <is>
          <t>M3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900001074</v>
      </c>
      <c r="D171" s="7">
        <f>IFERROR(VLOOKUP(C171,TRAOPE!$G:$H,2,0),"")</f>
        <v/>
      </c>
      <c r="E171" s="8" t="inlineStr">
        <is>
          <t>D836</t>
        </is>
      </c>
      <c r="F171" s="8" t="inlineStr">
        <is>
          <t>65442710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10000357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20190426</t>
        </is>
      </c>
      <c r="M171" s="8" t="inlineStr">
        <is>
          <t>20250127</t>
        </is>
      </c>
      <c r="N171" s="10" t="n">
        <v>86.11</v>
      </c>
      <c r="O171" s="10">
        <f>IFERROR(VLOOKUP(A171,Flete!$A:$J,10,0),"")</f>
        <v/>
      </c>
      <c r="P171" s="8" t="inlineStr">
        <is>
          <t>M3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900001074</v>
      </c>
      <c r="D172" s="7">
        <f>IFERROR(VLOOKUP(C172,TRAOPE!$G:$H,2,0),"")</f>
        <v/>
      </c>
      <c r="E172" s="8" t="inlineStr">
        <is>
          <t>D836</t>
        </is>
      </c>
      <c r="F172" s="8" t="inlineStr">
        <is>
          <t>65442710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10000627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20190426</t>
        </is>
      </c>
      <c r="M172" s="8" t="inlineStr">
        <is>
          <t>20250127</t>
        </is>
      </c>
      <c r="N172" s="10" t="n">
        <v>103.36</v>
      </c>
      <c r="O172" s="10">
        <f>IFERROR(VLOOKUP(A172,Flete!$A:$J,10,0),"")</f>
        <v/>
      </c>
      <c r="P172" s="8" t="inlineStr">
        <is>
          <t>M3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900001074</v>
      </c>
      <c r="D173" s="7">
        <f>IFERROR(VLOOKUP(C173,TRAOPE!$G:$H,2,0),"")</f>
        <v/>
      </c>
      <c r="E173" s="8" t="inlineStr">
        <is>
          <t>D836</t>
        </is>
      </c>
      <c r="F173" s="8" t="inlineStr">
        <is>
          <t>65445261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10000160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20190426</t>
        </is>
      </c>
      <c r="M173" s="8" t="inlineStr">
        <is>
          <t>20250127</t>
        </is>
      </c>
      <c r="N173" s="10" t="n">
        <v>94.98999999999999</v>
      </c>
      <c r="O173" s="10">
        <f>IFERROR(VLOOKUP(A173,Flete!$A:$J,10,0),"")</f>
        <v/>
      </c>
      <c r="P173" s="8" t="inlineStr">
        <is>
          <t>M3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900001074</v>
      </c>
      <c r="D174" s="7">
        <f>IFERROR(VLOOKUP(C174,TRAOPE!$G:$H,2,0),"")</f>
        <v/>
      </c>
      <c r="E174" s="8" t="inlineStr">
        <is>
          <t>D836</t>
        </is>
      </c>
      <c r="F174" s="8" t="inlineStr">
        <is>
          <t>65565826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10000160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20190426</t>
        </is>
      </c>
      <c r="M174" s="8" t="inlineStr">
        <is>
          <t>20250127</t>
        </is>
      </c>
      <c r="N174" s="10" t="n">
        <v>59.73</v>
      </c>
      <c r="O174" s="10">
        <f>IFERROR(VLOOKUP(A174,Flete!$A:$J,10,0),"")</f>
        <v/>
      </c>
      <c r="P174" s="8" t="inlineStr">
        <is>
          <t>TN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900001074</v>
      </c>
      <c r="D175" s="7">
        <f>IFERROR(VLOOKUP(C175,TRAOPE!$G:$H,2,0),"")</f>
        <v/>
      </c>
      <c r="E175" s="8" t="inlineStr">
        <is>
          <t>D836</t>
        </is>
      </c>
      <c r="F175" s="8" t="inlineStr">
        <is>
          <t>65625331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10000160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20190426</t>
        </is>
      </c>
      <c r="M175" s="8" t="inlineStr">
        <is>
          <t>20250127</t>
        </is>
      </c>
      <c r="N175" s="10" t="n">
        <v>115.13</v>
      </c>
      <c r="O175" s="10">
        <f>IFERROR(VLOOKUP(A175,Flete!$A:$J,10,0),"")</f>
        <v/>
      </c>
      <c r="P175" s="8" t="inlineStr">
        <is>
          <t>M3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900001074</v>
      </c>
      <c r="D176" s="7">
        <f>IFERROR(VLOOKUP(C176,TRAOPE!$G:$H,2,0),"")</f>
        <v/>
      </c>
      <c r="E176" s="8" t="inlineStr">
        <is>
          <t>D836</t>
        </is>
      </c>
      <c r="F176" s="8" t="inlineStr">
        <is>
          <t>65625331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10000357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20190426</t>
        </is>
      </c>
      <c r="M176" s="8" t="inlineStr">
        <is>
          <t>20250127</t>
        </is>
      </c>
      <c r="N176" s="10" t="n">
        <v>101.91</v>
      </c>
      <c r="O176" s="10">
        <f>IFERROR(VLOOKUP(A176,Flete!$A:$J,10,0),"")</f>
        <v/>
      </c>
      <c r="P176" s="8" t="inlineStr">
        <is>
          <t>M3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900001074</v>
      </c>
      <c r="D177" s="7">
        <f>IFERROR(VLOOKUP(C177,TRAOPE!$G:$H,2,0),"")</f>
        <v/>
      </c>
      <c r="E177" s="8" t="inlineStr">
        <is>
          <t>D836</t>
        </is>
      </c>
      <c r="F177" s="8" t="inlineStr">
        <is>
          <t>65671247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10000160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20190426</t>
        </is>
      </c>
      <c r="M177" s="8" t="inlineStr">
        <is>
          <t>20250127</t>
        </is>
      </c>
      <c r="N177" s="10" t="n">
        <v>85.33</v>
      </c>
      <c r="O177" s="10">
        <f>IFERROR(VLOOKUP(A177,Flete!$A:$J,10,0),"")</f>
        <v/>
      </c>
      <c r="P177" s="8" t="inlineStr">
        <is>
          <t>M3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900001074</v>
      </c>
      <c r="D178" s="7">
        <f>IFERROR(VLOOKUP(C178,TRAOPE!$G:$H,2,0),"")</f>
        <v/>
      </c>
      <c r="E178" s="8" t="inlineStr">
        <is>
          <t>D836</t>
        </is>
      </c>
      <c r="F178" s="8" t="inlineStr">
        <is>
          <t>65671247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10000357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20190426</t>
        </is>
      </c>
      <c r="M178" s="8" t="inlineStr">
        <is>
          <t>20250127</t>
        </is>
      </c>
      <c r="N178" s="10" t="n">
        <v>89.7</v>
      </c>
      <c r="O178" s="10">
        <f>IFERROR(VLOOKUP(A178,Flete!$A:$J,10,0),"")</f>
        <v/>
      </c>
      <c r="P178" s="8" t="inlineStr">
        <is>
          <t>M3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900001074</v>
      </c>
      <c r="D179" s="7">
        <f>IFERROR(VLOOKUP(C179,TRAOPE!$G:$H,2,0),"")</f>
        <v/>
      </c>
      <c r="E179" s="8" t="inlineStr">
        <is>
          <t>D836</t>
        </is>
      </c>
      <c r="F179" s="8" t="inlineStr">
        <is>
          <t>65674132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10000140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20190426</t>
        </is>
      </c>
      <c r="M179" s="8" t="inlineStr">
        <is>
          <t>20250127</t>
        </is>
      </c>
      <c r="N179" s="10" t="n">
        <v>97</v>
      </c>
      <c r="O179" s="10">
        <f>IFERROR(VLOOKUP(A179,Flete!$A:$J,10,0),"")</f>
        <v/>
      </c>
      <c r="P179" s="8" t="inlineStr">
        <is>
          <t>M3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900001074</v>
      </c>
      <c r="D180" s="7">
        <f>IFERROR(VLOOKUP(C180,TRAOPE!$G:$H,2,0),"")</f>
        <v/>
      </c>
      <c r="E180" s="8" t="inlineStr">
        <is>
          <t>D836</t>
        </is>
      </c>
      <c r="F180" s="8" t="inlineStr">
        <is>
          <t>65706147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10000160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20190426</t>
        </is>
      </c>
      <c r="M180" s="8" t="inlineStr">
        <is>
          <t>20250127</t>
        </is>
      </c>
      <c r="N180" s="10" t="n">
        <v>87.15000000000001</v>
      </c>
      <c r="O180" s="10">
        <f>IFERROR(VLOOKUP(A180,Flete!$A:$J,10,0),"")</f>
        <v/>
      </c>
      <c r="P180" s="8" t="inlineStr">
        <is>
          <t>M3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900001074</v>
      </c>
      <c r="D181" s="7">
        <f>IFERROR(VLOOKUP(C181,TRAOPE!$G:$H,2,0),"")</f>
        <v/>
      </c>
      <c r="E181" s="8" t="inlineStr">
        <is>
          <t>D836</t>
        </is>
      </c>
      <c r="F181" s="8" t="inlineStr">
        <is>
          <t>65706147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10000357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20190426</t>
        </is>
      </c>
      <c r="M181" s="8" t="inlineStr">
        <is>
          <t>20250127</t>
        </is>
      </c>
      <c r="N181" s="10" t="n">
        <v>100.8</v>
      </c>
      <c r="O181" s="10">
        <f>IFERROR(VLOOKUP(A181,Flete!$A:$J,10,0),"")</f>
        <v/>
      </c>
      <c r="P181" s="8" t="inlineStr">
        <is>
          <t>M3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900001074</v>
      </c>
      <c r="D182" s="7">
        <f>IFERROR(VLOOKUP(C182,TRAOPE!$G:$H,2,0),"")</f>
        <v/>
      </c>
      <c r="E182" s="8" t="inlineStr">
        <is>
          <t>D836</t>
        </is>
      </c>
      <c r="F182" s="8" t="inlineStr">
        <is>
          <t>65706147</t>
        </is>
      </c>
      <c r="G182" s="8">
        <f>IFERROR(VLOOKUP(A182,Flete!$A:$E,5,0),"")</f>
        <v/>
      </c>
      <c r="H182" s="7">
        <f>IFERROR(VLOOKUP(F182,TRAOPE!$AA:$AB,2,0),"")</f>
        <v/>
      </c>
      <c r="I182" s="7" t="n">
        <v>10000627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20190426</t>
        </is>
      </c>
      <c r="M182" s="8" t="inlineStr">
        <is>
          <t>20250127</t>
        </is>
      </c>
      <c r="N182" s="10" t="n">
        <v>88</v>
      </c>
      <c r="O182" s="10">
        <f>IFERROR(VLOOKUP(A182,Flete!$A:$J,10,0),"")</f>
        <v/>
      </c>
      <c r="P182" s="8" t="inlineStr">
        <is>
          <t>M3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900001074</v>
      </c>
      <c r="D183" s="7">
        <f>IFERROR(VLOOKUP(C183,TRAOPE!$G:$H,2,0),"")</f>
        <v/>
      </c>
      <c r="E183" s="8" t="inlineStr">
        <is>
          <t>D836</t>
        </is>
      </c>
      <c r="F183" s="8" t="inlineStr">
        <is>
          <t>65728668</t>
        </is>
      </c>
      <c r="G183" s="8">
        <f>IFERROR(VLOOKUP(A183,Flete!$A:$E,5,0),"")</f>
        <v/>
      </c>
      <c r="H183" s="7">
        <f>IFERROR(VLOOKUP(F183,TRAOPE!$AA:$AB,2,0),"")</f>
        <v/>
      </c>
      <c r="I183" s="7" t="n">
        <v>10000160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20190426</t>
        </is>
      </c>
      <c r="M183" s="8" t="inlineStr">
        <is>
          <t>20250127</t>
        </is>
      </c>
      <c r="N183" s="10" t="n">
        <v>69.43000000000001</v>
      </c>
      <c r="O183" s="10">
        <f>IFERROR(VLOOKUP(A183,Flete!$A:$J,10,0),"")</f>
        <v/>
      </c>
      <c r="P183" s="8" t="inlineStr">
        <is>
          <t>M3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900001074</v>
      </c>
      <c r="D184" s="7">
        <f>IFERROR(VLOOKUP(C184,TRAOPE!$G:$H,2,0),"")</f>
        <v/>
      </c>
      <c r="E184" s="8" t="inlineStr">
        <is>
          <t>D836</t>
        </is>
      </c>
      <c r="F184" s="8" t="inlineStr">
        <is>
          <t>65728668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10000357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20190426</t>
        </is>
      </c>
      <c r="M184" s="8" t="inlineStr">
        <is>
          <t>20250127</t>
        </is>
      </c>
      <c r="N184" s="10" t="n">
        <v>76.44</v>
      </c>
      <c r="O184" s="10">
        <f>IFERROR(VLOOKUP(A184,Flete!$A:$J,10,0),"")</f>
        <v/>
      </c>
      <c r="P184" s="8" t="inlineStr">
        <is>
          <t>M3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900001074</v>
      </c>
      <c r="D185" s="7">
        <f>IFERROR(VLOOKUP(C185,TRAOPE!$G:$H,2,0),"")</f>
        <v/>
      </c>
      <c r="E185" s="8" t="inlineStr">
        <is>
          <t>D836</t>
        </is>
      </c>
      <c r="F185" s="8" t="inlineStr">
        <is>
          <t>65751297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10000160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20190426</t>
        </is>
      </c>
      <c r="M185" s="8" t="inlineStr">
        <is>
          <t>20250127</t>
        </is>
      </c>
      <c r="N185" s="10" t="n">
        <v>84</v>
      </c>
      <c r="O185" s="10">
        <f>IFERROR(VLOOKUP(A185,Flete!$A:$J,10,0),"")</f>
        <v/>
      </c>
      <c r="P185" s="8" t="inlineStr">
        <is>
          <t>M3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900001074</v>
      </c>
      <c r="D186" s="7">
        <f>IFERROR(VLOOKUP(C186,TRAOPE!$G:$H,2,0),"")</f>
        <v/>
      </c>
      <c r="E186" s="8" t="inlineStr">
        <is>
          <t>D836</t>
        </is>
      </c>
      <c r="F186" s="8" t="inlineStr">
        <is>
          <t>65751297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10000357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20190426</t>
        </is>
      </c>
      <c r="M186" s="8" t="inlineStr">
        <is>
          <t>20250127</t>
        </is>
      </c>
      <c r="N186" s="10" t="n">
        <v>95.5</v>
      </c>
      <c r="O186" s="10">
        <f>IFERROR(VLOOKUP(A186,Flete!$A:$J,10,0),"")</f>
        <v/>
      </c>
      <c r="P186" s="8" t="inlineStr">
        <is>
          <t>M3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900001074</v>
      </c>
      <c r="D187" s="7">
        <f>IFERROR(VLOOKUP(C187,TRAOPE!$G:$H,2,0),"")</f>
        <v/>
      </c>
      <c r="E187" s="8" t="inlineStr">
        <is>
          <t>D836</t>
        </is>
      </c>
      <c r="F187" s="8" t="inlineStr">
        <is>
          <t>65751297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10000627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20190426</t>
        </is>
      </c>
      <c r="M187" s="8" t="inlineStr">
        <is>
          <t>20250127</t>
        </is>
      </c>
      <c r="N187" s="10" t="n">
        <v>84</v>
      </c>
      <c r="O187" s="10">
        <f>IFERROR(VLOOKUP(A187,Flete!$A:$J,10,0),"")</f>
        <v/>
      </c>
      <c r="P187" s="8" t="inlineStr">
        <is>
          <t>M3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900001074</v>
      </c>
      <c r="D188" s="7">
        <f>IFERROR(VLOOKUP(C188,TRAOPE!$G:$H,2,0),"")</f>
        <v/>
      </c>
      <c r="E188" s="8" t="inlineStr">
        <is>
          <t>D836</t>
        </is>
      </c>
      <c r="F188" s="8" t="inlineStr">
        <is>
          <t>65751298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10000160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20190426</t>
        </is>
      </c>
      <c r="M188" s="8" t="inlineStr">
        <is>
          <t>20250127</t>
        </is>
      </c>
      <c r="N188" s="10" t="n">
        <v>84</v>
      </c>
      <c r="O188" s="10">
        <f>IFERROR(VLOOKUP(A188,Flete!$A:$J,10,0),"")</f>
        <v/>
      </c>
      <c r="P188" s="8" t="inlineStr">
        <is>
          <t>M3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900001074</v>
      </c>
      <c r="D189" s="7">
        <f>IFERROR(VLOOKUP(C189,TRAOPE!$G:$H,2,0),"")</f>
        <v/>
      </c>
      <c r="E189" s="8" t="inlineStr">
        <is>
          <t>D836</t>
        </is>
      </c>
      <c r="F189" s="8" t="inlineStr">
        <is>
          <t>65751298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10000357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20190426</t>
        </is>
      </c>
      <c r="M189" s="8" t="inlineStr">
        <is>
          <t>20250127</t>
        </is>
      </c>
      <c r="N189" s="10" t="n">
        <v>95.5</v>
      </c>
      <c r="O189" s="10">
        <f>IFERROR(VLOOKUP(A189,Flete!$A:$J,10,0),"")</f>
        <v/>
      </c>
      <c r="P189" s="8" t="inlineStr">
        <is>
          <t>M3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900001074</v>
      </c>
      <c r="D190" s="7">
        <f>IFERROR(VLOOKUP(C190,TRAOPE!$G:$H,2,0),"")</f>
        <v/>
      </c>
      <c r="E190" s="8" t="inlineStr">
        <is>
          <t>D836</t>
        </is>
      </c>
      <c r="F190" s="8" t="inlineStr">
        <is>
          <t>65751298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10000627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20190426</t>
        </is>
      </c>
      <c r="M190" s="8" t="inlineStr">
        <is>
          <t>20250127</t>
        </is>
      </c>
      <c r="N190" s="10" t="n">
        <v>84</v>
      </c>
      <c r="O190" s="10">
        <f>IFERROR(VLOOKUP(A190,Flete!$A:$J,10,0),"")</f>
        <v/>
      </c>
      <c r="P190" s="8" t="inlineStr">
        <is>
          <t>M3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900001074</v>
      </c>
      <c r="D191" s="7">
        <f>IFERROR(VLOOKUP(C191,TRAOPE!$G:$H,2,0),"")</f>
        <v/>
      </c>
      <c r="E191" s="8" t="inlineStr">
        <is>
          <t>D836</t>
        </is>
      </c>
      <c r="F191" s="8" t="inlineStr">
        <is>
          <t>65751299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10000160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20190426</t>
        </is>
      </c>
      <c r="M191" s="8" t="inlineStr">
        <is>
          <t>20250127</t>
        </is>
      </c>
      <c r="N191" s="10" t="n">
        <v>84</v>
      </c>
      <c r="O191" s="10">
        <f>IFERROR(VLOOKUP(A191,Flete!$A:$J,10,0),"")</f>
        <v/>
      </c>
      <c r="P191" s="8" t="inlineStr">
        <is>
          <t>M3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900001074</v>
      </c>
      <c r="D192" s="7">
        <f>IFERROR(VLOOKUP(C192,TRAOPE!$G:$H,2,0),"")</f>
        <v/>
      </c>
      <c r="E192" s="8" t="inlineStr">
        <is>
          <t>D836</t>
        </is>
      </c>
      <c r="F192" s="8" t="inlineStr">
        <is>
          <t>65751299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10000357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20190426</t>
        </is>
      </c>
      <c r="M192" s="8" t="inlineStr">
        <is>
          <t>20250127</t>
        </is>
      </c>
      <c r="N192" s="10" t="n">
        <v>95.5</v>
      </c>
      <c r="O192" s="10">
        <f>IFERROR(VLOOKUP(A192,Flete!$A:$J,10,0),"")</f>
        <v/>
      </c>
      <c r="P192" s="8" t="inlineStr">
        <is>
          <t>M3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900001074</v>
      </c>
      <c r="D193" s="7">
        <f>IFERROR(VLOOKUP(C193,TRAOPE!$G:$H,2,0),"")</f>
        <v/>
      </c>
      <c r="E193" s="8" t="inlineStr">
        <is>
          <t>D836</t>
        </is>
      </c>
      <c r="F193" s="8" t="inlineStr">
        <is>
          <t>65751299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10000627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20190426</t>
        </is>
      </c>
      <c r="M193" s="8" t="inlineStr">
        <is>
          <t>20250127</t>
        </is>
      </c>
      <c r="N193" s="10" t="n">
        <v>84</v>
      </c>
      <c r="O193" s="10">
        <f>IFERROR(VLOOKUP(A193,Flete!$A:$J,10,0),"")</f>
        <v/>
      </c>
      <c r="P193" s="8" t="inlineStr">
        <is>
          <t>M3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  <row r="194">
      <c r="A194" s="7">
        <f>CONCATENATE(C194,E194,F194,I194)</f>
        <v/>
      </c>
      <c r="B194" s="7">
        <f>CONCATENATE(C194,E194,I194)</f>
        <v/>
      </c>
      <c r="C194" s="8" t="n">
        <v>900001074</v>
      </c>
      <c r="D194" s="7">
        <f>IFERROR(VLOOKUP(C194,TRAOPE!$G:$H,2,0),"")</f>
        <v/>
      </c>
      <c r="E194" s="8" t="inlineStr">
        <is>
          <t>D836</t>
        </is>
      </c>
      <c r="F194" s="8" t="inlineStr">
        <is>
          <t>65751300</t>
        </is>
      </c>
      <c r="G194" s="8">
        <f>IFERROR(VLOOKUP(A194,Flete!$A:$E,5,0),"")</f>
        <v/>
      </c>
      <c r="H194" s="7">
        <f>IFERROR(VLOOKUP(F194,TRAOPE!$AA:$AB,2,0),"")</f>
        <v/>
      </c>
      <c r="I194" s="7" t="n">
        <v>10000160</v>
      </c>
      <c r="J194" s="7">
        <f>IFERROR(VLOOKUP(I194,Materiales!$A:$H,8,0),"")</f>
        <v/>
      </c>
      <c r="K194" s="9">
        <f>IFERROR(VLOOKUP(I194,Materiales!$A:$G,7,0),"")</f>
        <v/>
      </c>
      <c r="L194" s="8" t="inlineStr">
        <is>
          <t>20190426</t>
        </is>
      </c>
      <c r="M194" s="8" t="inlineStr">
        <is>
          <t>20250127</t>
        </is>
      </c>
      <c r="N194" s="10" t="n">
        <v>84</v>
      </c>
      <c r="O194" s="10">
        <f>IFERROR(VLOOKUP(A194,Flete!$A:$J,10,0),"")</f>
        <v/>
      </c>
      <c r="P194" s="8" t="inlineStr">
        <is>
          <t>M3</t>
        </is>
      </c>
      <c r="Q194" s="10">
        <f>IFERROR(IFERROR(VLOOKUP(A194,TRAOPE!$A:$U,21,0),VLOOKUP(B194,TRAOPE!$A:$U,21,0)),"")</f>
        <v/>
      </c>
      <c r="R194" s="8">
        <f>IFERROR(IFERROR(VLOOKUP(A194,TRAOPE!$A:$W,23,0),VLOOKUP(B194,TRAOPE!$A:$W,23,0)),"")</f>
        <v/>
      </c>
      <c r="S194" s="10">
        <f>IF(AND(P194="TN",R194="TN"),N194+N(O194),IF(G194&amp;""="1",N(K194)*N194,(N194+N(O194))*N(K194)))</f>
        <v/>
      </c>
      <c r="T194" s="10">
        <f>IF(Q194="","",Q194-S194)</f>
        <v/>
      </c>
    </row>
    <row r="195">
      <c r="A195" s="7">
        <f>CONCATENATE(C195,E195,F195,I195)</f>
        <v/>
      </c>
      <c r="B195" s="7">
        <f>CONCATENATE(C195,E195,I195)</f>
        <v/>
      </c>
      <c r="C195" s="8" t="n">
        <v>900001074</v>
      </c>
      <c r="D195" s="7">
        <f>IFERROR(VLOOKUP(C195,TRAOPE!$G:$H,2,0),"")</f>
        <v/>
      </c>
      <c r="E195" s="8" t="inlineStr">
        <is>
          <t>D836</t>
        </is>
      </c>
      <c r="F195" s="8" t="inlineStr">
        <is>
          <t>65751300</t>
        </is>
      </c>
      <c r="G195" s="8">
        <f>IFERROR(VLOOKUP(A195,Flete!$A:$E,5,0),"")</f>
        <v/>
      </c>
      <c r="H195" s="7">
        <f>IFERROR(VLOOKUP(F195,TRAOPE!$AA:$AB,2,0),"")</f>
        <v/>
      </c>
      <c r="I195" s="7" t="n">
        <v>10000357</v>
      </c>
      <c r="J195" s="7">
        <f>IFERROR(VLOOKUP(I195,Materiales!$A:$H,8,0),"")</f>
        <v/>
      </c>
      <c r="K195" s="9">
        <f>IFERROR(VLOOKUP(I195,Materiales!$A:$G,7,0),"")</f>
        <v/>
      </c>
      <c r="L195" s="8" t="inlineStr">
        <is>
          <t>20190426</t>
        </is>
      </c>
      <c r="M195" s="8" t="inlineStr">
        <is>
          <t>20250127</t>
        </is>
      </c>
      <c r="N195" s="10" t="n">
        <v>95.5</v>
      </c>
      <c r="O195" s="10">
        <f>IFERROR(VLOOKUP(A195,Flete!$A:$J,10,0),"")</f>
        <v/>
      </c>
      <c r="P195" s="8" t="inlineStr">
        <is>
          <t>M3</t>
        </is>
      </c>
      <c r="Q195" s="10">
        <f>IFERROR(IFERROR(VLOOKUP(A195,TRAOPE!$A:$U,21,0),VLOOKUP(B195,TRAOPE!$A:$U,21,0)),"")</f>
        <v/>
      </c>
      <c r="R195" s="8">
        <f>IFERROR(IFERROR(VLOOKUP(A195,TRAOPE!$A:$W,23,0),VLOOKUP(B195,TRAOPE!$A:$W,23,0)),"")</f>
        <v/>
      </c>
      <c r="S195" s="10">
        <f>IF(AND(P195="TN",R195="TN"),N195+N(O195),IF(G195&amp;""="1",N(K195)*N195,(N195+N(O195))*N(K195)))</f>
        <v/>
      </c>
      <c r="T195" s="10">
        <f>IF(Q195="","",Q195-S195)</f>
        <v/>
      </c>
    </row>
    <row r="196">
      <c r="A196" s="7">
        <f>CONCATENATE(C196,E196,F196,I196)</f>
        <v/>
      </c>
      <c r="B196" s="7">
        <f>CONCATENATE(C196,E196,I196)</f>
        <v/>
      </c>
      <c r="C196" s="8" t="n">
        <v>900001074</v>
      </c>
      <c r="D196" s="7">
        <f>IFERROR(VLOOKUP(C196,TRAOPE!$G:$H,2,0),"")</f>
        <v/>
      </c>
      <c r="E196" s="8" t="inlineStr">
        <is>
          <t>D836</t>
        </is>
      </c>
      <c r="F196" s="8" t="inlineStr">
        <is>
          <t>65751300</t>
        </is>
      </c>
      <c r="G196" s="8">
        <f>IFERROR(VLOOKUP(A196,Flete!$A:$E,5,0),"")</f>
        <v/>
      </c>
      <c r="H196" s="7">
        <f>IFERROR(VLOOKUP(F196,TRAOPE!$AA:$AB,2,0),"")</f>
        <v/>
      </c>
      <c r="I196" s="7" t="n">
        <v>10000627</v>
      </c>
      <c r="J196" s="7">
        <f>IFERROR(VLOOKUP(I196,Materiales!$A:$H,8,0),"")</f>
        <v/>
      </c>
      <c r="K196" s="9">
        <f>IFERROR(VLOOKUP(I196,Materiales!$A:$G,7,0),"")</f>
        <v/>
      </c>
      <c r="L196" s="8" t="inlineStr">
        <is>
          <t>20190426</t>
        </is>
      </c>
      <c r="M196" s="8" t="inlineStr">
        <is>
          <t>20250127</t>
        </is>
      </c>
      <c r="N196" s="10" t="n">
        <v>84</v>
      </c>
      <c r="O196" s="10">
        <f>IFERROR(VLOOKUP(A196,Flete!$A:$J,10,0),"")</f>
        <v/>
      </c>
      <c r="P196" s="8" t="inlineStr">
        <is>
          <t>M3</t>
        </is>
      </c>
      <c r="Q196" s="10">
        <f>IFERROR(IFERROR(VLOOKUP(A196,TRAOPE!$A:$U,21,0),VLOOKUP(B196,TRAOPE!$A:$U,21,0)),"")</f>
        <v/>
      </c>
      <c r="R196" s="8">
        <f>IFERROR(IFERROR(VLOOKUP(A196,TRAOPE!$A:$W,23,0),VLOOKUP(B196,TRAOPE!$A:$W,23,0)),"")</f>
        <v/>
      </c>
      <c r="S196" s="10">
        <f>IF(AND(P196="TN",R196="TN"),N196+N(O196),IF(G196&amp;""="1",N(K196)*N196,(N196+N(O196))*N(K196)))</f>
        <v/>
      </c>
      <c r="T196" s="10">
        <f>IF(Q196="","",Q196-S196)</f>
        <v/>
      </c>
    </row>
    <row r="197">
      <c r="A197" s="7">
        <f>CONCATENATE(C197,E197,F197,I197)</f>
        <v/>
      </c>
      <c r="B197" s="7">
        <f>CONCATENATE(C197,E197,I197)</f>
        <v/>
      </c>
      <c r="C197" s="8" t="n">
        <v>900001074</v>
      </c>
      <c r="D197" s="7">
        <f>IFERROR(VLOOKUP(C197,TRAOPE!$G:$H,2,0),"")</f>
        <v/>
      </c>
      <c r="E197" s="8" t="inlineStr">
        <is>
          <t>D836</t>
        </is>
      </c>
      <c r="F197" s="8" t="inlineStr">
        <is>
          <t>65764474</t>
        </is>
      </c>
      <c r="G197" s="8">
        <f>IFERROR(VLOOKUP(A197,Flete!$A:$E,5,0),"")</f>
        <v/>
      </c>
      <c r="H197" s="7">
        <f>IFERROR(VLOOKUP(F197,TRAOPE!$AA:$AB,2,0),"")</f>
        <v/>
      </c>
      <c r="I197" s="7" t="n">
        <v>10000160</v>
      </c>
      <c r="J197" s="7">
        <f>IFERROR(VLOOKUP(I197,Materiales!$A:$H,8,0),"")</f>
        <v/>
      </c>
      <c r="K197" s="9">
        <f>IFERROR(VLOOKUP(I197,Materiales!$A:$G,7,0),"")</f>
        <v/>
      </c>
      <c r="L197" s="8" t="inlineStr">
        <is>
          <t>20190426</t>
        </is>
      </c>
      <c r="M197" s="8" t="inlineStr">
        <is>
          <t>20250127</t>
        </is>
      </c>
      <c r="N197" s="10" t="n">
        <v>82.28</v>
      </c>
      <c r="O197" s="10">
        <f>IFERROR(VLOOKUP(A197,Flete!$A:$J,10,0),"")</f>
        <v/>
      </c>
      <c r="P197" s="8" t="inlineStr">
        <is>
          <t>M3</t>
        </is>
      </c>
      <c r="Q197" s="10">
        <f>IFERROR(IFERROR(VLOOKUP(A197,TRAOPE!$A:$U,21,0),VLOOKUP(B197,TRAOPE!$A:$U,21,0)),"")</f>
        <v/>
      </c>
      <c r="R197" s="8">
        <f>IFERROR(IFERROR(VLOOKUP(A197,TRAOPE!$A:$W,23,0),VLOOKUP(B197,TRAOPE!$A:$W,23,0)),"")</f>
        <v/>
      </c>
      <c r="S197" s="10">
        <f>IF(AND(P197="TN",R197="TN"),N197+N(O197),IF(G197&amp;""="1",N(K197)*N197,(N197+N(O197))*N(K197)))</f>
        <v/>
      </c>
      <c r="T197" s="10">
        <f>IF(Q197="","",Q197-S197)</f>
        <v/>
      </c>
    </row>
    <row r="198">
      <c r="A198" s="7">
        <f>CONCATENATE(C198,E198,F198,I198)</f>
        <v/>
      </c>
      <c r="B198" s="7">
        <f>CONCATENATE(C198,E198,I198)</f>
        <v/>
      </c>
      <c r="C198" s="8" t="n">
        <v>900001074</v>
      </c>
      <c r="D198" s="7">
        <f>IFERROR(VLOOKUP(C198,TRAOPE!$G:$H,2,0),"")</f>
        <v/>
      </c>
      <c r="E198" s="8" t="inlineStr">
        <is>
          <t>D836</t>
        </is>
      </c>
      <c r="F198" s="8" t="inlineStr">
        <is>
          <t>65764474</t>
        </is>
      </c>
      <c r="G198" s="8">
        <f>IFERROR(VLOOKUP(A198,Flete!$A:$E,5,0),"")</f>
        <v/>
      </c>
      <c r="H198" s="7">
        <f>IFERROR(VLOOKUP(F198,TRAOPE!$AA:$AB,2,0),"")</f>
        <v/>
      </c>
      <c r="I198" s="7" t="n">
        <v>10000357</v>
      </c>
      <c r="J198" s="7">
        <f>IFERROR(VLOOKUP(I198,Materiales!$A:$H,8,0),"")</f>
        <v/>
      </c>
      <c r="K198" s="9">
        <f>IFERROR(VLOOKUP(I198,Materiales!$A:$G,7,0),"")</f>
        <v/>
      </c>
      <c r="L198" s="8" t="inlineStr">
        <is>
          <t>20190426</t>
        </is>
      </c>
      <c r="M198" s="8" t="inlineStr">
        <is>
          <t>20250127</t>
        </is>
      </c>
      <c r="N198" s="10" t="n">
        <v>87.31</v>
      </c>
      <c r="O198" s="10">
        <f>IFERROR(VLOOKUP(A198,Flete!$A:$J,10,0),"")</f>
        <v/>
      </c>
      <c r="P198" s="8" t="inlineStr">
        <is>
          <t>M3</t>
        </is>
      </c>
      <c r="Q198" s="10">
        <f>IFERROR(IFERROR(VLOOKUP(A198,TRAOPE!$A:$U,21,0),VLOOKUP(B198,TRAOPE!$A:$U,21,0)),"")</f>
        <v/>
      </c>
      <c r="R198" s="8">
        <f>IFERROR(IFERROR(VLOOKUP(A198,TRAOPE!$A:$W,23,0),VLOOKUP(B198,TRAOPE!$A:$W,23,0)),"")</f>
        <v/>
      </c>
      <c r="S198" s="10">
        <f>IF(AND(P198="TN",R198="TN"),N198+N(O198),IF(G198&amp;""="1",N(K198)*N198,(N198+N(O198))*N(K198)))</f>
        <v/>
      </c>
      <c r="T198" s="10">
        <f>IF(Q198="","",Q198-S198)</f>
        <v/>
      </c>
    </row>
    <row r="199">
      <c r="A199" s="7">
        <f>CONCATENATE(C199,E199,F199,I199)</f>
        <v/>
      </c>
      <c r="B199" s="7">
        <f>CONCATENATE(C199,E199,I199)</f>
        <v/>
      </c>
      <c r="C199" s="8" t="n">
        <v>900001074</v>
      </c>
      <c r="D199" s="7">
        <f>IFERROR(VLOOKUP(C199,TRAOPE!$G:$H,2,0),"")</f>
        <v/>
      </c>
      <c r="E199" s="8" t="inlineStr">
        <is>
          <t>D836</t>
        </is>
      </c>
      <c r="F199" s="8" t="inlineStr">
        <is>
          <t>65764475</t>
        </is>
      </c>
      <c r="G199" s="8">
        <f>IFERROR(VLOOKUP(A199,Flete!$A:$E,5,0),"")</f>
        <v/>
      </c>
      <c r="H199" s="7">
        <f>IFERROR(VLOOKUP(F199,TRAOPE!$AA:$AB,2,0),"")</f>
        <v/>
      </c>
      <c r="I199" s="7" t="n">
        <v>10000160</v>
      </c>
      <c r="J199" s="7">
        <f>IFERROR(VLOOKUP(I199,Materiales!$A:$H,8,0),"")</f>
        <v/>
      </c>
      <c r="K199" s="9">
        <f>IFERROR(VLOOKUP(I199,Materiales!$A:$G,7,0),"")</f>
        <v/>
      </c>
      <c r="L199" s="8" t="inlineStr">
        <is>
          <t>20190426</t>
        </is>
      </c>
      <c r="M199" s="8" t="inlineStr">
        <is>
          <t>20250127</t>
        </is>
      </c>
      <c r="N199" s="10" t="n">
        <v>82.28</v>
      </c>
      <c r="O199" s="10">
        <f>IFERROR(VLOOKUP(A199,Flete!$A:$J,10,0),"")</f>
        <v/>
      </c>
      <c r="P199" s="8" t="inlineStr">
        <is>
          <t>M3</t>
        </is>
      </c>
      <c r="Q199" s="10">
        <f>IFERROR(IFERROR(VLOOKUP(A199,TRAOPE!$A:$U,21,0),VLOOKUP(B199,TRAOPE!$A:$U,21,0)),"")</f>
        <v/>
      </c>
      <c r="R199" s="8">
        <f>IFERROR(IFERROR(VLOOKUP(A199,TRAOPE!$A:$W,23,0),VLOOKUP(B199,TRAOPE!$A:$W,23,0)),"")</f>
        <v/>
      </c>
      <c r="S199" s="10">
        <f>IF(AND(P199="TN",R199="TN"),N199+N(O199),IF(G199&amp;""="1",N(K199)*N199,(N199+N(O199))*N(K199)))</f>
        <v/>
      </c>
      <c r="T199" s="10">
        <f>IF(Q199="","",Q199-S199)</f>
        <v/>
      </c>
    </row>
    <row r="200">
      <c r="A200" s="7">
        <f>CONCATENATE(C200,E200,F200,I200)</f>
        <v/>
      </c>
      <c r="B200" s="7">
        <f>CONCATENATE(C200,E200,I200)</f>
        <v/>
      </c>
      <c r="C200" s="8" t="n">
        <v>900001074</v>
      </c>
      <c r="D200" s="7">
        <f>IFERROR(VLOOKUP(C200,TRAOPE!$G:$H,2,0),"")</f>
        <v/>
      </c>
      <c r="E200" s="8" t="inlineStr">
        <is>
          <t>D836</t>
        </is>
      </c>
      <c r="F200" s="8" t="inlineStr">
        <is>
          <t>65764475</t>
        </is>
      </c>
      <c r="G200" s="8">
        <f>IFERROR(VLOOKUP(A200,Flete!$A:$E,5,0),"")</f>
        <v/>
      </c>
      <c r="H200" s="7">
        <f>IFERROR(VLOOKUP(F200,TRAOPE!$AA:$AB,2,0),"")</f>
        <v/>
      </c>
      <c r="I200" s="7" t="n">
        <v>10000357</v>
      </c>
      <c r="J200" s="7">
        <f>IFERROR(VLOOKUP(I200,Materiales!$A:$H,8,0),"")</f>
        <v/>
      </c>
      <c r="K200" s="9">
        <f>IFERROR(VLOOKUP(I200,Materiales!$A:$G,7,0),"")</f>
        <v/>
      </c>
      <c r="L200" s="8" t="inlineStr">
        <is>
          <t>20190426</t>
        </is>
      </c>
      <c r="M200" s="8" t="inlineStr">
        <is>
          <t>20250127</t>
        </is>
      </c>
      <c r="N200" s="10" t="n">
        <v>87.31</v>
      </c>
      <c r="O200" s="10">
        <f>IFERROR(VLOOKUP(A200,Flete!$A:$J,10,0),"")</f>
        <v/>
      </c>
      <c r="P200" s="8" t="inlineStr">
        <is>
          <t>M3</t>
        </is>
      </c>
      <c r="Q200" s="10">
        <f>IFERROR(IFERROR(VLOOKUP(A200,TRAOPE!$A:$U,21,0),VLOOKUP(B200,TRAOPE!$A:$U,21,0)),"")</f>
        <v/>
      </c>
      <c r="R200" s="8">
        <f>IFERROR(IFERROR(VLOOKUP(A200,TRAOPE!$A:$W,23,0),VLOOKUP(B200,TRAOPE!$A:$W,23,0)),"")</f>
        <v/>
      </c>
      <c r="S200" s="10">
        <f>IF(AND(P200="TN",R200="TN"),N200+N(O200),IF(G200&amp;""="1",N(K200)*N200,(N200+N(O200))*N(K200)))</f>
        <v/>
      </c>
      <c r="T200" s="10">
        <f>IF(Q200="","",Q200-S200)</f>
        <v/>
      </c>
    </row>
    <row r="201">
      <c r="A201" s="7">
        <f>CONCATENATE(C201,E201,F201,I201)</f>
        <v/>
      </c>
      <c r="B201" s="7">
        <f>CONCATENATE(C201,E201,I201)</f>
        <v/>
      </c>
      <c r="C201" s="8" t="n">
        <v>900001074</v>
      </c>
      <c r="D201" s="7">
        <f>IFERROR(VLOOKUP(C201,TRAOPE!$G:$H,2,0),"")</f>
        <v/>
      </c>
      <c r="E201" s="8" t="inlineStr">
        <is>
          <t>D836</t>
        </is>
      </c>
      <c r="F201" s="8" t="inlineStr">
        <is>
          <t>65791154</t>
        </is>
      </c>
      <c r="G201" s="8">
        <f>IFERROR(VLOOKUP(A201,Flete!$A:$E,5,0),"")</f>
        <v/>
      </c>
      <c r="H201" s="7">
        <f>IFERROR(VLOOKUP(F201,TRAOPE!$AA:$AB,2,0),"")</f>
        <v/>
      </c>
      <c r="I201" s="7" t="n">
        <v>10000160</v>
      </c>
      <c r="J201" s="7">
        <f>IFERROR(VLOOKUP(I201,Materiales!$A:$H,8,0),"")</f>
        <v/>
      </c>
      <c r="K201" s="9">
        <f>IFERROR(VLOOKUP(I201,Materiales!$A:$G,7,0),"")</f>
        <v/>
      </c>
      <c r="L201" s="8" t="inlineStr">
        <is>
          <t>20190426</t>
        </is>
      </c>
      <c r="M201" s="8" t="inlineStr">
        <is>
          <t>20250127</t>
        </is>
      </c>
      <c r="N201" s="10" t="n">
        <v>74.36</v>
      </c>
      <c r="O201" s="10">
        <f>IFERROR(VLOOKUP(A201,Flete!$A:$J,10,0),"")</f>
        <v/>
      </c>
      <c r="P201" s="8" t="inlineStr">
        <is>
          <t>TN</t>
        </is>
      </c>
      <c r="Q201" s="10">
        <f>IFERROR(IFERROR(VLOOKUP(A201,TRAOPE!$A:$U,21,0),VLOOKUP(B201,TRAOPE!$A:$U,21,0)),"")</f>
        <v/>
      </c>
      <c r="R201" s="8">
        <f>IFERROR(IFERROR(VLOOKUP(A201,TRAOPE!$A:$W,23,0),VLOOKUP(B201,TRAOPE!$A:$W,23,0)),"")</f>
        <v/>
      </c>
      <c r="S201" s="10">
        <f>IF(AND(P201="TN",R201="TN"),N201+N(O201),IF(G201&amp;""="1",N(K201)*N201,(N201+N(O201))*N(K201)))</f>
        <v/>
      </c>
      <c r="T201" s="10">
        <f>IF(Q201="","",Q201-S201)</f>
        <v/>
      </c>
    </row>
    <row r="202">
      <c r="A202" s="7">
        <f>CONCATENATE(C202,E202,F202,I202)</f>
        <v/>
      </c>
      <c r="B202" s="7">
        <f>CONCATENATE(C202,E202,I202)</f>
        <v/>
      </c>
      <c r="C202" s="8" t="n">
        <v>900001074</v>
      </c>
      <c r="D202" s="7">
        <f>IFERROR(VLOOKUP(C202,TRAOPE!$G:$H,2,0),"")</f>
        <v/>
      </c>
      <c r="E202" s="8" t="inlineStr">
        <is>
          <t>D836</t>
        </is>
      </c>
      <c r="F202" s="8" t="inlineStr">
        <is>
          <t>65796882</t>
        </is>
      </c>
      <c r="G202" s="8">
        <f>IFERROR(VLOOKUP(A202,Flete!$A:$E,5,0),"")</f>
        <v/>
      </c>
      <c r="H202" s="7">
        <f>IFERROR(VLOOKUP(F202,TRAOPE!$AA:$AB,2,0),"")</f>
        <v/>
      </c>
      <c r="I202" s="7" t="n">
        <v>10000160</v>
      </c>
      <c r="J202" s="7">
        <f>IFERROR(VLOOKUP(I202,Materiales!$A:$H,8,0),"")</f>
        <v/>
      </c>
      <c r="K202" s="9">
        <f>IFERROR(VLOOKUP(I202,Materiales!$A:$G,7,0),"")</f>
        <v/>
      </c>
      <c r="L202" s="8" t="inlineStr">
        <is>
          <t>20190426</t>
        </is>
      </c>
      <c r="M202" s="8" t="inlineStr">
        <is>
          <t>20250127</t>
        </is>
      </c>
      <c r="N202" s="10" t="n">
        <v>88</v>
      </c>
      <c r="O202" s="10">
        <f>IFERROR(VLOOKUP(A202,Flete!$A:$J,10,0),"")</f>
        <v/>
      </c>
      <c r="P202" s="8" t="inlineStr">
        <is>
          <t>M3</t>
        </is>
      </c>
      <c r="Q202" s="10">
        <f>IFERROR(IFERROR(VLOOKUP(A202,TRAOPE!$A:$U,21,0),VLOOKUP(B202,TRAOPE!$A:$U,21,0)),"")</f>
        <v/>
      </c>
      <c r="R202" s="8">
        <f>IFERROR(IFERROR(VLOOKUP(A202,TRAOPE!$A:$W,23,0),VLOOKUP(B202,TRAOPE!$A:$W,23,0)),"")</f>
        <v/>
      </c>
      <c r="S202" s="10">
        <f>IF(AND(P202="TN",R202="TN"),N202+N(O202),IF(G202&amp;""="1",N(K202)*N202,(N202+N(O202))*N(K202)))</f>
        <v/>
      </c>
      <c r="T202" s="10">
        <f>IF(Q202="","",Q202-S202)</f>
        <v/>
      </c>
    </row>
    <row r="203">
      <c r="A203" s="7">
        <f>CONCATENATE(C203,E203,F203,I203)</f>
        <v/>
      </c>
      <c r="B203" s="7">
        <f>CONCATENATE(C203,E203,I203)</f>
        <v/>
      </c>
      <c r="C203" s="8" t="n">
        <v>900001074</v>
      </c>
      <c r="D203" s="7">
        <f>IFERROR(VLOOKUP(C203,TRAOPE!$G:$H,2,0),"")</f>
        <v/>
      </c>
      <c r="E203" s="8" t="inlineStr">
        <is>
          <t>D836</t>
        </is>
      </c>
      <c r="F203" s="8" t="inlineStr">
        <is>
          <t>65796882</t>
        </is>
      </c>
      <c r="G203" s="8">
        <f>IFERROR(VLOOKUP(A203,Flete!$A:$E,5,0),"")</f>
        <v/>
      </c>
      <c r="H203" s="7">
        <f>IFERROR(VLOOKUP(F203,TRAOPE!$AA:$AB,2,0),"")</f>
        <v/>
      </c>
      <c r="I203" s="7" t="n">
        <v>10000357</v>
      </c>
      <c r="J203" s="7">
        <f>IFERROR(VLOOKUP(I203,Materiales!$A:$H,8,0),"")</f>
        <v/>
      </c>
      <c r="K203" s="9">
        <f>IFERROR(VLOOKUP(I203,Materiales!$A:$G,7,0),"")</f>
        <v/>
      </c>
      <c r="L203" s="8" t="inlineStr">
        <is>
          <t>20190426</t>
        </is>
      </c>
      <c r="M203" s="8" t="inlineStr">
        <is>
          <t>20250127</t>
        </is>
      </c>
      <c r="N203" s="10" t="n">
        <v>100</v>
      </c>
      <c r="O203" s="10">
        <f>IFERROR(VLOOKUP(A203,Flete!$A:$J,10,0),"")</f>
        <v/>
      </c>
      <c r="P203" s="8" t="inlineStr">
        <is>
          <t>M3</t>
        </is>
      </c>
      <c r="Q203" s="10">
        <f>IFERROR(IFERROR(VLOOKUP(A203,TRAOPE!$A:$U,21,0),VLOOKUP(B203,TRAOPE!$A:$U,21,0)),"")</f>
        <v/>
      </c>
      <c r="R203" s="8">
        <f>IFERROR(IFERROR(VLOOKUP(A203,TRAOPE!$A:$W,23,0),VLOOKUP(B203,TRAOPE!$A:$W,23,0)),"")</f>
        <v/>
      </c>
      <c r="S203" s="10">
        <f>IF(AND(P203="TN",R203="TN"),N203+N(O203),IF(G203&amp;""="1",N(K203)*N203,(N203+N(O203))*N(K203)))</f>
        <v/>
      </c>
      <c r="T203" s="10">
        <f>IF(Q203="","",Q203-S203)</f>
        <v/>
      </c>
    </row>
    <row r="204">
      <c r="A204" s="7">
        <f>CONCATENATE(C204,E204,F204,I204)</f>
        <v/>
      </c>
      <c r="B204" s="7">
        <f>CONCATENATE(C204,E204,I204)</f>
        <v/>
      </c>
      <c r="C204" s="8" t="n">
        <v>900001074</v>
      </c>
      <c r="D204" s="7">
        <f>IFERROR(VLOOKUP(C204,TRAOPE!$G:$H,2,0),"")</f>
        <v/>
      </c>
      <c r="E204" s="8" t="inlineStr">
        <is>
          <t>D836</t>
        </is>
      </c>
      <c r="F204" s="8" t="inlineStr">
        <is>
          <t>65886028</t>
        </is>
      </c>
      <c r="G204" s="8">
        <f>IFERROR(VLOOKUP(A204,Flete!$A:$E,5,0),"")</f>
        <v/>
      </c>
      <c r="H204" s="7">
        <f>IFERROR(VLOOKUP(F204,TRAOPE!$AA:$AB,2,0),"")</f>
        <v/>
      </c>
      <c r="I204" s="7" t="n">
        <v>10000160</v>
      </c>
      <c r="J204" s="7">
        <f>IFERROR(VLOOKUP(I204,Materiales!$A:$H,8,0),"")</f>
        <v/>
      </c>
      <c r="K204" s="9">
        <f>IFERROR(VLOOKUP(I204,Materiales!$A:$G,7,0),"")</f>
        <v/>
      </c>
      <c r="L204" s="8" t="inlineStr">
        <is>
          <t>20190426</t>
        </is>
      </c>
      <c r="M204" s="8" t="inlineStr">
        <is>
          <t>20250127</t>
        </is>
      </c>
      <c r="N204" s="10" t="n">
        <v>90.20999999999999</v>
      </c>
      <c r="O204" s="10">
        <f>IFERROR(VLOOKUP(A204,Flete!$A:$J,10,0),"")</f>
        <v/>
      </c>
      <c r="P204" s="8" t="inlineStr">
        <is>
          <t>M3</t>
        </is>
      </c>
      <c r="Q204" s="10">
        <f>IFERROR(IFERROR(VLOOKUP(A204,TRAOPE!$A:$U,21,0),VLOOKUP(B204,TRAOPE!$A:$U,21,0)),"")</f>
        <v/>
      </c>
      <c r="R204" s="8">
        <f>IFERROR(IFERROR(VLOOKUP(A204,TRAOPE!$A:$W,23,0),VLOOKUP(B204,TRAOPE!$A:$W,23,0)),"")</f>
        <v/>
      </c>
      <c r="S204" s="10">
        <f>IF(AND(P204="TN",R204="TN"),N204+N(O204),IF(G204&amp;""="1",N(K204)*N204,(N204+N(O204))*N(K204)))</f>
        <v/>
      </c>
      <c r="T204" s="10">
        <f>IF(Q204="","",Q204-S204)</f>
        <v/>
      </c>
    </row>
    <row r="205">
      <c r="A205" s="7">
        <f>CONCATENATE(C205,E205,F205,I205)</f>
        <v/>
      </c>
      <c r="B205" s="7">
        <f>CONCATENATE(C205,E205,I205)</f>
        <v/>
      </c>
      <c r="C205" s="8" t="n">
        <v>900001074</v>
      </c>
      <c r="D205" s="7">
        <f>IFERROR(VLOOKUP(C205,TRAOPE!$G:$H,2,0),"")</f>
        <v/>
      </c>
      <c r="E205" s="8" t="inlineStr">
        <is>
          <t>D836</t>
        </is>
      </c>
      <c r="F205" s="8" t="inlineStr">
        <is>
          <t>65908426</t>
        </is>
      </c>
      <c r="G205" s="8">
        <f>IFERROR(VLOOKUP(A205,Flete!$A:$E,5,0),"")</f>
        <v/>
      </c>
      <c r="H205" s="7">
        <f>IFERROR(VLOOKUP(F205,TRAOPE!$AA:$AB,2,0),"")</f>
        <v/>
      </c>
      <c r="I205" s="7" t="n">
        <v>10000160</v>
      </c>
      <c r="J205" s="7">
        <f>IFERROR(VLOOKUP(I205,Materiales!$A:$H,8,0),"")</f>
        <v/>
      </c>
      <c r="K205" s="9">
        <f>IFERROR(VLOOKUP(I205,Materiales!$A:$G,7,0),"")</f>
        <v/>
      </c>
      <c r="L205" s="8" t="inlineStr">
        <is>
          <t>20190426</t>
        </is>
      </c>
      <c r="M205" s="8" t="inlineStr">
        <is>
          <t>20250127</t>
        </is>
      </c>
      <c r="N205" s="10" t="n">
        <v>85.59999999999999</v>
      </c>
      <c r="O205" s="10">
        <f>IFERROR(VLOOKUP(A205,Flete!$A:$J,10,0),"")</f>
        <v/>
      </c>
      <c r="P205" s="8" t="inlineStr">
        <is>
          <t>M3</t>
        </is>
      </c>
      <c r="Q205" s="10">
        <f>IFERROR(IFERROR(VLOOKUP(A205,TRAOPE!$A:$U,21,0),VLOOKUP(B205,TRAOPE!$A:$U,21,0)),"")</f>
        <v/>
      </c>
      <c r="R205" s="8">
        <f>IFERROR(IFERROR(VLOOKUP(A205,TRAOPE!$A:$W,23,0),VLOOKUP(B205,TRAOPE!$A:$W,23,0)),"")</f>
        <v/>
      </c>
      <c r="S205" s="10">
        <f>IF(AND(P205="TN",R205="TN"),N205+N(O205),IF(G205&amp;""="1",N(K205)*N205,(N205+N(O205))*N(K205)))</f>
        <v/>
      </c>
      <c r="T205" s="10">
        <f>IF(Q205="","",Q205-S205)</f>
        <v/>
      </c>
    </row>
    <row r="206">
      <c r="A206" s="7">
        <f>CONCATENATE(C206,E206,F206,I206)</f>
        <v/>
      </c>
      <c r="B206" s="7">
        <f>CONCATENATE(C206,E206,I206)</f>
        <v/>
      </c>
      <c r="C206" s="8" t="n">
        <v>900001074</v>
      </c>
      <c r="D206" s="7">
        <f>IFERROR(VLOOKUP(C206,TRAOPE!$G:$H,2,0),"")</f>
        <v/>
      </c>
      <c r="E206" s="8" t="inlineStr">
        <is>
          <t>D836</t>
        </is>
      </c>
      <c r="F206" s="8" t="inlineStr">
        <is>
          <t>65911313</t>
        </is>
      </c>
      <c r="G206" s="8">
        <f>IFERROR(VLOOKUP(A206,Flete!$A:$E,5,0),"")</f>
        <v/>
      </c>
      <c r="H206" s="7">
        <f>IFERROR(VLOOKUP(F206,TRAOPE!$AA:$AB,2,0),"")</f>
        <v/>
      </c>
      <c r="I206" s="7" t="n">
        <v>10000206</v>
      </c>
      <c r="J206" s="7">
        <f>IFERROR(VLOOKUP(I206,Materiales!$A:$H,8,0),"")</f>
        <v/>
      </c>
      <c r="K206" s="9">
        <f>IFERROR(VLOOKUP(I206,Materiales!$A:$G,7,0),"")</f>
        <v/>
      </c>
      <c r="L206" s="8" t="inlineStr">
        <is>
          <t>20190426</t>
        </is>
      </c>
      <c r="M206" s="8" t="inlineStr">
        <is>
          <t>20250127</t>
        </is>
      </c>
      <c r="N206" s="10" t="n">
        <v>28.75</v>
      </c>
      <c r="O206" s="10">
        <f>IFERROR(VLOOKUP(A206,Flete!$A:$J,10,0),"")</f>
        <v/>
      </c>
      <c r="P206" s="8" t="inlineStr">
        <is>
          <t>M3</t>
        </is>
      </c>
      <c r="Q206" s="10">
        <f>IFERROR(IFERROR(VLOOKUP(A206,TRAOPE!$A:$U,21,0),VLOOKUP(B206,TRAOPE!$A:$U,21,0)),"")</f>
        <v/>
      </c>
      <c r="R206" s="8">
        <f>IFERROR(IFERROR(VLOOKUP(A206,TRAOPE!$A:$W,23,0),VLOOKUP(B206,TRAOPE!$A:$W,23,0)),"")</f>
        <v/>
      </c>
      <c r="S206" s="10">
        <f>IF(AND(P206="TN",R206="TN"),N206+N(O206),IF(G206&amp;""="1",N(K206)*N206,(N206+N(O206))*N(K206)))</f>
        <v/>
      </c>
      <c r="T206" s="10">
        <f>IF(Q206="","",Q206-S206)</f>
        <v/>
      </c>
    </row>
    <row r="207">
      <c r="A207" s="7">
        <f>CONCATENATE(C207,E207,F207,I207)</f>
        <v/>
      </c>
      <c r="B207" s="7">
        <f>CONCATENATE(C207,E207,I207)</f>
        <v/>
      </c>
      <c r="C207" s="8" t="n">
        <v>900001074</v>
      </c>
      <c r="D207" s="7">
        <f>IFERROR(VLOOKUP(C207,TRAOPE!$G:$H,2,0),"")</f>
        <v/>
      </c>
      <c r="E207" s="8" t="inlineStr">
        <is>
          <t>D836</t>
        </is>
      </c>
      <c r="F207" s="8" t="inlineStr">
        <is>
          <t>65916616</t>
        </is>
      </c>
      <c r="G207" s="8">
        <f>IFERROR(VLOOKUP(A207,Flete!$A:$E,5,0),"")</f>
        <v/>
      </c>
      <c r="H207" s="7">
        <f>IFERROR(VLOOKUP(F207,TRAOPE!$AA:$AB,2,0),"")</f>
        <v/>
      </c>
      <c r="I207" s="7" t="n">
        <v>10000160</v>
      </c>
      <c r="J207" s="7">
        <f>IFERROR(VLOOKUP(I207,Materiales!$A:$H,8,0),"")</f>
        <v/>
      </c>
      <c r="K207" s="9">
        <f>IFERROR(VLOOKUP(I207,Materiales!$A:$G,7,0),"")</f>
        <v/>
      </c>
      <c r="L207" s="8" t="inlineStr">
        <is>
          <t>20190426</t>
        </is>
      </c>
      <c r="M207" s="8" t="inlineStr">
        <is>
          <t>20250127</t>
        </is>
      </c>
      <c r="N207" s="10" t="n">
        <v>88</v>
      </c>
      <c r="O207" s="10">
        <f>IFERROR(VLOOKUP(A207,Flete!$A:$J,10,0),"")</f>
        <v/>
      </c>
      <c r="P207" s="8" t="inlineStr">
        <is>
          <t>M3</t>
        </is>
      </c>
      <c r="Q207" s="10">
        <f>IFERROR(IFERROR(VLOOKUP(A207,TRAOPE!$A:$U,21,0),VLOOKUP(B207,TRAOPE!$A:$U,21,0)),"")</f>
        <v/>
      </c>
      <c r="R207" s="8">
        <f>IFERROR(IFERROR(VLOOKUP(A207,TRAOPE!$A:$W,23,0),VLOOKUP(B207,TRAOPE!$A:$W,23,0)),"")</f>
        <v/>
      </c>
      <c r="S207" s="10">
        <f>IF(AND(P207="TN",R207="TN"),N207+N(O207),IF(G207&amp;""="1",N(K207)*N207,(N207+N(O207))*N(K207)))</f>
        <v/>
      </c>
      <c r="T207" s="10">
        <f>IF(Q207="","",Q207-S207)</f>
        <v/>
      </c>
    </row>
    <row r="208">
      <c r="A208" s="7">
        <f>CONCATENATE(C208,E208,F208,I208)</f>
        <v/>
      </c>
      <c r="B208" s="7">
        <f>CONCATENATE(C208,E208,I208)</f>
        <v/>
      </c>
      <c r="C208" s="8" t="n">
        <v>900001074</v>
      </c>
      <c r="D208" s="7">
        <f>IFERROR(VLOOKUP(C208,TRAOPE!$G:$H,2,0),"")</f>
        <v/>
      </c>
      <c r="E208" s="8" t="inlineStr">
        <is>
          <t>D836</t>
        </is>
      </c>
      <c r="F208" s="8" t="inlineStr">
        <is>
          <t>65916616</t>
        </is>
      </c>
      <c r="G208" s="8">
        <f>IFERROR(VLOOKUP(A208,Flete!$A:$E,5,0),"")</f>
        <v/>
      </c>
      <c r="H208" s="7">
        <f>IFERROR(VLOOKUP(F208,TRAOPE!$AA:$AB,2,0),"")</f>
        <v/>
      </c>
      <c r="I208" s="7" t="n">
        <v>10000357</v>
      </c>
      <c r="J208" s="7">
        <f>IFERROR(VLOOKUP(I208,Materiales!$A:$H,8,0),"")</f>
        <v/>
      </c>
      <c r="K208" s="9">
        <f>IFERROR(VLOOKUP(I208,Materiales!$A:$G,7,0),"")</f>
        <v/>
      </c>
      <c r="L208" s="8" t="inlineStr">
        <is>
          <t>20190426</t>
        </is>
      </c>
      <c r="M208" s="8" t="inlineStr">
        <is>
          <t>20250127</t>
        </is>
      </c>
      <c r="N208" s="10" t="n">
        <v>110</v>
      </c>
      <c r="O208" s="10">
        <f>IFERROR(VLOOKUP(A208,Flete!$A:$J,10,0),"")</f>
        <v/>
      </c>
      <c r="P208" s="8" t="inlineStr">
        <is>
          <t>M3</t>
        </is>
      </c>
      <c r="Q208" s="10">
        <f>IFERROR(IFERROR(VLOOKUP(A208,TRAOPE!$A:$U,21,0),VLOOKUP(B208,TRAOPE!$A:$U,21,0)),"")</f>
        <v/>
      </c>
      <c r="R208" s="8">
        <f>IFERROR(IFERROR(VLOOKUP(A208,TRAOPE!$A:$W,23,0),VLOOKUP(B208,TRAOPE!$A:$W,23,0)),"")</f>
        <v/>
      </c>
      <c r="S208" s="10">
        <f>IF(AND(P208="TN",R208="TN"),N208+N(O208),IF(G208&amp;""="1",N(K208)*N208,(N208+N(O208))*N(K208)))</f>
        <v/>
      </c>
      <c r="T208" s="10">
        <f>IF(Q208="","",Q208-S208)</f>
        <v/>
      </c>
    </row>
    <row r="209">
      <c r="A209" s="7">
        <f>CONCATENATE(C209,E209,F209,I209)</f>
        <v/>
      </c>
      <c r="B209" s="7">
        <f>CONCATENATE(C209,E209,I209)</f>
        <v/>
      </c>
      <c r="C209" s="8" t="n">
        <v>900001074</v>
      </c>
      <c r="D209" s="7">
        <f>IFERROR(VLOOKUP(C209,TRAOPE!$G:$H,2,0),"")</f>
        <v/>
      </c>
      <c r="E209" s="8" t="inlineStr">
        <is>
          <t>D836</t>
        </is>
      </c>
      <c r="F209" s="8" t="inlineStr">
        <is>
          <t>65920750</t>
        </is>
      </c>
      <c r="G209" s="8">
        <f>IFERROR(VLOOKUP(A209,Flete!$A:$E,5,0),"")</f>
        <v/>
      </c>
      <c r="H209" s="7">
        <f>IFERROR(VLOOKUP(F209,TRAOPE!$AA:$AB,2,0),"")</f>
        <v/>
      </c>
      <c r="I209" s="7" t="n">
        <v>10000357</v>
      </c>
      <c r="J209" s="7">
        <f>IFERROR(VLOOKUP(I209,Materiales!$A:$H,8,0),"")</f>
        <v/>
      </c>
      <c r="K209" s="9">
        <f>IFERROR(VLOOKUP(I209,Materiales!$A:$G,7,0),"")</f>
        <v/>
      </c>
      <c r="L209" s="8" t="inlineStr">
        <is>
          <t>20190426</t>
        </is>
      </c>
      <c r="M209" s="8" t="inlineStr">
        <is>
          <t>20250127</t>
        </is>
      </c>
      <c r="N209" s="10" t="n">
        <v>84.92</v>
      </c>
      <c r="O209" s="10">
        <f>IFERROR(VLOOKUP(A209,Flete!$A:$J,10,0),"")</f>
        <v/>
      </c>
      <c r="P209" s="8" t="inlineStr">
        <is>
          <t>M3</t>
        </is>
      </c>
      <c r="Q209" s="10">
        <f>IFERROR(IFERROR(VLOOKUP(A209,TRAOPE!$A:$U,21,0),VLOOKUP(B209,TRAOPE!$A:$U,21,0)),"")</f>
        <v/>
      </c>
      <c r="R209" s="8">
        <f>IFERROR(IFERROR(VLOOKUP(A209,TRAOPE!$A:$W,23,0),VLOOKUP(B209,TRAOPE!$A:$W,23,0)),"")</f>
        <v/>
      </c>
      <c r="S209" s="10">
        <f>IF(AND(P209="TN",R209="TN"),N209+N(O209),IF(G209&amp;""="1",N(K209)*N209,(N209+N(O209))*N(K209)))</f>
        <v/>
      </c>
      <c r="T209" s="10">
        <f>IF(Q209="","",Q209-S209)</f>
        <v/>
      </c>
    </row>
    <row r="210">
      <c r="A210" s="7">
        <f>CONCATENATE(C210,E210,F210,I210)</f>
        <v/>
      </c>
      <c r="B210" s="7">
        <f>CONCATENATE(C210,E210,I210)</f>
        <v/>
      </c>
      <c r="C210" s="8" t="n">
        <v>900001074</v>
      </c>
      <c r="D210" s="7">
        <f>IFERROR(VLOOKUP(C210,TRAOPE!$G:$H,2,0),"")</f>
        <v/>
      </c>
      <c r="E210" s="8" t="inlineStr">
        <is>
          <t>D836</t>
        </is>
      </c>
      <c r="F210" s="8" t="inlineStr">
        <is>
          <t>65952991</t>
        </is>
      </c>
      <c r="G210" s="8">
        <f>IFERROR(VLOOKUP(A210,Flete!$A:$E,5,0),"")</f>
        <v/>
      </c>
      <c r="H210" s="7">
        <f>IFERROR(VLOOKUP(F210,TRAOPE!$AA:$AB,2,0),"")</f>
        <v/>
      </c>
      <c r="I210" s="7" t="n">
        <v>10000160</v>
      </c>
      <c r="J210" s="7">
        <f>IFERROR(VLOOKUP(I210,Materiales!$A:$H,8,0),"")</f>
        <v/>
      </c>
      <c r="K210" s="9">
        <f>IFERROR(VLOOKUP(I210,Materiales!$A:$G,7,0),"")</f>
        <v/>
      </c>
      <c r="L210" s="8" t="inlineStr">
        <is>
          <t>20190426</t>
        </is>
      </c>
      <c r="M210" s="8" t="inlineStr">
        <is>
          <t>20250127</t>
        </is>
      </c>
      <c r="N210" s="10" t="n">
        <v>82.89</v>
      </c>
      <c r="O210" s="10">
        <f>IFERROR(VLOOKUP(A210,Flete!$A:$J,10,0),"")</f>
        <v/>
      </c>
      <c r="P210" s="8" t="inlineStr">
        <is>
          <t>M3</t>
        </is>
      </c>
      <c r="Q210" s="10">
        <f>IFERROR(IFERROR(VLOOKUP(A210,TRAOPE!$A:$U,21,0),VLOOKUP(B210,TRAOPE!$A:$U,21,0)),"")</f>
        <v/>
      </c>
      <c r="R210" s="8">
        <f>IFERROR(IFERROR(VLOOKUP(A210,TRAOPE!$A:$W,23,0),VLOOKUP(B210,TRAOPE!$A:$W,23,0)),"")</f>
        <v/>
      </c>
      <c r="S210" s="10">
        <f>IF(AND(P210="TN",R210="TN"),N210+N(O210),IF(G210&amp;""="1",N(K210)*N210,(N210+N(O210))*N(K210)))</f>
        <v/>
      </c>
      <c r="T210" s="10">
        <f>IF(Q210="","",Q210-S210)</f>
        <v/>
      </c>
    </row>
    <row r="211">
      <c r="A211" s="7">
        <f>CONCATENATE(C211,E211,F211,I211)</f>
        <v/>
      </c>
      <c r="B211" s="7">
        <f>CONCATENATE(C211,E211,I211)</f>
        <v/>
      </c>
      <c r="C211" s="8" t="n">
        <v>900001074</v>
      </c>
      <c r="D211" s="7">
        <f>IFERROR(VLOOKUP(C211,TRAOPE!$G:$H,2,0),"")</f>
        <v/>
      </c>
      <c r="E211" s="8" t="inlineStr">
        <is>
          <t>D836</t>
        </is>
      </c>
      <c r="F211" s="8" t="inlineStr">
        <is>
          <t>66167552</t>
        </is>
      </c>
      <c r="G211" s="8">
        <f>IFERROR(VLOOKUP(A211,Flete!$A:$E,5,0),"")</f>
        <v/>
      </c>
      <c r="H211" s="7">
        <f>IFERROR(VLOOKUP(F211,TRAOPE!$AA:$AB,2,0),"")</f>
        <v/>
      </c>
      <c r="I211" s="7" t="n">
        <v>10000160</v>
      </c>
      <c r="J211" s="7">
        <f>IFERROR(VLOOKUP(I211,Materiales!$A:$H,8,0),"")</f>
        <v/>
      </c>
      <c r="K211" s="9">
        <f>IFERROR(VLOOKUP(I211,Materiales!$A:$G,7,0),"")</f>
        <v/>
      </c>
      <c r="L211" s="8" t="inlineStr">
        <is>
          <t>20190426</t>
        </is>
      </c>
      <c r="M211" s="8" t="inlineStr">
        <is>
          <t>20250127</t>
        </is>
      </c>
      <c r="N211" s="10" t="n">
        <v>74.98999999999999</v>
      </c>
      <c r="O211" s="10">
        <f>IFERROR(VLOOKUP(A211,Flete!$A:$J,10,0),"")</f>
        <v/>
      </c>
      <c r="P211" s="8" t="inlineStr">
        <is>
          <t>TN</t>
        </is>
      </c>
      <c r="Q211" s="10">
        <f>IFERROR(IFERROR(VLOOKUP(A211,TRAOPE!$A:$U,21,0),VLOOKUP(B211,TRAOPE!$A:$U,21,0)),"")</f>
        <v/>
      </c>
      <c r="R211" s="8">
        <f>IFERROR(IFERROR(VLOOKUP(A211,TRAOPE!$A:$W,23,0),VLOOKUP(B211,TRAOPE!$A:$W,23,0)),"")</f>
        <v/>
      </c>
      <c r="S211" s="10">
        <f>IF(AND(P211="TN",R211="TN"),N211+N(O211),IF(G211&amp;""="1",N(K211)*N211,(N211+N(O211))*N(K211)))</f>
        <v/>
      </c>
      <c r="T211" s="10">
        <f>IF(Q211="","",Q211-S211)</f>
        <v/>
      </c>
    </row>
    <row r="212">
      <c r="A212" s="7">
        <f>CONCATENATE(C212,E212,F212,I212)</f>
        <v/>
      </c>
      <c r="B212" s="7">
        <f>CONCATENATE(C212,E212,I212)</f>
        <v/>
      </c>
      <c r="C212" s="8" t="n">
        <v>900001074</v>
      </c>
      <c r="D212" s="7">
        <f>IFERROR(VLOOKUP(C212,TRAOPE!$G:$H,2,0),"")</f>
        <v/>
      </c>
      <c r="E212" s="8" t="inlineStr">
        <is>
          <t>D836</t>
        </is>
      </c>
      <c r="F212" s="8" t="inlineStr">
        <is>
          <t>66167552</t>
        </is>
      </c>
      <c r="G212" s="8">
        <f>IFERROR(VLOOKUP(A212,Flete!$A:$E,5,0),"")</f>
        <v/>
      </c>
      <c r="H212" s="7">
        <f>IFERROR(VLOOKUP(F212,TRAOPE!$AA:$AB,2,0),"")</f>
        <v/>
      </c>
      <c r="I212" s="7" t="n">
        <v>10000357</v>
      </c>
      <c r="J212" s="7">
        <f>IFERROR(VLOOKUP(I212,Materiales!$A:$H,8,0),"")</f>
        <v/>
      </c>
      <c r="K212" s="9">
        <f>IFERROR(VLOOKUP(I212,Materiales!$A:$G,7,0),"")</f>
        <v/>
      </c>
      <c r="L212" s="8" t="inlineStr">
        <is>
          <t>20190426</t>
        </is>
      </c>
      <c r="M212" s="8" t="inlineStr">
        <is>
          <t>20250127</t>
        </is>
      </c>
      <c r="N212" s="10" t="n">
        <v>73.83</v>
      </c>
      <c r="O212" s="10">
        <f>IFERROR(VLOOKUP(A212,Flete!$A:$J,10,0),"")</f>
        <v/>
      </c>
      <c r="P212" s="8" t="inlineStr">
        <is>
          <t>TN</t>
        </is>
      </c>
      <c r="Q212" s="10">
        <f>IFERROR(IFERROR(VLOOKUP(A212,TRAOPE!$A:$U,21,0),VLOOKUP(B212,TRAOPE!$A:$U,21,0)),"")</f>
        <v/>
      </c>
      <c r="R212" s="8">
        <f>IFERROR(IFERROR(VLOOKUP(A212,TRAOPE!$A:$W,23,0),VLOOKUP(B212,TRAOPE!$A:$W,23,0)),"")</f>
        <v/>
      </c>
      <c r="S212" s="10">
        <f>IF(AND(P212="TN",R212="TN"),N212+N(O212),IF(G212&amp;""="1",N(K212)*N212,(N212+N(O212))*N(K212)))</f>
        <v/>
      </c>
      <c r="T212" s="10">
        <f>IF(Q212="","",Q212-S212)</f>
        <v/>
      </c>
    </row>
    <row r="213">
      <c r="A213" s="7">
        <f>CONCATENATE(C213,E213,F213,I213)</f>
        <v/>
      </c>
      <c r="B213" s="7">
        <f>CONCATENATE(C213,E213,I213)</f>
        <v/>
      </c>
      <c r="C213" s="8" t="n">
        <v>900001074</v>
      </c>
      <c r="D213" s="7">
        <f>IFERROR(VLOOKUP(C213,TRAOPE!$G:$H,2,0),"")</f>
        <v/>
      </c>
      <c r="E213" s="8" t="inlineStr">
        <is>
          <t>D836</t>
        </is>
      </c>
      <c r="F213" s="8" t="inlineStr">
        <is>
          <t>66212637</t>
        </is>
      </c>
      <c r="G213" s="8">
        <f>IFERROR(VLOOKUP(A213,Flete!$A:$E,5,0),"")</f>
        <v/>
      </c>
      <c r="H213" s="7">
        <f>IFERROR(VLOOKUP(F213,TRAOPE!$AA:$AB,2,0),"")</f>
        <v/>
      </c>
      <c r="I213" s="7" t="n">
        <v>10019515</v>
      </c>
      <c r="J213" s="7">
        <f>IFERROR(VLOOKUP(I213,Materiales!$A:$H,8,0),"")</f>
        <v/>
      </c>
      <c r="K213" s="9">
        <f>IFERROR(VLOOKUP(I213,Materiales!$A:$G,7,0),"")</f>
        <v/>
      </c>
      <c r="L213" s="8" t="inlineStr">
        <is>
          <t>20190426</t>
        </is>
      </c>
      <c r="M213" s="8" t="inlineStr">
        <is>
          <t>20250127</t>
        </is>
      </c>
      <c r="N213" s="10" t="n">
        <v>120.18</v>
      </c>
      <c r="O213" s="10">
        <f>IFERROR(VLOOKUP(A213,Flete!$A:$J,10,0),"")</f>
        <v/>
      </c>
      <c r="P213" s="8" t="inlineStr">
        <is>
          <t>M3</t>
        </is>
      </c>
      <c r="Q213" s="10">
        <f>IFERROR(IFERROR(VLOOKUP(A213,TRAOPE!$A:$U,21,0),VLOOKUP(B213,TRAOPE!$A:$U,21,0)),"")</f>
        <v/>
      </c>
      <c r="R213" s="8">
        <f>IFERROR(IFERROR(VLOOKUP(A213,TRAOPE!$A:$W,23,0),VLOOKUP(B213,TRAOPE!$A:$W,23,0)),"")</f>
        <v/>
      </c>
      <c r="S213" s="10">
        <f>IF(AND(P213="TN",R213="TN"),N213+N(O213),IF(G213&amp;""="1",N(K213)*N213,(N213+N(O213))*N(K213)))</f>
        <v/>
      </c>
      <c r="T213" s="10">
        <f>IF(Q213="","",Q213-S213)</f>
        <v/>
      </c>
    </row>
    <row r="214">
      <c r="A214" s="7">
        <f>CONCATENATE(C214,E214,F214,I214)</f>
        <v/>
      </c>
      <c r="B214" s="7">
        <f>CONCATENATE(C214,E214,I214)</f>
        <v/>
      </c>
      <c r="C214" s="8" t="n">
        <v>900001074</v>
      </c>
      <c r="D214" s="7">
        <f>IFERROR(VLOOKUP(C214,TRAOPE!$G:$H,2,0),"")</f>
        <v/>
      </c>
      <c r="E214" s="8" t="inlineStr">
        <is>
          <t>D836</t>
        </is>
      </c>
      <c r="F214" s="8" t="inlineStr">
        <is>
          <t>66230098</t>
        </is>
      </c>
      <c r="G214" s="8">
        <f>IFERROR(VLOOKUP(A214,Flete!$A:$E,5,0),"")</f>
        <v/>
      </c>
      <c r="H214" s="7">
        <f>IFERROR(VLOOKUP(F214,TRAOPE!$AA:$AB,2,0),"")</f>
        <v/>
      </c>
      <c r="I214" s="7" t="n">
        <v>10000160</v>
      </c>
      <c r="J214" s="7">
        <f>IFERROR(VLOOKUP(I214,Materiales!$A:$H,8,0),"")</f>
        <v/>
      </c>
      <c r="K214" s="9">
        <f>IFERROR(VLOOKUP(I214,Materiales!$A:$G,7,0),"")</f>
        <v/>
      </c>
      <c r="L214" s="8" t="inlineStr">
        <is>
          <t>20190426</t>
        </is>
      </c>
      <c r="M214" s="8" t="inlineStr">
        <is>
          <t>20250127</t>
        </is>
      </c>
      <c r="N214" s="10" t="n">
        <v>99.98</v>
      </c>
      <c r="O214" s="10">
        <f>IFERROR(VLOOKUP(A214,Flete!$A:$J,10,0),"")</f>
        <v/>
      </c>
      <c r="P214" s="8" t="inlineStr">
        <is>
          <t>M3</t>
        </is>
      </c>
      <c r="Q214" s="10">
        <f>IFERROR(IFERROR(VLOOKUP(A214,TRAOPE!$A:$U,21,0),VLOOKUP(B214,TRAOPE!$A:$U,21,0)),"")</f>
        <v/>
      </c>
      <c r="R214" s="8">
        <f>IFERROR(IFERROR(VLOOKUP(A214,TRAOPE!$A:$W,23,0),VLOOKUP(B214,TRAOPE!$A:$W,23,0)),"")</f>
        <v/>
      </c>
      <c r="S214" s="10">
        <f>IF(AND(P214="TN",R214="TN"),N214+N(O214),IF(G214&amp;""="1",N(K214)*N214,(N214+N(O214))*N(K214)))</f>
        <v/>
      </c>
      <c r="T214" s="10">
        <f>IF(Q214="","",Q214-S214)</f>
        <v/>
      </c>
    </row>
    <row r="215">
      <c r="A215" s="7">
        <f>CONCATENATE(C215,E215,F215,I215)</f>
        <v/>
      </c>
      <c r="B215" s="7">
        <f>CONCATENATE(C215,E215,I215)</f>
        <v/>
      </c>
      <c r="C215" s="8" t="n">
        <v>900001074</v>
      </c>
      <c r="D215" s="7">
        <f>IFERROR(VLOOKUP(C215,TRAOPE!$G:$H,2,0),"")</f>
        <v/>
      </c>
      <c r="E215" s="8" t="inlineStr">
        <is>
          <t>D836</t>
        </is>
      </c>
      <c r="F215" s="8" t="inlineStr">
        <is>
          <t>66230098</t>
        </is>
      </c>
      <c r="G215" s="8">
        <f>IFERROR(VLOOKUP(A215,Flete!$A:$E,5,0),"")</f>
        <v/>
      </c>
      <c r="H215" s="7">
        <f>IFERROR(VLOOKUP(F215,TRAOPE!$AA:$AB,2,0),"")</f>
        <v/>
      </c>
      <c r="I215" s="7" t="n">
        <v>10000357</v>
      </c>
      <c r="J215" s="7">
        <f>IFERROR(VLOOKUP(I215,Materiales!$A:$H,8,0),"")</f>
        <v/>
      </c>
      <c r="K215" s="9">
        <f>IFERROR(VLOOKUP(I215,Materiales!$A:$G,7,0),"")</f>
        <v/>
      </c>
      <c r="L215" s="8" t="inlineStr">
        <is>
          <t>20190426</t>
        </is>
      </c>
      <c r="M215" s="8" t="inlineStr">
        <is>
          <t>20250127</t>
        </is>
      </c>
      <c r="N215" s="10" t="n">
        <v>121</v>
      </c>
      <c r="O215" s="10">
        <f>IFERROR(VLOOKUP(A215,Flete!$A:$J,10,0),"")</f>
        <v/>
      </c>
      <c r="P215" s="8" t="inlineStr">
        <is>
          <t>M3</t>
        </is>
      </c>
      <c r="Q215" s="10">
        <f>IFERROR(IFERROR(VLOOKUP(A215,TRAOPE!$A:$U,21,0),VLOOKUP(B215,TRAOPE!$A:$U,21,0)),"")</f>
        <v/>
      </c>
      <c r="R215" s="8">
        <f>IFERROR(IFERROR(VLOOKUP(A215,TRAOPE!$A:$W,23,0),VLOOKUP(B215,TRAOPE!$A:$W,23,0)),"")</f>
        <v/>
      </c>
      <c r="S215" s="10">
        <f>IF(AND(P215="TN",R215="TN"),N215+N(O215),IF(G215&amp;""="1",N(K215)*N215,(N215+N(O215))*N(K215)))</f>
        <v/>
      </c>
      <c r="T215" s="10">
        <f>IF(Q215="","",Q215-S215)</f>
        <v/>
      </c>
    </row>
    <row r="216">
      <c r="A216" s="7">
        <f>CONCATENATE(C216,E216,F216,I216)</f>
        <v/>
      </c>
      <c r="B216" s="7">
        <f>CONCATENATE(C216,E216,I216)</f>
        <v/>
      </c>
      <c r="C216" s="8" t="n">
        <v>900001074</v>
      </c>
      <c r="D216" s="7">
        <f>IFERROR(VLOOKUP(C216,TRAOPE!$G:$H,2,0),"")</f>
        <v/>
      </c>
      <c r="E216" s="8" t="inlineStr">
        <is>
          <t>D836</t>
        </is>
      </c>
      <c r="F216" s="8" t="inlineStr">
        <is>
          <t>66230524</t>
        </is>
      </c>
      <c r="G216" s="8">
        <f>IFERROR(VLOOKUP(A216,Flete!$A:$E,5,0),"")</f>
        <v/>
      </c>
      <c r="H216" s="7">
        <f>IFERROR(VLOOKUP(F216,TRAOPE!$AA:$AB,2,0),"")</f>
        <v/>
      </c>
      <c r="I216" s="7" t="n">
        <v>10000357</v>
      </c>
      <c r="J216" s="7">
        <f>IFERROR(VLOOKUP(I216,Materiales!$A:$H,8,0),"")</f>
        <v/>
      </c>
      <c r="K216" s="9">
        <f>IFERROR(VLOOKUP(I216,Materiales!$A:$G,7,0),"")</f>
        <v/>
      </c>
      <c r="L216" s="8" t="inlineStr">
        <is>
          <t>20190426</t>
        </is>
      </c>
      <c r="M216" s="8" t="inlineStr">
        <is>
          <t>20250127</t>
        </is>
      </c>
      <c r="N216" s="10" t="n">
        <v>105</v>
      </c>
      <c r="O216" s="10">
        <f>IFERROR(VLOOKUP(A216,Flete!$A:$J,10,0),"")</f>
        <v/>
      </c>
      <c r="P216" s="8" t="inlineStr">
        <is>
          <t>M3</t>
        </is>
      </c>
      <c r="Q216" s="10">
        <f>IFERROR(IFERROR(VLOOKUP(A216,TRAOPE!$A:$U,21,0),VLOOKUP(B216,TRAOPE!$A:$U,21,0)),"")</f>
        <v/>
      </c>
      <c r="R216" s="8">
        <f>IFERROR(IFERROR(VLOOKUP(A216,TRAOPE!$A:$W,23,0),VLOOKUP(B216,TRAOPE!$A:$W,23,0)),"")</f>
        <v/>
      </c>
      <c r="S216" s="10">
        <f>IF(AND(P216="TN",R216="TN"),N216+N(O216),IF(G216&amp;""="1",N(K216)*N216,(N216+N(O216))*N(K216)))</f>
        <v/>
      </c>
      <c r="T216" s="10">
        <f>IF(Q216="","",Q216-S216)</f>
        <v/>
      </c>
    </row>
    <row r="217">
      <c r="A217" s="7">
        <f>CONCATENATE(C217,E217,F217,I217)</f>
        <v/>
      </c>
      <c r="B217" s="7">
        <f>CONCATENATE(C217,E217,I217)</f>
        <v/>
      </c>
      <c r="C217" s="8" t="n">
        <v>900001074</v>
      </c>
      <c r="D217" s="7">
        <f>IFERROR(VLOOKUP(C217,TRAOPE!$G:$H,2,0),"")</f>
        <v/>
      </c>
      <c r="E217" s="8" t="inlineStr">
        <is>
          <t>D836</t>
        </is>
      </c>
      <c r="F217" s="8" t="inlineStr">
        <is>
          <t>66233244</t>
        </is>
      </c>
      <c r="G217" s="8">
        <f>IFERROR(VLOOKUP(A217,Flete!$A:$E,5,0),"")</f>
        <v/>
      </c>
      <c r="H217" s="7">
        <f>IFERROR(VLOOKUP(F217,TRAOPE!$AA:$AB,2,0),"")</f>
        <v/>
      </c>
      <c r="I217" s="7" t="n">
        <v>10000160</v>
      </c>
      <c r="J217" s="7">
        <f>IFERROR(VLOOKUP(I217,Materiales!$A:$H,8,0),"")</f>
        <v/>
      </c>
      <c r="K217" s="9">
        <f>IFERROR(VLOOKUP(I217,Materiales!$A:$G,7,0),"")</f>
        <v/>
      </c>
      <c r="L217" s="8" t="inlineStr">
        <is>
          <t>20190426</t>
        </is>
      </c>
      <c r="M217" s="8" t="inlineStr">
        <is>
          <t>20250127</t>
        </is>
      </c>
      <c r="N217" s="10" t="n">
        <v>89.25</v>
      </c>
      <c r="O217" s="10">
        <f>IFERROR(VLOOKUP(A217,Flete!$A:$J,10,0),"")</f>
        <v/>
      </c>
      <c r="P217" s="8" t="inlineStr">
        <is>
          <t>M3</t>
        </is>
      </c>
      <c r="Q217" s="10">
        <f>IFERROR(IFERROR(VLOOKUP(A217,TRAOPE!$A:$U,21,0),VLOOKUP(B217,TRAOPE!$A:$U,21,0)),"")</f>
        <v/>
      </c>
      <c r="R217" s="8">
        <f>IFERROR(IFERROR(VLOOKUP(A217,TRAOPE!$A:$W,23,0),VLOOKUP(B217,TRAOPE!$A:$W,23,0)),"")</f>
        <v/>
      </c>
      <c r="S217" s="10">
        <f>IF(AND(P217="TN",R217="TN"),N217+N(O217),IF(G217&amp;""="1",N(K217)*N217,(N217+N(O217))*N(K217)))</f>
        <v/>
      </c>
      <c r="T217" s="10">
        <f>IF(Q217="","",Q217-S217)</f>
        <v/>
      </c>
    </row>
    <row r="218">
      <c r="A218" s="7">
        <f>CONCATENATE(C218,E218,F218,I218)</f>
        <v/>
      </c>
      <c r="B218" s="7">
        <f>CONCATENATE(C218,E218,I218)</f>
        <v/>
      </c>
      <c r="C218" s="8" t="n">
        <v>900001074</v>
      </c>
      <c r="D218" s="7">
        <f>IFERROR(VLOOKUP(C218,TRAOPE!$G:$H,2,0),"")</f>
        <v/>
      </c>
      <c r="E218" s="8" t="inlineStr">
        <is>
          <t>D836</t>
        </is>
      </c>
      <c r="F218" s="8" t="inlineStr">
        <is>
          <t>66233244</t>
        </is>
      </c>
      <c r="G218" s="8">
        <f>IFERROR(VLOOKUP(A218,Flete!$A:$E,5,0),"")</f>
        <v/>
      </c>
      <c r="H218" s="7">
        <f>IFERROR(VLOOKUP(F218,TRAOPE!$AA:$AB,2,0),"")</f>
        <v/>
      </c>
      <c r="I218" s="7" t="n">
        <v>10000357</v>
      </c>
      <c r="J218" s="7">
        <f>IFERROR(VLOOKUP(I218,Materiales!$A:$H,8,0),"")</f>
        <v/>
      </c>
      <c r="K218" s="9">
        <f>IFERROR(VLOOKUP(I218,Materiales!$A:$G,7,0),"")</f>
        <v/>
      </c>
      <c r="L218" s="8" t="inlineStr">
        <is>
          <t>20190426</t>
        </is>
      </c>
      <c r="M218" s="8" t="inlineStr">
        <is>
          <t>20250127</t>
        </is>
      </c>
      <c r="N218" s="10" t="n">
        <v>100.8</v>
      </c>
      <c r="O218" s="10">
        <f>IFERROR(VLOOKUP(A218,Flete!$A:$J,10,0),"")</f>
        <v/>
      </c>
      <c r="P218" s="8" t="inlineStr">
        <is>
          <t>M3</t>
        </is>
      </c>
      <c r="Q218" s="10">
        <f>IFERROR(IFERROR(VLOOKUP(A218,TRAOPE!$A:$U,21,0),VLOOKUP(B218,TRAOPE!$A:$U,21,0)),"")</f>
        <v/>
      </c>
      <c r="R218" s="8">
        <f>IFERROR(IFERROR(VLOOKUP(A218,TRAOPE!$A:$W,23,0),VLOOKUP(B218,TRAOPE!$A:$W,23,0)),"")</f>
        <v/>
      </c>
      <c r="S218" s="10">
        <f>IF(AND(P218="TN",R218="TN"),N218+N(O218),IF(G218&amp;""="1",N(K218)*N218,(N218+N(O218))*N(K218)))</f>
        <v/>
      </c>
      <c r="T218" s="10">
        <f>IF(Q218="","",Q218-S218)</f>
        <v/>
      </c>
    </row>
    <row r="219">
      <c r="A219" s="7">
        <f>CONCATENATE(C219,E219,F219,I219)</f>
        <v/>
      </c>
      <c r="B219" s="7">
        <f>CONCATENATE(C219,E219,I219)</f>
        <v/>
      </c>
      <c r="C219" s="8" t="n">
        <v>900001074</v>
      </c>
      <c r="D219" s="7">
        <f>IFERROR(VLOOKUP(C219,TRAOPE!$G:$H,2,0),"")</f>
        <v/>
      </c>
      <c r="E219" s="8" t="inlineStr">
        <is>
          <t>D836</t>
        </is>
      </c>
      <c r="F219" s="8" t="inlineStr">
        <is>
          <t>66233244</t>
        </is>
      </c>
      <c r="G219" s="8">
        <f>IFERROR(VLOOKUP(A219,Flete!$A:$E,5,0),"")</f>
        <v/>
      </c>
      <c r="H219" s="7">
        <f>IFERROR(VLOOKUP(F219,TRAOPE!$AA:$AB,2,0),"")</f>
        <v/>
      </c>
      <c r="I219" s="7" t="n">
        <v>10000627</v>
      </c>
      <c r="J219" s="7">
        <f>IFERROR(VLOOKUP(I219,Materiales!$A:$H,8,0),"")</f>
        <v/>
      </c>
      <c r="K219" s="9">
        <f>IFERROR(VLOOKUP(I219,Materiales!$A:$G,7,0),"")</f>
        <v/>
      </c>
      <c r="L219" s="8" t="inlineStr">
        <is>
          <t>20190426</t>
        </is>
      </c>
      <c r="M219" s="8" t="inlineStr">
        <is>
          <t>20250127</t>
        </is>
      </c>
      <c r="N219" s="10" t="n">
        <v>87</v>
      </c>
      <c r="O219" s="10">
        <f>IFERROR(VLOOKUP(A219,Flete!$A:$J,10,0),"")</f>
        <v/>
      </c>
      <c r="P219" s="8" t="inlineStr">
        <is>
          <t>M3</t>
        </is>
      </c>
      <c r="Q219" s="10">
        <f>IFERROR(IFERROR(VLOOKUP(A219,TRAOPE!$A:$U,21,0),VLOOKUP(B219,TRAOPE!$A:$U,21,0)),"")</f>
        <v/>
      </c>
      <c r="R219" s="8">
        <f>IFERROR(IFERROR(VLOOKUP(A219,TRAOPE!$A:$W,23,0),VLOOKUP(B219,TRAOPE!$A:$W,23,0)),"")</f>
        <v/>
      </c>
      <c r="S219" s="10">
        <f>IF(AND(P219="TN",R219="TN"),N219+N(O219),IF(G219&amp;""="1",N(K219)*N219,(N219+N(O219))*N(K219)))</f>
        <v/>
      </c>
      <c r="T219" s="10">
        <f>IF(Q219="","",Q219-S219)</f>
        <v/>
      </c>
    </row>
    <row r="220">
      <c r="A220" s="7">
        <f>CONCATENATE(C220,E220,F220,I220)</f>
        <v/>
      </c>
      <c r="B220" s="7">
        <f>CONCATENATE(C220,E220,I220)</f>
        <v/>
      </c>
      <c r="C220" s="8" t="n">
        <v>900001074</v>
      </c>
      <c r="D220" s="7">
        <f>IFERROR(VLOOKUP(C220,TRAOPE!$G:$H,2,0),"")</f>
        <v/>
      </c>
      <c r="E220" s="8" t="inlineStr">
        <is>
          <t>D836</t>
        </is>
      </c>
      <c r="F220" s="8" t="inlineStr">
        <is>
          <t>66239560</t>
        </is>
      </c>
      <c r="G220" s="8">
        <f>IFERROR(VLOOKUP(A220,Flete!$A:$E,5,0),"")</f>
        <v/>
      </c>
      <c r="H220" s="7">
        <f>IFERROR(VLOOKUP(F220,TRAOPE!$AA:$AB,2,0),"")</f>
        <v/>
      </c>
      <c r="I220" s="7" t="n">
        <v>10000160</v>
      </c>
      <c r="J220" s="7">
        <f>IFERROR(VLOOKUP(I220,Materiales!$A:$H,8,0),"")</f>
        <v/>
      </c>
      <c r="K220" s="9">
        <f>IFERROR(VLOOKUP(I220,Materiales!$A:$G,7,0),"")</f>
        <v/>
      </c>
      <c r="L220" s="8" t="inlineStr">
        <is>
          <t>20190426</t>
        </is>
      </c>
      <c r="M220" s="8" t="inlineStr">
        <is>
          <t>20250127</t>
        </is>
      </c>
      <c r="N220" s="10" t="n">
        <v>84</v>
      </c>
      <c r="O220" s="10">
        <f>IFERROR(VLOOKUP(A220,Flete!$A:$J,10,0),"")</f>
        <v/>
      </c>
      <c r="P220" s="8" t="inlineStr">
        <is>
          <t>M3</t>
        </is>
      </c>
      <c r="Q220" s="10">
        <f>IFERROR(IFERROR(VLOOKUP(A220,TRAOPE!$A:$U,21,0),VLOOKUP(B220,TRAOPE!$A:$U,21,0)),"")</f>
        <v/>
      </c>
      <c r="R220" s="8">
        <f>IFERROR(IFERROR(VLOOKUP(A220,TRAOPE!$A:$W,23,0),VLOOKUP(B220,TRAOPE!$A:$W,23,0)),"")</f>
        <v/>
      </c>
      <c r="S220" s="10">
        <f>IF(AND(P220="TN",R220="TN"),N220+N(O220),IF(G220&amp;""="1",N(K220)*N220,(N220+N(O220))*N(K220)))</f>
        <v/>
      </c>
      <c r="T220" s="10">
        <f>IF(Q220="","",Q220-S220)</f>
        <v/>
      </c>
    </row>
    <row r="221">
      <c r="A221" s="7">
        <f>CONCATENATE(C221,E221,F221,I221)</f>
        <v/>
      </c>
      <c r="B221" s="7">
        <f>CONCATENATE(C221,E221,I221)</f>
        <v/>
      </c>
      <c r="C221" s="8" t="n">
        <v>900001074</v>
      </c>
      <c r="D221" s="7">
        <f>IFERROR(VLOOKUP(C221,TRAOPE!$G:$H,2,0),"")</f>
        <v/>
      </c>
      <c r="E221" s="8" t="inlineStr">
        <is>
          <t>D836</t>
        </is>
      </c>
      <c r="F221" s="8" t="inlineStr">
        <is>
          <t>66239560</t>
        </is>
      </c>
      <c r="G221" s="8">
        <f>IFERROR(VLOOKUP(A221,Flete!$A:$E,5,0),"")</f>
        <v/>
      </c>
      <c r="H221" s="7">
        <f>IFERROR(VLOOKUP(F221,TRAOPE!$AA:$AB,2,0),"")</f>
        <v/>
      </c>
      <c r="I221" s="7" t="n">
        <v>10000357</v>
      </c>
      <c r="J221" s="7">
        <f>IFERROR(VLOOKUP(I221,Materiales!$A:$H,8,0),"")</f>
        <v/>
      </c>
      <c r="K221" s="9">
        <f>IFERROR(VLOOKUP(I221,Materiales!$A:$G,7,0),"")</f>
        <v/>
      </c>
      <c r="L221" s="8" t="inlineStr">
        <is>
          <t>20190426</t>
        </is>
      </c>
      <c r="M221" s="8" t="inlineStr">
        <is>
          <t>20250127</t>
        </is>
      </c>
      <c r="N221" s="10" t="n">
        <v>95.5</v>
      </c>
      <c r="O221" s="10">
        <f>IFERROR(VLOOKUP(A221,Flete!$A:$J,10,0),"")</f>
        <v/>
      </c>
      <c r="P221" s="8" t="inlineStr">
        <is>
          <t>M3</t>
        </is>
      </c>
      <c r="Q221" s="10">
        <f>IFERROR(IFERROR(VLOOKUP(A221,TRAOPE!$A:$U,21,0),VLOOKUP(B221,TRAOPE!$A:$U,21,0)),"")</f>
        <v/>
      </c>
      <c r="R221" s="8">
        <f>IFERROR(IFERROR(VLOOKUP(A221,TRAOPE!$A:$W,23,0),VLOOKUP(B221,TRAOPE!$A:$W,23,0)),"")</f>
        <v/>
      </c>
      <c r="S221" s="10">
        <f>IF(AND(P221="TN",R221="TN"),N221+N(O221),IF(G221&amp;""="1",N(K221)*N221,(N221+N(O221))*N(K221)))</f>
        <v/>
      </c>
      <c r="T221" s="10">
        <f>IF(Q221="","",Q221-S221)</f>
        <v/>
      </c>
    </row>
    <row r="222">
      <c r="A222" s="7">
        <f>CONCATENATE(C222,E222,F222,I222)</f>
        <v/>
      </c>
      <c r="B222" s="7">
        <f>CONCATENATE(C222,E222,I222)</f>
        <v/>
      </c>
      <c r="C222" s="8" t="n">
        <v>900001074</v>
      </c>
      <c r="D222" s="7">
        <f>IFERROR(VLOOKUP(C222,TRAOPE!$G:$H,2,0),"")</f>
        <v/>
      </c>
      <c r="E222" s="8" t="inlineStr">
        <is>
          <t>D836</t>
        </is>
      </c>
      <c r="F222" s="8" t="inlineStr">
        <is>
          <t>66239560</t>
        </is>
      </c>
      <c r="G222" s="8">
        <f>IFERROR(VLOOKUP(A222,Flete!$A:$E,5,0),"")</f>
        <v/>
      </c>
      <c r="H222" s="7">
        <f>IFERROR(VLOOKUP(F222,TRAOPE!$AA:$AB,2,0),"")</f>
        <v/>
      </c>
      <c r="I222" s="7" t="n">
        <v>10000627</v>
      </c>
      <c r="J222" s="7">
        <f>IFERROR(VLOOKUP(I222,Materiales!$A:$H,8,0),"")</f>
        <v/>
      </c>
      <c r="K222" s="9">
        <f>IFERROR(VLOOKUP(I222,Materiales!$A:$G,7,0),"")</f>
        <v/>
      </c>
      <c r="L222" s="8" t="inlineStr">
        <is>
          <t>20190426</t>
        </is>
      </c>
      <c r="M222" s="8" t="inlineStr">
        <is>
          <t>20250127</t>
        </is>
      </c>
      <c r="N222" s="10" t="n">
        <v>84</v>
      </c>
      <c r="O222" s="10">
        <f>IFERROR(VLOOKUP(A222,Flete!$A:$J,10,0),"")</f>
        <v/>
      </c>
      <c r="P222" s="8" t="inlineStr">
        <is>
          <t>M3</t>
        </is>
      </c>
      <c r="Q222" s="10">
        <f>IFERROR(IFERROR(VLOOKUP(A222,TRAOPE!$A:$U,21,0),VLOOKUP(B222,TRAOPE!$A:$U,21,0)),"")</f>
        <v/>
      </c>
      <c r="R222" s="8">
        <f>IFERROR(IFERROR(VLOOKUP(A222,TRAOPE!$A:$W,23,0),VLOOKUP(B222,TRAOPE!$A:$W,23,0)),"")</f>
        <v/>
      </c>
      <c r="S222" s="10">
        <f>IF(AND(P222="TN",R222="TN"),N222+N(O222),IF(G222&amp;""="1",N(K222)*N222,(N222+N(O222))*N(K222)))</f>
        <v/>
      </c>
      <c r="T222" s="10">
        <f>IF(Q222="","",Q222-S222)</f>
        <v/>
      </c>
    </row>
    <row r="223">
      <c r="A223" s="7">
        <f>CONCATENATE(C223,E223,F223,I223)</f>
        <v/>
      </c>
      <c r="B223" s="7">
        <f>CONCATENATE(C223,E223,I223)</f>
        <v/>
      </c>
      <c r="C223" s="8" t="n">
        <v>900001074</v>
      </c>
      <c r="D223" s="7">
        <f>IFERROR(VLOOKUP(C223,TRAOPE!$G:$H,2,0),"")</f>
        <v/>
      </c>
      <c r="E223" s="8" t="inlineStr">
        <is>
          <t>D836</t>
        </is>
      </c>
      <c r="F223" s="8" t="inlineStr">
        <is>
          <t>66239561</t>
        </is>
      </c>
      <c r="G223" s="8">
        <f>IFERROR(VLOOKUP(A223,Flete!$A:$E,5,0),"")</f>
        <v/>
      </c>
      <c r="H223" s="7">
        <f>IFERROR(VLOOKUP(F223,TRAOPE!$AA:$AB,2,0),"")</f>
        <v/>
      </c>
      <c r="I223" s="7" t="n">
        <v>10000160</v>
      </c>
      <c r="J223" s="7">
        <f>IFERROR(VLOOKUP(I223,Materiales!$A:$H,8,0),"")</f>
        <v/>
      </c>
      <c r="K223" s="9">
        <f>IFERROR(VLOOKUP(I223,Materiales!$A:$G,7,0),"")</f>
        <v/>
      </c>
      <c r="L223" s="8" t="inlineStr">
        <is>
          <t>20190426</t>
        </is>
      </c>
      <c r="M223" s="8" t="inlineStr">
        <is>
          <t>20250127</t>
        </is>
      </c>
      <c r="N223" s="10" t="n">
        <v>84</v>
      </c>
      <c r="O223" s="10">
        <f>IFERROR(VLOOKUP(A223,Flete!$A:$J,10,0),"")</f>
        <v/>
      </c>
      <c r="P223" s="8" t="inlineStr">
        <is>
          <t>M3</t>
        </is>
      </c>
      <c r="Q223" s="10">
        <f>IFERROR(IFERROR(VLOOKUP(A223,TRAOPE!$A:$U,21,0),VLOOKUP(B223,TRAOPE!$A:$U,21,0)),"")</f>
        <v/>
      </c>
      <c r="R223" s="8">
        <f>IFERROR(IFERROR(VLOOKUP(A223,TRAOPE!$A:$W,23,0),VLOOKUP(B223,TRAOPE!$A:$W,23,0)),"")</f>
        <v/>
      </c>
      <c r="S223" s="10">
        <f>IF(AND(P223="TN",R223="TN"),N223+N(O223),IF(G223&amp;""="1",N(K223)*N223,(N223+N(O223))*N(K223)))</f>
        <v/>
      </c>
      <c r="T223" s="10">
        <f>IF(Q223="","",Q223-S223)</f>
        <v/>
      </c>
    </row>
    <row r="224">
      <c r="A224" s="7">
        <f>CONCATENATE(C224,E224,F224,I224)</f>
        <v/>
      </c>
      <c r="B224" s="7">
        <f>CONCATENATE(C224,E224,I224)</f>
        <v/>
      </c>
      <c r="C224" s="8" t="n">
        <v>900001074</v>
      </c>
      <c r="D224" s="7">
        <f>IFERROR(VLOOKUP(C224,TRAOPE!$G:$H,2,0),"")</f>
        <v/>
      </c>
      <c r="E224" s="8" t="inlineStr">
        <is>
          <t>D836</t>
        </is>
      </c>
      <c r="F224" s="8" t="inlineStr">
        <is>
          <t>66239561</t>
        </is>
      </c>
      <c r="G224" s="8">
        <f>IFERROR(VLOOKUP(A224,Flete!$A:$E,5,0),"")</f>
        <v/>
      </c>
      <c r="H224" s="7">
        <f>IFERROR(VLOOKUP(F224,TRAOPE!$AA:$AB,2,0),"")</f>
        <v/>
      </c>
      <c r="I224" s="7" t="n">
        <v>10000357</v>
      </c>
      <c r="J224" s="7">
        <f>IFERROR(VLOOKUP(I224,Materiales!$A:$H,8,0),"")</f>
        <v/>
      </c>
      <c r="K224" s="9">
        <f>IFERROR(VLOOKUP(I224,Materiales!$A:$G,7,0),"")</f>
        <v/>
      </c>
      <c r="L224" s="8" t="inlineStr">
        <is>
          <t>20190426</t>
        </is>
      </c>
      <c r="M224" s="8" t="inlineStr">
        <is>
          <t>20250127</t>
        </is>
      </c>
      <c r="N224" s="10" t="n">
        <v>95.5</v>
      </c>
      <c r="O224" s="10">
        <f>IFERROR(VLOOKUP(A224,Flete!$A:$J,10,0),"")</f>
        <v/>
      </c>
      <c r="P224" s="8" t="inlineStr">
        <is>
          <t>M3</t>
        </is>
      </c>
      <c r="Q224" s="10">
        <f>IFERROR(IFERROR(VLOOKUP(A224,TRAOPE!$A:$U,21,0),VLOOKUP(B224,TRAOPE!$A:$U,21,0)),"")</f>
        <v/>
      </c>
      <c r="R224" s="8">
        <f>IFERROR(IFERROR(VLOOKUP(A224,TRAOPE!$A:$W,23,0),VLOOKUP(B224,TRAOPE!$A:$W,23,0)),"")</f>
        <v/>
      </c>
      <c r="S224" s="10">
        <f>IF(AND(P224="TN",R224="TN"),N224+N(O224),IF(G224&amp;""="1",N(K224)*N224,(N224+N(O224))*N(K224)))</f>
        <v/>
      </c>
      <c r="T224" s="10">
        <f>IF(Q224="","",Q224-S224)</f>
        <v/>
      </c>
    </row>
    <row r="225">
      <c r="A225" s="7">
        <f>CONCATENATE(C225,E225,F225,I225)</f>
        <v/>
      </c>
      <c r="B225" s="7">
        <f>CONCATENATE(C225,E225,I225)</f>
        <v/>
      </c>
      <c r="C225" s="8" t="n">
        <v>900001074</v>
      </c>
      <c r="D225" s="7">
        <f>IFERROR(VLOOKUP(C225,TRAOPE!$G:$H,2,0),"")</f>
        <v/>
      </c>
      <c r="E225" s="8" t="inlineStr">
        <is>
          <t>D836</t>
        </is>
      </c>
      <c r="F225" s="8" t="inlineStr">
        <is>
          <t>66239561</t>
        </is>
      </c>
      <c r="G225" s="8">
        <f>IFERROR(VLOOKUP(A225,Flete!$A:$E,5,0),"")</f>
        <v/>
      </c>
      <c r="H225" s="7">
        <f>IFERROR(VLOOKUP(F225,TRAOPE!$AA:$AB,2,0),"")</f>
        <v/>
      </c>
      <c r="I225" s="7" t="n">
        <v>10000627</v>
      </c>
      <c r="J225" s="7">
        <f>IFERROR(VLOOKUP(I225,Materiales!$A:$H,8,0),"")</f>
        <v/>
      </c>
      <c r="K225" s="9">
        <f>IFERROR(VLOOKUP(I225,Materiales!$A:$G,7,0),"")</f>
        <v/>
      </c>
      <c r="L225" s="8" t="inlineStr">
        <is>
          <t>20190426</t>
        </is>
      </c>
      <c r="M225" s="8" t="inlineStr">
        <is>
          <t>20250127</t>
        </is>
      </c>
      <c r="N225" s="10" t="n">
        <v>84</v>
      </c>
      <c r="O225" s="10">
        <f>IFERROR(VLOOKUP(A225,Flete!$A:$J,10,0),"")</f>
        <v/>
      </c>
      <c r="P225" s="8" t="inlineStr">
        <is>
          <t>M3</t>
        </is>
      </c>
      <c r="Q225" s="10">
        <f>IFERROR(IFERROR(VLOOKUP(A225,TRAOPE!$A:$U,21,0),VLOOKUP(B225,TRAOPE!$A:$U,21,0)),"")</f>
        <v/>
      </c>
      <c r="R225" s="8">
        <f>IFERROR(IFERROR(VLOOKUP(A225,TRAOPE!$A:$W,23,0),VLOOKUP(B225,TRAOPE!$A:$W,23,0)),"")</f>
        <v/>
      </c>
      <c r="S225" s="10">
        <f>IF(AND(P225="TN",R225="TN"),N225+N(O225),IF(G225&amp;""="1",N(K225)*N225,(N225+N(O225))*N(K225)))</f>
        <v/>
      </c>
      <c r="T225" s="10">
        <f>IF(Q225="","",Q225-S225)</f>
        <v/>
      </c>
    </row>
    <row r="226">
      <c r="A226" s="7">
        <f>CONCATENATE(C226,E226,F226,I226)</f>
        <v/>
      </c>
      <c r="B226" s="7">
        <f>CONCATENATE(C226,E226,I226)</f>
        <v/>
      </c>
      <c r="C226" s="8" t="n">
        <v>900001074</v>
      </c>
      <c r="D226" s="7">
        <f>IFERROR(VLOOKUP(C226,TRAOPE!$G:$H,2,0),"")</f>
        <v/>
      </c>
      <c r="E226" s="8" t="inlineStr">
        <is>
          <t>D836</t>
        </is>
      </c>
      <c r="F226" s="8" t="inlineStr">
        <is>
          <t>66239598</t>
        </is>
      </c>
      <c r="G226" s="8">
        <f>IFERROR(VLOOKUP(A226,Flete!$A:$E,5,0),"")</f>
        <v/>
      </c>
      <c r="H226" s="7">
        <f>IFERROR(VLOOKUP(F226,TRAOPE!$AA:$AB,2,0),"")</f>
        <v/>
      </c>
      <c r="I226" s="7" t="n">
        <v>10000160</v>
      </c>
      <c r="J226" s="7">
        <f>IFERROR(VLOOKUP(I226,Materiales!$A:$H,8,0),"")</f>
        <v/>
      </c>
      <c r="K226" s="9">
        <f>IFERROR(VLOOKUP(I226,Materiales!$A:$G,7,0),"")</f>
        <v/>
      </c>
      <c r="L226" s="8" t="inlineStr">
        <is>
          <t>20190426</t>
        </is>
      </c>
      <c r="M226" s="8" t="inlineStr">
        <is>
          <t>20250127</t>
        </is>
      </c>
      <c r="N226" s="10" t="n">
        <v>84</v>
      </c>
      <c r="O226" s="10">
        <f>IFERROR(VLOOKUP(A226,Flete!$A:$J,10,0),"")</f>
        <v/>
      </c>
      <c r="P226" s="8" t="inlineStr">
        <is>
          <t>M3</t>
        </is>
      </c>
      <c r="Q226" s="10">
        <f>IFERROR(IFERROR(VLOOKUP(A226,TRAOPE!$A:$U,21,0),VLOOKUP(B226,TRAOPE!$A:$U,21,0)),"")</f>
        <v/>
      </c>
      <c r="R226" s="8">
        <f>IFERROR(IFERROR(VLOOKUP(A226,TRAOPE!$A:$W,23,0),VLOOKUP(B226,TRAOPE!$A:$W,23,0)),"")</f>
        <v/>
      </c>
      <c r="S226" s="10">
        <f>IF(AND(P226="TN",R226="TN"),N226+N(O226),IF(G226&amp;""="1",N(K226)*N226,(N226+N(O226))*N(K226)))</f>
        <v/>
      </c>
      <c r="T226" s="10">
        <f>IF(Q226="","",Q226-S226)</f>
        <v/>
      </c>
    </row>
    <row r="227">
      <c r="A227" s="7">
        <f>CONCATENATE(C227,E227,F227,I227)</f>
        <v/>
      </c>
      <c r="B227" s="7">
        <f>CONCATENATE(C227,E227,I227)</f>
        <v/>
      </c>
      <c r="C227" s="8" t="n">
        <v>900001074</v>
      </c>
      <c r="D227" s="7">
        <f>IFERROR(VLOOKUP(C227,TRAOPE!$G:$H,2,0),"")</f>
        <v/>
      </c>
      <c r="E227" s="8" t="inlineStr">
        <is>
          <t>D836</t>
        </is>
      </c>
      <c r="F227" s="8" t="inlineStr">
        <is>
          <t>66239598</t>
        </is>
      </c>
      <c r="G227" s="8">
        <f>IFERROR(VLOOKUP(A227,Flete!$A:$E,5,0),"")</f>
        <v/>
      </c>
      <c r="H227" s="7">
        <f>IFERROR(VLOOKUP(F227,TRAOPE!$AA:$AB,2,0),"")</f>
        <v/>
      </c>
      <c r="I227" s="7" t="n">
        <v>10000357</v>
      </c>
      <c r="J227" s="7">
        <f>IFERROR(VLOOKUP(I227,Materiales!$A:$H,8,0),"")</f>
        <v/>
      </c>
      <c r="K227" s="9">
        <f>IFERROR(VLOOKUP(I227,Materiales!$A:$G,7,0),"")</f>
        <v/>
      </c>
      <c r="L227" s="8" t="inlineStr">
        <is>
          <t>20190426</t>
        </is>
      </c>
      <c r="M227" s="8" t="inlineStr">
        <is>
          <t>20250127</t>
        </is>
      </c>
      <c r="N227" s="10" t="n">
        <v>95.5</v>
      </c>
      <c r="O227" s="10">
        <f>IFERROR(VLOOKUP(A227,Flete!$A:$J,10,0),"")</f>
        <v/>
      </c>
      <c r="P227" s="8" t="inlineStr">
        <is>
          <t>M3</t>
        </is>
      </c>
      <c r="Q227" s="10">
        <f>IFERROR(IFERROR(VLOOKUP(A227,TRAOPE!$A:$U,21,0),VLOOKUP(B227,TRAOPE!$A:$U,21,0)),"")</f>
        <v/>
      </c>
      <c r="R227" s="8">
        <f>IFERROR(IFERROR(VLOOKUP(A227,TRAOPE!$A:$W,23,0),VLOOKUP(B227,TRAOPE!$A:$W,23,0)),"")</f>
        <v/>
      </c>
      <c r="S227" s="10">
        <f>IF(AND(P227="TN",R227="TN"),N227+N(O227),IF(G227&amp;""="1",N(K227)*N227,(N227+N(O227))*N(K227)))</f>
        <v/>
      </c>
      <c r="T227" s="10">
        <f>IF(Q227="","",Q227-S227)</f>
        <v/>
      </c>
    </row>
    <row r="228">
      <c r="A228" s="7">
        <f>CONCATENATE(C228,E228,F228,I228)</f>
        <v/>
      </c>
      <c r="B228" s="7">
        <f>CONCATENATE(C228,E228,I228)</f>
        <v/>
      </c>
      <c r="C228" s="8" t="n">
        <v>900001074</v>
      </c>
      <c r="D228" s="7">
        <f>IFERROR(VLOOKUP(C228,TRAOPE!$G:$H,2,0),"")</f>
        <v/>
      </c>
      <c r="E228" s="8" t="inlineStr">
        <is>
          <t>D836</t>
        </is>
      </c>
      <c r="F228" s="8" t="inlineStr">
        <is>
          <t>66239598</t>
        </is>
      </c>
      <c r="G228" s="8">
        <f>IFERROR(VLOOKUP(A228,Flete!$A:$E,5,0),"")</f>
        <v/>
      </c>
      <c r="H228" s="7">
        <f>IFERROR(VLOOKUP(F228,TRAOPE!$AA:$AB,2,0),"")</f>
        <v/>
      </c>
      <c r="I228" s="7" t="n">
        <v>10000627</v>
      </c>
      <c r="J228" s="7">
        <f>IFERROR(VLOOKUP(I228,Materiales!$A:$H,8,0),"")</f>
        <v/>
      </c>
      <c r="K228" s="9">
        <f>IFERROR(VLOOKUP(I228,Materiales!$A:$G,7,0),"")</f>
        <v/>
      </c>
      <c r="L228" s="8" t="inlineStr">
        <is>
          <t>20190426</t>
        </is>
      </c>
      <c r="M228" s="8" t="inlineStr">
        <is>
          <t>20250127</t>
        </is>
      </c>
      <c r="N228" s="10" t="n">
        <v>84</v>
      </c>
      <c r="O228" s="10">
        <f>IFERROR(VLOOKUP(A228,Flete!$A:$J,10,0),"")</f>
        <v/>
      </c>
      <c r="P228" s="8" t="inlineStr">
        <is>
          <t>M3</t>
        </is>
      </c>
      <c r="Q228" s="10">
        <f>IFERROR(IFERROR(VLOOKUP(A228,TRAOPE!$A:$U,21,0),VLOOKUP(B228,TRAOPE!$A:$U,21,0)),"")</f>
        <v/>
      </c>
      <c r="R228" s="8">
        <f>IFERROR(IFERROR(VLOOKUP(A228,TRAOPE!$A:$W,23,0),VLOOKUP(B228,TRAOPE!$A:$W,23,0)),"")</f>
        <v/>
      </c>
      <c r="S228" s="10">
        <f>IF(AND(P228="TN",R228="TN"),N228+N(O228),IF(G228&amp;""="1",N(K228)*N228,(N228+N(O228))*N(K228)))</f>
        <v/>
      </c>
      <c r="T228" s="10">
        <f>IF(Q228="","",Q228-S228)</f>
        <v/>
      </c>
    </row>
    <row r="229">
      <c r="A229" s="7">
        <f>CONCATENATE(C229,E229,F229,I229)</f>
        <v/>
      </c>
      <c r="B229" s="7">
        <f>CONCATENATE(C229,E229,I229)</f>
        <v/>
      </c>
      <c r="C229" s="8" t="n">
        <v>900001074</v>
      </c>
      <c r="D229" s="7">
        <f>IFERROR(VLOOKUP(C229,TRAOPE!$G:$H,2,0),"")</f>
        <v/>
      </c>
      <c r="E229" s="8" t="inlineStr">
        <is>
          <t>D836</t>
        </is>
      </c>
      <c r="F229" s="8" t="inlineStr">
        <is>
          <t>66239599</t>
        </is>
      </c>
      <c r="G229" s="8">
        <f>IFERROR(VLOOKUP(A229,Flete!$A:$E,5,0),"")</f>
        <v/>
      </c>
      <c r="H229" s="7">
        <f>IFERROR(VLOOKUP(F229,TRAOPE!$AA:$AB,2,0),"")</f>
        <v/>
      </c>
      <c r="I229" s="7" t="n">
        <v>10000160</v>
      </c>
      <c r="J229" s="7">
        <f>IFERROR(VLOOKUP(I229,Materiales!$A:$H,8,0),"")</f>
        <v/>
      </c>
      <c r="K229" s="9">
        <f>IFERROR(VLOOKUP(I229,Materiales!$A:$G,7,0),"")</f>
        <v/>
      </c>
      <c r="L229" s="8" t="inlineStr">
        <is>
          <t>20190426</t>
        </is>
      </c>
      <c r="M229" s="8" t="inlineStr">
        <is>
          <t>20250127</t>
        </is>
      </c>
      <c r="N229" s="10" t="n">
        <v>84</v>
      </c>
      <c r="O229" s="10">
        <f>IFERROR(VLOOKUP(A229,Flete!$A:$J,10,0),"")</f>
        <v/>
      </c>
      <c r="P229" s="8" t="inlineStr">
        <is>
          <t>M3</t>
        </is>
      </c>
      <c r="Q229" s="10">
        <f>IFERROR(IFERROR(VLOOKUP(A229,TRAOPE!$A:$U,21,0),VLOOKUP(B229,TRAOPE!$A:$U,21,0)),"")</f>
        <v/>
      </c>
      <c r="R229" s="8">
        <f>IFERROR(IFERROR(VLOOKUP(A229,TRAOPE!$A:$W,23,0),VLOOKUP(B229,TRAOPE!$A:$W,23,0)),"")</f>
        <v/>
      </c>
      <c r="S229" s="10">
        <f>IF(AND(P229="TN",R229="TN"),N229+N(O229),IF(G229&amp;""="1",N(K229)*N229,(N229+N(O229))*N(K229)))</f>
        <v/>
      </c>
      <c r="T229" s="10">
        <f>IF(Q229="","",Q229-S229)</f>
        <v/>
      </c>
    </row>
    <row r="230">
      <c r="A230" s="7">
        <f>CONCATENATE(C230,E230,F230,I230)</f>
        <v/>
      </c>
      <c r="B230" s="7">
        <f>CONCATENATE(C230,E230,I230)</f>
        <v/>
      </c>
      <c r="C230" s="8" t="n">
        <v>900001074</v>
      </c>
      <c r="D230" s="7">
        <f>IFERROR(VLOOKUP(C230,TRAOPE!$G:$H,2,0),"")</f>
        <v/>
      </c>
      <c r="E230" s="8" t="inlineStr">
        <is>
          <t>D836</t>
        </is>
      </c>
      <c r="F230" s="8" t="inlineStr">
        <is>
          <t>66239599</t>
        </is>
      </c>
      <c r="G230" s="8">
        <f>IFERROR(VLOOKUP(A230,Flete!$A:$E,5,0),"")</f>
        <v/>
      </c>
      <c r="H230" s="7">
        <f>IFERROR(VLOOKUP(F230,TRAOPE!$AA:$AB,2,0),"")</f>
        <v/>
      </c>
      <c r="I230" s="7" t="n">
        <v>10000357</v>
      </c>
      <c r="J230" s="7">
        <f>IFERROR(VLOOKUP(I230,Materiales!$A:$H,8,0),"")</f>
        <v/>
      </c>
      <c r="K230" s="9">
        <f>IFERROR(VLOOKUP(I230,Materiales!$A:$G,7,0),"")</f>
        <v/>
      </c>
      <c r="L230" s="8" t="inlineStr">
        <is>
          <t>20190426</t>
        </is>
      </c>
      <c r="M230" s="8" t="inlineStr">
        <is>
          <t>20250127</t>
        </is>
      </c>
      <c r="N230" s="10" t="n">
        <v>95.5</v>
      </c>
      <c r="O230" s="10">
        <f>IFERROR(VLOOKUP(A230,Flete!$A:$J,10,0),"")</f>
        <v/>
      </c>
      <c r="P230" s="8" t="inlineStr">
        <is>
          <t>M3</t>
        </is>
      </c>
      <c r="Q230" s="10">
        <f>IFERROR(IFERROR(VLOOKUP(A230,TRAOPE!$A:$U,21,0),VLOOKUP(B230,TRAOPE!$A:$U,21,0)),"")</f>
        <v/>
      </c>
      <c r="R230" s="8">
        <f>IFERROR(IFERROR(VLOOKUP(A230,TRAOPE!$A:$W,23,0),VLOOKUP(B230,TRAOPE!$A:$W,23,0)),"")</f>
        <v/>
      </c>
      <c r="S230" s="10">
        <f>IF(AND(P230="TN",R230="TN"),N230+N(O230),IF(G230&amp;""="1",N(K230)*N230,(N230+N(O230))*N(K230)))</f>
        <v/>
      </c>
      <c r="T230" s="10">
        <f>IF(Q230="","",Q230-S230)</f>
        <v/>
      </c>
    </row>
    <row r="231">
      <c r="A231" s="7">
        <f>CONCATENATE(C231,E231,F231,I231)</f>
        <v/>
      </c>
      <c r="B231" s="7">
        <f>CONCATENATE(C231,E231,I231)</f>
        <v/>
      </c>
      <c r="C231" s="8" t="n">
        <v>900001074</v>
      </c>
      <c r="D231" s="7">
        <f>IFERROR(VLOOKUP(C231,TRAOPE!$G:$H,2,0),"")</f>
        <v/>
      </c>
      <c r="E231" s="8" t="inlineStr">
        <is>
          <t>D836</t>
        </is>
      </c>
      <c r="F231" s="8" t="inlineStr">
        <is>
          <t>66239599</t>
        </is>
      </c>
      <c r="G231" s="8">
        <f>IFERROR(VLOOKUP(A231,Flete!$A:$E,5,0),"")</f>
        <v/>
      </c>
      <c r="H231" s="7">
        <f>IFERROR(VLOOKUP(F231,TRAOPE!$AA:$AB,2,0),"")</f>
        <v/>
      </c>
      <c r="I231" s="7" t="n">
        <v>10000627</v>
      </c>
      <c r="J231" s="7">
        <f>IFERROR(VLOOKUP(I231,Materiales!$A:$H,8,0),"")</f>
        <v/>
      </c>
      <c r="K231" s="9">
        <f>IFERROR(VLOOKUP(I231,Materiales!$A:$G,7,0),"")</f>
        <v/>
      </c>
      <c r="L231" s="8" t="inlineStr">
        <is>
          <t>20190426</t>
        </is>
      </c>
      <c r="M231" s="8" t="inlineStr">
        <is>
          <t>20250127</t>
        </is>
      </c>
      <c r="N231" s="10" t="n">
        <v>84</v>
      </c>
      <c r="O231" s="10">
        <f>IFERROR(VLOOKUP(A231,Flete!$A:$J,10,0),"")</f>
        <v/>
      </c>
      <c r="P231" s="8" t="inlineStr">
        <is>
          <t>M3</t>
        </is>
      </c>
      <c r="Q231" s="10">
        <f>IFERROR(IFERROR(VLOOKUP(A231,TRAOPE!$A:$U,21,0),VLOOKUP(B231,TRAOPE!$A:$U,21,0)),"")</f>
        <v/>
      </c>
      <c r="R231" s="8">
        <f>IFERROR(IFERROR(VLOOKUP(A231,TRAOPE!$A:$W,23,0),VLOOKUP(B231,TRAOPE!$A:$W,23,0)),"")</f>
        <v/>
      </c>
      <c r="S231" s="10">
        <f>IF(AND(P231="TN",R231="TN"),N231+N(O231),IF(G231&amp;""="1",N(K231)*N231,(N231+N(O231))*N(K231)))</f>
        <v/>
      </c>
      <c r="T231" s="10">
        <f>IF(Q231="","",Q231-S231)</f>
        <v/>
      </c>
    </row>
    <row r="232">
      <c r="A232" s="7">
        <f>CONCATENATE(C232,E232,F232,I232)</f>
        <v/>
      </c>
      <c r="B232" s="7">
        <f>CONCATENATE(C232,E232,I232)</f>
        <v/>
      </c>
      <c r="C232" s="8" t="n">
        <v>900001074</v>
      </c>
      <c r="D232" s="7">
        <f>IFERROR(VLOOKUP(C232,TRAOPE!$G:$H,2,0),"")</f>
        <v/>
      </c>
      <c r="E232" s="8" t="inlineStr">
        <is>
          <t>D836</t>
        </is>
      </c>
      <c r="F232" s="8" t="inlineStr">
        <is>
          <t>66239600</t>
        </is>
      </c>
      <c r="G232" s="8">
        <f>IFERROR(VLOOKUP(A232,Flete!$A:$E,5,0),"")</f>
        <v/>
      </c>
      <c r="H232" s="7">
        <f>IFERROR(VLOOKUP(F232,TRAOPE!$AA:$AB,2,0),"")</f>
        <v/>
      </c>
      <c r="I232" s="7" t="n">
        <v>10000160</v>
      </c>
      <c r="J232" s="7">
        <f>IFERROR(VLOOKUP(I232,Materiales!$A:$H,8,0),"")</f>
        <v/>
      </c>
      <c r="K232" s="9">
        <f>IFERROR(VLOOKUP(I232,Materiales!$A:$G,7,0),"")</f>
        <v/>
      </c>
      <c r="L232" s="8" t="inlineStr">
        <is>
          <t>20190426</t>
        </is>
      </c>
      <c r="M232" s="8" t="inlineStr">
        <is>
          <t>20250127</t>
        </is>
      </c>
      <c r="N232" s="10" t="n">
        <v>84</v>
      </c>
      <c r="O232" s="10">
        <f>IFERROR(VLOOKUP(A232,Flete!$A:$J,10,0),"")</f>
        <v/>
      </c>
      <c r="P232" s="8" t="inlineStr">
        <is>
          <t>M3</t>
        </is>
      </c>
      <c r="Q232" s="10">
        <f>IFERROR(IFERROR(VLOOKUP(A232,TRAOPE!$A:$U,21,0),VLOOKUP(B232,TRAOPE!$A:$U,21,0)),"")</f>
        <v/>
      </c>
      <c r="R232" s="8">
        <f>IFERROR(IFERROR(VLOOKUP(A232,TRAOPE!$A:$W,23,0),VLOOKUP(B232,TRAOPE!$A:$W,23,0)),"")</f>
        <v/>
      </c>
      <c r="S232" s="10">
        <f>IF(AND(P232="TN",R232="TN"),N232+N(O232),IF(G232&amp;""="1",N(K232)*N232,(N232+N(O232))*N(K232)))</f>
        <v/>
      </c>
      <c r="T232" s="10">
        <f>IF(Q232="","",Q232-S232)</f>
        <v/>
      </c>
    </row>
    <row r="233">
      <c r="A233" s="7">
        <f>CONCATENATE(C233,E233,F233,I233)</f>
        <v/>
      </c>
      <c r="B233" s="7">
        <f>CONCATENATE(C233,E233,I233)</f>
        <v/>
      </c>
      <c r="C233" s="8" t="n">
        <v>900001074</v>
      </c>
      <c r="D233" s="7">
        <f>IFERROR(VLOOKUP(C233,TRAOPE!$G:$H,2,0),"")</f>
        <v/>
      </c>
      <c r="E233" s="8" t="inlineStr">
        <is>
          <t>D836</t>
        </is>
      </c>
      <c r="F233" s="8" t="inlineStr">
        <is>
          <t>66239600</t>
        </is>
      </c>
      <c r="G233" s="8">
        <f>IFERROR(VLOOKUP(A233,Flete!$A:$E,5,0),"")</f>
        <v/>
      </c>
      <c r="H233" s="7">
        <f>IFERROR(VLOOKUP(F233,TRAOPE!$AA:$AB,2,0),"")</f>
        <v/>
      </c>
      <c r="I233" s="7" t="n">
        <v>10000357</v>
      </c>
      <c r="J233" s="7">
        <f>IFERROR(VLOOKUP(I233,Materiales!$A:$H,8,0),"")</f>
        <v/>
      </c>
      <c r="K233" s="9">
        <f>IFERROR(VLOOKUP(I233,Materiales!$A:$G,7,0),"")</f>
        <v/>
      </c>
      <c r="L233" s="8" t="inlineStr">
        <is>
          <t>20190426</t>
        </is>
      </c>
      <c r="M233" s="8" t="inlineStr">
        <is>
          <t>20250127</t>
        </is>
      </c>
      <c r="N233" s="10" t="n">
        <v>95.5</v>
      </c>
      <c r="O233" s="10">
        <f>IFERROR(VLOOKUP(A233,Flete!$A:$J,10,0),"")</f>
        <v/>
      </c>
      <c r="P233" s="8" t="inlineStr">
        <is>
          <t>M3</t>
        </is>
      </c>
      <c r="Q233" s="10">
        <f>IFERROR(IFERROR(VLOOKUP(A233,TRAOPE!$A:$U,21,0),VLOOKUP(B233,TRAOPE!$A:$U,21,0)),"")</f>
        <v/>
      </c>
      <c r="R233" s="8">
        <f>IFERROR(IFERROR(VLOOKUP(A233,TRAOPE!$A:$W,23,0),VLOOKUP(B233,TRAOPE!$A:$W,23,0)),"")</f>
        <v/>
      </c>
      <c r="S233" s="10">
        <f>IF(AND(P233="TN",R233="TN"),N233+N(O233),IF(G233&amp;""="1",N(K233)*N233,(N233+N(O233))*N(K233)))</f>
        <v/>
      </c>
      <c r="T233" s="10">
        <f>IF(Q233="","",Q233-S233)</f>
        <v/>
      </c>
    </row>
    <row r="234">
      <c r="A234" s="7">
        <f>CONCATENATE(C234,E234,F234,I234)</f>
        <v/>
      </c>
      <c r="B234" s="7">
        <f>CONCATENATE(C234,E234,I234)</f>
        <v/>
      </c>
      <c r="C234" s="8" t="n">
        <v>900001074</v>
      </c>
      <c r="D234" s="7">
        <f>IFERROR(VLOOKUP(C234,TRAOPE!$G:$H,2,0),"")</f>
        <v/>
      </c>
      <c r="E234" s="8" t="inlineStr">
        <is>
          <t>D836</t>
        </is>
      </c>
      <c r="F234" s="8" t="inlineStr">
        <is>
          <t>66239600</t>
        </is>
      </c>
      <c r="G234" s="8">
        <f>IFERROR(VLOOKUP(A234,Flete!$A:$E,5,0),"")</f>
        <v/>
      </c>
      <c r="H234" s="7">
        <f>IFERROR(VLOOKUP(F234,TRAOPE!$AA:$AB,2,0),"")</f>
        <v/>
      </c>
      <c r="I234" s="7" t="n">
        <v>10000627</v>
      </c>
      <c r="J234" s="7">
        <f>IFERROR(VLOOKUP(I234,Materiales!$A:$H,8,0),"")</f>
        <v/>
      </c>
      <c r="K234" s="9">
        <f>IFERROR(VLOOKUP(I234,Materiales!$A:$G,7,0),"")</f>
        <v/>
      </c>
      <c r="L234" s="8" t="inlineStr">
        <is>
          <t>20190426</t>
        </is>
      </c>
      <c r="M234" s="8" t="inlineStr">
        <is>
          <t>20250127</t>
        </is>
      </c>
      <c r="N234" s="10" t="n">
        <v>84</v>
      </c>
      <c r="O234" s="10">
        <f>IFERROR(VLOOKUP(A234,Flete!$A:$J,10,0),"")</f>
        <v/>
      </c>
      <c r="P234" s="8" t="inlineStr">
        <is>
          <t>M3</t>
        </is>
      </c>
      <c r="Q234" s="10">
        <f>IFERROR(IFERROR(VLOOKUP(A234,TRAOPE!$A:$U,21,0),VLOOKUP(B234,TRAOPE!$A:$U,21,0)),"")</f>
        <v/>
      </c>
      <c r="R234" s="8">
        <f>IFERROR(IFERROR(VLOOKUP(A234,TRAOPE!$A:$W,23,0),VLOOKUP(B234,TRAOPE!$A:$W,23,0)),"")</f>
        <v/>
      </c>
      <c r="S234" s="10">
        <f>IF(AND(P234="TN",R234="TN"),N234+N(O234),IF(G234&amp;""="1",N(K234)*N234,(N234+N(O234))*N(K234)))</f>
        <v/>
      </c>
      <c r="T234" s="10">
        <f>IF(Q234="","",Q234-S234)</f>
        <v/>
      </c>
    </row>
    <row r="235">
      <c r="A235" s="7">
        <f>CONCATENATE(C235,E235,F235,I235)</f>
        <v/>
      </c>
      <c r="B235" s="7">
        <f>CONCATENATE(C235,E235,I235)</f>
        <v/>
      </c>
      <c r="C235" s="8" t="n">
        <v>900001074</v>
      </c>
      <c r="D235" s="7">
        <f>IFERROR(VLOOKUP(C235,TRAOPE!$G:$H,2,0),"")</f>
        <v/>
      </c>
      <c r="E235" s="8" t="inlineStr">
        <is>
          <t>D836</t>
        </is>
      </c>
      <c r="F235" s="8" t="inlineStr">
        <is>
          <t>66239601</t>
        </is>
      </c>
      <c r="G235" s="8">
        <f>IFERROR(VLOOKUP(A235,Flete!$A:$E,5,0),"")</f>
        <v/>
      </c>
      <c r="H235" s="7">
        <f>IFERROR(VLOOKUP(F235,TRAOPE!$AA:$AB,2,0),"")</f>
        <v/>
      </c>
      <c r="I235" s="7" t="n">
        <v>10000160</v>
      </c>
      <c r="J235" s="7">
        <f>IFERROR(VLOOKUP(I235,Materiales!$A:$H,8,0),"")</f>
        <v/>
      </c>
      <c r="K235" s="9">
        <f>IFERROR(VLOOKUP(I235,Materiales!$A:$G,7,0),"")</f>
        <v/>
      </c>
      <c r="L235" s="8" t="inlineStr">
        <is>
          <t>20190426</t>
        </is>
      </c>
      <c r="M235" s="8" t="inlineStr">
        <is>
          <t>20250127</t>
        </is>
      </c>
      <c r="N235" s="10" t="n">
        <v>84</v>
      </c>
      <c r="O235" s="10">
        <f>IFERROR(VLOOKUP(A235,Flete!$A:$J,10,0),"")</f>
        <v/>
      </c>
      <c r="P235" s="8" t="inlineStr">
        <is>
          <t>M3</t>
        </is>
      </c>
      <c r="Q235" s="10">
        <f>IFERROR(IFERROR(VLOOKUP(A235,TRAOPE!$A:$U,21,0),VLOOKUP(B235,TRAOPE!$A:$U,21,0)),"")</f>
        <v/>
      </c>
      <c r="R235" s="8">
        <f>IFERROR(IFERROR(VLOOKUP(A235,TRAOPE!$A:$W,23,0),VLOOKUP(B235,TRAOPE!$A:$W,23,0)),"")</f>
        <v/>
      </c>
      <c r="S235" s="10">
        <f>IF(AND(P235="TN",R235="TN"),N235+N(O235),IF(G235&amp;""="1",N(K235)*N235,(N235+N(O235))*N(K235)))</f>
        <v/>
      </c>
      <c r="T235" s="10">
        <f>IF(Q235="","",Q235-S235)</f>
        <v/>
      </c>
    </row>
    <row r="236">
      <c r="A236" s="7">
        <f>CONCATENATE(C236,E236,F236,I236)</f>
        <v/>
      </c>
      <c r="B236" s="7">
        <f>CONCATENATE(C236,E236,I236)</f>
        <v/>
      </c>
      <c r="C236" s="8" t="n">
        <v>900001074</v>
      </c>
      <c r="D236" s="7">
        <f>IFERROR(VLOOKUP(C236,TRAOPE!$G:$H,2,0),"")</f>
        <v/>
      </c>
      <c r="E236" s="8" t="inlineStr">
        <is>
          <t>D836</t>
        </is>
      </c>
      <c r="F236" s="8" t="inlineStr">
        <is>
          <t>66239601</t>
        </is>
      </c>
      <c r="G236" s="8">
        <f>IFERROR(VLOOKUP(A236,Flete!$A:$E,5,0),"")</f>
        <v/>
      </c>
      <c r="H236" s="7">
        <f>IFERROR(VLOOKUP(F236,TRAOPE!$AA:$AB,2,0),"")</f>
        <v/>
      </c>
      <c r="I236" s="7" t="n">
        <v>10000357</v>
      </c>
      <c r="J236" s="7">
        <f>IFERROR(VLOOKUP(I236,Materiales!$A:$H,8,0),"")</f>
        <v/>
      </c>
      <c r="K236" s="9">
        <f>IFERROR(VLOOKUP(I236,Materiales!$A:$G,7,0),"")</f>
        <v/>
      </c>
      <c r="L236" s="8" t="inlineStr">
        <is>
          <t>20190426</t>
        </is>
      </c>
      <c r="M236" s="8" t="inlineStr">
        <is>
          <t>20250127</t>
        </is>
      </c>
      <c r="N236" s="10" t="n">
        <v>95.5</v>
      </c>
      <c r="O236" s="10">
        <f>IFERROR(VLOOKUP(A236,Flete!$A:$J,10,0),"")</f>
        <v/>
      </c>
      <c r="P236" s="8" t="inlineStr">
        <is>
          <t>M3</t>
        </is>
      </c>
      <c r="Q236" s="10">
        <f>IFERROR(IFERROR(VLOOKUP(A236,TRAOPE!$A:$U,21,0),VLOOKUP(B236,TRAOPE!$A:$U,21,0)),"")</f>
        <v/>
      </c>
      <c r="R236" s="8">
        <f>IFERROR(IFERROR(VLOOKUP(A236,TRAOPE!$A:$W,23,0),VLOOKUP(B236,TRAOPE!$A:$W,23,0)),"")</f>
        <v/>
      </c>
      <c r="S236" s="10">
        <f>IF(AND(P236="TN",R236="TN"),N236+N(O236),IF(G236&amp;""="1",N(K236)*N236,(N236+N(O236))*N(K236)))</f>
        <v/>
      </c>
      <c r="T236" s="10">
        <f>IF(Q236="","",Q236-S236)</f>
        <v/>
      </c>
    </row>
    <row r="237">
      <c r="A237" s="7">
        <f>CONCATENATE(C237,E237,F237,I237)</f>
        <v/>
      </c>
      <c r="B237" s="7">
        <f>CONCATENATE(C237,E237,I237)</f>
        <v/>
      </c>
      <c r="C237" s="8" t="n">
        <v>900001074</v>
      </c>
      <c r="D237" s="7">
        <f>IFERROR(VLOOKUP(C237,TRAOPE!$G:$H,2,0),"")</f>
        <v/>
      </c>
      <c r="E237" s="8" t="inlineStr">
        <is>
          <t>D836</t>
        </is>
      </c>
      <c r="F237" s="8" t="inlineStr">
        <is>
          <t>66239601</t>
        </is>
      </c>
      <c r="G237" s="8">
        <f>IFERROR(VLOOKUP(A237,Flete!$A:$E,5,0),"")</f>
        <v/>
      </c>
      <c r="H237" s="7">
        <f>IFERROR(VLOOKUP(F237,TRAOPE!$AA:$AB,2,0),"")</f>
        <v/>
      </c>
      <c r="I237" s="7" t="n">
        <v>10000627</v>
      </c>
      <c r="J237" s="7">
        <f>IFERROR(VLOOKUP(I237,Materiales!$A:$H,8,0),"")</f>
        <v/>
      </c>
      <c r="K237" s="9">
        <f>IFERROR(VLOOKUP(I237,Materiales!$A:$G,7,0),"")</f>
        <v/>
      </c>
      <c r="L237" s="8" t="inlineStr">
        <is>
          <t>20190426</t>
        </is>
      </c>
      <c r="M237" s="8" t="inlineStr">
        <is>
          <t>20250127</t>
        </is>
      </c>
      <c r="N237" s="10" t="n">
        <v>84</v>
      </c>
      <c r="O237" s="10">
        <f>IFERROR(VLOOKUP(A237,Flete!$A:$J,10,0),"")</f>
        <v/>
      </c>
      <c r="P237" s="8" t="inlineStr">
        <is>
          <t>M3</t>
        </is>
      </c>
      <c r="Q237" s="10">
        <f>IFERROR(IFERROR(VLOOKUP(A237,TRAOPE!$A:$U,21,0),VLOOKUP(B237,TRAOPE!$A:$U,21,0)),"")</f>
        <v/>
      </c>
      <c r="R237" s="8">
        <f>IFERROR(IFERROR(VLOOKUP(A237,TRAOPE!$A:$W,23,0),VLOOKUP(B237,TRAOPE!$A:$W,23,0)),"")</f>
        <v/>
      </c>
      <c r="S237" s="10">
        <f>IF(AND(P237="TN",R237="TN"),N237+N(O237),IF(G237&amp;""="1",N(K237)*N237,(N237+N(O237))*N(K237)))</f>
        <v/>
      </c>
      <c r="T237" s="10">
        <f>IF(Q237="","",Q237-S237)</f>
        <v/>
      </c>
    </row>
    <row r="238">
      <c r="A238" s="7">
        <f>CONCATENATE(C238,E238,F238,I238)</f>
        <v/>
      </c>
      <c r="B238" s="7">
        <f>CONCATENATE(C238,E238,I238)</f>
        <v/>
      </c>
      <c r="C238" s="8" t="n">
        <v>900001074</v>
      </c>
      <c r="D238" s="7">
        <f>IFERROR(VLOOKUP(C238,TRAOPE!$G:$H,2,0),"")</f>
        <v/>
      </c>
      <c r="E238" s="8" t="inlineStr">
        <is>
          <t>D836</t>
        </is>
      </c>
      <c r="F238" s="8" t="inlineStr">
        <is>
          <t>66239617</t>
        </is>
      </c>
      <c r="G238" s="8">
        <f>IFERROR(VLOOKUP(A238,Flete!$A:$E,5,0),"")</f>
        <v/>
      </c>
      <c r="H238" s="7">
        <f>IFERROR(VLOOKUP(F238,TRAOPE!$AA:$AB,2,0),"")</f>
        <v/>
      </c>
      <c r="I238" s="7" t="n">
        <v>10000160</v>
      </c>
      <c r="J238" s="7">
        <f>IFERROR(VLOOKUP(I238,Materiales!$A:$H,8,0),"")</f>
        <v/>
      </c>
      <c r="K238" s="9">
        <f>IFERROR(VLOOKUP(I238,Materiales!$A:$G,7,0),"")</f>
        <v/>
      </c>
      <c r="L238" s="8" t="inlineStr">
        <is>
          <t>20190426</t>
        </is>
      </c>
      <c r="M238" s="8" t="inlineStr">
        <is>
          <t>20250127</t>
        </is>
      </c>
      <c r="N238" s="10" t="n">
        <v>84</v>
      </c>
      <c r="O238" s="10">
        <f>IFERROR(VLOOKUP(A238,Flete!$A:$J,10,0),"")</f>
        <v/>
      </c>
      <c r="P238" s="8" t="inlineStr">
        <is>
          <t>M3</t>
        </is>
      </c>
      <c r="Q238" s="10">
        <f>IFERROR(IFERROR(VLOOKUP(A238,TRAOPE!$A:$U,21,0),VLOOKUP(B238,TRAOPE!$A:$U,21,0)),"")</f>
        <v/>
      </c>
      <c r="R238" s="8">
        <f>IFERROR(IFERROR(VLOOKUP(A238,TRAOPE!$A:$W,23,0),VLOOKUP(B238,TRAOPE!$A:$W,23,0)),"")</f>
        <v/>
      </c>
      <c r="S238" s="10">
        <f>IF(AND(P238="TN",R238="TN"),N238+N(O238),IF(G238&amp;""="1",N(K238)*N238,(N238+N(O238))*N(K238)))</f>
        <v/>
      </c>
      <c r="T238" s="10">
        <f>IF(Q238="","",Q238-S238)</f>
        <v/>
      </c>
    </row>
    <row r="239">
      <c r="A239" s="7">
        <f>CONCATENATE(C239,E239,F239,I239)</f>
        <v/>
      </c>
      <c r="B239" s="7">
        <f>CONCATENATE(C239,E239,I239)</f>
        <v/>
      </c>
      <c r="C239" s="8" t="n">
        <v>900001074</v>
      </c>
      <c r="D239" s="7">
        <f>IFERROR(VLOOKUP(C239,TRAOPE!$G:$H,2,0),"")</f>
        <v/>
      </c>
      <c r="E239" s="8" t="inlineStr">
        <is>
          <t>D836</t>
        </is>
      </c>
      <c r="F239" s="8" t="inlineStr">
        <is>
          <t>66239617</t>
        </is>
      </c>
      <c r="G239" s="8">
        <f>IFERROR(VLOOKUP(A239,Flete!$A:$E,5,0),"")</f>
        <v/>
      </c>
      <c r="H239" s="7">
        <f>IFERROR(VLOOKUP(F239,TRAOPE!$AA:$AB,2,0),"")</f>
        <v/>
      </c>
      <c r="I239" s="7" t="n">
        <v>10000357</v>
      </c>
      <c r="J239" s="7">
        <f>IFERROR(VLOOKUP(I239,Materiales!$A:$H,8,0),"")</f>
        <v/>
      </c>
      <c r="K239" s="9">
        <f>IFERROR(VLOOKUP(I239,Materiales!$A:$G,7,0),"")</f>
        <v/>
      </c>
      <c r="L239" s="8" t="inlineStr">
        <is>
          <t>20190426</t>
        </is>
      </c>
      <c r="M239" s="8" t="inlineStr">
        <is>
          <t>20250127</t>
        </is>
      </c>
      <c r="N239" s="10" t="n">
        <v>95.5</v>
      </c>
      <c r="O239" s="10">
        <f>IFERROR(VLOOKUP(A239,Flete!$A:$J,10,0),"")</f>
        <v/>
      </c>
      <c r="P239" s="8" t="inlineStr">
        <is>
          <t>M3</t>
        </is>
      </c>
      <c r="Q239" s="10">
        <f>IFERROR(IFERROR(VLOOKUP(A239,TRAOPE!$A:$U,21,0),VLOOKUP(B239,TRAOPE!$A:$U,21,0)),"")</f>
        <v/>
      </c>
      <c r="R239" s="8">
        <f>IFERROR(IFERROR(VLOOKUP(A239,TRAOPE!$A:$W,23,0),VLOOKUP(B239,TRAOPE!$A:$W,23,0)),"")</f>
        <v/>
      </c>
      <c r="S239" s="10">
        <f>IF(AND(P239="TN",R239="TN"),N239+N(O239),IF(G239&amp;""="1",N(K239)*N239,(N239+N(O239))*N(K239)))</f>
        <v/>
      </c>
      <c r="T239" s="10">
        <f>IF(Q239="","",Q239-S239)</f>
        <v/>
      </c>
    </row>
    <row r="240">
      <c r="A240" s="7">
        <f>CONCATENATE(C240,E240,F240,I240)</f>
        <v/>
      </c>
      <c r="B240" s="7">
        <f>CONCATENATE(C240,E240,I240)</f>
        <v/>
      </c>
      <c r="C240" s="8" t="n">
        <v>900001074</v>
      </c>
      <c r="D240" s="7">
        <f>IFERROR(VLOOKUP(C240,TRAOPE!$G:$H,2,0),"")</f>
        <v/>
      </c>
      <c r="E240" s="8" t="inlineStr">
        <is>
          <t>D836</t>
        </is>
      </c>
      <c r="F240" s="8" t="inlineStr">
        <is>
          <t>66239617</t>
        </is>
      </c>
      <c r="G240" s="8">
        <f>IFERROR(VLOOKUP(A240,Flete!$A:$E,5,0),"")</f>
        <v/>
      </c>
      <c r="H240" s="7">
        <f>IFERROR(VLOOKUP(F240,TRAOPE!$AA:$AB,2,0),"")</f>
        <v/>
      </c>
      <c r="I240" s="7" t="n">
        <v>10000627</v>
      </c>
      <c r="J240" s="7">
        <f>IFERROR(VLOOKUP(I240,Materiales!$A:$H,8,0),"")</f>
        <v/>
      </c>
      <c r="K240" s="9">
        <f>IFERROR(VLOOKUP(I240,Materiales!$A:$G,7,0),"")</f>
        <v/>
      </c>
      <c r="L240" s="8" t="inlineStr">
        <is>
          <t>20190426</t>
        </is>
      </c>
      <c r="M240" s="8" t="inlineStr">
        <is>
          <t>20250127</t>
        </is>
      </c>
      <c r="N240" s="10" t="n">
        <v>84</v>
      </c>
      <c r="O240" s="10">
        <f>IFERROR(VLOOKUP(A240,Flete!$A:$J,10,0),"")</f>
        <v/>
      </c>
      <c r="P240" s="8" t="inlineStr">
        <is>
          <t>M3</t>
        </is>
      </c>
      <c r="Q240" s="10">
        <f>IFERROR(IFERROR(VLOOKUP(A240,TRAOPE!$A:$U,21,0),VLOOKUP(B240,TRAOPE!$A:$U,21,0)),"")</f>
        <v/>
      </c>
      <c r="R240" s="8">
        <f>IFERROR(IFERROR(VLOOKUP(A240,TRAOPE!$A:$W,23,0),VLOOKUP(B240,TRAOPE!$A:$W,23,0)),"")</f>
        <v/>
      </c>
      <c r="S240" s="10">
        <f>IF(AND(P240="TN",R240="TN"),N240+N(O240),IF(G240&amp;""="1",N(K240)*N240,(N240+N(O240))*N(K240)))</f>
        <v/>
      </c>
      <c r="T240" s="10">
        <f>IF(Q240="","",Q240-S240)</f>
        <v/>
      </c>
    </row>
    <row r="241">
      <c r="A241" s="7">
        <f>CONCATENATE(C241,E241,F241,I241)</f>
        <v/>
      </c>
      <c r="B241" s="7">
        <f>CONCATENATE(C241,E241,I241)</f>
        <v/>
      </c>
      <c r="C241" s="8" t="n">
        <v>900001074</v>
      </c>
      <c r="D241" s="7">
        <f>IFERROR(VLOOKUP(C241,TRAOPE!$G:$H,2,0),"")</f>
        <v/>
      </c>
      <c r="E241" s="8" t="inlineStr">
        <is>
          <t>D836</t>
        </is>
      </c>
      <c r="F241" s="8" t="inlineStr">
        <is>
          <t>66239618</t>
        </is>
      </c>
      <c r="G241" s="8">
        <f>IFERROR(VLOOKUP(A241,Flete!$A:$E,5,0),"")</f>
        <v/>
      </c>
      <c r="H241" s="7">
        <f>IFERROR(VLOOKUP(F241,TRAOPE!$AA:$AB,2,0),"")</f>
        <v/>
      </c>
      <c r="I241" s="7" t="n">
        <v>10000160</v>
      </c>
      <c r="J241" s="7">
        <f>IFERROR(VLOOKUP(I241,Materiales!$A:$H,8,0),"")</f>
        <v/>
      </c>
      <c r="K241" s="9">
        <f>IFERROR(VLOOKUP(I241,Materiales!$A:$G,7,0),"")</f>
        <v/>
      </c>
      <c r="L241" s="8" t="inlineStr">
        <is>
          <t>20190426</t>
        </is>
      </c>
      <c r="M241" s="8" t="inlineStr">
        <is>
          <t>20250127</t>
        </is>
      </c>
      <c r="N241" s="10" t="n">
        <v>84</v>
      </c>
      <c r="O241" s="10">
        <f>IFERROR(VLOOKUP(A241,Flete!$A:$J,10,0),"")</f>
        <v/>
      </c>
      <c r="P241" s="8" t="inlineStr">
        <is>
          <t>M3</t>
        </is>
      </c>
      <c r="Q241" s="10">
        <f>IFERROR(IFERROR(VLOOKUP(A241,TRAOPE!$A:$U,21,0),VLOOKUP(B241,TRAOPE!$A:$U,21,0)),"")</f>
        <v/>
      </c>
      <c r="R241" s="8">
        <f>IFERROR(IFERROR(VLOOKUP(A241,TRAOPE!$A:$W,23,0),VLOOKUP(B241,TRAOPE!$A:$W,23,0)),"")</f>
        <v/>
      </c>
      <c r="S241" s="10">
        <f>IF(AND(P241="TN",R241="TN"),N241+N(O241),IF(G241&amp;""="1",N(K241)*N241,(N241+N(O241))*N(K241)))</f>
        <v/>
      </c>
      <c r="T241" s="10">
        <f>IF(Q241="","",Q241-S241)</f>
        <v/>
      </c>
    </row>
    <row r="242">
      <c r="A242" s="7">
        <f>CONCATENATE(C242,E242,F242,I242)</f>
        <v/>
      </c>
      <c r="B242" s="7">
        <f>CONCATENATE(C242,E242,I242)</f>
        <v/>
      </c>
      <c r="C242" s="8" t="n">
        <v>900001074</v>
      </c>
      <c r="D242" s="7">
        <f>IFERROR(VLOOKUP(C242,TRAOPE!$G:$H,2,0),"")</f>
        <v/>
      </c>
      <c r="E242" s="8" t="inlineStr">
        <is>
          <t>D836</t>
        </is>
      </c>
      <c r="F242" s="8" t="inlineStr">
        <is>
          <t>66239618</t>
        </is>
      </c>
      <c r="G242" s="8">
        <f>IFERROR(VLOOKUP(A242,Flete!$A:$E,5,0),"")</f>
        <v/>
      </c>
      <c r="H242" s="7">
        <f>IFERROR(VLOOKUP(F242,TRAOPE!$AA:$AB,2,0),"")</f>
        <v/>
      </c>
      <c r="I242" s="7" t="n">
        <v>10000357</v>
      </c>
      <c r="J242" s="7">
        <f>IFERROR(VLOOKUP(I242,Materiales!$A:$H,8,0),"")</f>
        <v/>
      </c>
      <c r="K242" s="9">
        <f>IFERROR(VLOOKUP(I242,Materiales!$A:$G,7,0),"")</f>
        <v/>
      </c>
      <c r="L242" s="8" t="inlineStr">
        <is>
          <t>20190426</t>
        </is>
      </c>
      <c r="M242" s="8" t="inlineStr">
        <is>
          <t>20250127</t>
        </is>
      </c>
      <c r="N242" s="10" t="n">
        <v>95.5</v>
      </c>
      <c r="O242" s="10">
        <f>IFERROR(VLOOKUP(A242,Flete!$A:$J,10,0),"")</f>
        <v/>
      </c>
      <c r="P242" s="8" t="inlineStr">
        <is>
          <t>M3</t>
        </is>
      </c>
      <c r="Q242" s="10">
        <f>IFERROR(IFERROR(VLOOKUP(A242,TRAOPE!$A:$U,21,0),VLOOKUP(B242,TRAOPE!$A:$U,21,0)),"")</f>
        <v/>
      </c>
      <c r="R242" s="8">
        <f>IFERROR(IFERROR(VLOOKUP(A242,TRAOPE!$A:$W,23,0),VLOOKUP(B242,TRAOPE!$A:$W,23,0)),"")</f>
        <v/>
      </c>
      <c r="S242" s="10">
        <f>IF(AND(P242="TN",R242="TN"),N242+N(O242),IF(G242&amp;""="1",N(K242)*N242,(N242+N(O242))*N(K242)))</f>
        <v/>
      </c>
      <c r="T242" s="10">
        <f>IF(Q242="","",Q242-S242)</f>
        <v/>
      </c>
    </row>
    <row r="243">
      <c r="A243" s="7">
        <f>CONCATENATE(C243,E243,F243,I243)</f>
        <v/>
      </c>
      <c r="B243" s="7">
        <f>CONCATENATE(C243,E243,I243)</f>
        <v/>
      </c>
      <c r="C243" s="8" t="n">
        <v>900001074</v>
      </c>
      <c r="D243" s="7">
        <f>IFERROR(VLOOKUP(C243,TRAOPE!$G:$H,2,0),"")</f>
        <v/>
      </c>
      <c r="E243" s="8" t="inlineStr">
        <is>
          <t>D836</t>
        </is>
      </c>
      <c r="F243" s="8" t="inlineStr">
        <is>
          <t>66239618</t>
        </is>
      </c>
      <c r="G243" s="8">
        <f>IFERROR(VLOOKUP(A243,Flete!$A:$E,5,0),"")</f>
        <v/>
      </c>
      <c r="H243" s="7">
        <f>IFERROR(VLOOKUP(F243,TRAOPE!$AA:$AB,2,0),"")</f>
        <v/>
      </c>
      <c r="I243" s="7" t="n">
        <v>10000627</v>
      </c>
      <c r="J243" s="7">
        <f>IFERROR(VLOOKUP(I243,Materiales!$A:$H,8,0),"")</f>
        <v/>
      </c>
      <c r="K243" s="9">
        <f>IFERROR(VLOOKUP(I243,Materiales!$A:$G,7,0),"")</f>
        <v/>
      </c>
      <c r="L243" s="8" t="inlineStr">
        <is>
          <t>20190426</t>
        </is>
      </c>
      <c r="M243" s="8" t="inlineStr">
        <is>
          <t>20250127</t>
        </is>
      </c>
      <c r="N243" s="10" t="n">
        <v>84</v>
      </c>
      <c r="O243" s="10">
        <f>IFERROR(VLOOKUP(A243,Flete!$A:$J,10,0),"")</f>
        <v/>
      </c>
      <c r="P243" s="8" t="inlineStr">
        <is>
          <t>M3</t>
        </is>
      </c>
      <c r="Q243" s="10">
        <f>IFERROR(IFERROR(VLOOKUP(A243,TRAOPE!$A:$U,21,0),VLOOKUP(B243,TRAOPE!$A:$U,21,0)),"")</f>
        <v/>
      </c>
      <c r="R243" s="8">
        <f>IFERROR(IFERROR(VLOOKUP(A243,TRAOPE!$A:$W,23,0),VLOOKUP(B243,TRAOPE!$A:$W,23,0)),"")</f>
        <v/>
      </c>
      <c r="S243" s="10">
        <f>IF(AND(P243="TN",R243="TN"),N243+N(O243),IF(G243&amp;""="1",N(K243)*N243,(N243+N(O243))*N(K243)))</f>
        <v/>
      </c>
      <c r="T243" s="10">
        <f>IF(Q243="","",Q243-S243)</f>
        <v/>
      </c>
    </row>
    <row r="244">
      <c r="A244" s="7">
        <f>CONCATENATE(C244,E244,F244,I244)</f>
        <v/>
      </c>
      <c r="B244" s="7">
        <f>CONCATENATE(C244,E244,I244)</f>
        <v/>
      </c>
      <c r="C244" s="8" t="n">
        <v>900001074</v>
      </c>
      <c r="D244" s="7">
        <f>IFERROR(VLOOKUP(C244,TRAOPE!$G:$H,2,0),"")</f>
        <v/>
      </c>
      <c r="E244" s="8" t="inlineStr">
        <is>
          <t>D836</t>
        </is>
      </c>
      <c r="F244" s="8" t="inlineStr">
        <is>
          <t>66239621</t>
        </is>
      </c>
      <c r="G244" s="8">
        <f>IFERROR(VLOOKUP(A244,Flete!$A:$E,5,0),"")</f>
        <v/>
      </c>
      <c r="H244" s="7">
        <f>IFERROR(VLOOKUP(F244,TRAOPE!$AA:$AB,2,0),"")</f>
        <v/>
      </c>
      <c r="I244" s="7" t="n">
        <v>10000160</v>
      </c>
      <c r="J244" s="7">
        <f>IFERROR(VLOOKUP(I244,Materiales!$A:$H,8,0),"")</f>
        <v/>
      </c>
      <c r="K244" s="9">
        <f>IFERROR(VLOOKUP(I244,Materiales!$A:$G,7,0),"")</f>
        <v/>
      </c>
      <c r="L244" s="8" t="inlineStr">
        <is>
          <t>20190426</t>
        </is>
      </c>
      <c r="M244" s="8" t="inlineStr">
        <is>
          <t>20250127</t>
        </is>
      </c>
      <c r="N244" s="10" t="n">
        <v>84</v>
      </c>
      <c r="O244" s="10">
        <f>IFERROR(VLOOKUP(A244,Flete!$A:$J,10,0),"")</f>
        <v/>
      </c>
      <c r="P244" s="8" t="inlineStr">
        <is>
          <t>M3</t>
        </is>
      </c>
      <c r="Q244" s="10">
        <f>IFERROR(IFERROR(VLOOKUP(A244,TRAOPE!$A:$U,21,0),VLOOKUP(B244,TRAOPE!$A:$U,21,0)),"")</f>
        <v/>
      </c>
      <c r="R244" s="8">
        <f>IFERROR(IFERROR(VLOOKUP(A244,TRAOPE!$A:$W,23,0),VLOOKUP(B244,TRAOPE!$A:$W,23,0)),"")</f>
        <v/>
      </c>
      <c r="S244" s="10">
        <f>IF(AND(P244="TN",R244="TN"),N244+N(O244),IF(G244&amp;""="1",N(K244)*N244,(N244+N(O244))*N(K244)))</f>
        <v/>
      </c>
      <c r="T244" s="10">
        <f>IF(Q244="","",Q244-S244)</f>
        <v/>
      </c>
    </row>
    <row r="245">
      <c r="A245" s="7">
        <f>CONCATENATE(C245,E245,F245,I245)</f>
        <v/>
      </c>
      <c r="B245" s="7">
        <f>CONCATENATE(C245,E245,I245)</f>
        <v/>
      </c>
      <c r="C245" s="8" t="n">
        <v>900001074</v>
      </c>
      <c r="D245" s="7">
        <f>IFERROR(VLOOKUP(C245,TRAOPE!$G:$H,2,0),"")</f>
        <v/>
      </c>
      <c r="E245" s="8" t="inlineStr">
        <is>
          <t>D836</t>
        </is>
      </c>
      <c r="F245" s="8" t="inlineStr">
        <is>
          <t>66239621</t>
        </is>
      </c>
      <c r="G245" s="8">
        <f>IFERROR(VLOOKUP(A245,Flete!$A:$E,5,0),"")</f>
        <v/>
      </c>
      <c r="H245" s="7">
        <f>IFERROR(VLOOKUP(F245,TRAOPE!$AA:$AB,2,0),"")</f>
        <v/>
      </c>
      <c r="I245" s="7" t="n">
        <v>10000357</v>
      </c>
      <c r="J245" s="7">
        <f>IFERROR(VLOOKUP(I245,Materiales!$A:$H,8,0),"")</f>
        <v/>
      </c>
      <c r="K245" s="9">
        <f>IFERROR(VLOOKUP(I245,Materiales!$A:$G,7,0),"")</f>
        <v/>
      </c>
      <c r="L245" s="8" t="inlineStr">
        <is>
          <t>20190426</t>
        </is>
      </c>
      <c r="M245" s="8" t="inlineStr">
        <is>
          <t>20250127</t>
        </is>
      </c>
      <c r="N245" s="10" t="n">
        <v>95.5</v>
      </c>
      <c r="O245" s="10">
        <f>IFERROR(VLOOKUP(A245,Flete!$A:$J,10,0),"")</f>
        <v/>
      </c>
      <c r="P245" s="8" t="inlineStr">
        <is>
          <t>M3</t>
        </is>
      </c>
      <c r="Q245" s="10">
        <f>IFERROR(IFERROR(VLOOKUP(A245,TRAOPE!$A:$U,21,0),VLOOKUP(B245,TRAOPE!$A:$U,21,0)),"")</f>
        <v/>
      </c>
      <c r="R245" s="8">
        <f>IFERROR(IFERROR(VLOOKUP(A245,TRAOPE!$A:$W,23,0),VLOOKUP(B245,TRAOPE!$A:$W,23,0)),"")</f>
        <v/>
      </c>
      <c r="S245" s="10">
        <f>IF(AND(P245="TN",R245="TN"),N245+N(O245),IF(G245&amp;""="1",N(K245)*N245,(N245+N(O245))*N(K245)))</f>
        <v/>
      </c>
      <c r="T245" s="10">
        <f>IF(Q245="","",Q245-S245)</f>
        <v/>
      </c>
    </row>
    <row r="246">
      <c r="A246" s="7">
        <f>CONCATENATE(C246,E246,F246,I246)</f>
        <v/>
      </c>
      <c r="B246" s="7">
        <f>CONCATENATE(C246,E246,I246)</f>
        <v/>
      </c>
      <c r="C246" s="8" t="n">
        <v>900001074</v>
      </c>
      <c r="D246" s="7">
        <f>IFERROR(VLOOKUP(C246,TRAOPE!$G:$H,2,0),"")</f>
        <v/>
      </c>
      <c r="E246" s="8" t="inlineStr">
        <is>
          <t>D836</t>
        </is>
      </c>
      <c r="F246" s="8" t="inlineStr">
        <is>
          <t>66239621</t>
        </is>
      </c>
      <c r="G246" s="8">
        <f>IFERROR(VLOOKUP(A246,Flete!$A:$E,5,0),"")</f>
        <v/>
      </c>
      <c r="H246" s="7">
        <f>IFERROR(VLOOKUP(F246,TRAOPE!$AA:$AB,2,0),"")</f>
        <v/>
      </c>
      <c r="I246" s="7" t="n">
        <v>10000627</v>
      </c>
      <c r="J246" s="7">
        <f>IFERROR(VLOOKUP(I246,Materiales!$A:$H,8,0),"")</f>
        <v/>
      </c>
      <c r="K246" s="9">
        <f>IFERROR(VLOOKUP(I246,Materiales!$A:$G,7,0),"")</f>
        <v/>
      </c>
      <c r="L246" s="8" t="inlineStr">
        <is>
          <t>20190426</t>
        </is>
      </c>
      <c r="M246" s="8" t="inlineStr">
        <is>
          <t>20250127</t>
        </is>
      </c>
      <c r="N246" s="10" t="n">
        <v>84</v>
      </c>
      <c r="O246" s="10">
        <f>IFERROR(VLOOKUP(A246,Flete!$A:$J,10,0),"")</f>
        <v/>
      </c>
      <c r="P246" s="8" t="inlineStr">
        <is>
          <t>M3</t>
        </is>
      </c>
      <c r="Q246" s="10">
        <f>IFERROR(IFERROR(VLOOKUP(A246,TRAOPE!$A:$U,21,0),VLOOKUP(B246,TRAOPE!$A:$U,21,0)),"")</f>
        <v/>
      </c>
      <c r="R246" s="8">
        <f>IFERROR(IFERROR(VLOOKUP(A246,TRAOPE!$A:$W,23,0),VLOOKUP(B246,TRAOPE!$A:$W,23,0)),"")</f>
        <v/>
      </c>
      <c r="S246" s="10">
        <f>IF(AND(P246="TN",R246="TN"),N246+N(O246),IF(G246&amp;""="1",N(K246)*N246,(N246+N(O246))*N(K246)))</f>
        <v/>
      </c>
      <c r="T246" s="10">
        <f>IF(Q246="","",Q246-S246)</f>
        <v/>
      </c>
    </row>
    <row r="247">
      <c r="A247" s="7">
        <f>CONCATENATE(C247,E247,F247,I247)</f>
        <v/>
      </c>
      <c r="B247" s="7">
        <f>CONCATENATE(C247,E247,I247)</f>
        <v/>
      </c>
      <c r="C247" s="8" t="n">
        <v>900001074</v>
      </c>
      <c r="D247" s="7">
        <f>IFERROR(VLOOKUP(C247,TRAOPE!$G:$H,2,0),"")</f>
        <v/>
      </c>
      <c r="E247" s="8" t="inlineStr">
        <is>
          <t>D836</t>
        </is>
      </c>
      <c r="F247" s="8" t="inlineStr">
        <is>
          <t>66239627</t>
        </is>
      </c>
      <c r="G247" s="8">
        <f>IFERROR(VLOOKUP(A247,Flete!$A:$E,5,0),"")</f>
        <v/>
      </c>
      <c r="H247" s="7">
        <f>IFERROR(VLOOKUP(F247,TRAOPE!$AA:$AB,2,0),"")</f>
        <v/>
      </c>
      <c r="I247" s="7" t="n">
        <v>10000160</v>
      </c>
      <c r="J247" s="7">
        <f>IFERROR(VLOOKUP(I247,Materiales!$A:$H,8,0),"")</f>
        <v/>
      </c>
      <c r="K247" s="9">
        <f>IFERROR(VLOOKUP(I247,Materiales!$A:$G,7,0),"")</f>
        <v/>
      </c>
      <c r="L247" s="8" t="inlineStr">
        <is>
          <t>20190426</t>
        </is>
      </c>
      <c r="M247" s="8" t="inlineStr">
        <is>
          <t>20250127</t>
        </is>
      </c>
      <c r="N247" s="10" t="n">
        <v>84</v>
      </c>
      <c r="O247" s="10">
        <f>IFERROR(VLOOKUP(A247,Flete!$A:$J,10,0),"")</f>
        <v/>
      </c>
      <c r="P247" s="8" t="inlineStr">
        <is>
          <t>M3</t>
        </is>
      </c>
      <c r="Q247" s="10">
        <f>IFERROR(IFERROR(VLOOKUP(A247,TRAOPE!$A:$U,21,0),VLOOKUP(B247,TRAOPE!$A:$U,21,0)),"")</f>
        <v/>
      </c>
      <c r="R247" s="8">
        <f>IFERROR(IFERROR(VLOOKUP(A247,TRAOPE!$A:$W,23,0),VLOOKUP(B247,TRAOPE!$A:$W,23,0)),"")</f>
        <v/>
      </c>
      <c r="S247" s="10">
        <f>IF(AND(P247="TN",R247="TN"),N247+N(O247),IF(G247&amp;""="1",N(K247)*N247,(N247+N(O247))*N(K247)))</f>
        <v/>
      </c>
      <c r="T247" s="10">
        <f>IF(Q247="","",Q247-S247)</f>
        <v/>
      </c>
    </row>
    <row r="248">
      <c r="A248" s="7">
        <f>CONCATENATE(C248,E248,F248,I248)</f>
        <v/>
      </c>
      <c r="B248" s="7">
        <f>CONCATENATE(C248,E248,I248)</f>
        <v/>
      </c>
      <c r="C248" s="8" t="n">
        <v>900001074</v>
      </c>
      <c r="D248" s="7">
        <f>IFERROR(VLOOKUP(C248,TRAOPE!$G:$H,2,0),"")</f>
        <v/>
      </c>
      <c r="E248" s="8" t="inlineStr">
        <is>
          <t>D836</t>
        </is>
      </c>
      <c r="F248" s="8" t="inlineStr">
        <is>
          <t>66239627</t>
        </is>
      </c>
      <c r="G248" s="8">
        <f>IFERROR(VLOOKUP(A248,Flete!$A:$E,5,0),"")</f>
        <v/>
      </c>
      <c r="H248" s="7">
        <f>IFERROR(VLOOKUP(F248,TRAOPE!$AA:$AB,2,0),"")</f>
        <v/>
      </c>
      <c r="I248" s="7" t="n">
        <v>10000357</v>
      </c>
      <c r="J248" s="7">
        <f>IFERROR(VLOOKUP(I248,Materiales!$A:$H,8,0),"")</f>
        <v/>
      </c>
      <c r="K248" s="9">
        <f>IFERROR(VLOOKUP(I248,Materiales!$A:$G,7,0),"")</f>
        <v/>
      </c>
      <c r="L248" s="8" t="inlineStr">
        <is>
          <t>20190426</t>
        </is>
      </c>
      <c r="M248" s="8" t="inlineStr">
        <is>
          <t>20250127</t>
        </is>
      </c>
      <c r="N248" s="10" t="n">
        <v>95.5</v>
      </c>
      <c r="O248" s="10">
        <f>IFERROR(VLOOKUP(A248,Flete!$A:$J,10,0),"")</f>
        <v/>
      </c>
      <c r="P248" s="8" t="inlineStr">
        <is>
          <t>M3</t>
        </is>
      </c>
      <c r="Q248" s="10">
        <f>IFERROR(IFERROR(VLOOKUP(A248,TRAOPE!$A:$U,21,0),VLOOKUP(B248,TRAOPE!$A:$U,21,0)),"")</f>
        <v/>
      </c>
      <c r="R248" s="8">
        <f>IFERROR(IFERROR(VLOOKUP(A248,TRAOPE!$A:$W,23,0),VLOOKUP(B248,TRAOPE!$A:$W,23,0)),"")</f>
        <v/>
      </c>
      <c r="S248" s="10">
        <f>IF(AND(P248="TN",R248="TN"),N248+N(O248),IF(G248&amp;""="1",N(K248)*N248,(N248+N(O248))*N(K248)))</f>
        <v/>
      </c>
      <c r="T248" s="10">
        <f>IF(Q248="","",Q248-S248)</f>
        <v/>
      </c>
    </row>
    <row r="249">
      <c r="A249" s="7">
        <f>CONCATENATE(C249,E249,F249,I249)</f>
        <v/>
      </c>
      <c r="B249" s="7">
        <f>CONCATENATE(C249,E249,I249)</f>
        <v/>
      </c>
      <c r="C249" s="8" t="n">
        <v>900001074</v>
      </c>
      <c r="D249" s="7">
        <f>IFERROR(VLOOKUP(C249,TRAOPE!$G:$H,2,0),"")</f>
        <v/>
      </c>
      <c r="E249" s="8" t="inlineStr">
        <is>
          <t>D836</t>
        </is>
      </c>
      <c r="F249" s="8" t="inlineStr">
        <is>
          <t>66239627</t>
        </is>
      </c>
      <c r="G249" s="8">
        <f>IFERROR(VLOOKUP(A249,Flete!$A:$E,5,0),"")</f>
        <v/>
      </c>
      <c r="H249" s="7">
        <f>IFERROR(VLOOKUP(F249,TRAOPE!$AA:$AB,2,0),"")</f>
        <v/>
      </c>
      <c r="I249" s="7" t="n">
        <v>10000627</v>
      </c>
      <c r="J249" s="7">
        <f>IFERROR(VLOOKUP(I249,Materiales!$A:$H,8,0),"")</f>
        <v/>
      </c>
      <c r="K249" s="9">
        <f>IFERROR(VLOOKUP(I249,Materiales!$A:$G,7,0),"")</f>
        <v/>
      </c>
      <c r="L249" s="8" t="inlineStr">
        <is>
          <t>20190426</t>
        </is>
      </c>
      <c r="M249" s="8" t="inlineStr">
        <is>
          <t>20250127</t>
        </is>
      </c>
      <c r="N249" s="10" t="n">
        <v>84</v>
      </c>
      <c r="O249" s="10">
        <f>IFERROR(VLOOKUP(A249,Flete!$A:$J,10,0),"")</f>
        <v/>
      </c>
      <c r="P249" s="8" t="inlineStr">
        <is>
          <t>M3</t>
        </is>
      </c>
      <c r="Q249" s="10">
        <f>IFERROR(IFERROR(VLOOKUP(A249,TRAOPE!$A:$U,21,0),VLOOKUP(B249,TRAOPE!$A:$U,21,0)),"")</f>
        <v/>
      </c>
      <c r="R249" s="8">
        <f>IFERROR(IFERROR(VLOOKUP(A249,TRAOPE!$A:$W,23,0),VLOOKUP(B249,TRAOPE!$A:$W,23,0)),"")</f>
        <v/>
      </c>
      <c r="S249" s="10">
        <f>IF(AND(P249="TN",R249="TN"),N249+N(O249),IF(G249&amp;""="1",N(K249)*N249,(N249+N(O249))*N(K249)))</f>
        <v/>
      </c>
      <c r="T249" s="10">
        <f>IF(Q249="","",Q249-S249)</f>
        <v/>
      </c>
    </row>
    <row r="250">
      <c r="A250" s="7">
        <f>CONCATENATE(C250,E250,F250,I250)</f>
        <v/>
      </c>
      <c r="B250" s="7">
        <f>CONCATENATE(C250,E250,I250)</f>
        <v/>
      </c>
      <c r="C250" s="8" t="n">
        <v>900001074</v>
      </c>
      <c r="D250" s="7">
        <f>IFERROR(VLOOKUP(C250,TRAOPE!$G:$H,2,0),"")</f>
        <v/>
      </c>
      <c r="E250" s="8" t="inlineStr">
        <is>
          <t>D836</t>
        </is>
      </c>
      <c r="F250" s="8" t="inlineStr">
        <is>
          <t>66239628</t>
        </is>
      </c>
      <c r="G250" s="8">
        <f>IFERROR(VLOOKUP(A250,Flete!$A:$E,5,0),"")</f>
        <v/>
      </c>
      <c r="H250" s="7">
        <f>IFERROR(VLOOKUP(F250,TRAOPE!$AA:$AB,2,0),"")</f>
        <v/>
      </c>
      <c r="I250" s="7" t="n">
        <v>10000160</v>
      </c>
      <c r="J250" s="7">
        <f>IFERROR(VLOOKUP(I250,Materiales!$A:$H,8,0),"")</f>
        <v/>
      </c>
      <c r="K250" s="9">
        <f>IFERROR(VLOOKUP(I250,Materiales!$A:$G,7,0),"")</f>
        <v/>
      </c>
      <c r="L250" s="8" t="inlineStr">
        <is>
          <t>20190426</t>
        </is>
      </c>
      <c r="M250" s="8" t="inlineStr">
        <is>
          <t>20250127</t>
        </is>
      </c>
      <c r="N250" s="10" t="n">
        <v>84</v>
      </c>
      <c r="O250" s="10">
        <f>IFERROR(VLOOKUP(A250,Flete!$A:$J,10,0),"")</f>
        <v/>
      </c>
      <c r="P250" s="8" t="inlineStr">
        <is>
          <t>M3</t>
        </is>
      </c>
      <c r="Q250" s="10">
        <f>IFERROR(IFERROR(VLOOKUP(A250,TRAOPE!$A:$U,21,0),VLOOKUP(B250,TRAOPE!$A:$U,21,0)),"")</f>
        <v/>
      </c>
      <c r="R250" s="8">
        <f>IFERROR(IFERROR(VLOOKUP(A250,TRAOPE!$A:$W,23,0),VLOOKUP(B250,TRAOPE!$A:$W,23,0)),"")</f>
        <v/>
      </c>
      <c r="S250" s="10">
        <f>IF(AND(P250="TN",R250="TN"),N250+N(O250),IF(G250&amp;""="1",N(K250)*N250,(N250+N(O250))*N(K250)))</f>
        <v/>
      </c>
      <c r="T250" s="10">
        <f>IF(Q250="","",Q250-S250)</f>
        <v/>
      </c>
    </row>
    <row r="251">
      <c r="A251" s="7">
        <f>CONCATENATE(C251,E251,F251,I251)</f>
        <v/>
      </c>
      <c r="B251" s="7">
        <f>CONCATENATE(C251,E251,I251)</f>
        <v/>
      </c>
      <c r="C251" s="8" t="n">
        <v>900001074</v>
      </c>
      <c r="D251" s="7">
        <f>IFERROR(VLOOKUP(C251,TRAOPE!$G:$H,2,0),"")</f>
        <v/>
      </c>
      <c r="E251" s="8" t="inlineStr">
        <is>
          <t>D836</t>
        </is>
      </c>
      <c r="F251" s="8" t="inlineStr">
        <is>
          <t>66239628</t>
        </is>
      </c>
      <c r="G251" s="8">
        <f>IFERROR(VLOOKUP(A251,Flete!$A:$E,5,0),"")</f>
        <v/>
      </c>
      <c r="H251" s="7">
        <f>IFERROR(VLOOKUP(F251,TRAOPE!$AA:$AB,2,0),"")</f>
        <v/>
      </c>
      <c r="I251" s="7" t="n">
        <v>10000357</v>
      </c>
      <c r="J251" s="7">
        <f>IFERROR(VLOOKUP(I251,Materiales!$A:$H,8,0),"")</f>
        <v/>
      </c>
      <c r="K251" s="9">
        <f>IFERROR(VLOOKUP(I251,Materiales!$A:$G,7,0),"")</f>
        <v/>
      </c>
      <c r="L251" s="8" t="inlineStr">
        <is>
          <t>20190426</t>
        </is>
      </c>
      <c r="M251" s="8" t="inlineStr">
        <is>
          <t>20250127</t>
        </is>
      </c>
      <c r="N251" s="10" t="n">
        <v>95.5</v>
      </c>
      <c r="O251" s="10">
        <f>IFERROR(VLOOKUP(A251,Flete!$A:$J,10,0),"")</f>
        <v/>
      </c>
      <c r="P251" s="8" t="inlineStr">
        <is>
          <t>M3</t>
        </is>
      </c>
      <c r="Q251" s="10">
        <f>IFERROR(IFERROR(VLOOKUP(A251,TRAOPE!$A:$U,21,0),VLOOKUP(B251,TRAOPE!$A:$U,21,0)),"")</f>
        <v/>
      </c>
      <c r="R251" s="8">
        <f>IFERROR(IFERROR(VLOOKUP(A251,TRAOPE!$A:$W,23,0),VLOOKUP(B251,TRAOPE!$A:$W,23,0)),"")</f>
        <v/>
      </c>
      <c r="S251" s="10">
        <f>IF(AND(P251="TN",R251="TN"),N251+N(O251),IF(G251&amp;""="1",N(K251)*N251,(N251+N(O251))*N(K251)))</f>
        <v/>
      </c>
      <c r="T251" s="10">
        <f>IF(Q251="","",Q251-S251)</f>
        <v/>
      </c>
    </row>
    <row r="252">
      <c r="A252" s="7">
        <f>CONCATENATE(C252,E252,F252,I252)</f>
        <v/>
      </c>
      <c r="B252" s="7">
        <f>CONCATENATE(C252,E252,I252)</f>
        <v/>
      </c>
      <c r="C252" s="8" t="n">
        <v>900001074</v>
      </c>
      <c r="D252" s="7">
        <f>IFERROR(VLOOKUP(C252,TRAOPE!$G:$H,2,0),"")</f>
        <v/>
      </c>
      <c r="E252" s="8" t="inlineStr">
        <is>
          <t>D836</t>
        </is>
      </c>
      <c r="F252" s="8" t="inlineStr">
        <is>
          <t>66239628</t>
        </is>
      </c>
      <c r="G252" s="8">
        <f>IFERROR(VLOOKUP(A252,Flete!$A:$E,5,0),"")</f>
        <v/>
      </c>
      <c r="H252" s="7">
        <f>IFERROR(VLOOKUP(F252,TRAOPE!$AA:$AB,2,0),"")</f>
        <v/>
      </c>
      <c r="I252" s="7" t="n">
        <v>10000627</v>
      </c>
      <c r="J252" s="7">
        <f>IFERROR(VLOOKUP(I252,Materiales!$A:$H,8,0),"")</f>
        <v/>
      </c>
      <c r="K252" s="9">
        <f>IFERROR(VLOOKUP(I252,Materiales!$A:$G,7,0),"")</f>
        <v/>
      </c>
      <c r="L252" s="8" t="inlineStr">
        <is>
          <t>20190426</t>
        </is>
      </c>
      <c r="M252" s="8" t="inlineStr">
        <is>
          <t>20250127</t>
        </is>
      </c>
      <c r="N252" s="10" t="n">
        <v>84</v>
      </c>
      <c r="O252" s="10">
        <f>IFERROR(VLOOKUP(A252,Flete!$A:$J,10,0),"")</f>
        <v/>
      </c>
      <c r="P252" s="8" t="inlineStr">
        <is>
          <t>M3</t>
        </is>
      </c>
      <c r="Q252" s="10">
        <f>IFERROR(IFERROR(VLOOKUP(A252,TRAOPE!$A:$U,21,0),VLOOKUP(B252,TRAOPE!$A:$U,21,0)),"")</f>
        <v/>
      </c>
      <c r="R252" s="8">
        <f>IFERROR(IFERROR(VLOOKUP(A252,TRAOPE!$A:$W,23,0),VLOOKUP(B252,TRAOPE!$A:$W,23,0)),"")</f>
        <v/>
      </c>
      <c r="S252" s="10">
        <f>IF(AND(P252="TN",R252="TN"),N252+N(O252),IF(G252&amp;""="1",N(K252)*N252,(N252+N(O252))*N(K252)))</f>
        <v/>
      </c>
      <c r="T252" s="10">
        <f>IF(Q252="","",Q252-S252)</f>
        <v/>
      </c>
    </row>
    <row r="253">
      <c r="A253" s="7">
        <f>CONCATENATE(C253,E253,F253,I253)</f>
        <v/>
      </c>
      <c r="B253" s="7">
        <f>CONCATENATE(C253,E253,I253)</f>
        <v/>
      </c>
      <c r="C253" s="8" t="n">
        <v>900001074</v>
      </c>
      <c r="D253" s="7">
        <f>IFERROR(VLOOKUP(C253,TRAOPE!$G:$H,2,0),"")</f>
        <v/>
      </c>
      <c r="E253" s="8" t="inlineStr">
        <is>
          <t>D836</t>
        </is>
      </c>
      <c r="F253" s="8" t="inlineStr">
        <is>
          <t>66260760</t>
        </is>
      </c>
      <c r="G253" s="8">
        <f>IFERROR(VLOOKUP(A253,Flete!$A:$E,5,0),"")</f>
        <v/>
      </c>
      <c r="H253" s="7">
        <f>IFERROR(VLOOKUP(F253,TRAOPE!$AA:$AB,2,0),"")</f>
        <v/>
      </c>
      <c r="I253" s="7" t="n">
        <v>10000160</v>
      </c>
      <c r="J253" s="7">
        <f>IFERROR(VLOOKUP(I253,Materiales!$A:$H,8,0),"")</f>
        <v/>
      </c>
      <c r="K253" s="9">
        <f>IFERROR(VLOOKUP(I253,Materiales!$A:$G,7,0),"")</f>
        <v/>
      </c>
      <c r="L253" s="8" t="inlineStr">
        <is>
          <t>20190426</t>
        </is>
      </c>
      <c r="M253" s="8" t="inlineStr">
        <is>
          <t>20250127</t>
        </is>
      </c>
      <c r="N253" s="10" t="n">
        <v>110</v>
      </c>
      <c r="O253" s="10">
        <f>IFERROR(VLOOKUP(A253,Flete!$A:$J,10,0),"")</f>
        <v/>
      </c>
      <c r="P253" s="8" t="inlineStr">
        <is>
          <t>M3</t>
        </is>
      </c>
      <c r="Q253" s="10">
        <f>IFERROR(IFERROR(VLOOKUP(A253,TRAOPE!$A:$U,21,0),VLOOKUP(B253,TRAOPE!$A:$U,21,0)),"")</f>
        <v/>
      </c>
      <c r="R253" s="8">
        <f>IFERROR(IFERROR(VLOOKUP(A253,TRAOPE!$A:$W,23,0),VLOOKUP(B253,TRAOPE!$A:$W,23,0)),"")</f>
        <v/>
      </c>
      <c r="S253" s="10">
        <f>IF(AND(P253="TN",R253="TN"),N253+N(O253),IF(G253&amp;""="1",N(K253)*N253,(N253+N(O253))*N(K253)))</f>
        <v/>
      </c>
      <c r="T253" s="10">
        <f>IF(Q253="","",Q253-S253)</f>
        <v/>
      </c>
    </row>
    <row r="254">
      <c r="A254" s="7">
        <f>CONCATENATE(C254,E254,F254,I254)</f>
        <v/>
      </c>
      <c r="B254" s="7">
        <f>CONCATENATE(C254,E254,I254)</f>
        <v/>
      </c>
      <c r="C254" s="8" t="n">
        <v>900001074</v>
      </c>
      <c r="D254" s="7">
        <f>IFERROR(VLOOKUP(C254,TRAOPE!$G:$H,2,0),"")</f>
        <v/>
      </c>
      <c r="E254" s="8" t="inlineStr">
        <is>
          <t>D836</t>
        </is>
      </c>
      <c r="F254" s="8" t="inlineStr">
        <is>
          <t>66260760</t>
        </is>
      </c>
      <c r="G254" s="8">
        <f>IFERROR(VLOOKUP(A254,Flete!$A:$E,5,0),"")</f>
        <v/>
      </c>
      <c r="H254" s="7">
        <f>IFERROR(VLOOKUP(F254,TRAOPE!$AA:$AB,2,0),"")</f>
        <v/>
      </c>
      <c r="I254" s="7" t="n">
        <v>10000357</v>
      </c>
      <c r="J254" s="7">
        <f>IFERROR(VLOOKUP(I254,Materiales!$A:$H,8,0),"")</f>
        <v/>
      </c>
      <c r="K254" s="9">
        <f>IFERROR(VLOOKUP(I254,Materiales!$A:$G,7,0),"")</f>
        <v/>
      </c>
      <c r="L254" s="8" t="inlineStr">
        <is>
          <t>20190426</t>
        </is>
      </c>
      <c r="M254" s="8" t="inlineStr">
        <is>
          <t>20250127</t>
        </is>
      </c>
      <c r="N254" s="10" t="n">
        <v>86</v>
      </c>
      <c r="O254" s="10">
        <f>IFERROR(VLOOKUP(A254,Flete!$A:$J,10,0),"")</f>
        <v/>
      </c>
      <c r="P254" s="8" t="inlineStr">
        <is>
          <t>M3</t>
        </is>
      </c>
      <c r="Q254" s="10">
        <f>IFERROR(IFERROR(VLOOKUP(A254,TRAOPE!$A:$U,21,0),VLOOKUP(B254,TRAOPE!$A:$U,21,0)),"")</f>
        <v/>
      </c>
      <c r="R254" s="8">
        <f>IFERROR(IFERROR(VLOOKUP(A254,TRAOPE!$A:$W,23,0),VLOOKUP(B254,TRAOPE!$A:$W,23,0)),"")</f>
        <v/>
      </c>
      <c r="S254" s="10">
        <f>IF(AND(P254="TN",R254="TN"),N254+N(O254),IF(G254&amp;""="1",N(K254)*N254,(N254+N(O254))*N(K254)))</f>
        <v/>
      </c>
      <c r="T254" s="10">
        <f>IF(Q254="","",Q254-S254)</f>
        <v/>
      </c>
    </row>
    <row r="255">
      <c r="A255" s="7">
        <f>CONCATENATE(C255,E255,F255,I255)</f>
        <v/>
      </c>
      <c r="B255" s="7">
        <f>CONCATENATE(C255,E255,I255)</f>
        <v/>
      </c>
      <c r="C255" s="8" t="n">
        <v>900001074</v>
      </c>
      <c r="D255" s="7">
        <f>IFERROR(VLOOKUP(C255,TRAOPE!$G:$H,2,0),"")</f>
        <v/>
      </c>
      <c r="E255" s="8" t="inlineStr">
        <is>
          <t>D836</t>
        </is>
      </c>
      <c r="F255" s="8" t="inlineStr">
        <is>
          <t>66260760</t>
        </is>
      </c>
      <c r="G255" s="8">
        <f>IFERROR(VLOOKUP(A255,Flete!$A:$E,5,0),"")</f>
        <v/>
      </c>
      <c r="H255" s="7">
        <f>IFERROR(VLOOKUP(F255,TRAOPE!$AA:$AB,2,0),"")</f>
        <v/>
      </c>
      <c r="I255" s="7" t="n">
        <v>10000627</v>
      </c>
      <c r="J255" s="7">
        <f>IFERROR(VLOOKUP(I255,Materiales!$A:$H,8,0),"")</f>
        <v/>
      </c>
      <c r="K255" s="9">
        <f>IFERROR(VLOOKUP(I255,Materiales!$A:$G,7,0),"")</f>
        <v/>
      </c>
      <c r="L255" s="8" t="inlineStr">
        <is>
          <t>20190426</t>
        </is>
      </c>
      <c r="M255" s="8" t="inlineStr">
        <is>
          <t>20250127</t>
        </is>
      </c>
      <c r="N255" s="10" t="n">
        <v>86</v>
      </c>
      <c r="O255" s="10">
        <f>IFERROR(VLOOKUP(A255,Flete!$A:$J,10,0),"")</f>
        <v/>
      </c>
      <c r="P255" s="8" t="inlineStr">
        <is>
          <t>M3</t>
        </is>
      </c>
      <c r="Q255" s="10">
        <f>IFERROR(IFERROR(VLOOKUP(A255,TRAOPE!$A:$U,21,0),VLOOKUP(B255,TRAOPE!$A:$U,21,0)),"")</f>
        <v/>
      </c>
      <c r="R255" s="8">
        <f>IFERROR(IFERROR(VLOOKUP(A255,TRAOPE!$A:$W,23,0),VLOOKUP(B255,TRAOPE!$A:$W,23,0)),"")</f>
        <v/>
      </c>
      <c r="S255" s="10">
        <f>IF(AND(P255="TN",R255="TN"),N255+N(O255),IF(G255&amp;""="1",N(K255)*N255,(N255+N(O255))*N(K255)))</f>
        <v/>
      </c>
      <c r="T255" s="10">
        <f>IF(Q255="","",Q255-S255)</f>
        <v/>
      </c>
    </row>
    <row r="256">
      <c r="A256" s="7">
        <f>CONCATENATE(C256,E256,F256,I256)</f>
        <v/>
      </c>
      <c r="B256" s="7">
        <f>CONCATENATE(C256,E256,I256)</f>
        <v/>
      </c>
      <c r="C256" s="8" t="n">
        <v>900001074</v>
      </c>
      <c r="D256" s="7">
        <f>IFERROR(VLOOKUP(C256,TRAOPE!$G:$H,2,0),"")</f>
        <v/>
      </c>
      <c r="E256" s="8" t="inlineStr">
        <is>
          <t>D836</t>
        </is>
      </c>
      <c r="F256" s="8" t="inlineStr">
        <is>
          <t>66272739</t>
        </is>
      </c>
      <c r="G256" s="8">
        <f>IFERROR(VLOOKUP(A256,Flete!$A:$E,5,0),"")</f>
        <v/>
      </c>
      <c r="H256" s="7">
        <f>IFERROR(VLOOKUP(F256,TRAOPE!$AA:$AB,2,0),"")</f>
        <v/>
      </c>
      <c r="I256" s="7" t="n">
        <v>10000160</v>
      </c>
      <c r="J256" s="7">
        <f>IFERROR(VLOOKUP(I256,Materiales!$A:$H,8,0),"")</f>
        <v/>
      </c>
      <c r="K256" s="9">
        <f>IFERROR(VLOOKUP(I256,Materiales!$A:$G,7,0),"")</f>
        <v/>
      </c>
      <c r="L256" s="8" t="inlineStr">
        <is>
          <t>20190426</t>
        </is>
      </c>
      <c r="M256" s="8" t="inlineStr">
        <is>
          <t>20250127</t>
        </is>
      </c>
      <c r="N256" s="10" t="n">
        <v>86.25</v>
      </c>
      <c r="O256" s="10">
        <f>IFERROR(VLOOKUP(A256,Flete!$A:$J,10,0),"")</f>
        <v/>
      </c>
      <c r="P256" s="8" t="inlineStr">
        <is>
          <t>M3</t>
        </is>
      </c>
      <c r="Q256" s="10">
        <f>IFERROR(IFERROR(VLOOKUP(A256,TRAOPE!$A:$U,21,0),VLOOKUP(B256,TRAOPE!$A:$U,21,0)),"")</f>
        <v/>
      </c>
      <c r="R256" s="8">
        <f>IFERROR(IFERROR(VLOOKUP(A256,TRAOPE!$A:$W,23,0),VLOOKUP(B256,TRAOPE!$A:$W,23,0)),"")</f>
        <v/>
      </c>
      <c r="S256" s="10">
        <f>IF(AND(P256="TN",R256="TN"),N256+N(O256),IF(G256&amp;""="1",N(K256)*N256,(N256+N(O256))*N(K256)))</f>
        <v/>
      </c>
      <c r="T256" s="10">
        <f>IF(Q256="","",Q256-S256)</f>
        <v/>
      </c>
    </row>
    <row r="257">
      <c r="A257" s="7">
        <f>CONCATENATE(C257,E257,F257,I257)</f>
        <v/>
      </c>
      <c r="B257" s="7">
        <f>CONCATENATE(C257,E257,I257)</f>
        <v/>
      </c>
      <c r="C257" s="8" t="n">
        <v>900001074</v>
      </c>
      <c r="D257" s="7">
        <f>IFERROR(VLOOKUP(C257,TRAOPE!$G:$H,2,0),"")</f>
        <v/>
      </c>
      <c r="E257" s="8" t="inlineStr">
        <is>
          <t>D836</t>
        </is>
      </c>
      <c r="F257" s="8" t="inlineStr">
        <is>
          <t>66272739</t>
        </is>
      </c>
      <c r="G257" s="8">
        <f>IFERROR(VLOOKUP(A257,Flete!$A:$E,5,0),"")</f>
        <v/>
      </c>
      <c r="H257" s="7">
        <f>IFERROR(VLOOKUP(F257,TRAOPE!$AA:$AB,2,0),"")</f>
        <v/>
      </c>
      <c r="I257" s="7" t="n">
        <v>10000357</v>
      </c>
      <c r="J257" s="7">
        <f>IFERROR(VLOOKUP(I257,Materiales!$A:$H,8,0),"")</f>
        <v/>
      </c>
      <c r="K257" s="9">
        <f>IFERROR(VLOOKUP(I257,Materiales!$A:$G,7,0),"")</f>
        <v/>
      </c>
      <c r="L257" s="8" t="inlineStr">
        <is>
          <t>20190426</t>
        </is>
      </c>
      <c r="M257" s="8" t="inlineStr">
        <is>
          <t>20250127</t>
        </is>
      </c>
      <c r="N257" s="10" t="n">
        <v>92</v>
      </c>
      <c r="O257" s="10">
        <f>IFERROR(VLOOKUP(A257,Flete!$A:$J,10,0),"")</f>
        <v/>
      </c>
      <c r="P257" s="8" t="inlineStr">
        <is>
          <t>M3</t>
        </is>
      </c>
      <c r="Q257" s="10">
        <f>IFERROR(IFERROR(VLOOKUP(A257,TRAOPE!$A:$U,21,0),VLOOKUP(B257,TRAOPE!$A:$U,21,0)),"")</f>
        <v/>
      </c>
      <c r="R257" s="8">
        <f>IFERROR(IFERROR(VLOOKUP(A257,TRAOPE!$A:$W,23,0),VLOOKUP(B257,TRAOPE!$A:$W,23,0)),"")</f>
        <v/>
      </c>
      <c r="S257" s="10">
        <f>IF(AND(P257="TN",R257="TN"),N257+N(O257),IF(G257&amp;""="1",N(K257)*N257,(N257+N(O257))*N(K257)))</f>
        <v/>
      </c>
      <c r="T257" s="10">
        <f>IF(Q257="","",Q257-S257)</f>
        <v/>
      </c>
    </row>
    <row r="258">
      <c r="A258" s="7">
        <f>CONCATENATE(C258,E258,F258,I258)</f>
        <v/>
      </c>
      <c r="B258" s="7">
        <f>CONCATENATE(C258,E258,I258)</f>
        <v/>
      </c>
      <c r="C258" s="8" t="n">
        <v>900001074</v>
      </c>
      <c r="D258" s="7">
        <f>IFERROR(VLOOKUP(C258,TRAOPE!$G:$H,2,0),"")</f>
        <v/>
      </c>
      <c r="E258" s="8" t="inlineStr">
        <is>
          <t>D836</t>
        </is>
      </c>
      <c r="F258" s="8" t="inlineStr">
        <is>
          <t>66289412</t>
        </is>
      </c>
      <c r="G258" s="8">
        <f>IFERROR(VLOOKUP(A258,Flete!$A:$E,5,0),"")</f>
        <v/>
      </c>
      <c r="H258" s="7">
        <f>IFERROR(VLOOKUP(F258,TRAOPE!$AA:$AB,2,0),"")</f>
        <v/>
      </c>
      <c r="I258" s="7" t="n">
        <v>10000160</v>
      </c>
      <c r="J258" s="7">
        <f>IFERROR(VLOOKUP(I258,Materiales!$A:$H,8,0),"")</f>
        <v/>
      </c>
      <c r="K258" s="9">
        <f>IFERROR(VLOOKUP(I258,Materiales!$A:$G,7,0),"")</f>
        <v/>
      </c>
      <c r="L258" s="8" t="inlineStr">
        <is>
          <t>20190426</t>
        </is>
      </c>
      <c r="M258" s="8" t="inlineStr">
        <is>
          <t>20250127</t>
        </is>
      </c>
      <c r="N258" s="10" t="n">
        <v>84</v>
      </c>
      <c r="O258" s="10">
        <f>IFERROR(VLOOKUP(A258,Flete!$A:$J,10,0),"")</f>
        <v/>
      </c>
      <c r="P258" s="8" t="inlineStr">
        <is>
          <t>M3</t>
        </is>
      </c>
      <c r="Q258" s="10">
        <f>IFERROR(IFERROR(VLOOKUP(A258,TRAOPE!$A:$U,21,0),VLOOKUP(B258,TRAOPE!$A:$U,21,0)),"")</f>
        <v/>
      </c>
      <c r="R258" s="8">
        <f>IFERROR(IFERROR(VLOOKUP(A258,TRAOPE!$A:$W,23,0),VLOOKUP(B258,TRAOPE!$A:$W,23,0)),"")</f>
        <v/>
      </c>
      <c r="S258" s="10">
        <f>IF(AND(P258="TN",R258="TN"),N258+N(O258),IF(G258&amp;""="1",N(K258)*N258,(N258+N(O258))*N(K258)))</f>
        <v/>
      </c>
      <c r="T258" s="10">
        <f>IF(Q258="","",Q258-S258)</f>
        <v/>
      </c>
    </row>
    <row r="259">
      <c r="A259" s="7">
        <f>CONCATENATE(C259,E259,F259,I259)</f>
        <v/>
      </c>
      <c r="B259" s="7">
        <f>CONCATENATE(C259,E259,I259)</f>
        <v/>
      </c>
      <c r="C259" s="8" t="n">
        <v>900001074</v>
      </c>
      <c r="D259" s="7">
        <f>IFERROR(VLOOKUP(C259,TRAOPE!$G:$H,2,0),"")</f>
        <v/>
      </c>
      <c r="E259" s="8" t="inlineStr">
        <is>
          <t>D836</t>
        </is>
      </c>
      <c r="F259" s="8" t="inlineStr">
        <is>
          <t>66289412</t>
        </is>
      </c>
      <c r="G259" s="8">
        <f>IFERROR(VLOOKUP(A259,Flete!$A:$E,5,0),"")</f>
        <v/>
      </c>
      <c r="H259" s="7">
        <f>IFERROR(VLOOKUP(F259,TRAOPE!$AA:$AB,2,0),"")</f>
        <v/>
      </c>
      <c r="I259" s="7" t="n">
        <v>10000357</v>
      </c>
      <c r="J259" s="7">
        <f>IFERROR(VLOOKUP(I259,Materiales!$A:$H,8,0),"")</f>
        <v/>
      </c>
      <c r="K259" s="9">
        <f>IFERROR(VLOOKUP(I259,Materiales!$A:$G,7,0),"")</f>
        <v/>
      </c>
      <c r="L259" s="8" t="inlineStr">
        <is>
          <t>20190426</t>
        </is>
      </c>
      <c r="M259" s="8" t="inlineStr">
        <is>
          <t>20250127</t>
        </is>
      </c>
      <c r="N259" s="10" t="n">
        <v>95.5</v>
      </c>
      <c r="O259" s="10">
        <f>IFERROR(VLOOKUP(A259,Flete!$A:$J,10,0),"")</f>
        <v/>
      </c>
      <c r="P259" s="8" t="inlineStr">
        <is>
          <t>M3</t>
        </is>
      </c>
      <c r="Q259" s="10">
        <f>IFERROR(IFERROR(VLOOKUP(A259,TRAOPE!$A:$U,21,0),VLOOKUP(B259,TRAOPE!$A:$U,21,0)),"")</f>
        <v/>
      </c>
      <c r="R259" s="8">
        <f>IFERROR(IFERROR(VLOOKUP(A259,TRAOPE!$A:$W,23,0),VLOOKUP(B259,TRAOPE!$A:$W,23,0)),"")</f>
        <v/>
      </c>
      <c r="S259" s="10">
        <f>IF(AND(P259="TN",R259="TN"),N259+N(O259),IF(G259&amp;""="1",N(K259)*N259,(N259+N(O259))*N(K259)))</f>
        <v/>
      </c>
      <c r="T259" s="10">
        <f>IF(Q259="","",Q259-S259)</f>
        <v/>
      </c>
    </row>
    <row r="260">
      <c r="A260" s="7">
        <f>CONCATENATE(C260,E260,F260,I260)</f>
        <v/>
      </c>
      <c r="B260" s="7">
        <f>CONCATENATE(C260,E260,I260)</f>
        <v/>
      </c>
      <c r="C260" s="8" t="n">
        <v>900001074</v>
      </c>
      <c r="D260" s="7">
        <f>IFERROR(VLOOKUP(C260,TRAOPE!$G:$H,2,0),"")</f>
        <v/>
      </c>
      <c r="E260" s="8" t="inlineStr">
        <is>
          <t>D836</t>
        </is>
      </c>
      <c r="F260" s="8" t="inlineStr">
        <is>
          <t>66289412</t>
        </is>
      </c>
      <c r="G260" s="8">
        <f>IFERROR(VLOOKUP(A260,Flete!$A:$E,5,0),"")</f>
        <v/>
      </c>
      <c r="H260" s="7">
        <f>IFERROR(VLOOKUP(F260,TRAOPE!$AA:$AB,2,0),"")</f>
        <v/>
      </c>
      <c r="I260" s="7" t="n">
        <v>10000627</v>
      </c>
      <c r="J260" s="7">
        <f>IFERROR(VLOOKUP(I260,Materiales!$A:$H,8,0),"")</f>
        <v/>
      </c>
      <c r="K260" s="9">
        <f>IFERROR(VLOOKUP(I260,Materiales!$A:$G,7,0),"")</f>
        <v/>
      </c>
      <c r="L260" s="8" t="inlineStr">
        <is>
          <t>20190426</t>
        </is>
      </c>
      <c r="M260" s="8" t="inlineStr">
        <is>
          <t>20250127</t>
        </is>
      </c>
      <c r="N260" s="10" t="n">
        <v>84</v>
      </c>
      <c r="O260" s="10">
        <f>IFERROR(VLOOKUP(A260,Flete!$A:$J,10,0),"")</f>
        <v/>
      </c>
      <c r="P260" s="8" t="inlineStr">
        <is>
          <t>M3</t>
        </is>
      </c>
      <c r="Q260" s="10">
        <f>IFERROR(IFERROR(VLOOKUP(A260,TRAOPE!$A:$U,21,0),VLOOKUP(B260,TRAOPE!$A:$U,21,0)),"")</f>
        <v/>
      </c>
      <c r="R260" s="8">
        <f>IFERROR(IFERROR(VLOOKUP(A260,TRAOPE!$A:$W,23,0),VLOOKUP(B260,TRAOPE!$A:$W,23,0)),"")</f>
        <v/>
      </c>
      <c r="S260" s="10">
        <f>IF(AND(P260="TN",R260="TN"),N260+N(O260),IF(G260&amp;""="1",N(K260)*N260,(N260+N(O260))*N(K260)))</f>
        <v/>
      </c>
      <c r="T260" s="10">
        <f>IF(Q260="","",Q260-S260)</f>
        <v/>
      </c>
    </row>
    <row r="261">
      <c r="A261" s="7">
        <f>CONCATENATE(C261,E261,F261,I261)</f>
        <v/>
      </c>
      <c r="B261" s="7">
        <f>CONCATENATE(C261,E261,I261)</f>
        <v/>
      </c>
      <c r="C261" s="8" t="n">
        <v>900001074</v>
      </c>
      <c r="D261" s="7">
        <f>IFERROR(VLOOKUP(C261,TRAOPE!$G:$H,2,0),"")</f>
        <v/>
      </c>
      <c r="E261" s="8" t="inlineStr">
        <is>
          <t>D836</t>
        </is>
      </c>
      <c r="F261" s="8" t="inlineStr">
        <is>
          <t>66289413</t>
        </is>
      </c>
      <c r="G261" s="8">
        <f>IFERROR(VLOOKUP(A261,Flete!$A:$E,5,0),"")</f>
        <v/>
      </c>
      <c r="H261" s="7">
        <f>IFERROR(VLOOKUP(F261,TRAOPE!$AA:$AB,2,0),"")</f>
        <v/>
      </c>
      <c r="I261" s="7" t="n">
        <v>10000160</v>
      </c>
      <c r="J261" s="7">
        <f>IFERROR(VLOOKUP(I261,Materiales!$A:$H,8,0),"")</f>
        <v/>
      </c>
      <c r="K261" s="9">
        <f>IFERROR(VLOOKUP(I261,Materiales!$A:$G,7,0),"")</f>
        <v/>
      </c>
      <c r="L261" s="8" t="inlineStr">
        <is>
          <t>20190426</t>
        </is>
      </c>
      <c r="M261" s="8" t="inlineStr">
        <is>
          <t>20250127</t>
        </is>
      </c>
      <c r="N261" s="10" t="n">
        <v>84</v>
      </c>
      <c r="O261" s="10">
        <f>IFERROR(VLOOKUP(A261,Flete!$A:$J,10,0),"")</f>
        <v/>
      </c>
      <c r="P261" s="8" t="inlineStr">
        <is>
          <t>M3</t>
        </is>
      </c>
      <c r="Q261" s="10">
        <f>IFERROR(IFERROR(VLOOKUP(A261,TRAOPE!$A:$U,21,0),VLOOKUP(B261,TRAOPE!$A:$U,21,0)),"")</f>
        <v/>
      </c>
      <c r="R261" s="8">
        <f>IFERROR(IFERROR(VLOOKUP(A261,TRAOPE!$A:$W,23,0),VLOOKUP(B261,TRAOPE!$A:$W,23,0)),"")</f>
        <v/>
      </c>
      <c r="S261" s="10">
        <f>IF(AND(P261="TN",R261="TN"),N261+N(O261),IF(G261&amp;""="1",N(K261)*N261,(N261+N(O261))*N(K261)))</f>
        <v/>
      </c>
      <c r="T261" s="10">
        <f>IF(Q261="","",Q261-S261)</f>
        <v/>
      </c>
    </row>
    <row r="262">
      <c r="A262" s="7">
        <f>CONCATENATE(C262,E262,F262,I262)</f>
        <v/>
      </c>
      <c r="B262" s="7">
        <f>CONCATENATE(C262,E262,I262)</f>
        <v/>
      </c>
      <c r="C262" s="8" t="n">
        <v>900001074</v>
      </c>
      <c r="D262" s="7">
        <f>IFERROR(VLOOKUP(C262,TRAOPE!$G:$H,2,0),"")</f>
        <v/>
      </c>
      <c r="E262" s="8" t="inlineStr">
        <is>
          <t>D836</t>
        </is>
      </c>
      <c r="F262" s="8" t="inlineStr">
        <is>
          <t>66289413</t>
        </is>
      </c>
      <c r="G262" s="8">
        <f>IFERROR(VLOOKUP(A262,Flete!$A:$E,5,0),"")</f>
        <v/>
      </c>
      <c r="H262" s="7">
        <f>IFERROR(VLOOKUP(F262,TRAOPE!$AA:$AB,2,0),"")</f>
        <v/>
      </c>
      <c r="I262" s="7" t="n">
        <v>10000357</v>
      </c>
      <c r="J262" s="7">
        <f>IFERROR(VLOOKUP(I262,Materiales!$A:$H,8,0),"")</f>
        <v/>
      </c>
      <c r="K262" s="9">
        <f>IFERROR(VLOOKUP(I262,Materiales!$A:$G,7,0),"")</f>
        <v/>
      </c>
      <c r="L262" s="8" t="inlineStr">
        <is>
          <t>20190426</t>
        </is>
      </c>
      <c r="M262" s="8" t="inlineStr">
        <is>
          <t>20250127</t>
        </is>
      </c>
      <c r="N262" s="10" t="n">
        <v>95.5</v>
      </c>
      <c r="O262" s="10">
        <f>IFERROR(VLOOKUP(A262,Flete!$A:$J,10,0),"")</f>
        <v/>
      </c>
      <c r="P262" s="8" t="inlineStr">
        <is>
          <t>M3</t>
        </is>
      </c>
      <c r="Q262" s="10">
        <f>IFERROR(IFERROR(VLOOKUP(A262,TRAOPE!$A:$U,21,0),VLOOKUP(B262,TRAOPE!$A:$U,21,0)),"")</f>
        <v/>
      </c>
      <c r="R262" s="8">
        <f>IFERROR(IFERROR(VLOOKUP(A262,TRAOPE!$A:$W,23,0),VLOOKUP(B262,TRAOPE!$A:$W,23,0)),"")</f>
        <v/>
      </c>
      <c r="S262" s="10">
        <f>IF(AND(P262="TN",R262="TN"),N262+N(O262),IF(G262&amp;""="1",N(K262)*N262,(N262+N(O262))*N(K262)))</f>
        <v/>
      </c>
      <c r="T262" s="10">
        <f>IF(Q262="","",Q262-S262)</f>
        <v/>
      </c>
    </row>
    <row r="263">
      <c r="A263" s="7">
        <f>CONCATENATE(C263,E263,F263,I263)</f>
        <v/>
      </c>
      <c r="B263" s="7">
        <f>CONCATENATE(C263,E263,I263)</f>
        <v/>
      </c>
      <c r="C263" s="8" t="n">
        <v>900001074</v>
      </c>
      <c r="D263" s="7">
        <f>IFERROR(VLOOKUP(C263,TRAOPE!$G:$H,2,0),"")</f>
        <v/>
      </c>
      <c r="E263" s="8" t="inlineStr">
        <is>
          <t>D836</t>
        </is>
      </c>
      <c r="F263" s="8" t="inlineStr">
        <is>
          <t>66289413</t>
        </is>
      </c>
      <c r="G263" s="8">
        <f>IFERROR(VLOOKUP(A263,Flete!$A:$E,5,0),"")</f>
        <v/>
      </c>
      <c r="H263" s="7">
        <f>IFERROR(VLOOKUP(F263,TRAOPE!$AA:$AB,2,0),"")</f>
        <v/>
      </c>
      <c r="I263" s="7" t="n">
        <v>10000627</v>
      </c>
      <c r="J263" s="7">
        <f>IFERROR(VLOOKUP(I263,Materiales!$A:$H,8,0),"")</f>
        <v/>
      </c>
      <c r="K263" s="9">
        <f>IFERROR(VLOOKUP(I263,Materiales!$A:$G,7,0),"")</f>
        <v/>
      </c>
      <c r="L263" s="8" t="inlineStr">
        <is>
          <t>20190426</t>
        </is>
      </c>
      <c r="M263" s="8" t="inlineStr">
        <is>
          <t>20250127</t>
        </is>
      </c>
      <c r="N263" s="10" t="n">
        <v>84</v>
      </c>
      <c r="O263" s="10">
        <f>IFERROR(VLOOKUP(A263,Flete!$A:$J,10,0),"")</f>
        <v/>
      </c>
      <c r="P263" s="8" t="inlineStr">
        <is>
          <t>M3</t>
        </is>
      </c>
      <c r="Q263" s="10">
        <f>IFERROR(IFERROR(VLOOKUP(A263,TRAOPE!$A:$U,21,0),VLOOKUP(B263,TRAOPE!$A:$U,21,0)),"")</f>
        <v/>
      </c>
      <c r="R263" s="8">
        <f>IFERROR(IFERROR(VLOOKUP(A263,TRAOPE!$A:$W,23,0),VLOOKUP(B263,TRAOPE!$A:$W,23,0)),"")</f>
        <v/>
      </c>
      <c r="S263" s="10">
        <f>IF(AND(P263="TN",R263="TN"),N263+N(O263),IF(G263&amp;""="1",N(K263)*N263,(N263+N(O263))*N(K263)))</f>
        <v/>
      </c>
      <c r="T263" s="10">
        <f>IF(Q263="","",Q263-S263)</f>
        <v/>
      </c>
    </row>
    <row r="264">
      <c r="A264" s="7">
        <f>CONCATENATE(C264,E264,F264,I264)</f>
        <v/>
      </c>
      <c r="B264" s="7">
        <f>CONCATENATE(C264,E264,I264)</f>
        <v/>
      </c>
      <c r="C264" s="8" t="n">
        <v>900001074</v>
      </c>
      <c r="D264" s="7">
        <f>IFERROR(VLOOKUP(C264,TRAOPE!$G:$H,2,0),"")</f>
        <v/>
      </c>
      <c r="E264" s="8" t="inlineStr">
        <is>
          <t>D836</t>
        </is>
      </c>
      <c r="F264" s="8" t="inlineStr">
        <is>
          <t>66310610</t>
        </is>
      </c>
      <c r="G264" s="8">
        <f>IFERROR(VLOOKUP(A264,Flete!$A:$E,5,0),"")</f>
        <v/>
      </c>
      <c r="H264" s="7">
        <f>IFERROR(VLOOKUP(F264,TRAOPE!$AA:$AB,2,0),"")</f>
        <v/>
      </c>
      <c r="I264" s="7" t="n">
        <v>10000160</v>
      </c>
      <c r="J264" s="7">
        <f>IFERROR(VLOOKUP(I264,Materiales!$A:$H,8,0),"")</f>
        <v/>
      </c>
      <c r="K264" s="9">
        <f>IFERROR(VLOOKUP(I264,Materiales!$A:$G,7,0),"")</f>
        <v/>
      </c>
      <c r="L264" s="8" t="inlineStr">
        <is>
          <t>20190426</t>
        </is>
      </c>
      <c r="M264" s="8" t="inlineStr">
        <is>
          <t>20250127</t>
        </is>
      </c>
      <c r="N264" s="10" t="n">
        <v>86.25</v>
      </c>
      <c r="O264" s="10">
        <f>IFERROR(VLOOKUP(A264,Flete!$A:$J,10,0),"")</f>
        <v/>
      </c>
      <c r="P264" s="8" t="inlineStr">
        <is>
          <t>M3</t>
        </is>
      </c>
      <c r="Q264" s="10">
        <f>IFERROR(IFERROR(VLOOKUP(A264,TRAOPE!$A:$U,21,0),VLOOKUP(B264,TRAOPE!$A:$U,21,0)),"")</f>
        <v/>
      </c>
      <c r="R264" s="8">
        <f>IFERROR(IFERROR(VLOOKUP(A264,TRAOPE!$A:$W,23,0),VLOOKUP(B264,TRAOPE!$A:$W,23,0)),"")</f>
        <v/>
      </c>
      <c r="S264" s="10">
        <f>IF(AND(P264="TN",R264="TN"),N264+N(O264),IF(G264&amp;""="1",N(K264)*N264,(N264+N(O264))*N(K264)))</f>
        <v/>
      </c>
      <c r="T264" s="10">
        <f>IF(Q264="","",Q264-S264)</f>
        <v/>
      </c>
    </row>
    <row r="265">
      <c r="A265" s="7">
        <f>CONCATENATE(C265,E265,F265,I265)</f>
        <v/>
      </c>
      <c r="B265" s="7">
        <f>CONCATENATE(C265,E265,I265)</f>
        <v/>
      </c>
      <c r="C265" s="8" t="n">
        <v>900001074</v>
      </c>
      <c r="D265" s="7">
        <f>IFERROR(VLOOKUP(C265,TRAOPE!$G:$H,2,0),"")</f>
        <v/>
      </c>
      <c r="E265" s="8" t="inlineStr">
        <is>
          <t>D836</t>
        </is>
      </c>
      <c r="F265" s="8" t="inlineStr">
        <is>
          <t>66310610</t>
        </is>
      </c>
      <c r="G265" s="8">
        <f>IFERROR(VLOOKUP(A265,Flete!$A:$E,5,0),"")</f>
        <v/>
      </c>
      <c r="H265" s="7">
        <f>IFERROR(VLOOKUP(F265,TRAOPE!$AA:$AB,2,0),"")</f>
        <v/>
      </c>
      <c r="I265" s="7" t="n">
        <v>10000357</v>
      </c>
      <c r="J265" s="7">
        <f>IFERROR(VLOOKUP(I265,Materiales!$A:$H,8,0),"")</f>
        <v/>
      </c>
      <c r="K265" s="9">
        <f>IFERROR(VLOOKUP(I265,Materiales!$A:$G,7,0),"")</f>
        <v/>
      </c>
      <c r="L265" s="8" t="inlineStr">
        <is>
          <t>20190426</t>
        </is>
      </c>
      <c r="M265" s="8" t="inlineStr">
        <is>
          <t>20250127</t>
        </is>
      </c>
      <c r="N265" s="10" t="n">
        <v>92</v>
      </c>
      <c r="O265" s="10">
        <f>IFERROR(VLOOKUP(A265,Flete!$A:$J,10,0),"")</f>
        <v/>
      </c>
      <c r="P265" s="8" t="inlineStr">
        <is>
          <t>M3</t>
        </is>
      </c>
      <c r="Q265" s="10">
        <f>IFERROR(IFERROR(VLOOKUP(A265,TRAOPE!$A:$U,21,0),VLOOKUP(B265,TRAOPE!$A:$U,21,0)),"")</f>
        <v/>
      </c>
      <c r="R265" s="8">
        <f>IFERROR(IFERROR(VLOOKUP(A265,TRAOPE!$A:$W,23,0),VLOOKUP(B265,TRAOPE!$A:$W,23,0)),"")</f>
        <v/>
      </c>
      <c r="S265" s="10">
        <f>IF(AND(P265="TN",R265="TN"),N265+N(O265),IF(G265&amp;""="1",N(K265)*N265,(N265+N(O265))*N(K265)))</f>
        <v/>
      </c>
      <c r="T265" s="10">
        <f>IF(Q265="","",Q265-S265)</f>
        <v/>
      </c>
    </row>
    <row r="266">
      <c r="A266" s="7">
        <f>CONCATENATE(C266,E266,F266,I266)</f>
        <v/>
      </c>
      <c r="B266" s="7">
        <f>CONCATENATE(C266,E266,I266)</f>
        <v/>
      </c>
      <c r="C266" s="8" t="n">
        <v>900001074</v>
      </c>
      <c r="D266" s="7">
        <f>IFERROR(VLOOKUP(C266,TRAOPE!$G:$H,2,0),"")</f>
        <v/>
      </c>
      <c r="E266" s="8" t="inlineStr">
        <is>
          <t>D836</t>
        </is>
      </c>
      <c r="F266" s="8" t="inlineStr">
        <is>
          <t>66310610</t>
        </is>
      </c>
      <c r="G266" s="8">
        <f>IFERROR(VLOOKUP(A266,Flete!$A:$E,5,0),"")</f>
        <v/>
      </c>
      <c r="H266" s="7">
        <f>IFERROR(VLOOKUP(F266,TRAOPE!$AA:$AB,2,0),"")</f>
        <v/>
      </c>
      <c r="I266" s="7" t="n">
        <v>10000627</v>
      </c>
      <c r="J266" s="7">
        <f>IFERROR(VLOOKUP(I266,Materiales!$A:$H,8,0),"")</f>
        <v/>
      </c>
      <c r="K266" s="9">
        <f>IFERROR(VLOOKUP(I266,Materiales!$A:$G,7,0),"")</f>
        <v/>
      </c>
      <c r="L266" s="8" t="inlineStr">
        <is>
          <t>20190426</t>
        </is>
      </c>
      <c r="M266" s="8" t="inlineStr">
        <is>
          <t>20250127</t>
        </is>
      </c>
      <c r="N266" s="10" t="n">
        <v>97.75</v>
      </c>
      <c r="O266" s="10">
        <f>IFERROR(VLOOKUP(A266,Flete!$A:$J,10,0),"")</f>
        <v/>
      </c>
      <c r="P266" s="8" t="inlineStr">
        <is>
          <t>M3</t>
        </is>
      </c>
      <c r="Q266" s="10">
        <f>IFERROR(IFERROR(VLOOKUP(A266,TRAOPE!$A:$U,21,0),VLOOKUP(B266,TRAOPE!$A:$U,21,0)),"")</f>
        <v/>
      </c>
      <c r="R266" s="8">
        <f>IFERROR(IFERROR(VLOOKUP(A266,TRAOPE!$A:$W,23,0),VLOOKUP(B266,TRAOPE!$A:$W,23,0)),"")</f>
        <v/>
      </c>
      <c r="S266" s="10">
        <f>IF(AND(P266="TN",R266="TN"),N266+N(O266),IF(G266&amp;""="1",N(K266)*N266,(N266+N(O266))*N(K266)))</f>
        <v/>
      </c>
      <c r="T266" s="10">
        <f>IF(Q266="","",Q266-S266)</f>
        <v/>
      </c>
    </row>
    <row r="267">
      <c r="A267" s="7">
        <f>CONCATENATE(C267,E267,F267,I267)</f>
        <v/>
      </c>
      <c r="B267" s="7">
        <f>CONCATENATE(C267,E267,I267)</f>
        <v/>
      </c>
      <c r="C267" s="8" t="n">
        <v>900001074</v>
      </c>
      <c r="D267" s="7">
        <f>IFERROR(VLOOKUP(C267,TRAOPE!$G:$H,2,0),"")</f>
        <v/>
      </c>
      <c r="E267" s="8" t="inlineStr">
        <is>
          <t>D836</t>
        </is>
      </c>
      <c r="F267" s="8" t="inlineStr">
        <is>
          <t>66313323</t>
        </is>
      </c>
      <c r="G267" s="8">
        <f>IFERROR(VLOOKUP(A267,Flete!$A:$E,5,0),"")</f>
        <v/>
      </c>
      <c r="H267" s="7">
        <f>IFERROR(VLOOKUP(F267,TRAOPE!$AA:$AB,2,0),"")</f>
        <v/>
      </c>
      <c r="I267" s="7" t="n">
        <v>10000160</v>
      </c>
      <c r="J267" s="7">
        <f>IFERROR(VLOOKUP(I267,Materiales!$A:$H,8,0),"")</f>
        <v/>
      </c>
      <c r="K267" s="9">
        <f>IFERROR(VLOOKUP(I267,Materiales!$A:$G,7,0),"")</f>
        <v/>
      </c>
      <c r="L267" s="8" t="inlineStr">
        <is>
          <t>20190426</t>
        </is>
      </c>
      <c r="M267" s="8" t="inlineStr">
        <is>
          <t>20250127</t>
        </is>
      </c>
      <c r="N267" s="10" t="n">
        <v>88</v>
      </c>
      <c r="O267" s="10">
        <f>IFERROR(VLOOKUP(A267,Flete!$A:$J,10,0),"")</f>
        <v/>
      </c>
      <c r="P267" s="8" t="inlineStr">
        <is>
          <t>M3</t>
        </is>
      </c>
      <c r="Q267" s="10">
        <f>IFERROR(IFERROR(VLOOKUP(A267,TRAOPE!$A:$U,21,0),VLOOKUP(B267,TRAOPE!$A:$U,21,0)),"")</f>
        <v/>
      </c>
      <c r="R267" s="8">
        <f>IFERROR(IFERROR(VLOOKUP(A267,TRAOPE!$A:$W,23,0),VLOOKUP(B267,TRAOPE!$A:$W,23,0)),"")</f>
        <v/>
      </c>
      <c r="S267" s="10">
        <f>IF(AND(P267="TN",R267="TN"),N267+N(O267),IF(G267&amp;""="1",N(K267)*N267,(N267+N(O267))*N(K267)))</f>
        <v/>
      </c>
      <c r="T267" s="10">
        <f>IF(Q267="","",Q267-S267)</f>
        <v/>
      </c>
    </row>
    <row r="268">
      <c r="A268" s="7">
        <f>CONCATENATE(C268,E268,F268,I268)</f>
        <v/>
      </c>
      <c r="B268" s="7">
        <f>CONCATENATE(C268,E268,I268)</f>
        <v/>
      </c>
      <c r="C268" s="8" t="n">
        <v>900001074</v>
      </c>
      <c r="D268" s="7">
        <f>IFERROR(VLOOKUP(C268,TRAOPE!$G:$H,2,0),"")</f>
        <v/>
      </c>
      <c r="E268" s="8" t="inlineStr">
        <is>
          <t>D836</t>
        </is>
      </c>
      <c r="F268" s="8" t="inlineStr">
        <is>
          <t>66338102</t>
        </is>
      </c>
      <c r="G268" s="8">
        <f>IFERROR(VLOOKUP(A268,Flete!$A:$E,5,0),"")</f>
        <v/>
      </c>
      <c r="H268" s="7">
        <f>IFERROR(VLOOKUP(F268,TRAOPE!$AA:$AB,2,0),"")</f>
        <v/>
      </c>
      <c r="I268" s="7" t="n">
        <v>10000357</v>
      </c>
      <c r="J268" s="7">
        <f>IFERROR(VLOOKUP(I268,Materiales!$A:$H,8,0),"")</f>
        <v/>
      </c>
      <c r="K268" s="9">
        <f>IFERROR(VLOOKUP(I268,Materiales!$A:$G,7,0),"")</f>
        <v/>
      </c>
      <c r="L268" s="8" t="inlineStr">
        <is>
          <t>20190426</t>
        </is>
      </c>
      <c r="M268" s="8" t="inlineStr">
        <is>
          <t>20250127</t>
        </is>
      </c>
      <c r="N268" s="10" t="n">
        <v>100.8</v>
      </c>
      <c r="O268" s="10">
        <f>IFERROR(VLOOKUP(A268,Flete!$A:$J,10,0),"")</f>
        <v/>
      </c>
      <c r="P268" s="8" t="inlineStr">
        <is>
          <t>M3</t>
        </is>
      </c>
      <c r="Q268" s="10">
        <f>IFERROR(IFERROR(VLOOKUP(A268,TRAOPE!$A:$U,21,0),VLOOKUP(B268,TRAOPE!$A:$U,21,0)),"")</f>
        <v/>
      </c>
      <c r="R268" s="8">
        <f>IFERROR(IFERROR(VLOOKUP(A268,TRAOPE!$A:$W,23,0),VLOOKUP(B268,TRAOPE!$A:$W,23,0)),"")</f>
        <v/>
      </c>
      <c r="S268" s="10">
        <f>IF(AND(P268="TN",R268="TN"),N268+N(O268),IF(G268&amp;""="1",N(K268)*N268,(N268+N(O268))*N(K268)))</f>
        <v/>
      </c>
      <c r="T268" s="10">
        <f>IF(Q268="","",Q268-S268)</f>
        <v/>
      </c>
    </row>
    <row r="269">
      <c r="A269" s="7">
        <f>CONCATENATE(C269,E269,F269,I269)</f>
        <v/>
      </c>
      <c r="B269" s="7">
        <f>CONCATENATE(C269,E269,I269)</f>
        <v/>
      </c>
      <c r="C269" s="8" t="n">
        <v>900001074</v>
      </c>
      <c r="D269" s="7">
        <f>IFERROR(VLOOKUP(C269,TRAOPE!$G:$H,2,0),"")</f>
        <v/>
      </c>
      <c r="E269" s="8" t="inlineStr">
        <is>
          <t>D836</t>
        </is>
      </c>
      <c r="F269" s="8" t="inlineStr">
        <is>
          <t>66372475</t>
        </is>
      </c>
      <c r="G269" s="8">
        <f>IFERROR(VLOOKUP(A269,Flete!$A:$E,5,0),"")</f>
        <v/>
      </c>
      <c r="H269" s="7">
        <f>IFERROR(VLOOKUP(F269,TRAOPE!$AA:$AB,2,0),"")</f>
        <v/>
      </c>
      <c r="I269" s="7" t="n">
        <v>10000160</v>
      </c>
      <c r="J269" s="7">
        <f>IFERROR(VLOOKUP(I269,Materiales!$A:$H,8,0),"")</f>
        <v/>
      </c>
      <c r="K269" s="9">
        <f>IFERROR(VLOOKUP(I269,Materiales!$A:$G,7,0),"")</f>
        <v/>
      </c>
      <c r="L269" s="8" t="inlineStr">
        <is>
          <t>20190426</t>
        </is>
      </c>
      <c r="M269" s="8" t="inlineStr">
        <is>
          <t>20250127</t>
        </is>
      </c>
      <c r="N269" s="10" t="n">
        <v>98</v>
      </c>
      <c r="O269" s="10">
        <f>IFERROR(VLOOKUP(A269,Flete!$A:$J,10,0),"")</f>
        <v/>
      </c>
      <c r="P269" s="8" t="inlineStr">
        <is>
          <t>M3</t>
        </is>
      </c>
      <c r="Q269" s="10">
        <f>IFERROR(IFERROR(VLOOKUP(A269,TRAOPE!$A:$U,21,0),VLOOKUP(B269,TRAOPE!$A:$U,21,0)),"")</f>
        <v/>
      </c>
      <c r="R269" s="8">
        <f>IFERROR(IFERROR(VLOOKUP(A269,TRAOPE!$A:$W,23,0),VLOOKUP(B269,TRAOPE!$A:$W,23,0)),"")</f>
        <v/>
      </c>
      <c r="S269" s="10">
        <f>IF(AND(P269="TN",R269="TN"),N269+N(O269),IF(G269&amp;""="1",N(K269)*N269,(N269+N(O269))*N(K269)))</f>
        <v/>
      </c>
      <c r="T269" s="10">
        <f>IF(Q269="","",Q269-S269)</f>
        <v/>
      </c>
    </row>
    <row r="270">
      <c r="A270" s="7">
        <f>CONCATENATE(C270,E270,F270,I270)</f>
        <v/>
      </c>
      <c r="B270" s="7">
        <f>CONCATENATE(C270,E270,I270)</f>
        <v/>
      </c>
      <c r="C270" s="8" t="n">
        <v>900001074</v>
      </c>
      <c r="D270" s="7">
        <f>IFERROR(VLOOKUP(C270,TRAOPE!$G:$H,2,0),"")</f>
        <v/>
      </c>
      <c r="E270" s="8" t="inlineStr">
        <is>
          <t>D836</t>
        </is>
      </c>
      <c r="F270" s="8" t="inlineStr">
        <is>
          <t>66372475</t>
        </is>
      </c>
      <c r="G270" s="8">
        <f>IFERROR(VLOOKUP(A270,Flete!$A:$E,5,0),"")</f>
        <v/>
      </c>
      <c r="H270" s="7">
        <f>IFERROR(VLOOKUP(F270,TRAOPE!$AA:$AB,2,0),"")</f>
        <v/>
      </c>
      <c r="I270" s="7" t="n">
        <v>10000206</v>
      </c>
      <c r="J270" s="7">
        <f>IFERROR(VLOOKUP(I270,Materiales!$A:$H,8,0),"")</f>
        <v/>
      </c>
      <c r="K270" s="9">
        <f>IFERROR(VLOOKUP(I270,Materiales!$A:$G,7,0),"")</f>
        <v/>
      </c>
      <c r="L270" s="8" t="inlineStr">
        <is>
          <t>20190426</t>
        </is>
      </c>
      <c r="M270" s="8" t="inlineStr">
        <is>
          <t>20250127</t>
        </is>
      </c>
      <c r="N270" s="10" t="n">
        <v>30</v>
      </c>
      <c r="O270" s="10">
        <f>IFERROR(VLOOKUP(A270,Flete!$A:$J,10,0),"")</f>
        <v/>
      </c>
      <c r="P270" s="8" t="inlineStr">
        <is>
          <t>M3</t>
        </is>
      </c>
      <c r="Q270" s="10">
        <f>IFERROR(IFERROR(VLOOKUP(A270,TRAOPE!$A:$U,21,0),VLOOKUP(B270,TRAOPE!$A:$U,21,0)),"")</f>
        <v/>
      </c>
      <c r="R270" s="8">
        <f>IFERROR(IFERROR(VLOOKUP(A270,TRAOPE!$A:$W,23,0),VLOOKUP(B270,TRAOPE!$A:$W,23,0)),"")</f>
        <v/>
      </c>
      <c r="S270" s="10">
        <f>IF(AND(P270="TN",R270="TN"),N270+N(O270),IF(G270&amp;""="1",N(K270)*N270,(N270+N(O270))*N(K270)))</f>
        <v/>
      </c>
      <c r="T270" s="10">
        <f>IF(Q270="","",Q270-S270)</f>
        <v/>
      </c>
    </row>
    <row r="271">
      <c r="A271" s="7">
        <f>CONCATENATE(C271,E271,F271,I271)</f>
        <v/>
      </c>
      <c r="B271" s="7">
        <f>CONCATENATE(C271,E271,I271)</f>
        <v/>
      </c>
      <c r="C271" s="8" t="n">
        <v>900001074</v>
      </c>
      <c r="D271" s="7">
        <f>IFERROR(VLOOKUP(C271,TRAOPE!$G:$H,2,0),"")</f>
        <v/>
      </c>
      <c r="E271" s="8" t="inlineStr">
        <is>
          <t>D836</t>
        </is>
      </c>
      <c r="F271" s="8" t="inlineStr">
        <is>
          <t>66372475</t>
        </is>
      </c>
      <c r="G271" s="8">
        <f>IFERROR(VLOOKUP(A271,Flete!$A:$E,5,0),"")</f>
        <v/>
      </c>
      <c r="H271" s="7">
        <f>IFERROR(VLOOKUP(F271,TRAOPE!$AA:$AB,2,0),"")</f>
        <v/>
      </c>
      <c r="I271" s="7" t="n">
        <v>10000357</v>
      </c>
      <c r="J271" s="7">
        <f>IFERROR(VLOOKUP(I271,Materiales!$A:$H,8,0),"")</f>
        <v/>
      </c>
      <c r="K271" s="9">
        <f>IFERROR(VLOOKUP(I271,Materiales!$A:$G,7,0),"")</f>
        <v/>
      </c>
      <c r="L271" s="8" t="inlineStr">
        <is>
          <t>20190426</t>
        </is>
      </c>
      <c r="M271" s="8" t="inlineStr">
        <is>
          <t>20250127</t>
        </is>
      </c>
      <c r="N271" s="10" t="n">
        <v>105</v>
      </c>
      <c r="O271" s="10">
        <f>IFERROR(VLOOKUP(A271,Flete!$A:$J,10,0),"")</f>
        <v/>
      </c>
      <c r="P271" s="8" t="inlineStr">
        <is>
          <t>M3</t>
        </is>
      </c>
      <c r="Q271" s="10">
        <f>IFERROR(IFERROR(VLOOKUP(A271,TRAOPE!$A:$U,21,0),VLOOKUP(B271,TRAOPE!$A:$U,21,0)),"")</f>
        <v/>
      </c>
      <c r="R271" s="8">
        <f>IFERROR(IFERROR(VLOOKUP(A271,TRAOPE!$A:$W,23,0),VLOOKUP(B271,TRAOPE!$A:$W,23,0)),"")</f>
        <v/>
      </c>
      <c r="S271" s="10">
        <f>IF(AND(P271="TN",R271="TN"),N271+N(O271),IF(G271&amp;""="1",N(K271)*N271,(N271+N(O271))*N(K271)))</f>
        <v/>
      </c>
      <c r="T271" s="10">
        <f>IF(Q271="","",Q271-S271)</f>
        <v/>
      </c>
    </row>
    <row r="272">
      <c r="A272" s="7">
        <f>CONCATENATE(C272,E272,F272,I272)</f>
        <v/>
      </c>
      <c r="B272" s="7">
        <f>CONCATENATE(C272,E272,I272)</f>
        <v/>
      </c>
      <c r="C272" s="8" t="n">
        <v>900001074</v>
      </c>
      <c r="D272" s="7">
        <f>IFERROR(VLOOKUP(C272,TRAOPE!$G:$H,2,0),"")</f>
        <v/>
      </c>
      <c r="E272" s="8" t="inlineStr">
        <is>
          <t>D836</t>
        </is>
      </c>
      <c r="F272" s="8" t="inlineStr">
        <is>
          <t>66372475</t>
        </is>
      </c>
      <c r="G272" s="8">
        <f>IFERROR(VLOOKUP(A272,Flete!$A:$E,5,0),"")</f>
        <v/>
      </c>
      <c r="H272" s="7">
        <f>IFERROR(VLOOKUP(F272,TRAOPE!$AA:$AB,2,0),"")</f>
        <v/>
      </c>
      <c r="I272" s="7" t="n">
        <v>10019515</v>
      </c>
      <c r="J272" s="7">
        <f>IFERROR(VLOOKUP(I272,Materiales!$A:$H,8,0),"")</f>
        <v/>
      </c>
      <c r="K272" s="9">
        <f>IFERROR(VLOOKUP(I272,Materiales!$A:$G,7,0),"")</f>
        <v/>
      </c>
      <c r="L272" s="8" t="inlineStr">
        <is>
          <t>20190426</t>
        </is>
      </c>
      <c r="M272" s="8" t="inlineStr">
        <is>
          <t>20250127</t>
        </is>
      </c>
      <c r="N272" s="10" t="n">
        <v>110</v>
      </c>
      <c r="O272" s="10">
        <f>IFERROR(VLOOKUP(A272,Flete!$A:$J,10,0),"")</f>
        <v/>
      </c>
      <c r="P272" s="8" t="inlineStr">
        <is>
          <t>M3</t>
        </is>
      </c>
      <c r="Q272" s="10">
        <f>IFERROR(IFERROR(VLOOKUP(A272,TRAOPE!$A:$U,21,0),VLOOKUP(B272,TRAOPE!$A:$U,21,0)),"")</f>
        <v/>
      </c>
      <c r="R272" s="8">
        <f>IFERROR(IFERROR(VLOOKUP(A272,TRAOPE!$A:$W,23,0),VLOOKUP(B272,TRAOPE!$A:$W,23,0)),"")</f>
        <v/>
      </c>
      <c r="S272" s="10">
        <f>IF(AND(P272="TN",R272="TN"),N272+N(O272),IF(G272&amp;""="1",N(K272)*N272,(N272+N(O272))*N(K272)))</f>
        <v/>
      </c>
      <c r="T272" s="10">
        <f>IF(Q272="","",Q272-S272)</f>
        <v/>
      </c>
    </row>
    <row r="273">
      <c r="A273" s="7">
        <f>CONCATENATE(C273,E273,F273,I273)</f>
        <v/>
      </c>
      <c r="B273" s="7">
        <f>CONCATENATE(C273,E273,I273)</f>
        <v/>
      </c>
      <c r="C273" s="8" t="n">
        <v>900001074</v>
      </c>
      <c r="D273" s="7">
        <f>IFERROR(VLOOKUP(C273,TRAOPE!$G:$H,2,0),"")</f>
        <v/>
      </c>
      <c r="E273" s="8" t="inlineStr">
        <is>
          <t>D836</t>
        </is>
      </c>
      <c r="F273" s="8" t="inlineStr">
        <is>
          <t>66400667</t>
        </is>
      </c>
      <c r="G273" s="8">
        <f>IFERROR(VLOOKUP(A273,Flete!$A:$E,5,0),"")</f>
        <v/>
      </c>
      <c r="H273" s="7">
        <f>IFERROR(VLOOKUP(F273,TRAOPE!$AA:$AB,2,0),"")</f>
        <v/>
      </c>
      <c r="I273" s="7" t="n">
        <v>10000160</v>
      </c>
      <c r="J273" s="7">
        <f>IFERROR(VLOOKUP(I273,Materiales!$A:$H,8,0),"")</f>
        <v/>
      </c>
      <c r="K273" s="9">
        <f>IFERROR(VLOOKUP(I273,Materiales!$A:$G,7,0),"")</f>
        <v/>
      </c>
      <c r="L273" s="8" t="inlineStr">
        <is>
          <t>20190426</t>
        </is>
      </c>
      <c r="M273" s="8" t="inlineStr">
        <is>
          <t>20250127</t>
        </is>
      </c>
      <c r="N273" s="10" t="n">
        <v>87.15000000000001</v>
      </c>
      <c r="O273" s="10">
        <f>IFERROR(VLOOKUP(A273,Flete!$A:$J,10,0),"")</f>
        <v/>
      </c>
      <c r="P273" s="8" t="inlineStr">
        <is>
          <t>M3</t>
        </is>
      </c>
      <c r="Q273" s="10">
        <f>IFERROR(IFERROR(VLOOKUP(A273,TRAOPE!$A:$U,21,0),VLOOKUP(B273,TRAOPE!$A:$U,21,0)),"")</f>
        <v/>
      </c>
      <c r="R273" s="8">
        <f>IFERROR(IFERROR(VLOOKUP(A273,TRAOPE!$A:$W,23,0),VLOOKUP(B273,TRAOPE!$A:$W,23,0)),"")</f>
        <v/>
      </c>
      <c r="S273" s="10">
        <f>IF(AND(P273="TN",R273="TN"),N273+N(O273),IF(G273&amp;""="1",N(K273)*N273,(N273+N(O273))*N(K273)))</f>
        <v/>
      </c>
      <c r="T273" s="10">
        <f>IF(Q273="","",Q273-S273)</f>
        <v/>
      </c>
    </row>
    <row r="274">
      <c r="A274" s="7">
        <f>CONCATENATE(C274,E274,F274,I274)</f>
        <v/>
      </c>
      <c r="B274" s="7">
        <f>CONCATENATE(C274,E274,I274)</f>
        <v/>
      </c>
      <c r="C274" s="8" t="n">
        <v>900001074</v>
      </c>
      <c r="D274" s="7">
        <f>IFERROR(VLOOKUP(C274,TRAOPE!$G:$H,2,0),"")</f>
        <v/>
      </c>
      <c r="E274" s="8" t="inlineStr">
        <is>
          <t>D836</t>
        </is>
      </c>
      <c r="F274" s="8" t="inlineStr">
        <is>
          <t>66403063</t>
        </is>
      </c>
      <c r="G274" s="8">
        <f>IFERROR(VLOOKUP(A274,Flete!$A:$E,5,0),"")</f>
        <v/>
      </c>
      <c r="H274" s="7">
        <f>IFERROR(VLOOKUP(F274,TRAOPE!$AA:$AB,2,0),"")</f>
        <v/>
      </c>
      <c r="I274" s="7" t="n">
        <v>10000160</v>
      </c>
      <c r="J274" s="7">
        <f>IFERROR(VLOOKUP(I274,Materiales!$A:$H,8,0),"")</f>
        <v/>
      </c>
      <c r="K274" s="9">
        <f>IFERROR(VLOOKUP(I274,Materiales!$A:$G,7,0),"")</f>
        <v/>
      </c>
      <c r="L274" s="8" t="inlineStr">
        <is>
          <t>20190426</t>
        </is>
      </c>
      <c r="M274" s="8" t="inlineStr">
        <is>
          <t>20250127</t>
        </is>
      </c>
      <c r="N274" s="10" t="n">
        <v>84</v>
      </c>
      <c r="O274" s="10">
        <f>IFERROR(VLOOKUP(A274,Flete!$A:$J,10,0),"")</f>
        <v/>
      </c>
      <c r="P274" s="8" t="inlineStr">
        <is>
          <t>M3</t>
        </is>
      </c>
      <c r="Q274" s="10">
        <f>IFERROR(IFERROR(VLOOKUP(A274,TRAOPE!$A:$U,21,0),VLOOKUP(B274,TRAOPE!$A:$U,21,0)),"")</f>
        <v/>
      </c>
      <c r="R274" s="8">
        <f>IFERROR(IFERROR(VLOOKUP(A274,TRAOPE!$A:$W,23,0),VLOOKUP(B274,TRAOPE!$A:$W,23,0)),"")</f>
        <v/>
      </c>
      <c r="S274" s="10">
        <f>IF(AND(P274="TN",R274="TN"),N274+N(O274),IF(G274&amp;""="1",N(K274)*N274,(N274+N(O274))*N(K274)))</f>
        <v/>
      </c>
      <c r="T274" s="10">
        <f>IF(Q274="","",Q274-S274)</f>
        <v/>
      </c>
    </row>
    <row r="275">
      <c r="A275" s="7">
        <f>CONCATENATE(C275,E275,F275,I275)</f>
        <v/>
      </c>
      <c r="B275" s="7">
        <f>CONCATENATE(C275,E275,I275)</f>
        <v/>
      </c>
      <c r="C275" s="8" t="n">
        <v>900001074</v>
      </c>
      <c r="D275" s="7">
        <f>IFERROR(VLOOKUP(C275,TRAOPE!$G:$H,2,0),"")</f>
        <v/>
      </c>
      <c r="E275" s="8" t="inlineStr">
        <is>
          <t>D836</t>
        </is>
      </c>
      <c r="F275" s="8" t="inlineStr">
        <is>
          <t>66403063</t>
        </is>
      </c>
      <c r="G275" s="8">
        <f>IFERROR(VLOOKUP(A275,Flete!$A:$E,5,0),"")</f>
        <v/>
      </c>
      <c r="H275" s="7">
        <f>IFERROR(VLOOKUP(F275,TRAOPE!$AA:$AB,2,0),"")</f>
        <v/>
      </c>
      <c r="I275" s="7" t="n">
        <v>10000357</v>
      </c>
      <c r="J275" s="7">
        <f>IFERROR(VLOOKUP(I275,Materiales!$A:$H,8,0),"")</f>
        <v/>
      </c>
      <c r="K275" s="9">
        <f>IFERROR(VLOOKUP(I275,Materiales!$A:$G,7,0),"")</f>
        <v/>
      </c>
      <c r="L275" s="8" t="inlineStr">
        <is>
          <t>20190426</t>
        </is>
      </c>
      <c r="M275" s="8" t="inlineStr">
        <is>
          <t>20250127</t>
        </is>
      </c>
      <c r="N275" s="10" t="n">
        <v>98</v>
      </c>
      <c r="O275" s="10">
        <f>IFERROR(VLOOKUP(A275,Flete!$A:$J,10,0),"")</f>
        <v/>
      </c>
      <c r="P275" s="8" t="inlineStr">
        <is>
          <t>M3</t>
        </is>
      </c>
      <c r="Q275" s="10">
        <f>IFERROR(IFERROR(VLOOKUP(A275,TRAOPE!$A:$U,21,0),VLOOKUP(B275,TRAOPE!$A:$U,21,0)),"")</f>
        <v/>
      </c>
      <c r="R275" s="8">
        <f>IFERROR(IFERROR(VLOOKUP(A275,TRAOPE!$A:$W,23,0),VLOOKUP(B275,TRAOPE!$A:$W,23,0)),"")</f>
        <v/>
      </c>
      <c r="S275" s="10">
        <f>IF(AND(P275="TN",R275="TN"),N275+N(O275),IF(G275&amp;""="1",N(K275)*N275,(N275+N(O275))*N(K275)))</f>
        <v/>
      </c>
      <c r="T275" s="10">
        <f>IF(Q275="","",Q275-S275)</f>
        <v/>
      </c>
    </row>
    <row r="276">
      <c r="A276" s="7">
        <f>CONCATENATE(C276,E276,F276,I276)</f>
        <v/>
      </c>
      <c r="B276" s="7">
        <f>CONCATENATE(C276,E276,I276)</f>
        <v/>
      </c>
      <c r="C276" s="8" t="n">
        <v>900001074</v>
      </c>
      <c r="D276" s="7">
        <f>IFERROR(VLOOKUP(C276,TRAOPE!$G:$H,2,0),"")</f>
        <v/>
      </c>
      <c r="E276" s="8" t="inlineStr">
        <is>
          <t>D836</t>
        </is>
      </c>
      <c r="F276" s="8" t="inlineStr">
        <is>
          <t>66414377</t>
        </is>
      </c>
      <c r="G276" s="8">
        <f>IFERROR(VLOOKUP(A276,Flete!$A:$E,5,0),"")</f>
        <v/>
      </c>
      <c r="H276" s="7">
        <f>IFERROR(VLOOKUP(F276,TRAOPE!$AA:$AB,2,0),"")</f>
        <v/>
      </c>
      <c r="I276" s="7" t="n">
        <v>10000357</v>
      </c>
      <c r="J276" s="7">
        <f>IFERROR(VLOOKUP(I276,Materiales!$A:$H,8,0),"")</f>
        <v/>
      </c>
      <c r="K276" s="9">
        <f>IFERROR(VLOOKUP(I276,Materiales!$A:$G,7,0),"")</f>
        <v/>
      </c>
      <c r="L276" s="8" t="inlineStr">
        <is>
          <t>20190426</t>
        </is>
      </c>
      <c r="M276" s="8" t="inlineStr">
        <is>
          <t>20250127</t>
        </is>
      </c>
      <c r="N276" s="10" t="n">
        <v>115</v>
      </c>
      <c r="O276" s="10">
        <f>IFERROR(VLOOKUP(A276,Flete!$A:$J,10,0),"")</f>
        <v/>
      </c>
      <c r="P276" s="8" t="inlineStr">
        <is>
          <t>M3</t>
        </is>
      </c>
      <c r="Q276" s="10">
        <f>IFERROR(IFERROR(VLOOKUP(A276,TRAOPE!$A:$U,21,0),VLOOKUP(B276,TRAOPE!$A:$U,21,0)),"")</f>
        <v/>
      </c>
      <c r="R276" s="8">
        <f>IFERROR(IFERROR(VLOOKUP(A276,TRAOPE!$A:$W,23,0),VLOOKUP(B276,TRAOPE!$A:$W,23,0)),"")</f>
        <v/>
      </c>
      <c r="S276" s="10">
        <f>IF(AND(P276="TN",R276="TN"),N276+N(O276),IF(G276&amp;""="1",N(K276)*N276,(N276+N(O276))*N(K276)))</f>
        <v/>
      </c>
      <c r="T276" s="10">
        <f>IF(Q276="","",Q276-S276)</f>
        <v/>
      </c>
    </row>
    <row r="277">
      <c r="A277" s="7">
        <f>CONCATENATE(C277,E277,F277,I277)</f>
        <v/>
      </c>
      <c r="B277" s="7">
        <f>CONCATENATE(C277,E277,I277)</f>
        <v/>
      </c>
      <c r="C277" s="8" t="n">
        <v>900001074</v>
      </c>
      <c r="D277" s="7">
        <f>IFERROR(VLOOKUP(C277,TRAOPE!$G:$H,2,0),"")</f>
        <v/>
      </c>
      <c r="E277" s="8" t="inlineStr">
        <is>
          <t>D836</t>
        </is>
      </c>
      <c r="F277" s="8" t="inlineStr">
        <is>
          <t>66414377</t>
        </is>
      </c>
      <c r="G277" s="8">
        <f>IFERROR(VLOOKUP(A277,Flete!$A:$E,5,0),"")</f>
        <v/>
      </c>
      <c r="H277" s="7">
        <f>IFERROR(VLOOKUP(F277,TRAOPE!$AA:$AB,2,0),"")</f>
        <v/>
      </c>
      <c r="I277" s="7" t="n">
        <v>10019515</v>
      </c>
      <c r="J277" s="7">
        <f>IFERROR(VLOOKUP(I277,Materiales!$A:$H,8,0),"")</f>
        <v/>
      </c>
      <c r="K277" s="9">
        <f>IFERROR(VLOOKUP(I277,Materiales!$A:$G,7,0),"")</f>
        <v/>
      </c>
      <c r="L277" s="8" t="inlineStr">
        <is>
          <t>20190426</t>
        </is>
      </c>
      <c r="M277" s="8" t="inlineStr">
        <is>
          <t>20250127</t>
        </is>
      </c>
      <c r="N277" s="10" t="n">
        <v>139</v>
      </c>
      <c r="O277" s="10">
        <f>IFERROR(VLOOKUP(A277,Flete!$A:$J,10,0),"")</f>
        <v/>
      </c>
      <c r="P277" s="8" t="inlineStr">
        <is>
          <t>M3</t>
        </is>
      </c>
      <c r="Q277" s="10">
        <f>IFERROR(IFERROR(VLOOKUP(A277,TRAOPE!$A:$U,21,0),VLOOKUP(B277,TRAOPE!$A:$U,21,0)),"")</f>
        <v/>
      </c>
      <c r="R277" s="8">
        <f>IFERROR(IFERROR(VLOOKUP(A277,TRAOPE!$A:$W,23,0),VLOOKUP(B277,TRAOPE!$A:$W,23,0)),"")</f>
        <v/>
      </c>
      <c r="S277" s="10">
        <f>IF(AND(P277="TN",R277="TN"),N277+N(O277),IF(G277&amp;""="1",N(K277)*N277,(N277+N(O277))*N(K277)))</f>
        <v/>
      </c>
      <c r="T277" s="10">
        <f>IF(Q277="","",Q277-S277)</f>
        <v/>
      </c>
    </row>
    <row r="278">
      <c r="A278" s="7">
        <f>CONCATENATE(C278,E278,F278,I278)</f>
        <v/>
      </c>
      <c r="B278" s="7">
        <f>CONCATENATE(C278,E278,I278)</f>
        <v/>
      </c>
      <c r="C278" s="8" t="n">
        <v>900001074</v>
      </c>
      <c r="D278" s="7">
        <f>IFERROR(VLOOKUP(C278,TRAOPE!$G:$H,2,0),"")</f>
        <v/>
      </c>
      <c r="E278" s="8" t="inlineStr">
        <is>
          <t>D836</t>
        </is>
      </c>
      <c r="F278" s="8" t="inlineStr">
        <is>
          <t>66420831</t>
        </is>
      </c>
      <c r="G278" s="8">
        <f>IFERROR(VLOOKUP(A278,Flete!$A:$E,5,0),"")</f>
        <v/>
      </c>
      <c r="H278" s="7">
        <f>IFERROR(VLOOKUP(F278,TRAOPE!$AA:$AB,2,0),"")</f>
        <v/>
      </c>
      <c r="I278" s="7" t="n">
        <v>10000160</v>
      </c>
      <c r="J278" s="7">
        <f>IFERROR(VLOOKUP(I278,Materiales!$A:$H,8,0),"")</f>
        <v/>
      </c>
      <c r="K278" s="9">
        <f>IFERROR(VLOOKUP(I278,Materiales!$A:$G,7,0),"")</f>
        <v/>
      </c>
      <c r="L278" s="8" t="inlineStr">
        <is>
          <t>20190426</t>
        </is>
      </c>
      <c r="M278" s="8" t="inlineStr">
        <is>
          <t>20250127</t>
        </is>
      </c>
      <c r="N278" s="10" t="n">
        <v>88</v>
      </c>
      <c r="O278" s="10">
        <f>IFERROR(VLOOKUP(A278,Flete!$A:$J,10,0),"")</f>
        <v/>
      </c>
      <c r="P278" s="8" t="inlineStr">
        <is>
          <t>M3</t>
        </is>
      </c>
      <c r="Q278" s="10">
        <f>IFERROR(IFERROR(VLOOKUP(A278,TRAOPE!$A:$U,21,0),VLOOKUP(B278,TRAOPE!$A:$U,21,0)),"")</f>
        <v/>
      </c>
      <c r="R278" s="8">
        <f>IFERROR(IFERROR(VLOOKUP(A278,TRAOPE!$A:$W,23,0),VLOOKUP(B278,TRAOPE!$A:$W,23,0)),"")</f>
        <v/>
      </c>
      <c r="S278" s="10">
        <f>IF(AND(P278="TN",R278="TN"),N278+N(O278),IF(G278&amp;""="1",N(K278)*N278,(N278+N(O278))*N(K278)))</f>
        <v/>
      </c>
      <c r="T278" s="10">
        <f>IF(Q278="","",Q278-S278)</f>
        <v/>
      </c>
    </row>
    <row r="279">
      <c r="A279" s="7">
        <f>CONCATENATE(C279,E279,F279,I279)</f>
        <v/>
      </c>
      <c r="B279" s="7">
        <f>CONCATENATE(C279,E279,I279)</f>
        <v/>
      </c>
      <c r="C279" s="8" t="n">
        <v>900001074</v>
      </c>
      <c r="D279" s="7">
        <f>IFERROR(VLOOKUP(C279,TRAOPE!$G:$H,2,0),"")</f>
        <v/>
      </c>
      <c r="E279" s="8" t="inlineStr">
        <is>
          <t>D836</t>
        </is>
      </c>
      <c r="F279" s="8" t="inlineStr">
        <is>
          <t>66433509</t>
        </is>
      </c>
      <c r="G279" s="8">
        <f>IFERROR(VLOOKUP(A279,Flete!$A:$E,5,0),"")</f>
        <v/>
      </c>
      <c r="H279" s="7">
        <f>IFERROR(VLOOKUP(F279,TRAOPE!$AA:$AB,2,0),"")</f>
        <v/>
      </c>
      <c r="I279" s="7" t="n">
        <v>10000160</v>
      </c>
      <c r="J279" s="7">
        <f>IFERROR(VLOOKUP(I279,Materiales!$A:$H,8,0),"")</f>
        <v/>
      </c>
      <c r="K279" s="9">
        <f>IFERROR(VLOOKUP(I279,Materiales!$A:$G,7,0),"")</f>
        <v/>
      </c>
      <c r="L279" s="8" t="inlineStr">
        <is>
          <t>20190426</t>
        </is>
      </c>
      <c r="M279" s="8" t="inlineStr">
        <is>
          <t>20250127</t>
        </is>
      </c>
      <c r="N279" s="10" t="n">
        <v>91.3</v>
      </c>
      <c r="O279" s="10">
        <f>IFERROR(VLOOKUP(A279,Flete!$A:$J,10,0),"")</f>
        <v/>
      </c>
      <c r="P279" s="8" t="inlineStr">
        <is>
          <t>M3</t>
        </is>
      </c>
      <c r="Q279" s="10">
        <f>IFERROR(IFERROR(VLOOKUP(A279,TRAOPE!$A:$U,21,0),VLOOKUP(B279,TRAOPE!$A:$U,21,0)),"")</f>
        <v/>
      </c>
      <c r="R279" s="8">
        <f>IFERROR(IFERROR(VLOOKUP(A279,TRAOPE!$A:$W,23,0),VLOOKUP(B279,TRAOPE!$A:$W,23,0)),"")</f>
        <v/>
      </c>
      <c r="S279" s="10">
        <f>IF(AND(P279="TN",R279="TN"),N279+N(O279),IF(G279&amp;""="1",N(K279)*N279,(N279+N(O279))*N(K279)))</f>
        <v/>
      </c>
      <c r="T279" s="10">
        <f>IF(Q279="","",Q279-S279)</f>
        <v/>
      </c>
    </row>
    <row r="280">
      <c r="A280" s="7">
        <f>CONCATENATE(C280,E280,F280,I280)</f>
        <v/>
      </c>
      <c r="B280" s="7">
        <f>CONCATENATE(C280,E280,I280)</f>
        <v/>
      </c>
      <c r="C280" s="8" t="n">
        <v>900001074</v>
      </c>
      <c r="D280" s="7">
        <f>IFERROR(VLOOKUP(C280,TRAOPE!$G:$H,2,0),"")</f>
        <v/>
      </c>
      <c r="E280" s="8" t="inlineStr">
        <is>
          <t>D836</t>
        </is>
      </c>
      <c r="F280" s="8" t="inlineStr">
        <is>
          <t>66433511</t>
        </is>
      </c>
      <c r="G280" s="8">
        <f>IFERROR(VLOOKUP(A280,Flete!$A:$E,5,0),"")</f>
        <v/>
      </c>
      <c r="H280" s="7">
        <f>IFERROR(VLOOKUP(F280,TRAOPE!$AA:$AB,2,0),"")</f>
        <v/>
      </c>
      <c r="I280" s="7" t="n">
        <v>10000160</v>
      </c>
      <c r="J280" s="7">
        <f>IFERROR(VLOOKUP(I280,Materiales!$A:$H,8,0),"")</f>
        <v/>
      </c>
      <c r="K280" s="9">
        <f>IFERROR(VLOOKUP(I280,Materiales!$A:$G,7,0),"")</f>
        <v/>
      </c>
      <c r="L280" s="8" t="inlineStr">
        <is>
          <t>20190426</t>
        </is>
      </c>
      <c r="M280" s="8" t="inlineStr">
        <is>
          <t>20250127</t>
        </is>
      </c>
      <c r="N280" s="10" t="n">
        <v>100.43</v>
      </c>
      <c r="O280" s="10">
        <f>IFERROR(VLOOKUP(A280,Flete!$A:$J,10,0),"")</f>
        <v/>
      </c>
      <c r="P280" s="8" t="inlineStr">
        <is>
          <t>M3</t>
        </is>
      </c>
      <c r="Q280" s="10">
        <f>IFERROR(IFERROR(VLOOKUP(A280,TRAOPE!$A:$U,21,0),VLOOKUP(B280,TRAOPE!$A:$U,21,0)),"")</f>
        <v/>
      </c>
      <c r="R280" s="8">
        <f>IFERROR(IFERROR(VLOOKUP(A280,TRAOPE!$A:$W,23,0),VLOOKUP(B280,TRAOPE!$A:$W,23,0)),"")</f>
        <v/>
      </c>
      <c r="S280" s="10">
        <f>IF(AND(P280="TN",R280="TN"),N280+N(O280),IF(G280&amp;""="1",N(K280)*N280,(N280+N(O280))*N(K280)))</f>
        <v/>
      </c>
      <c r="T280" s="10">
        <f>IF(Q280="","",Q280-S280)</f>
        <v/>
      </c>
    </row>
    <row r="281">
      <c r="A281" s="7">
        <f>CONCATENATE(C281,E281,F281,I281)</f>
        <v/>
      </c>
      <c r="B281" s="7">
        <f>CONCATENATE(C281,E281,I281)</f>
        <v/>
      </c>
      <c r="C281" s="8" t="n">
        <v>900001074</v>
      </c>
      <c r="D281" s="7">
        <f>IFERROR(VLOOKUP(C281,TRAOPE!$G:$H,2,0),"")</f>
        <v/>
      </c>
      <c r="E281" s="8" t="inlineStr">
        <is>
          <t>D836</t>
        </is>
      </c>
      <c r="F281" s="8" t="inlineStr">
        <is>
          <t>66433511</t>
        </is>
      </c>
      <c r="G281" s="8">
        <f>IFERROR(VLOOKUP(A281,Flete!$A:$E,5,0),"")</f>
        <v/>
      </c>
      <c r="H281" s="7">
        <f>IFERROR(VLOOKUP(F281,TRAOPE!$AA:$AB,2,0),"")</f>
        <v/>
      </c>
      <c r="I281" s="7" t="n">
        <v>10000357</v>
      </c>
      <c r="J281" s="7">
        <f>IFERROR(VLOOKUP(I281,Materiales!$A:$H,8,0),"")</f>
        <v/>
      </c>
      <c r="K281" s="9">
        <f>IFERROR(VLOOKUP(I281,Materiales!$A:$G,7,0),"")</f>
        <v/>
      </c>
      <c r="L281" s="8" t="inlineStr">
        <is>
          <t>20190426</t>
        </is>
      </c>
      <c r="M281" s="8" t="inlineStr">
        <is>
          <t>20250127</t>
        </is>
      </c>
      <c r="N281" s="10" t="n">
        <v>106.7</v>
      </c>
      <c r="O281" s="10">
        <f>IFERROR(VLOOKUP(A281,Flete!$A:$J,10,0),"")</f>
        <v/>
      </c>
      <c r="P281" s="8" t="inlineStr">
        <is>
          <t>M3</t>
        </is>
      </c>
      <c r="Q281" s="10">
        <f>IFERROR(IFERROR(VLOOKUP(A281,TRAOPE!$A:$U,21,0),VLOOKUP(B281,TRAOPE!$A:$U,21,0)),"")</f>
        <v/>
      </c>
      <c r="R281" s="8">
        <f>IFERROR(IFERROR(VLOOKUP(A281,TRAOPE!$A:$W,23,0),VLOOKUP(B281,TRAOPE!$A:$W,23,0)),"")</f>
        <v/>
      </c>
      <c r="S281" s="10">
        <f>IF(AND(P281="TN",R281="TN"),N281+N(O281),IF(G281&amp;""="1",N(K281)*N281,(N281+N(O281))*N(K281)))</f>
        <v/>
      </c>
      <c r="T281" s="10">
        <f>IF(Q281="","",Q281-S281)</f>
        <v/>
      </c>
    </row>
    <row r="282">
      <c r="A282" s="7">
        <f>CONCATENATE(C282,E282,F282,I282)</f>
        <v/>
      </c>
      <c r="B282" s="7">
        <f>CONCATENATE(C282,E282,I282)</f>
        <v/>
      </c>
      <c r="C282" s="8" t="n">
        <v>900001074</v>
      </c>
      <c r="D282" s="7">
        <f>IFERROR(VLOOKUP(C282,TRAOPE!$G:$H,2,0),"")</f>
        <v/>
      </c>
      <c r="E282" s="8" t="inlineStr">
        <is>
          <t>D836</t>
        </is>
      </c>
      <c r="F282" s="8" t="inlineStr">
        <is>
          <t>66442116</t>
        </is>
      </c>
      <c r="G282" s="8">
        <f>IFERROR(VLOOKUP(A282,Flete!$A:$E,5,0),"")</f>
        <v/>
      </c>
      <c r="H282" s="7">
        <f>IFERROR(VLOOKUP(F282,TRAOPE!$AA:$AB,2,0),"")</f>
        <v/>
      </c>
      <c r="I282" s="7" t="n">
        <v>10000160</v>
      </c>
      <c r="J282" s="7">
        <f>IFERROR(VLOOKUP(I282,Materiales!$A:$H,8,0),"")</f>
        <v/>
      </c>
      <c r="K282" s="9">
        <f>IFERROR(VLOOKUP(I282,Materiales!$A:$G,7,0),"")</f>
        <v/>
      </c>
      <c r="L282" s="8" t="inlineStr">
        <is>
          <t>20190426</t>
        </is>
      </c>
      <c r="M282" s="8" t="inlineStr">
        <is>
          <t>20250127</t>
        </is>
      </c>
      <c r="N282" s="10" t="n">
        <v>99.98</v>
      </c>
      <c r="O282" s="10">
        <f>IFERROR(VLOOKUP(A282,Flete!$A:$J,10,0),"")</f>
        <v/>
      </c>
      <c r="P282" s="8" t="inlineStr">
        <is>
          <t>M3</t>
        </is>
      </c>
      <c r="Q282" s="10">
        <f>IFERROR(IFERROR(VLOOKUP(A282,TRAOPE!$A:$U,21,0),VLOOKUP(B282,TRAOPE!$A:$U,21,0)),"")</f>
        <v/>
      </c>
      <c r="R282" s="8">
        <f>IFERROR(IFERROR(VLOOKUP(A282,TRAOPE!$A:$W,23,0),VLOOKUP(B282,TRAOPE!$A:$W,23,0)),"")</f>
        <v/>
      </c>
      <c r="S282" s="10">
        <f>IF(AND(P282="TN",R282="TN"),N282+N(O282),IF(G282&amp;""="1",N(K282)*N282,(N282+N(O282))*N(K282)))</f>
        <v/>
      </c>
      <c r="T282" s="10">
        <f>IF(Q282="","",Q282-S282)</f>
        <v/>
      </c>
    </row>
    <row r="283">
      <c r="A283" s="7">
        <f>CONCATENATE(C283,E283,F283,I283)</f>
        <v/>
      </c>
      <c r="B283" s="7">
        <f>CONCATENATE(C283,E283,I283)</f>
        <v/>
      </c>
      <c r="C283" s="8" t="n">
        <v>900001074</v>
      </c>
      <c r="D283" s="7">
        <f>IFERROR(VLOOKUP(C283,TRAOPE!$G:$H,2,0),"")</f>
        <v/>
      </c>
      <c r="E283" s="8" t="inlineStr">
        <is>
          <t>D836</t>
        </is>
      </c>
      <c r="F283" s="8" t="inlineStr">
        <is>
          <t>66442116</t>
        </is>
      </c>
      <c r="G283" s="8">
        <f>IFERROR(VLOOKUP(A283,Flete!$A:$E,5,0),"")</f>
        <v/>
      </c>
      <c r="H283" s="7">
        <f>IFERROR(VLOOKUP(F283,TRAOPE!$AA:$AB,2,0),"")</f>
        <v/>
      </c>
      <c r="I283" s="7" t="n">
        <v>10000357</v>
      </c>
      <c r="J283" s="7">
        <f>IFERROR(VLOOKUP(I283,Materiales!$A:$H,8,0),"")</f>
        <v/>
      </c>
      <c r="K283" s="9">
        <f>IFERROR(VLOOKUP(I283,Materiales!$A:$G,7,0),"")</f>
        <v/>
      </c>
      <c r="L283" s="8" t="inlineStr">
        <is>
          <t>20190426</t>
        </is>
      </c>
      <c r="M283" s="8" t="inlineStr">
        <is>
          <t>20250127</t>
        </is>
      </c>
      <c r="N283" s="10" t="n">
        <v>121</v>
      </c>
      <c r="O283" s="10">
        <f>IFERROR(VLOOKUP(A283,Flete!$A:$J,10,0),"")</f>
        <v/>
      </c>
      <c r="P283" s="8" t="inlineStr">
        <is>
          <t>M3</t>
        </is>
      </c>
      <c r="Q283" s="10">
        <f>IFERROR(IFERROR(VLOOKUP(A283,TRAOPE!$A:$U,21,0),VLOOKUP(B283,TRAOPE!$A:$U,21,0)),"")</f>
        <v/>
      </c>
      <c r="R283" s="8">
        <f>IFERROR(IFERROR(VLOOKUP(A283,TRAOPE!$A:$W,23,0),VLOOKUP(B283,TRAOPE!$A:$W,23,0)),"")</f>
        <v/>
      </c>
      <c r="S283" s="10">
        <f>IF(AND(P283="TN",R283="TN"),N283+N(O283),IF(G283&amp;""="1",N(K283)*N283,(N283+N(O283))*N(K283)))</f>
        <v/>
      </c>
      <c r="T283" s="10">
        <f>IF(Q283="","",Q283-S283)</f>
        <v/>
      </c>
    </row>
    <row r="284">
      <c r="A284" s="7">
        <f>CONCATENATE(C284,E284,F284,I284)</f>
        <v/>
      </c>
      <c r="B284" s="7">
        <f>CONCATENATE(C284,E284,I284)</f>
        <v/>
      </c>
      <c r="C284" s="8" t="n">
        <v>900001074</v>
      </c>
      <c r="D284" s="7">
        <f>IFERROR(VLOOKUP(C284,TRAOPE!$G:$H,2,0),"")</f>
        <v/>
      </c>
      <c r="E284" s="8" t="inlineStr">
        <is>
          <t>D836</t>
        </is>
      </c>
      <c r="F284" s="8" t="inlineStr">
        <is>
          <t>66450072</t>
        </is>
      </c>
      <c r="G284" s="8">
        <f>IFERROR(VLOOKUP(A284,Flete!$A:$E,5,0),"")</f>
        <v/>
      </c>
      <c r="H284" s="7">
        <f>IFERROR(VLOOKUP(F284,TRAOPE!$AA:$AB,2,0),"")</f>
        <v/>
      </c>
      <c r="I284" s="7" t="n">
        <v>10000160</v>
      </c>
      <c r="J284" s="7">
        <f>IFERROR(VLOOKUP(I284,Materiales!$A:$H,8,0),"")</f>
        <v/>
      </c>
      <c r="K284" s="9">
        <f>IFERROR(VLOOKUP(I284,Materiales!$A:$G,7,0),"")</f>
        <v/>
      </c>
      <c r="L284" s="8" t="inlineStr">
        <is>
          <t>20190426</t>
        </is>
      </c>
      <c r="M284" s="8" t="inlineStr">
        <is>
          <t>20250127</t>
        </is>
      </c>
      <c r="N284" s="10" t="n">
        <v>99.98</v>
      </c>
      <c r="O284" s="10">
        <f>IFERROR(VLOOKUP(A284,Flete!$A:$J,10,0),"")</f>
        <v/>
      </c>
      <c r="P284" s="8" t="inlineStr">
        <is>
          <t>M3</t>
        </is>
      </c>
      <c r="Q284" s="10">
        <f>IFERROR(IFERROR(VLOOKUP(A284,TRAOPE!$A:$U,21,0),VLOOKUP(B284,TRAOPE!$A:$U,21,0)),"")</f>
        <v/>
      </c>
      <c r="R284" s="8">
        <f>IFERROR(IFERROR(VLOOKUP(A284,TRAOPE!$A:$W,23,0),VLOOKUP(B284,TRAOPE!$A:$W,23,0)),"")</f>
        <v/>
      </c>
      <c r="S284" s="10">
        <f>IF(AND(P284="TN",R284="TN"),N284+N(O284),IF(G284&amp;""="1",N(K284)*N284,(N284+N(O284))*N(K284)))</f>
        <v/>
      </c>
      <c r="T284" s="10">
        <f>IF(Q284="","",Q284-S284)</f>
        <v/>
      </c>
    </row>
    <row r="285">
      <c r="A285" s="7">
        <f>CONCATENATE(C285,E285,F285,I285)</f>
        <v/>
      </c>
      <c r="B285" s="7">
        <f>CONCATENATE(C285,E285,I285)</f>
        <v/>
      </c>
      <c r="C285" s="8" t="n">
        <v>900001074</v>
      </c>
      <c r="D285" s="7">
        <f>IFERROR(VLOOKUP(C285,TRAOPE!$G:$H,2,0),"")</f>
        <v/>
      </c>
      <c r="E285" s="8" t="inlineStr">
        <is>
          <t>D836</t>
        </is>
      </c>
      <c r="F285" s="8" t="inlineStr">
        <is>
          <t>66450072</t>
        </is>
      </c>
      <c r="G285" s="8">
        <f>IFERROR(VLOOKUP(A285,Flete!$A:$E,5,0),"")</f>
        <v/>
      </c>
      <c r="H285" s="7">
        <f>IFERROR(VLOOKUP(F285,TRAOPE!$AA:$AB,2,0),"")</f>
        <v/>
      </c>
      <c r="I285" s="7" t="n">
        <v>10000357</v>
      </c>
      <c r="J285" s="7">
        <f>IFERROR(VLOOKUP(I285,Materiales!$A:$H,8,0),"")</f>
        <v/>
      </c>
      <c r="K285" s="9">
        <f>IFERROR(VLOOKUP(I285,Materiales!$A:$G,7,0),"")</f>
        <v/>
      </c>
      <c r="L285" s="8" t="inlineStr">
        <is>
          <t>20190426</t>
        </is>
      </c>
      <c r="M285" s="8" t="inlineStr">
        <is>
          <t>20250127</t>
        </is>
      </c>
      <c r="N285" s="10" t="n">
        <v>121</v>
      </c>
      <c r="O285" s="10">
        <f>IFERROR(VLOOKUP(A285,Flete!$A:$J,10,0),"")</f>
        <v/>
      </c>
      <c r="P285" s="8" t="inlineStr">
        <is>
          <t>M3</t>
        </is>
      </c>
      <c r="Q285" s="10">
        <f>IFERROR(IFERROR(VLOOKUP(A285,TRAOPE!$A:$U,21,0),VLOOKUP(B285,TRAOPE!$A:$U,21,0)),"")</f>
        <v/>
      </c>
      <c r="R285" s="8">
        <f>IFERROR(IFERROR(VLOOKUP(A285,TRAOPE!$A:$W,23,0),VLOOKUP(B285,TRAOPE!$A:$W,23,0)),"")</f>
        <v/>
      </c>
      <c r="S285" s="10">
        <f>IF(AND(P285="TN",R285="TN"),N285+N(O285),IF(G285&amp;""="1",N(K285)*N285,(N285+N(O285))*N(K285)))</f>
        <v/>
      </c>
      <c r="T285" s="10">
        <f>IF(Q285="","",Q285-S285)</f>
        <v/>
      </c>
    </row>
    <row r="286">
      <c r="A286" s="7">
        <f>CONCATENATE(C286,E286,F286,I286)</f>
        <v/>
      </c>
      <c r="B286" s="7">
        <f>CONCATENATE(C286,E286,I286)</f>
        <v/>
      </c>
      <c r="C286" s="8" t="n">
        <v>900001074</v>
      </c>
      <c r="D286" s="7">
        <f>IFERROR(VLOOKUP(C286,TRAOPE!$G:$H,2,0),"")</f>
        <v/>
      </c>
      <c r="E286" s="8" t="inlineStr">
        <is>
          <t>D836</t>
        </is>
      </c>
      <c r="F286" s="8" t="inlineStr">
        <is>
          <t>66465268</t>
        </is>
      </c>
      <c r="G286" s="8">
        <f>IFERROR(VLOOKUP(A286,Flete!$A:$E,5,0),"")</f>
        <v/>
      </c>
      <c r="H286" s="7">
        <f>IFERROR(VLOOKUP(F286,TRAOPE!$AA:$AB,2,0),"")</f>
        <v/>
      </c>
      <c r="I286" s="7" t="n">
        <v>10000160</v>
      </c>
      <c r="J286" s="7">
        <f>IFERROR(VLOOKUP(I286,Materiales!$A:$H,8,0),"")</f>
        <v/>
      </c>
      <c r="K286" s="9">
        <f>IFERROR(VLOOKUP(I286,Materiales!$A:$G,7,0),"")</f>
        <v/>
      </c>
      <c r="L286" s="8" t="inlineStr">
        <is>
          <t>20190426</t>
        </is>
      </c>
      <c r="M286" s="8" t="inlineStr">
        <is>
          <t>20250127</t>
        </is>
      </c>
      <c r="N286" s="10" t="n">
        <v>76</v>
      </c>
      <c r="O286" s="10">
        <f>IFERROR(VLOOKUP(A286,Flete!$A:$J,10,0),"")</f>
        <v/>
      </c>
      <c r="P286" s="8" t="inlineStr">
        <is>
          <t>M3</t>
        </is>
      </c>
      <c r="Q286" s="10">
        <f>IFERROR(IFERROR(VLOOKUP(A286,TRAOPE!$A:$U,21,0),VLOOKUP(B286,TRAOPE!$A:$U,21,0)),"")</f>
        <v/>
      </c>
      <c r="R286" s="8">
        <f>IFERROR(IFERROR(VLOOKUP(A286,TRAOPE!$A:$W,23,0),VLOOKUP(B286,TRAOPE!$A:$W,23,0)),"")</f>
        <v/>
      </c>
      <c r="S286" s="10">
        <f>IF(AND(P286="TN",R286="TN"),N286+N(O286),IF(G286&amp;""="1",N(K286)*N286,(N286+N(O286))*N(K286)))</f>
        <v/>
      </c>
      <c r="T286" s="10">
        <f>IF(Q286="","",Q286-S286)</f>
        <v/>
      </c>
    </row>
    <row r="287">
      <c r="A287" s="7">
        <f>CONCATENATE(C287,E287,F287,I287)</f>
        <v/>
      </c>
      <c r="B287" s="7">
        <f>CONCATENATE(C287,E287,I287)</f>
        <v/>
      </c>
      <c r="C287" s="8" t="n">
        <v>900001074</v>
      </c>
      <c r="D287" s="7">
        <f>IFERROR(VLOOKUP(C287,TRAOPE!$G:$H,2,0),"")</f>
        <v/>
      </c>
      <c r="E287" s="8" t="inlineStr">
        <is>
          <t>D836</t>
        </is>
      </c>
      <c r="F287" s="8" t="inlineStr">
        <is>
          <t>66465268</t>
        </is>
      </c>
      <c r="G287" s="8">
        <f>IFERROR(VLOOKUP(A287,Flete!$A:$E,5,0),"")</f>
        <v/>
      </c>
      <c r="H287" s="7">
        <f>IFERROR(VLOOKUP(F287,TRAOPE!$AA:$AB,2,0),"")</f>
        <v/>
      </c>
      <c r="I287" s="7" t="n">
        <v>10000357</v>
      </c>
      <c r="J287" s="7">
        <f>IFERROR(VLOOKUP(I287,Materiales!$A:$H,8,0),"")</f>
        <v/>
      </c>
      <c r="K287" s="9">
        <f>IFERROR(VLOOKUP(I287,Materiales!$A:$G,7,0),"")</f>
        <v/>
      </c>
      <c r="L287" s="8" t="inlineStr">
        <is>
          <t>20190426</t>
        </is>
      </c>
      <c r="M287" s="8" t="inlineStr">
        <is>
          <t>20250127</t>
        </is>
      </c>
      <c r="N287" s="10" t="n">
        <v>87</v>
      </c>
      <c r="O287" s="10">
        <f>IFERROR(VLOOKUP(A287,Flete!$A:$J,10,0),"")</f>
        <v/>
      </c>
      <c r="P287" s="8" t="inlineStr">
        <is>
          <t>M3</t>
        </is>
      </c>
      <c r="Q287" s="10">
        <f>IFERROR(IFERROR(VLOOKUP(A287,TRAOPE!$A:$U,21,0),VLOOKUP(B287,TRAOPE!$A:$U,21,0)),"")</f>
        <v/>
      </c>
      <c r="R287" s="8">
        <f>IFERROR(IFERROR(VLOOKUP(A287,TRAOPE!$A:$W,23,0),VLOOKUP(B287,TRAOPE!$A:$W,23,0)),"")</f>
        <v/>
      </c>
      <c r="S287" s="10">
        <f>IF(AND(P287="TN",R287="TN"),N287+N(O287),IF(G287&amp;""="1",N(K287)*N287,(N287+N(O287))*N(K287)))</f>
        <v/>
      </c>
      <c r="T287" s="10">
        <f>IF(Q287="","",Q287-S287)</f>
        <v/>
      </c>
    </row>
    <row r="288">
      <c r="A288" s="7">
        <f>CONCATENATE(C288,E288,F288,I288)</f>
        <v/>
      </c>
      <c r="B288" s="7">
        <f>CONCATENATE(C288,E288,I288)</f>
        <v/>
      </c>
      <c r="C288" s="8" t="n">
        <v>900001074</v>
      </c>
      <c r="D288" s="7">
        <f>IFERROR(VLOOKUP(C288,TRAOPE!$G:$H,2,0),"")</f>
        <v/>
      </c>
      <c r="E288" s="8" t="inlineStr">
        <is>
          <t>D836</t>
        </is>
      </c>
      <c r="F288" s="8" t="inlineStr">
        <is>
          <t>66475158</t>
        </is>
      </c>
      <c r="G288" s="8">
        <f>IFERROR(VLOOKUP(A288,Flete!$A:$E,5,0),"")</f>
        <v/>
      </c>
      <c r="H288" s="7">
        <f>IFERROR(VLOOKUP(F288,TRAOPE!$AA:$AB,2,0),"")</f>
        <v/>
      </c>
      <c r="I288" s="7" t="n">
        <v>10000160</v>
      </c>
      <c r="J288" s="7">
        <f>IFERROR(VLOOKUP(I288,Materiales!$A:$H,8,0),"")</f>
        <v/>
      </c>
      <c r="K288" s="9">
        <f>IFERROR(VLOOKUP(I288,Materiales!$A:$G,7,0),"")</f>
        <v/>
      </c>
      <c r="L288" s="8" t="inlineStr">
        <is>
          <t>20190426</t>
        </is>
      </c>
      <c r="M288" s="8" t="inlineStr">
        <is>
          <t>20250127</t>
        </is>
      </c>
      <c r="N288" s="10" t="n">
        <v>84</v>
      </c>
      <c r="O288" s="10">
        <f>IFERROR(VLOOKUP(A288,Flete!$A:$J,10,0),"")</f>
        <v/>
      </c>
      <c r="P288" s="8" t="inlineStr">
        <is>
          <t>M3</t>
        </is>
      </c>
      <c r="Q288" s="10">
        <f>IFERROR(IFERROR(VLOOKUP(A288,TRAOPE!$A:$U,21,0),VLOOKUP(B288,TRAOPE!$A:$U,21,0)),"")</f>
        <v/>
      </c>
      <c r="R288" s="8">
        <f>IFERROR(IFERROR(VLOOKUP(A288,TRAOPE!$A:$W,23,0),VLOOKUP(B288,TRAOPE!$A:$W,23,0)),"")</f>
        <v/>
      </c>
      <c r="S288" s="10">
        <f>IF(AND(P288="TN",R288="TN"),N288+N(O288),IF(G288&amp;""="1",N(K288)*N288,(N288+N(O288))*N(K288)))</f>
        <v/>
      </c>
      <c r="T288" s="10">
        <f>IF(Q288="","",Q288-S288)</f>
        <v/>
      </c>
    </row>
    <row r="289">
      <c r="A289" s="7">
        <f>CONCATENATE(C289,E289,F289,I289)</f>
        <v/>
      </c>
      <c r="B289" s="7">
        <f>CONCATENATE(C289,E289,I289)</f>
        <v/>
      </c>
      <c r="C289" s="8" t="n">
        <v>900001074</v>
      </c>
      <c r="D289" s="7">
        <f>IFERROR(VLOOKUP(C289,TRAOPE!$G:$H,2,0),"")</f>
        <v/>
      </c>
      <c r="E289" s="8" t="inlineStr">
        <is>
          <t>D836</t>
        </is>
      </c>
      <c r="F289" s="8" t="inlineStr">
        <is>
          <t>66475158</t>
        </is>
      </c>
      <c r="G289" s="8">
        <f>IFERROR(VLOOKUP(A289,Flete!$A:$E,5,0),"")</f>
        <v/>
      </c>
      <c r="H289" s="7">
        <f>IFERROR(VLOOKUP(F289,TRAOPE!$AA:$AB,2,0),"")</f>
        <v/>
      </c>
      <c r="I289" s="7" t="n">
        <v>10000357</v>
      </c>
      <c r="J289" s="7">
        <f>IFERROR(VLOOKUP(I289,Materiales!$A:$H,8,0),"")</f>
        <v/>
      </c>
      <c r="K289" s="9">
        <f>IFERROR(VLOOKUP(I289,Materiales!$A:$G,7,0),"")</f>
        <v/>
      </c>
      <c r="L289" s="8" t="inlineStr">
        <is>
          <t>20190426</t>
        </is>
      </c>
      <c r="M289" s="8" t="inlineStr">
        <is>
          <t>20250127</t>
        </is>
      </c>
      <c r="N289" s="10" t="n">
        <v>95.5</v>
      </c>
      <c r="O289" s="10">
        <f>IFERROR(VLOOKUP(A289,Flete!$A:$J,10,0),"")</f>
        <v/>
      </c>
      <c r="P289" s="8" t="inlineStr">
        <is>
          <t>M3</t>
        </is>
      </c>
      <c r="Q289" s="10">
        <f>IFERROR(IFERROR(VLOOKUP(A289,TRAOPE!$A:$U,21,0),VLOOKUP(B289,TRAOPE!$A:$U,21,0)),"")</f>
        <v/>
      </c>
      <c r="R289" s="8">
        <f>IFERROR(IFERROR(VLOOKUP(A289,TRAOPE!$A:$W,23,0),VLOOKUP(B289,TRAOPE!$A:$W,23,0)),"")</f>
        <v/>
      </c>
      <c r="S289" s="10">
        <f>IF(AND(P289="TN",R289="TN"),N289+N(O289),IF(G289&amp;""="1",N(K289)*N289,(N289+N(O289))*N(K289)))</f>
        <v/>
      </c>
      <c r="T289" s="10">
        <f>IF(Q289="","",Q289-S289)</f>
        <v/>
      </c>
    </row>
    <row r="290">
      <c r="A290" s="7">
        <f>CONCATENATE(C290,E290,F290,I290)</f>
        <v/>
      </c>
      <c r="B290" s="7">
        <f>CONCATENATE(C290,E290,I290)</f>
        <v/>
      </c>
      <c r="C290" s="8" t="n">
        <v>900001074</v>
      </c>
      <c r="D290" s="7">
        <f>IFERROR(VLOOKUP(C290,TRAOPE!$G:$H,2,0),"")</f>
        <v/>
      </c>
      <c r="E290" s="8" t="inlineStr">
        <is>
          <t>D836</t>
        </is>
      </c>
      <c r="F290" s="8" t="inlineStr">
        <is>
          <t>66475158</t>
        </is>
      </c>
      <c r="G290" s="8">
        <f>IFERROR(VLOOKUP(A290,Flete!$A:$E,5,0),"")</f>
        <v/>
      </c>
      <c r="H290" s="7">
        <f>IFERROR(VLOOKUP(F290,TRAOPE!$AA:$AB,2,0),"")</f>
        <v/>
      </c>
      <c r="I290" s="7" t="n">
        <v>10000627</v>
      </c>
      <c r="J290" s="7">
        <f>IFERROR(VLOOKUP(I290,Materiales!$A:$H,8,0),"")</f>
        <v/>
      </c>
      <c r="K290" s="9">
        <f>IFERROR(VLOOKUP(I290,Materiales!$A:$G,7,0),"")</f>
        <v/>
      </c>
      <c r="L290" s="8" t="inlineStr">
        <is>
          <t>20190426</t>
        </is>
      </c>
      <c r="M290" s="8" t="inlineStr">
        <is>
          <t>20250127</t>
        </is>
      </c>
      <c r="N290" s="10" t="n">
        <v>84</v>
      </c>
      <c r="O290" s="10">
        <f>IFERROR(VLOOKUP(A290,Flete!$A:$J,10,0),"")</f>
        <v/>
      </c>
      <c r="P290" s="8" t="inlineStr">
        <is>
          <t>M3</t>
        </is>
      </c>
      <c r="Q290" s="10">
        <f>IFERROR(IFERROR(VLOOKUP(A290,TRAOPE!$A:$U,21,0),VLOOKUP(B290,TRAOPE!$A:$U,21,0)),"")</f>
        <v/>
      </c>
      <c r="R290" s="8">
        <f>IFERROR(IFERROR(VLOOKUP(A290,TRAOPE!$A:$W,23,0),VLOOKUP(B290,TRAOPE!$A:$W,23,0)),"")</f>
        <v/>
      </c>
      <c r="S290" s="10">
        <f>IF(AND(P290="TN",R290="TN"),N290+N(O290),IF(G290&amp;""="1",N(K290)*N290,(N290+N(O290))*N(K290)))</f>
        <v/>
      </c>
      <c r="T290" s="10">
        <f>IF(Q290="","",Q290-S290)</f>
        <v/>
      </c>
    </row>
    <row r="291">
      <c r="A291" s="7">
        <f>CONCATENATE(C291,E291,F291,I291)</f>
        <v/>
      </c>
      <c r="B291" s="7">
        <f>CONCATENATE(C291,E291,I291)</f>
        <v/>
      </c>
      <c r="C291" s="8" t="n">
        <v>900001074</v>
      </c>
      <c r="D291" s="7">
        <f>IFERROR(VLOOKUP(C291,TRAOPE!$G:$H,2,0),"")</f>
        <v/>
      </c>
      <c r="E291" s="8" t="inlineStr">
        <is>
          <t>D836</t>
        </is>
      </c>
      <c r="F291" s="8" t="inlineStr">
        <is>
          <t>66482104</t>
        </is>
      </c>
      <c r="G291" s="8">
        <f>IFERROR(VLOOKUP(A291,Flete!$A:$E,5,0),"")</f>
        <v/>
      </c>
      <c r="H291" s="7">
        <f>IFERROR(VLOOKUP(F291,TRAOPE!$AA:$AB,2,0),"")</f>
        <v/>
      </c>
      <c r="I291" s="7" t="n">
        <v>10000160</v>
      </c>
      <c r="J291" s="7">
        <f>IFERROR(VLOOKUP(I291,Materiales!$A:$H,8,0),"")</f>
        <v/>
      </c>
      <c r="K291" s="9">
        <f>IFERROR(VLOOKUP(I291,Materiales!$A:$G,7,0),"")</f>
        <v/>
      </c>
      <c r="L291" s="8" t="inlineStr">
        <is>
          <t>20190426</t>
        </is>
      </c>
      <c r="M291" s="8" t="inlineStr">
        <is>
          <t>20250127</t>
        </is>
      </c>
      <c r="N291" s="10" t="n">
        <v>84</v>
      </c>
      <c r="O291" s="10">
        <f>IFERROR(VLOOKUP(A291,Flete!$A:$J,10,0),"")</f>
        <v/>
      </c>
      <c r="P291" s="8" t="inlineStr">
        <is>
          <t>M3</t>
        </is>
      </c>
      <c r="Q291" s="10">
        <f>IFERROR(IFERROR(VLOOKUP(A291,TRAOPE!$A:$U,21,0),VLOOKUP(B291,TRAOPE!$A:$U,21,0)),"")</f>
        <v/>
      </c>
      <c r="R291" s="8">
        <f>IFERROR(IFERROR(VLOOKUP(A291,TRAOPE!$A:$W,23,0),VLOOKUP(B291,TRAOPE!$A:$W,23,0)),"")</f>
        <v/>
      </c>
      <c r="S291" s="10">
        <f>IF(AND(P291="TN",R291="TN"),N291+N(O291),IF(G291&amp;""="1",N(K291)*N291,(N291+N(O291))*N(K291)))</f>
        <v/>
      </c>
      <c r="T291" s="10">
        <f>IF(Q291="","",Q291-S291)</f>
        <v/>
      </c>
    </row>
    <row r="292">
      <c r="A292" s="7">
        <f>CONCATENATE(C292,E292,F292,I292)</f>
        <v/>
      </c>
      <c r="B292" s="7">
        <f>CONCATENATE(C292,E292,I292)</f>
        <v/>
      </c>
      <c r="C292" s="8" t="n">
        <v>900001074</v>
      </c>
      <c r="D292" s="7">
        <f>IFERROR(VLOOKUP(C292,TRAOPE!$G:$H,2,0),"")</f>
        <v/>
      </c>
      <c r="E292" s="8" t="inlineStr">
        <is>
          <t>D836</t>
        </is>
      </c>
      <c r="F292" s="8" t="inlineStr">
        <is>
          <t>66482104</t>
        </is>
      </c>
      <c r="G292" s="8">
        <f>IFERROR(VLOOKUP(A292,Flete!$A:$E,5,0),"")</f>
        <v/>
      </c>
      <c r="H292" s="7">
        <f>IFERROR(VLOOKUP(F292,TRAOPE!$AA:$AB,2,0),"")</f>
        <v/>
      </c>
      <c r="I292" s="7" t="n">
        <v>10000357</v>
      </c>
      <c r="J292" s="7">
        <f>IFERROR(VLOOKUP(I292,Materiales!$A:$H,8,0),"")</f>
        <v/>
      </c>
      <c r="K292" s="9">
        <f>IFERROR(VLOOKUP(I292,Materiales!$A:$G,7,0),"")</f>
        <v/>
      </c>
      <c r="L292" s="8" t="inlineStr">
        <is>
          <t>20190426</t>
        </is>
      </c>
      <c r="M292" s="8" t="inlineStr">
        <is>
          <t>20250127</t>
        </is>
      </c>
      <c r="N292" s="10" t="n">
        <v>95.5</v>
      </c>
      <c r="O292" s="10">
        <f>IFERROR(VLOOKUP(A292,Flete!$A:$J,10,0),"")</f>
        <v/>
      </c>
      <c r="P292" s="8" t="inlineStr">
        <is>
          <t>M3</t>
        </is>
      </c>
      <c r="Q292" s="10">
        <f>IFERROR(IFERROR(VLOOKUP(A292,TRAOPE!$A:$U,21,0),VLOOKUP(B292,TRAOPE!$A:$U,21,0)),"")</f>
        <v/>
      </c>
      <c r="R292" s="8">
        <f>IFERROR(IFERROR(VLOOKUP(A292,TRAOPE!$A:$W,23,0),VLOOKUP(B292,TRAOPE!$A:$W,23,0)),"")</f>
        <v/>
      </c>
      <c r="S292" s="10">
        <f>IF(AND(P292="TN",R292="TN"),N292+N(O292),IF(G292&amp;""="1",N(K292)*N292,(N292+N(O292))*N(K292)))</f>
        <v/>
      </c>
      <c r="T292" s="10">
        <f>IF(Q292="","",Q292-S292)</f>
        <v/>
      </c>
    </row>
    <row r="293">
      <c r="A293" s="7">
        <f>CONCATENATE(C293,E293,F293,I293)</f>
        <v/>
      </c>
      <c r="B293" s="7">
        <f>CONCATENATE(C293,E293,I293)</f>
        <v/>
      </c>
      <c r="C293" s="8" t="n">
        <v>900001074</v>
      </c>
      <c r="D293" s="7">
        <f>IFERROR(VLOOKUP(C293,TRAOPE!$G:$H,2,0),"")</f>
        <v/>
      </c>
      <c r="E293" s="8" t="inlineStr">
        <is>
          <t>D836</t>
        </is>
      </c>
      <c r="F293" s="8" t="inlineStr">
        <is>
          <t>66482104</t>
        </is>
      </c>
      <c r="G293" s="8">
        <f>IFERROR(VLOOKUP(A293,Flete!$A:$E,5,0),"")</f>
        <v/>
      </c>
      <c r="H293" s="7">
        <f>IFERROR(VLOOKUP(F293,TRAOPE!$AA:$AB,2,0),"")</f>
        <v/>
      </c>
      <c r="I293" s="7" t="n">
        <v>10000627</v>
      </c>
      <c r="J293" s="7">
        <f>IFERROR(VLOOKUP(I293,Materiales!$A:$H,8,0),"")</f>
        <v/>
      </c>
      <c r="K293" s="9">
        <f>IFERROR(VLOOKUP(I293,Materiales!$A:$G,7,0),"")</f>
        <v/>
      </c>
      <c r="L293" s="8" t="inlineStr">
        <is>
          <t>20190426</t>
        </is>
      </c>
      <c r="M293" s="8" t="inlineStr">
        <is>
          <t>20250127</t>
        </is>
      </c>
      <c r="N293" s="10" t="n">
        <v>84</v>
      </c>
      <c r="O293" s="10">
        <f>IFERROR(VLOOKUP(A293,Flete!$A:$J,10,0),"")</f>
        <v/>
      </c>
      <c r="P293" s="8" t="inlineStr">
        <is>
          <t>M3</t>
        </is>
      </c>
      <c r="Q293" s="10">
        <f>IFERROR(IFERROR(VLOOKUP(A293,TRAOPE!$A:$U,21,0),VLOOKUP(B293,TRAOPE!$A:$U,21,0)),"")</f>
        <v/>
      </c>
      <c r="R293" s="8">
        <f>IFERROR(IFERROR(VLOOKUP(A293,TRAOPE!$A:$W,23,0),VLOOKUP(B293,TRAOPE!$A:$W,23,0)),"")</f>
        <v/>
      </c>
      <c r="S293" s="10">
        <f>IF(AND(P293="TN",R293="TN"),N293+N(O293),IF(G293&amp;""="1",N(K293)*N293,(N293+N(O293))*N(K293)))</f>
        <v/>
      </c>
      <c r="T293" s="10">
        <f>IF(Q293="","",Q293-S293)</f>
        <v/>
      </c>
    </row>
    <row r="294">
      <c r="A294" s="7">
        <f>CONCATENATE(C294,E294,F294,I294)</f>
        <v/>
      </c>
      <c r="B294" s="7">
        <f>CONCATENATE(C294,E294,I294)</f>
        <v/>
      </c>
      <c r="C294" s="8" t="n">
        <v>900001074</v>
      </c>
      <c r="D294" s="7">
        <f>IFERROR(VLOOKUP(C294,TRAOPE!$G:$H,2,0),"")</f>
        <v/>
      </c>
      <c r="E294" s="8" t="inlineStr">
        <is>
          <t>D836</t>
        </is>
      </c>
      <c r="F294" s="8" t="inlineStr">
        <is>
          <t>66482288</t>
        </is>
      </c>
      <c r="G294" s="8">
        <f>IFERROR(VLOOKUP(A294,Flete!$A:$E,5,0),"")</f>
        <v/>
      </c>
      <c r="H294" s="7">
        <f>IFERROR(VLOOKUP(F294,TRAOPE!$AA:$AB,2,0),"")</f>
        <v/>
      </c>
      <c r="I294" s="7" t="n">
        <v>10000160</v>
      </c>
      <c r="J294" s="7">
        <f>IFERROR(VLOOKUP(I294,Materiales!$A:$H,8,0),"")</f>
        <v/>
      </c>
      <c r="K294" s="9">
        <f>IFERROR(VLOOKUP(I294,Materiales!$A:$G,7,0),"")</f>
        <v/>
      </c>
      <c r="L294" s="8" t="inlineStr">
        <is>
          <t>20190426</t>
        </is>
      </c>
      <c r="M294" s="8" t="inlineStr">
        <is>
          <t>20250127</t>
        </is>
      </c>
      <c r="N294" s="10" t="n">
        <v>84</v>
      </c>
      <c r="O294" s="10">
        <f>IFERROR(VLOOKUP(A294,Flete!$A:$J,10,0),"")</f>
        <v/>
      </c>
      <c r="P294" s="8" t="inlineStr">
        <is>
          <t>M3</t>
        </is>
      </c>
      <c r="Q294" s="10">
        <f>IFERROR(IFERROR(VLOOKUP(A294,TRAOPE!$A:$U,21,0),VLOOKUP(B294,TRAOPE!$A:$U,21,0)),"")</f>
        <v/>
      </c>
      <c r="R294" s="8">
        <f>IFERROR(IFERROR(VLOOKUP(A294,TRAOPE!$A:$W,23,0),VLOOKUP(B294,TRAOPE!$A:$W,23,0)),"")</f>
        <v/>
      </c>
      <c r="S294" s="10">
        <f>IF(AND(P294="TN",R294="TN"),N294+N(O294),IF(G294&amp;""="1",N(K294)*N294,(N294+N(O294))*N(K294)))</f>
        <v/>
      </c>
      <c r="T294" s="10">
        <f>IF(Q294="","",Q294-S294)</f>
        <v/>
      </c>
    </row>
    <row r="295">
      <c r="A295" s="7">
        <f>CONCATENATE(C295,E295,F295,I295)</f>
        <v/>
      </c>
      <c r="B295" s="7">
        <f>CONCATENATE(C295,E295,I295)</f>
        <v/>
      </c>
      <c r="C295" s="8" t="n">
        <v>900001074</v>
      </c>
      <c r="D295" s="7">
        <f>IFERROR(VLOOKUP(C295,TRAOPE!$G:$H,2,0),"")</f>
        <v/>
      </c>
      <c r="E295" s="8" t="inlineStr">
        <is>
          <t>D836</t>
        </is>
      </c>
      <c r="F295" s="8" t="inlineStr">
        <is>
          <t>66482288</t>
        </is>
      </c>
      <c r="G295" s="8">
        <f>IFERROR(VLOOKUP(A295,Flete!$A:$E,5,0),"")</f>
        <v/>
      </c>
      <c r="H295" s="7">
        <f>IFERROR(VLOOKUP(F295,TRAOPE!$AA:$AB,2,0),"")</f>
        <v/>
      </c>
      <c r="I295" s="7" t="n">
        <v>10000357</v>
      </c>
      <c r="J295" s="7">
        <f>IFERROR(VLOOKUP(I295,Materiales!$A:$H,8,0),"")</f>
        <v/>
      </c>
      <c r="K295" s="9">
        <f>IFERROR(VLOOKUP(I295,Materiales!$A:$G,7,0),"")</f>
        <v/>
      </c>
      <c r="L295" s="8" t="inlineStr">
        <is>
          <t>20190426</t>
        </is>
      </c>
      <c r="M295" s="8" t="inlineStr">
        <is>
          <t>20250127</t>
        </is>
      </c>
      <c r="N295" s="10" t="n">
        <v>95.5</v>
      </c>
      <c r="O295" s="10">
        <f>IFERROR(VLOOKUP(A295,Flete!$A:$J,10,0),"")</f>
        <v/>
      </c>
      <c r="P295" s="8" t="inlineStr">
        <is>
          <t>M3</t>
        </is>
      </c>
      <c r="Q295" s="10">
        <f>IFERROR(IFERROR(VLOOKUP(A295,TRAOPE!$A:$U,21,0),VLOOKUP(B295,TRAOPE!$A:$U,21,0)),"")</f>
        <v/>
      </c>
      <c r="R295" s="8">
        <f>IFERROR(IFERROR(VLOOKUP(A295,TRAOPE!$A:$W,23,0),VLOOKUP(B295,TRAOPE!$A:$W,23,0)),"")</f>
        <v/>
      </c>
      <c r="S295" s="10">
        <f>IF(AND(P295="TN",R295="TN"),N295+N(O295),IF(G295&amp;""="1",N(K295)*N295,(N295+N(O295))*N(K295)))</f>
        <v/>
      </c>
      <c r="T295" s="10">
        <f>IF(Q295="","",Q295-S295)</f>
        <v/>
      </c>
    </row>
    <row r="296">
      <c r="A296" s="7">
        <f>CONCATENATE(C296,E296,F296,I296)</f>
        <v/>
      </c>
      <c r="B296" s="7">
        <f>CONCATENATE(C296,E296,I296)</f>
        <v/>
      </c>
      <c r="C296" s="8" t="n">
        <v>900001074</v>
      </c>
      <c r="D296" s="7">
        <f>IFERROR(VLOOKUP(C296,TRAOPE!$G:$H,2,0),"")</f>
        <v/>
      </c>
      <c r="E296" s="8" t="inlineStr">
        <is>
          <t>D836</t>
        </is>
      </c>
      <c r="F296" s="8" t="inlineStr">
        <is>
          <t>66482288</t>
        </is>
      </c>
      <c r="G296" s="8">
        <f>IFERROR(VLOOKUP(A296,Flete!$A:$E,5,0),"")</f>
        <v/>
      </c>
      <c r="H296" s="7">
        <f>IFERROR(VLOOKUP(F296,TRAOPE!$AA:$AB,2,0),"")</f>
        <v/>
      </c>
      <c r="I296" s="7" t="n">
        <v>10000627</v>
      </c>
      <c r="J296" s="7">
        <f>IFERROR(VLOOKUP(I296,Materiales!$A:$H,8,0),"")</f>
        <v/>
      </c>
      <c r="K296" s="9">
        <f>IFERROR(VLOOKUP(I296,Materiales!$A:$G,7,0),"")</f>
        <v/>
      </c>
      <c r="L296" s="8" t="inlineStr">
        <is>
          <t>20190426</t>
        </is>
      </c>
      <c r="M296" s="8" t="inlineStr">
        <is>
          <t>20250127</t>
        </is>
      </c>
      <c r="N296" s="10" t="n">
        <v>84</v>
      </c>
      <c r="O296" s="10">
        <f>IFERROR(VLOOKUP(A296,Flete!$A:$J,10,0),"")</f>
        <v/>
      </c>
      <c r="P296" s="8" t="inlineStr">
        <is>
          <t>M3</t>
        </is>
      </c>
      <c r="Q296" s="10">
        <f>IFERROR(IFERROR(VLOOKUP(A296,TRAOPE!$A:$U,21,0),VLOOKUP(B296,TRAOPE!$A:$U,21,0)),"")</f>
        <v/>
      </c>
      <c r="R296" s="8">
        <f>IFERROR(IFERROR(VLOOKUP(A296,TRAOPE!$A:$W,23,0),VLOOKUP(B296,TRAOPE!$A:$W,23,0)),"")</f>
        <v/>
      </c>
      <c r="S296" s="10">
        <f>IF(AND(P296="TN",R296="TN"),N296+N(O296),IF(G296&amp;""="1",N(K296)*N296,(N296+N(O296))*N(K296)))</f>
        <v/>
      </c>
      <c r="T296" s="10">
        <f>IF(Q296="","",Q296-S296)</f>
        <v/>
      </c>
    </row>
    <row r="297">
      <c r="A297" s="7">
        <f>CONCATENATE(C297,E297,F297,I297)</f>
        <v/>
      </c>
      <c r="B297" s="7">
        <f>CONCATENATE(C297,E297,I297)</f>
        <v/>
      </c>
      <c r="C297" s="8" t="n">
        <v>900001074</v>
      </c>
      <c r="D297" s="7">
        <f>IFERROR(VLOOKUP(C297,TRAOPE!$G:$H,2,0),"")</f>
        <v/>
      </c>
      <c r="E297" s="8" t="inlineStr">
        <is>
          <t>D836</t>
        </is>
      </c>
      <c r="F297" s="8" t="inlineStr">
        <is>
          <t>66482289</t>
        </is>
      </c>
      <c r="G297" s="8">
        <f>IFERROR(VLOOKUP(A297,Flete!$A:$E,5,0),"")</f>
        <v/>
      </c>
      <c r="H297" s="7">
        <f>IFERROR(VLOOKUP(F297,TRAOPE!$AA:$AB,2,0),"")</f>
        <v/>
      </c>
      <c r="I297" s="7" t="n">
        <v>10000160</v>
      </c>
      <c r="J297" s="7">
        <f>IFERROR(VLOOKUP(I297,Materiales!$A:$H,8,0),"")</f>
        <v/>
      </c>
      <c r="K297" s="9">
        <f>IFERROR(VLOOKUP(I297,Materiales!$A:$G,7,0),"")</f>
        <v/>
      </c>
      <c r="L297" s="8" t="inlineStr">
        <is>
          <t>20190426</t>
        </is>
      </c>
      <c r="M297" s="8" t="inlineStr">
        <is>
          <t>20250127</t>
        </is>
      </c>
      <c r="N297" s="10" t="n">
        <v>84</v>
      </c>
      <c r="O297" s="10">
        <f>IFERROR(VLOOKUP(A297,Flete!$A:$J,10,0),"")</f>
        <v/>
      </c>
      <c r="P297" s="8" t="inlineStr">
        <is>
          <t>M3</t>
        </is>
      </c>
      <c r="Q297" s="10">
        <f>IFERROR(IFERROR(VLOOKUP(A297,TRAOPE!$A:$U,21,0),VLOOKUP(B297,TRAOPE!$A:$U,21,0)),"")</f>
        <v/>
      </c>
      <c r="R297" s="8">
        <f>IFERROR(IFERROR(VLOOKUP(A297,TRAOPE!$A:$W,23,0),VLOOKUP(B297,TRAOPE!$A:$W,23,0)),"")</f>
        <v/>
      </c>
      <c r="S297" s="10">
        <f>IF(AND(P297="TN",R297="TN"),N297+N(O297),IF(G297&amp;""="1",N(K297)*N297,(N297+N(O297))*N(K297)))</f>
        <v/>
      </c>
      <c r="T297" s="10">
        <f>IF(Q297="","",Q297-S297)</f>
        <v/>
      </c>
    </row>
    <row r="298">
      <c r="A298" s="7">
        <f>CONCATENATE(C298,E298,F298,I298)</f>
        <v/>
      </c>
      <c r="B298" s="7">
        <f>CONCATENATE(C298,E298,I298)</f>
        <v/>
      </c>
      <c r="C298" s="8" t="n">
        <v>900001074</v>
      </c>
      <c r="D298" s="7">
        <f>IFERROR(VLOOKUP(C298,TRAOPE!$G:$H,2,0),"")</f>
        <v/>
      </c>
      <c r="E298" s="8" t="inlineStr">
        <is>
          <t>D836</t>
        </is>
      </c>
      <c r="F298" s="8" t="inlineStr">
        <is>
          <t>66482289</t>
        </is>
      </c>
      <c r="G298" s="8">
        <f>IFERROR(VLOOKUP(A298,Flete!$A:$E,5,0),"")</f>
        <v/>
      </c>
      <c r="H298" s="7">
        <f>IFERROR(VLOOKUP(F298,TRAOPE!$AA:$AB,2,0),"")</f>
        <v/>
      </c>
      <c r="I298" s="7" t="n">
        <v>10000357</v>
      </c>
      <c r="J298" s="7">
        <f>IFERROR(VLOOKUP(I298,Materiales!$A:$H,8,0),"")</f>
        <v/>
      </c>
      <c r="K298" s="9">
        <f>IFERROR(VLOOKUP(I298,Materiales!$A:$G,7,0),"")</f>
        <v/>
      </c>
      <c r="L298" s="8" t="inlineStr">
        <is>
          <t>20190426</t>
        </is>
      </c>
      <c r="M298" s="8" t="inlineStr">
        <is>
          <t>20250127</t>
        </is>
      </c>
      <c r="N298" s="10" t="n">
        <v>95.5</v>
      </c>
      <c r="O298" s="10">
        <f>IFERROR(VLOOKUP(A298,Flete!$A:$J,10,0),"")</f>
        <v/>
      </c>
      <c r="P298" s="8" t="inlineStr">
        <is>
          <t>M3</t>
        </is>
      </c>
      <c r="Q298" s="10">
        <f>IFERROR(IFERROR(VLOOKUP(A298,TRAOPE!$A:$U,21,0),VLOOKUP(B298,TRAOPE!$A:$U,21,0)),"")</f>
        <v/>
      </c>
      <c r="R298" s="8">
        <f>IFERROR(IFERROR(VLOOKUP(A298,TRAOPE!$A:$W,23,0),VLOOKUP(B298,TRAOPE!$A:$W,23,0)),"")</f>
        <v/>
      </c>
      <c r="S298" s="10">
        <f>IF(AND(P298="TN",R298="TN"),N298+N(O298),IF(G298&amp;""="1",N(K298)*N298,(N298+N(O298))*N(K298)))</f>
        <v/>
      </c>
      <c r="T298" s="10">
        <f>IF(Q298="","",Q298-S298)</f>
        <v/>
      </c>
    </row>
    <row r="299">
      <c r="A299" s="7">
        <f>CONCATENATE(C299,E299,F299,I299)</f>
        <v/>
      </c>
      <c r="B299" s="7">
        <f>CONCATENATE(C299,E299,I299)</f>
        <v/>
      </c>
      <c r="C299" s="8" t="n">
        <v>900001074</v>
      </c>
      <c r="D299" s="7">
        <f>IFERROR(VLOOKUP(C299,TRAOPE!$G:$H,2,0),"")</f>
        <v/>
      </c>
      <c r="E299" s="8" t="inlineStr">
        <is>
          <t>D836</t>
        </is>
      </c>
      <c r="F299" s="8" t="inlineStr">
        <is>
          <t>66482289</t>
        </is>
      </c>
      <c r="G299" s="8">
        <f>IFERROR(VLOOKUP(A299,Flete!$A:$E,5,0),"")</f>
        <v/>
      </c>
      <c r="H299" s="7">
        <f>IFERROR(VLOOKUP(F299,TRAOPE!$AA:$AB,2,0),"")</f>
        <v/>
      </c>
      <c r="I299" s="7" t="n">
        <v>10000627</v>
      </c>
      <c r="J299" s="7">
        <f>IFERROR(VLOOKUP(I299,Materiales!$A:$H,8,0),"")</f>
        <v/>
      </c>
      <c r="K299" s="9">
        <f>IFERROR(VLOOKUP(I299,Materiales!$A:$G,7,0),"")</f>
        <v/>
      </c>
      <c r="L299" s="8" t="inlineStr">
        <is>
          <t>20190426</t>
        </is>
      </c>
      <c r="M299" s="8" t="inlineStr">
        <is>
          <t>20250127</t>
        </is>
      </c>
      <c r="N299" s="10" t="n">
        <v>84</v>
      </c>
      <c r="O299" s="10">
        <f>IFERROR(VLOOKUP(A299,Flete!$A:$J,10,0),"")</f>
        <v/>
      </c>
      <c r="P299" s="8" t="inlineStr">
        <is>
          <t>M3</t>
        </is>
      </c>
      <c r="Q299" s="10">
        <f>IFERROR(IFERROR(VLOOKUP(A299,TRAOPE!$A:$U,21,0),VLOOKUP(B299,TRAOPE!$A:$U,21,0)),"")</f>
        <v/>
      </c>
      <c r="R299" s="8">
        <f>IFERROR(IFERROR(VLOOKUP(A299,TRAOPE!$A:$W,23,0),VLOOKUP(B299,TRAOPE!$A:$W,23,0)),"")</f>
        <v/>
      </c>
      <c r="S299" s="10">
        <f>IF(AND(P299="TN",R299="TN"),N299+N(O299),IF(G299&amp;""="1",N(K299)*N299,(N299+N(O299))*N(K299)))</f>
        <v/>
      </c>
      <c r="T299" s="10">
        <f>IF(Q299="","",Q299-S299)</f>
        <v/>
      </c>
    </row>
    <row r="300">
      <c r="A300" s="7">
        <f>CONCATENATE(C300,E300,F300,I300)</f>
        <v/>
      </c>
      <c r="B300" s="7">
        <f>CONCATENATE(C300,E300,I300)</f>
        <v/>
      </c>
      <c r="C300" s="8" t="n">
        <v>900001074</v>
      </c>
      <c r="D300" s="7">
        <f>IFERROR(VLOOKUP(C300,TRAOPE!$G:$H,2,0),"")</f>
        <v/>
      </c>
      <c r="E300" s="8" t="inlineStr">
        <is>
          <t>D836</t>
        </is>
      </c>
      <c r="F300" s="8" t="inlineStr">
        <is>
          <t>66490694</t>
        </is>
      </c>
      <c r="G300" s="8">
        <f>IFERROR(VLOOKUP(A300,Flete!$A:$E,5,0),"")</f>
        <v/>
      </c>
      <c r="H300" s="7">
        <f>IFERROR(VLOOKUP(F300,TRAOPE!$AA:$AB,2,0),"")</f>
        <v/>
      </c>
      <c r="I300" s="7" t="n">
        <v>10000160</v>
      </c>
      <c r="J300" s="7">
        <f>IFERROR(VLOOKUP(I300,Materiales!$A:$H,8,0),"")</f>
        <v/>
      </c>
      <c r="K300" s="9">
        <f>IFERROR(VLOOKUP(I300,Materiales!$A:$G,7,0),"")</f>
        <v/>
      </c>
      <c r="L300" s="8" t="inlineStr">
        <is>
          <t>20190426</t>
        </is>
      </c>
      <c r="M300" s="8" t="inlineStr">
        <is>
          <t>20250127</t>
        </is>
      </c>
      <c r="N300" s="10" t="n">
        <v>83</v>
      </c>
      <c r="O300" s="10">
        <f>IFERROR(VLOOKUP(A300,Flete!$A:$J,10,0),"")</f>
        <v/>
      </c>
      <c r="P300" s="8" t="inlineStr">
        <is>
          <t>M3</t>
        </is>
      </c>
      <c r="Q300" s="10">
        <f>IFERROR(IFERROR(VLOOKUP(A300,TRAOPE!$A:$U,21,0),VLOOKUP(B300,TRAOPE!$A:$U,21,0)),"")</f>
        <v/>
      </c>
      <c r="R300" s="8">
        <f>IFERROR(IFERROR(VLOOKUP(A300,TRAOPE!$A:$W,23,0),VLOOKUP(B300,TRAOPE!$A:$W,23,0)),"")</f>
        <v/>
      </c>
      <c r="S300" s="10">
        <f>IF(AND(P300="TN",R300="TN"),N300+N(O300),IF(G300&amp;""="1",N(K300)*N300,(N300+N(O300))*N(K300)))</f>
        <v/>
      </c>
      <c r="T300" s="10">
        <f>IF(Q300="","",Q300-S300)</f>
        <v/>
      </c>
    </row>
    <row r="301">
      <c r="A301" s="7">
        <f>CONCATENATE(C301,E301,F301,I301)</f>
        <v/>
      </c>
      <c r="B301" s="7">
        <f>CONCATENATE(C301,E301,I301)</f>
        <v/>
      </c>
      <c r="C301" s="8" t="n">
        <v>900001074</v>
      </c>
      <c r="D301" s="7">
        <f>IFERROR(VLOOKUP(C301,TRAOPE!$G:$H,2,0),"")</f>
        <v/>
      </c>
      <c r="E301" s="8" t="inlineStr">
        <is>
          <t>D836</t>
        </is>
      </c>
      <c r="F301" s="8" t="inlineStr">
        <is>
          <t>66490694</t>
        </is>
      </c>
      <c r="G301" s="8">
        <f>IFERROR(VLOOKUP(A301,Flete!$A:$E,5,0),"")</f>
        <v/>
      </c>
      <c r="H301" s="7">
        <f>IFERROR(VLOOKUP(F301,TRAOPE!$AA:$AB,2,0),"")</f>
        <v/>
      </c>
      <c r="I301" s="7" t="n">
        <v>10000627</v>
      </c>
      <c r="J301" s="7">
        <f>IFERROR(VLOOKUP(I301,Materiales!$A:$H,8,0),"")</f>
        <v/>
      </c>
      <c r="K301" s="9">
        <f>IFERROR(VLOOKUP(I301,Materiales!$A:$G,7,0),"")</f>
        <v/>
      </c>
      <c r="L301" s="8" t="inlineStr">
        <is>
          <t>20190426</t>
        </is>
      </c>
      <c r="M301" s="8" t="inlineStr">
        <is>
          <t>20250127</t>
        </is>
      </c>
      <c r="N301" s="10" t="n">
        <v>88</v>
      </c>
      <c r="O301" s="10">
        <f>IFERROR(VLOOKUP(A301,Flete!$A:$J,10,0),"")</f>
        <v/>
      </c>
      <c r="P301" s="8" t="inlineStr">
        <is>
          <t>M3</t>
        </is>
      </c>
      <c r="Q301" s="10">
        <f>IFERROR(IFERROR(VLOOKUP(A301,TRAOPE!$A:$U,21,0),VLOOKUP(B301,TRAOPE!$A:$U,21,0)),"")</f>
        <v/>
      </c>
      <c r="R301" s="8">
        <f>IFERROR(IFERROR(VLOOKUP(A301,TRAOPE!$A:$W,23,0),VLOOKUP(B301,TRAOPE!$A:$W,23,0)),"")</f>
        <v/>
      </c>
      <c r="S301" s="10">
        <f>IF(AND(P301="TN",R301="TN"),N301+N(O301),IF(G301&amp;""="1",N(K301)*N301,(N301+N(O301))*N(K301)))</f>
        <v/>
      </c>
      <c r="T301" s="10">
        <f>IF(Q301="","",Q301-S301)</f>
        <v/>
      </c>
    </row>
    <row r="302">
      <c r="A302" s="7">
        <f>CONCATENATE(C302,E302,F302,I302)</f>
        <v/>
      </c>
      <c r="B302" s="7">
        <f>CONCATENATE(C302,E302,I302)</f>
        <v/>
      </c>
      <c r="C302" s="8" t="n">
        <v>900001074</v>
      </c>
      <c r="D302" s="7">
        <f>IFERROR(VLOOKUP(C302,TRAOPE!$G:$H,2,0),"")</f>
        <v/>
      </c>
      <c r="E302" s="8" t="inlineStr">
        <is>
          <t>D836</t>
        </is>
      </c>
      <c r="F302" s="8" t="inlineStr">
        <is>
          <t>66490957</t>
        </is>
      </c>
      <c r="G302" s="8">
        <f>IFERROR(VLOOKUP(A302,Flete!$A:$E,5,0),"")</f>
        <v/>
      </c>
      <c r="H302" s="7">
        <f>IFERROR(VLOOKUP(F302,TRAOPE!$AA:$AB,2,0),"")</f>
        <v/>
      </c>
      <c r="I302" s="7" t="n">
        <v>10000160</v>
      </c>
      <c r="J302" s="7">
        <f>IFERROR(VLOOKUP(I302,Materiales!$A:$H,8,0),"")</f>
        <v/>
      </c>
      <c r="K302" s="9">
        <f>IFERROR(VLOOKUP(I302,Materiales!$A:$G,7,0),"")</f>
        <v/>
      </c>
      <c r="L302" s="8" t="inlineStr">
        <is>
          <t>20190426</t>
        </is>
      </c>
      <c r="M302" s="8" t="inlineStr">
        <is>
          <t>20250127</t>
        </is>
      </c>
      <c r="N302" s="10" t="n">
        <v>87.15000000000001</v>
      </c>
      <c r="O302" s="10">
        <f>IFERROR(VLOOKUP(A302,Flete!$A:$J,10,0),"")</f>
        <v/>
      </c>
      <c r="P302" s="8" t="inlineStr">
        <is>
          <t>M3</t>
        </is>
      </c>
      <c r="Q302" s="10">
        <f>IFERROR(IFERROR(VLOOKUP(A302,TRAOPE!$A:$U,21,0),VLOOKUP(B302,TRAOPE!$A:$U,21,0)),"")</f>
        <v/>
      </c>
      <c r="R302" s="8">
        <f>IFERROR(IFERROR(VLOOKUP(A302,TRAOPE!$A:$W,23,0),VLOOKUP(B302,TRAOPE!$A:$W,23,0)),"")</f>
        <v/>
      </c>
      <c r="S302" s="10">
        <f>IF(AND(P302="TN",R302="TN"),N302+N(O302),IF(G302&amp;""="1",N(K302)*N302,(N302+N(O302))*N(K302)))</f>
        <v/>
      </c>
      <c r="T302" s="10">
        <f>IF(Q302="","",Q302-S302)</f>
        <v/>
      </c>
    </row>
    <row r="303">
      <c r="A303" s="7">
        <f>CONCATENATE(C303,E303,F303,I303)</f>
        <v/>
      </c>
      <c r="B303" s="7">
        <f>CONCATENATE(C303,E303,I303)</f>
        <v/>
      </c>
      <c r="C303" s="8" t="n">
        <v>900001074</v>
      </c>
      <c r="D303" s="7">
        <f>IFERROR(VLOOKUP(C303,TRAOPE!$G:$H,2,0),"")</f>
        <v/>
      </c>
      <c r="E303" s="8" t="inlineStr">
        <is>
          <t>D836</t>
        </is>
      </c>
      <c r="F303" s="8" t="inlineStr">
        <is>
          <t>66490957</t>
        </is>
      </c>
      <c r="G303" s="8">
        <f>IFERROR(VLOOKUP(A303,Flete!$A:$E,5,0),"")</f>
        <v/>
      </c>
      <c r="H303" s="7">
        <f>IFERROR(VLOOKUP(F303,TRAOPE!$AA:$AB,2,0),"")</f>
        <v/>
      </c>
      <c r="I303" s="7" t="n">
        <v>10000627</v>
      </c>
      <c r="J303" s="7">
        <f>IFERROR(VLOOKUP(I303,Materiales!$A:$H,8,0),"")</f>
        <v/>
      </c>
      <c r="K303" s="9">
        <f>IFERROR(VLOOKUP(I303,Materiales!$A:$G,7,0),"")</f>
        <v/>
      </c>
      <c r="L303" s="8" t="inlineStr">
        <is>
          <t>20190426</t>
        </is>
      </c>
      <c r="M303" s="8" t="inlineStr">
        <is>
          <t>20250127</t>
        </is>
      </c>
      <c r="N303" s="10" t="n">
        <v>85</v>
      </c>
      <c r="O303" s="10">
        <f>IFERROR(VLOOKUP(A303,Flete!$A:$J,10,0),"")</f>
        <v/>
      </c>
      <c r="P303" s="8" t="inlineStr">
        <is>
          <t>M3</t>
        </is>
      </c>
      <c r="Q303" s="10">
        <f>IFERROR(IFERROR(VLOOKUP(A303,TRAOPE!$A:$U,21,0),VLOOKUP(B303,TRAOPE!$A:$U,21,0)),"")</f>
        <v/>
      </c>
      <c r="R303" s="8">
        <f>IFERROR(IFERROR(VLOOKUP(A303,TRAOPE!$A:$W,23,0),VLOOKUP(B303,TRAOPE!$A:$W,23,0)),"")</f>
        <v/>
      </c>
      <c r="S303" s="10">
        <f>IF(AND(P303="TN",R303="TN"),N303+N(O303),IF(G303&amp;""="1",N(K303)*N303,(N303+N(O303))*N(K303)))</f>
        <v/>
      </c>
      <c r="T303" s="10">
        <f>IF(Q303="","",Q303-S303)</f>
        <v/>
      </c>
    </row>
    <row r="304">
      <c r="A304" s="7">
        <f>CONCATENATE(C304,E304,F304,I304)</f>
        <v/>
      </c>
      <c r="B304" s="7">
        <f>CONCATENATE(C304,E304,I304)</f>
        <v/>
      </c>
      <c r="C304" s="8" t="n">
        <v>900001074</v>
      </c>
      <c r="D304" s="7">
        <f>IFERROR(VLOOKUP(C304,TRAOPE!$G:$H,2,0),"")</f>
        <v/>
      </c>
      <c r="E304" s="8" t="inlineStr">
        <is>
          <t>D836</t>
        </is>
      </c>
      <c r="F304" s="8" t="inlineStr">
        <is>
          <t>66516656</t>
        </is>
      </c>
      <c r="G304" s="8">
        <f>IFERROR(VLOOKUP(A304,Flete!$A:$E,5,0),"")</f>
        <v/>
      </c>
      <c r="H304" s="7">
        <f>IFERROR(VLOOKUP(F304,TRAOPE!$AA:$AB,2,0),"")</f>
        <v/>
      </c>
      <c r="I304" s="7" t="n">
        <v>10000160</v>
      </c>
      <c r="J304" s="7">
        <f>IFERROR(VLOOKUP(I304,Materiales!$A:$H,8,0),"")</f>
        <v/>
      </c>
      <c r="K304" s="9">
        <f>IFERROR(VLOOKUP(I304,Materiales!$A:$G,7,0),"")</f>
        <v/>
      </c>
      <c r="L304" s="8" t="inlineStr">
        <is>
          <t>20190426</t>
        </is>
      </c>
      <c r="M304" s="8" t="inlineStr">
        <is>
          <t>20250127</t>
        </is>
      </c>
      <c r="N304" s="10" t="n">
        <v>88</v>
      </c>
      <c r="O304" s="10">
        <f>IFERROR(VLOOKUP(A304,Flete!$A:$J,10,0),"")</f>
        <v/>
      </c>
      <c r="P304" s="8" t="inlineStr">
        <is>
          <t>M3</t>
        </is>
      </c>
      <c r="Q304" s="10">
        <f>IFERROR(IFERROR(VLOOKUP(A304,TRAOPE!$A:$U,21,0),VLOOKUP(B304,TRAOPE!$A:$U,21,0)),"")</f>
        <v/>
      </c>
      <c r="R304" s="8">
        <f>IFERROR(IFERROR(VLOOKUP(A304,TRAOPE!$A:$W,23,0),VLOOKUP(B304,TRAOPE!$A:$W,23,0)),"")</f>
        <v/>
      </c>
      <c r="S304" s="10">
        <f>IF(AND(P304="TN",R304="TN"),N304+N(O304),IF(G304&amp;""="1",N(K304)*N304,(N304+N(O304))*N(K304)))</f>
        <v/>
      </c>
      <c r="T304" s="10">
        <f>IF(Q304="","",Q304-S304)</f>
        <v/>
      </c>
    </row>
    <row r="305">
      <c r="A305" s="7">
        <f>CONCATENATE(C305,E305,F305,I305)</f>
        <v/>
      </c>
      <c r="B305" s="7">
        <f>CONCATENATE(C305,E305,I305)</f>
        <v/>
      </c>
      <c r="C305" s="8" t="n">
        <v>900001074</v>
      </c>
      <c r="D305" s="7">
        <f>IFERROR(VLOOKUP(C305,TRAOPE!$G:$H,2,0),"")</f>
        <v/>
      </c>
      <c r="E305" s="8" t="inlineStr">
        <is>
          <t>D836</t>
        </is>
      </c>
      <c r="F305" s="8" t="inlineStr">
        <is>
          <t>66518013</t>
        </is>
      </c>
      <c r="G305" s="8">
        <f>IFERROR(VLOOKUP(A305,Flete!$A:$E,5,0),"")</f>
        <v/>
      </c>
      <c r="H305" s="7">
        <f>IFERROR(VLOOKUP(F305,TRAOPE!$AA:$AB,2,0),"")</f>
        <v/>
      </c>
      <c r="I305" s="7" t="n">
        <v>10000160</v>
      </c>
      <c r="J305" s="7">
        <f>IFERROR(VLOOKUP(I305,Materiales!$A:$H,8,0),"")</f>
        <v/>
      </c>
      <c r="K305" s="9">
        <f>IFERROR(VLOOKUP(I305,Materiales!$A:$G,7,0),"")</f>
        <v/>
      </c>
      <c r="L305" s="8" t="inlineStr">
        <is>
          <t>20190426</t>
        </is>
      </c>
      <c r="M305" s="8" t="inlineStr">
        <is>
          <t>20250127</t>
        </is>
      </c>
      <c r="N305" s="10" t="n">
        <v>87.15000000000001</v>
      </c>
      <c r="O305" s="10">
        <f>IFERROR(VLOOKUP(A305,Flete!$A:$J,10,0),"")</f>
        <v/>
      </c>
      <c r="P305" s="8" t="inlineStr">
        <is>
          <t>M3</t>
        </is>
      </c>
      <c r="Q305" s="10">
        <f>IFERROR(IFERROR(VLOOKUP(A305,TRAOPE!$A:$U,21,0),VLOOKUP(B305,TRAOPE!$A:$U,21,0)),"")</f>
        <v/>
      </c>
      <c r="R305" s="8">
        <f>IFERROR(IFERROR(VLOOKUP(A305,TRAOPE!$A:$W,23,0),VLOOKUP(B305,TRAOPE!$A:$W,23,0)),"")</f>
        <v/>
      </c>
      <c r="S305" s="10">
        <f>IF(AND(P305="TN",R305="TN"),N305+N(O305),IF(G305&amp;""="1",N(K305)*N305,(N305+N(O305))*N(K305)))</f>
        <v/>
      </c>
      <c r="T305" s="10">
        <f>IF(Q305="","",Q305-S305)</f>
        <v/>
      </c>
    </row>
    <row r="306">
      <c r="A306" s="7">
        <f>CONCATENATE(C306,E306,F306,I306)</f>
        <v/>
      </c>
      <c r="B306" s="7">
        <f>CONCATENATE(C306,E306,I306)</f>
        <v/>
      </c>
      <c r="C306" s="8" t="n">
        <v>900001074</v>
      </c>
      <c r="D306" s="7">
        <f>IFERROR(VLOOKUP(C306,TRAOPE!$G:$H,2,0),"")</f>
        <v/>
      </c>
      <c r="E306" s="8" t="inlineStr">
        <is>
          <t>D836</t>
        </is>
      </c>
      <c r="F306" s="8" t="inlineStr">
        <is>
          <t>66518013</t>
        </is>
      </c>
      <c r="G306" s="8">
        <f>IFERROR(VLOOKUP(A306,Flete!$A:$E,5,0),"")</f>
        <v/>
      </c>
      <c r="H306" s="7">
        <f>IFERROR(VLOOKUP(F306,TRAOPE!$AA:$AB,2,0),"")</f>
        <v/>
      </c>
      <c r="I306" s="7" t="n">
        <v>10000357</v>
      </c>
      <c r="J306" s="7">
        <f>IFERROR(VLOOKUP(I306,Materiales!$A:$H,8,0),"")</f>
        <v/>
      </c>
      <c r="K306" s="9">
        <f>IFERROR(VLOOKUP(I306,Materiales!$A:$G,7,0),"")</f>
        <v/>
      </c>
      <c r="L306" s="8" t="inlineStr">
        <is>
          <t>20190426</t>
        </is>
      </c>
      <c r="M306" s="8" t="inlineStr">
        <is>
          <t>20250127</t>
        </is>
      </c>
      <c r="N306" s="10" t="n">
        <v>100.8</v>
      </c>
      <c r="O306" s="10">
        <f>IFERROR(VLOOKUP(A306,Flete!$A:$J,10,0),"")</f>
        <v/>
      </c>
      <c r="P306" s="8" t="inlineStr">
        <is>
          <t>M3</t>
        </is>
      </c>
      <c r="Q306" s="10">
        <f>IFERROR(IFERROR(VLOOKUP(A306,TRAOPE!$A:$U,21,0),VLOOKUP(B306,TRAOPE!$A:$U,21,0)),"")</f>
        <v/>
      </c>
      <c r="R306" s="8">
        <f>IFERROR(IFERROR(VLOOKUP(A306,TRAOPE!$A:$W,23,0),VLOOKUP(B306,TRAOPE!$A:$W,23,0)),"")</f>
        <v/>
      </c>
      <c r="S306" s="10">
        <f>IF(AND(P306="TN",R306="TN"),N306+N(O306),IF(G306&amp;""="1",N(K306)*N306,(N306+N(O306))*N(K306)))</f>
        <v/>
      </c>
      <c r="T306" s="10">
        <f>IF(Q306="","",Q306-S306)</f>
        <v/>
      </c>
    </row>
    <row r="307">
      <c r="A307" s="7">
        <f>CONCATENATE(C307,E307,F307,I307)</f>
        <v/>
      </c>
      <c r="B307" s="7">
        <f>CONCATENATE(C307,E307,I307)</f>
        <v/>
      </c>
      <c r="C307" s="8" t="n">
        <v>900001074</v>
      </c>
      <c r="D307" s="7">
        <f>IFERROR(VLOOKUP(C307,TRAOPE!$G:$H,2,0),"")</f>
        <v/>
      </c>
      <c r="E307" s="8" t="inlineStr">
        <is>
          <t>D836</t>
        </is>
      </c>
      <c r="F307" s="8" t="inlineStr">
        <is>
          <t>66518013</t>
        </is>
      </c>
      <c r="G307" s="8">
        <f>IFERROR(VLOOKUP(A307,Flete!$A:$E,5,0),"")</f>
        <v/>
      </c>
      <c r="H307" s="7">
        <f>IFERROR(VLOOKUP(F307,TRAOPE!$AA:$AB,2,0),"")</f>
        <v/>
      </c>
      <c r="I307" s="7" t="n">
        <v>10000627</v>
      </c>
      <c r="J307" s="7">
        <f>IFERROR(VLOOKUP(I307,Materiales!$A:$H,8,0),"")</f>
        <v/>
      </c>
      <c r="K307" s="9">
        <f>IFERROR(VLOOKUP(I307,Materiales!$A:$G,7,0),"")</f>
        <v/>
      </c>
      <c r="L307" s="8" t="inlineStr">
        <is>
          <t>20190426</t>
        </is>
      </c>
      <c r="M307" s="8" t="inlineStr">
        <is>
          <t>20250127</t>
        </is>
      </c>
      <c r="N307" s="10" t="n">
        <v>88</v>
      </c>
      <c r="O307" s="10">
        <f>IFERROR(VLOOKUP(A307,Flete!$A:$J,10,0),"")</f>
        <v/>
      </c>
      <c r="P307" s="8" t="inlineStr">
        <is>
          <t>M3</t>
        </is>
      </c>
      <c r="Q307" s="10">
        <f>IFERROR(IFERROR(VLOOKUP(A307,TRAOPE!$A:$U,21,0),VLOOKUP(B307,TRAOPE!$A:$U,21,0)),"")</f>
        <v/>
      </c>
      <c r="R307" s="8">
        <f>IFERROR(IFERROR(VLOOKUP(A307,TRAOPE!$A:$W,23,0),VLOOKUP(B307,TRAOPE!$A:$W,23,0)),"")</f>
        <v/>
      </c>
      <c r="S307" s="10">
        <f>IF(AND(P307="TN",R307="TN"),N307+N(O307),IF(G307&amp;""="1",N(K307)*N307,(N307+N(O307))*N(K307)))</f>
        <v/>
      </c>
      <c r="T307" s="10">
        <f>IF(Q307="","",Q307-S307)</f>
        <v/>
      </c>
    </row>
    <row r="308">
      <c r="A308" s="7">
        <f>CONCATENATE(C308,E308,F308,I308)</f>
        <v/>
      </c>
      <c r="B308" s="7">
        <f>CONCATENATE(C308,E308,I308)</f>
        <v/>
      </c>
      <c r="C308" s="8" t="n">
        <v>900001074</v>
      </c>
      <c r="D308" s="7">
        <f>IFERROR(VLOOKUP(C308,TRAOPE!$G:$H,2,0),"")</f>
        <v/>
      </c>
      <c r="E308" s="8" t="inlineStr">
        <is>
          <t>D836</t>
        </is>
      </c>
      <c r="F308" s="8" t="inlineStr">
        <is>
          <t>66526341</t>
        </is>
      </c>
      <c r="G308" s="8">
        <f>IFERROR(VLOOKUP(A308,Flete!$A:$E,5,0),"")</f>
        <v/>
      </c>
      <c r="H308" s="7">
        <f>IFERROR(VLOOKUP(F308,TRAOPE!$AA:$AB,2,0),"")</f>
        <v/>
      </c>
      <c r="I308" s="7" t="n">
        <v>10000627</v>
      </c>
      <c r="J308" s="7">
        <f>IFERROR(VLOOKUP(I308,Materiales!$A:$H,8,0),"")</f>
        <v/>
      </c>
      <c r="K308" s="9">
        <f>IFERROR(VLOOKUP(I308,Materiales!$A:$G,7,0),"")</f>
        <v/>
      </c>
      <c r="L308" s="8" t="inlineStr">
        <is>
          <t>20190426</t>
        </is>
      </c>
      <c r="M308" s="8" t="inlineStr">
        <is>
          <t>20250127</t>
        </is>
      </c>
      <c r="N308" s="10" t="n">
        <v>95</v>
      </c>
      <c r="O308" s="10">
        <f>IFERROR(VLOOKUP(A308,Flete!$A:$J,10,0),"")</f>
        <v/>
      </c>
      <c r="P308" s="8" t="inlineStr">
        <is>
          <t>M3</t>
        </is>
      </c>
      <c r="Q308" s="10">
        <f>IFERROR(IFERROR(VLOOKUP(A308,TRAOPE!$A:$U,21,0),VLOOKUP(B308,TRAOPE!$A:$U,21,0)),"")</f>
        <v/>
      </c>
      <c r="R308" s="8">
        <f>IFERROR(IFERROR(VLOOKUP(A308,TRAOPE!$A:$W,23,0),VLOOKUP(B308,TRAOPE!$A:$W,23,0)),"")</f>
        <v/>
      </c>
      <c r="S308" s="10">
        <f>IF(AND(P308="TN",R308="TN"),N308+N(O308),IF(G308&amp;""="1",N(K308)*N308,(N308+N(O308))*N(K308)))</f>
        <v/>
      </c>
      <c r="T308" s="10">
        <f>IF(Q308="","",Q308-S308)</f>
        <v/>
      </c>
    </row>
    <row r="309">
      <c r="A309" s="7">
        <f>CONCATENATE(C309,E309,F309,I309)</f>
        <v/>
      </c>
      <c r="B309" s="7">
        <f>CONCATENATE(C309,E309,I309)</f>
        <v/>
      </c>
      <c r="C309" s="8" t="n">
        <v>900001074</v>
      </c>
      <c r="D309" s="7">
        <f>IFERROR(VLOOKUP(C309,TRAOPE!$G:$H,2,0),"")</f>
        <v/>
      </c>
      <c r="E309" s="8" t="inlineStr">
        <is>
          <t>D836</t>
        </is>
      </c>
      <c r="F309" s="8" t="inlineStr">
        <is>
          <t>66526341</t>
        </is>
      </c>
      <c r="G309" s="8">
        <f>IFERROR(VLOOKUP(A309,Flete!$A:$E,5,0),"")</f>
        <v/>
      </c>
      <c r="H309" s="7">
        <f>IFERROR(VLOOKUP(F309,TRAOPE!$AA:$AB,2,0),"")</f>
        <v/>
      </c>
      <c r="I309" s="7" t="n">
        <v>10155487</v>
      </c>
      <c r="J309" s="7">
        <f>IFERROR(VLOOKUP(I309,Materiales!$A:$H,8,0),"")</f>
        <v/>
      </c>
      <c r="K309" s="9">
        <f>IFERROR(VLOOKUP(I309,Materiales!$A:$G,7,0),"")</f>
        <v/>
      </c>
      <c r="L309" s="8" t="inlineStr">
        <is>
          <t>20190426</t>
        </is>
      </c>
      <c r="M309" s="8" t="inlineStr">
        <is>
          <t>20250127</t>
        </is>
      </c>
      <c r="N309" s="10" t="n">
        <v>150</v>
      </c>
      <c r="O309" s="10">
        <f>IFERROR(VLOOKUP(A309,Flete!$A:$J,10,0),"")</f>
        <v/>
      </c>
      <c r="P309" s="8" t="inlineStr">
        <is>
          <t>M3</t>
        </is>
      </c>
      <c r="Q309" s="10">
        <f>IFERROR(IFERROR(VLOOKUP(A309,TRAOPE!$A:$U,21,0),VLOOKUP(B309,TRAOPE!$A:$U,21,0)),"")</f>
        <v/>
      </c>
      <c r="R309" s="8">
        <f>IFERROR(IFERROR(VLOOKUP(A309,TRAOPE!$A:$W,23,0),VLOOKUP(B309,TRAOPE!$A:$W,23,0)),"")</f>
        <v/>
      </c>
      <c r="S309" s="10">
        <f>IF(AND(P309="TN",R309="TN"),N309+N(O309),IF(G309&amp;""="1",N(K309)*N309,(N309+N(O309))*N(K309)))</f>
        <v/>
      </c>
      <c r="T309" s="10">
        <f>IF(Q309="","",Q309-S309)</f>
        <v/>
      </c>
    </row>
    <row r="310">
      <c r="A310" s="7">
        <f>CONCATENATE(C310,E310,F310,I310)</f>
        <v/>
      </c>
      <c r="B310" s="7">
        <f>CONCATENATE(C310,E310,I310)</f>
        <v/>
      </c>
      <c r="C310" s="8" t="n">
        <v>900001074</v>
      </c>
      <c r="D310" s="7">
        <f>IFERROR(VLOOKUP(C310,TRAOPE!$G:$H,2,0),"")</f>
        <v/>
      </c>
      <c r="E310" s="8" t="inlineStr">
        <is>
          <t>D836</t>
        </is>
      </c>
      <c r="F310" s="8" t="inlineStr">
        <is>
          <t>66526343</t>
        </is>
      </c>
      <c r="G310" s="8">
        <f>IFERROR(VLOOKUP(A310,Flete!$A:$E,5,0),"")</f>
        <v/>
      </c>
      <c r="H310" s="7">
        <f>IFERROR(VLOOKUP(F310,TRAOPE!$AA:$AB,2,0),"")</f>
        <v/>
      </c>
      <c r="I310" s="7" t="n">
        <v>10000627</v>
      </c>
      <c r="J310" s="7">
        <f>IFERROR(VLOOKUP(I310,Materiales!$A:$H,8,0),"")</f>
        <v/>
      </c>
      <c r="K310" s="9">
        <f>IFERROR(VLOOKUP(I310,Materiales!$A:$G,7,0),"")</f>
        <v/>
      </c>
      <c r="L310" s="8" t="inlineStr">
        <is>
          <t>20190426</t>
        </is>
      </c>
      <c r="M310" s="8" t="inlineStr">
        <is>
          <t>20250127</t>
        </is>
      </c>
      <c r="N310" s="10" t="n">
        <v>95</v>
      </c>
      <c r="O310" s="10">
        <f>IFERROR(VLOOKUP(A310,Flete!$A:$J,10,0),"")</f>
        <v/>
      </c>
      <c r="P310" s="8" t="inlineStr">
        <is>
          <t>M3</t>
        </is>
      </c>
      <c r="Q310" s="10">
        <f>IFERROR(IFERROR(VLOOKUP(A310,TRAOPE!$A:$U,21,0),VLOOKUP(B310,TRAOPE!$A:$U,21,0)),"")</f>
        <v/>
      </c>
      <c r="R310" s="8">
        <f>IFERROR(IFERROR(VLOOKUP(A310,TRAOPE!$A:$W,23,0),VLOOKUP(B310,TRAOPE!$A:$W,23,0)),"")</f>
        <v/>
      </c>
      <c r="S310" s="10">
        <f>IF(AND(P310="TN",R310="TN"),N310+N(O310),IF(G310&amp;""="1",N(K310)*N310,(N310+N(O310))*N(K310)))</f>
        <v/>
      </c>
      <c r="T310" s="10">
        <f>IF(Q310="","",Q310-S310)</f>
        <v/>
      </c>
    </row>
    <row r="311">
      <c r="A311" s="7">
        <f>CONCATENATE(C311,E311,F311,I311)</f>
        <v/>
      </c>
      <c r="B311" s="7">
        <f>CONCATENATE(C311,E311,I311)</f>
        <v/>
      </c>
      <c r="C311" s="8" t="n">
        <v>900001074</v>
      </c>
      <c r="D311" s="7">
        <f>IFERROR(VLOOKUP(C311,TRAOPE!$G:$H,2,0),"")</f>
        <v/>
      </c>
      <c r="E311" s="8" t="inlineStr">
        <is>
          <t>D836</t>
        </is>
      </c>
      <c r="F311" s="8" t="inlineStr">
        <is>
          <t>66526343</t>
        </is>
      </c>
      <c r="G311" s="8">
        <f>IFERROR(VLOOKUP(A311,Flete!$A:$E,5,0),"")</f>
        <v/>
      </c>
      <c r="H311" s="7">
        <f>IFERROR(VLOOKUP(F311,TRAOPE!$AA:$AB,2,0),"")</f>
        <v/>
      </c>
      <c r="I311" s="7" t="n">
        <v>10155487</v>
      </c>
      <c r="J311" s="7">
        <f>IFERROR(VLOOKUP(I311,Materiales!$A:$H,8,0),"")</f>
        <v/>
      </c>
      <c r="K311" s="9">
        <f>IFERROR(VLOOKUP(I311,Materiales!$A:$G,7,0),"")</f>
        <v/>
      </c>
      <c r="L311" s="8" t="inlineStr">
        <is>
          <t>20190426</t>
        </is>
      </c>
      <c r="M311" s="8" t="inlineStr">
        <is>
          <t>20250127</t>
        </is>
      </c>
      <c r="N311" s="10" t="n">
        <v>150</v>
      </c>
      <c r="O311" s="10">
        <f>IFERROR(VLOOKUP(A311,Flete!$A:$J,10,0),"")</f>
        <v/>
      </c>
      <c r="P311" s="8" t="inlineStr">
        <is>
          <t>M3</t>
        </is>
      </c>
      <c r="Q311" s="10">
        <f>IFERROR(IFERROR(VLOOKUP(A311,TRAOPE!$A:$U,21,0),VLOOKUP(B311,TRAOPE!$A:$U,21,0)),"")</f>
        <v/>
      </c>
      <c r="R311" s="8">
        <f>IFERROR(IFERROR(VLOOKUP(A311,TRAOPE!$A:$W,23,0),VLOOKUP(B311,TRAOPE!$A:$W,23,0)),"")</f>
        <v/>
      </c>
      <c r="S311" s="10">
        <f>IF(AND(P311="TN",R311="TN"),N311+N(O311),IF(G311&amp;""="1",N(K311)*N311,(N311+N(O311))*N(K311)))</f>
        <v/>
      </c>
      <c r="T311" s="10">
        <f>IF(Q311="","",Q311-S311)</f>
        <v/>
      </c>
    </row>
    <row r="312">
      <c r="A312" s="7">
        <f>CONCATENATE(C312,E312,F312,I312)</f>
        <v/>
      </c>
      <c r="B312" s="7">
        <f>CONCATENATE(C312,E312,I312)</f>
        <v/>
      </c>
      <c r="C312" s="8" t="n">
        <v>900001074</v>
      </c>
      <c r="D312" s="7">
        <f>IFERROR(VLOOKUP(C312,TRAOPE!$G:$H,2,0),"")</f>
        <v/>
      </c>
      <c r="E312" s="8" t="inlineStr">
        <is>
          <t>D836</t>
        </is>
      </c>
      <c r="F312" s="8" t="inlineStr">
        <is>
          <t>66538213</t>
        </is>
      </c>
      <c r="G312" s="8">
        <f>IFERROR(VLOOKUP(A312,Flete!$A:$E,5,0),"")</f>
        <v/>
      </c>
      <c r="H312" s="7">
        <f>IFERROR(VLOOKUP(F312,TRAOPE!$AA:$AB,2,0),"")</f>
        <v/>
      </c>
      <c r="I312" s="7" t="n">
        <v>10000627</v>
      </c>
      <c r="J312" s="7">
        <f>IFERROR(VLOOKUP(I312,Materiales!$A:$H,8,0),"")</f>
        <v/>
      </c>
      <c r="K312" s="9">
        <f>IFERROR(VLOOKUP(I312,Materiales!$A:$G,7,0),"")</f>
        <v/>
      </c>
      <c r="L312" s="8" t="inlineStr">
        <is>
          <t>20190426</t>
        </is>
      </c>
      <c r="M312" s="8" t="inlineStr">
        <is>
          <t>20250127</t>
        </is>
      </c>
      <c r="N312" s="10" t="n">
        <v>95</v>
      </c>
      <c r="O312" s="10">
        <f>IFERROR(VLOOKUP(A312,Flete!$A:$J,10,0),"")</f>
        <v/>
      </c>
      <c r="P312" s="8" t="inlineStr">
        <is>
          <t>M3</t>
        </is>
      </c>
      <c r="Q312" s="10">
        <f>IFERROR(IFERROR(VLOOKUP(A312,TRAOPE!$A:$U,21,0),VLOOKUP(B312,TRAOPE!$A:$U,21,0)),"")</f>
        <v/>
      </c>
      <c r="R312" s="8">
        <f>IFERROR(IFERROR(VLOOKUP(A312,TRAOPE!$A:$W,23,0),VLOOKUP(B312,TRAOPE!$A:$W,23,0)),"")</f>
        <v/>
      </c>
      <c r="S312" s="10">
        <f>IF(AND(P312="TN",R312="TN"),N312+N(O312),IF(G312&amp;""="1",N(K312)*N312,(N312+N(O312))*N(K312)))</f>
        <v/>
      </c>
      <c r="T312" s="10">
        <f>IF(Q312="","",Q312-S312)</f>
        <v/>
      </c>
    </row>
    <row r="313">
      <c r="A313" s="7">
        <f>CONCATENATE(C313,E313,F313,I313)</f>
        <v/>
      </c>
      <c r="B313" s="7">
        <f>CONCATENATE(C313,E313,I313)</f>
        <v/>
      </c>
      <c r="C313" s="8" t="n">
        <v>900001074</v>
      </c>
      <c r="D313" s="7">
        <f>IFERROR(VLOOKUP(C313,TRAOPE!$G:$H,2,0),"")</f>
        <v/>
      </c>
      <c r="E313" s="8" t="inlineStr">
        <is>
          <t>D836</t>
        </is>
      </c>
      <c r="F313" s="8" t="inlineStr">
        <is>
          <t>66538213</t>
        </is>
      </c>
      <c r="G313" s="8">
        <f>IFERROR(VLOOKUP(A313,Flete!$A:$E,5,0),"")</f>
        <v/>
      </c>
      <c r="H313" s="7">
        <f>IFERROR(VLOOKUP(F313,TRAOPE!$AA:$AB,2,0),"")</f>
        <v/>
      </c>
      <c r="I313" s="7" t="n">
        <v>10155487</v>
      </c>
      <c r="J313" s="7">
        <f>IFERROR(VLOOKUP(I313,Materiales!$A:$H,8,0),"")</f>
        <v/>
      </c>
      <c r="K313" s="9">
        <f>IFERROR(VLOOKUP(I313,Materiales!$A:$G,7,0),"")</f>
        <v/>
      </c>
      <c r="L313" s="8" t="inlineStr">
        <is>
          <t>20190426</t>
        </is>
      </c>
      <c r="M313" s="8" t="inlineStr">
        <is>
          <t>20250127</t>
        </is>
      </c>
      <c r="N313" s="10" t="n">
        <v>150</v>
      </c>
      <c r="O313" s="10">
        <f>IFERROR(VLOOKUP(A313,Flete!$A:$J,10,0),"")</f>
        <v/>
      </c>
      <c r="P313" s="8" t="inlineStr">
        <is>
          <t>M3</t>
        </is>
      </c>
      <c r="Q313" s="10">
        <f>IFERROR(IFERROR(VLOOKUP(A313,TRAOPE!$A:$U,21,0),VLOOKUP(B313,TRAOPE!$A:$U,21,0)),"")</f>
        <v/>
      </c>
      <c r="R313" s="8">
        <f>IFERROR(IFERROR(VLOOKUP(A313,TRAOPE!$A:$W,23,0),VLOOKUP(B313,TRAOPE!$A:$W,23,0)),"")</f>
        <v/>
      </c>
      <c r="S313" s="10">
        <f>IF(AND(P313="TN",R313="TN"),N313+N(O313),IF(G313&amp;""="1",N(K313)*N313,(N313+N(O313))*N(K313)))</f>
        <v/>
      </c>
      <c r="T313" s="10">
        <f>IF(Q313="","",Q313-S313)</f>
        <v/>
      </c>
    </row>
    <row r="314">
      <c r="A314" s="7">
        <f>CONCATENATE(C314,E314,F314,I314)</f>
        <v/>
      </c>
      <c r="B314" s="7">
        <f>CONCATENATE(C314,E314,I314)</f>
        <v/>
      </c>
      <c r="C314" s="8" t="n">
        <v>900001074</v>
      </c>
      <c r="D314" s="7">
        <f>IFERROR(VLOOKUP(C314,TRAOPE!$G:$H,2,0),"")</f>
        <v/>
      </c>
      <c r="E314" s="8" t="inlineStr">
        <is>
          <t>D836</t>
        </is>
      </c>
      <c r="F314" s="8" t="inlineStr">
        <is>
          <t>66543921</t>
        </is>
      </c>
      <c r="G314" s="8">
        <f>IFERROR(VLOOKUP(A314,Flete!$A:$E,5,0),"")</f>
        <v/>
      </c>
      <c r="H314" s="7">
        <f>IFERROR(VLOOKUP(F314,TRAOPE!$AA:$AB,2,0),"")</f>
        <v/>
      </c>
      <c r="I314" s="7" t="n">
        <v>10000160</v>
      </c>
      <c r="J314" s="7">
        <f>IFERROR(VLOOKUP(I314,Materiales!$A:$H,8,0),"")</f>
        <v/>
      </c>
      <c r="K314" s="9">
        <f>IFERROR(VLOOKUP(I314,Materiales!$A:$G,7,0),"")</f>
        <v/>
      </c>
      <c r="L314" s="8" t="inlineStr">
        <is>
          <t>20190426</t>
        </is>
      </c>
      <c r="M314" s="8" t="inlineStr">
        <is>
          <t>20250127</t>
        </is>
      </c>
      <c r="N314" s="10" t="n">
        <v>83</v>
      </c>
      <c r="O314" s="10">
        <f>IFERROR(VLOOKUP(A314,Flete!$A:$J,10,0),"")</f>
        <v/>
      </c>
      <c r="P314" s="8" t="inlineStr">
        <is>
          <t>M3</t>
        </is>
      </c>
      <c r="Q314" s="10">
        <f>IFERROR(IFERROR(VLOOKUP(A314,TRAOPE!$A:$U,21,0),VLOOKUP(B314,TRAOPE!$A:$U,21,0)),"")</f>
        <v/>
      </c>
      <c r="R314" s="8">
        <f>IFERROR(IFERROR(VLOOKUP(A314,TRAOPE!$A:$W,23,0),VLOOKUP(B314,TRAOPE!$A:$W,23,0)),"")</f>
        <v/>
      </c>
      <c r="S314" s="10">
        <f>IF(AND(P314="TN",R314="TN"),N314+N(O314),IF(G314&amp;""="1",N(K314)*N314,(N314+N(O314))*N(K314)))</f>
        <v/>
      </c>
      <c r="T314" s="10">
        <f>IF(Q314="","",Q314-S314)</f>
        <v/>
      </c>
    </row>
    <row r="315">
      <c r="A315" s="7">
        <f>CONCATENATE(C315,E315,F315,I315)</f>
        <v/>
      </c>
      <c r="B315" s="7">
        <f>CONCATENATE(C315,E315,I315)</f>
        <v/>
      </c>
      <c r="C315" s="8" t="n">
        <v>900001074</v>
      </c>
      <c r="D315" s="7">
        <f>IFERROR(VLOOKUP(C315,TRAOPE!$G:$H,2,0),"")</f>
        <v/>
      </c>
      <c r="E315" s="8" t="inlineStr">
        <is>
          <t>D836</t>
        </is>
      </c>
      <c r="F315" s="8" t="inlineStr">
        <is>
          <t>66543921</t>
        </is>
      </c>
      <c r="G315" s="8">
        <f>IFERROR(VLOOKUP(A315,Flete!$A:$E,5,0),"")</f>
        <v/>
      </c>
      <c r="H315" s="7">
        <f>IFERROR(VLOOKUP(F315,TRAOPE!$AA:$AB,2,0),"")</f>
        <v/>
      </c>
      <c r="I315" s="7" t="n">
        <v>10000357</v>
      </c>
      <c r="J315" s="7">
        <f>IFERROR(VLOOKUP(I315,Materiales!$A:$H,8,0),"")</f>
        <v/>
      </c>
      <c r="K315" s="9">
        <f>IFERROR(VLOOKUP(I315,Materiales!$A:$G,7,0),"")</f>
        <v/>
      </c>
      <c r="L315" s="8" t="inlineStr">
        <is>
          <t>20190426</t>
        </is>
      </c>
      <c r="M315" s="8" t="inlineStr">
        <is>
          <t>20250127</t>
        </is>
      </c>
      <c r="N315" s="10" t="n">
        <v>95</v>
      </c>
      <c r="O315" s="10">
        <f>IFERROR(VLOOKUP(A315,Flete!$A:$J,10,0),"")</f>
        <v/>
      </c>
      <c r="P315" s="8" t="inlineStr">
        <is>
          <t>M3</t>
        </is>
      </c>
      <c r="Q315" s="10">
        <f>IFERROR(IFERROR(VLOOKUP(A315,TRAOPE!$A:$U,21,0),VLOOKUP(B315,TRAOPE!$A:$U,21,0)),"")</f>
        <v/>
      </c>
      <c r="R315" s="8">
        <f>IFERROR(IFERROR(VLOOKUP(A315,TRAOPE!$A:$W,23,0),VLOOKUP(B315,TRAOPE!$A:$W,23,0)),"")</f>
        <v/>
      </c>
      <c r="S315" s="10">
        <f>IF(AND(P315="TN",R315="TN"),N315+N(O315),IF(G315&amp;""="1",N(K315)*N315,(N315+N(O315))*N(K315)))</f>
        <v/>
      </c>
      <c r="T315" s="10">
        <f>IF(Q315="","",Q315-S315)</f>
        <v/>
      </c>
    </row>
    <row r="316">
      <c r="A316" s="7">
        <f>CONCATENATE(C316,E316,F316,I316)</f>
        <v/>
      </c>
      <c r="B316" s="7">
        <f>CONCATENATE(C316,E316,I316)</f>
        <v/>
      </c>
      <c r="C316" s="8" t="n">
        <v>900001074</v>
      </c>
      <c r="D316" s="7">
        <f>IFERROR(VLOOKUP(C316,TRAOPE!$G:$H,2,0),"")</f>
        <v/>
      </c>
      <c r="E316" s="8" t="inlineStr">
        <is>
          <t>D836</t>
        </is>
      </c>
      <c r="F316" s="8" t="inlineStr">
        <is>
          <t>66543921</t>
        </is>
      </c>
      <c r="G316" s="8">
        <f>IFERROR(VLOOKUP(A316,Flete!$A:$E,5,0),"")</f>
        <v/>
      </c>
      <c r="H316" s="7">
        <f>IFERROR(VLOOKUP(F316,TRAOPE!$AA:$AB,2,0),"")</f>
        <v/>
      </c>
      <c r="I316" s="7" t="n">
        <v>10000627</v>
      </c>
      <c r="J316" s="7">
        <f>IFERROR(VLOOKUP(I316,Materiales!$A:$H,8,0),"")</f>
        <v/>
      </c>
      <c r="K316" s="9">
        <f>IFERROR(VLOOKUP(I316,Materiales!$A:$G,7,0),"")</f>
        <v/>
      </c>
      <c r="L316" s="8" t="inlineStr">
        <is>
          <t>20190426</t>
        </is>
      </c>
      <c r="M316" s="8" t="inlineStr">
        <is>
          <t>20250127</t>
        </is>
      </c>
      <c r="N316" s="10" t="n">
        <v>88</v>
      </c>
      <c r="O316" s="10">
        <f>IFERROR(VLOOKUP(A316,Flete!$A:$J,10,0),"")</f>
        <v/>
      </c>
      <c r="P316" s="8" t="inlineStr">
        <is>
          <t>M3</t>
        </is>
      </c>
      <c r="Q316" s="10">
        <f>IFERROR(IFERROR(VLOOKUP(A316,TRAOPE!$A:$U,21,0),VLOOKUP(B316,TRAOPE!$A:$U,21,0)),"")</f>
        <v/>
      </c>
      <c r="R316" s="8">
        <f>IFERROR(IFERROR(VLOOKUP(A316,TRAOPE!$A:$W,23,0),VLOOKUP(B316,TRAOPE!$A:$W,23,0)),"")</f>
        <v/>
      </c>
      <c r="S316" s="10">
        <f>IF(AND(P316="TN",R316="TN"),N316+N(O316),IF(G316&amp;""="1",N(K316)*N316,(N316+N(O316))*N(K316)))</f>
        <v/>
      </c>
      <c r="T316" s="10">
        <f>IF(Q316="","",Q316-S316)</f>
        <v/>
      </c>
    </row>
    <row r="317">
      <c r="A317" s="7">
        <f>CONCATENATE(C317,E317,F317,I317)</f>
        <v/>
      </c>
      <c r="B317" s="7">
        <f>CONCATENATE(C317,E317,I317)</f>
        <v/>
      </c>
      <c r="C317" s="8" t="n">
        <v>900001074</v>
      </c>
      <c r="D317" s="7">
        <f>IFERROR(VLOOKUP(C317,TRAOPE!$G:$H,2,0),"")</f>
        <v/>
      </c>
      <c r="E317" s="8" t="inlineStr">
        <is>
          <t>D836</t>
        </is>
      </c>
      <c r="F317" s="8" t="inlineStr">
        <is>
          <t>66550843</t>
        </is>
      </c>
      <c r="G317" s="8">
        <f>IFERROR(VLOOKUP(A317,Flete!$A:$E,5,0),"")</f>
        <v/>
      </c>
      <c r="H317" s="7">
        <f>IFERROR(VLOOKUP(F317,TRAOPE!$AA:$AB,2,0),"")</f>
        <v/>
      </c>
      <c r="I317" s="7" t="n">
        <v>10000160</v>
      </c>
      <c r="J317" s="7">
        <f>IFERROR(VLOOKUP(I317,Materiales!$A:$H,8,0),"")</f>
        <v/>
      </c>
      <c r="K317" s="9">
        <f>IFERROR(VLOOKUP(I317,Materiales!$A:$G,7,0),"")</f>
        <v/>
      </c>
      <c r="L317" s="8" t="inlineStr">
        <is>
          <t>20190426</t>
        </is>
      </c>
      <c r="M317" s="8" t="inlineStr">
        <is>
          <t>20250127</t>
        </is>
      </c>
      <c r="N317" s="10" t="n">
        <v>88</v>
      </c>
      <c r="O317" s="10">
        <f>IFERROR(VLOOKUP(A317,Flete!$A:$J,10,0),"")</f>
        <v/>
      </c>
      <c r="P317" s="8" t="inlineStr">
        <is>
          <t>M3</t>
        </is>
      </c>
      <c r="Q317" s="10">
        <f>IFERROR(IFERROR(VLOOKUP(A317,TRAOPE!$A:$U,21,0),VLOOKUP(B317,TRAOPE!$A:$U,21,0)),"")</f>
        <v/>
      </c>
      <c r="R317" s="8">
        <f>IFERROR(IFERROR(VLOOKUP(A317,TRAOPE!$A:$W,23,0),VLOOKUP(B317,TRAOPE!$A:$W,23,0)),"")</f>
        <v/>
      </c>
      <c r="S317" s="10">
        <f>IF(AND(P317="TN",R317="TN"),N317+N(O317),IF(G317&amp;""="1",N(K317)*N317,(N317+N(O317))*N(K317)))</f>
        <v/>
      </c>
      <c r="T317" s="10">
        <f>IF(Q317="","",Q317-S317)</f>
        <v/>
      </c>
    </row>
    <row r="318">
      <c r="A318" s="7">
        <f>CONCATENATE(C318,E318,F318,I318)</f>
        <v/>
      </c>
      <c r="B318" s="7">
        <f>CONCATENATE(C318,E318,I318)</f>
        <v/>
      </c>
      <c r="C318" s="8" t="n">
        <v>900001074</v>
      </c>
      <c r="D318" s="7">
        <f>IFERROR(VLOOKUP(C318,TRAOPE!$G:$H,2,0),"")</f>
        <v/>
      </c>
      <c r="E318" s="8" t="inlineStr">
        <is>
          <t>D836</t>
        </is>
      </c>
      <c r="F318" s="8" t="inlineStr">
        <is>
          <t>66550843</t>
        </is>
      </c>
      <c r="G318" s="8">
        <f>IFERROR(VLOOKUP(A318,Flete!$A:$E,5,0),"")</f>
        <v/>
      </c>
      <c r="H318" s="7">
        <f>IFERROR(VLOOKUP(F318,TRAOPE!$AA:$AB,2,0),"")</f>
        <v/>
      </c>
      <c r="I318" s="7" t="n">
        <v>10000357</v>
      </c>
      <c r="J318" s="7">
        <f>IFERROR(VLOOKUP(I318,Materiales!$A:$H,8,0),"")</f>
        <v/>
      </c>
      <c r="K318" s="9">
        <f>IFERROR(VLOOKUP(I318,Materiales!$A:$G,7,0),"")</f>
        <v/>
      </c>
      <c r="L318" s="8" t="inlineStr">
        <is>
          <t>20190426</t>
        </is>
      </c>
      <c r="M318" s="8" t="inlineStr">
        <is>
          <t>20250127</t>
        </is>
      </c>
      <c r="N318" s="10" t="n">
        <v>100</v>
      </c>
      <c r="O318" s="10">
        <f>IFERROR(VLOOKUP(A318,Flete!$A:$J,10,0),"")</f>
        <v/>
      </c>
      <c r="P318" s="8" t="inlineStr">
        <is>
          <t>M3</t>
        </is>
      </c>
      <c r="Q318" s="10">
        <f>IFERROR(IFERROR(VLOOKUP(A318,TRAOPE!$A:$U,21,0),VLOOKUP(B318,TRAOPE!$A:$U,21,0)),"")</f>
        <v/>
      </c>
      <c r="R318" s="8">
        <f>IFERROR(IFERROR(VLOOKUP(A318,TRAOPE!$A:$W,23,0),VLOOKUP(B318,TRAOPE!$A:$W,23,0)),"")</f>
        <v/>
      </c>
      <c r="S318" s="10">
        <f>IF(AND(P318="TN",R318="TN"),N318+N(O318),IF(G318&amp;""="1",N(K318)*N318,(N318+N(O318))*N(K318)))</f>
        <v/>
      </c>
      <c r="T318" s="10">
        <f>IF(Q318="","",Q318-S318)</f>
        <v/>
      </c>
    </row>
    <row r="319">
      <c r="A319" s="7">
        <f>CONCATENATE(C319,E319,F319,I319)</f>
        <v/>
      </c>
      <c r="B319" s="7">
        <f>CONCATENATE(C319,E319,I319)</f>
        <v/>
      </c>
      <c r="C319" s="8" t="n">
        <v>900001074</v>
      </c>
      <c r="D319" s="7">
        <f>IFERROR(VLOOKUP(C319,TRAOPE!$G:$H,2,0),"")</f>
        <v/>
      </c>
      <c r="E319" s="8" t="inlineStr">
        <is>
          <t>D836</t>
        </is>
      </c>
      <c r="F319" s="8" t="inlineStr">
        <is>
          <t>66553548</t>
        </is>
      </c>
      <c r="G319" s="8">
        <f>IFERROR(VLOOKUP(A319,Flete!$A:$E,5,0),"")</f>
        <v/>
      </c>
      <c r="H319" s="7">
        <f>IFERROR(VLOOKUP(F319,TRAOPE!$AA:$AB,2,0),"")</f>
        <v/>
      </c>
      <c r="I319" s="7" t="n">
        <v>10000160</v>
      </c>
      <c r="J319" s="7">
        <f>IFERROR(VLOOKUP(I319,Materiales!$A:$H,8,0),"")</f>
        <v/>
      </c>
      <c r="K319" s="9">
        <f>IFERROR(VLOOKUP(I319,Materiales!$A:$G,7,0),"")</f>
        <v/>
      </c>
      <c r="L319" s="8" t="inlineStr">
        <is>
          <t>20190426</t>
        </is>
      </c>
      <c r="M319" s="8" t="inlineStr">
        <is>
          <t>20250127</t>
        </is>
      </c>
      <c r="N319" s="10" t="n">
        <v>90</v>
      </c>
      <c r="O319" s="10">
        <f>IFERROR(VLOOKUP(A319,Flete!$A:$J,10,0),"")</f>
        <v/>
      </c>
      <c r="P319" s="8" t="inlineStr">
        <is>
          <t>M3</t>
        </is>
      </c>
      <c r="Q319" s="10">
        <f>IFERROR(IFERROR(VLOOKUP(A319,TRAOPE!$A:$U,21,0),VLOOKUP(B319,TRAOPE!$A:$U,21,0)),"")</f>
        <v/>
      </c>
      <c r="R319" s="8">
        <f>IFERROR(IFERROR(VLOOKUP(A319,TRAOPE!$A:$W,23,0),VLOOKUP(B319,TRAOPE!$A:$W,23,0)),"")</f>
        <v/>
      </c>
      <c r="S319" s="10">
        <f>IF(AND(P319="TN",R319="TN"),N319+N(O319),IF(G319&amp;""="1",N(K319)*N319,(N319+N(O319))*N(K319)))</f>
        <v/>
      </c>
      <c r="T319" s="10">
        <f>IF(Q319="","",Q319-S319)</f>
        <v/>
      </c>
    </row>
    <row r="320">
      <c r="A320" s="7">
        <f>CONCATENATE(C320,E320,F320,I320)</f>
        <v/>
      </c>
      <c r="B320" s="7">
        <f>CONCATENATE(C320,E320,I320)</f>
        <v/>
      </c>
      <c r="C320" s="8" t="n">
        <v>900001074</v>
      </c>
      <c r="D320" s="7">
        <f>IFERROR(VLOOKUP(C320,TRAOPE!$G:$H,2,0),"")</f>
        <v/>
      </c>
      <c r="E320" s="8" t="inlineStr">
        <is>
          <t>D836</t>
        </is>
      </c>
      <c r="F320" s="8" t="inlineStr">
        <is>
          <t>66553548</t>
        </is>
      </c>
      <c r="G320" s="8">
        <f>IFERROR(VLOOKUP(A320,Flete!$A:$E,5,0),"")</f>
        <v/>
      </c>
      <c r="H320" s="7">
        <f>IFERROR(VLOOKUP(F320,TRAOPE!$AA:$AB,2,0),"")</f>
        <v/>
      </c>
      <c r="I320" s="7" t="n">
        <v>10000357</v>
      </c>
      <c r="J320" s="7">
        <f>IFERROR(VLOOKUP(I320,Materiales!$A:$H,8,0),"")</f>
        <v/>
      </c>
      <c r="K320" s="9">
        <f>IFERROR(VLOOKUP(I320,Materiales!$A:$G,7,0),"")</f>
        <v/>
      </c>
      <c r="L320" s="8" t="inlineStr">
        <is>
          <t>20190426</t>
        </is>
      </c>
      <c r="M320" s="8" t="inlineStr">
        <is>
          <t>20250127</t>
        </is>
      </c>
      <c r="N320" s="10" t="n">
        <v>100</v>
      </c>
      <c r="O320" s="10">
        <f>IFERROR(VLOOKUP(A320,Flete!$A:$J,10,0),"")</f>
        <v/>
      </c>
      <c r="P320" s="8" t="inlineStr">
        <is>
          <t>M3</t>
        </is>
      </c>
      <c r="Q320" s="10">
        <f>IFERROR(IFERROR(VLOOKUP(A320,TRAOPE!$A:$U,21,0),VLOOKUP(B320,TRAOPE!$A:$U,21,0)),"")</f>
        <v/>
      </c>
      <c r="R320" s="8">
        <f>IFERROR(IFERROR(VLOOKUP(A320,TRAOPE!$A:$W,23,0),VLOOKUP(B320,TRAOPE!$A:$W,23,0)),"")</f>
        <v/>
      </c>
      <c r="S320" s="10">
        <f>IF(AND(P320="TN",R320="TN"),N320+N(O320),IF(G320&amp;""="1",N(K320)*N320,(N320+N(O320))*N(K320)))</f>
        <v/>
      </c>
      <c r="T320" s="10">
        <f>IF(Q320="","",Q320-S320)</f>
        <v/>
      </c>
    </row>
    <row r="321">
      <c r="A321" s="7">
        <f>CONCATENATE(C321,E321,F321,I321)</f>
        <v/>
      </c>
      <c r="B321" s="7">
        <f>CONCATENATE(C321,E321,I321)</f>
        <v/>
      </c>
      <c r="C321" s="8" t="n">
        <v>900001074</v>
      </c>
      <c r="D321" s="7">
        <f>IFERROR(VLOOKUP(C321,TRAOPE!$G:$H,2,0),"")</f>
        <v/>
      </c>
      <c r="E321" s="8" t="inlineStr">
        <is>
          <t>D836</t>
        </is>
      </c>
      <c r="F321" s="8" t="inlineStr">
        <is>
          <t>66555135</t>
        </is>
      </c>
      <c r="G321" s="8">
        <f>IFERROR(VLOOKUP(A321,Flete!$A:$E,5,0),"")</f>
        <v/>
      </c>
      <c r="H321" s="7">
        <f>IFERROR(VLOOKUP(F321,TRAOPE!$AA:$AB,2,0),"")</f>
        <v/>
      </c>
      <c r="I321" s="7" t="n">
        <v>10000160</v>
      </c>
      <c r="J321" s="7">
        <f>IFERROR(VLOOKUP(I321,Materiales!$A:$H,8,0),"")</f>
        <v/>
      </c>
      <c r="K321" s="9">
        <f>IFERROR(VLOOKUP(I321,Materiales!$A:$G,7,0),"")</f>
        <v/>
      </c>
      <c r="L321" s="8" t="inlineStr">
        <is>
          <t>20190426</t>
        </is>
      </c>
      <c r="M321" s="8" t="inlineStr">
        <is>
          <t>20250127</t>
        </is>
      </c>
      <c r="N321" s="10" t="n">
        <v>88</v>
      </c>
      <c r="O321" s="10">
        <f>IFERROR(VLOOKUP(A321,Flete!$A:$J,10,0),"")</f>
        <v/>
      </c>
      <c r="P321" s="8" t="inlineStr">
        <is>
          <t>M3</t>
        </is>
      </c>
      <c r="Q321" s="10">
        <f>IFERROR(IFERROR(VLOOKUP(A321,TRAOPE!$A:$U,21,0),VLOOKUP(B321,TRAOPE!$A:$U,21,0)),"")</f>
        <v/>
      </c>
      <c r="R321" s="8">
        <f>IFERROR(IFERROR(VLOOKUP(A321,TRAOPE!$A:$W,23,0),VLOOKUP(B321,TRAOPE!$A:$W,23,0)),"")</f>
        <v/>
      </c>
      <c r="S321" s="10">
        <f>IF(AND(P321="TN",R321="TN"),N321+N(O321),IF(G321&amp;""="1",N(K321)*N321,(N321+N(O321))*N(K321)))</f>
        <v/>
      </c>
      <c r="T321" s="10">
        <f>IF(Q321="","",Q321-S321)</f>
        <v/>
      </c>
    </row>
    <row r="322">
      <c r="A322" s="7">
        <f>CONCATENATE(C322,E322,F322,I322)</f>
        <v/>
      </c>
      <c r="B322" s="7">
        <f>CONCATENATE(C322,E322,I322)</f>
        <v/>
      </c>
      <c r="C322" s="8" t="n">
        <v>900001074</v>
      </c>
      <c r="D322" s="7">
        <f>IFERROR(VLOOKUP(C322,TRAOPE!$G:$H,2,0),"")</f>
        <v/>
      </c>
      <c r="E322" s="8" t="inlineStr">
        <is>
          <t>D836</t>
        </is>
      </c>
      <c r="F322" s="8" t="inlineStr">
        <is>
          <t>66555135</t>
        </is>
      </c>
      <c r="G322" s="8">
        <f>IFERROR(VLOOKUP(A322,Flete!$A:$E,5,0),"")</f>
        <v/>
      </c>
      <c r="H322" s="7">
        <f>IFERROR(VLOOKUP(F322,TRAOPE!$AA:$AB,2,0),"")</f>
        <v/>
      </c>
      <c r="I322" s="7" t="n">
        <v>10000357</v>
      </c>
      <c r="J322" s="7">
        <f>IFERROR(VLOOKUP(I322,Materiales!$A:$H,8,0),"")</f>
        <v/>
      </c>
      <c r="K322" s="9">
        <f>IFERROR(VLOOKUP(I322,Materiales!$A:$G,7,0),"")</f>
        <v/>
      </c>
      <c r="L322" s="8" t="inlineStr">
        <is>
          <t>20190426</t>
        </is>
      </c>
      <c r="M322" s="8" t="inlineStr">
        <is>
          <t>20250127</t>
        </is>
      </c>
      <c r="N322" s="10" t="n">
        <v>100</v>
      </c>
      <c r="O322" s="10">
        <f>IFERROR(VLOOKUP(A322,Flete!$A:$J,10,0),"")</f>
        <v/>
      </c>
      <c r="P322" s="8" t="inlineStr">
        <is>
          <t>M3</t>
        </is>
      </c>
      <c r="Q322" s="10">
        <f>IFERROR(IFERROR(VLOOKUP(A322,TRAOPE!$A:$U,21,0),VLOOKUP(B322,TRAOPE!$A:$U,21,0)),"")</f>
        <v/>
      </c>
      <c r="R322" s="8">
        <f>IFERROR(IFERROR(VLOOKUP(A322,TRAOPE!$A:$W,23,0),VLOOKUP(B322,TRAOPE!$A:$W,23,0)),"")</f>
        <v/>
      </c>
      <c r="S322" s="10">
        <f>IF(AND(P322="TN",R322="TN"),N322+N(O322),IF(G322&amp;""="1",N(K322)*N322,(N322+N(O322))*N(K322)))</f>
        <v/>
      </c>
      <c r="T322" s="10">
        <f>IF(Q322="","",Q322-S322)</f>
        <v/>
      </c>
    </row>
    <row r="323">
      <c r="A323" s="7">
        <f>CONCATENATE(C323,E323,F323,I323)</f>
        <v/>
      </c>
      <c r="B323" s="7">
        <f>CONCATENATE(C323,E323,I323)</f>
        <v/>
      </c>
      <c r="C323" s="8" t="n">
        <v>900001074</v>
      </c>
      <c r="D323" s="7">
        <f>IFERROR(VLOOKUP(C323,TRAOPE!$G:$H,2,0),"")</f>
        <v/>
      </c>
      <c r="E323" s="8" t="inlineStr">
        <is>
          <t>D836</t>
        </is>
      </c>
      <c r="F323" s="8" t="inlineStr">
        <is>
          <t>66573526</t>
        </is>
      </c>
      <c r="G323" s="8">
        <f>IFERROR(VLOOKUP(A323,Flete!$A:$E,5,0),"")</f>
        <v/>
      </c>
      <c r="H323" s="7">
        <f>IFERROR(VLOOKUP(F323,TRAOPE!$AA:$AB,2,0),"")</f>
        <v/>
      </c>
      <c r="I323" s="7" t="n">
        <v>10000160</v>
      </c>
      <c r="J323" s="7">
        <f>IFERROR(VLOOKUP(I323,Materiales!$A:$H,8,0),"")</f>
        <v/>
      </c>
      <c r="K323" s="9">
        <f>IFERROR(VLOOKUP(I323,Materiales!$A:$G,7,0),"")</f>
        <v/>
      </c>
      <c r="L323" s="8" t="inlineStr">
        <is>
          <t>20190426</t>
        </is>
      </c>
      <c r="M323" s="8" t="inlineStr">
        <is>
          <t>20250127</t>
        </is>
      </c>
      <c r="N323" s="10" t="n">
        <v>81.5</v>
      </c>
      <c r="O323" s="10">
        <f>IFERROR(VLOOKUP(A323,Flete!$A:$J,10,0),"")</f>
        <v/>
      </c>
      <c r="P323" s="8" t="inlineStr">
        <is>
          <t>M3</t>
        </is>
      </c>
      <c r="Q323" s="10">
        <f>IFERROR(IFERROR(VLOOKUP(A323,TRAOPE!$A:$U,21,0),VLOOKUP(B323,TRAOPE!$A:$U,21,0)),"")</f>
        <v/>
      </c>
      <c r="R323" s="8">
        <f>IFERROR(IFERROR(VLOOKUP(A323,TRAOPE!$A:$W,23,0),VLOOKUP(B323,TRAOPE!$A:$W,23,0)),"")</f>
        <v/>
      </c>
      <c r="S323" s="10">
        <f>IF(AND(P323="TN",R323="TN"),N323+N(O323),IF(G323&amp;""="1",N(K323)*N323,(N323+N(O323))*N(K323)))</f>
        <v/>
      </c>
      <c r="T323" s="10">
        <f>IF(Q323="","",Q323-S323)</f>
        <v/>
      </c>
    </row>
    <row r="324">
      <c r="A324" s="7">
        <f>CONCATENATE(C324,E324,F324,I324)</f>
        <v/>
      </c>
      <c r="B324" s="7">
        <f>CONCATENATE(C324,E324,I324)</f>
        <v/>
      </c>
      <c r="C324" s="8" t="n">
        <v>900001074</v>
      </c>
      <c r="D324" s="7">
        <f>IFERROR(VLOOKUP(C324,TRAOPE!$G:$H,2,0),"")</f>
        <v/>
      </c>
      <c r="E324" s="8" t="inlineStr">
        <is>
          <t>D836</t>
        </is>
      </c>
      <c r="F324" s="8" t="inlineStr">
        <is>
          <t>66573526</t>
        </is>
      </c>
      <c r="G324" s="8">
        <f>IFERROR(VLOOKUP(A324,Flete!$A:$E,5,0),"")</f>
        <v/>
      </c>
      <c r="H324" s="7">
        <f>IFERROR(VLOOKUP(F324,TRAOPE!$AA:$AB,2,0),"")</f>
        <v/>
      </c>
      <c r="I324" s="7" t="n">
        <v>10000357</v>
      </c>
      <c r="J324" s="7">
        <f>IFERROR(VLOOKUP(I324,Materiales!$A:$H,8,0),"")</f>
        <v/>
      </c>
      <c r="K324" s="9">
        <f>IFERROR(VLOOKUP(I324,Materiales!$A:$G,7,0),"")</f>
        <v/>
      </c>
      <c r="L324" s="8" t="inlineStr">
        <is>
          <t>20190426</t>
        </is>
      </c>
      <c r="M324" s="8" t="inlineStr">
        <is>
          <t>20250127</t>
        </is>
      </c>
      <c r="N324" s="10" t="n">
        <v>95</v>
      </c>
      <c r="O324" s="10">
        <f>IFERROR(VLOOKUP(A324,Flete!$A:$J,10,0),"")</f>
        <v/>
      </c>
      <c r="P324" s="8" t="inlineStr">
        <is>
          <t>M3</t>
        </is>
      </c>
      <c r="Q324" s="10">
        <f>IFERROR(IFERROR(VLOOKUP(A324,TRAOPE!$A:$U,21,0),VLOOKUP(B324,TRAOPE!$A:$U,21,0)),"")</f>
        <v/>
      </c>
      <c r="R324" s="8">
        <f>IFERROR(IFERROR(VLOOKUP(A324,TRAOPE!$A:$W,23,0),VLOOKUP(B324,TRAOPE!$A:$W,23,0)),"")</f>
        <v/>
      </c>
      <c r="S324" s="10">
        <f>IF(AND(P324="TN",R324="TN"),N324+N(O324),IF(G324&amp;""="1",N(K324)*N324,(N324+N(O324))*N(K324)))</f>
        <v/>
      </c>
      <c r="T324" s="10">
        <f>IF(Q324="","",Q324-S324)</f>
        <v/>
      </c>
    </row>
    <row r="325">
      <c r="A325" s="7">
        <f>CONCATENATE(C325,E325,F325,I325)</f>
        <v/>
      </c>
      <c r="B325" s="7">
        <f>CONCATENATE(C325,E325,I325)</f>
        <v/>
      </c>
      <c r="C325" s="8" t="n">
        <v>900001074</v>
      </c>
      <c r="D325" s="7">
        <f>IFERROR(VLOOKUP(C325,TRAOPE!$G:$H,2,0),"")</f>
        <v/>
      </c>
      <c r="E325" s="8" t="inlineStr">
        <is>
          <t>D836</t>
        </is>
      </c>
      <c r="F325" s="8" t="inlineStr">
        <is>
          <t>66591199</t>
        </is>
      </c>
      <c r="G325" s="8">
        <f>IFERROR(VLOOKUP(A325,Flete!$A:$E,5,0),"")</f>
        <v/>
      </c>
      <c r="H325" s="7">
        <f>IFERROR(VLOOKUP(F325,TRAOPE!$AA:$AB,2,0),"")</f>
        <v/>
      </c>
      <c r="I325" s="7" t="n">
        <v>10000160</v>
      </c>
      <c r="J325" s="7">
        <f>IFERROR(VLOOKUP(I325,Materiales!$A:$H,8,0),"")</f>
        <v/>
      </c>
      <c r="K325" s="9">
        <f>IFERROR(VLOOKUP(I325,Materiales!$A:$G,7,0),"")</f>
        <v/>
      </c>
      <c r="L325" s="8" t="inlineStr">
        <is>
          <t>20190426</t>
        </is>
      </c>
      <c r="M325" s="8" t="inlineStr">
        <is>
          <t>20250127</t>
        </is>
      </c>
      <c r="N325" s="10" t="n">
        <v>102</v>
      </c>
      <c r="O325" s="10">
        <f>IFERROR(VLOOKUP(A325,Flete!$A:$J,10,0),"")</f>
        <v/>
      </c>
      <c r="P325" s="8" t="inlineStr">
        <is>
          <t>M3</t>
        </is>
      </c>
      <c r="Q325" s="10">
        <f>IFERROR(IFERROR(VLOOKUP(A325,TRAOPE!$A:$U,21,0),VLOOKUP(B325,TRAOPE!$A:$U,21,0)),"")</f>
        <v/>
      </c>
      <c r="R325" s="8">
        <f>IFERROR(IFERROR(VLOOKUP(A325,TRAOPE!$A:$W,23,0),VLOOKUP(B325,TRAOPE!$A:$W,23,0)),"")</f>
        <v/>
      </c>
      <c r="S325" s="10">
        <f>IF(AND(P325="TN",R325="TN"),N325+N(O325),IF(G325&amp;""="1",N(K325)*N325,(N325+N(O325))*N(K325)))</f>
        <v/>
      </c>
      <c r="T325" s="10">
        <f>IF(Q325="","",Q325-S325)</f>
        <v/>
      </c>
    </row>
    <row r="326">
      <c r="A326" s="7">
        <f>CONCATENATE(C326,E326,F326,I326)</f>
        <v/>
      </c>
      <c r="B326" s="7">
        <f>CONCATENATE(C326,E326,I326)</f>
        <v/>
      </c>
      <c r="C326" s="8" t="n">
        <v>900001074</v>
      </c>
      <c r="D326" s="7">
        <f>IFERROR(VLOOKUP(C326,TRAOPE!$G:$H,2,0),"")</f>
        <v/>
      </c>
      <c r="E326" s="8" t="inlineStr">
        <is>
          <t>D836</t>
        </is>
      </c>
      <c r="F326" s="8" t="inlineStr">
        <is>
          <t>66591199</t>
        </is>
      </c>
      <c r="G326" s="8">
        <f>IFERROR(VLOOKUP(A326,Flete!$A:$E,5,0),"")</f>
        <v/>
      </c>
      <c r="H326" s="7">
        <f>IFERROR(VLOOKUP(F326,TRAOPE!$AA:$AB,2,0),"")</f>
        <v/>
      </c>
      <c r="I326" s="7" t="n">
        <v>10000357</v>
      </c>
      <c r="J326" s="7">
        <f>IFERROR(VLOOKUP(I326,Materiales!$A:$H,8,0),"")</f>
        <v/>
      </c>
      <c r="K326" s="9">
        <f>IFERROR(VLOOKUP(I326,Materiales!$A:$G,7,0),"")</f>
        <v/>
      </c>
      <c r="L326" s="8" t="inlineStr">
        <is>
          <t>20190426</t>
        </is>
      </c>
      <c r="M326" s="8" t="inlineStr">
        <is>
          <t>20250127</t>
        </is>
      </c>
      <c r="N326" s="10" t="n">
        <v>113</v>
      </c>
      <c r="O326" s="10">
        <f>IFERROR(VLOOKUP(A326,Flete!$A:$J,10,0),"")</f>
        <v/>
      </c>
      <c r="P326" s="8" t="inlineStr">
        <is>
          <t>M3</t>
        </is>
      </c>
      <c r="Q326" s="10">
        <f>IFERROR(IFERROR(VLOOKUP(A326,TRAOPE!$A:$U,21,0),VLOOKUP(B326,TRAOPE!$A:$U,21,0)),"")</f>
        <v/>
      </c>
      <c r="R326" s="8">
        <f>IFERROR(IFERROR(VLOOKUP(A326,TRAOPE!$A:$W,23,0),VLOOKUP(B326,TRAOPE!$A:$W,23,0)),"")</f>
        <v/>
      </c>
      <c r="S326" s="10">
        <f>IF(AND(P326="TN",R326="TN"),N326+N(O326),IF(G326&amp;""="1",N(K326)*N326,(N326+N(O326))*N(K326)))</f>
        <v/>
      </c>
      <c r="T326" s="10">
        <f>IF(Q326="","",Q326-S326)</f>
        <v/>
      </c>
    </row>
    <row r="327">
      <c r="A327" s="7">
        <f>CONCATENATE(C327,E327,F327,I327)</f>
        <v/>
      </c>
      <c r="B327" s="7">
        <f>CONCATENATE(C327,E327,I327)</f>
        <v/>
      </c>
      <c r="C327" s="8" t="n">
        <v>900001074</v>
      </c>
      <c r="D327" s="7">
        <f>IFERROR(VLOOKUP(C327,TRAOPE!$G:$H,2,0),"")</f>
        <v/>
      </c>
      <c r="E327" s="8" t="inlineStr">
        <is>
          <t>D836</t>
        </is>
      </c>
      <c r="F327" s="8" t="inlineStr">
        <is>
          <t>66591199</t>
        </is>
      </c>
      <c r="G327" s="8">
        <f>IFERROR(VLOOKUP(A327,Flete!$A:$E,5,0),"")</f>
        <v/>
      </c>
      <c r="H327" s="7">
        <f>IFERROR(VLOOKUP(F327,TRAOPE!$AA:$AB,2,0),"")</f>
        <v/>
      </c>
      <c r="I327" s="7" t="n">
        <v>10019515</v>
      </c>
      <c r="J327" s="7">
        <f>IFERROR(VLOOKUP(I327,Materiales!$A:$H,8,0),"")</f>
        <v/>
      </c>
      <c r="K327" s="9">
        <f>IFERROR(VLOOKUP(I327,Materiales!$A:$G,7,0),"")</f>
        <v/>
      </c>
      <c r="L327" s="8" t="inlineStr">
        <is>
          <t>20190426</t>
        </is>
      </c>
      <c r="M327" s="8" t="inlineStr">
        <is>
          <t>20250127</t>
        </is>
      </c>
      <c r="N327" s="10" t="n">
        <v>114</v>
      </c>
      <c r="O327" s="10">
        <f>IFERROR(VLOOKUP(A327,Flete!$A:$J,10,0),"")</f>
        <v/>
      </c>
      <c r="P327" s="8" t="inlineStr">
        <is>
          <t>M3</t>
        </is>
      </c>
      <c r="Q327" s="10">
        <f>IFERROR(IFERROR(VLOOKUP(A327,TRAOPE!$A:$U,21,0),VLOOKUP(B327,TRAOPE!$A:$U,21,0)),"")</f>
        <v/>
      </c>
      <c r="R327" s="8">
        <f>IFERROR(IFERROR(VLOOKUP(A327,TRAOPE!$A:$W,23,0),VLOOKUP(B327,TRAOPE!$A:$W,23,0)),"")</f>
        <v/>
      </c>
      <c r="S327" s="10">
        <f>IF(AND(P327="TN",R327="TN"),N327+N(O327),IF(G327&amp;""="1",N(K327)*N327,(N327+N(O327))*N(K327)))</f>
        <v/>
      </c>
      <c r="T327" s="10">
        <f>IF(Q327="","",Q327-S327)</f>
        <v/>
      </c>
    </row>
    <row r="328">
      <c r="A328" s="7">
        <f>CONCATENATE(C328,E328,F328,I328)</f>
        <v/>
      </c>
      <c r="B328" s="7">
        <f>CONCATENATE(C328,E328,I328)</f>
        <v/>
      </c>
      <c r="C328" s="8" t="n">
        <v>900001074</v>
      </c>
      <c r="D328" s="7">
        <f>IFERROR(VLOOKUP(C328,TRAOPE!$G:$H,2,0),"")</f>
        <v/>
      </c>
      <c r="E328" s="8" t="inlineStr">
        <is>
          <t>D836</t>
        </is>
      </c>
      <c r="F328" s="8" t="inlineStr">
        <is>
          <t>66605859</t>
        </is>
      </c>
      <c r="G328" s="8">
        <f>IFERROR(VLOOKUP(A328,Flete!$A:$E,5,0),"")</f>
        <v/>
      </c>
      <c r="H328" s="7">
        <f>IFERROR(VLOOKUP(F328,TRAOPE!$AA:$AB,2,0),"")</f>
        <v/>
      </c>
      <c r="I328" s="7" t="n">
        <v>10019515</v>
      </c>
      <c r="J328" s="7">
        <f>IFERROR(VLOOKUP(I328,Materiales!$A:$H,8,0),"")</f>
        <v/>
      </c>
      <c r="K328" s="9">
        <f>IFERROR(VLOOKUP(I328,Materiales!$A:$G,7,0),"")</f>
        <v/>
      </c>
      <c r="L328" s="8" t="inlineStr">
        <is>
          <t>20190426</t>
        </is>
      </c>
      <c r="M328" s="8" t="inlineStr">
        <is>
          <t>20250127</t>
        </is>
      </c>
      <c r="N328" s="10" t="n">
        <v>84.62</v>
      </c>
      <c r="O328" s="10">
        <f>IFERROR(VLOOKUP(A328,Flete!$A:$J,10,0),"")</f>
        <v/>
      </c>
      <c r="P328" s="8" t="inlineStr">
        <is>
          <t>TN</t>
        </is>
      </c>
      <c r="Q328" s="10">
        <f>IFERROR(IFERROR(VLOOKUP(A328,TRAOPE!$A:$U,21,0),VLOOKUP(B328,TRAOPE!$A:$U,21,0)),"")</f>
        <v/>
      </c>
      <c r="R328" s="8">
        <f>IFERROR(IFERROR(VLOOKUP(A328,TRAOPE!$A:$W,23,0),VLOOKUP(B328,TRAOPE!$A:$W,23,0)),"")</f>
        <v/>
      </c>
      <c r="S328" s="10">
        <f>IF(AND(P328="TN",R328="TN"),N328+N(O328),IF(G328&amp;""="1",N(K328)*N328,(N328+N(O328))*N(K328)))</f>
        <v/>
      </c>
      <c r="T328" s="10">
        <f>IF(Q328="","",Q328-S328)</f>
        <v/>
      </c>
    </row>
    <row r="329">
      <c r="A329" s="7">
        <f>CONCATENATE(C329,E329,F329,I329)</f>
        <v/>
      </c>
      <c r="B329" s="7">
        <f>CONCATENATE(C329,E329,I329)</f>
        <v/>
      </c>
      <c r="C329" s="8" t="n">
        <v>900001074</v>
      </c>
      <c r="D329" s="7">
        <f>IFERROR(VLOOKUP(C329,TRAOPE!$G:$H,2,0),"")</f>
        <v/>
      </c>
      <c r="E329" s="8" t="inlineStr">
        <is>
          <t>D836</t>
        </is>
      </c>
      <c r="F329" s="8" t="inlineStr">
        <is>
          <t>66605859</t>
        </is>
      </c>
      <c r="G329" s="8">
        <f>IFERROR(VLOOKUP(A329,Flete!$A:$E,5,0),"")</f>
        <v/>
      </c>
      <c r="H329" s="7">
        <f>IFERROR(VLOOKUP(F329,TRAOPE!$AA:$AB,2,0),"")</f>
        <v/>
      </c>
      <c r="I329" s="7" t="n">
        <v>10172240</v>
      </c>
      <c r="J329" s="7">
        <f>IFERROR(VLOOKUP(I329,Materiales!$A:$H,8,0),"")</f>
        <v/>
      </c>
      <c r="K329" s="9">
        <f>IFERROR(VLOOKUP(I329,Materiales!$A:$G,7,0),"")</f>
        <v/>
      </c>
      <c r="L329" s="8" t="inlineStr">
        <is>
          <t>20190426</t>
        </is>
      </c>
      <c r="M329" s="8" t="inlineStr">
        <is>
          <t>20250127</t>
        </is>
      </c>
      <c r="N329" s="10" t="n">
        <v>130</v>
      </c>
      <c r="O329" s="10">
        <f>IFERROR(VLOOKUP(A329,Flete!$A:$J,10,0),"")</f>
        <v/>
      </c>
      <c r="P329" s="8" t="inlineStr">
        <is>
          <t>M3</t>
        </is>
      </c>
      <c r="Q329" s="10">
        <f>IFERROR(IFERROR(VLOOKUP(A329,TRAOPE!$A:$U,21,0),VLOOKUP(B329,TRAOPE!$A:$U,21,0)),"")</f>
        <v/>
      </c>
      <c r="R329" s="8">
        <f>IFERROR(IFERROR(VLOOKUP(A329,TRAOPE!$A:$W,23,0),VLOOKUP(B329,TRAOPE!$A:$W,23,0)),"")</f>
        <v/>
      </c>
      <c r="S329" s="10">
        <f>IF(AND(P329="TN",R329="TN"),N329+N(O329),IF(G329&amp;""="1",N(K329)*N329,(N329+N(O329))*N(K329)))</f>
        <v/>
      </c>
      <c r="T329" s="10">
        <f>IF(Q329="","",Q329-S329)</f>
        <v/>
      </c>
    </row>
    <row r="330">
      <c r="A330" s="7">
        <f>CONCATENATE(C330,E330,F330,I330)</f>
        <v/>
      </c>
      <c r="B330" s="7">
        <f>CONCATENATE(C330,E330,I330)</f>
        <v/>
      </c>
      <c r="C330" s="8" t="n">
        <v>900001074</v>
      </c>
      <c r="D330" s="7">
        <f>IFERROR(VLOOKUP(C330,TRAOPE!$G:$H,2,0),"")</f>
        <v/>
      </c>
      <c r="E330" s="8" t="inlineStr">
        <is>
          <t>D836</t>
        </is>
      </c>
      <c r="F330" s="8" t="inlineStr">
        <is>
          <t>66611315</t>
        </is>
      </c>
      <c r="G330" s="8">
        <f>IFERROR(VLOOKUP(A330,Flete!$A:$E,5,0),"")</f>
        <v/>
      </c>
      <c r="H330" s="7">
        <f>IFERROR(VLOOKUP(F330,TRAOPE!$AA:$AB,2,0),"")</f>
        <v/>
      </c>
      <c r="I330" s="7" t="n">
        <v>10000160</v>
      </c>
      <c r="J330" s="7">
        <f>IFERROR(VLOOKUP(I330,Materiales!$A:$H,8,0),"")</f>
        <v/>
      </c>
      <c r="K330" s="9">
        <f>IFERROR(VLOOKUP(I330,Materiales!$A:$G,7,0),"")</f>
        <v/>
      </c>
      <c r="L330" s="8" t="inlineStr">
        <is>
          <t>20190426</t>
        </is>
      </c>
      <c r="M330" s="8" t="inlineStr">
        <is>
          <t>20250127</t>
        </is>
      </c>
      <c r="N330" s="10" t="n">
        <v>85</v>
      </c>
      <c r="O330" s="10">
        <f>IFERROR(VLOOKUP(A330,Flete!$A:$J,10,0),"")</f>
        <v/>
      </c>
      <c r="P330" s="8" t="inlineStr">
        <is>
          <t>M3</t>
        </is>
      </c>
      <c r="Q330" s="10">
        <f>IFERROR(IFERROR(VLOOKUP(A330,TRAOPE!$A:$U,21,0),VLOOKUP(B330,TRAOPE!$A:$U,21,0)),"")</f>
        <v/>
      </c>
      <c r="R330" s="8">
        <f>IFERROR(IFERROR(VLOOKUP(A330,TRAOPE!$A:$W,23,0),VLOOKUP(B330,TRAOPE!$A:$W,23,0)),"")</f>
        <v/>
      </c>
      <c r="S330" s="10">
        <f>IF(AND(P330="TN",R330="TN"),N330+N(O330),IF(G330&amp;""="1",N(K330)*N330,(N330+N(O330))*N(K330)))</f>
        <v/>
      </c>
      <c r="T330" s="10">
        <f>IF(Q330="","",Q330-S330)</f>
        <v/>
      </c>
    </row>
    <row r="331">
      <c r="A331" s="7">
        <f>CONCATENATE(C331,E331,F331,I331)</f>
        <v/>
      </c>
      <c r="B331" s="7">
        <f>CONCATENATE(C331,E331,I331)</f>
        <v/>
      </c>
      <c r="C331" s="8" t="n">
        <v>900001074</v>
      </c>
      <c r="D331" s="7">
        <f>IFERROR(VLOOKUP(C331,TRAOPE!$G:$H,2,0),"")</f>
        <v/>
      </c>
      <c r="E331" s="8" t="inlineStr">
        <is>
          <t>D836</t>
        </is>
      </c>
      <c r="F331" s="8" t="inlineStr">
        <is>
          <t>66611315</t>
        </is>
      </c>
      <c r="G331" s="8">
        <f>IFERROR(VLOOKUP(A331,Flete!$A:$E,5,0),"")</f>
        <v/>
      </c>
      <c r="H331" s="7">
        <f>IFERROR(VLOOKUP(F331,TRAOPE!$AA:$AB,2,0),"")</f>
        <v/>
      </c>
      <c r="I331" s="7" t="n">
        <v>10000357</v>
      </c>
      <c r="J331" s="7">
        <f>IFERROR(VLOOKUP(I331,Materiales!$A:$H,8,0),"")</f>
        <v/>
      </c>
      <c r="K331" s="9">
        <f>IFERROR(VLOOKUP(I331,Materiales!$A:$G,7,0),"")</f>
        <v/>
      </c>
      <c r="L331" s="8" t="inlineStr">
        <is>
          <t>20190426</t>
        </is>
      </c>
      <c r="M331" s="8" t="inlineStr">
        <is>
          <t>20250127</t>
        </is>
      </c>
      <c r="N331" s="10" t="n">
        <v>100</v>
      </c>
      <c r="O331" s="10">
        <f>IFERROR(VLOOKUP(A331,Flete!$A:$J,10,0),"")</f>
        <v/>
      </c>
      <c r="P331" s="8" t="inlineStr">
        <is>
          <t>M3</t>
        </is>
      </c>
      <c r="Q331" s="10">
        <f>IFERROR(IFERROR(VLOOKUP(A331,TRAOPE!$A:$U,21,0),VLOOKUP(B331,TRAOPE!$A:$U,21,0)),"")</f>
        <v/>
      </c>
      <c r="R331" s="8">
        <f>IFERROR(IFERROR(VLOOKUP(A331,TRAOPE!$A:$W,23,0),VLOOKUP(B331,TRAOPE!$A:$W,23,0)),"")</f>
        <v/>
      </c>
      <c r="S331" s="10">
        <f>IF(AND(P331="TN",R331="TN"),N331+N(O331),IF(G331&amp;""="1",N(K331)*N331,(N331+N(O331))*N(K331)))</f>
        <v/>
      </c>
      <c r="T331" s="10">
        <f>IF(Q331="","",Q331-S331)</f>
        <v/>
      </c>
    </row>
    <row r="332">
      <c r="A332" s="7">
        <f>CONCATENATE(C332,E332,F332,I332)</f>
        <v/>
      </c>
      <c r="B332" s="7">
        <f>CONCATENATE(C332,E332,I332)</f>
        <v/>
      </c>
      <c r="C332" s="8" t="n">
        <v>900001074</v>
      </c>
      <c r="D332" s="7">
        <f>IFERROR(VLOOKUP(C332,TRAOPE!$G:$H,2,0),"")</f>
        <v/>
      </c>
      <c r="E332" s="8" t="inlineStr">
        <is>
          <t>D836</t>
        </is>
      </c>
      <c r="F332" s="8" t="inlineStr">
        <is>
          <t>66611315</t>
        </is>
      </c>
      <c r="G332" s="8">
        <f>IFERROR(VLOOKUP(A332,Flete!$A:$E,5,0),"")</f>
        <v/>
      </c>
      <c r="H332" s="7">
        <f>IFERROR(VLOOKUP(F332,TRAOPE!$AA:$AB,2,0),"")</f>
        <v/>
      </c>
      <c r="I332" s="7" t="n">
        <v>10000627</v>
      </c>
      <c r="J332" s="7">
        <f>IFERROR(VLOOKUP(I332,Materiales!$A:$H,8,0),"")</f>
        <v/>
      </c>
      <c r="K332" s="9">
        <f>IFERROR(VLOOKUP(I332,Materiales!$A:$G,7,0),"")</f>
        <v/>
      </c>
      <c r="L332" s="8" t="inlineStr">
        <is>
          <t>20190426</t>
        </is>
      </c>
      <c r="M332" s="8" t="inlineStr">
        <is>
          <t>20250127</t>
        </is>
      </c>
      <c r="N332" s="10" t="n">
        <v>84</v>
      </c>
      <c r="O332" s="10">
        <f>IFERROR(VLOOKUP(A332,Flete!$A:$J,10,0),"")</f>
        <v/>
      </c>
      <c r="P332" s="8" t="inlineStr">
        <is>
          <t>M3</t>
        </is>
      </c>
      <c r="Q332" s="10">
        <f>IFERROR(IFERROR(VLOOKUP(A332,TRAOPE!$A:$U,21,0),VLOOKUP(B332,TRAOPE!$A:$U,21,0)),"")</f>
        <v/>
      </c>
      <c r="R332" s="8">
        <f>IFERROR(IFERROR(VLOOKUP(A332,TRAOPE!$A:$W,23,0),VLOOKUP(B332,TRAOPE!$A:$W,23,0)),"")</f>
        <v/>
      </c>
      <c r="S332" s="10">
        <f>IF(AND(P332="TN",R332="TN"),N332+N(O332),IF(G332&amp;""="1",N(K332)*N332,(N332+N(O332))*N(K332)))</f>
        <v/>
      </c>
      <c r="T332" s="10">
        <f>IF(Q332="","",Q332-S332)</f>
        <v/>
      </c>
    </row>
    <row r="333">
      <c r="A333" s="7">
        <f>CONCATENATE(C333,E333,F333,I333)</f>
        <v/>
      </c>
      <c r="B333" s="7">
        <f>CONCATENATE(C333,E333,I333)</f>
        <v/>
      </c>
      <c r="C333" s="8" t="n">
        <v>900001074</v>
      </c>
      <c r="D333" s="7">
        <f>IFERROR(VLOOKUP(C333,TRAOPE!$G:$H,2,0),"")</f>
        <v/>
      </c>
      <c r="E333" s="8" t="inlineStr">
        <is>
          <t>D836</t>
        </is>
      </c>
      <c r="F333" s="8" t="inlineStr">
        <is>
          <t>66618135</t>
        </is>
      </c>
      <c r="G333" s="8">
        <f>IFERROR(VLOOKUP(A333,Flete!$A:$E,5,0),"")</f>
        <v/>
      </c>
      <c r="H333" s="7">
        <f>IFERROR(VLOOKUP(F333,TRAOPE!$AA:$AB,2,0),"")</f>
        <v/>
      </c>
      <c r="I333" s="7" t="n">
        <v>10000160</v>
      </c>
      <c r="J333" s="7">
        <f>IFERROR(VLOOKUP(I333,Materiales!$A:$H,8,0),"")</f>
        <v/>
      </c>
      <c r="K333" s="9">
        <f>IFERROR(VLOOKUP(I333,Materiales!$A:$G,7,0),"")</f>
        <v/>
      </c>
      <c r="L333" s="8" t="inlineStr">
        <is>
          <t>20190426</t>
        </is>
      </c>
      <c r="M333" s="8" t="inlineStr">
        <is>
          <t>20250127</t>
        </is>
      </c>
      <c r="N333" s="10" t="n">
        <v>102</v>
      </c>
      <c r="O333" s="10">
        <f>IFERROR(VLOOKUP(A333,Flete!$A:$J,10,0),"")</f>
        <v/>
      </c>
      <c r="P333" s="8" t="inlineStr">
        <is>
          <t>M3</t>
        </is>
      </c>
      <c r="Q333" s="10">
        <f>IFERROR(IFERROR(VLOOKUP(A333,TRAOPE!$A:$U,21,0),VLOOKUP(B333,TRAOPE!$A:$U,21,0)),"")</f>
        <v/>
      </c>
      <c r="R333" s="8">
        <f>IFERROR(IFERROR(VLOOKUP(A333,TRAOPE!$A:$W,23,0),VLOOKUP(B333,TRAOPE!$A:$W,23,0)),"")</f>
        <v/>
      </c>
      <c r="S333" s="10">
        <f>IF(AND(P333="TN",R333="TN"),N333+N(O333),IF(G333&amp;""="1",N(K333)*N333,(N333+N(O333))*N(K333)))</f>
        <v/>
      </c>
      <c r="T333" s="10">
        <f>IF(Q333="","",Q333-S333)</f>
        <v/>
      </c>
    </row>
    <row r="334">
      <c r="A334" s="7">
        <f>CONCATENATE(C334,E334,F334,I334)</f>
        <v/>
      </c>
      <c r="B334" s="7">
        <f>CONCATENATE(C334,E334,I334)</f>
        <v/>
      </c>
      <c r="C334" s="8" t="n">
        <v>900001074</v>
      </c>
      <c r="D334" s="7">
        <f>IFERROR(VLOOKUP(C334,TRAOPE!$G:$H,2,0),"")</f>
        <v/>
      </c>
      <c r="E334" s="8" t="inlineStr">
        <is>
          <t>D836</t>
        </is>
      </c>
      <c r="F334" s="8" t="inlineStr">
        <is>
          <t>66618135</t>
        </is>
      </c>
      <c r="G334" s="8">
        <f>IFERROR(VLOOKUP(A334,Flete!$A:$E,5,0),"")</f>
        <v/>
      </c>
      <c r="H334" s="7">
        <f>IFERROR(VLOOKUP(F334,TRAOPE!$AA:$AB,2,0),"")</f>
        <v/>
      </c>
      <c r="I334" s="7" t="n">
        <v>10000357</v>
      </c>
      <c r="J334" s="7">
        <f>IFERROR(VLOOKUP(I334,Materiales!$A:$H,8,0),"")</f>
        <v/>
      </c>
      <c r="K334" s="9">
        <f>IFERROR(VLOOKUP(I334,Materiales!$A:$G,7,0),"")</f>
        <v/>
      </c>
      <c r="L334" s="8" t="inlineStr">
        <is>
          <t>20190426</t>
        </is>
      </c>
      <c r="M334" s="8" t="inlineStr">
        <is>
          <t>20250127</t>
        </is>
      </c>
      <c r="N334" s="10" t="n">
        <v>113</v>
      </c>
      <c r="O334" s="10">
        <f>IFERROR(VLOOKUP(A334,Flete!$A:$J,10,0),"")</f>
        <v/>
      </c>
      <c r="P334" s="8" t="inlineStr">
        <is>
          <t>M3</t>
        </is>
      </c>
      <c r="Q334" s="10">
        <f>IFERROR(IFERROR(VLOOKUP(A334,TRAOPE!$A:$U,21,0),VLOOKUP(B334,TRAOPE!$A:$U,21,0)),"")</f>
        <v/>
      </c>
      <c r="R334" s="8">
        <f>IFERROR(IFERROR(VLOOKUP(A334,TRAOPE!$A:$W,23,0),VLOOKUP(B334,TRAOPE!$A:$W,23,0)),"")</f>
        <v/>
      </c>
      <c r="S334" s="10">
        <f>IF(AND(P334="TN",R334="TN"),N334+N(O334),IF(G334&amp;""="1",N(K334)*N334,(N334+N(O334))*N(K334)))</f>
        <v/>
      </c>
      <c r="T334" s="10">
        <f>IF(Q334="","",Q334-S334)</f>
        <v/>
      </c>
    </row>
    <row r="335">
      <c r="A335" s="7">
        <f>CONCATENATE(C335,E335,F335,I335)</f>
        <v/>
      </c>
      <c r="B335" s="7">
        <f>CONCATENATE(C335,E335,I335)</f>
        <v/>
      </c>
      <c r="C335" s="8" t="n">
        <v>900001074</v>
      </c>
      <c r="D335" s="7">
        <f>IFERROR(VLOOKUP(C335,TRAOPE!$G:$H,2,0),"")</f>
        <v/>
      </c>
      <c r="E335" s="8" t="inlineStr">
        <is>
          <t>D836</t>
        </is>
      </c>
      <c r="F335" s="8" t="inlineStr">
        <is>
          <t>66618135</t>
        </is>
      </c>
      <c r="G335" s="8">
        <f>IFERROR(VLOOKUP(A335,Flete!$A:$E,5,0),"")</f>
        <v/>
      </c>
      <c r="H335" s="7">
        <f>IFERROR(VLOOKUP(F335,TRAOPE!$AA:$AB,2,0),"")</f>
        <v/>
      </c>
      <c r="I335" s="7" t="n">
        <v>10019515</v>
      </c>
      <c r="J335" s="7">
        <f>IFERROR(VLOOKUP(I335,Materiales!$A:$H,8,0),"")</f>
        <v/>
      </c>
      <c r="K335" s="9">
        <f>IFERROR(VLOOKUP(I335,Materiales!$A:$G,7,0),"")</f>
        <v/>
      </c>
      <c r="L335" s="8" t="inlineStr">
        <is>
          <t>20190426</t>
        </is>
      </c>
      <c r="M335" s="8" t="inlineStr">
        <is>
          <t>20250127</t>
        </is>
      </c>
      <c r="N335" s="10" t="n">
        <v>114</v>
      </c>
      <c r="O335" s="10">
        <f>IFERROR(VLOOKUP(A335,Flete!$A:$J,10,0),"")</f>
        <v/>
      </c>
      <c r="P335" s="8" t="inlineStr">
        <is>
          <t>M3</t>
        </is>
      </c>
      <c r="Q335" s="10">
        <f>IFERROR(IFERROR(VLOOKUP(A335,TRAOPE!$A:$U,21,0),VLOOKUP(B335,TRAOPE!$A:$U,21,0)),"")</f>
        <v/>
      </c>
      <c r="R335" s="8">
        <f>IFERROR(IFERROR(VLOOKUP(A335,TRAOPE!$A:$W,23,0),VLOOKUP(B335,TRAOPE!$A:$W,23,0)),"")</f>
        <v/>
      </c>
      <c r="S335" s="10">
        <f>IF(AND(P335="TN",R335="TN"),N335+N(O335),IF(G335&amp;""="1",N(K335)*N335,(N335+N(O335))*N(K335)))</f>
        <v/>
      </c>
      <c r="T335" s="10">
        <f>IF(Q335="","",Q335-S335)</f>
        <v/>
      </c>
    </row>
    <row r="336">
      <c r="A336" s="7">
        <f>CONCATENATE(C336,E336,F336,I336)</f>
        <v/>
      </c>
      <c r="B336" s="7">
        <f>CONCATENATE(C336,E336,I336)</f>
        <v/>
      </c>
      <c r="C336" s="8" t="n">
        <v>900001074</v>
      </c>
      <c r="D336" s="7">
        <f>IFERROR(VLOOKUP(C336,TRAOPE!$G:$H,2,0),"")</f>
        <v/>
      </c>
      <c r="E336" s="8" t="inlineStr">
        <is>
          <t>D836</t>
        </is>
      </c>
      <c r="F336" s="8" t="inlineStr">
        <is>
          <t>66624554</t>
        </is>
      </c>
      <c r="G336" s="8">
        <f>IFERROR(VLOOKUP(A336,Flete!$A:$E,5,0),"")</f>
        <v/>
      </c>
      <c r="H336" s="7">
        <f>IFERROR(VLOOKUP(F336,TRAOPE!$AA:$AB,2,0),"")</f>
        <v/>
      </c>
      <c r="I336" s="7" t="n">
        <v>10000160</v>
      </c>
      <c r="J336" s="7">
        <f>IFERROR(VLOOKUP(I336,Materiales!$A:$H,8,0),"")</f>
        <v/>
      </c>
      <c r="K336" s="9">
        <f>IFERROR(VLOOKUP(I336,Materiales!$A:$G,7,0),"")</f>
        <v/>
      </c>
      <c r="L336" s="8" t="inlineStr">
        <is>
          <t>20190426</t>
        </is>
      </c>
      <c r="M336" s="8" t="inlineStr">
        <is>
          <t>20250127</t>
        </is>
      </c>
      <c r="N336" s="10" t="n">
        <v>104.49</v>
      </c>
      <c r="O336" s="10">
        <f>IFERROR(VLOOKUP(A336,Flete!$A:$J,10,0),"")</f>
        <v/>
      </c>
      <c r="P336" s="8" t="inlineStr">
        <is>
          <t>M3</t>
        </is>
      </c>
      <c r="Q336" s="10">
        <f>IFERROR(IFERROR(VLOOKUP(A336,TRAOPE!$A:$U,21,0),VLOOKUP(B336,TRAOPE!$A:$U,21,0)),"")</f>
        <v/>
      </c>
      <c r="R336" s="8">
        <f>IFERROR(IFERROR(VLOOKUP(A336,TRAOPE!$A:$W,23,0),VLOOKUP(B336,TRAOPE!$A:$W,23,0)),"")</f>
        <v/>
      </c>
      <c r="S336" s="10">
        <f>IF(AND(P336="TN",R336="TN"),N336+N(O336),IF(G336&amp;""="1",N(K336)*N336,(N336+N(O336))*N(K336)))</f>
        <v/>
      </c>
      <c r="T336" s="10">
        <f>IF(Q336="","",Q336-S336)</f>
        <v/>
      </c>
    </row>
    <row r="337">
      <c r="A337" s="7">
        <f>CONCATENATE(C337,E337,F337,I337)</f>
        <v/>
      </c>
      <c r="B337" s="7">
        <f>CONCATENATE(C337,E337,I337)</f>
        <v/>
      </c>
      <c r="C337" s="8" t="n">
        <v>900001074</v>
      </c>
      <c r="D337" s="7">
        <f>IFERROR(VLOOKUP(C337,TRAOPE!$G:$H,2,0),"")</f>
        <v/>
      </c>
      <c r="E337" s="8" t="inlineStr">
        <is>
          <t>D836</t>
        </is>
      </c>
      <c r="F337" s="8" t="inlineStr">
        <is>
          <t>66624554</t>
        </is>
      </c>
      <c r="G337" s="8">
        <f>IFERROR(VLOOKUP(A337,Flete!$A:$E,5,0),"")</f>
        <v/>
      </c>
      <c r="H337" s="7">
        <f>IFERROR(VLOOKUP(F337,TRAOPE!$AA:$AB,2,0),"")</f>
        <v/>
      </c>
      <c r="I337" s="7" t="n">
        <v>10000357</v>
      </c>
      <c r="J337" s="7">
        <f>IFERROR(VLOOKUP(I337,Materiales!$A:$H,8,0),"")</f>
        <v/>
      </c>
      <c r="K337" s="9">
        <f>IFERROR(VLOOKUP(I337,Materiales!$A:$G,7,0),"")</f>
        <v/>
      </c>
      <c r="L337" s="8" t="inlineStr">
        <is>
          <t>20190426</t>
        </is>
      </c>
      <c r="M337" s="8" t="inlineStr">
        <is>
          <t>20250127</t>
        </is>
      </c>
      <c r="N337" s="10" t="n">
        <v>120.86</v>
      </c>
      <c r="O337" s="10">
        <f>IFERROR(VLOOKUP(A337,Flete!$A:$J,10,0),"")</f>
        <v/>
      </c>
      <c r="P337" s="8" t="inlineStr">
        <is>
          <t>M3</t>
        </is>
      </c>
      <c r="Q337" s="10">
        <f>IFERROR(IFERROR(VLOOKUP(A337,TRAOPE!$A:$U,21,0),VLOOKUP(B337,TRAOPE!$A:$U,21,0)),"")</f>
        <v/>
      </c>
      <c r="R337" s="8">
        <f>IFERROR(IFERROR(VLOOKUP(A337,TRAOPE!$A:$W,23,0),VLOOKUP(B337,TRAOPE!$A:$W,23,0)),"")</f>
        <v/>
      </c>
      <c r="S337" s="10">
        <f>IF(AND(P337="TN",R337="TN"),N337+N(O337),IF(G337&amp;""="1",N(K337)*N337,(N337+N(O337))*N(K337)))</f>
        <v/>
      </c>
      <c r="T337" s="10">
        <f>IF(Q337="","",Q337-S337)</f>
        <v/>
      </c>
    </row>
    <row r="338">
      <c r="A338" s="7">
        <f>CONCATENATE(C338,E338,F338,I338)</f>
        <v/>
      </c>
      <c r="B338" s="7">
        <f>CONCATENATE(C338,E338,I338)</f>
        <v/>
      </c>
      <c r="C338" s="8" t="n">
        <v>900001074</v>
      </c>
      <c r="D338" s="7">
        <f>IFERROR(VLOOKUP(C338,TRAOPE!$G:$H,2,0),"")</f>
        <v/>
      </c>
      <c r="E338" s="8" t="inlineStr">
        <is>
          <t>D836</t>
        </is>
      </c>
      <c r="F338" s="8" t="inlineStr">
        <is>
          <t>66624554</t>
        </is>
      </c>
      <c r="G338" s="8">
        <f>IFERROR(VLOOKUP(A338,Flete!$A:$E,5,0),"")</f>
        <v/>
      </c>
      <c r="H338" s="7">
        <f>IFERROR(VLOOKUP(F338,TRAOPE!$AA:$AB,2,0),"")</f>
        <v/>
      </c>
      <c r="I338" s="7" t="n">
        <v>10000627</v>
      </c>
      <c r="J338" s="7">
        <f>IFERROR(VLOOKUP(I338,Materiales!$A:$H,8,0),"")</f>
        <v/>
      </c>
      <c r="K338" s="9">
        <f>IFERROR(VLOOKUP(I338,Materiales!$A:$G,7,0),"")</f>
        <v/>
      </c>
      <c r="L338" s="8" t="inlineStr">
        <is>
          <t>20190426</t>
        </is>
      </c>
      <c r="M338" s="8" t="inlineStr">
        <is>
          <t>20250127</t>
        </is>
      </c>
      <c r="N338" s="10" t="n">
        <v>95.92</v>
      </c>
      <c r="O338" s="10">
        <f>IFERROR(VLOOKUP(A338,Flete!$A:$J,10,0),"")</f>
        <v/>
      </c>
      <c r="P338" s="8" t="inlineStr">
        <is>
          <t>M3</t>
        </is>
      </c>
      <c r="Q338" s="10">
        <f>IFERROR(IFERROR(VLOOKUP(A338,TRAOPE!$A:$U,21,0),VLOOKUP(B338,TRAOPE!$A:$U,21,0)),"")</f>
        <v/>
      </c>
      <c r="R338" s="8">
        <f>IFERROR(IFERROR(VLOOKUP(A338,TRAOPE!$A:$W,23,0),VLOOKUP(B338,TRAOPE!$A:$W,23,0)),"")</f>
        <v/>
      </c>
      <c r="S338" s="10">
        <f>IF(AND(P338="TN",R338="TN"),N338+N(O338),IF(G338&amp;""="1",N(K338)*N338,(N338+N(O338))*N(K338)))</f>
        <v/>
      </c>
      <c r="T338" s="10">
        <f>IF(Q338="","",Q338-S338)</f>
        <v/>
      </c>
    </row>
    <row r="339">
      <c r="A339" s="7">
        <f>CONCATENATE(C339,E339,F339,I339)</f>
        <v/>
      </c>
      <c r="B339" s="7">
        <f>CONCATENATE(C339,E339,I339)</f>
        <v/>
      </c>
      <c r="C339" s="8" t="n">
        <v>900001074</v>
      </c>
      <c r="D339" s="7">
        <f>IFERROR(VLOOKUP(C339,TRAOPE!$G:$H,2,0),"")</f>
        <v/>
      </c>
      <c r="E339" s="8" t="inlineStr">
        <is>
          <t>D836</t>
        </is>
      </c>
      <c r="F339" s="8" t="inlineStr">
        <is>
          <t>66779276</t>
        </is>
      </c>
      <c r="G339" s="8">
        <f>IFERROR(VLOOKUP(A339,Flete!$A:$E,5,0),"")</f>
        <v/>
      </c>
      <c r="H339" s="7">
        <f>IFERROR(VLOOKUP(F339,TRAOPE!$AA:$AB,2,0),"")</f>
        <v/>
      </c>
      <c r="I339" s="7" t="n">
        <v>10000140</v>
      </c>
      <c r="J339" s="7">
        <f>IFERROR(VLOOKUP(I339,Materiales!$A:$H,8,0),"")</f>
        <v/>
      </c>
      <c r="K339" s="9">
        <f>IFERROR(VLOOKUP(I339,Materiales!$A:$G,7,0),"")</f>
        <v/>
      </c>
      <c r="L339" s="8" t="inlineStr">
        <is>
          <t>20190426</t>
        </is>
      </c>
      <c r="M339" s="8" t="inlineStr">
        <is>
          <t>20250127</t>
        </is>
      </c>
      <c r="N339" s="10" t="n">
        <v>96</v>
      </c>
      <c r="O339" s="10">
        <f>IFERROR(VLOOKUP(A339,Flete!$A:$J,10,0),"")</f>
        <v/>
      </c>
      <c r="P339" s="8" t="inlineStr">
        <is>
          <t>M3</t>
        </is>
      </c>
      <c r="Q339" s="10">
        <f>IFERROR(IFERROR(VLOOKUP(A339,TRAOPE!$A:$U,21,0),VLOOKUP(B339,TRAOPE!$A:$U,21,0)),"")</f>
        <v/>
      </c>
      <c r="R339" s="8">
        <f>IFERROR(IFERROR(VLOOKUP(A339,TRAOPE!$A:$W,23,0),VLOOKUP(B339,TRAOPE!$A:$W,23,0)),"")</f>
        <v/>
      </c>
      <c r="S339" s="10">
        <f>IF(AND(P339="TN",R339="TN"),N339+N(O339),IF(G339&amp;""="1",N(K339)*N339,(N339+N(O339))*N(K339)))</f>
        <v/>
      </c>
      <c r="T339" s="10">
        <f>IF(Q339="","",Q339-S339)</f>
        <v/>
      </c>
    </row>
    <row r="340">
      <c r="A340" s="7">
        <f>CONCATENATE(C340,E340,F340,I340)</f>
        <v/>
      </c>
      <c r="B340" s="7">
        <f>CONCATENATE(C340,E340,I340)</f>
        <v/>
      </c>
      <c r="C340" s="8" t="n">
        <v>900001074</v>
      </c>
      <c r="D340" s="7">
        <f>IFERROR(VLOOKUP(C340,TRAOPE!$G:$H,2,0),"")</f>
        <v/>
      </c>
      <c r="E340" s="8" t="inlineStr">
        <is>
          <t>D836</t>
        </is>
      </c>
      <c r="F340" s="8" t="inlineStr">
        <is>
          <t>66779276</t>
        </is>
      </c>
      <c r="G340" s="8">
        <f>IFERROR(VLOOKUP(A340,Flete!$A:$E,5,0),"")</f>
        <v/>
      </c>
      <c r="H340" s="7">
        <f>IFERROR(VLOOKUP(F340,TRAOPE!$AA:$AB,2,0),"")</f>
        <v/>
      </c>
      <c r="I340" s="7" t="n">
        <v>10175723</v>
      </c>
      <c r="J340" s="7">
        <f>IFERROR(VLOOKUP(I340,Materiales!$A:$H,8,0),"")</f>
        <v/>
      </c>
      <c r="K340" s="9">
        <f>IFERROR(VLOOKUP(I340,Materiales!$A:$G,7,0),"")</f>
        <v/>
      </c>
      <c r="L340" s="8" t="inlineStr">
        <is>
          <t>20190426</t>
        </is>
      </c>
      <c r="M340" s="8" t="inlineStr">
        <is>
          <t>20250127</t>
        </is>
      </c>
      <c r="N340" s="10" t="n">
        <v>126.5</v>
      </c>
      <c r="O340" s="10">
        <f>IFERROR(VLOOKUP(A340,Flete!$A:$J,10,0),"")</f>
        <v/>
      </c>
      <c r="P340" s="8" t="inlineStr">
        <is>
          <t>M3</t>
        </is>
      </c>
      <c r="Q340" s="10">
        <f>IFERROR(IFERROR(VLOOKUP(A340,TRAOPE!$A:$U,21,0),VLOOKUP(B340,TRAOPE!$A:$U,21,0)),"")</f>
        <v/>
      </c>
      <c r="R340" s="8">
        <f>IFERROR(IFERROR(VLOOKUP(A340,TRAOPE!$A:$W,23,0),VLOOKUP(B340,TRAOPE!$A:$W,23,0)),"")</f>
        <v/>
      </c>
      <c r="S340" s="10">
        <f>IF(AND(P340="TN",R340="TN"),N340+N(O340),IF(G340&amp;""="1",N(K340)*N340,(N340+N(O340))*N(K340)))</f>
        <v/>
      </c>
      <c r="T340" s="10">
        <f>IF(Q340="","",Q340-S340)</f>
        <v/>
      </c>
    </row>
    <row r="341">
      <c r="A341" s="7">
        <f>CONCATENATE(C341,E341,F341,I341)</f>
        <v/>
      </c>
      <c r="B341" s="7">
        <f>CONCATENATE(C341,E341,I341)</f>
        <v/>
      </c>
      <c r="C341" s="8" t="n">
        <v>900001074</v>
      </c>
      <c r="D341" s="7">
        <f>IFERROR(VLOOKUP(C341,TRAOPE!$G:$H,2,0),"")</f>
        <v/>
      </c>
      <c r="E341" s="8" t="inlineStr">
        <is>
          <t>D836</t>
        </is>
      </c>
      <c r="F341" s="8" t="inlineStr">
        <is>
          <t>66799029</t>
        </is>
      </c>
      <c r="G341" s="8">
        <f>IFERROR(VLOOKUP(A341,Flete!$A:$E,5,0),"")</f>
        <v/>
      </c>
      <c r="H341" s="7">
        <f>IFERROR(VLOOKUP(F341,TRAOPE!$AA:$AB,2,0),"")</f>
        <v/>
      </c>
      <c r="I341" s="7" t="n">
        <v>10000160</v>
      </c>
      <c r="J341" s="7">
        <f>IFERROR(VLOOKUP(I341,Materiales!$A:$H,8,0),"")</f>
        <v/>
      </c>
      <c r="K341" s="9">
        <f>IFERROR(VLOOKUP(I341,Materiales!$A:$G,7,0),"")</f>
        <v/>
      </c>
      <c r="L341" s="8" t="inlineStr">
        <is>
          <t>20190426</t>
        </is>
      </c>
      <c r="M341" s="8" t="inlineStr">
        <is>
          <t>20250127</t>
        </is>
      </c>
      <c r="N341" s="10" t="n">
        <v>85</v>
      </c>
      <c r="O341" s="10">
        <f>IFERROR(VLOOKUP(A341,Flete!$A:$J,10,0),"")</f>
        <v/>
      </c>
      <c r="P341" s="8" t="inlineStr">
        <is>
          <t>M3</t>
        </is>
      </c>
      <c r="Q341" s="10">
        <f>IFERROR(IFERROR(VLOOKUP(A341,TRAOPE!$A:$U,21,0),VLOOKUP(B341,TRAOPE!$A:$U,21,0)),"")</f>
        <v/>
      </c>
      <c r="R341" s="8">
        <f>IFERROR(IFERROR(VLOOKUP(A341,TRAOPE!$A:$W,23,0),VLOOKUP(B341,TRAOPE!$A:$W,23,0)),"")</f>
        <v/>
      </c>
      <c r="S341" s="10">
        <f>IF(AND(P341="TN",R341="TN"),N341+N(O341),IF(G341&amp;""="1",N(K341)*N341,(N341+N(O341))*N(K341)))</f>
        <v/>
      </c>
      <c r="T341" s="10">
        <f>IF(Q341="","",Q341-S341)</f>
        <v/>
      </c>
    </row>
    <row r="342">
      <c r="A342" s="7">
        <f>CONCATENATE(C342,E342,F342,I342)</f>
        <v/>
      </c>
      <c r="B342" s="7">
        <f>CONCATENATE(C342,E342,I342)</f>
        <v/>
      </c>
      <c r="C342" s="8" t="n">
        <v>900001074</v>
      </c>
      <c r="D342" s="7">
        <f>IFERROR(VLOOKUP(C342,TRAOPE!$G:$H,2,0),"")</f>
        <v/>
      </c>
      <c r="E342" s="8" t="inlineStr">
        <is>
          <t>D836</t>
        </is>
      </c>
      <c r="F342" s="8" t="inlineStr">
        <is>
          <t>66799029</t>
        </is>
      </c>
      <c r="G342" s="8">
        <f>IFERROR(VLOOKUP(A342,Flete!$A:$E,5,0),"")</f>
        <v/>
      </c>
      <c r="H342" s="7">
        <f>IFERROR(VLOOKUP(F342,TRAOPE!$AA:$AB,2,0),"")</f>
        <v/>
      </c>
      <c r="I342" s="7" t="n">
        <v>10000357</v>
      </c>
      <c r="J342" s="7">
        <f>IFERROR(VLOOKUP(I342,Materiales!$A:$H,8,0),"")</f>
        <v/>
      </c>
      <c r="K342" s="9">
        <f>IFERROR(VLOOKUP(I342,Materiales!$A:$G,7,0),"")</f>
        <v/>
      </c>
      <c r="L342" s="8" t="inlineStr">
        <is>
          <t>20190426</t>
        </is>
      </c>
      <c r="M342" s="8" t="inlineStr">
        <is>
          <t>20250127</t>
        </is>
      </c>
      <c r="N342" s="10" t="n">
        <v>98</v>
      </c>
      <c r="O342" s="10">
        <f>IFERROR(VLOOKUP(A342,Flete!$A:$J,10,0),"")</f>
        <v/>
      </c>
      <c r="P342" s="8" t="inlineStr">
        <is>
          <t>M3</t>
        </is>
      </c>
      <c r="Q342" s="10">
        <f>IFERROR(IFERROR(VLOOKUP(A342,TRAOPE!$A:$U,21,0),VLOOKUP(B342,TRAOPE!$A:$U,21,0)),"")</f>
        <v/>
      </c>
      <c r="R342" s="8">
        <f>IFERROR(IFERROR(VLOOKUP(A342,TRAOPE!$A:$W,23,0),VLOOKUP(B342,TRAOPE!$A:$W,23,0)),"")</f>
        <v/>
      </c>
      <c r="S342" s="10">
        <f>IF(AND(P342="TN",R342="TN"),N342+N(O342),IF(G342&amp;""="1",N(K342)*N342,(N342+N(O342))*N(K342)))</f>
        <v/>
      </c>
      <c r="T342" s="10">
        <f>IF(Q342="","",Q342-S342)</f>
        <v/>
      </c>
    </row>
    <row r="343">
      <c r="A343" s="7">
        <f>CONCATENATE(C343,E343,F343,I343)</f>
        <v/>
      </c>
      <c r="B343" s="7">
        <f>CONCATENATE(C343,E343,I343)</f>
        <v/>
      </c>
      <c r="C343" s="8" t="n">
        <v>900001074</v>
      </c>
      <c r="D343" s="7">
        <f>IFERROR(VLOOKUP(C343,TRAOPE!$G:$H,2,0),"")</f>
        <v/>
      </c>
      <c r="E343" s="8" t="inlineStr">
        <is>
          <t>D836</t>
        </is>
      </c>
      <c r="F343" s="8" t="inlineStr">
        <is>
          <t>66819150</t>
        </is>
      </c>
      <c r="G343" s="8">
        <f>IFERROR(VLOOKUP(A343,Flete!$A:$E,5,0),"")</f>
        <v/>
      </c>
      <c r="H343" s="7">
        <f>IFERROR(VLOOKUP(F343,TRAOPE!$AA:$AB,2,0),"")</f>
        <v/>
      </c>
      <c r="I343" s="7" t="n">
        <v>10000160</v>
      </c>
      <c r="J343" s="7">
        <f>IFERROR(VLOOKUP(I343,Materiales!$A:$H,8,0),"")</f>
        <v/>
      </c>
      <c r="K343" s="9">
        <f>IFERROR(VLOOKUP(I343,Materiales!$A:$G,7,0),"")</f>
        <v/>
      </c>
      <c r="L343" s="8" t="inlineStr">
        <is>
          <t>20190426</t>
        </is>
      </c>
      <c r="M343" s="8" t="inlineStr">
        <is>
          <t>20250127</t>
        </is>
      </c>
      <c r="N343" s="10" t="n">
        <v>89.25</v>
      </c>
      <c r="O343" s="10">
        <f>IFERROR(VLOOKUP(A343,Flete!$A:$J,10,0),"")</f>
        <v/>
      </c>
      <c r="P343" s="8" t="inlineStr">
        <is>
          <t>M3</t>
        </is>
      </c>
      <c r="Q343" s="10">
        <f>IFERROR(IFERROR(VLOOKUP(A343,TRAOPE!$A:$U,21,0),VLOOKUP(B343,TRAOPE!$A:$U,21,0)),"")</f>
        <v/>
      </c>
      <c r="R343" s="8">
        <f>IFERROR(IFERROR(VLOOKUP(A343,TRAOPE!$A:$W,23,0),VLOOKUP(B343,TRAOPE!$A:$W,23,0)),"")</f>
        <v/>
      </c>
      <c r="S343" s="10">
        <f>IF(AND(P343="TN",R343="TN"),N343+N(O343),IF(G343&amp;""="1",N(K343)*N343,(N343+N(O343))*N(K343)))</f>
        <v/>
      </c>
      <c r="T343" s="10">
        <f>IF(Q343="","",Q343-S343)</f>
        <v/>
      </c>
    </row>
    <row r="344">
      <c r="A344" s="7">
        <f>CONCATENATE(C344,E344,F344,I344)</f>
        <v/>
      </c>
      <c r="B344" s="7">
        <f>CONCATENATE(C344,E344,I344)</f>
        <v/>
      </c>
      <c r="C344" s="8" t="n">
        <v>900001074</v>
      </c>
      <c r="D344" s="7">
        <f>IFERROR(VLOOKUP(C344,TRAOPE!$G:$H,2,0),"")</f>
        <v/>
      </c>
      <c r="E344" s="8" t="inlineStr">
        <is>
          <t>D836</t>
        </is>
      </c>
      <c r="F344" s="8" t="inlineStr">
        <is>
          <t>66819150</t>
        </is>
      </c>
      <c r="G344" s="8">
        <f>IFERROR(VLOOKUP(A344,Flete!$A:$E,5,0),"")</f>
        <v/>
      </c>
      <c r="H344" s="7">
        <f>IFERROR(VLOOKUP(F344,TRAOPE!$AA:$AB,2,0),"")</f>
        <v/>
      </c>
      <c r="I344" s="7" t="n">
        <v>10000357</v>
      </c>
      <c r="J344" s="7">
        <f>IFERROR(VLOOKUP(I344,Materiales!$A:$H,8,0),"")</f>
        <v/>
      </c>
      <c r="K344" s="9">
        <f>IFERROR(VLOOKUP(I344,Materiales!$A:$G,7,0),"")</f>
        <v/>
      </c>
      <c r="L344" s="8" t="inlineStr">
        <is>
          <t>20190426</t>
        </is>
      </c>
      <c r="M344" s="8" t="inlineStr">
        <is>
          <t>20250127</t>
        </is>
      </c>
      <c r="N344" s="10" t="n">
        <v>100.8</v>
      </c>
      <c r="O344" s="10">
        <f>IFERROR(VLOOKUP(A344,Flete!$A:$J,10,0),"")</f>
        <v/>
      </c>
      <c r="P344" s="8" t="inlineStr">
        <is>
          <t>M3</t>
        </is>
      </c>
      <c r="Q344" s="10">
        <f>IFERROR(IFERROR(VLOOKUP(A344,TRAOPE!$A:$U,21,0),VLOOKUP(B344,TRAOPE!$A:$U,21,0)),"")</f>
        <v/>
      </c>
      <c r="R344" s="8">
        <f>IFERROR(IFERROR(VLOOKUP(A344,TRAOPE!$A:$W,23,0),VLOOKUP(B344,TRAOPE!$A:$W,23,0)),"")</f>
        <v/>
      </c>
      <c r="S344" s="10">
        <f>IF(AND(P344="TN",R344="TN"),N344+N(O344),IF(G344&amp;""="1",N(K344)*N344,(N344+N(O344))*N(K344)))</f>
        <v/>
      </c>
      <c r="T344" s="10">
        <f>IF(Q344="","",Q344-S344)</f>
        <v/>
      </c>
    </row>
    <row r="345">
      <c r="A345" s="7">
        <f>CONCATENATE(C345,E345,F345,I345)</f>
        <v/>
      </c>
      <c r="B345" s="7">
        <f>CONCATENATE(C345,E345,I345)</f>
        <v/>
      </c>
      <c r="C345" s="8" t="n">
        <v>900001074</v>
      </c>
      <c r="D345" s="7">
        <f>IFERROR(VLOOKUP(C345,TRAOPE!$G:$H,2,0),"")</f>
        <v/>
      </c>
      <c r="E345" s="8" t="inlineStr">
        <is>
          <t>D836</t>
        </is>
      </c>
      <c r="F345" s="8" t="inlineStr">
        <is>
          <t>66820551</t>
        </is>
      </c>
      <c r="G345" s="8">
        <f>IFERROR(VLOOKUP(A345,Flete!$A:$E,5,0),"")</f>
        <v/>
      </c>
      <c r="H345" s="7">
        <f>IFERROR(VLOOKUP(F345,TRAOPE!$AA:$AB,2,0),"")</f>
        <v/>
      </c>
      <c r="I345" s="7" t="n">
        <v>10000160</v>
      </c>
      <c r="J345" s="7">
        <f>IFERROR(VLOOKUP(I345,Materiales!$A:$H,8,0),"")</f>
        <v/>
      </c>
      <c r="K345" s="9">
        <f>IFERROR(VLOOKUP(I345,Materiales!$A:$G,7,0),"")</f>
        <v/>
      </c>
      <c r="L345" s="8" t="inlineStr">
        <is>
          <t>20190426</t>
        </is>
      </c>
      <c r="M345" s="8" t="inlineStr">
        <is>
          <t>20250127</t>
        </is>
      </c>
      <c r="N345" s="10" t="n">
        <v>90</v>
      </c>
      <c r="O345" s="10">
        <f>IFERROR(VLOOKUP(A345,Flete!$A:$J,10,0),"")</f>
        <v/>
      </c>
      <c r="P345" s="8" t="inlineStr">
        <is>
          <t>M3</t>
        </is>
      </c>
      <c r="Q345" s="10">
        <f>IFERROR(IFERROR(VLOOKUP(A345,TRAOPE!$A:$U,21,0),VLOOKUP(B345,TRAOPE!$A:$U,21,0)),"")</f>
        <v/>
      </c>
      <c r="R345" s="8">
        <f>IFERROR(IFERROR(VLOOKUP(A345,TRAOPE!$A:$W,23,0),VLOOKUP(B345,TRAOPE!$A:$W,23,0)),"")</f>
        <v/>
      </c>
      <c r="S345" s="10">
        <f>IF(AND(P345="TN",R345="TN"),N345+N(O345),IF(G345&amp;""="1",N(K345)*N345,(N345+N(O345))*N(K345)))</f>
        <v/>
      </c>
      <c r="T345" s="10">
        <f>IF(Q345="","",Q345-S345)</f>
        <v/>
      </c>
    </row>
    <row r="346">
      <c r="A346" s="7">
        <f>CONCATENATE(C346,E346,F346,I346)</f>
        <v/>
      </c>
      <c r="B346" s="7">
        <f>CONCATENATE(C346,E346,I346)</f>
        <v/>
      </c>
      <c r="C346" s="8" t="n">
        <v>900001074</v>
      </c>
      <c r="D346" s="7">
        <f>IFERROR(VLOOKUP(C346,TRAOPE!$G:$H,2,0),"")</f>
        <v/>
      </c>
      <c r="E346" s="8" t="inlineStr">
        <is>
          <t>D836</t>
        </is>
      </c>
      <c r="F346" s="8" t="inlineStr">
        <is>
          <t>66820551</t>
        </is>
      </c>
      <c r="G346" s="8">
        <f>IFERROR(VLOOKUP(A346,Flete!$A:$E,5,0),"")</f>
        <v/>
      </c>
      <c r="H346" s="7">
        <f>IFERROR(VLOOKUP(F346,TRAOPE!$AA:$AB,2,0),"")</f>
        <v/>
      </c>
      <c r="I346" s="7" t="n">
        <v>10000357</v>
      </c>
      <c r="J346" s="7">
        <f>IFERROR(VLOOKUP(I346,Materiales!$A:$H,8,0),"")</f>
        <v/>
      </c>
      <c r="K346" s="9">
        <f>IFERROR(VLOOKUP(I346,Materiales!$A:$G,7,0),"")</f>
        <v/>
      </c>
      <c r="L346" s="8" t="inlineStr">
        <is>
          <t>20190426</t>
        </is>
      </c>
      <c r="M346" s="8" t="inlineStr">
        <is>
          <t>20250127</t>
        </is>
      </c>
      <c r="N346" s="10" t="n">
        <v>103</v>
      </c>
      <c r="O346" s="10">
        <f>IFERROR(VLOOKUP(A346,Flete!$A:$J,10,0),"")</f>
        <v/>
      </c>
      <c r="P346" s="8" t="inlineStr">
        <is>
          <t>M3</t>
        </is>
      </c>
      <c r="Q346" s="10">
        <f>IFERROR(IFERROR(VLOOKUP(A346,TRAOPE!$A:$U,21,0),VLOOKUP(B346,TRAOPE!$A:$U,21,0)),"")</f>
        <v/>
      </c>
      <c r="R346" s="8">
        <f>IFERROR(IFERROR(VLOOKUP(A346,TRAOPE!$A:$W,23,0),VLOOKUP(B346,TRAOPE!$A:$W,23,0)),"")</f>
        <v/>
      </c>
      <c r="S346" s="10">
        <f>IF(AND(P346="TN",R346="TN"),N346+N(O346),IF(G346&amp;""="1",N(K346)*N346,(N346+N(O346))*N(K346)))</f>
        <v/>
      </c>
      <c r="T346" s="10">
        <f>IF(Q346="","",Q346-S346)</f>
        <v/>
      </c>
    </row>
    <row r="347">
      <c r="A347" s="7">
        <f>CONCATENATE(C347,E347,F347,I347)</f>
        <v/>
      </c>
      <c r="B347" s="7">
        <f>CONCATENATE(C347,E347,I347)</f>
        <v/>
      </c>
      <c r="C347" s="8" t="n">
        <v>900001074</v>
      </c>
      <c r="D347" s="7">
        <f>IFERROR(VLOOKUP(C347,TRAOPE!$G:$H,2,0),"")</f>
        <v/>
      </c>
      <c r="E347" s="8" t="inlineStr">
        <is>
          <t>D836</t>
        </is>
      </c>
      <c r="F347" s="8" t="inlineStr">
        <is>
          <t>66840672</t>
        </is>
      </c>
      <c r="G347" s="8">
        <f>IFERROR(VLOOKUP(A347,Flete!$A:$E,5,0),"")</f>
        <v/>
      </c>
      <c r="H347" s="7">
        <f>IFERROR(VLOOKUP(F347,TRAOPE!$AA:$AB,2,0),"")</f>
        <v/>
      </c>
      <c r="I347" s="7" t="n">
        <v>10172240</v>
      </c>
      <c r="J347" s="7">
        <f>IFERROR(VLOOKUP(I347,Materiales!$A:$H,8,0),"")</f>
        <v/>
      </c>
      <c r="K347" s="9">
        <f>IFERROR(VLOOKUP(I347,Materiales!$A:$G,7,0),"")</f>
        <v/>
      </c>
      <c r="L347" s="8" t="inlineStr">
        <is>
          <t>20190426</t>
        </is>
      </c>
      <c r="M347" s="8" t="inlineStr">
        <is>
          <t>20250127</t>
        </is>
      </c>
      <c r="N347" s="10" t="n">
        <v>138</v>
      </c>
      <c r="O347" s="10">
        <f>IFERROR(VLOOKUP(A347,Flete!$A:$J,10,0),"")</f>
        <v/>
      </c>
      <c r="P347" s="8" t="inlineStr">
        <is>
          <t>M3</t>
        </is>
      </c>
      <c r="Q347" s="10">
        <f>IFERROR(IFERROR(VLOOKUP(A347,TRAOPE!$A:$U,21,0),VLOOKUP(B347,TRAOPE!$A:$U,21,0)),"")</f>
        <v/>
      </c>
      <c r="R347" s="8">
        <f>IFERROR(IFERROR(VLOOKUP(A347,TRAOPE!$A:$W,23,0),VLOOKUP(B347,TRAOPE!$A:$W,23,0)),"")</f>
        <v/>
      </c>
      <c r="S347" s="10">
        <f>IF(AND(P347="TN",R347="TN"),N347+N(O347),IF(G347&amp;""="1",N(K347)*N347,(N347+N(O347))*N(K347)))</f>
        <v/>
      </c>
      <c r="T347" s="10">
        <f>IF(Q347="","",Q347-S347)</f>
        <v/>
      </c>
    </row>
    <row r="348">
      <c r="A348" s="7">
        <f>CONCATENATE(C348,E348,F348,I348)</f>
        <v/>
      </c>
      <c r="B348" s="7">
        <f>CONCATENATE(C348,E348,I348)</f>
        <v/>
      </c>
      <c r="C348" s="8" t="n">
        <v>900001074</v>
      </c>
      <c r="D348" s="7">
        <f>IFERROR(VLOOKUP(C348,TRAOPE!$G:$H,2,0),"")</f>
        <v/>
      </c>
      <c r="E348" s="8" t="inlineStr">
        <is>
          <t>D836</t>
        </is>
      </c>
      <c r="F348" s="8" t="inlineStr">
        <is>
          <t>66853858</t>
        </is>
      </c>
      <c r="G348" s="8">
        <f>IFERROR(VLOOKUP(A348,Flete!$A:$E,5,0),"")</f>
        <v/>
      </c>
      <c r="H348" s="7">
        <f>IFERROR(VLOOKUP(F348,TRAOPE!$AA:$AB,2,0),"")</f>
        <v/>
      </c>
      <c r="I348" s="7" t="n">
        <v>10000160</v>
      </c>
      <c r="J348" s="7">
        <f>IFERROR(VLOOKUP(I348,Materiales!$A:$H,8,0),"")</f>
        <v/>
      </c>
      <c r="K348" s="9">
        <f>IFERROR(VLOOKUP(I348,Materiales!$A:$G,7,0),"")</f>
        <v/>
      </c>
      <c r="L348" s="8" t="inlineStr">
        <is>
          <t>20190426</t>
        </is>
      </c>
      <c r="M348" s="8" t="inlineStr">
        <is>
          <t>20250127</t>
        </is>
      </c>
      <c r="N348" s="10" t="n">
        <v>84</v>
      </c>
      <c r="O348" s="10">
        <f>IFERROR(VLOOKUP(A348,Flete!$A:$J,10,0),"")</f>
        <v/>
      </c>
      <c r="P348" s="8" t="inlineStr">
        <is>
          <t>M3</t>
        </is>
      </c>
      <c r="Q348" s="10">
        <f>IFERROR(IFERROR(VLOOKUP(A348,TRAOPE!$A:$U,21,0),VLOOKUP(B348,TRAOPE!$A:$U,21,0)),"")</f>
        <v/>
      </c>
      <c r="R348" s="8">
        <f>IFERROR(IFERROR(VLOOKUP(A348,TRAOPE!$A:$W,23,0),VLOOKUP(B348,TRAOPE!$A:$W,23,0)),"")</f>
        <v/>
      </c>
      <c r="S348" s="10">
        <f>IF(AND(P348="TN",R348="TN"),N348+N(O348),IF(G348&amp;""="1",N(K348)*N348,(N348+N(O348))*N(K348)))</f>
        <v/>
      </c>
      <c r="T348" s="10">
        <f>IF(Q348="","",Q348-S348)</f>
        <v/>
      </c>
    </row>
    <row r="349">
      <c r="A349" s="7">
        <f>CONCATENATE(C349,E349,F349,I349)</f>
        <v/>
      </c>
      <c r="B349" s="7">
        <f>CONCATENATE(C349,E349,I349)</f>
        <v/>
      </c>
      <c r="C349" s="8" t="n">
        <v>900001074</v>
      </c>
      <c r="D349" s="7">
        <f>IFERROR(VLOOKUP(C349,TRAOPE!$G:$H,2,0),"")</f>
        <v/>
      </c>
      <c r="E349" s="8" t="inlineStr">
        <is>
          <t>D836</t>
        </is>
      </c>
      <c r="F349" s="8" t="inlineStr">
        <is>
          <t>66853858</t>
        </is>
      </c>
      <c r="G349" s="8">
        <f>IFERROR(VLOOKUP(A349,Flete!$A:$E,5,0),"")</f>
        <v/>
      </c>
      <c r="H349" s="7">
        <f>IFERROR(VLOOKUP(F349,TRAOPE!$AA:$AB,2,0),"")</f>
        <v/>
      </c>
      <c r="I349" s="7" t="n">
        <v>10000357</v>
      </c>
      <c r="J349" s="7">
        <f>IFERROR(VLOOKUP(I349,Materiales!$A:$H,8,0),"")</f>
        <v/>
      </c>
      <c r="K349" s="9">
        <f>IFERROR(VLOOKUP(I349,Materiales!$A:$G,7,0),"")</f>
        <v/>
      </c>
      <c r="L349" s="8" t="inlineStr">
        <is>
          <t>20190426</t>
        </is>
      </c>
      <c r="M349" s="8" t="inlineStr">
        <is>
          <t>20250127</t>
        </is>
      </c>
      <c r="N349" s="10" t="n">
        <v>95.5</v>
      </c>
      <c r="O349" s="10">
        <f>IFERROR(VLOOKUP(A349,Flete!$A:$J,10,0),"")</f>
        <v/>
      </c>
      <c r="P349" s="8" t="inlineStr">
        <is>
          <t>M3</t>
        </is>
      </c>
      <c r="Q349" s="10">
        <f>IFERROR(IFERROR(VLOOKUP(A349,TRAOPE!$A:$U,21,0),VLOOKUP(B349,TRAOPE!$A:$U,21,0)),"")</f>
        <v/>
      </c>
      <c r="R349" s="8">
        <f>IFERROR(IFERROR(VLOOKUP(A349,TRAOPE!$A:$W,23,0),VLOOKUP(B349,TRAOPE!$A:$W,23,0)),"")</f>
        <v/>
      </c>
      <c r="S349" s="10">
        <f>IF(AND(P349="TN",R349="TN"),N349+N(O349),IF(G349&amp;""="1",N(K349)*N349,(N349+N(O349))*N(K349)))</f>
        <v/>
      </c>
      <c r="T349" s="10">
        <f>IF(Q349="","",Q349-S349)</f>
        <v/>
      </c>
    </row>
    <row r="350">
      <c r="A350" s="7">
        <f>CONCATENATE(C350,E350,F350,I350)</f>
        <v/>
      </c>
      <c r="B350" s="7">
        <f>CONCATENATE(C350,E350,I350)</f>
        <v/>
      </c>
      <c r="C350" s="8" t="n">
        <v>900001074</v>
      </c>
      <c r="D350" s="7">
        <f>IFERROR(VLOOKUP(C350,TRAOPE!$G:$H,2,0),"")</f>
        <v/>
      </c>
      <c r="E350" s="8" t="inlineStr">
        <is>
          <t>D836</t>
        </is>
      </c>
      <c r="F350" s="8" t="inlineStr">
        <is>
          <t>66853858</t>
        </is>
      </c>
      <c r="G350" s="8">
        <f>IFERROR(VLOOKUP(A350,Flete!$A:$E,5,0),"")</f>
        <v/>
      </c>
      <c r="H350" s="7">
        <f>IFERROR(VLOOKUP(F350,TRAOPE!$AA:$AB,2,0),"")</f>
        <v/>
      </c>
      <c r="I350" s="7" t="n">
        <v>10000627</v>
      </c>
      <c r="J350" s="7">
        <f>IFERROR(VLOOKUP(I350,Materiales!$A:$H,8,0),"")</f>
        <v/>
      </c>
      <c r="K350" s="9">
        <f>IFERROR(VLOOKUP(I350,Materiales!$A:$G,7,0),"")</f>
        <v/>
      </c>
      <c r="L350" s="8" t="inlineStr">
        <is>
          <t>20190426</t>
        </is>
      </c>
      <c r="M350" s="8" t="inlineStr">
        <is>
          <t>20250127</t>
        </is>
      </c>
      <c r="N350" s="10" t="n">
        <v>84</v>
      </c>
      <c r="O350" s="10">
        <f>IFERROR(VLOOKUP(A350,Flete!$A:$J,10,0),"")</f>
        <v/>
      </c>
      <c r="P350" s="8" t="inlineStr">
        <is>
          <t>M3</t>
        </is>
      </c>
      <c r="Q350" s="10">
        <f>IFERROR(IFERROR(VLOOKUP(A350,TRAOPE!$A:$U,21,0),VLOOKUP(B350,TRAOPE!$A:$U,21,0)),"")</f>
        <v/>
      </c>
      <c r="R350" s="8">
        <f>IFERROR(IFERROR(VLOOKUP(A350,TRAOPE!$A:$W,23,0),VLOOKUP(B350,TRAOPE!$A:$W,23,0)),"")</f>
        <v/>
      </c>
      <c r="S350" s="10">
        <f>IF(AND(P350="TN",R350="TN"),N350+N(O350),IF(G350&amp;""="1",N(K350)*N350,(N350+N(O350))*N(K350)))</f>
        <v/>
      </c>
      <c r="T350" s="10">
        <f>IF(Q350="","",Q350-S350)</f>
        <v/>
      </c>
    </row>
    <row r="351">
      <c r="A351" s="7">
        <f>CONCATENATE(C351,E351,F351,I351)</f>
        <v/>
      </c>
      <c r="B351" s="7">
        <f>CONCATENATE(C351,E351,I351)</f>
        <v/>
      </c>
      <c r="C351" s="8" t="n">
        <v>900001074</v>
      </c>
      <c r="D351" s="7">
        <f>IFERROR(VLOOKUP(C351,TRAOPE!$G:$H,2,0),"")</f>
        <v/>
      </c>
      <c r="E351" s="8" t="inlineStr">
        <is>
          <t>D836</t>
        </is>
      </c>
      <c r="F351" s="8" t="inlineStr">
        <is>
          <t>66864508</t>
        </is>
      </c>
      <c r="G351" s="8">
        <f>IFERROR(VLOOKUP(A351,Flete!$A:$E,5,0),"")</f>
        <v/>
      </c>
      <c r="H351" s="7">
        <f>IFERROR(VLOOKUP(F351,TRAOPE!$AA:$AB,2,0),"")</f>
        <v/>
      </c>
      <c r="I351" s="7" t="n">
        <v>10000627</v>
      </c>
      <c r="J351" s="7">
        <f>IFERROR(VLOOKUP(I351,Materiales!$A:$H,8,0),"")</f>
        <v/>
      </c>
      <c r="K351" s="9">
        <f>IFERROR(VLOOKUP(I351,Materiales!$A:$G,7,0),"")</f>
        <v/>
      </c>
      <c r="L351" s="8" t="inlineStr">
        <is>
          <t>20190426</t>
        </is>
      </c>
      <c r="M351" s="8" t="inlineStr">
        <is>
          <t>20250127</t>
        </is>
      </c>
      <c r="N351" s="10" t="n">
        <v>110</v>
      </c>
      <c r="O351" s="10">
        <f>IFERROR(VLOOKUP(A351,Flete!$A:$J,10,0),"")</f>
        <v/>
      </c>
      <c r="P351" s="8" t="inlineStr">
        <is>
          <t>M3</t>
        </is>
      </c>
      <c r="Q351" s="10">
        <f>IFERROR(IFERROR(VLOOKUP(A351,TRAOPE!$A:$U,21,0),VLOOKUP(B351,TRAOPE!$A:$U,21,0)),"")</f>
        <v/>
      </c>
      <c r="R351" s="8">
        <f>IFERROR(IFERROR(VLOOKUP(A351,TRAOPE!$A:$W,23,0),VLOOKUP(B351,TRAOPE!$A:$W,23,0)),"")</f>
        <v/>
      </c>
      <c r="S351" s="10">
        <f>IF(AND(P351="TN",R351="TN"),N351+N(O351),IF(G351&amp;""="1",N(K351)*N351,(N351+N(O351))*N(K351)))</f>
        <v/>
      </c>
      <c r="T351" s="10">
        <f>IF(Q351="","",Q351-S351)</f>
        <v/>
      </c>
    </row>
    <row r="352">
      <c r="A352" s="7">
        <f>CONCATENATE(C352,E352,F352,I352)</f>
        <v/>
      </c>
      <c r="B352" s="7">
        <f>CONCATENATE(C352,E352,I352)</f>
        <v/>
      </c>
      <c r="C352" s="8" t="n">
        <v>900001074</v>
      </c>
      <c r="D352" s="7">
        <f>IFERROR(VLOOKUP(C352,TRAOPE!$G:$H,2,0),"")</f>
        <v/>
      </c>
      <c r="E352" s="8" t="inlineStr">
        <is>
          <t>D836</t>
        </is>
      </c>
      <c r="F352" s="8" t="inlineStr">
        <is>
          <t>66864540</t>
        </is>
      </c>
      <c r="G352" s="8">
        <f>IFERROR(VLOOKUP(A352,Flete!$A:$E,5,0),"")</f>
        <v/>
      </c>
      <c r="H352" s="7">
        <f>IFERROR(VLOOKUP(F352,TRAOPE!$AA:$AB,2,0),"")</f>
        <v/>
      </c>
      <c r="I352" s="7" t="n">
        <v>10000627</v>
      </c>
      <c r="J352" s="7">
        <f>IFERROR(VLOOKUP(I352,Materiales!$A:$H,8,0),"")</f>
        <v/>
      </c>
      <c r="K352" s="9">
        <f>IFERROR(VLOOKUP(I352,Materiales!$A:$G,7,0),"")</f>
        <v/>
      </c>
      <c r="L352" s="8" t="inlineStr">
        <is>
          <t>20190426</t>
        </is>
      </c>
      <c r="M352" s="8" t="inlineStr">
        <is>
          <t>20250127</t>
        </is>
      </c>
      <c r="N352" s="10" t="n">
        <v>110</v>
      </c>
      <c r="O352" s="10">
        <f>IFERROR(VLOOKUP(A352,Flete!$A:$J,10,0),"")</f>
        <v/>
      </c>
      <c r="P352" s="8" t="inlineStr">
        <is>
          <t>M3</t>
        </is>
      </c>
      <c r="Q352" s="10">
        <f>IFERROR(IFERROR(VLOOKUP(A352,TRAOPE!$A:$U,21,0),VLOOKUP(B352,TRAOPE!$A:$U,21,0)),"")</f>
        <v/>
      </c>
      <c r="R352" s="8">
        <f>IFERROR(IFERROR(VLOOKUP(A352,TRAOPE!$A:$W,23,0),VLOOKUP(B352,TRAOPE!$A:$W,23,0)),"")</f>
        <v/>
      </c>
      <c r="S352" s="10">
        <f>IF(AND(P352="TN",R352="TN"),N352+N(O352),IF(G352&amp;""="1",N(K352)*N352,(N352+N(O352))*N(K352)))</f>
        <v/>
      </c>
      <c r="T352" s="10">
        <f>IF(Q352="","",Q352-S352)</f>
        <v/>
      </c>
    </row>
    <row r="353">
      <c r="A353" s="7">
        <f>CONCATENATE(C353,E353,F353,I353)</f>
        <v/>
      </c>
      <c r="B353" s="7">
        <f>CONCATENATE(C353,E353,I353)</f>
        <v/>
      </c>
      <c r="C353" s="8" t="n">
        <v>900001074</v>
      </c>
      <c r="D353" s="7">
        <f>IFERROR(VLOOKUP(C353,TRAOPE!$G:$H,2,0),"")</f>
        <v/>
      </c>
      <c r="E353" s="8" t="inlineStr">
        <is>
          <t>D836</t>
        </is>
      </c>
      <c r="F353" s="8" t="inlineStr">
        <is>
          <t>66874768</t>
        </is>
      </c>
      <c r="G353" s="8">
        <f>IFERROR(VLOOKUP(A353,Flete!$A:$E,5,0),"")</f>
        <v/>
      </c>
      <c r="H353" s="7">
        <f>IFERROR(VLOOKUP(F353,TRAOPE!$AA:$AB,2,0),"")</f>
        <v/>
      </c>
      <c r="I353" s="7" t="n">
        <v>10000160</v>
      </c>
      <c r="J353" s="7">
        <f>IFERROR(VLOOKUP(I353,Materiales!$A:$H,8,0),"")</f>
        <v/>
      </c>
      <c r="K353" s="9">
        <f>IFERROR(VLOOKUP(I353,Materiales!$A:$G,7,0),"")</f>
        <v/>
      </c>
      <c r="L353" s="8" t="inlineStr">
        <is>
          <t>20190426</t>
        </is>
      </c>
      <c r="M353" s="8" t="inlineStr">
        <is>
          <t>20250127</t>
        </is>
      </c>
      <c r="N353" s="10" t="n">
        <v>256.28</v>
      </c>
      <c r="O353" s="10">
        <f>IFERROR(VLOOKUP(A353,Flete!$A:$J,10,0),"")</f>
        <v/>
      </c>
      <c r="P353" s="8" t="inlineStr">
        <is>
          <t>M3</t>
        </is>
      </c>
      <c r="Q353" s="10">
        <f>IFERROR(IFERROR(VLOOKUP(A353,TRAOPE!$A:$U,21,0),VLOOKUP(B353,TRAOPE!$A:$U,21,0)),"")</f>
        <v/>
      </c>
      <c r="R353" s="8">
        <f>IFERROR(IFERROR(VLOOKUP(A353,TRAOPE!$A:$W,23,0),VLOOKUP(B353,TRAOPE!$A:$W,23,0)),"")</f>
        <v/>
      </c>
      <c r="S353" s="10">
        <f>IF(AND(P353="TN",R353="TN"),N353+N(O353),IF(G353&amp;""="1",N(K353)*N353,(N353+N(O353))*N(K353)))</f>
        <v/>
      </c>
      <c r="T353" s="10">
        <f>IF(Q353="","",Q353-S353)</f>
        <v/>
      </c>
    </row>
    <row r="354">
      <c r="A354" s="7">
        <f>CONCATENATE(C354,E354,F354,I354)</f>
        <v/>
      </c>
      <c r="B354" s="7">
        <f>CONCATENATE(C354,E354,I354)</f>
        <v/>
      </c>
      <c r="C354" s="8" t="n">
        <v>900001074</v>
      </c>
      <c r="D354" s="7">
        <f>IFERROR(VLOOKUP(C354,TRAOPE!$G:$H,2,0),"")</f>
        <v/>
      </c>
      <c r="E354" s="8" t="inlineStr">
        <is>
          <t>D836</t>
        </is>
      </c>
      <c r="F354" s="8" t="inlineStr">
        <is>
          <t>66884146</t>
        </is>
      </c>
      <c r="G354" s="8">
        <f>IFERROR(VLOOKUP(A354,Flete!$A:$E,5,0),"")</f>
        <v/>
      </c>
      <c r="H354" s="7">
        <f>IFERROR(VLOOKUP(F354,TRAOPE!$AA:$AB,2,0),"")</f>
        <v/>
      </c>
      <c r="I354" s="7" t="n">
        <v>10000160</v>
      </c>
      <c r="J354" s="7">
        <f>IFERROR(VLOOKUP(I354,Materiales!$A:$H,8,0),"")</f>
        <v/>
      </c>
      <c r="K354" s="9">
        <f>IFERROR(VLOOKUP(I354,Materiales!$A:$G,7,0),"")</f>
        <v/>
      </c>
      <c r="L354" s="8" t="inlineStr">
        <is>
          <t>20190426</t>
        </is>
      </c>
      <c r="M354" s="8" t="inlineStr">
        <is>
          <t>20250127</t>
        </is>
      </c>
      <c r="N354" s="10" t="n">
        <v>94.59999999999999</v>
      </c>
      <c r="O354" s="10">
        <f>IFERROR(VLOOKUP(A354,Flete!$A:$J,10,0),"")</f>
        <v/>
      </c>
      <c r="P354" s="8" t="inlineStr">
        <is>
          <t>M3</t>
        </is>
      </c>
      <c r="Q354" s="10">
        <f>IFERROR(IFERROR(VLOOKUP(A354,TRAOPE!$A:$U,21,0),VLOOKUP(B354,TRAOPE!$A:$U,21,0)),"")</f>
        <v/>
      </c>
      <c r="R354" s="8">
        <f>IFERROR(IFERROR(VLOOKUP(A354,TRAOPE!$A:$W,23,0),VLOOKUP(B354,TRAOPE!$A:$W,23,0)),"")</f>
        <v/>
      </c>
      <c r="S354" s="10">
        <f>IF(AND(P354="TN",R354="TN"),N354+N(O354),IF(G354&amp;""="1",N(K354)*N354,(N354+N(O354))*N(K354)))</f>
        <v/>
      </c>
      <c r="T354" s="10">
        <f>IF(Q354="","",Q354-S354)</f>
        <v/>
      </c>
    </row>
    <row r="355">
      <c r="A355" s="7">
        <f>CONCATENATE(C355,E355,F355,I355)</f>
        <v/>
      </c>
      <c r="B355" s="7">
        <f>CONCATENATE(C355,E355,I355)</f>
        <v/>
      </c>
      <c r="C355" s="8" t="n">
        <v>900001074</v>
      </c>
      <c r="D355" s="7">
        <f>IFERROR(VLOOKUP(C355,TRAOPE!$G:$H,2,0),"")</f>
        <v/>
      </c>
      <c r="E355" s="8" t="inlineStr">
        <is>
          <t>D836</t>
        </is>
      </c>
      <c r="F355" s="8" t="inlineStr">
        <is>
          <t>66884146</t>
        </is>
      </c>
      <c r="G355" s="8">
        <f>IFERROR(VLOOKUP(A355,Flete!$A:$E,5,0),"")</f>
        <v/>
      </c>
      <c r="H355" s="7">
        <f>IFERROR(VLOOKUP(F355,TRAOPE!$AA:$AB,2,0),"")</f>
        <v/>
      </c>
      <c r="I355" s="7" t="n">
        <v>10000357</v>
      </c>
      <c r="J355" s="7">
        <f>IFERROR(VLOOKUP(I355,Materiales!$A:$H,8,0),"")</f>
        <v/>
      </c>
      <c r="K355" s="9">
        <f>IFERROR(VLOOKUP(I355,Materiales!$A:$G,7,0),"")</f>
        <v/>
      </c>
      <c r="L355" s="8" t="inlineStr">
        <is>
          <t>20190426</t>
        </is>
      </c>
      <c r="M355" s="8" t="inlineStr">
        <is>
          <t>20250127</t>
        </is>
      </c>
      <c r="N355" s="10" t="n">
        <v>125</v>
      </c>
      <c r="O355" s="10">
        <f>IFERROR(VLOOKUP(A355,Flete!$A:$J,10,0),"")</f>
        <v/>
      </c>
      <c r="P355" s="8" t="inlineStr">
        <is>
          <t>M3</t>
        </is>
      </c>
      <c r="Q355" s="10">
        <f>IFERROR(IFERROR(VLOOKUP(A355,TRAOPE!$A:$U,21,0),VLOOKUP(B355,TRAOPE!$A:$U,21,0)),"")</f>
        <v/>
      </c>
      <c r="R355" s="8">
        <f>IFERROR(IFERROR(VLOOKUP(A355,TRAOPE!$A:$W,23,0),VLOOKUP(B355,TRAOPE!$A:$W,23,0)),"")</f>
        <v/>
      </c>
      <c r="S355" s="10">
        <f>IF(AND(P355="TN",R355="TN"),N355+N(O355),IF(G355&amp;""="1",N(K355)*N355,(N355+N(O355))*N(K355)))</f>
        <v/>
      </c>
      <c r="T355" s="10">
        <f>IF(Q355="","",Q355-S355)</f>
        <v/>
      </c>
    </row>
    <row r="356">
      <c r="A356" s="7">
        <f>CONCATENATE(C356,E356,F356,I356)</f>
        <v/>
      </c>
      <c r="B356" s="7">
        <f>CONCATENATE(C356,E356,I356)</f>
        <v/>
      </c>
      <c r="C356" s="8" t="n">
        <v>900001074</v>
      </c>
      <c r="D356" s="7">
        <f>IFERROR(VLOOKUP(C356,TRAOPE!$G:$H,2,0),"")</f>
        <v/>
      </c>
      <c r="E356" s="8" t="inlineStr">
        <is>
          <t>D836</t>
        </is>
      </c>
      <c r="F356" s="8" t="inlineStr">
        <is>
          <t>66890781</t>
        </is>
      </c>
      <c r="G356" s="8">
        <f>IFERROR(VLOOKUP(A356,Flete!$A:$E,5,0),"")</f>
        <v/>
      </c>
      <c r="H356" s="7">
        <f>IFERROR(VLOOKUP(F356,TRAOPE!$AA:$AB,2,0),"")</f>
        <v/>
      </c>
      <c r="I356" s="7" t="n">
        <v>10000160</v>
      </c>
      <c r="J356" s="7">
        <f>IFERROR(VLOOKUP(I356,Materiales!$A:$H,8,0),"")</f>
        <v/>
      </c>
      <c r="K356" s="9">
        <f>IFERROR(VLOOKUP(I356,Materiales!$A:$G,7,0),"")</f>
        <v/>
      </c>
      <c r="L356" s="8" t="inlineStr">
        <is>
          <t>20190426</t>
        </is>
      </c>
      <c r="M356" s="8" t="inlineStr">
        <is>
          <t>20250127</t>
        </is>
      </c>
      <c r="N356" s="10" t="n">
        <v>90</v>
      </c>
      <c r="O356" s="10">
        <f>IFERROR(VLOOKUP(A356,Flete!$A:$J,10,0),"")</f>
        <v/>
      </c>
      <c r="P356" s="8" t="inlineStr">
        <is>
          <t>M3</t>
        </is>
      </c>
      <c r="Q356" s="10">
        <f>IFERROR(IFERROR(VLOOKUP(A356,TRAOPE!$A:$U,21,0),VLOOKUP(B356,TRAOPE!$A:$U,21,0)),"")</f>
        <v/>
      </c>
      <c r="R356" s="8">
        <f>IFERROR(IFERROR(VLOOKUP(A356,TRAOPE!$A:$W,23,0),VLOOKUP(B356,TRAOPE!$A:$W,23,0)),"")</f>
        <v/>
      </c>
      <c r="S356" s="10">
        <f>IF(AND(P356="TN",R356="TN"),N356+N(O356),IF(G356&amp;""="1",N(K356)*N356,(N356+N(O356))*N(K356)))</f>
        <v/>
      </c>
      <c r="T356" s="10">
        <f>IF(Q356="","",Q356-S356)</f>
        <v/>
      </c>
    </row>
    <row r="357">
      <c r="A357" s="7">
        <f>CONCATENATE(C357,E357,F357,I357)</f>
        <v/>
      </c>
      <c r="B357" s="7">
        <f>CONCATENATE(C357,E357,I357)</f>
        <v/>
      </c>
      <c r="C357" s="8" t="n">
        <v>900001074</v>
      </c>
      <c r="D357" s="7">
        <f>IFERROR(VLOOKUP(C357,TRAOPE!$G:$H,2,0),"")</f>
        <v/>
      </c>
      <c r="E357" s="8" t="inlineStr">
        <is>
          <t>D836</t>
        </is>
      </c>
      <c r="F357" s="8" t="inlineStr">
        <is>
          <t>66890781</t>
        </is>
      </c>
      <c r="G357" s="8">
        <f>IFERROR(VLOOKUP(A357,Flete!$A:$E,5,0),"")</f>
        <v/>
      </c>
      <c r="H357" s="7">
        <f>IFERROR(VLOOKUP(F357,TRAOPE!$AA:$AB,2,0),"")</f>
        <v/>
      </c>
      <c r="I357" s="7" t="n">
        <v>10000357</v>
      </c>
      <c r="J357" s="7">
        <f>IFERROR(VLOOKUP(I357,Materiales!$A:$H,8,0),"")</f>
        <v/>
      </c>
      <c r="K357" s="9">
        <f>IFERROR(VLOOKUP(I357,Materiales!$A:$G,7,0),"")</f>
        <v/>
      </c>
      <c r="L357" s="8" t="inlineStr">
        <is>
          <t>20190426</t>
        </is>
      </c>
      <c r="M357" s="8" t="inlineStr">
        <is>
          <t>20250127</t>
        </is>
      </c>
      <c r="N357" s="10" t="n">
        <v>100</v>
      </c>
      <c r="O357" s="10">
        <f>IFERROR(VLOOKUP(A357,Flete!$A:$J,10,0),"")</f>
        <v/>
      </c>
      <c r="P357" s="8" t="inlineStr">
        <is>
          <t>M3</t>
        </is>
      </c>
      <c r="Q357" s="10">
        <f>IFERROR(IFERROR(VLOOKUP(A357,TRAOPE!$A:$U,21,0),VLOOKUP(B357,TRAOPE!$A:$U,21,0)),"")</f>
        <v/>
      </c>
      <c r="R357" s="8">
        <f>IFERROR(IFERROR(VLOOKUP(A357,TRAOPE!$A:$W,23,0),VLOOKUP(B357,TRAOPE!$A:$W,23,0)),"")</f>
        <v/>
      </c>
      <c r="S357" s="10">
        <f>IF(AND(P357="TN",R357="TN"),N357+N(O357),IF(G357&amp;""="1",N(K357)*N357,(N357+N(O357))*N(K357)))</f>
        <v/>
      </c>
      <c r="T357" s="10">
        <f>IF(Q357="","",Q357-S357)</f>
        <v/>
      </c>
    </row>
    <row r="358">
      <c r="A358" s="7">
        <f>CONCATENATE(C358,E358,F358,I358)</f>
        <v/>
      </c>
      <c r="B358" s="7">
        <f>CONCATENATE(C358,E358,I358)</f>
        <v/>
      </c>
      <c r="C358" s="8" t="n">
        <v>900001074</v>
      </c>
      <c r="D358" s="7">
        <f>IFERROR(VLOOKUP(C358,TRAOPE!$G:$H,2,0),"")</f>
        <v/>
      </c>
      <c r="E358" s="8" t="inlineStr">
        <is>
          <t>D836</t>
        </is>
      </c>
      <c r="F358" s="8" t="inlineStr">
        <is>
          <t>66905251</t>
        </is>
      </c>
      <c r="G358" s="8">
        <f>IFERROR(VLOOKUP(A358,Flete!$A:$E,5,0),"")</f>
        <v/>
      </c>
      <c r="H358" s="7">
        <f>IFERROR(VLOOKUP(F358,TRAOPE!$AA:$AB,2,0),"")</f>
        <v/>
      </c>
      <c r="I358" s="7" t="n">
        <v>10000160</v>
      </c>
      <c r="J358" s="7">
        <f>IFERROR(VLOOKUP(I358,Materiales!$A:$H,8,0),"")</f>
        <v/>
      </c>
      <c r="K358" s="9">
        <f>IFERROR(VLOOKUP(I358,Materiales!$A:$G,7,0),"")</f>
        <v/>
      </c>
      <c r="L358" s="8" t="inlineStr">
        <is>
          <t>20190426</t>
        </is>
      </c>
      <c r="M358" s="8" t="inlineStr">
        <is>
          <t>20250127</t>
        </is>
      </c>
      <c r="N358" s="10" t="n">
        <v>84</v>
      </c>
      <c r="O358" s="10">
        <f>IFERROR(VLOOKUP(A358,Flete!$A:$J,10,0),"")</f>
        <v/>
      </c>
      <c r="P358" s="8" t="inlineStr">
        <is>
          <t>M3</t>
        </is>
      </c>
      <c r="Q358" s="10">
        <f>IFERROR(IFERROR(VLOOKUP(A358,TRAOPE!$A:$U,21,0),VLOOKUP(B358,TRAOPE!$A:$U,21,0)),"")</f>
        <v/>
      </c>
      <c r="R358" s="8">
        <f>IFERROR(IFERROR(VLOOKUP(A358,TRAOPE!$A:$W,23,0),VLOOKUP(B358,TRAOPE!$A:$W,23,0)),"")</f>
        <v/>
      </c>
      <c r="S358" s="10">
        <f>IF(AND(P358="TN",R358="TN"),N358+N(O358),IF(G358&amp;""="1",N(K358)*N358,(N358+N(O358))*N(K358)))</f>
        <v/>
      </c>
      <c r="T358" s="10">
        <f>IF(Q358="","",Q358-S358)</f>
        <v/>
      </c>
    </row>
    <row r="359">
      <c r="A359" s="7">
        <f>CONCATENATE(C359,E359,F359,I359)</f>
        <v/>
      </c>
      <c r="B359" s="7">
        <f>CONCATENATE(C359,E359,I359)</f>
        <v/>
      </c>
      <c r="C359" s="8" t="n">
        <v>900001074</v>
      </c>
      <c r="D359" s="7">
        <f>IFERROR(VLOOKUP(C359,TRAOPE!$G:$H,2,0),"")</f>
        <v/>
      </c>
      <c r="E359" s="8" t="inlineStr">
        <is>
          <t>D836</t>
        </is>
      </c>
      <c r="F359" s="8" t="inlineStr">
        <is>
          <t>66905251</t>
        </is>
      </c>
      <c r="G359" s="8">
        <f>IFERROR(VLOOKUP(A359,Flete!$A:$E,5,0),"")</f>
        <v/>
      </c>
      <c r="H359" s="7">
        <f>IFERROR(VLOOKUP(F359,TRAOPE!$AA:$AB,2,0),"")</f>
        <v/>
      </c>
      <c r="I359" s="7" t="n">
        <v>10000357</v>
      </c>
      <c r="J359" s="7">
        <f>IFERROR(VLOOKUP(I359,Materiales!$A:$H,8,0),"")</f>
        <v/>
      </c>
      <c r="K359" s="9">
        <f>IFERROR(VLOOKUP(I359,Materiales!$A:$G,7,0),"")</f>
        <v/>
      </c>
      <c r="L359" s="8" t="inlineStr">
        <is>
          <t>20190426</t>
        </is>
      </c>
      <c r="M359" s="8" t="inlineStr">
        <is>
          <t>20250127</t>
        </is>
      </c>
      <c r="N359" s="10" t="n">
        <v>95.5</v>
      </c>
      <c r="O359" s="10">
        <f>IFERROR(VLOOKUP(A359,Flete!$A:$J,10,0),"")</f>
        <v/>
      </c>
      <c r="P359" s="8" t="inlineStr">
        <is>
          <t>M3</t>
        </is>
      </c>
      <c r="Q359" s="10">
        <f>IFERROR(IFERROR(VLOOKUP(A359,TRAOPE!$A:$U,21,0),VLOOKUP(B359,TRAOPE!$A:$U,21,0)),"")</f>
        <v/>
      </c>
      <c r="R359" s="8">
        <f>IFERROR(IFERROR(VLOOKUP(A359,TRAOPE!$A:$W,23,0),VLOOKUP(B359,TRAOPE!$A:$W,23,0)),"")</f>
        <v/>
      </c>
      <c r="S359" s="10">
        <f>IF(AND(P359="TN",R359="TN"),N359+N(O359),IF(G359&amp;""="1",N(K359)*N359,(N359+N(O359))*N(K359)))</f>
        <v/>
      </c>
      <c r="T359" s="10">
        <f>IF(Q359="","",Q359-S359)</f>
        <v/>
      </c>
    </row>
    <row r="360">
      <c r="A360" s="7">
        <f>CONCATENATE(C360,E360,F360,I360)</f>
        <v/>
      </c>
      <c r="B360" s="7">
        <f>CONCATENATE(C360,E360,I360)</f>
        <v/>
      </c>
      <c r="C360" s="8" t="n">
        <v>900001074</v>
      </c>
      <c r="D360" s="7">
        <f>IFERROR(VLOOKUP(C360,TRAOPE!$G:$H,2,0),"")</f>
        <v/>
      </c>
      <c r="E360" s="8" t="inlineStr">
        <is>
          <t>D836</t>
        </is>
      </c>
      <c r="F360" s="8" t="inlineStr">
        <is>
          <t>66905251</t>
        </is>
      </c>
      <c r="G360" s="8">
        <f>IFERROR(VLOOKUP(A360,Flete!$A:$E,5,0),"")</f>
        <v/>
      </c>
      <c r="H360" s="7">
        <f>IFERROR(VLOOKUP(F360,TRAOPE!$AA:$AB,2,0),"")</f>
        <v/>
      </c>
      <c r="I360" s="7" t="n">
        <v>10000627</v>
      </c>
      <c r="J360" s="7">
        <f>IFERROR(VLOOKUP(I360,Materiales!$A:$H,8,0),"")</f>
        <v/>
      </c>
      <c r="K360" s="9">
        <f>IFERROR(VLOOKUP(I360,Materiales!$A:$G,7,0),"")</f>
        <v/>
      </c>
      <c r="L360" s="8" t="inlineStr">
        <is>
          <t>20190426</t>
        </is>
      </c>
      <c r="M360" s="8" t="inlineStr">
        <is>
          <t>20250127</t>
        </is>
      </c>
      <c r="N360" s="10" t="n">
        <v>84</v>
      </c>
      <c r="O360" s="10">
        <f>IFERROR(VLOOKUP(A360,Flete!$A:$J,10,0),"")</f>
        <v/>
      </c>
      <c r="P360" s="8" t="inlineStr">
        <is>
          <t>M3</t>
        </is>
      </c>
      <c r="Q360" s="10">
        <f>IFERROR(IFERROR(VLOOKUP(A360,TRAOPE!$A:$U,21,0),VLOOKUP(B360,TRAOPE!$A:$U,21,0)),"")</f>
        <v/>
      </c>
      <c r="R360" s="8">
        <f>IFERROR(IFERROR(VLOOKUP(A360,TRAOPE!$A:$W,23,0),VLOOKUP(B360,TRAOPE!$A:$W,23,0)),"")</f>
        <v/>
      </c>
      <c r="S360" s="10">
        <f>IF(AND(P360="TN",R360="TN"),N360+N(O360),IF(G360&amp;""="1",N(K360)*N360,(N360+N(O360))*N(K360)))</f>
        <v/>
      </c>
      <c r="T360" s="10">
        <f>IF(Q360="","",Q360-S360)</f>
        <v/>
      </c>
    </row>
    <row r="361">
      <c r="A361" s="7">
        <f>CONCATENATE(C361,E361,F361,I361)</f>
        <v/>
      </c>
      <c r="B361" s="7">
        <f>CONCATENATE(C361,E361,I361)</f>
        <v/>
      </c>
      <c r="C361" s="8" t="n">
        <v>900001074</v>
      </c>
      <c r="D361" s="7">
        <f>IFERROR(VLOOKUP(C361,TRAOPE!$G:$H,2,0),"")</f>
        <v/>
      </c>
      <c r="E361" s="8" t="inlineStr">
        <is>
          <t>D836</t>
        </is>
      </c>
      <c r="F361" s="8" t="inlineStr">
        <is>
          <t>66908488</t>
        </is>
      </c>
      <c r="G361" s="8">
        <f>IFERROR(VLOOKUP(A361,Flete!$A:$E,5,0),"")</f>
        <v/>
      </c>
      <c r="H361" s="7">
        <f>IFERROR(VLOOKUP(F361,TRAOPE!$AA:$AB,2,0),"")</f>
        <v/>
      </c>
      <c r="I361" s="7" t="n">
        <v>10000357</v>
      </c>
      <c r="J361" s="7">
        <f>IFERROR(VLOOKUP(I361,Materiales!$A:$H,8,0),"")</f>
        <v/>
      </c>
      <c r="K361" s="9">
        <f>IFERROR(VLOOKUP(I361,Materiales!$A:$G,7,0),"")</f>
        <v/>
      </c>
      <c r="L361" s="8" t="inlineStr">
        <is>
          <t>20190426</t>
        </is>
      </c>
      <c r="M361" s="8" t="inlineStr">
        <is>
          <t>20250127</t>
        </is>
      </c>
      <c r="N361" s="10" t="n">
        <v>123</v>
      </c>
      <c r="O361" s="10">
        <f>IFERROR(VLOOKUP(A361,Flete!$A:$J,10,0),"")</f>
        <v/>
      </c>
      <c r="P361" s="8" t="inlineStr">
        <is>
          <t>M3</t>
        </is>
      </c>
      <c r="Q361" s="10">
        <f>IFERROR(IFERROR(VLOOKUP(A361,TRAOPE!$A:$U,21,0),VLOOKUP(B361,TRAOPE!$A:$U,21,0)),"")</f>
        <v/>
      </c>
      <c r="R361" s="8">
        <f>IFERROR(IFERROR(VLOOKUP(A361,TRAOPE!$A:$W,23,0),VLOOKUP(B361,TRAOPE!$A:$W,23,0)),"")</f>
        <v/>
      </c>
      <c r="S361" s="10">
        <f>IF(AND(P361="TN",R361="TN"),N361+N(O361),IF(G361&amp;""="1",N(K361)*N361,(N361+N(O361))*N(K361)))</f>
        <v/>
      </c>
      <c r="T361" s="10">
        <f>IF(Q361="","",Q361-S361)</f>
        <v/>
      </c>
    </row>
    <row r="362">
      <c r="A362" s="7">
        <f>CONCATENATE(C362,E362,F362,I362)</f>
        <v/>
      </c>
      <c r="B362" s="7">
        <f>CONCATENATE(C362,E362,I362)</f>
        <v/>
      </c>
      <c r="C362" s="8" t="n">
        <v>900001074</v>
      </c>
      <c r="D362" s="7">
        <f>IFERROR(VLOOKUP(C362,TRAOPE!$G:$H,2,0),"")</f>
        <v/>
      </c>
      <c r="E362" s="8" t="inlineStr">
        <is>
          <t>D836</t>
        </is>
      </c>
      <c r="F362" s="8" t="inlineStr">
        <is>
          <t>66933313</t>
        </is>
      </c>
      <c r="G362" s="8">
        <f>IFERROR(VLOOKUP(A362,Flete!$A:$E,5,0),"")</f>
        <v/>
      </c>
      <c r="H362" s="7">
        <f>IFERROR(VLOOKUP(F362,TRAOPE!$AA:$AB,2,0),"")</f>
        <v/>
      </c>
      <c r="I362" s="7" t="n">
        <v>10000160</v>
      </c>
      <c r="J362" s="7">
        <f>IFERROR(VLOOKUP(I362,Materiales!$A:$H,8,0),"")</f>
        <v/>
      </c>
      <c r="K362" s="9">
        <f>IFERROR(VLOOKUP(I362,Materiales!$A:$G,7,0),"")</f>
        <v/>
      </c>
      <c r="L362" s="8" t="inlineStr">
        <is>
          <t>20190426</t>
        </is>
      </c>
      <c r="M362" s="8" t="inlineStr">
        <is>
          <t>20250127</t>
        </is>
      </c>
      <c r="N362" s="10" t="n">
        <v>90</v>
      </c>
      <c r="O362" s="10">
        <f>IFERROR(VLOOKUP(A362,Flete!$A:$J,10,0),"")</f>
        <v/>
      </c>
      <c r="P362" s="8" t="inlineStr">
        <is>
          <t>M3</t>
        </is>
      </c>
      <c r="Q362" s="10">
        <f>IFERROR(IFERROR(VLOOKUP(A362,TRAOPE!$A:$U,21,0),VLOOKUP(B362,TRAOPE!$A:$U,21,0)),"")</f>
        <v/>
      </c>
      <c r="R362" s="8">
        <f>IFERROR(IFERROR(VLOOKUP(A362,TRAOPE!$A:$W,23,0),VLOOKUP(B362,TRAOPE!$A:$W,23,0)),"")</f>
        <v/>
      </c>
      <c r="S362" s="10">
        <f>IF(AND(P362="TN",R362="TN"),N362+N(O362),IF(G362&amp;""="1",N(K362)*N362,(N362+N(O362))*N(K362)))</f>
        <v/>
      </c>
      <c r="T362" s="10">
        <f>IF(Q362="","",Q362-S362)</f>
        <v/>
      </c>
    </row>
    <row r="363">
      <c r="A363" s="7">
        <f>CONCATENATE(C363,E363,F363,I363)</f>
        <v/>
      </c>
      <c r="B363" s="7">
        <f>CONCATENATE(C363,E363,I363)</f>
        <v/>
      </c>
      <c r="C363" s="8" t="n">
        <v>900001074</v>
      </c>
      <c r="D363" s="7">
        <f>IFERROR(VLOOKUP(C363,TRAOPE!$G:$H,2,0),"")</f>
        <v/>
      </c>
      <c r="E363" s="8" t="inlineStr">
        <is>
          <t>D836</t>
        </is>
      </c>
      <c r="F363" s="8" t="inlineStr">
        <is>
          <t>66982053</t>
        </is>
      </c>
      <c r="G363" s="8">
        <f>IFERROR(VLOOKUP(A363,Flete!$A:$E,5,0),"")</f>
        <v/>
      </c>
      <c r="H363" s="7">
        <f>IFERROR(VLOOKUP(F363,TRAOPE!$AA:$AB,2,0),"")</f>
        <v/>
      </c>
      <c r="I363" s="7" t="n">
        <v>10000627</v>
      </c>
      <c r="J363" s="7">
        <f>IFERROR(VLOOKUP(I363,Materiales!$A:$H,8,0),"")</f>
        <v/>
      </c>
      <c r="K363" s="9">
        <f>IFERROR(VLOOKUP(I363,Materiales!$A:$G,7,0),"")</f>
        <v/>
      </c>
      <c r="L363" s="8" t="inlineStr">
        <is>
          <t>20190426</t>
        </is>
      </c>
      <c r="M363" s="8" t="inlineStr">
        <is>
          <t>20250127</t>
        </is>
      </c>
      <c r="N363" s="10" t="n">
        <v>110</v>
      </c>
      <c r="O363" s="10">
        <f>IFERROR(VLOOKUP(A363,Flete!$A:$J,10,0),"")</f>
        <v/>
      </c>
      <c r="P363" s="8" t="inlineStr">
        <is>
          <t>M3</t>
        </is>
      </c>
      <c r="Q363" s="10">
        <f>IFERROR(IFERROR(VLOOKUP(A363,TRAOPE!$A:$U,21,0),VLOOKUP(B363,TRAOPE!$A:$U,21,0)),"")</f>
        <v/>
      </c>
      <c r="R363" s="8">
        <f>IFERROR(IFERROR(VLOOKUP(A363,TRAOPE!$A:$W,23,0),VLOOKUP(B363,TRAOPE!$A:$W,23,0)),"")</f>
        <v/>
      </c>
      <c r="S363" s="10">
        <f>IF(AND(P363="TN",R363="TN"),N363+N(O363),IF(G363&amp;""="1",N(K363)*N363,(N363+N(O363))*N(K363)))</f>
        <v/>
      </c>
      <c r="T363" s="10">
        <f>IF(Q363="","",Q363-S363)</f>
        <v/>
      </c>
    </row>
    <row r="364">
      <c r="A364" s="7">
        <f>CONCATENATE(C364,E364,F364,I364)</f>
        <v/>
      </c>
      <c r="B364" s="7">
        <f>CONCATENATE(C364,E364,I364)</f>
        <v/>
      </c>
      <c r="C364" s="8" t="n">
        <v>900001074</v>
      </c>
      <c r="D364" s="7">
        <f>IFERROR(VLOOKUP(C364,TRAOPE!$G:$H,2,0),"")</f>
        <v/>
      </c>
      <c r="E364" s="8" t="inlineStr">
        <is>
          <t>D836</t>
        </is>
      </c>
      <c r="F364" s="8" t="inlineStr">
        <is>
          <t>66982551</t>
        </is>
      </c>
      <c r="G364" s="8">
        <f>IFERROR(VLOOKUP(A364,Flete!$A:$E,5,0),"")</f>
        <v/>
      </c>
      <c r="H364" s="7">
        <f>IFERROR(VLOOKUP(F364,TRAOPE!$AA:$AB,2,0),"")</f>
        <v/>
      </c>
      <c r="I364" s="7" t="n">
        <v>10000160</v>
      </c>
      <c r="J364" s="7">
        <f>IFERROR(VLOOKUP(I364,Materiales!$A:$H,8,0),"")</f>
        <v/>
      </c>
      <c r="K364" s="9">
        <f>IFERROR(VLOOKUP(I364,Materiales!$A:$G,7,0),"")</f>
        <v/>
      </c>
      <c r="L364" s="8" t="inlineStr">
        <is>
          <t>20190426</t>
        </is>
      </c>
      <c r="M364" s="8" t="inlineStr">
        <is>
          <t>20250127</t>
        </is>
      </c>
      <c r="N364" s="10" t="n">
        <v>86</v>
      </c>
      <c r="O364" s="10">
        <f>IFERROR(VLOOKUP(A364,Flete!$A:$J,10,0),"")</f>
        <v/>
      </c>
      <c r="P364" s="8" t="inlineStr">
        <is>
          <t>M3</t>
        </is>
      </c>
      <c r="Q364" s="10">
        <f>IFERROR(IFERROR(VLOOKUP(A364,TRAOPE!$A:$U,21,0),VLOOKUP(B364,TRAOPE!$A:$U,21,0)),"")</f>
        <v/>
      </c>
      <c r="R364" s="8">
        <f>IFERROR(IFERROR(VLOOKUP(A364,TRAOPE!$A:$W,23,0),VLOOKUP(B364,TRAOPE!$A:$W,23,0)),"")</f>
        <v/>
      </c>
      <c r="S364" s="10">
        <f>IF(AND(P364="TN",R364="TN"),N364+N(O364),IF(G364&amp;""="1",N(K364)*N364,(N364+N(O364))*N(K364)))</f>
        <v/>
      </c>
      <c r="T364" s="10">
        <f>IF(Q364="","",Q364-S364)</f>
        <v/>
      </c>
    </row>
    <row r="365">
      <c r="A365" s="7">
        <f>CONCATENATE(C365,E365,F365,I365)</f>
        <v/>
      </c>
      <c r="B365" s="7">
        <f>CONCATENATE(C365,E365,I365)</f>
        <v/>
      </c>
      <c r="C365" s="8" t="n">
        <v>900001074</v>
      </c>
      <c r="D365" s="7">
        <f>IFERROR(VLOOKUP(C365,TRAOPE!$G:$H,2,0),"")</f>
        <v/>
      </c>
      <c r="E365" s="8" t="inlineStr">
        <is>
          <t>D836</t>
        </is>
      </c>
      <c r="F365" s="8" t="inlineStr">
        <is>
          <t>66982551</t>
        </is>
      </c>
      <c r="G365" s="8">
        <f>IFERROR(VLOOKUP(A365,Flete!$A:$E,5,0),"")</f>
        <v/>
      </c>
      <c r="H365" s="7">
        <f>IFERROR(VLOOKUP(F365,TRAOPE!$AA:$AB,2,0),"")</f>
        <v/>
      </c>
      <c r="I365" s="7" t="n">
        <v>10000357</v>
      </c>
      <c r="J365" s="7">
        <f>IFERROR(VLOOKUP(I365,Materiales!$A:$H,8,0),"")</f>
        <v/>
      </c>
      <c r="K365" s="9">
        <f>IFERROR(VLOOKUP(I365,Materiales!$A:$G,7,0),"")</f>
        <v/>
      </c>
      <c r="L365" s="8" t="inlineStr">
        <is>
          <t>20190426</t>
        </is>
      </c>
      <c r="M365" s="8" t="inlineStr">
        <is>
          <t>20250127</t>
        </is>
      </c>
      <c r="N365" s="10" t="n">
        <v>125</v>
      </c>
      <c r="O365" s="10">
        <f>IFERROR(VLOOKUP(A365,Flete!$A:$J,10,0),"")</f>
        <v/>
      </c>
      <c r="P365" s="8" t="inlineStr">
        <is>
          <t>M3</t>
        </is>
      </c>
      <c r="Q365" s="10">
        <f>IFERROR(IFERROR(VLOOKUP(A365,TRAOPE!$A:$U,21,0),VLOOKUP(B365,TRAOPE!$A:$U,21,0)),"")</f>
        <v/>
      </c>
      <c r="R365" s="8">
        <f>IFERROR(IFERROR(VLOOKUP(A365,TRAOPE!$A:$W,23,0),VLOOKUP(B365,TRAOPE!$A:$W,23,0)),"")</f>
        <v/>
      </c>
      <c r="S365" s="10">
        <f>IF(AND(P365="TN",R365="TN"),N365+N(O365),IF(G365&amp;""="1",N(K365)*N365,(N365+N(O365))*N(K365)))</f>
        <v/>
      </c>
      <c r="T365" s="10">
        <f>IF(Q365="","",Q365-S365)</f>
        <v/>
      </c>
    </row>
    <row r="366">
      <c r="A366" s="7">
        <f>CONCATENATE(C366,E366,F366,I366)</f>
        <v/>
      </c>
      <c r="B366" s="7">
        <f>CONCATENATE(C366,E366,I366)</f>
        <v/>
      </c>
      <c r="C366" s="8" t="n">
        <v>900001074</v>
      </c>
      <c r="D366" s="7">
        <f>IFERROR(VLOOKUP(C366,TRAOPE!$G:$H,2,0),"")</f>
        <v/>
      </c>
      <c r="E366" s="8" t="inlineStr">
        <is>
          <t>D836</t>
        </is>
      </c>
      <c r="F366" s="8" t="inlineStr">
        <is>
          <t>67003746</t>
        </is>
      </c>
      <c r="G366" s="8">
        <f>IFERROR(VLOOKUP(A366,Flete!$A:$E,5,0),"")</f>
        <v/>
      </c>
      <c r="H366" s="7">
        <f>IFERROR(VLOOKUP(F366,TRAOPE!$AA:$AB,2,0),"")</f>
        <v/>
      </c>
      <c r="I366" s="7" t="n">
        <v>10000357</v>
      </c>
      <c r="J366" s="7">
        <f>IFERROR(VLOOKUP(I366,Materiales!$A:$H,8,0),"")</f>
        <v/>
      </c>
      <c r="K366" s="9">
        <f>IFERROR(VLOOKUP(I366,Materiales!$A:$G,7,0),"")</f>
        <v/>
      </c>
      <c r="L366" s="8" t="inlineStr">
        <is>
          <t>20190426</t>
        </is>
      </c>
      <c r="M366" s="8" t="inlineStr">
        <is>
          <t>20250127</t>
        </is>
      </c>
      <c r="N366" s="10" t="n">
        <v>125.95</v>
      </c>
      <c r="O366" s="10">
        <f>IFERROR(VLOOKUP(A366,Flete!$A:$J,10,0),"")</f>
        <v/>
      </c>
      <c r="P366" s="8" t="inlineStr">
        <is>
          <t>M3</t>
        </is>
      </c>
      <c r="Q366" s="10">
        <f>IFERROR(IFERROR(VLOOKUP(A366,TRAOPE!$A:$U,21,0),VLOOKUP(B366,TRAOPE!$A:$U,21,0)),"")</f>
        <v/>
      </c>
      <c r="R366" s="8">
        <f>IFERROR(IFERROR(VLOOKUP(A366,TRAOPE!$A:$W,23,0),VLOOKUP(B366,TRAOPE!$A:$W,23,0)),"")</f>
        <v/>
      </c>
      <c r="S366" s="10">
        <f>IF(AND(P366="TN",R366="TN"),N366+N(O366),IF(G366&amp;""="1",N(K366)*N366,(N366+N(O366))*N(K366)))</f>
        <v/>
      </c>
      <c r="T366" s="10">
        <f>IF(Q366="","",Q366-S366)</f>
        <v/>
      </c>
    </row>
    <row r="367">
      <c r="A367" s="7">
        <f>CONCATENATE(C367,E367,F367,I367)</f>
        <v/>
      </c>
      <c r="B367" s="7">
        <f>CONCATENATE(C367,E367,I367)</f>
        <v/>
      </c>
      <c r="C367" s="8" t="n">
        <v>900001074</v>
      </c>
      <c r="D367" s="7">
        <f>IFERROR(VLOOKUP(C367,TRAOPE!$G:$H,2,0),"")</f>
        <v/>
      </c>
      <c r="E367" s="8" t="inlineStr">
        <is>
          <t>D836</t>
        </is>
      </c>
      <c r="F367" s="8" t="inlineStr">
        <is>
          <t>67003746</t>
        </is>
      </c>
      <c r="G367" s="8">
        <f>IFERROR(VLOOKUP(A367,Flete!$A:$E,5,0),"")</f>
        <v/>
      </c>
      <c r="H367" s="7">
        <f>IFERROR(VLOOKUP(F367,TRAOPE!$AA:$AB,2,0),"")</f>
        <v/>
      </c>
      <c r="I367" s="7" t="n">
        <v>10000627</v>
      </c>
      <c r="J367" s="7">
        <f>IFERROR(VLOOKUP(I367,Materiales!$A:$H,8,0),"")</f>
        <v/>
      </c>
      <c r="K367" s="9">
        <f>IFERROR(VLOOKUP(I367,Materiales!$A:$G,7,0),"")</f>
        <v/>
      </c>
      <c r="L367" s="8" t="inlineStr">
        <is>
          <t>20190426</t>
        </is>
      </c>
      <c r="M367" s="8" t="inlineStr">
        <is>
          <t>20250127</t>
        </is>
      </c>
      <c r="N367" s="10" t="n">
        <v>114.5</v>
      </c>
      <c r="O367" s="10">
        <f>IFERROR(VLOOKUP(A367,Flete!$A:$J,10,0),"")</f>
        <v/>
      </c>
      <c r="P367" s="8" t="inlineStr">
        <is>
          <t>M3</t>
        </is>
      </c>
      <c r="Q367" s="10">
        <f>IFERROR(IFERROR(VLOOKUP(A367,TRAOPE!$A:$U,21,0),VLOOKUP(B367,TRAOPE!$A:$U,21,0)),"")</f>
        <v/>
      </c>
      <c r="R367" s="8">
        <f>IFERROR(IFERROR(VLOOKUP(A367,TRAOPE!$A:$W,23,0),VLOOKUP(B367,TRAOPE!$A:$W,23,0)),"")</f>
        <v/>
      </c>
      <c r="S367" s="10">
        <f>IF(AND(P367="TN",R367="TN"),N367+N(O367),IF(G367&amp;""="1",N(K367)*N367,(N367+N(O367))*N(K367)))</f>
        <v/>
      </c>
      <c r="T367" s="10">
        <f>IF(Q367="","",Q367-S367)</f>
        <v/>
      </c>
    </row>
    <row r="368">
      <c r="A368" s="7">
        <f>CONCATENATE(C368,E368,F368,I368)</f>
        <v/>
      </c>
      <c r="B368" s="7">
        <f>CONCATENATE(C368,E368,I368)</f>
        <v/>
      </c>
      <c r="C368" s="8" t="n">
        <v>900001074</v>
      </c>
      <c r="D368" s="7">
        <f>IFERROR(VLOOKUP(C368,TRAOPE!$G:$H,2,0),"")</f>
        <v/>
      </c>
      <c r="E368" s="8" t="inlineStr">
        <is>
          <t>D836</t>
        </is>
      </c>
      <c r="F368" s="8" t="inlineStr">
        <is>
          <t>67007608</t>
        </is>
      </c>
      <c r="G368" s="8">
        <f>IFERROR(VLOOKUP(A368,Flete!$A:$E,5,0),"")</f>
        <v/>
      </c>
      <c r="H368" s="7">
        <f>IFERROR(VLOOKUP(F368,TRAOPE!$AA:$AB,2,0),"")</f>
        <v/>
      </c>
      <c r="I368" s="7" t="n">
        <v>10000357</v>
      </c>
      <c r="J368" s="7">
        <f>IFERROR(VLOOKUP(I368,Materiales!$A:$H,8,0),"")</f>
        <v/>
      </c>
      <c r="K368" s="9">
        <f>IFERROR(VLOOKUP(I368,Materiales!$A:$G,7,0),"")</f>
        <v/>
      </c>
      <c r="L368" s="8" t="inlineStr">
        <is>
          <t>20190426</t>
        </is>
      </c>
      <c r="M368" s="8" t="inlineStr">
        <is>
          <t>20250127</t>
        </is>
      </c>
      <c r="N368" s="10" t="n">
        <v>125</v>
      </c>
      <c r="O368" s="10">
        <f>IFERROR(VLOOKUP(A368,Flete!$A:$J,10,0),"")</f>
        <v/>
      </c>
      <c r="P368" s="8" t="inlineStr">
        <is>
          <t>M3</t>
        </is>
      </c>
      <c r="Q368" s="10">
        <f>IFERROR(IFERROR(VLOOKUP(A368,TRAOPE!$A:$U,21,0),VLOOKUP(B368,TRAOPE!$A:$U,21,0)),"")</f>
        <v/>
      </c>
      <c r="R368" s="8">
        <f>IFERROR(IFERROR(VLOOKUP(A368,TRAOPE!$A:$W,23,0),VLOOKUP(B368,TRAOPE!$A:$W,23,0)),"")</f>
        <v/>
      </c>
      <c r="S368" s="10">
        <f>IF(AND(P368="TN",R368="TN"),N368+N(O368),IF(G368&amp;""="1",N(K368)*N368,(N368+N(O368))*N(K368)))</f>
        <v/>
      </c>
      <c r="T368" s="10">
        <f>IF(Q368="","",Q368-S368)</f>
        <v/>
      </c>
    </row>
    <row r="369">
      <c r="A369" s="7">
        <f>CONCATENATE(C369,E369,F369,I369)</f>
        <v/>
      </c>
      <c r="B369" s="7">
        <f>CONCATENATE(C369,E369,I369)</f>
        <v/>
      </c>
      <c r="C369" s="8" t="n">
        <v>900001074</v>
      </c>
      <c r="D369" s="7">
        <f>IFERROR(VLOOKUP(C369,TRAOPE!$G:$H,2,0),"")</f>
        <v/>
      </c>
      <c r="E369" s="8" t="inlineStr">
        <is>
          <t>D836</t>
        </is>
      </c>
      <c r="F369" s="8" t="inlineStr">
        <is>
          <t>67019979</t>
        </is>
      </c>
      <c r="G369" s="8">
        <f>IFERROR(VLOOKUP(A369,Flete!$A:$E,5,0),"")</f>
        <v/>
      </c>
      <c r="H369" s="7">
        <f>IFERROR(VLOOKUP(F369,TRAOPE!$AA:$AB,2,0),"")</f>
        <v/>
      </c>
      <c r="I369" s="7" t="n">
        <v>10000627</v>
      </c>
      <c r="J369" s="7">
        <f>IFERROR(VLOOKUP(I369,Materiales!$A:$H,8,0),"")</f>
        <v/>
      </c>
      <c r="K369" s="9">
        <f>IFERROR(VLOOKUP(I369,Materiales!$A:$G,7,0),"")</f>
        <v/>
      </c>
      <c r="L369" s="8" t="inlineStr">
        <is>
          <t>20190426</t>
        </is>
      </c>
      <c r="M369" s="8" t="inlineStr">
        <is>
          <t>20250127</t>
        </is>
      </c>
      <c r="N369" s="10" t="n">
        <v>110</v>
      </c>
      <c r="O369" s="10">
        <f>IFERROR(VLOOKUP(A369,Flete!$A:$J,10,0),"")</f>
        <v/>
      </c>
      <c r="P369" s="8" t="inlineStr">
        <is>
          <t>M3</t>
        </is>
      </c>
      <c r="Q369" s="10">
        <f>IFERROR(IFERROR(VLOOKUP(A369,TRAOPE!$A:$U,21,0),VLOOKUP(B369,TRAOPE!$A:$U,21,0)),"")</f>
        <v/>
      </c>
      <c r="R369" s="8">
        <f>IFERROR(IFERROR(VLOOKUP(A369,TRAOPE!$A:$W,23,0),VLOOKUP(B369,TRAOPE!$A:$W,23,0)),"")</f>
        <v/>
      </c>
      <c r="S369" s="10">
        <f>IF(AND(P369="TN",R369="TN"),N369+N(O369),IF(G369&amp;""="1",N(K369)*N369,(N369+N(O369))*N(K369)))</f>
        <v/>
      </c>
      <c r="T369" s="10">
        <f>IF(Q369="","",Q369-S369)</f>
        <v/>
      </c>
    </row>
    <row r="370">
      <c r="A370" s="7">
        <f>CONCATENATE(C370,E370,F370,I370)</f>
        <v/>
      </c>
      <c r="B370" s="7">
        <f>CONCATENATE(C370,E370,I370)</f>
        <v/>
      </c>
      <c r="C370" s="8" t="n">
        <v>900001074</v>
      </c>
      <c r="D370" s="7">
        <f>IFERROR(VLOOKUP(C370,TRAOPE!$G:$H,2,0),"")</f>
        <v/>
      </c>
      <c r="E370" s="8" t="inlineStr">
        <is>
          <t>D836</t>
        </is>
      </c>
      <c r="F370" s="8" t="inlineStr">
        <is>
          <t>67036341</t>
        </is>
      </c>
      <c r="G370" s="8">
        <f>IFERROR(VLOOKUP(A370,Flete!$A:$E,5,0),"")</f>
        <v/>
      </c>
      <c r="H370" s="7">
        <f>IFERROR(VLOOKUP(F370,TRAOPE!$AA:$AB,2,0),"")</f>
        <v/>
      </c>
      <c r="I370" s="7" t="n">
        <v>10000160</v>
      </c>
      <c r="J370" s="7">
        <f>IFERROR(VLOOKUP(I370,Materiales!$A:$H,8,0),"")</f>
        <v/>
      </c>
      <c r="K370" s="9">
        <f>IFERROR(VLOOKUP(I370,Materiales!$A:$G,7,0),"")</f>
        <v/>
      </c>
      <c r="L370" s="8" t="inlineStr">
        <is>
          <t>20190426</t>
        </is>
      </c>
      <c r="M370" s="8" t="inlineStr">
        <is>
          <t>20250127</t>
        </is>
      </c>
      <c r="N370" s="10" t="n">
        <v>105.68</v>
      </c>
      <c r="O370" s="10">
        <f>IFERROR(VLOOKUP(A370,Flete!$A:$J,10,0),"")</f>
        <v/>
      </c>
      <c r="P370" s="8" t="inlineStr">
        <is>
          <t>M3</t>
        </is>
      </c>
      <c r="Q370" s="10">
        <f>IFERROR(IFERROR(VLOOKUP(A370,TRAOPE!$A:$U,21,0),VLOOKUP(B370,TRAOPE!$A:$U,21,0)),"")</f>
        <v/>
      </c>
      <c r="R370" s="8">
        <f>IFERROR(IFERROR(VLOOKUP(A370,TRAOPE!$A:$W,23,0),VLOOKUP(B370,TRAOPE!$A:$W,23,0)),"")</f>
        <v/>
      </c>
      <c r="S370" s="10">
        <f>IF(AND(P370="TN",R370="TN"),N370+N(O370),IF(G370&amp;""="1",N(K370)*N370,(N370+N(O370))*N(K370)))</f>
        <v/>
      </c>
      <c r="T370" s="10">
        <f>IF(Q370="","",Q370-S370)</f>
        <v/>
      </c>
    </row>
    <row r="371">
      <c r="A371" s="7">
        <f>CONCATENATE(C371,E371,F371,I371)</f>
        <v/>
      </c>
      <c r="B371" s="7">
        <f>CONCATENATE(C371,E371,I371)</f>
        <v/>
      </c>
      <c r="C371" s="8" t="n">
        <v>900001074</v>
      </c>
      <c r="D371" s="7">
        <f>IFERROR(VLOOKUP(C371,TRAOPE!$G:$H,2,0),"")</f>
        <v/>
      </c>
      <c r="E371" s="8" t="inlineStr">
        <is>
          <t>D836</t>
        </is>
      </c>
      <c r="F371" s="8" t="inlineStr">
        <is>
          <t>67065105</t>
        </is>
      </c>
      <c r="G371" s="8">
        <f>IFERROR(VLOOKUP(A371,Flete!$A:$E,5,0),"")</f>
        <v/>
      </c>
      <c r="H371" s="7">
        <f>IFERROR(VLOOKUP(F371,TRAOPE!$AA:$AB,2,0),"")</f>
        <v/>
      </c>
      <c r="I371" s="7" t="n">
        <v>10000206</v>
      </c>
      <c r="J371" s="7">
        <f>IFERROR(VLOOKUP(I371,Materiales!$A:$H,8,0),"")</f>
        <v/>
      </c>
      <c r="K371" s="9">
        <f>IFERROR(VLOOKUP(I371,Materiales!$A:$G,7,0),"")</f>
        <v/>
      </c>
      <c r="L371" s="8" t="inlineStr">
        <is>
          <t>20190426</t>
        </is>
      </c>
      <c r="M371" s="8" t="inlineStr">
        <is>
          <t>20250127</t>
        </is>
      </c>
      <c r="N371" s="10" t="n">
        <v>115</v>
      </c>
      <c r="O371" s="10">
        <f>IFERROR(VLOOKUP(A371,Flete!$A:$J,10,0),"")</f>
        <v/>
      </c>
      <c r="P371" s="8" t="inlineStr">
        <is>
          <t>M3</t>
        </is>
      </c>
      <c r="Q371" s="10">
        <f>IFERROR(IFERROR(VLOOKUP(A371,TRAOPE!$A:$U,21,0),VLOOKUP(B371,TRAOPE!$A:$U,21,0)),"")</f>
        <v/>
      </c>
      <c r="R371" s="8">
        <f>IFERROR(IFERROR(VLOOKUP(A371,TRAOPE!$A:$W,23,0),VLOOKUP(B371,TRAOPE!$A:$W,23,0)),"")</f>
        <v/>
      </c>
      <c r="S371" s="10">
        <f>IF(AND(P371="TN",R371="TN"),N371+N(O371),IF(G371&amp;""="1",N(K371)*N371,(N371+N(O371))*N(K371)))</f>
        <v/>
      </c>
      <c r="T371" s="10">
        <f>IF(Q371="","",Q371-S371)</f>
        <v/>
      </c>
    </row>
    <row r="372">
      <c r="A372" s="7">
        <f>CONCATENATE(C372,E372,F372,I372)</f>
        <v/>
      </c>
      <c r="B372" s="7">
        <f>CONCATENATE(C372,E372,I372)</f>
        <v/>
      </c>
      <c r="C372" s="8" t="n">
        <v>900001074</v>
      </c>
      <c r="D372" s="7">
        <f>IFERROR(VLOOKUP(C372,TRAOPE!$G:$H,2,0),"")</f>
        <v/>
      </c>
      <c r="E372" s="8" t="inlineStr">
        <is>
          <t>D836</t>
        </is>
      </c>
      <c r="F372" s="8" t="inlineStr">
        <is>
          <t>67065105</t>
        </is>
      </c>
      <c r="G372" s="8">
        <f>IFERROR(VLOOKUP(A372,Flete!$A:$E,5,0),"")</f>
        <v/>
      </c>
      <c r="H372" s="7">
        <f>IFERROR(VLOOKUP(F372,TRAOPE!$AA:$AB,2,0),"")</f>
        <v/>
      </c>
      <c r="I372" s="7" t="n">
        <v>10220797</v>
      </c>
      <c r="J372" s="7">
        <f>IFERROR(VLOOKUP(I372,Materiales!$A:$H,8,0),"")</f>
        <v/>
      </c>
      <c r="K372" s="9">
        <f>IFERROR(VLOOKUP(I372,Materiales!$A:$G,7,0),"")</f>
        <v/>
      </c>
      <c r="L372" s="8" t="inlineStr">
        <is>
          <t>20190426</t>
        </is>
      </c>
      <c r="M372" s="8" t="inlineStr">
        <is>
          <t>20250127</t>
        </is>
      </c>
      <c r="N372" s="10" t="n">
        <v>30</v>
      </c>
      <c r="O372" s="10">
        <f>IFERROR(VLOOKUP(A372,Flete!$A:$J,10,0),"")</f>
        <v/>
      </c>
      <c r="P372" s="8" t="inlineStr">
        <is>
          <t>M3</t>
        </is>
      </c>
      <c r="Q372" s="10">
        <f>IFERROR(IFERROR(VLOOKUP(A372,TRAOPE!$A:$U,21,0),VLOOKUP(B372,TRAOPE!$A:$U,21,0)),"")</f>
        <v/>
      </c>
      <c r="R372" s="8">
        <f>IFERROR(IFERROR(VLOOKUP(A372,TRAOPE!$A:$W,23,0),VLOOKUP(B372,TRAOPE!$A:$W,23,0)),"")</f>
        <v/>
      </c>
      <c r="S372" s="10">
        <f>IF(AND(P372="TN",R372="TN"),N372+N(O372),IF(G372&amp;""="1",N(K372)*N372,(N372+N(O372))*N(K372)))</f>
        <v/>
      </c>
      <c r="T372" s="10">
        <f>IF(Q372="","",Q372-S372)</f>
        <v/>
      </c>
    </row>
    <row r="373">
      <c r="A373" s="7">
        <f>CONCATENATE(C373,E373,F373,I373)</f>
        <v/>
      </c>
      <c r="B373" s="7">
        <f>CONCATENATE(C373,E373,I373)</f>
        <v/>
      </c>
      <c r="C373" s="8" t="n">
        <v>900001074</v>
      </c>
      <c r="D373" s="7">
        <f>IFERROR(VLOOKUP(C373,TRAOPE!$G:$H,2,0),"")</f>
        <v/>
      </c>
      <c r="E373" s="8" t="inlineStr">
        <is>
          <t>D836</t>
        </is>
      </c>
      <c r="F373" s="8" t="inlineStr">
        <is>
          <t>67070498</t>
        </is>
      </c>
      <c r="G373" s="8">
        <f>IFERROR(VLOOKUP(A373,Flete!$A:$E,5,0),"")</f>
        <v/>
      </c>
      <c r="H373" s="7">
        <f>IFERROR(VLOOKUP(F373,TRAOPE!$AA:$AB,2,0),"")</f>
        <v/>
      </c>
      <c r="I373" s="7" t="n">
        <v>10215074</v>
      </c>
      <c r="J373" s="7">
        <f>IFERROR(VLOOKUP(I373,Materiales!$A:$H,8,0),"")</f>
        <v/>
      </c>
      <c r="K373" s="9">
        <f>IFERROR(VLOOKUP(I373,Materiales!$A:$G,7,0),"")</f>
        <v/>
      </c>
      <c r="L373" s="8" t="inlineStr">
        <is>
          <t>20190426</t>
        </is>
      </c>
      <c r="M373" s="8" t="inlineStr">
        <is>
          <t>20250127</t>
        </is>
      </c>
      <c r="N373" s="10" t="n">
        <v>145</v>
      </c>
      <c r="O373" s="10">
        <f>IFERROR(VLOOKUP(A373,Flete!$A:$J,10,0),"")</f>
        <v/>
      </c>
      <c r="P373" s="8" t="inlineStr">
        <is>
          <t>M3</t>
        </is>
      </c>
      <c r="Q373" s="10">
        <f>IFERROR(IFERROR(VLOOKUP(A373,TRAOPE!$A:$U,21,0),VLOOKUP(B373,TRAOPE!$A:$U,21,0)),"")</f>
        <v/>
      </c>
      <c r="R373" s="8">
        <f>IFERROR(IFERROR(VLOOKUP(A373,TRAOPE!$A:$W,23,0),VLOOKUP(B373,TRAOPE!$A:$W,23,0)),"")</f>
        <v/>
      </c>
      <c r="S373" s="10">
        <f>IF(AND(P373="TN",R373="TN"),N373+N(O373),IF(G373&amp;""="1",N(K373)*N373,(N373+N(O373))*N(K373)))</f>
        <v/>
      </c>
      <c r="T373" s="10">
        <f>IF(Q373="","",Q373-S373)</f>
        <v/>
      </c>
    </row>
    <row r="374">
      <c r="A374" s="7">
        <f>CONCATENATE(C374,E374,F374,I374)</f>
        <v/>
      </c>
      <c r="B374" s="7">
        <f>CONCATENATE(C374,E374,I374)</f>
        <v/>
      </c>
      <c r="C374" s="8" t="n">
        <v>900001074</v>
      </c>
      <c r="D374" s="7">
        <f>IFERROR(VLOOKUP(C374,TRAOPE!$G:$H,2,0),"")</f>
        <v/>
      </c>
      <c r="E374" s="8" t="inlineStr">
        <is>
          <t>D836</t>
        </is>
      </c>
      <c r="F374" s="8" t="inlineStr">
        <is>
          <t>67134629</t>
        </is>
      </c>
      <c r="G374" s="8">
        <f>IFERROR(VLOOKUP(A374,Flete!$A:$E,5,0),"")</f>
        <v/>
      </c>
      <c r="H374" s="7">
        <f>IFERROR(VLOOKUP(F374,TRAOPE!$AA:$AB,2,0),"")</f>
        <v/>
      </c>
      <c r="I374" s="7" t="n">
        <v>10000357</v>
      </c>
      <c r="J374" s="7">
        <f>IFERROR(VLOOKUP(I374,Materiales!$A:$H,8,0),"")</f>
        <v/>
      </c>
      <c r="K374" s="9">
        <f>IFERROR(VLOOKUP(I374,Materiales!$A:$G,7,0),"")</f>
        <v/>
      </c>
      <c r="L374" s="8" t="inlineStr">
        <is>
          <t>20190426</t>
        </is>
      </c>
      <c r="M374" s="8" t="inlineStr">
        <is>
          <t>20250127</t>
        </is>
      </c>
      <c r="N374" s="10" t="n">
        <v>125</v>
      </c>
      <c r="O374" s="10">
        <f>IFERROR(VLOOKUP(A374,Flete!$A:$J,10,0),"")</f>
        <v/>
      </c>
      <c r="P374" s="8" t="inlineStr">
        <is>
          <t>M3</t>
        </is>
      </c>
      <c r="Q374" s="10">
        <f>IFERROR(IFERROR(VLOOKUP(A374,TRAOPE!$A:$U,21,0),VLOOKUP(B374,TRAOPE!$A:$U,21,0)),"")</f>
        <v/>
      </c>
      <c r="R374" s="8">
        <f>IFERROR(IFERROR(VLOOKUP(A374,TRAOPE!$A:$W,23,0),VLOOKUP(B374,TRAOPE!$A:$W,23,0)),"")</f>
        <v/>
      </c>
      <c r="S374" s="10">
        <f>IF(AND(P374="TN",R374="TN"),N374+N(O374),IF(G374&amp;""="1",N(K374)*N374,(N374+N(O374))*N(K374)))</f>
        <v/>
      </c>
      <c r="T374" s="10">
        <f>IF(Q374="","",Q374-S374)</f>
        <v/>
      </c>
    </row>
    <row r="375">
      <c r="A375" s="7">
        <f>CONCATENATE(C375,E375,F375,I375)</f>
        <v/>
      </c>
      <c r="B375" s="7">
        <f>CONCATENATE(C375,E375,I375)</f>
        <v/>
      </c>
      <c r="C375" s="8" t="n">
        <v>900001074</v>
      </c>
      <c r="D375" s="7">
        <f>IFERROR(VLOOKUP(C375,TRAOPE!$G:$H,2,0),"")</f>
        <v/>
      </c>
      <c r="E375" s="8" t="inlineStr">
        <is>
          <t>D836</t>
        </is>
      </c>
      <c r="F375" s="8" t="inlineStr">
        <is>
          <t>67162316</t>
        </is>
      </c>
      <c r="G375" s="8">
        <f>IFERROR(VLOOKUP(A375,Flete!$A:$E,5,0),"")</f>
        <v/>
      </c>
      <c r="H375" s="7">
        <f>IFERROR(VLOOKUP(F375,TRAOPE!$AA:$AB,2,0),"")</f>
        <v/>
      </c>
      <c r="I375" s="7" t="n">
        <v>10220797</v>
      </c>
      <c r="J375" s="7">
        <f>IFERROR(VLOOKUP(I375,Materiales!$A:$H,8,0),"")</f>
        <v/>
      </c>
      <c r="K375" s="9">
        <f>IFERROR(VLOOKUP(I375,Materiales!$A:$G,7,0),"")</f>
        <v/>
      </c>
      <c r="L375" s="8" t="inlineStr">
        <is>
          <t>20190426</t>
        </is>
      </c>
      <c r="M375" s="8" t="inlineStr">
        <is>
          <t>20250127</t>
        </is>
      </c>
      <c r="N375" s="10" t="n">
        <v>30</v>
      </c>
      <c r="O375" s="10">
        <f>IFERROR(VLOOKUP(A375,Flete!$A:$J,10,0),"")</f>
        <v/>
      </c>
      <c r="P375" s="8" t="inlineStr">
        <is>
          <t>M3</t>
        </is>
      </c>
      <c r="Q375" s="10">
        <f>IFERROR(IFERROR(VLOOKUP(A375,TRAOPE!$A:$U,21,0),VLOOKUP(B375,TRAOPE!$A:$U,21,0)),"")</f>
        <v/>
      </c>
      <c r="R375" s="8">
        <f>IFERROR(IFERROR(VLOOKUP(A375,TRAOPE!$A:$W,23,0),VLOOKUP(B375,TRAOPE!$A:$W,23,0)),"")</f>
        <v/>
      </c>
      <c r="S375" s="10">
        <f>IF(AND(P375="TN",R375="TN"),N375+N(O375),IF(G375&amp;""="1",N(K375)*N375,(N375+N(O375))*N(K375)))</f>
        <v/>
      </c>
      <c r="T375" s="10">
        <f>IF(Q375="","",Q375-S375)</f>
        <v/>
      </c>
    </row>
    <row r="376">
      <c r="A376" s="7">
        <f>CONCATENATE(C376,E376,F376,I376)</f>
        <v/>
      </c>
      <c r="B376" s="7">
        <f>CONCATENATE(C376,E376,I376)</f>
        <v/>
      </c>
      <c r="C376" s="8" t="n">
        <v>900001200</v>
      </c>
      <c r="D376" s="7">
        <f>IFERROR(VLOOKUP(C376,TRAOPE!$G:$H,2,0),"")</f>
        <v/>
      </c>
      <c r="E376" s="8" t="inlineStr">
        <is>
          <t>D836</t>
        </is>
      </c>
      <c r="F376" s="8" t="inlineStr">
        <is>
          <t>65061685</t>
        </is>
      </c>
      <c r="G376" s="8">
        <f>IFERROR(VLOOKUP(A376,Flete!$A:$E,5,0),"")</f>
        <v/>
      </c>
      <c r="H376" s="7">
        <f>IFERROR(VLOOKUP(F376,TRAOPE!$AA:$AB,2,0),"")</f>
        <v/>
      </c>
      <c r="I376" s="7" t="n">
        <v>10000624</v>
      </c>
      <c r="J376" s="7">
        <f>IFERROR(VLOOKUP(I376,Materiales!$A:$H,8,0),"")</f>
        <v/>
      </c>
      <c r="K376" s="9">
        <f>IFERROR(VLOOKUP(I376,Materiales!$A:$G,7,0),"")</f>
        <v/>
      </c>
      <c r="L376" s="8" t="inlineStr">
        <is>
          <t>20190426</t>
        </is>
      </c>
      <c r="M376" s="8" t="inlineStr">
        <is>
          <t>20250127</t>
        </is>
      </c>
      <c r="N376" s="10" t="n">
        <v>110.74</v>
      </c>
      <c r="O376" s="10">
        <f>IFERROR(VLOOKUP(A376,Flete!$A:$J,10,0),"")</f>
        <v/>
      </c>
      <c r="P376" s="8" t="inlineStr">
        <is>
          <t>M3</t>
        </is>
      </c>
      <c r="Q376" s="10">
        <f>IFERROR(IFERROR(VLOOKUP(A376,TRAOPE!$A:$U,21,0),VLOOKUP(B376,TRAOPE!$A:$U,21,0)),"")</f>
        <v/>
      </c>
      <c r="R376" s="8">
        <f>IFERROR(IFERROR(VLOOKUP(A376,TRAOPE!$A:$W,23,0),VLOOKUP(B376,TRAOPE!$A:$W,23,0)),"")</f>
        <v/>
      </c>
      <c r="S376" s="10">
        <f>IF(AND(P376="TN",R376="TN"),N376+N(O376),IF(G376&amp;""="1",N(K376)*N376,(N376+N(O376))*N(K376)))</f>
        <v/>
      </c>
      <c r="T376" s="10">
        <f>IF(Q376="","",Q376-S376)</f>
        <v/>
      </c>
    </row>
    <row r="377">
      <c r="A377" s="7">
        <f>CONCATENATE(C377,E377,F377,I377)</f>
        <v/>
      </c>
      <c r="B377" s="7">
        <f>CONCATENATE(C377,E377,I377)</f>
        <v/>
      </c>
      <c r="C377" s="8" t="n">
        <v>900001200</v>
      </c>
      <c r="D377" s="7">
        <f>IFERROR(VLOOKUP(C377,TRAOPE!$G:$H,2,0),"")</f>
        <v/>
      </c>
      <c r="E377" s="8" t="inlineStr">
        <is>
          <t>D836</t>
        </is>
      </c>
      <c r="F377" s="8" t="inlineStr">
        <is>
          <t>65061685</t>
        </is>
      </c>
      <c r="G377" s="8">
        <f>IFERROR(VLOOKUP(A377,Flete!$A:$E,5,0),"")</f>
        <v/>
      </c>
      <c r="H377" s="7">
        <f>IFERROR(VLOOKUP(F377,TRAOPE!$AA:$AB,2,0),"")</f>
        <v/>
      </c>
      <c r="I377" s="7" t="n">
        <v>10000722</v>
      </c>
      <c r="J377" s="7">
        <f>IFERROR(VLOOKUP(I377,Materiales!$A:$H,8,0),"")</f>
        <v/>
      </c>
      <c r="K377" s="9">
        <f>IFERROR(VLOOKUP(I377,Materiales!$A:$G,7,0),"")</f>
        <v/>
      </c>
      <c r="L377" s="8" t="inlineStr">
        <is>
          <t>20190426</t>
        </is>
      </c>
      <c r="M377" s="8" t="inlineStr">
        <is>
          <t>20250127</t>
        </is>
      </c>
      <c r="N377" s="10" t="n">
        <v>109.2</v>
      </c>
      <c r="O377" s="10">
        <f>IFERROR(VLOOKUP(A377,Flete!$A:$J,10,0),"")</f>
        <v/>
      </c>
      <c r="P377" s="8" t="inlineStr">
        <is>
          <t>M3</t>
        </is>
      </c>
      <c r="Q377" s="10">
        <f>IFERROR(IFERROR(VLOOKUP(A377,TRAOPE!$A:$U,21,0),VLOOKUP(B377,TRAOPE!$A:$U,21,0)),"")</f>
        <v/>
      </c>
      <c r="R377" s="8">
        <f>IFERROR(IFERROR(VLOOKUP(A377,TRAOPE!$A:$W,23,0),VLOOKUP(B377,TRAOPE!$A:$W,23,0)),"")</f>
        <v/>
      </c>
      <c r="S377" s="10">
        <f>IF(AND(P377="TN",R377="TN"),N377+N(O377),IF(G377&amp;""="1",N(K377)*N377,(N377+N(O377))*N(K377)))</f>
        <v/>
      </c>
      <c r="T377" s="10">
        <f>IF(Q377="","",Q377-S377)</f>
        <v/>
      </c>
    </row>
    <row r="378">
      <c r="A378" s="7">
        <f>CONCATENATE(C378,E378,F378,I378)</f>
        <v/>
      </c>
      <c r="B378" s="7">
        <f>CONCATENATE(C378,E378,I378)</f>
        <v/>
      </c>
      <c r="C378" s="8" t="n">
        <v>900001200</v>
      </c>
      <c r="D378" s="7">
        <f>IFERROR(VLOOKUP(C378,TRAOPE!$G:$H,2,0),"")</f>
        <v/>
      </c>
      <c r="E378" s="8" t="inlineStr">
        <is>
          <t>D836</t>
        </is>
      </c>
      <c r="F378" s="8" t="inlineStr">
        <is>
          <t>65251399</t>
        </is>
      </c>
      <c r="G378" s="8">
        <f>IFERROR(VLOOKUP(A378,Flete!$A:$E,5,0),"")</f>
        <v/>
      </c>
      <c r="H378" s="7">
        <f>IFERROR(VLOOKUP(F378,TRAOPE!$AA:$AB,2,0),"")</f>
        <v/>
      </c>
      <c r="I378" s="7" t="n">
        <v>10000722</v>
      </c>
      <c r="J378" s="7">
        <f>IFERROR(VLOOKUP(I378,Materiales!$A:$H,8,0),"")</f>
        <v/>
      </c>
      <c r="K378" s="9">
        <f>IFERROR(VLOOKUP(I378,Materiales!$A:$G,7,0),"")</f>
        <v/>
      </c>
      <c r="L378" s="8" t="inlineStr">
        <is>
          <t>20190426</t>
        </is>
      </c>
      <c r="M378" s="8" t="inlineStr">
        <is>
          <t>20250127</t>
        </is>
      </c>
      <c r="N378" s="10" t="n">
        <v>83.2</v>
      </c>
      <c r="O378" s="10">
        <f>IFERROR(VLOOKUP(A378,Flete!$A:$J,10,0),"")</f>
        <v/>
      </c>
      <c r="P378" s="8" t="inlineStr">
        <is>
          <t>TN</t>
        </is>
      </c>
      <c r="Q378" s="10">
        <f>IFERROR(IFERROR(VLOOKUP(A378,TRAOPE!$A:$U,21,0),VLOOKUP(B378,TRAOPE!$A:$U,21,0)),"")</f>
        <v/>
      </c>
      <c r="R378" s="8">
        <f>IFERROR(IFERROR(VLOOKUP(A378,TRAOPE!$A:$W,23,0),VLOOKUP(B378,TRAOPE!$A:$W,23,0)),"")</f>
        <v/>
      </c>
      <c r="S378" s="10">
        <f>IF(AND(P378="TN",R378="TN"),N378+N(O378),IF(G378&amp;""="1",N(K378)*N378,(N378+N(O378))*N(K378)))</f>
        <v/>
      </c>
      <c r="T378" s="10">
        <f>IF(Q378="","",Q378-S378)</f>
        <v/>
      </c>
    </row>
    <row r="379">
      <c r="A379" s="7">
        <f>CONCATENATE(C379,E379,F379,I379)</f>
        <v/>
      </c>
      <c r="B379" s="7">
        <f>CONCATENATE(C379,E379,I379)</f>
        <v/>
      </c>
      <c r="C379" s="8" t="n">
        <v>900001200</v>
      </c>
      <c r="D379" s="7">
        <f>IFERROR(VLOOKUP(C379,TRAOPE!$G:$H,2,0),"")</f>
        <v/>
      </c>
      <c r="E379" s="8" t="inlineStr">
        <is>
          <t>D836</t>
        </is>
      </c>
      <c r="F379" s="8" t="inlineStr">
        <is>
          <t>65296485</t>
        </is>
      </c>
      <c r="G379" s="8">
        <f>IFERROR(VLOOKUP(A379,Flete!$A:$E,5,0),"")</f>
        <v/>
      </c>
      <c r="H379" s="7">
        <f>IFERROR(VLOOKUP(F379,TRAOPE!$AA:$AB,2,0),"")</f>
        <v/>
      </c>
      <c r="I379" s="7" t="n">
        <v>10000722</v>
      </c>
      <c r="J379" s="7">
        <f>IFERROR(VLOOKUP(I379,Materiales!$A:$H,8,0),"")</f>
        <v/>
      </c>
      <c r="K379" s="9">
        <f>IFERROR(VLOOKUP(I379,Materiales!$A:$G,7,0),"")</f>
        <v/>
      </c>
      <c r="L379" s="8" t="inlineStr">
        <is>
          <t>20190426</t>
        </is>
      </c>
      <c r="M379" s="8" t="inlineStr">
        <is>
          <t>20250127</t>
        </is>
      </c>
      <c r="N379" s="10" t="n">
        <v>87.44</v>
      </c>
      <c r="O379" s="10">
        <f>IFERROR(VLOOKUP(A379,Flete!$A:$J,10,0),"")</f>
        <v/>
      </c>
      <c r="P379" s="8" t="inlineStr">
        <is>
          <t>TN</t>
        </is>
      </c>
      <c r="Q379" s="10">
        <f>IFERROR(IFERROR(VLOOKUP(A379,TRAOPE!$A:$U,21,0),VLOOKUP(B379,TRAOPE!$A:$U,21,0)),"")</f>
        <v/>
      </c>
      <c r="R379" s="8">
        <f>IFERROR(IFERROR(VLOOKUP(A379,TRAOPE!$A:$W,23,0),VLOOKUP(B379,TRAOPE!$A:$W,23,0)),"")</f>
        <v/>
      </c>
      <c r="S379" s="10">
        <f>IF(AND(P379="TN",R379="TN"),N379+N(O379),IF(G379&amp;""="1",N(K379)*N379,(N379+N(O379))*N(K379)))</f>
        <v/>
      </c>
      <c r="T379" s="10">
        <f>IF(Q379="","",Q379-S379)</f>
        <v/>
      </c>
    </row>
    <row r="380">
      <c r="A380" s="7">
        <f>CONCATENATE(C380,E380,F380,I380)</f>
        <v/>
      </c>
      <c r="B380" s="7">
        <f>CONCATENATE(C380,E380,I380)</f>
        <v/>
      </c>
      <c r="C380" s="8" t="n">
        <v>900001200</v>
      </c>
      <c r="D380" s="7">
        <f>IFERROR(VLOOKUP(C380,TRAOPE!$G:$H,2,0),"")</f>
        <v/>
      </c>
      <c r="E380" s="8" t="inlineStr">
        <is>
          <t>D836</t>
        </is>
      </c>
      <c r="F380" s="8" t="inlineStr">
        <is>
          <t>65442270</t>
        </is>
      </c>
      <c r="G380" s="8">
        <f>IFERROR(VLOOKUP(A380,Flete!$A:$E,5,0),"")</f>
        <v/>
      </c>
      <c r="H380" s="7">
        <f>IFERROR(VLOOKUP(F380,TRAOPE!$AA:$AB,2,0),"")</f>
        <v/>
      </c>
      <c r="I380" s="7" t="n">
        <v>10000624</v>
      </c>
      <c r="J380" s="7">
        <f>IFERROR(VLOOKUP(I380,Materiales!$A:$H,8,0),"")</f>
        <v/>
      </c>
      <c r="K380" s="9">
        <f>IFERROR(VLOOKUP(I380,Materiales!$A:$G,7,0),"")</f>
        <v/>
      </c>
      <c r="L380" s="8" t="inlineStr">
        <is>
          <t>20190426</t>
        </is>
      </c>
      <c r="M380" s="8" t="inlineStr">
        <is>
          <t>20250127</t>
        </is>
      </c>
      <c r="N380" s="10" t="n">
        <v>112.32</v>
      </c>
      <c r="O380" s="10">
        <f>IFERROR(VLOOKUP(A380,Flete!$A:$J,10,0),"")</f>
        <v/>
      </c>
      <c r="P380" s="8" t="inlineStr">
        <is>
          <t>M3</t>
        </is>
      </c>
      <c r="Q380" s="10">
        <f>IFERROR(IFERROR(VLOOKUP(A380,TRAOPE!$A:$U,21,0),VLOOKUP(B380,TRAOPE!$A:$U,21,0)),"")</f>
        <v/>
      </c>
      <c r="R380" s="8">
        <f>IFERROR(IFERROR(VLOOKUP(A380,TRAOPE!$A:$W,23,0),VLOOKUP(B380,TRAOPE!$A:$W,23,0)),"")</f>
        <v/>
      </c>
      <c r="S380" s="10">
        <f>IF(AND(P380="TN",R380="TN"),N380+N(O380),IF(G380&amp;""="1",N(K380)*N380,(N380+N(O380))*N(K380)))</f>
        <v/>
      </c>
      <c r="T380" s="10">
        <f>IF(Q380="","",Q380-S380)</f>
        <v/>
      </c>
    </row>
    <row r="381">
      <c r="A381" s="7">
        <f>CONCATENATE(C381,E381,F381,I381)</f>
        <v/>
      </c>
      <c r="B381" s="7">
        <f>CONCATENATE(C381,E381,I381)</f>
        <v/>
      </c>
      <c r="C381" s="8" t="n">
        <v>900001200</v>
      </c>
      <c r="D381" s="7">
        <f>IFERROR(VLOOKUP(C381,TRAOPE!$G:$H,2,0),"")</f>
        <v/>
      </c>
      <c r="E381" s="8" t="inlineStr">
        <is>
          <t>D836</t>
        </is>
      </c>
      <c r="F381" s="8" t="inlineStr">
        <is>
          <t>65442270</t>
        </is>
      </c>
      <c r="G381" s="8">
        <f>IFERROR(VLOOKUP(A381,Flete!$A:$E,5,0),"")</f>
        <v/>
      </c>
      <c r="H381" s="7">
        <f>IFERROR(VLOOKUP(F381,TRAOPE!$AA:$AB,2,0),"")</f>
        <v/>
      </c>
      <c r="I381" s="7" t="n">
        <v>10000625</v>
      </c>
      <c r="J381" s="7">
        <f>IFERROR(VLOOKUP(I381,Materiales!$A:$H,8,0),"")</f>
        <v/>
      </c>
      <c r="K381" s="9">
        <f>IFERROR(VLOOKUP(I381,Materiales!$A:$G,7,0),"")</f>
        <v/>
      </c>
      <c r="L381" s="8" t="inlineStr">
        <is>
          <t>20190426</t>
        </is>
      </c>
      <c r="M381" s="8" t="inlineStr">
        <is>
          <t>20250127</t>
        </is>
      </c>
      <c r="N381" s="10" t="n">
        <v>51.94</v>
      </c>
      <c r="O381" s="10">
        <f>IFERROR(VLOOKUP(A381,Flete!$A:$J,10,0),"")</f>
        <v/>
      </c>
      <c r="P381" s="8" t="inlineStr">
        <is>
          <t>TN</t>
        </is>
      </c>
      <c r="Q381" s="10">
        <f>IFERROR(IFERROR(VLOOKUP(A381,TRAOPE!$A:$U,21,0),VLOOKUP(B381,TRAOPE!$A:$U,21,0)),"")</f>
        <v/>
      </c>
      <c r="R381" s="8">
        <f>IFERROR(IFERROR(VLOOKUP(A381,TRAOPE!$A:$W,23,0),VLOOKUP(B381,TRAOPE!$A:$W,23,0)),"")</f>
        <v/>
      </c>
      <c r="S381" s="10">
        <f>IF(AND(P381="TN",R381="TN"),N381+N(O381),IF(G381&amp;""="1",N(K381)*N381,(N381+N(O381))*N(K381)))</f>
        <v/>
      </c>
      <c r="T381" s="10">
        <f>IF(Q381="","",Q381-S381)</f>
        <v/>
      </c>
    </row>
    <row r="382">
      <c r="A382" s="7">
        <f>CONCATENATE(C382,E382,F382,I382)</f>
        <v/>
      </c>
      <c r="B382" s="7">
        <f>CONCATENATE(C382,E382,I382)</f>
        <v/>
      </c>
      <c r="C382" s="8" t="n">
        <v>900001200</v>
      </c>
      <c r="D382" s="7">
        <f>IFERROR(VLOOKUP(C382,TRAOPE!$G:$H,2,0),"")</f>
        <v/>
      </c>
      <c r="E382" s="8" t="inlineStr">
        <is>
          <t>D836</t>
        </is>
      </c>
      <c r="F382" s="8" t="inlineStr">
        <is>
          <t>65442270</t>
        </is>
      </c>
      <c r="G382" s="8">
        <f>IFERROR(VLOOKUP(A382,Flete!$A:$E,5,0),"")</f>
        <v/>
      </c>
      <c r="H382" s="7">
        <f>IFERROR(VLOOKUP(F382,TRAOPE!$AA:$AB,2,0),"")</f>
        <v/>
      </c>
      <c r="I382" s="7" t="n">
        <v>10000722</v>
      </c>
      <c r="J382" s="7">
        <f>IFERROR(VLOOKUP(I382,Materiales!$A:$H,8,0),"")</f>
        <v/>
      </c>
      <c r="K382" s="9">
        <f>IFERROR(VLOOKUP(I382,Materiales!$A:$G,7,0),"")</f>
        <v/>
      </c>
      <c r="L382" s="8" t="inlineStr">
        <is>
          <t>20190426</t>
        </is>
      </c>
      <c r="M382" s="8" t="inlineStr">
        <is>
          <t>20250127</t>
        </is>
      </c>
      <c r="N382" s="10" t="n">
        <v>112.32</v>
      </c>
      <c r="O382" s="10">
        <f>IFERROR(VLOOKUP(A382,Flete!$A:$J,10,0),"")</f>
        <v/>
      </c>
      <c r="P382" s="8" t="inlineStr">
        <is>
          <t>M3</t>
        </is>
      </c>
      <c r="Q382" s="10">
        <f>IFERROR(IFERROR(VLOOKUP(A382,TRAOPE!$A:$U,21,0),VLOOKUP(B382,TRAOPE!$A:$U,21,0)),"")</f>
        <v/>
      </c>
      <c r="R382" s="8">
        <f>IFERROR(IFERROR(VLOOKUP(A382,TRAOPE!$A:$W,23,0),VLOOKUP(B382,TRAOPE!$A:$W,23,0)),"")</f>
        <v/>
      </c>
      <c r="S382" s="10">
        <f>IF(AND(P382="TN",R382="TN"),N382+N(O382),IF(G382&amp;""="1",N(K382)*N382,(N382+N(O382))*N(K382)))</f>
        <v/>
      </c>
      <c r="T382" s="10">
        <f>IF(Q382="","",Q382-S382)</f>
        <v/>
      </c>
    </row>
    <row r="383">
      <c r="A383" s="7">
        <f>CONCATENATE(C383,E383,F383,I383)</f>
        <v/>
      </c>
      <c r="B383" s="7">
        <f>CONCATENATE(C383,E383,I383)</f>
        <v/>
      </c>
      <c r="C383" s="8" t="n">
        <v>900001200</v>
      </c>
      <c r="D383" s="7">
        <f>IFERROR(VLOOKUP(C383,TRAOPE!$G:$H,2,0),"")</f>
        <v/>
      </c>
      <c r="E383" s="8" t="inlineStr">
        <is>
          <t>D836</t>
        </is>
      </c>
      <c r="F383" s="8" t="inlineStr">
        <is>
          <t>65570346</t>
        </is>
      </c>
      <c r="G383" s="8">
        <f>IFERROR(VLOOKUP(A383,Flete!$A:$E,5,0),"")</f>
        <v/>
      </c>
      <c r="H383" s="7">
        <f>IFERROR(VLOOKUP(F383,TRAOPE!$AA:$AB,2,0),"")</f>
        <v/>
      </c>
      <c r="I383" s="7" t="n">
        <v>10000624</v>
      </c>
      <c r="J383" s="7">
        <f>IFERROR(VLOOKUP(I383,Materiales!$A:$H,8,0),"")</f>
        <v/>
      </c>
      <c r="K383" s="9">
        <f>IFERROR(VLOOKUP(I383,Materiales!$A:$G,7,0),"")</f>
        <v/>
      </c>
      <c r="L383" s="8" t="inlineStr">
        <is>
          <t>20190426</t>
        </is>
      </c>
      <c r="M383" s="8" t="inlineStr">
        <is>
          <t>20250127</t>
        </is>
      </c>
      <c r="N383" s="10" t="n">
        <v>110.74</v>
      </c>
      <c r="O383" s="10">
        <f>IFERROR(VLOOKUP(A383,Flete!$A:$J,10,0),"")</f>
        <v/>
      </c>
      <c r="P383" s="8" t="inlineStr">
        <is>
          <t>M3</t>
        </is>
      </c>
      <c r="Q383" s="10">
        <f>IFERROR(IFERROR(VLOOKUP(A383,TRAOPE!$A:$U,21,0),VLOOKUP(B383,TRAOPE!$A:$U,21,0)),"")</f>
        <v/>
      </c>
      <c r="R383" s="8">
        <f>IFERROR(IFERROR(VLOOKUP(A383,TRAOPE!$A:$W,23,0),VLOOKUP(B383,TRAOPE!$A:$W,23,0)),"")</f>
        <v/>
      </c>
      <c r="S383" s="10">
        <f>IF(AND(P383="TN",R383="TN"),N383+N(O383),IF(G383&amp;""="1",N(K383)*N383,(N383+N(O383))*N(K383)))</f>
        <v/>
      </c>
      <c r="T383" s="10">
        <f>IF(Q383="","",Q383-S383)</f>
        <v/>
      </c>
    </row>
    <row r="384">
      <c r="A384" s="7">
        <f>CONCATENATE(C384,E384,F384,I384)</f>
        <v/>
      </c>
      <c r="B384" s="7">
        <f>CONCATENATE(C384,E384,I384)</f>
        <v/>
      </c>
      <c r="C384" s="8" t="n">
        <v>900001200</v>
      </c>
      <c r="D384" s="7">
        <f>IFERROR(VLOOKUP(C384,TRAOPE!$G:$H,2,0),"")</f>
        <v/>
      </c>
      <c r="E384" s="8" t="inlineStr">
        <is>
          <t>D836</t>
        </is>
      </c>
      <c r="F384" s="8" t="inlineStr">
        <is>
          <t>65570346</t>
        </is>
      </c>
      <c r="G384" s="8">
        <f>IFERROR(VLOOKUP(A384,Flete!$A:$E,5,0),"")</f>
        <v/>
      </c>
      <c r="H384" s="7">
        <f>IFERROR(VLOOKUP(F384,TRAOPE!$AA:$AB,2,0),"")</f>
        <v/>
      </c>
      <c r="I384" s="7" t="n">
        <v>10000722</v>
      </c>
      <c r="J384" s="7">
        <f>IFERROR(VLOOKUP(I384,Materiales!$A:$H,8,0),"")</f>
        <v/>
      </c>
      <c r="K384" s="9">
        <f>IFERROR(VLOOKUP(I384,Materiales!$A:$G,7,0),"")</f>
        <v/>
      </c>
      <c r="L384" s="8" t="inlineStr">
        <is>
          <t>20190426</t>
        </is>
      </c>
      <c r="M384" s="8" t="inlineStr">
        <is>
          <t>20250127</t>
        </is>
      </c>
      <c r="N384" s="10" t="n">
        <v>109.2</v>
      </c>
      <c r="O384" s="10">
        <f>IFERROR(VLOOKUP(A384,Flete!$A:$J,10,0),"")</f>
        <v/>
      </c>
      <c r="P384" s="8" t="inlineStr">
        <is>
          <t>M3</t>
        </is>
      </c>
      <c r="Q384" s="10">
        <f>IFERROR(IFERROR(VLOOKUP(A384,TRAOPE!$A:$U,21,0),VLOOKUP(B384,TRAOPE!$A:$U,21,0)),"")</f>
        <v/>
      </c>
      <c r="R384" s="8">
        <f>IFERROR(IFERROR(VLOOKUP(A384,TRAOPE!$A:$W,23,0),VLOOKUP(B384,TRAOPE!$A:$W,23,0)),"")</f>
        <v/>
      </c>
      <c r="S384" s="10">
        <f>IF(AND(P384="TN",R384="TN"),N384+N(O384),IF(G384&amp;""="1",N(K384)*N384,(N384+N(O384))*N(K384)))</f>
        <v/>
      </c>
      <c r="T384" s="10">
        <f>IF(Q384="","",Q384-S384)</f>
        <v/>
      </c>
    </row>
    <row r="385">
      <c r="A385" s="7">
        <f>CONCATENATE(C385,E385,F385,I385)</f>
        <v/>
      </c>
      <c r="B385" s="7">
        <f>CONCATENATE(C385,E385,I385)</f>
        <v/>
      </c>
      <c r="C385" s="8" t="n">
        <v>900001200</v>
      </c>
      <c r="D385" s="7">
        <f>IFERROR(VLOOKUP(C385,TRAOPE!$G:$H,2,0),"")</f>
        <v/>
      </c>
      <c r="E385" s="8" t="inlineStr">
        <is>
          <t>D836</t>
        </is>
      </c>
      <c r="F385" s="8" t="inlineStr">
        <is>
          <t>66463792</t>
        </is>
      </c>
      <c r="G385" s="8">
        <f>IFERROR(VLOOKUP(A385,Flete!$A:$E,5,0),"")</f>
        <v/>
      </c>
      <c r="H385" s="7">
        <f>IFERROR(VLOOKUP(F385,TRAOPE!$AA:$AB,2,0),"")</f>
        <v/>
      </c>
      <c r="I385" s="7" t="n">
        <v>10000624</v>
      </c>
      <c r="J385" s="7">
        <f>IFERROR(VLOOKUP(I385,Materiales!$A:$H,8,0),"")</f>
        <v/>
      </c>
      <c r="K385" s="9">
        <f>IFERROR(VLOOKUP(I385,Materiales!$A:$G,7,0),"")</f>
        <v/>
      </c>
      <c r="L385" s="8" t="inlineStr">
        <is>
          <t>20190426</t>
        </is>
      </c>
      <c r="M385" s="8" t="inlineStr">
        <is>
          <t>20250127</t>
        </is>
      </c>
      <c r="N385" s="10" t="n">
        <v>214</v>
      </c>
      <c r="O385" s="10">
        <f>IFERROR(VLOOKUP(A385,Flete!$A:$J,10,0),"")</f>
        <v/>
      </c>
      <c r="P385" s="8" t="inlineStr">
        <is>
          <t>M3</t>
        </is>
      </c>
      <c r="Q385" s="10">
        <f>IFERROR(IFERROR(VLOOKUP(A385,TRAOPE!$A:$U,21,0),VLOOKUP(B385,TRAOPE!$A:$U,21,0)),"")</f>
        <v/>
      </c>
      <c r="R385" s="8">
        <f>IFERROR(IFERROR(VLOOKUP(A385,TRAOPE!$A:$W,23,0),VLOOKUP(B385,TRAOPE!$A:$W,23,0)),"")</f>
        <v/>
      </c>
      <c r="S385" s="10">
        <f>IF(AND(P385="TN",R385="TN"),N385+N(O385),IF(G385&amp;""="1",N(K385)*N385,(N385+N(O385))*N(K385)))</f>
        <v/>
      </c>
      <c r="T385" s="10">
        <f>IF(Q385="","",Q385-S385)</f>
        <v/>
      </c>
    </row>
    <row r="386">
      <c r="A386" s="7">
        <f>CONCATENATE(C386,E386,F386,I386)</f>
        <v/>
      </c>
      <c r="B386" s="7">
        <f>CONCATENATE(C386,E386,I386)</f>
        <v/>
      </c>
      <c r="C386" s="8" t="n">
        <v>900001200</v>
      </c>
      <c r="D386" s="7">
        <f>IFERROR(VLOOKUP(C386,TRAOPE!$G:$H,2,0),"")</f>
        <v/>
      </c>
      <c r="E386" s="8" t="inlineStr">
        <is>
          <t>D836</t>
        </is>
      </c>
      <c r="F386" s="8" t="inlineStr">
        <is>
          <t>66463792</t>
        </is>
      </c>
      <c r="G386" s="8">
        <f>IFERROR(VLOOKUP(A386,Flete!$A:$E,5,0),"")</f>
        <v/>
      </c>
      <c r="H386" s="7">
        <f>IFERROR(VLOOKUP(F386,TRAOPE!$AA:$AB,2,0),"")</f>
        <v/>
      </c>
      <c r="I386" s="7" t="n">
        <v>10000630</v>
      </c>
      <c r="J386" s="7">
        <f>IFERROR(VLOOKUP(I386,Materiales!$A:$H,8,0),"")</f>
        <v/>
      </c>
      <c r="K386" s="9">
        <f>IFERROR(VLOOKUP(I386,Materiales!$A:$G,7,0),"")</f>
        <v/>
      </c>
      <c r="L386" s="8" t="inlineStr">
        <is>
          <t>20190426</t>
        </is>
      </c>
      <c r="M386" s="8" t="inlineStr">
        <is>
          <t>20250127</t>
        </is>
      </c>
      <c r="N386" s="10" t="n">
        <v>214</v>
      </c>
      <c r="O386" s="10">
        <f>IFERROR(VLOOKUP(A386,Flete!$A:$J,10,0),"")</f>
        <v/>
      </c>
      <c r="P386" s="8" t="inlineStr">
        <is>
          <t>M3</t>
        </is>
      </c>
      <c r="Q386" s="10">
        <f>IFERROR(IFERROR(VLOOKUP(A386,TRAOPE!$A:$U,21,0),VLOOKUP(B386,TRAOPE!$A:$U,21,0)),"")</f>
        <v/>
      </c>
      <c r="R386" s="8">
        <f>IFERROR(IFERROR(VLOOKUP(A386,TRAOPE!$A:$W,23,0),VLOOKUP(B386,TRAOPE!$A:$W,23,0)),"")</f>
        <v/>
      </c>
      <c r="S386" s="10">
        <f>IF(AND(P386="TN",R386="TN"),N386+N(O386),IF(G386&amp;""="1",N(K386)*N386,(N386+N(O386))*N(K386)))</f>
        <v/>
      </c>
      <c r="T386" s="10">
        <f>IF(Q386="","",Q386-S386)</f>
        <v/>
      </c>
    </row>
    <row r="387">
      <c r="A387" s="7">
        <f>CONCATENATE(C387,E387,F387,I387)</f>
        <v/>
      </c>
      <c r="B387" s="7">
        <f>CONCATENATE(C387,E387,I387)</f>
        <v/>
      </c>
      <c r="C387" s="8" t="n">
        <v>900001200</v>
      </c>
      <c r="D387" s="7">
        <f>IFERROR(VLOOKUP(C387,TRAOPE!$G:$H,2,0),"")</f>
        <v/>
      </c>
      <c r="E387" s="8" t="inlineStr">
        <is>
          <t>D836</t>
        </is>
      </c>
      <c r="F387" s="8" t="inlineStr">
        <is>
          <t>66463792</t>
        </is>
      </c>
      <c r="G387" s="8">
        <f>IFERROR(VLOOKUP(A387,Flete!$A:$E,5,0),"")</f>
        <v/>
      </c>
      <c r="H387" s="7">
        <f>IFERROR(VLOOKUP(F387,TRAOPE!$AA:$AB,2,0),"")</f>
        <v/>
      </c>
      <c r="I387" s="7" t="n">
        <v>10000811</v>
      </c>
      <c r="J387" s="7">
        <f>IFERROR(VLOOKUP(I387,Materiales!$A:$H,8,0),"")</f>
        <v/>
      </c>
      <c r="K387" s="9">
        <f>IFERROR(VLOOKUP(I387,Materiales!$A:$G,7,0),"")</f>
        <v/>
      </c>
      <c r="L387" s="8" t="inlineStr">
        <is>
          <t>20190426</t>
        </is>
      </c>
      <c r="M387" s="8" t="inlineStr">
        <is>
          <t>20250127</t>
        </is>
      </c>
      <c r="N387" s="10" t="n">
        <v>214</v>
      </c>
      <c r="O387" s="10">
        <f>IFERROR(VLOOKUP(A387,Flete!$A:$J,10,0),"")</f>
        <v/>
      </c>
      <c r="P387" s="8" t="inlineStr">
        <is>
          <t>M3</t>
        </is>
      </c>
      <c r="Q387" s="10">
        <f>IFERROR(IFERROR(VLOOKUP(A387,TRAOPE!$A:$U,21,0),VLOOKUP(B387,TRAOPE!$A:$U,21,0)),"")</f>
        <v/>
      </c>
      <c r="R387" s="8">
        <f>IFERROR(IFERROR(VLOOKUP(A387,TRAOPE!$A:$W,23,0),VLOOKUP(B387,TRAOPE!$A:$W,23,0)),"")</f>
        <v/>
      </c>
      <c r="S387" s="10">
        <f>IF(AND(P387="TN",R387="TN"),N387+N(O387),IF(G387&amp;""="1",N(K387)*N387,(N387+N(O387))*N(K387)))</f>
        <v/>
      </c>
      <c r="T387" s="10">
        <f>IF(Q387="","",Q387-S387)</f>
        <v/>
      </c>
    </row>
    <row r="388">
      <c r="A388" s="7">
        <f>CONCATENATE(C388,E388,F388,I388)</f>
        <v/>
      </c>
      <c r="B388" s="7">
        <f>CONCATENATE(C388,E388,I388)</f>
        <v/>
      </c>
      <c r="C388" s="8" t="n">
        <v>900001200</v>
      </c>
      <c r="D388" s="7">
        <f>IFERROR(VLOOKUP(C388,TRAOPE!$G:$H,2,0),"")</f>
        <v/>
      </c>
      <c r="E388" s="8" t="inlineStr">
        <is>
          <t>D836</t>
        </is>
      </c>
      <c r="F388" s="8" t="inlineStr">
        <is>
          <t>66861303</t>
        </is>
      </c>
      <c r="G388" s="8">
        <f>IFERROR(VLOOKUP(A388,Flete!$A:$E,5,0),"")</f>
        <v/>
      </c>
      <c r="H388" s="7">
        <f>IFERROR(VLOOKUP(F388,TRAOPE!$AA:$AB,2,0),"")</f>
        <v/>
      </c>
      <c r="I388" s="7" t="n">
        <v>10000624</v>
      </c>
      <c r="J388" s="7">
        <f>IFERROR(VLOOKUP(I388,Materiales!$A:$H,8,0),"")</f>
        <v/>
      </c>
      <c r="K388" s="9">
        <f>IFERROR(VLOOKUP(I388,Materiales!$A:$G,7,0),"")</f>
        <v/>
      </c>
      <c r="L388" s="8" t="inlineStr">
        <is>
          <t>20190426</t>
        </is>
      </c>
      <c r="M388" s="8" t="inlineStr">
        <is>
          <t>20250127</t>
        </is>
      </c>
      <c r="N388" s="10" t="n">
        <v>214</v>
      </c>
      <c r="O388" s="10">
        <f>IFERROR(VLOOKUP(A388,Flete!$A:$J,10,0),"")</f>
        <v/>
      </c>
      <c r="P388" s="8" t="inlineStr">
        <is>
          <t>M3</t>
        </is>
      </c>
      <c r="Q388" s="10">
        <f>IFERROR(IFERROR(VLOOKUP(A388,TRAOPE!$A:$U,21,0),VLOOKUP(B388,TRAOPE!$A:$U,21,0)),"")</f>
        <v/>
      </c>
      <c r="R388" s="8">
        <f>IFERROR(IFERROR(VLOOKUP(A388,TRAOPE!$A:$W,23,0),VLOOKUP(B388,TRAOPE!$A:$W,23,0)),"")</f>
        <v/>
      </c>
      <c r="S388" s="10">
        <f>IF(AND(P388="TN",R388="TN"),N388+N(O388),IF(G388&amp;""="1",N(K388)*N388,(N388+N(O388))*N(K388)))</f>
        <v/>
      </c>
      <c r="T388" s="10">
        <f>IF(Q388="","",Q388-S388)</f>
        <v/>
      </c>
    </row>
    <row r="389">
      <c r="A389" s="7">
        <f>CONCATENATE(C389,E389,F389,I389)</f>
        <v/>
      </c>
      <c r="B389" s="7">
        <f>CONCATENATE(C389,E389,I389)</f>
        <v/>
      </c>
      <c r="C389" s="8" t="n">
        <v>900001200</v>
      </c>
      <c r="D389" s="7">
        <f>IFERROR(VLOOKUP(C389,TRAOPE!$G:$H,2,0),"")</f>
        <v/>
      </c>
      <c r="E389" s="8" t="inlineStr">
        <is>
          <t>D836</t>
        </is>
      </c>
      <c r="F389" s="8" t="inlineStr">
        <is>
          <t>66861303</t>
        </is>
      </c>
      <c r="G389" s="8">
        <f>IFERROR(VLOOKUP(A389,Flete!$A:$E,5,0),"")</f>
        <v/>
      </c>
      <c r="H389" s="7">
        <f>IFERROR(VLOOKUP(F389,TRAOPE!$AA:$AB,2,0),"")</f>
        <v/>
      </c>
      <c r="I389" s="7" t="n">
        <v>10000630</v>
      </c>
      <c r="J389" s="7">
        <f>IFERROR(VLOOKUP(I389,Materiales!$A:$H,8,0),"")</f>
        <v/>
      </c>
      <c r="K389" s="9">
        <f>IFERROR(VLOOKUP(I389,Materiales!$A:$G,7,0),"")</f>
        <v/>
      </c>
      <c r="L389" s="8" t="inlineStr">
        <is>
          <t>20190426</t>
        </is>
      </c>
      <c r="M389" s="8" t="inlineStr">
        <is>
          <t>20250127</t>
        </is>
      </c>
      <c r="N389" s="10" t="n">
        <v>214</v>
      </c>
      <c r="O389" s="10">
        <f>IFERROR(VLOOKUP(A389,Flete!$A:$J,10,0),"")</f>
        <v/>
      </c>
      <c r="P389" s="8" t="inlineStr">
        <is>
          <t>M3</t>
        </is>
      </c>
      <c r="Q389" s="10">
        <f>IFERROR(IFERROR(VLOOKUP(A389,TRAOPE!$A:$U,21,0),VLOOKUP(B389,TRAOPE!$A:$U,21,0)),"")</f>
        <v/>
      </c>
      <c r="R389" s="8">
        <f>IFERROR(IFERROR(VLOOKUP(A389,TRAOPE!$A:$W,23,0),VLOOKUP(B389,TRAOPE!$A:$W,23,0)),"")</f>
        <v/>
      </c>
      <c r="S389" s="10">
        <f>IF(AND(P389="TN",R389="TN"),N389+N(O389),IF(G389&amp;""="1",N(K389)*N389,(N389+N(O389))*N(K389)))</f>
        <v/>
      </c>
      <c r="T389" s="10">
        <f>IF(Q389="","",Q389-S389)</f>
        <v/>
      </c>
    </row>
    <row r="390">
      <c r="A390" s="7">
        <f>CONCATENATE(C390,E390,F390,I390)</f>
        <v/>
      </c>
      <c r="B390" s="7">
        <f>CONCATENATE(C390,E390,I390)</f>
        <v/>
      </c>
      <c r="C390" s="8" t="n">
        <v>900001200</v>
      </c>
      <c r="D390" s="7">
        <f>IFERROR(VLOOKUP(C390,TRAOPE!$G:$H,2,0),"")</f>
        <v/>
      </c>
      <c r="E390" s="8" t="inlineStr">
        <is>
          <t>D836</t>
        </is>
      </c>
      <c r="F390" s="8" t="inlineStr">
        <is>
          <t>66861303</t>
        </is>
      </c>
      <c r="G390" s="8">
        <f>IFERROR(VLOOKUP(A390,Flete!$A:$E,5,0),"")</f>
        <v/>
      </c>
      <c r="H390" s="7">
        <f>IFERROR(VLOOKUP(F390,TRAOPE!$AA:$AB,2,0),"")</f>
        <v/>
      </c>
      <c r="I390" s="7" t="n">
        <v>10000811</v>
      </c>
      <c r="J390" s="7">
        <f>IFERROR(VLOOKUP(I390,Materiales!$A:$H,8,0),"")</f>
        <v/>
      </c>
      <c r="K390" s="9">
        <f>IFERROR(VLOOKUP(I390,Materiales!$A:$G,7,0),"")</f>
        <v/>
      </c>
      <c r="L390" s="8" t="inlineStr">
        <is>
          <t>20190426</t>
        </is>
      </c>
      <c r="M390" s="8" t="inlineStr">
        <is>
          <t>20250127</t>
        </is>
      </c>
      <c r="N390" s="10" t="n">
        <v>214</v>
      </c>
      <c r="O390" s="10">
        <f>IFERROR(VLOOKUP(A390,Flete!$A:$J,10,0),"")</f>
        <v/>
      </c>
      <c r="P390" s="8" t="inlineStr">
        <is>
          <t>M3</t>
        </is>
      </c>
      <c r="Q390" s="10">
        <f>IFERROR(IFERROR(VLOOKUP(A390,TRAOPE!$A:$U,21,0),VLOOKUP(B390,TRAOPE!$A:$U,21,0)),"")</f>
        <v/>
      </c>
      <c r="R390" s="8">
        <f>IFERROR(IFERROR(VLOOKUP(A390,TRAOPE!$A:$W,23,0),VLOOKUP(B390,TRAOPE!$A:$W,23,0)),"")</f>
        <v/>
      </c>
      <c r="S390" s="10">
        <f>IF(AND(P390="TN",R390="TN"),N390+N(O390),IF(G390&amp;""="1",N(K390)*N390,(N390+N(O390))*N(K390)))</f>
        <v/>
      </c>
      <c r="T390" s="10">
        <f>IF(Q390="","",Q390-S390)</f>
        <v/>
      </c>
    </row>
    <row r="391">
      <c r="A391" s="7">
        <f>CONCATENATE(C391,E391,F391,I391)</f>
        <v/>
      </c>
      <c r="B391" s="7">
        <f>CONCATENATE(C391,E391,I391)</f>
        <v/>
      </c>
      <c r="C391" s="8" t="n">
        <v>900001810</v>
      </c>
      <c r="D391" s="7">
        <f>IFERROR(VLOOKUP(C391,TRAOPE!$G:$H,2,0),"")</f>
        <v/>
      </c>
      <c r="E391" s="8" t="inlineStr">
        <is>
          <t>D836</t>
        </is>
      </c>
      <c r="F391" s="8" t="inlineStr">
        <is>
          <t>65442710</t>
        </is>
      </c>
      <c r="G391" s="8">
        <f>IFERROR(VLOOKUP(A391,Flete!$A:$E,5,0),"")</f>
        <v/>
      </c>
      <c r="H391" s="7">
        <f>IFERROR(VLOOKUP(F391,TRAOPE!$AA:$AB,2,0),"")</f>
        <v/>
      </c>
      <c r="I391" s="7" t="n">
        <v>10000160</v>
      </c>
      <c r="J391" s="7">
        <f>IFERROR(VLOOKUP(I391,Materiales!$A:$H,8,0),"")</f>
        <v/>
      </c>
      <c r="K391" s="9">
        <f>IFERROR(VLOOKUP(I391,Materiales!$A:$G,7,0),"")</f>
        <v/>
      </c>
      <c r="L391" s="8" t="inlineStr">
        <is>
          <t>20190426</t>
        </is>
      </c>
      <c r="M391" s="8" t="inlineStr">
        <is>
          <t>20250127</t>
        </is>
      </c>
      <c r="N391" s="10" t="n">
        <v>84.11</v>
      </c>
      <c r="O391" s="10">
        <f>IFERROR(VLOOKUP(A391,Flete!$A:$J,10,0),"")</f>
        <v/>
      </c>
      <c r="P391" s="8" t="inlineStr">
        <is>
          <t>M3</t>
        </is>
      </c>
      <c r="Q391" s="10">
        <f>IFERROR(IFERROR(VLOOKUP(A391,TRAOPE!$A:$U,21,0),VLOOKUP(B391,TRAOPE!$A:$U,21,0)),"")</f>
        <v/>
      </c>
      <c r="R391" s="8">
        <f>IFERROR(IFERROR(VLOOKUP(A391,TRAOPE!$A:$W,23,0),VLOOKUP(B391,TRAOPE!$A:$W,23,0)),"")</f>
        <v/>
      </c>
      <c r="S391" s="10">
        <f>IF(AND(P391="TN",R391="TN"),N391+N(O391),IF(G391&amp;""="1",N(K391)*N391,(N391+N(O391))*N(K391)))</f>
        <v/>
      </c>
      <c r="T391" s="10">
        <f>IF(Q391="","",Q391-S391)</f>
        <v/>
      </c>
    </row>
    <row r="392">
      <c r="A392" s="7">
        <f>CONCATENATE(C392,E392,F392,I392)</f>
        <v/>
      </c>
      <c r="B392" s="7">
        <f>CONCATENATE(C392,E392,I392)</f>
        <v/>
      </c>
      <c r="C392" s="8" t="n">
        <v>900001810</v>
      </c>
      <c r="D392" s="7">
        <f>IFERROR(VLOOKUP(C392,TRAOPE!$G:$H,2,0),"")</f>
        <v/>
      </c>
      <c r="E392" s="8" t="inlineStr">
        <is>
          <t>D836</t>
        </is>
      </c>
      <c r="F392" s="8" t="inlineStr">
        <is>
          <t>65442710</t>
        </is>
      </c>
      <c r="G392" s="8">
        <f>IFERROR(VLOOKUP(A392,Flete!$A:$E,5,0),"")</f>
        <v/>
      </c>
      <c r="H392" s="7">
        <f>IFERROR(VLOOKUP(F392,TRAOPE!$AA:$AB,2,0),"")</f>
        <v/>
      </c>
      <c r="I392" s="7" t="n">
        <v>10000357</v>
      </c>
      <c r="J392" s="7">
        <f>IFERROR(VLOOKUP(I392,Materiales!$A:$H,8,0),"")</f>
        <v/>
      </c>
      <c r="K392" s="9">
        <f>IFERROR(VLOOKUP(I392,Materiales!$A:$G,7,0),"")</f>
        <v/>
      </c>
      <c r="L392" s="8" t="inlineStr">
        <is>
          <t>20190426</t>
        </is>
      </c>
      <c r="M392" s="8" t="inlineStr">
        <is>
          <t>20250127</t>
        </is>
      </c>
      <c r="N392" s="10" t="n">
        <v>86.11</v>
      </c>
      <c r="O392" s="10">
        <f>IFERROR(VLOOKUP(A392,Flete!$A:$J,10,0),"")</f>
        <v/>
      </c>
      <c r="P392" s="8" t="inlineStr">
        <is>
          <t>M3</t>
        </is>
      </c>
      <c r="Q392" s="10">
        <f>IFERROR(IFERROR(VLOOKUP(A392,TRAOPE!$A:$U,21,0),VLOOKUP(B392,TRAOPE!$A:$U,21,0)),"")</f>
        <v/>
      </c>
      <c r="R392" s="8">
        <f>IFERROR(IFERROR(VLOOKUP(A392,TRAOPE!$A:$W,23,0),VLOOKUP(B392,TRAOPE!$A:$W,23,0)),"")</f>
        <v/>
      </c>
      <c r="S392" s="10">
        <f>IF(AND(P392="TN",R392="TN"),N392+N(O392),IF(G392&amp;""="1",N(K392)*N392,(N392+N(O392))*N(K392)))</f>
        <v/>
      </c>
      <c r="T392" s="10">
        <f>IF(Q392="","",Q392-S392)</f>
        <v/>
      </c>
    </row>
    <row r="393">
      <c r="A393" s="7">
        <f>CONCATENATE(C393,E393,F393,I393)</f>
        <v/>
      </c>
      <c r="B393" s="7">
        <f>CONCATENATE(C393,E393,I393)</f>
        <v/>
      </c>
      <c r="C393" s="8" t="n">
        <v>900001810</v>
      </c>
      <c r="D393" s="7">
        <f>IFERROR(VLOOKUP(C393,TRAOPE!$G:$H,2,0),"")</f>
        <v/>
      </c>
      <c r="E393" s="8" t="inlineStr">
        <is>
          <t>D836</t>
        </is>
      </c>
      <c r="F393" s="8" t="inlineStr">
        <is>
          <t>65442710</t>
        </is>
      </c>
      <c r="G393" s="8">
        <f>IFERROR(VLOOKUP(A393,Flete!$A:$E,5,0),"")</f>
        <v/>
      </c>
      <c r="H393" s="7">
        <f>IFERROR(VLOOKUP(F393,TRAOPE!$AA:$AB,2,0),"")</f>
        <v/>
      </c>
      <c r="I393" s="7" t="n">
        <v>10000627</v>
      </c>
      <c r="J393" s="7">
        <f>IFERROR(VLOOKUP(I393,Materiales!$A:$H,8,0),"")</f>
        <v/>
      </c>
      <c r="K393" s="9">
        <f>IFERROR(VLOOKUP(I393,Materiales!$A:$G,7,0),"")</f>
        <v/>
      </c>
      <c r="L393" s="8" t="inlineStr">
        <is>
          <t>20190426</t>
        </is>
      </c>
      <c r="M393" s="8" t="inlineStr">
        <is>
          <t>20250127</t>
        </is>
      </c>
      <c r="N393" s="10" t="n">
        <v>103.36</v>
      </c>
      <c r="O393" s="10">
        <f>IFERROR(VLOOKUP(A393,Flete!$A:$J,10,0),"")</f>
        <v/>
      </c>
      <c r="P393" s="8" t="inlineStr">
        <is>
          <t>M3</t>
        </is>
      </c>
      <c r="Q393" s="10">
        <f>IFERROR(IFERROR(VLOOKUP(A393,TRAOPE!$A:$U,21,0),VLOOKUP(B393,TRAOPE!$A:$U,21,0)),"")</f>
        <v/>
      </c>
      <c r="R393" s="8">
        <f>IFERROR(IFERROR(VLOOKUP(A393,TRAOPE!$A:$W,23,0),VLOOKUP(B393,TRAOPE!$A:$W,23,0)),"")</f>
        <v/>
      </c>
      <c r="S393" s="10">
        <f>IF(AND(P393="TN",R393="TN"),N393+N(O393),IF(G393&amp;""="1",N(K393)*N393,(N393+N(O393))*N(K393)))</f>
        <v/>
      </c>
      <c r="T393" s="10">
        <f>IF(Q393="","",Q393-S393)</f>
        <v/>
      </c>
    </row>
    <row r="394">
      <c r="A394" s="7">
        <f>CONCATENATE(C394,E394,F394,I394)</f>
        <v/>
      </c>
      <c r="B394" s="7">
        <f>CONCATENATE(C394,E394,I394)</f>
        <v/>
      </c>
      <c r="C394" s="8" t="n">
        <v>900001810</v>
      </c>
      <c r="D394" s="7">
        <f>IFERROR(VLOOKUP(C394,TRAOPE!$G:$H,2,0),"")</f>
        <v/>
      </c>
      <c r="E394" s="8" t="inlineStr">
        <is>
          <t>D836</t>
        </is>
      </c>
      <c r="F394" s="8" t="inlineStr">
        <is>
          <t>65662100</t>
        </is>
      </c>
      <c r="G394" s="8">
        <f>IFERROR(VLOOKUP(A394,Flete!$A:$E,5,0),"")</f>
        <v/>
      </c>
      <c r="H394" s="7">
        <f>IFERROR(VLOOKUP(F394,TRAOPE!$AA:$AB,2,0),"")</f>
        <v/>
      </c>
      <c r="I394" s="7" t="n">
        <v>10000357</v>
      </c>
      <c r="J394" s="7">
        <f>IFERROR(VLOOKUP(I394,Materiales!$A:$H,8,0),"")</f>
        <v/>
      </c>
      <c r="K394" s="9">
        <f>IFERROR(VLOOKUP(I394,Materiales!$A:$G,7,0),"")</f>
        <v/>
      </c>
      <c r="L394" s="8" t="inlineStr">
        <is>
          <t>20190426</t>
        </is>
      </c>
      <c r="M394" s="8" t="inlineStr">
        <is>
          <t>20250127</t>
        </is>
      </c>
      <c r="N394" s="10" t="n">
        <v>77.79000000000001</v>
      </c>
      <c r="O394" s="10">
        <f>IFERROR(VLOOKUP(A394,Flete!$A:$J,10,0),"")</f>
        <v/>
      </c>
      <c r="P394" s="8" t="inlineStr">
        <is>
          <t>M3</t>
        </is>
      </c>
      <c r="Q394" s="10">
        <f>IFERROR(IFERROR(VLOOKUP(A394,TRAOPE!$A:$U,21,0),VLOOKUP(B394,TRAOPE!$A:$U,21,0)),"")</f>
        <v/>
      </c>
      <c r="R394" s="8">
        <f>IFERROR(IFERROR(VLOOKUP(A394,TRAOPE!$A:$W,23,0),VLOOKUP(B394,TRAOPE!$A:$W,23,0)),"")</f>
        <v/>
      </c>
      <c r="S394" s="10">
        <f>IF(AND(P394="TN",R394="TN"),N394+N(O394),IF(G394&amp;""="1",N(K394)*N394,(N394+N(O394))*N(K394)))</f>
        <v/>
      </c>
      <c r="T394" s="10">
        <f>IF(Q394="","",Q394-S394)</f>
        <v/>
      </c>
    </row>
    <row r="395">
      <c r="A395" s="7">
        <f>CONCATENATE(C395,E395,F395,I395)</f>
        <v/>
      </c>
      <c r="B395" s="7">
        <f>CONCATENATE(C395,E395,I395)</f>
        <v/>
      </c>
      <c r="C395" s="8" t="n">
        <v>900001810</v>
      </c>
      <c r="D395" s="7">
        <f>IFERROR(VLOOKUP(C395,TRAOPE!$G:$H,2,0),"")</f>
        <v/>
      </c>
      <c r="E395" s="8" t="inlineStr">
        <is>
          <t>D836</t>
        </is>
      </c>
      <c r="F395" s="8" t="inlineStr">
        <is>
          <t>65920750</t>
        </is>
      </c>
      <c r="G395" s="8">
        <f>IFERROR(VLOOKUP(A395,Flete!$A:$E,5,0),"")</f>
        <v/>
      </c>
      <c r="H395" s="7">
        <f>IFERROR(VLOOKUP(F395,TRAOPE!$AA:$AB,2,0),"")</f>
        <v/>
      </c>
      <c r="I395" s="7" t="n">
        <v>10000357</v>
      </c>
      <c r="J395" s="7">
        <f>IFERROR(VLOOKUP(I395,Materiales!$A:$H,8,0),"")</f>
        <v/>
      </c>
      <c r="K395" s="9">
        <f>IFERROR(VLOOKUP(I395,Materiales!$A:$G,7,0),"")</f>
        <v/>
      </c>
      <c r="L395" s="8" t="inlineStr">
        <is>
          <t>20190426</t>
        </is>
      </c>
      <c r="M395" s="8" t="inlineStr">
        <is>
          <t>20250127</t>
        </is>
      </c>
      <c r="N395" s="10" t="n">
        <v>84.92</v>
      </c>
      <c r="O395" s="10">
        <f>IFERROR(VLOOKUP(A395,Flete!$A:$J,10,0),"")</f>
        <v/>
      </c>
      <c r="P395" s="8" t="inlineStr">
        <is>
          <t>M3</t>
        </is>
      </c>
      <c r="Q395" s="10">
        <f>IFERROR(IFERROR(VLOOKUP(A395,TRAOPE!$A:$U,21,0),VLOOKUP(B395,TRAOPE!$A:$U,21,0)),"")</f>
        <v/>
      </c>
      <c r="R395" s="8">
        <f>IFERROR(IFERROR(VLOOKUP(A395,TRAOPE!$A:$W,23,0),VLOOKUP(B395,TRAOPE!$A:$W,23,0)),"")</f>
        <v/>
      </c>
      <c r="S395" s="10">
        <f>IF(AND(P395="TN",R395="TN"),N395+N(O395),IF(G395&amp;""="1",N(K395)*N395,(N395+N(O395))*N(K395)))</f>
        <v/>
      </c>
      <c r="T395" s="10">
        <f>IF(Q395="","",Q395-S395)</f>
        <v/>
      </c>
    </row>
    <row r="396">
      <c r="A396" s="7">
        <f>CONCATENATE(C396,E396,F396,I396)</f>
        <v/>
      </c>
      <c r="B396" s="7">
        <f>CONCATENATE(C396,E396,I396)</f>
        <v/>
      </c>
      <c r="C396" s="8" t="n">
        <v>900002313</v>
      </c>
      <c r="D396" s="7">
        <f>IFERROR(VLOOKUP(C396,TRAOPE!$G:$H,2,0),"")</f>
        <v/>
      </c>
      <c r="E396" s="8" t="inlineStr">
        <is>
          <t>D836</t>
        </is>
      </c>
      <c r="F396" s="8" t="inlineStr">
        <is>
          <t>65232687</t>
        </is>
      </c>
      <c r="G396" s="8">
        <f>IFERROR(VLOOKUP(A396,Flete!$A:$E,5,0),"")</f>
        <v/>
      </c>
      <c r="H396" s="7">
        <f>IFERROR(VLOOKUP(F396,TRAOPE!$AA:$AB,2,0),"")</f>
        <v/>
      </c>
      <c r="I396" s="7" t="n">
        <v>10000441</v>
      </c>
      <c r="J396" s="7">
        <f>IFERROR(VLOOKUP(I396,Materiales!$A:$H,8,0),"")</f>
        <v/>
      </c>
      <c r="K396" s="9">
        <f>IFERROR(VLOOKUP(I396,Materiales!$A:$G,7,0),"")</f>
        <v/>
      </c>
      <c r="L396" s="8" t="inlineStr">
        <is>
          <t>20190426</t>
        </is>
      </c>
      <c r="M396" s="8" t="inlineStr">
        <is>
          <t>20250127</t>
        </is>
      </c>
      <c r="N396" s="10" t="n">
        <v>74.75</v>
      </c>
      <c r="O396" s="10">
        <f>IFERROR(VLOOKUP(A396,Flete!$A:$J,10,0),"")</f>
        <v/>
      </c>
      <c r="P396" s="8" t="inlineStr">
        <is>
          <t>M3</t>
        </is>
      </c>
      <c r="Q396" s="10">
        <f>IFERROR(IFERROR(VLOOKUP(A396,TRAOPE!$A:$U,21,0),VLOOKUP(B396,TRAOPE!$A:$U,21,0)),"")</f>
        <v/>
      </c>
      <c r="R396" s="8">
        <f>IFERROR(IFERROR(VLOOKUP(A396,TRAOPE!$A:$W,23,0),VLOOKUP(B396,TRAOPE!$A:$W,23,0)),"")</f>
        <v/>
      </c>
      <c r="S396" s="10">
        <f>IF(AND(P396="TN",R396="TN"),N396+N(O396),IF(G396&amp;""="1",N(K396)*N396,(N396+N(O396))*N(K396)))</f>
        <v/>
      </c>
      <c r="T396" s="10">
        <f>IF(Q396="","",Q396-S396)</f>
        <v/>
      </c>
    </row>
    <row r="397">
      <c r="A397" s="7">
        <f>CONCATENATE(C397,E397,F397,I397)</f>
        <v/>
      </c>
      <c r="B397" s="7">
        <f>CONCATENATE(C397,E397,I397)</f>
        <v/>
      </c>
      <c r="C397" s="8" t="n">
        <v>900002313</v>
      </c>
      <c r="D397" s="7">
        <f>IFERROR(VLOOKUP(C397,TRAOPE!$G:$H,2,0),"")</f>
        <v/>
      </c>
      <c r="E397" s="8" t="inlineStr">
        <is>
          <t>D836</t>
        </is>
      </c>
      <c r="F397" s="8" t="inlineStr">
        <is>
          <t>65232687</t>
        </is>
      </c>
      <c r="G397" s="8">
        <f>IFERROR(VLOOKUP(A397,Flete!$A:$E,5,0),"")</f>
        <v/>
      </c>
      <c r="H397" s="7">
        <f>IFERROR(VLOOKUP(F397,TRAOPE!$AA:$AB,2,0),"")</f>
        <v/>
      </c>
      <c r="I397" s="7" t="n">
        <v>10001353</v>
      </c>
      <c r="J397" s="7">
        <f>IFERROR(VLOOKUP(I397,Materiales!$A:$H,8,0),"")</f>
        <v/>
      </c>
      <c r="K397" s="9">
        <f>IFERROR(VLOOKUP(I397,Materiales!$A:$G,7,0),"")</f>
        <v/>
      </c>
      <c r="L397" s="8" t="inlineStr">
        <is>
          <t>20190426</t>
        </is>
      </c>
      <c r="M397" s="8" t="inlineStr">
        <is>
          <t>20250127</t>
        </is>
      </c>
      <c r="N397" s="10" t="n">
        <v>89.7</v>
      </c>
      <c r="O397" s="10">
        <f>IFERROR(VLOOKUP(A397,Flete!$A:$J,10,0),"")</f>
        <v/>
      </c>
      <c r="P397" s="8" t="inlineStr">
        <is>
          <t>M3</t>
        </is>
      </c>
      <c r="Q397" s="10">
        <f>IFERROR(IFERROR(VLOOKUP(A397,TRAOPE!$A:$U,21,0),VLOOKUP(B397,TRAOPE!$A:$U,21,0)),"")</f>
        <v/>
      </c>
      <c r="R397" s="8">
        <f>IFERROR(IFERROR(VLOOKUP(A397,TRAOPE!$A:$W,23,0),VLOOKUP(B397,TRAOPE!$A:$W,23,0)),"")</f>
        <v/>
      </c>
      <c r="S397" s="10">
        <f>IF(AND(P397="TN",R397="TN"),N397+N(O397),IF(G397&amp;""="1",N(K397)*N397,(N397+N(O397))*N(K397)))</f>
        <v/>
      </c>
      <c r="T397" s="10">
        <f>IF(Q397="","",Q397-S397)</f>
        <v/>
      </c>
    </row>
    <row r="398">
      <c r="A398" s="7">
        <f>CONCATENATE(C398,E398,F398,I398)</f>
        <v/>
      </c>
      <c r="B398" s="7">
        <f>CONCATENATE(C398,E398,I398)</f>
        <v/>
      </c>
      <c r="C398" s="8" t="n">
        <v>900002313</v>
      </c>
      <c r="D398" s="7">
        <f>IFERROR(VLOOKUP(C398,TRAOPE!$G:$H,2,0),"")</f>
        <v/>
      </c>
      <c r="E398" s="8" t="inlineStr">
        <is>
          <t>D836</t>
        </is>
      </c>
      <c r="F398" s="8" t="inlineStr">
        <is>
          <t>65232687</t>
        </is>
      </c>
      <c r="G398" s="8">
        <f>IFERROR(VLOOKUP(A398,Flete!$A:$E,5,0),"")</f>
        <v/>
      </c>
      <c r="H398" s="7">
        <f>IFERROR(VLOOKUP(F398,TRAOPE!$AA:$AB,2,0),"")</f>
        <v/>
      </c>
      <c r="I398" s="7" t="n">
        <v>10001354</v>
      </c>
      <c r="J398" s="7">
        <f>IFERROR(VLOOKUP(I398,Materiales!$A:$H,8,0),"")</f>
        <v/>
      </c>
      <c r="K398" s="9">
        <f>IFERROR(VLOOKUP(I398,Materiales!$A:$G,7,0),"")</f>
        <v/>
      </c>
      <c r="L398" s="8" t="inlineStr">
        <is>
          <t>20190426</t>
        </is>
      </c>
      <c r="M398" s="8" t="inlineStr">
        <is>
          <t>20250127</t>
        </is>
      </c>
      <c r="N398" s="10" t="n">
        <v>74.75</v>
      </c>
      <c r="O398" s="10">
        <f>IFERROR(VLOOKUP(A398,Flete!$A:$J,10,0),"")</f>
        <v/>
      </c>
      <c r="P398" s="8" t="inlineStr">
        <is>
          <t>M3</t>
        </is>
      </c>
      <c r="Q398" s="10">
        <f>IFERROR(IFERROR(VLOOKUP(A398,TRAOPE!$A:$U,21,0),VLOOKUP(B398,TRAOPE!$A:$U,21,0)),"")</f>
        <v/>
      </c>
      <c r="R398" s="8">
        <f>IFERROR(IFERROR(VLOOKUP(A398,TRAOPE!$A:$W,23,0),VLOOKUP(B398,TRAOPE!$A:$W,23,0)),"")</f>
        <v/>
      </c>
      <c r="S398" s="10">
        <f>IF(AND(P398="TN",R398="TN"),N398+N(O398),IF(G398&amp;""="1",N(K398)*N398,(N398+N(O398))*N(K398)))</f>
        <v/>
      </c>
      <c r="T398" s="10">
        <f>IF(Q398="","",Q398-S398)</f>
        <v/>
      </c>
    </row>
    <row r="399">
      <c r="A399" s="7">
        <f>CONCATENATE(C399,E399,F399,I399)</f>
        <v/>
      </c>
      <c r="B399" s="7">
        <f>CONCATENATE(C399,E399,I399)</f>
        <v/>
      </c>
      <c r="C399" s="8" t="n">
        <v>900002313</v>
      </c>
      <c r="D399" s="7">
        <f>IFERROR(VLOOKUP(C399,TRAOPE!$G:$H,2,0),"")</f>
        <v/>
      </c>
      <c r="E399" s="8" t="inlineStr">
        <is>
          <t>D836</t>
        </is>
      </c>
      <c r="F399" s="8" t="inlineStr">
        <is>
          <t>65232687</t>
        </is>
      </c>
      <c r="G399" s="8">
        <f>IFERROR(VLOOKUP(A399,Flete!$A:$E,5,0),"")</f>
        <v/>
      </c>
      <c r="H399" s="7">
        <f>IFERROR(VLOOKUP(F399,TRAOPE!$AA:$AB,2,0),"")</f>
        <v/>
      </c>
      <c r="I399" s="7" t="n">
        <v>10001436</v>
      </c>
      <c r="J399" s="7">
        <f>IFERROR(VLOOKUP(I399,Materiales!$A:$H,8,0),"")</f>
        <v/>
      </c>
      <c r="K399" s="9">
        <f>IFERROR(VLOOKUP(I399,Materiales!$A:$G,7,0),"")</f>
        <v/>
      </c>
      <c r="L399" s="8" t="inlineStr">
        <is>
          <t>20190426</t>
        </is>
      </c>
      <c r="M399" s="8" t="inlineStr">
        <is>
          <t>20250127</t>
        </is>
      </c>
      <c r="N399" s="10" t="n">
        <v>54.05</v>
      </c>
      <c r="O399" s="10">
        <f>IFERROR(VLOOKUP(A399,Flete!$A:$J,10,0),"")</f>
        <v/>
      </c>
      <c r="P399" s="8" t="inlineStr">
        <is>
          <t>M3</t>
        </is>
      </c>
      <c r="Q399" s="10">
        <f>IFERROR(IFERROR(VLOOKUP(A399,TRAOPE!$A:$U,21,0),VLOOKUP(B399,TRAOPE!$A:$U,21,0)),"")</f>
        <v/>
      </c>
      <c r="R399" s="8">
        <f>IFERROR(IFERROR(VLOOKUP(A399,TRAOPE!$A:$W,23,0),VLOOKUP(B399,TRAOPE!$A:$W,23,0)),"")</f>
        <v/>
      </c>
      <c r="S399" s="10">
        <f>IF(AND(P399="TN",R399="TN"),N399+N(O399),IF(G399&amp;""="1",N(K399)*N399,(N399+N(O399))*N(K399)))</f>
        <v/>
      </c>
      <c r="T399" s="10">
        <f>IF(Q399="","",Q399-S399)</f>
        <v/>
      </c>
    </row>
    <row r="400">
      <c r="A400" s="7">
        <f>CONCATENATE(C400,E400,F400,I400)</f>
        <v/>
      </c>
      <c r="B400" s="7">
        <f>CONCATENATE(C400,E400,I400)</f>
        <v/>
      </c>
      <c r="C400" s="8" t="n">
        <v>900002313</v>
      </c>
      <c r="D400" s="7">
        <f>IFERROR(VLOOKUP(C400,TRAOPE!$G:$H,2,0),"")</f>
        <v/>
      </c>
      <c r="E400" s="8" t="inlineStr">
        <is>
          <t>D836</t>
        </is>
      </c>
      <c r="F400" s="8" t="inlineStr">
        <is>
          <t>65232687</t>
        </is>
      </c>
      <c r="G400" s="8">
        <f>IFERROR(VLOOKUP(A400,Flete!$A:$E,5,0),"")</f>
        <v/>
      </c>
      <c r="H400" s="7">
        <f>IFERROR(VLOOKUP(F400,TRAOPE!$AA:$AB,2,0),"")</f>
        <v/>
      </c>
      <c r="I400" s="7" t="n">
        <v>10037590</v>
      </c>
      <c r="J400" s="7">
        <f>IFERROR(VLOOKUP(I400,Materiales!$A:$H,8,0),"")</f>
        <v/>
      </c>
      <c r="K400" s="9">
        <f>IFERROR(VLOOKUP(I400,Materiales!$A:$G,7,0),"")</f>
        <v/>
      </c>
      <c r="L400" s="8" t="inlineStr">
        <is>
          <t>20190426</t>
        </is>
      </c>
      <c r="M400" s="8" t="inlineStr">
        <is>
          <t>20250127</t>
        </is>
      </c>
      <c r="N400" s="10" t="n">
        <v>51.75</v>
      </c>
      <c r="O400" s="10">
        <f>IFERROR(VLOOKUP(A400,Flete!$A:$J,10,0),"")</f>
        <v/>
      </c>
      <c r="P400" s="8" t="inlineStr">
        <is>
          <t>M3</t>
        </is>
      </c>
      <c r="Q400" s="10">
        <f>IFERROR(IFERROR(VLOOKUP(A400,TRAOPE!$A:$U,21,0),VLOOKUP(B400,TRAOPE!$A:$U,21,0)),"")</f>
        <v/>
      </c>
      <c r="R400" s="8">
        <f>IFERROR(IFERROR(VLOOKUP(A400,TRAOPE!$A:$W,23,0),VLOOKUP(B400,TRAOPE!$A:$W,23,0)),"")</f>
        <v/>
      </c>
      <c r="S400" s="10">
        <f>IF(AND(P400="TN",R400="TN"),N400+N(O400),IF(G400&amp;""="1",N(K400)*N400,(N400+N(O400))*N(K400)))</f>
        <v/>
      </c>
      <c r="T400" s="10">
        <f>IF(Q400="","",Q400-S400)</f>
        <v/>
      </c>
    </row>
    <row r="401">
      <c r="A401" s="7">
        <f>CONCATENATE(C401,E401,F401,I401)</f>
        <v/>
      </c>
      <c r="B401" s="7">
        <f>CONCATENATE(C401,E401,I401)</f>
        <v/>
      </c>
      <c r="C401" s="8" t="n">
        <v>900002313</v>
      </c>
      <c r="D401" s="7">
        <f>IFERROR(VLOOKUP(C401,TRAOPE!$G:$H,2,0),"")</f>
        <v/>
      </c>
      <c r="E401" s="8" t="inlineStr">
        <is>
          <t>D836</t>
        </is>
      </c>
      <c r="F401" s="8" t="inlineStr">
        <is>
          <t>65387641</t>
        </is>
      </c>
      <c r="G401" s="8">
        <f>IFERROR(VLOOKUP(A401,Flete!$A:$E,5,0),"")</f>
        <v/>
      </c>
      <c r="H401" s="7">
        <f>IFERROR(VLOOKUP(F401,TRAOPE!$AA:$AB,2,0),"")</f>
        <v/>
      </c>
      <c r="I401" s="7" t="n">
        <v>10000441</v>
      </c>
      <c r="J401" s="7">
        <f>IFERROR(VLOOKUP(I401,Materiales!$A:$H,8,0),"")</f>
        <v/>
      </c>
      <c r="K401" s="9">
        <f>IFERROR(VLOOKUP(I401,Materiales!$A:$G,7,0),"")</f>
        <v/>
      </c>
      <c r="L401" s="8" t="inlineStr">
        <is>
          <t>20190426</t>
        </is>
      </c>
      <c r="M401" s="8" t="inlineStr">
        <is>
          <t>20250127</t>
        </is>
      </c>
      <c r="N401" s="10" t="n">
        <v>74.75</v>
      </c>
      <c r="O401" s="10">
        <f>IFERROR(VLOOKUP(A401,Flete!$A:$J,10,0),"")</f>
        <v/>
      </c>
      <c r="P401" s="8" t="inlineStr">
        <is>
          <t>M3</t>
        </is>
      </c>
      <c r="Q401" s="10">
        <f>IFERROR(IFERROR(VLOOKUP(A401,TRAOPE!$A:$U,21,0),VLOOKUP(B401,TRAOPE!$A:$U,21,0)),"")</f>
        <v/>
      </c>
      <c r="R401" s="8">
        <f>IFERROR(IFERROR(VLOOKUP(A401,TRAOPE!$A:$W,23,0),VLOOKUP(B401,TRAOPE!$A:$W,23,0)),"")</f>
        <v/>
      </c>
      <c r="S401" s="10">
        <f>IF(AND(P401="TN",R401="TN"),N401+N(O401),IF(G401&amp;""="1",N(K401)*N401,(N401+N(O401))*N(K401)))</f>
        <v/>
      </c>
      <c r="T401" s="10">
        <f>IF(Q401="","",Q401-S401)</f>
        <v/>
      </c>
    </row>
    <row r="402">
      <c r="A402" s="7">
        <f>CONCATENATE(C402,E402,F402,I402)</f>
        <v/>
      </c>
      <c r="B402" s="7">
        <f>CONCATENATE(C402,E402,I402)</f>
        <v/>
      </c>
      <c r="C402" s="8" t="n">
        <v>900002313</v>
      </c>
      <c r="D402" s="7">
        <f>IFERROR(VLOOKUP(C402,TRAOPE!$G:$H,2,0),"")</f>
        <v/>
      </c>
      <c r="E402" s="8" t="inlineStr">
        <is>
          <t>D836</t>
        </is>
      </c>
      <c r="F402" s="8" t="inlineStr">
        <is>
          <t>65387641</t>
        </is>
      </c>
      <c r="G402" s="8">
        <f>IFERROR(VLOOKUP(A402,Flete!$A:$E,5,0),"")</f>
        <v/>
      </c>
      <c r="H402" s="7">
        <f>IFERROR(VLOOKUP(F402,TRAOPE!$AA:$AB,2,0),"")</f>
        <v/>
      </c>
      <c r="I402" s="7" t="n">
        <v>10001353</v>
      </c>
      <c r="J402" s="7">
        <f>IFERROR(VLOOKUP(I402,Materiales!$A:$H,8,0),"")</f>
        <v/>
      </c>
      <c r="K402" s="9">
        <f>IFERROR(VLOOKUP(I402,Materiales!$A:$G,7,0),"")</f>
        <v/>
      </c>
      <c r="L402" s="8" t="inlineStr">
        <is>
          <t>20190426</t>
        </is>
      </c>
      <c r="M402" s="8" t="inlineStr">
        <is>
          <t>20250127</t>
        </is>
      </c>
      <c r="N402" s="10" t="n">
        <v>89.7</v>
      </c>
      <c r="O402" s="10">
        <f>IFERROR(VLOOKUP(A402,Flete!$A:$J,10,0),"")</f>
        <v/>
      </c>
      <c r="P402" s="8" t="inlineStr">
        <is>
          <t>M3</t>
        </is>
      </c>
      <c r="Q402" s="10">
        <f>IFERROR(IFERROR(VLOOKUP(A402,TRAOPE!$A:$U,21,0),VLOOKUP(B402,TRAOPE!$A:$U,21,0)),"")</f>
        <v/>
      </c>
      <c r="R402" s="8">
        <f>IFERROR(IFERROR(VLOOKUP(A402,TRAOPE!$A:$W,23,0),VLOOKUP(B402,TRAOPE!$A:$W,23,0)),"")</f>
        <v/>
      </c>
      <c r="S402" s="10">
        <f>IF(AND(P402="TN",R402="TN"),N402+N(O402),IF(G402&amp;""="1",N(K402)*N402,(N402+N(O402))*N(K402)))</f>
        <v/>
      </c>
      <c r="T402" s="10">
        <f>IF(Q402="","",Q402-S402)</f>
        <v/>
      </c>
    </row>
    <row r="403">
      <c r="A403" s="7">
        <f>CONCATENATE(C403,E403,F403,I403)</f>
        <v/>
      </c>
      <c r="B403" s="7">
        <f>CONCATENATE(C403,E403,I403)</f>
        <v/>
      </c>
      <c r="C403" s="8" t="n">
        <v>900002313</v>
      </c>
      <c r="D403" s="7">
        <f>IFERROR(VLOOKUP(C403,TRAOPE!$G:$H,2,0),"")</f>
        <v/>
      </c>
      <c r="E403" s="8" t="inlineStr">
        <is>
          <t>D836</t>
        </is>
      </c>
      <c r="F403" s="8" t="inlineStr">
        <is>
          <t>65387641</t>
        </is>
      </c>
      <c r="G403" s="8">
        <f>IFERROR(VLOOKUP(A403,Flete!$A:$E,5,0),"")</f>
        <v/>
      </c>
      <c r="H403" s="7">
        <f>IFERROR(VLOOKUP(F403,TRAOPE!$AA:$AB,2,0),"")</f>
        <v/>
      </c>
      <c r="I403" s="7" t="n">
        <v>10001354</v>
      </c>
      <c r="J403" s="7">
        <f>IFERROR(VLOOKUP(I403,Materiales!$A:$H,8,0),"")</f>
        <v/>
      </c>
      <c r="K403" s="9">
        <f>IFERROR(VLOOKUP(I403,Materiales!$A:$G,7,0),"")</f>
        <v/>
      </c>
      <c r="L403" s="8" t="inlineStr">
        <is>
          <t>20190426</t>
        </is>
      </c>
      <c r="M403" s="8" t="inlineStr">
        <is>
          <t>20250127</t>
        </is>
      </c>
      <c r="N403" s="10" t="n">
        <v>74.75</v>
      </c>
      <c r="O403" s="10">
        <f>IFERROR(VLOOKUP(A403,Flete!$A:$J,10,0),"")</f>
        <v/>
      </c>
      <c r="P403" s="8" t="inlineStr">
        <is>
          <t>M3</t>
        </is>
      </c>
      <c r="Q403" s="10">
        <f>IFERROR(IFERROR(VLOOKUP(A403,TRAOPE!$A:$U,21,0),VLOOKUP(B403,TRAOPE!$A:$U,21,0)),"")</f>
        <v/>
      </c>
      <c r="R403" s="8">
        <f>IFERROR(IFERROR(VLOOKUP(A403,TRAOPE!$A:$W,23,0),VLOOKUP(B403,TRAOPE!$A:$W,23,0)),"")</f>
        <v/>
      </c>
      <c r="S403" s="10">
        <f>IF(AND(P403="TN",R403="TN"),N403+N(O403),IF(G403&amp;""="1",N(K403)*N403,(N403+N(O403))*N(K403)))</f>
        <v/>
      </c>
      <c r="T403" s="10">
        <f>IF(Q403="","",Q403-S403)</f>
        <v/>
      </c>
    </row>
    <row r="404">
      <c r="A404" s="7">
        <f>CONCATENATE(C404,E404,F404,I404)</f>
        <v/>
      </c>
      <c r="B404" s="7">
        <f>CONCATENATE(C404,E404,I404)</f>
        <v/>
      </c>
      <c r="C404" s="8" t="n">
        <v>900002313</v>
      </c>
      <c r="D404" s="7">
        <f>IFERROR(VLOOKUP(C404,TRAOPE!$G:$H,2,0),"")</f>
        <v/>
      </c>
      <c r="E404" s="8" t="inlineStr">
        <is>
          <t>D836</t>
        </is>
      </c>
      <c r="F404" s="8" t="inlineStr">
        <is>
          <t>65387641</t>
        </is>
      </c>
      <c r="G404" s="8">
        <f>IFERROR(VLOOKUP(A404,Flete!$A:$E,5,0),"")</f>
        <v/>
      </c>
      <c r="H404" s="7">
        <f>IFERROR(VLOOKUP(F404,TRAOPE!$AA:$AB,2,0),"")</f>
        <v/>
      </c>
      <c r="I404" s="7" t="n">
        <v>10001436</v>
      </c>
      <c r="J404" s="7">
        <f>IFERROR(VLOOKUP(I404,Materiales!$A:$H,8,0),"")</f>
        <v/>
      </c>
      <c r="K404" s="9">
        <f>IFERROR(VLOOKUP(I404,Materiales!$A:$G,7,0),"")</f>
        <v/>
      </c>
      <c r="L404" s="8" t="inlineStr">
        <is>
          <t>20190426</t>
        </is>
      </c>
      <c r="M404" s="8" t="inlineStr">
        <is>
          <t>20250127</t>
        </is>
      </c>
      <c r="N404" s="10" t="n">
        <v>54.05</v>
      </c>
      <c r="O404" s="10">
        <f>IFERROR(VLOOKUP(A404,Flete!$A:$J,10,0),"")</f>
        <v/>
      </c>
      <c r="P404" s="8" t="inlineStr">
        <is>
          <t>M3</t>
        </is>
      </c>
      <c r="Q404" s="10">
        <f>IFERROR(IFERROR(VLOOKUP(A404,TRAOPE!$A:$U,21,0),VLOOKUP(B404,TRAOPE!$A:$U,21,0)),"")</f>
        <v/>
      </c>
      <c r="R404" s="8">
        <f>IFERROR(IFERROR(VLOOKUP(A404,TRAOPE!$A:$W,23,0),VLOOKUP(B404,TRAOPE!$A:$W,23,0)),"")</f>
        <v/>
      </c>
      <c r="S404" s="10">
        <f>IF(AND(P404="TN",R404="TN"),N404+N(O404),IF(G404&amp;""="1",N(K404)*N404,(N404+N(O404))*N(K404)))</f>
        <v/>
      </c>
      <c r="T404" s="10">
        <f>IF(Q404="","",Q404-S404)</f>
        <v/>
      </c>
    </row>
    <row r="405">
      <c r="A405" s="7">
        <f>CONCATENATE(C405,E405,F405,I405)</f>
        <v/>
      </c>
      <c r="B405" s="7">
        <f>CONCATENATE(C405,E405,I405)</f>
        <v/>
      </c>
      <c r="C405" s="8" t="n">
        <v>900002313</v>
      </c>
      <c r="D405" s="7">
        <f>IFERROR(VLOOKUP(C405,TRAOPE!$G:$H,2,0),"")</f>
        <v/>
      </c>
      <c r="E405" s="8" t="inlineStr">
        <is>
          <t>D836</t>
        </is>
      </c>
      <c r="F405" s="8" t="inlineStr">
        <is>
          <t>65387641</t>
        </is>
      </c>
      <c r="G405" s="8">
        <f>IFERROR(VLOOKUP(A405,Flete!$A:$E,5,0),"")</f>
        <v/>
      </c>
      <c r="H405" s="7">
        <f>IFERROR(VLOOKUP(F405,TRAOPE!$AA:$AB,2,0),"")</f>
        <v/>
      </c>
      <c r="I405" s="7" t="n">
        <v>10037590</v>
      </c>
      <c r="J405" s="7">
        <f>IFERROR(VLOOKUP(I405,Materiales!$A:$H,8,0),"")</f>
        <v/>
      </c>
      <c r="K405" s="9">
        <f>IFERROR(VLOOKUP(I405,Materiales!$A:$G,7,0),"")</f>
        <v/>
      </c>
      <c r="L405" s="8" t="inlineStr">
        <is>
          <t>20190426</t>
        </is>
      </c>
      <c r="M405" s="8" t="inlineStr">
        <is>
          <t>20250127</t>
        </is>
      </c>
      <c r="N405" s="10" t="n">
        <v>51.75</v>
      </c>
      <c r="O405" s="10">
        <f>IFERROR(VLOOKUP(A405,Flete!$A:$J,10,0),"")</f>
        <v/>
      </c>
      <c r="P405" s="8" t="inlineStr">
        <is>
          <t>M3</t>
        </is>
      </c>
      <c r="Q405" s="10">
        <f>IFERROR(IFERROR(VLOOKUP(A405,TRAOPE!$A:$U,21,0),VLOOKUP(B405,TRAOPE!$A:$U,21,0)),"")</f>
        <v/>
      </c>
      <c r="R405" s="8">
        <f>IFERROR(IFERROR(VLOOKUP(A405,TRAOPE!$A:$W,23,0),VLOOKUP(B405,TRAOPE!$A:$W,23,0)),"")</f>
        <v/>
      </c>
      <c r="S405" s="10">
        <f>IF(AND(P405="TN",R405="TN"),N405+N(O405),IF(G405&amp;""="1",N(K405)*N405,(N405+N(O405))*N(K405)))</f>
        <v/>
      </c>
      <c r="T405" s="10">
        <f>IF(Q405="","",Q405-S405)</f>
        <v/>
      </c>
    </row>
    <row r="406">
      <c r="A406" s="7">
        <f>CONCATENATE(C406,E406,F406,I406)</f>
        <v/>
      </c>
      <c r="B406" s="7">
        <f>CONCATENATE(C406,E406,I406)</f>
        <v/>
      </c>
      <c r="C406" s="8" t="n">
        <v>900002313</v>
      </c>
      <c r="D406" s="7">
        <f>IFERROR(VLOOKUP(C406,TRAOPE!$G:$H,2,0),"")</f>
        <v/>
      </c>
      <c r="E406" s="8" t="inlineStr">
        <is>
          <t>D836</t>
        </is>
      </c>
      <c r="F406" s="8" t="inlineStr">
        <is>
          <t>65714167</t>
        </is>
      </c>
      <c r="G406" s="8">
        <f>IFERROR(VLOOKUP(A406,Flete!$A:$E,5,0),"")</f>
        <v/>
      </c>
      <c r="H406" s="7">
        <f>IFERROR(VLOOKUP(F406,TRAOPE!$AA:$AB,2,0),"")</f>
        <v/>
      </c>
      <c r="I406" s="7" t="n">
        <v>10000441</v>
      </c>
      <c r="J406" s="7">
        <f>IFERROR(VLOOKUP(I406,Materiales!$A:$H,8,0),"")</f>
        <v/>
      </c>
      <c r="K406" s="9">
        <f>IFERROR(VLOOKUP(I406,Materiales!$A:$G,7,0),"")</f>
        <v/>
      </c>
      <c r="L406" s="8" t="inlineStr">
        <is>
          <t>20190426</t>
        </is>
      </c>
      <c r="M406" s="8" t="inlineStr">
        <is>
          <t>20250127</t>
        </is>
      </c>
      <c r="N406" s="10" t="n">
        <v>74.15000000000001</v>
      </c>
      <c r="O406" s="10">
        <f>IFERROR(VLOOKUP(A406,Flete!$A:$J,10,0),"")</f>
        <v/>
      </c>
      <c r="P406" s="8" t="inlineStr">
        <is>
          <t>M3</t>
        </is>
      </c>
      <c r="Q406" s="10">
        <f>IFERROR(IFERROR(VLOOKUP(A406,TRAOPE!$A:$U,21,0),VLOOKUP(B406,TRAOPE!$A:$U,21,0)),"")</f>
        <v/>
      </c>
      <c r="R406" s="8">
        <f>IFERROR(IFERROR(VLOOKUP(A406,TRAOPE!$A:$W,23,0),VLOOKUP(B406,TRAOPE!$A:$W,23,0)),"")</f>
        <v/>
      </c>
      <c r="S406" s="10">
        <f>IF(AND(P406="TN",R406="TN"),N406+N(O406),IF(G406&amp;""="1",N(K406)*N406,(N406+N(O406))*N(K406)))</f>
        <v/>
      </c>
      <c r="T406" s="10">
        <f>IF(Q406="","",Q406-S406)</f>
        <v/>
      </c>
    </row>
    <row r="407">
      <c r="A407" s="7">
        <f>CONCATENATE(C407,E407,F407,I407)</f>
        <v/>
      </c>
      <c r="B407" s="7">
        <f>CONCATENATE(C407,E407,I407)</f>
        <v/>
      </c>
      <c r="C407" s="8" t="n">
        <v>900002313</v>
      </c>
      <c r="D407" s="7">
        <f>IFERROR(VLOOKUP(C407,TRAOPE!$G:$H,2,0),"")</f>
        <v/>
      </c>
      <c r="E407" s="8" t="inlineStr">
        <is>
          <t>D836</t>
        </is>
      </c>
      <c r="F407" s="8" t="inlineStr">
        <is>
          <t>65714167</t>
        </is>
      </c>
      <c r="G407" s="8">
        <f>IFERROR(VLOOKUP(A407,Flete!$A:$E,5,0),"")</f>
        <v/>
      </c>
      <c r="H407" s="7">
        <f>IFERROR(VLOOKUP(F407,TRAOPE!$AA:$AB,2,0),"")</f>
        <v/>
      </c>
      <c r="I407" s="7" t="n">
        <v>10001354</v>
      </c>
      <c r="J407" s="7">
        <f>IFERROR(VLOOKUP(I407,Materiales!$A:$H,8,0),"")</f>
        <v/>
      </c>
      <c r="K407" s="9">
        <f>IFERROR(VLOOKUP(I407,Materiales!$A:$G,7,0),"")</f>
        <v/>
      </c>
      <c r="L407" s="8" t="inlineStr">
        <is>
          <t>20190426</t>
        </is>
      </c>
      <c r="M407" s="8" t="inlineStr">
        <is>
          <t>20250127</t>
        </is>
      </c>
      <c r="N407" s="10" t="n">
        <v>74.15000000000001</v>
      </c>
      <c r="O407" s="10">
        <f>IFERROR(VLOOKUP(A407,Flete!$A:$J,10,0),"")</f>
        <v/>
      </c>
      <c r="P407" s="8" t="inlineStr">
        <is>
          <t>M3</t>
        </is>
      </c>
      <c r="Q407" s="10">
        <f>IFERROR(IFERROR(VLOOKUP(A407,TRAOPE!$A:$U,21,0),VLOOKUP(B407,TRAOPE!$A:$U,21,0)),"")</f>
        <v/>
      </c>
      <c r="R407" s="8">
        <f>IFERROR(IFERROR(VLOOKUP(A407,TRAOPE!$A:$W,23,0),VLOOKUP(B407,TRAOPE!$A:$W,23,0)),"")</f>
        <v/>
      </c>
      <c r="S407" s="10">
        <f>IF(AND(P407="TN",R407="TN"),N407+N(O407),IF(G407&amp;""="1",N(K407)*N407,(N407+N(O407))*N(K407)))</f>
        <v/>
      </c>
      <c r="T407" s="10">
        <f>IF(Q407="","",Q407-S407)</f>
        <v/>
      </c>
    </row>
    <row r="408">
      <c r="A408" s="7">
        <f>CONCATENATE(C408,E408,F408,I408)</f>
        <v/>
      </c>
      <c r="B408" s="7">
        <f>CONCATENATE(C408,E408,I408)</f>
        <v/>
      </c>
      <c r="C408" s="8" t="n">
        <v>900002313</v>
      </c>
      <c r="D408" s="7">
        <f>IFERROR(VLOOKUP(C408,TRAOPE!$G:$H,2,0),"")</f>
        <v/>
      </c>
      <c r="E408" s="8" t="inlineStr">
        <is>
          <t>D836</t>
        </is>
      </c>
      <c r="F408" s="8" t="inlineStr">
        <is>
          <t>65714167</t>
        </is>
      </c>
      <c r="G408" s="8">
        <f>IFERROR(VLOOKUP(A408,Flete!$A:$E,5,0),"")</f>
        <v/>
      </c>
      <c r="H408" s="7">
        <f>IFERROR(VLOOKUP(F408,TRAOPE!$AA:$AB,2,0),"")</f>
        <v/>
      </c>
      <c r="I408" s="7" t="n">
        <v>10037590</v>
      </c>
      <c r="J408" s="7">
        <f>IFERROR(VLOOKUP(I408,Materiales!$A:$H,8,0),"")</f>
        <v/>
      </c>
      <c r="K408" s="9">
        <f>IFERROR(VLOOKUP(I408,Materiales!$A:$G,7,0),"")</f>
        <v/>
      </c>
      <c r="L408" s="8" t="inlineStr">
        <is>
          <t>20190426</t>
        </is>
      </c>
      <c r="M408" s="8" t="inlineStr">
        <is>
          <t>20250127</t>
        </is>
      </c>
      <c r="N408" s="10" t="n">
        <v>63.38</v>
      </c>
      <c r="O408" s="10">
        <f>IFERROR(VLOOKUP(A408,Flete!$A:$J,10,0),"")</f>
        <v/>
      </c>
      <c r="P408" s="8" t="inlineStr">
        <is>
          <t>M3</t>
        </is>
      </c>
      <c r="Q408" s="10">
        <f>IFERROR(IFERROR(VLOOKUP(A408,TRAOPE!$A:$U,21,0),VLOOKUP(B408,TRAOPE!$A:$U,21,0)),"")</f>
        <v/>
      </c>
      <c r="R408" s="8">
        <f>IFERROR(IFERROR(VLOOKUP(A408,TRAOPE!$A:$W,23,0),VLOOKUP(B408,TRAOPE!$A:$W,23,0)),"")</f>
        <v/>
      </c>
      <c r="S408" s="10">
        <f>IF(AND(P408="TN",R408="TN"),N408+N(O408),IF(G408&amp;""="1",N(K408)*N408,(N408+N(O408))*N(K408)))</f>
        <v/>
      </c>
      <c r="T408" s="10">
        <f>IF(Q408="","",Q408-S408)</f>
        <v/>
      </c>
    </row>
    <row r="409">
      <c r="A409" s="7">
        <f>CONCATENATE(C409,E409,F409,I409)</f>
        <v/>
      </c>
      <c r="B409" s="7">
        <f>CONCATENATE(C409,E409,I409)</f>
        <v/>
      </c>
      <c r="C409" s="8" t="n">
        <v>900002313</v>
      </c>
      <c r="D409" s="7">
        <f>IFERROR(VLOOKUP(C409,TRAOPE!$G:$H,2,0),"")</f>
        <v/>
      </c>
      <c r="E409" s="8" t="inlineStr">
        <is>
          <t>D836</t>
        </is>
      </c>
      <c r="F409" s="8" t="inlineStr">
        <is>
          <t>65714168</t>
        </is>
      </c>
      <c r="G409" s="8">
        <f>IFERROR(VLOOKUP(A409,Flete!$A:$E,5,0),"")</f>
        <v/>
      </c>
      <c r="H409" s="7">
        <f>IFERROR(VLOOKUP(F409,TRAOPE!$AA:$AB,2,0),"")</f>
        <v/>
      </c>
      <c r="I409" s="7" t="n">
        <v>10000441</v>
      </c>
      <c r="J409" s="7">
        <f>IFERROR(VLOOKUP(I409,Materiales!$A:$H,8,0),"")</f>
        <v/>
      </c>
      <c r="K409" s="9">
        <f>IFERROR(VLOOKUP(I409,Materiales!$A:$G,7,0),"")</f>
        <v/>
      </c>
      <c r="L409" s="8" t="inlineStr">
        <is>
          <t>20190426</t>
        </is>
      </c>
      <c r="M409" s="8" t="inlineStr">
        <is>
          <t>20250127</t>
        </is>
      </c>
      <c r="N409" s="10" t="n">
        <v>74.15000000000001</v>
      </c>
      <c r="O409" s="10">
        <f>IFERROR(VLOOKUP(A409,Flete!$A:$J,10,0),"")</f>
        <v/>
      </c>
      <c r="P409" s="8" t="inlineStr">
        <is>
          <t>M3</t>
        </is>
      </c>
      <c r="Q409" s="10">
        <f>IFERROR(IFERROR(VLOOKUP(A409,TRAOPE!$A:$U,21,0),VLOOKUP(B409,TRAOPE!$A:$U,21,0)),"")</f>
        <v/>
      </c>
      <c r="R409" s="8">
        <f>IFERROR(IFERROR(VLOOKUP(A409,TRAOPE!$A:$W,23,0),VLOOKUP(B409,TRAOPE!$A:$W,23,0)),"")</f>
        <v/>
      </c>
      <c r="S409" s="10">
        <f>IF(AND(P409="TN",R409="TN"),N409+N(O409),IF(G409&amp;""="1",N(K409)*N409,(N409+N(O409))*N(K409)))</f>
        <v/>
      </c>
      <c r="T409" s="10">
        <f>IF(Q409="","",Q409-S409)</f>
        <v/>
      </c>
    </row>
    <row r="410">
      <c r="A410" s="7">
        <f>CONCATENATE(C410,E410,F410,I410)</f>
        <v/>
      </c>
      <c r="B410" s="7">
        <f>CONCATENATE(C410,E410,I410)</f>
        <v/>
      </c>
      <c r="C410" s="8" t="n">
        <v>900002313</v>
      </c>
      <c r="D410" s="7">
        <f>IFERROR(VLOOKUP(C410,TRAOPE!$G:$H,2,0),"")</f>
        <v/>
      </c>
      <c r="E410" s="8" t="inlineStr">
        <is>
          <t>D836</t>
        </is>
      </c>
      <c r="F410" s="8" t="inlineStr">
        <is>
          <t>65714168</t>
        </is>
      </c>
      <c r="G410" s="8">
        <f>IFERROR(VLOOKUP(A410,Flete!$A:$E,5,0),"")</f>
        <v/>
      </c>
      <c r="H410" s="7">
        <f>IFERROR(VLOOKUP(F410,TRAOPE!$AA:$AB,2,0),"")</f>
        <v/>
      </c>
      <c r="I410" s="7" t="n">
        <v>10001354</v>
      </c>
      <c r="J410" s="7">
        <f>IFERROR(VLOOKUP(I410,Materiales!$A:$H,8,0),"")</f>
        <v/>
      </c>
      <c r="K410" s="9">
        <f>IFERROR(VLOOKUP(I410,Materiales!$A:$G,7,0),"")</f>
        <v/>
      </c>
      <c r="L410" s="8" t="inlineStr">
        <is>
          <t>20190426</t>
        </is>
      </c>
      <c r="M410" s="8" t="inlineStr">
        <is>
          <t>20250127</t>
        </is>
      </c>
      <c r="N410" s="10" t="n">
        <v>74.15000000000001</v>
      </c>
      <c r="O410" s="10">
        <f>IFERROR(VLOOKUP(A410,Flete!$A:$J,10,0),"")</f>
        <v/>
      </c>
      <c r="P410" s="8" t="inlineStr">
        <is>
          <t>M3</t>
        </is>
      </c>
      <c r="Q410" s="10">
        <f>IFERROR(IFERROR(VLOOKUP(A410,TRAOPE!$A:$U,21,0),VLOOKUP(B410,TRAOPE!$A:$U,21,0)),"")</f>
        <v/>
      </c>
      <c r="R410" s="8">
        <f>IFERROR(IFERROR(VLOOKUP(A410,TRAOPE!$A:$W,23,0),VLOOKUP(B410,TRAOPE!$A:$W,23,0)),"")</f>
        <v/>
      </c>
      <c r="S410" s="10">
        <f>IF(AND(P410="TN",R410="TN"),N410+N(O410),IF(G410&amp;""="1",N(K410)*N410,(N410+N(O410))*N(K410)))</f>
        <v/>
      </c>
      <c r="T410" s="10">
        <f>IF(Q410="","",Q410-S410)</f>
        <v/>
      </c>
    </row>
    <row r="411">
      <c r="A411" s="7">
        <f>CONCATENATE(C411,E411,F411,I411)</f>
        <v/>
      </c>
      <c r="B411" s="7">
        <f>CONCATENATE(C411,E411,I411)</f>
        <v/>
      </c>
      <c r="C411" s="8" t="n">
        <v>900002313</v>
      </c>
      <c r="D411" s="7">
        <f>IFERROR(VLOOKUP(C411,TRAOPE!$G:$H,2,0),"")</f>
        <v/>
      </c>
      <c r="E411" s="8" t="inlineStr">
        <is>
          <t>D836</t>
        </is>
      </c>
      <c r="F411" s="8" t="inlineStr">
        <is>
          <t>65714168</t>
        </is>
      </c>
      <c r="G411" s="8">
        <f>IFERROR(VLOOKUP(A411,Flete!$A:$E,5,0),"")</f>
        <v/>
      </c>
      <c r="H411" s="7">
        <f>IFERROR(VLOOKUP(F411,TRAOPE!$AA:$AB,2,0),"")</f>
        <v/>
      </c>
      <c r="I411" s="7" t="n">
        <v>10037590</v>
      </c>
      <c r="J411" s="7">
        <f>IFERROR(VLOOKUP(I411,Materiales!$A:$H,8,0),"")</f>
        <v/>
      </c>
      <c r="K411" s="9">
        <f>IFERROR(VLOOKUP(I411,Materiales!$A:$G,7,0),"")</f>
        <v/>
      </c>
      <c r="L411" s="8" t="inlineStr">
        <is>
          <t>20190426</t>
        </is>
      </c>
      <c r="M411" s="8" t="inlineStr">
        <is>
          <t>20250127</t>
        </is>
      </c>
      <c r="N411" s="10" t="n">
        <v>63.38</v>
      </c>
      <c r="O411" s="10">
        <f>IFERROR(VLOOKUP(A411,Flete!$A:$J,10,0),"")</f>
        <v/>
      </c>
      <c r="P411" s="8" t="inlineStr">
        <is>
          <t>M3</t>
        </is>
      </c>
      <c r="Q411" s="10">
        <f>IFERROR(IFERROR(VLOOKUP(A411,TRAOPE!$A:$U,21,0),VLOOKUP(B411,TRAOPE!$A:$U,21,0)),"")</f>
        <v/>
      </c>
      <c r="R411" s="8">
        <f>IFERROR(IFERROR(VLOOKUP(A411,TRAOPE!$A:$W,23,0),VLOOKUP(B411,TRAOPE!$A:$W,23,0)),"")</f>
        <v/>
      </c>
      <c r="S411" s="10">
        <f>IF(AND(P411="TN",R411="TN"),N411+N(O411),IF(G411&amp;""="1",N(K411)*N411,(N411+N(O411))*N(K411)))</f>
        <v/>
      </c>
      <c r="T411" s="10">
        <f>IF(Q411="","",Q411-S411)</f>
        <v/>
      </c>
    </row>
    <row r="412">
      <c r="A412" s="7">
        <f>CONCATENATE(C412,E412,F412,I412)</f>
        <v/>
      </c>
      <c r="B412" s="7">
        <f>CONCATENATE(C412,E412,I412)</f>
        <v/>
      </c>
      <c r="C412" s="8" t="n">
        <v>900002313</v>
      </c>
      <c r="D412" s="7">
        <f>IFERROR(VLOOKUP(C412,TRAOPE!$G:$H,2,0),"")</f>
        <v/>
      </c>
      <c r="E412" s="8" t="inlineStr">
        <is>
          <t>D836</t>
        </is>
      </c>
      <c r="F412" s="8" t="inlineStr">
        <is>
          <t>65722662</t>
        </is>
      </c>
      <c r="G412" s="8">
        <f>IFERROR(VLOOKUP(A412,Flete!$A:$E,5,0),"")</f>
        <v/>
      </c>
      <c r="H412" s="7">
        <f>IFERROR(VLOOKUP(F412,TRAOPE!$AA:$AB,2,0),"")</f>
        <v/>
      </c>
      <c r="I412" s="7" t="n">
        <v>10000441</v>
      </c>
      <c r="J412" s="7">
        <f>IFERROR(VLOOKUP(I412,Materiales!$A:$H,8,0),"")</f>
        <v/>
      </c>
      <c r="K412" s="9">
        <f>IFERROR(VLOOKUP(I412,Materiales!$A:$G,7,0),"")</f>
        <v/>
      </c>
      <c r="L412" s="8" t="inlineStr">
        <is>
          <t>20190426</t>
        </is>
      </c>
      <c r="M412" s="8" t="inlineStr">
        <is>
          <t>20250127</t>
        </is>
      </c>
      <c r="N412" s="10" t="n">
        <v>74.15000000000001</v>
      </c>
      <c r="O412" s="10">
        <f>IFERROR(VLOOKUP(A412,Flete!$A:$J,10,0),"")</f>
        <v/>
      </c>
      <c r="P412" s="8" t="inlineStr">
        <is>
          <t>M3</t>
        </is>
      </c>
      <c r="Q412" s="10">
        <f>IFERROR(IFERROR(VLOOKUP(A412,TRAOPE!$A:$U,21,0),VLOOKUP(B412,TRAOPE!$A:$U,21,0)),"")</f>
        <v/>
      </c>
      <c r="R412" s="8">
        <f>IFERROR(IFERROR(VLOOKUP(A412,TRAOPE!$A:$W,23,0),VLOOKUP(B412,TRAOPE!$A:$W,23,0)),"")</f>
        <v/>
      </c>
      <c r="S412" s="10">
        <f>IF(AND(P412="TN",R412="TN"),N412+N(O412),IF(G412&amp;""="1",N(K412)*N412,(N412+N(O412))*N(K412)))</f>
        <v/>
      </c>
      <c r="T412" s="10">
        <f>IF(Q412="","",Q412-S412)</f>
        <v/>
      </c>
    </row>
    <row r="413">
      <c r="A413" s="7">
        <f>CONCATENATE(C413,E413,F413,I413)</f>
        <v/>
      </c>
      <c r="B413" s="7">
        <f>CONCATENATE(C413,E413,I413)</f>
        <v/>
      </c>
      <c r="C413" s="8" t="n">
        <v>900002313</v>
      </c>
      <c r="D413" s="7">
        <f>IFERROR(VLOOKUP(C413,TRAOPE!$G:$H,2,0),"")</f>
        <v/>
      </c>
      <c r="E413" s="8" t="inlineStr">
        <is>
          <t>D836</t>
        </is>
      </c>
      <c r="F413" s="8" t="inlineStr">
        <is>
          <t>65722662</t>
        </is>
      </c>
      <c r="G413" s="8">
        <f>IFERROR(VLOOKUP(A413,Flete!$A:$E,5,0),"")</f>
        <v/>
      </c>
      <c r="H413" s="7">
        <f>IFERROR(VLOOKUP(F413,TRAOPE!$AA:$AB,2,0),"")</f>
        <v/>
      </c>
      <c r="I413" s="7" t="n">
        <v>10001354</v>
      </c>
      <c r="J413" s="7">
        <f>IFERROR(VLOOKUP(I413,Materiales!$A:$H,8,0),"")</f>
        <v/>
      </c>
      <c r="K413" s="9">
        <f>IFERROR(VLOOKUP(I413,Materiales!$A:$G,7,0),"")</f>
        <v/>
      </c>
      <c r="L413" s="8" t="inlineStr">
        <is>
          <t>20190426</t>
        </is>
      </c>
      <c r="M413" s="8" t="inlineStr">
        <is>
          <t>20250127</t>
        </is>
      </c>
      <c r="N413" s="10" t="n">
        <v>74.15000000000001</v>
      </c>
      <c r="O413" s="10">
        <f>IFERROR(VLOOKUP(A413,Flete!$A:$J,10,0),"")</f>
        <v/>
      </c>
      <c r="P413" s="8" t="inlineStr">
        <is>
          <t>M3</t>
        </is>
      </c>
      <c r="Q413" s="10">
        <f>IFERROR(IFERROR(VLOOKUP(A413,TRAOPE!$A:$U,21,0),VLOOKUP(B413,TRAOPE!$A:$U,21,0)),"")</f>
        <v/>
      </c>
      <c r="R413" s="8">
        <f>IFERROR(IFERROR(VLOOKUP(A413,TRAOPE!$A:$W,23,0),VLOOKUP(B413,TRAOPE!$A:$W,23,0)),"")</f>
        <v/>
      </c>
      <c r="S413" s="10">
        <f>IF(AND(P413="TN",R413="TN"),N413+N(O413),IF(G413&amp;""="1",N(K413)*N413,(N413+N(O413))*N(K413)))</f>
        <v/>
      </c>
      <c r="T413" s="10">
        <f>IF(Q413="","",Q413-S413)</f>
        <v/>
      </c>
    </row>
    <row r="414">
      <c r="A414" s="7">
        <f>CONCATENATE(C414,E414,F414,I414)</f>
        <v/>
      </c>
      <c r="B414" s="7">
        <f>CONCATENATE(C414,E414,I414)</f>
        <v/>
      </c>
      <c r="C414" s="8" t="n">
        <v>900002313</v>
      </c>
      <c r="D414" s="7">
        <f>IFERROR(VLOOKUP(C414,TRAOPE!$G:$H,2,0),"")</f>
        <v/>
      </c>
      <c r="E414" s="8" t="inlineStr">
        <is>
          <t>D836</t>
        </is>
      </c>
      <c r="F414" s="8" t="inlineStr">
        <is>
          <t>65722662</t>
        </is>
      </c>
      <c r="G414" s="8">
        <f>IFERROR(VLOOKUP(A414,Flete!$A:$E,5,0),"")</f>
        <v/>
      </c>
      <c r="H414" s="7">
        <f>IFERROR(VLOOKUP(F414,TRAOPE!$AA:$AB,2,0),"")</f>
        <v/>
      </c>
      <c r="I414" s="7" t="n">
        <v>10037590</v>
      </c>
      <c r="J414" s="7">
        <f>IFERROR(VLOOKUP(I414,Materiales!$A:$H,8,0),"")</f>
        <v/>
      </c>
      <c r="K414" s="9">
        <f>IFERROR(VLOOKUP(I414,Materiales!$A:$G,7,0),"")</f>
        <v/>
      </c>
      <c r="L414" s="8" t="inlineStr">
        <is>
          <t>20190426</t>
        </is>
      </c>
      <c r="M414" s="8" t="inlineStr">
        <is>
          <t>20250127</t>
        </is>
      </c>
      <c r="N414" s="10" t="n">
        <v>63.38</v>
      </c>
      <c r="O414" s="10">
        <f>IFERROR(VLOOKUP(A414,Flete!$A:$J,10,0),"")</f>
        <v/>
      </c>
      <c r="P414" s="8" t="inlineStr">
        <is>
          <t>M3</t>
        </is>
      </c>
      <c r="Q414" s="10">
        <f>IFERROR(IFERROR(VLOOKUP(A414,TRAOPE!$A:$U,21,0),VLOOKUP(B414,TRAOPE!$A:$U,21,0)),"")</f>
        <v/>
      </c>
      <c r="R414" s="8">
        <f>IFERROR(IFERROR(VLOOKUP(A414,TRAOPE!$A:$W,23,0),VLOOKUP(B414,TRAOPE!$A:$W,23,0)),"")</f>
        <v/>
      </c>
      <c r="S414" s="10">
        <f>IF(AND(P414="TN",R414="TN"),N414+N(O414),IF(G414&amp;""="1",N(K414)*N414,(N414+N(O414))*N(K414)))</f>
        <v/>
      </c>
      <c r="T414" s="10">
        <f>IF(Q414="","",Q414-S414)</f>
        <v/>
      </c>
    </row>
    <row r="415">
      <c r="A415" s="7">
        <f>CONCATENATE(C415,E415,F415,I415)</f>
        <v/>
      </c>
      <c r="B415" s="7">
        <f>CONCATENATE(C415,E415,I415)</f>
        <v/>
      </c>
      <c r="C415" s="8" t="n">
        <v>900002313</v>
      </c>
      <c r="D415" s="7">
        <f>IFERROR(VLOOKUP(C415,TRAOPE!$G:$H,2,0),"")</f>
        <v/>
      </c>
      <c r="E415" s="8" t="inlineStr">
        <is>
          <t>D836</t>
        </is>
      </c>
      <c r="F415" s="8" t="inlineStr">
        <is>
          <t>65799535</t>
        </is>
      </c>
      <c r="G415" s="8">
        <f>IFERROR(VLOOKUP(A415,Flete!$A:$E,5,0),"")</f>
        <v/>
      </c>
      <c r="H415" s="7">
        <f>IFERROR(VLOOKUP(F415,TRAOPE!$AA:$AB,2,0),"")</f>
        <v/>
      </c>
      <c r="I415" s="7" t="n">
        <v>10000441</v>
      </c>
      <c r="J415" s="7">
        <f>IFERROR(VLOOKUP(I415,Materiales!$A:$H,8,0),"")</f>
        <v/>
      </c>
      <c r="K415" s="9">
        <f>IFERROR(VLOOKUP(I415,Materiales!$A:$G,7,0),"")</f>
        <v/>
      </c>
      <c r="L415" s="8" t="inlineStr">
        <is>
          <t>20190426</t>
        </is>
      </c>
      <c r="M415" s="8" t="inlineStr">
        <is>
          <t>20250127</t>
        </is>
      </c>
      <c r="N415" s="10" t="n">
        <v>74.15000000000001</v>
      </c>
      <c r="O415" s="10">
        <f>IFERROR(VLOOKUP(A415,Flete!$A:$J,10,0),"")</f>
        <v/>
      </c>
      <c r="P415" s="8" t="inlineStr">
        <is>
          <t>M3</t>
        </is>
      </c>
      <c r="Q415" s="10">
        <f>IFERROR(IFERROR(VLOOKUP(A415,TRAOPE!$A:$U,21,0),VLOOKUP(B415,TRAOPE!$A:$U,21,0)),"")</f>
        <v/>
      </c>
      <c r="R415" s="8">
        <f>IFERROR(IFERROR(VLOOKUP(A415,TRAOPE!$A:$W,23,0),VLOOKUP(B415,TRAOPE!$A:$W,23,0)),"")</f>
        <v/>
      </c>
      <c r="S415" s="10">
        <f>IF(AND(P415="TN",R415="TN"),N415+N(O415),IF(G415&amp;""="1",N(K415)*N415,(N415+N(O415))*N(K415)))</f>
        <v/>
      </c>
      <c r="T415" s="10">
        <f>IF(Q415="","",Q415-S415)</f>
        <v/>
      </c>
    </row>
    <row r="416">
      <c r="A416" s="7">
        <f>CONCATENATE(C416,E416,F416,I416)</f>
        <v/>
      </c>
      <c r="B416" s="7">
        <f>CONCATENATE(C416,E416,I416)</f>
        <v/>
      </c>
      <c r="C416" s="8" t="n">
        <v>900002313</v>
      </c>
      <c r="D416" s="7">
        <f>IFERROR(VLOOKUP(C416,TRAOPE!$G:$H,2,0),"")</f>
        <v/>
      </c>
      <c r="E416" s="8" t="inlineStr">
        <is>
          <t>D836</t>
        </is>
      </c>
      <c r="F416" s="8" t="inlineStr">
        <is>
          <t>65799535</t>
        </is>
      </c>
      <c r="G416" s="8">
        <f>IFERROR(VLOOKUP(A416,Flete!$A:$E,5,0),"")</f>
        <v/>
      </c>
      <c r="H416" s="7">
        <f>IFERROR(VLOOKUP(F416,TRAOPE!$AA:$AB,2,0),"")</f>
        <v/>
      </c>
      <c r="I416" s="7" t="n">
        <v>10037590</v>
      </c>
      <c r="J416" s="7">
        <f>IFERROR(VLOOKUP(I416,Materiales!$A:$H,8,0),"")</f>
        <v/>
      </c>
      <c r="K416" s="9">
        <f>IFERROR(VLOOKUP(I416,Materiales!$A:$G,7,0),"")</f>
        <v/>
      </c>
      <c r="L416" s="8" t="inlineStr">
        <is>
          <t>20190426</t>
        </is>
      </c>
      <c r="M416" s="8" t="inlineStr">
        <is>
          <t>20250127</t>
        </is>
      </c>
      <c r="N416" s="10" t="n">
        <v>63.38</v>
      </c>
      <c r="O416" s="10">
        <f>IFERROR(VLOOKUP(A416,Flete!$A:$J,10,0),"")</f>
        <v/>
      </c>
      <c r="P416" s="8" t="inlineStr">
        <is>
          <t>M3</t>
        </is>
      </c>
      <c r="Q416" s="10">
        <f>IFERROR(IFERROR(VLOOKUP(A416,TRAOPE!$A:$U,21,0),VLOOKUP(B416,TRAOPE!$A:$U,21,0)),"")</f>
        <v/>
      </c>
      <c r="R416" s="8">
        <f>IFERROR(IFERROR(VLOOKUP(A416,TRAOPE!$A:$W,23,0),VLOOKUP(B416,TRAOPE!$A:$W,23,0)),"")</f>
        <v/>
      </c>
      <c r="S416" s="10">
        <f>IF(AND(P416="TN",R416="TN"),N416+N(O416),IF(G416&amp;""="1",N(K416)*N416,(N416+N(O416))*N(K416)))</f>
        <v/>
      </c>
      <c r="T416" s="10">
        <f>IF(Q416="","",Q416-S416)</f>
        <v/>
      </c>
    </row>
    <row r="417">
      <c r="A417" s="7">
        <f>CONCATENATE(C417,E417,F417,I417)</f>
        <v/>
      </c>
      <c r="B417" s="7">
        <f>CONCATENATE(C417,E417,I417)</f>
        <v/>
      </c>
      <c r="C417" s="8" t="n">
        <v>900002313</v>
      </c>
      <c r="D417" s="7">
        <f>IFERROR(VLOOKUP(C417,TRAOPE!$G:$H,2,0),"")</f>
        <v/>
      </c>
      <c r="E417" s="8" t="inlineStr">
        <is>
          <t>D836</t>
        </is>
      </c>
      <c r="F417" s="8" t="inlineStr">
        <is>
          <t>66438172</t>
        </is>
      </c>
      <c r="G417" s="8">
        <f>IFERROR(VLOOKUP(A417,Flete!$A:$E,5,0),"")</f>
        <v/>
      </c>
      <c r="H417" s="7">
        <f>IFERROR(VLOOKUP(F417,TRAOPE!$AA:$AB,2,0),"")</f>
        <v/>
      </c>
      <c r="I417" s="7" t="n">
        <v>10001353</v>
      </c>
      <c r="J417" s="7">
        <f>IFERROR(VLOOKUP(I417,Materiales!$A:$H,8,0),"")</f>
        <v/>
      </c>
      <c r="K417" s="9">
        <f>IFERROR(VLOOKUP(I417,Materiales!$A:$G,7,0),"")</f>
        <v/>
      </c>
      <c r="L417" s="8" t="inlineStr">
        <is>
          <t>20190426</t>
        </is>
      </c>
      <c r="M417" s="8" t="inlineStr">
        <is>
          <t>20250127</t>
        </is>
      </c>
      <c r="N417" s="10" t="n">
        <v>97.5</v>
      </c>
      <c r="O417" s="10">
        <f>IFERROR(VLOOKUP(A417,Flete!$A:$J,10,0),"")</f>
        <v/>
      </c>
      <c r="P417" s="8" t="inlineStr">
        <is>
          <t>M3</t>
        </is>
      </c>
      <c r="Q417" s="10">
        <f>IFERROR(IFERROR(VLOOKUP(A417,TRAOPE!$A:$U,21,0),VLOOKUP(B417,TRAOPE!$A:$U,21,0)),"")</f>
        <v/>
      </c>
      <c r="R417" s="8">
        <f>IFERROR(IFERROR(VLOOKUP(A417,TRAOPE!$A:$W,23,0),VLOOKUP(B417,TRAOPE!$A:$W,23,0)),"")</f>
        <v/>
      </c>
      <c r="S417" s="10">
        <f>IF(AND(P417="TN",R417="TN"),N417+N(O417),IF(G417&amp;""="1",N(K417)*N417,(N417+N(O417))*N(K417)))</f>
        <v/>
      </c>
      <c r="T417" s="10">
        <f>IF(Q417="","",Q417-S417)</f>
        <v/>
      </c>
    </row>
    <row r="418">
      <c r="A418" s="7">
        <f>CONCATENATE(C418,E418,F418,I418)</f>
        <v/>
      </c>
      <c r="B418" s="7">
        <f>CONCATENATE(C418,E418,I418)</f>
        <v/>
      </c>
      <c r="C418" s="8" t="n">
        <v>900002313</v>
      </c>
      <c r="D418" s="7">
        <f>IFERROR(VLOOKUP(C418,TRAOPE!$G:$H,2,0),"")</f>
        <v/>
      </c>
      <c r="E418" s="8" t="inlineStr">
        <is>
          <t>D836</t>
        </is>
      </c>
      <c r="F418" s="8" t="inlineStr">
        <is>
          <t>66438172</t>
        </is>
      </c>
      <c r="G418" s="8">
        <f>IFERROR(VLOOKUP(A418,Flete!$A:$E,5,0),"")</f>
        <v/>
      </c>
      <c r="H418" s="7">
        <f>IFERROR(VLOOKUP(F418,TRAOPE!$AA:$AB,2,0),"")</f>
        <v/>
      </c>
      <c r="I418" s="7" t="n">
        <v>10001354</v>
      </c>
      <c r="J418" s="7">
        <f>IFERROR(VLOOKUP(I418,Materiales!$A:$H,8,0),"")</f>
        <v/>
      </c>
      <c r="K418" s="9">
        <f>IFERROR(VLOOKUP(I418,Materiales!$A:$G,7,0),"")</f>
        <v/>
      </c>
      <c r="L418" s="8" t="inlineStr">
        <is>
          <t>20190426</t>
        </is>
      </c>
      <c r="M418" s="8" t="inlineStr">
        <is>
          <t>20250127</t>
        </is>
      </c>
      <c r="N418" s="10" t="n">
        <v>79.5</v>
      </c>
      <c r="O418" s="10">
        <f>IFERROR(VLOOKUP(A418,Flete!$A:$J,10,0),"")</f>
        <v/>
      </c>
      <c r="P418" s="8" t="inlineStr">
        <is>
          <t>M3</t>
        </is>
      </c>
      <c r="Q418" s="10">
        <f>IFERROR(IFERROR(VLOOKUP(A418,TRAOPE!$A:$U,21,0),VLOOKUP(B418,TRAOPE!$A:$U,21,0)),"")</f>
        <v/>
      </c>
      <c r="R418" s="8">
        <f>IFERROR(IFERROR(VLOOKUP(A418,TRAOPE!$A:$W,23,0),VLOOKUP(B418,TRAOPE!$A:$W,23,0)),"")</f>
        <v/>
      </c>
      <c r="S418" s="10">
        <f>IF(AND(P418="TN",R418="TN"),N418+N(O418),IF(G418&amp;""="1",N(K418)*N418,(N418+N(O418))*N(K418)))</f>
        <v/>
      </c>
      <c r="T418" s="10">
        <f>IF(Q418="","",Q418-S418)</f>
        <v/>
      </c>
    </row>
    <row r="419">
      <c r="A419" s="7">
        <f>CONCATENATE(C419,E419,F419,I419)</f>
        <v/>
      </c>
      <c r="B419" s="7">
        <f>CONCATENATE(C419,E419,I419)</f>
        <v/>
      </c>
      <c r="C419" s="8" t="n">
        <v>900002313</v>
      </c>
      <c r="D419" s="7">
        <f>IFERROR(VLOOKUP(C419,TRAOPE!$G:$H,2,0),"")</f>
        <v/>
      </c>
      <c r="E419" s="8" t="inlineStr">
        <is>
          <t>D836</t>
        </is>
      </c>
      <c r="F419" s="8" t="inlineStr">
        <is>
          <t>66438172</t>
        </is>
      </c>
      <c r="G419" s="8">
        <f>IFERROR(VLOOKUP(A419,Flete!$A:$E,5,0),"")</f>
        <v/>
      </c>
      <c r="H419" s="7">
        <f>IFERROR(VLOOKUP(F419,TRAOPE!$AA:$AB,2,0),"")</f>
        <v/>
      </c>
      <c r="I419" s="7" t="n">
        <v>10001436</v>
      </c>
      <c r="J419" s="7">
        <f>IFERROR(VLOOKUP(I419,Materiales!$A:$H,8,0),"")</f>
        <v/>
      </c>
      <c r="K419" s="9">
        <f>IFERROR(VLOOKUP(I419,Materiales!$A:$G,7,0),"")</f>
        <v/>
      </c>
      <c r="L419" s="8" t="inlineStr">
        <is>
          <t>20190426</t>
        </is>
      </c>
      <c r="M419" s="8" t="inlineStr">
        <is>
          <t>20250127</t>
        </is>
      </c>
      <c r="N419" s="10" t="n">
        <v>58.3</v>
      </c>
      <c r="O419" s="10">
        <f>IFERROR(VLOOKUP(A419,Flete!$A:$J,10,0),"")</f>
        <v/>
      </c>
      <c r="P419" s="8" t="inlineStr">
        <is>
          <t>M3</t>
        </is>
      </c>
      <c r="Q419" s="10">
        <f>IFERROR(IFERROR(VLOOKUP(A419,TRAOPE!$A:$U,21,0),VLOOKUP(B419,TRAOPE!$A:$U,21,0)),"")</f>
        <v/>
      </c>
      <c r="R419" s="8">
        <f>IFERROR(IFERROR(VLOOKUP(A419,TRAOPE!$A:$W,23,0),VLOOKUP(B419,TRAOPE!$A:$W,23,0)),"")</f>
        <v/>
      </c>
      <c r="S419" s="10">
        <f>IF(AND(P419="TN",R419="TN"),N419+N(O419),IF(G419&amp;""="1",N(K419)*N419,(N419+N(O419))*N(K419)))</f>
        <v/>
      </c>
      <c r="T419" s="10">
        <f>IF(Q419="","",Q419-S419)</f>
        <v/>
      </c>
    </row>
    <row r="420">
      <c r="A420" s="7">
        <f>CONCATENATE(C420,E420,F420,I420)</f>
        <v/>
      </c>
      <c r="B420" s="7">
        <f>CONCATENATE(C420,E420,I420)</f>
        <v/>
      </c>
      <c r="C420" s="8" t="n">
        <v>900002313</v>
      </c>
      <c r="D420" s="7">
        <f>IFERROR(VLOOKUP(C420,TRAOPE!$G:$H,2,0),"")</f>
        <v/>
      </c>
      <c r="E420" s="8" t="inlineStr">
        <is>
          <t>D836</t>
        </is>
      </c>
      <c r="F420" s="8" t="inlineStr">
        <is>
          <t>66577024</t>
        </is>
      </c>
      <c r="G420" s="8">
        <f>IFERROR(VLOOKUP(A420,Flete!$A:$E,5,0),"")</f>
        <v/>
      </c>
      <c r="H420" s="7">
        <f>IFERROR(VLOOKUP(F420,TRAOPE!$AA:$AB,2,0),"")</f>
        <v/>
      </c>
      <c r="I420" s="7" t="n">
        <v>10001353</v>
      </c>
      <c r="J420" s="7">
        <f>IFERROR(VLOOKUP(I420,Materiales!$A:$H,8,0),"")</f>
        <v/>
      </c>
      <c r="K420" s="9">
        <f>IFERROR(VLOOKUP(I420,Materiales!$A:$G,7,0),"")</f>
        <v/>
      </c>
      <c r="L420" s="8" t="inlineStr">
        <is>
          <t>20190426</t>
        </is>
      </c>
      <c r="M420" s="8" t="inlineStr">
        <is>
          <t>20250127</t>
        </is>
      </c>
      <c r="N420" s="10" t="n">
        <v>92</v>
      </c>
      <c r="O420" s="10">
        <f>IFERROR(VLOOKUP(A420,Flete!$A:$J,10,0),"")</f>
        <v/>
      </c>
      <c r="P420" s="8" t="inlineStr">
        <is>
          <t>M3</t>
        </is>
      </c>
      <c r="Q420" s="10">
        <f>IFERROR(IFERROR(VLOOKUP(A420,TRAOPE!$A:$U,21,0),VLOOKUP(B420,TRAOPE!$A:$U,21,0)),"")</f>
        <v/>
      </c>
      <c r="R420" s="8">
        <f>IFERROR(IFERROR(VLOOKUP(A420,TRAOPE!$A:$W,23,0),VLOOKUP(B420,TRAOPE!$A:$W,23,0)),"")</f>
        <v/>
      </c>
      <c r="S420" s="10">
        <f>IF(AND(P420="TN",R420="TN"),N420+N(O420),IF(G420&amp;""="1",N(K420)*N420,(N420+N(O420))*N(K420)))</f>
        <v/>
      </c>
      <c r="T420" s="10">
        <f>IF(Q420="","",Q420-S420)</f>
        <v/>
      </c>
    </row>
    <row r="421">
      <c r="A421" s="7">
        <f>CONCATENATE(C421,E421,F421,I421)</f>
        <v/>
      </c>
      <c r="B421" s="7">
        <f>CONCATENATE(C421,E421,I421)</f>
        <v/>
      </c>
      <c r="C421" s="8" t="n">
        <v>900002313</v>
      </c>
      <c r="D421" s="7">
        <f>IFERROR(VLOOKUP(C421,TRAOPE!$G:$H,2,0),"")</f>
        <v/>
      </c>
      <c r="E421" s="8" t="inlineStr">
        <is>
          <t>D836</t>
        </is>
      </c>
      <c r="F421" s="8" t="inlineStr">
        <is>
          <t>66577024</t>
        </is>
      </c>
      <c r="G421" s="8">
        <f>IFERROR(VLOOKUP(A421,Flete!$A:$E,5,0),"")</f>
        <v/>
      </c>
      <c r="H421" s="7">
        <f>IFERROR(VLOOKUP(F421,TRAOPE!$AA:$AB,2,0),"")</f>
        <v/>
      </c>
      <c r="I421" s="7" t="n">
        <v>10001354</v>
      </c>
      <c r="J421" s="7">
        <f>IFERROR(VLOOKUP(I421,Materiales!$A:$H,8,0),"")</f>
        <v/>
      </c>
      <c r="K421" s="9">
        <f>IFERROR(VLOOKUP(I421,Materiales!$A:$G,7,0),"")</f>
        <v/>
      </c>
      <c r="L421" s="8" t="inlineStr">
        <is>
          <t>20190426</t>
        </is>
      </c>
      <c r="M421" s="8" t="inlineStr">
        <is>
          <t>20250127</t>
        </is>
      </c>
      <c r="N421" s="10" t="n">
        <v>75</v>
      </c>
      <c r="O421" s="10">
        <f>IFERROR(VLOOKUP(A421,Flete!$A:$J,10,0),"")</f>
        <v/>
      </c>
      <c r="P421" s="8" t="inlineStr">
        <is>
          <t>M3</t>
        </is>
      </c>
      <c r="Q421" s="10">
        <f>IFERROR(IFERROR(VLOOKUP(A421,TRAOPE!$A:$U,21,0),VLOOKUP(B421,TRAOPE!$A:$U,21,0)),"")</f>
        <v/>
      </c>
      <c r="R421" s="8">
        <f>IFERROR(IFERROR(VLOOKUP(A421,TRAOPE!$A:$W,23,0),VLOOKUP(B421,TRAOPE!$A:$W,23,0)),"")</f>
        <v/>
      </c>
      <c r="S421" s="10">
        <f>IF(AND(P421="TN",R421="TN"),N421+N(O421),IF(G421&amp;""="1",N(K421)*N421,(N421+N(O421))*N(K421)))</f>
        <v/>
      </c>
      <c r="T421" s="10">
        <f>IF(Q421="","",Q421-S421)</f>
        <v/>
      </c>
    </row>
    <row r="422">
      <c r="A422" s="7">
        <f>CONCATENATE(C422,E422,F422,I422)</f>
        <v/>
      </c>
      <c r="B422" s="7">
        <f>CONCATENATE(C422,E422,I422)</f>
        <v/>
      </c>
      <c r="C422" s="8" t="n">
        <v>900002313</v>
      </c>
      <c r="D422" s="7">
        <f>IFERROR(VLOOKUP(C422,TRAOPE!$G:$H,2,0),"")</f>
        <v/>
      </c>
      <c r="E422" s="8" t="inlineStr">
        <is>
          <t>D836</t>
        </is>
      </c>
      <c r="F422" s="8" t="inlineStr">
        <is>
          <t>66597345</t>
        </is>
      </c>
      <c r="G422" s="8">
        <f>IFERROR(VLOOKUP(A422,Flete!$A:$E,5,0),"")</f>
        <v/>
      </c>
      <c r="H422" s="7">
        <f>IFERROR(VLOOKUP(F422,TRAOPE!$AA:$AB,2,0),"")</f>
        <v/>
      </c>
      <c r="I422" s="7" t="n">
        <v>10001353</v>
      </c>
      <c r="J422" s="7">
        <f>IFERROR(VLOOKUP(I422,Materiales!$A:$H,8,0),"")</f>
        <v/>
      </c>
      <c r="K422" s="9">
        <f>IFERROR(VLOOKUP(I422,Materiales!$A:$G,7,0),"")</f>
        <v/>
      </c>
      <c r="L422" s="8" t="inlineStr">
        <is>
          <t>20190426</t>
        </is>
      </c>
      <c r="M422" s="8" t="inlineStr">
        <is>
          <t>20250127</t>
        </is>
      </c>
      <c r="N422" s="10" t="n">
        <v>97</v>
      </c>
      <c r="O422" s="10">
        <f>IFERROR(VLOOKUP(A422,Flete!$A:$J,10,0),"")</f>
        <v/>
      </c>
      <c r="P422" s="8" t="inlineStr">
        <is>
          <t>M3</t>
        </is>
      </c>
      <c r="Q422" s="10">
        <f>IFERROR(IFERROR(VLOOKUP(A422,TRAOPE!$A:$U,21,0),VLOOKUP(B422,TRAOPE!$A:$U,21,0)),"")</f>
        <v/>
      </c>
      <c r="R422" s="8">
        <f>IFERROR(IFERROR(VLOOKUP(A422,TRAOPE!$A:$W,23,0),VLOOKUP(B422,TRAOPE!$A:$W,23,0)),"")</f>
        <v/>
      </c>
      <c r="S422" s="10">
        <f>IF(AND(P422="TN",R422="TN"),N422+N(O422),IF(G422&amp;""="1",N(K422)*N422,(N422+N(O422))*N(K422)))</f>
        <v/>
      </c>
      <c r="T422" s="10">
        <f>IF(Q422="","",Q422-S422)</f>
        <v/>
      </c>
    </row>
    <row r="423">
      <c r="A423" s="7">
        <f>CONCATENATE(C423,E423,F423,I423)</f>
        <v/>
      </c>
      <c r="B423" s="7">
        <f>CONCATENATE(C423,E423,I423)</f>
        <v/>
      </c>
      <c r="C423" s="8" t="n">
        <v>900002313</v>
      </c>
      <c r="D423" s="7">
        <f>IFERROR(VLOOKUP(C423,TRAOPE!$G:$H,2,0),"")</f>
        <v/>
      </c>
      <c r="E423" s="8" t="inlineStr">
        <is>
          <t>D836</t>
        </is>
      </c>
      <c r="F423" s="8" t="inlineStr">
        <is>
          <t>66597345</t>
        </is>
      </c>
      <c r="G423" s="8">
        <f>IFERROR(VLOOKUP(A423,Flete!$A:$E,5,0),"")</f>
        <v/>
      </c>
      <c r="H423" s="7">
        <f>IFERROR(VLOOKUP(F423,TRAOPE!$AA:$AB,2,0),"")</f>
        <v/>
      </c>
      <c r="I423" s="7" t="n">
        <v>10001354</v>
      </c>
      <c r="J423" s="7">
        <f>IFERROR(VLOOKUP(I423,Materiales!$A:$H,8,0),"")</f>
        <v/>
      </c>
      <c r="K423" s="9">
        <f>IFERROR(VLOOKUP(I423,Materiales!$A:$G,7,0),"")</f>
        <v/>
      </c>
      <c r="L423" s="8" t="inlineStr">
        <is>
          <t>20190426</t>
        </is>
      </c>
      <c r="M423" s="8" t="inlineStr">
        <is>
          <t>20250127</t>
        </is>
      </c>
      <c r="N423" s="10" t="n">
        <v>78.5</v>
      </c>
      <c r="O423" s="10">
        <f>IFERROR(VLOOKUP(A423,Flete!$A:$J,10,0),"")</f>
        <v/>
      </c>
      <c r="P423" s="8" t="inlineStr">
        <is>
          <t>M3</t>
        </is>
      </c>
      <c r="Q423" s="10">
        <f>IFERROR(IFERROR(VLOOKUP(A423,TRAOPE!$A:$U,21,0),VLOOKUP(B423,TRAOPE!$A:$U,21,0)),"")</f>
        <v/>
      </c>
      <c r="R423" s="8">
        <f>IFERROR(IFERROR(VLOOKUP(A423,TRAOPE!$A:$W,23,0),VLOOKUP(B423,TRAOPE!$A:$W,23,0)),"")</f>
        <v/>
      </c>
      <c r="S423" s="10">
        <f>IF(AND(P423="TN",R423="TN"),N423+N(O423),IF(G423&amp;""="1",N(K423)*N423,(N423+N(O423))*N(K423)))</f>
        <v/>
      </c>
      <c r="T423" s="10">
        <f>IF(Q423="","",Q423-S423)</f>
        <v/>
      </c>
    </row>
    <row r="424">
      <c r="A424" s="7">
        <f>CONCATENATE(C424,E424,F424,I424)</f>
        <v/>
      </c>
      <c r="B424" s="7">
        <f>CONCATENATE(C424,E424,I424)</f>
        <v/>
      </c>
      <c r="C424" s="8" t="n">
        <v>900002313</v>
      </c>
      <c r="D424" s="7">
        <f>IFERROR(VLOOKUP(C424,TRAOPE!$G:$H,2,0),"")</f>
        <v/>
      </c>
      <c r="E424" s="8" t="inlineStr">
        <is>
          <t>D836</t>
        </is>
      </c>
      <c r="F424" s="8" t="inlineStr">
        <is>
          <t>66597345</t>
        </is>
      </c>
      <c r="G424" s="8">
        <f>IFERROR(VLOOKUP(A424,Flete!$A:$E,5,0),"")</f>
        <v/>
      </c>
      <c r="H424" s="7">
        <f>IFERROR(VLOOKUP(F424,TRAOPE!$AA:$AB,2,0),"")</f>
        <v/>
      </c>
      <c r="I424" s="7" t="n">
        <v>10001436</v>
      </c>
      <c r="J424" s="7">
        <f>IFERROR(VLOOKUP(I424,Materiales!$A:$H,8,0),"")</f>
        <v/>
      </c>
      <c r="K424" s="9">
        <f>IFERROR(VLOOKUP(I424,Materiales!$A:$G,7,0),"")</f>
        <v/>
      </c>
      <c r="L424" s="8" t="inlineStr">
        <is>
          <t>20190426</t>
        </is>
      </c>
      <c r="M424" s="8" t="inlineStr">
        <is>
          <t>20250127</t>
        </is>
      </c>
      <c r="N424" s="10" t="n">
        <v>57</v>
      </c>
      <c r="O424" s="10">
        <f>IFERROR(VLOOKUP(A424,Flete!$A:$J,10,0),"")</f>
        <v/>
      </c>
      <c r="P424" s="8" t="inlineStr">
        <is>
          <t>M3</t>
        </is>
      </c>
      <c r="Q424" s="10">
        <f>IFERROR(IFERROR(VLOOKUP(A424,TRAOPE!$A:$U,21,0),VLOOKUP(B424,TRAOPE!$A:$U,21,0)),"")</f>
        <v/>
      </c>
      <c r="R424" s="8">
        <f>IFERROR(IFERROR(VLOOKUP(A424,TRAOPE!$A:$W,23,0),VLOOKUP(B424,TRAOPE!$A:$W,23,0)),"")</f>
        <v/>
      </c>
      <c r="S424" s="10">
        <f>IF(AND(P424="TN",R424="TN"),N424+N(O424),IF(G424&amp;""="1",N(K424)*N424,(N424+N(O424))*N(K424)))</f>
        <v/>
      </c>
      <c r="T424" s="10">
        <f>IF(Q424="","",Q424-S424)</f>
        <v/>
      </c>
    </row>
    <row r="425">
      <c r="A425" s="7">
        <f>CONCATENATE(C425,E425,F425,I425)</f>
        <v/>
      </c>
      <c r="B425" s="7">
        <f>CONCATENATE(C425,E425,I425)</f>
        <v/>
      </c>
      <c r="C425" s="8" t="n">
        <v>900002313</v>
      </c>
      <c r="D425" s="7">
        <f>IFERROR(VLOOKUP(C425,TRAOPE!$G:$H,2,0),"")</f>
        <v/>
      </c>
      <c r="E425" s="8" t="inlineStr">
        <is>
          <t>D836</t>
        </is>
      </c>
      <c r="F425" s="8" t="inlineStr">
        <is>
          <t>66783558</t>
        </is>
      </c>
      <c r="G425" s="8">
        <f>IFERROR(VLOOKUP(A425,Flete!$A:$E,5,0),"")</f>
        <v/>
      </c>
      <c r="H425" s="7">
        <f>IFERROR(VLOOKUP(F425,TRAOPE!$AA:$AB,2,0),"")</f>
        <v/>
      </c>
      <c r="I425" s="7" t="n">
        <v>10001353</v>
      </c>
      <c r="J425" s="7">
        <f>IFERROR(VLOOKUP(I425,Materiales!$A:$H,8,0),"")</f>
        <v/>
      </c>
      <c r="K425" s="9">
        <f>IFERROR(VLOOKUP(I425,Materiales!$A:$G,7,0),"")</f>
        <v/>
      </c>
      <c r="L425" s="8" t="inlineStr">
        <is>
          <t>20190426</t>
        </is>
      </c>
      <c r="M425" s="8" t="inlineStr">
        <is>
          <t>20250127</t>
        </is>
      </c>
      <c r="N425" s="10" t="n">
        <v>65.09999999999999</v>
      </c>
      <c r="O425" s="10">
        <f>IFERROR(VLOOKUP(A425,Flete!$A:$J,10,0),"")</f>
        <v/>
      </c>
      <c r="P425" s="8" t="inlineStr">
        <is>
          <t>M3</t>
        </is>
      </c>
      <c r="Q425" s="10">
        <f>IFERROR(IFERROR(VLOOKUP(A425,TRAOPE!$A:$U,21,0),VLOOKUP(B425,TRAOPE!$A:$U,21,0)),"")</f>
        <v/>
      </c>
      <c r="R425" s="8">
        <f>IFERROR(IFERROR(VLOOKUP(A425,TRAOPE!$A:$W,23,0),VLOOKUP(B425,TRAOPE!$A:$W,23,0)),"")</f>
        <v/>
      </c>
      <c r="S425" s="10">
        <f>IF(AND(P425="TN",R425="TN"),N425+N(O425),IF(G425&amp;""="1",N(K425)*N425,(N425+N(O425))*N(K425)))</f>
        <v/>
      </c>
      <c r="T425" s="10">
        <f>IF(Q425="","",Q425-S425)</f>
        <v/>
      </c>
    </row>
    <row r="426">
      <c r="A426" s="7">
        <f>CONCATENATE(C426,E426,F426,I426)</f>
        <v/>
      </c>
      <c r="B426" s="7">
        <f>CONCATENATE(C426,E426,I426)</f>
        <v/>
      </c>
      <c r="C426" s="8" t="n">
        <v>900002313</v>
      </c>
      <c r="D426" s="7">
        <f>IFERROR(VLOOKUP(C426,TRAOPE!$G:$H,2,0),"")</f>
        <v/>
      </c>
      <c r="E426" s="8" t="inlineStr">
        <is>
          <t>D836</t>
        </is>
      </c>
      <c r="F426" s="8" t="inlineStr">
        <is>
          <t>66783558</t>
        </is>
      </c>
      <c r="G426" s="8">
        <f>IFERROR(VLOOKUP(A426,Flete!$A:$E,5,0),"")</f>
        <v/>
      </c>
      <c r="H426" s="7">
        <f>IFERROR(VLOOKUP(F426,TRAOPE!$AA:$AB,2,0),"")</f>
        <v/>
      </c>
      <c r="I426" s="7" t="n">
        <v>10001354</v>
      </c>
      <c r="J426" s="7">
        <f>IFERROR(VLOOKUP(I426,Materiales!$A:$H,8,0),"")</f>
        <v/>
      </c>
      <c r="K426" s="9">
        <f>IFERROR(VLOOKUP(I426,Materiales!$A:$G,7,0),"")</f>
        <v/>
      </c>
      <c r="L426" s="8" t="inlineStr">
        <is>
          <t>20190426</t>
        </is>
      </c>
      <c r="M426" s="8" t="inlineStr">
        <is>
          <t>20250127</t>
        </is>
      </c>
      <c r="N426" s="10" t="n">
        <v>61.24</v>
      </c>
      <c r="O426" s="10">
        <f>IFERROR(VLOOKUP(A426,Flete!$A:$J,10,0),"")</f>
        <v/>
      </c>
      <c r="P426" s="8" t="inlineStr">
        <is>
          <t>M3</t>
        </is>
      </c>
      <c r="Q426" s="10">
        <f>IFERROR(IFERROR(VLOOKUP(A426,TRAOPE!$A:$U,21,0),VLOOKUP(B426,TRAOPE!$A:$U,21,0)),"")</f>
        <v/>
      </c>
      <c r="R426" s="8">
        <f>IFERROR(IFERROR(VLOOKUP(A426,TRAOPE!$A:$W,23,0),VLOOKUP(B426,TRAOPE!$A:$W,23,0)),"")</f>
        <v/>
      </c>
      <c r="S426" s="10">
        <f>IF(AND(P426="TN",R426="TN"),N426+N(O426),IF(G426&amp;""="1",N(K426)*N426,(N426+N(O426))*N(K426)))</f>
        <v/>
      </c>
      <c r="T426" s="10">
        <f>IF(Q426="","",Q426-S426)</f>
        <v/>
      </c>
    </row>
    <row r="427">
      <c r="A427" s="7">
        <f>CONCATENATE(C427,E427,F427,I427)</f>
        <v/>
      </c>
      <c r="B427" s="7">
        <f>CONCATENATE(C427,E427,I427)</f>
        <v/>
      </c>
      <c r="C427" s="8" t="n">
        <v>900002313</v>
      </c>
      <c r="D427" s="7">
        <f>IFERROR(VLOOKUP(C427,TRAOPE!$G:$H,2,0),"")</f>
        <v/>
      </c>
      <c r="E427" s="8" t="inlineStr">
        <is>
          <t>D836</t>
        </is>
      </c>
      <c r="F427" s="8" t="inlineStr">
        <is>
          <t>66783558</t>
        </is>
      </c>
      <c r="G427" s="8">
        <f>IFERROR(VLOOKUP(A427,Flete!$A:$E,5,0),"")</f>
        <v/>
      </c>
      <c r="H427" s="7">
        <f>IFERROR(VLOOKUP(F427,TRAOPE!$AA:$AB,2,0),"")</f>
        <v/>
      </c>
      <c r="I427" s="7" t="n">
        <v>10001436</v>
      </c>
      <c r="J427" s="7">
        <f>IFERROR(VLOOKUP(I427,Materiales!$A:$H,8,0),"")</f>
        <v/>
      </c>
      <c r="K427" s="9">
        <f>IFERROR(VLOOKUP(I427,Materiales!$A:$G,7,0),"")</f>
        <v/>
      </c>
      <c r="L427" s="8" t="inlineStr">
        <is>
          <t>20190426</t>
        </is>
      </c>
      <c r="M427" s="8" t="inlineStr">
        <is>
          <t>20250127</t>
        </is>
      </c>
      <c r="N427" s="10" t="n">
        <v>45.17</v>
      </c>
      <c r="O427" s="10">
        <f>IFERROR(VLOOKUP(A427,Flete!$A:$J,10,0),"")</f>
        <v/>
      </c>
      <c r="P427" s="8" t="inlineStr">
        <is>
          <t>M3</t>
        </is>
      </c>
      <c r="Q427" s="10">
        <f>IFERROR(IFERROR(VLOOKUP(A427,TRAOPE!$A:$U,21,0),VLOOKUP(B427,TRAOPE!$A:$U,21,0)),"")</f>
        <v/>
      </c>
      <c r="R427" s="8">
        <f>IFERROR(IFERROR(VLOOKUP(A427,TRAOPE!$A:$W,23,0),VLOOKUP(B427,TRAOPE!$A:$W,23,0)),"")</f>
        <v/>
      </c>
      <c r="S427" s="10">
        <f>IF(AND(P427="TN",R427="TN"),N427+N(O427),IF(G427&amp;""="1",N(K427)*N427,(N427+N(O427))*N(K427)))</f>
        <v/>
      </c>
      <c r="T427" s="10">
        <f>IF(Q427="","",Q427-S427)</f>
        <v/>
      </c>
    </row>
    <row r="428">
      <c r="A428" s="7">
        <f>CONCATENATE(C428,E428,F428,I428)</f>
        <v/>
      </c>
      <c r="B428" s="7">
        <f>CONCATENATE(C428,E428,I428)</f>
        <v/>
      </c>
      <c r="C428" s="8" t="n">
        <v>900002313</v>
      </c>
      <c r="D428" s="7">
        <f>IFERROR(VLOOKUP(C428,TRAOPE!$G:$H,2,0),"")</f>
        <v/>
      </c>
      <c r="E428" s="8" t="inlineStr">
        <is>
          <t>D836</t>
        </is>
      </c>
      <c r="F428" s="8" t="inlineStr">
        <is>
          <t>66793342</t>
        </is>
      </c>
      <c r="G428" s="8">
        <f>IFERROR(VLOOKUP(A428,Flete!$A:$E,5,0),"")</f>
        <v/>
      </c>
      <c r="H428" s="7">
        <f>IFERROR(VLOOKUP(F428,TRAOPE!$AA:$AB,2,0),"")</f>
        <v/>
      </c>
      <c r="I428" s="7" t="n">
        <v>10001353</v>
      </c>
      <c r="J428" s="7">
        <f>IFERROR(VLOOKUP(I428,Materiales!$A:$H,8,0),"")</f>
        <v/>
      </c>
      <c r="K428" s="9">
        <f>IFERROR(VLOOKUP(I428,Materiales!$A:$G,7,0),"")</f>
        <v/>
      </c>
      <c r="L428" s="8" t="inlineStr">
        <is>
          <t>20190426</t>
        </is>
      </c>
      <c r="M428" s="8" t="inlineStr">
        <is>
          <t>20250127</t>
        </is>
      </c>
      <c r="N428" s="10" t="n">
        <v>97</v>
      </c>
      <c r="O428" s="10">
        <f>IFERROR(VLOOKUP(A428,Flete!$A:$J,10,0),"")</f>
        <v/>
      </c>
      <c r="P428" s="8" t="inlineStr">
        <is>
          <t>M3</t>
        </is>
      </c>
      <c r="Q428" s="10">
        <f>IFERROR(IFERROR(VLOOKUP(A428,TRAOPE!$A:$U,21,0),VLOOKUP(B428,TRAOPE!$A:$U,21,0)),"")</f>
        <v/>
      </c>
      <c r="R428" s="8">
        <f>IFERROR(IFERROR(VLOOKUP(A428,TRAOPE!$A:$W,23,0),VLOOKUP(B428,TRAOPE!$A:$W,23,0)),"")</f>
        <v/>
      </c>
      <c r="S428" s="10">
        <f>IF(AND(P428="TN",R428="TN"),N428+N(O428),IF(G428&amp;""="1",N(K428)*N428,(N428+N(O428))*N(K428)))</f>
        <v/>
      </c>
      <c r="T428" s="10">
        <f>IF(Q428="","",Q428-S428)</f>
        <v/>
      </c>
    </row>
    <row r="429">
      <c r="A429" s="7">
        <f>CONCATENATE(C429,E429,F429,I429)</f>
        <v/>
      </c>
      <c r="B429" s="7">
        <f>CONCATENATE(C429,E429,I429)</f>
        <v/>
      </c>
      <c r="C429" s="8" t="n">
        <v>900002313</v>
      </c>
      <c r="D429" s="7">
        <f>IFERROR(VLOOKUP(C429,TRAOPE!$G:$H,2,0),"")</f>
        <v/>
      </c>
      <c r="E429" s="8" t="inlineStr">
        <is>
          <t>D836</t>
        </is>
      </c>
      <c r="F429" s="8" t="inlineStr">
        <is>
          <t>66793342</t>
        </is>
      </c>
      <c r="G429" s="8">
        <f>IFERROR(VLOOKUP(A429,Flete!$A:$E,5,0),"")</f>
        <v/>
      </c>
      <c r="H429" s="7">
        <f>IFERROR(VLOOKUP(F429,TRAOPE!$AA:$AB,2,0),"")</f>
        <v/>
      </c>
      <c r="I429" s="7" t="n">
        <v>10001354</v>
      </c>
      <c r="J429" s="7">
        <f>IFERROR(VLOOKUP(I429,Materiales!$A:$H,8,0),"")</f>
        <v/>
      </c>
      <c r="K429" s="9">
        <f>IFERROR(VLOOKUP(I429,Materiales!$A:$G,7,0),"")</f>
        <v/>
      </c>
      <c r="L429" s="8" t="inlineStr">
        <is>
          <t>20190426</t>
        </is>
      </c>
      <c r="M429" s="8" t="inlineStr">
        <is>
          <t>20250127</t>
        </is>
      </c>
      <c r="N429" s="10" t="n">
        <v>78.5</v>
      </c>
      <c r="O429" s="10">
        <f>IFERROR(VLOOKUP(A429,Flete!$A:$J,10,0),"")</f>
        <v/>
      </c>
      <c r="P429" s="8" t="inlineStr">
        <is>
          <t>M3</t>
        </is>
      </c>
      <c r="Q429" s="10">
        <f>IFERROR(IFERROR(VLOOKUP(A429,TRAOPE!$A:$U,21,0),VLOOKUP(B429,TRAOPE!$A:$U,21,0)),"")</f>
        <v/>
      </c>
      <c r="R429" s="8">
        <f>IFERROR(IFERROR(VLOOKUP(A429,TRAOPE!$A:$W,23,0),VLOOKUP(B429,TRAOPE!$A:$W,23,0)),"")</f>
        <v/>
      </c>
      <c r="S429" s="10">
        <f>IF(AND(P429="TN",R429="TN"),N429+N(O429),IF(G429&amp;""="1",N(K429)*N429,(N429+N(O429))*N(K429)))</f>
        <v/>
      </c>
      <c r="T429" s="10">
        <f>IF(Q429="","",Q429-S429)</f>
        <v/>
      </c>
    </row>
    <row r="430">
      <c r="A430" s="7">
        <f>CONCATENATE(C430,E430,F430,I430)</f>
        <v/>
      </c>
      <c r="B430" s="7">
        <f>CONCATENATE(C430,E430,I430)</f>
        <v/>
      </c>
      <c r="C430" s="8" t="n">
        <v>900002313</v>
      </c>
      <c r="D430" s="7">
        <f>IFERROR(VLOOKUP(C430,TRAOPE!$G:$H,2,0),"")</f>
        <v/>
      </c>
      <c r="E430" s="8" t="inlineStr">
        <is>
          <t>D836</t>
        </is>
      </c>
      <c r="F430" s="8" t="inlineStr">
        <is>
          <t>66793342</t>
        </is>
      </c>
      <c r="G430" s="8">
        <f>IFERROR(VLOOKUP(A430,Flete!$A:$E,5,0),"")</f>
        <v/>
      </c>
      <c r="H430" s="7">
        <f>IFERROR(VLOOKUP(F430,TRAOPE!$AA:$AB,2,0),"")</f>
        <v/>
      </c>
      <c r="I430" s="7" t="n">
        <v>10001436</v>
      </c>
      <c r="J430" s="7">
        <f>IFERROR(VLOOKUP(I430,Materiales!$A:$H,8,0),"")</f>
        <v/>
      </c>
      <c r="K430" s="9">
        <f>IFERROR(VLOOKUP(I430,Materiales!$A:$G,7,0),"")</f>
        <v/>
      </c>
      <c r="L430" s="8" t="inlineStr">
        <is>
          <t>20190426</t>
        </is>
      </c>
      <c r="M430" s="8" t="inlineStr">
        <is>
          <t>20250127</t>
        </is>
      </c>
      <c r="N430" s="10" t="n">
        <v>57</v>
      </c>
      <c r="O430" s="10">
        <f>IFERROR(VLOOKUP(A430,Flete!$A:$J,10,0),"")</f>
        <v/>
      </c>
      <c r="P430" s="8" t="inlineStr">
        <is>
          <t>M3</t>
        </is>
      </c>
      <c r="Q430" s="10">
        <f>IFERROR(IFERROR(VLOOKUP(A430,TRAOPE!$A:$U,21,0),VLOOKUP(B430,TRAOPE!$A:$U,21,0)),"")</f>
        <v/>
      </c>
      <c r="R430" s="8">
        <f>IFERROR(IFERROR(VLOOKUP(A430,TRAOPE!$A:$W,23,0),VLOOKUP(B430,TRAOPE!$A:$W,23,0)),"")</f>
        <v/>
      </c>
      <c r="S430" s="10">
        <f>IF(AND(P430="TN",R430="TN"),N430+N(O430),IF(G430&amp;""="1",N(K430)*N430,(N430+N(O430))*N(K430)))</f>
        <v/>
      </c>
      <c r="T430" s="10">
        <f>IF(Q430="","",Q430-S430)</f>
        <v/>
      </c>
    </row>
    <row r="431">
      <c r="A431" s="7">
        <f>CONCATENATE(C431,E431,F431,I431)</f>
        <v/>
      </c>
      <c r="B431" s="7">
        <f>CONCATENATE(C431,E431,I431)</f>
        <v/>
      </c>
      <c r="C431" s="8" t="n">
        <v>900002574</v>
      </c>
      <c r="D431" s="7">
        <f>IFERROR(VLOOKUP(C431,TRAOPE!$G:$H,2,0),"")</f>
        <v/>
      </c>
      <c r="E431" s="8" t="inlineStr">
        <is>
          <t>D836</t>
        </is>
      </c>
      <c r="F431" s="8" t="inlineStr">
        <is>
          <t>65001905</t>
        </is>
      </c>
      <c r="G431" s="8">
        <f>IFERROR(VLOOKUP(A431,Flete!$A:$E,5,0),"")</f>
        <v/>
      </c>
      <c r="H431" s="7">
        <f>IFERROR(VLOOKUP(F431,TRAOPE!$AA:$AB,2,0),"")</f>
        <v/>
      </c>
      <c r="I431" s="7" t="n">
        <v>10000133</v>
      </c>
      <c r="J431" s="7">
        <f>IFERROR(VLOOKUP(I431,Materiales!$A:$H,8,0),"")</f>
        <v/>
      </c>
      <c r="K431" s="9">
        <f>IFERROR(VLOOKUP(I431,Materiales!$A:$G,7,0),"")</f>
        <v/>
      </c>
      <c r="L431" s="8" t="inlineStr">
        <is>
          <t>20190426</t>
        </is>
      </c>
      <c r="M431" s="8" t="inlineStr">
        <is>
          <t>20250127</t>
        </is>
      </c>
      <c r="N431" s="10" t="n">
        <v>180</v>
      </c>
      <c r="O431" s="10">
        <f>IFERROR(VLOOKUP(A431,Flete!$A:$J,10,0),"")</f>
        <v/>
      </c>
      <c r="P431" s="8" t="inlineStr">
        <is>
          <t>M3</t>
        </is>
      </c>
      <c r="Q431" s="10">
        <f>IFERROR(IFERROR(VLOOKUP(A431,TRAOPE!$A:$U,21,0),VLOOKUP(B431,TRAOPE!$A:$U,21,0)),"")</f>
        <v/>
      </c>
      <c r="R431" s="8">
        <f>IFERROR(IFERROR(VLOOKUP(A431,TRAOPE!$A:$W,23,0),VLOOKUP(B431,TRAOPE!$A:$W,23,0)),"")</f>
        <v/>
      </c>
      <c r="S431" s="10">
        <f>IF(AND(P431="TN",R431="TN"),N431+N(O431),IF(G431&amp;""="1",N(K431)*N431,(N431+N(O431))*N(K431)))</f>
        <v/>
      </c>
      <c r="T431" s="10">
        <f>IF(Q431="","",Q431-S431)</f>
        <v/>
      </c>
    </row>
    <row r="432">
      <c r="A432" s="7">
        <f>CONCATENATE(C432,E432,F432,I432)</f>
        <v/>
      </c>
      <c r="B432" s="7">
        <f>CONCATENATE(C432,E432,I432)</f>
        <v/>
      </c>
      <c r="C432" s="8" t="n">
        <v>900002574</v>
      </c>
      <c r="D432" s="7">
        <f>IFERROR(VLOOKUP(C432,TRAOPE!$G:$H,2,0),"")</f>
        <v/>
      </c>
      <c r="E432" s="8" t="inlineStr">
        <is>
          <t>D836</t>
        </is>
      </c>
      <c r="F432" s="8" t="inlineStr">
        <is>
          <t>65001905</t>
        </is>
      </c>
      <c r="G432" s="8">
        <f>IFERROR(VLOOKUP(A432,Flete!$A:$E,5,0),"")</f>
        <v/>
      </c>
      <c r="H432" s="7">
        <f>IFERROR(VLOOKUP(F432,TRAOPE!$AA:$AB,2,0),"")</f>
        <v/>
      </c>
      <c r="I432" s="7" t="n">
        <v>10000160</v>
      </c>
      <c r="J432" s="7">
        <f>IFERROR(VLOOKUP(I432,Materiales!$A:$H,8,0),"")</f>
        <v/>
      </c>
      <c r="K432" s="9">
        <f>IFERROR(VLOOKUP(I432,Materiales!$A:$G,7,0),"")</f>
        <v/>
      </c>
      <c r="L432" s="8" t="inlineStr">
        <is>
          <t>20190426</t>
        </is>
      </c>
      <c r="M432" s="8" t="inlineStr">
        <is>
          <t>20250127</t>
        </is>
      </c>
      <c r="N432" s="10" t="n">
        <v>105</v>
      </c>
      <c r="O432" s="10">
        <f>IFERROR(VLOOKUP(A432,Flete!$A:$J,10,0),"")</f>
        <v/>
      </c>
      <c r="P432" s="8" t="inlineStr">
        <is>
          <t>M3</t>
        </is>
      </c>
      <c r="Q432" s="10">
        <f>IFERROR(IFERROR(VLOOKUP(A432,TRAOPE!$A:$U,21,0),VLOOKUP(B432,TRAOPE!$A:$U,21,0)),"")</f>
        <v/>
      </c>
      <c r="R432" s="8">
        <f>IFERROR(IFERROR(VLOOKUP(A432,TRAOPE!$A:$W,23,0),VLOOKUP(B432,TRAOPE!$A:$W,23,0)),"")</f>
        <v/>
      </c>
      <c r="S432" s="10">
        <f>IF(AND(P432="TN",R432="TN"),N432+N(O432),IF(G432&amp;""="1",N(K432)*N432,(N432+N(O432))*N(K432)))</f>
        <v/>
      </c>
      <c r="T432" s="10">
        <f>IF(Q432="","",Q432-S432)</f>
        <v/>
      </c>
    </row>
    <row r="433">
      <c r="A433" s="7">
        <f>CONCATENATE(C433,E433,F433,I433)</f>
        <v/>
      </c>
      <c r="B433" s="7">
        <f>CONCATENATE(C433,E433,I433)</f>
        <v/>
      </c>
      <c r="C433" s="8" t="n">
        <v>900002574</v>
      </c>
      <c r="D433" s="7">
        <f>IFERROR(VLOOKUP(C433,TRAOPE!$G:$H,2,0),"")</f>
        <v/>
      </c>
      <c r="E433" s="8" t="inlineStr">
        <is>
          <t>D836</t>
        </is>
      </c>
      <c r="F433" s="8" t="inlineStr">
        <is>
          <t>65001905</t>
        </is>
      </c>
      <c r="G433" s="8">
        <f>IFERROR(VLOOKUP(A433,Flete!$A:$E,5,0),"")</f>
        <v/>
      </c>
      <c r="H433" s="7">
        <f>IFERROR(VLOOKUP(F433,TRAOPE!$AA:$AB,2,0),"")</f>
        <v/>
      </c>
      <c r="I433" s="7" t="n">
        <v>10000357</v>
      </c>
      <c r="J433" s="7">
        <f>IFERROR(VLOOKUP(I433,Materiales!$A:$H,8,0),"")</f>
        <v/>
      </c>
      <c r="K433" s="9">
        <f>IFERROR(VLOOKUP(I433,Materiales!$A:$G,7,0),"")</f>
        <v/>
      </c>
      <c r="L433" s="8" t="inlineStr">
        <is>
          <t>20190426</t>
        </is>
      </c>
      <c r="M433" s="8" t="inlineStr">
        <is>
          <t>20250127</t>
        </is>
      </c>
      <c r="N433" s="10" t="n">
        <v>120</v>
      </c>
      <c r="O433" s="10">
        <f>IFERROR(VLOOKUP(A433,Flete!$A:$J,10,0),"")</f>
        <v/>
      </c>
      <c r="P433" s="8" t="inlineStr">
        <is>
          <t>M3</t>
        </is>
      </c>
      <c r="Q433" s="10">
        <f>IFERROR(IFERROR(VLOOKUP(A433,TRAOPE!$A:$U,21,0),VLOOKUP(B433,TRAOPE!$A:$U,21,0)),"")</f>
        <v/>
      </c>
      <c r="R433" s="8">
        <f>IFERROR(IFERROR(VLOOKUP(A433,TRAOPE!$A:$W,23,0),VLOOKUP(B433,TRAOPE!$A:$W,23,0)),"")</f>
        <v/>
      </c>
      <c r="S433" s="10">
        <f>IF(AND(P433="TN",R433="TN"),N433+N(O433),IF(G433&amp;""="1",N(K433)*N433,(N433+N(O433))*N(K433)))</f>
        <v/>
      </c>
      <c r="T433" s="10">
        <f>IF(Q433="","",Q433-S433)</f>
        <v/>
      </c>
    </row>
    <row r="434">
      <c r="A434" s="7">
        <f>CONCATENATE(C434,E434,F434,I434)</f>
        <v/>
      </c>
      <c r="B434" s="7">
        <f>CONCATENATE(C434,E434,I434)</f>
        <v/>
      </c>
      <c r="C434" s="8" t="n">
        <v>900002574</v>
      </c>
      <c r="D434" s="7">
        <f>IFERROR(VLOOKUP(C434,TRAOPE!$G:$H,2,0),"")</f>
        <v/>
      </c>
      <c r="E434" s="8" t="inlineStr">
        <is>
          <t>D836</t>
        </is>
      </c>
      <c r="F434" s="8" t="inlineStr">
        <is>
          <t>65001905</t>
        </is>
      </c>
      <c r="G434" s="8">
        <f>IFERROR(VLOOKUP(A434,Flete!$A:$E,5,0),"")</f>
        <v/>
      </c>
      <c r="H434" s="7">
        <f>IFERROR(VLOOKUP(F434,TRAOPE!$AA:$AB,2,0),"")</f>
        <v/>
      </c>
      <c r="I434" s="7" t="n">
        <v>10000630</v>
      </c>
      <c r="J434" s="7">
        <f>IFERROR(VLOOKUP(I434,Materiales!$A:$H,8,0),"")</f>
        <v/>
      </c>
      <c r="K434" s="9">
        <f>IFERROR(VLOOKUP(I434,Materiales!$A:$G,7,0),"")</f>
        <v/>
      </c>
      <c r="L434" s="8" t="inlineStr">
        <is>
          <t>20190426</t>
        </is>
      </c>
      <c r="M434" s="8" t="inlineStr">
        <is>
          <t>20250127</t>
        </is>
      </c>
      <c r="N434" s="10" t="n">
        <v>200</v>
      </c>
      <c r="O434" s="10">
        <f>IFERROR(VLOOKUP(A434,Flete!$A:$J,10,0),"")</f>
        <v/>
      </c>
      <c r="P434" s="8" t="inlineStr">
        <is>
          <t>M3</t>
        </is>
      </c>
      <c r="Q434" s="10">
        <f>IFERROR(IFERROR(VLOOKUP(A434,TRAOPE!$A:$U,21,0),VLOOKUP(B434,TRAOPE!$A:$U,21,0)),"")</f>
        <v/>
      </c>
      <c r="R434" s="8">
        <f>IFERROR(IFERROR(VLOOKUP(A434,TRAOPE!$A:$W,23,0),VLOOKUP(B434,TRAOPE!$A:$W,23,0)),"")</f>
        <v/>
      </c>
      <c r="S434" s="10">
        <f>IF(AND(P434="TN",R434="TN"),N434+N(O434),IF(G434&amp;""="1",N(K434)*N434,(N434+N(O434))*N(K434)))</f>
        <v/>
      </c>
      <c r="T434" s="10">
        <f>IF(Q434="","",Q434-S434)</f>
        <v/>
      </c>
    </row>
    <row r="435">
      <c r="A435" s="7">
        <f>CONCATENATE(C435,E435,F435,I435)</f>
        <v/>
      </c>
      <c r="B435" s="7">
        <f>CONCATENATE(C435,E435,I435)</f>
        <v/>
      </c>
      <c r="C435" s="8" t="n">
        <v>900002574</v>
      </c>
      <c r="D435" s="7">
        <f>IFERROR(VLOOKUP(C435,TRAOPE!$G:$H,2,0),"")</f>
        <v/>
      </c>
      <c r="E435" s="8" t="inlineStr">
        <is>
          <t>D836</t>
        </is>
      </c>
      <c r="F435" s="8" t="inlineStr">
        <is>
          <t>65001905</t>
        </is>
      </c>
      <c r="G435" s="8">
        <f>IFERROR(VLOOKUP(A435,Flete!$A:$E,5,0),"")</f>
        <v/>
      </c>
      <c r="H435" s="7">
        <f>IFERROR(VLOOKUP(F435,TRAOPE!$AA:$AB,2,0),"")</f>
        <v/>
      </c>
      <c r="I435" s="7" t="n">
        <v>10058345</v>
      </c>
      <c r="J435" s="7">
        <f>IFERROR(VLOOKUP(I435,Materiales!$A:$H,8,0),"")</f>
        <v/>
      </c>
      <c r="K435" s="9">
        <f>IFERROR(VLOOKUP(I435,Materiales!$A:$G,7,0),"")</f>
        <v/>
      </c>
      <c r="L435" s="8" t="inlineStr">
        <is>
          <t>20190426</t>
        </is>
      </c>
      <c r="M435" s="8" t="inlineStr">
        <is>
          <t>20250127</t>
        </is>
      </c>
      <c r="N435" s="10" t="n">
        <v>95</v>
      </c>
      <c r="O435" s="10">
        <f>IFERROR(VLOOKUP(A435,Flete!$A:$J,10,0),"")</f>
        <v/>
      </c>
      <c r="P435" s="8" t="inlineStr">
        <is>
          <t>M3</t>
        </is>
      </c>
      <c r="Q435" s="10">
        <f>IFERROR(IFERROR(VLOOKUP(A435,TRAOPE!$A:$U,21,0),VLOOKUP(B435,TRAOPE!$A:$U,21,0)),"")</f>
        <v/>
      </c>
      <c r="R435" s="8">
        <f>IFERROR(IFERROR(VLOOKUP(A435,TRAOPE!$A:$W,23,0),VLOOKUP(B435,TRAOPE!$A:$W,23,0)),"")</f>
        <v/>
      </c>
      <c r="S435" s="10">
        <f>IF(AND(P435="TN",R435="TN"),N435+N(O435),IF(G435&amp;""="1",N(K435)*N435,(N435+N(O435))*N(K435)))</f>
        <v/>
      </c>
      <c r="T435" s="10">
        <f>IF(Q435="","",Q435-S435)</f>
        <v/>
      </c>
    </row>
    <row r="436">
      <c r="A436" s="7">
        <f>CONCATENATE(C436,E436,F436,I436)</f>
        <v/>
      </c>
      <c r="B436" s="7">
        <f>CONCATENATE(C436,E436,I436)</f>
        <v/>
      </c>
      <c r="C436" s="8" t="n">
        <v>900002574</v>
      </c>
      <c r="D436" s="7">
        <f>IFERROR(VLOOKUP(C436,TRAOPE!$G:$H,2,0),"")</f>
        <v/>
      </c>
      <c r="E436" s="8" t="inlineStr">
        <is>
          <t>D836</t>
        </is>
      </c>
      <c r="F436" s="8" t="inlineStr">
        <is>
          <t>65061685</t>
        </is>
      </c>
      <c r="G436" s="8">
        <f>IFERROR(VLOOKUP(A436,Flete!$A:$E,5,0),"")</f>
        <v/>
      </c>
      <c r="H436" s="7">
        <f>IFERROR(VLOOKUP(F436,TRAOPE!$AA:$AB,2,0),"")</f>
        <v/>
      </c>
      <c r="I436" s="7" t="n">
        <v>10000160</v>
      </c>
      <c r="J436" s="7">
        <f>IFERROR(VLOOKUP(I436,Materiales!$A:$H,8,0),"")</f>
        <v/>
      </c>
      <c r="K436" s="9">
        <f>IFERROR(VLOOKUP(I436,Materiales!$A:$G,7,0),"")</f>
        <v/>
      </c>
      <c r="L436" s="8" t="inlineStr">
        <is>
          <t>20190426</t>
        </is>
      </c>
      <c r="M436" s="8" t="inlineStr">
        <is>
          <t>20250127</t>
        </is>
      </c>
      <c r="N436" s="10" t="n">
        <v>95</v>
      </c>
      <c r="O436" s="10">
        <f>IFERROR(VLOOKUP(A436,Flete!$A:$J,10,0),"")</f>
        <v/>
      </c>
      <c r="P436" s="8" t="inlineStr">
        <is>
          <t>M3</t>
        </is>
      </c>
      <c r="Q436" s="10">
        <f>IFERROR(IFERROR(VLOOKUP(A436,TRAOPE!$A:$U,21,0),VLOOKUP(B436,TRAOPE!$A:$U,21,0)),"")</f>
        <v/>
      </c>
      <c r="R436" s="8">
        <f>IFERROR(IFERROR(VLOOKUP(A436,TRAOPE!$A:$W,23,0),VLOOKUP(B436,TRAOPE!$A:$W,23,0)),"")</f>
        <v/>
      </c>
      <c r="S436" s="10">
        <f>IF(AND(P436="TN",R436="TN"),N436+N(O436),IF(G436&amp;""="1",N(K436)*N436,(N436+N(O436))*N(K436)))</f>
        <v/>
      </c>
      <c r="T436" s="10">
        <f>IF(Q436="","",Q436-S436)</f>
        <v/>
      </c>
    </row>
    <row r="437">
      <c r="A437" s="7">
        <f>CONCATENATE(C437,E437,F437,I437)</f>
        <v/>
      </c>
      <c r="B437" s="7">
        <f>CONCATENATE(C437,E437,I437)</f>
        <v/>
      </c>
      <c r="C437" s="8" t="n">
        <v>900002574</v>
      </c>
      <c r="D437" s="7">
        <f>IFERROR(VLOOKUP(C437,TRAOPE!$G:$H,2,0),"")</f>
        <v/>
      </c>
      <c r="E437" s="8" t="inlineStr">
        <is>
          <t>D836</t>
        </is>
      </c>
      <c r="F437" s="8" t="inlineStr">
        <is>
          <t>65150563</t>
        </is>
      </c>
      <c r="G437" s="8">
        <f>IFERROR(VLOOKUP(A437,Flete!$A:$E,5,0),"")</f>
        <v/>
      </c>
      <c r="H437" s="7">
        <f>IFERROR(VLOOKUP(F437,TRAOPE!$AA:$AB,2,0),"")</f>
        <v/>
      </c>
      <c r="I437" s="7" t="n">
        <v>10000160</v>
      </c>
      <c r="J437" s="7">
        <f>IFERROR(VLOOKUP(I437,Materiales!$A:$H,8,0),"")</f>
        <v/>
      </c>
      <c r="K437" s="9">
        <f>IFERROR(VLOOKUP(I437,Materiales!$A:$G,7,0),"")</f>
        <v/>
      </c>
      <c r="L437" s="8" t="inlineStr">
        <is>
          <t>20190426</t>
        </is>
      </c>
      <c r="M437" s="8" t="inlineStr">
        <is>
          <t>20250127</t>
        </is>
      </c>
      <c r="N437" s="10" t="n">
        <v>470</v>
      </c>
      <c r="O437" s="10">
        <f>IFERROR(VLOOKUP(A437,Flete!$A:$J,10,0),"")</f>
        <v/>
      </c>
      <c r="P437" s="8" t="inlineStr">
        <is>
          <t>M3</t>
        </is>
      </c>
      <c r="Q437" s="10">
        <f>IFERROR(IFERROR(VLOOKUP(A437,TRAOPE!$A:$U,21,0),VLOOKUP(B437,TRAOPE!$A:$U,21,0)),"")</f>
        <v/>
      </c>
      <c r="R437" s="8">
        <f>IFERROR(IFERROR(VLOOKUP(A437,TRAOPE!$A:$W,23,0),VLOOKUP(B437,TRAOPE!$A:$W,23,0)),"")</f>
        <v/>
      </c>
      <c r="S437" s="10">
        <f>IF(AND(P437="TN",R437="TN"),N437+N(O437),IF(G437&amp;""="1",N(K437)*N437,(N437+N(O437))*N(K437)))</f>
        <v/>
      </c>
      <c r="T437" s="10">
        <f>IF(Q437="","",Q437-S437)</f>
        <v/>
      </c>
    </row>
    <row r="438">
      <c r="A438" s="7">
        <f>CONCATENATE(C438,E438,F438,I438)</f>
        <v/>
      </c>
      <c r="B438" s="7">
        <f>CONCATENATE(C438,E438,I438)</f>
        <v/>
      </c>
      <c r="C438" s="8" t="n">
        <v>900002574</v>
      </c>
      <c r="D438" s="7">
        <f>IFERROR(VLOOKUP(C438,TRAOPE!$G:$H,2,0),"")</f>
        <v/>
      </c>
      <c r="E438" s="8" t="inlineStr">
        <is>
          <t>D836</t>
        </is>
      </c>
      <c r="F438" s="8" t="inlineStr">
        <is>
          <t>65150563</t>
        </is>
      </c>
      <c r="G438" s="8">
        <f>IFERROR(VLOOKUP(A438,Flete!$A:$E,5,0),"")</f>
        <v/>
      </c>
      <c r="H438" s="7">
        <f>IFERROR(VLOOKUP(F438,TRAOPE!$AA:$AB,2,0),"")</f>
        <v/>
      </c>
      <c r="I438" s="7" t="n">
        <v>10000206</v>
      </c>
      <c r="J438" s="7">
        <f>IFERROR(VLOOKUP(I438,Materiales!$A:$H,8,0),"")</f>
        <v/>
      </c>
      <c r="K438" s="9">
        <f>IFERROR(VLOOKUP(I438,Materiales!$A:$G,7,0),"")</f>
        <v/>
      </c>
      <c r="L438" s="8" t="inlineStr">
        <is>
          <t>20190426</t>
        </is>
      </c>
      <c r="M438" s="8" t="inlineStr">
        <is>
          <t>20250127</t>
        </is>
      </c>
      <c r="N438" s="10" t="n">
        <v>99</v>
      </c>
      <c r="O438" s="10">
        <f>IFERROR(VLOOKUP(A438,Flete!$A:$J,10,0),"")</f>
        <v/>
      </c>
      <c r="P438" s="8" t="inlineStr">
        <is>
          <t>M3</t>
        </is>
      </c>
      <c r="Q438" s="10">
        <f>IFERROR(IFERROR(VLOOKUP(A438,TRAOPE!$A:$U,21,0),VLOOKUP(B438,TRAOPE!$A:$U,21,0)),"")</f>
        <v/>
      </c>
      <c r="R438" s="8">
        <f>IFERROR(IFERROR(VLOOKUP(A438,TRAOPE!$A:$W,23,0),VLOOKUP(B438,TRAOPE!$A:$W,23,0)),"")</f>
        <v/>
      </c>
      <c r="S438" s="10">
        <f>IF(AND(P438="TN",R438="TN"),N438+N(O438),IF(G438&amp;""="1",N(K438)*N438,(N438+N(O438))*N(K438)))</f>
        <v/>
      </c>
      <c r="T438" s="10">
        <f>IF(Q438="","",Q438-S438)</f>
        <v/>
      </c>
    </row>
    <row r="439">
      <c r="A439" s="7">
        <f>CONCATENATE(C439,E439,F439,I439)</f>
        <v/>
      </c>
      <c r="B439" s="7">
        <f>CONCATENATE(C439,E439,I439)</f>
        <v/>
      </c>
      <c r="C439" s="8" t="n">
        <v>900002574</v>
      </c>
      <c r="D439" s="7">
        <f>IFERROR(VLOOKUP(C439,TRAOPE!$G:$H,2,0),"")</f>
        <v/>
      </c>
      <c r="E439" s="8" t="inlineStr">
        <is>
          <t>D836</t>
        </is>
      </c>
      <c r="F439" s="8" t="inlineStr">
        <is>
          <t>65150563</t>
        </is>
      </c>
      <c r="G439" s="8">
        <f>IFERROR(VLOOKUP(A439,Flete!$A:$E,5,0),"")</f>
        <v/>
      </c>
      <c r="H439" s="7">
        <f>IFERROR(VLOOKUP(F439,TRAOPE!$AA:$AB,2,0),"")</f>
        <v/>
      </c>
      <c r="I439" s="7" t="n">
        <v>10000357</v>
      </c>
      <c r="J439" s="7">
        <f>IFERROR(VLOOKUP(I439,Materiales!$A:$H,8,0),"")</f>
        <v/>
      </c>
      <c r="K439" s="9">
        <f>IFERROR(VLOOKUP(I439,Materiales!$A:$G,7,0),"")</f>
        <v/>
      </c>
      <c r="L439" s="8" t="inlineStr">
        <is>
          <t>20190426</t>
        </is>
      </c>
      <c r="M439" s="8" t="inlineStr">
        <is>
          <t>20250127</t>
        </is>
      </c>
      <c r="N439" s="10" t="n">
        <v>400</v>
      </c>
      <c r="O439" s="10">
        <f>IFERROR(VLOOKUP(A439,Flete!$A:$J,10,0),"")</f>
        <v/>
      </c>
      <c r="P439" s="8" t="inlineStr">
        <is>
          <t>M3</t>
        </is>
      </c>
      <c r="Q439" s="10">
        <f>IFERROR(IFERROR(VLOOKUP(A439,TRAOPE!$A:$U,21,0),VLOOKUP(B439,TRAOPE!$A:$U,21,0)),"")</f>
        <v/>
      </c>
      <c r="R439" s="8">
        <f>IFERROR(IFERROR(VLOOKUP(A439,TRAOPE!$A:$W,23,0),VLOOKUP(B439,TRAOPE!$A:$W,23,0)),"")</f>
        <v/>
      </c>
      <c r="S439" s="10">
        <f>IF(AND(P439="TN",R439="TN"),N439+N(O439),IF(G439&amp;""="1",N(K439)*N439,(N439+N(O439))*N(K439)))</f>
        <v/>
      </c>
      <c r="T439" s="10">
        <f>IF(Q439="","",Q439-S439)</f>
        <v/>
      </c>
    </row>
    <row r="440">
      <c r="A440" s="7">
        <f>CONCATENATE(C440,E440,F440,I440)</f>
        <v/>
      </c>
      <c r="B440" s="7">
        <f>CONCATENATE(C440,E440,I440)</f>
        <v/>
      </c>
      <c r="C440" s="8" t="n">
        <v>900002574</v>
      </c>
      <c r="D440" s="7">
        <f>IFERROR(VLOOKUP(C440,TRAOPE!$G:$H,2,0),"")</f>
        <v/>
      </c>
      <c r="E440" s="8" t="inlineStr">
        <is>
          <t>D836</t>
        </is>
      </c>
      <c r="F440" s="8" t="inlineStr">
        <is>
          <t>65150563</t>
        </is>
      </c>
      <c r="G440" s="8">
        <f>IFERROR(VLOOKUP(A440,Flete!$A:$E,5,0),"")</f>
        <v/>
      </c>
      <c r="H440" s="7">
        <f>IFERROR(VLOOKUP(F440,TRAOPE!$AA:$AB,2,0),"")</f>
        <v/>
      </c>
      <c r="I440" s="7" t="n">
        <v>10000651</v>
      </c>
      <c r="J440" s="7">
        <f>IFERROR(VLOOKUP(I440,Materiales!$A:$H,8,0),"")</f>
        <v/>
      </c>
      <c r="K440" s="9">
        <f>IFERROR(VLOOKUP(I440,Materiales!$A:$G,7,0),"")</f>
        <v/>
      </c>
      <c r="L440" s="8" t="inlineStr">
        <is>
          <t>20190426</t>
        </is>
      </c>
      <c r="M440" s="8" t="inlineStr">
        <is>
          <t>20250127</t>
        </is>
      </c>
      <c r="N440" s="10" t="n">
        <v>460</v>
      </c>
      <c r="O440" s="10">
        <f>IFERROR(VLOOKUP(A440,Flete!$A:$J,10,0),"")</f>
        <v/>
      </c>
      <c r="P440" s="8" t="inlineStr">
        <is>
          <t>M3</t>
        </is>
      </c>
      <c r="Q440" s="10">
        <f>IFERROR(IFERROR(VLOOKUP(A440,TRAOPE!$A:$U,21,0),VLOOKUP(B440,TRAOPE!$A:$U,21,0)),"")</f>
        <v/>
      </c>
      <c r="R440" s="8">
        <f>IFERROR(IFERROR(VLOOKUP(A440,TRAOPE!$A:$W,23,0),VLOOKUP(B440,TRAOPE!$A:$W,23,0)),"")</f>
        <v/>
      </c>
      <c r="S440" s="10">
        <f>IF(AND(P440="TN",R440="TN"),N440+N(O440),IF(G440&amp;""="1",N(K440)*N440,(N440+N(O440))*N(K440)))</f>
        <v/>
      </c>
      <c r="T440" s="10">
        <f>IF(Q440="","",Q440-S440)</f>
        <v/>
      </c>
    </row>
    <row r="441">
      <c r="A441" s="7">
        <f>CONCATENATE(C441,E441,F441,I441)</f>
        <v/>
      </c>
      <c r="B441" s="7">
        <f>CONCATENATE(C441,E441,I441)</f>
        <v/>
      </c>
      <c r="C441" s="8" t="n">
        <v>900002574</v>
      </c>
      <c r="D441" s="7">
        <f>IFERROR(VLOOKUP(C441,TRAOPE!$G:$H,2,0),"")</f>
        <v/>
      </c>
      <c r="E441" s="8" t="inlineStr">
        <is>
          <t>D836</t>
        </is>
      </c>
      <c r="F441" s="8" t="inlineStr">
        <is>
          <t>65155820</t>
        </is>
      </c>
      <c r="G441" s="8">
        <f>IFERROR(VLOOKUP(A441,Flete!$A:$E,5,0),"")</f>
        <v/>
      </c>
      <c r="H441" s="7">
        <f>IFERROR(VLOOKUP(F441,TRAOPE!$AA:$AB,2,0),"")</f>
        <v/>
      </c>
      <c r="I441" s="7" t="n">
        <v>10000160</v>
      </c>
      <c r="J441" s="7">
        <f>IFERROR(VLOOKUP(I441,Materiales!$A:$H,8,0),"")</f>
        <v/>
      </c>
      <c r="K441" s="9">
        <f>IFERROR(VLOOKUP(I441,Materiales!$A:$G,7,0),"")</f>
        <v/>
      </c>
      <c r="L441" s="8" t="inlineStr">
        <is>
          <t>20190426</t>
        </is>
      </c>
      <c r="M441" s="8" t="inlineStr">
        <is>
          <t>20250127</t>
        </is>
      </c>
      <c r="N441" s="10" t="n">
        <v>139</v>
      </c>
      <c r="O441" s="10">
        <f>IFERROR(VLOOKUP(A441,Flete!$A:$J,10,0),"")</f>
        <v/>
      </c>
      <c r="P441" s="8" t="inlineStr">
        <is>
          <t>M3</t>
        </is>
      </c>
      <c r="Q441" s="10">
        <f>IFERROR(IFERROR(VLOOKUP(A441,TRAOPE!$A:$U,21,0),VLOOKUP(B441,TRAOPE!$A:$U,21,0)),"")</f>
        <v/>
      </c>
      <c r="R441" s="8">
        <f>IFERROR(IFERROR(VLOOKUP(A441,TRAOPE!$A:$W,23,0),VLOOKUP(B441,TRAOPE!$A:$W,23,0)),"")</f>
        <v/>
      </c>
      <c r="S441" s="10">
        <f>IF(AND(P441="TN",R441="TN"),N441+N(O441),IF(G441&amp;""="1",N(K441)*N441,(N441+N(O441))*N(K441)))</f>
        <v/>
      </c>
      <c r="T441" s="10">
        <f>IF(Q441="","",Q441-S441)</f>
        <v/>
      </c>
    </row>
    <row r="442">
      <c r="A442" s="7">
        <f>CONCATENATE(C442,E442,F442,I442)</f>
        <v/>
      </c>
      <c r="B442" s="7">
        <f>CONCATENATE(C442,E442,I442)</f>
        <v/>
      </c>
      <c r="C442" s="8" t="n">
        <v>900002574</v>
      </c>
      <c r="D442" s="7">
        <f>IFERROR(VLOOKUP(C442,TRAOPE!$G:$H,2,0),"")</f>
        <v/>
      </c>
      <c r="E442" s="8" t="inlineStr">
        <is>
          <t>D836</t>
        </is>
      </c>
      <c r="F442" s="8" t="inlineStr">
        <is>
          <t>65155820</t>
        </is>
      </c>
      <c r="G442" s="8">
        <f>IFERROR(VLOOKUP(A442,Flete!$A:$E,5,0),"")</f>
        <v/>
      </c>
      <c r="H442" s="7">
        <f>IFERROR(VLOOKUP(F442,TRAOPE!$AA:$AB,2,0),"")</f>
        <v/>
      </c>
      <c r="I442" s="7" t="n">
        <v>10000357</v>
      </c>
      <c r="J442" s="7">
        <f>IFERROR(VLOOKUP(I442,Materiales!$A:$H,8,0),"")</f>
        <v/>
      </c>
      <c r="K442" s="9">
        <f>IFERROR(VLOOKUP(I442,Materiales!$A:$G,7,0),"")</f>
        <v/>
      </c>
      <c r="L442" s="8" t="inlineStr">
        <is>
          <t>20190426</t>
        </is>
      </c>
      <c r="M442" s="8" t="inlineStr">
        <is>
          <t>20250127</t>
        </is>
      </c>
      <c r="N442" s="10" t="n">
        <v>144</v>
      </c>
      <c r="O442" s="10">
        <f>IFERROR(VLOOKUP(A442,Flete!$A:$J,10,0),"")</f>
        <v/>
      </c>
      <c r="P442" s="8" t="inlineStr">
        <is>
          <t>M3</t>
        </is>
      </c>
      <c r="Q442" s="10">
        <f>IFERROR(IFERROR(VLOOKUP(A442,TRAOPE!$A:$U,21,0),VLOOKUP(B442,TRAOPE!$A:$U,21,0)),"")</f>
        <v/>
      </c>
      <c r="R442" s="8">
        <f>IFERROR(IFERROR(VLOOKUP(A442,TRAOPE!$A:$W,23,0),VLOOKUP(B442,TRAOPE!$A:$W,23,0)),"")</f>
        <v/>
      </c>
      <c r="S442" s="10">
        <f>IF(AND(P442="TN",R442="TN"),N442+N(O442),IF(G442&amp;""="1",N(K442)*N442,(N442+N(O442))*N(K442)))</f>
        <v/>
      </c>
      <c r="T442" s="10">
        <f>IF(Q442="","",Q442-S442)</f>
        <v/>
      </c>
    </row>
    <row r="443">
      <c r="A443" s="7">
        <f>CONCATENATE(C443,E443,F443,I443)</f>
        <v/>
      </c>
      <c r="B443" s="7">
        <f>CONCATENATE(C443,E443,I443)</f>
        <v/>
      </c>
      <c r="C443" s="8" t="n">
        <v>900002574</v>
      </c>
      <c r="D443" s="7">
        <f>IFERROR(VLOOKUP(C443,TRAOPE!$G:$H,2,0),"")</f>
        <v/>
      </c>
      <c r="E443" s="8" t="inlineStr">
        <is>
          <t>D836</t>
        </is>
      </c>
      <c r="F443" s="8" t="inlineStr">
        <is>
          <t>65251399</t>
        </is>
      </c>
      <c r="G443" s="8">
        <f>IFERROR(VLOOKUP(A443,Flete!$A:$E,5,0),"")</f>
        <v/>
      </c>
      <c r="H443" s="7">
        <f>IFERROR(VLOOKUP(F443,TRAOPE!$AA:$AB,2,0),"")</f>
        <v/>
      </c>
      <c r="I443" s="7" t="n">
        <v>10029712</v>
      </c>
      <c r="J443" s="7">
        <f>IFERROR(VLOOKUP(I443,Materiales!$A:$H,8,0),"")</f>
        <v/>
      </c>
      <c r="K443" s="9">
        <f>IFERROR(VLOOKUP(I443,Materiales!$A:$G,7,0),"")</f>
        <v/>
      </c>
      <c r="L443" s="8" t="inlineStr">
        <is>
          <t>20190426</t>
        </is>
      </c>
      <c r="M443" s="8" t="inlineStr">
        <is>
          <t>20250127</t>
        </is>
      </c>
      <c r="N443" s="10" t="n">
        <v>40</v>
      </c>
      <c r="O443" s="10">
        <f>IFERROR(VLOOKUP(A443,Flete!$A:$J,10,0),"")</f>
        <v/>
      </c>
      <c r="P443" s="8" t="inlineStr">
        <is>
          <t>TN</t>
        </is>
      </c>
      <c r="Q443" s="10">
        <f>IFERROR(IFERROR(VLOOKUP(A443,TRAOPE!$A:$U,21,0),VLOOKUP(B443,TRAOPE!$A:$U,21,0)),"")</f>
        <v/>
      </c>
      <c r="R443" s="8">
        <f>IFERROR(IFERROR(VLOOKUP(A443,TRAOPE!$A:$W,23,0),VLOOKUP(B443,TRAOPE!$A:$W,23,0)),"")</f>
        <v/>
      </c>
      <c r="S443" s="10">
        <f>IF(AND(P443="TN",R443="TN"),N443+N(O443),IF(G443&amp;""="1",N(K443)*N443,(N443+N(O443))*N(K443)))</f>
        <v/>
      </c>
      <c r="T443" s="10">
        <f>IF(Q443="","",Q443-S443)</f>
        <v/>
      </c>
    </row>
    <row r="444">
      <c r="A444" s="7">
        <f>CONCATENATE(C444,E444,F444,I444)</f>
        <v/>
      </c>
      <c r="B444" s="7">
        <f>CONCATENATE(C444,E444,I444)</f>
        <v/>
      </c>
      <c r="C444" s="8" t="n">
        <v>900002574</v>
      </c>
      <c r="D444" s="7">
        <f>IFERROR(VLOOKUP(C444,TRAOPE!$G:$H,2,0),"")</f>
        <v/>
      </c>
      <c r="E444" s="8" t="inlineStr">
        <is>
          <t>D836</t>
        </is>
      </c>
      <c r="F444" s="8" t="inlineStr">
        <is>
          <t>65674132</t>
        </is>
      </c>
      <c r="G444" s="8">
        <f>IFERROR(VLOOKUP(A444,Flete!$A:$E,5,0),"")</f>
        <v/>
      </c>
      <c r="H444" s="7">
        <f>IFERROR(VLOOKUP(F444,TRAOPE!$AA:$AB,2,0),"")</f>
        <v/>
      </c>
      <c r="I444" s="7" t="n">
        <v>10000624</v>
      </c>
      <c r="J444" s="7">
        <f>IFERROR(VLOOKUP(I444,Materiales!$A:$H,8,0),"")</f>
        <v/>
      </c>
      <c r="K444" s="9">
        <f>IFERROR(VLOOKUP(I444,Materiales!$A:$G,7,0),"")</f>
        <v/>
      </c>
      <c r="L444" s="8" t="inlineStr">
        <is>
          <t>20190426</t>
        </is>
      </c>
      <c r="M444" s="8" t="inlineStr">
        <is>
          <t>20250127</t>
        </is>
      </c>
      <c r="N444" s="10" t="n">
        <v>210</v>
      </c>
      <c r="O444" s="10">
        <f>IFERROR(VLOOKUP(A444,Flete!$A:$J,10,0),"")</f>
        <v/>
      </c>
      <c r="P444" s="8" t="inlineStr">
        <is>
          <t>M3</t>
        </is>
      </c>
      <c r="Q444" s="10">
        <f>IFERROR(IFERROR(VLOOKUP(A444,TRAOPE!$A:$U,21,0),VLOOKUP(B444,TRAOPE!$A:$U,21,0)),"")</f>
        <v/>
      </c>
      <c r="R444" s="8">
        <f>IFERROR(IFERROR(VLOOKUP(A444,TRAOPE!$A:$W,23,0),VLOOKUP(B444,TRAOPE!$A:$W,23,0)),"")</f>
        <v/>
      </c>
      <c r="S444" s="10">
        <f>IF(AND(P444="TN",R444="TN"),N444+N(O444),IF(G444&amp;""="1",N(K444)*N444,(N444+N(O444))*N(K444)))</f>
        <v/>
      </c>
      <c r="T444" s="10">
        <f>IF(Q444="","",Q444-S444)</f>
        <v/>
      </c>
    </row>
    <row r="445">
      <c r="A445" s="7">
        <f>CONCATENATE(C445,E445,F445,I445)</f>
        <v/>
      </c>
      <c r="B445" s="7">
        <f>CONCATENATE(C445,E445,I445)</f>
        <v/>
      </c>
      <c r="C445" s="8" t="n">
        <v>900002574</v>
      </c>
      <c r="D445" s="7">
        <f>IFERROR(VLOOKUP(C445,TRAOPE!$G:$H,2,0),"")</f>
        <v/>
      </c>
      <c r="E445" s="8" t="inlineStr">
        <is>
          <t>D836</t>
        </is>
      </c>
      <c r="F445" s="8" t="inlineStr">
        <is>
          <t>65911313</t>
        </is>
      </c>
      <c r="G445" s="8">
        <f>IFERROR(VLOOKUP(A445,Flete!$A:$E,5,0),"")</f>
        <v/>
      </c>
      <c r="H445" s="7">
        <f>IFERROR(VLOOKUP(F445,TRAOPE!$AA:$AB,2,0),"")</f>
        <v/>
      </c>
      <c r="I445" s="7" t="n">
        <v>10000160</v>
      </c>
      <c r="J445" s="7">
        <f>IFERROR(VLOOKUP(I445,Materiales!$A:$H,8,0),"")</f>
        <v/>
      </c>
      <c r="K445" s="9">
        <f>IFERROR(VLOOKUP(I445,Materiales!$A:$G,7,0),"")</f>
        <v/>
      </c>
      <c r="L445" s="8" t="inlineStr">
        <is>
          <t>20190426</t>
        </is>
      </c>
      <c r="M445" s="8" t="inlineStr">
        <is>
          <t>20250127</t>
        </is>
      </c>
      <c r="N445" s="10" t="n">
        <v>95</v>
      </c>
      <c r="O445" s="10">
        <f>IFERROR(VLOOKUP(A445,Flete!$A:$J,10,0),"")</f>
        <v/>
      </c>
      <c r="P445" s="8" t="inlineStr">
        <is>
          <t>M3</t>
        </is>
      </c>
      <c r="Q445" s="10">
        <f>IFERROR(IFERROR(VLOOKUP(A445,TRAOPE!$A:$U,21,0),VLOOKUP(B445,TRAOPE!$A:$U,21,0)),"")</f>
        <v/>
      </c>
      <c r="R445" s="8">
        <f>IFERROR(IFERROR(VLOOKUP(A445,TRAOPE!$A:$W,23,0),VLOOKUP(B445,TRAOPE!$A:$W,23,0)),"")</f>
        <v/>
      </c>
      <c r="S445" s="10">
        <f>IF(AND(P445="TN",R445="TN"),N445+N(O445),IF(G445&amp;""="1",N(K445)*N445,(N445+N(O445))*N(K445)))</f>
        <v/>
      </c>
      <c r="T445" s="10">
        <f>IF(Q445="","",Q445-S445)</f>
        <v/>
      </c>
    </row>
    <row r="446">
      <c r="A446" s="7">
        <f>CONCATENATE(C446,E446,F446,I446)</f>
        <v/>
      </c>
      <c r="B446" s="7">
        <f>CONCATENATE(C446,E446,I446)</f>
        <v/>
      </c>
      <c r="C446" s="8" t="n">
        <v>900002574</v>
      </c>
      <c r="D446" s="7">
        <f>IFERROR(VLOOKUP(C446,TRAOPE!$G:$H,2,0),"")</f>
        <v/>
      </c>
      <c r="E446" s="8" t="inlineStr">
        <is>
          <t>D836</t>
        </is>
      </c>
      <c r="F446" s="8" t="inlineStr">
        <is>
          <t>65911313</t>
        </is>
      </c>
      <c r="G446" s="8">
        <f>IFERROR(VLOOKUP(A446,Flete!$A:$E,5,0),"")</f>
        <v/>
      </c>
      <c r="H446" s="7">
        <f>IFERROR(VLOOKUP(F446,TRAOPE!$AA:$AB,2,0),"")</f>
        <v/>
      </c>
      <c r="I446" s="7" t="n">
        <v>10000357</v>
      </c>
      <c r="J446" s="7">
        <f>IFERROR(VLOOKUP(I446,Materiales!$A:$H,8,0),"")</f>
        <v/>
      </c>
      <c r="K446" s="9">
        <f>IFERROR(VLOOKUP(I446,Materiales!$A:$G,7,0),"")</f>
        <v/>
      </c>
      <c r="L446" s="8" t="inlineStr">
        <is>
          <t>20190426</t>
        </is>
      </c>
      <c r="M446" s="8" t="inlineStr">
        <is>
          <t>20250127</t>
        </is>
      </c>
      <c r="N446" s="10" t="n">
        <v>110</v>
      </c>
      <c r="O446" s="10">
        <f>IFERROR(VLOOKUP(A446,Flete!$A:$J,10,0),"")</f>
        <v/>
      </c>
      <c r="P446" s="8" t="inlineStr">
        <is>
          <t>M3</t>
        </is>
      </c>
      <c r="Q446" s="10">
        <f>IFERROR(IFERROR(VLOOKUP(A446,TRAOPE!$A:$U,21,0),VLOOKUP(B446,TRAOPE!$A:$U,21,0)),"")</f>
        <v/>
      </c>
      <c r="R446" s="8">
        <f>IFERROR(IFERROR(VLOOKUP(A446,TRAOPE!$A:$W,23,0),VLOOKUP(B446,TRAOPE!$A:$W,23,0)),"")</f>
        <v/>
      </c>
      <c r="S446" s="10">
        <f>IF(AND(P446="TN",R446="TN"),N446+N(O446),IF(G446&amp;""="1",N(K446)*N446,(N446+N(O446))*N(K446)))</f>
        <v/>
      </c>
      <c r="T446" s="10">
        <f>IF(Q446="","",Q446-S446)</f>
        <v/>
      </c>
    </row>
    <row r="447">
      <c r="A447" s="7">
        <f>CONCATENATE(C447,E447,F447,I447)</f>
        <v/>
      </c>
      <c r="B447" s="7">
        <f>CONCATENATE(C447,E447,I447)</f>
        <v/>
      </c>
      <c r="C447" s="8" t="n">
        <v>900002574</v>
      </c>
      <c r="D447" s="7">
        <f>IFERROR(VLOOKUP(C447,TRAOPE!$G:$H,2,0),"")</f>
        <v/>
      </c>
      <c r="E447" s="8" t="inlineStr">
        <is>
          <t>D836</t>
        </is>
      </c>
      <c r="F447" s="8" t="inlineStr">
        <is>
          <t>66024400</t>
        </is>
      </c>
      <c r="G447" s="8">
        <f>IFERROR(VLOOKUP(A447,Flete!$A:$E,5,0),"")</f>
        <v/>
      </c>
      <c r="H447" s="7">
        <f>IFERROR(VLOOKUP(F447,TRAOPE!$AA:$AB,2,0),"")</f>
        <v/>
      </c>
      <c r="I447" s="7" t="n">
        <v>10000623</v>
      </c>
      <c r="J447" s="7">
        <f>IFERROR(VLOOKUP(I447,Materiales!$A:$H,8,0),"")</f>
        <v/>
      </c>
      <c r="K447" s="9">
        <f>IFERROR(VLOOKUP(I447,Materiales!$A:$G,7,0),"")</f>
        <v/>
      </c>
      <c r="L447" s="8" t="inlineStr">
        <is>
          <t>20190426</t>
        </is>
      </c>
      <c r="M447" s="8" t="inlineStr">
        <is>
          <t>20250127</t>
        </is>
      </c>
      <c r="N447" s="10" t="n">
        <v>138</v>
      </c>
      <c r="O447" s="10">
        <f>IFERROR(VLOOKUP(A447,Flete!$A:$J,10,0),"")</f>
        <v/>
      </c>
      <c r="P447" s="8" t="inlineStr">
        <is>
          <t>M3</t>
        </is>
      </c>
      <c r="Q447" s="10">
        <f>IFERROR(IFERROR(VLOOKUP(A447,TRAOPE!$A:$U,21,0),VLOOKUP(B447,TRAOPE!$A:$U,21,0)),"")</f>
        <v/>
      </c>
      <c r="R447" s="8">
        <f>IFERROR(IFERROR(VLOOKUP(A447,TRAOPE!$A:$W,23,0),VLOOKUP(B447,TRAOPE!$A:$W,23,0)),"")</f>
        <v/>
      </c>
      <c r="S447" s="10">
        <f>IF(AND(P447="TN",R447="TN"),N447+N(O447),IF(G447&amp;""="1",N(K447)*N447,(N447+N(O447))*N(K447)))</f>
        <v/>
      </c>
      <c r="T447" s="10">
        <f>IF(Q447="","",Q447-S447)</f>
        <v/>
      </c>
    </row>
    <row r="448">
      <c r="A448" s="7">
        <f>CONCATENATE(C448,E448,F448,I448)</f>
        <v/>
      </c>
      <c r="B448" s="7">
        <f>CONCATENATE(C448,E448,I448)</f>
        <v/>
      </c>
      <c r="C448" s="8" t="n">
        <v>900002574</v>
      </c>
      <c r="D448" s="7">
        <f>IFERROR(VLOOKUP(C448,TRAOPE!$G:$H,2,0),"")</f>
        <v/>
      </c>
      <c r="E448" s="8" t="inlineStr">
        <is>
          <t>D836</t>
        </is>
      </c>
      <c r="F448" s="8" t="inlineStr">
        <is>
          <t>66230098</t>
        </is>
      </c>
      <c r="G448" s="8">
        <f>IFERROR(VLOOKUP(A448,Flete!$A:$E,5,0),"")</f>
        <v/>
      </c>
      <c r="H448" s="7">
        <f>IFERROR(VLOOKUP(F448,TRAOPE!$AA:$AB,2,0),"")</f>
        <v/>
      </c>
      <c r="I448" s="7" t="n">
        <v>10000627</v>
      </c>
      <c r="J448" s="7">
        <f>IFERROR(VLOOKUP(I448,Materiales!$A:$H,8,0),"")</f>
        <v/>
      </c>
      <c r="K448" s="9">
        <f>IFERROR(VLOOKUP(I448,Materiales!$A:$G,7,0),"")</f>
        <v/>
      </c>
      <c r="L448" s="8" t="inlineStr">
        <is>
          <t>20190426</t>
        </is>
      </c>
      <c r="M448" s="8" t="inlineStr">
        <is>
          <t>20250127</t>
        </is>
      </c>
      <c r="N448" s="10" t="n">
        <v>95</v>
      </c>
      <c r="O448" s="10">
        <f>IFERROR(VLOOKUP(A448,Flete!$A:$J,10,0),"")</f>
        <v/>
      </c>
      <c r="P448" s="8" t="inlineStr">
        <is>
          <t>M3</t>
        </is>
      </c>
      <c r="Q448" s="10">
        <f>IFERROR(IFERROR(VLOOKUP(A448,TRAOPE!$A:$U,21,0),VLOOKUP(B448,TRAOPE!$A:$U,21,0)),"")</f>
        <v/>
      </c>
      <c r="R448" s="8">
        <f>IFERROR(IFERROR(VLOOKUP(A448,TRAOPE!$A:$W,23,0),VLOOKUP(B448,TRAOPE!$A:$W,23,0)),"")</f>
        <v/>
      </c>
      <c r="S448" s="10">
        <f>IF(AND(P448="TN",R448="TN"),N448+N(O448),IF(G448&amp;""="1",N(K448)*N448,(N448+N(O448))*N(K448)))</f>
        <v/>
      </c>
      <c r="T448" s="10">
        <f>IF(Q448="","",Q448-S448)</f>
        <v/>
      </c>
    </row>
    <row r="449">
      <c r="A449" s="7">
        <f>CONCATENATE(C449,E449,F449,I449)</f>
        <v/>
      </c>
      <c r="B449" s="7">
        <f>CONCATENATE(C449,E449,I449)</f>
        <v/>
      </c>
      <c r="C449" s="8" t="n">
        <v>900002574</v>
      </c>
      <c r="D449" s="7">
        <f>IFERROR(VLOOKUP(C449,TRAOPE!$G:$H,2,0),"")</f>
        <v/>
      </c>
      <c r="E449" s="8" t="inlineStr">
        <is>
          <t>D836</t>
        </is>
      </c>
      <c r="F449" s="8" t="inlineStr">
        <is>
          <t>66265944</t>
        </is>
      </c>
      <c r="G449" s="8">
        <f>IFERROR(VLOOKUP(A449,Flete!$A:$E,5,0),"")</f>
        <v/>
      </c>
      <c r="H449" s="7">
        <f>IFERROR(VLOOKUP(F449,TRAOPE!$AA:$AB,2,0),"")</f>
        <v/>
      </c>
      <c r="I449" s="7" t="n">
        <v>10000623</v>
      </c>
      <c r="J449" s="7">
        <f>IFERROR(VLOOKUP(I449,Materiales!$A:$H,8,0),"")</f>
        <v/>
      </c>
      <c r="K449" s="9">
        <f>IFERROR(VLOOKUP(I449,Materiales!$A:$G,7,0),"")</f>
        <v/>
      </c>
      <c r="L449" s="8" t="inlineStr">
        <is>
          <t>20190426</t>
        </is>
      </c>
      <c r="M449" s="8" t="inlineStr">
        <is>
          <t>20250127</t>
        </is>
      </c>
      <c r="N449" s="10" t="n">
        <v>138</v>
      </c>
      <c r="O449" s="10">
        <f>IFERROR(VLOOKUP(A449,Flete!$A:$J,10,0),"")</f>
        <v/>
      </c>
      <c r="P449" s="8" t="inlineStr">
        <is>
          <t>M3</t>
        </is>
      </c>
      <c r="Q449" s="10">
        <f>IFERROR(IFERROR(VLOOKUP(A449,TRAOPE!$A:$U,21,0),VLOOKUP(B449,TRAOPE!$A:$U,21,0)),"")</f>
        <v/>
      </c>
      <c r="R449" s="8">
        <f>IFERROR(IFERROR(VLOOKUP(A449,TRAOPE!$A:$W,23,0),VLOOKUP(B449,TRAOPE!$A:$W,23,0)),"")</f>
        <v/>
      </c>
      <c r="S449" s="10">
        <f>IF(AND(P449="TN",R449="TN"),N449+N(O449),IF(G449&amp;""="1",N(K449)*N449,(N449+N(O449))*N(K449)))</f>
        <v/>
      </c>
      <c r="T449" s="10">
        <f>IF(Q449="","",Q449-S449)</f>
        <v/>
      </c>
    </row>
    <row r="450">
      <c r="A450" s="7">
        <f>CONCATENATE(C450,E450,F450,I450)</f>
        <v/>
      </c>
      <c r="B450" s="7">
        <f>CONCATENATE(C450,E450,I450)</f>
        <v/>
      </c>
      <c r="C450" s="8" t="n">
        <v>900002574</v>
      </c>
      <c r="D450" s="7">
        <f>IFERROR(VLOOKUP(C450,TRAOPE!$G:$H,2,0),"")</f>
        <v/>
      </c>
      <c r="E450" s="8" t="inlineStr">
        <is>
          <t>D836</t>
        </is>
      </c>
      <c r="F450" s="8" t="inlineStr">
        <is>
          <t>66272739</t>
        </is>
      </c>
      <c r="G450" s="8">
        <f>IFERROR(VLOOKUP(A450,Flete!$A:$E,5,0),"")</f>
        <v/>
      </c>
      <c r="H450" s="7">
        <f>IFERROR(VLOOKUP(F450,TRAOPE!$AA:$AB,2,0),"")</f>
        <v/>
      </c>
      <c r="I450" s="7" t="n">
        <v>10000160</v>
      </c>
      <c r="J450" s="7">
        <f>IFERROR(VLOOKUP(I450,Materiales!$A:$H,8,0),"")</f>
        <v/>
      </c>
      <c r="K450" s="9">
        <f>IFERROR(VLOOKUP(I450,Materiales!$A:$G,7,0),"")</f>
        <v/>
      </c>
      <c r="L450" s="8" t="inlineStr">
        <is>
          <t>20190426</t>
        </is>
      </c>
      <c r="M450" s="8" t="inlineStr">
        <is>
          <t>20250127</t>
        </is>
      </c>
      <c r="N450" s="10" t="n">
        <v>85</v>
      </c>
      <c r="O450" s="10">
        <f>IFERROR(VLOOKUP(A450,Flete!$A:$J,10,0),"")</f>
        <v/>
      </c>
      <c r="P450" s="8" t="inlineStr">
        <is>
          <t>M3</t>
        </is>
      </c>
      <c r="Q450" s="10">
        <f>IFERROR(IFERROR(VLOOKUP(A450,TRAOPE!$A:$U,21,0),VLOOKUP(B450,TRAOPE!$A:$U,21,0)),"")</f>
        <v/>
      </c>
      <c r="R450" s="8">
        <f>IFERROR(IFERROR(VLOOKUP(A450,TRAOPE!$A:$W,23,0),VLOOKUP(B450,TRAOPE!$A:$W,23,0)),"")</f>
        <v/>
      </c>
      <c r="S450" s="10">
        <f>IF(AND(P450="TN",R450="TN"),N450+N(O450),IF(G450&amp;""="1",N(K450)*N450,(N450+N(O450))*N(K450)))</f>
        <v/>
      </c>
      <c r="T450" s="10">
        <f>IF(Q450="","",Q450-S450)</f>
        <v/>
      </c>
    </row>
    <row r="451">
      <c r="A451" s="7">
        <f>CONCATENATE(C451,E451,F451,I451)</f>
        <v/>
      </c>
      <c r="B451" s="7">
        <f>CONCATENATE(C451,E451,I451)</f>
        <v/>
      </c>
      <c r="C451" s="8" t="n">
        <v>900002574</v>
      </c>
      <c r="D451" s="7">
        <f>IFERROR(VLOOKUP(C451,TRAOPE!$G:$H,2,0),"")</f>
        <v/>
      </c>
      <c r="E451" s="8" t="inlineStr">
        <is>
          <t>D836</t>
        </is>
      </c>
      <c r="F451" s="8" t="inlineStr">
        <is>
          <t>66279410</t>
        </is>
      </c>
      <c r="G451" s="8">
        <f>IFERROR(VLOOKUP(A451,Flete!$A:$E,5,0),"")</f>
        <v/>
      </c>
      <c r="H451" s="7">
        <f>IFERROR(VLOOKUP(F451,TRAOPE!$AA:$AB,2,0),"")</f>
        <v/>
      </c>
      <c r="I451" s="7" t="n">
        <v>10000623</v>
      </c>
      <c r="J451" s="7">
        <f>IFERROR(VLOOKUP(I451,Materiales!$A:$H,8,0),"")</f>
        <v/>
      </c>
      <c r="K451" s="9">
        <f>IFERROR(VLOOKUP(I451,Materiales!$A:$G,7,0),"")</f>
        <v/>
      </c>
      <c r="L451" s="8" t="inlineStr">
        <is>
          <t>20190426</t>
        </is>
      </c>
      <c r="M451" s="8" t="inlineStr">
        <is>
          <t>20250127</t>
        </is>
      </c>
      <c r="N451" s="10" t="n">
        <v>138</v>
      </c>
      <c r="O451" s="10">
        <f>IFERROR(VLOOKUP(A451,Flete!$A:$J,10,0),"")</f>
        <v/>
      </c>
      <c r="P451" s="8" t="inlineStr">
        <is>
          <t>M3</t>
        </is>
      </c>
      <c r="Q451" s="10">
        <f>IFERROR(IFERROR(VLOOKUP(A451,TRAOPE!$A:$U,21,0),VLOOKUP(B451,TRAOPE!$A:$U,21,0)),"")</f>
        <v/>
      </c>
      <c r="R451" s="8">
        <f>IFERROR(IFERROR(VLOOKUP(A451,TRAOPE!$A:$W,23,0),VLOOKUP(B451,TRAOPE!$A:$W,23,0)),"")</f>
        <v/>
      </c>
      <c r="S451" s="10">
        <f>IF(AND(P451="TN",R451="TN"),N451+N(O451),IF(G451&amp;""="1",N(K451)*N451,(N451+N(O451))*N(K451)))</f>
        <v/>
      </c>
      <c r="T451" s="10">
        <f>IF(Q451="","",Q451-S451)</f>
        <v/>
      </c>
    </row>
    <row r="452">
      <c r="A452" s="7">
        <f>CONCATENATE(C452,E452,F452,I452)</f>
        <v/>
      </c>
      <c r="B452" s="7">
        <f>CONCATENATE(C452,E452,I452)</f>
        <v/>
      </c>
      <c r="C452" s="8" t="n">
        <v>900002574</v>
      </c>
      <c r="D452" s="7">
        <f>IFERROR(VLOOKUP(C452,TRAOPE!$G:$H,2,0),"")</f>
        <v/>
      </c>
      <c r="E452" s="8" t="inlineStr">
        <is>
          <t>D836</t>
        </is>
      </c>
      <c r="F452" s="8" t="inlineStr">
        <is>
          <t>66297168</t>
        </is>
      </c>
      <c r="G452" s="8">
        <f>IFERROR(VLOOKUP(A452,Flete!$A:$E,5,0),"")</f>
        <v/>
      </c>
      <c r="H452" s="7">
        <f>IFERROR(VLOOKUP(F452,TRAOPE!$AA:$AB,2,0),"")</f>
        <v/>
      </c>
      <c r="I452" s="7" t="n">
        <v>10000624</v>
      </c>
      <c r="J452" s="7">
        <f>IFERROR(VLOOKUP(I452,Materiales!$A:$H,8,0),"")</f>
        <v/>
      </c>
      <c r="K452" s="9">
        <f>IFERROR(VLOOKUP(I452,Materiales!$A:$G,7,0),"")</f>
        <v/>
      </c>
      <c r="L452" s="8" t="inlineStr">
        <is>
          <t>20190426</t>
        </is>
      </c>
      <c r="M452" s="8" t="inlineStr">
        <is>
          <t>20250127</t>
        </is>
      </c>
      <c r="N452" s="10" t="n">
        <v>210</v>
      </c>
      <c r="O452" s="10">
        <f>IFERROR(VLOOKUP(A452,Flete!$A:$J,10,0),"")</f>
        <v/>
      </c>
      <c r="P452" s="8" t="inlineStr">
        <is>
          <t>M3</t>
        </is>
      </c>
      <c r="Q452" s="10">
        <f>IFERROR(IFERROR(VLOOKUP(A452,TRAOPE!$A:$U,21,0),VLOOKUP(B452,TRAOPE!$A:$U,21,0)),"")</f>
        <v/>
      </c>
      <c r="R452" s="8">
        <f>IFERROR(IFERROR(VLOOKUP(A452,TRAOPE!$A:$W,23,0),VLOOKUP(B452,TRAOPE!$A:$W,23,0)),"")</f>
        <v/>
      </c>
      <c r="S452" s="10">
        <f>IF(AND(P452="TN",R452="TN"),N452+N(O452),IF(G452&amp;""="1",N(K452)*N452,(N452+N(O452))*N(K452)))</f>
        <v/>
      </c>
      <c r="T452" s="10">
        <f>IF(Q452="","",Q452-S452)</f>
        <v/>
      </c>
    </row>
    <row r="453">
      <c r="A453" s="7">
        <f>CONCATENATE(C453,E453,F453,I453)</f>
        <v/>
      </c>
      <c r="B453" s="7">
        <f>CONCATENATE(C453,E453,I453)</f>
        <v/>
      </c>
      <c r="C453" s="8" t="n">
        <v>900002574</v>
      </c>
      <c r="D453" s="7">
        <f>IFERROR(VLOOKUP(C453,TRAOPE!$G:$H,2,0),"")</f>
        <v/>
      </c>
      <c r="E453" s="8" t="inlineStr">
        <is>
          <t>D836</t>
        </is>
      </c>
      <c r="F453" s="8" t="inlineStr">
        <is>
          <t>66433511</t>
        </is>
      </c>
      <c r="G453" s="8">
        <f>IFERROR(VLOOKUP(A453,Flete!$A:$E,5,0),"")</f>
        <v/>
      </c>
      <c r="H453" s="7">
        <f>IFERROR(VLOOKUP(F453,TRAOPE!$AA:$AB,2,0),"")</f>
        <v/>
      </c>
      <c r="I453" s="7" t="n">
        <v>10000133</v>
      </c>
      <c r="J453" s="7">
        <f>IFERROR(VLOOKUP(I453,Materiales!$A:$H,8,0),"")</f>
        <v/>
      </c>
      <c r="K453" s="9">
        <f>IFERROR(VLOOKUP(I453,Materiales!$A:$G,7,0),"")</f>
        <v/>
      </c>
      <c r="L453" s="8" t="inlineStr">
        <is>
          <t>20190426</t>
        </is>
      </c>
      <c r="M453" s="8" t="inlineStr">
        <is>
          <t>20250127</t>
        </is>
      </c>
      <c r="N453" s="10" t="n">
        <v>825</v>
      </c>
      <c r="O453" s="10">
        <f>IFERROR(VLOOKUP(A453,Flete!$A:$J,10,0),"")</f>
        <v/>
      </c>
      <c r="P453" s="8" t="inlineStr">
        <is>
          <t>M3</t>
        </is>
      </c>
      <c r="Q453" s="10">
        <f>IFERROR(IFERROR(VLOOKUP(A453,TRAOPE!$A:$U,21,0),VLOOKUP(B453,TRAOPE!$A:$U,21,0)),"")</f>
        <v/>
      </c>
      <c r="R453" s="8">
        <f>IFERROR(IFERROR(VLOOKUP(A453,TRAOPE!$A:$W,23,0),VLOOKUP(B453,TRAOPE!$A:$W,23,0)),"")</f>
        <v/>
      </c>
      <c r="S453" s="10">
        <f>IF(AND(P453="TN",R453="TN"),N453+N(O453),IF(G453&amp;""="1",N(K453)*N453,(N453+N(O453))*N(K453)))</f>
        <v/>
      </c>
      <c r="T453" s="10">
        <f>IF(Q453="","",Q453-S453)</f>
        <v/>
      </c>
    </row>
    <row r="454">
      <c r="A454" s="7">
        <f>CONCATENATE(C454,E454,F454,I454)</f>
        <v/>
      </c>
      <c r="B454" s="7">
        <f>CONCATENATE(C454,E454,I454)</f>
        <v/>
      </c>
      <c r="C454" s="8" t="n">
        <v>900002574</v>
      </c>
      <c r="D454" s="7">
        <f>IFERROR(VLOOKUP(C454,TRAOPE!$G:$H,2,0),"")</f>
        <v/>
      </c>
      <c r="E454" s="8" t="inlineStr">
        <is>
          <t>D836</t>
        </is>
      </c>
      <c r="F454" s="8" t="inlineStr">
        <is>
          <t>66433511</t>
        </is>
      </c>
      <c r="G454" s="8">
        <f>IFERROR(VLOOKUP(A454,Flete!$A:$E,5,0),"")</f>
        <v/>
      </c>
      <c r="H454" s="7">
        <f>IFERROR(VLOOKUP(F454,TRAOPE!$AA:$AB,2,0),"")</f>
        <v/>
      </c>
      <c r="I454" s="7" t="n">
        <v>10058345</v>
      </c>
      <c r="J454" s="7">
        <f>IFERROR(VLOOKUP(I454,Materiales!$A:$H,8,0),"")</f>
        <v/>
      </c>
      <c r="K454" s="9">
        <f>IFERROR(VLOOKUP(I454,Materiales!$A:$G,7,0),"")</f>
        <v/>
      </c>
      <c r="L454" s="8" t="inlineStr">
        <is>
          <t>20190426</t>
        </is>
      </c>
      <c r="M454" s="8" t="inlineStr">
        <is>
          <t>20250127</t>
        </is>
      </c>
      <c r="N454" s="10" t="n">
        <v>750</v>
      </c>
      <c r="O454" s="10">
        <f>IFERROR(VLOOKUP(A454,Flete!$A:$J,10,0),"")</f>
        <v/>
      </c>
      <c r="P454" s="8" t="inlineStr">
        <is>
          <t>M3</t>
        </is>
      </c>
      <c r="Q454" s="10">
        <f>IFERROR(IFERROR(VLOOKUP(A454,TRAOPE!$A:$U,21,0),VLOOKUP(B454,TRAOPE!$A:$U,21,0)),"")</f>
        <v/>
      </c>
      <c r="R454" s="8">
        <f>IFERROR(IFERROR(VLOOKUP(A454,TRAOPE!$A:$W,23,0),VLOOKUP(B454,TRAOPE!$A:$W,23,0)),"")</f>
        <v/>
      </c>
      <c r="S454" s="10">
        <f>IF(AND(P454="TN",R454="TN"),N454+N(O454),IF(G454&amp;""="1",N(K454)*N454,(N454+N(O454))*N(K454)))</f>
        <v/>
      </c>
      <c r="T454" s="10">
        <f>IF(Q454="","",Q454-S454)</f>
        <v/>
      </c>
    </row>
    <row r="455">
      <c r="A455" s="7">
        <f>CONCATENATE(C455,E455,F455,I455)</f>
        <v/>
      </c>
      <c r="B455" s="7">
        <f>CONCATENATE(C455,E455,I455)</f>
        <v/>
      </c>
      <c r="C455" s="8" t="n">
        <v>900002574</v>
      </c>
      <c r="D455" s="7">
        <f>IFERROR(VLOOKUP(C455,TRAOPE!$G:$H,2,0),"")</f>
        <v/>
      </c>
      <c r="E455" s="8" t="inlineStr">
        <is>
          <t>D836</t>
        </is>
      </c>
      <c r="F455" s="8" t="inlineStr">
        <is>
          <t>66485981</t>
        </is>
      </c>
      <c r="G455" s="8">
        <f>IFERROR(VLOOKUP(A455,Flete!$A:$E,5,0),"")</f>
        <v/>
      </c>
      <c r="H455" s="7">
        <f>IFERROR(VLOOKUP(F455,TRAOPE!$AA:$AB,2,0),"")</f>
        <v/>
      </c>
      <c r="I455" s="7" t="n">
        <v>10000160</v>
      </c>
      <c r="J455" s="7">
        <f>IFERROR(VLOOKUP(I455,Materiales!$A:$H,8,0),"")</f>
        <v/>
      </c>
      <c r="K455" s="9">
        <f>IFERROR(VLOOKUP(I455,Materiales!$A:$G,7,0),"")</f>
        <v/>
      </c>
      <c r="L455" s="8" t="inlineStr">
        <is>
          <t>20190426</t>
        </is>
      </c>
      <c r="M455" s="8" t="inlineStr">
        <is>
          <t>20250127</t>
        </is>
      </c>
      <c r="N455" s="10" t="n">
        <v>200</v>
      </c>
      <c r="O455" s="10">
        <f>IFERROR(VLOOKUP(A455,Flete!$A:$J,10,0),"")</f>
        <v/>
      </c>
      <c r="P455" s="8" t="inlineStr">
        <is>
          <t>M3</t>
        </is>
      </c>
      <c r="Q455" s="10">
        <f>IFERROR(IFERROR(VLOOKUP(A455,TRAOPE!$A:$U,21,0),VLOOKUP(B455,TRAOPE!$A:$U,21,0)),"")</f>
        <v/>
      </c>
      <c r="R455" s="8">
        <f>IFERROR(IFERROR(VLOOKUP(A455,TRAOPE!$A:$W,23,0),VLOOKUP(B455,TRAOPE!$A:$W,23,0)),"")</f>
        <v/>
      </c>
      <c r="S455" s="10">
        <f>IF(AND(P455="TN",R455="TN"),N455+N(O455),IF(G455&amp;""="1",N(K455)*N455,(N455+N(O455))*N(K455)))</f>
        <v/>
      </c>
      <c r="T455" s="10">
        <f>IF(Q455="","",Q455-S455)</f>
        <v/>
      </c>
    </row>
    <row r="456">
      <c r="A456" s="7">
        <f>CONCATENATE(C456,E456,F456,I456)</f>
        <v/>
      </c>
      <c r="B456" s="7">
        <f>CONCATENATE(C456,E456,I456)</f>
        <v/>
      </c>
      <c r="C456" s="8" t="n">
        <v>900002574</v>
      </c>
      <c r="D456" s="7">
        <f>IFERROR(VLOOKUP(C456,TRAOPE!$G:$H,2,0),"")</f>
        <v/>
      </c>
      <c r="E456" s="8" t="inlineStr">
        <is>
          <t>D836</t>
        </is>
      </c>
      <c r="F456" s="8" t="inlineStr">
        <is>
          <t>66485981</t>
        </is>
      </c>
      <c r="G456" s="8">
        <f>IFERROR(VLOOKUP(A456,Flete!$A:$E,5,0),"")</f>
        <v/>
      </c>
      <c r="H456" s="7">
        <f>IFERROR(VLOOKUP(F456,TRAOPE!$AA:$AB,2,0),"")</f>
        <v/>
      </c>
      <c r="I456" s="7" t="n">
        <v>10000357</v>
      </c>
      <c r="J456" s="7">
        <f>IFERROR(VLOOKUP(I456,Materiales!$A:$H,8,0),"")</f>
        <v/>
      </c>
      <c r="K456" s="9">
        <f>IFERROR(VLOOKUP(I456,Materiales!$A:$G,7,0),"")</f>
        <v/>
      </c>
      <c r="L456" s="8" t="inlineStr">
        <is>
          <t>20190426</t>
        </is>
      </c>
      <c r="M456" s="8" t="inlineStr">
        <is>
          <t>20250127</t>
        </is>
      </c>
      <c r="N456" s="10" t="n">
        <v>205</v>
      </c>
      <c r="O456" s="10">
        <f>IFERROR(VLOOKUP(A456,Flete!$A:$J,10,0),"")</f>
        <v/>
      </c>
      <c r="P456" s="8" t="inlineStr">
        <is>
          <t>M3</t>
        </is>
      </c>
      <c r="Q456" s="10">
        <f>IFERROR(IFERROR(VLOOKUP(A456,TRAOPE!$A:$U,21,0),VLOOKUP(B456,TRAOPE!$A:$U,21,0)),"")</f>
        <v/>
      </c>
      <c r="R456" s="8">
        <f>IFERROR(IFERROR(VLOOKUP(A456,TRAOPE!$A:$W,23,0),VLOOKUP(B456,TRAOPE!$A:$W,23,0)),"")</f>
        <v/>
      </c>
      <c r="S456" s="10">
        <f>IF(AND(P456="TN",R456="TN"),N456+N(O456),IF(G456&amp;""="1",N(K456)*N456,(N456+N(O456))*N(K456)))</f>
        <v/>
      </c>
      <c r="T456" s="10">
        <f>IF(Q456="","",Q456-S456)</f>
        <v/>
      </c>
    </row>
    <row r="457">
      <c r="A457" s="7">
        <f>CONCATENATE(C457,E457,F457,I457)</f>
        <v/>
      </c>
      <c r="B457" s="7">
        <f>CONCATENATE(C457,E457,I457)</f>
        <v/>
      </c>
      <c r="C457" s="8" t="n">
        <v>900002574</v>
      </c>
      <c r="D457" s="7">
        <f>IFERROR(VLOOKUP(C457,TRAOPE!$G:$H,2,0),"")</f>
        <v/>
      </c>
      <c r="E457" s="8" t="inlineStr">
        <is>
          <t>D836</t>
        </is>
      </c>
      <c r="F457" s="8" t="inlineStr">
        <is>
          <t>66486059</t>
        </is>
      </c>
      <c r="G457" s="8">
        <f>IFERROR(VLOOKUP(A457,Flete!$A:$E,5,0),"")</f>
        <v/>
      </c>
      <c r="H457" s="7">
        <f>IFERROR(VLOOKUP(F457,TRAOPE!$AA:$AB,2,0),"")</f>
        <v/>
      </c>
      <c r="I457" s="7" t="n">
        <v>10000160</v>
      </c>
      <c r="J457" s="7">
        <f>IFERROR(VLOOKUP(I457,Materiales!$A:$H,8,0),"")</f>
        <v/>
      </c>
      <c r="K457" s="9">
        <f>IFERROR(VLOOKUP(I457,Materiales!$A:$G,7,0),"")</f>
        <v/>
      </c>
      <c r="L457" s="8" t="inlineStr">
        <is>
          <t>20190426</t>
        </is>
      </c>
      <c r="M457" s="8" t="inlineStr">
        <is>
          <t>20250127</t>
        </is>
      </c>
      <c r="N457" s="10" t="n">
        <v>112.41</v>
      </c>
      <c r="O457" s="10">
        <f>IFERROR(VLOOKUP(A457,Flete!$A:$J,10,0),"")</f>
        <v/>
      </c>
      <c r="P457" s="8" t="inlineStr">
        <is>
          <t>M3</t>
        </is>
      </c>
      <c r="Q457" s="10">
        <f>IFERROR(IFERROR(VLOOKUP(A457,TRAOPE!$A:$U,21,0),VLOOKUP(B457,TRAOPE!$A:$U,21,0)),"")</f>
        <v/>
      </c>
      <c r="R457" s="8">
        <f>IFERROR(IFERROR(VLOOKUP(A457,TRAOPE!$A:$W,23,0),VLOOKUP(B457,TRAOPE!$A:$W,23,0)),"")</f>
        <v/>
      </c>
      <c r="S457" s="10">
        <f>IF(AND(P457="TN",R457="TN"),N457+N(O457),IF(G457&amp;""="1",N(K457)*N457,(N457+N(O457))*N(K457)))</f>
        <v/>
      </c>
      <c r="T457" s="10">
        <f>IF(Q457="","",Q457-S457)</f>
        <v/>
      </c>
    </row>
    <row r="458">
      <c r="A458" s="7">
        <f>CONCATENATE(C458,E458,F458,I458)</f>
        <v/>
      </c>
      <c r="B458" s="7">
        <f>CONCATENATE(C458,E458,I458)</f>
        <v/>
      </c>
      <c r="C458" s="8" t="n">
        <v>900002574</v>
      </c>
      <c r="D458" s="7">
        <f>IFERROR(VLOOKUP(C458,TRAOPE!$G:$H,2,0),"")</f>
        <v/>
      </c>
      <c r="E458" s="8" t="inlineStr">
        <is>
          <t>D836</t>
        </is>
      </c>
      <c r="F458" s="8" t="inlineStr">
        <is>
          <t>66486059</t>
        </is>
      </c>
      <c r="G458" s="8">
        <f>IFERROR(VLOOKUP(A458,Flete!$A:$E,5,0),"")</f>
        <v/>
      </c>
      <c r="H458" s="7">
        <f>IFERROR(VLOOKUP(F458,TRAOPE!$AA:$AB,2,0),"")</f>
        <v/>
      </c>
      <c r="I458" s="7" t="n">
        <v>10000206</v>
      </c>
      <c r="J458" s="7">
        <f>IFERROR(VLOOKUP(I458,Materiales!$A:$H,8,0),"")</f>
        <v/>
      </c>
      <c r="K458" s="9">
        <f>IFERROR(VLOOKUP(I458,Materiales!$A:$G,7,0),"")</f>
        <v/>
      </c>
      <c r="L458" s="8" t="inlineStr">
        <is>
          <t>20190426</t>
        </is>
      </c>
      <c r="M458" s="8" t="inlineStr">
        <is>
          <t>20250127</t>
        </is>
      </c>
      <c r="N458" s="10" t="n">
        <v>22.41</v>
      </c>
      <c r="O458" s="10">
        <f>IFERROR(VLOOKUP(A458,Flete!$A:$J,10,0),"")</f>
        <v/>
      </c>
      <c r="P458" s="8" t="inlineStr">
        <is>
          <t>M3</t>
        </is>
      </c>
      <c r="Q458" s="10">
        <f>IFERROR(IFERROR(VLOOKUP(A458,TRAOPE!$A:$U,21,0),VLOOKUP(B458,TRAOPE!$A:$U,21,0)),"")</f>
        <v/>
      </c>
      <c r="R458" s="8">
        <f>IFERROR(IFERROR(VLOOKUP(A458,TRAOPE!$A:$W,23,0),VLOOKUP(B458,TRAOPE!$A:$W,23,0)),"")</f>
        <v/>
      </c>
      <c r="S458" s="10">
        <f>IF(AND(P458="TN",R458="TN"),N458+N(O458),IF(G458&amp;""="1",N(K458)*N458,(N458+N(O458))*N(K458)))</f>
        <v/>
      </c>
      <c r="T458" s="10">
        <f>IF(Q458="","",Q458-S458)</f>
        <v/>
      </c>
    </row>
    <row r="459">
      <c r="A459" s="7">
        <f>CONCATENATE(C459,E459,F459,I459)</f>
        <v/>
      </c>
      <c r="B459" s="7">
        <f>CONCATENATE(C459,E459,I459)</f>
        <v/>
      </c>
      <c r="C459" s="8" t="n">
        <v>900002574</v>
      </c>
      <c r="D459" s="7">
        <f>IFERROR(VLOOKUP(C459,TRAOPE!$G:$H,2,0),"")</f>
        <v/>
      </c>
      <c r="E459" s="8" t="inlineStr">
        <is>
          <t>D836</t>
        </is>
      </c>
      <c r="F459" s="8" t="inlineStr">
        <is>
          <t>66486059</t>
        </is>
      </c>
      <c r="G459" s="8">
        <f>IFERROR(VLOOKUP(A459,Flete!$A:$E,5,0),"")</f>
        <v/>
      </c>
      <c r="H459" s="7">
        <f>IFERROR(VLOOKUP(F459,TRAOPE!$AA:$AB,2,0),"")</f>
        <v/>
      </c>
      <c r="I459" s="7" t="n">
        <v>10000357</v>
      </c>
      <c r="J459" s="7">
        <f>IFERROR(VLOOKUP(I459,Materiales!$A:$H,8,0),"")</f>
        <v/>
      </c>
      <c r="K459" s="9">
        <f>IFERROR(VLOOKUP(I459,Materiales!$A:$G,7,0),"")</f>
        <v/>
      </c>
      <c r="L459" s="8" t="inlineStr">
        <is>
          <t>20190426</t>
        </is>
      </c>
      <c r="M459" s="8" t="inlineStr">
        <is>
          <t>20250127</t>
        </is>
      </c>
      <c r="N459" s="10" t="n">
        <v>127.41</v>
      </c>
      <c r="O459" s="10">
        <f>IFERROR(VLOOKUP(A459,Flete!$A:$J,10,0),"")</f>
        <v/>
      </c>
      <c r="P459" s="8" t="inlineStr">
        <is>
          <t>M3</t>
        </is>
      </c>
      <c r="Q459" s="10">
        <f>IFERROR(IFERROR(VLOOKUP(A459,TRAOPE!$A:$U,21,0),VLOOKUP(B459,TRAOPE!$A:$U,21,0)),"")</f>
        <v/>
      </c>
      <c r="R459" s="8">
        <f>IFERROR(IFERROR(VLOOKUP(A459,TRAOPE!$A:$W,23,0),VLOOKUP(B459,TRAOPE!$A:$W,23,0)),"")</f>
        <v/>
      </c>
      <c r="S459" s="10">
        <f>IF(AND(P459="TN",R459="TN"),N459+N(O459),IF(G459&amp;""="1",N(K459)*N459,(N459+N(O459))*N(K459)))</f>
        <v/>
      </c>
      <c r="T459" s="10">
        <f>IF(Q459="","",Q459-S459)</f>
        <v/>
      </c>
    </row>
    <row r="460">
      <c r="A460" s="7">
        <f>CONCATENATE(C460,E460,F460,I460)</f>
        <v/>
      </c>
      <c r="B460" s="7">
        <f>CONCATENATE(C460,E460,I460)</f>
        <v/>
      </c>
      <c r="C460" s="8" t="n">
        <v>900002574</v>
      </c>
      <c r="D460" s="7">
        <f>IFERROR(VLOOKUP(C460,TRAOPE!$G:$H,2,0),"")</f>
        <v/>
      </c>
      <c r="E460" s="8" t="inlineStr">
        <is>
          <t>D836</t>
        </is>
      </c>
      <c r="F460" s="8" t="inlineStr">
        <is>
          <t>66490957</t>
        </is>
      </c>
      <c r="G460" s="8">
        <f>IFERROR(VLOOKUP(A460,Flete!$A:$E,5,0),"")</f>
        <v/>
      </c>
      <c r="H460" s="7">
        <f>IFERROR(VLOOKUP(F460,TRAOPE!$AA:$AB,2,0),"")</f>
        <v/>
      </c>
      <c r="I460" s="7" t="n">
        <v>10000651</v>
      </c>
      <c r="J460" s="7">
        <f>IFERROR(VLOOKUP(I460,Materiales!$A:$H,8,0),"")</f>
        <v/>
      </c>
      <c r="K460" s="9">
        <f>IFERROR(VLOOKUP(I460,Materiales!$A:$G,7,0),"")</f>
        <v/>
      </c>
      <c r="L460" s="8" t="inlineStr">
        <is>
          <t>20190426</t>
        </is>
      </c>
      <c r="M460" s="8" t="inlineStr">
        <is>
          <t>20250127</t>
        </is>
      </c>
      <c r="N460" s="10" t="n">
        <v>110</v>
      </c>
      <c r="O460" s="10">
        <f>IFERROR(VLOOKUP(A460,Flete!$A:$J,10,0),"")</f>
        <v/>
      </c>
      <c r="P460" s="8" t="inlineStr">
        <is>
          <t>M3</t>
        </is>
      </c>
      <c r="Q460" s="10">
        <f>IFERROR(IFERROR(VLOOKUP(A460,TRAOPE!$A:$U,21,0),VLOOKUP(B460,TRAOPE!$A:$U,21,0)),"")</f>
        <v/>
      </c>
      <c r="R460" s="8">
        <f>IFERROR(IFERROR(VLOOKUP(A460,TRAOPE!$A:$W,23,0),VLOOKUP(B460,TRAOPE!$A:$W,23,0)),"")</f>
        <v/>
      </c>
      <c r="S460" s="10">
        <f>IF(AND(P460="TN",R460="TN"),N460+N(O460),IF(G460&amp;""="1",N(K460)*N460,(N460+N(O460))*N(K460)))</f>
        <v/>
      </c>
      <c r="T460" s="10">
        <f>IF(Q460="","",Q460-S460)</f>
        <v/>
      </c>
    </row>
    <row r="461">
      <c r="A461" s="7">
        <f>CONCATENATE(C461,E461,F461,I461)</f>
        <v/>
      </c>
      <c r="B461" s="7">
        <f>CONCATENATE(C461,E461,I461)</f>
        <v/>
      </c>
      <c r="C461" s="8" t="n">
        <v>900002574</v>
      </c>
      <c r="D461" s="7">
        <f>IFERROR(VLOOKUP(C461,TRAOPE!$G:$H,2,0),"")</f>
        <v/>
      </c>
      <c r="E461" s="8" t="inlineStr">
        <is>
          <t>D836</t>
        </is>
      </c>
      <c r="F461" s="8" t="inlineStr">
        <is>
          <t>66526341</t>
        </is>
      </c>
      <c r="G461" s="8">
        <f>IFERROR(VLOOKUP(A461,Flete!$A:$E,5,0),"")</f>
        <v/>
      </c>
      <c r="H461" s="7">
        <f>IFERROR(VLOOKUP(F461,TRAOPE!$AA:$AB,2,0),"")</f>
        <v/>
      </c>
      <c r="I461" s="7" t="n">
        <v>10000206</v>
      </c>
      <c r="J461" s="7">
        <f>IFERROR(VLOOKUP(I461,Materiales!$A:$H,8,0),"")</f>
        <v/>
      </c>
      <c r="K461" s="9">
        <f>IFERROR(VLOOKUP(I461,Materiales!$A:$G,7,0),"")</f>
        <v/>
      </c>
      <c r="L461" s="8" t="inlineStr">
        <is>
          <t>20190426</t>
        </is>
      </c>
      <c r="M461" s="8" t="inlineStr">
        <is>
          <t>20250127</t>
        </is>
      </c>
      <c r="N461" s="10" t="n">
        <v>26.23</v>
      </c>
      <c r="O461" s="10">
        <f>IFERROR(VLOOKUP(A461,Flete!$A:$J,10,0),"")</f>
        <v/>
      </c>
      <c r="P461" s="8" t="inlineStr">
        <is>
          <t>M3</t>
        </is>
      </c>
      <c r="Q461" s="10">
        <f>IFERROR(IFERROR(VLOOKUP(A461,TRAOPE!$A:$U,21,0),VLOOKUP(B461,TRAOPE!$A:$U,21,0)),"")</f>
        <v/>
      </c>
      <c r="R461" s="8">
        <f>IFERROR(IFERROR(VLOOKUP(A461,TRAOPE!$A:$W,23,0),VLOOKUP(B461,TRAOPE!$A:$W,23,0)),"")</f>
        <v/>
      </c>
      <c r="S461" s="10">
        <f>IF(AND(P461="TN",R461="TN"),N461+N(O461),IF(G461&amp;""="1",N(K461)*N461,(N461+N(O461))*N(K461)))</f>
        <v/>
      </c>
      <c r="T461" s="10">
        <f>IF(Q461="","",Q461-S461)</f>
        <v/>
      </c>
    </row>
    <row r="462">
      <c r="A462" s="7">
        <f>CONCATENATE(C462,E462,F462,I462)</f>
        <v/>
      </c>
      <c r="B462" s="7">
        <f>CONCATENATE(C462,E462,I462)</f>
        <v/>
      </c>
      <c r="C462" s="8" t="n">
        <v>900002574</v>
      </c>
      <c r="D462" s="7">
        <f>IFERROR(VLOOKUP(C462,TRAOPE!$G:$H,2,0),"")</f>
        <v/>
      </c>
      <c r="E462" s="8" t="inlineStr">
        <is>
          <t>D836</t>
        </is>
      </c>
      <c r="F462" s="8" t="inlineStr">
        <is>
          <t>66526343</t>
        </is>
      </c>
      <c r="G462" s="8">
        <f>IFERROR(VLOOKUP(A462,Flete!$A:$E,5,0),"")</f>
        <v/>
      </c>
      <c r="H462" s="7">
        <f>IFERROR(VLOOKUP(F462,TRAOPE!$AA:$AB,2,0),"")</f>
        <v/>
      </c>
      <c r="I462" s="7" t="n">
        <v>10000206</v>
      </c>
      <c r="J462" s="7">
        <f>IFERROR(VLOOKUP(I462,Materiales!$A:$H,8,0),"")</f>
        <v/>
      </c>
      <c r="K462" s="9">
        <f>IFERROR(VLOOKUP(I462,Materiales!$A:$G,7,0),"")</f>
        <v/>
      </c>
      <c r="L462" s="8" t="inlineStr">
        <is>
          <t>20190426</t>
        </is>
      </c>
      <c r="M462" s="8" t="inlineStr">
        <is>
          <t>20250127</t>
        </is>
      </c>
      <c r="N462" s="10" t="n">
        <v>26.23</v>
      </c>
      <c r="O462" s="10">
        <f>IFERROR(VLOOKUP(A462,Flete!$A:$J,10,0),"")</f>
        <v/>
      </c>
      <c r="P462" s="8" t="inlineStr">
        <is>
          <t>M3</t>
        </is>
      </c>
      <c r="Q462" s="10">
        <f>IFERROR(IFERROR(VLOOKUP(A462,TRAOPE!$A:$U,21,0),VLOOKUP(B462,TRAOPE!$A:$U,21,0)),"")</f>
        <v/>
      </c>
      <c r="R462" s="8">
        <f>IFERROR(IFERROR(VLOOKUP(A462,TRAOPE!$A:$W,23,0),VLOOKUP(B462,TRAOPE!$A:$W,23,0)),"")</f>
        <v/>
      </c>
      <c r="S462" s="10">
        <f>IF(AND(P462="TN",R462="TN"),N462+N(O462),IF(G462&amp;""="1",N(K462)*N462,(N462+N(O462))*N(K462)))</f>
        <v/>
      </c>
      <c r="T462" s="10">
        <f>IF(Q462="","",Q462-S462)</f>
        <v/>
      </c>
    </row>
    <row r="463">
      <c r="A463" s="7">
        <f>CONCATENATE(C463,E463,F463,I463)</f>
        <v/>
      </c>
      <c r="B463" s="7">
        <f>CONCATENATE(C463,E463,I463)</f>
        <v/>
      </c>
      <c r="C463" s="8" t="n">
        <v>900002574</v>
      </c>
      <c r="D463" s="7">
        <f>IFERROR(VLOOKUP(C463,TRAOPE!$G:$H,2,0),"")</f>
        <v/>
      </c>
      <c r="E463" s="8" t="inlineStr">
        <is>
          <t>D836</t>
        </is>
      </c>
      <c r="F463" s="8" t="inlineStr">
        <is>
          <t>66538213</t>
        </is>
      </c>
      <c r="G463" s="8">
        <f>IFERROR(VLOOKUP(A463,Flete!$A:$E,5,0),"")</f>
        <v/>
      </c>
      <c r="H463" s="7">
        <f>IFERROR(VLOOKUP(F463,TRAOPE!$AA:$AB,2,0),"")</f>
        <v/>
      </c>
      <c r="I463" s="7" t="n">
        <v>10000206</v>
      </c>
      <c r="J463" s="7">
        <f>IFERROR(VLOOKUP(I463,Materiales!$A:$H,8,0),"")</f>
        <v/>
      </c>
      <c r="K463" s="9">
        <f>IFERROR(VLOOKUP(I463,Materiales!$A:$G,7,0),"")</f>
        <v/>
      </c>
      <c r="L463" s="8" t="inlineStr">
        <is>
          <t>20190426</t>
        </is>
      </c>
      <c r="M463" s="8" t="inlineStr">
        <is>
          <t>20250127</t>
        </is>
      </c>
      <c r="N463" s="10" t="n">
        <v>26.23</v>
      </c>
      <c r="O463" s="10">
        <f>IFERROR(VLOOKUP(A463,Flete!$A:$J,10,0),"")</f>
        <v/>
      </c>
      <c r="P463" s="8" t="inlineStr">
        <is>
          <t>M3</t>
        </is>
      </c>
      <c r="Q463" s="10">
        <f>IFERROR(IFERROR(VLOOKUP(A463,TRAOPE!$A:$U,21,0),VLOOKUP(B463,TRAOPE!$A:$U,21,0)),"")</f>
        <v/>
      </c>
      <c r="R463" s="8">
        <f>IFERROR(IFERROR(VLOOKUP(A463,TRAOPE!$A:$W,23,0),VLOOKUP(B463,TRAOPE!$A:$W,23,0)),"")</f>
        <v/>
      </c>
      <c r="S463" s="10">
        <f>IF(AND(P463="TN",R463="TN"),N463+N(O463),IF(G463&amp;""="1",N(K463)*N463,(N463+N(O463))*N(K463)))</f>
        <v/>
      </c>
      <c r="T463" s="10">
        <f>IF(Q463="","",Q463-S463)</f>
        <v/>
      </c>
    </row>
    <row r="464">
      <c r="A464" s="7">
        <f>CONCATENATE(C464,E464,F464,I464)</f>
        <v/>
      </c>
      <c r="B464" s="7">
        <f>CONCATENATE(C464,E464,I464)</f>
        <v/>
      </c>
      <c r="C464" s="8" t="n">
        <v>900002574</v>
      </c>
      <c r="D464" s="7">
        <f>IFERROR(VLOOKUP(C464,TRAOPE!$G:$H,2,0),"")</f>
        <v/>
      </c>
      <c r="E464" s="8" t="inlineStr">
        <is>
          <t>D836</t>
        </is>
      </c>
      <c r="F464" s="8" t="inlineStr">
        <is>
          <t>66567384</t>
        </is>
      </c>
      <c r="G464" s="8">
        <f>IFERROR(VLOOKUP(A464,Flete!$A:$E,5,0),"")</f>
        <v/>
      </c>
      <c r="H464" s="7">
        <f>IFERROR(VLOOKUP(F464,TRAOPE!$AA:$AB,2,0),"")</f>
        <v/>
      </c>
      <c r="I464" s="7" t="n">
        <v>10000160</v>
      </c>
      <c r="J464" s="7">
        <f>IFERROR(VLOOKUP(I464,Materiales!$A:$H,8,0),"")</f>
        <v/>
      </c>
      <c r="K464" s="9">
        <f>IFERROR(VLOOKUP(I464,Materiales!$A:$G,7,0),"")</f>
        <v/>
      </c>
      <c r="L464" s="8" t="inlineStr">
        <is>
          <t>20190426</t>
        </is>
      </c>
      <c r="M464" s="8" t="inlineStr">
        <is>
          <t>20250127</t>
        </is>
      </c>
      <c r="N464" s="10" t="n">
        <v>185</v>
      </c>
      <c r="O464" s="10">
        <f>IFERROR(VLOOKUP(A464,Flete!$A:$J,10,0),"")</f>
        <v/>
      </c>
      <c r="P464" s="8" t="inlineStr">
        <is>
          <t>M3</t>
        </is>
      </c>
      <c r="Q464" s="10">
        <f>IFERROR(IFERROR(VLOOKUP(A464,TRAOPE!$A:$U,21,0),VLOOKUP(B464,TRAOPE!$A:$U,21,0)),"")</f>
        <v/>
      </c>
      <c r="R464" s="8">
        <f>IFERROR(IFERROR(VLOOKUP(A464,TRAOPE!$A:$W,23,0),VLOOKUP(B464,TRAOPE!$A:$W,23,0)),"")</f>
        <v/>
      </c>
      <c r="S464" s="10">
        <f>IF(AND(P464="TN",R464="TN"),N464+N(O464),IF(G464&amp;""="1",N(K464)*N464,(N464+N(O464))*N(K464)))</f>
        <v/>
      </c>
      <c r="T464" s="10">
        <f>IF(Q464="","",Q464-S464)</f>
        <v/>
      </c>
    </row>
    <row r="465">
      <c r="A465" s="7">
        <f>CONCATENATE(C465,E465,F465,I465)</f>
        <v/>
      </c>
      <c r="B465" s="7">
        <f>CONCATENATE(C465,E465,I465)</f>
        <v/>
      </c>
      <c r="C465" s="8" t="n">
        <v>900002574</v>
      </c>
      <c r="D465" s="7">
        <f>IFERROR(VLOOKUP(C465,TRAOPE!$G:$H,2,0),"")</f>
        <v/>
      </c>
      <c r="E465" s="8" t="inlineStr">
        <is>
          <t>D836</t>
        </is>
      </c>
      <c r="F465" s="8" t="inlineStr">
        <is>
          <t>66567384</t>
        </is>
      </c>
      <c r="G465" s="8">
        <f>IFERROR(VLOOKUP(A465,Flete!$A:$E,5,0),"")</f>
        <v/>
      </c>
      <c r="H465" s="7">
        <f>IFERROR(VLOOKUP(F465,TRAOPE!$AA:$AB,2,0),"")</f>
        <v/>
      </c>
      <c r="I465" s="7" t="n">
        <v>10000357</v>
      </c>
      <c r="J465" s="7">
        <f>IFERROR(VLOOKUP(I465,Materiales!$A:$H,8,0),"")</f>
        <v/>
      </c>
      <c r="K465" s="9">
        <f>IFERROR(VLOOKUP(I465,Materiales!$A:$G,7,0),"")</f>
        <v/>
      </c>
      <c r="L465" s="8" t="inlineStr">
        <is>
          <t>20190426</t>
        </is>
      </c>
      <c r="M465" s="8" t="inlineStr">
        <is>
          <t>20250127</t>
        </is>
      </c>
      <c r="N465" s="10" t="n">
        <v>175</v>
      </c>
      <c r="O465" s="10">
        <f>IFERROR(VLOOKUP(A465,Flete!$A:$J,10,0),"")</f>
        <v/>
      </c>
      <c r="P465" s="8" t="inlineStr">
        <is>
          <t>M3</t>
        </is>
      </c>
      <c r="Q465" s="10">
        <f>IFERROR(IFERROR(VLOOKUP(A465,TRAOPE!$A:$U,21,0),VLOOKUP(B465,TRAOPE!$A:$U,21,0)),"")</f>
        <v/>
      </c>
      <c r="R465" s="8">
        <f>IFERROR(IFERROR(VLOOKUP(A465,TRAOPE!$A:$W,23,0),VLOOKUP(B465,TRAOPE!$A:$W,23,0)),"")</f>
        <v/>
      </c>
      <c r="S465" s="10">
        <f>IF(AND(P465="TN",R465="TN"),N465+N(O465),IF(G465&amp;""="1",N(K465)*N465,(N465+N(O465))*N(K465)))</f>
        <v/>
      </c>
      <c r="T465" s="10">
        <f>IF(Q465="","",Q465-S465)</f>
        <v/>
      </c>
    </row>
    <row r="466">
      <c r="A466" s="7">
        <f>CONCATENATE(C466,E466,F466,I466)</f>
        <v/>
      </c>
      <c r="B466" s="7">
        <f>CONCATENATE(C466,E466,I466)</f>
        <v/>
      </c>
      <c r="C466" s="8" t="n">
        <v>900002574</v>
      </c>
      <c r="D466" s="7">
        <f>IFERROR(VLOOKUP(C466,TRAOPE!$G:$H,2,0),"")</f>
        <v/>
      </c>
      <c r="E466" s="8" t="inlineStr">
        <is>
          <t>D836</t>
        </is>
      </c>
      <c r="F466" s="8" t="inlineStr">
        <is>
          <t>66567384</t>
        </is>
      </c>
      <c r="G466" s="8">
        <f>IFERROR(VLOOKUP(A466,Flete!$A:$E,5,0),"")</f>
        <v/>
      </c>
      <c r="H466" s="7">
        <f>IFERROR(VLOOKUP(F466,TRAOPE!$AA:$AB,2,0),"")</f>
        <v/>
      </c>
      <c r="I466" s="7" t="n">
        <v>10178773</v>
      </c>
      <c r="J466" s="7">
        <f>IFERROR(VLOOKUP(I466,Materiales!$A:$H,8,0),"")</f>
        <v/>
      </c>
      <c r="K466" s="9">
        <f>IFERROR(VLOOKUP(I466,Materiales!$A:$G,7,0),"")</f>
        <v/>
      </c>
      <c r="L466" s="8" t="inlineStr">
        <is>
          <t>20190426</t>
        </is>
      </c>
      <c r="M466" s="8" t="inlineStr">
        <is>
          <t>20250127</t>
        </is>
      </c>
      <c r="N466" s="10" t="n">
        <v>297.5</v>
      </c>
      <c r="O466" s="10">
        <f>IFERROR(VLOOKUP(A466,Flete!$A:$J,10,0),"")</f>
        <v/>
      </c>
      <c r="P466" s="8" t="inlineStr">
        <is>
          <t>M3</t>
        </is>
      </c>
      <c r="Q466" s="10">
        <f>IFERROR(IFERROR(VLOOKUP(A466,TRAOPE!$A:$U,21,0),VLOOKUP(B466,TRAOPE!$A:$U,21,0)),"")</f>
        <v/>
      </c>
      <c r="R466" s="8">
        <f>IFERROR(IFERROR(VLOOKUP(A466,TRAOPE!$A:$W,23,0),VLOOKUP(B466,TRAOPE!$A:$W,23,0)),"")</f>
        <v/>
      </c>
      <c r="S466" s="10">
        <f>IF(AND(P466="TN",R466="TN"),N466+N(O466),IF(G466&amp;""="1",N(K466)*N466,(N466+N(O466))*N(K466)))</f>
        <v/>
      </c>
      <c r="T466" s="10">
        <f>IF(Q466="","",Q466-S466)</f>
        <v/>
      </c>
    </row>
    <row r="467">
      <c r="A467" s="7">
        <f>CONCATENATE(C467,E467,F467,I467)</f>
        <v/>
      </c>
      <c r="B467" s="7">
        <f>CONCATENATE(C467,E467,I467)</f>
        <v/>
      </c>
      <c r="C467" s="8" t="n">
        <v>900002574</v>
      </c>
      <c r="D467" s="7">
        <f>IFERROR(VLOOKUP(C467,TRAOPE!$G:$H,2,0),"")</f>
        <v/>
      </c>
      <c r="E467" s="8" t="inlineStr">
        <is>
          <t>D836</t>
        </is>
      </c>
      <c r="F467" s="8" t="inlineStr">
        <is>
          <t>66600422</t>
        </is>
      </c>
      <c r="G467" s="8">
        <f>IFERROR(VLOOKUP(A467,Flete!$A:$E,5,0),"")</f>
        <v/>
      </c>
      <c r="H467" s="7">
        <f>IFERROR(VLOOKUP(F467,TRAOPE!$AA:$AB,2,0),"")</f>
        <v/>
      </c>
      <c r="I467" s="7" t="n">
        <v>10000133</v>
      </c>
      <c r="J467" s="7">
        <f>IFERROR(VLOOKUP(I467,Materiales!$A:$H,8,0),"")</f>
        <v/>
      </c>
      <c r="K467" s="9">
        <f>IFERROR(VLOOKUP(I467,Materiales!$A:$G,7,0),"")</f>
        <v/>
      </c>
      <c r="L467" s="8" t="inlineStr">
        <is>
          <t>20190426</t>
        </is>
      </c>
      <c r="M467" s="8" t="inlineStr">
        <is>
          <t>20250127</t>
        </is>
      </c>
      <c r="N467" s="10" t="n">
        <v>170</v>
      </c>
      <c r="O467" s="10">
        <f>IFERROR(VLOOKUP(A467,Flete!$A:$J,10,0),"")</f>
        <v/>
      </c>
      <c r="P467" s="8" t="inlineStr">
        <is>
          <t>M3</t>
        </is>
      </c>
      <c r="Q467" s="10">
        <f>IFERROR(IFERROR(VLOOKUP(A467,TRAOPE!$A:$U,21,0),VLOOKUP(B467,TRAOPE!$A:$U,21,0)),"")</f>
        <v/>
      </c>
      <c r="R467" s="8">
        <f>IFERROR(IFERROR(VLOOKUP(A467,TRAOPE!$A:$W,23,0),VLOOKUP(B467,TRAOPE!$A:$W,23,0)),"")</f>
        <v/>
      </c>
      <c r="S467" s="10">
        <f>IF(AND(P467="TN",R467="TN"),N467+N(O467),IF(G467&amp;""="1",N(K467)*N467,(N467+N(O467))*N(K467)))</f>
        <v/>
      </c>
      <c r="T467" s="10">
        <f>IF(Q467="","",Q467-S467)</f>
        <v/>
      </c>
    </row>
    <row r="468">
      <c r="A468" s="7">
        <f>CONCATENATE(C468,E468,F468,I468)</f>
        <v/>
      </c>
      <c r="B468" s="7">
        <f>CONCATENATE(C468,E468,I468)</f>
        <v/>
      </c>
      <c r="C468" s="8" t="n">
        <v>900002574</v>
      </c>
      <c r="D468" s="7">
        <f>IFERROR(VLOOKUP(C468,TRAOPE!$G:$H,2,0),"")</f>
        <v/>
      </c>
      <c r="E468" s="8" t="inlineStr">
        <is>
          <t>D836</t>
        </is>
      </c>
      <c r="F468" s="8" t="inlineStr">
        <is>
          <t>66600422</t>
        </is>
      </c>
      <c r="G468" s="8">
        <f>IFERROR(VLOOKUP(A468,Flete!$A:$E,5,0),"")</f>
        <v/>
      </c>
      <c r="H468" s="7">
        <f>IFERROR(VLOOKUP(F468,TRAOPE!$AA:$AB,2,0),"")</f>
        <v/>
      </c>
      <c r="I468" s="7" t="n">
        <v>10000160</v>
      </c>
      <c r="J468" s="7">
        <f>IFERROR(VLOOKUP(I468,Materiales!$A:$H,8,0),"")</f>
        <v/>
      </c>
      <c r="K468" s="9">
        <f>IFERROR(VLOOKUP(I468,Materiales!$A:$G,7,0),"")</f>
        <v/>
      </c>
      <c r="L468" s="8" t="inlineStr">
        <is>
          <t>20190426</t>
        </is>
      </c>
      <c r="M468" s="8" t="inlineStr">
        <is>
          <t>20250127</t>
        </is>
      </c>
      <c r="N468" s="10" t="n">
        <v>167</v>
      </c>
      <c r="O468" s="10">
        <f>IFERROR(VLOOKUP(A468,Flete!$A:$J,10,0),"")</f>
        <v/>
      </c>
      <c r="P468" s="8" t="inlineStr">
        <is>
          <t>M3</t>
        </is>
      </c>
      <c r="Q468" s="10">
        <f>IFERROR(IFERROR(VLOOKUP(A468,TRAOPE!$A:$U,21,0),VLOOKUP(B468,TRAOPE!$A:$U,21,0)),"")</f>
        <v/>
      </c>
      <c r="R468" s="8">
        <f>IFERROR(IFERROR(VLOOKUP(A468,TRAOPE!$A:$W,23,0),VLOOKUP(B468,TRAOPE!$A:$W,23,0)),"")</f>
        <v/>
      </c>
      <c r="S468" s="10">
        <f>IF(AND(P468="TN",R468="TN"),N468+N(O468),IF(G468&amp;""="1",N(K468)*N468,(N468+N(O468))*N(K468)))</f>
        <v/>
      </c>
      <c r="T468" s="10">
        <f>IF(Q468="","",Q468-S468)</f>
        <v/>
      </c>
    </row>
    <row r="469">
      <c r="A469" s="7">
        <f>CONCATENATE(C469,E469,F469,I469)</f>
        <v/>
      </c>
      <c r="B469" s="7">
        <f>CONCATENATE(C469,E469,I469)</f>
        <v/>
      </c>
      <c r="C469" s="8" t="n">
        <v>900002574</v>
      </c>
      <c r="D469" s="7">
        <f>IFERROR(VLOOKUP(C469,TRAOPE!$G:$H,2,0),"")</f>
        <v/>
      </c>
      <c r="E469" s="8" t="inlineStr">
        <is>
          <t>D836</t>
        </is>
      </c>
      <c r="F469" s="8" t="inlineStr">
        <is>
          <t>66600422</t>
        </is>
      </c>
      <c r="G469" s="8">
        <f>IFERROR(VLOOKUP(A469,Flete!$A:$E,5,0),"")</f>
        <v/>
      </c>
      <c r="H469" s="7">
        <f>IFERROR(VLOOKUP(F469,TRAOPE!$AA:$AB,2,0),"")</f>
        <v/>
      </c>
      <c r="I469" s="7" t="n">
        <v>10000357</v>
      </c>
      <c r="J469" s="7">
        <f>IFERROR(VLOOKUP(I469,Materiales!$A:$H,8,0),"")</f>
        <v/>
      </c>
      <c r="K469" s="9">
        <f>IFERROR(VLOOKUP(I469,Materiales!$A:$G,7,0),"")</f>
        <v/>
      </c>
      <c r="L469" s="8" t="inlineStr">
        <is>
          <t>20190426</t>
        </is>
      </c>
      <c r="M469" s="8" t="inlineStr">
        <is>
          <t>20250127</t>
        </is>
      </c>
      <c r="N469" s="10" t="n">
        <v>158.5</v>
      </c>
      <c r="O469" s="10">
        <f>IFERROR(VLOOKUP(A469,Flete!$A:$J,10,0),"")</f>
        <v/>
      </c>
      <c r="P469" s="8" t="inlineStr">
        <is>
          <t>M3</t>
        </is>
      </c>
      <c r="Q469" s="10">
        <f>IFERROR(IFERROR(VLOOKUP(A469,TRAOPE!$A:$U,21,0),VLOOKUP(B469,TRAOPE!$A:$U,21,0)),"")</f>
        <v/>
      </c>
      <c r="R469" s="8">
        <f>IFERROR(IFERROR(VLOOKUP(A469,TRAOPE!$A:$W,23,0),VLOOKUP(B469,TRAOPE!$A:$W,23,0)),"")</f>
        <v/>
      </c>
      <c r="S469" s="10">
        <f>IF(AND(P469="TN",R469="TN"),N469+N(O469),IF(G469&amp;""="1",N(K469)*N469,(N469+N(O469))*N(K469)))</f>
        <v/>
      </c>
      <c r="T469" s="10">
        <f>IF(Q469="","",Q469-S469)</f>
        <v/>
      </c>
    </row>
    <row r="470">
      <c r="A470" s="7">
        <f>CONCATENATE(C470,E470,F470,I470)</f>
        <v/>
      </c>
      <c r="B470" s="7">
        <f>CONCATENATE(C470,E470,I470)</f>
        <v/>
      </c>
      <c r="C470" s="8" t="n">
        <v>900002574</v>
      </c>
      <c r="D470" s="7">
        <f>IFERROR(VLOOKUP(C470,TRAOPE!$G:$H,2,0),"")</f>
        <v/>
      </c>
      <c r="E470" s="8" t="inlineStr">
        <is>
          <t>D836</t>
        </is>
      </c>
      <c r="F470" s="8" t="inlineStr">
        <is>
          <t>66608012</t>
        </is>
      </c>
      <c r="G470" s="8">
        <f>IFERROR(VLOOKUP(A470,Flete!$A:$E,5,0),"")</f>
        <v/>
      </c>
      <c r="H470" s="7">
        <f>IFERROR(VLOOKUP(F470,TRAOPE!$AA:$AB,2,0),"")</f>
        <v/>
      </c>
      <c r="I470" s="7" t="n">
        <v>10000206</v>
      </c>
      <c r="J470" s="7">
        <f>IFERROR(VLOOKUP(I470,Materiales!$A:$H,8,0),"")</f>
        <v/>
      </c>
      <c r="K470" s="9">
        <f>IFERROR(VLOOKUP(I470,Materiales!$A:$G,7,0),"")</f>
        <v/>
      </c>
      <c r="L470" s="8" t="inlineStr">
        <is>
          <t>20190426</t>
        </is>
      </c>
      <c r="M470" s="8" t="inlineStr">
        <is>
          <t>20250127</t>
        </is>
      </c>
      <c r="N470" s="10" t="n">
        <v>162.5</v>
      </c>
      <c r="O470" s="10">
        <f>IFERROR(VLOOKUP(A470,Flete!$A:$J,10,0),"")</f>
        <v/>
      </c>
      <c r="P470" s="8" t="inlineStr">
        <is>
          <t>M3</t>
        </is>
      </c>
      <c r="Q470" s="10">
        <f>IFERROR(IFERROR(VLOOKUP(A470,TRAOPE!$A:$U,21,0),VLOOKUP(B470,TRAOPE!$A:$U,21,0)),"")</f>
        <v/>
      </c>
      <c r="R470" s="8">
        <f>IFERROR(IFERROR(VLOOKUP(A470,TRAOPE!$A:$W,23,0),VLOOKUP(B470,TRAOPE!$A:$W,23,0)),"")</f>
        <v/>
      </c>
      <c r="S470" s="10">
        <f>IF(AND(P470="TN",R470="TN"),N470+N(O470),IF(G470&amp;""="1",N(K470)*N470,(N470+N(O470))*N(K470)))</f>
        <v/>
      </c>
      <c r="T470" s="10">
        <f>IF(Q470="","",Q470-S470)</f>
        <v/>
      </c>
    </row>
    <row r="471">
      <c r="A471" s="7">
        <f>CONCATENATE(C471,E471,F471,I471)</f>
        <v/>
      </c>
      <c r="B471" s="7">
        <f>CONCATENATE(C471,E471,I471)</f>
        <v/>
      </c>
      <c r="C471" s="8" t="n">
        <v>900002574</v>
      </c>
      <c r="D471" s="7">
        <f>IFERROR(VLOOKUP(C471,TRAOPE!$G:$H,2,0),"")</f>
        <v/>
      </c>
      <c r="E471" s="8" t="inlineStr">
        <is>
          <t>D836</t>
        </is>
      </c>
      <c r="F471" s="8" t="inlineStr">
        <is>
          <t>66609556</t>
        </is>
      </c>
      <c r="G471" s="8">
        <f>IFERROR(VLOOKUP(A471,Flete!$A:$E,5,0),"")</f>
        <v/>
      </c>
      <c r="H471" s="7">
        <f>IFERROR(VLOOKUP(F471,TRAOPE!$AA:$AB,2,0),"")</f>
        <v/>
      </c>
      <c r="I471" s="7" t="n">
        <v>10000133</v>
      </c>
      <c r="J471" s="7">
        <f>IFERROR(VLOOKUP(I471,Materiales!$A:$H,8,0),"")</f>
        <v/>
      </c>
      <c r="K471" s="9">
        <f>IFERROR(VLOOKUP(I471,Materiales!$A:$G,7,0),"")</f>
        <v/>
      </c>
      <c r="L471" s="8" t="inlineStr">
        <is>
          <t>20190426</t>
        </is>
      </c>
      <c r="M471" s="8" t="inlineStr">
        <is>
          <t>20250127</t>
        </is>
      </c>
      <c r="N471" s="10" t="n">
        <v>199.66</v>
      </c>
      <c r="O471" s="10">
        <f>IFERROR(VLOOKUP(A471,Flete!$A:$J,10,0),"")</f>
        <v/>
      </c>
      <c r="P471" s="8" t="inlineStr">
        <is>
          <t>M3</t>
        </is>
      </c>
      <c r="Q471" s="10">
        <f>IFERROR(IFERROR(VLOOKUP(A471,TRAOPE!$A:$U,21,0),VLOOKUP(B471,TRAOPE!$A:$U,21,0)),"")</f>
        <v/>
      </c>
      <c r="R471" s="8">
        <f>IFERROR(IFERROR(VLOOKUP(A471,TRAOPE!$A:$W,23,0),VLOOKUP(B471,TRAOPE!$A:$W,23,0)),"")</f>
        <v/>
      </c>
      <c r="S471" s="10">
        <f>IF(AND(P471="TN",R471="TN"),N471+N(O471),IF(G471&amp;""="1",N(K471)*N471,(N471+N(O471))*N(K471)))</f>
        <v/>
      </c>
      <c r="T471" s="10">
        <f>IF(Q471="","",Q471-S471)</f>
        <v/>
      </c>
    </row>
    <row r="472">
      <c r="A472" s="7">
        <f>CONCATENATE(C472,E472,F472,I472)</f>
        <v/>
      </c>
      <c r="B472" s="7">
        <f>CONCATENATE(C472,E472,I472)</f>
        <v/>
      </c>
      <c r="C472" s="8" t="n">
        <v>900002574</v>
      </c>
      <c r="D472" s="7">
        <f>IFERROR(VLOOKUP(C472,TRAOPE!$G:$H,2,0),"")</f>
        <v/>
      </c>
      <c r="E472" s="8" t="inlineStr">
        <is>
          <t>D836</t>
        </is>
      </c>
      <c r="F472" s="8" t="inlineStr">
        <is>
          <t>66609556</t>
        </is>
      </c>
      <c r="G472" s="8">
        <f>IFERROR(VLOOKUP(A472,Flete!$A:$E,5,0),"")</f>
        <v/>
      </c>
      <c r="H472" s="7">
        <f>IFERROR(VLOOKUP(F472,TRAOPE!$AA:$AB,2,0),"")</f>
        <v/>
      </c>
      <c r="I472" s="7" t="n">
        <v>10000160</v>
      </c>
      <c r="J472" s="7">
        <f>IFERROR(VLOOKUP(I472,Materiales!$A:$H,8,0),"")</f>
        <v/>
      </c>
      <c r="K472" s="9">
        <f>IFERROR(VLOOKUP(I472,Materiales!$A:$G,7,0),"")</f>
        <v/>
      </c>
      <c r="L472" s="8" t="inlineStr">
        <is>
          <t>20190426</t>
        </is>
      </c>
      <c r="M472" s="8" t="inlineStr">
        <is>
          <t>20250127</t>
        </is>
      </c>
      <c r="N472" s="10" t="n">
        <v>115.87</v>
      </c>
      <c r="O472" s="10">
        <f>IFERROR(VLOOKUP(A472,Flete!$A:$J,10,0),"")</f>
        <v/>
      </c>
      <c r="P472" s="8" t="inlineStr">
        <is>
          <t>M3</t>
        </is>
      </c>
      <c r="Q472" s="10">
        <f>IFERROR(IFERROR(VLOOKUP(A472,TRAOPE!$A:$U,21,0),VLOOKUP(B472,TRAOPE!$A:$U,21,0)),"")</f>
        <v/>
      </c>
      <c r="R472" s="8">
        <f>IFERROR(IFERROR(VLOOKUP(A472,TRAOPE!$A:$W,23,0),VLOOKUP(B472,TRAOPE!$A:$W,23,0)),"")</f>
        <v/>
      </c>
      <c r="S472" s="10">
        <f>IF(AND(P472="TN",R472="TN"),N472+N(O472),IF(G472&amp;""="1",N(K472)*N472,(N472+N(O472))*N(K472)))</f>
        <v/>
      </c>
      <c r="T472" s="10">
        <f>IF(Q472="","",Q472-S472)</f>
        <v/>
      </c>
    </row>
    <row r="473">
      <c r="A473" s="7">
        <f>CONCATENATE(C473,E473,F473,I473)</f>
        <v/>
      </c>
      <c r="B473" s="7">
        <f>CONCATENATE(C473,E473,I473)</f>
        <v/>
      </c>
      <c r="C473" s="8" t="n">
        <v>900002574</v>
      </c>
      <c r="D473" s="7">
        <f>IFERROR(VLOOKUP(C473,TRAOPE!$G:$H,2,0),"")</f>
        <v/>
      </c>
      <c r="E473" s="8" t="inlineStr">
        <is>
          <t>D836</t>
        </is>
      </c>
      <c r="F473" s="8" t="inlineStr">
        <is>
          <t>66609556</t>
        </is>
      </c>
      <c r="G473" s="8">
        <f>IFERROR(VLOOKUP(A473,Flete!$A:$E,5,0),"")</f>
        <v/>
      </c>
      <c r="H473" s="7">
        <f>IFERROR(VLOOKUP(F473,TRAOPE!$AA:$AB,2,0),"")</f>
        <v/>
      </c>
      <c r="I473" s="7" t="n">
        <v>10000357</v>
      </c>
      <c r="J473" s="7">
        <f>IFERROR(VLOOKUP(I473,Materiales!$A:$H,8,0),"")</f>
        <v/>
      </c>
      <c r="K473" s="9">
        <f>IFERROR(VLOOKUP(I473,Materiales!$A:$G,7,0),"")</f>
        <v/>
      </c>
      <c r="L473" s="8" t="inlineStr">
        <is>
          <t>20190426</t>
        </is>
      </c>
      <c r="M473" s="8" t="inlineStr">
        <is>
          <t>20250127</t>
        </is>
      </c>
      <c r="N473" s="10" t="n">
        <v>125.87</v>
      </c>
      <c r="O473" s="10">
        <f>IFERROR(VLOOKUP(A473,Flete!$A:$J,10,0),"")</f>
        <v/>
      </c>
      <c r="P473" s="8" t="inlineStr">
        <is>
          <t>M3</t>
        </is>
      </c>
      <c r="Q473" s="10">
        <f>IFERROR(IFERROR(VLOOKUP(A473,TRAOPE!$A:$U,21,0),VLOOKUP(B473,TRAOPE!$A:$U,21,0)),"")</f>
        <v/>
      </c>
      <c r="R473" s="8">
        <f>IFERROR(IFERROR(VLOOKUP(A473,TRAOPE!$A:$W,23,0),VLOOKUP(B473,TRAOPE!$A:$W,23,0)),"")</f>
        <v/>
      </c>
      <c r="S473" s="10">
        <f>IF(AND(P473="TN",R473="TN"),N473+N(O473),IF(G473&amp;""="1",N(K473)*N473,(N473+N(O473))*N(K473)))</f>
        <v/>
      </c>
      <c r="T473" s="10">
        <f>IF(Q473="","",Q473-S473)</f>
        <v/>
      </c>
    </row>
    <row r="474">
      <c r="A474" s="7">
        <f>CONCATENATE(C474,E474,F474,I474)</f>
        <v/>
      </c>
      <c r="B474" s="7">
        <f>CONCATENATE(C474,E474,I474)</f>
        <v/>
      </c>
      <c r="C474" s="8" t="n">
        <v>900002574</v>
      </c>
      <c r="D474" s="7">
        <f>IFERROR(VLOOKUP(C474,TRAOPE!$G:$H,2,0),"")</f>
        <v/>
      </c>
      <c r="E474" s="8" t="inlineStr">
        <is>
          <t>D836</t>
        </is>
      </c>
      <c r="F474" s="8" t="inlineStr">
        <is>
          <t>66609556</t>
        </is>
      </c>
      <c r="G474" s="8">
        <f>IFERROR(VLOOKUP(A474,Flete!$A:$E,5,0),"")</f>
        <v/>
      </c>
      <c r="H474" s="7">
        <f>IFERROR(VLOOKUP(F474,TRAOPE!$AA:$AB,2,0),"")</f>
        <v/>
      </c>
      <c r="I474" s="7" t="n">
        <v>10058345</v>
      </c>
      <c r="J474" s="7">
        <f>IFERROR(VLOOKUP(I474,Materiales!$A:$H,8,0),"")</f>
        <v/>
      </c>
      <c r="K474" s="9">
        <f>IFERROR(VLOOKUP(I474,Materiales!$A:$G,7,0),"")</f>
        <v/>
      </c>
      <c r="L474" s="8" t="inlineStr">
        <is>
          <t>20190426</t>
        </is>
      </c>
      <c r="M474" s="8" t="inlineStr">
        <is>
          <t>20250127</t>
        </is>
      </c>
      <c r="N474" s="10" t="n">
        <v>159.66</v>
      </c>
      <c r="O474" s="10">
        <f>IFERROR(VLOOKUP(A474,Flete!$A:$J,10,0),"")</f>
        <v/>
      </c>
      <c r="P474" s="8" t="inlineStr">
        <is>
          <t>M3</t>
        </is>
      </c>
      <c r="Q474" s="10">
        <f>IFERROR(IFERROR(VLOOKUP(A474,TRAOPE!$A:$U,21,0),VLOOKUP(B474,TRAOPE!$A:$U,21,0)),"")</f>
        <v/>
      </c>
      <c r="R474" s="8">
        <f>IFERROR(IFERROR(VLOOKUP(A474,TRAOPE!$A:$W,23,0),VLOOKUP(B474,TRAOPE!$A:$W,23,0)),"")</f>
        <v/>
      </c>
      <c r="S474" s="10">
        <f>IF(AND(P474="TN",R474="TN"),N474+N(O474),IF(G474&amp;""="1",N(K474)*N474,(N474+N(O474))*N(K474)))</f>
        <v/>
      </c>
      <c r="T474" s="10">
        <f>IF(Q474="","",Q474-S474)</f>
        <v/>
      </c>
    </row>
    <row r="475">
      <c r="A475" s="7">
        <f>CONCATENATE(C475,E475,F475,I475)</f>
        <v/>
      </c>
      <c r="B475" s="7">
        <f>CONCATENATE(C475,E475,I475)</f>
        <v/>
      </c>
      <c r="C475" s="8" t="n">
        <v>900002574</v>
      </c>
      <c r="D475" s="7">
        <f>IFERROR(VLOOKUP(C475,TRAOPE!$G:$H,2,0),"")</f>
        <v/>
      </c>
      <c r="E475" s="8" t="inlineStr">
        <is>
          <t>D836</t>
        </is>
      </c>
      <c r="F475" s="8" t="inlineStr">
        <is>
          <t>66704556</t>
        </is>
      </c>
      <c r="G475" s="8">
        <f>IFERROR(VLOOKUP(A475,Flete!$A:$E,5,0),"")</f>
        <v/>
      </c>
      <c r="H475" s="7">
        <f>IFERROR(VLOOKUP(F475,TRAOPE!$AA:$AB,2,0),"")</f>
        <v/>
      </c>
      <c r="I475" s="7" t="n">
        <v>10000206</v>
      </c>
      <c r="J475" s="7">
        <f>IFERROR(VLOOKUP(I475,Materiales!$A:$H,8,0),"")</f>
        <v/>
      </c>
      <c r="K475" s="9">
        <f>IFERROR(VLOOKUP(I475,Materiales!$A:$G,7,0),"")</f>
        <v/>
      </c>
      <c r="L475" s="8" t="inlineStr">
        <is>
          <t>20190426</t>
        </is>
      </c>
      <c r="M475" s="8" t="inlineStr">
        <is>
          <t>20250127</t>
        </is>
      </c>
      <c r="N475" s="10" t="n">
        <v>26.23</v>
      </c>
      <c r="O475" s="10">
        <f>IFERROR(VLOOKUP(A475,Flete!$A:$J,10,0),"")</f>
        <v/>
      </c>
      <c r="P475" s="8" t="inlineStr">
        <is>
          <t>M3</t>
        </is>
      </c>
      <c r="Q475" s="10">
        <f>IFERROR(IFERROR(VLOOKUP(A475,TRAOPE!$A:$U,21,0),VLOOKUP(B475,TRAOPE!$A:$U,21,0)),"")</f>
        <v/>
      </c>
      <c r="R475" s="8">
        <f>IFERROR(IFERROR(VLOOKUP(A475,TRAOPE!$A:$W,23,0),VLOOKUP(B475,TRAOPE!$A:$W,23,0)),"")</f>
        <v/>
      </c>
      <c r="S475" s="10">
        <f>IF(AND(P475="TN",R475="TN"),N475+N(O475),IF(G475&amp;""="1",N(K475)*N475,(N475+N(O475))*N(K475)))</f>
        <v/>
      </c>
      <c r="T475" s="10">
        <f>IF(Q475="","",Q475-S475)</f>
        <v/>
      </c>
    </row>
    <row r="476">
      <c r="A476" s="7">
        <f>CONCATENATE(C476,E476,F476,I476)</f>
        <v/>
      </c>
      <c r="B476" s="7">
        <f>CONCATENATE(C476,E476,I476)</f>
        <v/>
      </c>
      <c r="C476" s="8" t="n">
        <v>900002574</v>
      </c>
      <c r="D476" s="7">
        <f>IFERROR(VLOOKUP(C476,TRAOPE!$G:$H,2,0),"")</f>
        <v/>
      </c>
      <c r="E476" s="8" t="inlineStr">
        <is>
          <t>D836</t>
        </is>
      </c>
      <c r="F476" s="8" t="inlineStr">
        <is>
          <t>66779276</t>
        </is>
      </c>
      <c r="G476" s="8">
        <f>IFERROR(VLOOKUP(A476,Flete!$A:$E,5,0),"")</f>
        <v/>
      </c>
      <c r="H476" s="7">
        <f>IFERROR(VLOOKUP(F476,TRAOPE!$AA:$AB,2,0),"")</f>
        <v/>
      </c>
      <c r="I476" s="7" t="n">
        <v>10000655</v>
      </c>
      <c r="J476" s="7">
        <f>IFERROR(VLOOKUP(I476,Materiales!$A:$H,8,0),"")</f>
        <v/>
      </c>
      <c r="K476" s="9">
        <f>IFERROR(VLOOKUP(I476,Materiales!$A:$G,7,0),"")</f>
        <v/>
      </c>
      <c r="L476" s="8" t="inlineStr">
        <is>
          <t>20190426</t>
        </is>
      </c>
      <c r="M476" s="8" t="inlineStr">
        <is>
          <t>20250127</t>
        </is>
      </c>
      <c r="N476" s="10" t="n">
        <v>1400</v>
      </c>
      <c r="O476" s="10">
        <f>IFERROR(VLOOKUP(A476,Flete!$A:$J,10,0),"")</f>
        <v/>
      </c>
      <c r="P476" s="8" t="inlineStr">
        <is>
          <t>TN</t>
        </is>
      </c>
      <c r="Q476" s="10">
        <f>IFERROR(IFERROR(VLOOKUP(A476,TRAOPE!$A:$U,21,0),VLOOKUP(B476,TRAOPE!$A:$U,21,0)),"")</f>
        <v/>
      </c>
      <c r="R476" s="8">
        <f>IFERROR(IFERROR(VLOOKUP(A476,TRAOPE!$A:$W,23,0),VLOOKUP(B476,TRAOPE!$A:$W,23,0)),"")</f>
        <v/>
      </c>
      <c r="S476" s="10">
        <f>IF(AND(P476="TN",R476="TN"),N476+N(O476),IF(G476&amp;""="1",N(K476)*N476,(N476+N(O476))*N(K476)))</f>
        <v/>
      </c>
      <c r="T476" s="10">
        <f>IF(Q476="","",Q476-S476)</f>
        <v/>
      </c>
    </row>
    <row r="477">
      <c r="A477" s="7">
        <f>CONCATENATE(C477,E477,F477,I477)</f>
        <v/>
      </c>
      <c r="B477" s="7">
        <f>CONCATENATE(C477,E477,I477)</f>
        <v/>
      </c>
      <c r="C477" s="8" t="n">
        <v>900002574</v>
      </c>
      <c r="D477" s="7">
        <f>IFERROR(VLOOKUP(C477,TRAOPE!$G:$H,2,0),"")</f>
        <v/>
      </c>
      <c r="E477" s="8" t="inlineStr">
        <is>
          <t>D836</t>
        </is>
      </c>
      <c r="F477" s="8" t="inlineStr">
        <is>
          <t>66794474</t>
        </is>
      </c>
      <c r="G477" s="8">
        <f>IFERROR(VLOOKUP(A477,Flete!$A:$E,5,0),"")</f>
        <v/>
      </c>
      <c r="H477" s="7">
        <f>IFERROR(VLOOKUP(F477,TRAOPE!$AA:$AB,2,0),"")</f>
        <v/>
      </c>
      <c r="I477" s="7" t="n">
        <v>10000160</v>
      </c>
      <c r="J477" s="7">
        <f>IFERROR(VLOOKUP(I477,Materiales!$A:$H,8,0),"")</f>
        <v/>
      </c>
      <c r="K477" s="9">
        <f>IFERROR(VLOOKUP(I477,Materiales!$A:$G,7,0),"")</f>
        <v/>
      </c>
      <c r="L477" s="8" t="inlineStr">
        <is>
          <t>20190426</t>
        </is>
      </c>
      <c r="M477" s="8" t="inlineStr">
        <is>
          <t>20250127</t>
        </is>
      </c>
      <c r="N477" s="10" t="n">
        <v>205</v>
      </c>
      <c r="O477" s="10">
        <f>IFERROR(VLOOKUP(A477,Flete!$A:$J,10,0),"")</f>
        <v/>
      </c>
      <c r="P477" s="8" t="inlineStr">
        <is>
          <t>M3</t>
        </is>
      </c>
      <c r="Q477" s="10">
        <f>IFERROR(IFERROR(VLOOKUP(A477,TRAOPE!$A:$U,21,0),VLOOKUP(B477,TRAOPE!$A:$U,21,0)),"")</f>
        <v/>
      </c>
      <c r="R477" s="8">
        <f>IFERROR(IFERROR(VLOOKUP(A477,TRAOPE!$A:$W,23,0),VLOOKUP(B477,TRAOPE!$A:$W,23,0)),"")</f>
        <v/>
      </c>
      <c r="S477" s="10">
        <f>IF(AND(P477="TN",R477="TN"),N477+N(O477),IF(G477&amp;""="1",N(K477)*N477,(N477+N(O477))*N(K477)))</f>
        <v/>
      </c>
      <c r="T477" s="10">
        <f>IF(Q477="","",Q477-S477)</f>
        <v/>
      </c>
    </row>
    <row r="478">
      <c r="A478" s="7">
        <f>CONCATENATE(C478,E478,F478,I478)</f>
        <v/>
      </c>
      <c r="B478" s="7">
        <f>CONCATENATE(C478,E478,I478)</f>
        <v/>
      </c>
      <c r="C478" s="8" t="n">
        <v>900002574</v>
      </c>
      <c r="D478" s="7">
        <f>IFERROR(VLOOKUP(C478,TRAOPE!$G:$H,2,0),"")</f>
        <v/>
      </c>
      <c r="E478" s="8" t="inlineStr">
        <is>
          <t>D836</t>
        </is>
      </c>
      <c r="F478" s="8" t="inlineStr">
        <is>
          <t>66794474</t>
        </is>
      </c>
      <c r="G478" s="8">
        <f>IFERROR(VLOOKUP(A478,Flete!$A:$E,5,0),"")</f>
        <v/>
      </c>
      <c r="H478" s="7">
        <f>IFERROR(VLOOKUP(F478,TRAOPE!$AA:$AB,2,0),"")</f>
        <v/>
      </c>
      <c r="I478" s="7" t="n">
        <v>10000357</v>
      </c>
      <c r="J478" s="7">
        <f>IFERROR(VLOOKUP(I478,Materiales!$A:$H,8,0),"")</f>
        <v/>
      </c>
      <c r="K478" s="9">
        <f>IFERROR(VLOOKUP(I478,Materiales!$A:$G,7,0),"")</f>
        <v/>
      </c>
      <c r="L478" s="8" t="inlineStr">
        <is>
          <t>20190426</t>
        </is>
      </c>
      <c r="M478" s="8" t="inlineStr">
        <is>
          <t>20250127</t>
        </is>
      </c>
      <c r="N478" s="10" t="n">
        <v>220</v>
      </c>
      <c r="O478" s="10">
        <f>IFERROR(VLOOKUP(A478,Flete!$A:$J,10,0),"")</f>
        <v/>
      </c>
      <c r="P478" s="8" t="inlineStr">
        <is>
          <t>M3</t>
        </is>
      </c>
      <c r="Q478" s="10">
        <f>IFERROR(IFERROR(VLOOKUP(A478,TRAOPE!$A:$U,21,0),VLOOKUP(B478,TRAOPE!$A:$U,21,0)),"")</f>
        <v/>
      </c>
      <c r="R478" s="8">
        <f>IFERROR(IFERROR(VLOOKUP(A478,TRAOPE!$A:$W,23,0),VLOOKUP(B478,TRAOPE!$A:$W,23,0)),"")</f>
        <v/>
      </c>
      <c r="S478" s="10">
        <f>IF(AND(P478="TN",R478="TN"),N478+N(O478),IF(G478&amp;""="1",N(K478)*N478,(N478+N(O478))*N(K478)))</f>
        <v/>
      </c>
      <c r="T478" s="10">
        <f>IF(Q478="","",Q478-S478)</f>
        <v/>
      </c>
    </row>
    <row r="479">
      <c r="A479" s="7">
        <f>CONCATENATE(C479,E479,F479,I479)</f>
        <v/>
      </c>
      <c r="B479" s="7">
        <f>CONCATENATE(C479,E479,I479)</f>
        <v/>
      </c>
      <c r="C479" s="8" t="n">
        <v>900002574</v>
      </c>
      <c r="D479" s="7">
        <f>IFERROR(VLOOKUP(C479,TRAOPE!$G:$H,2,0),"")</f>
        <v/>
      </c>
      <c r="E479" s="8" t="inlineStr">
        <is>
          <t>D836</t>
        </is>
      </c>
      <c r="F479" s="8" t="inlineStr">
        <is>
          <t>66805657</t>
        </is>
      </c>
      <c r="G479" s="8">
        <f>IFERROR(VLOOKUP(A479,Flete!$A:$E,5,0),"")</f>
        <v/>
      </c>
      <c r="H479" s="7">
        <f>IFERROR(VLOOKUP(F479,TRAOPE!$AA:$AB,2,0),"")</f>
        <v/>
      </c>
      <c r="I479" s="7" t="n">
        <v>10000160</v>
      </c>
      <c r="J479" s="7">
        <f>IFERROR(VLOOKUP(I479,Materiales!$A:$H,8,0),"")</f>
        <v/>
      </c>
      <c r="K479" s="9">
        <f>IFERROR(VLOOKUP(I479,Materiales!$A:$G,7,0),"")</f>
        <v/>
      </c>
      <c r="L479" s="8" t="inlineStr">
        <is>
          <t>20190426</t>
        </is>
      </c>
      <c r="M479" s="8" t="inlineStr">
        <is>
          <t>20250127</t>
        </is>
      </c>
      <c r="N479" s="10" t="n">
        <v>85</v>
      </c>
      <c r="O479" s="10">
        <f>IFERROR(VLOOKUP(A479,Flete!$A:$J,10,0),"")</f>
        <v/>
      </c>
      <c r="P479" s="8" t="inlineStr">
        <is>
          <t>M3</t>
        </is>
      </c>
      <c r="Q479" s="10">
        <f>IFERROR(IFERROR(VLOOKUP(A479,TRAOPE!$A:$U,21,0),VLOOKUP(B479,TRAOPE!$A:$U,21,0)),"")</f>
        <v/>
      </c>
      <c r="R479" s="8">
        <f>IFERROR(IFERROR(VLOOKUP(A479,TRAOPE!$A:$W,23,0),VLOOKUP(B479,TRAOPE!$A:$W,23,0)),"")</f>
        <v/>
      </c>
      <c r="S479" s="10">
        <f>IF(AND(P479="TN",R479="TN"),N479+N(O479),IF(G479&amp;""="1",N(K479)*N479,(N479+N(O479))*N(K479)))</f>
        <v/>
      </c>
      <c r="T479" s="10">
        <f>IF(Q479="","",Q479-S479)</f>
        <v/>
      </c>
    </row>
    <row r="480">
      <c r="A480" s="7">
        <f>CONCATENATE(C480,E480,F480,I480)</f>
        <v/>
      </c>
      <c r="B480" s="7">
        <f>CONCATENATE(C480,E480,I480)</f>
        <v/>
      </c>
      <c r="C480" s="8" t="n">
        <v>900002574</v>
      </c>
      <c r="D480" s="7">
        <f>IFERROR(VLOOKUP(C480,TRAOPE!$G:$H,2,0),"")</f>
        <v/>
      </c>
      <c r="E480" s="8" t="inlineStr">
        <is>
          <t>D836</t>
        </is>
      </c>
      <c r="F480" s="8" t="inlineStr">
        <is>
          <t>66805657</t>
        </is>
      </c>
      <c r="G480" s="8">
        <f>IFERROR(VLOOKUP(A480,Flete!$A:$E,5,0),"")</f>
        <v/>
      </c>
      <c r="H480" s="7">
        <f>IFERROR(VLOOKUP(F480,TRAOPE!$AA:$AB,2,0),"")</f>
        <v/>
      </c>
      <c r="I480" s="7" t="n">
        <v>10000357</v>
      </c>
      <c r="J480" s="7">
        <f>IFERROR(VLOOKUP(I480,Materiales!$A:$H,8,0),"")</f>
        <v/>
      </c>
      <c r="K480" s="9">
        <f>IFERROR(VLOOKUP(I480,Materiales!$A:$G,7,0),"")</f>
        <v/>
      </c>
      <c r="L480" s="8" t="inlineStr">
        <is>
          <t>20190426</t>
        </is>
      </c>
      <c r="M480" s="8" t="inlineStr">
        <is>
          <t>20250127</t>
        </is>
      </c>
      <c r="N480" s="10" t="n">
        <v>90</v>
      </c>
      <c r="O480" s="10">
        <f>IFERROR(VLOOKUP(A480,Flete!$A:$J,10,0),"")</f>
        <v/>
      </c>
      <c r="P480" s="8" t="inlineStr">
        <is>
          <t>M3</t>
        </is>
      </c>
      <c r="Q480" s="10">
        <f>IFERROR(IFERROR(VLOOKUP(A480,TRAOPE!$A:$U,21,0),VLOOKUP(B480,TRAOPE!$A:$U,21,0)),"")</f>
        <v/>
      </c>
      <c r="R480" s="8">
        <f>IFERROR(IFERROR(VLOOKUP(A480,TRAOPE!$A:$W,23,0),VLOOKUP(B480,TRAOPE!$A:$W,23,0)),"")</f>
        <v/>
      </c>
      <c r="S480" s="10">
        <f>IF(AND(P480="TN",R480="TN"),N480+N(O480),IF(G480&amp;""="1",N(K480)*N480,(N480+N(O480))*N(K480)))</f>
        <v/>
      </c>
      <c r="T480" s="10">
        <f>IF(Q480="","",Q480-S480)</f>
        <v/>
      </c>
    </row>
    <row r="481">
      <c r="A481" s="7">
        <f>CONCATENATE(C481,E481,F481,I481)</f>
        <v/>
      </c>
      <c r="B481" s="7">
        <f>CONCATENATE(C481,E481,I481)</f>
        <v/>
      </c>
      <c r="C481" s="8" t="n">
        <v>900002574</v>
      </c>
      <c r="D481" s="7">
        <f>IFERROR(VLOOKUP(C481,TRAOPE!$G:$H,2,0),"")</f>
        <v/>
      </c>
      <c r="E481" s="8" t="inlineStr">
        <is>
          <t>D836</t>
        </is>
      </c>
      <c r="F481" s="8" t="inlineStr">
        <is>
          <t>66805670</t>
        </is>
      </c>
      <c r="G481" s="8">
        <f>IFERROR(VLOOKUP(A481,Flete!$A:$E,5,0),"")</f>
        <v/>
      </c>
      <c r="H481" s="7">
        <f>IFERROR(VLOOKUP(F481,TRAOPE!$AA:$AB,2,0),"")</f>
        <v/>
      </c>
      <c r="I481" s="7" t="n">
        <v>10000160</v>
      </c>
      <c r="J481" s="7">
        <f>IFERROR(VLOOKUP(I481,Materiales!$A:$H,8,0),"")</f>
        <v/>
      </c>
      <c r="K481" s="9">
        <f>IFERROR(VLOOKUP(I481,Materiales!$A:$G,7,0),"")</f>
        <v/>
      </c>
      <c r="L481" s="8" t="inlineStr">
        <is>
          <t>20190426</t>
        </is>
      </c>
      <c r="M481" s="8" t="inlineStr">
        <is>
          <t>20250127</t>
        </is>
      </c>
      <c r="N481" s="10" t="n">
        <v>85</v>
      </c>
      <c r="O481" s="10">
        <f>IFERROR(VLOOKUP(A481,Flete!$A:$J,10,0),"")</f>
        <v/>
      </c>
      <c r="P481" s="8" t="inlineStr">
        <is>
          <t>M3</t>
        </is>
      </c>
      <c r="Q481" s="10">
        <f>IFERROR(IFERROR(VLOOKUP(A481,TRAOPE!$A:$U,21,0),VLOOKUP(B481,TRAOPE!$A:$U,21,0)),"")</f>
        <v/>
      </c>
      <c r="R481" s="8">
        <f>IFERROR(IFERROR(VLOOKUP(A481,TRAOPE!$A:$W,23,0),VLOOKUP(B481,TRAOPE!$A:$W,23,0)),"")</f>
        <v/>
      </c>
      <c r="S481" s="10">
        <f>IF(AND(P481="TN",R481="TN"),N481+N(O481),IF(G481&amp;""="1",N(K481)*N481,(N481+N(O481))*N(K481)))</f>
        <v/>
      </c>
      <c r="T481" s="10">
        <f>IF(Q481="","",Q481-S481)</f>
        <v/>
      </c>
    </row>
    <row r="482">
      <c r="A482" s="7">
        <f>CONCATENATE(C482,E482,F482,I482)</f>
        <v/>
      </c>
      <c r="B482" s="7">
        <f>CONCATENATE(C482,E482,I482)</f>
        <v/>
      </c>
      <c r="C482" s="8" t="n">
        <v>900002574</v>
      </c>
      <c r="D482" s="7">
        <f>IFERROR(VLOOKUP(C482,TRAOPE!$G:$H,2,0),"")</f>
        <v/>
      </c>
      <c r="E482" s="8" t="inlineStr">
        <is>
          <t>D836</t>
        </is>
      </c>
      <c r="F482" s="8" t="inlineStr">
        <is>
          <t>66805670</t>
        </is>
      </c>
      <c r="G482" s="8">
        <f>IFERROR(VLOOKUP(A482,Flete!$A:$E,5,0),"")</f>
        <v/>
      </c>
      <c r="H482" s="7">
        <f>IFERROR(VLOOKUP(F482,TRAOPE!$AA:$AB,2,0),"")</f>
        <v/>
      </c>
      <c r="I482" s="7" t="n">
        <v>10000357</v>
      </c>
      <c r="J482" s="7">
        <f>IFERROR(VLOOKUP(I482,Materiales!$A:$H,8,0),"")</f>
        <v/>
      </c>
      <c r="K482" s="9">
        <f>IFERROR(VLOOKUP(I482,Materiales!$A:$G,7,0),"")</f>
        <v/>
      </c>
      <c r="L482" s="8" t="inlineStr">
        <is>
          <t>20190426</t>
        </is>
      </c>
      <c r="M482" s="8" t="inlineStr">
        <is>
          <t>20250127</t>
        </is>
      </c>
      <c r="N482" s="10" t="n">
        <v>90</v>
      </c>
      <c r="O482" s="10">
        <f>IFERROR(VLOOKUP(A482,Flete!$A:$J,10,0),"")</f>
        <v/>
      </c>
      <c r="P482" s="8" t="inlineStr">
        <is>
          <t>M3</t>
        </is>
      </c>
      <c r="Q482" s="10">
        <f>IFERROR(IFERROR(VLOOKUP(A482,TRAOPE!$A:$U,21,0),VLOOKUP(B482,TRAOPE!$A:$U,21,0)),"")</f>
        <v/>
      </c>
      <c r="R482" s="8">
        <f>IFERROR(IFERROR(VLOOKUP(A482,TRAOPE!$A:$W,23,0),VLOOKUP(B482,TRAOPE!$A:$W,23,0)),"")</f>
        <v/>
      </c>
      <c r="S482" s="10">
        <f>IF(AND(P482="TN",R482="TN"),N482+N(O482),IF(G482&amp;""="1",N(K482)*N482,(N482+N(O482))*N(K482)))</f>
        <v/>
      </c>
      <c r="T482" s="10">
        <f>IF(Q482="","",Q482-S482)</f>
        <v/>
      </c>
    </row>
    <row r="483">
      <c r="A483" s="7">
        <f>CONCATENATE(C483,E483,F483,I483)</f>
        <v/>
      </c>
      <c r="B483" s="7">
        <f>CONCATENATE(C483,E483,I483)</f>
        <v/>
      </c>
      <c r="C483" s="8" t="n">
        <v>900002574</v>
      </c>
      <c r="D483" s="7">
        <f>IFERROR(VLOOKUP(C483,TRAOPE!$G:$H,2,0),"")</f>
        <v/>
      </c>
      <c r="E483" s="8" t="inlineStr">
        <is>
          <t>D836</t>
        </is>
      </c>
      <c r="F483" s="8" t="inlineStr">
        <is>
          <t>66805889</t>
        </is>
      </c>
      <c r="G483" s="8">
        <f>IFERROR(VLOOKUP(A483,Flete!$A:$E,5,0),"")</f>
        <v/>
      </c>
      <c r="H483" s="7">
        <f>IFERROR(VLOOKUP(F483,TRAOPE!$AA:$AB,2,0),"")</f>
        <v/>
      </c>
      <c r="I483" s="7" t="n">
        <v>10000160</v>
      </c>
      <c r="J483" s="7">
        <f>IFERROR(VLOOKUP(I483,Materiales!$A:$H,8,0),"")</f>
        <v/>
      </c>
      <c r="K483" s="9">
        <f>IFERROR(VLOOKUP(I483,Materiales!$A:$G,7,0),"")</f>
        <v/>
      </c>
      <c r="L483" s="8" t="inlineStr">
        <is>
          <t>20190426</t>
        </is>
      </c>
      <c r="M483" s="8" t="inlineStr">
        <is>
          <t>20250127</t>
        </is>
      </c>
      <c r="N483" s="10" t="n">
        <v>227.17</v>
      </c>
      <c r="O483" s="10">
        <f>IFERROR(VLOOKUP(A483,Flete!$A:$J,10,0),"")</f>
        <v/>
      </c>
      <c r="P483" s="8" t="inlineStr">
        <is>
          <t>M3</t>
        </is>
      </c>
      <c r="Q483" s="10">
        <f>IFERROR(IFERROR(VLOOKUP(A483,TRAOPE!$A:$U,21,0),VLOOKUP(B483,TRAOPE!$A:$U,21,0)),"")</f>
        <v/>
      </c>
      <c r="R483" s="8">
        <f>IFERROR(IFERROR(VLOOKUP(A483,TRAOPE!$A:$W,23,0),VLOOKUP(B483,TRAOPE!$A:$W,23,0)),"")</f>
        <v/>
      </c>
      <c r="S483" s="10">
        <f>IF(AND(P483="TN",R483="TN"),N483+N(O483),IF(G483&amp;""="1",N(K483)*N483,(N483+N(O483))*N(K483)))</f>
        <v/>
      </c>
      <c r="T483" s="10">
        <f>IF(Q483="","",Q483-S483)</f>
        <v/>
      </c>
    </row>
    <row r="484">
      <c r="A484" s="7">
        <f>CONCATENATE(C484,E484,F484,I484)</f>
        <v/>
      </c>
      <c r="B484" s="7">
        <f>CONCATENATE(C484,E484,I484)</f>
        <v/>
      </c>
      <c r="C484" s="8" t="n">
        <v>900002574</v>
      </c>
      <c r="D484" s="7">
        <f>IFERROR(VLOOKUP(C484,TRAOPE!$G:$H,2,0),"")</f>
        <v/>
      </c>
      <c r="E484" s="8" t="inlineStr">
        <is>
          <t>D836</t>
        </is>
      </c>
      <c r="F484" s="8" t="inlineStr">
        <is>
          <t>66805889</t>
        </is>
      </c>
      <c r="G484" s="8">
        <f>IFERROR(VLOOKUP(A484,Flete!$A:$E,5,0),"")</f>
        <v/>
      </c>
      <c r="H484" s="7">
        <f>IFERROR(VLOOKUP(F484,TRAOPE!$AA:$AB,2,0),"")</f>
        <v/>
      </c>
      <c r="I484" s="7" t="n">
        <v>10000357</v>
      </c>
      <c r="J484" s="7">
        <f>IFERROR(VLOOKUP(I484,Materiales!$A:$H,8,0),"")</f>
        <v/>
      </c>
      <c r="K484" s="9">
        <f>IFERROR(VLOOKUP(I484,Materiales!$A:$G,7,0),"")</f>
        <v/>
      </c>
      <c r="L484" s="8" t="inlineStr">
        <is>
          <t>20190426</t>
        </is>
      </c>
      <c r="M484" s="8" t="inlineStr">
        <is>
          <t>20250127</t>
        </is>
      </c>
      <c r="N484" s="10" t="n">
        <v>265.93</v>
      </c>
      <c r="O484" s="10">
        <f>IFERROR(VLOOKUP(A484,Flete!$A:$J,10,0),"")</f>
        <v/>
      </c>
      <c r="P484" s="8" t="inlineStr">
        <is>
          <t>M3</t>
        </is>
      </c>
      <c r="Q484" s="10">
        <f>IFERROR(IFERROR(VLOOKUP(A484,TRAOPE!$A:$U,21,0),VLOOKUP(B484,TRAOPE!$A:$U,21,0)),"")</f>
        <v/>
      </c>
      <c r="R484" s="8">
        <f>IFERROR(IFERROR(VLOOKUP(A484,TRAOPE!$A:$W,23,0),VLOOKUP(B484,TRAOPE!$A:$W,23,0)),"")</f>
        <v/>
      </c>
      <c r="S484" s="10">
        <f>IF(AND(P484="TN",R484="TN"),N484+N(O484),IF(G484&amp;""="1",N(K484)*N484,(N484+N(O484))*N(K484)))</f>
        <v/>
      </c>
      <c r="T484" s="10">
        <f>IF(Q484="","",Q484-S484)</f>
        <v/>
      </c>
    </row>
    <row r="485">
      <c r="A485" s="7">
        <f>CONCATENATE(C485,E485,F485,I485)</f>
        <v/>
      </c>
      <c r="B485" s="7">
        <f>CONCATENATE(C485,E485,I485)</f>
        <v/>
      </c>
      <c r="C485" s="8" t="n">
        <v>900002574</v>
      </c>
      <c r="D485" s="7">
        <f>IFERROR(VLOOKUP(C485,TRAOPE!$G:$H,2,0),"")</f>
        <v/>
      </c>
      <c r="E485" s="8" t="inlineStr">
        <is>
          <t>D836</t>
        </is>
      </c>
      <c r="F485" s="8" t="inlineStr">
        <is>
          <t>66808006</t>
        </is>
      </c>
      <c r="G485" s="8">
        <f>IFERROR(VLOOKUP(A485,Flete!$A:$E,5,0),"")</f>
        <v/>
      </c>
      <c r="H485" s="7">
        <f>IFERROR(VLOOKUP(F485,TRAOPE!$AA:$AB,2,0),"")</f>
        <v/>
      </c>
      <c r="I485" s="7" t="n">
        <v>10000133</v>
      </c>
      <c r="J485" s="7">
        <f>IFERROR(VLOOKUP(I485,Materiales!$A:$H,8,0),"")</f>
        <v/>
      </c>
      <c r="K485" s="9">
        <f>IFERROR(VLOOKUP(I485,Materiales!$A:$G,7,0),"")</f>
        <v/>
      </c>
      <c r="L485" s="8" t="inlineStr">
        <is>
          <t>20190426</t>
        </is>
      </c>
      <c r="M485" s="8" t="inlineStr">
        <is>
          <t>20250127</t>
        </is>
      </c>
      <c r="N485" s="10" t="n">
        <v>262.5</v>
      </c>
      <c r="O485" s="10">
        <f>IFERROR(VLOOKUP(A485,Flete!$A:$J,10,0),"")</f>
        <v/>
      </c>
      <c r="P485" s="8" t="inlineStr">
        <is>
          <t>M3</t>
        </is>
      </c>
      <c r="Q485" s="10">
        <f>IFERROR(IFERROR(VLOOKUP(A485,TRAOPE!$A:$U,21,0),VLOOKUP(B485,TRAOPE!$A:$U,21,0)),"")</f>
        <v/>
      </c>
      <c r="R485" s="8">
        <f>IFERROR(IFERROR(VLOOKUP(A485,TRAOPE!$A:$W,23,0),VLOOKUP(B485,TRAOPE!$A:$W,23,0)),"")</f>
        <v/>
      </c>
      <c r="S485" s="10">
        <f>IF(AND(P485="TN",R485="TN"),N485+N(O485),IF(G485&amp;""="1",N(K485)*N485,(N485+N(O485))*N(K485)))</f>
        <v/>
      </c>
      <c r="T485" s="10">
        <f>IF(Q485="","",Q485-S485)</f>
        <v/>
      </c>
    </row>
    <row r="486">
      <c r="A486" s="7">
        <f>CONCATENATE(C486,E486,F486,I486)</f>
        <v/>
      </c>
      <c r="B486" s="7">
        <f>CONCATENATE(C486,E486,I486)</f>
        <v/>
      </c>
      <c r="C486" s="8" t="n">
        <v>900002574</v>
      </c>
      <c r="D486" s="7">
        <f>IFERROR(VLOOKUP(C486,TRAOPE!$G:$H,2,0),"")</f>
        <v/>
      </c>
      <c r="E486" s="8" t="inlineStr">
        <is>
          <t>D836</t>
        </is>
      </c>
      <c r="F486" s="8" t="inlineStr">
        <is>
          <t>66808006</t>
        </is>
      </c>
      <c r="G486" s="8">
        <f>IFERROR(VLOOKUP(A486,Flete!$A:$E,5,0),"")</f>
        <v/>
      </c>
      <c r="H486" s="7">
        <f>IFERROR(VLOOKUP(F486,TRAOPE!$AA:$AB,2,0),"")</f>
        <v/>
      </c>
      <c r="I486" s="7" t="n">
        <v>10000160</v>
      </c>
      <c r="J486" s="7">
        <f>IFERROR(VLOOKUP(I486,Materiales!$A:$H,8,0),"")</f>
        <v/>
      </c>
      <c r="K486" s="9">
        <f>IFERROR(VLOOKUP(I486,Materiales!$A:$G,7,0),"")</f>
        <v/>
      </c>
      <c r="L486" s="8" t="inlineStr">
        <is>
          <t>20190426</t>
        </is>
      </c>
      <c r="M486" s="8" t="inlineStr">
        <is>
          <t>20250127</t>
        </is>
      </c>
      <c r="N486" s="10" t="n">
        <v>100</v>
      </c>
      <c r="O486" s="10">
        <f>IFERROR(VLOOKUP(A486,Flete!$A:$J,10,0),"")</f>
        <v/>
      </c>
      <c r="P486" s="8" t="inlineStr">
        <is>
          <t>M3</t>
        </is>
      </c>
      <c r="Q486" s="10">
        <f>IFERROR(IFERROR(VLOOKUP(A486,TRAOPE!$A:$U,21,0),VLOOKUP(B486,TRAOPE!$A:$U,21,0)),"")</f>
        <v/>
      </c>
      <c r="R486" s="8">
        <f>IFERROR(IFERROR(VLOOKUP(A486,TRAOPE!$A:$W,23,0),VLOOKUP(B486,TRAOPE!$A:$W,23,0)),"")</f>
        <v/>
      </c>
      <c r="S486" s="10">
        <f>IF(AND(P486="TN",R486="TN"),N486+N(O486),IF(G486&amp;""="1",N(K486)*N486,(N486+N(O486))*N(K486)))</f>
        <v/>
      </c>
      <c r="T486" s="10">
        <f>IF(Q486="","",Q486-S486)</f>
        <v/>
      </c>
    </row>
    <row r="487">
      <c r="A487" s="7">
        <f>CONCATENATE(C487,E487,F487,I487)</f>
        <v/>
      </c>
      <c r="B487" s="7">
        <f>CONCATENATE(C487,E487,I487)</f>
        <v/>
      </c>
      <c r="C487" s="8" t="n">
        <v>900002574</v>
      </c>
      <c r="D487" s="7">
        <f>IFERROR(VLOOKUP(C487,TRAOPE!$G:$H,2,0),"")</f>
        <v/>
      </c>
      <c r="E487" s="8" t="inlineStr">
        <is>
          <t>D836</t>
        </is>
      </c>
      <c r="F487" s="8" t="inlineStr">
        <is>
          <t>66808006</t>
        </is>
      </c>
      <c r="G487" s="8">
        <f>IFERROR(VLOOKUP(A487,Flete!$A:$E,5,0),"")</f>
        <v/>
      </c>
      <c r="H487" s="7">
        <f>IFERROR(VLOOKUP(F487,TRAOPE!$AA:$AB,2,0),"")</f>
        <v/>
      </c>
      <c r="I487" s="7" t="n">
        <v>10000357</v>
      </c>
      <c r="J487" s="7">
        <f>IFERROR(VLOOKUP(I487,Materiales!$A:$H,8,0),"")</f>
        <v/>
      </c>
      <c r="K487" s="9">
        <f>IFERROR(VLOOKUP(I487,Materiales!$A:$G,7,0),"")</f>
        <v/>
      </c>
      <c r="L487" s="8" t="inlineStr">
        <is>
          <t>20190426</t>
        </is>
      </c>
      <c r="M487" s="8" t="inlineStr">
        <is>
          <t>20250127</t>
        </is>
      </c>
      <c r="N487" s="10" t="n">
        <v>102.5</v>
      </c>
      <c r="O487" s="10">
        <f>IFERROR(VLOOKUP(A487,Flete!$A:$J,10,0),"")</f>
        <v/>
      </c>
      <c r="P487" s="8" t="inlineStr">
        <is>
          <t>M3</t>
        </is>
      </c>
      <c r="Q487" s="10">
        <f>IFERROR(IFERROR(VLOOKUP(A487,TRAOPE!$A:$U,21,0),VLOOKUP(B487,TRAOPE!$A:$U,21,0)),"")</f>
        <v/>
      </c>
      <c r="R487" s="8">
        <f>IFERROR(IFERROR(VLOOKUP(A487,TRAOPE!$A:$W,23,0),VLOOKUP(B487,TRAOPE!$A:$W,23,0)),"")</f>
        <v/>
      </c>
      <c r="S487" s="10">
        <f>IF(AND(P487="TN",R487="TN"),N487+N(O487),IF(G487&amp;""="1",N(K487)*N487,(N487+N(O487))*N(K487)))</f>
        <v/>
      </c>
      <c r="T487" s="10">
        <f>IF(Q487="","",Q487-S487)</f>
        <v/>
      </c>
    </row>
    <row r="488">
      <c r="A488" s="7">
        <f>CONCATENATE(C488,E488,F488,I488)</f>
        <v/>
      </c>
      <c r="B488" s="7">
        <f>CONCATENATE(C488,E488,I488)</f>
        <v/>
      </c>
      <c r="C488" s="8" t="n">
        <v>900002574</v>
      </c>
      <c r="D488" s="7">
        <f>IFERROR(VLOOKUP(C488,TRAOPE!$G:$H,2,0),"")</f>
        <v/>
      </c>
      <c r="E488" s="8" t="inlineStr">
        <is>
          <t>D836</t>
        </is>
      </c>
      <c r="F488" s="8" t="inlineStr">
        <is>
          <t>66808006</t>
        </is>
      </c>
      <c r="G488" s="8">
        <f>IFERROR(VLOOKUP(A488,Flete!$A:$E,5,0),"")</f>
        <v/>
      </c>
      <c r="H488" s="7">
        <f>IFERROR(VLOOKUP(F488,TRAOPE!$AA:$AB,2,0),"")</f>
        <v/>
      </c>
      <c r="I488" s="7" t="n">
        <v>10058345</v>
      </c>
      <c r="J488" s="7">
        <f>IFERROR(VLOOKUP(I488,Materiales!$A:$H,8,0),"")</f>
        <v/>
      </c>
      <c r="K488" s="9">
        <f>IFERROR(VLOOKUP(I488,Materiales!$A:$G,7,0),"")</f>
        <v/>
      </c>
      <c r="L488" s="8" t="inlineStr">
        <is>
          <t>20190426</t>
        </is>
      </c>
      <c r="M488" s="8" t="inlineStr">
        <is>
          <t>20250127</t>
        </is>
      </c>
      <c r="N488" s="10" t="n">
        <v>227.5</v>
      </c>
      <c r="O488" s="10">
        <f>IFERROR(VLOOKUP(A488,Flete!$A:$J,10,0),"")</f>
        <v/>
      </c>
      <c r="P488" s="8" t="inlineStr">
        <is>
          <t>M3</t>
        </is>
      </c>
      <c r="Q488" s="10">
        <f>IFERROR(IFERROR(VLOOKUP(A488,TRAOPE!$A:$U,21,0),VLOOKUP(B488,TRAOPE!$A:$U,21,0)),"")</f>
        <v/>
      </c>
      <c r="R488" s="8">
        <f>IFERROR(IFERROR(VLOOKUP(A488,TRAOPE!$A:$W,23,0),VLOOKUP(B488,TRAOPE!$A:$W,23,0)),"")</f>
        <v/>
      </c>
      <c r="S488" s="10">
        <f>IF(AND(P488="TN",R488="TN"),N488+N(O488),IF(G488&amp;""="1",N(K488)*N488,(N488+N(O488))*N(K488)))</f>
        <v/>
      </c>
      <c r="T488" s="10">
        <f>IF(Q488="","",Q488-S488)</f>
        <v/>
      </c>
    </row>
    <row r="489">
      <c r="A489" s="7">
        <f>CONCATENATE(C489,E489,F489,I489)</f>
        <v/>
      </c>
      <c r="B489" s="7">
        <f>CONCATENATE(C489,E489,I489)</f>
        <v/>
      </c>
      <c r="C489" s="8" t="n">
        <v>900002574</v>
      </c>
      <c r="D489" s="7">
        <f>IFERROR(VLOOKUP(C489,TRAOPE!$G:$H,2,0),"")</f>
        <v/>
      </c>
      <c r="E489" s="8" t="inlineStr">
        <is>
          <t>D836</t>
        </is>
      </c>
      <c r="F489" s="8" t="inlineStr">
        <is>
          <t>66808556</t>
        </is>
      </c>
      <c r="G489" s="8">
        <f>IFERROR(VLOOKUP(A489,Flete!$A:$E,5,0),"")</f>
        <v/>
      </c>
      <c r="H489" s="7">
        <f>IFERROR(VLOOKUP(F489,TRAOPE!$AA:$AB,2,0),"")</f>
        <v/>
      </c>
      <c r="I489" s="7" t="n">
        <v>10000133</v>
      </c>
      <c r="J489" s="7">
        <f>IFERROR(VLOOKUP(I489,Materiales!$A:$H,8,0),"")</f>
        <v/>
      </c>
      <c r="K489" s="9">
        <f>IFERROR(VLOOKUP(I489,Materiales!$A:$G,7,0),"")</f>
        <v/>
      </c>
      <c r="L489" s="8" t="inlineStr">
        <is>
          <t>20190426</t>
        </is>
      </c>
      <c r="M489" s="8" t="inlineStr">
        <is>
          <t>20250127</t>
        </is>
      </c>
      <c r="N489" s="10" t="n">
        <v>175.97</v>
      </c>
      <c r="O489" s="10">
        <f>IFERROR(VLOOKUP(A489,Flete!$A:$J,10,0),"")</f>
        <v/>
      </c>
      <c r="P489" s="8" t="inlineStr">
        <is>
          <t>M3</t>
        </is>
      </c>
      <c r="Q489" s="10">
        <f>IFERROR(IFERROR(VLOOKUP(A489,TRAOPE!$A:$U,21,0),VLOOKUP(B489,TRAOPE!$A:$U,21,0)),"")</f>
        <v/>
      </c>
      <c r="R489" s="8">
        <f>IFERROR(IFERROR(VLOOKUP(A489,TRAOPE!$A:$W,23,0),VLOOKUP(B489,TRAOPE!$A:$W,23,0)),"")</f>
        <v/>
      </c>
      <c r="S489" s="10">
        <f>IF(AND(P489="TN",R489="TN"),N489+N(O489),IF(G489&amp;""="1",N(K489)*N489,(N489+N(O489))*N(K489)))</f>
        <v/>
      </c>
      <c r="T489" s="10">
        <f>IF(Q489="","",Q489-S489)</f>
        <v/>
      </c>
    </row>
    <row r="490">
      <c r="A490" s="7">
        <f>CONCATENATE(C490,E490,F490,I490)</f>
        <v/>
      </c>
      <c r="B490" s="7">
        <f>CONCATENATE(C490,E490,I490)</f>
        <v/>
      </c>
      <c r="C490" s="8" t="n">
        <v>900002574</v>
      </c>
      <c r="D490" s="7">
        <f>IFERROR(VLOOKUP(C490,TRAOPE!$G:$H,2,0),"")</f>
        <v/>
      </c>
      <c r="E490" s="8" t="inlineStr">
        <is>
          <t>D836</t>
        </is>
      </c>
      <c r="F490" s="8" t="inlineStr">
        <is>
          <t>66808556</t>
        </is>
      </c>
      <c r="G490" s="8">
        <f>IFERROR(VLOOKUP(A490,Flete!$A:$E,5,0),"")</f>
        <v/>
      </c>
      <c r="H490" s="7">
        <f>IFERROR(VLOOKUP(F490,TRAOPE!$AA:$AB,2,0),"")</f>
        <v/>
      </c>
      <c r="I490" s="7" t="n">
        <v>10000160</v>
      </c>
      <c r="J490" s="7">
        <f>IFERROR(VLOOKUP(I490,Materiales!$A:$H,8,0),"")</f>
        <v/>
      </c>
      <c r="K490" s="9">
        <f>IFERROR(VLOOKUP(I490,Materiales!$A:$G,7,0),"")</f>
        <v/>
      </c>
      <c r="L490" s="8" t="inlineStr">
        <is>
          <t>20190426</t>
        </is>
      </c>
      <c r="M490" s="8" t="inlineStr">
        <is>
          <t>20250127</t>
        </is>
      </c>
      <c r="N490" s="10" t="n">
        <v>116.97</v>
      </c>
      <c r="O490" s="10">
        <f>IFERROR(VLOOKUP(A490,Flete!$A:$J,10,0),"")</f>
        <v/>
      </c>
      <c r="P490" s="8" t="inlineStr">
        <is>
          <t>M3</t>
        </is>
      </c>
      <c r="Q490" s="10">
        <f>IFERROR(IFERROR(VLOOKUP(A490,TRAOPE!$A:$U,21,0),VLOOKUP(B490,TRAOPE!$A:$U,21,0)),"")</f>
        <v/>
      </c>
      <c r="R490" s="8">
        <f>IFERROR(IFERROR(VLOOKUP(A490,TRAOPE!$A:$W,23,0),VLOOKUP(B490,TRAOPE!$A:$W,23,0)),"")</f>
        <v/>
      </c>
      <c r="S490" s="10">
        <f>IF(AND(P490="TN",R490="TN"),N490+N(O490),IF(G490&amp;""="1",N(K490)*N490,(N490+N(O490))*N(K490)))</f>
        <v/>
      </c>
      <c r="T490" s="10">
        <f>IF(Q490="","",Q490-S490)</f>
        <v/>
      </c>
    </row>
    <row r="491">
      <c r="A491" s="7">
        <f>CONCATENATE(C491,E491,F491,I491)</f>
        <v/>
      </c>
      <c r="B491" s="7">
        <f>CONCATENATE(C491,E491,I491)</f>
        <v/>
      </c>
      <c r="C491" s="8" t="n">
        <v>900002574</v>
      </c>
      <c r="D491" s="7">
        <f>IFERROR(VLOOKUP(C491,TRAOPE!$G:$H,2,0),"")</f>
        <v/>
      </c>
      <c r="E491" s="8" t="inlineStr">
        <is>
          <t>D836</t>
        </is>
      </c>
      <c r="F491" s="8" t="inlineStr">
        <is>
          <t>66808556</t>
        </is>
      </c>
      <c r="G491" s="8">
        <f>IFERROR(VLOOKUP(A491,Flete!$A:$E,5,0),"")</f>
        <v/>
      </c>
      <c r="H491" s="7">
        <f>IFERROR(VLOOKUP(F491,TRAOPE!$AA:$AB,2,0),"")</f>
        <v/>
      </c>
      <c r="I491" s="7" t="n">
        <v>10000357</v>
      </c>
      <c r="J491" s="7">
        <f>IFERROR(VLOOKUP(I491,Materiales!$A:$H,8,0),"")</f>
        <v/>
      </c>
      <c r="K491" s="9">
        <f>IFERROR(VLOOKUP(I491,Materiales!$A:$G,7,0),"")</f>
        <v/>
      </c>
      <c r="L491" s="8" t="inlineStr">
        <is>
          <t>20190426</t>
        </is>
      </c>
      <c r="M491" s="8" t="inlineStr">
        <is>
          <t>20250127</t>
        </is>
      </c>
      <c r="N491" s="10" t="n">
        <v>131.97</v>
      </c>
      <c r="O491" s="10">
        <f>IFERROR(VLOOKUP(A491,Flete!$A:$J,10,0),"")</f>
        <v/>
      </c>
      <c r="P491" s="8" t="inlineStr">
        <is>
          <t>M3</t>
        </is>
      </c>
      <c r="Q491" s="10">
        <f>IFERROR(IFERROR(VLOOKUP(A491,TRAOPE!$A:$U,21,0),VLOOKUP(B491,TRAOPE!$A:$U,21,0)),"")</f>
        <v/>
      </c>
      <c r="R491" s="8">
        <f>IFERROR(IFERROR(VLOOKUP(A491,TRAOPE!$A:$W,23,0),VLOOKUP(B491,TRAOPE!$A:$W,23,0)),"")</f>
        <v/>
      </c>
      <c r="S491" s="10">
        <f>IF(AND(P491="TN",R491="TN"),N491+N(O491),IF(G491&amp;""="1",N(K491)*N491,(N491+N(O491))*N(K491)))</f>
        <v/>
      </c>
      <c r="T491" s="10">
        <f>IF(Q491="","",Q491-S491)</f>
        <v/>
      </c>
    </row>
    <row r="492">
      <c r="A492" s="7">
        <f>CONCATENATE(C492,E492,F492,I492)</f>
        <v/>
      </c>
      <c r="B492" s="7">
        <f>CONCATENATE(C492,E492,I492)</f>
        <v/>
      </c>
      <c r="C492" s="8" t="n">
        <v>900002574</v>
      </c>
      <c r="D492" s="7">
        <f>IFERROR(VLOOKUP(C492,TRAOPE!$G:$H,2,0),"")</f>
        <v/>
      </c>
      <c r="E492" s="8" t="inlineStr">
        <is>
          <t>D836</t>
        </is>
      </c>
      <c r="F492" s="8" t="inlineStr">
        <is>
          <t>66808556</t>
        </is>
      </c>
      <c r="G492" s="8">
        <f>IFERROR(VLOOKUP(A492,Flete!$A:$E,5,0),"")</f>
        <v/>
      </c>
      <c r="H492" s="7">
        <f>IFERROR(VLOOKUP(F492,TRAOPE!$AA:$AB,2,0),"")</f>
        <v/>
      </c>
      <c r="I492" s="7" t="n">
        <v>10000623</v>
      </c>
      <c r="J492" s="7">
        <f>IFERROR(VLOOKUP(I492,Materiales!$A:$H,8,0),"")</f>
        <v/>
      </c>
      <c r="K492" s="9">
        <f>IFERROR(VLOOKUP(I492,Materiales!$A:$G,7,0),"")</f>
        <v/>
      </c>
      <c r="L492" s="8" t="inlineStr">
        <is>
          <t>20190426</t>
        </is>
      </c>
      <c r="M492" s="8" t="inlineStr">
        <is>
          <t>20250127</t>
        </is>
      </c>
      <c r="N492" s="10" t="n">
        <v>205.97</v>
      </c>
      <c r="O492" s="10">
        <f>IFERROR(VLOOKUP(A492,Flete!$A:$J,10,0),"")</f>
        <v/>
      </c>
      <c r="P492" s="8" t="inlineStr">
        <is>
          <t>M3</t>
        </is>
      </c>
      <c r="Q492" s="10">
        <f>IFERROR(IFERROR(VLOOKUP(A492,TRAOPE!$A:$U,21,0),VLOOKUP(B492,TRAOPE!$A:$U,21,0)),"")</f>
        <v/>
      </c>
      <c r="R492" s="8">
        <f>IFERROR(IFERROR(VLOOKUP(A492,TRAOPE!$A:$W,23,0),VLOOKUP(B492,TRAOPE!$A:$W,23,0)),"")</f>
        <v/>
      </c>
      <c r="S492" s="10">
        <f>IF(AND(P492="TN",R492="TN"),N492+N(O492),IF(G492&amp;""="1",N(K492)*N492,(N492+N(O492))*N(K492)))</f>
        <v/>
      </c>
      <c r="T492" s="10">
        <f>IF(Q492="","",Q492-S492)</f>
        <v/>
      </c>
    </row>
    <row r="493">
      <c r="A493" s="7">
        <f>CONCATENATE(C493,E493,F493,I493)</f>
        <v/>
      </c>
      <c r="B493" s="7">
        <f>CONCATENATE(C493,E493,I493)</f>
        <v/>
      </c>
      <c r="C493" s="8" t="n">
        <v>900002574</v>
      </c>
      <c r="D493" s="7">
        <f>IFERROR(VLOOKUP(C493,TRAOPE!$G:$H,2,0),"")</f>
        <v/>
      </c>
      <c r="E493" s="8" t="inlineStr">
        <is>
          <t>D836</t>
        </is>
      </c>
      <c r="F493" s="8" t="inlineStr">
        <is>
          <t>66808556</t>
        </is>
      </c>
      <c r="G493" s="8">
        <f>IFERROR(VLOOKUP(A493,Flete!$A:$E,5,0),"")</f>
        <v/>
      </c>
      <c r="H493" s="7">
        <f>IFERROR(VLOOKUP(F493,TRAOPE!$AA:$AB,2,0),"")</f>
        <v/>
      </c>
      <c r="I493" s="7" t="n">
        <v>10000649</v>
      </c>
      <c r="J493" s="7">
        <f>IFERROR(VLOOKUP(I493,Materiales!$A:$H,8,0),"")</f>
        <v/>
      </c>
      <c r="K493" s="9">
        <f>IFERROR(VLOOKUP(I493,Materiales!$A:$G,7,0),"")</f>
        <v/>
      </c>
      <c r="L493" s="8" t="inlineStr">
        <is>
          <t>20190426</t>
        </is>
      </c>
      <c r="M493" s="8" t="inlineStr">
        <is>
          <t>20250127</t>
        </is>
      </c>
      <c r="N493" s="10" t="n">
        <v>156.97</v>
      </c>
      <c r="O493" s="10">
        <f>IFERROR(VLOOKUP(A493,Flete!$A:$J,10,0),"")</f>
        <v/>
      </c>
      <c r="P493" s="8" t="inlineStr">
        <is>
          <t>M3</t>
        </is>
      </c>
      <c r="Q493" s="10">
        <f>IFERROR(IFERROR(VLOOKUP(A493,TRAOPE!$A:$U,21,0),VLOOKUP(B493,TRAOPE!$A:$U,21,0)),"")</f>
        <v/>
      </c>
      <c r="R493" s="8">
        <f>IFERROR(IFERROR(VLOOKUP(A493,TRAOPE!$A:$W,23,0),VLOOKUP(B493,TRAOPE!$A:$W,23,0)),"")</f>
        <v/>
      </c>
      <c r="S493" s="10">
        <f>IF(AND(P493="TN",R493="TN"),N493+N(O493),IF(G493&amp;""="1",N(K493)*N493,(N493+N(O493))*N(K493)))</f>
        <v/>
      </c>
      <c r="T493" s="10">
        <f>IF(Q493="","",Q493-S493)</f>
        <v/>
      </c>
    </row>
    <row r="494">
      <c r="A494" s="7">
        <f>CONCATENATE(C494,E494,F494,I494)</f>
        <v/>
      </c>
      <c r="B494" s="7">
        <f>CONCATENATE(C494,E494,I494)</f>
        <v/>
      </c>
      <c r="C494" s="8" t="n">
        <v>900002574</v>
      </c>
      <c r="D494" s="7">
        <f>IFERROR(VLOOKUP(C494,TRAOPE!$G:$H,2,0),"")</f>
        <v/>
      </c>
      <c r="E494" s="8" t="inlineStr">
        <is>
          <t>D836</t>
        </is>
      </c>
      <c r="F494" s="8" t="inlineStr">
        <is>
          <t>66808556</t>
        </is>
      </c>
      <c r="G494" s="8">
        <f>IFERROR(VLOOKUP(A494,Flete!$A:$E,5,0),"")</f>
        <v/>
      </c>
      <c r="H494" s="7">
        <f>IFERROR(VLOOKUP(F494,TRAOPE!$AA:$AB,2,0),"")</f>
        <v/>
      </c>
      <c r="I494" s="7" t="n">
        <v>10058345</v>
      </c>
      <c r="J494" s="7">
        <f>IFERROR(VLOOKUP(I494,Materiales!$A:$H,8,0),"")</f>
        <v/>
      </c>
      <c r="K494" s="9">
        <f>IFERROR(VLOOKUP(I494,Materiales!$A:$G,7,0),"")</f>
        <v/>
      </c>
      <c r="L494" s="8" t="inlineStr">
        <is>
          <t>20190426</t>
        </is>
      </c>
      <c r="M494" s="8" t="inlineStr">
        <is>
          <t>20250127</t>
        </is>
      </c>
      <c r="N494" s="10" t="n">
        <v>140.97</v>
      </c>
      <c r="O494" s="10">
        <f>IFERROR(VLOOKUP(A494,Flete!$A:$J,10,0),"")</f>
        <v/>
      </c>
      <c r="P494" s="8" t="inlineStr">
        <is>
          <t>M3</t>
        </is>
      </c>
      <c r="Q494" s="10">
        <f>IFERROR(IFERROR(VLOOKUP(A494,TRAOPE!$A:$U,21,0),VLOOKUP(B494,TRAOPE!$A:$U,21,0)),"")</f>
        <v/>
      </c>
      <c r="R494" s="8">
        <f>IFERROR(IFERROR(VLOOKUP(A494,TRAOPE!$A:$W,23,0),VLOOKUP(B494,TRAOPE!$A:$W,23,0)),"")</f>
        <v/>
      </c>
      <c r="S494" s="10">
        <f>IF(AND(P494="TN",R494="TN"),N494+N(O494),IF(G494&amp;""="1",N(K494)*N494,(N494+N(O494))*N(K494)))</f>
        <v/>
      </c>
      <c r="T494" s="10">
        <f>IF(Q494="","",Q494-S494)</f>
        <v/>
      </c>
    </row>
    <row r="495">
      <c r="A495" s="7">
        <f>CONCATENATE(C495,E495,F495,I495)</f>
        <v/>
      </c>
      <c r="B495" s="7">
        <f>CONCATENATE(C495,E495,I495)</f>
        <v/>
      </c>
      <c r="C495" s="8" t="n">
        <v>900002574</v>
      </c>
      <c r="D495" s="7">
        <f>IFERROR(VLOOKUP(C495,TRAOPE!$G:$H,2,0),"")</f>
        <v/>
      </c>
      <c r="E495" s="8" t="inlineStr">
        <is>
          <t>D836</t>
        </is>
      </c>
      <c r="F495" s="8" t="inlineStr">
        <is>
          <t>66808566</t>
        </is>
      </c>
      <c r="G495" s="8">
        <f>IFERROR(VLOOKUP(A495,Flete!$A:$E,5,0),"")</f>
        <v/>
      </c>
      <c r="H495" s="7">
        <f>IFERROR(VLOOKUP(F495,TRAOPE!$AA:$AB,2,0),"")</f>
        <v/>
      </c>
      <c r="I495" s="7" t="n">
        <v>10000160</v>
      </c>
      <c r="J495" s="7">
        <f>IFERROR(VLOOKUP(I495,Materiales!$A:$H,8,0),"")</f>
        <v/>
      </c>
      <c r="K495" s="9">
        <f>IFERROR(VLOOKUP(I495,Materiales!$A:$G,7,0),"")</f>
        <v/>
      </c>
      <c r="L495" s="8" t="inlineStr">
        <is>
          <t>20190426</t>
        </is>
      </c>
      <c r="M495" s="8" t="inlineStr">
        <is>
          <t>20250127</t>
        </is>
      </c>
      <c r="N495" s="10" t="n">
        <v>220</v>
      </c>
      <c r="O495" s="10">
        <f>IFERROR(VLOOKUP(A495,Flete!$A:$J,10,0),"")</f>
        <v/>
      </c>
      <c r="P495" s="8" t="inlineStr">
        <is>
          <t>M3</t>
        </is>
      </c>
      <c r="Q495" s="10">
        <f>IFERROR(IFERROR(VLOOKUP(A495,TRAOPE!$A:$U,21,0),VLOOKUP(B495,TRAOPE!$A:$U,21,0)),"")</f>
        <v/>
      </c>
      <c r="R495" s="8">
        <f>IFERROR(IFERROR(VLOOKUP(A495,TRAOPE!$A:$W,23,0),VLOOKUP(B495,TRAOPE!$A:$W,23,0)),"")</f>
        <v/>
      </c>
      <c r="S495" s="10">
        <f>IF(AND(P495="TN",R495="TN"),N495+N(O495),IF(G495&amp;""="1",N(K495)*N495,(N495+N(O495))*N(K495)))</f>
        <v/>
      </c>
      <c r="T495" s="10">
        <f>IF(Q495="","",Q495-S495)</f>
        <v/>
      </c>
    </row>
    <row r="496">
      <c r="A496" s="7">
        <f>CONCATENATE(C496,E496,F496,I496)</f>
        <v/>
      </c>
      <c r="B496" s="7">
        <f>CONCATENATE(C496,E496,I496)</f>
        <v/>
      </c>
      <c r="C496" s="8" t="n">
        <v>900002574</v>
      </c>
      <c r="D496" s="7">
        <f>IFERROR(VLOOKUP(C496,TRAOPE!$G:$H,2,0),"")</f>
        <v/>
      </c>
      <c r="E496" s="8" t="inlineStr">
        <is>
          <t>D836</t>
        </is>
      </c>
      <c r="F496" s="8" t="inlineStr">
        <is>
          <t>66808566</t>
        </is>
      </c>
      <c r="G496" s="8">
        <f>IFERROR(VLOOKUP(A496,Flete!$A:$E,5,0),"")</f>
        <v/>
      </c>
      <c r="H496" s="7">
        <f>IFERROR(VLOOKUP(F496,TRAOPE!$AA:$AB,2,0),"")</f>
        <v/>
      </c>
      <c r="I496" s="7" t="n">
        <v>10000357</v>
      </c>
      <c r="J496" s="7">
        <f>IFERROR(VLOOKUP(I496,Materiales!$A:$H,8,0),"")</f>
        <v/>
      </c>
      <c r="K496" s="9">
        <f>IFERROR(VLOOKUP(I496,Materiales!$A:$G,7,0),"")</f>
        <v/>
      </c>
      <c r="L496" s="8" t="inlineStr">
        <is>
          <t>20190426</t>
        </is>
      </c>
      <c r="M496" s="8" t="inlineStr">
        <is>
          <t>20250127</t>
        </is>
      </c>
      <c r="N496" s="10" t="n">
        <v>227.5</v>
      </c>
      <c r="O496" s="10">
        <f>IFERROR(VLOOKUP(A496,Flete!$A:$J,10,0),"")</f>
        <v/>
      </c>
      <c r="P496" s="8" t="inlineStr">
        <is>
          <t>M3</t>
        </is>
      </c>
      <c r="Q496" s="10">
        <f>IFERROR(IFERROR(VLOOKUP(A496,TRAOPE!$A:$U,21,0),VLOOKUP(B496,TRAOPE!$A:$U,21,0)),"")</f>
        <v/>
      </c>
      <c r="R496" s="8">
        <f>IFERROR(IFERROR(VLOOKUP(A496,TRAOPE!$A:$W,23,0),VLOOKUP(B496,TRAOPE!$A:$W,23,0)),"")</f>
        <v/>
      </c>
      <c r="S496" s="10">
        <f>IF(AND(P496="TN",R496="TN"),N496+N(O496),IF(G496&amp;""="1",N(K496)*N496,(N496+N(O496))*N(K496)))</f>
        <v/>
      </c>
      <c r="T496" s="10">
        <f>IF(Q496="","",Q496-S496)</f>
        <v/>
      </c>
    </row>
    <row r="497">
      <c r="A497" s="7">
        <f>CONCATENATE(C497,E497,F497,I497)</f>
        <v/>
      </c>
      <c r="B497" s="7">
        <f>CONCATENATE(C497,E497,I497)</f>
        <v/>
      </c>
      <c r="C497" s="8" t="n">
        <v>900002574</v>
      </c>
      <c r="D497" s="7">
        <f>IFERROR(VLOOKUP(C497,TRAOPE!$G:$H,2,0),"")</f>
        <v/>
      </c>
      <c r="E497" s="8" t="inlineStr">
        <is>
          <t>D836</t>
        </is>
      </c>
      <c r="F497" s="8" t="inlineStr">
        <is>
          <t>66811189</t>
        </is>
      </c>
      <c r="G497" s="8">
        <f>IFERROR(VLOOKUP(A497,Flete!$A:$E,5,0),"")</f>
        <v/>
      </c>
      <c r="H497" s="7">
        <f>IFERROR(VLOOKUP(F497,TRAOPE!$AA:$AB,2,0),"")</f>
        <v/>
      </c>
      <c r="I497" s="7" t="n">
        <v>10000133</v>
      </c>
      <c r="J497" s="7">
        <f>IFERROR(VLOOKUP(I497,Materiales!$A:$H,8,0),"")</f>
        <v/>
      </c>
      <c r="K497" s="9">
        <f>IFERROR(VLOOKUP(I497,Materiales!$A:$G,7,0),"")</f>
        <v/>
      </c>
      <c r="L497" s="8" t="inlineStr">
        <is>
          <t>20190426</t>
        </is>
      </c>
      <c r="M497" s="8" t="inlineStr">
        <is>
          <t>20250127</t>
        </is>
      </c>
      <c r="N497" s="10" t="n">
        <v>290</v>
      </c>
      <c r="O497" s="10">
        <f>IFERROR(VLOOKUP(A497,Flete!$A:$J,10,0),"")</f>
        <v/>
      </c>
      <c r="P497" s="8" t="inlineStr">
        <is>
          <t>M3</t>
        </is>
      </c>
      <c r="Q497" s="10">
        <f>IFERROR(IFERROR(VLOOKUP(A497,TRAOPE!$A:$U,21,0),VLOOKUP(B497,TRAOPE!$A:$U,21,0)),"")</f>
        <v/>
      </c>
      <c r="R497" s="8">
        <f>IFERROR(IFERROR(VLOOKUP(A497,TRAOPE!$A:$W,23,0),VLOOKUP(B497,TRAOPE!$A:$W,23,0)),"")</f>
        <v/>
      </c>
      <c r="S497" s="10">
        <f>IF(AND(P497="TN",R497="TN"),N497+N(O497),IF(G497&amp;""="1",N(K497)*N497,(N497+N(O497))*N(K497)))</f>
        <v/>
      </c>
      <c r="T497" s="10">
        <f>IF(Q497="","",Q497-S497)</f>
        <v/>
      </c>
    </row>
    <row r="498">
      <c r="A498" s="7">
        <f>CONCATENATE(C498,E498,F498,I498)</f>
        <v/>
      </c>
      <c r="B498" s="7">
        <f>CONCATENATE(C498,E498,I498)</f>
        <v/>
      </c>
      <c r="C498" s="8" t="n">
        <v>900002574</v>
      </c>
      <c r="D498" s="7">
        <f>IFERROR(VLOOKUP(C498,TRAOPE!$G:$H,2,0),"")</f>
        <v/>
      </c>
      <c r="E498" s="8" t="inlineStr">
        <is>
          <t>D836</t>
        </is>
      </c>
      <c r="F498" s="8" t="inlineStr">
        <is>
          <t>66811189</t>
        </is>
      </c>
      <c r="G498" s="8">
        <f>IFERROR(VLOOKUP(A498,Flete!$A:$E,5,0),"")</f>
        <v/>
      </c>
      <c r="H498" s="7">
        <f>IFERROR(VLOOKUP(F498,TRAOPE!$AA:$AB,2,0),"")</f>
        <v/>
      </c>
      <c r="I498" s="7" t="n">
        <v>10000160</v>
      </c>
      <c r="J498" s="7">
        <f>IFERROR(VLOOKUP(I498,Materiales!$A:$H,8,0),"")</f>
        <v/>
      </c>
      <c r="K498" s="9">
        <f>IFERROR(VLOOKUP(I498,Materiales!$A:$G,7,0),"")</f>
        <v/>
      </c>
      <c r="L498" s="8" t="inlineStr">
        <is>
          <t>20190426</t>
        </is>
      </c>
      <c r="M498" s="8" t="inlineStr">
        <is>
          <t>20250127</t>
        </is>
      </c>
      <c r="N498" s="10" t="n">
        <v>219</v>
      </c>
      <c r="O498" s="10">
        <f>IFERROR(VLOOKUP(A498,Flete!$A:$J,10,0),"")</f>
        <v/>
      </c>
      <c r="P498" s="8" t="inlineStr">
        <is>
          <t>M3</t>
        </is>
      </c>
      <c r="Q498" s="10">
        <f>IFERROR(IFERROR(VLOOKUP(A498,TRAOPE!$A:$U,21,0),VLOOKUP(B498,TRAOPE!$A:$U,21,0)),"")</f>
        <v/>
      </c>
      <c r="R498" s="8">
        <f>IFERROR(IFERROR(VLOOKUP(A498,TRAOPE!$A:$W,23,0),VLOOKUP(B498,TRAOPE!$A:$W,23,0)),"")</f>
        <v/>
      </c>
      <c r="S498" s="10">
        <f>IF(AND(P498="TN",R498="TN"),N498+N(O498),IF(G498&amp;""="1",N(K498)*N498,(N498+N(O498))*N(K498)))</f>
        <v/>
      </c>
      <c r="T498" s="10">
        <f>IF(Q498="","",Q498-S498)</f>
        <v/>
      </c>
    </row>
    <row r="499">
      <c r="A499" s="7">
        <f>CONCATENATE(C499,E499,F499,I499)</f>
        <v/>
      </c>
      <c r="B499" s="7">
        <f>CONCATENATE(C499,E499,I499)</f>
        <v/>
      </c>
      <c r="C499" s="8" t="n">
        <v>900002574</v>
      </c>
      <c r="D499" s="7">
        <f>IFERROR(VLOOKUP(C499,TRAOPE!$G:$H,2,0),"")</f>
        <v/>
      </c>
      <c r="E499" s="8" t="inlineStr">
        <is>
          <t>D836</t>
        </is>
      </c>
      <c r="F499" s="8" t="inlineStr">
        <is>
          <t>66811189</t>
        </is>
      </c>
      <c r="G499" s="8">
        <f>IFERROR(VLOOKUP(A499,Flete!$A:$E,5,0),"")</f>
        <v/>
      </c>
      <c r="H499" s="7">
        <f>IFERROR(VLOOKUP(F499,TRAOPE!$AA:$AB,2,0),"")</f>
        <v/>
      </c>
      <c r="I499" s="7" t="n">
        <v>10000357</v>
      </c>
      <c r="J499" s="7">
        <f>IFERROR(VLOOKUP(I499,Materiales!$A:$H,8,0),"")</f>
        <v/>
      </c>
      <c r="K499" s="9">
        <f>IFERROR(VLOOKUP(I499,Materiales!$A:$G,7,0),"")</f>
        <v/>
      </c>
      <c r="L499" s="8" t="inlineStr">
        <is>
          <t>20190426</t>
        </is>
      </c>
      <c r="M499" s="8" t="inlineStr">
        <is>
          <t>20250127</t>
        </is>
      </c>
      <c r="N499" s="10" t="n">
        <v>226</v>
      </c>
      <c r="O499" s="10">
        <f>IFERROR(VLOOKUP(A499,Flete!$A:$J,10,0),"")</f>
        <v/>
      </c>
      <c r="P499" s="8" t="inlineStr">
        <is>
          <t>M3</t>
        </is>
      </c>
      <c r="Q499" s="10">
        <f>IFERROR(IFERROR(VLOOKUP(A499,TRAOPE!$A:$U,21,0),VLOOKUP(B499,TRAOPE!$A:$U,21,0)),"")</f>
        <v/>
      </c>
      <c r="R499" s="8">
        <f>IFERROR(IFERROR(VLOOKUP(A499,TRAOPE!$A:$W,23,0),VLOOKUP(B499,TRAOPE!$A:$W,23,0)),"")</f>
        <v/>
      </c>
      <c r="S499" s="10">
        <f>IF(AND(P499="TN",R499="TN"),N499+N(O499),IF(G499&amp;""="1",N(K499)*N499,(N499+N(O499))*N(K499)))</f>
        <v/>
      </c>
      <c r="T499" s="10">
        <f>IF(Q499="","",Q499-S499)</f>
        <v/>
      </c>
    </row>
    <row r="500">
      <c r="A500" s="7">
        <f>CONCATENATE(C500,E500,F500,I500)</f>
        <v/>
      </c>
      <c r="B500" s="7">
        <f>CONCATENATE(C500,E500,I500)</f>
        <v/>
      </c>
      <c r="C500" s="8" t="n">
        <v>900002574</v>
      </c>
      <c r="D500" s="7">
        <f>IFERROR(VLOOKUP(C500,TRAOPE!$G:$H,2,0),"")</f>
        <v/>
      </c>
      <c r="E500" s="8" t="inlineStr">
        <is>
          <t>D836</t>
        </is>
      </c>
      <c r="F500" s="8" t="inlineStr">
        <is>
          <t>66812327</t>
        </is>
      </c>
      <c r="G500" s="8">
        <f>IFERROR(VLOOKUP(A500,Flete!$A:$E,5,0),"")</f>
        <v/>
      </c>
      <c r="H500" s="7">
        <f>IFERROR(VLOOKUP(F500,TRAOPE!$AA:$AB,2,0),"")</f>
        <v/>
      </c>
      <c r="I500" s="7" t="n">
        <v>10000160</v>
      </c>
      <c r="J500" s="7">
        <f>IFERROR(VLOOKUP(I500,Materiales!$A:$H,8,0),"")</f>
        <v/>
      </c>
      <c r="K500" s="9">
        <f>IFERROR(VLOOKUP(I500,Materiales!$A:$G,7,0),"")</f>
        <v/>
      </c>
      <c r="L500" s="8" t="inlineStr">
        <is>
          <t>20190426</t>
        </is>
      </c>
      <c r="M500" s="8" t="inlineStr">
        <is>
          <t>20250127</t>
        </is>
      </c>
      <c r="N500" s="10" t="n">
        <v>262.5</v>
      </c>
      <c r="O500" s="10">
        <f>IFERROR(VLOOKUP(A500,Flete!$A:$J,10,0),"")</f>
        <v/>
      </c>
      <c r="P500" s="8" t="inlineStr">
        <is>
          <t>M3</t>
        </is>
      </c>
      <c r="Q500" s="10">
        <f>IFERROR(IFERROR(VLOOKUP(A500,TRAOPE!$A:$U,21,0),VLOOKUP(B500,TRAOPE!$A:$U,21,0)),"")</f>
        <v/>
      </c>
      <c r="R500" s="8">
        <f>IFERROR(IFERROR(VLOOKUP(A500,TRAOPE!$A:$W,23,0),VLOOKUP(B500,TRAOPE!$A:$W,23,0)),"")</f>
        <v/>
      </c>
      <c r="S500" s="10">
        <f>IF(AND(P500="TN",R500="TN"),N500+N(O500),IF(G500&amp;""="1",N(K500)*N500,(N500+N(O500))*N(K500)))</f>
        <v/>
      </c>
      <c r="T500" s="10">
        <f>IF(Q500="","",Q500-S500)</f>
        <v/>
      </c>
    </row>
    <row r="501">
      <c r="A501" s="7">
        <f>CONCATENATE(C501,E501,F501,I501)</f>
        <v/>
      </c>
      <c r="B501" s="7">
        <f>CONCATENATE(C501,E501,I501)</f>
        <v/>
      </c>
      <c r="C501" s="8" t="n">
        <v>900002574</v>
      </c>
      <c r="D501" s="7">
        <f>IFERROR(VLOOKUP(C501,TRAOPE!$G:$H,2,0),"")</f>
        <v/>
      </c>
      <c r="E501" s="8" t="inlineStr">
        <is>
          <t>D836</t>
        </is>
      </c>
      <c r="F501" s="8" t="inlineStr">
        <is>
          <t>66812327</t>
        </is>
      </c>
      <c r="G501" s="8">
        <f>IFERROR(VLOOKUP(A501,Flete!$A:$E,5,0),"")</f>
        <v/>
      </c>
      <c r="H501" s="7">
        <f>IFERROR(VLOOKUP(F501,TRAOPE!$AA:$AB,2,0),"")</f>
        <v/>
      </c>
      <c r="I501" s="7" t="n">
        <v>10000357</v>
      </c>
      <c r="J501" s="7">
        <f>IFERROR(VLOOKUP(I501,Materiales!$A:$H,8,0),"")</f>
        <v/>
      </c>
      <c r="K501" s="9">
        <f>IFERROR(VLOOKUP(I501,Materiales!$A:$G,7,0),"")</f>
        <v/>
      </c>
      <c r="L501" s="8" t="inlineStr">
        <is>
          <t>20190426</t>
        </is>
      </c>
      <c r="M501" s="8" t="inlineStr">
        <is>
          <t>20250127</t>
        </is>
      </c>
      <c r="N501" s="10" t="n">
        <v>267.5</v>
      </c>
      <c r="O501" s="10">
        <f>IFERROR(VLOOKUP(A501,Flete!$A:$J,10,0),"")</f>
        <v/>
      </c>
      <c r="P501" s="8" t="inlineStr">
        <is>
          <t>M3</t>
        </is>
      </c>
      <c r="Q501" s="10">
        <f>IFERROR(IFERROR(VLOOKUP(A501,TRAOPE!$A:$U,21,0),VLOOKUP(B501,TRAOPE!$A:$U,21,0)),"")</f>
        <v/>
      </c>
      <c r="R501" s="8">
        <f>IFERROR(IFERROR(VLOOKUP(A501,TRAOPE!$A:$W,23,0),VLOOKUP(B501,TRAOPE!$A:$W,23,0)),"")</f>
        <v/>
      </c>
      <c r="S501" s="10">
        <f>IF(AND(P501="TN",R501="TN"),N501+N(O501),IF(G501&amp;""="1",N(K501)*N501,(N501+N(O501))*N(K501)))</f>
        <v/>
      </c>
      <c r="T501" s="10">
        <f>IF(Q501="","",Q501-S501)</f>
        <v/>
      </c>
    </row>
    <row r="502">
      <c r="A502" s="7">
        <f>CONCATENATE(C502,E502,F502,I502)</f>
        <v/>
      </c>
      <c r="B502" s="7">
        <f>CONCATENATE(C502,E502,I502)</f>
        <v/>
      </c>
      <c r="C502" s="8" t="n">
        <v>900002574</v>
      </c>
      <c r="D502" s="7">
        <f>IFERROR(VLOOKUP(C502,TRAOPE!$G:$H,2,0),"")</f>
        <v/>
      </c>
      <c r="E502" s="8" t="inlineStr">
        <is>
          <t>D836</t>
        </is>
      </c>
      <c r="F502" s="8" t="inlineStr">
        <is>
          <t>66812363</t>
        </is>
      </c>
      <c r="G502" s="8">
        <f>IFERROR(VLOOKUP(A502,Flete!$A:$E,5,0),"")</f>
        <v/>
      </c>
      <c r="H502" s="7">
        <f>IFERROR(VLOOKUP(F502,TRAOPE!$AA:$AB,2,0),"")</f>
        <v/>
      </c>
      <c r="I502" s="7" t="n">
        <v>10000160</v>
      </c>
      <c r="J502" s="7">
        <f>IFERROR(VLOOKUP(I502,Materiales!$A:$H,8,0),"")</f>
        <v/>
      </c>
      <c r="K502" s="9">
        <f>IFERROR(VLOOKUP(I502,Materiales!$A:$G,7,0),"")</f>
        <v/>
      </c>
      <c r="L502" s="8" t="inlineStr">
        <is>
          <t>20190426</t>
        </is>
      </c>
      <c r="M502" s="8" t="inlineStr">
        <is>
          <t>20250127</t>
        </is>
      </c>
      <c r="N502" s="10" t="n">
        <v>362.5</v>
      </c>
      <c r="O502" s="10">
        <f>IFERROR(VLOOKUP(A502,Flete!$A:$J,10,0),"")</f>
        <v/>
      </c>
      <c r="P502" s="8" t="inlineStr">
        <is>
          <t>M3</t>
        </is>
      </c>
      <c r="Q502" s="10">
        <f>IFERROR(IFERROR(VLOOKUP(A502,TRAOPE!$A:$U,21,0),VLOOKUP(B502,TRAOPE!$A:$U,21,0)),"")</f>
        <v/>
      </c>
      <c r="R502" s="8">
        <f>IFERROR(IFERROR(VLOOKUP(A502,TRAOPE!$A:$W,23,0),VLOOKUP(B502,TRAOPE!$A:$W,23,0)),"")</f>
        <v/>
      </c>
      <c r="S502" s="10">
        <f>IF(AND(P502="TN",R502="TN"),N502+N(O502),IF(G502&amp;""="1",N(K502)*N502,(N502+N(O502))*N(K502)))</f>
        <v/>
      </c>
      <c r="T502" s="10">
        <f>IF(Q502="","",Q502-S502)</f>
        <v/>
      </c>
    </row>
    <row r="503">
      <c r="A503" s="7">
        <f>CONCATENATE(C503,E503,F503,I503)</f>
        <v/>
      </c>
      <c r="B503" s="7">
        <f>CONCATENATE(C503,E503,I503)</f>
        <v/>
      </c>
      <c r="C503" s="8" t="n">
        <v>900002574</v>
      </c>
      <c r="D503" s="7">
        <f>IFERROR(VLOOKUP(C503,TRAOPE!$G:$H,2,0),"")</f>
        <v/>
      </c>
      <c r="E503" s="8" t="inlineStr">
        <is>
          <t>D836</t>
        </is>
      </c>
      <c r="F503" s="8" t="inlineStr">
        <is>
          <t>66812363</t>
        </is>
      </c>
      <c r="G503" s="8">
        <f>IFERROR(VLOOKUP(A503,Flete!$A:$E,5,0),"")</f>
        <v/>
      </c>
      <c r="H503" s="7">
        <f>IFERROR(VLOOKUP(F503,TRAOPE!$AA:$AB,2,0),"")</f>
        <v/>
      </c>
      <c r="I503" s="7" t="n">
        <v>10000357</v>
      </c>
      <c r="J503" s="7">
        <f>IFERROR(VLOOKUP(I503,Materiales!$A:$H,8,0),"")</f>
        <v/>
      </c>
      <c r="K503" s="9">
        <f>IFERROR(VLOOKUP(I503,Materiales!$A:$G,7,0),"")</f>
        <v/>
      </c>
      <c r="L503" s="8" t="inlineStr">
        <is>
          <t>20190426</t>
        </is>
      </c>
      <c r="M503" s="8" t="inlineStr">
        <is>
          <t>20250127</t>
        </is>
      </c>
      <c r="N503" s="10" t="n">
        <v>267.5</v>
      </c>
      <c r="O503" s="10">
        <f>IFERROR(VLOOKUP(A503,Flete!$A:$J,10,0),"")</f>
        <v/>
      </c>
      <c r="P503" s="8" t="inlineStr">
        <is>
          <t>M3</t>
        </is>
      </c>
      <c r="Q503" s="10">
        <f>IFERROR(IFERROR(VLOOKUP(A503,TRAOPE!$A:$U,21,0),VLOOKUP(B503,TRAOPE!$A:$U,21,0)),"")</f>
        <v/>
      </c>
      <c r="R503" s="8">
        <f>IFERROR(IFERROR(VLOOKUP(A503,TRAOPE!$A:$W,23,0),VLOOKUP(B503,TRAOPE!$A:$W,23,0)),"")</f>
        <v/>
      </c>
      <c r="S503" s="10">
        <f>IF(AND(P503="TN",R503="TN"),N503+N(O503),IF(G503&amp;""="1",N(K503)*N503,(N503+N(O503))*N(K503)))</f>
        <v/>
      </c>
      <c r="T503" s="10">
        <f>IF(Q503="","",Q503-S503)</f>
        <v/>
      </c>
    </row>
    <row r="504">
      <c r="A504" s="7">
        <f>CONCATENATE(C504,E504,F504,I504)</f>
        <v/>
      </c>
      <c r="B504" s="7">
        <f>CONCATENATE(C504,E504,I504)</f>
        <v/>
      </c>
      <c r="C504" s="8" t="n">
        <v>900002574</v>
      </c>
      <c r="D504" s="7">
        <f>IFERROR(VLOOKUP(C504,TRAOPE!$G:$H,2,0),"")</f>
        <v/>
      </c>
      <c r="E504" s="8" t="inlineStr">
        <is>
          <t>D836</t>
        </is>
      </c>
      <c r="F504" s="8" t="inlineStr">
        <is>
          <t>66815444</t>
        </is>
      </c>
      <c r="G504" s="8">
        <f>IFERROR(VLOOKUP(A504,Flete!$A:$E,5,0),"")</f>
        <v/>
      </c>
      <c r="H504" s="7">
        <f>IFERROR(VLOOKUP(F504,TRAOPE!$AA:$AB,2,0),"")</f>
        <v/>
      </c>
      <c r="I504" s="7" t="n">
        <v>10000160</v>
      </c>
      <c r="J504" s="7">
        <f>IFERROR(VLOOKUP(I504,Materiales!$A:$H,8,0),"")</f>
        <v/>
      </c>
      <c r="K504" s="9">
        <f>IFERROR(VLOOKUP(I504,Materiales!$A:$G,7,0),"")</f>
        <v/>
      </c>
      <c r="L504" s="8" t="inlineStr">
        <is>
          <t>20190426</t>
        </is>
      </c>
      <c r="M504" s="8" t="inlineStr">
        <is>
          <t>20250127</t>
        </is>
      </c>
      <c r="N504" s="10" t="n">
        <v>165</v>
      </c>
      <c r="O504" s="10">
        <f>IFERROR(VLOOKUP(A504,Flete!$A:$J,10,0),"")</f>
        <v/>
      </c>
      <c r="P504" s="8" t="inlineStr">
        <is>
          <t>M3</t>
        </is>
      </c>
      <c r="Q504" s="10">
        <f>IFERROR(IFERROR(VLOOKUP(A504,TRAOPE!$A:$U,21,0),VLOOKUP(B504,TRAOPE!$A:$U,21,0)),"")</f>
        <v/>
      </c>
      <c r="R504" s="8">
        <f>IFERROR(IFERROR(VLOOKUP(A504,TRAOPE!$A:$W,23,0),VLOOKUP(B504,TRAOPE!$A:$W,23,0)),"")</f>
        <v/>
      </c>
      <c r="S504" s="10">
        <f>IF(AND(P504="TN",R504="TN"),N504+N(O504),IF(G504&amp;""="1",N(K504)*N504,(N504+N(O504))*N(K504)))</f>
        <v/>
      </c>
      <c r="T504" s="10">
        <f>IF(Q504="","",Q504-S504)</f>
        <v/>
      </c>
    </row>
    <row r="505">
      <c r="A505" s="7">
        <f>CONCATENATE(C505,E505,F505,I505)</f>
        <v/>
      </c>
      <c r="B505" s="7">
        <f>CONCATENATE(C505,E505,I505)</f>
        <v/>
      </c>
      <c r="C505" s="8" t="n">
        <v>900002574</v>
      </c>
      <c r="D505" s="7">
        <f>IFERROR(VLOOKUP(C505,TRAOPE!$G:$H,2,0),"")</f>
        <v/>
      </c>
      <c r="E505" s="8" t="inlineStr">
        <is>
          <t>D836</t>
        </is>
      </c>
      <c r="F505" s="8" t="inlineStr">
        <is>
          <t>66815444</t>
        </is>
      </c>
      <c r="G505" s="8">
        <f>IFERROR(VLOOKUP(A505,Flete!$A:$E,5,0),"")</f>
        <v/>
      </c>
      <c r="H505" s="7">
        <f>IFERROR(VLOOKUP(F505,TRAOPE!$AA:$AB,2,0),"")</f>
        <v/>
      </c>
      <c r="I505" s="7" t="n">
        <v>10000357</v>
      </c>
      <c r="J505" s="7">
        <f>IFERROR(VLOOKUP(I505,Materiales!$A:$H,8,0),"")</f>
        <v/>
      </c>
      <c r="K505" s="9">
        <f>IFERROR(VLOOKUP(I505,Materiales!$A:$G,7,0),"")</f>
        <v/>
      </c>
      <c r="L505" s="8" t="inlineStr">
        <is>
          <t>20190426</t>
        </is>
      </c>
      <c r="M505" s="8" t="inlineStr">
        <is>
          <t>20250127</t>
        </is>
      </c>
      <c r="N505" s="10" t="n">
        <v>170</v>
      </c>
      <c r="O505" s="10">
        <f>IFERROR(VLOOKUP(A505,Flete!$A:$J,10,0),"")</f>
        <v/>
      </c>
      <c r="P505" s="8" t="inlineStr">
        <is>
          <t>M3</t>
        </is>
      </c>
      <c r="Q505" s="10">
        <f>IFERROR(IFERROR(VLOOKUP(A505,TRAOPE!$A:$U,21,0),VLOOKUP(B505,TRAOPE!$A:$U,21,0)),"")</f>
        <v/>
      </c>
      <c r="R505" s="8">
        <f>IFERROR(IFERROR(VLOOKUP(A505,TRAOPE!$A:$W,23,0),VLOOKUP(B505,TRAOPE!$A:$W,23,0)),"")</f>
        <v/>
      </c>
      <c r="S505" s="10">
        <f>IF(AND(P505="TN",R505="TN"),N505+N(O505),IF(G505&amp;""="1",N(K505)*N505,(N505+N(O505))*N(K505)))</f>
        <v/>
      </c>
      <c r="T505" s="10">
        <f>IF(Q505="","",Q505-S505)</f>
        <v/>
      </c>
    </row>
    <row r="506">
      <c r="A506" s="7">
        <f>CONCATENATE(C506,E506,F506,I506)</f>
        <v/>
      </c>
      <c r="B506" s="7">
        <f>CONCATENATE(C506,E506,I506)</f>
        <v/>
      </c>
      <c r="C506" s="8" t="n">
        <v>900002574</v>
      </c>
      <c r="D506" s="7">
        <f>IFERROR(VLOOKUP(C506,TRAOPE!$G:$H,2,0),"")</f>
        <v/>
      </c>
      <c r="E506" s="8" t="inlineStr">
        <is>
          <t>D836</t>
        </is>
      </c>
      <c r="F506" s="8" t="inlineStr">
        <is>
          <t>66815750</t>
        </is>
      </c>
      <c r="G506" s="8">
        <f>IFERROR(VLOOKUP(A506,Flete!$A:$E,5,0),"")</f>
        <v/>
      </c>
      <c r="H506" s="7">
        <f>IFERROR(VLOOKUP(F506,TRAOPE!$AA:$AB,2,0),"")</f>
        <v/>
      </c>
      <c r="I506" s="7" t="n">
        <v>10000160</v>
      </c>
      <c r="J506" s="7">
        <f>IFERROR(VLOOKUP(I506,Materiales!$A:$H,8,0),"")</f>
        <v/>
      </c>
      <c r="K506" s="9">
        <f>IFERROR(VLOOKUP(I506,Materiales!$A:$G,7,0),"")</f>
        <v/>
      </c>
      <c r="L506" s="8" t="inlineStr">
        <is>
          <t>20190426</t>
        </is>
      </c>
      <c r="M506" s="8" t="inlineStr">
        <is>
          <t>20250127</t>
        </is>
      </c>
      <c r="N506" s="10" t="n">
        <v>190</v>
      </c>
      <c r="O506" s="10">
        <f>IFERROR(VLOOKUP(A506,Flete!$A:$J,10,0),"")</f>
        <v/>
      </c>
      <c r="P506" s="8" t="inlineStr">
        <is>
          <t>M3</t>
        </is>
      </c>
      <c r="Q506" s="10">
        <f>IFERROR(IFERROR(VLOOKUP(A506,TRAOPE!$A:$U,21,0),VLOOKUP(B506,TRAOPE!$A:$U,21,0)),"")</f>
        <v/>
      </c>
      <c r="R506" s="8">
        <f>IFERROR(IFERROR(VLOOKUP(A506,TRAOPE!$A:$W,23,0),VLOOKUP(B506,TRAOPE!$A:$W,23,0)),"")</f>
        <v/>
      </c>
      <c r="S506" s="10">
        <f>IF(AND(P506="TN",R506="TN"),N506+N(O506),IF(G506&amp;""="1",N(K506)*N506,(N506+N(O506))*N(K506)))</f>
        <v/>
      </c>
      <c r="T506" s="10">
        <f>IF(Q506="","",Q506-S506)</f>
        <v/>
      </c>
    </row>
    <row r="507">
      <c r="A507" s="7">
        <f>CONCATENATE(C507,E507,F507,I507)</f>
        <v/>
      </c>
      <c r="B507" s="7">
        <f>CONCATENATE(C507,E507,I507)</f>
        <v/>
      </c>
      <c r="C507" s="8" t="n">
        <v>900002574</v>
      </c>
      <c r="D507" s="7">
        <f>IFERROR(VLOOKUP(C507,TRAOPE!$G:$H,2,0),"")</f>
        <v/>
      </c>
      <c r="E507" s="8" t="inlineStr">
        <is>
          <t>D836</t>
        </is>
      </c>
      <c r="F507" s="8" t="inlineStr">
        <is>
          <t>66815750</t>
        </is>
      </c>
      <c r="G507" s="8">
        <f>IFERROR(VLOOKUP(A507,Flete!$A:$E,5,0),"")</f>
        <v/>
      </c>
      <c r="H507" s="7">
        <f>IFERROR(VLOOKUP(F507,TRAOPE!$AA:$AB,2,0),"")</f>
        <v/>
      </c>
      <c r="I507" s="7" t="n">
        <v>10000357</v>
      </c>
      <c r="J507" s="7">
        <f>IFERROR(VLOOKUP(I507,Materiales!$A:$H,8,0),"")</f>
        <v/>
      </c>
      <c r="K507" s="9">
        <f>IFERROR(VLOOKUP(I507,Materiales!$A:$G,7,0),"")</f>
        <v/>
      </c>
      <c r="L507" s="8" t="inlineStr">
        <is>
          <t>20190426</t>
        </is>
      </c>
      <c r="M507" s="8" t="inlineStr">
        <is>
          <t>20250127</t>
        </is>
      </c>
      <c r="N507" s="10" t="n">
        <v>175</v>
      </c>
      <c r="O507" s="10">
        <f>IFERROR(VLOOKUP(A507,Flete!$A:$J,10,0),"")</f>
        <v/>
      </c>
      <c r="P507" s="8" t="inlineStr">
        <is>
          <t>M3</t>
        </is>
      </c>
      <c r="Q507" s="10">
        <f>IFERROR(IFERROR(VLOOKUP(A507,TRAOPE!$A:$U,21,0),VLOOKUP(B507,TRAOPE!$A:$U,21,0)),"")</f>
        <v/>
      </c>
      <c r="R507" s="8">
        <f>IFERROR(IFERROR(VLOOKUP(A507,TRAOPE!$A:$W,23,0),VLOOKUP(B507,TRAOPE!$A:$W,23,0)),"")</f>
        <v/>
      </c>
      <c r="S507" s="10">
        <f>IF(AND(P507="TN",R507="TN"),N507+N(O507),IF(G507&amp;""="1",N(K507)*N507,(N507+N(O507))*N(K507)))</f>
        <v/>
      </c>
      <c r="T507" s="10">
        <f>IF(Q507="","",Q507-S507)</f>
        <v/>
      </c>
    </row>
    <row r="508">
      <c r="A508" s="7">
        <f>CONCATENATE(C508,E508,F508,I508)</f>
        <v/>
      </c>
      <c r="B508" s="7">
        <f>CONCATENATE(C508,E508,I508)</f>
        <v/>
      </c>
      <c r="C508" s="8" t="n">
        <v>900002574</v>
      </c>
      <c r="D508" s="7">
        <f>IFERROR(VLOOKUP(C508,TRAOPE!$G:$H,2,0),"")</f>
        <v/>
      </c>
      <c r="E508" s="8" t="inlineStr">
        <is>
          <t>D836</t>
        </is>
      </c>
      <c r="F508" s="8" t="inlineStr">
        <is>
          <t>66816468</t>
        </is>
      </c>
      <c r="G508" s="8">
        <f>IFERROR(VLOOKUP(A508,Flete!$A:$E,5,0),"")</f>
        <v/>
      </c>
      <c r="H508" s="7">
        <f>IFERROR(VLOOKUP(F508,TRAOPE!$AA:$AB,2,0),"")</f>
        <v/>
      </c>
      <c r="I508" s="7" t="n">
        <v>10000160</v>
      </c>
      <c r="J508" s="7">
        <f>IFERROR(VLOOKUP(I508,Materiales!$A:$H,8,0),"")</f>
        <v/>
      </c>
      <c r="K508" s="9">
        <f>IFERROR(VLOOKUP(I508,Materiales!$A:$G,7,0),"")</f>
        <v/>
      </c>
      <c r="L508" s="8" t="inlineStr">
        <is>
          <t>20190426</t>
        </is>
      </c>
      <c r="M508" s="8" t="inlineStr">
        <is>
          <t>20250127</t>
        </is>
      </c>
      <c r="N508" s="10" t="n">
        <v>407</v>
      </c>
      <c r="O508" s="10">
        <f>IFERROR(VLOOKUP(A508,Flete!$A:$J,10,0),"")</f>
        <v/>
      </c>
      <c r="P508" s="8" t="inlineStr">
        <is>
          <t>M3</t>
        </is>
      </c>
      <c r="Q508" s="10">
        <f>IFERROR(IFERROR(VLOOKUP(A508,TRAOPE!$A:$U,21,0),VLOOKUP(B508,TRAOPE!$A:$U,21,0)),"")</f>
        <v/>
      </c>
      <c r="R508" s="8">
        <f>IFERROR(IFERROR(VLOOKUP(A508,TRAOPE!$A:$W,23,0),VLOOKUP(B508,TRAOPE!$A:$W,23,0)),"")</f>
        <v/>
      </c>
      <c r="S508" s="10">
        <f>IF(AND(P508="TN",R508="TN"),N508+N(O508),IF(G508&amp;""="1",N(K508)*N508,(N508+N(O508))*N(K508)))</f>
        <v/>
      </c>
      <c r="T508" s="10">
        <f>IF(Q508="","",Q508-S508)</f>
        <v/>
      </c>
    </row>
    <row r="509">
      <c r="A509" s="7">
        <f>CONCATENATE(C509,E509,F509,I509)</f>
        <v/>
      </c>
      <c r="B509" s="7">
        <f>CONCATENATE(C509,E509,I509)</f>
        <v/>
      </c>
      <c r="C509" s="8" t="n">
        <v>900002574</v>
      </c>
      <c r="D509" s="7">
        <f>IFERROR(VLOOKUP(C509,TRAOPE!$G:$H,2,0),"")</f>
        <v/>
      </c>
      <c r="E509" s="8" t="inlineStr">
        <is>
          <t>D836</t>
        </is>
      </c>
      <c r="F509" s="8" t="inlineStr">
        <is>
          <t>66816468</t>
        </is>
      </c>
      <c r="G509" s="8">
        <f>IFERROR(VLOOKUP(A509,Flete!$A:$E,5,0),"")</f>
        <v/>
      </c>
      <c r="H509" s="7">
        <f>IFERROR(VLOOKUP(F509,TRAOPE!$AA:$AB,2,0),"")</f>
        <v/>
      </c>
      <c r="I509" s="7" t="n">
        <v>10000357</v>
      </c>
      <c r="J509" s="7">
        <f>IFERROR(VLOOKUP(I509,Materiales!$A:$H,8,0),"")</f>
        <v/>
      </c>
      <c r="K509" s="9">
        <f>IFERROR(VLOOKUP(I509,Materiales!$A:$G,7,0),"")</f>
        <v/>
      </c>
      <c r="L509" s="8" t="inlineStr">
        <is>
          <t>20190426</t>
        </is>
      </c>
      <c r="M509" s="8" t="inlineStr">
        <is>
          <t>20250127</t>
        </is>
      </c>
      <c r="N509" s="10" t="n">
        <v>308.5</v>
      </c>
      <c r="O509" s="10">
        <f>IFERROR(VLOOKUP(A509,Flete!$A:$J,10,0),"")</f>
        <v/>
      </c>
      <c r="P509" s="8" t="inlineStr">
        <is>
          <t>M3</t>
        </is>
      </c>
      <c r="Q509" s="10">
        <f>IFERROR(IFERROR(VLOOKUP(A509,TRAOPE!$A:$U,21,0),VLOOKUP(B509,TRAOPE!$A:$U,21,0)),"")</f>
        <v/>
      </c>
      <c r="R509" s="8">
        <f>IFERROR(IFERROR(VLOOKUP(A509,TRAOPE!$A:$W,23,0),VLOOKUP(B509,TRAOPE!$A:$W,23,0)),"")</f>
        <v/>
      </c>
      <c r="S509" s="10">
        <f>IF(AND(P509="TN",R509="TN"),N509+N(O509),IF(G509&amp;""="1",N(K509)*N509,(N509+N(O509))*N(K509)))</f>
        <v/>
      </c>
      <c r="T509" s="10">
        <f>IF(Q509="","",Q509-S509)</f>
        <v/>
      </c>
    </row>
    <row r="510">
      <c r="A510" s="7">
        <f>CONCATENATE(C510,E510,F510,I510)</f>
        <v/>
      </c>
      <c r="B510" s="7">
        <f>CONCATENATE(C510,E510,I510)</f>
        <v/>
      </c>
      <c r="C510" s="8" t="n">
        <v>900002574</v>
      </c>
      <c r="D510" s="7">
        <f>IFERROR(VLOOKUP(C510,TRAOPE!$G:$H,2,0),"")</f>
        <v/>
      </c>
      <c r="E510" s="8" t="inlineStr">
        <is>
          <t>D836</t>
        </is>
      </c>
      <c r="F510" s="8" t="inlineStr">
        <is>
          <t>66817997</t>
        </is>
      </c>
      <c r="G510" s="8">
        <f>IFERROR(VLOOKUP(A510,Flete!$A:$E,5,0),"")</f>
        <v/>
      </c>
      <c r="H510" s="7">
        <f>IFERROR(VLOOKUP(F510,TRAOPE!$AA:$AB,2,0),"")</f>
        <v/>
      </c>
      <c r="I510" s="7" t="n">
        <v>10000160</v>
      </c>
      <c r="J510" s="7">
        <f>IFERROR(VLOOKUP(I510,Materiales!$A:$H,8,0),"")</f>
        <v/>
      </c>
      <c r="K510" s="9">
        <f>IFERROR(VLOOKUP(I510,Materiales!$A:$G,7,0),"")</f>
        <v/>
      </c>
      <c r="L510" s="8" t="inlineStr">
        <is>
          <t>20190426</t>
        </is>
      </c>
      <c r="M510" s="8" t="inlineStr">
        <is>
          <t>20250127</t>
        </is>
      </c>
      <c r="N510" s="10" t="n">
        <v>177.5</v>
      </c>
      <c r="O510" s="10">
        <f>IFERROR(VLOOKUP(A510,Flete!$A:$J,10,0),"")</f>
        <v/>
      </c>
      <c r="P510" s="8" t="inlineStr">
        <is>
          <t>M3</t>
        </is>
      </c>
      <c r="Q510" s="10">
        <f>IFERROR(IFERROR(VLOOKUP(A510,TRAOPE!$A:$U,21,0),VLOOKUP(B510,TRAOPE!$A:$U,21,0)),"")</f>
        <v/>
      </c>
      <c r="R510" s="8">
        <f>IFERROR(IFERROR(VLOOKUP(A510,TRAOPE!$A:$W,23,0),VLOOKUP(B510,TRAOPE!$A:$W,23,0)),"")</f>
        <v/>
      </c>
      <c r="S510" s="10">
        <f>IF(AND(P510="TN",R510="TN"),N510+N(O510),IF(G510&amp;""="1",N(K510)*N510,(N510+N(O510))*N(K510)))</f>
        <v/>
      </c>
      <c r="T510" s="10">
        <f>IF(Q510="","",Q510-S510)</f>
        <v/>
      </c>
    </row>
    <row r="511">
      <c r="A511" s="7">
        <f>CONCATENATE(C511,E511,F511,I511)</f>
        <v/>
      </c>
      <c r="B511" s="7">
        <f>CONCATENATE(C511,E511,I511)</f>
        <v/>
      </c>
      <c r="C511" s="8" t="n">
        <v>900002574</v>
      </c>
      <c r="D511" s="7">
        <f>IFERROR(VLOOKUP(C511,TRAOPE!$G:$H,2,0),"")</f>
        <v/>
      </c>
      <c r="E511" s="8" t="inlineStr">
        <is>
          <t>D836</t>
        </is>
      </c>
      <c r="F511" s="8" t="inlineStr">
        <is>
          <t>66817997</t>
        </is>
      </c>
      <c r="G511" s="8">
        <f>IFERROR(VLOOKUP(A511,Flete!$A:$E,5,0),"")</f>
        <v/>
      </c>
      <c r="H511" s="7">
        <f>IFERROR(VLOOKUP(F511,TRAOPE!$AA:$AB,2,0),"")</f>
        <v/>
      </c>
      <c r="I511" s="7" t="n">
        <v>10000357</v>
      </c>
      <c r="J511" s="7">
        <f>IFERROR(VLOOKUP(I511,Materiales!$A:$H,8,0),"")</f>
        <v/>
      </c>
      <c r="K511" s="9">
        <f>IFERROR(VLOOKUP(I511,Materiales!$A:$G,7,0),"")</f>
        <v/>
      </c>
      <c r="L511" s="8" t="inlineStr">
        <is>
          <t>20190426</t>
        </is>
      </c>
      <c r="M511" s="8" t="inlineStr">
        <is>
          <t>20250127</t>
        </is>
      </c>
      <c r="N511" s="10" t="n">
        <v>186</v>
      </c>
      <c r="O511" s="10">
        <f>IFERROR(VLOOKUP(A511,Flete!$A:$J,10,0),"")</f>
        <v/>
      </c>
      <c r="P511" s="8" t="inlineStr">
        <is>
          <t>M3</t>
        </is>
      </c>
      <c r="Q511" s="10">
        <f>IFERROR(IFERROR(VLOOKUP(A511,TRAOPE!$A:$U,21,0),VLOOKUP(B511,TRAOPE!$A:$U,21,0)),"")</f>
        <v/>
      </c>
      <c r="R511" s="8">
        <f>IFERROR(IFERROR(VLOOKUP(A511,TRAOPE!$A:$W,23,0),VLOOKUP(B511,TRAOPE!$A:$W,23,0)),"")</f>
        <v/>
      </c>
      <c r="S511" s="10">
        <f>IF(AND(P511="TN",R511="TN"),N511+N(O511),IF(G511&amp;""="1",N(K511)*N511,(N511+N(O511))*N(K511)))</f>
        <v/>
      </c>
      <c r="T511" s="10">
        <f>IF(Q511="","",Q511-S511)</f>
        <v/>
      </c>
    </row>
    <row r="512">
      <c r="A512" s="7">
        <f>CONCATENATE(C512,E512,F512,I512)</f>
        <v/>
      </c>
      <c r="B512" s="7">
        <f>CONCATENATE(C512,E512,I512)</f>
        <v/>
      </c>
      <c r="C512" s="8" t="n">
        <v>900002574</v>
      </c>
      <c r="D512" s="7">
        <f>IFERROR(VLOOKUP(C512,TRAOPE!$G:$H,2,0),"")</f>
        <v/>
      </c>
      <c r="E512" s="8" t="inlineStr">
        <is>
          <t>D836</t>
        </is>
      </c>
      <c r="F512" s="8" t="inlineStr">
        <is>
          <t>66817997</t>
        </is>
      </c>
      <c r="G512" s="8">
        <f>IFERROR(VLOOKUP(A512,Flete!$A:$E,5,0),"")</f>
        <v/>
      </c>
      <c r="H512" s="7">
        <f>IFERROR(VLOOKUP(F512,TRAOPE!$AA:$AB,2,0),"")</f>
        <v/>
      </c>
      <c r="I512" s="7" t="n">
        <v>10000630</v>
      </c>
      <c r="J512" s="7">
        <f>IFERROR(VLOOKUP(I512,Materiales!$A:$H,8,0),"")</f>
        <v/>
      </c>
      <c r="K512" s="9">
        <f>IFERROR(VLOOKUP(I512,Materiales!$A:$G,7,0),"")</f>
        <v/>
      </c>
      <c r="L512" s="8" t="inlineStr">
        <is>
          <t>20190426</t>
        </is>
      </c>
      <c r="M512" s="8" t="inlineStr">
        <is>
          <t>20250127</t>
        </is>
      </c>
      <c r="N512" s="10" t="n">
        <v>187.5</v>
      </c>
      <c r="O512" s="10">
        <f>IFERROR(VLOOKUP(A512,Flete!$A:$J,10,0),"")</f>
        <v/>
      </c>
      <c r="P512" s="8" t="inlineStr">
        <is>
          <t>M3</t>
        </is>
      </c>
      <c r="Q512" s="10">
        <f>IFERROR(IFERROR(VLOOKUP(A512,TRAOPE!$A:$U,21,0),VLOOKUP(B512,TRAOPE!$A:$U,21,0)),"")</f>
        <v/>
      </c>
      <c r="R512" s="8">
        <f>IFERROR(IFERROR(VLOOKUP(A512,TRAOPE!$A:$W,23,0),VLOOKUP(B512,TRAOPE!$A:$W,23,0)),"")</f>
        <v/>
      </c>
      <c r="S512" s="10">
        <f>IF(AND(P512="TN",R512="TN"),N512+N(O512),IF(G512&amp;""="1",N(K512)*N512,(N512+N(O512))*N(K512)))</f>
        <v/>
      </c>
      <c r="T512" s="10">
        <f>IF(Q512="","",Q512-S512)</f>
        <v/>
      </c>
    </row>
    <row r="513">
      <c r="A513" s="7">
        <f>CONCATENATE(C513,E513,F513,I513)</f>
        <v/>
      </c>
      <c r="B513" s="7">
        <f>CONCATENATE(C513,E513,I513)</f>
        <v/>
      </c>
      <c r="C513" s="8" t="n">
        <v>900002574</v>
      </c>
      <c r="D513" s="7">
        <f>IFERROR(VLOOKUP(C513,TRAOPE!$G:$H,2,0),"")</f>
        <v/>
      </c>
      <c r="E513" s="8" t="inlineStr">
        <is>
          <t>D836</t>
        </is>
      </c>
      <c r="F513" s="8" t="inlineStr">
        <is>
          <t>66817997</t>
        </is>
      </c>
      <c r="G513" s="8">
        <f>IFERROR(VLOOKUP(A513,Flete!$A:$E,5,0),"")</f>
        <v/>
      </c>
      <c r="H513" s="7">
        <f>IFERROR(VLOOKUP(F513,TRAOPE!$AA:$AB,2,0),"")</f>
        <v/>
      </c>
      <c r="I513" s="7" t="n">
        <v>10000651</v>
      </c>
      <c r="J513" s="7">
        <f>IFERROR(VLOOKUP(I513,Materiales!$A:$H,8,0),"")</f>
        <v/>
      </c>
      <c r="K513" s="9">
        <f>IFERROR(VLOOKUP(I513,Materiales!$A:$G,7,0),"")</f>
        <v/>
      </c>
      <c r="L513" s="8" t="inlineStr">
        <is>
          <t>20190426</t>
        </is>
      </c>
      <c r="M513" s="8" t="inlineStr">
        <is>
          <t>20250127</t>
        </is>
      </c>
      <c r="N513" s="10" t="n">
        <v>185</v>
      </c>
      <c r="O513" s="10">
        <f>IFERROR(VLOOKUP(A513,Flete!$A:$J,10,0),"")</f>
        <v/>
      </c>
      <c r="P513" s="8" t="inlineStr">
        <is>
          <t>M3</t>
        </is>
      </c>
      <c r="Q513" s="10">
        <f>IFERROR(IFERROR(VLOOKUP(A513,TRAOPE!$A:$U,21,0),VLOOKUP(B513,TRAOPE!$A:$U,21,0)),"")</f>
        <v/>
      </c>
      <c r="R513" s="8">
        <f>IFERROR(IFERROR(VLOOKUP(A513,TRAOPE!$A:$W,23,0),VLOOKUP(B513,TRAOPE!$A:$W,23,0)),"")</f>
        <v/>
      </c>
      <c r="S513" s="10">
        <f>IF(AND(P513="TN",R513="TN"),N513+N(O513),IF(G513&amp;""="1",N(K513)*N513,(N513+N(O513))*N(K513)))</f>
        <v/>
      </c>
      <c r="T513" s="10">
        <f>IF(Q513="","",Q513-S513)</f>
        <v/>
      </c>
    </row>
    <row r="514">
      <c r="A514" s="7">
        <f>CONCATENATE(C514,E514,F514,I514)</f>
        <v/>
      </c>
      <c r="B514" s="7">
        <f>CONCATENATE(C514,E514,I514)</f>
        <v/>
      </c>
      <c r="C514" s="8" t="n">
        <v>900002574</v>
      </c>
      <c r="D514" s="7">
        <f>IFERROR(VLOOKUP(C514,TRAOPE!$G:$H,2,0),"")</f>
        <v/>
      </c>
      <c r="E514" s="8" t="inlineStr">
        <is>
          <t>D836</t>
        </is>
      </c>
      <c r="F514" s="8" t="inlineStr">
        <is>
          <t>66822961</t>
        </is>
      </c>
      <c r="G514" s="8">
        <f>IFERROR(VLOOKUP(A514,Flete!$A:$E,5,0),"")</f>
        <v/>
      </c>
      <c r="H514" s="7">
        <f>IFERROR(VLOOKUP(F514,TRAOPE!$AA:$AB,2,0),"")</f>
        <v/>
      </c>
      <c r="I514" s="7" t="n">
        <v>10000160</v>
      </c>
      <c r="J514" s="7">
        <f>IFERROR(VLOOKUP(I514,Materiales!$A:$H,8,0),"")</f>
        <v/>
      </c>
      <c r="K514" s="9">
        <f>IFERROR(VLOOKUP(I514,Materiales!$A:$G,7,0),"")</f>
        <v/>
      </c>
      <c r="L514" s="8" t="inlineStr">
        <is>
          <t>20190426</t>
        </is>
      </c>
      <c r="M514" s="8" t="inlineStr">
        <is>
          <t>20250127</t>
        </is>
      </c>
      <c r="N514" s="10" t="n">
        <v>240</v>
      </c>
      <c r="O514" s="10">
        <f>IFERROR(VLOOKUP(A514,Flete!$A:$J,10,0),"")</f>
        <v/>
      </c>
      <c r="P514" s="8" t="inlineStr">
        <is>
          <t>M3</t>
        </is>
      </c>
      <c r="Q514" s="10">
        <f>IFERROR(IFERROR(VLOOKUP(A514,TRAOPE!$A:$U,21,0),VLOOKUP(B514,TRAOPE!$A:$U,21,0)),"")</f>
        <v/>
      </c>
      <c r="R514" s="8">
        <f>IFERROR(IFERROR(VLOOKUP(A514,TRAOPE!$A:$W,23,0),VLOOKUP(B514,TRAOPE!$A:$W,23,0)),"")</f>
        <v/>
      </c>
      <c r="S514" s="10">
        <f>IF(AND(P514="TN",R514="TN"),N514+N(O514),IF(G514&amp;""="1",N(K514)*N514,(N514+N(O514))*N(K514)))</f>
        <v/>
      </c>
      <c r="T514" s="10">
        <f>IF(Q514="","",Q514-S514)</f>
        <v/>
      </c>
    </row>
    <row r="515">
      <c r="A515" s="7">
        <f>CONCATENATE(C515,E515,F515,I515)</f>
        <v/>
      </c>
      <c r="B515" s="7">
        <f>CONCATENATE(C515,E515,I515)</f>
        <v/>
      </c>
      <c r="C515" s="8" t="n">
        <v>900002574</v>
      </c>
      <c r="D515" s="7">
        <f>IFERROR(VLOOKUP(C515,TRAOPE!$G:$H,2,0),"")</f>
        <v/>
      </c>
      <c r="E515" s="8" t="inlineStr">
        <is>
          <t>D836</t>
        </is>
      </c>
      <c r="F515" s="8" t="inlineStr">
        <is>
          <t>66822961</t>
        </is>
      </c>
      <c r="G515" s="8">
        <f>IFERROR(VLOOKUP(A515,Flete!$A:$E,5,0),"")</f>
        <v/>
      </c>
      <c r="H515" s="7">
        <f>IFERROR(VLOOKUP(F515,TRAOPE!$AA:$AB,2,0),"")</f>
        <v/>
      </c>
      <c r="I515" s="7" t="n">
        <v>10000357</v>
      </c>
      <c r="J515" s="7">
        <f>IFERROR(VLOOKUP(I515,Materiales!$A:$H,8,0),"")</f>
        <v/>
      </c>
      <c r="K515" s="9">
        <f>IFERROR(VLOOKUP(I515,Materiales!$A:$G,7,0),"")</f>
        <v/>
      </c>
      <c r="L515" s="8" t="inlineStr">
        <is>
          <t>20190426</t>
        </is>
      </c>
      <c r="M515" s="8" t="inlineStr">
        <is>
          <t>20250127</t>
        </is>
      </c>
      <c r="N515" s="10" t="n">
        <v>250</v>
      </c>
      <c r="O515" s="10">
        <f>IFERROR(VLOOKUP(A515,Flete!$A:$J,10,0),"")</f>
        <v/>
      </c>
      <c r="P515" s="8" t="inlineStr">
        <is>
          <t>M3</t>
        </is>
      </c>
      <c r="Q515" s="10">
        <f>IFERROR(IFERROR(VLOOKUP(A515,TRAOPE!$A:$U,21,0),VLOOKUP(B515,TRAOPE!$A:$U,21,0)),"")</f>
        <v/>
      </c>
      <c r="R515" s="8">
        <f>IFERROR(IFERROR(VLOOKUP(A515,TRAOPE!$A:$W,23,0),VLOOKUP(B515,TRAOPE!$A:$W,23,0)),"")</f>
        <v/>
      </c>
      <c r="S515" s="10">
        <f>IF(AND(P515="TN",R515="TN"),N515+N(O515),IF(G515&amp;""="1",N(K515)*N515,(N515+N(O515))*N(K515)))</f>
        <v/>
      </c>
      <c r="T515" s="10">
        <f>IF(Q515="","",Q515-S515)</f>
        <v/>
      </c>
    </row>
    <row r="516">
      <c r="A516" s="7">
        <f>CONCATENATE(C516,E516,F516,I516)</f>
        <v/>
      </c>
      <c r="B516" s="7">
        <f>CONCATENATE(C516,E516,I516)</f>
        <v/>
      </c>
      <c r="C516" s="8" t="n">
        <v>900002574</v>
      </c>
      <c r="D516" s="7">
        <f>IFERROR(VLOOKUP(C516,TRAOPE!$G:$H,2,0),"")</f>
        <v/>
      </c>
      <c r="E516" s="8" t="inlineStr">
        <is>
          <t>D836</t>
        </is>
      </c>
      <c r="F516" s="8" t="inlineStr">
        <is>
          <t>66822961</t>
        </is>
      </c>
      <c r="G516" s="8">
        <f>IFERROR(VLOOKUP(A516,Flete!$A:$E,5,0),"")</f>
        <v/>
      </c>
      <c r="H516" s="7">
        <f>IFERROR(VLOOKUP(F516,TRAOPE!$AA:$AB,2,0),"")</f>
        <v/>
      </c>
      <c r="I516" s="7" t="n">
        <v>10000651</v>
      </c>
      <c r="J516" s="7">
        <f>IFERROR(VLOOKUP(I516,Materiales!$A:$H,8,0),"")</f>
        <v/>
      </c>
      <c r="K516" s="9">
        <f>IFERROR(VLOOKUP(I516,Materiales!$A:$G,7,0),"")</f>
        <v/>
      </c>
      <c r="L516" s="8" t="inlineStr">
        <is>
          <t>20190426</t>
        </is>
      </c>
      <c r="M516" s="8" t="inlineStr">
        <is>
          <t>20250127</t>
        </is>
      </c>
      <c r="N516" s="10" t="n">
        <v>227.5</v>
      </c>
      <c r="O516" s="10">
        <f>IFERROR(VLOOKUP(A516,Flete!$A:$J,10,0),"")</f>
        <v/>
      </c>
      <c r="P516" s="8" t="inlineStr">
        <is>
          <t>M3</t>
        </is>
      </c>
      <c r="Q516" s="10">
        <f>IFERROR(IFERROR(VLOOKUP(A516,TRAOPE!$A:$U,21,0),VLOOKUP(B516,TRAOPE!$A:$U,21,0)),"")</f>
        <v/>
      </c>
      <c r="R516" s="8">
        <f>IFERROR(IFERROR(VLOOKUP(A516,TRAOPE!$A:$W,23,0),VLOOKUP(B516,TRAOPE!$A:$W,23,0)),"")</f>
        <v/>
      </c>
      <c r="S516" s="10">
        <f>IF(AND(P516="TN",R516="TN"),N516+N(O516),IF(G516&amp;""="1",N(K516)*N516,(N516+N(O516))*N(K516)))</f>
        <v/>
      </c>
      <c r="T516" s="10">
        <f>IF(Q516="","",Q516-S516)</f>
        <v/>
      </c>
    </row>
    <row r="517">
      <c r="A517" s="7">
        <f>CONCATENATE(C517,E517,F517,I517)</f>
        <v/>
      </c>
      <c r="B517" s="7">
        <f>CONCATENATE(C517,E517,I517)</f>
        <v/>
      </c>
      <c r="C517" s="8" t="n">
        <v>900002574</v>
      </c>
      <c r="D517" s="7">
        <f>IFERROR(VLOOKUP(C517,TRAOPE!$G:$H,2,0),"")</f>
        <v/>
      </c>
      <c r="E517" s="8" t="inlineStr">
        <is>
          <t>D836</t>
        </is>
      </c>
      <c r="F517" s="8" t="inlineStr">
        <is>
          <t>66823352</t>
        </is>
      </c>
      <c r="G517" s="8">
        <f>IFERROR(VLOOKUP(A517,Flete!$A:$E,5,0),"")</f>
        <v/>
      </c>
      <c r="H517" s="7">
        <f>IFERROR(VLOOKUP(F517,TRAOPE!$AA:$AB,2,0),"")</f>
        <v/>
      </c>
      <c r="I517" s="7" t="n">
        <v>10145835</v>
      </c>
      <c r="J517" s="7">
        <f>IFERROR(VLOOKUP(I517,Materiales!$A:$H,8,0),"")</f>
        <v/>
      </c>
      <c r="K517" s="9">
        <f>IFERROR(VLOOKUP(I517,Materiales!$A:$G,7,0),"")</f>
        <v/>
      </c>
      <c r="L517" s="8" t="inlineStr">
        <is>
          <t>20190426</t>
        </is>
      </c>
      <c r="M517" s="8" t="inlineStr">
        <is>
          <t>20250127</t>
        </is>
      </c>
      <c r="N517" s="10" t="n">
        <v>380</v>
      </c>
      <c r="O517" s="10">
        <f>IFERROR(VLOOKUP(A517,Flete!$A:$J,10,0),"")</f>
        <v/>
      </c>
      <c r="P517" s="8" t="inlineStr">
        <is>
          <t>M3</t>
        </is>
      </c>
      <c r="Q517" s="10">
        <f>IFERROR(IFERROR(VLOOKUP(A517,TRAOPE!$A:$U,21,0),VLOOKUP(B517,TRAOPE!$A:$U,21,0)),"")</f>
        <v/>
      </c>
      <c r="R517" s="8">
        <f>IFERROR(IFERROR(VLOOKUP(A517,TRAOPE!$A:$W,23,0),VLOOKUP(B517,TRAOPE!$A:$W,23,0)),"")</f>
        <v/>
      </c>
      <c r="S517" s="10">
        <f>IF(AND(P517="TN",R517="TN"),N517+N(O517),IF(G517&amp;""="1",N(K517)*N517,(N517+N(O517))*N(K517)))</f>
        <v/>
      </c>
      <c r="T517" s="10">
        <f>IF(Q517="","",Q517-S517)</f>
        <v/>
      </c>
    </row>
    <row r="518">
      <c r="A518" s="7">
        <f>CONCATENATE(C518,E518,F518,I518)</f>
        <v/>
      </c>
      <c r="B518" s="7">
        <f>CONCATENATE(C518,E518,I518)</f>
        <v/>
      </c>
      <c r="C518" s="8" t="n">
        <v>900002574</v>
      </c>
      <c r="D518" s="7">
        <f>IFERROR(VLOOKUP(C518,TRAOPE!$G:$H,2,0),"")</f>
        <v/>
      </c>
      <c r="E518" s="8" t="inlineStr">
        <is>
          <t>D836</t>
        </is>
      </c>
      <c r="F518" s="8" t="inlineStr">
        <is>
          <t>66828646</t>
        </is>
      </c>
      <c r="G518" s="8">
        <f>IFERROR(VLOOKUP(A518,Flete!$A:$E,5,0),"")</f>
        <v/>
      </c>
      <c r="H518" s="7">
        <f>IFERROR(VLOOKUP(F518,TRAOPE!$AA:$AB,2,0),"")</f>
        <v/>
      </c>
      <c r="I518" s="7" t="n">
        <v>10000160</v>
      </c>
      <c r="J518" s="7">
        <f>IFERROR(VLOOKUP(I518,Materiales!$A:$H,8,0),"")</f>
        <v/>
      </c>
      <c r="K518" s="9">
        <f>IFERROR(VLOOKUP(I518,Materiales!$A:$G,7,0),"")</f>
        <v/>
      </c>
      <c r="L518" s="8" t="inlineStr">
        <is>
          <t>20190426</t>
        </is>
      </c>
      <c r="M518" s="8" t="inlineStr">
        <is>
          <t>20250127</t>
        </is>
      </c>
      <c r="N518" s="10" t="n">
        <v>152.5</v>
      </c>
      <c r="O518" s="10">
        <f>IFERROR(VLOOKUP(A518,Flete!$A:$J,10,0),"")</f>
        <v/>
      </c>
      <c r="P518" s="8" t="inlineStr">
        <is>
          <t>M3</t>
        </is>
      </c>
      <c r="Q518" s="10">
        <f>IFERROR(IFERROR(VLOOKUP(A518,TRAOPE!$A:$U,21,0),VLOOKUP(B518,TRAOPE!$A:$U,21,0)),"")</f>
        <v/>
      </c>
      <c r="R518" s="8">
        <f>IFERROR(IFERROR(VLOOKUP(A518,TRAOPE!$A:$W,23,0),VLOOKUP(B518,TRAOPE!$A:$W,23,0)),"")</f>
        <v/>
      </c>
      <c r="S518" s="10">
        <f>IF(AND(P518="TN",R518="TN"),N518+N(O518),IF(G518&amp;""="1",N(K518)*N518,(N518+N(O518))*N(K518)))</f>
        <v/>
      </c>
      <c r="T518" s="10">
        <f>IF(Q518="","",Q518-S518)</f>
        <v/>
      </c>
    </row>
    <row r="519">
      <c r="A519" s="7">
        <f>CONCATENATE(C519,E519,F519,I519)</f>
        <v/>
      </c>
      <c r="B519" s="7">
        <f>CONCATENATE(C519,E519,I519)</f>
        <v/>
      </c>
      <c r="C519" s="8" t="n">
        <v>900002574</v>
      </c>
      <c r="D519" s="7">
        <f>IFERROR(VLOOKUP(C519,TRAOPE!$G:$H,2,0),"")</f>
        <v/>
      </c>
      <c r="E519" s="8" t="inlineStr">
        <is>
          <t>D836</t>
        </is>
      </c>
      <c r="F519" s="8" t="inlineStr">
        <is>
          <t>66828646</t>
        </is>
      </c>
      <c r="G519" s="8">
        <f>IFERROR(VLOOKUP(A519,Flete!$A:$E,5,0),"")</f>
        <v/>
      </c>
      <c r="H519" s="7">
        <f>IFERROR(VLOOKUP(F519,TRAOPE!$AA:$AB,2,0),"")</f>
        <v/>
      </c>
      <c r="I519" s="7" t="n">
        <v>10000357</v>
      </c>
      <c r="J519" s="7">
        <f>IFERROR(VLOOKUP(I519,Materiales!$A:$H,8,0),"")</f>
        <v/>
      </c>
      <c r="K519" s="9">
        <f>IFERROR(VLOOKUP(I519,Materiales!$A:$G,7,0),"")</f>
        <v/>
      </c>
      <c r="L519" s="8" t="inlineStr">
        <is>
          <t>20190426</t>
        </is>
      </c>
      <c r="M519" s="8" t="inlineStr">
        <is>
          <t>20250127</t>
        </is>
      </c>
      <c r="N519" s="10" t="n">
        <v>157.5</v>
      </c>
      <c r="O519" s="10">
        <f>IFERROR(VLOOKUP(A519,Flete!$A:$J,10,0),"")</f>
        <v/>
      </c>
      <c r="P519" s="8" t="inlineStr">
        <is>
          <t>M3</t>
        </is>
      </c>
      <c r="Q519" s="10">
        <f>IFERROR(IFERROR(VLOOKUP(A519,TRAOPE!$A:$U,21,0),VLOOKUP(B519,TRAOPE!$A:$U,21,0)),"")</f>
        <v/>
      </c>
      <c r="R519" s="8">
        <f>IFERROR(IFERROR(VLOOKUP(A519,TRAOPE!$A:$W,23,0),VLOOKUP(B519,TRAOPE!$A:$W,23,0)),"")</f>
        <v/>
      </c>
      <c r="S519" s="10">
        <f>IF(AND(P519="TN",R519="TN"),N519+N(O519),IF(G519&amp;""="1",N(K519)*N519,(N519+N(O519))*N(K519)))</f>
        <v/>
      </c>
      <c r="T519" s="10">
        <f>IF(Q519="","",Q519-S519)</f>
        <v/>
      </c>
    </row>
    <row r="520">
      <c r="A520" s="7">
        <f>CONCATENATE(C520,E520,F520,I520)</f>
        <v/>
      </c>
      <c r="B520" s="7">
        <f>CONCATENATE(C520,E520,I520)</f>
        <v/>
      </c>
      <c r="C520" s="8" t="n">
        <v>900002574</v>
      </c>
      <c r="D520" s="7">
        <f>IFERROR(VLOOKUP(C520,TRAOPE!$G:$H,2,0),"")</f>
        <v/>
      </c>
      <c r="E520" s="8" t="inlineStr">
        <is>
          <t>D836</t>
        </is>
      </c>
      <c r="F520" s="8" t="inlineStr">
        <is>
          <t>66828646</t>
        </is>
      </c>
      <c r="G520" s="8">
        <f>IFERROR(VLOOKUP(A520,Flete!$A:$E,5,0),"")</f>
        <v/>
      </c>
      <c r="H520" s="7">
        <f>IFERROR(VLOOKUP(F520,TRAOPE!$AA:$AB,2,0),"")</f>
        <v/>
      </c>
      <c r="I520" s="7" t="n">
        <v>10000623</v>
      </c>
      <c r="J520" s="7">
        <f>IFERROR(VLOOKUP(I520,Materiales!$A:$H,8,0),"")</f>
        <v/>
      </c>
      <c r="K520" s="9">
        <f>IFERROR(VLOOKUP(I520,Materiales!$A:$G,7,0),"")</f>
        <v/>
      </c>
      <c r="L520" s="8" t="inlineStr">
        <is>
          <t>20190426</t>
        </is>
      </c>
      <c r="M520" s="8" t="inlineStr">
        <is>
          <t>20250127</t>
        </is>
      </c>
      <c r="N520" s="10" t="n">
        <v>265</v>
      </c>
      <c r="O520" s="10">
        <f>IFERROR(VLOOKUP(A520,Flete!$A:$J,10,0),"")</f>
        <v/>
      </c>
      <c r="P520" s="8" t="inlineStr">
        <is>
          <t>M3</t>
        </is>
      </c>
      <c r="Q520" s="10">
        <f>IFERROR(IFERROR(VLOOKUP(A520,TRAOPE!$A:$U,21,0),VLOOKUP(B520,TRAOPE!$A:$U,21,0)),"")</f>
        <v/>
      </c>
      <c r="R520" s="8">
        <f>IFERROR(IFERROR(VLOOKUP(A520,TRAOPE!$A:$W,23,0),VLOOKUP(B520,TRAOPE!$A:$W,23,0)),"")</f>
        <v/>
      </c>
      <c r="S520" s="10">
        <f>IF(AND(P520="TN",R520="TN"),N520+N(O520),IF(G520&amp;""="1",N(K520)*N520,(N520+N(O520))*N(K520)))</f>
        <v/>
      </c>
      <c r="T520" s="10">
        <f>IF(Q520="","",Q520-S520)</f>
        <v/>
      </c>
    </row>
    <row r="521">
      <c r="A521" s="7">
        <f>CONCATENATE(C521,E521,F521,I521)</f>
        <v/>
      </c>
      <c r="B521" s="7">
        <f>CONCATENATE(C521,E521,I521)</f>
        <v/>
      </c>
      <c r="C521" s="8" t="n">
        <v>900002574</v>
      </c>
      <c r="D521" s="7">
        <f>IFERROR(VLOOKUP(C521,TRAOPE!$G:$H,2,0),"")</f>
        <v/>
      </c>
      <c r="E521" s="8" t="inlineStr">
        <is>
          <t>D836</t>
        </is>
      </c>
      <c r="F521" s="8" t="inlineStr">
        <is>
          <t>66828646</t>
        </is>
      </c>
      <c r="G521" s="8">
        <f>IFERROR(VLOOKUP(A521,Flete!$A:$E,5,0),"")</f>
        <v/>
      </c>
      <c r="H521" s="7">
        <f>IFERROR(VLOOKUP(F521,TRAOPE!$AA:$AB,2,0),"")</f>
        <v/>
      </c>
      <c r="I521" s="7" t="n">
        <v>10000630</v>
      </c>
      <c r="J521" s="7">
        <f>IFERROR(VLOOKUP(I521,Materiales!$A:$H,8,0),"")</f>
        <v/>
      </c>
      <c r="K521" s="9">
        <f>IFERROR(VLOOKUP(I521,Materiales!$A:$G,7,0),"")</f>
        <v/>
      </c>
      <c r="L521" s="8" t="inlineStr">
        <is>
          <t>20190426</t>
        </is>
      </c>
      <c r="M521" s="8" t="inlineStr">
        <is>
          <t>20250127</t>
        </is>
      </c>
      <c r="N521" s="10" t="n">
        <v>265</v>
      </c>
      <c r="O521" s="10">
        <f>IFERROR(VLOOKUP(A521,Flete!$A:$J,10,0),"")</f>
        <v/>
      </c>
      <c r="P521" s="8" t="inlineStr">
        <is>
          <t>M3</t>
        </is>
      </c>
      <c r="Q521" s="10">
        <f>IFERROR(IFERROR(VLOOKUP(A521,TRAOPE!$A:$U,21,0),VLOOKUP(B521,TRAOPE!$A:$U,21,0)),"")</f>
        <v/>
      </c>
      <c r="R521" s="8">
        <f>IFERROR(IFERROR(VLOOKUP(A521,TRAOPE!$A:$W,23,0),VLOOKUP(B521,TRAOPE!$A:$W,23,0)),"")</f>
        <v/>
      </c>
      <c r="S521" s="10">
        <f>IF(AND(P521="TN",R521="TN"),N521+N(O521),IF(G521&amp;""="1",N(K521)*N521,(N521+N(O521))*N(K521)))</f>
        <v/>
      </c>
      <c r="T521" s="10">
        <f>IF(Q521="","",Q521-S521)</f>
        <v/>
      </c>
    </row>
    <row r="522">
      <c r="A522" s="7">
        <f>CONCATENATE(C522,E522,F522,I522)</f>
        <v/>
      </c>
      <c r="B522" s="7">
        <f>CONCATENATE(C522,E522,I522)</f>
        <v/>
      </c>
      <c r="C522" s="8" t="n">
        <v>900002574</v>
      </c>
      <c r="D522" s="7">
        <f>IFERROR(VLOOKUP(C522,TRAOPE!$G:$H,2,0),"")</f>
        <v/>
      </c>
      <c r="E522" s="8" t="inlineStr">
        <is>
          <t>D836</t>
        </is>
      </c>
      <c r="F522" s="8" t="inlineStr">
        <is>
          <t>66830683</t>
        </is>
      </c>
      <c r="G522" s="8">
        <f>IFERROR(VLOOKUP(A522,Flete!$A:$E,5,0),"")</f>
        <v/>
      </c>
      <c r="H522" s="7">
        <f>IFERROR(VLOOKUP(F522,TRAOPE!$AA:$AB,2,0),"")</f>
        <v/>
      </c>
      <c r="I522" s="7" t="n">
        <v>10000160</v>
      </c>
      <c r="J522" s="7">
        <f>IFERROR(VLOOKUP(I522,Materiales!$A:$H,8,0),"")</f>
        <v/>
      </c>
      <c r="K522" s="9">
        <f>IFERROR(VLOOKUP(I522,Materiales!$A:$G,7,0),"")</f>
        <v/>
      </c>
      <c r="L522" s="8" t="inlineStr">
        <is>
          <t>20190426</t>
        </is>
      </c>
      <c r="M522" s="8" t="inlineStr">
        <is>
          <t>20250127</t>
        </is>
      </c>
      <c r="N522" s="10" t="n">
        <v>188</v>
      </c>
      <c r="O522" s="10">
        <f>IFERROR(VLOOKUP(A522,Flete!$A:$J,10,0),"")</f>
        <v/>
      </c>
      <c r="P522" s="8" t="inlineStr">
        <is>
          <t>M3</t>
        </is>
      </c>
      <c r="Q522" s="10">
        <f>IFERROR(IFERROR(VLOOKUP(A522,TRAOPE!$A:$U,21,0),VLOOKUP(B522,TRAOPE!$A:$U,21,0)),"")</f>
        <v/>
      </c>
      <c r="R522" s="8">
        <f>IFERROR(IFERROR(VLOOKUP(A522,TRAOPE!$A:$W,23,0),VLOOKUP(B522,TRAOPE!$A:$W,23,0)),"")</f>
        <v/>
      </c>
      <c r="S522" s="10">
        <f>IF(AND(P522="TN",R522="TN"),N522+N(O522),IF(G522&amp;""="1",N(K522)*N522,(N522+N(O522))*N(K522)))</f>
        <v/>
      </c>
      <c r="T522" s="10">
        <f>IF(Q522="","",Q522-S522)</f>
        <v/>
      </c>
    </row>
    <row r="523">
      <c r="A523" s="7">
        <f>CONCATENATE(C523,E523,F523,I523)</f>
        <v/>
      </c>
      <c r="B523" s="7">
        <f>CONCATENATE(C523,E523,I523)</f>
        <v/>
      </c>
      <c r="C523" s="8" t="n">
        <v>900002574</v>
      </c>
      <c r="D523" s="7">
        <f>IFERROR(VLOOKUP(C523,TRAOPE!$G:$H,2,0),"")</f>
        <v/>
      </c>
      <c r="E523" s="8" t="inlineStr">
        <is>
          <t>D836</t>
        </is>
      </c>
      <c r="F523" s="8" t="inlineStr">
        <is>
          <t>66830683</t>
        </is>
      </c>
      <c r="G523" s="8">
        <f>IFERROR(VLOOKUP(A523,Flete!$A:$E,5,0),"")</f>
        <v/>
      </c>
      <c r="H523" s="7">
        <f>IFERROR(VLOOKUP(F523,TRAOPE!$AA:$AB,2,0),"")</f>
        <v/>
      </c>
      <c r="I523" s="7" t="n">
        <v>10000357</v>
      </c>
      <c r="J523" s="7">
        <f>IFERROR(VLOOKUP(I523,Materiales!$A:$H,8,0),"")</f>
        <v/>
      </c>
      <c r="K523" s="9">
        <f>IFERROR(VLOOKUP(I523,Materiales!$A:$G,7,0),"")</f>
        <v/>
      </c>
      <c r="L523" s="8" t="inlineStr">
        <is>
          <t>20190426</t>
        </is>
      </c>
      <c r="M523" s="8" t="inlineStr">
        <is>
          <t>20250127</t>
        </is>
      </c>
      <c r="N523" s="10" t="n">
        <v>191</v>
      </c>
      <c r="O523" s="10">
        <f>IFERROR(VLOOKUP(A523,Flete!$A:$J,10,0),"")</f>
        <v/>
      </c>
      <c r="P523" s="8" t="inlineStr">
        <is>
          <t>M3</t>
        </is>
      </c>
      <c r="Q523" s="10">
        <f>IFERROR(IFERROR(VLOOKUP(A523,TRAOPE!$A:$U,21,0),VLOOKUP(B523,TRAOPE!$A:$U,21,0)),"")</f>
        <v/>
      </c>
      <c r="R523" s="8">
        <f>IFERROR(IFERROR(VLOOKUP(A523,TRAOPE!$A:$W,23,0),VLOOKUP(B523,TRAOPE!$A:$W,23,0)),"")</f>
        <v/>
      </c>
      <c r="S523" s="10">
        <f>IF(AND(P523="TN",R523="TN"),N523+N(O523),IF(G523&amp;""="1",N(K523)*N523,(N523+N(O523))*N(K523)))</f>
        <v/>
      </c>
      <c r="T523" s="10">
        <f>IF(Q523="","",Q523-S523)</f>
        <v/>
      </c>
    </row>
    <row r="524">
      <c r="A524" s="7">
        <f>CONCATENATE(C524,E524,F524,I524)</f>
        <v/>
      </c>
      <c r="B524" s="7">
        <f>CONCATENATE(C524,E524,I524)</f>
        <v/>
      </c>
      <c r="C524" s="8" t="n">
        <v>900002574</v>
      </c>
      <c r="D524" s="7">
        <f>IFERROR(VLOOKUP(C524,TRAOPE!$G:$H,2,0),"")</f>
        <v/>
      </c>
      <c r="E524" s="8" t="inlineStr">
        <is>
          <t>D836</t>
        </is>
      </c>
      <c r="F524" s="8" t="inlineStr">
        <is>
          <t>66830683</t>
        </is>
      </c>
      <c r="G524" s="8">
        <f>IFERROR(VLOOKUP(A524,Flete!$A:$E,5,0),"")</f>
        <v/>
      </c>
      <c r="H524" s="7">
        <f>IFERROR(VLOOKUP(F524,TRAOPE!$AA:$AB,2,0),"")</f>
        <v/>
      </c>
      <c r="I524" s="7" t="n">
        <v>10000651</v>
      </c>
      <c r="J524" s="7">
        <f>IFERROR(VLOOKUP(I524,Materiales!$A:$H,8,0),"")</f>
        <v/>
      </c>
      <c r="K524" s="9">
        <f>IFERROR(VLOOKUP(I524,Materiales!$A:$G,7,0),"")</f>
        <v/>
      </c>
      <c r="L524" s="8" t="inlineStr">
        <is>
          <t>20190426</t>
        </is>
      </c>
      <c r="M524" s="8" t="inlineStr">
        <is>
          <t>20250127</t>
        </is>
      </c>
      <c r="N524" s="10" t="n">
        <v>174</v>
      </c>
      <c r="O524" s="10">
        <f>IFERROR(VLOOKUP(A524,Flete!$A:$J,10,0),"")</f>
        <v/>
      </c>
      <c r="P524" s="8" t="inlineStr">
        <is>
          <t>M3</t>
        </is>
      </c>
      <c r="Q524" s="10">
        <f>IFERROR(IFERROR(VLOOKUP(A524,TRAOPE!$A:$U,21,0),VLOOKUP(B524,TRAOPE!$A:$U,21,0)),"")</f>
        <v/>
      </c>
      <c r="R524" s="8">
        <f>IFERROR(IFERROR(VLOOKUP(A524,TRAOPE!$A:$W,23,0),VLOOKUP(B524,TRAOPE!$A:$W,23,0)),"")</f>
        <v/>
      </c>
      <c r="S524" s="10">
        <f>IF(AND(P524="TN",R524="TN"),N524+N(O524),IF(G524&amp;""="1",N(K524)*N524,(N524+N(O524))*N(K524)))</f>
        <v/>
      </c>
      <c r="T524" s="10">
        <f>IF(Q524="","",Q524-S524)</f>
        <v/>
      </c>
    </row>
    <row r="525">
      <c r="A525" s="7">
        <f>CONCATENATE(C525,E525,F525,I525)</f>
        <v/>
      </c>
      <c r="B525" s="7">
        <f>CONCATENATE(C525,E525,I525)</f>
        <v/>
      </c>
      <c r="C525" s="8" t="n">
        <v>900002574</v>
      </c>
      <c r="D525" s="7">
        <f>IFERROR(VLOOKUP(C525,TRAOPE!$G:$H,2,0),"")</f>
        <v/>
      </c>
      <c r="E525" s="8" t="inlineStr">
        <is>
          <t>D836</t>
        </is>
      </c>
      <c r="F525" s="8" t="inlineStr">
        <is>
          <t>66837659</t>
        </is>
      </c>
      <c r="G525" s="8">
        <f>IFERROR(VLOOKUP(A525,Flete!$A:$E,5,0),"")</f>
        <v/>
      </c>
      <c r="H525" s="7">
        <f>IFERROR(VLOOKUP(F525,TRAOPE!$AA:$AB,2,0),"")</f>
        <v/>
      </c>
      <c r="I525" s="7" t="n">
        <v>10000160</v>
      </c>
      <c r="J525" s="7">
        <f>IFERROR(VLOOKUP(I525,Materiales!$A:$H,8,0),"")</f>
        <v/>
      </c>
      <c r="K525" s="9">
        <f>IFERROR(VLOOKUP(I525,Materiales!$A:$G,7,0),"")</f>
        <v/>
      </c>
      <c r="L525" s="8" t="inlineStr">
        <is>
          <t>20190426</t>
        </is>
      </c>
      <c r="M525" s="8" t="inlineStr">
        <is>
          <t>20250127</t>
        </is>
      </c>
      <c r="N525" s="10" t="n">
        <v>127.5</v>
      </c>
      <c r="O525" s="10">
        <f>IFERROR(VLOOKUP(A525,Flete!$A:$J,10,0),"")</f>
        <v/>
      </c>
      <c r="P525" s="8" t="inlineStr">
        <is>
          <t>M3</t>
        </is>
      </c>
      <c r="Q525" s="10">
        <f>IFERROR(IFERROR(VLOOKUP(A525,TRAOPE!$A:$U,21,0),VLOOKUP(B525,TRAOPE!$A:$U,21,0)),"")</f>
        <v/>
      </c>
      <c r="R525" s="8">
        <f>IFERROR(IFERROR(VLOOKUP(A525,TRAOPE!$A:$W,23,0),VLOOKUP(B525,TRAOPE!$A:$W,23,0)),"")</f>
        <v/>
      </c>
      <c r="S525" s="10">
        <f>IF(AND(P525="TN",R525="TN"),N525+N(O525),IF(G525&amp;""="1",N(K525)*N525,(N525+N(O525))*N(K525)))</f>
        <v/>
      </c>
      <c r="T525" s="10">
        <f>IF(Q525="","",Q525-S525)</f>
        <v/>
      </c>
    </row>
    <row r="526">
      <c r="A526" s="7">
        <f>CONCATENATE(C526,E526,F526,I526)</f>
        <v/>
      </c>
      <c r="B526" s="7">
        <f>CONCATENATE(C526,E526,I526)</f>
        <v/>
      </c>
      <c r="C526" s="8" t="n">
        <v>900002574</v>
      </c>
      <c r="D526" s="7">
        <f>IFERROR(VLOOKUP(C526,TRAOPE!$G:$H,2,0),"")</f>
        <v/>
      </c>
      <c r="E526" s="8" t="inlineStr">
        <is>
          <t>D836</t>
        </is>
      </c>
      <c r="F526" s="8" t="inlineStr">
        <is>
          <t>66837659</t>
        </is>
      </c>
      <c r="G526" s="8">
        <f>IFERROR(VLOOKUP(A526,Flete!$A:$E,5,0),"")</f>
        <v/>
      </c>
      <c r="H526" s="7">
        <f>IFERROR(VLOOKUP(F526,TRAOPE!$AA:$AB,2,0),"")</f>
        <v/>
      </c>
      <c r="I526" s="7" t="n">
        <v>10000623</v>
      </c>
      <c r="J526" s="7">
        <f>IFERROR(VLOOKUP(I526,Materiales!$A:$H,8,0),"")</f>
        <v/>
      </c>
      <c r="K526" s="9">
        <f>IFERROR(VLOOKUP(I526,Materiales!$A:$G,7,0),"")</f>
        <v/>
      </c>
      <c r="L526" s="8" t="inlineStr">
        <is>
          <t>20190426</t>
        </is>
      </c>
      <c r="M526" s="8" t="inlineStr">
        <is>
          <t>20250127</t>
        </is>
      </c>
      <c r="N526" s="10" t="n">
        <v>212.5</v>
      </c>
      <c r="O526" s="10">
        <f>IFERROR(VLOOKUP(A526,Flete!$A:$J,10,0),"")</f>
        <v/>
      </c>
      <c r="P526" s="8" t="inlineStr">
        <is>
          <t>M3</t>
        </is>
      </c>
      <c r="Q526" s="10">
        <f>IFERROR(IFERROR(VLOOKUP(A526,TRAOPE!$A:$U,21,0),VLOOKUP(B526,TRAOPE!$A:$U,21,0)),"")</f>
        <v/>
      </c>
      <c r="R526" s="8">
        <f>IFERROR(IFERROR(VLOOKUP(A526,TRAOPE!$A:$W,23,0),VLOOKUP(B526,TRAOPE!$A:$W,23,0)),"")</f>
        <v/>
      </c>
      <c r="S526" s="10">
        <f>IF(AND(P526="TN",R526="TN"),N526+N(O526),IF(G526&amp;""="1",N(K526)*N526,(N526+N(O526))*N(K526)))</f>
        <v/>
      </c>
      <c r="T526" s="10">
        <f>IF(Q526="","",Q526-S526)</f>
        <v/>
      </c>
    </row>
    <row r="527">
      <c r="A527" s="7">
        <f>CONCATENATE(C527,E527,F527,I527)</f>
        <v/>
      </c>
      <c r="B527" s="7">
        <f>CONCATENATE(C527,E527,I527)</f>
        <v/>
      </c>
      <c r="C527" s="8" t="n">
        <v>900002574</v>
      </c>
      <c r="D527" s="7">
        <f>IFERROR(VLOOKUP(C527,TRAOPE!$G:$H,2,0),"")</f>
        <v/>
      </c>
      <c r="E527" s="8" t="inlineStr">
        <is>
          <t>D836</t>
        </is>
      </c>
      <c r="F527" s="8" t="inlineStr">
        <is>
          <t>66837659</t>
        </is>
      </c>
      <c r="G527" s="8">
        <f>IFERROR(VLOOKUP(A527,Flete!$A:$E,5,0),"")</f>
        <v/>
      </c>
      <c r="H527" s="7">
        <f>IFERROR(VLOOKUP(F527,TRAOPE!$AA:$AB,2,0),"")</f>
        <v/>
      </c>
      <c r="I527" s="7" t="n">
        <v>10000649</v>
      </c>
      <c r="J527" s="7">
        <f>IFERROR(VLOOKUP(I527,Materiales!$A:$H,8,0),"")</f>
        <v/>
      </c>
      <c r="K527" s="9">
        <f>IFERROR(VLOOKUP(I527,Materiales!$A:$G,7,0),"")</f>
        <v/>
      </c>
      <c r="L527" s="8" t="inlineStr">
        <is>
          <t>20190426</t>
        </is>
      </c>
      <c r="M527" s="8" t="inlineStr">
        <is>
          <t>20250127</t>
        </is>
      </c>
      <c r="N527" s="10" t="n">
        <v>142.5</v>
      </c>
      <c r="O527" s="10">
        <f>IFERROR(VLOOKUP(A527,Flete!$A:$J,10,0),"")</f>
        <v/>
      </c>
      <c r="P527" s="8" t="inlineStr">
        <is>
          <t>M3</t>
        </is>
      </c>
      <c r="Q527" s="10">
        <f>IFERROR(IFERROR(VLOOKUP(A527,TRAOPE!$A:$U,21,0),VLOOKUP(B527,TRAOPE!$A:$U,21,0)),"")</f>
        <v/>
      </c>
      <c r="R527" s="8">
        <f>IFERROR(IFERROR(VLOOKUP(A527,TRAOPE!$A:$W,23,0),VLOOKUP(B527,TRAOPE!$A:$W,23,0)),"")</f>
        <v/>
      </c>
      <c r="S527" s="10">
        <f>IF(AND(P527="TN",R527="TN"),N527+N(O527),IF(G527&amp;""="1",N(K527)*N527,(N527+N(O527))*N(K527)))</f>
        <v/>
      </c>
      <c r="T527" s="10">
        <f>IF(Q527="","",Q527-S527)</f>
        <v/>
      </c>
    </row>
    <row r="528">
      <c r="A528" s="7">
        <f>CONCATENATE(C528,E528,F528,I528)</f>
        <v/>
      </c>
      <c r="B528" s="7">
        <f>CONCATENATE(C528,E528,I528)</f>
        <v/>
      </c>
      <c r="C528" s="8" t="n">
        <v>900002574</v>
      </c>
      <c r="D528" s="7">
        <f>IFERROR(VLOOKUP(C528,TRAOPE!$G:$H,2,0),"")</f>
        <v/>
      </c>
      <c r="E528" s="8" t="inlineStr">
        <is>
          <t>D836</t>
        </is>
      </c>
      <c r="F528" s="8" t="inlineStr">
        <is>
          <t>66837659</t>
        </is>
      </c>
      <c r="G528" s="8">
        <f>IFERROR(VLOOKUP(A528,Flete!$A:$E,5,0),"")</f>
        <v/>
      </c>
      <c r="H528" s="7">
        <f>IFERROR(VLOOKUP(F528,TRAOPE!$AA:$AB,2,0),"")</f>
        <v/>
      </c>
      <c r="I528" s="7" t="n">
        <v>10058345</v>
      </c>
      <c r="J528" s="7">
        <f>IFERROR(VLOOKUP(I528,Materiales!$A:$H,8,0),"")</f>
        <v/>
      </c>
      <c r="K528" s="9">
        <f>IFERROR(VLOOKUP(I528,Materiales!$A:$G,7,0),"")</f>
        <v/>
      </c>
      <c r="L528" s="8" t="inlineStr">
        <is>
          <t>20190426</t>
        </is>
      </c>
      <c r="M528" s="8" t="inlineStr">
        <is>
          <t>20250127</t>
        </is>
      </c>
      <c r="N528" s="10" t="n">
        <v>157.5</v>
      </c>
      <c r="O528" s="10">
        <f>IFERROR(VLOOKUP(A528,Flete!$A:$J,10,0),"")</f>
        <v/>
      </c>
      <c r="P528" s="8" t="inlineStr">
        <is>
          <t>M3</t>
        </is>
      </c>
      <c r="Q528" s="10">
        <f>IFERROR(IFERROR(VLOOKUP(A528,TRAOPE!$A:$U,21,0),VLOOKUP(B528,TRAOPE!$A:$U,21,0)),"")</f>
        <v/>
      </c>
      <c r="R528" s="8">
        <f>IFERROR(IFERROR(VLOOKUP(A528,TRAOPE!$A:$W,23,0),VLOOKUP(B528,TRAOPE!$A:$W,23,0)),"")</f>
        <v/>
      </c>
      <c r="S528" s="10">
        <f>IF(AND(P528="TN",R528="TN"),N528+N(O528),IF(G528&amp;""="1",N(K528)*N528,(N528+N(O528))*N(K528)))</f>
        <v/>
      </c>
      <c r="T528" s="10">
        <f>IF(Q528="","",Q528-S528)</f>
        <v/>
      </c>
    </row>
    <row r="529">
      <c r="A529" s="7">
        <f>CONCATENATE(C529,E529,F529,I529)</f>
        <v/>
      </c>
      <c r="B529" s="7">
        <f>CONCATENATE(C529,E529,I529)</f>
        <v/>
      </c>
      <c r="C529" s="8" t="n">
        <v>900002574</v>
      </c>
      <c r="D529" s="7">
        <f>IFERROR(VLOOKUP(C529,TRAOPE!$G:$H,2,0),"")</f>
        <v/>
      </c>
      <c r="E529" s="8" t="inlineStr">
        <is>
          <t>D836</t>
        </is>
      </c>
      <c r="F529" s="8" t="inlineStr">
        <is>
          <t>66837964</t>
        </is>
      </c>
      <c r="G529" s="8">
        <f>IFERROR(VLOOKUP(A529,Flete!$A:$E,5,0),"")</f>
        <v/>
      </c>
      <c r="H529" s="7">
        <f>IFERROR(VLOOKUP(F529,TRAOPE!$AA:$AB,2,0),"")</f>
        <v/>
      </c>
      <c r="I529" s="7" t="n">
        <v>10000160</v>
      </c>
      <c r="J529" s="7">
        <f>IFERROR(VLOOKUP(I529,Materiales!$A:$H,8,0),"")</f>
        <v/>
      </c>
      <c r="K529" s="9">
        <f>IFERROR(VLOOKUP(I529,Materiales!$A:$G,7,0),"")</f>
        <v/>
      </c>
      <c r="L529" s="8" t="inlineStr">
        <is>
          <t>20190426</t>
        </is>
      </c>
      <c r="M529" s="8" t="inlineStr">
        <is>
          <t>20250127</t>
        </is>
      </c>
      <c r="N529" s="10" t="n">
        <v>175</v>
      </c>
      <c r="O529" s="10">
        <f>IFERROR(VLOOKUP(A529,Flete!$A:$J,10,0),"")</f>
        <v/>
      </c>
      <c r="P529" s="8" t="inlineStr">
        <is>
          <t>M3</t>
        </is>
      </c>
      <c r="Q529" s="10">
        <f>IFERROR(IFERROR(VLOOKUP(A529,TRAOPE!$A:$U,21,0),VLOOKUP(B529,TRAOPE!$A:$U,21,0)),"")</f>
        <v/>
      </c>
      <c r="R529" s="8">
        <f>IFERROR(IFERROR(VLOOKUP(A529,TRAOPE!$A:$W,23,0),VLOOKUP(B529,TRAOPE!$A:$W,23,0)),"")</f>
        <v/>
      </c>
      <c r="S529" s="10">
        <f>IF(AND(P529="TN",R529="TN"),N529+N(O529),IF(G529&amp;""="1",N(K529)*N529,(N529+N(O529))*N(K529)))</f>
        <v/>
      </c>
      <c r="T529" s="10">
        <f>IF(Q529="","",Q529-S529)</f>
        <v/>
      </c>
    </row>
    <row r="530">
      <c r="A530" s="7">
        <f>CONCATENATE(C530,E530,F530,I530)</f>
        <v/>
      </c>
      <c r="B530" s="7">
        <f>CONCATENATE(C530,E530,I530)</f>
        <v/>
      </c>
      <c r="C530" s="8" t="n">
        <v>900002574</v>
      </c>
      <c r="D530" s="7">
        <f>IFERROR(VLOOKUP(C530,TRAOPE!$G:$H,2,0),"")</f>
        <v/>
      </c>
      <c r="E530" s="8" t="inlineStr">
        <is>
          <t>D836</t>
        </is>
      </c>
      <c r="F530" s="8" t="inlineStr">
        <is>
          <t>66837964</t>
        </is>
      </c>
      <c r="G530" s="8">
        <f>IFERROR(VLOOKUP(A530,Flete!$A:$E,5,0),"")</f>
        <v/>
      </c>
      <c r="H530" s="7">
        <f>IFERROR(VLOOKUP(F530,TRAOPE!$AA:$AB,2,0),"")</f>
        <v/>
      </c>
      <c r="I530" s="7" t="n">
        <v>10000357</v>
      </c>
      <c r="J530" s="7">
        <f>IFERROR(VLOOKUP(I530,Materiales!$A:$H,8,0),"")</f>
        <v/>
      </c>
      <c r="K530" s="9">
        <f>IFERROR(VLOOKUP(I530,Materiales!$A:$G,7,0),"")</f>
        <v/>
      </c>
      <c r="L530" s="8" t="inlineStr">
        <is>
          <t>20190426</t>
        </is>
      </c>
      <c r="M530" s="8" t="inlineStr">
        <is>
          <t>20250127</t>
        </is>
      </c>
      <c r="N530" s="10" t="n">
        <v>185</v>
      </c>
      <c r="O530" s="10">
        <f>IFERROR(VLOOKUP(A530,Flete!$A:$J,10,0),"")</f>
        <v/>
      </c>
      <c r="P530" s="8" t="inlineStr">
        <is>
          <t>M3</t>
        </is>
      </c>
      <c r="Q530" s="10">
        <f>IFERROR(IFERROR(VLOOKUP(A530,TRAOPE!$A:$U,21,0),VLOOKUP(B530,TRAOPE!$A:$U,21,0)),"")</f>
        <v/>
      </c>
      <c r="R530" s="8">
        <f>IFERROR(IFERROR(VLOOKUP(A530,TRAOPE!$A:$W,23,0),VLOOKUP(B530,TRAOPE!$A:$W,23,0)),"")</f>
        <v/>
      </c>
      <c r="S530" s="10">
        <f>IF(AND(P530="TN",R530="TN"),N530+N(O530),IF(G530&amp;""="1",N(K530)*N530,(N530+N(O530))*N(K530)))</f>
        <v/>
      </c>
      <c r="T530" s="10">
        <f>IF(Q530="","",Q530-S530)</f>
        <v/>
      </c>
    </row>
    <row r="531">
      <c r="A531" s="7">
        <f>CONCATENATE(C531,E531,F531,I531)</f>
        <v/>
      </c>
      <c r="B531" s="7">
        <f>CONCATENATE(C531,E531,I531)</f>
        <v/>
      </c>
      <c r="C531" s="8" t="n">
        <v>900002574</v>
      </c>
      <c r="D531" s="7">
        <f>IFERROR(VLOOKUP(C531,TRAOPE!$G:$H,2,0),"")</f>
        <v/>
      </c>
      <c r="E531" s="8" t="inlineStr">
        <is>
          <t>D836</t>
        </is>
      </c>
      <c r="F531" s="8" t="inlineStr">
        <is>
          <t>66837964</t>
        </is>
      </c>
      <c r="G531" s="8">
        <f>IFERROR(VLOOKUP(A531,Flete!$A:$E,5,0),"")</f>
        <v/>
      </c>
      <c r="H531" s="7">
        <f>IFERROR(VLOOKUP(F531,TRAOPE!$AA:$AB,2,0),"")</f>
        <v/>
      </c>
      <c r="I531" s="7" t="n">
        <v>10000649</v>
      </c>
      <c r="J531" s="7">
        <f>IFERROR(VLOOKUP(I531,Materiales!$A:$H,8,0),"")</f>
        <v/>
      </c>
      <c r="K531" s="9">
        <f>IFERROR(VLOOKUP(I531,Materiales!$A:$G,7,0),"")</f>
        <v/>
      </c>
      <c r="L531" s="8" t="inlineStr">
        <is>
          <t>20190426</t>
        </is>
      </c>
      <c r="M531" s="8" t="inlineStr">
        <is>
          <t>20250127</t>
        </is>
      </c>
      <c r="N531" s="10" t="n">
        <v>200</v>
      </c>
      <c r="O531" s="10">
        <f>IFERROR(VLOOKUP(A531,Flete!$A:$J,10,0),"")</f>
        <v/>
      </c>
      <c r="P531" s="8" t="inlineStr">
        <is>
          <t>M3</t>
        </is>
      </c>
      <c r="Q531" s="10">
        <f>IFERROR(IFERROR(VLOOKUP(A531,TRAOPE!$A:$U,21,0),VLOOKUP(B531,TRAOPE!$A:$U,21,0)),"")</f>
        <v/>
      </c>
      <c r="R531" s="8">
        <f>IFERROR(IFERROR(VLOOKUP(A531,TRAOPE!$A:$W,23,0),VLOOKUP(B531,TRAOPE!$A:$W,23,0)),"")</f>
        <v/>
      </c>
      <c r="S531" s="10">
        <f>IF(AND(P531="TN",R531="TN"),N531+N(O531),IF(G531&amp;""="1",N(K531)*N531,(N531+N(O531))*N(K531)))</f>
        <v/>
      </c>
      <c r="T531" s="10">
        <f>IF(Q531="","",Q531-S531)</f>
        <v/>
      </c>
    </row>
    <row r="532">
      <c r="A532" s="7">
        <f>CONCATENATE(C532,E532,F532,I532)</f>
        <v/>
      </c>
      <c r="B532" s="7">
        <f>CONCATENATE(C532,E532,I532)</f>
        <v/>
      </c>
      <c r="C532" s="8" t="n">
        <v>900002574</v>
      </c>
      <c r="D532" s="7">
        <f>IFERROR(VLOOKUP(C532,TRAOPE!$G:$H,2,0),"")</f>
        <v/>
      </c>
      <c r="E532" s="8" t="inlineStr">
        <is>
          <t>D836</t>
        </is>
      </c>
      <c r="F532" s="8" t="inlineStr">
        <is>
          <t>66838561</t>
        </is>
      </c>
      <c r="G532" s="8">
        <f>IFERROR(VLOOKUP(A532,Flete!$A:$E,5,0),"")</f>
        <v/>
      </c>
      <c r="H532" s="7">
        <f>IFERROR(VLOOKUP(F532,TRAOPE!$AA:$AB,2,0),"")</f>
        <v/>
      </c>
      <c r="I532" s="7" t="n">
        <v>10000160</v>
      </c>
      <c r="J532" s="7">
        <f>IFERROR(VLOOKUP(I532,Materiales!$A:$H,8,0),"")</f>
        <v/>
      </c>
      <c r="K532" s="9">
        <f>IFERROR(VLOOKUP(I532,Materiales!$A:$G,7,0),"")</f>
        <v/>
      </c>
      <c r="L532" s="8" t="inlineStr">
        <is>
          <t>20190426</t>
        </is>
      </c>
      <c r="M532" s="8" t="inlineStr">
        <is>
          <t>20250127</t>
        </is>
      </c>
      <c r="N532" s="10" t="n">
        <v>110</v>
      </c>
      <c r="O532" s="10">
        <f>IFERROR(VLOOKUP(A532,Flete!$A:$J,10,0),"")</f>
        <v/>
      </c>
      <c r="P532" s="8" t="inlineStr">
        <is>
          <t>M3</t>
        </is>
      </c>
      <c r="Q532" s="10">
        <f>IFERROR(IFERROR(VLOOKUP(A532,TRAOPE!$A:$U,21,0),VLOOKUP(B532,TRAOPE!$A:$U,21,0)),"")</f>
        <v/>
      </c>
      <c r="R532" s="8">
        <f>IFERROR(IFERROR(VLOOKUP(A532,TRAOPE!$A:$W,23,0),VLOOKUP(B532,TRAOPE!$A:$W,23,0)),"")</f>
        <v/>
      </c>
      <c r="S532" s="10">
        <f>IF(AND(P532="TN",R532="TN"),N532+N(O532),IF(G532&amp;""="1",N(K532)*N532,(N532+N(O532))*N(K532)))</f>
        <v/>
      </c>
      <c r="T532" s="10">
        <f>IF(Q532="","",Q532-S532)</f>
        <v/>
      </c>
    </row>
    <row r="533">
      <c r="A533" s="7">
        <f>CONCATENATE(C533,E533,F533,I533)</f>
        <v/>
      </c>
      <c r="B533" s="7">
        <f>CONCATENATE(C533,E533,I533)</f>
        <v/>
      </c>
      <c r="C533" s="8" t="n">
        <v>900002574</v>
      </c>
      <c r="D533" s="7">
        <f>IFERROR(VLOOKUP(C533,TRAOPE!$G:$H,2,0),"")</f>
        <v/>
      </c>
      <c r="E533" s="8" t="inlineStr">
        <is>
          <t>D836</t>
        </is>
      </c>
      <c r="F533" s="8" t="inlineStr">
        <is>
          <t>66838561</t>
        </is>
      </c>
      <c r="G533" s="8">
        <f>IFERROR(VLOOKUP(A533,Flete!$A:$E,5,0),"")</f>
        <v/>
      </c>
      <c r="H533" s="7">
        <f>IFERROR(VLOOKUP(F533,TRAOPE!$AA:$AB,2,0),"")</f>
        <v/>
      </c>
      <c r="I533" s="7" t="n">
        <v>10000206</v>
      </c>
      <c r="J533" s="7">
        <f>IFERROR(VLOOKUP(I533,Materiales!$A:$H,8,0),"")</f>
        <v/>
      </c>
      <c r="K533" s="9">
        <f>IFERROR(VLOOKUP(I533,Materiales!$A:$G,7,0),"")</f>
        <v/>
      </c>
      <c r="L533" s="8" t="inlineStr">
        <is>
          <t>20190426</t>
        </is>
      </c>
      <c r="M533" s="8" t="inlineStr">
        <is>
          <t>20250127</t>
        </is>
      </c>
      <c r="N533" s="10" t="n">
        <v>40</v>
      </c>
      <c r="O533" s="10">
        <f>IFERROR(VLOOKUP(A533,Flete!$A:$J,10,0),"")</f>
        <v/>
      </c>
      <c r="P533" s="8" t="inlineStr">
        <is>
          <t>M3</t>
        </is>
      </c>
      <c r="Q533" s="10">
        <f>IFERROR(IFERROR(VLOOKUP(A533,TRAOPE!$A:$U,21,0),VLOOKUP(B533,TRAOPE!$A:$U,21,0)),"")</f>
        <v/>
      </c>
      <c r="R533" s="8">
        <f>IFERROR(IFERROR(VLOOKUP(A533,TRAOPE!$A:$W,23,0),VLOOKUP(B533,TRAOPE!$A:$W,23,0)),"")</f>
        <v/>
      </c>
      <c r="S533" s="10">
        <f>IF(AND(P533="TN",R533="TN"),N533+N(O533),IF(G533&amp;""="1",N(K533)*N533,(N533+N(O533))*N(K533)))</f>
        <v/>
      </c>
      <c r="T533" s="10">
        <f>IF(Q533="","",Q533-S533)</f>
        <v/>
      </c>
    </row>
    <row r="534">
      <c r="A534" s="7">
        <f>CONCATENATE(C534,E534,F534,I534)</f>
        <v/>
      </c>
      <c r="B534" s="7">
        <f>CONCATENATE(C534,E534,I534)</f>
        <v/>
      </c>
      <c r="C534" s="8" t="n">
        <v>900002574</v>
      </c>
      <c r="D534" s="7">
        <f>IFERROR(VLOOKUP(C534,TRAOPE!$G:$H,2,0),"")</f>
        <v/>
      </c>
      <c r="E534" s="8" t="inlineStr">
        <is>
          <t>D836</t>
        </is>
      </c>
      <c r="F534" s="8" t="inlineStr">
        <is>
          <t>66838561</t>
        </is>
      </c>
      <c r="G534" s="8">
        <f>IFERROR(VLOOKUP(A534,Flete!$A:$E,5,0),"")</f>
        <v/>
      </c>
      <c r="H534" s="7">
        <f>IFERROR(VLOOKUP(F534,TRAOPE!$AA:$AB,2,0),"")</f>
        <v/>
      </c>
      <c r="I534" s="7" t="n">
        <v>10000357</v>
      </c>
      <c r="J534" s="7">
        <f>IFERROR(VLOOKUP(I534,Materiales!$A:$H,8,0),"")</f>
        <v/>
      </c>
      <c r="K534" s="9">
        <f>IFERROR(VLOOKUP(I534,Materiales!$A:$G,7,0),"")</f>
        <v/>
      </c>
      <c r="L534" s="8" t="inlineStr">
        <is>
          <t>20190426</t>
        </is>
      </c>
      <c r="M534" s="8" t="inlineStr">
        <is>
          <t>20250127</t>
        </is>
      </c>
      <c r="N534" s="10" t="n">
        <v>120</v>
      </c>
      <c r="O534" s="10">
        <f>IFERROR(VLOOKUP(A534,Flete!$A:$J,10,0),"")</f>
        <v/>
      </c>
      <c r="P534" s="8" t="inlineStr">
        <is>
          <t>M3</t>
        </is>
      </c>
      <c r="Q534" s="10">
        <f>IFERROR(IFERROR(VLOOKUP(A534,TRAOPE!$A:$U,21,0),VLOOKUP(B534,TRAOPE!$A:$U,21,0)),"")</f>
        <v/>
      </c>
      <c r="R534" s="8">
        <f>IFERROR(IFERROR(VLOOKUP(A534,TRAOPE!$A:$W,23,0),VLOOKUP(B534,TRAOPE!$A:$W,23,0)),"")</f>
        <v/>
      </c>
      <c r="S534" s="10">
        <f>IF(AND(P534="TN",R534="TN"),N534+N(O534),IF(G534&amp;""="1",N(K534)*N534,(N534+N(O534))*N(K534)))</f>
        <v/>
      </c>
      <c r="T534" s="10">
        <f>IF(Q534="","",Q534-S534)</f>
        <v/>
      </c>
    </row>
    <row r="535">
      <c r="A535" s="7">
        <f>CONCATENATE(C535,E535,F535,I535)</f>
        <v/>
      </c>
      <c r="B535" s="7">
        <f>CONCATENATE(C535,E535,I535)</f>
        <v/>
      </c>
      <c r="C535" s="8" t="n">
        <v>900002574</v>
      </c>
      <c r="D535" s="7">
        <f>IFERROR(VLOOKUP(C535,TRAOPE!$G:$H,2,0),"")</f>
        <v/>
      </c>
      <c r="E535" s="8" t="inlineStr">
        <is>
          <t>D836</t>
        </is>
      </c>
      <c r="F535" s="8" t="inlineStr">
        <is>
          <t>66847144</t>
        </is>
      </c>
      <c r="G535" s="8">
        <f>IFERROR(VLOOKUP(A535,Flete!$A:$E,5,0),"")</f>
        <v/>
      </c>
      <c r="H535" s="7">
        <f>IFERROR(VLOOKUP(F535,TRAOPE!$AA:$AB,2,0),"")</f>
        <v/>
      </c>
      <c r="I535" s="7" t="n">
        <v>10000160</v>
      </c>
      <c r="J535" s="7">
        <f>IFERROR(VLOOKUP(I535,Materiales!$A:$H,8,0),"")</f>
        <v/>
      </c>
      <c r="K535" s="9">
        <f>IFERROR(VLOOKUP(I535,Materiales!$A:$G,7,0),"")</f>
        <v/>
      </c>
      <c r="L535" s="8" t="inlineStr">
        <is>
          <t>20190426</t>
        </is>
      </c>
      <c r="M535" s="8" t="inlineStr">
        <is>
          <t>20250127</t>
        </is>
      </c>
      <c r="N535" s="10" t="n">
        <v>188</v>
      </c>
      <c r="O535" s="10">
        <f>IFERROR(VLOOKUP(A535,Flete!$A:$J,10,0),"")</f>
        <v/>
      </c>
      <c r="P535" s="8" t="inlineStr">
        <is>
          <t>M3</t>
        </is>
      </c>
      <c r="Q535" s="10">
        <f>IFERROR(IFERROR(VLOOKUP(A535,TRAOPE!$A:$U,21,0),VLOOKUP(B535,TRAOPE!$A:$U,21,0)),"")</f>
        <v/>
      </c>
      <c r="R535" s="8">
        <f>IFERROR(IFERROR(VLOOKUP(A535,TRAOPE!$A:$W,23,0),VLOOKUP(B535,TRAOPE!$A:$W,23,0)),"")</f>
        <v/>
      </c>
      <c r="S535" s="10">
        <f>IF(AND(P535="TN",R535="TN"),N535+N(O535),IF(G535&amp;""="1",N(K535)*N535,(N535+N(O535))*N(K535)))</f>
        <v/>
      </c>
      <c r="T535" s="10">
        <f>IF(Q535="","",Q535-S535)</f>
        <v/>
      </c>
    </row>
    <row r="536">
      <c r="A536" s="7">
        <f>CONCATENATE(C536,E536,F536,I536)</f>
        <v/>
      </c>
      <c r="B536" s="7">
        <f>CONCATENATE(C536,E536,I536)</f>
        <v/>
      </c>
      <c r="C536" s="8" t="n">
        <v>900002574</v>
      </c>
      <c r="D536" s="7">
        <f>IFERROR(VLOOKUP(C536,TRAOPE!$G:$H,2,0),"")</f>
        <v/>
      </c>
      <c r="E536" s="8" t="inlineStr">
        <is>
          <t>D836</t>
        </is>
      </c>
      <c r="F536" s="8" t="inlineStr">
        <is>
          <t>66847144</t>
        </is>
      </c>
      <c r="G536" s="8">
        <f>IFERROR(VLOOKUP(A536,Flete!$A:$E,5,0),"")</f>
        <v/>
      </c>
      <c r="H536" s="7">
        <f>IFERROR(VLOOKUP(F536,TRAOPE!$AA:$AB,2,0),"")</f>
        <v/>
      </c>
      <c r="I536" s="7" t="n">
        <v>10000357</v>
      </c>
      <c r="J536" s="7">
        <f>IFERROR(VLOOKUP(I536,Materiales!$A:$H,8,0),"")</f>
        <v/>
      </c>
      <c r="K536" s="9">
        <f>IFERROR(VLOOKUP(I536,Materiales!$A:$G,7,0),"")</f>
        <v/>
      </c>
      <c r="L536" s="8" t="inlineStr">
        <is>
          <t>20190426</t>
        </is>
      </c>
      <c r="M536" s="8" t="inlineStr">
        <is>
          <t>20250127</t>
        </is>
      </c>
      <c r="N536" s="10" t="n">
        <v>191</v>
      </c>
      <c r="O536" s="10">
        <f>IFERROR(VLOOKUP(A536,Flete!$A:$J,10,0),"")</f>
        <v/>
      </c>
      <c r="P536" s="8" t="inlineStr">
        <is>
          <t>M3</t>
        </is>
      </c>
      <c r="Q536" s="10">
        <f>IFERROR(IFERROR(VLOOKUP(A536,TRAOPE!$A:$U,21,0),VLOOKUP(B536,TRAOPE!$A:$U,21,0)),"")</f>
        <v/>
      </c>
      <c r="R536" s="8">
        <f>IFERROR(IFERROR(VLOOKUP(A536,TRAOPE!$A:$W,23,0),VLOOKUP(B536,TRAOPE!$A:$W,23,0)),"")</f>
        <v/>
      </c>
      <c r="S536" s="10">
        <f>IF(AND(P536="TN",R536="TN"),N536+N(O536),IF(G536&amp;""="1",N(K536)*N536,(N536+N(O536))*N(K536)))</f>
        <v/>
      </c>
      <c r="T536" s="10">
        <f>IF(Q536="","",Q536-S536)</f>
        <v/>
      </c>
    </row>
    <row r="537">
      <c r="A537" s="7">
        <f>CONCATENATE(C537,E537,F537,I537)</f>
        <v/>
      </c>
      <c r="B537" s="7">
        <f>CONCATENATE(C537,E537,I537)</f>
        <v/>
      </c>
      <c r="C537" s="8" t="n">
        <v>900002574</v>
      </c>
      <c r="D537" s="7">
        <f>IFERROR(VLOOKUP(C537,TRAOPE!$G:$H,2,0),"")</f>
        <v/>
      </c>
      <c r="E537" s="8" t="inlineStr">
        <is>
          <t>D836</t>
        </is>
      </c>
      <c r="F537" s="8" t="inlineStr">
        <is>
          <t>66847144</t>
        </is>
      </c>
      <c r="G537" s="8">
        <f>IFERROR(VLOOKUP(A537,Flete!$A:$E,5,0),"")</f>
        <v/>
      </c>
      <c r="H537" s="7">
        <f>IFERROR(VLOOKUP(F537,TRAOPE!$AA:$AB,2,0),"")</f>
        <v/>
      </c>
      <c r="I537" s="7" t="n">
        <v>10000651</v>
      </c>
      <c r="J537" s="7">
        <f>IFERROR(VLOOKUP(I537,Materiales!$A:$H,8,0),"")</f>
        <v/>
      </c>
      <c r="K537" s="9">
        <f>IFERROR(VLOOKUP(I537,Materiales!$A:$G,7,0),"")</f>
        <v/>
      </c>
      <c r="L537" s="8" t="inlineStr">
        <is>
          <t>20190426</t>
        </is>
      </c>
      <c r="M537" s="8" t="inlineStr">
        <is>
          <t>20250127</t>
        </is>
      </c>
      <c r="N537" s="10" t="n">
        <v>174</v>
      </c>
      <c r="O537" s="10">
        <f>IFERROR(VLOOKUP(A537,Flete!$A:$J,10,0),"")</f>
        <v/>
      </c>
      <c r="P537" s="8" t="inlineStr">
        <is>
          <t>M3</t>
        </is>
      </c>
      <c r="Q537" s="10">
        <f>IFERROR(IFERROR(VLOOKUP(A537,TRAOPE!$A:$U,21,0),VLOOKUP(B537,TRAOPE!$A:$U,21,0)),"")</f>
        <v/>
      </c>
      <c r="R537" s="8">
        <f>IFERROR(IFERROR(VLOOKUP(A537,TRAOPE!$A:$W,23,0),VLOOKUP(B537,TRAOPE!$A:$W,23,0)),"")</f>
        <v/>
      </c>
      <c r="S537" s="10">
        <f>IF(AND(P537="TN",R537="TN"),N537+N(O537),IF(G537&amp;""="1",N(K537)*N537,(N537+N(O537))*N(K537)))</f>
        <v/>
      </c>
      <c r="T537" s="10">
        <f>IF(Q537="","",Q537-S537)</f>
        <v/>
      </c>
    </row>
    <row r="538">
      <c r="A538" s="7">
        <f>CONCATENATE(C538,E538,F538,I538)</f>
        <v/>
      </c>
      <c r="B538" s="7">
        <f>CONCATENATE(C538,E538,I538)</f>
        <v/>
      </c>
      <c r="C538" s="8" t="n">
        <v>900002574</v>
      </c>
      <c r="D538" s="7">
        <f>IFERROR(VLOOKUP(C538,TRAOPE!$G:$H,2,0),"")</f>
        <v/>
      </c>
      <c r="E538" s="8" t="inlineStr">
        <is>
          <t>D836</t>
        </is>
      </c>
      <c r="F538" s="8" t="inlineStr">
        <is>
          <t>66847626</t>
        </is>
      </c>
      <c r="G538" s="8">
        <f>IFERROR(VLOOKUP(A538,Flete!$A:$E,5,0),"")</f>
        <v/>
      </c>
      <c r="H538" s="7">
        <f>IFERROR(VLOOKUP(F538,TRAOPE!$AA:$AB,2,0),"")</f>
        <v/>
      </c>
      <c r="I538" s="7" t="n">
        <v>10000160</v>
      </c>
      <c r="J538" s="7">
        <f>IFERROR(VLOOKUP(I538,Materiales!$A:$H,8,0),"")</f>
        <v/>
      </c>
      <c r="K538" s="9">
        <f>IFERROR(VLOOKUP(I538,Materiales!$A:$G,7,0),"")</f>
        <v/>
      </c>
      <c r="L538" s="8" t="inlineStr">
        <is>
          <t>20190426</t>
        </is>
      </c>
      <c r="M538" s="8" t="inlineStr">
        <is>
          <t>20250127</t>
        </is>
      </c>
      <c r="N538" s="10" t="n">
        <v>259</v>
      </c>
      <c r="O538" s="10">
        <f>IFERROR(VLOOKUP(A538,Flete!$A:$J,10,0),"")</f>
        <v/>
      </c>
      <c r="P538" s="8" t="inlineStr">
        <is>
          <t>M3</t>
        </is>
      </c>
      <c r="Q538" s="10">
        <f>IFERROR(IFERROR(VLOOKUP(A538,TRAOPE!$A:$U,21,0),VLOOKUP(B538,TRAOPE!$A:$U,21,0)),"")</f>
        <v/>
      </c>
      <c r="R538" s="8">
        <f>IFERROR(IFERROR(VLOOKUP(A538,TRAOPE!$A:$W,23,0),VLOOKUP(B538,TRAOPE!$A:$W,23,0)),"")</f>
        <v/>
      </c>
      <c r="S538" s="10">
        <f>IF(AND(P538="TN",R538="TN"),N538+N(O538),IF(G538&amp;""="1",N(K538)*N538,(N538+N(O538))*N(K538)))</f>
        <v/>
      </c>
      <c r="T538" s="10">
        <f>IF(Q538="","",Q538-S538)</f>
        <v/>
      </c>
    </row>
    <row r="539">
      <c r="A539" s="7">
        <f>CONCATENATE(C539,E539,F539,I539)</f>
        <v/>
      </c>
      <c r="B539" s="7">
        <f>CONCATENATE(C539,E539,I539)</f>
        <v/>
      </c>
      <c r="C539" s="8" t="n">
        <v>900002574</v>
      </c>
      <c r="D539" s="7">
        <f>IFERROR(VLOOKUP(C539,TRAOPE!$G:$H,2,0),"")</f>
        <v/>
      </c>
      <c r="E539" s="8" t="inlineStr">
        <is>
          <t>D836</t>
        </is>
      </c>
      <c r="F539" s="8" t="inlineStr">
        <is>
          <t>66847626</t>
        </is>
      </c>
      <c r="G539" s="8">
        <f>IFERROR(VLOOKUP(A539,Flete!$A:$E,5,0),"")</f>
        <v/>
      </c>
      <c r="H539" s="7">
        <f>IFERROR(VLOOKUP(F539,TRAOPE!$AA:$AB,2,0),"")</f>
        <v/>
      </c>
      <c r="I539" s="7" t="n">
        <v>10000357</v>
      </c>
      <c r="J539" s="7">
        <f>IFERROR(VLOOKUP(I539,Materiales!$A:$H,8,0),"")</f>
        <v/>
      </c>
      <c r="K539" s="9">
        <f>IFERROR(VLOOKUP(I539,Materiales!$A:$G,7,0),"")</f>
        <v/>
      </c>
      <c r="L539" s="8" t="inlineStr">
        <is>
          <t>20190426</t>
        </is>
      </c>
      <c r="M539" s="8" t="inlineStr">
        <is>
          <t>20250127</t>
        </is>
      </c>
      <c r="N539" s="10" t="n">
        <v>267.5</v>
      </c>
      <c r="O539" s="10">
        <f>IFERROR(VLOOKUP(A539,Flete!$A:$J,10,0),"")</f>
        <v/>
      </c>
      <c r="P539" s="8" t="inlineStr">
        <is>
          <t>M3</t>
        </is>
      </c>
      <c r="Q539" s="10">
        <f>IFERROR(IFERROR(VLOOKUP(A539,TRAOPE!$A:$U,21,0),VLOOKUP(B539,TRAOPE!$A:$U,21,0)),"")</f>
        <v/>
      </c>
      <c r="R539" s="8">
        <f>IFERROR(IFERROR(VLOOKUP(A539,TRAOPE!$A:$W,23,0),VLOOKUP(B539,TRAOPE!$A:$W,23,0)),"")</f>
        <v/>
      </c>
      <c r="S539" s="10">
        <f>IF(AND(P539="TN",R539="TN"),N539+N(O539),IF(G539&amp;""="1",N(K539)*N539,(N539+N(O539))*N(K539)))</f>
        <v/>
      </c>
      <c r="T539" s="10">
        <f>IF(Q539="","",Q539-S539)</f>
        <v/>
      </c>
    </row>
    <row r="540">
      <c r="A540" s="7">
        <f>CONCATENATE(C540,E540,F540,I540)</f>
        <v/>
      </c>
      <c r="B540" s="7">
        <f>CONCATENATE(C540,E540,I540)</f>
        <v/>
      </c>
      <c r="C540" s="8" t="n">
        <v>900002574</v>
      </c>
      <c r="D540" s="7">
        <f>IFERROR(VLOOKUP(C540,TRAOPE!$G:$H,2,0),"")</f>
        <v/>
      </c>
      <c r="E540" s="8" t="inlineStr">
        <is>
          <t>D836</t>
        </is>
      </c>
      <c r="F540" s="8" t="inlineStr">
        <is>
          <t>66852206</t>
        </is>
      </c>
      <c r="G540" s="8">
        <f>IFERROR(VLOOKUP(A540,Flete!$A:$E,5,0),"")</f>
        <v/>
      </c>
      <c r="H540" s="7">
        <f>IFERROR(VLOOKUP(F540,TRAOPE!$AA:$AB,2,0),"")</f>
        <v/>
      </c>
      <c r="I540" s="7" t="n">
        <v>10000160</v>
      </c>
      <c r="J540" s="7">
        <f>IFERROR(VLOOKUP(I540,Materiales!$A:$H,8,0),"")</f>
        <v/>
      </c>
      <c r="K540" s="9">
        <f>IFERROR(VLOOKUP(I540,Materiales!$A:$G,7,0),"")</f>
        <v/>
      </c>
      <c r="L540" s="8" t="inlineStr">
        <is>
          <t>20190426</t>
        </is>
      </c>
      <c r="M540" s="8" t="inlineStr">
        <is>
          <t>20250127</t>
        </is>
      </c>
      <c r="N540" s="10" t="n">
        <v>110</v>
      </c>
      <c r="O540" s="10">
        <f>IFERROR(VLOOKUP(A540,Flete!$A:$J,10,0),"")</f>
        <v/>
      </c>
      <c r="P540" s="8" t="inlineStr">
        <is>
          <t>M3</t>
        </is>
      </c>
      <c r="Q540" s="10">
        <f>IFERROR(IFERROR(VLOOKUP(A540,TRAOPE!$A:$U,21,0),VLOOKUP(B540,TRAOPE!$A:$U,21,0)),"")</f>
        <v/>
      </c>
      <c r="R540" s="8">
        <f>IFERROR(IFERROR(VLOOKUP(A540,TRAOPE!$A:$W,23,0),VLOOKUP(B540,TRAOPE!$A:$W,23,0)),"")</f>
        <v/>
      </c>
      <c r="S540" s="10">
        <f>IF(AND(P540="TN",R540="TN"),N540+N(O540),IF(G540&amp;""="1",N(K540)*N540,(N540+N(O540))*N(K540)))</f>
        <v/>
      </c>
      <c r="T540" s="10">
        <f>IF(Q540="","",Q540-S540)</f>
        <v/>
      </c>
    </row>
    <row r="541">
      <c r="A541" s="7">
        <f>CONCATENATE(C541,E541,F541,I541)</f>
        <v/>
      </c>
      <c r="B541" s="7">
        <f>CONCATENATE(C541,E541,I541)</f>
        <v/>
      </c>
      <c r="C541" s="8" t="n">
        <v>900002574</v>
      </c>
      <c r="D541" s="7">
        <f>IFERROR(VLOOKUP(C541,TRAOPE!$G:$H,2,0),"")</f>
        <v/>
      </c>
      <c r="E541" s="8" t="inlineStr">
        <is>
          <t>D836</t>
        </is>
      </c>
      <c r="F541" s="8" t="inlineStr">
        <is>
          <t>66852206</t>
        </is>
      </c>
      <c r="G541" s="8">
        <f>IFERROR(VLOOKUP(A541,Flete!$A:$E,5,0),"")</f>
        <v/>
      </c>
      <c r="H541" s="7">
        <f>IFERROR(VLOOKUP(F541,TRAOPE!$AA:$AB,2,0),"")</f>
        <v/>
      </c>
      <c r="I541" s="7" t="n">
        <v>10000357</v>
      </c>
      <c r="J541" s="7">
        <f>IFERROR(VLOOKUP(I541,Materiales!$A:$H,8,0),"")</f>
        <v/>
      </c>
      <c r="K541" s="9">
        <f>IFERROR(VLOOKUP(I541,Materiales!$A:$G,7,0),"")</f>
        <v/>
      </c>
      <c r="L541" s="8" t="inlineStr">
        <is>
          <t>20190426</t>
        </is>
      </c>
      <c r="M541" s="8" t="inlineStr">
        <is>
          <t>20250127</t>
        </is>
      </c>
      <c r="N541" s="10" t="n">
        <v>127</v>
      </c>
      <c r="O541" s="10">
        <f>IFERROR(VLOOKUP(A541,Flete!$A:$J,10,0),"")</f>
        <v/>
      </c>
      <c r="P541" s="8" t="inlineStr">
        <is>
          <t>M3</t>
        </is>
      </c>
      <c r="Q541" s="10">
        <f>IFERROR(IFERROR(VLOOKUP(A541,TRAOPE!$A:$U,21,0),VLOOKUP(B541,TRAOPE!$A:$U,21,0)),"")</f>
        <v/>
      </c>
      <c r="R541" s="8">
        <f>IFERROR(IFERROR(VLOOKUP(A541,TRAOPE!$A:$W,23,0),VLOOKUP(B541,TRAOPE!$A:$W,23,0)),"")</f>
        <v/>
      </c>
      <c r="S541" s="10">
        <f>IF(AND(P541="TN",R541="TN"),N541+N(O541),IF(G541&amp;""="1",N(K541)*N541,(N541+N(O541))*N(K541)))</f>
        <v/>
      </c>
      <c r="T541" s="10">
        <f>IF(Q541="","",Q541-S541)</f>
        <v/>
      </c>
    </row>
    <row r="542">
      <c r="A542" s="7">
        <f>CONCATENATE(C542,E542,F542,I542)</f>
        <v/>
      </c>
      <c r="B542" s="7">
        <f>CONCATENATE(C542,E542,I542)</f>
        <v/>
      </c>
      <c r="C542" s="8" t="n">
        <v>900002574</v>
      </c>
      <c r="D542" s="7">
        <f>IFERROR(VLOOKUP(C542,TRAOPE!$G:$H,2,0),"")</f>
        <v/>
      </c>
      <c r="E542" s="8" t="inlineStr">
        <is>
          <t>D836</t>
        </is>
      </c>
      <c r="F542" s="8" t="inlineStr">
        <is>
          <t>66852206</t>
        </is>
      </c>
      <c r="G542" s="8">
        <f>IFERROR(VLOOKUP(A542,Flete!$A:$E,5,0),"")</f>
        <v/>
      </c>
      <c r="H542" s="7">
        <f>IFERROR(VLOOKUP(F542,TRAOPE!$AA:$AB,2,0),"")</f>
        <v/>
      </c>
      <c r="I542" s="7" t="n">
        <v>10000649</v>
      </c>
      <c r="J542" s="7">
        <f>IFERROR(VLOOKUP(I542,Materiales!$A:$H,8,0),"")</f>
        <v/>
      </c>
      <c r="K542" s="9">
        <f>IFERROR(VLOOKUP(I542,Materiales!$A:$G,7,0),"")</f>
        <v/>
      </c>
      <c r="L542" s="8" t="inlineStr">
        <is>
          <t>20190426</t>
        </is>
      </c>
      <c r="M542" s="8" t="inlineStr">
        <is>
          <t>20250127</t>
        </is>
      </c>
      <c r="N542" s="10" t="n">
        <v>132</v>
      </c>
      <c r="O542" s="10">
        <f>IFERROR(VLOOKUP(A542,Flete!$A:$J,10,0),"")</f>
        <v/>
      </c>
      <c r="P542" s="8" t="inlineStr">
        <is>
          <t>M3</t>
        </is>
      </c>
      <c r="Q542" s="10">
        <f>IFERROR(IFERROR(VLOOKUP(A542,TRAOPE!$A:$U,21,0),VLOOKUP(B542,TRAOPE!$A:$U,21,0)),"")</f>
        <v/>
      </c>
      <c r="R542" s="8">
        <f>IFERROR(IFERROR(VLOOKUP(A542,TRAOPE!$A:$W,23,0),VLOOKUP(B542,TRAOPE!$A:$W,23,0)),"")</f>
        <v/>
      </c>
      <c r="S542" s="10">
        <f>IF(AND(P542="TN",R542="TN"),N542+N(O542),IF(G542&amp;""="1",N(K542)*N542,(N542+N(O542))*N(K542)))</f>
        <v/>
      </c>
      <c r="T542" s="10">
        <f>IF(Q542="","",Q542-S542)</f>
        <v/>
      </c>
    </row>
    <row r="543">
      <c r="A543" s="7">
        <f>CONCATENATE(C543,E543,F543,I543)</f>
        <v/>
      </c>
      <c r="B543" s="7">
        <f>CONCATENATE(C543,E543,I543)</f>
        <v/>
      </c>
      <c r="C543" s="8" t="n">
        <v>900002574</v>
      </c>
      <c r="D543" s="7">
        <f>IFERROR(VLOOKUP(C543,TRAOPE!$G:$H,2,0),"")</f>
        <v/>
      </c>
      <c r="E543" s="8" t="inlineStr">
        <is>
          <t>D836</t>
        </is>
      </c>
      <c r="F543" s="8" t="inlineStr">
        <is>
          <t>66856415</t>
        </is>
      </c>
      <c r="G543" s="8">
        <f>IFERROR(VLOOKUP(A543,Flete!$A:$E,5,0),"")</f>
        <v/>
      </c>
      <c r="H543" s="7">
        <f>IFERROR(VLOOKUP(F543,TRAOPE!$AA:$AB,2,0),"")</f>
        <v/>
      </c>
      <c r="I543" s="7" t="n">
        <v>10000160</v>
      </c>
      <c r="J543" s="7">
        <f>IFERROR(VLOOKUP(I543,Materiales!$A:$H,8,0),"")</f>
        <v/>
      </c>
      <c r="K543" s="9">
        <f>IFERROR(VLOOKUP(I543,Materiales!$A:$G,7,0),"")</f>
        <v/>
      </c>
      <c r="L543" s="8" t="inlineStr">
        <is>
          <t>20190426</t>
        </is>
      </c>
      <c r="M543" s="8" t="inlineStr">
        <is>
          <t>20250127</t>
        </is>
      </c>
      <c r="N543" s="10" t="n">
        <v>110</v>
      </c>
      <c r="O543" s="10">
        <f>IFERROR(VLOOKUP(A543,Flete!$A:$J,10,0),"")</f>
        <v/>
      </c>
      <c r="P543" s="8" t="inlineStr">
        <is>
          <t>M3</t>
        </is>
      </c>
      <c r="Q543" s="10">
        <f>IFERROR(IFERROR(VLOOKUP(A543,TRAOPE!$A:$U,21,0),VLOOKUP(B543,TRAOPE!$A:$U,21,0)),"")</f>
        <v/>
      </c>
      <c r="R543" s="8">
        <f>IFERROR(IFERROR(VLOOKUP(A543,TRAOPE!$A:$W,23,0),VLOOKUP(B543,TRAOPE!$A:$W,23,0)),"")</f>
        <v/>
      </c>
      <c r="S543" s="10">
        <f>IF(AND(P543="TN",R543="TN"),N543+N(O543),IF(G543&amp;""="1",N(K543)*N543,(N543+N(O543))*N(K543)))</f>
        <v/>
      </c>
      <c r="T543" s="10">
        <f>IF(Q543="","",Q543-S543)</f>
        <v/>
      </c>
    </row>
    <row r="544">
      <c r="A544" s="7">
        <f>CONCATENATE(C544,E544,F544,I544)</f>
        <v/>
      </c>
      <c r="B544" s="7">
        <f>CONCATENATE(C544,E544,I544)</f>
        <v/>
      </c>
      <c r="C544" s="8" t="n">
        <v>900002574</v>
      </c>
      <c r="D544" s="7">
        <f>IFERROR(VLOOKUP(C544,TRAOPE!$G:$H,2,0),"")</f>
        <v/>
      </c>
      <c r="E544" s="8" t="inlineStr">
        <is>
          <t>D836</t>
        </is>
      </c>
      <c r="F544" s="8" t="inlineStr">
        <is>
          <t>66856415</t>
        </is>
      </c>
      <c r="G544" s="8">
        <f>IFERROR(VLOOKUP(A544,Flete!$A:$E,5,0),"")</f>
        <v/>
      </c>
      <c r="H544" s="7">
        <f>IFERROR(VLOOKUP(F544,TRAOPE!$AA:$AB,2,0),"")</f>
        <v/>
      </c>
      <c r="I544" s="7" t="n">
        <v>10000357</v>
      </c>
      <c r="J544" s="7">
        <f>IFERROR(VLOOKUP(I544,Materiales!$A:$H,8,0),"")</f>
        <v/>
      </c>
      <c r="K544" s="9">
        <f>IFERROR(VLOOKUP(I544,Materiales!$A:$G,7,0),"")</f>
        <v/>
      </c>
      <c r="L544" s="8" t="inlineStr">
        <is>
          <t>20190426</t>
        </is>
      </c>
      <c r="M544" s="8" t="inlineStr">
        <is>
          <t>20250127</t>
        </is>
      </c>
      <c r="N544" s="10" t="n">
        <v>130</v>
      </c>
      <c r="O544" s="10">
        <f>IFERROR(VLOOKUP(A544,Flete!$A:$J,10,0),"")</f>
        <v/>
      </c>
      <c r="P544" s="8" t="inlineStr">
        <is>
          <t>M3</t>
        </is>
      </c>
      <c r="Q544" s="10">
        <f>IFERROR(IFERROR(VLOOKUP(A544,TRAOPE!$A:$U,21,0),VLOOKUP(B544,TRAOPE!$A:$U,21,0)),"")</f>
        <v/>
      </c>
      <c r="R544" s="8">
        <f>IFERROR(IFERROR(VLOOKUP(A544,TRAOPE!$A:$W,23,0),VLOOKUP(B544,TRAOPE!$A:$W,23,0)),"")</f>
        <v/>
      </c>
      <c r="S544" s="10">
        <f>IF(AND(P544="TN",R544="TN"),N544+N(O544),IF(G544&amp;""="1",N(K544)*N544,(N544+N(O544))*N(K544)))</f>
        <v/>
      </c>
      <c r="T544" s="10">
        <f>IF(Q544="","",Q544-S544)</f>
        <v/>
      </c>
    </row>
    <row r="545">
      <c r="A545" s="7">
        <f>CONCATENATE(C545,E545,F545,I545)</f>
        <v/>
      </c>
      <c r="B545" s="7">
        <f>CONCATENATE(C545,E545,I545)</f>
        <v/>
      </c>
      <c r="C545" s="8" t="n">
        <v>900002574</v>
      </c>
      <c r="D545" s="7">
        <f>IFERROR(VLOOKUP(C545,TRAOPE!$G:$H,2,0),"")</f>
        <v/>
      </c>
      <c r="E545" s="8" t="inlineStr">
        <is>
          <t>D836</t>
        </is>
      </c>
      <c r="F545" s="8" t="inlineStr">
        <is>
          <t>66856415</t>
        </is>
      </c>
      <c r="G545" s="8">
        <f>IFERROR(VLOOKUP(A545,Flete!$A:$E,5,0),"")</f>
        <v/>
      </c>
      <c r="H545" s="7">
        <f>IFERROR(VLOOKUP(F545,TRAOPE!$AA:$AB,2,0),"")</f>
        <v/>
      </c>
      <c r="I545" s="7" t="n">
        <v>10019515</v>
      </c>
      <c r="J545" s="7">
        <f>IFERROR(VLOOKUP(I545,Materiales!$A:$H,8,0),"")</f>
        <v/>
      </c>
      <c r="K545" s="9">
        <f>IFERROR(VLOOKUP(I545,Materiales!$A:$G,7,0),"")</f>
        <v/>
      </c>
      <c r="L545" s="8" t="inlineStr">
        <is>
          <t>20190426</t>
        </is>
      </c>
      <c r="M545" s="8" t="inlineStr">
        <is>
          <t>20250127</t>
        </is>
      </c>
      <c r="N545" s="10" t="n">
        <v>230</v>
      </c>
      <c r="O545" s="10">
        <f>IFERROR(VLOOKUP(A545,Flete!$A:$J,10,0),"")</f>
        <v/>
      </c>
      <c r="P545" s="8" t="inlineStr">
        <is>
          <t>M3</t>
        </is>
      </c>
      <c r="Q545" s="10">
        <f>IFERROR(IFERROR(VLOOKUP(A545,TRAOPE!$A:$U,21,0),VLOOKUP(B545,TRAOPE!$A:$U,21,0)),"")</f>
        <v/>
      </c>
      <c r="R545" s="8">
        <f>IFERROR(IFERROR(VLOOKUP(A545,TRAOPE!$A:$W,23,0),VLOOKUP(B545,TRAOPE!$A:$W,23,0)),"")</f>
        <v/>
      </c>
      <c r="S545" s="10">
        <f>IF(AND(P545="TN",R545="TN"),N545+N(O545),IF(G545&amp;""="1",N(K545)*N545,(N545+N(O545))*N(K545)))</f>
        <v/>
      </c>
      <c r="T545" s="10">
        <f>IF(Q545="","",Q545-S545)</f>
        <v/>
      </c>
    </row>
    <row r="546">
      <c r="A546" s="7">
        <f>CONCATENATE(C546,E546,F546,I546)</f>
        <v/>
      </c>
      <c r="B546" s="7">
        <f>CONCATENATE(C546,E546,I546)</f>
        <v/>
      </c>
      <c r="C546" s="8" t="n">
        <v>900002574</v>
      </c>
      <c r="D546" s="7">
        <f>IFERROR(VLOOKUP(C546,TRAOPE!$G:$H,2,0),"")</f>
        <v/>
      </c>
      <c r="E546" s="8" t="inlineStr">
        <is>
          <t>D836</t>
        </is>
      </c>
      <c r="F546" s="8" t="inlineStr">
        <is>
          <t>66858629</t>
        </is>
      </c>
      <c r="G546" s="8">
        <f>IFERROR(VLOOKUP(A546,Flete!$A:$E,5,0),"")</f>
        <v/>
      </c>
      <c r="H546" s="7">
        <f>IFERROR(VLOOKUP(F546,TRAOPE!$AA:$AB,2,0),"")</f>
        <v/>
      </c>
      <c r="I546" s="7" t="n">
        <v>10000160</v>
      </c>
      <c r="J546" s="7">
        <f>IFERROR(VLOOKUP(I546,Materiales!$A:$H,8,0),"")</f>
        <v/>
      </c>
      <c r="K546" s="9">
        <f>IFERROR(VLOOKUP(I546,Materiales!$A:$G,7,0),"")</f>
        <v/>
      </c>
      <c r="L546" s="8" t="inlineStr">
        <is>
          <t>20190426</t>
        </is>
      </c>
      <c r="M546" s="8" t="inlineStr">
        <is>
          <t>20250127</t>
        </is>
      </c>
      <c r="N546" s="10" t="n">
        <v>125</v>
      </c>
      <c r="O546" s="10">
        <f>IFERROR(VLOOKUP(A546,Flete!$A:$J,10,0),"")</f>
        <v/>
      </c>
      <c r="P546" s="8" t="inlineStr">
        <is>
          <t>M3</t>
        </is>
      </c>
      <c r="Q546" s="10">
        <f>IFERROR(IFERROR(VLOOKUP(A546,TRAOPE!$A:$U,21,0),VLOOKUP(B546,TRAOPE!$A:$U,21,0)),"")</f>
        <v/>
      </c>
      <c r="R546" s="8">
        <f>IFERROR(IFERROR(VLOOKUP(A546,TRAOPE!$A:$W,23,0),VLOOKUP(B546,TRAOPE!$A:$W,23,0)),"")</f>
        <v/>
      </c>
      <c r="S546" s="10">
        <f>IF(AND(P546="TN",R546="TN"),N546+N(O546),IF(G546&amp;""="1",N(K546)*N546,(N546+N(O546))*N(K546)))</f>
        <v/>
      </c>
      <c r="T546" s="10">
        <f>IF(Q546="","",Q546-S546)</f>
        <v/>
      </c>
    </row>
    <row r="547">
      <c r="A547" s="7">
        <f>CONCATENATE(C547,E547,F547,I547)</f>
        <v/>
      </c>
      <c r="B547" s="7">
        <f>CONCATENATE(C547,E547,I547)</f>
        <v/>
      </c>
      <c r="C547" s="8" t="n">
        <v>900002574</v>
      </c>
      <c r="D547" s="7">
        <f>IFERROR(VLOOKUP(C547,TRAOPE!$G:$H,2,0),"")</f>
        <v/>
      </c>
      <c r="E547" s="8" t="inlineStr">
        <is>
          <t>D836</t>
        </is>
      </c>
      <c r="F547" s="8" t="inlineStr">
        <is>
          <t>66858629</t>
        </is>
      </c>
      <c r="G547" s="8">
        <f>IFERROR(VLOOKUP(A547,Flete!$A:$E,5,0),"")</f>
        <v/>
      </c>
      <c r="H547" s="7">
        <f>IFERROR(VLOOKUP(F547,TRAOPE!$AA:$AB,2,0),"")</f>
        <v/>
      </c>
      <c r="I547" s="7" t="n">
        <v>10000357</v>
      </c>
      <c r="J547" s="7">
        <f>IFERROR(VLOOKUP(I547,Materiales!$A:$H,8,0),"")</f>
        <v/>
      </c>
      <c r="K547" s="9">
        <f>IFERROR(VLOOKUP(I547,Materiales!$A:$G,7,0),"")</f>
        <v/>
      </c>
      <c r="L547" s="8" t="inlineStr">
        <is>
          <t>20190426</t>
        </is>
      </c>
      <c r="M547" s="8" t="inlineStr">
        <is>
          <t>20250127</t>
        </is>
      </c>
      <c r="N547" s="10" t="n">
        <v>130</v>
      </c>
      <c r="O547" s="10">
        <f>IFERROR(VLOOKUP(A547,Flete!$A:$J,10,0),"")</f>
        <v/>
      </c>
      <c r="P547" s="8" t="inlineStr">
        <is>
          <t>M3</t>
        </is>
      </c>
      <c r="Q547" s="10">
        <f>IFERROR(IFERROR(VLOOKUP(A547,TRAOPE!$A:$U,21,0),VLOOKUP(B547,TRAOPE!$A:$U,21,0)),"")</f>
        <v/>
      </c>
      <c r="R547" s="8">
        <f>IFERROR(IFERROR(VLOOKUP(A547,TRAOPE!$A:$W,23,0),VLOOKUP(B547,TRAOPE!$A:$W,23,0)),"")</f>
        <v/>
      </c>
      <c r="S547" s="10">
        <f>IF(AND(P547="TN",R547="TN"),N547+N(O547),IF(G547&amp;""="1",N(K547)*N547,(N547+N(O547))*N(K547)))</f>
        <v/>
      </c>
      <c r="T547" s="10">
        <f>IF(Q547="","",Q547-S547)</f>
        <v/>
      </c>
    </row>
    <row r="548">
      <c r="A548" s="7">
        <f>CONCATENATE(C548,E548,F548,I548)</f>
        <v/>
      </c>
      <c r="B548" s="7">
        <f>CONCATENATE(C548,E548,I548)</f>
        <v/>
      </c>
      <c r="C548" s="8" t="n">
        <v>900002574</v>
      </c>
      <c r="D548" s="7">
        <f>IFERROR(VLOOKUP(C548,TRAOPE!$G:$H,2,0),"")</f>
        <v/>
      </c>
      <c r="E548" s="8" t="inlineStr">
        <is>
          <t>D836</t>
        </is>
      </c>
      <c r="F548" s="8" t="inlineStr">
        <is>
          <t>66858629</t>
        </is>
      </c>
      <c r="G548" s="8">
        <f>IFERROR(VLOOKUP(A548,Flete!$A:$E,5,0),"")</f>
        <v/>
      </c>
      <c r="H548" s="7">
        <f>IFERROR(VLOOKUP(F548,TRAOPE!$AA:$AB,2,0),"")</f>
        <v/>
      </c>
      <c r="I548" s="7" t="n">
        <v>10000649</v>
      </c>
      <c r="J548" s="7">
        <f>IFERROR(VLOOKUP(I548,Materiales!$A:$H,8,0),"")</f>
        <v/>
      </c>
      <c r="K548" s="9">
        <f>IFERROR(VLOOKUP(I548,Materiales!$A:$G,7,0),"")</f>
        <v/>
      </c>
      <c r="L548" s="8" t="inlineStr">
        <is>
          <t>20190426</t>
        </is>
      </c>
      <c r="M548" s="8" t="inlineStr">
        <is>
          <t>20250127</t>
        </is>
      </c>
      <c r="N548" s="10" t="n">
        <v>145</v>
      </c>
      <c r="O548" s="10">
        <f>IFERROR(VLOOKUP(A548,Flete!$A:$J,10,0),"")</f>
        <v/>
      </c>
      <c r="P548" s="8" t="inlineStr">
        <is>
          <t>M3</t>
        </is>
      </c>
      <c r="Q548" s="10">
        <f>IFERROR(IFERROR(VLOOKUP(A548,TRAOPE!$A:$U,21,0),VLOOKUP(B548,TRAOPE!$A:$U,21,0)),"")</f>
        <v/>
      </c>
      <c r="R548" s="8">
        <f>IFERROR(IFERROR(VLOOKUP(A548,TRAOPE!$A:$W,23,0),VLOOKUP(B548,TRAOPE!$A:$W,23,0)),"")</f>
        <v/>
      </c>
      <c r="S548" s="10">
        <f>IF(AND(P548="TN",R548="TN"),N548+N(O548),IF(G548&amp;""="1",N(K548)*N548,(N548+N(O548))*N(K548)))</f>
        <v/>
      </c>
      <c r="T548" s="10">
        <f>IF(Q548="","",Q548-S548)</f>
        <v/>
      </c>
    </row>
    <row r="549">
      <c r="A549" s="7">
        <f>CONCATENATE(C549,E549,F549,I549)</f>
        <v/>
      </c>
      <c r="B549" s="7">
        <f>CONCATENATE(C549,E549,I549)</f>
        <v/>
      </c>
      <c r="C549" s="8" t="n">
        <v>900002574</v>
      </c>
      <c r="D549" s="7">
        <f>IFERROR(VLOOKUP(C549,TRAOPE!$G:$H,2,0),"")</f>
        <v/>
      </c>
      <c r="E549" s="8" t="inlineStr">
        <is>
          <t>D836</t>
        </is>
      </c>
      <c r="F549" s="8" t="inlineStr">
        <is>
          <t>66860479</t>
        </is>
      </c>
      <c r="G549" s="8">
        <f>IFERROR(VLOOKUP(A549,Flete!$A:$E,5,0),"")</f>
        <v/>
      </c>
      <c r="H549" s="7">
        <f>IFERROR(VLOOKUP(F549,TRAOPE!$AA:$AB,2,0),"")</f>
        <v/>
      </c>
      <c r="I549" s="7" t="n">
        <v>10000133</v>
      </c>
      <c r="J549" s="7">
        <f>IFERROR(VLOOKUP(I549,Materiales!$A:$H,8,0),"")</f>
        <v/>
      </c>
      <c r="K549" s="9">
        <f>IFERROR(VLOOKUP(I549,Materiales!$A:$G,7,0),"")</f>
        <v/>
      </c>
      <c r="L549" s="8" t="inlineStr">
        <is>
          <t>20190426</t>
        </is>
      </c>
      <c r="M549" s="8" t="inlineStr">
        <is>
          <t>20250127</t>
        </is>
      </c>
      <c r="N549" s="10" t="n">
        <v>180</v>
      </c>
      <c r="O549" s="10">
        <f>IFERROR(VLOOKUP(A549,Flete!$A:$J,10,0),"")</f>
        <v/>
      </c>
      <c r="P549" s="8" t="inlineStr">
        <is>
          <t>M3</t>
        </is>
      </c>
      <c r="Q549" s="10">
        <f>IFERROR(IFERROR(VLOOKUP(A549,TRAOPE!$A:$U,21,0),VLOOKUP(B549,TRAOPE!$A:$U,21,0)),"")</f>
        <v/>
      </c>
      <c r="R549" s="8">
        <f>IFERROR(IFERROR(VLOOKUP(A549,TRAOPE!$A:$W,23,0),VLOOKUP(B549,TRAOPE!$A:$W,23,0)),"")</f>
        <v/>
      </c>
      <c r="S549" s="10">
        <f>IF(AND(P549="TN",R549="TN"),N549+N(O549),IF(G549&amp;""="1",N(K549)*N549,(N549+N(O549))*N(K549)))</f>
        <v/>
      </c>
      <c r="T549" s="10">
        <f>IF(Q549="","",Q549-S549)</f>
        <v/>
      </c>
    </row>
    <row r="550">
      <c r="A550" s="7">
        <f>CONCATENATE(C550,E550,F550,I550)</f>
        <v/>
      </c>
      <c r="B550" s="7">
        <f>CONCATENATE(C550,E550,I550)</f>
        <v/>
      </c>
      <c r="C550" s="8" t="n">
        <v>900002574</v>
      </c>
      <c r="D550" s="7">
        <f>IFERROR(VLOOKUP(C550,TRAOPE!$G:$H,2,0),"")</f>
        <v/>
      </c>
      <c r="E550" s="8" t="inlineStr">
        <is>
          <t>D836</t>
        </is>
      </c>
      <c r="F550" s="8" t="inlineStr">
        <is>
          <t>66860479</t>
        </is>
      </c>
      <c r="G550" s="8">
        <f>IFERROR(VLOOKUP(A550,Flete!$A:$E,5,0),"")</f>
        <v/>
      </c>
      <c r="H550" s="7">
        <f>IFERROR(VLOOKUP(F550,TRAOPE!$AA:$AB,2,0),"")</f>
        <v/>
      </c>
      <c r="I550" s="7" t="n">
        <v>10000160</v>
      </c>
      <c r="J550" s="7">
        <f>IFERROR(VLOOKUP(I550,Materiales!$A:$H,8,0),"")</f>
        <v/>
      </c>
      <c r="K550" s="9">
        <f>IFERROR(VLOOKUP(I550,Materiales!$A:$G,7,0),"")</f>
        <v/>
      </c>
      <c r="L550" s="8" t="inlineStr">
        <is>
          <t>20190426</t>
        </is>
      </c>
      <c r="M550" s="8" t="inlineStr">
        <is>
          <t>20250127</t>
        </is>
      </c>
      <c r="N550" s="10" t="n">
        <v>105</v>
      </c>
      <c r="O550" s="10">
        <f>IFERROR(VLOOKUP(A550,Flete!$A:$J,10,0),"")</f>
        <v/>
      </c>
      <c r="P550" s="8" t="inlineStr">
        <is>
          <t>M3</t>
        </is>
      </c>
      <c r="Q550" s="10">
        <f>IFERROR(IFERROR(VLOOKUP(A550,TRAOPE!$A:$U,21,0),VLOOKUP(B550,TRAOPE!$A:$U,21,0)),"")</f>
        <v/>
      </c>
      <c r="R550" s="8">
        <f>IFERROR(IFERROR(VLOOKUP(A550,TRAOPE!$A:$W,23,0),VLOOKUP(B550,TRAOPE!$A:$W,23,0)),"")</f>
        <v/>
      </c>
      <c r="S550" s="10">
        <f>IF(AND(P550="TN",R550="TN"),N550+N(O550),IF(G550&amp;""="1",N(K550)*N550,(N550+N(O550))*N(K550)))</f>
        <v/>
      </c>
      <c r="T550" s="10">
        <f>IF(Q550="","",Q550-S550)</f>
        <v/>
      </c>
    </row>
    <row r="551">
      <c r="A551" s="7">
        <f>CONCATENATE(C551,E551,F551,I551)</f>
        <v/>
      </c>
      <c r="B551" s="7">
        <f>CONCATENATE(C551,E551,I551)</f>
        <v/>
      </c>
      <c r="C551" s="8" t="n">
        <v>900002574</v>
      </c>
      <c r="D551" s="7">
        <f>IFERROR(VLOOKUP(C551,TRAOPE!$G:$H,2,0),"")</f>
        <v/>
      </c>
      <c r="E551" s="8" t="inlineStr">
        <is>
          <t>D836</t>
        </is>
      </c>
      <c r="F551" s="8" t="inlineStr">
        <is>
          <t>66860479</t>
        </is>
      </c>
      <c r="G551" s="8">
        <f>IFERROR(VLOOKUP(A551,Flete!$A:$E,5,0),"")</f>
        <v/>
      </c>
      <c r="H551" s="7">
        <f>IFERROR(VLOOKUP(F551,TRAOPE!$AA:$AB,2,0),"")</f>
        <v/>
      </c>
      <c r="I551" s="7" t="n">
        <v>10000357</v>
      </c>
      <c r="J551" s="7">
        <f>IFERROR(VLOOKUP(I551,Materiales!$A:$H,8,0),"")</f>
        <v/>
      </c>
      <c r="K551" s="9">
        <f>IFERROR(VLOOKUP(I551,Materiales!$A:$G,7,0),"")</f>
        <v/>
      </c>
      <c r="L551" s="8" t="inlineStr">
        <is>
          <t>20190426</t>
        </is>
      </c>
      <c r="M551" s="8" t="inlineStr">
        <is>
          <t>20250127</t>
        </is>
      </c>
      <c r="N551" s="10" t="n">
        <v>125</v>
      </c>
      <c r="O551" s="10">
        <f>IFERROR(VLOOKUP(A551,Flete!$A:$J,10,0),"")</f>
        <v/>
      </c>
      <c r="P551" s="8" t="inlineStr">
        <is>
          <t>M3</t>
        </is>
      </c>
      <c r="Q551" s="10">
        <f>IFERROR(IFERROR(VLOOKUP(A551,TRAOPE!$A:$U,21,0),VLOOKUP(B551,TRAOPE!$A:$U,21,0)),"")</f>
        <v/>
      </c>
      <c r="R551" s="8">
        <f>IFERROR(IFERROR(VLOOKUP(A551,TRAOPE!$A:$W,23,0),VLOOKUP(B551,TRAOPE!$A:$W,23,0)),"")</f>
        <v/>
      </c>
      <c r="S551" s="10">
        <f>IF(AND(P551="TN",R551="TN"),N551+N(O551),IF(G551&amp;""="1",N(K551)*N551,(N551+N(O551))*N(K551)))</f>
        <v/>
      </c>
      <c r="T551" s="10">
        <f>IF(Q551="","",Q551-S551)</f>
        <v/>
      </c>
    </row>
    <row r="552">
      <c r="A552" s="7">
        <f>CONCATENATE(C552,E552,F552,I552)</f>
        <v/>
      </c>
      <c r="B552" s="7">
        <f>CONCATENATE(C552,E552,I552)</f>
        <v/>
      </c>
      <c r="C552" s="8" t="n">
        <v>900002574</v>
      </c>
      <c r="D552" s="7">
        <f>IFERROR(VLOOKUP(C552,TRAOPE!$G:$H,2,0),"")</f>
        <v/>
      </c>
      <c r="E552" s="8" t="inlineStr">
        <is>
          <t>D836</t>
        </is>
      </c>
      <c r="F552" s="8" t="inlineStr">
        <is>
          <t>66860479</t>
        </is>
      </c>
      <c r="G552" s="8">
        <f>IFERROR(VLOOKUP(A552,Flete!$A:$E,5,0),"")</f>
        <v/>
      </c>
      <c r="H552" s="7">
        <f>IFERROR(VLOOKUP(F552,TRAOPE!$AA:$AB,2,0),"")</f>
        <v/>
      </c>
      <c r="I552" s="7" t="n">
        <v>10058345</v>
      </c>
      <c r="J552" s="7">
        <f>IFERROR(VLOOKUP(I552,Materiales!$A:$H,8,0),"")</f>
        <v/>
      </c>
      <c r="K552" s="9">
        <f>IFERROR(VLOOKUP(I552,Materiales!$A:$G,7,0),"")</f>
        <v/>
      </c>
      <c r="L552" s="8" t="inlineStr">
        <is>
          <t>20190426</t>
        </is>
      </c>
      <c r="M552" s="8" t="inlineStr">
        <is>
          <t>20250127</t>
        </is>
      </c>
      <c r="N552" s="10" t="n">
        <v>130</v>
      </c>
      <c r="O552" s="10">
        <f>IFERROR(VLOOKUP(A552,Flete!$A:$J,10,0),"")</f>
        <v/>
      </c>
      <c r="P552" s="8" t="inlineStr">
        <is>
          <t>M3</t>
        </is>
      </c>
      <c r="Q552" s="10">
        <f>IFERROR(IFERROR(VLOOKUP(A552,TRAOPE!$A:$U,21,0),VLOOKUP(B552,TRAOPE!$A:$U,21,0)),"")</f>
        <v/>
      </c>
      <c r="R552" s="8">
        <f>IFERROR(IFERROR(VLOOKUP(A552,TRAOPE!$A:$W,23,0),VLOOKUP(B552,TRAOPE!$A:$W,23,0)),"")</f>
        <v/>
      </c>
      <c r="S552" s="10">
        <f>IF(AND(P552="TN",R552="TN"),N552+N(O552),IF(G552&amp;""="1",N(K552)*N552,(N552+N(O552))*N(K552)))</f>
        <v/>
      </c>
      <c r="T552" s="10">
        <f>IF(Q552="","",Q552-S552)</f>
        <v/>
      </c>
    </row>
    <row r="553">
      <c r="A553" s="7">
        <f>CONCATENATE(C553,E553,F553,I553)</f>
        <v/>
      </c>
      <c r="B553" s="7">
        <f>CONCATENATE(C553,E553,I553)</f>
        <v/>
      </c>
      <c r="C553" s="8" t="n">
        <v>900002574</v>
      </c>
      <c r="D553" s="7">
        <f>IFERROR(VLOOKUP(C553,TRAOPE!$G:$H,2,0),"")</f>
        <v/>
      </c>
      <c r="E553" s="8" t="inlineStr">
        <is>
          <t>D836</t>
        </is>
      </c>
      <c r="F553" s="8" t="inlineStr">
        <is>
          <t>66869655</t>
        </is>
      </c>
      <c r="G553" s="8">
        <f>IFERROR(VLOOKUP(A553,Flete!$A:$E,5,0),"")</f>
        <v/>
      </c>
      <c r="H553" s="7">
        <f>IFERROR(VLOOKUP(F553,TRAOPE!$AA:$AB,2,0),"")</f>
        <v/>
      </c>
      <c r="I553" s="7" t="n">
        <v>10000160</v>
      </c>
      <c r="J553" s="7">
        <f>IFERROR(VLOOKUP(I553,Materiales!$A:$H,8,0),"")</f>
        <v/>
      </c>
      <c r="K553" s="9">
        <f>IFERROR(VLOOKUP(I553,Materiales!$A:$G,7,0),"")</f>
        <v/>
      </c>
      <c r="L553" s="8" t="inlineStr">
        <is>
          <t>20190426</t>
        </is>
      </c>
      <c r="M553" s="8" t="inlineStr">
        <is>
          <t>20250127</t>
        </is>
      </c>
      <c r="N553" s="10" t="n">
        <v>130</v>
      </c>
      <c r="O553" s="10">
        <f>IFERROR(VLOOKUP(A553,Flete!$A:$J,10,0),"")</f>
        <v/>
      </c>
      <c r="P553" s="8" t="inlineStr">
        <is>
          <t>M3</t>
        </is>
      </c>
      <c r="Q553" s="10">
        <f>IFERROR(IFERROR(VLOOKUP(A553,TRAOPE!$A:$U,21,0),VLOOKUP(B553,TRAOPE!$A:$U,21,0)),"")</f>
        <v/>
      </c>
      <c r="R553" s="8">
        <f>IFERROR(IFERROR(VLOOKUP(A553,TRAOPE!$A:$W,23,0),VLOOKUP(B553,TRAOPE!$A:$W,23,0)),"")</f>
        <v/>
      </c>
      <c r="S553" s="10">
        <f>IF(AND(P553="TN",R553="TN"),N553+N(O553),IF(G553&amp;""="1",N(K553)*N553,(N553+N(O553))*N(K553)))</f>
        <v/>
      </c>
      <c r="T553" s="10">
        <f>IF(Q553="","",Q553-S553)</f>
        <v/>
      </c>
    </row>
    <row r="554">
      <c r="A554" s="7">
        <f>CONCATENATE(C554,E554,F554,I554)</f>
        <v/>
      </c>
      <c r="B554" s="7">
        <f>CONCATENATE(C554,E554,I554)</f>
        <v/>
      </c>
      <c r="C554" s="8" t="n">
        <v>900002574</v>
      </c>
      <c r="D554" s="7">
        <f>IFERROR(VLOOKUP(C554,TRAOPE!$G:$H,2,0),"")</f>
        <v/>
      </c>
      <c r="E554" s="8" t="inlineStr">
        <is>
          <t>D836</t>
        </is>
      </c>
      <c r="F554" s="8" t="inlineStr">
        <is>
          <t>66869655</t>
        </is>
      </c>
      <c r="G554" s="8">
        <f>IFERROR(VLOOKUP(A554,Flete!$A:$E,5,0),"")</f>
        <v/>
      </c>
      <c r="H554" s="7">
        <f>IFERROR(VLOOKUP(F554,TRAOPE!$AA:$AB,2,0),"")</f>
        <v/>
      </c>
      <c r="I554" s="7" t="n">
        <v>10000357</v>
      </c>
      <c r="J554" s="7">
        <f>IFERROR(VLOOKUP(I554,Materiales!$A:$H,8,0),"")</f>
        <v/>
      </c>
      <c r="K554" s="9">
        <f>IFERROR(VLOOKUP(I554,Materiales!$A:$G,7,0),"")</f>
        <v/>
      </c>
      <c r="L554" s="8" t="inlineStr">
        <is>
          <t>20190426</t>
        </is>
      </c>
      <c r="M554" s="8" t="inlineStr">
        <is>
          <t>20250127</t>
        </is>
      </c>
      <c r="N554" s="10" t="n">
        <v>140</v>
      </c>
      <c r="O554" s="10">
        <f>IFERROR(VLOOKUP(A554,Flete!$A:$J,10,0),"")</f>
        <v/>
      </c>
      <c r="P554" s="8" t="inlineStr">
        <is>
          <t>M3</t>
        </is>
      </c>
      <c r="Q554" s="10">
        <f>IFERROR(IFERROR(VLOOKUP(A554,TRAOPE!$A:$U,21,0),VLOOKUP(B554,TRAOPE!$A:$U,21,0)),"")</f>
        <v/>
      </c>
      <c r="R554" s="8">
        <f>IFERROR(IFERROR(VLOOKUP(A554,TRAOPE!$A:$W,23,0),VLOOKUP(B554,TRAOPE!$A:$W,23,0)),"")</f>
        <v/>
      </c>
      <c r="S554" s="10">
        <f>IF(AND(P554="TN",R554="TN"),N554+N(O554),IF(G554&amp;""="1",N(K554)*N554,(N554+N(O554))*N(K554)))</f>
        <v/>
      </c>
      <c r="T554" s="10">
        <f>IF(Q554="","",Q554-S554)</f>
        <v/>
      </c>
    </row>
    <row r="555">
      <c r="A555" s="7">
        <f>CONCATENATE(C555,E555,F555,I555)</f>
        <v/>
      </c>
      <c r="B555" s="7">
        <f>CONCATENATE(C555,E555,I555)</f>
        <v/>
      </c>
      <c r="C555" s="8" t="n">
        <v>900002574</v>
      </c>
      <c r="D555" s="7">
        <f>IFERROR(VLOOKUP(C555,TRAOPE!$G:$H,2,0),"")</f>
        <v/>
      </c>
      <c r="E555" s="8" t="inlineStr">
        <is>
          <t>D836</t>
        </is>
      </c>
      <c r="F555" s="8" t="inlineStr">
        <is>
          <t>66873390</t>
        </is>
      </c>
      <c r="G555" s="8">
        <f>IFERROR(VLOOKUP(A555,Flete!$A:$E,5,0),"")</f>
        <v/>
      </c>
      <c r="H555" s="7">
        <f>IFERROR(VLOOKUP(F555,TRAOPE!$AA:$AB,2,0),"")</f>
        <v/>
      </c>
      <c r="I555" s="7" t="n">
        <v>10000133</v>
      </c>
      <c r="J555" s="7">
        <f>IFERROR(VLOOKUP(I555,Materiales!$A:$H,8,0),"")</f>
        <v/>
      </c>
      <c r="K555" s="9">
        <f>IFERROR(VLOOKUP(I555,Materiales!$A:$G,7,0),"")</f>
        <v/>
      </c>
      <c r="L555" s="8" t="inlineStr">
        <is>
          <t>20190426</t>
        </is>
      </c>
      <c r="M555" s="8" t="inlineStr">
        <is>
          <t>20250127</t>
        </is>
      </c>
      <c r="N555" s="10" t="n">
        <v>285</v>
      </c>
      <c r="O555" s="10">
        <f>IFERROR(VLOOKUP(A555,Flete!$A:$J,10,0),"")</f>
        <v/>
      </c>
      <c r="P555" s="8" t="inlineStr">
        <is>
          <t>M3</t>
        </is>
      </c>
      <c r="Q555" s="10">
        <f>IFERROR(IFERROR(VLOOKUP(A555,TRAOPE!$A:$U,21,0),VLOOKUP(B555,TRAOPE!$A:$U,21,0)),"")</f>
        <v/>
      </c>
      <c r="R555" s="8">
        <f>IFERROR(IFERROR(VLOOKUP(A555,TRAOPE!$A:$W,23,0),VLOOKUP(B555,TRAOPE!$A:$W,23,0)),"")</f>
        <v/>
      </c>
      <c r="S555" s="10">
        <f>IF(AND(P555="TN",R555="TN"),N555+N(O555),IF(G555&amp;""="1",N(K555)*N555,(N555+N(O555))*N(K555)))</f>
        <v/>
      </c>
      <c r="T555" s="10">
        <f>IF(Q555="","",Q555-S555)</f>
        <v/>
      </c>
    </row>
    <row r="556">
      <c r="A556" s="7">
        <f>CONCATENATE(C556,E556,F556,I556)</f>
        <v/>
      </c>
      <c r="B556" s="7">
        <f>CONCATENATE(C556,E556,I556)</f>
        <v/>
      </c>
      <c r="C556" s="8" t="n">
        <v>900002574</v>
      </c>
      <c r="D556" s="7">
        <f>IFERROR(VLOOKUP(C556,TRAOPE!$G:$H,2,0),"")</f>
        <v/>
      </c>
      <c r="E556" s="8" t="inlineStr">
        <is>
          <t>D836</t>
        </is>
      </c>
      <c r="F556" s="8" t="inlineStr">
        <is>
          <t>66873390</t>
        </is>
      </c>
      <c r="G556" s="8">
        <f>IFERROR(VLOOKUP(A556,Flete!$A:$E,5,0),"")</f>
        <v/>
      </c>
      <c r="H556" s="7">
        <f>IFERROR(VLOOKUP(F556,TRAOPE!$AA:$AB,2,0),"")</f>
        <v/>
      </c>
      <c r="I556" s="7" t="n">
        <v>10000160</v>
      </c>
      <c r="J556" s="7">
        <f>IFERROR(VLOOKUP(I556,Materiales!$A:$H,8,0),"")</f>
        <v/>
      </c>
      <c r="K556" s="9">
        <f>IFERROR(VLOOKUP(I556,Materiales!$A:$G,7,0),"")</f>
        <v/>
      </c>
      <c r="L556" s="8" t="inlineStr">
        <is>
          <t>20190426</t>
        </is>
      </c>
      <c r="M556" s="8" t="inlineStr">
        <is>
          <t>20250127</t>
        </is>
      </c>
      <c r="N556" s="10" t="n">
        <v>114</v>
      </c>
      <c r="O556" s="10">
        <f>IFERROR(VLOOKUP(A556,Flete!$A:$J,10,0),"")</f>
        <v/>
      </c>
      <c r="P556" s="8" t="inlineStr">
        <is>
          <t>M3</t>
        </is>
      </c>
      <c r="Q556" s="10">
        <f>IFERROR(IFERROR(VLOOKUP(A556,TRAOPE!$A:$U,21,0),VLOOKUP(B556,TRAOPE!$A:$U,21,0)),"")</f>
        <v/>
      </c>
      <c r="R556" s="8">
        <f>IFERROR(IFERROR(VLOOKUP(A556,TRAOPE!$A:$W,23,0),VLOOKUP(B556,TRAOPE!$A:$W,23,0)),"")</f>
        <v/>
      </c>
      <c r="S556" s="10">
        <f>IF(AND(P556="TN",R556="TN"),N556+N(O556),IF(G556&amp;""="1",N(K556)*N556,(N556+N(O556))*N(K556)))</f>
        <v/>
      </c>
      <c r="T556" s="10">
        <f>IF(Q556="","",Q556-S556)</f>
        <v/>
      </c>
    </row>
    <row r="557">
      <c r="A557" s="7">
        <f>CONCATENATE(C557,E557,F557,I557)</f>
        <v/>
      </c>
      <c r="B557" s="7">
        <f>CONCATENATE(C557,E557,I557)</f>
        <v/>
      </c>
      <c r="C557" s="8" t="n">
        <v>900002574</v>
      </c>
      <c r="D557" s="7">
        <f>IFERROR(VLOOKUP(C557,TRAOPE!$G:$H,2,0),"")</f>
        <v/>
      </c>
      <c r="E557" s="8" t="inlineStr">
        <is>
          <t>D836</t>
        </is>
      </c>
      <c r="F557" s="8" t="inlineStr">
        <is>
          <t>66873390</t>
        </is>
      </c>
      <c r="G557" s="8">
        <f>IFERROR(VLOOKUP(A557,Flete!$A:$E,5,0),"")</f>
        <v/>
      </c>
      <c r="H557" s="7">
        <f>IFERROR(VLOOKUP(F557,TRAOPE!$AA:$AB,2,0),"")</f>
        <v/>
      </c>
      <c r="I557" s="7" t="n">
        <v>10000357</v>
      </c>
      <c r="J557" s="7">
        <f>IFERROR(VLOOKUP(I557,Materiales!$A:$H,8,0),"")</f>
        <v/>
      </c>
      <c r="K557" s="9">
        <f>IFERROR(VLOOKUP(I557,Materiales!$A:$G,7,0),"")</f>
        <v/>
      </c>
      <c r="L557" s="8" t="inlineStr">
        <is>
          <t>20190426</t>
        </is>
      </c>
      <c r="M557" s="8" t="inlineStr">
        <is>
          <t>20250127</t>
        </is>
      </c>
      <c r="N557" s="10" t="n">
        <v>139</v>
      </c>
      <c r="O557" s="10">
        <f>IFERROR(VLOOKUP(A557,Flete!$A:$J,10,0),"")</f>
        <v/>
      </c>
      <c r="P557" s="8" t="inlineStr">
        <is>
          <t>M3</t>
        </is>
      </c>
      <c r="Q557" s="10">
        <f>IFERROR(IFERROR(VLOOKUP(A557,TRAOPE!$A:$U,21,0),VLOOKUP(B557,TRAOPE!$A:$U,21,0)),"")</f>
        <v/>
      </c>
      <c r="R557" s="8">
        <f>IFERROR(IFERROR(VLOOKUP(A557,TRAOPE!$A:$W,23,0),VLOOKUP(B557,TRAOPE!$A:$W,23,0)),"")</f>
        <v/>
      </c>
      <c r="S557" s="10">
        <f>IF(AND(P557="TN",R557="TN"),N557+N(O557),IF(G557&amp;""="1",N(K557)*N557,(N557+N(O557))*N(K557)))</f>
        <v/>
      </c>
      <c r="T557" s="10">
        <f>IF(Q557="","",Q557-S557)</f>
        <v/>
      </c>
    </row>
    <row r="558">
      <c r="A558" s="7">
        <f>CONCATENATE(C558,E558,F558,I558)</f>
        <v/>
      </c>
      <c r="B558" s="7">
        <f>CONCATENATE(C558,E558,I558)</f>
        <v/>
      </c>
      <c r="C558" s="8" t="n">
        <v>900002574</v>
      </c>
      <c r="D558" s="7">
        <f>IFERROR(VLOOKUP(C558,TRAOPE!$G:$H,2,0),"")</f>
        <v/>
      </c>
      <c r="E558" s="8" t="inlineStr">
        <is>
          <t>D836</t>
        </is>
      </c>
      <c r="F558" s="8" t="inlineStr">
        <is>
          <t>66873390</t>
        </is>
      </c>
      <c r="G558" s="8">
        <f>IFERROR(VLOOKUP(A558,Flete!$A:$E,5,0),"")</f>
        <v/>
      </c>
      <c r="H558" s="7">
        <f>IFERROR(VLOOKUP(F558,TRAOPE!$AA:$AB,2,0),"")</f>
        <v/>
      </c>
      <c r="I558" s="7" t="n">
        <v>10000649</v>
      </c>
      <c r="J558" s="7">
        <f>IFERROR(VLOOKUP(I558,Materiales!$A:$H,8,0),"")</f>
        <v/>
      </c>
      <c r="K558" s="9">
        <f>IFERROR(VLOOKUP(I558,Materiales!$A:$G,7,0),"")</f>
        <v/>
      </c>
      <c r="L558" s="8" t="inlineStr">
        <is>
          <t>20190426</t>
        </is>
      </c>
      <c r="M558" s="8" t="inlineStr">
        <is>
          <t>20250127</t>
        </is>
      </c>
      <c r="N558" s="10" t="n">
        <v>156</v>
      </c>
      <c r="O558" s="10">
        <f>IFERROR(VLOOKUP(A558,Flete!$A:$J,10,0),"")</f>
        <v/>
      </c>
      <c r="P558" s="8" t="inlineStr">
        <is>
          <t>M3</t>
        </is>
      </c>
      <c r="Q558" s="10">
        <f>IFERROR(IFERROR(VLOOKUP(A558,TRAOPE!$A:$U,21,0),VLOOKUP(B558,TRAOPE!$A:$U,21,0)),"")</f>
        <v/>
      </c>
      <c r="R558" s="8">
        <f>IFERROR(IFERROR(VLOOKUP(A558,TRAOPE!$A:$W,23,0),VLOOKUP(B558,TRAOPE!$A:$W,23,0)),"")</f>
        <v/>
      </c>
      <c r="S558" s="10">
        <f>IF(AND(P558="TN",R558="TN"),N558+N(O558),IF(G558&amp;""="1",N(K558)*N558,(N558+N(O558))*N(K558)))</f>
        <v/>
      </c>
      <c r="T558" s="10">
        <f>IF(Q558="","",Q558-S558)</f>
        <v/>
      </c>
    </row>
    <row r="559">
      <c r="A559" s="7">
        <f>CONCATENATE(C559,E559,F559,I559)</f>
        <v/>
      </c>
      <c r="B559" s="7">
        <f>CONCATENATE(C559,E559,I559)</f>
        <v/>
      </c>
      <c r="C559" s="8" t="n">
        <v>900002574</v>
      </c>
      <c r="D559" s="7">
        <f>IFERROR(VLOOKUP(C559,TRAOPE!$G:$H,2,0),"")</f>
        <v/>
      </c>
      <c r="E559" s="8" t="inlineStr">
        <is>
          <t>D836</t>
        </is>
      </c>
      <c r="F559" s="8" t="inlineStr">
        <is>
          <t>66873390</t>
        </is>
      </c>
      <c r="G559" s="8">
        <f>IFERROR(VLOOKUP(A559,Flete!$A:$E,5,0),"")</f>
        <v/>
      </c>
      <c r="H559" s="7">
        <f>IFERROR(VLOOKUP(F559,TRAOPE!$AA:$AB,2,0),"")</f>
        <v/>
      </c>
      <c r="I559" s="7" t="n">
        <v>10058345</v>
      </c>
      <c r="J559" s="7">
        <f>IFERROR(VLOOKUP(I559,Materiales!$A:$H,8,0),"")</f>
        <v/>
      </c>
      <c r="K559" s="9">
        <f>IFERROR(VLOOKUP(I559,Materiales!$A:$G,7,0),"")</f>
        <v/>
      </c>
      <c r="L559" s="8" t="inlineStr">
        <is>
          <t>20190426</t>
        </is>
      </c>
      <c r="M559" s="8" t="inlineStr">
        <is>
          <t>20250127</t>
        </is>
      </c>
      <c r="N559" s="10" t="n">
        <v>207</v>
      </c>
      <c r="O559" s="10">
        <f>IFERROR(VLOOKUP(A559,Flete!$A:$J,10,0),"")</f>
        <v/>
      </c>
      <c r="P559" s="8" t="inlineStr">
        <is>
          <t>M3</t>
        </is>
      </c>
      <c r="Q559" s="10">
        <f>IFERROR(IFERROR(VLOOKUP(A559,TRAOPE!$A:$U,21,0),VLOOKUP(B559,TRAOPE!$A:$U,21,0)),"")</f>
        <v/>
      </c>
      <c r="R559" s="8">
        <f>IFERROR(IFERROR(VLOOKUP(A559,TRAOPE!$A:$W,23,0),VLOOKUP(B559,TRAOPE!$A:$W,23,0)),"")</f>
        <v/>
      </c>
      <c r="S559" s="10">
        <f>IF(AND(P559="TN",R559="TN"),N559+N(O559),IF(G559&amp;""="1",N(K559)*N559,(N559+N(O559))*N(K559)))</f>
        <v/>
      </c>
      <c r="T559" s="10">
        <f>IF(Q559="","",Q559-S559)</f>
        <v/>
      </c>
    </row>
    <row r="560">
      <c r="A560" s="7">
        <f>CONCATENATE(C560,E560,F560,I560)</f>
        <v/>
      </c>
      <c r="B560" s="7">
        <f>CONCATENATE(C560,E560,I560)</f>
        <v/>
      </c>
      <c r="C560" s="8" t="n">
        <v>900002574</v>
      </c>
      <c r="D560" s="7">
        <f>IFERROR(VLOOKUP(C560,TRAOPE!$G:$H,2,0),"")</f>
        <v/>
      </c>
      <c r="E560" s="8" t="inlineStr">
        <is>
          <t>D836</t>
        </is>
      </c>
      <c r="F560" s="8" t="inlineStr">
        <is>
          <t>66875501</t>
        </is>
      </c>
      <c r="G560" s="8">
        <f>IFERROR(VLOOKUP(A560,Flete!$A:$E,5,0),"")</f>
        <v/>
      </c>
      <c r="H560" s="7">
        <f>IFERROR(VLOOKUP(F560,TRAOPE!$AA:$AB,2,0),"")</f>
        <v/>
      </c>
      <c r="I560" s="7" t="n">
        <v>10000133</v>
      </c>
      <c r="J560" s="7">
        <f>IFERROR(VLOOKUP(I560,Materiales!$A:$H,8,0),"")</f>
        <v/>
      </c>
      <c r="K560" s="9">
        <f>IFERROR(VLOOKUP(I560,Materiales!$A:$G,7,0),"")</f>
        <v/>
      </c>
      <c r="L560" s="8" t="inlineStr">
        <is>
          <t>20190426</t>
        </is>
      </c>
      <c r="M560" s="8" t="inlineStr">
        <is>
          <t>20250127</t>
        </is>
      </c>
      <c r="N560" s="10" t="n">
        <v>794</v>
      </c>
      <c r="O560" s="10">
        <f>IFERROR(VLOOKUP(A560,Flete!$A:$J,10,0),"")</f>
        <v/>
      </c>
      <c r="P560" s="8" t="inlineStr">
        <is>
          <t>M3</t>
        </is>
      </c>
      <c r="Q560" s="10">
        <f>IFERROR(IFERROR(VLOOKUP(A560,TRAOPE!$A:$U,21,0),VLOOKUP(B560,TRAOPE!$A:$U,21,0)),"")</f>
        <v/>
      </c>
      <c r="R560" s="8">
        <f>IFERROR(IFERROR(VLOOKUP(A560,TRAOPE!$A:$W,23,0),VLOOKUP(B560,TRAOPE!$A:$W,23,0)),"")</f>
        <v/>
      </c>
      <c r="S560" s="10">
        <f>IF(AND(P560="TN",R560="TN"),N560+N(O560),IF(G560&amp;""="1",N(K560)*N560,(N560+N(O560))*N(K560)))</f>
        <v/>
      </c>
      <c r="T560" s="10">
        <f>IF(Q560="","",Q560-S560)</f>
        <v/>
      </c>
    </row>
    <row r="561">
      <c r="A561" s="7">
        <f>CONCATENATE(C561,E561,F561,I561)</f>
        <v/>
      </c>
      <c r="B561" s="7">
        <f>CONCATENATE(C561,E561,I561)</f>
        <v/>
      </c>
      <c r="C561" s="8" t="n">
        <v>900002574</v>
      </c>
      <c r="D561" s="7">
        <f>IFERROR(VLOOKUP(C561,TRAOPE!$G:$H,2,0),"")</f>
        <v/>
      </c>
      <c r="E561" s="8" t="inlineStr">
        <is>
          <t>D836</t>
        </is>
      </c>
      <c r="F561" s="8" t="inlineStr">
        <is>
          <t>66875501</t>
        </is>
      </c>
      <c r="G561" s="8">
        <f>IFERROR(VLOOKUP(A561,Flete!$A:$E,5,0),"")</f>
        <v/>
      </c>
      <c r="H561" s="7">
        <f>IFERROR(VLOOKUP(F561,TRAOPE!$AA:$AB,2,0),"")</f>
        <v/>
      </c>
      <c r="I561" s="7" t="n">
        <v>10000623</v>
      </c>
      <c r="J561" s="7">
        <f>IFERROR(VLOOKUP(I561,Materiales!$A:$H,8,0),"")</f>
        <v/>
      </c>
      <c r="K561" s="9">
        <f>IFERROR(VLOOKUP(I561,Materiales!$A:$G,7,0),"")</f>
        <v/>
      </c>
      <c r="L561" s="8" t="inlineStr">
        <is>
          <t>20190426</t>
        </is>
      </c>
      <c r="M561" s="8" t="inlineStr">
        <is>
          <t>20250127</t>
        </is>
      </c>
      <c r="N561" s="10" t="n">
        <v>794</v>
      </c>
      <c r="O561" s="10">
        <f>IFERROR(VLOOKUP(A561,Flete!$A:$J,10,0),"")</f>
        <v/>
      </c>
      <c r="P561" s="8" t="inlineStr">
        <is>
          <t>M3</t>
        </is>
      </c>
      <c r="Q561" s="10">
        <f>IFERROR(IFERROR(VLOOKUP(A561,TRAOPE!$A:$U,21,0),VLOOKUP(B561,TRAOPE!$A:$U,21,0)),"")</f>
        <v/>
      </c>
      <c r="R561" s="8">
        <f>IFERROR(IFERROR(VLOOKUP(A561,TRAOPE!$A:$W,23,0),VLOOKUP(B561,TRAOPE!$A:$W,23,0)),"")</f>
        <v/>
      </c>
      <c r="S561" s="10">
        <f>IF(AND(P561="TN",R561="TN"),N561+N(O561),IF(G561&amp;""="1",N(K561)*N561,(N561+N(O561))*N(K561)))</f>
        <v/>
      </c>
      <c r="T561" s="10">
        <f>IF(Q561="","",Q561-S561)</f>
        <v/>
      </c>
    </row>
    <row r="562">
      <c r="A562" s="7">
        <f>CONCATENATE(C562,E562,F562,I562)</f>
        <v/>
      </c>
      <c r="B562" s="7">
        <f>CONCATENATE(C562,E562,I562)</f>
        <v/>
      </c>
      <c r="C562" s="8" t="n">
        <v>900002574</v>
      </c>
      <c r="D562" s="7">
        <f>IFERROR(VLOOKUP(C562,TRAOPE!$G:$H,2,0),"")</f>
        <v/>
      </c>
      <c r="E562" s="8" t="inlineStr">
        <is>
          <t>D836</t>
        </is>
      </c>
      <c r="F562" s="8" t="inlineStr">
        <is>
          <t>66875501</t>
        </is>
      </c>
      <c r="G562" s="8">
        <f>IFERROR(VLOOKUP(A562,Flete!$A:$E,5,0),"")</f>
        <v/>
      </c>
      <c r="H562" s="7">
        <f>IFERROR(VLOOKUP(F562,TRAOPE!$AA:$AB,2,0),"")</f>
        <v/>
      </c>
      <c r="I562" s="7" t="n">
        <v>10000630</v>
      </c>
      <c r="J562" s="7">
        <f>IFERROR(VLOOKUP(I562,Materiales!$A:$H,8,0),"")</f>
        <v/>
      </c>
      <c r="K562" s="9">
        <f>IFERROR(VLOOKUP(I562,Materiales!$A:$G,7,0),"")</f>
        <v/>
      </c>
      <c r="L562" s="8" t="inlineStr">
        <is>
          <t>20190426</t>
        </is>
      </c>
      <c r="M562" s="8" t="inlineStr">
        <is>
          <t>20250127</t>
        </is>
      </c>
      <c r="N562" s="10" t="n">
        <v>804</v>
      </c>
      <c r="O562" s="10">
        <f>IFERROR(VLOOKUP(A562,Flete!$A:$J,10,0),"")</f>
        <v/>
      </c>
      <c r="P562" s="8" t="inlineStr">
        <is>
          <t>M3</t>
        </is>
      </c>
      <c r="Q562" s="10">
        <f>IFERROR(IFERROR(VLOOKUP(A562,TRAOPE!$A:$U,21,0),VLOOKUP(B562,TRAOPE!$A:$U,21,0)),"")</f>
        <v/>
      </c>
      <c r="R562" s="8">
        <f>IFERROR(IFERROR(VLOOKUP(A562,TRAOPE!$A:$W,23,0),VLOOKUP(B562,TRAOPE!$A:$W,23,0)),"")</f>
        <v/>
      </c>
      <c r="S562" s="10">
        <f>IF(AND(P562="TN",R562="TN"),N562+N(O562),IF(G562&amp;""="1",N(K562)*N562,(N562+N(O562))*N(K562)))</f>
        <v/>
      </c>
      <c r="T562" s="10">
        <f>IF(Q562="","",Q562-S562)</f>
        <v/>
      </c>
    </row>
    <row r="563">
      <c r="A563" s="7">
        <f>CONCATENATE(C563,E563,F563,I563)</f>
        <v/>
      </c>
      <c r="B563" s="7">
        <f>CONCATENATE(C563,E563,I563)</f>
        <v/>
      </c>
      <c r="C563" s="8" t="n">
        <v>900002574</v>
      </c>
      <c r="D563" s="7">
        <f>IFERROR(VLOOKUP(C563,TRAOPE!$G:$H,2,0),"")</f>
        <v/>
      </c>
      <c r="E563" s="8" t="inlineStr">
        <is>
          <t>D836</t>
        </is>
      </c>
      <c r="F563" s="8" t="inlineStr">
        <is>
          <t>66875501</t>
        </is>
      </c>
      <c r="G563" s="8">
        <f>IFERROR(VLOOKUP(A563,Flete!$A:$E,5,0),"")</f>
        <v/>
      </c>
      <c r="H563" s="7">
        <f>IFERROR(VLOOKUP(F563,TRAOPE!$AA:$AB,2,0),"")</f>
        <v/>
      </c>
      <c r="I563" s="7" t="n">
        <v>10058345</v>
      </c>
      <c r="J563" s="7">
        <f>IFERROR(VLOOKUP(I563,Materiales!$A:$H,8,0),"")</f>
        <v/>
      </c>
      <c r="K563" s="9">
        <f>IFERROR(VLOOKUP(I563,Materiales!$A:$G,7,0),"")</f>
        <v/>
      </c>
      <c r="L563" s="8" t="inlineStr">
        <is>
          <t>20190426</t>
        </is>
      </c>
      <c r="M563" s="8" t="inlineStr">
        <is>
          <t>20250127</t>
        </is>
      </c>
      <c r="N563" s="10" t="n">
        <v>644</v>
      </c>
      <c r="O563" s="10">
        <f>IFERROR(VLOOKUP(A563,Flete!$A:$J,10,0),"")</f>
        <v/>
      </c>
      <c r="P563" s="8" t="inlineStr">
        <is>
          <t>M3</t>
        </is>
      </c>
      <c r="Q563" s="10">
        <f>IFERROR(IFERROR(VLOOKUP(A563,TRAOPE!$A:$U,21,0),VLOOKUP(B563,TRAOPE!$A:$U,21,0)),"")</f>
        <v/>
      </c>
      <c r="R563" s="8">
        <f>IFERROR(IFERROR(VLOOKUP(A563,TRAOPE!$A:$W,23,0),VLOOKUP(B563,TRAOPE!$A:$W,23,0)),"")</f>
        <v/>
      </c>
      <c r="S563" s="10">
        <f>IF(AND(P563="TN",R563="TN"),N563+N(O563),IF(G563&amp;""="1",N(K563)*N563,(N563+N(O563))*N(K563)))</f>
        <v/>
      </c>
      <c r="T563" s="10">
        <f>IF(Q563="","",Q563-S563)</f>
        <v/>
      </c>
    </row>
    <row r="564">
      <c r="A564" s="7">
        <f>CONCATENATE(C564,E564,F564,I564)</f>
        <v/>
      </c>
      <c r="B564" s="7">
        <f>CONCATENATE(C564,E564,I564)</f>
        <v/>
      </c>
      <c r="C564" s="8" t="n">
        <v>900002574</v>
      </c>
      <c r="D564" s="7">
        <f>IFERROR(VLOOKUP(C564,TRAOPE!$G:$H,2,0),"")</f>
        <v/>
      </c>
      <c r="E564" s="8" t="inlineStr">
        <is>
          <t>D836</t>
        </is>
      </c>
      <c r="F564" s="8" t="inlineStr">
        <is>
          <t>66878071</t>
        </is>
      </c>
      <c r="G564" s="8">
        <f>IFERROR(VLOOKUP(A564,Flete!$A:$E,5,0),"")</f>
        <v/>
      </c>
      <c r="H564" s="7">
        <f>IFERROR(VLOOKUP(F564,TRAOPE!$AA:$AB,2,0),"")</f>
        <v/>
      </c>
      <c r="I564" s="7" t="n">
        <v>10000133</v>
      </c>
      <c r="J564" s="7">
        <f>IFERROR(VLOOKUP(I564,Materiales!$A:$H,8,0),"")</f>
        <v/>
      </c>
      <c r="K564" s="9">
        <f>IFERROR(VLOOKUP(I564,Materiales!$A:$G,7,0),"")</f>
        <v/>
      </c>
      <c r="L564" s="8" t="inlineStr">
        <is>
          <t>20190426</t>
        </is>
      </c>
      <c r="M564" s="8" t="inlineStr">
        <is>
          <t>20250127</t>
        </is>
      </c>
      <c r="N564" s="10" t="n">
        <v>271.56</v>
      </c>
      <c r="O564" s="10">
        <f>IFERROR(VLOOKUP(A564,Flete!$A:$J,10,0),"")</f>
        <v/>
      </c>
      <c r="P564" s="8" t="inlineStr">
        <is>
          <t>M3</t>
        </is>
      </c>
      <c r="Q564" s="10">
        <f>IFERROR(IFERROR(VLOOKUP(A564,TRAOPE!$A:$U,21,0),VLOOKUP(B564,TRAOPE!$A:$U,21,0)),"")</f>
        <v/>
      </c>
      <c r="R564" s="8">
        <f>IFERROR(IFERROR(VLOOKUP(A564,TRAOPE!$A:$W,23,0),VLOOKUP(B564,TRAOPE!$A:$W,23,0)),"")</f>
        <v/>
      </c>
      <c r="S564" s="10">
        <f>IF(AND(P564="TN",R564="TN"),N564+N(O564),IF(G564&amp;""="1",N(K564)*N564,(N564+N(O564))*N(K564)))</f>
        <v/>
      </c>
      <c r="T564" s="10">
        <f>IF(Q564="","",Q564-S564)</f>
        <v/>
      </c>
    </row>
    <row r="565">
      <c r="A565" s="7">
        <f>CONCATENATE(C565,E565,F565,I565)</f>
        <v/>
      </c>
      <c r="B565" s="7">
        <f>CONCATENATE(C565,E565,I565)</f>
        <v/>
      </c>
      <c r="C565" s="8" t="n">
        <v>900002574</v>
      </c>
      <c r="D565" s="7">
        <f>IFERROR(VLOOKUP(C565,TRAOPE!$G:$H,2,0),"")</f>
        <v/>
      </c>
      <c r="E565" s="8" t="inlineStr">
        <is>
          <t>D836</t>
        </is>
      </c>
      <c r="F565" s="8" t="inlineStr">
        <is>
          <t>66881539</t>
        </is>
      </c>
      <c r="G565" s="8">
        <f>IFERROR(VLOOKUP(A565,Flete!$A:$E,5,0),"")</f>
        <v/>
      </c>
      <c r="H565" s="7">
        <f>IFERROR(VLOOKUP(F565,TRAOPE!$AA:$AB,2,0),"")</f>
        <v/>
      </c>
      <c r="I565" s="7" t="n">
        <v>10000160</v>
      </c>
      <c r="J565" s="7">
        <f>IFERROR(VLOOKUP(I565,Materiales!$A:$H,8,0),"")</f>
        <v/>
      </c>
      <c r="K565" s="9">
        <f>IFERROR(VLOOKUP(I565,Materiales!$A:$G,7,0),"")</f>
        <v/>
      </c>
      <c r="L565" s="8" t="inlineStr">
        <is>
          <t>20190426</t>
        </is>
      </c>
      <c r="M565" s="8" t="inlineStr">
        <is>
          <t>20250127</t>
        </is>
      </c>
      <c r="N565" s="10" t="n">
        <v>110.18</v>
      </c>
      <c r="O565" s="10">
        <f>IFERROR(VLOOKUP(A565,Flete!$A:$J,10,0),"")</f>
        <v/>
      </c>
      <c r="P565" s="8" t="inlineStr">
        <is>
          <t>M3</t>
        </is>
      </c>
      <c r="Q565" s="10">
        <f>IFERROR(IFERROR(VLOOKUP(A565,TRAOPE!$A:$U,21,0),VLOOKUP(B565,TRAOPE!$A:$U,21,0)),"")</f>
        <v/>
      </c>
      <c r="R565" s="8">
        <f>IFERROR(IFERROR(VLOOKUP(A565,TRAOPE!$A:$W,23,0),VLOOKUP(B565,TRAOPE!$A:$W,23,0)),"")</f>
        <v/>
      </c>
      <c r="S565" s="10">
        <f>IF(AND(P565="TN",R565="TN"),N565+N(O565),IF(G565&amp;""="1",N(K565)*N565,(N565+N(O565))*N(K565)))</f>
        <v/>
      </c>
      <c r="T565" s="10">
        <f>IF(Q565="","",Q565-S565)</f>
        <v/>
      </c>
    </row>
    <row r="566">
      <c r="A566" s="7">
        <f>CONCATENATE(C566,E566,F566,I566)</f>
        <v/>
      </c>
      <c r="B566" s="7">
        <f>CONCATENATE(C566,E566,I566)</f>
        <v/>
      </c>
      <c r="C566" s="8" t="n">
        <v>900002574</v>
      </c>
      <c r="D566" s="7">
        <f>IFERROR(VLOOKUP(C566,TRAOPE!$G:$H,2,0),"")</f>
        <v/>
      </c>
      <c r="E566" s="8" t="inlineStr">
        <is>
          <t>D836</t>
        </is>
      </c>
      <c r="F566" s="8" t="inlineStr">
        <is>
          <t>66881539</t>
        </is>
      </c>
      <c r="G566" s="8">
        <f>IFERROR(VLOOKUP(A566,Flete!$A:$E,5,0),"")</f>
        <v/>
      </c>
      <c r="H566" s="7">
        <f>IFERROR(VLOOKUP(F566,TRAOPE!$AA:$AB,2,0),"")</f>
        <v/>
      </c>
      <c r="I566" s="7" t="n">
        <v>10000357</v>
      </c>
      <c r="J566" s="7">
        <f>IFERROR(VLOOKUP(I566,Materiales!$A:$H,8,0),"")</f>
        <v/>
      </c>
      <c r="K566" s="9">
        <f>IFERROR(VLOOKUP(I566,Materiales!$A:$G,7,0),"")</f>
        <v/>
      </c>
      <c r="L566" s="8" t="inlineStr">
        <is>
          <t>20190426</t>
        </is>
      </c>
      <c r="M566" s="8" t="inlineStr">
        <is>
          <t>20250127</t>
        </is>
      </c>
      <c r="N566" s="10" t="n">
        <v>122.93</v>
      </c>
      <c r="O566" s="10">
        <f>IFERROR(VLOOKUP(A566,Flete!$A:$J,10,0),"")</f>
        <v/>
      </c>
      <c r="P566" s="8" t="inlineStr">
        <is>
          <t>M3</t>
        </is>
      </c>
      <c r="Q566" s="10">
        <f>IFERROR(IFERROR(VLOOKUP(A566,TRAOPE!$A:$U,21,0),VLOOKUP(B566,TRAOPE!$A:$U,21,0)),"")</f>
        <v/>
      </c>
      <c r="R566" s="8">
        <f>IFERROR(IFERROR(VLOOKUP(A566,TRAOPE!$A:$W,23,0),VLOOKUP(B566,TRAOPE!$A:$W,23,0)),"")</f>
        <v/>
      </c>
      <c r="S566" s="10">
        <f>IF(AND(P566="TN",R566="TN"),N566+N(O566),IF(G566&amp;""="1",N(K566)*N566,(N566+N(O566))*N(K566)))</f>
        <v/>
      </c>
      <c r="T566" s="10">
        <f>IF(Q566="","",Q566-S566)</f>
        <v/>
      </c>
    </row>
    <row r="567">
      <c r="A567" s="7">
        <f>CONCATENATE(C567,E567,F567,I567)</f>
        <v/>
      </c>
      <c r="B567" s="7">
        <f>CONCATENATE(C567,E567,I567)</f>
        <v/>
      </c>
      <c r="C567" s="8" t="n">
        <v>900002574</v>
      </c>
      <c r="D567" s="7">
        <f>IFERROR(VLOOKUP(C567,TRAOPE!$G:$H,2,0),"")</f>
        <v/>
      </c>
      <c r="E567" s="8" t="inlineStr">
        <is>
          <t>D836</t>
        </is>
      </c>
      <c r="F567" s="8" t="inlineStr">
        <is>
          <t>66885144</t>
        </is>
      </c>
      <c r="G567" s="8">
        <f>IFERROR(VLOOKUP(A567,Flete!$A:$E,5,0),"")</f>
        <v/>
      </c>
      <c r="H567" s="7">
        <f>IFERROR(VLOOKUP(F567,TRAOPE!$AA:$AB,2,0),"")</f>
        <v/>
      </c>
      <c r="I567" s="7" t="n">
        <v>10000441</v>
      </c>
      <c r="J567" s="7">
        <f>IFERROR(VLOOKUP(I567,Materiales!$A:$H,8,0),"")</f>
        <v/>
      </c>
      <c r="K567" s="9">
        <f>IFERROR(VLOOKUP(I567,Materiales!$A:$G,7,0),"")</f>
        <v/>
      </c>
      <c r="L567" s="8" t="inlineStr">
        <is>
          <t>20190426</t>
        </is>
      </c>
      <c r="M567" s="8" t="inlineStr">
        <is>
          <t>20250127</t>
        </is>
      </c>
      <c r="N567" s="10" t="n">
        <v>135.87</v>
      </c>
      <c r="O567" s="10">
        <f>IFERROR(VLOOKUP(A567,Flete!$A:$J,10,0),"")</f>
        <v/>
      </c>
      <c r="P567" s="8" t="inlineStr">
        <is>
          <t>M3</t>
        </is>
      </c>
      <c r="Q567" s="10">
        <f>IFERROR(IFERROR(VLOOKUP(A567,TRAOPE!$A:$U,21,0),VLOOKUP(B567,TRAOPE!$A:$U,21,0)),"")</f>
        <v/>
      </c>
      <c r="R567" s="8">
        <f>IFERROR(IFERROR(VLOOKUP(A567,TRAOPE!$A:$W,23,0),VLOOKUP(B567,TRAOPE!$A:$W,23,0)),"")</f>
        <v/>
      </c>
      <c r="S567" s="10">
        <f>IF(AND(P567="TN",R567="TN"),N567+N(O567),IF(G567&amp;""="1",N(K567)*N567,(N567+N(O567))*N(K567)))</f>
        <v/>
      </c>
      <c r="T567" s="10">
        <f>IF(Q567="","",Q567-S567)</f>
        <v/>
      </c>
    </row>
    <row r="568">
      <c r="A568" s="7">
        <f>CONCATENATE(C568,E568,F568,I568)</f>
        <v/>
      </c>
      <c r="B568" s="7">
        <f>CONCATENATE(C568,E568,I568)</f>
        <v/>
      </c>
      <c r="C568" s="8" t="n">
        <v>900002574</v>
      </c>
      <c r="D568" s="7">
        <f>IFERROR(VLOOKUP(C568,TRAOPE!$G:$H,2,0),"")</f>
        <v/>
      </c>
      <c r="E568" s="8" t="inlineStr">
        <is>
          <t>D836</t>
        </is>
      </c>
      <c r="F568" s="8" t="inlineStr">
        <is>
          <t>66885144</t>
        </is>
      </c>
      <c r="G568" s="8">
        <f>IFERROR(VLOOKUP(A568,Flete!$A:$E,5,0),"")</f>
        <v/>
      </c>
      <c r="H568" s="7">
        <f>IFERROR(VLOOKUP(F568,TRAOPE!$AA:$AB,2,0),"")</f>
        <v/>
      </c>
      <c r="I568" s="7" t="n">
        <v>10183535</v>
      </c>
      <c r="J568" s="7">
        <f>IFERROR(VLOOKUP(I568,Materiales!$A:$H,8,0),"")</f>
        <v/>
      </c>
      <c r="K568" s="9">
        <f>IFERROR(VLOOKUP(I568,Materiales!$A:$G,7,0),"")</f>
        <v/>
      </c>
      <c r="L568" s="8" t="inlineStr">
        <is>
          <t>20190426</t>
        </is>
      </c>
      <c r="M568" s="8" t="inlineStr">
        <is>
          <t>20250127</t>
        </is>
      </c>
      <c r="N568" s="10" t="n">
        <v>145</v>
      </c>
      <c r="O568" s="10">
        <f>IFERROR(VLOOKUP(A568,Flete!$A:$J,10,0),"")</f>
        <v/>
      </c>
      <c r="P568" s="8" t="inlineStr">
        <is>
          <t>M3</t>
        </is>
      </c>
      <c r="Q568" s="10">
        <f>IFERROR(IFERROR(VLOOKUP(A568,TRAOPE!$A:$U,21,0),VLOOKUP(B568,TRAOPE!$A:$U,21,0)),"")</f>
        <v/>
      </c>
      <c r="R568" s="8">
        <f>IFERROR(IFERROR(VLOOKUP(A568,TRAOPE!$A:$W,23,0),VLOOKUP(B568,TRAOPE!$A:$W,23,0)),"")</f>
        <v/>
      </c>
      <c r="S568" s="10">
        <f>IF(AND(P568="TN",R568="TN"),N568+N(O568),IF(G568&amp;""="1",N(K568)*N568,(N568+N(O568))*N(K568)))</f>
        <v/>
      </c>
      <c r="T568" s="10">
        <f>IF(Q568="","",Q568-S568)</f>
        <v/>
      </c>
    </row>
    <row r="569">
      <c r="A569" s="7">
        <f>CONCATENATE(C569,E569,F569,I569)</f>
        <v/>
      </c>
      <c r="B569" s="7">
        <f>CONCATENATE(C569,E569,I569)</f>
        <v/>
      </c>
      <c r="C569" s="8" t="n">
        <v>900002574</v>
      </c>
      <c r="D569" s="7">
        <f>IFERROR(VLOOKUP(C569,TRAOPE!$G:$H,2,0),"")</f>
        <v/>
      </c>
      <c r="E569" s="8" t="inlineStr">
        <is>
          <t>D836</t>
        </is>
      </c>
      <c r="F569" s="8" t="inlineStr">
        <is>
          <t>66886969</t>
        </is>
      </c>
      <c r="G569" s="8">
        <f>IFERROR(VLOOKUP(A569,Flete!$A:$E,5,0),"")</f>
        <v/>
      </c>
      <c r="H569" s="7">
        <f>IFERROR(VLOOKUP(F569,TRAOPE!$AA:$AB,2,0),"")</f>
        <v/>
      </c>
      <c r="I569" s="7" t="n">
        <v>10000160</v>
      </c>
      <c r="J569" s="7">
        <f>IFERROR(VLOOKUP(I569,Materiales!$A:$H,8,0),"")</f>
        <v/>
      </c>
      <c r="K569" s="9">
        <f>IFERROR(VLOOKUP(I569,Materiales!$A:$G,7,0),"")</f>
        <v/>
      </c>
      <c r="L569" s="8" t="inlineStr">
        <is>
          <t>20190426</t>
        </is>
      </c>
      <c r="M569" s="8" t="inlineStr">
        <is>
          <t>20250127</t>
        </is>
      </c>
      <c r="N569" s="10" t="n">
        <v>108.97</v>
      </c>
      <c r="O569" s="10">
        <f>IFERROR(VLOOKUP(A569,Flete!$A:$J,10,0),"")</f>
        <v/>
      </c>
      <c r="P569" s="8" t="inlineStr">
        <is>
          <t>M3</t>
        </is>
      </c>
      <c r="Q569" s="10">
        <f>IFERROR(IFERROR(VLOOKUP(A569,TRAOPE!$A:$U,21,0),VLOOKUP(B569,TRAOPE!$A:$U,21,0)),"")</f>
        <v/>
      </c>
      <c r="R569" s="8">
        <f>IFERROR(IFERROR(VLOOKUP(A569,TRAOPE!$A:$W,23,0),VLOOKUP(B569,TRAOPE!$A:$W,23,0)),"")</f>
        <v/>
      </c>
      <c r="S569" s="10">
        <f>IF(AND(P569="TN",R569="TN"),N569+N(O569),IF(G569&amp;""="1",N(K569)*N569,(N569+N(O569))*N(K569)))</f>
        <v/>
      </c>
      <c r="T569" s="10">
        <f>IF(Q569="","",Q569-S569)</f>
        <v/>
      </c>
    </row>
    <row r="570">
      <c r="A570" s="7">
        <f>CONCATENATE(C570,E570,F570,I570)</f>
        <v/>
      </c>
      <c r="B570" s="7">
        <f>CONCATENATE(C570,E570,I570)</f>
        <v/>
      </c>
      <c r="C570" s="8" t="n">
        <v>900002574</v>
      </c>
      <c r="D570" s="7">
        <f>IFERROR(VLOOKUP(C570,TRAOPE!$G:$H,2,0),"")</f>
        <v/>
      </c>
      <c r="E570" s="8" t="inlineStr">
        <is>
          <t>D836</t>
        </is>
      </c>
      <c r="F570" s="8" t="inlineStr">
        <is>
          <t>66886969</t>
        </is>
      </c>
      <c r="G570" s="8">
        <f>IFERROR(VLOOKUP(A570,Flete!$A:$E,5,0),"")</f>
        <v/>
      </c>
      <c r="H570" s="7">
        <f>IFERROR(VLOOKUP(F570,TRAOPE!$AA:$AB,2,0),"")</f>
        <v/>
      </c>
      <c r="I570" s="7" t="n">
        <v>10000357</v>
      </c>
      <c r="J570" s="7">
        <f>IFERROR(VLOOKUP(I570,Materiales!$A:$H,8,0),"")</f>
        <v/>
      </c>
      <c r="K570" s="9">
        <f>IFERROR(VLOOKUP(I570,Materiales!$A:$G,7,0),"")</f>
        <v/>
      </c>
      <c r="L570" s="8" t="inlineStr">
        <is>
          <t>20190426</t>
        </is>
      </c>
      <c r="M570" s="8" t="inlineStr">
        <is>
          <t>20250127</t>
        </is>
      </c>
      <c r="N570" s="10" t="n">
        <v>140</v>
      </c>
      <c r="O570" s="10">
        <f>IFERROR(VLOOKUP(A570,Flete!$A:$J,10,0),"")</f>
        <v/>
      </c>
      <c r="P570" s="8" t="inlineStr">
        <is>
          <t>M3</t>
        </is>
      </c>
      <c r="Q570" s="10">
        <f>IFERROR(IFERROR(VLOOKUP(A570,TRAOPE!$A:$U,21,0),VLOOKUP(B570,TRAOPE!$A:$U,21,0)),"")</f>
        <v/>
      </c>
      <c r="R570" s="8">
        <f>IFERROR(IFERROR(VLOOKUP(A570,TRAOPE!$A:$W,23,0),VLOOKUP(B570,TRAOPE!$A:$W,23,0)),"")</f>
        <v/>
      </c>
      <c r="S570" s="10">
        <f>IF(AND(P570="TN",R570="TN"),N570+N(O570),IF(G570&amp;""="1",N(K570)*N570,(N570+N(O570))*N(K570)))</f>
        <v/>
      </c>
      <c r="T570" s="10">
        <f>IF(Q570="","",Q570-S570)</f>
        <v/>
      </c>
    </row>
    <row r="571">
      <c r="A571" s="7">
        <f>CONCATENATE(C571,E571,F571,I571)</f>
        <v/>
      </c>
      <c r="B571" s="7">
        <f>CONCATENATE(C571,E571,I571)</f>
        <v/>
      </c>
      <c r="C571" s="8" t="n">
        <v>900002574</v>
      </c>
      <c r="D571" s="7">
        <f>IFERROR(VLOOKUP(C571,TRAOPE!$G:$H,2,0),"")</f>
        <v/>
      </c>
      <c r="E571" s="8" t="inlineStr">
        <is>
          <t>D836</t>
        </is>
      </c>
      <c r="F571" s="8" t="inlineStr">
        <is>
          <t>66886969</t>
        </is>
      </c>
      <c r="G571" s="8">
        <f>IFERROR(VLOOKUP(A571,Flete!$A:$E,5,0),"")</f>
        <v/>
      </c>
      <c r="H571" s="7">
        <f>IFERROR(VLOOKUP(F571,TRAOPE!$AA:$AB,2,0),"")</f>
        <v/>
      </c>
      <c r="I571" s="7" t="n">
        <v>10000649</v>
      </c>
      <c r="J571" s="7">
        <f>IFERROR(VLOOKUP(I571,Materiales!$A:$H,8,0),"")</f>
        <v/>
      </c>
      <c r="K571" s="9">
        <f>IFERROR(VLOOKUP(I571,Materiales!$A:$G,7,0),"")</f>
        <v/>
      </c>
      <c r="L571" s="8" t="inlineStr">
        <is>
          <t>20190426</t>
        </is>
      </c>
      <c r="M571" s="8" t="inlineStr">
        <is>
          <t>20250127</t>
        </is>
      </c>
      <c r="N571" s="10" t="n">
        <v>155.87</v>
      </c>
      <c r="O571" s="10">
        <f>IFERROR(VLOOKUP(A571,Flete!$A:$J,10,0),"")</f>
        <v/>
      </c>
      <c r="P571" s="8" t="inlineStr">
        <is>
          <t>M3</t>
        </is>
      </c>
      <c r="Q571" s="10">
        <f>IFERROR(IFERROR(VLOOKUP(A571,TRAOPE!$A:$U,21,0),VLOOKUP(B571,TRAOPE!$A:$U,21,0)),"")</f>
        <v/>
      </c>
      <c r="R571" s="8">
        <f>IFERROR(IFERROR(VLOOKUP(A571,TRAOPE!$A:$W,23,0),VLOOKUP(B571,TRAOPE!$A:$W,23,0)),"")</f>
        <v/>
      </c>
      <c r="S571" s="10">
        <f>IF(AND(P571="TN",R571="TN"),N571+N(O571),IF(G571&amp;""="1",N(K571)*N571,(N571+N(O571))*N(K571)))</f>
        <v/>
      </c>
      <c r="T571" s="10">
        <f>IF(Q571="","",Q571-S571)</f>
        <v/>
      </c>
    </row>
    <row r="572">
      <c r="A572" s="7">
        <f>CONCATENATE(C572,E572,F572,I572)</f>
        <v/>
      </c>
      <c r="B572" s="7">
        <f>CONCATENATE(C572,E572,I572)</f>
        <v/>
      </c>
      <c r="C572" s="8" t="n">
        <v>900002574</v>
      </c>
      <c r="D572" s="7">
        <f>IFERROR(VLOOKUP(C572,TRAOPE!$G:$H,2,0),"")</f>
        <v/>
      </c>
      <c r="E572" s="8" t="inlineStr">
        <is>
          <t>D836</t>
        </is>
      </c>
      <c r="F572" s="8" t="inlineStr">
        <is>
          <t>66894711</t>
        </is>
      </c>
      <c r="G572" s="8">
        <f>IFERROR(VLOOKUP(A572,Flete!$A:$E,5,0),"")</f>
        <v/>
      </c>
      <c r="H572" s="7">
        <f>IFERROR(VLOOKUP(F572,TRAOPE!$AA:$AB,2,0),"")</f>
        <v/>
      </c>
      <c r="I572" s="7" t="n">
        <v>10000160</v>
      </c>
      <c r="J572" s="7">
        <f>IFERROR(VLOOKUP(I572,Materiales!$A:$H,8,0),"")</f>
        <v/>
      </c>
      <c r="K572" s="9">
        <f>IFERROR(VLOOKUP(I572,Materiales!$A:$G,7,0),"")</f>
        <v/>
      </c>
      <c r="L572" s="8" t="inlineStr">
        <is>
          <t>20190426</t>
        </is>
      </c>
      <c r="M572" s="8" t="inlineStr">
        <is>
          <t>20250127</t>
        </is>
      </c>
      <c r="N572" s="10" t="n">
        <v>115</v>
      </c>
      <c r="O572" s="10">
        <f>IFERROR(VLOOKUP(A572,Flete!$A:$J,10,0),"")</f>
        <v/>
      </c>
      <c r="P572" s="8" t="inlineStr">
        <is>
          <t>M3</t>
        </is>
      </c>
      <c r="Q572" s="10">
        <f>IFERROR(IFERROR(VLOOKUP(A572,TRAOPE!$A:$U,21,0),VLOOKUP(B572,TRAOPE!$A:$U,21,0)),"")</f>
        <v/>
      </c>
      <c r="R572" s="8">
        <f>IFERROR(IFERROR(VLOOKUP(A572,TRAOPE!$A:$W,23,0),VLOOKUP(B572,TRAOPE!$A:$W,23,0)),"")</f>
        <v/>
      </c>
      <c r="S572" s="10">
        <f>IF(AND(P572="TN",R572="TN"),N572+N(O572),IF(G572&amp;""="1",N(K572)*N572,(N572+N(O572))*N(K572)))</f>
        <v/>
      </c>
      <c r="T572" s="10">
        <f>IF(Q572="","",Q572-S572)</f>
        <v/>
      </c>
    </row>
    <row r="573">
      <c r="A573" s="7">
        <f>CONCATENATE(C573,E573,F573,I573)</f>
        <v/>
      </c>
      <c r="B573" s="7">
        <f>CONCATENATE(C573,E573,I573)</f>
        <v/>
      </c>
      <c r="C573" s="8" t="n">
        <v>900002574</v>
      </c>
      <c r="D573" s="7">
        <f>IFERROR(VLOOKUP(C573,TRAOPE!$G:$H,2,0),"")</f>
        <v/>
      </c>
      <c r="E573" s="8" t="inlineStr">
        <is>
          <t>D836</t>
        </is>
      </c>
      <c r="F573" s="8" t="inlineStr">
        <is>
          <t>66894711</t>
        </is>
      </c>
      <c r="G573" s="8">
        <f>IFERROR(VLOOKUP(A573,Flete!$A:$E,5,0),"")</f>
        <v/>
      </c>
      <c r="H573" s="7">
        <f>IFERROR(VLOOKUP(F573,TRAOPE!$AA:$AB,2,0),"")</f>
        <v/>
      </c>
      <c r="I573" s="7" t="n">
        <v>10000206</v>
      </c>
      <c r="J573" s="7">
        <f>IFERROR(VLOOKUP(I573,Materiales!$A:$H,8,0),"")</f>
        <v/>
      </c>
      <c r="K573" s="9">
        <f>IFERROR(VLOOKUP(I573,Materiales!$A:$G,7,0),"")</f>
        <v/>
      </c>
      <c r="L573" s="8" t="inlineStr">
        <is>
          <t>20190426</t>
        </is>
      </c>
      <c r="M573" s="8" t="inlineStr">
        <is>
          <t>20250127</t>
        </is>
      </c>
      <c r="N573" s="10" t="n">
        <v>70</v>
      </c>
      <c r="O573" s="10">
        <f>IFERROR(VLOOKUP(A573,Flete!$A:$J,10,0),"")</f>
        <v/>
      </c>
      <c r="P573" s="8" t="inlineStr">
        <is>
          <t>M3</t>
        </is>
      </c>
      <c r="Q573" s="10">
        <f>IFERROR(IFERROR(VLOOKUP(A573,TRAOPE!$A:$U,21,0),VLOOKUP(B573,TRAOPE!$A:$U,21,0)),"")</f>
        <v/>
      </c>
      <c r="R573" s="8">
        <f>IFERROR(IFERROR(VLOOKUP(A573,TRAOPE!$A:$W,23,0),VLOOKUP(B573,TRAOPE!$A:$W,23,0)),"")</f>
        <v/>
      </c>
      <c r="S573" s="10">
        <f>IF(AND(P573="TN",R573="TN"),N573+N(O573),IF(G573&amp;""="1",N(K573)*N573,(N573+N(O573))*N(K573)))</f>
        <v/>
      </c>
      <c r="T573" s="10">
        <f>IF(Q573="","",Q573-S573)</f>
        <v/>
      </c>
    </row>
    <row r="574">
      <c r="A574" s="7">
        <f>CONCATENATE(C574,E574,F574,I574)</f>
        <v/>
      </c>
      <c r="B574" s="7">
        <f>CONCATENATE(C574,E574,I574)</f>
        <v/>
      </c>
      <c r="C574" s="8" t="n">
        <v>900002574</v>
      </c>
      <c r="D574" s="7">
        <f>IFERROR(VLOOKUP(C574,TRAOPE!$G:$H,2,0),"")</f>
        <v/>
      </c>
      <c r="E574" s="8" t="inlineStr">
        <is>
          <t>D836</t>
        </is>
      </c>
      <c r="F574" s="8" t="inlineStr">
        <is>
          <t>66894711</t>
        </is>
      </c>
      <c r="G574" s="8">
        <f>IFERROR(VLOOKUP(A574,Flete!$A:$E,5,0),"")</f>
        <v/>
      </c>
      <c r="H574" s="7">
        <f>IFERROR(VLOOKUP(F574,TRAOPE!$AA:$AB,2,0),"")</f>
        <v/>
      </c>
      <c r="I574" s="7" t="n">
        <v>10000357</v>
      </c>
      <c r="J574" s="7">
        <f>IFERROR(VLOOKUP(I574,Materiales!$A:$H,8,0),"")</f>
        <v/>
      </c>
      <c r="K574" s="9">
        <f>IFERROR(VLOOKUP(I574,Materiales!$A:$G,7,0),"")</f>
        <v/>
      </c>
      <c r="L574" s="8" t="inlineStr">
        <is>
          <t>20190426</t>
        </is>
      </c>
      <c r="M574" s="8" t="inlineStr">
        <is>
          <t>20250127</t>
        </is>
      </c>
      <c r="N574" s="10" t="n">
        <v>125</v>
      </c>
      <c r="O574" s="10">
        <f>IFERROR(VLOOKUP(A574,Flete!$A:$J,10,0),"")</f>
        <v/>
      </c>
      <c r="P574" s="8" t="inlineStr">
        <is>
          <t>M3</t>
        </is>
      </c>
      <c r="Q574" s="10">
        <f>IFERROR(IFERROR(VLOOKUP(A574,TRAOPE!$A:$U,21,0),VLOOKUP(B574,TRAOPE!$A:$U,21,0)),"")</f>
        <v/>
      </c>
      <c r="R574" s="8">
        <f>IFERROR(IFERROR(VLOOKUP(A574,TRAOPE!$A:$W,23,0),VLOOKUP(B574,TRAOPE!$A:$W,23,0)),"")</f>
        <v/>
      </c>
      <c r="S574" s="10">
        <f>IF(AND(P574="TN",R574="TN"),N574+N(O574),IF(G574&amp;""="1",N(K574)*N574,(N574+N(O574))*N(K574)))</f>
        <v/>
      </c>
      <c r="T574" s="10">
        <f>IF(Q574="","",Q574-S574)</f>
        <v/>
      </c>
    </row>
    <row r="575">
      <c r="A575" s="7">
        <f>CONCATENATE(C575,E575,F575,I575)</f>
        <v/>
      </c>
      <c r="B575" s="7">
        <f>CONCATENATE(C575,E575,I575)</f>
        <v/>
      </c>
      <c r="C575" s="8" t="n">
        <v>900002574</v>
      </c>
      <c r="D575" s="7">
        <f>IFERROR(VLOOKUP(C575,TRAOPE!$G:$H,2,0),"")</f>
        <v/>
      </c>
      <c r="E575" s="8" t="inlineStr">
        <is>
          <t>D836</t>
        </is>
      </c>
      <c r="F575" s="8" t="inlineStr">
        <is>
          <t>66894711</t>
        </is>
      </c>
      <c r="G575" s="8">
        <f>IFERROR(VLOOKUP(A575,Flete!$A:$E,5,0),"")</f>
        <v/>
      </c>
      <c r="H575" s="7">
        <f>IFERROR(VLOOKUP(F575,TRAOPE!$AA:$AB,2,0),"")</f>
        <v/>
      </c>
      <c r="I575" s="7" t="n">
        <v>10189325</v>
      </c>
      <c r="J575" s="7">
        <f>IFERROR(VLOOKUP(I575,Materiales!$A:$H,8,0),"")</f>
        <v/>
      </c>
      <c r="K575" s="9">
        <f>IFERROR(VLOOKUP(I575,Materiales!$A:$G,7,0),"")</f>
        <v/>
      </c>
      <c r="L575" s="8" t="inlineStr">
        <is>
          <t>20190426</t>
        </is>
      </c>
      <c r="M575" s="8" t="inlineStr">
        <is>
          <t>20250127</t>
        </is>
      </c>
      <c r="N575" s="10" t="n">
        <v>160</v>
      </c>
      <c r="O575" s="10">
        <f>IFERROR(VLOOKUP(A575,Flete!$A:$J,10,0),"")</f>
        <v/>
      </c>
      <c r="P575" s="8" t="inlineStr">
        <is>
          <t>M3</t>
        </is>
      </c>
      <c r="Q575" s="10">
        <f>IFERROR(IFERROR(VLOOKUP(A575,TRAOPE!$A:$U,21,0),VLOOKUP(B575,TRAOPE!$A:$U,21,0)),"")</f>
        <v/>
      </c>
      <c r="R575" s="8">
        <f>IFERROR(IFERROR(VLOOKUP(A575,TRAOPE!$A:$W,23,0),VLOOKUP(B575,TRAOPE!$A:$W,23,0)),"")</f>
        <v/>
      </c>
      <c r="S575" s="10">
        <f>IF(AND(P575="TN",R575="TN"),N575+N(O575),IF(G575&amp;""="1",N(K575)*N575,(N575+N(O575))*N(K575)))</f>
        <v/>
      </c>
      <c r="T575" s="10">
        <f>IF(Q575="","",Q575-S575)</f>
        <v/>
      </c>
    </row>
    <row r="576">
      <c r="A576" s="7">
        <f>CONCATENATE(C576,E576,F576,I576)</f>
        <v/>
      </c>
      <c r="B576" s="7">
        <f>CONCATENATE(C576,E576,I576)</f>
        <v/>
      </c>
      <c r="C576" s="8" t="n">
        <v>900002574</v>
      </c>
      <c r="D576" s="7">
        <f>IFERROR(VLOOKUP(C576,TRAOPE!$G:$H,2,0),"")</f>
        <v/>
      </c>
      <c r="E576" s="8" t="inlineStr">
        <is>
          <t>D836</t>
        </is>
      </c>
      <c r="F576" s="8" t="inlineStr">
        <is>
          <t>66897460</t>
        </is>
      </c>
      <c r="G576" s="8">
        <f>IFERROR(VLOOKUP(A576,Flete!$A:$E,5,0),"")</f>
        <v/>
      </c>
      <c r="H576" s="7">
        <f>IFERROR(VLOOKUP(F576,TRAOPE!$AA:$AB,2,0),"")</f>
        <v/>
      </c>
      <c r="I576" s="7" t="n">
        <v>10000651</v>
      </c>
      <c r="J576" s="7">
        <f>IFERROR(VLOOKUP(I576,Materiales!$A:$H,8,0),"")</f>
        <v/>
      </c>
      <c r="K576" s="9">
        <f>IFERROR(VLOOKUP(I576,Materiales!$A:$G,7,0),"")</f>
        <v/>
      </c>
      <c r="L576" s="8" t="inlineStr">
        <is>
          <t>20190426</t>
        </is>
      </c>
      <c r="M576" s="8" t="inlineStr">
        <is>
          <t>20250127</t>
        </is>
      </c>
      <c r="N576" s="10" t="n">
        <v>116.21</v>
      </c>
      <c r="O576" s="10">
        <f>IFERROR(VLOOKUP(A576,Flete!$A:$J,10,0),"")</f>
        <v/>
      </c>
      <c r="P576" s="8" t="inlineStr">
        <is>
          <t>M3</t>
        </is>
      </c>
      <c r="Q576" s="10">
        <f>IFERROR(IFERROR(VLOOKUP(A576,TRAOPE!$A:$U,21,0),VLOOKUP(B576,TRAOPE!$A:$U,21,0)),"")</f>
        <v/>
      </c>
      <c r="R576" s="8">
        <f>IFERROR(IFERROR(VLOOKUP(A576,TRAOPE!$A:$W,23,0),VLOOKUP(B576,TRAOPE!$A:$W,23,0)),"")</f>
        <v/>
      </c>
      <c r="S576" s="10">
        <f>IF(AND(P576="TN",R576="TN"),N576+N(O576),IF(G576&amp;""="1",N(K576)*N576,(N576+N(O576))*N(K576)))</f>
        <v/>
      </c>
      <c r="T576" s="10">
        <f>IF(Q576="","",Q576-S576)</f>
        <v/>
      </c>
    </row>
    <row r="577">
      <c r="A577" s="7">
        <f>CONCATENATE(C577,E577,F577,I577)</f>
        <v/>
      </c>
      <c r="B577" s="7">
        <f>CONCATENATE(C577,E577,I577)</f>
        <v/>
      </c>
      <c r="C577" s="8" t="n">
        <v>900002574</v>
      </c>
      <c r="D577" s="7">
        <f>IFERROR(VLOOKUP(C577,TRAOPE!$G:$H,2,0),"")</f>
        <v/>
      </c>
      <c r="E577" s="8" t="inlineStr">
        <is>
          <t>D836</t>
        </is>
      </c>
      <c r="F577" s="8" t="inlineStr">
        <is>
          <t>66897460</t>
        </is>
      </c>
      <c r="G577" s="8">
        <f>IFERROR(VLOOKUP(A577,Flete!$A:$E,5,0),"")</f>
        <v/>
      </c>
      <c r="H577" s="7">
        <f>IFERROR(VLOOKUP(F577,TRAOPE!$AA:$AB,2,0),"")</f>
        <v/>
      </c>
      <c r="I577" s="7" t="n">
        <v>10154416</v>
      </c>
      <c r="J577" s="7">
        <f>IFERROR(VLOOKUP(I577,Materiales!$A:$H,8,0),"")</f>
        <v/>
      </c>
      <c r="K577" s="9">
        <f>IFERROR(VLOOKUP(I577,Materiales!$A:$G,7,0),"")</f>
        <v/>
      </c>
      <c r="L577" s="8" t="inlineStr">
        <is>
          <t>20190426</t>
        </is>
      </c>
      <c r="M577" s="8" t="inlineStr">
        <is>
          <t>20250127</t>
        </is>
      </c>
      <c r="N577" s="10" t="n">
        <v>125</v>
      </c>
      <c r="O577" s="10">
        <f>IFERROR(VLOOKUP(A577,Flete!$A:$J,10,0),"")</f>
        <v/>
      </c>
      <c r="P577" s="8" t="inlineStr">
        <is>
          <t>M3</t>
        </is>
      </c>
      <c r="Q577" s="10">
        <f>IFERROR(IFERROR(VLOOKUP(A577,TRAOPE!$A:$U,21,0),VLOOKUP(B577,TRAOPE!$A:$U,21,0)),"")</f>
        <v/>
      </c>
      <c r="R577" s="8">
        <f>IFERROR(IFERROR(VLOOKUP(A577,TRAOPE!$A:$W,23,0),VLOOKUP(B577,TRAOPE!$A:$W,23,0)),"")</f>
        <v/>
      </c>
      <c r="S577" s="10">
        <f>IF(AND(P577="TN",R577="TN"),N577+N(O577),IF(G577&amp;""="1",N(K577)*N577,(N577+N(O577))*N(K577)))</f>
        <v/>
      </c>
      <c r="T577" s="10">
        <f>IF(Q577="","",Q577-S577)</f>
        <v/>
      </c>
    </row>
    <row r="578">
      <c r="A578" s="7">
        <f>CONCATENATE(C578,E578,F578,I578)</f>
        <v/>
      </c>
      <c r="B578" s="7">
        <f>CONCATENATE(C578,E578,I578)</f>
        <v/>
      </c>
      <c r="C578" s="8" t="n">
        <v>900002574</v>
      </c>
      <c r="D578" s="7">
        <f>IFERROR(VLOOKUP(C578,TRAOPE!$G:$H,2,0),"")</f>
        <v/>
      </c>
      <c r="E578" s="8" t="inlineStr">
        <is>
          <t>D836</t>
        </is>
      </c>
      <c r="F578" s="8" t="inlineStr">
        <is>
          <t>66897460</t>
        </is>
      </c>
      <c r="G578" s="8">
        <f>IFERROR(VLOOKUP(A578,Flete!$A:$E,5,0),"")</f>
        <v/>
      </c>
      <c r="H578" s="7">
        <f>IFERROR(VLOOKUP(F578,TRAOPE!$AA:$AB,2,0),"")</f>
        <v/>
      </c>
      <c r="I578" s="7" t="n">
        <v>10183535</v>
      </c>
      <c r="J578" s="7">
        <f>IFERROR(VLOOKUP(I578,Materiales!$A:$H,8,0),"")</f>
        <v/>
      </c>
      <c r="K578" s="9">
        <f>IFERROR(VLOOKUP(I578,Materiales!$A:$G,7,0),"")</f>
        <v/>
      </c>
      <c r="L578" s="8" t="inlineStr">
        <is>
          <t>20190426</t>
        </is>
      </c>
      <c r="M578" s="8" t="inlineStr">
        <is>
          <t>20250127</t>
        </is>
      </c>
      <c r="N578" s="10" t="n">
        <v>200</v>
      </c>
      <c r="O578" s="10">
        <f>IFERROR(VLOOKUP(A578,Flete!$A:$J,10,0),"")</f>
        <v/>
      </c>
      <c r="P578" s="8" t="inlineStr">
        <is>
          <t>M3</t>
        </is>
      </c>
      <c r="Q578" s="10">
        <f>IFERROR(IFERROR(VLOOKUP(A578,TRAOPE!$A:$U,21,0),VLOOKUP(B578,TRAOPE!$A:$U,21,0)),"")</f>
        <v/>
      </c>
      <c r="R578" s="8">
        <f>IFERROR(IFERROR(VLOOKUP(A578,TRAOPE!$A:$W,23,0),VLOOKUP(B578,TRAOPE!$A:$W,23,0)),"")</f>
        <v/>
      </c>
      <c r="S578" s="10">
        <f>IF(AND(P578="TN",R578="TN"),N578+N(O578),IF(G578&amp;""="1",N(K578)*N578,(N578+N(O578))*N(K578)))</f>
        <v/>
      </c>
      <c r="T578" s="10">
        <f>IF(Q578="","",Q578-S578)</f>
        <v/>
      </c>
    </row>
    <row r="579">
      <c r="A579" s="7">
        <f>CONCATENATE(C579,E579,F579,I579)</f>
        <v/>
      </c>
      <c r="B579" s="7">
        <f>CONCATENATE(C579,E579,I579)</f>
        <v/>
      </c>
      <c r="C579" s="8" t="n">
        <v>900002574</v>
      </c>
      <c r="D579" s="7">
        <f>IFERROR(VLOOKUP(C579,TRAOPE!$G:$H,2,0),"")</f>
        <v/>
      </c>
      <c r="E579" s="8" t="inlineStr">
        <is>
          <t>D836</t>
        </is>
      </c>
      <c r="F579" s="8" t="inlineStr">
        <is>
          <t>66897867</t>
        </is>
      </c>
      <c r="G579" s="8">
        <f>IFERROR(VLOOKUP(A579,Flete!$A:$E,5,0),"")</f>
        <v/>
      </c>
      <c r="H579" s="7">
        <f>IFERROR(VLOOKUP(F579,TRAOPE!$AA:$AB,2,0),"")</f>
        <v/>
      </c>
      <c r="I579" s="7" t="n">
        <v>10000160</v>
      </c>
      <c r="J579" s="7">
        <f>IFERROR(VLOOKUP(I579,Materiales!$A:$H,8,0),"")</f>
        <v/>
      </c>
      <c r="K579" s="9">
        <f>IFERROR(VLOOKUP(I579,Materiales!$A:$G,7,0),"")</f>
        <v/>
      </c>
      <c r="L579" s="8" t="inlineStr">
        <is>
          <t>20190426</t>
        </is>
      </c>
      <c r="M579" s="8" t="inlineStr">
        <is>
          <t>20250127</t>
        </is>
      </c>
      <c r="N579" s="10" t="n">
        <v>127.08</v>
      </c>
      <c r="O579" s="10">
        <f>IFERROR(VLOOKUP(A579,Flete!$A:$J,10,0),"")</f>
        <v/>
      </c>
      <c r="P579" s="8" t="inlineStr">
        <is>
          <t>M3</t>
        </is>
      </c>
      <c r="Q579" s="10">
        <f>IFERROR(IFERROR(VLOOKUP(A579,TRAOPE!$A:$U,21,0),VLOOKUP(B579,TRAOPE!$A:$U,21,0)),"")</f>
        <v/>
      </c>
      <c r="R579" s="8">
        <f>IFERROR(IFERROR(VLOOKUP(A579,TRAOPE!$A:$W,23,0),VLOOKUP(B579,TRAOPE!$A:$W,23,0)),"")</f>
        <v/>
      </c>
      <c r="S579" s="10">
        <f>IF(AND(P579="TN",R579="TN"),N579+N(O579),IF(G579&amp;""="1",N(K579)*N579,(N579+N(O579))*N(K579)))</f>
        <v/>
      </c>
      <c r="T579" s="10">
        <f>IF(Q579="","",Q579-S579)</f>
        <v/>
      </c>
    </row>
    <row r="580">
      <c r="A580" s="7">
        <f>CONCATENATE(C580,E580,F580,I580)</f>
        <v/>
      </c>
      <c r="B580" s="7">
        <f>CONCATENATE(C580,E580,I580)</f>
        <v/>
      </c>
      <c r="C580" s="8" t="n">
        <v>900002574</v>
      </c>
      <c r="D580" s="7">
        <f>IFERROR(VLOOKUP(C580,TRAOPE!$G:$H,2,0),"")</f>
        <v/>
      </c>
      <c r="E580" s="8" t="inlineStr">
        <is>
          <t>D836</t>
        </is>
      </c>
      <c r="F580" s="8" t="inlineStr">
        <is>
          <t>66897867</t>
        </is>
      </c>
      <c r="G580" s="8">
        <f>IFERROR(VLOOKUP(A580,Flete!$A:$E,5,0),"")</f>
        <v/>
      </c>
      <c r="H580" s="7">
        <f>IFERROR(VLOOKUP(F580,TRAOPE!$AA:$AB,2,0),"")</f>
        <v/>
      </c>
      <c r="I580" s="7" t="n">
        <v>10000357</v>
      </c>
      <c r="J580" s="7">
        <f>IFERROR(VLOOKUP(I580,Materiales!$A:$H,8,0),"")</f>
        <v/>
      </c>
      <c r="K580" s="9">
        <f>IFERROR(VLOOKUP(I580,Materiales!$A:$G,7,0),"")</f>
        <v/>
      </c>
      <c r="L580" s="8" t="inlineStr">
        <is>
          <t>20190426</t>
        </is>
      </c>
      <c r="M580" s="8" t="inlineStr">
        <is>
          <t>20250127</t>
        </is>
      </c>
      <c r="N580" s="10" t="n">
        <v>147.08</v>
      </c>
      <c r="O580" s="10">
        <f>IFERROR(VLOOKUP(A580,Flete!$A:$J,10,0),"")</f>
        <v/>
      </c>
      <c r="P580" s="8" t="inlineStr">
        <is>
          <t>M3</t>
        </is>
      </c>
      <c r="Q580" s="10">
        <f>IFERROR(IFERROR(VLOOKUP(A580,TRAOPE!$A:$U,21,0),VLOOKUP(B580,TRAOPE!$A:$U,21,0)),"")</f>
        <v/>
      </c>
      <c r="R580" s="8">
        <f>IFERROR(IFERROR(VLOOKUP(A580,TRAOPE!$A:$W,23,0),VLOOKUP(B580,TRAOPE!$A:$W,23,0)),"")</f>
        <v/>
      </c>
      <c r="S580" s="10">
        <f>IF(AND(P580="TN",R580="TN"),N580+N(O580),IF(G580&amp;""="1",N(K580)*N580,(N580+N(O580))*N(K580)))</f>
        <v/>
      </c>
      <c r="T580" s="10">
        <f>IF(Q580="","",Q580-S580)</f>
        <v/>
      </c>
    </row>
    <row r="581">
      <c r="A581" s="7">
        <f>CONCATENATE(C581,E581,F581,I581)</f>
        <v/>
      </c>
      <c r="B581" s="7">
        <f>CONCATENATE(C581,E581,I581)</f>
        <v/>
      </c>
      <c r="C581" s="8" t="n">
        <v>900002574</v>
      </c>
      <c r="D581" s="7">
        <f>IFERROR(VLOOKUP(C581,TRAOPE!$G:$H,2,0),"")</f>
        <v/>
      </c>
      <c r="E581" s="8" t="inlineStr">
        <is>
          <t>D836</t>
        </is>
      </c>
      <c r="F581" s="8" t="inlineStr">
        <is>
          <t>66906558</t>
        </is>
      </c>
      <c r="G581" s="8">
        <f>IFERROR(VLOOKUP(A581,Flete!$A:$E,5,0),"")</f>
        <v/>
      </c>
      <c r="H581" s="7">
        <f>IFERROR(VLOOKUP(F581,TRAOPE!$AA:$AB,2,0),"")</f>
        <v/>
      </c>
      <c r="I581" s="7" t="n">
        <v>10000133</v>
      </c>
      <c r="J581" s="7">
        <f>IFERROR(VLOOKUP(I581,Materiales!$A:$H,8,0),"")</f>
        <v/>
      </c>
      <c r="K581" s="9">
        <f>IFERROR(VLOOKUP(I581,Materiales!$A:$G,7,0),"")</f>
        <v/>
      </c>
      <c r="L581" s="8" t="inlineStr">
        <is>
          <t>20190426</t>
        </is>
      </c>
      <c r="M581" s="8" t="inlineStr">
        <is>
          <t>20250127</t>
        </is>
      </c>
      <c r="N581" s="10" t="n">
        <v>186</v>
      </c>
      <c r="O581" s="10">
        <f>IFERROR(VLOOKUP(A581,Flete!$A:$J,10,0),"")</f>
        <v/>
      </c>
      <c r="P581" s="8" t="inlineStr">
        <is>
          <t>M3</t>
        </is>
      </c>
      <c r="Q581" s="10">
        <f>IFERROR(IFERROR(VLOOKUP(A581,TRAOPE!$A:$U,21,0),VLOOKUP(B581,TRAOPE!$A:$U,21,0)),"")</f>
        <v/>
      </c>
      <c r="R581" s="8">
        <f>IFERROR(IFERROR(VLOOKUP(A581,TRAOPE!$A:$W,23,0),VLOOKUP(B581,TRAOPE!$A:$W,23,0)),"")</f>
        <v/>
      </c>
      <c r="S581" s="10">
        <f>IF(AND(P581="TN",R581="TN"),N581+N(O581),IF(G581&amp;""="1",N(K581)*N581,(N581+N(O581))*N(K581)))</f>
        <v/>
      </c>
      <c r="T581" s="10">
        <f>IF(Q581="","",Q581-S581)</f>
        <v/>
      </c>
    </row>
    <row r="582">
      <c r="A582" s="7">
        <f>CONCATENATE(C582,E582,F582,I582)</f>
        <v/>
      </c>
      <c r="B582" s="7">
        <f>CONCATENATE(C582,E582,I582)</f>
        <v/>
      </c>
      <c r="C582" s="8" t="n">
        <v>900002574</v>
      </c>
      <c r="D582" s="7">
        <f>IFERROR(VLOOKUP(C582,TRAOPE!$G:$H,2,0),"")</f>
        <v/>
      </c>
      <c r="E582" s="8" t="inlineStr">
        <is>
          <t>D836</t>
        </is>
      </c>
      <c r="F582" s="8" t="inlineStr">
        <is>
          <t>66906558</t>
        </is>
      </c>
      <c r="G582" s="8">
        <f>IFERROR(VLOOKUP(A582,Flete!$A:$E,5,0),"")</f>
        <v/>
      </c>
      <c r="H582" s="7">
        <f>IFERROR(VLOOKUP(F582,TRAOPE!$AA:$AB,2,0),"")</f>
        <v/>
      </c>
      <c r="I582" s="7" t="n">
        <v>10000160</v>
      </c>
      <c r="J582" s="7">
        <f>IFERROR(VLOOKUP(I582,Materiales!$A:$H,8,0),"")</f>
        <v/>
      </c>
      <c r="K582" s="9">
        <f>IFERROR(VLOOKUP(I582,Materiales!$A:$G,7,0),"")</f>
        <v/>
      </c>
      <c r="L582" s="8" t="inlineStr">
        <is>
          <t>20190426</t>
        </is>
      </c>
      <c r="M582" s="8" t="inlineStr">
        <is>
          <t>20250127</t>
        </is>
      </c>
      <c r="N582" s="10" t="n">
        <v>105</v>
      </c>
      <c r="O582" s="10">
        <f>IFERROR(VLOOKUP(A582,Flete!$A:$J,10,0),"")</f>
        <v/>
      </c>
      <c r="P582" s="8" t="inlineStr">
        <is>
          <t>M3</t>
        </is>
      </c>
      <c r="Q582" s="10">
        <f>IFERROR(IFERROR(VLOOKUP(A582,TRAOPE!$A:$U,21,0),VLOOKUP(B582,TRAOPE!$A:$U,21,0)),"")</f>
        <v/>
      </c>
      <c r="R582" s="8">
        <f>IFERROR(IFERROR(VLOOKUP(A582,TRAOPE!$A:$W,23,0),VLOOKUP(B582,TRAOPE!$A:$W,23,0)),"")</f>
        <v/>
      </c>
      <c r="S582" s="10">
        <f>IF(AND(P582="TN",R582="TN"),N582+N(O582),IF(G582&amp;""="1",N(K582)*N582,(N582+N(O582))*N(K582)))</f>
        <v/>
      </c>
      <c r="T582" s="10">
        <f>IF(Q582="","",Q582-S582)</f>
        <v/>
      </c>
    </row>
    <row r="583">
      <c r="A583" s="7">
        <f>CONCATENATE(C583,E583,F583,I583)</f>
        <v/>
      </c>
      <c r="B583" s="7">
        <f>CONCATENATE(C583,E583,I583)</f>
        <v/>
      </c>
      <c r="C583" s="8" t="n">
        <v>900002574</v>
      </c>
      <c r="D583" s="7">
        <f>IFERROR(VLOOKUP(C583,TRAOPE!$G:$H,2,0),"")</f>
        <v/>
      </c>
      <c r="E583" s="8" t="inlineStr">
        <is>
          <t>D836</t>
        </is>
      </c>
      <c r="F583" s="8" t="inlineStr">
        <is>
          <t>66906558</t>
        </is>
      </c>
      <c r="G583" s="8">
        <f>IFERROR(VLOOKUP(A583,Flete!$A:$E,5,0),"")</f>
        <v/>
      </c>
      <c r="H583" s="7">
        <f>IFERROR(VLOOKUP(F583,TRAOPE!$AA:$AB,2,0),"")</f>
        <v/>
      </c>
      <c r="I583" s="7" t="n">
        <v>10000357</v>
      </c>
      <c r="J583" s="7">
        <f>IFERROR(VLOOKUP(I583,Materiales!$A:$H,8,0),"")</f>
        <v/>
      </c>
      <c r="K583" s="9">
        <f>IFERROR(VLOOKUP(I583,Materiales!$A:$G,7,0),"")</f>
        <v/>
      </c>
      <c r="L583" s="8" t="inlineStr">
        <is>
          <t>20190426</t>
        </is>
      </c>
      <c r="M583" s="8" t="inlineStr">
        <is>
          <t>20250127</t>
        </is>
      </c>
      <c r="N583" s="10" t="n">
        <v>120</v>
      </c>
      <c r="O583" s="10">
        <f>IFERROR(VLOOKUP(A583,Flete!$A:$J,10,0),"")</f>
        <v/>
      </c>
      <c r="P583" s="8" t="inlineStr">
        <is>
          <t>M3</t>
        </is>
      </c>
      <c r="Q583" s="10">
        <f>IFERROR(IFERROR(VLOOKUP(A583,TRAOPE!$A:$U,21,0),VLOOKUP(B583,TRAOPE!$A:$U,21,0)),"")</f>
        <v/>
      </c>
      <c r="R583" s="8">
        <f>IFERROR(IFERROR(VLOOKUP(A583,TRAOPE!$A:$W,23,0),VLOOKUP(B583,TRAOPE!$A:$W,23,0)),"")</f>
        <v/>
      </c>
      <c r="S583" s="10">
        <f>IF(AND(P583="TN",R583="TN"),N583+N(O583),IF(G583&amp;""="1",N(K583)*N583,(N583+N(O583))*N(K583)))</f>
        <v/>
      </c>
      <c r="T583" s="10">
        <f>IF(Q583="","",Q583-S583)</f>
        <v/>
      </c>
    </row>
    <row r="584">
      <c r="A584" s="7">
        <f>CONCATENATE(C584,E584,F584,I584)</f>
        <v/>
      </c>
      <c r="B584" s="7">
        <f>CONCATENATE(C584,E584,I584)</f>
        <v/>
      </c>
      <c r="C584" s="8" t="n">
        <v>900002574</v>
      </c>
      <c r="D584" s="7">
        <f>IFERROR(VLOOKUP(C584,TRAOPE!$G:$H,2,0),"")</f>
        <v/>
      </c>
      <c r="E584" s="8" t="inlineStr">
        <is>
          <t>D836</t>
        </is>
      </c>
      <c r="F584" s="8" t="inlineStr">
        <is>
          <t>66906558</t>
        </is>
      </c>
      <c r="G584" s="8">
        <f>IFERROR(VLOOKUP(A584,Flete!$A:$E,5,0),"")</f>
        <v/>
      </c>
      <c r="H584" s="7">
        <f>IFERROR(VLOOKUP(F584,TRAOPE!$AA:$AB,2,0),"")</f>
        <v/>
      </c>
      <c r="I584" s="7" t="n">
        <v>10000630</v>
      </c>
      <c r="J584" s="7">
        <f>IFERROR(VLOOKUP(I584,Materiales!$A:$H,8,0),"")</f>
        <v/>
      </c>
      <c r="K584" s="9">
        <f>IFERROR(VLOOKUP(I584,Materiales!$A:$G,7,0),"")</f>
        <v/>
      </c>
      <c r="L584" s="8" t="inlineStr">
        <is>
          <t>20190426</t>
        </is>
      </c>
      <c r="M584" s="8" t="inlineStr">
        <is>
          <t>20250127</t>
        </is>
      </c>
      <c r="N584" s="10" t="n">
        <v>200</v>
      </c>
      <c r="O584" s="10">
        <f>IFERROR(VLOOKUP(A584,Flete!$A:$J,10,0),"")</f>
        <v/>
      </c>
      <c r="P584" s="8" t="inlineStr">
        <is>
          <t>M3</t>
        </is>
      </c>
      <c r="Q584" s="10">
        <f>IFERROR(IFERROR(VLOOKUP(A584,TRAOPE!$A:$U,21,0),VLOOKUP(B584,TRAOPE!$A:$U,21,0)),"")</f>
        <v/>
      </c>
      <c r="R584" s="8">
        <f>IFERROR(IFERROR(VLOOKUP(A584,TRAOPE!$A:$W,23,0),VLOOKUP(B584,TRAOPE!$A:$W,23,0)),"")</f>
        <v/>
      </c>
      <c r="S584" s="10">
        <f>IF(AND(P584="TN",R584="TN"),N584+N(O584),IF(G584&amp;""="1",N(K584)*N584,(N584+N(O584))*N(K584)))</f>
        <v/>
      </c>
      <c r="T584" s="10">
        <f>IF(Q584="","",Q584-S584)</f>
        <v/>
      </c>
    </row>
    <row r="585">
      <c r="A585" s="7">
        <f>CONCATENATE(C585,E585,F585,I585)</f>
        <v/>
      </c>
      <c r="B585" s="7">
        <f>CONCATENATE(C585,E585,I585)</f>
        <v/>
      </c>
      <c r="C585" s="8" t="n">
        <v>900002574</v>
      </c>
      <c r="D585" s="7">
        <f>IFERROR(VLOOKUP(C585,TRAOPE!$G:$H,2,0),"")</f>
        <v/>
      </c>
      <c r="E585" s="8" t="inlineStr">
        <is>
          <t>D836</t>
        </is>
      </c>
      <c r="F585" s="8" t="inlineStr">
        <is>
          <t>66906558</t>
        </is>
      </c>
      <c r="G585" s="8">
        <f>IFERROR(VLOOKUP(A585,Flete!$A:$E,5,0),"")</f>
        <v/>
      </c>
      <c r="H585" s="7">
        <f>IFERROR(VLOOKUP(F585,TRAOPE!$AA:$AB,2,0),"")</f>
        <v/>
      </c>
      <c r="I585" s="7" t="n">
        <v>10058345</v>
      </c>
      <c r="J585" s="7">
        <f>IFERROR(VLOOKUP(I585,Materiales!$A:$H,8,0),"")</f>
        <v/>
      </c>
      <c r="K585" s="9">
        <f>IFERROR(VLOOKUP(I585,Materiales!$A:$G,7,0),"")</f>
        <v/>
      </c>
      <c r="L585" s="8" t="inlineStr">
        <is>
          <t>20190426</t>
        </is>
      </c>
      <c r="M585" s="8" t="inlineStr">
        <is>
          <t>20250127</t>
        </is>
      </c>
      <c r="N585" s="10" t="n">
        <v>126</v>
      </c>
      <c r="O585" s="10">
        <f>IFERROR(VLOOKUP(A585,Flete!$A:$J,10,0),"")</f>
        <v/>
      </c>
      <c r="P585" s="8" t="inlineStr">
        <is>
          <t>M3</t>
        </is>
      </c>
      <c r="Q585" s="10">
        <f>IFERROR(IFERROR(VLOOKUP(A585,TRAOPE!$A:$U,21,0),VLOOKUP(B585,TRAOPE!$A:$U,21,0)),"")</f>
        <v/>
      </c>
      <c r="R585" s="8">
        <f>IFERROR(IFERROR(VLOOKUP(A585,TRAOPE!$A:$W,23,0),VLOOKUP(B585,TRAOPE!$A:$W,23,0)),"")</f>
        <v/>
      </c>
      <c r="S585" s="10">
        <f>IF(AND(P585="TN",R585="TN"),N585+N(O585),IF(G585&amp;""="1",N(K585)*N585,(N585+N(O585))*N(K585)))</f>
        <v/>
      </c>
      <c r="T585" s="10">
        <f>IF(Q585="","",Q585-S585)</f>
        <v/>
      </c>
    </row>
    <row r="586">
      <c r="A586" s="7">
        <f>CONCATENATE(C586,E586,F586,I586)</f>
        <v/>
      </c>
      <c r="B586" s="7">
        <f>CONCATENATE(C586,E586,I586)</f>
        <v/>
      </c>
      <c r="C586" s="8" t="n">
        <v>900002574</v>
      </c>
      <c r="D586" s="7">
        <f>IFERROR(VLOOKUP(C586,TRAOPE!$G:$H,2,0),"")</f>
        <v/>
      </c>
      <c r="E586" s="8" t="inlineStr">
        <is>
          <t>D836</t>
        </is>
      </c>
      <c r="F586" s="8" t="inlineStr">
        <is>
          <t>66908082</t>
        </is>
      </c>
      <c r="G586" s="8">
        <f>IFERROR(VLOOKUP(A586,Flete!$A:$E,5,0),"")</f>
        <v/>
      </c>
      <c r="H586" s="7">
        <f>IFERROR(VLOOKUP(F586,TRAOPE!$AA:$AB,2,0),"")</f>
        <v/>
      </c>
      <c r="I586" s="7" t="n">
        <v>10000160</v>
      </c>
      <c r="J586" s="7">
        <f>IFERROR(VLOOKUP(I586,Materiales!$A:$H,8,0),"")</f>
        <v/>
      </c>
      <c r="K586" s="9">
        <f>IFERROR(VLOOKUP(I586,Materiales!$A:$G,7,0),"")</f>
        <v/>
      </c>
      <c r="L586" s="8" t="inlineStr">
        <is>
          <t>20190426</t>
        </is>
      </c>
      <c r="M586" s="8" t="inlineStr">
        <is>
          <t>20250127</t>
        </is>
      </c>
      <c r="N586" s="10" t="n">
        <v>115</v>
      </c>
      <c r="O586" s="10">
        <f>IFERROR(VLOOKUP(A586,Flete!$A:$J,10,0),"")</f>
        <v/>
      </c>
      <c r="P586" s="8" t="inlineStr">
        <is>
          <t>M3</t>
        </is>
      </c>
      <c r="Q586" s="10">
        <f>IFERROR(IFERROR(VLOOKUP(A586,TRAOPE!$A:$U,21,0),VLOOKUP(B586,TRAOPE!$A:$U,21,0)),"")</f>
        <v/>
      </c>
      <c r="R586" s="8">
        <f>IFERROR(IFERROR(VLOOKUP(A586,TRAOPE!$A:$W,23,0),VLOOKUP(B586,TRAOPE!$A:$W,23,0)),"")</f>
        <v/>
      </c>
      <c r="S586" s="10">
        <f>IF(AND(P586="TN",R586="TN"),N586+N(O586),IF(G586&amp;""="1",N(K586)*N586,(N586+N(O586))*N(K586)))</f>
        <v/>
      </c>
      <c r="T586" s="10">
        <f>IF(Q586="","",Q586-S586)</f>
        <v/>
      </c>
    </row>
    <row r="587">
      <c r="A587" s="7">
        <f>CONCATENATE(C587,E587,F587,I587)</f>
        <v/>
      </c>
      <c r="B587" s="7">
        <f>CONCATENATE(C587,E587,I587)</f>
        <v/>
      </c>
      <c r="C587" s="8" t="n">
        <v>900002574</v>
      </c>
      <c r="D587" s="7">
        <f>IFERROR(VLOOKUP(C587,TRAOPE!$G:$H,2,0),"")</f>
        <v/>
      </c>
      <c r="E587" s="8" t="inlineStr">
        <is>
          <t>D836</t>
        </is>
      </c>
      <c r="F587" s="8" t="inlineStr">
        <is>
          <t>66908082</t>
        </is>
      </c>
      <c r="G587" s="8">
        <f>IFERROR(VLOOKUP(A587,Flete!$A:$E,5,0),"")</f>
        <v/>
      </c>
      <c r="H587" s="7">
        <f>IFERROR(VLOOKUP(F587,TRAOPE!$AA:$AB,2,0),"")</f>
        <v/>
      </c>
      <c r="I587" s="7" t="n">
        <v>10000357</v>
      </c>
      <c r="J587" s="7">
        <f>IFERROR(VLOOKUP(I587,Materiales!$A:$H,8,0),"")</f>
        <v/>
      </c>
      <c r="K587" s="9">
        <f>IFERROR(VLOOKUP(I587,Materiales!$A:$G,7,0),"")</f>
        <v/>
      </c>
      <c r="L587" s="8" t="inlineStr">
        <is>
          <t>20190426</t>
        </is>
      </c>
      <c r="M587" s="8" t="inlineStr">
        <is>
          <t>20250127</t>
        </is>
      </c>
      <c r="N587" s="10" t="n">
        <v>125</v>
      </c>
      <c r="O587" s="10">
        <f>IFERROR(VLOOKUP(A587,Flete!$A:$J,10,0),"")</f>
        <v/>
      </c>
      <c r="P587" s="8" t="inlineStr">
        <is>
          <t>M3</t>
        </is>
      </c>
      <c r="Q587" s="10">
        <f>IFERROR(IFERROR(VLOOKUP(A587,TRAOPE!$A:$U,21,0),VLOOKUP(B587,TRAOPE!$A:$U,21,0)),"")</f>
        <v/>
      </c>
      <c r="R587" s="8">
        <f>IFERROR(IFERROR(VLOOKUP(A587,TRAOPE!$A:$W,23,0),VLOOKUP(B587,TRAOPE!$A:$W,23,0)),"")</f>
        <v/>
      </c>
      <c r="S587" s="10">
        <f>IF(AND(P587="TN",R587="TN"),N587+N(O587),IF(G587&amp;""="1",N(K587)*N587,(N587+N(O587))*N(K587)))</f>
        <v/>
      </c>
      <c r="T587" s="10">
        <f>IF(Q587="","",Q587-S587)</f>
        <v/>
      </c>
    </row>
    <row r="588">
      <c r="A588" s="7">
        <f>CONCATENATE(C588,E588,F588,I588)</f>
        <v/>
      </c>
      <c r="B588" s="7">
        <f>CONCATENATE(C588,E588,I588)</f>
        <v/>
      </c>
      <c r="C588" s="8" t="n">
        <v>900002574</v>
      </c>
      <c r="D588" s="7">
        <f>IFERROR(VLOOKUP(C588,TRAOPE!$G:$H,2,0),"")</f>
        <v/>
      </c>
      <c r="E588" s="8" t="inlineStr">
        <is>
          <t>D836</t>
        </is>
      </c>
      <c r="F588" s="8" t="inlineStr">
        <is>
          <t>66912090</t>
        </is>
      </c>
      <c r="G588" s="8">
        <f>IFERROR(VLOOKUP(A588,Flete!$A:$E,5,0),"")</f>
        <v/>
      </c>
      <c r="H588" s="7">
        <f>IFERROR(VLOOKUP(F588,TRAOPE!$AA:$AB,2,0),"")</f>
        <v/>
      </c>
      <c r="I588" s="7" t="n">
        <v>10000160</v>
      </c>
      <c r="J588" s="7">
        <f>IFERROR(VLOOKUP(I588,Materiales!$A:$H,8,0),"")</f>
        <v/>
      </c>
      <c r="K588" s="9">
        <f>IFERROR(VLOOKUP(I588,Materiales!$A:$G,7,0),"")</f>
        <v/>
      </c>
      <c r="L588" s="8" t="inlineStr">
        <is>
          <t>20190426</t>
        </is>
      </c>
      <c r="M588" s="8" t="inlineStr">
        <is>
          <t>20250127</t>
        </is>
      </c>
      <c r="N588" s="10" t="n">
        <v>110</v>
      </c>
      <c r="O588" s="10">
        <f>IFERROR(VLOOKUP(A588,Flete!$A:$J,10,0),"")</f>
        <v/>
      </c>
      <c r="P588" s="8" t="inlineStr">
        <is>
          <t>M3</t>
        </is>
      </c>
      <c r="Q588" s="10">
        <f>IFERROR(IFERROR(VLOOKUP(A588,TRAOPE!$A:$U,21,0),VLOOKUP(B588,TRAOPE!$A:$U,21,0)),"")</f>
        <v/>
      </c>
      <c r="R588" s="8">
        <f>IFERROR(IFERROR(VLOOKUP(A588,TRAOPE!$A:$W,23,0),VLOOKUP(B588,TRAOPE!$A:$W,23,0)),"")</f>
        <v/>
      </c>
      <c r="S588" s="10">
        <f>IF(AND(P588="TN",R588="TN"),N588+N(O588),IF(G588&amp;""="1",N(K588)*N588,(N588+N(O588))*N(K588)))</f>
        <v/>
      </c>
      <c r="T588" s="10">
        <f>IF(Q588="","",Q588-S588)</f>
        <v/>
      </c>
    </row>
    <row r="589">
      <c r="A589" s="7">
        <f>CONCATENATE(C589,E589,F589,I589)</f>
        <v/>
      </c>
      <c r="B589" s="7">
        <f>CONCATENATE(C589,E589,I589)</f>
        <v/>
      </c>
      <c r="C589" s="8" t="n">
        <v>900002574</v>
      </c>
      <c r="D589" s="7">
        <f>IFERROR(VLOOKUP(C589,TRAOPE!$G:$H,2,0),"")</f>
        <v/>
      </c>
      <c r="E589" s="8" t="inlineStr">
        <is>
          <t>D836</t>
        </is>
      </c>
      <c r="F589" s="8" t="inlineStr">
        <is>
          <t>66912090</t>
        </is>
      </c>
      <c r="G589" s="8">
        <f>IFERROR(VLOOKUP(A589,Flete!$A:$E,5,0),"")</f>
        <v/>
      </c>
      <c r="H589" s="7">
        <f>IFERROR(VLOOKUP(F589,TRAOPE!$AA:$AB,2,0),"")</f>
        <v/>
      </c>
      <c r="I589" s="7" t="n">
        <v>10000206</v>
      </c>
      <c r="J589" s="7">
        <f>IFERROR(VLOOKUP(I589,Materiales!$A:$H,8,0),"")</f>
        <v/>
      </c>
      <c r="K589" s="9">
        <f>IFERROR(VLOOKUP(I589,Materiales!$A:$G,7,0),"")</f>
        <v/>
      </c>
      <c r="L589" s="8" t="inlineStr">
        <is>
          <t>20190426</t>
        </is>
      </c>
      <c r="M589" s="8" t="inlineStr">
        <is>
          <t>20250127</t>
        </is>
      </c>
      <c r="N589" s="10" t="n">
        <v>40</v>
      </c>
      <c r="O589" s="10">
        <f>IFERROR(VLOOKUP(A589,Flete!$A:$J,10,0),"")</f>
        <v/>
      </c>
      <c r="P589" s="8" t="inlineStr">
        <is>
          <t>M3</t>
        </is>
      </c>
      <c r="Q589" s="10">
        <f>IFERROR(IFERROR(VLOOKUP(A589,TRAOPE!$A:$U,21,0),VLOOKUP(B589,TRAOPE!$A:$U,21,0)),"")</f>
        <v/>
      </c>
      <c r="R589" s="8">
        <f>IFERROR(IFERROR(VLOOKUP(A589,TRAOPE!$A:$W,23,0),VLOOKUP(B589,TRAOPE!$A:$W,23,0)),"")</f>
        <v/>
      </c>
      <c r="S589" s="10">
        <f>IF(AND(P589="TN",R589="TN"),N589+N(O589),IF(G589&amp;""="1",N(K589)*N589,(N589+N(O589))*N(K589)))</f>
        <v/>
      </c>
      <c r="T589" s="10">
        <f>IF(Q589="","",Q589-S589)</f>
        <v/>
      </c>
    </row>
    <row r="590">
      <c r="A590" s="7">
        <f>CONCATENATE(C590,E590,F590,I590)</f>
        <v/>
      </c>
      <c r="B590" s="7">
        <f>CONCATENATE(C590,E590,I590)</f>
        <v/>
      </c>
      <c r="C590" s="8" t="n">
        <v>900002574</v>
      </c>
      <c r="D590" s="7">
        <f>IFERROR(VLOOKUP(C590,TRAOPE!$G:$H,2,0),"")</f>
        <v/>
      </c>
      <c r="E590" s="8" t="inlineStr">
        <is>
          <t>D836</t>
        </is>
      </c>
      <c r="F590" s="8" t="inlineStr">
        <is>
          <t>66912090</t>
        </is>
      </c>
      <c r="G590" s="8">
        <f>IFERROR(VLOOKUP(A590,Flete!$A:$E,5,0),"")</f>
        <v/>
      </c>
      <c r="H590" s="7">
        <f>IFERROR(VLOOKUP(F590,TRAOPE!$AA:$AB,2,0),"")</f>
        <v/>
      </c>
      <c r="I590" s="7" t="n">
        <v>10000357</v>
      </c>
      <c r="J590" s="7">
        <f>IFERROR(VLOOKUP(I590,Materiales!$A:$H,8,0),"")</f>
        <v/>
      </c>
      <c r="K590" s="9">
        <f>IFERROR(VLOOKUP(I590,Materiales!$A:$G,7,0),"")</f>
        <v/>
      </c>
      <c r="L590" s="8" t="inlineStr">
        <is>
          <t>20190426</t>
        </is>
      </c>
      <c r="M590" s="8" t="inlineStr">
        <is>
          <t>20250127</t>
        </is>
      </c>
      <c r="N590" s="10" t="n">
        <v>120</v>
      </c>
      <c r="O590" s="10">
        <f>IFERROR(VLOOKUP(A590,Flete!$A:$J,10,0),"")</f>
        <v/>
      </c>
      <c r="P590" s="8" t="inlineStr">
        <is>
          <t>M3</t>
        </is>
      </c>
      <c r="Q590" s="10">
        <f>IFERROR(IFERROR(VLOOKUP(A590,TRAOPE!$A:$U,21,0),VLOOKUP(B590,TRAOPE!$A:$U,21,0)),"")</f>
        <v/>
      </c>
      <c r="R590" s="8">
        <f>IFERROR(IFERROR(VLOOKUP(A590,TRAOPE!$A:$W,23,0),VLOOKUP(B590,TRAOPE!$A:$W,23,0)),"")</f>
        <v/>
      </c>
      <c r="S590" s="10">
        <f>IF(AND(P590="TN",R590="TN"),N590+N(O590),IF(G590&amp;""="1",N(K590)*N590,(N590+N(O590))*N(K590)))</f>
        <v/>
      </c>
      <c r="T590" s="10">
        <f>IF(Q590="","",Q590-S590)</f>
        <v/>
      </c>
    </row>
    <row r="591">
      <c r="A591" s="7">
        <f>CONCATENATE(C591,E591,F591,I591)</f>
        <v/>
      </c>
      <c r="B591" s="7">
        <f>CONCATENATE(C591,E591,I591)</f>
        <v/>
      </c>
      <c r="C591" s="8" t="n">
        <v>900002574</v>
      </c>
      <c r="D591" s="7">
        <f>IFERROR(VLOOKUP(C591,TRAOPE!$G:$H,2,0),"")</f>
        <v/>
      </c>
      <c r="E591" s="8" t="inlineStr">
        <is>
          <t>D836</t>
        </is>
      </c>
      <c r="F591" s="8" t="inlineStr">
        <is>
          <t>66916190</t>
        </is>
      </c>
      <c r="G591" s="8">
        <f>IFERROR(VLOOKUP(A591,Flete!$A:$E,5,0),"")</f>
        <v/>
      </c>
      <c r="H591" s="7">
        <f>IFERROR(VLOOKUP(F591,TRAOPE!$AA:$AB,2,0),"")</f>
        <v/>
      </c>
      <c r="I591" s="7" t="n">
        <v>10000160</v>
      </c>
      <c r="J591" s="7">
        <f>IFERROR(VLOOKUP(I591,Materiales!$A:$H,8,0),"")</f>
        <v/>
      </c>
      <c r="K591" s="9">
        <f>IFERROR(VLOOKUP(I591,Materiales!$A:$G,7,0),"")</f>
        <v/>
      </c>
      <c r="L591" s="8" t="inlineStr">
        <is>
          <t>20190426</t>
        </is>
      </c>
      <c r="M591" s="8" t="inlineStr">
        <is>
          <t>20250127</t>
        </is>
      </c>
      <c r="N591" s="10" t="n">
        <v>106</v>
      </c>
      <c r="O591" s="10">
        <f>IFERROR(VLOOKUP(A591,Flete!$A:$J,10,0),"")</f>
        <v/>
      </c>
      <c r="P591" s="8" t="inlineStr">
        <is>
          <t>M3</t>
        </is>
      </c>
      <c r="Q591" s="10">
        <f>IFERROR(IFERROR(VLOOKUP(A591,TRAOPE!$A:$U,21,0),VLOOKUP(B591,TRAOPE!$A:$U,21,0)),"")</f>
        <v/>
      </c>
      <c r="R591" s="8">
        <f>IFERROR(IFERROR(VLOOKUP(A591,TRAOPE!$A:$W,23,0),VLOOKUP(B591,TRAOPE!$A:$W,23,0)),"")</f>
        <v/>
      </c>
      <c r="S591" s="10">
        <f>IF(AND(P591="TN",R591="TN"),N591+N(O591),IF(G591&amp;""="1",N(K591)*N591,(N591+N(O591))*N(K591)))</f>
        <v/>
      </c>
      <c r="T591" s="10">
        <f>IF(Q591="","",Q591-S591)</f>
        <v/>
      </c>
    </row>
    <row r="592">
      <c r="A592" s="7">
        <f>CONCATENATE(C592,E592,F592,I592)</f>
        <v/>
      </c>
      <c r="B592" s="7">
        <f>CONCATENATE(C592,E592,I592)</f>
        <v/>
      </c>
      <c r="C592" s="8" t="n">
        <v>900002574</v>
      </c>
      <c r="D592" s="7">
        <f>IFERROR(VLOOKUP(C592,TRAOPE!$G:$H,2,0),"")</f>
        <v/>
      </c>
      <c r="E592" s="8" t="inlineStr">
        <is>
          <t>D836</t>
        </is>
      </c>
      <c r="F592" s="8" t="inlineStr">
        <is>
          <t>66916190</t>
        </is>
      </c>
      <c r="G592" s="8">
        <f>IFERROR(VLOOKUP(A592,Flete!$A:$E,5,0),"")</f>
        <v/>
      </c>
      <c r="H592" s="7">
        <f>IFERROR(VLOOKUP(F592,TRAOPE!$AA:$AB,2,0),"")</f>
        <v/>
      </c>
      <c r="I592" s="7" t="n">
        <v>10000206</v>
      </c>
      <c r="J592" s="7">
        <f>IFERROR(VLOOKUP(I592,Materiales!$A:$H,8,0),"")</f>
        <v/>
      </c>
      <c r="K592" s="9">
        <f>IFERROR(VLOOKUP(I592,Materiales!$A:$G,7,0),"")</f>
        <v/>
      </c>
      <c r="L592" s="8" t="inlineStr">
        <is>
          <t>20190426</t>
        </is>
      </c>
      <c r="M592" s="8" t="inlineStr">
        <is>
          <t>20250127</t>
        </is>
      </c>
      <c r="N592" s="10" t="n">
        <v>61</v>
      </c>
      <c r="O592" s="10">
        <f>IFERROR(VLOOKUP(A592,Flete!$A:$J,10,0),"")</f>
        <v/>
      </c>
      <c r="P592" s="8" t="inlineStr">
        <is>
          <t>M3</t>
        </is>
      </c>
      <c r="Q592" s="10">
        <f>IFERROR(IFERROR(VLOOKUP(A592,TRAOPE!$A:$U,21,0),VLOOKUP(B592,TRAOPE!$A:$U,21,0)),"")</f>
        <v/>
      </c>
      <c r="R592" s="8">
        <f>IFERROR(IFERROR(VLOOKUP(A592,TRAOPE!$A:$W,23,0),VLOOKUP(B592,TRAOPE!$A:$W,23,0)),"")</f>
        <v/>
      </c>
      <c r="S592" s="10">
        <f>IF(AND(P592="TN",R592="TN"),N592+N(O592),IF(G592&amp;""="1",N(K592)*N592,(N592+N(O592))*N(K592)))</f>
        <v/>
      </c>
      <c r="T592" s="10">
        <f>IF(Q592="","",Q592-S592)</f>
        <v/>
      </c>
    </row>
    <row r="593">
      <c r="A593" s="7">
        <f>CONCATENATE(C593,E593,F593,I593)</f>
        <v/>
      </c>
      <c r="B593" s="7">
        <f>CONCATENATE(C593,E593,I593)</f>
        <v/>
      </c>
      <c r="C593" s="8" t="n">
        <v>900002574</v>
      </c>
      <c r="D593" s="7">
        <f>IFERROR(VLOOKUP(C593,TRAOPE!$G:$H,2,0),"")</f>
        <v/>
      </c>
      <c r="E593" s="8" t="inlineStr">
        <is>
          <t>D836</t>
        </is>
      </c>
      <c r="F593" s="8" t="inlineStr">
        <is>
          <t>66916190</t>
        </is>
      </c>
      <c r="G593" s="8">
        <f>IFERROR(VLOOKUP(A593,Flete!$A:$E,5,0),"")</f>
        <v/>
      </c>
      <c r="H593" s="7">
        <f>IFERROR(VLOOKUP(F593,TRAOPE!$AA:$AB,2,0),"")</f>
        <v/>
      </c>
      <c r="I593" s="7" t="n">
        <v>10000357</v>
      </c>
      <c r="J593" s="7">
        <f>IFERROR(VLOOKUP(I593,Materiales!$A:$H,8,0),"")</f>
        <v/>
      </c>
      <c r="K593" s="9">
        <f>IFERROR(VLOOKUP(I593,Materiales!$A:$G,7,0),"")</f>
        <v/>
      </c>
      <c r="L593" s="8" t="inlineStr">
        <is>
          <t>20190426</t>
        </is>
      </c>
      <c r="M593" s="8" t="inlineStr">
        <is>
          <t>20250127</t>
        </is>
      </c>
      <c r="N593" s="10" t="n">
        <v>121</v>
      </c>
      <c r="O593" s="10">
        <f>IFERROR(VLOOKUP(A593,Flete!$A:$J,10,0),"")</f>
        <v/>
      </c>
      <c r="P593" s="8" t="inlineStr">
        <is>
          <t>M3</t>
        </is>
      </c>
      <c r="Q593" s="10">
        <f>IFERROR(IFERROR(VLOOKUP(A593,TRAOPE!$A:$U,21,0),VLOOKUP(B593,TRAOPE!$A:$U,21,0)),"")</f>
        <v/>
      </c>
      <c r="R593" s="8">
        <f>IFERROR(IFERROR(VLOOKUP(A593,TRAOPE!$A:$W,23,0),VLOOKUP(B593,TRAOPE!$A:$W,23,0)),"")</f>
        <v/>
      </c>
      <c r="S593" s="10">
        <f>IF(AND(P593="TN",R593="TN"),N593+N(O593),IF(G593&amp;""="1",N(K593)*N593,(N593+N(O593))*N(K593)))</f>
        <v/>
      </c>
      <c r="T593" s="10">
        <f>IF(Q593="","",Q593-S593)</f>
        <v/>
      </c>
    </row>
    <row r="594">
      <c r="A594" s="7">
        <f>CONCATENATE(C594,E594,F594,I594)</f>
        <v/>
      </c>
      <c r="B594" s="7">
        <f>CONCATENATE(C594,E594,I594)</f>
        <v/>
      </c>
      <c r="C594" s="8" t="n">
        <v>900002574</v>
      </c>
      <c r="D594" s="7">
        <f>IFERROR(VLOOKUP(C594,TRAOPE!$G:$H,2,0),"")</f>
        <v/>
      </c>
      <c r="E594" s="8" t="inlineStr">
        <is>
          <t>D836</t>
        </is>
      </c>
      <c r="F594" s="8" t="inlineStr">
        <is>
          <t>66916279</t>
        </is>
      </c>
      <c r="G594" s="8">
        <f>IFERROR(VLOOKUP(A594,Flete!$A:$E,5,0),"")</f>
        <v/>
      </c>
      <c r="H594" s="7">
        <f>IFERROR(VLOOKUP(F594,TRAOPE!$AA:$AB,2,0),"")</f>
        <v/>
      </c>
      <c r="I594" s="7" t="n">
        <v>10000133</v>
      </c>
      <c r="J594" s="7">
        <f>IFERROR(VLOOKUP(I594,Materiales!$A:$H,8,0),"")</f>
        <v/>
      </c>
      <c r="K594" s="9">
        <f>IFERROR(VLOOKUP(I594,Materiales!$A:$G,7,0),"")</f>
        <v/>
      </c>
      <c r="L594" s="8" t="inlineStr">
        <is>
          <t>20190426</t>
        </is>
      </c>
      <c r="M594" s="8" t="inlineStr">
        <is>
          <t>20250127</t>
        </is>
      </c>
      <c r="N594" s="10" t="n">
        <v>169.31</v>
      </c>
      <c r="O594" s="10">
        <f>IFERROR(VLOOKUP(A594,Flete!$A:$J,10,0),"")</f>
        <v/>
      </c>
      <c r="P594" s="8" t="inlineStr">
        <is>
          <t>M3</t>
        </is>
      </c>
      <c r="Q594" s="10">
        <f>IFERROR(IFERROR(VLOOKUP(A594,TRAOPE!$A:$U,21,0),VLOOKUP(B594,TRAOPE!$A:$U,21,0)),"")</f>
        <v/>
      </c>
      <c r="R594" s="8">
        <f>IFERROR(IFERROR(VLOOKUP(A594,TRAOPE!$A:$W,23,0),VLOOKUP(B594,TRAOPE!$A:$W,23,0)),"")</f>
        <v/>
      </c>
      <c r="S594" s="10">
        <f>IF(AND(P594="TN",R594="TN"),N594+N(O594),IF(G594&amp;""="1",N(K594)*N594,(N594+N(O594))*N(K594)))</f>
        <v/>
      </c>
      <c r="T594" s="10">
        <f>IF(Q594="","",Q594-S594)</f>
        <v/>
      </c>
    </row>
    <row r="595">
      <c r="A595" s="7">
        <f>CONCATENATE(C595,E595,F595,I595)</f>
        <v/>
      </c>
      <c r="B595" s="7">
        <f>CONCATENATE(C595,E595,I595)</f>
        <v/>
      </c>
      <c r="C595" s="8" t="n">
        <v>900002574</v>
      </c>
      <c r="D595" s="7">
        <f>IFERROR(VLOOKUP(C595,TRAOPE!$G:$H,2,0),"")</f>
        <v/>
      </c>
      <c r="E595" s="8" t="inlineStr">
        <is>
          <t>D836</t>
        </is>
      </c>
      <c r="F595" s="8" t="inlineStr">
        <is>
          <t>66916279</t>
        </is>
      </c>
      <c r="G595" s="8">
        <f>IFERROR(VLOOKUP(A595,Flete!$A:$E,5,0),"")</f>
        <v/>
      </c>
      <c r="H595" s="7">
        <f>IFERROR(VLOOKUP(F595,TRAOPE!$AA:$AB,2,0),"")</f>
        <v/>
      </c>
      <c r="I595" s="7" t="n">
        <v>10000160</v>
      </c>
      <c r="J595" s="7">
        <f>IFERROR(VLOOKUP(I595,Materiales!$A:$H,8,0),"")</f>
        <v/>
      </c>
      <c r="K595" s="9">
        <f>IFERROR(VLOOKUP(I595,Materiales!$A:$G,7,0),"")</f>
        <v/>
      </c>
      <c r="L595" s="8" t="inlineStr">
        <is>
          <t>20190426</t>
        </is>
      </c>
      <c r="M595" s="8" t="inlineStr">
        <is>
          <t>20250127</t>
        </is>
      </c>
      <c r="N595" s="10" t="n">
        <v>112.76</v>
      </c>
      <c r="O595" s="10">
        <f>IFERROR(VLOOKUP(A595,Flete!$A:$J,10,0),"")</f>
        <v/>
      </c>
      <c r="P595" s="8" t="inlineStr">
        <is>
          <t>M3</t>
        </is>
      </c>
      <c r="Q595" s="10">
        <f>IFERROR(IFERROR(VLOOKUP(A595,TRAOPE!$A:$U,21,0),VLOOKUP(B595,TRAOPE!$A:$U,21,0)),"")</f>
        <v/>
      </c>
      <c r="R595" s="8">
        <f>IFERROR(IFERROR(VLOOKUP(A595,TRAOPE!$A:$W,23,0),VLOOKUP(B595,TRAOPE!$A:$W,23,0)),"")</f>
        <v/>
      </c>
      <c r="S595" s="10">
        <f>IF(AND(P595="TN",R595="TN"),N595+N(O595),IF(G595&amp;""="1",N(K595)*N595,(N595+N(O595))*N(K595)))</f>
        <v/>
      </c>
      <c r="T595" s="10">
        <f>IF(Q595="","",Q595-S595)</f>
        <v/>
      </c>
    </row>
    <row r="596">
      <c r="A596" s="7">
        <f>CONCATENATE(C596,E596,F596,I596)</f>
        <v/>
      </c>
      <c r="B596" s="7">
        <f>CONCATENATE(C596,E596,I596)</f>
        <v/>
      </c>
      <c r="C596" s="8" t="n">
        <v>900002574</v>
      </c>
      <c r="D596" s="7">
        <f>IFERROR(VLOOKUP(C596,TRAOPE!$G:$H,2,0),"")</f>
        <v/>
      </c>
      <c r="E596" s="8" t="inlineStr">
        <is>
          <t>D836</t>
        </is>
      </c>
      <c r="F596" s="8" t="inlineStr">
        <is>
          <t>66916279</t>
        </is>
      </c>
      <c r="G596" s="8">
        <f>IFERROR(VLOOKUP(A596,Flete!$A:$E,5,0),"")</f>
        <v/>
      </c>
      <c r="H596" s="7">
        <f>IFERROR(VLOOKUP(F596,TRAOPE!$AA:$AB,2,0),"")</f>
        <v/>
      </c>
      <c r="I596" s="7" t="n">
        <v>10000284</v>
      </c>
      <c r="J596" s="7">
        <f>IFERROR(VLOOKUP(I596,Materiales!$A:$H,8,0),"")</f>
        <v/>
      </c>
      <c r="K596" s="9">
        <f>IFERROR(VLOOKUP(I596,Materiales!$A:$G,7,0),"")</f>
        <v/>
      </c>
      <c r="L596" s="8" t="inlineStr">
        <is>
          <t>20190426</t>
        </is>
      </c>
      <c r="M596" s="8" t="inlineStr">
        <is>
          <t>20250127</t>
        </is>
      </c>
      <c r="N596" s="10" t="n">
        <v>180</v>
      </c>
      <c r="O596" s="10">
        <f>IFERROR(VLOOKUP(A596,Flete!$A:$J,10,0),"")</f>
        <v/>
      </c>
      <c r="P596" s="8" t="inlineStr">
        <is>
          <t>M3</t>
        </is>
      </c>
      <c r="Q596" s="10">
        <f>IFERROR(IFERROR(VLOOKUP(A596,TRAOPE!$A:$U,21,0),VLOOKUP(B596,TRAOPE!$A:$U,21,0)),"")</f>
        <v/>
      </c>
      <c r="R596" s="8">
        <f>IFERROR(IFERROR(VLOOKUP(A596,TRAOPE!$A:$W,23,0),VLOOKUP(B596,TRAOPE!$A:$W,23,0)),"")</f>
        <v/>
      </c>
      <c r="S596" s="10">
        <f>IF(AND(P596="TN",R596="TN"),N596+N(O596),IF(G596&amp;""="1",N(K596)*N596,(N596+N(O596))*N(K596)))</f>
        <v/>
      </c>
      <c r="T596" s="10">
        <f>IF(Q596="","",Q596-S596)</f>
        <v/>
      </c>
    </row>
    <row r="597">
      <c r="A597" s="7">
        <f>CONCATENATE(C597,E597,F597,I597)</f>
        <v/>
      </c>
      <c r="B597" s="7">
        <f>CONCATENATE(C597,E597,I597)</f>
        <v/>
      </c>
      <c r="C597" s="8" t="n">
        <v>900002574</v>
      </c>
      <c r="D597" s="7">
        <f>IFERROR(VLOOKUP(C597,TRAOPE!$G:$H,2,0),"")</f>
        <v/>
      </c>
      <c r="E597" s="8" t="inlineStr">
        <is>
          <t>D836</t>
        </is>
      </c>
      <c r="F597" s="8" t="inlineStr">
        <is>
          <t>66916279</t>
        </is>
      </c>
      <c r="G597" s="8">
        <f>IFERROR(VLOOKUP(A597,Flete!$A:$E,5,0),"")</f>
        <v/>
      </c>
      <c r="H597" s="7">
        <f>IFERROR(VLOOKUP(F597,TRAOPE!$AA:$AB,2,0),"")</f>
        <v/>
      </c>
      <c r="I597" s="7" t="n">
        <v>10000357</v>
      </c>
      <c r="J597" s="7">
        <f>IFERROR(VLOOKUP(I597,Materiales!$A:$H,8,0),"")</f>
        <v/>
      </c>
      <c r="K597" s="9">
        <f>IFERROR(VLOOKUP(I597,Materiales!$A:$G,7,0),"")</f>
        <v/>
      </c>
      <c r="L597" s="8" t="inlineStr">
        <is>
          <t>20190426</t>
        </is>
      </c>
      <c r="M597" s="8" t="inlineStr">
        <is>
          <t>20250127</t>
        </is>
      </c>
      <c r="N597" s="10" t="n">
        <v>132.76</v>
      </c>
      <c r="O597" s="10">
        <f>IFERROR(VLOOKUP(A597,Flete!$A:$J,10,0),"")</f>
        <v/>
      </c>
      <c r="P597" s="8" t="inlineStr">
        <is>
          <t>M3</t>
        </is>
      </c>
      <c r="Q597" s="10">
        <f>IFERROR(IFERROR(VLOOKUP(A597,TRAOPE!$A:$U,21,0),VLOOKUP(B597,TRAOPE!$A:$U,21,0)),"")</f>
        <v/>
      </c>
      <c r="R597" s="8">
        <f>IFERROR(IFERROR(VLOOKUP(A597,TRAOPE!$A:$W,23,0),VLOOKUP(B597,TRAOPE!$A:$W,23,0)),"")</f>
        <v/>
      </c>
      <c r="S597" s="10">
        <f>IF(AND(P597="TN",R597="TN"),N597+N(O597),IF(G597&amp;""="1",N(K597)*N597,(N597+N(O597))*N(K597)))</f>
        <v/>
      </c>
      <c r="T597" s="10">
        <f>IF(Q597="","",Q597-S597)</f>
        <v/>
      </c>
    </row>
    <row r="598">
      <c r="A598" s="7">
        <f>CONCATENATE(C598,E598,F598,I598)</f>
        <v/>
      </c>
      <c r="B598" s="7">
        <f>CONCATENATE(C598,E598,I598)</f>
        <v/>
      </c>
      <c r="C598" s="8" t="n">
        <v>900002574</v>
      </c>
      <c r="D598" s="7">
        <f>IFERROR(VLOOKUP(C598,TRAOPE!$G:$H,2,0),"")</f>
        <v/>
      </c>
      <c r="E598" s="8" t="inlineStr">
        <is>
          <t>D836</t>
        </is>
      </c>
      <c r="F598" s="8" t="inlineStr">
        <is>
          <t>66916279</t>
        </is>
      </c>
      <c r="G598" s="8">
        <f>IFERROR(VLOOKUP(A598,Flete!$A:$E,5,0),"")</f>
        <v/>
      </c>
      <c r="H598" s="7">
        <f>IFERROR(VLOOKUP(F598,TRAOPE!$AA:$AB,2,0),"")</f>
        <v/>
      </c>
      <c r="I598" s="7" t="n">
        <v>10058345</v>
      </c>
      <c r="J598" s="7">
        <f>IFERROR(VLOOKUP(I598,Materiales!$A:$H,8,0),"")</f>
        <v/>
      </c>
      <c r="K598" s="9">
        <f>IFERROR(VLOOKUP(I598,Materiales!$A:$G,7,0),"")</f>
        <v/>
      </c>
      <c r="L598" s="8" t="inlineStr">
        <is>
          <t>20190426</t>
        </is>
      </c>
      <c r="M598" s="8" t="inlineStr">
        <is>
          <t>20250127</t>
        </is>
      </c>
      <c r="N598" s="10" t="n">
        <v>129.31</v>
      </c>
      <c r="O598" s="10">
        <f>IFERROR(VLOOKUP(A598,Flete!$A:$J,10,0),"")</f>
        <v/>
      </c>
      <c r="P598" s="8" t="inlineStr">
        <is>
          <t>M3</t>
        </is>
      </c>
      <c r="Q598" s="10">
        <f>IFERROR(IFERROR(VLOOKUP(A598,TRAOPE!$A:$U,21,0),VLOOKUP(B598,TRAOPE!$A:$U,21,0)),"")</f>
        <v/>
      </c>
      <c r="R598" s="8">
        <f>IFERROR(IFERROR(VLOOKUP(A598,TRAOPE!$A:$W,23,0),VLOOKUP(B598,TRAOPE!$A:$W,23,0)),"")</f>
        <v/>
      </c>
      <c r="S598" s="10">
        <f>IF(AND(P598="TN",R598="TN"),N598+N(O598),IF(G598&amp;""="1",N(K598)*N598,(N598+N(O598))*N(K598)))</f>
        <v/>
      </c>
      <c r="T598" s="10">
        <f>IF(Q598="","",Q598-S598)</f>
        <v/>
      </c>
    </row>
    <row r="599">
      <c r="A599" s="7">
        <f>CONCATENATE(C599,E599,F599,I599)</f>
        <v/>
      </c>
      <c r="B599" s="7">
        <f>CONCATENATE(C599,E599,I599)</f>
        <v/>
      </c>
      <c r="C599" s="8" t="n">
        <v>900002574</v>
      </c>
      <c r="D599" s="7">
        <f>IFERROR(VLOOKUP(C599,TRAOPE!$G:$H,2,0),"")</f>
        <v/>
      </c>
      <c r="E599" s="8" t="inlineStr">
        <is>
          <t>D836</t>
        </is>
      </c>
      <c r="F599" s="8" t="inlineStr">
        <is>
          <t>66933313</t>
        </is>
      </c>
      <c r="G599" s="8">
        <f>IFERROR(VLOOKUP(A599,Flete!$A:$E,5,0),"")</f>
        <v/>
      </c>
      <c r="H599" s="7">
        <f>IFERROR(VLOOKUP(F599,TRAOPE!$AA:$AB,2,0),"")</f>
        <v/>
      </c>
      <c r="I599" s="7" t="n">
        <v>10000133</v>
      </c>
      <c r="J599" s="7">
        <f>IFERROR(VLOOKUP(I599,Materiales!$A:$H,8,0),"")</f>
        <v/>
      </c>
      <c r="K599" s="9">
        <f>IFERROR(VLOOKUP(I599,Materiales!$A:$G,7,0),"")</f>
        <v/>
      </c>
      <c r="L599" s="8" t="inlineStr">
        <is>
          <t>20190426</t>
        </is>
      </c>
      <c r="M599" s="8" t="inlineStr">
        <is>
          <t>20250127</t>
        </is>
      </c>
      <c r="N599" s="10" t="n">
        <v>125.11</v>
      </c>
      <c r="O599" s="10">
        <f>IFERROR(VLOOKUP(A599,Flete!$A:$J,10,0),"")</f>
        <v/>
      </c>
      <c r="P599" s="8" t="inlineStr">
        <is>
          <t>TN</t>
        </is>
      </c>
      <c r="Q599" s="10">
        <f>IFERROR(IFERROR(VLOOKUP(A599,TRAOPE!$A:$U,21,0),VLOOKUP(B599,TRAOPE!$A:$U,21,0)),"")</f>
        <v/>
      </c>
      <c r="R599" s="8">
        <f>IFERROR(IFERROR(VLOOKUP(A599,TRAOPE!$A:$W,23,0),VLOOKUP(B599,TRAOPE!$A:$W,23,0)),"")</f>
        <v/>
      </c>
      <c r="S599" s="10">
        <f>IF(AND(P599="TN",R599="TN"),N599+N(O599),IF(G599&amp;""="1",N(K599)*N599,(N599+N(O599))*N(K599)))</f>
        <v/>
      </c>
      <c r="T599" s="10">
        <f>IF(Q599="","",Q599-S599)</f>
        <v/>
      </c>
    </row>
    <row r="600">
      <c r="A600" s="7">
        <f>CONCATENATE(C600,E600,F600,I600)</f>
        <v/>
      </c>
      <c r="B600" s="7">
        <f>CONCATENATE(C600,E600,I600)</f>
        <v/>
      </c>
      <c r="C600" s="8" t="n">
        <v>900002574</v>
      </c>
      <c r="D600" s="7">
        <f>IFERROR(VLOOKUP(C600,TRAOPE!$G:$H,2,0),"")</f>
        <v/>
      </c>
      <c r="E600" s="8" t="inlineStr">
        <is>
          <t>D836</t>
        </is>
      </c>
      <c r="F600" s="8" t="inlineStr">
        <is>
          <t>66933313</t>
        </is>
      </c>
      <c r="G600" s="8">
        <f>IFERROR(VLOOKUP(A600,Flete!$A:$E,5,0),"")</f>
        <v/>
      </c>
      <c r="H600" s="7">
        <f>IFERROR(VLOOKUP(F600,TRAOPE!$AA:$AB,2,0),"")</f>
        <v/>
      </c>
      <c r="I600" s="7" t="n">
        <v>10000160</v>
      </c>
      <c r="J600" s="7">
        <f>IFERROR(VLOOKUP(I600,Materiales!$A:$H,8,0),"")</f>
        <v/>
      </c>
      <c r="K600" s="9">
        <f>IFERROR(VLOOKUP(I600,Materiales!$A:$G,7,0),"")</f>
        <v/>
      </c>
      <c r="L600" s="8" t="inlineStr">
        <is>
          <t>20190426</t>
        </is>
      </c>
      <c r="M600" s="8" t="inlineStr">
        <is>
          <t>20250127</t>
        </is>
      </c>
      <c r="N600" s="10" t="n">
        <v>94.51000000000001</v>
      </c>
      <c r="O600" s="10">
        <f>IFERROR(VLOOKUP(A600,Flete!$A:$J,10,0),"")</f>
        <v/>
      </c>
      <c r="P600" s="8" t="inlineStr">
        <is>
          <t>TN</t>
        </is>
      </c>
      <c r="Q600" s="10">
        <f>IFERROR(IFERROR(VLOOKUP(A600,TRAOPE!$A:$U,21,0),VLOOKUP(B600,TRAOPE!$A:$U,21,0)),"")</f>
        <v/>
      </c>
      <c r="R600" s="8">
        <f>IFERROR(IFERROR(VLOOKUP(A600,TRAOPE!$A:$W,23,0),VLOOKUP(B600,TRAOPE!$A:$W,23,0)),"")</f>
        <v/>
      </c>
      <c r="S600" s="10">
        <f>IF(AND(P600="TN",R600="TN"),N600+N(O600),IF(G600&amp;""="1",N(K600)*N600,(N600+N(O600))*N(K600)))</f>
        <v/>
      </c>
      <c r="T600" s="10">
        <f>IF(Q600="","",Q600-S600)</f>
        <v/>
      </c>
    </row>
    <row r="601">
      <c r="A601" s="7">
        <f>CONCATENATE(C601,E601,F601,I601)</f>
        <v/>
      </c>
      <c r="B601" s="7">
        <f>CONCATENATE(C601,E601,I601)</f>
        <v/>
      </c>
      <c r="C601" s="8" t="n">
        <v>900002574</v>
      </c>
      <c r="D601" s="7">
        <f>IFERROR(VLOOKUP(C601,TRAOPE!$G:$H,2,0),"")</f>
        <v/>
      </c>
      <c r="E601" s="8" t="inlineStr">
        <is>
          <t>D836</t>
        </is>
      </c>
      <c r="F601" s="8" t="inlineStr">
        <is>
          <t>66933313</t>
        </is>
      </c>
      <c r="G601" s="8">
        <f>IFERROR(VLOOKUP(A601,Flete!$A:$E,5,0),"")</f>
        <v/>
      </c>
      <c r="H601" s="7">
        <f>IFERROR(VLOOKUP(F601,TRAOPE!$AA:$AB,2,0),"")</f>
        <v/>
      </c>
      <c r="I601" s="7" t="n">
        <v>10000357</v>
      </c>
      <c r="J601" s="7">
        <f>IFERROR(VLOOKUP(I601,Materiales!$A:$H,8,0),"")</f>
        <v/>
      </c>
      <c r="K601" s="9">
        <f>IFERROR(VLOOKUP(I601,Materiales!$A:$G,7,0),"")</f>
        <v/>
      </c>
      <c r="L601" s="8" t="inlineStr">
        <is>
          <t>20190426</t>
        </is>
      </c>
      <c r="M601" s="8" t="inlineStr">
        <is>
          <t>20250127</t>
        </is>
      </c>
      <c r="N601" s="10" t="n">
        <v>112.87</v>
      </c>
      <c r="O601" s="10">
        <f>IFERROR(VLOOKUP(A601,Flete!$A:$J,10,0),"")</f>
        <v/>
      </c>
      <c r="P601" s="8" t="inlineStr">
        <is>
          <t>TN</t>
        </is>
      </c>
      <c r="Q601" s="10">
        <f>IFERROR(IFERROR(VLOOKUP(A601,TRAOPE!$A:$U,21,0),VLOOKUP(B601,TRAOPE!$A:$U,21,0)),"")</f>
        <v/>
      </c>
      <c r="R601" s="8">
        <f>IFERROR(IFERROR(VLOOKUP(A601,TRAOPE!$A:$W,23,0),VLOOKUP(B601,TRAOPE!$A:$W,23,0)),"")</f>
        <v/>
      </c>
      <c r="S601" s="10">
        <f>IF(AND(P601="TN",R601="TN"),N601+N(O601),IF(G601&amp;""="1",N(K601)*N601,(N601+N(O601))*N(K601)))</f>
        <v/>
      </c>
      <c r="T601" s="10">
        <f>IF(Q601="","",Q601-S601)</f>
        <v/>
      </c>
    </row>
    <row r="602">
      <c r="A602" s="7">
        <f>CONCATENATE(C602,E602,F602,I602)</f>
        <v/>
      </c>
      <c r="B602" s="7">
        <f>CONCATENATE(C602,E602,I602)</f>
        <v/>
      </c>
      <c r="C602" s="8" t="n">
        <v>900002574</v>
      </c>
      <c r="D602" s="7">
        <f>IFERROR(VLOOKUP(C602,TRAOPE!$G:$H,2,0),"")</f>
        <v/>
      </c>
      <c r="E602" s="8" t="inlineStr">
        <is>
          <t>D836</t>
        </is>
      </c>
      <c r="F602" s="8" t="inlineStr">
        <is>
          <t>66933313</t>
        </is>
      </c>
      <c r="G602" s="8">
        <f>IFERROR(VLOOKUP(A602,Flete!$A:$E,5,0),"")</f>
        <v/>
      </c>
      <c r="H602" s="7">
        <f>IFERROR(VLOOKUP(F602,TRAOPE!$AA:$AB,2,0),"")</f>
        <v/>
      </c>
      <c r="I602" s="7" t="n">
        <v>10000623</v>
      </c>
      <c r="J602" s="7">
        <f>IFERROR(VLOOKUP(I602,Materiales!$A:$H,8,0),"")</f>
        <v/>
      </c>
      <c r="K602" s="9">
        <f>IFERROR(VLOOKUP(I602,Materiales!$A:$G,7,0),"")</f>
        <v/>
      </c>
      <c r="L602" s="8" t="inlineStr">
        <is>
          <t>20190426</t>
        </is>
      </c>
      <c r="M602" s="8" t="inlineStr">
        <is>
          <t>20250127</t>
        </is>
      </c>
      <c r="N602" s="10" t="n">
        <v>125.11</v>
      </c>
      <c r="O602" s="10">
        <f>IFERROR(VLOOKUP(A602,Flete!$A:$J,10,0),"")</f>
        <v/>
      </c>
      <c r="P602" s="8" t="inlineStr">
        <is>
          <t>TN</t>
        </is>
      </c>
      <c r="Q602" s="10">
        <f>IFERROR(IFERROR(VLOOKUP(A602,TRAOPE!$A:$U,21,0),VLOOKUP(B602,TRAOPE!$A:$U,21,0)),"")</f>
        <v/>
      </c>
      <c r="R602" s="8">
        <f>IFERROR(IFERROR(VLOOKUP(A602,TRAOPE!$A:$W,23,0),VLOOKUP(B602,TRAOPE!$A:$W,23,0)),"")</f>
        <v/>
      </c>
      <c r="S602" s="10">
        <f>IF(AND(P602="TN",R602="TN"),N602+N(O602),IF(G602&amp;""="1",N(K602)*N602,(N602+N(O602))*N(K602)))</f>
        <v/>
      </c>
      <c r="T602" s="10">
        <f>IF(Q602="","",Q602-S602)</f>
        <v/>
      </c>
    </row>
    <row r="603">
      <c r="A603" s="7">
        <f>CONCATENATE(C603,E603,F603,I603)</f>
        <v/>
      </c>
      <c r="B603" s="7">
        <f>CONCATENATE(C603,E603,I603)</f>
        <v/>
      </c>
      <c r="C603" s="8" t="n">
        <v>900002574</v>
      </c>
      <c r="D603" s="7">
        <f>IFERROR(VLOOKUP(C603,TRAOPE!$G:$H,2,0),"")</f>
        <v/>
      </c>
      <c r="E603" s="8" t="inlineStr">
        <is>
          <t>D836</t>
        </is>
      </c>
      <c r="F603" s="8" t="inlineStr">
        <is>
          <t>66949071</t>
        </is>
      </c>
      <c r="G603" s="8">
        <f>IFERROR(VLOOKUP(A603,Flete!$A:$E,5,0),"")</f>
        <v/>
      </c>
      <c r="H603" s="7">
        <f>IFERROR(VLOOKUP(F603,TRAOPE!$AA:$AB,2,0),"")</f>
        <v/>
      </c>
      <c r="I603" s="7" t="n">
        <v>10000133</v>
      </c>
      <c r="J603" s="7">
        <f>IFERROR(VLOOKUP(I603,Materiales!$A:$H,8,0),"")</f>
        <v/>
      </c>
      <c r="K603" s="9">
        <f>IFERROR(VLOOKUP(I603,Materiales!$A:$G,7,0),"")</f>
        <v/>
      </c>
      <c r="L603" s="8" t="inlineStr">
        <is>
          <t>20190426</t>
        </is>
      </c>
      <c r="M603" s="8" t="inlineStr">
        <is>
          <t>20250127</t>
        </is>
      </c>
      <c r="N603" s="10" t="n">
        <v>205</v>
      </c>
      <c r="O603" s="10">
        <f>IFERROR(VLOOKUP(A603,Flete!$A:$J,10,0),"")</f>
        <v/>
      </c>
      <c r="P603" s="8" t="inlineStr">
        <is>
          <t>M3</t>
        </is>
      </c>
      <c r="Q603" s="10">
        <f>IFERROR(IFERROR(VLOOKUP(A603,TRAOPE!$A:$U,21,0),VLOOKUP(B603,TRAOPE!$A:$U,21,0)),"")</f>
        <v/>
      </c>
      <c r="R603" s="8">
        <f>IFERROR(IFERROR(VLOOKUP(A603,TRAOPE!$A:$W,23,0),VLOOKUP(B603,TRAOPE!$A:$W,23,0)),"")</f>
        <v/>
      </c>
      <c r="S603" s="10">
        <f>IF(AND(P603="TN",R603="TN"),N603+N(O603),IF(G603&amp;""="1",N(K603)*N603,(N603+N(O603))*N(K603)))</f>
        <v/>
      </c>
      <c r="T603" s="10">
        <f>IF(Q603="","",Q603-S603)</f>
        <v/>
      </c>
    </row>
    <row r="604">
      <c r="A604" s="7">
        <f>CONCATENATE(C604,E604,F604,I604)</f>
        <v/>
      </c>
      <c r="B604" s="7">
        <f>CONCATENATE(C604,E604,I604)</f>
        <v/>
      </c>
      <c r="C604" s="8" t="n">
        <v>900002574</v>
      </c>
      <c r="D604" s="7">
        <f>IFERROR(VLOOKUP(C604,TRAOPE!$G:$H,2,0),"")</f>
        <v/>
      </c>
      <c r="E604" s="8" t="inlineStr">
        <is>
          <t>D836</t>
        </is>
      </c>
      <c r="F604" s="8" t="inlineStr">
        <is>
          <t>66949071</t>
        </is>
      </c>
      <c r="G604" s="8">
        <f>IFERROR(VLOOKUP(A604,Flete!$A:$E,5,0),"")</f>
        <v/>
      </c>
      <c r="H604" s="7">
        <f>IFERROR(VLOOKUP(F604,TRAOPE!$AA:$AB,2,0),"")</f>
        <v/>
      </c>
      <c r="I604" s="7" t="n">
        <v>10000160</v>
      </c>
      <c r="J604" s="7">
        <f>IFERROR(VLOOKUP(I604,Materiales!$A:$H,8,0),"")</f>
        <v/>
      </c>
      <c r="K604" s="9">
        <f>IFERROR(VLOOKUP(I604,Materiales!$A:$G,7,0),"")</f>
        <v/>
      </c>
      <c r="L604" s="8" t="inlineStr">
        <is>
          <t>20190426</t>
        </is>
      </c>
      <c r="M604" s="8" t="inlineStr">
        <is>
          <t>20250127</t>
        </is>
      </c>
      <c r="N604" s="10" t="n">
        <v>100</v>
      </c>
      <c r="O604" s="10">
        <f>IFERROR(VLOOKUP(A604,Flete!$A:$J,10,0),"")</f>
        <v/>
      </c>
      <c r="P604" s="8" t="inlineStr">
        <is>
          <t>M3</t>
        </is>
      </c>
      <c r="Q604" s="10">
        <f>IFERROR(IFERROR(VLOOKUP(A604,TRAOPE!$A:$U,21,0),VLOOKUP(B604,TRAOPE!$A:$U,21,0)),"")</f>
        <v/>
      </c>
      <c r="R604" s="8">
        <f>IFERROR(IFERROR(VLOOKUP(A604,TRAOPE!$A:$W,23,0),VLOOKUP(B604,TRAOPE!$A:$W,23,0)),"")</f>
        <v/>
      </c>
      <c r="S604" s="10">
        <f>IF(AND(P604="TN",R604="TN"),N604+N(O604),IF(G604&amp;""="1",N(K604)*N604,(N604+N(O604))*N(K604)))</f>
        <v/>
      </c>
      <c r="T604" s="10">
        <f>IF(Q604="","",Q604-S604)</f>
        <v/>
      </c>
    </row>
    <row r="605">
      <c r="A605" s="7">
        <f>CONCATENATE(C605,E605,F605,I605)</f>
        <v/>
      </c>
      <c r="B605" s="7">
        <f>CONCATENATE(C605,E605,I605)</f>
        <v/>
      </c>
      <c r="C605" s="8" t="n">
        <v>900002574</v>
      </c>
      <c r="D605" s="7">
        <f>IFERROR(VLOOKUP(C605,TRAOPE!$G:$H,2,0),"")</f>
        <v/>
      </c>
      <c r="E605" s="8" t="inlineStr">
        <is>
          <t>D836</t>
        </is>
      </c>
      <c r="F605" s="8" t="inlineStr">
        <is>
          <t>66949186</t>
        </is>
      </c>
      <c r="G605" s="8">
        <f>IFERROR(VLOOKUP(A605,Flete!$A:$E,5,0),"")</f>
        <v/>
      </c>
      <c r="H605" s="7">
        <f>IFERROR(VLOOKUP(F605,TRAOPE!$AA:$AB,2,0),"")</f>
        <v/>
      </c>
      <c r="I605" s="7" t="n">
        <v>10000133</v>
      </c>
      <c r="J605" s="7">
        <f>IFERROR(VLOOKUP(I605,Materiales!$A:$H,8,0),"")</f>
        <v/>
      </c>
      <c r="K605" s="9">
        <f>IFERROR(VLOOKUP(I605,Materiales!$A:$G,7,0),"")</f>
        <v/>
      </c>
      <c r="L605" s="8" t="inlineStr">
        <is>
          <t>20190426</t>
        </is>
      </c>
      <c r="M605" s="8" t="inlineStr">
        <is>
          <t>20250127</t>
        </is>
      </c>
      <c r="N605" s="10" t="n">
        <v>160</v>
      </c>
      <c r="O605" s="10">
        <f>IFERROR(VLOOKUP(A605,Flete!$A:$J,10,0),"")</f>
        <v/>
      </c>
      <c r="P605" s="8" t="inlineStr">
        <is>
          <t>M3</t>
        </is>
      </c>
      <c r="Q605" s="10">
        <f>IFERROR(IFERROR(VLOOKUP(A605,TRAOPE!$A:$U,21,0),VLOOKUP(B605,TRAOPE!$A:$U,21,0)),"")</f>
        <v/>
      </c>
      <c r="R605" s="8">
        <f>IFERROR(IFERROR(VLOOKUP(A605,TRAOPE!$A:$W,23,0),VLOOKUP(B605,TRAOPE!$A:$W,23,0)),"")</f>
        <v/>
      </c>
      <c r="S605" s="10">
        <f>IF(AND(P605="TN",R605="TN"),N605+N(O605),IF(G605&amp;""="1",N(K605)*N605,(N605+N(O605))*N(K605)))</f>
        <v/>
      </c>
      <c r="T605" s="10">
        <f>IF(Q605="","",Q605-S605)</f>
        <v/>
      </c>
    </row>
    <row r="606">
      <c r="A606" s="7">
        <f>CONCATENATE(C606,E606,F606,I606)</f>
        <v/>
      </c>
      <c r="B606" s="7">
        <f>CONCATENATE(C606,E606,I606)</f>
        <v/>
      </c>
      <c r="C606" s="8" t="n">
        <v>900002574</v>
      </c>
      <c r="D606" s="7">
        <f>IFERROR(VLOOKUP(C606,TRAOPE!$G:$H,2,0),"")</f>
        <v/>
      </c>
      <c r="E606" s="8" t="inlineStr">
        <is>
          <t>D836</t>
        </is>
      </c>
      <c r="F606" s="8" t="inlineStr">
        <is>
          <t>66949186</t>
        </is>
      </c>
      <c r="G606" s="8">
        <f>IFERROR(VLOOKUP(A606,Flete!$A:$E,5,0),"")</f>
        <v/>
      </c>
      <c r="H606" s="7">
        <f>IFERROR(VLOOKUP(F606,TRAOPE!$AA:$AB,2,0),"")</f>
        <v/>
      </c>
      <c r="I606" s="7" t="n">
        <v>10000160</v>
      </c>
      <c r="J606" s="7">
        <f>IFERROR(VLOOKUP(I606,Materiales!$A:$H,8,0),"")</f>
        <v/>
      </c>
      <c r="K606" s="9">
        <f>IFERROR(VLOOKUP(I606,Materiales!$A:$G,7,0),"")</f>
        <v/>
      </c>
      <c r="L606" s="8" t="inlineStr">
        <is>
          <t>20190426</t>
        </is>
      </c>
      <c r="M606" s="8" t="inlineStr">
        <is>
          <t>20250127</t>
        </is>
      </c>
      <c r="N606" s="10" t="n">
        <v>130</v>
      </c>
      <c r="O606" s="10">
        <f>IFERROR(VLOOKUP(A606,Flete!$A:$J,10,0),"")</f>
        <v/>
      </c>
      <c r="P606" s="8" t="inlineStr">
        <is>
          <t>M3</t>
        </is>
      </c>
      <c r="Q606" s="10">
        <f>IFERROR(IFERROR(VLOOKUP(A606,TRAOPE!$A:$U,21,0),VLOOKUP(B606,TRAOPE!$A:$U,21,0)),"")</f>
        <v/>
      </c>
      <c r="R606" s="8">
        <f>IFERROR(IFERROR(VLOOKUP(A606,TRAOPE!$A:$W,23,0),VLOOKUP(B606,TRAOPE!$A:$W,23,0)),"")</f>
        <v/>
      </c>
      <c r="S606" s="10">
        <f>IF(AND(P606="TN",R606="TN"),N606+N(O606),IF(G606&amp;""="1",N(K606)*N606,(N606+N(O606))*N(K606)))</f>
        <v/>
      </c>
      <c r="T606" s="10">
        <f>IF(Q606="","",Q606-S606)</f>
        <v/>
      </c>
    </row>
    <row r="607">
      <c r="A607" s="7">
        <f>CONCATENATE(C607,E607,F607,I607)</f>
        <v/>
      </c>
      <c r="B607" s="7">
        <f>CONCATENATE(C607,E607,I607)</f>
        <v/>
      </c>
      <c r="C607" s="8" t="n">
        <v>900002574</v>
      </c>
      <c r="D607" s="7">
        <f>IFERROR(VLOOKUP(C607,TRAOPE!$G:$H,2,0),"")</f>
        <v/>
      </c>
      <c r="E607" s="8" t="inlineStr">
        <is>
          <t>D836</t>
        </is>
      </c>
      <c r="F607" s="8" t="inlineStr">
        <is>
          <t>66949186</t>
        </is>
      </c>
      <c r="G607" s="8">
        <f>IFERROR(VLOOKUP(A607,Flete!$A:$E,5,0),"")</f>
        <v/>
      </c>
      <c r="H607" s="7">
        <f>IFERROR(VLOOKUP(F607,TRAOPE!$AA:$AB,2,0),"")</f>
        <v/>
      </c>
      <c r="I607" s="7" t="n">
        <v>10000357</v>
      </c>
      <c r="J607" s="7">
        <f>IFERROR(VLOOKUP(I607,Materiales!$A:$H,8,0),"")</f>
        <v/>
      </c>
      <c r="K607" s="9">
        <f>IFERROR(VLOOKUP(I607,Materiales!$A:$G,7,0),"")</f>
        <v/>
      </c>
      <c r="L607" s="8" t="inlineStr">
        <is>
          <t>20190426</t>
        </is>
      </c>
      <c r="M607" s="8" t="inlineStr">
        <is>
          <t>20250127</t>
        </is>
      </c>
      <c r="N607" s="10" t="n">
        <v>150</v>
      </c>
      <c r="O607" s="10">
        <f>IFERROR(VLOOKUP(A607,Flete!$A:$J,10,0),"")</f>
        <v/>
      </c>
      <c r="P607" s="8" t="inlineStr">
        <is>
          <t>M3</t>
        </is>
      </c>
      <c r="Q607" s="10">
        <f>IFERROR(IFERROR(VLOOKUP(A607,TRAOPE!$A:$U,21,0),VLOOKUP(B607,TRAOPE!$A:$U,21,0)),"")</f>
        <v/>
      </c>
      <c r="R607" s="8">
        <f>IFERROR(IFERROR(VLOOKUP(A607,TRAOPE!$A:$W,23,0),VLOOKUP(B607,TRAOPE!$A:$W,23,0)),"")</f>
        <v/>
      </c>
      <c r="S607" s="10">
        <f>IF(AND(P607="TN",R607="TN"),N607+N(O607),IF(G607&amp;""="1",N(K607)*N607,(N607+N(O607))*N(K607)))</f>
        <v/>
      </c>
      <c r="T607" s="10">
        <f>IF(Q607="","",Q607-S607)</f>
        <v/>
      </c>
    </row>
    <row r="608">
      <c r="A608" s="7">
        <f>CONCATENATE(C608,E608,F608,I608)</f>
        <v/>
      </c>
      <c r="B608" s="7">
        <f>CONCATENATE(C608,E608,I608)</f>
        <v/>
      </c>
      <c r="C608" s="8" t="n">
        <v>900002574</v>
      </c>
      <c r="D608" s="7">
        <f>IFERROR(VLOOKUP(C608,TRAOPE!$G:$H,2,0),"")</f>
        <v/>
      </c>
      <c r="E608" s="8" t="inlineStr">
        <is>
          <t>D836</t>
        </is>
      </c>
      <c r="F608" s="8" t="inlineStr">
        <is>
          <t>66949186</t>
        </is>
      </c>
      <c r="G608" s="8">
        <f>IFERROR(VLOOKUP(A608,Flete!$A:$E,5,0),"")</f>
        <v/>
      </c>
      <c r="H608" s="7">
        <f>IFERROR(VLOOKUP(F608,TRAOPE!$AA:$AB,2,0),"")</f>
        <v/>
      </c>
      <c r="I608" s="7" t="n">
        <v>10000623</v>
      </c>
      <c r="J608" s="7">
        <f>IFERROR(VLOOKUP(I608,Materiales!$A:$H,8,0),"")</f>
        <v/>
      </c>
      <c r="K608" s="9">
        <f>IFERROR(VLOOKUP(I608,Materiales!$A:$G,7,0),"")</f>
        <v/>
      </c>
      <c r="L608" s="8" t="inlineStr">
        <is>
          <t>20190426</t>
        </is>
      </c>
      <c r="M608" s="8" t="inlineStr">
        <is>
          <t>20250127</t>
        </is>
      </c>
      <c r="N608" s="10" t="n">
        <v>210</v>
      </c>
      <c r="O608" s="10">
        <f>IFERROR(VLOOKUP(A608,Flete!$A:$J,10,0),"")</f>
        <v/>
      </c>
      <c r="P608" s="8" t="inlineStr">
        <is>
          <t>M3</t>
        </is>
      </c>
      <c r="Q608" s="10">
        <f>IFERROR(IFERROR(VLOOKUP(A608,TRAOPE!$A:$U,21,0),VLOOKUP(B608,TRAOPE!$A:$U,21,0)),"")</f>
        <v/>
      </c>
      <c r="R608" s="8">
        <f>IFERROR(IFERROR(VLOOKUP(A608,TRAOPE!$A:$W,23,0),VLOOKUP(B608,TRAOPE!$A:$W,23,0)),"")</f>
        <v/>
      </c>
      <c r="S608" s="10">
        <f>IF(AND(P608="TN",R608="TN"),N608+N(O608),IF(G608&amp;""="1",N(K608)*N608,(N608+N(O608))*N(K608)))</f>
        <v/>
      </c>
      <c r="T608" s="10">
        <f>IF(Q608="","",Q608-S608)</f>
        <v/>
      </c>
    </row>
    <row r="609">
      <c r="A609" s="7">
        <f>CONCATENATE(C609,E609,F609,I609)</f>
        <v/>
      </c>
      <c r="B609" s="7">
        <f>CONCATENATE(C609,E609,I609)</f>
        <v/>
      </c>
      <c r="C609" s="8" t="n">
        <v>900002574</v>
      </c>
      <c r="D609" s="7">
        <f>IFERROR(VLOOKUP(C609,TRAOPE!$G:$H,2,0),"")</f>
        <v/>
      </c>
      <c r="E609" s="8" t="inlineStr">
        <is>
          <t>D836</t>
        </is>
      </c>
      <c r="F609" s="8" t="inlineStr">
        <is>
          <t>66951255</t>
        </is>
      </c>
      <c r="G609" s="8">
        <f>IFERROR(VLOOKUP(A609,Flete!$A:$E,5,0),"")</f>
        <v/>
      </c>
      <c r="H609" s="7">
        <f>IFERROR(VLOOKUP(F609,TRAOPE!$AA:$AB,2,0),"")</f>
        <v/>
      </c>
      <c r="I609" s="7" t="n">
        <v>10000160</v>
      </c>
      <c r="J609" s="7">
        <f>IFERROR(VLOOKUP(I609,Materiales!$A:$H,8,0),"")</f>
        <v/>
      </c>
      <c r="K609" s="9">
        <f>IFERROR(VLOOKUP(I609,Materiales!$A:$G,7,0),"")</f>
        <v/>
      </c>
      <c r="L609" s="8" t="inlineStr">
        <is>
          <t>20190426</t>
        </is>
      </c>
      <c r="M609" s="8" t="inlineStr">
        <is>
          <t>20250127</t>
        </is>
      </c>
      <c r="N609" s="10" t="n">
        <v>117.66</v>
      </c>
      <c r="O609" s="10">
        <f>IFERROR(VLOOKUP(A609,Flete!$A:$J,10,0),"")</f>
        <v/>
      </c>
      <c r="P609" s="8" t="inlineStr">
        <is>
          <t>M3</t>
        </is>
      </c>
      <c r="Q609" s="10">
        <f>IFERROR(IFERROR(VLOOKUP(A609,TRAOPE!$A:$U,21,0),VLOOKUP(B609,TRAOPE!$A:$U,21,0)),"")</f>
        <v/>
      </c>
      <c r="R609" s="8">
        <f>IFERROR(IFERROR(VLOOKUP(A609,TRAOPE!$A:$W,23,0),VLOOKUP(B609,TRAOPE!$A:$W,23,0)),"")</f>
        <v/>
      </c>
      <c r="S609" s="10">
        <f>IF(AND(P609="TN",R609="TN"),N609+N(O609),IF(G609&amp;""="1",N(K609)*N609,(N609+N(O609))*N(K609)))</f>
        <v/>
      </c>
      <c r="T609" s="10">
        <f>IF(Q609="","",Q609-S609)</f>
        <v/>
      </c>
    </row>
    <row r="610">
      <c r="A610" s="7">
        <f>CONCATENATE(C610,E610,F610,I610)</f>
        <v/>
      </c>
      <c r="B610" s="7">
        <f>CONCATENATE(C610,E610,I610)</f>
        <v/>
      </c>
      <c r="C610" s="8" t="n">
        <v>900002574</v>
      </c>
      <c r="D610" s="7">
        <f>IFERROR(VLOOKUP(C610,TRAOPE!$G:$H,2,0),"")</f>
        <v/>
      </c>
      <c r="E610" s="8" t="inlineStr">
        <is>
          <t>D836</t>
        </is>
      </c>
      <c r="F610" s="8" t="inlineStr">
        <is>
          <t>66951255</t>
        </is>
      </c>
      <c r="G610" s="8">
        <f>IFERROR(VLOOKUP(A610,Flete!$A:$E,5,0),"")</f>
        <v/>
      </c>
      <c r="H610" s="7">
        <f>IFERROR(VLOOKUP(F610,TRAOPE!$AA:$AB,2,0),"")</f>
        <v/>
      </c>
      <c r="I610" s="7" t="n">
        <v>10000357</v>
      </c>
      <c r="J610" s="7">
        <f>IFERROR(VLOOKUP(I610,Materiales!$A:$H,8,0),"")</f>
        <v/>
      </c>
      <c r="K610" s="9">
        <f>IFERROR(VLOOKUP(I610,Materiales!$A:$G,7,0),"")</f>
        <v/>
      </c>
      <c r="L610" s="8" t="inlineStr">
        <is>
          <t>20190426</t>
        </is>
      </c>
      <c r="M610" s="8" t="inlineStr">
        <is>
          <t>20250127</t>
        </is>
      </c>
      <c r="N610" s="10" t="n">
        <v>137.66</v>
      </c>
      <c r="O610" s="10">
        <f>IFERROR(VLOOKUP(A610,Flete!$A:$J,10,0),"")</f>
        <v/>
      </c>
      <c r="P610" s="8" t="inlineStr">
        <is>
          <t>M3</t>
        </is>
      </c>
      <c r="Q610" s="10">
        <f>IFERROR(IFERROR(VLOOKUP(A610,TRAOPE!$A:$U,21,0),VLOOKUP(B610,TRAOPE!$A:$U,21,0)),"")</f>
        <v/>
      </c>
      <c r="R610" s="8">
        <f>IFERROR(IFERROR(VLOOKUP(A610,TRAOPE!$A:$W,23,0),VLOOKUP(B610,TRAOPE!$A:$W,23,0)),"")</f>
        <v/>
      </c>
      <c r="S610" s="10">
        <f>IF(AND(P610="TN",R610="TN"),N610+N(O610),IF(G610&amp;""="1",N(K610)*N610,(N610+N(O610))*N(K610)))</f>
        <v/>
      </c>
      <c r="T610" s="10">
        <f>IF(Q610="","",Q610-S610)</f>
        <v/>
      </c>
    </row>
    <row r="611">
      <c r="A611" s="7">
        <f>CONCATENATE(C611,E611,F611,I611)</f>
        <v/>
      </c>
      <c r="B611" s="7">
        <f>CONCATENATE(C611,E611,I611)</f>
        <v/>
      </c>
      <c r="C611" s="8" t="n">
        <v>900002574</v>
      </c>
      <c r="D611" s="7">
        <f>IFERROR(VLOOKUP(C611,TRAOPE!$G:$H,2,0),"")</f>
        <v/>
      </c>
      <c r="E611" s="8" t="inlineStr">
        <is>
          <t>D836</t>
        </is>
      </c>
      <c r="F611" s="8" t="inlineStr">
        <is>
          <t>66976140</t>
        </is>
      </c>
      <c r="G611" s="8">
        <f>IFERROR(VLOOKUP(A611,Flete!$A:$E,5,0),"")</f>
        <v/>
      </c>
      <c r="H611" s="7">
        <f>IFERROR(VLOOKUP(F611,TRAOPE!$AA:$AB,2,0),"")</f>
        <v/>
      </c>
      <c r="I611" s="7" t="n">
        <v>10000133</v>
      </c>
      <c r="J611" s="7">
        <f>IFERROR(VLOOKUP(I611,Materiales!$A:$H,8,0),"")</f>
        <v/>
      </c>
      <c r="K611" s="9">
        <f>IFERROR(VLOOKUP(I611,Materiales!$A:$G,7,0),"")</f>
        <v/>
      </c>
      <c r="L611" s="8" t="inlineStr">
        <is>
          <t>20190426</t>
        </is>
      </c>
      <c r="M611" s="8" t="inlineStr">
        <is>
          <t>20250127</t>
        </is>
      </c>
      <c r="N611" s="10" t="n">
        <v>220</v>
      </c>
      <c r="O611" s="10">
        <f>IFERROR(VLOOKUP(A611,Flete!$A:$J,10,0),"")</f>
        <v/>
      </c>
      <c r="P611" s="8" t="inlineStr">
        <is>
          <t>M3</t>
        </is>
      </c>
      <c r="Q611" s="10">
        <f>IFERROR(IFERROR(VLOOKUP(A611,TRAOPE!$A:$U,21,0),VLOOKUP(B611,TRAOPE!$A:$U,21,0)),"")</f>
        <v/>
      </c>
      <c r="R611" s="8">
        <f>IFERROR(IFERROR(VLOOKUP(A611,TRAOPE!$A:$W,23,0),VLOOKUP(B611,TRAOPE!$A:$W,23,0)),"")</f>
        <v/>
      </c>
      <c r="S611" s="10">
        <f>IF(AND(P611="TN",R611="TN"),N611+N(O611),IF(G611&amp;""="1",N(K611)*N611,(N611+N(O611))*N(K611)))</f>
        <v/>
      </c>
      <c r="T611" s="10">
        <f>IF(Q611="","",Q611-S611)</f>
        <v/>
      </c>
    </row>
    <row r="612">
      <c r="A612" s="7">
        <f>CONCATENATE(C612,E612,F612,I612)</f>
        <v/>
      </c>
      <c r="B612" s="7">
        <f>CONCATENATE(C612,E612,I612)</f>
        <v/>
      </c>
      <c r="C612" s="8" t="n">
        <v>900002574</v>
      </c>
      <c r="D612" s="7">
        <f>IFERROR(VLOOKUP(C612,TRAOPE!$G:$H,2,0),"")</f>
        <v/>
      </c>
      <c r="E612" s="8" t="inlineStr">
        <is>
          <t>D836</t>
        </is>
      </c>
      <c r="F612" s="8" t="inlineStr">
        <is>
          <t>66987749</t>
        </is>
      </c>
      <c r="G612" s="8">
        <f>IFERROR(VLOOKUP(A612,Flete!$A:$E,5,0),"")</f>
        <v/>
      </c>
      <c r="H612" s="7">
        <f>IFERROR(VLOOKUP(F612,TRAOPE!$AA:$AB,2,0),"")</f>
        <v/>
      </c>
      <c r="I612" s="7" t="n">
        <v>10000623</v>
      </c>
      <c r="J612" s="7">
        <f>IFERROR(VLOOKUP(I612,Materiales!$A:$H,8,0),"")</f>
        <v/>
      </c>
      <c r="K612" s="9">
        <f>IFERROR(VLOOKUP(I612,Materiales!$A:$G,7,0),"")</f>
        <v/>
      </c>
      <c r="L612" s="8" t="inlineStr">
        <is>
          <t>20190426</t>
        </is>
      </c>
      <c r="M612" s="8" t="inlineStr">
        <is>
          <t>20250127</t>
        </is>
      </c>
      <c r="N612" s="10" t="n">
        <v>125</v>
      </c>
      <c r="O612" s="10">
        <f>IFERROR(VLOOKUP(A612,Flete!$A:$J,10,0),"")</f>
        <v/>
      </c>
      <c r="P612" s="8" t="inlineStr">
        <is>
          <t>M3</t>
        </is>
      </c>
      <c r="Q612" s="10">
        <f>IFERROR(IFERROR(VLOOKUP(A612,TRAOPE!$A:$U,21,0),VLOOKUP(B612,TRAOPE!$A:$U,21,0)),"")</f>
        <v/>
      </c>
      <c r="R612" s="8">
        <f>IFERROR(IFERROR(VLOOKUP(A612,TRAOPE!$A:$W,23,0),VLOOKUP(B612,TRAOPE!$A:$W,23,0)),"")</f>
        <v/>
      </c>
      <c r="S612" s="10">
        <f>IF(AND(P612="TN",R612="TN"),N612+N(O612),IF(G612&amp;""="1",N(K612)*N612,(N612+N(O612))*N(K612)))</f>
        <v/>
      </c>
      <c r="T612" s="10">
        <f>IF(Q612="","",Q612-S612)</f>
        <v/>
      </c>
    </row>
    <row r="613">
      <c r="A613" s="7">
        <f>CONCATENATE(C613,E613,F613,I613)</f>
        <v/>
      </c>
      <c r="B613" s="7">
        <f>CONCATENATE(C613,E613,I613)</f>
        <v/>
      </c>
      <c r="C613" s="8" t="n">
        <v>900002574</v>
      </c>
      <c r="D613" s="7">
        <f>IFERROR(VLOOKUP(C613,TRAOPE!$G:$H,2,0),"")</f>
        <v/>
      </c>
      <c r="E613" s="8" t="inlineStr">
        <is>
          <t>D836</t>
        </is>
      </c>
      <c r="F613" s="8" t="inlineStr">
        <is>
          <t>67007917</t>
        </is>
      </c>
      <c r="G613" s="8">
        <f>IFERROR(VLOOKUP(A613,Flete!$A:$E,5,0),"")</f>
        <v/>
      </c>
      <c r="H613" s="7">
        <f>IFERROR(VLOOKUP(F613,TRAOPE!$AA:$AB,2,0),"")</f>
        <v/>
      </c>
      <c r="I613" s="7" t="n">
        <v>10189325</v>
      </c>
      <c r="J613" s="7">
        <f>IFERROR(VLOOKUP(I613,Materiales!$A:$H,8,0),"")</f>
        <v/>
      </c>
      <c r="K613" s="9">
        <f>IFERROR(VLOOKUP(I613,Materiales!$A:$G,7,0),"")</f>
        <v/>
      </c>
      <c r="L613" s="8" t="inlineStr">
        <is>
          <t>20190426</t>
        </is>
      </c>
      <c r="M613" s="8" t="inlineStr">
        <is>
          <t>20250127</t>
        </is>
      </c>
      <c r="N613" s="10" t="n">
        <v>450</v>
      </c>
      <c r="O613" s="10">
        <f>IFERROR(VLOOKUP(A613,Flete!$A:$J,10,0),"")</f>
        <v/>
      </c>
      <c r="P613" s="8" t="inlineStr">
        <is>
          <t>M3</t>
        </is>
      </c>
      <c r="Q613" s="10">
        <f>IFERROR(IFERROR(VLOOKUP(A613,TRAOPE!$A:$U,21,0),VLOOKUP(B613,TRAOPE!$A:$U,21,0)),"")</f>
        <v/>
      </c>
      <c r="R613" s="8">
        <f>IFERROR(IFERROR(VLOOKUP(A613,TRAOPE!$A:$W,23,0),VLOOKUP(B613,TRAOPE!$A:$W,23,0)),"")</f>
        <v/>
      </c>
      <c r="S613" s="10">
        <f>IF(AND(P613="TN",R613="TN"),N613+N(O613),IF(G613&amp;""="1",N(K613)*N613,(N613+N(O613))*N(K613)))</f>
        <v/>
      </c>
      <c r="T613" s="10">
        <f>IF(Q613="","",Q613-S613)</f>
        <v/>
      </c>
    </row>
    <row r="614">
      <c r="A614" s="7">
        <f>CONCATENATE(C614,E614,F614,I614)</f>
        <v/>
      </c>
      <c r="B614" s="7">
        <f>CONCATENATE(C614,E614,I614)</f>
        <v/>
      </c>
      <c r="C614" s="8" t="n">
        <v>900002574</v>
      </c>
      <c r="D614" s="7">
        <f>IFERROR(VLOOKUP(C614,TRAOPE!$G:$H,2,0),"")</f>
        <v/>
      </c>
      <c r="E614" s="8" t="inlineStr">
        <is>
          <t>D836</t>
        </is>
      </c>
      <c r="F614" s="8" t="inlineStr">
        <is>
          <t>67018621</t>
        </is>
      </c>
      <c r="G614" s="8">
        <f>IFERROR(VLOOKUP(A614,Flete!$A:$E,5,0),"")</f>
        <v/>
      </c>
      <c r="H614" s="7">
        <f>IFERROR(VLOOKUP(F614,TRAOPE!$AA:$AB,2,0),"")</f>
        <v/>
      </c>
      <c r="I614" s="7" t="n">
        <v>10000160</v>
      </c>
      <c r="J614" s="7">
        <f>IFERROR(VLOOKUP(I614,Materiales!$A:$H,8,0),"")</f>
        <v/>
      </c>
      <c r="K614" s="9">
        <f>IFERROR(VLOOKUP(I614,Materiales!$A:$G,7,0),"")</f>
        <v/>
      </c>
      <c r="L614" s="8" t="inlineStr">
        <is>
          <t>20190426</t>
        </is>
      </c>
      <c r="M614" s="8" t="inlineStr">
        <is>
          <t>20250127</t>
        </is>
      </c>
      <c r="N614" s="10" t="n">
        <v>110</v>
      </c>
      <c r="O614" s="10">
        <f>IFERROR(VLOOKUP(A614,Flete!$A:$J,10,0),"")</f>
        <v/>
      </c>
      <c r="P614" s="8" t="inlineStr">
        <is>
          <t>M3</t>
        </is>
      </c>
      <c r="Q614" s="10">
        <f>IFERROR(IFERROR(VLOOKUP(A614,TRAOPE!$A:$U,21,0),VLOOKUP(B614,TRAOPE!$A:$U,21,0)),"")</f>
        <v/>
      </c>
      <c r="R614" s="8">
        <f>IFERROR(IFERROR(VLOOKUP(A614,TRAOPE!$A:$W,23,0),VLOOKUP(B614,TRAOPE!$A:$W,23,0)),"")</f>
        <v/>
      </c>
      <c r="S614" s="10">
        <f>IF(AND(P614="TN",R614="TN"),N614+N(O614),IF(G614&amp;""="1",N(K614)*N614,(N614+N(O614))*N(K614)))</f>
        <v/>
      </c>
      <c r="T614" s="10">
        <f>IF(Q614="","",Q614-S614)</f>
        <v/>
      </c>
    </row>
    <row r="615">
      <c r="A615" s="7">
        <f>CONCATENATE(C615,E615,F615,I615)</f>
        <v/>
      </c>
      <c r="B615" s="7">
        <f>CONCATENATE(C615,E615,I615)</f>
        <v/>
      </c>
      <c r="C615" s="8" t="n">
        <v>900002574</v>
      </c>
      <c r="D615" s="7">
        <f>IFERROR(VLOOKUP(C615,TRAOPE!$G:$H,2,0),"")</f>
        <v/>
      </c>
      <c r="E615" s="8" t="inlineStr">
        <is>
          <t>D836</t>
        </is>
      </c>
      <c r="F615" s="8" t="inlineStr">
        <is>
          <t>67018621</t>
        </is>
      </c>
      <c r="G615" s="8">
        <f>IFERROR(VLOOKUP(A615,Flete!$A:$E,5,0),"")</f>
        <v/>
      </c>
      <c r="H615" s="7">
        <f>IFERROR(VLOOKUP(F615,TRAOPE!$AA:$AB,2,0),"")</f>
        <v/>
      </c>
      <c r="I615" s="7" t="n">
        <v>10000357</v>
      </c>
      <c r="J615" s="7">
        <f>IFERROR(VLOOKUP(I615,Materiales!$A:$H,8,0),"")</f>
        <v/>
      </c>
      <c r="K615" s="9">
        <f>IFERROR(VLOOKUP(I615,Materiales!$A:$G,7,0),"")</f>
        <v/>
      </c>
      <c r="L615" s="8" t="inlineStr">
        <is>
          <t>20190426</t>
        </is>
      </c>
      <c r="M615" s="8" t="inlineStr">
        <is>
          <t>20250127</t>
        </is>
      </c>
      <c r="N615" s="10" t="n">
        <v>127</v>
      </c>
      <c r="O615" s="10">
        <f>IFERROR(VLOOKUP(A615,Flete!$A:$J,10,0),"")</f>
        <v/>
      </c>
      <c r="P615" s="8" t="inlineStr">
        <is>
          <t>M3</t>
        </is>
      </c>
      <c r="Q615" s="10">
        <f>IFERROR(IFERROR(VLOOKUP(A615,TRAOPE!$A:$U,21,0),VLOOKUP(B615,TRAOPE!$A:$U,21,0)),"")</f>
        <v/>
      </c>
      <c r="R615" s="8">
        <f>IFERROR(IFERROR(VLOOKUP(A615,TRAOPE!$A:$W,23,0),VLOOKUP(B615,TRAOPE!$A:$W,23,0)),"")</f>
        <v/>
      </c>
      <c r="S615" s="10">
        <f>IF(AND(P615="TN",R615="TN"),N615+N(O615),IF(G615&amp;""="1",N(K615)*N615,(N615+N(O615))*N(K615)))</f>
        <v/>
      </c>
      <c r="T615" s="10">
        <f>IF(Q615="","",Q615-S615)</f>
        <v/>
      </c>
    </row>
    <row r="616">
      <c r="A616" s="7">
        <f>CONCATENATE(C616,E616,F616,I616)</f>
        <v/>
      </c>
      <c r="B616" s="7">
        <f>CONCATENATE(C616,E616,I616)</f>
        <v/>
      </c>
      <c r="C616" s="8" t="n">
        <v>900002574</v>
      </c>
      <c r="D616" s="7">
        <f>IFERROR(VLOOKUP(C616,TRAOPE!$G:$H,2,0),"")</f>
        <v/>
      </c>
      <c r="E616" s="8" t="inlineStr">
        <is>
          <t>D836</t>
        </is>
      </c>
      <c r="F616" s="8" t="inlineStr">
        <is>
          <t>67018621</t>
        </is>
      </c>
      <c r="G616" s="8">
        <f>IFERROR(VLOOKUP(A616,Flete!$A:$E,5,0),"")</f>
        <v/>
      </c>
      <c r="H616" s="7">
        <f>IFERROR(VLOOKUP(F616,TRAOPE!$AA:$AB,2,0),"")</f>
        <v/>
      </c>
      <c r="I616" s="7" t="n">
        <v>10000649</v>
      </c>
      <c r="J616" s="7">
        <f>IFERROR(VLOOKUP(I616,Materiales!$A:$H,8,0),"")</f>
        <v/>
      </c>
      <c r="K616" s="9">
        <f>IFERROR(VLOOKUP(I616,Materiales!$A:$G,7,0),"")</f>
        <v/>
      </c>
      <c r="L616" s="8" t="inlineStr">
        <is>
          <t>20190426</t>
        </is>
      </c>
      <c r="M616" s="8" t="inlineStr">
        <is>
          <t>20250127</t>
        </is>
      </c>
      <c r="N616" s="10" t="n">
        <v>132</v>
      </c>
      <c r="O616" s="10">
        <f>IFERROR(VLOOKUP(A616,Flete!$A:$J,10,0),"")</f>
        <v/>
      </c>
      <c r="P616" s="8" t="inlineStr">
        <is>
          <t>M3</t>
        </is>
      </c>
      <c r="Q616" s="10">
        <f>IFERROR(IFERROR(VLOOKUP(A616,TRAOPE!$A:$U,21,0),VLOOKUP(B616,TRAOPE!$A:$U,21,0)),"")</f>
        <v/>
      </c>
      <c r="R616" s="8">
        <f>IFERROR(IFERROR(VLOOKUP(A616,TRAOPE!$A:$W,23,0),VLOOKUP(B616,TRAOPE!$A:$W,23,0)),"")</f>
        <v/>
      </c>
      <c r="S616" s="10">
        <f>IF(AND(P616="TN",R616="TN"),N616+N(O616),IF(G616&amp;""="1",N(K616)*N616,(N616+N(O616))*N(K616)))</f>
        <v/>
      </c>
      <c r="T616" s="10">
        <f>IF(Q616="","",Q616-S616)</f>
        <v/>
      </c>
    </row>
    <row r="617">
      <c r="A617" s="7">
        <f>CONCATENATE(C617,E617,F617,I617)</f>
        <v/>
      </c>
      <c r="B617" s="7">
        <f>CONCATENATE(C617,E617,I617)</f>
        <v/>
      </c>
      <c r="C617" s="8" t="n">
        <v>900002574</v>
      </c>
      <c r="D617" s="7">
        <f>IFERROR(VLOOKUP(C617,TRAOPE!$G:$H,2,0),"")</f>
        <v/>
      </c>
      <c r="E617" s="8" t="inlineStr">
        <is>
          <t>D836</t>
        </is>
      </c>
      <c r="F617" s="8" t="inlineStr">
        <is>
          <t>67019802</t>
        </is>
      </c>
      <c r="G617" s="8">
        <f>IFERROR(VLOOKUP(A617,Flete!$A:$E,5,0),"")</f>
        <v/>
      </c>
      <c r="H617" s="7">
        <f>IFERROR(VLOOKUP(F617,TRAOPE!$AA:$AB,2,0),"")</f>
        <v/>
      </c>
      <c r="I617" s="7" t="n">
        <v>10000623</v>
      </c>
      <c r="J617" s="7">
        <f>IFERROR(VLOOKUP(I617,Materiales!$A:$H,8,0),"")</f>
        <v/>
      </c>
      <c r="K617" s="9">
        <f>IFERROR(VLOOKUP(I617,Materiales!$A:$G,7,0),"")</f>
        <v/>
      </c>
      <c r="L617" s="8" t="inlineStr">
        <is>
          <t>20190426</t>
        </is>
      </c>
      <c r="M617" s="8" t="inlineStr">
        <is>
          <t>20250127</t>
        </is>
      </c>
      <c r="N617" s="10" t="n">
        <v>125</v>
      </c>
      <c r="O617" s="10">
        <f>IFERROR(VLOOKUP(A617,Flete!$A:$J,10,0),"")</f>
        <v/>
      </c>
      <c r="P617" s="8" t="inlineStr">
        <is>
          <t>M3</t>
        </is>
      </c>
      <c r="Q617" s="10">
        <f>IFERROR(IFERROR(VLOOKUP(A617,TRAOPE!$A:$U,21,0),VLOOKUP(B617,TRAOPE!$A:$U,21,0)),"")</f>
        <v/>
      </c>
      <c r="R617" s="8">
        <f>IFERROR(IFERROR(VLOOKUP(A617,TRAOPE!$A:$W,23,0),VLOOKUP(B617,TRAOPE!$A:$W,23,0)),"")</f>
        <v/>
      </c>
      <c r="S617" s="10">
        <f>IF(AND(P617="TN",R617="TN"),N617+N(O617),IF(G617&amp;""="1",N(K617)*N617,(N617+N(O617))*N(K617)))</f>
        <v/>
      </c>
      <c r="T617" s="10">
        <f>IF(Q617="","",Q617-S617)</f>
        <v/>
      </c>
    </row>
    <row r="618">
      <c r="A618" s="7">
        <f>CONCATENATE(C618,E618,F618,I618)</f>
        <v/>
      </c>
      <c r="B618" s="7">
        <f>CONCATENATE(C618,E618,I618)</f>
        <v/>
      </c>
      <c r="C618" s="8" t="n">
        <v>900002574</v>
      </c>
      <c r="D618" s="7">
        <f>IFERROR(VLOOKUP(C618,TRAOPE!$G:$H,2,0),"")</f>
        <v/>
      </c>
      <c r="E618" s="8" t="inlineStr">
        <is>
          <t>D836</t>
        </is>
      </c>
      <c r="F618" s="8" t="inlineStr">
        <is>
          <t>67040133</t>
        </is>
      </c>
      <c r="G618" s="8">
        <f>IFERROR(VLOOKUP(A618,Flete!$A:$E,5,0),"")</f>
        <v/>
      </c>
      <c r="H618" s="7">
        <f>IFERROR(VLOOKUP(F618,TRAOPE!$AA:$AB,2,0),"")</f>
        <v/>
      </c>
      <c r="I618" s="7" t="n">
        <v>10000623</v>
      </c>
      <c r="J618" s="7">
        <f>IFERROR(VLOOKUP(I618,Materiales!$A:$H,8,0),"")</f>
        <v/>
      </c>
      <c r="K618" s="9">
        <f>IFERROR(VLOOKUP(I618,Materiales!$A:$G,7,0),"")</f>
        <v/>
      </c>
      <c r="L618" s="8" t="inlineStr">
        <is>
          <t>20190426</t>
        </is>
      </c>
      <c r="M618" s="8" t="inlineStr">
        <is>
          <t>20250127</t>
        </is>
      </c>
      <c r="N618" s="10" t="n">
        <v>517</v>
      </c>
      <c r="O618" s="10">
        <f>IFERROR(VLOOKUP(A618,Flete!$A:$J,10,0),"")</f>
        <v/>
      </c>
      <c r="P618" s="8" t="inlineStr">
        <is>
          <t>M3</t>
        </is>
      </c>
      <c r="Q618" s="10">
        <f>IFERROR(IFERROR(VLOOKUP(A618,TRAOPE!$A:$U,21,0),VLOOKUP(B618,TRAOPE!$A:$U,21,0)),"")</f>
        <v/>
      </c>
      <c r="R618" s="8">
        <f>IFERROR(IFERROR(VLOOKUP(A618,TRAOPE!$A:$W,23,0),VLOOKUP(B618,TRAOPE!$A:$W,23,0)),"")</f>
        <v/>
      </c>
      <c r="S618" s="10">
        <f>IF(AND(P618="TN",R618="TN"),N618+N(O618),IF(G618&amp;""="1",N(K618)*N618,(N618+N(O618))*N(K618)))</f>
        <v/>
      </c>
      <c r="T618" s="10">
        <f>IF(Q618="","",Q618-S618)</f>
        <v/>
      </c>
    </row>
    <row r="619">
      <c r="A619" s="7">
        <f>CONCATENATE(C619,E619,F619,I619)</f>
        <v/>
      </c>
      <c r="B619" s="7">
        <f>CONCATENATE(C619,E619,I619)</f>
        <v/>
      </c>
      <c r="C619" s="8" t="n">
        <v>900002574</v>
      </c>
      <c r="D619" s="7">
        <f>IFERROR(VLOOKUP(C619,TRAOPE!$G:$H,2,0),"")</f>
        <v/>
      </c>
      <c r="E619" s="8" t="inlineStr">
        <is>
          <t>D836</t>
        </is>
      </c>
      <c r="F619" s="8" t="inlineStr">
        <is>
          <t>67040133</t>
        </is>
      </c>
      <c r="G619" s="8">
        <f>IFERROR(VLOOKUP(A619,Flete!$A:$E,5,0),"")</f>
        <v/>
      </c>
      <c r="H619" s="7">
        <f>IFERROR(VLOOKUP(F619,TRAOPE!$AA:$AB,2,0),"")</f>
        <v/>
      </c>
      <c r="I619" s="7" t="n">
        <v>10000649</v>
      </c>
      <c r="J619" s="7">
        <f>IFERROR(VLOOKUP(I619,Materiales!$A:$H,8,0),"")</f>
        <v/>
      </c>
      <c r="K619" s="9">
        <f>IFERROR(VLOOKUP(I619,Materiales!$A:$G,7,0),"")</f>
        <v/>
      </c>
      <c r="L619" s="8" t="inlineStr">
        <is>
          <t>20190426</t>
        </is>
      </c>
      <c r="M619" s="8" t="inlineStr">
        <is>
          <t>20250127</t>
        </is>
      </c>
      <c r="N619" s="10" t="n">
        <v>400</v>
      </c>
      <c r="O619" s="10">
        <f>IFERROR(VLOOKUP(A619,Flete!$A:$J,10,0),"")</f>
        <v/>
      </c>
      <c r="P619" s="8" t="inlineStr">
        <is>
          <t>M3</t>
        </is>
      </c>
      <c r="Q619" s="10">
        <f>IFERROR(IFERROR(VLOOKUP(A619,TRAOPE!$A:$U,21,0),VLOOKUP(B619,TRAOPE!$A:$U,21,0)),"")</f>
        <v/>
      </c>
      <c r="R619" s="8">
        <f>IFERROR(IFERROR(VLOOKUP(A619,TRAOPE!$A:$W,23,0),VLOOKUP(B619,TRAOPE!$A:$W,23,0)),"")</f>
        <v/>
      </c>
      <c r="S619" s="10">
        <f>IF(AND(P619="TN",R619="TN"),N619+N(O619),IF(G619&amp;""="1",N(K619)*N619,(N619+N(O619))*N(K619)))</f>
        <v/>
      </c>
      <c r="T619" s="10">
        <f>IF(Q619="","",Q619-S619)</f>
        <v/>
      </c>
    </row>
    <row r="620">
      <c r="A620" s="7">
        <f>CONCATENATE(C620,E620,F620,I620)</f>
        <v/>
      </c>
      <c r="B620" s="7">
        <f>CONCATENATE(C620,E620,I620)</f>
        <v/>
      </c>
      <c r="C620" s="8" t="n">
        <v>900002574</v>
      </c>
      <c r="D620" s="7">
        <f>IFERROR(VLOOKUP(C620,TRAOPE!$G:$H,2,0),"")</f>
        <v/>
      </c>
      <c r="E620" s="8" t="inlineStr">
        <is>
          <t>D836</t>
        </is>
      </c>
      <c r="F620" s="8" t="inlineStr">
        <is>
          <t>67073185</t>
        </is>
      </c>
      <c r="G620" s="8">
        <f>IFERROR(VLOOKUP(A620,Flete!$A:$E,5,0),"")</f>
        <v/>
      </c>
      <c r="H620" s="7">
        <f>IFERROR(VLOOKUP(F620,TRAOPE!$AA:$AB,2,0),"")</f>
        <v/>
      </c>
      <c r="I620" s="7" t="n">
        <v>10000133</v>
      </c>
      <c r="J620" s="7">
        <f>IFERROR(VLOOKUP(I620,Materiales!$A:$H,8,0),"")</f>
        <v/>
      </c>
      <c r="K620" s="9">
        <f>IFERROR(VLOOKUP(I620,Materiales!$A:$G,7,0),"")</f>
        <v/>
      </c>
      <c r="L620" s="8" t="inlineStr">
        <is>
          <t>20190426</t>
        </is>
      </c>
      <c r="M620" s="8" t="inlineStr">
        <is>
          <t>20250127</t>
        </is>
      </c>
      <c r="N620" s="10" t="n">
        <v>543.5</v>
      </c>
      <c r="O620" s="10">
        <f>IFERROR(VLOOKUP(A620,Flete!$A:$J,10,0),"")</f>
        <v/>
      </c>
      <c r="P620" s="8" t="inlineStr">
        <is>
          <t>M3</t>
        </is>
      </c>
      <c r="Q620" s="10">
        <f>IFERROR(IFERROR(VLOOKUP(A620,TRAOPE!$A:$U,21,0),VLOOKUP(B620,TRAOPE!$A:$U,21,0)),"")</f>
        <v/>
      </c>
      <c r="R620" s="8">
        <f>IFERROR(IFERROR(VLOOKUP(A620,TRAOPE!$A:$W,23,0),VLOOKUP(B620,TRAOPE!$A:$W,23,0)),"")</f>
        <v/>
      </c>
      <c r="S620" s="10">
        <f>IF(AND(P620="TN",R620="TN"),N620+N(O620),IF(G620&amp;""="1",N(K620)*N620,(N620+N(O620))*N(K620)))</f>
        <v/>
      </c>
      <c r="T620" s="10">
        <f>IF(Q620="","",Q620-S620)</f>
        <v/>
      </c>
    </row>
    <row r="621">
      <c r="A621" s="7">
        <f>CONCATENATE(C621,E621,F621,I621)</f>
        <v/>
      </c>
      <c r="B621" s="7">
        <f>CONCATENATE(C621,E621,I621)</f>
        <v/>
      </c>
      <c r="C621" s="8" t="n">
        <v>900002574</v>
      </c>
      <c r="D621" s="7">
        <f>IFERROR(VLOOKUP(C621,TRAOPE!$G:$H,2,0),"")</f>
        <v/>
      </c>
      <c r="E621" s="8" t="inlineStr">
        <is>
          <t>D836</t>
        </is>
      </c>
      <c r="F621" s="8" t="inlineStr">
        <is>
          <t>67073185</t>
        </is>
      </c>
      <c r="G621" s="8">
        <f>IFERROR(VLOOKUP(A621,Flete!$A:$E,5,0),"")</f>
        <v/>
      </c>
      <c r="H621" s="7">
        <f>IFERROR(VLOOKUP(F621,TRAOPE!$AA:$AB,2,0),"")</f>
        <v/>
      </c>
      <c r="I621" s="7" t="n">
        <v>10058345</v>
      </c>
      <c r="J621" s="7">
        <f>IFERROR(VLOOKUP(I621,Materiales!$A:$H,8,0),"")</f>
        <v/>
      </c>
      <c r="K621" s="9">
        <f>IFERROR(VLOOKUP(I621,Materiales!$A:$G,7,0),"")</f>
        <v/>
      </c>
      <c r="L621" s="8" t="inlineStr">
        <is>
          <t>20190426</t>
        </is>
      </c>
      <c r="M621" s="8" t="inlineStr">
        <is>
          <t>20250127</t>
        </is>
      </c>
      <c r="N621" s="10" t="n">
        <v>96.67</v>
      </c>
      <c r="O621" s="10">
        <f>IFERROR(VLOOKUP(A621,Flete!$A:$J,10,0),"")</f>
        <v/>
      </c>
      <c r="P621" s="8" t="inlineStr">
        <is>
          <t>TN</t>
        </is>
      </c>
      <c r="Q621" s="10">
        <f>IFERROR(IFERROR(VLOOKUP(A621,TRAOPE!$A:$U,21,0),VLOOKUP(B621,TRAOPE!$A:$U,21,0)),"")</f>
        <v/>
      </c>
      <c r="R621" s="8">
        <f>IFERROR(IFERROR(VLOOKUP(A621,TRAOPE!$A:$W,23,0),VLOOKUP(B621,TRAOPE!$A:$W,23,0)),"")</f>
        <v/>
      </c>
      <c r="S621" s="10">
        <f>IF(AND(P621="TN",R621="TN"),N621+N(O621),IF(G621&amp;""="1",N(K621)*N621,(N621+N(O621))*N(K621)))</f>
        <v/>
      </c>
      <c r="T621" s="10">
        <f>IF(Q621="","",Q621-S621)</f>
        <v/>
      </c>
    </row>
    <row r="622">
      <c r="A622" s="7">
        <f>CONCATENATE(C622,E622,F622,I622)</f>
        <v/>
      </c>
      <c r="B622" s="7">
        <f>CONCATENATE(C622,E622,I622)</f>
        <v/>
      </c>
      <c r="C622" s="8" t="n">
        <v>900002574</v>
      </c>
      <c r="D622" s="7">
        <f>IFERROR(VLOOKUP(C622,TRAOPE!$G:$H,2,0),"")</f>
        <v/>
      </c>
      <c r="E622" s="8" t="inlineStr">
        <is>
          <t>D836</t>
        </is>
      </c>
      <c r="F622" s="8" t="inlineStr">
        <is>
          <t>67079060</t>
        </is>
      </c>
      <c r="G622" s="8">
        <f>IFERROR(VLOOKUP(A622,Flete!$A:$E,5,0),"")</f>
        <v/>
      </c>
      <c r="H622" s="7">
        <f>IFERROR(VLOOKUP(F622,TRAOPE!$AA:$AB,2,0),"")</f>
        <v/>
      </c>
      <c r="I622" s="7" t="n">
        <v>10000133</v>
      </c>
      <c r="J622" s="7">
        <f>IFERROR(VLOOKUP(I622,Materiales!$A:$H,8,0),"")</f>
        <v/>
      </c>
      <c r="K622" s="9">
        <f>IFERROR(VLOOKUP(I622,Materiales!$A:$G,7,0),"")</f>
        <v/>
      </c>
      <c r="L622" s="8" t="inlineStr">
        <is>
          <t>20190426</t>
        </is>
      </c>
      <c r="M622" s="8" t="inlineStr">
        <is>
          <t>20250127</t>
        </is>
      </c>
      <c r="N622" s="10" t="n">
        <v>543.5</v>
      </c>
      <c r="O622" s="10">
        <f>IFERROR(VLOOKUP(A622,Flete!$A:$J,10,0),"")</f>
        <v/>
      </c>
      <c r="P622" s="8" t="inlineStr">
        <is>
          <t>M3</t>
        </is>
      </c>
      <c r="Q622" s="10">
        <f>IFERROR(IFERROR(VLOOKUP(A622,TRAOPE!$A:$U,21,0),VLOOKUP(B622,TRAOPE!$A:$U,21,0)),"")</f>
        <v/>
      </c>
      <c r="R622" s="8">
        <f>IFERROR(IFERROR(VLOOKUP(A622,TRAOPE!$A:$W,23,0),VLOOKUP(B622,TRAOPE!$A:$W,23,0)),"")</f>
        <v/>
      </c>
      <c r="S622" s="10">
        <f>IF(AND(P622="TN",R622="TN"),N622+N(O622),IF(G622&amp;""="1",N(K622)*N622,(N622+N(O622))*N(K622)))</f>
        <v/>
      </c>
      <c r="T622" s="10">
        <f>IF(Q622="","",Q622-S622)</f>
        <v/>
      </c>
    </row>
    <row r="623">
      <c r="A623" s="7">
        <f>CONCATENATE(C623,E623,F623,I623)</f>
        <v/>
      </c>
      <c r="B623" s="7">
        <f>CONCATENATE(C623,E623,I623)</f>
        <v/>
      </c>
      <c r="C623" s="8" t="n">
        <v>900002574</v>
      </c>
      <c r="D623" s="7">
        <f>IFERROR(VLOOKUP(C623,TRAOPE!$G:$H,2,0),"")</f>
        <v/>
      </c>
      <c r="E623" s="8" t="inlineStr">
        <is>
          <t>D836</t>
        </is>
      </c>
      <c r="F623" s="8" t="inlineStr">
        <is>
          <t>67104946</t>
        </is>
      </c>
      <c r="G623" s="8">
        <f>IFERROR(VLOOKUP(A623,Flete!$A:$E,5,0),"")</f>
        <v/>
      </c>
      <c r="H623" s="7">
        <f>IFERROR(VLOOKUP(F623,TRAOPE!$AA:$AB,2,0),"")</f>
        <v/>
      </c>
      <c r="I623" s="7" t="n">
        <v>10000630</v>
      </c>
      <c r="J623" s="7">
        <f>IFERROR(VLOOKUP(I623,Materiales!$A:$H,8,0),"")</f>
        <v/>
      </c>
      <c r="K623" s="9">
        <f>IFERROR(VLOOKUP(I623,Materiales!$A:$G,7,0),"")</f>
        <v/>
      </c>
      <c r="L623" s="8" t="inlineStr">
        <is>
          <t>20190426</t>
        </is>
      </c>
      <c r="M623" s="8" t="inlineStr">
        <is>
          <t>20250127</t>
        </is>
      </c>
      <c r="N623" s="10" t="n">
        <v>570</v>
      </c>
      <c r="O623" s="10">
        <f>IFERROR(VLOOKUP(A623,Flete!$A:$J,10,0),"")</f>
        <v/>
      </c>
      <c r="P623" s="8" t="inlineStr">
        <is>
          <t>M3</t>
        </is>
      </c>
      <c r="Q623" s="10">
        <f>IFERROR(IFERROR(VLOOKUP(A623,TRAOPE!$A:$U,21,0),VLOOKUP(B623,TRAOPE!$A:$U,21,0)),"")</f>
        <v/>
      </c>
      <c r="R623" s="8">
        <f>IFERROR(IFERROR(VLOOKUP(A623,TRAOPE!$A:$W,23,0),VLOOKUP(B623,TRAOPE!$A:$W,23,0)),"")</f>
        <v/>
      </c>
      <c r="S623" s="10">
        <f>IF(AND(P623="TN",R623="TN"),N623+N(O623),IF(G623&amp;""="1",N(K623)*N623,(N623+N(O623))*N(K623)))</f>
        <v/>
      </c>
      <c r="T623" s="10">
        <f>IF(Q623="","",Q623-S623)</f>
        <v/>
      </c>
    </row>
    <row r="624">
      <c r="A624" s="7">
        <f>CONCATENATE(C624,E624,F624,I624)</f>
        <v/>
      </c>
      <c r="B624" s="7">
        <f>CONCATENATE(C624,E624,I624)</f>
        <v/>
      </c>
      <c r="C624" s="8" t="n">
        <v>900002574</v>
      </c>
      <c r="D624" s="7">
        <f>IFERROR(VLOOKUP(C624,TRAOPE!$G:$H,2,0),"")</f>
        <v/>
      </c>
      <c r="E624" s="8" t="inlineStr">
        <is>
          <t>D836</t>
        </is>
      </c>
      <c r="F624" s="8" t="inlineStr">
        <is>
          <t>67121213</t>
        </is>
      </c>
      <c r="G624" s="8">
        <f>IFERROR(VLOOKUP(A624,Flete!$A:$E,5,0),"")</f>
        <v/>
      </c>
      <c r="H624" s="7">
        <f>IFERROR(VLOOKUP(F624,TRAOPE!$AA:$AB,2,0),"")</f>
        <v/>
      </c>
      <c r="I624" s="7" t="n">
        <v>10000160</v>
      </c>
      <c r="J624" s="7">
        <f>IFERROR(VLOOKUP(I624,Materiales!$A:$H,8,0),"")</f>
        <v/>
      </c>
      <c r="K624" s="9">
        <f>IFERROR(VLOOKUP(I624,Materiales!$A:$G,7,0),"")</f>
        <v/>
      </c>
      <c r="L624" s="8" t="inlineStr">
        <is>
          <t>20190426</t>
        </is>
      </c>
      <c r="M624" s="8" t="inlineStr">
        <is>
          <t>20250127</t>
        </is>
      </c>
      <c r="N624" s="10" t="n">
        <v>440</v>
      </c>
      <c r="O624" s="10">
        <f>IFERROR(VLOOKUP(A624,Flete!$A:$J,10,0),"")</f>
        <v/>
      </c>
      <c r="P624" s="8" t="inlineStr">
        <is>
          <t>M3</t>
        </is>
      </c>
      <c r="Q624" s="10">
        <f>IFERROR(IFERROR(VLOOKUP(A624,TRAOPE!$A:$U,21,0),VLOOKUP(B624,TRAOPE!$A:$U,21,0)),"")</f>
        <v/>
      </c>
      <c r="R624" s="8">
        <f>IFERROR(IFERROR(VLOOKUP(A624,TRAOPE!$A:$W,23,0),VLOOKUP(B624,TRAOPE!$A:$W,23,0)),"")</f>
        <v/>
      </c>
      <c r="S624" s="10">
        <f>IF(AND(P624="TN",R624="TN"),N624+N(O624),IF(G624&amp;""="1",N(K624)*N624,(N624+N(O624))*N(K624)))</f>
        <v/>
      </c>
      <c r="T624" s="10">
        <f>IF(Q624="","",Q624-S624)</f>
        <v/>
      </c>
    </row>
    <row r="625">
      <c r="A625" s="7">
        <f>CONCATENATE(C625,E625,F625,I625)</f>
        <v/>
      </c>
      <c r="B625" s="7">
        <f>CONCATENATE(C625,E625,I625)</f>
        <v/>
      </c>
      <c r="C625" s="8" t="n">
        <v>900002574</v>
      </c>
      <c r="D625" s="7">
        <f>IFERROR(VLOOKUP(C625,TRAOPE!$G:$H,2,0),"")</f>
        <v/>
      </c>
      <c r="E625" s="8" t="inlineStr">
        <is>
          <t>D836</t>
        </is>
      </c>
      <c r="F625" s="8" t="inlineStr">
        <is>
          <t>67121213</t>
        </is>
      </c>
      <c r="G625" s="8">
        <f>IFERROR(VLOOKUP(A625,Flete!$A:$E,5,0),"")</f>
        <v/>
      </c>
      <c r="H625" s="7">
        <f>IFERROR(VLOOKUP(F625,TRAOPE!$AA:$AB,2,0),"")</f>
        <v/>
      </c>
      <c r="I625" s="7" t="n">
        <v>10000649</v>
      </c>
      <c r="J625" s="7">
        <f>IFERROR(VLOOKUP(I625,Materiales!$A:$H,8,0),"")</f>
        <v/>
      </c>
      <c r="K625" s="9">
        <f>IFERROR(VLOOKUP(I625,Materiales!$A:$G,7,0),"")</f>
        <v/>
      </c>
      <c r="L625" s="8" t="inlineStr">
        <is>
          <t>20190426</t>
        </is>
      </c>
      <c r="M625" s="8" t="inlineStr">
        <is>
          <t>20250127</t>
        </is>
      </c>
      <c r="N625" s="10" t="n">
        <v>430</v>
      </c>
      <c r="O625" s="10">
        <f>IFERROR(VLOOKUP(A625,Flete!$A:$J,10,0),"")</f>
        <v/>
      </c>
      <c r="P625" s="8" t="inlineStr">
        <is>
          <t>M3</t>
        </is>
      </c>
      <c r="Q625" s="10">
        <f>IFERROR(IFERROR(VLOOKUP(A625,TRAOPE!$A:$U,21,0),VLOOKUP(B625,TRAOPE!$A:$U,21,0)),"")</f>
        <v/>
      </c>
      <c r="R625" s="8">
        <f>IFERROR(IFERROR(VLOOKUP(A625,TRAOPE!$A:$W,23,0),VLOOKUP(B625,TRAOPE!$A:$W,23,0)),"")</f>
        <v/>
      </c>
      <c r="S625" s="10">
        <f>IF(AND(P625="TN",R625="TN"),N625+N(O625),IF(G625&amp;""="1",N(K625)*N625,(N625+N(O625))*N(K625)))</f>
        <v/>
      </c>
      <c r="T625" s="10">
        <f>IF(Q625="","",Q625-S625)</f>
        <v/>
      </c>
    </row>
    <row r="626">
      <c r="A626" s="7">
        <f>CONCATENATE(C626,E626,F626,I626)</f>
        <v/>
      </c>
      <c r="B626" s="7">
        <f>CONCATENATE(C626,E626,I626)</f>
        <v/>
      </c>
      <c r="C626" s="8" t="n">
        <v>900002574</v>
      </c>
      <c r="D626" s="7">
        <f>IFERROR(VLOOKUP(C626,TRAOPE!$G:$H,2,0),"")</f>
        <v/>
      </c>
      <c r="E626" s="8" t="inlineStr">
        <is>
          <t>D836</t>
        </is>
      </c>
      <c r="F626" s="8" t="inlineStr">
        <is>
          <t>67169734</t>
        </is>
      </c>
      <c r="G626" s="8">
        <f>IFERROR(VLOOKUP(A626,Flete!$A:$E,5,0),"")</f>
        <v/>
      </c>
      <c r="H626" s="7">
        <f>IFERROR(VLOOKUP(F626,TRAOPE!$AA:$AB,2,0),"")</f>
        <v/>
      </c>
      <c r="I626" s="7" t="n">
        <v>10000160</v>
      </c>
      <c r="J626" s="7">
        <f>IFERROR(VLOOKUP(I626,Materiales!$A:$H,8,0),"")</f>
        <v/>
      </c>
      <c r="K626" s="9">
        <f>IFERROR(VLOOKUP(I626,Materiales!$A:$G,7,0),"")</f>
        <v/>
      </c>
      <c r="L626" s="8" t="inlineStr">
        <is>
          <t>20190426</t>
        </is>
      </c>
      <c r="M626" s="8" t="inlineStr">
        <is>
          <t>20250127</t>
        </is>
      </c>
      <c r="N626" s="10" t="n">
        <v>386</v>
      </c>
      <c r="O626" s="10">
        <f>IFERROR(VLOOKUP(A626,Flete!$A:$J,10,0),"")</f>
        <v/>
      </c>
      <c r="P626" s="8" t="inlineStr">
        <is>
          <t>M3</t>
        </is>
      </c>
      <c r="Q626" s="10">
        <f>IFERROR(IFERROR(VLOOKUP(A626,TRAOPE!$A:$U,21,0),VLOOKUP(B626,TRAOPE!$A:$U,21,0)),"")</f>
        <v/>
      </c>
      <c r="R626" s="8">
        <f>IFERROR(IFERROR(VLOOKUP(A626,TRAOPE!$A:$W,23,0),VLOOKUP(B626,TRAOPE!$A:$W,23,0)),"")</f>
        <v/>
      </c>
      <c r="S626" s="10">
        <f>IF(AND(P626="TN",R626="TN"),N626+N(O626),IF(G626&amp;""="1",N(K626)*N626,(N626+N(O626))*N(K626)))</f>
        <v/>
      </c>
      <c r="T626" s="10">
        <f>IF(Q626="","",Q626-S626)</f>
        <v/>
      </c>
    </row>
    <row r="627">
      <c r="A627" s="7">
        <f>CONCATENATE(C627,E627,F627,I627)</f>
        <v/>
      </c>
      <c r="B627" s="7">
        <f>CONCATENATE(C627,E627,I627)</f>
        <v/>
      </c>
      <c r="C627" s="8" t="n">
        <v>900002574</v>
      </c>
      <c r="D627" s="7">
        <f>IFERROR(VLOOKUP(C627,TRAOPE!$G:$H,2,0),"")</f>
        <v/>
      </c>
      <c r="E627" s="8" t="inlineStr">
        <is>
          <t>D836</t>
        </is>
      </c>
      <c r="F627" s="8" t="inlineStr">
        <is>
          <t>67169734</t>
        </is>
      </c>
      <c r="G627" s="8">
        <f>IFERROR(VLOOKUP(A627,Flete!$A:$E,5,0),"")</f>
        <v/>
      </c>
      <c r="H627" s="7">
        <f>IFERROR(VLOOKUP(F627,TRAOPE!$AA:$AB,2,0),"")</f>
        <v/>
      </c>
      <c r="I627" s="7" t="n">
        <v>10000357</v>
      </c>
      <c r="J627" s="7">
        <f>IFERROR(VLOOKUP(I627,Materiales!$A:$H,8,0),"")</f>
        <v/>
      </c>
      <c r="K627" s="9">
        <f>IFERROR(VLOOKUP(I627,Materiales!$A:$G,7,0),"")</f>
        <v/>
      </c>
      <c r="L627" s="8" t="inlineStr">
        <is>
          <t>20190426</t>
        </is>
      </c>
      <c r="M627" s="8" t="inlineStr">
        <is>
          <t>20250127</t>
        </is>
      </c>
      <c r="N627" s="10" t="n">
        <v>416</v>
      </c>
      <c r="O627" s="10">
        <f>IFERROR(VLOOKUP(A627,Flete!$A:$J,10,0),"")</f>
        <v/>
      </c>
      <c r="P627" s="8" t="inlineStr">
        <is>
          <t>M3</t>
        </is>
      </c>
      <c r="Q627" s="10">
        <f>IFERROR(IFERROR(VLOOKUP(A627,TRAOPE!$A:$U,21,0),VLOOKUP(B627,TRAOPE!$A:$U,21,0)),"")</f>
        <v/>
      </c>
      <c r="R627" s="8">
        <f>IFERROR(IFERROR(VLOOKUP(A627,TRAOPE!$A:$W,23,0),VLOOKUP(B627,TRAOPE!$A:$W,23,0)),"")</f>
        <v/>
      </c>
      <c r="S627" s="10">
        <f>IF(AND(P627="TN",R627="TN"),N627+N(O627),IF(G627&amp;""="1",N(K627)*N627,(N627+N(O627))*N(K627)))</f>
        <v/>
      </c>
      <c r="T627" s="10">
        <f>IF(Q627="","",Q627-S627)</f>
        <v/>
      </c>
    </row>
    <row r="628">
      <c r="A628" s="7">
        <f>CONCATENATE(C628,E628,F628,I628)</f>
        <v/>
      </c>
      <c r="B628" s="7">
        <f>CONCATENATE(C628,E628,I628)</f>
        <v/>
      </c>
      <c r="C628" s="8" t="n">
        <v>900002574</v>
      </c>
      <c r="D628" s="7">
        <f>IFERROR(VLOOKUP(C628,TRAOPE!$G:$H,2,0),"")</f>
        <v/>
      </c>
      <c r="E628" s="8" t="inlineStr">
        <is>
          <t>D836</t>
        </is>
      </c>
      <c r="F628" s="8" t="inlineStr">
        <is>
          <t>E492</t>
        </is>
      </c>
      <c r="G628" s="8">
        <f>IFERROR(VLOOKUP(A628,Flete!$A:$E,5,0),"")</f>
        <v/>
      </c>
      <c r="H628" s="7">
        <f>IFERROR(VLOOKUP(F628,TRAOPE!$AA:$AB,2,0),"")</f>
        <v/>
      </c>
      <c r="I628" s="7" t="n">
        <v>10000357</v>
      </c>
      <c r="J628" s="7">
        <f>IFERROR(VLOOKUP(I628,Materiales!$A:$H,8,0),"")</f>
        <v/>
      </c>
      <c r="K628" s="9">
        <f>IFERROR(VLOOKUP(I628,Materiales!$A:$G,7,0),"")</f>
        <v/>
      </c>
      <c r="L628" s="8" t="inlineStr">
        <is>
          <t>20210223</t>
        </is>
      </c>
      <c r="M628" s="8" t="inlineStr">
        <is>
          <t>20250127</t>
        </is>
      </c>
      <c r="N628" s="10" t="n">
        <v>125</v>
      </c>
      <c r="O628" s="10">
        <f>IFERROR(VLOOKUP(A628,Flete!$A:$J,10,0),"")</f>
        <v/>
      </c>
      <c r="P628" s="8" t="inlineStr">
        <is>
          <t>M3</t>
        </is>
      </c>
      <c r="Q628" s="10">
        <f>IFERROR(IFERROR(VLOOKUP(A628,TRAOPE!$A:$U,21,0),VLOOKUP(B628,TRAOPE!$A:$U,21,0)),"")</f>
        <v/>
      </c>
      <c r="R628" s="8">
        <f>IFERROR(IFERROR(VLOOKUP(A628,TRAOPE!$A:$W,23,0),VLOOKUP(B628,TRAOPE!$A:$W,23,0)),"")</f>
        <v/>
      </c>
      <c r="S628" s="10">
        <f>IF(AND(P628="TN",R628="TN"),N628+N(O628),IF(G628&amp;""="1",N(K628)*N628,(N628+N(O628))*N(K628)))</f>
        <v/>
      </c>
      <c r="T628" s="10">
        <f>IF(Q628="","",Q628-S628)</f>
        <v/>
      </c>
    </row>
    <row r="629">
      <c r="A629" s="7">
        <f>CONCATENATE(C629,E629,F629,I629)</f>
        <v/>
      </c>
      <c r="B629" s="7">
        <f>CONCATENATE(C629,E629,I629)</f>
        <v/>
      </c>
      <c r="C629" s="8" t="n">
        <v>900002737</v>
      </c>
      <c r="D629" s="7">
        <f>IFERROR(VLOOKUP(C629,TRAOPE!$G:$H,2,0),"")</f>
        <v/>
      </c>
      <c r="E629" s="8" t="inlineStr">
        <is>
          <t>D836</t>
        </is>
      </c>
      <c r="F629" s="8" t="inlineStr">
        <is>
          <t>65061685</t>
        </is>
      </c>
      <c r="G629" s="8">
        <f>IFERROR(VLOOKUP(A629,Flete!$A:$E,5,0),"")</f>
        <v/>
      </c>
      <c r="H629" s="7">
        <f>IFERROR(VLOOKUP(F629,TRAOPE!$AA:$AB,2,0),"")</f>
        <v/>
      </c>
      <c r="I629" s="7" t="n">
        <v>10000160</v>
      </c>
      <c r="J629" s="7">
        <f>IFERROR(VLOOKUP(I629,Materiales!$A:$H,8,0),"")</f>
        <v/>
      </c>
      <c r="K629" s="9">
        <f>IFERROR(VLOOKUP(I629,Materiales!$A:$G,7,0),"")</f>
        <v/>
      </c>
      <c r="L629" s="8" t="inlineStr">
        <is>
          <t>20190426</t>
        </is>
      </c>
      <c r="M629" s="8" t="inlineStr">
        <is>
          <t>20250127</t>
        </is>
      </c>
      <c r="N629" s="10" t="n">
        <v>73.14</v>
      </c>
      <c r="O629" s="10">
        <f>IFERROR(VLOOKUP(A629,Flete!$A:$J,10,0),"")</f>
        <v/>
      </c>
      <c r="P629" s="8" t="inlineStr">
        <is>
          <t>M3</t>
        </is>
      </c>
      <c r="Q629" s="10">
        <f>IFERROR(IFERROR(VLOOKUP(A629,TRAOPE!$A:$U,21,0),VLOOKUP(B629,TRAOPE!$A:$U,21,0)),"")</f>
        <v/>
      </c>
      <c r="R629" s="8">
        <f>IFERROR(IFERROR(VLOOKUP(A629,TRAOPE!$A:$W,23,0),VLOOKUP(B629,TRAOPE!$A:$W,23,0)),"")</f>
        <v/>
      </c>
      <c r="S629" s="10">
        <f>IF(AND(P629="TN",R629="TN"),N629+N(O629),IF(G629&amp;""="1",N(K629)*N629,(N629+N(O629))*N(K629)))</f>
        <v/>
      </c>
      <c r="T629" s="10">
        <f>IF(Q629="","",Q629-S629)</f>
        <v/>
      </c>
    </row>
    <row r="630">
      <c r="A630" s="7">
        <f>CONCATENATE(C630,E630,F630,I630)</f>
        <v/>
      </c>
      <c r="B630" s="7">
        <f>CONCATENATE(C630,E630,I630)</f>
        <v/>
      </c>
      <c r="C630" s="8" t="n">
        <v>900002737</v>
      </c>
      <c r="D630" s="7">
        <f>IFERROR(VLOOKUP(C630,TRAOPE!$G:$H,2,0),"")</f>
        <v/>
      </c>
      <c r="E630" s="8" t="inlineStr">
        <is>
          <t>D836</t>
        </is>
      </c>
      <c r="F630" s="8" t="inlineStr">
        <is>
          <t>65570346</t>
        </is>
      </c>
      <c r="G630" s="8">
        <f>IFERROR(VLOOKUP(A630,Flete!$A:$E,5,0),"")</f>
        <v/>
      </c>
      <c r="H630" s="7">
        <f>IFERROR(VLOOKUP(F630,TRAOPE!$AA:$AB,2,0),"")</f>
        <v/>
      </c>
      <c r="I630" s="7" t="n">
        <v>10000160</v>
      </c>
      <c r="J630" s="7">
        <f>IFERROR(VLOOKUP(I630,Materiales!$A:$H,8,0),"")</f>
        <v/>
      </c>
      <c r="K630" s="9">
        <f>IFERROR(VLOOKUP(I630,Materiales!$A:$G,7,0),"")</f>
        <v/>
      </c>
      <c r="L630" s="8" t="inlineStr">
        <is>
          <t>20190426</t>
        </is>
      </c>
      <c r="M630" s="8" t="inlineStr">
        <is>
          <t>20250127</t>
        </is>
      </c>
      <c r="N630" s="10" t="n">
        <v>73.14</v>
      </c>
      <c r="O630" s="10">
        <f>IFERROR(VLOOKUP(A630,Flete!$A:$J,10,0),"")</f>
        <v/>
      </c>
      <c r="P630" s="8" t="inlineStr">
        <is>
          <t>M3</t>
        </is>
      </c>
      <c r="Q630" s="10">
        <f>IFERROR(IFERROR(VLOOKUP(A630,TRAOPE!$A:$U,21,0),VLOOKUP(B630,TRAOPE!$A:$U,21,0)),"")</f>
        <v/>
      </c>
      <c r="R630" s="8">
        <f>IFERROR(IFERROR(VLOOKUP(A630,TRAOPE!$A:$W,23,0),VLOOKUP(B630,TRAOPE!$A:$W,23,0)),"")</f>
        <v/>
      </c>
      <c r="S630" s="10">
        <f>IF(AND(P630="TN",R630="TN"),N630+N(O630),IF(G630&amp;""="1",N(K630)*N630,(N630+N(O630))*N(K630)))</f>
        <v/>
      </c>
      <c r="T630" s="10">
        <f>IF(Q630="","",Q630-S630)</f>
        <v/>
      </c>
    </row>
    <row r="631">
      <c r="A631" s="7">
        <f>CONCATENATE(C631,E631,F631,I631)</f>
        <v/>
      </c>
      <c r="B631" s="7">
        <f>CONCATENATE(C631,E631,I631)</f>
        <v/>
      </c>
      <c r="C631" s="8" t="n">
        <v>900002813</v>
      </c>
      <c r="D631" s="7">
        <f>IFERROR(VLOOKUP(C631,TRAOPE!$G:$H,2,0),"")</f>
        <v/>
      </c>
      <c r="E631" s="8" t="inlineStr">
        <is>
          <t>D836</t>
        </is>
      </c>
      <c r="F631" s="8" t="inlineStr">
        <is>
          <t>65442270</t>
        </is>
      </c>
      <c r="G631" s="8">
        <f>IFERROR(VLOOKUP(A631,Flete!$A:$E,5,0),"")</f>
        <v/>
      </c>
      <c r="H631" s="7">
        <f>IFERROR(VLOOKUP(F631,TRAOPE!$AA:$AB,2,0),"")</f>
        <v/>
      </c>
      <c r="I631" s="7" t="n">
        <v>10000630</v>
      </c>
      <c r="J631" s="7">
        <f>IFERROR(VLOOKUP(I631,Materiales!$A:$H,8,0),"")</f>
        <v/>
      </c>
      <c r="K631" s="9">
        <f>IFERROR(VLOOKUP(I631,Materiales!$A:$G,7,0),"")</f>
        <v/>
      </c>
      <c r="L631" s="8" t="inlineStr">
        <is>
          <t>20190426</t>
        </is>
      </c>
      <c r="M631" s="8" t="inlineStr">
        <is>
          <t>20250127</t>
        </is>
      </c>
      <c r="N631" s="10" t="n">
        <v>97.47</v>
      </c>
      <c r="O631" s="10">
        <f>IFERROR(VLOOKUP(A631,Flete!$A:$J,10,0),"")</f>
        <v/>
      </c>
      <c r="P631" s="8" t="inlineStr">
        <is>
          <t>TN</t>
        </is>
      </c>
      <c r="Q631" s="10">
        <f>IFERROR(IFERROR(VLOOKUP(A631,TRAOPE!$A:$U,21,0),VLOOKUP(B631,TRAOPE!$A:$U,21,0)),"")</f>
        <v/>
      </c>
      <c r="R631" s="8">
        <f>IFERROR(IFERROR(VLOOKUP(A631,TRAOPE!$A:$W,23,0),VLOOKUP(B631,TRAOPE!$A:$W,23,0)),"")</f>
        <v/>
      </c>
      <c r="S631" s="10">
        <f>IF(AND(P631="TN",R631="TN"),N631+N(O631),IF(G631&amp;""="1",N(K631)*N631,(N631+N(O631))*N(K631)))</f>
        <v/>
      </c>
      <c r="T631" s="10">
        <f>IF(Q631="","",Q631-S631)</f>
        <v/>
      </c>
    </row>
    <row r="632">
      <c r="A632" s="7">
        <f>CONCATENATE(C632,E632,F632,I632)</f>
        <v/>
      </c>
      <c r="B632" s="7">
        <f>CONCATENATE(C632,E632,I632)</f>
        <v/>
      </c>
      <c r="C632" s="8" t="n">
        <v>900002813</v>
      </c>
      <c r="D632" s="7">
        <f>IFERROR(VLOOKUP(C632,TRAOPE!$G:$H,2,0),"")</f>
        <v/>
      </c>
      <c r="E632" s="8" t="inlineStr">
        <is>
          <t>D836</t>
        </is>
      </c>
      <c r="F632" s="8" t="inlineStr">
        <is>
          <t>65442270</t>
        </is>
      </c>
      <c r="G632" s="8">
        <f>IFERROR(VLOOKUP(A632,Flete!$A:$E,5,0),"")</f>
        <v/>
      </c>
      <c r="H632" s="7">
        <f>IFERROR(VLOOKUP(F632,TRAOPE!$AA:$AB,2,0),"")</f>
        <v/>
      </c>
      <c r="I632" s="7" t="n">
        <v>10000722</v>
      </c>
      <c r="J632" s="7">
        <f>IFERROR(VLOOKUP(I632,Materiales!$A:$H,8,0),"")</f>
        <v/>
      </c>
      <c r="K632" s="9">
        <f>IFERROR(VLOOKUP(I632,Materiales!$A:$G,7,0),"")</f>
        <v/>
      </c>
      <c r="L632" s="8" t="inlineStr">
        <is>
          <t>20190426</t>
        </is>
      </c>
      <c r="M632" s="8" t="inlineStr">
        <is>
          <t>20250127</t>
        </is>
      </c>
      <c r="N632" s="10" t="n">
        <v>97.47</v>
      </c>
      <c r="O632" s="10">
        <f>IFERROR(VLOOKUP(A632,Flete!$A:$J,10,0),"")</f>
        <v/>
      </c>
      <c r="P632" s="8" t="inlineStr">
        <is>
          <t>TN</t>
        </is>
      </c>
      <c r="Q632" s="10">
        <f>IFERROR(IFERROR(VLOOKUP(A632,TRAOPE!$A:$U,21,0),VLOOKUP(B632,TRAOPE!$A:$U,21,0)),"")</f>
        <v/>
      </c>
      <c r="R632" s="8">
        <f>IFERROR(IFERROR(VLOOKUP(A632,TRAOPE!$A:$W,23,0),VLOOKUP(B632,TRAOPE!$A:$W,23,0)),"")</f>
        <v/>
      </c>
      <c r="S632" s="10">
        <f>IF(AND(P632="TN",R632="TN"),N632+N(O632),IF(G632&amp;""="1",N(K632)*N632,(N632+N(O632))*N(K632)))</f>
        <v/>
      </c>
      <c r="T632" s="10">
        <f>IF(Q632="","",Q632-S632)</f>
        <v/>
      </c>
    </row>
    <row r="633">
      <c r="A633" s="7">
        <f>CONCATENATE(C633,E633,F633,I633)</f>
        <v/>
      </c>
      <c r="B633" s="7">
        <f>CONCATENATE(C633,E633,I633)</f>
        <v/>
      </c>
      <c r="C633" s="8" t="n">
        <v>900002813</v>
      </c>
      <c r="D633" s="7">
        <f>IFERROR(VLOOKUP(C633,TRAOPE!$G:$H,2,0),"")</f>
        <v/>
      </c>
      <c r="E633" s="8" t="inlineStr">
        <is>
          <t>D836</t>
        </is>
      </c>
      <c r="F633" s="8" t="inlineStr">
        <is>
          <t>65763944</t>
        </is>
      </c>
      <c r="G633" s="8">
        <f>IFERROR(VLOOKUP(A633,Flete!$A:$E,5,0),"")</f>
        <v/>
      </c>
      <c r="H633" s="7">
        <f>IFERROR(VLOOKUP(F633,TRAOPE!$AA:$AB,2,0),"")</f>
        <v/>
      </c>
      <c r="I633" s="7" t="n">
        <v>10000722</v>
      </c>
      <c r="J633" s="7">
        <f>IFERROR(VLOOKUP(I633,Materiales!$A:$H,8,0),"")</f>
        <v/>
      </c>
      <c r="K633" s="9">
        <f>IFERROR(VLOOKUP(I633,Materiales!$A:$G,7,0),"")</f>
        <v/>
      </c>
      <c r="L633" s="8" t="inlineStr">
        <is>
          <t>20190426</t>
        </is>
      </c>
      <c r="M633" s="8" t="inlineStr">
        <is>
          <t>20250127</t>
        </is>
      </c>
      <c r="N633" s="10" t="n">
        <v>89.7</v>
      </c>
      <c r="O633" s="10">
        <f>IFERROR(VLOOKUP(A633,Flete!$A:$J,10,0),"")</f>
        <v/>
      </c>
      <c r="P633" s="8" t="inlineStr">
        <is>
          <t>TN</t>
        </is>
      </c>
      <c r="Q633" s="10">
        <f>IFERROR(IFERROR(VLOOKUP(A633,TRAOPE!$A:$U,21,0),VLOOKUP(B633,TRAOPE!$A:$U,21,0)),"")</f>
        <v/>
      </c>
      <c r="R633" s="8">
        <f>IFERROR(IFERROR(VLOOKUP(A633,TRAOPE!$A:$W,23,0),VLOOKUP(B633,TRAOPE!$A:$W,23,0)),"")</f>
        <v/>
      </c>
      <c r="S633" s="10">
        <f>IF(AND(P633="TN",R633="TN"),N633+N(O633),IF(G633&amp;""="1",N(K633)*N633,(N633+N(O633))*N(K633)))</f>
        <v/>
      </c>
      <c r="T633" s="10">
        <f>IF(Q633="","",Q633-S633)</f>
        <v/>
      </c>
    </row>
    <row r="634">
      <c r="A634" s="7">
        <f>CONCATENATE(C634,E634,F634,I634)</f>
        <v/>
      </c>
      <c r="B634" s="7">
        <f>CONCATENATE(C634,E634,I634)</f>
        <v/>
      </c>
      <c r="C634" s="8" t="n">
        <v>900002813</v>
      </c>
      <c r="D634" s="7">
        <f>IFERROR(VLOOKUP(C634,TRAOPE!$G:$H,2,0),"")</f>
        <v/>
      </c>
      <c r="E634" s="8" t="inlineStr">
        <is>
          <t>D836</t>
        </is>
      </c>
      <c r="F634" s="8" t="inlineStr">
        <is>
          <t>65916616</t>
        </is>
      </c>
      <c r="G634" s="8">
        <f>IFERROR(VLOOKUP(A634,Flete!$A:$E,5,0),"")</f>
        <v/>
      </c>
      <c r="H634" s="7">
        <f>IFERROR(VLOOKUP(F634,TRAOPE!$AA:$AB,2,0),"")</f>
        <v/>
      </c>
      <c r="I634" s="7" t="n">
        <v>10000630</v>
      </c>
      <c r="J634" s="7">
        <f>IFERROR(VLOOKUP(I634,Materiales!$A:$H,8,0),"")</f>
        <v/>
      </c>
      <c r="K634" s="9">
        <f>IFERROR(VLOOKUP(I634,Materiales!$A:$G,7,0),"")</f>
        <v/>
      </c>
      <c r="L634" s="8" t="inlineStr">
        <is>
          <t>20190426</t>
        </is>
      </c>
      <c r="M634" s="8" t="inlineStr">
        <is>
          <t>20250127</t>
        </is>
      </c>
      <c r="N634" s="10" t="n">
        <v>102.86</v>
      </c>
      <c r="O634" s="10">
        <f>IFERROR(VLOOKUP(A634,Flete!$A:$J,10,0),"")</f>
        <v/>
      </c>
      <c r="P634" s="8" t="inlineStr">
        <is>
          <t>TN</t>
        </is>
      </c>
      <c r="Q634" s="10">
        <f>IFERROR(IFERROR(VLOOKUP(A634,TRAOPE!$A:$U,21,0),VLOOKUP(B634,TRAOPE!$A:$U,21,0)),"")</f>
        <v/>
      </c>
      <c r="R634" s="8">
        <f>IFERROR(IFERROR(VLOOKUP(A634,TRAOPE!$A:$W,23,0),VLOOKUP(B634,TRAOPE!$A:$W,23,0)),"")</f>
        <v/>
      </c>
      <c r="S634" s="10">
        <f>IF(AND(P634="TN",R634="TN"),N634+N(O634),IF(G634&amp;""="1",N(K634)*N634,(N634+N(O634))*N(K634)))</f>
        <v/>
      </c>
      <c r="T634" s="10">
        <f>IF(Q634="","",Q634-S634)</f>
        <v/>
      </c>
    </row>
    <row r="635">
      <c r="A635" s="7">
        <f>CONCATENATE(C635,E635,F635,I635)</f>
        <v/>
      </c>
      <c r="B635" s="7">
        <f>CONCATENATE(C635,E635,I635)</f>
        <v/>
      </c>
      <c r="C635" s="8" t="n">
        <v>900003192</v>
      </c>
      <c r="D635" s="7">
        <f>IFERROR(VLOOKUP(C635,TRAOPE!$G:$H,2,0),"")</f>
        <v/>
      </c>
      <c r="E635" s="8" t="inlineStr">
        <is>
          <t>D836</t>
        </is>
      </c>
      <c r="F635" s="8" t="inlineStr">
        <is>
          <t>65003945</t>
        </is>
      </c>
      <c r="G635" s="8">
        <f>IFERROR(VLOOKUP(A635,Flete!$A:$E,5,0),"")</f>
        <v/>
      </c>
      <c r="H635" s="7">
        <f>IFERROR(VLOOKUP(F635,TRAOPE!$AA:$AB,2,0),"")</f>
        <v/>
      </c>
      <c r="I635" s="7" t="n">
        <v>10000624</v>
      </c>
      <c r="J635" s="7">
        <f>IFERROR(VLOOKUP(I635,Materiales!$A:$H,8,0),"")</f>
        <v/>
      </c>
      <c r="K635" s="9">
        <f>IFERROR(VLOOKUP(I635,Materiales!$A:$G,7,0),"")</f>
        <v/>
      </c>
      <c r="L635" s="8" t="inlineStr">
        <is>
          <t>20190426</t>
        </is>
      </c>
      <c r="M635" s="8" t="inlineStr">
        <is>
          <t>20250127</t>
        </is>
      </c>
      <c r="N635" s="10" t="n">
        <v>80</v>
      </c>
      <c r="O635" s="10">
        <f>IFERROR(VLOOKUP(A635,Flete!$A:$J,10,0),"")</f>
        <v/>
      </c>
      <c r="P635" s="8" t="inlineStr">
        <is>
          <t>TN</t>
        </is>
      </c>
      <c r="Q635" s="10">
        <f>IFERROR(IFERROR(VLOOKUP(A635,TRAOPE!$A:$U,21,0),VLOOKUP(B635,TRAOPE!$A:$U,21,0)),"")</f>
        <v/>
      </c>
      <c r="R635" s="8">
        <f>IFERROR(IFERROR(VLOOKUP(A635,TRAOPE!$A:$W,23,0),VLOOKUP(B635,TRAOPE!$A:$W,23,0)),"")</f>
        <v/>
      </c>
      <c r="S635" s="10">
        <f>IF(AND(P635="TN",R635="TN"),N635+N(O635),IF(G635&amp;""="1",N(K635)*N635,(N635+N(O635))*N(K635)))</f>
        <v/>
      </c>
      <c r="T635" s="10">
        <f>IF(Q635="","",Q635-S635)</f>
        <v/>
      </c>
    </row>
    <row r="636">
      <c r="A636" s="7">
        <f>CONCATENATE(C636,E636,F636,I636)</f>
        <v/>
      </c>
      <c r="B636" s="7">
        <f>CONCATENATE(C636,E636,I636)</f>
        <v/>
      </c>
      <c r="C636" s="8" t="n">
        <v>900003192</v>
      </c>
      <c r="D636" s="7">
        <f>IFERROR(VLOOKUP(C636,TRAOPE!$G:$H,2,0),"")</f>
        <v/>
      </c>
      <c r="E636" s="8" t="inlineStr">
        <is>
          <t>D836</t>
        </is>
      </c>
      <c r="F636" s="8" t="inlineStr">
        <is>
          <t>65003945</t>
        </is>
      </c>
      <c r="G636" s="8">
        <f>IFERROR(VLOOKUP(A636,Flete!$A:$E,5,0),"")</f>
        <v/>
      </c>
      <c r="H636" s="7">
        <f>IFERROR(VLOOKUP(F636,TRAOPE!$AA:$AB,2,0),"")</f>
        <v/>
      </c>
      <c r="I636" s="7" t="n">
        <v>10000630</v>
      </c>
      <c r="J636" s="7">
        <f>IFERROR(VLOOKUP(I636,Materiales!$A:$H,8,0),"")</f>
        <v/>
      </c>
      <c r="K636" s="9">
        <f>IFERROR(VLOOKUP(I636,Materiales!$A:$G,7,0),"")</f>
        <v/>
      </c>
      <c r="L636" s="8" t="inlineStr">
        <is>
          <t>20190426</t>
        </is>
      </c>
      <c r="M636" s="8" t="inlineStr">
        <is>
          <t>20250127</t>
        </is>
      </c>
      <c r="N636" s="10" t="n">
        <v>85</v>
      </c>
      <c r="O636" s="10">
        <f>IFERROR(VLOOKUP(A636,Flete!$A:$J,10,0),"")</f>
        <v/>
      </c>
      <c r="P636" s="8" t="inlineStr">
        <is>
          <t>TN</t>
        </is>
      </c>
      <c r="Q636" s="10">
        <f>IFERROR(IFERROR(VLOOKUP(A636,TRAOPE!$A:$U,21,0),VLOOKUP(B636,TRAOPE!$A:$U,21,0)),"")</f>
        <v/>
      </c>
      <c r="R636" s="8">
        <f>IFERROR(IFERROR(VLOOKUP(A636,TRAOPE!$A:$W,23,0),VLOOKUP(B636,TRAOPE!$A:$W,23,0)),"")</f>
        <v/>
      </c>
      <c r="S636" s="10">
        <f>IF(AND(P636="TN",R636="TN"),N636+N(O636),IF(G636&amp;""="1",N(K636)*N636,(N636+N(O636))*N(K636)))</f>
        <v/>
      </c>
      <c r="T636" s="10">
        <f>IF(Q636="","",Q636-S636)</f>
        <v/>
      </c>
    </row>
    <row r="637">
      <c r="A637" s="7">
        <f>CONCATENATE(C637,E637,F637,I637)</f>
        <v/>
      </c>
      <c r="B637" s="7">
        <f>CONCATENATE(C637,E637,I637)</f>
        <v/>
      </c>
      <c r="C637" s="8" t="n">
        <v>900003192</v>
      </c>
      <c r="D637" s="7">
        <f>IFERROR(VLOOKUP(C637,TRAOPE!$G:$H,2,0),"")</f>
        <v/>
      </c>
      <c r="E637" s="8" t="inlineStr">
        <is>
          <t>D836</t>
        </is>
      </c>
      <c r="F637" s="8" t="inlineStr">
        <is>
          <t>65003945</t>
        </is>
      </c>
      <c r="G637" s="8">
        <f>IFERROR(VLOOKUP(A637,Flete!$A:$E,5,0),"")</f>
        <v/>
      </c>
      <c r="H637" s="7">
        <f>IFERROR(VLOOKUP(F637,TRAOPE!$AA:$AB,2,0),"")</f>
        <v/>
      </c>
      <c r="I637" s="7" t="n">
        <v>10000722</v>
      </c>
      <c r="J637" s="7">
        <f>IFERROR(VLOOKUP(I637,Materiales!$A:$H,8,0),"")</f>
        <v/>
      </c>
      <c r="K637" s="9">
        <f>IFERROR(VLOOKUP(I637,Materiales!$A:$G,7,0),"")</f>
        <v/>
      </c>
      <c r="L637" s="8" t="inlineStr">
        <is>
          <t>20190426</t>
        </is>
      </c>
      <c r="M637" s="8" t="inlineStr">
        <is>
          <t>20250127</t>
        </is>
      </c>
      <c r="N637" s="10" t="n">
        <v>83</v>
      </c>
      <c r="O637" s="10">
        <f>IFERROR(VLOOKUP(A637,Flete!$A:$J,10,0),"")</f>
        <v/>
      </c>
      <c r="P637" s="8" t="inlineStr">
        <is>
          <t>TN</t>
        </is>
      </c>
      <c r="Q637" s="10">
        <f>IFERROR(IFERROR(VLOOKUP(A637,TRAOPE!$A:$U,21,0),VLOOKUP(B637,TRAOPE!$A:$U,21,0)),"")</f>
        <v/>
      </c>
      <c r="R637" s="8">
        <f>IFERROR(IFERROR(VLOOKUP(A637,TRAOPE!$A:$W,23,0),VLOOKUP(B637,TRAOPE!$A:$W,23,0)),"")</f>
        <v/>
      </c>
      <c r="S637" s="10">
        <f>IF(AND(P637="TN",R637="TN"),N637+N(O637),IF(G637&amp;""="1",N(K637)*N637,(N637+N(O637))*N(K637)))</f>
        <v/>
      </c>
      <c r="T637" s="10">
        <f>IF(Q637="","",Q637-S637)</f>
        <v/>
      </c>
    </row>
    <row r="638">
      <c r="A638" s="7">
        <f>CONCATENATE(C638,E638,F638,I638)</f>
        <v/>
      </c>
      <c r="B638" s="7">
        <f>CONCATENATE(C638,E638,I638)</f>
        <v/>
      </c>
      <c r="C638" s="8" t="n">
        <v>900003580</v>
      </c>
      <c r="D638" s="7">
        <f>IFERROR(VLOOKUP(C638,TRAOPE!$G:$H,2,0),"")</f>
        <v/>
      </c>
      <c r="E638" s="8" t="inlineStr">
        <is>
          <t>D836</t>
        </is>
      </c>
      <c r="F638" s="8" t="inlineStr">
        <is>
          <t>65932994</t>
        </is>
      </c>
      <c r="G638" s="8">
        <f>IFERROR(VLOOKUP(A638,Flete!$A:$E,5,0),"")</f>
        <v/>
      </c>
      <c r="H638" s="7">
        <f>IFERROR(VLOOKUP(F638,TRAOPE!$AA:$AB,2,0),"")</f>
        <v/>
      </c>
      <c r="I638" s="7" t="n">
        <v>10000357</v>
      </c>
      <c r="J638" s="7">
        <f>IFERROR(VLOOKUP(I638,Materiales!$A:$H,8,0),"")</f>
        <v/>
      </c>
      <c r="K638" s="9">
        <f>IFERROR(VLOOKUP(I638,Materiales!$A:$G,7,0),"")</f>
        <v/>
      </c>
      <c r="L638" s="8" t="inlineStr">
        <is>
          <t>20190426</t>
        </is>
      </c>
      <c r="M638" s="8" t="inlineStr">
        <is>
          <t>20250127</t>
        </is>
      </c>
      <c r="N638" s="10" t="n">
        <v>85</v>
      </c>
      <c r="O638" s="10">
        <f>IFERROR(VLOOKUP(A638,Flete!$A:$J,10,0),"")</f>
        <v/>
      </c>
      <c r="P638" s="8" t="inlineStr">
        <is>
          <t>TN</t>
        </is>
      </c>
      <c r="Q638" s="10">
        <f>IFERROR(IFERROR(VLOOKUP(A638,TRAOPE!$A:$U,21,0),VLOOKUP(B638,TRAOPE!$A:$U,21,0)),"")</f>
        <v/>
      </c>
      <c r="R638" s="8">
        <f>IFERROR(IFERROR(VLOOKUP(A638,TRAOPE!$A:$W,23,0),VLOOKUP(B638,TRAOPE!$A:$W,23,0)),"")</f>
        <v/>
      </c>
      <c r="S638" s="10">
        <f>IF(AND(P638="TN",R638="TN"),N638+N(O638),IF(G638&amp;""="1",N(K638)*N638,(N638+N(O638))*N(K638)))</f>
        <v/>
      </c>
      <c r="T638" s="10">
        <f>IF(Q638="","",Q638-S638)</f>
        <v/>
      </c>
    </row>
    <row r="639">
      <c r="A639" s="7">
        <f>CONCATENATE(C639,E639,F639,I639)</f>
        <v/>
      </c>
      <c r="B639" s="7">
        <f>CONCATENATE(C639,E639,I639)</f>
        <v/>
      </c>
      <c r="C639" s="8" t="n">
        <v>900003580</v>
      </c>
      <c r="D639" s="7">
        <f>IFERROR(VLOOKUP(C639,TRAOPE!$G:$H,2,0),"")</f>
        <v/>
      </c>
      <c r="E639" s="8" t="inlineStr">
        <is>
          <t>D836</t>
        </is>
      </c>
      <c r="F639" s="8" t="inlineStr">
        <is>
          <t>65932994</t>
        </is>
      </c>
      <c r="G639" s="8">
        <f>IFERROR(VLOOKUP(A639,Flete!$A:$E,5,0),"")</f>
        <v/>
      </c>
      <c r="H639" s="7">
        <f>IFERROR(VLOOKUP(F639,TRAOPE!$AA:$AB,2,0),"")</f>
        <v/>
      </c>
      <c r="I639" s="7" t="n">
        <v>10000625</v>
      </c>
      <c r="J639" s="7">
        <f>IFERROR(VLOOKUP(I639,Materiales!$A:$H,8,0),"")</f>
        <v/>
      </c>
      <c r="K639" s="9">
        <f>IFERROR(VLOOKUP(I639,Materiales!$A:$G,7,0),"")</f>
        <v/>
      </c>
      <c r="L639" s="8" t="inlineStr">
        <is>
          <t>20190426</t>
        </is>
      </c>
      <c r="M639" s="8" t="inlineStr">
        <is>
          <t>20250127</t>
        </is>
      </c>
      <c r="N639" s="10" t="n">
        <v>52</v>
      </c>
      <c r="O639" s="10">
        <f>IFERROR(VLOOKUP(A639,Flete!$A:$J,10,0),"")</f>
        <v/>
      </c>
      <c r="P639" s="8" t="inlineStr">
        <is>
          <t>TN</t>
        </is>
      </c>
      <c r="Q639" s="10">
        <f>IFERROR(IFERROR(VLOOKUP(A639,TRAOPE!$A:$U,21,0),VLOOKUP(B639,TRAOPE!$A:$U,21,0)),"")</f>
        <v/>
      </c>
      <c r="R639" s="8">
        <f>IFERROR(IFERROR(VLOOKUP(A639,TRAOPE!$A:$W,23,0),VLOOKUP(B639,TRAOPE!$A:$W,23,0)),"")</f>
        <v/>
      </c>
      <c r="S639" s="10">
        <f>IF(AND(P639="TN",R639="TN"),N639+N(O639),IF(G639&amp;""="1",N(K639)*N639,(N639+N(O639))*N(K639)))</f>
        <v/>
      </c>
      <c r="T639" s="10">
        <f>IF(Q639="","",Q639-S639)</f>
        <v/>
      </c>
    </row>
    <row r="640">
      <c r="A640" s="7">
        <f>CONCATENATE(C640,E640,F640,I640)</f>
        <v/>
      </c>
      <c r="B640" s="7">
        <f>CONCATENATE(C640,E640,I640)</f>
        <v/>
      </c>
      <c r="C640" s="8" t="n">
        <v>900003580</v>
      </c>
      <c r="D640" s="7">
        <f>IFERROR(VLOOKUP(C640,TRAOPE!$G:$H,2,0),"")</f>
        <v/>
      </c>
      <c r="E640" s="8" t="inlineStr">
        <is>
          <t>D836</t>
        </is>
      </c>
      <c r="F640" s="8" t="inlineStr">
        <is>
          <t>65932994</t>
        </is>
      </c>
      <c r="G640" s="8">
        <f>IFERROR(VLOOKUP(A640,Flete!$A:$E,5,0),"")</f>
        <v/>
      </c>
      <c r="H640" s="7">
        <f>IFERROR(VLOOKUP(F640,TRAOPE!$AA:$AB,2,0),"")</f>
        <v/>
      </c>
      <c r="I640" s="7" t="n">
        <v>10000627</v>
      </c>
      <c r="J640" s="7">
        <f>IFERROR(VLOOKUP(I640,Materiales!$A:$H,8,0),"")</f>
        <v/>
      </c>
      <c r="K640" s="9">
        <f>IFERROR(VLOOKUP(I640,Materiales!$A:$G,7,0),"")</f>
        <v/>
      </c>
      <c r="L640" s="8" t="inlineStr">
        <is>
          <t>20190426</t>
        </is>
      </c>
      <c r="M640" s="8" t="inlineStr">
        <is>
          <t>20250127</t>
        </is>
      </c>
      <c r="N640" s="10" t="n">
        <v>62</v>
      </c>
      <c r="O640" s="10">
        <f>IFERROR(VLOOKUP(A640,Flete!$A:$J,10,0),"")</f>
        <v/>
      </c>
      <c r="P640" s="8" t="inlineStr">
        <is>
          <t>TN</t>
        </is>
      </c>
      <c r="Q640" s="10">
        <f>IFERROR(IFERROR(VLOOKUP(A640,TRAOPE!$A:$U,21,0),VLOOKUP(B640,TRAOPE!$A:$U,21,0)),"")</f>
        <v/>
      </c>
      <c r="R640" s="8">
        <f>IFERROR(IFERROR(VLOOKUP(A640,TRAOPE!$A:$W,23,0),VLOOKUP(B640,TRAOPE!$A:$W,23,0)),"")</f>
        <v/>
      </c>
      <c r="S640" s="10">
        <f>IF(AND(P640="TN",R640="TN"),N640+N(O640),IF(G640&amp;""="1",N(K640)*N640,(N640+N(O640))*N(K640)))</f>
        <v/>
      </c>
      <c r="T640" s="10">
        <f>IF(Q640="","",Q640-S640)</f>
        <v/>
      </c>
    </row>
    <row r="641">
      <c r="A641" s="7">
        <f>CONCATENATE(C641,E641,F641,I641)</f>
        <v/>
      </c>
      <c r="B641" s="7">
        <f>CONCATENATE(C641,E641,I641)</f>
        <v/>
      </c>
      <c r="C641" s="8" t="n">
        <v>900003580</v>
      </c>
      <c r="D641" s="7">
        <f>IFERROR(VLOOKUP(C641,TRAOPE!$G:$H,2,0),"")</f>
        <v/>
      </c>
      <c r="E641" s="8" t="inlineStr">
        <is>
          <t>D836</t>
        </is>
      </c>
      <c r="F641" s="8" t="inlineStr">
        <is>
          <t>65932994</t>
        </is>
      </c>
      <c r="G641" s="8">
        <f>IFERROR(VLOOKUP(A641,Flete!$A:$E,5,0),"")</f>
        <v/>
      </c>
      <c r="H641" s="7">
        <f>IFERROR(VLOOKUP(F641,TRAOPE!$AA:$AB,2,0),"")</f>
        <v/>
      </c>
      <c r="I641" s="7" t="n">
        <v>10000651</v>
      </c>
      <c r="J641" s="7">
        <f>IFERROR(VLOOKUP(I641,Materiales!$A:$H,8,0),"")</f>
        <v/>
      </c>
      <c r="K641" s="9">
        <f>IFERROR(VLOOKUP(I641,Materiales!$A:$G,7,0),"")</f>
        <v/>
      </c>
      <c r="L641" s="8" t="inlineStr">
        <is>
          <t>20190426</t>
        </is>
      </c>
      <c r="M641" s="8" t="inlineStr">
        <is>
          <t>20250127</t>
        </is>
      </c>
      <c r="N641" s="10" t="n">
        <v>65</v>
      </c>
      <c r="O641" s="10">
        <f>IFERROR(VLOOKUP(A641,Flete!$A:$J,10,0),"")</f>
        <v/>
      </c>
      <c r="P641" s="8" t="inlineStr">
        <is>
          <t>TN</t>
        </is>
      </c>
      <c r="Q641" s="10">
        <f>IFERROR(IFERROR(VLOOKUP(A641,TRAOPE!$A:$U,21,0),VLOOKUP(B641,TRAOPE!$A:$U,21,0)),"")</f>
        <v/>
      </c>
      <c r="R641" s="8">
        <f>IFERROR(IFERROR(VLOOKUP(A641,TRAOPE!$A:$W,23,0),VLOOKUP(B641,TRAOPE!$A:$W,23,0)),"")</f>
        <v/>
      </c>
      <c r="S641" s="10">
        <f>IF(AND(P641="TN",R641="TN"),N641+N(O641),IF(G641&amp;""="1",N(K641)*N641,(N641+N(O641))*N(K641)))</f>
        <v/>
      </c>
      <c r="T641" s="10">
        <f>IF(Q641="","",Q641-S641)</f>
        <v/>
      </c>
    </row>
    <row r="642">
      <c r="A642" s="7">
        <f>CONCATENATE(C642,E642,F642,I642)</f>
        <v/>
      </c>
      <c r="B642" s="7">
        <f>CONCATENATE(C642,E642,I642)</f>
        <v/>
      </c>
      <c r="C642" s="8" t="n">
        <v>900003588</v>
      </c>
      <c r="D642" s="7">
        <f>IFERROR(VLOOKUP(C642,TRAOPE!$G:$H,2,0),"")</f>
        <v/>
      </c>
      <c r="E642" s="8" t="inlineStr">
        <is>
          <t>D836</t>
        </is>
      </c>
      <c r="F642" s="8" t="inlineStr">
        <is>
          <t>65016451</t>
        </is>
      </c>
      <c r="G642" s="8">
        <f>IFERROR(VLOOKUP(A642,Flete!$A:$E,5,0),"")</f>
        <v/>
      </c>
      <c r="H642" s="7">
        <f>IFERROR(VLOOKUP(F642,TRAOPE!$AA:$AB,2,0),"")</f>
        <v/>
      </c>
      <c r="I642" s="7" t="n">
        <v>10000625</v>
      </c>
      <c r="J642" s="7">
        <f>IFERROR(VLOOKUP(I642,Materiales!$A:$H,8,0),"")</f>
        <v/>
      </c>
      <c r="K642" s="9">
        <f>IFERROR(VLOOKUP(I642,Materiales!$A:$G,7,0),"")</f>
        <v/>
      </c>
      <c r="L642" s="8" t="inlineStr">
        <is>
          <t>20190426</t>
        </is>
      </c>
      <c r="M642" s="8" t="inlineStr">
        <is>
          <t>20250127</t>
        </is>
      </c>
      <c r="N642" s="10" t="n">
        <v>60</v>
      </c>
      <c r="O642" s="10">
        <f>IFERROR(VLOOKUP(A642,Flete!$A:$J,10,0),"")</f>
        <v/>
      </c>
      <c r="P642" s="8" t="inlineStr">
        <is>
          <t>TN</t>
        </is>
      </c>
      <c r="Q642" s="10">
        <f>IFERROR(IFERROR(VLOOKUP(A642,TRAOPE!$A:$U,21,0),VLOOKUP(B642,TRAOPE!$A:$U,21,0)),"")</f>
        <v/>
      </c>
      <c r="R642" s="8">
        <f>IFERROR(IFERROR(VLOOKUP(A642,TRAOPE!$A:$W,23,0),VLOOKUP(B642,TRAOPE!$A:$W,23,0)),"")</f>
        <v/>
      </c>
      <c r="S642" s="10">
        <f>IF(AND(P642="TN",R642="TN"),N642+N(O642),IF(G642&amp;""="1",N(K642)*N642,(N642+N(O642))*N(K642)))</f>
        <v/>
      </c>
      <c r="T642" s="10">
        <f>IF(Q642="","",Q642-S642)</f>
        <v/>
      </c>
    </row>
    <row r="643">
      <c r="A643" s="7">
        <f>CONCATENATE(C643,E643,F643,I643)</f>
        <v/>
      </c>
      <c r="B643" s="7">
        <f>CONCATENATE(C643,E643,I643)</f>
        <v/>
      </c>
      <c r="C643" s="8" t="n">
        <v>900003588</v>
      </c>
      <c r="D643" s="7">
        <f>IFERROR(VLOOKUP(C643,TRAOPE!$G:$H,2,0),"")</f>
        <v/>
      </c>
      <c r="E643" s="8" t="inlineStr">
        <is>
          <t>D836</t>
        </is>
      </c>
      <c r="F643" s="8" t="inlineStr">
        <is>
          <t>65061685</t>
        </is>
      </c>
      <c r="G643" s="8">
        <f>IFERROR(VLOOKUP(A643,Flete!$A:$E,5,0),"")</f>
        <v/>
      </c>
      <c r="H643" s="7">
        <f>IFERROR(VLOOKUP(F643,TRAOPE!$AA:$AB,2,0),"")</f>
        <v/>
      </c>
      <c r="I643" s="7" t="n">
        <v>10000357</v>
      </c>
      <c r="J643" s="7">
        <f>IFERROR(VLOOKUP(I643,Materiales!$A:$H,8,0),"")</f>
        <v/>
      </c>
      <c r="K643" s="9">
        <f>IFERROR(VLOOKUP(I643,Materiales!$A:$G,7,0),"")</f>
        <v/>
      </c>
      <c r="L643" s="8" t="inlineStr">
        <is>
          <t>20190426</t>
        </is>
      </c>
      <c r="M643" s="8" t="inlineStr">
        <is>
          <t>20250127</t>
        </is>
      </c>
      <c r="N643" s="10" t="n">
        <v>91</v>
      </c>
      <c r="O643" s="10">
        <f>IFERROR(VLOOKUP(A643,Flete!$A:$J,10,0),"")</f>
        <v/>
      </c>
      <c r="P643" s="8" t="inlineStr">
        <is>
          <t>TN</t>
        </is>
      </c>
      <c r="Q643" s="10">
        <f>IFERROR(IFERROR(VLOOKUP(A643,TRAOPE!$A:$U,21,0),VLOOKUP(B643,TRAOPE!$A:$U,21,0)),"")</f>
        <v/>
      </c>
      <c r="R643" s="8">
        <f>IFERROR(IFERROR(VLOOKUP(A643,TRAOPE!$A:$W,23,0),VLOOKUP(B643,TRAOPE!$A:$W,23,0)),"")</f>
        <v/>
      </c>
      <c r="S643" s="10">
        <f>IF(AND(P643="TN",R643="TN"),N643+N(O643),IF(G643&amp;""="1",N(K643)*N643,(N643+N(O643))*N(K643)))</f>
        <v/>
      </c>
      <c r="T643" s="10">
        <f>IF(Q643="","",Q643-S643)</f>
        <v/>
      </c>
    </row>
    <row r="644">
      <c r="A644" s="7">
        <f>CONCATENATE(C644,E644,F644,I644)</f>
        <v/>
      </c>
      <c r="B644" s="7">
        <f>CONCATENATE(C644,E644,I644)</f>
        <v/>
      </c>
      <c r="C644" s="8" t="n">
        <v>900003588</v>
      </c>
      <c r="D644" s="7">
        <f>IFERROR(VLOOKUP(C644,TRAOPE!$G:$H,2,0),"")</f>
        <v/>
      </c>
      <c r="E644" s="8" t="inlineStr">
        <is>
          <t>D836</t>
        </is>
      </c>
      <c r="F644" s="8" t="inlineStr">
        <is>
          <t>65061685</t>
        </is>
      </c>
      <c r="G644" s="8">
        <f>IFERROR(VLOOKUP(A644,Flete!$A:$E,5,0),"")</f>
        <v/>
      </c>
      <c r="H644" s="7">
        <f>IFERROR(VLOOKUP(F644,TRAOPE!$AA:$AB,2,0),"")</f>
        <v/>
      </c>
      <c r="I644" s="7" t="n">
        <v>10000625</v>
      </c>
      <c r="J644" s="7">
        <f>IFERROR(VLOOKUP(I644,Materiales!$A:$H,8,0),"")</f>
        <v/>
      </c>
      <c r="K644" s="9">
        <f>IFERROR(VLOOKUP(I644,Materiales!$A:$G,7,0),"")</f>
        <v/>
      </c>
      <c r="L644" s="8" t="inlineStr">
        <is>
          <t>20190426</t>
        </is>
      </c>
      <c r="M644" s="8" t="inlineStr">
        <is>
          <t>20250127</t>
        </is>
      </c>
      <c r="N644" s="10" t="n">
        <v>59.5</v>
      </c>
      <c r="O644" s="10">
        <f>IFERROR(VLOOKUP(A644,Flete!$A:$J,10,0),"")</f>
        <v/>
      </c>
      <c r="P644" s="8" t="inlineStr">
        <is>
          <t>TN</t>
        </is>
      </c>
      <c r="Q644" s="10">
        <f>IFERROR(IFERROR(VLOOKUP(A644,TRAOPE!$A:$U,21,0),VLOOKUP(B644,TRAOPE!$A:$U,21,0)),"")</f>
        <v/>
      </c>
      <c r="R644" s="8">
        <f>IFERROR(IFERROR(VLOOKUP(A644,TRAOPE!$A:$W,23,0),VLOOKUP(B644,TRAOPE!$A:$W,23,0)),"")</f>
        <v/>
      </c>
      <c r="S644" s="10">
        <f>IF(AND(P644="TN",R644="TN"),N644+N(O644),IF(G644&amp;""="1",N(K644)*N644,(N644+N(O644))*N(K644)))</f>
        <v/>
      </c>
      <c r="T644" s="10">
        <f>IF(Q644="","",Q644-S644)</f>
        <v/>
      </c>
    </row>
    <row r="645">
      <c r="A645" s="7">
        <f>CONCATENATE(C645,E645,F645,I645)</f>
        <v/>
      </c>
      <c r="B645" s="7">
        <f>CONCATENATE(C645,E645,I645)</f>
        <v/>
      </c>
      <c r="C645" s="8" t="n">
        <v>900003588</v>
      </c>
      <c r="D645" s="7">
        <f>IFERROR(VLOOKUP(C645,TRAOPE!$G:$H,2,0),"")</f>
        <v/>
      </c>
      <c r="E645" s="8" t="inlineStr">
        <is>
          <t>D836</t>
        </is>
      </c>
      <c r="F645" s="8" t="inlineStr">
        <is>
          <t>65061685</t>
        </is>
      </c>
      <c r="G645" s="8">
        <f>IFERROR(VLOOKUP(A645,Flete!$A:$E,5,0),"")</f>
        <v/>
      </c>
      <c r="H645" s="7">
        <f>IFERROR(VLOOKUP(F645,TRAOPE!$AA:$AB,2,0),"")</f>
        <v/>
      </c>
      <c r="I645" s="7" t="n">
        <v>10000627</v>
      </c>
      <c r="J645" s="7">
        <f>IFERROR(VLOOKUP(I645,Materiales!$A:$H,8,0),"")</f>
        <v/>
      </c>
      <c r="K645" s="9">
        <f>IFERROR(VLOOKUP(I645,Materiales!$A:$G,7,0),"")</f>
        <v/>
      </c>
      <c r="L645" s="8" t="inlineStr">
        <is>
          <t>20190426</t>
        </is>
      </c>
      <c r="M645" s="8" t="inlineStr">
        <is>
          <t>20250127</t>
        </is>
      </c>
      <c r="N645" s="10" t="n">
        <v>76</v>
      </c>
      <c r="O645" s="10">
        <f>IFERROR(VLOOKUP(A645,Flete!$A:$J,10,0),"")</f>
        <v/>
      </c>
      <c r="P645" s="8" t="inlineStr">
        <is>
          <t>TN</t>
        </is>
      </c>
      <c r="Q645" s="10">
        <f>IFERROR(IFERROR(VLOOKUP(A645,TRAOPE!$A:$U,21,0),VLOOKUP(B645,TRAOPE!$A:$U,21,0)),"")</f>
        <v/>
      </c>
      <c r="R645" s="8">
        <f>IFERROR(IFERROR(VLOOKUP(A645,TRAOPE!$A:$W,23,0),VLOOKUP(B645,TRAOPE!$A:$W,23,0)),"")</f>
        <v/>
      </c>
      <c r="S645" s="10">
        <f>IF(AND(P645="TN",R645="TN"),N645+N(O645),IF(G645&amp;""="1",N(K645)*N645,(N645+N(O645))*N(K645)))</f>
        <v/>
      </c>
      <c r="T645" s="10">
        <f>IF(Q645="","",Q645-S645)</f>
        <v/>
      </c>
    </row>
    <row r="646">
      <c r="A646" s="7">
        <f>CONCATENATE(C646,E646,F646,I646)</f>
        <v/>
      </c>
      <c r="B646" s="7">
        <f>CONCATENATE(C646,E646,I646)</f>
        <v/>
      </c>
      <c r="C646" s="8" t="n">
        <v>900003588</v>
      </c>
      <c r="D646" s="7">
        <f>IFERROR(VLOOKUP(C646,TRAOPE!$G:$H,2,0),"")</f>
        <v/>
      </c>
      <c r="E646" s="8" t="inlineStr">
        <is>
          <t>D836</t>
        </is>
      </c>
      <c r="F646" s="8" t="inlineStr">
        <is>
          <t>65061685</t>
        </is>
      </c>
      <c r="G646" s="8">
        <f>IFERROR(VLOOKUP(A646,Flete!$A:$E,5,0),"")</f>
        <v/>
      </c>
      <c r="H646" s="7">
        <f>IFERROR(VLOOKUP(F646,TRAOPE!$AA:$AB,2,0),"")</f>
        <v/>
      </c>
      <c r="I646" s="7" t="n">
        <v>10001354</v>
      </c>
      <c r="J646" s="7">
        <f>IFERROR(VLOOKUP(I646,Materiales!$A:$H,8,0),"")</f>
        <v/>
      </c>
      <c r="K646" s="9">
        <f>IFERROR(VLOOKUP(I646,Materiales!$A:$G,7,0),"")</f>
        <v/>
      </c>
      <c r="L646" s="8" t="inlineStr">
        <is>
          <t>20190426</t>
        </is>
      </c>
      <c r="M646" s="8" t="inlineStr">
        <is>
          <t>20250127</t>
        </is>
      </c>
      <c r="N646" s="10" t="n">
        <v>129</v>
      </c>
      <c r="O646" s="10">
        <f>IFERROR(VLOOKUP(A646,Flete!$A:$J,10,0),"")</f>
        <v/>
      </c>
      <c r="P646" s="8" t="inlineStr">
        <is>
          <t>TN</t>
        </is>
      </c>
      <c r="Q646" s="10">
        <f>IFERROR(IFERROR(VLOOKUP(A646,TRAOPE!$A:$U,21,0),VLOOKUP(B646,TRAOPE!$A:$U,21,0)),"")</f>
        <v/>
      </c>
      <c r="R646" s="8">
        <f>IFERROR(IFERROR(VLOOKUP(A646,TRAOPE!$A:$W,23,0),VLOOKUP(B646,TRAOPE!$A:$W,23,0)),"")</f>
        <v/>
      </c>
      <c r="S646" s="10">
        <f>IF(AND(P646="TN",R646="TN"),N646+N(O646),IF(G646&amp;""="1",N(K646)*N646,(N646+N(O646))*N(K646)))</f>
        <v/>
      </c>
      <c r="T646" s="10">
        <f>IF(Q646="","",Q646-S646)</f>
        <v/>
      </c>
    </row>
    <row r="647">
      <c r="A647" s="7">
        <f>CONCATENATE(C647,E647,F647,I647)</f>
        <v/>
      </c>
      <c r="B647" s="7">
        <f>CONCATENATE(C647,E647,I647)</f>
        <v/>
      </c>
      <c r="C647" s="8" t="n">
        <v>900003588</v>
      </c>
      <c r="D647" s="7">
        <f>IFERROR(VLOOKUP(C647,TRAOPE!$G:$H,2,0),"")</f>
        <v/>
      </c>
      <c r="E647" s="8" t="inlineStr">
        <is>
          <t>D836</t>
        </is>
      </c>
      <c r="F647" s="8" t="inlineStr">
        <is>
          <t>65061685</t>
        </is>
      </c>
      <c r="G647" s="8">
        <f>IFERROR(VLOOKUP(A647,Flete!$A:$E,5,0),"")</f>
        <v/>
      </c>
      <c r="H647" s="7">
        <f>IFERROR(VLOOKUP(F647,TRAOPE!$AA:$AB,2,0),"")</f>
        <v/>
      </c>
      <c r="I647" s="7" t="n">
        <v>10003015</v>
      </c>
      <c r="J647" s="7">
        <f>IFERROR(VLOOKUP(I647,Materiales!$A:$H,8,0),"")</f>
        <v/>
      </c>
      <c r="K647" s="9">
        <f>IFERROR(VLOOKUP(I647,Materiales!$A:$G,7,0),"")</f>
        <v/>
      </c>
      <c r="L647" s="8" t="inlineStr">
        <is>
          <t>20190426</t>
        </is>
      </c>
      <c r="M647" s="8" t="inlineStr">
        <is>
          <t>20250127</t>
        </is>
      </c>
      <c r="N647" s="10" t="n">
        <v>71.3</v>
      </c>
      <c r="O647" s="10">
        <f>IFERROR(VLOOKUP(A647,Flete!$A:$J,10,0),"")</f>
        <v/>
      </c>
      <c r="P647" s="8" t="inlineStr">
        <is>
          <t>TN</t>
        </is>
      </c>
      <c r="Q647" s="10">
        <f>IFERROR(IFERROR(VLOOKUP(A647,TRAOPE!$A:$U,21,0),VLOOKUP(B647,TRAOPE!$A:$U,21,0)),"")</f>
        <v/>
      </c>
      <c r="R647" s="8">
        <f>IFERROR(IFERROR(VLOOKUP(A647,TRAOPE!$A:$W,23,0),VLOOKUP(B647,TRAOPE!$A:$W,23,0)),"")</f>
        <v/>
      </c>
      <c r="S647" s="10">
        <f>IF(AND(P647="TN",R647="TN"),N647+N(O647),IF(G647&amp;""="1",N(K647)*N647,(N647+N(O647))*N(K647)))</f>
        <v/>
      </c>
      <c r="T647" s="10">
        <f>IF(Q647="","",Q647-S647)</f>
        <v/>
      </c>
    </row>
    <row r="648">
      <c r="A648" s="7">
        <f>CONCATENATE(C648,E648,F648,I648)</f>
        <v/>
      </c>
      <c r="B648" s="7">
        <f>CONCATENATE(C648,E648,I648)</f>
        <v/>
      </c>
      <c r="C648" s="8" t="n">
        <v>900003588</v>
      </c>
      <c r="D648" s="7">
        <f>IFERROR(VLOOKUP(C648,TRAOPE!$G:$H,2,0),"")</f>
        <v/>
      </c>
      <c r="E648" s="8" t="inlineStr">
        <is>
          <t>D836</t>
        </is>
      </c>
      <c r="F648" s="8" t="inlineStr">
        <is>
          <t>65065480</t>
        </is>
      </c>
      <c r="G648" s="8">
        <f>IFERROR(VLOOKUP(A648,Flete!$A:$E,5,0),"")</f>
        <v/>
      </c>
      <c r="H648" s="7">
        <f>IFERROR(VLOOKUP(F648,TRAOPE!$AA:$AB,2,0),"")</f>
        <v/>
      </c>
      <c r="I648" s="7" t="n">
        <v>10000625</v>
      </c>
      <c r="J648" s="7">
        <f>IFERROR(VLOOKUP(I648,Materiales!$A:$H,8,0),"")</f>
        <v/>
      </c>
      <c r="K648" s="9">
        <f>IFERROR(VLOOKUP(I648,Materiales!$A:$G,7,0),"")</f>
        <v/>
      </c>
      <c r="L648" s="8" t="inlineStr">
        <is>
          <t>20190426</t>
        </is>
      </c>
      <c r="M648" s="8" t="inlineStr">
        <is>
          <t>20250127</t>
        </is>
      </c>
      <c r="N648" s="10" t="n">
        <v>73.14</v>
      </c>
      <c r="O648" s="10">
        <f>IFERROR(VLOOKUP(A648,Flete!$A:$J,10,0),"")</f>
        <v/>
      </c>
      <c r="P648" s="8" t="inlineStr">
        <is>
          <t>TN</t>
        </is>
      </c>
      <c r="Q648" s="10">
        <f>IFERROR(IFERROR(VLOOKUP(A648,TRAOPE!$A:$U,21,0),VLOOKUP(B648,TRAOPE!$A:$U,21,0)),"")</f>
        <v/>
      </c>
      <c r="R648" s="8">
        <f>IFERROR(IFERROR(VLOOKUP(A648,TRAOPE!$A:$W,23,0),VLOOKUP(B648,TRAOPE!$A:$W,23,0)),"")</f>
        <v/>
      </c>
      <c r="S648" s="10">
        <f>IF(AND(P648="TN",R648="TN"),N648+N(O648),IF(G648&amp;""="1",N(K648)*N648,(N648+N(O648))*N(K648)))</f>
        <v/>
      </c>
      <c r="T648" s="10">
        <f>IF(Q648="","",Q648-S648)</f>
        <v/>
      </c>
    </row>
    <row r="649">
      <c r="A649" s="7">
        <f>CONCATENATE(C649,E649,F649,I649)</f>
        <v/>
      </c>
      <c r="B649" s="7">
        <f>CONCATENATE(C649,E649,I649)</f>
        <v/>
      </c>
      <c r="C649" s="8" t="n">
        <v>900003588</v>
      </c>
      <c r="D649" s="7">
        <f>IFERROR(VLOOKUP(C649,TRAOPE!$G:$H,2,0),"")</f>
        <v/>
      </c>
      <c r="E649" s="8" t="inlineStr">
        <is>
          <t>D836</t>
        </is>
      </c>
      <c r="F649" s="8" t="inlineStr">
        <is>
          <t>65082424</t>
        </is>
      </c>
      <c r="G649" s="8">
        <f>IFERROR(VLOOKUP(A649,Flete!$A:$E,5,0),"")</f>
        <v/>
      </c>
      <c r="H649" s="7">
        <f>IFERROR(VLOOKUP(F649,TRAOPE!$AA:$AB,2,0),"")</f>
        <v/>
      </c>
      <c r="I649" s="7" t="n">
        <v>10000357</v>
      </c>
      <c r="J649" s="7">
        <f>IFERROR(VLOOKUP(I649,Materiales!$A:$H,8,0),"")</f>
        <v/>
      </c>
      <c r="K649" s="9">
        <f>IFERROR(VLOOKUP(I649,Materiales!$A:$G,7,0),"")</f>
        <v/>
      </c>
      <c r="L649" s="8" t="inlineStr">
        <is>
          <t>20190426</t>
        </is>
      </c>
      <c r="M649" s="8" t="inlineStr">
        <is>
          <t>20250127</t>
        </is>
      </c>
      <c r="N649" s="10" t="n">
        <v>59.8</v>
      </c>
      <c r="O649" s="10">
        <f>IFERROR(VLOOKUP(A649,Flete!$A:$J,10,0),"")</f>
        <v/>
      </c>
      <c r="P649" s="8" t="inlineStr">
        <is>
          <t>TN</t>
        </is>
      </c>
      <c r="Q649" s="10">
        <f>IFERROR(IFERROR(VLOOKUP(A649,TRAOPE!$A:$U,21,0),VLOOKUP(B649,TRAOPE!$A:$U,21,0)),"")</f>
        <v/>
      </c>
      <c r="R649" s="8">
        <f>IFERROR(IFERROR(VLOOKUP(A649,TRAOPE!$A:$W,23,0),VLOOKUP(B649,TRAOPE!$A:$W,23,0)),"")</f>
        <v/>
      </c>
      <c r="S649" s="10">
        <f>IF(AND(P649="TN",R649="TN"),N649+N(O649),IF(G649&amp;""="1",N(K649)*N649,(N649+N(O649))*N(K649)))</f>
        <v/>
      </c>
      <c r="T649" s="10">
        <f>IF(Q649="","",Q649-S649)</f>
        <v/>
      </c>
    </row>
    <row r="650">
      <c r="A650" s="7">
        <f>CONCATENATE(C650,E650,F650,I650)</f>
        <v/>
      </c>
      <c r="B650" s="7">
        <f>CONCATENATE(C650,E650,I650)</f>
        <v/>
      </c>
      <c r="C650" s="8" t="n">
        <v>900003588</v>
      </c>
      <c r="D650" s="7">
        <f>IFERROR(VLOOKUP(C650,TRAOPE!$G:$H,2,0),"")</f>
        <v/>
      </c>
      <c r="E650" s="8" t="inlineStr">
        <is>
          <t>D836</t>
        </is>
      </c>
      <c r="F650" s="8" t="inlineStr">
        <is>
          <t>65082424</t>
        </is>
      </c>
      <c r="G650" s="8">
        <f>IFERROR(VLOOKUP(A650,Flete!$A:$E,5,0),"")</f>
        <v/>
      </c>
      <c r="H650" s="7">
        <f>IFERROR(VLOOKUP(F650,TRAOPE!$AA:$AB,2,0),"")</f>
        <v/>
      </c>
      <c r="I650" s="7" t="n">
        <v>10000625</v>
      </c>
      <c r="J650" s="7">
        <f>IFERROR(VLOOKUP(I650,Materiales!$A:$H,8,0),"")</f>
        <v/>
      </c>
      <c r="K650" s="9">
        <f>IFERROR(VLOOKUP(I650,Materiales!$A:$G,7,0),"")</f>
        <v/>
      </c>
      <c r="L650" s="8" t="inlineStr">
        <is>
          <t>20190426</t>
        </is>
      </c>
      <c r="M650" s="8" t="inlineStr">
        <is>
          <t>20250127</t>
        </is>
      </c>
      <c r="N650" s="10" t="n">
        <v>60.95</v>
      </c>
      <c r="O650" s="10">
        <f>IFERROR(VLOOKUP(A650,Flete!$A:$J,10,0),"")</f>
        <v/>
      </c>
      <c r="P650" s="8" t="inlineStr">
        <is>
          <t>TN</t>
        </is>
      </c>
      <c r="Q650" s="10">
        <f>IFERROR(IFERROR(VLOOKUP(A650,TRAOPE!$A:$U,21,0),VLOOKUP(B650,TRAOPE!$A:$U,21,0)),"")</f>
        <v/>
      </c>
      <c r="R650" s="8">
        <f>IFERROR(IFERROR(VLOOKUP(A650,TRAOPE!$A:$W,23,0),VLOOKUP(B650,TRAOPE!$A:$W,23,0)),"")</f>
        <v/>
      </c>
      <c r="S650" s="10">
        <f>IF(AND(P650="TN",R650="TN"),N650+N(O650),IF(G650&amp;""="1",N(K650)*N650,(N650+N(O650))*N(K650)))</f>
        <v/>
      </c>
      <c r="T650" s="10">
        <f>IF(Q650="","",Q650-S650)</f>
        <v/>
      </c>
    </row>
    <row r="651">
      <c r="A651" s="7">
        <f>CONCATENATE(C651,E651,F651,I651)</f>
        <v/>
      </c>
      <c r="B651" s="7">
        <f>CONCATENATE(C651,E651,I651)</f>
        <v/>
      </c>
      <c r="C651" s="8" t="n">
        <v>900003588</v>
      </c>
      <c r="D651" s="7">
        <f>IFERROR(VLOOKUP(C651,TRAOPE!$G:$H,2,0),"")</f>
        <v/>
      </c>
      <c r="E651" s="8" t="inlineStr">
        <is>
          <t>D836</t>
        </is>
      </c>
      <c r="F651" s="8" t="inlineStr">
        <is>
          <t>65129997</t>
        </is>
      </c>
      <c r="G651" s="8">
        <f>IFERROR(VLOOKUP(A651,Flete!$A:$E,5,0),"")</f>
        <v/>
      </c>
      <c r="H651" s="7">
        <f>IFERROR(VLOOKUP(F651,TRAOPE!$AA:$AB,2,0),"")</f>
        <v/>
      </c>
      <c r="I651" s="7" t="n">
        <v>10000357</v>
      </c>
      <c r="J651" s="7">
        <f>IFERROR(VLOOKUP(I651,Materiales!$A:$H,8,0),"")</f>
        <v/>
      </c>
      <c r="K651" s="9">
        <f>IFERROR(VLOOKUP(I651,Materiales!$A:$G,7,0),"")</f>
        <v/>
      </c>
      <c r="L651" s="8" t="inlineStr">
        <is>
          <t>20190426</t>
        </is>
      </c>
      <c r="M651" s="8" t="inlineStr">
        <is>
          <t>20250127</t>
        </is>
      </c>
      <c r="N651" s="10" t="n">
        <v>72.95999999999999</v>
      </c>
      <c r="O651" s="10">
        <f>IFERROR(VLOOKUP(A651,Flete!$A:$J,10,0),"")</f>
        <v/>
      </c>
      <c r="P651" s="8" t="inlineStr">
        <is>
          <t>TN</t>
        </is>
      </c>
      <c r="Q651" s="10">
        <f>IFERROR(IFERROR(VLOOKUP(A651,TRAOPE!$A:$U,21,0),VLOOKUP(B651,TRAOPE!$A:$U,21,0)),"")</f>
        <v/>
      </c>
      <c r="R651" s="8">
        <f>IFERROR(IFERROR(VLOOKUP(A651,TRAOPE!$A:$W,23,0),VLOOKUP(B651,TRAOPE!$A:$W,23,0)),"")</f>
        <v/>
      </c>
      <c r="S651" s="10">
        <f>IF(AND(P651="TN",R651="TN"),N651+N(O651),IF(G651&amp;""="1",N(K651)*N651,(N651+N(O651))*N(K651)))</f>
        <v/>
      </c>
      <c r="T651" s="10">
        <f>IF(Q651="","",Q651-S651)</f>
        <v/>
      </c>
    </row>
    <row r="652">
      <c r="A652" s="7">
        <f>CONCATENATE(C652,E652,F652,I652)</f>
        <v/>
      </c>
      <c r="B652" s="7">
        <f>CONCATENATE(C652,E652,I652)</f>
        <v/>
      </c>
      <c r="C652" s="8" t="n">
        <v>900003588</v>
      </c>
      <c r="D652" s="7">
        <f>IFERROR(VLOOKUP(C652,TRAOPE!$G:$H,2,0),"")</f>
        <v/>
      </c>
      <c r="E652" s="8" t="inlineStr">
        <is>
          <t>D836</t>
        </is>
      </c>
      <c r="F652" s="8" t="inlineStr">
        <is>
          <t>65129997</t>
        </is>
      </c>
      <c r="G652" s="8">
        <f>IFERROR(VLOOKUP(A652,Flete!$A:$E,5,0),"")</f>
        <v/>
      </c>
      <c r="H652" s="7">
        <f>IFERROR(VLOOKUP(F652,TRAOPE!$AA:$AB,2,0),"")</f>
        <v/>
      </c>
      <c r="I652" s="7" t="n">
        <v>10000625</v>
      </c>
      <c r="J652" s="7">
        <f>IFERROR(VLOOKUP(I652,Materiales!$A:$H,8,0),"")</f>
        <v/>
      </c>
      <c r="K652" s="9">
        <f>IFERROR(VLOOKUP(I652,Materiales!$A:$G,7,0),"")</f>
        <v/>
      </c>
      <c r="L652" s="8" t="inlineStr">
        <is>
          <t>20190426</t>
        </is>
      </c>
      <c r="M652" s="8" t="inlineStr">
        <is>
          <t>20250127</t>
        </is>
      </c>
      <c r="N652" s="10" t="n">
        <v>59.73</v>
      </c>
      <c r="O652" s="10">
        <f>IFERROR(VLOOKUP(A652,Flete!$A:$J,10,0),"")</f>
        <v/>
      </c>
      <c r="P652" s="8" t="inlineStr">
        <is>
          <t>TN</t>
        </is>
      </c>
      <c r="Q652" s="10">
        <f>IFERROR(IFERROR(VLOOKUP(A652,TRAOPE!$A:$U,21,0),VLOOKUP(B652,TRAOPE!$A:$U,21,0)),"")</f>
        <v/>
      </c>
      <c r="R652" s="8">
        <f>IFERROR(IFERROR(VLOOKUP(A652,TRAOPE!$A:$W,23,0),VLOOKUP(B652,TRAOPE!$A:$W,23,0)),"")</f>
        <v/>
      </c>
      <c r="S652" s="10">
        <f>IF(AND(P652="TN",R652="TN"),N652+N(O652),IF(G652&amp;""="1",N(K652)*N652,(N652+N(O652))*N(K652)))</f>
        <v/>
      </c>
      <c r="T652" s="10">
        <f>IF(Q652="","",Q652-S652)</f>
        <v/>
      </c>
    </row>
    <row r="653">
      <c r="A653" s="7">
        <f>CONCATENATE(C653,E653,F653,I653)</f>
        <v/>
      </c>
      <c r="B653" s="7">
        <f>CONCATENATE(C653,E653,I653)</f>
        <v/>
      </c>
      <c r="C653" s="8" t="n">
        <v>900003588</v>
      </c>
      <c r="D653" s="7">
        <f>IFERROR(VLOOKUP(C653,TRAOPE!$G:$H,2,0),"")</f>
        <v/>
      </c>
      <c r="E653" s="8" t="inlineStr">
        <is>
          <t>D836</t>
        </is>
      </c>
      <c r="F653" s="8" t="inlineStr">
        <is>
          <t>65129997</t>
        </is>
      </c>
      <c r="G653" s="8">
        <f>IFERROR(VLOOKUP(A653,Flete!$A:$E,5,0),"")</f>
        <v/>
      </c>
      <c r="H653" s="7">
        <f>IFERROR(VLOOKUP(F653,TRAOPE!$AA:$AB,2,0),"")</f>
        <v/>
      </c>
      <c r="I653" s="7" t="n">
        <v>10000627</v>
      </c>
      <c r="J653" s="7">
        <f>IFERROR(VLOOKUP(I653,Materiales!$A:$H,8,0),"")</f>
        <v/>
      </c>
      <c r="K653" s="9">
        <f>IFERROR(VLOOKUP(I653,Materiales!$A:$G,7,0),"")</f>
        <v/>
      </c>
      <c r="L653" s="8" t="inlineStr">
        <is>
          <t>20190426</t>
        </is>
      </c>
      <c r="M653" s="8" t="inlineStr">
        <is>
          <t>20250127</t>
        </is>
      </c>
      <c r="N653" s="10" t="n">
        <v>79.98</v>
      </c>
      <c r="O653" s="10">
        <f>IFERROR(VLOOKUP(A653,Flete!$A:$J,10,0),"")</f>
        <v/>
      </c>
      <c r="P653" s="8" t="inlineStr">
        <is>
          <t>TN</t>
        </is>
      </c>
      <c r="Q653" s="10">
        <f>IFERROR(IFERROR(VLOOKUP(A653,TRAOPE!$A:$U,21,0),VLOOKUP(B653,TRAOPE!$A:$U,21,0)),"")</f>
        <v/>
      </c>
      <c r="R653" s="8">
        <f>IFERROR(IFERROR(VLOOKUP(A653,TRAOPE!$A:$W,23,0),VLOOKUP(B653,TRAOPE!$A:$W,23,0)),"")</f>
        <v/>
      </c>
      <c r="S653" s="10">
        <f>IF(AND(P653="TN",R653="TN"),N653+N(O653),IF(G653&amp;""="1",N(K653)*N653,(N653+N(O653))*N(K653)))</f>
        <v/>
      </c>
      <c r="T653" s="10">
        <f>IF(Q653="","",Q653-S653)</f>
        <v/>
      </c>
    </row>
    <row r="654">
      <c r="A654" s="7">
        <f>CONCATENATE(C654,E654,F654,I654)</f>
        <v/>
      </c>
      <c r="B654" s="7">
        <f>CONCATENATE(C654,E654,I654)</f>
        <v/>
      </c>
      <c r="C654" s="8" t="n">
        <v>900003588</v>
      </c>
      <c r="D654" s="7">
        <f>IFERROR(VLOOKUP(C654,TRAOPE!$G:$H,2,0),"")</f>
        <v/>
      </c>
      <c r="E654" s="8" t="inlineStr">
        <is>
          <t>D836</t>
        </is>
      </c>
      <c r="F654" s="8" t="inlineStr">
        <is>
          <t>65205669</t>
        </is>
      </c>
      <c r="G654" s="8">
        <f>IFERROR(VLOOKUP(A654,Flete!$A:$E,5,0),"")</f>
        <v/>
      </c>
      <c r="H654" s="7">
        <f>IFERROR(VLOOKUP(F654,TRAOPE!$AA:$AB,2,0),"")</f>
        <v/>
      </c>
      <c r="I654" s="7" t="n">
        <v>10000357</v>
      </c>
      <c r="J654" s="7">
        <f>IFERROR(VLOOKUP(I654,Materiales!$A:$H,8,0),"")</f>
        <v/>
      </c>
      <c r="K654" s="9">
        <f>IFERROR(VLOOKUP(I654,Materiales!$A:$G,7,0),"")</f>
        <v/>
      </c>
      <c r="L654" s="8" t="inlineStr">
        <is>
          <t>20190426</t>
        </is>
      </c>
      <c r="M654" s="8" t="inlineStr">
        <is>
          <t>20250127</t>
        </is>
      </c>
      <c r="N654" s="10" t="n">
        <v>74.15000000000001</v>
      </c>
      <c r="O654" s="10">
        <f>IFERROR(VLOOKUP(A654,Flete!$A:$J,10,0),"")</f>
        <v/>
      </c>
      <c r="P654" s="8" t="inlineStr">
        <is>
          <t>TN</t>
        </is>
      </c>
      <c r="Q654" s="10">
        <f>IFERROR(IFERROR(VLOOKUP(A654,TRAOPE!$A:$U,21,0),VLOOKUP(B654,TRAOPE!$A:$U,21,0)),"")</f>
        <v/>
      </c>
      <c r="R654" s="8">
        <f>IFERROR(IFERROR(VLOOKUP(A654,TRAOPE!$A:$W,23,0),VLOOKUP(B654,TRAOPE!$A:$W,23,0)),"")</f>
        <v/>
      </c>
      <c r="S654" s="10">
        <f>IF(AND(P654="TN",R654="TN"),N654+N(O654),IF(G654&amp;""="1",N(K654)*N654,(N654+N(O654))*N(K654)))</f>
        <v/>
      </c>
      <c r="T654" s="10">
        <f>IF(Q654="","",Q654-S654)</f>
        <v/>
      </c>
    </row>
    <row r="655">
      <c r="A655" s="7">
        <f>CONCATENATE(C655,E655,F655,I655)</f>
        <v/>
      </c>
      <c r="B655" s="7">
        <f>CONCATENATE(C655,E655,I655)</f>
        <v/>
      </c>
      <c r="C655" s="8" t="n">
        <v>900003588</v>
      </c>
      <c r="D655" s="7">
        <f>IFERROR(VLOOKUP(C655,TRAOPE!$G:$H,2,0),"")</f>
        <v/>
      </c>
      <c r="E655" s="8" t="inlineStr">
        <is>
          <t>D836</t>
        </is>
      </c>
      <c r="F655" s="8" t="inlineStr">
        <is>
          <t>65205669</t>
        </is>
      </c>
      <c r="G655" s="8">
        <f>IFERROR(VLOOKUP(A655,Flete!$A:$E,5,0),"")</f>
        <v/>
      </c>
      <c r="H655" s="7">
        <f>IFERROR(VLOOKUP(F655,TRAOPE!$AA:$AB,2,0),"")</f>
        <v/>
      </c>
      <c r="I655" s="7" t="n">
        <v>10000625</v>
      </c>
      <c r="J655" s="7">
        <f>IFERROR(VLOOKUP(I655,Materiales!$A:$H,8,0),"")</f>
        <v/>
      </c>
      <c r="K655" s="9">
        <f>IFERROR(VLOOKUP(I655,Materiales!$A:$G,7,0),"")</f>
        <v/>
      </c>
      <c r="L655" s="8" t="inlineStr">
        <is>
          <t>20190426</t>
        </is>
      </c>
      <c r="M655" s="8" t="inlineStr">
        <is>
          <t>20250127</t>
        </is>
      </c>
      <c r="N655" s="10" t="n">
        <v>53.64</v>
      </c>
      <c r="O655" s="10">
        <f>IFERROR(VLOOKUP(A655,Flete!$A:$J,10,0),"")</f>
        <v/>
      </c>
      <c r="P655" s="8" t="inlineStr">
        <is>
          <t>TN</t>
        </is>
      </c>
      <c r="Q655" s="10">
        <f>IFERROR(IFERROR(VLOOKUP(A655,TRAOPE!$A:$U,21,0),VLOOKUP(B655,TRAOPE!$A:$U,21,0)),"")</f>
        <v/>
      </c>
      <c r="R655" s="8">
        <f>IFERROR(IFERROR(VLOOKUP(A655,TRAOPE!$A:$W,23,0),VLOOKUP(B655,TRAOPE!$A:$W,23,0)),"")</f>
        <v/>
      </c>
      <c r="S655" s="10">
        <f>IF(AND(P655="TN",R655="TN"),N655+N(O655),IF(G655&amp;""="1",N(K655)*N655,(N655+N(O655))*N(K655)))</f>
        <v/>
      </c>
      <c r="T655" s="10">
        <f>IF(Q655="","",Q655-S655)</f>
        <v/>
      </c>
    </row>
    <row r="656">
      <c r="A656" s="7">
        <f>CONCATENATE(C656,E656,F656,I656)</f>
        <v/>
      </c>
      <c r="B656" s="7">
        <f>CONCATENATE(C656,E656,I656)</f>
        <v/>
      </c>
      <c r="C656" s="8" t="n">
        <v>900003588</v>
      </c>
      <c r="D656" s="7">
        <f>IFERROR(VLOOKUP(C656,TRAOPE!$G:$H,2,0),"")</f>
        <v/>
      </c>
      <c r="E656" s="8" t="inlineStr">
        <is>
          <t>D836</t>
        </is>
      </c>
      <c r="F656" s="8" t="inlineStr">
        <is>
          <t>65205669</t>
        </is>
      </c>
      <c r="G656" s="8">
        <f>IFERROR(VLOOKUP(A656,Flete!$A:$E,5,0),"")</f>
        <v/>
      </c>
      <c r="H656" s="7">
        <f>IFERROR(VLOOKUP(F656,TRAOPE!$AA:$AB,2,0),"")</f>
        <v/>
      </c>
      <c r="I656" s="7" t="n">
        <v>10000627</v>
      </c>
      <c r="J656" s="7">
        <f>IFERROR(VLOOKUP(I656,Materiales!$A:$H,8,0),"")</f>
        <v/>
      </c>
      <c r="K656" s="9">
        <f>IFERROR(VLOOKUP(I656,Materiales!$A:$G,7,0),"")</f>
        <v/>
      </c>
      <c r="L656" s="8" t="inlineStr">
        <is>
          <t>20190426</t>
        </is>
      </c>
      <c r="M656" s="8" t="inlineStr">
        <is>
          <t>20250127</t>
        </is>
      </c>
      <c r="N656" s="10" t="n">
        <v>75.06</v>
      </c>
      <c r="O656" s="10">
        <f>IFERROR(VLOOKUP(A656,Flete!$A:$J,10,0),"")</f>
        <v/>
      </c>
      <c r="P656" s="8" t="inlineStr">
        <is>
          <t>TN</t>
        </is>
      </c>
      <c r="Q656" s="10">
        <f>IFERROR(IFERROR(VLOOKUP(A656,TRAOPE!$A:$U,21,0),VLOOKUP(B656,TRAOPE!$A:$U,21,0)),"")</f>
        <v/>
      </c>
      <c r="R656" s="8">
        <f>IFERROR(IFERROR(VLOOKUP(A656,TRAOPE!$A:$W,23,0),VLOOKUP(B656,TRAOPE!$A:$W,23,0)),"")</f>
        <v/>
      </c>
      <c r="S656" s="10">
        <f>IF(AND(P656="TN",R656="TN"),N656+N(O656),IF(G656&amp;""="1",N(K656)*N656,(N656+N(O656))*N(K656)))</f>
        <v/>
      </c>
      <c r="T656" s="10">
        <f>IF(Q656="","",Q656-S656)</f>
        <v/>
      </c>
    </row>
    <row r="657">
      <c r="A657" s="7">
        <f>CONCATENATE(C657,E657,F657,I657)</f>
        <v/>
      </c>
      <c r="B657" s="7">
        <f>CONCATENATE(C657,E657,I657)</f>
        <v/>
      </c>
      <c r="C657" s="8" t="n">
        <v>900003588</v>
      </c>
      <c r="D657" s="7">
        <f>IFERROR(VLOOKUP(C657,TRAOPE!$G:$H,2,0),"")</f>
        <v/>
      </c>
      <c r="E657" s="8" t="inlineStr">
        <is>
          <t>D836</t>
        </is>
      </c>
      <c r="F657" s="8" t="inlineStr">
        <is>
          <t>65246763</t>
        </is>
      </c>
      <c r="G657" s="8">
        <f>IFERROR(VLOOKUP(A657,Flete!$A:$E,5,0),"")</f>
        <v/>
      </c>
      <c r="H657" s="7">
        <f>IFERROR(VLOOKUP(F657,TRAOPE!$AA:$AB,2,0),"")</f>
        <v/>
      </c>
      <c r="I657" s="7" t="n">
        <v>10000357</v>
      </c>
      <c r="J657" s="7">
        <f>IFERROR(VLOOKUP(I657,Materiales!$A:$H,8,0),"")</f>
        <v/>
      </c>
      <c r="K657" s="9">
        <f>IFERROR(VLOOKUP(I657,Materiales!$A:$G,7,0),"")</f>
        <v/>
      </c>
      <c r="L657" s="8" t="inlineStr">
        <is>
          <t>20190426</t>
        </is>
      </c>
      <c r="M657" s="8" t="inlineStr">
        <is>
          <t>20250127</t>
        </is>
      </c>
      <c r="N657" s="10" t="n">
        <v>98.06999999999999</v>
      </c>
      <c r="O657" s="10">
        <f>IFERROR(VLOOKUP(A657,Flete!$A:$J,10,0),"")</f>
        <v/>
      </c>
      <c r="P657" s="8" t="inlineStr">
        <is>
          <t>TN</t>
        </is>
      </c>
      <c r="Q657" s="10">
        <f>IFERROR(IFERROR(VLOOKUP(A657,TRAOPE!$A:$U,21,0),VLOOKUP(B657,TRAOPE!$A:$U,21,0)),"")</f>
        <v/>
      </c>
      <c r="R657" s="8">
        <f>IFERROR(IFERROR(VLOOKUP(A657,TRAOPE!$A:$W,23,0),VLOOKUP(B657,TRAOPE!$A:$W,23,0)),"")</f>
        <v/>
      </c>
      <c r="S657" s="10">
        <f>IF(AND(P657="TN",R657="TN"),N657+N(O657),IF(G657&amp;""="1",N(K657)*N657,(N657+N(O657))*N(K657)))</f>
        <v/>
      </c>
      <c r="T657" s="10">
        <f>IF(Q657="","",Q657-S657)</f>
        <v/>
      </c>
    </row>
    <row r="658">
      <c r="A658" s="7">
        <f>CONCATENATE(C658,E658,F658,I658)</f>
        <v/>
      </c>
      <c r="B658" s="7">
        <f>CONCATENATE(C658,E658,I658)</f>
        <v/>
      </c>
      <c r="C658" s="8" t="n">
        <v>900003588</v>
      </c>
      <c r="D658" s="7">
        <f>IFERROR(VLOOKUP(C658,TRAOPE!$G:$H,2,0),"")</f>
        <v/>
      </c>
      <c r="E658" s="8" t="inlineStr">
        <is>
          <t>D836</t>
        </is>
      </c>
      <c r="F658" s="8" t="inlineStr">
        <is>
          <t>65246763</t>
        </is>
      </c>
      <c r="G658" s="8">
        <f>IFERROR(VLOOKUP(A658,Flete!$A:$E,5,0),"")</f>
        <v/>
      </c>
      <c r="H658" s="7">
        <f>IFERROR(VLOOKUP(F658,TRAOPE!$AA:$AB,2,0),"")</f>
        <v/>
      </c>
      <c r="I658" s="7" t="n">
        <v>10000625</v>
      </c>
      <c r="J658" s="7">
        <f>IFERROR(VLOOKUP(I658,Materiales!$A:$H,8,0),"")</f>
        <v/>
      </c>
      <c r="K658" s="9">
        <f>IFERROR(VLOOKUP(I658,Materiales!$A:$G,7,0),"")</f>
        <v/>
      </c>
      <c r="L658" s="8" t="inlineStr">
        <is>
          <t>20190426</t>
        </is>
      </c>
      <c r="M658" s="8" t="inlineStr">
        <is>
          <t>20250127</t>
        </is>
      </c>
      <c r="N658" s="10" t="n">
        <v>63.39</v>
      </c>
      <c r="O658" s="10">
        <f>IFERROR(VLOOKUP(A658,Flete!$A:$J,10,0),"")</f>
        <v/>
      </c>
      <c r="P658" s="8" t="inlineStr">
        <is>
          <t>TN</t>
        </is>
      </c>
      <c r="Q658" s="10">
        <f>IFERROR(IFERROR(VLOOKUP(A658,TRAOPE!$A:$U,21,0),VLOOKUP(B658,TRAOPE!$A:$U,21,0)),"")</f>
        <v/>
      </c>
      <c r="R658" s="8">
        <f>IFERROR(IFERROR(VLOOKUP(A658,TRAOPE!$A:$W,23,0),VLOOKUP(B658,TRAOPE!$A:$W,23,0)),"")</f>
        <v/>
      </c>
      <c r="S658" s="10">
        <f>IF(AND(P658="TN",R658="TN"),N658+N(O658),IF(G658&amp;""="1",N(K658)*N658,(N658+N(O658))*N(K658)))</f>
        <v/>
      </c>
      <c r="T658" s="10">
        <f>IF(Q658="","",Q658-S658)</f>
        <v/>
      </c>
    </row>
    <row r="659">
      <c r="A659" s="7">
        <f>CONCATENATE(C659,E659,F659,I659)</f>
        <v/>
      </c>
      <c r="B659" s="7">
        <f>CONCATENATE(C659,E659,I659)</f>
        <v/>
      </c>
      <c r="C659" s="8" t="n">
        <v>900003588</v>
      </c>
      <c r="D659" s="7">
        <f>IFERROR(VLOOKUP(C659,TRAOPE!$G:$H,2,0),"")</f>
        <v/>
      </c>
      <c r="E659" s="8" t="inlineStr">
        <is>
          <t>D836</t>
        </is>
      </c>
      <c r="F659" s="8" t="inlineStr">
        <is>
          <t>65246763</t>
        </is>
      </c>
      <c r="G659" s="8">
        <f>IFERROR(VLOOKUP(A659,Flete!$A:$E,5,0),"")</f>
        <v/>
      </c>
      <c r="H659" s="7">
        <f>IFERROR(VLOOKUP(F659,TRAOPE!$AA:$AB,2,0),"")</f>
        <v/>
      </c>
      <c r="I659" s="7" t="n">
        <v>10000627</v>
      </c>
      <c r="J659" s="7">
        <f>IFERROR(VLOOKUP(I659,Materiales!$A:$H,8,0),"")</f>
        <v/>
      </c>
      <c r="K659" s="9">
        <f>IFERROR(VLOOKUP(I659,Materiales!$A:$G,7,0),"")</f>
        <v/>
      </c>
      <c r="L659" s="8" t="inlineStr">
        <is>
          <t>20190426</t>
        </is>
      </c>
      <c r="M659" s="8" t="inlineStr">
        <is>
          <t>20250127</t>
        </is>
      </c>
      <c r="N659" s="10" t="n">
        <v>79.98</v>
      </c>
      <c r="O659" s="10">
        <f>IFERROR(VLOOKUP(A659,Flete!$A:$J,10,0),"")</f>
        <v/>
      </c>
      <c r="P659" s="8" t="inlineStr">
        <is>
          <t>TN</t>
        </is>
      </c>
      <c r="Q659" s="10">
        <f>IFERROR(IFERROR(VLOOKUP(A659,TRAOPE!$A:$U,21,0),VLOOKUP(B659,TRAOPE!$A:$U,21,0)),"")</f>
        <v/>
      </c>
      <c r="R659" s="8">
        <f>IFERROR(IFERROR(VLOOKUP(A659,TRAOPE!$A:$W,23,0),VLOOKUP(B659,TRAOPE!$A:$W,23,0)),"")</f>
        <v/>
      </c>
      <c r="S659" s="10">
        <f>IF(AND(P659="TN",R659="TN"),N659+N(O659),IF(G659&amp;""="1",N(K659)*N659,(N659+N(O659))*N(K659)))</f>
        <v/>
      </c>
      <c r="T659" s="10">
        <f>IF(Q659="","",Q659-S659)</f>
        <v/>
      </c>
    </row>
    <row r="660">
      <c r="A660" s="7">
        <f>CONCATENATE(C660,E660,F660,I660)</f>
        <v/>
      </c>
      <c r="B660" s="7">
        <f>CONCATENATE(C660,E660,I660)</f>
        <v/>
      </c>
      <c r="C660" s="8" t="n">
        <v>900003588</v>
      </c>
      <c r="D660" s="7">
        <f>IFERROR(VLOOKUP(C660,TRAOPE!$G:$H,2,0),"")</f>
        <v/>
      </c>
      <c r="E660" s="8" t="inlineStr">
        <is>
          <t>D836</t>
        </is>
      </c>
      <c r="F660" s="8" t="inlineStr">
        <is>
          <t>65251399</t>
        </is>
      </c>
      <c r="G660" s="8">
        <f>IFERROR(VLOOKUP(A660,Flete!$A:$E,5,0),"")</f>
        <v/>
      </c>
      <c r="H660" s="7">
        <f>IFERROR(VLOOKUP(F660,TRAOPE!$AA:$AB,2,0),"")</f>
        <v/>
      </c>
      <c r="I660" s="7" t="n">
        <v>10000357</v>
      </c>
      <c r="J660" s="7">
        <f>IFERROR(VLOOKUP(I660,Materiales!$A:$H,8,0),"")</f>
        <v/>
      </c>
      <c r="K660" s="9">
        <f>IFERROR(VLOOKUP(I660,Materiales!$A:$G,7,0),"")</f>
        <v/>
      </c>
      <c r="L660" s="8" t="inlineStr">
        <is>
          <t>20190426</t>
        </is>
      </c>
      <c r="M660" s="8" t="inlineStr">
        <is>
          <t>20250127</t>
        </is>
      </c>
      <c r="N660" s="10" t="n">
        <v>95</v>
      </c>
      <c r="O660" s="10">
        <f>IFERROR(VLOOKUP(A660,Flete!$A:$J,10,0),"")</f>
        <v/>
      </c>
      <c r="P660" s="8" t="inlineStr">
        <is>
          <t>TN</t>
        </is>
      </c>
      <c r="Q660" s="10">
        <f>IFERROR(IFERROR(VLOOKUP(A660,TRAOPE!$A:$U,21,0),VLOOKUP(B660,TRAOPE!$A:$U,21,0)),"")</f>
        <v/>
      </c>
      <c r="R660" s="8">
        <f>IFERROR(IFERROR(VLOOKUP(A660,TRAOPE!$A:$W,23,0),VLOOKUP(B660,TRAOPE!$A:$W,23,0)),"")</f>
        <v/>
      </c>
      <c r="S660" s="10">
        <f>IF(AND(P660="TN",R660="TN"),N660+N(O660),IF(G660&amp;""="1",N(K660)*N660,(N660+N(O660))*N(K660)))</f>
        <v/>
      </c>
      <c r="T660" s="10">
        <f>IF(Q660="","",Q660-S660)</f>
        <v/>
      </c>
    </row>
    <row r="661">
      <c r="A661" s="7">
        <f>CONCATENATE(C661,E661,F661,I661)</f>
        <v/>
      </c>
      <c r="B661" s="7">
        <f>CONCATENATE(C661,E661,I661)</f>
        <v/>
      </c>
      <c r="C661" s="8" t="n">
        <v>900003588</v>
      </c>
      <c r="D661" s="7">
        <f>IFERROR(VLOOKUP(C661,TRAOPE!$G:$H,2,0),"")</f>
        <v/>
      </c>
      <c r="E661" s="8" t="inlineStr">
        <is>
          <t>D836</t>
        </is>
      </c>
      <c r="F661" s="8" t="inlineStr">
        <is>
          <t>65251399</t>
        </is>
      </c>
      <c r="G661" s="8">
        <f>IFERROR(VLOOKUP(A661,Flete!$A:$E,5,0),"")</f>
        <v/>
      </c>
      <c r="H661" s="7">
        <f>IFERROR(VLOOKUP(F661,TRAOPE!$AA:$AB,2,0),"")</f>
        <v/>
      </c>
      <c r="I661" s="7" t="n">
        <v>10000625</v>
      </c>
      <c r="J661" s="7">
        <f>IFERROR(VLOOKUP(I661,Materiales!$A:$H,8,0),"")</f>
        <v/>
      </c>
      <c r="K661" s="9">
        <f>IFERROR(VLOOKUP(I661,Materiales!$A:$G,7,0),"")</f>
        <v/>
      </c>
      <c r="L661" s="8" t="inlineStr">
        <is>
          <t>20190426</t>
        </is>
      </c>
      <c r="M661" s="8" t="inlineStr">
        <is>
          <t>20250127</t>
        </is>
      </c>
      <c r="N661" s="10" t="n">
        <v>60</v>
      </c>
      <c r="O661" s="10">
        <f>IFERROR(VLOOKUP(A661,Flete!$A:$J,10,0),"")</f>
        <v/>
      </c>
      <c r="P661" s="8" t="inlineStr">
        <is>
          <t>TN</t>
        </is>
      </c>
      <c r="Q661" s="10">
        <f>IFERROR(IFERROR(VLOOKUP(A661,TRAOPE!$A:$U,21,0),VLOOKUP(B661,TRAOPE!$A:$U,21,0)),"")</f>
        <v/>
      </c>
      <c r="R661" s="8">
        <f>IFERROR(IFERROR(VLOOKUP(A661,TRAOPE!$A:$W,23,0),VLOOKUP(B661,TRAOPE!$A:$W,23,0)),"")</f>
        <v/>
      </c>
      <c r="S661" s="10">
        <f>IF(AND(P661="TN",R661="TN"),N661+N(O661),IF(G661&amp;""="1",N(K661)*N661,(N661+N(O661))*N(K661)))</f>
        <v/>
      </c>
      <c r="T661" s="10">
        <f>IF(Q661="","",Q661-S661)</f>
        <v/>
      </c>
    </row>
    <row r="662">
      <c r="A662" s="7">
        <f>CONCATENATE(C662,E662,F662,I662)</f>
        <v/>
      </c>
      <c r="B662" s="7">
        <f>CONCATENATE(C662,E662,I662)</f>
        <v/>
      </c>
      <c r="C662" s="8" t="n">
        <v>900003588</v>
      </c>
      <c r="D662" s="7">
        <f>IFERROR(VLOOKUP(C662,TRAOPE!$G:$H,2,0),"")</f>
        <v/>
      </c>
      <c r="E662" s="8" t="inlineStr">
        <is>
          <t>D836</t>
        </is>
      </c>
      <c r="F662" s="8" t="inlineStr">
        <is>
          <t>65251399</t>
        </is>
      </c>
      <c r="G662" s="8">
        <f>IFERROR(VLOOKUP(A662,Flete!$A:$E,5,0),"")</f>
        <v/>
      </c>
      <c r="H662" s="7">
        <f>IFERROR(VLOOKUP(F662,TRAOPE!$AA:$AB,2,0),"")</f>
        <v/>
      </c>
      <c r="I662" s="7" t="n">
        <v>10000627</v>
      </c>
      <c r="J662" s="7">
        <f>IFERROR(VLOOKUP(I662,Materiales!$A:$H,8,0),"")</f>
        <v/>
      </c>
      <c r="K662" s="9">
        <f>IFERROR(VLOOKUP(I662,Materiales!$A:$G,7,0),"")</f>
        <v/>
      </c>
      <c r="L662" s="8" t="inlineStr">
        <is>
          <t>20190426</t>
        </is>
      </c>
      <c r="M662" s="8" t="inlineStr">
        <is>
          <t>20250127</t>
        </is>
      </c>
      <c r="N662" s="10" t="n">
        <v>80</v>
      </c>
      <c r="O662" s="10">
        <f>IFERROR(VLOOKUP(A662,Flete!$A:$J,10,0),"")</f>
        <v/>
      </c>
      <c r="P662" s="8" t="inlineStr">
        <is>
          <t>TN</t>
        </is>
      </c>
      <c r="Q662" s="10">
        <f>IFERROR(IFERROR(VLOOKUP(A662,TRAOPE!$A:$U,21,0),VLOOKUP(B662,TRAOPE!$A:$U,21,0)),"")</f>
        <v/>
      </c>
      <c r="R662" s="8">
        <f>IFERROR(IFERROR(VLOOKUP(A662,TRAOPE!$A:$W,23,0),VLOOKUP(B662,TRAOPE!$A:$W,23,0)),"")</f>
        <v/>
      </c>
      <c r="S662" s="10">
        <f>IF(AND(P662="TN",R662="TN"),N662+N(O662),IF(G662&amp;""="1",N(K662)*N662,(N662+N(O662))*N(K662)))</f>
        <v/>
      </c>
      <c r="T662" s="10">
        <f>IF(Q662="","",Q662-S662)</f>
        <v/>
      </c>
    </row>
    <row r="663">
      <c r="A663" s="7">
        <f>CONCATENATE(C663,E663,F663,I663)</f>
        <v/>
      </c>
      <c r="B663" s="7">
        <f>CONCATENATE(C663,E663,I663)</f>
        <v/>
      </c>
      <c r="C663" s="8" t="n">
        <v>900003588</v>
      </c>
      <c r="D663" s="7">
        <f>IFERROR(VLOOKUP(C663,TRAOPE!$G:$H,2,0),"")</f>
        <v/>
      </c>
      <c r="E663" s="8" t="inlineStr">
        <is>
          <t>D836</t>
        </is>
      </c>
      <c r="F663" s="8" t="inlineStr">
        <is>
          <t>65251399</t>
        </is>
      </c>
      <c r="G663" s="8">
        <f>IFERROR(VLOOKUP(A663,Flete!$A:$E,5,0),"")</f>
        <v/>
      </c>
      <c r="H663" s="7">
        <f>IFERROR(VLOOKUP(F663,TRAOPE!$AA:$AB,2,0),"")</f>
        <v/>
      </c>
      <c r="I663" s="7" t="n">
        <v>10001354</v>
      </c>
      <c r="J663" s="7">
        <f>IFERROR(VLOOKUP(I663,Materiales!$A:$H,8,0),"")</f>
        <v/>
      </c>
      <c r="K663" s="9">
        <f>IFERROR(VLOOKUP(I663,Materiales!$A:$G,7,0),"")</f>
        <v/>
      </c>
      <c r="L663" s="8" t="inlineStr">
        <is>
          <t>20190426</t>
        </is>
      </c>
      <c r="M663" s="8" t="inlineStr">
        <is>
          <t>20250127</t>
        </is>
      </c>
      <c r="N663" s="10" t="n">
        <v>129</v>
      </c>
      <c r="O663" s="10">
        <f>IFERROR(VLOOKUP(A663,Flete!$A:$J,10,0),"")</f>
        <v/>
      </c>
      <c r="P663" s="8" t="inlineStr">
        <is>
          <t>TN</t>
        </is>
      </c>
      <c r="Q663" s="10">
        <f>IFERROR(IFERROR(VLOOKUP(A663,TRAOPE!$A:$U,21,0),VLOOKUP(B663,TRAOPE!$A:$U,21,0)),"")</f>
        <v/>
      </c>
      <c r="R663" s="8">
        <f>IFERROR(IFERROR(VLOOKUP(A663,TRAOPE!$A:$W,23,0),VLOOKUP(B663,TRAOPE!$A:$W,23,0)),"")</f>
        <v/>
      </c>
      <c r="S663" s="10">
        <f>IF(AND(P663="TN",R663="TN"),N663+N(O663),IF(G663&amp;""="1",N(K663)*N663,(N663+N(O663))*N(K663)))</f>
        <v/>
      </c>
      <c r="T663" s="10">
        <f>IF(Q663="","",Q663-S663)</f>
        <v/>
      </c>
    </row>
    <row r="664">
      <c r="A664" s="7">
        <f>CONCATENATE(C664,E664,F664,I664)</f>
        <v/>
      </c>
      <c r="B664" s="7">
        <f>CONCATENATE(C664,E664,I664)</f>
        <v/>
      </c>
      <c r="C664" s="8" t="n">
        <v>900003588</v>
      </c>
      <c r="D664" s="7">
        <f>IFERROR(VLOOKUP(C664,TRAOPE!$G:$H,2,0),"")</f>
        <v/>
      </c>
      <c r="E664" s="8" t="inlineStr">
        <is>
          <t>D836</t>
        </is>
      </c>
      <c r="F664" s="8" t="inlineStr">
        <is>
          <t>65290965</t>
        </is>
      </c>
      <c r="G664" s="8">
        <f>IFERROR(VLOOKUP(A664,Flete!$A:$E,5,0),"")</f>
        <v/>
      </c>
      <c r="H664" s="7">
        <f>IFERROR(VLOOKUP(F664,TRAOPE!$AA:$AB,2,0),"")</f>
        <v/>
      </c>
      <c r="I664" s="7" t="n">
        <v>10000357</v>
      </c>
      <c r="J664" s="7">
        <f>IFERROR(VLOOKUP(I664,Materiales!$A:$H,8,0),"")</f>
        <v/>
      </c>
      <c r="K664" s="9">
        <f>IFERROR(VLOOKUP(I664,Materiales!$A:$G,7,0),"")</f>
        <v/>
      </c>
      <c r="L664" s="8" t="inlineStr">
        <is>
          <t>20190426</t>
        </is>
      </c>
      <c r="M664" s="8" t="inlineStr">
        <is>
          <t>20250127</t>
        </is>
      </c>
      <c r="N664" s="10" t="n">
        <v>74.15000000000001</v>
      </c>
      <c r="O664" s="10">
        <f>IFERROR(VLOOKUP(A664,Flete!$A:$J,10,0),"")</f>
        <v/>
      </c>
      <c r="P664" s="8" t="inlineStr">
        <is>
          <t>TN</t>
        </is>
      </c>
      <c r="Q664" s="10">
        <f>IFERROR(IFERROR(VLOOKUP(A664,TRAOPE!$A:$U,21,0),VLOOKUP(B664,TRAOPE!$A:$U,21,0)),"")</f>
        <v/>
      </c>
      <c r="R664" s="8">
        <f>IFERROR(IFERROR(VLOOKUP(A664,TRAOPE!$A:$W,23,0),VLOOKUP(B664,TRAOPE!$A:$W,23,0)),"")</f>
        <v/>
      </c>
      <c r="S664" s="10">
        <f>IF(AND(P664="TN",R664="TN"),N664+N(O664),IF(G664&amp;""="1",N(K664)*N664,(N664+N(O664))*N(K664)))</f>
        <v/>
      </c>
      <c r="T664" s="10">
        <f>IF(Q664="","",Q664-S664)</f>
        <v/>
      </c>
    </row>
    <row r="665">
      <c r="A665" s="7">
        <f>CONCATENATE(C665,E665,F665,I665)</f>
        <v/>
      </c>
      <c r="B665" s="7">
        <f>CONCATENATE(C665,E665,I665)</f>
        <v/>
      </c>
      <c r="C665" s="8" t="n">
        <v>900003588</v>
      </c>
      <c r="D665" s="7">
        <f>IFERROR(VLOOKUP(C665,TRAOPE!$G:$H,2,0),"")</f>
        <v/>
      </c>
      <c r="E665" s="8" t="inlineStr">
        <is>
          <t>D836</t>
        </is>
      </c>
      <c r="F665" s="8" t="inlineStr">
        <is>
          <t>65290965</t>
        </is>
      </c>
      <c r="G665" s="8">
        <f>IFERROR(VLOOKUP(A665,Flete!$A:$E,5,0),"")</f>
        <v/>
      </c>
      <c r="H665" s="7">
        <f>IFERROR(VLOOKUP(F665,TRAOPE!$AA:$AB,2,0),"")</f>
        <v/>
      </c>
      <c r="I665" s="7" t="n">
        <v>10000627</v>
      </c>
      <c r="J665" s="7">
        <f>IFERROR(VLOOKUP(I665,Materiales!$A:$H,8,0),"")</f>
        <v/>
      </c>
      <c r="K665" s="9">
        <f>IFERROR(VLOOKUP(I665,Materiales!$A:$G,7,0),"")</f>
        <v/>
      </c>
      <c r="L665" s="8" t="inlineStr">
        <is>
          <t>20190426</t>
        </is>
      </c>
      <c r="M665" s="8" t="inlineStr">
        <is>
          <t>20250127</t>
        </is>
      </c>
      <c r="N665" s="10" t="n">
        <v>70.14</v>
      </c>
      <c r="O665" s="10">
        <f>IFERROR(VLOOKUP(A665,Flete!$A:$J,10,0),"")</f>
        <v/>
      </c>
      <c r="P665" s="8" t="inlineStr">
        <is>
          <t>TN</t>
        </is>
      </c>
      <c r="Q665" s="10">
        <f>IFERROR(IFERROR(VLOOKUP(A665,TRAOPE!$A:$U,21,0),VLOOKUP(B665,TRAOPE!$A:$U,21,0)),"")</f>
        <v/>
      </c>
      <c r="R665" s="8">
        <f>IFERROR(IFERROR(VLOOKUP(A665,TRAOPE!$A:$W,23,0),VLOOKUP(B665,TRAOPE!$A:$W,23,0)),"")</f>
        <v/>
      </c>
      <c r="S665" s="10">
        <f>IF(AND(P665="TN",R665="TN"),N665+N(O665),IF(G665&amp;""="1",N(K665)*N665,(N665+N(O665))*N(K665)))</f>
        <v/>
      </c>
      <c r="T665" s="10">
        <f>IF(Q665="","",Q665-S665)</f>
        <v/>
      </c>
    </row>
    <row r="666">
      <c r="A666" s="7">
        <f>CONCATENATE(C666,E666,F666,I666)</f>
        <v/>
      </c>
      <c r="B666" s="7">
        <f>CONCATENATE(C666,E666,I666)</f>
        <v/>
      </c>
      <c r="C666" s="8" t="n">
        <v>900003588</v>
      </c>
      <c r="D666" s="7">
        <f>IFERROR(VLOOKUP(C666,TRAOPE!$G:$H,2,0),"")</f>
        <v/>
      </c>
      <c r="E666" s="8" t="inlineStr">
        <is>
          <t>D836</t>
        </is>
      </c>
      <c r="F666" s="8" t="inlineStr">
        <is>
          <t>65296493</t>
        </is>
      </c>
      <c r="G666" s="8">
        <f>IFERROR(VLOOKUP(A666,Flete!$A:$E,5,0),"")</f>
        <v/>
      </c>
      <c r="H666" s="7">
        <f>IFERROR(VLOOKUP(F666,TRAOPE!$AA:$AB,2,0),"")</f>
        <v/>
      </c>
      <c r="I666" s="7" t="n">
        <v>10000357</v>
      </c>
      <c r="J666" s="7">
        <f>IFERROR(VLOOKUP(I666,Materiales!$A:$H,8,0),"")</f>
        <v/>
      </c>
      <c r="K666" s="9">
        <f>IFERROR(VLOOKUP(I666,Materiales!$A:$G,7,0),"")</f>
        <v/>
      </c>
      <c r="L666" s="8" t="inlineStr">
        <is>
          <t>20190426</t>
        </is>
      </c>
      <c r="M666" s="8" t="inlineStr">
        <is>
          <t>20250127</t>
        </is>
      </c>
      <c r="N666" s="10" t="n">
        <v>76.54000000000001</v>
      </c>
      <c r="O666" s="10">
        <f>IFERROR(VLOOKUP(A666,Flete!$A:$J,10,0),"")</f>
        <v/>
      </c>
      <c r="P666" s="8" t="inlineStr">
        <is>
          <t>TN</t>
        </is>
      </c>
      <c r="Q666" s="10">
        <f>IFERROR(IFERROR(VLOOKUP(A666,TRAOPE!$A:$U,21,0),VLOOKUP(B666,TRAOPE!$A:$U,21,0)),"")</f>
        <v/>
      </c>
      <c r="R666" s="8">
        <f>IFERROR(IFERROR(VLOOKUP(A666,TRAOPE!$A:$W,23,0),VLOOKUP(B666,TRAOPE!$A:$W,23,0)),"")</f>
        <v/>
      </c>
      <c r="S666" s="10">
        <f>IF(AND(P666="TN",R666="TN"),N666+N(O666),IF(G666&amp;""="1",N(K666)*N666,(N666+N(O666))*N(K666)))</f>
        <v/>
      </c>
      <c r="T666" s="10">
        <f>IF(Q666="","",Q666-S666)</f>
        <v/>
      </c>
    </row>
    <row r="667">
      <c r="A667" s="7">
        <f>CONCATENATE(C667,E667,F667,I667)</f>
        <v/>
      </c>
      <c r="B667" s="7">
        <f>CONCATENATE(C667,E667,I667)</f>
        <v/>
      </c>
      <c r="C667" s="8" t="n">
        <v>900003588</v>
      </c>
      <c r="D667" s="7">
        <f>IFERROR(VLOOKUP(C667,TRAOPE!$G:$H,2,0),"")</f>
        <v/>
      </c>
      <c r="E667" s="8" t="inlineStr">
        <is>
          <t>D836</t>
        </is>
      </c>
      <c r="F667" s="8" t="inlineStr">
        <is>
          <t>65296493</t>
        </is>
      </c>
      <c r="G667" s="8">
        <f>IFERROR(VLOOKUP(A667,Flete!$A:$E,5,0),"")</f>
        <v/>
      </c>
      <c r="H667" s="7">
        <f>IFERROR(VLOOKUP(F667,TRAOPE!$AA:$AB,2,0),"")</f>
        <v/>
      </c>
      <c r="I667" s="7" t="n">
        <v>10000627</v>
      </c>
      <c r="J667" s="7">
        <f>IFERROR(VLOOKUP(I667,Materiales!$A:$H,8,0),"")</f>
        <v/>
      </c>
      <c r="K667" s="9">
        <f>IFERROR(VLOOKUP(I667,Materiales!$A:$G,7,0),"")</f>
        <v/>
      </c>
      <c r="L667" s="8" t="inlineStr">
        <is>
          <t>20190426</t>
        </is>
      </c>
      <c r="M667" s="8" t="inlineStr">
        <is>
          <t>20250127</t>
        </is>
      </c>
      <c r="N667" s="10" t="n">
        <v>72.59999999999999</v>
      </c>
      <c r="O667" s="10">
        <f>IFERROR(VLOOKUP(A667,Flete!$A:$J,10,0),"")</f>
        <v/>
      </c>
      <c r="P667" s="8" t="inlineStr">
        <is>
          <t>TN</t>
        </is>
      </c>
      <c r="Q667" s="10">
        <f>IFERROR(IFERROR(VLOOKUP(A667,TRAOPE!$A:$U,21,0),VLOOKUP(B667,TRAOPE!$A:$U,21,0)),"")</f>
        <v/>
      </c>
      <c r="R667" s="8">
        <f>IFERROR(IFERROR(VLOOKUP(A667,TRAOPE!$A:$W,23,0),VLOOKUP(B667,TRAOPE!$A:$W,23,0)),"")</f>
        <v/>
      </c>
      <c r="S667" s="10">
        <f>IF(AND(P667="TN",R667="TN"),N667+N(O667),IF(G667&amp;""="1",N(K667)*N667,(N667+N(O667))*N(K667)))</f>
        <v/>
      </c>
      <c r="T667" s="10">
        <f>IF(Q667="","",Q667-S667)</f>
        <v/>
      </c>
    </row>
    <row r="668">
      <c r="A668" s="7">
        <f>CONCATENATE(C668,E668,F668,I668)</f>
        <v/>
      </c>
      <c r="B668" s="7">
        <f>CONCATENATE(C668,E668,I668)</f>
        <v/>
      </c>
      <c r="C668" s="8" t="n">
        <v>900003588</v>
      </c>
      <c r="D668" s="7">
        <f>IFERROR(VLOOKUP(C668,TRAOPE!$G:$H,2,0),"")</f>
        <v/>
      </c>
      <c r="E668" s="8" t="inlineStr">
        <is>
          <t>D836</t>
        </is>
      </c>
      <c r="F668" s="8" t="inlineStr">
        <is>
          <t>65301775</t>
        </is>
      </c>
      <c r="G668" s="8">
        <f>IFERROR(VLOOKUP(A668,Flete!$A:$E,5,0),"")</f>
        <v/>
      </c>
      <c r="H668" s="7">
        <f>IFERROR(VLOOKUP(F668,TRAOPE!$AA:$AB,2,0),"")</f>
        <v/>
      </c>
      <c r="I668" s="7" t="n">
        <v>10000357</v>
      </c>
      <c r="J668" s="7">
        <f>IFERROR(VLOOKUP(I668,Materiales!$A:$H,8,0),"")</f>
        <v/>
      </c>
      <c r="K668" s="9">
        <f>IFERROR(VLOOKUP(I668,Materiales!$A:$G,7,0),"")</f>
        <v/>
      </c>
      <c r="L668" s="8" t="inlineStr">
        <is>
          <t>20190426</t>
        </is>
      </c>
      <c r="M668" s="8" t="inlineStr">
        <is>
          <t>20250127</t>
        </is>
      </c>
      <c r="N668" s="10" t="n">
        <v>93.29000000000001</v>
      </c>
      <c r="O668" s="10">
        <f>IFERROR(VLOOKUP(A668,Flete!$A:$J,10,0),"")</f>
        <v/>
      </c>
      <c r="P668" s="8" t="inlineStr">
        <is>
          <t>TN</t>
        </is>
      </c>
      <c r="Q668" s="10">
        <f>IFERROR(IFERROR(VLOOKUP(A668,TRAOPE!$A:$U,21,0),VLOOKUP(B668,TRAOPE!$A:$U,21,0)),"")</f>
        <v/>
      </c>
      <c r="R668" s="8">
        <f>IFERROR(IFERROR(VLOOKUP(A668,TRAOPE!$A:$W,23,0),VLOOKUP(B668,TRAOPE!$A:$W,23,0)),"")</f>
        <v/>
      </c>
      <c r="S668" s="10">
        <f>IF(AND(P668="TN",R668="TN"),N668+N(O668),IF(G668&amp;""="1",N(K668)*N668,(N668+N(O668))*N(K668)))</f>
        <v/>
      </c>
      <c r="T668" s="10">
        <f>IF(Q668="","",Q668-S668)</f>
        <v/>
      </c>
    </row>
    <row r="669">
      <c r="A669" s="7">
        <f>CONCATENATE(C669,E669,F669,I669)</f>
        <v/>
      </c>
      <c r="B669" s="7">
        <f>CONCATENATE(C669,E669,I669)</f>
        <v/>
      </c>
      <c r="C669" s="8" t="n">
        <v>900003588</v>
      </c>
      <c r="D669" s="7">
        <f>IFERROR(VLOOKUP(C669,TRAOPE!$G:$H,2,0),"")</f>
        <v/>
      </c>
      <c r="E669" s="8" t="inlineStr">
        <is>
          <t>D836</t>
        </is>
      </c>
      <c r="F669" s="8" t="inlineStr">
        <is>
          <t>65301775</t>
        </is>
      </c>
      <c r="G669" s="8">
        <f>IFERROR(VLOOKUP(A669,Flete!$A:$E,5,0),"")</f>
        <v/>
      </c>
      <c r="H669" s="7">
        <f>IFERROR(VLOOKUP(F669,TRAOPE!$AA:$AB,2,0),"")</f>
        <v/>
      </c>
      <c r="I669" s="7" t="n">
        <v>10000625</v>
      </c>
      <c r="J669" s="7">
        <f>IFERROR(VLOOKUP(I669,Materiales!$A:$H,8,0),"")</f>
        <v/>
      </c>
      <c r="K669" s="9">
        <f>IFERROR(VLOOKUP(I669,Materiales!$A:$G,7,0),"")</f>
        <v/>
      </c>
      <c r="L669" s="8" t="inlineStr">
        <is>
          <t>20190426</t>
        </is>
      </c>
      <c r="M669" s="8" t="inlineStr">
        <is>
          <t>20250127</t>
        </is>
      </c>
      <c r="N669" s="10" t="n">
        <v>56.68</v>
      </c>
      <c r="O669" s="10">
        <f>IFERROR(VLOOKUP(A669,Flete!$A:$J,10,0),"")</f>
        <v/>
      </c>
      <c r="P669" s="8" t="inlineStr">
        <is>
          <t>TN</t>
        </is>
      </c>
      <c r="Q669" s="10">
        <f>IFERROR(IFERROR(VLOOKUP(A669,TRAOPE!$A:$U,21,0),VLOOKUP(B669,TRAOPE!$A:$U,21,0)),"")</f>
        <v/>
      </c>
      <c r="R669" s="8">
        <f>IFERROR(IFERROR(VLOOKUP(A669,TRAOPE!$A:$W,23,0),VLOOKUP(B669,TRAOPE!$A:$W,23,0)),"")</f>
        <v/>
      </c>
      <c r="S669" s="10">
        <f>IF(AND(P669="TN",R669="TN"),N669+N(O669),IF(G669&amp;""="1",N(K669)*N669,(N669+N(O669))*N(K669)))</f>
        <v/>
      </c>
      <c r="T669" s="10">
        <f>IF(Q669="","",Q669-S669)</f>
        <v/>
      </c>
    </row>
    <row r="670">
      <c r="A670" s="7">
        <f>CONCATENATE(C670,E670,F670,I670)</f>
        <v/>
      </c>
      <c r="B670" s="7">
        <f>CONCATENATE(C670,E670,I670)</f>
        <v/>
      </c>
      <c r="C670" s="8" t="n">
        <v>900003588</v>
      </c>
      <c r="D670" s="7">
        <f>IFERROR(VLOOKUP(C670,TRAOPE!$G:$H,2,0),"")</f>
        <v/>
      </c>
      <c r="E670" s="8" t="inlineStr">
        <is>
          <t>D836</t>
        </is>
      </c>
      <c r="F670" s="8" t="inlineStr">
        <is>
          <t>65301775</t>
        </is>
      </c>
      <c r="G670" s="8">
        <f>IFERROR(VLOOKUP(A670,Flete!$A:$E,5,0),"")</f>
        <v/>
      </c>
      <c r="H670" s="7">
        <f>IFERROR(VLOOKUP(F670,TRAOPE!$AA:$AB,2,0),"")</f>
        <v/>
      </c>
      <c r="I670" s="7" t="n">
        <v>10000627</v>
      </c>
      <c r="J670" s="7">
        <f>IFERROR(VLOOKUP(I670,Materiales!$A:$H,8,0),"")</f>
        <v/>
      </c>
      <c r="K670" s="9">
        <f>IFERROR(VLOOKUP(I670,Materiales!$A:$G,7,0),"")</f>
        <v/>
      </c>
      <c r="L670" s="8" t="inlineStr">
        <is>
          <t>20190426</t>
        </is>
      </c>
      <c r="M670" s="8" t="inlineStr">
        <is>
          <t>20250127</t>
        </is>
      </c>
      <c r="N670" s="10" t="n">
        <v>77.52</v>
      </c>
      <c r="O670" s="10">
        <f>IFERROR(VLOOKUP(A670,Flete!$A:$J,10,0),"")</f>
        <v/>
      </c>
      <c r="P670" s="8" t="inlineStr">
        <is>
          <t>TN</t>
        </is>
      </c>
      <c r="Q670" s="10">
        <f>IFERROR(IFERROR(VLOOKUP(A670,TRAOPE!$A:$U,21,0),VLOOKUP(B670,TRAOPE!$A:$U,21,0)),"")</f>
        <v/>
      </c>
      <c r="R670" s="8">
        <f>IFERROR(IFERROR(VLOOKUP(A670,TRAOPE!$A:$W,23,0),VLOOKUP(B670,TRAOPE!$A:$W,23,0)),"")</f>
        <v/>
      </c>
      <c r="S670" s="10">
        <f>IF(AND(P670="TN",R670="TN"),N670+N(O670),IF(G670&amp;""="1",N(K670)*N670,(N670+N(O670))*N(K670)))</f>
        <v/>
      </c>
      <c r="T670" s="10">
        <f>IF(Q670="","",Q670-S670)</f>
        <v/>
      </c>
    </row>
    <row r="671">
      <c r="A671" s="7">
        <f>CONCATENATE(C671,E671,F671,I671)</f>
        <v/>
      </c>
      <c r="B671" s="7">
        <f>CONCATENATE(C671,E671,I671)</f>
        <v/>
      </c>
      <c r="C671" s="8" t="n">
        <v>900003588</v>
      </c>
      <c r="D671" s="7">
        <f>IFERROR(VLOOKUP(C671,TRAOPE!$G:$H,2,0),"")</f>
        <v/>
      </c>
      <c r="E671" s="8" t="inlineStr">
        <is>
          <t>D836</t>
        </is>
      </c>
      <c r="F671" s="8" t="inlineStr">
        <is>
          <t>65370785</t>
        </is>
      </c>
      <c r="G671" s="8">
        <f>IFERROR(VLOOKUP(A671,Flete!$A:$E,5,0),"")</f>
        <v/>
      </c>
      <c r="H671" s="7">
        <f>IFERROR(VLOOKUP(F671,TRAOPE!$AA:$AB,2,0),"")</f>
        <v/>
      </c>
      <c r="I671" s="7" t="n">
        <v>10000625</v>
      </c>
      <c r="J671" s="7">
        <f>IFERROR(VLOOKUP(I671,Materiales!$A:$H,8,0),"")</f>
        <v/>
      </c>
      <c r="K671" s="9">
        <f>IFERROR(VLOOKUP(I671,Materiales!$A:$G,7,0),"")</f>
        <v/>
      </c>
      <c r="L671" s="8" t="inlineStr">
        <is>
          <t>20190426</t>
        </is>
      </c>
      <c r="M671" s="8" t="inlineStr">
        <is>
          <t>20250127</t>
        </is>
      </c>
      <c r="N671" s="10" t="n">
        <v>60.95</v>
      </c>
      <c r="O671" s="10">
        <f>IFERROR(VLOOKUP(A671,Flete!$A:$J,10,0),"")</f>
        <v/>
      </c>
      <c r="P671" s="8" t="inlineStr">
        <is>
          <t>TN</t>
        </is>
      </c>
      <c r="Q671" s="10">
        <f>IFERROR(IFERROR(VLOOKUP(A671,TRAOPE!$A:$U,21,0),VLOOKUP(B671,TRAOPE!$A:$U,21,0)),"")</f>
        <v/>
      </c>
      <c r="R671" s="8">
        <f>IFERROR(IFERROR(VLOOKUP(A671,TRAOPE!$A:$W,23,0),VLOOKUP(B671,TRAOPE!$A:$W,23,0)),"")</f>
        <v/>
      </c>
      <c r="S671" s="10">
        <f>IF(AND(P671="TN",R671="TN"),N671+N(O671),IF(G671&amp;""="1",N(K671)*N671,(N671+N(O671))*N(K671)))</f>
        <v/>
      </c>
      <c r="T671" s="10">
        <f>IF(Q671="","",Q671-S671)</f>
        <v/>
      </c>
    </row>
    <row r="672">
      <c r="A672" s="7">
        <f>CONCATENATE(C672,E672,F672,I672)</f>
        <v/>
      </c>
      <c r="B672" s="7">
        <f>CONCATENATE(C672,E672,I672)</f>
        <v/>
      </c>
      <c r="C672" s="8" t="n">
        <v>900003588</v>
      </c>
      <c r="D672" s="7">
        <f>IFERROR(VLOOKUP(C672,TRAOPE!$G:$H,2,0),"")</f>
        <v/>
      </c>
      <c r="E672" s="8" t="inlineStr">
        <is>
          <t>D836</t>
        </is>
      </c>
      <c r="F672" s="8" t="inlineStr">
        <is>
          <t>65400067</t>
        </is>
      </c>
      <c r="G672" s="8">
        <f>IFERROR(VLOOKUP(A672,Flete!$A:$E,5,0),"")</f>
        <v/>
      </c>
      <c r="H672" s="7">
        <f>IFERROR(VLOOKUP(F672,TRAOPE!$AA:$AB,2,0),"")</f>
        <v/>
      </c>
      <c r="I672" s="7" t="n">
        <v>10000625</v>
      </c>
      <c r="J672" s="7">
        <f>IFERROR(VLOOKUP(I672,Materiales!$A:$H,8,0),"")</f>
        <v/>
      </c>
      <c r="K672" s="9">
        <f>IFERROR(VLOOKUP(I672,Materiales!$A:$G,7,0),"")</f>
        <v/>
      </c>
      <c r="L672" s="8" t="inlineStr">
        <is>
          <t>20190426</t>
        </is>
      </c>
      <c r="M672" s="8" t="inlineStr">
        <is>
          <t>20250127</t>
        </is>
      </c>
      <c r="N672" s="10" t="n">
        <v>56.68</v>
      </c>
      <c r="O672" s="10">
        <f>IFERROR(VLOOKUP(A672,Flete!$A:$J,10,0),"")</f>
        <v/>
      </c>
      <c r="P672" s="8" t="inlineStr">
        <is>
          <t>TN</t>
        </is>
      </c>
      <c r="Q672" s="10">
        <f>IFERROR(IFERROR(VLOOKUP(A672,TRAOPE!$A:$U,21,0),VLOOKUP(B672,TRAOPE!$A:$U,21,0)),"")</f>
        <v/>
      </c>
      <c r="R672" s="8">
        <f>IFERROR(IFERROR(VLOOKUP(A672,TRAOPE!$A:$W,23,0),VLOOKUP(B672,TRAOPE!$A:$W,23,0)),"")</f>
        <v/>
      </c>
      <c r="S672" s="10">
        <f>IF(AND(P672="TN",R672="TN"),N672+N(O672),IF(G672&amp;""="1",N(K672)*N672,(N672+N(O672))*N(K672)))</f>
        <v/>
      </c>
      <c r="T672" s="10">
        <f>IF(Q672="","",Q672-S672)</f>
        <v/>
      </c>
    </row>
    <row r="673">
      <c r="A673" s="7">
        <f>CONCATENATE(C673,E673,F673,I673)</f>
        <v/>
      </c>
      <c r="B673" s="7">
        <f>CONCATENATE(C673,E673,I673)</f>
        <v/>
      </c>
      <c r="C673" s="8" t="n">
        <v>900003588</v>
      </c>
      <c r="D673" s="7">
        <f>IFERROR(VLOOKUP(C673,TRAOPE!$G:$H,2,0),"")</f>
        <v/>
      </c>
      <c r="E673" s="8" t="inlineStr">
        <is>
          <t>D836</t>
        </is>
      </c>
      <c r="F673" s="8" t="inlineStr">
        <is>
          <t>65442270</t>
        </is>
      </c>
      <c r="G673" s="8">
        <f>IFERROR(VLOOKUP(A673,Flete!$A:$E,5,0),"")</f>
        <v/>
      </c>
      <c r="H673" s="7">
        <f>IFERROR(VLOOKUP(F673,TRAOPE!$AA:$AB,2,0),"")</f>
        <v/>
      </c>
      <c r="I673" s="7" t="n">
        <v>10000357</v>
      </c>
      <c r="J673" s="7">
        <f>IFERROR(VLOOKUP(I673,Materiales!$A:$H,8,0),"")</f>
        <v/>
      </c>
      <c r="K673" s="9">
        <f>IFERROR(VLOOKUP(I673,Materiales!$A:$G,7,0),"")</f>
        <v/>
      </c>
      <c r="L673" s="8" t="inlineStr">
        <is>
          <t>20190426</t>
        </is>
      </c>
      <c r="M673" s="8" t="inlineStr">
        <is>
          <t>20250127</t>
        </is>
      </c>
      <c r="N673" s="10" t="n">
        <v>98.06999999999999</v>
      </c>
      <c r="O673" s="10">
        <f>IFERROR(VLOOKUP(A673,Flete!$A:$J,10,0),"")</f>
        <v/>
      </c>
      <c r="P673" s="8" t="inlineStr">
        <is>
          <t>TN</t>
        </is>
      </c>
      <c r="Q673" s="10">
        <f>IFERROR(IFERROR(VLOOKUP(A673,TRAOPE!$A:$U,21,0),VLOOKUP(B673,TRAOPE!$A:$U,21,0)),"")</f>
        <v/>
      </c>
      <c r="R673" s="8">
        <f>IFERROR(IFERROR(VLOOKUP(A673,TRAOPE!$A:$W,23,0),VLOOKUP(B673,TRAOPE!$A:$W,23,0)),"")</f>
        <v/>
      </c>
      <c r="S673" s="10">
        <f>IF(AND(P673="TN",R673="TN"),N673+N(O673),IF(G673&amp;""="1",N(K673)*N673,(N673+N(O673))*N(K673)))</f>
        <v/>
      </c>
      <c r="T673" s="10">
        <f>IF(Q673="","",Q673-S673)</f>
        <v/>
      </c>
    </row>
    <row r="674">
      <c r="A674" s="7">
        <f>CONCATENATE(C674,E674,F674,I674)</f>
        <v/>
      </c>
      <c r="B674" s="7">
        <f>CONCATENATE(C674,E674,I674)</f>
        <v/>
      </c>
      <c r="C674" s="8" t="n">
        <v>900003588</v>
      </c>
      <c r="D674" s="7">
        <f>IFERROR(VLOOKUP(C674,TRAOPE!$G:$H,2,0),"")</f>
        <v/>
      </c>
      <c r="E674" s="8" t="inlineStr">
        <is>
          <t>D836</t>
        </is>
      </c>
      <c r="F674" s="8" t="inlineStr">
        <is>
          <t>65442270</t>
        </is>
      </c>
      <c r="G674" s="8">
        <f>IFERROR(VLOOKUP(A674,Flete!$A:$E,5,0),"")</f>
        <v/>
      </c>
      <c r="H674" s="7">
        <f>IFERROR(VLOOKUP(F674,TRAOPE!$AA:$AB,2,0),"")</f>
        <v/>
      </c>
      <c r="I674" s="7" t="n">
        <v>10000625</v>
      </c>
      <c r="J674" s="7">
        <f>IFERROR(VLOOKUP(I674,Materiales!$A:$H,8,0),"")</f>
        <v/>
      </c>
      <c r="K674" s="9">
        <f>IFERROR(VLOOKUP(I674,Materiales!$A:$G,7,0),"")</f>
        <v/>
      </c>
      <c r="L674" s="8" t="inlineStr">
        <is>
          <t>20190426</t>
        </is>
      </c>
      <c r="M674" s="8" t="inlineStr">
        <is>
          <t>20250127</t>
        </is>
      </c>
      <c r="N674" s="10" t="n">
        <v>63.39</v>
      </c>
      <c r="O674" s="10">
        <f>IFERROR(VLOOKUP(A674,Flete!$A:$J,10,0),"")</f>
        <v/>
      </c>
      <c r="P674" s="8" t="inlineStr">
        <is>
          <t>TN</t>
        </is>
      </c>
      <c r="Q674" s="10">
        <f>IFERROR(IFERROR(VLOOKUP(A674,TRAOPE!$A:$U,21,0),VLOOKUP(B674,TRAOPE!$A:$U,21,0)),"")</f>
        <v/>
      </c>
      <c r="R674" s="8">
        <f>IFERROR(IFERROR(VLOOKUP(A674,TRAOPE!$A:$W,23,0),VLOOKUP(B674,TRAOPE!$A:$W,23,0)),"")</f>
        <v/>
      </c>
      <c r="S674" s="10">
        <f>IF(AND(P674="TN",R674="TN"),N674+N(O674),IF(G674&amp;""="1",N(K674)*N674,(N674+N(O674))*N(K674)))</f>
        <v/>
      </c>
      <c r="T674" s="10">
        <f>IF(Q674="","",Q674-S674)</f>
        <v/>
      </c>
    </row>
    <row r="675">
      <c r="A675" s="7">
        <f>CONCATENATE(C675,E675,F675,I675)</f>
        <v/>
      </c>
      <c r="B675" s="7">
        <f>CONCATENATE(C675,E675,I675)</f>
        <v/>
      </c>
      <c r="C675" s="8" t="n">
        <v>900003588</v>
      </c>
      <c r="D675" s="7">
        <f>IFERROR(VLOOKUP(C675,TRAOPE!$G:$H,2,0),"")</f>
        <v/>
      </c>
      <c r="E675" s="8" t="inlineStr">
        <is>
          <t>D836</t>
        </is>
      </c>
      <c r="F675" s="8" t="inlineStr">
        <is>
          <t>65442270</t>
        </is>
      </c>
      <c r="G675" s="8">
        <f>IFERROR(VLOOKUP(A675,Flete!$A:$E,5,0),"")</f>
        <v/>
      </c>
      <c r="H675" s="7">
        <f>IFERROR(VLOOKUP(F675,TRAOPE!$AA:$AB,2,0),"")</f>
        <v/>
      </c>
      <c r="I675" s="7" t="n">
        <v>10000627</v>
      </c>
      <c r="J675" s="7">
        <f>IFERROR(VLOOKUP(I675,Materiales!$A:$H,8,0),"")</f>
        <v/>
      </c>
      <c r="K675" s="9">
        <f>IFERROR(VLOOKUP(I675,Materiales!$A:$G,7,0),"")</f>
        <v/>
      </c>
      <c r="L675" s="8" t="inlineStr">
        <is>
          <t>20190426</t>
        </is>
      </c>
      <c r="M675" s="8" t="inlineStr">
        <is>
          <t>20250127</t>
        </is>
      </c>
      <c r="N675" s="10" t="n">
        <v>79.98</v>
      </c>
      <c r="O675" s="10">
        <f>IFERROR(VLOOKUP(A675,Flete!$A:$J,10,0),"")</f>
        <v/>
      </c>
      <c r="P675" s="8" t="inlineStr">
        <is>
          <t>TN</t>
        </is>
      </c>
      <c r="Q675" s="10">
        <f>IFERROR(IFERROR(VLOOKUP(A675,TRAOPE!$A:$U,21,0),VLOOKUP(B675,TRAOPE!$A:$U,21,0)),"")</f>
        <v/>
      </c>
      <c r="R675" s="8">
        <f>IFERROR(IFERROR(VLOOKUP(A675,TRAOPE!$A:$W,23,0),VLOOKUP(B675,TRAOPE!$A:$W,23,0)),"")</f>
        <v/>
      </c>
      <c r="S675" s="10">
        <f>IF(AND(P675="TN",R675="TN"),N675+N(O675),IF(G675&amp;""="1",N(K675)*N675,(N675+N(O675))*N(K675)))</f>
        <v/>
      </c>
      <c r="T675" s="10">
        <f>IF(Q675="","",Q675-S675)</f>
        <v/>
      </c>
    </row>
    <row r="676">
      <c r="A676" s="7">
        <f>CONCATENATE(C676,E676,F676,I676)</f>
        <v/>
      </c>
      <c r="B676" s="7">
        <f>CONCATENATE(C676,E676,I676)</f>
        <v/>
      </c>
      <c r="C676" s="8" t="n">
        <v>900003588</v>
      </c>
      <c r="D676" s="7">
        <f>IFERROR(VLOOKUP(C676,TRAOPE!$G:$H,2,0),"")</f>
        <v/>
      </c>
      <c r="E676" s="8" t="inlineStr">
        <is>
          <t>D836</t>
        </is>
      </c>
      <c r="F676" s="8" t="inlineStr">
        <is>
          <t>65570346</t>
        </is>
      </c>
      <c r="G676" s="8">
        <f>IFERROR(VLOOKUP(A676,Flete!$A:$E,5,0),"")</f>
        <v/>
      </c>
      <c r="H676" s="7">
        <f>IFERROR(VLOOKUP(F676,TRAOPE!$AA:$AB,2,0),"")</f>
        <v/>
      </c>
      <c r="I676" s="7" t="n">
        <v>10000140</v>
      </c>
      <c r="J676" s="7">
        <f>IFERROR(VLOOKUP(I676,Materiales!$A:$H,8,0),"")</f>
        <v/>
      </c>
      <c r="K676" s="9">
        <f>IFERROR(VLOOKUP(I676,Materiales!$A:$G,7,0),"")</f>
        <v/>
      </c>
      <c r="L676" s="8" t="inlineStr">
        <is>
          <t>20190426</t>
        </is>
      </c>
      <c r="M676" s="8" t="inlineStr">
        <is>
          <t>20250127</t>
        </is>
      </c>
      <c r="N676" s="10" t="n">
        <v>72.95999999999999</v>
      </c>
      <c r="O676" s="10">
        <f>IFERROR(VLOOKUP(A676,Flete!$A:$J,10,0),"")</f>
        <v/>
      </c>
      <c r="P676" s="8" t="inlineStr">
        <is>
          <t>TN</t>
        </is>
      </c>
      <c r="Q676" s="10">
        <f>IFERROR(IFERROR(VLOOKUP(A676,TRAOPE!$A:$U,21,0),VLOOKUP(B676,TRAOPE!$A:$U,21,0)),"")</f>
        <v/>
      </c>
      <c r="R676" s="8">
        <f>IFERROR(IFERROR(VLOOKUP(A676,TRAOPE!$A:$W,23,0),VLOOKUP(B676,TRAOPE!$A:$W,23,0)),"")</f>
        <v/>
      </c>
      <c r="S676" s="10">
        <f>IF(AND(P676="TN",R676="TN"),N676+N(O676),IF(G676&amp;""="1",N(K676)*N676,(N676+N(O676))*N(K676)))</f>
        <v/>
      </c>
      <c r="T676" s="10">
        <f>IF(Q676="","",Q676-S676)</f>
        <v/>
      </c>
    </row>
    <row r="677">
      <c r="A677" s="7">
        <f>CONCATENATE(C677,E677,F677,I677)</f>
        <v/>
      </c>
      <c r="B677" s="7">
        <f>CONCATENATE(C677,E677,I677)</f>
        <v/>
      </c>
      <c r="C677" s="8" t="n">
        <v>900003588</v>
      </c>
      <c r="D677" s="7">
        <f>IFERROR(VLOOKUP(C677,TRAOPE!$G:$H,2,0),"")</f>
        <v/>
      </c>
      <c r="E677" s="8" t="inlineStr">
        <is>
          <t>D836</t>
        </is>
      </c>
      <c r="F677" s="8" t="inlineStr">
        <is>
          <t>65570346</t>
        </is>
      </c>
      <c r="G677" s="8">
        <f>IFERROR(VLOOKUP(A677,Flete!$A:$E,5,0),"")</f>
        <v/>
      </c>
      <c r="H677" s="7">
        <f>IFERROR(VLOOKUP(F677,TRAOPE!$AA:$AB,2,0),"")</f>
        <v/>
      </c>
      <c r="I677" s="7" t="n">
        <v>10000357</v>
      </c>
      <c r="J677" s="7">
        <f>IFERROR(VLOOKUP(I677,Materiales!$A:$H,8,0),"")</f>
        <v/>
      </c>
      <c r="K677" s="9">
        <f>IFERROR(VLOOKUP(I677,Materiales!$A:$G,7,0),"")</f>
        <v/>
      </c>
      <c r="L677" s="8" t="inlineStr">
        <is>
          <t>20190426</t>
        </is>
      </c>
      <c r="M677" s="8" t="inlineStr">
        <is>
          <t>20250127</t>
        </is>
      </c>
      <c r="N677" s="10" t="n">
        <v>95</v>
      </c>
      <c r="O677" s="10">
        <f>IFERROR(VLOOKUP(A677,Flete!$A:$J,10,0),"")</f>
        <v/>
      </c>
      <c r="P677" s="8" t="inlineStr">
        <is>
          <t>TN</t>
        </is>
      </c>
      <c r="Q677" s="10">
        <f>IFERROR(IFERROR(VLOOKUP(A677,TRAOPE!$A:$U,21,0),VLOOKUP(B677,TRAOPE!$A:$U,21,0)),"")</f>
        <v/>
      </c>
      <c r="R677" s="8">
        <f>IFERROR(IFERROR(VLOOKUP(A677,TRAOPE!$A:$W,23,0),VLOOKUP(B677,TRAOPE!$A:$W,23,0)),"")</f>
        <v/>
      </c>
      <c r="S677" s="10">
        <f>IF(AND(P677="TN",R677="TN"),N677+N(O677),IF(G677&amp;""="1",N(K677)*N677,(N677+N(O677))*N(K677)))</f>
        <v/>
      </c>
      <c r="T677" s="10">
        <f>IF(Q677="","",Q677-S677)</f>
        <v/>
      </c>
    </row>
    <row r="678">
      <c r="A678" s="7">
        <f>CONCATENATE(C678,E678,F678,I678)</f>
        <v/>
      </c>
      <c r="B678" s="7">
        <f>CONCATENATE(C678,E678,I678)</f>
        <v/>
      </c>
      <c r="C678" s="8" t="n">
        <v>900003588</v>
      </c>
      <c r="D678" s="7">
        <f>IFERROR(VLOOKUP(C678,TRAOPE!$G:$H,2,0),"")</f>
        <v/>
      </c>
      <c r="E678" s="8" t="inlineStr">
        <is>
          <t>D836</t>
        </is>
      </c>
      <c r="F678" s="8" t="inlineStr">
        <is>
          <t>65570346</t>
        </is>
      </c>
      <c r="G678" s="8">
        <f>IFERROR(VLOOKUP(A678,Flete!$A:$E,5,0),"")</f>
        <v/>
      </c>
      <c r="H678" s="7">
        <f>IFERROR(VLOOKUP(F678,TRAOPE!$AA:$AB,2,0),"")</f>
        <v/>
      </c>
      <c r="I678" s="7" t="n">
        <v>10000625</v>
      </c>
      <c r="J678" s="7">
        <f>IFERROR(VLOOKUP(I678,Materiales!$A:$H,8,0),"")</f>
        <v/>
      </c>
      <c r="K678" s="9">
        <f>IFERROR(VLOOKUP(I678,Materiales!$A:$G,7,0),"")</f>
        <v/>
      </c>
      <c r="L678" s="8" t="inlineStr">
        <is>
          <t>20190426</t>
        </is>
      </c>
      <c r="M678" s="8" t="inlineStr">
        <is>
          <t>20250127</t>
        </is>
      </c>
      <c r="N678" s="10" t="n">
        <v>60</v>
      </c>
      <c r="O678" s="10">
        <f>IFERROR(VLOOKUP(A678,Flete!$A:$J,10,0),"")</f>
        <v/>
      </c>
      <c r="P678" s="8" t="inlineStr">
        <is>
          <t>TN</t>
        </is>
      </c>
      <c r="Q678" s="10">
        <f>IFERROR(IFERROR(VLOOKUP(A678,TRAOPE!$A:$U,21,0),VLOOKUP(B678,TRAOPE!$A:$U,21,0)),"")</f>
        <v/>
      </c>
      <c r="R678" s="8">
        <f>IFERROR(IFERROR(VLOOKUP(A678,TRAOPE!$A:$W,23,0),VLOOKUP(B678,TRAOPE!$A:$W,23,0)),"")</f>
        <v/>
      </c>
      <c r="S678" s="10">
        <f>IF(AND(P678="TN",R678="TN"),N678+N(O678),IF(G678&amp;""="1",N(K678)*N678,(N678+N(O678))*N(K678)))</f>
        <v/>
      </c>
      <c r="T678" s="10">
        <f>IF(Q678="","",Q678-S678)</f>
        <v/>
      </c>
    </row>
    <row r="679">
      <c r="A679" s="7">
        <f>CONCATENATE(C679,E679,F679,I679)</f>
        <v/>
      </c>
      <c r="B679" s="7">
        <f>CONCATENATE(C679,E679,I679)</f>
        <v/>
      </c>
      <c r="C679" s="8" t="n">
        <v>900003588</v>
      </c>
      <c r="D679" s="7">
        <f>IFERROR(VLOOKUP(C679,TRAOPE!$G:$H,2,0),"")</f>
        <v/>
      </c>
      <c r="E679" s="8" t="inlineStr">
        <is>
          <t>D836</t>
        </is>
      </c>
      <c r="F679" s="8" t="inlineStr">
        <is>
          <t>65570346</t>
        </is>
      </c>
      <c r="G679" s="8">
        <f>IFERROR(VLOOKUP(A679,Flete!$A:$E,5,0),"")</f>
        <v/>
      </c>
      <c r="H679" s="7">
        <f>IFERROR(VLOOKUP(F679,TRAOPE!$AA:$AB,2,0),"")</f>
        <v/>
      </c>
      <c r="I679" s="7" t="n">
        <v>10000627</v>
      </c>
      <c r="J679" s="7">
        <f>IFERROR(VLOOKUP(I679,Materiales!$A:$H,8,0),"")</f>
        <v/>
      </c>
      <c r="K679" s="9">
        <f>IFERROR(VLOOKUP(I679,Materiales!$A:$G,7,0),"")</f>
        <v/>
      </c>
      <c r="L679" s="8" t="inlineStr">
        <is>
          <t>20190426</t>
        </is>
      </c>
      <c r="M679" s="8" t="inlineStr">
        <is>
          <t>20250127</t>
        </is>
      </c>
      <c r="N679" s="10" t="n">
        <v>80</v>
      </c>
      <c r="O679" s="10">
        <f>IFERROR(VLOOKUP(A679,Flete!$A:$J,10,0),"")</f>
        <v/>
      </c>
      <c r="P679" s="8" t="inlineStr">
        <is>
          <t>TN</t>
        </is>
      </c>
      <c r="Q679" s="10">
        <f>IFERROR(IFERROR(VLOOKUP(A679,TRAOPE!$A:$U,21,0),VLOOKUP(B679,TRAOPE!$A:$U,21,0)),"")</f>
        <v/>
      </c>
      <c r="R679" s="8">
        <f>IFERROR(IFERROR(VLOOKUP(A679,TRAOPE!$A:$W,23,0),VLOOKUP(B679,TRAOPE!$A:$W,23,0)),"")</f>
        <v/>
      </c>
      <c r="S679" s="10">
        <f>IF(AND(P679="TN",R679="TN"),N679+N(O679),IF(G679&amp;""="1",N(K679)*N679,(N679+N(O679))*N(K679)))</f>
        <v/>
      </c>
      <c r="T679" s="10">
        <f>IF(Q679="","",Q679-S679)</f>
        <v/>
      </c>
    </row>
    <row r="680">
      <c r="A680" s="7">
        <f>CONCATENATE(C680,E680,F680,I680)</f>
        <v/>
      </c>
      <c r="B680" s="7">
        <f>CONCATENATE(C680,E680,I680)</f>
        <v/>
      </c>
      <c r="C680" s="8" t="n">
        <v>900003588</v>
      </c>
      <c r="D680" s="7">
        <f>IFERROR(VLOOKUP(C680,TRAOPE!$G:$H,2,0),"")</f>
        <v/>
      </c>
      <c r="E680" s="8" t="inlineStr">
        <is>
          <t>D836</t>
        </is>
      </c>
      <c r="F680" s="8" t="inlineStr">
        <is>
          <t>65701702</t>
        </is>
      </c>
      <c r="G680" s="8">
        <f>IFERROR(VLOOKUP(A680,Flete!$A:$E,5,0),"")</f>
        <v/>
      </c>
      <c r="H680" s="7">
        <f>IFERROR(VLOOKUP(F680,TRAOPE!$AA:$AB,2,0),"")</f>
        <v/>
      </c>
      <c r="I680" s="7" t="n">
        <v>10000625</v>
      </c>
      <c r="J680" s="7">
        <f>IFERROR(VLOOKUP(I680,Materiales!$A:$H,8,0),"")</f>
        <v/>
      </c>
      <c r="K680" s="9">
        <f>IFERROR(VLOOKUP(I680,Materiales!$A:$G,7,0),"")</f>
        <v/>
      </c>
      <c r="L680" s="8" t="inlineStr">
        <is>
          <t>20190426</t>
        </is>
      </c>
      <c r="M680" s="8" t="inlineStr">
        <is>
          <t>20250127</t>
        </is>
      </c>
      <c r="N680" s="10" t="n">
        <v>70.40000000000001</v>
      </c>
      <c r="O680" s="10">
        <f>IFERROR(VLOOKUP(A680,Flete!$A:$J,10,0),"")</f>
        <v/>
      </c>
      <c r="P680" s="8" t="inlineStr">
        <is>
          <t>TN</t>
        </is>
      </c>
      <c r="Q680" s="10">
        <f>IFERROR(IFERROR(VLOOKUP(A680,TRAOPE!$A:$U,21,0),VLOOKUP(B680,TRAOPE!$A:$U,21,0)),"")</f>
        <v/>
      </c>
      <c r="R680" s="8">
        <f>IFERROR(IFERROR(VLOOKUP(A680,TRAOPE!$A:$W,23,0),VLOOKUP(B680,TRAOPE!$A:$W,23,0)),"")</f>
        <v/>
      </c>
      <c r="S680" s="10">
        <f>IF(AND(P680="TN",R680="TN"),N680+N(O680),IF(G680&amp;""="1",N(K680)*N680,(N680+N(O680))*N(K680)))</f>
        <v/>
      </c>
      <c r="T680" s="10">
        <f>IF(Q680="","",Q680-S680)</f>
        <v/>
      </c>
    </row>
    <row r="681">
      <c r="A681" s="7">
        <f>CONCATENATE(C681,E681,F681,I681)</f>
        <v/>
      </c>
      <c r="B681" s="7">
        <f>CONCATENATE(C681,E681,I681)</f>
        <v/>
      </c>
      <c r="C681" s="8" t="n">
        <v>900003588</v>
      </c>
      <c r="D681" s="7">
        <f>IFERROR(VLOOKUP(C681,TRAOPE!$G:$H,2,0),"")</f>
        <v/>
      </c>
      <c r="E681" s="8" t="inlineStr">
        <is>
          <t>D836</t>
        </is>
      </c>
      <c r="F681" s="8" t="inlineStr">
        <is>
          <t>65706147</t>
        </is>
      </c>
      <c r="G681" s="8">
        <f>IFERROR(VLOOKUP(A681,Flete!$A:$E,5,0),"")</f>
        <v/>
      </c>
      <c r="H681" s="7">
        <f>IFERROR(VLOOKUP(F681,TRAOPE!$AA:$AB,2,0),"")</f>
        <v/>
      </c>
      <c r="I681" s="7" t="n">
        <v>10000357</v>
      </c>
      <c r="J681" s="7">
        <f>IFERROR(VLOOKUP(I681,Materiales!$A:$H,8,0),"")</f>
        <v/>
      </c>
      <c r="K681" s="9">
        <f>IFERROR(VLOOKUP(I681,Materiales!$A:$G,7,0),"")</f>
        <v/>
      </c>
      <c r="L681" s="8" t="inlineStr">
        <is>
          <t>20190426</t>
        </is>
      </c>
      <c r="M681" s="8" t="inlineStr">
        <is>
          <t>20250127</t>
        </is>
      </c>
      <c r="N681" s="10" t="n">
        <v>120</v>
      </c>
      <c r="O681" s="10">
        <f>IFERROR(VLOOKUP(A681,Flete!$A:$J,10,0),"")</f>
        <v/>
      </c>
      <c r="P681" s="8" t="inlineStr">
        <is>
          <t>TN</t>
        </is>
      </c>
      <c r="Q681" s="10">
        <f>IFERROR(IFERROR(VLOOKUP(A681,TRAOPE!$A:$U,21,0),VLOOKUP(B681,TRAOPE!$A:$U,21,0)),"")</f>
        <v/>
      </c>
      <c r="R681" s="8">
        <f>IFERROR(IFERROR(VLOOKUP(A681,TRAOPE!$A:$W,23,0),VLOOKUP(B681,TRAOPE!$A:$W,23,0)),"")</f>
        <v/>
      </c>
      <c r="S681" s="10">
        <f>IF(AND(P681="TN",R681="TN"),N681+N(O681),IF(G681&amp;""="1",N(K681)*N681,(N681+N(O681))*N(K681)))</f>
        <v/>
      </c>
      <c r="T681" s="10">
        <f>IF(Q681="","",Q681-S681)</f>
        <v/>
      </c>
    </row>
    <row r="682">
      <c r="A682" s="7">
        <f>CONCATENATE(C682,E682,F682,I682)</f>
        <v/>
      </c>
      <c r="B682" s="7">
        <f>CONCATENATE(C682,E682,I682)</f>
        <v/>
      </c>
      <c r="C682" s="8" t="n">
        <v>900003588</v>
      </c>
      <c r="D682" s="7">
        <f>IFERROR(VLOOKUP(C682,TRAOPE!$G:$H,2,0),"")</f>
        <v/>
      </c>
      <c r="E682" s="8" t="inlineStr">
        <is>
          <t>D836</t>
        </is>
      </c>
      <c r="F682" s="8" t="inlineStr">
        <is>
          <t>65706147</t>
        </is>
      </c>
      <c r="G682" s="8">
        <f>IFERROR(VLOOKUP(A682,Flete!$A:$E,5,0),"")</f>
        <v/>
      </c>
      <c r="H682" s="7">
        <f>IFERROR(VLOOKUP(F682,TRAOPE!$AA:$AB,2,0),"")</f>
        <v/>
      </c>
      <c r="I682" s="7" t="n">
        <v>10000625</v>
      </c>
      <c r="J682" s="7">
        <f>IFERROR(VLOOKUP(I682,Materiales!$A:$H,8,0),"")</f>
        <v/>
      </c>
      <c r="K682" s="9">
        <f>IFERROR(VLOOKUP(I682,Materiales!$A:$G,7,0),"")</f>
        <v/>
      </c>
      <c r="L682" s="8" t="inlineStr">
        <is>
          <t>20190426</t>
        </is>
      </c>
      <c r="M682" s="8" t="inlineStr">
        <is>
          <t>20250127</t>
        </is>
      </c>
      <c r="N682" s="10" t="n">
        <v>55</v>
      </c>
      <c r="O682" s="10">
        <f>IFERROR(VLOOKUP(A682,Flete!$A:$J,10,0),"")</f>
        <v/>
      </c>
      <c r="P682" s="8" t="inlineStr">
        <is>
          <t>TN</t>
        </is>
      </c>
      <c r="Q682" s="10">
        <f>IFERROR(IFERROR(VLOOKUP(A682,TRAOPE!$A:$U,21,0),VLOOKUP(B682,TRAOPE!$A:$U,21,0)),"")</f>
        <v/>
      </c>
      <c r="R682" s="8">
        <f>IFERROR(IFERROR(VLOOKUP(A682,TRAOPE!$A:$W,23,0),VLOOKUP(B682,TRAOPE!$A:$W,23,0)),"")</f>
        <v/>
      </c>
      <c r="S682" s="10">
        <f>IF(AND(P682="TN",R682="TN"),N682+N(O682),IF(G682&amp;""="1",N(K682)*N682,(N682+N(O682))*N(K682)))</f>
        <v/>
      </c>
      <c r="T682" s="10">
        <f>IF(Q682="","",Q682-S682)</f>
        <v/>
      </c>
    </row>
    <row r="683">
      <c r="A683" s="7">
        <f>CONCATENATE(C683,E683,F683,I683)</f>
        <v/>
      </c>
      <c r="B683" s="7">
        <f>CONCATENATE(C683,E683,I683)</f>
        <v/>
      </c>
      <c r="C683" s="8" t="n">
        <v>900003588</v>
      </c>
      <c r="D683" s="7">
        <f>IFERROR(VLOOKUP(C683,TRAOPE!$G:$H,2,0),"")</f>
        <v/>
      </c>
      <c r="E683" s="8" t="inlineStr">
        <is>
          <t>D836</t>
        </is>
      </c>
      <c r="F683" s="8" t="inlineStr">
        <is>
          <t>65714168</t>
        </is>
      </c>
      <c r="G683" s="8">
        <f>IFERROR(VLOOKUP(A683,Flete!$A:$E,5,0),"")</f>
        <v/>
      </c>
      <c r="H683" s="7">
        <f>IFERROR(VLOOKUP(F683,TRAOPE!$AA:$AB,2,0),"")</f>
        <v/>
      </c>
      <c r="I683" s="7" t="n">
        <v>10000625</v>
      </c>
      <c r="J683" s="7">
        <f>IFERROR(VLOOKUP(I683,Materiales!$A:$H,8,0),"")</f>
        <v/>
      </c>
      <c r="K683" s="9">
        <f>IFERROR(VLOOKUP(I683,Materiales!$A:$G,7,0),"")</f>
        <v/>
      </c>
      <c r="L683" s="8" t="inlineStr">
        <is>
          <t>20190426</t>
        </is>
      </c>
      <c r="M683" s="8" t="inlineStr">
        <is>
          <t>20250127</t>
        </is>
      </c>
      <c r="N683" s="10" t="n">
        <v>58.51</v>
      </c>
      <c r="O683" s="10">
        <f>IFERROR(VLOOKUP(A683,Flete!$A:$J,10,0),"")</f>
        <v/>
      </c>
      <c r="P683" s="8" t="inlineStr">
        <is>
          <t>TN</t>
        </is>
      </c>
      <c r="Q683" s="10">
        <f>IFERROR(IFERROR(VLOOKUP(A683,TRAOPE!$A:$U,21,0),VLOOKUP(B683,TRAOPE!$A:$U,21,0)),"")</f>
        <v/>
      </c>
      <c r="R683" s="8">
        <f>IFERROR(IFERROR(VLOOKUP(A683,TRAOPE!$A:$W,23,0),VLOOKUP(B683,TRAOPE!$A:$W,23,0)),"")</f>
        <v/>
      </c>
      <c r="S683" s="10">
        <f>IF(AND(P683="TN",R683="TN"),N683+N(O683),IF(G683&amp;""="1",N(K683)*N683,(N683+N(O683))*N(K683)))</f>
        <v/>
      </c>
      <c r="T683" s="10">
        <f>IF(Q683="","",Q683-S683)</f>
        <v/>
      </c>
    </row>
    <row r="684">
      <c r="A684" s="7">
        <f>CONCATENATE(C684,E684,F684,I684)</f>
        <v/>
      </c>
      <c r="B684" s="7">
        <f>CONCATENATE(C684,E684,I684)</f>
        <v/>
      </c>
      <c r="C684" s="8" t="n">
        <v>900003588</v>
      </c>
      <c r="D684" s="7">
        <f>IFERROR(VLOOKUP(C684,TRAOPE!$G:$H,2,0),"")</f>
        <v/>
      </c>
      <c r="E684" s="8" t="inlineStr">
        <is>
          <t>D836</t>
        </is>
      </c>
      <c r="F684" s="8" t="inlineStr">
        <is>
          <t>65729122</t>
        </is>
      </c>
      <c r="G684" s="8">
        <f>IFERROR(VLOOKUP(A684,Flete!$A:$E,5,0),"")</f>
        <v/>
      </c>
      <c r="H684" s="7">
        <f>IFERROR(VLOOKUP(F684,TRAOPE!$AA:$AB,2,0),"")</f>
        <v/>
      </c>
      <c r="I684" s="7" t="n">
        <v>10000357</v>
      </c>
      <c r="J684" s="7">
        <f>IFERROR(VLOOKUP(I684,Materiales!$A:$H,8,0),"")</f>
        <v/>
      </c>
      <c r="K684" s="9">
        <f>IFERROR(VLOOKUP(I684,Materiales!$A:$G,7,0),"")</f>
        <v/>
      </c>
      <c r="L684" s="8" t="inlineStr">
        <is>
          <t>20190426</t>
        </is>
      </c>
      <c r="M684" s="8" t="inlineStr">
        <is>
          <t>20250127</t>
        </is>
      </c>
      <c r="N684" s="10" t="n">
        <v>98.06999999999999</v>
      </c>
      <c r="O684" s="10">
        <f>IFERROR(VLOOKUP(A684,Flete!$A:$J,10,0),"")</f>
        <v/>
      </c>
      <c r="P684" s="8" t="inlineStr">
        <is>
          <t>TN</t>
        </is>
      </c>
      <c r="Q684" s="10">
        <f>IFERROR(IFERROR(VLOOKUP(A684,TRAOPE!$A:$U,21,0),VLOOKUP(B684,TRAOPE!$A:$U,21,0)),"")</f>
        <v/>
      </c>
      <c r="R684" s="8">
        <f>IFERROR(IFERROR(VLOOKUP(A684,TRAOPE!$A:$W,23,0),VLOOKUP(B684,TRAOPE!$A:$W,23,0)),"")</f>
        <v/>
      </c>
      <c r="S684" s="10">
        <f>IF(AND(P684="TN",R684="TN"),N684+N(O684),IF(G684&amp;""="1",N(K684)*N684,(N684+N(O684))*N(K684)))</f>
        <v/>
      </c>
      <c r="T684" s="10">
        <f>IF(Q684="","",Q684-S684)</f>
        <v/>
      </c>
    </row>
    <row r="685">
      <c r="A685" s="7">
        <f>CONCATENATE(C685,E685,F685,I685)</f>
        <v/>
      </c>
      <c r="B685" s="7">
        <f>CONCATENATE(C685,E685,I685)</f>
        <v/>
      </c>
      <c r="C685" s="8" t="n">
        <v>900003588</v>
      </c>
      <c r="D685" s="7">
        <f>IFERROR(VLOOKUP(C685,TRAOPE!$G:$H,2,0),"")</f>
        <v/>
      </c>
      <c r="E685" s="8" t="inlineStr">
        <is>
          <t>D836</t>
        </is>
      </c>
      <c r="F685" s="8" t="inlineStr">
        <is>
          <t>65729122</t>
        </is>
      </c>
      <c r="G685" s="8">
        <f>IFERROR(VLOOKUP(A685,Flete!$A:$E,5,0),"")</f>
        <v/>
      </c>
      <c r="H685" s="7">
        <f>IFERROR(VLOOKUP(F685,TRAOPE!$AA:$AB,2,0),"")</f>
        <v/>
      </c>
      <c r="I685" s="7" t="n">
        <v>10000625</v>
      </c>
      <c r="J685" s="7">
        <f>IFERROR(VLOOKUP(I685,Materiales!$A:$H,8,0),"")</f>
        <v/>
      </c>
      <c r="K685" s="9">
        <f>IFERROR(VLOOKUP(I685,Materiales!$A:$G,7,0),"")</f>
        <v/>
      </c>
      <c r="L685" s="8" t="inlineStr">
        <is>
          <t>20190426</t>
        </is>
      </c>
      <c r="M685" s="8" t="inlineStr">
        <is>
          <t>20250127</t>
        </is>
      </c>
      <c r="N685" s="10" t="n">
        <v>62.78</v>
      </c>
      <c r="O685" s="10">
        <f>IFERROR(VLOOKUP(A685,Flete!$A:$J,10,0),"")</f>
        <v/>
      </c>
      <c r="P685" s="8" t="inlineStr">
        <is>
          <t>TN</t>
        </is>
      </c>
      <c r="Q685" s="10">
        <f>IFERROR(IFERROR(VLOOKUP(A685,TRAOPE!$A:$U,21,0),VLOOKUP(B685,TRAOPE!$A:$U,21,0)),"")</f>
        <v/>
      </c>
      <c r="R685" s="8">
        <f>IFERROR(IFERROR(VLOOKUP(A685,TRAOPE!$A:$W,23,0),VLOOKUP(B685,TRAOPE!$A:$W,23,0)),"")</f>
        <v/>
      </c>
      <c r="S685" s="10">
        <f>IF(AND(P685="TN",R685="TN"),N685+N(O685),IF(G685&amp;""="1",N(K685)*N685,(N685+N(O685))*N(K685)))</f>
        <v/>
      </c>
      <c r="T685" s="10">
        <f>IF(Q685="","",Q685-S685)</f>
        <v/>
      </c>
    </row>
    <row r="686">
      <c r="A686" s="7">
        <f>CONCATENATE(C686,E686,F686,I686)</f>
        <v/>
      </c>
      <c r="B686" s="7">
        <f>CONCATENATE(C686,E686,I686)</f>
        <v/>
      </c>
      <c r="C686" s="8" t="n">
        <v>900003588</v>
      </c>
      <c r="D686" s="7">
        <f>IFERROR(VLOOKUP(C686,TRAOPE!$G:$H,2,0),"")</f>
        <v/>
      </c>
      <c r="E686" s="8" t="inlineStr">
        <is>
          <t>D836</t>
        </is>
      </c>
      <c r="F686" s="8" t="inlineStr">
        <is>
          <t>65729122</t>
        </is>
      </c>
      <c r="G686" s="8">
        <f>IFERROR(VLOOKUP(A686,Flete!$A:$E,5,0),"")</f>
        <v/>
      </c>
      <c r="H686" s="7">
        <f>IFERROR(VLOOKUP(F686,TRAOPE!$AA:$AB,2,0),"")</f>
        <v/>
      </c>
      <c r="I686" s="7" t="n">
        <v>10000627</v>
      </c>
      <c r="J686" s="7">
        <f>IFERROR(VLOOKUP(I686,Materiales!$A:$H,8,0),"")</f>
        <v/>
      </c>
      <c r="K686" s="9">
        <f>IFERROR(VLOOKUP(I686,Materiales!$A:$G,7,0),"")</f>
        <v/>
      </c>
      <c r="L686" s="8" t="inlineStr">
        <is>
          <t>20190426</t>
        </is>
      </c>
      <c r="M686" s="8" t="inlineStr">
        <is>
          <t>20250127</t>
        </is>
      </c>
      <c r="N686" s="10" t="n">
        <v>79.98</v>
      </c>
      <c r="O686" s="10">
        <f>IFERROR(VLOOKUP(A686,Flete!$A:$J,10,0),"")</f>
        <v/>
      </c>
      <c r="P686" s="8" t="inlineStr">
        <is>
          <t>TN</t>
        </is>
      </c>
      <c r="Q686" s="10">
        <f>IFERROR(IFERROR(VLOOKUP(A686,TRAOPE!$A:$U,21,0),VLOOKUP(B686,TRAOPE!$A:$U,21,0)),"")</f>
        <v/>
      </c>
      <c r="R686" s="8">
        <f>IFERROR(IFERROR(VLOOKUP(A686,TRAOPE!$A:$W,23,0),VLOOKUP(B686,TRAOPE!$A:$W,23,0)),"")</f>
        <v/>
      </c>
      <c r="S686" s="10">
        <f>IF(AND(P686="TN",R686="TN"),N686+N(O686),IF(G686&amp;""="1",N(K686)*N686,(N686+N(O686))*N(K686)))</f>
        <v/>
      </c>
      <c r="T686" s="10">
        <f>IF(Q686="","",Q686-S686)</f>
        <v/>
      </c>
    </row>
    <row r="687">
      <c r="A687" s="7">
        <f>CONCATENATE(C687,E687,F687,I687)</f>
        <v/>
      </c>
      <c r="B687" s="7">
        <f>CONCATENATE(C687,E687,I687)</f>
        <v/>
      </c>
      <c r="C687" s="8" t="n">
        <v>900003588</v>
      </c>
      <c r="D687" s="7">
        <f>IFERROR(VLOOKUP(C687,TRAOPE!$G:$H,2,0),"")</f>
        <v/>
      </c>
      <c r="E687" s="8" t="inlineStr">
        <is>
          <t>D836</t>
        </is>
      </c>
      <c r="F687" s="8" t="inlineStr">
        <is>
          <t>65767510</t>
        </is>
      </c>
      <c r="G687" s="8">
        <f>IFERROR(VLOOKUP(A687,Flete!$A:$E,5,0),"")</f>
        <v/>
      </c>
      <c r="H687" s="7">
        <f>IFERROR(VLOOKUP(F687,TRAOPE!$AA:$AB,2,0),"")</f>
        <v/>
      </c>
      <c r="I687" s="7" t="n">
        <v>10000625</v>
      </c>
      <c r="J687" s="7">
        <f>IFERROR(VLOOKUP(I687,Materiales!$A:$H,8,0),"")</f>
        <v/>
      </c>
      <c r="K687" s="9">
        <f>IFERROR(VLOOKUP(I687,Materiales!$A:$G,7,0),"")</f>
        <v/>
      </c>
      <c r="L687" s="8" t="inlineStr">
        <is>
          <t>20190426</t>
        </is>
      </c>
      <c r="M687" s="8" t="inlineStr">
        <is>
          <t>20250127</t>
        </is>
      </c>
      <c r="N687" s="10" t="n">
        <v>49.2</v>
      </c>
      <c r="O687" s="10">
        <f>IFERROR(VLOOKUP(A687,Flete!$A:$J,10,0),"")</f>
        <v/>
      </c>
      <c r="P687" s="8" t="inlineStr">
        <is>
          <t>TN</t>
        </is>
      </c>
      <c r="Q687" s="10">
        <f>IFERROR(IFERROR(VLOOKUP(A687,TRAOPE!$A:$U,21,0),VLOOKUP(B687,TRAOPE!$A:$U,21,0)),"")</f>
        <v/>
      </c>
      <c r="R687" s="8">
        <f>IFERROR(IFERROR(VLOOKUP(A687,TRAOPE!$A:$W,23,0),VLOOKUP(B687,TRAOPE!$A:$W,23,0)),"")</f>
        <v/>
      </c>
      <c r="S687" s="10">
        <f>IF(AND(P687="TN",R687="TN"),N687+N(O687),IF(G687&amp;""="1",N(K687)*N687,(N687+N(O687))*N(K687)))</f>
        <v/>
      </c>
      <c r="T687" s="10">
        <f>IF(Q687="","",Q687-S687)</f>
        <v/>
      </c>
    </row>
    <row r="688">
      <c r="A688" s="7">
        <f>CONCATENATE(C688,E688,F688,I688)</f>
        <v/>
      </c>
      <c r="B688" s="7">
        <f>CONCATENATE(C688,E688,I688)</f>
        <v/>
      </c>
      <c r="C688" s="8" t="n">
        <v>900003588</v>
      </c>
      <c r="D688" s="7">
        <f>IFERROR(VLOOKUP(C688,TRAOPE!$G:$H,2,0),"")</f>
        <v/>
      </c>
      <c r="E688" s="8" t="inlineStr">
        <is>
          <t>D836</t>
        </is>
      </c>
      <c r="F688" s="8" t="inlineStr">
        <is>
          <t>65796882</t>
        </is>
      </c>
      <c r="G688" s="8">
        <f>IFERROR(VLOOKUP(A688,Flete!$A:$E,5,0),"")</f>
        <v/>
      </c>
      <c r="H688" s="7">
        <f>IFERROR(VLOOKUP(F688,TRAOPE!$AA:$AB,2,0),"")</f>
        <v/>
      </c>
      <c r="I688" s="7" t="n">
        <v>10000357</v>
      </c>
      <c r="J688" s="7">
        <f>IFERROR(VLOOKUP(I688,Materiales!$A:$H,8,0),"")</f>
        <v/>
      </c>
      <c r="K688" s="9">
        <f>IFERROR(VLOOKUP(I688,Materiales!$A:$G,7,0),"")</f>
        <v/>
      </c>
      <c r="L688" s="8" t="inlineStr">
        <is>
          <t>20190426</t>
        </is>
      </c>
      <c r="M688" s="8" t="inlineStr">
        <is>
          <t>20250127</t>
        </is>
      </c>
      <c r="N688" s="10" t="n">
        <v>98.06999999999999</v>
      </c>
      <c r="O688" s="10">
        <f>IFERROR(VLOOKUP(A688,Flete!$A:$J,10,0),"")</f>
        <v/>
      </c>
      <c r="P688" s="8" t="inlineStr">
        <is>
          <t>TN</t>
        </is>
      </c>
      <c r="Q688" s="10">
        <f>IFERROR(IFERROR(VLOOKUP(A688,TRAOPE!$A:$U,21,0),VLOOKUP(B688,TRAOPE!$A:$U,21,0)),"")</f>
        <v/>
      </c>
      <c r="R688" s="8">
        <f>IFERROR(IFERROR(VLOOKUP(A688,TRAOPE!$A:$W,23,0),VLOOKUP(B688,TRAOPE!$A:$W,23,0)),"")</f>
        <v/>
      </c>
      <c r="S688" s="10">
        <f>IF(AND(P688="TN",R688="TN"),N688+N(O688),IF(G688&amp;""="1",N(K688)*N688,(N688+N(O688))*N(K688)))</f>
        <v/>
      </c>
      <c r="T688" s="10">
        <f>IF(Q688="","",Q688-S688)</f>
        <v/>
      </c>
    </row>
    <row r="689">
      <c r="A689" s="7">
        <f>CONCATENATE(C689,E689,F689,I689)</f>
        <v/>
      </c>
      <c r="B689" s="7">
        <f>CONCATENATE(C689,E689,I689)</f>
        <v/>
      </c>
      <c r="C689" s="8" t="n">
        <v>900003588</v>
      </c>
      <c r="D689" s="7">
        <f>IFERROR(VLOOKUP(C689,TRAOPE!$G:$H,2,0),"")</f>
        <v/>
      </c>
      <c r="E689" s="8" t="inlineStr">
        <is>
          <t>D836</t>
        </is>
      </c>
      <c r="F689" s="8" t="inlineStr">
        <is>
          <t>65796882</t>
        </is>
      </c>
      <c r="G689" s="8">
        <f>IFERROR(VLOOKUP(A689,Flete!$A:$E,5,0),"")</f>
        <v/>
      </c>
      <c r="H689" s="7">
        <f>IFERROR(VLOOKUP(F689,TRAOPE!$AA:$AB,2,0),"")</f>
        <v/>
      </c>
      <c r="I689" s="7" t="n">
        <v>10000625</v>
      </c>
      <c r="J689" s="7">
        <f>IFERROR(VLOOKUP(I689,Materiales!$A:$H,8,0),"")</f>
        <v/>
      </c>
      <c r="K689" s="9">
        <f>IFERROR(VLOOKUP(I689,Materiales!$A:$G,7,0),"")</f>
        <v/>
      </c>
      <c r="L689" s="8" t="inlineStr">
        <is>
          <t>20190426</t>
        </is>
      </c>
      <c r="M689" s="8" t="inlineStr">
        <is>
          <t>20250127</t>
        </is>
      </c>
      <c r="N689" s="10" t="n">
        <v>63.39</v>
      </c>
      <c r="O689" s="10">
        <f>IFERROR(VLOOKUP(A689,Flete!$A:$J,10,0),"")</f>
        <v/>
      </c>
      <c r="P689" s="8" t="inlineStr">
        <is>
          <t>TN</t>
        </is>
      </c>
      <c r="Q689" s="10">
        <f>IFERROR(IFERROR(VLOOKUP(A689,TRAOPE!$A:$U,21,0),VLOOKUP(B689,TRAOPE!$A:$U,21,0)),"")</f>
        <v/>
      </c>
      <c r="R689" s="8">
        <f>IFERROR(IFERROR(VLOOKUP(A689,TRAOPE!$A:$W,23,0),VLOOKUP(B689,TRAOPE!$A:$W,23,0)),"")</f>
        <v/>
      </c>
      <c r="S689" s="10">
        <f>IF(AND(P689="TN",R689="TN"),N689+N(O689),IF(G689&amp;""="1",N(K689)*N689,(N689+N(O689))*N(K689)))</f>
        <v/>
      </c>
      <c r="T689" s="10">
        <f>IF(Q689="","",Q689-S689)</f>
        <v/>
      </c>
    </row>
    <row r="690">
      <c r="A690" s="7">
        <f>CONCATENATE(C690,E690,F690,I690)</f>
        <v/>
      </c>
      <c r="B690" s="7">
        <f>CONCATENATE(C690,E690,I690)</f>
        <v/>
      </c>
      <c r="C690" s="8" t="n">
        <v>900003588</v>
      </c>
      <c r="D690" s="7">
        <f>IFERROR(VLOOKUP(C690,TRAOPE!$G:$H,2,0),"")</f>
        <v/>
      </c>
      <c r="E690" s="8" t="inlineStr">
        <is>
          <t>D836</t>
        </is>
      </c>
      <c r="F690" s="8" t="inlineStr">
        <is>
          <t>65796882</t>
        </is>
      </c>
      <c r="G690" s="8">
        <f>IFERROR(VLOOKUP(A690,Flete!$A:$E,5,0),"")</f>
        <v/>
      </c>
      <c r="H690" s="7">
        <f>IFERROR(VLOOKUP(F690,TRAOPE!$AA:$AB,2,0),"")</f>
        <v/>
      </c>
      <c r="I690" s="7" t="n">
        <v>10000627</v>
      </c>
      <c r="J690" s="7">
        <f>IFERROR(VLOOKUP(I690,Materiales!$A:$H,8,0),"")</f>
        <v/>
      </c>
      <c r="K690" s="9">
        <f>IFERROR(VLOOKUP(I690,Materiales!$A:$G,7,0),"")</f>
        <v/>
      </c>
      <c r="L690" s="8" t="inlineStr">
        <is>
          <t>20190426</t>
        </is>
      </c>
      <c r="M690" s="8" t="inlineStr">
        <is>
          <t>20250127</t>
        </is>
      </c>
      <c r="N690" s="10" t="n">
        <v>79.98</v>
      </c>
      <c r="O690" s="10">
        <f>IFERROR(VLOOKUP(A690,Flete!$A:$J,10,0),"")</f>
        <v/>
      </c>
      <c r="P690" s="8" t="inlineStr">
        <is>
          <t>TN</t>
        </is>
      </c>
      <c r="Q690" s="10">
        <f>IFERROR(IFERROR(VLOOKUP(A690,TRAOPE!$A:$U,21,0),VLOOKUP(B690,TRAOPE!$A:$U,21,0)),"")</f>
        <v/>
      </c>
      <c r="R690" s="8">
        <f>IFERROR(IFERROR(VLOOKUP(A690,TRAOPE!$A:$W,23,0),VLOOKUP(B690,TRAOPE!$A:$W,23,0)),"")</f>
        <v/>
      </c>
      <c r="S690" s="10">
        <f>IF(AND(P690="TN",R690="TN"),N690+N(O690),IF(G690&amp;""="1",N(K690)*N690,(N690+N(O690))*N(K690)))</f>
        <v/>
      </c>
      <c r="T690" s="10">
        <f>IF(Q690="","",Q690-S690)</f>
        <v/>
      </c>
    </row>
    <row r="691">
      <c r="A691" s="7">
        <f>CONCATENATE(C691,E691,F691,I691)</f>
        <v/>
      </c>
      <c r="B691" s="7">
        <f>CONCATENATE(C691,E691,I691)</f>
        <v/>
      </c>
      <c r="C691" s="8" t="n">
        <v>900003588</v>
      </c>
      <c r="D691" s="7">
        <f>IFERROR(VLOOKUP(C691,TRAOPE!$G:$H,2,0),"")</f>
        <v/>
      </c>
      <c r="E691" s="8" t="inlineStr">
        <is>
          <t>D836</t>
        </is>
      </c>
      <c r="F691" s="8" t="inlineStr">
        <is>
          <t>65909241</t>
        </is>
      </c>
      <c r="G691" s="8">
        <f>IFERROR(VLOOKUP(A691,Flete!$A:$E,5,0),"")</f>
        <v/>
      </c>
      <c r="H691" s="7">
        <f>IFERROR(VLOOKUP(F691,TRAOPE!$AA:$AB,2,0),"")</f>
        <v/>
      </c>
      <c r="I691" s="7" t="n">
        <v>10000625</v>
      </c>
      <c r="J691" s="7">
        <f>IFERROR(VLOOKUP(I691,Materiales!$A:$H,8,0),"")</f>
        <v/>
      </c>
      <c r="K691" s="9">
        <f>IFERROR(VLOOKUP(I691,Materiales!$A:$G,7,0),"")</f>
        <v/>
      </c>
      <c r="L691" s="8" t="inlineStr">
        <is>
          <t>20190426</t>
        </is>
      </c>
      <c r="M691" s="8" t="inlineStr">
        <is>
          <t>20250127</t>
        </is>
      </c>
      <c r="N691" s="10" t="n">
        <v>49.72</v>
      </c>
      <c r="O691" s="10">
        <f>IFERROR(VLOOKUP(A691,Flete!$A:$J,10,0),"")</f>
        <v/>
      </c>
      <c r="P691" s="8" t="inlineStr">
        <is>
          <t>TN</t>
        </is>
      </c>
      <c r="Q691" s="10">
        <f>IFERROR(IFERROR(VLOOKUP(A691,TRAOPE!$A:$U,21,0),VLOOKUP(B691,TRAOPE!$A:$U,21,0)),"")</f>
        <v/>
      </c>
      <c r="R691" s="8">
        <f>IFERROR(IFERROR(VLOOKUP(A691,TRAOPE!$A:$W,23,0),VLOOKUP(B691,TRAOPE!$A:$W,23,0)),"")</f>
        <v/>
      </c>
      <c r="S691" s="10">
        <f>IF(AND(P691="TN",R691="TN"),N691+N(O691),IF(G691&amp;""="1",N(K691)*N691,(N691+N(O691))*N(K691)))</f>
        <v/>
      </c>
      <c r="T691" s="10">
        <f>IF(Q691="","",Q691-S691)</f>
        <v/>
      </c>
    </row>
    <row r="692">
      <c r="A692" s="7">
        <f>CONCATENATE(C692,E692,F692,I692)</f>
        <v/>
      </c>
      <c r="B692" s="7">
        <f>CONCATENATE(C692,E692,I692)</f>
        <v/>
      </c>
      <c r="C692" s="8" t="n">
        <v>900003588</v>
      </c>
      <c r="D692" s="7">
        <f>IFERROR(VLOOKUP(C692,TRAOPE!$G:$H,2,0),"")</f>
        <v/>
      </c>
      <c r="E692" s="8" t="inlineStr">
        <is>
          <t>D836</t>
        </is>
      </c>
      <c r="F692" s="8" t="inlineStr">
        <is>
          <t>66167552</t>
        </is>
      </c>
      <c r="G692" s="8">
        <f>IFERROR(VLOOKUP(A692,Flete!$A:$E,5,0),"")</f>
        <v/>
      </c>
      <c r="H692" s="7">
        <f>IFERROR(VLOOKUP(F692,TRAOPE!$AA:$AB,2,0),"")</f>
        <v/>
      </c>
      <c r="I692" s="7" t="n">
        <v>10000357</v>
      </c>
      <c r="J692" s="7">
        <f>IFERROR(VLOOKUP(I692,Materiales!$A:$H,8,0),"")</f>
        <v/>
      </c>
      <c r="K692" s="9">
        <f>IFERROR(VLOOKUP(I692,Materiales!$A:$G,7,0),"")</f>
        <v/>
      </c>
      <c r="L692" s="8" t="inlineStr">
        <is>
          <t>20190426</t>
        </is>
      </c>
      <c r="M692" s="8" t="inlineStr">
        <is>
          <t>20250127</t>
        </is>
      </c>
      <c r="N692" s="10" t="n">
        <v>98.90000000000001</v>
      </c>
      <c r="O692" s="10">
        <f>IFERROR(VLOOKUP(A692,Flete!$A:$J,10,0),"")</f>
        <v/>
      </c>
      <c r="P692" s="8" t="inlineStr">
        <is>
          <t>TN</t>
        </is>
      </c>
      <c r="Q692" s="10">
        <f>IFERROR(IFERROR(VLOOKUP(A692,TRAOPE!$A:$U,21,0),VLOOKUP(B692,TRAOPE!$A:$U,21,0)),"")</f>
        <v/>
      </c>
      <c r="R692" s="8">
        <f>IFERROR(IFERROR(VLOOKUP(A692,TRAOPE!$A:$W,23,0),VLOOKUP(B692,TRAOPE!$A:$W,23,0)),"")</f>
        <v/>
      </c>
      <c r="S692" s="10">
        <f>IF(AND(P692="TN",R692="TN"),N692+N(O692),IF(G692&amp;""="1",N(K692)*N692,(N692+N(O692))*N(K692)))</f>
        <v/>
      </c>
      <c r="T692" s="10">
        <f>IF(Q692="","",Q692-S692)</f>
        <v/>
      </c>
    </row>
    <row r="693">
      <c r="A693" s="7">
        <f>CONCATENATE(C693,E693,F693,I693)</f>
        <v/>
      </c>
      <c r="B693" s="7">
        <f>CONCATENATE(C693,E693,I693)</f>
        <v/>
      </c>
      <c r="C693" s="8" t="n">
        <v>900003588</v>
      </c>
      <c r="D693" s="7">
        <f>IFERROR(VLOOKUP(C693,TRAOPE!$G:$H,2,0),"")</f>
        <v/>
      </c>
      <c r="E693" s="8" t="inlineStr">
        <is>
          <t>D836</t>
        </is>
      </c>
      <c r="F693" s="8" t="inlineStr">
        <is>
          <t>66167552</t>
        </is>
      </c>
      <c r="G693" s="8">
        <f>IFERROR(VLOOKUP(A693,Flete!$A:$E,5,0),"")</f>
        <v/>
      </c>
      <c r="H693" s="7">
        <f>IFERROR(VLOOKUP(F693,TRAOPE!$AA:$AB,2,0),"")</f>
        <v/>
      </c>
      <c r="I693" s="7" t="n">
        <v>10000625</v>
      </c>
      <c r="J693" s="7">
        <f>IFERROR(VLOOKUP(I693,Materiales!$A:$H,8,0),"")</f>
        <v/>
      </c>
      <c r="K693" s="9">
        <f>IFERROR(VLOOKUP(I693,Materiales!$A:$G,7,0),"")</f>
        <v/>
      </c>
      <c r="L693" s="8" t="inlineStr">
        <is>
          <t>20190426</t>
        </is>
      </c>
      <c r="M693" s="8" t="inlineStr">
        <is>
          <t>20250127</t>
        </is>
      </c>
      <c r="N693" s="10" t="n">
        <v>58.65</v>
      </c>
      <c r="O693" s="10">
        <f>IFERROR(VLOOKUP(A693,Flete!$A:$J,10,0),"")</f>
        <v/>
      </c>
      <c r="P693" s="8" t="inlineStr">
        <is>
          <t>TN</t>
        </is>
      </c>
      <c r="Q693" s="10">
        <f>IFERROR(IFERROR(VLOOKUP(A693,TRAOPE!$A:$U,21,0),VLOOKUP(B693,TRAOPE!$A:$U,21,0)),"")</f>
        <v/>
      </c>
      <c r="R693" s="8">
        <f>IFERROR(IFERROR(VLOOKUP(A693,TRAOPE!$A:$W,23,0),VLOOKUP(B693,TRAOPE!$A:$W,23,0)),"")</f>
        <v/>
      </c>
      <c r="S693" s="10">
        <f>IF(AND(P693="TN",R693="TN"),N693+N(O693),IF(G693&amp;""="1",N(K693)*N693,(N693+N(O693))*N(K693)))</f>
        <v/>
      </c>
      <c r="T693" s="10">
        <f>IF(Q693="","",Q693-S693)</f>
        <v/>
      </c>
    </row>
    <row r="694">
      <c r="A694" s="7">
        <f>CONCATENATE(C694,E694,F694,I694)</f>
        <v/>
      </c>
      <c r="B694" s="7">
        <f>CONCATENATE(C694,E694,I694)</f>
        <v/>
      </c>
      <c r="C694" s="8" t="n">
        <v>900003588</v>
      </c>
      <c r="D694" s="7">
        <f>IFERROR(VLOOKUP(C694,TRAOPE!$G:$H,2,0),"")</f>
        <v/>
      </c>
      <c r="E694" s="8" t="inlineStr">
        <is>
          <t>D836</t>
        </is>
      </c>
      <c r="F694" s="8" t="inlineStr">
        <is>
          <t>66181113</t>
        </is>
      </c>
      <c r="G694" s="8">
        <f>IFERROR(VLOOKUP(A694,Flete!$A:$E,5,0),"")</f>
        <v/>
      </c>
      <c r="H694" s="7">
        <f>IFERROR(VLOOKUP(F694,TRAOPE!$AA:$AB,2,0),"")</f>
        <v/>
      </c>
      <c r="I694" s="7" t="n">
        <v>10000357</v>
      </c>
      <c r="J694" s="7">
        <f>IFERROR(VLOOKUP(I694,Materiales!$A:$H,8,0),"")</f>
        <v/>
      </c>
      <c r="K694" s="9">
        <f>IFERROR(VLOOKUP(I694,Materiales!$A:$G,7,0),"")</f>
        <v/>
      </c>
      <c r="L694" s="8" t="inlineStr">
        <is>
          <t>20190426</t>
        </is>
      </c>
      <c r="M694" s="8" t="inlineStr">
        <is>
          <t>20250127</t>
        </is>
      </c>
      <c r="N694" s="10" t="n">
        <v>98.06999999999999</v>
      </c>
      <c r="O694" s="10">
        <f>IFERROR(VLOOKUP(A694,Flete!$A:$J,10,0),"")</f>
        <v/>
      </c>
      <c r="P694" s="8" t="inlineStr">
        <is>
          <t>TN</t>
        </is>
      </c>
      <c r="Q694" s="10">
        <f>IFERROR(IFERROR(VLOOKUP(A694,TRAOPE!$A:$U,21,0),VLOOKUP(B694,TRAOPE!$A:$U,21,0)),"")</f>
        <v/>
      </c>
      <c r="R694" s="8">
        <f>IFERROR(IFERROR(VLOOKUP(A694,TRAOPE!$A:$W,23,0),VLOOKUP(B694,TRAOPE!$A:$W,23,0)),"")</f>
        <v/>
      </c>
      <c r="S694" s="10">
        <f>IF(AND(P694="TN",R694="TN"),N694+N(O694),IF(G694&amp;""="1",N(K694)*N694,(N694+N(O694))*N(K694)))</f>
        <v/>
      </c>
      <c r="T694" s="10">
        <f>IF(Q694="","",Q694-S694)</f>
        <v/>
      </c>
    </row>
    <row r="695">
      <c r="A695" s="7">
        <f>CONCATENATE(C695,E695,F695,I695)</f>
        <v/>
      </c>
      <c r="B695" s="7">
        <f>CONCATENATE(C695,E695,I695)</f>
        <v/>
      </c>
      <c r="C695" s="8" t="n">
        <v>900003588</v>
      </c>
      <c r="D695" s="7">
        <f>IFERROR(VLOOKUP(C695,TRAOPE!$G:$H,2,0),"")</f>
        <v/>
      </c>
      <c r="E695" s="8" t="inlineStr">
        <is>
          <t>D836</t>
        </is>
      </c>
      <c r="F695" s="8" t="inlineStr">
        <is>
          <t>66181113</t>
        </is>
      </c>
      <c r="G695" s="8">
        <f>IFERROR(VLOOKUP(A695,Flete!$A:$E,5,0),"")</f>
        <v/>
      </c>
      <c r="H695" s="7">
        <f>IFERROR(VLOOKUP(F695,TRAOPE!$AA:$AB,2,0),"")</f>
        <v/>
      </c>
      <c r="I695" s="7" t="n">
        <v>10000625</v>
      </c>
      <c r="J695" s="7">
        <f>IFERROR(VLOOKUP(I695,Materiales!$A:$H,8,0),"")</f>
        <v/>
      </c>
      <c r="K695" s="9">
        <f>IFERROR(VLOOKUP(I695,Materiales!$A:$G,7,0),"")</f>
        <v/>
      </c>
      <c r="L695" s="8" t="inlineStr">
        <is>
          <t>20190426</t>
        </is>
      </c>
      <c r="M695" s="8" t="inlineStr">
        <is>
          <t>20250127</t>
        </is>
      </c>
      <c r="N695" s="10" t="n">
        <v>63.39</v>
      </c>
      <c r="O695" s="10">
        <f>IFERROR(VLOOKUP(A695,Flete!$A:$J,10,0),"")</f>
        <v/>
      </c>
      <c r="P695" s="8" t="inlineStr">
        <is>
          <t>TN</t>
        </is>
      </c>
      <c r="Q695" s="10">
        <f>IFERROR(IFERROR(VLOOKUP(A695,TRAOPE!$A:$U,21,0),VLOOKUP(B695,TRAOPE!$A:$U,21,0)),"")</f>
        <v/>
      </c>
      <c r="R695" s="8">
        <f>IFERROR(IFERROR(VLOOKUP(A695,TRAOPE!$A:$W,23,0),VLOOKUP(B695,TRAOPE!$A:$W,23,0)),"")</f>
        <v/>
      </c>
      <c r="S695" s="10">
        <f>IF(AND(P695="TN",R695="TN"),N695+N(O695),IF(G695&amp;""="1",N(K695)*N695,(N695+N(O695))*N(K695)))</f>
        <v/>
      </c>
      <c r="T695" s="10">
        <f>IF(Q695="","",Q695-S695)</f>
        <v/>
      </c>
    </row>
    <row r="696">
      <c r="A696" s="7">
        <f>CONCATENATE(C696,E696,F696,I696)</f>
        <v/>
      </c>
      <c r="B696" s="7">
        <f>CONCATENATE(C696,E696,I696)</f>
        <v/>
      </c>
      <c r="C696" s="8" t="n">
        <v>900003588</v>
      </c>
      <c r="D696" s="7">
        <f>IFERROR(VLOOKUP(C696,TRAOPE!$G:$H,2,0),"")</f>
        <v/>
      </c>
      <c r="E696" s="8" t="inlineStr">
        <is>
          <t>D836</t>
        </is>
      </c>
      <c r="F696" s="8" t="inlineStr">
        <is>
          <t>66181113</t>
        </is>
      </c>
      <c r="G696" s="8">
        <f>IFERROR(VLOOKUP(A696,Flete!$A:$E,5,0),"")</f>
        <v/>
      </c>
      <c r="H696" s="7">
        <f>IFERROR(VLOOKUP(F696,TRAOPE!$AA:$AB,2,0),"")</f>
        <v/>
      </c>
      <c r="I696" s="7" t="n">
        <v>10000627</v>
      </c>
      <c r="J696" s="7">
        <f>IFERROR(VLOOKUP(I696,Materiales!$A:$H,8,0),"")</f>
        <v/>
      </c>
      <c r="K696" s="9">
        <f>IFERROR(VLOOKUP(I696,Materiales!$A:$G,7,0),"")</f>
        <v/>
      </c>
      <c r="L696" s="8" t="inlineStr">
        <is>
          <t>20190426</t>
        </is>
      </c>
      <c r="M696" s="8" t="inlineStr">
        <is>
          <t>20250127</t>
        </is>
      </c>
      <c r="N696" s="10" t="n">
        <v>79.98</v>
      </c>
      <c r="O696" s="10">
        <f>IFERROR(VLOOKUP(A696,Flete!$A:$J,10,0),"")</f>
        <v/>
      </c>
      <c r="P696" s="8" t="inlineStr">
        <is>
          <t>TN</t>
        </is>
      </c>
      <c r="Q696" s="10">
        <f>IFERROR(IFERROR(VLOOKUP(A696,TRAOPE!$A:$U,21,0),VLOOKUP(B696,TRAOPE!$A:$U,21,0)),"")</f>
        <v/>
      </c>
      <c r="R696" s="8">
        <f>IFERROR(IFERROR(VLOOKUP(A696,TRAOPE!$A:$W,23,0),VLOOKUP(B696,TRAOPE!$A:$W,23,0)),"")</f>
        <v/>
      </c>
      <c r="S696" s="10">
        <f>IF(AND(P696="TN",R696="TN"),N696+N(O696),IF(G696&amp;""="1",N(K696)*N696,(N696+N(O696))*N(K696)))</f>
        <v/>
      </c>
      <c r="T696" s="10">
        <f>IF(Q696="","",Q696-S696)</f>
        <v/>
      </c>
    </row>
    <row r="697">
      <c r="A697" s="7">
        <f>CONCATENATE(C697,E697,F697,I697)</f>
        <v/>
      </c>
      <c r="B697" s="7">
        <f>CONCATENATE(C697,E697,I697)</f>
        <v/>
      </c>
      <c r="C697" s="8" t="n">
        <v>900003588</v>
      </c>
      <c r="D697" s="7">
        <f>IFERROR(VLOOKUP(C697,TRAOPE!$G:$H,2,0),"")</f>
        <v/>
      </c>
      <c r="E697" s="8" t="inlineStr">
        <is>
          <t>D836</t>
        </is>
      </c>
      <c r="F697" s="8" t="inlineStr">
        <is>
          <t>66181114</t>
        </is>
      </c>
      <c r="G697" s="8">
        <f>IFERROR(VLOOKUP(A697,Flete!$A:$E,5,0),"")</f>
        <v/>
      </c>
      <c r="H697" s="7">
        <f>IFERROR(VLOOKUP(F697,TRAOPE!$AA:$AB,2,0),"")</f>
        <v/>
      </c>
      <c r="I697" s="7" t="n">
        <v>10000357</v>
      </c>
      <c r="J697" s="7">
        <f>IFERROR(VLOOKUP(I697,Materiales!$A:$H,8,0),"")</f>
        <v/>
      </c>
      <c r="K697" s="9">
        <f>IFERROR(VLOOKUP(I697,Materiales!$A:$G,7,0),"")</f>
        <v/>
      </c>
      <c r="L697" s="8" t="inlineStr">
        <is>
          <t>20190426</t>
        </is>
      </c>
      <c r="M697" s="8" t="inlineStr">
        <is>
          <t>20250127</t>
        </is>
      </c>
      <c r="N697" s="10" t="n">
        <v>98.06999999999999</v>
      </c>
      <c r="O697" s="10">
        <f>IFERROR(VLOOKUP(A697,Flete!$A:$J,10,0),"")</f>
        <v/>
      </c>
      <c r="P697" s="8" t="inlineStr">
        <is>
          <t>TN</t>
        </is>
      </c>
      <c r="Q697" s="10">
        <f>IFERROR(IFERROR(VLOOKUP(A697,TRAOPE!$A:$U,21,0),VLOOKUP(B697,TRAOPE!$A:$U,21,0)),"")</f>
        <v/>
      </c>
      <c r="R697" s="8">
        <f>IFERROR(IFERROR(VLOOKUP(A697,TRAOPE!$A:$W,23,0),VLOOKUP(B697,TRAOPE!$A:$W,23,0)),"")</f>
        <v/>
      </c>
      <c r="S697" s="10">
        <f>IF(AND(P697="TN",R697="TN"),N697+N(O697),IF(G697&amp;""="1",N(K697)*N697,(N697+N(O697))*N(K697)))</f>
        <v/>
      </c>
      <c r="T697" s="10">
        <f>IF(Q697="","",Q697-S697)</f>
        <v/>
      </c>
    </row>
    <row r="698">
      <c r="A698" s="7">
        <f>CONCATENATE(C698,E698,F698,I698)</f>
        <v/>
      </c>
      <c r="B698" s="7">
        <f>CONCATENATE(C698,E698,I698)</f>
        <v/>
      </c>
      <c r="C698" s="8" t="n">
        <v>900003588</v>
      </c>
      <c r="D698" s="7">
        <f>IFERROR(VLOOKUP(C698,TRAOPE!$G:$H,2,0),"")</f>
        <v/>
      </c>
      <c r="E698" s="8" t="inlineStr">
        <is>
          <t>D836</t>
        </is>
      </c>
      <c r="F698" s="8" t="inlineStr">
        <is>
          <t>66230098</t>
        </is>
      </c>
      <c r="G698" s="8">
        <f>IFERROR(VLOOKUP(A698,Flete!$A:$E,5,0),"")</f>
        <v/>
      </c>
      <c r="H698" s="7">
        <f>IFERROR(VLOOKUP(F698,TRAOPE!$AA:$AB,2,0),"")</f>
        <v/>
      </c>
      <c r="I698" s="7" t="n">
        <v>10001354</v>
      </c>
      <c r="J698" s="7">
        <f>IFERROR(VLOOKUP(I698,Materiales!$A:$H,8,0),"")</f>
        <v/>
      </c>
      <c r="K698" s="9">
        <f>IFERROR(VLOOKUP(I698,Materiales!$A:$G,7,0),"")</f>
        <v/>
      </c>
      <c r="L698" s="8" t="inlineStr">
        <is>
          <t>20190426</t>
        </is>
      </c>
      <c r="M698" s="8" t="inlineStr">
        <is>
          <t>20250127</t>
        </is>
      </c>
      <c r="N698" s="10" t="n">
        <v>129</v>
      </c>
      <c r="O698" s="10">
        <f>IFERROR(VLOOKUP(A698,Flete!$A:$J,10,0),"")</f>
        <v/>
      </c>
      <c r="P698" s="8" t="inlineStr">
        <is>
          <t>TN</t>
        </is>
      </c>
      <c r="Q698" s="10">
        <f>IFERROR(IFERROR(VLOOKUP(A698,TRAOPE!$A:$U,21,0),VLOOKUP(B698,TRAOPE!$A:$U,21,0)),"")</f>
        <v/>
      </c>
      <c r="R698" s="8">
        <f>IFERROR(IFERROR(VLOOKUP(A698,TRAOPE!$A:$W,23,0),VLOOKUP(B698,TRAOPE!$A:$W,23,0)),"")</f>
        <v/>
      </c>
      <c r="S698" s="10">
        <f>IF(AND(P698="TN",R698="TN"),N698+N(O698),IF(G698&amp;""="1",N(K698)*N698,(N698+N(O698))*N(K698)))</f>
        <v/>
      </c>
      <c r="T698" s="10">
        <f>IF(Q698="","",Q698-S698)</f>
        <v/>
      </c>
    </row>
    <row r="699">
      <c r="A699" s="7">
        <f>CONCATENATE(C699,E699,F699,I699)</f>
        <v/>
      </c>
      <c r="B699" s="7">
        <f>CONCATENATE(C699,E699,I699)</f>
        <v/>
      </c>
      <c r="C699" s="8" t="n">
        <v>900003588</v>
      </c>
      <c r="D699" s="7">
        <f>IFERROR(VLOOKUP(C699,TRAOPE!$G:$H,2,0),"")</f>
        <v/>
      </c>
      <c r="E699" s="8" t="inlineStr">
        <is>
          <t>D836</t>
        </is>
      </c>
      <c r="F699" s="8" t="inlineStr">
        <is>
          <t>66237142</t>
        </is>
      </c>
      <c r="G699" s="8">
        <f>IFERROR(VLOOKUP(A699,Flete!$A:$E,5,0),"")</f>
        <v/>
      </c>
      <c r="H699" s="7">
        <f>IFERROR(VLOOKUP(F699,TRAOPE!$AA:$AB,2,0),"")</f>
        <v/>
      </c>
      <c r="I699" s="7" t="n">
        <v>10000357</v>
      </c>
      <c r="J699" s="7">
        <f>IFERROR(VLOOKUP(I699,Materiales!$A:$H,8,0),"")</f>
        <v/>
      </c>
      <c r="K699" s="9">
        <f>IFERROR(VLOOKUP(I699,Materiales!$A:$G,7,0),"")</f>
        <v/>
      </c>
      <c r="L699" s="8" t="inlineStr">
        <is>
          <t>20190426</t>
        </is>
      </c>
      <c r="M699" s="8" t="inlineStr">
        <is>
          <t>20250127</t>
        </is>
      </c>
      <c r="N699" s="10" t="n">
        <v>98.06999999999999</v>
      </c>
      <c r="O699" s="10">
        <f>IFERROR(VLOOKUP(A699,Flete!$A:$J,10,0),"")</f>
        <v/>
      </c>
      <c r="P699" s="8" t="inlineStr">
        <is>
          <t>TN</t>
        </is>
      </c>
      <c r="Q699" s="10">
        <f>IFERROR(IFERROR(VLOOKUP(A699,TRAOPE!$A:$U,21,0),VLOOKUP(B699,TRAOPE!$A:$U,21,0)),"")</f>
        <v/>
      </c>
      <c r="R699" s="8">
        <f>IFERROR(IFERROR(VLOOKUP(A699,TRAOPE!$A:$W,23,0),VLOOKUP(B699,TRAOPE!$A:$W,23,0)),"")</f>
        <v/>
      </c>
      <c r="S699" s="10">
        <f>IF(AND(P699="TN",R699="TN"),N699+N(O699),IF(G699&amp;""="1",N(K699)*N699,(N699+N(O699))*N(K699)))</f>
        <v/>
      </c>
      <c r="T699" s="10">
        <f>IF(Q699="","",Q699-S699)</f>
        <v/>
      </c>
    </row>
    <row r="700">
      <c r="A700" s="7">
        <f>CONCATENATE(C700,E700,F700,I700)</f>
        <v/>
      </c>
      <c r="B700" s="7">
        <f>CONCATENATE(C700,E700,I700)</f>
        <v/>
      </c>
      <c r="C700" s="8" t="n">
        <v>900003588</v>
      </c>
      <c r="D700" s="7">
        <f>IFERROR(VLOOKUP(C700,TRAOPE!$G:$H,2,0),"")</f>
        <v/>
      </c>
      <c r="E700" s="8" t="inlineStr">
        <is>
          <t>D836</t>
        </is>
      </c>
      <c r="F700" s="8" t="inlineStr">
        <is>
          <t>66237142</t>
        </is>
      </c>
      <c r="G700" s="8">
        <f>IFERROR(VLOOKUP(A700,Flete!$A:$E,5,0),"")</f>
        <v/>
      </c>
      <c r="H700" s="7">
        <f>IFERROR(VLOOKUP(F700,TRAOPE!$AA:$AB,2,0),"")</f>
        <v/>
      </c>
      <c r="I700" s="7" t="n">
        <v>10000625</v>
      </c>
      <c r="J700" s="7">
        <f>IFERROR(VLOOKUP(I700,Materiales!$A:$H,8,0),"")</f>
        <v/>
      </c>
      <c r="K700" s="9">
        <f>IFERROR(VLOOKUP(I700,Materiales!$A:$G,7,0),"")</f>
        <v/>
      </c>
      <c r="L700" s="8" t="inlineStr">
        <is>
          <t>20190426</t>
        </is>
      </c>
      <c r="M700" s="8" t="inlineStr">
        <is>
          <t>20250127</t>
        </is>
      </c>
      <c r="N700" s="10" t="n">
        <v>63.39</v>
      </c>
      <c r="O700" s="10">
        <f>IFERROR(VLOOKUP(A700,Flete!$A:$J,10,0),"")</f>
        <v/>
      </c>
      <c r="P700" s="8" t="inlineStr">
        <is>
          <t>TN</t>
        </is>
      </c>
      <c r="Q700" s="10">
        <f>IFERROR(IFERROR(VLOOKUP(A700,TRAOPE!$A:$U,21,0),VLOOKUP(B700,TRAOPE!$A:$U,21,0)),"")</f>
        <v/>
      </c>
      <c r="R700" s="8">
        <f>IFERROR(IFERROR(VLOOKUP(A700,TRAOPE!$A:$W,23,0),VLOOKUP(B700,TRAOPE!$A:$W,23,0)),"")</f>
        <v/>
      </c>
      <c r="S700" s="10">
        <f>IF(AND(P700="TN",R700="TN"),N700+N(O700),IF(G700&amp;""="1",N(K700)*N700,(N700+N(O700))*N(K700)))</f>
        <v/>
      </c>
      <c r="T700" s="10">
        <f>IF(Q700="","",Q700-S700)</f>
        <v/>
      </c>
    </row>
    <row r="701">
      <c r="A701" s="7">
        <f>CONCATENATE(C701,E701,F701,I701)</f>
        <v/>
      </c>
      <c r="B701" s="7">
        <f>CONCATENATE(C701,E701,I701)</f>
        <v/>
      </c>
      <c r="C701" s="8" t="n">
        <v>900003588</v>
      </c>
      <c r="D701" s="7">
        <f>IFERROR(VLOOKUP(C701,TRAOPE!$G:$H,2,0),"")</f>
        <v/>
      </c>
      <c r="E701" s="8" t="inlineStr">
        <is>
          <t>D836</t>
        </is>
      </c>
      <c r="F701" s="8" t="inlineStr">
        <is>
          <t>66265943</t>
        </is>
      </c>
      <c r="G701" s="8">
        <f>IFERROR(VLOOKUP(A701,Flete!$A:$E,5,0),"")</f>
        <v/>
      </c>
      <c r="H701" s="7">
        <f>IFERROR(VLOOKUP(F701,TRAOPE!$AA:$AB,2,0),"")</f>
        <v/>
      </c>
      <c r="I701" s="7" t="n">
        <v>10000357</v>
      </c>
      <c r="J701" s="7">
        <f>IFERROR(VLOOKUP(I701,Materiales!$A:$H,8,0),"")</f>
        <v/>
      </c>
      <c r="K701" s="9">
        <f>IFERROR(VLOOKUP(I701,Materiales!$A:$G,7,0),"")</f>
        <v/>
      </c>
      <c r="L701" s="8" t="inlineStr">
        <is>
          <t>20190426</t>
        </is>
      </c>
      <c r="M701" s="8" t="inlineStr">
        <is>
          <t>20250127</t>
        </is>
      </c>
      <c r="N701" s="10" t="n">
        <v>90</v>
      </c>
      <c r="O701" s="10">
        <f>IFERROR(VLOOKUP(A701,Flete!$A:$J,10,0),"")</f>
        <v/>
      </c>
      <c r="P701" s="8" t="inlineStr">
        <is>
          <t>TN</t>
        </is>
      </c>
      <c r="Q701" s="10">
        <f>IFERROR(IFERROR(VLOOKUP(A701,TRAOPE!$A:$U,21,0),VLOOKUP(B701,TRAOPE!$A:$U,21,0)),"")</f>
        <v/>
      </c>
      <c r="R701" s="8">
        <f>IFERROR(IFERROR(VLOOKUP(A701,TRAOPE!$A:$W,23,0),VLOOKUP(B701,TRAOPE!$A:$W,23,0)),"")</f>
        <v/>
      </c>
      <c r="S701" s="10">
        <f>IF(AND(P701="TN",R701="TN"),N701+N(O701),IF(G701&amp;""="1",N(K701)*N701,(N701+N(O701))*N(K701)))</f>
        <v/>
      </c>
      <c r="T701" s="10">
        <f>IF(Q701="","",Q701-S701)</f>
        <v/>
      </c>
    </row>
    <row r="702">
      <c r="A702" s="7">
        <f>CONCATENATE(C702,E702,F702,I702)</f>
        <v/>
      </c>
      <c r="B702" s="7">
        <f>CONCATENATE(C702,E702,I702)</f>
        <v/>
      </c>
      <c r="C702" s="8" t="n">
        <v>900003588</v>
      </c>
      <c r="D702" s="7">
        <f>IFERROR(VLOOKUP(C702,TRAOPE!$G:$H,2,0),"")</f>
        <v/>
      </c>
      <c r="E702" s="8" t="inlineStr">
        <is>
          <t>D836</t>
        </is>
      </c>
      <c r="F702" s="8" t="inlineStr">
        <is>
          <t>66265943</t>
        </is>
      </c>
      <c r="G702" s="8">
        <f>IFERROR(VLOOKUP(A702,Flete!$A:$E,5,0),"")</f>
        <v/>
      </c>
      <c r="H702" s="7">
        <f>IFERROR(VLOOKUP(F702,TRAOPE!$AA:$AB,2,0),"")</f>
        <v/>
      </c>
      <c r="I702" s="7" t="n">
        <v>10000625</v>
      </c>
      <c r="J702" s="7">
        <f>IFERROR(VLOOKUP(I702,Materiales!$A:$H,8,0),"")</f>
        <v/>
      </c>
      <c r="K702" s="9">
        <f>IFERROR(VLOOKUP(I702,Materiales!$A:$G,7,0),"")</f>
        <v/>
      </c>
      <c r="L702" s="8" t="inlineStr">
        <is>
          <t>20190426</t>
        </is>
      </c>
      <c r="M702" s="8" t="inlineStr">
        <is>
          <t>20250127</t>
        </is>
      </c>
      <c r="N702" s="10" t="n">
        <v>60</v>
      </c>
      <c r="O702" s="10">
        <f>IFERROR(VLOOKUP(A702,Flete!$A:$J,10,0),"")</f>
        <v/>
      </c>
      <c r="P702" s="8" t="inlineStr">
        <is>
          <t>TN</t>
        </is>
      </c>
      <c r="Q702" s="10">
        <f>IFERROR(IFERROR(VLOOKUP(A702,TRAOPE!$A:$U,21,0),VLOOKUP(B702,TRAOPE!$A:$U,21,0)),"")</f>
        <v/>
      </c>
      <c r="R702" s="8">
        <f>IFERROR(IFERROR(VLOOKUP(A702,TRAOPE!$A:$W,23,0),VLOOKUP(B702,TRAOPE!$A:$W,23,0)),"")</f>
        <v/>
      </c>
      <c r="S702" s="10">
        <f>IF(AND(P702="TN",R702="TN"),N702+N(O702),IF(G702&amp;""="1",N(K702)*N702,(N702+N(O702))*N(K702)))</f>
        <v/>
      </c>
      <c r="T702" s="10">
        <f>IF(Q702="","",Q702-S702)</f>
        <v/>
      </c>
    </row>
    <row r="703">
      <c r="A703" s="7">
        <f>CONCATENATE(C703,E703,F703,I703)</f>
        <v/>
      </c>
      <c r="B703" s="7">
        <f>CONCATENATE(C703,E703,I703)</f>
        <v/>
      </c>
      <c r="C703" s="8" t="n">
        <v>900003588</v>
      </c>
      <c r="D703" s="7">
        <f>IFERROR(VLOOKUP(C703,TRAOPE!$G:$H,2,0),"")</f>
        <v/>
      </c>
      <c r="E703" s="8" t="inlineStr">
        <is>
          <t>D836</t>
        </is>
      </c>
      <c r="F703" s="8" t="inlineStr">
        <is>
          <t>66265943</t>
        </is>
      </c>
      <c r="G703" s="8">
        <f>IFERROR(VLOOKUP(A703,Flete!$A:$E,5,0),"")</f>
        <v/>
      </c>
      <c r="H703" s="7">
        <f>IFERROR(VLOOKUP(F703,TRAOPE!$AA:$AB,2,0),"")</f>
        <v/>
      </c>
      <c r="I703" s="7" t="n">
        <v>10000627</v>
      </c>
      <c r="J703" s="7">
        <f>IFERROR(VLOOKUP(I703,Materiales!$A:$H,8,0),"")</f>
        <v/>
      </c>
      <c r="K703" s="9">
        <f>IFERROR(VLOOKUP(I703,Materiales!$A:$G,7,0),"")</f>
        <v/>
      </c>
      <c r="L703" s="8" t="inlineStr">
        <is>
          <t>20190426</t>
        </is>
      </c>
      <c r="M703" s="8" t="inlineStr">
        <is>
          <t>20250127</t>
        </is>
      </c>
      <c r="N703" s="10" t="n">
        <v>70.5</v>
      </c>
      <c r="O703" s="10">
        <f>IFERROR(VLOOKUP(A703,Flete!$A:$J,10,0),"")</f>
        <v/>
      </c>
      <c r="P703" s="8" t="inlineStr">
        <is>
          <t>TN</t>
        </is>
      </c>
      <c r="Q703" s="10">
        <f>IFERROR(IFERROR(VLOOKUP(A703,TRAOPE!$A:$U,21,0),VLOOKUP(B703,TRAOPE!$A:$U,21,0)),"")</f>
        <v/>
      </c>
      <c r="R703" s="8">
        <f>IFERROR(IFERROR(VLOOKUP(A703,TRAOPE!$A:$W,23,0),VLOOKUP(B703,TRAOPE!$A:$W,23,0)),"")</f>
        <v/>
      </c>
      <c r="S703" s="10">
        <f>IF(AND(P703="TN",R703="TN"),N703+N(O703),IF(G703&amp;""="1",N(K703)*N703,(N703+N(O703))*N(K703)))</f>
        <v/>
      </c>
      <c r="T703" s="10">
        <f>IF(Q703="","",Q703-S703)</f>
        <v/>
      </c>
    </row>
    <row r="704">
      <c r="A704" s="7">
        <f>CONCATENATE(C704,E704,F704,I704)</f>
        <v/>
      </c>
      <c r="B704" s="7">
        <f>CONCATENATE(C704,E704,I704)</f>
        <v/>
      </c>
      <c r="C704" s="8" t="n">
        <v>900003588</v>
      </c>
      <c r="D704" s="7">
        <f>IFERROR(VLOOKUP(C704,TRAOPE!$G:$H,2,0),"")</f>
        <v/>
      </c>
      <c r="E704" s="8" t="inlineStr">
        <is>
          <t>D836</t>
        </is>
      </c>
      <c r="F704" s="8" t="inlineStr">
        <is>
          <t>66265943</t>
        </is>
      </c>
      <c r="G704" s="8">
        <f>IFERROR(VLOOKUP(A704,Flete!$A:$E,5,0),"")</f>
        <v/>
      </c>
      <c r="H704" s="7">
        <f>IFERROR(VLOOKUP(F704,TRAOPE!$AA:$AB,2,0),"")</f>
        <v/>
      </c>
      <c r="I704" s="7" t="n">
        <v>10001354</v>
      </c>
      <c r="J704" s="7">
        <f>IFERROR(VLOOKUP(I704,Materiales!$A:$H,8,0),"")</f>
        <v/>
      </c>
      <c r="K704" s="9">
        <f>IFERROR(VLOOKUP(I704,Materiales!$A:$G,7,0),"")</f>
        <v/>
      </c>
      <c r="L704" s="8" t="inlineStr">
        <is>
          <t>20190426</t>
        </is>
      </c>
      <c r="M704" s="8" t="inlineStr">
        <is>
          <t>20250127</t>
        </is>
      </c>
      <c r="N704" s="10" t="n">
        <v>129</v>
      </c>
      <c r="O704" s="10">
        <f>IFERROR(VLOOKUP(A704,Flete!$A:$J,10,0),"")</f>
        <v/>
      </c>
      <c r="P704" s="8" t="inlineStr">
        <is>
          <t>TN</t>
        </is>
      </c>
      <c r="Q704" s="10">
        <f>IFERROR(IFERROR(VLOOKUP(A704,TRAOPE!$A:$U,21,0),VLOOKUP(B704,TRAOPE!$A:$U,21,0)),"")</f>
        <v/>
      </c>
      <c r="R704" s="8">
        <f>IFERROR(IFERROR(VLOOKUP(A704,TRAOPE!$A:$W,23,0),VLOOKUP(B704,TRAOPE!$A:$W,23,0)),"")</f>
        <v/>
      </c>
      <c r="S704" s="10">
        <f>IF(AND(P704="TN",R704="TN"),N704+N(O704),IF(G704&amp;""="1",N(K704)*N704,(N704+N(O704))*N(K704)))</f>
        <v/>
      </c>
      <c r="T704" s="10">
        <f>IF(Q704="","",Q704-S704)</f>
        <v/>
      </c>
    </row>
    <row r="705">
      <c r="A705" s="7">
        <f>CONCATENATE(C705,E705,F705,I705)</f>
        <v/>
      </c>
      <c r="B705" s="7">
        <f>CONCATENATE(C705,E705,I705)</f>
        <v/>
      </c>
      <c r="C705" s="8" t="n">
        <v>900003588</v>
      </c>
      <c r="D705" s="7">
        <f>IFERROR(VLOOKUP(C705,TRAOPE!$G:$H,2,0),"")</f>
        <v/>
      </c>
      <c r="E705" s="8" t="inlineStr">
        <is>
          <t>D836</t>
        </is>
      </c>
      <c r="F705" s="8" t="inlineStr">
        <is>
          <t>66265944</t>
        </is>
      </c>
      <c r="G705" s="8">
        <f>IFERROR(VLOOKUP(A705,Flete!$A:$E,5,0),"")</f>
        <v/>
      </c>
      <c r="H705" s="7">
        <f>IFERROR(VLOOKUP(F705,TRAOPE!$AA:$AB,2,0),"")</f>
        <v/>
      </c>
      <c r="I705" s="7" t="n">
        <v>10000357</v>
      </c>
      <c r="J705" s="7">
        <f>IFERROR(VLOOKUP(I705,Materiales!$A:$H,8,0),"")</f>
        <v/>
      </c>
      <c r="K705" s="9">
        <f>IFERROR(VLOOKUP(I705,Materiales!$A:$G,7,0),"")</f>
        <v/>
      </c>
      <c r="L705" s="8" t="inlineStr">
        <is>
          <t>20190426</t>
        </is>
      </c>
      <c r="M705" s="8" t="inlineStr">
        <is>
          <t>20250127</t>
        </is>
      </c>
      <c r="N705" s="10" t="n">
        <v>98.06999999999999</v>
      </c>
      <c r="O705" s="10">
        <f>IFERROR(VLOOKUP(A705,Flete!$A:$J,10,0),"")</f>
        <v/>
      </c>
      <c r="P705" s="8" t="inlineStr">
        <is>
          <t>TN</t>
        </is>
      </c>
      <c r="Q705" s="10">
        <f>IFERROR(IFERROR(VLOOKUP(A705,TRAOPE!$A:$U,21,0),VLOOKUP(B705,TRAOPE!$A:$U,21,0)),"")</f>
        <v/>
      </c>
      <c r="R705" s="8">
        <f>IFERROR(IFERROR(VLOOKUP(A705,TRAOPE!$A:$W,23,0),VLOOKUP(B705,TRAOPE!$A:$W,23,0)),"")</f>
        <v/>
      </c>
      <c r="S705" s="10">
        <f>IF(AND(P705="TN",R705="TN"),N705+N(O705),IF(G705&amp;""="1",N(K705)*N705,(N705+N(O705))*N(K705)))</f>
        <v/>
      </c>
      <c r="T705" s="10">
        <f>IF(Q705="","",Q705-S705)</f>
        <v/>
      </c>
    </row>
    <row r="706">
      <c r="A706" s="7">
        <f>CONCATENATE(C706,E706,F706,I706)</f>
        <v/>
      </c>
      <c r="B706" s="7">
        <f>CONCATENATE(C706,E706,I706)</f>
        <v/>
      </c>
      <c r="C706" s="8" t="n">
        <v>900003588</v>
      </c>
      <c r="D706" s="7">
        <f>IFERROR(VLOOKUP(C706,TRAOPE!$G:$H,2,0),"")</f>
        <v/>
      </c>
      <c r="E706" s="8" t="inlineStr">
        <is>
          <t>D836</t>
        </is>
      </c>
      <c r="F706" s="8" t="inlineStr">
        <is>
          <t>66279408</t>
        </is>
      </c>
      <c r="G706" s="8">
        <f>IFERROR(VLOOKUP(A706,Flete!$A:$E,5,0),"")</f>
        <v/>
      </c>
      <c r="H706" s="7">
        <f>IFERROR(VLOOKUP(F706,TRAOPE!$AA:$AB,2,0),"")</f>
        <v/>
      </c>
      <c r="I706" s="7" t="n">
        <v>10000357</v>
      </c>
      <c r="J706" s="7">
        <f>IFERROR(VLOOKUP(I706,Materiales!$A:$H,8,0),"")</f>
        <v/>
      </c>
      <c r="K706" s="9">
        <f>IFERROR(VLOOKUP(I706,Materiales!$A:$G,7,0),"")</f>
        <v/>
      </c>
      <c r="L706" s="8" t="inlineStr">
        <is>
          <t>20190426</t>
        </is>
      </c>
      <c r="M706" s="8" t="inlineStr">
        <is>
          <t>20250127</t>
        </is>
      </c>
      <c r="N706" s="10" t="n">
        <v>98.06999999999999</v>
      </c>
      <c r="O706" s="10">
        <f>IFERROR(VLOOKUP(A706,Flete!$A:$J,10,0),"")</f>
        <v/>
      </c>
      <c r="P706" s="8" t="inlineStr">
        <is>
          <t>TN</t>
        </is>
      </c>
      <c r="Q706" s="10">
        <f>IFERROR(IFERROR(VLOOKUP(A706,TRAOPE!$A:$U,21,0),VLOOKUP(B706,TRAOPE!$A:$U,21,0)),"")</f>
        <v/>
      </c>
      <c r="R706" s="8">
        <f>IFERROR(IFERROR(VLOOKUP(A706,TRAOPE!$A:$W,23,0),VLOOKUP(B706,TRAOPE!$A:$W,23,0)),"")</f>
        <v/>
      </c>
      <c r="S706" s="10">
        <f>IF(AND(P706="TN",R706="TN"),N706+N(O706),IF(G706&amp;""="1",N(K706)*N706,(N706+N(O706))*N(K706)))</f>
        <v/>
      </c>
      <c r="T706" s="10">
        <f>IF(Q706="","",Q706-S706)</f>
        <v/>
      </c>
    </row>
    <row r="707">
      <c r="A707" s="7">
        <f>CONCATENATE(C707,E707,F707,I707)</f>
        <v/>
      </c>
      <c r="B707" s="7">
        <f>CONCATENATE(C707,E707,I707)</f>
        <v/>
      </c>
      <c r="C707" s="8" t="n">
        <v>900003588</v>
      </c>
      <c r="D707" s="7">
        <f>IFERROR(VLOOKUP(C707,TRAOPE!$G:$H,2,0),"")</f>
        <v/>
      </c>
      <c r="E707" s="8" t="inlineStr">
        <is>
          <t>D836</t>
        </is>
      </c>
      <c r="F707" s="8" t="inlineStr">
        <is>
          <t>66279408</t>
        </is>
      </c>
      <c r="G707" s="8">
        <f>IFERROR(VLOOKUP(A707,Flete!$A:$E,5,0),"")</f>
        <v/>
      </c>
      <c r="H707" s="7">
        <f>IFERROR(VLOOKUP(F707,TRAOPE!$AA:$AB,2,0),"")</f>
        <v/>
      </c>
      <c r="I707" s="7" t="n">
        <v>10000625</v>
      </c>
      <c r="J707" s="7">
        <f>IFERROR(VLOOKUP(I707,Materiales!$A:$H,8,0),"")</f>
        <v/>
      </c>
      <c r="K707" s="9">
        <f>IFERROR(VLOOKUP(I707,Materiales!$A:$G,7,0),"")</f>
        <v/>
      </c>
      <c r="L707" s="8" t="inlineStr">
        <is>
          <t>20190426</t>
        </is>
      </c>
      <c r="M707" s="8" t="inlineStr">
        <is>
          <t>20250127</t>
        </is>
      </c>
      <c r="N707" s="10" t="n">
        <v>63.39</v>
      </c>
      <c r="O707" s="10">
        <f>IFERROR(VLOOKUP(A707,Flete!$A:$J,10,0),"")</f>
        <v/>
      </c>
      <c r="P707" s="8" t="inlineStr">
        <is>
          <t>TN</t>
        </is>
      </c>
      <c r="Q707" s="10">
        <f>IFERROR(IFERROR(VLOOKUP(A707,TRAOPE!$A:$U,21,0),VLOOKUP(B707,TRAOPE!$A:$U,21,0)),"")</f>
        <v/>
      </c>
      <c r="R707" s="8">
        <f>IFERROR(IFERROR(VLOOKUP(A707,TRAOPE!$A:$W,23,0),VLOOKUP(B707,TRAOPE!$A:$W,23,0)),"")</f>
        <v/>
      </c>
      <c r="S707" s="10">
        <f>IF(AND(P707="TN",R707="TN"),N707+N(O707),IF(G707&amp;""="1",N(K707)*N707,(N707+N(O707))*N(K707)))</f>
        <v/>
      </c>
      <c r="T707" s="10">
        <f>IF(Q707="","",Q707-S707)</f>
        <v/>
      </c>
    </row>
    <row r="708">
      <c r="A708" s="7">
        <f>CONCATENATE(C708,E708,F708,I708)</f>
        <v/>
      </c>
      <c r="B708" s="7">
        <f>CONCATENATE(C708,E708,I708)</f>
        <v/>
      </c>
      <c r="C708" s="8" t="n">
        <v>900003588</v>
      </c>
      <c r="D708" s="7">
        <f>IFERROR(VLOOKUP(C708,TRAOPE!$G:$H,2,0),"")</f>
        <v/>
      </c>
      <c r="E708" s="8" t="inlineStr">
        <is>
          <t>D836</t>
        </is>
      </c>
      <c r="F708" s="8" t="inlineStr">
        <is>
          <t>66279408</t>
        </is>
      </c>
      <c r="G708" s="8">
        <f>IFERROR(VLOOKUP(A708,Flete!$A:$E,5,0),"")</f>
        <v/>
      </c>
      <c r="H708" s="7">
        <f>IFERROR(VLOOKUP(F708,TRAOPE!$AA:$AB,2,0),"")</f>
        <v/>
      </c>
      <c r="I708" s="7" t="n">
        <v>10000627</v>
      </c>
      <c r="J708" s="7">
        <f>IFERROR(VLOOKUP(I708,Materiales!$A:$H,8,0),"")</f>
        <v/>
      </c>
      <c r="K708" s="9">
        <f>IFERROR(VLOOKUP(I708,Materiales!$A:$G,7,0),"")</f>
        <v/>
      </c>
      <c r="L708" s="8" t="inlineStr">
        <is>
          <t>20190426</t>
        </is>
      </c>
      <c r="M708" s="8" t="inlineStr">
        <is>
          <t>20250127</t>
        </is>
      </c>
      <c r="N708" s="10" t="n">
        <v>79.98</v>
      </c>
      <c r="O708" s="10">
        <f>IFERROR(VLOOKUP(A708,Flete!$A:$J,10,0),"")</f>
        <v/>
      </c>
      <c r="P708" s="8" t="inlineStr">
        <is>
          <t>TN</t>
        </is>
      </c>
      <c r="Q708" s="10">
        <f>IFERROR(IFERROR(VLOOKUP(A708,TRAOPE!$A:$U,21,0),VLOOKUP(B708,TRAOPE!$A:$U,21,0)),"")</f>
        <v/>
      </c>
      <c r="R708" s="8">
        <f>IFERROR(IFERROR(VLOOKUP(A708,TRAOPE!$A:$W,23,0),VLOOKUP(B708,TRAOPE!$A:$W,23,0)),"")</f>
        <v/>
      </c>
      <c r="S708" s="10">
        <f>IF(AND(P708="TN",R708="TN"),N708+N(O708),IF(G708&amp;""="1",N(K708)*N708,(N708+N(O708))*N(K708)))</f>
        <v/>
      </c>
      <c r="T708" s="10">
        <f>IF(Q708="","",Q708-S708)</f>
        <v/>
      </c>
    </row>
    <row r="709">
      <c r="A709" s="7">
        <f>CONCATENATE(C709,E709,F709,I709)</f>
        <v/>
      </c>
      <c r="B709" s="7">
        <f>CONCATENATE(C709,E709,I709)</f>
        <v/>
      </c>
      <c r="C709" s="8" t="n">
        <v>900003588</v>
      </c>
      <c r="D709" s="7">
        <f>IFERROR(VLOOKUP(C709,TRAOPE!$G:$H,2,0),"")</f>
        <v/>
      </c>
      <c r="E709" s="8" t="inlineStr">
        <is>
          <t>D836</t>
        </is>
      </c>
      <c r="F709" s="8" t="inlineStr">
        <is>
          <t>66279408</t>
        </is>
      </c>
      <c r="G709" s="8">
        <f>IFERROR(VLOOKUP(A709,Flete!$A:$E,5,0),"")</f>
        <v/>
      </c>
      <c r="H709" s="7">
        <f>IFERROR(VLOOKUP(F709,TRAOPE!$AA:$AB,2,0),"")</f>
        <v/>
      </c>
      <c r="I709" s="7" t="n">
        <v>10001354</v>
      </c>
      <c r="J709" s="7">
        <f>IFERROR(VLOOKUP(I709,Materiales!$A:$H,8,0),"")</f>
        <v/>
      </c>
      <c r="K709" s="9">
        <f>IFERROR(VLOOKUP(I709,Materiales!$A:$G,7,0),"")</f>
        <v/>
      </c>
      <c r="L709" s="8" t="inlineStr">
        <is>
          <t>20190426</t>
        </is>
      </c>
      <c r="M709" s="8" t="inlineStr">
        <is>
          <t>20250127</t>
        </is>
      </c>
      <c r="N709" s="10" t="n">
        <v>129</v>
      </c>
      <c r="O709" s="10">
        <f>IFERROR(VLOOKUP(A709,Flete!$A:$J,10,0),"")</f>
        <v/>
      </c>
      <c r="P709" s="8" t="inlineStr">
        <is>
          <t>TN</t>
        </is>
      </c>
      <c r="Q709" s="10">
        <f>IFERROR(IFERROR(VLOOKUP(A709,TRAOPE!$A:$U,21,0),VLOOKUP(B709,TRAOPE!$A:$U,21,0)),"")</f>
        <v/>
      </c>
      <c r="R709" s="8">
        <f>IFERROR(IFERROR(VLOOKUP(A709,TRAOPE!$A:$W,23,0),VLOOKUP(B709,TRAOPE!$A:$W,23,0)),"")</f>
        <v/>
      </c>
      <c r="S709" s="10">
        <f>IF(AND(P709="TN",R709="TN"),N709+N(O709),IF(G709&amp;""="1",N(K709)*N709,(N709+N(O709))*N(K709)))</f>
        <v/>
      </c>
      <c r="T709" s="10">
        <f>IF(Q709="","",Q709-S709)</f>
        <v/>
      </c>
    </row>
    <row r="710">
      <c r="A710" s="7">
        <f>CONCATENATE(C710,E710,F710,I710)</f>
        <v/>
      </c>
      <c r="B710" s="7">
        <f>CONCATENATE(C710,E710,I710)</f>
        <v/>
      </c>
      <c r="C710" s="8" t="n">
        <v>900003588</v>
      </c>
      <c r="D710" s="7">
        <f>IFERROR(VLOOKUP(C710,TRAOPE!$G:$H,2,0),"")</f>
        <v/>
      </c>
      <c r="E710" s="8" t="inlineStr">
        <is>
          <t>D836</t>
        </is>
      </c>
      <c r="F710" s="8" t="inlineStr">
        <is>
          <t>66279410</t>
        </is>
      </c>
      <c r="G710" s="8">
        <f>IFERROR(VLOOKUP(A710,Flete!$A:$E,5,0),"")</f>
        <v/>
      </c>
      <c r="H710" s="7">
        <f>IFERROR(VLOOKUP(F710,TRAOPE!$AA:$AB,2,0),"")</f>
        <v/>
      </c>
      <c r="I710" s="7" t="n">
        <v>10000357</v>
      </c>
      <c r="J710" s="7">
        <f>IFERROR(VLOOKUP(I710,Materiales!$A:$H,8,0),"")</f>
        <v/>
      </c>
      <c r="K710" s="9">
        <f>IFERROR(VLOOKUP(I710,Materiales!$A:$G,7,0),"")</f>
        <v/>
      </c>
      <c r="L710" s="8" t="inlineStr">
        <is>
          <t>20190426</t>
        </is>
      </c>
      <c r="M710" s="8" t="inlineStr">
        <is>
          <t>20250127</t>
        </is>
      </c>
      <c r="N710" s="10" t="n">
        <v>98.06999999999999</v>
      </c>
      <c r="O710" s="10">
        <f>IFERROR(VLOOKUP(A710,Flete!$A:$J,10,0),"")</f>
        <v/>
      </c>
      <c r="P710" s="8" t="inlineStr">
        <is>
          <t>TN</t>
        </is>
      </c>
      <c r="Q710" s="10">
        <f>IFERROR(IFERROR(VLOOKUP(A710,TRAOPE!$A:$U,21,0),VLOOKUP(B710,TRAOPE!$A:$U,21,0)),"")</f>
        <v/>
      </c>
      <c r="R710" s="8">
        <f>IFERROR(IFERROR(VLOOKUP(A710,TRAOPE!$A:$W,23,0),VLOOKUP(B710,TRAOPE!$A:$W,23,0)),"")</f>
        <v/>
      </c>
      <c r="S710" s="10">
        <f>IF(AND(P710="TN",R710="TN"),N710+N(O710),IF(G710&amp;""="1",N(K710)*N710,(N710+N(O710))*N(K710)))</f>
        <v/>
      </c>
      <c r="T710" s="10">
        <f>IF(Q710="","",Q710-S710)</f>
        <v/>
      </c>
    </row>
    <row r="711">
      <c r="A711" s="7">
        <f>CONCATENATE(C711,E711,F711,I711)</f>
        <v/>
      </c>
      <c r="B711" s="7">
        <f>CONCATENATE(C711,E711,I711)</f>
        <v/>
      </c>
      <c r="C711" s="8" t="n">
        <v>900003588</v>
      </c>
      <c r="D711" s="7">
        <f>IFERROR(VLOOKUP(C711,TRAOPE!$G:$H,2,0),"")</f>
        <v/>
      </c>
      <c r="E711" s="8" t="inlineStr">
        <is>
          <t>D836</t>
        </is>
      </c>
      <c r="F711" s="8" t="inlineStr">
        <is>
          <t>66283803</t>
        </is>
      </c>
      <c r="G711" s="8">
        <f>IFERROR(VLOOKUP(A711,Flete!$A:$E,5,0),"")</f>
        <v/>
      </c>
      <c r="H711" s="7">
        <f>IFERROR(VLOOKUP(F711,TRAOPE!$AA:$AB,2,0),"")</f>
        <v/>
      </c>
      <c r="I711" s="7" t="n">
        <v>10000357</v>
      </c>
      <c r="J711" s="7">
        <f>IFERROR(VLOOKUP(I711,Materiales!$A:$H,8,0),"")</f>
        <v/>
      </c>
      <c r="K711" s="9">
        <f>IFERROR(VLOOKUP(I711,Materiales!$A:$G,7,0),"")</f>
        <v/>
      </c>
      <c r="L711" s="8" t="inlineStr">
        <is>
          <t>20190426</t>
        </is>
      </c>
      <c r="M711" s="8" t="inlineStr">
        <is>
          <t>20250127</t>
        </is>
      </c>
      <c r="N711" s="10" t="n">
        <v>92</v>
      </c>
      <c r="O711" s="10">
        <f>IFERROR(VLOOKUP(A711,Flete!$A:$J,10,0),"")</f>
        <v/>
      </c>
      <c r="P711" s="8" t="inlineStr">
        <is>
          <t>TN</t>
        </is>
      </c>
      <c r="Q711" s="10">
        <f>IFERROR(IFERROR(VLOOKUP(A711,TRAOPE!$A:$U,21,0),VLOOKUP(B711,TRAOPE!$A:$U,21,0)),"")</f>
        <v/>
      </c>
      <c r="R711" s="8">
        <f>IFERROR(IFERROR(VLOOKUP(A711,TRAOPE!$A:$W,23,0),VLOOKUP(B711,TRAOPE!$A:$W,23,0)),"")</f>
        <v/>
      </c>
      <c r="S711" s="10">
        <f>IF(AND(P711="TN",R711="TN"),N711+N(O711),IF(G711&amp;""="1",N(K711)*N711,(N711+N(O711))*N(K711)))</f>
        <v/>
      </c>
      <c r="T711" s="10">
        <f>IF(Q711="","",Q711-S711)</f>
        <v/>
      </c>
    </row>
    <row r="712">
      <c r="A712" s="7">
        <f>CONCATENATE(C712,E712,F712,I712)</f>
        <v/>
      </c>
      <c r="B712" s="7">
        <f>CONCATENATE(C712,E712,I712)</f>
        <v/>
      </c>
      <c r="C712" s="8" t="n">
        <v>900003588</v>
      </c>
      <c r="D712" s="7">
        <f>IFERROR(VLOOKUP(C712,TRAOPE!$G:$H,2,0),"")</f>
        <v/>
      </c>
      <c r="E712" s="8" t="inlineStr">
        <is>
          <t>D836</t>
        </is>
      </c>
      <c r="F712" s="8" t="inlineStr">
        <is>
          <t>66283803</t>
        </is>
      </c>
      <c r="G712" s="8">
        <f>IFERROR(VLOOKUP(A712,Flete!$A:$E,5,0),"")</f>
        <v/>
      </c>
      <c r="H712" s="7">
        <f>IFERROR(VLOOKUP(F712,TRAOPE!$AA:$AB,2,0),"")</f>
        <v/>
      </c>
      <c r="I712" s="7" t="n">
        <v>10000625</v>
      </c>
      <c r="J712" s="7">
        <f>IFERROR(VLOOKUP(I712,Materiales!$A:$H,8,0),"")</f>
        <v/>
      </c>
      <c r="K712" s="9">
        <f>IFERROR(VLOOKUP(I712,Materiales!$A:$G,7,0),"")</f>
        <v/>
      </c>
      <c r="L712" s="8" t="inlineStr">
        <is>
          <t>20190426</t>
        </is>
      </c>
      <c r="M712" s="8" t="inlineStr">
        <is>
          <t>20250127</t>
        </is>
      </c>
      <c r="N712" s="10" t="n">
        <v>57.5</v>
      </c>
      <c r="O712" s="10">
        <f>IFERROR(VLOOKUP(A712,Flete!$A:$J,10,0),"")</f>
        <v/>
      </c>
      <c r="P712" s="8" t="inlineStr">
        <is>
          <t>TN</t>
        </is>
      </c>
      <c r="Q712" s="10">
        <f>IFERROR(IFERROR(VLOOKUP(A712,TRAOPE!$A:$U,21,0),VLOOKUP(B712,TRAOPE!$A:$U,21,0)),"")</f>
        <v/>
      </c>
      <c r="R712" s="8">
        <f>IFERROR(IFERROR(VLOOKUP(A712,TRAOPE!$A:$W,23,0),VLOOKUP(B712,TRAOPE!$A:$W,23,0)),"")</f>
        <v/>
      </c>
      <c r="S712" s="10">
        <f>IF(AND(P712="TN",R712="TN"),N712+N(O712),IF(G712&amp;""="1",N(K712)*N712,(N712+N(O712))*N(K712)))</f>
        <v/>
      </c>
      <c r="T712" s="10">
        <f>IF(Q712="","",Q712-S712)</f>
        <v/>
      </c>
    </row>
    <row r="713">
      <c r="A713" s="7">
        <f>CONCATENATE(C713,E713,F713,I713)</f>
        <v/>
      </c>
      <c r="B713" s="7">
        <f>CONCATENATE(C713,E713,I713)</f>
        <v/>
      </c>
      <c r="C713" s="8" t="n">
        <v>900003588</v>
      </c>
      <c r="D713" s="7">
        <f>IFERROR(VLOOKUP(C713,TRAOPE!$G:$H,2,0),"")</f>
        <v/>
      </c>
      <c r="E713" s="8" t="inlineStr">
        <is>
          <t>D836</t>
        </is>
      </c>
      <c r="F713" s="8" t="inlineStr">
        <is>
          <t>66283803</t>
        </is>
      </c>
      <c r="G713" s="8">
        <f>IFERROR(VLOOKUP(A713,Flete!$A:$E,5,0),"")</f>
        <v/>
      </c>
      <c r="H713" s="7">
        <f>IFERROR(VLOOKUP(F713,TRAOPE!$AA:$AB,2,0),"")</f>
        <v/>
      </c>
      <c r="I713" s="7" t="n">
        <v>10000627</v>
      </c>
      <c r="J713" s="7">
        <f>IFERROR(VLOOKUP(I713,Materiales!$A:$H,8,0),"")</f>
        <v/>
      </c>
      <c r="K713" s="9">
        <f>IFERROR(VLOOKUP(I713,Materiales!$A:$G,7,0),"")</f>
        <v/>
      </c>
      <c r="L713" s="8" t="inlineStr">
        <is>
          <t>20190426</t>
        </is>
      </c>
      <c r="M713" s="8" t="inlineStr">
        <is>
          <t>20250127</t>
        </is>
      </c>
      <c r="N713" s="10" t="n">
        <v>95.45</v>
      </c>
      <c r="O713" s="10">
        <f>IFERROR(VLOOKUP(A713,Flete!$A:$J,10,0),"")</f>
        <v/>
      </c>
      <c r="P713" s="8" t="inlineStr">
        <is>
          <t>TN</t>
        </is>
      </c>
      <c r="Q713" s="10">
        <f>IFERROR(IFERROR(VLOOKUP(A713,TRAOPE!$A:$U,21,0),VLOOKUP(B713,TRAOPE!$A:$U,21,0)),"")</f>
        <v/>
      </c>
      <c r="R713" s="8">
        <f>IFERROR(IFERROR(VLOOKUP(A713,TRAOPE!$A:$W,23,0),VLOOKUP(B713,TRAOPE!$A:$W,23,0)),"")</f>
        <v/>
      </c>
      <c r="S713" s="10">
        <f>IF(AND(P713="TN",R713="TN"),N713+N(O713),IF(G713&amp;""="1",N(K713)*N713,(N713+N(O713))*N(K713)))</f>
        <v/>
      </c>
      <c r="T713" s="10">
        <f>IF(Q713="","",Q713-S713)</f>
        <v/>
      </c>
    </row>
    <row r="714">
      <c r="A714" s="7">
        <f>CONCATENATE(C714,E714,F714,I714)</f>
        <v/>
      </c>
      <c r="B714" s="7">
        <f>CONCATENATE(C714,E714,I714)</f>
        <v/>
      </c>
      <c r="C714" s="8" t="n">
        <v>900003588</v>
      </c>
      <c r="D714" s="7">
        <f>IFERROR(VLOOKUP(C714,TRAOPE!$G:$H,2,0),"")</f>
        <v/>
      </c>
      <c r="E714" s="8" t="inlineStr">
        <is>
          <t>D836</t>
        </is>
      </c>
      <c r="F714" s="8" t="inlineStr">
        <is>
          <t>66308834</t>
        </is>
      </c>
      <c r="G714" s="8">
        <f>IFERROR(VLOOKUP(A714,Flete!$A:$E,5,0),"")</f>
        <v/>
      </c>
      <c r="H714" s="7">
        <f>IFERROR(VLOOKUP(F714,TRAOPE!$AA:$AB,2,0),"")</f>
        <v/>
      </c>
      <c r="I714" s="7" t="n">
        <v>10000357</v>
      </c>
      <c r="J714" s="7">
        <f>IFERROR(VLOOKUP(I714,Materiales!$A:$H,8,0),"")</f>
        <v/>
      </c>
      <c r="K714" s="9">
        <f>IFERROR(VLOOKUP(I714,Materiales!$A:$G,7,0),"")</f>
        <v/>
      </c>
      <c r="L714" s="8" t="inlineStr">
        <is>
          <t>20190426</t>
        </is>
      </c>
      <c r="M714" s="8" t="inlineStr">
        <is>
          <t>20250127</t>
        </is>
      </c>
      <c r="N714" s="10" t="n">
        <v>89.22</v>
      </c>
      <c r="O714" s="10">
        <f>IFERROR(VLOOKUP(A714,Flete!$A:$J,10,0),"")</f>
        <v/>
      </c>
      <c r="P714" s="8" t="inlineStr">
        <is>
          <t>TN</t>
        </is>
      </c>
      <c r="Q714" s="10">
        <f>IFERROR(IFERROR(VLOOKUP(A714,TRAOPE!$A:$U,21,0),VLOOKUP(B714,TRAOPE!$A:$U,21,0)),"")</f>
        <v/>
      </c>
      <c r="R714" s="8">
        <f>IFERROR(IFERROR(VLOOKUP(A714,TRAOPE!$A:$W,23,0),VLOOKUP(B714,TRAOPE!$A:$W,23,0)),"")</f>
        <v/>
      </c>
      <c r="S714" s="10">
        <f>IF(AND(P714="TN",R714="TN"),N714+N(O714),IF(G714&amp;""="1",N(K714)*N714,(N714+N(O714))*N(K714)))</f>
        <v/>
      </c>
      <c r="T714" s="10">
        <f>IF(Q714="","",Q714-S714)</f>
        <v/>
      </c>
    </row>
    <row r="715">
      <c r="A715" s="7">
        <f>CONCATENATE(C715,E715,F715,I715)</f>
        <v/>
      </c>
      <c r="B715" s="7">
        <f>CONCATENATE(C715,E715,I715)</f>
        <v/>
      </c>
      <c r="C715" s="8" t="n">
        <v>900003588</v>
      </c>
      <c r="D715" s="7">
        <f>IFERROR(VLOOKUP(C715,TRAOPE!$G:$H,2,0),"")</f>
        <v/>
      </c>
      <c r="E715" s="8" t="inlineStr">
        <is>
          <t>D836</t>
        </is>
      </c>
      <c r="F715" s="8" t="inlineStr">
        <is>
          <t>66308834</t>
        </is>
      </c>
      <c r="G715" s="8">
        <f>IFERROR(VLOOKUP(A715,Flete!$A:$E,5,0),"")</f>
        <v/>
      </c>
      <c r="H715" s="7">
        <f>IFERROR(VLOOKUP(F715,TRAOPE!$AA:$AB,2,0),"")</f>
        <v/>
      </c>
      <c r="I715" s="7" t="n">
        <v>10000625</v>
      </c>
      <c r="J715" s="7">
        <f>IFERROR(VLOOKUP(I715,Materiales!$A:$H,8,0),"")</f>
        <v/>
      </c>
      <c r="K715" s="9">
        <f>IFERROR(VLOOKUP(I715,Materiales!$A:$G,7,0),"")</f>
        <v/>
      </c>
      <c r="L715" s="8" t="inlineStr">
        <is>
          <t>20190426</t>
        </is>
      </c>
      <c r="M715" s="8" t="inlineStr">
        <is>
          <t>20250127</t>
        </is>
      </c>
      <c r="N715" s="10" t="n">
        <v>52.48</v>
      </c>
      <c r="O715" s="10">
        <f>IFERROR(VLOOKUP(A715,Flete!$A:$J,10,0),"")</f>
        <v/>
      </c>
      <c r="P715" s="8" t="inlineStr">
        <is>
          <t>TN</t>
        </is>
      </c>
      <c r="Q715" s="10">
        <f>IFERROR(IFERROR(VLOOKUP(A715,TRAOPE!$A:$U,21,0),VLOOKUP(B715,TRAOPE!$A:$U,21,0)),"")</f>
        <v/>
      </c>
      <c r="R715" s="8">
        <f>IFERROR(IFERROR(VLOOKUP(A715,TRAOPE!$A:$W,23,0),VLOOKUP(B715,TRAOPE!$A:$W,23,0)),"")</f>
        <v/>
      </c>
      <c r="S715" s="10">
        <f>IF(AND(P715="TN",R715="TN"),N715+N(O715),IF(G715&amp;""="1",N(K715)*N715,(N715+N(O715))*N(K715)))</f>
        <v/>
      </c>
      <c r="T715" s="10">
        <f>IF(Q715="","",Q715-S715)</f>
        <v/>
      </c>
    </row>
    <row r="716">
      <c r="A716" s="7">
        <f>CONCATENATE(C716,E716,F716,I716)</f>
        <v/>
      </c>
      <c r="B716" s="7">
        <f>CONCATENATE(C716,E716,I716)</f>
        <v/>
      </c>
      <c r="C716" s="8" t="n">
        <v>900003588</v>
      </c>
      <c r="D716" s="7">
        <f>IFERROR(VLOOKUP(C716,TRAOPE!$G:$H,2,0),"")</f>
        <v/>
      </c>
      <c r="E716" s="8" t="inlineStr">
        <is>
          <t>D836</t>
        </is>
      </c>
      <c r="F716" s="8" t="inlineStr">
        <is>
          <t>66308834</t>
        </is>
      </c>
      <c r="G716" s="8">
        <f>IFERROR(VLOOKUP(A716,Flete!$A:$E,5,0),"")</f>
        <v/>
      </c>
      <c r="H716" s="7">
        <f>IFERROR(VLOOKUP(F716,TRAOPE!$AA:$AB,2,0),"")</f>
        <v/>
      </c>
      <c r="I716" s="7" t="n">
        <v>10000627</v>
      </c>
      <c r="J716" s="7">
        <f>IFERROR(VLOOKUP(I716,Materiales!$A:$H,8,0),"")</f>
        <v/>
      </c>
      <c r="K716" s="9">
        <f>IFERROR(VLOOKUP(I716,Materiales!$A:$G,7,0),"")</f>
        <v/>
      </c>
      <c r="L716" s="8" t="inlineStr">
        <is>
          <t>20190426</t>
        </is>
      </c>
      <c r="M716" s="8" t="inlineStr">
        <is>
          <t>20250127</t>
        </is>
      </c>
      <c r="N716" s="10" t="n">
        <v>62.28</v>
      </c>
      <c r="O716" s="10">
        <f>IFERROR(VLOOKUP(A716,Flete!$A:$J,10,0),"")</f>
        <v/>
      </c>
      <c r="P716" s="8" t="inlineStr">
        <is>
          <t>TN</t>
        </is>
      </c>
      <c r="Q716" s="10">
        <f>IFERROR(IFERROR(VLOOKUP(A716,TRAOPE!$A:$U,21,0),VLOOKUP(B716,TRAOPE!$A:$U,21,0)),"")</f>
        <v/>
      </c>
      <c r="R716" s="8">
        <f>IFERROR(IFERROR(VLOOKUP(A716,TRAOPE!$A:$W,23,0),VLOOKUP(B716,TRAOPE!$A:$W,23,0)),"")</f>
        <v/>
      </c>
      <c r="S716" s="10">
        <f>IF(AND(P716="TN",R716="TN"),N716+N(O716),IF(G716&amp;""="1",N(K716)*N716,(N716+N(O716))*N(K716)))</f>
        <v/>
      </c>
      <c r="T716" s="10">
        <f>IF(Q716="","",Q716-S716)</f>
        <v/>
      </c>
    </row>
    <row r="717">
      <c r="A717" s="7">
        <f>CONCATENATE(C717,E717,F717,I717)</f>
        <v/>
      </c>
      <c r="B717" s="7">
        <f>CONCATENATE(C717,E717,I717)</f>
        <v/>
      </c>
      <c r="C717" s="8" t="n">
        <v>900003588</v>
      </c>
      <c r="D717" s="7">
        <f>IFERROR(VLOOKUP(C717,TRAOPE!$G:$H,2,0),"")</f>
        <v/>
      </c>
      <c r="E717" s="8" t="inlineStr">
        <is>
          <t>D836</t>
        </is>
      </c>
      <c r="F717" s="8" t="inlineStr">
        <is>
          <t>66318366</t>
        </is>
      </c>
      <c r="G717" s="8">
        <f>IFERROR(VLOOKUP(A717,Flete!$A:$E,5,0),"")</f>
        <v/>
      </c>
      <c r="H717" s="7">
        <f>IFERROR(VLOOKUP(F717,TRAOPE!$AA:$AB,2,0),"")</f>
        <v/>
      </c>
      <c r="I717" s="7" t="n">
        <v>10000357</v>
      </c>
      <c r="J717" s="7">
        <f>IFERROR(VLOOKUP(I717,Materiales!$A:$H,8,0),"")</f>
        <v/>
      </c>
      <c r="K717" s="9">
        <f>IFERROR(VLOOKUP(I717,Materiales!$A:$G,7,0),"")</f>
        <v/>
      </c>
      <c r="L717" s="8" t="inlineStr">
        <is>
          <t>20190426</t>
        </is>
      </c>
      <c r="M717" s="8" t="inlineStr">
        <is>
          <t>20250127</t>
        </is>
      </c>
      <c r="N717" s="10" t="n">
        <v>90</v>
      </c>
      <c r="O717" s="10">
        <f>IFERROR(VLOOKUP(A717,Flete!$A:$J,10,0),"")</f>
        <v/>
      </c>
      <c r="P717" s="8" t="inlineStr">
        <is>
          <t>TN</t>
        </is>
      </c>
      <c r="Q717" s="10">
        <f>IFERROR(IFERROR(VLOOKUP(A717,TRAOPE!$A:$U,21,0),VLOOKUP(B717,TRAOPE!$A:$U,21,0)),"")</f>
        <v/>
      </c>
      <c r="R717" s="8">
        <f>IFERROR(IFERROR(VLOOKUP(A717,TRAOPE!$A:$W,23,0),VLOOKUP(B717,TRAOPE!$A:$W,23,0)),"")</f>
        <v/>
      </c>
      <c r="S717" s="10">
        <f>IF(AND(P717="TN",R717="TN"),N717+N(O717),IF(G717&amp;""="1",N(K717)*N717,(N717+N(O717))*N(K717)))</f>
        <v/>
      </c>
      <c r="T717" s="10">
        <f>IF(Q717="","",Q717-S717)</f>
        <v/>
      </c>
    </row>
    <row r="718">
      <c r="A718" s="7">
        <f>CONCATENATE(C718,E718,F718,I718)</f>
        <v/>
      </c>
      <c r="B718" s="7">
        <f>CONCATENATE(C718,E718,I718)</f>
        <v/>
      </c>
      <c r="C718" s="8" t="n">
        <v>900003588</v>
      </c>
      <c r="D718" s="7">
        <f>IFERROR(VLOOKUP(C718,TRAOPE!$G:$H,2,0),"")</f>
        <v/>
      </c>
      <c r="E718" s="8" t="inlineStr">
        <is>
          <t>D836</t>
        </is>
      </c>
      <c r="F718" s="8" t="inlineStr">
        <is>
          <t>66318366</t>
        </is>
      </c>
      <c r="G718" s="8">
        <f>IFERROR(VLOOKUP(A718,Flete!$A:$E,5,0),"")</f>
        <v/>
      </c>
      <c r="H718" s="7">
        <f>IFERROR(VLOOKUP(F718,TRAOPE!$AA:$AB,2,0),"")</f>
        <v/>
      </c>
      <c r="I718" s="7" t="n">
        <v>10000625</v>
      </c>
      <c r="J718" s="7">
        <f>IFERROR(VLOOKUP(I718,Materiales!$A:$H,8,0),"")</f>
        <v/>
      </c>
      <c r="K718" s="9">
        <f>IFERROR(VLOOKUP(I718,Materiales!$A:$G,7,0),"")</f>
        <v/>
      </c>
      <c r="L718" s="8" t="inlineStr">
        <is>
          <t>20190426</t>
        </is>
      </c>
      <c r="M718" s="8" t="inlineStr">
        <is>
          <t>20250127</t>
        </is>
      </c>
      <c r="N718" s="10" t="n">
        <v>60</v>
      </c>
      <c r="O718" s="10">
        <f>IFERROR(VLOOKUP(A718,Flete!$A:$J,10,0),"")</f>
        <v/>
      </c>
      <c r="P718" s="8" t="inlineStr">
        <is>
          <t>TN</t>
        </is>
      </c>
      <c r="Q718" s="10">
        <f>IFERROR(IFERROR(VLOOKUP(A718,TRAOPE!$A:$U,21,0),VLOOKUP(B718,TRAOPE!$A:$U,21,0)),"")</f>
        <v/>
      </c>
      <c r="R718" s="8">
        <f>IFERROR(IFERROR(VLOOKUP(A718,TRAOPE!$A:$W,23,0),VLOOKUP(B718,TRAOPE!$A:$W,23,0)),"")</f>
        <v/>
      </c>
      <c r="S718" s="10">
        <f>IF(AND(P718="TN",R718="TN"),N718+N(O718),IF(G718&amp;""="1",N(K718)*N718,(N718+N(O718))*N(K718)))</f>
        <v/>
      </c>
      <c r="T718" s="10">
        <f>IF(Q718="","",Q718-S718)</f>
        <v/>
      </c>
    </row>
    <row r="719">
      <c r="A719" s="7">
        <f>CONCATENATE(C719,E719,F719,I719)</f>
        <v/>
      </c>
      <c r="B719" s="7">
        <f>CONCATENATE(C719,E719,I719)</f>
        <v/>
      </c>
      <c r="C719" s="8" t="n">
        <v>900003588</v>
      </c>
      <c r="D719" s="7">
        <f>IFERROR(VLOOKUP(C719,TRAOPE!$G:$H,2,0),"")</f>
        <v/>
      </c>
      <c r="E719" s="8" t="inlineStr">
        <is>
          <t>D836</t>
        </is>
      </c>
      <c r="F719" s="8" t="inlineStr">
        <is>
          <t>66318366</t>
        </is>
      </c>
      <c r="G719" s="8">
        <f>IFERROR(VLOOKUP(A719,Flete!$A:$E,5,0),"")</f>
        <v/>
      </c>
      <c r="H719" s="7">
        <f>IFERROR(VLOOKUP(F719,TRAOPE!$AA:$AB,2,0),"")</f>
        <v/>
      </c>
      <c r="I719" s="7" t="n">
        <v>10000627</v>
      </c>
      <c r="J719" s="7">
        <f>IFERROR(VLOOKUP(I719,Materiales!$A:$H,8,0),"")</f>
        <v/>
      </c>
      <c r="K719" s="9">
        <f>IFERROR(VLOOKUP(I719,Materiales!$A:$G,7,0),"")</f>
        <v/>
      </c>
      <c r="L719" s="8" t="inlineStr">
        <is>
          <t>20190426</t>
        </is>
      </c>
      <c r="M719" s="8" t="inlineStr">
        <is>
          <t>20250127</t>
        </is>
      </c>
      <c r="N719" s="10" t="n">
        <v>70.5</v>
      </c>
      <c r="O719" s="10">
        <f>IFERROR(VLOOKUP(A719,Flete!$A:$J,10,0),"")</f>
        <v/>
      </c>
      <c r="P719" s="8" t="inlineStr">
        <is>
          <t>TN</t>
        </is>
      </c>
      <c r="Q719" s="10">
        <f>IFERROR(IFERROR(VLOOKUP(A719,TRAOPE!$A:$U,21,0),VLOOKUP(B719,TRAOPE!$A:$U,21,0)),"")</f>
        <v/>
      </c>
      <c r="R719" s="8">
        <f>IFERROR(IFERROR(VLOOKUP(A719,TRAOPE!$A:$W,23,0),VLOOKUP(B719,TRAOPE!$A:$W,23,0)),"")</f>
        <v/>
      </c>
      <c r="S719" s="10">
        <f>IF(AND(P719="TN",R719="TN"),N719+N(O719),IF(G719&amp;""="1",N(K719)*N719,(N719+N(O719))*N(K719)))</f>
        <v/>
      </c>
      <c r="T719" s="10">
        <f>IF(Q719="","",Q719-S719)</f>
        <v/>
      </c>
    </row>
    <row r="720">
      <c r="A720" s="7">
        <f>CONCATENATE(C720,E720,F720,I720)</f>
        <v/>
      </c>
      <c r="B720" s="7">
        <f>CONCATENATE(C720,E720,I720)</f>
        <v/>
      </c>
      <c r="C720" s="8" t="n">
        <v>900003588</v>
      </c>
      <c r="D720" s="7">
        <f>IFERROR(VLOOKUP(C720,TRAOPE!$G:$H,2,0),"")</f>
        <v/>
      </c>
      <c r="E720" s="8" t="inlineStr">
        <is>
          <t>D836</t>
        </is>
      </c>
      <c r="F720" s="8" t="inlineStr">
        <is>
          <t>66394060</t>
        </is>
      </c>
      <c r="G720" s="8">
        <f>IFERROR(VLOOKUP(A720,Flete!$A:$E,5,0),"")</f>
        <v/>
      </c>
      <c r="H720" s="7">
        <f>IFERROR(VLOOKUP(F720,TRAOPE!$AA:$AB,2,0),"")</f>
        <v/>
      </c>
      <c r="I720" s="7" t="n">
        <v>10000357</v>
      </c>
      <c r="J720" s="7">
        <f>IFERROR(VLOOKUP(I720,Materiales!$A:$H,8,0),"")</f>
        <v/>
      </c>
      <c r="K720" s="9">
        <f>IFERROR(VLOOKUP(I720,Materiales!$A:$G,7,0),"")</f>
        <v/>
      </c>
      <c r="L720" s="8" t="inlineStr">
        <is>
          <t>20190426</t>
        </is>
      </c>
      <c r="M720" s="8" t="inlineStr">
        <is>
          <t>20250127</t>
        </is>
      </c>
      <c r="N720" s="10" t="n">
        <v>94</v>
      </c>
      <c r="O720" s="10">
        <f>IFERROR(VLOOKUP(A720,Flete!$A:$J,10,0),"")</f>
        <v/>
      </c>
      <c r="P720" s="8" t="inlineStr">
        <is>
          <t>TN</t>
        </is>
      </c>
      <c r="Q720" s="10">
        <f>IFERROR(IFERROR(VLOOKUP(A720,TRAOPE!$A:$U,21,0),VLOOKUP(B720,TRAOPE!$A:$U,21,0)),"")</f>
        <v/>
      </c>
      <c r="R720" s="8">
        <f>IFERROR(IFERROR(VLOOKUP(A720,TRAOPE!$A:$W,23,0),VLOOKUP(B720,TRAOPE!$A:$W,23,0)),"")</f>
        <v/>
      </c>
      <c r="S720" s="10">
        <f>IF(AND(P720="TN",R720="TN"),N720+N(O720),IF(G720&amp;""="1",N(K720)*N720,(N720+N(O720))*N(K720)))</f>
        <v/>
      </c>
      <c r="T720" s="10">
        <f>IF(Q720="","",Q720-S720)</f>
        <v/>
      </c>
    </row>
    <row r="721">
      <c r="A721" s="7">
        <f>CONCATENATE(C721,E721,F721,I721)</f>
        <v/>
      </c>
      <c r="B721" s="7">
        <f>CONCATENATE(C721,E721,I721)</f>
        <v/>
      </c>
      <c r="C721" s="8" t="n">
        <v>900003588</v>
      </c>
      <c r="D721" s="7">
        <f>IFERROR(VLOOKUP(C721,TRAOPE!$G:$H,2,0),"")</f>
        <v/>
      </c>
      <c r="E721" s="8" t="inlineStr">
        <is>
          <t>D836</t>
        </is>
      </c>
      <c r="F721" s="8" t="inlineStr">
        <is>
          <t>66394060</t>
        </is>
      </c>
      <c r="G721" s="8">
        <f>IFERROR(VLOOKUP(A721,Flete!$A:$E,5,0),"")</f>
        <v/>
      </c>
      <c r="H721" s="7">
        <f>IFERROR(VLOOKUP(F721,TRAOPE!$AA:$AB,2,0),"")</f>
        <v/>
      </c>
      <c r="I721" s="7" t="n">
        <v>10000625</v>
      </c>
      <c r="J721" s="7">
        <f>IFERROR(VLOOKUP(I721,Materiales!$A:$H,8,0),"")</f>
        <v/>
      </c>
      <c r="K721" s="9">
        <f>IFERROR(VLOOKUP(I721,Materiales!$A:$G,7,0),"")</f>
        <v/>
      </c>
      <c r="L721" s="8" t="inlineStr">
        <is>
          <t>20190426</t>
        </is>
      </c>
      <c r="M721" s="8" t="inlineStr">
        <is>
          <t>20250127</t>
        </is>
      </c>
      <c r="N721" s="10" t="n">
        <v>60</v>
      </c>
      <c r="O721" s="10">
        <f>IFERROR(VLOOKUP(A721,Flete!$A:$J,10,0),"")</f>
        <v/>
      </c>
      <c r="P721" s="8" t="inlineStr">
        <is>
          <t>TN</t>
        </is>
      </c>
      <c r="Q721" s="10">
        <f>IFERROR(IFERROR(VLOOKUP(A721,TRAOPE!$A:$U,21,0),VLOOKUP(B721,TRAOPE!$A:$U,21,0)),"")</f>
        <v/>
      </c>
      <c r="R721" s="8">
        <f>IFERROR(IFERROR(VLOOKUP(A721,TRAOPE!$A:$W,23,0),VLOOKUP(B721,TRAOPE!$A:$W,23,0)),"")</f>
        <v/>
      </c>
      <c r="S721" s="10">
        <f>IF(AND(P721="TN",R721="TN"),N721+N(O721),IF(G721&amp;""="1",N(K721)*N721,(N721+N(O721))*N(K721)))</f>
        <v/>
      </c>
      <c r="T721" s="10">
        <f>IF(Q721="","",Q721-S721)</f>
        <v/>
      </c>
    </row>
    <row r="722">
      <c r="A722" s="7">
        <f>CONCATENATE(C722,E722,F722,I722)</f>
        <v/>
      </c>
      <c r="B722" s="7">
        <f>CONCATENATE(C722,E722,I722)</f>
        <v/>
      </c>
      <c r="C722" s="8" t="n">
        <v>900003588</v>
      </c>
      <c r="D722" s="7">
        <f>IFERROR(VLOOKUP(C722,TRAOPE!$G:$H,2,0),"")</f>
        <v/>
      </c>
      <c r="E722" s="8" t="inlineStr">
        <is>
          <t>D836</t>
        </is>
      </c>
      <c r="F722" s="8" t="inlineStr">
        <is>
          <t>66394060</t>
        </is>
      </c>
      <c r="G722" s="8">
        <f>IFERROR(VLOOKUP(A722,Flete!$A:$E,5,0),"")</f>
        <v/>
      </c>
      <c r="H722" s="7">
        <f>IFERROR(VLOOKUP(F722,TRAOPE!$AA:$AB,2,0),"")</f>
        <v/>
      </c>
      <c r="I722" s="7" t="n">
        <v>10000627</v>
      </c>
      <c r="J722" s="7">
        <f>IFERROR(VLOOKUP(I722,Materiales!$A:$H,8,0),"")</f>
        <v/>
      </c>
      <c r="K722" s="9">
        <f>IFERROR(VLOOKUP(I722,Materiales!$A:$G,7,0),"")</f>
        <v/>
      </c>
      <c r="L722" s="8" t="inlineStr">
        <is>
          <t>20190426</t>
        </is>
      </c>
      <c r="M722" s="8" t="inlineStr">
        <is>
          <t>20250127</t>
        </is>
      </c>
      <c r="N722" s="10" t="n">
        <v>80</v>
      </c>
      <c r="O722" s="10">
        <f>IFERROR(VLOOKUP(A722,Flete!$A:$J,10,0),"")</f>
        <v/>
      </c>
      <c r="P722" s="8" t="inlineStr">
        <is>
          <t>TN</t>
        </is>
      </c>
      <c r="Q722" s="10">
        <f>IFERROR(IFERROR(VLOOKUP(A722,TRAOPE!$A:$U,21,0),VLOOKUP(B722,TRAOPE!$A:$U,21,0)),"")</f>
        <v/>
      </c>
      <c r="R722" s="8">
        <f>IFERROR(IFERROR(VLOOKUP(A722,TRAOPE!$A:$W,23,0),VLOOKUP(B722,TRAOPE!$A:$W,23,0)),"")</f>
        <v/>
      </c>
      <c r="S722" s="10">
        <f>IF(AND(P722="TN",R722="TN"),N722+N(O722),IF(G722&amp;""="1",N(K722)*N722,(N722+N(O722))*N(K722)))</f>
        <v/>
      </c>
      <c r="T722" s="10">
        <f>IF(Q722="","",Q722-S722)</f>
        <v/>
      </c>
    </row>
    <row r="723">
      <c r="A723" s="7">
        <f>CONCATENATE(C723,E723,F723,I723)</f>
        <v/>
      </c>
      <c r="B723" s="7">
        <f>CONCATENATE(C723,E723,I723)</f>
        <v/>
      </c>
      <c r="C723" s="8" t="n">
        <v>900003588</v>
      </c>
      <c r="D723" s="7">
        <f>IFERROR(VLOOKUP(C723,TRAOPE!$G:$H,2,0),"")</f>
        <v/>
      </c>
      <c r="E723" s="8" t="inlineStr">
        <is>
          <t>D836</t>
        </is>
      </c>
      <c r="F723" s="8" t="inlineStr">
        <is>
          <t>66414377</t>
        </is>
      </c>
      <c r="G723" s="8">
        <f>IFERROR(VLOOKUP(A723,Flete!$A:$E,5,0),"")</f>
        <v/>
      </c>
      <c r="H723" s="7">
        <f>IFERROR(VLOOKUP(F723,TRAOPE!$AA:$AB,2,0),"")</f>
        <v/>
      </c>
      <c r="I723" s="7" t="n">
        <v>10000357</v>
      </c>
      <c r="J723" s="7">
        <f>IFERROR(VLOOKUP(I723,Materiales!$A:$H,8,0),"")</f>
        <v/>
      </c>
      <c r="K723" s="9">
        <f>IFERROR(VLOOKUP(I723,Materiales!$A:$G,7,0),"")</f>
        <v/>
      </c>
      <c r="L723" s="8" t="inlineStr">
        <is>
          <t>20190426</t>
        </is>
      </c>
      <c r="M723" s="8" t="inlineStr">
        <is>
          <t>20250127</t>
        </is>
      </c>
      <c r="N723" s="10" t="n">
        <v>86.5</v>
      </c>
      <c r="O723" s="10">
        <f>IFERROR(VLOOKUP(A723,Flete!$A:$J,10,0),"")</f>
        <v/>
      </c>
      <c r="P723" s="8" t="inlineStr">
        <is>
          <t>TN</t>
        </is>
      </c>
      <c r="Q723" s="10">
        <f>IFERROR(IFERROR(VLOOKUP(A723,TRAOPE!$A:$U,21,0),VLOOKUP(B723,TRAOPE!$A:$U,21,0)),"")</f>
        <v/>
      </c>
      <c r="R723" s="8">
        <f>IFERROR(IFERROR(VLOOKUP(A723,TRAOPE!$A:$W,23,0),VLOOKUP(B723,TRAOPE!$A:$W,23,0)),"")</f>
        <v/>
      </c>
      <c r="S723" s="10">
        <f>IF(AND(P723="TN",R723="TN"),N723+N(O723),IF(G723&amp;""="1",N(K723)*N723,(N723+N(O723))*N(K723)))</f>
        <v/>
      </c>
      <c r="T723" s="10">
        <f>IF(Q723="","",Q723-S723)</f>
        <v/>
      </c>
    </row>
    <row r="724">
      <c r="A724" s="7">
        <f>CONCATENATE(C724,E724,F724,I724)</f>
        <v/>
      </c>
      <c r="B724" s="7">
        <f>CONCATENATE(C724,E724,I724)</f>
        <v/>
      </c>
      <c r="C724" s="8" t="n">
        <v>900003588</v>
      </c>
      <c r="D724" s="7">
        <f>IFERROR(VLOOKUP(C724,TRAOPE!$G:$H,2,0),"")</f>
        <v/>
      </c>
      <c r="E724" s="8" t="inlineStr">
        <is>
          <t>D836</t>
        </is>
      </c>
      <c r="F724" s="8" t="inlineStr">
        <is>
          <t>66414377</t>
        </is>
      </c>
      <c r="G724" s="8">
        <f>IFERROR(VLOOKUP(A724,Flete!$A:$E,5,0),"")</f>
        <v/>
      </c>
      <c r="H724" s="7">
        <f>IFERROR(VLOOKUP(F724,TRAOPE!$AA:$AB,2,0),"")</f>
        <v/>
      </c>
      <c r="I724" s="7" t="n">
        <v>10001354</v>
      </c>
      <c r="J724" s="7">
        <f>IFERROR(VLOOKUP(I724,Materiales!$A:$H,8,0),"")</f>
        <v/>
      </c>
      <c r="K724" s="9">
        <f>IFERROR(VLOOKUP(I724,Materiales!$A:$G,7,0),"")</f>
        <v/>
      </c>
      <c r="L724" s="8" t="inlineStr">
        <is>
          <t>20190426</t>
        </is>
      </c>
      <c r="M724" s="8" t="inlineStr">
        <is>
          <t>20250127</t>
        </is>
      </c>
      <c r="N724" s="10" t="n">
        <v>129</v>
      </c>
      <c r="O724" s="10">
        <f>IFERROR(VLOOKUP(A724,Flete!$A:$J,10,0),"")</f>
        <v/>
      </c>
      <c r="P724" s="8" t="inlineStr">
        <is>
          <t>TN</t>
        </is>
      </c>
      <c r="Q724" s="10">
        <f>IFERROR(IFERROR(VLOOKUP(A724,TRAOPE!$A:$U,21,0),VLOOKUP(B724,TRAOPE!$A:$U,21,0)),"")</f>
        <v/>
      </c>
      <c r="R724" s="8">
        <f>IFERROR(IFERROR(VLOOKUP(A724,TRAOPE!$A:$W,23,0),VLOOKUP(B724,TRAOPE!$A:$W,23,0)),"")</f>
        <v/>
      </c>
      <c r="S724" s="10">
        <f>IF(AND(P724="TN",R724="TN"),N724+N(O724),IF(G724&amp;""="1",N(K724)*N724,(N724+N(O724))*N(K724)))</f>
        <v/>
      </c>
      <c r="T724" s="10">
        <f>IF(Q724="","",Q724-S724)</f>
        <v/>
      </c>
    </row>
    <row r="725">
      <c r="A725" s="7">
        <f>CONCATENATE(C725,E725,F725,I725)</f>
        <v/>
      </c>
      <c r="B725" s="7">
        <f>CONCATENATE(C725,E725,I725)</f>
        <v/>
      </c>
      <c r="C725" s="8" t="n">
        <v>900003588</v>
      </c>
      <c r="D725" s="7">
        <f>IFERROR(VLOOKUP(C725,TRAOPE!$G:$H,2,0),"")</f>
        <v/>
      </c>
      <c r="E725" s="8" t="inlineStr">
        <is>
          <t>D836</t>
        </is>
      </c>
      <c r="F725" s="8" t="inlineStr">
        <is>
          <t>66415270</t>
        </is>
      </c>
      <c r="G725" s="8">
        <f>IFERROR(VLOOKUP(A725,Flete!$A:$E,5,0),"")</f>
        <v/>
      </c>
      <c r="H725" s="7">
        <f>IFERROR(VLOOKUP(F725,TRAOPE!$AA:$AB,2,0),"")</f>
        <v/>
      </c>
      <c r="I725" s="7" t="n">
        <v>10000357</v>
      </c>
      <c r="J725" s="7">
        <f>IFERROR(VLOOKUP(I725,Materiales!$A:$H,8,0),"")</f>
        <v/>
      </c>
      <c r="K725" s="9">
        <f>IFERROR(VLOOKUP(I725,Materiales!$A:$G,7,0),"")</f>
        <v/>
      </c>
      <c r="L725" s="8" t="inlineStr">
        <is>
          <t>20190426</t>
        </is>
      </c>
      <c r="M725" s="8" t="inlineStr">
        <is>
          <t>20250127</t>
        </is>
      </c>
      <c r="N725" s="10" t="n">
        <v>86.5</v>
      </c>
      <c r="O725" s="10">
        <f>IFERROR(VLOOKUP(A725,Flete!$A:$J,10,0),"")</f>
        <v/>
      </c>
      <c r="P725" s="8" t="inlineStr">
        <is>
          <t>TN</t>
        </is>
      </c>
      <c r="Q725" s="10">
        <f>IFERROR(IFERROR(VLOOKUP(A725,TRAOPE!$A:$U,21,0),VLOOKUP(B725,TRAOPE!$A:$U,21,0)),"")</f>
        <v/>
      </c>
      <c r="R725" s="8">
        <f>IFERROR(IFERROR(VLOOKUP(A725,TRAOPE!$A:$W,23,0),VLOOKUP(B725,TRAOPE!$A:$W,23,0)),"")</f>
        <v/>
      </c>
      <c r="S725" s="10">
        <f>IF(AND(P725="TN",R725="TN"),N725+N(O725),IF(G725&amp;""="1",N(K725)*N725,(N725+N(O725))*N(K725)))</f>
        <v/>
      </c>
      <c r="T725" s="10">
        <f>IF(Q725="","",Q725-S725)</f>
        <v/>
      </c>
    </row>
    <row r="726">
      <c r="A726" s="7">
        <f>CONCATENATE(C726,E726,F726,I726)</f>
        <v/>
      </c>
      <c r="B726" s="7">
        <f>CONCATENATE(C726,E726,I726)</f>
        <v/>
      </c>
      <c r="C726" s="8" t="n">
        <v>900003588</v>
      </c>
      <c r="D726" s="7">
        <f>IFERROR(VLOOKUP(C726,TRAOPE!$G:$H,2,0),"")</f>
        <v/>
      </c>
      <c r="E726" s="8" t="inlineStr">
        <is>
          <t>D836</t>
        </is>
      </c>
      <c r="F726" s="8" t="inlineStr">
        <is>
          <t>66415270</t>
        </is>
      </c>
      <c r="G726" s="8">
        <f>IFERROR(VLOOKUP(A726,Flete!$A:$E,5,0),"")</f>
        <v/>
      </c>
      <c r="H726" s="7">
        <f>IFERROR(VLOOKUP(F726,TRAOPE!$AA:$AB,2,0),"")</f>
        <v/>
      </c>
      <c r="I726" s="7" t="n">
        <v>10000625</v>
      </c>
      <c r="J726" s="7">
        <f>IFERROR(VLOOKUP(I726,Materiales!$A:$H,8,0),"")</f>
        <v/>
      </c>
      <c r="K726" s="9">
        <f>IFERROR(VLOOKUP(I726,Materiales!$A:$G,7,0),"")</f>
        <v/>
      </c>
      <c r="L726" s="8" t="inlineStr">
        <is>
          <t>20190426</t>
        </is>
      </c>
      <c r="M726" s="8" t="inlineStr">
        <is>
          <t>20250127</t>
        </is>
      </c>
      <c r="N726" s="10" t="n">
        <v>51</v>
      </c>
      <c r="O726" s="10">
        <f>IFERROR(VLOOKUP(A726,Flete!$A:$J,10,0),"")</f>
        <v/>
      </c>
      <c r="P726" s="8" t="inlineStr">
        <is>
          <t>TN</t>
        </is>
      </c>
      <c r="Q726" s="10">
        <f>IFERROR(IFERROR(VLOOKUP(A726,TRAOPE!$A:$U,21,0),VLOOKUP(B726,TRAOPE!$A:$U,21,0)),"")</f>
        <v/>
      </c>
      <c r="R726" s="8">
        <f>IFERROR(IFERROR(VLOOKUP(A726,TRAOPE!$A:$W,23,0),VLOOKUP(B726,TRAOPE!$A:$W,23,0)),"")</f>
        <v/>
      </c>
      <c r="S726" s="10">
        <f>IF(AND(P726="TN",R726="TN"),N726+N(O726),IF(G726&amp;""="1",N(K726)*N726,(N726+N(O726))*N(K726)))</f>
        <v/>
      </c>
      <c r="T726" s="10">
        <f>IF(Q726="","",Q726-S726)</f>
        <v/>
      </c>
    </row>
    <row r="727">
      <c r="A727" s="7">
        <f>CONCATENATE(C727,E727,F727,I727)</f>
        <v/>
      </c>
      <c r="B727" s="7">
        <f>CONCATENATE(C727,E727,I727)</f>
        <v/>
      </c>
      <c r="C727" s="8" t="n">
        <v>900003588</v>
      </c>
      <c r="D727" s="7">
        <f>IFERROR(VLOOKUP(C727,TRAOPE!$G:$H,2,0),"")</f>
        <v/>
      </c>
      <c r="E727" s="8" t="inlineStr">
        <is>
          <t>D836</t>
        </is>
      </c>
      <c r="F727" s="8" t="inlineStr">
        <is>
          <t>66415270</t>
        </is>
      </c>
      <c r="G727" s="8">
        <f>IFERROR(VLOOKUP(A727,Flete!$A:$E,5,0),"")</f>
        <v/>
      </c>
      <c r="H727" s="7">
        <f>IFERROR(VLOOKUP(F727,TRAOPE!$AA:$AB,2,0),"")</f>
        <v/>
      </c>
      <c r="I727" s="7" t="n">
        <v>10001354</v>
      </c>
      <c r="J727" s="7">
        <f>IFERROR(VLOOKUP(I727,Materiales!$A:$H,8,0),"")</f>
        <v/>
      </c>
      <c r="K727" s="9">
        <f>IFERROR(VLOOKUP(I727,Materiales!$A:$G,7,0),"")</f>
        <v/>
      </c>
      <c r="L727" s="8" t="inlineStr">
        <is>
          <t>20190426</t>
        </is>
      </c>
      <c r="M727" s="8" t="inlineStr">
        <is>
          <t>20250127</t>
        </is>
      </c>
      <c r="N727" s="10" t="n">
        <v>129</v>
      </c>
      <c r="O727" s="10">
        <f>IFERROR(VLOOKUP(A727,Flete!$A:$J,10,0),"")</f>
        <v/>
      </c>
      <c r="P727" s="8" t="inlineStr">
        <is>
          <t>TN</t>
        </is>
      </c>
      <c r="Q727" s="10">
        <f>IFERROR(IFERROR(VLOOKUP(A727,TRAOPE!$A:$U,21,0),VLOOKUP(B727,TRAOPE!$A:$U,21,0)),"")</f>
        <v/>
      </c>
      <c r="R727" s="8">
        <f>IFERROR(IFERROR(VLOOKUP(A727,TRAOPE!$A:$W,23,0),VLOOKUP(B727,TRAOPE!$A:$W,23,0)),"")</f>
        <v/>
      </c>
      <c r="S727" s="10">
        <f>IF(AND(P727="TN",R727="TN"),N727+N(O727),IF(G727&amp;""="1",N(K727)*N727,(N727+N(O727))*N(K727)))</f>
        <v/>
      </c>
      <c r="T727" s="10">
        <f>IF(Q727="","",Q727-S727)</f>
        <v/>
      </c>
    </row>
    <row r="728">
      <c r="A728" s="7">
        <f>CONCATENATE(C728,E728,F728,I728)</f>
        <v/>
      </c>
      <c r="B728" s="7">
        <f>CONCATENATE(C728,E728,I728)</f>
        <v/>
      </c>
      <c r="C728" s="8" t="n">
        <v>900003588</v>
      </c>
      <c r="D728" s="7">
        <f>IFERROR(VLOOKUP(C728,TRAOPE!$G:$H,2,0),"")</f>
        <v/>
      </c>
      <c r="E728" s="8" t="inlineStr">
        <is>
          <t>D836</t>
        </is>
      </c>
      <c r="F728" s="8" t="inlineStr">
        <is>
          <t>66416982</t>
        </is>
      </c>
      <c r="G728" s="8">
        <f>IFERROR(VLOOKUP(A728,Flete!$A:$E,5,0),"")</f>
        <v/>
      </c>
      <c r="H728" s="7">
        <f>IFERROR(VLOOKUP(F728,TRAOPE!$AA:$AB,2,0),"")</f>
        <v/>
      </c>
      <c r="I728" s="7" t="n">
        <v>10000625</v>
      </c>
      <c r="J728" s="7">
        <f>IFERROR(VLOOKUP(I728,Materiales!$A:$H,8,0),"")</f>
        <v/>
      </c>
      <c r="K728" s="9">
        <f>IFERROR(VLOOKUP(I728,Materiales!$A:$G,7,0),"")</f>
        <v/>
      </c>
      <c r="L728" s="8" t="inlineStr">
        <is>
          <t>20190426</t>
        </is>
      </c>
      <c r="M728" s="8" t="inlineStr">
        <is>
          <t>20250127</t>
        </is>
      </c>
      <c r="N728" s="10" t="n">
        <v>53</v>
      </c>
      <c r="O728" s="10">
        <f>IFERROR(VLOOKUP(A728,Flete!$A:$J,10,0),"")</f>
        <v/>
      </c>
      <c r="P728" s="8" t="inlineStr">
        <is>
          <t>TN</t>
        </is>
      </c>
      <c r="Q728" s="10">
        <f>IFERROR(IFERROR(VLOOKUP(A728,TRAOPE!$A:$U,21,0),VLOOKUP(B728,TRAOPE!$A:$U,21,0)),"")</f>
        <v/>
      </c>
      <c r="R728" s="8">
        <f>IFERROR(IFERROR(VLOOKUP(A728,TRAOPE!$A:$W,23,0),VLOOKUP(B728,TRAOPE!$A:$W,23,0)),"")</f>
        <v/>
      </c>
      <c r="S728" s="10">
        <f>IF(AND(P728="TN",R728="TN"),N728+N(O728),IF(G728&amp;""="1",N(K728)*N728,(N728+N(O728))*N(K728)))</f>
        <v/>
      </c>
      <c r="T728" s="10">
        <f>IF(Q728="","",Q728-S728)</f>
        <v/>
      </c>
    </row>
    <row r="729">
      <c r="A729" s="7">
        <f>CONCATENATE(C729,E729,F729,I729)</f>
        <v/>
      </c>
      <c r="B729" s="7">
        <f>CONCATENATE(C729,E729,I729)</f>
        <v/>
      </c>
      <c r="C729" s="8" t="n">
        <v>900003588</v>
      </c>
      <c r="D729" s="7">
        <f>IFERROR(VLOOKUP(C729,TRAOPE!$G:$H,2,0),"")</f>
        <v/>
      </c>
      <c r="E729" s="8" t="inlineStr">
        <is>
          <t>D836</t>
        </is>
      </c>
      <c r="F729" s="8" t="inlineStr">
        <is>
          <t>66423916</t>
        </is>
      </c>
      <c r="G729" s="8">
        <f>IFERROR(VLOOKUP(A729,Flete!$A:$E,5,0),"")</f>
        <v/>
      </c>
      <c r="H729" s="7">
        <f>IFERROR(VLOOKUP(F729,TRAOPE!$AA:$AB,2,0),"")</f>
        <v/>
      </c>
      <c r="I729" s="7" t="n">
        <v>10000140</v>
      </c>
      <c r="J729" s="7">
        <f>IFERROR(VLOOKUP(I729,Materiales!$A:$H,8,0),"")</f>
        <v/>
      </c>
      <c r="K729" s="9">
        <f>IFERROR(VLOOKUP(I729,Materiales!$A:$G,7,0),"")</f>
        <v/>
      </c>
      <c r="L729" s="8" t="inlineStr">
        <is>
          <t>20190426</t>
        </is>
      </c>
      <c r="M729" s="8" t="inlineStr">
        <is>
          <t>20250127</t>
        </is>
      </c>
      <c r="N729" s="10" t="n">
        <v>56</v>
      </c>
      <c r="O729" s="10">
        <f>IFERROR(VLOOKUP(A729,Flete!$A:$J,10,0),"")</f>
        <v/>
      </c>
      <c r="P729" s="8" t="inlineStr">
        <is>
          <t>TN</t>
        </is>
      </c>
      <c r="Q729" s="10">
        <f>IFERROR(IFERROR(VLOOKUP(A729,TRAOPE!$A:$U,21,0),VLOOKUP(B729,TRAOPE!$A:$U,21,0)),"")</f>
        <v/>
      </c>
      <c r="R729" s="8">
        <f>IFERROR(IFERROR(VLOOKUP(A729,TRAOPE!$A:$W,23,0),VLOOKUP(B729,TRAOPE!$A:$W,23,0)),"")</f>
        <v/>
      </c>
      <c r="S729" s="10">
        <f>IF(AND(P729="TN",R729="TN"),N729+N(O729),IF(G729&amp;""="1",N(K729)*N729,(N729+N(O729))*N(K729)))</f>
        <v/>
      </c>
      <c r="T729" s="10">
        <f>IF(Q729="","",Q729-S729)</f>
        <v/>
      </c>
    </row>
    <row r="730">
      <c r="A730" s="7">
        <f>CONCATENATE(C730,E730,F730,I730)</f>
        <v/>
      </c>
      <c r="B730" s="7">
        <f>CONCATENATE(C730,E730,I730)</f>
        <v/>
      </c>
      <c r="C730" s="8" t="n">
        <v>900003588</v>
      </c>
      <c r="D730" s="7">
        <f>IFERROR(VLOOKUP(C730,TRAOPE!$G:$H,2,0),"")</f>
        <v/>
      </c>
      <c r="E730" s="8" t="inlineStr">
        <is>
          <t>D836</t>
        </is>
      </c>
      <c r="F730" s="8" t="inlineStr">
        <is>
          <t>66423916</t>
        </is>
      </c>
      <c r="G730" s="8">
        <f>IFERROR(VLOOKUP(A730,Flete!$A:$E,5,0),"")</f>
        <v/>
      </c>
      <c r="H730" s="7">
        <f>IFERROR(VLOOKUP(F730,TRAOPE!$AA:$AB,2,0),"")</f>
        <v/>
      </c>
      <c r="I730" s="7" t="n">
        <v>10000357</v>
      </c>
      <c r="J730" s="7">
        <f>IFERROR(VLOOKUP(I730,Materiales!$A:$H,8,0),"")</f>
        <v/>
      </c>
      <c r="K730" s="9">
        <f>IFERROR(VLOOKUP(I730,Materiales!$A:$G,7,0),"")</f>
        <v/>
      </c>
      <c r="L730" s="8" t="inlineStr">
        <is>
          <t>20190426</t>
        </is>
      </c>
      <c r="M730" s="8" t="inlineStr">
        <is>
          <t>20250127</t>
        </is>
      </c>
      <c r="N730" s="10" t="n">
        <v>98.06999999999999</v>
      </c>
      <c r="O730" s="10">
        <f>IFERROR(VLOOKUP(A730,Flete!$A:$J,10,0),"")</f>
        <v/>
      </c>
      <c r="P730" s="8" t="inlineStr">
        <is>
          <t>TN</t>
        </is>
      </c>
      <c r="Q730" s="10">
        <f>IFERROR(IFERROR(VLOOKUP(A730,TRAOPE!$A:$U,21,0),VLOOKUP(B730,TRAOPE!$A:$U,21,0)),"")</f>
        <v/>
      </c>
      <c r="R730" s="8">
        <f>IFERROR(IFERROR(VLOOKUP(A730,TRAOPE!$A:$W,23,0),VLOOKUP(B730,TRAOPE!$A:$W,23,0)),"")</f>
        <v/>
      </c>
      <c r="S730" s="10">
        <f>IF(AND(P730="TN",R730="TN"),N730+N(O730),IF(G730&amp;""="1",N(K730)*N730,(N730+N(O730))*N(K730)))</f>
        <v/>
      </c>
      <c r="T730" s="10">
        <f>IF(Q730="","",Q730-S730)</f>
        <v/>
      </c>
    </row>
    <row r="731">
      <c r="A731" s="7">
        <f>CONCATENATE(C731,E731,F731,I731)</f>
        <v/>
      </c>
      <c r="B731" s="7">
        <f>CONCATENATE(C731,E731,I731)</f>
        <v/>
      </c>
      <c r="C731" s="8" t="n">
        <v>900003588</v>
      </c>
      <c r="D731" s="7">
        <f>IFERROR(VLOOKUP(C731,TRAOPE!$G:$H,2,0),"")</f>
        <v/>
      </c>
      <c r="E731" s="8" t="inlineStr">
        <is>
          <t>D836</t>
        </is>
      </c>
      <c r="F731" s="8" t="inlineStr">
        <is>
          <t>66423916</t>
        </is>
      </c>
      <c r="G731" s="8">
        <f>IFERROR(VLOOKUP(A731,Flete!$A:$E,5,0),"")</f>
        <v/>
      </c>
      <c r="H731" s="7">
        <f>IFERROR(VLOOKUP(F731,TRAOPE!$AA:$AB,2,0),"")</f>
        <v/>
      </c>
      <c r="I731" s="7" t="n">
        <v>10000625</v>
      </c>
      <c r="J731" s="7">
        <f>IFERROR(VLOOKUP(I731,Materiales!$A:$H,8,0),"")</f>
        <v/>
      </c>
      <c r="K731" s="9">
        <f>IFERROR(VLOOKUP(I731,Materiales!$A:$G,7,0),"")</f>
        <v/>
      </c>
      <c r="L731" s="8" t="inlineStr">
        <is>
          <t>20190426</t>
        </is>
      </c>
      <c r="M731" s="8" t="inlineStr">
        <is>
          <t>20250127</t>
        </is>
      </c>
      <c r="N731" s="10" t="n">
        <v>50</v>
      </c>
      <c r="O731" s="10">
        <f>IFERROR(VLOOKUP(A731,Flete!$A:$J,10,0),"")</f>
        <v/>
      </c>
      <c r="P731" s="8" t="inlineStr">
        <is>
          <t>TN</t>
        </is>
      </c>
      <c r="Q731" s="10">
        <f>IFERROR(IFERROR(VLOOKUP(A731,TRAOPE!$A:$U,21,0),VLOOKUP(B731,TRAOPE!$A:$U,21,0)),"")</f>
        <v/>
      </c>
      <c r="R731" s="8">
        <f>IFERROR(IFERROR(VLOOKUP(A731,TRAOPE!$A:$W,23,0),VLOOKUP(B731,TRAOPE!$A:$W,23,0)),"")</f>
        <v/>
      </c>
      <c r="S731" s="10">
        <f>IF(AND(P731="TN",R731="TN"),N731+N(O731),IF(G731&amp;""="1",N(K731)*N731,(N731+N(O731))*N(K731)))</f>
        <v/>
      </c>
      <c r="T731" s="10">
        <f>IF(Q731="","",Q731-S731)</f>
        <v/>
      </c>
    </row>
    <row r="732">
      <c r="A732" s="7">
        <f>CONCATENATE(C732,E732,F732,I732)</f>
        <v/>
      </c>
      <c r="B732" s="7">
        <f>CONCATENATE(C732,E732,I732)</f>
        <v/>
      </c>
      <c r="C732" s="8" t="n">
        <v>900003588</v>
      </c>
      <c r="D732" s="7">
        <f>IFERROR(VLOOKUP(C732,TRAOPE!$G:$H,2,0),"")</f>
        <v/>
      </c>
      <c r="E732" s="8" t="inlineStr">
        <is>
          <t>D836</t>
        </is>
      </c>
      <c r="F732" s="8" t="inlineStr">
        <is>
          <t>66423916</t>
        </is>
      </c>
      <c r="G732" s="8">
        <f>IFERROR(VLOOKUP(A732,Flete!$A:$E,5,0),"")</f>
        <v/>
      </c>
      <c r="H732" s="7">
        <f>IFERROR(VLOOKUP(F732,TRAOPE!$AA:$AB,2,0),"")</f>
        <v/>
      </c>
      <c r="I732" s="7" t="n">
        <v>10000627</v>
      </c>
      <c r="J732" s="7">
        <f>IFERROR(VLOOKUP(I732,Materiales!$A:$H,8,0),"")</f>
        <v/>
      </c>
      <c r="K732" s="9">
        <f>IFERROR(VLOOKUP(I732,Materiales!$A:$G,7,0),"")</f>
        <v/>
      </c>
      <c r="L732" s="8" t="inlineStr">
        <is>
          <t>20190426</t>
        </is>
      </c>
      <c r="M732" s="8" t="inlineStr">
        <is>
          <t>20250127</t>
        </is>
      </c>
      <c r="N732" s="10" t="n">
        <v>60</v>
      </c>
      <c r="O732" s="10">
        <f>IFERROR(VLOOKUP(A732,Flete!$A:$J,10,0),"")</f>
        <v/>
      </c>
      <c r="P732" s="8" t="inlineStr">
        <is>
          <t>TN</t>
        </is>
      </c>
      <c r="Q732" s="10">
        <f>IFERROR(IFERROR(VLOOKUP(A732,TRAOPE!$A:$U,21,0),VLOOKUP(B732,TRAOPE!$A:$U,21,0)),"")</f>
        <v/>
      </c>
      <c r="R732" s="8">
        <f>IFERROR(IFERROR(VLOOKUP(A732,TRAOPE!$A:$W,23,0),VLOOKUP(B732,TRAOPE!$A:$W,23,0)),"")</f>
        <v/>
      </c>
      <c r="S732" s="10">
        <f>IF(AND(P732="TN",R732="TN"),N732+N(O732),IF(G732&amp;""="1",N(K732)*N732,(N732+N(O732))*N(K732)))</f>
        <v/>
      </c>
      <c r="T732" s="10">
        <f>IF(Q732="","",Q732-S732)</f>
        <v/>
      </c>
    </row>
    <row r="733">
      <c r="A733" s="7">
        <f>CONCATENATE(C733,E733,F733,I733)</f>
        <v/>
      </c>
      <c r="B733" s="7">
        <f>CONCATENATE(C733,E733,I733)</f>
        <v/>
      </c>
      <c r="C733" s="8" t="n">
        <v>900003588</v>
      </c>
      <c r="D733" s="7">
        <f>IFERROR(VLOOKUP(C733,TRAOPE!$G:$H,2,0),"")</f>
        <v/>
      </c>
      <c r="E733" s="8" t="inlineStr">
        <is>
          <t>D836</t>
        </is>
      </c>
      <c r="F733" s="8" t="inlineStr">
        <is>
          <t>66423916</t>
        </is>
      </c>
      <c r="G733" s="8">
        <f>IFERROR(VLOOKUP(A733,Flete!$A:$E,5,0),"")</f>
        <v/>
      </c>
      <c r="H733" s="7">
        <f>IFERROR(VLOOKUP(F733,TRAOPE!$AA:$AB,2,0),"")</f>
        <v/>
      </c>
      <c r="I733" s="7" t="n">
        <v>10001354</v>
      </c>
      <c r="J733" s="7">
        <f>IFERROR(VLOOKUP(I733,Materiales!$A:$H,8,0),"")</f>
        <v/>
      </c>
      <c r="K733" s="9">
        <f>IFERROR(VLOOKUP(I733,Materiales!$A:$G,7,0),"")</f>
        <v/>
      </c>
      <c r="L733" s="8" t="inlineStr">
        <is>
          <t>20190426</t>
        </is>
      </c>
      <c r="M733" s="8" t="inlineStr">
        <is>
          <t>20250127</t>
        </is>
      </c>
      <c r="N733" s="10" t="n">
        <v>130</v>
      </c>
      <c r="O733" s="10">
        <f>IFERROR(VLOOKUP(A733,Flete!$A:$J,10,0),"")</f>
        <v/>
      </c>
      <c r="P733" s="8" t="inlineStr">
        <is>
          <t>TN</t>
        </is>
      </c>
      <c r="Q733" s="10">
        <f>IFERROR(IFERROR(VLOOKUP(A733,TRAOPE!$A:$U,21,0),VLOOKUP(B733,TRAOPE!$A:$U,21,0)),"")</f>
        <v/>
      </c>
      <c r="R733" s="8">
        <f>IFERROR(IFERROR(VLOOKUP(A733,TRAOPE!$A:$W,23,0),VLOOKUP(B733,TRAOPE!$A:$W,23,0)),"")</f>
        <v/>
      </c>
      <c r="S733" s="10">
        <f>IF(AND(P733="TN",R733="TN"),N733+N(O733),IF(G733&amp;""="1",N(K733)*N733,(N733+N(O733))*N(K733)))</f>
        <v/>
      </c>
      <c r="T733" s="10">
        <f>IF(Q733="","",Q733-S733)</f>
        <v/>
      </c>
    </row>
    <row r="734">
      <c r="A734" s="7">
        <f>CONCATENATE(C734,E734,F734,I734)</f>
        <v/>
      </c>
      <c r="B734" s="7">
        <f>CONCATENATE(C734,E734,I734)</f>
        <v/>
      </c>
      <c r="C734" s="8" t="n">
        <v>900003588</v>
      </c>
      <c r="D734" s="7">
        <f>IFERROR(VLOOKUP(C734,TRAOPE!$G:$H,2,0),"")</f>
        <v/>
      </c>
      <c r="E734" s="8" t="inlineStr">
        <is>
          <t>D836</t>
        </is>
      </c>
      <c r="F734" s="8" t="inlineStr">
        <is>
          <t>66428265</t>
        </is>
      </c>
      <c r="G734" s="8">
        <f>IFERROR(VLOOKUP(A734,Flete!$A:$E,5,0),"")</f>
        <v/>
      </c>
      <c r="H734" s="7">
        <f>IFERROR(VLOOKUP(F734,TRAOPE!$AA:$AB,2,0),"")</f>
        <v/>
      </c>
      <c r="I734" s="7" t="n">
        <v>10000357</v>
      </c>
      <c r="J734" s="7">
        <f>IFERROR(VLOOKUP(I734,Materiales!$A:$H,8,0),"")</f>
        <v/>
      </c>
      <c r="K734" s="9">
        <f>IFERROR(VLOOKUP(I734,Materiales!$A:$G,7,0),"")</f>
        <v/>
      </c>
      <c r="L734" s="8" t="inlineStr">
        <is>
          <t>20190426</t>
        </is>
      </c>
      <c r="M734" s="8" t="inlineStr">
        <is>
          <t>20250127</t>
        </is>
      </c>
      <c r="N734" s="10" t="n">
        <v>90</v>
      </c>
      <c r="O734" s="10">
        <f>IFERROR(VLOOKUP(A734,Flete!$A:$J,10,0),"")</f>
        <v/>
      </c>
      <c r="P734" s="8" t="inlineStr">
        <is>
          <t>TN</t>
        </is>
      </c>
      <c r="Q734" s="10">
        <f>IFERROR(IFERROR(VLOOKUP(A734,TRAOPE!$A:$U,21,0),VLOOKUP(B734,TRAOPE!$A:$U,21,0)),"")</f>
        <v/>
      </c>
      <c r="R734" s="8">
        <f>IFERROR(IFERROR(VLOOKUP(A734,TRAOPE!$A:$W,23,0),VLOOKUP(B734,TRAOPE!$A:$W,23,0)),"")</f>
        <v/>
      </c>
      <c r="S734" s="10">
        <f>IF(AND(P734="TN",R734="TN"),N734+N(O734),IF(G734&amp;""="1",N(K734)*N734,(N734+N(O734))*N(K734)))</f>
        <v/>
      </c>
      <c r="T734" s="10">
        <f>IF(Q734="","",Q734-S734)</f>
        <v/>
      </c>
    </row>
    <row r="735">
      <c r="A735" s="7">
        <f>CONCATENATE(C735,E735,F735,I735)</f>
        <v/>
      </c>
      <c r="B735" s="7">
        <f>CONCATENATE(C735,E735,I735)</f>
        <v/>
      </c>
      <c r="C735" s="8" t="n">
        <v>900003588</v>
      </c>
      <c r="D735" s="7">
        <f>IFERROR(VLOOKUP(C735,TRAOPE!$G:$H,2,0),"")</f>
        <v/>
      </c>
      <c r="E735" s="8" t="inlineStr">
        <is>
          <t>D836</t>
        </is>
      </c>
      <c r="F735" s="8" t="inlineStr">
        <is>
          <t>66428265</t>
        </is>
      </c>
      <c r="G735" s="8">
        <f>IFERROR(VLOOKUP(A735,Flete!$A:$E,5,0),"")</f>
        <v/>
      </c>
      <c r="H735" s="7">
        <f>IFERROR(VLOOKUP(F735,TRAOPE!$AA:$AB,2,0),"")</f>
        <v/>
      </c>
      <c r="I735" s="7" t="n">
        <v>10000625</v>
      </c>
      <c r="J735" s="7">
        <f>IFERROR(VLOOKUP(I735,Materiales!$A:$H,8,0),"")</f>
        <v/>
      </c>
      <c r="K735" s="9">
        <f>IFERROR(VLOOKUP(I735,Materiales!$A:$G,7,0),"")</f>
        <v/>
      </c>
      <c r="L735" s="8" t="inlineStr">
        <is>
          <t>20190426</t>
        </is>
      </c>
      <c r="M735" s="8" t="inlineStr">
        <is>
          <t>20250127</t>
        </is>
      </c>
      <c r="N735" s="10" t="n">
        <v>55</v>
      </c>
      <c r="O735" s="10">
        <f>IFERROR(VLOOKUP(A735,Flete!$A:$J,10,0),"")</f>
        <v/>
      </c>
      <c r="P735" s="8" t="inlineStr">
        <is>
          <t>TN</t>
        </is>
      </c>
      <c r="Q735" s="10">
        <f>IFERROR(IFERROR(VLOOKUP(A735,TRAOPE!$A:$U,21,0),VLOOKUP(B735,TRAOPE!$A:$U,21,0)),"")</f>
        <v/>
      </c>
      <c r="R735" s="8">
        <f>IFERROR(IFERROR(VLOOKUP(A735,TRAOPE!$A:$W,23,0),VLOOKUP(B735,TRAOPE!$A:$W,23,0)),"")</f>
        <v/>
      </c>
      <c r="S735" s="10">
        <f>IF(AND(P735="TN",R735="TN"),N735+N(O735),IF(G735&amp;""="1",N(K735)*N735,(N735+N(O735))*N(K735)))</f>
        <v/>
      </c>
      <c r="T735" s="10">
        <f>IF(Q735="","",Q735-S735)</f>
        <v/>
      </c>
    </row>
    <row r="736">
      <c r="A736" s="7">
        <f>CONCATENATE(C736,E736,F736,I736)</f>
        <v/>
      </c>
      <c r="B736" s="7">
        <f>CONCATENATE(C736,E736,I736)</f>
        <v/>
      </c>
      <c r="C736" s="8" t="n">
        <v>900003588</v>
      </c>
      <c r="D736" s="7">
        <f>IFERROR(VLOOKUP(C736,TRAOPE!$G:$H,2,0),"")</f>
        <v/>
      </c>
      <c r="E736" s="8" t="inlineStr">
        <is>
          <t>D836</t>
        </is>
      </c>
      <c r="F736" s="8" t="inlineStr">
        <is>
          <t>66428265</t>
        </is>
      </c>
      <c r="G736" s="8">
        <f>IFERROR(VLOOKUP(A736,Flete!$A:$E,5,0),"")</f>
        <v/>
      </c>
      <c r="H736" s="7">
        <f>IFERROR(VLOOKUP(F736,TRAOPE!$AA:$AB,2,0),"")</f>
        <v/>
      </c>
      <c r="I736" s="7" t="n">
        <v>10000627</v>
      </c>
      <c r="J736" s="7">
        <f>IFERROR(VLOOKUP(I736,Materiales!$A:$H,8,0),"")</f>
        <v/>
      </c>
      <c r="K736" s="9">
        <f>IFERROR(VLOOKUP(I736,Materiales!$A:$G,7,0),"")</f>
        <v/>
      </c>
      <c r="L736" s="8" t="inlineStr">
        <is>
          <t>20190426</t>
        </is>
      </c>
      <c r="M736" s="8" t="inlineStr">
        <is>
          <t>20250127</t>
        </is>
      </c>
      <c r="N736" s="10" t="n">
        <v>65</v>
      </c>
      <c r="O736" s="10">
        <f>IFERROR(VLOOKUP(A736,Flete!$A:$J,10,0),"")</f>
        <v/>
      </c>
      <c r="P736" s="8" t="inlineStr">
        <is>
          <t>TN</t>
        </is>
      </c>
      <c r="Q736" s="10">
        <f>IFERROR(IFERROR(VLOOKUP(A736,TRAOPE!$A:$U,21,0),VLOOKUP(B736,TRAOPE!$A:$U,21,0)),"")</f>
        <v/>
      </c>
      <c r="R736" s="8">
        <f>IFERROR(IFERROR(VLOOKUP(A736,TRAOPE!$A:$W,23,0),VLOOKUP(B736,TRAOPE!$A:$W,23,0)),"")</f>
        <v/>
      </c>
      <c r="S736" s="10">
        <f>IF(AND(P736="TN",R736="TN"),N736+N(O736),IF(G736&amp;""="1",N(K736)*N736,(N736+N(O736))*N(K736)))</f>
        <v/>
      </c>
      <c r="T736" s="10">
        <f>IF(Q736="","",Q736-S736)</f>
        <v/>
      </c>
    </row>
    <row r="737">
      <c r="A737" s="7">
        <f>CONCATENATE(C737,E737,F737,I737)</f>
        <v/>
      </c>
      <c r="B737" s="7">
        <f>CONCATENATE(C737,E737,I737)</f>
        <v/>
      </c>
      <c r="C737" s="8" t="n">
        <v>900003588</v>
      </c>
      <c r="D737" s="7">
        <f>IFERROR(VLOOKUP(C737,TRAOPE!$G:$H,2,0),"")</f>
        <v/>
      </c>
      <c r="E737" s="8" t="inlineStr">
        <is>
          <t>D836</t>
        </is>
      </c>
      <c r="F737" s="8" t="inlineStr">
        <is>
          <t>66428265</t>
        </is>
      </c>
      <c r="G737" s="8">
        <f>IFERROR(VLOOKUP(A737,Flete!$A:$E,5,0),"")</f>
        <v/>
      </c>
      <c r="H737" s="7">
        <f>IFERROR(VLOOKUP(F737,TRAOPE!$AA:$AB,2,0),"")</f>
        <v/>
      </c>
      <c r="I737" s="7" t="n">
        <v>10001354</v>
      </c>
      <c r="J737" s="7">
        <f>IFERROR(VLOOKUP(I737,Materiales!$A:$H,8,0),"")</f>
        <v/>
      </c>
      <c r="K737" s="9">
        <f>IFERROR(VLOOKUP(I737,Materiales!$A:$G,7,0),"")</f>
        <v/>
      </c>
      <c r="L737" s="8" t="inlineStr">
        <is>
          <t>20190426</t>
        </is>
      </c>
      <c r="M737" s="8" t="inlineStr">
        <is>
          <t>20250127</t>
        </is>
      </c>
      <c r="N737" s="10" t="n">
        <v>129</v>
      </c>
      <c r="O737" s="10">
        <f>IFERROR(VLOOKUP(A737,Flete!$A:$J,10,0),"")</f>
        <v/>
      </c>
      <c r="P737" s="8" t="inlineStr">
        <is>
          <t>TN</t>
        </is>
      </c>
      <c r="Q737" s="10">
        <f>IFERROR(IFERROR(VLOOKUP(A737,TRAOPE!$A:$U,21,0),VLOOKUP(B737,TRAOPE!$A:$U,21,0)),"")</f>
        <v/>
      </c>
      <c r="R737" s="8">
        <f>IFERROR(IFERROR(VLOOKUP(A737,TRAOPE!$A:$W,23,0),VLOOKUP(B737,TRAOPE!$A:$W,23,0)),"")</f>
        <v/>
      </c>
      <c r="S737" s="10">
        <f>IF(AND(P737="TN",R737="TN"),N737+N(O737),IF(G737&amp;""="1",N(K737)*N737,(N737+N(O737))*N(K737)))</f>
        <v/>
      </c>
      <c r="T737" s="10">
        <f>IF(Q737="","",Q737-S737)</f>
        <v/>
      </c>
    </row>
    <row r="738">
      <c r="A738" s="7">
        <f>CONCATENATE(C738,E738,F738,I738)</f>
        <v/>
      </c>
      <c r="B738" s="7">
        <f>CONCATENATE(C738,E738,I738)</f>
        <v/>
      </c>
      <c r="C738" s="8" t="n">
        <v>900003588</v>
      </c>
      <c r="D738" s="7">
        <f>IFERROR(VLOOKUP(C738,TRAOPE!$G:$H,2,0),"")</f>
        <v/>
      </c>
      <c r="E738" s="8" t="inlineStr">
        <is>
          <t>D836</t>
        </is>
      </c>
      <c r="F738" s="8" t="inlineStr">
        <is>
          <t>66433509</t>
        </is>
      </c>
      <c r="G738" s="8">
        <f>IFERROR(VLOOKUP(A738,Flete!$A:$E,5,0),"")</f>
        <v/>
      </c>
      <c r="H738" s="7">
        <f>IFERROR(VLOOKUP(F738,TRAOPE!$AA:$AB,2,0),"")</f>
        <v/>
      </c>
      <c r="I738" s="7" t="n">
        <v>10000357</v>
      </c>
      <c r="J738" s="7">
        <f>IFERROR(VLOOKUP(I738,Materiales!$A:$H,8,0),"")</f>
        <v/>
      </c>
      <c r="K738" s="9">
        <f>IFERROR(VLOOKUP(I738,Materiales!$A:$G,7,0),"")</f>
        <v/>
      </c>
      <c r="L738" s="8" t="inlineStr">
        <is>
          <t>20190426</t>
        </is>
      </c>
      <c r="M738" s="8" t="inlineStr">
        <is>
          <t>20250127</t>
        </is>
      </c>
      <c r="N738" s="10" t="n">
        <v>85.93000000000001</v>
      </c>
      <c r="O738" s="10">
        <f>IFERROR(VLOOKUP(A738,Flete!$A:$J,10,0),"")</f>
        <v/>
      </c>
      <c r="P738" s="8" t="inlineStr">
        <is>
          <t>TN</t>
        </is>
      </c>
      <c r="Q738" s="10">
        <f>IFERROR(IFERROR(VLOOKUP(A738,TRAOPE!$A:$U,21,0),VLOOKUP(B738,TRAOPE!$A:$U,21,0)),"")</f>
        <v/>
      </c>
      <c r="R738" s="8">
        <f>IFERROR(IFERROR(VLOOKUP(A738,TRAOPE!$A:$W,23,0),VLOOKUP(B738,TRAOPE!$A:$W,23,0)),"")</f>
        <v/>
      </c>
      <c r="S738" s="10">
        <f>IF(AND(P738="TN",R738="TN"),N738+N(O738),IF(G738&amp;""="1",N(K738)*N738,(N738+N(O738))*N(K738)))</f>
        <v/>
      </c>
      <c r="T738" s="10">
        <f>IF(Q738="","",Q738-S738)</f>
        <v/>
      </c>
    </row>
    <row r="739">
      <c r="A739" s="7">
        <f>CONCATENATE(C739,E739,F739,I739)</f>
        <v/>
      </c>
      <c r="B739" s="7">
        <f>CONCATENATE(C739,E739,I739)</f>
        <v/>
      </c>
      <c r="C739" s="8" t="n">
        <v>900003588</v>
      </c>
      <c r="D739" s="7">
        <f>IFERROR(VLOOKUP(C739,TRAOPE!$G:$H,2,0),"")</f>
        <v/>
      </c>
      <c r="E739" s="8" t="inlineStr">
        <is>
          <t>D836</t>
        </is>
      </c>
      <c r="F739" s="8" t="inlineStr">
        <is>
          <t>66433509</t>
        </is>
      </c>
      <c r="G739" s="8">
        <f>IFERROR(VLOOKUP(A739,Flete!$A:$E,5,0),"")</f>
        <v/>
      </c>
      <c r="H739" s="7">
        <f>IFERROR(VLOOKUP(F739,TRAOPE!$AA:$AB,2,0),"")</f>
        <v/>
      </c>
      <c r="I739" s="7" t="n">
        <v>10000625</v>
      </c>
      <c r="J739" s="7">
        <f>IFERROR(VLOOKUP(I739,Materiales!$A:$H,8,0),"")</f>
        <v/>
      </c>
      <c r="K739" s="9">
        <f>IFERROR(VLOOKUP(I739,Materiales!$A:$G,7,0),"")</f>
        <v/>
      </c>
      <c r="L739" s="8" t="inlineStr">
        <is>
          <t>20190426</t>
        </is>
      </c>
      <c r="M739" s="8" t="inlineStr">
        <is>
          <t>20250127</t>
        </is>
      </c>
      <c r="N739" s="10" t="n">
        <v>55.86</v>
      </c>
      <c r="O739" s="10">
        <f>IFERROR(VLOOKUP(A739,Flete!$A:$J,10,0),"")</f>
        <v/>
      </c>
      <c r="P739" s="8" t="inlineStr">
        <is>
          <t>TN</t>
        </is>
      </c>
      <c r="Q739" s="10">
        <f>IFERROR(IFERROR(VLOOKUP(A739,TRAOPE!$A:$U,21,0),VLOOKUP(B739,TRAOPE!$A:$U,21,0)),"")</f>
        <v/>
      </c>
      <c r="R739" s="8">
        <f>IFERROR(IFERROR(VLOOKUP(A739,TRAOPE!$A:$W,23,0),VLOOKUP(B739,TRAOPE!$A:$W,23,0)),"")</f>
        <v/>
      </c>
      <c r="S739" s="10">
        <f>IF(AND(P739="TN",R739="TN"),N739+N(O739),IF(G739&amp;""="1",N(K739)*N739,(N739+N(O739))*N(K739)))</f>
        <v/>
      </c>
      <c r="T739" s="10">
        <f>IF(Q739="","",Q739-S739)</f>
        <v/>
      </c>
    </row>
    <row r="740">
      <c r="A740" s="7">
        <f>CONCATENATE(C740,E740,F740,I740)</f>
        <v/>
      </c>
      <c r="B740" s="7">
        <f>CONCATENATE(C740,E740,I740)</f>
        <v/>
      </c>
      <c r="C740" s="8" t="n">
        <v>900003588</v>
      </c>
      <c r="D740" s="7">
        <f>IFERROR(VLOOKUP(C740,TRAOPE!$G:$H,2,0),"")</f>
        <v/>
      </c>
      <c r="E740" s="8" t="inlineStr">
        <is>
          <t>D836</t>
        </is>
      </c>
      <c r="F740" s="8" t="inlineStr">
        <is>
          <t>66433509</t>
        </is>
      </c>
      <c r="G740" s="8">
        <f>IFERROR(VLOOKUP(A740,Flete!$A:$E,5,0),"")</f>
        <v/>
      </c>
      <c r="H740" s="7">
        <f>IFERROR(VLOOKUP(F740,TRAOPE!$AA:$AB,2,0),"")</f>
        <v/>
      </c>
      <c r="I740" s="7" t="n">
        <v>10000627</v>
      </c>
      <c r="J740" s="7">
        <f>IFERROR(VLOOKUP(I740,Materiales!$A:$H,8,0),"")</f>
        <v/>
      </c>
      <c r="K740" s="9">
        <f>IFERROR(VLOOKUP(I740,Materiales!$A:$G,7,0),"")</f>
        <v/>
      </c>
      <c r="L740" s="8" t="inlineStr">
        <is>
          <t>20190426</t>
        </is>
      </c>
      <c r="M740" s="8" t="inlineStr">
        <is>
          <t>20250127</t>
        </is>
      </c>
      <c r="N740" s="10" t="n">
        <v>60.89</v>
      </c>
      <c r="O740" s="10">
        <f>IFERROR(VLOOKUP(A740,Flete!$A:$J,10,0),"")</f>
        <v/>
      </c>
      <c r="P740" s="8" t="inlineStr">
        <is>
          <t>TN</t>
        </is>
      </c>
      <c r="Q740" s="10">
        <f>IFERROR(IFERROR(VLOOKUP(A740,TRAOPE!$A:$U,21,0),VLOOKUP(B740,TRAOPE!$A:$U,21,0)),"")</f>
        <v/>
      </c>
      <c r="R740" s="8">
        <f>IFERROR(IFERROR(VLOOKUP(A740,TRAOPE!$A:$W,23,0),VLOOKUP(B740,TRAOPE!$A:$W,23,0)),"")</f>
        <v/>
      </c>
      <c r="S740" s="10">
        <f>IF(AND(P740="TN",R740="TN"),N740+N(O740),IF(G740&amp;""="1",N(K740)*N740,(N740+N(O740))*N(K740)))</f>
        <v/>
      </c>
      <c r="T740" s="10">
        <f>IF(Q740="","",Q740-S740)</f>
        <v/>
      </c>
    </row>
    <row r="741">
      <c r="A741" s="7">
        <f>CONCATENATE(C741,E741,F741,I741)</f>
        <v/>
      </c>
      <c r="B741" s="7">
        <f>CONCATENATE(C741,E741,I741)</f>
        <v/>
      </c>
      <c r="C741" s="8" t="n">
        <v>900003588</v>
      </c>
      <c r="D741" s="7">
        <f>IFERROR(VLOOKUP(C741,TRAOPE!$G:$H,2,0),"")</f>
        <v/>
      </c>
      <c r="E741" s="8" t="inlineStr">
        <is>
          <t>D836</t>
        </is>
      </c>
      <c r="F741" s="8" t="inlineStr">
        <is>
          <t>66433509</t>
        </is>
      </c>
      <c r="G741" s="8">
        <f>IFERROR(VLOOKUP(A741,Flete!$A:$E,5,0),"")</f>
        <v/>
      </c>
      <c r="H741" s="7">
        <f>IFERROR(VLOOKUP(F741,TRAOPE!$AA:$AB,2,0),"")</f>
        <v/>
      </c>
      <c r="I741" s="7" t="n">
        <v>10001354</v>
      </c>
      <c r="J741" s="7">
        <f>IFERROR(VLOOKUP(I741,Materiales!$A:$H,8,0),"")</f>
        <v/>
      </c>
      <c r="K741" s="9">
        <f>IFERROR(VLOOKUP(I741,Materiales!$A:$G,7,0),"")</f>
        <v/>
      </c>
      <c r="L741" s="8" t="inlineStr">
        <is>
          <t>20190426</t>
        </is>
      </c>
      <c r="M741" s="8" t="inlineStr">
        <is>
          <t>20250127</t>
        </is>
      </c>
      <c r="N741" s="10" t="n">
        <v>129</v>
      </c>
      <c r="O741" s="10">
        <f>IFERROR(VLOOKUP(A741,Flete!$A:$J,10,0),"")</f>
        <v/>
      </c>
      <c r="P741" s="8" t="inlineStr">
        <is>
          <t>TN</t>
        </is>
      </c>
      <c r="Q741" s="10">
        <f>IFERROR(IFERROR(VLOOKUP(A741,TRAOPE!$A:$U,21,0),VLOOKUP(B741,TRAOPE!$A:$U,21,0)),"")</f>
        <v/>
      </c>
      <c r="R741" s="8">
        <f>IFERROR(IFERROR(VLOOKUP(A741,TRAOPE!$A:$W,23,0),VLOOKUP(B741,TRAOPE!$A:$W,23,0)),"")</f>
        <v/>
      </c>
      <c r="S741" s="10">
        <f>IF(AND(P741="TN",R741="TN"),N741+N(O741),IF(G741&amp;""="1",N(K741)*N741,(N741+N(O741))*N(K741)))</f>
        <v/>
      </c>
      <c r="T741" s="10">
        <f>IF(Q741="","",Q741-S741)</f>
        <v/>
      </c>
    </row>
    <row r="742">
      <c r="A742" s="7">
        <f>CONCATENATE(C742,E742,F742,I742)</f>
        <v/>
      </c>
      <c r="B742" s="7">
        <f>CONCATENATE(C742,E742,I742)</f>
        <v/>
      </c>
      <c r="C742" s="8" t="n">
        <v>900003588</v>
      </c>
      <c r="D742" s="7">
        <f>IFERROR(VLOOKUP(C742,TRAOPE!$G:$H,2,0),"")</f>
        <v/>
      </c>
      <c r="E742" s="8" t="inlineStr">
        <is>
          <t>D836</t>
        </is>
      </c>
      <c r="F742" s="8" t="inlineStr">
        <is>
          <t>66447492</t>
        </is>
      </c>
      <c r="G742" s="8">
        <f>IFERROR(VLOOKUP(A742,Flete!$A:$E,5,0),"")</f>
        <v/>
      </c>
      <c r="H742" s="7">
        <f>IFERROR(VLOOKUP(F742,TRAOPE!$AA:$AB,2,0),"")</f>
        <v/>
      </c>
      <c r="I742" s="7" t="n">
        <v>10000625</v>
      </c>
      <c r="J742" s="7">
        <f>IFERROR(VLOOKUP(I742,Materiales!$A:$H,8,0),"")</f>
        <v/>
      </c>
      <c r="K742" s="9">
        <f>IFERROR(VLOOKUP(I742,Materiales!$A:$G,7,0),"")</f>
        <v/>
      </c>
      <c r="L742" s="8" t="inlineStr">
        <is>
          <t>20190426</t>
        </is>
      </c>
      <c r="M742" s="8" t="inlineStr">
        <is>
          <t>20250127</t>
        </is>
      </c>
      <c r="N742" s="10" t="n">
        <v>56.5</v>
      </c>
      <c r="O742" s="10">
        <f>IFERROR(VLOOKUP(A742,Flete!$A:$J,10,0),"")</f>
        <v/>
      </c>
      <c r="P742" s="8" t="inlineStr">
        <is>
          <t>TN</t>
        </is>
      </c>
      <c r="Q742" s="10">
        <f>IFERROR(IFERROR(VLOOKUP(A742,TRAOPE!$A:$U,21,0),VLOOKUP(B742,TRAOPE!$A:$U,21,0)),"")</f>
        <v/>
      </c>
      <c r="R742" s="8">
        <f>IFERROR(IFERROR(VLOOKUP(A742,TRAOPE!$A:$W,23,0),VLOOKUP(B742,TRAOPE!$A:$W,23,0)),"")</f>
        <v/>
      </c>
      <c r="S742" s="10">
        <f>IF(AND(P742="TN",R742="TN"),N742+N(O742),IF(G742&amp;""="1",N(K742)*N742,(N742+N(O742))*N(K742)))</f>
        <v/>
      </c>
      <c r="T742" s="10">
        <f>IF(Q742="","",Q742-S742)</f>
        <v/>
      </c>
    </row>
    <row r="743">
      <c r="A743" s="7">
        <f>CONCATENATE(C743,E743,F743,I743)</f>
        <v/>
      </c>
      <c r="B743" s="7">
        <f>CONCATENATE(C743,E743,I743)</f>
        <v/>
      </c>
      <c r="C743" s="8" t="n">
        <v>900003588</v>
      </c>
      <c r="D743" s="7">
        <f>IFERROR(VLOOKUP(C743,TRAOPE!$G:$H,2,0),"")</f>
        <v/>
      </c>
      <c r="E743" s="8" t="inlineStr">
        <is>
          <t>D836</t>
        </is>
      </c>
      <c r="F743" s="8" t="inlineStr">
        <is>
          <t>66450072</t>
        </is>
      </c>
      <c r="G743" s="8">
        <f>IFERROR(VLOOKUP(A743,Flete!$A:$E,5,0),"")</f>
        <v/>
      </c>
      <c r="H743" s="7">
        <f>IFERROR(VLOOKUP(F743,TRAOPE!$AA:$AB,2,0),"")</f>
        <v/>
      </c>
      <c r="I743" s="7" t="n">
        <v>10000357</v>
      </c>
      <c r="J743" s="7">
        <f>IFERROR(VLOOKUP(I743,Materiales!$A:$H,8,0),"")</f>
        <v/>
      </c>
      <c r="K743" s="9">
        <f>IFERROR(VLOOKUP(I743,Materiales!$A:$G,7,0),"")</f>
        <v/>
      </c>
      <c r="L743" s="8" t="inlineStr">
        <is>
          <t>20190426</t>
        </is>
      </c>
      <c r="M743" s="8" t="inlineStr">
        <is>
          <t>20250127</t>
        </is>
      </c>
      <c r="N743" s="10" t="n">
        <v>95</v>
      </c>
      <c r="O743" s="10">
        <f>IFERROR(VLOOKUP(A743,Flete!$A:$J,10,0),"")</f>
        <v/>
      </c>
      <c r="P743" s="8" t="inlineStr">
        <is>
          <t>TN</t>
        </is>
      </c>
      <c r="Q743" s="10">
        <f>IFERROR(IFERROR(VLOOKUP(A743,TRAOPE!$A:$U,21,0),VLOOKUP(B743,TRAOPE!$A:$U,21,0)),"")</f>
        <v/>
      </c>
      <c r="R743" s="8">
        <f>IFERROR(IFERROR(VLOOKUP(A743,TRAOPE!$A:$W,23,0),VLOOKUP(B743,TRAOPE!$A:$W,23,0)),"")</f>
        <v/>
      </c>
      <c r="S743" s="10">
        <f>IF(AND(P743="TN",R743="TN"),N743+N(O743),IF(G743&amp;""="1",N(K743)*N743,(N743+N(O743))*N(K743)))</f>
        <v/>
      </c>
      <c r="T743" s="10">
        <f>IF(Q743="","",Q743-S743)</f>
        <v/>
      </c>
    </row>
    <row r="744">
      <c r="A744" s="7">
        <f>CONCATENATE(C744,E744,F744,I744)</f>
        <v/>
      </c>
      <c r="B744" s="7">
        <f>CONCATENATE(C744,E744,I744)</f>
        <v/>
      </c>
      <c r="C744" s="8" t="n">
        <v>900003588</v>
      </c>
      <c r="D744" s="7">
        <f>IFERROR(VLOOKUP(C744,TRAOPE!$G:$H,2,0),"")</f>
        <v/>
      </c>
      <c r="E744" s="8" t="inlineStr">
        <is>
          <t>D836</t>
        </is>
      </c>
      <c r="F744" s="8" t="inlineStr">
        <is>
          <t>66490960</t>
        </is>
      </c>
      <c r="G744" s="8">
        <f>IFERROR(VLOOKUP(A744,Flete!$A:$E,5,0),"")</f>
        <v/>
      </c>
      <c r="H744" s="7">
        <f>IFERROR(VLOOKUP(F744,TRAOPE!$AA:$AB,2,0),"")</f>
        <v/>
      </c>
      <c r="I744" s="7" t="n">
        <v>10000625</v>
      </c>
      <c r="J744" s="7">
        <f>IFERROR(VLOOKUP(I744,Materiales!$A:$H,8,0),"")</f>
        <v/>
      </c>
      <c r="K744" s="9">
        <f>IFERROR(VLOOKUP(I744,Materiales!$A:$G,7,0),"")</f>
        <v/>
      </c>
      <c r="L744" s="8" t="inlineStr">
        <is>
          <t>20190426</t>
        </is>
      </c>
      <c r="M744" s="8" t="inlineStr">
        <is>
          <t>20250127</t>
        </is>
      </c>
      <c r="N744" s="10" t="n">
        <v>65</v>
      </c>
      <c r="O744" s="10">
        <f>IFERROR(VLOOKUP(A744,Flete!$A:$J,10,0),"")</f>
        <v/>
      </c>
      <c r="P744" s="8" t="inlineStr">
        <is>
          <t>TN</t>
        </is>
      </c>
      <c r="Q744" s="10">
        <f>IFERROR(IFERROR(VLOOKUP(A744,TRAOPE!$A:$U,21,0),VLOOKUP(B744,TRAOPE!$A:$U,21,0)),"")</f>
        <v/>
      </c>
      <c r="R744" s="8">
        <f>IFERROR(IFERROR(VLOOKUP(A744,TRAOPE!$A:$W,23,0),VLOOKUP(B744,TRAOPE!$A:$W,23,0)),"")</f>
        <v/>
      </c>
      <c r="S744" s="10">
        <f>IF(AND(P744="TN",R744="TN"),N744+N(O744),IF(G744&amp;""="1",N(K744)*N744,(N744+N(O744))*N(K744)))</f>
        <v/>
      </c>
      <c r="T744" s="10">
        <f>IF(Q744="","",Q744-S744)</f>
        <v/>
      </c>
    </row>
    <row r="745">
      <c r="A745" s="7">
        <f>CONCATENATE(C745,E745,F745,I745)</f>
        <v/>
      </c>
      <c r="B745" s="7">
        <f>CONCATENATE(C745,E745,I745)</f>
        <v/>
      </c>
      <c r="C745" s="8" t="n">
        <v>900003588</v>
      </c>
      <c r="D745" s="7">
        <f>IFERROR(VLOOKUP(C745,TRAOPE!$G:$H,2,0),"")</f>
        <v/>
      </c>
      <c r="E745" s="8" t="inlineStr">
        <is>
          <t>D836</t>
        </is>
      </c>
      <c r="F745" s="8" t="inlineStr">
        <is>
          <t>66518013</t>
        </is>
      </c>
      <c r="G745" s="8">
        <f>IFERROR(VLOOKUP(A745,Flete!$A:$E,5,0),"")</f>
        <v/>
      </c>
      <c r="H745" s="7">
        <f>IFERROR(VLOOKUP(F745,TRAOPE!$AA:$AB,2,0),"")</f>
        <v/>
      </c>
      <c r="I745" s="7" t="n">
        <v>10000357</v>
      </c>
      <c r="J745" s="7">
        <f>IFERROR(VLOOKUP(I745,Materiales!$A:$H,8,0),"")</f>
        <v/>
      </c>
      <c r="K745" s="9">
        <f>IFERROR(VLOOKUP(I745,Materiales!$A:$G,7,0),"")</f>
        <v/>
      </c>
      <c r="L745" s="8" t="inlineStr">
        <is>
          <t>20190426</t>
        </is>
      </c>
      <c r="M745" s="8" t="inlineStr">
        <is>
          <t>20250127</t>
        </is>
      </c>
      <c r="N745" s="10" t="n">
        <v>129</v>
      </c>
      <c r="O745" s="10">
        <f>IFERROR(VLOOKUP(A745,Flete!$A:$J,10,0),"")</f>
        <v/>
      </c>
      <c r="P745" s="8" t="inlineStr">
        <is>
          <t>TN</t>
        </is>
      </c>
      <c r="Q745" s="10">
        <f>IFERROR(IFERROR(VLOOKUP(A745,TRAOPE!$A:$U,21,0),VLOOKUP(B745,TRAOPE!$A:$U,21,0)),"")</f>
        <v/>
      </c>
      <c r="R745" s="8">
        <f>IFERROR(IFERROR(VLOOKUP(A745,TRAOPE!$A:$W,23,0),VLOOKUP(B745,TRAOPE!$A:$W,23,0)),"")</f>
        <v/>
      </c>
      <c r="S745" s="10">
        <f>IF(AND(P745="TN",R745="TN"),N745+N(O745),IF(G745&amp;""="1",N(K745)*N745,(N745+N(O745))*N(K745)))</f>
        <v/>
      </c>
      <c r="T745" s="10">
        <f>IF(Q745="","",Q745-S745)</f>
        <v/>
      </c>
    </row>
    <row r="746">
      <c r="A746" s="7">
        <f>CONCATENATE(C746,E746,F746,I746)</f>
        <v/>
      </c>
      <c r="B746" s="7">
        <f>CONCATENATE(C746,E746,I746)</f>
        <v/>
      </c>
      <c r="C746" s="8" t="n">
        <v>900003588</v>
      </c>
      <c r="D746" s="7">
        <f>IFERROR(VLOOKUP(C746,TRAOPE!$G:$H,2,0),"")</f>
        <v/>
      </c>
      <c r="E746" s="8" t="inlineStr">
        <is>
          <t>D836</t>
        </is>
      </c>
      <c r="F746" s="8" t="inlineStr">
        <is>
          <t>66518013</t>
        </is>
      </c>
      <c r="G746" s="8">
        <f>IFERROR(VLOOKUP(A746,Flete!$A:$E,5,0),"")</f>
        <v/>
      </c>
      <c r="H746" s="7">
        <f>IFERROR(VLOOKUP(F746,TRAOPE!$AA:$AB,2,0),"")</f>
        <v/>
      </c>
      <c r="I746" s="7" t="n">
        <v>10000625</v>
      </c>
      <c r="J746" s="7">
        <f>IFERROR(VLOOKUP(I746,Materiales!$A:$H,8,0),"")</f>
        <v/>
      </c>
      <c r="K746" s="9">
        <f>IFERROR(VLOOKUP(I746,Materiales!$A:$G,7,0),"")</f>
        <v/>
      </c>
      <c r="L746" s="8" t="inlineStr">
        <is>
          <t>20190426</t>
        </is>
      </c>
      <c r="M746" s="8" t="inlineStr">
        <is>
          <t>20250127</t>
        </is>
      </c>
      <c r="N746" s="10" t="n">
        <v>55</v>
      </c>
      <c r="O746" s="10">
        <f>IFERROR(VLOOKUP(A746,Flete!$A:$J,10,0),"")</f>
        <v/>
      </c>
      <c r="P746" s="8" t="inlineStr">
        <is>
          <t>TN</t>
        </is>
      </c>
      <c r="Q746" s="10">
        <f>IFERROR(IFERROR(VLOOKUP(A746,TRAOPE!$A:$U,21,0),VLOOKUP(B746,TRAOPE!$A:$U,21,0)),"")</f>
        <v/>
      </c>
      <c r="R746" s="8">
        <f>IFERROR(IFERROR(VLOOKUP(A746,TRAOPE!$A:$W,23,0),VLOOKUP(B746,TRAOPE!$A:$W,23,0)),"")</f>
        <v/>
      </c>
      <c r="S746" s="10">
        <f>IF(AND(P746="TN",R746="TN"),N746+N(O746),IF(G746&amp;""="1",N(K746)*N746,(N746+N(O746))*N(K746)))</f>
        <v/>
      </c>
      <c r="T746" s="10">
        <f>IF(Q746="","",Q746-S746)</f>
        <v/>
      </c>
    </row>
    <row r="747">
      <c r="A747" s="7">
        <f>CONCATENATE(C747,E747,F747,I747)</f>
        <v/>
      </c>
      <c r="B747" s="7">
        <f>CONCATENATE(C747,E747,I747)</f>
        <v/>
      </c>
      <c r="C747" s="8" t="n">
        <v>900003588</v>
      </c>
      <c r="D747" s="7">
        <f>IFERROR(VLOOKUP(C747,TRAOPE!$G:$H,2,0),"")</f>
        <v/>
      </c>
      <c r="E747" s="8" t="inlineStr">
        <is>
          <t>D836</t>
        </is>
      </c>
      <c r="F747" s="8" t="inlineStr">
        <is>
          <t>66543921</t>
        </is>
      </c>
      <c r="G747" s="8">
        <f>IFERROR(VLOOKUP(A747,Flete!$A:$E,5,0),"")</f>
        <v/>
      </c>
      <c r="H747" s="7">
        <f>IFERROR(VLOOKUP(F747,TRAOPE!$AA:$AB,2,0),"")</f>
        <v/>
      </c>
      <c r="I747" s="7" t="n">
        <v>10000625</v>
      </c>
      <c r="J747" s="7">
        <f>IFERROR(VLOOKUP(I747,Materiales!$A:$H,8,0),"")</f>
        <v/>
      </c>
      <c r="K747" s="9">
        <f>IFERROR(VLOOKUP(I747,Materiales!$A:$G,7,0),"")</f>
        <v/>
      </c>
      <c r="L747" s="8" t="inlineStr">
        <is>
          <t>20190426</t>
        </is>
      </c>
      <c r="M747" s="8" t="inlineStr">
        <is>
          <t>20250127</t>
        </is>
      </c>
      <c r="N747" s="10" t="n">
        <v>55</v>
      </c>
      <c r="O747" s="10">
        <f>IFERROR(VLOOKUP(A747,Flete!$A:$J,10,0),"")</f>
        <v/>
      </c>
      <c r="P747" s="8" t="inlineStr">
        <is>
          <t>TN</t>
        </is>
      </c>
      <c r="Q747" s="10">
        <f>IFERROR(IFERROR(VLOOKUP(A747,TRAOPE!$A:$U,21,0),VLOOKUP(B747,TRAOPE!$A:$U,21,0)),"")</f>
        <v/>
      </c>
      <c r="R747" s="8">
        <f>IFERROR(IFERROR(VLOOKUP(A747,TRAOPE!$A:$W,23,0),VLOOKUP(B747,TRAOPE!$A:$W,23,0)),"")</f>
        <v/>
      </c>
      <c r="S747" s="10">
        <f>IF(AND(P747="TN",R747="TN"),N747+N(O747),IF(G747&amp;""="1",N(K747)*N747,(N747+N(O747))*N(K747)))</f>
        <v/>
      </c>
      <c r="T747" s="10">
        <f>IF(Q747="","",Q747-S747)</f>
        <v/>
      </c>
    </row>
    <row r="748">
      <c r="A748" s="7">
        <f>CONCATENATE(C748,E748,F748,I748)</f>
        <v/>
      </c>
      <c r="B748" s="7">
        <f>CONCATENATE(C748,E748,I748)</f>
        <v/>
      </c>
      <c r="C748" s="8" t="n">
        <v>900003588</v>
      </c>
      <c r="D748" s="7">
        <f>IFERROR(VLOOKUP(C748,TRAOPE!$G:$H,2,0),"")</f>
        <v/>
      </c>
      <c r="E748" s="8" t="inlineStr">
        <is>
          <t>D836</t>
        </is>
      </c>
      <c r="F748" s="8" t="inlineStr">
        <is>
          <t>66543921</t>
        </is>
      </c>
      <c r="G748" s="8">
        <f>IFERROR(VLOOKUP(A748,Flete!$A:$E,5,0),"")</f>
        <v/>
      </c>
      <c r="H748" s="7">
        <f>IFERROR(VLOOKUP(F748,TRAOPE!$AA:$AB,2,0),"")</f>
        <v/>
      </c>
      <c r="I748" s="7" t="n">
        <v>10000627</v>
      </c>
      <c r="J748" s="7">
        <f>IFERROR(VLOOKUP(I748,Materiales!$A:$H,8,0),"")</f>
        <v/>
      </c>
      <c r="K748" s="9">
        <f>IFERROR(VLOOKUP(I748,Materiales!$A:$G,7,0),"")</f>
        <v/>
      </c>
      <c r="L748" s="8" t="inlineStr">
        <is>
          <t>20190426</t>
        </is>
      </c>
      <c r="M748" s="8" t="inlineStr">
        <is>
          <t>20250127</t>
        </is>
      </c>
      <c r="N748" s="10" t="n">
        <v>63</v>
      </c>
      <c r="O748" s="10">
        <f>IFERROR(VLOOKUP(A748,Flete!$A:$J,10,0),"")</f>
        <v/>
      </c>
      <c r="P748" s="8" t="inlineStr">
        <is>
          <t>TN</t>
        </is>
      </c>
      <c r="Q748" s="10">
        <f>IFERROR(IFERROR(VLOOKUP(A748,TRAOPE!$A:$U,21,0),VLOOKUP(B748,TRAOPE!$A:$U,21,0)),"")</f>
        <v/>
      </c>
      <c r="R748" s="8">
        <f>IFERROR(IFERROR(VLOOKUP(A748,TRAOPE!$A:$W,23,0),VLOOKUP(B748,TRAOPE!$A:$W,23,0)),"")</f>
        <v/>
      </c>
      <c r="S748" s="10">
        <f>IF(AND(P748="TN",R748="TN"),N748+N(O748),IF(G748&amp;""="1",N(K748)*N748,(N748+N(O748))*N(K748)))</f>
        <v/>
      </c>
      <c r="T748" s="10">
        <f>IF(Q748="","",Q748-S748)</f>
        <v/>
      </c>
    </row>
    <row r="749">
      <c r="A749" s="7">
        <f>CONCATENATE(C749,E749,F749,I749)</f>
        <v/>
      </c>
      <c r="B749" s="7">
        <f>CONCATENATE(C749,E749,I749)</f>
        <v/>
      </c>
      <c r="C749" s="8" t="n">
        <v>900003588</v>
      </c>
      <c r="D749" s="7">
        <f>IFERROR(VLOOKUP(C749,TRAOPE!$G:$H,2,0),"")</f>
        <v/>
      </c>
      <c r="E749" s="8" t="inlineStr">
        <is>
          <t>D836</t>
        </is>
      </c>
      <c r="F749" s="8" t="inlineStr">
        <is>
          <t>66543921</t>
        </is>
      </c>
      <c r="G749" s="8">
        <f>IFERROR(VLOOKUP(A749,Flete!$A:$E,5,0),"")</f>
        <v/>
      </c>
      <c r="H749" s="7">
        <f>IFERROR(VLOOKUP(F749,TRAOPE!$AA:$AB,2,0),"")</f>
        <v/>
      </c>
      <c r="I749" s="7" t="n">
        <v>10001354</v>
      </c>
      <c r="J749" s="7">
        <f>IFERROR(VLOOKUP(I749,Materiales!$A:$H,8,0),"")</f>
        <v/>
      </c>
      <c r="K749" s="9">
        <f>IFERROR(VLOOKUP(I749,Materiales!$A:$G,7,0),"")</f>
        <v/>
      </c>
      <c r="L749" s="8" t="inlineStr">
        <is>
          <t>20190426</t>
        </is>
      </c>
      <c r="M749" s="8" t="inlineStr">
        <is>
          <t>20250127</t>
        </is>
      </c>
      <c r="N749" s="10" t="n">
        <v>130</v>
      </c>
      <c r="O749" s="10">
        <f>IFERROR(VLOOKUP(A749,Flete!$A:$J,10,0),"")</f>
        <v/>
      </c>
      <c r="P749" s="8" t="inlineStr">
        <is>
          <t>TN</t>
        </is>
      </c>
      <c r="Q749" s="10">
        <f>IFERROR(IFERROR(VLOOKUP(A749,TRAOPE!$A:$U,21,0),VLOOKUP(B749,TRAOPE!$A:$U,21,0)),"")</f>
        <v/>
      </c>
      <c r="R749" s="8">
        <f>IFERROR(IFERROR(VLOOKUP(A749,TRAOPE!$A:$W,23,0),VLOOKUP(B749,TRAOPE!$A:$W,23,0)),"")</f>
        <v/>
      </c>
      <c r="S749" s="10">
        <f>IF(AND(P749="TN",R749="TN"),N749+N(O749),IF(G749&amp;""="1",N(K749)*N749,(N749+N(O749))*N(K749)))</f>
        <v/>
      </c>
      <c r="T749" s="10">
        <f>IF(Q749="","",Q749-S749)</f>
        <v/>
      </c>
    </row>
    <row r="750">
      <c r="A750" s="7">
        <f>CONCATENATE(C750,E750,F750,I750)</f>
        <v/>
      </c>
      <c r="B750" s="7">
        <f>CONCATENATE(C750,E750,I750)</f>
        <v/>
      </c>
      <c r="C750" s="8" t="n">
        <v>900003588</v>
      </c>
      <c r="D750" s="7">
        <f>IFERROR(VLOOKUP(C750,TRAOPE!$G:$H,2,0),"")</f>
        <v/>
      </c>
      <c r="E750" s="8" t="inlineStr">
        <is>
          <t>D836</t>
        </is>
      </c>
      <c r="F750" s="8" t="inlineStr">
        <is>
          <t>66552322</t>
        </is>
      </c>
      <c r="G750" s="8">
        <f>IFERROR(VLOOKUP(A750,Flete!$A:$E,5,0),"")</f>
        <v/>
      </c>
      <c r="H750" s="7">
        <f>IFERROR(VLOOKUP(F750,TRAOPE!$AA:$AB,2,0),"")</f>
        <v/>
      </c>
      <c r="I750" s="7" t="n">
        <v>10000625</v>
      </c>
      <c r="J750" s="7">
        <f>IFERROR(VLOOKUP(I750,Materiales!$A:$H,8,0),"")</f>
        <v/>
      </c>
      <c r="K750" s="9">
        <f>IFERROR(VLOOKUP(I750,Materiales!$A:$G,7,0),"")</f>
        <v/>
      </c>
      <c r="L750" s="8" t="inlineStr">
        <is>
          <t>20190426</t>
        </is>
      </c>
      <c r="M750" s="8" t="inlineStr">
        <is>
          <t>20250127</t>
        </is>
      </c>
      <c r="N750" s="10" t="n">
        <v>55</v>
      </c>
      <c r="O750" s="10">
        <f>IFERROR(VLOOKUP(A750,Flete!$A:$J,10,0),"")</f>
        <v/>
      </c>
      <c r="P750" s="8" t="inlineStr">
        <is>
          <t>TN</t>
        </is>
      </c>
      <c r="Q750" s="10">
        <f>IFERROR(IFERROR(VLOOKUP(A750,TRAOPE!$A:$U,21,0),VLOOKUP(B750,TRAOPE!$A:$U,21,0)),"")</f>
        <v/>
      </c>
      <c r="R750" s="8">
        <f>IFERROR(IFERROR(VLOOKUP(A750,TRAOPE!$A:$W,23,0),VLOOKUP(B750,TRAOPE!$A:$W,23,0)),"")</f>
        <v/>
      </c>
      <c r="S750" s="10">
        <f>IF(AND(P750="TN",R750="TN"),N750+N(O750),IF(G750&amp;""="1",N(K750)*N750,(N750+N(O750))*N(K750)))</f>
        <v/>
      </c>
      <c r="T750" s="10">
        <f>IF(Q750="","",Q750-S750)</f>
        <v/>
      </c>
    </row>
    <row r="751">
      <c r="A751" s="7">
        <f>CONCATENATE(C751,E751,F751,I751)</f>
        <v/>
      </c>
      <c r="B751" s="7">
        <f>CONCATENATE(C751,E751,I751)</f>
        <v/>
      </c>
      <c r="C751" s="8" t="n">
        <v>900003588</v>
      </c>
      <c r="D751" s="7">
        <f>IFERROR(VLOOKUP(C751,TRAOPE!$G:$H,2,0),"")</f>
        <v/>
      </c>
      <c r="E751" s="8" t="inlineStr">
        <is>
          <t>D836</t>
        </is>
      </c>
      <c r="F751" s="8" t="inlineStr">
        <is>
          <t>66552322</t>
        </is>
      </c>
      <c r="G751" s="8">
        <f>IFERROR(VLOOKUP(A751,Flete!$A:$E,5,0),"")</f>
        <v/>
      </c>
      <c r="H751" s="7">
        <f>IFERROR(VLOOKUP(F751,TRAOPE!$AA:$AB,2,0),"")</f>
        <v/>
      </c>
      <c r="I751" s="7" t="n">
        <v>10000627</v>
      </c>
      <c r="J751" s="7">
        <f>IFERROR(VLOOKUP(I751,Materiales!$A:$H,8,0),"")</f>
        <v/>
      </c>
      <c r="K751" s="9">
        <f>IFERROR(VLOOKUP(I751,Materiales!$A:$G,7,0),"")</f>
        <v/>
      </c>
      <c r="L751" s="8" t="inlineStr">
        <is>
          <t>20190426</t>
        </is>
      </c>
      <c r="M751" s="8" t="inlineStr">
        <is>
          <t>20250127</t>
        </is>
      </c>
      <c r="N751" s="10" t="n">
        <v>61</v>
      </c>
      <c r="O751" s="10">
        <f>IFERROR(VLOOKUP(A751,Flete!$A:$J,10,0),"")</f>
        <v/>
      </c>
      <c r="P751" s="8" t="inlineStr">
        <is>
          <t>TN</t>
        </is>
      </c>
      <c r="Q751" s="10">
        <f>IFERROR(IFERROR(VLOOKUP(A751,TRAOPE!$A:$U,21,0),VLOOKUP(B751,TRAOPE!$A:$U,21,0)),"")</f>
        <v/>
      </c>
      <c r="R751" s="8">
        <f>IFERROR(IFERROR(VLOOKUP(A751,TRAOPE!$A:$W,23,0),VLOOKUP(B751,TRAOPE!$A:$W,23,0)),"")</f>
        <v/>
      </c>
      <c r="S751" s="10">
        <f>IF(AND(P751="TN",R751="TN"),N751+N(O751),IF(G751&amp;""="1",N(K751)*N751,(N751+N(O751))*N(K751)))</f>
        <v/>
      </c>
      <c r="T751" s="10">
        <f>IF(Q751="","",Q751-S751)</f>
        <v/>
      </c>
    </row>
    <row r="752">
      <c r="A752" s="7">
        <f>CONCATENATE(C752,E752,F752,I752)</f>
        <v/>
      </c>
      <c r="B752" s="7">
        <f>CONCATENATE(C752,E752,I752)</f>
        <v/>
      </c>
      <c r="C752" s="8" t="n">
        <v>900003588</v>
      </c>
      <c r="D752" s="7">
        <f>IFERROR(VLOOKUP(C752,TRAOPE!$G:$H,2,0),"")</f>
        <v/>
      </c>
      <c r="E752" s="8" t="inlineStr">
        <is>
          <t>D836</t>
        </is>
      </c>
      <c r="F752" s="8" t="inlineStr">
        <is>
          <t>66552322</t>
        </is>
      </c>
      <c r="G752" s="8">
        <f>IFERROR(VLOOKUP(A752,Flete!$A:$E,5,0),"")</f>
        <v/>
      </c>
      <c r="H752" s="7">
        <f>IFERROR(VLOOKUP(F752,TRAOPE!$AA:$AB,2,0),"")</f>
        <v/>
      </c>
      <c r="I752" s="7" t="n">
        <v>10001354</v>
      </c>
      <c r="J752" s="7">
        <f>IFERROR(VLOOKUP(I752,Materiales!$A:$H,8,0),"")</f>
        <v/>
      </c>
      <c r="K752" s="9">
        <f>IFERROR(VLOOKUP(I752,Materiales!$A:$G,7,0),"")</f>
        <v/>
      </c>
      <c r="L752" s="8" t="inlineStr">
        <is>
          <t>20190426</t>
        </is>
      </c>
      <c r="M752" s="8" t="inlineStr">
        <is>
          <t>20250127</t>
        </is>
      </c>
      <c r="N752" s="10" t="n">
        <v>130</v>
      </c>
      <c r="O752" s="10">
        <f>IFERROR(VLOOKUP(A752,Flete!$A:$J,10,0),"")</f>
        <v/>
      </c>
      <c r="P752" s="8" t="inlineStr">
        <is>
          <t>TN</t>
        </is>
      </c>
      <c r="Q752" s="10">
        <f>IFERROR(IFERROR(VLOOKUP(A752,TRAOPE!$A:$U,21,0),VLOOKUP(B752,TRAOPE!$A:$U,21,0)),"")</f>
        <v/>
      </c>
      <c r="R752" s="8">
        <f>IFERROR(IFERROR(VLOOKUP(A752,TRAOPE!$A:$W,23,0),VLOOKUP(B752,TRAOPE!$A:$W,23,0)),"")</f>
        <v/>
      </c>
      <c r="S752" s="10">
        <f>IF(AND(P752="TN",R752="TN"),N752+N(O752),IF(G752&amp;""="1",N(K752)*N752,(N752+N(O752))*N(K752)))</f>
        <v/>
      </c>
      <c r="T752" s="10">
        <f>IF(Q752="","",Q752-S752)</f>
        <v/>
      </c>
    </row>
    <row r="753">
      <c r="A753" s="7">
        <f>CONCATENATE(C753,E753,F753,I753)</f>
        <v/>
      </c>
      <c r="B753" s="7">
        <f>CONCATENATE(C753,E753,I753)</f>
        <v/>
      </c>
      <c r="C753" s="8" t="n">
        <v>900003588</v>
      </c>
      <c r="D753" s="7">
        <f>IFERROR(VLOOKUP(C753,TRAOPE!$G:$H,2,0),"")</f>
        <v/>
      </c>
      <c r="E753" s="8" t="inlineStr">
        <is>
          <t>D836</t>
        </is>
      </c>
      <c r="F753" s="8" t="inlineStr">
        <is>
          <t>66565867</t>
        </is>
      </c>
      <c r="G753" s="8">
        <f>IFERROR(VLOOKUP(A753,Flete!$A:$E,5,0),"")</f>
        <v/>
      </c>
      <c r="H753" s="7">
        <f>IFERROR(VLOOKUP(F753,TRAOPE!$AA:$AB,2,0),"")</f>
        <v/>
      </c>
      <c r="I753" s="7" t="n">
        <v>10000625</v>
      </c>
      <c r="J753" s="7">
        <f>IFERROR(VLOOKUP(I753,Materiales!$A:$H,8,0),"")</f>
        <v/>
      </c>
      <c r="K753" s="9">
        <f>IFERROR(VLOOKUP(I753,Materiales!$A:$G,7,0),"")</f>
        <v/>
      </c>
      <c r="L753" s="8" t="inlineStr">
        <is>
          <t>20190426</t>
        </is>
      </c>
      <c r="M753" s="8" t="inlineStr">
        <is>
          <t>20250127</t>
        </is>
      </c>
      <c r="N753" s="10" t="n">
        <v>57.41</v>
      </c>
      <c r="O753" s="10">
        <f>IFERROR(VLOOKUP(A753,Flete!$A:$J,10,0),"")</f>
        <v/>
      </c>
      <c r="P753" s="8" t="inlineStr">
        <is>
          <t>TN</t>
        </is>
      </c>
      <c r="Q753" s="10">
        <f>IFERROR(IFERROR(VLOOKUP(A753,TRAOPE!$A:$U,21,0),VLOOKUP(B753,TRAOPE!$A:$U,21,0)),"")</f>
        <v/>
      </c>
      <c r="R753" s="8">
        <f>IFERROR(IFERROR(VLOOKUP(A753,TRAOPE!$A:$W,23,0),VLOOKUP(B753,TRAOPE!$A:$W,23,0)),"")</f>
        <v/>
      </c>
      <c r="S753" s="10">
        <f>IF(AND(P753="TN",R753="TN"),N753+N(O753),IF(G753&amp;""="1",N(K753)*N753,(N753+N(O753))*N(K753)))</f>
        <v/>
      </c>
      <c r="T753" s="10">
        <f>IF(Q753="","",Q753-S753)</f>
        <v/>
      </c>
    </row>
    <row r="754">
      <c r="A754" s="7">
        <f>CONCATENATE(C754,E754,F754,I754)</f>
        <v/>
      </c>
      <c r="B754" s="7">
        <f>CONCATENATE(C754,E754,I754)</f>
        <v/>
      </c>
      <c r="C754" s="8" t="n">
        <v>900003588</v>
      </c>
      <c r="D754" s="7">
        <f>IFERROR(VLOOKUP(C754,TRAOPE!$G:$H,2,0),"")</f>
        <v/>
      </c>
      <c r="E754" s="8" t="inlineStr">
        <is>
          <t>D836</t>
        </is>
      </c>
      <c r="F754" s="8" t="inlineStr">
        <is>
          <t>66565867</t>
        </is>
      </c>
      <c r="G754" s="8">
        <f>IFERROR(VLOOKUP(A754,Flete!$A:$E,5,0),"")</f>
        <v/>
      </c>
      <c r="H754" s="7">
        <f>IFERROR(VLOOKUP(F754,TRAOPE!$AA:$AB,2,0),"")</f>
        <v/>
      </c>
      <c r="I754" s="7" t="n">
        <v>10001354</v>
      </c>
      <c r="J754" s="7">
        <f>IFERROR(VLOOKUP(I754,Materiales!$A:$H,8,0),"")</f>
        <v/>
      </c>
      <c r="K754" s="9">
        <f>IFERROR(VLOOKUP(I754,Materiales!$A:$G,7,0),"")</f>
        <v/>
      </c>
      <c r="L754" s="8" t="inlineStr">
        <is>
          <t>20190426</t>
        </is>
      </c>
      <c r="M754" s="8" t="inlineStr">
        <is>
          <t>20250127</t>
        </is>
      </c>
      <c r="N754" s="10" t="n">
        <v>132.52</v>
      </c>
      <c r="O754" s="10">
        <f>IFERROR(VLOOKUP(A754,Flete!$A:$J,10,0),"")</f>
        <v/>
      </c>
      <c r="P754" s="8" t="inlineStr">
        <is>
          <t>TN</t>
        </is>
      </c>
      <c r="Q754" s="10">
        <f>IFERROR(IFERROR(VLOOKUP(A754,TRAOPE!$A:$U,21,0),VLOOKUP(B754,TRAOPE!$A:$U,21,0)),"")</f>
        <v/>
      </c>
      <c r="R754" s="8">
        <f>IFERROR(IFERROR(VLOOKUP(A754,TRAOPE!$A:$W,23,0),VLOOKUP(B754,TRAOPE!$A:$W,23,0)),"")</f>
        <v/>
      </c>
      <c r="S754" s="10">
        <f>IF(AND(P754="TN",R754="TN"),N754+N(O754),IF(G754&amp;""="1",N(K754)*N754,(N754+N(O754))*N(K754)))</f>
        <v/>
      </c>
      <c r="T754" s="10">
        <f>IF(Q754="","",Q754-S754)</f>
        <v/>
      </c>
    </row>
    <row r="755">
      <c r="A755" s="7">
        <f>CONCATENATE(C755,E755,F755,I755)</f>
        <v/>
      </c>
      <c r="B755" s="7">
        <f>CONCATENATE(C755,E755,I755)</f>
        <v/>
      </c>
      <c r="C755" s="8" t="n">
        <v>900003588</v>
      </c>
      <c r="D755" s="7">
        <f>IFERROR(VLOOKUP(C755,TRAOPE!$G:$H,2,0),"")</f>
        <v/>
      </c>
      <c r="E755" s="8" t="inlineStr">
        <is>
          <t>D836</t>
        </is>
      </c>
      <c r="F755" s="8" t="inlineStr">
        <is>
          <t>66580730</t>
        </is>
      </c>
      <c r="G755" s="8">
        <f>IFERROR(VLOOKUP(A755,Flete!$A:$E,5,0),"")</f>
        <v/>
      </c>
      <c r="H755" s="7">
        <f>IFERROR(VLOOKUP(F755,TRAOPE!$AA:$AB,2,0),"")</f>
        <v/>
      </c>
      <c r="I755" s="7" t="n">
        <v>10000625</v>
      </c>
      <c r="J755" s="7">
        <f>IFERROR(VLOOKUP(I755,Materiales!$A:$H,8,0),"")</f>
        <v/>
      </c>
      <c r="K755" s="9">
        <f>IFERROR(VLOOKUP(I755,Materiales!$A:$G,7,0),"")</f>
        <v/>
      </c>
      <c r="L755" s="8" t="inlineStr">
        <is>
          <t>20190426</t>
        </is>
      </c>
      <c r="M755" s="8" t="inlineStr">
        <is>
          <t>20250127</t>
        </is>
      </c>
      <c r="N755" s="10" t="n">
        <v>87</v>
      </c>
      <c r="O755" s="10">
        <f>IFERROR(VLOOKUP(A755,Flete!$A:$J,10,0),"")</f>
        <v/>
      </c>
      <c r="P755" s="8" t="inlineStr">
        <is>
          <t>TN</t>
        </is>
      </c>
      <c r="Q755" s="10">
        <f>IFERROR(IFERROR(VLOOKUP(A755,TRAOPE!$A:$U,21,0),VLOOKUP(B755,TRAOPE!$A:$U,21,0)),"")</f>
        <v/>
      </c>
      <c r="R755" s="8">
        <f>IFERROR(IFERROR(VLOOKUP(A755,TRAOPE!$A:$W,23,0),VLOOKUP(B755,TRAOPE!$A:$W,23,0)),"")</f>
        <v/>
      </c>
      <c r="S755" s="10">
        <f>IF(AND(P755="TN",R755="TN"),N755+N(O755),IF(G755&amp;""="1",N(K755)*N755,(N755+N(O755))*N(K755)))</f>
        <v/>
      </c>
      <c r="T755" s="10">
        <f>IF(Q755="","",Q755-S755)</f>
        <v/>
      </c>
    </row>
    <row r="756">
      <c r="A756" s="7">
        <f>CONCATENATE(C756,E756,F756,I756)</f>
        <v/>
      </c>
      <c r="B756" s="7">
        <f>CONCATENATE(C756,E756,I756)</f>
        <v/>
      </c>
      <c r="C756" s="8" t="n">
        <v>900003588</v>
      </c>
      <c r="D756" s="7">
        <f>IFERROR(VLOOKUP(C756,TRAOPE!$G:$H,2,0),"")</f>
        <v/>
      </c>
      <c r="E756" s="8" t="inlineStr">
        <is>
          <t>D836</t>
        </is>
      </c>
      <c r="F756" s="8" t="inlineStr">
        <is>
          <t>66582580</t>
        </is>
      </c>
      <c r="G756" s="8">
        <f>IFERROR(VLOOKUP(A756,Flete!$A:$E,5,0),"")</f>
        <v/>
      </c>
      <c r="H756" s="7">
        <f>IFERROR(VLOOKUP(F756,TRAOPE!$AA:$AB,2,0),"")</f>
        <v/>
      </c>
      <c r="I756" s="7" t="n">
        <v>10001354</v>
      </c>
      <c r="J756" s="7">
        <f>IFERROR(VLOOKUP(I756,Materiales!$A:$H,8,0),"")</f>
        <v/>
      </c>
      <c r="K756" s="9">
        <f>IFERROR(VLOOKUP(I756,Materiales!$A:$G,7,0),"")</f>
        <v/>
      </c>
      <c r="L756" s="8" t="inlineStr">
        <is>
          <t>20190426</t>
        </is>
      </c>
      <c r="M756" s="8" t="inlineStr">
        <is>
          <t>20250127</t>
        </is>
      </c>
      <c r="N756" s="10" t="n">
        <v>132.52</v>
      </c>
      <c r="O756" s="10">
        <f>IFERROR(VLOOKUP(A756,Flete!$A:$J,10,0),"")</f>
        <v/>
      </c>
      <c r="P756" s="8" t="inlineStr">
        <is>
          <t>TN</t>
        </is>
      </c>
      <c r="Q756" s="10">
        <f>IFERROR(IFERROR(VLOOKUP(A756,TRAOPE!$A:$U,21,0),VLOOKUP(B756,TRAOPE!$A:$U,21,0)),"")</f>
        <v/>
      </c>
      <c r="R756" s="8">
        <f>IFERROR(IFERROR(VLOOKUP(A756,TRAOPE!$A:$W,23,0),VLOOKUP(B756,TRAOPE!$A:$W,23,0)),"")</f>
        <v/>
      </c>
      <c r="S756" s="10">
        <f>IF(AND(P756="TN",R756="TN"),N756+N(O756),IF(G756&amp;""="1",N(K756)*N756,(N756+N(O756))*N(K756)))</f>
        <v/>
      </c>
      <c r="T756" s="10">
        <f>IF(Q756="","",Q756-S756)</f>
        <v/>
      </c>
    </row>
    <row r="757">
      <c r="A757" s="7">
        <f>CONCATENATE(C757,E757,F757,I757)</f>
        <v/>
      </c>
      <c r="B757" s="7">
        <f>CONCATENATE(C757,E757,I757)</f>
        <v/>
      </c>
      <c r="C757" s="8" t="n">
        <v>900003588</v>
      </c>
      <c r="D757" s="7">
        <f>IFERROR(VLOOKUP(C757,TRAOPE!$G:$H,2,0),"")</f>
        <v/>
      </c>
      <c r="E757" s="8" t="inlineStr">
        <is>
          <t>D836</t>
        </is>
      </c>
      <c r="F757" s="8" t="inlineStr">
        <is>
          <t>66624554</t>
        </is>
      </c>
      <c r="G757" s="8">
        <f>IFERROR(VLOOKUP(A757,Flete!$A:$E,5,0),"")</f>
        <v/>
      </c>
      <c r="H757" s="7">
        <f>IFERROR(VLOOKUP(F757,TRAOPE!$AA:$AB,2,0),"")</f>
        <v/>
      </c>
      <c r="I757" s="7" t="n">
        <v>10000357</v>
      </c>
      <c r="J757" s="7">
        <f>IFERROR(VLOOKUP(I757,Materiales!$A:$H,8,0),"")</f>
        <v/>
      </c>
      <c r="K757" s="9">
        <f>IFERROR(VLOOKUP(I757,Materiales!$A:$G,7,0),"")</f>
        <v/>
      </c>
      <c r="L757" s="8" t="inlineStr">
        <is>
          <t>20190426</t>
        </is>
      </c>
      <c r="M757" s="8" t="inlineStr">
        <is>
          <t>20250127</t>
        </is>
      </c>
      <c r="N757" s="10" t="n">
        <v>129</v>
      </c>
      <c r="O757" s="10">
        <f>IFERROR(VLOOKUP(A757,Flete!$A:$J,10,0),"")</f>
        <v/>
      </c>
      <c r="P757" s="8" t="inlineStr">
        <is>
          <t>TN</t>
        </is>
      </c>
      <c r="Q757" s="10">
        <f>IFERROR(IFERROR(VLOOKUP(A757,TRAOPE!$A:$U,21,0),VLOOKUP(B757,TRAOPE!$A:$U,21,0)),"")</f>
        <v/>
      </c>
      <c r="R757" s="8">
        <f>IFERROR(IFERROR(VLOOKUP(A757,TRAOPE!$A:$W,23,0),VLOOKUP(B757,TRAOPE!$A:$W,23,0)),"")</f>
        <v/>
      </c>
      <c r="S757" s="10">
        <f>IF(AND(P757="TN",R757="TN"),N757+N(O757),IF(G757&amp;""="1",N(K757)*N757,(N757+N(O757))*N(K757)))</f>
        <v/>
      </c>
      <c r="T757" s="10">
        <f>IF(Q757="","",Q757-S757)</f>
        <v/>
      </c>
    </row>
    <row r="758">
      <c r="A758" s="7">
        <f>CONCATENATE(C758,E758,F758,I758)</f>
        <v/>
      </c>
      <c r="B758" s="7">
        <f>CONCATENATE(C758,E758,I758)</f>
        <v/>
      </c>
      <c r="C758" s="8" t="n">
        <v>900003588</v>
      </c>
      <c r="D758" s="7">
        <f>IFERROR(VLOOKUP(C758,TRAOPE!$G:$H,2,0),"")</f>
        <v/>
      </c>
      <c r="E758" s="8" t="inlineStr">
        <is>
          <t>D836</t>
        </is>
      </c>
      <c r="F758" s="8" t="inlineStr">
        <is>
          <t>66641156</t>
        </is>
      </c>
      <c r="G758" s="8">
        <f>IFERROR(VLOOKUP(A758,Flete!$A:$E,5,0),"")</f>
        <v/>
      </c>
      <c r="H758" s="7">
        <f>IFERROR(VLOOKUP(F758,TRAOPE!$AA:$AB,2,0),"")</f>
        <v/>
      </c>
      <c r="I758" s="7" t="n">
        <v>10000625</v>
      </c>
      <c r="J758" s="7">
        <f>IFERROR(VLOOKUP(I758,Materiales!$A:$H,8,0),"")</f>
        <v/>
      </c>
      <c r="K758" s="9">
        <f>IFERROR(VLOOKUP(I758,Materiales!$A:$G,7,0),"")</f>
        <v/>
      </c>
      <c r="L758" s="8" t="inlineStr">
        <is>
          <t>20190426</t>
        </is>
      </c>
      <c r="M758" s="8" t="inlineStr">
        <is>
          <t>20250127</t>
        </is>
      </c>
      <c r="N758" s="10" t="n">
        <v>49.6</v>
      </c>
      <c r="O758" s="10">
        <f>IFERROR(VLOOKUP(A758,Flete!$A:$J,10,0),"")</f>
        <v/>
      </c>
      <c r="P758" s="8" t="inlineStr">
        <is>
          <t>TN</t>
        </is>
      </c>
      <c r="Q758" s="10">
        <f>IFERROR(IFERROR(VLOOKUP(A758,TRAOPE!$A:$U,21,0),VLOOKUP(B758,TRAOPE!$A:$U,21,0)),"")</f>
        <v/>
      </c>
      <c r="R758" s="8">
        <f>IFERROR(IFERROR(VLOOKUP(A758,TRAOPE!$A:$W,23,0),VLOOKUP(B758,TRAOPE!$A:$W,23,0)),"")</f>
        <v/>
      </c>
      <c r="S758" s="10">
        <f>IF(AND(P758="TN",R758="TN"),N758+N(O758),IF(G758&amp;""="1",N(K758)*N758,(N758+N(O758))*N(K758)))</f>
        <v/>
      </c>
      <c r="T758" s="10">
        <f>IF(Q758="","",Q758-S758)</f>
        <v/>
      </c>
    </row>
    <row r="759">
      <c r="A759" s="7">
        <f>CONCATENATE(C759,E759,F759,I759)</f>
        <v/>
      </c>
      <c r="B759" s="7">
        <f>CONCATENATE(C759,E759,I759)</f>
        <v/>
      </c>
      <c r="C759" s="8" t="n">
        <v>900003588</v>
      </c>
      <c r="D759" s="7">
        <f>IFERROR(VLOOKUP(C759,TRAOPE!$G:$H,2,0),"")</f>
        <v/>
      </c>
      <c r="E759" s="8" t="inlineStr">
        <is>
          <t>D836</t>
        </is>
      </c>
      <c r="F759" s="8" t="inlineStr">
        <is>
          <t>66641156</t>
        </is>
      </c>
      <c r="G759" s="8">
        <f>IFERROR(VLOOKUP(A759,Flete!$A:$E,5,0),"")</f>
        <v/>
      </c>
      <c r="H759" s="7">
        <f>IFERROR(VLOOKUP(F759,TRAOPE!$AA:$AB,2,0),"")</f>
        <v/>
      </c>
      <c r="I759" s="7" t="n">
        <v>10001354</v>
      </c>
      <c r="J759" s="7">
        <f>IFERROR(VLOOKUP(I759,Materiales!$A:$H,8,0),"")</f>
        <v/>
      </c>
      <c r="K759" s="9">
        <f>IFERROR(VLOOKUP(I759,Materiales!$A:$G,7,0),"")</f>
        <v/>
      </c>
      <c r="L759" s="8" t="inlineStr">
        <is>
          <t>20190426</t>
        </is>
      </c>
      <c r="M759" s="8" t="inlineStr">
        <is>
          <t>20250127</t>
        </is>
      </c>
      <c r="N759" s="10" t="n">
        <v>129.23</v>
      </c>
      <c r="O759" s="10">
        <f>IFERROR(VLOOKUP(A759,Flete!$A:$J,10,0),"")</f>
        <v/>
      </c>
      <c r="P759" s="8" t="inlineStr">
        <is>
          <t>TN</t>
        </is>
      </c>
      <c r="Q759" s="10">
        <f>IFERROR(IFERROR(VLOOKUP(A759,TRAOPE!$A:$U,21,0),VLOOKUP(B759,TRAOPE!$A:$U,21,0)),"")</f>
        <v/>
      </c>
      <c r="R759" s="8">
        <f>IFERROR(IFERROR(VLOOKUP(A759,TRAOPE!$A:$W,23,0),VLOOKUP(B759,TRAOPE!$A:$W,23,0)),"")</f>
        <v/>
      </c>
      <c r="S759" s="10">
        <f>IF(AND(P759="TN",R759="TN"),N759+N(O759),IF(G759&amp;""="1",N(K759)*N759,(N759+N(O759))*N(K759)))</f>
        <v/>
      </c>
      <c r="T759" s="10">
        <f>IF(Q759="","",Q759-S759)</f>
        <v/>
      </c>
    </row>
    <row r="760">
      <c r="A760" s="7">
        <f>CONCATENATE(C760,E760,F760,I760)</f>
        <v/>
      </c>
      <c r="B760" s="7">
        <f>CONCATENATE(C760,E760,I760)</f>
        <v/>
      </c>
      <c r="C760" s="8" t="n">
        <v>900003588</v>
      </c>
      <c r="D760" s="7">
        <f>IFERROR(VLOOKUP(C760,TRAOPE!$G:$H,2,0),"")</f>
        <v/>
      </c>
      <c r="E760" s="8" t="inlineStr">
        <is>
          <t>D836</t>
        </is>
      </c>
      <c r="F760" s="8" t="inlineStr">
        <is>
          <t>66825797</t>
        </is>
      </c>
      <c r="G760" s="8">
        <f>IFERROR(VLOOKUP(A760,Flete!$A:$E,5,0),"")</f>
        <v/>
      </c>
      <c r="H760" s="7">
        <f>IFERROR(VLOOKUP(F760,TRAOPE!$AA:$AB,2,0),"")</f>
        <v/>
      </c>
      <c r="I760" s="7" t="n">
        <v>10000357</v>
      </c>
      <c r="J760" s="7">
        <f>IFERROR(VLOOKUP(I760,Materiales!$A:$H,8,0),"")</f>
        <v/>
      </c>
      <c r="K760" s="9">
        <f>IFERROR(VLOOKUP(I760,Materiales!$A:$G,7,0),"")</f>
        <v/>
      </c>
      <c r="L760" s="8" t="inlineStr">
        <is>
          <t>20190426</t>
        </is>
      </c>
      <c r="M760" s="8" t="inlineStr">
        <is>
          <t>20250127</t>
        </is>
      </c>
      <c r="N760" s="10" t="n">
        <v>90</v>
      </c>
      <c r="O760" s="10">
        <f>IFERROR(VLOOKUP(A760,Flete!$A:$J,10,0),"")</f>
        <v/>
      </c>
      <c r="P760" s="8" t="inlineStr">
        <is>
          <t>TN</t>
        </is>
      </c>
      <c r="Q760" s="10">
        <f>IFERROR(IFERROR(VLOOKUP(A760,TRAOPE!$A:$U,21,0),VLOOKUP(B760,TRAOPE!$A:$U,21,0)),"")</f>
        <v/>
      </c>
      <c r="R760" s="8">
        <f>IFERROR(IFERROR(VLOOKUP(A760,TRAOPE!$A:$W,23,0),VLOOKUP(B760,TRAOPE!$A:$W,23,0)),"")</f>
        <v/>
      </c>
      <c r="S760" s="10">
        <f>IF(AND(P760="TN",R760="TN"),N760+N(O760),IF(G760&amp;""="1",N(K760)*N760,(N760+N(O760))*N(K760)))</f>
        <v/>
      </c>
      <c r="T760" s="10">
        <f>IF(Q760="","",Q760-S760)</f>
        <v/>
      </c>
    </row>
    <row r="761">
      <c r="A761" s="7">
        <f>CONCATENATE(C761,E761,F761,I761)</f>
        <v/>
      </c>
      <c r="B761" s="7">
        <f>CONCATENATE(C761,E761,I761)</f>
        <v/>
      </c>
      <c r="C761" s="8" t="n">
        <v>900003588</v>
      </c>
      <c r="D761" s="7">
        <f>IFERROR(VLOOKUP(C761,TRAOPE!$G:$H,2,0),"")</f>
        <v/>
      </c>
      <c r="E761" s="8" t="inlineStr">
        <is>
          <t>D836</t>
        </is>
      </c>
      <c r="F761" s="8" t="inlineStr">
        <is>
          <t>66825797</t>
        </is>
      </c>
      <c r="G761" s="8">
        <f>IFERROR(VLOOKUP(A761,Flete!$A:$E,5,0),"")</f>
        <v/>
      </c>
      <c r="H761" s="7">
        <f>IFERROR(VLOOKUP(F761,TRAOPE!$AA:$AB,2,0),"")</f>
        <v/>
      </c>
      <c r="I761" s="7" t="n">
        <v>10000625</v>
      </c>
      <c r="J761" s="7">
        <f>IFERROR(VLOOKUP(I761,Materiales!$A:$H,8,0),"")</f>
        <v/>
      </c>
      <c r="K761" s="9">
        <f>IFERROR(VLOOKUP(I761,Materiales!$A:$G,7,0),"")</f>
        <v/>
      </c>
      <c r="L761" s="8" t="inlineStr">
        <is>
          <t>20190426</t>
        </is>
      </c>
      <c r="M761" s="8" t="inlineStr">
        <is>
          <t>20250127</t>
        </is>
      </c>
      <c r="N761" s="10" t="n">
        <v>55</v>
      </c>
      <c r="O761" s="10">
        <f>IFERROR(VLOOKUP(A761,Flete!$A:$J,10,0),"")</f>
        <v/>
      </c>
      <c r="P761" s="8" t="inlineStr">
        <is>
          <t>TN</t>
        </is>
      </c>
      <c r="Q761" s="10">
        <f>IFERROR(IFERROR(VLOOKUP(A761,TRAOPE!$A:$U,21,0),VLOOKUP(B761,TRAOPE!$A:$U,21,0)),"")</f>
        <v/>
      </c>
      <c r="R761" s="8">
        <f>IFERROR(IFERROR(VLOOKUP(A761,TRAOPE!$A:$W,23,0),VLOOKUP(B761,TRAOPE!$A:$W,23,0)),"")</f>
        <v/>
      </c>
      <c r="S761" s="10">
        <f>IF(AND(P761="TN",R761="TN"),N761+N(O761),IF(G761&amp;""="1",N(K761)*N761,(N761+N(O761))*N(K761)))</f>
        <v/>
      </c>
      <c r="T761" s="10">
        <f>IF(Q761="","",Q761-S761)</f>
        <v/>
      </c>
    </row>
    <row r="762">
      <c r="A762" s="7">
        <f>CONCATENATE(C762,E762,F762,I762)</f>
        <v/>
      </c>
      <c r="B762" s="7">
        <f>CONCATENATE(C762,E762,I762)</f>
        <v/>
      </c>
      <c r="C762" s="8" t="n">
        <v>900003588</v>
      </c>
      <c r="D762" s="7">
        <f>IFERROR(VLOOKUP(C762,TRAOPE!$G:$H,2,0),"")</f>
        <v/>
      </c>
      <c r="E762" s="8" t="inlineStr">
        <is>
          <t>D836</t>
        </is>
      </c>
      <c r="F762" s="8" t="inlineStr">
        <is>
          <t>66825797</t>
        </is>
      </c>
      <c r="G762" s="8">
        <f>IFERROR(VLOOKUP(A762,Flete!$A:$E,5,0),"")</f>
        <v/>
      </c>
      <c r="H762" s="7">
        <f>IFERROR(VLOOKUP(F762,TRAOPE!$AA:$AB,2,0),"")</f>
        <v/>
      </c>
      <c r="I762" s="7" t="n">
        <v>10000627</v>
      </c>
      <c r="J762" s="7">
        <f>IFERROR(VLOOKUP(I762,Materiales!$A:$H,8,0),"")</f>
        <v/>
      </c>
      <c r="K762" s="9">
        <f>IFERROR(VLOOKUP(I762,Materiales!$A:$G,7,0),"")</f>
        <v/>
      </c>
      <c r="L762" s="8" t="inlineStr">
        <is>
          <t>20190426</t>
        </is>
      </c>
      <c r="M762" s="8" t="inlineStr">
        <is>
          <t>20250127</t>
        </is>
      </c>
      <c r="N762" s="10" t="n">
        <v>65</v>
      </c>
      <c r="O762" s="10">
        <f>IFERROR(VLOOKUP(A762,Flete!$A:$J,10,0),"")</f>
        <v/>
      </c>
      <c r="P762" s="8" t="inlineStr">
        <is>
          <t>TN</t>
        </is>
      </c>
      <c r="Q762" s="10">
        <f>IFERROR(IFERROR(VLOOKUP(A762,TRAOPE!$A:$U,21,0),VLOOKUP(B762,TRAOPE!$A:$U,21,0)),"")</f>
        <v/>
      </c>
      <c r="R762" s="8">
        <f>IFERROR(IFERROR(VLOOKUP(A762,TRAOPE!$A:$W,23,0),VLOOKUP(B762,TRAOPE!$A:$W,23,0)),"")</f>
        <v/>
      </c>
      <c r="S762" s="10">
        <f>IF(AND(P762="TN",R762="TN"),N762+N(O762),IF(G762&amp;""="1",N(K762)*N762,(N762+N(O762))*N(K762)))</f>
        <v/>
      </c>
      <c r="T762" s="10">
        <f>IF(Q762="","",Q762-S762)</f>
        <v/>
      </c>
    </row>
    <row r="763">
      <c r="A763" s="7">
        <f>CONCATENATE(C763,E763,F763,I763)</f>
        <v/>
      </c>
      <c r="B763" s="7">
        <f>CONCATENATE(C763,E763,I763)</f>
        <v/>
      </c>
      <c r="C763" s="8" t="n">
        <v>900003588</v>
      </c>
      <c r="D763" s="7">
        <f>IFERROR(VLOOKUP(C763,TRAOPE!$G:$H,2,0),"")</f>
        <v/>
      </c>
      <c r="E763" s="8" t="inlineStr">
        <is>
          <t>D836</t>
        </is>
      </c>
      <c r="F763" s="8" t="inlineStr">
        <is>
          <t>66825797</t>
        </is>
      </c>
      <c r="G763" s="8">
        <f>IFERROR(VLOOKUP(A763,Flete!$A:$E,5,0),"")</f>
        <v/>
      </c>
      <c r="H763" s="7">
        <f>IFERROR(VLOOKUP(F763,TRAOPE!$AA:$AB,2,0),"")</f>
        <v/>
      </c>
      <c r="I763" s="7" t="n">
        <v>10003132</v>
      </c>
      <c r="J763" s="7">
        <f>IFERROR(VLOOKUP(I763,Materiales!$A:$H,8,0),"")</f>
        <v/>
      </c>
      <c r="K763" s="9">
        <f>IFERROR(VLOOKUP(I763,Materiales!$A:$G,7,0),"")</f>
        <v/>
      </c>
      <c r="L763" s="8" t="inlineStr">
        <is>
          <t>20190426</t>
        </is>
      </c>
      <c r="M763" s="8" t="inlineStr">
        <is>
          <t>20250127</t>
        </is>
      </c>
      <c r="N763" s="10" t="n">
        <v>145</v>
      </c>
      <c r="O763" s="10">
        <f>IFERROR(VLOOKUP(A763,Flete!$A:$J,10,0),"")</f>
        <v/>
      </c>
      <c r="P763" s="8" t="inlineStr">
        <is>
          <t>TN</t>
        </is>
      </c>
      <c r="Q763" s="10">
        <f>IFERROR(IFERROR(VLOOKUP(A763,TRAOPE!$A:$U,21,0),VLOOKUP(B763,TRAOPE!$A:$U,21,0)),"")</f>
        <v/>
      </c>
      <c r="R763" s="8">
        <f>IFERROR(IFERROR(VLOOKUP(A763,TRAOPE!$A:$W,23,0),VLOOKUP(B763,TRAOPE!$A:$W,23,0)),"")</f>
        <v/>
      </c>
      <c r="S763" s="10">
        <f>IF(AND(P763="TN",R763="TN"),N763+N(O763),IF(G763&amp;""="1",N(K763)*N763,(N763+N(O763))*N(K763)))</f>
        <v/>
      </c>
      <c r="T763" s="10">
        <f>IF(Q763="","",Q763-S763)</f>
        <v/>
      </c>
    </row>
    <row r="764">
      <c r="A764" s="7">
        <f>CONCATENATE(C764,E764,F764,I764)</f>
        <v/>
      </c>
      <c r="B764" s="7">
        <f>CONCATENATE(C764,E764,I764)</f>
        <v/>
      </c>
      <c r="C764" s="8" t="n">
        <v>900003588</v>
      </c>
      <c r="D764" s="7">
        <f>IFERROR(VLOOKUP(C764,TRAOPE!$G:$H,2,0),"")</f>
        <v/>
      </c>
      <c r="E764" s="8" t="inlineStr">
        <is>
          <t>D836</t>
        </is>
      </c>
      <c r="F764" s="8" t="inlineStr">
        <is>
          <t>66898280</t>
        </is>
      </c>
      <c r="G764" s="8">
        <f>IFERROR(VLOOKUP(A764,Flete!$A:$E,5,0),"")</f>
        <v/>
      </c>
      <c r="H764" s="7">
        <f>IFERROR(VLOOKUP(F764,TRAOPE!$AA:$AB,2,0),"")</f>
        <v/>
      </c>
      <c r="I764" s="7" t="n">
        <v>10000625</v>
      </c>
      <c r="J764" s="7">
        <f>IFERROR(VLOOKUP(I764,Materiales!$A:$H,8,0),"")</f>
        <v/>
      </c>
      <c r="K764" s="9">
        <f>IFERROR(VLOOKUP(I764,Materiales!$A:$G,7,0),"")</f>
        <v/>
      </c>
      <c r="L764" s="8" t="inlineStr">
        <is>
          <t>20190426</t>
        </is>
      </c>
      <c r="M764" s="8" t="inlineStr">
        <is>
          <t>20250127</t>
        </is>
      </c>
      <c r="N764" s="10" t="n">
        <v>55</v>
      </c>
      <c r="O764" s="10">
        <f>IFERROR(VLOOKUP(A764,Flete!$A:$J,10,0),"")</f>
        <v/>
      </c>
      <c r="P764" s="8" t="inlineStr">
        <is>
          <t>TN</t>
        </is>
      </c>
      <c r="Q764" s="10">
        <f>IFERROR(IFERROR(VLOOKUP(A764,TRAOPE!$A:$U,21,0),VLOOKUP(B764,TRAOPE!$A:$U,21,0)),"")</f>
        <v/>
      </c>
      <c r="R764" s="8">
        <f>IFERROR(IFERROR(VLOOKUP(A764,TRAOPE!$A:$W,23,0),VLOOKUP(B764,TRAOPE!$A:$W,23,0)),"")</f>
        <v/>
      </c>
      <c r="S764" s="10">
        <f>IF(AND(P764="TN",R764="TN"),N764+N(O764),IF(G764&amp;""="1",N(K764)*N764,(N764+N(O764))*N(K764)))</f>
        <v/>
      </c>
      <c r="T764" s="10">
        <f>IF(Q764="","",Q764-S764)</f>
        <v/>
      </c>
    </row>
    <row r="765">
      <c r="A765" s="7">
        <f>CONCATENATE(C765,E765,F765,I765)</f>
        <v/>
      </c>
      <c r="B765" s="7">
        <f>CONCATENATE(C765,E765,I765)</f>
        <v/>
      </c>
      <c r="C765" s="8" t="n">
        <v>900003588</v>
      </c>
      <c r="D765" s="7">
        <f>IFERROR(VLOOKUP(C765,TRAOPE!$G:$H,2,0),"")</f>
        <v/>
      </c>
      <c r="E765" s="8" t="inlineStr">
        <is>
          <t>D836</t>
        </is>
      </c>
      <c r="F765" s="8" t="inlineStr">
        <is>
          <t>66898280</t>
        </is>
      </c>
      <c r="G765" s="8">
        <f>IFERROR(VLOOKUP(A765,Flete!$A:$E,5,0),"")</f>
        <v/>
      </c>
      <c r="H765" s="7">
        <f>IFERROR(VLOOKUP(F765,TRAOPE!$AA:$AB,2,0),"")</f>
        <v/>
      </c>
      <c r="I765" s="7" t="n">
        <v>10001354</v>
      </c>
      <c r="J765" s="7">
        <f>IFERROR(VLOOKUP(I765,Materiales!$A:$H,8,0),"")</f>
        <v/>
      </c>
      <c r="K765" s="9">
        <f>IFERROR(VLOOKUP(I765,Materiales!$A:$G,7,0),"")</f>
        <v/>
      </c>
      <c r="L765" s="8" t="inlineStr">
        <is>
          <t>20190426</t>
        </is>
      </c>
      <c r="M765" s="8" t="inlineStr">
        <is>
          <t>20250127</t>
        </is>
      </c>
      <c r="N765" s="10" t="n">
        <v>129</v>
      </c>
      <c r="O765" s="10">
        <f>IFERROR(VLOOKUP(A765,Flete!$A:$J,10,0),"")</f>
        <v/>
      </c>
      <c r="P765" s="8" t="inlineStr">
        <is>
          <t>TN</t>
        </is>
      </c>
      <c r="Q765" s="10">
        <f>IFERROR(IFERROR(VLOOKUP(A765,TRAOPE!$A:$U,21,0),VLOOKUP(B765,TRAOPE!$A:$U,21,0)),"")</f>
        <v/>
      </c>
      <c r="R765" s="8">
        <f>IFERROR(IFERROR(VLOOKUP(A765,TRAOPE!$A:$W,23,0),VLOOKUP(B765,TRAOPE!$A:$W,23,0)),"")</f>
        <v/>
      </c>
      <c r="S765" s="10">
        <f>IF(AND(P765="TN",R765="TN"),N765+N(O765),IF(G765&amp;""="1",N(K765)*N765,(N765+N(O765))*N(K765)))</f>
        <v/>
      </c>
      <c r="T765" s="10">
        <f>IF(Q765="","",Q765-S765)</f>
        <v/>
      </c>
    </row>
    <row r="766">
      <c r="A766" s="7">
        <f>CONCATENATE(C766,E766,F766,I766)</f>
        <v/>
      </c>
      <c r="B766" s="7">
        <f>CONCATENATE(C766,E766,I766)</f>
        <v/>
      </c>
      <c r="C766" s="8" t="n">
        <v>900003588</v>
      </c>
      <c r="D766" s="7">
        <f>IFERROR(VLOOKUP(C766,TRAOPE!$G:$H,2,0),"")</f>
        <v/>
      </c>
      <c r="E766" s="8" t="inlineStr">
        <is>
          <t>D836</t>
        </is>
      </c>
      <c r="F766" s="8" t="inlineStr">
        <is>
          <t>66898281</t>
        </is>
      </c>
      <c r="G766" s="8">
        <f>IFERROR(VLOOKUP(A766,Flete!$A:$E,5,0),"")</f>
        <v/>
      </c>
      <c r="H766" s="7">
        <f>IFERROR(VLOOKUP(F766,TRAOPE!$AA:$AB,2,0),"")</f>
        <v/>
      </c>
      <c r="I766" s="7" t="n">
        <v>10000625</v>
      </c>
      <c r="J766" s="7">
        <f>IFERROR(VLOOKUP(I766,Materiales!$A:$H,8,0),"")</f>
        <v/>
      </c>
      <c r="K766" s="9">
        <f>IFERROR(VLOOKUP(I766,Materiales!$A:$G,7,0),"")</f>
        <v/>
      </c>
      <c r="L766" s="8" t="inlineStr">
        <is>
          <t>20190426</t>
        </is>
      </c>
      <c r="M766" s="8" t="inlineStr">
        <is>
          <t>20250127</t>
        </is>
      </c>
      <c r="N766" s="10" t="n">
        <v>55</v>
      </c>
      <c r="O766" s="10">
        <f>IFERROR(VLOOKUP(A766,Flete!$A:$J,10,0),"")</f>
        <v/>
      </c>
      <c r="P766" s="8" t="inlineStr">
        <is>
          <t>TN</t>
        </is>
      </c>
      <c r="Q766" s="10">
        <f>IFERROR(IFERROR(VLOOKUP(A766,TRAOPE!$A:$U,21,0),VLOOKUP(B766,TRAOPE!$A:$U,21,0)),"")</f>
        <v/>
      </c>
      <c r="R766" s="8">
        <f>IFERROR(IFERROR(VLOOKUP(A766,TRAOPE!$A:$W,23,0),VLOOKUP(B766,TRAOPE!$A:$W,23,0)),"")</f>
        <v/>
      </c>
      <c r="S766" s="10">
        <f>IF(AND(P766="TN",R766="TN"),N766+N(O766),IF(G766&amp;""="1",N(K766)*N766,(N766+N(O766))*N(K766)))</f>
        <v/>
      </c>
      <c r="T766" s="10">
        <f>IF(Q766="","",Q766-S766)</f>
        <v/>
      </c>
    </row>
    <row r="767">
      <c r="A767" s="7">
        <f>CONCATENATE(C767,E767,F767,I767)</f>
        <v/>
      </c>
      <c r="B767" s="7">
        <f>CONCATENATE(C767,E767,I767)</f>
        <v/>
      </c>
      <c r="C767" s="8" t="n">
        <v>900003588</v>
      </c>
      <c r="D767" s="7">
        <f>IFERROR(VLOOKUP(C767,TRAOPE!$G:$H,2,0),"")</f>
        <v/>
      </c>
      <c r="E767" s="8" t="inlineStr">
        <is>
          <t>D836</t>
        </is>
      </c>
      <c r="F767" s="8" t="inlineStr">
        <is>
          <t>66898281</t>
        </is>
      </c>
      <c r="G767" s="8">
        <f>IFERROR(VLOOKUP(A767,Flete!$A:$E,5,0),"")</f>
        <v/>
      </c>
      <c r="H767" s="7">
        <f>IFERROR(VLOOKUP(F767,TRAOPE!$AA:$AB,2,0),"")</f>
        <v/>
      </c>
      <c r="I767" s="7" t="n">
        <v>10001354</v>
      </c>
      <c r="J767" s="7">
        <f>IFERROR(VLOOKUP(I767,Materiales!$A:$H,8,0),"")</f>
        <v/>
      </c>
      <c r="K767" s="9">
        <f>IFERROR(VLOOKUP(I767,Materiales!$A:$G,7,0),"")</f>
        <v/>
      </c>
      <c r="L767" s="8" t="inlineStr">
        <is>
          <t>20190426</t>
        </is>
      </c>
      <c r="M767" s="8" t="inlineStr">
        <is>
          <t>20250127</t>
        </is>
      </c>
      <c r="N767" s="10" t="n">
        <v>129</v>
      </c>
      <c r="O767" s="10">
        <f>IFERROR(VLOOKUP(A767,Flete!$A:$J,10,0),"")</f>
        <v/>
      </c>
      <c r="P767" s="8" t="inlineStr">
        <is>
          <t>TN</t>
        </is>
      </c>
      <c r="Q767" s="10">
        <f>IFERROR(IFERROR(VLOOKUP(A767,TRAOPE!$A:$U,21,0),VLOOKUP(B767,TRAOPE!$A:$U,21,0)),"")</f>
        <v/>
      </c>
      <c r="R767" s="8">
        <f>IFERROR(IFERROR(VLOOKUP(A767,TRAOPE!$A:$W,23,0),VLOOKUP(B767,TRAOPE!$A:$W,23,0)),"")</f>
        <v/>
      </c>
      <c r="S767" s="10">
        <f>IF(AND(P767="TN",R767="TN"),N767+N(O767),IF(G767&amp;""="1",N(K767)*N767,(N767+N(O767))*N(K767)))</f>
        <v/>
      </c>
      <c r="T767" s="10">
        <f>IF(Q767="","",Q767-S767)</f>
        <v/>
      </c>
    </row>
    <row r="768">
      <c r="A768" s="7">
        <f>CONCATENATE(C768,E768,F768,I768)</f>
        <v/>
      </c>
      <c r="B768" s="7">
        <f>CONCATENATE(C768,E768,I768)</f>
        <v/>
      </c>
      <c r="C768" s="8" t="n">
        <v>900003588</v>
      </c>
      <c r="D768" s="7">
        <f>IFERROR(VLOOKUP(C768,TRAOPE!$G:$H,2,0),"")</f>
        <v/>
      </c>
      <c r="E768" s="8" t="inlineStr">
        <is>
          <t>D836</t>
        </is>
      </c>
      <c r="F768" s="8" t="inlineStr">
        <is>
          <t>66970684</t>
        </is>
      </c>
      <c r="G768" s="8">
        <f>IFERROR(VLOOKUP(A768,Flete!$A:$E,5,0),"")</f>
        <v/>
      </c>
      <c r="H768" s="7">
        <f>IFERROR(VLOOKUP(F768,TRAOPE!$AA:$AB,2,0),"")</f>
        <v/>
      </c>
      <c r="I768" s="7" t="n">
        <v>10000625</v>
      </c>
      <c r="J768" s="7">
        <f>IFERROR(VLOOKUP(I768,Materiales!$A:$H,8,0),"")</f>
        <v/>
      </c>
      <c r="K768" s="9">
        <f>IFERROR(VLOOKUP(I768,Materiales!$A:$G,7,0),"")</f>
        <v/>
      </c>
      <c r="L768" s="8" t="inlineStr">
        <is>
          <t>20190426</t>
        </is>
      </c>
      <c r="M768" s="8" t="inlineStr">
        <is>
          <t>20250127</t>
        </is>
      </c>
      <c r="N768" s="10" t="n">
        <v>141.25</v>
      </c>
      <c r="O768" s="10">
        <f>IFERROR(VLOOKUP(A768,Flete!$A:$J,10,0),"")</f>
        <v/>
      </c>
      <c r="P768" s="8" t="inlineStr">
        <is>
          <t>TN</t>
        </is>
      </c>
      <c r="Q768" s="10">
        <f>IFERROR(IFERROR(VLOOKUP(A768,TRAOPE!$A:$U,21,0),VLOOKUP(B768,TRAOPE!$A:$U,21,0)),"")</f>
        <v/>
      </c>
      <c r="R768" s="8">
        <f>IFERROR(IFERROR(VLOOKUP(A768,TRAOPE!$A:$W,23,0),VLOOKUP(B768,TRAOPE!$A:$W,23,0)),"")</f>
        <v/>
      </c>
      <c r="S768" s="10">
        <f>IF(AND(P768="TN",R768="TN"),N768+N(O768),IF(G768&amp;""="1",N(K768)*N768,(N768+N(O768))*N(K768)))</f>
        <v/>
      </c>
      <c r="T768" s="10">
        <f>IF(Q768="","",Q768-S768)</f>
        <v/>
      </c>
    </row>
    <row r="769">
      <c r="A769" s="7">
        <f>CONCATENATE(C769,E769,F769,I769)</f>
        <v/>
      </c>
      <c r="B769" s="7">
        <f>CONCATENATE(C769,E769,I769)</f>
        <v/>
      </c>
      <c r="C769" s="8" t="n">
        <v>900003588</v>
      </c>
      <c r="D769" s="7">
        <f>IFERROR(VLOOKUP(C769,TRAOPE!$G:$H,2,0),"")</f>
        <v/>
      </c>
      <c r="E769" s="8" t="inlineStr">
        <is>
          <t>D836</t>
        </is>
      </c>
      <c r="F769" s="8" t="inlineStr">
        <is>
          <t>67032666</t>
        </is>
      </c>
      <c r="G769" s="8">
        <f>IFERROR(VLOOKUP(A769,Flete!$A:$E,5,0),"")</f>
        <v/>
      </c>
      <c r="H769" s="7">
        <f>IFERROR(VLOOKUP(F769,TRAOPE!$AA:$AB,2,0),"")</f>
        <v/>
      </c>
      <c r="I769" s="7" t="n">
        <v>10000625</v>
      </c>
      <c r="J769" s="7">
        <f>IFERROR(VLOOKUP(I769,Materiales!$A:$H,8,0),"")</f>
        <v/>
      </c>
      <c r="K769" s="9">
        <f>IFERROR(VLOOKUP(I769,Materiales!$A:$G,7,0),"")</f>
        <v/>
      </c>
      <c r="L769" s="8" t="inlineStr">
        <is>
          <t>20190426</t>
        </is>
      </c>
      <c r="M769" s="8" t="inlineStr">
        <is>
          <t>20250127</t>
        </is>
      </c>
      <c r="N769" s="10" t="n">
        <v>65</v>
      </c>
      <c r="O769" s="10">
        <f>IFERROR(VLOOKUP(A769,Flete!$A:$J,10,0),"")</f>
        <v/>
      </c>
      <c r="P769" s="8" t="inlineStr">
        <is>
          <t>TN</t>
        </is>
      </c>
      <c r="Q769" s="10">
        <f>IFERROR(IFERROR(VLOOKUP(A769,TRAOPE!$A:$U,21,0),VLOOKUP(B769,TRAOPE!$A:$U,21,0)),"")</f>
        <v/>
      </c>
      <c r="R769" s="8">
        <f>IFERROR(IFERROR(VLOOKUP(A769,TRAOPE!$A:$W,23,0),VLOOKUP(B769,TRAOPE!$A:$W,23,0)),"")</f>
        <v/>
      </c>
      <c r="S769" s="10">
        <f>IF(AND(P769="TN",R769="TN"),N769+N(O769),IF(G769&amp;""="1",N(K769)*N769,(N769+N(O769))*N(K769)))</f>
        <v/>
      </c>
      <c r="T769" s="10">
        <f>IF(Q769="","",Q769-S769)</f>
        <v/>
      </c>
    </row>
    <row r="770">
      <c r="A770" s="7">
        <f>CONCATENATE(C770,E770,F770,I770)</f>
        <v/>
      </c>
      <c r="B770" s="7">
        <f>CONCATENATE(C770,E770,I770)</f>
        <v/>
      </c>
      <c r="C770" s="8" t="n">
        <v>900003588</v>
      </c>
      <c r="D770" s="7">
        <f>IFERROR(VLOOKUP(C770,TRAOPE!$G:$H,2,0),"")</f>
        <v/>
      </c>
      <c r="E770" s="8" t="inlineStr">
        <is>
          <t>D836</t>
        </is>
      </c>
      <c r="F770" s="8" t="inlineStr">
        <is>
          <t>67032666</t>
        </is>
      </c>
      <c r="G770" s="8">
        <f>IFERROR(VLOOKUP(A770,Flete!$A:$E,5,0),"")</f>
        <v/>
      </c>
      <c r="H770" s="7">
        <f>IFERROR(VLOOKUP(F770,TRAOPE!$AA:$AB,2,0),"")</f>
        <v/>
      </c>
      <c r="I770" s="7" t="n">
        <v>10000627</v>
      </c>
      <c r="J770" s="7">
        <f>IFERROR(VLOOKUP(I770,Materiales!$A:$H,8,0),"")</f>
        <v/>
      </c>
      <c r="K770" s="9">
        <f>IFERROR(VLOOKUP(I770,Materiales!$A:$G,7,0),"")</f>
        <v/>
      </c>
      <c r="L770" s="8" t="inlineStr">
        <is>
          <t>20190426</t>
        </is>
      </c>
      <c r="M770" s="8" t="inlineStr">
        <is>
          <t>20250127</t>
        </is>
      </c>
      <c r="N770" s="10" t="n">
        <v>80</v>
      </c>
      <c r="O770" s="10">
        <f>IFERROR(VLOOKUP(A770,Flete!$A:$J,10,0),"")</f>
        <v/>
      </c>
      <c r="P770" s="8" t="inlineStr">
        <is>
          <t>TN</t>
        </is>
      </c>
      <c r="Q770" s="10">
        <f>IFERROR(IFERROR(VLOOKUP(A770,TRAOPE!$A:$U,21,0),VLOOKUP(B770,TRAOPE!$A:$U,21,0)),"")</f>
        <v/>
      </c>
      <c r="R770" s="8">
        <f>IFERROR(IFERROR(VLOOKUP(A770,TRAOPE!$A:$W,23,0),VLOOKUP(B770,TRAOPE!$A:$W,23,0)),"")</f>
        <v/>
      </c>
      <c r="S770" s="10">
        <f>IF(AND(P770="TN",R770="TN"),N770+N(O770),IF(G770&amp;""="1",N(K770)*N770,(N770+N(O770))*N(K770)))</f>
        <v/>
      </c>
      <c r="T770" s="10">
        <f>IF(Q770="","",Q770-S770)</f>
        <v/>
      </c>
    </row>
    <row r="771">
      <c r="A771" s="7">
        <f>CONCATENATE(C771,E771,F771,I771)</f>
        <v/>
      </c>
      <c r="B771" s="7">
        <f>CONCATENATE(C771,E771,I771)</f>
        <v/>
      </c>
      <c r="C771" s="8" t="n">
        <v>900003588</v>
      </c>
      <c r="D771" s="7">
        <f>IFERROR(VLOOKUP(C771,TRAOPE!$G:$H,2,0),"")</f>
        <v/>
      </c>
      <c r="E771" s="8" t="inlineStr">
        <is>
          <t>D836</t>
        </is>
      </c>
      <c r="F771" s="8" t="inlineStr">
        <is>
          <t>67077727</t>
        </is>
      </c>
      <c r="G771" s="8">
        <f>IFERROR(VLOOKUP(A771,Flete!$A:$E,5,0),"")</f>
        <v/>
      </c>
      <c r="H771" s="7">
        <f>IFERROR(VLOOKUP(F771,TRAOPE!$AA:$AB,2,0),"")</f>
        <v/>
      </c>
      <c r="I771" s="7" t="n">
        <v>10000625</v>
      </c>
      <c r="J771" s="7">
        <f>IFERROR(VLOOKUP(I771,Materiales!$A:$H,8,0),"")</f>
        <v/>
      </c>
      <c r="K771" s="9">
        <f>IFERROR(VLOOKUP(I771,Materiales!$A:$G,7,0),"")</f>
        <v/>
      </c>
      <c r="L771" s="8" t="inlineStr">
        <is>
          <t>20190426</t>
        </is>
      </c>
      <c r="M771" s="8" t="inlineStr">
        <is>
          <t>20250127</t>
        </is>
      </c>
      <c r="N771" s="10" t="n">
        <v>50.54</v>
      </c>
      <c r="O771" s="10">
        <f>IFERROR(VLOOKUP(A771,Flete!$A:$J,10,0),"")</f>
        <v/>
      </c>
      <c r="P771" s="8" t="inlineStr">
        <is>
          <t>TN</t>
        </is>
      </c>
      <c r="Q771" s="10">
        <f>IFERROR(IFERROR(VLOOKUP(A771,TRAOPE!$A:$U,21,0),VLOOKUP(B771,TRAOPE!$A:$U,21,0)),"")</f>
        <v/>
      </c>
      <c r="R771" s="8">
        <f>IFERROR(IFERROR(VLOOKUP(A771,TRAOPE!$A:$W,23,0),VLOOKUP(B771,TRAOPE!$A:$W,23,0)),"")</f>
        <v/>
      </c>
      <c r="S771" s="10">
        <f>IF(AND(P771="TN",R771="TN"),N771+N(O771),IF(G771&amp;""="1",N(K771)*N771,(N771+N(O771))*N(K771)))</f>
        <v/>
      </c>
      <c r="T771" s="10">
        <f>IF(Q771="","",Q771-S771)</f>
        <v/>
      </c>
    </row>
    <row r="772">
      <c r="A772" s="7">
        <f>CONCATENATE(C772,E772,F772,I772)</f>
        <v/>
      </c>
      <c r="B772" s="7">
        <f>CONCATENATE(C772,E772,I772)</f>
        <v/>
      </c>
      <c r="C772" s="8" t="n">
        <v>900003588</v>
      </c>
      <c r="D772" s="7">
        <f>IFERROR(VLOOKUP(C772,TRAOPE!$G:$H,2,0),"")</f>
        <v/>
      </c>
      <c r="E772" s="8" t="inlineStr">
        <is>
          <t>D836</t>
        </is>
      </c>
      <c r="F772" s="8" t="inlineStr">
        <is>
          <t>67077727</t>
        </is>
      </c>
      <c r="G772" s="8">
        <f>IFERROR(VLOOKUP(A772,Flete!$A:$E,5,0),"")</f>
        <v/>
      </c>
      <c r="H772" s="7">
        <f>IFERROR(VLOOKUP(F772,TRAOPE!$AA:$AB,2,0),"")</f>
        <v/>
      </c>
      <c r="I772" s="7" t="n">
        <v>10000627</v>
      </c>
      <c r="J772" s="7">
        <f>IFERROR(VLOOKUP(I772,Materiales!$A:$H,8,0),"")</f>
        <v/>
      </c>
      <c r="K772" s="9">
        <f>IFERROR(VLOOKUP(I772,Materiales!$A:$G,7,0),"")</f>
        <v/>
      </c>
      <c r="L772" s="8" t="inlineStr">
        <is>
          <t>20190426</t>
        </is>
      </c>
      <c r="M772" s="8" t="inlineStr">
        <is>
          <t>20250127</t>
        </is>
      </c>
      <c r="N772" s="10" t="n">
        <v>59.97</v>
      </c>
      <c r="O772" s="10">
        <f>IFERROR(VLOOKUP(A772,Flete!$A:$J,10,0),"")</f>
        <v/>
      </c>
      <c r="P772" s="8" t="inlineStr">
        <is>
          <t>TN</t>
        </is>
      </c>
      <c r="Q772" s="10">
        <f>IFERROR(IFERROR(VLOOKUP(A772,TRAOPE!$A:$U,21,0),VLOOKUP(B772,TRAOPE!$A:$U,21,0)),"")</f>
        <v/>
      </c>
      <c r="R772" s="8">
        <f>IFERROR(IFERROR(VLOOKUP(A772,TRAOPE!$A:$W,23,0),VLOOKUP(B772,TRAOPE!$A:$W,23,0)),"")</f>
        <v/>
      </c>
      <c r="S772" s="10">
        <f>IF(AND(P772="TN",R772="TN"),N772+N(O772),IF(G772&amp;""="1",N(K772)*N772,(N772+N(O772))*N(K772)))</f>
        <v/>
      </c>
      <c r="T772" s="10">
        <f>IF(Q772="","",Q772-S772)</f>
        <v/>
      </c>
    </row>
    <row r="773">
      <c r="A773" s="7">
        <f>CONCATENATE(C773,E773,F773,I773)</f>
        <v/>
      </c>
      <c r="B773" s="7">
        <f>CONCATENATE(C773,E773,I773)</f>
        <v/>
      </c>
      <c r="C773" s="8" t="n">
        <v>900003588</v>
      </c>
      <c r="D773" s="7">
        <f>IFERROR(VLOOKUP(C773,TRAOPE!$G:$H,2,0),"")</f>
        <v/>
      </c>
      <c r="E773" s="8" t="inlineStr">
        <is>
          <t>D836</t>
        </is>
      </c>
      <c r="F773" s="8" t="inlineStr">
        <is>
          <t>67077727</t>
        </is>
      </c>
      <c r="G773" s="8">
        <f>IFERROR(VLOOKUP(A773,Flete!$A:$E,5,0),"")</f>
        <v/>
      </c>
      <c r="H773" s="7">
        <f>IFERROR(VLOOKUP(F773,TRAOPE!$AA:$AB,2,0),"")</f>
        <v/>
      </c>
      <c r="I773" s="7" t="n">
        <v>10001354</v>
      </c>
      <c r="J773" s="7">
        <f>IFERROR(VLOOKUP(I773,Materiales!$A:$H,8,0),"")</f>
        <v/>
      </c>
      <c r="K773" s="9">
        <f>IFERROR(VLOOKUP(I773,Materiales!$A:$G,7,0),"")</f>
        <v/>
      </c>
      <c r="L773" s="8" t="inlineStr">
        <is>
          <t>20190426</t>
        </is>
      </c>
      <c r="M773" s="8" t="inlineStr">
        <is>
          <t>20250127</t>
        </is>
      </c>
      <c r="N773" s="10" t="n">
        <v>127.92</v>
      </c>
      <c r="O773" s="10">
        <f>IFERROR(VLOOKUP(A773,Flete!$A:$J,10,0),"")</f>
        <v/>
      </c>
      <c r="P773" s="8" t="inlineStr">
        <is>
          <t>TN</t>
        </is>
      </c>
      <c r="Q773" s="10">
        <f>IFERROR(IFERROR(VLOOKUP(A773,TRAOPE!$A:$U,21,0),VLOOKUP(B773,TRAOPE!$A:$U,21,0)),"")</f>
        <v/>
      </c>
      <c r="R773" s="8">
        <f>IFERROR(IFERROR(VLOOKUP(A773,TRAOPE!$A:$W,23,0),VLOOKUP(B773,TRAOPE!$A:$W,23,0)),"")</f>
        <v/>
      </c>
      <c r="S773" s="10">
        <f>IF(AND(P773="TN",R773="TN"),N773+N(O773),IF(G773&amp;""="1",N(K773)*N773,(N773+N(O773))*N(K773)))</f>
        <v/>
      </c>
      <c r="T773" s="10">
        <f>IF(Q773="","",Q773-S773)</f>
        <v/>
      </c>
    </row>
    <row r="774">
      <c r="A774" s="7">
        <f>CONCATENATE(C774,E774,F774,I774)</f>
        <v/>
      </c>
      <c r="B774" s="7">
        <f>CONCATENATE(C774,E774,I774)</f>
        <v/>
      </c>
      <c r="C774" s="8" t="n">
        <v>900003588</v>
      </c>
      <c r="D774" s="7">
        <f>IFERROR(VLOOKUP(C774,TRAOPE!$G:$H,2,0),"")</f>
        <v/>
      </c>
      <c r="E774" s="8" t="inlineStr">
        <is>
          <t>D836</t>
        </is>
      </c>
      <c r="F774" s="8" t="inlineStr">
        <is>
          <t>67089150</t>
        </is>
      </c>
      <c r="G774" s="8">
        <f>IFERROR(VLOOKUP(A774,Flete!$A:$E,5,0),"")</f>
        <v/>
      </c>
      <c r="H774" s="7">
        <f>IFERROR(VLOOKUP(F774,TRAOPE!$AA:$AB,2,0),"")</f>
        <v/>
      </c>
      <c r="I774" s="7" t="n">
        <v>10000625</v>
      </c>
      <c r="J774" s="7">
        <f>IFERROR(VLOOKUP(I774,Materiales!$A:$H,8,0),"")</f>
        <v/>
      </c>
      <c r="K774" s="9">
        <f>IFERROR(VLOOKUP(I774,Materiales!$A:$G,7,0),"")</f>
        <v/>
      </c>
      <c r="L774" s="8" t="inlineStr">
        <is>
          <t>20190426</t>
        </is>
      </c>
      <c r="M774" s="8" t="inlineStr">
        <is>
          <t>20250127</t>
        </is>
      </c>
      <c r="N774" s="10" t="n">
        <v>50.54</v>
      </c>
      <c r="O774" s="10">
        <f>IFERROR(VLOOKUP(A774,Flete!$A:$J,10,0),"")</f>
        <v/>
      </c>
      <c r="P774" s="8" t="inlineStr">
        <is>
          <t>TN</t>
        </is>
      </c>
      <c r="Q774" s="10">
        <f>IFERROR(IFERROR(VLOOKUP(A774,TRAOPE!$A:$U,21,0),VLOOKUP(B774,TRAOPE!$A:$U,21,0)),"")</f>
        <v/>
      </c>
      <c r="R774" s="8">
        <f>IFERROR(IFERROR(VLOOKUP(A774,TRAOPE!$A:$W,23,0),VLOOKUP(B774,TRAOPE!$A:$W,23,0)),"")</f>
        <v/>
      </c>
      <c r="S774" s="10">
        <f>IF(AND(P774="TN",R774="TN"),N774+N(O774),IF(G774&amp;""="1",N(K774)*N774,(N774+N(O774))*N(K774)))</f>
        <v/>
      </c>
      <c r="T774" s="10">
        <f>IF(Q774="","",Q774-S774)</f>
        <v/>
      </c>
    </row>
    <row r="775">
      <c r="A775" s="7">
        <f>CONCATENATE(C775,E775,F775,I775)</f>
        <v/>
      </c>
      <c r="B775" s="7">
        <f>CONCATENATE(C775,E775,I775)</f>
        <v/>
      </c>
      <c r="C775" s="8" t="n">
        <v>900003588</v>
      </c>
      <c r="D775" s="7">
        <f>IFERROR(VLOOKUP(C775,TRAOPE!$G:$H,2,0),"")</f>
        <v/>
      </c>
      <c r="E775" s="8" t="inlineStr">
        <is>
          <t>D836</t>
        </is>
      </c>
      <c r="F775" s="8" t="inlineStr">
        <is>
          <t>67089150</t>
        </is>
      </c>
      <c r="G775" s="8">
        <f>IFERROR(VLOOKUP(A775,Flete!$A:$E,5,0),"")</f>
        <v/>
      </c>
      <c r="H775" s="7">
        <f>IFERROR(VLOOKUP(F775,TRAOPE!$AA:$AB,2,0),"")</f>
        <v/>
      </c>
      <c r="I775" s="7" t="n">
        <v>10000627</v>
      </c>
      <c r="J775" s="7">
        <f>IFERROR(VLOOKUP(I775,Materiales!$A:$H,8,0),"")</f>
        <v/>
      </c>
      <c r="K775" s="9">
        <f>IFERROR(VLOOKUP(I775,Materiales!$A:$G,7,0),"")</f>
        <v/>
      </c>
      <c r="L775" s="8" t="inlineStr">
        <is>
          <t>20190426</t>
        </is>
      </c>
      <c r="M775" s="8" t="inlineStr">
        <is>
          <t>20250127</t>
        </is>
      </c>
      <c r="N775" s="10" t="n">
        <v>59.97</v>
      </c>
      <c r="O775" s="10">
        <f>IFERROR(VLOOKUP(A775,Flete!$A:$J,10,0),"")</f>
        <v/>
      </c>
      <c r="P775" s="8" t="inlineStr">
        <is>
          <t>TN</t>
        </is>
      </c>
      <c r="Q775" s="10">
        <f>IFERROR(IFERROR(VLOOKUP(A775,TRAOPE!$A:$U,21,0),VLOOKUP(B775,TRAOPE!$A:$U,21,0)),"")</f>
        <v/>
      </c>
      <c r="R775" s="8">
        <f>IFERROR(IFERROR(VLOOKUP(A775,TRAOPE!$A:$W,23,0),VLOOKUP(B775,TRAOPE!$A:$W,23,0)),"")</f>
        <v/>
      </c>
      <c r="S775" s="10">
        <f>IF(AND(P775="TN",R775="TN"),N775+N(O775),IF(G775&amp;""="1",N(K775)*N775,(N775+N(O775))*N(K775)))</f>
        <v/>
      </c>
      <c r="T775" s="10">
        <f>IF(Q775="","",Q775-S775)</f>
        <v/>
      </c>
    </row>
    <row r="776">
      <c r="A776" s="7">
        <f>CONCATENATE(C776,E776,F776,I776)</f>
        <v/>
      </c>
      <c r="B776" s="7">
        <f>CONCATENATE(C776,E776,I776)</f>
        <v/>
      </c>
      <c r="C776" s="8" t="n">
        <v>900003588</v>
      </c>
      <c r="D776" s="7">
        <f>IFERROR(VLOOKUP(C776,TRAOPE!$G:$H,2,0),"")</f>
        <v/>
      </c>
      <c r="E776" s="8" t="inlineStr">
        <is>
          <t>D836</t>
        </is>
      </c>
      <c r="F776" s="8" t="inlineStr">
        <is>
          <t>67090525</t>
        </is>
      </c>
      <c r="G776" s="8">
        <f>IFERROR(VLOOKUP(A776,Flete!$A:$E,5,0),"")</f>
        <v/>
      </c>
      <c r="H776" s="7">
        <f>IFERROR(VLOOKUP(F776,TRAOPE!$AA:$AB,2,0),"")</f>
        <v/>
      </c>
      <c r="I776" s="7" t="n">
        <v>10000625</v>
      </c>
      <c r="J776" s="7">
        <f>IFERROR(VLOOKUP(I776,Materiales!$A:$H,8,0),"")</f>
        <v/>
      </c>
      <c r="K776" s="9">
        <f>IFERROR(VLOOKUP(I776,Materiales!$A:$G,7,0),"")</f>
        <v/>
      </c>
      <c r="L776" s="8" t="inlineStr">
        <is>
          <t>20190426</t>
        </is>
      </c>
      <c r="M776" s="8" t="inlineStr">
        <is>
          <t>20250127</t>
        </is>
      </c>
      <c r="N776" s="10" t="n">
        <v>50.54</v>
      </c>
      <c r="O776" s="10">
        <f>IFERROR(VLOOKUP(A776,Flete!$A:$J,10,0),"")</f>
        <v/>
      </c>
      <c r="P776" s="8" t="inlineStr">
        <is>
          <t>TN</t>
        </is>
      </c>
      <c r="Q776" s="10">
        <f>IFERROR(IFERROR(VLOOKUP(A776,TRAOPE!$A:$U,21,0),VLOOKUP(B776,TRAOPE!$A:$U,21,0)),"")</f>
        <v/>
      </c>
      <c r="R776" s="8">
        <f>IFERROR(IFERROR(VLOOKUP(A776,TRAOPE!$A:$W,23,0),VLOOKUP(B776,TRAOPE!$A:$W,23,0)),"")</f>
        <v/>
      </c>
      <c r="S776" s="10">
        <f>IF(AND(P776="TN",R776="TN"),N776+N(O776),IF(G776&amp;""="1",N(K776)*N776,(N776+N(O776))*N(K776)))</f>
        <v/>
      </c>
      <c r="T776" s="10">
        <f>IF(Q776="","",Q776-S776)</f>
        <v/>
      </c>
    </row>
    <row r="777">
      <c r="A777" s="7">
        <f>CONCATENATE(C777,E777,F777,I777)</f>
        <v/>
      </c>
      <c r="B777" s="7">
        <f>CONCATENATE(C777,E777,I777)</f>
        <v/>
      </c>
      <c r="C777" s="8" t="n">
        <v>900003588</v>
      </c>
      <c r="D777" s="7">
        <f>IFERROR(VLOOKUP(C777,TRAOPE!$G:$H,2,0),"")</f>
        <v/>
      </c>
      <c r="E777" s="8" t="inlineStr">
        <is>
          <t>D836</t>
        </is>
      </c>
      <c r="F777" s="8" t="inlineStr">
        <is>
          <t>67090525</t>
        </is>
      </c>
      <c r="G777" s="8">
        <f>IFERROR(VLOOKUP(A777,Flete!$A:$E,5,0),"")</f>
        <v/>
      </c>
      <c r="H777" s="7">
        <f>IFERROR(VLOOKUP(F777,TRAOPE!$AA:$AB,2,0),"")</f>
        <v/>
      </c>
      <c r="I777" s="7" t="n">
        <v>10000627</v>
      </c>
      <c r="J777" s="7">
        <f>IFERROR(VLOOKUP(I777,Materiales!$A:$H,8,0),"")</f>
        <v/>
      </c>
      <c r="K777" s="9">
        <f>IFERROR(VLOOKUP(I777,Materiales!$A:$G,7,0),"")</f>
        <v/>
      </c>
      <c r="L777" s="8" t="inlineStr">
        <is>
          <t>20190426</t>
        </is>
      </c>
      <c r="M777" s="8" t="inlineStr">
        <is>
          <t>20250127</t>
        </is>
      </c>
      <c r="N777" s="10" t="n">
        <v>59.97</v>
      </c>
      <c r="O777" s="10">
        <f>IFERROR(VLOOKUP(A777,Flete!$A:$J,10,0),"")</f>
        <v/>
      </c>
      <c r="P777" s="8" t="inlineStr">
        <is>
          <t>TN</t>
        </is>
      </c>
      <c r="Q777" s="10">
        <f>IFERROR(IFERROR(VLOOKUP(A777,TRAOPE!$A:$U,21,0),VLOOKUP(B777,TRAOPE!$A:$U,21,0)),"")</f>
        <v/>
      </c>
      <c r="R777" s="8">
        <f>IFERROR(IFERROR(VLOOKUP(A777,TRAOPE!$A:$W,23,0),VLOOKUP(B777,TRAOPE!$A:$W,23,0)),"")</f>
        <v/>
      </c>
      <c r="S777" s="10">
        <f>IF(AND(P777="TN",R777="TN"),N777+N(O777),IF(G777&amp;""="1",N(K777)*N777,(N777+N(O777))*N(K777)))</f>
        <v/>
      </c>
      <c r="T777" s="10">
        <f>IF(Q777="","",Q777-S777)</f>
        <v/>
      </c>
    </row>
    <row r="778">
      <c r="A778" s="7">
        <f>CONCATENATE(C778,E778,F778,I778)</f>
        <v/>
      </c>
      <c r="B778" s="7">
        <f>CONCATENATE(C778,E778,I778)</f>
        <v/>
      </c>
      <c r="C778" s="8" t="n">
        <v>900003588</v>
      </c>
      <c r="D778" s="7">
        <f>IFERROR(VLOOKUP(C778,TRAOPE!$G:$H,2,0),"")</f>
        <v/>
      </c>
      <c r="E778" s="8" t="inlineStr">
        <is>
          <t>D836</t>
        </is>
      </c>
      <c r="F778" s="8" t="inlineStr">
        <is>
          <t>67090525</t>
        </is>
      </c>
      <c r="G778" s="8">
        <f>IFERROR(VLOOKUP(A778,Flete!$A:$E,5,0),"")</f>
        <v/>
      </c>
      <c r="H778" s="7">
        <f>IFERROR(VLOOKUP(F778,TRAOPE!$AA:$AB,2,0),"")</f>
        <v/>
      </c>
      <c r="I778" s="7" t="n">
        <v>10001354</v>
      </c>
      <c r="J778" s="7">
        <f>IFERROR(VLOOKUP(I778,Materiales!$A:$H,8,0),"")</f>
        <v/>
      </c>
      <c r="K778" s="9">
        <f>IFERROR(VLOOKUP(I778,Materiales!$A:$G,7,0),"")</f>
        <v/>
      </c>
      <c r="L778" s="8" t="inlineStr">
        <is>
          <t>20190426</t>
        </is>
      </c>
      <c r="M778" s="8" t="inlineStr">
        <is>
          <t>20250127</t>
        </is>
      </c>
      <c r="N778" s="10" t="n">
        <v>127.92</v>
      </c>
      <c r="O778" s="10">
        <f>IFERROR(VLOOKUP(A778,Flete!$A:$J,10,0),"")</f>
        <v/>
      </c>
      <c r="P778" s="8" t="inlineStr">
        <is>
          <t>TN</t>
        </is>
      </c>
      <c r="Q778" s="10">
        <f>IFERROR(IFERROR(VLOOKUP(A778,TRAOPE!$A:$U,21,0),VLOOKUP(B778,TRAOPE!$A:$U,21,0)),"")</f>
        <v/>
      </c>
      <c r="R778" s="8">
        <f>IFERROR(IFERROR(VLOOKUP(A778,TRAOPE!$A:$W,23,0),VLOOKUP(B778,TRAOPE!$A:$W,23,0)),"")</f>
        <v/>
      </c>
      <c r="S778" s="10">
        <f>IF(AND(P778="TN",R778="TN"),N778+N(O778),IF(G778&amp;""="1",N(K778)*N778,(N778+N(O778))*N(K778)))</f>
        <v/>
      </c>
      <c r="T778" s="10">
        <f>IF(Q778="","",Q778-S778)</f>
        <v/>
      </c>
    </row>
    <row r="779">
      <c r="A779" s="7">
        <f>CONCATENATE(C779,E779,F779,I779)</f>
        <v/>
      </c>
      <c r="B779" s="7">
        <f>CONCATENATE(C779,E779,I779)</f>
        <v/>
      </c>
      <c r="C779" s="8" t="n">
        <v>900003588</v>
      </c>
      <c r="D779" s="7">
        <f>IFERROR(VLOOKUP(C779,TRAOPE!$G:$H,2,0),"")</f>
        <v/>
      </c>
      <c r="E779" s="8" t="inlineStr">
        <is>
          <t>D836</t>
        </is>
      </c>
      <c r="F779" s="8" t="inlineStr">
        <is>
          <t>67126698</t>
        </is>
      </c>
      <c r="G779" s="8">
        <f>IFERROR(VLOOKUP(A779,Flete!$A:$E,5,0),"")</f>
        <v/>
      </c>
      <c r="H779" s="7">
        <f>IFERROR(VLOOKUP(F779,TRAOPE!$AA:$AB,2,0),"")</f>
        <v/>
      </c>
      <c r="I779" s="7" t="n">
        <v>10001354</v>
      </c>
      <c r="J779" s="7">
        <f>IFERROR(VLOOKUP(I779,Materiales!$A:$H,8,0),"")</f>
        <v/>
      </c>
      <c r="K779" s="9">
        <f>IFERROR(VLOOKUP(I779,Materiales!$A:$G,7,0),"")</f>
        <v/>
      </c>
      <c r="L779" s="8" t="inlineStr">
        <is>
          <t>20190426</t>
        </is>
      </c>
      <c r="M779" s="8" t="inlineStr">
        <is>
          <t>20250127</t>
        </is>
      </c>
      <c r="N779" s="10" t="n">
        <v>130</v>
      </c>
      <c r="O779" s="10">
        <f>IFERROR(VLOOKUP(A779,Flete!$A:$J,10,0),"")</f>
        <v/>
      </c>
      <c r="P779" s="8" t="inlineStr">
        <is>
          <t>TN</t>
        </is>
      </c>
      <c r="Q779" s="10">
        <f>IFERROR(IFERROR(VLOOKUP(A779,TRAOPE!$A:$U,21,0),VLOOKUP(B779,TRAOPE!$A:$U,21,0)),"")</f>
        <v/>
      </c>
      <c r="R779" s="8">
        <f>IFERROR(IFERROR(VLOOKUP(A779,TRAOPE!$A:$W,23,0),VLOOKUP(B779,TRAOPE!$A:$W,23,0)),"")</f>
        <v/>
      </c>
      <c r="S779" s="10">
        <f>IF(AND(P779="TN",R779="TN"),N779+N(O779),IF(G779&amp;""="1",N(K779)*N779,(N779+N(O779))*N(K779)))</f>
        <v/>
      </c>
      <c r="T779" s="10">
        <f>IF(Q779="","",Q779-S779)</f>
        <v/>
      </c>
    </row>
    <row r="780">
      <c r="A780" s="7">
        <f>CONCATENATE(C780,E780,F780,I780)</f>
        <v/>
      </c>
      <c r="B780" s="7">
        <f>CONCATENATE(C780,E780,I780)</f>
        <v/>
      </c>
      <c r="C780" s="8" t="n">
        <v>900003590</v>
      </c>
      <c r="D780" s="7">
        <f>IFERROR(VLOOKUP(C780,TRAOPE!$G:$H,2,0),"")</f>
        <v/>
      </c>
      <c r="E780" s="8" t="inlineStr">
        <is>
          <t>D836</t>
        </is>
      </c>
      <c r="F780" s="8" t="inlineStr">
        <is>
          <t>65014664</t>
        </is>
      </c>
      <c r="G780" s="8">
        <f>IFERROR(VLOOKUP(A780,Flete!$A:$E,5,0),"")</f>
        <v/>
      </c>
      <c r="H780" s="7">
        <f>IFERROR(VLOOKUP(F780,TRAOPE!$AA:$AB,2,0),"")</f>
        <v/>
      </c>
      <c r="I780" s="7" t="n">
        <v>10000829</v>
      </c>
      <c r="J780" s="7">
        <f>IFERROR(VLOOKUP(I780,Materiales!$A:$H,8,0),"")</f>
        <v/>
      </c>
      <c r="K780" s="9">
        <f>IFERROR(VLOOKUP(I780,Materiales!$A:$G,7,0),"")</f>
        <v/>
      </c>
      <c r="L780" s="8" t="inlineStr">
        <is>
          <t>20190426</t>
        </is>
      </c>
      <c r="M780" s="8" t="inlineStr">
        <is>
          <t>20250127</t>
        </is>
      </c>
      <c r="N780" s="10" t="n">
        <v>60</v>
      </c>
      <c r="O780" s="10">
        <f>IFERROR(VLOOKUP(A780,Flete!$A:$J,10,0),"")</f>
        <v/>
      </c>
      <c r="P780" s="8" t="inlineStr">
        <is>
          <t>M3</t>
        </is>
      </c>
      <c r="Q780" s="10">
        <f>IFERROR(IFERROR(VLOOKUP(A780,TRAOPE!$A:$U,21,0),VLOOKUP(B780,TRAOPE!$A:$U,21,0)),"")</f>
        <v/>
      </c>
      <c r="R780" s="8">
        <f>IFERROR(IFERROR(VLOOKUP(A780,TRAOPE!$A:$W,23,0),VLOOKUP(B780,TRAOPE!$A:$W,23,0)),"")</f>
        <v/>
      </c>
      <c r="S780" s="10">
        <f>IF(AND(P780="TN",R780="TN"),N780+N(O780),IF(G780&amp;""="1",N(K780)*N780,(N780+N(O780))*N(K780)))</f>
        <v/>
      </c>
      <c r="T780" s="10">
        <f>IF(Q780="","",Q780-S780)</f>
        <v/>
      </c>
    </row>
    <row r="781">
      <c r="A781" s="7">
        <f>CONCATENATE(C781,E781,F781,I781)</f>
        <v/>
      </c>
      <c r="B781" s="7">
        <f>CONCATENATE(C781,E781,I781)</f>
        <v/>
      </c>
      <c r="C781" s="8" t="n">
        <v>900003592</v>
      </c>
      <c r="D781" s="7">
        <f>IFERROR(VLOOKUP(C781,TRAOPE!$G:$H,2,0),"")</f>
        <v/>
      </c>
      <c r="E781" s="8" t="inlineStr">
        <is>
          <t>D836</t>
        </is>
      </c>
      <c r="F781" s="8" t="inlineStr">
        <is>
          <t>65003945</t>
        </is>
      </c>
      <c r="G781" s="8">
        <f>IFERROR(VLOOKUP(A781,Flete!$A:$E,5,0),"")</f>
        <v/>
      </c>
      <c r="H781" s="7">
        <f>IFERROR(VLOOKUP(F781,TRAOPE!$AA:$AB,2,0),"")</f>
        <v/>
      </c>
      <c r="I781" s="7" t="n">
        <v>10000624</v>
      </c>
      <c r="J781" s="7">
        <f>IFERROR(VLOOKUP(I781,Materiales!$A:$H,8,0),"")</f>
        <v/>
      </c>
      <c r="K781" s="9">
        <f>IFERROR(VLOOKUP(I781,Materiales!$A:$G,7,0),"")</f>
        <v/>
      </c>
      <c r="L781" s="8" t="inlineStr">
        <is>
          <t>20190426</t>
        </is>
      </c>
      <c r="M781" s="8" t="inlineStr">
        <is>
          <t>20250127</t>
        </is>
      </c>
      <c r="N781" s="10" t="n">
        <v>80</v>
      </c>
      <c r="O781" s="10">
        <f>IFERROR(VLOOKUP(A781,Flete!$A:$J,10,0),"")</f>
        <v/>
      </c>
      <c r="P781" s="8" t="inlineStr">
        <is>
          <t>TN</t>
        </is>
      </c>
      <c r="Q781" s="10">
        <f>IFERROR(IFERROR(VLOOKUP(A781,TRAOPE!$A:$U,21,0),VLOOKUP(B781,TRAOPE!$A:$U,21,0)),"")</f>
        <v/>
      </c>
      <c r="R781" s="8">
        <f>IFERROR(IFERROR(VLOOKUP(A781,TRAOPE!$A:$W,23,0),VLOOKUP(B781,TRAOPE!$A:$W,23,0)),"")</f>
        <v/>
      </c>
      <c r="S781" s="10">
        <f>IF(AND(P781="TN",R781="TN"),N781+N(O781),IF(G781&amp;""="1",N(K781)*N781,(N781+N(O781))*N(K781)))</f>
        <v/>
      </c>
      <c r="T781" s="10">
        <f>IF(Q781="","",Q781-S781)</f>
        <v/>
      </c>
    </row>
    <row r="782">
      <c r="A782" s="7">
        <f>CONCATENATE(C782,E782,F782,I782)</f>
        <v/>
      </c>
      <c r="B782" s="7">
        <f>CONCATENATE(C782,E782,I782)</f>
        <v/>
      </c>
      <c r="C782" s="8" t="n">
        <v>900003592</v>
      </c>
      <c r="D782" s="7">
        <f>IFERROR(VLOOKUP(C782,TRAOPE!$G:$H,2,0),"")</f>
        <v/>
      </c>
      <c r="E782" s="8" t="inlineStr">
        <is>
          <t>D836</t>
        </is>
      </c>
      <c r="F782" s="8" t="inlineStr">
        <is>
          <t>65003945</t>
        </is>
      </c>
      <c r="G782" s="8">
        <f>IFERROR(VLOOKUP(A782,Flete!$A:$E,5,0),"")</f>
        <v/>
      </c>
      <c r="H782" s="7">
        <f>IFERROR(VLOOKUP(F782,TRAOPE!$AA:$AB,2,0),"")</f>
        <v/>
      </c>
      <c r="I782" s="7" t="n">
        <v>10000630</v>
      </c>
      <c r="J782" s="7">
        <f>IFERROR(VLOOKUP(I782,Materiales!$A:$H,8,0),"")</f>
        <v/>
      </c>
      <c r="K782" s="9">
        <f>IFERROR(VLOOKUP(I782,Materiales!$A:$G,7,0),"")</f>
        <v/>
      </c>
      <c r="L782" s="8" t="inlineStr">
        <is>
          <t>20190426</t>
        </is>
      </c>
      <c r="M782" s="8" t="inlineStr">
        <is>
          <t>20250127</t>
        </is>
      </c>
      <c r="N782" s="10" t="n">
        <v>85</v>
      </c>
      <c r="O782" s="10">
        <f>IFERROR(VLOOKUP(A782,Flete!$A:$J,10,0),"")</f>
        <v/>
      </c>
      <c r="P782" s="8" t="inlineStr">
        <is>
          <t>TN</t>
        </is>
      </c>
      <c r="Q782" s="10">
        <f>IFERROR(IFERROR(VLOOKUP(A782,TRAOPE!$A:$U,21,0),VLOOKUP(B782,TRAOPE!$A:$U,21,0)),"")</f>
        <v/>
      </c>
      <c r="R782" s="8">
        <f>IFERROR(IFERROR(VLOOKUP(A782,TRAOPE!$A:$W,23,0),VLOOKUP(B782,TRAOPE!$A:$W,23,0)),"")</f>
        <v/>
      </c>
      <c r="S782" s="10">
        <f>IF(AND(P782="TN",R782="TN"),N782+N(O782),IF(G782&amp;""="1",N(K782)*N782,(N782+N(O782))*N(K782)))</f>
        <v/>
      </c>
      <c r="T782" s="10">
        <f>IF(Q782="","",Q782-S782)</f>
        <v/>
      </c>
    </row>
    <row r="783">
      <c r="A783" s="7">
        <f>CONCATENATE(C783,E783,F783,I783)</f>
        <v/>
      </c>
      <c r="B783" s="7">
        <f>CONCATENATE(C783,E783,I783)</f>
        <v/>
      </c>
      <c r="C783" s="8" t="n">
        <v>900003592</v>
      </c>
      <c r="D783" s="7">
        <f>IFERROR(VLOOKUP(C783,TRAOPE!$G:$H,2,0),"")</f>
        <v/>
      </c>
      <c r="E783" s="8" t="inlineStr">
        <is>
          <t>D836</t>
        </is>
      </c>
      <c r="F783" s="8" t="inlineStr">
        <is>
          <t>65003945</t>
        </is>
      </c>
      <c r="G783" s="8">
        <f>IFERROR(VLOOKUP(A783,Flete!$A:$E,5,0),"")</f>
        <v/>
      </c>
      <c r="H783" s="7">
        <f>IFERROR(VLOOKUP(F783,TRAOPE!$AA:$AB,2,0),"")</f>
        <v/>
      </c>
      <c r="I783" s="7" t="n">
        <v>10000722</v>
      </c>
      <c r="J783" s="7">
        <f>IFERROR(VLOOKUP(I783,Materiales!$A:$H,8,0),"")</f>
        <v/>
      </c>
      <c r="K783" s="9">
        <f>IFERROR(VLOOKUP(I783,Materiales!$A:$G,7,0),"")</f>
        <v/>
      </c>
      <c r="L783" s="8" t="inlineStr">
        <is>
          <t>20190426</t>
        </is>
      </c>
      <c r="M783" s="8" t="inlineStr">
        <is>
          <t>20250127</t>
        </is>
      </c>
      <c r="N783" s="10" t="n">
        <v>83</v>
      </c>
      <c r="O783" s="10">
        <f>IFERROR(VLOOKUP(A783,Flete!$A:$J,10,0),"")</f>
        <v/>
      </c>
      <c r="P783" s="8" t="inlineStr">
        <is>
          <t>TN</t>
        </is>
      </c>
      <c r="Q783" s="10">
        <f>IFERROR(IFERROR(VLOOKUP(A783,TRAOPE!$A:$U,21,0),VLOOKUP(B783,TRAOPE!$A:$U,21,0)),"")</f>
        <v/>
      </c>
      <c r="R783" s="8">
        <f>IFERROR(IFERROR(VLOOKUP(A783,TRAOPE!$A:$W,23,0),VLOOKUP(B783,TRAOPE!$A:$W,23,0)),"")</f>
        <v/>
      </c>
      <c r="S783" s="10">
        <f>IF(AND(P783="TN",R783="TN"),N783+N(O783),IF(G783&amp;""="1",N(K783)*N783,(N783+N(O783))*N(K783)))</f>
        <v/>
      </c>
      <c r="T783" s="10">
        <f>IF(Q783="","",Q783-S783)</f>
        <v/>
      </c>
    </row>
    <row r="784">
      <c r="A784" s="7">
        <f>CONCATENATE(C784,E784,F784,I784)</f>
        <v/>
      </c>
      <c r="B784" s="7">
        <f>CONCATENATE(C784,E784,I784)</f>
        <v/>
      </c>
      <c r="C784" s="8" t="n">
        <v>900003592</v>
      </c>
      <c r="D784" s="7">
        <f>IFERROR(VLOOKUP(C784,TRAOPE!$G:$H,2,0),"")</f>
        <v/>
      </c>
      <c r="E784" s="8" t="inlineStr">
        <is>
          <t>D836</t>
        </is>
      </c>
      <c r="F784" s="8" t="inlineStr">
        <is>
          <t>65087219</t>
        </is>
      </c>
      <c r="G784" s="8">
        <f>IFERROR(VLOOKUP(A784,Flete!$A:$E,5,0),"")</f>
        <v/>
      </c>
      <c r="H784" s="7">
        <f>IFERROR(VLOOKUP(F784,TRAOPE!$AA:$AB,2,0),"")</f>
        <v/>
      </c>
      <c r="I784" s="7" t="n">
        <v>10000623</v>
      </c>
      <c r="J784" s="7">
        <f>IFERROR(VLOOKUP(I784,Materiales!$A:$H,8,0),"")</f>
        <v/>
      </c>
      <c r="K784" s="9">
        <f>IFERROR(VLOOKUP(I784,Materiales!$A:$G,7,0),"")</f>
        <v/>
      </c>
      <c r="L784" s="8" t="inlineStr">
        <is>
          <t>20190426</t>
        </is>
      </c>
      <c r="M784" s="8" t="inlineStr">
        <is>
          <t>20250127</t>
        </is>
      </c>
      <c r="N784" s="10" t="n">
        <v>84</v>
      </c>
      <c r="O784" s="10">
        <f>IFERROR(VLOOKUP(A784,Flete!$A:$J,10,0),"")</f>
        <v/>
      </c>
      <c r="P784" s="8" t="inlineStr">
        <is>
          <t>TN</t>
        </is>
      </c>
      <c r="Q784" s="10">
        <f>IFERROR(IFERROR(VLOOKUP(A784,TRAOPE!$A:$U,21,0),VLOOKUP(B784,TRAOPE!$A:$U,21,0)),"")</f>
        <v/>
      </c>
      <c r="R784" s="8">
        <f>IFERROR(IFERROR(VLOOKUP(A784,TRAOPE!$A:$W,23,0),VLOOKUP(B784,TRAOPE!$A:$W,23,0)),"")</f>
        <v/>
      </c>
      <c r="S784" s="10">
        <f>IF(AND(P784="TN",R784="TN"),N784+N(O784),IF(G784&amp;""="1",N(K784)*N784,(N784+N(O784))*N(K784)))</f>
        <v/>
      </c>
      <c r="T784" s="10">
        <f>IF(Q784="","",Q784-S784)</f>
        <v/>
      </c>
    </row>
    <row r="785">
      <c r="A785" s="7">
        <f>CONCATENATE(C785,E785,F785,I785)</f>
        <v/>
      </c>
      <c r="B785" s="7">
        <f>CONCATENATE(C785,E785,I785)</f>
        <v/>
      </c>
      <c r="C785" s="8" t="n">
        <v>900003592</v>
      </c>
      <c r="D785" s="7">
        <f>IFERROR(VLOOKUP(C785,TRAOPE!$G:$H,2,0),"")</f>
        <v/>
      </c>
      <c r="E785" s="8" t="inlineStr">
        <is>
          <t>D836</t>
        </is>
      </c>
      <c r="F785" s="8" t="inlineStr">
        <is>
          <t>65087219</t>
        </is>
      </c>
      <c r="G785" s="8">
        <f>IFERROR(VLOOKUP(A785,Flete!$A:$E,5,0),"")</f>
        <v/>
      </c>
      <c r="H785" s="7">
        <f>IFERROR(VLOOKUP(F785,TRAOPE!$AA:$AB,2,0),"")</f>
        <v/>
      </c>
      <c r="I785" s="7" t="n">
        <v>10000630</v>
      </c>
      <c r="J785" s="7">
        <f>IFERROR(VLOOKUP(I785,Materiales!$A:$H,8,0),"")</f>
        <v/>
      </c>
      <c r="K785" s="9">
        <f>IFERROR(VLOOKUP(I785,Materiales!$A:$G,7,0),"")</f>
        <v/>
      </c>
      <c r="L785" s="8" t="inlineStr">
        <is>
          <t>20190426</t>
        </is>
      </c>
      <c r="M785" s="8" t="inlineStr">
        <is>
          <t>20250127</t>
        </is>
      </c>
      <c r="N785" s="10" t="n">
        <v>102.26</v>
      </c>
      <c r="O785" s="10">
        <f>IFERROR(VLOOKUP(A785,Flete!$A:$J,10,0),"")</f>
        <v/>
      </c>
      <c r="P785" s="8" t="inlineStr">
        <is>
          <t>TN</t>
        </is>
      </c>
      <c r="Q785" s="10">
        <f>IFERROR(IFERROR(VLOOKUP(A785,TRAOPE!$A:$U,21,0),VLOOKUP(B785,TRAOPE!$A:$U,21,0)),"")</f>
        <v/>
      </c>
      <c r="R785" s="8">
        <f>IFERROR(IFERROR(VLOOKUP(A785,TRAOPE!$A:$W,23,0),VLOOKUP(B785,TRAOPE!$A:$W,23,0)),"")</f>
        <v/>
      </c>
      <c r="S785" s="10">
        <f>IF(AND(P785="TN",R785="TN"),N785+N(O785),IF(G785&amp;""="1",N(K785)*N785,(N785+N(O785))*N(K785)))</f>
        <v/>
      </c>
      <c r="T785" s="10">
        <f>IF(Q785="","",Q785-S785)</f>
        <v/>
      </c>
    </row>
    <row r="786">
      <c r="A786" s="7">
        <f>CONCATENATE(C786,E786,F786,I786)</f>
        <v/>
      </c>
      <c r="B786" s="7">
        <f>CONCATENATE(C786,E786,I786)</f>
        <v/>
      </c>
      <c r="C786" s="8" t="n">
        <v>900003592</v>
      </c>
      <c r="D786" s="7">
        <f>IFERROR(VLOOKUP(C786,TRAOPE!$G:$H,2,0),"")</f>
        <v/>
      </c>
      <c r="E786" s="8" t="inlineStr">
        <is>
          <t>D836</t>
        </is>
      </c>
      <c r="F786" s="8" t="inlineStr">
        <is>
          <t>65087219</t>
        </is>
      </c>
      <c r="G786" s="8">
        <f>IFERROR(VLOOKUP(A786,Flete!$A:$E,5,0),"")</f>
        <v/>
      </c>
      <c r="H786" s="7">
        <f>IFERROR(VLOOKUP(F786,TRAOPE!$AA:$AB,2,0),"")</f>
        <v/>
      </c>
      <c r="I786" s="7" t="n">
        <v>10000722</v>
      </c>
      <c r="J786" s="7">
        <f>IFERROR(VLOOKUP(I786,Materiales!$A:$H,8,0),"")</f>
        <v/>
      </c>
      <c r="K786" s="9">
        <f>IFERROR(VLOOKUP(I786,Materiales!$A:$G,7,0),"")</f>
        <v/>
      </c>
      <c r="L786" s="8" t="inlineStr">
        <is>
          <t>20190426</t>
        </is>
      </c>
      <c r="M786" s="8" t="inlineStr">
        <is>
          <t>20250127</t>
        </is>
      </c>
      <c r="N786" s="10" t="n">
        <v>102.26</v>
      </c>
      <c r="O786" s="10">
        <f>IFERROR(VLOOKUP(A786,Flete!$A:$J,10,0),"")</f>
        <v/>
      </c>
      <c r="P786" s="8" t="inlineStr">
        <is>
          <t>TN</t>
        </is>
      </c>
      <c r="Q786" s="10">
        <f>IFERROR(IFERROR(VLOOKUP(A786,TRAOPE!$A:$U,21,0),VLOOKUP(B786,TRAOPE!$A:$U,21,0)),"")</f>
        <v/>
      </c>
      <c r="R786" s="8">
        <f>IFERROR(IFERROR(VLOOKUP(A786,TRAOPE!$A:$W,23,0),VLOOKUP(B786,TRAOPE!$A:$W,23,0)),"")</f>
        <v/>
      </c>
      <c r="S786" s="10">
        <f>IF(AND(P786="TN",R786="TN"),N786+N(O786),IF(G786&amp;""="1",N(K786)*N786,(N786+N(O786))*N(K786)))</f>
        <v/>
      </c>
      <c r="T786" s="10">
        <f>IF(Q786="","",Q786-S786)</f>
        <v/>
      </c>
    </row>
    <row r="787">
      <c r="A787" s="7">
        <f>CONCATENATE(C787,E787,F787,I787)</f>
        <v/>
      </c>
      <c r="B787" s="7">
        <f>CONCATENATE(C787,E787,I787)</f>
        <v/>
      </c>
      <c r="C787" s="8" t="n">
        <v>900003592</v>
      </c>
      <c r="D787" s="7">
        <f>IFERROR(VLOOKUP(C787,TRAOPE!$G:$H,2,0),"")</f>
        <v/>
      </c>
      <c r="E787" s="8" t="inlineStr">
        <is>
          <t>D836</t>
        </is>
      </c>
      <c r="F787" s="8" t="inlineStr">
        <is>
          <t>65232687</t>
        </is>
      </c>
      <c r="G787" s="8">
        <f>IFERROR(VLOOKUP(A787,Flete!$A:$E,5,0),"")</f>
        <v/>
      </c>
      <c r="H787" s="7">
        <f>IFERROR(VLOOKUP(F787,TRAOPE!$AA:$AB,2,0),"")</f>
        <v/>
      </c>
      <c r="I787" s="7" t="n">
        <v>10000623</v>
      </c>
      <c r="J787" s="7">
        <f>IFERROR(VLOOKUP(I787,Materiales!$A:$H,8,0),"")</f>
        <v/>
      </c>
      <c r="K787" s="9">
        <f>IFERROR(VLOOKUP(I787,Materiales!$A:$G,7,0),"")</f>
        <v/>
      </c>
      <c r="L787" s="8" t="inlineStr">
        <is>
          <t>20190426</t>
        </is>
      </c>
      <c r="M787" s="8" t="inlineStr">
        <is>
          <t>20250127</t>
        </is>
      </c>
      <c r="N787" s="10" t="n">
        <v>87.40000000000001</v>
      </c>
      <c r="O787" s="10">
        <f>IFERROR(VLOOKUP(A787,Flete!$A:$J,10,0),"")</f>
        <v/>
      </c>
      <c r="P787" s="8" t="inlineStr">
        <is>
          <t>TN</t>
        </is>
      </c>
      <c r="Q787" s="10">
        <f>IFERROR(IFERROR(VLOOKUP(A787,TRAOPE!$A:$U,21,0),VLOOKUP(B787,TRAOPE!$A:$U,21,0)),"")</f>
        <v/>
      </c>
      <c r="R787" s="8">
        <f>IFERROR(IFERROR(VLOOKUP(A787,TRAOPE!$A:$W,23,0),VLOOKUP(B787,TRAOPE!$A:$W,23,0)),"")</f>
        <v/>
      </c>
      <c r="S787" s="10">
        <f>IF(AND(P787="TN",R787="TN"),N787+N(O787),IF(G787&amp;""="1",N(K787)*N787,(N787+N(O787))*N(K787)))</f>
        <v/>
      </c>
      <c r="T787" s="10">
        <f>IF(Q787="","",Q787-S787)</f>
        <v/>
      </c>
    </row>
    <row r="788">
      <c r="A788" s="7">
        <f>CONCATENATE(C788,E788,F788,I788)</f>
        <v/>
      </c>
      <c r="B788" s="7">
        <f>CONCATENATE(C788,E788,I788)</f>
        <v/>
      </c>
      <c r="C788" s="8" t="n">
        <v>900003592</v>
      </c>
      <c r="D788" s="7">
        <f>IFERROR(VLOOKUP(C788,TRAOPE!$G:$H,2,0),"")</f>
        <v/>
      </c>
      <c r="E788" s="8" t="inlineStr">
        <is>
          <t>D836</t>
        </is>
      </c>
      <c r="F788" s="8" t="inlineStr">
        <is>
          <t>65232687</t>
        </is>
      </c>
      <c r="G788" s="8">
        <f>IFERROR(VLOOKUP(A788,Flete!$A:$E,5,0),"")</f>
        <v/>
      </c>
      <c r="H788" s="7">
        <f>IFERROR(VLOOKUP(F788,TRAOPE!$AA:$AB,2,0),"")</f>
        <v/>
      </c>
      <c r="I788" s="7" t="n">
        <v>10000624</v>
      </c>
      <c r="J788" s="7">
        <f>IFERROR(VLOOKUP(I788,Materiales!$A:$H,8,0),"")</f>
        <v/>
      </c>
      <c r="K788" s="9">
        <f>IFERROR(VLOOKUP(I788,Materiales!$A:$G,7,0),"")</f>
        <v/>
      </c>
      <c r="L788" s="8" t="inlineStr">
        <is>
          <t>20190426</t>
        </is>
      </c>
      <c r="M788" s="8" t="inlineStr">
        <is>
          <t>20250127</t>
        </is>
      </c>
      <c r="N788" s="10" t="n">
        <v>91</v>
      </c>
      <c r="O788" s="10">
        <f>IFERROR(VLOOKUP(A788,Flete!$A:$J,10,0),"")</f>
        <v/>
      </c>
      <c r="P788" s="8" t="inlineStr">
        <is>
          <t>TN</t>
        </is>
      </c>
      <c r="Q788" s="10">
        <f>IFERROR(IFERROR(VLOOKUP(A788,TRAOPE!$A:$U,21,0),VLOOKUP(B788,TRAOPE!$A:$U,21,0)),"")</f>
        <v/>
      </c>
      <c r="R788" s="8">
        <f>IFERROR(IFERROR(VLOOKUP(A788,TRAOPE!$A:$W,23,0),VLOOKUP(B788,TRAOPE!$A:$W,23,0)),"")</f>
        <v/>
      </c>
      <c r="S788" s="10">
        <f>IF(AND(P788="TN",R788="TN"),N788+N(O788),IF(G788&amp;""="1",N(K788)*N788,(N788+N(O788))*N(K788)))</f>
        <v/>
      </c>
      <c r="T788" s="10">
        <f>IF(Q788="","",Q788-S788)</f>
        <v/>
      </c>
    </row>
    <row r="789">
      <c r="A789" s="7">
        <f>CONCATENATE(C789,E789,F789,I789)</f>
        <v/>
      </c>
      <c r="B789" s="7">
        <f>CONCATENATE(C789,E789,I789)</f>
        <v/>
      </c>
      <c r="C789" s="8" t="n">
        <v>900003592</v>
      </c>
      <c r="D789" s="7">
        <f>IFERROR(VLOOKUP(C789,TRAOPE!$G:$H,2,0),"")</f>
        <v/>
      </c>
      <c r="E789" s="8" t="inlineStr">
        <is>
          <t>D836</t>
        </is>
      </c>
      <c r="F789" s="8" t="inlineStr">
        <is>
          <t>65232687</t>
        </is>
      </c>
      <c r="G789" s="8">
        <f>IFERROR(VLOOKUP(A789,Flete!$A:$E,5,0),"")</f>
        <v/>
      </c>
      <c r="H789" s="7">
        <f>IFERROR(VLOOKUP(F789,TRAOPE!$AA:$AB,2,0),"")</f>
        <v/>
      </c>
      <c r="I789" s="7" t="n">
        <v>10000630</v>
      </c>
      <c r="J789" s="7">
        <f>IFERROR(VLOOKUP(I789,Materiales!$A:$H,8,0),"")</f>
        <v/>
      </c>
      <c r="K789" s="9">
        <f>IFERROR(VLOOKUP(I789,Materiales!$A:$G,7,0),"")</f>
        <v/>
      </c>
      <c r="L789" s="8" t="inlineStr">
        <is>
          <t>20190426</t>
        </is>
      </c>
      <c r="M789" s="8" t="inlineStr">
        <is>
          <t>20250127</t>
        </is>
      </c>
      <c r="N789" s="10" t="n">
        <v>87.40000000000001</v>
      </c>
      <c r="O789" s="10">
        <f>IFERROR(VLOOKUP(A789,Flete!$A:$J,10,0),"")</f>
        <v/>
      </c>
      <c r="P789" s="8" t="inlineStr">
        <is>
          <t>TN</t>
        </is>
      </c>
      <c r="Q789" s="10">
        <f>IFERROR(IFERROR(VLOOKUP(A789,TRAOPE!$A:$U,21,0),VLOOKUP(B789,TRAOPE!$A:$U,21,0)),"")</f>
        <v/>
      </c>
      <c r="R789" s="8">
        <f>IFERROR(IFERROR(VLOOKUP(A789,TRAOPE!$A:$W,23,0),VLOOKUP(B789,TRAOPE!$A:$W,23,0)),"")</f>
        <v/>
      </c>
      <c r="S789" s="10">
        <f>IF(AND(P789="TN",R789="TN"),N789+N(O789),IF(G789&amp;""="1",N(K789)*N789,(N789+N(O789))*N(K789)))</f>
        <v/>
      </c>
      <c r="T789" s="10">
        <f>IF(Q789="","",Q789-S789)</f>
        <v/>
      </c>
    </row>
    <row r="790">
      <c r="A790" s="7">
        <f>CONCATENATE(C790,E790,F790,I790)</f>
        <v/>
      </c>
      <c r="B790" s="7">
        <f>CONCATENATE(C790,E790,I790)</f>
        <v/>
      </c>
      <c r="C790" s="8" t="n">
        <v>900003592</v>
      </c>
      <c r="D790" s="7">
        <f>IFERROR(VLOOKUP(C790,TRAOPE!$G:$H,2,0),"")</f>
        <v/>
      </c>
      <c r="E790" s="8" t="inlineStr">
        <is>
          <t>D836</t>
        </is>
      </c>
      <c r="F790" s="8" t="inlineStr">
        <is>
          <t>65232687</t>
        </is>
      </c>
      <c r="G790" s="8">
        <f>IFERROR(VLOOKUP(A790,Flete!$A:$E,5,0),"")</f>
        <v/>
      </c>
      <c r="H790" s="7">
        <f>IFERROR(VLOOKUP(F790,TRAOPE!$AA:$AB,2,0),"")</f>
        <v/>
      </c>
      <c r="I790" s="7" t="n">
        <v>10000722</v>
      </c>
      <c r="J790" s="7">
        <f>IFERROR(VLOOKUP(I790,Materiales!$A:$H,8,0),"")</f>
        <v/>
      </c>
      <c r="K790" s="9">
        <f>IFERROR(VLOOKUP(I790,Materiales!$A:$G,7,0),"")</f>
        <v/>
      </c>
      <c r="L790" s="8" t="inlineStr">
        <is>
          <t>20190426</t>
        </is>
      </c>
      <c r="M790" s="8" t="inlineStr">
        <is>
          <t>20250127</t>
        </is>
      </c>
      <c r="N790" s="10" t="n">
        <v>91</v>
      </c>
      <c r="O790" s="10">
        <f>IFERROR(VLOOKUP(A790,Flete!$A:$J,10,0),"")</f>
        <v/>
      </c>
      <c r="P790" s="8" t="inlineStr">
        <is>
          <t>TN</t>
        </is>
      </c>
      <c r="Q790" s="10">
        <f>IFERROR(IFERROR(VLOOKUP(A790,TRAOPE!$A:$U,21,0),VLOOKUP(B790,TRAOPE!$A:$U,21,0)),"")</f>
        <v/>
      </c>
      <c r="R790" s="8">
        <f>IFERROR(IFERROR(VLOOKUP(A790,TRAOPE!$A:$W,23,0),VLOOKUP(B790,TRAOPE!$A:$W,23,0)),"")</f>
        <v/>
      </c>
      <c r="S790" s="10">
        <f>IF(AND(P790="TN",R790="TN"),N790+N(O790),IF(G790&amp;""="1",N(K790)*N790,(N790+N(O790))*N(K790)))</f>
        <v/>
      </c>
      <c r="T790" s="10">
        <f>IF(Q790="","",Q790-S790)</f>
        <v/>
      </c>
    </row>
    <row r="791">
      <c r="A791" s="7">
        <f>CONCATENATE(C791,E791,F791,I791)</f>
        <v/>
      </c>
      <c r="B791" s="7">
        <f>CONCATENATE(C791,E791,I791)</f>
        <v/>
      </c>
      <c r="C791" s="8" t="n">
        <v>900003592</v>
      </c>
      <c r="D791" s="7">
        <f>IFERROR(VLOOKUP(C791,TRAOPE!$G:$H,2,0),"")</f>
        <v/>
      </c>
      <c r="E791" s="8" t="inlineStr">
        <is>
          <t>D836</t>
        </is>
      </c>
      <c r="F791" s="8" t="inlineStr">
        <is>
          <t>65251399</t>
        </is>
      </c>
      <c r="G791" s="8">
        <f>IFERROR(VLOOKUP(A791,Flete!$A:$E,5,0),"")</f>
        <v/>
      </c>
      <c r="H791" s="7">
        <f>IFERROR(VLOOKUP(F791,TRAOPE!$AA:$AB,2,0),"")</f>
        <v/>
      </c>
      <c r="I791" s="7" t="n">
        <v>10000624</v>
      </c>
      <c r="J791" s="7">
        <f>IFERROR(VLOOKUP(I791,Materiales!$A:$H,8,0),"")</f>
        <v/>
      </c>
      <c r="K791" s="9">
        <f>IFERROR(VLOOKUP(I791,Materiales!$A:$G,7,0),"")</f>
        <v/>
      </c>
      <c r="L791" s="8" t="inlineStr">
        <is>
          <t>20190426</t>
        </is>
      </c>
      <c r="M791" s="8" t="inlineStr">
        <is>
          <t>20250127</t>
        </is>
      </c>
      <c r="N791" s="10" t="n">
        <v>85</v>
      </c>
      <c r="O791" s="10">
        <f>IFERROR(VLOOKUP(A791,Flete!$A:$J,10,0),"")</f>
        <v/>
      </c>
      <c r="P791" s="8" t="inlineStr">
        <is>
          <t>TN</t>
        </is>
      </c>
      <c r="Q791" s="10">
        <f>IFERROR(IFERROR(VLOOKUP(A791,TRAOPE!$A:$U,21,0),VLOOKUP(B791,TRAOPE!$A:$U,21,0)),"")</f>
        <v/>
      </c>
      <c r="R791" s="8">
        <f>IFERROR(IFERROR(VLOOKUP(A791,TRAOPE!$A:$W,23,0),VLOOKUP(B791,TRAOPE!$A:$W,23,0)),"")</f>
        <v/>
      </c>
      <c r="S791" s="10">
        <f>IF(AND(P791="TN",R791="TN"),N791+N(O791),IF(G791&amp;""="1",N(K791)*N791,(N791+N(O791))*N(K791)))</f>
        <v/>
      </c>
      <c r="T791" s="10">
        <f>IF(Q791="","",Q791-S791)</f>
        <v/>
      </c>
    </row>
    <row r="792">
      <c r="A792" s="7">
        <f>CONCATENATE(C792,E792,F792,I792)</f>
        <v/>
      </c>
      <c r="B792" s="7">
        <f>CONCATENATE(C792,E792,I792)</f>
        <v/>
      </c>
      <c r="C792" s="8" t="n">
        <v>900003592</v>
      </c>
      <c r="D792" s="7">
        <f>IFERROR(VLOOKUP(C792,TRAOPE!$G:$H,2,0),"")</f>
        <v/>
      </c>
      <c r="E792" s="8" t="inlineStr">
        <is>
          <t>D836</t>
        </is>
      </c>
      <c r="F792" s="8" t="inlineStr">
        <is>
          <t>65251399</t>
        </is>
      </c>
      <c r="G792" s="8">
        <f>IFERROR(VLOOKUP(A792,Flete!$A:$E,5,0),"")</f>
        <v/>
      </c>
      <c r="H792" s="7">
        <f>IFERROR(VLOOKUP(F792,TRAOPE!$AA:$AB,2,0),"")</f>
        <v/>
      </c>
      <c r="I792" s="7" t="n">
        <v>10000722</v>
      </c>
      <c r="J792" s="7">
        <f>IFERROR(VLOOKUP(I792,Materiales!$A:$H,8,0),"")</f>
        <v/>
      </c>
      <c r="K792" s="9">
        <f>IFERROR(VLOOKUP(I792,Materiales!$A:$G,7,0),"")</f>
        <v/>
      </c>
      <c r="L792" s="8" t="inlineStr">
        <is>
          <t>20190426</t>
        </is>
      </c>
      <c r="M792" s="8" t="inlineStr">
        <is>
          <t>20250127</t>
        </is>
      </c>
      <c r="N792" s="10" t="n">
        <v>80</v>
      </c>
      <c r="O792" s="10">
        <f>IFERROR(VLOOKUP(A792,Flete!$A:$J,10,0),"")</f>
        <v/>
      </c>
      <c r="P792" s="8" t="inlineStr">
        <is>
          <t>TN</t>
        </is>
      </c>
      <c r="Q792" s="10">
        <f>IFERROR(IFERROR(VLOOKUP(A792,TRAOPE!$A:$U,21,0),VLOOKUP(B792,TRAOPE!$A:$U,21,0)),"")</f>
        <v/>
      </c>
      <c r="R792" s="8">
        <f>IFERROR(IFERROR(VLOOKUP(A792,TRAOPE!$A:$W,23,0),VLOOKUP(B792,TRAOPE!$A:$W,23,0)),"")</f>
        <v/>
      </c>
      <c r="S792" s="10">
        <f>IF(AND(P792="TN",R792="TN"),N792+N(O792),IF(G792&amp;""="1",N(K792)*N792,(N792+N(O792))*N(K792)))</f>
        <v/>
      </c>
      <c r="T792" s="10">
        <f>IF(Q792="","",Q792-S792)</f>
        <v/>
      </c>
    </row>
    <row r="793">
      <c r="A793" s="7">
        <f>CONCATENATE(C793,E793,F793,I793)</f>
        <v/>
      </c>
      <c r="B793" s="7">
        <f>CONCATENATE(C793,E793,I793)</f>
        <v/>
      </c>
      <c r="C793" s="8" t="n">
        <v>900003592</v>
      </c>
      <c r="D793" s="7">
        <f>IFERROR(VLOOKUP(C793,TRAOPE!$G:$H,2,0),"")</f>
        <v/>
      </c>
      <c r="E793" s="8" t="inlineStr">
        <is>
          <t>D836</t>
        </is>
      </c>
      <c r="F793" s="8" t="inlineStr">
        <is>
          <t>65251399</t>
        </is>
      </c>
      <c r="G793" s="8">
        <f>IFERROR(VLOOKUP(A793,Flete!$A:$E,5,0),"")</f>
        <v/>
      </c>
      <c r="H793" s="7">
        <f>IFERROR(VLOOKUP(F793,TRAOPE!$AA:$AB,2,0),"")</f>
        <v/>
      </c>
      <c r="I793" s="7" t="n">
        <v>10053281</v>
      </c>
      <c r="J793" s="7">
        <f>IFERROR(VLOOKUP(I793,Materiales!$A:$H,8,0),"")</f>
        <v/>
      </c>
      <c r="K793" s="9">
        <f>IFERROR(VLOOKUP(I793,Materiales!$A:$G,7,0),"")</f>
        <v/>
      </c>
      <c r="L793" s="8" t="inlineStr">
        <is>
          <t>20190426</t>
        </is>
      </c>
      <c r="M793" s="8" t="inlineStr">
        <is>
          <t>20250127</t>
        </is>
      </c>
      <c r="N793" s="10" t="n">
        <v>80</v>
      </c>
      <c r="O793" s="10">
        <f>IFERROR(VLOOKUP(A793,Flete!$A:$J,10,0),"")</f>
        <v/>
      </c>
      <c r="P793" s="8" t="inlineStr">
        <is>
          <t>TN</t>
        </is>
      </c>
      <c r="Q793" s="10">
        <f>IFERROR(IFERROR(VLOOKUP(A793,TRAOPE!$A:$U,21,0),VLOOKUP(B793,TRAOPE!$A:$U,21,0)),"")</f>
        <v/>
      </c>
      <c r="R793" s="8">
        <f>IFERROR(IFERROR(VLOOKUP(A793,TRAOPE!$A:$W,23,0),VLOOKUP(B793,TRAOPE!$A:$W,23,0)),"")</f>
        <v/>
      </c>
      <c r="S793" s="10">
        <f>IF(AND(P793="TN",R793="TN"),N793+N(O793),IF(G793&amp;""="1",N(K793)*N793,(N793+N(O793))*N(K793)))</f>
        <v/>
      </c>
      <c r="T793" s="10">
        <f>IF(Q793="","",Q793-S793)</f>
        <v/>
      </c>
    </row>
    <row r="794">
      <c r="A794" s="7">
        <f>CONCATENATE(C794,E794,F794,I794)</f>
        <v/>
      </c>
      <c r="B794" s="7">
        <f>CONCATENATE(C794,E794,I794)</f>
        <v/>
      </c>
      <c r="C794" s="8" t="n">
        <v>900003592</v>
      </c>
      <c r="D794" s="7">
        <f>IFERROR(VLOOKUP(C794,TRAOPE!$G:$H,2,0),"")</f>
        <v/>
      </c>
      <c r="E794" s="8" t="inlineStr">
        <is>
          <t>D836</t>
        </is>
      </c>
      <c r="F794" s="8" t="inlineStr">
        <is>
          <t>65272437</t>
        </is>
      </c>
      <c r="G794" s="8">
        <f>IFERROR(VLOOKUP(A794,Flete!$A:$E,5,0),"")</f>
        <v/>
      </c>
      <c r="H794" s="7">
        <f>IFERROR(VLOOKUP(F794,TRAOPE!$AA:$AB,2,0),"")</f>
        <v/>
      </c>
      <c r="I794" s="7" t="n">
        <v>10000630</v>
      </c>
      <c r="J794" s="7">
        <f>IFERROR(VLOOKUP(I794,Materiales!$A:$H,8,0),"")</f>
        <v/>
      </c>
      <c r="K794" s="9">
        <f>IFERROR(VLOOKUP(I794,Materiales!$A:$G,7,0),"")</f>
        <v/>
      </c>
      <c r="L794" s="8" t="inlineStr">
        <is>
          <t>20190426</t>
        </is>
      </c>
      <c r="M794" s="8" t="inlineStr">
        <is>
          <t>20250127</t>
        </is>
      </c>
      <c r="N794" s="10" t="n">
        <v>95</v>
      </c>
      <c r="O794" s="10">
        <f>IFERROR(VLOOKUP(A794,Flete!$A:$J,10,0),"")</f>
        <v/>
      </c>
      <c r="P794" s="8" t="inlineStr">
        <is>
          <t>TN</t>
        </is>
      </c>
      <c r="Q794" s="10">
        <f>IFERROR(IFERROR(VLOOKUP(A794,TRAOPE!$A:$U,21,0),VLOOKUP(B794,TRAOPE!$A:$U,21,0)),"")</f>
        <v/>
      </c>
      <c r="R794" s="8">
        <f>IFERROR(IFERROR(VLOOKUP(A794,TRAOPE!$A:$W,23,0),VLOOKUP(B794,TRAOPE!$A:$W,23,0)),"")</f>
        <v/>
      </c>
      <c r="S794" s="10">
        <f>IF(AND(P794="TN",R794="TN"),N794+N(O794),IF(G794&amp;""="1",N(K794)*N794,(N794+N(O794))*N(K794)))</f>
        <v/>
      </c>
      <c r="T794" s="10">
        <f>IF(Q794="","",Q794-S794)</f>
        <v/>
      </c>
    </row>
    <row r="795">
      <c r="A795" s="7">
        <f>CONCATENATE(C795,E795,F795,I795)</f>
        <v/>
      </c>
      <c r="B795" s="7">
        <f>CONCATENATE(C795,E795,I795)</f>
        <v/>
      </c>
      <c r="C795" s="8" t="n">
        <v>900003592</v>
      </c>
      <c r="D795" s="7">
        <f>IFERROR(VLOOKUP(C795,TRAOPE!$G:$H,2,0),"")</f>
        <v/>
      </c>
      <c r="E795" s="8" t="inlineStr">
        <is>
          <t>D836</t>
        </is>
      </c>
      <c r="F795" s="8" t="inlineStr">
        <is>
          <t>65272437</t>
        </is>
      </c>
      <c r="G795" s="8">
        <f>IFERROR(VLOOKUP(A795,Flete!$A:$E,5,0),"")</f>
        <v/>
      </c>
      <c r="H795" s="7">
        <f>IFERROR(VLOOKUP(F795,TRAOPE!$AA:$AB,2,0),"")</f>
        <v/>
      </c>
      <c r="I795" s="7" t="n">
        <v>10000722</v>
      </c>
      <c r="J795" s="7">
        <f>IFERROR(VLOOKUP(I795,Materiales!$A:$H,8,0),"")</f>
        <v/>
      </c>
      <c r="K795" s="9">
        <f>IFERROR(VLOOKUP(I795,Materiales!$A:$G,7,0),"")</f>
        <v/>
      </c>
      <c r="L795" s="8" t="inlineStr">
        <is>
          <t>20190426</t>
        </is>
      </c>
      <c r="M795" s="8" t="inlineStr">
        <is>
          <t>20250127</t>
        </is>
      </c>
      <c r="N795" s="10" t="n">
        <v>95</v>
      </c>
      <c r="O795" s="10">
        <f>IFERROR(VLOOKUP(A795,Flete!$A:$J,10,0),"")</f>
        <v/>
      </c>
      <c r="P795" s="8" t="inlineStr">
        <is>
          <t>TN</t>
        </is>
      </c>
      <c r="Q795" s="10">
        <f>IFERROR(IFERROR(VLOOKUP(A795,TRAOPE!$A:$U,21,0),VLOOKUP(B795,TRAOPE!$A:$U,21,0)),"")</f>
        <v/>
      </c>
      <c r="R795" s="8">
        <f>IFERROR(IFERROR(VLOOKUP(A795,TRAOPE!$A:$W,23,0),VLOOKUP(B795,TRAOPE!$A:$W,23,0)),"")</f>
        <v/>
      </c>
      <c r="S795" s="10">
        <f>IF(AND(P795="TN",R795="TN"),N795+N(O795),IF(G795&amp;""="1",N(K795)*N795,(N795+N(O795))*N(K795)))</f>
        <v/>
      </c>
      <c r="T795" s="10">
        <f>IF(Q795="","",Q795-S795)</f>
        <v/>
      </c>
    </row>
    <row r="796">
      <c r="A796" s="7">
        <f>CONCATENATE(C796,E796,F796,I796)</f>
        <v/>
      </c>
      <c r="B796" s="7">
        <f>CONCATENATE(C796,E796,I796)</f>
        <v/>
      </c>
      <c r="C796" s="8" t="n">
        <v>900003592</v>
      </c>
      <c r="D796" s="7">
        <f>IFERROR(VLOOKUP(C796,TRAOPE!$G:$H,2,0),"")</f>
        <v/>
      </c>
      <c r="E796" s="8" t="inlineStr">
        <is>
          <t>D836</t>
        </is>
      </c>
      <c r="F796" s="8" t="inlineStr">
        <is>
          <t>65300906</t>
        </is>
      </c>
      <c r="G796" s="8">
        <f>IFERROR(VLOOKUP(A796,Flete!$A:$E,5,0),"")</f>
        <v/>
      </c>
      <c r="H796" s="7">
        <f>IFERROR(VLOOKUP(F796,TRAOPE!$AA:$AB,2,0),"")</f>
        <v/>
      </c>
      <c r="I796" s="7" t="n">
        <v>10000624</v>
      </c>
      <c r="J796" s="7">
        <f>IFERROR(VLOOKUP(I796,Materiales!$A:$H,8,0),"")</f>
        <v/>
      </c>
      <c r="K796" s="9">
        <f>IFERROR(VLOOKUP(I796,Materiales!$A:$G,7,0),"")</f>
        <v/>
      </c>
      <c r="L796" s="8" t="inlineStr">
        <is>
          <t>20190426</t>
        </is>
      </c>
      <c r="M796" s="8" t="inlineStr">
        <is>
          <t>20250127</t>
        </is>
      </c>
      <c r="N796" s="10" t="n">
        <v>85</v>
      </c>
      <c r="O796" s="10">
        <f>IFERROR(VLOOKUP(A796,Flete!$A:$J,10,0),"")</f>
        <v/>
      </c>
      <c r="P796" s="8" t="inlineStr">
        <is>
          <t>TN</t>
        </is>
      </c>
      <c r="Q796" s="10">
        <f>IFERROR(IFERROR(VLOOKUP(A796,TRAOPE!$A:$U,21,0),VLOOKUP(B796,TRAOPE!$A:$U,21,0)),"")</f>
        <v/>
      </c>
      <c r="R796" s="8">
        <f>IFERROR(IFERROR(VLOOKUP(A796,TRAOPE!$A:$W,23,0),VLOOKUP(B796,TRAOPE!$A:$W,23,0)),"")</f>
        <v/>
      </c>
      <c r="S796" s="10">
        <f>IF(AND(P796="TN",R796="TN"),N796+N(O796),IF(G796&amp;""="1",N(K796)*N796,(N796+N(O796))*N(K796)))</f>
        <v/>
      </c>
      <c r="T796" s="10">
        <f>IF(Q796="","",Q796-S796)</f>
        <v/>
      </c>
    </row>
    <row r="797">
      <c r="A797" s="7">
        <f>CONCATENATE(C797,E797,F797,I797)</f>
        <v/>
      </c>
      <c r="B797" s="7">
        <f>CONCATENATE(C797,E797,I797)</f>
        <v/>
      </c>
      <c r="C797" s="8" t="n">
        <v>900003592</v>
      </c>
      <c r="D797" s="7">
        <f>IFERROR(VLOOKUP(C797,TRAOPE!$G:$H,2,0),"")</f>
        <v/>
      </c>
      <c r="E797" s="8" t="inlineStr">
        <is>
          <t>D836</t>
        </is>
      </c>
      <c r="F797" s="8" t="inlineStr">
        <is>
          <t>65300906</t>
        </is>
      </c>
      <c r="G797" s="8">
        <f>IFERROR(VLOOKUP(A797,Flete!$A:$E,5,0),"")</f>
        <v/>
      </c>
      <c r="H797" s="7">
        <f>IFERROR(VLOOKUP(F797,TRAOPE!$AA:$AB,2,0),"")</f>
        <v/>
      </c>
      <c r="I797" s="7" t="n">
        <v>10000722</v>
      </c>
      <c r="J797" s="7">
        <f>IFERROR(VLOOKUP(I797,Materiales!$A:$H,8,0),"")</f>
        <v/>
      </c>
      <c r="K797" s="9">
        <f>IFERROR(VLOOKUP(I797,Materiales!$A:$G,7,0),"")</f>
        <v/>
      </c>
      <c r="L797" s="8" t="inlineStr">
        <is>
          <t>20190426</t>
        </is>
      </c>
      <c r="M797" s="8" t="inlineStr">
        <is>
          <t>20250127</t>
        </is>
      </c>
      <c r="N797" s="10" t="n">
        <v>85</v>
      </c>
      <c r="O797" s="10">
        <f>IFERROR(VLOOKUP(A797,Flete!$A:$J,10,0),"")</f>
        <v/>
      </c>
      <c r="P797" s="8" t="inlineStr">
        <is>
          <t>TN</t>
        </is>
      </c>
      <c r="Q797" s="10">
        <f>IFERROR(IFERROR(VLOOKUP(A797,TRAOPE!$A:$U,21,0),VLOOKUP(B797,TRAOPE!$A:$U,21,0)),"")</f>
        <v/>
      </c>
      <c r="R797" s="8">
        <f>IFERROR(IFERROR(VLOOKUP(A797,TRAOPE!$A:$W,23,0),VLOOKUP(B797,TRAOPE!$A:$W,23,0)),"")</f>
        <v/>
      </c>
      <c r="S797" s="10">
        <f>IF(AND(P797="TN",R797="TN"),N797+N(O797),IF(G797&amp;""="1",N(K797)*N797,(N797+N(O797))*N(K797)))</f>
        <v/>
      </c>
      <c r="T797" s="10">
        <f>IF(Q797="","",Q797-S797)</f>
        <v/>
      </c>
    </row>
    <row r="798">
      <c r="A798" s="7">
        <f>CONCATENATE(C798,E798,F798,I798)</f>
        <v/>
      </c>
      <c r="B798" s="7">
        <f>CONCATENATE(C798,E798,I798)</f>
        <v/>
      </c>
      <c r="C798" s="8" t="n">
        <v>900003592</v>
      </c>
      <c r="D798" s="7">
        <f>IFERROR(VLOOKUP(C798,TRAOPE!$G:$H,2,0),"")</f>
        <v/>
      </c>
      <c r="E798" s="8" t="inlineStr">
        <is>
          <t>D836</t>
        </is>
      </c>
      <c r="F798" s="8" t="inlineStr">
        <is>
          <t>65346224</t>
        </is>
      </c>
      <c r="G798" s="8">
        <f>IFERROR(VLOOKUP(A798,Flete!$A:$E,5,0),"")</f>
        <v/>
      </c>
      <c r="H798" s="7">
        <f>IFERROR(VLOOKUP(F798,TRAOPE!$AA:$AB,2,0),"")</f>
        <v/>
      </c>
      <c r="I798" s="7" t="n">
        <v>10000623</v>
      </c>
      <c r="J798" s="7">
        <f>IFERROR(VLOOKUP(I798,Materiales!$A:$H,8,0),"")</f>
        <v/>
      </c>
      <c r="K798" s="9">
        <f>IFERROR(VLOOKUP(I798,Materiales!$A:$G,7,0),"")</f>
        <v/>
      </c>
      <c r="L798" s="8" t="inlineStr">
        <is>
          <t>20190426</t>
        </is>
      </c>
      <c r="M798" s="8" t="inlineStr">
        <is>
          <t>20250127</t>
        </is>
      </c>
      <c r="N798" s="10" t="n">
        <v>96.39</v>
      </c>
      <c r="O798" s="10">
        <f>IFERROR(VLOOKUP(A798,Flete!$A:$J,10,0),"")</f>
        <v/>
      </c>
      <c r="P798" s="8" t="inlineStr">
        <is>
          <t>TN</t>
        </is>
      </c>
      <c r="Q798" s="10">
        <f>IFERROR(IFERROR(VLOOKUP(A798,TRAOPE!$A:$U,21,0),VLOOKUP(B798,TRAOPE!$A:$U,21,0)),"")</f>
        <v/>
      </c>
      <c r="R798" s="8">
        <f>IFERROR(IFERROR(VLOOKUP(A798,TRAOPE!$A:$W,23,0),VLOOKUP(B798,TRAOPE!$A:$W,23,0)),"")</f>
        <v/>
      </c>
      <c r="S798" s="10">
        <f>IF(AND(P798="TN",R798="TN"),N798+N(O798),IF(G798&amp;""="1",N(K798)*N798,(N798+N(O798))*N(K798)))</f>
        <v/>
      </c>
      <c r="T798" s="10">
        <f>IF(Q798="","",Q798-S798)</f>
        <v/>
      </c>
    </row>
    <row r="799">
      <c r="A799" s="7">
        <f>CONCATENATE(C799,E799,F799,I799)</f>
        <v/>
      </c>
      <c r="B799" s="7">
        <f>CONCATENATE(C799,E799,I799)</f>
        <v/>
      </c>
      <c r="C799" s="8" t="n">
        <v>900003592</v>
      </c>
      <c r="D799" s="7">
        <f>IFERROR(VLOOKUP(C799,TRAOPE!$G:$H,2,0),"")</f>
        <v/>
      </c>
      <c r="E799" s="8" t="inlineStr">
        <is>
          <t>D836</t>
        </is>
      </c>
      <c r="F799" s="8" t="inlineStr">
        <is>
          <t>65361550</t>
        </is>
      </c>
      <c r="G799" s="8">
        <f>IFERROR(VLOOKUP(A799,Flete!$A:$E,5,0),"")</f>
        <v/>
      </c>
      <c r="H799" s="7">
        <f>IFERROR(VLOOKUP(F799,TRAOPE!$AA:$AB,2,0),"")</f>
        <v/>
      </c>
      <c r="I799" s="7" t="n">
        <v>10000623</v>
      </c>
      <c r="J799" s="7">
        <f>IFERROR(VLOOKUP(I799,Materiales!$A:$H,8,0),"")</f>
        <v/>
      </c>
      <c r="K799" s="9">
        <f>IFERROR(VLOOKUP(I799,Materiales!$A:$G,7,0),"")</f>
        <v/>
      </c>
      <c r="L799" s="8" t="inlineStr">
        <is>
          <t>20190426</t>
        </is>
      </c>
      <c r="M799" s="8" t="inlineStr">
        <is>
          <t>20250127</t>
        </is>
      </c>
      <c r="N799" s="10" t="n">
        <v>100.46</v>
      </c>
      <c r="O799" s="10">
        <f>IFERROR(VLOOKUP(A799,Flete!$A:$J,10,0),"")</f>
        <v/>
      </c>
      <c r="P799" s="8" t="inlineStr">
        <is>
          <t>TN</t>
        </is>
      </c>
      <c r="Q799" s="10">
        <f>IFERROR(IFERROR(VLOOKUP(A799,TRAOPE!$A:$U,21,0),VLOOKUP(B799,TRAOPE!$A:$U,21,0)),"")</f>
        <v/>
      </c>
      <c r="R799" s="8">
        <f>IFERROR(IFERROR(VLOOKUP(A799,TRAOPE!$A:$W,23,0),VLOOKUP(B799,TRAOPE!$A:$W,23,0)),"")</f>
        <v/>
      </c>
      <c r="S799" s="10">
        <f>IF(AND(P799="TN",R799="TN"),N799+N(O799),IF(G799&amp;""="1",N(K799)*N799,(N799+N(O799))*N(K799)))</f>
        <v/>
      </c>
      <c r="T799" s="10">
        <f>IF(Q799="","",Q799-S799)</f>
        <v/>
      </c>
    </row>
    <row r="800">
      <c r="A800" s="7">
        <f>CONCATENATE(C800,E800,F800,I800)</f>
        <v/>
      </c>
      <c r="B800" s="7">
        <f>CONCATENATE(C800,E800,I800)</f>
        <v/>
      </c>
      <c r="C800" s="8" t="n">
        <v>900003592</v>
      </c>
      <c r="D800" s="7">
        <f>IFERROR(VLOOKUP(C800,TRAOPE!$G:$H,2,0),"")</f>
        <v/>
      </c>
      <c r="E800" s="8" t="inlineStr">
        <is>
          <t>D836</t>
        </is>
      </c>
      <c r="F800" s="8" t="inlineStr">
        <is>
          <t>65361550</t>
        </is>
      </c>
      <c r="G800" s="8">
        <f>IFERROR(VLOOKUP(A800,Flete!$A:$E,5,0),"")</f>
        <v/>
      </c>
      <c r="H800" s="7">
        <f>IFERROR(VLOOKUP(F800,TRAOPE!$AA:$AB,2,0),"")</f>
        <v/>
      </c>
      <c r="I800" s="7" t="n">
        <v>10000630</v>
      </c>
      <c r="J800" s="7">
        <f>IFERROR(VLOOKUP(I800,Materiales!$A:$H,8,0),"")</f>
        <v/>
      </c>
      <c r="K800" s="9">
        <f>IFERROR(VLOOKUP(I800,Materiales!$A:$G,7,0),"")</f>
        <v/>
      </c>
      <c r="L800" s="8" t="inlineStr">
        <is>
          <t>20190426</t>
        </is>
      </c>
      <c r="M800" s="8" t="inlineStr">
        <is>
          <t>20250127</t>
        </is>
      </c>
      <c r="N800" s="10" t="n">
        <v>100.46</v>
      </c>
      <c r="O800" s="10">
        <f>IFERROR(VLOOKUP(A800,Flete!$A:$J,10,0),"")</f>
        <v/>
      </c>
      <c r="P800" s="8" t="inlineStr">
        <is>
          <t>TN</t>
        </is>
      </c>
      <c r="Q800" s="10">
        <f>IFERROR(IFERROR(VLOOKUP(A800,TRAOPE!$A:$U,21,0),VLOOKUP(B800,TRAOPE!$A:$U,21,0)),"")</f>
        <v/>
      </c>
      <c r="R800" s="8">
        <f>IFERROR(IFERROR(VLOOKUP(A800,TRAOPE!$A:$W,23,0),VLOOKUP(B800,TRAOPE!$A:$W,23,0)),"")</f>
        <v/>
      </c>
      <c r="S800" s="10">
        <f>IF(AND(P800="TN",R800="TN"),N800+N(O800),IF(G800&amp;""="1",N(K800)*N800,(N800+N(O800))*N(K800)))</f>
        <v/>
      </c>
      <c r="T800" s="10">
        <f>IF(Q800="","",Q800-S800)</f>
        <v/>
      </c>
    </row>
    <row r="801">
      <c r="A801" s="7">
        <f>CONCATENATE(C801,E801,F801,I801)</f>
        <v/>
      </c>
      <c r="B801" s="7">
        <f>CONCATENATE(C801,E801,I801)</f>
        <v/>
      </c>
      <c r="C801" s="8" t="n">
        <v>900003592</v>
      </c>
      <c r="D801" s="7">
        <f>IFERROR(VLOOKUP(C801,TRAOPE!$G:$H,2,0),"")</f>
        <v/>
      </c>
      <c r="E801" s="8" t="inlineStr">
        <is>
          <t>D836</t>
        </is>
      </c>
      <c r="F801" s="8" t="inlineStr">
        <is>
          <t>65370785</t>
        </is>
      </c>
      <c r="G801" s="8">
        <f>IFERROR(VLOOKUP(A801,Flete!$A:$E,5,0),"")</f>
        <v/>
      </c>
      <c r="H801" s="7">
        <f>IFERROR(VLOOKUP(F801,TRAOPE!$AA:$AB,2,0),"")</f>
        <v/>
      </c>
      <c r="I801" s="7" t="n">
        <v>10000630</v>
      </c>
      <c r="J801" s="7">
        <f>IFERROR(VLOOKUP(I801,Materiales!$A:$H,8,0),"")</f>
        <v/>
      </c>
      <c r="K801" s="9">
        <f>IFERROR(VLOOKUP(I801,Materiales!$A:$G,7,0),"")</f>
        <v/>
      </c>
      <c r="L801" s="8" t="inlineStr">
        <is>
          <t>20190426</t>
        </is>
      </c>
      <c r="M801" s="8" t="inlineStr">
        <is>
          <t>20250127</t>
        </is>
      </c>
      <c r="N801" s="10" t="n">
        <v>99.27</v>
      </c>
      <c r="O801" s="10">
        <f>IFERROR(VLOOKUP(A801,Flete!$A:$J,10,0),"")</f>
        <v/>
      </c>
      <c r="P801" s="8" t="inlineStr">
        <is>
          <t>TN</t>
        </is>
      </c>
      <c r="Q801" s="10">
        <f>IFERROR(IFERROR(VLOOKUP(A801,TRAOPE!$A:$U,21,0),VLOOKUP(B801,TRAOPE!$A:$U,21,0)),"")</f>
        <v/>
      </c>
      <c r="R801" s="8">
        <f>IFERROR(IFERROR(VLOOKUP(A801,TRAOPE!$A:$W,23,0),VLOOKUP(B801,TRAOPE!$A:$W,23,0)),"")</f>
        <v/>
      </c>
      <c r="S801" s="10">
        <f>IF(AND(P801="TN",R801="TN"),N801+N(O801),IF(G801&amp;""="1",N(K801)*N801,(N801+N(O801))*N(K801)))</f>
        <v/>
      </c>
      <c r="T801" s="10">
        <f>IF(Q801="","",Q801-S801)</f>
        <v/>
      </c>
    </row>
    <row r="802">
      <c r="A802" s="7">
        <f>CONCATENATE(C802,E802,F802,I802)</f>
        <v/>
      </c>
      <c r="B802" s="7">
        <f>CONCATENATE(C802,E802,I802)</f>
        <v/>
      </c>
      <c r="C802" s="8" t="n">
        <v>900003592</v>
      </c>
      <c r="D802" s="7">
        <f>IFERROR(VLOOKUP(C802,TRAOPE!$G:$H,2,0),"")</f>
        <v/>
      </c>
      <c r="E802" s="8" t="inlineStr">
        <is>
          <t>D836</t>
        </is>
      </c>
      <c r="F802" s="8" t="inlineStr">
        <is>
          <t>65370785</t>
        </is>
      </c>
      <c r="G802" s="8">
        <f>IFERROR(VLOOKUP(A802,Flete!$A:$E,5,0),"")</f>
        <v/>
      </c>
      <c r="H802" s="7">
        <f>IFERROR(VLOOKUP(F802,TRAOPE!$AA:$AB,2,0),"")</f>
        <v/>
      </c>
      <c r="I802" s="7" t="n">
        <v>10000722</v>
      </c>
      <c r="J802" s="7">
        <f>IFERROR(VLOOKUP(I802,Materiales!$A:$H,8,0),"")</f>
        <v/>
      </c>
      <c r="K802" s="9">
        <f>IFERROR(VLOOKUP(I802,Materiales!$A:$G,7,0),"")</f>
        <v/>
      </c>
      <c r="L802" s="8" t="inlineStr">
        <is>
          <t>20190426</t>
        </is>
      </c>
      <c r="M802" s="8" t="inlineStr">
        <is>
          <t>20250127</t>
        </is>
      </c>
      <c r="N802" s="10" t="n">
        <v>99.27</v>
      </c>
      <c r="O802" s="10">
        <f>IFERROR(VLOOKUP(A802,Flete!$A:$J,10,0),"")</f>
        <v/>
      </c>
      <c r="P802" s="8" t="inlineStr">
        <is>
          <t>TN</t>
        </is>
      </c>
      <c r="Q802" s="10">
        <f>IFERROR(IFERROR(VLOOKUP(A802,TRAOPE!$A:$U,21,0),VLOOKUP(B802,TRAOPE!$A:$U,21,0)),"")</f>
        <v/>
      </c>
      <c r="R802" s="8">
        <f>IFERROR(IFERROR(VLOOKUP(A802,TRAOPE!$A:$W,23,0),VLOOKUP(B802,TRAOPE!$A:$W,23,0)),"")</f>
        <v/>
      </c>
      <c r="S802" s="10">
        <f>IF(AND(P802="TN",R802="TN"),N802+N(O802),IF(G802&amp;""="1",N(K802)*N802,(N802+N(O802))*N(K802)))</f>
        <v/>
      </c>
      <c r="T802" s="10">
        <f>IF(Q802="","",Q802-S802)</f>
        <v/>
      </c>
    </row>
    <row r="803">
      <c r="A803" s="7">
        <f>CONCATENATE(C803,E803,F803,I803)</f>
        <v/>
      </c>
      <c r="B803" s="7">
        <f>CONCATENATE(C803,E803,I803)</f>
        <v/>
      </c>
      <c r="C803" s="8" t="n">
        <v>900003592</v>
      </c>
      <c r="D803" s="7">
        <f>IFERROR(VLOOKUP(C803,TRAOPE!$G:$H,2,0),"")</f>
        <v/>
      </c>
      <c r="E803" s="8" t="inlineStr">
        <is>
          <t>D836</t>
        </is>
      </c>
      <c r="F803" s="8" t="inlineStr">
        <is>
          <t>65387641</t>
        </is>
      </c>
      <c r="G803" s="8">
        <f>IFERROR(VLOOKUP(A803,Flete!$A:$E,5,0),"")</f>
        <v/>
      </c>
      <c r="H803" s="7">
        <f>IFERROR(VLOOKUP(F803,TRAOPE!$AA:$AB,2,0),"")</f>
        <v/>
      </c>
      <c r="I803" s="7" t="n">
        <v>10000623</v>
      </c>
      <c r="J803" s="7">
        <f>IFERROR(VLOOKUP(I803,Materiales!$A:$H,8,0),"")</f>
        <v/>
      </c>
      <c r="K803" s="9">
        <f>IFERROR(VLOOKUP(I803,Materiales!$A:$G,7,0),"")</f>
        <v/>
      </c>
      <c r="L803" s="8" t="inlineStr">
        <is>
          <t>20190426</t>
        </is>
      </c>
      <c r="M803" s="8" t="inlineStr">
        <is>
          <t>20250127</t>
        </is>
      </c>
      <c r="N803" s="10" t="n">
        <v>87.40000000000001</v>
      </c>
      <c r="O803" s="10">
        <f>IFERROR(VLOOKUP(A803,Flete!$A:$J,10,0),"")</f>
        <v/>
      </c>
      <c r="P803" s="8" t="inlineStr">
        <is>
          <t>TN</t>
        </is>
      </c>
      <c r="Q803" s="10">
        <f>IFERROR(IFERROR(VLOOKUP(A803,TRAOPE!$A:$U,21,0),VLOOKUP(B803,TRAOPE!$A:$U,21,0)),"")</f>
        <v/>
      </c>
      <c r="R803" s="8">
        <f>IFERROR(IFERROR(VLOOKUP(A803,TRAOPE!$A:$W,23,0),VLOOKUP(B803,TRAOPE!$A:$W,23,0)),"")</f>
        <v/>
      </c>
      <c r="S803" s="10">
        <f>IF(AND(P803="TN",R803="TN"),N803+N(O803),IF(G803&amp;""="1",N(K803)*N803,(N803+N(O803))*N(K803)))</f>
        <v/>
      </c>
      <c r="T803" s="10">
        <f>IF(Q803="","",Q803-S803)</f>
        <v/>
      </c>
    </row>
    <row r="804">
      <c r="A804" s="7">
        <f>CONCATENATE(C804,E804,F804,I804)</f>
        <v/>
      </c>
      <c r="B804" s="7">
        <f>CONCATENATE(C804,E804,I804)</f>
        <v/>
      </c>
      <c r="C804" s="8" t="n">
        <v>900003592</v>
      </c>
      <c r="D804" s="7">
        <f>IFERROR(VLOOKUP(C804,TRAOPE!$G:$H,2,0),"")</f>
        <v/>
      </c>
      <c r="E804" s="8" t="inlineStr">
        <is>
          <t>D836</t>
        </is>
      </c>
      <c r="F804" s="8" t="inlineStr">
        <is>
          <t>65387641</t>
        </is>
      </c>
      <c r="G804" s="8">
        <f>IFERROR(VLOOKUP(A804,Flete!$A:$E,5,0),"")</f>
        <v/>
      </c>
      <c r="H804" s="7">
        <f>IFERROR(VLOOKUP(F804,TRAOPE!$AA:$AB,2,0),"")</f>
        <v/>
      </c>
      <c r="I804" s="7" t="n">
        <v>10000624</v>
      </c>
      <c r="J804" s="7">
        <f>IFERROR(VLOOKUP(I804,Materiales!$A:$H,8,0),"")</f>
        <v/>
      </c>
      <c r="K804" s="9">
        <f>IFERROR(VLOOKUP(I804,Materiales!$A:$G,7,0),"")</f>
        <v/>
      </c>
      <c r="L804" s="8" t="inlineStr">
        <is>
          <t>20190426</t>
        </is>
      </c>
      <c r="M804" s="8" t="inlineStr">
        <is>
          <t>20250127</t>
        </is>
      </c>
      <c r="N804" s="10" t="n">
        <v>91</v>
      </c>
      <c r="O804" s="10">
        <f>IFERROR(VLOOKUP(A804,Flete!$A:$J,10,0),"")</f>
        <v/>
      </c>
      <c r="P804" s="8" t="inlineStr">
        <is>
          <t>TN</t>
        </is>
      </c>
      <c r="Q804" s="10">
        <f>IFERROR(IFERROR(VLOOKUP(A804,TRAOPE!$A:$U,21,0),VLOOKUP(B804,TRAOPE!$A:$U,21,0)),"")</f>
        <v/>
      </c>
      <c r="R804" s="8">
        <f>IFERROR(IFERROR(VLOOKUP(A804,TRAOPE!$A:$W,23,0),VLOOKUP(B804,TRAOPE!$A:$W,23,0)),"")</f>
        <v/>
      </c>
      <c r="S804" s="10">
        <f>IF(AND(P804="TN",R804="TN"),N804+N(O804),IF(G804&amp;""="1",N(K804)*N804,(N804+N(O804))*N(K804)))</f>
        <v/>
      </c>
      <c r="T804" s="10">
        <f>IF(Q804="","",Q804-S804)</f>
        <v/>
      </c>
    </row>
    <row r="805">
      <c r="A805" s="7">
        <f>CONCATENATE(C805,E805,F805,I805)</f>
        <v/>
      </c>
      <c r="B805" s="7">
        <f>CONCATENATE(C805,E805,I805)</f>
        <v/>
      </c>
      <c r="C805" s="8" t="n">
        <v>900003592</v>
      </c>
      <c r="D805" s="7">
        <f>IFERROR(VLOOKUP(C805,TRAOPE!$G:$H,2,0),"")</f>
        <v/>
      </c>
      <c r="E805" s="8" t="inlineStr">
        <is>
          <t>D836</t>
        </is>
      </c>
      <c r="F805" s="8" t="inlineStr">
        <is>
          <t>65387641</t>
        </is>
      </c>
      <c r="G805" s="8">
        <f>IFERROR(VLOOKUP(A805,Flete!$A:$E,5,0),"")</f>
        <v/>
      </c>
      <c r="H805" s="7">
        <f>IFERROR(VLOOKUP(F805,TRAOPE!$AA:$AB,2,0),"")</f>
        <v/>
      </c>
      <c r="I805" s="7" t="n">
        <v>10000630</v>
      </c>
      <c r="J805" s="7">
        <f>IFERROR(VLOOKUP(I805,Materiales!$A:$H,8,0),"")</f>
        <v/>
      </c>
      <c r="K805" s="9">
        <f>IFERROR(VLOOKUP(I805,Materiales!$A:$G,7,0),"")</f>
        <v/>
      </c>
      <c r="L805" s="8" t="inlineStr">
        <is>
          <t>20190426</t>
        </is>
      </c>
      <c r="M805" s="8" t="inlineStr">
        <is>
          <t>20250127</t>
        </is>
      </c>
      <c r="N805" s="10" t="n">
        <v>87.40000000000001</v>
      </c>
      <c r="O805" s="10">
        <f>IFERROR(VLOOKUP(A805,Flete!$A:$J,10,0),"")</f>
        <v/>
      </c>
      <c r="P805" s="8" t="inlineStr">
        <is>
          <t>TN</t>
        </is>
      </c>
      <c r="Q805" s="10">
        <f>IFERROR(IFERROR(VLOOKUP(A805,TRAOPE!$A:$U,21,0),VLOOKUP(B805,TRAOPE!$A:$U,21,0)),"")</f>
        <v/>
      </c>
      <c r="R805" s="8">
        <f>IFERROR(IFERROR(VLOOKUP(A805,TRAOPE!$A:$W,23,0),VLOOKUP(B805,TRAOPE!$A:$W,23,0)),"")</f>
        <v/>
      </c>
      <c r="S805" s="10">
        <f>IF(AND(P805="TN",R805="TN"),N805+N(O805),IF(G805&amp;""="1",N(K805)*N805,(N805+N(O805))*N(K805)))</f>
        <v/>
      </c>
      <c r="T805" s="10">
        <f>IF(Q805="","",Q805-S805)</f>
        <v/>
      </c>
    </row>
    <row r="806">
      <c r="A806" s="7">
        <f>CONCATENATE(C806,E806,F806,I806)</f>
        <v/>
      </c>
      <c r="B806" s="7">
        <f>CONCATENATE(C806,E806,I806)</f>
        <v/>
      </c>
      <c r="C806" s="8" t="n">
        <v>900003592</v>
      </c>
      <c r="D806" s="7">
        <f>IFERROR(VLOOKUP(C806,TRAOPE!$G:$H,2,0),"")</f>
        <v/>
      </c>
      <c r="E806" s="8" t="inlineStr">
        <is>
          <t>D836</t>
        </is>
      </c>
      <c r="F806" s="8" t="inlineStr">
        <is>
          <t>65387641</t>
        </is>
      </c>
      <c r="G806" s="8">
        <f>IFERROR(VLOOKUP(A806,Flete!$A:$E,5,0),"")</f>
        <v/>
      </c>
      <c r="H806" s="7">
        <f>IFERROR(VLOOKUP(F806,TRAOPE!$AA:$AB,2,0),"")</f>
        <v/>
      </c>
      <c r="I806" s="7" t="n">
        <v>10000722</v>
      </c>
      <c r="J806" s="7">
        <f>IFERROR(VLOOKUP(I806,Materiales!$A:$H,8,0),"")</f>
        <v/>
      </c>
      <c r="K806" s="9">
        <f>IFERROR(VLOOKUP(I806,Materiales!$A:$G,7,0),"")</f>
        <v/>
      </c>
      <c r="L806" s="8" t="inlineStr">
        <is>
          <t>20190426</t>
        </is>
      </c>
      <c r="M806" s="8" t="inlineStr">
        <is>
          <t>20250127</t>
        </is>
      </c>
      <c r="N806" s="10" t="n">
        <v>91</v>
      </c>
      <c r="O806" s="10">
        <f>IFERROR(VLOOKUP(A806,Flete!$A:$J,10,0),"")</f>
        <v/>
      </c>
      <c r="P806" s="8" t="inlineStr">
        <is>
          <t>TN</t>
        </is>
      </c>
      <c r="Q806" s="10">
        <f>IFERROR(IFERROR(VLOOKUP(A806,TRAOPE!$A:$U,21,0),VLOOKUP(B806,TRAOPE!$A:$U,21,0)),"")</f>
        <v/>
      </c>
      <c r="R806" s="8">
        <f>IFERROR(IFERROR(VLOOKUP(A806,TRAOPE!$A:$W,23,0),VLOOKUP(B806,TRAOPE!$A:$W,23,0)),"")</f>
        <v/>
      </c>
      <c r="S806" s="10">
        <f>IF(AND(P806="TN",R806="TN"),N806+N(O806),IF(G806&amp;""="1",N(K806)*N806,(N806+N(O806))*N(K806)))</f>
        <v/>
      </c>
      <c r="T806" s="10">
        <f>IF(Q806="","",Q806-S806)</f>
        <v/>
      </c>
    </row>
    <row r="807">
      <c r="A807" s="7">
        <f>CONCATENATE(C807,E807,F807,I807)</f>
        <v/>
      </c>
      <c r="B807" s="7">
        <f>CONCATENATE(C807,E807,I807)</f>
        <v/>
      </c>
      <c r="C807" s="8" t="n">
        <v>900003592</v>
      </c>
      <c r="D807" s="7">
        <f>IFERROR(VLOOKUP(C807,TRAOPE!$G:$H,2,0),"")</f>
        <v/>
      </c>
      <c r="E807" s="8" t="inlineStr">
        <is>
          <t>D836</t>
        </is>
      </c>
      <c r="F807" s="8" t="inlineStr">
        <is>
          <t>65442270</t>
        </is>
      </c>
      <c r="G807" s="8">
        <f>IFERROR(VLOOKUP(A807,Flete!$A:$E,5,0),"")</f>
        <v/>
      </c>
      <c r="H807" s="7">
        <f>IFERROR(VLOOKUP(F807,TRAOPE!$AA:$AB,2,0),"")</f>
        <v/>
      </c>
      <c r="I807" s="7" t="n">
        <v>10000630</v>
      </c>
      <c r="J807" s="7">
        <f>IFERROR(VLOOKUP(I807,Materiales!$A:$H,8,0),"")</f>
        <v/>
      </c>
      <c r="K807" s="9">
        <f>IFERROR(VLOOKUP(I807,Materiales!$A:$G,7,0),"")</f>
        <v/>
      </c>
      <c r="L807" s="8" t="inlineStr">
        <is>
          <t>20190426</t>
        </is>
      </c>
      <c r="M807" s="8" t="inlineStr">
        <is>
          <t>20250127</t>
        </is>
      </c>
      <c r="N807" s="10" t="n">
        <v>101.66</v>
      </c>
      <c r="O807" s="10">
        <f>IFERROR(VLOOKUP(A807,Flete!$A:$J,10,0),"")</f>
        <v/>
      </c>
      <c r="P807" s="8" t="inlineStr">
        <is>
          <t>TN</t>
        </is>
      </c>
      <c r="Q807" s="10">
        <f>IFERROR(IFERROR(VLOOKUP(A807,TRAOPE!$A:$U,21,0),VLOOKUP(B807,TRAOPE!$A:$U,21,0)),"")</f>
        <v/>
      </c>
      <c r="R807" s="8">
        <f>IFERROR(IFERROR(VLOOKUP(A807,TRAOPE!$A:$W,23,0),VLOOKUP(B807,TRAOPE!$A:$W,23,0)),"")</f>
        <v/>
      </c>
      <c r="S807" s="10">
        <f>IF(AND(P807="TN",R807="TN"),N807+N(O807),IF(G807&amp;""="1",N(K807)*N807,(N807+N(O807))*N(K807)))</f>
        <v/>
      </c>
      <c r="T807" s="10">
        <f>IF(Q807="","",Q807-S807)</f>
        <v/>
      </c>
    </row>
    <row r="808">
      <c r="A808" s="7">
        <f>CONCATENATE(C808,E808,F808,I808)</f>
        <v/>
      </c>
      <c r="B808" s="7">
        <f>CONCATENATE(C808,E808,I808)</f>
        <v/>
      </c>
      <c r="C808" s="8" t="n">
        <v>900003592</v>
      </c>
      <c r="D808" s="7">
        <f>IFERROR(VLOOKUP(C808,TRAOPE!$G:$H,2,0),"")</f>
        <v/>
      </c>
      <c r="E808" s="8" t="inlineStr">
        <is>
          <t>D836</t>
        </is>
      </c>
      <c r="F808" s="8" t="inlineStr">
        <is>
          <t>65442270</t>
        </is>
      </c>
      <c r="G808" s="8">
        <f>IFERROR(VLOOKUP(A808,Flete!$A:$E,5,0),"")</f>
        <v/>
      </c>
      <c r="H808" s="7">
        <f>IFERROR(VLOOKUP(F808,TRAOPE!$AA:$AB,2,0),"")</f>
        <v/>
      </c>
      <c r="I808" s="7" t="n">
        <v>10000722</v>
      </c>
      <c r="J808" s="7">
        <f>IFERROR(VLOOKUP(I808,Materiales!$A:$H,8,0),"")</f>
        <v/>
      </c>
      <c r="K808" s="9">
        <f>IFERROR(VLOOKUP(I808,Materiales!$A:$G,7,0),"")</f>
        <v/>
      </c>
      <c r="L808" s="8" t="inlineStr">
        <is>
          <t>20190426</t>
        </is>
      </c>
      <c r="M808" s="8" t="inlineStr">
        <is>
          <t>20250127</t>
        </is>
      </c>
      <c r="N808" s="10" t="n">
        <v>82</v>
      </c>
      <c r="O808" s="10">
        <f>IFERROR(VLOOKUP(A808,Flete!$A:$J,10,0),"")</f>
        <v/>
      </c>
      <c r="P808" s="8" t="inlineStr">
        <is>
          <t>TN</t>
        </is>
      </c>
      <c r="Q808" s="10">
        <f>IFERROR(IFERROR(VLOOKUP(A808,TRAOPE!$A:$U,21,0),VLOOKUP(B808,TRAOPE!$A:$U,21,0)),"")</f>
        <v/>
      </c>
      <c r="R808" s="8">
        <f>IFERROR(IFERROR(VLOOKUP(A808,TRAOPE!$A:$W,23,0),VLOOKUP(B808,TRAOPE!$A:$W,23,0)),"")</f>
        <v/>
      </c>
      <c r="S808" s="10">
        <f>IF(AND(P808="TN",R808="TN"),N808+N(O808),IF(G808&amp;""="1",N(K808)*N808,(N808+N(O808))*N(K808)))</f>
        <v/>
      </c>
      <c r="T808" s="10">
        <f>IF(Q808="","",Q808-S808)</f>
        <v/>
      </c>
    </row>
    <row r="809">
      <c r="A809" s="7">
        <f>CONCATENATE(C809,E809,F809,I809)</f>
        <v/>
      </c>
      <c r="B809" s="7">
        <f>CONCATENATE(C809,E809,I809)</f>
        <v/>
      </c>
      <c r="C809" s="8" t="n">
        <v>900003592</v>
      </c>
      <c r="D809" s="7">
        <f>IFERROR(VLOOKUP(C809,TRAOPE!$G:$H,2,0),"")</f>
        <v/>
      </c>
      <c r="E809" s="8" t="inlineStr">
        <is>
          <t>D836</t>
        </is>
      </c>
      <c r="F809" s="8" t="inlineStr">
        <is>
          <t>65565826</t>
        </is>
      </c>
      <c r="G809" s="8">
        <f>IFERROR(VLOOKUP(A809,Flete!$A:$E,5,0),"")</f>
        <v/>
      </c>
      <c r="H809" s="7">
        <f>IFERROR(VLOOKUP(F809,TRAOPE!$AA:$AB,2,0),"")</f>
        <v/>
      </c>
      <c r="I809" s="7" t="n">
        <v>10000623</v>
      </c>
      <c r="J809" s="7">
        <f>IFERROR(VLOOKUP(I809,Materiales!$A:$H,8,0),"")</f>
        <v/>
      </c>
      <c r="K809" s="9">
        <f>IFERROR(VLOOKUP(I809,Materiales!$A:$G,7,0),"")</f>
        <v/>
      </c>
      <c r="L809" s="8" t="inlineStr">
        <is>
          <t>20190426</t>
        </is>
      </c>
      <c r="M809" s="8" t="inlineStr">
        <is>
          <t>20250127</t>
        </is>
      </c>
      <c r="N809" s="10" t="n">
        <v>126.5</v>
      </c>
      <c r="O809" s="10">
        <f>IFERROR(VLOOKUP(A809,Flete!$A:$J,10,0),"")</f>
        <v/>
      </c>
      <c r="P809" s="8" t="inlineStr">
        <is>
          <t>M3</t>
        </is>
      </c>
      <c r="Q809" s="10">
        <f>IFERROR(IFERROR(VLOOKUP(A809,TRAOPE!$A:$U,21,0),VLOOKUP(B809,TRAOPE!$A:$U,21,0)),"")</f>
        <v/>
      </c>
      <c r="R809" s="8">
        <f>IFERROR(IFERROR(VLOOKUP(A809,TRAOPE!$A:$W,23,0),VLOOKUP(B809,TRAOPE!$A:$W,23,0)),"")</f>
        <v/>
      </c>
      <c r="S809" s="10">
        <f>IF(AND(P809="TN",R809="TN"),N809+N(O809),IF(G809&amp;""="1",N(K809)*N809,(N809+N(O809))*N(K809)))</f>
        <v/>
      </c>
      <c r="T809" s="10">
        <f>IF(Q809="","",Q809-S809)</f>
        <v/>
      </c>
    </row>
    <row r="810">
      <c r="A810" s="7">
        <f>CONCATENATE(C810,E810,F810,I810)</f>
        <v/>
      </c>
      <c r="B810" s="7">
        <f>CONCATENATE(C810,E810,I810)</f>
        <v/>
      </c>
      <c r="C810" s="8" t="n">
        <v>900003592</v>
      </c>
      <c r="D810" s="7">
        <f>IFERROR(VLOOKUP(C810,TRAOPE!$G:$H,2,0),"")</f>
        <v/>
      </c>
      <c r="E810" s="8" t="inlineStr">
        <is>
          <t>D836</t>
        </is>
      </c>
      <c r="F810" s="8" t="inlineStr">
        <is>
          <t>65565826</t>
        </is>
      </c>
      <c r="G810" s="8">
        <f>IFERROR(VLOOKUP(A810,Flete!$A:$E,5,0),"")</f>
        <v/>
      </c>
      <c r="H810" s="7">
        <f>IFERROR(VLOOKUP(F810,TRAOPE!$AA:$AB,2,0),"")</f>
        <v/>
      </c>
      <c r="I810" s="7" t="n">
        <v>10000722</v>
      </c>
      <c r="J810" s="7">
        <f>IFERROR(VLOOKUP(I810,Materiales!$A:$H,8,0),"")</f>
        <v/>
      </c>
      <c r="K810" s="9">
        <f>IFERROR(VLOOKUP(I810,Materiales!$A:$G,7,0),"")</f>
        <v/>
      </c>
      <c r="L810" s="8" t="inlineStr">
        <is>
          <t>20190426</t>
        </is>
      </c>
      <c r="M810" s="8" t="inlineStr">
        <is>
          <t>20250127</t>
        </is>
      </c>
      <c r="N810" s="10" t="n">
        <v>95.68000000000001</v>
      </c>
      <c r="O810" s="10">
        <f>IFERROR(VLOOKUP(A810,Flete!$A:$J,10,0),"")</f>
        <v/>
      </c>
      <c r="P810" s="8" t="inlineStr">
        <is>
          <t>TN</t>
        </is>
      </c>
      <c r="Q810" s="10">
        <f>IFERROR(IFERROR(VLOOKUP(A810,TRAOPE!$A:$U,21,0),VLOOKUP(B810,TRAOPE!$A:$U,21,0)),"")</f>
        <v/>
      </c>
      <c r="R810" s="8">
        <f>IFERROR(IFERROR(VLOOKUP(A810,TRAOPE!$A:$W,23,0),VLOOKUP(B810,TRAOPE!$A:$W,23,0)),"")</f>
        <v/>
      </c>
      <c r="S810" s="10">
        <f>IF(AND(P810="TN",R810="TN"),N810+N(O810),IF(G810&amp;""="1",N(K810)*N810,(N810+N(O810))*N(K810)))</f>
        <v/>
      </c>
      <c r="T810" s="10">
        <f>IF(Q810="","",Q810-S810)</f>
        <v/>
      </c>
    </row>
    <row r="811">
      <c r="A811" s="7">
        <f>CONCATENATE(C811,E811,F811,I811)</f>
        <v/>
      </c>
      <c r="B811" s="7">
        <f>CONCATENATE(C811,E811,I811)</f>
        <v/>
      </c>
      <c r="C811" s="8" t="n">
        <v>900003592</v>
      </c>
      <c r="D811" s="7">
        <f>IFERROR(VLOOKUP(C811,TRAOPE!$G:$H,2,0),"")</f>
        <v/>
      </c>
      <c r="E811" s="8" t="inlineStr">
        <is>
          <t>D836</t>
        </is>
      </c>
      <c r="F811" s="8" t="inlineStr">
        <is>
          <t>65570346</t>
        </is>
      </c>
      <c r="G811" s="8">
        <f>IFERROR(VLOOKUP(A811,Flete!$A:$E,5,0),"")</f>
        <v/>
      </c>
      <c r="H811" s="7">
        <f>IFERROR(VLOOKUP(F811,TRAOPE!$AA:$AB,2,0),"")</f>
        <v/>
      </c>
      <c r="I811" s="7" t="n">
        <v>10000630</v>
      </c>
      <c r="J811" s="7">
        <f>IFERROR(VLOOKUP(I811,Materiales!$A:$H,8,0),"")</f>
        <v/>
      </c>
      <c r="K811" s="9">
        <f>IFERROR(VLOOKUP(I811,Materiales!$A:$G,7,0),"")</f>
        <v/>
      </c>
      <c r="L811" s="8" t="inlineStr">
        <is>
          <t>20190426</t>
        </is>
      </c>
      <c r="M811" s="8" t="inlineStr">
        <is>
          <t>20250127</t>
        </is>
      </c>
      <c r="N811" s="10" t="n">
        <v>102.86</v>
      </c>
      <c r="O811" s="10">
        <f>IFERROR(VLOOKUP(A811,Flete!$A:$J,10,0),"")</f>
        <v/>
      </c>
      <c r="P811" s="8" t="inlineStr">
        <is>
          <t>TN</t>
        </is>
      </c>
      <c r="Q811" s="10">
        <f>IFERROR(IFERROR(VLOOKUP(A811,TRAOPE!$A:$U,21,0),VLOOKUP(B811,TRAOPE!$A:$U,21,0)),"")</f>
        <v/>
      </c>
      <c r="R811" s="8">
        <f>IFERROR(IFERROR(VLOOKUP(A811,TRAOPE!$A:$W,23,0),VLOOKUP(B811,TRAOPE!$A:$W,23,0)),"")</f>
        <v/>
      </c>
      <c r="S811" s="10">
        <f>IF(AND(P811="TN",R811="TN"),N811+N(O811),IF(G811&amp;""="1",N(K811)*N811,(N811+N(O811))*N(K811)))</f>
        <v/>
      </c>
      <c r="T811" s="10">
        <f>IF(Q811="","",Q811-S811)</f>
        <v/>
      </c>
    </row>
    <row r="812">
      <c r="A812" s="7">
        <f>CONCATENATE(C812,E812,F812,I812)</f>
        <v/>
      </c>
      <c r="B812" s="7">
        <f>CONCATENATE(C812,E812,I812)</f>
        <v/>
      </c>
      <c r="C812" s="8" t="n">
        <v>900003592</v>
      </c>
      <c r="D812" s="7">
        <f>IFERROR(VLOOKUP(C812,TRAOPE!$G:$H,2,0),"")</f>
        <v/>
      </c>
      <c r="E812" s="8" t="inlineStr">
        <is>
          <t>D836</t>
        </is>
      </c>
      <c r="F812" s="8" t="inlineStr">
        <is>
          <t>65570346</t>
        </is>
      </c>
      <c r="G812" s="8">
        <f>IFERROR(VLOOKUP(A812,Flete!$A:$E,5,0),"")</f>
        <v/>
      </c>
      <c r="H812" s="7">
        <f>IFERROR(VLOOKUP(F812,TRAOPE!$AA:$AB,2,0),"")</f>
        <v/>
      </c>
      <c r="I812" s="7" t="n">
        <v>10000722</v>
      </c>
      <c r="J812" s="7">
        <f>IFERROR(VLOOKUP(I812,Materiales!$A:$H,8,0),"")</f>
        <v/>
      </c>
      <c r="K812" s="9">
        <f>IFERROR(VLOOKUP(I812,Materiales!$A:$G,7,0),"")</f>
        <v/>
      </c>
      <c r="L812" s="8" t="inlineStr">
        <is>
          <t>20190426</t>
        </is>
      </c>
      <c r="M812" s="8" t="inlineStr">
        <is>
          <t>20250127</t>
        </is>
      </c>
      <c r="N812" s="10" t="n">
        <v>78</v>
      </c>
      <c r="O812" s="10">
        <f>IFERROR(VLOOKUP(A812,Flete!$A:$J,10,0),"")</f>
        <v/>
      </c>
      <c r="P812" s="8" t="inlineStr">
        <is>
          <t>TN</t>
        </is>
      </c>
      <c r="Q812" s="10">
        <f>IFERROR(IFERROR(VLOOKUP(A812,TRAOPE!$A:$U,21,0),VLOOKUP(B812,TRAOPE!$A:$U,21,0)),"")</f>
        <v/>
      </c>
      <c r="R812" s="8">
        <f>IFERROR(IFERROR(VLOOKUP(A812,TRAOPE!$A:$W,23,0),VLOOKUP(B812,TRAOPE!$A:$W,23,0)),"")</f>
        <v/>
      </c>
      <c r="S812" s="10">
        <f>IF(AND(P812="TN",R812="TN"),N812+N(O812),IF(G812&amp;""="1",N(K812)*N812,(N812+N(O812))*N(K812)))</f>
        <v/>
      </c>
      <c r="T812" s="10">
        <f>IF(Q812="","",Q812-S812)</f>
        <v/>
      </c>
    </row>
    <row r="813">
      <c r="A813" s="7">
        <f>CONCATENATE(C813,E813,F813,I813)</f>
        <v/>
      </c>
      <c r="B813" s="7">
        <f>CONCATENATE(C813,E813,I813)</f>
        <v/>
      </c>
      <c r="C813" s="8" t="n">
        <v>900003592</v>
      </c>
      <c r="D813" s="7">
        <f>IFERROR(VLOOKUP(C813,TRAOPE!$G:$H,2,0),"")</f>
        <v/>
      </c>
      <c r="E813" s="8" t="inlineStr">
        <is>
          <t>D836</t>
        </is>
      </c>
      <c r="F813" s="8" t="inlineStr">
        <is>
          <t>65633365</t>
        </is>
      </c>
      <c r="G813" s="8">
        <f>IFERROR(VLOOKUP(A813,Flete!$A:$E,5,0),"")</f>
        <v/>
      </c>
      <c r="H813" s="7">
        <f>IFERROR(VLOOKUP(F813,TRAOPE!$AA:$AB,2,0),"")</f>
        <v/>
      </c>
      <c r="I813" s="7" t="n">
        <v>10000722</v>
      </c>
      <c r="J813" s="7">
        <f>IFERROR(VLOOKUP(I813,Materiales!$A:$H,8,0),"")</f>
        <v/>
      </c>
      <c r="K813" s="9">
        <f>IFERROR(VLOOKUP(I813,Materiales!$A:$G,7,0),"")</f>
        <v/>
      </c>
      <c r="L813" s="8" t="inlineStr">
        <is>
          <t>20190426</t>
        </is>
      </c>
      <c r="M813" s="8" t="inlineStr">
        <is>
          <t>20250127</t>
        </is>
      </c>
      <c r="N813" s="10" t="n">
        <v>85</v>
      </c>
      <c r="O813" s="10">
        <f>IFERROR(VLOOKUP(A813,Flete!$A:$J,10,0),"")</f>
        <v/>
      </c>
      <c r="P813" s="8" t="inlineStr">
        <is>
          <t>TN</t>
        </is>
      </c>
      <c r="Q813" s="10">
        <f>IFERROR(IFERROR(VLOOKUP(A813,TRAOPE!$A:$U,21,0),VLOOKUP(B813,TRAOPE!$A:$U,21,0)),"")</f>
        <v/>
      </c>
      <c r="R813" s="8">
        <f>IFERROR(IFERROR(VLOOKUP(A813,TRAOPE!$A:$W,23,0),VLOOKUP(B813,TRAOPE!$A:$W,23,0)),"")</f>
        <v/>
      </c>
      <c r="S813" s="10">
        <f>IF(AND(P813="TN",R813="TN"),N813+N(O813),IF(G813&amp;""="1",N(K813)*N813,(N813+N(O813))*N(K813)))</f>
        <v/>
      </c>
      <c r="T813" s="10">
        <f>IF(Q813="","",Q813-S813)</f>
        <v/>
      </c>
    </row>
    <row r="814">
      <c r="A814" s="7">
        <f>CONCATENATE(C814,E814,F814,I814)</f>
        <v/>
      </c>
      <c r="B814" s="7">
        <f>CONCATENATE(C814,E814,I814)</f>
        <v/>
      </c>
      <c r="C814" s="8" t="n">
        <v>900003592</v>
      </c>
      <c r="D814" s="7">
        <f>IFERROR(VLOOKUP(C814,TRAOPE!$G:$H,2,0),"")</f>
        <v/>
      </c>
      <c r="E814" s="8" t="inlineStr">
        <is>
          <t>D836</t>
        </is>
      </c>
      <c r="F814" s="8" t="inlineStr">
        <is>
          <t>65685819</t>
        </is>
      </c>
      <c r="G814" s="8">
        <f>IFERROR(VLOOKUP(A814,Flete!$A:$E,5,0),"")</f>
        <v/>
      </c>
      <c r="H814" s="7">
        <f>IFERROR(VLOOKUP(F814,TRAOPE!$AA:$AB,2,0),"")</f>
        <v/>
      </c>
      <c r="I814" s="7" t="n">
        <v>10000630</v>
      </c>
      <c r="J814" s="7">
        <f>IFERROR(VLOOKUP(I814,Materiales!$A:$H,8,0),"")</f>
        <v/>
      </c>
      <c r="K814" s="9">
        <f>IFERROR(VLOOKUP(I814,Materiales!$A:$G,7,0),"")</f>
        <v/>
      </c>
      <c r="L814" s="8" t="inlineStr">
        <is>
          <t>20190426</t>
        </is>
      </c>
      <c r="M814" s="8" t="inlineStr">
        <is>
          <t>20250127</t>
        </is>
      </c>
      <c r="N814" s="10" t="n">
        <v>102.26</v>
      </c>
      <c r="O814" s="10">
        <f>IFERROR(VLOOKUP(A814,Flete!$A:$J,10,0),"")</f>
        <v/>
      </c>
      <c r="P814" s="8" t="inlineStr">
        <is>
          <t>TN</t>
        </is>
      </c>
      <c r="Q814" s="10">
        <f>IFERROR(IFERROR(VLOOKUP(A814,TRAOPE!$A:$U,21,0),VLOOKUP(B814,TRAOPE!$A:$U,21,0)),"")</f>
        <v/>
      </c>
      <c r="R814" s="8">
        <f>IFERROR(IFERROR(VLOOKUP(A814,TRAOPE!$A:$W,23,0),VLOOKUP(B814,TRAOPE!$A:$W,23,0)),"")</f>
        <v/>
      </c>
      <c r="S814" s="10">
        <f>IF(AND(P814="TN",R814="TN"),N814+N(O814),IF(G814&amp;""="1",N(K814)*N814,(N814+N(O814))*N(K814)))</f>
        <v/>
      </c>
      <c r="T814" s="10">
        <f>IF(Q814="","",Q814-S814)</f>
        <v/>
      </c>
    </row>
    <row r="815">
      <c r="A815" s="7">
        <f>CONCATENATE(C815,E815,F815,I815)</f>
        <v/>
      </c>
      <c r="B815" s="7">
        <f>CONCATENATE(C815,E815,I815)</f>
        <v/>
      </c>
      <c r="C815" s="8" t="n">
        <v>900003592</v>
      </c>
      <c r="D815" s="7">
        <f>IFERROR(VLOOKUP(C815,TRAOPE!$G:$H,2,0),"")</f>
        <v/>
      </c>
      <c r="E815" s="8" t="inlineStr">
        <is>
          <t>D836</t>
        </is>
      </c>
      <c r="F815" s="8" t="inlineStr">
        <is>
          <t>65685819</t>
        </is>
      </c>
      <c r="G815" s="8">
        <f>IFERROR(VLOOKUP(A815,Flete!$A:$E,5,0),"")</f>
        <v/>
      </c>
      <c r="H815" s="7">
        <f>IFERROR(VLOOKUP(F815,TRAOPE!$AA:$AB,2,0),"")</f>
        <v/>
      </c>
      <c r="I815" s="7" t="n">
        <v>10000722</v>
      </c>
      <c r="J815" s="7">
        <f>IFERROR(VLOOKUP(I815,Materiales!$A:$H,8,0),"")</f>
        <v/>
      </c>
      <c r="K815" s="9">
        <f>IFERROR(VLOOKUP(I815,Materiales!$A:$G,7,0),"")</f>
        <v/>
      </c>
      <c r="L815" s="8" t="inlineStr">
        <is>
          <t>20190426</t>
        </is>
      </c>
      <c r="M815" s="8" t="inlineStr">
        <is>
          <t>20250127</t>
        </is>
      </c>
      <c r="N815" s="10" t="n">
        <v>102.26</v>
      </c>
      <c r="O815" s="10">
        <f>IFERROR(VLOOKUP(A815,Flete!$A:$J,10,0),"")</f>
        <v/>
      </c>
      <c r="P815" s="8" t="inlineStr">
        <is>
          <t>TN</t>
        </is>
      </c>
      <c r="Q815" s="10">
        <f>IFERROR(IFERROR(VLOOKUP(A815,TRAOPE!$A:$U,21,0),VLOOKUP(B815,TRAOPE!$A:$U,21,0)),"")</f>
        <v/>
      </c>
      <c r="R815" s="8">
        <f>IFERROR(IFERROR(VLOOKUP(A815,TRAOPE!$A:$W,23,0),VLOOKUP(B815,TRAOPE!$A:$W,23,0)),"")</f>
        <v/>
      </c>
      <c r="S815" s="10">
        <f>IF(AND(P815="TN",R815="TN"),N815+N(O815),IF(G815&amp;""="1",N(K815)*N815,(N815+N(O815))*N(K815)))</f>
        <v/>
      </c>
      <c r="T815" s="10">
        <f>IF(Q815="","",Q815-S815)</f>
        <v/>
      </c>
    </row>
    <row r="816">
      <c r="A816" s="7">
        <f>CONCATENATE(C816,E816,F816,I816)</f>
        <v/>
      </c>
      <c r="B816" s="7">
        <f>CONCATENATE(C816,E816,I816)</f>
        <v/>
      </c>
      <c r="C816" s="8" t="n">
        <v>900003592</v>
      </c>
      <c r="D816" s="7">
        <f>IFERROR(VLOOKUP(C816,TRAOPE!$G:$H,2,0),"")</f>
        <v/>
      </c>
      <c r="E816" s="8" t="inlineStr">
        <is>
          <t>D836</t>
        </is>
      </c>
      <c r="F816" s="8" t="inlineStr">
        <is>
          <t>65706147</t>
        </is>
      </c>
      <c r="G816" s="8">
        <f>IFERROR(VLOOKUP(A816,Flete!$A:$E,5,0),"")</f>
        <v/>
      </c>
      <c r="H816" s="7">
        <f>IFERROR(VLOOKUP(F816,TRAOPE!$AA:$AB,2,0),"")</f>
        <v/>
      </c>
      <c r="I816" s="7" t="n">
        <v>10000624</v>
      </c>
      <c r="J816" s="7">
        <f>IFERROR(VLOOKUP(I816,Materiales!$A:$H,8,0),"")</f>
        <v/>
      </c>
      <c r="K816" s="9">
        <f>IFERROR(VLOOKUP(I816,Materiales!$A:$G,7,0),"")</f>
        <v/>
      </c>
      <c r="L816" s="8" t="inlineStr">
        <is>
          <t>20190426</t>
        </is>
      </c>
      <c r="M816" s="8" t="inlineStr">
        <is>
          <t>20250127</t>
        </is>
      </c>
      <c r="N816" s="10" t="n">
        <v>85</v>
      </c>
      <c r="O816" s="10">
        <f>IFERROR(VLOOKUP(A816,Flete!$A:$J,10,0),"")</f>
        <v/>
      </c>
      <c r="P816" s="8" t="inlineStr">
        <is>
          <t>TN</t>
        </is>
      </c>
      <c r="Q816" s="10">
        <f>IFERROR(IFERROR(VLOOKUP(A816,TRAOPE!$A:$U,21,0),VLOOKUP(B816,TRAOPE!$A:$U,21,0)),"")</f>
        <v/>
      </c>
      <c r="R816" s="8">
        <f>IFERROR(IFERROR(VLOOKUP(A816,TRAOPE!$A:$W,23,0),VLOOKUP(B816,TRAOPE!$A:$W,23,0)),"")</f>
        <v/>
      </c>
      <c r="S816" s="10">
        <f>IF(AND(P816="TN",R816="TN"),N816+N(O816),IF(G816&amp;""="1",N(K816)*N816,(N816+N(O816))*N(K816)))</f>
        <v/>
      </c>
      <c r="T816" s="10">
        <f>IF(Q816="","",Q816-S816)</f>
        <v/>
      </c>
    </row>
    <row r="817">
      <c r="A817" s="7">
        <f>CONCATENATE(C817,E817,F817,I817)</f>
        <v/>
      </c>
      <c r="B817" s="7">
        <f>CONCATENATE(C817,E817,I817)</f>
        <v/>
      </c>
      <c r="C817" s="8" t="n">
        <v>900003592</v>
      </c>
      <c r="D817" s="7">
        <f>IFERROR(VLOOKUP(C817,TRAOPE!$G:$H,2,0),"")</f>
        <v/>
      </c>
      <c r="E817" s="8" t="inlineStr">
        <is>
          <t>D836</t>
        </is>
      </c>
      <c r="F817" s="8" t="inlineStr">
        <is>
          <t>65706147</t>
        </is>
      </c>
      <c r="G817" s="8">
        <f>IFERROR(VLOOKUP(A817,Flete!$A:$E,5,0),"")</f>
        <v/>
      </c>
      <c r="H817" s="7">
        <f>IFERROR(VLOOKUP(F817,TRAOPE!$AA:$AB,2,0),"")</f>
        <v/>
      </c>
      <c r="I817" s="7" t="n">
        <v>10000722</v>
      </c>
      <c r="J817" s="7">
        <f>IFERROR(VLOOKUP(I817,Materiales!$A:$H,8,0),"")</f>
        <v/>
      </c>
      <c r="K817" s="9">
        <f>IFERROR(VLOOKUP(I817,Materiales!$A:$G,7,0),"")</f>
        <v/>
      </c>
      <c r="L817" s="8" t="inlineStr">
        <is>
          <t>20190426</t>
        </is>
      </c>
      <c r="M817" s="8" t="inlineStr">
        <is>
          <t>20250127</t>
        </is>
      </c>
      <c r="N817" s="10" t="n">
        <v>95</v>
      </c>
      <c r="O817" s="10">
        <f>IFERROR(VLOOKUP(A817,Flete!$A:$J,10,0),"")</f>
        <v/>
      </c>
      <c r="P817" s="8" t="inlineStr">
        <is>
          <t>TN</t>
        </is>
      </c>
      <c r="Q817" s="10">
        <f>IFERROR(IFERROR(VLOOKUP(A817,TRAOPE!$A:$U,21,0),VLOOKUP(B817,TRAOPE!$A:$U,21,0)),"")</f>
        <v/>
      </c>
      <c r="R817" s="8">
        <f>IFERROR(IFERROR(VLOOKUP(A817,TRAOPE!$A:$W,23,0),VLOOKUP(B817,TRAOPE!$A:$W,23,0)),"")</f>
        <v/>
      </c>
      <c r="S817" s="10">
        <f>IF(AND(P817="TN",R817="TN"),N817+N(O817),IF(G817&amp;""="1",N(K817)*N817,(N817+N(O817))*N(K817)))</f>
        <v/>
      </c>
      <c r="T817" s="10">
        <f>IF(Q817="","",Q817-S817)</f>
        <v/>
      </c>
    </row>
    <row r="818">
      <c r="A818" s="7">
        <f>CONCATENATE(C818,E818,F818,I818)</f>
        <v/>
      </c>
      <c r="B818" s="7">
        <f>CONCATENATE(C818,E818,I818)</f>
        <v/>
      </c>
      <c r="C818" s="8" t="n">
        <v>900003592</v>
      </c>
      <c r="D818" s="7">
        <f>IFERROR(VLOOKUP(C818,TRAOPE!$G:$H,2,0),"")</f>
        <v/>
      </c>
      <c r="E818" s="8" t="inlineStr">
        <is>
          <t>D836</t>
        </is>
      </c>
      <c r="F818" s="8" t="inlineStr">
        <is>
          <t>65763944</t>
        </is>
      </c>
      <c r="G818" s="8">
        <f>IFERROR(VLOOKUP(A818,Flete!$A:$E,5,0),"")</f>
        <v/>
      </c>
      <c r="H818" s="7">
        <f>IFERROR(VLOOKUP(F818,TRAOPE!$AA:$AB,2,0),"")</f>
        <v/>
      </c>
      <c r="I818" s="7" t="n">
        <v>10000722</v>
      </c>
      <c r="J818" s="7">
        <f>IFERROR(VLOOKUP(I818,Materiales!$A:$H,8,0),"")</f>
        <v/>
      </c>
      <c r="K818" s="9">
        <f>IFERROR(VLOOKUP(I818,Materiales!$A:$G,7,0),"")</f>
        <v/>
      </c>
      <c r="L818" s="8" t="inlineStr">
        <is>
          <t>20190426</t>
        </is>
      </c>
      <c r="M818" s="8" t="inlineStr">
        <is>
          <t>20250127</t>
        </is>
      </c>
      <c r="N818" s="10" t="n">
        <v>89.7</v>
      </c>
      <c r="O818" s="10">
        <f>IFERROR(VLOOKUP(A818,Flete!$A:$J,10,0),"")</f>
        <v/>
      </c>
      <c r="P818" s="8" t="inlineStr">
        <is>
          <t>TN</t>
        </is>
      </c>
      <c r="Q818" s="10">
        <f>IFERROR(IFERROR(VLOOKUP(A818,TRAOPE!$A:$U,21,0),VLOOKUP(B818,TRAOPE!$A:$U,21,0)),"")</f>
        <v/>
      </c>
      <c r="R818" s="8">
        <f>IFERROR(IFERROR(VLOOKUP(A818,TRAOPE!$A:$W,23,0),VLOOKUP(B818,TRAOPE!$A:$W,23,0)),"")</f>
        <v/>
      </c>
      <c r="S818" s="10">
        <f>IF(AND(P818="TN",R818="TN"),N818+N(O818),IF(G818&amp;""="1",N(K818)*N818,(N818+N(O818))*N(K818)))</f>
        <v/>
      </c>
      <c r="T818" s="10">
        <f>IF(Q818="","",Q818-S818)</f>
        <v/>
      </c>
    </row>
    <row r="819">
      <c r="A819" s="7">
        <f>CONCATENATE(C819,E819,F819,I819)</f>
        <v/>
      </c>
      <c r="B819" s="7">
        <f>CONCATENATE(C819,E819,I819)</f>
        <v/>
      </c>
      <c r="C819" s="8" t="n">
        <v>900003592</v>
      </c>
      <c r="D819" s="7">
        <f>IFERROR(VLOOKUP(C819,TRAOPE!$G:$H,2,0),"")</f>
        <v/>
      </c>
      <c r="E819" s="8" t="inlineStr">
        <is>
          <t>D836</t>
        </is>
      </c>
      <c r="F819" s="8" t="inlineStr">
        <is>
          <t>65781482</t>
        </is>
      </c>
      <c r="G819" s="8">
        <f>IFERROR(VLOOKUP(A819,Flete!$A:$E,5,0),"")</f>
        <v/>
      </c>
      <c r="H819" s="7">
        <f>IFERROR(VLOOKUP(F819,TRAOPE!$AA:$AB,2,0),"")</f>
        <v/>
      </c>
      <c r="I819" s="7" t="n">
        <v>10000722</v>
      </c>
      <c r="J819" s="7">
        <f>IFERROR(VLOOKUP(I819,Materiales!$A:$H,8,0),"")</f>
        <v/>
      </c>
      <c r="K819" s="9">
        <f>IFERROR(VLOOKUP(I819,Materiales!$A:$G,7,0),"")</f>
        <v/>
      </c>
      <c r="L819" s="8" t="inlineStr">
        <is>
          <t>20190426</t>
        </is>
      </c>
      <c r="M819" s="8" t="inlineStr">
        <is>
          <t>20250127</t>
        </is>
      </c>
      <c r="N819" s="10" t="n">
        <v>106.44</v>
      </c>
      <c r="O819" s="10">
        <f>IFERROR(VLOOKUP(A819,Flete!$A:$J,10,0),"")</f>
        <v/>
      </c>
      <c r="P819" s="8" t="inlineStr">
        <is>
          <t>TN</t>
        </is>
      </c>
      <c r="Q819" s="10">
        <f>IFERROR(IFERROR(VLOOKUP(A819,TRAOPE!$A:$U,21,0),VLOOKUP(B819,TRAOPE!$A:$U,21,0)),"")</f>
        <v/>
      </c>
      <c r="R819" s="8">
        <f>IFERROR(IFERROR(VLOOKUP(A819,TRAOPE!$A:$W,23,0),VLOOKUP(B819,TRAOPE!$A:$W,23,0)),"")</f>
        <v/>
      </c>
      <c r="S819" s="10">
        <f>IF(AND(P819="TN",R819="TN"),N819+N(O819),IF(G819&amp;""="1",N(K819)*N819,(N819+N(O819))*N(K819)))</f>
        <v/>
      </c>
      <c r="T819" s="10">
        <f>IF(Q819="","",Q819-S819)</f>
        <v/>
      </c>
    </row>
    <row r="820">
      <c r="A820" s="7">
        <f>CONCATENATE(C820,E820,F820,I820)</f>
        <v/>
      </c>
      <c r="B820" s="7">
        <f>CONCATENATE(C820,E820,I820)</f>
        <v/>
      </c>
      <c r="C820" s="8" t="n">
        <v>900003592</v>
      </c>
      <c r="D820" s="7">
        <f>IFERROR(VLOOKUP(C820,TRAOPE!$G:$H,2,0),"")</f>
        <v/>
      </c>
      <c r="E820" s="8" t="inlineStr">
        <is>
          <t>D836</t>
        </is>
      </c>
      <c r="F820" s="8" t="inlineStr">
        <is>
          <t>65796882</t>
        </is>
      </c>
      <c r="G820" s="8">
        <f>IFERROR(VLOOKUP(A820,Flete!$A:$E,5,0),"")</f>
        <v/>
      </c>
      <c r="H820" s="7">
        <f>IFERROR(VLOOKUP(F820,TRAOPE!$AA:$AB,2,0),"")</f>
        <v/>
      </c>
      <c r="I820" s="7" t="n">
        <v>10000722</v>
      </c>
      <c r="J820" s="7">
        <f>IFERROR(VLOOKUP(I820,Materiales!$A:$H,8,0),"")</f>
        <v/>
      </c>
      <c r="K820" s="9">
        <f>IFERROR(VLOOKUP(I820,Materiales!$A:$G,7,0),"")</f>
        <v/>
      </c>
      <c r="L820" s="8" t="inlineStr">
        <is>
          <t>20190426</t>
        </is>
      </c>
      <c r="M820" s="8" t="inlineStr">
        <is>
          <t>20250127</t>
        </is>
      </c>
      <c r="N820" s="10" t="n">
        <v>80</v>
      </c>
      <c r="O820" s="10">
        <f>IFERROR(VLOOKUP(A820,Flete!$A:$J,10,0),"")</f>
        <v/>
      </c>
      <c r="P820" s="8" t="inlineStr">
        <is>
          <t>TN</t>
        </is>
      </c>
      <c r="Q820" s="10">
        <f>IFERROR(IFERROR(VLOOKUP(A820,TRAOPE!$A:$U,21,0),VLOOKUP(B820,TRAOPE!$A:$U,21,0)),"")</f>
        <v/>
      </c>
      <c r="R820" s="8">
        <f>IFERROR(IFERROR(VLOOKUP(A820,TRAOPE!$A:$W,23,0),VLOOKUP(B820,TRAOPE!$A:$W,23,0)),"")</f>
        <v/>
      </c>
      <c r="S820" s="10">
        <f>IF(AND(P820="TN",R820="TN"),N820+N(O820),IF(G820&amp;""="1",N(K820)*N820,(N820+N(O820))*N(K820)))</f>
        <v/>
      </c>
      <c r="T820" s="10">
        <f>IF(Q820="","",Q820-S820)</f>
        <v/>
      </c>
    </row>
    <row r="821">
      <c r="A821" s="7">
        <f>CONCATENATE(C821,E821,F821,I821)</f>
        <v/>
      </c>
      <c r="B821" s="7">
        <f>CONCATENATE(C821,E821,I821)</f>
        <v/>
      </c>
      <c r="C821" s="8" t="n">
        <v>900003592</v>
      </c>
      <c r="D821" s="7">
        <f>IFERROR(VLOOKUP(C821,TRAOPE!$G:$H,2,0),"")</f>
        <v/>
      </c>
      <c r="E821" s="8" t="inlineStr">
        <is>
          <t>D836</t>
        </is>
      </c>
      <c r="F821" s="8" t="inlineStr">
        <is>
          <t>65796882</t>
        </is>
      </c>
      <c r="G821" s="8">
        <f>IFERROR(VLOOKUP(A821,Flete!$A:$E,5,0),"")</f>
        <v/>
      </c>
      <c r="H821" s="7">
        <f>IFERROR(VLOOKUP(F821,TRAOPE!$AA:$AB,2,0),"")</f>
        <v/>
      </c>
      <c r="I821" s="7" t="n">
        <v>10053281</v>
      </c>
      <c r="J821" s="7">
        <f>IFERROR(VLOOKUP(I821,Materiales!$A:$H,8,0),"")</f>
        <v/>
      </c>
      <c r="K821" s="9">
        <f>IFERROR(VLOOKUP(I821,Materiales!$A:$G,7,0),"")</f>
        <v/>
      </c>
      <c r="L821" s="8" t="inlineStr">
        <is>
          <t>20190426</t>
        </is>
      </c>
      <c r="M821" s="8" t="inlineStr">
        <is>
          <t>20250127</t>
        </is>
      </c>
      <c r="N821" s="10" t="n">
        <v>80</v>
      </c>
      <c r="O821" s="10">
        <f>IFERROR(VLOOKUP(A821,Flete!$A:$J,10,0),"")</f>
        <v/>
      </c>
      <c r="P821" s="8" t="inlineStr">
        <is>
          <t>TN</t>
        </is>
      </c>
      <c r="Q821" s="10">
        <f>IFERROR(IFERROR(VLOOKUP(A821,TRAOPE!$A:$U,21,0),VLOOKUP(B821,TRAOPE!$A:$U,21,0)),"")</f>
        <v/>
      </c>
      <c r="R821" s="8">
        <f>IFERROR(IFERROR(VLOOKUP(A821,TRAOPE!$A:$W,23,0),VLOOKUP(B821,TRAOPE!$A:$W,23,0)),"")</f>
        <v/>
      </c>
      <c r="S821" s="10">
        <f>IF(AND(P821="TN",R821="TN"),N821+N(O821),IF(G821&amp;""="1",N(K821)*N821,(N821+N(O821))*N(K821)))</f>
        <v/>
      </c>
      <c r="T821" s="10">
        <f>IF(Q821="","",Q821-S821)</f>
        <v/>
      </c>
    </row>
    <row r="822">
      <c r="A822" s="7">
        <f>CONCATENATE(C822,E822,F822,I822)</f>
        <v/>
      </c>
      <c r="B822" s="7">
        <f>CONCATENATE(C822,E822,I822)</f>
        <v/>
      </c>
      <c r="C822" s="8" t="n">
        <v>900003592</v>
      </c>
      <c r="D822" s="7">
        <f>IFERROR(VLOOKUP(C822,TRAOPE!$G:$H,2,0),"")</f>
        <v/>
      </c>
      <c r="E822" s="8" t="inlineStr">
        <is>
          <t>D836</t>
        </is>
      </c>
      <c r="F822" s="8" t="inlineStr">
        <is>
          <t>65916616</t>
        </is>
      </c>
      <c r="G822" s="8">
        <f>IFERROR(VLOOKUP(A822,Flete!$A:$E,5,0),"")</f>
        <v/>
      </c>
      <c r="H822" s="7">
        <f>IFERROR(VLOOKUP(F822,TRAOPE!$AA:$AB,2,0),"")</f>
        <v/>
      </c>
      <c r="I822" s="7" t="n">
        <v>10000630</v>
      </c>
      <c r="J822" s="7">
        <f>IFERROR(VLOOKUP(I822,Materiales!$A:$H,8,0),"")</f>
        <v/>
      </c>
      <c r="K822" s="9">
        <f>IFERROR(VLOOKUP(I822,Materiales!$A:$G,7,0),"")</f>
        <v/>
      </c>
      <c r="L822" s="8" t="inlineStr">
        <is>
          <t>20190426</t>
        </is>
      </c>
      <c r="M822" s="8" t="inlineStr">
        <is>
          <t>20250127</t>
        </is>
      </c>
      <c r="N822" s="10" t="n">
        <v>102.86</v>
      </c>
      <c r="O822" s="10">
        <f>IFERROR(VLOOKUP(A822,Flete!$A:$J,10,0),"")</f>
        <v/>
      </c>
      <c r="P822" s="8" t="inlineStr">
        <is>
          <t>TN</t>
        </is>
      </c>
      <c r="Q822" s="10">
        <f>IFERROR(IFERROR(VLOOKUP(A822,TRAOPE!$A:$U,21,0),VLOOKUP(B822,TRAOPE!$A:$U,21,0)),"")</f>
        <v/>
      </c>
      <c r="R822" s="8">
        <f>IFERROR(IFERROR(VLOOKUP(A822,TRAOPE!$A:$W,23,0),VLOOKUP(B822,TRAOPE!$A:$W,23,0)),"")</f>
        <v/>
      </c>
      <c r="S822" s="10">
        <f>IF(AND(P822="TN",R822="TN"),N822+N(O822),IF(G822&amp;""="1",N(K822)*N822,(N822+N(O822))*N(K822)))</f>
        <v/>
      </c>
      <c r="T822" s="10">
        <f>IF(Q822="","",Q822-S822)</f>
        <v/>
      </c>
    </row>
    <row r="823">
      <c r="A823" s="7">
        <f>CONCATENATE(C823,E823,F823,I823)</f>
        <v/>
      </c>
      <c r="B823" s="7">
        <f>CONCATENATE(C823,E823,I823)</f>
        <v/>
      </c>
      <c r="C823" s="8" t="n">
        <v>900003592</v>
      </c>
      <c r="D823" s="7">
        <f>IFERROR(VLOOKUP(C823,TRAOPE!$G:$H,2,0),"")</f>
        <v/>
      </c>
      <c r="E823" s="8" t="inlineStr">
        <is>
          <t>D836</t>
        </is>
      </c>
      <c r="F823" s="8" t="inlineStr">
        <is>
          <t>65916616</t>
        </is>
      </c>
      <c r="G823" s="8">
        <f>IFERROR(VLOOKUP(A823,Flete!$A:$E,5,0),"")</f>
        <v/>
      </c>
      <c r="H823" s="7">
        <f>IFERROR(VLOOKUP(F823,TRAOPE!$AA:$AB,2,0),"")</f>
        <v/>
      </c>
      <c r="I823" s="7" t="n">
        <v>10000722</v>
      </c>
      <c r="J823" s="7">
        <f>IFERROR(VLOOKUP(I823,Materiales!$A:$H,8,0),"")</f>
        <v/>
      </c>
      <c r="K823" s="9">
        <f>IFERROR(VLOOKUP(I823,Materiales!$A:$G,7,0),"")</f>
        <v/>
      </c>
      <c r="L823" s="8" t="inlineStr">
        <is>
          <t>20190426</t>
        </is>
      </c>
      <c r="M823" s="8" t="inlineStr">
        <is>
          <t>20250127</t>
        </is>
      </c>
      <c r="N823" s="10" t="n">
        <v>80</v>
      </c>
      <c r="O823" s="10">
        <f>IFERROR(VLOOKUP(A823,Flete!$A:$J,10,0),"")</f>
        <v/>
      </c>
      <c r="P823" s="8" t="inlineStr">
        <is>
          <t>TN</t>
        </is>
      </c>
      <c r="Q823" s="10">
        <f>IFERROR(IFERROR(VLOOKUP(A823,TRAOPE!$A:$U,21,0),VLOOKUP(B823,TRAOPE!$A:$U,21,0)),"")</f>
        <v/>
      </c>
      <c r="R823" s="8">
        <f>IFERROR(IFERROR(VLOOKUP(A823,TRAOPE!$A:$W,23,0),VLOOKUP(B823,TRAOPE!$A:$W,23,0)),"")</f>
        <v/>
      </c>
      <c r="S823" s="10">
        <f>IF(AND(P823="TN",R823="TN"),N823+N(O823),IF(G823&amp;""="1",N(K823)*N823,(N823+N(O823))*N(K823)))</f>
        <v/>
      </c>
      <c r="T823" s="10">
        <f>IF(Q823="","",Q823-S823)</f>
        <v/>
      </c>
    </row>
    <row r="824">
      <c r="A824" s="7">
        <f>CONCATENATE(C824,E824,F824,I824)</f>
        <v/>
      </c>
      <c r="B824" s="7">
        <f>CONCATENATE(C824,E824,I824)</f>
        <v/>
      </c>
      <c r="C824" s="8" t="n">
        <v>900003592</v>
      </c>
      <c r="D824" s="7">
        <f>IFERROR(VLOOKUP(C824,TRAOPE!$G:$H,2,0),"")</f>
        <v/>
      </c>
      <c r="E824" s="8" t="inlineStr">
        <is>
          <t>D836</t>
        </is>
      </c>
      <c r="F824" s="8" t="inlineStr">
        <is>
          <t>65970998</t>
        </is>
      </c>
      <c r="G824" s="8">
        <f>IFERROR(VLOOKUP(A824,Flete!$A:$E,5,0),"")</f>
        <v/>
      </c>
      <c r="H824" s="7">
        <f>IFERROR(VLOOKUP(F824,TRAOPE!$AA:$AB,2,0),"")</f>
        <v/>
      </c>
      <c r="I824" s="7" t="n">
        <v>10000722</v>
      </c>
      <c r="J824" s="7">
        <f>IFERROR(VLOOKUP(I824,Materiales!$A:$H,8,0),"")</f>
        <v/>
      </c>
      <c r="K824" s="9">
        <f>IFERROR(VLOOKUP(I824,Materiales!$A:$G,7,0),"")</f>
        <v/>
      </c>
      <c r="L824" s="8" t="inlineStr">
        <is>
          <t>20190426</t>
        </is>
      </c>
      <c r="M824" s="8" t="inlineStr">
        <is>
          <t>20250127</t>
        </is>
      </c>
      <c r="N824" s="10" t="n">
        <v>102.26</v>
      </c>
      <c r="O824" s="10">
        <f>IFERROR(VLOOKUP(A824,Flete!$A:$J,10,0),"")</f>
        <v/>
      </c>
      <c r="P824" s="8" t="inlineStr">
        <is>
          <t>TN</t>
        </is>
      </c>
      <c r="Q824" s="10">
        <f>IFERROR(IFERROR(VLOOKUP(A824,TRAOPE!$A:$U,21,0),VLOOKUP(B824,TRAOPE!$A:$U,21,0)),"")</f>
        <v/>
      </c>
      <c r="R824" s="8">
        <f>IFERROR(IFERROR(VLOOKUP(A824,TRAOPE!$A:$W,23,0),VLOOKUP(B824,TRAOPE!$A:$W,23,0)),"")</f>
        <v/>
      </c>
      <c r="S824" s="10">
        <f>IF(AND(P824="TN",R824="TN"),N824+N(O824),IF(G824&amp;""="1",N(K824)*N824,(N824+N(O824))*N(K824)))</f>
        <v/>
      </c>
      <c r="T824" s="10">
        <f>IF(Q824="","",Q824-S824)</f>
        <v/>
      </c>
    </row>
    <row r="825">
      <c r="A825" s="7">
        <f>CONCATENATE(C825,E825,F825,I825)</f>
        <v/>
      </c>
      <c r="B825" s="7">
        <f>CONCATENATE(C825,E825,I825)</f>
        <v/>
      </c>
      <c r="C825" s="8" t="n">
        <v>900003592</v>
      </c>
      <c r="D825" s="7">
        <f>IFERROR(VLOOKUP(C825,TRAOPE!$G:$H,2,0),"")</f>
        <v/>
      </c>
      <c r="E825" s="8" t="inlineStr">
        <is>
          <t>D836</t>
        </is>
      </c>
      <c r="F825" s="8" t="inlineStr">
        <is>
          <t>65992053</t>
        </is>
      </c>
      <c r="G825" s="8">
        <f>IFERROR(VLOOKUP(A825,Flete!$A:$E,5,0),"")</f>
        <v/>
      </c>
      <c r="H825" s="7">
        <f>IFERROR(VLOOKUP(F825,TRAOPE!$AA:$AB,2,0),"")</f>
        <v/>
      </c>
      <c r="I825" s="7" t="n">
        <v>10000623</v>
      </c>
      <c r="J825" s="7">
        <f>IFERROR(VLOOKUP(I825,Materiales!$A:$H,8,0),"")</f>
        <v/>
      </c>
      <c r="K825" s="9">
        <f>IFERROR(VLOOKUP(I825,Materiales!$A:$G,7,0),"")</f>
        <v/>
      </c>
      <c r="L825" s="8" t="inlineStr">
        <is>
          <t>20190426</t>
        </is>
      </c>
      <c r="M825" s="8" t="inlineStr">
        <is>
          <t>20250127</t>
        </is>
      </c>
      <c r="N825" s="10" t="n">
        <v>100.05</v>
      </c>
      <c r="O825" s="10">
        <f>IFERROR(VLOOKUP(A825,Flete!$A:$J,10,0),"")</f>
        <v/>
      </c>
      <c r="P825" s="8" t="inlineStr">
        <is>
          <t>TN</t>
        </is>
      </c>
      <c r="Q825" s="10">
        <f>IFERROR(IFERROR(VLOOKUP(A825,TRAOPE!$A:$U,21,0),VLOOKUP(B825,TRAOPE!$A:$U,21,0)),"")</f>
        <v/>
      </c>
      <c r="R825" s="8">
        <f>IFERROR(IFERROR(VLOOKUP(A825,TRAOPE!$A:$W,23,0),VLOOKUP(B825,TRAOPE!$A:$W,23,0)),"")</f>
        <v/>
      </c>
      <c r="S825" s="10">
        <f>IF(AND(P825="TN",R825="TN"),N825+N(O825),IF(G825&amp;""="1",N(K825)*N825,(N825+N(O825))*N(K825)))</f>
        <v/>
      </c>
      <c r="T825" s="10">
        <f>IF(Q825="","",Q825-S825)</f>
        <v/>
      </c>
    </row>
    <row r="826">
      <c r="A826" s="7">
        <f>CONCATENATE(C826,E826,F826,I826)</f>
        <v/>
      </c>
      <c r="B826" s="7">
        <f>CONCATENATE(C826,E826,I826)</f>
        <v/>
      </c>
      <c r="C826" s="8" t="n">
        <v>900003592</v>
      </c>
      <c r="D826" s="7">
        <f>IFERROR(VLOOKUP(C826,TRAOPE!$G:$H,2,0),"")</f>
        <v/>
      </c>
      <c r="E826" s="8" t="inlineStr">
        <is>
          <t>D836</t>
        </is>
      </c>
      <c r="F826" s="8" t="inlineStr">
        <is>
          <t>65992219</t>
        </is>
      </c>
      <c r="G826" s="8">
        <f>IFERROR(VLOOKUP(A826,Flete!$A:$E,5,0),"")</f>
        <v/>
      </c>
      <c r="H826" s="7">
        <f>IFERROR(VLOOKUP(F826,TRAOPE!$AA:$AB,2,0),"")</f>
        <v/>
      </c>
      <c r="I826" s="7" t="n">
        <v>10000630</v>
      </c>
      <c r="J826" s="7">
        <f>IFERROR(VLOOKUP(I826,Materiales!$A:$H,8,0),"")</f>
        <v/>
      </c>
      <c r="K826" s="9">
        <f>IFERROR(VLOOKUP(I826,Materiales!$A:$G,7,0),"")</f>
        <v/>
      </c>
      <c r="L826" s="8" t="inlineStr">
        <is>
          <t>20190426</t>
        </is>
      </c>
      <c r="M826" s="8" t="inlineStr">
        <is>
          <t>20250127</t>
        </is>
      </c>
      <c r="N826" s="10" t="n">
        <v>102.26</v>
      </c>
      <c r="O826" s="10">
        <f>IFERROR(VLOOKUP(A826,Flete!$A:$J,10,0),"")</f>
        <v/>
      </c>
      <c r="P826" s="8" t="inlineStr">
        <is>
          <t>TN</t>
        </is>
      </c>
      <c r="Q826" s="10">
        <f>IFERROR(IFERROR(VLOOKUP(A826,TRAOPE!$A:$U,21,0),VLOOKUP(B826,TRAOPE!$A:$U,21,0)),"")</f>
        <v/>
      </c>
      <c r="R826" s="8">
        <f>IFERROR(IFERROR(VLOOKUP(A826,TRAOPE!$A:$W,23,0),VLOOKUP(B826,TRAOPE!$A:$W,23,0)),"")</f>
        <v/>
      </c>
      <c r="S826" s="10">
        <f>IF(AND(P826="TN",R826="TN"),N826+N(O826),IF(G826&amp;""="1",N(K826)*N826,(N826+N(O826))*N(K826)))</f>
        <v/>
      </c>
      <c r="T826" s="10">
        <f>IF(Q826="","",Q826-S826)</f>
        <v/>
      </c>
    </row>
    <row r="827">
      <c r="A827" s="7">
        <f>CONCATENATE(C827,E827,F827,I827)</f>
        <v/>
      </c>
      <c r="B827" s="7">
        <f>CONCATENATE(C827,E827,I827)</f>
        <v/>
      </c>
      <c r="C827" s="8" t="n">
        <v>900003592</v>
      </c>
      <c r="D827" s="7">
        <f>IFERROR(VLOOKUP(C827,TRAOPE!$G:$H,2,0),"")</f>
        <v/>
      </c>
      <c r="E827" s="8" t="inlineStr">
        <is>
          <t>D836</t>
        </is>
      </c>
      <c r="F827" s="8" t="inlineStr">
        <is>
          <t>65992219</t>
        </is>
      </c>
      <c r="G827" s="8">
        <f>IFERROR(VLOOKUP(A827,Flete!$A:$E,5,0),"")</f>
        <v/>
      </c>
      <c r="H827" s="7">
        <f>IFERROR(VLOOKUP(F827,TRAOPE!$AA:$AB,2,0),"")</f>
        <v/>
      </c>
      <c r="I827" s="7" t="n">
        <v>10000722</v>
      </c>
      <c r="J827" s="7">
        <f>IFERROR(VLOOKUP(I827,Materiales!$A:$H,8,0),"")</f>
        <v/>
      </c>
      <c r="K827" s="9">
        <f>IFERROR(VLOOKUP(I827,Materiales!$A:$G,7,0),"")</f>
        <v/>
      </c>
      <c r="L827" s="8" t="inlineStr">
        <is>
          <t>20190426</t>
        </is>
      </c>
      <c r="M827" s="8" t="inlineStr">
        <is>
          <t>20250127</t>
        </is>
      </c>
      <c r="N827" s="10" t="n">
        <v>102.26</v>
      </c>
      <c r="O827" s="10">
        <f>IFERROR(VLOOKUP(A827,Flete!$A:$J,10,0),"")</f>
        <v/>
      </c>
      <c r="P827" s="8" t="inlineStr">
        <is>
          <t>TN</t>
        </is>
      </c>
      <c r="Q827" s="10">
        <f>IFERROR(IFERROR(VLOOKUP(A827,TRAOPE!$A:$U,21,0),VLOOKUP(B827,TRAOPE!$A:$U,21,0)),"")</f>
        <v/>
      </c>
      <c r="R827" s="8">
        <f>IFERROR(IFERROR(VLOOKUP(A827,TRAOPE!$A:$W,23,0),VLOOKUP(B827,TRAOPE!$A:$W,23,0)),"")</f>
        <v/>
      </c>
      <c r="S827" s="10">
        <f>IF(AND(P827="TN",R827="TN"),N827+N(O827),IF(G827&amp;""="1",N(K827)*N827,(N827+N(O827))*N(K827)))</f>
        <v/>
      </c>
      <c r="T827" s="10">
        <f>IF(Q827="","",Q827-S827)</f>
        <v/>
      </c>
    </row>
    <row r="828">
      <c r="A828" s="7">
        <f>CONCATENATE(C828,E828,F828,I828)</f>
        <v/>
      </c>
      <c r="B828" s="7">
        <f>CONCATENATE(C828,E828,I828)</f>
        <v/>
      </c>
      <c r="C828" s="8" t="n">
        <v>900003592</v>
      </c>
      <c r="D828" s="7">
        <f>IFERROR(VLOOKUP(C828,TRAOPE!$G:$H,2,0),"")</f>
        <v/>
      </c>
      <c r="E828" s="8" t="inlineStr">
        <is>
          <t>D836</t>
        </is>
      </c>
      <c r="F828" s="8" t="inlineStr">
        <is>
          <t>66167552</t>
        </is>
      </c>
      <c r="G828" s="8">
        <f>IFERROR(VLOOKUP(A828,Flete!$A:$E,5,0),"")</f>
        <v/>
      </c>
      <c r="H828" s="7">
        <f>IFERROR(VLOOKUP(F828,TRAOPE!$AA:$AB,2,0),"")</f>
        <v/>
      </c>
      <c r="I828" s="7" t="n">
        <v>10000624</v>
      </c>
      <c r="J828" s="7">
        <f>IFERROR(VLOOKUP(I828,Materiales!$A:$H,8,0),"")</f>
        <v/>
      </c>
      <c r="K828" s="9">
        <f>IFERROR(VLOOKUP(I828,Materiales!$A:$G,7,0),"")</f>
        <v/>
      </c>
      <c r="L828" s="8" t="inlineStr">
        <is>
          <t>20190426</t>
        </is>
      </c>
      <c r="M828" s="8" t="inlineStr">
        <is>
          <t>20250127</t>
        </is>
      </c>
      <c r="N828" s="10" t="n">
        <v>92</v>
      </c>
      <c r="O828" s="10">
        <f>IFERROR(VLOOKUP(A828,Flete!$A:$J,10,0),"")</f>
        <v/>
      </c>
      <c r="P828" s="8" t="inlineStr">
        <is>
          <t>TN</t>
        </is>
      </c>
      <c r="Q828" s="10">
        <f>IFERROR(IFERROR(VLOOKUP(A828,TRAOPE!$A:$U,21,0),VLOOKUP(B828,TRAOPE!$A:$U,21,0)),"")</f>
        <v/>
      </c>
      <c r="R828" s="8">
        <f>IFERROR(IFERROR(VLOOKUP(A828,TRAOPE!$A:$W,23,0),VLOOKUP(B828,TRAOPE!$A:$W,23,0)),"")</f>
        <v/>
      </c>
      <c r="S828" s="10">
        <f>IF(AND(P828="TN",R828="TN"),N828+N(O828),IF(G828&amp;""="1",N(K828)*N828,(N828+N(O828))*N(K828)))</f>
        <v/>
      </c>
      <c r="T828" s="10">
        <f>IF(Q828="","",Q828-S828)</f>
        <v/>
      </c>
    </row>
    <row r="829">
      <c r="A829" s="7">
        <f>CONCATENATE(C829,E829,F829,I829)</f>
        <v/>
      </c>
      <c r="B829" s="7">
        <f>CONCATENATE(C829,E829,I829)</f>
        <v/>
      </c>
      <c r="C829" s="8" t="n">
        <v>900003592</v>
      </c>
      <c r="D829" s="7">
        <f>IFERROR(VLOOKUP(C829,TRAOPE!$G:$H,2,0),"")</f>
        <v/>
      </c>
      <c r="E829" s="8" t="inlineStr">
        <is>
          <t>D836</t>
        </is>
      </c>
      <c r="F829" s="8" t="inlineStr">
        <is>
          <t>66167552</t>
        </is>
      </c>
      <c r="G829" s="8">
        <f>IFERROR(VLOOKUP(A829,Flete!$A:$E,5,0),"")</f>
        <v/>
      </c>
      <c r="H829" s="7">
        <f>IFERROR(VLOOKUP(F829,TRAOPE!$AA:$AB,2,0),"")</f>
        <v/>
      </c>
      <c r="I829" s="7" t="n">
        <v>10000722</v>
      </c>
      <c r="J829" s="7">
        <f>IFERROR(VLOOKUP(I829,Materiales!$A:$H,8,0),"")</f>
        <v/>
      </c>
      <c r="K829" s="9">
        <f>IFERROR(VLOOKUP(I829,Materiales!$A:$G,7,0),"")</f>
        <v/>
      </c>
      <c r="L829" s="8" t="inlineStr">
        <is>
          <t>20190426</t>
        </is>
      </c>
      <c r="M829" s="8" t="inlineStr">
        <is>
          <t>20250127</t>
        </is>
      </c>
      <c r="N829" s="10" t="n">
        <v>92</v>
      </c>
      <c r="O829" s="10">
        <f>IFERROR(VLOOKUP(A829,Flete!$A:$J,10,0),"")</f>
        <v/>
      </c>
      <c r="P829" s="8" t="inlineStr">
        <is>
          <t>TN</t>
        </is>
      </c>
      <c r="Q829" s="10">
        <f>IFERROR(IFERROR(VLOOKUP(A829,TRAOPE!$A:$U,21,0),VLOOKUP(B829,TRAOPE!$A:$U,21,0)),"")</f>
        <v/>
      </c>
      <c r="R829" s="8">
        <f>IFERROR(IFERROR(VLOOKUP(A829,TRAOPE!$A:$W,23,0),VLOOKUP(B829,TRAOPE!$A:$W,23,0)),"")</f>
        <v/>
      </c>
      <c r="S829" s="10">
        <f>IF(AND(P829="TN",R829="TN"),N829+N(O829),IF(G829&amp;""="1",N(K829)*N829,(N829+N(O829))*N(K829)))</f>
        <v/>
      </c>
      <c r="T829" s="10">
        <f>IF(Q829="","",Q829-S829)</f>
        <v/>
      </c>
    </row>
    <row r="830">
      <c r="A830" s="7">
        <f>CONCATENATE(C830,E830,F830,I830)</f>
        <v/>
      </c>
      <c r="B830" s="7">
        <f>CONCATENATE(C830,E830,I830)</f>
        <v/>
      </c>
      <c r="C830" s="8" t="n">
        <v>900003592</v>
      </c>
      <c r="D830" s="7">
        <f>IFERROR(VLOOKUP(C830,TRAOPE!$G:$H,2,0),"")</f>
        <v/>
      </c>
      <c r="E830" s="8" t="inlineStr">
        <is>
          <t>D836</t>
        </is>
      </c>
      <c r="F830" s="8" t="inlineStr">
        <is>
          <t>66230098</t>
        </is>
      </c>
      <c r="G830" s="8">
        <f>IFERROR(VLOOKUP(A830,Flete!$A:$E,5,0),"")</f>
        <v/>
      </c>
      <c r="H830" s="7">
        <f>IFERROR(VLOOKUP(F830,TRAOPE!$AA:$AB,2,0),"")</f>
        <v/>
      </c>
      <c r="I830" s="7" t="n">
        <v>10000722</v>
      </c>
      <c r="J830" s="7">
        <f>IFERROR(VLOOKUP(I830,Materiales!$A:$H,8,0),"")</f>
        <v/>
      </c>
      <c r="K830" s="9">
        <f>IFERROR(VLOOKUP(I830,Materiales!$A:$G,7,0),"")</f>
        <v/>
      </c>
      <c r="L830" s="8" t="inlineStr">
        <is>
          <t>20190426</t>
        </is>
      </c>
      <c r="M830" s="8" t="inlineStr">
        <is>
          <t>20250127</t>
        </is>
      </c>
      <c r="N830" s="10" t="n">
        <v>80</v>
      </c>
      <c r="O830" s="10">
        <f>IFERROR(VLOOKUP(A830,Flete!$A:$J,10,0),"")</f>
        <v/>
      </c>
      <c r="P830" s="8" t="inlineStr">
        <is>
          <t>TN</t>
        </is>
      </c>
      <c r="Q830" s="10">
        <f>IFERROR(IFERROR(VLOOKUP(A830,TRAOPE!$A:$U,21,0),VLOOKUP(B830,TRAOPE!$A:$U,21,0)),"")</f>
        <v/>
      </c>
      <c r="R830" s="8">
        <f>IFERROR(IFERROR(VLOOKUP(A830,TRAOPE!$A:$W,23,0),VLOOKUP(B830,TRAOPE!$A:$W,23,0)),"")</f>
        <v/>
      </c>
      <c r="S830" s="10">
        <f>IF(AND(P830="TN",R830="TN"),N830+N(O830),IF(G830&amp;""="1",N(K830)*N830,(N830+N(O830))*N(K830)))</f>
        <v/>
      </c>
      <c r="T830" s="10">
        <f>IF(Q830="","",Q830-S830)</f>
        <v/>
      </c>
    </row>
    <row r="831">
      <c r="A831" s="7">
        <f>CONCATENATE(C831,E831,F831,I831)</f>
        <v/>
      </c>
      <c r="B831" s="7">
        <f>CONCATENATE(C831,E831,I831)</f>
        <v/>
      </c>
      <c r="C831" s="8" t="n">
        <v>900003592</v>
      </c>
      <c r="D831" s="7">
        <f>IFERROR(VLOOKUP(C831,TRAOPE!$G:$H,2,0),"")</f>
        <v/>
      </c>
      <c r="E831" s="8" t="inlineStr">
        <is>
          <t>D836</t>
        </is>
      </c>
      <c r="F831" s="8" t="inlineStr">
        <is>
          <t>66230098</t>
        </is>
      </c>
      <c r="G831" s="8">
        <f>IFERROR(VLOOKUP(A831,Flete!$A:$E,5,0),"")</f>
        <v/>
      </c>
      <c r="H831" s="7">
        <f>IFERROR(VLOOKUP(F831,TRAOPE!$AA:$AB,2,0),"")</f>
        <v/>
      </c>
      <c r="I831" s="7" t="n">
        <v>10053281</v>
      </c>
      <c r="J831" s="7">
        <f>IFERROR(VLOOKUP(I831,Materiales!$A:$H,8,0),"")</f>
        <v/>
      </c>
      <c r="K831" s="9">
        <f>IFERROR(VLOOKUP(I831,Materiales!$A:$G,7,0),"")</f>
        <v/>
      </c>
      <c r="L831" s="8" t="inlineStr">
        <is>
          <t>20190426</t>
        </is>
      </c>
      <c r="M831" s="8" t="inlineStr">
        <is>
          <t>20250127</t>
        </is>
      </c>
      <c r="N831" s="10" t="n">
        <v>80</v>
      </c>
      <c r="O831" s="10">
        <f>IFERROR(VLOOKUP(A831,Flete!$A:$J,10,0),"")</f>
        <v/>
      </c>
      <c r="P831" s="8" t="inlineStr">
        <is>
          <t>TN</t>
        </is>
      </c>
      <c r="Q831" s="10">
        <f>IFERROR(IFERROR(VLOOKUP(A831,TRAOPE!$A:$U,21,0),VLOOKUP(B831,TRAOPE!$A:$U,21,0)),"")</f>
        <v/>
      </c>
      <c r="R831" s="8">
        <f>IFERROR(IFERROR(VLOOKUP(A831,TRAOPE!$A:$W,23,0),VLOOKUP(B831,TRAOPE!$A:$W,23,0)),"")</f>
        <v/>
      </c>
      <c r="S831" s="10">
        <f>IF(AND(P831="TN",R831="TN"),N831+N(O831),IF(G831&amp;""="1",N(K831)*N831,(N831+N(O831))*N(K831)))</f>
        <v/>
      </c>
      <c r="T831" s="10">
        <f>IF(Q831="","",Q831-S831)</f>
        <v/>
      </c>
    </row>
    <row r="832">
      <c r="A832" s="7">
        <f>CONCATENATE(C832,E832,F832,I832)</f>
        <v/>
      </c>
      <c r="B832" s="7">
        <f>CONCATENATE(C832,E832,I832)</f>
        <v/>
      </c>
      <c r="C832" s="8" t="n">
        <v>900003592</v>
      </c>
      <c r="D832" s="7">
        <f>IFERROR(VLOOKUP(C832,TRAOPE!$G:$H,2,0),"")</f>
        <v/>
      </c>
      <c r="E832" s="8" t="inlineStr">
        <is>
          <t>D836</t>
        </is>
      </c>
      <c r="F832" s="8" t="inlineStr">
        <is>
          <t>66237142</t>
        </is>
      </c>
      <c r="G832" s="8">
        <f>IFERROR(VLOOKUP(A832,Flete!$A:$E,5,0),"")</f>
        <v/>
      </c>
      <c r="H832" s="7">
        <f>IFERROR(VLOOKUP(F832,TRAOPE!$AA:$AB,2,0),"")</f>
        <v/>
      </c>
      <c r="I832" s="7" t="n">
        <v>10000630</v>
      </c>
      <c r="J832" s="7">
        <f>IFERROR(VLOOKUP(I832,Materiales!$A:$H,8,0),"")</f>
        <v/>
      </c>
      <c r="K832" s="9">
        <f>IFERROR(VLOOKUP(I832,Materiales!$A:$G,7,0),"")</f>
        <v/>
      </c>
      <c r="L832" s="8" t="inlineStr">
        <is>
          <t>20190426</t>
        </is>
      </c>
      <c r="M832" s="8" t="inlineStr">
        <is>
          <t>20250127</t>
        </is>
      </c>
      <c r="N832" s="10" t="n">
        <v>101.66</v>
      </c>
      <c r="O832" s="10">
        <f>IFERROR(VLOOKUP(A832,Flete!$A:$J,10,0),"")</f>
        <v/>
      </c>
      <c r="P832" s="8" t="inlineStr">
        <is>
          <t>TN</t>
        </is>
      </c>
      <c r="Q832" s="10">
        <f>IFERROR(IFERROR(VLOOKUP(A832,TRAOPE!$A:$U,21,0),VLOOKUP(B832,TRAOPE!$A:$U,21,0)),"")</f>
        <v/>
      </c>
      <c r="R832" s="8">
        <f>IFERROR(IFERROR(VLOOKUP(A832,TRAOPE!$A:$W,23,0),VLOOKUP(B832,TRAOPE!$A:$W,23,0)),"")</f>
        <v/>
      </c>
      <c r="S832" s="10">
        <f>IF(AND(P832="TN",R832="TN"),N832+N(O832),IF(G832&amp;""="1",N(K832)*N832,(N832+N(O832))*N(K832)))</f>
        <v/>
      </c>
      <c r="T832" s="10">
        <f>IF(Q832="","",Q832-S832)</f>
        <v/>
      </c>
    </row>
    <row r="833">
      <c r="A833" s="7">
        <f>CONCATENATE(C833,E833,F833,I833)</f>
        <v/>
      </c>
      <c r="B833" s="7">
        <f>CONCATENATE(C833,E833,I833)</f>
        <v/>
      </c>
      <c r="C833" s="8" t="n">
        <v>900003592</v>
      </c>
      <c r="D833" s="7">
        <f>IFERROR(VLOOKUP(C833,TRAOPE!$G:$H,2,0),"")</f>
        <v/>
      </c>
      <c r="E833" s="8" t="inlineStr">
        <is>
          <t>D836</t>
        </is>
      </c>
      <c r="F833" s="8" t="inlineStr">
        <is>
          <t>66237142</t>
        </is>
      </c>
      <c r="G833" s="8">
        <f>IFERROR(VLOOKUP(A833,Flete!$A:$E,5,0),"")</f>
        <v/>
      </c>
      <c r="H833" s="7">
        <f>IFERROR(VLOOKUP(F833,TRAOPE!$AA:$AB,2,0),"")</f>
        <v/>
      </c>
      <c r="I833" s="7" t="n">
        <v>10000722</v>
      </c>
      <c r="J833" s="7">
        <f>IFERROR(VLOOKUP(I833,Materiales!$A:$H,8,0),"")</f>
        <v/>
      </c>
      <c r="K833" s="9">
        <f>IFERROR(VLOOKUP(I833,Materiales!$A:$G,7,0),"")</f>
        <v/>
      </c>
      <c r="L833" s="8" t="inlineStr">
        <is>
          <t>20190426</t>
        </is>
      </c>
      <c r="M833" s="8" t="inlineStr">
        <is>
          <t>20250127</t>
        </is>
      </c>
      <c r="N833" s="10" t="n">
        <v>101.66</v>
      </c>
      <c r="O833" s="10">
        <f>IFERROR(VLOOKUP(A833,Flete!$A:$J,10,0),"")</f>
        <v/>
      </c>
      <c r="P833" s="8" t="inlineStr">
        <is>
          <t>TN</t>
        </is>
      </c>
      <c r="Q833" s="10">
        <f>IFERROR(IFERROR(VLOOKUP(A833,TRAOPE!$A:$U,21,0),VLOOKUP(B833,TRAOPE!$A:$U,21,0)),"")</f>
        <v/>
      </c>
      <c r="R833" s="8">
        <f>IFERROR(IFERROR(VLOOKUP(A833,TRAOPE!$A:$W,23,0),VLOOKUP(B833,TRAOPE!$A:$W,23,0)),"")</f>
        <v/>
      </c>
      <c r="S833" s="10">
        <f>IF(AND(P833="TN",R833="TN"),N833+N(O833),IF(G833&amp;""="1",N(K833)*N833,(N833+N(O833))*N(K833)))</f>
        <v/>
      </c>
      <c r="T833" s="10">
        <f>IF(Q833="","",Q833-S833)</f>
        <v/>
      </c>
    </row>
    <row r="834">
      <c r="A834" s="7">
        <f>CONCATENATE(C834,E834,F834,I834)</f>
        <v/>
      </c>
      <c r="B834" s="7">
        <f>CONCATENATE(C834,E834,I834)</f>
        <v/>
      </c>
      <c r="C834" s="8" t="n">
        <v>900003592</v>
      </c>
      <c r="D834" s="7">
        <f>IFERROR(VLOOKUP(C834,TRAOPE!$G:$H,2,0),"")</f>
        <v/>
      </c>
      <c r="E834" s="8" t="inlineStr">
        <is>
          <t>D836</t>
        </is>
      </c>
      <c r="F834" s="8" t="inlineStr">
        <is>
          <t>66239560</t>
        </is>
      </c>
      <c r="G834" s="8">
        <f>IFERROR(VLOOKUP(A834,Flete!$A:$E,5,0),"")</f>
        <v/>
      </c>
      <c r="H834" s="7">
        <f>IFERROR(VLOOKUP(F834,TRAOPE!$AA:$AB,2,0),"")</f>
        <v/>
      </c>
      <c r="I834" s="7" t="n">
        <v>10000722</v>
      </c>
      <c r="J834" s="7">
        <f>IFERROR(VLOOKUP(I834,Materiales!$A:$H,8,0),"")</f>
        <v/>
      </c>
      <c r="K834" s="9">
        <f>IFERROR(VLOOKUP(I834,Materiales!$A:$G,7,0),"")</f>
        <v/>
      </c>
      <c r="L834" s="8" t="inlineStr">
        <is>
          <t>20190426</t>
        </is>
      </c>
      <c r="M834" s="8" t="inlineStr">
        <is>
          <t>20250127</t>
        </is>
      </c>
      <c r="N834" s="10" t="n">
        <v>136.8</v>
      </c>
      <c r="O834" s="10">
        <f>IFERROR(VLOOKUP(A834,Flete!$A:$J,10,0),"")</f>
        <v/>
      </c>
      <c r="P834" s="8" t="inlineStr">
        <is>
          <t>M3</t>
        </is>
      </c>
      <c r="Q834" s="10">
        <f>IFERROR(IFERROR(VLOOKUP(A834,TRAOPE!$A:$U,21,0),VLOOKUP(B834,TRAOPE!$A:$U,21,0)),"")</f>
        <v/>
      </c>
      <c r="R834" s="8">
        <f>IFERROR(IFERROR(VLOOKUP(A834,TRAOPE!$A:$W,23,0),VLOOKUP(B834,TRAOPE!$A:$W,23,0)),"")</f>
        <v/>
      </c>
      <c r="S834" s="10">
        <f>IF(AND(P834="TN",R834="TN"),N834+N(O834),IF(G834&amp;""="1",N(K834)*N834,(N834+N(O834))*N(K834)))</f>
        <v/>
      </c>
      <c r="T834" s="10">
        <f>IF(Q834="","",Q834-S834)</f>
        <v/>
      </c>
    </row>
    <row r="835">
      <c r="A835" s="7">
        <f>CONCATENATE(C835,E835,F835,I835)</f>
        <v/>
      </c>
      <c r="B835" s="7">
        <f>CONCATENATE(C835,E835,I835)</f>
        <v/>
      </c>
      <c r="C835" s="8" t="n">
        <v>900003592</v>
      </c>
      <c r="D835" s="7">
        <f>IFERROR(VLOOKUP(C835,TRAOPE!$G:$H,2,0),"")</f>
        <v/>
      </c>
      <c r="E835" s="8" t="inlineStr">
        <is>
          <t>D836</t>
        </is>
      </c>
      <c r="F835" s="8" t="inlineStr">
        <is>
          <t>66239561</t>
        </is>
      </c>
      <c r="G835" s="8">
        <f>IFERROR(VLOOKUP(A835,Flete!$A:$E,5,0),"")</f>
        <v/>
      </c>
      <c r="H835" s="7">
        <f>IFERROR(VLOOKUP(F835,TRAOPE!$AA:$AB,2,0),"")</f>
        <v/>
      </c>
      <c r="I835" s="7" t="n">
        <v>10000722</v>
      </c>
      <c r="J835" s="7">
        <f>IFERROR(VLOOKUP(I835,Materiales!$A:$H,8,0),"")</f>
        <v/>
      </c>
      <c r="K835" s="9">
        <f>IFERROR(VLOOKUP(I835,Materiales!$A:$G,7,0),"")</f>
        <v/>
      </c>
      <c r="L835" s="8" t="inlineStr">
        <is>
          <t>20190426</t>
        </is>
      </c>
      <c r="M835" s="8" t="inlineStr">
        <is>
          <t>20250127</t>
        </is>
      </c>
      <c r="N835" s="10" t="n">
        <v>95</v>
      </c>
      <c r="O835" s="10">
        <f>IFERROR(VLOOKUP(A835,Flete!$A:$J,10,0),"")</f>
        <v/>
      </c>
      <c r="P835" s="8" t="inlineStr">
        <is>
          <t>TN</t>
        </is>
      </c>
      <c r="Q835" s="10">
        <f>IFERROR(IFERROR(VLOOKUP(A835,TRAOPE!$A:$U,21,0),VLOOKUP(B835,TRAOPE!$A:$U,21,0)),"")</f>
        <v/>
      </c>
      <c r="R835" s="8">
        <f>IFERROR(IFERROR(VLOOKUP(A835,TRAOPE!$A:$W,23,0),VLOOKUP(B835,TRAOPE!$A:$W,23,0)),"")</f>
        <v/>
      </c>
      <c r="S835" s="10">
        <f>IF(AND(P835="TN",R835="TN"),N835+N(O835),IF(G835&amp;""="1",N(K835)*N835,(N835+N(O835))*N(K835)))</f>
        <v/>
      </c>
      <c r="T835" s="10">
        <f>IF(Q835="","",Q835-S835)</f>
        <v/>
      </c>
    </row>
    <row r="836">
      <c r="A836" s="7">
        <f>CONCATENATE(C836,E836,F836,I836)</f>
        <v/>
      </c>
      <c r="B836" s="7">
        <f>CONCATENATE(C836,E836,I836)</f>
        <v/>
      </c>
      <c r="C836" s="8" t="n">
        <v>900003592</v>
      </c>
      <c r="D836" s="7">
        <f>IFERROR(VLOOKUP(C836,TRAOPE!$G:$H,2,0),"")</f>
        <v/>
      </c>
      <c r="E836" s="8" t="inlineStr">
        <is>
          <t>D836</t>
        </is>
      </c>
      <c r="F836" s="8" t="inlineStr">
        <is>
          <t>66239598</t>
        </is>
      </c>
      <c r="G836" s="8">
        <f>IFERROR(VLOOKUP(A836,Flete!$A:$E,5,0),"")</f>
        <v/>
      </c>
      <c r="H836" s="7">
        <f>IFERROR(VLOOKUP(F836,TRAOPE!$AA:$AB,2,0),"")</f>
        <v/>
      </c>
      <c r="I836" s="7" t="n">
        <v>10000722</v>
      </c>
      <c r="J836" s="7">
        <f>IFERROR(VLOOKUP(I836,Materiales!$A:$H,8,0),"")</f>
        <v/>
      </c>
      <c r="K836" s="9">
        <f>IFERROR(VLOOKUP(I836,Materiales!$A:$G,7,0),"")</f>
        <v/>
      </c>
      <c r="L836" s="8" t="inlineStr">
        <is>
          <t>20190426</t>
        </is>
      </c>
      <c r="M836" s="8" t="inlineStr">
        <is>
          <t>20250127</t>
        </is>
      </c>
      <c r="N836" s="10" t="n">
        <v>95</v>
      </c>
      <c r="O836" s="10">
        <f>IFERROR(VLOOKUP(A836,Flete!$A:$J,10,0),"")</f>
        <v/>
      </c>
      <c r="P836" s="8" t="inlineStr">
        <is>
          <t>TN</t>
        </is>
      </c>
      <c r="Q836" s="10">
        <f>IFERROR(IFERROR(VLOOKUP(A836,TRAOPE!$A:$U,21,0),VLOOKUP(B836,TRAOPE!$A:$U,21,0)),"")</f>
        <v/>
      </c>
      <c r="R836" s="8">
        <f>IFERROR(IFERROR(VLOOKUP(A836,TRAOPE!$A:$W,23,0),VLOOKUP(B836,TRAOPE!$A:$W,23,0)),"")</f>
        <v/>
      </c>
      <c r="S836" s="10">
        <f>IF(AND(P836="TN",R836="TN"),N836+N(O836),IF(G836&amp;""="1",N(K836)*N836,(N836+N(O836))*N(K836)))</f>
        <v/>
      </c>
      <c r="T836" s="10">
        <f>IF(Q836="","",Q836-S836)</f>
        <v/>
      </c>
    </row>
    <row r="837">
      <c r="A837" s="7">
        <f>CONCATENATE(C837,E837,F837,I837)</f>
        <v/>
      </c>
      <c r="B837" s="7">
        <f>CONCATENATE(C837,E837,I837)</f>
        <v/>
      </c>
      <c r="C837" s="8" t="n">
        <v>900003592</v>
      </c>
      <c r="D837" s="7">
        <f>IFERROR(VLOOKUP(C837,TRAOPE!$G:$H,2,0),"")</f>
        <v/>
      </c>
      <c r="E837" s="8" t="inlineStr">
        <is>
          <t>D836</t>
        </is>
      </c>
      <c r="F837" s="8" t="inlineStr">
        <is>
          <t>66239599</t>
        </is>
      </c>
      <c r="G837" s="8">
        <f>IFERROR(VLOOKUP(A837,Flete!$A:$E,5,0),"")</f>
        <v/>
      </c>
      <c r="H837" s="7">
        <f>IFERROR(VLOOKUP(F837,TRAOPE!$AA:$AB,2,0),"")</f>
        <v/>
      </c>
      <c r="I837" s="7" t="n">
        <v>10000722</v>
      </c>
      <c r="J837" s="7">
        <f>IFERROR(VLOOKUP(I837,Materiales!$A:$H,8,0),"")</f>
        <v/>
      </c>
      <c r="K837" s="9">
        <f>IFERROR(VLOOKUP(I837,Materiales!$A:$G,7,0),"")</f>
        <v/>
      </c>
      <c r="L837" s="8" t="inlineStr">
        <is>
          <t>20190426</t>
        </is>
      </c>
      <c r="M837" s="8" t="inlineStr">
        <is>
          <t>20250127</t>
        </is>
      </c>
      <c r="N837" s="10" t="n">
        <v>95</v>
      </c>
      <c r="O837" s="10">
        <f>IFERROR(VLOOKUP(A837,Flete!$A:$J,10,0),"")</f>
        <v/>
      </c>
      <c r="P837" s="8" t="inlineStr">
        <is>
          <t>TN</t>
        </is>
      </c>
      <c r="Q837" s="10">
        <f>IFERROR(IFERROR(VLOOKUP(A837,TRAOPE!$A:$U,21,0),VLOOKUP(B837,TRAOPE!$A:$U,21,0)),"")</f>
        <v/>
      </c>
      <c r="R837" s="8">
        <f>IFERROR(IFERROR(VLOOKUP(A837,TRAOPE!$A:$W,23,0),VLOOKUP(B837,TRAOPE!$A:$W,23,0)),"")</f>
        <v/>
      </c>
      <c r="S837" s="10">
        <f>IF(AND(P837="TN",R837="TN"),N837+N(O837),IF(G837&amp;""="1",N(K837)*N837,(N837+N(O837))*N(K837)))</f>
        <v/>
      </c>
      <c r="T837" s="10">
        <f>IF(Q837="","",Q837-S837)</f>
        <v/>
      </c>
    </row>
    <row r="838">
      <c r="A838" s="7">
        <f>CONCATENATE(C838,E838,F838,I838)</f>
        <v/>
      </c>
      <c r="B838" s="7">
        <f>CONCATENATE(C838,E838,I838)</f>
        <v/>
      </c>
      <c r="C838" s="8" t="n">
        <v>900003592</v>
      </c>
      <c r="D838" s="7">
        <f>IFERROR(VLOOKUP(C838,TRAOPE!$G:$H,2,0),"")</f>
        <v/>
      </c>
      <c r="E838" s="8" t="inlineStr">
        <is>
          <t>D836</t>
        </is>
      </c>
      <c r="F838" s="8" t="inlineStr">
        <is>
          <t>66239600</t>
        </is>
      </c>
      <c r="G838" s="8">
        <f>IFERROR(VLOOKUP(A838,Flete!$A:$E,5,0),"")</f>
        <v/>
      </c>
      <c r="H838" s="7">
        <f>IFERROR(VLOOKUP(F838,TRAOPE!$AA:$AB,2,0),"")</f>
        <v/>
      </c>
      <c r="I838" s="7" t="n">
        <v>10000722</v>
      </c>
      <c r="J838" s="7">
        <f>IFERROR(VLOOKUP(I838,Materiales!$A:$H,8,0),"")</f>
        <v/>
      </c>
      <c r="K838" s="9">
        <f>IFERROR(VLOOKUP(I838,Materiales!$A:$G,7,0),"")</f>
        <v/>
      </c>
      <c r="L838" s="8" t="inlineStr">
        <is>
          <t>20190426</t>
        </is>
      </c>
      <c r="M838" s="8" t="inlineStr">
        <is>
          <t>20250127</t>
        </is>
      </c>
      <c r="N838" s="10" t="n">
        <v>95</v>
      </c>
      <c r="O838" s="10">
        <f>IFERROR(VLOOKUP(A838,Flete!$A:$J,10,0),"")</f>
        <v/>
      </c>
      <c r="P838" s="8" t="inlineStr">
        <is>
          <t>TN</t>
        </is>
      </c>
      <c r="Q838" s="10">
        <f>IFERROR(IFERROR(VLOOKUP(A838,TRAOPE!$A:$U,21,0),VLOOKUP(B838,TRAOPE!$A:$U,21,0)),"")</f>
        <v/>
      </c>
      <c r="R838" s="8">
        <f>IFERROR(IFERROR(VLOOKUP(A838,TRAOPE!$A:$W,23,0),VLOOKUP(B838,TRAOPE!$A:$W,23,0)),"")</f>
        <v/>
      </c>
      <c r="S838" s="10">
        <f>IF(AND(P838="TN",R838="TN"),N838+N(O838),IF(G838&amp;""="1",N(K838)*N838,(N838+N(O838))*N(K838)))</f>
        <v/>
      </c>
      <c r="T838" s="10">
        <f>IF(Q838="","",Q838-S838)</f>
        <v/>
      </c>
    </row>
    <row r="839">
      <c r="A839" s="7">
        <f>CONCATENATE(C839,E839,F839,I839)</f>
        <v/>
      </c>
      <c r="B839" s="7">
        <f>CONCATENATE(C839,E839,I839)</f>
        <v/>
      </c>
      <c r="C839" s="8" t="n">
        <v>900003592</v>
      </c>
      <c r="D839" s="7">
        <f>IFERROR(VLOOKUP(C839,TRAOPE!$G:$H,2,0),"")</f>
        <v/>
      </c>
      <c r="E839" s="8" t="inlineStr">
        <is>
          <t>D836</t>
        </is>
      </c>
      <c r="F839" s="8" t="inlineStr">
        <is>
          <t>66239601</t>
        </is>
      </c>
      <c r="G839" s="8">
        <f>IFERROR(VLOOKUP(A839,Flete!$A:$E,5,0),"")</f>
        <v/>
      </c>
      <c r="H839" s="7">
        <f>IFERROR(VLOOKUP(F839,TRAOPE!$AA:$AB,2,0),"")</f>
        <v/>
      </c>
      <c r="I839" s="7" t="n">
        <v>10000722</v>
      </c>
      <c r="J839" s="7">
        <f>IFERROR(VLOOKUP(I839,Materiales!$A:$H,8,0),"")</f>
        <v/>
      </c>
      <c r="K839" s="9">
        <f>IFERROR(VLOOKUP(I839,Materiales!$A:$G,7,0),"")</f>
        <v/>
      </c>
      <c r="L839" s="8" t="inlineStr">
        <is>
          <t>20190426</t>
        </is>
      </c>
      <c r="M839" s="8" t="inlineStr">
        <is>
          <t>20250127</t>
        </is>
      </c>
      <c r="N839" s="10" t="n">
        <v>95</v>
      </c>
      <c r="O839" s="10">
        <f>IFERROR(VLOOKUP(A839,Flete!$A:$J,10,0),"")</f>
        <v/>
      </c>
      <c r="P839" s="8" t="inlineStr">
        <is>
          <t>TN</t>
        </is>
      </c>
      <c r="Q839" s="10">
        <f>IFERROR(IFERROR(VLOOKUP(A839,TRAOPE!$A:$U,21,0),VLOOKUP(B839,TRAOPE!$A:$U,21,0)),"")</f>
        <v/>
      </c>
      <c r="R839" s="8">
        <f>IFERROR(IFERROR(VLOOKUP(A839,TRAOPE!$A:$W,23,0),VLOOKUP(B839,TRAOPE!$A:$W,23,0)),"")</f>
        <v/>
      </c>
      <c r="S839" s="10">
        <f>IF(AND(P839="TN",R839="TN"),N839+N(O839),IF(G839&amp;""="1",N(K839)*N839,(N839+N(O839))*N(K839)))</f>
        <v/>
      </c>
      <c r="T839" s="10">
        <f>IF(Q839="","",Q839-S839)</f>
        <v/>
      </c>
    </row>
    <row r="840">
      <c r="A840" s="7">
        <f>CONCATENATE(C840,E840,F840,I840)</f>
        <v/>
      </c>
      <c r="B840" s="7">
        <f>CONCATENATE(C840,E840,I840)</f>
        <v/>
      </c>
      <c r="C840" s="8" t="n">
        <v>900003592</v>
      </c>
      <c r="D840" s="7">
        <f>IFERROR(VLOOKUP(C840,TRAOPE!$G:$H,2,0),"")</f>
        <v/>
      </c>
      <c r="E840" s="8" t="inlineStr">
        <is>
          <t>D836</t>
        </is>
      </c>
      <c r="F840" s="8" t="inlineStr">
        <is>
          <t>66239617</t>
        </is>
      </c>
      <c r="G840" s="8">
        <f>IFERROR(VLOOKUP(A840,Flete!$A:$E,5,0),"")</f>
        <v/>
      </c>
      <c r="H840" s="7">
        <f>IFERROR(VLOOKUP(F840,TRAOPE!$AA:$AB,2,0),"")</f>
        <v/>
      </c>
      <c r="I840" s="7" t="n">
        <v>10000722</v>
      </c>
      <c r="J840" s="7">
        <f>IFERROR(VLOOKUP(I840,Materiales!$A:$H,8,0),"")</f>
        <v/>
      </c>
      <c r="K840" s="9">
        <f>IFERROR(VLOOKUP(I840,Materiales!$A:$G,7,0),"")</f>
        <v/>
      </c>
      <c r="L840" s="8" t="inlineStr">
        <is>
          <t>20190426</t>
        </is>
      </c>
      <c r="M840" s="8" t="inlineStr">
        <is>
          <t>20250127</t>
        </is>
      </c>
      <c r="N840" s="10" t="n">
        <v>95</v>
      </c>
      <c r="O840" s="10">
        <f>IFERROR(VLOOKUP(A840,Flete!$A:$J,10,0),"")</f>
        <v/>
      </c>
      <c r="P840" s="8" t="inlineStr">
        <is>
          <t>TN</t>
        </is>
      </c>
      <c r="Q840" s="10">
        <f>IFERROR(IFERROR(VLOOKUP(A840,TRAOPE!$A:$U,21,0),VLOOKUP(B840,TRAOPE!$A:$U,21,0)),"")</f>
        <v/>
      </c>
      <c r="R840" s="8">
        <f>IFERROR(IFERROR(VLOOKUP(A840,TRAOPE!$A:$W,23,0),VLOOKUP(B840,TRAOPE!$A:$W,23,0)),"")</f>
        <v/>
      </c>
      <c r="S840" s="10">
        <f>IF(AND(P840="TN",R840="TN"),N840+N(O840),IF(G840&amp;""="1",N(K840)*N840,(N840+N(O840))*N(K840)))</f>
        <v/>
      </c>
      <c r="T840" s="10">
        <f>IF(Q840="","",Q840-S840)</f>
        <v/>
      </c>
    </row>
    <row r="841">
      <c r="A841" s="7">
        <f>CONCATENATE(C841,E841,F841,I841)</f>
        <v/>
      </c>
      <c r="B841" s="7">
        <f>CONCATENATE(C841,E841,I841)</f>
        <v/>
      </c>
      <c r="C841" s="8" t="n">
        <v>900003592</v>
      </c>
      <c r="D841" s="7">
        <f>IFERROR(VLOOKUP(C841,TRAOPE!$G:$H,2,0),"")</f>
        <v/>
      </c>
      <c r="E841" s="8" t="inlineStr">
        <is>
          <t>D836</t>
        </is>
      </c>
      <c r="F841" s="8" t="inlineStr">
        <is>
          <t>66239621</t>
        </is>
      </c>
      <c r="G841" s="8">
        <f>IFERROR(VLOOKUP(A841,Flete!$A:$E,5,0),"")</f>
        <v/>
      </c>
      <c r="H841" s="7">
        <f>IFERROR(VLOOKUP(F841,TRAOPE!$AA:$AB,2,0),"")</f>
        <v/>
      </c>
      <c r="I841" s="7" t="n">
        <v>10000722</v>
      </c>
      <c r="J841" s="7">
        <f>IFERROR(VLOOKUP(I841,Materiales!$A:$H,8,0),"")</f>
        <v/>
      </c>
      <c r="K841" s="9">
        <f>IFERROR(VLOOKUP(I841,Materiales!$A:$G,7,0),"")</f>
        <v/>
      </c>
      <c r="L841" s="8" t="inlineStr">
        <is>
          <t>20190426</t>
        </is>
      </c>
      <c r="M841" s="8" t="inlineStr">
        <is>
          <t>20250127</t>
        </is>
      </c>
      <c r="N841" s="10" t="n">
        <v>95</v>
      </c>
      <c r="O841" s="10">
        <f>IFERROR(VLOOKUP(A841,Flete!$A:$J,10,0),"")</f>
        <v/>
      </c>
      <c r="P841" s="8" t="inlineStr">
        <is>
          <t>TN</t>
        </is>
      </c>
      <c r="Q841" s="10">
        <f>IFERROR(IFERROR(VLOOKUP(A841,TRAOPE!$A:$U,21,0),VLOOKUP(B841,TRAOPE!$A:$U,21,0)),"")</f>
        <v/>
      </c>
      <c r="R841" s="8">
        <f>IFERROR(IFERROR(VLOOKUP(A841,TRAOPE!$A:$W,23,0),VLOOKUP(B841,TRAOPE!$A:$W,23,0)),"")</f>
        <v/>
      </c>
      <c r="S841" s="10">
        <f>IF(AND(P841="TN",R841="TN"),N841+N(O841),IF(G841&amp;""="1",N(K841)*N841,(N841+N(O841))*N(K841)))</f>
        <v/>
      </c>
      <c r="T841" s="10">
        <f>IF(Q841="","",Q841-S841)</f>
        <v/>
      </c>
    </row>
    <row r="842">
      <c r="A842" s="7">
        <f>CONCATENATE(C842,E842,F842,I842)</f>
        <v/>
      </c>
      <c r="B842" s="7">
        <f>CONCATENATE(C842,E842,I842)</f>
        <v/>
      </c>
      <c r="C842" s="8" t="n">
        <v>900003592</v>
      </c>
      <c r="D842" s="7">
        <f>IFERROR(VLOOKUP(C842,TRAOPE!$G:$H,2,0),"")</f>
        <v/>
      </c>
      <c r="E842" s="8" t="inlineStr">
        <is>
          <t>D836</t>
        </is>
      </c>
      <c r="F842" s="8" t="inlineStr">
        <is>
          <t>66239627</t>
        </is>
      </c>
      <c r="G842" s="8">
        <f>IFERROR(VLOOKUP(A842,Flete!$A:$E,5,0),"")</f>
        <v/>
      </c>
      <c r="H842" s="7">
        <f>IFERROR(VLOOKUP(F842,TRAOPE!$AA:$AB,2,0),"")</f>
        <v/>
      </c>
      <c r="I842" s="7" t="n">
        <v>10000722</v>
      </c>
      <c r="J842" s="7">
        <f>IFERROR(VLOOKUP(I842,Materiales!$A:$H,8,0),"")</f>
        <v/>
      </c>
      <c r="K842" s="9">
        <f>IFERROR(VLOOKUP(I842,Materiales!$A:$G,7,0),"")</f>
        <v/>
      </c>
      <c r="L842" s="8" t="inlineStr">
        <is>
          <t>20190426</t>
        </is>
      </c>
      <c r="M842" s="8" t="inlineStr">
        <is>
          <t>20250127</t>
        </is>
      </c>
      <c r="N842" s="10" t="n">
        <v>95</v>
      </c>
      <c r="O842" s="10">
        <f>IFERROR(VLOOKUP(A842,Flete!$A:$J,10,0),"")</f>
        <v/>
      </c>
      <c r="P842" s="8" t="inlineStr">
        <is>
          <t>TN</t>
        </is>
      </c>
      <c r="Q842" s="10">
        <f>IFERROR(IFERROR(VLOOKUP(A842,TRAOPE!$A:$U,21,0),VLOOKUP(B842,TRAOPE!$A:$U,21,0)),"")</f>
        <v/>
      </c>
      <c r="R842" s="8">
        <f>IFERROR(IFERROR(VLOOKUP(A842,TRAOPE!$A:$W,23,0),VLOOKUP(B842,TRAOPE!$A:$W,23,0)),"")</f>
        <v/>
      </c>
      <c r="S842" s="10">
        <f>IF(AND(P842="TN",R842="TN"),N842+N(O842),IF(G842&amp;""="1",N(K842)*N842,(N842+N(O842))*N(K842)))</f>
        <v/>
      </c>
      <c r="T842" s="10">
        <f>IF(Q842="","",Q842-S842)</f>
        <v/>
      </c>
    </row>
    <row r="843">
      <c r="A843" s="7">
        <f>CONCATENATE(C843,E843,F843,I843)</f>
        <v/>
      </c>
      <c r="B843" s="7">
        <f>CONCATENATE(C843,E843,I843)</f>
        <v/>
      </c>
      <c r="C843" s="8" t="n">
        <v>900003592</v>
      </c>
      <c r="D843" s="7">
        <f>IFERROR(VLOOKUP(C843,TRAOPE!$G:$H,2,0),"")</f>
        <v/>
      </c>
      <c r="E843" s="8" t="inlineStr">
        <is>
          <t>D836</t>
        </is>
      </c>
      <c r="F843" s="8" t="inlineStr">
        <is>
          <t>66239628</t>
        </is>
      </c>
      <c r="G843" s="8">
        <f>IFERROR(VLOOKUP(A843,Flete!$A:$E,5,0),"")</f>
        <v/>
      </c>
      <c r="H843" s="7">
        <f>IFERROR(VLOOKUP(F843,TRAOPE!$AA:$AB,2,0),"")</f>
        <v/>
      </c>
      <c r="I843" s="7" t="n">
        <v>10000722</v>
      </c>
      <c r="J843" s="7">
        <f>IFERROR(VLOOKUP(I843,Materiales!$A:$H,8,0),"")</f>
        <v/>
      </c>
      <c r="K843" s="9">
        <f>IFERROR(VLOOKUP(I843,Materiales!$A:$G,7,0),"")</f>
        <v/>
      </c>
      <c r="L843" s="8" t="inlineStr">
        <is>
          <t>20190426</t>
        </is>
      </c>
      <c r="M843" s="8" t="inlineStr">
        <is>
          <t>20250127</t>
        </is>
      </c>
      <c r="N843" s="10" t="n">
        <v>95</v>
      </c>
      <c r="O843" s="10">
        <f>IFERROR(VLOOKUP(A843,Flete!$A:$J,10,0),"")</f>
        <v/>
      </c>
      <c r="P843" s="8" t="inlineStr">
        <is>
          <t>TN</t>
        </is>
      </c>
      <c r="Q843" s="10">
        <f>IFERROR(IFERROR(VLOOKUP(A843,TRAOPE!$A:$U,21,0),VLOOKUP(B843,TRAOPE!$A:$U,21,0)),"")</f>
        <v/>
      </c>
      <c r="R843" s="8">
        <f>IFERROR(IFERROR(VLOOKUP(A843,TRAOPE!$A:$W,23,0),VLOOKUP(B843,TRAOPE!$A:$W,23,0)),"")</f>
        <v/>
      </c>
      <c r="S843" s="10">
        <f>IF(AND(P843="TN",R843="TN"),N843+N(O843),IF(G843&amp;""="1",N(K843)*N843,(N843+N(O843))*N(K843)))</f>
        <v/>
      </c>
      <c r="T843" s="10">
        <f>IF(Q843="","",Q843-S843)</f>
        <v/>
      </c>
    </row>
    <row r="844">
      <c r="A844" s="7">
        <f>CONCATENATE(C844,E844,F844,I844)</f>
        <v/>
      </c>
      <c r="B844" s="7">
        <f>CONCATENATE(C844,E844,I844)</f>
        <v/>
      </c>
      <c r="C844" s="8" t="n">
        <v>900003592</v>
      </c>
      <c r="D844" s="7">
        <f>IFERROR(VLOOKUP(C844,TRAOPE!$G:$H,2,0),"")</f>
        <v/>
      </c>
      <c r="E844" s="8" t="inlineStr">
        <is>
          <t>D836</t>
        </is>
      </c>
      <c r="F844" s="8" t="inlineStr">
        <is>
          <t>66243150</t>
        </is>
      </c>
      <c r="G844" s="8">
        <f>IFERROR(VLOOKUP(A844,Flete!$A:$E,5,0),"")</f>
        <v/>
      </c>
      <c r="H844" s="7">
        <f>IFERROR(VLOOKUP(F844,TRAOPE!$AA:$AB,2,0),"")</f>
        <v/>
      </c>
      <c r="I844" s="7" t="n">
        <v>10000722</v>
      </c>
      <c r="J844" s="7">
        <f>IFERROR(VLOOKUP(I844,Materiales!$A:$H,8,0),"")</f>
        <v/>
      </c>
      <c r="K844" s="9">
        <f>IFERROR(VLOOKUP(I844,Materiales!$A:$G,7,0),"")</f>
        <v/>
      </c>
      <c r="L844" s="8" t="inlineStr">
        <is>
          <t>20190426</t>
        </is>
      </c>
      <c r="M844" s="8" t="inlineStr">
        <is>
          <t>20250127</t>
        </is>
      </c>
      <c r="N844" s="10" t="n">
        <v>95</v>
      </c>
      <c r="O844" s="10">
        <f>IFERROR(VLOOKUP(A844,Flete!$A:$J,10,0),"")</f>
        <v/>
      </c>
      <c r="P844" s="8" t="inlineStr">
        <is>
          <t>TN</t>
        </is>
      </c>
      <c r="Q844" s="10">
        <f>IFERROR(IFERROR(VLOOKUP(A844,TRAOPE!$A:$U,21,0),VLOOKUP(B844,TRAOPE!$A:$U,21,0)),"")</f>
        <v/>
      </c>
      <c r="R844" s="8">
        <f>IFERROR(IFERROR(VLOOKUP(A844,TRAOPE!$A:$W,23,0),VLOOKUP(B844,TRAOPE!$A:$W,23,0)),"")</f>
        <v/>
      </c>
      <c r="S844" s="10">
        <f>IF(AND(P844="TN",R844="TN"),N844+N(O844),IF(G844&amp;""="1",N(K844)*N844,(N844+N(O844))*N(K844)))</f>
        <v/>
      </c>
      <c r="T844" s="10">
        <f>IF(Q844="","",Q844-S844)</f>
        <v/>
      </c>
    </row>
    <row r="845">
      <c r="A845" s="7">
        <f>CONCATENATE(C845,E845,F845,I845)</f>
        <v/>
      </c>
      <c r="B845" s="7">
        <f>CONCATENATE(C845,E845,I845)</f>
        <v/>
      </c>
      <c r="C845" s="8" t="n">
        <v>900003592</v>
      </c>
      <c r="D845" s="7">
        <f>IFERROR(VLOOKUP(C845,TRAOPE!$G:$H,2,0),"")</f>
        <v/>
      </c>
      <c r="E845" s="8" t="inlineStr">
        <is>
          <t>D836</t>
        </is>
      </c>
      <c r="F845" s="8" t="inlineStr">
        <is>
          <t>66272739</t>
        </is>
      </c>
      <c r="G845" s="8">
        <f>IFERROR(VLOOKUP(A845,Flete!$A:$E,5,0),"")</f>
        <v/>
      </c>
      <c r="H845" s="7">
        <f>IFERROR(VLOOKUP(F845,TRAOPE!$AA:$AB,2,0),"")</f>
        <v/>
      </c>
      <c r="I845" s="7" t="n">
        <v>10000623</v>
      </c>
      <c r="J845" s="7">
        <f>IFERROR(VLOOKUP(I845,Materiales!$A:$H,8,0),"")</f>
        <v/>
      </c>
      <c r="K845" s="9">
        <f>IFERROR(VLOOKUP(I845,Materiales!$A:$G,7,0),"")</f>
        <v/>
      </c>
      <c r="L845" s="8" t="inlineStr">
        <is>
          <t>20190426</t>
        </is>
      </c>
      <c r="M845" s="8" t="inlineStr">
        <is>
          <t>20250127</t>
        </is>
      </c>
      <c r="N845" s="10" t="n">
        <v>108.1</v>
      </c>
      <c r="O845" s="10">
        <f>IFERROR(VLOOKUP(A845,Flete!$A:$J,10,0),"")</f>
        <v/>
      </c>
      <c r="P845" s="8" t="inlineStr">
        <is>
          <t>TN</t>
        </is>
      </c>
      <c r="Q845" s="10">
        <f>IFERROR(IFERROR(VLOOKUP(A845,TRAOPE!$A:$U,21,0),VLOOKUP(B845,TRAOPE!$A:$U,21,0)),"")</f>
        <v/>
      </c>
      <c r="R845" s="8">
        <f>IFERROR(IFERROR(VLOOKUP(A845,TRAOPE!$A:$W,23,0),VLOOKUP(B845,TRAOPE!$A:$W,23,0)),"")</f>
        <v/>
      </c>
      <c r="S845" s="10">
        <f>IF(AND(P845="TN",R845="TN"),N845+N(O845),IF(G845&amp;""="1",N(K845)*N845,(N845+N(O845))*N(K845)))</f>
        <v/>
      </c>
      <c r="T845" s="10">
        <f>IF(Q845="","",Q845-S845)</f>
        <v/>
      </c>
    </row>
    <row r="846">
      <c r="A846" s="7">
        <f>CONCATENATE(C846,E846,F846,I846)</f>
        <v/>
      </c>
      <c r="B846" s="7">
        <f>CONCATENATE(C846,E846,I846)</f>
        <v/>
      </c>
      <c r="C846" s="8" t="n">
        <v>900003592</v>
      </c>
      <c r="D846" s="7">
        <f>IFERROR(VLOOKUP(C846,TRAOPE!$G:$H,2,0),"")</f>
        <v/>
      </c>
      <c r="E846" s="8" t="inlineStr">
        <is>
          <t>D836</t>
        </is>
      </c>
      <c r="F846" s="8" t="inlineStr">
        <is>
          <t>66272739</t>
        </is>
      </c>
      <c r="G846" s="8">
        <f>IFERROR(VLOOKUP(A846,Flete!$A:$E,5,0),"")</f>
        <v/>
      </c>
      <c r="H846" s="7">
        <f>IFERROR(VLOOKUP(F846,TRAOPE!$AA:$AB,2,0),"")</f>
        <v/>
      </c>
      <c r="I846" s="7" t="n">
        <v>10000624</v>
      </c>
      <c r="J846" s="7">
        <f>IFERROR(VLOOKUP(I846,Materiales!$A:$H,8,0),"")</f>
        <v/>
      </c>
      <c r="K846" s="9">
        <f>IFERROR(VLOOKUP(I846,Materiales!$A:$G,7,0),"")</f>
        <v/>
      </c>
      <c r="L846" s="8" t="inlineStr">
        <is>
          <t>20190426</t>
        </is>
      </c>
      <c r="M846" s="8" t="inlineStr">
        <is>
          <t>20250127</t>
        </is>
      </c>
      <c r="N846" s="10" t="n">
        <v>85</v>
      </c>
      <c r="O846" s="10">
        <f>IFERROR(VLOOKUP(A846,Flete!$A:$J,10,0),"")</f>
        <v/>
      </c>
      <c r="P846" s="8" t="inlineStr">
        <is>
          <t>TN</t>
        </is>
      </c>
      <c r="Q846" s="10">
        <f>IFERROR(IFERROR(VLOOKUP(A846,TRAOPE!$A:$U,21,0),VLOOKUP(B846,TRAOPE!$A:$U,21,0)),"")</f>
        <v/>
      </c>
      <c r="R846" s="8">
        <f>IFERROR(IFERROR(VLOOKUP(A846,TRAOPE!$A:$W,23,0),VLOOKUP(B846,TRAOPE!$A:$W,23,0)),"")</f>
        <v/>
      </c>
      <c r="S846" s="10">
        <f>IF(AND(P846="TN",R846="TN"),N846+N(O846),IF(G846&amp;""="1",N(K846)*N846,(N846+N(O846))*N(K846)))</f>
        <v/>
      </c>
      <c r="T846" s="10">
        <f>IF(Q846="","",Q846-S846)</f>
        <v/>
      </c>
    </row>
    <row r="847">
      <c r="A847" s="7">
        <f>CONCATENATE(C847,E847,F847,I847)</f>
        <v/>
      </c>
      <c r="B847" s="7">
        <f>CONCATENATE(C847,E847,I847)</f>
        <v/>
      </c>
      <c r="C847" s="8" t="n">
        <v>900003592</v>
      </c>
      <c r="D847" s="7">
        <f>IFERROR(VLOOKUP(C847,TRAOPE!$G:$H,2,0),"")</f>
        <v/>
      </c>
      <c r="E847" s="8" t="inlineStr">
        <is>
          <t>D836</t>
        </is>
      </c>
      <c r="F847" s="8" t="inlineStr">
        <is>
          <t>66272739</t>
        </is>
      </c>
      <c r="G847" s="8">
        <f>IFERROR(VLOOKUP(A847,Flete!$A:$E,5,0),"")</f>
        <v/>
      </c>
      <c r="H847" s="7">
        <f>IFERROR(VLOOKUP(F847,TRAOPE!$AA:$AB,2,0),"")</f>
        <v/>
      </c>
      <c r="I847" s="7" t="n">
        <v>10000722</v>
      </c>
      <c r="J847" s="7">
        <f>IFERROR(VLOOKUP(I847,Materiales!$A:$H,8,0),"")</f>
        <v/>
      </c>
      <c r="K847" s="9">
        <f>IFERROR(VLOOKUP(I847,Materiales!$A:$G,7,0),"")</f>
        <v/>
      </c>
      <c r="L847" s="8" t="inlineStr">
        <is>
          <t>20190426</t>
        </is>
      </c>
      <c r="M847" s="8" t="inlineStr">
        <is>
          <t>20250127</t>
        </is>
      </c>
      <c r="N847" s="10" t="n">
        <v>85</v>
      </c>
      <c r="O847" s="10">
        <f>IFERROR(VLOOKUP(A847,Flete!$A:$J,10,0),"")</f>
        <v/>
      </c>
      <c r="P847" s="8" t="inlineStr">
        <is>
          <t>TN</t>
        </is>
      </c>
      <c r="Q847" s="10">
        <f>IFERROR(IFERROR(VLOOKUP(A847,TRAOPE!$A:$U,21,0),VLOOKUP(B847,TRAOPE!$A:$U,21,0)),"")</f>
        <v/>
      </c>
      <c r="R847" s="8">
        <f>IFERROR(IFERROR(VLOOKUP(A847,TRAOPE!$A:$W,23,0),VLOOKUP(B847,TRAOPE!$A:$W,23,0)),"")</f>
        <v/>
      </c>
      <c r="S847" s="10">
        <f>IF(AND(P847="TN",R847="TN"),N847+N(O847),IF(G847&amp;""="1",N(K847)*N847,(N847+N(O847))*N(K847)))</f>
        <v/>
      </c>
      <c r="T847" s="10">
        <f>IF(Q847="","",Q847-S847)</f>
        <v/>
      </c>
    </row>
    <row r="848">
      <c r="A848" s="7">
        <f>CONCATENATE(C848,E848,F848,I848)</f>
        <v/>
      </c>
      <c r="B848" s="7">
        <f>CONCATENATE(C848,E848,I848)</f>
        <v/>
      </c>
      <c r="C848" s="8" t="n">
        <v>900003592</v>
      </c>
      <c r="D848" s="7">
        <f>IFERROR(VLOOKUP(C848,TRAOPE!$G:$H,2,0),"")</f>
        <v/>
      </c>
      <c r="E848" s="8" t="inlineStr">
        <is>
          <t>D836</t>
        </is>
      </c>
      <c r="F848" s="8" t="inlineStr">
        <is>
          <t>66289412</t>
        </is>
      </c>
      <c r="G848" s="8">
        <f>IFERROR(VLOOKUP(A848,Flete!$A:$E,5,0),"")</f>
        <v/>
      </c>
      <c r="H848" s="7">
        <f>IFERROR(VLOOKUP(F848,TRAOPE!$AA:$AB,2,0),"")</f>
        <v/>
      </c>
      <c r="I848" s="7" t="n">
        <v>10000722</v>
      </c>
      <c r="J848" s="7">
        <f>IFERROR(VLOOKUP(I848,Materiales!$A:$H,8,0),"")</f>
        <v/>
      </c>
      <c r="K848" s="9">
        <f>IFERROR(VLOOKUP(I848,Materiales!$A:$G,7,0),"")</f>
        <v/>
      </c>
      <c r="L848" s="8" t="inlineStr">
        <is>
          <t>20190426</t>
        </is>
      </c>
      <c r="M848" s="8" t="inlineStr">
        <is>
          <t>20250127</t>
        </is>
      </c>
      <c r="N848" s="10" t="n">
        <v>95</v>
      </c>
      <c r="O848" s="10">
        <f>IFERROR(VLOOKUP(A848,Flete!$A:$J,10,0),"")</f>
        <v/>
      </c>
      <c r="P848" s="8" t="inlineStr">
        <is>
          <t>TN</t>
        </is>
      </c>
      <c r="Q848" s="10">
        <f>IFERROR(IFERROR(VLOOKUP(A848,TRAOPE!$A:$U,21,0),VLOOKUP(B848,TRAOPE!$A:$U,21,0)),"")</f>
        <v/>
      </c>
      <c r="R848" s="8">
        <f>IFERROR(IFERROR(VLOOKUP(A848,TRAOPE!$A:$W,23,0),VLOOKUP(B848,TRAOPE!$A:$W,23,0)),"")</f>
        <v/>
      </c>
      <c r="S848" s="10">
        <f>IF(AND(P848="TN",R848="TN"),N848+N(O848),IF(G848&amp;""="1",N(K848)*N848,(N848+N(O848))*N(K848)))</f>
        <v/>
      </c>
      <c r="T848" s="10">
        <f>IF(Q848="","",Q848-S848)</f>
        <v/>
      </c>
    </row>
    <row r="849">
      <c r="A849" s="7">
        <f>CONCATENATE(C849,E849,F849,I849)</f>
        <v/>
      </c>
      <c r="B849" s="7">
        <f>CONCATENATE(C849,E849,I849)</f>
        <v/>
      </c>
      <c r="C849" s="8" t="n">
        <v>900003592</v>
      </c>
      <c r="D849" s="7">
        <f>IFERROR(VLOOKUP(C849,TRAOPE!$G:$H,2,0),"")</f>
        <v/>
      </c>
      <c r="E849" s="8" t="inlineStr">
        <is>
          <t>D836</t>
        </is>
      </c>
      <c r="F849" s="8" t="inlineStr">
        <is>
          <t>66289413</t>
        </is>
      </c>
      <c r="G849" s="8">
        <f>IFERROR(VLOOKUP(A849,Flete!$A:$E,5,0),"")</f>
        <v/>
      </c>
      <c r="H849" s="7">
        <f>IFERROR(VLOOKUP(F849,TRAOPE!$AA:$AB,2,0),"")</f>
        <v/>
      </c>
      <c r="I849" s="7" t="n">
        <v>10000722</v>
      </c>
      <c r="J849" s="7">
        <f>IFERROR(VLOOKUP(I849,Materiales!$A:$H,8,0),"")</f>
        <v/>
      </c>
      <c r="K849" s="9">
        <f>IFERROR(VLOOKUP(I849,Materiales!$A:$G,7,0),"")</f>
        <v/>
      </c>
      <c r="L849" s="8" t="inlineStr">
        <is>
          <t>20190426</t>
        </is>
      </c>
      <c r="M849" s="8" t="inlineStr">
        <is>
          <t>20250127</t>
        </is>
      </c>
      <c r="N849" s="10" t="n">
        <v>95</v>
      </c>
      <c r="O849" s="10">
        <f>IFERROR(VLOOKUP(A849,Flete!$A:$J,10,0),"")</f>
        <v/>
      </c>
      <c r="P849" s="8" t="inlineStr">
        <is>
          <t>TN</t>
        </is>
      </c>
      <c r="Q849" s="10">
        <f>IFERROR(IFERROR(VLOOKUP(A849,TRAOPE!$A:$U,21,0),VLOOKUP(B849,TRAOPE!$A:$U,21,0)),"")</f>
        <v/>
      </c>
      <c r="R849" s="8">
        <f>IFERROR(IFERROR(VLOOKUP(A849,TRAOPE!$A:$W,23,0),VLOOKUP(B849,TRAOPE!$A:$W,23,0)),"")</f>
        <v/>
      </c>
      <c r="S849" s="10">
        <f>IF(AND(P849="TN",R849="TN"),N849+N(O849),IF(G849&amp;""="1",N(K849)*N849,(N849+N(O849))*N(K849)))</f>
        <v/>
      </c>
      <c r="T849" s="10">
        <f>IF(Q849="","",Q849-S849)</f>
        <v/>
      </c>
    </row>
    <row r="850">
      <c r="A850" s="7">
        <f>CONCATENATE(C850,E850,F850,I850)</f>
        <v/>
      </c>
      <c r="B850" s="7">
        <f>CONCATENATE(C850,E850,I850)</f>
        <v/>
      </c>
      <c r="C850" s="8" t="n">
        <v>900003592</v>
      </c>
      <c r="D850" s="7">
        <f>IFERROR(VLOOKUP(C850,TRAOPE!$G:$H,2,0),"")</f>
        <v/>
      </c>
      <c r="E850" s="8" t="inlineStr">
        <is>
          <t>D836</t>
        </is>
      </c>
      <c r="F850" s="8" t="inlineStr">
        <is>
          <t>66310610</t>
        </is>
      </c>
      <c r="G850" s="8">
        <f>IFERROR(VLOOKUP(A850,Flete!$A:$E,5,0),"")</f>
        <v/>
      </c>
      <c r="H850" s="7">
        <f>IFERROR(VLOOKUP(F850,TRAOPE!$AA:$AB,2,0),"")</f>
        <v/>
      </c>
      <c r="I850" s="7" t="n">
        <v>10000623</v>
      </c>
      <c r="J850" s="7">
        <f>IFERROR(VLOOKUP(I850,Materiales!$A:$H,8,0),"")</f>
        <v/>
      </c>
      <c r="K850" s="9">
        <f>IFERROR(VLOOKUP(I850,Materiales!$A:$G,7,0),"")</f>
        <v/>
      </c>
      <c r="L850" s="8" t="inlineStr">
        <is>
          <t>20190426</t>
        </is>
      </c>
      <c r="M850" s="8" t="inlineStr">
        <is>
          <t>20250127</t>
        </is>
      </c>
      <c r="N850" s="10" t="n">
        <v>108.1</v>
      </c>
      <c r="O850" s="10">
        <f>IFERROR(VLOOKUP(A850,Flete!$A:$J,10,0),"")</f>
        <v/>
      </c>
      <c r="P850" s="8" t="inlineStr">
        <is>
          <t>TN</t>
        </is>
      </c>
      <c r="Q850" s="10">
        <f>IFERROR(IFERROR(VLOOKUP(A850,TRAOPE!$A:$U,21,0),VLOOKUP(B850,TRAOPE!$A:$U,21,0)),"")</f>
        <v/>
      </c>
      <c r="R850" s="8">
        <f>IFERROR(IFERROR(VLOOKUP(A850,TRAOPE!$A:$W,23,0),VLOOKUP(B850,TRAOPE!$A:$W,23,0)),"")</f>
        <v/>
      </c>
      <c r="S850" s="10">
        <f>IF(AND(P850="TN",R850="TN"),N850+N(O850),IF(G850&amp;""="1",N(K850)*N850,(N850+N(O850))*N(K850)))</f>
        <v/>
      </c>
      <c r="T850" s="10">
        <f>IF(Q850="","",Q850-S850)</f>
        <v/>
      </c>
    </row>
    <row r="851">
      <c r="A851" s="7">
        <f>CONCATENATE(C851,E851,F851,I851)</f>
        <v/>
      </c>
      <c r="B851" s="7">
        <f>CONCATENATE(C851,E851,I851)</f>
        <v/>
      </c>
      <c r="C851" s="8" t="n">
        <v>900003592</v>
      </c>
      <c r="D851" s="7">
        <f>IFERROR(VLOOKUP(C851,TRAOPE!$G:$H,2,0),"")</f>
        <v/>
      </c>
      <c r="E851" s="8" t="inlineStr">
        <is>
          <t>D836</t>
        </is>
      </c>
      <c r="F851" s="8" t="inlineStr">
        <is>
          <t>66310610</t>
        </is>
      </c>
      <c r="G851" s="8">
        <f>IFERROR(VLOOKUP(A851,Flete!$A:$E,5,0),"")</f>
        <v/>
      </c>
      <c r="H851" s="7">
        <f>IFERROR(VLOOKUP(F851,TRAOPE!$AA:$AB,2,0),"")</f>
        <v/>
      </c>
      <c r="I851" s="7" t="n">
        <v>10000722</v>
      </c>
      <c r="J851" s="7">
        <f>IFERROR(VLOOKUP(I851,Materiales!$A:$H,8,0),"")</f>
        <v/>
      </c>
      <c r="K851" s="9">
        <f>IFERROR(VLOOKUP(I851,Materiales!$A:$G,7,0),"")</f>
        <v/>
      </c>
      <c r="L851" s="8" t="inlineStr">
        <is>
          <t>20190426</t>
        </is>
      </c>
      <c r="M851" s="8" t="inlineStr">
        <is>
          <t>20250127</t>
        </is>
      </c>
      <c r="N851" s="10" t="n">
        <v>108.1</v>
      </c>
      <c r="O851" s="10">
        <f>IFERROR(VLOOKUP(A851,Flete!$A:$J,10,0),"")</f>
        <v/>
      </c>
      <c r="P851" s="8" t="inlineStr">
        <is>
          <t>TN</t>
        </is>
      </c>
      <c r="Q851" s="10">
        <f>IFERROR(IFERROR(VLOOKUP(A851,TRAOPE!$A:$U,21,0),VLOOKUP(B851,TRAOPE!$A:$U,21,0)),"")</f>
        <v/>
      </c>
      <c r="R851" s="8">
        <f>IFERROR(IFERROR(VLOOKUP(A851,TRAOPE!$A:$W,23,0),VLOOKUP(B851,TRAOPE!$A:$W,23,0)),"")</f>
        <v/>
      </c>
      <c r="S851" s="10">
        <f>IF(AND(P851="TN",R851="TN"),N851+N(O851),IF(G851&amp;""="1",N(K851)*N851,(N851+N(O851))*N(K851)))</f>
        <v/>
      </c>
      <c r="T851" s="10">
        <f>IF(Q851="","",Q851-S851)</f>
        <v/>
      </c>
    </row>
    <row r="852">
      <c r="A852" s="7">
        <f>CONCATENATE(C852,E852,F852,I852)</f>
        <v/>
      </c>
      <c r="B852" s="7">
        <f>CONCATENATE(C852,E852,I852)</f>
        <v/>
      </c>
      <c r="C852" s="8" t="n">
        <v>900003592</v>
      </c>
      <c r="D852" s="7">
        <f>IFERROR(VLOOKUP(C852,TRAOPE!$G:$H,2,0),"")</f>
        <v/>
      </c>
      <c r="E852" s="8" t="inlineStr">
        <is>
          <t>D836</t>
        </is>
      </c>
      <c r="F852" s="8" t="inlineStr">
        <is>
          <t>66338102</t>
        </is>
      </c>
      <c r="G852" s="8">
        <f>IFERROR(VLOOKUP(A852,Flete!$A:$E,5,0),"")</f>
        <v/>
      </c>
      <c r="H852" s="7">
        <f>IFERROR(VLOOKUP(F852,TRAOPE!$AA:$AB,2,0),"")</f>
        <v/>
      </c>
      <c r="I852" s="7" t="n">
        <v>10000630</v>
      </c>
      <c r="J852" s="7">
        <f>IFERROR(VLOOKUP(I852,Materiales!$A:$H,8,0),"")</f>
        <v/>
      </c>
      <c r="K852" s="9">
        <f>IFERROR(VLOOKUP(I852,Materiales!$A:$G,7,0),"")</f>
        <v/>
      </c>
      <c r="L852" s="8" t="inlineStr">
        <is>
          <t>20190426</t>
        </is>
      </c>
      <c r="M852" s="8" t="inlineStr">
        <is>
          <t>20250127</t>
        </is>
      </c>
      <c r="N852" s="10" t="n">
        <v>80</v>
      </c>
      <c r="O852" s="10">
        <f>IFERROR(VLOOKUP(A852,Flete!$A:$J,10,0),"")</f>
        <v/>
      </c>
      <c r="P852" s="8" t="inlineStr">
        <is>
          <t>TN</t>
        </is>
      </c>
      <c r="Q852" s="10">
        <f>IFERROR(IFERROR(VLOOKUP(A852,TRAOPE!$A:$U,21,0),VLOOKUP(B852,TRAOPE!$A:$U,21,0)),"")</f>
        <v/>
      </c>
      <c r="R852" s="8">
        <f>IFERROR(IFERROR(VLOOKUP(A852,TRAOPE!$A:$W,23,0),VLOOKUP(B852,TRAOPE!$A:$W,23,0)),"")</f>
        <v/>
      </c>
      <c r="S852" s="10">
        <f>IF(AND(P852="TN",R852="TN"),N852+N(O852),IF(G852&amp;""="1",N(K852)*N852,(N852+N(O852))*N(K852)))</f>
        <v/>
      </c>
      <c r="T852" s="10">
        <f>IF(Q852="","",Q852-S852)</f>
        <v/>
      </c>
    </row>
    <row r="853">
      <c r="A853" s="7">
        <f>CONCATENATE(C853,E853,F853,I853)</f>
        <v/>
      </c>
      <c r="B853" s="7">
        <f>CONCATENATE(C853,E853,I853)</f>
        <v/>
      </c>
      <c r="C853" s="8" t="n">
        <v>900003592</v>
      </c>
      <c r="D853" s="7">
        <f>IFERROR(VLOOKUP(C853,TRAOPE!$G:$H,2,0),"")</f>
        <v/>
      </c>
      <c r="E853" s="8" t="inlineStr">
        <is>
          <t>D836</t>
        </is>
      </c>
      <c r="F853" s="8" t="inlineStr">
        <is>
          <t>66351481</t>
        </is>
      </c>
      <c r="G853" s="8">
        <f>IFERROR(VLOOKUP(A853,Flete!$A:$E,5,0),"")</f>
        <v/>
      </c>
      <c r="H853" s="7">
        <f>IFERROR(VLOOKUP(F853,TRAOPE!$AA:$AB,2,0),"")</f>
        <v/>
      </c>
      <c r="I853" s="7" t="n">
        <v>10000722</v>
      </c>
      <c r="J853" s="7">
        <f>IFERROR(VLOOKUP(I853,Materiales!$A:$H,8,0),"")</f>
        <v/>
      </c>
      <c r="K853" s="9">
        <f>IFERROR(VLOOKUP(I853,Materiales!$A:$G,7,0),"")</f>
        <v/>
      </c>
      <c r="L853" s="8" t="inlineStr">
        <is>
          <t>20190426</t>
        </is>
      </c>
      <c r="M853" s="8" t="inlineStr">
        <is>
          <t>20250127</t>
        </is>
      </c>
      <c r="N853" s="10" t="n">
        <v>83.95</v>
      </c>
      <c r="O853" s="10">
        <f>IFERROR(VLOOKUP(A853,Flete!$A:$J,10,0),"")</f>
        <v/>
      </c>
      <c r="P853" s="8" t="inlineStr">
        <is>
          <t>TN</t>
        </is>
      </c>
      <c r="Q853" s="10">
        <f>IFERROR(IFERROR(VLOOKUP(A853,TRAOPE!$A:$U,21,0),VLOOKUP(B853,TRAOPE!$A:$U,21,0)),"")</f>
        <v/>
      </c>
      <c r="R853" s="8">
        <f>IFERROR(IFERROR(VLOOKUP(A853,TRAOPE!$A:$W,23,0),VLOOKUP(B853,TRAOPE!$A:$W,23,0)),"")</f>
        <v/>
      </c>
      <c r="S853" s="10">
        <f>IF(AND(P853="TN",R853="TN"),N853+N(O853),IF(G853&amp;""="1",N(K853)*N853,(N853+N(O853))*N(K853)))</f>
        <v/>
      </c>
      <c r="T853" s="10">
        <f>IF(Q853="","",Q853-S853)</f>
        <v/>
      </c>
    </row>
    <row r="854">
      <c r="A854" s="7">
        <f>CONCATENATE(C854,E854,F854,I854)</f>
        <v/>
      </c>
      <c r="B854" s="7">
        <f>CONCATENATE(C854,E854,I854)</f>
        <v/>
      </c>
      <c r="C854" s="8" t="n">
        <v>900003592</v>
      </c>
      <c r="D854" s="7">
        <f>IFERROR(VLOOKUP(C854,TRAOPE!$G:$H,2,0),"")</f>
        <v/>
      </c>
      <c r="E854" s="8" t="inlineStr">
        <is>
          <t>D836</t>
        </is>
      </c>
      <c r="F854" s="8" t="inlineStr">
        <is>
          <t>66352072</t>
        </is>
      </c>
      <c r="G854" s="8">
        <f>IFERROR(VLOOKUP(A854,Flete!$A:$E,5,0),"")</f>
        <v/>
      </c>
      <c r="H854" s="7">
        <f>IFERROR(VLOOKUP(F854,TRAOPE!$AA:$AB,2,0),"")</f>
        <v/>
      </c>
      <c r="I854" s="7" t="n">
        <v>10000624</v>
      </c>
      <c r="J854" s="7">
        <f>IFERROR(VLOOKUP(I854,Materiales!$A:$H,8,0),"")</f>
        <v/>
      </c>
      <c r="K854" s="9">
        <f>IFERROR(VLOOKUP(I854,Materiales!$A:$G,7,0),"")</f>
        <v/>
      </c>
      <c r="L854" s="8" t="inlineStr">
        <is>
          <t>20190426</t>
        </is>
      </c>
      <c r="M854" s="8" t="inlineStr">
        <is>
          <t>20250127</t>
        </is>
      </c>
      <c r="N854" s="10" t="n">
        <v>128.19</v>
      </c>
      <c r="O854" s="10">
        <f>IFERROR(VLOOKUP(A854,Flete!$A:$J,10,0),"")</f>
        <v/>
      </c>
      <c r="P854" s="8" t="inlineStr">
        <is>
          <t>TN</t>
        </is>
      </c>
      <c r="Q854" s="10">
        <f>IFERROR(IFERROR(VLOOKUP(A854,TRAOPE!$A:$U,21,0),VLOOKUP(B854,TRAOPE!$A:$U,21,0)),"")</f>
        <v/>
      </c>
      <c r="R854" s="8">
        <f>IFERROR(IFERROR(VLOOKUP(A854,TRAOPE!$A:$W,23,0),VLOOKUP(B854,TRAOPE!$A:$W,23,0)),"")</f>
        <v/>
      </c>
      <c r="S854" s="10">
        <f>IF(AND(P854="TN",R854="TN"),N854+N(O854),IF(G854&amp;""="1",N(K854)*N854,(N854+N(O854))*N(K854)))</f>
        <v/>
      </c>
      <c r="T854" s="10">
        <f>IF(Q854="","",Q854-S854)</f>
        <v/>
      </c>
    </row>
    <row r="855">
      <c r="A855" s="7">
        <f>CONCATENATE(C855,E855,F855,I855)</f>
        <v/>
      </c>
      <c r="B855" s="7">
        <f>CONCATENATE(C855,E855,I855)</f>
        <v/>
      </c>
      <c r="C855" s="8" t="n">
        <v>900003592</v>
      </c>
      <c r="D855" s="7">
        <f>IFERROR(VLOOKUP(C855,TRAOPE!$G:$H,2,0),"")</f>
        <v/>
      </c>
      <c r="E855" s="8" t="inlineStr">
        <is>
          <t>D836</t>
        </is>
      </c>
      <c r="F855" s="8" t="inlineStr">
        <is>
          <t>66352072</t>
        </is>
      </c>
      <c r="G855" s="8">
        <f>IFERROR(VLOOKUP(A855,Flete!$A:$E,5,0),"")</f>
        <v/>
      </c>
      <c r="H855" s="7">
        <f>IFERROR(VLOOKUP(F855,TRAOPE!$AA:$AB,2,0),"")</f>
        <v/>
      </c>
      <c r="I855" s="7" t="n">
        <v>10000722</v>
      </c>
      <c r="J855" s="7">
        <f>IFERROR(VLOOKUP(I855,Materiales!$A:$H,8,0),"")</f>
        <v/>
      </c>
      <c r="K855" s="9">
        <f>IFERROR(VLOOKUP(I855,Materiales!$A:$G,7,0),"")</f>
        <v/>
      </c>
      <c r="L855" s="8" t="inlineStr">
        <is>
          <t>20190426</t>
        </is>
      </c>
      <c r="M855" s="8" t="inlineStr">
        <is>
          <t>20250127</t>
        </is>
      </c>
      <c r="N855" s="10" t="n">
        <v>127.71</v>
      </c>
      <c r="O855" s="10">
        <f>IFERROR(VLOOKUP(A855,Flete!$A:$J,10,0),"")</f>
        <v/>
      </c>
      <c r="P855" s="8" t="inlineStr">
        <is>
          <t>TN</t>
        </is>
      </c>
      <c r="Q855" s="10">
        <f>IFERROR(IFERROR(VLOOKUP(A855,TRAOPE!$A:$U,21,0),VLOOKUP(B855,TRAOPE!$A:$U,21,0)),"")</f>
        <v/>
      </c>
      <c r="R855" s="8">
        <f>IFERROR(IFERROR(VLOOKUP(A855,TRAOPE!$A:$W,23,0),VLOOKUP(B855,TRAOPE!$A:$W,23,0)),"")</f>
        <v/>
      </c>
      <c r="S855" s="10">
        <f>IF(AND(P855="TN",R855="TN"),N855+N(O855),IF(G855&amp;""="1",N(K855)*N855,(N855+N(O855))*N(K855)))</f>
        <v/>
      </c>
      <c r="T855" s="10">
        <f>IF(Q855="","",Q855-S855)</f>
        <v/>
      </c>
    </row>
    <row r="856">
      <c r="A856" s="7">
        <f>CONCATENATE(C856,E856,F856,I856)</f>
        <v/>
      </c>
      <c r="B856" s="7">
        <f>CONCATENATE(C856,E856,I856)</f>
        <v/>
      </c>
      <c r="C856" s="8" t="n">
        <v>900003592</v>
      </c>
      <c r="D856" s="7">
        <f>IFERROR(VLOOKUP(C856,TRAOPE!$G:$H,2,0),"")</f>
        <v/>
      </c>
      <c r="E856" s="8" t="inlineStr">
        <is>
          <t>D836</t>
        </is>
      </c>
      <c r="F856" s="8" t="inlineStr">
        <is>
          <t>66394060</t>
        </is>
      </c>
      <c r="G856" s="8">
        <f>IFERROR(VLOOKUP(A856,Flete!$A:$E,5,0),"")</f>
        <v/>
      </c>
      <c r="H856" s="7">
        <f>IFERROR(VLOOKUP(F856,TRAOPE!$AA:$AB,2,0),"")</f>
        <v/>
      </c>
      <c r="I856" s="7" t="n">
        <v>10000722</v>
      </c>
      <c r="J856" s="7">
        <f>IFERROR(VLOOKUP(I856,Materiales!$A:$H,8,0),"")</f>
        <v/>
      </c>
      <c r="K856" s="9">
        <f>IFERROR(VLOOKUP(I856,Materiales!$A:$G,7,0),"")</f>
        <v/>
      </c>
      <c r="L856" s="8" t="inlineStr">
        <is>
          <t>20190426</t>
        </is>
      </c>
      <c r="M856" s="8" t="inlineStr">
        <is>
          <t>20250127</t>
        </is>
      </c>
      <c r="N856" s="10" t="n">
        <v>87</v>
      </c>
      <c r="O856" s="10">
        <f>IFERROR(VLOOKUP(A856,Flete!$A:$J,10,0),"")</f>
        <v/>
      </c>
      <c r="P856" s="8" t="inlineStr">
        <is>
          <t>TN</t>
        </is>
      </c>
      <c r="Q856" s="10">
        <f>IFERROR(IFERROR(VLOOKUP(A856,TRAOPE!$A:$U,21,0),VLOOKUP(B856,TRAOPE!$A:$U,21,0)),"")</f>
        <v/>
      </c>
      <c r="R856" s="8">
        <f>IFERROR(IFERROR(VLOOKUP(A856,TRAOPE!$A:$W,23,0),VLOOKUP(B856,TRAOPE!$A:$W,23,0)),"")</f>
        <v/>
      </c>
      <c r="S856" s="10">
        <f>IF(AND(P856="TN",R856="TN"),N856+N(O856),IF(G856&amp;""="1",N(K856)*N856,(N856+N(O856))*N(K856)))</f>
        <v/>
      </c>
      <c r="T856" s="10">
        <f>IF(Q856="","",Q856-S856)</f>
        <v/>
      </c>
    </row>
    <row r="857">
      <c r="A857" s="7">
        <f>CONCATENATE(C857,E857,F857,I857)</f>
        <v/>
      </c>
      <c r="B857" s="7">
        <f>CONCATENATE(C857,E857,I857)</f>
        <v/>
      </c>
      <c r="C857" s="8" t="n">
        <v>900003592</v>
      </c>
      <c r="D857" s="7">
        <f>IFERROR(VLOOKUP(C857,TRAOPE!$G:$H,2,0),"")</f>
        <v/>
      </c>
      <c r="E857" s="8" t="inlineStr">
        <is>
          <t>D836</t>
        </is>
      </c>
      <c r="F857" s="8" t="inlineStr">
        <is>
          <t>66399551</t>
        </is>
      </c>
      <c r="G857" s="8">
        <f>IFERROR(VLOOKUP(A857,Flete!$A:$E,5,0),"")</f>
        <v/>
      </c>
      <c r="H857" s="7">
        <f>IFERROR(VLOOKUP(F857,TRAOPE!$AA:$AB,2,0),"")</f>
        <v/>
      </c>
      <c r="I857" s="7" t="n">
        <v>10000623</v>
      </c>
      <c r="J857" s="7">
        <f>IFERROR(VLOOKUP(I857,Materiales!$A:$H,8,0),"")</f>
        <v/>
      </c>
      <c r="K857" s="9">
        <f>IFERROR(VLOOKUP(I857,Materiales!$A:$G,7,0),"")</f>
        <v/>
      </c>
      <c r="L857" s="8" t="inlineStr">
        <is>
          <t>20190426</t>
        </is>
      </c>
      <c r="M857" s="8" t="inlineStr">
        <is>
          <t>20250127</t>
        </is>
      </c>
      <c r="N857" s="10" t="n">
        <v>93</v>
      </c>
      <c r="O857" s="10">
        <f>IFERROR(VLOOKUP(A857,Flete!$A:$J,10,0),"")</f>
        <v/>
      </c>
      <c r="P857" s="8" t="inlineStr">
        <is>
          <t>TN</t>
        </is>
      </c>
      <c r="Q857" s="10">
        <f>IFERROR(IFERROR(VLOOKUP(A857,TRAOPE!$A:$U,21,0),VLOOKUP(B857,TRAOPE!$A:$U,21,0)),"")</f>
        <v/>
      </c>
      <c r="R857" s="8">
        <f>IFERROR(IFERROR(VLOOKUP(A857,TRAOPE!$A:$W,23,0),VLOOKUP(B857,TRAOPE!$A:$W,23,0)),"")</f>
        <v/>
      </c>
      <c r="S857" s="10">
        <f>IF(AND(P857="TN",R857="TN"),N857+N(O857),IF(G857&amp;""="1",N(K857)*N857,(N857+N(O857))*N(K857)))</f>
        <v/>
      </c>
      <c r="T857" s="10">
        <f>IF(Q857="","",Q857-S857)</f>
        <v/>
      </c>
    </row>
    <row r="858">
      <c r="A858" s="7">
        <f>CONCATENATE(C858,E858,F858,I858)</f>
        <v/>
      </c>
      <c r="B858" s="7">
        <f>CONCATENATE(C858,E858,I858)</f>
        <v/>
      </c>
      <c r="C858" s="8" t="n">
        <v>900003592</v>
      </c>
      <c r="D858" s="7">
        <f>IFERROR(VLOOKUP(C858,TRAOPE!$G:$H,2,0),"")</f>
        <v/>
      </c>
      <c r="E858" s="8" t="inlineStr">
        <is>
          <t>D836</t>
        </is>
      </c>
      <c r="F858" s="8" t="inlineStr">
        <is>
          <t>66399551</t>
        </is>
      </c>
      <c r="G858" s="8">
        <f>IFERROR(VLOOKUP(A858,Flete!$A:$E,5,0),"")</f>
        <v/>
      </c>
      <c r="H858" s="7">
        <f>IFERROR(VLOOKUP(F858,TRAOPE!$AA:$AB,2,0),"")</f>
        <v/>
      </c>
      <c r="I858" s="7" t="n">
        <v>10000624</v>
      </c>
      <c r="J858" s="7">
        <f>IFERROR(VLOOKUP(I858,Materiales!$A:$H,8,0),"")</f>
        <v/>
      </c>
      <c r="K858" s="9">
        <f>IFERROR(VLOOKUP(I858,Materiales!$A:$G,7,0),"")</f>
        <v/>
      </c>
      <c r="L858" s="8" t="inlineStr">
        <is>
          <t>20190426</t>
        </is>
      </c>
      <c r="M858" s="8" t="inlineStr">
        <is>
          <t>20250127</t>
        </is>
      </c>
      <c r="N858" s="10" t="n">
        <v>93</v>
      </c>
      <c r="O858" s="10">
        <f>IFERROR(VLOOKUP(A858,Flete!$A:$J,10,0),"")</f>
        <v/>
      </c>
      <c r="P858" s="8" t="inlineStr">
        <is>
          <t>TN</t>
        </is>
      </c>
      <c r="Q858" s="10">
        <f>IFERROR(IFERROR(VLOOKUP(A858,TRAOPE!$A:$U,21,0),VLOOKUP(B858,TRAOPE!$A:$U,21,0)),"")</f>
        <v/>
      </c>
      <c r="R858" s="8">
        <f>IFERROR(IFERROR(VLOOKUP(A858,TRAOPE!$A:$W,23,0),VLOOKUP(B858,TRAOPE!$A:$W,23,0)),"")</f>
        <v/>
      </c>
      <c r="S858" s="10">
        <f>IF(AND(P858="TN",R858="TN"),N858+N(O858),IF(G858&amp;""="1",N(K858)*N858,(N858+N(O858))*N(K858)))</f>
        <v/>
      </c>
      <c r="T858" s="10">
        <f>IF(Q858="","",Q858-S858)</f>
        <v/>
      </c>
    </row>
    <row r="859">
      <c r="A859" s="7">
        <f>CONCATENATE(C859,E859,F859,I859)</f>
        <v/>
      </c>
      <c r="B859" s="7">
        <f>CONCATENATE(C859,E859,I859)</f>
        <v/>
      </c>
      <c r="C859" s="8" t="n">
        <v>900003592</v>
      </c>
      <c r="D859" s="7">
        <f>IFERROR(VLOOKUP(C859,TRAOPE!$G:$H,2,0),"")</f>
        <v/>
      </c>
      <c r="E859" s="8" t="inlineStr">
        <is>
          <t>D836</t>
        </is>
      </c>
      <c r="F859" s="8" t="inlineStr">
        <is>
          <t>66399551</t>
        </is>
      </c>
      <c r="G859" s="8">
        <f>IFERROR(VLOOKUP(A859,Flete!$A:$E,5,0),"")</f>
        <v/>
      </c>
      <c r="H859" s="7">
        <f>IFERROR(VLOOKUP(F859,TRAOPE!$AA:$AB,2,0),"")</f>
        <v/>
      </c>
      <c r="I859" s="7" t="n">
        <v>10000722</v>
      </c>
      <c r="J859" s="7">
        <f>IFERROR(VLOOKUP(I859,Materiales!$A:$H,8,0),"")</f>
        <v/>
      </c>
      <c r="K859" s="9">
        <f>IFERROR(VLOOKUP(I859,Materiales!$A:$G,7,0),"")</f>
        <v/>
      </c>
      <c r="L859" s="8" t="inlineStr">
        <is>
          <t>20190426</t>
        </is>
      </c>
      <c r="M859" s="8" t="inlineStr">
        <is>
          <t>20250127</t>
        </is>
      </c>
      <c r="N859" s="10" t="n">
        <v>93</v>
      </c>
      <c r="O859" s="10">
        <f>IFERROR(VLOOKUP(A859,Flete!$A:$J,10,0),"")</f>
        <v/>
      </c>
      <c r="P859" s="8" t="inlineStr">
        <is>
          <t>TN</t>
        </is>
      </c>
      <c r="Q859" s="10">
        <f>IFERROR(IFERROR(VLOOKUP(A859,TRAOPE!$A:$U,21,0),VLOOKUP(B859,TRAOPE!$A:$U,21,0)),"")</f>
        <v/>
      </c>
      <c r="R859" s="8">
        <f>IFERROR(IFERROR(VLOOKUP(A859,TRAOPE!$A:$W,23,0),VLOOKUP(B859,TRAOPE!$A:$W,23,0)),"")</f>
        <v/>
      </c>
      <c r="S859" s="10">
        <f>IF(AND(P859="TN",R859="TN"),N859+N(O859),IF(G859&amp;""="1",N(K859)*N859,(N859+N(O859))*N(K859)))</f>
        <v/>
      </c>
      <c r="T859" s="10">
        <f>IF(Q859="","",Q859-S859)</f>
        <v/>
      </c>
    </row>
    <row r="860">
      <c r="A860" s="7">
        <f>CONCATENATE(C860,E860,F860,I860)</f>
        <v/>
      </c>
      <c r="B860" s="7">
        <f>CONCATENATE(C860,E860,I860)</f>
        <v/>
      </c>
      <c r="C860" s="8" t="n">
        <v>900003592</v>
      </c>
      <c r="D860" s="7">
        <f>IFERROR(VLOOKUP(C860,TRAOPE!$G:$H,2,0),"")</f>
        <v/>
      </c>
      <c r="E860" s="8" t="inlineStr">
        <is>
          <t>D836</t>
        </is>
      </c>
      <c r="F860" s="8" t="inlineStr">
        <is>
          <t>66399586</t>
        </is>
      </c>
      <c r="G860" s="8">
        <f>IFERROR(VLOOKUP(A860,Flete!$A:$E,5,0),"")</f>
        <v/>
      </c>
      <c r="H860" s="7">
        <f>IFERROR(VLOOKUP(F860,TRAOPE!$AA:$AB,2,0),"")</f>
        <v/>
      </c>
      <c r="I860" s="7" t="n">
        <v>10000722</v>
      </c>
      <c r="J860" s="7">
        <f>IFERROR(VLOOKUP(I860,Materiales!$A:$H,8,0),"")</f>
        <v/>
      </c>
      <c r="K860" s="9">
        <f>IFERROR(VLOOKUP(I860,Materiales!$A:$G,7,0),"")</f>
        <v/>
      </c>
      <c r="L860" s="8" t="inlineStr">
        <is>
          <t>20190426</t>
        </is>
      </c>
      <c r="M860" s="8" t="inlineStr">
        <is>
          <t>20250127</t>
        </is>
      </c>
      <c r="N860" s="10" t="n">
        <v>83</v>
      </c>
      <c r="O860" s="10">
        <f>IFERROR(VLOOKUP(A860,Flete!$A:$J,10,0),"")</f>
        <v/>
      </c>
      <c r="P860" s="8" t="inlineStr">
        <is>
          <t>TN</t>
        </is>
      </c>
      <c r="Q860" s="10">
        <f>IFERROR(IFERROR(VLOOKUP(A860,TRAOPE!$A:$U,21,0),VLOOKUP(B860,TRAOPE!$A:$U,21,0)),"")</f>
        <v/>
      </c>
      <c r="R860" s="8">
        <f>IFERROR(IFERROR(VLOOKUP(A860,TRAOPE!$A:$W,23,0),VLOOKUP(B860,TRAOPE!$A:$W,23,0)),"")</f>
        <v/>
      </c>
      <c r="S860" s="10">
        <f>IF(AND(P860="TN",R860="TN"),N860+N(O860),IF(G860&amp;""="1",N(K860)*N860,(N860+N(O860))*N(K860)))</f>
        <v/>
      </c>
      <c r="T860" s="10">
        <f>IF(Q860="","",Q860-S860)</f>
        <v/>
      </c>
    </row>
    <row r="861">
      <c r="A861" s="7">
        <f>CONCATENATE(C861,E861,F861,I861)</f>
        <v/>
      </c>
      <c r="B861" s="7">
        <f>CONCATENATE(C861,E861,I861)</f>
        <v/>
      </c>
      <c r="C861" s="8" t="n">
        <v>900003592</v>
      </c>
      <c r="D861" s="7">
        <f>IFERROR(VLOOKUP(C861,TRAOPE!$G:$H,2,0),"")</f>
        <v/>
      </c>
      <c r="E861" s="8" t="inlineStr">
        <is>
          <t>D836</t>
        </is>
      </c>
      <c r="F861" s="8" t="inlineStr">
        <is>
          <t>66400651</t>
        </is>
      </c>
      <c r="G861" s="8">
        <f>IFERROR(VLOOKUP(A861,Flete!$A:$E,5,0),"")</f>
        <v/>
      </c>
      <c r="H861" s="7">
        <f>IFERROR(VLOOKUP(F861,TRAOPE!$AA:$AB,2,0),"")</f>
        <v/>
      </c>
      <c r="I861" s="7" t="n">
        <v>10000624</v>
      </c>
      <c r="J861" s="7">
        <f>IFERROR(VLOOKUP(I861,Materiales!$A:$H,8,0),"")</f>
        <v/>
      </c>
      <c r="K861" s="9">
        <f>IFERROR(VLOOKUP(I861,Materiales!$A:$G,7,0),"")</f>
        <v/>
      </c>
      <c r="L861" s="8" t="inlineStr">
        <is>
          <t>20190426</t>
        </is>
      </c>
      <c r="M861" s="8" t="inlineStr">
        <is>
          <t>20250127</t>
        </is>
      </c>
      <c r="N861" s="10" t="n">
        <v>97</v>
      </c>
      <c r="O861" s="10">
        <f>IFERROR(VLOOKUP(A861,Flete!$A:$J,10,0),"")</f>
        <v/>
      </c>
      <c r="P861" s="8" t="inlineStr">
        <is>
          <t>TN</t>
        </is>
      </c>
      <c r="Q861" s="10">
        <f>IFERROR(IFERROR(VLOOKUP(A861,TRAOPE!$A:$U,21,0),VLOOKUP(B861,TRAOPE!$A:$U,21,0)),"")</f>
        <v/>
      </c>
      <c r="R861" s="8">
        <f>IFERROR(IFERROR(VLOOKUP(A861,TRAOPE!$A:$W,23,0),VLOOKUP(B861,TRAOPE!$A:$W,23,0)),"")</f>
        <v/>
      </c>
      <c r="S861" s="10">
        <f>IF(AND(P861="TN",R861="TN"),N861+N(O861),IF(G861&amp;""="1",N(K861)*N861,(N861+N(O861))*N(K861)))</f>
        <v/>
      </c>
      <c r="T861" s="10">
        <f>IF(Q861="","",Q861-S861)</f>
        <v/>
      </c>
    </row>
    <row r="862">
      <c r="A862" s="7">
        <f>CONCATENATE(C862,E862,F862,I862)</f>
        <v/>
      </c>
      <c r="B862" s="7">
        <f>CONCATENATE(C862,E862,I862)</f>
        <v/>
      </c>
      <c r="C862" s="8" t="n">
        <v>900003592</v>
      </c>
      <c r="D862" s="7">
        <f>IFERROR(VLOOKUP(C862,TRAOPE!$G:$H,2,0),"")</f>
        <v/>
      </c>
      <c r="E862" s="8" t="inlineStr">
        <is>
          <t>D836</t>
        </is>
      </c>
      <c r="F862" s="8" t="inlineStr">
        <is>
          <t>66400667</t>
        </is>
      </c>
      <c r="G862" s="8">
        <f>IFERROR(VLOOKUP(A862,Flete!$A:$E,5,0),"")</f>
        <v/>
      </c>
      <c r="H862" s="7">
        <f>IFERROR(VLOOKUP(F862,TRAOPE!$AA:$AB,2,0),"")</f>
        <v/>
      </c>
      <c r="I862" s="7" t="n">
        <v>10000722</v>
      </c>
      <c r="J862" s="7">
        <f>IFERROR(VLOOKUP(I862,Materiales!$A:$H,8,0),"")</f>
        <v/>
      </c>
      <c r="K862" s="9">
        <f>IFERROR(VLOOKUP(I862,Materiales!$A:$G,7,0),"")</f>
        <v/>
      </c>
      <c r="L862" s="8" t="inlineStr">
        <is>
          <t>20190426</t>
        </is>
      </c>
      <c r="M862" s="8" t="inlineStr">
        <is>
          <t>20250127</t>
        </is>
      </c>
      <c r="N862" s="10" t="n">
        <v>97</v>
      </c>
      <c r="O862" s="10">
        <f>IFERROR(VLOOKUP(A862,Flete!$A:$J,10,0),"")</f>
        <v/>
      </c>
      <c r="P862" s="8" t="inlineStr">
        <is>
          <t>TN</t>
        </is>
      </c>
      <c r="Q862" s="10">
        <f>IFERROR(IFERROR(VLOOKUP(A862,TRAOPE!$A:$U,21,0),VLOOKUP(B862,TRAOPE!$A:$U,21,0)),"")</f>
        <v/>
      </c>
      <c r="R862" s="8">
        <f>IFERROR(IFERROR(VLOOKUP(A862,TRAOPE!$A:$W,23,0),VLOOKUP(B862,TRAOPE!$A:$W,23,0)),"")</f>
        <v/>
      </c>
      <c r="S862" s="10">
        <f>IF(AND(P862="TN",R862="TN"),N862+N(O862),IF(G862&amp;""="1",N(K862)*N862,(N862+N(O862))*N(K862)))</f>
        <v/>
      </c>
      <c r="T862" s="10">
        <f>IF(Q862="","",Q862-S862)</f>
        <v/>
      </c>
    </row>
    <row r="863">
      <c r="A863" s="7">
        <f>CONCATENATE(C863,E863,F863,I863)</f>
        <v/>
      </c>
      <c r="B863" s="7">
        <f>CONCATENATE(C863,E863,I863)</f>
        <v/>
      </c>
      <c r="C863" s="8" t="n">
        <v>900003592</v>
      </c>
      <c r="D863" s="7">
        <f>IFERROR(VLOOKUP(C863,TRAOPE!$G:$H,2,0),"")</f>
        <v/>
      </c>
      <c r="E863" s="8" t="inlineStr">
        <is>
          <t>D836</t>
        </is>
      </c>
      <c r="F863" s="8" t="inlineStr">
        <is>
          <t>66403188</t>
        </is>
      </c>
      <c r="G863" s="8">
        <f>IFERROR(VLOOKUP(A863,Flete!$A:$E,5,0),"")</f>
        <v/>
      </c>
      <c r="H863" s="7">
        <f>IFERROR(VLOOKUP(F863,TRAOPE!$AA:$AB,2,0),"")</f>
        <v/>
      </c>
      <c r="I863" s="7" t="n">
        <v>10000630</v>
      </c>
      <c r="J863" s="7">
        <f>IFERROR(VLOOKUP(I863,Materiales!$A:$H,8,0),"")</f>
        <v/>
      </c>
      <c r="K863" s="9">
        <f>IFERROR(VLOOKUP(I863,Materiales!$A:$G,7,0),"")</f>
        <v/>
      </c>
      <c r="L863" s="8" t="inlineStr">
        <is>
          <t>20190426</t>
        </is>
      </c>
      <c r="M863" s="8" t="inlineStr">
        <is>
          <t>20250127</t>
        </is>
      </c>
      <c r="N863" s="10" t="n">
        <v>80</v>
      </c>
      <c r="O863" s="10">
        <f>IFERROR(VLOOKUP(A863,Flete!$A:$J,10,0),"")</f>
        <v/>
      </c>
      <c r="P863" s="8" t="inlineStr">
        <is>
          <t>TN</t>
        </is>
      </c>
      <c r="Q863" s="10">
        <f>IFERROR(IFERROR(VLOOKUP(A863,TRAOPE!$A:$U,21,0),VLOOKUP(B863,TRAOPE!$A:$U,21,0)),"")</f>
        <v/>
      </c>
      <c r="R863" s="8">
        <f>IFERROR(IFERROR(VLOOKUP(A863,TRAOPE!$A:$W,23,0),VLOOKUP(B863,TRAOPE!$A:$W,23,0)),"")</f>
        <v/>
      </c>
      <c r="S863" s="10">
        <f>IF(AND(P863="TN",R863="TN"),N863+N(O863),IF(G863&amp;""="1",N(K863)*N863,(N863+N(O863))*N(K863)))</f>
        <v/>
      </c>
      <c r="T863" s="10">
        <f>IF(Q863="","",Q863-S863)</f>
        <v/>
      </c>
    </row>
    <row r="864">
      <c r="A864" s="7">
        <f>CONCATENATE(C864,E864,F864,I864)</f>
        <v/>
      </c>
      <c r="B864" s="7">
        <f>CONCATENATE(C864,E864,I864)</f>
        <v/>
      </c>
      <c r="C864" s="8" t="n">
        <v>900003592</v>
      </c>
      <c r="D864" s="7">
        <f>IFERROR(VLOOKUP(C864,TRAOPE!$G:$H,2,0),"")</f>
        <v/>
      </c>
      <c r="E864" s="8" t="inlineStr">
        <is>
          <t>D836</t>
        </is>
      </c>
      <c r="F864" s="8" t="inlineStr">
        <is>
          <t>66403188</t>
        </is>
      </c>
      <c r="G864" s="8">
        <f>IFERROR(VLOOKUP(A864,Flete!$A:$E,5,0),"")</f>
        <v/>
      </c>
      <c r="H864" s="7">
        <f>IFERROR(VLOOKUP(F864,TRAOPE!$AA:$AB,2,0),"")</f>
        <v/>
      </c>
      <c r="I864" s="7" t="n">
        <v>10000722</v>
      </c>
      <c r="J864" s="7">
        <f>IFERROR(VLOOKUP(I864,Materiales!$A:$H,8,0),"")</f>
        <v/>
      </c>
      <c r="K864" s="9">
        <f>IFERROR(VLOOKUP(I864,Materiales!$A:$G,7,0),"")</f>
        <v/>
      </c>
      <c r="L864" s="8" t="inlineStr">
        <is>
          <t>20190426</t>
        </is>
      </c>
      <c r="M864" s="8" t="inlineStr">
        <is>
          <t>20250127</t>
        </is>
      </c>
      <c r="N864" s="10" t="n">
        <v>80</v>
      </c>
      <c r="O864" s="10">
        <f>IFERROR(VLOOKUP(A864,Flete!$A:$J,10,0),"")</f>
        <v/>
      </c>
      <c r="P864" s="8" t="inlineStr">
        <is>
          <t>TN</t>
        </is>
      </c>
      <c r="Q864" s="10">
        <f>IFERROR(IFERROR(VLOOKUP(A864,TRAOPE!$A:$U,21,0),VLOOKUP(B864,TRAOPE!$A:$U,21,0)),"")</f>
        <v/>
      </c>
      <c r="R864" s="8">
        <f>IFERROR(IFERROR(VLOOKUP(A864,TRAOPE!$A:$W,23,0),VLOOKUP(B864,TRAOPE!$A:$W,23,0)),"")</f>
        <v/>
      </c>
      <c r="S864" s="10">
        <f>IF(AND(P864="TN",R864="TN"),N864+N(O864),IF(G864&amp;""="1",N(K864)*N864,(N864+N(O864))*N(K864)))</f>
        <v/>
      </c>
      <c r="T864" s="10">
        <f>IF(Q864="","",Q864-S864)</f>
        <v/>
      </c>
    </row>
    <row r="865">
      <c r="A865" s="7">
        <f>CONCATENATE(C865,E865,F865,I865)</f>
        <v/>
      </c>
      <c r="B865" s="7">
        <f>CONCATENATE(C865,E865,I865)</f>
        <v/>
      </c>
      <c r="C865" s="8" t="n">
        <v>900003592</v>
      </c>
      <c r="D865" s="7">
        <f>IFERROR(VLOOKUP(C865,TRAOPE!$G:$H,2,0),"")</f>
        <v/>
      </c>
      <c r="E865" s="8" t="inlineStr">
        <is>
          <t>D836</t>
        </is>
      </c>
      <c r="F865" s="8" t="inlineStr">
        <is>
          <t>66414377</t>
        </is>
      </c>
      <c r="G865" s="8">
        <f>IFERROR(VLOOKUP(A865,Flete!$A:$E,5,0),"")</f>
        <v/>
      </c>
      <c r="H865" s="7">
        <f>IFERROR(VLOOKUP(F865,TRAOPE!$AA:$AB,2,0),"")</f>
        <v/>
      </c>
      <c r="I865" s="7" t="n">
        <v>10000630</v>
      </c>
      <c r="J865" s="7">
        <f>IFERROR(VLOOKUP(I865,Materiales!$A:$H,8,0),"")</f>
        <v/>
      </c>
      <c r="K865" s="9">
        <f>IFERROR(VLOOKUP(I865,Materiales!$A:$G,7,0),"")</f>
        <v/>
      </c>
      <c r="L865" s="8" t="inlineStr">
        <is>
          <t>20190426</t>
        </is>
      </c>
      <c r="M865" s="8" t="inlineStr">
        <is>
          <t>20250127</t>
        </is>
      </c>
      <c r="N865" s="10" t="n">
        <v>77</v>
      </c>
      <c r="O865" s="10">
        <f>IFERROR(VLOOKUP(A865,Flete!$A:$J,10,0),"")</f>
        <v/>
      </c>
      <c r="P865" s="8" t="inlineStr">
        <is>
          <t>TN</t>
        </is>
      </c>
      <c r="Q865" s="10">
        <f>IFERROR(IFERROR(VLOOKUP(A865,TRAOPE!$A:$U,21,0),VLOOKUP(B865,TRAOPE!$A:$U,21,0)),"")</f>
        <v/>
      </c>
      <c r="R865" s="8">
        <f>IFERROR(IFERROR(VLOOKUP(A865,TRAOPE!$A:$W,23,0),VLOOKUP(B865,TRAOPE!$A:$W,23,0)),"")</f>
        <v/>
      </c>
      <c r="S865" s="10">
        <f>IF(AND(P865="TN",R865="TN"),N865+N(O865),IF(G865&amp;""="1",N(K865)*N865,(N865+N(O865))*N(K865)))</f>
        <v/>
      </c>
      <c r="T865" s="10">
        <f>IF(Q865="","",Q865-S865)</f>
        <v/>
      </c>
    </row>
    <row r="866">
      <c r="A866" s="7">
        <f>CONCATENATE(C866,E866,F866,I866)</f>
        <v/>
      </c>
      <c r="B866" s="7">
        <f>CONCATENATE(C866,E866,I866)</f>
        <v/>
      </c>
      <c r="C866" s="8" t="n">
        <v>900003592</v>
      </c>
      <c r="D866" s="7">
        <f>IFERROR(VLOOKUP(C866,TRAOPE!$G:$H,2,0),"")</f>
        <v/>
      </c>
      <c r="E866" s="8" t="inlineStr">
        <is>
          <t>D836</t>
        </is>
      </c>
      <c r="F866" s="8" t="inlineStr">
        <is>
          <t>66414377</t>
        </is>
      </c>
      <c r="G866" s="8">
        <f>IFERROR(VLOOKUP(A866,Flete!$A:$E,5,0),"")</f>
        <v/>
      </c>
      <c r="H866" s="7">
        <f>IFERROR(VLOOKUP(F866,TRAOPE!$AA:$AB,2,0),"")</f>
        <v/>
      </c>
      <c r="I866" s="7" t="n">
        <v>10000722</v>
      </c>
      <c r="J866" s="7">
        <f>IFERROR(VLOOKUP(I866,Materiales!$A:$H,8,0),"")</f>
        <v/>
      </c>
      <c r="K866" s="9">
        <f>IFERROR(VLOOKUP(I866,Materiales!$A:$G,7,0),"")</f>
        <v/>
      </c>
      <c r="L866" s="8" t="inlineStr">
        <is>
          <t>20190426</t>
        </is>
      </c>
      <c r="M866" s="8" t="inlineStr">
        <is>
          <t>20250127</t>
        </is>
      </c>
      <c r="N866" s="10" t="n">
        <v>77</v>
      </c>
      <c r="O866" s="10">
        <f>IFERROR(VLOOKUP(A866,Flete!$A:$J,10,0),"")</f>
        <v/>
      </c>
      <c r="P866" s="8" t="inlineStr">
        <is>
          <t>TN</t>
        </is>
      </c>
      <c r="Q866" s="10">
        <f>IFERROR(IFERROR(VLOOKUP(A866,TRAOPE!$A:$U,21,0),VLOOKUP(B866,TRAOPE!$A:$U,21,0)),"")</f>
        <v/>
      </c>
      <c r="R866" s="8">
        <f>IFERROR(IFERROR(VLOOKUP(A866,TRAOPE!$A:$W,23,0),VLOOKUP(B866,TRAOPE!$A:$W,23,0)),"")</f>
        <v/>
      </c>
      <c r="S866" s="10">
        <f>IF(AND(P866="TN",R866="TN"),N866+N(O866),IF(G866&amp;""="1",N(K866)*N866,(N866+N(O866))*N(K866)))</f>
        <v/>
      </c>
      <c r="T866" s="10">
        <f>IF(Q866="","",Q866-S866)</f>
        <v/>
      </c>
    </row>
    <row r="867">
      <c r="A867" s="7">
        <f>CONCATENATE(C867,E867,F867,I867)</f>
        <v/>
      </c>
      <c r="B867" s="7">
        <f>CONCATENATE(C867,E867,I867)</f>
        <v/>
      </c>
      <c r="C867" s="8" t="n">
        <v>900003592</v>
      </c>
      <c r="D867" s="7">
        <f>IFERROR(VLOOKUP(C867,TRAOPE!$G:$H,2,0),"")</f>
        <v/>
      </c>
      <c r="E867" s="8" t="inlineStr">
        <is>
          <t>D836</t>
        </is>
      </c>
      <c r="F867" s="8" t="inlineStr">
        <is>
          <t>66415270</t>
        </is>
      </c>
      <c r="G867" s="8">
        <f>IFERROR(VLOOKUP(A867,Flete!$A:$E,5,0),"")</f>
        <v/>
      </c>
      <c r="H867" s="7">
        <f>IFERROR(VLOOKUP(F867,TRAOPE!$AA:$AB,2,0),"")</f>
        <v/>
      </c>
      <c r="I867" s="7" t="n">
        <v>10000630</v>
      </c>
      <c r="J867" s="7">
        <f>IFERROR(VLOOKUP(I867,Materiales!$A:$H,8,0),"")</f>
        <v/>
      </c>
      <c r="K867" s="9">
        <f>IFERROR(VLOOKUP(I867,Materiales!$A:$G,7,0),"")</f>
        <v/>
      </c>
      <c r="L867" s="8" t="inlineStr">
        <is>
          <t>20190426</t>
        </is>
      </c>
      <c r="M867" s="8" t="inlineStr">
        <is>
          <t>20250127</t>
        </is>
      </c>
      <c r="N867" s="10" t="n">
        <v>77</v>
      </c>
      <c r="O867" s="10">
        <f>IFERROR(VLOOKUP(A867,Flete!$A:$J,10,0),"")</f>
        <v/>
      </c>
      <c r="P867" s="8" t="inlineStr">
        <is>
          <t>TN</t>
        </is>
      </c>
      <c r="Q867" s="10">
        <f>IFERROR(IFERROR(VLOOKUP(A867,TRAOPE!$A:$U,21,0),VLOOKUP(B867,TRAOPE!$A:$U,21,0)),"")</f>
        <v/>
      </c>
      <c r="R867" s="8">
        <f>IFERROR(IFERROR(VLOOKUP(A867,TRAOPE!$A:$W,23,0),VLOOKUP(B867,TRAOPE!$A:$W,23,0)),"")</f>
        <v/>
      </c>
      <c r="S867" s="10">
        <f>IF(AND(P867="TN",R867="TN"),N867+N(O867),IF(G867&amp;""="1",N(K867)*N867,(N867+N(O867))*N(K867)))</f>
        <v/>
      </c>
      <c r="T867" s="10">
        <f>IF(Q867="","",Q867-S867)</f>
        <v/>
      </c>
    </row>
    <row r="868">
      <c r="A868" s="7">
        <f>CONCATENATE(C868,E868,F868,I868)</f>
        <v/>
      </c>
      <c r="B868" s="7">
        <f>CONCATENATE(C868,E868,I868)</f>
        <v/>
      </c>
      <c r="C868" s="8" t="n">
        <v>900003592</v>
      </c>
      <c r="D868" s="7">
        <f>IFERROR(VLOOKUP(C868,TRAOPE!$G:$H,2,0),"")</f>
        <v/>
      </c>
      <c r="E868" s="8" t="inlineStr">
        <is>
          <t>D836</t>
        </is>
      </c>
      <c r="F868" s="8" t="inlineStr">
        <is>
          <t>66415270</t>
        </is>
      </c>
      <c r="G868" s="8">
        <f>IFERROR(VLOOKUP(A868,Flete!$A:$E,5,0),"")</f>
        <v/>
      </c>
      <c r="H868" s="7">
        <f>IFERROR(VLOOKUP(F868,TRAOPE!$AA:$AB,2,0),"")</f>
        <v/>
      </c>
      <c r="I868" s="7" t="n">
        <v>10000722</v>
      </c>
      <c r="J868" s="7">
        <f>IFERROR(VLOOKUP(I868,Materiales!$A:$H,8,0),"")</f>
        <v/>
      </c>
      <c r="K868" s="9">
        <f>IFERROR(VLOOKUP(I868,Materiales!$A:$G,7,0),"")</f>
        <v/>
      </c>
      <c r="L868" s="8" t="inlineStr">
        <is>
          <t>20190426</t>
        </is>
      </c>
      <c r="M868" s="8" t="inlineStr">
        <is>
          <t>20250127</t>
        </is>
      </c>
      <c r="N868" s="10" t="n">
        <v>77</v>
      </c>
      <c r="O868" s="10">
        <f>IFERROR(VLOOKUP(A868,Flete!$A:$J,10,0),"")</f>
        <v/>
      </c>
      <c r="P868" s="8" t="inlineStr">
        <is>
          <t>TN</t>
        </is>
      </c>
      <c r="Q868" s="10">
        <f>IFERROR(IFERROR(VLOOKUP(A868,TRAOPE!$A:$U,21,0),VLOOKUP(B868,TRAOPE!$A:$U,21,0)),"")</f>
        <v/>
      </c>
      <c r="R868" s="8">
        <f>IFERROR(IFERROR(VLOOKUP(A868,TRAOPE!$A:$W,23,0),VLOOKUP(B868,TRAOPE!$A:$W,23,0)),"")</f>
        <v/>
      </c>
      <c r="S868" s="10">
        <f>IF(AND(P868="TN",R868="TN"),N868+N(O868),IF(G868&amp;""="1",N(K868)*N868,(N868+N(O868))*N(K868)))</f>
        <v/>
      </c>
      <c r="T868" s="10">
        <f>IF(Q868="","",Q868-S868)</f>
        <v/>
      </c>
    </row>
    <row r="869">
      <c r="A869" s="7">
        <f>CONCATENATE(C869,E869,F869,I869)</f>
        <v/>
      </c>
      <c r="B869" s="7">
        <f>CONCATENATE(C869,E869,I869)</f>
        <v/>
      </c>
      <c r="C869" s="8" t="n">
        <v>900003592</v>
      </c>
      <c r="D869" s="7">
        <f>IFERROR(VLOOKUP(C869,TRAOPE!$G:$H,2,0),"")</f>
        <v/>
      </c>
      <c r="E869" s="8" t="inlineStr">
        <is>
          <t>D836</t>
        </is>
      </c>
      <c r="F869" s="8" t="inlineStr">
        <is>
          <t>66433509</t>
        </is>
      </c>
      <c r="G869" s="8">
        <f>IFERROR(VLOOKUP(A869,Flete!$A:$E,5,0),"")</f>
        <v/>
      </c>
      <c r="H869" s="7">
        <f>IFERROR(VLOOKUP(F869,TRAOPE!$AA:$AB,2,0),"")</f>
        <v/>
      </c>
      <c r="I869" s="7" t="n">
        <v>10000722</v>
      </c>
      <c r="J869" s="7">
        <f>IFERROR(VLOOKUP(I869,Materiales!$A:$H,8,0),"")</f>
        <v/>
      </c>
      <c r="K869" s="9">
        <f>IFERROR(VLOOKUP(I869,Materiales!$A:$G,7,0),"")</f>
        <v/>
      </c>
      <c r="L869" s="8" t="inlineStr">
        <is>
          <t>20190426</t>
        </is>
      </c>
      <c r="M869" s="8" t="inlineStr">
        <is>
          <t>20250127</t>
        </is>
      </c>
      <c r="N869" s="10" t="n">
        <v>77</v>
      </c>
      <c r="O869" s="10">
        <f>IFERROR(VLOOKUP(A869,Flete!$A:$J,10,0),"")</f>
        <v/>
      </c>
      <c r="P869" s="8" t="inlineStr">
        <is>
          <t>TN</t>
        </is>
      </c>
      <c r="Q869" s="10">
        <f>IFERROR(IFERROR(VLOOKUP(A869,TRAOPE!$A:$U,21,0),VLOOKUP(B869,TRAOPE!$A:$U,21,0)),"")</f>
        <v/>
      </c>
      <c r="R869" s="8">
        <f>IFERROR(IFERROR(VLOOKUP(A869,TRAOPE!$A:$W,23,0),VLOOKUP(B869,TRAOPE!$A:$W,23,0)),"")</f>
        <v/>
      </c>
      <c r="S869" s="10">
        <f>IF(AND(P869="TN",R869="TN"),N869+N(O869),IF(G869&amp;""="1",N(K869)*N869,(N869+N(O869))*N(K869)))</f>
        <v/>
      </c>
      <c r="T869" s="10">
        <f>IF(Q869="","",Q869-S869)</f>
        <v/>
      </c>
    </row>
    <row r="870">
      <c r="A870" s="7">
        <f>CONCATENATE(C870,E870,F870,I870)</f>
        <v/>
      </c>
      <c r="B870" s="7">
        <f>CONCATENATE(C870,E870,I870)</f>
        <v/>
      </c>
      <c r="C870" s="8" t="n">
        <v>900003592</v>
      </c>
      <c r="D870" s="7">
        <f>IFERROR(VLOOKUP(C870,TRAOPE!$G:$H,2,0),"")</f>
        <v/>
      </c>
      <c r="E870" s="8" t="inlineStr">
        <is>
          <t>D836</t>
        </is>
      </c>
      <c r="F870" s="8" t="inlineStr">
        <is>
          <t>66440645</t>
        </is>
      </c>
      <c r="G870" s="8">
        <f>IFERROR(VLOOKUP(A870,Flete!$A:$E,5,0),"")</f>
        <v/>
      </c>
      <c r="H870" s="7">
        <f>IFERROR(VLOOKUP(F870,TRAOPE!$AA:$AB,2,0),"")</f>
        <v/>
      </c>
      <c r="I870" s="7" t="n">
        <v>10000722</v>
      </c>
      <c r="J870" s="7">
        <f>IFERROR(VLOOKUP(I870,Materiales!$A:$H,8,0),"")</f>
        <v/>
      </c>
      <c r="K870" s="9">
        <f>IFERROR(VLOOKUP(I870,Materiales!$A:$G,7,0),"")</f>
        <v/>
      </c>
      <c r="L870" s="8" t="inlineStr">
        <is>
          <t>20190426</t>
        </is>
      </c>
      <c r="M870" s="8" t="inlineStr">
        <is>
          <t>20250127</t>
        </is>
      </c>
      <c r="N870" s="10" t="n">
        <v>95</v>
      </c>
      <c r="O870" s="10">
        <f>IFERROR(VLOOKUP(A870,Flete!$A:$J,10,0),"")</f>
        <v/>
      </c>
      <c r="P870" s="8" t="inlineStr">
        <is>
          <t>TN</t>
        </is>
      </c>
      <c r="Q870" s="10">
        <f>IFERROR(IFERROR(VLOOKUP(A870,TRAOPE!$A:$U,21,0),VLOOKUP(B870,TRAOPE!$A:$U,21,0)),"")</f>
        <v/>
      </c>
      <c r="R870" s="8">
        <f>IFERROR(IFERROR(VLOOKUP(A870,TRAOPE!$A:$W,23,0),VLOOKUP(B870,TRAOPE!$A:$W,23,0)),"")</f>
        <v/>
      </c>
      <c r="S870" s="10">
        <f>IF(AND(P870="TN",R870="TN"),N870+N(O870),IF(G870&amp;""="1",N(K870)*N870,(N870+N(O870))*N(K870)))</f>
        <v/>
      </c>
      <c r="T870" s="10">
        <f>IF(Q870="","",Q870-S870)</f>
        <v/>
      </c>
    </row>
    <row r="871">
      <c r="A871" s="7">
        <f>CONCATENATE(C871,E871,F871,I871)</f>
        <v/>
      </c>
      <c r="B871" s="7">
        <f>CONCATENATE(C871,E871,I871)</f>
        <v/>
      </c>
      <c r="C871" s="8" t="n">
        <v>900003592</v>
      </c>
      <c r="D871" s="7">
        <f>IFERROR(VLOOKUP(C871,TRAOPE!$G:$H,2,0),"")</f>
        <v/>
      </c>
      <c r="E871" s="8" t="inlineStr">
        <is>
          <t>D836</t>
        </is>
      </c>
      <c r="F871" s="8" t="inlineStr">
        <is>
          <t>66442116</t>
        </is>
      </c>
      <c r="G871" s="8">
        <f>IFERROR(VLOOKUP(A871,Flete!$A:$E,5,0),"")</f>
        <v/>
      </c>
      <c r="H871" s="7">
        <f>IFERROR(VLOOKUP(F871,TRAOPE!$AA:$AB,2,0),"")</f>
        <v/>
      </c>
      <c r="I871" s="7" t="n">
        <v>10000624</v>
      </c>
      <c r="J871" s="7">
        <f>IFERROR(VLOOKUP(I871,Materiales!$A:$H,8,0),"")</f>
        <v/>
      </c>
      <c r="K871" s="9">
        <f>IFERROR(VLOOKUP(I871,Materiales!$A:$G,7,0),"")</f>
        <v/>
      </c>
      <c r="L871" s="8" t="inlineStr">
        <is>
          <t>20190426</t>
        </is>
      </c>
      <c r="M871" s="8" t="inlineStr">
        <is>
          <t>20250127</t>
        </is>
      </c>
      <c r="N871" s="10" t="n">
        <v>85</v>
      </c>
      <c r="O871" s="10">
        <f>IFERROR(VLOOKUP(A871,Flete!$A:$J,10,0),"")</f>
        <v/>
      </c>
      <c r="P871" s="8" t="inlineStr">
        <is>
          <t>TN</t>
        </is>
      </c>
      <c r="Q871" s="10">
        <f>IFERROR(IFERROR(VLOOKUP(A871,TRAOPE!$A:$U,21,0),VLOOKUP(B871,TRAOPE!$A:$U,21,0)),"")</f>
        <v/>
      </c>
      <c r="R871" s="8">
        <f>IFERROR(IFERROR(VLOOKUP(A871,TRAOPE!$A:$W,23,0),VLOOKUP(B871,TRAOPE!$A:$W,23,0)),"")</f>
        <v/>
      </c>
      <c r="S871" s="10">
        <f>IF(AND(P871="TN",R871="TN"),N871+N(O871),IF(G871&amp;""="1",N(K871)*N871,(N871+N(O871))*N(K871)))</f>
        <v/>
      </c>
      <c r="T871" s="10">
        <f>IF(Q871="","",Q871-S871)</f>
        <v/>
      </c>
    </row>
    <row r="872">
      <c r="A872" s="7">
        <f>CONCATENATE(C872,E872,F872,I872)</f>
        <v/>
      </c>
      <c r="B872" s="7">
        <f>CONCATENATE(C872,E872,I872)</f>
        <v/>
      </c>
      <c r="C872" s="8" t="n">
        <v>900003592</v>
      </c>
      <c r="D872" s="7">
        <f>IFERROR(VLOOKUP(C872,TRAOPE!$G:$H,2,0),"")</f>
        <v/>
      </c>
      <c r="E872" s="8" t="inlineStr">
        <is>
          <t>D836</t>
        </is>
      </c>
      <c r="F872" s="8" t="inlineStr">
        <is>
          <t>66442116</t>
        </is>
      </c>
      <c r="G872" s="8">
        <f>IFERROR(VLOOKUP(A872,Flete!$A:$E,5,0),"")</f>
        <v/>
      </c>
      <c r="H872" s="7">
        <f>IFERROR(VLOOKUP(F872,TRAOPE!$AA:$AB,2,0),"")</f>
        <v/>
      </c>
      <c r="I872" s="7" t="n">
        <v>10000722</v>
      </c>
      <c r="J872" s="7">
        <f>IFERROR(VLOOKUP(I872,Materiales!$A:$H,8,0),"")</f>
        <v/>
      </c>
      <c r="K872" s="9">
        <f>IFERROR(VLOOKUP(I872,Materiales!$A:$G,7,0),"")</f>
        <v/>
      </c>
      <c r="L872" s="8" t="inlineStr">
        <is>
          <t>20190426</t>
        </is>
      </c>
      <c r="M872" s="8" t="inlineStr">
        <is>
          <t>20250127</t>
        </is>
      </c>
      <c r="N872" s="10" t="n">
        <v>85</v>
      </c>
      <c r="O872" s="10">
        <f>IFERROR(VLOOKUP(A872,Flete!$A:$J,10,0),"")</f>
        <v/>
      </c>
      <c r="P872" s="8" t="inlineStr">
        <is>
          <t>TN</t>
        </is>
      </c>
      <c r="Q872" s="10">
        <f>IFERROR(IFERROR(VLOOKUP(A872,TRAOPE!$A:$U,21,0),VLOOKUP(B872,TRAOPE!$A:$U,21,0)),"")</f>
        <v/>
      </c>
      <c r="R872" s="8">
        <f>IFERROR(IFERROR(VLOOKUP(A872,TRAOPE!$A:$W,23,0),VLOOKUP(B872,TRAOPE!$A:$W,23,0)),"")</f>
        <v/>
      </c>
      <c r="S872" s="10">
        <f>IF(AND(P872="TN",R872="TN"),N872+N(O872),IF(G872&amp;""="1",N(K872)*N872,(N872+N(O872))*N(K872)))</f>
        <v/>
      </c>
      <c r="T872" s="10">
        <f>IF(Q872="","",Q872-S872)</f>
        <v/>
      </c>
    </row>
    <row r="873">
      <c r="A873" s="7">
        <f>CONCATENATE(C873,E873,F873,I873)</f>
        <v/>
      </c>
      <c r="B873" s="7">
        <f>CONCATENATE(C873,E873,I873)</f>
        <v/>
      </c>
      <c r="C873" s="8" t="n">
        <v>900003592</v>
      </c>
      <c r="D873" s="7">
        <f>IFERROR(VLOOKUP(C873,TRAOPE!$G:$H,2,0),"")</f>
        <v/>
      </c>
      <c r="E873" s="8" t="inlineStr">
        <is>
          <t>D836</t>
        </is>
      </c>
      <c r="F873" s="8" t="inlineStr">
        <is>
          <t>66442244</t>
        </is>
      </c>
      <c r="G873" s="8">
        <f>IFERROR(VLOOKUP(A873,Flete!$A:$E,5,0),"")</f>
        <v/>
      </c>
      <c r="H873" s="7">
        <f>IFERROR(VLOOKUP(F873,TRAOPE!$AA:$AB,2,0),"")</f>
        <v/>
      </c>
      <c r="I873" s="7" t="n">
        <v>10000722</v>
      </c>
      <c r="J873" s="7">
        <f>IFERROR(VLOOKUP(I873,Materiales!$A:$H,8,0),"")</f>
        <v/>
      </c>
      <c r="K873" s="9">
        <f>IFERROR(VLOOKUP(I873,Materiales!$A:$G,7,0),"")</f>
        <v/>
      </c>
      <c r="L873" s="8" t="inlineStr">
        <is>
          <t>20190426</t>
        </is>
      </c>
      <c r="M873" s="8" t="inlineStr">
        <is>
          <t>20250127</t>
        </is>
      </c>
      <c r="N873" s="10" t="n">
        <v>108.12</v>
      </c>
      <c r="O873" s="10">
        <f>IFERROR(VLOOKUP(A873,Flete!$A:$J,10,0),"")</f>
        <v/>
      </c>
      <c r="P873" s="8" t="inlineStr">
        <is>
          <t>TN</t>
        </is>
      </c>
      <c r="Q873" s="10">
        <f>IFERROR(IFERROR(VLOOKUP(A873,TRAOPE!$A:$U,21,0),VLOOKUP(B873,TRAOPE!$A:$U,21,0)),"")</f>
        <v/>
      </c>
      <c r="R873" s="8">
        <f>IFERROR(IFERROR(VLOOKUP(A873,TRAOPE!$A:$W,23,0),VLOOKUP(B873,TRAOPE!$A:$W,23,0)),"")</f>
        <v/>
      </c>
      <c r="S873" s="10">
        <f>IF(AND(P873="TN",R873="TN"),N873+N(O873),IF(G873&amp;""="1",N(K873)*N873,(N873+N(O873))*N(K873)))</f>
        <v/>
      </c>
      <c r="T873" s="10">
        <f>IF(Q873="","",Q873-S873)</f>
        <v/>
      </c>
    </row>
    <row r="874">
      <c r="A874" s="7">
        <f>CONCATENATE(C874,E874,F874,I874)</f>
        <v/>
      </c>
      <c r="B874" s="7">
        <f>CONCATENATE(C874,E874,I874)</f>
        <v/>
      </c>
      <c r="C874" s="8" t="n">
        <v>900003592</v>
      </c>
      <c r="D874" s="7">
        <f>IFERROR(VLOOKUP(C874,TRAOPE!$G:$H,2,0),"")</f>
        <v/>
      </c>
      <c r="E874" s="8" t="inlineStr">
        <is>
          <t>D836</t>
        </is>
      </c>
      <c r="F874" s="8" t="inlineStr">
        <is>
          <t>66450072</t>
        </is>
      </c>
      <c r="G874" s="8">
        <f>IFERROR(VLOOKUP(A874,Flete!$A:$E,5,0),"")</f>
        <v/>
      </c>
      <c r="H874" s="7">
        <f>IFERROR(VLOOKUP(F874,TRAOPE!$AA:$AB,2,0),"")</f>
        <v/>
      </c>
      <c r="I874" s="7" t="n">
        <v>10000722</v>
      </c>
      <c r="J874" s="7">
        <f>IFERROR(VLOOKUP(I874,Materiales!$A:$H,8,0),"")</f>
        <v/>
      </c>
      <c r="K874" s="9">
        <f>IFERROR(VLOOKUP(I874,Materiales!$A:$G,7,0),"")</f>
        <v/>
      </c>
      <c r="L874" s="8" t="inlineStr">
        <is>
          <t>20190426</t>
        </is>
      </c>
      <c r="M874" s="8" t="inlineStr">
        <is>
          <t>20250127</t>
        </is>
      </c>
      <c r="N874" s="10" t="n">
        <v>78</v>
      </c>
      <c r="O874" s="10">
        <f>IFERROR(VLOOKUP(A874,Flete!$A:$J,10,0),"")</f>
        <v/>
      </c>
      <c r="P874" s="8" t="inlineStr">
        <is>
          <t>TN</t>
        </is>
      </c>
      <c r="Q874" s="10">
        <f>IFERROR(IFERROR(VLOOKUP(A874,TRAOPE!$A:$U,21,0),VLOOKUP(B874,TRAOPE!$A:$U,21,0)),"")</f>
        <v/>
      </c>
      <c r="R874" s="8">
        <f>IFERROR(IFERROR(VLOOKUP(A874,TRAOPE!$A:$W,23,0),VLOOKUP(B874,TRAOPE!$A:$W,23,0)),"")</f>
        <v/>
      </c>
      <c r="S874" s="10">
        <f>IF(AND(P874="TN",R874="TN"),N874+N(O874),IF(G874&amp;""="1",N(K874)*N874,(N874+N(O874))*N(K874)))</f>
        <v/>
      </c>
      <c r="T874" s="10">
        <f>IF(Q874="","",Q874-S874)</f>
        <v/>
      </c>
    </row>
    <row r="875">
      <c r="A875" s="7">
        <f>CONCATENATE(C875,E875,F875,I875)</f>
        <v/>
      </c>
      <c r="B875" s="7">
        <f>CONCATENATE(C875,E875,I875)</f>
        <v/>
      </c>
      <c r="C875" s="8" t="n">
        <v>900003592</v>
      </c>
      <c r="D875" s="7">
        <f>IFERROR(VLOOKUP(C875,TRAOPE!$G:$H,2,0),"")</f>
        <v/>
      </c>
      <c r="E875" s="8" t="inlineStr">
        <is>
          <t>D836</t>
        </is>
      </c>
      <c r="F875" s="8" t="inlineStr">
        <is>
          <t>66465268</t>
        </is>
      </c>
      <c r="G875" s="8">
        <f>IFERROR(VLOOKUP(A875,Flete!$A:$E,5,0),"")</f>
        <v/>
      </c>
      <c r="H875" s="7">
        <f>IFERROR(VLOOKUP(F875,TRAOPE!$AA:$AB,2,0),"")</f>
        <v/>
      </c>
      <c r="I875" s="7" t="n">
        <v>10000722</v>
      </c>
      <c r="J875" s="7">
        <f>IFERROR(VLOOKUP(I875,Materiales!$A:$H,8,0),"")</f>
        <v/>
      </c>
      <c r="K875" s="9">
        <f>IFERROR(VLOOKUP(I875,Materiales!$A:$G,7,0),"")</f>
        <v/>
      </c>
      <c r="L875" s="8" t="inlineStr">
        <is>
          <t>20190426</t>
        </is>
      </c>
      <c r="M875" s="8" t="inlineStr">
        <is>
          <t>20250127</t>
        </is>
      </c>
      <c r="N875" s="10" t="n">
        <v>93.3</v>
      </c>
      <c r="O875" s="10">
        <f>IFERROR(VLOOKUP(A875,Flete!$A:$J,10,0),"")</f>
        <v/>
      </c>
      <c r="P875" s="8" t="inlineStr">
        <is>
          <t>TN</t>
        </is>
      </c>
      <c r="Q875" s="10">
        <f>IFERROR(IFERROR(VLOOKUP(A875,TRAOPE!$A:$U,21,0),VLOOKUP(B875,TRAOPE!$A:$U,21,0)),"")</f>
        <v/>
      </c>
      <c r="R875" s="8">
        <f>IFERROR(IFERROR(VLOOKUP(A875,TRAOPE!$A:$W,23,0),VLOOKUP(B875,TRAOPE!$A:$W,23,0)),"")</f>
        <v/>
      </c>
      <c r="S875" s="10">
        <f>IF(AND(P875="TN",R875="TN"),N875+N(O875),IF(G875&amp;""="1",N(K875)*N875,(N875+N(O875))*N(K875)))</f>
        <v/>
      </c>
      <c r="T875" s="10">
        <f>IF(Q875="","",Q875-S875)</f>
        <v/>
      </c>
    </row>
    <row r="876">
      <c r="A876" s="7">
        <f>CONCATENATE(C876,E876,F876,I876)</f>
        <v/>
      </c>
      <c r="B876" s="7">
        <f>CONCATENATE(C876,E876,I876)</f>
        <v/>
      </c>
      <c r="C876" s="8" t="n">
        <v>900003592</v>
      </c>
      <c r="D876" s="7">
        <f>IFERROR(VLOOKUP(C876,TRAOPE!$G:$H,2,0),"")</f>
        <v/>
      </c>
      <c r="E876" s="8" t="inlineStr">
        <is>
          <t>D836</t>
        </is>
      </c>
      <c r="F876" s="8" t="inlineStr">
        <is>
          <t>66475158</t>
        </is>
      </c>
      <c r="G876" s="8">
        <f>IFERROR(VLOOKUP(A876,Flete!$A:$E,5,0),"")</f>
        <v/>
      </c>
      <c r="H876" s="7">
        <f>IFERROR(VLOOKUP(F876,TRAOPE!$AA:$AB,2,0),"")</f>
        <v/>
      </c>
      <c r="I876" s="7" t="n">
        <v>10000722</v>
      </c>
      <c r="J876" s="7">
        <f>IFERROR(VLOOKUP(I876,Materiales!$A:$H,8,0),"")</f>
        <v/>
      </c>
      <c r="K876" s="9">
        <f>IFERROR(VLOOKUP(I876,Materiales!$A:$G,7,0),"")</f>
        <v/>
      </c>
      <c r="L876" s="8" t="inlineStr">
        <is>
          <t>20190426</t>
        </is>
      </c>
      <c r="M876" s="8" t="inlineStr">
        <is>
          <t>20250127</t>
        </is>
      </c>
      <c r="N876" s="10" t="n">
        <v>95</v>
      </c>
      <c r="O876" s="10">
        <f>IFERROR(VLOOKUP(A876,Flete!$A:$J,10,0),"")</f>
        <v/>
      </c>
      <c r="P876" s="8" t="inlineStr">
        <is>
          <t>TN</t>
        </is>
      </c>
      <c r="Q876" s="10">
        <f>IFERROR(IFERROR(VLOOKUP(A876,TRAOPE!$A:$U,21,0),VLOOKUP(B876,TRAOPE!$A:$U,21,0)),"")</f>
        <v/>
      </c>
      <c r="R876" s="8">
        <f>IFERROR(IFERROR(VLOOKUP(A876,TRAOPE!$A:$W,23,0),VLOOKUP(B876,TRAOPE!$A:$W,23,0)),"")</f>
        <v/>
      </c>
      <c r="S876" s="10">
        <f>IF(AND(P876="TN",R876="TN"),N876+N(O876),IF(G876&amp;""="1",N(K876)*N876,(N876+N(O876))*N(K876)))</f>
        <v/>
      </c>
      <c r="T876" s="10">
        <f>IF(Q876="","",Q876-S876)</f>
        <v/>
      </c>
    </row>
    <row r="877">
      <c r="A877" s="7">
        <f>CONCATENATE(C877,E877,F877,I877)</f>
        <v/>
      </c>
      <c r="B877" s="7">
        <f>CONCATENATE(C877,E877,I877)</f>
        <v/>
      </c>
      <c r="C877" s="8" t="n">
        <v>900003592</v>
      </c>
      <c r="D877" s="7">
        <f>IFERROR(VLOOKUP(C877,TRAOPE!$G:$H,2,0),"")</f>
        <v/>
      </c>
      <c r="E877" s="8" t="inlineStr">
        <is>
          <t>D836</t>
        </is>
      </c>
      <c r="F877" s="8" t="inlineStr">
        <is>
          <t>66482104</t>
        </is>
      </c>
      <c r="G877" s="8">
        <f>IFERROR(VLOOKUP(A877,Flete!$A:$E,5,0),"")</f>
        <v/>
      </c>
      <c r="H877" s="7">
        <f>IFERROR(VLOOKUP(F877,TRAOPE!$AA:$AB,2,0),"")</f>
        <v/>
      </c>
      <c r="I877" s="7" t="n">
        <v>10000722</v>
      </c>
      <c r="J877" s="7">
        <f>IFERROR(VLOOKUP(I877,Materiales!$A:$H,8,0),"")</f>
        <v/>
      </c>
      <c r="K877" s="9">
        <f>IFERROR(VLOOKUP(I877,Materiales!$A:$G,7,0),"")</f>
        <v/>
      </c>
      <c r="L877" s="8" t="inlineStr">
        <is>
          <t>20190426</t>
        </is>
      </c>
      <c r="M877" s="8" t="inlineStr">
        <is>
          <t>20250127</t>
        </is>
      </c>
      <c r="N877" s="10" t="n">
        <v>95</v>
      </c>
      <c r="O877" s="10">
        <f>IFERROR(VLOOKUP(A877,Flete!$A:$J,10,0),"")</f>
        <v/>
      </c>
      <c r="P877" s="8" t="inlineStr">
        <is>
          <t>TN</t>
        </is>
      </c>
      <c r="Q877" s="10">
        <f>IFERROR(IFERROR(VLOOKUP(A877,TRAOPE!$A:$U,21,0),VLOOKUP(B877,TRAOPE!$A:$U,21,0)),"")</f>
        <v/>
      </c>
      <c r="R877" s="8">
        <f>IFERROR(IFERROR(VLOOKUP(A877,TRAOPE!$A:$W,23,0),VLOOKUP(B877,TRAOPE!$A:$W,23,0)),"")</f>
        <v/>
      </c>
      <c r="S877" s="10">
        <f>IF(AND(P877="TN",R877="TN"),N877+N(O877),IF(G877&amp;""="1",N(K877)*N877,(N877+N(O877))*N(K877)))</f>
        <v/>
      </c>
      <c r="T877" s="10">
        <f>IF(Q877="","",Q877-S877)</f>
        <v/>
      </c>
    </row>
    <row r="878">
      <c r="A878" s="7">
        <f>CONCATENATE(C878,E878,F878,I878)</f>
        <v/>
      </c>
      <c r="B878" s="7">
        <f>CONCATENATE(C878,E878,I878)</f>
        <v/>
      </c>
      <c r="C878" s="8" t="n">
        <v>900003592</v>
      </c>
      <c r="D878" s="7">
        <f>IFERROR(VLOOKUP(C878,TRAOPE!$G:$H,2,0),"")</f>
        <v/>
      </c>
      <c r="E878" s="8" t="inlineStr">
        <is>
          <t>D836</t>
        </is>
      </c>
      <c r="F878" s="8" t="inlineStr">
        <is>
          <t>66482288</t>
        </is>
      </c>
      <c r="G878" s="8">
        <f>IFERROR(VLOOKUP(A878,Flete!$A:$E,5,0),"")</f>
        <v/>
      </c>
      <c r="H878" s="7">
        <f>IFERROR(VLOOKUP(F878,TRAOPE!$AA:$AB,2,0),"")</f>
        <v/>
      </c>
      <c r="I878" s="7" t="n">
        <v>10000722</v>
      </c>
      <c r="J878" s="7">
        <f>IFERROR(VLOOKUP(I878,Materiales!$A:$H,8,0),"")</f>
        <v/>
      </c>
      <c r="K878" s="9">
        <f>IFERROR(VLOOKUP(I878,Materiales!$A:$G,7,0),"")</f>
        <v/>
      </c>
      <c r="L878" s="8" t="inlineStr">
        <is>
          <t>20190426</t>
        </is>
      </c>
      <c r="M878" s="8" t="inlineStr">
        <is>
          <t>20250127</t>
        </is>
      </c>
      <c r="N878" s="10" t="n">
        <v>95</v>
      </c>
      <c r="O878" s="10">
        <f>IFERROR(VLOOKUP(A878,Flete!$A:$J,10,0),"")</f>
        <v/>
      </c>
      <c r="P878" s="8" t="inlineStr">
        <is>
          <t>TN</t>
        </is>
      </c>
      <c r="Q878" s="10">
        <f>IFERROR(IFERROR(VLOOKUP(A878,TRAOPE!$A:$U,21,0),VLOOKUP(B878,TRAOPE!$A:$U,21,0)),"")</f>
        <v/>
      </c>
      <c r="R878" s="8">
        <f>IFERROR(IFERROR(VLOOKUP(A878,TRAOPE!$A:$W,23,0),VLOOKUP(B878,TRAOPE!$A:$W,23,0)),"")</f>
        <v/>
      </c>
      <c r="S878" s="10">
        <f>IF(AND(P878="TN",R878="TN"),N878+N(O878),IF(G878&amp;""="1",N(K878)*N878,(N878+N(O878))*N(K878)))</f>
        <v/>
      </c>
      <c r="T878" s="10">
        <f>IF(Q878="","",Q878-S878)</f>
        <v/>
      </c>
    </row>
    <row r="879">
      <c r="A879" s="7">
        <f>CONCATENATE(C879,E879,F879,I879)</f>
        <v/>
      </c>
      <c r="B879" s="7">
        <f>CONCATENATE(C879,E879,I879)</f>
        <v/>
      </c>
      <c r="C879" s="8" t="n">
        <v>900003592</v>
      </c>
      <c r="D879" s="7">
        <f>IFERROR(VLOOKUP(C879,TRAOPE!$G:$H,2,0),"")</f>
        <v/>
      </c>
      <c r="E879" s="8" t="inlineStr">
        <is>
          <t>D836</t>
        </is>
      </c>
      <c r="F879" s="8" t="inlineStr">
        <is>
          <t>66482289</t>
        </is>
      </c>
      <c r="G879" s="8">
        <f>IFERROR(VLOOKUP(A879,Flete!$A:$E,5,0),"")</f>
        <v/>
      </c>
      <c r="H879" s="7">
        <f>IFERROR(VLOOKUP(F879,TRAOPE!$AA:$AB,2,0),"")</f>
        <v/>
      </c>
      <c r="I879" s="7" t="n">
        <v>10000722</v>
      </c>
      <c r="J879" s="7">
        <f>IFERROR(VLOOKUP(I879,Materiales!$A:$H,8,0),"")</f>
        <v/>
      </c>
      <c r="K879" s="9">
        <f>IFERROR(VLOOKUP(I879,Materiales!$A:$G,7,0),"")</f>
        <v/>
      </c>
      <c r="L879" s="8" t="inlineStr">
        <is>
          <t>20190426</t>
        </is>
      </c>
      <c r="M879" s="8" t="inlineStr">
        <is>
          <t>20250127</t>
        </is>
      </c>
      <c r="N879" s="10" t="n">
        <v>95</v>
      </c>
      <c r="O879" s="10">
        <f>IFERROR(VLOOKUP(A879,Flete!$A:$J,10,0),"")</f>
        <v/>
      </c>
      <c r="P879" s="8" t="inlineStr">
        <is>
          <t>TN</t>
        </is>
      </c>
      <c r="Q879" s="10">
        <f>IFERROR(IFERROR(VLOOKUP(A879,TRAOPE!$A:$U,21,0),VLOOKUP(B879,TRAOPE!$A:$U,21,0)),"")</f>
        <v/>
      </c>
      <c r="R879" s="8">
        <f>IFERROR(IFERROR(VLOOKUP(A879,TRAOPE!$A:$W,23,0),VLOOKUP(B879,TRAOPE!$A:$W,23,0)),"")</f>
        <v/>
      </c>
      <c r="S879" s="10">
        <f>IF(AND(P879="TN",R879="TN"),N879+N(O879),IF(G879&amp;""="1",N(K879)*N879,(N879+N(O879))*N(K879)))</f>
        <v/>
      </c>
      <c r="T879" s="10">
        <f>IF(Q879="","",Q879-S879)</f>
        <v/>
      </c>
    </row>
    <row r="880">
      <c r="A880" s="7">
        <f>CONCATENATE(C880,E880,F880,I880)</f>
        <v/>
      </c>
      <c r="B880" s="7">
        <f>CONCATENATE(C880,E880,I880)</f>
        <v/>
      </c>
      <c r="C880" s="8" t="n">
        <v>900003592</v>
      </c>
      <c r="D880" s="7">
        <f>IFERROR(VLOOKUP(C880,TRAOPE!$G:$H,2,0),"")</f>
        <v/>
      </c>
      <c r="E880" s="8" t="inlineStr">
        <is>
          <t>D836</t>
        </is>
      </c>
      <c r="F880" s="8" t="inlineStr">
        <is>
          <t>66518013</t>
        </is>
      </c>
      <c r="G880" s="8">
        <f>IFERROR(VLOOKUP(A880,Flete!$A:$E,5,0),"")</f>
        <v/>
      </c>
      <c r="H880" s="7">
        <f>IFERROR(VLOOKUP(F880,TRAOPE!$AA:$AB,2,0),"")</f>
        <v/>
      </c>
      <c r="I880" s="7" t="n">
        <v>10000624</v>
      </c>
      <c r="J880" s="7">
        <f>IFERROR(VLOOKUP(I880,Materiales!$A:$H,8,0),"")</f>
        <v/>
      </c>
      <c r="K880" s="9">
        <f>IFERROR(VLOOKUP(I880,Materiales!$A:$G,7,0),"")</f>
        <v/>
      </c>
      <c r="L880" s="8" t="inlineStr">
        <is>
          <t>20190426</t>
        </is>
      </c>
      <c r="M880" s="8" t="inlineStr">
        <is>
          <t>20250127</t>
        </is>
      </c>
      <c r="N880" s="10" t="n">
        <v>95</v>
      </c>
      <c r="O880" s="10">
        <f>IFERROR(VLOOKUP(A880,Flete!$A:$J,10,0),"")</f>
        <v/>
      </c>
      <c r="P880" s="8" t="inlineStr">
        <is>
          <t>TN</t>
        </is>
      </c>
      <c r="Q880" s="10">
        <f>IFERROR(IFERROR(VLOOKUP(A880,TRAOPE!$A:$U,21,0),VLOOKUP(B880,TRAOPE!$A:$U,21,0)),"")</f>
        <v/>
      </c>
      <c r="R880" s="8">
        <f>IFERROR(IFERROR(VLOOKUP(A880,TRAOPE!$A:$W,23,0),VLOOKUP(B880,TRAOPE!$A:$W,23,0)),"")</f>
        <v/>
      </c>
      <c r="S880" s="10">
        <f>IF(AND(P880="TN",R880="TN"),N880+N(O880),IF(G880&amp;""="1",N(K880)*N880,(N880+N(O880))*N(K880)))</f>
        <v/>
      </c>
      <c r="T880" s="10">
        <f>IF(Q880="","",Q880-S880)</f>
        <v/>
      </c>
    </row>
    <row r="881">
      <c r="A881" s="7">
        <f>CONCATENATE(C881,E881,F881,I881)</f>
        <v/>
      </c>
      <c r="B881" s="7">
        <f>CONCATENATE(C881,E881,I881)</f>
        <v/>
      </c>
      <c r="C881" s="8" t="n">
        <v>900003592</v>
      </c>
      <c r="D881" s="7">
        <f>IFERROR(VLOOKUP(C881,TRAOPE!$G:$H,2,0),"")</f>
        <v/>
      </c>
      <c r="E881" s="8" t="inlineStr">
        <is>
          <t>D836</t>
        </is>
      </c>
      <c r="F881" s="8" t="inlineStr">
        <is>
          <t>66518013</t>
        </is>
      </c>
      <c r="G881" s="8">
        <f>IFERROR(VLOOKUP(A881,Flete!$A:$E,5,0),"")</f>
        <v/>
      </c>
      <c r="H881" s="7">
        <f>IFERROR(VLOOKUP(F881,TRAOPE!$AA:$AB,2,0),"")</f>
        <v/>
      </c>
      <c r="I881" s="7" t="n">
        <v>10000722</v>
      </c>
      <c r="J881" s="7">
        <f>IFERROR(VLOOKUP(I881,Materiales!$A:$H,8,0),"")</f>
        <v/>
      </c>
      <c r="K881" s="9">
        <f>IFERROR(VLOOKUP(I881,Materiales!$A:$G,7,0),"")</f>
        <v/>
      </c>
      <c r="L881" s="8" t="inlineStr">
        <is>
          <t>20190426</t>
        </is>
      </c>
      <c r="M881" s="8" t="inlineStr">
        <is>
          <t>20250127</t>
        </is>
      </c>
      <c r="N881" s="10" t="n">
        <v>95</v>
      </c>
      <c r="O881" s="10">
        <f>IFERROR(VLOOKUP(A881,Flete!$A:$J,10,0),"")</f>
        <v/>
      </c>
      <c r="P881" s="8" t="inlineStr">
        <is>
          <t>TN</t>
        </is>
      </c>
      <c r="Q881" s="10">
        <f>IFERROR(IFERROR(VLOOKUP(A881,TRAOPE!$A:$U,21,0),VLOOKUP(B881,TRAOPE!$A:$U,21,0)),"")</f>
        <v/>
      </c>
      <c r="R881" s="8">
        <f>IFERROR(IFERROR(VLOOKUP(A881,TRAOPE!$A:$W,23,0),VLOOKUP(B881,TRAOPE!$A:$W,23,0)),"")</f>
        <v/>
      </c>
      <c r="S881" s="10">
        <f>IF(AND(P881="TN",R881="TN"),N881+N(O881),IF(G881&amp;""="1",N(K881)*N881,(N881+N(O881))*N(K881)))</f>
        <v/>
      </c>
      <c r="T881" s="10">
        <f>IF(Q881="","",Q881-S881)</f>
        <v/>
      </c>
    </row>
    <row r="882">
      <c r="A882" s="7">
        <f>CONCATENATE(C882,E882,F882,I882)</f>
        <v/>
      </c>
      <c r="B882" s="7">
        <f>CONCATENATE(C882,E882,I882)</f>
        <v/>
      </c>
      <c r="C882" s="8" t="n">
        <v>900003592</v>
      </c>
      <c r="D882" s="7">
        <f>IFERROR(VLOOKUP(C882,TRAOPE!$G:$H,2,0),"")</f>
        <v/>
      </c>
      <c r="E882" s="8" t="inlineStr">
        <is>
          <t>D836</t>
        </is>
      </c>
      <c r="F882" s="8" t="inlineStr">
        <is>
          <t>66520007</t>
        </is>
      </c>
      <c r="G882" s="8">
        <f>IFERROR(VLOOKUP(A882,Flete!$A:$E,5,0),"")</f>
        <v/>
      </c>
      <c r="H882" s="7">
        <f>IFERROR(VLOOKUP(F882,TRAOPE!$AA:$AB,2,0),"")</f>
        <v/>
      </c>
      <c r="I882" s="7" t="n">
        <v>10000624</v>
      </c>
      <c r="J882" s="7">
        <f>IFERROR(VLOOKUP(I882,Materiales!$A:$H,8,0),"")</f>
        <v/>
      </c>
      <c r="K882" s="9">
        <f>IFERROR(VLOOKUP(I882,Materiales!$A:$G,7,0),"")</f>
        <v/>
      </c>
      <c r="L882" s="8" t="inlineStr">
        <is>
          <t>20190426</t>
        </is>
      </c>
      <c r="M882" s="8" t="inlineStr">
        <is>
          <t>20250127</t>
        </is>
      </c>
      <c r="N882" s="10" t="n">
        <v>110</v>
      </c>
      <c r="O882" s="10">
        <f>IFERROR(VLOOKUP(A882,Flete!$A:$J,10,0),"")</f>
        <v/>
      </c>
      <c r="P882" s="8" t="inlineStr">
        <is>
          <t>TN</t>
        </is>
      </c>
      <c r="Q882" s="10">
        <f>IFERROR(IFERROR(VLOOKUP(A882,TRAOPE!$A:$U,21,0),VLOOKUP(B882,TRAOPE!$A:$U,21,0)),"")</f>
        <v/>
      </c>
      <c r="R882" s="8">
        <f>IFERROR(IFERROR(VLOOKUP(A882,TRAOPE!$A:$W,23,0),VLOOKUP(B882,TRAOPE!$A:$W,23,0)),"")</f>
        <v/>
      </c>
      <c r="S882" s="10">
        <f>IF(AND(P882="TN",R882="TN"),N882+N(O882),IF(G882&amp;""="1",N(K882)*N882,(N882+N(O882))*N(K882)))</f>
        <v/>
      </c>
      <c r="T882" s="10">
        <f>IF(Q882="","",Q882-S882)</f>
        <v/>
      </c>
    </row>
    <row r="883">
      <c r="A883" s="7">
        <f>CONCATENATE(C883,E883,F883,I883)</f>
        <v/>
      </c>
      <c r="B883" s="7">
        <f>CONCATENATE(C883,E883,I883)</f>
        <v/>
      </c>
      <c r="C883" s="8" t="n">
        <v>900003592</v>
      </c>
      <c r="D883" s="7">
        <f>IFERROR(VLOOKUP(C883,TRAOPE!$G:$H,2,0),"")</f>
        <v/>
      </c>
      <c r="E883" s="8" t="inlineStr">
        <is>
          <t>D836</t>
        </is>
      </c>
      <c r="F883" s="8" t="inlineStr">
        <is>
          <t>66520007</t>
        </is>
      </c>
      <c r="G883" s="8">
        <f>IFERROR(VLOOKUP(A883,Flete!$A:$E,5,0),"")</f>
        <v/>
      </c>
      <c r="H883" s="7">
        <f>IFERROR(VLOOKUP(F883,TRAOPE!$AA:$AB,2,0),"")</f>
        <v/>
      </c>
      <c r="I883" s="7" t="n">
        <v>10000722</v>
      </c>
      <c r="J883" s="7">
        <f>IFERROR(VLOOKUP(I883,Materiales!$A:$H,8,0),"")</f>
        <v/>
      </c>
      <c r="K883" s="9">
        <f>IFERROR(VLOOKUP(I883,Materiales!$A:$G,7,0),"")</f>
        <v/>
      </c>
      <c r="L883" s="8" t="inlineStr">
        <is>
          <t>20190426</t>
        </is>
      </c>
      <c r="M883" s="8" t="inlineStr">
        <is>
          <t>20250127</t>
        </is>
      </c>
      <c r="N883" s="10" t="n">
        <v>110</v>
      </c>
      <c r="O883" s="10">
        <f>IFERROR(VLOOKUP(A883,Flete!$A:$J,10,0),"")</f>
        <v/>
      </c>
      <c r="P883" s="8" t="inlineStr">
        <is>
          <t>TN</t>
        </is>
      </c>
      <c r="Q883" s="10">
        <f>IFERROR(IFERROR(VLOOKUP(A883,TRAOPE!$A:$U,21,0),VLOOKUP(B883,TRAOPE!$A:$U,21,0)),"")</f>
        <v/>
      </c>
      <c r="R883" s="8">
        <f>IFERROR(IFERROR(VLOOKUP(A883,TRAOPE!$A:$W,23,0),VLOOKUP(B883,TRAOPE!$A:$W,23,0)),"")</f>
        <v/>
      </c>
      <c r="S883" s="10">
        <f>IF(AND(P883="TN",R883="TN"),N883+N(O883),IF(G883&amp;""="1",N(K883)*N883,(N883+N(O883))*N(K883)))</f>
        <v/>
      </c>
      <c r="T883" s="10">
        <f>IF(Q883="","",Q883-S883)</f>
        <v/>
      </c>
    </row>
    <row r="884">
      <c r="A884" s="7">
        <f>CONCATENATE(C884,E884,F884,I884)</f>
        <v/>
      </c>
      <c r="B884" s="7">
        <f>CONCATENATE(C884,E884,I884)</f>
        <v/>
      </c>
      <c r="C884" s="8" t="n">
        <v>900003592</v>
      </c>
      <c r="D884" s="7">
        <f>IFERROR(VLOOKUP(C884,TRAOPE!$G:$H,2,0),"")</f>
        <v/>
      </c>
      <c r="E884" s="8" t="inlineStr">
        <is>
          <t>D836</t>
        </is>
      </c>
      <c r="F884" s="8" t="inlineStr">
        <is>
          <t>66624554</t>
        </is>
      </c>
      <c r="G884" s="8">
        <f>IFERROR(VLOOKUP(A884,Flete!$A:$E,5,0),"")</f>
        <v/>
      </c>
      <c r="H884" s="7">
        <f>IFERROR(VLOOKUP(F884,TRAOPE!$AA:$AB,2,0),"")</f>
        <v/>
      </c>
      <c r="I884" s="7" t="n">
        <v>10000624</v>
      </c>
      <c r="J884" s="7">
        <f>IFERROR(VLOOKUP(I884,Materiales!$A:$H,8,0),"")</f>
        <v/>
      </c>
      <c r="K884" s="9">
        <f>IFERROR(VLOOKUP(I884,Materiales!$A:$G,7,0),"")</f>
        <v/>
      </c>
      <c r="L884" s="8" t="inlineStr">
        <is>
          <t>20190426</t>
        </is>
      </c>
      <c r="M884" s="8" t="inlineStr">
        <is>
          <t>20250127</t>
        </is>
      </c>
      <c r="N884" s="10" t="n">
        <v>95</v>
      </c>
      <c r="O884" s="10">
        <f>IFERROR(VLOOKUP(A884,Flete!$A:$J,10,0),"")</f>
        <v/>
      </c>
      <c r="P884" s="8" t="inlineStr">
        <is>
          <t>TN</t>
        </is>
      </c>
      <c r="Q884" s="10">
        <f>IFERROR(IFERROR(VLOOKUP(A884,TRAOPE!$A:$U,21,0),VLOOKUP(B884,TRAOPE!$A:$U,21,0)),"")</f>
        <v/>
      </c>
      <c r="R884" s="8">
        <f>IFERROR(IFERROR(VLOOKUP(A884,TRAOPE!$A:$W,23,0),VLOOKUP(B884,TRAOPE!$A:$W,23,0)),"")</f>
        <v/>
      </c>
      <c r="S884" s="10">
        <f>IF(AND(P884="TN",R884="TN"),N884+N(O884),IF(G884&amp;""="1",N(K884)*N884,(N884+N(O884))*N(K884)))</f>
        <v/>
      </c>
      <c r="T884" s="10">
        <f>IF(Q884="","",Q884-S884)</f>
        <v/>
      </c>
    </row>
    <row r="885">
      <c r="A885" s="7">
        <f>CONCATENATE(C885,E885,F885,I885)</f>
        <v/>
      </c>
      <c r="B885" s="7">
        <f>CONCATENATE(C885,E885,I885)</f>
        <v/>
      </c>
      <c r="C885" s="8" t="n">
        <v>900003592</v>
      </c>
      <c r="D885" s="7">
        <f>IFERROR(VLOOKUP(C885,TRAOPE!$G:$H,2,0),"")</f>
        <v/>
      </c>
      <c r="E885" s="8" t="inlineStr">
        <is>
          <t>D836</t>
        </is>
      </c>
      <c r="F885" s="8" t="inlineStr">
        <is>
          <t>66624554</t>
        </is>
      </c>
      <c r="G885" s="8">
        <f>IFERROR(VLOOKUP(A885,Flete!$A:$E,5,0),"")</f>
        <v/>
      </c>
      <c r="H885" s="7">
        <f>IFERROR(VLOOKUP(F885,TRAOPE!$AA:$AB,2,0),"")</f>
        <v/>
      </c>
      <c r="I885" s="7" t="n">
        <v>10000722</v>
      </c>
      <c r="J885" s="7">
        <f>IFERROR(VLOOKUP(I885,Materiales!$A:$H,8,0),"")</f>
        <v/>
      </c>
      <c r="K885" s="9">
        <f>IFERROR(VLOOKUP(I885,Materiales!$A:$G,7,0),"")</f>
        <v/>
      </c>
      <c r="L885" s="8" t="inlineStr">
        <is>
          <t>20190426</t>
        </is>
      </c>
      <c r="M885" s="8" t="inlineStr">
        <is>
          <t>20250127</t>
        </is>
      </c>
      <c r="N885" s="10" t="n">
        <v>95</v>
      </c>
      <c r="O885" s="10">
        <f>IFERROR(VLOOKUP(A885,Flete!$A:$J,10,0),"")</f>
        <v/>
      </c>
      <c r="P885" s="8" t="inlineStr">
        <is>
          <t>TN</t>
        </is>
      </c>
      <c r="Q885" s="10">
        <f>IFERROR(IFERROR(VLOOKUP(A885,TRAOPE!$A:$U,21,0),VLOOKUP(B885,TRAOPE!$A:$U,21,0)),"")</f>
        <v/>
      </c>
      <c r="R885" s="8">
        <f>IFERROR(IFERROR(VLOOKUP(A885,TRAOPE!$A:$W,23,0),VLOOKUP(B885,TRAOPE!$A:$W,23,0)),"")</f>
        <v/>
      </c>
      <c r="S885" s="10">
        <f>IF(AND(P885="TN",R885="TN"),N885+N(O885),IF(G885&amp;""="1",N(K885)*N885,(N885+N(O885))*N(K885)))</f>
        <v/>
      </c>
      <c r="T885" s="10">
        <f>IF(Q885="","",Q885-S885)</f>
        <v/>
      </c>
    </row>
    <row r="886">
      <c r="A886" s="7">
        <f>CONCATENATE(C886,E886,F886,I886)</f>
        <v/>
      </c>
      <c r="B886" s="7">
        <f>CONCATENATE(C886,E886,I886)</f>
        <v/>
      </c>
      <c r="C886" s="8" t="n">
        <v>900003592</v>
      </c>
      <c r="D886" s="7">
        <f>IFERROR(VLOOKUP(C886,TRAOPE!$G:$H,2,0),"")</f>
        <v/>
      </c>
      <c r="E886" s="8" t="inlineStr">
        <is>
          <t>D836</t>
        </is>
      </c>
      <c r="F886" s="8" t="inlineStr">
        <is>
          <t>67036341</t>
        </is>
      </c>
      <c r="G886" s="8">
        <f>IFERROR(VLOOKUP(A886,Flete!$A:$E,5,0),"")</f>
        <v/>
      </c>
      <c r="H886" s="7">
        <f>IFERROR(VLOOKUP(F886,TRAOPE!$AA:$AB,2,0),"")</f>
        <v/>
      </c>
      <c r="I886" s="7" t="n">
        <v>10000133</v>
      </c>
      <c r="J886" s="7">
        <f>IFERROR(VLOOKUP(I886,Materiales!$A:$H,8,0),"")</f>
        <v/>
      </c>
      <c r="K886" s="9">
        <f>IFERROR(VLOOKUP(I886,Materiales!$A:$G,7,0),"")</f>
        <v/>
      </c>
      <c r="L886" s="8" t="inlineStr">
        <is>
          <t>20190426</t>
        </is>
      </c>
      <c r="M886" s="8" t="inlineStr">
        <is>
          <t>20250127</t>
        </is>
      </c>
      <c r="N886" s="10" t="n">
        <v>79</v>
      </c>
      <c r="O886" s="10">
        <f>IFERROR(VLOOKUP(A886,Flete!$A:$J,10,0),"")</f>
        <v/>
      </c>
      <c r="P886" s="8" t="inlineStr">
        <is>
          <t>TN</t>
        </is>
      </c>
      <c r="Q886" s="10">
        <f>IFERROR(IFERROR(VLOOKUP(A886,TRAOPE!$A:$U,21,0),VLOOKUP(B886,TRAOPE!$A:$U,21,0)),"")</f>
        <v/>
      </c>
      <c r="R886" s="8">
        <f>IFERROR(IFERROR(VLOOKUP(A886,TRAOPE!$A:$W,23,0),VLOOKUP(B886,TRAOPE!$A:$W,23,0)),"")</f>
        <v/>
      </c>
      <c r="S886" s="10">
        <f>IF(AND(P886="TN",R886="TN"),N886+N(O886),IF(G886&amp;""="1",N(K886)*N886,(N886+N(O886))*N(K886)))</f>
        <v/>
      </c>
      <c r="T886" s="10">
        <f>IF(Q886="","",Q886-S886)</f>
        <v/>
      </c>
    </row>
    <row r="887">
      <c r="A887" s="7">
        <f>CONCATENATE(C887,E887,F887,I887)</f>
        <v/>
      </c>
      <c r="B887" s="7">
        <f>CONCATENATE(C887,E887,I887)</f>
        <v/>
      </c>
      <c r="C887" s="8" t="n">
        <v>900003592</v>
      </c>
      <c r="D887" s="7">
        <f>IFERROR(VLOOKUP(C887,TRAOPE!$G:$H,2,0),"")</f>
        <v/>
      </c>
      <c r="E887" s="8" t="inlineStr">
        <is>
          <t>D836</t>
        </is>
      </c>
      <c r="F887" s="8" t="inlineStr">
        <is>
          <t>67036341</t>
        </is>
      </c>
      <c r="G887" s="8">
        <f>IFERROR(VLOOKUP(A887,Flete!$A:$E,5,0),"")</f>
        <v/>
      </c>
      <c r="H887" s="7">
        <f>IFERROR(VLOOKUP(F887,TRAOPE!$AA:$AB,2,0),"")</f>
        <v/>
      </c>
      <c r="I887" s="7" t="n">
        <v>10184010</v>
      </c>
      <c r="J887" s="7">
        <f>IFERROR(VLOOKUP(I887,Materiales!$A:$H,8,0),"")</f>
        <v/>
      </c>
      <c r="K887" s="9">
        <f>IFERROR(VLOOKUP(I887,Materiales!$A:$G,7,0),"")</f>
        <v/>
      </c>
      <c r="L887" s="8" t="inlineStr">
        <is>
          <t>20190426</t>
        </is>
      </c>
      <c r="M887" s="8" t="inlineStr">
        <is>
          <t>20250127</t>
        </is>
      </c>
      <c r="N887" s="10" t="n">
        <v>81</v>
      </c>
      <c r="O887" s="10">
        <f>IFERROR(VLOOKUP(A887,Flete!$A:$J,10,0),"")</f>
        <v/>
      </c>
      <c r="P887" s="8" t="inlineStr">
        <is>
          <t>TN</t>
        </is>
      </c>
      <c r="Q887" s="10">
        <f>IFERROR(IFERROR(VLOOKUP(A887,TRAOPE!$A:$U,21,0),VLOOKUP(B887,TRAOPE!$A:$U,21,0)),"")</f>
        <v/>
      </c>
      <c r="R887" s="8">
        <f>IFERROR(IFERROR(VLOOKUP(A887,TRAOPE!$A:$W,23,0),VLOOKUP(B887,TRAOPE!$A:$W,23,0)),"")</f>
        <v/>
      </c>
      <c r="S887" s="10">
        <f>IF(AND(P887="TN",R887="TN"),N887+N(O887),IF(G887&amp;""="1",N(K887)*N887,(N887+N(O887))*N(K887)))</f>
        <v/>
      </c>
      <c r="T887" s="10">
        <f>IF(Q887="","",Q887-S887)</f>
        <v/>
      </c>
    </row>
    <row r="888">
      <c r="A888" s="7">
        <f>CONCATENATE(C888,E888,F888,I888)</f>
        <v/>
      </c>
      <c r="B888" s="7">
        <f>CONCATENATE(C888,E888,I888)</f>
        <v/>
      </c>
      <c r="C888" s="8" t="n">
        <v>900003592</v>
      </c>
      <c r="D888" s="7">
        <f>IFERROR(VLOOKUP(C888,TRAOPE!$G:$H,2,0),"")</f>
        <v/>
      </c>
      <c r="E888" s="8" t="inlineStr">
        <is>
          <t>D836</t>
        </is>
      </c>
      <c r="F888" s="8" t="inlineStr">
        <is>
          <t>67089577</t>
        </is>
      </c>
      <c r="G888" s="8">
        <f>IFERROR(VLOOKUP(A888,Flete!$A:$E,5,0),"")</f>
        <v/>
      </c>
      <c r="H888" s="7">
        <f>IFERROR(VLOOKUP(F888,TRAOPE!$AA:$AB,2,0),"")</f>
        <v/>
      </c>
      <c r="I888" s="7" t="n">
        <v>10000133</v>
      </c>
      <c r="J888" s="7">
        <f>IFERROR(VLOOKUP(I888,Materiales!$A:$H,8,0),"")</f>
        <v/>
      </c>
      <c r="K888" s="9">
        <f>IFERROR(VLOOKUP(I888,Materiales!$A:$G,7,0),"")</f>
        <v/>
      </c>
      <c r="L888" s="8" t="inlineStr">
        <is>
          <t>20190426</t>
        </is>
      </c>
      <c r="M888" s="8" t="inlineStr">
        <is>
          <t>20250127</t>
        </is>
      </c>
      <c r="N888" s="10" t="n">
        <v>73.5</v>
      </c>
      <c r="O888" s="10">
        <f>IFERROR(VLOOKUP(A888,Flete!$A:$J,10,0),"")</f>
        <v/>
      </c>
      <c r="P888" s="8" t="inlineStr">
        <is>
          <t>TN</t>
        </is>
      </c>
      <c r="Q888" s="10">
        <f>IFERROR(IFERROR(VLOOKUP(A888,TRAOPE!$A:$U,21,0),VLOOKUP(B888,TRAOPE!$A:$U,21,0)),"")</f>
        <v/>
      </c>
      <c r="R888" s="8">
        <f>IFERROR(IFERROR(VLOOKUP(A888,TRAOPE!$A:$W,23,0),VLOOKUP(B888,TRAOPE!$A:$W,23,0)),"")</f>
        <v/>
      </c>
      <c r="S888" s="10">
        <f>IF(AND(P888="TN",R888="TN"),N888+N(O888),IF(G888&amp;""="1",N(K888)*N888,(N888+N(O888))*N(K888)))</f>
        <v/>
      </c>
      <c r="T888" s="10">
        <f>IF(Q888="","",Q888-S888)</f>
        <v/>
      </c>
    </row>
    <row r="889">
      <c r="A889" s="7">
        <f>CONCATENATE(C889,E889,F889,I889)</f>
        <v/>
      </c>
      <c r="B889" s="7">
        <f>CONCATENATE(C889,E889,I889)</f>
        <v/>
      </c>
      <c r="C889" s="8" t="n">
        <v>900003592</v>
      </c>
      <c r="D889" s="7">
        <f>IFERROR(VLOOKUP(C889,TRAOPE!$G:$H,2,0),"")</f>
        <v/>
      </c>
      <c r="E889" s="8" t="inlineStr">
        <is>
          <t>D836</t>
        </is>
      </c>
      <c r="F889" s="8" t="inlineStr">
        <is>
          <t>67090525</t>
        </is>
      </c>
      <c r="G889" s="8">
        <f>IFERROR(VLOOKUP(A889,Flete!$A:$E,5,0),"")</f>
        <v/>
      </c>
      <c r="H889" s="7">
        <f>IFERROR(VLOOKUP(F889,TRAOPE!$AA:$AB,2,0),"")</f>
        <v/>
      </c>
      <c r="I889" s="7" t="n">
        <v>10000133</v>
      </c>
      <c r="J889" s="7">
        <f>IFERROR(VLOOKUP(I889,Materiales!$A:$H,8,0),"")</f>
        <v/>
      </c>
      <c r="K889" s="9">
        <f>IFERROR(VLOOKUP(I889,Materiales!$A:$G,7,0),"")</f>
        <v/>
      </c>
      <c r="L889" s="8" t="inlineStr">
        <is>
          <t>20190426</t>
        </is>
      </c>
      <c r="M889" s="8" t="inlineStr">
        <is>
          <t>20250127</t>
        </is>
      </c>
      <c r="N889" s="10" t="n">
        <v>77</v>
      </c>
      <c r="O889" s="10">
        <f>IFERROR(VLOOKUP(A889,Flete!$A:$J,10,0),"")</f>
        <v/>
      </c>
      <c r="P889" s="8" t="inlineStr">
        <is>
          <t>TN</t>
        </is>
      </c>
      <c r="Q889" s="10">
        <f>IFERROR(IFERROR(VLOOKUP(A889,TRAOPE!$A:$U,21,0),VLOOKUP(B889,TRAOPE!$A:$U,21,0)),"")</f>
        <v/>
      </c>
      <c r="R889" s="8">
        <f>IFERROR(IFERROR(VLOOKUP(A889,TRAOPE!$A:$W,23,0),VLOOKUP(B889,TRAOPE!$A:$W,23,0)),"")</f>
        <v/>
      </c>
      <c r="S889" s="10">
        <f>IF(AND(P889="TN",R889="TN"),N889+N(O889),IF(G889&amp;""="1",N(K889)*N889,(N889+N(O889))*N(K889)))</f>
        <v/>
      </c>
      <c r="T889" s="10">
        <f>IF(Q889="","",Q889-S889)</f>
        <v/>
      </c>
    </row>
    <row r="890">
      <c r="A890" s="7">
        <f>CONCATENATE(C890,E890,F890,I890)</f>
        <v/>
      </c>
      <c r="B890" s="7">
        <f>CONCATENATE(C890,E890,I890)</f>
        <v/>
      </c>
      <c r="C890" s="8" t="n">
        <v>900003593</v>
      </c>
      <c r="D890" s="7">
        <f>IFERROR(VLOOKUP(C890,TRAOPE!$G:$H,2,0),"")</f>
        <v/>
      </c>
      <c r="E890" s="8" t="inlineStr">
        <is>
          <t>D836</t>
        </is>
      </c>
      <c r="F890" s="8" t="inlineStr">
        <is>
          <t>65006122</t>
        </is>
      </c>
      <c r="G890" s="8">
        <f>IFERROR(VLOOKUP(A890,Flete!$A:$E,5,0),"")</f>
        <v/>
      </c>
      <c r="H890" s="7">
        <f>IFERROR(VLOOKUP(F890,TRAOPE!$AA:$AB,2,0),"")</f>
        <v/>
      </c>
      <c r="I890" s="7" t="n">
        <v>10000160</v>
      </c>
      <c r="J890" s="7">
        <f>IFERROR(VLOOKUP(I890,Materiales!$A:$H,8,0),"")</f>
        <v/>
      </c>
      <c r="K890" s="9">
        <f>IFERROR(VLOOKUP(I890,Materiales!$A:$G,7,0),"")</f>
        <v/>
      </c>
      <c r="L890" s="8" t="inlineStr">
        <is>
          <t>20190426</t>
        </is>
      </c>
      <c r="M890" s="8" t="inlineStr">
        <is>
          <t>20250127</t>
        </is>
      </c>
      <c r="N890" s="10" t="n">
        <v>82.89</v>
      </c>
      <c r="O890" s="10">
        <f>IFERROR(VLOOKUP(A890,Flete!$A:$J,10,0),"")</f>
        <v/>
      </c>
      <c r="P890" s="8" t="inlineStr">
        <is>
          <t>M3</t>
        </is>
      </c>
      <c r="Q890" s="10">
        <f>IFERROR(IFERROR(VLOOKUP(A890,TRAOPE!$A:$U,21,0),VLOOKUP(B890,TRAOPE!$A:$U,21,0)),"")</f>
        <v/>
      </c>
      <c r="R890" s="8">
        <f>IFERROR(IFERROR(VLOOKUP(A890,TRAOPE!$A:$W,23,0),VLOOKUP(B890,TRAOPE!$A:$W,23,0)),"")</f>
        <v/>
      </c>
      <c r="S890" s="10">
        <f>IF(AND(P890="TN",R890="TN"),N890+N(O890),IF(G890&amp;""="1",N(K890)*N890,(N890+N(O890))*N(K890)))</f>
        <v/>
      </c>
      <c r="T890" s="10">
        <f>IF(Q890="","",Q890-S890)</f>
        <v/>
      </c>
    </row>
    <row r="891">
      <c r="A891" s="7">
        <f>CONCATENATE(C891,E891,F891,I891)</f>
        <v/>
      </c>
      <c r="B891" s="7">
        <f>CONCATENATE(C891,E891,I891)</f>
        <v/>
      </c>
      <c r="C891" s="8" t="n">
        <v>900003593</v>
      </c>
      <c r="D891" s="7">
        <f>IFERROR(VLOOKUP(C891,TRAOPE!$G:$H,2,0),"")</f>
        <v/>
      </c>
      <c r="E891" s="8" t="inlineStr">
        <is>
          <t>D836</t>
        </is>
      </c>
      <c r="F891" s="8" t="inlineStr">
        <is>
          <t>65006122</t>
        </is>
      </c>
      <c r="G891" s="8">
        <f>IFERROR(VLOOKUP(A891,Flete!$A:$E,5,0),"")</f>
        <v/>
      </c>
      <c r="H891" s="7">
        <f>IFERROR(VLOOKUP(F891,TRAOPE!$AA:$AB,2,0),"")</f>
        <v/>
      </c>
      <c r="I891" s="7" t="n">
        <v>10000252</v>
      </c>
      <c r="J891" s="7">
        <f>IFERROR(VLOOKUP(I891,Materiales!$A:$H,8,0),"")</f>
        <v/>
      </c>
      <c r="K891" s="9">
        <f>IFERROR(VLOOKUP(I891,Materiales!$A:$G,7,0),"")</f>
        <v/>
      </c>
      <c r="L891" s="8" t="inlineStr">
        <is>
          <t>20190426</t>
        </is>
      </c>
      <c r="M891" s="8" t="inlineStr">
        <is>
          <t>20250127</t>
        </is>
      </c>
      <c r="N891" s="10" t="n">
        <v>83.67</v>
      </c>
      <c r="O891" s="10">
        <f>IFERROR(VLOOKUP(A891,Flete!$A:$J,10,0),"")</f>
        <v/>
      </c>
      <c r="P891" s="8" t="inlineStr">
        <is>
          <t>M3</t>
        </is>
      </c>
      <c r="Q891" s="10">
        <f>IFERROR(IFERROR(VLOOKUP(A891,TRAOPE!$A:$U,21,0),VLOOKUP(B891,TRAOPE!$A:$U,21,0)),"")</f>
        <v/>
      </c>
      <c r="R891" s="8">
        <f>IFERROR(IFERROR(VLOOKUP(A891,TRAOPE!$A:$W,23,0),VLOOKUP(B891,TRAOPE!$A:$W,23,0)),"")</f>
        <v/>
      </c>
      <c r="S891" s="10">
        <f>IF(AND(P891="TN",R891="TN"),N891+N(O891),IF(G891&amp;""="1",N(K891)*N891,(N891+N(O891))*N(K891)))</f>
        <v/>
      </c>
      <c r="T891" s="10">
        <f>IF(Q891="","",Q891-S891)</f>
        <v/>
      </c>
    </row>
    <row r="892">
      <c r="A892" s="7">
        <f>CONCATENATE(C892,E892,F892,I892)</f>
        <v/>
      </c>
      <c r="B892" s="7">
        <f>CONCATENATE(C892,E892,I892)</f>
        <v/>
      </c>
      <c r="C892" s="8" t="n">
        <v>900003593</v>
      </c>
      <c r="D892" s="7">
        <f>IFERROR(VLOOKUP(C892,TRAOPE!$G:$H,2,0),"")</f>
        <v/>
      </c>
      <c r="E892" s="8" t="inlineStr">
        <is>
          <t>D836</t>
        </is>
      </c>
      <c r="F892" s="8" t="inlineStr">
        <is>
          <t>65006122</t>
        </is>
      </c>
      <c r="G892" s="8">
        <f>IFERROR(VLOOKUP(A892,Flete!$A:$E,5,0),"")</f>
        <v/>
      </c>
      <c r="H892" s="7">
        <f>IFERROR(VLOOKUP(F892,TRAOPE!$AA:$AB,2,0),"")</f>
        <v/>
      </c>
      <c r="I892" s="7" t="n">
        <v>10000322</v>
      </c>
      <c r="J892" s="7">
        <f>IFERROR(VLOOKUP(I892,Materiales!$A:$H,8,0),"")</f>
        <v/>
      </c>
      <c r="K892" s="9">
        <f>IFERROR(VLOOKUP(I892,Materiales!$A:$G,7,0),"")</f>
        <v/>
      </c>
      <c r="L892" s="8" t="inlineStr">
        <is>
          <t>20190426</t>
        </is>
      </c>
      <c r="M892" s="8" t="inlineStr">
        <is>
          <t>20250127</t>
        </is>
      </c>
      <c r="N892" s="10" t="n">
        <v>20.83</v>
      </c>
      <c r="O892" s="10">
        <f>IFERROR(VLOOKUP(A892,Flete!$A:$J,10,0),"")</f>
        <v/>
      </c>
      <c r="P892" s="8" t="inlineStr">
        <is>
          <t>M3</t>
        </is>
      </c>
      <c r="Q892" s="10">
        <f>IFERROR(IFERROR(VLOOKUP(A892,TRAOPE!$A:$U,21,0),VLOOKUP(B892,TRAOPE!$A:$U,21,0)),"")</f>
        <v/>
      </c>
      <c r="R892" s="8">
        <f>IFERROR(IFERROR(VLOOKUP(A892,TRAOPE!$A:$W,23,0),VLOOKUP(B892,TRAOPE!$A:$W,23,0)),"")</f>
        <v/>
      </c>
      <c r="S892" s="10">
        <f>IF(AND(P892="TN",R892="TN"),N892+N(O892),IF(G892&amp;""="1",N(K892)*N892,(N892+N(O892))*N(K892)))</f>
        <v/>
      </c>
      <c r="T892" s="10">
        <f>IF(Q892="","",Q892-S892)</f>
        <v/>
      </c>
    </row>
    <row r="893">
      <c r="A893" s="7">
        <f>CONCATENATE(C893,E893,F893,I893)</f>
        <v/>
      </c>
      <c r="B893" s="7">
        <f>CONCATENATE(C893,E893,I893)</f>
        <v/>
      </c>
      <c r="C893" s="8" t="n">
        <v>900003593</v>
      </c>
      <c r="D893" s="7">
        <f>IFERROR(VLOOKUP(C893,TRAOPE!$G:$H,2,0),"")</f>
        <v/>
      </c>
      <c r="E893" s="8" t="inlineStr">
        <is>
          <t>D836</t>
        </is>
      </c>
      <c r="F893" s="8" t="inlineStr">
        <is>
          <t>65006122</t>
        </is>
      </c>
      <c r="G893" s="8">
        <f>IFERROR(VLOOKUP(A893,Flete!$A:$E,5,0),"")</f>
        <v/>
      </c>
      <c r="H893" s="7">
        <f>IFERROR(VLOOKUP(F893,TRAOPE!$AA:$AB,2,0),"")</f>
        <v/>
      </c>
      <c r="I893" s="7" t="n">
        <v>10000357</v>
      </c>
      <c r="J893" s="7">
        <f>IFERROR(VLOOKUP(I893,Materiales!$A:$H,8,0),"")</f>
        <v/>
      </c>
      <c r="K893" s="9">
        <f>IFERROR(VLOOKUP(I893,Materiales!$A:$G,7,0),"")</f>
        <v/>
      </c>
      <c r="L893" s="8" t="inlineStr">
        <is>
          <t>20190426</t>
        </is>
      </c>
      <c r="M893" s="8" t="inlineStr">
        <is>
          <t>20250127</t>
        </is>
      </c>
      <c r="N893" s="10" t="n">
        <v>87.31</v>
      </c>
      <c r="O893" s="10">
        <f>IFERROR(VLOOKUP(A893,Flete!$A:$J,10,0),"")</f>
        <v/>
      </c>
      <c r="P893" s="8" t="inlineStr">
        <is>
          <t>M3</t>
        </is>
      </c>
      <c r="Q893" s="10">
        <f>IFERROR(IFERROR(VLOOKUP(A893,TRAOPE!$A:$U,21,0),VLOOKUP(B893,TRAOPE!$A:$U,21,0)),"")</f>
        <v/>
      </c>
      <c r="R893" s="8">
        <f>IFERROR(IFERROR(VLOOKUP(A893,TRAOPE!$A:$W,23,0),VLOOKUP(B893,TRAOPE!$A:$W,23,0)),"")</f>
        <v/>
      </c>
      <c r="S893" s="10">
        <f>IF(AND(P893="TN",R893="TN"),N893+N(O893),IF(G893&amp;""="1",N(K893)*N893,(N893+N(O893))*N(K893)))</f>
        <v/>
      </c>
      <c r="T893" s="10">
        <f>IF(Q893="","",Q893-S893)</f>
        <v/>
      </c>
    </row>
    <row r="894">
      <c r="A894" s="7">
        <f>CONCATENATE(C894,E894,F894,I894)</f>
        <v/>
      </c>
      <c r="B894" s="7">
        <f>CONCATENATE(C894,E894,I894)</f>
        <v/>
      </c>
      <c r="C894" s="8" t="n">
        <v>900003593</v>
      </c>
      <c r="D894" s="7">
        <f>IFERROR(VLOOKUP(C894,TRAOPE!$G:$H,2,0),"")</f>
        <v/>
      </c>
      <c r="E894" s="8" t="inlineStr">
        <is>
          <t>D836</t>
        </is>
      </c>
      <c r="F894" s="8" t="inlineStr">
        <is>
          <t>65006122</t>
        </is>
      </c>
      <c r="G894" s="8">
        <f>IFERROR(VLOOKUP(A894,Flete!$A:$E,5,0),"")</f>
        <v/>
      </c>
      <c r="H894" s="7">
        <f>IFERROR(VLOOKUP(F894,TRAOPE!$AA:$AB,2,0),"")</f>
        <v/>
      </c>
      <c r="I894" s="7" t="n">
        <v>10000651</v>
      </c>
      <c r="J894" s="7">
        <f>IFERROR(VLOOKUP(I894,Materiales!$A:$H,8,0),"")</f>
        <v/>
      </c>
      <c r="K894" s="9">
        <f>IFERROR(VLOOKUP(I894,Materiales!$A:$G,7,0),"")</f>
        <v/>
      </c>
      <c r="L894" s="8" t="inlineStr">
        <is>
          <t>20190426</t>
        </is>
      </c>
      <c r="M894" s="8" t="inlineStr">
        <is>
          <t>20250127</t>
        </is>
      </c>
      <c r="N894" s="10" t="n">
        <v>86.25</v>
      </c>
      <c r="O894" s="10">
        <f>IFERROR(VLOOKUP(A894,Flete!$A:$J,10,0),"")</f>
        <v/>
      </c>
      <c r="P894" s="8" t="inlineStr">
        <is>
          <t>M3</t>
        </is>
      </c>
      <c r="Q894" s="10">
        <f>IFERROR(IFERROR(VLOOKUP(A894,TRAOPE!$A:$U,21,0),VLOOKUP(B894,TRAOPE!$A:$U,21,0)),"")</f>
        <v/>
      </c>
      <c r="R894" s="8">
        <f>IFERROR(IFERROR(VLOOKUP(A894,TRAOPE!$A:$W,23,0),VLOOKUP(B894,TRAOPE!$A:$W,23,0)),"")</f>
        <v/>
      </c>
      <c r="S894" s="10">
        <f>IF(AND(P894="TN",R894="TN"),N894+N(O894),IF(G894&amp;""="1",N(K894)*N894,(N894+N(O894))*N(K894)))</f>
        <v/>
      </c>
      <c r="T894" s="10">
        <f>IF(Q894="","",Q894-S894)</f>
        <v/>
      </c>
    </row>
    <row r="895">
      <c r="A895" s="7">
        <f>CONCATENATE(C895,E895,F895,I895)</f>
        <v/>
      </c>
      <c r="B895" s="7">
        <f>CONCATENATE(C895,E895,I895)</f>
        <v/>
      </c>
      <c r="C895" s="8" t="n">
        <v>900003593</v>
      </c>
      <c r="D895" s="7">
        <f>IFERROR(VLOOKUP(C895,TRAOPE!$G:$H,2,0),"")</f>
        <v/>
      </c>
      <c r="E895" s="8" t="inlineStr">
        <is>
          <t>D836</t>
        </is>
      </c>
      <c r="F895" s="8" t="inlineStr">
        <is>
          <t>65006122</t>
        </is>
      </c>
      <c r="G895" s="8">
        <f>IFERROR(VLOOKUP(A895,Flete!$A:$E,5,0),"")</f>
        <v/>
      </c>
      <c r="H895" s="7">
        <f>IFERROR(VLOOKUP(F895,TRAOPE!$AA:$AB,2,0),"")</f>
        <v/>
      </c>
      <c r="I895" s="7" t="n">
        <v>10003132</v>
      </c>
      <c r="J895" s="7">
        <f>IFERROR(VLOOKUP(I895,Materiales!$A:$H,8,0),"")</f>
        <v/>
      </c>
      <c r="K895" s="9">
        <f>IFERROR(VLOOKUP(I895,Materiales!$A:$G,7,0),"")</f>
        <v/>
      </c>
      <c r="L895" s="8" t="inlineStr">
        <is>
          <t>20190426</t>
        </is>
      </c>
      <c r="M895" s="8" t="inlineStr">
        <is>
          <t>20250127</t>
        </is>
      </c>
      <c r="N895" s="10" t="n">
        <v>79.34999999999999</v>
      </c>
      <c r="O895" s="10">
        <f>IFERROR(VLOOKUP(A895,Flete!$A:$J,10,0),"")</f>
        <v/>
      </c>
      <c r="P895" s="8" t="inlineStr">
        <is>
          <t>M3</t>
        </is>
      </c>
      <c r="Q895" s="10">
        <f>IFERROR(IFERROR(VLOOKUP(A895,TRAOPE!$A:$U,21,0),VLOOKUP(B895,TRAOPE!$A:$U,21,0)),"")</f>
        <v/>
      </c>
      <c r="R895" s="8">
        <f>IFERROR(IFERROR(VLOOKUP(A895,TRAOPE!$A:$W,23,0),VLOOKUP(B895,TRAOPE!$A:$W,23,0)),"")</f>
        <v/>
      </c>
      <c r="S895" s="10">
        <f>IF(AND(P895="TN",R895="TN"),N895+N(O895),IF(G895&amp;""="1",N(K895)*N895,(N895+N(O895))*N(K895)))</f>
        <v/>
      </c>
      <c r="T895" s="10">
        <f>IF(Q895="","",Q895-S895)</f>
        <v/>
      </c>
    </row>
    <row r="896">
      <c r="A896" s="7">
        <f>CONCATENATE(C896,E896,F896,I896)</f>
        <v/>
      </c>
      <c r="B896" s="7">
        <f>CONCATENATE(C896,E896,I896)</f>
        <v/>
      </c>
      <c r="C896" s="8" t="n">
        <v>900003593</v>
      </c>
      <c r="D896" s="7">
        <f>IFERROR(VLOOKUP(C896,TRAOPE!$G:$H,2,0),"")</f>
        <v/>
      </c>
      <c r="E896" s="8" t="inlineStr">
        <is>
          <t>D836</t>
        </is>
      </c>
      <c r="F896" s="8" t="inlineStr">
        <is>
          <t>65011573</t>
        </is>
      </c>
      <c r="G896" s="8">
        <f>IFERROR(VLOOKUP(A896,Flete!$A:$E,5,0),"")</f>
        <v/>
      </c>
      <c r="H896" s="7">
        <f>IFERROR(VLOOKUP(F896,TRAOPE!$AA:$AB,2,0),"")</f>
        <v/>
      </c>
      <c r="I896" s="7" t="n">
        <v>10000252</v>
      </c>
      <c r="J896" s="7">
        <f>IFERROR(VLOOKUP(I896,Materiales!$A:$H,8,0),"")</f>
        <v/>
      </c>
      <c r="K896" s="9">
        <f>IFERROR(VLOOKUP(I896,Materiales!$A:$G,7,0),"")</f>
        <v/>
      </c>
      <c r="L896" s="8" t="inlineStr">
        <is>
          <t>20190426</t>
        </is>
      </c>
      <c r="M896" s="8" t="inlineStr">
        <is>
          <t>20250127</t>
        </is>
      </c>
      <c r="N896" s="10" t="n">
        <v>71.37</v>
      </c>
      <c r="O896" s="10">
        <f>IFERROR(VLOOKUP(A896,Flete!$A:$J,10,0),"")</f>
        <v/>
      </c>
      <c r="P896" s="8" t="inlineStr">
        <is>
          <t>TN</t>
        </is>
      </c>
      <c r="Q896" s="10">
        <f>IFERROR(IFERROR(VLOOKUP(A896,TRAOPE!$A:$U,21,0),VLOOKUP(B896,TRAOPE!$A:$U,21,0)),"")</f>
        <v/>
      </c>
      <c r="R896" s="8">
        <f>IFERROR(IFERROR(VLOOKUP(A896,TRAOPE!$A:$W,23,0),VLOOKUP(B896,TRAOPE!$A:$W,23,0)),"")</f>
        <v/>
      </c>
      <c r="S896" s="10">
        <f>IF(AND(P896="TN",R896="TN"),N896+N(O896),IF(G896&amp;""="1",N(K896)*N896,(N896+N(O896))*N(K896)))</f>
        <v/>
      </c>
      <c r="T896" s="10">
        <f>IF(Q896="","",Q896-S896)</f>
        <v/>
      </c>
    </row>
    <row r="897">
      <c r="A897" s="7">
        <f>CONCATENATE(C897,E897,F897,I897)</f>
        <v/>
      </c>
      <c r="B897" s="7">
        <f>CONCATENATE(C897,E897,I897)</f>
        <v/>
      </c>
      <c r="C897" s="8" t="n">
        <v>900003593</v>
      </c>
      <c r="D897" s="7">
        <f>IFERROR(VLOOKUP(C897,TRAOPE!$G:$H,2,0),"")</f>
        <v/>
      </c>
      <c r="E897" s="8" t="inlineStr">
        <is>
          <t>D836</t>
        </is>
      </c>
      <c r="F897" s="8" t="inlineStr">
        <is>
          <t>65061685</t>
        </is>
      </c>
      <c r="G897" s="8">
        <f>IFERROR(VLOOKUP(A897,Flete!$A:$E,5,0),"")</f>
        <v/>
      </c>
      <c r="H897" s="7">
        <f>IFERROR(VLOOKUP(F897,TRAOPE!$AA:$AB,2,0),"")</f>
        <v/>
      </c>
      <c r="I897" s="7" t="n">
        <v>10000160</v>
      </c>
      <c r="J897" s="7">
        <f>IFERROR(VLOOKUP(I897,Materiales!$A:$H,8,0),"")</f>
        <v/>
      </c>
      <c r="K897" s="9">
        <f>IFERROR(VLOOKUP(I897,Materiales!$A:$G,7,0),"")</f>
        <v/>
      </c>
      <c r="L897" s="8" t="inlineStr">
        <is>
          <t>20190426</t>
        </is>
      </c>
      <c r="M897" s="8" t="inlineStr">
        <is>
          <t>20250127</t>
        </is>
      </c>
      <c r="N897" s="10" t="n">
        <v>79.23999999999999</v>
      </c>
      <c r="O897" s="10">
        <f>IFERROR(VLOOKUP(A897,Flete!$A:$J,10,0),"")</f>
        <v/>
      </c>
      <c r="P897" s="8" t="inlineStr">
        <is>
          <t>M3</t>
        </is>
      </c>
      <c r="Q897" s="10">
        <f>IFERROR(IFERROR(VLOOKUP(A897,TRAOPE!$A:$U,21,0),VLOOKUP(B897,TRAOPE!$A:$U,21,0)),"")</f>
        <v/>
      </c>
      <c r="R897" s="8">
        <f>IFERROR(IFERROR(VLOOKUP(A897,TRAOPE!$A:$W,23,0),VLOOKUP(B897,TRAOPE!$A:$W,23,0)),"")</f>
        <v/>
      </c>
      <c r="S897" s="10">
        <f>IF(AND(P897="TN",R897="TN"),N897+N(O897),IF(G897&amp;""="1",N(K897)*N897,(N897+N(O897))*N(K897)))</f>
        <v/>
      </c>
      <c r="T897" s="10">
        <f>IF(Q897="","",Q897-S897)</f>
        <v/>
      </c>
    </row>
    <row r="898">
      <c r="A898" s="7">
        <f>CONCATENATE(C898,E898,F898,I898)</f>
        <v/>
      </c>
      <c r="B898" s="7">
        <f>CONCATENATE(C898,E898,I898)</f>
        <v/>
      </c>
      <c r="C898" s="8" t="n">
        <v>900003593</v>
      </c>
      <c r="D898" s="7">
        <f>IFERROR(VLOOKUP(C898,TRAOPE!$G:$H,2,0),"")</f>
        <v/>
      </c>
      <c r="E898" s="8" t="inlineStr">
        <is>
          <t>D836</t>
        </is>
      </c>
      <c r="F898" s="8" t="inlineStr">
        <is>
          <t>65062941</t>
        </is>
      </c>
      <c r="G898" s="8">
        <f>IFERROR(VLOOKUP(A898,Flete!$A:$E,5,0),"")</f>
        <v/>
      </c>
      <c r="H898" s="7">
        <f>IFERROR(VLOOKUP(F898,TRAOPE!$AA:$AB,2,0),"")</f>
        <v/>
      </c>
      <c r="I898" s="7" t="n">
        <v>10000160</v>
      </c>
      <c r="J898" s="7">
        <f>IFERROR(VLOOKUP(I898,Materiales!$A:$H,8,0),"")</f>
        <v/>
      </c>
      <c r="K898" s="9">
        <f>IFERROR(VLOOKUP(I898,Materiales!$A:$G,7,0),"")</f>
        <v/>
      </c>
      <c r="L898" s="8" t="inlineStr">
        <is>
          <t>20190426</t>
        </is>
      </c>
      <c r="M898" s="8" t="inlineStr">
        <is>
          <t>20250127</t>
        </is>
      </c>
      <c r="N898" s="10" t="n">
        <v>66.44</v>
      </c>
      <c r="O898" s="10">
        <f>IFERROR(VLOOKUP(A898,Flete!$A:$J,10,0),"")</f>
        <v/>
      </c>
      <c r="P898" s="8" t="inlineStr">
        <is>
          <t>TN</t>
        </is>
      </c>
      <c r="Q898" s="10">
        <f>IFERROR(IFERROR(VLOOKUP(A898,TRAOPE!$A:$U,21,0),VLOOKUP(B898,TRAOPE!$A:$U,21,0)),"")</f>
        <v/>
      </c>
      <c r="R898" s="8">
        <f>IFERROR(IFERROR(VLOOKUP(A898,TRAOPE!$A:$W,23,0),VLOOKUP(B898,TRAOPE!$A:$W,23,0)),"")</f>
        <v/>
      </c>
      <c r="S898" s="10">
        <f>IF(AND(P898="TN",R898="TN"),N898+N(O898),IF(G898&amp;""="1",N(K898)*N898,(N898+N(O898))*N(K898)))</f>
        <v/>
      </c>
      <c r="T898" s="10">
        <f>IF(Q898="","",Q898-S898)</f>
        <v/>
      </c>
    </row>
    <row r="899">
      <c r="A899" s="7">
        <f>CONCATENATE(C899,E899,F899,I899)</f>
        <v/>
      </c>
      <c r="B899" s="7">
        <f>CONCATENATE(C899,E899,I899)</f>
        <v/>
      </c>
      <c r="C899" s="8" t="n">
        <v>900003593</v>
      </c>
      <c r="D899" s="7">
        <f>IFERROR(VLOOKUP(C899,TRAOPE!$G:$H,2,0),"")</f>
        <v/>
      </c>
      <c r="E899" s="8" t="inlineStr">
        <is>
          <t>D836</t>
        </is>
      </c>
      <c r="F899" s="8" t="inlineStr">
        <is>
          <t>65062941</t>
        </is>
      </c>
      <c r="G899" s="8">
        <f>IFERROR(VLOOKUP(A899,Flete!$A:$E,5,0),"")</f>
        <v/>
      </c>
      <c r="H899" s="7">
        <f>IFERROR(VLOOKUP(F899,TRAOPE!$AA:$AB,2,0),"")</f>
        <v/>
      </c>
      <c r="I899" s="7" t="n">
        <v>10000252</v>
      </c>
      <c r="J899" s="7">
        <f>IFERROR(VLOOKUP(I899,Materiales!$A:$H,8,0),"")</f>
        <v/>
      </c>
      <c r="K899" s="9">
        <f>IFERROR(VLOOKUP(I899,Materiales!$A:$G,7,0),"")</f>
        <v/>
      </c>
      <c r="L899" s="8" t="inlineStr">
        <is>
          <t>20190426</t>
        </is>
      </c>
      <c r="M899" s="8" t="inlineStr">
        <is>
          <t>20250127</t>
        </is>
      </c>
      <c r="N899" s="10" t="n">
        <v>76.29000000000001</v>
      </c>
      <c r="O899" s="10">
        <f>IFERROR(VLOOKUP(A899,Flete!$A:$J,10,0),"")</f>
        <v/>
      </c>
      <c r="P899" s="8" t="inlineStr">
        <is>
          <t>TN</t>
        </is>
      </c>
      <c r="Q899" s="10">
        <f>IFERROR(IFERROR(VLOOKUP(A899,TRAOPE!$A:$U,21,0),VLOOKUP(B899,TRAOPE!$A:$U,21,0)),"")</f>
        <v/>
      </c>
      <c r="R899" s="8">
        <f>IFERROR(IFERROR(VLOOKUP(A899,TRAOPE!$A:$W,23,0),VLOOKUP(B899,TRAOPE!$A:$W,23,0)),"")</f>
        <v/>
      </c>
      <c r="S899" s="10">
        <f>IF(AND(P899="TN",R899="TN"),N899+N(O899),IF(G899&amp;""="1",N(K899)*N899,(N899+N(O899))*N(K899)))</f>
        <v/>
      </c>
      <c r="T899" s="10">
        <f>IF(Q899="","",Q899-S899)</f>
        <v/>
      </c>
    </row>
    <row r="900">
      <c r="A900" s="7">
        <f>CONCATENATE(C900,E900,F900,I900)</f>
        <v/>
      </c>
      <c r="B900" s="7">
        <f>CONCATENATE(C900,E900,I900)</f>
        <v/>
      </c>
      <c r="C900" s="8" t="n">
        <v>900003593</v>
      </c>
      <c r="D900" s="7">
        <f>IFERROR(VLOOKUP(C900,TRAOPE!$G:$H,2,0),"")</f>
        <v/>
      </c>
      <c r="E900" s="8" t="inlineStr">
        <is>
          <t>D836</t>
        </is>
      </c>
      <c r="F900" s="8" t="inlineStr">
        <is>
          <t>65084091</t>
        </is>
      </c>
      <c r="G900" s="8">
        <f>IFERROR(VLOOKUP(A900,Flete!$A:$E,5,0),"")</f>
        <v/>
      </c>
      <c r="H900" s="7">
        <f>IFERROR(VLOOKUP(F900,TRAOPE!$AA:$AB,2,0),"")</f>
        <v/>
      </c>
      <c r="I900" s="7" t="n">
        <v>10000160</v>
      </c>
      <c r="J900" s="7">
        <f>IFERROR(VLOOKUP(I900,Materiales!$A:$H,8,0),"")</f>
        <v/>
      </c>
      <c r="K900" s="9">
        <f>IFERROR(VLOOKUP(I900,Materiales!$A:$G,7,0),"")</f>
        <v/>
      </c>
      <c r="L900" s="8" t="inlineStr">
        <is>
          <t>20190426</t>
        </is>
      </c>
      <c r="M900" s="8" t="inlineStr">
        <is>
          <t>20250127</t>
        </is>
      </c>
      <c r="N900" s="10" t="n">
        <v>66.44</v>
      </c>
      <c r="O900" s="10">
        <f>IFERROR(VLOOKUP(A900,Flete!$A:$J,10,0),"")</f>
        <v/>
      </c>
      <c r="P900" s="8" t="inlineStr">
        <is>
          <t>TN</t>
        </is>
      </c>
      <c r="Q900" s="10">
        <f>IFERROR(IFERROR(VLOOKUP(A900,TRAOPE!$A:$U,21,0),VLOOKUP(B900,TRAOPE!$A:$U,21,0)),"")</f>
        <v/>
      </c>
      <c r="R900" s="8">
        <f>IFERROR(IFERROR(VLOOKUP(A900,TRAOPE!$A:$W,23,0),VLOOKUP(B900,TRAOPE!$A:$W,23,0)),"")</f>
        <v/>
      </c>
      <c r="S900" s="10">
        <f>IF(AND(P900="TN",R900="TN"),N900+N(O900),IF(G900&amp;""="1",N(K900)*N900,(N900+N(O900))*N(K900)))</f>
        <v/>
      </c>
      <c r="T900" s="10">
        <f>IF(Q900="","",Q900-S900)</f>
        <v/>
      </c>
    </row>
    <row r="901">
      <c r="A901" s="7">
        <f>CONCATENATE(C901,E901,F901,I901)</f>
        <v/>
      </c>
      <c r="B901" s="7">
        <f>CONCATENATE(C901,E901,I901)</f>
        <v/>
      </c>
      <c r="C901" s="8" t="n">
        <v>900003593</v>
      </c>
      <c r="D901" s="7">
        <f>IFERROR(VLOOKUP(C901,TRAOPE!$G:$H,2,0),"")</f>
        <v/>
      </c>
      <c r="E901" s="8" t="inlineStr">
        <is>
          <t>D836</t>
        </is>
      </c>
      <c r="F901" s="8" t="inlineStr">
        <is>
          <t>65087219</t>
        </is>
      </c>
      <c r="G901" s="8">
        <f>IFERROR(VLOOKUP(A901,Flete!$A:$E,5,0),"")</f>
        <v/>
      </c>
      <c r="H901" s="7">
        <f>IFERROR(VLOOKUP(F901,TRAOPE!$AA:$AB,2,0),"")</f>
        <v/>
      </c>
      <c r="I901" s="7" t="n">
        <v>10000657</v>
      </c>
      <c r="J901" s="7">
        <f>IFERROR(VLOOKUP(I901,Materiales!$A:$H,8,0),"")</f>
        <v/>
      </c>
      <c r="K901" s="9">
        <f>IFERROR(VLOOKUP(I901,Materiales!$A:$G,7,0),"")</f>
        <v/>
      </c>
      <c r="L901" s="8" t="inlineStr">
        <is>
          <t>20190426</t>
        </is>
      </c>
      <c r="M901" s="8" t="inlineStr">
        <is>
          <t>20250127</t>
        </is>
      </c>
      <c r="N901" s="10" t="n">
        <v>75.53</v>
      </c>
      <c r="O901" s="10">
        <f>IFERROR(VLOOKUP(A901,Flete!$A:$J,10,0),"")</f>
        <v/>
      </c>
      <c r="P901" s="8" t="inlineStr">
        <is>
          <t>TN</t>
        </is>
      </c>
      <c r="Q901" s="10">
        <f>IFERROR(IFERROR(VLOOKUP(A901,TRAOPE!$A:$U,21,0),VLOOKUP(B901,TRAOPE!$A:$U,21,0)),"")</f>
        <v/>
      </c>
      <c r="R901" s="8">
        <f>IFERROR(IFERROR(VLOOKUP(A901,TRAOPE!$A:$W,23,0),VLOOKUP(B901,TRAOPE!$A:$W,23,0)),"")</f>
        <v/>
      </c>
      <c r="S901" s="10">
        <f>IF(AND(P901="TN",R901="TN"),N901+N(O901),IF(G901&amp;""="1",N(K901)*N901,(N901+N(O901))*N(K901)))</f>
        <v/>
      </c>
      <c r="T901" s="10">
        <f>IF(Q901="","",Q901-S901)</f>
        <v/>
      </c>
    </row>
    <row r="902">
      <c r="A902" s="7">
        <f>CONCATENATE(C902,E902,F902,I902)</f>
        <v/>
      </c>
      <c r="B902" s="7">
        <f>CONCATENATE(C902,E902,I902)</f>
        <v/>
      </c>
      <c r="C902" s="8" t="n">
        <v>900003593</v>
      </c>
      <c r="D902" s="7">
        <f>IFERROR(VLOOKUP(C902,TRAOPE!$G:$H,2,0),"")</f>
        <v/>
      </c>
      <c r="E902" s="8" t="inlineStr">
        <is>
          <t>D836</t>
        </is>
      </c>
      <c r="F902" s="8" t="inlineStr">
        <is>
          <t>65087219</t>
        </is>
      </c>
      <c r="G902" s="8">
        <f>IFERROR(VLOOKUP(A902,Flete!$A:$E,5,0),"")</f>
        <v/>
      </c>
      <c r="H902" s="7">
        <f>IFERROR(VLOOKUP(F902,TRAOPE!$AA:$AB,2,0),"")</f>
        <v/>
      </c>
      <c r="I902" s="7" t="n">
        <v>10002802</v>
      </c>
      <c r="J902" s="7">
        <f>IFERROR(VLOOKUP(I902,Materiales!$A:$H,8,0),"")</f>
        <v/>
      </c>
      <c r="K902" s="9">
        <f>IFERROR(VLOOKUP(I902,Materiales!$A:$G,7,0),"")</f>
        <v/>
      </c>
      <c r="L902" s="8" t="inlineStr">
        <is>
          <t>20190426</t>
        </is>
      </c>
      <c r="M902" s="8" t="inlineStr">
        <is>
          <t>20250127</t>
        </is>
      </c>
      <c r="N902" s="10" t="n">
        <v>74.67</v>
      </c>
      <c r="O902" s="10">
        <f>IFERROR(VLOOKUP(A902,Flete!$A:$J,10,0),"")</f>
        <v/>
      </c>
      <c r="P902" s="8" t="inlineStr">
        <is>
          <t>TN</t>
        </is>
      </c>
      <c r="Q902" s="10">
        <f>IFERROR(IFERROR(VLOOKUP(A902,TRAOPE!$A:$U,21,0),VLOOKUP(B902,TRAOPE!$A:$U,21,0)),"")</f>
        <v/>
      </c>
      <c r="R902" s="8">
        <f>IFERROR(IFERROR(VLOOKUP(A902,TRAOPE!$A:$W,23,0),VLOOKUP(B902,TRAOPE!$A:$W,23,0)),"")</f>
        <v/>
      </c>
      <c r="S902" s="10">
        <f>IF(AND(P902="TN",R902="TN"),N902+N(O902),IF(G902&amp;""="1",N(K902)*N902,(N902+N(O902))*N(K902)))</f>
        <v/>
      </c>
      <c r="T902" s="10">
        <f>IF(Q902="","",Q902-S902)</f>
        <v/>
      </c>
    </row>
    <row r="903">
      <c r="A903" s="7">
        <f>CONCATENATE(C903,E903,F903,I903)</f>
        <v/>
      </c>
      <c r="B903" s="7">
        <f>CONCATENATE(C903,E903,I903)</f>
        <v/>
      </c>
      <c r="C903" s="8" t="n">
        <v>900003593</v>
      </c>
      <c r="D903" s="7">
        <f>IFERROR(VLOOKUP(C903,TRAOPE!$G:$H,2,0),"")</f>
        <v/>
      </c>
      <c r="E903" s="8" t="inlineStr">
        <is>
          <t>D836</t>
        </is>
      </c>
      <c r="F903" s="8" t="inlineStr">
        <is>
          <t>65087219</t>
        </is>
      </c>
      <c r="G903" s="8">
        <f>IFERROR(VLOOKUP(A903,Flete!$A:$E,5,0),"")</f>
        <v/>
      </c>
      <c r="H903" s="7">
        <f>IFERROR(VLOOKUP(F903,TRAOPE!$AA:$AB,2,0),"")</f>
        <v/>
      </c>
      <c r="I903" s="7" t="n">
        <v>10002975</v>
      </c>
      <c r="J903" s="7">
        <f>IFERROR(VLOOKUP(I903,Materiales!$A:$H,8,0),"")</f>
        <v/>
      </c>
      <c r="K903" s="9">
        <f>IFERROR(VLOOKUP(I903,Materiales!$A:$G,7,0),"")</f>
        <v/>
      </c>
      <c r="L903" s="8" t="inlineStr">
        <is>
          <t>20190426</t>
        </is>
      </c>
      <c r="M903" s="8" t="inlineStr">
        <is>
          <t>20250127</t>
        </is>
      </c>
      <c r="N903" s="10" t="n">
        <v>79.23999999999999</v>
      </c>
      <c r="O903" s="10">
        <f>IFERROR(VLOOKUP(A903,Flete!$A:$J,10,0),"")</f>
        <v/>
      </c>
      <c r="P903" s="8" t="inlineStr">
        <is>
          <t>TN</t>
        </is>
      </c>
      <c r="Q903" s="10">
        <f>IFERROR(IFERROR(VLOOKUP(A903,TRAOPE!$A:$U,21,0),VLOOKUP(B903,TRAOPE!$A:$U,21,0)),"")</f>
        <v/>
      </c>
      <c r="R903" s="8">
        <f>IFERROR(IFERROR(VLOOKUP(A903,TRAOPE!$A:$W,23,0),VLOOKUP(B903,TRAOPE!$A:$W,23,0)),"")</f>
        <v/>
      </c>
      <c r="S903" s="10">
        <f>IF(AND(P903="TN",R903="TN"),N903+N(O903),IF(G903&amp;""="1",N(K903)*N903,(N903+N(O903))*N(K903)))</f>
        <v/>
      </c>
      <c r="T903" s="10">
        <f>IF(Q903="","",Q903-S903)</f>
        <v/>
      </c>
    </row>
    <row r="904">
      <c r="A904" s="7">
        <f>CONCATENATE(C904,E904,F904,I904)</f>
        <v/>
      </c>
      <c r="B904" s="7">
        <f>CONCATENATE(C904,E904,I904)</f>
        <v/>
      </c>
      <c r="C904" s="8" t="n">
        <v>900003593</v>
      </c>
      <c r="D904" s="7">
        <f>IFERROR(VLOOKUP(C904,TRAOPE!$G:$H,2,0),"")</f>
        <v/>
      </c>
      <c r="E904" s="8" t="inlineStr">
        <is>
          <t>D836</t>
        </is>
      </c>
      <c r="F904" s="8" t="inlineStr">
        <is>
          <t>65087219</t>
        </is>
      </c>
      <c r="G904" s="8">
        <f>IFERROR(VLOOKUP(A904,Flete!$A:$E,5,0),"")</f>
        <v/>
      </c>
      <c r="H904" s="7">
        <f>IFERROR(VLOOKUP(F904,TRAOPE!$AA:$AB,2,0),"")</f>
        <v/>
      </c>
      <c r="I904" s="7" t="n">
        <v>10003131</v>
      </c>
      <c r="J904" s="7">
        <f>IFERROR(VLOOKUP(I904,Materiales!$A:$H,8,0),"")</f>
        <v/>
      </c>
      <c r="K904" s="9">
        <f>IFERROR(VLOOKUP(I904,Materiales!$A:$G,7,0),"")</f>
        <v/>
      </c>
      <c r="L904" s="8" t="inlineStr">
        <is>
          <t>20190426</t>
        </is>
      </c>
      <c r="M904" s="8" t="inlineStr">
        <is>
          <t>20250127</t>
        </is>
      </c>
      <c r="N904" s="10" t="n">
        <v>68.87</v>
      </c>
      <c r="O904" s="10">
        <f>IFERROR(VLOOKUP(A904,Flete!$A:$J,10,0),"")</f>
        <v/>
      </c>
      <c r="P904" s="8" t="inlineStr">
        <is>
          <t>TN</t>
        </is>
      </c>
      <c r="Q904" s="10">
        <f>IFERROR(IFERROR(VLOOKUP(A904,TRAOPE!$A:$U,21,0),VLOOKUP(B904,TRAOPE!$A:$U,21,0)),"")</f>
        <v/>
      </c>
      <c r="R904" s="8">
        <f>IFERROR(IFERROR(VLOOKUP(A904,TRAOPE!$A:$W,23,0),VLOOKUP(B904,TRAOPE!$A:$W,23,0)),"")</f>
        <v/>
      </c>
      <c r="S904" s="10">
        <f>IF(AND(P904="TN",R904="TN"),N904+N(O904),IF(G904&amp;""="1",N(K904)*N904,(N904+N(O904))*N(K904)))</f>
        <v/>
      </c>
      <c r="T904" s="10">
        <f>IF(Q904="","",Q904-S904)</f>
        <v/>
      </c>
    </row>
    <row r="905">
      <c r="A905" s="7">
        <f>CONCATENATE(C905,E905,F905,I905)</f>
        <v/>
      </c>
      <c r="B905" s="7">
        <f>CONCATENATE(C905,E905,I905)</f>
        <v/>
      </c>
      <c r="C905" s="8" t="n">
        <v>900003593</v>
      </c>
      <c r="D905" s="7">
        <f>IFERROR(VLOOKUP(C905,TRAOPE!$G:$H,2,0),"")</f>
        <v/>
      </c>
      <c r="E905" s="8" t="inlineStr">
        <is>
          <t>D836</t>
        </is>
      </c>
      <c r="F905" s="8" t="inlineStr">
        <is>
          <t>65129997</t>
        </is>
      </c>
      <c r="G905" s="8">
        <f>IFERROR(VLOOKUP(A905,Flete!$A:$E,5,0),"")</f>
        <v/>
      </c>
      <c r="H905" s="7">
        <f>IFERROR(VLOOKUP(F905,TRAOPE!$AA:$AB,2,0),"")</f>
        <v/>
      </c>
      <c r="I905" s="7" t="n">
        <v>10000160</v>
      </c>
      <c r="J905" s="7">
        <f>IFERROR(VLOOKUP(I905,Materiales!$A:$H,8,0),"")</f>
        <v/>
      </c>
      <c r="K905" s="9">
        <f>IFERROR(VLOOKUP(I905,Materiales!$A:$G,7,0),"")</f>
        <v/>
      </c>
      <c r="L905" s="8" t="inlineStr">
        <is>
          <t>20190426</t>
        </is>
      </c>
      <c r="M905" s="8" t="inlineStr">
        <is>
          <t>20250127</t>
        </is>
      </c>
      <c r="N905" s="10" t="n">
        <v>86.55</v>
      </c>
      <c r="O905" s="10">
        <f>IFERROR(VLOOKUP(A905,Flete!$A:$J,10,0),"")</f>
        <v/>
      </c>
      <c r="P905" s="8" t="inlineStr">
        <is>
          <t>M3</t>
        </is>
      </c>
      <c r="Q905" s="10">
        <f>IFERROR(IFERROR(VLOOKUP(A905,TRAOPE!$A:$U,21,0),VLOOKUP(B905,TRAOPE!$A:$U,21,0)),"")</f>
        <v/>
      </c>
      <c r="R905" s="8">
        <f>IFERROR(IFERROR(VLOOKUP(A905,TRAOPE!$A:$W,23,0),VLOOKUP(B905,TRAOPE!$A:$W,23,0)),"")</f>
        <v/>
      </c>
      <c r="S905" s="10">
        <f>IF(AND(P905="TN",R905="TN"),N905+N(O905),IF(G905&amp;""="1",N(K905)*N905,(N905+N(O905))*N(K905)))</f>
        <v/>
      </c>
      <c r="T905" s="10">
        <f>IF(Q905="","",Q905-S905)</f>
        <v/>
      </c>
    </row>
    <row r="906">
      <c r="A906" s="7">
        <f>CONCATENATE(C906,E906,F906,I906)</f>
        <v/>
      </c>
      <c r="B906" s="7">
        <f>CONCATENATE(C906,E906,I906)</f>
        <v/>
      </c>
      <c r="C906" s="8" t="n">
        <v>900003593</v>
      </c>
      <c r="D906" s="7">
        <f>IFERROR(VLOOKUP(C906,TRAOPE!$G:$H,2,0),"")</f>
        <v/>
      </c>
      <c r="E906" s="8" t="inlineStr">
        <is>
          <t>D836</t>
        </is>
      </c>
      <c r="F906" s="8" t="inlineStr">
        <is>
          <t>65129997</t>
        </is>
      </c>
      <c r="G906" s="8">
        <f>IFERROR(VLOOKUP(A906,Flete!$A:$E,5,0),"")</f>
        <v/>
      </c>
      <c r="H906" s="7">
        <f>IFERROR(VLOOKUP(F906,TRAOPE!$AA:$AB,2,0),"")</f>
        <v/>
      </c>
      <c r="I906" s="7" t="n">
        <v>10000252</v>
      </c>
      <c r="J906" s="7">
        <f>IFERROR(VLOOKUP(I906,Materiales!$A:$H,8,0),"")</f>
        <v/>
      </c>
      <c r="K906" s="9">
        <f>IFERROR(VLOOKUP(I906,Materiales!$A:$G,7,0),"")</f>
        <v/>
      </c>
      <c r="L906" s="8" t="inlineStr">
        <is>
          <t>20190426</t>
        </is>
      </c>
      <c r="M906" s="8" t="inlineStr">
        <is>
          <t>20250127</t>
        </is>
      </c>
      <c r="N906" s="10" t="n">
        <v>87.37</v>
      </c>
      <c r="O906" s="10">
        <f>IFERROR(VLOOKUP(A906,Flete!$A:$J,10,0),"")</f>
        <v/>
      </c>
      <c r="P906" s="8" t="inlineStr">
        <is>
          <t>M3</t>
        </is>
      </c>
      <c r="Q906" s="10">
        <f>IFERROR(IFERROR(VLOOKUP(A906,TRAOPE!$A:$U,21,0),VLOOKUP(B906,TRAOPE!$A:$U,21,0)),"")</f>
        <v/>
      </c>
      <c r="R906" s="8">
        <f>IFERROR(IFERROR(VLOOKUP(A906,TRAOPE!$A:$W,23,0),VLOOKUP(B906,TRAOPE!$A:$W,23,0)),"")</f>
        <v/>
      </c>
      <c r="S906" s="10">
        <f>IF(AND(P906="TN",R906="TN"),N906+N(O906),IF(G906&amp;""="1",N(K906)*N906,(N906+N(O906))*N(K906)))</f>
        <v/>
      </c>
      <c r="T906" s="10">
        <f>IF(Q906="","",Q906-S906)</f>
        <v/>
      </c>
    </row>
    <row r="907">
      <c r="A907" s="7">
        <f>CONCATENATE(C907,E907,F907,I907)</f>
        <v/>
      </c>
      <c r="B907" s="7">
        <f>CONCATENATE(C907,E907,I907)</f>
        <v/>
      </c>
      <c r="C907" s="8" t="n">
        <v>900003593</v>
      </c>
      <c r="D907" s="7">
        <f>IFERROR(VLOOKUP(C907,TRAOPE!$G:$H,2,0),"")</f>
        <v/>
      </c>
      <c r="E907" s="8" t="inlineStr">
        <is>
          <t>D836</t>
        </is>
      </c>
      <c r="F907" s="8" t="inlineStr">
        <is>
          <t>65129997</t>
        </is>
      </c>
      <c r="G907" s="8">
        <f>IFERROR(VLOOKUP(A907,Flete!$A:$E,5,0),"")</f>
        <v/>
      </c>
      <c r="H907" s="7">
        <f>IFERROR(VLOOKUP(F907,TRAOPE!$AA:$AB,2,0),"")</f>
        <v/>
      </c>
      <c r="I907" s="7" t="n">
        <v>10000357</v>
      </c>
      <c r="J907" s="7">
        <f>IFERROR(VLOOKUP(I907,Materiales!$A:$H,8,0),"")</f>
        <v/>
      </c>
      <c r="K907" s="9">
        <f>IFERROR(VLOOKUP(I907,Materiales!$A:$G,7,0),"")</f>
        <v/>
      </c>
      <c r="L907" s="8" t="inlineStr">
        <is>
          <t>20190426</t>
        </is>
      </c>
      <c r="M907" s="8" t="inlineStr">
        <is>
          <t>20250127</t>
        </is>
      </c>
      <c r="N907" s="10" t="n">
        <v>84.92</v>
      </c>
      <c r="O907" s="10">
        <f>IFERROR(VLOOKUP(A907,Flete!$A:$J,10,0),"")</f>
        <v/>
      </c>
      <c r="P907" s="8" t="inlineStr">
        <is>
          <t>M3</t>
        </is>
      </c>
      <c r="Q907" s="10">
        <f>IFERROR(IFERROR(VLOOKUP(A907,TRAOPE!$A:$U,21,0),VLOOKUP(B907,TRAOPE!$A:$U,21,0)),"")</f>
        <v/>
      </c>
      <c r="R907" s="8">
        <f>IFERROR(IFERROR(VLOOKUP(A907,TRAOPE!$A:$W,23,0),VLOOKUP(B907,TRAOPE!$A:$W,23,0)),"")</f>
        <v/>
      </c>
      <c r="S907" s="10">
        <f>IF(AND(P907="TN",R907="TN"),N907+N(O907),IF(G907&amp;""="1",N(K907)*N907,(N907+N(O907))*N(K907)))</f>
        <v/>
      </c>
      <c r="T907" s="10">
        <f>IF(Q907="","",Q907-S907)</f>
        <v/>
      </c>
    </row>
    <row r="908">
      <c r="A908" s="7">
        <f>CONCATENATE(C908,E908,F908,I908)</f>
        <v/>
      </c>
      <c r="B908" s="7">
        <f>CONCATENATE(C908,E908,I908)</f>
        <v/>
      </c>
      <c r="C908" s="8" t="n">
        <v>900003593</v>
      </c>
      <c r="D908" s="7">
        <f>IFERROR(VLOOKUP(C908,TRAOPE!$G:$H,2,0),"")</f>
        <v/>
      </c>
      <c r="E908" s="8" t="inlineStr">
        <is>
          <t>D836</t>
        </is>
      </c>
      <c r="F908" s="8" t="inlineStr">
        <is>
          <t>65220475</t>
        </is>
      </c>
      <c r="G908" s="8">
        <f>IFERROR(VLOOKUP(A908,Flete!$A:$E,5,0),"")</f>
        <v/>
      </c>
      <c r="H908" s="7">
        <f>IFERROR(VLOOKUP(F908,TRAOPE!$AA:$AB,2,0),"")</f>
        <v/>
      </c>
      <c r="I908" s="7" t="n">
        <v>10003132</v>
      </c>
      <c r="J908" s="7">
        <f>IFERROR(VLOOKUP(I908,Materiales!$A:$H,8,0),"")</f>
        <v/>
      </c>
      <c r="K908" s="9">
        <f>IFERROR(VLOOKUP(I908,Materiales!$A:$G,7,0),"")</f>
        <v/>
      </c>
      <c r="L908" s="8" t="inlineStr">
        <is>
          <t>20190426</t>
        </is>
      </c>
      <c r="M908" s="8" t="inlineStr">
        <is>
          <t>20250127</t>
        </is>
      </c>
      <c r="N908" s="10" t="n">
        <v>71.92</v>
      </c>
      <c r="O908" s="10">
        <f>IFERROR(VLOOKUP(A908,Flete!$A:$J,10,0),"")</f>
        <v/>
      </c>
      <c r="P908" s="8" t="inlineStr">
        <is>
          <t>TN</t>
        </is>
      </c>
      <c r="Q908" s="10">
        <f>IFERROR(IFERROR(VLOOKUP(A908,TRAOPE!$A:$U,21,0),VLOOKUP(B908,TRAOPE!$A:$U,21,0)),"")</f>
        <v/>
      </c>
      <c r="R908" s="8">
        <f>IFERROR(IFERROR(VLOOKUP(A908,TRAOPE!$A:$W,23,0),VLOOKUP(B908,TRAOPE!$A:$W,23,0)),"")</f>
        <v/>
      </c>
      <c r="S908" s="10">
        <f>IF(AND(P908="TN",R908="TN"),N908+N(O908),IF(G908&amp;""="1",N(K908)*N908,(N908+N(O908))*N(K908)))</f>
        <v/>
      </c>
      <c r="T908" s="10">
        <f>IF(Q908="","",Q908-S908)</f>
        <v/>
      </c>
    </row>
    <row r="909">
      <c r="A909" s="7">
        <f>CONCATENATE(C909,E909,F909,I909)</f>
        <v/>
      </c>
      <c r="B909" s="7">
        <f>CONCATENATE(C909,E909,I909)</f>
        <v/>
      </c>
      <c r="C909" s="8" t="n">
        <v>900003593</v>
      </c>
      <c r="D909" s="7">
        <f>IFERROR(VLOOKUP(C909,TRAOPE!$G:$H,2,0),"")</f>
        <v/>
      </c>
      <c r="E909" s="8" t="inlineStr">
        <is>
          <t>D836</t>
        </is>
      </c>
      <c r="F909" s="8" t="inlineStr">
        <is>
          <t>65246763</t>
        </is>
      </c>
      <c r="G909" s="8">
        <f>IFERROR(VLOOKUP(A909,Flete!$A:$E,5,0),"")</f>
        <v/>
      </c>
      <c r="H909" s="7">
        <f>IFERROR(VLOOKUP(F909,TRAOPE!$AA:$AB,2,0),"")</f>
        <v/>
      </c>
      <c r="I909" s="7" t="n">
        <v>10000160</v>
      </c>
      <c r="J909" s="7">
        <f>IFERROR(VLOOKUP(I909,Materiales!$A:$H,8,0),"")</f>
        <v/>
      </c>
      <c r="K909" s="9">
        <f>IFERROR(VLOOKUP(I909,Materiales!$A:$G,7,0),"")</f>
        <v/>
      </c>
      <c r="L909" s="8" t="inlineStr">
        <is>
          <t>20190426</t>
        </is>
      </c>
      <c r="M909" s="8" t="inlineStr">
        <is>
          <t>20250127</t>
        </is>
      </c>
      <c r="N909" s="10" t="n">
        <v>85.33</v>
      </c>
      <c r="O909" s="10">
        <f>IFERROR(VLOOKUP(A909,Flete!$A:$J,10,0),"")</f>
        <v/>
      </c>
      <c r="P909" s="8" t="inlineStr">
        <is>
          <t>M3</t>
        </is>
      </c>
      <c r="Q909" s="10">
        <f>IFERROR(IFERROR(VLOOKUP(A909,TRAOPE!$A:$U,21,0),VLOOKUP(B909,TRAOPE!$A:$U,21,0)),"")</f>
        <v/>
      </c>
      <c r="R909" s="8">
        <f>IFERROR(IFERROR(VLOOKUP(A909,TRAOPE!$A:$W,23,0),VLOOKUP(B909,TRAOPE!$A:$W,23,0)),"")</f>
        <v/>
      </c>
      <c r="S909" s="10">
        <f>IF(AND(P909="TN",R909="TN"),N909+N(O909),IF(G909&amp;""="1",N(K909)*N909,(N909+N(O909))*N(K909)))</f>
        <v/>
      </c>
      <c r="T909" s="10">
        <f>IF(Q909="","",Q909-S909)</f>
        <v/>
      </c>
    </row>
    <row r="910">
      <c r="A910" s="7">
        <f>CONCATENATE(C910,E910,F910,I910)</f>
        <v/>
      </c>
      <c r="B910" s="7">
        <f>CONCATENATE(C910,E910,I910)</f>
        <v/>
      </c>
      <c r="C910" s="8" t="n">
        <v>900003593</v>
      </c>
      <c r="D910" s="7">
        <f>IFERROR(VLOOKUP(C910,TRAOPE!$G:$H,2,0),"")</f>
        <v/>
      </c>
      <c r="E910" s="8" t="inlineStr">
        <is>
          <t>D836</t>
        </is>
      </c>
      <c r="F910" s="8" t="inlineStr">
        <is>
          <t>65251399</t>
        </is>
      </c>
      <c r="G910" s="8">
        <f>IFERROR(VLOOKUP(A910,Flete!$A:$E,5,0),"")</f>
        <v/>
      </c>
      <c r="H910" s="7">
        <f>IFERROR(VLOOKUP(F910,TRAOPE!$AA:$AB,2,0),"")</f>
        <v/>
      </c>
      <c r="I910" s="7" t="n">
        <v>10000160</v>
      </c>
      <c r="J910" s="7">
        <f>IFERROR(VLOOKUP(I910,Materiales!$A:$H,8,0),"")</f>
        <v/>
      </c>
      <c r="K910" s="9">
        <f>IFERROR(VLOOKUP(I910,Materiales!$A:$G,7,0),"")</f>
        <v/>
      </c>
      <c r="L910" s="8" t="inlineStr">
        <is>
          <t>20190426</t>
        </is>
      </c>
      <c r="M910" s="8" t="inlineStr">
        <is>
          <t>20250127</t>
        </is>
      </c>
      <c r="N910" s="10" t="n">
        <v>82.8</v>
      </c>
      <c r="O910" s="10">
        <f>IFERROR(VLOOKUP(A910,Flete!$A:$J,10,0),"")</f>
        <v/>
      </c>
      <c r="P910" s="8" t="inlineStr">
        <is>
          <t>M3</t>
        </is>
      </c>
      <c r="Q910" s="10">
        <f>IFERROR(IFERROR(VLOOKUP(A910,TRAOPE!$A:$U,21,0),VLOOKUP(B910,TRAOPE!$A:$U,21,0)),"")</f>
        <v/>
      </c>
      <c r="R910" s="8">
        <f>IFERROR(IFERROR(VLOOKUP(A910,TRAOPE!$A:$W,23,0),VLOOKUP(B910,TRAOPE!$A:$W,23,0)),"")</f>
        <v/>
      </c>
      <c r="S910" s="10">
        <f>IF(AND(P910="TN",R910="TN"),N910+N(O910),IF(G910&amp;""="1",N(K910)*N910,(N910+N(O910))*N(K910)))</f>
        <v/>
      </c>
      <c r="T910" s="10">
        <f>IF(Q910="","",Q910-S910)</f>
        <v/>
      </c>
    </row>
    <row r="911">
      <c r="A911" s="7">
        <f>CONCATENATE(C911,E911,F911,I911)</f>
        <v/>
      </c>
      <c r="B911" s="7">
        <f>CONCATENATE(C911,E911,I911)</f>
        <v/>
      </c>
      <c r="C911" s="8" t="n">
        <v>900003593</v>
      </c>
      <c r="D911" s="7">
        <f>IFERROR(VLOOKUP(C911,TRAOPE!$G:$H,2,0),"")</f>
        <v/>
      </c>
      <c r="E911" s="8" t="inlineStr">
        <is>
          <t>D836</t>
        </is>
      </c>
      <c r="F911" s="8" t="inlineStr">
        <is>
          <t>65296485</t>
        </is>
      </c>
      <c r="G911" s="8">
        <f>IFERROR(VLOOKUP(A911,Flete!$A:$E,5,0),"")</f>
        <v/>
      </c>
      <c r="H911" s="7">
        <f>IFERROR(VLOOKUP(F911,TRAOPE!$AA:$AB,2,0),"")</f>
        <v/>
      </c>
      <c r="I911" s="7" t="n">
        <v>10000252</v>
      </c>
      <c r="J911" s="7">
        <f>IFERROR(VLOOKUP(I911,Materiales!$A:$H,8,0),"")</f>
        <v/>
      </c>
      <c r="K911" s="9">
        <f>IFERROR(VLOOKUP(I911,Materiales!$A:$G,7,0),"")</f>
        <v/>
      </c>
      <c r="L911" s="8" t="inlineStr">
        <is>
          <t>20190426</t>
        </is>
      </c>
      <c r="M911" s="8" t="inlineStr">
        <is>
          <t>20250127</t>
        </is>
      </c>
      <c r="N911" s="10" t="n">
        <v>72.59999999999999</v>
      </c>
      <c r="O911" s="10">
        <f>IFERROR(VLOOKUP(A911,Flete!$A:$J,10,0),"")</f>
        <v/>
      </c>
      <c r="P911" s="8" t="inlineStr">
        <is>
          <t>TN</t>
        </is>
      </c>
      <c r="Q911" s="10">
        <f>IFERROR(IFERROR(VLOOKUP(A911,TRAOPE!$A:$U,21,0),VLOOKUP(B911,TRAOPE!$A:$U,21,0)),"")</f>
        <v/>
      </c>
      <c r="R911" s="8">
        <f>IFERROR(IFERROR(VLOOKUP(A911,TRAOPE!$A:$W,23,0),VLOOKUP(B911,TRAOPE!$A:$W,23,0)),"")</f>
        <v/>
      </c>
      <c r="S911" s="10">
        <f>IF(AND(P911="TN",R911="TN"),N911+N(O911),IF(G911&amp;""="1",N(K911)*N911,(N911+N(O911))*N(K911)))</f>
        <v/>
      </c>
      <c r="T911" s="10">
        <f>IF(Q911="","",Q911-S911)</f>
        <v/>
      </c>
    </row>
    <row r="912">
      <c r="A912" s="7">
        <f>CONCATENATE(C912,E912,F912,I912)</f>
        <v/>
      </c>
      <c r="B912" s="7">
        <f>CONCATENATE(C912,E912,I912)</f>
        <v/>
      </c>
      <c r="C912" s="8" t="n">
        <v>900003593</v>
      </c>
      <c r="D912" s="7">
        <f>IFERROR(VLOOKUP(C912,TRAOPE!$G:$H,2,0),"")</f>
        <v/>
      </c>
      <c r="E912" s="8" t="inlineStr">
        <is>
          <t>D836</t>
        </is>
      </c>
      <c r="F912" s="8" t="inlineStr">
        <is>
          <t>65345243</t>
        </is>
      </c>
      <c r="G912" s="8">
        <f>IFERROR(VLOOKUP(A912,Flete!$A:$E,5,0),"")</f>
        <v/>
      </c>
      <c r="H912" s="7">
        <f>IFERROR(VLOOKUP(F912,TRAOPE!$AA:$AB,2,0),"")</f>
        <v/>
      </c>
      <c r="I912" s="7" t="n">
        <v>10000160</v>
      </c>
      <c r="J912" s="7">
        <f>IFERROR(VLOOKUP(I912,Materiales!$A:$H,8,0),"")</f>
        <v/>
      </c>
      <c r="K912" s="9">
        <f>IFERROR(VLOOKUP(I912,Materiales!$A:$G,7,0),"")</f>
        <v/>
      </c>
      <c r="L912" s="8" t="inlineStr">
        <is>
          <t>20190426</t>
        </is>
      </c>
      <c r="M912" s="8" t="inlineStr">
        <is>
          <t>20250127</t>
        </is>
      </c>
      <c r="N912" s="10" t="n">
        <v>59.43</v>
      </c>
      <c r="O912" s="10">
        <f>IFERROR(VLOOKUP(A912,Flete!$A:$J,10,0),"")</f>
        <v/>
      </c>
      <c r="P912" s="8" t="inlineStr">
        <is>
          <t>TN</t>
        </is>
      </c>
      <c r="Q912" s="10">
        <f>IFERROR(IFERROR(VLOOKUP(A912,TRAOPE!$A:$U,21,0),VLOOKUP(B912,TRAOPE!$A:$U,21,0)),"")</f>
        <v/>
      </c>
      <c r="R912" s="8">
        <f>IFERROR(IFERROR(VLOOKUP(A912,TRAOPE!$A:$W,23,0),VLOOKUP(B912,TRAOPE!$A:$W,23,0)),"")</f>
        <v/>
      </c>
      <c r="S912" s="10">
        <f>IF(AND(P912="TN",R912="TN"),N912+N(O912),IF(G912&amp;""="1",N(K912)*N912,(N912+N(O912))*N(K912)))</f>
        <v/>
      </c>
      <c r="T912" s="10">
        <f>IF(Q912="","",Q912-S912)</f>
        <v/>
      </c>
    </row>
    <row r="913">
      <c r="A913" s="7">
        <f>CONCATENATE(C913,E913,F913,I913)</f>
        <v/>
      </c>
      <c r="B913" s="7">
        <f>CONCATENATE(C913,E913,I913)</f>
        <v/>
      </c>
      <c r="C913" s="8" t="n">
        <v>900003593</v>
      </c>
      <c r="D913" s="7">
        <f>IFERROR(VLOOKUP(C913,TRAOPE!$G:$H,2,0),"")</f>
        <v/>
      </c>
      <c r="E913" s="8" t="inlineStr">
        <is>
          <t>D836</t>
        </is>
      </c>
      <c r="F913" s="8" t="inlineStr">
        <is>
          <t>65345243</t>
        </is>
      </c>
      <c r="G913" s="8">
        <f>IFERROR(VLOOKUP(A913,Flete!$A:$E,5,0),"")</f>
        <v/>
      </c>
      <c r="H913" s="7">
        <f>IFERROR(VLOOKUP(F913,TRAOPE!$AA:$AB,2,0),"")</f>
        <v/>
      </c>
      <c r="I913" s="7" t="n">
        <v>10002976</v>
      </c>
      <c r="J913" s="7">
        <f>IFERROR(VLOOKUP(I913,Materiales!$A:$H,8,0),"")</f>
        <v/>
      </c>
      <c r="K913" s="9">
        <f>IFERROR(VLOOKUP(I913,Materiales!$A:$G,7,0),"")</f>
        <v/>
      </c>
      <c r="L913" s="8" t="inlineStr">
        <is>
          <t>20190426</t>
        </is>
      </c>
      <c r="M913" s="8" t="inlineStr">
        <is>
          <t>20250127</t>
        </is>
      </c>
      <c r="N913" s="10" t="n">
        <v>55.64</v>
      </c>
      <c r="O913" s="10">
        <f>IFERROR(VLOOKUP(A913,Flete!$A:$J,10,0),"")</f>
        <v/>
      </c>
      <c r="P913" s="8" t="inlineStr">
        <is>
          <t>TN</t>
        </is>
      </c>
      <c r="Q913" s="10">
        <f>IFERROR(IFERROR(VLOOKUP(A913,TRAOPE!$A:$U,21,0),VLOOKUP(B913,TRAOPE!$A:$U,21,0)),"")</f>
        <v/>
      </c>
      <c r="R913" s="8">
        <f>IFERROR(IFERROR(VLOOKUP(A913,TRAOPE!$A:$W,23,0),VLOOKUP(B913,TRAOPE!$A:$W,23,0)),"")</f>
        <v/>
      </c>
      <c r="S913" s="10">
        <f>IF(AND(P913="TN",R913="TN"),N913+N(O913),IF(G913&amp;""="1",N(K913)*N913,(N913+N(O913))*N(K913)))</f>
        <v/>
      </c>
      <c r="T913" s="10">
        <f>IF(Q913="","",Q913-S913)</f>
        <v/>
      </c>
    </row>
    <row r="914">
      <c r="A914" s="7">
        <f>CONCATENATE(C914,E914,F914,I914)</f>
        <v/>
      </c>
      <c r="B914" s="7">
        <f>CONCATENATE(C914,E914,I914)</f>
        <v/>
      </c>
      <c r="C914" s="8" t="n">
        <v>900003593</v>
      </c>
      <c r="D914" s="7">
        <f>IFERROR(VLOOKUP(C914,TRAOPE!$G:$H,2,0),"")</f>
        <v/>
      </c>
      <c r="E914" s="8" t="inlineStr">
        <is>
          <t>D836</t>
        </is>
      </c>
      <c r="F914" s="8" t="inlineStr">
        <is>
          <t>65350956</t>
        </is>
      </c>
      <c r="G914" s="8">
        <f>IFERROR(VLOOKUP(A914,Flete!$A:$E,5,0),"")</f>
        <v/>
      </c>
      <c r="H914" s="7">
        <f>IFERROR(VLOOKUP(F914,TRAOPE!$AA:$AB,2,0),"")</f>
        <v/>
      </c>
      <c r="I914" s="7" t="n">
        <v>10000252</v>
      </c>
      <c r="J914" s="7">
        <f>IFERROR(VLOOKUP(I914,Materiales!$A:$H,8,0),"")</f>
        <v/>
      </c>
      <c r="K914" s="9">
        <f>IFERROR(VLOOKUP(I914,Materiales!$A:$G,7,0),"")</f>
        <v/>
      </c>
      <c r="L914" s="8" t="inlineStr">
        <is>
          <t>20190426</t>
        </is>
      </c>
      <c r="M914" s="8" t="inlineStr">
        <is>
          <t>20250127</t>
        </is>
      </c>
      <c r="N914" s="10" t="n">
        <v>75.3</v>
      </c>
      <c r="O914" s="10">
        <f>IFERROR(VLOOKUP(A914,Flete!$A:$J,10,0),"")</f>
        <v/>
      </c>
      <c r="P914" s="8" t="inlineStr">
        <is>
          <t>TN</t>
        </is>
      </c>
      <c r="Q914" s="10">
        <f>IFERROR(IFERROR(VLOOKUP(A914,TRAOPE!$A:$U,21,0),VLOOKUP(B914,TRAOPE!$A:$U,21,0)),"")</f>
        <v/>
      </c>
      <c r="R914" s="8">
        <f>IFERROR(IFERROR(VLOOKUP(A914,TRAOPE!$A:$W,23,0),VLOOKUP(B914,TRAOPE!$A:$W,23,0)),"")</f>
        <v/>
      </c>
      <c r="S914" s="10">
        <f>IF(AND(P914="TN",R914="TN"),N914+N(O914),IF(G914&amp;""="1",N(K914)*N914,(N914+N(O914))*N(K914)))</f>
        <v/>
      </c>
      <c r="T914" s="10">
        <f>IF(Q914="","",Q914-S914)</f>
        <v/>
      </c>
    </row>
    <row r="915">
      <c r="A915" s="7">
        <f>CONCATENATE(C915,E915,F915,I915)</f>
        <v/>
      </c>
      <c r="B915" s="7">
        <f>CONCATENATE(C915,E915,I915)</f>
        <v/>
      </c>
      <c r="C915" s="8" t="n">
        <v>900003593</v>
      </c>
      <c r="D915" s="7">
        <f>IFERROR(VLOOKUP(C915,TRAOPE!$G:$H,2,0),"")</f>
        <v/>
      </c>
      <c r="E915" s="8" t="inlineStr">
        <is>
          <t>D836</t>
        </is>
      </c>
      <c r="F915" s="8" t="inlineStr">
        <is>
          <t>65350956</t>
        </is>
      </c>
      <c r="G915" s="8">
        <f>IFERROR(VLOOKUP(A915,Flete!$A:$E,5,0),"")</f>
        <v/>
      </c>
      <c r="H915" s="7">
        <f>IFERROR(VLOOKUP(F915,TRAOPE!$AA:$AB,2,0),"")</f>
        <v/>
      </c>
      <c r="I915" s="7" t="n">
        <v>10003132</v>
      </c>
      <c r="J915" s="7">
        <f>IFERROR(VLOOKUP(I915,Materiales!$A:$H,8,0),"")</f>
        <v/>
      </c>
      <c r="K915" s="9">
        <f>IFERROR(VLOOKUP(I915,Materiales!$A:$G,7,0),"")</f>
        <v/>
      </c>
      <c r="L915" s="8" t="inlineStr">
        <is>
          <t>20190426</t>
        </is>
      </c>
      <c r="M915" s="8" t="inlineStr">
        <is>
          <t>20250127</t>
        </is>
      </c>
      <c r="N915" s="10" t="n">
        <v>61.51</v>
      </c>
      <c r="O915" s="10">
        <f>IFERROR(VLOOKUP(A915,Flete!$A:$J,10,0),"")</f>
        <v/>
      </c>
      <c r="P915" s="8" t="inlineStr">
        <is>
          <t>TN</t>
        </is>
      </c>
      <c r="Q915" s="10">
        <f>IFERROR(IFERROR(VLOOKUP(A915,TRAOPE!$A:$U,21,0),VLOOKUP(B915,TRAOPE!$A:$U,21,0)),"")</f>
        <v/>
      </c>
      <c r="R915" s="8">
        <f>IFERROR(IFERROR(VLOOKUP(A915,TRAOPE!$A:$W,23,0),VLOOKUP(B915,TRAOPE!$A:$W,23,0)),"")</f>
        <v/>
      </c>
      <c r="S915" s="10">
        <f>IF(AND(P915="TN",R915="TN"),N915+N(O915),IF(G915&amp;""="1",N(K915)*N915,(N915+N(O915))*N(K915)))</f>
        <v/>
      </c>
      <c r="T915" s="10">
        <f>IF(Q915="","",Q915-S915)</f>
        <v/>
      </c>
    </row>
    <row r="916">
      <c r="A916" s="7">
        <f>CONCATENATE(C916,E916,F916,I916)</f>
        <v/>
      </c>
      <c r="B916" s="7">
        <f>CONCATENATE(C916,E916,I916)</f>
        <v/>
      </c>
      <c r="C916" s="8" t="n">
        <v>900003593</v>
      </c>
      <c r="D916" s="7">
        <f>IFERROR(VLOOKUP(C916,TRAOPE!$G:$H,2,0),"")</f>
        <v/>
      </c>
      <c r="E916" s="8" t="inlineStr">
        <is>
          <t>D836</t>
        </is>
      </c>
      <c r="F916" s="8" t="inlineStr">
        <is>
          <t>65360507</t>
        </is>
      </c>
      <c r="G916" s="8">
        <f>IFERROR(VLOOKUP(A916,Flete!$A:$E,5,0),"")</f>
        <v/>
      </c>
      <c r="H916" s="7">
        <f>IFERROR(VLOOKUP(F916,TRAOPE!$AA:$AB,2,0),"")</f>
        <v/>
      </c>
      <c r="I916" s="7" t="n">
        <v>10000160</v>
      </c>
      <c r="J916" s="7">
        <f>IFERROR(VLOOKUP(I916,Materiales!$A:$H,8,0),"")</f>
        <v/>
      </c>
      <c r="K916" s="9">
        <f>IFERROR(VLOOKUP(I916,Materiales!$A:$G,7,0),"")</f>
        <v/>
      </c>
      <c r="L916" s="8" t="inlineStr">
        <is>
          <t>20190426</t>
        </is>
      </c>
      <c r="M916" s="8" t="inlineStr">
        <is>
          <t>20250127</t>
        </is>
      </c>
      <c r="N916" s="10" t="n">
        <v>79.23999999999999</v>
      </c>
      <c r="O916" s="10">
        <f>IFERROR(VLOOKUP(A916,Flete!$A:$J,10,0),"")</f>
        <v/>
      </c>
      <c r="P916" s="8" t="inlineStr">
        <is>
          <t>M3</t>
        </is>
      </c>
      <c r="Q916" s="10">
        <f>IFERROR(IFERROR(VLOOKUP(A916,TRAOPE!$A:$U,21,0),VLOOKUP(B916,TRAOPE!$A:$U,21,0)),"")</f>
        <v/>
      </c>
      <c r="R916" s="8">
        <f>IFERROR(IFERROR(VLOOKUP(A916,TRAOPE!$A:$W,23,0),VLOOKUP(B916,TRAOPE!$A:$W,23,0)),"")</f>
        <v/>
      </c>
      <c r="S916" s="10">
        <f>IF(AND(P916="TN",R916="TN"),N916+N(O916),IF(G916&amp;""="1",N(K916)*N916,(N916+N(O916))*N(K916)))</f>
        <v/>
      </c>
      <c r="T916" s="10">
        <f>IF(Q916="","",Q916-S916)</f>
        <v/>
      </c>
    </row>
    <row r="917">
      <c r="A917" s="7">
        <f>CONCATENATE(C917,E917,F917,I917)</f>
        <v/>
      </c>
      <c r="B917" s="7">
        <f>CONCATENATE(C917,E917,I917)</f>
        <v/>
      </c>
      <c r="C917" s="8" t="n">
        <v>900003593</v>
      </c>
      <c r="D917" s="7">
        <f>IFERROR(VLOOKUP(C917,TRAOPE!$G:$H,2,0),"")</f>
        <v/>
      </c>
      <c r="E917" s="8" t="inlineStr">
        <is>
          <t>D836</t>
        </is>
      </c>
      <c r="F917" s="8" t="inlineStr">
        <is>
          <t>65439405</t>
        </is>
      </c>
      <c r="G917" s="8">
        <f>IFERROR(VLOOKUP(A917,Flete!$A:$E,5,0),"")</f>
        <v/>
      </c>
      <c r="H917" s="7">
        <f>IFERROR(VLOOKUP(F917,TRAOPE!$AA:$AB,2,0),"")</f>
        <v/>
      </c>
      <c r="I917" s="7" t="n">
        <v>10002976</v>
      </c>
      <c r="J917" s="7">
        <f>IFERROR(VLOOKUP(I917,Materiales!$A:$H,8,0),"")</f>
        <v/>
      </c>
      <c r="K917" s="9">
        <f>IFERROR(VLOOKUP(I917,Materiales!$A:$G,7,0),"")</f>
        <v/>
      </c>
      <c r="L917" s="8" t="inlineStr">
        <is>
          <t>20190426</t>
        </is>
      </c>
      <c r="M917" s="8" t="inlineStr">
        <is>
          <t>20250127</t>
        </is>
      </c>
      <c r="N917" s="10" t="n">
        <v>61.97</v>
      </c>
      <c r="O917" s="10">
        <f>IFERROR(VLOOKUP(A917,Flete!$A:$J,10,0),"")</f>
        <v/>
      </c>
      <c r="P917" s="8" t="inlineStr">
        <is>
          <t>TN</t>
        </is>
      </c>
      <c r="Q917" s="10">
        <f>IFERROR(IFERROR(VLOOKUP(A917,TRAOPE!$A:$U,21,0),VLOOKUP(B917,TRAOPE!$A:$U,21,0)),"")</f>
        <v/>
      </c>
      <c r="R917" s="8">
        <f>IFERROR(IFERROR(VLOOKUP(A917,TRAOPE!$A:$W,23,0),VLOOKUP(B917,TRAOPE!$A:$W,23,0)),"")</f>
        <v/>
      </c>
      <c r="S917" s="10">
        <f>IF(AND(P917="TN",R917="TN"),N917+N(O917),IF(G917&amp;""="1",N(K917)*N917,(N917+N(O917))*N(K917)))</f>
        <v/>
      </c>
      <c r="T917" s="10">
        <f>IF(Q917="","",Q917-S917)</f>
        <v/>
      </c>
    </row>
    <row r="918">
      <c r="A918" s="7">
        <f>CONCATENATE(C918,E918,F918,I918)</f>
        <v/>
      </c>
      <c r="B918" s="7">
        <f>CONCATENATE(C918,E918,I918)</f>
        <v/>
      </c>
      <c r="C918" s="8" t="n">
        <v>900003593</v>
      </c>
      <c r="D918" s="7">
        <f>IFERROR(VLOOKUP(C918,TRAOPE!$G:$H,2,0),"")</f>
        <v/>
      </c>
      <c r="E918" s="8" t="inlineStr">
        <is>
          <t>D836</t>
        </is>
      </c>
      <c r="F918" s="8" t="inlineStr">
        <is>
          <t>65442270</t>
        </is>
      </c>
      <c r="G918" s="8">
        <f>IFERROR(VLOOKUP(A918,Flete!$A:$E,5,0),"")</f>
        <v/>
      </c>
      <c r="H918" s="7">
        <f>IFERROR(VLOOKUP(F918,TRAOPE!$AA:$AB,2,0),"")</f>
        <v/>
      </c>
      <c r="I918" s="7" t="n">
        <v>10000357</v>
      </c>
      <c r="J918" s="7">
        <f>IFERROR(VLOOKUP(I918,Materiales!$A:$H,8,0),"")</f>
        <v/>
      </c>
      <c r="K918" s="9">
        <f>IFERROR(VLOOKUP(I918,Materiales!$A:$G,7,0),"")</f>
        <v/>
      </c>
      <c r="L918" s="8" t="inlineStr">
        <is>
          <t>20190426</t>
        </is>
      </c>
      <c r="M918" s="8" t="inlineStr">
        <is>
          <t>20250127</t>
        </is>
      </c>
      <c r="N918" s="10" t="n">
        <v>83.72</v>
      </c>
      <c r="O918" s="10">
        <f>IFERROR(VLOOKUP(A918,Flete!$A:$J,10,0),"")</f>
        <v/>
      </c>
      <c r="P918" s="8" t="inlineStr">
        <is>
          <t>M3</t>
        </is>
      </c>
      <c r="Q918" s="10">
        <f>IFERROR(IFERROR(VLOOKUP(A918,TRAOPE!$A:$U,21,0),VLOOKUP(B918,TRAOPE!$A:$U,21,0)),"")</f>
        <v/>
      </c>
      <c r="R918" s="8">
        <f>IFERROR(IFERROR(VLOOKUP(A918,TRAOPE!$A:$W,23,0),VLOOKUP(B918,TRAOPE!$A:$W,23,0)),"")</f>
        <v/>
      </c>
      <c r="S918" s="10">
        <f>IF(AND(P918="TN",R918="TN"),N918+N(O918),IF(G918&amp;""="1",N(K918)*N918,(N918+N(O918))*N(K918)))</f>
        <v/>
      </c>
      <c r="T918" s="10">
        <f>IF(Q918="","",Q918-S918)</f>
        <v/>
      </c>
    </row>
    <row r="919">
      <c r="A919" s="7">
        <f>CONCATENATE(C919,E919,F919,I919)</f>
        <v/>
      </c>
      <c r="B919" s="7">
        <f>CONCATENATE(C919,E919,I919)</f>
        <v/>
      </c>
      <c r="C919" s="8" t="n">
        <v>900003593</v>
      </c>
      <c r="D919" s="7">
        <f>IFERROR(VLOOKUP(C919,TRAOPE!$G:$H,2,0),"")</f>
        <v/>
      </c>
      <c r="E919" s="8" t="inlineStr">
        <is>
          <t>D836</t>
        </is>
      </c>
      <c r="F919" s="8" t="inlineStr">
        <is>
          <t>65445259</t>
        </is>
      </c>
      <c r="G919" s="8">
        <f>IFERROR(VLOOKUP(A919,Flete!$A:$E,5,0),"")</f>
        <v/>
      </c>
      <c r="H919" s="7">
        <f>IFERROR(VLOOKUP(F919,TRAOPE!$AA:$AB,2,0),"")</f>
        <v/>
      </c>
      <c r="I919" s="7" t="n">
        <v>10000160</v>
      </c>
      <c r="J919" s="7">
        <f>IFERROR(VLOOKUP(I919,Materiales!$A:$H,8,0),"")</f>
        <v/>
      </c>
      <c r="K919" s="9">
        <f>IFERROR(VLOOKUP(I919,Materiales!$A:$G,7,0),"")</f>
        <v/>
      </c>
      <c r="L919" s="8" t="inlineStr">
        <is>
          <t>20190426</t>
        </is>
      </c>
      <c r="M919" s="8" t="inlineStr">
        <is>
          <t>20250127</t>
        </is>
      </c>
      <c r="N919" s="10" t="n">
        <v>66.44</v>
      </c>
      <c r="O919" s="10">
        <f>IFERROR(VLOOKUP(A919,Flete!$A:$J,10,0),"")</f>
        <v/>
      </c>
      <c r="P919" s="8" t="inlineStr">
        <is>
          <t>TN</t>
        </is>
      </c>
      <c r="Q919" s="10">
        <f>IFERROR(IFERROR(VLOOKUP(A919,TRAOPE!$A:$U,21,0),VLOOKUP(B919,TRAOPE!$A:$U,21,0)),"")</f>
        <v/>
      </c>
      <c r="R919" s="8">
        <f>IFERROR(IFERROR(VLOOKUP(A919,TRAOPE!$A:$W,23,0),VLOOKUP(B919,TRAOPE!$A:$W,23,0)),"")</f>
        <v/>
      </c>
      <c r="S919" s="10">
        <f>IF(AND(P919="TN",R919="TN"),N919+N(O919),IF(G919&amp;""="1",N(K919)*N919,(N919+N(O919))*N(K919)))</f>
        <v/>
      </c>
      <c r="T919" s="10">
        <f>IF(Q919="","",Q919-S919)</f>
        <v/>
      </c>
    </row>
    <row r="920">
      <c r="A920" s="7">
        <f>CONCATENATE(C920,E920,F920,I920)</f>
        <v/>
      </c>
      <c r="B920" s="7">
        <f>CONCATENATE(C920,E920,I920)</f>
        <v/>
      </c>
      <c r="C920" s="8" t="n">
        <v>900003593</v>
      </c>
      <c r="D920" s="7">
        <f>IFERROR(VLOOKUP(C920,TRAOPE!$G:$H,2,0),"")</f>
        <v/>
      </c>
      <c r="E920" s="8" t="inlineStr">
        <is>
          <t>D836</t>
        </is>
      </c>
      <c r="F920" s="8" t="inlineStr">
        <is>
          <t>65445261</t>
        </is>
      </c>
      <c r="G920" s="8">
        <f>IFERROR(VLOOKUP(A920,Flete!$A:$E,5,0),"")</f>
        <v/>
      </c>
      <c r="H920" s="7">
        <f>IFERROR(VLOOKUP(F920,TRAOPE!$AA:$AB,2,0),"")</f>
        <v/>
      </c>
      <c r="I920" s="7" t="n">
        <v>10000160</v>
      </c>
      <c r="J920" s="7">
        <f>IFERROR(VLOOKUP(I920,Materiales!$A:$H,8,0),"")</f>
        <v/>
      </c>
      <c r="K920" s="9">
        <f>IFERROR(VLOOKUP(I920,Materiales!$A:$G,7,0),"")</f>
        <v/>
      </c>
      <c r="L920" s="8" t="inlineStr">
        <is>
          <t>20190426</t>
        </is>
      </c>
      <c r="M920" s="8" t="inlineStr">
        <is>
          <t>20250127</t>
        </is>
      </c>
      <c r="N920" s="10" t="n">
        <v>79.23999999999999</v>
      </c>
      <c r="O920" s="10">
        <f>IFERROR(VLOOKUP(A920,Flete!$A:$J,10,0),"")</f>
        <v/>
      </c>
      <c r="P920" s="8" t="inlineStr">
        <is>
          <t>M3</t>
        </is>
      </c>
      <c r="Q920" s="10">
        <f>IFERROR(IFERROR(VLOOKUP(A920,TRAOPE!$A:$U,21,0),VLOOKUP(B920,TRAOPE!$A:$U,21,0)),"")</f>
        <v/>
      </c>
      <c r="R920" s="8">
        <f>IFERROR(IFERROR(VLOOKUP(A920,TRAOPE!$A:$W,23,0),VLOOKUP(B920,TRAOPE!$A:$W,23,0)),"")</f>
        <v/>
      </c>
      <c r="S920" s="10">
        <f>IF(AND(P920="TN",R920="TN"),N920+N(O920),IF(G920&amp;""="1",N(K920)*N920,(N920+N(O920))*N(K920)))</f>
        <v/>
      </c>
      <c r="T920" s="10">
        <f>IF(Q920="","",Q920-S920)</f>
        <v/>
      </c>
    </row>
    <row r="921">
      <c r="A921" s="7">
        <f>CONCATENATE(C921,E921,F921,I921)</f>
        <v/>
      </c>
      <c r="B921" s="7">
        <f>CONCATENATE(C921,E921,I921)</f>
        <v/>
      </c>
      <c r="C921" s="8" t="n">
        <v>900003593</v>
      </c>
      <c r="D921" s="7">
        <f>IFERROR(VLOOKUP(C921,TRAOPE!$G:$H,2,0),"")</f>
        <v/>
      </c>
      <c r="E921" s="8" t="inlineStr">
        <is>
          <t>D836</t>
        </is>
      </c>
      <c r="F921" s="8" t="inlineStr">
        <is>
          <t>65570346</t>
        </is>
      </c>
      <c r="G921" s="8">
        <f>IFERROR(VLOOKUP(A921,Flete!$A:$E,5,0),"")</f>
        <v/>
      </c>
      <c r="H921" s="7">
        <f>IFERROR(VLOOKUP(F921,TRAOPE!$AA:$AB,2,0),"")</f>
        <v/>
      </c>
      <c r="I921" s="7" t="n">
        <v>10000160</v>
      </c>
      <c r="J921" s="7">
        <f>IFERROR(VLOOKUP(I921,Materiales!$A:$H,8,0),"")</f>
        <v/>
      </c>
      <c r="K921" s="9">
        <f>IFERROR(VLOOKUP(I921,Materiales!$A:$G,7,0),"")</f>
        <v/>
      </c>
      <c r="L921" s="8" t="inlineStr">
        <is>
          <t>20190426</t>
        </is>
      </c>
      <c r="M921" s="8" t="inlineStr">
        <is>
          <t>20250127</t>
        </is>
      </c>
      <c r="N921" s="10" t="n">
        <v>82.8</v>
      </c>
      <c r="O921" s="10">
        <f>IFERROR(VLOOKUP(A921,Flete!$A:$J,10,0),"")</f>
        <v/>
      </c>
      <c r="P921" s="8" t="inlineStr">
        <is>
          <t>M3</t>
        </is>
      </c>
      <c r="Q921" s="10">
        <f>IFERROR(IFERROR(VLOOKUP(A921,TRAOPE!$A:$U,21,0),VLOOKUP(B921,TRAOPE!$A:$U,21,0)),"")</f>
        <v/>
      </c>
      <c r="R921" s="8">
        <f>IFERROR(IFERROR(VLOOKUP(A921,TRAOPE!$A:$W,23,0),VLOOKUP(B921,TRAOPE!$A:$W,23,0)),"")</f>
        <v/>
      </c>
      <c r="S921" s="10">
        <f>IF(AND(P921="TN",R921="TN"),N921+N(O921),IF(G921&amp;""="1",N(K921)*N921,(N921+N(O921))*N(K921)))</f>
        <v/>
      </c>
      <c r="T921" s="10">
        <f>IF(Q921="","",Q921-S921)</f>
        <v/>
      </c>
    </row>
    <row r="922">
      <c r="A922" s="7">
        <f>CONCATENATE(C922,E922,F922,I922)</f>
        <v/>
      </c>
      <c r="B922" s="7">
        <f>CONCATENATE(C922,E922,I922)</f>
        <v/>
      </c>
      <c r="C922" s="8" t="n">
        <v>900003593</v>
      </c>
      <c r="D922" s="7">
        <f>IFERROR(VLOOKUP(C922,TRAOPE!$G:$H,2,0),"")</f>
        <v/>
      </c>
      <c r="E922" s="8" t="inlineStr">
        <is>
          <t>D836</t>
        </is>
      </c>
      <c r="F922" s="8" t="inlineStr">
        <is>
          <t>65729122</t>
        </is>
      </c>
      <c r="G922" s="8">
        <f>IFERROR(VLOOKUP(A922,Flete!$A:$E,5,0),"")</f>
        <v/>
      </c>
      <c r="H922" s="7">
        <f>IFERROR(VLOOKUP(F922,TRAOPE!$AA:$AB,2,0),"")</f>
        <v/>
      </c>
      <c r="I922" s="7" t="n">
        <v>10000160</v>
      </c>
      <c r="J922" s="7">
        <f>IFERROR(VLOOKUP(I922,Materiales!$A:$H,8,0),"")</f>
        <v/>
      </c>
      <c r="K922" s="9">
        <f>IFERROR(VLOOKUP(I922,Materiales!$A:$G,7,0),"")</f>
        <v/>
      </c>
      <c r="L922" s="8" t="inlineStr">
        <is>
          <t>20190426</t>
        </is>
      </c>
      <c r="M922" s="8" t="inlineStr">
        <is>
          <t>20250127</t>
        </is>
      </c>
      <c r="N922" s="10" t="n">
        <v>85.33</v>
      </c>
      <c r="O922" s="10">
        <f>IFERROR(VLOOKUP(A922,Flete!$A:$J,10,0),"")</f>
        <v/>
      </c>
      <c r="P922" s="8" t="inlineStr">
        <is>
          <t>M3</t>
        </is>
      </c>
      <c r="Q922" s="10">
        <f>IFERROR(IFERROR(VLOOKUP(A922,TRAOPE!$A:$U,21,0),VLOOKUP(B922,TRAOPE!$A:$U,21,0)),"")</f>
        <v/>
      </c>
      <c r="R922" s="8">
        <f>IFERROR(IFERROR(VLOOKUP(A922,TRAOPE!$A:$W,23,0),VLOOKUP(B922,TRAOPE!$A:$W,23,0)),"")</f>
        <v/>
      </c>
      <c r="S922" s="10">
        <f>IF(AND(P922="TN",R922="TN"),N922+N(O922),IF(G922&amp;""="1",N(K922)*N922,(N922+N(O922))*N(K922)))</f>
        <v/>
      </c>
      <c r="T922" s="10">
        <f>IF(Q922="","",Q922-S922)</f>
        <v/>
      </c>
    </row>
    <row r="923">
      <c r="A923" s="7">
        <f>CONCATENATE(C923,E923,F923,I923)</f>
        <v/>
      </c>
      <c r="B923" s="7">
        <f>CONCATENATE(C923,E923,I923)</f>
        <v/>
      </c>
      <c r="C923" s="8" t="n">
        <v>900003593</v>
      </c>
      <c r="D923" s="7">
        <f>IFERROR(VLOOKUP(C923,TRAOPE!$G:$H,2,0),"")</f>
        <v/>
      </c>
      <c r="E923" s="8" t="inlineStr">
        <is>
          <t>D836</t>
        </is>
      </c>
      <c r="F923" s="8" t="inlineStr">
        <is>
          <t>65751297</t>
        </is>
      </c>
      <c r="G923" s="8">
        <f>IFERROR(VLOOKUP(A923,Flete!$A:$E,5,0),"")</f>
        <v/>
      </c>
      <c r="H923" s="7">
        <f>IFERROR(VLOOKUP(F923,TRAOPE!$AA:$AB,2,0),"")</f>
        <v/>
      </c>
      <c r="I923" s="7" t="n">
        <v>10000160</v>
      </c>
      <c r="J923" s="7">
        <f>IFERROR(VLOOKUP(I923,Materiales!$A:$H,8,0),"")</f>
        <v/>
      </c>
      <c r="K923" s="9">
        <f>IFERROR(VLOOKUP(I923,Materiales!$A:$G,7,0),"")</f>
        <v/>
      </c>
      <c r="L923" s="8" t="inlineStr">
        <is>
          <t>20190426</t>
        </is>
      </c>
      <c r="M923" s="8" t="inlineStr">
        <is>
          <t>20250127</t>
        </is>
      </c>
      <c r="N923" s="10" t="n">
        <v>62.4</v>
      </c>
      <c r="O923" s="10">
        <f>IFERROR(VLOOKUP(A923,Flete!$A:$J,10,0),"")</f>
        <v/>
      </c>
      <c r="P923" s="8" t="inlineStr">
        <is>
          <t>TN</t>
        </is>
      </c>
      <c r="Q923" s="10">
        <f>IFERROR(IFERROR(VLOOKUP(A923,TRAOPE!$A:$U,21,0),VLOOKUP(B923,TRAOPE!$A:$U,21,0)),"")</f>
        <v/>
      </c>
      <c r="R923" s="8">
        <f>IFERROR(IFERROR(VLOOKUP(A923,TRAOPE!$A:$W,23,0),VLOOKUP(B923,TRAOPE!$A:$W,23,0)),"")</f>
        <v/>
      </c>
      <c r="S923" s="10">
        <f>IF(AND(P923="TN",R923="TN"),N923+N(O923),IF(G923&amp;""="1",N(K923)*N923,(N923+N(O923))*N(K923)))</f>
        <v/>
      </c>
      <c r="T923" s="10">
        <f>IF(Q923="","",Q923-S923)</f>
        <v/>
      </c>
    </row>
    <row r="924">
      <c r="A924" s="7">
        <f>CONCATENATE(C924,E924,F924,I924)</f>
        <v/>
      </c>
      <c r="B924" s="7">
        <f>CONCATENATE(C924,E924,I924)</f>
        <v/>
      </c>
      <c r="C924" s="8" t="n">
        <v>900003593</v>
      </c>
      <c r="D924" s="7">
        <f>IFERROR(VLOOKUP(C924,TRAOPE!$G:$H,2,0),"")</f>
        <v/>
      </c>
      <c r="E924" s="8" t="inlineStr">
        <is>
          <t>D836</t>
        </is>
      </c>
      <c r="F924" s="8" t="inlineStr">
        <is>
          <t>65751297</t>
        </is>
      </c>
      <c r="G924" s="8">
        <f>IFERROR(VLOOKUP(A924,Flete!$A:$E,5,0),"")</f>
        <v/>
      </c>
      <c r="H924" s="7">
        <f>IFERROR(VLOOKUP(F924,TRAOPE!$AA:$AB,2,0),"")</f>
        <v/>
      </c>
      <c r="I924" s="7" t="n">
        <v>10002976</v>
      </c>
      <c r="J924" s="7">
        <f>IFERROR(VLOOKUP(I924,Materiales!$A:$H,8,0),"")</f>
        <v/>
      </c>
      <c r="K924" s="9">
        <f>IFERROR(VLOOKUP(I924,Materiales!$A:$G,7,0),"")</f>
        <v/>
      </c>
      <c r="L924" s="8" t="inlineStr">
        <is>
          <t>20190426</t>
        </is>
      </c>
      <c r="M924" s="8" t="inlineStr">
        <is>
          <t>20250127</t>
        </is>
      </c>
      <c r="N924" s="10" t="n">
        <v>55.64</v>
      </c>
      <c r="O924" s="10">
        <f>IFERROR(VLOOKUP(A924,Flete!$A:$J,10,0),"")</f>
        <v/>
      </c>
      <c r="P924" s="8" t="inlineStr">
        <is>
          <t>TN</t>
        </is>
      </c>
      <c r="Q924" s="10">
        <f>IFERROR(IFERROR(VLOOKUP(A924,TRAOPE!$A:$U,21,0),VLOOKUP(B924,TRAOPE!$A:$U,21,0)),"")</f>
        <v/>
      </c>
      <c r="R924" s="8">
        <f>IFERROR(IFERROR(VLOOKUP(A924,TRAOPE!$A:$W,23,0),VLOOKUP(B924,TRAOPE!$A:$W,23,0)),"")</f>
        <v/>
      </c>
      <c r="S924" s="10">
        <f>IF(AND(P924="TN",R924="TN"),N924+N(O924),IF(G924&amp;""="1",N(K924)*N924,(N924+N(O924))*N(K924)))</f>
        <v/>
      </c>
      <c r="T924" s="10">
        <f>IF(Q924="","",Q924-S924)</f>
        <v/>
      </c>
    </row>
    <row r="925">
      <c r="A925" s="7">
        <f>CONCATENATE(C925,E925,F925,I925)</f>
        <v/>
      </c>
      <c r="B925" s="7">
        <f>CONCATENATE(C925,E925,I925)</f>
        <v/>
      </c>
      <c r="C925" s="8" t="n">
        <v>900003593</v>
      </c>
      <c r="D925" s="7">
        <f>IFERROR(VLOOKUP(C925,TRAOPE!$G:$H,2,0),"")</f>
        <v/>
      </c>
      <c r="E925" s="8" t="inlineStr">
        <is>
          <t>D836</t>
        </is>
      </c>
      <c r="F925" s="8" t="inlineStr">
        <is>
          <t>65796882</t>
        </is>
      </c>
      <c r="G925" s="8">
        <f>IFERROR(VLOOKUP(A925,Flete!$A:$E,5,0),"")</f>
        <v/>
      </c>
      <c r="H925" s="7">
        <f>IFERROR(VLOOKUP(F925,TRAOPE!$AA:$AB,2,0),"")</f>
        <v/>
      </c>
      <c r="I925" s="7" t="n">
        <v>10000160</v>
      </c>
      <c r="J925" s="7">
        <f>IFERROR(VLOOKUP(I925,Materiales!$A:$H,8,0),"")</f>
        <v/>
      </c>
      <c r="K925" s="9">
        <f>IFERROR(VLOOKUP(I925,Materiales!$A:$G,7,0),"")</f>
        <v/>
      </c>
      <c r="L925" s="8" t="inlineStr">
        <is>
          <t>20190426</t>
        </is>
      </c>
      <c r="M925" s="8" t="inlineStr">
        <is>
          <t>20250127</t>
        </is>
      </c>
      <c r="N925" s="10" t="n">
        <v>82.8</v>
      </c>
      <c r="O925" s="10">
        <f>IFERROR(VLOOKUP(A925,Flete!$A:$J,10,0),"")</f>
        <v/>
      </c>
      <c r="P925" s="8" t="inlineStr">
        <is>
          <t>M3</t>
        </is>
      </c>
      <c r="Q925" s="10">
        <f>IFERROR(IFERROR(VLOOKUP(A925,TRAOPE!$A:$U,21,0),VLOOKUP(B925,TRAOPE!$A:$U,21,0)),"")</f>
        <v/>
      </c>
      <c r="R925" s="8">
        <f>IFERROR(IFERROR(VLOOKUP(A925,TRAOPE!$A:$W,23,0),VLOOKUP(B925,TRAOPE!$A:$W,23,0)),"")</f>
        <v/>
      </c>
      <c r="S925" s="10">
        <f>IF(AND(P925="TN",R925="TN"),N925+N(O925),IF(G925&amp;""="1",N(K925)*N925,(N925+N(O925))*N(K925)))</f>
        <v/>
      </c>
      <c r="T925" s="10">
        <f>IF(Q925="","",Q925-S925)</f>
        <v/>
      </c>
    </row>
    <row r="926">
      <c r="A926" s="7">
        <f>CONCATENATE(C926,E926,F926,I926)</f>
        <v/>
      </c>
      <c r="B926" s="7">
        <f>CONCATENATE(C926,E926,I926)</f>
        <v/>
      </c>
      <c r="C926" s="8" t="n">
        <v>900003593</v>
      </c>
      <c r="D926" s="7">
        <f>IFERROR(VLOOKUP(C926,TRAOPE!$G:$H,2,0),"")</f>
        <v/>
      </c>
      <c r="E926" s="8" t="inlineStr">
        <is>
          <t>D836</t>
        </is>
      </c>
      <c r="F926" s="8" t="inlineStr">
        <is>
          <t>65916616</t>
        </is>
      </c>
      <c r="G926" s="8">
        <f>IFERROR(VLOOKUP(A926,Flete!$A:$E,5,0),"")</f>
        <v/>
      </c>
      <c r="H926" s="7">
        <f>IFERROR(VLOOKUP(F926,TRAOPE!$AA:$AB,2,0),"")</f>
        <v/>
      </c>
      <c r="I926" s="7" t="n">
        <v>10000160</v>
      </c>
      <c r="J926" s="7">
        <f>IFERROR(VLOOKUP(I926,Materiales!$A:$H,8,0),"")</f>
        <v/>
      </c>
      <c r="K926" s="9">
        <f>IFERROR(VLOOKUP(I926,Materiales!$A:$G,7,0),"")</f>
        <v/>
      </c>
      <c r="L926" s="8" t="inlineStr">
        <is>
          <t>20190426</t>
        </is>
      </c>
      <c r="M926" s="8" t="inlineStr">
        <is>
          <t>20250127</t>
        </is>
      </c>
      <c r="N926" s="10" t="n">
        <v>82.8</v>
      </c>
      <c r="O926" s="10">
        <f>IFERROR(VLOOKUP(A926,Flete!$A:$J,10,0),"")</f>
        <v/>
      </c>
      <c r="P926" s="8" t="inlineStr">
        <is>
          <t>M3</t>
        </is>
      </c>
      <c r="Q926" s="10">
        <f>IFERROR(IFERROR(VLOOKUP(A926,TRAOPE!$A:$U,21,0),VLOOKUP(B926,TRAOPE!$A:$U,21,0)),"")</f>
        <v/>
      </c>
      <c r="R926" s="8">
        <f>IFERROR(IFERROR(VLOOKUP(A926,TRAOPE!$A:$W,23,0),VLOOKUP(B926,TRAOPE!$A:$W,23,0)),"")</f>
        <v/>
      </c>
      <c r="S926" s="10">
        <f>IF(AND(P926="TN",R926="TN"),N926+N(O926),IF(G926&amp;""="1",N(K926)*N926,(N926+N(O926))*N(K926)))</f>
        <v/>
      </c>
      <c r="T926" s="10">
        <f>IF(Q926="","",Q926-S926)</f>
        <v/>
      </c>
    </row>
    <row r="927">
      <c r="A927" s="7">
        <f>CONCATENATE(C927,E927,F927,I927)</f>
        <v/>
      </c>
      <c r="B927" s="7">
        <f>CONCATENATE(C927,E927,I927)</f>
        <v/>
      </c>
      <c r="C927" s="8" t="n">
        <v>900003593</v>
      </c>
      <c r="D927" s="7">
        <f>IFERROR(VLOOKUP(C927,TRAOPE!$G:$H,2,0),"")</f>
        <v/>
      </c>
      <c r="E927" s="8" t="inlineStr">
        <is>
          <t>D836</t>
        </is>
      </c>
      <c r="F927" s="8" t="inlineStr">
        <is>
          <t>65916616</t>
        </is>
      </c>
      <c r="G927" s="8">
        <f>IFERROR(VLOOKUP(A927,Flete!$A:$E,5,0),"")</f>
        <v/>
      </c>
      <c r="H927" s="7">
        <f>IFERROR(VLOOKUP(F927,TRAOPE!$AA:$AB,2,0),"")</f>
        <v/>
      </c>
      <c r="I927" s="7" t="n">
        <v>10000252</v>
      </c>
      <c r="J927" s="7">
        <f>IFERROR(VLOOKUP(I927,Materiales!$A:$H,8,0),"")</f>
        <v/>
      </c>
      <c r="K927" s="9">
        <f>IFERROR(VLOOKUP(I927,Materiales!$A:$G,7,0),"")</f>
        <v/>
      </c>
      <c r="L927" s="8" t="inlineStr">
        <is>
          <t>20190426</t>
        </is>
      </c>
      <c r="M927" s="8" t="inlineStr">
        <is>
          <t>20250127</t>
        </is>
      </c>
      <c r="N927" s="10" t="n">
        <v>80</v>
      </c>
      <c r="O927" s="10">
        <f>IFERROR(VLOOKUP(A927,Flete!$A:$J,10,0),"")</f>
        <v/>
      </c>
      <c r="P927" s="8" t="inlineStr">
        <is>
          <t>M3</t>
        </is>
      </c>
      <c r="Q927" s="10">
        <f>IFERROR(IFERROR(VLOOKUP(A927,TRAOPE!$A:$U,21,0),VLOOKUP(B927,TRAOPE!$A:$U,21,0)),"")</f>
        <v/>
      </c>
      <c r="R927" s="8">
        <f>IFERROR(IFERROR(VLOOKUP(A927,TRAOPE!$A:$W,23,0),VLOOKUP(B927,TRAOPE!$A:$W,23,0)),"")</f>
        <v/>
      </c>
      <c r="S927" s="10">
        <f>IF(AND(P927="TN",R927="TN"),N927+N(O927),IF(G927&amp;""="1",N(K927)*N927,(N927+N(O927))*N(K927)))</f>
        <v/>
      </c>
      <c r="T927" s="10">
        <f>IF(Q927="","",Q927-S927)</f>
        <v/>
      </c>
    </row>
    <row r="928">
      <c r="A928" s="7">
        <f>CONCATENATE(C928,E928,F928,I928)</f>
        <v/>
      </c>
      <c r="B928" s="7">
        <f>CONCATENATE(C928,E928,I928)</f>
        <v/>
      </c>
      <c r="C928" s="8" t="n">
        <v>900003593</v>
      </c>
      <c r="D928" s="7">
        <f>IFERROR(VLOOKUP(C928,TRAOPE!$G:$H,2,0),"")</f>
        <v/>
      </c>
      <c r="E928" s="8" t="inlineStr">
        <is>
          <t>D836</t>
        </is>
      </c>
      <c r="F928" s="8" t="inlineStr">
        <is>
          <t>66230098</t>
        </is>
      </c>
      <c r="G928" s="8">
        <f>IFERROR(VLOOKUP(A928,Flete!$A:$E,5,0),"")</f>
        <v/>
      </c>
      <c r="H928" s="7">
        <f>IFERROR(VLOOKUP(F928,TRAOPE!$AA:$AB,2,0),"")</f>
        <v/>
      </c>
      <c r="I928" s="7" t="n">
        <v>10000160</v>
      </c>
      <c r="J928" s="7">
        <f>IFERROR(VLOOKUP(I928,Materiales!$A:$H,8,0),"")</f>
        <v/>
      </c>
      <c r="K928" s="9">
        <f>IFERROR(VLOOKUP(I928,Materiales!$A:$G,7,0),"")</f>
        <v/>
      </c>
      <c r="L928" s="8" t="inlineStr">
        <is>
          <t>20190426</t>
        </is>
      </c>
      <c r="M928" s="8" t="inlineStr">
        <is>
          <t>20250127</t>
        </is>
      </c>
      <c r="N928" s="10" t="n">
        <v>82.8</v>
      </c>
      <c r="O928" s="10">
        <f>IFERROR(VLOOKUP(A928,Flete!$A:$J,10,0),"")</f>
        <v/>
      </c>
      <c r="P928" s="8" t="inlineStr">
        <is>
          <t>M3</t>
        </is>
      </c>
      <c r="Q928" s="10">
        <f>IFERROR(IFERROR(VLOOKUP(A928,TRAOPE!$A:$U,21,0),VLOOKUP(B928,TRAOPE!$A:$U,21,0)),"")</f>
        <v/>
      </c>
      <c r="R928" s="8">
        <f>IFERROR(IFERROR(VLOOKUP(A928,TRAOPE!$A:$W,23,0),VLOOKUP(B928,TRAOPE!$A:$W,23,0)),"")</f>
        <v/>
      </c>
      <c r="S928" s="10">
        <f>IF(AND(P928="TN",R928="TN"),N928+N(O928),IF(G928&amp;""="1",N(K928)*N928,(N928+N(O928))*N(K928)))</f>
        <v/>
      </c>
      <c r="T928" s="10">
        <f>IF(Q928="","",Q928-S928)</f>
        <v/>
      </c>
    </row>
    <row r="929">
      <c r="A929" s="7">
        <f>CONCATENATE(C929,E929,F929,I929)</f>
        <v/>
      </c>
      <c r="B929" s="7">
        <f>CONCATENATE(C929,E929,I929)</f>
        <v/>
      </c>
      <c r="C929" s="8" t="n">
        <v>900003593</v>
      </c>
      <c r="D929" s="7">
        <f>IFERROR(VLOOKUP(C929,TRAOPE!$G:$H,2,0),"")</f>
        <v/>
      </c>
      <c r="E929" s="8" t="inlineStr">
        <is>
          <t>D836</t>
        </is>
      </c>
      <c r="F929" s="8" t="inlineStr">
        <is>
          <t>66250932</t>
        </is>
      </c>
      <c r="G929" s="8">
        <f>IFERROR(VLOOKUP(A929,Flete!$A:$E,5,0),"")</f>
        <v/>
      </c>
      <c r="H929" s="7">
        <f>IFERROR(VLOOKUP(F929,TRAOPE!$AA:$AB,2,0),"")</f>
        <v/>
      </c>
      <c r="I929" s="7" t="n">
        <v>10000160</v>
      </c>
      <c r="J929" s="7">
        <f>IFERROR(VLOOKUP(I929,Materiales!$A:$H,8,0),"")</f>
        <v/>
      </c>
      <c r="K929" s="9">
        <f>IFERROR(VLOOKUP(I929,Materiales!$A:$G,7,0),"")</f>
        <v/>
      </c>
      <c r="L929" s="8" t="inlineStr">
        <is>
          <t>20190426</t>
        </is>
      </c>
      <c r="M929" s="8" t="inlineStr">
        <is>
          <t>20250127</t>
        </is>
      </c>
      <c r="N929" s="10" t="n">
        <v>86.25</v>
      </c>
      <c r="O929" s="10">
        <f>IFERROR(VLOOKUP(A929,Flete!$A:$J,10,0),"")</f>
        <v/>
      </c>
      <c r="P929" s="8" t="inlineStr">
        <is>
          <t>M3</t>
        </is>
      </c>
      <c r="Q929" s="10">
        <f>IFERROR(IFERROR(VLOOKUP(A929,TRAOPE!$A:$U,21,0),VLOOKUP(B929,TRAOPE!$A:$U,21,0)),"")</f>
        <v/>
      </c>
      <c r="R929" s="8">
        <f>IFERROR(IFERROR(VLOOKUP(A929,TRAOPE!$A:$W,23,0),VLOOKUP(B929,TRAOPE!$A:$W,23,0)),"")</f>
        <v/>
      </c>
      <c r="S929" s="10">
        <f>IF(AND(P929="TN",R929="TN"),N929+N(O929),IF(G929&amp;""="1",N(K929)*N929,(N929+N(O929))*N(K929)))</f>
        <v/>
      </c>
      <c r="T929" s="10">
        <f>IF(Q929="","",Q929-S929)</f>
        <v/>
      </c>
    </row>
    <row r="930">
      <c r="A930" s="7">
        <f>CONCATENATE(C930,E930,F930,I930)</f>
        <v/>
      </c>
      <c r="B930" s="7">
        <f>CONCATENATE(C930,E930,I930)</f>
        <v/>
      </c>
      <c r="C930" s="8" t="n">
        <v>900003593</v>
      </c>
      <c r="D930" s="7">
        <f>IFERROR(VLOOKUP(C930,TRAOPE!$G:$H,2,0),"")</f>
        <v/>
      </c>
      <c r="E930" s="8" t="inlineStr">
        <is>
          <t>D836</t>
        </is>
      </c>
      <c r="F930" s="8" t="inlineStr">
        <is>
          <t>66272739</t>
        </is>
      </c>
      <c r="G930" s="8">
        <f>IFERROR(VLOOKUP(A930,Flete!$A:$E,5,0),"")</f>
        <v/>
      </c>
      <c r="H930" s="7">
        <f>IFERROR(VLOOKUP(F930,TRAOPE!$AA:$AB,2,0),"")</f>
        <v/>
      </c>
      <c r="I930" s="7" t="n">
        <v>10000160</v>
      </c>
      <c r="J930" s="7">
        <f>IFERROR(VLOOKUP(I930,Materiales!$A:$H,8,0),"")</f>
        <v/>
      </c>
      <c r="K930" s="9">
        <f>IFERROR(VLOOKUP(I930,Materiales!$A:$G,7,0),"")</f>
        <v/>
      </c>
      <c r="L930" s="8" t="inlineStr">
        <is>
          <t>20190426</t>
        </is>
      </c>
      <c r="M930" s="8" t="inlineStr">
        <is>
          <t>20250127</t>
        </is>
      </c>
      <c r="N930" s="10" t="n">
        <v>86.25</v>
      </c>
      <c r="O930" s="10">
        <f>IFERROR(VLOOKUP(A930,Flete!$A:$J,10,0),"")</f>
        <v/>
      </c>
      <c r="P930" s="8" t="inlineStr">
        <is>
          <t>M3</t>
        </is>
      </c>
      <c r="Q930" s="10">
        <f>IFERROR(IFERROR(VLOOKUP(A930,TRAOPE!$A:$U,21,0),VLOOKUP(B930,TRAOPE!$A:$U,21,0)),"")</f>
        <v/>
      </c>
      <c r="R930" s="8">
        <f>IFERROR(IFERROR(VLOOKUP(A930,TRAOPE!$A:$W,23,0),VLOOKUP(B930,TRAOPE!$A:$W,23,0)),"")</f>
        <v/>
      </c>
      <c r="S930" s="10">
        <f>IF(AND(P930="TN",R930="TN"),N930+N(O930),IF(G930&amp;""="1",N(K930)*N930,(N930+N(O930))*N(K930)))</f>
        <v/>
      </c>
      <c r="T930" s="10">
        <f>IF(Q930="","",Q930-S930)</f>
        <v/>
      </c>
    </row>
    <row r="931">
      <c r="A931" s="7">
        <f>CONCATENATE(C931,E931,F931,I931)</f>
        <v/>
      </c>
      <c r="B931" s="7">
        <f>CONCATENATE(C931,E931,I931)</f>
        <v/>
      </c>
      <c r="C931" s="8" t="n">
        <v>900003593</v>
      </c>
      <c r="D931" s="7">
        <f>IFERROR(VLOOKUP(C931,TRAOPE!$G:$H,2,0),"")</f>
        <v/>
      </c>
      <c r="E931" s="8" t="inlineStr">
        <is>
          <t>D836</t>
        </is>
      </c>
      <c r="F931" s="8" t="inlineStr">
        <is>
          <t>66272739</t>
        </is>
      </c>
      <c r="G931" s="8">
        <f>IFERROR(VLOOKUP(A931,Flete!$A:$E,5,0),"")</f>
        <v/>
      </c>
      <c r="H931" s="7">
        <f>IFERROR(VLOOKUP(F931,TRAOPE!$AA:$AB,2,0),"")</f>
        <v/>
      </c>
      <c r="I931" s="7" t="n">
        <v>10000252</v>
      </c>
      <c r="J931" s="7">
        <f>IFERROR(VLOOKUP(I931,Materiales!$A:$H,8,0),"")</f>
        <v/>
      </c>
      <c r="K931" s="9">
        <f>IFERROR(VLOOKUP(I931,Materiales!$A:$G,7,0),"")</f>
        <v/>
      </c>
      <c r="L931" s="8" t="inlineStr">
        <is>
          <t>20190426</t>
        </is>
      </c>
      <c r="M931" s="8" t="inlineStr">
        <is>
          <t>20250127</t>
        </is>
      </c>
      <c r="N931" s="10" t="n">
        <v>86.25</v>
      </c>
      <c r="O931" s="10">
        <f>IFERROR(VLOOKUP(A931,Flete!$A:$J,10,0),"")</f>
        <v/>
      </c>
      <c r="P931" s="8" t="inlineStr">
        <is>
          <t>M3</t>
        </is>
      </c>
      <c r="Q931" s="10">
        <f>IFERROR(IFERROR(VLOOKUP(A931,TRAOPE!$A:$U,21,0),VLOOKUP(B931,TRAOPE!$A:$U,21,0)),"")</f>
        <v/>
      </c>
      <c r="R931" s="8">
        <f>IFERROR(IFERROR(VLOOKUP(A931,TRAOPE!$A:$W,23,0),VLOOKUP(B931,TRAOPE!$A:$W,23,0)),"")</f>
        <v/>
      </c>
      <c r="S931" s="10">
        <f>IF(AND(P931="TN",R931="TN"),N931+N(O931),IF(G931&amp;""="1",N(K931)*N931,(N931+N(O931))*N(K931)))</f>
        <v/>
      </c>
      <c r="T931" s="10">
        <f>IF(Q931="","",Q931-S931)</f>
        <v/>
      </c>
    </row>
    <row r="932">
      <c r="A932" s="7">
        <f>CONCATENATE(C932,E932,F932,I932)</f>
        <v/>
      </c>
      <c r="B932" s="7">
        <f>CONCATENATE(C932,E932,I932)</f>
        <v/>
      </c>
      <c r="C932" s="8" t="n">
        <v>900003593</v>
      </c>
      <c r="D932" s="7">
        <f>IFERROR(VLOOKUP(C932,TRAOPE!$G:$H,2,0),"")</f>
        <v/>
      </c>
      <c r="E932" s="8" t="inlineStr">
        <is>
          <t>D836</t>
        </is>
      </c>
      <c r="F932" s="8" t="inlineStr">
        <is>
          <t>66272739</t>
        </is>
      </c>
      <c r="G932" s="8">
        <f>IFERROR(VLOOKUP(A932,Flete!$A:$E,5,0),"")</f>
        <v/>
      </c>
      <c r="H932" s="7">
        <f>IFERROR(VLOOKUP(F932,TRAOPE!$AA:$AB,2,0),"")</f>
        <v/>
      </c>
      <c r="I932" s="7" t="n">
        <v>10000357</v>
      </c>
      <c r="J932" s="7">
        <f>IFERROR(VLOOKUP(I932,Materiales!$A:$H,8,0),"")</f>
        <v/>
      </c>
      <c r="K932" s="9">
        <f>IFERROR(VLOOKUP(I932,Materiales!$A:$G,7,0),"")</f>
        <v/>
      </c>
      <c r="L932" s="8" t="inlineStr">
        <is>
          <t>20190426</t>
        </is>
      </c>
      <c r="M932" s="8" t="inlineStr">
        <is>
          <t>20250127</t>
        </is>
      </c>
      <c r="N932" s="10" t="n">
        <v>86.25</v>
      </c>
      <c r="O932" s="10">
        <f>IFERROR(VLOOKUP(A932,Flete!$A:$J,10,0),"")</f>
        <v/>
      </c>
      <c r="P932" s="8" t="inlineStr">
        <is>
          <t>M3</t>
        </is>
      </c>
      <c r="Q932" s="10">
        <f>IFERROR(IFERROR(VLOOKUP(A932,TRAOPE!$A:$U,21,0),VLOOKUP(B932,TRAOPE!$A:$U,21,0)),"")</f>
        <v/>
      </c>
      <c r="R932" s="8">
        <f>IFERROR(IFERROR(VLOOKUP(A932,TRAOPE!$A:$W,23,0),VLOOKUP(B932,TRAOPE!$A:$W,23,0)),"")</f>
        <v/>
      </c>
      <c r="S932" s="10">
        <f>IF(AND(P932="TN",R932="TN"),N932+N(O932),IF(G932&amp;""="1",N(K932)*N932,(N932+N(O932))*N(K932)))</f>
        <v/>
      </c>
      <c r="T932" s="10">
        <f>IF(Q932="","",Q932-S932)</f>
        <v/>
      </c>
    </row>
    <row r="933">
      <c r="A933" s="7">
        <f>CONCATENATE(C933,E933,F933,I933)</f>
        <v/>
      </c>
      <c r="B933" s="7">
        <f>CONCATENATE(C933,E933,I933)</f>
        <v/>
      </c>
      <c r="C933" s="8" t="n">
        <v>900003593</v>
      </c>
      <c r="D933" s="7">
        <f>IFERROR(VLOOKUP(C933,TRAOPE!$G:$H,2,0),"")</f>
        <v/>
      </c>
      <c r="E933" s="8" t="inlineStr">
        <is>
          <t>D836</t>
        </is>
      </c>
      <c r="F933" s="8" t="inlineStr">
        <is>
          <t>66310610</t>
        </is>
      </c>
      <c r="G933" s="8">
        <f>IFERROR(VLOOKUP(A933,Flete!$A:$E,5,0),"")</f>
        <v/>
      </c>
      <c r="H933" s="7">
        <f>IFERROR(VLOOKUP(F933,TRAOPE!$AA:$AB,2,0),"")</f>
        <v/>
      </c>
      <c r="I933" s="7" t="n">
        <v>10000160</v>
      </c>
      <c r="J933" s="7">
        <f>IFERROR(VLOOKUP(I933,Materiales!$A:$H,8,0),"")</f>
        <v/>
      </c>
      <c r="K933" s="9">
        <f>IFERROR(VLOOKUP(I933,Materiales!$A:$G,7,0),"")</f>
        <v/>
      </c>
      <c r="L933" s="8" t="inlineStr">
        <is>
          <t>20190426</t>
        </is>
      </c>
      <c r="M933" s="8" t="inlineStr">
        <is>
          <t>20250127</t>
        </is>
      </c>
      <c r="N933" s="10" t="n">
        <v>86.25</v>
      </c>
      <c r="O933" s="10">
        <f>IFERROR(VLOOKUP(A933,Flete!$A:$J,10,0),"")</f>
        <v/>
      </c>
      <c r="P933" s="8" t="inlineStr">
        <is>
          <t>M3</t>
        </is>
      </c>
      <c r="Q933" s="10">
        <f>IFERROR(IFERROR(VLOOKUP(A933,TRAOPE!$A:$U,21,0),VLOOKUP(B933,TRAOPE!$A:$U,21,0)),"")</f>
        <v/>
      </c>
      <c r="R933" s="8">
        <f>IFERROR(IFERROR(VLOOKUP(A933,TRAOPE!$A:$W,23,0),VLOOKUP(B933,TRAOPE!$A:$W,23,0)),"")</f>
        <v/>
      </c>
      <c r="S933" s="10">
        <f>IF(AND(P933="TN",R933="TN"),N933+N(O933),IF(G933&amp;""="1",N(K933)*N933,(N933+N(O933))*N(K933)))</f>
        <v/>
      </c>
      <c r="T933" s="10">
        <f>IF(Q933="","",Q933-S933)</f>
        <v/>
      </c>
    </row>
    <row r="934">
      <c r="A934" s="7">
        <f>CONCATENATE(C934,E934,F934,I934)</f>
        <v/>
      </c>
      <c r="B934" s="7">
        <f>CONCATENATE(C934,E934,I934)</f>
        <v/>
      </c>
      <c r="C934" s="8" t="n">
        <v>900003593</v>
      </c>
      <c r="D934" s="7">
        <f>IFERROR(VLOOKUP(C934,TRAOPE!$G:$H,2,0),"")</f>
        <v/>
      </c>
      <c r="E934" s="8" t="inlineStr">
        <is>
          <t>D836</t>
        </is>
      </c>
      <c r="F934" s="8" t="inlineStr">
        <is>
          <t>66310610</t>
        </is>
      </c>
      <c r="G934" s="8">
        <f>IFERROR(VLOOKUP(A934,Flete!$A:$E,5,0),"")</f>
        <v/>
      </c>
      <c r="H934" s="7">
        <f>IFERROR(VLOOKUP(F934,TRAOPE!$AA:$AB,2,0),"")</f>
        <v/>
      </c>
      <c r="I934" s="7" t="n">
        <v>10000252</v>
      </c>
      <c r="J934" s="7">
        <f>IFERROR(VLOOKUP(I934,Materiales!$A:$H,8,0),"")</f>
        <v/>
      </c>
      <c r="K934" s="9">
        <f>IFERROR(VLOOKUP(I934,Materiales!$A:$G,7,0),"")</f>
        <v/>
      </c>
      <c r="L934" s="8" t="inlineStr">
        <is>
          <t>20190426</t>
        </is>
      </c>
      <c r="M934" s="8" t="inlineStr">
        <is>
          <t>20250127</t>
        </is>
      </c>
      <c r="N934" s="10" t="n">
        <v>86.25</v>
      </c>
      <c r="O934" s="10">
        <f>IFERROR(VLOOKUP(A934,Flete!$A:$J,10,0),"")</f>
        <v/>
      </c>
      <c r="P934" s="8" t="inlineStr">
        <is>
          <t>M3</t>
        </is>
      </c>
      <c r="Q934" s="10">
        <f>IFERROR(IFERROR(VLOOKUP(A934,TRAOPE!$A:$U,21,0),VLOOKUP(B934,TRAOPE!$A:$U,21,0)),"")</f>
        <v/>
      </c>
      <c r="R934" s="8">
        <f>IFERROR(IFERROR(VLOOKUP(A934,TRAOPE!$A:$W,23,0),VLOOKUP(B934,TRAOPE!$A:$W,23,0)),"")</f>
        <v/>
      </c>
      <c r="S934" s="10">
        <f>IF(AND(P934="TN",R934="TN"),N934+N(O934),IF(G934&amp;""="1",N(K934)*N934,(N934+N(O934))*N(K934)))</f>
        <v/>
      </c>
      <c r="T934" s="10">
        <f>IF(Q934="","",Q934-S934)</f>
        <v/>
      </c>
    </row>
    <row r="935">
      <c r="A935" s="7">
        <f>CONCATENATE(C935,E935,F935,I935)</f>
        <v/>
      </c>
      <c r="B935" s="7">
        <f>CONCATENATE(C935,E935,I935)</f>
        <v/>
      </c>
      <c r="C935" s="8" t="n">
        <v>900003597</v>
      </c>
      <c r="D935" s="7">
        <f>IFERROR(VLOOKUP(C935,TRAOPE!$G:$H,2,0),"")</f>
        <v/>
      </c>
      <c r="E935" s="8" t="inlineStr">
        <is>
          <t>D836</t>
        </is>
      </c>
      <c r="F935" s="8" t="inlineStr">
        <is>
          <t>65625331</t>
        </is>
      </c>
      <c r="G935" s="8">
        <f>IFERROR(VLOOKUP(A935,Flete!$A:$E,5,0),"")</f>
        <v/>
      </c>
      <c r="H935" s="7">
        <f>IFERROR(VLOOKUP(F935,TRAOPE!$AA:$AB,2,0),"")</f>
        <v/>
      </c>
      <c r="I935" s="7" t="n">
        <v>10000811</v>
      </c>
      <c r="J935" s="7">
        <f>IFERROR(VLOOKUP(I935,Materiales!$A:$H,8,0),"")</f>
        <v/>
      </c>
      <c r="K935" s="9">
        <f>IFERROR(VLOOKUP(I935,Materiales!$A:$G,7,0),"")</f>
        <v/>
      </c>
      <c r="L935" s="8" t="inlineStr">
        <is>
          <t>20190426</t>
        </is>
      </c>
      <c r="M935" s="8" t="inlineStr">
        <is>
          <t>20250127</t>
        </is>
      </c>
      <c r="N935" s="10" t="n">
        <v>139.95</v>
      </c>
      <c r="O935" s="10">
        <f>IFERROR(VLOOKUP(A935,Flete!$A:$J,10,0),"")</f>
        <v/>
      </c>
      <c r="P935" s="8" t="inlineStr">
        <is>
          <t>M3</t>
        </is>
      </c>
      <c r="Q935" s="10">
        <f>IFERROR(IFERROR(VLOOKUP(A935,TRAOPE!$A:$U,21,0),VLOOKUP(B935,TRAOPE!$A:$U,21,0)),"")</f>
        <v/>
      </c>
      <c r="R935" s="8">
        <f>IFERROR(IFERROR(VLOOKUP(A935,TRAOPE!$A:$W,23,0),VLOOKUP(B935,TRAOPE!$A:$W,23,0)),"")</f>
        <v/>
      </c>
      <c r="S935" s="10">
        <f>IF(AND(P935="TN",R935="TN"),N935+N(O935),IF(G935&amp;""="1",N(K935)*N935,(N935+N(O935))*N(K935)))</f>
        <v/>
      </c>
      <c r="T935" s="10">
        <f>IF(Q935="","",Q935-S935)</f>
        <v/>
      </c>
    </row>
    <row r="936">
      <c r="A936" s="7">
        <f>CONCATENATE(C936,E936,F936,I936)</f>
        <v/>
      </c>
      <c r="B936" s="7">
        <f>CONCATENATE(C936,E936,I936)</f>
        <v/>
      </c>
      <c r="C936" s="8" t="n">
        <v>900003599</v>
      </c>
      <c r="D936" s="7">
        <f>IFERROR(VLOOKUP(C936,TRAOPE!$G:$H,2,0),"")</f>
        <v/>
      </c>
      <c r="E936" s="8" t="inlineStr">
        <is>
          <t>D836</t>
        </is>
      </c>
      <c r="F936" s="8" t="inlineStr">
        <is>
          <t>65003945</t>
        </is>
      </c>
      <c r="G936" s="8">
        <f>IFERROR(VLOOKUP(A936,Flete!$A:$E,5,0),"")</f>
        <v/>
      </c>
      <c r="H936" s="7">
        <f>IFERROR(VLOOKUP(F936,TRAOPE!$AA:$AB,2,0),"")</f>
        <v/>
      </c>
      <c r="I936" s="7" t="n">
        <v>10000623</v>
      </c>
      <c r="J936" s="7">
        <f>IFERROR(VLOOKUP(I936,Materiales!$A:$H,8,0),"")</f>
        <v/>
      </c>
      <c r="K936" s="9">
        <f>IFERROR(VLOOKUP(I936,Materiales!$A:$G,7,0),"")</f>
        <v/>
      </c>
      <c r="L936" s="8" t="inlineStr">
        <is>
          <t>20190426</t>
        </is>
      </c>
      <c r="M936" s="8" t="inlineStr">
        <is>
          <t>20250127</t>
        </is>
      </c>
      <c r="N936" s="10" t="n">
        <v>120</v>
      </c>
      <c r="O936" s="10">
        <f>IFERROR(VLOOKUP(A936,Flete!$A:$J,10,0),"")</f>
        <v/>
      </c>
      <c r="P936" s="8" t="inlineStr">
        <is>
          <t>M3</t>
        </is>
      </c>
      <c r="Q936" s="10">
        <f>IFERROR(IFERROR(VLOOKUP(A936,TRAOPE!$A:$U,21,0),VLOOKUP(B936,TRAOPE!$A:$U,21,0)),"")</f>
        <v/>
      </c>
      <c r="R936" s="8">
        <f>IFERROR(IFERROR(VLOOKUP(A936,TRAOPE!$A:$W,23,0),VLOOKUP(B936,TRAOPE!$A:$W,23,0)),"")</f>
        <v/>
      </c>
      <c r="S936" s="10">
        <f>IF(AND(P936="TN",R936="TN"),N936+N(O936),IF(G936&amp;""="1",N(K936)*N936,(N936+N(O936))*N(K936)))</f>
        <v/>
      </c>
      <c r="T936" s="10">
        <f>IF(Q936="","",Q936-S936)</f>
        <v/>
      </c>
    </row>
    <row r="937">
      <c r="A937" s="7">
        <f>CONCATENATE(C937,E937,F937,I937)</f>
        <v/>
      </c>
      <c r="B937" s="7">
        <f>CONCATENATE(C937,E937,I937)</f>
        <v/>
      </c>
      <c r="C937" s="8" t="n">
        <v>900003599</v>
      </c>
      <c r="D937" s="7">
        <f>IFERROR(VLOOKUP(C937,TRAOPE!$G:$H,2,0),"")</f>
        <v/>
      </c>
      <c r="E937" s="8" t="inlineStr">
        <is>
          <t>D836</t>
        </is>
      </c>
      <c r="F937" s="8" t="inlineStr">
        <is>
          <t>66212637</t>
        </is>
      </c>
      <c r="G937" s="8">
        <f>IFERROR(VLOOKUP(A937,Flete!$A:$E,5,0),"")</f>
        <v/>
      </c>
      <c r="H937" s="7">
        <f>IFERROR(VLOOKUP(F937,TRAOPE!$AA:$AB,2,0),"")</f>
        <v/>
      </c>
      <c r="I937" s="7" t="n">
        <v>10019515</v>
      </c>
      <c r="J937" s="7">
        <f>IFERROR(VLOOKUP(I937,Materiales!$A:$H,8,0),"")</f>
        <v/>
      </c>
      <c r="K937" s="9">
        <f>IFERROR(VLOOKUP(I937,Materiales!$A:$G,7,0),"")</f>
        <v/>
      </c>
      <c r="L937" s="8" t="inlineStr">
        <is>
          <t>20190426</t>
        </is>
      </c>
      <c r="M937" s="8" t="inlineStr">
        <is>
          <t>20250127</t>
        </is>
      </c>
      <c r="N937" s="10" t="n">
        <v>140</v>
      </c>
      <c r="O937" s="10">
        <f>IFERROR(VLOOKUP(A937,Flete!$A:$J,10,0),"")</f>
        <v/>
      </c>
      <c r="P937" s="8" t="inlineStr">
        <is>
          <t>M3</t>
        </is>
      </c>
      <c r="Q937" s="10">
        <f>IFERROR(IFERROR(VLOOKUP(A937,TRAOPE!$A:$U,21,0),VLOOKUP(B937,TRAOPE!$A:$U,21,0)),"")</f>
        <v/>
      </c>
      <c r="R937" s="8">
        <f>IFERROR(IFERROR(VLOOKUP(A937,TRAOPE!$A:$W,23,0),VLOOKUP(B937,TRAOPE!$A:$W,23,0)),"")</f>
        <v/>
      </c>
      <c r="S937" s="10">
        <f>IF(AND(P937="TN",R937="TN"),N937+N(O937),IF(G937&amp;""="1",N(K937)*N937,(N937+N(O937))*N(K937)))</f>
        <v/>
      </c>
      <c r="T937" s="10">
        <f>IF(Q937="","",Q937-S937)</f>
        <v/>
      </c>
    </row>
    <row r="938">
      <c r="A938" s="7">
        <f>CONCATENATE(C938,E938,F938,I938)</f>
        <v/>
      </c>
      <c r="B938" s="7">
        <f>CONCATENATE(C938,E938,I938)</f>
        <v/>
      </c>
      <c r="C938" s="8" t="n">
        <v>900003599</v>
      </c>
      <c r="D938" s="7">
        <f>IFERROR(VLOOKUP(C938,TRAOPE!$G:$H,2,0),"")</f>
        <v/>
      </c>
      <c r="E938" s="8" t="inlineStr">
        <is>
          <t>D836</t>
        </is>
      </c>
      <c r="F938" s="8" t="inlineStr">
        <is>
          <t>66212637</t>
        </is>
      </c>
      <c r="G938" s="8">
        <f>IFERROR(VLOOKUP(A938,Flete!$A:$E,5,0),"")</f>
        <v/>
      </c>
      <c r="H938" s="7">
        <f>IFERROR(VLOOKUP(F938,TRAOPE!$AA:$AB,2,0),"")</f>
        <v/>
      </c>
      <c r="I938" s="7" t="n">
        <v>10153352</v>
      </c>
      <c r="J938" s="7">
        <f>IFERROR(VLOOKUP(I938,Materiales!$A:$H,8,0),"")</f>
        <v/>
      </c>
      <c r="K938" s="9">
        <f>IFERROR(VLOOKUP(I938,Materiales!$A:$G,7,0),"")</f>
        <v/>
      </c>
      <c r="L938" s="8" t="inlineStr">
        <is>
          <t>20190426</t>
        </is>
      </c>
      <c r="M938" s="8" t="inlineStr">
        <is>
          <t>20250127</t>
        </is>
      </c>
      <c r="N938" s="10" t="n">
        <v>195</v>
      </c>
      <c r="O938" s="10">
        <f>IFERROR(VLOOKUP(A938,Flete!$A:$J,10,0),"")</f>
        <v/>
      </c>
      <c r="P938" s="8" t="inlineStr">
        <is>
          <t>M3</t>
        </is>
      </c>
      <c r="Q938" s="10">
        <f>IFERROR(IFERROR(VLOOKUP(A938,TRAOPE!$A:$U,21,0),VLOOKUP(B938,TRAOPE!$A:$U,21,0)),"")</f>
        <v/>
      </c>
      <c r="R938" s="8">
        <f>IFERROR(IFERROR(VLOOKUP(A938,TRAOPE!$A:$W,23,0),VLOOKUP(B938,TRAOPE!$A:$W,23,0)),"")</f>
        <v/>
      </c>
      <c r="S938" s="10">
        <f>IF(AND(P938="TN",R938="TN"),N938+N(O938),IF(G938&amp;""="1",N(K938)*N938,(N938+N(O938))*N(K938)))</f>
        <v/>
      </c>
      <c r="T938" s="10">
        <f>IF(Q938="","",Q938-S938)</f>
        <v/>
      </c>
    </row>
    <row r="939">
      <c r="A939" s="7">
        <f>CONCATENATE(C939,E939,F939,I939)</f>
        <v/>
      </c>
      <c r="B939" s="7">
        <f>CONCATENATE(C939,E939,I939)</f>
        <v/>
      </c>
      <c r="C939" s="8" t="n">
        <v>900003599</v>
      </c>
      <c r="D939" s="7">
        <f>IFERROR(VLOOKUP(C939,TRAOPE!$G:$H,2,0),"")</f>
        <v/>
      </c>
      <c r="E939" s="8" t="inlineStr">
        <is>
          <t>D836</t>
        </is>
      </c>
      <c r="F939" s="8" t="inlineStr">
        <is>
          <t>66450072</t>
        </is>
      </c>
      <c r="G939" s="8">
        <f>IFERROR(VLOOKUP(A939,Flete!$A:$E,5,0),"")</f>
        <v/>
      </c>
      <c r="H939" s="7">
        <f>IFERROR(VLOOKUP(F939,TRAOPE!$AA:$AB,2,0),"")</f>
        <v/>
      </c>
      <c r="I939" s="7" t="n">
        <v>10000623</v>
      </c>
      <c r="J939" s="7">
        <f>IFERROR(VLOOKUP(I939,Materiales!$A:$H,8,0),"")</f>
        <v/>
      </c>
      <c r="K939" s="9">
        <f>IFERROR(VLOOKUP(I939,Materiales!$A:$G,7,0),"")</f>
        <v/>
      </c>
      <c r="L939" s="8" t="inlineStr">
        <is>
          <t>20190426</t>
        </is>
      </c>
      <c r="M939" s="8" t="inlineStr">
        <is>
          <t>20250127</t>
        </is>
      </c>
      <c r="N939" s="10" t="n">
        <v>165.5</v>
      </c>
      <c r="O939" s="10">
        <f>IFERROR(VLOOKUP(A939,Flete!$A:$J,10,0),"")</f>
        <v/>
      </c>
      <c r="P939" s="8" t="inlineStr">
        <is>
          <t>M3</t>
        </is>
      </c>
      <c r="Q939" s="10">
        <f>IFERROR(IFERROR(VLOOKUP(A939,TRAOPE!$A:$U,21,0),VLOOKUP(B939,TRAOPE!$A:$U,21,0)),"")</f>
        <v/>
      </c>
      <c r="R939" s="8">
        <f>IFERROR(IFERROR(VLOOKUP(A939,TRAOPE!$A:$W,23,0),VLOOKUP(B939,TRAOPE!$A:$W,23,0)),"")</f>
        <v/>
      </c>
      <c r="S939" s="10">
        <f>IF(AND(P939="TN",R939="TN"),N939+N(O939),IF(G939&amp;""="1",N(K939)*N939,(N939+N(O939))*N(K939)))</f>
        <v/>
      </c>
      <c r="T939" s="10">
        <f>IF(Q939="","",Q939-S939)</f>
        <v/>
      </c>
    </row>
    <row r="940">
      <c r="A940" s="7">
        <f>CONCATENATE(C940,E940,F940,I940)</f>
        <v/>
      </c>
      <c r="B940" s="7">
        <f>CONCATENATE(C940,E940,I940)</f>
        <v/>
      </c>
      <c r="C940" s="8" t="n">
        <v>900003599</v>
      </c>
      <c r="D940" s="7">
        <f>IFERROR(VLOOKUP(C940,TRAOPE!$G:$H,2,0),"")</f>
        <v/>
      </c>
      <c r="E940" s="8" t="inlineStr">
        <is>
          <t>D836</t>
        </is>
      </c>
      <c r="F940" s="8" t="inlineStr">
        <is>
          <t>66571963</t>
        </is>
      </c>
      <c r="G940" s="8">
        <f>IFERROR(VLOOKUP(A940,Flete!$A:$E,5,0),"")</f>
        <v/>
      </c>
      <c r="H940" s="7">
        <f>IFERROR(VLOOKUP(F940,TRAOPE!$AA:$AB,2,0),"")</f>
        <v/>
      </c>
      <c r="I940" s="7" t="n">
        <v>10000360</v>
      </c>
      <c r="J940" s="7">
        <f>IFERROR(VLOOKUP(I940,Materiales!$A:$H,8,0),"")</f>
        <v/>
      </c>
      <c r="K940" s="9">
        <f>IFERROR(VLOOKUP(I940,Materiales!$A:$G,7,0),"")</f>
        <v/>
      </c>
      <c r="L940" s="8" t="inlineStr">
        <is>
          <t>20190426</t>
        </is>
      </c>
      <c r="M940" s="8" t="inlineStr">
        <is>
          <t>20250127</t>
        </is>
      </c>
      <c r="N940" s="10" t="n">
        <v>72</v>
      </c>
      <c r="O940" s="10">
        <f>IFERROR(VLOOKUP(A940,Flete!$A:$J,10,0),"")</f>
        <v/>
      </c>
      <c r="P940" s="8" t="inlineStr">
        <is>
          <t>M3</t>
        </is>
      </c>
      <c r="Q940" s="10">
        <f>IFERROR(IFERROR(VLOOKUP(A940,TRAOPE!$A:$U,21,0),VLOOKUP(B940,TRAOPE!$A:$U,21,0)),"")</f>
        <v/>
      </c>
      <c r="R940" s="8">
        <f>IFERROR(IFERROR(VLOOKUP(A940,TRAOPE!$A:$W,23,0),VLOOKUP(B940,TRAOPE!$A:$W,23,0)),"")</f>
        <v/>
      </c>
      <c r="S940" s="10">
        <f>IF(AND(P940="TN",R940="TN"),N940+N(O940),IF(G940&amp;""="1",N(K940)*N940,(N940+N(O940))*N(K940)))</f>
        <v/>
      </c>
      <c r="T940" s="10">
        <f>IF(Q940="","",Q940-S940)</f>
        <v/>
      </c>
    </row>
    <row r="941">
      <c r="A941" s="7">
        <f>CONCATENATE(C941,E941,F941,I941)</f>
        <v/>
      </c>
      <c r="B941" s="7">
        <f>CONCATENATE(C941,E941,I941)</f>
        <v/>
      </c>
      <c r="C941" s="8" t="n">
        <v>900003599</v>
      </c>
      <c r="D941" s="7">
        <f>IFERROR(VLOOKUP(C941,TRAOPE!$G:$H,2,0),"")</f>
        <v/>
      </c>
      <c r="E941" s="8" t="inlineStr">
        <is>
          <t>D836</t>
        </is>
      </c>
      <c r="F941" s="8" t="inlineStr">
        <is>
          <t>66582580</t>
        </is>
      </c>
      <c r="G941" s="8">
        <f>IFERROR(VLOOKUP(A941,Flete!$A:$E,5,0),"")</f>
        <v/>
      </c>
      <c r="H941" s="7">
        <f>IFERROR(VLOOKUP(F941,TRAOPE!$AA:$AB,2,0),"")</f>
        <v/>
      </c>
      <c r="I941" s="7" t="n">
        <v>10000630</v>
      </c>
      <c r="J941" s="7">
        <f>IFERROR(VLOOKUP(I941,Materiales!$A:$H,8,0),"")</f>
        <v/>
      </c>
      <c r="K941" s="9">
        <f>IFERROR(VLOOKUP(I941,Materiales!$A:$G,7,0),"")</f>
        <v/>
      </c>
      <c r="L941" s="8" t="inlineStr">
        <is>
          <t>20190426</t>
        </is>
      </c>
      <c r="M941" s="8" t="inlineStr">
        <is>
          <t>20250127</t>
        </is>
      </c>
      <c r="N941" s="10" t="n">
        <v>140</v>
      </c>
      <c r="O941" s="10">
        <f>IFERROR(VLOOKUP(A941,Flete!$A:$J,10,0),"")</f>
        <v/>
      </c>
      <c r="P941" s="8" t="inlineStr">
        <is>
          <t>M3</t>
        </is>
      </c>
      <c r="Q941" s="10">
        <f>IFERROR(IFERROR(VLOOKUP(A941,TRAOPE!$A:$U,21,0),VLOOKUP(B941,TRAOPE!$A:$U,21,0)),"")</f>
        <v/>
      </c>
      <c r="R941" s="8">
        <f>IFERROR(IFERROR(VLOOKUP(A941,TRAOPE!$A:$W,23,0),VLOOKUP(B941,TRAOPE!$A:$W,23,0)),"")</f>
        <v/>
      </c>
      <c r="S941" s="10">
        <f>IF(AND(P941="TN",R941="TN"),N941+N(O941),IF(G941&amp;""="1",N(K941)*N941,(N941+N(O941))*N(K941)))</f>
        <v/>
      </c>
      <c r="T941" s="10">
        <f>IF(Q941="","",Q941-S941)</f>
        <v/>
      </c>
    </row>
    <row r="942">
      <c r="A942" s="7">
        <f>CONCATENATE(C942,E942,F942,I942)</f>
        <v/>
      </c>
      <c r="B942" s="7">
        <f>CONCATENATE(C942,E942,I942)</f>
        <v/>
      </c>
      <c r="C942" s="8" t="n">
        <v>900003599</v>
      </c>
      <c r="D942" s="7">
        <f>IFERROR(VLOOKUP(C942,TRAOPE!$G:$H,2,0),"")</f>
        <v/>
      </c>
      <c r="E942" s="8" t="inlineStr">
        <is>
          <t>D836</t>
        </is>
      </c>
      <c r="F942" s="8" t="inlineStr">
        <is>
          <t>66815444</t>
        </is>
      </c>
      <c r="G942" s="8">
        <f>IFERROR(VLOOKUP(A942,Flete!$A:$E,5,0),"")</f>
        <v/>
      </c>
      <c r="H942" s="7">
        <f>IFERROR(VLOOKUP(F942,TRAOPE!$AA:$AB,2,0),"")</f>
        <v/>
      </c>
      <c r="I942" s="7" t="n">
        <v>10000160</v>
      </c>
      <c r="J942" s="7">
        <f>IFERROR(VLOOKUP(I942,Materiales!$A:$H,8,0),"")</f>
        <v/>
      </c>
      <c r="K942" s="9">
        <f>IFERROR(VLOOKUP(I942,Materiales!$A:$G,7,0),"")</f>
        <v/>
      </c>
      <c r="L942" s="8" t="inlineStr">
        <is>
          <t>20190426</t>
        </is>
      </c>
      <c r="M942" s="8" t="inlineStr">
        <is>
          <t>20250127</t>
        </is>
      </c>
      <c r="N942" s="10" t="n">
        <v>65</v>
      </c>
      <c r="O942" s="10">
        <f>IFERROR(VLOOKUP(A942,Flete!$A:$J,10,0),"")</f>
        <v/>
      </c>
      <c r="P942" s="8" t="inlineStr">
        <is>
          <t>M3</t>
        </is>
      </c>
      <c r="Q942" s="10">
        <f>IFERROR(IFERROR(VLOOKUP(A942,TRAOPE!$A:$U,21,0),VLOOKUP(B942,TRAOPE!$A:$U,21,0)),"")</f>
        <v/>
      </c>
      <c r="R942" s="8">
        <f>IFERROR(IFERROR(VLOOKUP(A942,TRAOPE!$A:$W,23,0),VLOOKUP(B942,TRAOPE!$A:$W,23,0)),"")</f>
        <v/>
      </c>
      <c r="S942" s="10">
        <f>IF(AND(P942="TN",R942="TN"),N942+N(O942),IF(G942&amp;""="1",N(K942)*N942,(N942+N(O942))*N(K942)))</f>
        <v/>
      </c>
      <c r="T942" s="10">
        <f>IF(Q942="","",Q942-S942)</f>
        <v/>
      </c>
    </row>
    <row r="943">
      <c r="A943" s="7">
        <f>CONCATENATE(C943,E943,F943,I943)</f>
        <v/>
      </c>
      <c r="B943" s="7">
        <f>CONCATENATE(C943,E943,I943)</f>
        <v/>
      </c>
      <c r="C943" s="8" t="n">
        <v>900003601</v>
      </c>
      <c r="D943" s="7">
        <f>IFERROR(VLOOKUP(C943,TRAOPE!$G:$H,2,0),"")</f>
        <v/>
      </c>
      <c r="E943" s="8" t="inlineStr">
        <is>
          <t>D836</t>
        </is>
      </c>
      <c r="F943" s="8" t="inlineStr">
        <is>
          <t>65002173</t>
        </is>
      </c>
      <c r="G943" s="8">
        <f>IFERROR(VLOOKUP(A943,Flete!$A:$E,5,0),"")</f>
        <v/>
      </c>
      <c r="H943" s="7">
        <f>IFERROR(VLOOKUP(F943,TRAOPE!$AA:$AB,2,0),"")</f>
        <v/>
      </c>
      <c r="I943" s="7" t="n">
        <v>10000624</v>
      </c>
      <c r="J943" s="7">
        <f>IFERROR(VLOOKUP(I943,Materiales!$A:$H,8,0),"")</f>
        <v/>
      </c>
      <c r="K943" s="9">
        <f>IFERROR(VLOOKUP(I943,Materiales!$A:$G,7,0),"")</f>
        <v/>
      </c>
      <c r="L943" s="8" t="inlineStr">
        <is>
          <t>20190426</t>
        </is>
      </c>
      <c r="M943" s="8" t="inlineStr">
        <is>
          <t>20250127</t>
        </is>
      </c>
      <c r="N943" s="10" t="n">
        <v>102.74</v>
      </c>
      <c r="O943" s="10">
        <f>IFERROR(VLOOKUP(A943,Flete!$A:$J,10,0),"")</f>
        <v/>
      </c>
      <c r="P943" s="8" t="inlineStr">
        <is>
          <t>TN</t>
        </is>
      </c>
      <c r="Q943" s="10">
        <f>IFERROR(IFERROR(VLOOKUP(A943,TRAOPE!$A:$U,21,0),VLOOKUP(B943,TRAOPE!$A:$U,21,0)),"")</f>
        <v/>
      </c>
      <c r="R943" s="8">
        <f>IFERROR(IFERROR(VLOOKUP(A943,TRAOPE!$A:$W,23,0),VLOOKUP(B943,TRAOPE!$A:$W,23,0)),"")</f>
        <v/>
      </c>
      <c r="S943" s="10">
        <f>IF(AND(P943="TN",R943="TN"),N943+N(O943),IF(G943&amp;""="1",N(K943)*N943,(N943+N(O943))*N(K943)))</f>
        <v/>
      </c>
      <c r="T943" s="10">
        <f>IF(Q943="","",Q943-S943)</f>
        <v/>
      </c>
    </row>
    <row r="944">
      <c r="A944" s="7">
        <f>CONCATENATE(C944,E944,F944,I944)</f>
        <v/>
      </c>
      <c r="B944" s="7">
        <f>CONCATENATE(C944,E944,I944)</f>
        <v/>
      </c>
      <c r="C944" s="8" t="n">
        <v>900003601</v>
      </c>
      <c r="D944" s="7">
        <f>IFERROR(VLOOKUP(C944,TRAOPE!$G:$H,2,0),"")</f>
        <v/>
      </c>
      <c r="E944" s="8" t="inlineStr">
        <is>
          <t>D836</t>
        </is>
      </c>
      <c r="F944" s="8" t="inlineStr">
        <is>
          <t>65002610</t>
        </is>
      </c>
      <c r="G944" s="8">
        <f>IFERROR(VLOOKUP(A944,Flete!$A:$E,5,0),"")</f>
        <v/>
      </c>
      <c r="H944" s="7">
        <f>IFERROR(VLOOKUP(F944,TRAOPE!$AA:$AB,2,0),"")</f>
        <v/>
      </c>
      <c r="I944" s="7" t="n">
        <v>10000623</v>
      </c>
      <c r="J944" s="7">
        <f>IFERROR(VLOOKUP(I944,Materiales!$A:$H,8,0),"")</f>
        <v/>
      </c>
      <c r="K944" s="9">
        <f>IFERROR(VLOOKUP(I944,Materiales!$A:$G,7,0),"")</f>
        <v/>
      </c>
      <c r="L944" s="8" t="inlineStr">
        <is>
          <t>20190426</t>
        </is>
      </c>
      <c r="M944" s="8" t="inlineStr">
        <is>
          <t>20250127</t>
        </is>
      </c>
      <c r="N944" s="10" t="n">
        <v>104.5</v>
      </c>
      <c r="O944" s="10">
        <f>IFERROR(VLOOKUP(A944,Flete!$A:$J,10,0),"")</f>
        <v/>
      </c>
      <c r="P944" s="8" t="inlineStr">
        <is>
          <t>TN</t>
        </is>
      </c>
      <c r="Q944" s="10">
        <f>IFERROR(IFERROR(VLOOKUP(A944,TRAOPE!$A:$U,21,0),VLOOKUP(B944,TRAOPE!$A:$U,21,0)),"")</f>
        <v/>
      </c>
      <c r="R944" s="8">
        <f>IFERROR(IFERROR(VLOOKUP(A944,TRAOPE!$A:$W,23,0),VLOOKUP(B944,TRAOPE!$A:$W,23,0)),"")</f>
        <v/>
      </c>
      <c r="S944" s="10">
        <f>IF(AND(P944="TN",R944="TN"),N944+N(O944),IF(G944&amp;""="1",N(K944)*N944,(N944+N(O944))*N(K944)))</f>
        <v/>
      </c>
      <c r="T944" s="10">
        <f>IF(Q944="","",Q944-S944)</f>
        <v/>
      </c>
    </row>
    <row r="945">
      <c r="A945" s="7">
        <f>CONCATENATE(C945,E945,F945,I945)</f>
        <v/>
      </c>
      <c r="B945" s="7">
        <f>CONCATENATE(C945,E945,I945)</f>
        <v/>
      </c>
      <c r="C945" s="8" t="n">
        <v>900003601</v>
      </c>
      <c r="D945" s="7">
        <f>IFERROR(VLOOKUP(C945,TRAOPE!$G:$H,2,0),"")</f>
        <v/>
      </c>
      <c r="E945" s="8" t="inlineStr">
        <is>
          <t>D836</t>
        </is>
      </c>
      <c r="F945" s="8" t="inlineStr">
        <is>
          <t>65003945</t>
        </is>
      </c>
      <c r="G945" s="8">
        <f>IFERROR(VLOOKUP(A945,Flete!$A:$E,5,0),"")</f>
        <v/>
      </c>
      <c r="H945" s="7">
        <f>IFERROR(VLOOKUP(F945,TRAOPE!$AA:$AB,2,0),"")</f>
        <v/>
      </c>
      <c r="I945" s="7" t="n">
        <v>10000722</v>
      </c>
      <c r="J945" s="7">
        <f>IFERROR(VLOOKUP(I945,Materiales!$A:$H,8,0),"")</f>
        <v/>
      </c>
      <c r="K945" s="9">
        <f>IFERROR(VLOOKUP(I945,Materiales!$A:$G,7,0),"")</f>
        <v/>
      </c>
      <c r="L945" s="8" t="inlineStr">
        <is>
          <t>20190426</t>
        </is>
      </c>
      <c r="M945" s="8" t="inlineStr">
        <is>
          <t>20250127</t>
        </is>
      </c>
      <c r="N945" s="10" t="n">
        <v>102.47</v>
      </c>
      <c r="O945" s="10">
        <f>IFERROR(VLOOKUP(A945,Flete!$A:$J,10,0),"")</f>
        <v/>
      </c>
      <c r="P945" s="8" t="inlineStr">
        <is>
          <t>TN</t>
        </is>
      </c>
      <c r="Q945" s="10">
        <f>IFERROR(IFERROR(VLOOKUP(A945,TRAOPE!$A:$U,21,0),VLOOKUP(B945,TRAOPE!$A:$U,21,0)),"")</f>
        <v/>
      </c>
      <c r="R945" s="8">
        <f>IFERROR(IFERROR(VLOOKUP(A945,TRAOPE!$A:$W,23,0),VLOOKUP(B945,TRAOPE!$A:$W,23,0)),"")</f>
        <v/>
      </c>
      <c r="S945" s="10">
        <f>IF(AND(P945="TN",R945="TN"),N945+N(O945),IF(G945&amp;""="1",N(K945)*N945,(N945+N(O945))*N(K945)))</f>
        <v/>
      </c>
      <c r="T945" s="10">
        <f>IF(Q945="","",Q945-S945)</f>
        <v/>
      </c>
    </row>
    <row r="946">
      <c r="A946" s="7">
        <f>CONCATENATE(C946,E946,F946,I946)</f>
        <v/>
      </c>
      <c r="B946" s="7">
        <f>CONCATENATE(C946,E946,I946)</f>
        <v/>
      </c>
      <c r="C946" s="8" t="n">
        <v>900003601</v>
      </c>
      <c r="D946" s="7">
        <f>IFERROR(VLOOKUP(C946,TRAOPE!$G:$H,2,0),"")</f>
        <v/>
      </c>
      <c r="E946" s="8" t="inlineStr">
        <is>
          <t>D836</t>
        </is>
      </c>
      <c r="F946" s="8" t="inlineStr">
        <is>
          <t>65003945</t>
        </is>
      </c>
      <c r="G946" s="8">
        <f>IFERROR(VLOOKUP(A946,Flete!$A:$E,5,0),"")</f>
        <v/>
      </c>
      <c r="H946" s="7">
        <f>IFERROR(VLOOKUP(F946,TRAOPE!$AA:$AB,2,0),"")</f>
        <v/>
      </c>
      <c r="I946" s="7" t="n">
        <v>10000811</v>
      </c>
      <c r="J946" s="7">
        <f>IFERROR(VLOOKUP(I946,Materiales!$A:$H,8,0),"")</f>
        <v/>
      </c>
      <c r="K946" s="9">
        <f>IFERROR(VLOOKUP(I946,Materiales!$A:$G,7,0),"")</f>
        <v/>
      </c>
      <c r="L946" s="8" t="inlineStr">
        <is>
          <t>20190426</t>
        </is>
      </c>
      <c r="M946" s="8" t="inlineStr">
        <is>
          <t>20250127</t>
        </is>
      </c>
      <c r="N946" s="10" t="n">
        <v>351.33</v>
      </c>
      <c r="O946" s="10">
        <f>IFERROR(VLOOKUP(A946,Flete!$A:$J,10,0),"")</f>
        <v/>
      </c>
      <c r="P946" s="8" t="inlineStr">
        <is>
          <t>TN</t>
        </is>
      </c>
      <c r="Q946" s="10">
        <f>IFERROR(IFERROR(VLOOKUP(A946,TRAOPE!$A:$U,21,0),VLOOKUP(B946,TRAOPE!$A:$U,21,0)),"")</f>
        <v/>
      </c>
      <c r="R946" s="8">
        <f>IFERROR(IFERROR(VLOOKUP(A946,TRAOPE!$A:$W,23,0),VLOOKUP(B946,TRAOPE!$A:$W,23,0)),"")</f>
        <v/>
      </c>
      <c r="S946" s="10">
        <f>IF(AND(P946="TN",R946="TN"),N946+N(O946),IF(G946&amp;""="1",N(K946)*N946,(N946+N(O946))*N(K946)))</f>
        <v/>
      </c>
      <c r="T946" s="10">
        <f>IF(Q946="","",Q946-S946)</f>
        <v/>
      </c>
    </row>
    <row r="947">
      <c r="A947" s="7">
        <f>CONCATENATE(C947,E947,F947,I947)</f>
        <v/>
      </c>
      <c r="B947" s="7">
        <f>CONCATENATE(C947,E947,I947)</f>
        <v/>
      </c>
      <c r="C947" s="8" t="n">
        <v>900003601</v>
      </c>
      <c r="D947" s="7">
        <f>IFERROR(VLOOKUP(C947,TRAOPE!$G:$H,2,0),"")</f>
        <v/>
      </c>
      <c r="E947" s="8" t="inlineStr">
        <is>
          <t>D836</t>
        </is>
      </c>
      <c r="F947" s="8" t="inlineStr">
        <is>
          <t>65015153</t>
        </is>
      </c>
      <c r="G947" s="8">
        <f>IFERROR(VLOOKUP(A947,Flete!$A:$E,5,0),"")</f>
        <v/>
      </c>
      <c r="H947" s="7">
        <f>IFERROR(VLOOKUP(F947,TRAOPE!$AA:$AB,2,0),"")</f>
        <v/>
      </c>
      <c r="I947" s="7" t="n">
        <v>10000722</v>
      </c>
      <c r="J947" s="7">
        <f>IFERROR(VLOOKUP(I947,Materiales!$A:$H,8,0),"")</f>
        <v/>
      </c>
      <c r="K947" s="9">
        <f>IFERROR(VLOOKUP(I947,Materiales!$A:$G,7,0),"")</f>
        <v/>
      </c>
      <c r="L947" s="8" t="inlineStr">
        <is>
          <t>20190426</t>
        </is>
      </c>
      <c r="M947" s="8" t="inlineStr">
        <is>
          <t>20250127</t>
        </is>
      </c>
      <c r="N947" s="10" t="n">
        <v>87.31</v>
      </c>
      <c r="O947" s="10">
        <f>IFERROR(VLOOKUP(A947,Flete!$A:$J,10,0),"")</f>
        <v/>
      </c>
      <c r="P947" s="8" t="inlineStr">
        <is>
          <t>TN</t>
        </is>
      </c>
      <c r="Q947" s="10">
        <f>IFERROR(IFERROR(VLOOKUP(A947,TRAOPE!$A:$U,21,0),VLOOKUP(B947,TRAOPE!$A:$U,21,0)),"")</f>
        <v/>
      </c>
      <c r="R947" s="8">
        <f>IFERROR(IFERROR(VLOOKUP(A947,TRAOPE!$A:$W,23,0),VLOOKUP(B947,TRAOPE!$A:$W,23,0)),"")</f>
        <v/>
      </c>
      <c r="S947" s="10">
        <f>IF(AND(P947="TN",R947="TN"),N947+N(O947),IF(G947&amp;""="1",N(K947)*N947,(N947+N(O947))*N(K947)))</f>
        <v/>
      </c>
      <c r="T947" s="10">
        <f>IF(Q947="","",Q947-S947)</f>
        <v/>
      </c>
    </row>
    <row r="948">
      <c r="A948" s="7">
        <f>CONCATENATE(C948,E948,F948,I948)</f>
        <v/>
      </c>
      <c r="B948" s="7">
        <f>CONCATENATE(C948,E948,I948)</f>
        <v/>
      </c>
      <c r="C948" s="8" t="n">
        <v>900003601</v>
      </c>
      <c r="D948" s="7">
        <f>IFERROR(VLOOKUP(C948,TRAOPE!$G:$H,2,0),"")</f>
        <v/>
      </c>
      <c r="E948" s="8" t="inlineStr">
        <is>
          <t>D836</t>
        </is>
      </c>
      <c r="F948" s="8" t="inlineStr">
        <is>
          <t>65016451</t>
        </is>
      </c>
      <c r="G948" s="8">
        <f>IFERROR(VLOOKUP(A948,Flete!$A:$E,5,0),"")</f>
        <v/>
      </c>
      <c r="H948" s="7">
        <f>IFERROR(VLOOKUP(F948,TRAOPE!$AA:$AB,2,0),"")</f>
        <v/>
      </c>
      <c r="I948" s="7" t="n">
        <v>10000623</v>
      </c>
      <c r="J948" s="7">
        <f>IFERROR(VLOOKUP(I948,Materiales!$A:$H,8,0),"")</f>
        <v/>
      </c>
      <c r="K948" s="9">
        <f>IFERROR(VLOOKUP(I948,Materiales!$A:$G,7,0),"")</f>
        <v/>
      </c>
      <c r="L948" s="8" t="inlineStr">
        <is>
          <t>20190426</t>
        </is>
      </c>
      <c r="M948" s="8" t="inlineStr">
        <is>
          <t>20250127</t>
        </is>
      </c>
      <c r="N948" s="10" t="n">
        <v>102.6</v>
      </c>
      <c r="O948" s="10">
        <f>IFERROR(VLOOKUP(A948,Flete!$A:$J,10,0),"")</f>
        <v/>
      </c>
      <c r="P948" s="8" t="inlineStr">
        <is>
          <t>TN</t>
        </is>
      </c>
      <c r="Q948" s="10">
        <f>IFERROR(IFERROR(VLOOKUP(A948,TRAOPE!$A:$U,21,0),VLOOKUP(B948,TRAOPE!$A:$U,21,0)),"")</f>
        <v/>
      </c>
      <c r="R948" s="8">
        <f>IFERROR(IFERROR(VLOOKUP(A948,TRAOPE!$A:$W,23,0),VLOOKUP(B948,TRAOPE!$A:$W,23,0)),"")</f>
        <v/>
      </c>
      <c r="S948" s="10">
        <f>IF(AND(P948="TN",R948="TN"),N948+N(O948),IF(G948&amp;""="1",N(K948)*N948,(N948+N(O948))*N(K948)))</f>
        <v/>
      </c>
      <c r="T948" s="10">
        <f>IF(Q948="","",Q948-S948)</f>
        <v/>
      </c>
    </row>
    <row r="949">
      <c r="A949" s="7">
        <f>CONCATENATE(C949,E949,F949,I949)</f>
        <v/>
      </c>
      <c r="B949" s="7">
        <f>CONCATENATE(C949,E949,I949)</f>
        <v/>
      </c>
      <c r="C949" s="8" t="n">
        <v>900003601</v>
      </c>
      <c r="D949" s="7">
        <f>IFERROR(VLOOKUP(C949,TRAOPE!$G:$H,2,0),"")</f>
        <v/>
      </c>
      <c r="E949" s="8" t="inlineStr">
        <is>
          <t>D836</t>
        </is>
      </c>
      <c r="F949" s="8" t="inlineStr">
        <is>
          <t>65031531</t>
        </is>
      </c>
      <c r="G949" s="8">
        <f>IFERROR(VLOOKUP(A949,Flete!$A:$E,5,0),"")</f>
        <v/>
      </c>
      <c r="H949" s="7">
        <f>IFERROR(VLOOKUP(F949,TRAOPE!$AA:$AB,2,0),"")</f>
        <v/>
      </c>
      <c r="I949" s="7" t="n">
        <v>10000811</v>
      </c>
      <c r="J949" s="7">
        <f>IFERROR(VLOOKUP(I949,Materiales!$A:$H,8,0),"")</f>
        <v/>
      </c>
      <c r="K949" s="9">
        <f>IFERROR(VLOOKUP(I949,Materiales!$A:$G,7,0),"")</f>
        <v/>
      </c>
      <c r="L949" s="8" t="inlineStr">
        <is>
          <t>20190426</t>
        </is>
      </c>
      <c r="M949" s="8" t="inlineStr">
        <is>
          <t>20250127</t>
        </is>
      </c>
      <c r="N949" s="10" t="n">
        <v>86.11</v>
      </c>
      <c r="O949" s="10">
        <f>IFERROR(VLOOKUP(A949,Flete!$A:$J,10,0),"")</f>
        <v/>
      </c>
      <c r="P949" s="8" t="inlineStr">
        <is>
          <t>TN</t>
        </is>
      </c>
      <c r="Q949" s="10">
        <f>IFERROR(IFERROR(VLOOKUP(A949,TRAOPE!$A:$U,21,0),VLOOKUP(B949,TRAOPE!$A:$U,21,0)),"")</f>
        <v/>
      </c>
      <c r="R949" s="8">
        <f>IFERROR(IFERROR(VLOOKUP(A949,TRAOPE!$A:$W,23,0),VLOOKUP(B949,TRAOPE!$A:$W,23,0)),"")</f>
        <v/>
      </c>
      <c r="S949" s="10">
        <f>IF(AND(P949="TN",R949="TN"),N949+N(O949),IF(G949&amp;""="1",N(K949)*N949,(N949+N(O949))*N(K949)))</f>
        <v/>
      </c>
      <c r="T949" s="10">
        <f>IF(Q949="","",Q949-S949)</f>
        <v/>
      </c>
    </row>
    <row r="950">
      <c r="A950" s="7">
        <f>CONCATENATE(C950,E950,F950,I950)</f>
        <v/>
      </c>
      <c r="B950" s="7">
        <f>CONCATENATE(C950,E950,I950)</f>
        <v/>
      </c>
      <c r="C950" s="8" t="n">
        <v>900003601</v>
      </c>
      <c r="D950" s="7">
        <f>IFERROR(VLOOKUP(C950,TRAOPE!$G:$H,2,0),"")</f>
        <v/>
      </c>
      <c r="E950" s="8" t="inlineStr">
        <is>
          <t>D836</t>
        </is>
      </c>
      <c r="F950" s="8" t="inlineStr">
        <is>
          <t>65050507</t>
        </is>
      </c>
      <c r="G950" s="8">
        <f>IFERROR(VLOOKUP(A950,Flete!$A:$E,5,0),"")</f>
        <v/>
      </c>
      <c r="H950" s="7">
        <f>IFERROR(VLOOKUP(F950,TRAOPE!$AA:$AB,2,0),"")</f>
        <v/>
      </c>
      <c r="I950" s="7" t="n">
        <v>10000757</v>
      </c>
      <c r="J950" s="7">
        <f>IFERROR(VLOOKUP(I950,Materiales!$A:$H,8,0),"")</f>
        <v/>
      </c>
      <c r="K950" s="9">
        <f>IFERROR(VLOOKUP(I950,Materiales!$A:$G,7,0),"")</f>
        <v/>
      </c>
      <c r="L950" s="8" t="inlineStr">
        <is>
          <t>20190426</t>
        </is>
      </c>
      <c r="M950" s="8" t="inlineStr">
        <is>
          <t>20250127</t>
        </is>
      </c>
      <c r="N950" s="10" t="n">
        <v>91.08</v>
      </c>
      <c r="O950" s="10">
        <f>IFERROR(VLOOKUP(A950,Flete!$A:$J,10,0),"")</f>
        <v/>
      </c>
      <c r="P950" s="8" t="inlineStr">
        <is>
          <t>TN</t>
        </is>
      </c>
      <c r="Q950" s="10">
        <f>IFERROR(IFERROR(VLOOKUP(A950,TRAOPE!$A:$U,21,0),VLOOKUP(B950,TRAOPE!$A:$U,21,0)),"")</f>
        <v/>
      </c>
      <c r="R950" s="8">
        <f>IFERROR(IFERROR(VLOOKUP(A950,TRAOPE!$A:$W,23,0),VLOOKUP(B950,TRAOPE!$A:$W,23,0)),"")</f>
        <v/>
      </c>
      <c r="S950" s="10">
        <f>IF(AND(P950="TN",R950="TN"),N950+N(O950),IF(G950&amp;""="1",N(K950)*N950,(N950+N(O950))*N(K950)))</f>
        <v/>
      </c>
      <c r="T950" s="10">
        <f>IF(Q950="","",Q950-S950)</f>
        <v/>
      </c>
    </row>
    <row r="951">
      <c r="A951" s="7">
        <f>CONCATENATE(C951,E951,F951,I951)</f>
        <v/>
      </c>
      <c r="B951" s="7">
        <f>CONCATENATE(C951,E951,I951)</f>
        <v/>
      </c>
      <c r="C951" s="8" t="n">
        <v>900003601</v>
      </c>
      <c r="D951" s="7">
        <f>IFERROR(VLOOKUP(C951,TRAOPE!$G:$H,2,0),"")</f>
        <v/>
      </c>
      <c r="E951" s="8" t="inlineStr">
        <is>
          <t>D836</t>
        </is>
      </c>
      <c r="F951" s="8" t="inlineStr">
        <is>
          <t>65061685</t>
        </is>
      </c>
      <c r="G951" s="8">
        <f>IFERROR(VLOOKUP(A951,Flete!$A:$E,5,0),"")</f>
        <v/>
      </c>
      <c r="H951" s="7">
        <f>IFERROR(VLOOKUP(F951,TRAOPE!$AA:$AB,2,0),"")</f>
        <v/>
      </c>
      <c r="I951" s="7" t="n">
        <v>10000624</v>
      </c>
      <c r="J951" s="7">
        <f>IFERROR(VLOOKUP(I951,Materiales!$A:$H,8,0),"")</f>
        <v/>
      </c>
      <c r="K951" s="9">
        <f>IFERROR(VLOOKUP(I951,Materiales!$A:$G,7,0),"")</f>
        <v/>
      </c>
      <c r="L951" s="8" t="inlineStr">
        <is>
          <t>20190426</t>
        </is>
      </c>
      <c r="M951" s="8" t="inlineStr">
        <is>
          <t>20250127</t>
        </is>
      </c>
      <c r="N951" s="10" t="n">
        <v>107.76</v>
      </c>
      <c r="O951" s="10">
        <f>IFERROR(VLOOKUP(A951,Flete!$A:$J,10,0),"")</f>
        <v/>
      </c>
      <c r="P951" s="8" t="inlineStr">
        <is>
          <t>TN</t>
        </is>
      </c>
      <c r="Q951" s="10">
        <f>IFERROR(IFERROR(VLOOKUP(A951,TRAOPE!$A:$U,21,0),VLOOKUP(B951,TRAOPE!$A:$U,21,0)),"")</f>
        <v/>
      </c>
      <c r="R951" s="8">
        <f>IFERROR(IFERROR(VLOOKUP(A951,TRAOPE!$A:$W,23,0),VLOOKUP(B951,TRAOPE!$A:$W,23,0)),"")</f>
        <v/>
      </c>
      <c r="S951" s="10">
        <f>IF(AND(P951="TN",R951="TN"),N951+N(O951),IF(G951&amp;""="1",N(K951)*N951,(N951+N(O951))*N(K951)))</f>
        <v/>
      </c>
      <c r="T951" s="10">
        <f>IF(Q951="","",Q951-S951)</f>
        <v/>
      </c>
    </row>
    <row r="952">
      <c r="A952" s="7">
        <f>CONCATENATE(C952,E952,F952,I952)</f>
        <v/>
      </c>
      <c r="B952" s="7">
        <f>CONCATENATE(C952,E952,I952)</f>
        <v/>
      </c>
      <c r="C952" s="8" t="n">
        <v>900003601</v>
      </c>
      <c r="D952" s="7">
        <f>IFERROR(VLOOKUP(C952,TRAOPE!$G:$H,2,0),"")</f>
        <v/>
      </c>
      <c r="E952" s="8" t="inlineStr">
        <is>
          <t>D836</t>
        </is>
      </c>
      <c r="F952" s="8" t="inlineStr">
        <is>
          <t>65061685</t>
        </is>
      </c>
      <c r="G952" s="8">
        <f>IFERROR(VLOOKUP(A952,Flete!$A:$E,5,0),"")</f>
        <v/>
      </c>
      <c r="H952" s="7">
        <f>IFERROR(VLOOKUP(F952,TRAOPE!$AA:$AB,2,0),"")</f>
        <v/>
      </c>
      <c r="I952" s="7" t="n">
        <v>10000722</v>
      </c>
      <c r="J952" s="7">
        <f>IFERROR(VLOOKUP(I952,Materiales!$A:$H,8,0),"")</f>
        <v/>
      </c>
      <c r="K952" s="9">
        <f>IFERROR(VLOOKUP(I952,Materiales!$A:$G,7,0),"")</f>
        <v/>
      </c>
      <c r="L952" s="8" t="inlineStr">
        <is>
          <t>20190426</t>
        </is>
      </c>
      <c r="M952" s="8" t="inlineStr">
        <is>
          <t>20250127</t>
        </is>
      </c>
      <c r="N952" s="10" t="n">
        <v>109.03</v>
      </c>
      <c r="O952" s="10">
        <f>IFERROR(VLOOKUP(A952,Flete!$A:$J,10,0),"")</f>
        <v/>
      </c>
      <c r="P952" s="8" t="inlineStr">
        <is>
          <t>TN</t>
        </is>
      </c>
      <c r="Q952" s="10">
        <f>IFERROR(IFERROR(VLOOKUP(A952,TRAOPE!$A:$U,21,0),VLOOKUP(B952,TRAOPE!$A:$U,21,0)),"")</f>
        <v/>
      </c>
      <c r="R952" s="8">
        <f>IFERROR(IFERROR(VLOOKUP(A952,TRAOPE!$A:$W,23,0),VLOOKUP(B952,TRAOPE!$A:$W,23,0)),"")</f>
        <v/>
      </c>
      <c r="S952" s="10">
        <f>IF(AND(P952="TN",R952="TN"),N952+N(O952),IF(G952&amp;""="1",N(K952)*N952,(N952+N(O952))*N(K952)))</f>
        <v/>
      </c>
      <c r="T952" s="10">
        <f>IF(Q952="","",Q952-S952)</f>
        <v/>
      </c>
    </row>
    <row r="953">
      <c r="A953" s="7">
        <f>CONCATENATE(C953,E953,F953,I953)</f>
        <v/>
      </c>
      <c r="B953" s="7">
        <f>CONCATENATE(C953,E953,I953)</f>
        <v/>
      </c>
      <c r="C953" s="8" t="n">
        <v>900003601</v>
      </c>
      <c r="D953" s="7">
        <f>IFERROR(VLOOKUP(C953,TRAOPE!$G:$H,2,0),"")</f>
        <v/>
      </c>
      <c r="E953" s="8" t="inlineStr">
        <is>
          <t>D836</t>
        </is>
      </c>
      <c r="F953" s="8" t="inlineStr">
        <is>
          <t>65077509</t>
        </is>
      </c>
      <c r="G953" s="8">
        <f>IFERROR(VLOOKUP(A953,Flete!$A:$E,5,0),"")</f>
        <v/>
      </c>
      <c r="H953" s="7">
        <f>IFERROR(VLOOKUP(F953,TRAOPE!$AA:$AB,2,0),"")</f>
        <v/>
      </c>
      <c r="I953" s="7" t="n">
        <v>10000624</v>
      </c>
      <c r="J953" s="7">
        <f>IFERROR(VLOOKUP(I953,Materiales!$A:$H,8,0),"")</f>
        <v/>
      </c>
      <c r="K953" s="9">
        <f>IFERROR(VLOOKUP(I953,Materiales!$A:$G,7,0),"")</f>
        <v/>
      </c>
      <c r="L953" s="8" t="inlineStr">
        <is>
          <t>20190426</t>
        </is>
      </c>
      <c r="M953" s="8" t="inlineStr">
        <is>
          <t>20250127</t>
        </is>
      </c>
      <c r="N953" s="10" t="n">
        <v>99.03</v>
      </c>
      <c r="O953" s="10">
        <f>IFERROR(VLOOKUP(A953,Flete!$A:$J,10,0),"")</f>
        <v/>
      </c>
      <c r="P953" s="8" t="inlineStr">
        <is>
          <t>TN</t>
        </is>
      </c>
      <c r="Q953" s="10">
        <f>IFERROR(IFERROR(VLOOKUP(A953,TRAOPE!$A:$U,21,0),VLOOKUP(B953,TRAOPE!$A:$U,21,0)),"")</f>
        <v/>
      </c>
      <c r="R953" s="8">
        <f>IFERROR(IFERROR(VLOOKUP(A953,TRAOPE!$A:$W,23,0),VLOOKUP(B953,TRAOPE!$A:$W,23,0)),"")</f>
        <v/>
      </c>
      <c r="S953" s="10">
        <f>IF(AND(P953="TN",R953="TN"),N953+N(O953),IF(G953&amp;""="1",N(K953)*N953,(N953+N(O953))*N(K953)))</f>
        <v/>
      </c>
      <c r="T953" s="10">
        <f>IF(Q953="","",Q953-S953)</f>
        <v/>
      </c>
    </row>
    <row r="954">
      <c r="A954" s="7">
        <f>CONCATENATE(C954,E954,F954,I954)</f>
        <v/>
      </c>
      <c r="B954" s="7">
        <f>CONCATENATE(C954,E954,I954)</f>
        <v/>
      </c>
      <c r="C954" s="8" t="n">
        <v>900003601</v>
      </c>
      <c r="D954" s="7">
        <f>IFERROR(VLOOKUP(C954,TRAOPE!$G:$H,2,0),"")</f>
        <v/>
      </c>
      <c r="E954" s="8" t="inlineStr">
        <is>
          <t>D836</t>
        </is>
      </c>
      <c r="F954" s="8" t="inlineStr">
        <is>
          <t>65077509</t>
        </is>
      </c>
      <c r="G954" s="8">
        <f>IFERROR(VLOOKUP(A954,Flete!$A:$E,5,0),"")</f>
        <v/>
      </c>
      <c r="H954" s="7">
        <f>IFERROR(VLOOKUP(F954,TRAOPE!$AA:$AB,2,0),"")</f>
        <v/>
      </c>
      <c r="I954" s="7" t="n">
        <v>10000722</v>
      </c>
      <c r="J954" s="7">
        <f>IFERROR(VLOOKUP(I954,Materiales!$A:$H,8,0),"")</f>
        <v/>
      </c>
      <c r="K954" s="9">
        <f>IFERROR(VLOOKUP(I954,Materiales!$A:$G,7,0),"")</f>
        <v/>
      </c>
      <c r="L954" s="8" t="inlineStr">
        <is>
          <t>20190426</t>
        </is>
      </c>
      <c r="M954" s="8" t="inlineStr">
        <is>
          <t>20250127</t>
        </is>
      </c>
      <c r="N954" s="10" t="n">
        <v>107.28</v>
      </c>
      <c r="O954" s="10">
        <f>IFERROR(VLOOKUP(A954,Flete!$A:$J,10,0),"")</f>
        <v/>
      </c>
      <c r="P954" s="8" t="inlineStr">
        <is>
          <t>TN</t>
        </is>
      </c>
      <c r="Q954" s="10">
        <f>IFERROR(IFERROR(VLOOKUP(A954,TRAOPE!$A:$U,21,0),VLOOKUP(B954,TRAOPE!$A:$U,21,0)),"")</f>
        <v/>
      </c>
      <c r="R954" s="8">
        <f>IFERROR(IFERROR(VLOOKUP(A954,TRAOPE!$A:$W,23,0),VLOOKUP(B954,TRAOPE!$A:$W,23,0)),"")</f>
        <v/>
      </c>
      <c r="S954" s="10">
        <f>IF(AND(P954="TN",R954="TN"),N954+N(O954),IF(G954&amp;""="1",N(K954)*N954,(N954+N(O954))*N(K954)))</f>
        <v/>
      </c>
      <c r="T954" s="10">
        <f>IF(Q954="","",Q954-S954)</f>
        <v/>
      </c>
    </row>
    <row r="955">
      <c r="A955" s="7">
        <f>CONCATENATE(C955,E955,F955,I955)</f>
        <v/>
      </c>
      <c r="B955" s="7">
        <f>CONCATENATE(C955,E955,I955)</f>
        <v/>
      </c>
      <c r="C955" s="8" t="n">
        <v>900003601</v>
      </c>
      <c r="D955" s="7">
        <f>IFERROR(VLOOKUP(C955,TRAOPE!$G:$H,2,0),"")</f>
        <v/>
      </c>
      <c r="E955" s="8" t="inlineStr">
        <is>
          <t>D836</t>
        </is>
      </c>
      <c r="F955" s="8" t="inlineStr">
        <is>
          <t>65077518</t>
        </is>
      </c>
      <c r="G955" s="8">
        <f>IFERROR(VLOOKUP(A955,Flete!$A:$E,5,0),"")</f>
        <v/>
      </c>
      <c r="H955" s="7">
        <f>IFERROR(VLOOKUP(F955,TRAOPE!$AA:$AB,2,0),"")</f>
        <v/>
      </c>
      <c r="I955" s="7" t="n">
        <v>10000624</v>
      </c>
      <c r="J955" s="7">
        <f>IFERROR(VLOOKUP(I955,Materiales!$A:$H,8,0),"")</f>
        <v/>
      </c>
      <c r="K955" s="9">
        <f>IFERROR(VLOOKUP(I955,Materiales!$A:$G,7,0),"")</f>
        <v/>
      </c>
      <c r="L955" s="8" t="inlineStr">
        <is>
          <t>20190426</t>
        </is>
      </c>
      <c r="M955" s="8" t="inlineStr">
        <is>
          <t>20250127</t>
        </is>
      </c>
      <c r="N955" s="10" t="n">
        <v>99.03</v>
      </c>
      <c r="O955" s="10">
        <f>IFERROR(VLOOKUP(A955,Flete!$A:$J,10,0),"")</f>
        <v/>
      </c>
      <c r="P955" s="8" t="inlineStr">
        <is>
          <t>TN</t>
        </is>
      </c>
      <c r="Q955" s="10">
        <f>IFERROR(IFERROR(VLOOKUP(A955,TRAOPE!$A:$U,21,0),VLOOKUP(B955,TRAOPE!$A:$U,21,0)),"")</f>
        <v/>
      </c>
      <c r="R955" s="8">
        <f>IFERROR(IFERROR(VLOOKUP(A955,TRAOPE!$A:$W,23,0),VLOOKUP(B955,TRAOPE!$A:$W,23,0)),"")</f>
        <v/>
      </c>
      <c r="S955" s="10">
        <f>IF(AND(P955="TN",R955="TN"),N955+N(O955),IF(G955&amp;""="1",N(K955)*N955,(N955+N(O955))*N(K955)))</f>
        <v/>
      </c>
      <c r="T955" s="10">
        <f>IF(Q955="","",Q955-S955)</f>
        <v/>
      </c>
    </row>
    <row r="956">
      <c r="A956" s="7">
        <f>CONCATENATE(C956,E956,F956,I956)</f>
        <v/>
      </c>
      <c r="B956" s="7">
        <f>CONCATENATE(C956,E956,I956)</f>
        <v/>
      </c>
      <c r="C956" s="8" t="n">
        <v>900003601</v>
      </c>
      <c r="D956" s="7">
        <f>IFERROR(VLOOKUP(C956,TRAOPE!$G:$H,2,0),"")</f>
        <v/>
      </c>
      <c r="E956" s="8" t="inlineStr">
        <is>
          <t>D836</t>
        </is>
      </c>
      <c r="F956" s="8" t="inlineStr">
        <is>
          <t>65077518</t>
        </is>
      </c>
      <c r="G956" s="8">
        <f>IFERROR(VLOOKUP(A956,Flete!$A:$E,5,0),"")</f>
        <v/>
      </c>
      <c r="H956" s="7">
        <f>IFERROR(VLOOKUP(F956,TRAOPE!$AA:$AB,2,0),"")</f>
        <v/>
      </c>
      <c r="I956" s="7" t="n">
        <v>10000722</v>
      </c>
      <c r="J956" s="7">
        <f>IFERROR(VLOOKUP(I956,Materiales!$A:$H,8,0),"")</f>
        <v/>
      </c>
      <c r="K956" s="9">
        <f>IFERROR(VLOOKUP(I956,Materiales!$A:$G,7,0),"")</f>
        <v/>
      </c>
      <c r="L956" s="8" t="inlineStr">
        <is>
          <t>20190426</t>
        </is>
      </c>
      <c r="M956" s="8" t="inlineStr">
        <is>
          <t>20250127</t>
        </is>
      </c>
      <c r="N956" s="10" t="n">
        <v>107.28</v>
      </c>
      <c r="O956" s="10">
        <f>IFERROR(VLOOKUP(A956,Flete!$A:$J,10,0),"")</f>
        <v/>
      </c>
      <c r="P956" s="8" t="inlineStr">
        <is>
          <t>TN</t>
        </is>
      </c>
      <c r="Q956" s="10">
        <f>IFERROR(IFERROR(VLOOKUP(A956,TRAOPE!$A:$U,21,0),VLOOKUP(B956,TRAOPE!$A:$U,21,0)),"")</f>
        <v/>
      </c>
      <c r="R956" s="8">
        <f>IFERROR(IFERROR(VLOOKUP(A956,TRAOPE!$A:$W,23,0),VLOOKUP(B956,TRAOPE!$A:$W,23,0)),"")</f>
        <v/>
      </c>
      <c r="S956" s="10">
        <f>IF(AND(P956="TN",R956="TN"),N956+N(O956),IF(G956&amp;""="1",N(K956)*N956,(N956+N(O956))*N(K956)))</f>
        <v/>
      </c>
      <c r="T956" s="10">
        <f>IF(Q956="","",Q956-S956)</f>
        <v/>
      </c>
    </row>
    <row r="957">
      <c r="A957" s="7">
        <f>CONCATENATE(C957,E957,F957,I957)</f>
        <v/>
      </c>
      <c r="B957" s="7">
        <f>CONCATENATE(C957,E957,I957)</f>
        <v/>
      </c>
      <c r="C957" s="8" t="n">
        <v>900003601</v>
      </c>
      <c r="D957" s="7">
        <f>IFERROR(VLOOKUP(C957,TRAOPE!$G:$H,2,0),"")</f>
        <v/>
      </c>
      <c r="E957" s="8" t="inlineStr">
        <is>
          <t>D836</t>
        </is>
      </c>
      <c r="F957" s="8" t="inlineStr">
        <is>
          <t>65077582</t>
        </is>
      </c>
      <c r="G957" s="8">
        <f>IFERROR(VLOOKUP(A957,Flete!$A:$E,5,0),"")</f>
        <v/>
      </c>
      <c r="H957" s="7">
        <f>IFERROR(VLOOKUP(F957,TRAOPE!$AA:$AB,2,0),"")</f>
        <v/>
      </c>
      <c r="I957" s="7" t="n">
        <v>10000624</v>
      </c>
      <c r="J957" s="7">
        <f>IFERROR(VLOOKUP(I957,Materiales!$A:$H,8,0),"")</f>
        <v/>
      </c>
      <c r="K957" s="9">
        <f>IFERROR(VLOOKUP(I957,Materiales!$A:$G,7,0),"")</f>
        <v/>
      </c>
      <c r="L957" s="8" t="inlineStr">
        <is>
          <t>20190426</t>
        </is>
      </c>
      <c r="M957" s="8" t="inlineStr">
        <is>
          <t>20250127</t>
        </is>
      </c>
      <c r="N957" s="10" t="n">
        <v>99.03</v>
      </c>
      <c r="O957" s="10">
        <f>IFERROR(VLOOKUP(A957,Flete!$A:$J,10,0),"")</f>
        <v/>
      </c>
      <c r="P957" s="8" t="inlineStr">
        <is>
          <t>TN</t>
        </is>
      </c>
      <c r="Q957" s="10">
        <f>IFERROR(IFERROR(VLOOKUP(A957,TRAOPE!$A:$U,21,0),VLOOKUP(B957,TRAOPE!$A:$U,21,0)),"")</f>
        <v/>
      </c>
      <c r="R957" s="8">
        <f>IFERROR(IFERROR(VLOOKUP(A957,TRAOPE!$A:$W,23,0),VLOOKUP(B957,TRAOPE!$A:$W,23,0)),"")</f>
        <v/>
      </c>
      <c r="S957" s="10">
        <f>IF(AND(P957="TN",R957="TN"),N957+N(O957),IF(G957&amp;""="1",N(K957)*N957,(N957+N(O957))*N(K957)))</f>
        <v/>
      </c>
      <c r="T957" s="10">
        <f>IF(Q957="","",Q957-S957)</f>
        <v/>
      </c>
    </row>
    <row r="958">
      <c r="A958" s="7">
        <f>CONCATENATE(C958,E958,F958,I958)</f>
        <v/>
      </c>
      <c r="B958" s="7">
        <f>CONCATENATE(C958,E958,I958)</f>
        <v/>
      </c>
      <c r="C958" s="8" t="n">
        <v>900003601</v>
      </c>
      <c r="D958" s="7">
        <f>IFERROR(VLOOKUP(C958,TRAOPE!$G:$H,2,0),"")</f>
        <v/>
      </c>
      <c r="E958" s="8" t="inlineStr">
        <is>
          <t>D836</t>
        </is>
      </c>
      <c r="F958" s="8" t="inlineStr">
        <is>
          <t>65077582</t>
        </is>
      </c>
      <c r="G958" s="8">
        <f>IFERROR(VLOOKUP(A958,Flete!$A:$E,5,0),"")</f>
        <v/>
      </c>
      <c r="H958" s="7">
        <f>IFERROR(VLOOKUP(F958,TRAOPE!$AA:$AB,2,0),"")</f>
        <v/>
      </c>
      <c r="I958" s="7" t="n">
        <v>10000722</v>
      </c>
      <c r="J958" s="7">
        <f>IFERROR(VLOOKUP(I958,Materiales!$A:$H,8,0),"")</f>
        <v/>
      </c>
      <c r="K958" s="9">
        <f>IFERROR(VLOOKUP(I958,Materiales!$A:$G,7,0),"")</f>
        <v/>
      </c>
      <c r="L958" s="8" t="inlineStr">
        <is>
          <t>20190426</t>
        </is>
      </c>
      <c r="M958" s="8" t="inlineStr">
        <is>
          <t>20250127</t>
        </is>
      </c>
      <c r="N958" s="10" t="n">
        <v>107.28</v>
      </c>
      <c r="O958" s="10">
        <f>IFERROR(VLOOKUP(A958,Flete!$A:$J,10,0),"")</f>
        <v/>
      </c>
      <c r="P958" s="8" t="inlineStr">
        <is>
          <t>TN</t>
        </is>
      </c>
      <c r="Q958" s="10">
        <f>IFERROR(IFERROR(VLOOKUP(A958,TRAOPE!$A:$U,21,0),VLOOKUP(B958,TRAOPE!$A:$U,21,0)),"")</f>
        <v/>
      </c>
      <c r="R958" s="8">
        <f>IFERROR(IFERROR(VLOOKUP(A958,TRAOPE!$A:$W,23,0),VLOOKUP(B958,TRAOPE!$A:$W,23,0)),"")</f>
        <v/>
      </c>
      <c r="S958" s="10">
        <f>IF(AND(P958="TN",R958="TN"),N958+N(O958),IF(G958&amp;""="1",N(K958)*N958,(N958+N(O958))*N(K958)))</f>
        <v/>
      </c>
      <c r="T958" s="10">
        <f>IF(Q958="","",Q958-S958)</f>
        <v/>
      </c>
    </row>
    <row r="959">
      <c r="A959" s="7">
        <f>CONCATENATE(C959,E959,F959,I959)</f>
        <v/>
      </c>
      <c r="B959" s="7">
        <f>CONCATENATE(C959,E959,I959)</f>
        <v/>
      </c>
      <c r="C959" s="8" t="n">
        <v>900003601</v>
      </c>
      <c r="D959" s="7">
        <f>IFERROR(VLOOKUP(C959,TRAOPE!$G:$H,2,0),"")</f>
        <v/>
      </c>
      <c r="E959" s="8" t="inlineStr">
        <is>
          <t>D836</t>
        </is>
      </c>
      <c r="F959" s="8" t="inlineStr">
        <is>
          <t>65246763</t>
        </is>
      </c>
      <c r="G959" s="8">
        <f>IFERROR(VLOOKUP(A959,Flete!$A:$E,5,0),"")</f>
        <v/>
      </c>
      <c r="H959" s="7">
        <f>IFERROR(VLOOKUP(F959,TRAOPE!$AA:$AB,2,0),"")</f>
        <v/>
      </c>
      <c r="I959" s="7" t="n">
        <v>10000624</v>
      </c>
      <c r="J959" s="7">
        <f>IFERROR(VLOOKUP(I959,Materiales!$A:$H,8,0),"")</f>
        <v/>
      </c>
      <c r="K959" s="9">
        <f>IFERROR(VLOOKUP(I959,Materiales!$A:$G,7,0),"")</f>
        <v/>
      </c>
      <c r="L959" s="8" t="inlineStr">
        <is>
          <t>20190426</t>
        </is>
      </c>
      <c r="M959" s="8" t="inlineStr">
        <is>
          <t>20250127</t>
        </is>
      </c>
      <c r="N959" s="10" t="n">
        <v>109.79</v>
      </c>
      <c r="O959" s="10">
        <f>IFERROR(VLOOKUP(A959,Flete!$A:$J,10,0),"")</f>
        <v/>
      </c>
      <c r="P959" s="8" t="inlineStr">
        <is>
          <t>TN</t>
        </is>
      </c>
      <c r="Q959" s="10">
        <f>IFERROR(IFERROR(VLOOKUP(A959,TRAOPE!$A:$U,21,0),VLOOKUP(B959,TRAOPE!$A:$U,21,0)),"")</f>
        <v/>
      </c>
      <c r="R959" s="8">
        <f>IFERROR(IFERROR(VLOOKUP(A959,TRAOPE!$A:$W,23,0),VLOOKUP(B959,TRAOPE!$A:$W,23,0)),"")</f>
        <v/>
      </c>
      <c r="S959" s="10">
        <f>IF(AND(P959="TN",R959="TN"),N959+N(O959),IF(G959&amp;""="1",N(K959)*N959,(N959+N(O959))*N(K959)))</f>
        <v/>
      </c>
      <c r="T959" s="10">
        <f>IF(Q959="","",Q959-S959)</f>
        <v/>
      </c>
    </row>
    <row r="960">
      <c r="A960" s="7">
        <f>CONCATENATE(C960,E960,F960,I960)</f>
        <v/>
      </c>
      <c r="B960" s="7">
        <f>CONCATENATE(C960,E960,I960)</f>
        <v/>
      </c>
      <c r="C960" s="8" t="n">
        <v>900003601</v>
      </c>
      <c r="D960" s="7">
        <f>IFERROR(VLOOKUP(C960,TRAOPE!$G:$H,2,0),"")</f>
        <v/>
      </c>
      <c r="E960" s="8" t="inlineStr">
        <is>
          <t>D836</t>
        </is>
      </c>
      <c r="F960" s="8" t="inlineStr">
        <is>
          <t>65246763</t>
        </is>
      </c>
      <c r="G960" s="8">
        <f>IFERROR(VLOOKUP(A960,Flete!$A:$E,5,0),"")</f>
        <v/>
      </c>
      <c r="H960" s="7">
        <f>IFERROR(VLOOKUP(F960,TRAOPE!$AA:$AB,2,0),"")</f>
        <v/>
      </c>
      <c r="I960" s="7" t="n">
        <v>10000722</v>
      </c>
      <c r="J960" s="7">
        <f>IFERROR(VLOOKUP(I960,Materiales!$A:$H,8,0),"")</f>
        <v/>
      </c>
      <c r="K960" s="9">
        <f>IFERROR(VLOOKUP(I960,Materiales!$A:$G,7,0),"")</f>
        <v/>
      </c>
      <c r="L960" s="8" t="inlineStr">
        <is>
          <t>20190426</t>
        </is>
      </c>
      <c r="M960" s="8" t="inlineStr">
        <is>
          <t>20250127</t>
        </is>
      </c>
      <c r="N960" s="10" t="n">
        <v>109.79</v>
      </c>
      <c r="O960" s="10">
        <f>IFERROR(VLOOKUP(A960,Flete!$A:$J,10,0),"")</f>
        <v/>
      </c>
      <c r="P960" s="8" t="inlineStr">
        <is>
          <t>TN</t>
        </is>
      </c>
      <c r="Q960" s="10">
        <f>IFERROR(IFERROR(VLOOKUP(A960,TRAOPE!$A:$U,21,0),VLOOKUP(B960,TRAOPE!$A:$U,21,0)),"")</f>
        <v/>
      </c>
      <c r="R960" s="8">
        <f>IFERROR(IFERROR(VLOOKUP(A960,TRAOPE!$A:$W,23,0),VLOOKUP(B960,TRAOPE!$A:$W,23,0)),"")</f>
        <v/>
      </c>
      <c r="S960" s="10">
        <f>IF(AND(P960="TN",R960="TN"),N960+N(O960),IF(G960&amp;""="1",N(K960)*N960,(N960+N(O960))*N(K960)))</f>
        <v/>
      </c>
      <c r="T960" s="10">
        <f>IF(Q960="","",Q960-S960)</f>
        <v/>
      </c>
    </row>
    <row r="961">
      <c r="A961" s="7">
        <f>CONCATENATE(C961,E961,F961,I961)</f>
        <v/>
      </c>
      <c r="B961" s="7">
        <f>CONCATENATE(C961,E961,I961)</f>
        <v/>
      </c>
      <c r="C961" s="8" t="n">
        <v>900003601</v>
      </c>
      <c r="D961" s="7">
        <f>IFERROR(VLOOKUP(C961,TRAOPE!$G:$H,2,0),"")</f>
        <v/>
      </c>
      <c r="E961" s="8" t="inlineStr">
        <is>
          <t>D836</t>
        </is>
      </c>
      <c r="F961" s="8" t="inlineStr">
        <is>
          <t>65251399</t>
        </is>
      </c>
      <c r="G961" s="8">
        <f>IFERROR(VLOOKUP(A961,Flete!$A:$E,5,0),"")</f>
        <v/>
      </c>
      <c r="H961" s="7">
        <f>IFERROR(VLOOKUP(F961,TRAOPE!$AA:$AB,2,0),"")</f>
        <v/>
      </c>
      <c r="I961" s="7" t="n">
        <v>10000624</v>
      </c>
      <c r="J961" s="7">
        <f>IFERROR(VLOOKUP(I961,Materiales!$A:$H,8,0),"")</f>
        <v/>
      </c>
      <c r="K961" s="9">
        <f>IFERROR(VLOOKUP(I961,Materiales!$A:$G,7,0),"")</f>
        <v/>
      </c>
      <c r="L961" s="8" t="inlineStr">
        <is>
          <t>20190426</t>
        </is>
      </c>
      <c r="M961" s="8" t="inlineStr">
        <is>
          <t>20250127</t>
        </is>
      </c>
      <c r="N961" s="10" t="n">
        <v>116.25</v>
      </c>
      <c r="O961" s="10">
        <f>IFERROR(VLOOKUP(A961,Flete!$A:$J,10,0),"")</f>
        <v/>
      </c>
      <c r="P961" s="8" t="inlineStr">
        <is>
          <t>TN</t>
        </is>
      </c>
      <c r="Q961" s="10">
        <f>IFERROR(IFERROR(VLOOKUP(A961,TRAOPE!$A:$U,21,0),VLOOKUP(B961,TRAOPE!$A:$U,21,0)),"")</f>
        <v/>
      </c>
      <c r="R961" s="8">
        <f>IFERROR(IFERROR(VLOOKUP(A961,TRAOPE!$A:$W,23,0),VLOOKUP(B961,TRAOPE!$A:$W,23,0)),"")</f>
        <v/>
      </c>
      <c r="S961" s="10">
        <f>IF(AND(P961="TN",R961="TN"),N961+N(O961),IF(G961&amp;""="1",N(K961)*N961,(N961+N(O961))*N(K961)))</f>
        <v/>
      </c>
      <c r="T961" s="10">
        <f>IF(Q961="","",Q961-S961)</f>
        <v/>
      </c>
    </row>
    <row r="962">
      <c r="A962" s="7">
        <f>CONCATENATE(C962,E962,F962,I962)</f>
        <v/>
      </c>
      <c r="B962" s="7">
        <f>CONCATENATE(C962,E962,I962)</f>
        <v/>
      </c>
      <c r="C962" s="8" t="n">
        <v>900003601</v>
      </c>
      <c r="D962" s="7">
        <f>IFERROR(VLOOKUP(C962,TRAOPE!$G:$H,2,0),"")</f>
        <v/>
      </c>
      <c r="E962" s="8" t="inlineStr">
        <is>
          <t>D836</t>
        </is>
      </c>
      <c r="F962" s="8" t="inlineStr">
        <is>
          <t>65251399</t>
        </is>
      </c>
      <c r="G962" s="8">
        <f>IFERROR(VLOOKUP(A962,Flete!$A:$E,5,0),"")</f>
        <v/>
      </c>
      <c r="H962" s="7">
        <f>IFERROR(VLOOKUP(F962,TRAOPE!$AA:$AB,2,0),"")</f>
        <v/>
      </c>
      <c r="I962" s="7" t="n">
        <v>10000722</v>
      </c>
      <c r="J962" s="7">
        <f>IFERROR(VLOOKUP(I962,Materiales!$A:$H,8,0),"")</f>
        <v/>
      </c>
      <c r="K962" s="9">
        <f>IFERROR(VLOOKUP(I962,Materiales!$A:$G,7,0),"")</f>
        <v/>
      </c>
      <c r="L962" s="8" t="inlineStr">
        <is>
          <t>20190426</t>
        </is>
      </c>
      <c r="M962" s="8" t="inlineStr">
        <is>
          <t>20250127</t>
        </is>
      </c>
      <c r="N962" s="10" t="n">
        <v>116.25</v>
      </c>
      <c r="O962" s="10">
        <f>IFERROR(VLOOKUP(A962,Flete!$A:$J,10,0),"")</f>
        <v/>
      </c>
      <c r="P962" s="8" t="inlineStr">
        <is>
          <t>TN</t>
        </is>
      </c>
      <c r="Q962" s="10">
        <f>IFERROR(IFERROR(VLOOKUP(A962,TRAOPE!$A:$U,21,0),VLOOKUP(B962,TRAOPE!$A:$U,21,0)),"")</f>
        <v/>
      </c>
      <c r="R962" s="8">
        <f>IFERROR(IFERROR(VLOOKUP(A962,TRAOPE!$A:$W,23,0),VLOOKUP(B962,TRAOPE!$A:$W,23,0)),"")</f>
        <v/>
      </c>
      <c r="S962" s="10">
        <f>IF(AND(P962="TN",R962="TN"),N962+N(O962),IF(G962&amp;""="1",N(K962)*N962,(N962+N(O962))*N(K962)))</f>
        <v/>
      </c>
      <c r="T962" s="10">
        <f>IF(Q962="","",Q962-S962)</f>
        <v/>
      </c>
    </row>
    <row r="963">
      <c r="A963" s="7">
        <f>CONCATENATE(C963,E963,F963,I963)</f>
        <v/>
      </c>
      <c r="B963" s="7">
        <f>CONCATENATE(C963,E963,I963)</f>
        <v/>
      </c>
      <c r="C963" s="8" t="n">
        <v>900003601</v>
      </c>
      <c r="D963" s="7">
        <f>IFERROR(VLOOKUP(C963,TRAOPE!$G:$H,2,0),"")</f>
        <v/>
      </c>
      <c r="E963" s="8" t="inlineStr">
        <is>
          <t>D836</t>
        </is>
      </c>
      <c r="F963" s="8" t="inlineStr">
        <is>
          <t>65296485</t>
        </is>
      </c>
      <c r="G963" s="8">
        <f>IFERROR(VLOOKUP(A963,Flete!$A:$E,5,0),"")</f>
        <v/>
      </c>
      <c r="H963" s="7">
        <f>IFERROR(VLOOKUP(F963,TRAOPE!$AA:$AB,2,0),"")</f>
        <v/>
      </c>
      <c r="I963" s="7" t="n">
        <v>10000722</v>
      </c>
      <c r="J963" s="7">
        <f>IFERROR(VLOOKUP(I963,Materiales!$A:$H,8,0),"")</f>
        <v/>
      </c>
      <c r="K963" s="9">
        <f>IFERROR(VLOOKUP(I963,Materiales!$A:$G,7,0),"")</f>
        <v/>
      </c>
      <c r="L963" s="8" t="inlineStr">
        <is>
          <t>20190426</t>
        </is>
      </c>
      <c r="M963" s="8" t="inlineStr">
        <is>
          <t>20250127</t>
        </is>
      </c>
      <c r="N963" s="10" t="n">
        <v>106.56</v>
      </c>
      <c r="O963" s="10">
        <f>IFERROR(VLOOKUP(A963,Flete!$A:$J,10,0),"")</f>
        <v/>
      </c>
      <c r="P963" s="8" t="inlineStr">
        <is>
          <t>TN</t>
        </is>
      </c>
      <c r="Q963" s="10">
        <f>IFERROR(IFERROR(VLOOKUP(A963,TRAOPE!$A:$U,21,0),VLOOKUP(B963,TRAOPE!$A:$U,21,0)),"")</f>
        <v/>
      </c>
      <c r="R963" s="8">
        <f>IFERROR(IFERROR(VLOOKUP(A963,TRAOPE!$A:$W,23,0),VLOOKUP(B963,TRAOPE!$A:$W,23,0)),"")</f>
        <v/>
      </c>
      <c r="S963" s="10">
        <f>IF(AND(P963="TN",R963="TN"),N963+N(O963),IF(G963&amp;""="1",N(K963)*N963,(N963+N(O963))*N(K963)))</f>
        <v/>
      </c>
      <c r="T963" s="10">
        <f>IF(Q963="","",Q963-S963)</f>
        <v/>
      </c>
    </row>
    <row r="964">
      <c r="A964" s="7">
        <f>CONCATENATE(C964,E964,F964,I964)</f>
        <v/>
      </c>
      <c r="B964" s="7">
        <f>CONCATENATE(C964,E964,I964)</f>
        <v/>
      </c>
      <c r="C964" s="8" t="n">
        <v>900003601</v>
      </c>
      <c r="D964" s="7">
        <f>IFERROR(VLOOKUP(C964,TRAOPE!$G:$H,2,0),"")</f>
        <v/>
      </c>
      <c r="E964" s="8" t="inlineStr">
        <is>
          <t>D836</t>
        </is>
      </c>
      <c r="F964" s="8" t="inlineStr">
        <is>
          <t>65345243</t>
        </is>
      </c>
      <c r="G964" s="8">
        <f>IFERROR(VLOOKUP(A964,Flete!$A:$E,5,0),"")</f>
        <v/>
      </c>
      <c r="H964" s="7">
        <f>IFERROR(VLOOKUP(F964,TRAOPE!$AA:$AB,2,0),"")</f>
        <v/>
      </c>
      <c r="I964" s="7" t="n">
        <v>10000623</v>
      </c>
      <c r="J964" s="7">
        <f>IFERROR(VLOOKUP(I964,Materiales!$A:$H,8,0),"")</f>
        <v/>
      </c>
      <c r="K964" s="9">
        <f>IFERROR(VLOOKUP(I964,Materiales!$A:$G,7,0),"")</f>
        <v/>
      </c>
      <c r="L964" s="8" t="inlineStr">
        <is>
          <t>20190426</t>
        </is>
      </c>
      <c r="M964" s="8" t="inlineStr">
        <is>
          <t>20250127</t>
        </is>
      </c>
      <c r="N964" s="10" t="n">
        <v>102.6</v>
      </c>
      <c r="O964" s="10">
        <f>IFERROR(VLOOKUP(A964,Flete!$A:$J,10,0),"")</f>
        <v/>
      </c>
      <c r="P964" s="8" t="inlineStr">
        <is>
          <t>TN</t>
        </is>
      </c>
      <c r="Q964" s="10">
        <f>IFERROR(IFERROR(VLOOKUP(A964,TRAOPE!$A:$U,21,0),VLOOKUP(B964,TRAOPE!$A:$U,21,0)),"")</f>
        <v/>
      </c>
      <c r="R964" s="8">
        <f>IFERROR(IFERROR(VLOOKUP(A964,TRAOPE!$A:$W,23,0),VLOOKUP(B964,TRAOPE!$A:$W,23,0)),"")</f>
        <v/>
      </c>
      <c r="S964" s="10">
        <f>IF(AND(P964="TN",R964="TN"),N964+N(O964),IF(G964&amp;""="1",N(K964)*N964,(N964+N(O964))*N(K964)))</f>
        <v/>
      </c>
      <c r="T964" s="10">
        <f>IF(Q964="","",Q964-S964)</f>
        <v/>
      </c>
    </row>
    <row r="965">
      <c r="A965" s="7">
        <f>CONCATENATE(C965,E965,F965,I965)</f>
        <v/>
      </c>
      <c r="B965" s="7">
        <f>CONCATENATE(C965,E965,I965)</f>
        <v/>
      </c>
      <c r="C965" s="8" t="n">
        <v>900003601</v>
      </c>
      <c r="D965" s="7">
        <f>IFERROR(VLOOKUP(C965,TRAOPE!$G:$H,2,0),"")</f>
        <v/>
      </c>
      <c r="E965" s="8" t="inlineStr">
        <is>
          <t>D836</t>
        </is>
      </c>
      <c r="F965" s="8" t="inlineStr">
        <is>
          <t>65346224</t>
        </is>
      </c>
      <c r="G965" s="8">
        <f>IFERROR(VLOOKUP(A965,Flete!$A:$E,5,0),"")</f>
        <v/>
      </c>
      <c r="H965" s="7">
        <f>IFERROR(VLOOKUP(F965,TRAOPE!$AA:$AB,2,0),"")</f>
        <v/>
      </c>
      <c r="I965" s="7" t="n">
        <v>10000623</v>
      </c>
      <c r="J965" s="7">
        <f>IFERROR(VLOOKUP(I965,Materiales!$A:$H,8,0),"")</f>
        <v/>
      </c>
      <c r="K965" s="9">
        <f>IFERROR(VLOOKUP(I965,Materiales!$A:$G,7,0),"")</f>
        <v/>
      </c>
      <c r="L965" s="8" t="inlineStr">
        <is>
          <t>20190426</t>
        </is>
      </c>
      <c r="M965" s="8" t="inlineStr">
        <is>
          <t>20250127</t>
        </is>
      </c>
      <c r="N965" s="10" t="n">
        <v>106.92</v>
      </c>
      <c r="O965" s="10">
        <f>IFERROR(VLOOKUP(A965,Flete!$A:$J,10,0),"")</f>
        <v/>
      </c>
      <c r="P965" s="8" t="inlineStr">
        <is>
          <t>TN</t>
        </is>
      </c>
      <c r="Q965" s="10">
        <f>IFERROR(IFERROR(VLOOKUP(A965,TRAOPE!$A:$U,21,0),VLOOKUP(B965,TRAOPE!$A:$U,21,0)),"")</f>
        <v/>
      </c>
      <c r="R965" s="8">
        <f>IFERROR(IFERROR(VLOOKUP(A965,TRAOPE!$A:$W,23,0),VLOOKUP(B965,TRAOPE!$A:$W,23,0)),"")</f>
        <v/>
      </c>
      <c r="S965" s="10">
        <f>IF(AND(P965="TN",R965="TN"),N965+N(O965),IF(G965&amp;""="1",N(K965)*N965,(N965+N(O965))*N(K965)))</f>
        <v/>
      </c>
      <c r="T965" s="10">
        <f>IF(Q965="","",Q965-S965)</f>
        <v/>
      </c>
    </row>
    <row r="966">
      <c r="A966" s="7">
        <f>CONCATENATE(C966,E966,F966,I966)</f>
        <v/>
      </c>
      <c r="B966" s="7">
        <f>CONCATENATE(C966,E966,I966)</f>
        <v/>
      </c>
      <c r="C966" s="8" t="n">
        <v>900003601</v>
      </c>
      <c r="D966" s="7">
        <f>IFERROR(VLOOKUP(C966,TRAOPE!$G:$H,2,0),"")</f>
        <v/>
      </c>
      <c r="E966" s="8" t="inlineStr">
        <is>
          <t>D836</t>
        </is>
      </c>
      <c r="F966" s="8" t="inlineStr">
        <is>
          <t>65360507</t>
        </is>
      </c>
      <c r="G966" s="8">
        <f>IFERROR(VLOOKUP(A966,Flete!$A:$E,5,0),"")</f>
        <v/>
      </c>
      <c r="H966" s="7">
        <f>IFERROR(VLOOKUP(F966,TRAOPE!$AA:$AB,2,0),"")</f>
        <v/>
      </c>
      <c r="I966" s="7" t="n">
        <v>10000623</v>
      </c>
      <c r="J966" s="7">
        <f>IFERROR(VLOOKUP(I966,Materiales!$A:$H,8,0),"")</f>
        <v/>
      </c>
      <c r="K966" s="9">
        <f>IFERROR(VLOOKUP(I966,Materiales!$A:$G,7,0),"")</f>
        <v/>
      </c>
      <c r="L966" s="8" t="inlineStr">
        <is>
          <t>20190426</t>
        </is>
      </c>
      <c r="M966" s="8" t="inlineStr">
        <is>
          <t>20250127</t>
        </is>
      </c>
      <c r="N966" s="10" t="n">
        <v>110.44</v>
      </c>
      <c r="O966" s="10">
        <f>IFERROR(VLOOKUP(A966,Flete!$A:$J,10,0),"")</f>
        <v/>
      </c>
      <c r="P966" s="8" t="inlineStr">
        <is>
          <t>TN</t>
        </is>
      </c>
      <c r="Q966" s="10">
        <f>IFERROR(IFERROR(VLOOKUP(A966,TRAOPE!$A:$U,21,0),VLOOKUP(B966,TRAOPE!$A:$U,21,0)),"")</f>
        <v/>
      </c>
      <c r="R966" s="8">
        <f>IFERROR(IFERROR(VLOOKUP(A966,TRAOPE!$A:$W,23,0),VLOOKUP(B966,TRAOPE!$A:$W,23,0)),"")</f>
        <v/>
      </c>
      <c r="S966" s="10">
        <f>IF(AND(P966="TN",R966="TN"),N966+N(O966),IF(G966&amp;""="1",N(K966)*N966,(N966+N(O966))*N(K966)))</f>
        <v/>
      </c>
      <c r="T966" s="10">
        <f>IF(Q966="","",Q966-S966)</f>
        <v/>
      </c>
    </row>
    <row r="967">
      <c r="A967" s="7">
        <f>CONCATENATE(C967,E967,F967,I967)</f>
        <v/>
      </c>
      <c r="B967" s="7">
        <f>CONCATENATE(C967,E967,I967)</f>
        <v/>
      </c>
      <c r="C967" s="8" t="n">
        <v>900003601</v>
      </c>
      <c r="D967" s="7">
        <f>IFERROR(VLOOKUP(C967,TRAOPE!$G:$H,2,0),"")</f>
        <v/>
      </c>
      <c r="E967" s="8" t="inlineStr">
        <is>
          <t>D836</t>
        </is>
      </c>
      <c r="F967" s="8" t="inlineStr">
        <is>
          <t>65360507</t>
        </is>
      </c>
      <c r="G967" s="8">
        <f>IFERROR(VLOOKUP(A967,Flete!$A:$E,5,0),"")</f>
        <v/>
      </c>
      <c r="H967" s="7">
        <f>IFERROR(VLOOKUP(F967,TRAOPE!$AA:$AB,2,0),"")</f>
        <v/>
      </c>
      <c r="I967" s="7" t="n">
        <v>10000722</v>
      </c>
      <c r="J967" s="7">
        <f>IFERROR(VLOOKUP(I967,Materiales!$A:$H,8,0),"")</f>
        <v/>
      </c>
      <c r="K967" s="9">
        <f>IFERROR(VLOOKUP(I967,Materiales!$A:$G,7,0),"")</f>
        <v/>
      </c>
      <c r="L967" s="8" t="inlineStr">
        <is>
          <t>20190426</t>
        </is>
      </c>
      <c r="M967" s="8" t="inlineStr">
        <is>
          <t>20250127</t>
        </is>
      </c>
      <c r="N967" s="10" t="n">
        <v>110.44</v>
      </c>
      <c r="O967" s="10">
        <f>IFERROR(VLOOKUP(A967,Flete!$A:$J,10,0),"")</f>
        <v/>
      </c>
      <c r="P967" s="8" t="inlineStr">
        <is>
          <t>TN</t>
        </is>
      </c>
      <c r="Q967" s="10">
        <f>IFERROR(IFERROR(VLOOKUP(A967,TRAOPE!$A:$U,21,0),VLOOKUP(B967,TRAOPE!$A:$U,21,0)),"")</f>
        <v/>
      </c>
      <c r="R967" s="8">
        <f>IFERROR(IFERROR(VLOOKUP(A967,TRAOPE!$A:$W,23,0),VLOOKUP(B967,TRAOPE!$A:$W,23,0)),"")</f>
        <v/>
      </c>
      <c r="S967" s="10">
        <f>IF(AND(P967="TN",R967="TN"),N967+N(O967),IF(G967&amp;""="1",N(K967)*N967,(N967+N(O967))*N(K967)))</f>
        <v/>
      </c>
      <c r="T967" s="10">
        <f>IF(Q967="","",Q967-S967)</f>
        <v/>
      </c>
    </row>
    <row r="968">
      <c r="A968" s="7">
        <f>CONCATENATE(C968,E968,F968,I968)</f>
        <v/>
      </c>
      <c r="B968" s="7">
        <f>CONCATENATE(C968,E968,I968)</f>
        <v/>
      </c>
      <c r="C968" s="8" t="n">
        <v>900003601</v>
      </c>
      <c r="D968" s="7">
        <f>IFERROR(VLOOKUP(C968,TRAOPE!$G:$H,2,0),"")</f>
        <v/>
      </c>
      <c r="E968" s="8" t="inlineStr">
        <is>
          <t>D836</t>
        </is>
      </c>
      <c r="F968" s="8" t="inlineStr">
        <is>
          <t>65370785</t>
        </is>
      </c>
      <c r="G968" s="8">
        <f>IFERROR(VLOOKUP(A968,Flete!$A:$E,5,0),"")</f>
        <v/>
      </c>
      <c r="H968" s="7">
        <f>IFERROR(VLOOKUP(F968,TRAOPE!$AA:$AB,2,0),"")</f>
        <v/>
      </c>
      <c r="I968" s="7" t="n">
        <v>10000722</v>
      </c>
      <c r="J968" s="7">
        <f>IFERROR(VLOOKUP(I968,Materiales!$A:$H,8,0),"")</f>
        <v/>
      </c>
      <c r="K968" s="9">
        <f>IFERROR(VLOOKUP(I968,Materiales!$A:$G,7,0),"")</f>
        <v/>
      </c>
      <c r="L968" s="8" t="inlineStr">
        <is>
          <t>20190426</t>
        </is>
      </c>
      <c r="M968" s="8" t="inlineStr">
        <is>
          <t>20250127</t>
        </is>
      </c>
      <c r="N968" s="10" t="n">
        <v>111.09</v>
      </c>
      <c r="O968" s="10">
        <f>IFERROR(VLOOKUP(A968,Flete!$A:$J,10,0),"")</f>
        <v/>
      </c>
      <c r="P968" s="8" t="inlineStr">
        <is>
          <t>TN</t>
        </is>
      </c>
      <c r="Q968" s="10">
        <f>IFERROR(IFERROR(VLOOKUP(A968,TRAOPE!$A:$U,21,0),VLOOKUP(B968,TRAOPE!$A:$U,21,0)),"")</f>
        <v/>
      </c>
      <c r="R968" s="8">
        <f>IFERROR(IFERROR(VLOOKUP(A968,TRAOPE!$A:$W,23,0),VLOOKUP(B968,TRAOPE!$A:$W,23,0)),"")</f>
        <v/>
      </c>
      <c r="S968" s="10">
        <f>IF(AND(P968="TN",R968="TN"),N968+N(O968),IF(G968&amp;""="1",N(K968)*N968,(N968+N(O968))*N(K968)))</f>
        <v/>
      </c>
      <c r="T968" s="10">
        <f>IF(Q968="","",Q968-S968)</f>
        <v/>
      </c>
    </row>
    <row r="969">
      <c r="A969" s="7">
        <f>CONCATENATE(C969,E969,F969,I969)</f>
        <v/>
      </c>
      <c r="B969" s="7">
        <f>CONCATENATE(C969,E969,I969)</f>
        <v/>
      </c>
      <c r="C969" s="8" t="n">
        <v>900003601</v>
      </c>
      <c r="D969" s="7">
        <f>IFERROR(VLOOKUP(C969,TRAOPE!$G:$H,2,0),"")</f>
        <v/>
      </c>
      <c r="E969" s="8" t="inlineStr">
        <is>
          <t>D836</t>
        </is>
      </c>
      <c r="F969" s="8" t="inlineStr">
        <is>
          <t>65442270</t>
        </is>
      </c>
      <c r="G969" s="8">
        <f>IFERROR(VLOOKUP(A969,Flete!$A:$E,5,0),"")</f>
        <v/>
      </c>
      <c r="H969" s="7">
        <f>IFERROR(VLOOKUP(F969,TRAOPE!$AA:$AB,2,0),"")</f>
        <v/>
      </c>
      <c r="I969" s="7" t="n">
        <v>10000624</v>
      </c>
      <c r="J969" s="7">
        <f>IFERROR(VLOOKUP(I969,Materiales!$A:$H,8,0),"")</f>
        <v/>
      </c>
      <c r="K969" s="9">
        <f>IFERROR(VLOOKUP(I969,Materiales!$A:$G,7,0),"")</f>
        <v/>
      </c>
      <c r="L969" s="8" t="inlineStr">
        <is>
          <t>20190426</t>
        </is>
      </c>
      <c r="M969" s="8" t="inlineStr">
        <is>
          <t>20250127</t>
        </is>
      </c>
      <c r="N969" s="10" t="n">
        <v>107.64</v>
      </c>
      <c r="O969" s="10">
        <f>IFERROR(VLOOKUP(A969,Flete!$A:$J,10,0),"")</f>
        <v/>
      </c>
      <c r="P969" s="8" t="inlineStr">
        <is>
          <t>TN</t>
        </is>
      </c>
      <c r="Q969" s="10">
        <f>IFERROR(IFERROR(VLOOKUP(A969,TRAOPE!$A:$U,21,0),VLOOKUP(B969,TRAOPE!$A:$U,21,0)),"")</f>
        <v/>
      </c>
      <c r="R969" s="8">
        <f>IFERROR(IFERROR(VLOOKUP(A969,TRAOPE!$A:$W,23,0),VLOOKUP(B969,TRAOPE!$A:$W,23,0)),"")</f>
        <v/>
      </c>
      <c r="S969" s="10">
        <f>IF(AND(P969="TN",R969="TN"),N969+N(O969),IF(G969&amp;""="1",N(K969)*N969,(N969+N(O969))*N(K969)))</f>
        <v/>
      </c>
      <c r="T969" s="10">
        <f>IF(Q969="","",Q969-S969)</f>
        <v/>
      </c>
    </row>
    <row r="970">
      <c r="A970" s="7">
        <f>CONCATENATE(C970,E970,F970,I970)</f>
        <v/>
      </c>
      <c r="B970" s="7">
        <f>CONCATENATE(C970,E970,I970)</f>
        <v/>
      </c>
      <c r="C970" s="8" t="n">
        <v>900003601</v>
      </c>
      <c r="D970" s="7">
        <f>IFERROR(VLOOKUP(C970,TRAOPE!$G:$H,2,0),"")</f>
        <v/>
      </c>
      <c r="E970" s="8" t="inlineStr">
        <is>
          <t>D836</t>
        </is>
      </c>
      <c r="F970" s="8" t="inlineStr">
        <is>
          <t>65442270</t>
        </is>
      </c>
      <c r="G970" s="8">
        <f>IFERROR(VLOOKUP(A970,Flete!$A:$E,5,0),"")</f>
        <v/>
      </c>
      <c r="H970" s="7">
        <f>IFERROR(VLOOKUP(F970,TRAOPE!$AA:$AB,2,0),"")</f>
        <v/>
      </c>
      <c r="I970" s="7" t="n">
        <v>10000722</v>
      </c>
      <c r="J970" s="7">
        <f>IFERROR(VLOOKUP(I970,Materiales!$A:$H,8,0),"")</f>
        <v/>
      </c>
      <c r="K970" s="9">
        <f>IFERROR(VLOOKUP(I970,Materiales!$A:$G,7,0),"")</f>
        <v/>
      </c>
      <c r="L970" s="8" t="inlineStr">
        <is>
          <t>20190426</t>
        </is>
      </c>
      <c r="M970" s="8" t="inlineStr">
        <is>
          <t>20250127</t>
        </is>
      </c>
      <c r="N970" s="10" t="n">
        <v>107.64</v>
      </c>
      <c r="O970" s="10">
        <f>IFERROR(VLOOKUP(A970,Flete!$A:$J,10,0),"")</f>
        <v/>
      </c>
      <c r="P970" s="8" t="inlineStr">
        <is>
          <t>TN</t>
        </is>
      </c>
      <c r="Q970" s="10">
        <f>IFERROR(IFERROR(VLOOKUP(A970,TRAOPE!$A:$U,21,0),VLOOKUP(B970,TRAOPE!$A:$U,21,0)),"")</f>
        <v/>
      </c>
      <c r="R970" s="8">
        <f>IFERROR(IFERROR(VLOOKUP(A970,TRAOPE!$A:$W,23,0),VLOOKUP(B970,TRAOPE!$A:$W,23,0)),"")</f>
        <v/>
      </c>
      <c r="S970" s="10">
        <f>IF(AND(P970="TN",R970="TN"),N970+N(O970),IF(G970&amp;""="1",N(K970)*N970,(N970+N(O970))*N(K970)))</f>
        <v/>
      </c>
      <c r="T970" s="10">
        <f>IF(Q970="","",Q970-S970)</f>
        <v/>
      </c>
    </row>
    <row r="971">
      <c r="A971" s="7">
        <f>CONCATENATE(C971,E971,F971,I971)</f>
        <v/>
      </c>
      <c r="B971" s="7">
        <f>CONCATENATE(C971,E971,I971)</f>
        <v/>
      </c>
      <c r="C971" s="8" t="n">
        <v>900003601</v>
      </c>
      <c r="D971" s="7">
        <f>IFERROR(VLOOKUP(C971,TRAOPE!$G:$H,2,0),"")</f>
        <v/>
      </c>
      <c r="E971" s="8" t="inlineStr">
        <is>
          <t>D836</t>
        </is>
      </c>
      <c r="F971" s="8" t="inlineStr">
        <is>
          <t>65445261</t>
        </is>
      </c>
      <c r="G971" s="8">
        <f>IFERROR(VLOOKUP(A971,Flete!$A:$E,5,0),"")</f>
        <v/>
      </c>
      <c r="H971" s="7">
        <f>IFERROR(VLOOKUP(F971,TRAOPE!$AA:$AB,2,0),"")</f>
        <v/>
      </c>
      <c r="I971" s="7" t="n">
        <v>10000623</v>
      </c>
      <c r="J971" s="7">
        <f>IFERROR(VLOOKUP(I971,Materiales!$A:$H,8,0),"")</f>
        <v/>
      </c>
      <c r="K971" s="9">
        <f>IFERROR(VLOOKUP(I971,Materiales!$A:$G,7,0),"")</f>
        <v/>
      </c>
      <c r="L971" s="8" t="inlineStr">
        <is>
          <t>20190426</t>
        </is>
      </c>
      <c r="M971" s="8" t="inlineStr">
        <is>
          <t>20250127</t>
        </is>
      </c>
      <c r="N971" s="10" t="n">
        <v>116.25</v>
      </c>
      <c r="O971" s="10">
        <f>IFERROR(VLOOKUP(A971,Flete!$A:$J,10,0),"")</f>
        <v/>
      </c>
      <c r="P971" s="8" t="inlineStr">
        <is>
          <t>TN</t>
        </is>
      </c>
      <c r="Q971" s="10">
        <f>IFERROR(IFERROR(VLOOKUP(A971,TRAOPE!$A:$U,21,0),VLOOKUP(B971,TRAOPE!$A:$U,21,0)),"")</f>
        <v/>
      </c>
      <c r="R971" s="8">
        <f>IFERROR(IFERROR(VLOOKUP(A971,TRAOPE!$A:$W,23,0),VLOOKUP(B971,TRAOPE!$A:$W,23,0)),"")</f>
        <v/>
      </c>
      <c r="S971" s="10">
        <f>IF(AND(P971="TN",R971="TN"),N971+N(O971),IF(G971&amp;""="1",N(K971)*N971,(N971+N(O971))*N(K971)))</f>
        <v/>
      </c>
      <c r="T971" s="10">
        <f>IF(Q971="","",Q971-S971)</f>
        <v/>
      </c>
    </row>
    <row r="972">
      <c r="A972" s="7">
        <f>CONCATENATE(C972,E972,F972,I972)</f>
        <v/>
      </c>
      <c r="B972" s="7">
        <f>CONCATENATE(C972,E972,I972)</f>
        <v/>
      </c>
      <c r="C972" s="8" t="n">
        <v>900003601</v>
      </c>
      <c r="D972" s="7">
        <f>IFERROR(VLOOKUP(C972,TRAOPE!$G:$H,2,0),"")</f>
        <v/>
      </c>
      <c r="E972" s="8" t="inlineStr">
        <is>
          <t>D836</t>
        </is>
      </c>
      <c r="F972" s="8" t="inlineStr">
        <is>
          <t>65445261</t>
        </is>
      </c>
      <c r="G972" s="8">
        <f>IFERROR(VLOOKUP(A972,Flete!$A:$E,5,0),"")</f>
        <v/>
      </c>
      <c r="H972" s="7">
        <f>IFERROR(VLOOKUP(F972,TRAOPE!$AA:$AB,2,0),"")</f>
        <v/>
      </c>
      <c r="I972" s="7" t="n">
        <v>10000722</v>
      </c>
      <c r="J972" s="7">
        <f>IFERROR(VLOOKUP(I972,Materiales!$A:$H,8,0),"")</f>
        <v/>
      </c>
      <c r="K972" s="9">
        <f>IFERROR(VLOOKUP(I972,Materiales!$A:$G,7,0),"")</f>
        <v/>
      </c>
      <c r="L972" s="8" t="inlineStr">
        <is>
          <t>20190426</t>
        </is>
      </c>
      <c r="M972" s="8" t="inlineStr">
        <is>
          <t>20250127</t>
        </is>
      </c>
      <c r="N972" s="10" t="n">
        <v>116.25</v>
      </c>
      <c r="O972" s="10">
        <f>IFERROR(VLOOKUP(A972,Flete!$A:$J,10,0),"")</f>
        <v/>
      </c>
      <c r="P972" s="8" t="inlineStr">
        <is>
          <t>TN</t>
        </is>
      </c>
      <c r="Q972" s="10">
        <f>IFERROR(IFERROR(VLOOKUP(A972,TRAOPE!$A:$U,21,0),VLOOKUP(B972,TRAOPE!$A:$U,21,0)),"")</f>
        <v/>
      </c>
      <c r="R972" s="8">
        <f>IFERROR(IFERROR(VLOOKUP(A972,TRAOPE!$A:$W,23,0),VLOOKUP(B972,TRAOPE!$A:$W,23,0)),"")</f>
        <v/>
      </c>
      <c r="S972" s="10">
        <f>IF(AND(P972="TN",R972="TN"),N972+N(O972),IF(G972&amp;""="1",N(K972)*N972,(N972+N(O972))*N(K972)))</f>
        <v/>
      </c>
      <c r="T972" s="10">
        <f>IF(Q972="","",Q972-S972)</f>
        <v/>
      </c>
    </row>
    <row r="973">
      <c r="A973" s="7">
        <f>CONCATENATE(C973,E973,F973,I973)</f>
        <v/>
      </c>
      <c r="B973" s="7">
        <f>CONCATENATE(C973,E973,I973)</f>
        <v/>
      </c>
      <c r="C973" s="8" t="n">
        <v>900003601</v>
      </c>
      <c r="D973" s="7">
        <f>IFERROR(VLOOKUP(C973,TRAOPE!$G:$H,2,0),"")</f>
        <v/>
      </c>
      <c r="E973" s="8" t="inlineStr">
        <is>
          <t>D836</t>
        </is>
      </c>
      <c r="F973" s="8" t="inlineStr">
        <is>
          <t>65565826</t>
        </is>
      </c>
      <c r="G973" s="8">
        <f>IFERROR(VLOOKUP(A973,Flete!$A:$E,5,0),"")</f>
        <v/>
      </c>
      <c r="H973" s="7">
        <f>IFERROR(VLOOKUP(F973,TRAOPE!$AA:$AB,2,0),"")</f>
        <v/>
      </c>
      <c r="I973" s="7" t="n">
        <v>10000623</v>
      </c>
      <c r="J973" s="7">
        <f>IFERROR(VLOOKUP(I973,Materiales!$A:$H,8,0),"")</f>
        <v/>
      </c>
      <c r="K973" s="9">
        <f>IFERROR(VLOOKUP(I973,Materiales!$A:$G,7,0),"")</f>
        <v/>
      </c>
      <c r="L973" s="8" t="inlineStr">
        <is>
          <t>20190426</t>
        </is>
      </c>
      <c r="M973" s="8" t="inlineStr">
        <is>
          <t>20250127</t>
        </is>
      </c>
      <c r="N973" s="10" t="n">
        <v>102.86</v>
      </c>
      <c r="O973" s="10">
        <f>IFERROR(VLOOKUP(A973,Flete!$A:$J,10,0),"")</f>
        <v/>
      </c>
      <c r="P973" s="8" t="inlineStr">
        <is>
          <t>TN</t>
        </is>
      </c>
      <c r="Q973" s="10">
        <f>IFERROR(IFERROR(VLOOKUP(A973,TRAOPE!$A:$U,21,0),VLOOKUP(B973,TRAOPE!$A:$U,21,0)),"")</f>
        <v/>
      </c>
      <c r="R973" s="8">
        <f>IFERROR(IFERROR(VLOOKUP(A973,TRAOPE!$A:$W,23,0),VLOOKUP(B973,TRAOPE!$A:$W,23,0)),"")</f>
        <v/>
      </c>
      <c r="S973" s="10">
        <f>IF(AND(P973="TN",R973="TN"),N973+N(O973),IF(G973&amp;""="1",N(K973)*N973,(N973+N(O973))*N(K973)))</f>
        <v/>
      </c>
      <c r="T973" s="10">
        <f>IF(Q973="","",Q973-S973)</f>
        <v/>
      </c>
    </row>
    <row r="974">
      <c r="A974" s="7">
        <f>CONCATENATE(C974,E974,F974,I974)</f>
        <v/>
      </c>
      <c r="B974" s="7">
        <f>CONCATENATE(C974,E974,I974)</f>
        <v/>
      </c>
      <c r="C974" s="8" t="n">
        <v>900003601</v>
      </c>
      <c r="D974" s="7">
        <f>IFERROR(VLOOKUP(C974,TRAOPE!$G:$H,2,0),"")</f>
        <v/>
      </c>
      <c r="E974" s="8" t="inlineStr">
        <is>
          <t>D836</t>
        </is>
      </c>
      <c r="F974" s="8" t="inlineStr">
        <is>
          <t>65565826</t>
        </is>
      </c>
      <c r="G974" s="8">
        <f>IFERROR(VLOOKUP(A974,Flete!$A:$E,5,0),"")</f>
        <v/>
      </c>
      <c r="H974" s="7">
        <f>IFERROR(VLOOKUP(F974,TRAOPE!$AA:$AB,2,0),"")</f>
        <v/>
      </c>
      <c r="I974" s="7" t="n">
        <v>10000722</v>
      </c>
      <c r="J974" s="7">
        <f>IFERROR(VLOOKUP(I974,Materiales!$A:$H,8,0),"")</f>
        <v/>
      </c>
      <c r="K974" s="9">
        <f>IFERROR(VLOOKUP(I974,Materiales!$A:$G,7,0),"")</f>
        <v/>
      </c>
      <c r="L974" s="8" t="inlineStr">
        <is>
          <t>20190426</t>
        </is>
      </c>
      <c r="M974" s="8" t="inlineStr">
        <is>
          <t>20250127</t>
        </is>
      </c>
      <c r="N974" s="10" t="n">
        <v>102.86</v>
      </c>
      <c r="O974" s="10">
        <f>IFERROR(VLOOKUP(A974,Flete!$A:$J,10,0),"")</f>
        <v/>
      </c>
      <c r="P974" s="8" t="inlineStr">
        <is>
          <t>TN</t>
        </is>
      </c>
      <c r="Q974" s="10">
        <f>IFERROR(IFERROR(VLOOKUP(A974,TRAOPE!$A:$U,21,0),VLOOKUP(B974,TRAOPE!$A:$U,21,0)),"")</f>
        <v/>
      </c>
      <c r="R974" s="8">
        <f>IFERROR(IFERROR(VLOOKUP(A974,TRAOPE!$A:$W,23,0),VLOOKUP(B974,TRAOPE!$A:$W,23,0)),"")</f>
        <v/>
      </c>
      <c r="S974" s="10">
        <f>IF(AND(P974="TN",R974="TN"),N974+N(O974),IF(G974&amp;""="1",N(K974)*N974,(N974+N(O974))*N(K974)))</f>
        <v/>
      </c>
      <c r="T974" s="10">
        <f>IF(Q974="","",Q974-S974)</f>
        <v/>
      </c>
    </row>
    <row r="975">
      <c r="A975" s="7">
        <f>CONCATENATE(C975,E975,F975,I975)</f>
        <v/>
      </c>
      <c r="B975" s="7">
        <f>CONCATENATE(C975,E975,I975)</f>
        <v/>
      </c>
      <c r="C975" s="8" t="n">
        <v>900003601</v>
      </c>
      <c r="D975" s="7">
        <f>IFERROR(VLOOKUP(C975,TRAOPE!$G:$H,2,0),"")</f>
        <v/>
      </c>
      <c r="E975" s="8" t="inlineStr">
        <is>
          <t>D836</t>
        </is>
      </c>
      <c r="F975" s="8" t="inlineStr">
        <is>
          <t>65570346</t>
        </is>
      </c>
      <c r="G975" s="8">
        <f>IFERROR(VLOOKUP(A975,Flete!$A:$E,5,0),"")</f>
        <v/>
      </c>
      <c r="H975" s="7">
        <f>IFERROR(VLOOKUP(F975,TRAOPE!$AA:$AB,2,0),"")</f>
        <v/>
      </c>
      <c r="I975" s="7" t="n">
        <v>10000624</v>
      </c>
      <c r="J975" s="7">
        <f>IFERROR(VLOOKUP(I975,Materiales!$A:$H,8,0),"")</f>
        <v/>
      </c>
      <c r="K975" s="9">
        <f>IFERROR(VLOOKUP(I975,Materiales!$A:$G,7,0),"")</f>
        <v/>
      </c>
      <c r="L975" s="8" t="inlineStr">
        <is>
          <t>20190426</t>
        </is>
      </c>
      <c r="M975" s="8" t="inlineStr">
        <is>
          <t>20250127</t>
        </is>
      </c>
      <c r="N975" s="10" t="n">
        <v>90.72</v>
      </c>
      <c r="O975" s="10">
        <f>IFERROR(VLOOKUP(A975,Flete!$A:$J,10,0),"")</f>
        <v/>
      </c>
      <c r="P975" s="8" t="inlineStr">
        <is>
          <t>TN</t>
        </is>
      </c>
      <c r="Q975" s="10">
        <f>IFERROR(IFERROR(VLOOKUP(A975,TRAOPE!$A:$U,21,0),VLOOKUP(B975,TRAOPE!$A:$U,21,0)),"")</f>
        <v/>
      </c>
      <c r="R975" s="8">
        <f>IFERROR(IFERROR(VLOOKUP(A975,TRAOPE!$A:$W,23,0),VLOOKUP(B975,TRAOPE!$A:$W,23,0)),"")</f>
        <v/>
      </c>
      <c r="S975" s="10">
        <f>IF(AND(P975="TN",R975="TN"),N975+N(O975),IF(G975&amp;""="1",N(K975)*N975,(N975+N(O975))*N(K975)))</f>
        <v/>
      </c>
      <c r="T975" s="10">
        <f>IF(Q975="","",Q975-S975)</f>
        <v/>
      </c>
    </row>
    <row r="976">
      <c r="A976" s="7">
        <f>CONCATENATE(C976,E976,F976,I976)</f>
        <v/>
      </c>
      <c r="B976" s="7">
        <f>CONCATENATE(C976,E976,I976)</f>
        <v/>
      </c>
      <c r="C976" s="8" t="n">
        <v>900003601</v>
      </c>
      <c r="D976" s="7">
        <f>IFERROR(VLOOKUP(C976,TRAOPE!$G:$H,2,0),"")</f>
        <v/>
      </c>
      <c r="E976" s="8" t="inlineStr">
        <is>
          <t>D836</t>
        </is>
      </c>
      <c r="F976" s="8" t="inlineStr">
        <is>
          <t>65570346</t>
        </is>
      </c>
      <c r="G976" s="8">
        <f>IFERROR(VLOOKUP(A976,Flete!$A:$E,5,0),"")</f>
        <v/>
      </c>
      <c r="H976" s="7">
        <f>IFERROR(VLOOKUP(F976,TRAOPE!$AA:$AB,2,0),"")</f>
        <v/>
      </c>
      <c r="I976" s="7" t="n">
        <v>10000722</v>
      </c>
      <c r="J976" s="7">
        <f>IFERROR(VLOOKUP(I976,Materiales!$A:$H,8,0),"")</f>
        <v/>
      </c>
      <c r="K976" s="9">
        <f>IFERROR(VLOOKUP(I976,Materiales!$A:$G,7,0),"")</f>
        <v/>
      </c>
      <c r="L976" s="8" t="inlineStr">
        <is>
          <t>20190426</t>
        </is>
      </c>
      <c r="M976" s="8" t="inlineStr">
        <is>
          <t>20250127</t>
        </is>
      </c>
      <c r="N976" s="10" t="n">
        <v>116.25</v>
      </c>
      <c r="O976" s="10">
        <f>IFERROR(VLOOKUP(A976,Flete!$A:$J,10,0),"")</f>
        <v/>
      </c>
      <c r="P976" s="8" t="inlineStr">
        <is>
          <t>TN</t>
        </is>
      </c>
      <c r="Q976" s="10">
        <f>IFERROR(IFERROR(VLOOKUP(A976,TRAOPE!$A:$U,21,0),VLOOKUP(B976,TRAOPE!$A:$U,21,0)),"")</f>
        <v/>
      </c>
      <c r="R976" s="8">
        <f>IFERROR(IFERROR(VLOOKUP(A976,TRAOPE!$A:$W,23,0),VLOOKUP(B976,TRAOPE!$A:$W,23,0)),"")</f>
        <v/>
      </c>
      <c r="S976" s="10">
        <f>IF(AND(P976="TN",R976="TN"),N976+N(O976),IF(G976&amp;""="1",N(K976)*N976,(N976+N(O976))*N(K976)))</f>
        <v/>
      </c>
      <c r="T976" s="10">
        <f>IF(Q976="","",Q976-S976)</f>
        <v/>
      </c>
    </row>
    <row r="977">
      <c r="A977" s="7">
        <f>CONCATENATE(C977,E977,F977,I977)</f>
        <v/>
      </c>
      <c r="B977" s="7">
        <f>CONCATENATE(C977,E977,I977)</f>
        <v/>
      </c>
      <c r="C977" s="8" t="n">
        <v>900003601</v>
      </c>
      <c r="D977" s="7">
        <f>IFERROR(VLOOKUP(C977,TRAOPE!$G:$H,2,0),"")</f>
        <v/>
      </c>
      <c r="E977" s="8" t="inlineStr">
        <is>
          <t>D836</t>
        </is>
      </c>
      <c r="F977" s="8" t="inlineStr">
        <is>
          <t>65612966</t>
        </is>
      </c>
      <c r="G977" s="8">
        <f>IFERROR(VLOOKUP(A977,Flete!$A:$E,5,0),"")</f>
        <v/>
      </c>
      <c r="H977" s="7">
        <f>IFERROR(VLOOKUP(F977,TRAOPE!$AA:$AB,2,0),"")</f>
        <v/>
      </c>
      <c r="I977" s="7" t="n">
        <v>10000624</v>
      </c>
      <c r="J977" s="7">
        <f>IFERROR(VLOOKUP(I977,Materiales!$A:$H,8,0),"")</f>
        <v/>
      </c>
      <c r="K977" s="9">
        <f>IFERROR(VLOOKUP(I977,Materiales!$A:$G,7,0),"")</f>
        <v/>
      </c>
      <c r="L977" s="8" t="inlineStr">
        <is>
          <t>20190426</t>
        </is>
      </c>
      <c r="M977" s="8" t="inlineStr">
        <is>
          <t>20250127</t>
        </is>
      </c>
      <c r="N977" s="10" t="n">
        <v>93.5</v>
      </c>
      <c r="O977" s="10">
        <f>IFERROR(VLOOKUP(A977,Flete!$A:$J,10,0),"")</f>
        <v/>
      </c>
      <c r="P977" s="8" t="inlineStr">
        <is>
          <t>TN</t>
        </is>
      </c>
      <c r="Q977" s="10">
        <f>IFERROR(IFERROR(VLOOKUP(A977,TRAOPE!$A:$U,21,0),VLOOKUP(B977,TRAOPE!$A:$U,21,0)),"")</f>
        <v/>
      </c>
      <c r="R977" s="8">
        <f>IFERROR(IFERROR(VLOOKUP(A977,TRAOPE!$A:$W,23,0),VLOOKUP(B977,TRAOPE!$A:$W,23,0)),"")</f>
        <v/>
      </c>
      <c r="S977" s="10">
        <f>IF(AND(P977="TN",R977="TN"),N977+N(O977),IF(G977&amp;""="1",N(K977)*N977,(N977+N(O977))*N(K977)))</f>
        <v/>
      </c>
      <c r="T977" s="10">
        <f>IF(Q977="","",Q977-S977)</f>
        <v/>
      </c>
    </row>
    <row r="978">
      <c r="A978" s="7">
        <f>CONCATENATE(C978,E978,F978,I978)</f>
        <v/>
      </c>
      <c r="B978" s="7">
        <f>CONCATENATE(C978,E978,I978)</f>
        <v/>
      </c>
      <c r="C978" s="8" t="n">
        <v>900003601</v>
      </c>
      <c r="D978" s="7">
        <f>IFERROR(VLOOKUP(C978,TRAOPE!$G:$H,2,0),"")</f>
        <v/>
      </c>
      <c r="E978" s="8" t="inlineStr">
        <is>
          <t>D836</t>
        </is>
      </c>
      <c r="F978" s="8" t="inlineStr">
        <is>
          <t>65612966</t>
        </is>
      </c>
      <c r="G978" s="8">
        <f>IFERROR(VLOOKUP(A978,Flete!$A:$E,5,0),"")</f>
        <v/>
      </c>
      <c r="H978" s="7">
        <f>IFERROR(VLOOKUP(F978,TRAOPE!$AA:$AB,2,0),"")</f>
        <v/>
      </c>
      <c r="I978" s="7" t="n">
        <v>10000722</v>
      </c>
      <c r="J978" s="7">
        <f>IFERROR(VLOOKUP(I978,Materiales!$A:$H,8,0),"")</f>
        <v/>
      </c>
      <c r="K978" s="9">
        <f>IFERROR(VLOOKUP(I978,Materiales!$A:$G,7,0),"")</f>
        <v/>
      </c>
      <c r="L978" s="8" t="inlineStr">
        <is>
          <t>20190426</t>
        </is>
      </c>
      <c r="M978" s="8" t="inlineStr">
        <is>
          <t>20250127</t>
        </is>
      </c>
      <c r="N978" s="10" t="n">
        <v>86.56999999999999</v>
      </c>
      <c r="O978" s="10">
        <f>IFERROR(VLOOKUP(A978,Flete!$A:$J,10,0),"")</f>
        <v/>
      </c>
      <c r="P978" s="8" t="inlineStr">
        <is>
          <t>TN</t>
        </is>
      </c>
      <c r="Q978" s="10">
        <f>IFERROR(IFERROR(VLOOKUP(A978,TRAOPE!$A:$U,21,0),VLOOKUP(B978,TRAOPE!$A:$U,21,0)),"")</f>
        <v/>
      </c>
      <c r="R978" s="8">
        <f>IFERROR(IFERROR(VLOOKUP(A978,TRAOPE!$A:$W,23,0),VLOOKUP(B978,TRAOPE!$A:$W,23,0)),"")</f>
        <v/>
      </c>
      <c r="S978" s="10">
        <f>IF(AND(P978="TN",R978="TN"),N978+N(O978),IF(G978&amp;""="1",N(K978)*N978,(N978+N(O978))*N(K978)))</f>
        <v/>
      </c>
      <c r="T978" s="10">
        <f>IF(Q978="","",Q978-S978)</f>
        <v/>
      </c>
    </row>
    <row r="979">
      <c r="A979" s="7">
        <f>CONCATENATE(C979,E979,F979,I979)</f>
        <v/>
      </c>
      <c r="B979" s="7">
        <f>CONCATENATE(C979,E979,I979)</f>
        <v/>
      </c>
      <c r="C979" s="8" t="n">
        <v>900003601</v>
      </c>
      <c r="D979" s="7">
        <f>IFERROR(VLOOKUP(C979,TRAOPE!$G:$H,2,0),"")</f>
        <v/>
      </c>
      <c r="E979" s="8" t="inlineStr">
        <is>
          <t>D836</t>
        </is>
      </c>
      <c r="F979" s="8" t="inlineStr">
        <is>
          <t>65625331</t>
        </is>
      </c>
      <c r="G979" s="8">
        <f>IFERROR(VLOOKUP(A979,Flete!$A:$E,5,0),"")</f>
        <v/>
      </c>
      <c r="H979" s="7">
        <f>IFERROR(VLOOKUP(F979,TRAOPE!$AA:$AB,2,0),"")</f>
        <v/>
      </c>
      <c r="I979" s="7" t="n">
        <v>10000623</v>
      </c>
      <c r="J979" s="7">
        <f>IFERROR(VLOOKUP(I979,Materiales!$A:$H,8,0),"")</f>
        <v/>
      </c>
      <c r="K979" s="9">
        <f>IFERROR(VLOOKUP(I979,Materiales!$A:$G,7,0),"")</f>
        <v/>
      </c>
      <c r="L979" s="8" t="inlineStr">
        <is>
          <t>20190426</t>
        </is>
      </c>
      <c r="M979" s="8" t="inlineStr">
        <is>
          <t>20250127</t>
        </is>
      </c>
      <c r="N979" s="10" t="n">
        <v>122.06</v>
      </c>
      <c r="O979" s="10">
        <f>IFERROR(VLOOKUP(A979,Flete!$A:$J,10,0),"")</f>
        <v/>
      </c>
      <c r="P979" s="8" t="inlineStr">
        <is>
          <t>TN</t>
        </is>
      </c>
      <c r="Q979" s="10">
        <f>IFERROR(IFERROR(VLOOKUP(A979,TRAOPE!$A:$U,21,0),VLOOKUP(B979,TRAOPE!$A:$U,21,0)),"")</f>
        <v/>
      </c>
      <c r="R979" s="8">
        <f>IFERROR(IFERROR(VLOOKUP(A979,TRAOPE!$A:$W,23,0),VLOOKUP(B979,TRAOPE!$A:$W,23,0)),"")</f>
        <v/>
      </c>
      <c r="S979" s="10">
        <f>IF(AND(P979="TN",R979="TN"),N979+N(O979),IF(G979&amp;""="1",N(K979)*N979,(N979+N(O979))*N(K979)))</f>
        <v/>
      </c>
      <c r="T979" s="10">
        <f>IF(Q979="","",Q979-S979)</f>
        <v/>
      </c>
    </row>
    <row r="980">
      <c r="A980" s="7">
        <f>CONCATENATE(C980,E980,F980,I980)</f>
        <v/>
      </c>
      <c r="B980" s="7">
        <f>CONCATENATE(C980,E980,I980)</f>
        <v/>
      </c>
      <c r="C980" s="8" t="n">
        <v>900003601</v>
      </c>
      <c r="D980" s="7">
        <f>IFERROR(VLOOKUP(C980,TRAOPE!$G:$H,2,0),"")</f>
        <v/>
      </c>
      <c r="E980" s="8" t="inlineStr">
        <is>
          <t>D836</t>
        </is>
      </c>
      <c r="F980" s="8" t="inlineStr">
        <is>
          <t>65625331</t>
        </is>
      </c>
      <c r="G980" s="8">
        <f>IFERROR(VLOOKUP(A980,Flete!$A:$E,5,0),"")</f>
        <v/>
      </c>
      <c r="H980" s="7">
        <f>IFERROR(VLOOKUP(F980,TRAOPE!$AA:$AB,2,0),"")</f>
        <v/>
      </c>
      <c r="I980" s="7" t="n">
        <v>10000624</v>
      </c>
      <c r="J980" s="7">
        <f>IFERROR(VLOOKUP(I980,Materiales!$A:$H,8,0),"")</f>
        <v/>
      </c>
      <c r="K980" s="9">
        <f>IFERROR(VLOOKUP(I980,Materiales!$A:$G,7,0),"")</f>
        <v/>
      </c>
      <c r="L980" s="8" t="inlineStr">
        <is>
          <t>20190426</t>
        </is>
      </c>
      <c r="M980" s="8" t="inlineStr">
        <is>
          <t>20250127</t>
        </is>
      </c>
      <c r="N980" s="10" t="n">
        <v>112.58</v>
      </c>
      <c r="O980" s="10">
        <f>IFERROR(VLOOKUP(A980,Flete!$A:$J,10,0),"")</f>
        <v/>
      </c>
      <c r="P980" s="8" t="inlineStr">
        <is>
          <t>TN</t>
        </is>
      </c>
      <c r="Q980" s="10">
        <f>IFERROR(IFERROR(VLOOKUP(A980,TRAOPE!$A:$U,21,0),VLOOKUP(B980,TRAOPE!$A:$U,21,0)),"")</f>
        <v/>
      </c>
      <c r="R980" s="8">
        <f>IFERROR(IFERROR(VLOOKUP(A980,TRAOPE!$A:$W,23,0),VLOOKUP(B980,TRAOPE!$A:$W,23,0)),"")</f>
        <v/>
      </c>
      <c r="S980" s="10">
        <f>IF(AND(P980="TN",R980="TN"),N980+N(O980),IF(G980&amp;""="1",N(K980)*N980,(N980+N(O980))*N(K980)))</f>
        <v/>
      </c>
      <c r="T980" s="10">
        <f>IF(Q980="","",Q980-S980)</f>
        <v/>
      </c>
    </row>
    <row r="981">
      <c r="A981" s="7">
        <f>CONCATENATE(C981,E981,F981,I981)</f>
        <v/>
      </c>
      <c r="B981" s="7">
        <f>CONCATENATE(C981,E981,I981)</f>
        <v/>
      </c>
      <c r="C981" s="8" t="n">
        <v>900003601</v>
      </c>
      <c r="D981" s="7">
        <f>IFERROR(VLOOKUP(C981,TRAOPE!$G:$H,2,0),"")</f>
        <v/>
      </c>
      <c r="E981" s="8" t="inlineStr">
        <is>
          <t>D836</t>
        </is>
      </c>
      <c r="F981" s="8" t="inlineStr">
        <is>
          <t>65625331</t>
        </is>
      </c>
      <c r="G981" s="8">
        <f>IFERROR(VLOOKUP(A981,Flete!$A:$E,5,0),"")</f>
        <v/>
      </c>
      <c r="H981" s="7">
        <f>IFERROR(VLOOKUP(F981,TRAOPE!$AA:$AB,2,0),"")</f>
        <v/>
      </c>
      <c r="I981" s="7" t="n">
        <v>10000811</v>
      </c>
      <c r="J981" s="7">
        <f>IFERROR(VLOOKUP(I981,Materiales!$A:$H,8,0),"")</f>
        <v/>
      </c>
      <c r="K981" s="9">
        <f>IFERROR(VLOOKUP(I981,Materiales!$A:$G,7,0),"")</f>
        <v/>
      </c>
      <c r="L981" s="8" t="inlineStr">
        <is>
          <t>20190426</t>
        </is>
      </c>
      <c r="M981" s="8" t="inlineStr">
        <is>
          <t>20250127</t>
        </is>
      </c>
      <c r="N981" s="10" t="n">
        <v>111.21</v>
      </c>
      <c r="O981" s="10">
        <f>IFERROR(VLOOKUP(A981,Flete!$A:$J,10,0),"")</f>
        <v/>
      </c>
      <c r="P981" s="8" t="inlineStr">
        <is>
          <t>TN</t>
        </is>
      </c>
      <c r="Q981" s="10">
        <f>IFERROR(IFERROR(VLOOKUP(A981,TRAOPE!$A:$U,21,0),VLOOKUP(B981,TRAOPE!$A:$U,21,0)),"")</f>
        <v/>
      </c>
      <c r="R981" s="8">
        <f>IFERROR(IFERROR(VLOOKUP(A981,TRAOPE!$A:$W,23,0),VLOOKUP(B981,TRAOPE!$A:$W,23,0)),"")</f>
        <v/>
      </c>
      <c r="S981" s="10">
        <f>IF(AND(P981="TN",R981="TN"),N981+N(O981),IF(G981&amp;""="1",N(K981)*N981,(N981+N(O981))*N(K981)))</f>
        <v/>
      </c>
      <c r="T981" s="10">
        <f>IF(Q981="","",Q981-S981)</f>
        <v/>
      </c>
    </row>
    <row r="982">
      <c r="A982" s="7">
        <f>CONCATENATE(C982,E982,F982,I982)</f>
        <v/>
      </c>
      <c r="B982" s="7">
        <f>CONCATENATE(C982,E982,I982)</f>
        <v/>
      </c>
      <c r="C982" s="8" t="n">
        <v>900003601</v>
      </c>
      <c r="D982" s="7">
        <f>IFERROR(VLOOKUP(C982,TRAOPE!$G:$H,2,0),"")</f>
        <v/>
      </c>
      <c r="E982" s="8" t="inlineStr">
        <is>
          <t>D836</t>
        </is>
      </c>
      <c r="F982" s="8" t="inlineStr">
        <is>
          <t>65674132</t>
        </is>
      </c>
      <c r="G982" s="8">
        <f>IFERROR(VLOOKUP(A982,Flete!$A:$E,5,0),"")</f>
        <v/>
      </c>
      <c r="H982" s="7">
        <f>IFERROR(VLOOKUP(F982,TRAOPE!$AA:$AB,2,0),"")</f>
        <v/>
      </c>
      <c r="I982" s="7" t="n">
        <v>10000624</v>
      </c>
      <c r="J982" s="7">
        <f>IFERROR(VLOOKUP(I982,Materiales!$A:$H,8,0),"")</f>
        <v/>
      </c>
      <c r="K982" s="9">
        <f>IFERROR(VLOOKUP(I982,Materiales!$A:$G,7,0),"")</f>
        <v/>
      </c>
      <c r="L982" s="8" t="inlineStr">
        <is>
          <t>20190426</t>
        </is>
      </c>
      <c r="M982" s="8" t="inlineStr">
        <is>
          <t>20250127</t>
        </is>
      </c>
      <c r="N982" s="10" t="n">
        <v>97.2</v>
      </c>
      <c r="O982" s="10">
        <f>IFERROR(VLOOKUP(A982,Flete!$A:$J,10,0),"")</f>
        <v/>
      </c>
      <c r="P982" s="8" t="inlineStr">
        <is>
          <t>TN</t>
        </is>
      </c>
      <c r="Q982" s="10">
        <f>IFERROR(IFERROR(VLOOKUP(A982,TRAOPE!$A:$U,21,0),VLOOKUP(B982,TRAOPE!$A:$U,21,0)),"")</f>
        <v/>
      </c>
      <c r="R982" s="8">
        <f>IFERROR(IFERROR(VLOOKUP(A982,TRAOPE!$A:$W,23,0),VLOOKUP(B982,TRAOPE!$A:$W,23,0)),"")</f>
        <v/>
      </c>
      <c r="S982" s="10">
        <f>IF(AND(P982="TN",R982="TN"),N982+N(O982),IF(G982&amp;""="1",N(K982)*N982,(N982+N(O982))*N(K982)))</f>
        <v/>
      </c>
      <c r="T982" s="10">
        <f>IF(Q982="","",Q982-S982)</f>
        <v/>
      </c>
    </row>
    <row r="983">
      <c r="A983" s="7">
        <f>CONCATENATE(C983,E983,F983,I983)</f>
        <v/>
      </c>
      <c r="B983" s="7">
        <f>CONCATENATE(C983,E983,I983)</f>
        <v/>
      </c>
      <c r="C983" s="8" t="n">
        <v>900003601</v>
      </c>
      <c r="D983" s="7">
        <f>IFERROR(VLOOKUP(C983,TRAOPE!$G:$H,2,0),"")</f>
        <v/>
      </c>
      <c r="E983" s="8" t="inlineStr">
        <is>
          <t>D836</t>
        </is>
      </c>
      <c r="F983" s="8" t="inlineStr">
        <is>
          <t>65685819</t>
        </is>
      </c>
      <c r="G983" s="8">
        <f>IFERROR(VLOOKUP(A983,Flete!$A:$E,5,0),"")</f>
        <v/>
      </c>
      <c r="H983" s="7">
        <f>IFERROR(VLOOKUP(F983,TRAOPE!$AA:$AB,2,0),"")</f>
        <v/>
      </c>
      <c r="I983" s="7" t="n">
        <v>10000624</v>
      </c>
      <c r="J983" s="7">
        <f>IFERROR(VLOOKUP(I983,Materiales!$A:$H,8,0),"")</f>
        <v/>
      </c>
      <c r="K983" s="9">
        <f>IFERROR(VLOOKUP(I983,Materiales!$A:$G,7,0),"")</f>
        <v/>
      </c>
      <c r="L983" s="8" t="inlineStr">
        <is>
          <t>20190426</t>
        </is>
      </c>
      <c r="M983" s="8" t="inlineStr">
        <is>
          <t>20250127</t>
        </is>
      </c>
      <c r="N983" s="10" t="n">
        <v>107.64</v>
      </c>
      <c r="O983" s="10">
        <f>IFERROR(VLOOKUP(A983,Flete!$A:$J,10,0),"")</f>
        <v/>
      </c>
      <c r="P983" s="8" t="inlineStr">
        <is>
          <t>TN</t>
        </is>
      </c>
      <c r="Q983" s="10">
        <f>IFERROR(IFERROR(VLOOKUP(A983,TRAOPE!$A:$U,21,0),VLOOKUP(B983,TRAOPE!$A:$U,21,0)),"")</f>
        <v/>
      </c>
      <c r="R983" s="8">
        <f>IFERROR(IFERROR(VLOOKUP(A983,TRAOPE!$A:$W,23,0),VLOOKUP(B983,TRAOPE!$A:$W,23,0)),"")</f>
        <v/>
      </c>
      <c r="S983" s="10">
        <f>IF(AND(P983="TN",R983="TN"),N983+N(O983),IF(G983&amp;""="1",N(K983)*N983,(N983+N(O983))*N(K983)))</f>
        <v/>
      </c>
      <c r="T983" s="10">
        <f>IF(Q983="","",Q983-S983)</f>
        <v/>
      </c>
    </row>
    <row r="984">
      <c r="A984" s="7">
        <f>CONCATENATE(C984,E984,F984,I984)</f>
        <v/>
      </c>
      <c r="B984" s="7">
        <f>CONCATENATE(C984,E984,I984)</f>
        <v/>
      </c>
      <c r="C984" s="8" t="n">
        <v>900003601</v>
      </c>
      <c r="D984" s="7">
        <f>IFERROR(VLOOKUP(C984,TRAOPE!$G:$H,2,0),"")</f>
        <v/>
      </c>
      <c r="E984" s="8" t="inlineStr">
        <is>
          <t>D836</t>
        </is>
      </c>
      <c r="F984" s="8" t="inlineStr">
        <is>
          <t>65685819</t>
        </is>
      </c>
      <c r="G984" s="8">
        <f>IFERROR(VLOOKUP(A984,Flete!$A:$E,5,0),"")</f>
        <v/>
      </c>
      <c r="H984" s="7">
        <f>IFERROR(VLOOKUP(F984,TRAOPE!$AA:$AB,2,0),"")</f>
        <v/>
      </c>
      <c r="I984" s="7" t="n">
        <v>10000722</v>
      </c>
      <c r="J984" s="7">
        <f>IFERROR(VLOOKUP(I984,Materiales!$A:$H,8,0),"")</f>
        <v/>
      </c>
      <c r="K984" s="9">
        <f>IFERROR(VLOOKUP(I984,Materiales!$A:$G,7,0),"")</f>
        <v/>
      </c>
      <c r="L984" s="8" t="inlineStr">
        <is>
          <t>20190426</t>
        </is>
      </c>
      <c r="M984" s="8" t="inlineStr">
        <is>
          <t>20250127</t>
        </is>
      </c>
      <c r="N984" s="10" t="n">
        <v>107.64</v>
      </c>
      <c r="O984" s="10">
        <f>IFERROR(VLOOKUP(A984,Flete!$A:$J,10,0),"")</f>
        <v/>
      </c>
      <c r="P984" s="8" t="inlineStr">
        <is>
          <t>TN</t>
        </is>
      </c>
      <c r="Q984" s="10">
        <f>IFERROR(IFERROR(VLOOKUP(A984,TRAOPE!$A:$U,21,0),VLOOKUP(B984,TRAOPE!$A:$U,21,0)),"")</f>
        <v/>
      </c>
      <c r="R984" s="8">
        <f>IFERROR(IFERROR(VLOOKUP(A984,TRAOPE!$A:$W,23,0),VLOOKUP(B984,TRAOPE!$A:$W,23,0)),"")</f>
        <v/>
      </c>
      <c r="S984" s="10">
        <f>IF(AND(P984="TN",R984="TN"),N984+N(O984),IF(G984&amp;""="1",N(K984)*N984,(N984+N(O984))*N(K984)))</f>
        <v/>
      </c>
      <c r="T984" s="10">
        <f>IF(Q984="","",Q984-S984)</f>
        <v/>
      </c>
    </row>
    <row r="985">
      <c r="A985" s="7">
        <f>CONCATENATE(C985,E985,F985,I985)</f>
        <v/>
      </c>
      <c r="B985" s="7">
        <f>CONCATENATE(C985,E985,I985)</f>
        <v/>
      </c>
      <c r="C985" s="8" t="n">
        <v>900003601</v>
      </c>
      <c r="D985" s="7">
        <f>IFERROR(VLOOKUP(C985,TRAOPE!$G:$H,2,0),"")</f>
        <v/>
      </c>
      <c r="E985" s="8" t="inlineStr">
        <is>
          <t>D836</t>
        </is>
      </c>
      <c r="F985" s="8" t="inlineStr">
        <is>
          <t>65729122</t>
        </is>
      </c>
      <c r="G985" s="8">
        <f>IFERROR(VLOOKUP(A985,Flete!$A:$E,5,0),"")</f>
        <v/>
      </c>
      <c r="H985" s="7">
        <f>IFERROR(VLOOKUP(F985,TRAOPE!$AA:$AB,2,0),"")</f>
        <v/>
      </c>
      <c r="I985" s="7" t="n">
        <v>10000623</v>
      </c>
      <c r="J985" s="7">
        <f>IFERROR(VLOOKUP(I985,Materiales!$A:$H,8,0),"")</f>
        <v/>
      </c>
      <c r="K985" s="9">
        <f>IFERROR(VLOOKUP(I985,Materiales!$A:$G,7,0),"")</f>
        <v/>
      </c>
      <c r="L985" s="8" t="inlineStr">
        <is>
          <t>20190426</t>
        </is>
      </c>
      <c r="M985" s="8" t="inlineStr">
        <is>
          <t>20250127</t>
        </is>
      </c>
      <c r="N985" s="10" t="n">
        <v>107.64</v>
      </c>
      <c r="O985" s="10">
        <f>IFERROR(VLOOKUP(A985,Flete!$A:$J,10,0),"")</f>
        <v/>
      </c>
      <c r="P985" s="8" t="inlineStr">
        <is>
          <t>TN</t>
        </is>
      </c>
      <c r="Q985" s="10">
        <f>IFERROR(IFERROR(VLOOKUP(A985,TRAOPE!$A:$U,21,0),VLOOKUP(B985,TRAOPE!$A:$U,21,0)),"")</f>
        <v/>
      </c>
      <c r="R985" s="8">
        <f>IFERROR(IFERROR(VLOOKUP(A985,TRAOPE!$A:$W,23,0),VLOOKUP(B985,TRAOPE!$A:$W,23,0)),"")</f>
        <v/>
      </c>
      <c r="S985" s="10">
        <f>IF(AND(P985="TN",R985="TN"),N985+N(O985),IF(G985&amp;""="1",N(K985)*N985,(N985+N(O985))*N(K985)))</f>
        <v/>
      </c>
      <c r="T985" s="10">
        <f>IF(Q985="","",Q985-S985)</f>
        <v/>
      </c>
    </row>
    <row r="986">
      <c r="A986" s="7">
        <f>CONCATENATE(C986,E986,F986,I986)</f>
        <v/>
      </c>
      <c r="B986" s="7">
        <f>CONCATENATE(C986,E986,I986)</f>
        <v/>
      </c>
      <c r="C986" s="8" t="n">
        <v>900003601</v>
      </c>
      <c r="D986" s="7">
        <f>IFERROR(VLOOKUP(C986,TRAOPE!$G:$H,2,0),"")</f>
        <v/>
      </c>
      <c r="E986" s="8" t="inlineStr">
        <is>
          <t>D836</t>
        </is>
      </c>
      <c r="F986" s="8" t="inlineStr">
        <is>
          <t>65729122</t>
        </is>
      </c>
      <c r="G986" s="8">
        <f>IFERROR(VLOOKUP(A986,Flete!$A:$E,5,0),"")</f>
        <v/>
      </c>
      <c r="H986" s="7">
        <f>IFERROR(VLOOKUP(F986,TRAOPE!$AA:$AB,2,0),"")</f>
        <v/>
      </c>
      <c r="I986" s="7" t="n">
        <v>10000624</v>
      </c>
      <c r="J986" s="7">
        <f>IFERROR(VLOOKUP(I986,Materiales!$A:$H,8,0),"")</f>
        <v/>
      </c>
      <c r="K986" s="9">
        <f>IFERROR(VLOOKUP(I986,Materiales!$A:$G,7,0),"")</f>
        <v/>
      </c>
      <c r="L986" s="8" t="inlineStr">
        <is>
          <t>20190426</t>
        </is>
      </c>
      <c r="M986" s="8" t="inlineStr">
        <is>
          <t>20250127</t>
        </is>
      </c>
      <c r="N986" s="10" t="n">
        <v>107.64</v>
      </c>
      <c r="O986" s="10">
        <f>IFERROR(VLOOKUP(A986,Flete!$A:$J,10,0),"")</f>
        <v/>
      </c>
      <c r="P986" s="8" t="inlineStr">
        <is>
          <t>TN</t>
        </is>
      </c>
      <c r="Q986" s="10">
        <f>IFERROR(IFERROR(VLOOKUP(A986,TRAOPE!$A:$U,21,0),VLOOKUP(B986,TRAOPE!$A:$U,21,0)),"")</f>
        <v/>
      </c>
      <c r="R986" s="8">
        <f>IFERROR(IFERROR(VLOOKUP(A986,TRAOPE!$A:$W,23,0),VLOOKUP(B986,TRAOPE!$A:$W,23,0)),"")</f>
        <v/>
      </c>
      <c r="S986" s="10">
        <f>IF(AND(P986="TN",R986="TN"),N986+N(O986),IF(G986&amp;""="1",N(K986)*N986,(N986+N(O986))*N(K986)))</f>
        <v/>
      </c>
      <c r="T986" s="10">
        <f>IF(Q986="","",Q986-S986)</f>
        <v/>
      </c>
    </row>
    <row r="987">
      <c r="A987" s="7">
        <f>CONCATENATE(C987,E987,F987,I987)</f>
        <v/>
      </c>
      <c r="B987" s="7">
        <f>CONCATENATE(C987,E987,I987)</f>
        <v/>
      </c>
      <c r="C987" s="8" t="n">
        <v>900003601</v>
      </c>
      <c r="D987" s="7">
        <f>IFERROR(VLOOKUP(C987,TRAOPE!$G:$H,2,0),"")</f>
        <v/>
      </c>
      <c r="E987" s="8" t="inlineStr">
        <is>
          <t>D836</t>
        </is>
      </c>
      <c r="F987" s="8" t="inlineStr">
        <is>
          <t>65729122</t>
        </is>
      </c>
      <c r="G987" s="8">
        <f>IFERROR(VLOOKUP(A987,Flete!$A:$E,5,0),"")</f>
        <v/>
      </c>
      <c r="H987" s="7">
        <f>IFERROR(VLOOKUP(F987,TRAOPE!$AA:$AB,2,0),"")</f>
        <v/>
      </c>
      <c r="I987" s="7" t="n">
        <v>10000722</v>
      </c>
      <c r="J987" s="7">
        <f>IFERROR(VLOOKUP(I987,Materiales!$A:$H,8,0),"")</f>
        <v/>
      </c>
      <c r="K987" s="9">
        <f>IFERROR(VLOOKUP(I987,Materiales!$A:$G,7,0),"")</f>
        <v/>
      </c>
      <c r="L987" s="8" t="inlineStr">
        <is>
          <t>20190426</t>
        </is>
      </c>
      <c r="M987" s="8" t="inlineStr">
        <is>
          <t>20250127</t>
        </is>
      </c>
      <c r="N987" s="10" t="n">
        <v>107.64</v>
      </c>
      <c r="O987" s="10">
        <f>IFERROR(VLOOKUP(A987,Flete!$A:$J,10,0),"")</f>
        <v/>
      </c>
      <c r="P987" s="8" t="inlineStr">
        <is>
          <t>TN</t>
        </is>
      </c>
      <c r="Q987" s="10">
        <f>IFERROR(IFERROR(VLOOKUP(A987,TRAOPE!$A:$U,21,0),VLOOKUP(B987,TRAOPE!$A:$U,21,0)),"")</f>
        <v/>
      </c>
      <c r="R987" s="8">
        <f>IFERROR(IFERROR(VLOOKUP(A987,TRAOPE!$A:$W,23,0),VLOOKUP(B987,TRAOPE!$A:$W,23,0)),"")</f>
        <v/>
      </c>
      <c r="S987" s="10">
        <f>IF(AND(P987="TN",R987="TN"),N987+N(O987),IF(G987&amp;""="1",N(K987)*N987,(N987+N(O987))*N(K987)))</f>
        <v/>
      </c>
      <c r="T987" s="10">
        <f>IF(Q987="","",Q987-S987)</f>
        <v/>
      </c>
    </row>
    <row r="988">
      <c r="A988" s="7">
        <f>CONCATENATE(C988,E988,F988,I988)</f>
        <v/>
      </c>
      <c r="B988" s="7">
        <f>CONCATENATE(C988,E988,I988)</f>
        <v/>
      </c>
      <c r="C988" s="8" t="n">
        <v>900003601</v>
      </c>
      <c r="D988" s="7">
        <f>IFERROR(VLOOKUP(C988,TRAOPE!$G:$H,2,0),"")</f>
        <v/>
      </c>
      <c r="E988" s="8" t="inlineStr">
        <is>
          <t>D836</t>
        </is>
      </c>
      <c r="F988" s="8" t="inlineStr">
        <is>
          <t>65751297</t>
        </is>
      </c>
      <c r="G988" s="8">
        <f>IFERROR(VLOOKUP(A988,Flete!$A:$E,5,0),"")</f>
        <v/>
      </c>
      <c r="H988" s="7">
        <f>IFERROR(VLOOKUP(F988,TRAOPE!$AA:$AB,2,0),"")</f>
        <v/>
      </c>
      <c r="I988" s="7" t="n">
        <v>10000623</v>
      </c>
      <c r="J988" s="7">
        <f>IFERROR(VLOOKUP(I988,Materiales!$A:$H,8,0),"")</f>
        <v/>
      </c>
      <c r="K988" s="9">
        <f>IFERROR(VLOOKUP(I988,Materiales!$A:$G,7,0),"")</f>
        <v/>
      </c>
      <c r="L988" s="8" t="inlineStr">
        <is>
          <t>20190426</t>
        </is>
      </c>
      <c r="M988" s="8" t="inlineStr">
        <is>
          <t>20250127</t>
        </is>
      </c>
      <c r="N988" s="10" t="n">
        <v>102.6</v>
      </c>
      <c r="O988" s="10">
        <f>IFERROR(VLOOKUP(A988,Flete!$A:$J,10,0),"")</f>
        <v/>
      </c>
      <c r="P988" s="8" t="inlineStr">
        <is>
          <t>TN</t>
        </is>
      </c>
      <c r="Q988" s="10">
        <f>IFERROR(IFERROR(VLOOKUP(A988,TRAOPE!$A:$U,21,0),VLOOKUP(B988,TRAOPE!$A:$U,21,0)),"")</f>
        <v/>
      </c>
      <c r="R988" s="8">
        <f>IFERROR(IFERROR(VLOOKUP(A988,TRAOPE!$A:$W,23,0),VLOOKUP(B988,TRAOPE!$A:$W,23,0)),"")</f>
        <v/>
      </c>
      <c r="S988" s="10">
        <f>IF(AND(P988="TN",R988="TN"),N988+N(O988),IF(G988&amp;""="1",N(K988)*N988,(N988+N(O988))*N(K988)))</f>
        <v/>
      </c>
      <c r="T988" s="10">
        <f>IF(Q988="","",Q988-S988)</f>
        <v/>
      </c>
    </row>
    <row r="989">
      <c r="A989" s="7">
        <f>CONCATENATE(C989,E989,F989,I989)</f>
        <v/>
      </c>
      <c r="B989" s="7">
        <f>CONCATENATE(C989,E989,I989)</f>
        <v/>
      </c>
      <c r="C989" s="8" t="n">
        <v>900003601</v>
      </c>
      <c r="D989" s="7">
        <f>IFERROR(VLOOKUP(C989,TRAOPE!$G:$H,2,0),"")</f>
        <v/>
      </c>
      <c r="E989" s="8" t="inlineStr">
        <is>
          <t>D836</t>
        </is>
      </c>
      <c r="F989" s="8" t="inlineStr">
        <is>
          <t>65751299</t>
        </is>
      </c>
      <c r="G989" s="8">
        <f>IFERROR(VLOOKUP(A989,Flete!$A:$E,5,0),"")</f>
        <v/>
      </c>
      <c r="H989" s="7">
        <f>IFERROR(VLOOKUP(F989,TRAOPE!$AA:$AB,2,0),"")</f>
        <v/>
      </c>
      <c r="I989" s="7" t="n">
        <v>10000623</v>
      </c>
      <c r="J989" s="7">
        <f>IFERROR(VLOOKUP(I989,Materiales!$A:$H,8,0),"")</f>
        <v/>
      </c>
      <c r="K989" s="9">
        <f>IFERROR(VLOOKUP(I989,Materiales!$A:$G,7,0),"")</f>
        <v/>
      </c>
      <c r="L989" s="8" t="inlineStr">
        <is>
          <t>20190426</t>
        </is>
      </c>
      <c r="M989" s="8" t="inlineStr">
        <is>
          <t>20250127</t>
        </is>
      </c>
      <c r="N989" s="10" t="n">
        <v>102.6</v>
      </c>
      <c r="O989" s="10">
        <f>IFERROR(VLOOKUP(A989,Flete!$A:$J,10,0),"")</f>
        <v/>
      </c>
      <c r="P989" s="8" t="inlineStr">
        <is>
          <t>TN</t>
        </is>
      </c>
      <c r="Q989" s="10">
        <f>IFERROR(IFERROR(VLOOKUP(A989,TRAOPE!$A:$U,21,0),VLOOKUP(B989,TRAOPE!$A:$U,21,0)),"")</f>
        <v/>
      </c>
      <c r="R989" s="8">
        <f>IFERROR(IFERROR(VLOOKUP(A989,TRAOPE!$A:$W,23,0),VLOOKUP(B989,TRAOPE!$A:$W,23,0)),"")</f>
        <v/>
      </c>
      <c r="S989" s="10">
        <f>IF(AND(P989="TN",R989="TN"),N989+N(O989),IF(G989&amp;""="1",N(K989)*N989,(N989+N(O989))*N(K989)))</f>
        <v/>
      </c>
      <c r="T989" s="10">
        <f>IF(Q989="","",Q989-S989)</f>
        <v/>
      </c>
    </row>
    <row r="990">
      <c r="A990" s="7">
        <f>CONCATENATE(C990,E990,F990,I990)</f>
        <v/>
      </c>
      <c r="B990" s="7">
        <f>CONCATENATE(C990,E990,I990)</f>
        <v/>
      </c>
      <c r="C990" s="8" t="n">
        <v>900003601</v>
      </c>
      <c r="D990" s="7">
        <f>IFERROR(VLOOKUP(C990,TRAOPE!$G:$H,2,0),"")</f>
        <v/>
      </c>
      <c r="E990" s="8" t="inlineStr">
        <is>
          <t>D836</t>
        </is>
      </c>
      <c r="F990" s="8" t="inlineStr">
        <is>
          <t>65751300</t>
        </is>
      </c>
      <c r="G990" s="8">
        <f>IFERROR(VLOOKUP(A990,Flete!$A:$E,5,0),"")</f>
        <v/>
      </c>
      <c r="H990" s="7">
        <f>IFERROR(VLOOKUP(F990,TRAOPE!$AA:$AB,2,0),"")</f>
        <v/>
      </c>
      <c r="I990" s="7" t="n">
        <v>10000623</v>
      </c>
      <c r="J990" s="7">
        <f>IFERROR(VLOOKUP(I990,Materiales!$A:$H,8,0),"")</f>
        <v/>
      </c>
      <c r="K990" s="9">
        <f>IFERROR(VLOOKUP(I990,Materiales!$A:$G,7,0),"")</f>
        <v/>
      </c>
      <c r="L990" s="8" t="inlineStr">
        <is>
          <t>20190426</t>
        </is>
      </c>
      <c r="M990" s="8" t="inlineStr">
        <is>
          <t>20250127</t>
        </is>
      </c>
      <c r="N990" s="10" t="n">
        <v>102.6</v>
      </c>
      <c r="O990" s="10">
        <f>IFERROR(VLOOKUP(A990,Flete!$A:$J,10,0),"")</f>
        <v/>
      </c>
      <c r="P990" s="8" t="inlineStr">
        <is>
          <t>TN</t>
        </is>
      </c>
      <c r="Q990" s="10">
        <f>IFERROR(IFERROR(VLOOKUP(A990,TRAOPE!$A:$U,21,0),VLOOKUP(B990,TRAOPE!$A:$U,21,0)),"")</f>
        <v/>
      </c>
      <c r="R990" s="8">
        <f>IFERROR(IFERROR(VLOOKUP(A990,TRAOPE!$A:$W,23,0),VLOOKUP(B990,TRAOPE!$A:$W,23,0)),"")</f>
        <v/>
      </c>
      <c r="S990" s="10">
        <f>IF(AND(P990="TN",R990="TN"),N990+N(O990),IF(G990&amp;""="1",N(K990)*N990,(N990+N(O990))*N(K990)))</f>
        <v/>
      </c>
      <c r="T990" s="10">
        <f>IF(Q990="","",Q990-S990)</f>
        <v/>
      </c>
    </row>
    <row r="991">
      <c r="A991" s="7">
        <f>CONCATENATE(C991,E991,F991,I991)</f>
        <v/>
      </c>
      <c r="B991" s="7">
        <f>CONCATENATE(C991,E991,I991)</f>
        <v/>
      </c>
      <c r="C991" s="8" t="n">
        <v>900003601</v>
      </c>
      <c r="D991" s="7">
        <f>IFERROR(VLOOKUP(C991,TRAOPE!$G:$H,2,0),"")</f>
        <v/>
      </c>
      <c r="E991" s="8" t="inlineStr">
        <is>
          <t>D836</t>
        </is>
      </c>
      <c r="F991" s="8" t="inlineStr">
        <is>
          <t>65781482</t>
        </is>
      </c>
      <c r="G991" s="8">
        <f>IFERROR(VLOOKUP(A991,Flete!$A:$E,5,0),"")</f>
        <v/>
      </c>
      <c r="H991" s="7">
        <f>IFERROR(VLOOKUP(F991,TRAOPE!$AA:$AB,2,0),"")</f>
        <v/>
      </c>
      <c r="I991" s="7" t="n">
        <v>10000624</v>
      </c>
      <c r="J991" s="7">
        <f>IFERROR(VLOOKUP(I991,Materiales!$A:$H,8,0),"")</f>
        <v/>
      </c>
      <c r="K991" s="9">
        <f>IFERROR(VLOOKUP(I991,Materiales!$A:$G,7,0),"")</f>
        <v/>
      </c>
      <c r="L991" s="8" t="inlineStr">
        <is>
          <t>20190426</t>
        </is>
      </c>
      <c r="M991" s="8" t="inlineStr">
        <is>
          <t>20250127</t>
        </is>
      </c>
      <c r="N991" s="10" t="n">
        <v>116.25</v>
      </c>
      <c r="O991" s="10">
        <f>IFERROR(VLOOKUP(A991,Flete!$A:$J,10,0),"")</f>
        <v/>
      </c>
      <c r="P991" s="8" t="inlineStr">
        <is>
          <t>TN</t>
        </is>
      </c>
      <c r="Q991" s="10">
        <f>IFERROR(IFERROR(VLOOKUP(A991,TRAOPE!$A:$U,21,0),VLOOKUP(B991,TRAOPE!$A:$U,21,0)),"")</f>
        <v/>
      </c>
      <c r="R991" s="8">
        <f>IFERROR(IFERROR(VLOOKUP(A991,TRAOPE!$A:$W,23,0),VLOOKUP(B991,TRAOPE!$A:$W,23,0)),"")</f>
        <v/>
      </c>
      <c r="S991" s="10">
        <f>IF(AND(P991="TN",R991="TN"),N991+N(O991),IF(G991&amp;""="1",N(K991)*N991,(N991+N(O991))*N(K991)))</f>
        <v/>
      </c>
      <c r="T991" s="10">
        <f>IF(Q991="","",Q991-S991)</f>
        <v/>
      </c>
    </row>
    <row r="992">
      <c r="A992" s="7">
        <f>CONCATENATE(C992,E992,F992,I992)</f>
        <v/>
      </c>
      <c r="B992" s="7">
        <f>CONCATENATE(C992,E992,I992)</f>
        <v/>
      </c>
      <c r="C992" s="8" t="n">
        <v>900003601</v>
      </c>
      <c r="D992" s="7">
        <f>IFERROR(VLOOKUP(C992,TRAOPE!$G:$H,2,0),"")</f>
        <v/>
      </c>
      <c r="E992" s="8" t="inlineStr">
        <is>
          <t>D836</t>
        </is>
      </c>
      <c r="F992" s="8" t="inlineStr">
        <is>
          <t>65781482</t>
        </is>
      </c>
      <c r="G992" s="8">
        <f>IFERROR(VLOOKUP(A992,Flete!$A:$E,5,0),"")</f>
        <v/>
      </c>
      <c r="H992" s="7">
        <f>IFERROR(VLOOKUP(F992,TRAOPE!$AA:$AB,2,0),"")</f>
        <v/>
      </c>
      <c r="I992" s="7" t="n">
        <v>10000722</v>
      </c>
      <c r="J992" s="7">
        <f>IFERROR(VLOOKUP(I992,Materiales!$A:$H,8,0),"")</f>
        <v/>
      </c>
      <c r="K992" s="9">
        <f>IFERROR(VLOOKUP(I992,Materiales!$A:$G,7,0),"")</f>
        <v/>
      </c>
      <c r="L992" s="8" t="inlineStr">
        <is>
          <t>20190426</t>
        </is>
      </c>
      <c r="M992" s="8" t="inlineStr">
        <is>
          <t>20250127</t>
        </is>
      </c>
      <c r="N992" s="10" t="n">
        <v>116.25</v>
      </c>
      <c r="O992" s="10">
        <f>IFERROR(VLOOKUP(A992,Flete!$A:$J,10,0),"")</f>
        <v/>
      </c>
      <c r="P992" s="8" t="inlineStr">
        <is>
          <t>TN</t>
        </is>
      </c>
      <c r="Q992" s="10">
        <f>IFERROR(IFERROR(VLOOKUP(A992,TRAOPE!$A:$U,21,0),VLOOKUP(B992,TRAOPE!$A:$U,21,0)),"")</f>
        <v/>
      </c>
      <c r="R992" s="8">
        <f>IFERROR(IFERROR(VLOOKUP(A992,TRAOPE!$A:$W,23,0),VLOOKUP(B992,TRAOPE!$A:$W,23,0)),"")</f>
        <v/>
      </c>
      <c r="S992" s="10">
        <f>IF(AND(P992="TN",R992="TN"),N992+N(O992),IF(G992&amp;""="1",N(K992)*N992,(N992+N(O992))*N(K992)))</f>
        <v/>
      </c>
      <c r="T992" s="10">
        <f>IF(Q992="","",Q992-S992)</f>
        <v/>
      </c>
    </row>
    <row r="993">
      <c r="A993" s="7">
        <f>CONCATENATE(C993,E993,F993,I993)</f>
        <v/>
      </c>
      <c r="B993" s="7">
        <f>CONCATENATE(C993,E993,I993)</f>
        <v/>
      </c>
      <c r="C993" s="8" t="n">
        <v>900003601</v>
      </c>
      <c r="D993" s="7">
        <f>IFERROR(VLOOKUP(C993,TRAOPE!$G:$H,2,0),"")</f>
        <v/>
      </c>
      <c r="E993" s="8" t="inlineStr">
        <is>
          <t>D836</t>
        </is>
      </c>
      <c r="F993" s="8" t="inlineStr">
        <is>
          <t>65796882</t>
        </is>
      </c>
      <c r="G993" s="8">
        <f>IFERROR(VLOOKUP(A993,Flete!$A:$E,5,0),"")</f>
        <v/>
      </c>
      <c r="H993" s="7">
        <f>IFERROR(VLOOKUP(F993,TRAOPE!$AA:$AB,2,0),"")</f>
        <v/>
      </c>
      <c r="I993" s="7" t="n">
        <v>10000624</v>
      </c>
      <c r="J993" s="7">
        <f>IFERROR(VLOOKUP(I993,Materiales!$A:$H,8,0),"")</f>
        <v/>
      </c>
      <c r="K993" s="9">
        <f>IFERROR(VLOOKUP(I993,Materiales!$A:$G,7,0),"")</f>
        <v/>
      </c>
      <c r="L993" s="8" t="inlineStr">
        <is>
          <t>20190426</t>
        </is>
      </c>
      <c r="M993" s="8" t="inlineStr">
        <is>
          <t>20250127</t>
        </is>
      </c>
      <c r="N993" s="10" t="n">
        <v>114.1</v>
      </c>
      <c r="O993" s="10">
        <f>IFERROR(VLOOKUP(A993,Flete!$A:$J,10,0),"")</f>
        <v/>
      </c>
      <c r="P993" s="8" t="inlineStr">
        <is>
          <t>TN</t>
        </is>
      </c>
      <c r="Q993" s="10">
        <f>IFERROR(IFERROR(VLOOKUP(A993,TRAOPE!$A:$U,21,0),VLOOKUP(B993,TRAOPE!$A:$U,21,0)),"")</f>
        <v/>
      </c>
      <c r="R993" s="8">
        <f>IFERROR(IFERROR(VLOOKUP(A993,TRAOPE!$A:$W,23,0),VLOOKUP(B993,TRAOPE!$A:$W,23,0)),"")</f>
        <v/>
      </c>
      <c r="S993" s="10">
        <f>IF(AND(P993="TN",R993="TN"),N993+N(O993),IF(G993&amp;""="1",N(K993)*N993,(N993+N(O993))*N(K993)))</f>
        <v/>
      </c>
      <c r="T993" s="10">
        <f>IF(Q993="","",Q993-S993)</f>
        <v/>
      </c>
    </row>
    <row r="994">
      <c r="A994" s="7">
        <f>CONCATENATE(C994,E994,F994,I994)</f>
        <v/>
      </c>
      <c r="B994" s="7">
        <f>CONCATENATE(C994,E994,I994)</f>
        <v/>
      </c>
      <c r="C994" s="8" t="n">
        <v>900003601</v>
      </c>
      <c r="D994" s="7">
        <f>IFERROR(VLOOKUP(C994,TRAOPE!$G:$H,2,0),"")</f>
        <v/>
      </c>
      <c r="E994" s="8" t="inlineStr">
        <is>
          <t>D836</t>
        </is>
      </c>
      <c r="F994" s="8" t="inlineStr">
        <is>
          <t>65796882</t>
        </is>
      </c>
      <c r="G994" s="8">
        <f>IFERROR(VLOOKUP(A994,Flete!$A:$E,5,0),"")</f>
        <v/>
      </c>
      <c r="H994" s="7">
        <f>IFERROR(VLOOKUP(F994,TRAOPE!$AA:$AB,2,0),"")</f>
        <v/>
      </c>
      <c r="I994" s="7" t="n">
        <v>10000722</v>
      </c>
      <c r="J994" s="7">
        <f>IFERROR(VLOOKUP(I994,Materiales!$A:$H,8,0),"")</f>
        <v/>
      </c>
      <c r="K994" s="9">
        <f>IFERROR(VLOOKUP(I994,Materiales!$A:$G,7,0),"")</f>
        <v/>
      </c>
      <c r="L994" s="8" t="inlineStr">
        <is>
          <t>20190426</t>
        </is>
      </c>
      <c r="M994" s="8" t="inlineStr">
        <is>
          <t>20250127</t>
        </is>
      </c>
      <c r="N994" s="10" t="n">
        <v>114.1</v>
      </c>
      <c r="O994" s="10">
        <f>IFERROR(VLOOKUP(A994,Flete!$A:$J,10,0),"")</f>
        <v/>
      </c>
      <c r="P994" s="8" t="inlineStr">
        <is>
          <t>TN</t>
        </is>
      </c>
      <c r="Q994" s="10">
        <f>IFERROR(IFERROR(VLOOKUP(A994,TRAOPE!$A:$U,21,0),VLOOKUP(B994,TRAOPE!$A:$U,21,0)),"")</f>
        <v/>
      </c>
      <c r="R994" s="8">
        <f>IFERROR(IFERROR(VLOOKUP(A994,TRAOPE!$A:$W,23,0),VLOOKUP(B994,TRAOPE!$A:$W,23,0)),"")</f>
        <v/>
      </c>
      <c r="S994" s="10">
        <f>IF(AND(P994="TN",R994="TN"),N994+N(O994),IF(G994&amp;""="1",N(K994)*N994,(N994+N(O994))*N(K994)))</f>
        <v/>
      </c>
      <c r="T994" s="10">
        <f>IF(Q994="","",Q994-S994)</f>
        <v/>
      </c>
    </row>
    <row r="995">
      <c r="A995" s="7">
        <f>CONCATENATE(C995,E995,F995,I995)</f>
        <v/>
      </c>
      <c r="B995" s="7">
        <f>CONCATENATE(C995,E995,I995)</f>
        <v/>
      </c>
      <c r="C995" s="8" t="n">
        <v>900003601</v>
      </c>
      <c r="D995" s="7">
        <f>IFERROR(VLOOKUP(C995,TRAOPE!$G:$H,2,0),"")</f>
        <v/>
      </c>
      <c r="E995" s="8" t="inlineStr">
        <is>
          <t>D836</t>
        </is>
      </c>
      <c r="F995" s="8" t="inlineStr">
        <is>
          <t>65799535</t>
        </is>
      </c>
      <c r="G995" s="8">
        <f>IFERROR(VLOOKUP(A995,Flete!$A:$E,5,0),"")</f>
        <v/>
      </c>
      <c r="H995" s="7">
        <f>IFERROR(VLOOKUP(F995,TRAOPE!$AA:$AB,2,0),"")</f>
        <v/>
      </c>
      <c r="I995" s="7" t="n">
        <v>10000623</v>
      </c>
      <c r="J995" s="7">
        <f>IFERROR(VLOOKUP(I995,Materiales!$A:$H,8,0),"")</f>
        <v/>
      </c>
      <c r="K995" s="9">
        <f>IFERROR(VLOOKUP(I995,Materiales!$A:$G,7,0),"")</f>
        <v/>
      </c>
      <c r="L995" s="8" t="inlineStr">
        <is>
          <t>20190426</t>
        </is>
      </c>
      <c r="M995" s="8" t="inlineStr">
        <is>
          <t>20250127</t>
        </is>
      </c>
      <c r="N995" s="10" t="n">
        <v>106.44</v>
      </c>
      <c r="O995" s="10">
        <f>IFERROR(VLOOKUP(A995,Flete!$A:$J,10,0),"")</f>
        <v/>
      </c>
      <c r="P995" s="8" t="inlineStr">
        <is>
          <t>TN</t>
        </is>
      </c>
      <c r="Q995" s="10">
        <f>IFERROR(IFERROR(VLOOKUP(A995,TRAOPE!$A:$U,21,0),VLOOKUP(B995,TRAOPE!$A:$U,21,0)),"")</f>
        <v/>
      </c>
      <c r="R995" s="8">
        <f>IFERROR(IFERROR(VLOOKUP(A995,TRAOPE!$A:$W,23,0),VLOOKUP(B995,TRAOPE!$A:$W,23,0)),"")</f>
        <v/>
      </c>
      <c r="S995" s="10">
        <f>IF(AND(P995="TN",R995="TN"),N995+N(O995),IF(G995&amp;""="1",N(K995)*N995,(N995+N(O995))*N(K995)))</f>
        <v/>
      </c>
      <c r="T995" s="10">
        <f>IF(Q995="","",Q995-S995)</f>
        <v/>
      </c>
    </row>
    <row r="996">
      <c r="A996" s="7">
        <f>CONCATENATE(C996,E996,F996,I996)</f>
        <v/>
      </c>
      <c r="B996" s="7">
        <f>CONCATENATE(C996,E996,I996)</f>
        <v/>
      </c>
      <c r="C996" s="8" t="n">
        <v>900003601</v>
      </c>
      <c r="D996" s="7">
        <f>IFERROR(VLOOKUP(C996,TRAOPE!$G:$H,2,0),"")</f>
        <v/>
      </c>
      <c r="E996" s="8" t="inlineStr">
        <is>
          <t>D836</t>
        </is>
      </c>
      <c r="F996" s="8" t="inlineStr">
        <is>
          <t>65799535</t>
        </is>
      </c>
      <c r="G996" s="8">
        <f>IFERROR(VLOOKUP(A996,Flete!$A:$E,5,0),"")</f>
        <v/>
      </c>
      <c r="H996" s="7">
        <f>IFERROR(VLOOKUP(F996,TRAOPE!$AA:$AB,2,0),"")</f>
        <v/>
      </c>
      <c r="I996" s="7" t="n">
        <v>10000624</v>
      </c>
      <c r="J996" s="7">
        <f>IFERROR(VLOOKUP(I996,Materiales!$A:$H,8,0),"")</f>
        <v/>
      </c>
      <c r="K996" s="9">
        <f>IFERROR(VLOOKUP(I996,Materiales!$A:$G,7,0),"")</f>
        <v/>
      </c>
      <c r="L996" s="8" t="inlineStr">
        <is>
          <t>20190426</t>
        </is>
      </c>
      <c r="M996" s="8" t="inlineStr">
        <is>
          <t>20250127</t>
        </is>
      </c>
      <c r="N996" s="10" t="n">
        <v>97.78</v>
      </c>
      <c r="O996" s="10">
        <f>IFERROR(VLOOKUP(A996,Flete!$A:$J,10,0),"")</f>
        <v/>
      </c>
      <c r="P996" s="8" t="inlineStr">
        <is>
          <t>TN</t>
        </is>
      </c>
      <c r="Q996" s="10">
        <f>IFERROR(IFERROR(VLOOKUP(A996,TRAOPE!$A:$U,21,0),VLOOKUP(B996,TRAOPE!$A:$U,21,0)),"")</f>
        <v/>
      </c>
      <c r="R996" s="8">
        <f>IFERROR(IFERROR(VLOOKUP(A996,TRAOPE!$A:$W,23,0),VLOOKUP(B996,TRAOPE!$A:$W,23,0)),"")</f>
        <v/>
      </c>
      <c r="S996" s="10">
        <f>IF(AND(P996="TN",R996="TN"),N996+N(O996),IF(G996&amp;""="1",N(K996)*N996,(N996+N(O996))*N(K996)))</f>
        <v/>
      </c>
      <c r="T996" s="10">
        <f>IF(Q996="","",Q996-S996)</f>
        <v/>
      </c>
    </row>
    <row r="997">
      <c r="A997" s="7">
        <f>CONCATENATE(C997,E997,F997,I997)</f>
        <v/>
      </c>
      <c r="B997" s="7">
        <f>CONCATENATE(C997,E997,I997)</f>
        <v/>
      </c>
      <c r="C997" s="8" t="n">
        <v>900003601</v>
      </c>
      <c r="D997" s="7">
        <f>IFERROR(VLOOKUP(C997,TRAOPE!$G:$H,2,0),"")</f>
        <v/>
      </c>
      <c r="E997" s="8" t="inlineStr">
        <is>
          <t>D836</t>
        </is>
      </c>
      <c r="F997" s="8" t="inlineStr">
        <is>
          <t>65799535</t>
        </is>
      </c>
      <c r="G997" s="8">
        <f>IFERROR(VLOOKUP(A997,Flete!$A:$E,5,0),"")</f>
        <v/>
      </c>
      <c r="H997" s="7">
        <f>IFERROR(VLOOKUP(F997,TRAOPE!$AA:$AB,2,0),"")</f>
        <v/>
      </c>
      <c r="I997" s="7" t="n">
        <v>10000811</v>
      </c>
      <c r="J997" s="7">
        <f>IFERROR(VLOOKUP(I997,Materiales!$A:$H,8,0),"")</f>
        <v/>
      </c>
      <c r="K997" s="9">
        <f>IFERROR(VLOOKUP(I997,Materiales!$A:$G,7,0),"")</f>
        <v/>
      </c>
      <c r="L997" s="8" t="inlineStr">
        <is>
          <t>20190426</t>
        </is>
      </c>
      <c r="M997" s="8" t="inlineStr">
        <is>
          <t>20250127</t>
        </is>
      </c>
      <c r="N997" s="10" t="n">
        <v>106.7</v>
      </c>
      <c r="O997" s="10">
        <f>IFERROR(VLOOKUP(A997,Flete!$A:$J,10,0),"")</f>
        <v/>
      </c>
      <c r="P997" s="8" t="inlineStr">
        <is>
          <t>TN</t>
        </is>
      </c>
      <c r="Q997" s="10">
        <f>IFERROR(IFERROR(VLOOKUP(A997,TRAOPE!$A:$U,21,0),VLOOKUP(B997,TRAOPE!$A:$U,21,0)),"")</f>
        <v/>
      </c>
      <c r="R997" s="8">
        <f>IFERROR(IFERROR(VLOOKUP(A997,TRAOPE!$A:$W,23,0),VLOOKUP(B997,TRAOPE!$A:$W,23,0)),"")</f>
        <v/>
      </c>
      <c r="S997" s="10">
        <f>IF(AND(P997="TN",R997="TN"),N997+N(O997),IF(G997&amp;""="1",N(K997)*N997,(N997+N(O997))*N(K997)))</f>
        <v/>
      </c>
      <c r="T997" s="10">
        <f>IF(Q997="","",Q997-S997)</f>
        <v/>
      </c>
    </row>
    <row r="998">
      <c r="A998" s="7">
        <f>CONCATENATE(C998,E998,F998,I998)</f>
        <v/>
      </c>
      <c r="B998" s="7">
        <f>CONCATENATE(C998,E998,I998)</f>
        <v/>
      </c>
      <c r="C998" s="8" t="n">
        <v>900003601</v>
      </c>
      <c r="D998" s="7">
        <f>IFERROR(VLOOKUP(C998,TRAOPE!$G:$H,2,0),"")</f>
        <v/>
      </c>
      <c r="E998" s="8" t="inlineStr">
        <is>
          <t>D836</t>
        </is>
      </c>
      <c r="F998" s="8" t="inlineStr">
        <is>
          <t>65897546</t>
        </is>
      </c>
      <c r="G998" s="8">
        <f>IFERROR(VLOOKUP(A998,Flete!$A:$E,5,0),"")</f>
        <v/>
      </c>
      <c r="H998" s="7">
        <f>IFERROR(VLOOKUP(F998,TRAOPE!$AA:$AB,2,0),"")</f>
        <v/>
      </c>
      <c r="I998" s="7" t="n">
        <v>10000623</v>
      </c>
      <c r="J998" s="7">
        <f>IFERROR(VLOOKUP(I998,Materiales!$A:$H,8,0),"")</f>
        <v/>
      </c>
      <c r="K998" s="9">
        <f>IFERROR(VLOOKUP(I998,Materiales!$A:$G,7,0),"")</f>
        <v/>
      </c>
      <c r="L998" s="8" t="inlineStr">
        <is>
          <t>20190426</t>
        </is>
      </c>
      <c r="M998" s="8" t="inlineStr">
        <is>
          <t>20250127</t>
        </is>
      </c>
      <c r="N998" s="10" t="n">
        <v>113.62</v>
      </c>
      <c r="O998" s="10">
        <f>IFERROR(VLOOKUP(A998,Flete!$A:$J,10,0),"")</f>
        <v/>
      </c>
      <c r="P998" s="8" t="inlineStr">
        <is>
          <t>TN</t>
        </is>
      </c>
      <c r="Q998" s="10">
        <f>IFERROR(IFERROR(VLOOKUP(A998,TRAOPE!$A:$U,21,0),VLOOKUP(B998,TRAOPE!$A:$U,21,0)),"")</f>
        <v/>
      </c>
      <c r="R998" s="8">
        <f>IFERROR(IFERROR(VLOOKUP(A998,TRAOPE!$A:$W,23,0),VLOOKUP(B998,TRAOPE!$A:$W,23,0)),"")</f>
        <v/>
      </c>
      <c r="S998" s="10">
        <f>IF(AND(P998="TN",R998="TN"),N998+N(O998),IF(G998&amp;""="1",N(K998)*N998,(N998+N(O998))*N(K998)))</f>
        <v/>
      </c>
      <c r="T998" s="10">
        <f>IF(Q998="","",Q998-S998)</f>
        <v/>
      </c>
    </row>
    <row r="999">
      <c r="A999" s="7">
        <f>CONCATENATE(C999,E999,F999,I999)</f>
        <v/>
      </c>
      <c r="B999" s="7">
        <f>CONCATENATE(C999,E999,I999)</f>
        <v/>
      </c>
      <c r="C999" s="8" t="n">
        <v>900003601</v>
      </c>
      <c r="D999" s="7">
        <f>IFERROR(VLOOKUP(C999,TRAOPE!$G:$H,2,0),"")</f>
        <v/>
      </c>
      <c r="E999" s="8" t="inlineStr">
        <is>
          <t>D836</t>
        </is>
      </c>
      <c r="F999" s="8" t="inlineStr">
        <is>
          <t>65921764</t>
        </is>
      </c>
      <c r="G999" s="8">
        <f>IFERROR(VLOOKUP(A999,Flete!$A:$E,5,0),"")</f>
        <v/>
      </c>
      <c r="H999" s="7">
        <f>IFERROR(VLOOKUP(F999,TRAOPE!$AA:$AB,2,0),"")</f>
        <v/>
      </c>
      <c r="I999" s="7" t="n">
        <v>10000623</v>
      </c>
      <c r="J999" s="7">
        <f>IFERROR(VLOOKUP(I999,Materiales!$A:$H,8,0),"")</f>
        <v/>
      </c>
      <c r="K999" s="9">
        <f>IFERROR(VLOOKUP(I999,Materiales!$A:$G,7,0),"")</f>
        <v/>
      </c>
      <c r="L999" s="8" t="inlineStr">
        <is>
          <t>20190426</t>
        </is>
      </c>
      <c r="M999" s="8" t="inlineStr">
        <is>
          <t>20250127</t>
        </is>
      </c>
      <c r="N999" s="10" t="n">
        <v>119.3</v>
      </c>
      <c r="O999" s="10">
        <f>IFERROR(VLOOKUP(A999,Flete!$A:$J,10,0),"")</f>
        <v/>
      </c>
      <c r="P999" s="8" t="inlineStr">
        <is>
          <t>TN</t>
        </is>
      </c>
      <c r="Q999" s="10">
        <f>IFERROR(IFERROR(VLOOKUP(A999,TRAOPE!$A:$U,21,0),VLOOKUP(B999,TRAOPE!$A:$U,21,0)),"")</f>
        <v/>
      </c>
      <c r="R999" s="8">
        <f>IFERROR(IFERROR(VLOOKUP(A999,TRAOPE!$A:$W,23,0),VLOOKUP(B999,TRAOPE!$A:$W,23,0)),"")</f>
        <v/>
      </c>
      <c r="S999" s="10">
        <f>IF(AND(P999="TN",R999="TN"),N999+N(O999),IF(G999&amp;""="1",N(K999)*N999,(N999+N(O999))*N(K999)))</f>
        <v/>
      </c>
      <c r="T999" s="10">
        <f>IF(Q999="","",Q999-S999)</f>
        <v/>
      </c>
    </row>
    <row r="1000">
      <c r="A1000" s="7">
        <f>CONCATENATE(C1000,E1000,F1000,I1000)</f>
        <v/>
      </c>
      <c r="B1000" s="7">
        <f>CONCATENATE(C1000,E1000,I1000)</f>
        <v/>
      </c>
      <c r="C1000" s="8" t="n">
        <v>900003601</v>
      </c>
      <c r="D1000" s="7">
        <f>IFERROR(VLOOKUP(C1000,TRAOPE!$G:$H,2,0),"")</f>
        <v/>
      </c>
      <c r="E1000" s="8" t="inlineStr">
        <is>
          <t>D836</t>
        </is>
      </c>
      <c r="F1000" s="8" t="inlineStr">
        <is>
          <t>66230098</t>
        </is>
      </c>
      <c r="G1000" s="8">
        <f>IFERROR(VLOOKUP(A1000,Flete!$A:$E,5,0),"")</f>
        <v/>
      </c>
      <c r="H1000" s="7">
        <f>IFERROR(VLOOKUP(F1000,TRAOPE!$AA:$AB,2,0),"")</f>
        <v/>
      </c>
      <c r="I1000" s="7" t="n">
        <v>10000624</v>
      </c>
      <c r="J1000" s="7">
        <f>IFERROR(VLOOKUP(I1000,Materiales!$A:$H,8,0),"")</f>
        <v/>
      </c>
      <c r="K1000" s="9">
        <f>IFERROR(VLOOKUP(I1000,Materiales!$A:$G,7,0),"")</f>
        <v/>
      </c>
      <c r="L1000" s="8" t="inlineStr">
        <is>
          <t>20190426</t>
        </is>
      </c>
      <c r="M1000" s="8" t="inlineStr">
        <is>
          <t>20250127</t>
        </is>
      </c>
      <c r="N1000" s="10" t="n">
        <v>111.78</v>
      </c>
      <c r="O1000" s="10">
        <f>IFERROR(VLOOKUP(A1000,Flete!$A:$J,10,0),"")</f>
        <v/>
      </c>
      <c r="P1000" s="8" t="inlineStr">
        <is>
          <t>TN</t>
        </is>
      </c>
      <c r="Q1000" s="10">
        <f>IFERROR(IFERROR(VLOOKUP(A1000,TRAOPE!$A:$U,21,0),VLOOKUP(B1000,TRAOPE!$A:$U,21,0)),"")</f>
        <v/>
      </c>
      <c r="R1000" s="8">
        <f>IFERROR(IFERROR(VLOOKUP(A1000,TRAOPE!$A:$W,23,0),VLOOKUP(B1000,TRAOPE!$A:$W,23,0)),"")</f>
        <v/>
      </c>
      <c r="S1000" s="10">
        <f>IF(AND(P1000="TN",R1000="TN"),N1000+N(O1000),IF(G1000&amp;""="1",N(K1000)*N1000,(N1000+N(O1000))*N(K1000)))</f>
        <v/>
      </c>
      <c r="T1000" s="10">
        <f>IF(Q1000="","",Q1000-S1000)</f>
        <v/>
      </c>
    </row>
    <row r="1001">
      <c r="A1001" s="7">
        <f>CONCATENATE(C1001,E1001,F1001,I1001)</f>
        <v/>
      </c>
      <c r="B1001" s="7">
        <f>CONCATENATE(C1001,E1001,I1001)</f>
        <v/>
      </c>
      <c r="C1001" s="8" t="n">
        <v>900003601</v>
      </c>
      <c r="D1001" s="7">
        <f>IFERROR(VLOOKUP(C1001,TRAOPE!$G:$H,2,0),"")</f>
        <v/>
      </c>
      <c r="E1001" s="8" t="inlineStr">
        <is>
          <t>D836</t>
        </is>
      </c>
      <c r="F1001" s="8" t="inlineStr">
        <is>
          <t>66230098</t>
        </is>
      </c>
      <c r="G1001" s="8">
        <f>IFERROR(VLOOKUP(A1001,Flete!$A:$E,5,0),"")</f>
        <v/>
      </c>
      <c r="H1001" s="7">
        <f>IFERROR(VLOOKUP(F1001,TRAOPE!$AA:$AB,2,0),"")</f>
        <v/>
      </c>
      <c r="I1001" s="7" t="n">
        <v>10000722</v>
      </c>
      <c r="J1001" s="7">
        <f>IFERROR(VLOOKUP(I1001,Materiales!$A:$H,8,0),"")</f>
        <v/>
      </c>
      <c r="K1001" s="9">
        <f>IFERROR(VLOOKUP(I1001,Materiales!$A:$G,7,0),"")</f>
        <v/>
      </c>
      <c r="L1001" s="8" t="inlineStr">
        <is>
          <t>20190426</t>
        </is>
      </c>
      <c r="M1001" s="8" t="inlineStr">
        <is>
          <t>20250127</t>
        </is>
      </c>
      <c r="N1001" s="10" t="n">
        <v>111.78</v>
      </c>
      <c r="O1001" s="10">
        <f>IFERROR(VLOOKUP(A1001,Flete!$A:$J,10,0),"")</f>
        <v/>
      </c>
      <c r="P1001" s="8" t="inlineStr">
        <is>
          <t>TN</t>
        </is>
      </c>
      <c r="Q1001" s="10">
        <f>IFERROR(IFERROR(VLOOKUP(A1001,TRAOPE!$A:$U,21,0),VLOOKUP(B1001,TRAOPE!$A:$U,21,0)),"")</f>
        <v/>
      </c>
      <c r="R1001" s="8">
        <f>IFERROR(IFERROR(VLOOKUP(A1001,TRAOPE!$A:$W,23,0),VLOOKUP(B1001,TRAOPE!$A:$W,23,0)),"")</f>
        <v/>
      </c>
      <c r="S1001" s="10">
        <f>IF(AND(P1001="TN",R1001="TN"),N1001+N(O1001),IF(G1001&amp;""="1",N(K1001)*N1001,(N1001+N(O1001))*N(K1001)))</f>
        <v/>
      </c>
      <c r="T1001" s="10">
        <f>IF(Q1001="","",Q1001-S1001)</f>
        <v/>
      </c>
    </row>
    <row r="1002">
      <c r="A1002" s="7">
        <f>CONCATENATE(C1002,E1002,F1002,I1002)</f>
        <v/>
      </c>
      <c r="B1002" s="7">
        <f>CONCATENATE(C1002,E1002,I1002)</f>
        <v/>
      </c>
      <c r="C1002" s="8" t="n">
        <v>900003601</v>
      </c>
      <c r="D1002" s="7">
        <f>IFERROR(VLOOKUP(C1002,TRAOPE!$G:$H,2,0),"")</f>
        <v/>
      </c>
      <c r="E1002" s="8" t="inlineStr">
        <is>
          <t>D836</t>
        </is>
      </c>
      <c r="F1002" s="8" t="inlineStr">
        <is>
          <t>66237142</t>
        </is>
      </c>
      <c r="G1002" s="8">
        <f>IFERROR(VLOOKUP(A1002,Flete!$A:$E,5,0),"")</f>
        <v/>
      </c>
      <c r="H1002" s="7">
        <f>IFERROR(VLOOKUP(F1002,TRAOPE!$AA:$AB,2,0),"")</f>
        <v/>
      </c>
      <c r="I1002" s="7" t="n">
        <v>10000624</v>
      </c>
      <c r="J1002" s="7">
        <f>IFERROR(VLOOKUP(I1002,Materiales!$A:$H,8,0),"")</f>
        <v/>
      </c>
      <c r="K1002" s="9">
        <f>IFERROR(VLOOKUP(I1002,Materiales!$A:$G,7,0),"")</f>
        <v/>
      </c>
      <c r="L1002" s="8" t="inlineStr">
        <is>
          <t>20190426</t>
        </is>
      </c>
      <c r="M1002" s="8" t="inlineStr">
        <is>
          <t>20250127</t>
        </is>
      </c>
      <c r="N1002" s="10" t="n">
        <v>99.59999999999999</v>
      </c>
      <c r="O1002" s="10">
        <f>IFERROR(VLOOKUP(A1002,Flete!$A:$J,10,0),"")</f>
        <v/>
      </c>
      <c r="P1002" s="8" t="inlineStr">
        <is>
          <t>TN</t>
        </is>
      </c>
      <c r="Q1002" s="10">
        <f>IFERROR(IFERROR(VLOOKUP(A1002,TRAOPE!$A:$U,21,0),VLOOKUP(B1002,TRAOPE!$A:$U,21,0)),"")</f>
        <v/>
      </c>
      <c r="R1002" s="8">
        <f>IFERROR(IFERROR(VLOOKUP(A1002,TRAOPE!$A:$W,23,0),VLOOKUP(B1002,TRAOPE!$A:$W,23,0)),"")</f>
        <v/>
      </c>
      <c r="S1002" s="10">
        <f>IF(AND(P1002="TN",R1002="TN"),N1002+N(O1002),IF(G1002&amp;""="1",N(K1002)*N1002,(N1002+N(O1002))*N(K1002)))</f>
        <v/>
      </c>
      <c r="T1002" s="10">
        <f>IF(Q1002="","",Q1002-S1002)</f>
        <v/>
      </c>
    </row>
    <row r="1003">
      <c r="A1003" s="7">
        <f>CONCATENATE(C1003,E1003,F1003,I1003)</f>
        <v/>
      </c>
      <c r="B1003" s="7">
        <f>CONCATENATE(C1003,E1003,I1003)</f>
        <v/>
      </c>
      <c r="C1003" s="8" t="n">
        <v>900003601</v>
      </c>
      <c r="D1003" s="7">
        <f>IFERROR(VLOOKUP(C1003,TRAOPE!$G:$H,2,0),"")</f>
        <v/>
      </c>
      <c r="E1003" s="8" t="inlineStr">
        <is>
          <t>D836</t>
        </is>
      </c>
      <c r="F1003" s="8" t="inlineStr">
        <is>
          <t>66237142</t>
        </is>
      </c>
      <c r="G1003" s="8">
        <f>IFERROR(VLOOKUP(A1003,Flete!$A:$E,5,0),"")</f>
        <v/>
      </c>
      <c r="H1003" s="7">
        <f>IFERROR(VLOOKUP(F1003,TRAOPE!$AA:$AB,2,0),"")</f>
        <v/>
      </c>
      <c r="I1003" s="7" t="n">
        <v>10000722</v>
      </c>
      <c r="J1003" s="7">
        <f>IFERROR(VLOOKUP(I1003,Materiales!$A:$H,8,0),"")</f>
        <v/>
      </c>
      <c r="K1003" s="9">
        <f>IFERROR(VLOOKUP(I1003,Materiales!$A:$G,7,0),"")</f>
        <v/>
      </c>
      <c r="L1003" s="8" t="inlineStr">
        <is>
          <t>20190426</t>
        </is>
      </c>
      <c r="M1003" s="8" t="inlineStr">
        <is>
          <t>20250127</t>
        </is>
      </c>
      <c r="N1003" s="10" t="n">
        <v>116.25</v>
      </c>
      <c r="O1003" s="10">
        <f>IFERROR(VLOOKUP(A1003,Flete!$A:$J,10,0),"")</f>
        <v/>
      </c>
      <c r="P1003" s="8" t="inlineStr">
        <is>
          <t>TN</t>
        </is>
      </c>
      <c r="Q1003" s="10">
        <f>IFERROR(IFERROR(VLOOKUP(A1003,TRAOPE!$A:$U,21,0),VLOOKUP(B1003,TRAOPE!$A:$U,21,0)),"")</f>
        <v/>
      </c>
      <c r="R1003" s="8">
        <f>IFERROR(IFERROR(VLOOKUP(A1003,TRAOPE!$A:$W,23,0),VLOOKUP(B1003,TRAOPE!$A:$W,23,0)),"")</f>
        <v/>
      </c>
      <c r="S1003" s="10">
        <f>IF(AND(P1003="TN",R1003="TN"),N1003+N(O1003),IF(G1003&amp;""="1",N(K1003)*N1003,(N1003+N(O1003))*N(K1003)))</f>
        <v/>
      </c>
      <c r="T1003" s="10">
        <f>IF(Q1003="","",Q1003-S1003)</f>
        <v/>
      </c>
    </row>
    <row r="1004">
      <c r="A1004" s="7">
        <f>CONCATENATE(C1004,E1004,F1004,I1004)</f>
        <v/>
      </c>
      <c r="B1004" s="7">
        <f>CONCATENATE(C1004,E1004,I1004)</f>
        <v/>
      </c>
      <c r="C1004" s="8" t="n">
        <v>900003601</v>
      </c>
      <c r="D1004" s="7">
        <f>IFERROR(VLOOKUP(C1004,TRAOPE!$G:$H,2,0),"")</f>
        <v/>
      </c>
      <c r="E1004" s="8" t="inlineStr">
        <is>
          <t>D836</t>
        </is>
      </c>
      <c r="F1004" s="8" t="inlineStr">
        <is>
          <t>66239560</t>
        </is>
      </c>
      <c r="G1004" s="8">
        <f>IFERROR(VLOOKUP(A1004,Flete!$A:$E,5,0),"")</f>
        <v/>
      </c>
      <c r="H1004" s="7">
        <f>IFERROR(VLOOKUP(F1004,TRAOPE!$AA:$AB,2,0),"")</f>
        <v/>
      </c>
      <c r="I1004" s="7" t="n">
        <v>10000623</v>
      </c>
      <c r="J1004" s="7">
        <f>IFERROR(VLOOKUP(I1004,Materiales!$A:$H,8,0),"")</f>
        <v/>
      </c>
      <c r="K1004" s="9">
        <f>IFERROR(VLOOKUP(I1004,Materiales!$A:$G,7,0),"")</f>
        <v/>
      </c>
      <c r="L1004" s="8" t="inlineStr">
        <is>
          <t>20190426</t>
        </is>
      </c>
      <c r="M1004" s="8" t="inlineStr">
        <is>
          <t>20250127</t>
        </is>
      </c>
      <c r="N1004" s="10" t="n">
        <v>102.6</v>
      </c>
      <c r="O1004" s="10">
        <f>IFERROR(VLOOKUP(A1004,Flete!$A:$J,10,0),"")</f>
        <v/>
      </c>
      <c r="P1004" s="8" t="inlineStr">
        <is>
          <t>TN</t>
        </is>
      </c>
      <c r="Q1004" s="10">
        <f>IFERROR(IFERROR(VLOOKUP(A1004,TRAOPE!$A:$U,21,0),VLOOKUP(B1004,TRAOPE!$A:$U,21,0)),"")</f>
        <v/>
      </c>
      <c r="R1004" s="8">
        <f>IFERROR(IFERROR(VLOOKUP(A1004,TRAOPE!$A:$W,23,0),VLOOKUP(B1004,TRAOPE!$A:$W,23,0)),"")</f>
        <v/>
      </c>
      <c r="S1004" s="10">
        <f>IF(AND(P1004="TN",R1004="TN"),N1004+N(O1004),IF(G1004&amp;""="1",N(K1004)*N1004,(N1004+N(O1004))*N(K1004)))</f>
        <v/>
      </c>
      <c r="T1004" s="10">
        <f>IF(Q1004="","",Q1004-S1004)</f>
        <v/>
      </c>
    </row>
    <row r="1005">
      <c r="A1005" s="7">
        <f>CONCATENATE(C1005,E1005,F1005,I1005)</f>
        <v/>
      </c>
      <c r="B1005" s="7">
        <f>CONCATENATE(C1005,E1005,I1005)</f>
        <v/>
      </c>
      <c r="C1005" s="8" t="n">
        <v>900003601</v>
      </c>
      <c r="D1005" s="7">
        <f>IFERROR(VLOOKUP(C1005,TRAOPE!$G:$H,2,0),"")</f>
        <v/>
      </c>
      <c r="E1005" s="8" t="inlineStr">
        <is>
          <t>D836</t>
        </is>
      </c>
      <c r="F1005" s="8" t="inlineStr">
        <is>
          <t>66239561</t>
        </is>
      </c>
      <c r="G1005" s="8">
        <f>IFERROR(VLOOKUP(A1005,Flete!$A:$E,5,0),"")</f>
        <v/>
      </c>
      <c r="H1005" s="7">
        <f>IFERROR(VLOOKUP(F1005,TRAOPE!$AA:$AB,2,0),"")</f>
        <v/>
      </c>
      <c r="I1005" s="7" t="n">
        <v>10000623</v>
      </c>
      <c r="J1005" s="7">
        <f>IFERROR(VLOOKUP(I1005,Materiales!$A:$H,8,0),"")</f>
        <v/>
      </c>
      <c r="K1005" s="9">
        <f>IFERROR(VLOOKUP(I1005,Materiales!$A:$G,7,0),"")</f>
        <v/>
      </c>
      <c r="L1005" s="8" t="inlineStr">
        <is>
          <t>20190426</t>
        </is>
      </c>
      <c r="M1005" s="8" t="inlineStr">
        <is>
          <t>20250127</t>
        </is>
      </c>
      <c r="N1005" s="10" t="n">
        <v>102.6</v>
      </c>
      <c r="O1005" s="10">
        <f>IFERROR(VLOOKUP(A1005,Flete!$A:$J,10,0),"")</f>
        <v/>
      </c>
      <c r="P1005" s="8" t="inlineStr">
        <is>
          <t>TN</t>
        </is>
      </c>
      <c r="Q1005" s="10">
        <f>IFERROR(IFERROR(VLOOKUP(A1005,TRAOPE!$A:$U,21,0),VLOOKUP(B1005,TRAOPE!$A:$U,21,0)),"")</f>
        <v/>
      </c>
      <c r="R1005" s="8">
        <f>IFERROR(IFERROR(VLOOKUP(A1005,TRAOPE!$A:$W,23,0),VLOOKUP(B1005,TRAOPE!$A:$W,23,0)),"")</f>
        <v/>
      </c>
      <c r="S1005" s="10">
        <f>IF(AND(P1005="TN",R1005="TN"),N1005+N(O1005),IF(G1005&amp;""="1",N(K1005)*N1005,(N1005+N(O1005))*N(K1005)))</f>
        <v/>
      </c>
      <c r="T1005" s="10">
        <f>IF(Q1005="","",Q1005-S1005)</f>
        <v/>
      </c>
    </row>
    <row r="1006">
      <c r="A1006" s="7">
        <f>CONCATENATE(C1006,E1006,F1006,I1006)</f>
        <v/>
      </c>
      <c r="B1006" s="7">
        <f>CONCATENATE(C1006,E1006,I1006)</f>
        <v/>
      </c>
      <c r="C1006" s="8" t="n">
        <v>900003601</v>
      </c>
      <c r="D1006" s="7">
        <f>IFERROR(VLOOKUP(C1006,TRAOPE!$G:$H,2,0),"")</f>
        <v/>
      </c>
      <c r="E1006" s="8" t="inlineStr">
        <is>
          <t>D836</t>
        </is>
      </c>
      <c r="F1006" s="8" t="inlineStr">
        <is>
          <t>66239598</t>
        </is>
      </c>
      <c r="G1006" s="8">
        <f>IFERROR(VLOOKUP(A1006,Flete!$A:$E,5,0),"")</f>
        <v/>
      </c>
      <c r="H1006" s="7">
        <f>IFERROR(VLOOKUP(F1006,TRAOPE!$AA:$AB,2,0),"")</f>
        <v/>
      </c>
      <c r="I1006" s="7" t="n">
        <v>10000623</v>
      </c>
      <c r="J1006" s="7">
        <f>IFERROR(VLOOKUP(I1006,Materiales!$A:$H,8,0),"")</f>
        <v/>
      </c>
      <c r="K1006" s="9">
        <f>IFERROR(VLOOKUP(I1006,Materiales!$A:$G,7,0),"")</f>
        <v/>
      </c>
      <c r="L1006" s="8" t="inlineStr">
        <is>
          <t>20190426</t>
        </is>
      </c>
      <c r="M1006" s="8" t="inlineStr">
        <is>
          <t>20250127</t>
        </is>
      </c>
      <c r="N1006" s="10" t="n">
        <v>102.6</v>
      </c>
      <c r="O1006" s="10">
        <f>IFERROR(VLOOKUP(A1006,Flete!$A:$J,10,0),"")</f>
        <v/>
      </c>
      <c r="P1006" s="8" t="inlineStr">
        <is>
          <t>TN</t>
        </is>
      </c>
      <c r="Q1006" s="10">
        <f>IFERROR(IFERROR(VLOOKUP(A1006,TRAOPE!$A:$U,21,0),VLOOKUP(B1006,TRAOPE!$A:$U,21,0)),"")</f>
        <v/>
      </c>
      <c r="R1006" s="8">
        <f>IFERROR(IFERROR(VLOOKUP(A1006,TRAOPE!$A:$W,23,0),VLOOKUP(B1006,TRAOPE!$A:$W,23,0)),"")</f>
        <v/>
      </c>
      <c r="S1006" s="10">
        <f>IF(AND(P1006="TN",R1006="TN"),N1006+N(O1006),IF(G1006&amp;""="1",N(K1006)*N1006,(N1006+N(O1006))*N(K1006)))</f>
        <v/>
      </c>
      <c r="T1006" s="10">
        <f>IF(Q1006="","",Q1006-S1006)</f>
        <v/>
      </c>
    </row>
    <row r="1007">
      <c r="A1007" s="7">
        <f>CONCATENATE(C1007,E1007,F1007,I1007)</f>
        <v/>
      </c>
      <c r="B1007" s="7">
        <f>CONCATENATE(C1007,E1007,I1007)</f>
        <v/>
      </c>
      <c r="C1007" s="8" t="n">
        <v>900003601</v>
      </c>
      <c r="D1007" s="7">
        <f>IFERROR(VLOOKUP(C1007,TRAOPE!$G:$H,2,0),"")</f>
        <v/>
      </c>
      <c r="E1007" s="8" t="inlineStr">
        <is>
          <t>D836</t>
        </is>
      </c>
      <c r="F1007" s="8" t="inlineStr">
        <is>
          <t>66239599</t>
        </is>
      </c>
      <c r="G1007" s="8">
        <f>IFERROR(VLOOKUP(A1007,Flete!$A:$E,5,0),"")</f>
        <v/>
      </c>
      <c r="H1007" s="7">
        <f>IFERROR(VLOOKUP(F1007,TRAOPE!$AA:$AB,2,0),"")</f>
        <v/>
      </c>
      <c r="I1007" s="7" t="n">
        <v>10000623</v>
      </c>
      <c r="J1007" s="7">
        <f>IFERROR(VLOOKUP(I1007,Materiales!$A:$H,8,0),"")</f>
        <v/>
      </c>
      <c r="K1007" s="9">
        <f>IFERROR(VLOOKUP(I1007,Materiales!$A:$G,7,0),"")</f>
        <v/>
      </c>
      <c r="L1007" s="8" t="inlineStr">
        <is>
          <t>20190426</t>
        </is>
      </c>
      <c r="M1007" s="8" t="inlineStr">
        <is>
          <t>20250127</t>
        </is>
      </c>
      <c r="N1007" s="10" t="n">
        <v>102.6</v>
      </c>
      <c r="O1007" s="10">
        <f>IFERROR(VLOOKUP(A1007,Flete!$A:$J,10,0),"")</f>
        <v/>
      </c>
      <c r="P1007" s="8" t="inlineStr">
        <is>
          <t>TN</t>
        </is>
      </c>
      <c r="Q1007" s="10">
        <f>IFERROR(IFERROR(VLOOKUP(A1007,TRAOPE!$A:$U,21,0),VLOOKUP(B1007,TRAOPE!$A:$U,21,0)),"")</f>
        <v/>
      </c>
      <c r="R1007" s="8">
        <f>IFERROR(IFERROR(VLOOKUP(A1007,TRAOPE!$A:$W,23,0),VLOOKUP(B1007,TRAOPE!$A:$W,23,0)),"")</f>
        <v/>
      </c>
      <c r="S1007" s="10">
        <f>IF(AND(P1007="TN",R1007="TN"),N1007+N(O1007),IF(G1007&amp;""="1",N(K1007)*N1007,(N1007+N(O1007))*N(K1007)))</f>
        <v/>
      </c>
      <c r="T1007" s="10">
        <f>IF(Q1007="","",Q1007-S1007)</f>
        <v/>
      </c>
    </row>
    <row r="1008">
      <c r="A1008" s="7">
        <f>CONCATENATE(C1008,E1008,F1008,I1008)</f>
        <v/>
      </c>
      <c r="B1008" s="7">
        <f>CONCATENATE(C1008,E1008,I1008)</f>
        <v/>
      </c>
      <c r="C1008" s="8" t="n">
        <v>900003601</v>
      </c>
      <c r="D1008" s="7">
        <f>IFERROR(VLOOKUP(C1008,TRAOPE!$G:$H,2,0),"")</f>
        <v/>
      </c>
      <c r="E1008" s="8" t="inlineStr">
        <is>
          <t>D836</t>
        </is>
      </c>
      <c r="F1008" s="8" t="inlineStr">
        <is>
          <t>66239601</t>
        </is>
      </c>
      <c r="G1008" s="8">
        <f>IFERROR(VLOOKUP(A1008,Flete!$A:$E,5,0),"")</f>
        <v/>
      </c>
      <c r="H1008" s="7">
        <f>IFERROR(VLOOKUP(F1008,TRAOPE!$AA:$AB,2,0),"")</f>
        <v/>
      </c>
      <c r="I1008" s="7" t="n">
        <v>10000623</v>
      </c>
      <c r="J1008" s="7">
        <f>IFERROR(VLOOKUP(I1008,Materiales!$A:$H,8,0),"")</f>
        <v/>
      </c>
      <c r="K1008" s="9">
        <f>IFERROR(VLOOKUP(I1008,Materiales!$A:$G,7,0),"")</f>
        <v/>
      </c>
      <c r="L1008" s="8" t="inlineStr">
        <is>
          <t>20190426</t>
        </is>
      </c>
      <c r="M1008" s="8" t="inlineStr">
        <is>
          <t>20250127</t>
        </is>
      </c>
      <c r="N1008" s="10" t="n">
        <v>102.6</v>
      </c>
      <c r="O1008" s="10">
        <f>IFERROR(VLOOKUP(A1008,Flete!$A:$J,10,0),"")</f>
        <v/>
      </c>
      <c r="P1008" s="8" t="inlineStr">
        <is>
          <t>TN</t>
        </is>
      </c>
      <c r="Q1008" s="10">
        <f>IFERROR(IFERROR(VLOOKUP(A1008,TRAOPE!$A:$U,21,0),VLOOKUP(B1008,TRAOPE!$A:$U,21,0)),"")</f>
        <v/>
      </c>
      <c r="R1008" s="8">
        <f>IFERROR(IFERROR(VLOOKUP(A1008,TRAOPE!$A:$W,23,0),VLOOKUP(B1008,TRAOPE!$A:$W,23,0)),"")</f>
        <v/>
      </c>
      <c r="S1008" s="10">
        <f>IF(AND(P1008="TN",R1008="TN"),N1008+N(O1008),IF(G1008&amp;""="1",N(K1008)*N1008,(N1008+N(O1008))*N(K1008)))</f>
        <v/>
      </c>
      <c r="T1008" s="10">
        <f>IF(Q1008="","",Q1008-S1008)</f>
        <v/>
      </c>
    </row>
    <row r="1009">
      <c r="A1009" s="7">
        <f>CONCATENATE(C1009,E1009,F1009,I1009)</f>
        <v/>
      </c>
      <c r="B1009" s="7">
        <f>CONCATENATE(C1009,E1009,I1009)</f>
        <v/>
      </c>
      <c r="C1009" s="8" t="n">
        <v>900003601</v>
      </c>
      <c r="D1009" s="7">
        <f>IFERROR(VLOOKUP(C1009,TRAOPE!$G:$H,2,0),"")</f>
        <v/>
      </c>
      <c r="E1009" s="8" t="inlineStr">
        <is>
          <t>D836</t>
        </is>
      </c>
      <c r="F1009" s="8" t="inlineStr">
        <is>
          <t>66239617</t>
        </is>
      </c>
      <c r="G1009" s="8">
        <f>IFERROR(VLOOKUP(A1009,Flete!$A:$E,5,0),"")</f>
        <v/>
      </c>
      <c r="H1009" s="7">
        <f>IFERROR(VLOOKUP(F1009,TRAOPE!$AA:$AB,2,0),"")</f>
        <v/>
      </c>
      <c r="I1009" s="7" t="n">
        <v>10000623</v>
      </c>
      <c r="J1009" s="7">
        <f>IFERROR(VLOOKUP(I1009,Materiales!$A:$H,8,0),"")</f>
        <v/>
      </c>
      <c r="K1009" s="9">
        <f>IFERROR(VLOOKUP(I1009,Materiales!$A:$G,7,0),"")</f>
        <v/>
      </c>
      <c r="L1009" s="8" t="inlineStr">
        <is>
          <t>20190426</t>
        </is>
      </c>
      <c r="M1009" s="8" t="inlineStr">
        <is>
          <t>20250127</t>
        </is>
      </c>
      <c r="N1009" s="10" t="n">
        <v>102.6</v>
      </c>
      <c r="O1009" s="10">
        <f>IFERROR(VLOOKUP(A1009,Flete!$A:$J,10,0),"")</f>
        <v/>
      </c>
      <c r="P1009" s="8" t="inlineStr">
        <is>
          <t>TN</t>
        </is>
      </c>
      <c r="Q1009" s="10">
        <f>IFERROR(IFERROR(VLOOKUP(A1009,TRAOPE!$A:$U,21,0),VLOOKUP(B1009,TRAOPE!$A:$U,21,0)),"")</f>
        <v/>
      </c>
      <c r="R1009" s="8">
        <f>IFERROR(IFERROR(VLOOKUP(A1009,TRAOPE!$A:$W,23,0),VLOOKUP(B1009,TRAOPE!$A:$W,23,0)),"")</f>
        <v/>
      </c>
      <c r="S1009" s="10">
        <f>IF(AND(P1009="TN",R1009="TN"),N1009+N(O1009),IF(G1009&amp;""="1",N(K1009)*N1009,(N1009+N(O1009))*N(K1009)))</f>
        <v/>
      </c>
      <c r="T1009" s="10">
        <f>IF(Q1009="","",Q1009-S1009)</f>
        <v/>
      </c>
    </row>
    <row r="1010">
      <c r="A1010" s="7">
        <f>CONCATENATE(C1010,E1010,F1010,I1010)</f>
        <v/>
      </c>
      <c r="B1010" s="7">
        <f>CONCATENATE(C1010,E1010,I1010)</f>
        <v/>
      </c>
      <c r="C1010" s="8" t="n">
        <v>900003601</v>
      </c>
      <c r="D1010" s="7">
        <f>IFERROR(VLOOKUP(C1010,TRAOPE!$G:$H,2,0),"")</f>
        <v/>
      </c>
      <c r="E1010" s="8" t="inlineStr">
        <is>
          <t>D836</t>
        </is>
      </c>
      <c r="F1010" s="8" t="inlineStr">
        <is>
          <t>66239621</t>
        </is>
      </c>
      <c r="G1010" s="8">
        <f>IFERROR(VLOOKUP(A1010,Flete!$A:$E,5,0),"")</f>
        <v/>
      </c>
      <c r="H1010" s="7">
        <f>IFERROR(VLOOKUP(F1010,TRAOPE!$AA:$AB,2,0),"")</f>
        <v/>
      </c>
      <c r="I1010" s="7" t="n">
        <v>10000623</v>
      </c>
      <c r="J1010" s="7">
        <f>IFERROR(VLOOKUP(I1010,Materiales!$A:$H,8,0),"")</f>
        <v/>
      </c>
      <c r="K1010" s="9">
        <f>IFERROR(VLOOKUP(I1010,Materiales!$A:$G,7,0),"")</f>
        <v/>
      </c>
      <c r="L1010" s="8" t="inlineStr">
        <is>
          <t>20190426</t>
        </is>
      </c>
      <c r="M1010" s="8" t="inlineStr">
        <is>
          <t>20250127</t>
        </is>
      </c>
      <c r="N1010" s="10" t="n">
        <v>102.6</v>
      </c>
      <c r="O1010" s="10">
        <f>IFERROR(VLOOKUP(A1010,Flete!$A:$J,10,0),"")</f>
        <v/>
      </c>
      <c r="P1010" s="8" t="inlineStr">
        <is>
          <t>TN</t>
        </is>
      </c>
      <c r="Q1010" s="10">
        <f>IFERROR(IFERROR(VLOOKUP(A1010,TRAOPE!$A:$U,21,0),VLOOKUP(B1010,TRAOPE!$A:$U,21,0)),"")</f>
        <v/>
      </c>
      <c r="R1010" s="8">
        <f>IFERROR(IFERROR(VLOOKUP(A1010,TRAOPE!$A:$W,23,0),VLOOKUP(B1010,TRAOPE!$A:$W,23,0)),"")</f>
        <v/>
      </c>
      <c r="S1010" s="10">
        <f>IF(AND(P1010="TN",R1010="TN"),N1010+N(O1010),IF(G1010&amp;""="1",N(K1010)*N1010,(N1010+N(O1010))*N(K1010)))</f>
        <v/>
      </c>
      <c r="T1010" s="10">
        <f>IF(Q1010="","",Q1010-S1010)</f>
        <v/>
      </c>
    </row>
    <row r="1011">
      <c r="A1011" s="7">
        <f>CONCATENATE(C1011,E1011,F1011,I1011)</f>
        <v/>
      </c>
      <c r="B1011" s="7">
        <f>CONCATENATE(C1011,E1011,I1011)</f>
        <v/>
      </c>
      <c r="C1011" s="8" t="n">
        <v>900003601</v>
      </c>
      <c r="D1011" s="7">
        <f>IFERROR(VLOOKUP(C1011,TRAOPE!$G:$H,2,0),"")</f>
        <v/>
      </c>
      <c r="E1011" s="8" t="inlineStr">
        <is>
          <t>D836</t>
        </is>
      </c>
      <c r="F1011" s="8" t="inlineStr">
        <is>
          <t>66239627</t>
        </is>
      </c>
      <c r="G1011" s="8">
        <f>IFERROR(VLOOKUP(A1011,Flete!$A:$E,5,0),"")</f>
        <v/>
      </c>
      <c r="H1011" s="7">
        <f>IFERROR(VLOOKUP(F1011,TRAOPE!$AA:$AB,2,0),"")</f>
        <v/>
      </c>
      <c r="I1011" s="7" t="n">
        <v>10000623</v>
      </c>
      <c r="J1011" s="7">
        <f>IFERROR(VLOOKUP(I1011,Materiales!$A:$H,8,0),"")</f>
        <v/>
      </c>
      <c r="K1011" s="9">
        <f>IFERROR(VLOOKUP(I1011,Materiales!$A:$G,7,0),"")</f>
        <v/>
      </c>
      <c r="L1011" s="8" t="inlineStr">
        <is>
          <t>20190426</t>
        </is>
      </c>
      <c r="M1011" s="8" t="inlineStr">
        <is>
          <t>20250127</t>
        </is>
      </c>
      <c r="N1011" s="10" t="n">
        <v>102.6</v>
      </c>
      <c r="O1011" s="10">
        <f>IFERROR(VLOOKUP(A1011,Flete!$A:$J,10,0),"")</f>
        <v/>
      </c>
      <c r="P1011" s="8" t="inlineStr">
        <is>
          <t>TN</t>
        </is>
      </c>
      <c r="Q1011" s="10">
        <f>IFERROR(IFERROR(VLOOKUP(A1011,TRAOPE!$A:$U,21,0),VLOOKUP(B1011,TRAOPE!$A:$U,21,0)),"")</f>
        <v/>
      </c>
      <c r="R1011" s="8">
        <f>IFERROR(IFERROR(VLOOKUP(A1011,TRAOPE!$A:$W,23,0),VLOOKUP(B1011,TRAOPE!$A:$W,23,0)),"")</f>
        <v/>
      </c>
      <c r="S1011" s="10">
        <f>IF(AND(P1011="TN",R1011="TN"),N1011+N(O1011),IF(G1011&amp;""="1",N(K1011)*N1011,(N1011+N(O1011))*N(K1011)))</f>
        <v/>
      </c>
      <c r="T1011" s="10">
        <f>IF(Q1011="","",Q1011-S1011)</f>
        <v/>
      </c>
    </row>
    <row r="1012">
      <c r="A1012" s="7">
        <f>CONCATENATE(C1012,E1012,F1012,I1012)</f>
        <v/>
      </c>
      <c r="B1012" s="7">
        <f>CONCATENATE(C1012,E1012,I1012)</f>
        <v/>
      </c>
      <c r="C1012" s="8" t="n">
        <v>900003601</v>
      </c>
      <c r="D1012" s="7">
        <f>IFERROR(VLOOKUP(C1012,TRAOPE!$G:$H,2,0),"")</f>
        <v/>
      </c>
      <c r="E1012" s="8" t="inlineStr">
        <is>
          <t>D836</t>
        </is>
      </c>
      <c r="F1012" s="8" t="inlineStr">
        <is>
          <t>66239628</t>
        </is>
      </c>
      <c r="G1012" s="8">
        <f>IFERROR(VLOOKUP(A1012,Flete!$A:$E,5,0),"")</f>
        <v/>
      </c>
      <c r="H1012" s="7">
        <f>IFERROR(VLOOKUP(F1012,TRAOPE!$AA:$AB,2,0),"")</f>
        <v/>
      </c>
      <c r="I1012" s="7" t="n">
        <v>10000623</v>
      </c>
      <c r="J1012" s="7">
        <f>IFERROR(VLOOKUP(I1012,Materiales!$A:$H,8,0),"")</f>
        <v/>
      </c>
      <c r="K1012" s="9">
        <f>IFERROR(VLOOKUP(I1012,Materiales!$A:$G,7,0),"")</f>
        <v/>
      </c>
      <c r="L1012" s="8" t="inlineStr">
        <is>
          <t>20190426</t>
        </is>
      </c>
      <c r="M1012" s="8" t="inlineStr">
        <is>
          <t>20250127</t>
        </is>
      </c>
      <c r="N1012" s="10" t="n">
        <v>102.6</v>
      </c>
      <c r="O1012" s="10">
        <f>IFERROR(VLOOKUP(A1012,Flete!$A:$J,10,0),"")</f>
        <v/>
      </c>
      <c r="P1012" s="8" t="inlineStr">
        <is>
          <t>TN</t>
        </is>
      </c>
      <c r="Q1012" s="10">
        <f>IFERROR(IFERROR(VLOOKUP(A1012,TRAOPE!$A:$U,21,0),VLOOKUP(B1012,TRAOPE!$A:$U,21,0)),"")</f>
        <v/>
      </c>
      <c r="R1012" s="8">
        <f>IFERROR(IFERROR(VLOOKUP(A1012,TRAOPE!$A:$W,23,0),VLOOKUP(B1012,TRAOPE!$A:$W,23,0)),"")</f>
        <v/>
      </c>
      <c r="S1012" s="10">
        <f>IF(AND(P1012="TN",R1012="TN"),N1012+N(O1012),IF(G1012&amp;""="1",N(K1012)*N1012,(N1012+N(O1012))*N(K1012)))</f>
        <v/>
      </c>
      <c r="T1012" s="10">
        <f>IF(Q1012="","",Q1012-S1012)</f>
        <v/>
      </c>
    </row>
    <row r="1013">
      <c r="A1013" s="7">
        <f>CONCATENATE(C1013,E1013,F1013,I1013)</f>
        <v/>
      </c>
      <c r="B1013" s="7">
        <f>CONCATENATE(C1013,E1013,I1013)</f>
        <v/>
      </c>
      <c r="C1013" s="8" t="n">
        <v>900003601</v>
      </c>
      <c r="D1013" s="7">
        <f>IFERROR(VLOOKUP(C1013,TRAOPE!$G:$H,2,0),"")</f>
        <v/>
      </c>
      <c r="E1013" s="8" t="inlineStr">
        <is>
          <t>D836</t>
        </is>
      </c>
      <c r="F1013" s="8" t="inlineStr">
        <is>
          <t>66243150</t>
        </is>
      </c>
      <c r="G1013" s="8">
        <f>IFERROR(VLOOKUP(A1013,Flete!$A:$E,5,0),"")</f>
        <v/>
      </c>
      <c r="H1013" s="7">
        <f>IFERROR(VLOOKUP(F1013,TRAOPE!$AA:$AB,2,0),"")</f>
        <v/>
      </c>
      <c r="I1013" s="7" t="n">
        <v>10000623</v>
      </c>
      <c r="J1013" s="7">
        <f>IFERROR(VLOOKUP(I1013,Materiales!$A:$H,8,0),"")</f>
        <v/>
      </c>
      <c r="K1013" s="9">
        <f>IFERROR(VLOOKUP(I1013,Materiales!$A:$G,7,0),"")</f>
        <v/>
      </c>
      <c r="L1013" s="8" t="inlineStr">
        <is>
          <t>20190426</t>
        </is>
      </c>
      <c r="M1013" s="8" t="inlineStr">
        <is>
          <t>20250127</t>
        </is>
      </c>
      <c r="N1013" s="10" t="n">
        <v>136.63</v>
      </c>
      <c r="O1013" s="10">
        <f>IFERROR(VLOOKUP(A1013,Flete!$A:$J,10,0),"")</f>
        <v/>
      </c>
      <c r="P1013" s="8" t="inlineStr">
        <is>
          <t>TN</t>
        </is>
      </c>
      <c r="Q1013" s="10">
        <f>IFERROR(IFERROR(VLOOKUP(A1013,TRAOPE!$A:$U,21,0),VLOOKUP(B1013,TRAOPE!$A:$U,21,0)),"")</f>
        <v/>
      </c>
      <c r="R1013" s="8">
        <f>IFERROR(IFERROR(VLOOKUP(A1013,TRAOPE!$A:$W,23,0),VLOOKUP(B1013,TRAOPE!$A:$W,23,0)),"")</f>
        <v/>
      </c>
      <c r="S1013" s="10">
        <f>IF(AND(P1013="TN",R1013="TN"),N1013+N(O1013),IF(G1013&amp;""="1",N(K1013)*N1013,(N1013+N(O1013))*N(K1013)))</f>
        <v/>
      </c>
      <c r="T1013" s="10">
        <f>IF(Q1013="","",Q1013-S1013)</f>
        <v/>
      </c>
    </row>
    <row r="1014">
      <c r="A1014" s="7">
        <f>CONCATENATE(C1014,E1014,F1014,I1014)</f>
        <v/>
      </c>
      <c r="B1014" s="7">
        <f>CONCATENATE(C1014,E1014,I1014)</f>
        <v/>
      </c>
      <c r="C1014" s="8" t="n">
        <v>900003601</v>
      </c>
      <c r="D1014" s="7">
        <f>IFERROR(VLOOKUP(C1014,TRAOPE!$G:$H,2,0),"")</f>
        <v/>
      </c>
      <c r="E1014" s="8" t="inlineStr">
        <is>
          <t>D836</t>
        </is>
      </c>
      <c r="F1014" s="8" t="inlineStr">
        <is>
          <t>66243150</t>
        </is>
      </c>
      <c r="G1014" s="8">
        <f>IFERROR(VLOOKUP(A1014,Flete!$A:$E,5,0),"")</f>
        <v/>
      </c>
      <c r="H1014" s="7">
        <f>IFERROR(VLOOKUP(F1014,TRAOPE!$AA:$AB,2,0),"")</f>
        <v/>
      </c>
      <c r="I1014" s="7" t="n">
        <v>10000624</v>
      </c>
      <c r="J1014" s="7">
        <f>IFERROR(VLOOKUP(I1014,Materiales!$A:$H,8,0),"")</f>
        <v/>
      </c>
      <c r="K1014" s="9">
        <f>IFERROR(VLOOKUP(I1014,Materiales!$A:$G,7,0),"")</f>
        <v/>
      </c>
      <c r="L1014" s="8" t="inlineStr">
        <is>
          <t>20190426</t>
        </is>
      </c>
      <c r="M1014" s="8" t="inlineStr">
        <is>
          <t>20250127</t>
        </is>
      </c>
      <c r="N1014" s="10" t="n">
        <v>149.46</v>
      </c>
      <c r="O1014" s="10">
        <f>IFERROR(VLOOKUP(A1014,Flete!$A:$J,10,0),"")</f>
        <v/>
      </c>
      <c r="P1014" s="8" t="inlineStr">
        <is>
          <t>TN</t>
        </is>
      </c>
      <c r="Q1014" s="10">
        <f>IFERROR(IFERROR(VLOOKUP(A1014,TRAOPE!$A:$U,21,0),VLOOKUP(B1014,TRAOPE!$A:$U,21,0)),"")</f>
        <v/>
      </c>
      <c r="R1014" s="8">
        <f>IFERROR(IFERROR(VLOOKUP(A1014,TRAOPE!$A:$W,23,0),VLOOKUP(B1014,TRAOPE!$A:$W,23,0)),"")</f>
        <v/>
      </c>
      <c r="S1014" s="10">
        <f>IF(AND(P1014="TN",R1014="TN"),N1014+N(O1014),IF(G1014&amp;""="1",N(K1014)*N1014,(N1014+N(O1014))*N(K1014)))</f>
        <v/>
      </c>
      <c r="T1014" s="10">
        <f>IF(Q1014="","",Q1014-S1014)</f>
        <v/>
      </c>
    </row>
    <row r="1015">
      <c r="A1015" s="7">
        <f>CONCATENATE(C1015,E1015,F1015,I1015)</f>
        <v/>
      </c>
      <c r="B1015" s="7">
        <f>CONCATENATE(C1015,E1015,I1015)</f>
        <v/>
      </c>
      <c r="C1015" s="8" t="n">
        <v>900003601</v>
      </c>
      <c r="D1015" s="7">
        <f>IFERROR(VLOOKUP(C1015,TRAOPE!$G:$H,2,0),"")</f>
        <v/>
      </c>
      <c r="E1015" s="8" t="inlineStr">
        <is>
          <t>D836</t>
        </is>
      </c>
      <c r="F1015" s="8" t="inlineStr">
        <is>
          <t>66243150</t>
        </is>
      </c>
      <c r="G1015" s="8">
        <f>IFERROR(VLOOKUP(A1015,Flete!$A:$E,5,0),"")</f>
        <v/>
      </c>
      <c r="H1015" s="7">
        <f>IFERROR(VLOOKUP(F1015,TRAOPE!$AA:$AB,2,0),"")</f>
        <v/>
      </c>
      <c r="I1015" s="7" t="n">
        <v>10000722</v>
      </c>
      <c r="J1015" s="7">
        <f>IFERROR(VLOOKUP(I1015,Materiales!$A:$H,8,0),"")</f>
        <v/>
      </c>
      <c r="K1015" s="9">
        <f>IFERROR(VLOOKUP(I1015,Materiales!$A:$G,7,0),"")</f>
        <v/>
      </c>
      <c r="L1015" s="8" t="inlineStr">
        <is>
          <t>20190426</t>
        </is>
      </c>
      <c r="M1015" s="8" t="inlineStr">
        <is>
          <t>20250127</t>
        </is>
      </c>
      <c r="N1015" s="10" t="n">
        <v>125.39</v>
      </c>
      <c r="O1015" s="10">
        <f>IFERROR(VLOOKUP(A1015,Flete!$A:$J,10,0),"")</f>
        <v/>
      </c>
      <c r="P1015" s="8" t="inlineStr">
        <is>
          <t>TN</t>
        </is>
      </c>
      <c r="Q1015" s="10">
        <f>IFERROR(IFERROR(VLOOKUP(A1015,TRAOPE!$A:$U,21,0),VLOOKUP(B1015,TRAOPE!$A:$U,21,0)),"")</f>
        <v/>
      </c>
      <c r="R1015" s="8">
        <f>IFERROR(IFERROR(VLOOKUP(A1015,TRAOPE!$A:$W,23,0),VLOOKUP(B1015,TRAOPE!$A:$W,23,0)),"")</f>
        <v/>
      </c>
      <c r="S1015" s="10">
        <f>IF(AND(P1015="TN",R1015="TN"),N1015+N(O1015),IF(G1015&amp;""="1",N(K1015)*N1015,(N1015+N(O1015))*N(K1015)))</f>
        <v/>
      </c>
      <c r="T1015" s="10">
        <f>IF(Q1015="","",Q1015-S1015)</f>
        <v/>
      </c>
    </row>
    <row r="1016">
      <c r="A1016" s="7">
        <f>CONCATENATE(C1016,E1016,F1016,I1016)</f>
        <v/>
      </c>
      <c r="B1016" s="7">
        <f>CONCATENATE(C1016,E1016,I1016)</f>
        <v/>
      </c>
      <c r="C1016" s="8" t="n">
        <v>900003601</v>
      </c>
      <c r="D1016" s="7">
        <f>IFERROR(VLOOKUP(C1016,TRAOPE!$G:$H,2,0),"")</f>
        <v/>
      </c>
      <c r="E1016" s="8" t="inlineStr">
        <is>
          <t>D836</t>
        </is>
      </c>
      <c r="F1016" s="8" t="inlineStr">
        <is>
          <t>66243150</t>
        </is>
      </c>
      <c r="G1016" s="8">
        <f>IFERROR(VLOOKUP(A1016,Flete!$A:$E,5,0),"")</f>
        <v/>
      </c>
      <c r="H1016" s="7">
        <f>IFERROR(VLOOKUP(F1016,TRAOPE!$AA:$AB,2,0),"")</f>
        <v/>
      </c>
      <c r="I1016" s="7" t="n">
        <v>10000811</v>
      </c>
      <c r="J1016" s="7">
        <f>IFERROR(VLOOKUP(I1016,Materiales!$A:$H,8,0),"")</f>
        <v/>
      </c>
      <c r="K1016" s="9">
        <f>IFERROR(VLOOKUP(I1016,Materiales!$A:$G,7,0),"")</f>
        <v/>
      </c>
      <c r="L1016" s="8" t="inlineStr">
        <is>
          <t>20190426</t>
        </is>
      </c>
      <c r="M1016" s="8" t="inlineStr">
        <is>
          <t>20250127</t>
        </is>
      </c>
      <c r="N1016" s="10" t="n">
        <v>317.67</v>
      </c>
      <c r="O1016" s="10">
        <f>IFERROR(VLOOKUP(A1016,Flete!$A:$J,10,0),"")</f>
        <v/>
      </c>
      <c r="P1016" s="8" t="inlineStr">
        <is>
          <t>M3</t>
        </is>
      </c>
      <c r="Q1016" s="10">
        <f>IFERROR(IFERROR(VLOOKUP(A1016,TRAOPE!$A:$U,21,0),VLOOKUP(B1016,TRAOPE!$A:$U,21,0)),"")</f>
        <v/>
      </c>
      <c r="R1016" s="8">
        <f>IFERROR(IFERROR(VLOOKUP(A1016,TRAOPE!$A:$W,23,0),VLOOKUP(B1016,TRAOPE!$A:$W,23,0)),"")</f>
        <v/>
      </c>
      <c r="S1016" s="10">
        <f>IF(AND(P1016="TN",R1016="TN"),N1016+N(O1016),IF(G1016&amp;""="1",N(K1016)*N1016,(N1016+N(O1016))*N(K1016)))</f>
        <v/>
      </c>
      <c r="T1016" s="10">
        <f>IF(Q1016="","",Q1016-S1016)</f>
        <v/>
      </c>
    </row>
    <row r="1017">
      <c r="A1017" s="7">
        <f>CONCATENATE(C1017,E1017,F1017,I1017)</f>
        <v/>
      </c>
      <c r="B1017" s="7">
        <f>CONCATENATE(C1017,E1017,I1017)</f>
        <v/>
      </c>
      <c r="C1017" s="8" t="n">
        <v>900003601</v>
      </c>
      <c r="D1017" s="7">
        <f>IFERROR(VLOOKUP(C1017,TRAOPE!$G:$H,2,0),"")</f>
        <v/>
      </c>
      <c r="E1017" s="8" t="inlineStr">
        <is>
          <t>D836</t>
        </is>
      </c>
      <c r="F1017" s="8" t="inlineStr">
        <is>
          <t>66250932</t>
        </is>
      </c>
      <c r="G1017" s="8">
        <f>IFERROR(VLOOKUP(A1017,Flete!$A:$E,5,0),"")</f>
        <v/>
      </c>
      <c r="H1017" s="7">
        <f>IFERROR(VLOOKUP(F1017,TRAOPE!$AA:$AB,2,0),"")</f>
        <v/>
      </c>
      <c r="I1017" s="7" t="n">
        <v>10000623</v>
      </c>
      <c r="J1017" s="7">
        <f>IFERROR(VLOOKUP(I1017,Materiales!$A:$H,8,0),"")</f>
        <v/>
      </c>
      <c r="K1017" s="9">
        <f>IFERROR(VLOOKUP(I1017,Materiales!$A:$G,7,0),"")</f>
        <v/>
      </c>
      <c r="L1017" s="8" t="inlineStr">
        <is>
          <t>20190426</t>
        </is>
      </c>
      <c r="M1017" s="8" t="inlineStr">
        <is>
          <t>20250127</t>
        </is>
      </c>
      <c r="N1017" s="10" t="n">
        <v>116.75</v>
      </c>
      <c r="O1017" s="10">
        <f>IFERROR(VLOOKUP(A1017,Flete!$A:$J,10,0),"")</f>
        <v/>
      </c>
      <c r="P1017" s="8" t="inlineStr">
        <is>
          <t>TN</t>
        </is>
      </c>
      <c r="Q1017" s="10">
        <f>IFERROR(IFERROR(VLOOKUP(A1017,TRAOPE!$A:$U,21,0),VLOOKUP(B1017,TRAOPE!$A:$U,21,0)),"")</f>
        <v/>
      </c>
      <c r="R1017" s="8">
        <f>IFERROR(IFERROR(VLOOKUP(A1017,TRAOPE!$A:$W,23,0),VLOOKUP(B1017,TRAOPE!$A:$W,23,0)),"")</f>
        <v/>
      </c>
      <c r="S1017" s="10">
        <f>IF(AND(P1017="TN",R1017="TN"),N1017+N(O1017),IF(G1017&amp;""="1",N(K1017)*N1017,(N1017+N(O1017))*N(K1017)))</f>
        <v/>
      </c>
      <c r="T1017" s="10">
        <f>IF(Q1017="","",Q1017-S1017)</f>
        <v/>
      </c>
    </row>
    <row r="1018">
      <c r="A1018" s="7">
        <f>CONCATENATE(C1018,E1018,F1018,I1018)</f>
        <v/>
      </c>
      <c r="B1018" s="7">
        <f>CONCATENATE(C1018,E1018,I1018)</f>
        <v/>
      </c>
      <c r="C1018" s="8" t="n">
        <v>900003601</v>
      </c>
      <c r="D1018" s="7">
        <f>IFERROR(VLOOKUP(C1018,TRAOPE!$G:$H,2,0),"")</f>
        <v/>
      </c>
      <c r="E1018" s="8" t="inlineStr">
        <is>
          <t>D836</t>
        </is>
      </c>
      <c r="F1018" s="8" t="inlineStr">
        <is>
          <t>66250932</t>
        </is>
      </c>
      <c r="G1018" s="8">
        <f>IFERROR(VLOOKUP(A1018,Flete!$A:$E,5,0),"")</f>
        <v/>
      </c>
      <c r="H1018" s="7">
        <f>IFERROR(VLOOKUP(F1018,TRAOPE!$AA:$AB,2,0),"")</f>
        <v/>
      </c>
      <c r="I1018" s="7" t="n">
        <v>10000624</v>
      </c>
      <c r="J1018" s="7">
        <f>IFERROR(VLOOKUP(I1018,Materiales!$A:$H,8,0),"")</f>
        <v/>
      </c>
      <c r="K1018" s="9">
        <f>IFERROR(VLOOKUP(I1018,Materiales!$A:$G,7,0),"")</f>
        <v/>
      </c>
      <c r="L1018" s="8" t="inlineStr">
        <is>
          <t>20190426</t>
        </is>
      </c>
      <c r="M1018" s="8" t="inlineStr">
        <is>
          <t>20250127</t>
        </is>
      </c>
      <c r="N1018" s="10" t="n">
        <v>116.75</v>
      </c>
      <c r="O1018" s="10">
        <f>IFERROR(VLOOKUP(A1018,Flete!$A:$J,10,0),"")</f>
        <v/>
      </c>
      <c r="P1018" s="8" t="inlineStr">
        <is>
          <t>TN</t>
        </is>
      </c>
      <c r="Q1018" s="10">
        <f>IFERROR(IFERROR(VLOOKUP(A1018,TRAOPE!$A:$U,21,0),VLOOKUP(B1018,TRAOPE!$A:$U,21,0)),"")</f>
        <v/>
      </c>
      <c r="R1018" s="8">
        <f>IFERROR(IFERROR(VLOOKUP(A1018,TRAOPE!$A:$W,23,0),VLOOKUP(B1018,TRAOPE!$A:$W,23,0)),"")</f>
        <v/>
      </c>
      <c r="S1018" s="10">
        <f>IF(AND(P1018="TN",R1018="TN"),N1018+N(O1018),IF(G1018&amp;""="1",N(K1018)*N1018,(N1018+N(O1018))*N(K1018)))</f>
        <v/>
      </c>
      <c r="T1018" s="10">
        <f>IF(Q1018="","",Q1018-S1018)</f>
        <v/>
      </c>
    </row>
    <row r="1019">
      <c r="A1019" s="7">
        <f>CONCATENATE(C1019,E1019,F1019,I1019)</f>
        <v/>
      </c>
      <c r="B1019" s="7">
        <f>CONCATENATE(C1019,E1019,I1019)</f>
        <v/>
      </c>
      <c r="C1019" s="8" t="n">
        <v>900003601</v>
      </c>
      <c r="D1019" s="7">
        <f>IFERROR(VLOOKUP(C1019,TRAOPE!$G:$H,2,0),"")</f>
        <v/>
      </c>
      <c r="E1019" s="8" t="inlineStr">
        <is>
          <t>D836</t>
        </is>
      </c>
      <c r="F1019" s="8" t="inlineStr">
        <is>
          <t>66250932</t>
        </is>
      </c>
      <c r="G1019" s="8">
        <f>IFERROR(VLOOKUP(A1019,Flete!$A:$E,5,0),"")</f>
        <v/>
      </c>
      <c r="H1019" s="7">
        <f>IFERROR(VLOOKUP(F1019,TRAOPE!$AA:$AB,2,0),"")</f>
        <v/>
      </c>
      <c r="I1019" s="7" t="n">
        <v>10000722</v>
      </c>
      <c r="J1019" s="7">
        <f>IFERROR(VLOOKUP(I1019,Materiales!$A:$H,8,0),"")</f>
        <v/>
      </c>
      <c r="K1019" s="9">
        <f>IFERROR(VLOOKUP(I1019,Materiales!$A:$G,7,0),"")</f>
        <v/>
      </c>
      <c r="L1019" s="8" t="inlineStr">
        <is>
          <t>20190426</t>
        </is>
      </c>
      <c r="M1019" s="8" t="inlineStr">
        <is>
          <t>20250127</t>
        </is>
      </c>
      <c r="N1019" s="10" t="n">
        <v>116.75</v>
      </c>
      <c r="O1019" s="10">
        <f>IFERROR(VLOOKUP(A1019,Flete!$A:$J,10,0),"")</f>
        <v/>
      </c>
      <c r="P1019" s="8" t="inlineStr">
        <is>
          <t>TN</t>
        </is>
      </c>
      <c r="Q1019" s="10">
        <f>IFERROR(IFERROR(VLOOKUP(A1019,TRAOPE!$A:$U,21,0),VLOOKUP(B1019,TRAOPE!$A:$U,21,0)),"")</f>
        <v/>
      </c>
      <c r="R1019" s="8">
        <f>IFERROR(IFERROR(VLOOKUP(A1019,TRAOPE!$A:$W,23,0),VLOOKUP(B1019,TRAOPE!$A:$W,23,0)),"")</f>
        <v/>
      </c>
      <c r="S1019" s="10">
        <f>IF(AND(P1019="TN",R1019="TN"),N1019+N(O1019),IF(G1019&amp;""="1",N(K1019)*N1019,(N1019+N(O1019))*N(K1019)))</f>
        <v/>
      </c>
      <c r="T1019" s="10">
        <f>IF(Q1019="","",Q1019-S1019)</f>
        <v/>
      </c>
    </row>
    <row r="1020">
      <c r="A1020" s="7">
        <f>CONCATENATE(C1020,E1020,F1020,I1020)</f>
        <v/>
      </c>
      <c r="B1020" s="7">
        <f>CONCATENATE(C1020,E1020,I1020)</f>
        <v/>
      </c>
      <c r="C1020" s="8" t="n">
        <v>900003601</v>
      </c>
      <c r="D1020" s="7">
        <f>IFERROR(VLOOKUP(C1020,TRAOPE!$G:$H,2,0),"")</f>
        <v/>
      </c>
      <c r="E1020" s="8" t="inlineStr">
        <is>
          <t>D836</t>
        </is>
      </c>
      <c r="F1020" s="8" t="inlineStr">
        <is>
          <t>66260137</t>
        </is>
      </c>
      <c r="G1020" s="8">
        <f>IFERROR(VLOOKUP(A1020,Flete!$A:$E,5,0),"")</f>
        <v/>
      </c>
      <c r="H1020" s="7">
        <f>IFERROR(VLOOKUP(F1020,TRAOPE!$AA:$AB,2,0),"")</f>
        <v/>
      </c>
      <c r="I1020" s="7" t="n">
        <v>10000624</v>
      </c>
      <c r="J1020" s="7">
        <f>IFERROR(VLOOKUP(I1020,Materiales!$A:$H,8,0),"")</f>
        <v/>
      </c>
      <c r="K1020" s="9">
        <f>IFERROR(VLOOKUP(I1020,Materiales!$A:$G,7,0),"")</f>
        <v/>
      </c>
      <c r="L1020" s="8" t="inlineStr">
        <is>
          <t>20190426</t>
        </is>
      </c>
      <c r="M1020" s="8" t="inlineStr">
        <is>
          <t>20250127</t>
        </is>
      </c>
      <c r="N1020" s="10" t="n">
        <v>108.1</v>
      </c>
      <c r="O1020" s="10">
        <f>IFERROR(VLOOKUP(A1020,Flete!$A:$J,10,0),"")</f>
        <v/>
      </c>
      <c r="P1020" s="8" t="inlineStr">
        <is>
          <t>TN</t>
        </is>
      </c>
      <c r="Q1020" s="10">
        <f>IFERROR(IFERROR(VLOOKUP(A1020,TRAOPE!$A:$U,21,0),VLOOKUP(B1020,TRAOPE!$A:$U,21,0)),"")</f>
        <v/>
      </c>
      <c r="R1020" s="8">
        <f>IFERROR(IFERROR(VLOOKUP(A1020,TRAOPE!$A:$W,23,0),VLOOKUP(B1020,TRAOPE!$A:$W,23,0)),"")</f>
        <v/>
      </c>
      <c r="S1020" s="10">
        <f>IF(AND(P1020="TN",R1020="TN"),N1020+N(O1020),IF(G1020&amp;""="1",N(K1020)*N1020,(N1020+N(O1020))*N(K1020)))</f>
        <v/>
      </c>
      <c r="T1020" s="10">
        <f>IF(Q1020="","",Q1020-S1020)</f>
        <v/>
      </c>
    </row>
    <row r="1021">
      <c r="A1021" s="7">
        <f>CONCATENATE(C1021,E1021,F1021,I1021)</f>
        <v/>
      </c>
      <c r="B1021" s="7">
        <f>CONCATENATE(C1021,E1021,I1021)</f>
        <v/>
      </c>
      <c r="C1021" s="8" t="n">
        <v>900003601</v>
      </c>
      <c r="D1021" s="7">
        <f>IFERROR(VLOOKUP(C1021,TRAOPE!$G:$H,2,0),"")</f>
        <v/>
      </c>
      <c r="E1021" s="8" t="inlineStr">
        <is>
          <t>D836</t>
        </is>
      </c>
      <c r="F1021" s="8" t="inlineStr">
        <is>
          <t>66260137</t>
        </is>
      </c>
      <c r="G1021" s="8">
        <f>IFERROR(VLOOKUP(A1021,Flete!$A:$E,5,0),"")</f>
        <v/>
      </c>
      <c r="H1021" s="7">
        <f>IFERROR(VLOOKUP(F1021,TRAOPE!$AA:$AB,2,0),"")</f>
        <v/>
      </c>
      <c r="I1021" s="7" t="n">
        <v>10000722</v>
      </c>
      <c r="J1021" s="7">
        <f>IFERROR(VLOOKUP(I1021,Materiales!$A:$H,8,0),"")</f>
        <v/>
      </c>
      <c r="K1021" s="9">
        <f>IFERROR(VLOOKUP(I1021,Materiales!$A:$G,7,0),"")</f>
        <v/>
      </c>
      <c r="L1021" s="8" t="inlineStr">
        <is>
          <t>20190426</t>
        </is>
      </c>
      <c r="M1021" s="8" t="inlineStr">
        <is>
          <t>20250127</t>
        </is>
      </c>
      <c r="N1021" s="10" t="n">
        <v>108.1</v>
      </c>
      <c r="O1021" s="10">
        <f>IFERROR(VLOOKUP(A1021,Flete!$A:$J,10,0),"")</f>
        <v/>
      </c>
      <c r="P1021" s="8" t="inlineStr">
        <is>
          <t>TN</t>
        </is>
      </c>
      <c r="Q1021" s="10">
        <f>IFERROR(IFERROR(VLOOKUP(A1021,TRAOPE!$A:$U,21,0),VLOOKUP(B1021,TRAOPE!$A:$U,21,0)),"")</f>
        <v/>
      </c>
      <c r="R1021" s="8">
        <f>IFERROR(IFERROR(VLOOKUP(A1021,TRAOPE!$A:$W,23,0),VLOOKUP(B1021,TRAOPE!$A:$W,23,0)),"")</f>
        <v/>
      </c>
      <c r="S1021" s="10">
        <f>IF(AND(P1021="TN",R1021="TN"),N1021+N(O1021),IF(G1021&amp;""="1",N(K1021)*N1021,(N1021+N(O1021))*N(K1021)))</f>
        <v/>
      </c>
      <c r="T1021" s="10">
        <f>IF(Q1021="","",Q1021-S1021)</f>
        <v/>
      </c>
    </row>
    <row r="1022">
      <c r="A1022" s="7">
        <f>CONCATENATE(C1022,E1022,F1022,I1022)</f>
        <v/>
      </c>
      <c r="B1022" s="7">
        <f>CONCATENATE(C1022,E1022,I1022)</f>
        <v/>
      </c>
      <c r="C1022" s="8" t="n">
        <v>900003601</v>
      </c>
      <c r="D1022" s="7">
        <f>IFERROR(VLOOKUP(C1022,TRAOPE!$G:$H,2,0),"")</f>
        <v/>
      </c>
      <c r="E1022" s="8" t="inlineStr">
        <is>
          <t>D836</t>
        </is>
      </c>
      <c r="F1022" s="8" t="inlineStr">
        <is>
          <t>66260139</t>
        </is>
      </c>
      <c r="G1022" s="8">
        <f>IFERROR(VLOOKUP(A1022,Flete!$A:$E,5,0),"")</f>
        <v/>
      </c>
      <c r="H1022" s="7">
        <f>IFERROR(VLOOKUP(F1022,TRAOPE!$AA:$AB,2,0),"")</f>
        <v/>
      </c>
      <c r="I1022" s="7" t="n">
        <v>10000624</v>
      </c>
      <c r="J1022" s="7">
        <f>IFERROR(VLOOKUP(I1022,Materiales!$A:$H,8,0),"")</f>
        <v/>
      </c>
      <c r="K1022" s="9">
        <f>IFERROR(VLOOKUP(I1022,Materiales!$A:$G,7,0),"")</f>
        <v/>
      </c>
      <c r="L1022" s="8" t="inlineStr">
        <is>
          <t>20190426</t>
        </is>
      </c>
      <c r="M1022" s="8" t="inlineStr">
        <is>
          <t>20250127</t>
        </is>
      </c>
      <c r="N1022" s="10" t="n">
        <v>108.1</v>
      </c>
      <c r="O1022" s="10">
        <f>IFERROR(VLOOKUP(A1022,Flete!$A:$J,10,0),"")</f>
        <v/>
      </c>
      <c r="P1022" s="8" t="inlineStr">
        <is>
          <t>TN</t>
        </is>
      </c>
      <c r="Q1022" s="10">
        <f>IFERROR(IFERROR(VLOOKUP(A1022,TRAOPE!$A:$U,21,0),VLOOKUP(B1022,TRAOPE!$A:$U,21,0)),"")</f>
        <v/>
      </c>
      <c r="R1022" s="8">
        <f>IFERROR(IFERROR(VLOOKUP(A1022,TRAOPE!$A:$W,23,0),VLOOKUP(B1022,TRAOPE!$A:$W,23,0)),"")</f>
        <v/>
      </c>
      <c r="S1022" s="10">
        <f>IF(AND(P1022="TN",R1022="TN"),N1022+N(O1022),IF(G1022&amp;""="1",N(K1022)*N1022,(N1022+N(O1022))*N(K1022)))</f>
        <v/>
      </c>
      <c r="T1022" s="10">
        <f>IF(Q1022="","",Q1022-S1022)</f>
        <v/>
      </c>
    </row>
    <row r="1023">
      <c r="A1023" s="7">
        <f>CONCATENATE(C1023,E1023,F1023,I1023)</f>
        <v/>
      </c>
      <c r="B1023" s="7">
        <f>CONCATENATE(C1023,E1023,I1023)</f>
        <v/>
      </c>
      <c r="C1023" s="8" t="n">
        <v>900003601</v>
      </c>
      <c r="D1023" s="7">
        <f>IFERROR(VLOOKUP(C1023,TRAOPE!$G:$H,2,0),"")</f>
        <v/>
      </c>
      <c r="E1023" s="8" t="inlineStr">
        <is>
          <t>D836</t>
        </is>
      </c>
      <c r="F1023" s="8" t="inlineStr">
        <is>
          <t>66260139</t>
        </is>
      </c>
      <c r="G1023" s="8">
        <f>IFERROR(VLOOKUP(A1023,Flete!$A:$E,5,0),"")</f>
        <v/>
      </c>
      <c r="H1023" s="7">
        <f>IFERROR(VLOOKUP(F1023,TRAOPE!$AA:$AB,2,0),"")</f>
        <v/>
      </c>
      <c r="I1023" s="7" t="n">
        <v>10000722</v>
      </c>
      <c r="J1023" s="7">
        <f>IFERROR(VLOOKUP(I1023,Materiales!$A:$H,8,0),"")</f>
        <v/>
      </c>
      <c r="K1023" s="9">
        <f>IFERROR(VLOOKUP(I1023,Materiales!$A:$G,7,0),"")</f>
        <v/>
      </c>
      <c r="L1023" s="8" t="inlineStr">
        <is>
          <t>20190426</t>
        </is>
      </c>
      <c r="M1023" s="8" t="inlineStr">
        <is>
          <t>20250127</t>
        </is>
      </c>
      <c r="N1023" s="10" t="n">
        <v>108.1</v>
      </c>
      <c r="O1023" s="10">
        <f>IFERROR(VLOOKUP(A1023,Flete!$A:$J,10,0),"")</f>
        <v/>
      </c>
      <c r="P1023" s="8" t="inlineStr">
        <is>
          <t>TN</t>
        </is>
      </c>
      <c r="Q1023" s="10">
        <f>IFERROR(IFERROR(VLOOKUP(A1023,TRAOPE!$A:$U,21,0),VLOOKUP(B1023,TRAOPE!$A:$U,21,0)),"")</f>
        <v/>
      </c>
      <c r="R1023" s="8">
        <f>IFERROR(IFERROR(VLOOKUP(A1023,TRAOPE!$A:$W,23,0),VLOOKUP(B1023,TRAOPE!$A:$W,23,0)),"")</f>
        <v/>
      </c>
      <c r="S1023" s="10">
        <f>IF(AND(P1023="TN",R1023="TN"),N1023+N(O1023),IF(G1023&amp;""="1",N(K1023)*N1023,(N1023+N(O1023))*N(K1023)))</f>
        <v/>
      </c>
      <c r="T1023" s="10">
        <f>IF(Q1023="","",Q1023-S1023)</f>
        <v/>
      </c>
    </row>
    <row r="1024">
      <c r="A1024" s="7">
        <f>CONCATENATE(C1024,E1024,F1024,I1024)</f>
        <v/>
      </c>
      <c r="B1024" s="7">
        <f>CONCATENATE(C1024,E1024,I1024)</f>
        <v/>
      </c>
      <c r="C1024" s="8" t="n">
        <v>900003601</v>
      </c>
      <c r="D1024" s="7">
        <f>IFERROR(VLOOKUP(C1024,TRAOPE!$G:$H,2,0),"")</f>
        <v/>
      </c>
      <c r="E1024" s="8" t="inlineStr">
        <is>
          <t>D836</t>
        </is>
      </c>
      <c r="F1024" s="8" t="inlineStr">
        <is>
          <t>66272739</t>
        </is>
      </c>
      <c r="G1024" s="8">
        <f>IFERROR(VLOOKUP(A1024,Flete!$A:$E,5,0),"")</f>
        <v/>
      </c>
      <c r="H1024" s="7">
        <f>IFERROR(VLOOKUP(F1024,TRAOPE!$AA:$AB,2,0),"")</f>
        <v/>
      </c>
      <c r="I1024" s="7" t="n">
        <v>10000623</v>
      </c>
      <c r="J1024" s="7">
        <f>IFERROR(VLOOKUP(I1024,Materiales!$A:$H,8,0),"")</f>
        <v/>
      </c>
      <c r="K1024" s="9">
        <f>IFERROR(VLOOKUP(I1024,Materiales!$A:$G,7,0),"")</f>
        <v/>
      </c>
      <c r="L1024" s="8" t="inlineStr">
        <is>
          <t>20190426</t>
        </is>
      </c>
      <c r="M1024" s="8" t="inlineStr">
        <is>
          <t>20250127</t>
        </is>
      </c>
      <c r="N1024" s="10" t="n">
        <v>116.75</v>
      </c>
      <c r="O1024" s="10">
        <f>IFERROR(VLOOKUP(A1024,Flete!$A:$J,10,0),"")</f>
        <v/>
      </c>
      <c r="P1024" s="8" t="inlineStr">
        <is>
          <t>TN</t>
        </is>
      </c>
      <c r="Q1024" s="10">
        <f>IFERROR(IFERROR(VLOOKUP(A1024,TRAOPE!$A:$U,21,0),VLOOKUP(B1024,TRAOPE!$A:$U,21,0)),"")</f>
        <v/>
      </c>
      <c r="R1024" s="8">
        <f>IFERROR(IFERROR(VLOOKUP(A1024,TRAOPE!$A:$W,23,0),VLOOKUP(B1024,TRAOPE!$A:$W,23,0)),"")</f>
        <v/>
      </c>
      <c r="S1024" s="10">
        <f>IF(AND(P1024="TN",R1024="TN"),N1024+N(O1024),IF(G1024&amp;""="1",N(K1024)*N1024,(N1024+N(O1024))*N(K1024)))</f>
        <v/>
      </c>
      <c r="T1024" s="10">
        <f>IF(Q1024="","",Q1024-S1024)</f>
        <v/>
      </c>
    </row>
    <row r="1025">
      <c r="A1025" s="7">
        <f>CONCATENATE(C1025,E1025,F1025,I1025)</f>
        <v/>
      </c>
      <c r="B1025" s="7">
        <f>CONCATENATE(C1025,E1025,I1025)</f>
        <v/>
      </c>
      <c r="C1025" s="8" t="n">
        <v>900003601</v>
      </c>
      <c r="D1025" s="7">
        <f>IFERROR(VLOOKUP(C1025,TRAOPE!$G:$H,2,0),"")</f>
        <v/>
      </c>
      <c r="E1025" s="8" t="inlineStr">
        <is>
          <t>D836</t>
        </is>
      </c>
      <c r="F1025" s="8" t="inlineStr">
        <is>
          <t>66272739</t>
        </is>
      </c>
      <c r="G1025" s="8">
        <f>IFERROR(VLOOKUP(A1025,Flete!$A:$E,5,0),"")</f>
        <v/>
      </c>
      <c r="H1025" s="7">
        <f>IFERROR(VLOOKUP(F1025,TRAOPE!$AA:$AB,2,0),"")</f>
        <v/>
      </c>
      <c r="I1025" s="7" t="n">
        <v>10000624</v>
      </c>
      <c r="J1025" s="7">
        <f>IFERROR(VLOOKUP(I1025,Materiales!$A:$H,8,0),"")</f>
        <v/>
      </c>
      <c r="K1025" s="9">
        <f>IFERROR(VLOOKUP(I1025,Materiales!$A:$G,7,0),"")</f>
        <v/>
      </c>
      <c r="L1025" s="8" t="inlineStr">
        <is>
          <t>20190426</t>
        </is>
      </c>
      <c r="M1025" s="8" t="inlineStr">
        <is>
          <t>20250127</t>
        </is>
      </c>
      <c r="N1025" s="10" t="n">
        <v>116.75</v>
      </c>
      <c r="O1025" s="10">
        <f>IFERROR(VLOOKUP(A1025,Flete!$A:$J,10,0),"")</f>
        <v/>
      </c>
      <c r="P1025" s="8" t="inlineStr">
        <is>
          <t>TN</t>
        </is>
      </c>
      <c r="Q1025" s="10">
        <f>IFERROR(IFERROR(VLOOKUP(A1025,TRAOPE!$A:$U,21,0),VLOOKUP(B1025,TRAOPE!$A:$U,21,0)),"")</f>
        <v/>
      </c>
      <c r="R1025" s="8">
        <f>IFERROR(IFERROR(VLOOKUP(A1025,TRAOPE!$A:$W,23,0),VLOOKUP(B1025,TRAOPE!$A:$W,23,0)),"")</f>
        <v/>
      </c>
      <c r="S1025" s="10">
        <f>IF(AND(P1025="TN",R1025="TN"),N1025+N(O1025),IF(G1025&amp;""="1",N(K1025)*N1025,(N1025+N(O1025))*N(K1025)))</f>
        <v/>
      </c>
      <c r="T1025" s="10">
        <f>IF(Q1025="","",Q1025-S1025)</f>
        <v/>
      </c>
    </row>
    <row r="1026">
      <c r="A1026" s="7">
        <f>CONCATENATE(C1026,E1026,F1026,I1026)</f>
        <v/>
      </c>
      <c r="B1026" s="7">
        <f>CONCATENATE(C1026,E1026,I1026)</f>
        <v/>
      </c>
      <c r="C1026" s="8" t="n">
        <v>900003601</v>
      </c>
      <c r="D1026" s="7">
        <f>IFERROR(VLOOKUP(C1026,TRAOPE!$G:$H,2,0),"")</f>
        <v/>
      </c>
      <c r="E1026" s="8" t="inlineStr">
        <is>
          <t>D836</t>
        </is>
      </c>
      <c r="F1026" s="8" t="inlineStr">
        <is>
          <t>66272739</t>
        </is>
      </c>
      <c r="G1026" s="8">
        <f>IFERROR(VLOOKUP(A1026,Flete!$A:$E,5,0),"")</f>
        <v/>
      </c>
      <c r="H1026" s="7">
        <f>IFERROR(VLOOKUP(F1026,TRAOPE!$AA:$AB,2,0),"")</f>
        <v/>
      </c>
      <c r="I1026" s="7" t="n">
        <v>10000722</v>
      </c>
      <c r="J1026" s="7">
        <f>IFERROR(VLOOKUP(I1026,Materiales!$A:$H,8,0),"")</f>
        <v/>
      </c>
      <c r="K1026" s="9">
        <f>IFERROR(VLOOKUP(I1026,Materiales!$A:$G,7,0),"")</f>
        <v/>
      </c>
      <c r="L1026" s="8" t="inlineStr">
        <is>
          <t>20190426</t>
        </is>
      </c>
      <c r="M1026" s="8" t="inlineStr">
        <is>
          <t>20250127</t>
        </is>
      </c>
      <c r="N1026" s="10" t="n">
        <v>116.75</v>
      </c>
      <c r="O1026" s="10">
        <f>IFERROR(VLOOKUP(A1026,Flete!$A:$J,10,0),"")</f>
        <v/>
      </c>
      <c r="P1026" s="8" t="inlineStr">
        <is>
          <t>TN</t>
        </is>
      </c>
      <c r="Q1026" s="10">
        <f>IFERROR(IFERROR(VLOOKUP(A1026,TRAOPE!$A:$U,21,0),VLOOKUP(B1026,TRAOPE!$A:$U,21,0)),"")</f>
        <v/>
      </c>
      <c r="R1026" s="8">
        <f>IFERROR(IFERROR(VLOOKUP(A1026,TRAOPE!$A:$W,23,0),VLOOKUP(B1026,TRAOPE!$A:$W,23,0)),"")</f>
        <v/>
      </c>
      <c r="S1026" s="10">
        <f>IF(AND(P1026="TN",R1026="TN"),N1026+N(O1026),IF(G1026&amp;""="1",N(K1026)*N1026,(N1026+N(O1026))*N(K1026)))</f>
        <v/>
      </c>
      <c r="T1026" s="10">
        <f>IF(Q1026="","",Q1026-S1026)</f>
        <v/>
      </c>
    </row>
    <row r="1027">
      <c r="A1027" s="7">
        <f>CONCATENATE(C1027,E1027,F1027,I1027)</f>
        <v/>
      </c>
      <c r="B1027" s="7">
        <f>CONCATENATE(C1027,E1027,I1027)</f>
        <v/>
      </c>
      <c r="C1027" s="8" t="n">
        <v>900003601</v>
      </c>
      <c r="D1027" s="7">
        <f>IFERROR(VLOOKUP(C1027,TRAOPE!$G:$H,2,0),"")</f>
        <v/>
      </c>
      <c r="E1027" s="8" t="inlineStr">
        <is>
          <t>D836</t>
        </is>
      </c>
      <c r="F1027" s="8" t="inlineStr">
        <is>
          <t>66289413</t>
        </is>
      </c>
      <c r="G1027" s="8">
        <f>IFERROR(VLOOKUP(A1027,Flete!$A:$E,5,0),"")</f>
        <v/>
      </c>
      <c r="H1027" s="7">
        <f>IFERROR(VLOOKUP(F1027,TRAOPE!$AA:$AB,2,0),"")</f>
        <v/>
      </c>
      <c r="I1027" s="7" t="n">
        <v>10000623</v>
      </c>
      <c r="J1027" s="7">
        <f>IFERROR(VLOOKUP(I1027,Materiales!$A:$H,8,0),"")</f>
        <v/>
      </c>
      <c r="K1027" s="9">
        <f>IFERROR(VLOOKUP(I1027,Materiales!$A:$G,7,0),"")</f>
        <v/>
      </c>
      <c r="L1027" s="8" t="inlineStr">
        <is>
          <t>20190426</t>
        </is>
      </c>
      <c r="M1027" s="8" t="inlineStr">
        <is>
          <t>20250127</t>
        </is>
      </c>
      <c r="N1027" s="10" t="n">
        <v>102.6</v>
      </c>
      <c r="O1027" s="10">
        <f>IFERROR(VLOOKUP(A1027,Flete!$A:$J,10,0),"")</f>
        <v/>
      </c>
      <c r="P1027" s="8" t="inlineStr">
        <is>
          <t>TN</t>
        </is>
      </c>
      <c r="Q1027" s="10">
        <f>IFERROR(IFERROR(VLOOKUP(A1027,TRAOPE!$A:$U,21,0),VLOOKUP(B1027,TRAOPE!$A:$U,21,0)),"")</f>
        <v/>
      </c>
      <c r="R1027" s="8">
        <f>IFERROR(IFERROR(VLOOKUP(A1027,TRAOPE!$A:$W,23,0),VLOOKUP(B1027,TRAOPE!$A:$W,23,0)),"")</f>
        <v/>
      </c>
      <c r="S1027" s="10">
        <f>IF(AND(P1027="TN",R1027="TN"),N1027+N(O1027),IF(G1027&amp;""="1",N(K1027)*N1027,(N1027+N(O1027))*N(K1027)))</f>
        <v/>
      </c>
      <c r="T1027" s="10">
        <f>IF(Q1027="","",Q1027-S1027)</f>
        <v/>
      </c>
    </row>
    <row r="1028">
      <c r="A1028" s="7">
        <f>CONCATENATE(C1028,E1028,F1028,I1028)</f>
        <v/>
      </c>
      <c r="B1028" s="7">
        <f>CONCATENATE(C1028,E1028,I1028)</f>
        <v/>
      </c>
      <c r="C1028" s="8" t="n">
        <v>900003601</v>
      </c>
      <c r="D1028" s="7">
        <f>IFERROR(VLOOKUP(C1028,TRAOPE!$G:$H,2,0),"")</f>
        <v/>
      </c>
      <c r="E1028" s="8" t="inlineStr">
        <is>
          <t>D836</t>
        </is>
      </c>
      <c r="F1028" s="8" t="inlineStr">
        <is>
          <t>66293203</t>
        </is>
      </c>
      <c r="G1028" s="8">
        <f>IFERROR(VLOOKUP(A1028,Flete!$A:$E,5,0),"")</f>
        <v/>
      </c>
      <c r="H1028" s="7">
        <f>IFERROR(VLOOKUP(F1028,TRAOPE!$AA:$AB,2,0),"")</f>
        <v/>
      </c>
      <c r="I1028" s="7" t="n">
        <v>10000757</v>
      </c>
      <c r="J1028" s="7">
        <f>IFERROR(VLOOKUP(I1028,Materiales!$A:$H,8,0),"")</f>
        <v/>
      </c>
      <c r="K1028" s="9">
        <f>IFERROR(VLOOKUP(I1028,Materiales!$A:$G,7,0),"")</f>
        <v/>
      </c>
      <c r="L1028" s="8" t="inlineStr">
        <is>
          <t>20190426</t>
        </is>
      </c>
      <c r="M1028" s="8" t="inlineStr">
        <is>
          <t>20250127</t>
        </is>
      </c>
      <c r="N1028" s="10" t="n">
        <v>65.19</v>
      </c>
      <c r="O1028" s="10">
        <f>IFERROR(VLOOKUP(A1028,Flete!$A:$J,10,0),"")</f>
        <v/>
      </c>
      <c r="P1028" s="8" t="inlineStr">
        <is>
          <t>TN</t>
        </is>
      </c>
      <c r="Q1028" s="10">
        <f>IFERROR(IFERROR(VLOOKUP(A1028,TRAOPE!$A:$U,21,0),VLOOKUP(B1028,TRAOPE!$A:$U,21,0)),"")</f>
        <v/>
      </c>
      <c r="R1028" s="8">
        <f>IFERROR(IFERROR(VLOOKUP(A1028,TRAOPE!$A:$W,23,0),VLOOKUP(B1028,TRAOPE!$A:$W,23,0)),"")</f>
        <v/>
      </c>
      <c r="S1028" s="10">
        <f>IF(AND(P1028="TN",R1028="TN"),N1028+N(O1028),IF(G1028&amp;""="1",N(K1028)*N1028,(N1028+N(O1028))*N(K1028)))</f>
        <v/>
      </c>
      <c r="T1028" s="10">
        <f>IF(Q1028="","",Q1028-S1028)</f>
        <v/>
      </c>
    </row>
    <row r="1029">
      <c r="A1029" s="7">
        <f>CONCATENATE(C1029,E1029,F1029,I1029)</f>
        <v/>
      </c>
      <c r="B1029" s="7">
        <f>CONCATENATE(C1029,E1029,I1029)</f>
        <v/>
      </c>
      <c r="C1029" s="8" t="n">
        <v>900003601</v>
      </c>
      <c r="D1029" s="7">
        <f>IFERROR(VLOOKUP(C1029,TRAOPE!$G:$H,2,0),"")</f>
        <v/>
      </c>
      <c r="E1029" s="8" t="inlineStr">
        <is>
          <t>D836</t>
        </is>
      </c>
      <c r="F1029" s="8" t="inlineStr">
        <is>
          <t>66310610</t>
        </is>
      </c>
      <c r="G1029" s="8">
        <f>IFERROR(VLOOKUP(A1029,Flete!$A:$E,5,0),"")</f>
        <v/>
      </c>
      <c r="H1029" s="7">
        <f>IFERROR(VLOOKUP(F1029,TRAOPE!$AA:$AB,2,0),"")</f>
        <v/>
      </c>
      <c r="I1029" s="7" t="n">
        <v>10000623</v>
      </c>
      <c r="J1029" s="7">
        <f>IFERROR(VLOOKUP(I1029,Materiales!$A:$H,8,0),"")</f>
        <v/>
      </c>
      <c r="K1029" s="9">
        <f>IFERROR(VLOOKUP(I1029,Materiales!$A:$G,7,0),"")</f>
        <v/>
      </c>
      <c r="L1029" s="8" t="inlineStr">
        <is>
          <t>20190426</t>
        </is>
      </c>
      <c r="M1029" s="8" t="inlineStr">
        <is>
          <t>20250127</t>
        </is>
      </c>
      <c r="N1029" s="10" t="n">
        <v>116.75</v>
      </c>
      <c r="O1029" s="10">
        <f>IFERROR(VLOOKUP(A1029,Flete!$A:$J,10,0),"")</f>
        <v/>
      </c>
      <c r="P1029" s="8" t="inlineStr">
        <is>
          <t>TN</t>
        </is>
      </c>
      <c r="Q1029" s="10">
        <f>IFERROR(IFERROR(VLOOKUP(A1029,TRAOPE!$A:$U,21,0),VLOOKUP(B1029,TRAOPE!$A:$U,21,0)),"")</f>
        <v/>
      </c>
      <c r="R1029" s="8">
        <f>IFERROR(IFERROR(VLOOKUP(A1029,TRAOPE!$A:$W,23,0),VLOOKUP(B1029,TRAOPE!$A:$W,23,0)),"")</f>
        <v/>
      </c>
      <c r="S1029" s="10">
        <f>IF(AND(P1029="TN",R1029="TN"),N1029+N(O1029),IF(G1029&amp;""="1",N(K1029)*N1029,(N1029+N(O1029))*N(K1029)))</f>
        <v/>
      </c>
      <c r="T1029" s="10">
        <f>IF(Q1029="","",Q1029-S1029)</f>
        <v/>
      </c>
    </row>
    <row r="1030">
      <c r="A1030" s="7">
        <f>CONCATENATE(C1030,E1030,F1030,I1030)</f>
        <v/>
      </c>
      <c r="B1030" s="7">
        <f>CONCATENATE(C1030,E1030,I1030)</f>
        <v/>
      </c>
      <c r="C1030" s="8" t="n">
        <v>900003601</v>
      </c>
      <c r="D1030" s="7">
        <f>IFERROR(VLOOKUP(C1030,TRAOPE!$G:$H,2,0),"")</f>
        <v/>
      </c>
      <c r="E1030" s="8" t="inlineStr">
        <is>
          <t>D836</t>
        </is>
      </c>
      <c r="F1030" s="8" t="inlineStr">
        <is>
          <t>66310610</t>
        </is>
      </c>
      <c r="G1030" s="8">
        <f>IFERROR(VLOOKUP(A1030,Flete!$A:$E,5,0),"")</f>
        <v/>
      </c>
      <c r="H1030" s="7">
        <f>IFERROR(VLOOKUP(F1030,TRAOPE!$AA:$AB,2,0),"")</f>
        <v/>
      </c>
      <c r="I1030" s="7" t="n">
        <v>10000624</v>
      </c>
      <c r="J1030" s="7">
        <f>IFERROR(VLOOKUP(I1030,Materiales!$A:$H,8,0),"")</f>
        <v/>
      </c>
      <c r="K1030" s="9">
        <f>IFERROR(VLOOKUP(I1030,Materiales!$A:$G,7,0),"")</f>
        <v/>
      </c>
      <c r="L1030" s="8" t="inlineStr">
        <is>
          <t>20190426</t>
        </is>
      </c>
      <c r="M1030" s="8" t="inlineStr">
        <is>
          <t>20250127</t>
        </is>
      </c>
      <c r="N1030" s="10" t="n">
        <v>116.75</v>
      </c>
      <c r="O1030" s="10">
        <f>IFERROR(VLOOKUP(A1030,Flete!$A:$J,10,0),"")</f>
        <v/>
      </c>
      <c r="P1030" s="8" t="inlineStr">
        <is>
          <t>TN</t>
        </is>
      </c>
      <c r="Q1030" s="10">
        <f>IFERROR(IFERROR(VLOOKUP(A1030,TRAOPE!$A:$U,21,0),VLOOKUP(B1030,TRAOPE!$A:$U,21,0)),"")</f>
        <v/>
      </c>
      <c r="R1030" s="8">
        <f>IFERROR(IFERROR(VLOOKUP(A1030,TRAOPE!$A:$W,23,0),VLOOKUP(B1030,TRAOPE!$A:$W,23,0)),"")</f>
        <v/>
      </c>
      <c r="S1030" s="10">
        <f>IF(AND(P1030="TN",R1030="TN"),N1030+N(O1030),IF(G1030&amp;""="1",N(K1030)*N1030,(N1030+N(O1030))*N(K1030)))</f>
        <v/>
      </c>
      <c r="T1030" s="10">
        <f>IF(Q1030="","",Q1030-S1030)</f>
        <v/>
      </c>
    </row>
    <row r="1031">
      <c r="A1031" s="7">
        <f>CONCATENATE(C1031,E1031,F1031,I1031)</f>
        <v/>
      </c>
      <c r="B1031" s="7">
        <f>CONCATENATE(C1031,E1031,I1031)</f>
        <v/>
      </c>
      <c r="C1031" s="8" t="n">
        <v>900003601</v>
      </c>
      <c r="D1031" s="7">
        <f>IFERROR(VLOOKUP(C1031,TRAOPE!$G:$H,2,0),"")</f>
        <v/>
      </c>
      <c r="E1031" s="8" t="inlineStr">
        <is>
          <t>D836</t>
        </is>
      </c>
      <c r="F1031" s="8" t="inlineStr">
        <is>
          <t>66310610</t>
        </is>
      </c>
      <c r="G1031" s="8">
        <f>IFERROR(VLOOKUP(A1031,Flete!$A:$E,5,0),"")</f>
        <v/>
      </c>
      <c r="H1031" s="7">
        <f>IFERROR(VLOOKUP(F1031,TRAOPE!$AA:$AB,2,0),"")</f>
        <v/>
      </c>
      <c r="I1031" s="7" t="n">
        <v>10000722</v>
      </c>
      <c r="J1031" s="7">
        <f>IFERROR(VLOOKUP(I1031,Materiales!$A:$H,8,0),"")</f>
        <v/>
      </c>
      <c r="K1031" s="9">
        <f>IFERROR(VLOOKUP(I1031,Materiales!$A:$G,7,0),"")</f>
        <v/>
      </c>
      <c r="L1031" s="8" t="inlineStr">
        <is>
          <t>20190426</t>
        </is>
      </c>
      <c r="M1031" s="8" t="inlineStr">
        <is>
          <t>20250127</t>
        </is>
      </c>
      <c r="N1031" s="10" t="n">
        <v>116.75</v>
      </c>
      <c r="O1031" s="10">
        <f>IFERROR(VLOOKUP(A1031,Flete!$A:$J,10,0),"")</f>
        <v/>
      </c>
      <c r="P1031" s="8" t="inlineStr">
        <is>
          <t>TN</t>
        </is>
      </c>
      <c r="Q1031" s="10">
        <f>IFERROR(IFERROR(VLOOKUP(A1031,TRAOPE!$A:$U,21,0),VLOOKUP(B1031,TRAOPE!$A:$U,21,0)),"")</f>
        <v/>
      </c>
      <c r="R1031" s="8">
        <f>IFERROR(IFERROR(VLOOKUP(A1031,TRAOPE!$A:$W,23,0),VLOOKUP(B1031,TRAOPE!$A:$W,23,0)),"")</f>
        <v/>
      </c>
      <c r="S1031" s="10">
        <f>IF(AND(P1031="TN",R1031="TN"),N1031+N(O1031),IF(G1031&amp;""="1",N(K1031)*N1031,(N1031+N(O1031))*N(K1031)))</f>
        <v/>
      </c>
      <c r="T1031" s="10">
        <f>IF(Q1031="","",Q1031-S1031)</f>
        <v/>
      </c>
    </row>
    <row r="1032">
      <c r="A1032" s="7">
        <f>CONCATENATE(C1032,E1032,F1032,I1032)</f>
        <v/>
      </c>
      <c r="B1032" s="7">
        <f>CONCATENATE(C1032,E1032,I1032)</f>
        <v/>
      </c>
      <c r="C1032" s="8" t="n">
        <v>900003601</v>
      </c>
      <c r="D1032" s="7">
        <f>IFERROR(VLOOKUP(C1032,TRAOPE!$G:$H,2,0),"")</f>
        <v/>
      </c>
      <c r="E1032" s="8" t="inlineStr">
        <is>
          <t>D836</t>
        </is>
      </c>
      <c r="F1032" s="8" t="inlineStr">
        <is>
          <t>66338102</t>
        </is>
      </c>
      <c r="G1032" s="8">
        <f>IFERROR(VLOOKUP(A1032,Flete!$A:$E,5,0),"")</f>
        <v/>
      </c>
      <c r="H1032" s="7">
        <f>IFERROR(VLOOKUP(F1032,TRAOPE!$AA:$AB,2,0),"")</f>
        <v/>
      </c>
      <c r="I1032" s="7" t="n">
        <v>10000623</v>
      </c>
      <c r="J1032" s="7">
        <f>IFERROR(VLOOKUP(I1032,Materiales!$A:$H,8,0),"")</f>
        <v/>
      </c>
      <c r="K1032" s="9">
        <f>IFERROR(VLOOKUP(I1032,Materiales!$A:$G,7,0),"")</f>
        <v/>
      </c>
      <c r="L1032" s="8" t="inlineStr">
        <is>
          <t>20190426</t>
        </is>
      </c>
      <c r="M1032" s="8" t="inlineStr">
        <is>
          <t>20250127</t>
        </is>
      </c>
      <c r="N1032" s="10" t="n">
        <v>102.6</v>
      </c>
      <c r="O1032" s="10">
        <f>IFERROR(VLOOKUP(A1032,Flete!$A:$J,10,0),"")</f>
        <v/>
      </c>
      <c r="P1032" s="8" t="inlineStr">
        <is>
          <t>TN</t>
        </is>
      </c>
      <c r="Q1032" s="10">
        <f>IFERROR(IFERROR(VLOOKUP(A1032,TRAOPE!$A:$U,21,0),VLOOKUP(B1032,TRAOPE!$A:$U,21,0)),"")</f>
        <v/>
      </c>
      <c r="R1032" s="8">
        <f>IFERROR(IFERROR(VLOOKUP(A1032,TRAOPE!$A:$W,23,0),VLOOKUP(B1032,TRAOPE!$A:$W,23,0)),"")</f>
        <v/>
      </c>
      <c r="S1032" s="10">
        <f>IF(AND(P1032="TN",R1032="TN"),N1032+N(O1032),IF(G1032&amp;""="1",N(K1032)*N1032,(N1032+N(O1032))*N(K1032)))</f>
        <v/>
      </c>
      <c r="T1032" s="10">
        <f>IF(Q1032="","",Q1032-S1032)</f>
        <v/>
      </c>
    </row>
    <row r="1033">
      <c r="A1033" s="7">
        <f>CONCATENATE(C1033,E1033,F1033,I1033)</f>
        <v/>
      </c>
      <c r="B1033" s="7">
        <f>CONCATENATE(C1033,E1033,I1033)</f>
        <v/>
      </c>
      <c r="C1033" s="8" t="n">
        <v>900003601</v>
      </c>
      <c r="D1033" s="7">
        <f>IFERROR(VLOOKUP(C1033,TRAOPE!$G:$H,2,0),"")</f>
        <v/>
      </c>
      <c r="E1033" s="8" t="inlineStr">
        <is>
          <t>D836</t>
        </is>
      </c>
      <c r="F1033" s="8" t="inlineStr">
        <is>
          <t>66399551</t>
        </is>
      </c>
      <c r="G1033" s="8">
        <f>IFERROR(VLOOKUP(A1033,Flete!$A:$E,5,0),"")</f>
        <v/>
      </c>
      <c r="H1033" s="7">
        <f>IFERROR(VLOOKUP(F1033,TRAOPE!$AA:$AB,2,0),"")</f>
        <v/>
      </c>
      <c r="I1033" s="7" t="n">
        <v>10000811</v>
      </c>
      <c r="J1033" s="7">
        <f>IFERROR(VLOOKUP(I1033,Materiales!$A:$H,8,0),"")</f>
        <v/>
      </c>
      <c r="K1033" s="9">
        <f>IFERROR(VLOOKUP(I1033,Materiales!$A:$G,7,0),"")</f>
        <v/>
      </c>
      <c r="L1033" s="8" t="inlineStr">
        <is>
          <t>20190426</t>
        </is>
      </c>
      <c r="M1033" s="8" t="inlineStr">
        <is>
          <t>20250127</t>
        </is>
      </c>
      <c r="N1033" s="10" t="n">
        <v>103.68</v>
      </c>
      <c r="O1033" s="10">
        <f>IFERROR(VLOOKUP(A1033,Flete!$A:$J,10,0),"")</f>
        <v/>
      </c>
      <c r="P1033" s="8" t="inlineStr">
        <is>
          <t>TN</t>
        </is>
      </c>
      <c r="Q1033" s="10">
        <f>IFERROR(IFERROR(VLOOKUP(A1033,TRAOPE!$A:$U,21,0),VLOOKUP(B1033,TRAOPE!$A:$U,21,0)),"")</f>
        <v/>
      </c>
      <c r="R1033" s="8">
        <f>IFERROR(IFERROR(VLOOKUP(A1033,TRAOPE!$A:$W,23,0),VLOOKUP(B1033,TRAOPE!$A:$W,23,0)),"")</f>
        <v/>
      </c>
      <c r="S1033" s="10">
        <f>IF(AND(P1033="TN",R1033="TN"),N1033+N(O1033),IF(G1033&amp;""="1",N(K1033)*N1033,(N1033+N(O1033))*N(K1033)))</f>
        <v/>
      </c>
      <c r="T1033" s="10">
        <f>IF(Q1033="","",Q1033-S1033)</f>
        <v/>
      </c>
    </row>
    <row r="1034">
      <c r="A1034" s="7">
        <f>CONCATENATE(C1034,E1034,F1034,I1034)</f>
        <v/>
      </c>
      <c r="B1034" s="7">
        <f>CONCATENATE(C1034,E1034,I1034)</f>
        <v/>
      </c>
      <c r="C1034" s="8" t="n">
        <v>900003601</v>
      </c>
      <c r="D1034" s="7">
        <f>IFERROR(VLOOKUP(C1034,TRAOPE!$G:$H,2,0),"")</f>
        <v/>
      </c>
      <c r="E1034" s="8" t="inlineStr">
        <is>
          <t>D836</t>
        </is>
      </c>
      <c r="F1034" s="8" t="inlineStr">
        <is>
          <t>66403063</t>
        </is>
      </c>
      <c r="G1034" s="8">
        <f>IFERROR(VLOOKUP(A1034,Flete!$A:$E,5,0),"")</f>
        <v/>
      </c>
      <c r="H1034" s="7">
        <f>IFERROR(VLOOKUP(F1034,TRAOPE!$AA:$AB,2,0),"")</f>
        <v/>
      </c>
      <c r="I1034" s="7" t="n">
        <v>10000623</v>
      </c>
      <c r="J1034" s="7">
        <f>IFERROR(VLOOKUP(I1034,Materiales!$A:$H,8,0),"")</f>
        <v/>
      </c>
      <c r="K1034" s="9">
        <f>IFERROR(VLOOKUP(I1034,Materiales!$A:$G,7,0),"")</f>
        <v/>
      </c>
      <c r="L1034" s="8" t="inlineStr">
        <is>
          <t>20190426</t>
        </is>
      </c>
      <c r="M1034" s="8" t="inlineStr">
        <is>
          <t>20250127</t>
        </is>
      </c>
      <c r="N1034" s="10" t="n">
        <v>102.6</v>
      </c>
      <c r="O1034" s="10">
        <f>IFERROR(VLOOKUP(A1034,Flete!$A:$J,10,0),"")</f>
        <v/>
      </c>
      <c r="P1034" s="8" t="inlineStr">
        <is>
          <t>TN</t>
        </is>
      </c>
      <c r="Q1034" s="10">
        <f>IFERROR(IFERROR(VLOOKUP(A1034,TRAOPE!$A:$U,21,0),VLOOKUP(B1034,TRAOPE!$A:$U,21,0)),"")</f>
        <v/>
      </c>
      <c r="R1034" s="8">
        <f>IFERROR(IFERROR(VLOOKUP(A1034,TRAOPE!$A:$W,23,0),VLOOKUP(B1034,TRAOPE!$A:$W,23,0)),"")</f>
        <v/>
      </c>
      <c r="S1034" s="10">
        <f>IF(AND(P1034="TN",R1034="TN"),N1034+N(O1034),IF(G1034&amp;""="1",N(K1034)*N1034,(N1034+N(O1034))*N(K1034)))</f>
        <v/>
      </c>
      <c r="T1034" s="10">
        <f>IF(Q1034="","",Q1034-S1034)</f>
        <v/>
      </c>
    </row>
    <row r="1035">
      <c r="A1035" s="7">
        <f>CONCATENATE(C1035,E1035,F1035,I1035)</f>
        <v/>
      </c>
      <c r="B1035" s="7">
        <f>CONCATENATE(C1035,E1035,I1035)</f>
        <v/>
      </c>
      <c r="C1035" s="8" t="n">
        <v>900003601</v>
      </c>
      <c r="D1035" s="7">
        <f>IFERROR(VLOOKUP(C1035,TRAOPE!$G:$H,2,0),"")</f>
        <v/>
      </c>
      <c r="E1035" s="8" t="inlineStr">
        <is>
          <t>D836</t>
        </is>
      </c>
      <c r="F1035" s="8" t="inlineStr">
        <is>
          <t>66408593</t>
        </is>
      </c>
      <c r="G1035" s="8">
        <f>IFERROR(VLOOKUP(A1035,Flete!$A:$E,5,0),"")</f>
        <v/>
      </c>
      <c r="H1035" s="7">
        <f>IFERROR(VLOOKUP(F1035,TRAOPE!$AA:$AB,2,0),"")</f>
        <v/>
      </c>
      <c r="I1035" s="7" t="n">
        <v>10000623</v>
      </c>
      <c r="J1035" s="7">
        <f>IFERROR(VLOOKUP(I1035,Materiales!$A:$H,8,0),"")</f>
        <v/>
      </c>
      <c r="K1035" s="9">
        <f>IFERROR(VLOOKUP(I1035,Materiales!$A:$G,7,0),"")</f>
        <v/>
      </c>
      <c r="L1035" s="8" t="inlineStr">
        <is>
          <t>20190426</t>
        </is>
      </c>
      <c r="M1035" s="8" t="inlineStr">
        <is>
          <t>20250127</t>
        </is>
      </c>
      <c r="N1035" s="10" t="n">
        <v>95</v>
      </c>
      <c r="O1035" s="10">
        <f>IFERROR(VLOOKUP(A1035,Flete!$A:$J,10,0),"")</f>
        <v/>
      </c>
      <c r="P1035" s="8" t="inlineStr">
        <is>
          <t>TN</t>
        </is>
      </c>
      <c r="Q1035" s="10">
        <f>IFERROR(IFERROR(VLOOKUP(A1035,TRAOPE!$A:$U,21,0),VLOOKUP(B1035,TRAOPE!$A:$U,21,0)),"")</f>
        <v/>
      </c>
      <c r="R1035" s="8">
        <f>IFERROR(IFERROR(VLOOKUP(A1035,TRAOPE!$A:$W,23,0),VLOOKUP(B1035,TRAOPE!$A:$W,23,0)),"")</f>
        <v/>
      </c>
      <c r="S1035" s="10">
        <f>IF(AND(P1035="TN",R1035="TN"),N1035+N(O1035),IF(G1035&amp;""="1",N(K1035)*N1035,(N1035+N(O1035))*N(K1035)))</f>
        <v/>
      </c>
      <c r="T1035" s="10">
        <f>IF(Q1035="","",Q1035-S1035)</f>
        <v/>
      </c>
    </row>
    <row r="1036">
      <c r="A1036" s="7">
        <f>CONCATENATE(C1036,E1036,F1036,I1036)</f>
        <v/>
      </c>
      <c r="B1036" s="7">
        <f>CONCATENATE(C1036,E1036,I1036)</f>
        <v/>
      </c>
      <c r="C1036" s="8" t="n">
        <v>900003601</v>
      </c>
      <c r="D1036" s="7">
        <f>IFERROR(VLOOKUP(C1036,TRAOPE!$G:$H,2,0),"")</f>
        <v/>
      </c>
      <c r="E1036" s="8" t="inlineStr">
        <is>
          <t>D836</t>
        </is>
      </c>
      <c r="F1036" s="8" t="inlineStr">
        <is>
          <t>66414377</t>
        </is>
      </c>
      <c r="G1036" s="8">
        <f>IFERROR(VLOOKUP(A1036,Flete!$A:$E,5,0),"")</f>
        <v/>
      </c>
      <c r="H1036" s="7">
        <f>IFERROR(VLOOKUP(F1036,TRAOPE!$AA:$AB,2,0),"")</f>
        <v/>
      </c>
      <c r="I1036" s="7" t="n">
        <v>10000811</v>
      </c>
      <c r="J1036" s="7">
        <f>IFERROR(VLOOKUP(I1036,Materiales!$A:$H,8,0),"")</f>
        <v/>
      </c>
      <c r="K1036" s="9">
        <f>IFERROR(VLOOKUP(I1036,Materiales!$A:$G,7,0),"")</f>
        <v/>
      </c>
      <c r="L1036" s="8" t="inlineStr">
        <is>
          <t>20190426</t>
        </is>
      </c>
      <c r="M1036" s="8" t="inlineStr">
        <is>
          <t>20250127</t>
        </is>
      </c>
      <c r="N1036" s="10" t="n">
        <v>105</v>
      </c>
      <c r="O1036" s="10">
        <f>IFERROR(VLOOKUP(A1036,Flete!$A:$J,10,0),"")</f>
        <v/>
      </c>
      <c r="P1036" s="8" t="inlineStr">
        <is>
          <t>TN</t>
        </is>
      </c>
      <c r="Q1036" s="10">
        <f>IFERROR(IFERROR(VLOOKUP(A1036,TRAOPE!$A:$U,21,0),VLOOKUP(B1036,TRAOPE!$A:$U,21,0)),"")</f>
        <v/>
      </c>
      <c r="R1036" s="8">
        <f>IFERROR(IFERROR(VLOOKUP(A1036,TRAOPE!$A:$W,23,0),VLOOKUP(B1036,TRAOPE!$A:$W,23,0)),"")</f>
        <v/>
      </c>
      <c r="S1036" s="10">
        <f>IF(AND(P1036="TN",R1036="TN"),N1036+N(O1036),IF(G1036&amp;""="1",N(K1036)*N1036,(N1036+N(O1036))*N(K1036)))</f>
        <v/>
      </c>
      <c r="T1036" s="10">
        <f>IF(Q1036="","",Q1036-S1036)</f>
        <v/>
      </c>
    </row>
    <row r="1037">
      <c r="A1037" s="7">
        <f>CONCATENATE(C1037,E1037,F1037,I1037)</f>
        <v/>
      </c>
      <c r="B1037" s="7">
        <f>CONCATENATE(C1037,E1037,I1037)</f>
        <v/>
      </c>
      <c r="C1037" s="8" t="n">
        <v>900003601</v>
      </c>
      <c r="D1037" s="7">
        <f>IFERROR(VLOOKUP(C1037,TRAOPE!$G:$H,2,0),"")</f>
        <v/>
      </c>
      <c r="E1037" s="8" t="inlineStr">
        <is>
          <t>D836</t>
        </is>
      </c>
      <c r="F1037" s="8" t="inlineStr">
        <is>
          <t>66423916</t>
        </is>
      </c>
      <c r="G1037" s="8">
        <f>IFERROR(VLOOKUP(A1037,Flete!$A:$E,5,0),"")</f>
        <v/>
      </c>
      <c r="H1037" s="7">
        <f>IFERROR(VLOOKUP(F1037,TRAOPE!$AA:$AB,2,0),"")</f>
        <v/>
      </c>
      <c r="I1037" s="7" t="n">
        <v>10000623</v>
      </c>
      <c r="J1037" s="7">
        <f>IFERROR(VLOOKUP(I1037,Materiales!$A:$H,8,0),"")</f>
        <v/>
      </c>
      <c r="K1037" s="9">
        <f>IFERROR(VLOOKUP(I1037,Materiales!$A:$G,7,0),"")</f>
        <v/>
      </c>
      <c r="L1037" s="8" t="inlineStr">
        <is>
          <t>20190426</t>
        </is>
      </c>
      <c r="M1037" s="8" t="inlineStr">
        <is>
          <t>20250127</t>
        </is>
      </c>
      <c r="N1037" s="10" t="n">
        <v>108.18</v>
      </c>
      <c r="O1037" s="10">
        <f>IFERROR(VLOOKUP(A1037,Flete!$A:$J,10,0),"")</f>
        <v/>
      </c>
      <c r="P1037" s="8" t="inlineStr">
        <is>
          <t>TN</t>
        </is>
      </c>
      <c r="Q1037" s="10">
        <f>IFERROR(IFERROR(VLOOKUP(A1037,TRAOPE!$A:$U,21,0),VLOOKUP(B1037,TRAOPE!$A:$U,21,0)),"")</f>
        <v/>
      </c>
      <c r="R1037" s="8">
        <f>IFERROR(IFERROR(VLOOKUP(A1037,TRAOPE!$A:$W,23,0),VLOOKUP(B1037,TRAOPE!$A:$W,23,0)),"")</f>
        <v/>
      </c>
      <c r="S1037" s="10">
        <f>IF(AND(P1037="TN",R1037="TN"),N1037+N(O1037),IF(G1037&amp;""="1",N(K1037)*N1037,(N1037+N(O1037))*N(K1037)))</f>
        <v/>
      </c>
      <c r="T1037" s="10">
        <f>IF(Q1037="","",Q1037-S1037)</f>
        <v/>
      </c>
    </row>
    <row r="1038">
      <c r="A1038" s="7">
        <f>CONCATENATE(C1038,E1038,F1038,I1038)</f>
        <v/>
      </c>
      <c r="B1038" s="7">
        <f>CONCATENATE(C1038,E1038,I1038)</f>
        <v/>
      </c>
      <c r="C1038" s="8" t="n">
        <v>900003601</v>
      </c>
      <c r="D1038" s="7">
        <f>IFERROR(VLOOKUP(C1038,TRAOPE!$G:$H,2,0),"")</f>
        <v/>
      </c>
      <c r="E1038" s="8" t="inlineStr">
        <is>
          <t>D836</t>
        </is>
      </c>
      <c r="F1038" s="8" t="inlineStr">
        <is>
          <t>66423916</t>
        </is>
      </c>
      <c r="G1038" s="8">
        <f>IFERROR(VLOOKUP(A1038,Flete!$A:$E,5,0),"")</f>
        <v/>
      </c>
      <c r="H1038" s="7">
        <f>IFERROR(VLOOKUP(F1038,TRAOPE!$AA:$AB,2,0),"")</f>
        <v/>
      </c>
      <c r="I1038" s="7" t="n">
        <v>10000811</v>
      </c>
      <c r="J1038" s="7">
        <f>IFERROR(VLOOKUP(I1038,Materiales!$A:$H,8,0),"")</f>
        <v/>
      </c>
      <c r="K1038" s="9">
        <f>IFERROR(VLOOKUP(I1038,Materiales!$A:$G,7,0),"")</f>
        <v/>
      </c>
      <c r="L1038" s="8" t="inlineStr">
        <is>
          <t>20190426</t>
        </is>
      </c>
      <c r="M1038" s="8" t="inlineStr">
        <is>
          <t>20250127</t>
        </is>
      </c>
      <c r="N1038" s="10" t="n">
        <v>108.18</v>
      </c>
      <c r="O1038" s="10">
        <f>IFERROR(VLOOKUP(A1038,Flete!$A:$J,10,0),"")</f>
        <v/>
      </c>
      <c r="P1038" s="8" t="inlineStr">
        <is>
          <t>TN</t>
        </is>
      </c>
      <c r="Q1038" s="10">
        <f>IFERROR(IFERROR(VLOOKUP(A1038,TRAOPE!$A:$U,21,0),VLOOKUP(B1038,TRAOPE!$A:$U,21,0)),"")</f>
        <v/>
      </c>
      <c r="R1038" s="8">
        <f>IFERROR(IFERROR(VLOOKUP(A1038,TRAOPE!$A:$W,23,0),VLOOKUP(B1038,TRAOPE!$A:$W,23,0)),"")</f>
        <v/>
      </c>
      <c r="S1038" s="10">
        <f>IF(AND(P1038="TN",R1038="TN"),N1038+N(O1038),IF(G1038&amp;""="1",N(K1038)*N1038,(N1038+N(O1038))*N(K1038)))</f>
        <v/>
      </c>
      <c r="T1038" s="10">
        <f>IF(Q1038="","",Q1038-S1038)</f>
        <v/>
      </c>
    </row>
    <row r="1039">
      <c r="A1039" s="7">
        <f>CONCATENATE(C1039,E1039,F1039,I1039)</f>
        <v/>
      </c>
      <c r="B1039" s="7">
        <f>CONCATENATE(C1039,E1039,I1039)</f>
        <v/>
      </c>
      <c r="C1039" s="8" t="n">
        <v>900003601</v>
      </c>
      <c r="D1039" s="7">
        <f>IFERROR(VLOOKUP(C1039,TRAOPE!$G:$H,2,0),"")</f>
        <v/>
      </c>
      <c r="E1039" s="8" t="inlineStr">
        <is>
          <t>D836</t>
        </is>
      </c>
      <c r="F1039" s="8" t="inlineStr">
        <is>
          <t>66428265</t>
        </is>
      </c>
      <c r="G1039" s="8">
        <f>IFERROR(VLOOKUP(A1039,Flete!$A:$E,5,0),"")</f>
        <v/>
      </c>
      <c r="H1039" s="7">
        <f>IFERROR(VLOOKUP(F1039,TRAOPE!$AA:$AB,2,0),"")</f>
        <v/>
      </c>
      <c r="I1039" s="7" t="n">
        <v>10000624</v>
      </c>
      <c r="J1039" s="7">
        <f>IFERROR(VLOOKUP(I1039,Materiales!$A:$H,8,0),"")</f>
        <v/>
      </c>
      <c r="K1039" s="9">
        <f>IFERROR(VLOOKUP(I1039,Materiales!$A:$G,7,0),"")</f>
        <v/>
      </c>
      <c r="L1039" s="8" t="inlineStr">
        <is>
          <t>20190426</t>
        </is>
      </c>
      <c r="M1039" s="8" t="inlineStr">
        <is>
          <t>20250127</t>
        </is>
      </c>
      <c r="N1039" s="10" t="n">
        <v>96</v>
      </c>
      <c r="O1039" s="10">
        <f>IFERROR(VLOOKUP(A1039,Flete!$A:$J,10,0),"")</f>
        <v/>
      </c>
      <c r="P1039" s="8" t="inlineStr">
        <is>
          <t>TN</t>
        </is>
      </c>
      <c r="Q1039" s="10">
        <f>IFERROR(IFERROR(VLOOKUP(A1039,TRAOPE!$A:$U,21,0),VLOOKUP(B1039,TRAOPE!$A:$U,21,0)),"")</f>
        <v/>
      </c>
      <c r="R1039" s="8">
        <f>IFERROR(IFERROR(VLOOKUP(A1039,TRAOPE!$A:$W,23,0),VLOOKUP(B1039,TRAOPE!$A:$W,23,0)),"")</f>
        <v/>
      </c>
      <c r="S1039" s="10">
        <f>IF(AND(P1039="TN",R1039="TN"),N1039+N(O1039),IF(G1039&amp;""="1",N(K1039)*N1039,(N1039+N(O1039))*N(K1039)))</f>
        <v/>
      </c>
      <c r="T1039" s="10">
        <f>IF(Q1039="","",Q1039-S1039)</f>
        <v/>
      </c>
    </row>
    <row r="1040">
      <c r="A1040" s="7">
        <f>CONCATENATE(C1040,E1040,F1040,I1040)</f>
        <v/>
      </c>
      <c r="B1040" s="7">
        <f>CONCATENATE(C1040,E1040,I1040)</f>
        <v/>
      </c>
      <c r="C1040" s="8" t="n">
        <v>900003601</v>
      </c>
      <c r="D1040" s="7">
        <f>IFERROR(VLOOKUP(C1040,TRAOPE!$G:$H,2,0),"")</f>
        <v/>
      </c>
      <c r="E1040" s="8" t="inlineStr">
        <is>
          <t>D836</t>
        </is>
      </c>
      <c r="F1040" s="8" t="inlineStr">
        <is>
          <t>66428265</t>
        </is>
      </c>
      <c r="G1040" s="8">
        <f>IFERROR(VLOOKUP(A1040,Flete!$A:$E,5,0),"")</f>
        <v/>
      </c>
      <c r="H1040" s="7">
        <f>IFERROR(VLOOKUP(F1040,TRAOPE!$AA:$AB,2,0),"")</f>
        <v/>
      </c>
      <c r="I1040" s="7" t="n">
        <v>10000811</v>
      </c>
      <c r="J1040" s="7">
        <f>IFERROR(VLOOKUP(I1040,Materiales!$A:$H,8,0),"")</f>
        <v/>
      </c>
      <c r="K1040" s="9">
        <f>IFERROR(VLOOKUP(I1040,Materiales!$A:$G,7,0),"")</f>
        <v/>
      </c>
      <c r="L1040" s="8" t="inlineStr">
        <is>
          <t>20190426</t>
        </is>
      </c>
      <c r="M1040" s="8" t="inlineStr">
        <is>
          <t>20250127</t>
        </is>
      </c>
      <c r="N1040" s="10" t="n">
        <v>100</v>
      </c>
      <c r="O1040" s="10">
        <f>IFERROR(VLOOKUP(A1040,Flete!$A:$J,10,0),"")</f>
        <v/>
      </c>
      <c r="P1040" s="8" t="inlineStr">
        <is>
          <t>TN</t>
        </is>
      </c>
      <c r="Q1040" s="10">
        <f>IFERROR(IFERROR(VLOOKUP(A1040,TRAOPE!$A:$U,21,0),VLOOKUP(B1040,TRAOPE!$A:$U,21,0)),"")</f>
        <v/>
      </c>
      <c r="R1040" s="8">
        <f>IFERROR(IFERROR(VLOOKUP(A1040,TRAOPE!$A:$W,23,0),VLOOKUP(B1040,TRAOPE!$A:$W,23,0)),"")</f>
        <v/>
      </c>
      <c r="S1040" s="10">
        <f>IF(AND(P1040="TN",R1040="TN"),N1040+N(O1040),IF(G1040&amp;""="1",N(K1040)*N1040,(N1040+N(O1040))*N(K1040)))</f>
        <v/>
      </c>
      <c r="T1040" s="10">
        <f>IF(Q1040="","",Q1040-S1040)</f>
        <v/>
      </c>
    </row>
    <row r="1041">
      <c r="A1041" s="7">
        <f>CONCATENATE(C1041,E1041,F1041,I1041)</f>
        <v/>
      </c>
      <c r="B1041" s="7">
        <f>CONCATENATE(C1041,E1041,I1041)</f>
        <v/>
      </c>
      <c r="C1041" s="8" t="n">
        <v>900003601</v>
      </c>
      <c r="D1041" s="7">
        <f>IFERROR(VLOOKUP(C1041,TRAOPE!$G:$H,2,0),"")</f>
        <v/>
      </c>
      <c r="E1041" s="8" t="inlineStr">
        <is>
          <t>D836</t>
        </is>
      </c>
      <c r="F1041" s="8" t="inlineStr">
        <is>
          <t>66428265</t>
        </is>
      </c>
      <c r="G1041" s="8">
        <f>IFERROR(VLOOKUP(A1041,Flete!$A:$E,5,0),"")</f>
        <v/>
      </c>
      <c r="H1041" s="7">
        <f>IFERROR(VLOOKUP(F1041,TRAOPE!$AA:$AB,2,0),"")</f>
        <v/>
      </c>
      <c r="I1041" s="7" t="n">
        <v>10159432</v>
      </c>
      <c r="J1041" s="7">
        <f>IFERROR(VLOOKUP(I1041,Materiales!$A:$H,8,0),"")</f>
        <v/>
      </c>
      <c r="K1041" s="9">
        <f>IFERROR(VLOOKUP(I1041,Materiales!$A:$G,7,0),"")</f>
        <v/>
      </c>
      <c r="L1041" s="8" t="inlineStr">
        <is>
          <t>20190426</t>
        </is>
      </c>
      <c r="M1041" s="8" t="inlineStr">
        <is>
          <t>20250127</t>
        </is>
      </c>
      <c r="N1041" s="10" t="n">
        <v>90</v>
      </c>
      <c r="O1041" s="10">
        <f>IFERROR(VLOOKUP(A1041,Flete!$A:$J,10,0),"")</f>
        <v/>
      </c>
      <c r="P1041" s="8" t="inlineStr">
        <is>
          <t>TN</t>
        </is>
      </c>
      <c r="Q1041" s="10">
        <f>IFERROR(IFERROR(VLOOKUP(A1041,TRAOPE!$A:$U,21,0),VLOOKUP(B1041,TRAOPE!$A:$U,21,0)),"")</f>
        <v/>
      </c>
      <c r="R1041" s="8">
        <f>IFERROR(IFERROR(VLOOKUP(A1041,TRAOPE!$A:$W,23,0),VLOOKUP(B1041,TRAOPE!$A:$W,23,0)),"")</f>
        <v/>
      </c>
      <c r="S1041" s="10">
        <f>IF(AND(P1041="TN",R1041="TN"),N1041+N(O1041),IF(G1041&amp;""="1",N(K1041)*N1041,(N1041+N(O1041))*N(K1041)))</f>
        <v/>
      </c>
      <c r="T1041" s="10">
        <f>IF(Q1041="","",Q1041-S1041)</f>
        <v/>
      </c>
    </row>
    <row r="1042">
      <c r="A1042" s="7">
        <f>CONCATENATE(C1042,E1042,F1042,I1042)</f>
        <v/>
      </c>
      <c r="B1042" s="7">
        <f>CONCATENATE(C1042,E1042,I1042)</f>
        <v/>
      </c>
      <c r="C1042" s="8" t="n">
        <v>900003601</v>
      </c>
      <c r="D1042" s="7">
        <f>IFERROR(VLOOKUP(C1042,TRAOPE!$G:$H,2,0),"")</f>
        <v/>
      </c>
      <c r="E1042" s="8" t="inlineStr">
        <is>
          <t>D836</t>
        </is>
      </c>
      <c r="F1042" s="8" t="inlineStr">
        <is>
          <t>66433511</t>
        </is>
      </c>
      <c r="G1042" s="8">
        <f>IFERROR(VLOOKUP(A1042,Flete!$A:$E,5,0),"")</f>
        <v/>
      </c>
      <c r="H1042" s="7">
        <f>IFERROR(VLOOKUP(F1042,TRAOPE!$AA:$AB,2,0),"")</f>
        <v/>
      </c>
      <c r="I1042" s="7" t="n">
        <v>10000623</v>
      </c>
      <c r="J1042" s="7">
        <f>IFERROR(VLOOKUP(I1042,Materiales!$A:$H,8,0),"")</f>
        <v/>
      </c>
      <c r="K1042" s="9">
        <f>IFERROR(VLOOKUP(I1042,Materiales!$A:$G,7,0),"")</f>
        <v/>
      </c>
      <c r="L1042" s="8" t="inlineStr">
        <is>
          <t>20190426</t>
        </is>
      </c>
      <c r="M1042" s="8" t="inlineStr">
        <is>
          <t>20250127</t>
        </is>
      </c>
      <c r="N1042" s="10" t="n">
        <v>108</v>
      </c>
      <c r="O1042" s="10">
        <f>IFERROR(VLOOKUP(A1042,Flete!$A:$J,10,0),"")</f>
        <v/>
      </c>
      <c r="P1042" s="8" t="inlineStr">
        <is>
          <t>TN</t>
        </is>
      </c>
      <c r="Q1042" s="10">
        <f>IFERROR(IFERROR(VLOOKUP(A1042,TRAOPE!$A:$U,21,0),VLOOKUP(B1042,TRAOPE!$A:$U,21,0)),"")</f>
        <v/>
      </c>
      <c r="R1042" s="8">
        <f>IFERROR(IFERROR(VLOOKUP(A1042,TRAOPE!$A:$W,23,0),VLOOKUP(B1042,TRAOPE!$A:$W,23,0)),"")</f>
        <v/>
      </c>
      <c r="S1042" s="10">
        <f>IF(AND(P1042="TN",R1042="TN"),N1042+N(O1042),IF(G1042&amp;""="1",N(K1042)*N1042,(N1042+N(O1042))*N(K1042)))</f>
        <v/>
      </c>
      <c r="T1042" s="10">
        <f>IF(Q1042="","",Q1042-S1042)</f>
        <v/>
      </c>
    </row>
    <row r="1043">
      <c r="A1043" s="7">
        <f>CONCATENATE(C1043,E1043,F1043,I1043)</f>
        <v/>
      </c>
      <c r="B1043" s="7">
        <f>CONCATENATE(C1043,E1043,I1043)</f>
        <v/>
      </c>
      <c r="C1043" s="8" t="n">
        <v>900003601</v>
      </c>
      <c r="D1043" s="7">
        <f>IFERROR(VLOOKUP(C1043,TRAOPE!$G:$H,2,0),"")</f>
        <v/>
      </c>
      <c r="E1043" s="8" t="inlineStr">
        <is>
          <t>D836</t>
        </is>
      </c>
      <c r="F1043" s="8" t="inlineStr">
        <is>
          <t>66465268</t>
        </is>
      </c>
      <c r="G1043" s="8">
        <f>IFERROR(VLOOKUP(A1043,Flete!$A:$E,5,0),"")</f>
        <v/>
      </c>
      <c r="H1043" s="7">
        <f>IFERROR(VLOOKUP(F1043,TRAOPE!$AA:$AB,2,0),"")</f>
        <v/>
      </c>
      <c r="I1043" s="7" t="n">
        <v>10000811</v>
      </c>
      <c r="J1043" s="7">
        <f>IFERROR(VLOOKUP(I1043,Materiales!$A:$H,8,0),"")</f>
        <v/>
      </c>
      <c r="K1043" s="9">
        <f>IFERROR(VLOOKUP(I1043,Materiales!$A:$G,7,0),"")</f>
        <v/>
      </c>
      <c r="L1043" s="8" t="inlineStr">
        <is>
          <t>20190426</t>
        </is>
      </c>
      <c r="M1043" s="8" t="inlineStr">
        <is>
          <t>20250127</t>
        </is>
      </c>
      <c r="N1043" s="10" t="n">
        <v>104.76</v>
      </c>
      <c r="O1043" s="10">
        <f>IFERROR(VLOOKUP(A1043,Flete!$A:$J,10,0),"")</f>
        <v/>
      </c>
      <c r="P1043" s="8" t="inlineStr">
        <is>
          <t>TN</t>
        </is>
      </c>
      <c r="Q1043" s="10">
        <f>IFERROR(IFERROR(VLOOKUP(A1043,TRAOPE!$A:$U,21,0),VLOOKUP(B1043,TRAOPE!$A:$U,21,0)),"")</f>
        <v/>
      </c>
      <c r="R1043" s="8">
        <f>IFERROR(IFERROR(VLOOKUP(A1043,TRAOPE!$A:$W,23,0),VLOOKUP(B1043,TRAOPE!$A:$W,23,0)),"")</f>
        <v/>
      </c>
      <c r="S1043" s="10">
        <f>IF(AND(P1043="TN",R1043="TN"),N1043+N(O1043),IF(G1043&amp;""="1",N(K1043)*N1043,(N1043+N(O1043))*N(K1043)))</f>
        <v/>
      </c>
      <c r="T1043" s="10">
        <f>IF(Q1043="","",Q1043-S1043)</f>
        <v/>
      </c>
    </row>
    <row r="1044">
      <c r="A1044" s="7">
        <f>CONCATENATE(C1044,E1044,F1044,I1044)</f>
        <v/>
      </c>
      <c r="B1044" s="7">
        <f>CONCATENATE(C1044,E1044,I1044)</f>
        <v/>
      </c>
      <c r="C1044" s="8" t="n">
        <v>900003601</v>
      </c>
      <c r="D1044" s="7">
        <f>IFERROR(VLOOKUP(C1044,TRAOPE!$G:$H,2,0),"")</f>
        <v/>
      </c>
      <c r="E1044" s="8" t="inlineStr">
        <is>
          <t>D836</t>
        </is>
      </c>
      <c r="F1044" s="8" t="inlineStr">
        <is>
          <t>66475158</t>
        </is>
      </c>
      <c r="G1044" s="8">
        <f>IFERROR(VLOOKUP(A1044,Flete!$A:$E,5,0),"")</f>
        <v/>
      </c>
      <c r="H1044" s="7">
        <f>IFERROR(VLOOKUP(F1044,TRAOPE!$AA:$AB,2,0),"")</f>
        <v/>
      </c>
      <c r="I1044" s="7" t="n">
        <v>10000623</v>
      </c>
      <c r="J1044" s="7">
        <f>IFERROR(VLOOKUP(I1044,Materiales!$A:$H,8,0),"")</f>
        <v/>
      </c>
      <c r="K1044" s="9">
        <f>IFERROR(VLOOKUP(I1044,Materiales!$A:$G,7,0),"")</f>
        <v/>
      </c>
      <c r="L1044" s="8" t="inlineStr">
        <is>
          <t>20190426</t>
        </is>
      </c>
      <c r="M1044" s="8" t="inlineStr">
        <is>
          <t>20250127</t>
        </is>
      </c>
      <c r="N1044" s="10" t="n">
        <v>102.6</v>
      </c>
      <c r="O1044" s="10">
        <f>IFERROR(VLOOKUP(A1044,Flete!$A:$J,10,0),"")</f>
        <v/>
      </c>
      <c r="P1044" s="8" t="inlineStr">
        <is>
          <t>TN</t>
        </is>
      </c>
      <c r="Q1044" s="10">
        <f>IFERROR(IFERROR(VLOOKUP(A1044,TRAOPE!$A:$U,21,0),VLOOKUP(B1044,TRAOPE!$A:$U,21,0)),"")</f>
        <v/>
      </c>
      <c r="R1044" s="8">
        <f>IFERROR(IFERROR(VLOOKUP(A1044,TRAOPE!$A:$W,23,0),VLOOKUP(B1044,TRAOPE!$A:$W,23,0)),"")</f>
        <v/>
      </c>
      <c r="S1044" s="10">
        <f>IF(AND(P1044="TN",R1044="TN"),N1044+N(O1044),IF(G1044&amp;""="1",N(K1044)*N1044,(N1044+N(O1044))*N(K1044)))</f>
        <v/>
      </c>
      <c r="T1044" s="10">
        <f>IF(Q1044="","",Q1044-S1044)</f>
        <v/>
      </c>
    </row>
    <row r="1045">
      <c r="A1045" s="7">
        <f>CONCATENATE(C1045,E1045,F1045,I1045)</f>
        <v/>
      </c>
      <c r="B1045" s="7">
        <f>CONCATENATE(C1045,E1045,I1045)</f>
        <v/>
      </c>
      <c r="C1045" s="8" t="n">
        <v>900003601</v>
      </c>
      <c r="D1045" s="7">
        <f>IFERROR(VLOOKUP(C1045,TRAOPE!$G:$H,2,0),"")</f>
        <v/>
      </c>
      <c r="E1045" s="8" t="inlineStr">
        <is>
          <t>D836</t>
        </is>
      </c>
      <c r="F1045" s="8" t="inlineStr">
        <is>
          <t>66482104</t>
        </is>
      </c>
      <c r="G1045" s="8">
        <f>IFERROR(VLOOKUP(A1045,Flete!$A:$E,5,0),"")</f>
        <v/>
      </c>
      <c r="H1045" s="7">
        <f>IFERROR(VLOOKUP(F1045,TRAOPE!$AA:$AB,2,0),"")</f>
        <v/>
      </c>
      <c r="I1045" s="7" t="n">
        <v>10000623</v>
      </c>
      <c r="J1045" s="7">
        <f>IFERROR(VLOOKUP(I1045,Materiales!$A:$H,8,0),"")</f>
        <v/>
      </c>
      <c r="K1045" s="9">
        <f>IFERROR(VLOOKUP(I1045,Materiales!$A:$G,7,0),"")</f>
        <v/>
      </c>
      <c r="L1045" s="8" t="inlineStr">
        <is>
          <t>20190426</t>
        </is>
      </c>
      <c r="M1045" s="8" t="inlineStr">
        <is>
          <t>20250127</t>
        </is>
      </c>
      <c r="N1045" s="10" t="n">
        <v>102.6</v>
      </c>
      <c r="O1045" s="10">
        <f>IFERROR(VLOOKUP(A1045,Flete!$A:$J,10,0),"")</f>
        <v/>
      </c>
      <c r="P1045" s="8" t="inlineStr">
        <is>
          <t>TN</t>
        </is>
      </c>
      <c r="Q1045" s="10">
        <f>IFERROR(IFERROR(VLOOKUP(A1045,TRAOPE!$A:$U,21,0),VLOOKUP(B1045,TRAOPE!$A:$U,21,0)),"")</f>
        <v/>
      </c>
      <c r="R1045" s="8">
        <f>IFERROR(IFERROR(VLOOKUP(A1045,TRAOPE!$A:$W,23,0),VLOOKUP(B1045,TRAOPE!$A:$W,23,0)),"")</f>
        <v/>
      </c>
      <c r="S1045" s="10">
        <f>IF(AND(P1045="TN",R1045="TN"),N1045+N(O1045),IF(G1045&amp;""="1",N(K1045)*N1045,(N1045+N(O1045))*N(K1045)))</f>
        <v/>
      </c>
      <c r="T1045" s="10">
        <f>IF(Q1045="","",Q1045-S1045)</f>
        <v/>
      </c>
    </row>
    <row r="1046">
      <c r="A1046" s="7">
        <f>CONCATENATE(C1046,E1046,F1046,I1046)</f>
        <v/>
      </c>
      <c r="B1046" s="7">
        <f>CONCATENATE(C1046,E1046,I1046)</f>
        <v/>
      </c>
      <c r="C1046" s="8" t="n">
        <v>900003601</v>
      </c>
      <c r="D1046" s="7">
        <f>IFERROR(VLOOKUP(C1046,TRAOPE!$G:$H,2,0),"")</f>
        <v/>
      </c>
      <c r="E1046" s="8" t="inlineStr">
        <is>
          <t>D836</t>
        </is>
      </c>
      <c r="F1046" s="8" t="inlineStr">
        <is>
          <t>66482288</t>
        </is>
      </c>
      <c r="G1046" s="8">
        <f>IFERROR(VLOOKUP(A1046,Flete!$A:$E,5,0),"")</f>
        <v/>
      </c>
      <c r="H1046" s="7">
        <f>IFERROR(VLOOKUP(F1046,TRAOPE!$AA:$AB,2,0),"")</f>
        <v/>
      </c>
      <c r="I1046" s="7" t="n">
        <v>10000623</v>
      </c>
      <c r="J1046" s="7">
        <f>IFERROR(VLOOKUP(I1046,Materiales!$A:$H,8,0),"")</f>
        <v/>
      </c>
      <c r="K1046" s="9">
        <f>IFERROR(VLOOKUP(I1046,Materiales!$A:$G,7,0),"")</f>
        <v/>
      </c>
      <c r="L1046" s="8" t="inlineStr">
        <is>
          <t>20190426</t>
        </is>
      </c>
      <c r="M1046" s="8" t="inlineStr">
        <is>
          <t>20250127</t>
        </is>
      </c>
      <c r="N1046" s="10" t="n">
        <v>102.6</v>
      </c>
      <c r="O1046" s="10">
        <f>IFERROR(VLOOKUP(A1046,Flete!$A:$J,10,0),"")</f>
        <v/>
      </c>
      <c r="P1046" s="8" t="inlineStr">
        <is>
          <t>TN</t>
        </is>
      </c>
      <c r="Q1046" s="10">
        <f>IFERROR(IFERROR(VLOOKUP(A1046,TRAOPE!$A:$U,21,0),VLOOKUP(B1046,TRAOPE!$A:$U,21,0)),"")</f>
        <v/>
      </c>
      <c r="R1046" s="8">
        <f>IFERROR(IFERROR(VLOOKUP(A1046,TRAOPE!$A:$W,23,0),VLOOKUP(B1046,TRAOPE!$A:$W,23,0)),"")</f>
        <v/>
      </c>
      <c r="S1046" s="10">
        <f>IF(AND(P1046="TN",R1046="TN"),N1046+N(O1046),IF(G1046&amp;""="1",N(K1046)*N1046,(N1046+N(O1046))*N(K1046)))</f>
        <v/>
      </c>
      <c r="T1046" s="10">
        <f>IF(Q1046="","",Q1046-S1046)</f>
        <v/>
      </c>
    </row>
    <row r="1047">
      <c r="A1047" s="7">
        <f>CONCATENATE(C1047,E1047,F1047,I1047)</f>
        <v/>
      </c>
      <c r="B1047" s="7">
        <f>CONCATENATE(C1047,E1047,I1047)</f>
        <v/>
      </c>
      <c r="C1047" s="8" t="n">
        <v>900003601</v>
      </c>
      <c r="D1047" s="7">
        <f>IFERROR(VLOOKUP(C1047,TRAOPE!$G:$H,2,0),"")</f>
        <v/>
      </c>
      <c r="E1047" s="8" t="inlineStr">
        <is>
          <t>D836</t>
        </is>
      </c>
      <c r="F1047" s="8" t="inlineStr">
        <is>
          <t>66482289</t>
        </is>
      </c>
      <c r="G1047" s="8">
        <f>IFERROR(VLOOKUP(A1047,Flete!$A:$E,5,0),"")</f>
        <v/>
      </c>
      <c r="H1047" s="7">
        <f>IFERROR(VLOOKUP(F1047,TRAOPE!$AA:$AB,2,0),"")</f>
        <v/>
      </c>
      <c r="I1047" s="7" t="n">
        <v>10000623</v>
      </c>
      <c r="J1047" s="7">
        <f>IFERROR(VLOOKUP(I1047,Materiales!$A:$H,8,0),"")</f>
        <v/>
      </c>
      <c r="K1047" s="9">
        <f>IFERROR(VLOOKUP(I1047,Materiales!$A:$G,7,0),"")</f>
        <v/>
      </c>
      <c r="L1047" s="8" t="inlineStr">
        <is>
          <t>20190426</t>
        </is>
      </c>
      <c r="M1047" s="8" t="inlineStr">
        <is>
          <t>20250127</t>
        </is>
      </c>
      <c r="N1047" s="10" t="n">
        <v>102.6</v>
      </c>
      <c r="O1047" s="10">
        <f>IFERROR(VLOOKUP(A1047,Flete!$A:$J,10,0),"")</f>
        <v/>
      </c>
      <c r="P1047" s="8" t="inlineStr">
        <is>
          <t>TN</t>
        </is>
      </c>
      <c r="Q1047" s="10">
        <f>IFERROR(IFERROR(VLOOKUP(A1047,TRAOPE!$A:$U,21,0),VLOOKUP(B1047,TRAOPE!$A:$U,21,0)),"")</f>
        <v/>
      </c>
      <c r="R1047" s="8">
        <f>IFERROR(IFERROR(VLOOKUP(A1047,TRAOPE!$A:$W,23,0),VLOOKUP(B1047,TRAOPE!$A:$W,23,0)),"")</f>
        <v/>
      </c>
      <c r="S1047" s="10">
        <f>IF(AND(P1047="TN",R1047="TN"),N1047+N(O1047),IF(G1047&amp;""="1",N(K1047)*N1047,(N1047+N(O1047))*N(K1047)))</f>
        <v/>
      </c>
      <c r="T1047" s="10">
        <f>IF(Q1047="","",Q1047-S1047)</f>
        <v/>
      </c>
    </row>
    <row r="1048">
      <c r="A1048" s="7">
        <f>CONCATENATE(C1048,E1048,F1048,I1048)</f>
        <v/>
      </c>
      <c r="B1048" s="7">
        <f>CONCATENATE(C1048,E1048,I1048)</f>
        <v/>
      </c>
      <c r="C1048" s="8" t="n">
        <v>900003601</v>
      </c>
      <c r="D1048" s="7">
        <f>IFERROR(VLOOKUP(C1048,TRAOPE!$G:$H,2,0),"")</f>
        <v/>
      </c>
      <c r="E1048" s="8" t="inlineStr">
        <is>
          <t>D836</t>
        </is>
      </c>
      <c r="F1048" s="8" t="inlineStr">
        <is>
          <t>66519073</t>
        </is>
      </c>
      <c r="G1048" s="8">
        <f>IFERROR(VLOOKUP(A1048,Flete!$A:$E,5,0),"")</f>
        <v/>
      </c>
      <c r="H1048" s="7">
        <f>IFERROR(VLOOKUP(F1048,TRAOPE!$AA:$AB,2,0),"")</f>
        <v/>
      </c>
      <c r="I1048" s="7" t="n">
        <v>10000623</v>
      </c>
      <c r="J1048" s="7">
        <f>IFERROR(VLOOKUP(I1048,Materiales!$A:$H,8,0),"")</f>
        <v/>
      </c>
      <c r="K1048" s="9">
        <f>IFERROR(VLOOKUP(I1048,Materiales!$A:$G,7,0),"")</f>
        <v/>
      </c>
      <c r="L1048" s="8" t="inlineStr">
        <is>
          <t>20190426</t>
        </is>
      </c>
      <c r="M1048" s="8" t="inlineStr">
        <is>
          <t>20250127</t>
        </is>
      </c>
      <c r="N1048" s="10" t="n">
        <v>102.6</v>
      </c>
      <c r="O1048" s="10">
        <f>IFERROR(VLOOKUP(A1048,Flete!$A:$J,10,0),"")</f>
        <v/>
      </c>
      <c r="P1048" s="8" t="inlineStr">
        <is>
          <t>TN</t>
        </is>
      </c>
      <c r="Q1048" s="10">
        <f>IFERROR(IFERROR(VLOOKUP(A1048,TRAOPE!$A:$U,21,0),VLOOKUP(B1048,TRAOPE!$A:$U,21,0)),"")</f>
        <v/>
      </c>
      <c r="R1048" s="8">
        <f>IFERROR(IFERROR(VLOOKUP(A1048,TRAOPE!$A:$W,23,0),VLOOKUP(B1048,TRAOPE!$A:$W,23,0)),"")</f>
        <v/>
      </c>
      <c r="S1048" s="10">
        <f>IF(AND(P1048="TN",R1048="TN"),N1048+N(O1048),IF(G1048&amp;""="1",N(K1048)*N1048,(N1048+N(O1048))*N(K1048)))</f>
        <v/>
      </c>
      <c r="T1048" s="10">
        <f>IF(Q1048="","",Q1048-S1048)</f>
        <v/>
      </c>
    </row>
    <row r="1049">
      <c r="A1049" s="7">
        <f>CONCATENATE(C1049,E1049,F1049,I1049)</f>
        <v/>
      </c>
      <c r="B1049" s="7">
        <f>CONCATENATE(C1049,E1049,I1049)</f>
        <v/>
      </c>
      <c r="C1049" s="8" t="n">
        <v>900003601</v>
      </c>
      <c r="D1049" s="7">
        <f>IFERROR(VLOOKUP(C1049,TRAOPE!$G:$H,2,0),"")</f>
        <v/>
      </c>
      <c r="E1049" s="8" t="inlineStr">
        <is>
          <t>D836</t>
        </is>
      </c>
      <c r="F1049" s="8" t="inlineStr">
        <is>
          <t>66532867</t>
        </is>
      </c>
      <c r="G1049" s="8">
        <f>IFERROR(VLOOKUP(A1049,Flete!$A:$E,5,0),"")</f>
        <v/>
      </c>
      <c r="H1049" s="7">
        <f>IFERROR(VLOOKUP(F1049,TRAOPE!$AA:$AB,2,0),"")</f>
        <v/>
      </c>
      <c r="I1049" s="7" t="n">
        <v>10000623</v>
      </c>
      <c r="J1049" s="7">
        <f>IFERROR(VLOOKUP(I1049,Materiales!$A:$H,8,0),"")</f>
        <v/>
      </c>
      <c r="K1049" s="9">
        <f>IFERROR(VLOOKUP(I1049,Materiales!$A:$G,7,0),"")</f>
        <v/>
      </c>
      <c r="L1049" s="8" t="inlineStr">
        <is>
          <t>20190426</t>
        </is>
      </c>
      <c r="M1049" s="8" t="inlineStr">
        <is>
          <t>20250127</t>
        </is>
      </c>
      <c r="N1049" s="10" t="n">
        <v>102.6</v>
      </c>
      <c r="O1049" s="10">
        <f>IFERROR(VLOOKUP(A1049,Flete!$A:$J,10,0),"")</f>
        <v/>
      </c>
      <c r="P1049" s="8" t="inlineStr">
        <is>
          <t>TN</t>
        </is>
      </c>
      <c r="Q1049" s="10">
        <f>IFERROR(IFERROR(VLOOKUP(A1049,TRAOPE!$A:$U,21,0),VLOOKUP(B1049,TRAOPE!$A:$U,21,0)),"")</f>
        <v/>
      </c>
      <c r="R1049" s="8">
        <f>IFERROR(IFERROR(VLOOKUP(A1049,TRAOPE!$A:$W,23,0),VLOOKUP(B1049,TRAOPE!$A:$W,23,0)),"")</f>
        <v/>
      </c>
      <c r="S1049" s="10">
        <f>IF(AND(P1049="TN",R1049="TN"),N1049+N(O1049),IF(G1049&amp;""="1",N(K1049)*N1049,(N1049+N(O1049))*N(K1049)))</f>
        <v/>
      </c>
      <c r="T1049" s="10">
        <f>IF(Q1049="","",Q1049-S1049)</f>
        <v/>
      </c>
    </row>
    <row r="1050">
      <c r="A1050" s="7">
        <f>CONCATENATE(C1050,E1050,F1050,I1050)</f>
        <v/>
      </c>
      <c r="B1050" s="7">
        <f>CONCATENATE(C1050,E1050,I1050)</f>
        <v/>
      </c>
      <c r="C1050" s="8" t="n">
        <v>900003601</v>
      </c>
      <c r="D1050" s="7">
        <f>IFERROR(VLOOKUP(C1050,TRAOPE!$G:$H,2,0),"")</f>
        <v/>
      </c>
      <c r="E1050" s="8" t="inlineStr">
        <is>
          <t>D836</t>
        </is>
      </c>
      <c r="F1050" s="8" t="inlineStr">
        <is>
          <t>66568155</t>
        </is>
      </c>
      <c r="G1050" s="8">
        <f>IFERROR(VLOOKUP(A1050,Flete!$A:$E,5,0),"")</f>
        <v/>
      </c>
      <c r="H1050" s="7">
        <f>IFERROR(VLOOKUP(F1050,TRAOPE!$AA:$AB,2,0),"")</f>
        <v/>
      </c>
      <c r="I1050" s="7" t="n">
        <v>10000811</v>
      </c>
      <c r="J1050" s="7">
        <f>IFERROR(VLOOKUP(I1050,Materiales!$A:$H,8,0),"")</f>
        <v/>
      </c>
      <c r="K1050" s="9">
        <f>IFERROR(VLOOKUP(I1050,Materiales!$A:$G,7,0),"")</f>
        <v/>
      </c>
      <c r="L1050" s="8" t="inlineStr">
        <is>
          <t>20190426</t>
        </is>
      </c>
      <c r="M1050" s="8" t="inlineStr">
        <is>
          <t>20250127</t>
        </is>
      </c>
      <c r="N1050" s="10" t="n">
        <v>103.68</v>
      </c>
      <c r="O1050" s="10">
        <f>IFERROR(VLOOKUP(A1050,Flete!$A:$J,10,0),"")</f>
        <v/>
      </c>
      <c r="P1050" s="8" t="inlineStr">
        <is>
          <t>TN</t>
        </is>
      </c>
      <c r="Q1050" s="10">
        <f>IFERROR(IFERROR(VLOOKUP(A1050,TRAOPE!$A:$U,21,0),VLOOKUP(B1050,TRAOPE!$A:$U,21,0)),"")</f>
        <v/>
      </c>
      <c r="R1050" s="8">
        <f>IFERROR(IFERROR(VLOOKUP(A1050,TRAOPE!$A:$W,23,0),VLOOKUP(B1050,TRAOPE!$A:$W,23,0)),"")</f>
        <v/>
      </c>
      <c r="S1050" s="10">
        <f>IF(AND(P1050="TN",R1050="TN"),N1050+N(O1050),IF(G1050&amp;""="1",N(K1050)*N1050,(N1050+N(O1050))*N(K1050)))</f>
        <v/>
      </c>
      <c r="T1050" s="10">
        <f>IF(Q1050="","",Q1050-S1050)</f>
        <v/>
      </c>
    </row>
    <row r="1051">
      <c r="A1051" s="7">
        <f>CONCATENATE(C1051,E1051,F1051,I1051)</f>
        <v/>
      </c>
      <c r="B1051" s="7">
        <f>CONCATENATE(C1051,E1051,I1051)</f>
        <v/>
      </c>
      <c r="C1051" s="8" t="n">
        <v>900003601</v>
      </c>
      <c r="D1051" s="7">
        <f>IFERROR(VLOOKUP(C1051,TRAOPE!$G:$H,2,0),"")</f>
        <v/>
      </c>
      <c r="E1051" s="8" t="inlineStr">
        <is>
          <t>D836</t>
        </is>
      </c>
      <c r="F1051" s="8" t="inlineStr">
        <is>
          <t>66574596</t>
        </is>
      </c>
      <c r="G1051" s="8">
        <f>IFERROR(VLOOKUP(A1051,Flete!$A:$E,5,0),"")</f>
        <v/>
      </c>
      <c r="H1051" s="7">
        <f>IFERROR(VLOOKUP(F1051,TRAOPE!$AA:$AB,2,0),"")</f>
        <v/>
      </c>
      <c r="I1051" s="7" t="n">
        <v>10000623</v>
      </c>
      <c r="J1051" s="7">
        <f>IFERROR(VLOOKUP(I1051,Materiales!$A:$H,8,0),"")</f>
        <v/>
      </c>
      <c r="K1051" s="9">
        <f>IFERROR(VLOOKUP(I1051,Materiales!$A:$G,7,0),"")</f>
        <v/>
      </c>
      <c r="L1051" s="8" t="inlineStr">
        <is>
          <t>20190426</t>
        </is>
      </c>
      <c r="M1051" s="8" t="inlineStr">
        <is>
          <t>20250127</t>
        </is>
      </c>
      <c r="N1051" s="10" t="n">
        <v>102.6</v>
      </c>
      <c r="O1051" s="10">
        <f>IFERROR(VLOOKUP(A1051,Flete!$A:$J,10,0),"")</f>
        <v/>
      </c>
      <c r="P1051" s="8" t="inlineStr">
        <is>
          <t>TN</t>
        </is>
      </c>
      <c r="Q1051" s="10">
        <f>IFERROR(IFERROR(VLOOKUP(A1051,TRAOPE!$A:$U,21,0),VLOOKUP(B1051,TRAOPE!$A:$U,21,0)),"")</f>
        <v/>
      </c>
      <c r="R1051" s="8">
        <f>IFERROR(IFERROR(VLOOKUP(A1051,TRAOPE!$A:$W,23,0),VLOOKUP(B1051,TRAOPE!$A:$W,23,0)),"")</f>
        <v/>
      </c>
      <c r="S1051" s="10">
        <f>IF(AND(P1051="TN",R1051="TN"),N1051+N(O1051),IF(G1051&amp;""="1",N(K1051)*N1051,(N1051+N(O1051))*N(K1051)))</f>
        <v/>
      </c>
      <c r="T1051" s="10">
        <f>IF(Q1051="","",Q1051-S1051)</f>
        <v/>
      </c>
    </row>
    <row r="1052">
      <c r="A1052" s="7">
        <f>CONCATENATE(C1052,E1052,F1052,I1052)</f>
        <v/>
      </c>
      <c r="B1052" s="7">
        <f>CONCATENATE(C1052,E1052,I1052)</f>
        <v/>
      </c>
      <c r="C1052" s="8" t="n">
        <v>900003601</v>
      </c>
      <c r="D1052" s="7">
        <f>IFERROR(VLOOKUP(C1052,TRAOPE!$G:$H,2,0),"")</f>
        <v/>
      </c>
      <c r="E1052" s="8" t="inlineStr">
        <is>
          <t>D836</t>
        </is>
      </c>
      <c r="F1052" s="8" t="inlineStr">
        <is>
          <t>66580730</t>
        </is>
      </c>
      <c r="G1052" s="8">
        <f>IFERROR(VLOOKUP(A1052,Flete!$A:$E,5,0),"")</f>
        <v/>
      </c>
      <c r="H1052" s="7">
        <f>IFERROR(VLOOKUP(F1052,TRAOPE!$AA:$AB,2,0),"")</f>
        <v/>
      </c>
      <c r="I1052" s="7" t="n">
        <v>10000623</v>
      </c>
      <c r="J1052" s="7">
        <f>IFERROR(VLOOKUP(I1052,Materiales!$A:$H,8,0),"")</f>
        <v/>
      </c>
      <c r="K1052" s="9">
        <f>IFERROR(VLOOKUP(I1052,Materiales!$A:$G,7,0),"")</f>
        <v/>
      </c>
      <c r="L1052" s="8" t="inlineStr">
        <is>
          <t>20190426</t>
        </is>
      </c>
      <c r="M1052" s="8" t="inlineStr">
        <is>
          <t>20250127</t>
        </is>
      </c>
      <c r="N1052" s="10" t="n">
        <v>155.1</v>
      </c>
      <c r="O1052" s="10">
        <f>IFERROR(VLOOKUP(A1052,Flete!$A:$J,10,0),"")</f>
        <v/>
      </c>
      <c r="P1052" s="8" t="inlineStr">
        <is>
          <t>TN</t>
        </is>
      </c>
      <c r="Q1052" s="10">
        <f>IFERROR(IFERROR(VLOOKUP(A1052,TRAOPE!$A:$U,21,0),VLOOKUP(B1052,TRAOPE!$A:$U,21,0)),"")</f>
        <v/>
      </c>
      <c r="R1052" s="8">
        <f>IFERROR(IFERROR(VLOOKUP(A1052,TRAOPE!$A:$W,23,0),VLOOKUP(B1052,TRAOPE!$A:$W,23,0)),"")</f>
        <v/>
      </c>
      <c r="S1052" s="10">
        <f>IF(AND(P1052="TN",R1052="TN"),N1052+N(O1052),IF(G1052&amp;""="1",N(K1052)*N1052,(N1052+N(O1052))*N(K1052)))</f>
        <v/>
      </c>
      <c r="T1052" s="10">
        <f>IF(Q1052="","",Q1052-S1052)</f>
        <v/>
      </c>
    </row>
    <row r="1053">
      <c r="A1053" s="7">
        <f>CONCATENATE(C1053,E1053,F1053,I1053)</f>
        <v/>
      </c>
      <c r="B1053" s="7">
        <f>CONCATENATE(C1053,E1053,I1053)</f>
        <v/>
      </c>
      <c r="C1053" s="8" t="n">
        <v>900003601</v>
      </c>
      <c r="D1053" s="7">
        <f>IFERROR(VLOOKUP(C1053,TRAOPE!$G:$H,2,0),"")</f>
        <v/>
      </c>
      <c r="E1053" s="8" t="inlineStr">
        <is>
          <t>D836</t>
        </is>
      </c>
      <c r="F1053" s="8" t="inlineStr">
        <is>
          <t>66580730</t>
        </is>
      </c>
      <c r="G1053" s="8">
        <f>IFERROR(VLOOKUP(A1053,Flete!$A:$E,5,0),"")</f>
        <v/>
      </c>
      <c r="H1053" s="7">
        <f>IFERROR(VLOOKUP(F1053,TRAOPE!$AA:$AB,2,0),"")</f>
        <v/>
      </c>
      <c r="I1053" s="7" t="n">
        <v>10000624</v>
      </c>
      <c r="J1053" s="7">
        <f>IFERROR(VLOOKUP(I1053,Materiales!$A:$H,8,0),"")</f>
        <v/>
      </c>
      <c r="K1053" s="9">
        <f>IFERROR(VLOOKUP(I1053,Materiales!$A:$G,7,0),"")</f>
        <v/>
      </c>
      <c r="L1053" s="8" t="inlineStr">
        <is>
          <t>20190426</t>
        </is>
      </c>
      <c r="M1053" s="8" t="inlineStr">
        <is>
          <t>20250127</t>
        </is>
      </c>
      <c r="N1053" s="10" t="n">
        <v>153.7</v>
      </c>
      <c r="O1053" s="10">
        <f>IFERROR(VLOOKUP(A1053,Flete!$A:$J,10,0),"")</f>
        <v/>
      </c>
      <c r="P1053" s="8" t="inlineStr">
        <is>
          <t>TN</t>
        </is>
      </c>
      <c r="Q1053" s="10">
        <f>IFERROR(IFERROR(VLOOKUP(A1053,TRAOPE!$A:$U,21,0),VLOOKUP(B1053,TRAOPE!$A:$U,21,0)),"")</f>
        <v/>
      </c>
      <c r="R1053" s="8">
        <f>IFERROR(IFERROR(VLOOKUP(A1053,TRAOPE!$A:$W,23,0),VLOOKUP(B1053,TRAOPE!$A:$W,23,0)),"")</f>
        <v/>
      </c>
      <c r="S1053" s="10">
        <f>IF(AND(P1053="TN",R1053="TN"),N1053+N(O1053),IF(G1053&amp;""="1",N(K1053)*N1053,(N1053+N(O1053))*N(K1053)))</f>
        <v/>
      </c>
      <c r="T1053" s="10">
        <f>IF(Q1053="","",Q1053-S1053)</f>
        <v/>
      </c>
    </row>
    <row r="1054">
      <c r="A1054" s="7">
        <f>CONCATENATE(C1054,E1054,F1054,I1054)</f>
        <v/>
      </c>
      <c r="B1054" s="7">
        <f>CONCATENATE(C1054,E1054,I1054)</f>
        <v/>
      </c>
      <c r="C1054" s="8" t="n">
        <v>900003601</v>
      </c>
      <c r="D1054" s="7">
        <f>IFERROR(VLOOKUP(C1054,TRAOPE!$G:$H,2,0),"")</f>
        <v/>
      </c>
      <c r="E1054" s="8" t="inlineStr">
        <is>
          <t>D836</t>
        </is>
      </c>
      <c r="F1054" s="8" t="inlineStr">
        <is>
          <t>66580730</t>
        </is>
      </c>
      <c r="G1054" s="8">
        <f>IFERROR(VLOOKUP(A1054,Flete!$A:$E,5,0),"")</f>
        <v/>
      </c>
      <c r="H1054" s="7">
        <f>IFERROR(VLOOKUP(F1054,TRAOPE!$AA:$AB,2,0),"")</f>
        <v/>
      </c>
      <c r="I1054" s="7" t="n">
        <v>10000722</v>
      </c>
      <c r="J1054" s="7">
        <f>IFERROR(VLOOKUP(I1054,Materiales!$A:$H,8,0),"")</f>
        <v/>
      </c>
      <c r="K1054" s="9">
        <f>IFERROR(VLOOKUP(I1054,Materiales!$A:$G,7,0),"")</f>
        <v/>
      </c>
      <c r="L1054" s="8" t="inlineStr">
        <is>
          <t>20190426</t>
        </is>
      </c>
      <c r="M1054" s="8" t="inlineStr">
        <is>
          <t>20250127</t>
        </is>
      </c>
      <c r="N1054" s="10" t="n">
        <v>159.04</v>
      </c>
      <c r="O1054" s="10">
        <f>IFERROR(VLOOKUP(A1054,Flete!$A:$J,10,0),"")</f>
        <v/>
      </c>
      <c r="P1054" s="8" t="inlineStr">
        <is>
          <t>TN</t>
        </is>
      </c>
      <c r="Q1054" s="10">
        <f>IFERROR(IFERROR(VLOOKUP(A1054,TRAOPE!$A:$U,21,0),VLOOKUP(B1054,TRAOPE!$A:$U,21,0)),"")</f>
        <v/>
      </c>
      <c r="R1054" s="8">
        <f>IFERROR(IFERROR(VLOOKUP(A1054,TRAOPE!$A:$W,23,0),VLOOKUP(B1054,TRAOPE!$A:$W,23,0)),"")</f>
        <v/>
      </c>
      <c r="S1054" s="10">
        <f>IF(AND(P1054="TN",R1054="TN"),N1054+N(O1054),IF(G1054&amp;""="1",N(K1054)*N1054,(N1054+N(O1054))*N(K1054)))</f>
        <v/>
      </c>
      <c r="T1054" s="10">
        <f>IF(Q1054="","",Q1054-S1054)</f>
        <v/>
      </c>
    </row>
    <row r="1055">
      <c r="A1055" s="7">
        <f>CONCATENATE(C1055,E1055,F1055,I1055)</f>
        <v/>
      </c>
      <c r="B1055" s="7">
        <f>CONCATENATE(C1055,E1055,I1055)</f>
        <v/>
      </c>
      <c r="C1055" s="8" t="n">
        <v>900003601</v>
      </c>
      <c r="D1055" s="7">
        <f>IFERROR(VLOOKUP(C1055,TRAOPE!$G:$H,2,0),"")</f>
        <v/>
      </c>
      <c r="E1055" s="8" t="inlineStr">
        <is>
          <t>D836</t>
        </is>
      </c>
      <c r="F1055" s="8" t="inlineStr">
        <is>
          <t>66580730</t>
        </is>
      </c>
      <c r="G1055" s="8">
        <f>IFERROR(VLOOKUP(A1055,Flete!$A:$E,5,0),"")</f>
        <v/>
      </c>
      <c r="H1055" s="7">
        <f>IFERROR(VLOOKUP(F1055,TRAOPE!$AA:$AB,2,0),"")</f>
        <v/>
      </c>
      <c r="I1055" s="7" t="n">
        <v>10000811</v>
      </c>
      <c r="J1055" s="7">
        <f>IFERROR(VLOOKUP(I1055,Materiales!$A:$H,8,0),"")</f>
        <v/>
      </c>
      <c r="K1055" s="9">
        <f>IFERROR(VLOOKUP(I1055,Materiales!$A:$G,7,0),"")</f>
        <v/>
      </c>
      <c r="L1055" s="8" t="inlineStr">
        <is>
          <t>20190426</t>
        </is>
      </c>
      <c r="M1055" s="8" t="inlineStr">
        <is>
          <t>20250127</t>
        </is>
      </c>
      <c r="N1055" s="10" t="n">
        <v>159.04</v>
      </c>
      <c r="O1055" s="10">
        <f>IFERROR(VLOOKUP(A1055,Flete!$A:$J,10,0),"")</f>
        <v/>
      </c>
      <c r="P1055" s="8" t="inlineStr">
        <is>
          <t>TN</t>
        </is>
      </c>
      <c r="Q1055" s="10">
        <f>IFERROR(IFERROR(VLOOKUP(A1055,TRAOPE!$A:$U,21,0),VLOOKUP(B1055,TRAOPE!$A:$U,21,0)),"")</f>
        <v/>
      </c>
      <c r="R1055" s="8">
        <f>IFERROR(IFERROR(VLOOKUP(A1055,TRAOPE!$A:$W,23,0),VLOOKUP(B1055,TRAOPE!$A:$W,23,0)),"")</f>
        <v/>
      </c>
      <c r="S1055" s="10">
        <f>IF(AND(P1055="TN",R1055="TN"),N1055+N(O1055),IF(G1055&amp;""="1",N(K1055)*N1055,(N1055+N(O1055))*N(K1055)))</f>
        <v/>
      </c>
      <c r="T1055" s="10">
        <f>IF(Q1055="","",Q1055-S1055)</f>
        <v/>
      </c>
    </row>
    <row r="1056">
      <c r="A1056" s="7">
        <f>CONCATENATE(C1056,E1056,F1056,I1056)</f>
        <v/>
      </c>
      <c r="B1056" s="7">
        <f>CONCATENATE(C1056,E1056,I1056)</f>
        <v/>
      </c>
      <c r="C1056" s="8" t="n">
        <v>900003601</v>
      </c>
      <c r="D1056" s="7">
        <f>IFERROR(VLOOKUP(C1056,TRAOPE!$G:$H,2,0),"")</f>
        <v/>
      </c>
      <c r="E1056" s="8" t="inlineStr">
        <is>
          <t>D836</t>
        </is>
      </c>
      <c r="F1056" s="8" t="inlineStr">
        <is>
          <t>66582580</t>
        </is>
      </c>
      <c r="G1056" s="8">
        <f>IFERROR(VLOOKUP(A1056,Flete!$A:$E,5,0),"")</f>
        <v/>
      </c>
      <c r="H1056" s="7">
        <f>IFERROR(VLOOKUP(F1056,TRAOPE!$AA:$AB,2,0),"")</f>
        <v/>
      </c>
      <c r="I1056" s="7" t="n">
        <v>10000623</v>
      </c>
      <c r="J1056" s="7">
        <f>IFERROR(VLOOKUP(I1056,Materiales!$A:$H,8,0),"")</f>
        <v/>
      </c>
      <c r="K1056" s="9">
        <f>IFERROR(VLOOKUP(I1056,Materiales!$A:$G,7,0),"")</f>
        <v/>
      </c>
      <c r="L1056" s="8" t="inlineStr">
        <is>
          <t>20190426</t>
        </is>
      </c>
      <c r="M1056" s="8" t="inlineStr">
        <is>
          <t>20250127</t>
        </is>
      </c>
      <c r="N1056" s="10" t="n">
        <v>102.6</v>
      </c>
      <c r="O1056" s="10">
        <f>IFERROR(VLOOKUP(A1056,Flete!$A:$J,10,0),"")</f>
        <v/>
      </c>
      <c r="P1056" s="8" t="inlineStr">
        <is>
          <t>TN</t>
        </is>
      </c>
      <c r="Q1056" s="10">
        <f>IFERROR(IFERROR(VLOOKUP(A1056,TRAOPE!$A:$U,21,0),VLOOKUP(B1056,TRAOPE!$A:$U,21,0)),"")</f>
        <v/>
      </c>
      <c r="R1056" s="8">
        <f>IFERROR(IFERROR(VLOOKUP(A1056,TRAOPE!$A:$W,23,0),VLOOKUP(B1056,TRAOPE!$A:$W,23,0)),"")</f>
        <v/>
      </c>
      <c r="S1056" s="10">
        <f>IF(AND(P1056="TN",R1056="TN"),N1056+N(O1056),IF(G1056&amp;""="1",N(K1056)*N1056,(N1056+N(O1056))*N(K1056)))</f>
        <v/>
      </c>
      <c r="T1056" s="10">
        <f>IF(Q1056="","",Q1056-S1056)</f>
        <v/>
      </c>
    </row>
    <row r="1057">
      <c r="A1057" s="7">
        <f>CONCATENATE(C1057,E1057,F1057,I1057)</f>
        <v/>
      </c>
      <c r="B1057" s="7">
        <f>CONCATENATE(C1057,E1057,I1057)</f>
        <v/>
      </c>
      <c r="C1057" s="8" t="n">
        <v>900003601</v>
      </c>
      <c r="D1057" s="7">
        <f>IFERROR(VLOOKUP(C1057,TRAOPE!$G:$H,2,0),"")</f>
        <v/>
      </c>
      <c r="E1057" s="8" t="inlineStr">
        <is>
          <t>D836</t>
        </is>
      </c>
      <c r="F1057" s="8" t="inlineStr">
        <is>
          <t>66605859</t>
        </is>
      </c>
      <c r="G1057" s="8">
        <f>IFERROR(VLOOKUP(A1057,Flete!$A:$E,5,0),"")</f>
        <v/>
      </c>
      <c r="H1057" s="7">
        <f>IFERROR(VLOOKUP(F1057,TRAOPE!$AA:$AB,2,0),"")</f>
        <v/>
      </c>
      <c r="I1057" s="7" t="n">
        <v>10000623</v>
      </c>
      <c r="J1057" s="7">
        <f>IFERROR(VLOOKUP(I1057,Materiales!$A:$H,8,0),"")</f>
        <v/>
      </c>
      <c r="K1057" s="9">
        <f>IFERROR(VLOOKUP(I1057,Materiales!$A:$G,7,0),"")</f>
        <v/>
      </c>
      <c r="L1057" s="8" t="inlineStr">
        <is>
          <t>20190426</t>
        </is>
      </c>
      <c r="M1057" s="8" t="inlineStr">
        <is>
          <t>20250127</t>
        </is>
      </c>
      <c r="N1057" s="10" t="n">
        <v>103.68</v>
      </c>
      <c r="O1057" s="10">
        <f>IFERROR(VLOOKUP(A1057,Flete!$A:$J,10,0),"")</f>
        <v/>
      </c>
      <c r="P1057" s="8" t="inlineStr">
        <is>
          <t>TN</t>
        </is>
      </c>
      <c r="Q1057" s="10">
        <f>IFERROR(IFERROR(VLOOKUP(A1057,TRAOPE!$A:$U,21,0),VLOOKUP(B1057,TRAOPE!$A:$U,21,0)),"")</f>
        <v/>
      </c>
      <c r="R1057" s="8">
        <f>IFERROR(IFERROR(VLOOKUP(A1057,TRAOPE!$A:$W,23,0),VLOOKUP(B1057,TRAOPE!$A:$W,23,0)),"")</f>
        <v/>
      </c>
      <c r="S1057" s="10">
        <f>IF(AND(P1057="TN",R1057="TN"),N1057+N(O1057),IF(G1057&amp;""="1",N(K1057)*N1057,(N1057+N(O1057))*N(K1057)))</f>
        <v/>
      </c>
      <c r="T1057" s="10">
        <f>IF(Q1057="","",Q1057-S1057)</f>
        <v/>
      </c>
    </row>
    <row r="1058">
      <c r="A1058" s="7">
        <f>CONCATENATE(C1058,E1058,F1058,I1058)</f>
        <v/>
      </c>
      <c r="B1058" s="7">
        <f>CONCATENATE(C1058,E1058,I1058)</f>
        <v/>
      </c>
      <c r="C1058" s="8" t="n">
        <v>900003601</v>
      </c>
      <c r="D1058" s="7">
        <f>IFERROR(VLOOKUP(C1058,TRAOPE!$G:$H,2,0),"")</f>
        <v/>
      </c>
      <c r="E1058" s="8" t="inlineStr">
        <is>
          <t>D836</t>
        </is>
      </c>
      <c r="F1058" s="8" t="inlineStr">
        <is>
          <t>66624554</t>
        </is>
      </c>
      <c r="G1058" s="8">
        <f>IFERROR(VLOOKUP(A1058,Flete!$A:$E,5,0),"")</f>
        <v/>
      </c>
      <c r="H1058" s="7">
        <f>IFERROR(VLOOKUP(F1058,TRAOPE!$AA:$AB,2,0),"")</f>
        <v/>
      </c>
      <c r="I1058" s="7" t="n">
        <v>10000623</v>
      </c>
      <c r="J1058" s="7">
        <f>IFERROR(VLOOKUP(I1058,Materiales!$A:$H,8,0),"")</f>
        <v/>
      </c>
      <c r="K1058" s="9">
        <f>IFERROR(VLOOKUP(I1058,Materiales!$A:$G,7,0),"")</f>
        <v/>
      </c>
      <c r="L1058" s="8" t="inlineStr">
        <is>
          <t>20190426</t>
        </is>
      </c>
      <c r="M1058" s="8" t="inlineStr">
        <is>
          <t>20250127</t>
        </is>
      </c>
      <c r="N1058" s="10" t="n">
        <v>102.6</v>
      </c>
      <c r="O1058" s="10">
        <f>IFERROR(VLOOKUP(A1058,Flete!$A:$J,10,0),"")</f>
        <v/>
      </c>
      <c r="P1058" s="8" t="inlineStr">
        <is>
          <t>TN</t>
        </is>
      </c>
      <c r="Q1058" s="10">
        <f>IFERROR(IFERROR(VLOOKUP(A1058,TRAOPE!$A:$U,21,0),VLOOKUP(B1058,TRAOPE!$A:$U,21,0)),"")</f>
        <v/>
      </c>
      <c r="R1058" s="8">
        <f>IFERROR(IFERROR(VLOOKUP(A1058,TRAOPE!$A:$W,23,0),VLOOKUP(B1058,TRAOPE!$A:$W,23,0)),"")</f>
        <v/>
      </c>
      <c r="S1058" s="10">
        <f>IF(AND(P1058="TN",R1058="TN"),N1058+N(O1058),IF(G1058&amp;""="1",N(K1058)*N1058,(N1058+N(O1058))*N(K1058)))</f>
        <v/>
      </c>
      <c r="T1058" s="10">
        <f>IF(Q1058="","",Q1058-S1058)</f>
        <v/>
      </c>
    </row>
    <row r="1059">
      <c r="A1059" s="7">
        <f>CONCATENATE(C1059,E1059,F1059,I1059)</f>
        <v/>
      </c>
      <c r="B1059" s="7">
        <f>CONCATENATE(C1059,E1059,I1059)</f>
        <v/>
      </c>
      <c r="C1059" s="8" t="n">
        <v>900003601</v>
      </c>
      <c r="D1059" s="7">
        <f>IFERROR(VLOOKUP(C1059,TRAOPE!$G:$H,2,0),"")</f>
        <v/>
      </c>
      <c r="E1059" s="8" t="inlineStr">
        <is>
          <t>D836</t>
        </is>
      </c>
      <c r="F1059" s="8" t="inlineStr">
        <is>
          <t>66654027</t>
        </is>
      </c>
      <c r="G1059" s="8">
        <f>IFERROR(VLOOKUP(A1059,Flete!$A:$E,5,0),"")</f>
        <v/>
      </c>
      <c r="H1059" s="7">
        <f>IFERROR(VLOOKUP(F1059,TRAOPE!$AA:$AB,2,0),"")</f>
        <v/>
      </c>
      <c r="I1059" s="7" t="n">
        <v>10000623</v>
      </c>
      <c r="J1059" s="7">
        <f>IFERROR(VLOOKUP(I1059,Materiales!$A:$H,8,0),"")</f>
        <v/>
      </c>
      <c r="K1059" s="9">
        <f>IFERROR(VLOOKUP(I1059,Materiales!$A:$G,7,0),"")</f>
        <v/>
      </c>
      <c r="L1059" s="8" t="inlineStr">
        <is>
          <t>20190426</t>
        </is>
      </c>
      <c r="M1059" s="8" t="inlineStr">
        <is>
          <t>20250127</t>
        </is>
      </c>
      <c r="N1059" s="10" t="n">
        <v>102.6</v>
      </c>
      <c r="O1059" s="10">
        <f>IFERROR(VLOOKUP(A1059,Flete!$A:$J,10,0),"")</f>
        <v/>
      </c>
      <c r="P1059" s="8" t="inlineStr">
        <is>
          <t>TN</t>
        </is>
      </c>
      <c r="Q1059" s="10">
        <f>IFERROR(IFERROR(VLOOKUP(A1059,TRAOPE!$A:$U,21,0),VLOOKUP(B1059,TRAOPE!$A:$U,21,0)),"")</f>
        <v/>
      </c>
      <c r="R1059" s="8">
        <f>IFERROR(IFERROR(VLOOKUP(A1059,TRAOPE!$A:$W,23,0),VLOOKUP(B1059,TRAOPE!$A:$W,23,0)),"")</f>
        <v/>
      </c>
      <c r="S1059" s="10">
        <f>IF(AND(P1059="TN",R1059="TN"),N1059+N(O1059),IF(G1059&amp;""="1",N(K1059)*N1059,(N1059+N(O1059))*N(K1059)))</f>
        <v/>
      </c>
      <c r="T1059" s="10">
        <f>IF(Q1059="","",Q1059-S1059)</f>
        <v/>
      </c>
    </row>
    <row r="1060">
      <c r="A1060" s="7">
        <f>CONCATENATE(C1060,E1060,F1060,I1060)</f>
        <v/>
      </c>
      <c r="B1060" s="7">
        <f>CONCATENATE(C1060,E1060,I1060)</f>
        <v/>
      </c>
      <c r="C1060" s="8" t="n">
        <v>900003601</v>
      </c>
      <c r="D1060" s="7">
        <f>IFERROR(VLOOKUP(C1060,TRAOPE!$G:$H,2,0),"")</f>
        <v/>
      </c>
      <c r="E1060" s="8" t="inlineStr">
        <is>
          <t>D836</t>
        </is>
      </c>
      <c r="F1060" s="8" t="inlineStr">
        <is>
          <t>66779276</t>
        </is>
      </c>
      <c r="G1060" s="8">
        <f>IFERROR(VLOOKUP(A1060,Flete!$A:$E,5,0),"")</f>
        <v/>
      </c>
      <c r="H1060" s="7">
        <f>IFERROR(VLOOKUP(F1060,TRAOPE!$AA:$AB,2,0),"")</f>
        <v/>
      </c>
      <c r="I1060" s="7" t="n">
        <v>10000623</v>
      </c>
      <c r="J1060" s="7">
        <f>IFERROR(VLOOKUP(I1060,Materiales!$A:$H,8,0),"")</f>
        <v/>
      </c>
      <c r="K1060" s="9">
        <f>IFERROR(VLOOKUP(I1060,Materiales!$A:$G,7,0),"")</f>
        <v/>
      </c>
      <c r="L1060" s="8" t="inlineStr">
        <is>
          <t>20190426</t>
        </is>
      </c>
      <c r="M1060" s="8" t="inlineStr">
        <is>
          <t>20250127</t>
        </is>
      </c>
      <c r="N1060" s="10" t="n">
        <v>103.68</v>
      </c>
      <c r="O1060" s="10">
        <f>IFERROR(VLOOKUP(A1060,Flete!$A:$J,10,0),"")</f>
        <v/>
      </c>
      <c r="P1060" s="8" t="inlineStr">
        <is>
          <t>TN</t>
        </is>
      </c>
      <c r="Q1060" s="10">
        <f>IFERROR(IFERROR(VLOOKUP(A1060,TRAOPE!$A:$U,21,0),VLOOKUP(B1060,TRAOPE!$A:$U,21,0)),"")</f>
        <v/>
      </c>
      <c r="R1060" s="8">
        <f>IFERROR(IFERROR(VLOOKUP(A1060,TRAOPE!$A:$W,23,0),VLOOKUP(B1060,TRAOPE!$A:$W,23,0)),"")</f>
        <v/>
      </c>
      <c r="S1060" s="10">
        <f>IF(AND(P1060="TN",R1060="TN"),N1060+N(O1060),IF(G1060&amp;""="1",N(K1060)*N1060,(N1060+N(O1060))*N(K1060)))</f>
        <v/>
      </c>
      <c r="T1060" s="10">
        <f>IF(Q1060="","",Q1060-S1060)</f>
        <v/>
      </c>
    </row>
    <row r="1061">
      <c r="A1061" s="7">
        <f>CONCATENATE(C1061,E1061,F1061,I1061)</f>
        <v/>
      </c>
      <c r="B1061" s="7">
        <f>CONCATENATE(C1061,E1061,I1061)</f>
        <v/>
      </c>
      <c r="C1061" s="8" t="n">
        <v>900003601</v>
      </c>
      <c r="D1061" s="7">
        <f>IFERROR(VLOOKUP(C1061,TRAOPE!$G:$H,2,0),"")</f>
        <v/>
      </c>
      <c r="E1061" s="8" t="inlineStr">
        <is>
          <t>D836</t>
        </is>
      </c>
      <c r="F1061" s="8" t="inlineStr">
        <is>
          <t>66819150</t>
        </is>
      </c>
      <c r="G1061" s="8">
        <f>IFERROR(VLOOKUP(A1061,Flete!$A:$E,5,0),"")</f>
        <v/>
      </c>
      <c r="H1061" s="7">
        <f>IFERROR(VLOOKUP(F1061,TRAOPE!$AA:$AB,2,0),"")</f>
        <v/>
      </c>
      <c r="I1061" s="7" t="n">
        <v>10000811</v>
      </c>
      <c r="J1061" s="7">
        <f>IFERROR(VLOOKUP(I1061,Materiales!$A:$H,8,0),"")</f>
        <v/>
      </c>
      <c r="K1061" s="9">
        <f>IFERROR(VLOOKUP(I1061,Materiales!$A:$G,7,0),"")</f>
        <v/>
      </c>
      <c r="L1061" s="8" t="inlineStr">
        <is>
          <t>20190426</t>
        </is>
      </c>
      <c r="M1061" s="8" t="inlineStr">
        <is>
          <t>20250127</t>
        </is>
      </c>
      <c r="N1061" s="10" t="n">
        <v>97</v>
      </c>
      <c r="O1061" s="10">
        <f>IFERROR(VLOOKUP(A1061,Flete!$A:$J,10,0),"")</f>
        <v/>
      </c>
      <c r="P1061" s="8" t="inlineStr">
        <is>
          <t>TN</t>
        </is>
      </c>
      <c r="Q1061" s="10">
        <f>IFERROR(IFERROR(VLOOKUP(A1061,TRAOPE!$A:$U,21,0),VLOOKUP(B1061,TRAOPE!$A:$U,21,0)),"")</f>
        <v/>
      </c>
      <c r="R1061" s="8">
        <f>IFERROR(IFERROR(VLOOKUP(A1061,TRAOPE!$A:$W,23,0),VLOOKUP(B1061,TRAOPE!$A:$W,23,0)),"")</f>
        <v/>
      </c>
      <c r="S1061" s="10">
        <f>IF(AND(P1061="TN",R1061="TN"),N1061+N(O1061),IF(G1061&amp;""="1",N(K1061)*N1061,(N1061+N(O1061))*N(K1061)))</f>
        <v/>
      </c>
      <c r="T1061" s="10">
        <f>IF(Q1061="","",Q1061-S1061)</f>
        <v/>
      </c>
    </row>
    <row r="1062">
      <c r="A1062" s="7">
        <f>CONCATENATE(C1062,E1062,F1062,I1062)</f>
        <v/>
      </c>
      <c r="B1062" s="7">
        <f>CONCATENATE(C1062,E1062,I1062)</f>
        <v/>
      </c>
      <c r="C1062" s="8" t="n">
        <v>900003601</v>
      </c>
      <c r="D1062" s="7">
        <f>IFERROR(VLOOKUP(C1062,TRAOPE!$G:$H,2,0),"")</f>
        <v/>
      </c>
      <c r="E1062" s="8" t="inlineStr">
        <is>
          <t>D836</t>
        </is>
      </c>
      <c r="F1062" s="8" t="inlineStr">
        <is>
          <t>66825797</t>
        </is>
      </c>
      <c r="G1062" s="8">
        <f>IFERROR(VLOOKUP(A1062,Flete!$A:$E,5,0),"")</f>
        <v/>
      </c>
      <c r="H1062" s="7">
        <f>IFERROR(VLOOKUP(F1062,TRAOPE!$AA:$AB,2,0),"")</f>
        <v/>
      </c>
      <c r="I1062" s="7" t="n">
        <v>10000623</v>
      </c>
      <c r="J1062" s="7">
        <f>IFERROR(VLOOKUP(I1062,Materiales!$A:$H,8,0),"")</f>
        <v/>
      </c>
      <c r="K1062" s="9">
        <f>IFERROR(VLOOKUP(I1062,Materiales!$A:$G,7,0),"")</f>
        <v/>
      </c>
      <c r="L1062" s="8" t="inlineStr">
        <is>
          <t>20190426</t>
        </is>
      </c>
      <c r="M1062" s="8" t="inlineStr">
        <is>
          <t>20250127</t>
        </is>
      </c>
      <c r="N1062" s="10" t="n">
        <v>108</v>
      </c>
      <c r="O1062" s="10">
        <f>IFERROR(VLOOKUP(A1062,Flete!$A:$J,10,0),"")</f>
        <v/>
      </c>
      <c r="P1062" s="8" t="inlineStr">
        <is>
          <t>TN</t>
        </is>
      </c>
      <c r="Q1062" s="10">
        <f>IFERROR(IFERROR(VLOOKUP(A1062,TRAOPE!$A:$U,21,0),VLOOKUP(B1062,TRAOPE!$A:$U,21,0)),"")</f>
        <v/>
      </c>
      <c r="R1062" s="8">
        <f>IFERROR(IFERROR(VLOOKUP(A1062,TRAOPE!$A:$W,23,0),VLOOKUP(B1062,TRAOPE!$A:$W,23,0)),"")</f>
        <v/>
      </c>
      <c r="S1062" s="10">
        <f>IF(AND(P1062="TN",R1062="TN"),N1062+N(O1062),IF(G1062&amp;""="1",N(K1062)*N1062,(N1062+N(O1062))*N(K1062)))</f>
        <v/>
      </c>
      <c r="T1062" s="10">
        <f>IF(Q1062="","",Q1062-S1062)</f>
        <v/>
      </c>
    </row>
    <row r="1063">
      <c r="A1063" s="7">
        <f>CONCATENATE(C1063,E1063,F1063,I1063)</f>
        <v/>
      </c>
      <c r="B1063" s="7">
        <f>CONCATENATE(C1063,E1063,I1063)</f>
        <v/>
      </c>
      <c r="C1063" s="8" t="n">
        <v>900003601</v>
      </c>
      <c r="D1063" s="7">
        <f>IFERROR(VLOOKUP(C1063,TRAOPE!$G:$H,2,0),"")</f>
        <v/>
      </c>
      <c r="E1063" s="8" t="inlineStr">
        <is>
          <t>D836</t>
        </is>
      </c>
      <c r="F1063" s="8" t="inlineStr">
        <is>
          <t>66825797</t>
        </is>
      </c>
      <c r="G1063" s="8">
        <f>IFERROR(VLOOKUP(A1063,Flete!$A:$E,5,0),"")</f>
        <v/>
      </c>
      <c r="H1063" s="7">
        <f>IFERROR(VLOOKUP(F1063,TRAOPE!$AA:$AB,2,0),"")</f>
        <v/>
      </c>
      <c r="I1063" s="7" t="n">
        <v>10000624</v>
      </c>
      <c r="J1063" s="7">
        <f>IFERROR(VLOOKUP(I1063,Materiales!$A:$H,8,0),"")</f>
        <v/>
      </c>
      <c r="K1063" s="9">
        <f>IFERROR(VLOOKUP(I1063,Materiales!$A:$G,7,0),"")</f>
        <v/>
      </c>
      <c r="L1063" s="8" t="inlineStr">
        <is>
          <t>20190426</t>
        </is>
      </c>
      <c r="M1063" s="8" t="inlineStr">
        <is>
          <t>20250127</t>
        </is>
      </c>
      <c r="N1063" s="10" t="n">
        <v>103.68</v>
      </c>
      <c r="O1063" s="10">
        <f>IFERROR(VLOOKUP(A1063,Flete!$A:$J,10,0),"")</f>
        <v/>
      </c>
      <c r="P1063" s="8" t="inlineStr">
        <is>
          <t>TN</t>
        </is>
      </c>
      <c r="Q1063" s="10">
        <f>IFERROR(IFERROR(VLOOKUP(A1063,TRAOPE!$A:$U,21,0),VLOOKUP(B1063,TRAOPE!$A:$U,21,0)),"")</f>
        <v/>
      </c>
      <c r="R1063" s="8">
        <f>IFERROR(IFERROR(VLOOKUP(A1063,TRAOPE!$A:$W,23,0),VLOOKUP(B1063,TRAOPE!$A:$W,23,0)),"")</f>
        <v/>
      </c>
      <c r="S1063" s="10">
        <f>IF(AND(P1063="TN",R1063="TN"),N1063+N(O1063),IF(G1063&amp;""="1",N(K1063)*N1063,(N1063+N(O1063))*N(K1063)))</f>
        <v/>
      </c>
      <c r="T1063" s="10">
        <f>IF(Q1063="","",Q1063-S1063)</f>
        <v/>
      </c>
    </row>
    <row r="1064">
      <c r="A1064" s="7">
        <f>CONCATENATE(C1064,E1064,F1064,I1064)</f>
        <v/>
      </c>
      <c r="B1064" s="7">
        <f>CONCATENATE(C1064,E1064,I1064)</f>
        <v/>
      </c>
      <c r="C1064" s="8" t="n">
        <v>900003601</v>
      </c>
      <c r="D1064" s="7">
        <f>IFERROR(VLOOKUP(C1064,TRAOPE!$G:$H,2,0),"")</f>
        <v/>
      </c>
      <c r="E1064" s="8" t="inlineStr">
        <is>
          <t>D836</t>
        </is>
      </c>
      <c r="F1064" s="8" t="inlineStr">
        <is>
          <t>66825797</t>
        </is>
      </c>
      <c r="G1064" s="8">
        <f>IFERROR(VLOOKUP(A1064,Flete!$A:$E,5,0),"")</f>
        <v/>
      </c>
      <c r="H1064" s="7">
        <f>IFERROR(VLOOKUP(F1064,TRAOPE!$AA:$AB,2,0),"")</f>
        <v/>
      </c>
      <c r="I1064" s="7" t="n">
        <v>10000722</v>
      </c>
      <c r="J1064" s="7">
        <f>IFERROR(VLOOKUP(I1064,Materiales!$A:$H,8,0),"")</f>
        <v/>
      </c>
      <c r="K1064" s="9">
        <f>IFERROR(VLOOKUP(I1064,Materiales!$A:$G,7,0),"")</f>
        <v/>
      </c>
      <c r="L1064" s="8" t="inlineStr">
        <is>
          <t>20190426</t>
        </is>
      </c>
      <c r="M1064" s="8" t="inlineStr">
        <is>
          <t>20250127</t>
        </is>
      </c>
      <c r="N1064" s="10" t="n">
        <v>108</v>
      </c>
      <c r="O1064" s="10">
        <f>IFERROR(VLOOKUP(A1064,Flete!$A:$J,10,0),"")</f>
        <v/>
      </c>
      <c r="P1064" s="8" t="inlineStr">
        <is>
          <t>TN</t>
        </is>
      </c>
      <c r="Q1064" s="10">
        <f>IFERROR(IFERROR(VLOOKUP(A1064,TRAOPE!$A:$U,21,0),VLOOKUP(B1064,TRAOPE!$A:$U,21,0)),"")</f>
        <v/>
      </c>
      <c r="R1064" s="8">
        <f>IFERROR(IFERROR(VLOOKUP(A1064,TRAOPE!$A:$W,23,0),VLOOKUP(B1064,TRAOPE!$A:$W,23,0)),"")</f>
        <v/>
      </c>
      <c r="S1064" s="10">
        <f>IF(AND(P1064="TN",R1064="TN"),N1064+N(O1064),IF(G1064&amp;""="1",N(K1064)*N1064,(N1064+N(O1064))*N(K1064)))</f>
        <v/>
      </c>
      <c r="T1064" s="10">
        <f>IF(Q1064="","",Q1064-S1064)</f>
        <v/>
      </c>
    </row>
    <row r="1065">
      <c r="A1065" s="7">
        <f>CONCATENATE(C1065,E1065,F1065,I1065)</f>
        <v/>
      </c>
      <c r="B1065" s="7">
        <f>CONCATENATE(C1065,E1065,I1065)</f>
        <v/>
      </c>
      <c r="C1065" s="8" t="n">
        <v>900003601</v>
      </c>
      <c r="D1065" s="7">
        <f>IFERROR(VLOOKUP(C1065,TRAOPE!$G:$H,2,0),"")</f>
        <v/>
      </c>
      <c r="E1065" s="8" t="inlineStr">
        <is>
          <t>D836</t>
        </is>
      </c>
      <c r="F1065" s="8" t="inlineStr">
        <is>
          <t>66825797</t>
        </is>
      </c>
      <c r="G1065" s="8">
        <f>IFERROR(VLOOKUP(A1065,Flete!$A:$E,5,0),"")</f>
        <v/>
      </c>
      <c r="H1065" s="7">
        <f>IFERROR(VLOOKUP(F1065,TRAOPE!$AA:$AB,2,0),"")</f>
        <v/>
      </c>
      <c r="I1065" s="7" t="n">
        <v>10000811</v>
      </c>
      <c r="J1065" s="7">
        <f>IFERROR(VLOOKUP(I1065,Materiales!$A:$H,8,0),"")</f>
        <v/>
      </c>
      <c r="K1065" s="9">
        <f>IFERROR(VLOOKUP(I1065,Materiales!$A:$G,7,0),"")</f>
        <v/>
      </c>
      <c r="L1065" s="8" t="inlineStr">
        <is>
          <t>20190426</t>
        </is>
      </c>
      <c r="M1065" s="8" t="inlineStr">
        <is>
          <t>20250127</t>
        </is>
      </c>
      <c r="N1065" s="10" t="n">
        <v>108</v>
      </c>
      <c r="O1065" s="10">
        <f>IFERROR(VLOOKUP(A1065,Flete!$A:$J,10,0),"")</f>
        <v/>
      </c>
      <c r="P1065" s="8" t="inlineStr">
        <is>
          <t>TN</t>
        </is>
      </c>
      <c r="Q1065" s="10">
        <f>IFERROR(IFERROR(VLOOKUP(A1065,TRAOPE!$A:$U,21,0),VLOOKUP(B1065,TRAOPE!$A:$U,21,0)),"")</f>
        <v/>
      </c>
      <c r="R1065" s="8">
        <f>IFERROR(IFERROR(VLOOKUP(A1065,TRAOPE!$A:$W,23,0),VLOOKUP(B1065,TRAOPE!$A:$W,23,0)),"")</f>
        <v/>
      </c>
      <c r="S1065" s="10">
        <f>IF(AND(P1065="TN",R1065="TN"),N1065+N(O1065),IF(G1065&amp;""="1",N(K1065)*N1065,(N1065+N(O1065))*N(K1065)))</f>
        <v/>
      </c>
      <c r="T1065" s="10">
        <f>IF(Q1065="","",Q1065-S1065)</f>
        <v/>
      </c>
    </row>
    <row r="1066">
      <c r="A1066" s="7">
        <f>CONCATENATE(C1066,E1066,F1066,I1066)</f>
        <v/>
      </c>
      <c r="B1066" s="7">
        <f>CONCATENATE(C1066,E1066,I1066)</f>
        <v/>
      </c>
      <c r="C1066" s="8" t="n">
        <v>900003601</v>
      </c>
      <c r="D1066" s="7">
        <f>IFERROR(VLOOKUP(C1066,TRAOPE!$G:$H,2,0),"")</f>
        <v/>
      </c>
      <c r="E1066" s="8" t="inlineStr">
        <is>
          <t>D836</t>
        </is>
      </c>
      <c r="F1066" s="8" t="inlineStr">
        <is>
          <t>66825797</t>
        </is>
      </c>
      <c r="G1066" s="8">
        <f>IFERROR(VLOOKUP(A1066,Flete!$A:$E,5,0),"")</f>
        <v/>
      </c>
      <c r="H1066" s="7">
        <f>IFERROR(VLOOKUP(F1066,TRAOPE!$AA:$AB,2,0),"")</f>
        <v/>
      </c>
      <c r="I1066" s="7" t="n">
        <v>10159432</v>
      </c>
      <c r="J1066" s="7">
        <f>IFERROR(VLOOKUP(I1066,Materiales!$A:$H,8,0),"")</f>
        <v/>
      </c>
      <c r="K1066" s="9">
        <f>IFERROR(VLOOKUP(I1066,Materiales!$A:$G,7,0),"")</f>
        <v/>
      </c>
      <c r="L1066" s="8" t="inlineStr">
        <is>
          <t>20190426</t>
        </is>
      </c>
      <c r="M1066" s="8" t="inlineStr">
        <is>
          <t>20250127</t>
        </is>
      </c>
      <c r="N1066" s="10" t="n">
        <v>90</v>
      </c>
      <c r="O1066" s="10">
        <f>IFERROR(VLOOKUP(A1066,Flete!$A:$J,10,0),"")</f>
        <v/>
      </c>
      <c r="P1066" s="8" t="inlineStr">
        <is>
          <t>TN</t>
        </is>
      </c>
      <c r="Q1066" s="10">
        <f>IFERROR(IFERROR(VLOOKUP(A1066,TRAOPE!$A:$U,21,0),VLOOKUP(B1066,TRAOPE!$A:$U,21,0)),"")</f>
        <v/>
      </c>
      <c r="R1066" s="8">
        <f>IFERROR(IFERROR(VLOOKUP(A1066,TRAOPE!$A:$W,23,0),VLOOKUP(B1066,TRAOPE!$A:$W,23,0)),"")</f>
        <v/>
      </c>
      <c r="S1066" s="10">
        <f>IF(AND(P1066="TN",R1066="TN"),N1066+N(O1066),IF(G1066&amp;""="1",N(K1066)*N1066,(N1066+N(O1066))*N(K1066)))</f>
        <v/>
      </c>
      <c r="T1066" s="10">
        <f>IF(Q1066="","",Q1066-S1066)</f>
        <v/>
      </c>
    </row>
    <row r="1067">
      <c r="A1067" s="7">
        <f>CONCATENATE(C1067,E1067,F1067,I1067)</f>
        <v/>
      </c>
      <c r="B1067" s="7">
        <f>CONCATENATE(C1067,E1067,I1067)</f>
        <v/>
      </c>
      <c r="C1067" s="8" t="n">
        <v>900003601</v>
      </c>
      <c r="D1067" s="7">
        <f>IFERROR(VLOOKUP(C1067,TRAOPE!$G:$H,2,0),"")</f>
        <v/>
      </c>
      <c r="E1067" s="8" t="inlineStr">
        <is>
          <t>D836</t>
        </is>
      </c>
      <c r="F1067" s="8" t="inlineStr">
        <is>
          <t>66827157</t>
        </is>
      </c>
      <c r="G1067" s="8">
        <f>IFERROR(VLOOKUP(A1067,Flete!$A:$E,5,0),"")</f>
        <v/>
      </c>
      <c r="H1067" s="7">
        <f>IFERROR(VLOOKUP(F1067,TRAOPE!$AA:$AB,2,0),"")</f>
        <v/>
      </c>
      <c r="I1067" s="7" t="n">
        <v>10000623</v>
      </c>
      <c r="J1067" s="7">
        <f>IFERROR(VLOOKUP(I1067,Materiales!$A:$H,8,0),"")</f>
        <v/>
      </c>
      <c r="K1067" s="9">
        <f>IFERROR(VLOOKUP(I1067,Materiales!$A:$G,7,0),"")</f>
        <v/>
      </c>
      <c r="L1067" s="8" t="inlineStr">
        <is>
          <t>20190426</t>
        </is>
      </c>
      <c r="M1067" s="8" t="inlineStr">
        <is>
          <t>20250127</t>
        </is>
      </c>
      <c r="N1067" s="10" t="n">
        <v>105.84</v>
      </c>
      <c r="O1067" s="10">
        <f>IFERROR(VLOOKUP(A1067,Flete!$A:$J,10,0),"")</f>
        <v/>
      </c>
      <c r="P1067" s="8" t="inlineStr">
        <is>
          <t>TN</t>
        </is>
      </c>
      <c r="Q1067" s="10">
        <f>IFERROR(IFERROR(VLOOKUP(A1067,TRAOPE!$A:$U,21,0),VLOOKUP(B1067,TRAOPE!$A:$U,21,0)),"")</f>
        <v/>
      </c>
      <c r="R1067" s="8">
        <f>IFERROR(IFERROR(VLOOKUP(A1067,TRAOPE!$A:$W,23,0),VLOOKUP(B1067,TRAOPE!$A:$W,23,0)),"")</f>
        <v/>
      </c>
      <c r="S1067" s="10">
        <f>IF(AND(P1067="TN",R1067="TN"),N1067+N(O1067),IF(G1067&amp;""="1",N(K1067)*N1067,(N1067+N(O1067))*N(K1067)))</f>
        <v/>
      </c>
      <c r="T1067" s="10">
        <f>IF(Q1067="","",Q1067-S1067)</f>
        <v/>
      </c>
    </row>
    <row r="1068">
      <c r="A1068" s="7">
        <f>CONCATENATE(C1068,E1068,F1068,I1068)</f>
        <v/>
      </c>
      <c r="B1068" s="7">
        <f>CONCATENATE(C1068,E1068,I1068)</f>
        <v/>
      </c>
      <c r="C1068" s="8" t="n">
        <v>900003601</v>
      </c>
      <c r="D1068" s="7">
        <f>IFERROR(VLOOKUP(C1068,TRAOPE!$G:$H,2,0),"")</f>
        <v/>
      </c>
      <c r="E1068" s="8" t="inlineStr">
        <is>
          <t>D836</t>
        </is>
      </c>
      <c r="F1068" s="8" t="inlineStr">
        <is>
          <t>66827157</t>
        </is>
      </c>
      <c r="G1068" s="8">
        <f>IFERROR(VLOOKUP(A1068,Flete!$A:$E,5,0),"")</f>
        <v/>
      </c>
      <c r="H1068" s="7">
        <f>IFERROR(VLOOKUP(F1068,TRAOPE!$AA:$AB,2,0),"")</f>
        <v/>
      </c>
      <c r="I1068" s="7" t="n">
        <v>10000624</v>
      </c>
      <c r="J1068" s="7">
        <f>IFERROR(VLOOKUP(I1068,Materiales!$A:$H,8,0),"")</f>
        <v/>
      </c>
      <c r="K1068" s="9">
        <f>IFERROR(VLOOKUP(I1068,Materiales!$A:$G,7,0),"")</f>
        <v/>
      </c>
      <c r="L1068" s="8" t="inlineStr">
        <is>
          <t>20190426</t>
        </is>
      </c>
      <c r="M1068" s="8" t="inlineStr">
        <is>
          <t>20250127</t>
        </is>
      </c>
      <c r="N1068" s="10" t="n">
        <v>97.2</v>
      </c>
      <c r="O1068" s="10">
        <f>IFERROR(VLOOKUP(A1068,Flete!$A:$J,10,0),"")</f>
        <v/>
      </c>
      <c r="P1068" s="8" t="inlineStr">
        <is>
          <t>TN</t>
        </is>
      </c>
      <c r="Q1068" s="10">
        <f>IFERROR(IFERROR(VLOOKUP(A1068,TRAOPE!$A:$U,21,0),VLOOKUP(B1068,TRAOPE!$A:$U,21,0)),"")</f>
        <v/>
      </c>
      <c r="R1068" s="8">
        <f>IFERROR(IFERROR(VLOOKUP(A1068,TRAOPE!$A:$W,23,0),VLOOKUP(B1068,TRAOPE!$A:$W,23,0)),"")</f>
        <v/>
      </c>
      <c r="S1068" s="10">
        <f>IF(AND(P1068="TN",R1068="TN"),N1068+N(O1068),IF(G1068&amp;""="1",N(K1068)*N1068,(N1068+N(O1068))*N(K1068)))</f>
        <v/>
      </c>
      <c r="T1068" s="10">
        <f>IF(Q1068="","",Q1068-S1068)</f>
        <v/>
      </c>
    </row>
    <row r="1069">
      <c r="A1069" s="7">
        <f>CONCATENATE(C1069,E1069,F1069,I1069)</f>
        <v/>
      </c>
      <c r="B1069" s="7">
        <f>CONCATENATE(C1069,E1069,I1069)</f>
        <v/>
      </c>
      <c r="C1069" s="8" t="n">
        <v>900003601</v>
      </c>
      <c r="D1069" s="7">
        <f>IFERROR(VLOOKUP(C1069,TRAOPE!$G:$H,2,0),"")</f>
        <v/>
      </c>
      <c r="E1069" s="8" t="inlineStr">
        <is>
          <t>D836</t>
        </is>
      </c>
      <c r="F1069" s="8" t="inlineStr">
        <is>
          <t>66827157</t>
        </is>
      </c>
      <c r="G1069" s="8">
        <f>IFERROR(VLOOKUP(A1069,Flete!$A:$E,5,0),"")</f>
        <v/>
      </c>
      <c r="H1069" s="7">
        <f>IFERROR(VLOOKUP(F1069,TRAOPE!$AA:$AB,2,0),"")</f>
        <v/>
      </c>
      <c r="I1069" s="7" t="n">
        <v>10000811</v>
      </c>
      <c r="J1069" s="7">
        <f>IFERROR(VLOOKUP(I1069,Materiales!$A:$H,8,0),"")</f>
        <v/>
      </c>
      <c r="K1069" s="9">
        <f>IFERROR(VLOOKUP(I1069,Materiales!$A:$G,7,0),"")</f>
        <v/>
      </c>
      <c r="L1069" s="8" t="inlineStr">
        <is>
          <t>20190426</t>
        </is>
      </c>
      <c r="M1069" s="8" t="inlineStr">
        <is>
          <t>20250127</t>
        </is>
      </c>
      <c r="N1069" s="10" t="n">
        <v>102.6</v>
      </c>
      <c r="O1069" s="10">
        <f>IFERROR(VLOOKUP(A1069,Flete!$A:$J,10,0),"")</f>
        <v/>
      </c>
      <c r="P1069" s="8" t="inlineStr">
        <is>
          <t>TN</t>
        </is>
      </c>
      <c r="Q1069" s="10">
        <f>IFERROR(IFERROR(VLOOKUP(A1069,TRAOPE!$A:$U,21,0),VLOOKUP(B1069,TRAOPE!$A:$U,21,0)),"")</f>
        <v/>
      </c>
      <c r="R1069" s="8">
        <f>IFERROR(IFERROR(VLOOKUP(A1069,TRAOPE!$A:$W,23,0),VLOOKUP(B1069,TRAOPE!$A:$W,23,0)),"")</f>
        <v/>
      </c>
      <c r="S1069" s="10">
        <f>IF(AND(P1069="TN",R1069="TN"),N1069+N(O1069),IF(G1069&amp;""="1",N(K1069)*N1069,(N1069+N(O1069))*N(K1069)))</f>
        <v/>
      </c>
      <c r="T1069" s="10">
        <f>IF(Q1069="","",Q1069-S1069)</f>
        <v/>
      </c>
    </row>
    <row r="1070">
      <c r="A1070" s="7">
        <f>CONCATENATE(C1070,E1070,F1070,I1070)</f>
        <v/>
      </c>
      <c r="B1070" s="7">
        <f>CONCATENATE(C1070,E1070,I1070)</f>
        <v/>
      </c>
      <c r="C1070" s="8" t="n">
        <v>900003601</v>
      </c>
      <c r="D1070" s="7">
        <f>IFERROR(VLOOKUP(C1070,TRAOPE!$G:$H,2,0),"")</f>
        <v/>
      </c>
      <c r="E1070" s="8" t="inlineStr">
        <is>
          <t>D836</t>
        </is>
      </c>
      <c r="F1070" s="8" t="inlineStr">
        <is>
          <t>66828114</t>
        </is>
      </c>
      <c r="G1070" s="8">
        <f>IFERROR(VLOOKUP(A1070,Flete!$A:$E,5,0),"")</f>
        <v/>
      </c>
      <c r="H1070" s="7">
        <f>IFERROR(VLOOKUP(F1070,TRAOPE!$AA:$AB,2,0),"")</f>
        <v/>
      </c>
      <c r="I1070" s="7" t="n">
        <v>10159432</v>
      </c>
      <c r="J1070" s="7">
        <f>IFERROR(VLOOKUP(I1070,Materiales!$A:$H,8,0),"")</f>
        <v/>
      </c>
      <c r="K1070" s="9">
        <f>IFERROR(VLOOKUP(I1070,Materiales!$A:$G,7,0),"")</f>
        <v/>
      </c>
      <c r="L1070" s="8" t="inlineStr">
        <is>
          <t>20190426</t>
        </is>
      </c>
      <c r="M1070" s="8" t="inlineStr">
        <is>
          <t>20250127</t>
        </is>
      </c>
      <c r="N1070" s="10" t="n">
        <v>90</v>
      </c>
      <c r="O1070" s="10">
        <f>IFERROR(VLOOKUP(A1070,Flete!$A:$J,10,0),"")</f>
        <v/>
      </c>
      <c r="P1070" s="8" t="inlineStr">
        <is>
          <t>TN</t>
        </is>
      </c>
      <c r="Q1070" s="10">
        <f>IFERROR(IFERROR(VLOOKUP(A1070,TRAOPE!$A:$U,21,0),VLOOKUP(B1070,TRAOPE!$A:$U,21,0)),"")</f>
        <v/>
      </c>
      <c r="R1070" s="8">
        <f>IFERROR(IFERROR(VLOOKUP(A1070,TRAOPE!$A:$W,23,0),VLOOKUP(B1070,TRAOPE!$A:$W,23,0)),"")</f>
        <v/>
      </c>
      <c r="S1070" s="10">
        <f>IF(AND(P1070="TN",R1070="TN"),N1070+N(O1070),IF(G1070&amp;""="1",N(K1070)*N1070,(N1070+N(O1070))*N(K1070)))</f>
        <v/>
      </c>
      <c r="T1070" s="10">
        <f>IF(Q1070="","",Q1070-S1070)</f>
        <v/>
      </c>
    </row>
    <row r="1071">
      <c r="A1071" s="7">
        <f>CONCATENATE(C1071,E1071,F1071,I1071)</f>
        <v/>
      </c>
      <c r="B1071" s="7">
        <f>CONCATENATE(C1071,E1071,I1071)</f>
        <v/>
      </c>
      <c r="C1071" s="8" t="n">
        <v>900003601</v>
      </c>
      <c r="D1071" s="7">
        <f>IFERROR(VLOOKUP(C1071,TRAOPE!$G:$H,2,0),"")</f>
        <v/>
      </c>
      <c r="E1071" s="8" t="inlineStr">
        <is>
          <t>D836</t>
        </is>
      </c>
      <c r="F1071" s="8" t="inlineStr">
        <is>
          <t>66838326</t>
        </is>
      </c>
      <c r="G1071" s="8">
        <f>IFERROR(VLOOKUP(A1071,Flete!$A:$E,5,0),"")</f>
        <v/>
      </c>
      <c r="H1071" s="7">
        <f>IFERROR(VLOOKUP(F1071,TRAOPE!$AA:$AB,2,0),"")</f>
        <v/>
      </c>
      <c r="I1071" s="7" t="n">
        <v>10000623</v>
      </c>
      <c r="J1071" s="7">
        <f>IFERROR(VLOOKUP(I1071,Materiales!$A:$H,8,0),"")</f>
        <v/>
      </c>
      <c r="K1071" s="9">
        <f>IFERROR(VLOOKUP(I1071,Materiales!$A:$G,7,0),"")</f>
        <v/>
      </c>
      <c r="L1071" s="8" t="inlineStr">
        <is>
          <t>20190426</t>
        </is>
      </c>
      <c r="M1071" s="8" t="inlineStr">
        <is>
          <t>20250127</t>
        </is>
      </c>
      <c r="N1071" s="10" t="n">
        <v>127.44</v>
      </c>
      <c r="O1071" s="10">
        <f>IFERROR(VLOOKUP(A1071,Flete!$A:$J,10,0),"")</f>
        <v/>
      </c>
      <c r="P1071" s="8" t="inlineStr">
        <is>
          <t>TN</t>
        </is>
      </c>
      <c r="Q1071" s="10">
        <f>IFERROR(IFERROR(VLOOKUP(A1071,TRAOPE!$A:$U,21,0),VLOOKUP(B1071,TRAOPE!$A:$U,21,0)),"")</f>
        <v/>
      </c>
      <c r="R1071" s="8">
        <f>IFERROR(IFERROR(VLOOKUP(A1071,TRAOPE!$A:$W,23,0),VLOOKUP(B1071,TRAOPE!$A:$W,23,0)),"")</f>
        <v/>
      </c>
      <c r="S1071" s="10">
        <f>IF(AND(P1071="TN",R1071="TN"),N1071+N(O1071),IF(G1071&amp;""="1",N(K1071)*N1071,(N1071+N(O1071))*N(K1071)))</f>
        <v/>
      </c>
      <c r="T1071" s="10">
        <f>IF(Q1071="","",Q1071-S1071)</f>
        <v/>
      </c>
    </row>
    <row r="1072">
      <c r="A1072" s="7">
        <f>CONCATENATE(C1072,E1072,F1072,I1072)</f>
        <v/>
      </c>
      <c r="B1072" s="7">
        <f>CONCATENATE(C1072,E1072,I1072)</f>
        <v/>
      </c>
      <c r="C1072" s="8" t="n">
        <v>900003601</v>
      </c>
      <c r="D1072" s="7">
        <f>IFERROR(VLOOKUP(C1072,TRAOPE!$G:$H,2,0),"")</f>
        <v/>
      </c>
      <c r="E1072" s="8" t="inlineStr">
        <is>
          <t>D836</t>
        </is>
      </c>
      <c r="F1072" s="8" t="inlineStr">
        <is>
          <t>66875513</t>
        </is>
      </c>
      <c r="G1072" s="8">
        <f>IFERROR(VLOOKUP(A1072,Flete!$A:$E,5,0),"")</f>
        <v/>
      </c>
      <c r="H1072" s="7">
        <f>IFERROR(VLOOKUP(F1072,TRAOPE!$AA:$AB,2,0),"")</f>
        <v/>
      </c>
      <c r="I1072" s="7" t="n">
        <v>10000623</v>
      </c>
      <c r="J1072" s="7">
        <f>IFERROR(VLOOKUP(I1072,Materiales!$A:$H,8,0),"")</f>
        <v/>
      </c>
      <c r="K1072" s="9">
        <f>IFERROR(VLOOKUP(I1072,Materiales!$A:$G,7,0),"")</f>
        <v/>
      </c>
      <c r="L1072" s="8" t="inlineStr">
        <is>
          <t>20190426</t>
        </is>
      </c>
      <c r="M1072" s="8" t="inlineStr">
        <is>
          <t>20250127</t>
        </is>
      </c>
      <c r="N1072" s="10" t="n">
        <v>102.6</v>
      </c>
      <c r="O1072" s="10">
        <f>IFERROR(VLOOKUP(A1072,Flete!$A:$J,10,0),"")</f>
        <v/>
      </c>
      <c r="P1072" s="8" t="inlineStr">
        <is>
          <t>TN</t>
        </is>
      </c>
      <c r="Q1072" s="10">
        <f>IFERROR(IFERROR(VLOOKUP(A1072,TRAOPE!$A:$U,21,0),VLOOKUP(B1072,TRAOPE!$A:$U,21,0)),"")</f>
        <v/>
      </c>
      <c r="R1072" s="8">
        <f>IFERROR(IFERROR(VLOOKUP(A1072,TRAOPE!$A:$W,23,0),VLOOKUP(B1072,TRAOPE!$A:$W,23,0)),"")</f>
        <v/>
      </c>
      <c r="S1072" s="10">
        <f>IF(AND(P1072="TN",R1072="TN"),N1072+N(O1072),IF(G1072&amp;""="1",N(K1072)*N1072,(N1072+N(O1072))*N(K1072)))</f>
        <v/>
      </c>
      <c r="T1072" s="10">
        <f>IF(Q1072="","",Q1072-S1072)</f>
        <v/>
      </c>
    </row>
    <row r="1073">
      <c r="A1073" s="7">
        <f>CONCATENATE(C1073,E1073,F1073,I1073)</f>
        <v/>
      </c>
      <c r="B1073" s="7">
        <f>CONCATENATE(C1073,E1073,I1073)</f>
        <v/>
      </c>
      <c r="C1073" s="8" t="n">
        <v>900003601</v>
      </c>
      <c r="D1073" s="7">
        <f>IFERROR(VLOOKUP(C1073,TRAOPE!$G:$H,2,0),"")</f>
        <v/>
      </c>
      <c r="E1073" s="8" t="inlineStr">
        <is>
          <t>D836</t>
        </is>
      </c>
      <c r="F1073" s="8" t="inlineStr">
        <is>
          <t>66898280</t>
        </is>
      </c>
      <c r="G1073" s="8">
        <f>IFERROR(VLOOKUP(A1073,Flete!$A:$E,5,0),"")</f>
        <v/>
      </c>
      <c r="H1073" s="7">
        <f>IFERROR(VLOOKUP(F1073,TRAOPE!$AA:$AB,2,0),"")</f>
        <v/>
      </c>
      <c r="I1073" s="7" t="n">
        <v>10000623</v>
      </c>
      <c r="J1073" s="7">
        <f>IFERROR(VLOOKUP(I1073,Materiales!$A:$H,8,0),"")</f>
        <v/>
      </c>
      <c r="K1073" s="9">
        <f>IFERROR(VLOOKUP(I1073,Materiales!$A:$G,7,0),"")</f>
        <v/>
      </c>
      <c r="L1073" s="8" t="inlineStr">
        <is>
          <t>20190426</t>
        </is>
      </c>
      <c r="M1073" s="8" t="inlineStr">
        <is>
          <t>20250127</t>
        </is>
      </c>
      <c r="N1073" s="10" t="n">
        <v>108</v>
      </c>
      <c r="O1073" s="10">
        <f>IFERROR(VLOOKUP(A1073,Flete!$A:$J,10,0),"")</f>
        <v/>
      </c>
      <c r="P1073" s="8" t="inlineStr">
        <is>
          <t>TN</t>
        </is>
      </c>
      <c r="Q1073" s="10">
        <f>IFERROR(IFERROR(VLOOKUP(A1073,TRAOPE!$A:$U,21,0),VLOOKUP(B1073,TRAOPE!$A:$U,21,0)),"")</f>
        <v/>
      </c>
      <c r="R1073" s="8">
        <f>IFERROR(IFERROR(VLOOKUP(A1073,TRAOPE!$A:$W,23,0),VLOOKUP(B1073,TRAOPE!$A:$W,23,0)),"")</f>
        <v/>
      </c>
      <c r="S1073" s="10">
        <f>IF(AND(P1073="TN",R1073="TN"),N1073+N(O1073),IF(G1073&amp;""="1",N(K1073)*N1073,(N1073+N(O1073))*N(K1073)))</f>
        <v/>
      </c>
      <c r="T1073" s="10">
        <f>IF(Q1073="","",Q1073-S1073)</f>
        <v/>
      </c>
    </row>
    <row r="1074">
      <c r="A1074" s="7">
        <f>CONCATENATE(C1074,E1074,F1074,I1074)</f>
        <v/>
      </c>
      <c r="B1074" s="7">
        <f>CONCATENATE(C1074,E1074,I1074)</f>
        <v/>
      </c>
      <c r="C1074" s="8" t="n">
        <v>900003601</v>
      </c>
      <c r="D1074" s="7">
        <f>IFERROR(VLOOKUP(C1074,TRAOPE!$G:$H,2,0),"")</f>
        <v/>
      </c>
      <c r="E1074" s="8" t="inlineStr">
        <is>
          <t>D836</t>
        </is>
      </c>
      <c r="F1074" s="8" t="inlineStr">
        <is>
          <t>66898280</t>
        </is>
      </c>
      <c r="G1074" s="8">
        <f>IFERROR(VLOOKUP(A1074,Flete!$A:$E,5,0),"")</f>
        <v/>
      </c>
      <c r="H1074" s="7">
        <f>IFERROR(VLOOKUP(F1074,TRAOPE!$AA:$AB,2,0),"")</f>
        <v/>
      </c>
      <c r="I1074" s="7" t="n">
        <v>10000722</v>
      </c>
      <c r="J1074" s="7">
        <f>IFERROR(VLOOKUP(I1074,Materiales!$A:$H,8,0),"")</f>
        <v/>
      </c>
      <c r="K1074" s="9">
        <f>IFERROR(VLOOKUP(I1074,Materiales!$A:$G,7,0),"")</f>
        <v/>
      </c>
      <c r="L1074" s="8" t="inlineStr">
        <is>
          <t>20190426</t>
        </is>
      </c>
      <c r="M1074" s="8" t="inlineStr">
        <is>
          <t>20250127</t>
        </is>
      </c>
      <c r="N1074" s="10" t="n">
        <v>108</v>
      </c>
      <c r="O1074" s="10">
        <f>IFERROR(VLOOKUP(A1074,Flete!$A:$J,10,0),"")</f>
        <v/>
      </c>
      <c r="P1074" s="8" t="inlineStr">
        <is>
          <t>TN</t>
        </is>
      </c>
      <c r="Q1074" s="10">
        <f>IFERROR(IFERROR(VLOOKUP(A1074,TRAOPE!$A:$U,21,0),VLOOKUP(B1074,TRAOPE!$A:$U,21,0)),"")</f>
        <v/>
      </c>
      <c r="R1074" s="8">
        <f>IFERROR(IFERROR(VLOOKUP(A1074,TRAOPE!$A:$W,23,0),VLOOKUP(B1074,TRAOPE!$A:$W,23,0)),"")</f>
        <v/>
      </c>
      <c r="S1074" s="10">
        <f>IF(AND(P1074="TN",R1074="TN"),N1074+N(O1074),IF(G1074&amp;""="1",N(K1074)*N1074,(N1074+N(O1074))*N(K1074)))</f>
        <v/>
      </c>
      <c r="T1074" s="10">
        <f>IF(Q1074="","",Q1074-S1074)</f>
        <v/>
      </c>
    </row>
    <row r="1075">
      <c r="A1075" s="7">
        <f>CONCATENATE(C1075,E1075,F1075,I1075)</f>
        <v/>
      </c>
      <c r="B1075" s="7">
        <f>CONCATENATE(C1075,E1075,I1075)</f>
        <v/>
      </c>
      <c r="C1075" s="8" t="n">
        <v>900003601</v>
      </c>
      <c r="D1075" s="7">
        <f>IFERROR(VLOOKUP(C1075,TRAOPE!$G:$H,2,0),"")</f>
        <v/>
      </c>
      <c r="E1075" s="8" t="inlineStr">
        <is>
          <t>D836</t>
        </is>
      </c>
      <c r="F1075" s="8" t="inlineStr">
        <is>
          <t>66898281</t>
        </is>
      </c>
      <c r="G1075" s="8">
        <f>IFERROR(VLOOKUP(A1075,Flete!$A:$E,5,0),"")</f>
        <v/>
      </c>
      <c r="H1075" s="7">
        <f>IFERROR(VLOOKUP(F1075,TRAOPE!$AA:$AB,2,0),"")</f>
        <v/>
      </c>
      <c r="I1075" s="7" t="n">
        <v>10000623</v>
      </c>
      <c r="J1075" s="7">
        <f>IFERROR(VLOOKUP(I1075,Materiales!$A:$H,8,0),"")</f>
        <v/>
      </c>
      <c r="K1075" s="9">
        <f>IFERROR(VLOOKUP(I1075,Materiales!$A:$G,7,0),"")</f>
        <v/>
      </c>
      <c r="L1075" s="8" t="inlineStr">
        <is>
          <t>20190426</t>
        </is>
      </c>
      <c r="M1075" s="8" t="inlineStr">
        <is>
          <t>20250127</t>
        </is>
      </c>
      <c r="N1075" s="10" t="n">
        <v>108</v>
      </c>
      <c r="O1075" s="10">
        <f>IFERROR(VLOOKUP(A1075,Flete!$A:$J,10,0),"")</f>
        <v/>
      </c>
      <c r="P1075" s="8" t="inlineStr">
        <is>
          <t>TN</t>
        </is>
      </c>
      <c r="Q1075" s="10">
        <f>IFERROR(IFERROR(VLOOKUP(A1075,TRAOPE!$A:$U,21,0),VLOOKUP(B1075,TRAOPE!$A:$U,21,0)),"")</f>
        <v/>
      </c>
      <c r="R1075" s="8">
        <f>IFERROR(IFERROR(VLOOKUP(A1075,TRAOPE!$A:$W,23,0),VLOOKUP(B1075,TRAOPE!$A:$W,23,0)),"")</f>
        <v/>
      </c>
      <c r="S1075" s="10">
        <f>IF(AND(P1075="TN",R1075="TN"),N1075+N(O1075),IF(G1075&amp;""="1",N(K1075)*N1075,(N1075+N(O1075))*N(K1075)))</f>
        <v/>
      </c>
      <c r="T1075" s="10">
        <f>IF(Q1075="","",Q1075-S1075)</f>
        <v/>
      </c>
    </row>
    <row r="1076">
      <c r="A1076" s="7">
        <f>CONCATENATE(C1076,E1076,F1076,I1076)</f>
        <v/>
      </c>
      <c r="B1076" s="7">
        <f>CONCATENATE(C1076,E1076,I1076)</f>
        <v/>
      </c>
      <c r="C1076" s="8" t="n">
        <v>900003601</v>
      </c>
      <c r="D1076" s="7">
        <f>IFERROR(VLOOKUP(C1076,TRAOPE!$G:$H,2,0),"")</f>
        <v/>
      </c>
      <c r="E1076" s="8" t="inlineStr">
        <is>
          <t>D836</t>
        </is>
      </c>
      <c r="F1076" s="8" t="inlineStr">
        <is>
          <t>66898281</t>
        </is>
      </c>
      <c r="G1076" s="8">
        <f>IFERROR(VLOOKUP(A1076,Flete!$A:$E,5,0),"")</f>
        <v/>
      </c>
      <c r="H1076" s="7">
        <f>IFERROR(VLOOKUP(F1076,TRAOPE!$AA:$AB,2,0),"")</f>
        <v/>
      </c>
      <c r="I1076" s="7" t="n">
        <v>10000722</v>
      </c>
      <c r="J1076" s="7">
        <f>IFERROR(VLOOKUP(I1076,Materiales!$A:$H,8,0),"")</f>
        <v/>
      </c>
      <c r="K1076" s="9">
        <f>IFERROR(VLOOKUP(I1076,Materiales!$A:$G,7,0),"")</f>
        <v/>
      </c>
      <c r="L1076" s="8" t="inlineStr">
        <is>
          <t>20190426</t>
        </is>
      </c>
      <c r="M1076" s="8" t="inlineStr">
        <is>
          <t>20250127</t>
        </is>
      </c>
      <c r="N1076" s="10" t="n">
        <v>108</v>
      </c>
      <c r="O1076" s="10">
        <f>IFERROR(VLOOKUP(A1076,Flete!$A:$J,10,0),"")</f>
        <v/>
      </c>
      <c r="P1076" s="8" t="inlineStr">
        <is>
          <t>TN</t>
        </is>
      </c>
      <c r="Q1076" s="10">
        <f>IFERROR(IFERROR(VLOOKUP(A1076,TRAOPE!$A:$U,21,0),VLOOKUP(B1076,TRAOPE!$A:$U,21,0)),"")</f>
        <v/>
      </c>
      <c r="R1076" s="8">
        <f>IFERROR(IFERROR(VLOOKUP(A1076,TRAOPE!$A:$W,23,0),VLOOKUP(B1076,TRAOPE!$A:$W,23,0)),"")</f>
        <v/>
      </c>
      <c r="S1076" s="10">
        <f>IF(AND(P1076="TN",R1076="TN"),N1076+N(O1076),IF(G1076&amp;""="1",N(K1076)*N1076,(N1076+N(O1076))*N(K1076)))</f>
        <v/>
      </c>
      <c r="T1076" s="10">
        <f>IF(Q1076="","",Q1076-S1076)</f>
        <v/>
      </c>
    </row>
    <row r="1077">
      <c r="A1077" s="7">
        <f>CONCATENATE(C1077,E1077,F1077,I1077)</f>
        <v/>
      </c>
      <c r="B1077" s="7">
        <f>CONCATENATE(C1077,E1077,I1077)</f>
        <v/>
      </c>
      <c r="C1077" s="8" t="n">
        <v>900003601</v>
      </c>
      <c r="D1077" s="7">
        <f>IFERROR(VLOOKUP(C1077,TRAOPE!$G:$H,2,0),"")</f>
        <v/>
      </c>
      <c r="E1077" s="8" t="inlineStr">
        <is>
          <t>D836</t>
        </is>
      </c>
      <c r="F1077" s="8" t="inlineStr">
        <is>
          <t>66905251</t>
        </is>
      </c>
      <c r="G1077" s="8">
        <f>IFERROR(VLOOKUP(A1077,Flete!$A:$E,5,0),"")</f>
        <v/>
      </c>
      <c r="H1077" s="7">
        <f>IFERROR(VLOOKUP(F1077,TRAOPE!$AA:$AB,2,0),"")</f>
        <v/>
      </c>
      <c r="I1077" s="7" t="n">
        <v>10000623</v>
      </c>
      <c r="J1077" s="7">
        <f>IFERROR(VLOOKUP(I1077,Materiales!$A:$H,8,0),"")</f>
        <v/>
      </c>
      <c r="K1077" s="9">
        <f>IFERROR(VLOOKUP(I1077,Materiales!$A:$G,7,0),"")</f>
        <v/>
      </c>
      <c r="L1077" s="8" t="inlineStr">
        <is>
          <t>20190426</t>
        </is>
      </c>
      <c r="M1077" s="8" t="inlineStr">
        <is>
          <t>20250127</t>
        </is>
      </c>
      <c r="N1077" s="10" t="n">
        <v>102.6</v>
      </c>
      <c r="O1077" s="10">
        <f>IFERROR(VLOOKUP(A1077,Flete!$A:$J,10,0),"")</f>
        <v/>
      </c>
      <c r="P1077" s="8" t="inlineStr">
        <is>
          <t>TN</t>
        </is>
      </c>
      <c r="Q1077" s="10">
        <f>IFERROR(IFERROR(VLOOKUP(A1077,TRAOPE!$A:$U,21,0),VLOOKUP(B1077,TRAOPE!$A:$U,21,0)),"")</f>
        <v/>
      </c>
      <c r="R1077" s="8">
        <f>IFERROR(IFERROR(VLOOKUP(A1077,TRAOPE!$A:$W,23,0),VLOOKUP(B1077,TRAOPE!$A:$W,23,0)),"")</f>
        <v/>
      </c>
      <c r="S1077" s="10">
        <f>IF(AND(P1077="TN",R1077="TN"),N1077+N(O1077),IF(G1077&amp;""="1",N(K1077)*N1077,(N1077+N(O1077))*N(K1077)))</f>
        <v/>
      </c>
      <c r="T1077" s="10">
        <f>IF(Q1077="","",Q1077-S1077)</f>
        <v/>
      </c>
    </row>
    <row r="1078">
      <c r="A1078" s="7">
        <f>CONCATENATE(C1078,E1078,F1078,I1078)</f>
        <v/>
      </c>
      <c r="B1078" s="7">
        <f>CONCATENATE(C1078,E1078,I1078)</f>
        <v/>
      </c>
      <c r="C1078" s="8" t="n">
        <v>900003601</v>
      </c>
      <c r="D1078" s="7">
        <f>IFERROR(VLOOKUP(C1078,TRAOPE!$G:$H,2,0),"")</f>
        <v/>
      </c>
      <c r="E1078" s="8" t="inlineStr">
        <is>
          <t>D836</t>
        </is>
      </c>
      <c r="F1078" s="8" t="inlineStr">
        <is>
          <t>66933313</t>
        </is>
      </c>
      <c r="G1078" s="8">
        <f>IFERROR(VLOOKUP(A1078,Flete!$A:$E,5,0),"")</f>
        <v/>
      </c>
      <c r="H1078" s="7">
        <f>IFERROR(VLOOKUP(F1078,TRAOPE!$AA:$AB,2,0),"")</f>
        <v/>
      </c>
      <c r="I1078" s="7" t="n">
        <v>10000623</v>
      </c>
      <c r="J1078" s="7">
        <f>IFERROR(VLOOKUP(I1078,Materiales!$A:$H,8,0),"")</f>
        <v/>
      </c>
      <c r="K1078" s="9">
        <f>IFERROR(VLOOKUP(I1078,Materiales!$A:$G,7,0),"")</f>
        <v/>
      </c>
      <c r="L1078" s="8" t="inlineStr">
        <is>
          <t>20190426</t>
        </is>
      </c>
      <c r="M1078" s="8" t="inlineStr">
        <is>
          <t>20250127</t>
        </is>
      </c>
      <c r="N1078" s="10" t="n">
        <v>110</v>
      </c>
      <c r="O1078" s="10">
        <f>IFERROR(VLOOKUP(A1078,Flete!$A:$J,10,0),"")</f>
        <v/>
      </c>
      <c r="P1078" s="8" t="inlineStr">
        <is>
          <t>TN</t>
        </is>
      </c>
      <c r="Q1078" s="10">
        <f>IFERROR(IFERROR(VLOOKUP(A1078,TRAOPE!$A:$U,21,0),VLOOKUP(B1078,TRAOPE!$A:$U,21,0)),"")</f>
        <v/>
      </c>
      <c r="R1078" s="8">
        <f>IFERROR(IFERROR(VLOOKUP(A1078,TRAOPE!$A:$W,23,0),VLOOKUP(B1078,TRAOPE!$A:$W,23,0)),"")</f>
        <v/>
      </c>
      <c r="S1078" s="10">
        <f>IF(AND(P1078="TN",R1078="TN"),N1078+N(O1078),IF(G1078&amp;""="1",N(K1078)*N1078,(N1078+N(O1078))*N(K1078)))</f>
        <v/>
      </c>
      <c r="T1078" s="10">
        <f>IF(Q1078="","",Q1078-S1078)</f>
        <v/>
      </c>
    </row>
    <row r="1079">
      <c r="A1079" s="7">
        <f>CONCATENATE(C1079,E1079,F1079,I1079)</f>
        <v/>
      </c>
      <c r="B1079" s="7">
        <f>CONCATENATE(C1079,E1079,I1079)</f>
        <v/>
      </c>
      <c r="C1079" s="8" t="n">
        <v>900003601</v>
      </c>
      <c r="D1079" s="7">
        <f>IFERROR(VLOOKUP(C1079,TRAOPE!$G:$H,2,0),"")</f>
        <v/>
      </c>
      <c r="E1079" s="8" t="inlineStr">
        <is>
          <t>D836</t>
        </is>
      </c>
      <c r="F1079" s="8" t="inlineStr">
        <is>
          <t>66933313</t>
        </is>
      </c>
      <c r="G1079" s="8">
        <f>IFERROR(VLOOKUP(A1079,Flete!$A:$E,5,0),"")</f>
        <v/>
      </c>
      <c r="H1079" s="7">
        <f>IFERROR(VLOOKUP(F1079,TRAOPE!$AA:$AB,2,0),"")</f>
        <v/>
      </c>
      <c r="I1079" s="7" t="n">
        <v>10000811</v>
      </c>
      <c r="J1079" s="7">
        <f>IFERROR(VLOOKUP(I1079,Materiales!$A:$H,8,0),"")</f>
        <v/>
      </c>
      <c r="K1079" s="9">
        <f>IFERROR(VLOOKUP(I1079,Materiales!$A:$G,7,0),"")</f>
        <v/>
      </c>
      <c r="L1079" s="8" t="inlineStr">
        <is>
          <t>20190426</t>
        </is>
      </c>
      <c r="M1079" s="8" t="inlineStr">
        <is>
          <t>20250127</t>
        </is>
      </c>
      <c r="N1079" s="10" t="n">
        <v>110</v>
      </c>
      <c r="O1079" s="10">
        <f>IFERROR(VLOOKUP(A1079,Flete!$A:$J,10,0),"")</f>
        <v/>
      </c>
      <c r="P1079" s="8" t="inlineStr">
        <is>
          <t>TN</t>
        </is>
      </c>
      <c r="Q1079" s="10">
        <f>IFERROR(IFERROR(VLOOKUP(A1079,TRAOPE!$A:$U,21,0),VLOOKUP(B1079,TRAOPE!$A:$U,21,0)),"")</f>
        <v/>
      </c>
      <c r="R1079" s="8">
        <f>IFERROR(IFERROR(VLOOKUP(A1079,TRAOPE!$A:$W,23,0),VLOOKUP(B1079,TRAOPE!$A:$W,23,0)),"")</f>
        <v/>
      </c>
      <c r="S1079" s="10">
        <f>IF(AND(P1079="TN",R1079="TN"),N1079+N(O1079),IF(G1079&amp;""="1",N(K1079)*N1079,(N1079+N(O1079))*N(K1079)))</f>
        <v/>
      </c>
      <c r="T1079" s="10">
        <f>IF(Q1079="","",Q1079-S1079)</f>
        <v/>
      </c>
    </row>
    <row r="1080">
      <c r="A1080" s="7">
        <f>CONCATENATE(C1080,E1080,F1080,I1080)</f>
        <v/>
      </c>
      <c r="B1080" s="7">
        <f>CONCATENATE(C1080,E1080,I1080)</f>
        <v/>
      </c>
      <c r="C1080" s="8" t="n">
        <v>900003601</v>
      </c>
      <c r="D1080" s="7">
        <f>IFERROR(VLOOKUP(C1080,TRAOPE!$G:$H,2,0),"")</f>
        <v/>
      </c>
      <c r="E1080" s="8" t="inlineStr">
        <is>
          <t>D836</t>
        </is>
      </c>
      <c r="F1080" s="8" t="inlineStr">
        <is>
          <t>66977443</t>
        </is>
      </c>
      <c r="G1080" s="8">
        <f>IFERROR(VLOOKUP(A1080,Flete!$A:$E,5,0),"")</f>
        <v/>
      </c>
      <c r="H1080" s="7">
        <f>IFERROR(VLOOKUP(F1080,TRAOPE!$AA:$AB,2,0),"")</f>
        <v/>
      </c>
      <c r="I1080" s="7" t="n">
        <v>10159432</v>
      </c>
      <c r="J1080" s="7">
        <f>IFERROR(VLOOKUP(I1080,Materiales!$A:$H,8,0),"")</f>
        <v/>
      </c>
      <c r="K1080" s="9">
        <f>IFERROR(VLOOKUP(I1080,Materiales!$A:$G,7,0),"")</f>
        <v/>
      </c>
      <c r="L1080" s="8" t="inlineStr">
        <is>
          <t>20190426</t>
        </is>
      </c>
      <c r="M1080" s="8" t="inlineStr">
        <is>
          <t>20250127</t>
        </is>
      </c>
      <c r="N1080" s="10" t="n">
        <v>90</v>
      </c>
      <c r="O1080" s="10">
        <f>IFERROR(VLOOKUP(A1080,Flete!$A:$J,10,0),"")</f>
        <v/>
      </c>
      <c r="P1080" s="8" t="inlineStr">
        <is>
          <t>TN</t>
        </is>
      </c>
      <c r="Q1080" s="10">
        <f>IFERROR(IFERROR(VLOOKUP(A1080,TRAOPE!$A:$U,21,0),VLOOKUP(B1080,TRAOPE!$A:$U,21,0)),"")</f>
        <v/>
      </c>
      <c r="R1080" s="8">
        <f>IFERROR(IFERROR(VLOOKUP(A1080,TRAOPE!$A:$W,23,0),VLOOKUP(B1080,TRAOPE!$A:$W,23,0)),"")</f>
        <v/>
      </c>
      <c r="S1080" s="10">
        <f>IF(AND(P1080="TN",R1080="TN"),N1080+N(O1080),IF(G1080&amp;""="1",N(K1080)*N1080,(N1080+N(O1080))*N(K1080)))</f>
        <v/>
      </c>
      <c r="T1080" s="10">
        <f>IF(Q1080="","",Q1080-S1080)</f>
        <v/>
      </c>
    </row>
    <row r="1081">
      <c r="A1081" s="7">
        <f>CONCATENATE(C1081,E1081,F1081,I1081)</f>
        <v/>
      </c>
      <c r="B1081" s="7">
        <f>CONCATENATE(C1081,E1081,I1081)</f>
        <v/>
      </c>
      <c r="C1081" s="8" t="n">
        <v>900003601</v>
      </c>
      <c r="D1081" s="7">
        <f>IFERROR(VLOOKUP(C1081,TRAOPE!$G:$H,2,0),"")</f>
        <v/>
      </c>
      <c r="E1081" s="8" t="inlineStr">
        <is>
          <t>D836</t>
        </is>
      </c>
      <c r="F1081" s="8" t="inlineStr">
        <is>
          <t>67007608</t>
        </is>
      </c>
      <c r="G1081" s="8">
        <f>IFERROR(VLOOKUP(A1081,Flete!$A:$E,5,0),"")</f>
        <v/>
      </c>
      <c r="H1081" s="7">
        <f>IFERROR(VLOOKUP(F1081,TRAOPE!$AA:$AB,2,0),"")</f>
        <v/>
      </c>
      <c r="I1081" s="7" t="n">
        <v>10000722</v>
      </c>
      <c r="J1081" s="7">
        <f>IFERROR(VLOOKUP(I1081,Materiales!$A:$H,8,0),"")</f>
        <v/>
      </c>
      <c r="K1081" s="9">
        <f>IFERROR(VLOOKUP(I1081,Materiales!$A:$G,7,0),"")</f>
        <v/>
      </c>
      <c r="L1081" s="8" t="inlineStr">
        <is>
          <t>20190426</t>
        </is>
      </c>
      <c r="M1081" s="8" t="inlineStr">
        <is>
          <t>20250127</t>
        </is>
      </c>
      <c r="N1081" s="10" t="n">
        <v>100</v>
      </c>
      <c r="O1081" s="10">
        <f>IFERROR(VLOOKUP(A1081,Flete!$A:$J,10,0),"")</f>
        <v/>
      </c>
      <c r="P1081" s="8" t="inlineStr">
        <is>
          <t>TN</t>
        </is>
      </c>
      <c r="Q1081" s="10">
        <f>IFERROR(IFERROR(VLOOKUP(A1081,TRAOPE!$A:$U,21,0),VLOOKUP(B1081,TRAOPE!$A:$U,21,0)),"")</f>
        <v/>
      </c>
      <c r="R1081" s="8">
        <f>IFERROR(IFERROR(VLOOKUP(A1081,TRAOPE!$A:$W,23,0),VLOOKUP(B1081,TRAOPE!$A:$W,23,0)),"")</f>
        <v/>
      </c>
      <c r="S1081" s="10">
        <f>IF(AND(P1081="TN",R1081="TN"),N1081+N(O1081),IF(G1081&amp;""="1",N(K1081)*N1081,(N1081+N(O1081))*N(K1081)))</f>
        <v/>
      </c>
      <c r="T1081" s="10">
        <f>IF(Q1081="","",Q1081-S1081)</f>
        <v/>
      </c>
    </row>
    <row r="1082">
      <c r="A1082" s="7">
        <f>CONCATENATE(C1082,E1082,F1082,I1082)</f>
        <v/>
      </c>
      <c r="B1082" s="7">
        <f>CONCATENATE(C1082,E1082,I1082)</f>
        <v/>
      </c>
      <c r="C1082" s="8" t="n">
        <v>900003601</v>
      </c>
      <c r="D1082" s="7">
        <f>IFERROR(VLOOKUP(C1082,TRAOPE!$G:$H,2,0),"")</f>
        <v/>
      </c>
      <c r="E1082" s="8" t="inlineStr">
        <is>
          <t>D836</t>
        </is>
      </c>
      <c r="F1082" s="8" t="inlineStr">
        <is>
          <t>67011332</t>
        </is>
      </c>
      <c r="G1082" s="8">
        <f>IFERROR(VLOOKUP(A1082,Flete!$A:$E,5,0),"")</f>
        <v/>
      </c>
      <c r="H1082" s="7">
        <f>IFERROR(VLOOKUP(F1082,TRAOPE!$AA:$AB,2,0),"")</f>
        <v/>
      </c>
      <c r="I1082" s="7" t="n">
        <v>10000623</v>
      </c>
      <c r="J1082" s="7">
        <f>IFERROR(VLOOKUP(I1082,Materiales!$A:$H,8,0),"")</f>
        <v/>
      </c>
      <c r="K1082" s="9">
        <f>IFERROR(VLOOKUP(I1082,Materiales!$A:$G,7,0),"")</f>
        <v/>
      </c>
      <c r="L1082" s="8" t="inlineStr">
        <is>
          <t>20190426</t>
        </is>
      </c>
      <c r="M1082" s="8" t="inlineStr">
        <is>
          <t>20250127</t>
        </is>
      </c>
      <c r="N1082" s="10" t="n">
        <v>110</v>
      </c>
      <c r="O1082" s="10">
        <f>IFERROR(VLOOKUP(A1082,Flete!$A:$J,10,0),"")</f>
        <v/>
      </c>
      <c r="P1082" s="8" t="inlineStr">
        <is>
          <t>TN</t>
        </is>
      </c>
      <c r="Q1082" s="10">
        <f>IFERROR(IFERROR(VLOOKUP(A1082,TRAOPE!$A:$U,21,0),VLOOKUP(B1082,TRAOPE!$A:$U,21,0)),"")</f>
        <v/>
      </c>
      <c r="R1082" s="8">
        <f>IFERROR(IFERROR(VLOOKUP(A1082,TRAOPE!$A:$W,23,0),VLOOKUP(B1082,TRAOPE!$A:$W,23,0)),"")</f>
        <v/>
      </c>
      <c r="S1082" s="10">
        <f>IF(AND(P1082="TN",R1082="TN"),N1082+N(O1082),IF(G1082&amp;""="1",N(K1082)*N1082,(N1082+N(O1082))*N(K1082)))</f>
        <v/>
      </c>
      <c r="T1082" s="10">
        <f>IF(Q1082="","",Q1082-S1082)</f>
        <v/>
      </c>
    </row>
    <row r="1083">
      <c r="A1083" s="7">
        <f>CONCATENATE(C1083,E1083,F1083,I1083)</f>
        <v/>
      </c>
      <c r="B1083" s="7">
        <f>CONCATENATE(C1083,E1083,I1083)</f>
        <v/>
      </c>
      <c r="C1083" s="8" t="n">
        <v>900003601</v>
      </c>
      <c r="D1083" s="7">
        <f>IFERROR(VLOOKUP(C1083,TRAOPE!$G:$H,2,0),"")</f>
        <v/>
      </c>
      <c r="E1083" s="8" t="inlineStr">
        <is>
          <t>D836</t>
        </is>
      </c>
      <c r="F1083" s="8" t="inlineStr">
        <is>
          <t>67011332</t>
        </is>
      </c>
      <c r="G1083" s="8">
        <f>IFERROR(VLOOKUP(A1083,Flete!$A:$E,5,0),"")</f>
        <v/>
      </c>
      <c r="H1083" s="7">
        <f>IFERROR(VLOOKUP(F1083,TRAOPE!$AA:$AB,2,0),"")</f>
        <v/>
      </c>
      <c r="I1083" s="7" t="n">
        <v>10000624</v>
      </c>
      <c r="J1083" s="7">
        <f>IFERROR(VLOOKUP(I1083,Materiales!$A:$H,8,0),"")</f>
        <v/>
      </c>
      <c r="K1083" s="9">
        <f>IFERROR(VLOOKUP(I1083,Materiales!$A:$G,7,0),"")</f>
        <v/>
      </c>
      <c r="L1083" s="8" t="inlineStr">
        <is>
          <t>20190426</t>
        </is>
      </c>
      <c r="M1083" s="8" t="inlineStr">
        <is>
          <t>20250127</t>
        </is>
      </c>
      <c r="N1083" s="10" t="n">
        <v>105</v>
      </c>
      <c r="O1083" s="10">
        <f>IFERROR(VLOOKUP(A1083,Flete!$A:$J,10,0),"")</f>
        <v/>
      </c>
      <c r="P1083" s="8" t="inlineStr">
        <is>
          <t>TN</t>
        </is>
      </c>
      <c r="Q1083" s="10">
        <f>IFERROR(IFERROR(VLOOKUP(A1083,TRAOPE!$A:$U,21,0),VLOOKUP(B1083,TRAOPE!$A:$U,21,0)),"")</f>
        <v/>
      </c>
      <c r="R1083" s="8">
        <f>IFERROR(IFERROR(VLOOKUP(A1083,TRAOPE!$A:$W,23,0),VLOOKUP(B1083,TRAOPE!$A:$W,23,0)),"")</f>
        <v/>
      </c>
      <c r="S1083" s="10">
        <f>IF(AND(P1083="TN",R1083="TN"),N1083+N(O1083),IF(G1083&amp;""="1",N(K1083)*N1083,(N1083+N(O1083))*N(K1083)))</f>
        <v/>
      </c>
      <c r="T1083" s="10">
        <f>IF(Q1083="","",Q1083-S1083)</f>
        <v/>
      </c>
    </row>
    <row r="1084">
      <c r="A1084" s="7">
        <f>CONCATENATE(C1084,E1084,F1084,I1084)</f>
        <v/>
      </c>
      <c r="B1084" s="7">
        <f>CONCATENATE(C1084,E1084,I1084)</f>
        <v/>
      </c>
      <c r="C1084" s="8" t="n">
        <v>900003601</v>
      </c>
      <c r="D1084" s="7">
        <f>IFERROR(VLOOKUP(C1084,TRAOPE!$G:$H,2,0),"")</f>
        <v/>
      </c>
      <c r="E1084" s="8" t="inlineStr">
        <is>
          <t>D836</t>
        </is>
      </c>
      <c r="F1084" s="8" t="inlineStr">
        <is>
          <t>67011332</t>
        </is>
      </c>
      <c r="G1084" s="8">
        <f>IFERROR(VLOOKUP(A1084,Flete!$A:$E,5,0),"")</f>
        <v/>
      </c>
      <c r="H1084" s="7">
        <f>IFERROR(VLOOKUP(F1084,TRAOPE!$AA:$AB,2,0),"")</f>
        <v/>
      </c>
      <c r="I1084" s="7" t="n">
        <v>10000722</v>
      </c>
      <c r="J1084" s="7">
        <f>IFERROR(VLOOKUP(I1084,Materiales!$A:$H,8,0),"")</f>
        <v/>
      </c>
      <c r="K1084" s="9">
        <f>IFERROR(VLOOKUP(I1084,Materiales!$A:$G,7,0),"")</f>
        <v/>
      </c>
      <c r="L1084" s="8" t="inlineStr">
        <is>
          <t>20190426</t>
        </is>
      </c>
      <c r="M1084" s="8" t="inlineStr">
        <is>
          <t>20250127</t>
        </is>
      </c>
      <c r="N1084" s="10" t="n">
        <v>110</v>
      </c>
      <c r="O1084" s="10">
        <f>IFERROR(VLOOKUP(A1084,Flete!$A:$J,10,0),"")</f>
        <v/>
      </c>
      <c r="P1084" s="8" t="inlineStr">
        <is>
          <t>TN</t>
        </is>
      </c>
      <c r="Q1084" s="10">
        <f>IFERROR(IFERROR(VLOOKUP(A1084,TRAOPE!$A:$U,21,0),VLOOKUP(B1084,TRAOPE!$A:$U,21,0)),"")</f>
        <v/>
      </c>
      <c r="R1084" s="8">
        <f>IFERROR(IFERROR(VLOOKUP(A1084,TRAOPE!$A:$W,23,0),VLOOKUP(B1084,TRAOPE!$A:$W,23,0)),"")</f>
        <v/>
      </c>
      <c r="S1084" s="10">
        <f>IF(AND(P1084="TN",R1084="TN"),N1084+N(O1084),IF(G1084&amp;""="1",N(K1084)*N1084,(N1084+N(O1084))*N(K1084)))</f>
        <v/>
      </c>
      <c r="T1084" s="10">
        <f>IF(Q1084="","",Q1084-S1084)</f>
        <v/>
      </c>
    </row>
    <row r="1085">
      <c r="A1085" s="7">
        <f>CONCATENATE(C1085,E1085,F1085,I1085)</f>
        <v/>
      </c>
      <c r="B1085" s="7">
        <f>CONCATENATE(C1085,E1085,I1085)</f>
        <v/>
      </c>
      <c r="C1085" s="8" t="n">
        <v>900003601</v>
      </c>
      <c r="D1085" s="7">
        <f>IFERROR(VLOOKUP(C1085,TRAOPE!$G:$H,2,0),"")</f>
        <v/>
      </c>
      <c r="E1085" s="8" t="inlineStr">
        <is>
          <t>D836</t>
        </is>
      </c>
      <c r="F1085" s="8" t="inlineStr">
        <is>
          <t>67012780</t>
        </is>
      </c>
      <c r="G1085" s="8">
        <f>IFERROR(VLOOKUP(A1085,Flete!$A:$E,5,0),"")</f>
        <v/>
      </c>
      <c r="H1085" s="7">
        <f>IFERROR(VLOOKUP(F1085,TRAOPE!$AA:$AB,2,0),"")</f>
        <v/>
      </c>
      <c r="I1085" s="7" t="n">
        <v>10000722</v>
      </c>
      <c r="J1085" s="7">
        <f>IFERROR(VLOOKUP(I1085,Materiales!$A:$H,8,0),"")</f>
        <v/>
      </c>
      <c r="K1085" s="9">
        <f>IFERROR(VLOOKUP(I1085,Materiales!$A:$G,7,0),"")</f>
        <v/>
      </c>
      <c r="L1085" s="8" t="inlineStr">
        <is>
          <t>20190426</t>
        </is>
      </c>
      <c r="M1085" s="8" t="inlineStr">
        <is>
          <t>20250127</t>
        </is>
      </c>
      <c r="N1085" s="10" t="n">
        <v>106</v>
      </c>
      <c r="O1085" s="10">
        <f>IFERROR(VLOOKUP(A1085,Flete!$A:$J,10,0),"")</f>
        <v/>
      </c>
      <c r="P1085" s="8" t="inlineStr">
        <is>
          <t>TN</t>
        </is>
      </c>
      <c r="Q1085" s="10">
        <f>IFERROR(IFERROR(VLOOKUP(A1085,TRAOPE!$A:$U,21,0),VLOOKUP(B1085,TRAOPE!$A:$U,21,0)),"")</f>
        <v/>
      </c>
      <c r="R1085" s="8">
        <f>IFERROR(IFERROR(VLOOKUP(A1085,TRAOPE!$A:$W,23,0),VLOOKUP(B1085,TRAOPE!$A:$W,23,0)),"")</f>
        <v/>
      </c>
      <c r="S1085" s="10">
        <f>IF(AND(P1085="TN",R1085="TN"),N1085+N(O1085),IF(G1085&amp;""="1",N(K1085)*N1085,(N1085+N(O1085))*N(K1085)))</f>
        <v/>
      </c>
      <c r="T1085" s="10">
        <f>IF(Q1085="","",Q1085-S1085)</f>
        <v/>
      </c>
    </row>
    <row r="1086">
      <c r="A1086" s="7">
        <f>CONCATENATE(C1086,E1086,F1086,I1086)</f>
        <v/>
      </c>
      <c r="B1086" s="7">
        <f>CONCATENATE(C1086,E1086,I1086)</f>
        <v/>
      </c>
      <c r="C1086" s="8" t="n">
        <v>900003601</v>
      </c>
      <c r="D1086" s="7">
        <f>IFERROR(VLOOKUP(C1086,TRAOPE!$G:$H,2,0),"")</f>
        <v/>
      </c>
      <c r="E1086" s="8" t="inlineStr">
        <is>
          <t>D836</t>
        </is>
      </c>
      <c r="F1086" s="8" t="inlineStr">
        <is>
          <t>67032666</t>
        </is>
      </c>
      <c r="G1086" s="8">
        <f>IFERROR(VLOOKUP(A1086,Flete!$A:$E,5,0),"")</f>
        <v/>
      </c>
      <c r="H1086" s="7">
        <f>IFERROR(VLOOKUP(F1086,TRAOPE!$AA:$AB,2,0),"")</f>
        <v/>
      </c>
      <c r="I1086" s="7" t="n">
        <v>10000623</v>
      </c>
      <c r="J1086" s="7">
        <f>IFERROR(VLOOKUP(I1086,Materiales!$A:$H,8,0),"")</f>
        <v/>
      </c>
      <c r="K1086" s="9">
        <f>IFERROR(VLOOKUP(I1086,Materiales!$A:$G,7,0),"")</f>
        <v/>
      </c>
      <c r="L1086" s="8" t="inlineStr">
        <is>
          <t>20190426</t>
        </is>
      </c>
      <c r="M1086" s="8" t="inlineStr">
        <is>
          <t>20250127</t>
        </is>
      </c>
      <c r="N1086" s="10" t="n">
        <v>115</v>
      </c>
      <c r="O1086" s="10">
        <f>IFERROR(VLOOKUP(A1086,Flete!$A:$J,10,0),"")</f>
        <v/>
      </c>
      <c r="P1086" s="8" t="inlineStr">
        <is>
          <t>TN</t>
        </is>
      </c>
      <c r="Q1086" s="10">
        <f>IFERROR(IFERROR(VLOOKUP(A1086,TRAOPE!$A:$U,21,0),VLOOKUP(B1086,TRAOPE!$A:$U,21,0)),"")</f>
        <v/>
      </c>
      <c r="R1086" s="8">
        <f>IFERROR(IFERROR(VLOOKUP(A1086,TRAOPE!$A:$W,23,0),VLOOKUP(B1086,TRAOPE!$A:$W,23,0)),"")</f>
        <v/>
      </c>
      <c r="S1086" s="10">
        <f>IF(AND(P1086="TN",R1086="TN"),N1086+N(O1086),IF(G1086&amp;""="1",N(K1086)*N1086,(N1086+N(O1086))*N(K1086)))</f>
        <v/>
      </c>
      <c r="T1086" s="10">
        <f>IF(Q1086="","",Q1086-S1086)</f>
        <v/>
      </c>
    </row>
    <row r="1087">
      <c r="A1087" s="7">
        <f>CONCATENATE(C1087,E1087,F1087,I1087)</f>
        <v/>
      </c>
      <c r="B1087" s="7">
        <f>CONCATENATE(C1087,E1087,I1087)</f>
        <v/>
      </c>
      <c r="C1087" s="8" t="n">
        <v>900003601</v>
      </c>
      <c r="D1087" s="7">
        <f>IFERROR(VLOOKUP(C1087,TRAOPE!$G:$H,2,0),"")</f>
        <v/>
      </c>
      <c r="E1087" s="8" t="inlineStr">
        <is>
          <t>D836</t>
        </is>
      </c>
      <c r="F1087" s="8" t="inlineStr">
        <is>
          <t>67036341</t>
        </is>
      </c>
      <c r="G1087" s="8">
        <f>IFERROR(VLOOKUP(A1087,Flete!$A:$E,5,0),"")</f>
        <v/>
      </c>
      <c r="H1087" s="7">
        <f>IFERROR(VLOOKUP(F1087,TRAOPE!$AA:$AB,2,0),"")</f>
        <v/>
      </c>
      <c r="I1087" s="7" t="n">
        <v>10000623</v>
      </c>
      <c r="J1087" s="7">
        <f>IFERROR(VLOOKUP(I1087,Materiales!$A:$H,8,0),"")</f>
        <v/>
      </c>
      <c r="K1087" s="9">
        <f>IFERROR(VLOOKUP(I1087,Materiales!$A:$G,7,0),"")</f>
        <v/>
      </c>
      <c r="L1087" s="8" t="inlineStr">
        <is>
          <t>20190426</t>
        </is>
      </c>
      <c r="M1087" s="8" t="inlineStr">
        <is>
          <t>20250127</t>
        </is>
      </c>
      <c r="N1087" s="10" t="n">
        <v>98</v>
      </c>
      <c r="O1087" s="10">
        <f>IFERROR(VLOOKUP(A1087,Flete!$A:$J,10,0),"")</f>
        <v/>
      </c>
      <c r="P1087" s="8" t="inlineStr">
        <is>
          <t>TN</t>
        </is>
      </c>
      <c r="Q1087" s="10">
        <f>IFERROR(IFERROR(VLOOKUP(A1087,TRAOPE!$A:$U,21,0),VLOOKUP(B1087,TRAOPE!$A:$U,21,0)),"")</f>
        <v/>
      </c>
      <c r="R1087" s="8">
        <f>IFERROR(IFERROR(VLOOKUP(A1087,TRAOPE!$A:$W,23,0),VLOOKUP(B1087,TRAOPE!$A:$W,23,0)),"")</f>
        <v/>
      </c>
      <c r="S1087" s="10">
        <f>IF(AND(P1087="TN",R1087="TN"),N1087+N(O1087),IF(G1087&amp;""="1",N(K1087)*N1087,(N1087+N(O1087))*N(K1087)))</f>
        <v/>
      </c>
      <c r="T1087" s="10">
        <f>IF(Q1087="","",Q1087-S1087)</f>
        <v/>
      </c>
    </row>
    <row r="1088">
      <c r="A1088" s="7">
        <f>CONCATENATE(C1088,E1088,F1088,I1088)</f>
        <v/>
      </c>
      <c r="B1088" s="7">
        <f>CONCATENATE(C1088,E1088,I1088)</f>
        <v/>
      </c>
      <c r="C1088" s="8" t="n">
        <v>900003601</v>
      </c>
      <c r="D1088" s="7">
        <f>IFERROR(VLOOKUP(C1088,TRAOPE!$G:$H,2,0),"")</f>
        <v/>
      </c>
      <c r="E1088" s="8" t="inlineStr">
        <is>
          <t>D836</t>
        </is>
      </c>
      <c r="F1088" s="8" t="inlineStr">
        <is>
          <t>67036341</t>
        </is>
      </c>
      <c r="G1088" s="8">
        <f>IFERROR(VLOOKUP(A1088,Flete!$A:$E,5,0),"")</f>
        <v/>
      </c>
      <c r="H1088" s="7">
        <f>IFERROR(VLOOKUP(F1088,TRAOPE!$AA:$AB,2,0),"")</f>
        <v/>
      </c>
      <c r="I1088" s="7" t="n">
        <v>10000811</v>
      </c>
      <c r="J1088" s="7">
        <f>IFERROR(VLOOKUP(I1088,Materiales!$A:$H,8,0),"")</f>
        <v/>
      </c>
      <c r="K1088" s="9">
        <f>IFERROR(VLOOKUP(I1088,Materiales!$A:$G,7,0),"")</f>
        <v/>
      </c>
      <c r="L1088" s="8" t="inlineStr">
        <is>
          <t>20190426</t>
        </is>
      </c>
      <c r="M1088" s="8" t="inlineStr">
        <is>
          <t>20250127</t>
        </is>
      </c>
      <c r="N1088" s="10" t="n">
        <v>100</v>
      </c>
      <c r="O1088" s="10">
        <f>IFERROR(VLOOKUP(A1088,Flete!$A:$J,10,0),"")</f>
        <v/>
      </c>
      <c r="P1088" s="8" t="inlineStr">
        <is>
          <t>TN</t>
        </is>
      </c>
      <c r="Q1088" s="10">
        <f>IFERROR(IFERROR(VLOOKUP(A1088,TRAOPE!$A:$U,21,0),VLOOKUP(B1088,TRAOPE!$A:$U,21,0)),"")</f>
        <v/>
      </c>
      <c r="R1088" s="8">
        <f>IFERROR(IFERROR(VLOOKUP(A1088,TRAOPE!$A:$W,23,0),VLOOKUP(B1088,TRAOPE!$A:$W,23,0)),"")</f>
        <v/>
      </c>
      <c r="S1088" s="10">
        <f>IF(AND(P1088="TN",R1088="TN"),N1088+N(O1088),IF(G1088&amp;""="1",N(K1088)*N1088,(N1088+N(O1088))*N(K1088)))</f>
        <v/>
      </c>
      <c r="T1088" s="10">
        <f>IF(Q1088="","",Q1088-S1088)</f>
        <v/>
      </c>
    </row>
    <row r="1089">
      <c r="A1089" s="7">
        <f>CONCATENATE(C1089,E1089,F1089,I1089)</f>
        <v/>
      </c>
      <c r="B1089" s="7">
        <f>CONCATENATE(C1089,E1089,I1089)</f>
        <v/>
      </c>
      <c r="C1089" s="8" t="n">
        <v>900003601</v>
      </c>
      <c r="D1089" s="7">
        <f>IFERROR(VLOOKUP(C1089,TRAOPE!$G:$H,2,0),"")</f>
        <v/>
      </c>
      <c r="E1089" s="8" t="inlineStr">
        <is>
          <t>D836</t>
        </is>
      </c>
      <c r="F1089" s="8" t="inlineStr">
        <is>
          <t>67036341</t>
        </is>
      </c>
      <c r="G1089" s="8">
        <f>IFERROR(VLOOKUP(A1089,Flete!$A:$E,5,0),"")</f>
        <v/>
      </c>
      <c r="H1089" s="7">
        <f>IFERROR(VLOOKUP(F1089,TRAOPE!$AA:$AB,2,0),"")</f>
        <v/>
      </c>
      <c r="I1089" s="7" t="n">
        <v>10058345</v>
      </c>
      <c r="J1089" s="7">
        <f>IFERROR(VLOOKUP(I1089,Materiales!$A:$H,8,0),"")</f>
        <v/>
      </c>
      <c r="K1089" s="9">
        <f>IFERROR(VLOOKUP(I1089,Materiales!$A:$G,7,0),"")</f>
        <v/>
      </c>
      <c r="L1089" s="8" t="inlineStr">
        <is>
          <t>20190426</t>
        </is>
      </c>
      <c r="M1089" s="8" t="inlineStr">
        <is>
          <t>20250127</t>
        </is>
      </c>
      <c r="N1089" s="10" t="n">
        <v>55</v>
      </c>
      <c r="O1089" s="10">
        <f>IFERROR(VLOOKUP(A1089,Flete!$A:$J,10,0),"")</f>
        <v/>
      </c>
      <c r="P1089" s="8" t="inlineStr">
        <is>
          <t>TN</t>
        </is>
      </c>
      <c r="Q1089" s="10">
        <f>IFERROR(IFERROR(VLOOKUP(A1089,TRAOPE!$A:$U,21,0),VLOOKUP(B1089,TRAOPE!$A:$U,21,0)),"")</f>
        <v/>
      </c>
      <c r="R1089" s="8">
        <f>IFERROR(IFERROR(VLOOKUP(A1089,TRAOPE!$A:$W,23,0),VLOOKUP(B1089,TRAOPE!$A:$W,23,0)),"")</f>
        <v/>
      </c>
      <c r="S1089" s="10">
        <f>IF(AND(P1089="TN",R1089="TN"),N1089+N(O1089),IF(G1089&amp;""="1",N(K1089)*N1089,(N1089+N(O1089))*N(K1089)))</f>
        <v/>
      </c>
      <c r="T1089" s="10">
        <f>IF(Q1089="","",Q1089-S1089)</f>
        <v/>
      </c>
    </row>
    <row r="1090">
      <c r="A1090" s="7">
        <f>CONCATENATE(C1090,E1090,F1090,I1090)</f>
        <v/>
      </c>
      <c r="B1090" s="7">
        <f>CONCATENATE(C1090,E1090,I1090)</f>
        <v/>
      </c>
      <c r="C1090" s="8" t="n">
        <v>900003601</v>
      </c>
      <c r="D1090" s="7">
        <f>IFERROR(VLOOKUP(C1090,TRAOPE!$G:$H,2,0),"")</f>
        <v/>
      </c>
      <c r="E1090" s="8" t="inlineStr">
        <is>
          <t>D836</t>
        </is>
      </c>
      <c r="F1090" s="8" t="inlineStr">
        <is>
          <t>67036769</t>
        </is>
      </c>
      <c r="G1090" s="8">
        <f>IFERROR(VLOOKUP(A1090,Flete!$A:$E,5,0),"")</f>
        <v/>
      </c>
      <c r="H1090" s="7">
        <f>IFERROR(VLOOKUP(F1090,TRAOPE!$AA:$AB,2,0),"")</f>
        <v/>
      </c>
      <c r="I1090" s="7" t="n">
        <v>10000722</v>
      </c>
      <c r="J1090" s="7">
        <f>IFERROR(VLOOKUP(I1090,Materiales!$A:$H,8,0),"")</f>
        <v/>
      </c>
      <c r="K1090" s="9">
        <f>IFERROR(VLOOKUP(I1090,Materiales!$A:$G,7,0),"")</f>
        <v/>
      </c>
      <c r="L1090" s="8" t="inlineStr">
        <is>
          <t>20190426</t>
        </is>
      </c>
      <c r="M1090" s="8" t="inlineStr">
        <is>
          <t>20250127</t>
        </is>
      </c>
      <c r="N1090" s="10" t="n">
        <v>100</v>
      </c>
      <c r="O1090" s="10">
        <f>IFERROR(VLOOKUP(A1090,Flete!$A:$J,10,0),"")</f>
        <v/>
      </c>
      <c r="P1090" s="8" t="inlineStr">
        <is>
          <t>TN</t>
        </is>
      </c>
      <c r="Q1090" s="10">
        <f>IFERROR(IFERROR(VLOOKUP(A1090,TRAOPE!$A:$U,21,0),VLOOKUP(B1090,TRAOPE!$A:$U,21,0)),"")</f>
        <v/>
      </c>
      <c r="R1090" s="8">
        <f>IFERROR(IFERROR(VLOOKUP(A1090,TRAOPE!$A:$W,23,0),VLOOKUP(B1090,TRAOPE!$A:$W,23,0)),"")</f>
        <v/>
      </c>
      <c r="S1090" s="10">
        <f>IF(AND(P1090="TN",R1090="TN"),N1090+N(O1090),IF(G1090&amp;""="1",N(K1090)*N1090,(N1090+N(O1090))*N(K1090)))</f>
        <v/>
      </c>
      <c r="T1090" s="10">
        <f>IF(Q1090="","",Q1090-S1090)</f>
        <v/>
      </c>
    </row>
    <row r="1091">
      <c r="A1091" s="7">
        <f>CONCATENATE(C1091,E1091,F1091,I1091)</f>
        <v/>
      </c>
      <c r="B1091" s="7">
        <f>CONCATENATE(C1091,E1091,I1091)</f>
        <v/>
      </c>
      <c r="C1091" s="8" t="n">
        <v>900003601</v>
      </c>
      <c r="D1091" s="7">
        <f>IFERROR(VLOOKUP(C1091,TRAOPE!$G:$H,2,0),"")</f>
        <v/>
      </c>
      <c r="E1091" s="8" t="inlineStr">
        <is>
          <t>D836</t>
        </is>
      </c>
      <c r="F1091" s="8" t="inlineStr">
        <is>
          <t>67089397</t>
        </is>
      </c>
      <c r="G1091" s="8">
        <f>IFERROR(VLOOKUP(A1091,Flete!$A:$E,5,0),"")</f>
        <v/>
      </c>
      <c r="H1091" s="7">
        <f>IFERROR(VLOOKUP(F1091,TRAOPE!$AA:$AB,2,0),"")</f>
        <v/>
      </c>
      <c r="I1091" s="7" t="n">
        <v>10000811</v>
      </c>
      <c r="J1091" s="7">
        <f>IFERROR(VLOOKUP(I1091,Materiales!$A:$H,8,0),"")</f>
        <v/>
      </c>
      <c r="K1091" s="9">
        <f>IFERROR(VLOOKUP(I1091,Materiales!$A:$G,7,0),"")</f>
        <v/>
      </c>
      <c r="L1091" s="8" t="inlineStr">
        <is>
          <t>20190426</t>
        </is>
      </c>
      <c r="M1091" s="8" t="inlineStr">
        <is>
          <t>20250127</t>
        </is>
      </c>
      <c r="N1091" s="10" t="n">
        <v>153.37</v>
      </c>
      <c r="O1091" s="10">
        <f>IFERROR(VLOOKUP(A1091,Flete!$A:$J,10,0),"")</f>
        <v/>
      </c>
      <c r="P1091" s="8" t="inlineStr">
        <is>
          <t>M3</t>
        </is>
      </c>
      <c r="Q1091" s="10">
        <f>IFERROR(IFERROR(VLOOKUP(A1091,TRAOPE!$A:$U,21,0),VLOOKUP(B1091,TRAOPE!$A:$U,21,0)),"")</f>
        <v/>
      </c>
      <c r="R1091" s="8">
        <f>IFERROR(IFERROR(VLOOKUP(A1091,TRAOPE!$A:$W,23,0),VLOOKUP(B1091,TRAOPE!$A:$W,23,0)),"")</f>
        <v/>
      </c>
      <c r="S1091" s="10">
        <f>IF(AND(P1091="TN",R1091="TN"),N1091+N(O1091),IF(G1091&amp;""="1",N(K1091)*N1091,(N1091+N(O1091))*N(K1091)))</f>
        <v/>
      </c>
      <c r="T1091" s="10">
        <f>IF(Q1091="","",Q1091-S1091)</f>
        <v/>
      </c>
    </row>
    <row r="1092">
      <c r="A1092" s="7">
        <f>CONCATENATE(C1092,E1092,F1092,I1092)</f>
        <v/>
      </c>
      <c r="B1092" s="7">
        <f>CONCATENATE(C1092,E1092,I1092)</f>
        <v/>
      </c>
      <c r="C1092" s="8" t="n">
        <v>900003601</v>
      </c>
      <c r="D1092" s="7">
        <f>IFERROR(VLOOKUP(C1092,TRAOPE!$G:$H,2,0),"")</f>
        <v/>
      </c>
      <c r="E1092" s="8" t="inlineStr">
        <is>
          <t>D836</t>
        </is>
      </c>
      <c r="F1092" s="8" t="inlineStr">
        <is>
          <t>67160490</t>
        </is>
      </c>
      <c r="G1092" s="8">
        <f>IFERROR(VLOOKUP(A1092,Flete!$A:$E,5,0),"")</f>
        <v/>
      </c>
      <c r="H1092" s="7">
        <f>IFERROR(VLOOKUP(F1092,TRAOPE!$AA:$AB,2,0),"")</f>
        <v/>
      </c>
      <c r="I1092" s="7" t="n">
        <v>10058345</v>
      </c>
      <c r="J1092" s="7">
        <f>IFERROR(VLOOKUP(I1092,Materiales!$A:$H,8,0),"")</f>
        <v/>
      </c>
      <c r="K1092" s="9">
        <f>IFERROR(VLOOKUP(I1092,Materiales!$A:$G,7,0),"")</f>
        <v/>
      </c>
      <c r="L1092" s="8" t="inlineStr">
        <is>
          <t>20190426</t>
        </is>
      </c>
      <c r="M1092" s="8" t="inlineStr">
        <is>
          <t>20250127</t>
        </is>
      </c>
      <c r="N1092" s="10" t="n">
        <v>43</v>
      </c>
      <c r="O1092" s="10">
        <f>IFERROR(VLOOKUP(A1092,Flete!$A:$J,10,0),"")</f>
        <v/>
      </c>
      <c r="P1092" s="8" t="inlineStr">
        <is>
          <t>TN</t>
        </is>
      </c>
      <c r="Q1092" s="10">
        <f>IFERROR(IFERROR(VLOOKUP(A1092,TRAOPE!$A:$U,21,0),VLOOKUP(B1092,TRAOPE!$A:$U,21,0)),"")</f>
        <v/>
      </c>
      <c r="R1092" s="8">
        <f>IFERROR(IFERROR(VLOOKUP(A1092,TRAOPE!$A:$W,23,0),VLOOKUP(B1092,TRAOPE!$A:$W,23,0)),"")</f>
        <v/>
      </c>
      <c r="S1092" s="10">
        <f>IF(AND(P1092="TN",R1092="TN"),N1092+N(O1092),IF(G1092&amp;""="1",N(K1092)*N1092,(N1092+N(O1092))*N(K1092)))</f>
        <v/>
      </c>
      <c r="T1092" s="10">
        <f>IF(Q1092="","",Q1092-S1092)</f>
        <v/>
      </c>
    </row>
    <row r="1093">
      <c r="A1093" s="7">
        <f>CONCATENATE(C1093,E1093,F1093,I1093)</f>
        <v/>
      </c>
      <c r="B1093" s="7">
        <f>CONCATENATE(C1093,E1093,I1093)</f>
        <v/>
      </c>
      <c r="C1093" s="8" t="n">
        <v>900003601</v>
      </c>
      <c r="D1093" s="7">
        <f>IFERROR(VLOOKUP(C1093,TRAOPE!$G:$H,2,0),"")</f>
        <v/>
      </c>
      <c r="E1093" s="8" t="inlineStr">
        <is>
          <t>D836</t>
        </is>
      </c>
      <c r="F1093" s="8" t="inlineStr">
        <is>
          <t>67169096</t>
        </is>
      </c>
      <c r="G1093" s="8">
        <f>IFERROR(VLOOKUP(A1093,Flete!$A:$E,5,0),"")</f>
        <v/>
      </c>
      <c r="H1093" s="7">
        <f>IFERROR(VLOOKUP(F1093,TRAOPE!$AA:$AB,2,0),"")</f>
        <v/>
      </c>
      <c r="I1093" s="7" t="n">
        <v>10000811</v>
      </c>
      <c r="J1093" s="7">
        <f>IFERROR(VLOOKUP(I1093,Materiales!$A:$H,8,0),"")</f>
        <v/>
      </c>
      <c r="K1093" s="9">
        <f>IFERROR(VLOOKUP(I1093,Materiales!$A:$G,7,0),"")</f>
        <v/>
      </c>
      <c r="L1093" s="8" t="inlineStr">
        <is>
          <t>20190426</t>
        </is>
      </c>
      <c r="M1093" s="8" t="inlineStr">
        <is>
          <t>20250127</t>
        </is>
      </c>
      <c r="N1093" s="10" t="n">
        <v>110</v>
      </c>
      <c r="O1093" s="10">
        <f>IFERROR(VLOOKUP(A1093,Flete!$A:$J,10,0),"")</f>
        <v/>
      </c>
      <c r="P1093" s="8" t="inlineStr">
        <is>
          <t>TN</t>
        </is>
      </c>
      <c r="Q1093" s="10">
        <f>IFERROR(IFERROR(VLOOKUP(A1093,TRAOPE!$A:$U,21,0),VLOOKUP(B1093,TRAOPE!$A:$U,21,0)),"")</f>
        <v/>
      </c>
      <c r="R1093" s="8">
        <f>IFERROR(IFERROR(VLOOKUP(A1093,TRAOPE!$A:$W,23,0),VLOOKUP(B1093,TRAOPE!$A:$W,23,0)),"")</f>
        <v/>
      </c>
      <c r="S1093" s="10">
        <f>IF(AND(P1093="TN",R1093="TN"),N1093+N(O1093),IF(G1093&amp;""="1",N(K1093)*N1093,(N1093+N(O1093))*N(K1093)))</f>
        <v/>
      </c>
      <c r="T1093" s="10">
        <f>IF(Q1093="","",Q1093-S1093)</f>
        <v/>
      </c>
    </row>
    <row r="1094">
      <c r="A1094" s="7">
        <f>CONCATENATE(C1094,E1094,F1094,I1094)</f>
        <v/>
      </c>
      <c r="B1094" s="7">
        <f>CONCATENATE(C1094,E1094,I1094)</f>
        <v/>
      </c>
      <c r="C1094" s="8" t="n">
        <v>900003601</v>
      </c>
      <c r="D1094" s="7">
        <f>IFERROR(VLOOKUP(C1094,TRAOPE!$G:$H,2,0),"")</f>
        <v/>
      </c>
      <c r="E1094" s="8" t="inlineStr">
        <is>
          <t>D836</t>
        </is>
      </c>
      <c r="F1094" s="8" t="inlineStr">
        <is>
          <t>67169096</t>
        </is>
      </c>
      <c r="G1094" s="8">
        <f>IFERROR(VLOOKUP(A1094,Flete!$A:$E,5,0),"")</f>
        <v/>
      </c>
      <c r="H1094" s="7">
        <f>IFERROR(VLOOKUP(F1094,TRAOPE!$AA:$AB,2,0),"")</f>
        <v/>
      </c>
      <c r="I1094" s="7" t="n">
        <v>10161492</v>
      </c>
      <c r="J1094" s="7">
        <f>IFERROR(VLOOKUP(I1094,Materiales!$A:$H,8,0),"")</f>
        <v/>
      </c>
      <c r="K1094" s="9">
        <f>IFERROR(VLOOKUP(I1094,Materiales!$A:$G,7,0),"")</f>
        <v/>
      </c>
      <c r="L1094" s="8" t="inlineStr">
        <is>
          <t>20190426</t>
        </is>
      </c>
      <c r="M1094" s="8" t="inlineStr">
        <is>
          <t>20250127</t>
        </is>
      </c>
      <c r="N1094" s="10" t="n">
        <v>38</v>
      </c>
      <c r="O1094" s="10">
        <f>IFERROR(VLOOKUP(A1094,Flete!$A:$J,10,0),"")</f>
        <v/>
      </c>
      <c r="P1094" s="8" t="inlineStr">
        <is>
          <t>TN</t>
        </is>
      </c>
      <c r="Q1094" s="10">
        <f>IFERROR(IFERROR(VLOOKUP(A1094,TRAOPE!$A:$U,21,0),VLOOKUP(B1094,TRAOPE!$A:$U,21,0)),"")</f>
        <v/>
      </c>
      <c r="R1094" s="8">
        <f>IFERROR(IFERROR(VLOOKUP(A1094,TRAOPE!$A:$W,23,0),VLOOKUP(B1094,TRAOPE!$A:$W,23,0)),"")</f>
        <v/>
      </c>
      <c r="S1094" s="10">
        <f>IF(AND(P1094="TN",R1094="TN"),N1094+N(O1094),IF(G1094&amp;""="1",N(K1094)*N1094,(N1094+N(O1094))*N(K1094)))</f>
        <v/>
      </c>
      <c r="T1094" s="10">
        <f>IF(Q1094="","",Q1094-S1094)</f>
        <v/>
      </c>
    </row>
    <row r="1095">
      <c r="A1095" s="7">
        <f>CONCATENATE(C1095,E1095,F1095,I1095)</f>
        <v/>
      </c>
      <c r="B1095" s="7">
        <f>CONCATENATE(C1095,E1095,I1095)</f>
        <v/>
      </c>
      <c r="C1095" s="8" t="n">
        <v>900003605</v>
      </c>
      <c r="D1095" s="7">
        <f>IFERROR(VLOOKUP(C1095,TRAOPE!$G:$H,2,0),"")</f>
        <v/>
      </c>
      <c r="E1095" s="8" t="inlineStr">
        <is>
          <t>D836</t>
        </is>
      </c>
      <c r="F1095" s="8" t="inlineStr">
        <is>
          <t>65002610</t>
        </is>
      </c>
      <c r="G1095" s="8">
        <f>IFERROR(VLOOKUP(A1095,Flete!$A:$E,5,0),"")</f>
        <v/>
      </c>
      <c r="H1095" s="7">
        <f>IFERROR(VLOOKUP(F1095,TRAOPE!$AA:$AB,2,0),"")</f>
        <v/>
      </c>
      <c r="I1095" s="7" t="n">
        <v>10000630</v>
      </c>
      <c r="J1095" s="7">
        <f>IFERROR(VLOOKUP(I1095,Materiales!$A:$H,8,0),"")</f>
        <v/>
      </c>
      <c r="K1095" s="9">
        <f>IFERROR(VLOOKUP(I1095,Materiales!$A:$G,7,0),"")</f>
        <v/>
      </c>
      <c r="L1095" s="8" t="inlineStr">
        <is>
          <t>20190426</t>
        </is>
      </c>
      <c r="M1095" s="8" t="inlineStr">
        <is>
          <t>20250127</t>
        </is>
      </c>
      <c r="N1095" s="10" t="n">
        <v>150</v>
      </c>
      <c r="O1095" s="10">
        <f>IFERROR(VLOOKUP(A1095,Flete!$A:$J,10,0),"")</f>
        <v/>
      </c>
      <c r="P1095" s="8" t="inlineStr">
        <is>
          <t>M3</t>
        </is>
      </c>
      <c r="Q1095" s="10">
        <f>IFERROR(IFERROR(VLOOKUP(A1095,TRAOPE!$A:$U,21,0),VLOOKUP(B1095,TRAOPE!$A:$U,21,0)),"")</f>
        <v/>
      </c>
      <c r="R1095" s="8">
        <f>IFERROR(IFERROR(VLOOKUP(A1095,TRAOPE!$A:$W,23,0),VLOOKUP(B1095,TRAOPE!$A:$W,23,0)),"")</f>
        <v/>
      </c>
      <c r="S1095" s="10">
        <f>IF(AND(P1095="TN",R1095="TN"),N1095+N(O1095),IF(G1095&amp;""="1",N(K1095)*N1095,(N1095+N(O1095))*N(K1095)))</f>
        <v/>
      </c>
      <c r="T1095" s="10">
        <f>IF(Q1095="","",Q1095-S1095)</f>
        <v/>
      </c>
    </row>
    <row r="1096">
      <c r="A1096" s="7">
        <f>CONCATENATE(C1096,E1096,F1096,I1096)</f>
        <v/>
      </c>
      <c r="B1096" s="7">
        <f>CONCATENATE(C1096,E1096,I1096)</f>
        <v/>
      </c>
      <c r="C1096" s="8" t="n">
        <v>900003605</v>
      </c>
      <c r="D1096" s="7">
        <f>IFERROR(VLOOKUP(C1096,TRAOPE!$G:$H,2,0),"")</f>
        <v/>
      </c>
      <c r="E1096" s="8" t="inlineStr">
        <is>
          <t>D836</t>
        </is>
      </c>
      <c r="F1096" s="8" t="inlineStr">
        <is>
          <t>65016451</t>
        </is>
      </c>
      <c r="G1096" s="8">
        <f>IFERROR(VLOOKUP(A1096,Flete!$A:$E,5,0),"")</f>
        <v/>
      </c>
      <c r="H1096" s="7">
        <f>IFERROR(VLOOKUP(F1096,TRAOPE!$AA:$AB,2,0),"")</f>
        <v/>
      </c>
      <c r="I1096" s="7" t="n">
        <v>10000630</v>
      </c>
      <c r="J1096" s="7">
        <f>IFERROR(VLOOKUP(I1096,Materiales!$A:$H,8,0),"")</f>
        <v/>
      </c>
      <c r="K1096" s="9">
        <f>IFERROR(VLOOKUP(I1096,Materiales!$A:$G,7,0),"")</f>
        <v/>
      </c>
      <c r="L1096" s="8" t="inlineStr">
        <is>
          <t>20190426</t>
        </is>
      </c>
      <c r="M1096" s="8" t="inlineStr">
        <is>
          <t>20250127</t>
        </is>
      </c>
      <c r="N1096" s="10" t="n">
        <v>150</v>
      </c>
      <c r="O1096" s="10">
        <f>IFERROR(VLOOKUP(A1096,Flete!$A:$J,10,0),"")</f>
        <v/>
      </c>
      <c r="P1096" s="8" t="inlineStr">
        <is>
          <t>M3</t>
        </is>
      </c>
      <c r="Q1096" s="10">
        <f>IFERROR(IFERROR(VLOOKUP(A1096,TRAOPE!$A:$U,21,0),VLOOKUP(B1096,TRAOPE!$A:$U,21,0)),"")</f>
        <v/>
      </c>
      <c r="R1096" s="8">
        <f>IFERROR(IFERROR(VLOOKUP(A1096,TRAOPE!$A:$W,23,0),VLOOKUP(B1096,TRAOPE!$A:$W,23,0)),"")</f>
        <v/>
      </c>
      <c r="S1096" s="10">
        <f>IF(AND(P1096="TN",R1096="TN"),N1096+N(O1096),IF(G1096&amp;""="1",N(K1096)*N1096,(N1096+N(O1096))*N(K1096)))</f>
        <v/>
      </c>
      <c r="T1096" s="10">
        <f>IF(Q1096="","",Q1096-S1096)</f>
        <v/>
      </c>
    </row>
    <row r="1097">
      <c r="A1097" s="7">
        <f>CONCATENATE(C1097,E1097,F1097,I1097)</f>
        <v/>
      </c>
      <c r="B1097" s="7">
        <f>CONCATENATE(C1097,E1097,I1097)</f>
        <v/>
      </c>
      <c r="C1097" s="8" t="n">
        <v>900003605</v>
      </c>
      <c r="D1097" s="7">
        <f>IFERROR(VLOOKUP(C1097,TRAOPE!$G:$H,2,0),"")</f>
        <v/>
      </c>
      <c r="E1097" s="8" t="inlineStr">
        <is>
          <t>D836</t>
        </is>
      </c>
      <c r="F1097" s="8" t="inlineStr">
        <is>
          <t>65087219</t>
        </is>
      </c>
      <c r="G1097" s="8">
        <f>IFERROR(VLOOKUP(A1097,Flete!$A:$E,5,0),"")</f>
        <v/>
      </c>
      <c r="H1097" s="7">
        <f>IFERROR(VLOOKUP(F1097,TRAOPE!$AA:$AB,2,0),"")</f>
        <v/>
      </c>
      <c r="I1097" s="7" t="n">
        <v>10000630</v>
      </c>
      <c r="J1097" s="7">
        <f>IFERROR(VLOOKUP(I1097,Materiales!$A:$H,8,0),"")</f>
        <v/>
      </c>
      <c r="K1097" s="9">
        <f>IFERROR(VLOOKUP(I1097,Materiales!$A:$G,7,0),"")</f>
        <v/>
      </c>
      <c r="L1097" s="8" t="inlineStr">
        <is>
          <t>20190426</t>
        </is>
      </c>
      <c r="M1097" s="8" t="inlineStr">
        <is>
          <t>20250127</t>
        </is>
      </c>
      <c r="N1097" s="10" t="n">
        <v>150</v>
      </c>
      <c r="O1097" s="10">
        <f>IFERROR(VLOOKUP(A1097,Flete!$A:$J,10,0),"")</f>
        <v/>
      </c>
      <c r="P1097" s="8" t="inlineStr">
        <is>
          <t>M3</t>
        </is>
      </c>
      <c r="Q1097" s="10">
        <f>IFERROR(IFERROR(VLOOKUP(A1097,TRAOPE!$A:$U,21,0),VLOOKUP(B1097,TRAOPE!$A:$U,21,0)),"")</f>
        <v/>
      </c>
      <c r="R1097" s="8">
        <f>IFERROR(IFERROR(VLOOKUP(A1097,TRAOPE!$A:$W,23,0),VLOOKUP(B1097,TRAOPE!$A:$W,23,0)),"")</f>
        <v/>
      </c>
      <c r="S1097" s="10">
        <f>IF(AND(P1097="TN",R1097="TN"),N1097+N(O1097),IF(G1097&amp;""="1",N(K1097)*N1097,(N1097+N(O1097))*N(K1097)))</f>
        <v/>
      </c>
      <c r="T1097" s="10">
        <f>IF(Q1097="","",Q1097-S1097)</f>
        <v/>
      </c>
    </row>
    <row r="1098">
      <c r="A1098" s="7">
        <f>CONCATENATE(C1098,E1098,F1098,I1098)</f>
        <v/>
      </c>
      <c r="B1098" s="7">
        <f>CONCATENATE(C1098,E1098,I1098)</f>
        <v/>
      </c>
      <c r="C1098" s="8" t="n">
        <v>900003605</v>
      </c>
      <c r="D1098" s="7">
        <f>IFERROR(VLOOKUP(C1098,TRAOPE!$G:$H,2,0),"")</f>
        <v/>
      </c>
      <c r="E1098" s="8" t="inlineStr">
        <is>
          <t>D836</t>
        </is>
      </c>
      <c r="F1098" s="8" t="inlineStr">
        <is>
          <t>66239599</t>
        </is>
      </c>
      <c r="G1098" s="8">
        <f>IFERROR(VLOOKUP(A1098,Flete!$A:$E,5,0),"")</f>
        <v/>
      </c>
      <c r="H1098" s="7">
        <f>IFERROR(VLOOKUP(F1098,TRAOPE!$AA:$AB,2,0),"")</f>
        <v/>
      </c>
      <c r="I1098" s="7" t="n">
        <v>10000630</v>
      </c>
      <c r="J1098" s="7">
        <f>IFERROR(VLOOKUP(I1098,Materiales!$A:$H,8,0),"")</f>
        <v/>
      </c>
      <c r="K1098" s="9">
        <f>IFERROR(VLOOKUP(I1098,Materiales!$A:$G,7,0),"")</f>
        <v/>
      </c>
      <c r="L1098" s="8" t="inlineStr">
        <is>
          <t>20190426</t>
        </is>
      </c>
      <c r="M1098" s="8" t="inlineStr">
        <is>
          <t>20250127</t>
        </is>
      </c>
      <c r="N1098" s="10" t="n">
        <v>150</v>
      </c>
      <c r="O1098" s="10">
        <f>IFERROR(VLOOKUP(A1098,Flete!$A:$J,10,0),"")</f>
        <v/>
      </c>
      <c r="P1098" s="8" t="inlineStr">
        <is>
          <t>M3</t>
        </is>
      </c>
      <c r="Q1098" s="10">
        <f>IFERROR(IFERROR(VLOOKUP(A1098,TRAOPE!$A:$U,21,0),VLOOKUP(B1098,TRAOPE!$A:$U,21,0)),"")</f>
        <v/>
      </c>
      <c r="R1098" s="8">
        <f>IFERROR(IFERROR(VLOOKUP(A1098,TRAOPE!$A:$W,23,0),VLOOKUP(B1098,TRAOPE!$A:$W,23,0)),"")</f>
        <v/>
      </c>
      <c r="S1098" s="10">
        <f>IF(AND(P1098="TN",R1098="TN"),N1098+N(O1098),IF(G1098&amp;""="1",N(K1098)*N1098,(N1098+N(O1098))*N(K1098)))</f>
        <v/>
      </c>
      <c r="T1098" s="10">
        <f>IF(Q1098="","",Q1098-S1098)</f>
        <v/>
      </c>
    </row>
    <row r="1099">
      <c r="A1099" s="7">
        <f>CONCATENATE(C1099,E1099,F1099,I1099)</f>
        <v/>
      </c>
      <c r="B1099" s="7">
        <f>CONCATENATE(C1099,E1099,I1099)</f>
        <v/>
      </c>
      <c r="C1099" s="8" t="n">
        <v>900003605</v>
      </c>
      <c r="D1099" s="7">
        <f>IFERROR(VLOOKUP(C1099,TRAOPE!$G:$H,2,0),"")</f>
        <v/>
      </c>
      <c r="E1099" s="8" t="inlineStr">
        <is>
          <t>D836</t>
        </is>
      </c>
      <c r="F1099" s="8" t="inlineStr">
        <is>
          <t>66239617</t>
        </is>
      </c>
      <c r="G1099" s="8">
        <f>IFERROR(VLOOKUP(A1099,Flete!$A:$E,5,0),"")</f>
        <v/>
      </c>
      <c r="H1099" s="7">
        <f>IFERROR(VLOOKUP(F1099,TRAOPE!$AA:$AB,2,0),"")</f>
        <v/>
      </c>
      <c r="I1099" s="7" t="n">
        <v>10000630</v>
      </c>
      <c r="J1099" s="7">
        <f>IFERROR(VLOOKUP(I1099,Materiales!$A:$H,8,0),"")</f>
        <v/>
      </c>
      <c r="K1099" s="9">
        <f>IFERROR(VLOOKUP(I1099,Materiales!$A:$G,7,0),"")</f>
        <v/>
      </c>
      <c r="L1099" s="8" t="inlineStr">
        <is>
          <t>20190426</t>
        </is>
      </c>
      <c r="M1099" s="8" t="inlineStr">
        <is>
          <t>20250127</t>
        </is>
      </c>
      <c r="N1099" s="10" t="n">
        <v>150</v>
      </c>
      <c r="O1099" s="10">
        <f>IFERROR(VLOOKUP(A1099,Flete!$A:$J,10,0),"")</f>
        <v/>
      </c>
      <c r="P1099" s="8" t="inlineStr">
        <is>
          <t>M3</t>
        </is>
      </c>
      <c r="Q1099" s="10">
        <f>IFERROR(IFERROR(VLOOKUP(A1099,TRAOPE!$A:$U,21,0),VLOOKUP(B1099,TRAOPE!$A:$U,21,0)),"")</f>
        <v/>
      </c>
      <c r="R1099" s="8">
        <f>IFERROR(IFERROR(VLOOKUP(A1099,TRAOPE!$A:$W,23,0),VLOOKUP(B1099,TRAOPE!$A:$W,23,0)),"")</f>
        <v/>
      </c>
      <c r="S1099" s="10">
        <f>IF(AND(P1099="TN",R1099="TN"),N1099+N(O1099),IF(G1099&amp;""="1",N(K1099)*N1099,(N1099+N(O1099))*N(K1099)))</f>
        <v/>
      </c>
      <c r="T1099" s="10">
        <f>IF(Q1099="","",Q1099-S1099)</f>
        <v/>
      </c>
    </row>
    <row r="1100">
      <c r="A1100" s="7">
        <f>CONCATENATE(C1100,E1100,F1100,I1100)</f>
        <v/>
      </c>
      <c r="B1100" s="7">
        <f>CONCATENATE(C1100,E1100,I1100)</f>
        <v/>
      </c>
      <c r="C1100" s="8" t="n">
        <v>900003605</v>
      </c>
      <c r="D1100" s="7">
        <f>IFERROR(VLOOKUP(C1100,TRAOPE!$G:$H,2,0),"")</f>
        <v/>
      </c>
      <c r="E1100" s="8" t="inlineStr">
        <is>
          <t>D836</t>
        </is>
      </c>
      <c r="F1100" s="8" t="inlineStr">
        <is>
          <t>66239621</t>
        </is>
      </c>
      <c r="G1100" s="8">
        <f>IFERROR(VLOOKUP(A1100,Flete!$A:$E,5,0),"")</f>
        <v/>
      </c>
      <c r="H1100" s="7">
        <f>IFERROR(VLOOKUP(F1100,TRAOPE!$AA:$AB,2,0),"")</f>
        <v/>
      </c>
      <c r="I1100" s="7" t="n">
        <v>10000630</v>
      </c>
      <c r="J1100" s="7">
        <f>IFERROR(VLOOKUP(I1100,Materiales!$A:$H,8,0),"")</f>
        <v/>
      </c>
      <c r="K1100" s="9">
        <f>IFERROR(VLOOKUP(I1100,Materiales!$A:$G,7,0),"")</f>
        <v/>
      </c>
      <c r="L1100" s="8" t="inlineStr">
        <is>
          <t>20190426</t>
        </is>
      </c>
      <c r="M1100" s="8" t="inlineStr">
        <is>
          <t>20250127</t>
        </is>
      </c>
      <c r="N1100" s="10" t="n">
        <v>150</v>
      </c>
      <c r="O1100" s="10">
        <f>IFERROR(VLOOKUP(A1100,Flete!$A:$J,10,0),"")</f>
        <v/>
      </c>
      <c r="P1100" s="8" t="inlineStr">
        <is>
          <t>M3</t>
        </is>
      </c>
      <c r="Q1100" s="10">
        <f>IFERROR(IFERROR(VLOOKUP(A1100,TRAOPE!$A:$U,21,0),VLOOKUP(B1100,TRAOPE!$A:$U,21,0)),"")</f>
        <v/>
      </c>
      <c r="R1100" s="8">
        <f>IFERROR(IFERROR(VLOOKUP(A1100,TRAOPE!$A:$W,23,0),VLOOKUP(B1100,TRAOPE!$A:$W,23,0)),"")</f>
        <v/>
      </c>
      <c r="S1100" s="10">
        <f>IF(AND(P1100="TN",R1100="TN"),N1100+N(O1100),IF(G1100&amp;""="1",N(K1100)*N1100,(N1100+N(O1100))*N(K1100)))</f>
        <v/>
      </c>
      <c r="T1100" s="10">
        <f>IF(Q1100="","",Q1100-S1100)</f>
        <v/>
      </c>
    </row>
    <row r="1101">
      <c r="A1101" s="7">
        <f>CONCATENATE(C1101,E1101,F1101,I1101)</f>
        <v/>
      </c>
      <c r="B1101" s="7">
        <f>CONCATENATE(C1101,E1101,I1101)</f>
        <v/>
      </c>
      <c r="C1101" s="8" t="n">
        <v>900003605</v>
      </c>
      <c r="D1101" s="7">
        <f>IFERROR(VLOOKUP(C1101,TRAOPE!$G:$H,2,0),"")</f>
        <v/>
      </c>
      <c r="E1101" s="8" t="inlineStr">
        <is>
          <t>D836</t>
        </is>
      </c>
      <c r="F1101" s="8" t="inlineStr">
        <is>
          <t>66239628</t>
        </is>
      </c>
      <c r="G1101" s="8">
        <f>IFERROR(VLOOKUP(A1101,Flete!$A:$E,5,0),"")</f>
        <v/>
      </c>
      <c r="H1101" s="7">
        <f>IFERROR(VLOOKUP(F1101,TRAOPE!$AA:$AB,2,0),"")</f>
        <v/>
      </c>
      <c r="I1101" s="7" t="n">
        <v>10000630</v>
      </c>
      <c r="J1101" s="7">
        <f>IFERROR(VLOOKUP(I1101,Materiales!$A:$H,8,0),"")</f>
        <v/>
      </c>
      <c r="K1101" s="9">
        <f>IFERROR(VLOOKUP(I1101,Materiales!$A:$G,7,0),"")</f>
        <v/>
      </c>
      <c r="L1101" s="8" t="inlineStr">
        <is>
          <t>20190426</t>
        </is>
      </c>
      <c r="M1101" s="8" t="inlineStr">
        <is>
          <t>20250127</t>
        </is>
      </c>
      <c r="N1101" s="10" t="n">
        <v>150</v>
      </c>
      <c r="O1101" s="10">
        <f>IFERROR(VLOOKUP(A1101,Flete!$A:$J,10,0),"")</f>
        <v/>
      </c>
      <c r="P1101" s="8" t="inlineStr">
        <is>
          <t>M3</t>
        </is>
      </c>
      <c r="Q1101" s="10">
        <f>IFERROR(IFERROR(VLOOKUP(A1101,TRAOPE!$A:$U,21,0),VLOOKUP(B1101,TRAOPE!$A:$U,21,0)),"")</f>
        <v/>
      </c>
      <c r="R1101" s="8">
        <f>IFERROR(IFERROR(VLOOKUP(A1101,TRAOPE!$A:$W,23,0),VLOOKUP(B1101,TRAOPE!$A:$W,23,0)),"")</f>
        <v/>
      </c>
      <c r="S1101" s="10">
        <f>IF(AND(P1101="TN",R1101="TN"),N1101+N(O1101),IF(G1101&amp;""="1",N(K1101)*N1101,(N1101+N(O1101))*N(K1101)))</f>
        <v/>
      </c>
      <c r="T1101" s="10">
        <f>IF(Q1101="","",Q1101-S1101)</f>
        <v/>
      </c>
    </row>
    <row r="1102">
      <c r="A1102" s="7">
        <f>CONCATENATE(C1102,E1102,F1102,I1102)</f>
        <v/>
      </c>
      <c r="B1102" s="7">
        <f>CONCATENATE(C1102,E1102,I1102)</f>
        <v/>
      </c>
      <c r="C1102" s="8" t="n">
        <v>900003605</v>
      </c>
      <c r="D1102" s="7">
        <f>IFERROR(VLOOKUP(C1102,TRAOPE!$G:$H,2,0),"")</f>
        <v/>
      </c>
      <c r="E1102" s="8" t="inlineStr">
        <is>
          <t>D836</t>
        </is>
      </c>
      <c r="F1102" s="8" t="inlineStr">
        <is>
          <t>66289413</t>
        </is>
      </c>
      <c r="G1102" s="8">
        <f>IFERROR(VLOOKUP(A1102,Flete!$A:$E,5,0),"")</f>
        <v/>
      </c>
      <c r="H1102" s="7">
        <f>IFERROR(VLOOKUP(F1102,TRAOPE!$AA:$AB,2,0),"")</f>
        <v/>
      </c>
      <c r="I1102" s="7" t="n">
        <v>10000630</v>
      </c>
      <c r="J1102" s="7">
        <f>IFERROR(VLOOKUP(I1102,Materiales!$A:$H,8,0),"")</f>
        <v/>
      </c>
      <c r="K1102" s="9">
        <f>IFERROR(VLOOKUP(I1102,Materiales!$A:$G,7,0),"")</f>
        <v/>
      </c>
      <c r="L1102" s="8" t="inlineStr">
        <is>
          <t>20190426</t>
        </is>
      </c>
      <c r="M1102" s="8" t="inlineStr">
        <is>
          <t>20250127</t>
        </is>
      </c>
      <c r="N1102" s="10" t="n">
        <v>150</v>
      </c>
      <c r="O1102" s="10">
        <f>IFERROR(VLOOKUP(A1102,Flete!$A:$J,10,0),"")</f>
        <v/>
      </c>
      <c r="P1102" s="8" t="inlineStr">
        <is>
          <t>M3</t>
        </is>
      </c>
      <c r="Q1102" s="10">
        <f>IFERROR(IFERROR(VLOOKUP(A1102,TRAOPE!$A:$U,21,0),VLOOKUP(B1102,TRAOPE!$A:$U,21,0)),"")</f>
        <v/>
      </c>
      <c r="R1102" s="8">
        <f>IFERROR(IFERROR(VLOOKUP(A1102,TRAOPE!$A:$W,23,0),VLOOKUP(B1102,TRAOPE!$A:$W,23,0)),"")</f>
        <v/>
      </c>
      <c r="S1102" s="10">
        <f>IF(AND(P1102="TN",R1102="TN"),N1102+N(O1102),IF(G1102&amp;""="1",N(K1102)*N1102,(N1102+N(O1102))*N(K1102)))</f>
        <v/>
      </c>
      <c r="T1102" s="10">
        <f>IF(Q1102="","",Q1102-S1102)</f>
        <v/>
      </c>
    </row>
    <row r="1103">
      <c r="A1103" s="7">
        <f>CONCATENATE(C1103,E1103,F1103,I1103)</f>
        <v/>
      </c>
      <c r="B1103" s="7">
        <f>CONCATENATE(C1103,E1103,I1103)</f>
        <v/>
      </c>
      <c r="C1103" s="8" t="n">
        <v>900003605</v>
      </c>
      <c r="D1103" s="7">
        <f>IFERROR(VLOOKUP(C1103,TRAOPE!$G:$H,2,0),"")</f>
        <v/>
      </c>
      <c r="E1103" s="8" t="inlineStr">
        <is>
          <t>D836</t>
        </is>
      </c>
      <c r="F1103" s="8" t="inlineStr">
        <is>
          <t>66338102</t>
        </is>
      </c>
      <c r="G1103" s="8">
        <f>IFERROR(VLOOKUP(A1103,Flete!$A:$E,5,0),"")</f>
        <v/>
      </c>
      <c r="H1103" s="7">
        <f>IFERROR(VLOOKUP(F1103,TRAOPE!$AA:$AB,2,0),"")</f>
        <v/>
      </c>
      <c r="I1103" s="7" t="n">
        <v>10000630</v>
      </c>
      <c r="J1103" s="7">
        <f>IFERROR(VLOOKUP(I1103,Materiales!$A:$H,8,0),"")</f>
        <v/>
      </c>
      <c r="K1103" s="9">
        <f>IFERROR(VLOOKUP(I1103,Materiales!$A:$G,7,0),"")</f>
        <v/>
      </c>
      <c r="L1103" s="8" t="inlineStr">
        <is>
          <t>20190426</t>
        </is>
      </c>
      <c r="M1103" s="8" t="inlineStr">
        <is>
          <t>20250127</t>
        </is>
      </c>
      <c r="N1103" s="10" t="n">
        <v>150</v>
      </c>
      <c r="O1103" s="10">
        <f>IFERROR(VLOOKUP(A1103,Flete!$A:$J,10,0),"")</f>
        <v/>
      </c>
      <c r="P1103" s="8" t="inlineStr">
        <is>
          <t>M3</t>
        </is>
      </c>
      <c r="Q1103" s="10">
        <f>IFERROR(IFERROR(VLOOKUP(A1103,TRAOPE!$A:$U,21,0),VLOOKUP(B1103,TRAOPE!$A:$U,21,0)),"")</f>
        <v/>
      </c>
      <c r="R1103" s="8">
        <f>IFERROR(IFERROR(VLOOKUP(A1103,TRAOPE!$A:$W,23,0),VLOOKUP(B1103,TRAOPE!$A:$W,23,0)),"")</f>
        <v/>
      </c>
      <c r="S1103" s="10">
        <f>IF(AND(P1103="TN",R1103="TN"),N1103+N(O1103),IF(G1103&amp;""="1",N(K1103)*N1103,(N1103+N(O1103))*N(K1103)))</f>
        <v/>
      </c>
      <c r="T1103" s="10">
        <f>IF(Q1103="","",Q1103-S1103)</f>
        <v/>
      </c>
    </row>
    <row r="1104">
      <c r="A1104" s="7">
        <f>CONCATENATE(C1104,E1104,F1104,I1104)</f>
        <v/>
      </c>
      <c r="B1104" s="7">
        <f>CONCATENATE(C1104,E1104,I1104)</f>
        <v/>
      </c>
      <c r="C1104" s="8" t="n">
        <v>900003605</v>
      </c>
      <c r="D1104" s="7">
        <f>IFERROR(VLOOKUP(C1104,TRAOPE!$G:$H,2,0),"")</f>
        <v/>
      </c>
      <c r="E1104" s="8" t="inlineStr">
        <is>
          <t>D836</t>
        </is>
      </c>
      <c r="F1104" s="8" t="inlineStr">
        <is>
          <t>66403063</t>
        </is>
      </c>
      <c r="G1104" s="8">
        <f>IFERROR(VLOOKUP(A1104,Flete!$A:$E,5,0),"")</f>
        <v/>
      </c>
      <c r="H1104" s="7">
        <f>IFERROR(VLOOKUP(F1104,TRAOPE!$AA:$AB,2,0),"")</f>
        <v/>
      </c>
      <c r="I1104" s="7" t="n">
        <v>10000630</v>
      </c>
      <c r="J1104" s="7">
        <f>IFERROR(VLOOKUP(I1104,Materiales!$A:$H,8,0),"")</f>
        <v/>
      </c>
      <c r="K1104" s="9">
        <f>IFERROR(VLOOKUP(I1104,Materiales!$A:$G,7,0),"")</f>
        <v/>
      </c>
      <c r="L1104" s="8" t="inlineStr">
        <is>
          <t>20190426</t>
        </is>
      </c>
      <c r="M1104" s="8" t="inlineStr">
        <is>
          <t>20250127</t>
        </is>
      </c>
      <c r="N1104" s="10" t="n">
        <v>150</v>
      </c>
      <c r="O1104" s="10">
        <f>IFERROR(VLOOKUP(A1104,Flete!$A:$J,10,0),"")</f>
        <v/>
      </c>
      <c r="P1104" s="8" t="inlineStr">
        <is>
          <t>M3</t>
        </is>
      </c>
      <c r="Q1104" s="10">
        <f>IFERROR(IFERROR(VLOOKUP(A1104,TRAOPE!$A:$U,21,0),VLOOKUP(B1104,TRAOPE!$A:$U,21,0)),"")</f>
        <v/>
      </c>
      <c r="R1104" s="8">
        <f>IFERROR(IFERROR(VLOOKUP(A1104,TRAOPE!$A:$W,23,0),VLOOKUP(B1104,TRAOPE!$A:$W,23,0)),"")</f>
        <v/>
      </c>
      <c r="S1104" s="10">
        <f>IF(AND(P1104="TN",R1104="TN"),N1104+N(O1104),IF(G1104&amp;""="1",N(K1104)*N1104,(N1104+N(O1104))*N(K1104)))</f>
        <v/>
      </c>
      <c r="T1104" s="10">
        <f>IF(Q1104="","",Q1104-S1104)</f>
        <v/>
      </c>
    </row>
    <row r="1105">
      <c r="A1105" s="7">
        <f>CONCATENATE(C1105,E1105,F1105,I1105)</f>
        <v/>
      </c>
      <c r="B1105" s="7">
        <f>CONCATENATE(C1105,E1105,I1105)</f>
        <v/>
      </c>
      <c r="C1105" s="8" t="n">
        <v>900003605</v>
      </c>
      <c r="D1105" s="7">
        <f>IFERROR(VLOOKUP(C1105,TRAOPE!$G:$H,2,0),"")</f>
        <v/>
      </c>
      <c r="E1105" s="8" t="inlineStr">
        <is>
          <t>D836</t>
        </is>
      </c>
      <c r="F1105" s="8" t="inlineStr">
        <is>
          <t>66408593</t>
        </is>
      </c>
      <c r="G1105" s="8">
        <f>IFERROR(VLOOKUP(A1105,Flete!$A:$E,5,0),"")</f>
        <v/>
      </c>
      <c r="H1105" s="7">
        <f>IFERROR(VLOOKUP(F1105,TRAOPE!$AA:$AB,2,0),"")</f>
        <v/>
      </c>
      <c r="I1105" s="7" t="n">
        <v>10000630</v>
      </c>
      <c r="J1105" s="7">
        <f>IFERROR(VLOOKUP(I1105,Materiales!$A:$H,8,0),"")</f>
        <v/>
      </c>
      <c r="K1105" s="9">
        <f>IFERROR(VLOOKUP(I1105,Materiales!$A:$G,7,0),"")</f>
        <v/>
      </c>
      <c r="L1105" s="8" t="inlineStr">
        <is>
          <t>20190426</t>
        </is>
      </c>
      <c r="M1105" s="8" t="inlineStr">
        <is>
          <t>20250127</t>
        </is>
      </c>
      <c r="N1105" s="10" t="n">
        <v>150</v>
      </c>
      <c r="O1105" s="10">
        <f>IFERROR(VLOOKUP(A1105,Flete!$A:$J,10,0),"")</f>
        <v/>
      </c>
      <c r="P1105" s="8" t="inlineStr">
        <is>
          <t>M3</t>
        </is>
      </c>
      <c r="Q1105" s="10">
        <f>IFERROR(IFERROR(VLOOKUP(A1105,TRAOPE!$A:$U,21,0),VLOOKUP(B1105,TRAOPE!$A:$U,21,0)),"")</f>
        <v/>
      </c>
      <c r="R1105" s="8">
        <f>IFERROR(IFERROR(VLOOKUP(A1105,TRAOPE!$A:$W,23,0),VLOOKUP(B1105,TRAOPE!$A:$W,23,0)),"")</f>
        <v/>
      </c>
      <c r="S1105" s="10">
        <f>IF(AND(P1105="TN",R1105="TN"),N1105+N(O1105),IF(G1105&amp;""="1",N(K1105)*N1105,(N1105+N(O1105))*N(K1105)))</f>
        <v/>
      </c>
      <c r="T1105" s="10">
        <f>IF(Q1105="","",Q1105-S1105)</f>
        <v/>
      </c>
    </row>
    <row r="1106">
      <c r="A1106" s="7">
        <f>CONCATENATE(C1106,E1106,F1106,I1106)</f>
        <v/>
      </c>
      <c r="B1106" s="7">
        <f>CONCATENATE(C1106,E1106,I1106)</f>
        <v/>
      </c>
      <c r="C1106" s="8" t="n">
        <v>900003605</v>
      </c>
      <c r="D1106" s="7">
        <f>IFERROR(VLOOKUP(C1106,TRAOPE!$G:$H,2,0),"")</f>
        <v/>
      </c>
      <c r="E1106" s="8" t="inlineStr">
        <is>
          <t>D836</t>
        </is>
      </c>
      <c r="F1106" s="8" t="inlineStr">
        <is>
          <t>66433511</t>
        </is>
      </c>
      <c r="G1106" s="8">
        <f>IFERROR(VLOOKUP(A1106,Flete!$A:$E,5,0),"")</f>
        <v/>
      </c>
      <c r="H1106" s="7">
        <f>IFERROR(VLOOKUP(F1106,TRAOPE!$AA:$AB,2,0),"")</f>
        <v/>
      </c>
      <c r="I1106" s="7" t="n">
        <v>10000630</v>
      </c>
      <c r="J1106" s="7">
        <f>IFERROR(VLOOKUP(I1106,Materiales!$A:$H,8,0),"")</f>
        <v/>
      </c>
      <c r="K1106" s="9">
        <f>IFERROR(VLOOKUP(I1106,Materiales!$A:$G,7,0),"")</f>
        <v/>
      </c>
      <c r="L1106" s="8" t="inlineStr">
        <is>
          <t>20190426</t>
        </is>
      </c>
      <c r="M1106" s="8" t="inlineStr">
        <is>
          <t>20250127</t>
        </is>
      </c>
      <c r="N1106" s="10" t="n">
        <v>138</v>
      </c>
      <c r="O1106" s="10">
        <f>IFERROR(VLOOKUP(A1106,Flete!$A:$J,10,0),"")</f>
        <v/>
      </c>
      <c r="P1106" s="8" t="inlineStr">
        <is>
          <t>M3</t>
        </is>
      </c>
      <c r="Q1106" s="10">
        <f>IFERROR(IFERROR(VLOOKUP(A1106,TRAOPE!$A:$U,21,0),VLOOKUP(B1106,TRAOPE!$A:$U,21,0)),"")</f>
        <v/>
      </c>
      <c r="R1106" s="8">
        <f>IFERROR(IFERROR(VLOOKUP(A1106,TRAOPE!$A:$W,23,0),VLOOKUP(B1106,TRAOPE!$A:$W,23,0)),"")</f>
        <v/>
      </c>
      <c r="S1106" s="10">
        <f>IF(AND(P1106="TN",R1106="TN"),N1106+N(O1106),IF(G1106&amp;""="1",N(K1106)*N1106,(N1106+N(O1106))*N(K1106)))</f>
        <v/>
      </c>
      <c r="T1106" s="10">
        <f>IF(Q1106="","",Q1106-S1106)</f>
        <v/>
      </c>
    </row>
    <row r="1107">
      <c r="A1107" s="7">
        <f>CONCATENATE(C1107,E1107,F1107,I1107)</f>
        <v/>
      </c>
      <c r="B1107" s="7">
        <f>CONCATENATE(C1107,E1107,I1107)</f>
        <v/>
      </c>
      <c r="C1107" s="8" t="n">
        <v>900003605</v>
      </c>
      <c r="D1107" s="7">
        <f>IFERROR(VLOOKUP(C1107,TRAOPE!$G:$H,2,0),"")</f>
        <v/>
      </c>
      <c r="E1107" s="8" t="inlineStr">
        <is>
          <t>D836</t>
        </is>
      </c>
      <c r="F1107" s="8" t="inlineStr">
        <is>
          <t>66433511</t>
        </is>
      </c>
      <c r="G1107" s="8">
        <f>IFERROR(VLOOKUP(A1107,Flete!$A:$E,5,0),"")</f>
        <v/>
      </c>
      <c r="H1107" s="7">
        <f>IFERROR(VLOOKUP(F1107,TRAOPE!$AA:$AB,2,0),"")</f>
        <v/>
      </c>
      <c r="I1107" s="7" t="n">
        <v>10000811</v>
      </c>
      <c r="J1107" s="7">
        <f>IFERROR(VLOOKUP(I1107,Materiales!$A:$H,8,0),"")</f>
        <v/>
      </c>
      <c r="K1107" s="9">
        <f>IFERROR(VLOOKUP(I1107,Materiales!$A:$G,7,0),"")</f>
        <v/>
      </c>
      <c r="L1107" s="8" t="inlineStr">
        <is>
          <t>20190426</t>
        </is>
      </c>
      <c r="M1107" s="8" t="inlineStr">
        <is>
          <t>20250127</t>
        </is>
      </c>
      <c r="N1107" s="10" t="n">
        <v>138</v>
      </c>
      <c r="O1107" s="10">
        <f>IFERROR(VLOOKUP(A1107,Flete!$A:$J,10,0),"")</f>
        <v/>
      </c>
      <c r="P1107" s="8" t="inlineStr">
        <is>
          <t>M3</t>
        </is>
      </c>
      <c r="Q1107" s="10">
        <f>IFERROR(IFERROR(VLOOKUP(A1107,TRAOPE!$A:$U,21,0),VLOOKUP(B1107,TRAOPE!$A:$U,21,0)),"")</f>
        <v/>
      </c>
      <c r="R1107" s="8">
        <f>IFERROR(IFERROR(VLOOKUP(A1107,TRAOPE!$A:$W,23,0),VLOOKUP(B1107,TRAOPE!$A:$W,23,0)),"")</f>
        <v/>
      </c>
      <c r="S1107" s="10">
        <f>IF(AND(P1107="TN",R1107="TN"),N1107+N(O1107),IF(G1107&amp;""="1",N(K1107)*N1107,(N1107+N(O1107))*N(K1107)))</f>
        <v/>
      </c>
      <c r="T1107" s="10">
        <f>IF(Q1107="","",Q1107-S1107)</f>
        <v/>
      </c>
    </row>
    <row r="1108">
      <c r="A1108" s="7">
        <f>CONCATENATE(C1108,E1108,F1108,I1108)</f>
        <v/>
      </c>
      <c r="B1108" s="7">
        <f>CONCATENATE(C1108,E1108,I1108)</f>
        <v/>
      </c>
      <c r="C1108" s="8" t="n">
        <v>900003605</v>
      </c>
      <c r="D1108" s="7">
        <f>IFERROR(VLOOKUP(C1108,TRAOPE!$G:$H,2,0),"")</f>
        <v/>
      </c>
      <c r="E1108" s="8" t="inlineStr">
        <is>
          <t>D836</t>
        </is>
      </c>
      <c r="F1108" s="8" t="inlineStr">
        <is>
          <t>66532867</t>
        </is>
      </c>
      <c r="G1108" s="8">
        <f>IFERROR(VLOOKUP(A1108,Flete!$A:$E,5,0),"")</f>
        <v/>
      </c>
      <c r="H1108" s="7">
        <f>IFERROR(VLOOKUP(F1108,TRAOPE!$AA:$AB,2,0),"")</f>
        <v/>
      </c>
      <c r="I1108" s="7" t="n">
        <v>10000630</v>
      </c>
      <c r="J1108" s="7">
        <f>IFERROR(VLOOKUP(I1108,Materiales!$A:$H,8,0),"")</f>
        <v/>
      </c>
      <c r="K1108" s="9">
        <f>IFERROR(VLOOKUP(I1108,Materiales!$A:$G,7,0),"")</f>
        <v/>
      </c>
      <c r="L1108" s="8" t="inlineStr">
        <is>
          <t>20190426</t>
        </is>
      </c>
      <c r="M1108" s="8" t="inlineStr">
        <is>
          <t>20250127</t>
        </is>
      </c>
      <c r="N1108" s="10" t="n">
        <v>150</v>
      </c>
      <c r="O1108" s="10">
        <f>IFERROR(VLOOKUP(A1108,Flete!$A:$J,10,0),"")</f>
        <v/>
      </c>
      <c r="P1108" s="8" t="inlineStr">
        <is>
          <t>M3</t>
        </is>
      </c>
      <c r="Q1108" s="10">
        <f>IFERROR(IFERROR(VLOOKUP(A1108,TRAOPE!$A:$U,21,0),VLOOKUP(B1108,TRAOPE!$A:$U,21,0)),"")</f>
        <v/>
      </c>
      <c r="R1108" s="8">
        <f>IFERROR(IFERROR(VLOOKUP(A1108,TRAOPE!$A:$W,23,0),VLOOKUP(B1108,TRAOPE!$A:$W,23,0)),"")</f>
        <v/>
      </c>
      <c r="S1108" s="10">
        <f>IF(AND(P1108="TN",R1108="TN"),N1108+N(O1108),IF(G1108&amp;""="1",N(K1108)*N1108,(N1108+N(O1108))*N(K1108)))</f>
        <v/>
      </c>
      <c r="T1108" s="10">
        <f>IF(Q1108="","",Q1108-S1108)</f>
        <v/>
      </c>
    </row>
    <row r="1109">
      <c r="A1109" s="7">
        <f>CONCATENATE(C1109,E1109,F1109,I1109)</f>
        <v/>
      </c>
      <c r="B1109" s="7">
        <f>CONCATENATE(C1109,E1109,I1109)</f>
        <v/>
      </c>
      <c r="C1109" s="8" t="n">
        <v>900003605</v>
      </c>
      <c r="D1109" s="7">
        <f>IFERROR(VLOOKUP(C1109,TRAOPE!$G:$H,2,0),"")</f>
        <v/>
      </c>
      <c r="E1109" s="8" t="inlineStr">
        <is>
          <t>D836</t>
        </is>
      </c>
      <c r="F1109" s="8" t="inlineStr">
        <is>
          <t>66574596</t>
        </is>
      </c>
      <c r="G1109" s="8">
        <f>IFERROR(VLOOKUP(A1109,Flete!$A:$E,5,0),"")</f>
        <v/>
      </c>
      <c r="H1109" s="7">
        <f>IFERROR(VLOOKUP(F1109,TRAOPE!$AA:$AB,2,0),"")</f>
        <v/>
      </c>
      <c r="I1109" s="7" t="n">
        <v>10000630</v>
      </c>
      <c r="J1109" s="7">
        <f>IFERROR(VLOOKUP(I1109,Materiales!$A:$H,8,0),"")</f>
        <v/>
      </c>
      <c r="K1109" s="9">
        <f>IFERROR(VLOOKUP(I1109,Materiales!$A:$G,7,0),"")</f>
        <v/>
      </c>
      <c r="L1109" s="8" t="inlineStr">
        <is>
          <t>20190426</t>
        </is>
      </c>
      <c r="M1109" s="8" t="inlineStr">
        <is>
          <t>20250127</t>
        </is>
      </c>
      <c r="N1109" s="10" t="n">
        <v>150</v>
      </c>
      <c r="O1109" s="10">
        <f>IFERROR(VLOOKUP(A1109,Flete!$A:$J,10,0),"")</f>
        <v/>
      </c>
      <c r="P1109" s="8" t="inlineStr">
        <is>
          <t>M3</t>
        </is>
      </c>
      <c r="Q1109" s="10">
        <f>IFERROR(IFERROR(VLOOKUP(A1109,TRAOPE!$A:$U,21,0),VLOOKUP(B1109,TRAOPE!$A:$U,21,0)),"")</f>
        <v/>
      </c>
      <c r="R1109" s="8">
        <f>IFERROR(IFERROR(VLOOKUP(A1109,TRAOPE!$A:$W,23,0),VLOOKUP(B1109,TRAOPE!$A:$W,23,0)),"")</f>
        <v/>
      </c>
      <c r="S1109" s="10">
        <f>IF(AND(P1109="TN",R1109="TN"),N1109+N(O1109),IF(G1109&amp;""="1",N(K1109)*N1109,(N1109+N(O1109))*N(K1109)))</f>
        <v/>
      </c>
      <c r="T1109" s="10">
        <f>IF(Q1109="","",Q1109-S1109)</f>
        <v/>
      </c>
    </row>
    <row r="1110">
      <c r="A1110" s="7">
        <f>CONCATENATE(C1110,E1110,F1110,I1110)</f>
        <v/>
      </c>
      <c r="B1110" s="7">
        <f>CONCATENATE(C1110,E1110,I1110)</f>
        <v/>
      </c>
      <c r="C1110" s="8" t="n">
        <v>900003605</v>
      </c>
      <c r="D1110" s="7">
        <f>IFERROR(VLOOKUP(C1110,TRAOPE!$G:$H,2,0),"")</f>
        <v/>
      </c>
      <c r="E1110" s="8" t="inlineStr">
        <is>
          <t>D836</t>
        </is>
      </c>
      <c r="F1110" s="8" t="inlineStr">
        <is>
          <t>66582580</t>
        </is>
      </c>
      <c r="G1110" s="8">
        <f>IFERROR(VLOOKUP(A1110,Flete!$A:$E,5,0),"")</f>
        <v/>
      </c>
      <c r="H1110" s="7">
        <f>IFERROR(VLOOKUP(F1110,TRAOPE!$AA:$AB,2,0),"")</f>
        <v/>
      </c>
      <c r="I1110" s="7" t="n">
        <v>10000630</v>
      </c>
      <c r="J1110" s="7">
        <f>IFERROR(VLOOKUP(I1110,Materiales!$A:$H,8,0),"")</f>
        <v/>
      </c>
      <c r="K1110" s="9">
        <f>IFERROR(VLOOKUP(I1110,Materiales!$A:$G,7,0),"")</f>
        <v/>
      </c>
      <c r="L1110" s="8" t="inlineStr">
        <is>
          <t>20190426</t>
        </is>
      </c>
      <c r="M1110" s="8" t="inlineStr">
        <is>
          <t>20250127</t>
        </is>
      </c>
      <c r="N1110" s="10" t="n">
        <v>150</v>
      </c>
      <c r="O1110" s="10">
        <f>IFERROR(VLOOKUP(A1110,Flete!$A:$J,10,0),"")</f>
        <v/>
      </c>
      <c r="P1110" s="8" t="inlineStr">
        <is>
          <t>M3</t>
        </is>
      </c>
      <c r="Q1110" s="10">
        <f>IFERROR(IFERROR(VLOOKUP(A1110,TRAOPE!$A:$U,21,0),VLOOKUP(B1110,TRAOPE!$A:$U,21,0)),"")</f>
        <v/>
      </c>
      <c r="R1110" s="8">
        <f>IFERROR(IFERROR(VLOOKUP(A1110,TRAOPE!$A:$W,23,0),VLOOKUP(B1110,TRAOPE!$A:$W,23,0)),"")</f>
        <v/>
      </c>
      <c r="S1110" s="10">
        <f>IF(AND(P1110="TN",R1110="TN"),N1110+N(O1110),IF(G1110&amp;""="1",N(K1110)*N1110,(N1110+N(O1110))*N(K1110)))</f>
        <v/>
      </c>
      <c r="T1110" s="10">
        <f>IF(Q1110="","",Q1110-S1110)</f>
        <v/>
      </c>
    </row>
    <row r="1111">
      <c r="A1111" s="7">
        <f>CONCATENATE(C1111,E1111,F1111,I1111)</f>
        <v/>
      </c>
      <c r="B1111" s="7">
        <f>CONCATENATE(C1111,E1111,I1111)</f>
        <v/>
      </c>
      <c r="C1111" s="8" t="n">
        <v>900003605</v>
      </c>
      <c r="D1111" s="7">
        <f>IFERROR(VLOOKUP(C1111,TRAOPE!$G:$H,2,0),"")</f>
        <v/>
      </c>
      <c r="E1111" s="8" t="inlineStr">
        <is>
          <t>D836</t>
        </is>
      </c>
      <c r="F1111" s="8" t="inlineStr">
        <is>
          <t>66624554</t>
        </is>
      </c>
      <c r="G1111" s="8">
        <f>IFERROR(VLOOKUP(A1111,Flete!$A:$E,5,0),"")</f>
        <v/>
      </c>
      <c r="H1111" s="7">
        <f>IFERROR(VLOOKUP(F1111,TRAOPE!$AA:$AB,2,0),"")</f>
        <v/>
      </c>
      <c r="I1111" s="7" t="n">
        <v>10000630</v>
      </c>
      <c r="J1111" s="7">
        <f>IFERROR(VLOOKUP(I1111,Materiales!$A:$H,8,0),"")</f>
        <v/>
      </c>
      <c r="K1111" s="9">
        <f>IFERROR(VLOOKUP(I1111,Materiales!$A:$G,7,0),"")</f>
        <v/>
      </c>
      <c r="L1111" s="8" t="inlineStr">
        <is>
          <t>20190426</t>
        </is>
      </c>
      <c r="M1111" s="8" t="inlineStr">
        <is>
          <t>20250127</t>
        </is>
      </c>
      <c r="N1111" s="10" t="n">
        <v>150</v>
      </c>
      <c r="O1111" s="10">
        <f>IFERROR(VLOOKUP(A1111,Flete!$A:$J,10,0),"")</f>
        <v/>
      </c>
      <c r="P1111" s="8" t="inlineStr">
        <is>
          <t>M3</t>
        </is>
      </c>
      <c r="Q1111" s="10">
        <f>IFERROR(IFERROR(VLOOKUP(A1111,TRAOPE!$A:$U,21,0),VLOOKUP(B1111,TRAOPE!$A:$U,21,0)),"")</f>
        <v/>
      </c>
      <c r="R1111" s="8">
        <f>IFERROR(IFERROR(VLOOKUP(A1111,TRAOPE!$A:$W,23,0),VLOOKUP(B1111,TRAOPE!$A:$W,23,0)),"")</f>
        <v/>
      </c>
      <c r="S1111" s="10">
        <f>IF(AND(P1111="TN",R1111="TN"),N1111+N(O1111),IF(G1111&amp;""="1",N(K1111)*N1111,(N1111+N(O1111))*N(K1111)))</f>
        <v/>
      </c>
      <c r="T1111" s="10">
        <f>IF(Q1111="","",Q1111-S1111)</f>
        <v/>
      </c>
    </row>
    <row r="1112">
      <c r="A1112" s="7">
        <f>CONCATENATE(C1112,E1112,F1112,I1112)</f>
        <v/>
      </c>
      <c r="B1112" s="7">
        <f>CONCATENATE(C1112,E1112,I1112)</f>
        <v/>
      </c>
      <c r="C1112" s="8" t="n">
        <v>900003605</v>
      </c>
      <c r="D1112" s="7">
        <f>IFERROR(VLOOKUP(C1112,TRAOPE!$G:$H,2,0),"")</f>
        <v/>
      </c>
      <c r="E1112" s="8" t="inlineStr">
        <is>
          <t>D836</t>
        </is>
      </c>
      <c r="F1112" s="8" t="inlineStr">
        <is>
          <t>66819025</t>
        </is>
      </c>
      <c r="G1112" s="8">
        <f>IFERROR(VLOOKUP(A1112,Flete!$A:$E,5,0),"")</f>
        <v/>
      </c>
      <c r="H1112" s="7">
        <f>IFERROR(VLOOKUP(F1112,TRAOPE!$AA:$AB,2,0),"")</f>
        <v/>
      </c>
      <c r="I1112" s="7" t="n">
        <v>10000630</v>
      </c>
      <c r="J1112" s="7">
        <f>IFERROR(VLOOKUP(I1112,Materiales!$A:$H,8,0),"")</f>
        <v/>
      </c>
      <c r="K1112" s="9">
        <f>IFERROR(VLOOKUP(I1112,Materiales!$A:$G,7,0),"")</f>
        <v/>
      </c>
      <c r="L1112" s="8" t="inlineStr">
        <is>
          <t>20190426</t>
        </is>
      </c>
      <c r="M1112" s="8" t="inlineStr">
        <is>
          <t>20250127</t>
        </is>
      </c>
      <c r="N1112" s="10" t="n">
        <v>143</v>
      </c>
      <c r="O1112" s="10">
        <f>IFERROR(VLOOKUP(A1112,Flete!$A:$J,10,0),"")</f>
        <v/>
      </c>
      <c r="P1112" s="8" t="inlineStr">
        <is>
          <t>M3</t>
        </is>
      </c>
      <c r="Q1112" s="10">
        <f>IFERROR(IFERROR(VLOOKUP(A1112,TRAOPE!$A:$U,21,0),VLOOKUP(B1112,TRAOPE!$A:$U,21,0)),"")</f>
        <v/>
      </c>
      <c r="R1112" s="8">
        <f>IFERROR(IFERROR(VLOOKUP(A1112,TRAOPE!$A:$W,23,0),VLOOKUP(B1112,TRAOPE!$A:$W,23,0)),"")</f>
        <v/>
      </c>
      <c r="S1112" s="10">
        <f>IF(AND(P1112="TN",R1112="TN"),N1112+N(O1112),IF(G1112&amp;""="1",N(K1112)*N1112,(N1112+N(O1112))*N(K1112)))</f>
        <v/>
      </c>
      <c r="T1112" s="10">
        <f>IF(Q1112="","",Q1112-S1112)</f>
        <v/>
      </c>
    </row>
    <row r="1113">
      <c r="A1113" s="7">
        <f>CONCATENATE(C1113,E1113,F1113,I1113)</f>
        <v/>
      </c>
      <c r="B1113" s="7">
        <f>CONCATENATE(C1113,E1113,I1113)</f>
        <v/>
      </c>
      <c r="C1113" s="8" t="n">
        <v>900003605</v>
      </c>
      <c r="D1113" s="7">
        <f>IFERROR(VLOOKUP(C1113,TRAOPE!$G:$H,2,0),"")</f>
        <v/>
      </c>
      <c r="E1113" s="8" t="inlineStr">
        <is>
          <t>D836</t>
        </is>
      </c>
      <c r="F1113" s="8" t="inlineStr">
        <is>
          <t>66828114</t>
        </is>
      </c>
      <c r="G1113" s="8">
        <f>IFERROR(VLOOKUP(A1113,Flete!$A:$E,5,0),"")</f>
        <v/>
      </c>
      <c r="H1113" s="7">
        <f>IFERROR(VLOOKUP(F1113,TRAOPE!$AA:$AB,2,0),"")</f>
        <v/>
      </c>
      <c r="I1113" s="7" t="n">
        <v>10000630</v>
      </c>
      <c r="J1113" s="7">
        <f>IFERROR(VLOOKUP(I1113,Materiales!$A:$H,8,0),"")</f>
        <v/>
      </c>
      <c r="K1113" s="9">
        <f>IFERROR(VLOOKUP(I1113,Materiales!$A:$G,7,0),"")</f>
        <v/>
      </c>
      <c r="L1113" s="8" t="inlineStr">
        <is>
          <t>20190426</t>
        </is>
      </c>
      <c r="M1113" s="8" t="inlineStr">
        <is>
          <t>20250127</t>
        </is>
      </c>
      <c r="N1113" s="10" t="n">
        <v>150</v>
      </c>
      <c r="O1113" s="10">
        <f>IFERROR(VLOOKUP(A1113,Flete!$A:$J,10,0),"")</f>
        <v/>
      </c>
      <c r="P1113" s="8" t="inlineStr">
        <is>
          <t>M3</t>
        </is>
      </c>
      <c r="Q1113" s="10">
        <f>IFERROR(IFERROR(VLOOKUP(A1113,TRAOPE!$A:$U,21,0),VLOOKUP(B1113,TRAOPE!$A:$U,21,0)),"")</f>
        <v/>
      </c>
      <c r="R1113" s="8">
        <f>IFERROR(IFERROR(VLOOKUP(A1113,TRAOPE!$A:$W,23,0),VLOOKUP(B1113,TRAOPE!$A:$W,23,0)),"")</f>
        <v/>
      </c>
      <c r="S1113" s="10">
        <f>IF(AND(P1113="TN",R1113="TN"),N1113+N(O1113),IF(G1113&amp;""="1",N(K1113)*N1113,(N1113+N(O1113))*N(K1113)))</f>
        <v/>
      </c>
      <c r="T1113" s="10">
        <f>IF(Q1113="","",Q1113-S1113)</f>
        <v/>
      </c>
    </row>
    <row r="1114">
      <c r="A1114" s="7">
        <f>CONCATENATE(C1114,E1114,F1114,I1114)</f>
        <v/>
      </c>
      <c r="B1114" s="7">
        <f>CONCATENATE(C1114,E1114,I1114)</f>
        <v/>
      </c>
      <c r="C1114" s="8" t="n">
        <v>900003605</v>
      </c>
      <c r="D1114" s="7">
        <f>IFERROR(VLOOKUP(C1114,TRAOPE!$G:$H,2,0),"")</f>
        <v/>
      </c>
      <c r="E1114" s="8" t="inlineStr">
        <is>
          <t>D836</t>
        </is>
      </c>
      <c r="F1114" s="8" t="inlineStr">
        <is>
          <t>66875513</t>
        </is>
      </c>
      <c r="G1114" s="8">
        <f>IFERROR(VLOOKUP(A1114,Flete!$A:$E,5,0),"")</f>
        <v/>
      </c>
      <c r="H1114" s="7">
        <f>IFERROR(VLOOKUP(F1114,TRAOPE!$AA:$AB,2,0),"")</f>
        <v/>
      </c>
      <c r="I1114" s="7" t="n">
        <v>10000630</v>
      </c>
      <c r="J1114" s="7">
        <f>IFERROR(VLOOKUP(I1114,Materiales!$A:$H,8,0),"")</f>
        <v/>
      </c>
      <c r="K1114" s="9">
        <f>IFERROR(VLOOKUP(I1114,Materiales!$A:$G,7,0),"")</f>
        <v/>
      </c>
      <c r="L1114" s="8" t="inlineStr">
        <is>
          <t>20190426</t>
        </is>
      </c>
      <c r="M1114" s="8" t="inlineStr">
        <is>
          <t>20250127</t>
        </is>
      </c>
      <c r="N1114" s="10" t="n">
        <v>150</v>
      </c>
      <c r="O1114" s="10">
        <f>IFERROR(VLOOKUP(A1114,Flete!$A:$J,10,0),"")</f>
        <v/>
      </c>
      <c r="P1114" s="8" t="inlineStr">
        <is>
          <t>M3</t>
        </is>
      </c>
      <c r="Q1114" s="10">
        <f>IFERROR(IFERROR(VLOOKUP(A1114,TRAOPE!$A:$U,21,0),VLOOKUP(B1114,TRAOPE!$A:$U,21,0)),"")</f>
        <v/>
      </c>
      <c r="R1114" s="8">
        <f>IFERROR(IFERROR(VLOOKUP(A1114,TRAOPE!$A:$W,23,0),VLOOKUP(B1114,TRAOPE!$A:$W,23,0)),"")</f>
        <v/>
      </c>
      <c r="S1114" s="10">
        <f>IF(AND(P1114="TN",R1114="TN"),N1114+N(O1114),IF(G1114&amp;""="1",N(K1114)*N1114,(N1114+N(O1114))*N(K1114)))</f>
        <v/>
      </c>
      <c r="T1114" s="10">
        <f>IF(Q1114="","",Q1114-S1114)</f>
        <v/>
      </c>
    </row>
    <row r="1115">
      <c r="A1115" s="7">
        <f>CONCATENATE(C1115,E1115,F1115,I1115)</f>
        <v/>
      </c>
      <c r="B1115" s="7">
        <f>CONCATENATE(C1115,E1115,I1115)</f>
        <v/>
      </c>
      <c r="C1115" s="8" t="n">
        <v>900003606</v>
      </c>
      <c r="D1115" s="7">
        <f>IFERROR(VLOOKUP(C1115,TRAOPE!$G:$H,2,0),"")</f>
        <v/>
      </c>
      <c r="E1115" s="8" t="inlineStr">
        <is>
          <t>D836</t>
        </is>
      </c>
      <c r="F1115" s="8" t="inlineStr">
        <is>
          <t>65565826</t>
        </is>
      </c>
      <c r="G1115" s="8">
        <f>IFERROR(VLOOKUP(A1115,Flete!$A:$E,5,0),"")</f>
        <v/>
      </c>
      <c r="H1115" s="7">
        <f>IFERROR(VLOOKUP(F1115,TRAOPE!$AA:$AB,2,0),"")</f>
        <v/>
      </c>
      <c r="I1115" s="7" t="n">
        <v>10000593</v>
      </c>
      <c r="J1115" s="7">
        <f>IFERROR(VLOOKUP(I1115,Materiales!$A:$H,8,0),"")</f>
        <v/>
      </c>
      <c r="K1115" s="9">
        <f>IFERROR(VLOOKUP(I1115,Materiales!$A:$G,7,0),"")</f>
        <v/>
      </c>
      <c r="L1115" s="8" t="inlineStr">
        <is>
          <t>20190426</t>
        </is>
      </c>
      <c r="M1115" s="8" t="inlineStr">
        <is>
          <t>20250127</t>
        </is>
      </c>
      <c r="N1115" s="10" t="n">
        <v>91.43000000000001</v>
      </c>
      <c r="O1115" s="10">
        <f>IFERROR(VLOOKUP(A1115,Flete!$A:$J,10,0),"")</f>
        <v/>
      </c>
      <c r="P1115" s="8" t="inlineStr">
        <is>
          <t>M3</t>
        </is>
      </c>
      <c r="Q1115" s="10">
        <f>IFERROR(IFERROR(VLOOKUP(A1115,TRAOPE!$A:$U,21,0),VLOOKUP(B1115,TRAOPE!$A:$U,21,0)),"")</f>
        <v/>
      </c>
      <c r="R1115" s="8">
        <f>IFERROR(IFERROR(VLOOKUP(A1115,TRAOPE!$A:$W,23,0),VLOOKUP(B1115,TRAOPE!$A:$W,23,0)),"")</f>
        <v/>
      </c>
      <c r="S1115" s="10">
        <f>IF(AND(P1115="TN",R1115="TN"),N1115+N(O1115),IF(G1115&amp;""="1",N(K1115)*N1115,(N1115+N(O1115))*N(K1115)))</f>
        <v/>
      </c>
      <c r="T1115" s="10">
        <f>IF(Q1115="","",Q1115-S1115)</f>
        <v/>
      </c>
    </row>
    <row r="1116">
      <c r="A1116" s="7">
        <f>CONCATENATE(C1116,E1116,F1116,I1116)</f>
        <v/>
      </c>
      <c r="B1116" s="7">
        <f>CONCATENATE(C1116,E1116,I1116)</f>
        <v/>
      </c>
      <c r="C1116" s="8" t="n">
        <v>900003606</v>
      </c>
      <c r="D1116" s="7">
        <f>IFERROR(VLOOKUP(C1116,TRAOPE!$G:$H,2,0),"")</f>
        <v/>
      </c>
      <c r="E1116" s="8" t="inlineStr">
        <is>
          <t>D836</t>
        </is>
      </c>
      <c r="F1116" s="8" t="inlineStr">
        <is>
          <t>65565826</t>
        </is>
      </c>
      <c r="G1116" s="8">
        <f>IFERROR(VLOOKUP(A1116,Flete!$A:$E,5,0),"")</f>
        <v/>
      </c>
      <c r="H1116" s="7">
        <f>IFERROR(VLOOKUP(F1116,TRAOPE!$AA:$AB,2,0),"")</f>
        <v/>
      </c>
      <c r="I1116" s="7" t="n">
        <v>10000650</v>
      </c>
      <c r="J1116" s="7">
        <f>IFERROR(VLOOKUP(I1116,Materiales!$A:$H,8,0),"")</f>
        <v/>
      </c>
      <c r="K1116" s="9">
        <f>IFERROR(VLOOKUP(I1116,Materiales!$A:$G,7,0),"")</f>
        <v/>
      </c>
      <c r="L1116" s="8" t="inlineStr">
        <is>
          <t>20190426</t>
        </is>
      </c>
      <c r="M1116" s="8" t="inlineStr">
        <is>
          <t>20250127</t>
        </is>
      </c>
      <c r="N1116" s="10" t="n">
        <v>89.7</v>
      </c>
      <c r="O1116" s="10">
        <f>IFERROR(VLOOKUP(A1116,Flete!$A:$J,10,0),"")</f>
        <v/>
      </c>
      <c r="P1116" s="8" t="inlineStr">
        <is>
          <t>M3</t>
        </is>
      </c>
      <c r="Q1116" s="10">
        <f>IFERROR(IFERROR(VLOOKUP(A1116,TRAOPE!$A:$U,21,0),VLOOKUP(B1116,TRAOPE!$A:$U,21,0)),"")</f>
        <v/>
      </c>
      <c r="R1116" s="8">
        <f>IFERROR(IFERROR(VLOOKUP(A1116,TRAOPE!$A:$W,23,0),VLOOKUP(B1116,TRAOPE!$A:$W,23,0)),"")</f>
        <v/>
      </c>
      <c r="S1116" s="10">
        <f>IF(AND(P1116="TN",R1116="TN"),N1116+N(O1116),IF(G1116&amp;""="1",N(K1116)*N1116,(N1116+N(O1116))*N(K1116)))</f>
        <v/>
      </c>
      <c r="T1116" s="10">
        <f>IF(Q1116="","",Q1116-S1116)</f>
        <v/>
      </c>
    </row>
    <row r="1117">
      <c r="A1117" s="7">
        <f>CONCATENATE(C1117,E1117,F1117,I1117)</f>
        <v/>
      </c>
      <c r="B1117" s="7">
        <f>CONCATENATE(C1117,E1117,I1117)</f>
        <v/>
      </c>
      <c r="C1117" s="8" t="n">
        <v>900003608</v>
      </c>
      <c r="D1117" s="7">
        <f>IFERROR(VLOOKUP(C1117,TRAOPE!$G:$H,2,0),"")</f>
        <v/>
      </c>
      <c r="E1117" s="8" t="inlineStr">
        <is>
          <t>D836</t>
        </is>
      </c>
      <c r="F1117" s="8" t="inlineStr">
        <is>
          <t>66424107</t>
        </is>
      </c>
      <c r="G1117" s="8">
        <f>IFERROR(VLOOKUP(A1117,Flete!$A:$E,5,0),"")</f>
        <v/>
      </c>
      <c r="H1117" s="7">
        <f>IFERROR(VLOOKUP(F1117,TRAOPE!$AA:$AB,2,0),"")</f>
        <v/>
      </c>
      <c r="I1117" s="7" t="n">
        <v>10000649</v>
      </c>
      <c r="J1117" s="7">
        <f>IFERROR(VLOOKUP(I1117,Materiales!$A:$H,8,0),"")</f>
        <v/>
      </c>
      <c r="K1117" s="9">
        <f>IFERROR(VLOOKUP(I1117,Materiales!$A:$G,7,0),"")</f>
        <v/>
      </c>
      <c r="L1117" s="8" t="inlineStr">
        <is>
          <t>20190426</t>
        </is>
      </c>
      <c r="M1117" s="8" t="inlineStr">
        <is>
          <t>20250127</t>
        </is>
      </c>
      <c r="N1117" s="10" t="n">
        <v>110</v>
      </c>
      <c r="O1117" s="10">
        <f>IFERROR(VLOOKUP(A1117,Flete!$A:$J,10,0),"")</f>
        <v/>
      </c>
      <c r="P1117" s="8" t="inlineStr">
        <is>
          <t>M3</t>
        </is>
      </c>
      <c r="Q1117" s="10">
        <f>IFERROR(IFERROR(VLOOKUP(A1117,TRAOPE!$A:$U,21,0),VLOOKUP(B1117,TRAOPE!$A:$U,21,0)),"")</f>
        <v/>
      </c>
      <c r="R1117" s="8">
        <f>IFERROR(IFERROR(VLOOKUP(A1117,TRAOPE!$A:$W,23,0),VLOOKUP(B1117,TRAOPE!$A:$W,23,0)),"")</f>
        <v/>
      </c>
      <c r="S1117" s="10">
        <f>IF(AND(P1117="TN",R1117="TN"),N1117+N(O1117),IF(G1117&amp;""="1",N(K1117)*N1117,(N1117+N(O1117))*N(K1117)))</f>
        <v/>
      </c>
      <c r="T1117" s="10">
        <f>IF(Q1117="","",Q1117-S1117)</f>
        <v/>
      </c>
    </row>
    <row r="1118">
      <c r="A1118" s="7">
        <f>CONCATENATE(C1118,E1118,F1118,I1118)</f>
        <v/>
      </c>
      <c r="B1118" s="7">
        <f>CONCATENATE(C1118,E1118,I1118)</f>
        <v/>
      </c>
      <c r="C1118" s="8" t="n">
        <v>900003608</v>
      </c>
      <c r="D1118" s="7">
        <f>IFERROR(VLOOKUP(C1118,TRAOPE!$G:$H,2,0),"")</f>
        <v/>
      </c>
      <c r="E1118" s="8" t="inlineStr">
        <is>
          <t>D836</t>
        </is>
      </c>
      <c r="F1118" s="8" t="inlineStr">
        <is>
          <t>66424107</t>
        </is>
      </c>
      <c r="G1118" s="8">
        <f>IFERROR(VLOOKUP(A1118,Flete!$A:$E,5,0),"")</f>
        <v/>
      </c>
      <c r="H1118" s="7">
        <f>IFERROR(VLOOKUP(F1118,TRAOPE!$AA:$AB,2,0),"")</f>
        <v/>
      </c>
      <c r="I1118" s="7" t="n">
        <v>10146801</v>
      </c>
      <c r="J1118" s="7">
        <f>IFERROR(VLOOKUP(I1118,Materiales!$A:$H,8,0),"")</f>
        <v/>
      </c>
      <c r="K1118" s="9">
        <f>IFERROR(VLOOKUP(I1118,Materiales!$A:$G,7,0),"")</f>
        <v/>
      </c>
      <c r="L1118" s="8" t="inlineStr">
        <is>
          <t>20190426</t>
        </is>
      </c>
      <c r="M1118" s="8" t="inlineStr">
        <is>
          <t>20250127</t>
        </is>
      </c>
      <c r="N1118" s="10" t="n">
        <v>110</v>
      </c>
      <c r="O1118" s="10">
        <f>IFERROR(VLOOKUP(A1118,Flete!$A:$J,10,0),"")</f>
        <v/>
      </c>
      <c r="P1118" s="8" t="inlineStr">
        <is>
          <t>M3</t>
        </is>
      </c>
      <c r="Q1118" s="10">
        <f>IFERROR(IFERROR(VLOOKUP(A1118,TRAOPE!$A:$U,21,0),VLOOKUP(B1118,TRAOPE!$A:$U,21,0)),"")</f>
        <v/>
      </c>
      <c r="R1118" s="8">
        <f>IFERROR(IFERROR(VLOOKUP(A1118,TRAOPE!$A:$W,23,0),VLOOKUP(B1118,TRAOPE!$A:$W,23,0)),"")</f>
        <v/>
      </c>
      <c r="S1118" s="10">
        <f>IF(AND(P1118="TN",R1118="TN"),N1118+N(O1118),IF(G1118&amp;""="1",N(K1118)*N1118,(N1118+N(O1118))*N(K1118)))</f>
        <v/>
      </c>
      <c r="T1118" s="10">
        <f>IF(Q1118="","",Q1118-S1118)</f>
        <v/>
      </c>
    </row>
    <row r="1119">
      <c r="A1119" s="7">
        <f>CONCATENATE(C1119,E1119,F1119,I1119)</f>
        <v/>
      </c>
      <c r="B1119" s="7">
        <f>CONCATENATE(C1119,E1119,I1119)</f>
        <v/>
      </c>
      <c r="C1119" s="8" t="n">
        <v>900003608</v>
      </c>
      <c r="D1119" s="7">
        <f>IFERROR(VLOOKUP(C1119,TRAOPE!$G:$H,2,0),"")</f>
        <v/>
      </c>
      <c r="E1119" s="8" t="inlineStr">
        <is>
          <t>D836</t>
        </is>
      </c>
      <c r="F1119" s="8" t="inlineStr">
        <is>
          <t>66424107</t>
        </is>
      </c>
      <c r="G1119" s="8">
        <f>IFERROR(VLOOKUP(A1119,Flete!$A:$E,5,0),"")</f>
        <v/>
      </c>
      <c r="H1119" s="7">
        <f>IFERROR(VLOOKUP(F1119,TRAOPE!$AA:$AB,2,0),"")</f>
        <v/>
      </c>
      <c r="I1119" s="7" t="n">
        <v>10146897</v>
      </c>
      <c r="J1119" s="7">
        <f>IFERROR(VLOOKUP(I1119,Materiales!$A:$H,8,0),"")</f>
        <v/>
      </c>
      <c r="K1119" s="9">
        <f>IFERROR(VLOOKUP(I1119,Materiales!$A:$G,7,0),"")</f>
        <v/>
      </c>
      <c r="L1119" s="8" t="inlineStr">
        <is>
          <t>20190426</t>
        </is>
      </c>
      <c r="M1119" s="8" t="inlineStr">
        <is>
          <t>20250127</t>
        </is>
      </c>
      <c r="N1119" s="10" t="n">
        <v>110</v>
      </c>
      <c r="O1119" s="10">
        <f>IFERROR(VLOOKUP(A1119,Flete!$A:$J,10,0),"")</f>
        <v/>
      </c>
      <c r="P1119" s="8" t="inlineStr">
        <is>
          <t>M3</t>
        </is>
      </c>
      <c r="Q1119" s="10">
        <f>IFERROR(IFERROR(VLOOKUP(A1119,TRAOPE!$A:$U,21,0),VLOOKUP(B1119,TRAOPE!$A:$U,21,0)),"")</f>
        <v/>
      </c>
      <c r="R1119" s="8">
        <f>IFERROR(IFERROR(VLOOKUP(A1119,TRAOPE!$A:$W,23,0),VLOOKUP(B1119,TRAOPE!$A:$W,23,0)),"")</f>
        <v/>
      </c>
      <c r="S1119" s="10">
        <f>IF(AND(P1119="TN",R1119="TN"),N1119+N(O1119),IF(G1119&amp;""="1",N(K1119)*N1119,(N1119+N(O1119))*N(K1119)))</f>
        <v/>
      </c>
      <c r="T1119" s="10">
        <f>IF(Q1119="","",Q1119-S1119)</f>
        <v/>
      </c>
    </row>
    <row r="1120">
      <c r="A1120" s="7">
        <f>CONCATENATE(C1120,E1120,F1120,I1120)</f>
        <v/>
      </c>
      <c r="B1120" s="7">
        <f>CONCATENATE(C1120,E1120,I1120)</f>
        <v/>
      </c>
      <c r="C1120" s="8" t="n">
        <v>900003609</v>
      </c>
      <c r="D1120" s="7">
        <f>IFERROR(VLOOKUP(C1120,TRAOPE!$G:$H,2,0),"")</f>
        <v/>
      </c>
      <c r="E1120" s="8" t="inlineStr">
        <is>
          <t>D836</t>
        </is>
      </c>
      <c r="F1120" s="8" t="inlineStr">
        <is>
          <t>65002610</t>
        </is>
      </c>
      <c r="G1120" s="8">
        <f>IFERROR(VLOOKUP(A1120,Flete!$A:$E,5,0),"")</f>
        <v/>
      </c>
      <c r="H1120" s="7">
        <f>IFERROR(VLOOKUP(F1120,TRAOPE!$AA:$AB,2,0),"")</f>
        <v/>
      </c>
      <c r="I1120" s="7" t="n">
        <v>10000630</v>
      </c>
      <c r="J1120" s="7">
        <f>IFERROR(VLOOKUP(I1120,Materiales!$A:$H,8,0),"")</f>
        <v/>
      </c>
      <c r="K1120" s="9">
        <f>IFERROR(VLOOKUP(I1120,Materiales!$A:$G,7,0),"")</f>
        <v/>
      </c>
      <c r="L1120" s="8" t="inlineStr">
        <is>
          <t>20190426</t>
        </is>
      </c>
      <c r="M1120" s="8" t="inlineStr">
        <is>
          <t>20250127</t>
        </is>
      </c>
      <c r="N1120" s="10" t="n">
        <v>155</v>
      </c>
      <c r="O1120" s="10">
        <f>IFERROR(VLOOKUP(A1120,Flete!$A:$J,10,0),"")</f>
        <v/>
      </c>
      <c r="P1120" s="8" t="inlineStr">
        <is>
          <t>M3</t>
        </is>
      </c>
      <c r="Q1120" s="10">
        <f>IFERROR(IFERROR(VLOOKUP(A1120,TRAOPE!$A:$U,21,0),VLOOKUP(B1120,TRAOPE!$A:$U,21,0)),"")</f>
        <v/>
      </c>
      <c r="R1120" s="8">
        <f>IFERROR(IFERROR(VLOOKUP(A1120,TRAOPE!$A:$W,23,0),VLOOKUP(B1120,TRAOPE!$A:$W,23,0)),"")</f>
        <v/>
      </c>
      <c r="S1120" s="10">
        <f>IF(AND(P1120="TN",R1120="TN"),N1120+N(O1120),IF(G1120&amp;""="1",N(K1120)*N1120,(N1120+N(O1120))*N(K1120)))</f>
        <v/>
      </c>
      <c r="T1120" s="10">
        <f>IF(Q1120="","",Q1120-S1120)</f>
        <v/>
      </c>
    </row>
    <row r="1121">
      <c r="A1121" s="7">
        <f>CONCATENATE(C1121,E1121,F1121,I1121)</f>
        <v/>
      </c>
      <c r="B1121" s="7">
        <f>CONCATENATE(C1121,E1121,I1121)</f>
        <v/>
      </c>
      <c r="C1121" s="8" t="n">
        <v>900003609</v>
      </c>
      <c r="D1121" s="7">
        <f>IFERROR(VLOOKUP(C1121,TRAOPE!$G:$H,2,0),"")</f>
        <v/>
      </c>
      <c r="E1121" s="8" t="inlineStr">
        <is>
          <t>D836</t>
        </is>
      </c>
      <c r="F1121" s="8" t="inlineStr">
        <is>
          <t>65008384</t>
        </is>
      </c>
      <c r="G1121" s="8">
        <f>IFERROR(VLOOKUP(A1121,Flete!$A:$E,5,0),"")</f>
        <v/>
      </c>
      <c r="H1121" s="7">
        <f>IFERROR(VLOOKUP(F1121,TRAOPE!$AA:$AB,2,0),"")</f>
        <v/>
      </c>
      <c r="I1121" s="7" t="n">
        <v>10000624</v>
      </c>
      <c r="J1121" s="7">
        <f>IFERROR(VLOOKUP(I1121,Materiales!$A:$H,8,0),"")</f>
        <v/>
      </c>
      <c r="K1121" s="9">
        <f>IFERROR(VLOOKUP(I1121,Materiales!$A:$G,7,0),"")</f>
        <v/>
      </c>
      <c r="L1121" s="8" t="inlineStr">
        <is>
          <t>20190426</t>
        </is>
      </c>
      <c r="M1121" s="8" t="inlineStr">
        <is>
          <t>20250127</t>
        </is>
      </c>
      <c r="N1121" s="10" t="n">
        <v>140</v>
      </c>
      <c r="O1121" s="10">
        <f>IFERROR(VLOOKUP(A1121,Flete!$A:$J,10,0),"")</f>
        <v/>
      </c>
      <c r="P1121" s="8" t="inlineStr">
        <is>
          <t>M3</t>
        </is>
      </c>
      <c r="Q1121" s="10">
        <f>IFERROR(IFERROR(VLOOKUP(A1121,TRAOPE!$A:$U,21,0),VLOOKUP(B1121,TRAOPE!$A:$U,21,0)),"")</f>
        <v/>
      </c>
      <c r="R1121" s="8">
        <f>IFERROR(IFERROR(VLOOKUP(A1121,TRAOPE!$A:$W,23,0),VLOOKUP(B1121,TRAOPE!$A:$W,23,0)),"")</f>
        <v/>
      </c>
      <c r="S1121" s="10">
        <f>IF(AND(P1121="TN",R1121="TN"),N1121+N(O1121),IF(G1121&amp;""="1",N(K1121)*N1121,(N1121+N(O1121))*N(K1121)))</f>
        <v/>
      </c>
      <c r="T1121" s="10">
        <f>IF(Q1121="","",Q1121-S1121)</f>
        <v/>
      </c>
    </row>
    <row r="1122">
      <c r="A1122" s="7">
        <f>CONCATENATE(C1122,E1122,F1122,I1122)</f>
        <v/>
      </c>
      <c r="B1122" s="7">
        <f>CONCATENATE(C1122,E1122,I1122)</f>
        <v/>
      </c>
      <c r="C1122" s="8" t="n">
        <v>900003609</v>
      </c>
      <c r="D1122" s="7">
        <f>IFERROR(VLOOKUP(C1122,TRAOPE!$G:$H,2,0),"")</f>
        <v/>
      </c>
      <c r="E1122" s="8" t="inlineStr">
        <is>
          <t>D836</t>
        </is>
      </c>
      <c r="F1122" s="8" t="inlineStr">
        <is>
          <t>65015067</t>
        </is>
      </c>
      <c r="G1122" s="8">
        <f>IFERROR(VLOOKUP(A1122,Flete!$A:$E,5,0),"")</f>
        <v/>
      </c>
      <c r="H1122" s="7">
        <f>IFERROR(VLOOKUP(F1122,TRAOPE!$AA:$AB,2,0),"")</f>
        <v/>
      </c>
      <c r="I1122" s="7" t="n">
        <v>10198730</v>
      </c>
      <c r="J1122" s="7">
        <f>IFERROR(VLOOKUP(I1122,Materiales!$A:$H,8,0),"")</f>
        <v/>
      </c>
      <c r="K1122" s="9">
        <f>IFERROR(VLOOKUP(I1122,Materiales!$A:$G,7,0),"")</f>
        <v/>
      </c>
      <c r="L1122" s="8" t="inlineStr">
        <is>
          <t>20190426</t>
        </is>
      </c>
      <c r="M1122" s="8" t="inlineStr">
        <is>
          <t>20250127</t>
        </is>
      </c>
      <c r="N1122" s="10" t="n">
        <v>97.41</v>
      </c>
      <c r="O1122" s="10">
        <f>IFERROR(VLOOKUP(A1122,Flete!$A:$J,10,0),"")</f>
        <v/>
      </c>
      <c r="P1122" s="8" t="inlineStr">
        <is>
          <t>M3</t>
        </is>
      </c>
      <c r="Q1122" s="10">
        <f>IFERROR(IFERROR(VLOOKUP(A1122,TRAOPE!$A:$U,21,0),VLOOKUP(B1122,TRAOPE!$A:$U,21,0)),"")</f>
        <v/>
      </c>
      <c r="R1122" s="8">
        <f>IFERROR(IFERROR(VLOOKUP(A1122,TRAOPE!$A:$W,23,0),VLOOKUP(B1122,TRAOPE!$A:$W,23,0)),"")</f>
        <v/>
      </c>
      <c r="S1122" s="10">
        <f>IF(AND(P1122="TN",R1122="TN"),N1122+N(O1122),IF(G1122&amp;""="1",N(K1122)*N1122,(N1122+N(O1122))*N(K1122)))</f>
        <v/>
      </c>
      <c r="T1122" s="10">
        <f>IF(Q1122="","",Q1122-S1122)</f>
        <v/>
      </c>
    </row>
    <row r="1123">
      <c r="A1123" s="7">
        <f>CONCATENATE(C1123,E1123,F1123,I1123)</f>
        <v/>
      </c>
      <c r="B1123" s="7">
        <f>CONCATENATE(C1123,E1123,I1123)</f>
        <v/>
      </c>
      <c r="C1123" s="8" t="n">
        <v>900003609</v>
      </c>
      <c r="D1123" s="7">
        <f>IFERROR(VLOOKUP(C1123,TRAOPE!$G:$H,2,0),"")</f>
        <v/>
      </c>
      <c r="E1123" s="8" t="inlineStr">
        <is>
          <t>D836</t>
        </is>
      </c>
      <c r="F1123" s="8" t="inlineStr">
        <is>
          <t>65015153</t>
        </is>
      </c>
      <c r="G1123" s="8">
        <f>IFERROR(VLOOKUP(A1123,Flete!$A:$E,5,0),"")</f>
        <v/>
      </c>
      <c r="H1123" s="7">
        <f>IFERROR(VLOOKUP(F1123,TRAOPE!$AA:$AB,2,0),"")</f>
        <v/>
      </c>
      <c r="I1123" s="7" t="n">
        <v>10000722</v>
      </c>
      <c r="J1123" s="7">
        <f>IFERROR(VLOOKUP(I1123,Materiales!$A:$H,8,0),"")</f>
        <v/>
      </c>
      <c r="K1123" s="9">
        <f>IFERROR(VLOOKUP(I1123,Materiales!$A:$G,7,0),"")</f>
        <v/>
      </c>
      <c r="L1123" s="8" t="inlineStr">
        <is>
          <t>20190426</t>
        </is>
      </c>
      <c r="M1123" s="8" t="inlineStr">
        <is>
          <t>20250127</t>
        </is>
      </c>
      <c r="N1123" s="10" t="n">
        <v>95.08</v>
      </c>
      <c r="O1123" s="10">
        <f>IFERROR(VLOOKUP(A1123,Flete!$A:$J,10,0),"")</f>
        <v/>
      </c>
      <c r="P1123" s="8" t="inlineStr">
        <is>
          <t>TN</t>
        </is>
      </c>
      <c r="Q1123" s="10">
        <f>IFERROR(IFERROR(VLOOKUP(A1123,TRAOPE!$A:$U,21,0),VLOOKUP(B1123,TRAOPE!$A:$U,21,0)),"")</f>
        <v/>
      </c>
      <c r="R1123" s="8">
        <f>IFERROR(IFERROR(VLOOKUP(A1123,TRAOPE!$A:$W,23,0),VLOOKUP(B1123,TRAOPE!$A:$W,23,0)),"")</f>
        <v/>
      </c>
      <c r="S1123" s="10">
        <f>IF(AND(P1123="TN",R1123="TN"),N1123+N(O1123),IF(G1123&amp;""="1",N(K1123)*N1123,(N1123+N(O1123))*N(K1123)))</f>
        <v/>
      </c>
      <c r="T1123" s="10">
        <f>IF(Q1123="","",Q1123-S1123)</f>
        <v/>
      </c>
    </row>
    <row r="1124">
      <c r="A1124" s="7">
        <f>CONCATENATE(C1124,E1124,F1124,I1124)</f>
        <v/>
      </c>
      <c r="B1124" s="7">
        <f>CONCATENATE(C1124,E1124,I1124)</f>
        <v/>
      </c>
      <c r="C1124" s="8" t="n">
        <v>900003609</v>
      </c>
      <c r="D1124" s="7">
        <f>IFERROR(VLOOKUP(C1124,TRAOPE!$G:$H,2,0),"")</f>
        <v/>
      </c>
      <c r="E1124" s="8" t="inlineStr">
        <is>
          <t>D836</t>
        </is>
      </c>
      <c r="F1124" s="8" t="inlineStr">
        <is>
          <t>65061685</t>
        </is>
      </c>
      <c r="G1124" s="8">
        <f>IFERROR(VLOOKUP(A1124,Flete!$A:$E,5,0),"")</f>
        <v/>
      </c>
      <c r="H1124" s="7">
        <f>IFERROR(VLOOKUP(F1124,TRAOPE!$AA:$AB,2,0),"")</f>
        <v/>
      </c>
      <c r="I1124" s="7" t="n">
        <v>10000624</v>
      </c>
      <c r="J1124" s="7">
        <f>IFERROR(VLOOKUP(I1124,Materiales!$A:$H,8,0),"")</f>
        <v/>
      </c>
      <c r="K1124" s="9">
        <f>IFERROR(VLOOKUP(I1124,Materiales!$A:$G,7,0),"")</f>
        <v/>
      </c>
      <c r="L1124" s="8" t="inlineStr">
        <is>
          <t>20190426</t>
        </is>
      </c>
      <c r="M1124" s="8" t="inlineStr">
        <is>
          <t>20250127</t>
        </is>
      </c>
      <c r="N1124" s="10" t="n">
        <v>145</v>
      </c>
      <c r="O1124" s="10">
        <f>IFERROR(VLOOKUP(A1124,Flete!$A:$J,10,0),"")</f>
        <v/>
      </c>
      <c r="P1124" s="8" t="inlineStr">
        <is>
          <t>M3</t>
        </is>
      </c>
      <c r="Q1124" s="10">
        <f>IFERROR(IFERROR(VLOOKUP(A1124,TRAOPE!$A:$U,21,0),VLOOKUP(B1124,TRAOPE!$A:$U,21,0)),"")</f>
        <v/>
      </c>
      <c r="R1124" s="8">
        <f>IFERROR(IFERROR(VLOOKUP(A1124,TRAOPE!$A:$W,23,0),VLOOKUP(B1124,TRAOPE!$A:$W,23,0)),"")</f>
        <v/>
      </c>
      <c r="S1124" s="10">
        <f>IF(AND(P1124="TN",R1124="TN"),N1124+N(O1124),IF(G1124&amp;""="1",N(K1124)*N1124,(N1124+N(O1124))*N(K1124)))</f>
        <v/>
      </c>
      <c r="T1124" s="10">
        <f>IF(Q1124="","",Q1124-S1124)</f>
        <v/>
      </c>
    </row>
    <row r="1125">
      <c r="A1125" s="7">
        <f>CONCATENATE(C1125,E1125,F1125,I1125)</f>
        <v/>
      </c>
      <c r="B1125" s="7">
        <f>CONCATENATE(C1125,E1125,I1125)</f>
        <v/>
      </c>
      <c r="C1125" s="8" t="n">
        <v>900003609</v>
      </c>
      <c r="D1125" s="7">
        <f>IFERROR(VLOOKUP(C1125,TRAOPE!$G:$H,2,0),"")</f>
        <v/>
      </c>
      <c r="E1125" s="8" t="inlineStr">
        <is>
          <t>D836</t>
        </is>
      </c>
      <c r="F1125" s="8" t="inlineStr">
        <is>
          <t>65061685</t>
        </is>
      </c>
      <c r="G1125" s="8">
        <f>IFERROR(VLOOKUP(A1125,Flete!$A:$E,5,0),"")</f>
        <v/>
      </c>
      <c r="H1125" s="7">
        <f>IFERROR(VLOOKUP(F1125,TRAOPE!$AA:$AB,2,0),"")</f>
        <v/>
      </c>
      <c r="I1125" s="7" t="n">
        <v>10000722</v>
      </c>
      <c r="J1125" s="7">
        <f>IFERROR(VLOOKUP(I1125,Materiales!$A:$H,8,0),"")</f>
        <v/>
      </c>
      <c r="K1125" s="9">
        <f>IFERROR(VLOOKUP(I1125,Materiales!$A:$G,7,0),"")</f>
        <v/>
      </c>
      <c r="L1125" s="8" t="inlineStr">
        <is>
          <t>20190426</t>
        </is>
      </c>
      <c r="M1125" s="8" t="inlineStr">
        <is>
          <t>20250127</t>
        </is>
      </c>
      <c r="N1125" s="10" t="n">
        <v>150</v>
      </c>
      <c r="O1125" s="10">
        <f>IFERROR(VLOOKUP(A1125,Flete!$A:$J,10,0),"")</f>
        <v/>
      </c>
      <c r="P1125" s="8" t="inlineStr">
        <is>
          <t>M3</t>
        </is>
      </c>
      <c r="Q1125" s="10">
        <f>IFERROR(IFERROR(VLOOKUP(A1125,TRAOPE!$A:$U,21,0),VLOOKUP(B1125,TRAOPE!$A:$U,21,0)),"")</f>
        <v/>
      </c>
      <c r="R1125" s="8">
        <f>IFERROR(IFERROR(VLOOKUP(A1125,TRAOPE!$A:$W,23,0),VLOOKUP(B1125,TRAOPE!$A:$W,23,0)),"")</f>
        <v/>
      </c>
      <c r="S1125" s="10">
        <f>IF(AND(P1125="TN",R1125="TN"),N1125+N(O1125),IF(G1125&amp;""="1",N(K1125)*N1125,(N1125+N(O1125))*N(K1125)))</f>
        <v/>
      </c>
      <c r="T1125" s="10">
        <f>IF(Q1125="","",Q1125-S1125)</f>
        <v/>
      </c>
    </row>
    <row r="1126">
      <c r="A1126" s="7">
        <f>CONCATENATE(C1126,E1126,F1126,I1126)</f>
        <v/>
      </c>
      <c r="B1126" s="7">
        <f>CONCATENATE(C1126,E1126,I1126)</f>
        <v/>
      </c>
      <c r="C1126" s="8" t="n">
        <v>900003609</v>
      </c>
      <c r="D1126" s="7">
        <f>IFERROR(VLOOKUP(C1126,TRAOPE!$G:$H,2,0),"")</f>
        <v/>
      </c>
      <c r="E1126" s="8" t="inlineStr">
        <is>
          <t>D836</t>
        </is>
      </c>
      <c r="F1126" s="8" t="inlineStr">
        <is>
          <t>65081426</t>
        </is>
      </c>
      <c r="G1126" s="8">
        <f>IFERROR(VLOOKUP(A1126,Flete!$A:$E,5,0),"")</f>
        <v/>
      </c>
      <c r="H1126" s="7">
        <f>IFERROR(VLOOKUP(F1126,TRAOPE!$AA:$AB,2,0),"")</f>
        <v/>
      </c>
      <c r="I1126" s="7" t="n">
        <v>10000630</v>
      </c>
      <c r="J1126" s="7">
        <f>IFERROR(VLOOKUP(I1126,Materiales!$A:$H,8,0),"")</f>
        <v/>
      </c>
      <c r="K1126" s="9">
        <f>IFERROR(VLOOKUP(I1126,Materiales!$A:$G,7,0),"")</f>
        <v/>
      </c>
      <c r="L1126" s="8" t="inlineStr">
        <is>
          <t>20190426</t>
        </is>
      </c>
      <c r="M1126" s="8" t="inlineStr">
        <is>
          <t>20250127</t>
        </is>
      </c>
      <c r="N1126" s="10" t="n">
        <v>101.66</v>
      </c>
      <c r="O1126" s="10">
        <f>IFERROR(VLOOKUP(A1126,Flete!$A:$J,10,0),"")</f>
        <v/>
      </c>
      <c r="P1126" s="8" t="inlineStr">
        <is>
          <t>TN</t>
        </is>
      </c>
      <c r="Q1126" s="10">
        <f>IFERROR(IFERROR(VLOOKUP(A1126,TRAOPE!$A:$U,21,0),VLOOKUP(B1126,TRAOPE!$A:$U,21,0)),"")</f>
        <v/>
      </c>
      <c r="R1126" s="8">
        <f>IFERROR(IFERROR(VLOOKUP(A1126,TRAOPE!$A:$W,23,0),VLOOKUP(B1126,TRAOPE!$A:$W,23,0)),"")</f>
        <v/>
      </c>
      <c r="S1126" s="10">
        <f>IF(AND(P1126="TN",R1126="TN"),N1126+N(O1126),IF(G1126&amp;""="1",N(K1126)*N1126,(N1126+N(O1126))*N(K1126)))</f>
        <v/>
      </c>
      <c r="T1126" s="10">
        <f>IF(Q1126="","",Q1126-S1126)</f>
        <v/>
      </c>
    </row>
    <row r="1127">
      <c r="A1127" s="7">
        <f>CONCATENATE(C1127,E1127,F1127,I1127)</f>
        <v/>
      </c>
      <c r="B1127" s="7">
        <f>CONCATENATE(C1127,E1127,I1127)</f>
        <v/>
      </c>
      <c r="C1127" s="8" t="n">
        <v>900003609</v>
      </c>
      <c r="D1127" s="7">
        <f>IFERROR(VLOOKUP(C1127,TRAOPE!$G:$H,2,0),"")</f>
        <v/>
      </c>
      <c r="E1127" s="8" t="inlineStr">
        <is>
          <t>D836</t>
        </is>
      </c>
      <c r="F1127" s="8" t="inlineStr">
        <is>
          <t>65084091</t>
        </is>
      </c>
      <c r="G1127" s="8">
        <f>IFERROR(VLOOKUP(A1127,Flete!$A:$E,5,0),"")</f>
        <v/>
      </c>
      <c r="H1127" s="7">
        <f>IFERROR(VLOOKUP(F1127,TRAOPE!$AA:$AB,2,0),"")</f>
        <v/>
      </c>
      <c r="I1127" s="7" t="n">
        <v>10000630</v>
      </c>
      <c r="J1127" s="7">
        <f>IFERROR(VLOOKUP(I1127,Materiales!$A:$H,8,0),"")</f>
        <v/>
      </c>
      <c r="K1127" s="9">
        <f>IFERROR(VLOOKUP(I1127,Materiales!$A:$G,7,0),"")</f>
        <v/>
      </c>
      <c r="L1127" s="8" t="inlineStr">
        <is>
          <t>20190426</t>
        </is>
      </c>
      <c r="M1127" s="8" t="inlineStr">
        <is>
          <t>20250127</t>
        </is>
      </c>
      <c r="N1127" s="10" t="n">
        <v>104.05</v>
      </c>
      <c r="O1127" s="10">
        <f>IFERROR(VLOOKUP(A1127,Flete!$A:$J,10,0),"")</f>
        <v/>
      </c>
      <c r="P1127" s="8" t="inlineStr">
        <is>
          <t>TN</t>
        </is>
      </c>
      <c r="Q1127" s="10">
        <f>IFERROR(IFERROR(VLOOKUP(A1127,TRAOPE!$A:$U,21,0),VLOOKUP(B1127,TRAOPE!$A:$U,21,0)),"")</f>
        <v/>
      </c>
      <c r="R1127" s="8">
        <f>IFERROR(IFERROR(VLOOKUP(A1127,TRAOPE!$A:$W,23,0),VLOOKUP(B1127,TRAOPE!$A:$W,23,0)),"")</f>
        <v/>
      </c>
      <c r="S1127" s="10">
        <f>IF(AND(P1127="TN",R1127="TN"),N1127+N(O1127),IF(G1127&amp;""="1",N(K1127)*N1127,(N1127+N(O1127))*N(K1127)))</f>
        <v/>
      </c>
      <c r="T1127" s="10">
        <f>IF(Q1127="","",Q1127-S1127)</f>
        <v/>
      </c>
    </row>
    <row r="1128">
      <c r="A1128" s="7">
        <f>CONCATENATE(C1128,E1128,F1128,I1128)</f>
        <v/>
      </c>
      <c r="B1128" s="7">
        <f>CONCATENATE(C1128,E1128,I1128)</f>
        <v/>
      </c>
      <c r="C1128" s="8" t="n">
        <v>900003609</v>
      </c>
      <c r="D1128" s="7">
        <f>IFERROR(VLOOKUP(C1128,TRAOPE!$G:$H,2,0),"")</f>
        <v/>
      </c>
      <c r="E1128" s="8" t="inlineStr">
        <is>
          <t>D836</t>
        </is>
      </c>
      <c r="F1128" s="8" t="inlineStr">
        <is>
          <t>65084190</t>
        </is>
      </c>
      <c r="G1128" s="8">
        <f>IFERROR(VLOOKUP(A1128,Flete!$A:$E,5,0),"")</f>
        <v/>
      </c>
      <c r="H1128" s="7">
        <f>IFERROR(VLOOKUP(F1128,TRAOPE!$AA:$AB,2,0),"")</f>
        <v/>
      </c>
      <c r="I1128" s="7" t="n">
        <v>10000811</v>
      </c>
      <c r="J1128" s="7">
        <f>IFERROR(VLOOKUP(I1128,Materiales!$A:$H,8,0),"")</f>
        <v/>
      </c>
      <c r="K1128" s="9">
        <f>IFERROR(VLOOKUP(I1128,Materiales!$A:$G,7,0),"")</f>
        <v/>
      </c>
      <c r="L1128" s="8" t="inlineStr">
        <is>
          <t>20190426</t>
        </is>
      </c>
      <c r="M1128" s="8" t="inlineStr">
        <is>
          <t>20250127</t>
        </is>
      </c>
      <c r="N1128" s="10" t="n">
        <v>107.64</v>
      </c>
      <c r="O1128" s="10">
        <f>IFERROR(VLOOKUP(A1128,Flete!$A:$J,10,0),"")</f>
        <v/>
      </c>
      <c r="P1128" s="8" t="inlineStr">
        <is>
          <t>TN</t>
        </is>
      </c>
      <c r="Q1128" s="10">
        <f>IFERROR(IFERROR(VLOOKUP(A1128,TRAOPE!$A:$U,21,0),VLOOKUP(B1128,TRAOPE!$A:$U,21,0)),"")</f>
        <v/>
      </c>
      <c r="R1128" s="8">
        <f>IFERROR(IFERROR(VLOOKUP(A1128,TRAOPE!$A:$W,23,0),VLOOKUP(B1128,TRAOPE!$A:$W,23,0)),"")</f>
        <v/>
      </c>
      <c r="S1128" s="10">
        <f>IF(AND(P1128="TN",R1128="TN"),N1128+N(O1128),IF(G1128&amp;""="1",N(K1128)*N1128,(N1128+N(O1128))*N(K1128)))</f>
        <v/>
      </c>
      <c r="T1128" s="10">
        <f>IF(Q1128="","",Q1128-S1128)</f>
        <v/>
      </c>
    </row>
    <row r="1129">
      <c r="A1129" s="7">
        <f>CONCATENATE(C1129,E1129,F1129,I1129)</f>
        <v/>
      </c>
      <c r="B1129" s="7">
        <f>CONCATENATE(C1129,E1129,I1129)</f>
        <v/>
      </c>
      <c r="C1129" s="8" t="n">
        <v>900003609</v>
      </c>
      <c r="D1129" s="7">
        <f>IFERROR(VLOOKUP(C1129,TRAOPE!$G:$H,2,0),"")</f>
        <v/>
      </c>
      <c r="E1129" s="8" t="inlineStr">
        <is>
          <t>D836</t>
        </is>
      </c>
      <c r="F1129" s="8" t="inlineStr">
        <is>
          <t>65087219</t>
        </is>
      </c>
      <c r="G1129" s="8">
        <f>IFERROR(VLOOKUP(A1129,Flete!$A:$E,5,0),"")</f>
        <v/>
      </c>
      <c r="H1129" s="7">
        <f>IFERROR(VLOOKUP(F1129,TRAOPE!$AA:$AB,2,0),"")</f>
        <v/>
      </c>
      <c r="I1129" s="7" t="n">
        <v>10000630</v>
      </c>
      <c r="J1129" s="7">
        <f>IFERROR(VLOOKUP(I1129,Materiales!$A:$H,8,0),"")</f>
        <v/>
      </c>
      <c r="K1129" s="9">
        <f>IFERROR(VLOOKUP(I1129,Materiales!$A:$G,7,0),"")</f>
        <v/>
      </c>
      <c r="L1129" s="8" t="inlineStr">
        <is>
          <t>20190426</t>
        </is>
      </c>
      <c r="M1129" s="8" t="inlineStr">
        <is>
          <t>20250127</t>
        </is>
      </c>
      <c r="N1129" s="10" t="n">
        <v>163</v>
      </c>
      <c r="O1129" s="10">
        <f>IFERROR(VLOOKUP(A1129,Flete!$A:$J,10,0),"")</f>
        <v/>
      </c>
      <c r="P1129" s="8" t="inlineStr">
        <is>
          <t>M3</t>
        </is>
      </c>
      <c r="Q1129" s="10">
        <f>IFERROR(IFERROR(VLOOKUP(A1129,TRAOPE!$A:$U,21,0),VLOOKUP(B1129,TRAOPE!$A:$U,21,0)),"")</f>
        <v/>
      </c>
      <c r="R1129" s="8">
        <f>IFERROR(IFERROR(VLOOKUP(A1129,TRAOPE!$A:$W,23,0),VLOOKUP(B1129,TRAOPE!$A:$W,23,0)),"")</f>
        <v/>
      </c>
      <c r="S1129" s="10">
        <f>IF(AND(P1129="TN",R1129="TN"),N1129+N(O1129),IF(G1129&amp;""="1",N(K1129)*N1129,(N1129+N(O1129))*N(K1129)))</f>
        <v/>
      </c>
      <c r="T1129" s="10">
        <f>IF(Q1129="","",Q1129-S1129)</f>
        <v/>
      </c>
    </row>
    <row r="1130">
      <c r="A1130" s="7">
        <f>CONCATENATE(C1130,E1130,F1130,I1130)</f>
        <v/>
      </c>
      <c r="B1130" s="7">
        <f>CONCATENATE(C1130,E1130,I1130)</f>
        <v/>
      </c>
      <c r="C1130" s="8" t="n">
        <v>900003609</v>
      </c>
      <c r="D1130" s="7">
        <f>IFERROR(VLOOKUP(C1130,TRAOPE!$G:$H,2,0),"")</f>
        <v/>
      </c>
      <c r="E1130" s="8" t="inlineStr">
        <is>
          <t>D836</t>
        </is>
      </c>
      <c r="F1130" s="8" t="inlineStr">
        <is>
          <t>65087219</t>
        </is>
      </c>
      <c r="G1130" s="8">
        <f>IFERROR(VLOOKUP(A1130,Flete!$A:$E,5,0),"")</f>
        <v/>
      </c>
      <c r="H1130" s="7">
        <f>IFERROR(VLOOKUP(F1130,TRAOPE!$AA:$AB,2,0),"")</f>
        <v/>
      </c>
      <c r="I1130" s="7" t="n">
        <v>10233033</v>
      </c>
      <c r="J1130" s="7">
        <f>IFERROR(VLOOKUP(I1130,Materiales!$A:$H,8,0),"")</f>
        <v/>
      </c>
      <c r="K1130" s="9">
        <f>IFERROR(VLOOKUP(I1130,Materiales!$A:$G,7,0),"")</f>
        <v/>
      </c>
      <c r="L1130" s="8" t="inlineStr">
        <is>
          <t>20190426</t>
        </is>
      </c>
      <c r="M1130" s="8" t="inlineStr">
        <is>
          <t>20250127</t>
        </is>
      </c>
      <c r="N1130" s="10" t="n">
        <v>155</v>
      </c>
      <c r="O1130" s="10">
        <f>IFERROR(VLOOKUP(A1130,Flete!$A:$J,10,0),"")</f>
        <v/>
      </c>
      <c r="P1130" s="8" t="inlineStr">
        <is>
          <t>M3</t>
        </is>
      </c>
      <c r="Q1130" s="10">
        <f>IFERROR(IFERROR(VLOOKUP(A1130,TRAOPE!$A:$U,21,0),VLOOKUP(B1130,TRAOPE!$A:$U,21,0)),"")</f>
        <v/>
      </c>
      <c r="R1130" s="8">
        <f>IFERROR(IFERROR(VLOOKUP(A1130,TRAOPE!$A:$W,23,0),VLOOKUP(B1130,TRAOPE!$A:$W,23,0)),"")</f>
        <v/>
      </c>
      <c r="S1130" s="10">
        <f>IF(AND(P1130="TN",R1130="TN"),N1130+N(O1130),IF(G1130&amp;""="1",N(K1130)*N1130,(N1130+N(O1130))*N(K1130)))</f>
        <v/>
      </c>
      <c r="T1130" s="10">
        <f>IF(Q1130="","",Q1130-S1130)</f>
        <v/>
      </c>
    </row>
    <row r="1131">
      <c r="A1131" s="7">
        <f>CONCATENATE(C1131,E1131,F1131,I1131)</f>
        <v/>
      </c>
      <c r="B1131" s="7">
        <f>CONCATENATE(C1131,E1131,I1131)</f>
        <v/>
      </c>
      <c r="C1131" s="8" t="n">
        <v>900003609</v>
      </c>
      <c r="D1131" s="7">
        <f>IFERROR(VLOOKUP(C1131,TRAOPE!$G:$H,2,0),"")</f>
        <v/>
      </c>
      <c r="E1131" s="8" t="inlineStr">
        <is>
          <t>D836</t>
        </is>
      </c>
      <c r="F1131" s="8" t="inlineStr">
        <is>
          <t>65134617</t>
        </is>
      </c>
      <c r="G1131" s="8">
        <f>IFERROR(VLOOKUP(A1131,Flete!$A:$E,5,0),"")</f>
        <v/>
      </c>
      <c r="H1131" s="7">
        <f>IFERROR(VLOOKUP(F1131,TRAOPE!$AA:$AB,2,0),"")</f>
        <v/>
      </c>
      <c r="I1131" s="7" t="n">
        <v>10000630</v>
      </c>
      <c r="J1131" s="7">
        <f>IFERROR(VLOOKUP(I1131,Materiales!$A:$H,8,0),"")</f>
        <v/>
      </c>
      <c r="K1131" s="9">
        <f>IFERROR(VLOOKUP(I1131,Materiales!$A:$G,7,0),"")</f>
        <v/>
      </c>
      <c r="L1131" s="8" t="inlineStr">
        <is>
          <t>20190426</t>
        </is>
      </c>
      <c r="M1131" s="8" t="inlineStr">
        <is>
          <t>20250127</t>
        </is>
      </c>
      <c r="N1131" s="10" t="n">
        <v>101.66</v>
      </c>
      <c r="O1131" s="10">
        <f>IFERROR(VLOOKUP(A1131,Flete!$A:$J,10,0),"")</f>
        <v/>
      </c>
      <c r="P1131" s="8" t="inlineStr">
        <is>
          <t>TN</t>
        </is>
      </c>
      <c r="Q1131" s="10">
        <f>IFERROR(IFERROR(VLOOKUP(A1131,TRAOPE!$A:$U,21,0),VLOOKUP(B1131,TRAOPE!$A:$U,21,0)),"")</f>
        <v/>
      </c>
      <c r="R1131" s="8">
        <f>IFERROR(IFERROR(VLOOKUP(A1131,TRAOPE!$A:$W,23,0),VLOOKUP(B1131,TRAOPE!$A:$W,23,0)),"")</f>
        <v/>
      </c>
      <c r="S1131" s="10">
        <f>IF(AND(P1131="TN",R1131="TN"),N1131+N(O1131),IF(G1131&amp;""="1",N(K1131)*N1131,(N1131+N(O1131))*N(K1131)))</f>
        <v/>
      </c>
      <c r="T1131" s="10">
        <f>IF(Q1131="","",Q1131-S1131)</f>
        <v/>
      </c>
    </row>
    <row r="1132">
      <c r="A1132" s="7">
        <f>CONCATENATE(C1132,E1132,F1132,I1132)</f>
        <v/>
      </c>
      <c r="B1132" s="7">
        <f>CONCATENATE(C1132,E1132,I1132)</f>
        <v/>
      </c>
      <c r="C1132" s="8" t="n">
        <v>900003609</v>
      </c>
      <c r="D1132" s="7">
        <f>IFERROR(VLOOKUP(C1132,TRAOPE!$G:$H,2,0),"")</f>
        <v/>
      </c>
      <c r="E1132" s="8" t="inlineStr">
        <is>
          <t>D836</t>
        </is>
      </c>
      <c r="F1132" s="8" t="inlineStr">
        <is>
          <t>65210427</t>
        </is>
      </c>
      <c r="G1132" s="8">
        <f>IFERROR(VLOOKUP(A1132,Flete!$A:$E,5,0),"")</f>
        <v/>
      </c>
      <c r="H1132" s="7">
        <f>IFERROR(VLOOKUP(F1132,TRAOPE!$AA:$AB,2,0),"")</f>
        <v/>
      </c>
      <c r="I1132" s="7" t="n">
        <v>10000624</v>
      </c>
      <c r="J1132" s="7">
        <f>IFERROR(VLOOKUP(I1132,Materiales!$A:$H,8,0),"")</f>
        <v/>
      </c>
      <c r="K1132" s="9">
        <f>IFERROR(VLOOKUP(I1132,Materiales!$A:$G,7,0),"")</f>
        <v/>
      </c>
      <c r="L1132" s="8" t="inlineStr">
        <is>
          <t>20190426</t>
        </is>
      </c>
      <c r="M1132" s="8" t="inlineStr">
        <is>
          <t>20250127</t>
        </is>
      </c>
      <c r="N1132" s="10" t="n">
        <v>86.11</v>
      </c>
      <c r="O1132" s="10">
        <f>IFERROR(VLOOKUP(A1132,Flete!$A:$J,10,0),"")</f>
        <v/>
      </c>
      <c r="P1132" s="8" t="inlineStr">
        <is>
          <t>TN</t>
        </is>
      </c>
      <c r="Q1132" s="10">
        <f>IFERROR(IFERROR(VLOOKUP(A1132,TRAOPE!$A:$U,21,0),VLOOKUP(B1132,TRAOPE!$A:$U,21,0)),"")</f>
        <v/>
      </c>
      <c r="R1132" s="8">
        <f>IFERROR(IFERROR(VLOOKUP(A1132,TRAOPE!$A:$W,23,0),VLOOKUP(B1132,TRAOPE!$A:$W,23,0)),"")</f>
        <v/>
      </c>
      <c r="S1132" s="10">
        <f>IF(AND(P1132="TN",R1132="TN"),N1132+N(O1132),IF(G1132&amp;""="1",N(K1132)*N1132,(N1132+N(O1132))*N(K1132)))</f>
        <v/>
      </c>
      <c r="T1132" s="10">
        <f>IF(Q1132="","",Q1132-S1132)</f>
        <v/>
      </c>
    </row>
    <row r="1133">
      <c r="A1133" s="7">
        <f>CONCATENATE(C1133,E1133,F1133,I1133)</f>
        <v/>
      </c>
      <c r="B1133" s="7">
        <f>CONCATENATE(C1133,E1133,I1133)</f>
        <v/>
      </c>
      <c r="C1133" s="8" t="n">
        <v>900003609</v>
      </c>
      <c r="D1133" s="7">
        <f>IFERROR(VLOOKUP(C1133,TRAOPE!$G:$H,2,0),"")</f>
        <v/>
      </c>
      <c r="E1133" s="8" t="inlineStr">
        <is>
          <t>D836</t>
        </is>
      </c>
      <c r="F1133" s="8" t="inlineStr">
        <is>
          <t>65210427</t>
        </is>
      </c>
      <c r="G1133" s="8">
        <f>IFERROR(VLOOKUP(A1133,Flete!$A:$E,5,0),"")</f>
        <v/>
      </c>
      <c r="H1133" s="7">
        <f>IFERROR(VLOOKUP(F1133,TRAOPE!$AA:$AB,2,0),"")</f>
        <v/>
      </c>
      <c r="I1133" s="7" t="n">
        <v>10000722</v>
      </c>
      <c r="J1133" s="7">
        <f>IFERROR(VLOOKUP(I1133,Materiales!$A:$H,8,0),"")</f>
        <v/>
      </c>
      <c r="K1133" s="9">
        <f>IFERROR(VLOOKUP(I1133,Materiales!$A:$G,7,0),"")</f>
        <v/>
      </c>
      <c r="L1133" s="8" t="inlineStr">
        <is>
          <t>20190426</t>
        </is>
      </c>
      <c r="M1133" s="8" t="inlineStr">
        <is>
          <t>20250127</t>
        </is>
      </c>
      <c r="N1133" s="10" t="n">
        <v>93.29000000000001</v>
      </c>
      <c r="O1133" s="10">
        <f>IFERROR(VLOOKUP(A1133,Flete!$A:$J,10,0),"")</f>
        <v/>
      </c>
      <c r="P1133" s="8" t="inlineStr">
        <is>
          <t>TN</t>
        </is>
      </c>
      <c r="Q1133" s="10">
        <f>IFERROR(IFERROR(VLOOKUP(A1133,TRAOPE!$A:$U,21,0),VLOOKUP(B1133,TRAOPE!$A:$U,21,0)),"")</f>
        <v/>
      </c>
      <c r="R1133" s="8">
        <f>IFERROR(IFERROR(VLOOKUP(A1133,TRAOPE!$A:$W,23,0),VLOOKUP(B1133,TRAOPE!$A:$W,23,0)),"")</f>
        <v/>
      </c>
      <c r="S1133" s="10">
        <f>IF(AND(P1133="TN",R1133="TN"),N1133+N(O1133),IF(G1133&amp;""="1",N(K1133)*N1133,(N1133+N(O1133))*N(K1133)))</f>
        <v/>
      </c>
      <c r="T1133" s="10">
        <f>IF(Q1133="","",Q1133-S1133)</f>
        <v/>
      </c>
    </row>
    <row r="1134">
      <c r="A1134" s="7">
        <f>CONCATENATE(C1134,E1134,F1134,I1134)</f>
        <v/>
      </c>
      <c r="B1134" s="7">
        <f>CONCATENATE(C1134,E1134,I1134)</f>
        <v/>
      </c>
      <c r="C1134" s="8" t="n">
        <v>900003609</v>
      </c>
      <c r="D1134" s="7">
        <f>IFERROR(VLOOKUP(C1134,TRAOPE!$G:$H,2,0),"")</f>
        <v/>
      </c>
      <c r="E1134" s="8" t="inlineStr">
        <is>
          <t>D836</t>
        </is>
      </c>
      <c r="F1134" s="8" t="inlineStr">
        <is>
          <t>65221521</t>
        </is>
      </c>
      <c r="G1134" s="8">
        <f>IFERROR(VLOOKUP(A1134,Flete!$A:$E,5,0),"")</f>
        <v/>
      </c>
      <c r="H1134" s="7">
        <f>IFERROR(VLOOKUP(F1134,TRAOPE!$AA:$AB,2,0),"")</f>
        <v/>
      </c>
      <c r="I1134" s="7" t="n">
        <v>10000811</v>
      </c>
      <c r="J1134" s="7">
        <f>IFERROR(VLOOKUP(I1134,Materiales!$A:$H,8,0),"")</f>
        <v/>
      </c>
      <c r="K1134" s="9">
        <f>IFERROR(VLOOKUP(I1134,Materiales!$A:$G,7,0),"")</f>
        <v/>
      </c>
      <c r="L1134" s="8" t="inlineStr">
        <is>
          <t>20190426</t>
        </is>
      </c>
      <c r="M1134" s="8" t="inlineStr">
        <is>
          <t>20250127</t>
        </is>
      </c>
      <c r="N1134" s="10" t="n">
        <v>87.2</v>
      </c>
      <c r="O1134" s="10">
        <f>IFERROR(VLOOKUP(A1134,Flete!$A:$J,10,0),"")</f>
        <v/>
      </c>
      <c r="P1134" s="8" t="inlineStr">
        <is>
          <t>TN</t>
        </is>
      </c>
      <c r="Q1134" s="10">
        <f>IFERROR(IFERROR(VLOOKUP(A1134,TRAOPE!$A:$U,21,0),VLOOKUP(B1134,TRAOPE!$A:$U,21,0)),"")</f>
        <v/>
      </c>
      <c r="R1134" s="8">
        <f>IFERROR(IFERROR(VLOOKUP(A1134,TRAOPE!$A:$W,23,0),VLOOKUP(B1134,TRAOPE!$A:$W,23,0)),"")</f>
        <v/>
      </c>
      <c r="S1134" s="10">
        <f>IF(AND(P1134="TN",R1134="TN"),N1134+N(O1134),IF(G1134&amp;""="1",N(K1134)*N1134,(N1134+N(O1134))*N(K1134)))</f>
        <v/>
      </c>
      <c r="T1134" s="10">
        <f>IF(Q1134="","",Q1134-S1134)</f>
        <v/>
      </c>
    </row>
    <row r="1135">
      <c r="A1135" s="7">
        <f>CONCATENATE(C1135,E1135,F1135,I1135)</f>
        <v/>
      </c>
      <c r="B1135" s="7">
        <f>CONCATENATE(C1135,E1135,I1135)</f>
        <v/>
      </c>
      <c r="C1135" s="8" t="n">
        <v>900003609</v>
      </c>
      <c r="D1135" s="7">
        <f>IFERROR(VLOOKUP(C1135,TRAOPE!$G:$H,2,0),"")</f>
        <v/>
      </c>
      <c r="E1135" s="8" t="inlineStr">
        <is>
          <t>D836</t>
        </is>
      </c>
      <c r="F1135" s="8" t="inlineStr">
        <is>
          <t>65246763</t>
        </is>
      </c>
      <c r="G1135" s="8">
        <f>IFERROR(VLOOKUP(A1135,Flete!$A:$E,5,0),"")</f>
        <v/>
      </c>
      <c r="H1135" s="7">
        <f>IFERROR(VLOOKUP(F1135,TRAOPE!$AA:$AB,2,0),"")</f>
        <v/>
      </c>
      <c r="I1135" s="7" t="n">
        <v>10000624</v>
      </c>
      <c r="J1135" s="7">
        <f>IFERROR(VLOOKUP(I1135,Materiales!$A:$H,8,0),"")</f>
        <v/>
      </c>
      <c r="K1135" s="9">
        <f>IFERROR(VLOOKUP(I1135,Materiales!$A:$G,7,0),"")</f>
        <v/>
      </c>
      <c r="L1135" s="8" t="inlineStr">
        <is>
          <t>20190426</t>
        </is>
      </c>
      <c r="M1135" s="8" t="inlineStr">
        <is>
          <t>20250127</t>
        </is>
      </c>
      <c r="N1135" s="10" t="n">
        <v>129.17</v>
      </c>
      <c r="O1135" s="10">
        <f>IFERROR(VLOOKUP(A1135,Flete!$A:$J,10,0),"")</f>
        <v/>
      </c>
      <c r="P1135" s="8" t="inlineStr">
        <is>
          <t>M3</t>
        </is>
      </c>
      <c r="Q1135" s="10">
        <f>IFERROR(IFERROR(VLOOKUP(A1135,TRAOPE!$A:$U,21,0),VLOOKUP(B1135,TRAOPE!$A:$U,21,0)),"")</f>
        <v/>
      </c>
      <c r="R1135" s="8">
        <f>IFERROR(IFERROR(VLOOKUP(A1135,TRAOPE!$A:$W,23,0),VLOOKUP(B1135,TRAOPE!$A:$W,23,0)),"")</f>
        <v/>
      </c>
      <c r="S1135" s="10">
        <f>IF(AND(P1135="TN",R1135="TN"),N1135+N(O1135),IF(G1135&amp;""="1",N(K1135)*N1135,(N1135+N(O1135))*N(K1135)))</f>
        <v/>
      </c>
      <c r="T1135" s="10">
        <f>IF(Q1135="","",Q1135-S1135)</f>
        <v/>
      </c>
    </row>
    <row r="1136">
      <c r="A1136" s="7">
        <f>CONCATENATE(C1136,E1136,F1136,I1136)</f>
        <v/>
      </c>
      <c r="B1136" s="7">
        <f>CONCATENATE(C1136,E1136,I1136)</f>
        <v/>
      </c>
      <c r="C1136" s="8" t="n">
        <v>900003609</v>
      </c>
      <c r="D1136" s="7">
        <f>IFERROR(VLOOKUP(C1136,TRAOPE!$G:$H,2,0),"")</f>
        <v/>
      </c>
      <c r="E1136" s="8" t="inlineStr">
        <is>
          <t>D836</t>
        </is>
      </c>
      <c r="F1136" s="8" t="inlineStr">
        <is>
          <t>65246763</t>
        </is>
      </c>
      <c r="G1136" s="8">
        <f>IFERROR(VLOOKUP(A1136,Flete!$A:$E,5,0),"")</f>
        <v/>
      </c>
      <c r="H1136" s="7">
        <f>IFERROR(VLOOKUP(F1136,TRAOPE!$AA:$AB,2,0),"")</f>
        <v/>
      </c>
      <c r="I1136" s="7" t="n">
        <v>10000722</v>
      </c>
      <c r="J1136" s="7">
        <f>IFERROR(VLOOKUP(I1136,Materiales!$A:$H,8,0),"")</f>
        <v/>
      </c>
      <c r="K1136" s="9">
        <f>IFERROR(VLOOKUP(I1136,Materiales!$A:$G,7,0),"")</f>
        <v/>
      </c>
      <c r="L1136" s="8" t="inlineStr">
        <is>
          <t>20190426</t>
        </is>
      </c>
      <c r="M1136" s="8" t="inlineStr">
        <is>
          <t>20250127</t>
        </is>
      </c>
      <c r="N1136" s="10" t="n">
        <v>129.17</v>
      </c>
      <c r="O1136" s="10">
        <f>IFERROR(VLOOKUP(A1136,Flete!$A:$J,10,0),"")</f>
        <v/>
      </c>
      <c r="P1136" s="8" t="inlineStr">
        <is>
          <t>M3</t>
        </is>
      </c>
      <c r="Q1136" s="10">
        <f>IFERROR(IFERROR(VLOOKUP(A1136,TRAOPE!$A:$U,21,0),VLOOKUP(B1136,TRAOPE!$A:$U,21,0)),"")</f>
        <v/>
      </c>
      <c r="R1136" s="8">
        <f>IFERROR(IFERROR(VLOOKUP(A1136,TRAOPE!$A:$W,23,0),VLOOKUP(B1136,TRAOPE!$A:$W,23,0)),"")</f>
        <v/>
      </c>
      <c r="S1136" s="10">
        <f>IF(AND(P1136="TN",R1136="TN"),N1136+N(O1136),IF(G1136&amp;""="1",N(K1136)*N1136,(N1136+N(O1136))*N(K1136)))</f>
        <v/>
      </c>
      <c r="T1136" s="10">
        <f>IF(Q1136="","",Q1136-S1136)</f>
        <v/>
      </c>
    </row>
    <row r="1137">
      <c r="A1137" s="7">
        <f>CONCATENATE(C1137,E1137,F1137,I1137)</f>
        <v/>
      </c>
      <c r="B1137" s="7">
        <f>CONCATENATE(C1137,E1137,I1137)</f>
        <v/>
      </c>
      <c r="C1137" s="8" t="n">
        <v>900003609</v>
      </c>
      <c r="D1137" s="7">
        <f>IFERROR(VLOOKUP(C1137,TRAOPE!$G:$H,2,0),"")</f>
        <v/>
      </c>
      <c r="E1137" s="8" t="inlineStr">
        <is>
          <t>D836</t>
        </is>
      </c>
      <c r="F1137" s="8" t="inlineStr">
        <is>
          <t>65251399</t>
        </is>
      </c>
      <c r="G1137" s="8">
        <f>IFERROR(VLOOKUP(A1137,Flete!$A:$E,5,0),"")</f>
        <v/>
      </c>
      <c r="H1137" s="7">
        <f>IFERROR(VLOOKUP(F1137,TRAOPE!$AA:$AB,2,0),"")</f>
        <v/>
      </c>
      <c r="I1137" s="7" t="n">
        <v>10000624</v>
      </c>
      <c r="J1137" s="7">
        <f>IFERROR(VLOOKUP(I1137,Materiales!$A:$H,8,0),"")</f>
        <v/>
      </c>
      <c r="K1137" s="9">
        <f>IFERROR(VLOOKUP(I1137,Materiales!$A:$G,7,0),"")</f>
        <v/>
      </c>
      <c r="L1137" s="8" t="inlineStr">
        <is>
          <t>20190426</t>
        </is>
      </c>
      <c r="M1137" s="8" t="inlineStr">
        <is>
          <t>20250127</t>
        </is>
      </c>
      <c r="N1137" s="10" t="n">
        <v>145</v>
      </c>
      <c r="O1137" s="10">
        <f>IFERROR(VLOOKUP(A1137,Flete!$A:$J,10,0),"")</f>
        <v/>
      </c>
      <c r="P1137" s="8" t="inlineStr">
        <is>
          <t>M3</t>
        </is>
      </c>
      <c r="Q1137" s="10">
        <f>IFERROR(IFERROR(VLOOKUP(A1137,TRAOPE!$A:$U,21,0),VLOOKUP(B1137,TRAOPE!$A:$U,21,0)),"")</f>
        <v/>
      </c>
      <c r="R1137" s="8">
        <f>IFERROR(IFERROR(VLOOKUP(A1137,TRAOPE!$A:$W,23,0),VLOOKUP(B1137,TRAOPE!$A:$W,23,0)),"")</f>
        <v/>
      </c>
      <c r="S1137" s="10">
        <f>IF(AND(P1137="TN",R1137="TN"),N1137+N(O1137),IF(G1137&amp;""="1",N(K1137)*N1137,(N1137+N(O1137))*N(K1137)))</f>
        <v/>
      </c>
      <c r="T1137" s="10">
        <f>IF(Q1137="","",Q1137-S1137)</f>
        <v/>
      </c>
    </row>
    <row r="1138">
      <c r="A1138" s="7">
        <f>CONCATENATE(C1138,E1138,F1138,I1138)</f>
        <v/>
      </c>
      <c r="B1138" s="7">
        <f>CONCATENATE(C1138,E1138,I1138)</f>
        <v/>
      </c>
      <c r="C1138" s="8" t="n">
        <v>900003609</v>
      </c>
      <c r="D1138" s="7">
        <f>IFERROR(VLOOKUP(C1138,TRAOPE!$G:$H,2,0),"")</f>
        <v/>
      </c>
      <c r="E1138" s="8" t="inlineStr">
        <is>
          <t>D836</t>
        </is>
      </c>
      <c r="F1138" s="8" t="inlineStr">
        <is>
          <t>65251399</t>
        </is>
      </c>
      <c r="G1138" s="8">
        <f>IFERROR(VLOOKUP(A1138,Flete!$A:$E,5,0),"")</f>
        <v/>
      </c>
      <c r="H1138" s="7">
        <f>IFERROR(VLOOKUP(F1138,TRAOPE!$AA:$AB,2,0),"")</f>
        <v/>
      </c>
      <c r="I1138" s="7" t="n">
        <v>10000722</v>
      </c>
      <c r="J1138" s="7">
        <f>IFERROR(VLOOKUP(I1138,Materiales!$A:$H,8,0),"")</f>
        <v/>
      </c>
      <c r="K1138" s="9">
        <f>IFERROR(VLOOKUP(I1138,Materiales!$A:$G,7,0),"")</f>
        <v/>
      </c>
      <c r="L1138" s="8" t="inlineStr">
        <is>
          <t>20190426</t>
        </is>
      </c>
      <c r="M1138" s="8" t="inlineStr">
        <is>
          <t>20250127</t>
        </is>
      </c>
      <c r="N1138" s="10" t="n">
        <v>150</v>
      </c>
      <c r="O1138" s="10">
        <f>IFERROR(VLOOKUP(A1138,Flete!$A:$J,10,0),"")</f>
        <v/>
      </c>
      <c r="P1138" s="8" t="inlineStr">
        <is>
          <t>M3</t>
        </is>
      </c>
      <c r="Q1138" s="10">
        <f>IFERROR(IFERROR(VLOOKUP(A1138,TRAOPE!$A:$U,21,0),VLOOKUP(B1138,TRAOPE!$A:$U,21,0)),"")</f>
        <v/>
      </c>
      <c r="R1138" s="8">
        <f>IFERROR(IFERROR(VLOOKUP(A1138,TRAOPE!$A:$W,23,0),VLOOKUP(B1138,TRAOPE!$A:$W,23,0)),"")</f>
        <v/>
      </c>
      <c r="S1138" s="10">
        <f>IF(AND(P1138="TN",R1138="TN"),N1138+N(O1138),IF(G1138&amp;""="1",N(K1138)*N1138,(N1138+N(O1138))*N(K1138)))</f>
        <v/>
      </c>
      <c r="T1138" s="10">
        <f>IF(Q1138="","",Q1138-S1138)</f>
        <v/>
      </c>
    </row>
    <row r="1139">
      <c r="A1139" s="7">
        <f>CONCATENATE(C1139,E1139,F1139,I1139)</f>
        <v/>
      </c>
      <c r="B1139" s="7">
        <f>CONCATENATE(C1139,E1139,I1139)</f>
        <v/>
      </c>
      <c r="C1139" s="8" t="n">
        <v>900003609</v>
      </c>
      <c r="D1139" s="7">
        <f>IFERROR(VLOOKUP(C1139,TRAOPE!$G:$H,2,0),"")</f>
        <v/>
      </c>
      <c r="E1139" s="8" t="inlineStr">
        <is>
          <t>D836</t>
        </is>
      </c>
      <c r="F1139" s="8" t="inlineStr">
        <is>
          <t>65251399</t>
        </is>
      </c>
      <c r="G1139" s="8">
        <f>IFERROR(VLOOKUP(A1139,Flete!$A:$E,5,0),"")</f>
        <v/>
      </c>
      <c r="H1139" s="7">
        <f>IFERROR(VLOOKUP(F1139,TRAOPE!$AA:$AB,2,0),"")</f>
        <v/>
      </c>
      <c r="I1139" s="7" t="n">
        <v>10053281</v>
      </c>
      <c r="J1139" s="7">
        <f>IFERROR(VLOOKUP(I1139,Materiales!$A:$H,8,0),"")</f>
        <v/>
      </c>
      <c r="K1139" s="9">
        <f>IFERROR(VLOOKUP(I1139,Materiales!$A:$G,7,0),"")</f>
        <v/>
      </c>
      <c r="L1139" s="8" t="inlineStr">
        <is>
          <t>20190426</t>
        </is>
      </c>
      <c r="M1139" s="8" t="inlineStr">
        <is>
          <t>20250127</t>
        </is>
      </c>
      <c r="N1139" s="10" t="n">
        <v>120</v>
      </c>
      <c r="O1139" s="10">
        <f>IFERROR(VLOOKUP(A1139,Flete!$A:$J,10,0),"")</f>
        <v/>
      </c>
      <c r="P1139" s="8" t="inlineStr">
        <is>
          <t>M3</t>
        </is>
      </c>
      <c r="Q1139" s="10">
        <f>IFERROR(IFERROR(VLOOKUP(A1139,TRAOPE!$A:$U,21,0),VLOOKUP(B1139,TRAOPE!$A:$U,21,0)),"")</f>
        <v/>
      </c>
      <c r="R1139" s="8">
        <f>IFERROR(IFERROR(VLOOKUP(A1139,TRAOPE!$A:$W,23,0),VLOOKUP(B1139,TRAOPE!$A:$W,23,0)),"")</f>
        <v/>
      </c>
      <c r="S1139" s="10">
        <f>IF(AND(P1139="TN",R1139="TN"),N1139+N(O1139),IF(G1139&amp;""="1",N(K1139)*N1139,(N1139+N(O1139))*N(K1139)))</f>
        <v/>
      </c>
      <c r="T1139" s="10">
        <f>IF(Q1139="","",Q1139-S1139)</f>
        <v/>
      </c>
    </row>
    <row r="1140">
      <c r="A1140" s="7">
        <f>CONCATENATE(C1140,E1140,F1140,I1140)</f>
        <v/>
      </c>
      <c r="B1140" s="7">
        <f>CONCATENATE(C1140,E1140,I1140)</f>
        <v/>
      </c>
      <c r="C1140" s="8" t="n">
        <v>900003609</v>
      </c>
      <c r="D1140" s="7">
        <f>IFERROR(VLOOKUP(C1140,TRAOPE!$G:$H,2,0),"")</f>
        <v/>
      </c>
      <c r="E1140" s="8" t="inlineStr">
        <is>
          <t>D836</t>
        </is>
      </c>
      <c r="F1140" s="8" t="inlineStr">
        <is>
          <t>65296485</t>
        </is>
      </c>
      <c r="G1140" s="8">
        <f>IFERROR(VLOOKUP(A1140,Flete!$A:$E,5,0),"")</f>
        <v/>
      </c>
      <c r="H1140" s="7">
        <f>IFERROR(VLOOKUP(F1140,TRAOPE!$AA:$AB,2,0),"")</f>
        <v/>
      </c>
      <c r="I1140" s="7" t="n">
        <v>10000722</v>
      </c>
      <c r="J1140" s="7">
        <f>IFERROR(VLOOKUP(I1140,Materiales!$A:$H,8,0),"")</f>
        <v/>
      </c>
      <c r="K1140" s="9">
        <f>IFERROR(VLOOKUP(I1140,Materiales!$A:$G,7,0),"")</f>
        <v/>
      </c>
      <c r="L1140" s="8" t="inlineStr">
        <is>
          <t>20190426</t>
        </is>
      </c>
      <c r="M1140" s="8" t="inlineStr">
        <is>
          <t>20250127</t>
        </is>
      </c>
      <c r="N1140" s="10" t="n">
        <v>95.68000000000001</v>
      </c>
      <c r="O1140" s="10">
        <f>IFERROR(VLOOKUP(A1140,Flete!$A:$J,10,0),"")</f>
        <v/>
      </c>
      <c r="P1140" s="8" t="inlineStr">
        <is>
          <t>TN</t>
        </is>
      </c>
      <c r="Q1140" s="10">
        <f>IFERROR(IFERROR(VLOOKUP(A1140,TRAOPE!$A:$U,21,0),VLOOKUP(B1140,TRAOPE!$A:$U,21,0)),"")</f>
        <v/>
      </c>
      <c r="R1140" s="8">
        <f>IFERROR(IFERROR(VLOOKUP(A1140,TRAOPE!$A:$W,23,0),VLOOKUP(B1140,TRAOPE!$A:$W,23,0)),"")</f>
        <v/>
      </c>
      <c r="S1140" s="10">
        <f>IF(AND(P1140="TN",R1140="TN"),N1140+N(O1140),IF(G1140&amp;""="1",N(K1140)*N1140,(N1140+N(O1140))*N(K1140)))</f>
        <v/>
      </c>
      <c r="T1140" s="10">
        <f>IF(Q1140="","",Q1140-S1140)</f>
        <v/>
      </c>
    </row>
    <row r="1141">
      <c r="A1141" s="7">
        <f>CONCATENATE(C1141,E1141,F1141,I1141)</f>
        <v/>
      </c>
      <c r="B1141" s="7">
        <f>CONCATENATE(C1141,E1141,I1141)</f>
        <v/>
      </c>
      <c r="C1141" s="8" t="n">
        <v>900003609</v>
      </c>
      <c r="D1141" s="7">
        <f>IFERROR(VLOOKUP(C1141,TRAOPE!$G:$H,2,0),"")</f>
        <v/>
      </c>
      <c r="E1141" s="8" t="inlineStr">
        <is>
          <t>D836</t>
        </is>
      </c>
      <c r="F1141" s="8" t="inlineStr">
        <is>
          <t>65300906</t>
        </is>
      </c>
      <c r="G1141" s="8">
        <f>IFERROR(VLOOKUP(A1141,Flete!$A:$E,5,0),"")</f>
        <v/>
      </c>
      <c r="H1141" s="7">
        <f>IFERROR(VLOOKUP(F1141,TRAOPE!$AA:$AB,2,0),"")</f>
        <v/>
      </c>
      <c r="I1141" s="7" t="n">
        <v>10053281</v>
      </c>
      <c r="J1141" s="7">
        <f>IFERROR(VLOOKUP(I1141,Materiales!$A:$H,8,0),"")</f>
        <v/>
      </c>
      <c r="K1141" s="9">
        <f>IFERROR(VLOOKUP(I1141,Materiales!$A:$G,7,0),"")</f>
        <v/>
      </c>
      <c r="L1141" s="8" t="inlineStr">
        <is>
          <t>20190426</t>
        </is>
      </c>
      <c r="M1141" s="8" t="inlineStr">
        <is>
          <t>20250127</t>
        </is>
      </c>
      <c r="N1141" s="10" t="n">
        <v>127.65</v>
      </c>
      <c r="O1141" s="10">
        <f>IFERROR(VLOOKUP(A1141,Flete!$A:$J,10,0),"")</f>
        <v/>
      </c>
      <c r="P1141" s="8" t="inlineStr">
        <is>
          <t>M3</t>
        </is>
      </c>
      <c r="Q1141" s="10">
        <f>IFERROR(IFERROR(VLOOKUP(A1141,TRAOPE!$A:$U,21,0),VLOOKUP(B1141,TRAOPE!$A:$U,21,0)),"")</f>
        <v/>
      </c>
      <c r="R1141" s="8">
        <f>IFERROR(IFERROR(VLOOKUP(A1141,TRAOPE!$A:$W,23,0),VLOOKUP(B1141,TRAOPE!$A:$W,23,0)),"")</f>
        <v/>
      </c>
      <c r="S1141" s="10">
        <f>IF(AND(P1141="TN",R1141="TN"),N1141+N(O1141),IF(G1141&amp;""="1",N(K1141)*N1141,(N1141+N(O1141))*N(K1141)))</f>
        <v/>
      </c>
      <c r="T1141" s="10">
        <f>IF(Q1141="","",Q1141-S1141)</f>
        <v/>
      </c>
    </row>
    <row r="1142">
      <c r="A1142" s="7">
        <f>CONCATENATE(C1142,E1142,F1142,I1142)</f>
        <v/>
      </c>
      <c r="B1142" s="7">
        <f>CONCATENATE(C1142,E1142,I1142)</f>
        <v/>
      </c>
      <c r="C1142" s="8" t="n">
        <v>900003609</v>
      </c>
      <c r="D1142" s="7">
        <f>IFERROR(VLOOKUP(C1142,TRAOPE!$G:$H,2,0),"")</f>
        <v/>
      </c>
      <c r="E1142" s="8" t="inlineStr">
        <is>
          <t>D836</t>
        </is>
      </c>
      <c r="F1142" s="8" t="inlineStr">
        <is>
          <t>65345243</t>
        </is>
      </c>
      <c r="G1142" s="8">
        <f>IFERROR(VLOOKUP(A1142,Flete!$A:$E,5,0),"")</f>
        <v/>
      </c>
      <c r="H1142" s="7">
        <f>IFERROR(VLOOKUP(F1142,TRAOPE!$AA:$AB,2,0),"")</f>
        <v/>
      </c>
      <c r="I1142" s="7" t="n">
        <v>10000624</v>
      </c>
      <c r="J1142" s="7">
        <f>IFERROR(VLOOKUP(I1142,Materiales!$A:$H,8,0),"")</f>
        <v/>
      </c>
      <c r="K1142" s="9">
        <f>IFERROR(VLOOKUP(I1142,Materiales!$A:$G,7,0),"")</f>
        <v/>
      </c>
      <c r="L1142" s="8" t="inlineStr">
        <is>
          <t>20190426</t>
        </is>
      </c>
      <c r="M1142" s="8" t="inlineStr">
        <is>
          <t>20250127</t>
        </is>
      </c>
      <c r="N1142" s="10" t="n">
        <v>142</v>
      </c>
      <c r="O1142" s="10">
        <f>IFERROR(VLOOKUP(A1142,Flete!$A:$J,10,0),"")</f>
        <v/>
      </c>
      <c r="P1142" s="8" t="inlineStr">
        <is>
          <t>M3</t>
        </is>
      </c>
      <c r="Q1142" s="10">
        <f>IFERROR(IFERROR(VLOOKUP(A1142,TRAOPE!$A:$U,21,0),VLOOKUP(B1142,TRAOPE!$A:$U,21,0)),"")</f>
        <v/>
      </c>
      <c r="R1142" s="8">
        <f>IFERROR(IFERROR(VLOOKUP(A1142,TRAOPE!$A:$W,23,0),VLOOKUP(B1142,TRAOPE!$A:$W,23,0)),"")</f>
        <v/>
      </c>
      <c r="S1142" s="10">
        <f>IF(AND(P1142="TN",R1142="TN"),N1142+N(O1142),IF(G1142&amp;""="1",N(K1142)*N1142,(N1142+N(O1142))*N(K1142)))</f>
        <v/>
      </c>
      <c r="T1142" s="10">
        <f>IF(Q1142="","",Q1142-S1142)</f>
        <v/>
      </c>
    </row>
    <row r="1143">
      <c r="A1143" s="7">
        <f>CONCATENATE(C1143,E1143,F1143,I1143)</f>
        <v/>
      </c>
      <c r="B1143" s="7">
        <f>CONCATENATE(C1143,E1143,I1143)</f>
        <v/>
      </c>
      <c r="C1143" s="8" t="n">
        <v>900003609</v>
      </c>
      <c r="D1143" s="7">
        <f>IFERROR(VLOOKUP(C1143,TRAOPE!$G:$H,2,0),"")</f>
        <v/>
      </c>
      <c r="E1143" s="8" t="inlineStr">
        <is>
          <t>D836</t>
        </is>
      </c>
      <c r="F1143" s="8" t="inlineStr">
        <is>
          <t>65345243</t>
        </is>
      </c>
      <c r="G1143" s="8">
        <f>IFERROR(VLOOKUP(A1143,Flete!$A:$E,5,0),"")</f>
        <v/>
      </c>
      <c r="H1143" s="7">
        <f>IFERROR(VLOOKUP(F1143,TRAOPE!$AA:$AB,2,0),"")</f>
        <v/>
      </c>
      <c r="I1143" s="7" t="n">
        <v>10000811</v>
      </c>
      <c r="J1143" s="7">
        <f>IFERROR(VLOOKUP(I1143,Materiales!$A:$H,8,0),"")</f>
        <v/>
      </c>
      <c r="K1143" s="9">
        <f>IFERROR(VLOOKUP(I1143,Materiales!$A:$G,7,0),"")</f>
        <v/>
      </c>
      <c r="L1143" s="8" t="inlineStr">
        <is>
          <t>20190426</t>
        </is>
      </c>
      <c r="M1143" s="8" t="inlineStr">
        <is>
          <t>20250127</t>
        </is>
      </c>
      <c r="N1143" s="10" t="n">
        <v>146</v>
      </c>
      <c r="O1143" s="10">
        <f>IFERROR(VLOOKUP(A1143,Flete!$A:$J,10,0),"")</f>
        <v/>
      </c>
      <c r="P1143" s="8" t="inlineStr">
        <is>
          <t>M3</t>
        </is>
      </c>
      <c r="Q1143" s="10">
        <f>IFERROR(IFERROR(VLOOKUP(A1143,TRAOPE!$A:$U,21,0),VLOOKUP(B1143,TRAOPE!$A:$U,21,0)),"")</f>
        <v/>
      </c>
      <c r="R1143" s="8">
        <f>IFERROR(IFERROR(VLOOKUP(A1143,TRAOPE!$A:$W,23,0),VLOOKUP(B1143,TRAOPE!$A:$W,23,0)),"")</f>
        <v/>
      </c>
      <c r="S1143" s="10">
        <f>IF(AND(P1143="TN",R1143="TN"),N1143+N(O1143),IF(G1143&amp;""="1",N(K1143)*N1143,(N1143+N(O1143))*N(K1143)))</f>
        <v/>
      </c>
      <c r="T1143" s="10">
        <f>IF(Q1143="","",Q1143-S1143)</f>
        <v/>
      </c>
    </row>
    <row r="1144">
      <c r="A1144" s="7">
        <f>CONCATENATE(C1144,E1144,F1144,I1144)</f>
        <v/>
      </c>
      <c r="B1144" s="7">
        <f>CONCATENATE(C1144,E1144,I1144)</f>
        <v/>
      </c>
      <c r="C1144" s="8" t="n">
        <v>900003609</v>
      </c>
      <c r="D1144" s="7">
        <f>IFERROR(VLOOKUP(C1144,TRAOPE!$G:$H,2,0),"")</f>
        <v/>
      </c>
      <c r="E1144" s="8" t="inlineStr">
        <is>
          <t>D836</t>
        </is>
      </c>
      <c r="F1144" s="8" t="inlineStr">
        <is>
          <t>65370785</t>
        </is>
      </c>
      <c r="G1144" s="8">
        <f>IFERROR(VLOOKUP(A1144,Flete!$A:$E,5,0),"")</f>
        <v/>
      </c>
      <c r="H1144" s="7">
        <f>IFERROR(VLOOKUP(F1144,TRAOPE!$AA:$AB,2,0),"")</f>
        <v/>
      </c>
      <c r="I1144" s="7" t="n">
        <v>10000722</v>
      </c>
      <c r="J1144" s="7">
        <f>IFERROR(VLOOKUP(I1144,Materiales!$A:$H,8,0),"")</f>
        <v/>
      </c>
      <c r="K1144" s="9">
        <f>IFERROR(VLOOKUP(I1144,Materiales!$A:$G,7,0),"")</f>
        <v/>
      </c>
      <c r="L1144" s="8" t="inlineStr">
        <is>
          <t>20190426</t>
        </is>
      </c>
      <c r="M1144" s="8" t="inlineStr">
        <is>
          <t>20250127</t>
        </is>
      </c>
      <c r="N1144" s="10" t="n">
        <v>137.54</v>
      </c>
      <c r="O1144" s="10">
        <f>IFERROR(VLOOKUP(A1144,Flete!$A:$J,10,0),"")</f>
        <v/>
      </c>
      <c r="P1144" s="8" t="inlineStr">
        <is>
          <t>M3</t>
        </is>
      </c>
      <c r="Q1144" s="10">
        <f>IFERROR(IFERROR(VLOOKUP(A1144,TRAOPE!$A:$U,21,0),VLOOKUP(B1144,TRAOPE!$A:$U,21,0)),"")</f>
        <v/>
      </c>
      <c r="R1144" s="8">
        <f>IFERROR(IFERROR(VLOOKUP(A1144,TRAOPE!$A:$W,23,0),VLOOKUP(B1144,TRAOPE!$A:$W,23,0)),"")</f>
        <v/>
      </c>
      <c r="S1144" s="10">
        <f>IF(AND(P1144="TN",R1144="TN"),N1144+N(O1144),IF(G1144&amp;""="1",N(K1144)*N1144,(N1144+N(O1144))*N(K1144)))</f>
        <v/>
      </c>
      <c r="T1144" s="10">
        <f>IF(Q1144="","",Q1144-S1144)</f>
        <v/>
      </c>
    </row>
    <row r="1145">
      <c r="A1145" s="7">
        <f>CONCATENATE(C1145,E1145,F1145,I1145)</f>
        <v/>
      </c>
      <c r="B1145" s="7">
        <f>CONCATENATE(C1145,E1145,I1145)</f>
        <v/>
      </c>
      <c r="C1145" s="8" t="n">
        <v>900003609</v>
      </c>
      <c r="D1145" s="7">
        <f>IFERROR(VLOOKUP(C1145,TRAOPE!$G:$H,2,0),"")</f>
        <v/>
      </c>
      <c r="E1145" s="8" t="inlineStr">
        <is>
          <t>D836</t>
        </is>
      </c>
      <c r="F1145" s="8" t="inlineStr">
        <is>
          <t>65442270</t>
        </is>
      </c>
      <c r="G1145" s="8">
        <f>IFERROR(VLOOKUP(A1145,Flete!$A:$E,5,0),"")</f>
        <v/>
      </c>
      <c r="H1145" s="7">
        <f>IFERROR(VLOOKUP(F1145,TRAOPE!$AA:$AB,2,0),"")</f>
        <v/>
      </c>
      <c r="I1145" s="7" t="n">
        <v>10000624</v>
      </c>
      <c r="J1145" s="7">
        <f>IFERROR(VLOOKUP(I1145,Materiales!$A:$H,8,0),"")</f>
        <v/>
      </c>
      <c r="K1145" s="9">
        <f>IFERROR(VLOOKUP(I1145,Materiales!$A:$G,7,0),"")</f>
        <v/>
      </c>
      <c r="L1145" s="8" t="inlineStr">
        <is>
          <t>20190426</t>
        </is>
      </c>
      <c r="M1145" s="8" t="inlineStr">
        <is>
          <t>20250127</t>
        </is>
      </c>
      <c r="N1145" s="10" t="n">
        <v>143.52</v>
      </c>
      <c r="O1145" s="10">
        <f>IFERROR(VLOOKUP(A1145,Flete!$A:$J,10,0),"")</f>
        <v/>
      </c>
      <c r="P1145" s="8" t="inlineStr">
        <is>
          <t>M3</t>
        </is>
      </c>
      <c r="Q1145" s="10">
        <f>IFERROR(IFERROR(VLOOKUP(A1145,TRAOPE!$A:$U,21,0),VLOOKUP(B1145,TRAOPE!$A:$U,21,0)),"")</f>
        <v/>
      </c>
      <c r="R1145" s="8">
        <f>IFERROR(IFERROR(VLOOKUP(A1145,TRAOPE!$A:$W,23,0),VLOOKUP(B1145,TRAOPE!$A:$W,23,0)),"")</f>
        <v/>
      </c>
      <c r="S1145" s="10">
        <f>IF(AND(P1145="TN",R1145="TN"),N1145+N(O1145),IF(G1145&amp;""="1",N(K1145)*N1145,(N1145+N(O1145))*N(K1145)))</f>
        <v/>
      </c>
      <c r="T1145" s="10">
        <f>IF(Q1145="","",Q1145-S1145)</f>
        <v/>
      </c>
    </row>
    <row r="1146">
      <c r="A1146" s="7">
        <f>CONCATENATE(C1146,E1146,F1146,I1146)</f>
        <v/>
      </c>
      <c r="B1146" s="7">
        <f>CONCATENATE(C1146,E1146,I1146)</f>
        <v/>
      </c>
      <c r="C1146" s="8" t="n">
        <v>900003609</v>
      </c>
      <c r="D1146" s="7">
        <f>IFERROR(VLOOKUP(C1146,TRAOPE!$G:$H,2,0),"")</f>
        <v/>
      </c>
      <c r="E1146" s="8" t="inlineStr">
        <is>
          <t>D836</t>
        </is>
      </c>
      <c r="F1146" s="8" t="inlineStr">
        <is>
          <t>65442270</t>
        </is>
      </c>
      <c r="G1146" s="8">
        <f>IFERROR(VLOOKUP(A1146,Flete!$A:$E,5,0),"")</f>
        <v/>
      </c>
      <c r="H1146" s="7">
        <f>IFERROR(VLOOKUP(F1146,TRAOPE!$AA:$AB,2,0),"")</f>
        <v/>
      </c>
      <c r="I1146" s="7" t="n">
        <v>10000625</v>
      </c>
      <c r="J1146" s="7">
        <f>IFERROR(VLOOKUP(I1146,Materiales!$A:$H,8,0),"")</f>
        <v/>
      </c>
      <c r="K1146" s="9">
        <f>IFERROR(VLOOKUP(I1146,Materiales!$A:$G,7,0),"")</f>
        <v/>
      </c>
      <c r="L1146" s="8" t="inlineStr">
        <is>
          <t>20190426</t>
        </is>
      </c>
      <c r="M1146" s="8" t="inlineStr">
        <is>
          <t>20250127</t>
        </is>
      </c>
      <c r="N1146" s="10" t="n">
        <v>59.73</v>
      </c>
      <c r="O1146" s="10">
        <f>IFERROR(VLOOKUP(A1146,Flete!$A:$J,10,0),"")</f>
        <v/>
      </c>
      <c r="P1146" s="8" t="inlineStr">
        <is>
          <t>TN</t>
        </is>
      </c>
      <c r="Q1146" s="10">
        <f>IFERROR(IFERROR(VLOOKUP(A1146,TRAOPE!$A:$U,21,0),VLOOKUP(B1146,TRAOPE!$A:$U,21,0)),"")</f>
        <v/>
      </c>
      <c r="R1146" s="8">
        <f>IFERROR(IFERROR(VLOOKUP(A1146,TRAOPE!$A:$W,23,0),VLOOKUP(B1146,TRAOPE!$A:$W,23,0)),"")</f>
        <v/>
      </c>
      <c r="S1146" s="10">
        <f>IF(AND(P1146="TN",R1146="TN"),N1146+N(O1146),IF(G1146&amp;""="1",N(K1146)*N1146,(N1146+N(O1146))*N(K1146)))</f>
        <v/>
      </c>
      <c r="T1146" s="10">
        <f>IF(Q1146="","",Q1146-S1146)</f>
        <v/>
      </c>
    </row>
    <row r="1147">
      <c r="A1147" s="7">
        <f>CONCATENATE(C1147,E1147,F1147,I1147)</f>
        <v/>
      </c>
      <c r="B1147" s="7">
        <f>CONCATENATE(C1147,E1147,I1147)</f>
        <v/>
      </c>
      <c r="C1147" s="8" t="n">
        <v>900003609</v>
      </c>
      <c r="D1147" s="7">
        <f>IFERROR(VLOOKUP(C1147,TRAOPE!$G:$H,2,0),"")</f>
        <v/>
      </c>
      <c r="E1147" s="8" t="inlineStr">
        <is>
          <t>D836</t>
        </is>
      </c>
      <c r="F1147" s="8" t="inlineStr">
        <is>
          <t>65442270</t>
        </is>
      </c>
      <c r="G1147" s="8">
        <f>IFERROR(VLOOKUP(A1147,Flete!$A:$E,5,0),"")</f>
        <v/>
      </c>
      <c r="H1147" s="7">
        <f>IFERROR(VLOOKUP(F1147,TRAOPE!$AA:$AB,2,0),"")</f>
        <v/>
      </c>
      <c r="I1147" s="7" t="n">
        <v>10000722</v>
      </c>
      <c r="J1147" s="7">
        <f>IFERROR(VLOOKUP(I1147,Materiales!$A:$H,8,0),"")</f>
        <v/>
      </c>
      <c r="K1147" s="9">
        <f>IFERROR(VLOOKUP(I1147,Materiales!$A:$G,7,0),"")</f>
        <v/>
      </c>
      <c r="L1147" s="8" t="inlineStr">
        <is>
          <t>20190426</t>
        </is>
      </c>
      <c r="M1147" s="8" t="inlineStr">
        <is>
          <t>20250127</t>
        </is>
      </c>
      <c r="N1147" s="10" t="n">
        <v>143.52</v>
      </c>
      <c r="O1147" s="10">
        <f>IFERROR(VLOOKUP(A1147,Flete!$A:$J,10,0),"")</f>
        <v/>
      </c>
      <c r="P1147" s="8" t="inlineStr">
        <is>
          <t>M3</t>
        </is>
      </c>
      <c r="Q1147" s="10">
        <f>IFERROR(IFERROR(VLOOKUP(A1147,TRAOPE!$A:$U,21,0),VLOOKUP(B1147,TRAOPE!$A:$U,21,0)),"")</f>
        <v/>
      </c>
      <c r="R1147" s="8">
        <f>IFERROR(IFERROR(VLOOKUP(A1147,TRAOPE!$A:$W,23,0),VLOOKUP(B1147,TRAOPE!$A:$W,23,0)),"")</f>
        <v/>
      </c>
      <c r="S1147" s="10">
        <f>IF(AND(P1147="TN",R1147="TN"),N1147+N(O1147),IF(G1147&amp;""="1",N(K1147)*N1147,(N1147+N(O1147))*N(K1147)))</f>
        <v/>
      </c>
      <c r="T1147" s="10">
        <f>IF(Q1147="","",Q1147-S1147)</f>
        <v/>
      </c>
    </row>
    <row r="1148">
      <c r="A1148" s="7">
        <f>CONCATENATE(C1148,E1148,F1148,I1148)</f>
        <v/>
      </c>
      <c r="B1148" s="7">
        <f>CONCATENATE(C1148,E1148,I1148)</f>
        <v/>
      </c>
      <c r="C1148" s="8" t="n">
        <v>900003609</v>
      </c>
      <c r="D1148" s="7">
        <f>IFERROR(VLOOKUP(C1148,TRAOPE!$G:$H,2,0),"")</f>
        <v/>
      </c>
      <c r="E1148" s="8" t="inlineStr">
        <is>
          <t>D836</t>
        </is>
      </c>
      <c r="F1148" s="8" t="inlineStr">
        <is>
          <t>65442710</t>
        </is>
      </c>
      <c r="G1148" s="8">
        <f>IFERROR(VLOOKUP(A1148,Flete!$A:$E,5,0),"")</f>
        <v/>
      </c>
      <c r="H1148" s="7">
        <f>IFERROR(VLOOKUP(F1148,TRAOPE!$AA:$AB,2,0),"")</f>
        <v/>
      </c>
      <c r="I1148" s="7" t="n">
        <v>10053281</v>
      </c>
      <c r="J1148" s="7">
        <f>IFERROR(VLOOKUP(I1148,Materiales!$A:$H,8,0),"")</f>
        <v/>
      </c>
      <c r="K1148" s="9">
        <f>IFERROR(VLOOKUP(I1148,Materiales!$A:$G,7,0),"")</f>
        <v/>
      </c>
      <c r="L1148" s="8" t="inlineStr">
        <is>
          <t>20190426</t>
        </is>
      </c>
      <c r="M1148" s="8" t="inlineStr">
        <is>
          <t>20250127</t>
        </is>
      </c>
      <c r="N1148" s="10" t="n">
        <v>150</v>
      </c>
      <c r="O1148" s="10">
        <f>IFERROR(VLOOKUP(A1148,Flete!$A:$J,10,0),"")</f>
        <v/>
      </c>
      <c r="P1148" s="8" t="inlineStr">
        <is>
          <t>M3</t>
        </is>
      </c>
      <c r="Q1148" s="10">
        <f>IFERROR(IFERROR(VLOOKUP(A1148,TRAOPE!$A:$U,21,0),VLOOKUP(B1148,TRAOPE!$A:$U,21,0)),"")</f>
        <v/>
      </c>
      <c r="R1148" s="8">
        <f>IFERROR(IFERROR(VLOOKUP(A1148,TRAOPE!$A:$W,23,0),VLOOKUP(B1148,TRAOPE!$A:$W,23,0)),"")</f>
        <v/>
      </c>
      <c r="S1148" s="10">
        <f>IF(AND(P1148="TN",R1148="TN"),N1148+N(O1148),IF(G1148&amp;""="1",N(K1148)*N1148,(N1148+N(O1148))*N(K1148)))</f>
        <v/>
      </c>
      <c r="T1148" s="10">
        <f>IF(Q1148="","",Q1148-S1148)</f>
        <v/>
      </c>
    </row>
    <row r="1149">
      <c r="A1149" s="7">
        <f>CONCATENATE(C1149,E1149,F1149,I1149)</f>
        <v/>
      </c>
      <c r="B1149" s="7">
        <f>CONCATENATE(C1149,E1149,I1149)</f>
        <v/>
      </c>
      <c r="C1149" s="8" t="n">
        <v>900003609</v>
      </c>
      <c r="D1149" s="7">
        <f>IFERROR(VLOOKUP(C1149,TRAOPE!$G:$H,2,0),"")</f>
        <v/>
      </c>
      <c r="E1149" s="8" t="inlineStr">
        <is>
          <t>D836</t>
        </is>
      </c>
      <c r="F1149" s="8" t="inlineStr">
        <is>
          <t>65565826</t>
        </is>
      </c>
      <c r="G1149" s="8">
        <f>IFERROR(VLOOKUP(A1149,Flete!$A:$E,5,0),"")</f>
        <v/>
      </c>
      <c r="H1149" s="7">
        <f>IFERROR(VLOOKUP(F1149,TRAOPE!$AA:$AB,2,0),"")</f>
        <v/>
      </c>
      <c r="I1149" s="7" t="n">
        <v>10000722</v>
      </c>
      <c r="J1149" s="7">
        <f>IFERROR(VLOOKUP(I1149,Materiales!$A:$H,8,0),"")</f>
        <v/>
      </c>
      <c r="K1149" s="9">
        <f>IFERROR(VLOOKUP(I1149,Materiales!$A:$G,7,0),"")</f>
        <v/>
      </c>
      <c r="L1149" s="8" t="inlineStr">
        <is>
          <t>20190426</t>
        </is>
      </c>
      <c r="M1149" s="8" t="inlineStr">
        <is>
          <t>20250127</t>
        </is>
      </c>
      <c r="N1149" s="10" t="n">
        <v>143.52</v>
      </c>
      <c r="O1149" s="10">
        <f>IFERROR(VLOOKUP(A1149,Flete!$A:$J,10,0),"")</f>
        <v/>
      </c>
      <c r="P1149" s="8" t="inlineStr">
        <is>
          <t>M3</t>
        </is>
      </c>
      <c r="Q1149" s="10">
        <f>IFERROR(IFERROR(VLOOKUP(A1149,TRAOPE!$A:$U,21,0),VLOOKUP(B1149,TRAOPE!$A:$U,21,0)),"")</f>
        <v/>
      </c>
      <c r="R1149" s="8">
        <f>IFERROR(IFERROR(VLOOKUP(A1149,TRAOPE!$A:$W,23,0),VLOOKUP(B1149,TRAOPE!$A:$W,23,0)),"")</f>
        <v/>
      </c>
      <c r="S1149" s="10">
        <f>IF(AND(P1149="TN",R1149="TN"),N1149+N(O1149),IF(G1149&amp;""="1",N(K1149)*N1149,(N1149+N(O1149))*N(K1149)))</f>
        <v/>
      </c>
      <c r="T1149" s="10">
        <f>IF(Q1149="","",Q1149-S1149)</f>
        <v/>
      </c>
    </row>
    <row r="1150">
      <c r="A1150" s="7">
        <f>CONCATENATE(C1150,E1150,F1150,I1150)</f>
        <v/>
      </c>
      <c r="B1150" s="7">
        <f>CONCATENATE(C1150,E1150,I1150)</f>
        <v/>
      </c>
      <c r="C1150" s="8" t="n">
        <v>900003609</v>
      </c>
      <c r="D1150" s="7">
        <f>IFERROR(VLOOKUP(C1150,TRAOPE!$G:$H,2,0),"")</f>
        <v/>
      </c>
      <c r="E1150" s="8" t="inlineStr">
        <is>
          <t>D836</t>
        </is>
      </c>
      <c r="F1150" s="8" t="inlineStr">
        <is>
          <t>65570346</t>
        </is>
      </c>
      <c r="G1150" s="8">
        <f>IFERROR(VLOOKUP(A1150,Flete!$A:$E,5,0),"")</f>
        <v/>
      </c>
      <c r="H1150" s="7">
        <f>IFERROR(VLOOKUP(F1150,TRAOPE!$AA:$AB,2,0),"")</f>
        <v/>
      </c>
      <c r="I1150" s="7" t="n">
        <v>10000624</v>
      </c>
      <c r="J1150" s="7">
        <f>IFERROR(VLOOKUP(I1150,Materiales!$A:$H,8,0),"")</f>
        <v/>
      </c>
      <c r="K1150" s="9">
        <f>IFERROR(VLOOKUP(I1150,Materiales!$A:$G,7,0),"")</f>
        <v/>
      </c>
      <c r="L1150" s="8" t="inlineStr">
        <is>
          <t>20190426</t>
        </is>
      </c>
      <c r="M1150" s="8" t="inlineStr">
        <is>
          <t>20250127</t>
        </is>
      </c>
      <c r="N1150" s="10" t="n">
        <v>126</v>
      </c>
      <c r="O1150" s="10">
        <f>IFERROR(VLOOKUP(A1150,Flete!$A:$J,10,0),"")</f>
        <v/>
      </c>
      <c r="P1150" s="8" t="inlineStr">
        <is>
          <t>M3</t>
        </is>
      </c>
      <c r="Q1150" s="10">
        <f>IFERROR(IFERROR(VLOOKUP(A1150,TRAOPE!$A:$U,21,0),VLOOKUP(B1150,TRAOPE!$A:$U,21,0)),"")</f>
        <v/>
      </c>
      <c r="R1150" s="8">
        <f>IFERROR(IFERROR(VLOOKUP(A1150,TRAOPE!$A:$W,23,0),VLOOKUP(B1150,TRAOPE!$A:$W,23,0)),"")</f>
        <v/>
      </c>
      <c r="S1150" s="10">
        <f>IF(AND(P1150="TN",R1150="TN"),N1150+N(O1150),IF(G1150&amp;""="1",N(K1150)*N1150,(N1150+N(O1150))*N(K1150)))</f>
        <v/>
      </c>
      <c r="T1150" s="10">
        <f>IF(Q1150="","",Q1150-S1150)</f>
        <v/>
      </c>
    </row>
    <row r="1151">
      <c r="A1151" s="7">
        <f>CONCATENATE(C1151,E1151,F1151,I1151)</f>
        <v/>
      </c>
      <c r="B1151" s="7">
        <f>CONCATENATE(C1151,E1151,I1151)</f>
        <v/>
      </c>
      <c r="C1151" s="8" t="n">
        <v>900003609</v>
      </c>
      <c r="D1151" s="7">
        <f>IFERROR(VLOOKUP(C1151,TRAOPE!$G:$H,2,0),"")</f>
        <v/>
      </c>
      <c r="E1151" s="8" t="inlineStr">
        <is>
          <t>D836</t>
        </is>
      </c>
      <c r="F1151" s="8" t="inlineStr">
        <is>
          <t>65570346</t>
        </is>
      </c>
      <c r="G1151" s="8">
        <f>IFERROR(VLOOKUP(A1151,Flete!$A:$E,5,0),"")</f>
        <v/>
      </c>
      <c r="H1151" s="7">
        <f>IFERROR(VLOOKUP(F1151,TRAOPE!$AA:$AB,2,0),"")</f>
        <v/>
      </c>
      <c r="I1151" s="7" t="n">
        <v>10000722</v>
      </c>
      <c r="J1151" s="7">
        <f>IFERROR(VLOOKUP(I1151,Materiales!$A:$H,8,0),"")</f>
        <v/>
      </c>
      <c r="K1151" s="9">
        <f>IFERROR(VLOOKUP(I1151,Materiales!$A:$G,7,0),"")</f>
        <v/>
      </c>
      <c r="L1151" s="8" t="inlineStr">
        <is>
          <t>20190426</t>
        </is>
      </c>
      <c r="M1151" s="8" t="inlineStr">
        <is>
          <t>20250127</t>
        </is>
      </c>
      <c r="N1151" s="10" t="n">
        <v>143.52</v>
      </c>
      <c r="O1151" s="10">
        <f>IFERROR(VLOOKUP(A1151,Flete!$A:$J,10,0),"")</f>
        <v/>
      </c>
      <c r="P1151" s="8" t="inlineStr">
        <is>
          <t>M3</t>
        </is>
      </c>
      <c r="Q1151" s="10">
        <f>IFERROR(IFERROR(VLOOKUP(A1151,TRAOPE!$A:$U,21,0),VLOOKUP(B1151,TRAOPE!$A:$U,21,0)),"")</f>
        <v/>
      </c>
      <c r="R1151" s="8">
        <f>IFERROR(IFERROR(VLOOKUP(A1151,TRAOPE!$A:$W,23,0),VLOOKUP(B1151,TRAOPE!$A:$W,23,0)),"")</f>
        <v/>
      </c>
      <c r="S1151" s="10">
        <f>IF(AND(P1151="TN",R1151="TN"),N1151+N(O1151),IF(G1151&amp;""="1",N(K1151)*N1151,(N1151+N(O1151))*N(K1151)))</f>
        <v/>
      </c>
      <c r="T1151" s="10">
        <f>IF(Q1151="","",Q1151-S1151)</f>
        <v/>
      </c>
    </row>
    <row r="1152">
      <c r="A1152" s="7">
        <f>CONCATENATE(C1152,E1152,F1152,I1152)</f>
        <v/>
      </c>
      <c r="B1152" s="7">
        <f>CONCATENATE(C1152,E1152,I1152)</f>
        <v/>
      </c>
      <c r="C1152" s="8" t="n">
        <v>900003609</v>
      </c>
      <c r="D1152" s="7">
        <f>IFERROR(VLOOKUP(C1152,TRAOPE!$G:$H,2,0),"")</f>
        <v/>
      </c>
      <c r="E1152" s="8" t="inlineStr">
        <is>
          <t>D836</t>
        </is>
      </c>
      <c r="F1152" s="8" t="inlineStr">
        <is>
          <t>65570346</t>
        </is>
      </c>
      <c r="G1152" s="8">
        <f>IFERROR(VLOOKUP(A1152,Flete!$A:$E,5,0),"")</f>
        <v/>
      </c>
      <c r="H1152" s="7">
        <f>IFERROR(VLOOKUP(F1152,TRAOPE!$AA:$AB,2,0),"")</f>
        <v/>
      </c>
      <c r="I1152" s="7" t="n">
        <v>10053281</v>
      </c>
      <c r="J1152" s="7">
        <f>IFERROR(VLOOKUP(I1152,Materiales!$A:$H,8,0),"")</f>
        <v/>
      </c>
      <c r="K1152" s="9">
        <f>IFERROR(VLOOKUP(I1152,Materiales!$A:$G,7,0),"")</f>
        <v/>
      </c>
      <c r="L1152" s="8" t="inlineStr">
        <is>
          <t>20190426</t>
        </is>
      </c>
      <c r="M1152" s="8" t="inlineStr">
        <is>
          <t>20250127</t>
        </is>
      </c>
      <c r="N1152" s="10" t="n">
        <v>126</v>
      </c>
      <c r="O1152" s="10">
        <f>IFERROR(VLOOKUP(A1152,Flete!$A:$J,10,0),"")</f>
        <v/>
      </c>
      <c r="P1152" s="8" t="inlineStr">
        <is>
          <t>M3</t>
        </is>
      </c>
      <c r="Q1152" s="10">
        <f>IFERROR(IFERROR(VLOOKUP(A1152,TRAOPE!$A:$U,21,0),VLOOKUP(B1152,TRAOPE!$A:$U,21,0)),"")</f>
        <v/>
      </c>
      <c r="R1152" s="8">
        <f>IFERROR(IFERROR(VLOOKUP(A1152,TRAOPE!$A:$W,23,0),VLOOKUP(B1152,TRAOPE!$A:$W,23,0)),"")</f>
        <v/>
      </c>
      <c r="S1152" s="10">
        <f>IF(AND(P1152="TN",R1152="TN"),N1152+N(O1152),IF(G1152&amp;""="1",N(K1152)*N1152,(N1152+N(O1152))*N(K1152)))</f>
        <v/>
      </c>
      <c r="T1152" s="10">
        <f>IF(Q1152="","",Q1152-S1152)</f>
        <v/>
      </c>
    </row>
    <row r="1153">
      <c r="A1153" s="7">
        <f>CONCATENATE(C1153,E1153,F1153,I1153)</f>
        <v/>
      </c>
      <c r="B1153" s="7">
        <f>CONCATENATE(C1153,E1153,I1153)</f>
        <v/>
      </c>
      <c r="C1153" s="8" t="n">
        <v>900003609</v>
      </c>
      <c r="D1153" s="7">
        <f>IFERROR(VLOOKUP(C1153,TRAOPE!$G:$H,2,0),"")</f>
        <v/>
      </c>
      <c r="E1153" s="8" t="inlineStr">
        <is>
          <t>D836</t>
        </is>
      </c>
      <c r="F1153" s="8" t="inlineStr">
        <is>
          <t>65633365</t>
        </is>
      </c>
      <c r="G1153" s="8">
        <f>IFERROR(VLOOKUP(A1153,Flete!$A:$E,5,0),"")</f>
        <v/>
      </c>
      <c r="H1153" s="7">
        <f>IFERROR(VLOOKUP(F1153,TRAOPE!$AA:$AB,2,0),"")</f>
        <v/>
      </c>
      <c r="I1153" s="7" t="n">
        <v>10053281</v>
      </c>
      <c r="J1153" s="7">
        <f>IFERROR(VLOOKUP(I1153,Materiales!$A:$H,8,0),"")</f>
        <v/>
      </c>
      <c r="K1153" s="9">
        <f>IFERROR(VLOOKUP(I1153,Materiales!$A:$G,7,0),"")</f>
        <v/>
      </c>
      <c r="L1153" s="8" t="inlineStr">
        <is>
          <t>20190426</t>
        </is>
      </c>
      <c r="M1153" s="8" t="inlineStr">
        <is>
          <t>20250127</t>
        </is>
      </c>
      <c r="N1153" s="10" t="n">
        <v>128</v>
      </c>
      <c r="O1153" s="10">
        <f>IFERROR(VLOOKUP(A1153,Flete!$A:$J,10,0),"")</f>
        <v/>
      </c>
      <c r="P1153" s="8" t="inlineStr">
        <is>
          <t>M3</t>
        </is>
      </c>
      <c r="Q1153" s="10">
        <f>IFERROR(IFERROR(VLOOKUP(A1153,TRAOPE!$A:$U,21,0),VLOOKUP(B1153,TRAOPE!$A:$U,21,0)),"")</f>
        <v/>
      </c>
      <c r="R1153" s="8">
        <f>IFERROR(IFERROR(VLOOKUP(A1153,TRAOPE!$A:$W,23,0),VLOOKUP(B1153,TRAOPE!$A:$W,23,0)),"")</f>
        <v/>
      </c>
      <c r="S1153" s="10">
        <f>IF(AND(P1153="TN",R1153="TN"),N1153+N(O1153),IF(G1153&amp;""="1",N(K1153)*N1153,(N1153+N(O1153))*N(K1153)))</f>
        <v/>
      </c>
      <c r="T1153" s="10">
        <f>IF(Q1153="","",Q1153-S1153)</f>
        <v/>
      </c>
    </row>
    <row r="1154">
      <c r="A1154" s="7">
        <f>CONCATENATE(C1154,E1154,F1154,I1154)</f>
        <v/>
      </c>
      <c r="B1154" s="7">
        <f>CONCATENATE(C1154,E1154,I1154)</f>
        <v/>
      </c>
      <c r="C1154" s="8" t="n">
        <v>900003609</v>
      </c>
      <c r="D1154" s="7">
        <f>IFERROR(VLOOKUP(C1154,TRAOPE!$G:$H,2,0),"")</f>
        <v/>
      </c>
      <c r="E1154" s="8" t="inlineStr">
        <is>
          <t>D836</t>
        </is>
      </c>
      <c r="F1154" s="8" t="inlineStr">
        <is>
          <t>65685819</t>
        </is>
      </c>
      <c r="G1154" s="8">
        <f>IFERROR(VLOOKUP(A1154,Flete!$A:$E,5,0),"")</f>
        <v/>
      </c>
      <c r="H1154" s="7">
        <f>IFERROR(VLOOKUP(F1154,TRAOPE!$AA:$AB,2,0),"")</f>
        <v/>
      </c>
      <c r="I1154" s="7" t="n">
        <v>10000624</v>
      </c>
      <c r="J1154" s="7">
        <f>IFERROR(VLOOKUP(I1154,Materiales!$A:$H,8,0),"")</f>
        <v/>
      </c>
      <c r="K1154" s="9">
        <f>IFERROR(VLOOKUP(I1154,Materiales!$A:$G,7,0),"")</f>
        <v/>
      </c>
      <c r="L1154" s="8" t="inlineStr">
        <is>
          <t>20190426</t>
        </is>
      </c>
      <c r="M1154" s="8" t="inlineStr">
        <is>
          <t>20250127</t>
        </is>
      </c>
      <c r="N1154" s="10" t="n">
        <v>143.52</v>
      </c>
      <c r="O1154" s="10">
        <f>IFERROR(VLOOKUP(A1154,Flete!$A:$J,10,0),"")</f>
        <v/>
      </c>
      <c r="P1154" s="8" t="inlineStr">
        <is>
          <t>M3</t>
        </is>
      </c>
      <c r="Q1154" s="10">
        <f>IFERROR(IFERROR(VLOOKUP(A1154,TRAOPE!$A:$U,21,0),VLOOKUP(B1154,TRAOPE!$A:$U,21,0)),"")</f>
        <v/>
      </c>
      <c r="R1154" s="8">
        <f>IFERROR(IFERROR(VLOOKUP(A1154,TRAOPE!$A:$W,23,0),VLOOKUP(B1154,TRAOPE!$A:$W,23,0)),"")</f>
        <v/>
      </c>
      <c r="S1154" s="10">
        <f>IF(AND(P1154="TN",R1154="TN"),N1154+N(O1154),IF(G1154&amp;""="1",N(K1154)*N1154,(N1154+N(O1154))*N(K1154)))</f>
        <v/>
      </c>
      <c r="T1154" s="10">
        <f>IF(Q1154="","",Q1154-S1154)</f>
        <v/>
      </c>
    </row>
    <row r="1155">
      <c r="A1155" s="7">
        <f>CONCATENATE(C1155,E1155,F1155,I1155)</f>
        <v/>
      </c>
      <c r="B1155" s="7">
        <f>CONCATENATE(C1155,E1155,I1155)</f>
        <v/>
      </c>
      <c r="C1155" s="8" t="n">
        <v>900003609</v>
      </c>
      <c r="D1155" s="7">
        <f>IFERROR(VLOOKUP(C1155,TRAOPE!$G:$H,2,0),"")</f>
        <v/>
      </c>
      <c r="E1155" s="8" t="inlineStr">
        <is>
          <t>D836</t>
        </is>
      </c>
      <c r="F1155" s="8" t="inlineStr">
        <is>
          <t>65685819</t>
        </is>
      </c>
      <c r="G1155" s="8">
        <f>IFERROR(VLOOKUP(A1155,Flete!$A:$E,5,0),"")</f>
        <v/>
      </c>
      <c r="H1155" s="7">
        <f>IFERROR(VLOOKUP(F1155,TRAOPE!$AA:$AB,2,0),"")</f>
        <v/>
      </c>
      <c r="I1155" s="7" t="n">
        <v>10000630</v>
      </c>
      <c r="J1155" s="7">
        <f>IFERROR(VLOOKUP(I1155,Materiales!$A:$H,8,0),"")</f>
        <v/>
      </c>
      <c r="K1155" s="9">
        <f>IFERROR(VLOOKUP(I1155,Materiales!$A:$G,7,0),"")</f>
        <v/>
      </c>
      <c r="L1155" s="8" t="inlineStr">
        <is>
          <t>20190426</t>
        </is>
      </c>
      <c r="M1155" s="8" t="inlineStr">
        <is>
          <t>20250127</t>
        </is>
      </c>
      <c r="N1155" s="10" t="n">
        <v>155.48</v>
      </c>
      <c r="O1155" s="10">
        <f>IFERROR(VLOOKUP(A1155,Flete!$A:$J,10,0),"")</f>
        <v/>
      </c>
      <c r="P1155" s="8" t="inlineStr">
        <is>
          <t>M3</t>
        </is>
      </c>
      <c r="Q1155" s="10">
        <f>IFERROR(IFERROR(VLOOKUP(A1155,TRAOPE!$A:$U,21,0),VLOOKUP(B1155,TRAOPE!$A:$U,21,0)),"")</f>
        <v/>
      </c>
      <c r="R1155" s="8">
        <f>IFERROR(IFERROR(VLOOKUP(A1155,TRAOPE!$A:$W,23,0),VLOOKUP(B1155,TRAOPE!$A:$W,23,0)),"")</f>
        <v/>
      </c>
      <c r="S1155" s="10">
        <f>IF(AND(P1155="TN",R1155="TN"),N1155+N(O1155),IF(G1155&amp;""="1",N(K1155)*N1155,(N1155+N(O1155))*N(K1155)))</f>
        <v/>
      </c>
      <c r="T1155" s="10">
        <f>IF(Q1155="","",Q1155-S1155)</f>
        <v/>
      </c>
    </row>
    <row r="1156">
      <c r="A1156" s="7">
        <f>CONCATENATE(C1156,E1156,F1156,I1156)</f>
        <v/>
      </c>
      <c r="B1156" s="7">
        <f>CONCATENATE(C1156,E1156,I1156)</f>
        <v/>
      </c>
      <c r="C1156" s="8" t="n">
        <v>900003609</v>
      </c>
      <c r="D1156" s="7">
        <f>IFERROR(VLOOKUP(C1156,TRAOPE!$G:$H,2,0),"")</f>
        <v/>
      </c>
      <c r="E1156" s="8" t="inlineStr">
        <is>
          <t>D836</t>
        </is>
      </c>
      <c r="F1156" s="8" t="inlineStr">
        <is>
          <t>65685819</t>
        </is>
      </c>
      <c r="G1156" s="8">
        <f>IFERROR(VLOOKUP(A1156,Flete!$A:$E,5,0),"")</f>
        <v/>
      </c>
      <c r="H1156" s="7">
        <f>IFERROR(VLOOKUP(F1156,TRAOPE!$AA:$AB,2,0),"")</f>
        <v/>
      </c>
      <c r="I1156" s="7" t="n">
        <v>10000722</v>
      </c>
      <c r="J1156" s="7">
        <f>IFERROR(VLOOKUP(I1156,Materiales!$A:$H,8,0),"")</f>
        <v/>
      </c>
      <c r="K1156" s="9">
        <f>IFERROR(VLOOKUP(I1156,Materiales!$A:$G,7,0),"")</f>
        <v/>
      </c>
      <c r="L1156" s="8" t="inlineStr">
        <is>
          <t>20190426</t>
        </is>
      </c>
      <c r="M1156" s="8" t="inlineStr">
        <is>
          <t>20250127</t>
        </is>
      </c>
      <c r="N1156" s="10" t="n">
        <v>143.52</v>
      </c>
      <c r="O1156" s="10">
        <f>IFERROR(VLOOKUP(A1156,Flete!$A:$J,10,0),"")</f>
        <v/>
      </c>
      <c r="P1156" s="8" t="inlineStr">
        <is>
          <t>M3</t>
        </is>
      </c>
      <c r="Q1156" s="10">
        <f>IFERROR(IFERROR(VLOOKUP(A1156,TRAOPE!$A:$U,21,0),VLOOKUP(B1156,TRAOPE!$A:$U,21,0)),"")</f>
        <v/>
      </c>
      <c r="R1156" s="8">
        <f>IFERROR(IFERROR(VLOOKUP(A1156,TRAOPE!$A:$W,23,0),VLOOKUP(B1156,TRAOPE!$A:$W,23,0)),"")</f>
        <v/>
      </c>
      <c r="S1156" s="10">
        <f>IF(AND(P1156="TN",R1156="TN"),N1156+N(O1156),IF(G1156&amp;""="1",N(K1156)*N1156,(N1156+N(O1156))*N(K1156)))</f>
        <v/>
      </c>
      <c r="T1156" s="10">
        <f>IF(Q1156="","",Q1156-S1156)</f>
        <v/>
      </c>
    </row>
    <row r="1157">
      <c r="A1157" s="7">
        <f>CONCATENATE(C1157,E1157,F1157,I1157)</f>
        <v/>
      </c>
      <c r="B1157" s="7">
        <f>CONCATENATE(C1157,E1157,I1157)</f>
        <v/>
      </c>
      <c r="C1157" s="8" t="n">
        <v>900003609</v>
      </c>
      <c r="D1157" s="7">
        <f>IFERROR(VLOOKUP(C1157,TRAOPE!$G:$H,2,0),"")</f>
        <v/>
      </c>
      <c r="E1157" s="8" t="inlineStr">
        <is>
          <t>D836</t>
        </is>
      </c>
      <c r="F1157" s="8" t="inlineStr">
        <is>
          <t>65706147</t>
        </is>
      </c>
      <c r="G1157" s="8">
        <f>IFERROR(VLOOKUP(A1157,Flete!$A:$E,5,0),"")</f>
        <v/>
      </c>
      <c r="H1157" s="7">
        <f>IFERROR(VLOOKUP(F1157,TRAOPE!$AA:$AB,2,0),"")</f>
        <v/>
      </c>
      <c r="I1157" s="7" t="n">
        <v>10000160</v>
      </c>
      <c r="J1157" s="7">
        <f>IFERROR(VLOOKUP(I1157,Materiales!$A:$H,8,0),"")</f>
        <v/>
      </c>
      <c r="K1157" s="9">
        <f>IFERROR(VLOOKUP(I1157,Materiales!$A:$G,7,0),"")</f>
        <v/>
      </c>
      <c r="L1157" s="8" t="inlineStr">
        <is>
          <t>20190426</t>
        </is>
      </c>
      <c r="M1157" s="8" t="inlineStr">
        <is>
          <t>20250127</t>
        </is>
      </c>
      <c r="N1157" s="10" t="n">
        <v>124</v>
      </c>
      <c r="O1157" s="10">
        <f>IFERROR(VLOOKUP(A1157,Flete!$A:$J,10,0),"")</f>
        <v/>
      </c>
      <c r="P1157" s="8" t="inlineStr">
        <is>
          <t>M3</t>
        </is>
      </c>
      <c r="Q1157" s="10">
        <f>IFERROR(IFERROR(VLOOKUP(A1157,TRAOPE!$A:$U,21,0),VLOOKUP(B1157,TRAOPE!$A:$U,21,0)),"")</f>
        <v/>
      </c>
      <c r="R1157" s="8">
        <f>IFERROR(IFERROR(VLOOKUP(A1157,TRAOPE!$A:$W,23,0),VLOOKUP(B1157,TRAOPE!$A:$W,23,0)),"")</f>
        <v/>
      </c>
      <c r="S1157" s="10">
        <f>IF(AND(P1157="TN",R1157="TN"),N1157+N(O1157),IF(G1157&amp;""="1",N(K1157)*N1157,(N1157+N(O1157))*N(K1157)))</f>
        <v/>
      </c>
      <c r="T1157" s="10">
        <f>IF(Q1157="","",Q1157-S1157)</f>
        <v/>
      </c>
    </row>
    <row r="1158">
      <c r="A1158" s="7">
        <f>CONCATENATE(C1158,E1158,F1158,I1158)</f>
        <v/>
      </c>
      <c r="B1158" s="7">
        <f>CONCATENATE(C1158,E1158,I1158)</f>
        <v/>
      </c>
      <c r="C1158" s="8" t="n">
        <v>900003609</v>
      </c>
      <c r="D1158" s="7">
        <f>IFERROR(VLOOKUP(C1158,TRAOPE!$G:$H,2,0),"")</f>
        <v/>
      </c>
      <c r="E1158" s="8" t="inlineStr">
        <is>
          <t>D836</t>
        </is>
      </c>
      <c r="F1158" s="8" t="inlineStr">
        <is>
          <t>65706147</t>
        </is>
      </c>
      <c r="G1158" s="8">
        <f>IFERROR(VLOOKUP(A1158,Flete!$A:$E,5,0),"")</f>
        <v/>
      </c>
      <c r="H1158" s="7">
        <f>IFERROR(VLOOKUP(F1158,TRAOPE!$AA:$AB,2,0),"")</f>
        <v/>
      </c>
      <c r="I1158" s="7" t="n">
        <v>10000625</v>
      </c>
      <c r="J1158" s="7">
        <f>IFERROR(VLOOKUP(I1158,Materiales!$A:$H,8,0),"")</f>
        <v/>
      </c>
      <c r="K1158" s="9">
        <f>IFERROR(VLOOKUP(I1158,Materiales!$A:$G,7,0),"")</f>
        <v/>
      </c>
      <c r="L1158" s="8" t="inlineStr">
        <is>
          <t>20190426</t>
        </is>
      </c>
      <c r="M1158" s="8" t="inlineStr">
        <is>
          <t>20250127</t>
        </is>
      </c>
      <c r="N1158" s="10" t="n">
        <v>110</v>
      </c>
      <c r="O1158" s="10">
        <f>IFERROR(VLOOKUP(A1158,Flete!$A:$J,10,0),"")</f>
        <v/>
      </c>
      <c r="P1158" s="8" t="inlineStr">
        <is>
          <t>M3</t>
        </is>
      </c>
      <c r="Q1158" s="10">
        <f>IFERROR(IFERROR(VLOOKUP(A1158,TRAOPE!$A:$U,21,0),VLOOKUP(B1158,TRAOPE!$A:$U,21,0)),"")</f>
        <v/>
      </c>
      <c r="R1158" s="8">
        <f>IFERROR(IFERROR(VLOOKUP(A1158,TRAOPE!$A:$W,23,0),VLOOKUP(B1158,TRAOPE!$A:$W,23,0)),"")</f>
        <v/>
      </c>
      <c r="S1158" s="10">
        <f>IF(AND(P1158="TN",R1158="TN"),N1158+N(O1158),IF(G1158&amp;""="1",N(K1158)*N1158,(N1158+N(O1158))*N(K1158)))</f>
        <v/>
      </c>
      <c r="T1158" s="10">
        <f>IF(Q1158="","",Q1158-S1158)</f>
        <v/>
      </c>
    </row>
    <row r="1159">
      <c r="A1159" s="7">
        <f>CONCATENATE(C1159,E1159,F1159,I1159)</f>
        <v/>
      </c>
      <c r="B1159" s="7">
        <f>CONCATENATE(C1159,E1159,I1159)</f>
        <v/>
      </c>
      <c r="C1159" s="8" t="n">
        <v>900003609</v>
      </c>
      <c r="D1159" s="7">
        <f>IFERROR(VLOOKUP(C1159,TRAOPE!$G:$H,2,0),"")</f>
        <v/>
      </c>
      <c r="E1159" s="8" t="inlineStr">
        <is>
          <t>D836</t>
        </is>
      </c>
      <c r="F1159" s="8" t="inlineStr">
        <is>
          <t>65706147</t>
        </is>
      </c>
      <c r="G1159" s="8">
        <f>IFERROR(VLOOKUP(A1159,Flete!$A:$E,5,0),"")</f>
        <v/>
      </c>
      <c r="H1159" s="7">
        <f>IFERROR(VLOOKUP(F1159,TRAOPE!$AA:$AB,2,0),"")</f>
        <v/>
      </c>
      <c r="I1159" s="7" t="n">
        <v>10000630</v>
      </c>
      <c r="J1159" s="7">
        <f>IFERROR(VLOOKUP(I1159,Materiales!$A:$H,8,0),"")</f>
        <v/>
      </c>
      <c r="K1159" s="9">
        <f>IFERROR(VLOOKUP(I1159,Materiales!$A:$G,7,0),"")</f>
        <v/>
      </c>
      <c r="L1159" s="8" t="inlineStr">
        <is>
          <t>20190426</t>
        </is>
      </c>
      <c r="M1159" s="8" t="inlineStr">
        <is>
          <t>20250127</t>
        </is>
      </c>
      <c r="N1159" s="10" t="n">
        <v>145</v>
      </c>
      <c r="O1159" s="10">
        <f>IFERROR(VLOOKUP(A1159,Flete!$A:$J,10,0),"")</f>
        <v/>
      </c>
      <c r="P1159" s="8" t="inlineStr">
        <is>
          <t>M3</t>
        </is>
      </c>
      <c r="Q1159" s="10">
        <f>IFERROR(IFERROR(VLOOKUP(A1159,TRAOPE!$A:$U,21,0),VLOOKUP(B1159,TRAOPE!$A:$U,21,0)),"")</f>
        <v/>
      </c>
      <c r="R1159" s="8">
        <f>IFERROR(IFERROR(VLOOKUP(A1159,TRAOPE!$A:$W,23,0),VLOOKUP(B1159,TRAOPE!$A:$W,23,0)),"")</f>
        <v/>
      </c>
      <c r="S1159" s="10">
        <f>IF(AND(P1159="TN",R1159="TN"),N1159+N(O1159),IF(G1159&amp;""="1",N(K1159)*N1159,(N1159+N(O1159))*N(K1159)))</f>
        <v/>
      </c>
      <c r="T1159" s="10">
        <f>IF(Q1159="","",Q1159-S1159)</f>
        <v/>
      </c>
    </row>
    <row r="1160">
      <c r="A1160" s="7">
        <f>CONCATENATE(C1160,E1160,F1160,I1160)</f>
        <v/>
      </c>
      <c r="B1160" s="7">
        <f>CONCATENATE(C1160,E1160,I1160)</f>
        <v/>
      </c>
      <c r="C1160" s="8" t="n">
        <v>900003609</v>
      </c>
      <c r="D1160" s="7">
        <f>IFERROR(VLOOKUP(C1160,TRAOPE!$G:$H,2,0),"")</f>
        <v/>
      </c>
      <c r="E1160" s="8" t="inlineStr">
        <is>
          <t>D836</t>
        </is>
      </c>
      <c r="F1160" s="8" t="inlineStr">
        <is>
          <t>65706147</t>
        </is>
      </c>
      <c r="G1160" s="8">
        <f>IFERROR(VLOOKUP(A1160,Flete!$A:$E,5,0),"")</f>
        <v/>
      </c>
      <c r="H1160" s="7">
        <f>IFERROR(VLOOKUP(F1160,TRAOPE!$AA:$AB,2,0),"")</f>
        <v/>
      </c>
      <c r="I1160" s="7" t="n">
        <v>10053281</v>
      </c>
      <c r="J1160" s="7">
        <f>IFERROR(VLOOKUP(I1160,Materiales!$A:$H,8,0),"")</f>
        <v/>
      </c>
      <c r="K1160" s="9">
        <f>IFERROR(VLOOKUP(I1160,Materiales!$A:$G,7,0),"")</f>
        <v/>
      </c>
      <c r="L1160" s="8" t="inlineStr">
        <is>
          <t>20190426</t>
        </is>
      </c>
      <c r="M1160" s="8" t="inlineStr">
        <is>
          <t>20250127</t>
        </is>
      </c>
      <c r="N1160" s="10" t="n">
        <v>129.5</v>
      </c>
      <c r="O1160" s="10">
        <f>IFERROR(VLOOKUP(A1160,Flete!$A:$J,10,0),"")</f>
        <v/>
      </c>
      <c r="P1160" s="8" t="inlineStr">
        <is>
          <t>M3</t>
        </is>
      </c>
      <c r="Q1160" s="10">
        <f>IFERROR(IFERROR(VLOOKUP(A1160,TRAOPE!$A:$U,21,0),VLOOKUP(B1160,TRAOPE!$A:$U,21,0)),"")</f>
        <v/>
      </c>
      <c r="R1160" s="8">
        <f>IFERROR(IFERROR(VLOOKUP(A1160,TRAOPE!$A:$W,23,0),VLOOKUP(B1160,TRAOPE!$A:$W,23,0)),"")</f>
        <v/>
      </c>
      <c r="S1160" s="10">
        <f>IF(AND(P1160="TN",R1160="TN"),N1160+N(O1160),IF(G1160&amp;""="1",N(K1160)*N1160,(N1160+N(O1160))*N(K1160)))</f>
        <v/>
      </c>
      <c r="T1160" s="10">
        <f>IF(Q1160="","",Q1160-S1160)</f>
        <v/>
      </c>
    </row>
    <row r="1161">
      <c r="A1161" s="7">
        <f>CONCATENATE(C1161,E1161,F1161,I1161)</f>
        <v/>
      </c>
      <c r="B1161" s="7">
        <f>CONCATENATE(C1161,E1161,I1161)</f>
        <v/>
      </c>
      <c r="C1161" s="8" t="n">
        <v>900003609</v>
      </c>
      <c r="D1161" s="7">
        <f>IFERROR(VLOOKUP(C1161,TRAOPE!$G:$H,2,0),"")</f>
        <v/>
      </c>
      <c r="E1161" s="8" t="inlineStr">
        <is>
          <t>D836</t>
        </is>
      </c>
      <c r="F1161" s="8" t="inlineStr">
        <is>
          <t>65728668</t>
        </is>
      </c>
      <c r="G1161" s="8">
        <f>IFERROR(VLOOKUP(A1161,Flete!$A:$E,5,0),"")</f>
        <v/>
      </c>
      <c r="H1161" s="7">
        <f>IFERROR(VLOOKUP(F1161,TRAOPE!$AA:$AB,2,0),"")</f>
        <v/>
      </c>
      <c r="I1161" s="7" t="n">
        <v>10000624</v>
      </c>
      <c r="J1161" s="7">
        <f>IFERROR(VLOOKUP(I1161,Materiales!$A:$H,8,0),"")</f>
        <v/>
      </c>
      <c r="K1161" s="9">
        <f>IFERROR(VLOOKUP(I1161,Materiales!$A:$G,7,0),"")</f>
        <v/>
      </c>
      <c r="L1161" s="8" t="inlineStr">
        <is>
          <t>20190426</t>
        </is>
      </c>
      <c r="M1161" s="8" t="inlineStr">
        <is>
          <t>20250127</t>
        </is>
      </c>
      <c r="N1161" s="10" t="n">
        <v>142</v>
      </c>
      <c r="O1161" s="10">
        <f>IFERROR(VLOOKUP(A1161,Flete!$A:$J,10,0),"")</f>
        <v/>
      </c>
      <c r="P1161" s="8" t="inlineStr">
        <is>
          <t>M3</t>
        </is>
      </c>
      <c r="Q1161" s="10">
        <f>IFERROR(IFERROR(VLOOKUP(A1161,TRAOPE!$A:$U,21,0),VLOOKUP(B1161,TRAOPE!$A:$U,21,0)),"")</f>
        <v/>
      </c>
      <c r="R1161" s="8">
        <f>IFERROR(IFERROR(VLOOKUP(A1161,TRAOPE!$A:$W,23,0),VLOOKUP(B1161,TRAOPE!$A:$W,23,0)),"")</f>
        <v/>
      </c>
      <c r="S1161" s="10">
        <f>IF(AND(P1161="TN",R1161="TN"),N1161+N(O1161),IF(G1161&amp;""="1",N(K1161)*N1161,(N1161+N(O1161))*N(K1161)))</f>
        <v/>
      </c>
      <c r="T1161" s="10">
        <f>IF(Q1161="","",Q1161-S1161)</f>
        <v/>
      </c>
    </row>
    <row r="1162">
      <c r="A1162" s="7">
        <f>CONCATENATE(C1162,E1162,F1162,I1162)</f>
        <v/>
      </c>
      <c r="B1162" s="7">
        <f>CONCATENATE(C1162,E1162,I1162)</f>
        <v/>
      </c>
      <c r="C1162" s="8" t="n">
        <v>900003609</v>
      </c>
      <c r="D1162" s="7">
        <f>IFERROR(VLOOKUP(C1162,TRAOPE!$G:$H,2,0),"")</f>
        <v/>
      </c>
      <c r="E1162" s="8" t="inlineStr">
        <is>
          <t>D836</t>
        </is>
      </c>
      <c r="F1162" s="8" t="inlineStr">
        <is>
          <t>65728668</t>
        </is>
      </c>
      <c r="G1162" s="8">
        <f>IFERROR(VLOOKUP(A1162,Flete!$A:$E,5,0),"")</f>
        <v/>
      </c>
      <c r="H1162" s="7">
        <f>IFERROR(VLOOKUP(F1162,TRAOPE!$AA:$AB,2,0),"")</f>
        <v/>
      </c>
      <c r="I1162" s="7" t="n">
        <v>10000811</v>
      </c>
      <c r="J1162" s="7">
        <f>IFERROR(VLOOKUP(I1162,Materiales!$A:$H,8,0),"")</f>
        <v/>
      </c>
      <c r="K1162" s="9">
        <f>IFERROR(VLOOKUP(I1162,Materiales!$A:$G,7,0),"")</f>
        <v/>
      </c>
      <c r="L1162" s="8" t="inlineStr">
        <is>
          <t>20190426</t>
        </is>
      </c>
      <c r="M1162" s="8" t="inlineStr">
        <is>
          <t>20250127</t>
        </is>
      </c>
      <c r="N1162" s="10" t="n">
        <v>146</v>
      </c>
      <c r="O1162" s="10">
        <f>IFERROR(VLOOKUP(A1162,Flete!$A:$J,10,0),"")</f>
        <v/>
      </c>
      <c r="P1162" s="8" t="inlineStr">
        <is>
          <t>M3</t>
        </is>
      </c>
      <c r="Q1162" s="10">
        <f>IFERROR(IFERROR(VLOOKUP(A1162,TRAOPE!$A:$U,21,0),VLOOKUP(B1162,TRAOPE!$A:$U,21,0)),"")</f>
        <v/>
      </c>
      <c r="R1162" s="8">
        <f>IFERROR(IFERROR(VLOOKUP(A1162,TRAOPE!$A:$W,23,0),VLOOKUP(B1162,TRAOPE!$A:$W,23,0)),"")</f>
        <v/>
      </c>
      <c r="S1162" s="10">
        <f>IF(AND(P1162="TN",R1162="TN"),N1162+N(O1162),IF(G1162&amp;""="1",N(K1162)*N1162,(N1162+N(O1162))*N(K1162)))</f>
        <v/>
      </c>
      <c r="T1162" s="10">
        <f>IF(Q1162="","",Q1162-S1162)</f>
        <v/>
      </c>
    </row>
    <row r="1163">
      <c r="A1163" s="7">
        <f>CONCATENATE(C1163,E1163,F1163,I1163)</f>
        <v/>
      </c>
      <c r="B1163" s="7">
        <f>CONCATENATE(C1163,E1163,I1163)</f>
        <v/>
      </c>
      <c r="C1163" s="8" t="n">
        <v>900003609</v>
      </c>
      <c r="D1163" s="7">
        <f>IFERROR(VLOOKUP(C1163,TRAOPE!$G:$H,2,0),"")</f>
        <v/>
      </c>
      <c r="E1163" s="8" t="inlineStr">
        <is>
          <t>D836</t>
        </is>
      </c>
      <c r="F1163" s="8" t="inlineStr">
        <is>
          <t>65729122</t>
        </is>
      </c>
      <c r="G1163" s="8">
        <f>IFERROR(VLOOKUP(A1163,Flete!$A:$E,5,0),"")</f>
        <v/>
      </c>
      <c r="H1163" s="7">
        <f>IFERROR(VLOOKUP(F1163,TRAOPE!$AA:$AB,2,0),"")</f>
        <v/>
      </c>
      <c r="I1163" s="7" t="n">
        <v>10000624</v>
      </c>
      <c r="J1163" s="7">
        <f>IFERROR(VLOOKUP(I1163,Materiales!$A:$H,8,0),"")</f>
        <v/>
      </c>
      <c r="K1163" s="9">
        <f>IFERROR(VLOOKUP(I1163,Materiales!$A:$G,7,0),"")</f>
        <v/>
      </c>
      <c r="L1163" s="8" t="inlineStr">
        <is>
          <t>20190426</t>
        </is>
      </c>
      <c r="M1163" s="8" t="inlineStr">
        <is>
          <t>20250127</t>
        </is>
      </c>
      <c r="N1163" s="10" t="n">
        <v>143.52</v>
      </c>
      <c r="O1163" s="10">
        <f>IFERROR(VLOOKUP(A1163,Flete!$A:$J,10,0),"")</f>
        <v/>
      </c>
      <c r="P1163" s="8" t="inlineStr">
        <is>
          <t>M3</t>
        </is>
      </c>
      <c r="Q1163" s="10">
        <f>IFERROR(IFERROR(VLOOKUP(A1163,TRAOPE!$A:$U,21,0),VLOOKUP(B1163,TRAOPE!$A:$U,21,0)),"")</f>
        <v/>
      </c>
      <c r="R1163" s="8">
        <f>IFERROR(IFERROR(VLOOKUP(A1163,TRAOPE!$A:$W,23,0),VLOOKUP(B1163,TRAOPE!$A:$W,23,0)),"")</f>
        <v/>
      </c>
      <c r="S1163" s="10">
        <f>IF(AND(P1163="TN",R1163="TN"),N1163+N(O1163),IF(G1163&amp;""="1",N(K1163)*N1163,(N1163+N(O1163))*N(K1163)))</f>
        <v/>
      </c>
      <c r="T1163" s="10">
        <f>IF(Q1163="","",Q1163-S1163)</f>
        <v/>
      </c>
    </row>
    <row r="1164">
      <c r="A1164" s="7">
        <f>CONCATENATE(C1164,E1164,F1164,I1164)</f>
        <v/>
      </c>
      <c r="B1164" s="7">
        <f>CONCATENATE(C1164,E1164,I1164)</f>
        <v/>
      </c>
      <c r="C1164" s="8" t="n">
        <v>900003609</v>
      </c>
      <c r="D1164" s="7">
        <f>IFERROR(VLOOKUP(C1164,TRAOPE!$G:$H,2,0),"")</f>
        <v/>
      </c>
      <c r="E1164" s="8" t="inlineStr">
        <is>
          <t>D836</t>
        </is>
      </c>
      <c r="F1164" s="8" t="inlineStr">
        <is>
          <t>65729122</t>
        </is>
      </c>
      <c r="G1164" s="8">
        <f>IFERROR(VLOOKUP(A1164,Flete!$A:$E,5,0),"")</f>
        <v/>
      </c>
      <c r="H1164" s="7">
        <f>IFERROR(VLOOKUP(F1164,TRAOPE!$AA:$AB,2,0),"")</f>
        <v/>
      </c>
      <c r="I1164" s="7" t="n">
        <v>10000722</v>
      </c>
      <c r="J1164" s="7">
        <f>IFERROR(VLOOKUP(I1164,Materiales!$A:$H,8,0),"")</f>
        <v/>
      </c>
      <c r="K1164" s="9">
        <f>IFERROR(VLOOKUP(I1164,Materiales!$A:$G,7,0),"")</f>
        <v/>
      </c>
      <c r="L1164" s="8" t="inlineStr">
        <is>
          <t>20190426</t>
        </is>
      </c>
      <c r="M1164" s="8" t="inlineStr">
        <is>
          <t>20250127</t>
        </is>
      </c>
      <c r="N1164" s="10" t="n">
        <v>143.52</v>
      </c>
      <c r="O1164" s="10">
        <f>IFERROR(VLOOKUP(A1164,Flete!$A:$J,10,0),"")</f>
        <v/>
      </c>
      <c r="P1164" s="8" t="inlineStr">
        <is>
          <t>M3</t>
        </is>
      </c>
      <c r="Q1164" s="10">
        <f>IFERROR(IFERROR(VLOOKUP(A1164,TRAOPE!$A:$U,21,0),VLOOKUP(B1164,TRAOPE!$A:$U,21,0)),"")</f>
        <v/>
      </c>
      <c r="R1164" s="8">
        <f>IFERROR(IFERROR(VLOOKUP(A1164,TRAOPE!$A:$W,23,0),VLOOKUP(B1164,TRAOPE!$A:$W,23,0)),"")</f>
        <v/>
      </c>
      <c r="S1164" s="10">
        <f>IF(AND(P1164="TN",R1164="TN"),N1164+N(O1164),IF(G1164&amp;""="1",N(K1164)*N1164,(N1164+N(O1164))*N(K1164)))</f>
        <v/>
      </c>
      <c r="T1164" s="10">
        <f>IF(Q1164="","",Q1164-S1164)</f>
        <v/>
      </c>
    </row>
    <row r="1165">
      <c r="A1165" s="7">
        <f>CONCATENATE(C1165,E1165,F1165,I1165)</f>
        <v/>
      </c>
      <c r="B1165" s="7">
        <f>CONCATENATE(C1165,E1165,I1165)</f>
        <v/>
      </c>
      <c r="C1165" s="8" t="n">
        <v>900003609</v>
      </c>
      <c r="D1165" s="7">
        <f>IFERROR(VLOOKUP(C1165,TRAOPE!$G:$H,2,0),"")</f>
        <v/>
      </c>
      <c r="E1165" s="8" t="inlineStr">
        <is>
          <t>D836</t>
        </is>
      </c>
      <c r="F1165" s="8" t="inlineStr">
        <is>
          <t>65751297</t>
        </is>
      </c>
      <c r="G1165" s="8">
        <f>IFERROR(VLOOKUP(A1165,Flete!$A:$E,5,0),"")</f>
        <v/>
      </c>
      <c r="H1165" s="7">
        <f>IFERROR(VLOOKUP(F1165,TRAOPE!$AA:$AB,2,0),"")</f>
        <v/>
      </c>
      <c r="I1165" s="7" t="n">
        <v>10000624</v>
      </c>
      <c r="J1165" s="7">
        <f>IFERROR(VLOOKUP(I1165,Materiales!$A:$H,8,0),"")</f>
        <v/>
      </c>
      <c r="K1165" s="9">
        <f>IFERROR(VLOOKUP(I1165,Materiales!$A:$G,7,0),"")</f>
        <v/>
      </c>
      <c r="L1165" s="8" t="inlineStr">
        <is>
          <t>20190426</t>
        </is>
      </c>
      <c r="M1165" s="8" t="inlineStr">
        <is>
          <t>20250127</t>
        </is>
      </c>
      <c r="N1165" s="10" t="n">
        <v>142</v>
      </c>
      <c r="O1165" s="10">
        <f>IFERROR(VLOOKUP(A1165,Flete!$A:$J,10,0),"")</f>
        <v/>
      </c>
      <c r="P1165" s="8" t="inlineStr">
        <is>
          <t>M3</t>
        </is>
      </c>
      <c r="Q1165" s="10">
        <f>IFERROR(IFERROR(VLOOKUP(A1165,TRAOPE!$A:$U,21,0),VLOOKUP(B1165,TRAOPE!$A:$U,21,0)),"")</f>
        <v/>
      </c>
      <c r="R1165" s="8">
        <f>IFERROR(IFERROR(VLOOKUP(A1165,TRAOPE!$A:$W,23,0),VLOOKUP(B1165,TRAOPE!$A:$W,23,0)),"")</f>
        <v/>
      </c>
      <c r="S1165" s="10">
        <f>IF(AND(P1165="TN",R1165="TN"),N1165+N(O1165),IF(G1165&amp;""="1",N(K1165)*N1165,(N1165+N(O1165))*N(K1165)))</f>
        <v/>
      </c>
      <c r="T1165" s="10">
        <f>IF(Q1165="","",Q1165-S1165)</f>
        <v/>
      </c>
    </row>
    <row r="1166">
      <c r="A1166" s="7">
        <f>CONCATENATE(C1166,E1166,F1166,I1166)</f>
        <v/>
      </c>
      <c r="B1166" s="7">
        <f>CONCATENATE(C1166,E1166,I1166)</f>
        <v/>
      </c>
      <c r="C1166" s="8" t="n">
        <v>900003609</v>
      </c>
      <c r="D1166" s="7">
        <f>IFERROR(VLOOKUP(C1166,TRAOPE!$G:$H,2,0),"")</f>
        <v/>
      </c>
      <c r="E1166" s="8" t="inlineStr">
        <is>
          <t>D836</t>
        </is>
      </c>
      <c r="F1166" s="8" t="inlineStr">
        <is>
          <t>65751297</t>
        </is>
      </c>
      <c r="G1166" s="8">
        <f>IFERROR(VLOOKUP(A1166,Flete!$A:$E,5,0),"")</f>
        <v/>
      </c>
      <c r="H1166" s="7">
        <f>IFERROR(VLOOKUP(F1166,TRAOPE!$AA:$AB,2,0),"")</f>
        <v/>
      </c>
      <c r="I1166" s="7" t="n">
        <v>10000811</v>
      </c>
      <c r="J1166" s="7">
        <f>IFERROR(VLOOKUP(I1166,Materiales!$A:$H,8,0),"")</f>
        <v/>
      </c>
      <c r="K1166" s="9">
        <f>IFERROR(VLOOKUP(I1166,Materiales!$A:$G,7,0),"")</f>
        <v/>
      </c>
      <c r="L1166" s="8" t="inlineStr">
        <is>
          <t>20190426</t>
        </is>
      </c>
      <c r="M1166" s="8" t="inlineStr">
        <is>
          <t>20250127</t>
        </is>
      </c>
      <c r="N1166" s="10" t="n">
        <v>146</v>
      </c>
      <c r="O1166" s="10">
        <f>IFERROR(VLOOKUP(A1166,Flete!$A:$J,10,0),"")</f>
        <v/>
      </c>
      <c r="P1166" s="8" t="inlineStr">
        <is>
          <t>M3</t>
        </is>
      </c>
      <c r="Q1166" s="10">
        <f>IFERROR(IFERROR(VLOOKUP(A1166,TRAOPE!$A:$U,21,0),VLOOKUP(B1166,TRAOPE!$A:$U,21,0)),"")</f>
        <v/>
      </c>
      <c r="R1166" s="8">
        <f>IFERROR(IFERROR(VLOOKUP(A1166,TRAOPE!$A:$W,23,0),VLOOKUP(B1166,TRAOPE!$A:$W,23,0)),"")</f>
        <v/>
      </c>
      <c r="S1166" s="10">
        <f>IF(AND(P1166="TN",R1166="TN"),N1166+N(O1166),IF(G1166&amp;""="1",N(K1166)*N1166,(N1166+N(O1166))*N(K1166)))</f>
        <v/>
      </c>
      <c r="T1166" s="10">
        <f>IF(Q1166="","",Q1166-S1166)</f>
        <v/>
      </c>
    </row>
    <row r="1167">
      <c r="A1167" s="7">
        <f>CONCATENATE(C1167,E1167,F1167,I1167)</f>
        <v/>
      </c>
      <c r="B1167" s="7">
        <f>CONCATENATE(C1167,E1167,I1167)</f>
        <v/>
      </c>
      <c r="C1167" s="8" t="n">
        <v>900003609</v>
      </c>
      <c r="D1167" s="7">
        <f>IFERROR(VLOOKUP(C1167,TRAOPE!$G:$H,2,0),"")</f>
        <v/>
      </c>
      <c r="E1167" s="8" t="inlineStr">
        <is>
          <t>D836</t>
        </is>
      </c>
      <c r="F1167" s="8" t="inlineStr">
        <is>
          <t>65751298</t>
        </is>
      </c>
      <c r="G1167" s="8">
        <f>IFERROR(VLOOKUP(A1167,Flete!$A:$E,5,0),"")</f>
        <v/>
      </c>
      <c r="H1167" s="7">
        <f>IFERROR(VLOOKUP(F1167,TRAOPE!$AA:$AB,2,0),"")</f>
        <v/>
      </c>
      <c r="I1167" s="7" t="n">
        <v>10000624</v>
      </c>
      <c r="J1167" s="7">
        <f>IFERROR(VLOOKUP(I1167,Materiales!$A:$H,8,0),"")</f>
        <v/>
      </c>
      <c r="K1167" s="9">
        <f>IFERROR(VLOOKUP(I1167,Materiales!$A:$G,7,0),"")</f>
        <v/>
      </c>
      <c r="L1167" s="8" t="inlineStr">
        <is>
          <t>20190426</t>
        </is>
      </c>
      <c r="M1167" s="8" t="inlineStr">
        <is>
          <t>20250127</t>
        </is>
      </c>
      <c r="N1167" s="10" t="n">
        <v>142</v>
      </c>
      <c r="O1167" s="10">
        <f>IFERROR(VLOOKUP(A1167,Flete!$A:$J,10,0),"")</f>
        <v/>
      </c>
      <c r="P1167" s="8" t="inlineStr">
        <is>
          <t>M3</t>
        </is>
      </c>
      <c r="Q1167" s="10">
        <f>IFERROR(IFERROR(VLOOKUP(A1167,TRAOPE!$A:$U,21,0),VLOOKUP(B1167,TRAOPE!$A:$U,21,0)),"")</f>
        <v/>
      </c>
      <c r="R1167" s="8">
        <f>IFERROR(IFERROR(VLOOKUP(A1167,TRAOPE!$A:$W,23,0),VLOOKUP(B1167,TRAOPE!$A:$W,23,0)),"")</f>
        <v/>
      </c>
      <c r="S1167" s="10">
        <f>IF(AND(P1167="TN",R1167="TN"),N1167+N(O1167),IF(G1167&amp;""="1",N(K1167)*N1167,(N1167+N(O1167))*N(K1167)))</f>
        <v/>
      </c>
      <c r="T1167" s="10">
        <f>IF(Q1167="","",Q1167-S1167)</f>
        <v/>
      </c>
    </row>
    <row r="1168">
      <c r="A1168" s="7">
        <f>CONCATENATE(C1168,E1168,F1168,I1168)</f>
        <v/>
      </c>
      <c r="B1168" s="7">
        <f>CONCATENATE(C1168,E1168,I1168)</f>
        <v/>
      </c>
      <c r="C1168" s="8" t="n">
        <v>900003609</v>
      </c>
      <c r="D1168" s="7">
        <f>IFERROR(VLOOKUP(C1168,TRAOPE!$G:$H,2,0),"")</f>
        <v/>
      </c>
      <c r="E1168" s="8" t="inlineStr">
        <is>
          <t>D836</t>
        </is>
      </c>
      <c r="F1168" s="8" t="inlineStr">
        <is>
          <t>65751298</t>
        </is>
      </c>
      <c r="G1168" s="8">
        <f>IFERROR(VLOOKUP(A1168,Flete!$A:$E,5,0),"")</f>
        <v/>
      </c>
      <c r="H1168" s="7">
        <f>IFERROR(VLOOKUP(F1168,TRAOPE!$AA:$AB,2,0),"")</f>
        <v/>
      </c>
      <c r="I1168" s="7" t="n">
        <v>10000811</v>
      </c>
      <c r="J1168" s="7">
        <f>IFERROR(VLOOKUP(I1168,Materiales!$A:$H,8,0),"")</f>
        <v/>
      </c>
      <c r="K1168" s="9">
        <f>IFERROR(VLOOKUP(I1168,Materiales!$A:$G,7,0),"")</f>
        <v/>
      </c>
      <c r="L1168" s="8" t="inlineStr">
        <is>
          <t>20190426</t>
        </is>
      </c>
      <c r="M1168" s="8" t="inlineStr">
        <is>
          <t>20250127</t>
        </is>
      </c>
      <c r="N1168" s="10" t="n">
        <v>146</v>
      </c>
      <c r="O1168" s="10">
        <f>IFERROR(VLOOKUP(A1168,Flete!$A:$J,10,0),"")</f>
        <v/>
      </c>
      <c r="P1168" s="8" t="inlineStr">
        <is>
          <t>M3</t>
        </is>
      </c>
      <c r="Q1168" s="10">
        <f>IFERROR(IFERROR(VLOOKUP(A1168,TRAOPE!$A:$U,21,0),VLOOKUP(B1168,TRAOPE!$A:$U,21,0)),"")</f>
        <v/>
      </c>
      <c r="R1168" s="8">
        <f>IFERROR(IFERROR(VLOOKUP(A1168,TRAOPE!$A:$W,23,0),VLOOKUP(B1168,TRAOPE!$A:$W,23,0)),"")</f>
        <v/>
      </c>
      <c r="S1168" s="10">
        <f>IF(AND(P1168="TN",R1168="TN"),N1168+N(O1168),IF(G1168&amp;""="1",N(K1168)*N1168,(N1168+N(O1168))*N(K1168)))</f>
        <v/>
      </c>
      <c r="T1168" s="10">
        <f>IF(Q1168="","",Q1168-S1168)</f>
        <v/>
      </c>
    </row>
    <row r="1169">
      <c r="A1169" s="7">
        <f>CONCATENATE(C1169,E1169,F1169,I1169)</f>
        <v/>
      </c>
      <c r="B1169" s="7">
        <f>CONCATENATE(C1169,E1169,I1169)</f>
        <v/>
      </c>
      <c r="C1169" s="8" t="n">
        <v>900003609</v>
      </c>
      <c r="D1169" s="7">
        <f>IFERROR(VLOOKUP(C1169,TRAOPE!$G:$H,2,0),"")</f>
        <v/>
      </c>
      <c r="E1169" s="8" t="inlineStr">
        <is>
          <t>D836</t>
        </is>
      </c>
      <c r="F1169" s="8" t="inlineStr">
        <is>
          <t>65751299</t>
        </is>
      </c>
      <c r="G1169" s="8">
        <f>IFERROR(VLOOKUP(A1169,Flete!$A:$E,5,0),"")</f>
        <v/>
      </c>
      <c r="H1169" s="7">
        <f>IFERROR(VLOOKUP(F1169,TRAOPE!$AA:$AB,2,0),"")</f>
        <v/>
      </c>
      <c r="I1169" s="7" t="n">
        <v>10000624</v>
      </c>
      <c r="J1169" s="7">
        <f>IFERROR(VLOOKUP(I1169,Materiales!$A:$H,8,0),"")</f>
        <v/>
      </c>
      <c r="K1169" s="9">
        <f>IFERROR(VLOOKUP(I1169,Materiales!$A:$G,7,0),"")</f>
        <v/>
      </c>
      <c r="L1169" s="8" t="inlineStr">
        <is>
          <t>20190426</t>
        </is>
      </c>
      <c r="M1169" s="8" t="inlineStr">
        <is>
          <t>20250127</t>
        </is>
      </c>
      <c r="N1169" s="10" t="n">
        <v>142</v>
      </c>
      <c r="O1169" s="10">
        <f>IFERROR(VLOOKUP(A1169,Flete!$A:$J,10,0),"")</f>
        <v/>
      </c>
      <c r="P1169" s="8" t="inlineStr">
        <is>
          <t>M3</t>
        </is>
      </c>
      <c r="Q1169" s="10">
        <f>IFERROR(IFERROR(VLOOKUP(A1169,TRAOPE!$A:$U,21,0),VLOOKUP(B1169,TRAOPE!$A:$U,21,0)),"")</f>
        <v/>
      </c>
      <c r="R1169" s="8">
        <f>IFERROR(IFERROR(VLOOKUP(A1169,TRAOPE!$A:$W,23,0),VLOOKUP(B1169,TRAOPE!$A:$W,23,0)),"")</f>
        <v/>
      </c>
      <c r="S1169" s="10">
        <f>IF(AND(P1169="TN",R1169="TN"),N1169+N(O1169),IF(G1169&amp;""="1",N(K1169)*N1169,(N1169+N(O1169))*N(K1169)))</f>
        <v/>
      </c>
      <c r="T1169" s="10">
        <f>IF(Q1169="","",Q1169-S1169)</f>
        <v/>
      </c>
    </row>
    <row r="1170">
      <c r="A1170" s="7">
        <f>CONCATENATE(C1170,E1170,F1170,I1170)</f>
        <v/>
      </c>
      <c r="B1170" s="7">
        <f>CONCATENATE(C1170,E1170,I1170)</f>
        <v/>
      </c>
      <c r="C1170" s="8" t="n">
        <v>900003609</v>
      </c>
      <c r="D1170" s="7">
        <f>IFERROR(VLOOKUP(C1170,TRAOPE!$G:$H,2,0),"")</f>
        <v/>
      </c>
      <c r="E1170" s="8" t="inlineStr">
        <is>
          <t>D836</t>
        </is>
      </c>
      <c r="F1170" s="8" t="inlineStr">
        <is>
          <t>65751299</t>
        </is>
      </c>
      <c r="G1170" s="8">
        <f>IFERROR(VLOOKUP(A1170,Flete!$A:$E,5,0),"")</f>
        <v/>
      </c>
      <c r="H1170" s="7">
        <f>IFERROR(VLOOKUP(F1170,TRAOPE!$AA:$AB,2,0),"")</f>
        <v/>
      </c>
      <c r="I1170" s="7" t="n">
        <v>10000811</v>
      </c>
      <c r="J1170" s="7">
        <f>IFERROR(VLOOKUP(I1170,Materiales!$A:$H,8,0),"")</f>
        <v/>
      </c>
      <c r="K1170" s="9">
        <f>IFERROR(VLOOKUP(I1170,Materiales!$A:$G,7,0),"")</f>
        <v/>
      </c>
      <c r="L1170" s="8" t="inlineStr">
        <is>
          <t>20190426</t>
        </is>
      </c>
      <c r="M1170" s="8" t="inlineStr">
        <is>
          <t>20250127</t>
        </is>
      </c>
      <c r="N1170" s="10" t="n">
        <v>146</v>
      </c>
      <c r="O1170" s="10">
        <f>IFERROR(VLOOKUP(A1170,Flete!$A:$J,10,0),"")</f>
        <v/>
      </c>
      <c r="P1170" s="8" t="inlineStr">
        <is>
          <t>M3</t>
        </is>
      </c>
      <c r="Q1170" s="10">
        <f>IFERROR(IFERROR(VLOOKUP(A1170,TRAOPE!$A:$U,21,0),VLOOKUP(B1170,TRAOPE!$A:$U,21,0)),"")</f>
        <v/>
      </c>
      <c r="R1170" s="8">
        <f>IFERROR(IFERROR(VLOOKUP(A1170,TRAOPE!$A:$W,23,0),VLOOKUP(B1170,TRAOPE!$A:$W,23,0)),"")</f>
        <v/>
      </c>
      <c r="S1170" s="10">
        <f>IF(AND(P1170="TN",R1170="TN"),N1170+N(O1170),IF(G1170&amp;""="1",N(K1170)*N1170,(N1170+N(O1170))*N(K1170)))</f>
        <v/>
      </c>
      <c r="T1170" s="10">
        <f>IF(Q1170="","",Q1170-S1170)</f>
        <v/>
      </c>
    </row>
    <row r="1171">
      <c r="A1171" s="7">
        <f>CONCATENATE(C1171,E1171,F1171,I1171)</f>
        <v/>
      </c>
      <c r="B1171" s="7">
        <f>CONCATENATE(C1171,E1171,I1171)</f>
        <v/>
      </c>
      <c r="C1171" s="8" t="n">
        <v>900003609</v>
      </c>
      <c r="D1171" s="7">
        <f>IFERROR(VLOOKUP(C1171,TRAOPE!$G:$H,2,0),"")</f>
        <v/>
      </c>
      <c r="E1171" s="8" t="inlineStr">
        <is>
          <t>D836</t>
        </is>
      </c>
      <c r="F1171" s="8" t="inlineStr">
        <is>
          <t>65751300</t>
        </is>
      </c>
      <c r="G1171" s="8">
        <f>IFERROR(VLOOKUP(A1171,Flete!$A:$E,5,0),"")</f>
        <v/>
      </c>
      <c r="H1171" s="7">
        <f>IFERROR(VLOOKUP(F1171,TRAOPE!$AA:$AB,2,0),"")</f>
        <v/>
      </c>
      <c r="I1171" s="7" t="n">
        <v>10000624</v>
      </c>
      <c r="J1171" s="7">
        <f>IFERROR(VLOOKUP(I1171,Materiales!$A:$H,8,0),"")</f>
        <v/>
      </c>
      <c r="K1171" s="9">
        <f>IFERROR(VLOOKUP(I1171,Materiales!$A:$G,7,0),"")</f>
        <v/>
      </c>
      <c r="L1171" s="8" t="inlineStr">
        <is>
          <t>20190426</t>
        </is>
      </c>
      <c r="M1171" s="8" t="inlineStr">
        <is>
          <t>20250127</t>
        </is>
      </c>
      <c r="N1171" s="10" t="n">
        <v>142</v>
      </c>
      <c r="O1171" s="10">
        <f>IFERROR(VLOOKUP(A1171,Flete!$A:$J,10,0),"")</f>
        <v/>
      </c>
      <c r="P1171" s="8" t="inlineStr">
        <is>
          <t>M3</t>
        </is>
      </c>
      <c r="Q1171" s="10">
        <f>IFERROR(IFERROR(VLOOKUP(A1171,TRAOPE!$A:$U,21,0),VLOOKUP(B1171,TRAOPE!$A:$U,21,0)),"")</f>
        <v/>
      </c>
      <c r="R1171" s="8">
        <f>IFERROR(IFERROR(VLOOKUP(A1171,TRAOPE!$A:$W,23,0),VLOOKUP(B1171,TRAOPE!$A:$W,23,0)),"")</f>
        <v/>
      </c>
      <c r="S1171" s="10">
        <f>IF(AND(P1171="TN",R1171="TN"),N1171+N(O1171),IF(G1171&amp;""="1",N(K1171)*N1171,(N1171+N(O1171))*N(K1171)))</f>
        <v/>
      </c>
      <c r="T1171" s="10">
        <f>IF(Q1171="","",Q1171-S1171)</f>
        <v/>
      </c>
    </row>
    <row r="1172">
      <c r="A1172" s="7">
        <f>CONCATENATE(C1172,E1172,F1172,I1172)</f>
        <v/>
      </c>
      <c r="B1172" s="7">
        <f>CONCATENATE(C1172,E1172,I1172)</f>
        <v/>
      </c>
      <c r="C1172" s="8" t="n">
        <v>900003609</v>
      </c>
      <c r="D1172" s="7">
        <f>IFERROR(VLOOKUP(C1172,TRAOPE!$G:$H,2,0),"")</f>
        <v/>
      </c>
      <c r="E1172" s="8" t="inlineStr">
        <is>
          <t>D836</t>
        </is>
      </c>
      <c r="F1172" s="8" t="inlineStr">
        <is>
          <t>65751300</t>
        </is>
      </c>
      <c r="G1172" s="8">
        <f>IFERROR(VLOOKUP(A1172,Flete!$A:$E,5,0),"")</f>
        <v/>
      </c>
      <c r="H1172" s="7">
        <f>IFERROR(VLOOKUP(F1172,TRAOPE!$AA:$AB,2,0),"")</f>
        <v/>
      </c>
      <c r="I1172" s="7" t="n">
        <v>10000811</v>
      </c>
      <c r="J1172" s="7">
        <f>IFERROR(VLOOKUP(I1172,Materiales!$A:$H,8,0),"")</f>
        <v/>
      </c>
      <c r="K1172" s="9">
        <f>IFERROR(VLOOKUP(I1172,Materiales!$A:$G,7,0),"")</f>
        <v/>
      </c>
      <c r="L1172" s="8" t="inlineStr">
        <is>
          <t>20190426</t>
        </is>
      </c>
      <c r="M1172" s="8" t="inlineStr">
        <is>
          <t>20250127</t>
        </is>
      </c>
      <c r="N1172" s="10" t="n">
        <v>146</v>
      </c>
      <c r="O1172" s="10">
        <f>IFERROR(VLOOKUP(A1172,Flete!$A:$J,10,0),"")</f>
        <v/>
      </c>
      <c r="P1172" s="8" t="inlineStr">
        <is>
          <t>M3</t>
        </is>
      </c>
      <c r="Q1172" s="10">
        <f>IFERROR(IFERROR(VLOOKUP(A1172,TRAOPE!$A:$U,21,0),VLOOKUP(B1172,TRAOPE!$A:$U,21,0)),"")</f>
        <v/>
      </c>
      <c r="R1172" s="8">
        <f>IFERROR(IFERROR(VLOOKUP(A1172,TRAOPE!$A:$W,23,0),VLOOKUP(B1172,TRAOPE!$A:$W,23,0)),"")</f>
        <v/>
      </c>
      <c r="S1172" s="10">
        <f>IF(AND(P1172="TN",R1172="TN"),N1172+N(O1172),IF(G1172&amp;""="1",N(K1172)*N1172,(N1172+N(O1172))*N(K1172)))</f>
        <v/>
      </c>
      <c r="T1172" s="10">
        <f>IF(Q1172="","",Q1172-S1172)</f>
        <v/>
      </c>
    </row>
    <row r="1173">
      <c r="A1173" s="7">
        <f>CONCATENATE(C1173,E1173,F1173,I1173)</f>
        <v/>
      </c>
      <c r="B1173" s="7">
        <f>CONCATENATE(C1173,E1173,I1173)</f>
        <v/>
      </c>
      <c r="C1173" s="8" t="n">
        <v>900003609</v>
      </c>
      <c r="D1173" s="7">
        <f>IFERROR(VLOOKUP(C1173,TRAOPE!$G:$H,2,0),"")</f>
        <v/>
      </c>
      <c r="E1173" s="8" t="inlineStr">
        <is>
          <t>D836</t>
        </is>
      </c>
      <c r="F1173" s="8" t="inlineStr">
        <is>
          <t>65781482</t>
        </is>
      </c>
      <c r="G1173" s="8">
        <f>IFERROR(VLOOKUP(A1173,Flete!$A:$E,5,0),"")</f>
        <v/>
      </c>
      <c r="H1173" s="7">
        <f>IFERROR(VLOOKUP(F1173,TRAOPE!$AA:$AB,2,0),"")</f>
        <v/>
      </c>
      <c r="I1173" s="7" t="n">
        <v>10000624</v>
      </c>
      <c r="J1173" s="7">
        <f>IFERROR(VLOOKUP(I1173,Materiales!$A:$H,8,0),"")</f>
        <v/>
      </c>
      <c r="K1173" s="9">
        <f>IFERROR(VLOOKUP(I1173,Materiales!$A:$G,7,0),"")</f>
        <v/>
      </c>
      <c r="L1173" s="8" t="inlineStr">
        <is>
          <t>20190426</t>
        </is>
      </c>
      <c r="M1173" s="8" t="inlineStr">
        <is>
          <t>20250127</t>
        </is>
      </c>
      <c r="N1173" s="10" t="n">
        <v>137.54</v>
      </c>
      <c r="O1173" s="10">
        <f>IFERROR(VLOOKUP(A1173,Flete!$A:$J,10,0),"")</f>
        <v/>
      </c>
      <c r="P1173" s="8" t="inlineStr">
        <is>
          <t>M3</t>
        </is>
      </c>
      <c r="Q1173" s="10">
        <f>IFERROR(IFERROR(VLOOKUP(A1173,TRAOPE!$A:$U,21,0),VLOOKUP(B1173,TRAOPE!$A:$U,21,0)),"")</f>
        <v/>
      </c>
      <c r="R1173" s="8">
        <f>IFERROR(IFERROR(VLOOKUP(A1173,TRAOPE!$A:$W,23,0),VLOOKUP(B1173,TRAOPE!$A:$W,23,0)),"")</f>
        <v/>
      </c>
      <c r="S1173" s="10">
        <f>IF(AND(P1173="TN",R1173="TN"),N1173+N(O1173),IF(G1173&amp;""="1",N(K1173)*N1173,(N1173+N(O1173))*N(K1173)))</f>
        <v/>
      </c>
      <c r="T1173" s="10">
        <f>IF(Q1173="","",Q1173-S1173)</f>
        <v/>
      </c>
    </row>
    <row r="1174">
      <c r="A1174" s="7">
        <f>CONCATENATE(C1174,E1174,F1174,I1174)</f>
        <v/>
      </c>
      <c r="B1174" s="7">
        <f>CONCATENATE(C1174,E1174,I1174)</f>
        <v/>
      </c>
      <c r="C1174" s="8" t="n">
        <v>900003609</v>
      </c>
      <c r="D1174" s="7">
        <f>IFERROR(VLOOKUP(C1174,TRAOPE!$G:$H,2,0),"")</f>
        <v/>
      </c>
      <c r="E1174" s="8" t="inlineStr">
        <is>
          <t>D836</t>
        </is>
      </c>
      <c r="F1174" s="8" t="inlineStr">
        <is>
          <t>65781482</t>
        </is>
      </c>
      <c r="G1174" s="8">
        <f>IFERROR(VLOOKUP(A1174,Flete!$A:$E,5,0),"")</f>
        <v/>
      </c>
      <c r="H1174" s="7">
        <f>IFERROR(VLOOKUP(F1174,TRAOPE!$AA:$AB,2,0),"")</f>
        <v/>
      </c>
      <c r="I1174" s="7" t="n">
        <v>10000722</v>
      </c>
      <c r="J1174" s="7">
        <f>IFERROR(VLOOKUP(I1174,Materiales!$A:$H,8,0),"")</f>
        <v/>
      </c>
      <c r="K1174" s="9">
        <f>IFERROR(VLOOKUP(I1174,Materiales!$A:$G,7,0),"")</f>
        <v/>
      </c>
      <c r="L1174" s="8" t="inlineStr">
        <is>
          <t>20190426</t>
        </is>
      </c>
      <c r="M1174" s="8" t="inlineStr">
        <is>
          <t>20250127</t>
        </is>
      </c>
      <c r="N1174" s="10" t="n">
        <v>137.54</v>
      </c>
      <c r="O1174" s="10">
        <f>IFERROR(VLOOKUP(A1174,Flete!$A:$J,10,0),"")</f>
        <v/>
      </c>
      <c r="P1174" s="8" t="inlineStr">
        <is>
          <t>M3</t>
        </is>
      </c>
      <c r="Q1174" s="10">
        <f>IFERROR(IFERROR(VLOOKUP(A1174,TRAOPE!$A:$U,21,0),VLOOKUP(B1174,TRAOPE!$A:$U,21,0)),"")</f>
        <v/>
      </c>
      <c r="R1174" s="8">
        <f>IFERROR(IFERROR(VLOOKUP(A1174,TRAOPE!$A:$W,23,0),VLOOKUP(B1174,TRAOPE!$A:$W,23,0)),"")</f>
        <v/>
      </c>
      <c r="S1174" s="10">
        <f>IF(AND(P1174="TN",R1174="TN"),N1174+N(O1174),IF(G1174&amp;""="1",N(K1174)*N1174,(N1174+N(O1174))*N(K1174)))</f>
        <v/>
      </c>
      <c r="T1174" s="10">
        <f>IF(Q1174="","",Q1174-S1174)</f>
        <v/>
      </c>
    </row>
    <row r="1175">
      <c r="A1175" s="7">
        <f>CONCATENATE(C1175,E1175,F1175,I1175)</f>
        <v/>
      </c>
      <c r="B1175" s="7">
        <f>CONCATENATE(C1175,E1175,I1175)</f>
        <v/>
      </c>
      <c r="C1175" s="8" t="n">
        <v>900003609</v>
      </c>
      <c r="D1175" s="7">
        <f>IFERROR(VLOOKUP(C1175,TRAOPE!$G:$H,2,0),"")</f>
        <v/>
      </c>
      <c r="E1175" s="8" t="inlineStr">
        <is>
          <t>D836</t>
        </is>
      </c>
      <c r="F1175" s="8" t="inlineStr">
        <is>
          <t>65796882</t>
        </is>
      </c>
      <c r="G1175" s="8">
        <f>IFERROR(VLOOKUP(A1175,Flete!$A:$E,5,0),"")</f>
        <v/>
      </c>
      <c r="H1175" s="7">
        <f>IFERROR(VLOOKUP(F1175,TRAOPE!$AA:$AB,2,0),"")</f>
        <v/>
      </c>
      <c r="I1175" s="7" t="n">
        <v>10000624</v>
      </c>
      <c r="J1175" s="7">
        <f>IFERROR(VLOOKUP(I1175,Materiales!$A:$H,8,0),"")</f>
        <v/>
      </c>
      <c r="K1175" s="9">
        <f>IFERROR(VLOOKUP(I1175,Materiales!$A:$G,7,0),"")</f>
        <v/>
      </c>
      <c r="L1175" s="8" t="inlineStr">
        <is>
          <t>20190426</t>
        </is>
      </c>
      <c r="M1175" s="8" t="inlineStr">
        <is>
          <t>20250127</t>
        </is>
      </c>
      <c r="N1175" s="10" t="n">
        <v>145</v>
      </c>
      <c r="O1175" s="10">
        <f>IFERROR(VLOOKUP(A1175,Flete!$A:$J,10,0),"")</f>
        <v/>
      </c>
      <c r="P1175" s="8" t="inlineStr">
        <is>
          <t>M3</t>
        </is>
      </c>
      <c r="Q1175" s="10">
        <f>IFERROR(IFERROR(VLOOKUP(A1175,TRAOPE!$A:$U,21,0),VLOOKUP(B1175,TRAOPE!$A:$U,21,0)),"")</f>
        <v/>
      </c>
      <c r="R1175" s="8">
        <f>IFERROR(IFERROR(VLOOKUP(A1175,TRAOPE!$A:$W,23,0),VLOOKUP(B1175,TRAOPE!$A:$W,23,0)),"")</f>
        <v/>
      </c>
      <c r="S1175" s="10">
        <f>IF(AND(P1175="TN",R1175="TN"),N1175+N(O1175),IF(G1175&amp;""="1",N(K1175)*N1175,(N1175+N(O1175))*N(K1175)))</f>
        <v/>
      </c>
      <c r="T1175" s="10">
        <f>IF(Q1175="","",Q1175-S1175)</f>
        <v/>
      </c>
    </row>
    <row r="1176">
      <c r="A1176" s="7">
        <f>CONCATENATE(C1176,E1176,F1176,I1176)</f>
        <v/>
      </c>
      <c r="B1176" s="7">
        <f>CONCATENATE(C1176,E1176,I1176)</f>
        <v/>
      </c>
      <c r="C1176" s="8" t="n">
        <v>900003609</v>
      </c>
      <c r="D1176" s="7">
        <f>IFERROR(VLOOKUP(C1176,TRAOPE!$G:$H,2,0),"")</f>
        <v/>
      </c>
      <c r="E1176" s="8" t="inlineStr">
        <is>
          <t>D836</t>
        </is>
      </c>
      <c r="F1176" s="8" t="inlineStr">
        <is>
          <t>65796882</t>
        </is>
      </c>
      <c r="G1176" s="8">
        <f>IFERROR(VLOOKUP(A1176,Flete!$A:$E,5,0),"")</f>
        <v/>
      </c>
      <c r="H1176" s="7">
        <f>IFERROR(VLOOKUP(F1176,TRAOPE!$AA:$AB,2,0),"")</f>
        <v/>
      </c>
      <c r="I1176" s="7" t="n">
        <v>10000722</v>
      </c>
      <c r="J1176" s="7">
        <f>IFERROR(VLOOKUP(I1176,Materiales!$A:$H,8,0),"")</f>
        <v/>
      </c>
      <c r="K1176" s="9">
        <f>IFERROR(VLOOKUP(I1176,Materiales!$A:$G,7,0),"")</f>
        <v/>
      </c>
      <c r="L1176" s="8" t="inlineStr">
        <is>
          <t>20190426</t>
        </is>
      </c>
      <c r="M1176" s="8" t="inlineStr">
        <is>
          <t>20250127</t>
        </is>
      </c>
      <c r="N1176" s="10" t="n">
        <v>150</v>
      </c>
      <c r="O1176" s="10">
        <f>IFERROR(VLOOKUP(A1176,Flete!$A:$J,10,0),"")</f>
        <v/>
      </c>
      <c r="P1176" s="8" t="inlineStr">
        <is>
          <t>M3</t>
        </is>
      </c>
      <c r="Q1176" s="10">
        <f>IFERROR(IFERROR(VLOOKUP(A1176,TRAOPE!$A:$U,21,0),VLOOKUP(B1176,TRAOPE!$A:$U,21,0)),"")</f>
        <v/>
      </c>
      <c r="R1176" s="8">
        <f>IFERROR(IFERROR(VLOOKUP(A1176,TRAOPE!$A:$W,23,0),VLOOKUP(B1176,TRAOPE!$A:$W,23,0)),"")</f>
        <v/>
      </c>
      <c r="S1176" s="10">
        <f>IF(AND(P1176="TN",R1176="TN"),N1176+N(O1176),IF(G1176&amp;""="1",N(K1176)*N1176,(N1176+N(O1176))*N(K1176)))</f>
        <v/>
      </c>
      <c r="T1176" s="10">
        <f>IF(Q1176="","",Q1176-S1176)</f>
        <v/>
      </c>
    </row>
    <row r="1177">
      <c r="A1177" s="7">
        <f>CONCATENATE(C1177,E1177,F1177,I1177)</f>
        <v/>
      </c>
      <c r="B1177" s="7">
        <f>CONCATENATE(C1177,E1177,I1177)</f>
        <v/>
      </c>
      <c r="C1177" s="8" t="n">
        <v>900003609</v>
      </c>
      <c r="D1177" s="7">
        <f>IFERROR(VLOOKUP(C1177,TRAOPE!$G:$H,2,0),"")</f>
        <v/>
      </c>
      <c r="E1177" s="8" t="inlineStr">
        <is>
          <t>D836</t>
        </is>
      </c>
      <c r="F1177" s="8" t="inlineStr">
        <is>
          <t>65796882</t>
        </is>
      </c>
      <c r="G1177" s="8">
        <f>IFERROR(VLOOKUP(A1177,Flete!$A:$E,5,0),"")</f>
        <v/>
      </c>
      <c r="H1177" s="7">
        <f>IFERROR(VLOOKUP(F1177,TRAOPE!$AA:$AB,2,0),"")</f>
        <v/>
      </c>
      <c r="I1177" s="7" t="n">
        <v>10053281</v>
      </c>
      <c r="J1177" s="7">
        <f>IFERROR(VLOOKUP(I1177,Materiales!$A:$H,8,0),"")</f>
        <v/>
      </c>
      <c r="K1177" s="9">
        <f>IFERROR(VLOOKUP(I1177,Materiales!$A:$G,7,0),"")</f>
        <v/>
      </c>
      <c r="L1177" s="8" t="inlineStr">
        <is>
          <t>20190426</t>
        </is>
      </c>
      <c r="M1177" s="8" t="inlineStr">
        <is>
          <t>20250127</t>
        </is>
      </c>
      <c r="N1177" s="10" t="n">
        <v>120</v>
      </c>
      <c r="O1177" s="10">
        <f>IFERROR(VLOOKUP(A1177,Flete!$A:$J,10,0),"")</f>
        <v/>
      </c>
      <c r="P1177" s="8" t="inlineStr">
        <is>
          <t>M3</t>
        </is>
      </c>
      <c r="Q1177" s="10">
        <f>IFERROR(IFERROR(VLOOKUP(A1177,TRAOPE!$A:$U,21,0),VLOOKUP(B1177,TRAOPE!$A:$U,21,0)),"")</f>
        <v/>
      </c>
      <c r="R1177" s="8">
        <f>IFERROR(IFERROR(VLOOKUP(A1177,TRAOPE!$A:$W,23,0),VLOOKUP(B1177,TRAOPE!$A:$W,23,0)),"")</f>
        <v/>
      </c>
      <c r="S1177" s="10">
        <f>IF(AND(P1177="TN",R1177="TN"),N1177+N(O1177),IF(G1177&amp;""="1",N(K1177)*N1177,(N1177+N(O1177))*N(K1177)))</f>
        <v/>
      </c>
      <c r="T1177" s="10">
        <f>IF(Q1177="","",Q1177-S1177)</f>
        <v/>
      </c>
    </row>
    <row r="1178">
      <c r="A1178" s="7">
        <f>CONCATENATE(C1178,E1178,F1178,I1178)</f>
        <v/>
      </c>
      <c r="B1178" s="7">
        <f>CONCATENATE(C1178,E1178,I1178)</f>
        <v/>
      </c>
      <c r="C1178" s="8" t="n">
        <v>900003609</v>
      </c>
      <c r="D1178" s="7">
        <f>IFERROR(VLOOKUP(C1178,TRAOPE!$G:$H,2,0),"")</f>
        <v/>
      </c>
      <c r="E1178" s="8" t="inlineStr">
        <is>
          <t>D836</t>
        </is>
      </c>
      <c r="F1178" s="8" t="inlineStr">
        <is>
          <t>65916616</t>
        </is>
      </c>
      <c r="G1178" s="8">
        <f>IFERROR(VLOOKUP(A1178,Flete!$A:$E,5,0),"")</f>
        <v/>
      </c>
      <c r="H1178" s="7">
        <f>IFERROR(VLOOKUP(F1178,TRAOPE!$AA:$AB,2,0),"")</f>
        <v/>
      </c>
      <c r="I1178" s="7" t="n">
        <v>10000624</v>
      </c>
      <c r="J1178" s="7">
        <f>IFERROR(VLOOKUP(I1178,Materiales!$A:$H,8,0),"")</f>
        <v/>
      </c>
      <c r="K1178" s="9">
        <f>IFERROR(VLOOKUP(I1178,Materiales!$A:$G,7,0),"")</f>
        <v/>
      </c>
      <c r="L1178" s="8" t="inlineStr">
        <is>
          <t>20190426</t>
        </is>
      </c>
      <c r="M1178" s="8" t="inlineStr">
        <is>
          <t>20250127</t>
        </is>
      </c>
      <c r="N1178" s="10" t="n">
        <v>145</v>
      </c>
      <c r="O1178" s="10">
        <f>IFERROR(VLOOKUP(A1178,Flete!$A:$J,10,0),"")</f>
        <v/>
      </c>
      <c r="P1178" s="8" t="inlineStr">
        <is>
          <t>M3</t>
        </is>
      </c>
      <c r="Q1178" s="10">
        <f>IFERROR(IFERROR(VLOOKUP(A1178,TRAOPE!$A:$U,21,0),VLOOKUP(B1178,TRAOPE!$A:$U,21,0)),"")</f>
        <v/>
      </c>
      <c r="R1178" s="8">
        <f>IFERROR(IFERROR(VLOOKUP(A1178,TRAOPE!$A:$W,23,0),VLOOKUP(B1178,TRAOPE!$A:$W,23,0)),"")</f>
        <v/>
      </c>
      <c r="S1178" s="10">
        <f>IF(AND(P1178="TN",R1178="TN"),N1178+N(O1178),IF(G1178&amp;""="1",N(K1178)*N1178,(N1178+N(O1178))*N(K1178)))</f>
        <v/>
      </c>
      <c r="T1178" s="10">
        <f>IF(Q1178="","",Q1178-S1178)</f>
        <v/>
      </c>
    </row>
    <row r="1179">
      <c r="A1179" s="7">
        <f>CONCATENATE(C1179,E1179,F1179,I1179)</f>
        <v/>
      </c>
      <c r="B1179" s="7">
        <f>CONCATENATE(C1179,E1179,I1179)</f>
        <v/>
      </c>
      <c r="C1179" s="8" t="n">
        <v>900003609</v>
      </c>
      <c r="D1179" s="7">
        <f>IFERROR(VLOOKUP(C1179,TRAOPE!$G:$H,2,0),"")</f>
        <v/>
      </c>
      <c r="E1179" s="8" t="inlineStr">
        <is>
          <t>D836</t>
        </is>
      </c>
      <c r="F1179" s="8" t="inlineStr">
        <is>
          <t>65916616</t>
        </is>
      </c>
      <c r="G1179" s="8">
        <f>IFERROR(VLOOKUP(A1179,Flete!$A:$E,5,0),"")</f>
        <v/>
      </c>
      <c r="H1179" s="7">
        <f>IFERROR(VLOOKUP(F1179,TRAOPE!$AA:$AB,2,0),"")</f>
        <v/>
      </c>
      <c r="I1179" s="7" t="n">
        <v>10000722</v>
      </c>
      <c r="J1179" s="7">
        <f>IFERROR(VLOOKUP(I1179,Materiales!$A:$H,8,0),"")</f>
        <v/>
      </c>
      <c r="K1179" s="9">
        <f>IFERROR(VLOOKUP(I1179,Materiales!$A:$G,7,0),"")</f>
        <v/>
      </c>
      <c r="L1179" s="8" t="inlineStr">
        <is>
          <t>20190426</t>
        </is>
      </c>
      <c r="M1179" s="8" t="inlineStr">
        <is>
          <t>20250127</t>
        </is>
      </c>
      <c r="N1179" s="10" t="n">
        <v>150</v>
      </c>
      <c r="O1179" s="10">
        <f>IFERROR(VLOOKUP(A1179,Flete!$A:$J,10,0),"")</f>
        <v/>
      </c>
      <c r="P1179" s="8" t="inlineStr">
        <is>
          <t>M3</t>
        </is>
      </c>
      <c r="Q1179" s="10">
        <f>IFERROR(IFERROR(VLOOKUP(A1179,TRAOPE!$A:$U,21,0),VLOOKUP(B1179,TRAOPE!$A:$U,21,0)),"")</f>
        <v/>
      </c>
      <c r="R1179" s="8">
        <f>IFERROR(IFERROR(VLOOKUP(A1179,TRAOPE!$A:$W,23,0),VLOOKUP(B1179,TRAOPE!$A:$W,23,0)),"")</f>
        <v/>
      </c>
      <c r="S1179" s="10">
        <f>IF(AND(P1179="TN",R1179="TN"),N1179+N(O1179),IF(G1179&amp;""="1",N(K1179)*N1179,(N1179+N(O1179))*N(K1179)))</f>
        <v/>
      </c>
      <c r="T1179" s="10">
        <f>IF(Q1179="","",Q1179-S1179)</f>
        <v/>
      </c>
    </row>
    <row r="1180">
      <c r="A1180" s="7">
        <f>CONCATENATE(C1180,E1180,F1180,I1180)</f>
        <v/>
      </c>
      <c r="B1180" s="7">
        <f>CONCATENATE(C1180,E1180,I1180)</f>
        <v/>
      </c>
      <c r="C1180" s="8" t="n">
        <v>900003609</v>
      </c>
      <c r="D1180" s="7">
        <f>IFERROR(VLOOKUP(C1180,TRAOPE!$G:$H,2,0),"")</f>
        <v/>
      </c>
      <c r="E1180" s="8" t="inlineStr">
        <is>
          <t>D836</t>
        </is>
      </c>
      <c r="F1180" s="8" t="inlineStr">
        <is>
          <t>66167552</t>
        </is>
      </c>
      <c r="G1180" s="8">
        <f>IFERROR(VLOOKUP(A1180,Flete!$A:$E,5,0),"")</f>
        <v/>
      </c>
      <c r="H1180" s="7">
        <f>IFERROR(VLOOKUP(F1180,TRAOPE!$AA:$AB,2,0),"")</f>
        <v/>
      </c>
      <c r="I1180" s="7" t="n">
        <v>10053281</v>
      </c>
      <c r="J1180" s="7">
        <f>IFERROR(VLOOKUP(I1180,Materiales!$A:$H,8,0),"")</f>
        <v/>
      </c>
      <c r="K1180" s="9">
        <f>IFERROR(VLOOKUP(I1180,Materiales!$A:$G,7,0),"")</f>
        <v/>
      </c>
      <c r="L1180" s="8" t="inlineStr">
        <is>
          <t>20190426</t>
        </is>
      </c>
      <c r="M1180" s="8" t="inlineStr">
        <is>
          <t>20250127</t>
        </is>
      </c>
      <c r="N1180" s="10" t="n">
        <v>134.55</v>
      </c>
      <c r="O1180" s="10">
        <f>IFERROR(VLOOKUP(A1180,Flete!$A:$J,10,0),"")</f>
        <v/>
      </c>
      <c r="P1180" s="8" t="inlineStr">
        <is>
          <t>M3</t>
        </is>
      </c>
      <c r="Q1180" s="10">
        <f>IFERROR(IFERROR(VLOOKUP(A1180,TRAOPE!$A:$U,21,0),VLOOKUP(B1180,TRAOPE!$A:$U,21,0)),"")</f>
        <v/>
      </c>
      <c r="R1180" s="8">
        <f>IFERROR(IFERROR(VLOOKUP(A1180,TRAOPE!$A:$W,23,0),VLOOKUP(B1180,TRAOPE!$A:$W,23,0)),"")</f>
        <v/>
      </c>
      <c r="S1180" s="10">
        <f>IF(AND(P1180="TN",R1180="TN"),N1180+N(O1180),IF(G1180&amp;""="1",N(K1180)*N1180,(N1180+N(O1180))*N(K1180)))</f>
        <v/>
      </c>
      <c r="T1180" s="10">
        <f>IF(Q1180="","",Q1180-S1180)</f>
        <v/>
      </c>
    </row>
    <row r="1181">
      <c r="A1181" s="7">
        <f>CONCATENATE(C1181,E1181,F1181,I1181)</f>
        <v/>
      </c>
      <c r="B1181" s="7">
        <f>CONCATENATE(C1181,E1181,I1181)</f>
        <v/>
      </c>
      <c r="C1181" s="8" t="n">
        <v>900003609</v>
      </c>
      <c r="D1181" s="7">
        <f>IFERROR(VLOOKUP(C1181,TRAOPE!$G:$H,2,0),"")</f>
        <v/>
      </c>
      <c r="E1181" s="8" t="inlineStr">
        <is>
          <t>D836</t>
        </is>
      </c>
      <c r="F1181" s="8" t="inlineStr">
        <is>
          <t>66230098</t>
        </is>
      </c>
      <c r="G1181" s="8">
        <f>IFERROR(VLOOKUP(A1181,Flete!$A:$E,5,0),"")</f>
        <v/>
      </c>
      <c r="H1181" s="7">
        <f>IFERROR(VLOOKUP(F1181,TRAOPE!$AA:$AB,2,0),"")</f>
        <v/>
      </c>
      <c r="I1181" s="7" t="n">
        <v>10000624</v>
      </c>
      <c r="J1181" s="7">
        <f>IFERROR(VLOOKUP(I1181,Materiales!$A:$H,8,0),"")</f>
        <v/>
      </c>
      <c r="K1181" s="9">
        <f>IFERROR(VLOOKUP(I1181,Materiales!$A:$G,7,0),"")</f>
        <v/>
      </c>
      <c r="L1181" s="8" t="inlineStr">
        <is>
          <t>20190426</t>
        </is>
      </c>
      <c r="M1181" s="8" t="inlineStr">
        <is>
          <t>20250127</t>
        </is>
      </c>
      <c r="N1181" s="10" t="n">
        <v>145</v>
      </c>
      <c r="O1181" s="10">
        <f>IFERROR(VLOOKUP(A1181,Flete!$A:$J,10,0),"")</f>
        <v/>
      </c>
      <c r="P1181" s="8" t="inlineStr">
        <is>
          <t>M3</t>
        </is>
      </c>
      <c r="Q1181" s="10">
        <f>IFERROR(IFERROR(VLOOKUP(A1181,TRAOPE!$A:$U,21,0),VLOOKUP(B1181,TRAOPE!$A:$U,21,0)),"")</f>
        <v/>
      </c>
      <c r="R1181" s="8">
        <f>IFERROR(IFERROR(VLOOKUP(A1181,TRAOPE!$A:$W,23,0),VLOOKUP(B1181,TRAOPE!$A:$W,23,0)),"")</f>
        <v/>
      </c>
      <c r="S1181" s="10">
        <f>IF(AND(P1181="TN",R1181="TN"),N1181+N(O1181),IF(G1181&amp;""="1",N(K1181)*N1181,(N1181+N(O1181))*N(K1181)))</f>
        <v/>
      </c>
      <c r="T1181" s="10">
        <f>IF(Q1181="","",Q1181-S1181)</f>
        <v/>
      </c>
    </row>
    <row r="1182">
      <c r="A1182" s="7">
        <f>CONCATENATE(C1182,E1182,F1182,I1182)</f>
        <v/>
      </c>
      <c r="B1182" s="7">
        <f>CONCATENATE(C1182,E1182,I1182)</f>
        <v/>
      </c>
      <c r="C1182" s="8" t="n">
        <v>900003609</v>
      </c>
      <c r="D1182" s="7">
        <f>IFERROR(VLOOKUP(C1182,TRAOPE!$G:$H,2,0),"")</f>
        <v/>
      </c>
      <c r="E1182" s="8" t="inlineStr">
        <is>
          <t>D836</t>
        </is>
      </c>
      <c r="F1182" s="8" t="inlineStr">
        <is>
          <t>66230098</t>
        </is>
      </c>
      <c r="G1182" s="8">
        <f>IFERROR(VLOOKUP(A1182,Flete!$A:$E,5,0),"")</f>
        <v/>
      </c>
      <c r="H1182" s="7">
        <f>IFERROR(VLOOKUP(F1182,TRAOPE!$AA:$AB,2,0),"")</f>
        <v/>
      </c>
      <c r="I1182" s="7" t="n">
        <v>10000722</v>
      </c>
      <c r="J1182" s="7">
        <f>IFERROR(VLOOKUP(I1182,Materiales!$A:$H,8,0),"")</f>
        <v/>
      </c>
      <c r="K1182" s="9">
        <f>IFERROR(VLOOKUP(I1182,Materiales!$A:$G,7,0),"")</f>
        <v/>
      </c>
      <c r="L1182" s="8" t="inlineStr">
        <is>
          <t>20190426</t>
        </is>
      </c>
      <c r="M1182" s="8" t="inlineStr">
        <is>
          <t>20250127</t>
        </is>
      </c>
      <c r="N1182" s="10" t="n">
        <v>150</v>
      </c>
      <c r="O1182" s="10">
        <f>IFERROR(VLOOKUP(A1182,Flete!$A:$J,10,0),"")</f>
        <v/>
      </c>
      <c r="P1182" s="8" t="inlineStr">
        <is>
          <t>M3</t>
        </is>
      </c>
      <c r="Q1182" s="10">
        <f>IFERROR(IFERROR(VLOOKUP(A1182,TRAOPE!$A:$U,21,0),VLOOKUP(B1182,TRAOPE!$A:$U,21,0)),"")</f>
        <v/>
      </c>
      <c r="R1182" s="8">
        <f>IFERROR(IFERROR(VLOOKUP(A1182,TRAOPE!$A:$W,23,0),VLOOKUP(B1182,TRAOPE!$A:$W,23,0)),"")</f>
        <v/>
      </c>
      <c r="S1182" s="10">
        <f>IF(AND(P1182="TN",R1182="TN"),N1182+N(O1182),IF(G1182&amp;""="1",N(K1182)*N1182,(N1182+N(O1182))*N(K1182)))</f>
        <v/>
      </c>
      <c r="T1182" s="10">
        <f>IF(Q1182="","",Q1182-S1182)</f>
        <v/>
      </c>
    </row>
    <row r="1183">
      <c r="A1183" s="7">
        <f>CONCATENATE(C1183,E1183,F1183,I1183)</f>
        <v/>
      </c>
      <c r="B1183" s="7">
        <f>CONCATENATE(C1183,E1183,I1183)</f>
        <v/>
      </c>
      <c r="C1183" s="8" t="n">
        <v>900003609</v>
      </c>
      <c r="D1183" s="7">
        <f>IFERROR(VLOOKUP(C1183,TRAOPE!$G:$H,2,0),"")</f>
        <v/>
      </c>
      <c r="E1183" s="8" t="inlineStr">
        <is>
          <t>D836</t>
        </is>
      </c>
      <c r="F1183" s="8" t="inlineStr">
        <is>
          <t>66230098</t>
        </is>
      </c>
      <c r="G1183" s="8">
        <f>IFERROR(VLOOKUP(A1183,Flete!$A:$E,5,0),"")</f>
        <v/>
      </c>
      <c r="H1183" s="7">
        <f>IFERROR(VLOOKUP(F1183,TRAOPE!$AA:$AB,2,0),"")</f>
        <v/>
      </c>
      <c r="I1183" s="7" t="n">
        <v>10053281</v>
      </c>
      <c r="J1183" s="7">
        <f>IFERROR(VLOOKUP(I1183,Materiales!$A:$H,8,0),"")</f>
        <v/>
      </c>
      <c r="K1183" s="9">
        <f>IFERROR(VLOOKUP(I1183,Materiales!$A:$G,7,0),"")</f>
        <v/>
      </c>
      <c r="L1183" s="8" t="inlineStr">
        <is>
          <t>20190426</t>
        </is>
      </c>
      <c r="M1183" s="8" t="inlineStr">
        <is>
          <t>20250127</t>
        </is>
      </c>
      <c r="N1183" s="10" t="n">
        <v>120</v>
      </c>
      <c r="O1183" s="10">
        <f>IFERROR(VLOOKUP(A1183,Flete!$A:$J,10,0),"")</f>
        <v/>
      </c>
      <c r="P1183" s="8" t="inlineStr">
        <is>
          <t>M3</t>
        </is>
      </c>
      <c r="Q1183" s="10">
        <f>IFERROR(IFERROR(VLOOKUP(A1183,TRAOPE!$A:$U,21,0),VLOOKUP(B1183,TRAOPE!$A:$U,21,0)),"")</f>
        <v/>
      </c>
      <c r="R1183" s="8">
        <f>IFERROR(IFERROR(VLOOKUP(A1183,TRAOPE!$A:$W,23,0),VLOOKUP(B1183,TRAOPE!$A:$W,23,0)),"")</f>
        <v/>
      </c>
      <c r="S1183" s="10">
        <f>IF(AND(P1183="TN",R1183="TN"),N1183+N(O1183),IF(G1183&amp;""="1",N(K1183)*N1183,(N1183+N(O1183))*N(K1183)))</f>
        <v/>
      </c>
      <c r="T1183" s="10">
        <f>IF(Q1183="","",Q1183-S1183)</f>
        <v/>
      </c>
    </row>
    <row r="1184">
      <c r="A1184" s="7">
        <f>CONCATENATE(C1184,E1184,F1184,I1184)</f>
        <v/>
      </c>
      <c r="B1184" s="7">
        <f>CONCATENATE(C1184,E1184,I1184)</f>
        <v/>
      </c>
      <c r="C1184" s="8" t="n">
        <v>900003609</v>
      </c>
      <c r="D1184" s="7">
        <f>IFERROR(VLOOKUP(C1184,TRAOPE!$G:$H,2,0),"")</f>
        <v/>
      </c>
      <c r="E1184" s="8" t="inlineStr">
        <is>
          <t>D836</t>
        </is>
      </c>
      <c r="F1184" s="8" t="inlineStr">
        <is>
          <t>66233244</t>
        </is>
      </c>
      <c r="G1184" s="8">
        <f>IFERROR(VLOOKUP(A1184,Flete!$A:$E,5,0),"")</f>
        <v/>
      </c>
      <c r="H1184" s="7">
        <f>IFERROR(VLOOKUP(F1184,TRAOPE!$AA:$AB,2,0),"")</f>
        <v/>
      </c>
      <c r="I1184" s="7" t="n">
        <v>10053281</v>
      </c>
      <c r="J1184" s="7">
        <f>IFERROR(VLOOKUP(I1184,Materiales!$A:$H,8,0),"")</f>
        <v/>
      </c>
      <c r="K1184" s="9">
        <f>IFERROR(VLOOKUP(I1184,Materiales!$A:$G,7,0),"")</f>
        <v/>
      </c>
      <c r="L1184" s="8" t="inlineStr">
        <is>
          <t>20190426</t>
        </is>
      </c>
      <c r="M1184" s="8" t="inlineStr">
        <is>
          <t>20250127</t>
        </is>
      </c>
      <c r="N1184" s="10" t="n">
        <v>142.8</v>
      </c>
      <c r="O1184" s="10">
        <f>IFERROR(VLOOKUP(A1184,Flete!$A:$J,10,0),"")</f>
        <v/>
      </c>
      <c r="P1184" s="8" t="inlineStr">
        <is>
          <t>M3</t>
        </is>
      </c>
      <c r="Q1184" s="10">
        <f>IFERROR(IFERROR(VLOOKUP(A1184,TRAOPE!$A:$U,21,0),VLOOKUP(B1184,TRAOPE!$A:$U,21,0)),"")</f>
        <v/>
      </c>
      <c r="R1184" s="8">
        <f>IFERROR(IFERROR(VLOOKUP(A1184,TRAOPE!$A:$W,23,0),VLOOKUP(B1184,TRAOPE!$A:$W,23,0)),"")</f>
        <v/>
      </c>
      <c r="S1184" s="10">
        <f>IF(AND(P1184="TN",R1184="TN"),N1184+N(O1184),IF(G1184&amp;""="1",N(K1184)*N1184,(N1184+N(O1184))*N(K1184)))</f>
        <v/>
      </c>
      <c r="T1184" s="10">
        <f>IF(Q1184="","",Q1184-S1184)</f>
        <v/>
      </c>
    </row>
    <row r="1185">
      <c r="A1185" s="7">
        <f>CONCATENATE(C1185,E1185,F1185,I1185)</f>
        <v/>
      </c>
      <c r="B1185" s="7">
        <f>CONCATENATE(C1185,E1185,I1185)</f>
        <v/>
      </c>
      <c r="C1185" s="8" t="n">
        <v>900003609</v>
      </c>
      <c r="D1185" s="7">
        <f>IFERROR(VLOOKUP(C1185,TRAOPE!$G:$H,2,0),"")</f>
        <v/>
      </c>
      <c r="E1185" s="8" t="inlineStr">
        <is>
          <t>D836</t>
        </is>
      </c>
      <c r="F1185" s="8" t="inlineStr">
        <is>
          <t>66237142</t>
        </is>
      </c>
      <c r="G1185" s="8">
        <f>IFERROR(VLOOKUP(A1185,Flete!$A:$E,5,0),"")</f>
        <v/>
      </c>
      <c r="H1185" s="7">
        <f>IFERROR(VLOOKUP(F1185,TRAOPE!$AA:$AB,2,0),"")</f>
        <v/>
      </c>
      <c r="I1185" s="7" t="n">
        <v>10000811</v>
      </c>
      <c r="J1185" s="7">
        <f>IFERROR(VLOOKUP(I1185,Materiales!$A:$H,8,0),"")</f>
        <v/>
      </c>
      <c r="K1185" s="9">
        <f>IFERROR(VLOOKUP(I1185,Materiales!$A:$G,7,0),"")</f>
        <v/>
      </c>
      <c r="L1185" s="8" t="inlineStr">
        <is>
          <t>20190426</t>
        </is>
      </c>
      <c r="M1185" s="8" t="inlineStr">
        <is>
          <t>20250127</t>
        </is>
      </c>
      <c r="N1185" s="10" t="n">
        <v>138</v>
      </c>
      <c r="O1185" s="10">
        <f>IFERROR(VLOOKUP(A1185,Flete!$A:$J,10,0),"")</f>
        <v/>
      </c>
      <c r="P1185" s="8" t="inlineStr">
        <is>
          <t>M3</t>
        </is>
      </c>
      <c r="Q1185" s="10">
        <f>IFERROR(IFERROR(VLOOKUP(A1185,TRAOPE!$A:$U,21,0),VLOOKUP(B1185,TRAOPE!$A:$U,21,0)),"")</f>
        <v/>
      </c>
      <c r="R1185" s="8">
        <f>IFERROR(IFERROR(VLOOKUP(A1185,TRAOPE!$A:$W,23,0),VLOOKUP(B1185,TRAOPE!$A:$W,23,0)),"")</f>
        <v/>
      </c>
      <c r="S1185" s="10">
        <f>IF(AND(P1185="TN",R1185="TN"),N1185+N(O1185),IF(G1185&amp;""="1",N(K1185)*N1185,(N1185+N(O1185))*N(K1185)))</f>
        <v/>
      </c>
      <c r="T1185" s="10">
        <f>IF(Q1185="","",Q1185-S1185)</f>
        <v/>
      </c>
    </row>
    <row r="1186">
      <c r="A1186" s="7">
        <f>CONCATENATE(C1186,E1186,F1186,I1186)</f>
        <v/>
      </c>
      <c r="B1186" s="7">
        <f>CONCATENATE(C1186,E1186,I1186)</f>
        <v/>
      </c>
      <c r="C1186" s="8" t="n">
        <v>900003609</v>
      </c>
      <c r="D1186" s="7">
        <f>IFERROR(VLOOKUP(C1186,TRAOPE!$G:$H,2,0),"")</f>
        <v/>
      </c>
      <c r="E1186" s="8" t="inlineStr">
        <is>
          <t>D836</t>
        </is>
      </c>
      <c r="F1186" s="8" t="inlineStr">
        <is>
          <t>66239560</t>
        </is>
      </c>
      <c r="G1186" s="8">
        <f>IFERROR(VLOOKUP(A1186,Flete!$A:$E,5,0),"")</f>
        <v/>
      </c>
      <c r="H1186" s="7">
        <f>IFERROR(VLOOKUP(F1186,TRAOPE!$AA:$AB,2,0),"")</f>
        <v/>
      </c>
      <c r="I1186" s="7" t="n">
        <v>10000624</v>
      </c>
      <c r="J1186" s="7">
        <f>IFERROR(VLOOKUP(I1186,Materiales!$A:$H,8,0),"")</f>
        <v/>
      </c>
      <c r="K1186" s="9">
        <f>IFERROR(VLOOKUP(I1186,Materiales!$A:$G,7,0),"")</f>
        <v/>
      </c>
      <c r="L1186" s="8" t="inlineStr">
        <is>
          <t>20190426</t>
        </is>
      </c>
      <c r="M1186" s="8" t="inlineStr">
        <is>
          <t>20250127</t>
        </is>
      </c>
      <c r="N1186" s="10" t="n">
        <v>142</v>
      </c>
      <c r="O1186" s="10">
        <f>IFERROR(VLOOKUP(A1186,Flete!$A:$J,10,0),"")</f>
        <v/>
      </c>
      <c r="P1186" s="8" t="inlineStr">
        <is>
          <t>M3</t>
        </is>
      </c>
      <c r="Q1186" s="10">
        <f>IFERROR(IFERROR(VLOOKUP(A1186,TRAOPE!$A:$U,21,0),VLOOKUP(B1186,TRAOPE!$A:$U,21,0)),"")</f>
        <v/>
      </c>
      <c r="R1186" s="8">
        <f>IFERROR(IFERROR(VLOOKUP(A1186,TRAOPE!$A:$W,23,0),VLOOKUP(B1186,TRAOPE!$A:$W,23,0)),"")</f>
        <v/>
      </c>
      <c r="S1186" s="10">
        <f>IF(AND(P1186="TN",R1186="TN"),N1186+N(O1186),IF(G1186&amp;""="1",N(K1186)*N1186,(N1186+N(O1186))*N(K1186)))</f>
        <v/>
      </c>
      <c r="T1186" s="10">
        <f>IF(Q1186="","",Q1186-S1186)</f>
        <v/>
      </c>
    </row>
    <row r="1187">
      <c r="A1187" s="7">
        <f>CONCATENATE(C1187,E1187,F1187,I1187)</f>
        <v/>
      </c>
      <c r="B1187" s="7">
        <f>CONCATENATE(C1187,E1187,I1187)</f>
        <v/>
      </c>
      <c r="C1187" s="8" t="n">
        <v>900003609</v>
      </c>
      <c r="D1187" s="7">
        <f>IFERROR(VLOOKUP(C1187,TRAOPE!$G:$H,2,0),"")</f>
        <v/>
      </c>
      <c r="E1187" s="8" t="inlineStr">
        <is>
          <t>D836</t>
        </is>
      </c>
      <c r="F1187" s="8" t="inlineStr">
        <is>
          <t>66239560</t>
        </is>
      </c>
      <c r="G1187" s="8">
        <f>IFERROR(VLOOKUP(A1187,Flete!$A:$E,5,0),"")</f>
        <v/>
      </c>
      <c r="H1187" s="7">
        <f>IFERROR(VLOOKUP(F1187,TRAOPE!$AA:$AB,2,0),"")</f>
        <v/>
      </c>
      <c r="I1187" s="7" t="n">
        <v>10000625</v>
      </c>
      <c r="J1187" s="7">
        <f>IFERROR(VLOOKUP(I1187,Materiales!$A:$H,8,0),"")</f>
        <v/>
      </c>
      <c r="K1187" s="9">
        <f>IFERROR(VLOOKUP(I1187,Materiales!$A:$G,7,0),"")</f>
        <v/>
      </c>
      <c r="L1187" s="8" t="inlineStr">
        <is>
          <t>20190426</t>
        </is>
      </c>
      <c r="M1187" s="8" t="inlineStr">
        <is>
          <t>20250127</t>
        </is>
      </c>
      <c r="N1187" s="10" t="n">
        <v>102</v>
      </c>
      <c r="O1187" s="10">
        <f>IFERROR(VLOOKUP(A1187,Flete!$A:$J,10,0),"")</f>
        <v/>
      </c>
      <c r="P1187" s="8" t="inlineStr">
        <is>
          <t>M3</t>
        </is>
      </c>
      <c r="Q1187" s="10">
        <f>IFERROR(IFERROR(VLOOKUP(A1187,TRAOPE!$A:$U,21,0),VLOOKUP(B1187,TRAOPE!$A:$U,21,0)),"")</f>
        <v/>
      </c>
      <c r="R1187" s="8">
        <f>IFERROR(IFERROR(VLOOKUP(A1187,TRAOPE!$A:$W,23,0),VLOOKUP(B1187,TRAOPE!$A:$W,23,0)),"")</f>
        <v/>
      </c>
      <c r="S1187" s="10">
        <f>IF(AND(P1187="TN",R1187="TN"),N1187+N(O1187),IF(G1187&amp;""="1",N(K1187)*N1187,(N1187+N(O1187))*N(K1187)))</f>
        <v/>
      </c>
      <c r="T1187" s="10">
        <f>IF(Q1187="","",Q1187-S1187)</f>
        <v/>
      </c>
    </row>
    <row r="1188">
      <c r="A1188" s="7">
        <f>CONCATENATE(C1188,E1188,F1188,I1188)</f>
        <v/>
      </c>
      <c r="B1188" s="7">
        <f>CONCATENATE(C1188,E1188,I1188)</f>
        <v/>
      </c>
      <c r="C1188" s="8" t="n">
        <v>900003609</v>
      </c>
      <c r="D1188" s="7">
        <f>IFERROR(VLOOKUP(C1188,TRAOPE!$G:$H,2,0),"")</f>
        <v/>
      </c>
      <c r="E1188" s="8" t="inlineStr">
        <is>
          <t>D836</t>
        </is>
      </c>
      <c r="F1188" s="8" t="inlineStr">
        <is>
          <t>66239560</t>
        </is>
      </c>
      <c r="G1188" s="8">
        <f>IFERROR(VLOOKUP(A1188,Flete!$A:$E,5,0),"")</f>
        <v/>
      </c>
      <c r="H1188" s="7">
        <f>IFERROR(VLOOKUP(F1188,TRAOPE!$AA:$AB,2,0),"")</f>
        <v/>
      </c>
      <c r="I1188" s="7" t="n">
        <v>10000811</v>
      </c>
      <c r="J1188" s="7">
        <f>IFERROR(VLOOKUP(I1188,Materiales!$A:$H,8,0),"")</f>
        <v/>
      </c>
      <c r="K1188" s="9">
        <f>IFERROR(VLOOKUP(I1188,Materiales!$A:$G,7,0),"")</f>
        <v/>
      </c>
      <c r="L1188" s="8" t="inlineStr">
        <is>
          <t>20190426</t>
        </is>
      </c>
      <c r="M1188" s="8" t="inlineStr">
        <is>
          <t>20250127</t>
        </is>
      </c>
      <c r="N1188" s="10" t="n">
        <v>146</v>
      </c>
      <c r="O1188" s="10">
        <f>IFERROR(VLOOKUP(A1188,Flete!$A:$J,10,0),"")</f>
        <v/>
      </c>
      <c r="P1188" s="8" t="inlineStr">
        <is>
          <t>M3</t>
        </is>
      </c>
      <c r="Q1188" s="10">
        <f>IFERROR(IFERROR(VLOOKUP(A1188,TRAOPE!$A:$U,21,0),VLOOKUP(B1188,TRAOPE!$A:$U,21,0)),"")</f>
        <v/>
      </c>
      <c r="R1188" s="8">
        <f>IFERROR(IFERROR(VLOOKUP(A1188,TRAOPE!$A:$W,23,0),VLOOKUP(B1188,TRAOPE!$A:$W,23,0)),"")</f>
        <v/>
      </c>
      <c r="S1188" s="10">
        <f>IF(AND(P1188="TN",R1188="TN"),N1188+N(O1188),IF(G1188&amp;""="1",N(K1188)*N1188,(N1188+N(O1188))*N(K1188)))</f>
        <v/>
      </c>
      <c r="T1188" s="10">
        <f>IF(Q1188="","",Q1188-S1188)</f>
        <v/>
      </c>
    </row>
    <row r="1189">
      <c r="A1189" s="7">
        <f>CONCATENATE(C1189,E1189,F1189,I1189)</f>
        <v/>
      </c>
      <c r="B1189" s="7">
        <f>CONCATENATE(C1189,E1189,I1189)</f>
        <v/>
      </c>
      <c r="C1189" s="8" t="n">
        <v>900003609</v>
      </c>
      <c r="D1189" s="7">
        <f>IFERROR(VLOOKUP(C1189,TRAOPE!$G:$H,2,0),"")</f>
        <v/>
      </c>
      <c r="E1189" s="8" t="inlineStr">
        <is>
          <t>D836</t>
        </is>
      </c>
      <c r="F1189" s="8" t="inlineStr">
        <is>
          <t>66239561</t>
        </is>
      </c>
      <c r="G1189" s="8">
        <f>IFERROR(VLOOKUP(A1189,Flete!$A:$E,5,0),"")</f>
        <v/>
      </c>
      <c r="H1189" s="7">
        <f>IFERROR(VLOOKUP(F1189,TRAOPE!$AA:$AB,2,0),"")</f>
        <v/>
      </c>
      <c r="I1189" s="7" t="n">
        <v>10000624</v>
      </c>
      <c r="J1189" s="7">
        <f>IFERROR(VLOOKUP(I1189,Materiales!$A:$H,8,0),"")</f>
        <v/>
      </c>
      <c r="K1189" s="9">
        <f>IFERROR(VLOOKUP(I1189,Materiales!$A:$G,7,0),"")</f>
        <v/>
      </c>
      <c r="L1189" s="8" t="inlineStr">
        <is>
          <t>20190426</t>
        </is>
      </c>
      <c r="M1189" s="8" t="inlineStr">
        <is>
          <t>20250127</t>
        </is>
      </c>
      <c r="N1189" s="10" t="n">
        <v>142</v>
      </c>
      <c r="O1189" s="10">
        <f>IFERROR(VLOOKUP(A1189,Flete!$A:$J,10,0),"")</f>
        <v/>
      </c>
      <c r="P1189" s="8" t="inlineStr">
        <is>
          <t>M3</t>
        </is>
      </c>
      <c r="Q1189" s="10">
        <f>IFERROR(IFERROR(VLOOKUP(A1189,TRAOPE!$A:$U,21,0),VLOOKUP(B1189,TRAOPE!$A:$U,21,0)),"")</f>
        <v/>
      </c>
      <c r="R1189" s="8">
        <f>IFERROR(IFERROR(VLOOKUP(A1189,TRAOPE!$A:$W,23,0),VLOOKUP(B1189,TRAOPE!$A:$W,23,0)),"")</f>
        <v/>
      </c>
      <c r="S1189" s="10">
        <f>IF(AND(P1189="TN",R1189="TN"),N1189+N(O1189),IF(G1189&amp;""="1",N(K1189)*N1189,(N1189+N(O1189))*N(K1189)))</f>
        <v/>
      </c>
      <c r="T1189" s="10">
        <f>IF(Q1189="","",Q1189-S1189)</f>
        <v/>
      </c>
    </row>
    <row r="1190">
      <c r="A1190" s="7">
        <f>CONCATENATE(C1190,E1190,F1190,I1190)</f>
        <v/>
      </c>
      <c r="B1190" s="7">
        <f>CONCATENATE(C1190,E1190,I1190)</f>
        <v/>
      </c>
      <c r="C1190" s="8" t="n">
        <v>900003609</v>
      </c>
      <c r="D1190" s="7">
        <f>IFERROR(VLOOKUP(C1190,TRAOPE!$G:$H,2,0),"")</f>
        <v/>
      </c>
      <c r="E1190" s="8" t="inlineStr">
        <is>
          <t>D836</t>
        </is>
      </c>
      <c r="F1190" s="8" t="inlineStr">
        <is>
          <t>66239561</t>
        </is>
      </c>
      <c r="G1190" s="8">
        <f>IFERROR(VLOOKUP(A1190,Flete!$A:$E,5,0),"")</f>
        <v/>
      </c>
      <c r="H1190" s="7">
        <f>IFERROR(VLOOKUP(F1190,TRAOPE!$AA:$AB,2,0),"")</f>
        <v/>
      </c>
      <c r="I1190" s="7" t="n">
        <v>10000811</v>
      </c>
      <c r="J1190" s="7">
        <f>IFERROR(VLOOKUP(I1190,Materiales!$A:$H,8,0),"")</f>
        <v/>
      </c>
      <c r="K1190" s="9">
        <f>IFERROR(VLOOKUP(I1190,Materiales!$A:$G,7,0),"")</f>
        <v/>
      </c>
      <c r="L1190" s="8" t="inlineStr">
        <is>
          <t>20190426</t>
        </is>
      </c>
      <c r="M1190" s="8" t="inlineStr">
        <is>
          <t>20250127</t>
        </is>
      </c>
      <c r="N1190" s="10" t="n">
        <v>146</v>
      </c>
      <c r="O1190" s="10">
        <f>IFERROR(VLOOKUP(A1190,Flete!$A:$J,10,0),"")</f>
        <v/>
      </c>
      <c r="P1190" s="8" t="inlineStr">
        <is>
          <t>M3</t>
        </is>
      </c>
      <c r="Q1190" s="10">
        <f>IFERROR(IFERROR(VLOOKUP(A1190,TRAOPE!$A:$U,21,0),VLOOKUP(B1190,TRAOPE!$A:$U,21,0)),"")</f>
        <v/>
      </c>
      <c r="R1190" s="8">
        <f>IFERROR(IFERROR(VLOOKUP(A1190,TRAOPE!$A:$W,23,0),VLOOKUP(B1190,TRAOPE!$A:$W,23,0)),"")</f>
        <v/>
      </c>
      <c r="S1190" s="10">
        <f>IF(AND(P1190="TN",R1190="TN"),N1190+N(O1190),IF(G1190&amp;""="1",N(K1190)*N1190,(N1190+N(O1190))*N(K1190)))</f>
        <v/>
      </c>
      <c r="T1190" s="10">
        <f>IF(Q1190="","",Q1190-S1190)</f>
        <v/>
      </c>
    </row>
    <row r="1191">
      <c r="A1191" s="7">
        <f>CONCATENATE(C1191,E1191,F1191,I1191)</f>
        <v/>
      </c>
      <c r="B1191" s="7">
        <f>CONCATENATE(C1191,E1191,I1191)</f>
        <v/>
      </c>
      <c r="C1191" s="8" t="n">
        <v>900003609</v>
      </c>
      <c r="D1191" s="7">
        <f>IFERROR(VLOOKUP(C1191,TRAOPE!$G:$H,2,0),"")</f>
        <v/>
      </c>
      <c r="E1191" s="8" t="inlineStr">
        <is>
          <t>D836</t>
        </is>
      </c>
      <c r="F1191" s="8" t="inlineStr">
        <is>
          <t>66239598</t>
        </is>
      </c>
      <c r="G1191" s="8">
        <f>IFERROR(VLOOKUP(A1191,Flete!$A:$E,5,0),"")</f>
        <v/>
      </c>
      <c r="H1191" s="7">
        <f>IFERROR(VLOOKUP(F1191,TRAOPE!$AA:$AB,2,0),"")</f>
        <v/>
      </c>
      <c r="I1191" s="7" t="n">
        <v>10000624</v>
      </c>
      <c r="J1191" s="7">
        <f>IFERROR(VLOOKUP(I1191,Materiales!$A:$H,8,0),"")</f>
        <v/>
      </c>
      <c r="K1191" s="9">
        <f>IFERROR(VLOOKUP(I1191,Materiales!$A:$G,7,0),"")</f>
        <v/>
      </c>
      <c r="L1191" s="8" t="inlineStr">
        <is>
          <t>20190426</t>
        </is>
      </c>
      <c r="M1191" s="8" t="inlineStr">
        <is>
          <t>20250127</t>
        </is>
      </c>
      <c r="N1191" s="10" t="n">
        <v>142</v>
      </c>
      <c r="O1191" s="10">
        <f>IFERROR(VLOOKUP(A1191,Flete!$A:$J,10,0),"")</f>
        <v/>
      </c>
      <c r="P1191" s="8" t="inlineStr">
        <is>
          <t>M3</t>
        </is>
      </c>
      <c r="Q1191" s="10">
        <f>IFERROR(IFERROR(VLOOKUP(A1191,TRAOPE!$A:$U,21,0),VLOOKUP(B1191,TRAOPE!$A:$U,21,0)),"")</f>
        <v/>
      </c>
      <c r="R1191" s="8">
        <f>IFERROR(IFERROR(VLOOKUP(A1191,TRAOPE!$A:$W,23,0),VLOOKUP(B1191,TRAOPE!$A:$W,23,0)),"")</f>
        <v/>
      </c>
      <c r="S1191" s="10">
        <f>IF(AND(P1191="TN",R1191="TN"),N1191+N(O1191),IF(G1191&amp;""="1",N(K1191)*N1191,(N1191+N(O1191))*N(K1191)))</f>
        <v/>
      </c>
      <c r="T1191" s="10">
        <f>IF(Q1191="","",Q1191-S1191)</f>
        <v/>
      </c>
    </row>
    <row r="1192">
      <c r="A1192" s="7">
        <f>CONCATENATE(C1192,E1192,F1192,I1192)</f>
        <v/>
      </c>
      <c r="B1192" s="7">
        <f>CONCATENATE(C1192,E1192,I1192)</f>
        <v/>
      </c>
      <c r="C1192" s="8" t="n">
        <v>900003609</v>
      </c>
      <c r="D1192" s="7">
        <f>IFERROR(VLOOKUP(C1192,TRAOPE!$G:$H,2,0),"")</f>
        <v/>
      </c>
      <c r="E1192" s="8" t="inlineStr">
        <is>
          <t>D836</t>
        </is>
      </c>
      <c r="F1192" s="8" t="inlineStr">
        <is>
          <t>66239598</t>
        </is>
      </c>
      <c r="G1192" s="8">
        <f>IFERROR(VLOOKUP(A1192,Flete!$A:$E,5,0),"")</f>
        <v/>
      </c>
      <c r="H1192" s="7">
        <f>IFERROR(VLOOKUP(F1192,TRAOPE!$AA:$AB,2,0),"")</f>
        <v/>
      </c>
      <c r="I1192" s="7" t="n">
        <v>10000811</v>
      </c>
      <c r="J1192" s="7">
        <f>IFERROR(VLOOKUP(I1192,Materiales!$A:$H,8,0),"")</f>
        <v/>
      </c>
      <c r="K1192" s="9">
        <f>IFERROR(VLOOKUP(I1192,Materiales!$A:$G,7,0),"")</f>
        <v/>
      </c>
      <c r="L1192" s="8" t="inlineStr">
        <is>
          <t>20190426</t>
        </is>
      </c>
      <c r="M1192" s="8" t="inlineStr">
        <is>
          <t>20250127</t>
        </is>
      </c>
      <c r="N1192" s="10" t="n">
        <v>146</v>
      </c>
      <c r="O1192" s="10">
        <f>IFERROR(VLOOKUP(A1192,Flete!$A:$J,10,0),"")</f>
        <v/>
      </c>
      <c r="P1192" s="8" t="inlineStr">
        <is>
          <t>M3</t>
        </is>
      </c>
      <c r="Q1192" s="10">
        <f>IFERROR(IFERROR(VLOOKUP(A1192,TRAOPE!$A:$U,21,0),VLOOKUP(B1192,TRAOPE!$A:$U,21,0)),"")</f>
        <v/>
      </c>
      <c r="R1192" s="8">
        <f>IFERROR(IFERROR(VLOOKUP(A1192,TRAOPE!$A:$W,23,0),VLOOKUP(B1192,TRAOPE!$A:$W,23,0)),"")</f>
        <v/>
      </c>
      <c r="S1192" s="10">
        <f>IF(AND(P1192="TN",R1192="TN"),N1192+N(O1192),IF(G1192&amp;""="1",N(K1192)*N1192,(N1192+N(O1192))*N(K1192)))</f>
        <v/>
      </c>
      <c r="T1192" s="10">
        <f>IF(Q1192="","",Q1192-S1192)</f>
        <v/>
      </c>
    </row>
    <row r="1193">
      <c r="A1193" s="7">
        <f>CONCATENATE(C1193,E1193,F1193,I1193)</f>
        <v/>
      </c>
      <c r="B1193" s="7">
        <f>CONCATENATE(C1193,E1193,I1193)</f>
        <v/>
      </c>
      <c r="C1193" s="8" t="n">
        <v>900003609</v>
      </c>
      <c r="D1193" s="7">
        <f>IFERROR(VLOOKUP(C1193,TRAOPE!$G:$H,2,0),"")</f>
        <v/>
      </c>
      <c r="E1193" s="8" t="inlineStr">
        <is>
          <t>D836</t>
        </is>
      </c>
      <c r="F1193" s="8" t="inlineStr">
        <is>
          <t>66239599</t>
        </is>
      </c>
      <c r="G1193" s="8">
        <f>IFERROR(VLOOKUP(A1193,Flete!$A:$E,5,0),"")</f>
        <v/>
      </c>
      <c r="H1193" s="7">
        <f>IFERROR(VLOOKUP(F1193,TRAOPE!$AA:$AB,2,0),"")</f>
        <v/>
      </c>
      <c r="I1193" s="7" t="n">
        <v>10000624</v>
      </c>
      <c r="J1193" s="7">
        <f>IFERROR(VLOOKUP(I1193,Materiales!$A:$H,8,0),"")</f>
        <v/>
      </c>
      <c r="K1193" s="9">
        <f>IFERROR(VLOOKUP(I1193,Materiales!$A:$G,7,0),"")</f>
        <v/>
      </c>
      <c r="L1193" s="8" t="inlineStr">
        <is>
          <t>20190426</t>
        </is>
      </c>
      <c r="M1193" s="8" t="inlineStr">
        <is>
          <t>20250127</t>
        </is>
      </c>
      <c r="N1193" s="10" t="n">
        <v>142</v>
      </c>
      <c r="O1193" s="10">
        <f>IFERROR(VLOOKUP(A1193,Flete!$A:$J,10,0),"")</f>
        <v/>
      </c>
      <c r="P1193" s="8" t="inlineStr">
        <is>
          <t>M3</t>
        </is>
      </c>
      <c r="Q1193" s="10">
        <f>IFERROR(IFERROR(VLOOKUP(A1193,TRAOPE!$A:$U,21,0),VLOOKUP(B1193,TRAOPE!$A:$U,21,0)),"")</f>
        <v/>
      </c>
      <c r="R1193" s="8">
        <f>IFERROR(IFERROR(VLOOKUP(A1193,TRAOPE!$A:$W,23,0),VLOOKUP(B1193,TRAOPE!$A:$W,23,0)),"")</f>
        <v/>
      </c>
      <c r="S1193" s="10">
        <f>IF(AND(P1193="TN",R1193="TN"),N1193+N(O1193),IF(G1193&amp;""="1",N(K1193)*N1193,(N1193+N(O1193))*N(K1193)))</f>
        <v/>
      </c>
      <c r="T1193" s="10">
        <f>IF(Q1193="","",Q1193-S1193)</f>
        <v/>
      </c>
    </row>
    <row r="1194">
      <c r="A1194" s="7">
        <f>CONCATENATE(C1194,E1194,F1194,I1194)</f>
        <v/>
      </c>
      <c r="B1194" s="7">
        <f>CONCATENATE(C1194,E1194,I1194)</f>
        <v/>
      </c>
      <c r="C1194" s="8" t="n">
        <v>900003609</v>
      </c>
      <c r="D1194" s="7">
        <f>IFERROR(VLOOKUP(C1194,TRAOPE!$G:$H,2,0),"")</f>
        <v/>
      </c>
      <c r="E1194" s="8" t="inlineStr">
        <is>
          <t>D836</t>
        </is>
      </c>
      <c r="F1194" s="8" t="inlineStr">
        <is>
          <t>66239599</t>
        </is>
      </c>
      <c r="G1194" s="8">
        <f>IFERROR(VLOOKUP(A1194,Flete!$A:$E,5,0),"")</f>
        <v/>
      </c>
      <c r="H1194" s="7">
        <f>IFERROR(VLOOKUP(F1194,TRAOPE!$AA:$AB,2,0),"")</f>
        <v/>
      </c>
      <c r="I1194" s="7" t="n">
        <v>10000630</v>
      </c>
      <c r="J1194" s="7">
        <f>IFERROR(VLOOKUP(I1194,Materiales!$A:$H,8,0),"")</f>
        <v/>
      </c>
      <c r="K1194" s="9">
        <f>IFERROR(VLOOKUP(I1194,Materiales!$A:$G,7,0),"")</f>
        <v/>
      </c>
      <c r="L1194" s="8" t="inlineStr">
        <is>
          <t>20190426</t>
        </is>
      </c>
      <c r="M1194" s="8" t="inlineStr">
        <is>
          <t>20250127</t>
        </is>
      </c>
      <c r="N1194" s="10" t="n">
        <v>155</v>
      </c>
      <c r="O1194" s="10">
        <f>IFERROR(VLOOKUP(A1194,Flete!$A:$J,10,0),"")</f>
        <v/>
      </c>
      <c r="P1194" s="8" t="inlineStr">
        <is>
          <t>M3</t>
        </is>
      </c>
      <c r="Q1194" s="10">
        <f>IFERROR(IFERROR(VLOOKUP(A1194,TRAOPE!$A:$U,21,0),VLOOKUP(B1194,TRAOPE!$A:$U,21,0)),"")</f>
        <v/>
      </c>
      <c r="R1194" s="8">
        <f>IFERROR(IFERROR(VLOOKUP(A1194,TRAOPE!$A:$W,23,0),VLOOKUP(B1194,TRAOPE!$A:$W,23,0)),"")</f>
        <v/>
      </c>
      <c r="S1194" s="10">
        <f>IF(AND(P1194="TN",R1194="TN"),N1194+N(O1194),IF(G1194&amp;""="1",N(K1194)*N1194,(N1194+N(O1194))*N(K1194)))</f>
        <v/>
      </c>
      <c r="T1194" s="10">
        <f>IF(Q1194="","",Q1194-S1194)</f>
        <v/>
      </c>
    </row>
    <row r="1195">
      <c r="A1195" s="7">
        <f>CONCATENATE(C1195,E1195,F1195,I1195)</f>
        <v/>
      </c>
      <c r="B1195" s="7">
        <f>CONCATENATE(C1195,E1195,I1195)</f>
        <v/>
      </c>
      <c r="C1195" s="8" t="n">
        <v>900003609</v>
      </c>
      <c r="D1195" s="7">
        <f>IFERROR(VLOOKUP(C1195,TRAOPE!$G:$H,2,0),"")</f>
        <v/>
      </c>
      <c r="E1195" s="8" t="inlineStr">
        <is>
          <t>D836</t>
        </is>
      </c>
      <c r="F1195" s="8" t="inlineStr">
        <is>
          <t>66239599</t>
        </is>
      </c>
      <c r="G1195" s="8">
        <f>IFERROR(VLOOKUP(A1195,Flete!$A:$E,5,0),"")</f>
        <v/>
      </c>
      <c r="H1195" s="7">
        <f>IFERROR(VLOOKUP(F1195,TRAOPE!$AA:$AB,2,0),"")</f>
        <v/>
      </c>
      <c r="I1195" s="7" t="n">
        <v>10000811</v>
      </c>
      <c r="J1195" s="7">
        <f>IFERROR(VLOOKUP(I1195,Materiales!$A:$H,8,0),"")</f>
        <v/>
      </c>
      <c r="K1195" s="9">
        <f>IFERROR(VLOOKUP(I1195,Materiales!$A:$G,7,0),"")</f>
        <v/>
      </c>
      <c r="L1195" s="8" t="inlineStr">
        <is>
          <t>20190426</t>
        </is>
      </c>
      <c r="M1195" s="8" t="inlineStr">
        <is>
          <t>20250127</t>
        </is>
      </c>
      <c r="N1195" s="10" t="n">
        <v>146</v>
      </c>
      <c r="O1195" s="10">
        <f>IFERROR(VLOOKUP(A1195,Flete!$A:$J,10,0),"")</f>
        <v/>
      </c>
      <c r="P1195" s="8" t="inlineStr">
        <is>
          <t>M3</t>
        </is>
      </c>
      <c r="Q1195" s="10">
        <f>IFERROR(IFERROR(VLOOKUP(A1195,TRAOPE!$A:$U,21,0),VLOOKUP(B1195,TRAOPE!$A:$U,21,0)),"")</f>
        <v/>
      </c>
      <c r="R1195" s="8">
        <f>IFERROR(IFERROR(VLOOKUP(A1195,TRAOPE!$A:$W,23,0),VLOOKUP(B1195,TRAOPE!$A:$W,23,0)),"")</f>
        <v/>
      </c>
      <c r="S1195" s="10">
        <f>IF(AND(P1195="TN",R1195="TN"),N1195+N(O1195),IF(G1195&amp;""="1",N(K1195)*N1195,(N1195+N(O1195))*N(K1195)))</f>
        <v/>
      </c>
      <c r="T1195" s="10">
        <f>IF(Q1195="","",Q1195-S1195)</f>
        <v/>
      </c>
    </row>
    <row r="1196">
      <c r="A1196" s="7">
        <f>CONCATENATE(C1196,E1196,F1196,I1196)</f>
        <v/>
      </c>
      <c r="B1196" s="7">
        <f>CONCATENATE(C1196,E1196,I1196)</f>
        <v/>
      </c>
      <c r="C1196" s="8" t="n">
        <v>900003609</v>
      </c>
      <c r="D1196" s="7">
        <f>IFERROR(VLOOKUP(C1196,TRAOPE!$G:$H,2,0),"")</f>
        <v/>
      </c>
      <c r="E1196" s="8" t="inlineStr">
        <is>
          <t>D836</t>
        </is>
      </c>
      <c r="F1196" s="8" t="inlineStr">
        <is>
          <t>66239600</t>
        </is>
      </c>
      <c r="G1196" s="8">
        <f>IFERROR(VLOOKUP(A1196,Flete!$A:$E,5,0),"")</f>
        <v/>
      </c>
      <c r="H1196" s="7">
        <f>IFERROR(VLOOKUP(F1196,TRAOPE!$AA:$AB,2,0),"")</f>
        <v/>
      </c>
      <c r="I1196" s="7" t="n">
        <v>10000624</v>
      </c>
      <c r="J1196" s="7">
        <f>IFERROR(VLOOKUP(I1196,Materiales!$A:$H,8,0),"")</f>
        <v/>
      </c>
      <c r="K1196" s="9">
        <f>IFERROR(VLOOKUP(I1196,Materiales!$A:$G,7,0),"")</f>
        <v/>
      </c>
      <c r="L1196" s="8" t="inlineStr">
        <is>
          <t>20190426</t>
        </is>
      </c>
      <c r="M1196" s="8" t="inlineStr">
        <is>
          <t>20250127</t>
        </is>
      </c>
      <c r="N1196" s="10" t="n">
        <v>142</v>
      </c>
      <c r="O1196" s="10">
        <f>IFERROR(VLOOKUP(A1196,Flete!$A:$J,10,0),"")</f>
        <v/>
      </c>
      <c r="P1196" s="8" t="inlineStr">
        <is>
          <t>M3</t>
        </is>
      </c>
      <c r="Q1196" s="10">
        <f>IFERROR(IFERROR(VLOOKUP(A1196,TRAOPE!$A:$U,21,0),VLOOKUP(B1196,TRAOPE!$A:$U,21,0)),"")</f>
        <v/>
      </c>
      <c r="R1196" s="8">
        <f>IFERROR(IFERROR(VLOOKUP(A1196,TRAOPE!$A:$W,23,0),VLOOKUP(B1196,TRAOPE!$A:$W,23,0)),"")</f>
        <v/>
      </c>
      <c r="S1196" s="10">
        <f>IF(AND(P1196="TN",R1196="TN"),N1196+N(O1196),IF(G1196&amp;""="1",N(K1196)*N1196,(N1196+N(O1196))*N(K1196)))</f>
        <v/>
      </c>
      <c r="T1196" s="10">
        <f>IF(Q1196="","",Q1196-S1196)</f>
        <v/>
      </c>
    </row>
    <row r="1197">
      <c r="A1197" s="7">
        <f>CONCATENATE(C1197,E1197,F1197,I1197)</f>
        <v/>
      </c>
      <c r="B1197" s="7">
        <f>CONCATENATE(C1197,E1197,I1197)</f>
        <v/>
      </c>
      <c r="C1197" s="8" t="n">
        <v>900003609</v>
      </c>
      <c r="D1197" s="7">
        <f>IFERROR(VLOOKUP(C1197,TRAOPE!$G:$H,2,0),"")</f>
        <v/>
      </c>
      <c r="E1197" s="8" t="inlineStr">
        <is>
          <t>D836</t>
        </is>
      </c>
      <c r="F1197" s="8" t="inlineStr">
        <is>
          <t>66239600</t>
        </is>
      </c>
      <c r="G1197" s="8">
        <f>IFERROR(VLOOKUP(A1197,Flete!$A:$E,5,0),"")</f>
        <v/>
      </c>
      <c r="H1197" s="7">
        <f>IFERROR(VLOOKUP(F1197,TRAOPE!$AA:$AB,2,0),"")</f>
        <v/>
      </c>
      <c r="I1197" s="7" t="n">
        <v>10000811</v>
      </c>
      <c r="J1197" s="7">
        <f>IFERROR(VLOOKUP(I1197,Materiales!$A:$H,8,0),"")</f>
        <v/>
      </c>
      <c r="K1197" s="9">
        <f>IFERROR(VLOOKUP(I1197,Materiales!$A:$G,7,0),"")</f>
        <v/>
      </c>
      <c r="L1197" s="8" t="inlineStr">
        <is>
          <t>20190426</t>
        </is>
      </c>
      <c r="M1197" s="8" t="inlineStr">
        <is>
          <t>20250127</t>
        </is>
      </c>
      <c r="N1197" s="10" t="n">
        <v>146</v>
      </c>
      <c r="O1197" s="10">
        <f>IFERROR(VLOOKUP(A1197,Flete!$A:$J,10,0),"")</f>
        <v/>
      </c>
      <c r="P1197" s="8" t="inlineStr">
        <is>
          <t>M3</t>
        </is>
      </c>
      <c r="Q1197" s="10">
        <f>IFERROR(IFERROR(VLOOKUP(A1197,TRAOPE!$A:$U,21,0),VLOOKUP(B1197,TRAOPE!$A:$U,21,0)),"")</f>
        <v/>
      </c>
      <c r="R1197" s="8">
        <f>IFERROR(IFERROR(VLOOKUP(A1197,TRAOPE!$A:$W,23,0),VLOOKUP(B1197,TRAOPE!$A:$W,23,0)),"")</f>
        <v/>
      </c>
      <c r="S1197" s="10">
        <f>IF(AND(P1197="TN",R1197="TN"),N1197+N(O1197),IF(G1197&amp;""="1",N(K1197)*N1197,(N1197+N(O1197))*N(K1197)))</f>
        <v/>
      </c>
      <c r="T1197" s="10">
        <f>IF(Q1197="","",Q1197-S1197)</f>
        <v/>
      </c>
    </row>
    <row r="1198">
      <c r="A1198" s="7">
        <f>CONCATENATE(C1198,E1198,F1198,I1198)</f>
        <v/>
      </c>
      <c r="B1198" s="7">
        <f>CONCATENATE(C1198,E1198,I1198)</f>
        <v/>
      </c>
      <c r="C1198" s="8" t="n">
        <v>900003609</v>
      </c>
      <c r="D1198" s="7">
        <f>IFERROR(VLOOKUP(C1198,TRAOPE!$G:$H,2,0),"")</f>
        <v/>
      </c>
      <c r="E1198" s="8" t="inlineStr">
        <is>
          <t>D836</t>
        </is>
      </c>
      <c r="F1198" s="8" t="inlineStr">
        <is>
          <t>66239601</t>
        </is>
      </c>
      <c r="G1198" s="8">
        <f>IFERROR(VLOOKUP(A1198,Flete!$A:$E,5,0),"")</f>
        <v/>
      </c>
      <c r="H1198" s="7">
        <f>IFERROR(VLOOKUP(F1198,TRAOPE!$AA:$AB,2,0),"")</f>
        <v/>
      </c>
      <c r="I1198" s="7" t="n">
        <v>10000624</v>
      </c>
      <c r="J1198" s="7">
        <f>IFERROR(VLOOKUP(I1198,Materiales!$A:$H,8,0),"")</f>
        <v/>
      </c>
      <c r="K1198" s="9">
        <f>IFERROR(VLOOKUP(I1198,Materiales!$A:$G,7,0),"")</f>
        <v/>
      </c>
      <c r="L1198" s="8" t="inlineStr">
        <is>
          <t>20190426</t>
        </is>
      </c>
      <c r="M1198" s="8" t="inlineStr">
        <is>
          <t>20250127</t>
        </is>
      </c>
      <c r="N1198" s="10" t="n">
        <v>142</v>
      </c>
      <c r="O1198" s="10">
        <f>IFERROR(VLOOKUP(A1198,Flete!$A:$J,10,0),"")</f>
        <v/>
      </c>
      <c r="P1198" s="8" t="inlineStr">
        <is>
          <t>M3</t>
        </is>
      </c>
      <c r="Q1198" s="10">
        <f>IFERROR(IFERROR(VLOOKUP(A1198,TRAOPE!$A:$U,21,0),VLOOKUP(B1198,TRAOPE!$A:$U,21,0)),"")</f>
        <v/>
      </c>
      <c r="R1198" s="8">
        <f>IFERROR(IFERROR(VLOOKUP(A1198,TRAOPE!$A:$W,23,0),VLOOKUP(B1198,TRAOPE!$A:$W,23,0)),"")</f>
        <v/>
      </c>
      <c r="S1198" s="10">
        <f>IF(AND(P1198="TN",R1198="TN"),N1198+N(O1198),IF(G1198&amp;""="1",N(K1198)*N1198,(N1198+N(O1198))*N(K1198)))</f>
        <v/>
      </c>
      <c r="T1198" s="10">
        <f>IF(Q1198="","",Q1198-S1198)</f>
        <v/>
      </c>
    </row>
    <row r="1199">
      <c r="A1199" s="7">
        <f>CONCATENATE(C1199,E1199,F1199,I1199)</f>
        <v/>
      </c>
      <c r="B1199" s="7">
        <f>CONCATENATE(C1199,E1199,I1199)</f>
        <v/>
      </c>
      <c r="C1199" s="8" t="n">
        <v>900003609</v>
      </c>
      <c r="D1199" s="7">
        <f>IFERROR(VLOOKUP(C1199,TRAOPE!$G:$H,2,0),"")</f>
        <v/>
      </c>
      <c r="E1199" s="8" t="inlineStr">
        <is>
          <t>D836</t>
        </is>
      </c>
      <c r="F1199" s="8" t="inlineStr">
        <is>
          <t>66239601</t>
        </is>
      </c>
      <c r="G1199" s="8">
        <f>IFERROR(VLOOKUP(A1199,Flete!$A:$E,5,0),"")</f>
        <v/>
      </c>
      <c r="H1199" s="7">
        <f>IFERROR(VLOOKUP(F1199,TRAOPE!$AA:$AB,2,0),"")</f>
        <v/>
      </c>
      <c r="I1199" s="7" t="n">
        <v>10000811</v>
      </c>
      <c r="J1199" s="7">
        <f>IFERROR(VLOOKUP(I1199,Materiales!$A:$H,8,0),"")</f>
        <v/>
      </c>
      <c r="K1199" s="9">
        <f>IFERROR(VLOOKUP(I1199,Materiales!$A:$G,7,0),"")</f>
        <v/>
      </c>
      <c r="L1199" s="8" t="inlineStr">
        <is>
          <t>20190426</t>
        </is>
      </c>
      <c r="M1199" s="8" t="inlineStr">
        <is>
          <t>20250127</t>
        </is>
      </c>
      <c r="N1199" s="10" t="n">
        <v>146</v>
      </c>
      <c r="O1199" s="10">
        <f>IFERROR(VLOOKUP(A1199,Flete!$A:$J,10,0),"")</f>
        <v/>
      </c>
      <c r="P1199" s="8" t="inlineStr">
        <is>
          <t>M3</t>
        </is>
      </c>
      <c r="Q1199" s="10">
        <f>IFERROR(IFERROR(VLOOKUP(A1199,TRAOPE!$A:$U,21,0),VLOOKUP(B1199,TRAOPE!$A:$U,21,0)),"")</f>
        <v/>
      </c>
      <c r="R1199" s="8">
        <f>IFERROR(IFERROR(VLOOKUP(A1199,TRAOPE!$A:$W,23,0),VLOOKUP(B1199,TRAOPE!$A:$W,23,0)),"")</f>
        <v/>
      </c>
      <c r="S1199" s="10">
        <f>IF(AND(P1199="TN",R1199="TN"),N1199+N(O1199),IF(G1199&amp;""="1",N(K1199)*N1199,(N1199+N(O1199))*N(K1199)))</f>
        <v/>
      </c>
      <c r="T1199" s="10">
        <f>IF(Q1199="","",Q1199-S1199)</f>
        <v/>
      </c>
    </row>
    <row r="1200">
      <c r="A1200" s="7">
        <f>CONCATENATE(C1200,E1200,F1200,I1200)</f>
        <v/>
      </c>
      <c r="B1200" s="7">
        <f>CONCATENATE(C1200,E1200,I1200)</f>
        <v/>
      </c>
      <c r="C1200" s="8" t="n">
        <v>900003609</v>
      </c>
      <c r="D1200" s="7">
        <f>IFERROR(VLOOKUP(C1200,TRAOPE!$G:$H,2,0),"")</f>
        <v/>
      </c>
      <c r="E1200" s="8" t="inlineStr">
        <is>
          <t>D836</t>
        </is>
      </c>
      <c r="F1200" s="8" t="inlineStr">
        <is>
          <t>66239617</t>
        </is>
      </c>
      <c r="G1200" s="8">
        <f>IFERROR(VLOOKUP(A1200,Flete!$A:$E,5,0),"")</f>
        <v/>
      </c>
      <c r="H1200" s="7">
        <f>IFERROR(VLOOKUP(F1200,TRAOPE!$AA:$AB,2,0),"")</f>
        <v/>
      </c>
      <c r="I1200" s="7" t="n">
        <v>10000624</v>
      </c>
      <c r="J1200" s="7">
        <f>IFERROR(VLOOKUP(I1200,Materiales!$A:$H,8,0),"")</f>
        <v/>
      </c>
      <c r="K1200" s="9">
        <f>IFERROR(VLOOKUP(I1200,Materiales!$A:$G,7,0),"")</f>
        <v/>
      </c>
      <c r="L1200" s="8" t="inlineStr">
        <is>
          <t>20190426</t>
        </is>
      </c>
      <c r="M1200" s="8" t="inlineStr">
        <is>
          <t>20250127</t>
        </is>
      </c>
      <c r="N1200" s="10" t="n">
        <v>142</v>
      </c>
      <c r="O1200" s="10">
        <f>IFERROR(VLOOKUP(A1200,Flete!$A:$J,10,0),"")</f>
        <v/>
      </c>
      <c r="P1200" s="8" t="inlineStr">
        <is>
          <t>M3</t>
        </is>
      </c>
      <c r="Q1200" s="10">
        <f>IFERROR(IFERROR(VLOOKUP(A1200,TRAOPE!$A:$U,21,0),VLOOKUP(B1200,TRAOPE!$A:$U,21,0)),"")</f>
        <v/>
      </c>
      <c r="R1200" s="8">
        <f>IFERROR(IFERROR(VLOOKUP(A1200,TRAOPE!$A:$W,23,0),VLOOKUP(B1200,TRAOPE!$A:$W,23,0)),"")</f>
        <v/>
      </c>
      <c r="S1200" s="10">
        <f>IF(AND(P1200="TN",R1200="TN"),N1200+N(O1200),IF(G1200&amp;""="1",N(K1200)*N1200,(N1200+N(O1200))*N(K1200)))</f>
        <v/>
      </c>
      <c r="T1200" s="10">
        <f>IF(Q1200="","",Q1200-S1200)</f>
        <v/>
      </c>
    </row>
    <row r="1201">
      <c r="A1201" s="7">
        <f>CONCATENATE(C1201,E1201,F1201,I1201)</f>
        <v/>
      </c>
      <c r="B1201" s="7">
        <f>CONCATENATE(C1201,E1201,I1201)</f>
        <v/>
      </c>
      <c r="C1201" s="8" t="n">
        <v>900003609</v>
      </c>
      <c r="D1201" s="7">
        <f>IFERROR(VLOOKUP(C1201,TRAOPE!$G:$H,2,0),"")</f>
        <v/>
      </c>
      <c r="E1201" s="8" t="inlineStr">
        <is>
          <t>D836</t>
        </is>
      </c>
      <c r="F1201" s="8" t="inlineStr">
        <is>
          <t>66239617</t>
        </is>
      </c>
      <c r="G1201" s="8">
        <f>IFERROR(VLOOKUP(A1201,Flete!$A:$E,5,0),"")</f>
        <v/>
      </c>
      <c r="H1201" s="7">
        <f>IFERROR(VLOOKUP(F1201,TRAOPE!$AA:$AB,2,0),"")</f>
        <v/>
      </c>
      <c r="I1201" s="7" t="n">
        <v>10000630</v>
      </c>
      <c r="J1201" s="7">
        <f>IFERROR(VLOOKUP(I1201,Materiales!$A:$H,8,0),"")</f>
        <v/>
      </c>
      <c r="K1201" s="9">
        <f>IFERROR(VLOOKUP(I1201,Materiales!$A:$G,7,0),"")</f>
        <v/>
      </c>
      <c r="L1201" s="8" t="inlineStr">
        <is>
          <t>20190426</t>
        </is>
      </c>
      <c r="M1201" s="8" t="inlineStr">
        <is>
          <t>20250127</t>
        </is>
      </c>
      <c r="N1201" s="10" t="n">
        <v>155</v>
      </c>
      <c r="O1201" s="10">
        <f>IFERROR(VLOOKUP(A1201,Flete!$A:$J,10,0),"")</f>
        <v/>
      </c>
      <c r="P1201" s="8" t="inlineStr">
        <is>
          <t>M3</t>
        </is>
      </c>
      <c r="Q1201" s="10">
        <f>IFERROR(IFERROR(VLOOKUP(A1201,TRAOPE!$A:$U,21,0),VLOOKUP(B1201,TRAOPE!$A:$U,21,0)),"")</f>
        <v/>
      </c>
      <c r="R1201" s="8">
        <f>IFERROR(IFERROR(VLOOKUP(A1201,TRAOPE!$A:$W,23,0),VLOOKUP(B1201,TRAOPE!$A:$W,23,0)),"")</f>
        <v/>
      </c>
      <c r="S1201" s="10">
        <f>IF(AND(P1201="TN",R1201="TN"),N1201+N(O1201),IF(G1201&amp;""="1",N(K1201)*N1201,(N1201+N(O1201))*N(K1201)))</f>
        <v/>
      </c>
      <c r="T1201" s="10">
        <f>IF(Q1201="","",Q1201-S1201)</f>
        <v/>
      </c>
    </row>
    <row r="1202">
      <c r="A1202" s="7">
        <f>CONCATENATE(C1202,E1202,F1202,I1202)</f>
        <v/>
      </c>
      <c r="B1202" s="7">
        <f>CONCATENATE(C1202,E1202,I1202)</f>
        <v/>
      </c>
      <c r="C1202" s="8" t="n">
        <v>900003609</v>
      </c>
      <c r="D1202" s="7">
        <f>IFERROR(VLOOKUP(C1202,TRAOPE!$G:$H,2,0),"")</f>
        <v/>
      </c>
      <c r="E1202" s="8" t="inlineStr">
        <is>
          <t>D836</t>
        </is>
      </c>
      <c r="F1202" s="8" t="inlineStr">
        <is>
          <t>66239617</t>
        </is>
      </c>
      <c r="G1202" s="8">
        <f>IFERROR(VLOOKUP(A1202,Flete!$A:$E,5,0),"")</f>
        <v/>
      </c>
      <c r="H1202" s="7">
        <f>IFERROR(VLOOKUP(F1202,TRAOPE!$AA:$AB,2,0),"")</f>
        <v/>
      </c>
      <c r="I1202" s="7" t="n">
        <v>10000811</v>
      </c>
      <c r="J1202" s="7">
        <f>IFERROR(VLOOKUP(I1202,Materiales!$A:$H,8,0),"")</f>
        <v/>
      </c>
      <c r="K1202" s="9">
        <f>IFERROR(VLOOKUP(I1202,Materiales!$A:$G,7,0),"")</f>
        <v/>
      </c>
      <c r="L1202" s="8" t="inlineStr">
        <is>
          <t>20190426</t>
        </is>
      </c>
      <c r="M1202" s="8" t="inlineStr">
        <is>
          <t>20250127</t>
        </is>
      </c>
      <c r="N1202" s="10" t="n">
        <v>146</v>
      </c>
      <c r="O1202" s="10">
        <f>IFERROR(VLOOKUP(A1202,Flete!$A:$J,10,0),"")</f>
        <v/>
      </c>
      <c r="P1202" s="8" t="inlineStr">
        <is>
          <t>M3</t>
        </is>
      </c>
      <c r="Q1202" s="10">
        <f>IFERROR(IFERROR(VLOOKUP(A1202,TRAOPE!$A:$U,21,0),VLOOKUP(B1202,TRAOPE!$A:$U,21,0)),"")</f>
        <v/>
      </c>
      <c r="R1202" s="8">
        <f>IFERROR(IFERROR(VLOOKUP(A1202,TRAOPE!$A:$W,23,0),VLOOKUP(B1202,TRAOPE!$A:$W,23,0)),"")</f>
        <v/>
      </c>
      <c r="S1202" s="10">
        <f>IF(AND(P1202="TN",R1202="TN"),N1202+N(O1202),IF(G1202&amp;""="1",N(K1202)*N1202,(N1202+N(O1202))*N(K1202)))</f>
        <v/>
      </c>
      <c r="T1202" s="10">
        <f>IF(Q1202="","",Q1202-S1202)</f>
        <v/>
      </c>
    </row>
    <row r="1203">
      <c r="A1203" s="7">
        <f>CONCATENATE(C1203,E1203,F1203,I1203)</f>
        <v/>
      </c>
      <c r="B1203" s="7">
        <f>CONCATENATE(C1203,E1203,I1203)</f>
        <v/>
      </c>
      <c r="C1203" s="8" t="n">
        <v>900003609</v>
      </c>
      <c r="D1203" s="7">
        <f>IFERROR(VLOOKUP(C1203,TRAOPE!$G:$H,2,0),"")</f>
        <v/>
      </c>
      <c r="E1203" s="8" t="inlineStr">
        <is>
          <t>D836</t>
        </is>
      </c>
      <c r="F1203" s="8" t="inlineStr">
        <is>
          <t>66239618</t>
        </is>
      </c>
      <c r="G1203" s="8">
        <f>IFERROR(VLOOKUP(A1203,Flete!$A:$E,5,0),"")</f>
        <v/>
      </c>
      <c r="H1203" s="7">
        <f>IFERROR(VLOOKUP(F1203,TRAOPE!$AA:$AB,2,0),"")</f>
        <v/>
      </c>
      <c r="I1203" s="7" t="n">
        <v>10000624</v>
      </c>
      <c r="J1203" s="7">
        <f>IFERROR(VLOOKUP(I1203,Materiales!$A:$H,8,0),"")</f>
        <v/>
      </c>
      <c r="K1203" s="9">
        <f>IFERROR(VLOOKUP(I1203,Materiales!$A:$G,7,0),"")</f>
        <v/>
      </c>
      <c r="L1203" s="8" t="inlineStr">
        <is>
          <t>20190426</t>
        </is>
      </c>
      <c r="M1203" s="8" t="inlineStr">
        <is>
          <t>20250127</t>
        </is>
      </c>
      <c r="N1203" s="10" t="n">
        <v>142</v>
      </c>
      <c r="O1203" s="10">
        <f>IFERROR(VLOOKUP(A1203,Flete!$A:$J,10,0),"")</f>
        <v/>
      </c>
      <c r="P1203" s="8" t="inlineStr">
        <is>
          <t>M3</t>
        </is>
      </c>
      <c r="Q1203" s="10">
        <f>IFERROR(IFERROR(VLOOKUP(A1203,TRAOPE!$A:$U,21,0),VLOOKUP(B1203,TRAOPE!$A:$U,21,0)),"")</f>
        <v/>
      </c>
      <c r="R1203" s="8">
        <f>IFERROR(IFERROR(VLOOKUP(A1203,TRAOPE!$A:$W,23,0),VLOOKUP(B1203,TRAOPE!$A:$W,23,0)),"")</f>
        <v/>
      </c>
      <c r="S1203" s="10">
        <f>IF(AND(P1203="TN",R1203="TN"),N1203+N(O1203),IF(G1203&amp;""="1",N(K1203)*N1203,(N1203+N(O1203))*N(K1203)))</f>
        <v/>
      </c>
      <c r="T1203" s="10">
        <f>IF(Q1203="","",Q1203-S1203)</f>
        <v/>
      </c>
    </row>
    <row r="1204">
      <c r="A1204" s="7">
        <f>CONCATENATE(C1204,E1204,F1204,I1204)</f>
        <v/>
      </c>
      <c r="B1204" s="7">
        <f>CONCATENATE(C1204,E1204,I1204)</f>
        <v/>
      </c>
      <c r="C1204" s="8" t="n">
        <v>900003609</v>
      </c>
      <c r="D1204" s="7">
        <f>IFERROR(VLOOKUP(C1204,TRAOPE!$G:$H,2,0),"")</f>
        <v/>
      </c>
      <c r="E1204" s="8" t="inlineStr">
        <is>
          <t>D836</t>
        </is>
      </c>
      <c r="F1204" s="8" t="inlineStr">
        <is>
          <t>66239618</t>
        </is>
      </c>
      <c r="G1204" s="8">
        <f>IFERROR(VLOOKUP(A1204,Flete!$A:$E,5,0),"")</f>
        <v/>
      </c>
      <c r="H1204" s="7">
        <f>IFERROR(VLOOKUP(F1204,TRAOPE!$AA:$AB,2,0),"")</f>
        <v/>
      </c>
      <c r="I1204" s="7" t="n">
        <v>10000811</v>
      </c>
      <c r="J1204" s="7">
        <f>IFERROR(VLOOKUP(I1204,Materiales!$A:$H,8,0),"")</f>
        <v/>
      </c>
      <c r="K1204" s="9">
        <f>IFERROR(VLOOKUP(I1204,Materiales!$A:$G,7,0),"")</f>
        <v/>
      </c>
      <c r="L1204" s="8" t="inlineStr">
        <is>
          <t>20190426</t>
        </is>
      </c>
      <c r="M1204" s="8" t="inlineStr">
        <is>
          <t>20250127</t>
        </is>
      </c>
      <c r="N1204" s="10" t="n">
        <v>146</v>
      </c>
      <c r="O1204" s="10">
        <f>IFERROR(VLOOKUP(A1204,Flete!$A:$J,10,0),"")</f>
        <v/>
      </c>
      <c r="P1204" s="8" t="inlineStr">
        <is>
          <t>M3</t>
        </is>
      </c>
      <c r="Q1204" s="10">
        <f>IFERROR(IFERROR(VLOOKUP(A1204,TRAOPE!$A:$U,21,0),VLOOKUP(B1204,TRAOPE!$A:$U,21,0)),"")</f>
        <v/>
      </c>
      <c r="R1204" s="8">
        <f>IFERROR(IFERROR(VLOOKUP(A1204,TRAOPE!$A:$W,23,0),VLOOKUP(B1204,TRAOPE!$A:$W,23,0)),"")</f>
        <v/>
      </c>
      <c r="S1204" s="10">
        <f>IF(AND(P1204="TN",R1204="TN"),N1204+N(O1204),IF(G1204&amp;""="1",N(K1204)*N1204,(N1204+N(O1204))*N(K1204)))</f>
        <v/>
      </c>
      <c r="T1204" s="10">
        <f>IF(Q1204="","",Q1204-S1204)</f>
        <v/>
      </c>
    </row>
    <row r="1205">
      <c r="A1205" s="7">
        <f>CONCATENATE(C1205,E1205,F1205,I1205)</f>
        <v/>
      </c>
      <c r="B1205" s="7">
        <f>CONCATENATE(C1205,E1205,I1205)</f>
        <v/>
      </c>
      <c r="C1205" s="8" t="n">
        <v>900003609</v>
      </c>
      <c r="D1205" s="7">
        <f>IFERROR(VLOOKUP(C1205,TRAOPE!$G:$H,2,0),"")</f>
        <v/>
      </c>
      <c r="E1205" s="8" t="inlineStr">
        <is>
          <t>D836</t>
        </is>
      </c>
      <c r="F1205" s="8" t="inlineStr">
        <is>
          <t>66239621</t>
        </is>
      </c>
      <c r="G1205" s="8">
        <f>IFERROR(VLOOKUP(A1205,Flete!$A:$E,5,0),"")</f>
        <v/>
      </c>
      <c r="H1205" s="7">
        <f>IFERROR(VLOOKUP(F1205,TRAOPE!$AA:$AB,2,0),"")</f>
        <v/>
      </c>
      <c r="I1205" s="7" t="n">
        <v>10000624</v>
      </c>
      <c r="J1205" s="7">
        <f>IFERROR(VLOOKUP(I1205,Materiales!$A:$H,8,0),"")</f>
        <v/>
      </c>
      <c r="K1205" s="9">
        <f>IFERROR(VLOOKUP(I1205,Materiales!$A:$G,7,0),"")</f>
        <v/>
      </c>
      <c r="L1205" s="8" t="inlineStr">
        <is>
          <t>20190426</t>
        </is>
      </c>
      <c r="M1205" s="8" t="inlineStr">
        <is>
          <t>20250127</t>
        </is>
      </c>
      <c r="N1205" s="10" t="n">
        <v>142</v>
      </c>
      <c r="O1205" s="10">
        <f>IFERROR(VLOOKUP(A1205,Flete!$A:$J,10,0),"")</f>
        <v/>
      </c>
      <c r="P1205" s="8" t="inlineStr">
        <is>
          <t>M3</t>
        </is>
      </c>
      <c r="Q1205" s="10">
        <f>IFERROR(IFERROR(VLOOKUP(A1205,TRAOPE!$A:$U,21,0),VLOOKUP(B1205,TRAOPE!$A:$U,21,0)),"")</f>
        <v/>
      </c>
      <c r="R1205" s="8">
        <f>IFERROR(IFERROR(VLOOKUP(A1205,TRAOPE!$A:$W,23,0),VLOOKUP(B1205,TRAOPE!$A:$W,23,0)),"")</f>
        <v/>
      </c>
      <c r="S1205" s="10">
        <f>IF(AND(P1205="TN",R1205="TN"),N1205+N(O1205),IF(G1205&amp;""="1",N(K1205)*N1205,(N1205+N(O1205))*N(K1205)))</f>
        <v/>
      </c>
      <c r="T1205" s="10">
        <f>IF(Q1205="","",Q1205-S1205)</f>
        <v/>
      </c>
    </row>
    <row r="1206">
      <c r="A1206" s="7">
        <f>CONCATENATE(C1206,E1206,F1206,I1206)</f>
        <v/>
      </c>
      <c r="B1206" s="7">
        <f>CONCATENATE(C1206,E1206,I1206)</f>
        <v/>
      </c>
      <c r="C1206" s="8" t="n">
        <v>900003609</v>
      </c>
      <c r="D1206" s="7">
        <f>IFERROR(VLOOKUP(C1206,TRAOPE!$G:$H,2,0),"")</f>
        <v/>
      </c>
      <c r="E1206" s="8" t="inlineStr">
        <is>
          <t>D836</t>
        </is>
      </c>
      <c r="F1206" s="8" t="inlineStr">
        <is>
          <t>66239621</t>
        </is>
      </c>
      <c r="G1206" s="8">
        <f>IFERROR(VLOOKUP(A1206,Flete!$A:$E,5,0),"")</f>
        <v/>
      </c>
      <c r="H1206" s="7">
        <f>IFERROR(VLOOKUP(F1206,TRAOPE!$AA:$AB,2,0),"")</f>
        <v/>
      </c>
      <c r="I1206" s="7" t="n">
        <v>10000630</v>
      </c>
      <c r="J1206" s="7">
        <f>IFERROR(VLOOKUP(I1206,Materiales!$A:$H,8,0),"")</f>
        <v/>
      </c>
      <c r="K1206" s="9">
        <f>IFERROR(VLOOKUP(I1206,Materiales!$A:$G,7,0),"")</f>
        <v/>
      </c>
      <c r="L1206" s="8" t="inlineStr">
        <is>
          <t>20190426</t>
        </is>
      </c>
      <c r="M1206" s="8" t="inlineStr">
        <is>
          <t>20250127</t>
        </is>
      </c>
      <c r="N1206" s="10" t="n">
        <v>155</v>
      </c>
      <c r="O1206" s="10">
        <f>IFERROR(VLOOKUP(A1206,Flete!$A:$J,10,0),"")</f>
        <v/>
      </c>
      <c r="P1206" s="8" t="inlineStr">
        <is>
          <t>M3</t>
        </is>
      </c>
      <c r="Q1206" s="10">
        <f>IFERROR(IFERROR(VLOOKUP(A1206,TRAOPE!$A:$U,21,0),VLOOKUP(B1206,TRAOPE!$A:$U,21,0)),"")</f>
        <v/>
      </c>
      <c r="R1206" s="8">
        <f>IFERROR(IFERROR(VLOOKUP(A1206,TRAOPE!$A:$W,23,0),VLOOKUP(B1206,TRAOPE!$A:$W,23,0)),"")</f>
        <v/>
      </c>
      <c r="S1206" s="10">
        <f>IF(AND(P1206="TN",R1206="TN"),N1206+N(O1206),IF(G1206&amp;""="1",N(K1206)*N1206,(N1206+N(O1206))*N(K1206)))</f>
        <v/>
      </c>
      <c r="T1206" s="10">
        <f>IF(Q1206="","",Q1206-S1206)</f>
        <v/>
      </c>
    </row>
    <row r="1207">
      <c r="A1207" s="7">
        <f>CONCATENATE(C1207,E1207,F1207,I1207)</f>
        <v/>
      </c>
      <c r="B1207" s="7">
        <f>CONCATENATE(C1207,E1207,I1207)</f>
        <v/>
      </c>
      <c r="C1207" s="8" t="n">
        <v>900003609</v>
      </c>
      <c r="D1207" s="7">
        <f>IFERROR(VLOOKUP(C1207,TRAOPE!$G:$H,2,0),"")</f>
        <v/>
      </c>
      <c r="E1207" s="8" t="inlineStr">
        <is>
          <t>D836</t>
        </is>
      </c>
      <c r="F1207" s="8" t="inlineStr">
        <is>
          <t>66239621</t>
        </is>
      </c>
      <c r="G1207" s="8">
        <f>IFERROR(VLOOKUP(A1207,Flete!$A:$E,5,0),"")</f>
        <v/>
      </c>
      <c r="H1207" s="7">
        <f>IFERROR(VLOOKUP(F1207,TRAOPE!$AA:$AB,2,0),"")</f>
        <v/>
      </c>
      <c r="I1207" s="7" t="n">
        <v>10000811</v>
      </c>
      <c r="J1207" s="7">
        <f>IFERROR(VLOOKUP(I1207,Materiales!$A:$H,8,0),"")</f>
        <v/>
      </c>
      <c r="K1207" s="9">
        <f>IFERROR(VLOOKUP(I1207,Materiales!$A:$G,7,0),"")</f>
        <v/>
      </c>
      <c r="L1207" s="8" t="inlineStr">
        <is>
          <t>20190426</t>
        </is>
      </c>
      <c r="M1207" s="8" t="inlineStr">
        <is>
          <t>20250127</t>
        </is>
      </c>
      <c r="N1207" s="10" t="n">
        <v>146</v>
      </c>
      <c r="O1207" s="10">
        <f>IFERROR(VLOOKUP(A1207,Flete!$A:$J,10,0),"")</f>
        <v/>
      </c>
      <c r="P1207" s="8" t="inlineStr">
        <is>
          <t>M3</t>
        </is>
      </c>
      <c r="Q1207" s="10">
        <f>IFERROR(IFERROR(VLOOKUP(A1207,TRAOPE!$A:$U,21,0),VLOOKUP(B1207,TRAOPE!$A:$U,21,0)),"")</f>
        <v/>
      </c>
      <c r="R1207" s="8">
        <f>IFERROR(IFERROR(VLOOKUP(A1207,TRAOPE!$A:$W,23,0),VLOOKUP(B1207,TRAOPE!$A:$W,23,0)),"")</f>
        <v/>
      </c>
      <c r="S1207" s="10">
        <f>IF(AND(P1207="TN",R1207="TN"),N1207+N(O1207),IF(G1207&amp;""="1",N(K1207)*N1207,(N1207+N(O1207))*N(K1207)))</f>
        <v/>
      </c>
      <c r="T1207" s="10">
        <f>IF(Q1207="","",Q1207-S1207)</f>
        <v/>
      </c>
    </row>
    <row r="1208">
      <c r="A1208" s="7">
        <f>CONCATENATE(C1208,E1208,F1208,I1208)</f>
        <v/>
      </c>
      <c r="B1208" s="7">
        <f>CONCATENATE(C1208,E1208,I1208)</f>
        <v/>
      </c>
      <c r="C1208" s="8" t="n">
        <v>900003609</v>
      </c>
      <c r="D1208" s="7">
        <f>IFERROR(VLOOKUP(C1208,TRAOPE!$G:$H,2,0),"")</f>
        <v/>
      </c>
      <c r="E1208" s="8" t="inlineStr">
        <is>
          <t>D836</t>
        </is>
      </c>
      <c r="F1208" s="8" t="inlineStr">
        <is>
          <t>66239627</t>
        </is>
      </c>
      <c r="G1208" s="8">
        <f>IFERROR(VLOOKUP(A1208,Flete!$A:$E,5,0),"")</f>
        <v/>
      </c>
      <c r="H1208" s="7">
        <f>IFERROR(VLOOKUP(F1208,TRAOPE!$AA:$AB,2,0),"")</f>
        <v/>
      </c>
      <c r="I1208" s="7" t="n">
        <v>10000624</v>
      </c>
      <c r="J1208" s="7">
        <f>IFERROR(VLOOKUP(I1208,Materiales!$A:$H,8,0),"")</f>
        <v/>
      </c>
      <c r="K1208" s="9">
        <f>IFERROR(VLOOKUP(I1208,Materiales!$A:$G,7,0),"")</f>
        <v/>
      </c>
      <c r="L1208" s="8" t="inlineStr">
        <is>
          <t>20190426</t>
        </is>
      </c>
      <c r="M1208" s="8" t="inlineStr">
        <is>
          <t>20250127</t>
        </is>
      </c>
      <c r="N1208" s="10" t="n">
        <v>142</v>
      </c>
      <c r="O1208" s="10">
        <f>IFERROR(VLOOKUP(A1208,Flete!$A:$J,10,0),"")</f>
        <v/>
      </c>
      <c r="P1208" s="8" t="inlineStr">
        <is>
          <t>M3</t>
        </is>
      </c>
      <c r="Q1208" s="10">
        <f>IFERROR(IFERROR(VLOOKUP(A1208,TRAOPE!$A:$U,21,0),VLOOKUP(B1208,TRAOPE!$A:$U,21,0)),"")</f>
        <v/>
      </c>
      <c r="R1208" s="8">
        <f>IFERROR(IFERROR(VLOOKUP(A1208,TRAOPE!$A:$W,23,0),VLOOKUP(B1208,TRAOPE!$A:$W,23,0)),"")</f>
        <v/>
      </c>
      <c r="S1208" s="10">
        <f>IF(AND(P1208="TN",R1208="TN"),N1208+N(O1208),IF(G1208&amp;""="1",N(K1208)*N1208,(N1208+N(O1208))*N(K1208)))</f>
        <v/>
      </c>
      <c r="T1208" s="10">
        <f>IF(Q1208="","",Q1208-S1208)</f>
        <v/>
      </c>
    </row>
    <row r="1209">
      <c r="A1209" s="7">
        <f>CONCATENATE(C1209,E1209,F1209,I1209)</f>
        <v/>
      </c>
      <c r="B1209" s="7">
        <f>CONCATENATE(C1209,E1209,I1209)</f>
        <v/>
      </c>
      <c r="C1209" s="8" t="n">
        <v>900003609</v>
      </c>
      <c r="D1209" s="7">
        <f>IFERROR(VLOOKUP(C1209,TRAOPE!$G:$H,2,0),"")</f>
        <v/>
      </c>
      <c r="E1209" s="8" t="inlineStr">
        <is>
          <t>D836</t>
        </is>
      </c>
      <c r="F1209" s="8" t="inlineStr">
        <is>
          <t>66239627</t>
        </is>
      </c>
      <c r="G1209" s="8">
        <f>IFERROR(VLOOKUP(A1209,Flete!$A:$E,5,0),"")</f>
        <v/>
      </c>
      <c r="H1209" s="7">
        <f>IFERROR(VLOOKUP(F1209,TRAOPE!$AA:$AB,2,0),"")</f>
        <v/>
      </c>
      <c r="I1209" s="7" t="n">
        <v>10000811</v>
      </c>
      <c r="J1209" s="7">
        <f>IFERROR(VLOOKUP(I1209,Materiales!$A:$H,8,0),"")</f>
        <v/>
      </c>
      <c r="K1209" s="9">
        <f>IFERROR(VLOOKUP(I1209,Materiales!$A:$G,7,0),"")</f>
        <v/>
      </c>
      <c r="L1209" s="8" t="inlineStr">
        <is>
          <t>20190426</t>
        </is>
      </c>
      <c r="M1209" s="8" t="inlineStr">
        <is>
          <t>20250127</t>
        </is>
      </c>
      <c r="N1209" s="10" t="n">
        <v>146</v>
      </c>
      <c r="O1209" s="10">
        <f>IFERROR(VLOOKUP(A1209,Flete!$A:$J,10,0),"")</f>
        <v/>
      </c>
      <c r="P1209" s="8" t="inlineStr">
        <is>
          <t>M3</t>
        </is>
      </c>
      <c r="Q1209" s="10">
        <f>IFERROR(IFERROR(VLOOKUP(A1209,TRAOPE!$A:$U,21,0),VLOOKUP(B1209,TRAOPE!$A:$U,21,0)),"")</f>
        <v/>
      </c>
      <c r="R1209" s="8">
        <f>IFERROR(IFERROR(VLOOKUP(A1209,TRAOPE!$A:$W,23,0),VLOOKUP(B1209,TRAOPE!$A:$W,23,0)),"")</f>
        <v/>
      </c>
      <c r="S1209" s="10">
        <f>IF(AND(P1209="TN",R1209="TN"),N1209+N(O1209),IF(G1209&amp;""="1",N(K1209)*N1209,(N1209+N(O1209))*N(K1209)))</f>
        <v/>
      </c>
      <c r="T1209" s="10">
        <f>IF(Q1209="","",Q1209-S1209)</f>
        <v/>
      </c>
    </row>
    <row r="1210">
      <c r="A1210" s="7">
        <f>CONCATENATE(C1210,E1210,F1210,I1210)</f>
        <v/>
      </c>
      <c r="B1210" s="7">
        <f>CONCATENATE(C1210,E1210,I1210)</f>
        <v/>
      </c>
      <c r="C1210" s="8" t="n">
        <v>900003609</v>
      </c>
      <c r="D1210" s="7">
        <f>IFERROR(VLOOKUP(C1210,TRAOPE!$G:$H,2,0),"")</f>
        <v/>
      </c>
      <c r="E1210" s="8" t="inlineStr">
        <is>
          <t>D836</t>
        </is>
      </c>
      <c r="F1210" s="8" t="inlineStr">
        <is>
          <t>66239628</t>
        </is>
      </c>
      <c r="G1210" s="8">
        <f>IFERROR(VLOOKUP(A1210,Flete!$A:$E,5,0),"")</f>
        <v/>
      </c>
      <c r="H1210" s="7">
        <f>IFERROR(VLOOKUP(F1210,TRAOPE!$AA:$AB,2,0),"")</f>
        <v/>
      </c>
      <c r="I1210" s="7" t="n">
        <v>10000624</v>
      </c>
      <c r="J1210" s="7">
        <f>IFERROR(VLOOKUP(I1210,Materiales!$A:$H,8,0),"")</f>
        <v/>
      </c>
      <c r="K1210" s="9">
        <f>IFERROR(VLOOKUP(I1210,Materiales!$A:$G,7,0),"")</f>
        <v/>
      </c>
      <c r="L1210" s="8" t="inlineStr">
        <is>
          <t>20190426</t>
        </is>
      </c>
      <c r="M1210" s="8" t="inlineStr">
        <is>
          <t>20250127</t>
        </is>
      </c>
      <c r="N1210" s="10" t="n">
        <v>142</v>
      </c>
      <c r="O1210" s="10">
        <f>IFERROR(VLOOKUP(A1210,Flete!$A:$J,10,0),"")</f>
        <v/>
      </c>
      <c r="P1210" s="8" t="inlineStr">
        <is>
          <t>M3</t>
        </is>
      </c>
      <c r="Q1210" s="10">
        <f>IFERROR(IFERROR(VLOOKUP(A1210,TRAOPE!$A:$U,21,0),VLOOKUP(B1210,TRAOPE!$A:$U,21,0)),"")</f>
        <v/>
      </c>
      <c r="R1210" s="8">
        <f>IFERROR(IFERROR(VLOOKUP(A1210,TRAOPE!$A:$W,23,0),VLOOKUP(B1210,TRAOPE!$A:$W,23,0)),"")</f>
        <v/>
      </c>
      <c r="S1210" s="10">
        <f>IF(AND(P1210="TN",R1210="TN"),N1210+N(O1210),IF(G1210&amp;""="1",N(K1210)*N1210,(N1210+N(O1210))*N(K1210)))</f>
        <v/>
      </c>
      <c r="T1210" s="10">
        <f>IF(Q1210="","",Q1210-S1210)</f>
        <v/>
      </c>
    </row>
    <row r="1211">
      <c r="A1211" s="7">
        <f>CONCATENATE(C1211,E1211,F1211,I1211)</f>
        <v/>
      </c>
      <c r="B1211" s="7">
        <f>CONCATENATE(C1211,E1211,I1211)</f>
        <v/>
      </c>
      <c r="C1211" s="8" t="n">
        <v>900003609</v>
      </c>
      <c r="D1211" s="7">
        <f>IFERROR(VLOOKUP(C1211,TRAOPE!$G:$H,2,0),"")</f>
        <v/>
      </c>
      <c r="E1211" s="8" t="inlineStr">
        <is>
          <t>D836</t>
        </is>
      </c>
      <c r="F1211" s="8" t="inlineStr">
        <is>
          <t>66239628</t>
        </is>
      </c>
      <c r="G1211" s="8">
        <f>IFERROR(VLOOKUP(A1211,Flete!$A:$E,5,0),"")</f>
        <v/>
      </c>
      <c r="H1211" s="7">
        <f>IFERROR(VLOOKUP(F1211,TRAOPE!$AA:$AB,2,0),"")</f>
        <v/>
      </c>
      <c r="I1211" s="7" t="n">
        <v>10000625</v>
      </c>
      <c r="J1211" s="7">
        <f>IFERROR(VLOOKUP(I1211,Materiales!$A:$H,8,0),"")</f>
        <v/>
      </c>
      <c r="K1211" s="9">
        <f>IFERROR(VLOOKUP(I1211,Materiales!$A:$G,7,0),"")</f>
        <v/>
      </c>
      <c r="L1211" s="8" t="inlineStr">
        <is>
          <t>20190426</t>
        </is>
      </c>
      <c r="M1211" s="8" t="inlineStr">
        <is>
          <t>20250127</t>
        </is>
      </c>
      <c r="N1211" s="10" t="n">
        <v>134</v>
      </c>
      <c r="O1211" s="10">
        <f>IFERROR(VLOOKUP(A1211,Flete!$A:$J,10,0),"")</f>
        <v/>
      </c>
      <c r="P1211" s="8" t="inlineStr">
        <is>
          <t>M3</t>
        </is>
      </c>
      <c r="Q1211" s="10">
        <f>IFERROR(IFERROR(VLOOKUP(A1211,TRAOPE!$A:$U,21,0),VLOOKUP(B1211,TRAOPE!$A:$U,21,0)),"")</f>
        <v/>
      </c>
      <c r="R1211" s="8">
        <f>IFERROR(IFERROR(VLOOKUP(A1211,TRAOPE!$A:$W,23,0),VLOOKUP(B1211,TRAOPE!$A:$W,23,0)),"")</f>
        <v/>
      </c>
      <c r="S1211" s="10">
        <f>IF(AND(P1211="TN",R1211="TN"),N1211+N(O1211),IF(G1211&amp;""="1",N(K1211)*N1211,(N1211+N(O1211))*N(K1211)))</f>
        <v/>
      </c>
      <c r="T1211" s="10">
        <f>IF(Q1211="","",Q1211-S1211)</f>
        <v/>
      </c>
    </row>
    <row r="1212">
      <c r="A1212" s="7">
        <f>CONCATENATE(C1212,E1212,F1212,I1212)</f>
        <v/>
      </c>
      <c r="B1212" s="7">
        <f>CONCATENATE(C1212,E1212,I1212)</f>
        <v/>
      </c>
      <c r="C1212" s="8" t="n">
        <v>900003609</v>
      </c>
      <c r="D1212" s="7">
        <f>IFERROR(VLOOKUP(C1212,TRAOPE!$G:$H,2,0),"")</f>
        <v/>
      </c>
      <c r="E1212" s="8" t="inlineStr">
        <is>
          <t>D836</t>
        </is>
      </c>
      <c r="F1212" s="8" t="inlineStr">
        <is>
          <t>66239628</t>
        </is>
      </c>
      <c r="G1212" s="8">
        <f>IFERROR(VLOOKUP(A1212,Flete!$A:$E,5,0),"")</f>
        <v/>
      </c>
      <c r="H1212" s="7">
        <f>IFERROR(VLOOKUP(F1212,TRAOPE!$AA:$AB,2,0),"")</f>
        <v/>
      </c>
      <c r="I1212" s="7" t="n">
        <v>10000630</v>
      </c>
      <c r="J1212" s="7">
        <f>IFERROR(VLOOKUP(I1212,Materiales!$A:$H,8,0),"")</f>
        <v/>
      </c>
      <c r="K1212" s="9">
        <f>IFERROR(VLOOKUP(I1212,Materiales!$A:$G,7,0),"")</f>
        <v/>
      </c>
      <c r="L1212" s="8" t="inlineStr">
        <is>
          <t>20190426</t>
        </is>
      </c>
      <c r="M1212" s="8" t="inlineStr">
        <is>
          <t>20250127</t>
        </is>
      </c>
      <c r="N1212" s="10" t="n">
        <v>155</v>
      </c>
      <c r="O1212" s="10">
        <f>IFERROR(VLOOKUP(A1212,Flete!$A:$J,10,0),"")</f>
        <v/>
      </c>
      <c r="P1212" s="8" t="inlineStr">
        <is>
          <t>M3</t>
        </is>
      </c>
      <c r="Q1212" s="10">
        <f>IFERROR(IFERROR(VLOOKUP(A1212,TRAOPE!$A:$U,21,0),VLOOKUP(B1212,TRAOPE!$A:$U,21,0)),"")</f>
        <v/>
      </c>
      <c r="R1212" s="8">
        <f>IFERROR(IFERROR(VLOOKUP(A1212,TRAOPE!$A:$W,23,0),VLOOKUP(B1212,TRAOPE!$A:$W,23,0)),"")</f>
        <v/>
      </c>
      <c r="S1212" s="10">
        <f>IF(AND(P1212="TN",R1212="TN"),N1212+N(O1212),IF(G1212&amp;""="1",N(K1212)*N1212,(N1212+N(O1212))*N(K1212)))</f>
        <v/>
      </c>
      <c r="T1212" s="10">
        <f>IF(Q1212="","",Q1212-S1212)</f>
        <v/>
      </c>
    </row>
    <row r="1213">
      <c r="A1213" s="7">
        <f>CONCATENATE(C1213,E1213,F1213,I1213)</f>
        <v/>
      </c>
      <c r="B1213" s="7">
        <f>CONCATENATE(C1213,E1213,I1213)</f>
        <v/>
      </c>
      <c r="C1213" s="8" t="n">
        <v>900003609</v>
      </c>
      <c r="D1213" s="7">
        <f>IFERROR(VLOOKUP(C1213,TRAOPE!$G:$H,2,0),"")</f>
        <v/>
      </c>
      <c r="E1213" s="8" t="inlineStr">
        <is>
          <t>D836</t>
        </is>
      </c>
      <c r="F1213" s="8" t="inlineStr">
        <is>
          <t>66239628</t>
        </is>
      </c>
      <c r="G1213" s="8">
        <f>IFERROR(VLOOKUP(A1213,Flete!$A:$E,5,0),"")</f>
        <v/>
      </c>
      <c r="H1213" s="7">
        <f>IFERROR(VLOOKUP(F1213,TRAOPE!$AA:$AB,2,0),"")</f>
        <v/>
      </c>
      <c r="I1213" s="7" t="n">
        <v>10000811</v>
      </c>
      <c r="J1213" s="7">
        <f>IFERROR(VLOOKUP(I1213,Materiales!$A:$H,8,0),"")</f>
        <v/>
      </c>
      <c r="K1213" s="9">
        <f>IFERROR(VLOOKUP(I1213,Materiales!$A:$G,7,0),"")</f>
        <v/>
      </c>
      <c r="L1213" s="8" t="inlineStr">
        <is>
          <t>20190426</t>
        </is>
      </c>
      <c r="M1213" s="8" t="inlineStr">
        <is>
          <t>20250127</t>
        </is>
      </c>
      <c r="N1213" s="10" t="n">
        <v>146</v>
      </c>
      <c r="O1213" s="10">
        <f>IFERROR(VLOOKUP(A1213,Flete!$A:$J,10,0),"")</f>
        <v/>
      </c>
      <c r="P1213" s="8" t="inlineStr">
        <is>
          <t>M3</t>
        </is>
      </c>
      <c r="Q1213" s="10">
        <f>IFERROR(IFERROR(VLOOKUP(A1213,TRAOPE!$A:$U,21,0),VLOOKUP(B1213,TRAOPE!$A:$U,21,0)),"")</f>
        <v/>
      </c>
      <c r="R1213" s="8">
        <f>IFERROR(IFERROR(VLOOKUP(A1213,TRAOPE!$A:$W,23,0),VLOOKUP(B1213,TRAOPE!$A:$W,23,0)),"")</f>
        <v/>
      </c>
      <c r="S1213" s="10">
        <f>IF(AND(P1213="TN",R1213="TN"),N1213+N(O1213),IF(G1213&amp;""="1",N(K1213)*N1213,(N1213+N(O1213))*N(K1213)))</f>
        <v/>
      </c>
      <c r="T1213" s="10">
        <f>IF(Q1213="","",Q1213-S1213)</f>
        <v/>
      </c>
    </row>
    <row r="1214">
      <c r="A1214" s="7">
        <f>CONCATENATE(C1214,E1214,F1214,I1214)</f>
        <v/>
      </c>
      <c r="B1214" s="7">
        <f>CONCATENATE(C1214,E1214,I1214)</f>
        <v/>
      </c>
      <c r="C1214" s="8" t="n">
        <v>900003609</v>
      </c>
      <c r="D1214" s="7">
        <f>IFERROR(VLOOKUP(C1214,TRAOPE!$G:$H,2,0),"")</f>
        <v/>
      </c>
      <c r="E1214" s="8" t="inlineStr">
        <is>
          <t>D836</t>
        </is>
      </c>
      <c r="F1214" s="8" t="inlineStr">
        <is>
          <t>66260760</t>
        </is>
      </c>
      <c r="G1214" s="8">
        <f>IFERROR(VLOOKUP(A1214,Flete!$A:$E,5,0),"")</f>
        <v/>
      </c>
      <c r="H1214" s="7">
        <f>IFERROR(VLOOKUP(F1214,TRAOPE!$AA:$AB,2,0),"")</f>
        <v/>
      </c>
      <c r="I1214" s="7" t="n">
        <v>10000630</v>
      </c>
      <c r="J1214" s="7">
        <f>IFERROR(VLOOKUP(I1214,Materiales!$A:$H,8,0),"")</f>
        <v/>
      </c>
      <c r="K1214" s="9">
        <f>IFERROR(VLOOKUP(I1214,Materiales!$A:$G,7,0),"")</f>
        <v/>
      </c>
      <c r="L1214" s="8" t="inlineStr">
        <is>
          <t>20190426</t>
        </is>
      </c>
      <c r="M1214" s="8" t="inlineStr">
        <is>
          <t>20250127</t>
        </is>
      </c>
      <c r="N1214" s="10" t="n">
        <v>170</v>
      </c>
      <c r="O1214" s="10">
        <f>IFERROR(VLOOKUP(A1214,Flete!$A:$J,10,0),"")</f>
        <v/>
      </c>
      <c r="P1214" s="8" t="inlineStr">
        <is>
          <t>M3</t>
        </is>
      </c>
      <c r="Q1214" s="10">
        <f>IFERROR(IFERROR(VLOOKUP(A1214,TRAOPE!$A:$U,21,0),VLOOKUP(B1214,TRAOPE!$A:$U,21,0)),"")</f>
        <v/>
      </c>
      <c r="R1214" s="8">
        <f>IFERROR(IFERROR(VLOOKUP(A1214,TRAOPE!$A:$W,23,0),VLOOKUP(B1214,TRAOPE!$A:$W,23,0)),"")</f>
        <v/>
      </c>
      <c r="S1214" s="10">
        <f>IF(AND(P1214="TN",R1214="TN"),N1214+N(O1214),IF(G1214&amp;""="1",N(K1214)*N1214,(N1214+N(O1214))*N(K1214)))</f>
        <v/>
      </c>
      <c r="T1214" s="10">
        <f>IF(Q1214="","",Q1214-S1214)</f>
        <v/>
      </c>
    </row>
    <row r="1215">
      <c r="A1215" s="7">
        <f>CONCATENATE(C1215,E1215,F1215,I1215)</f>
        <v/>
      </c>
      <c r="B1215" s="7">
        <f>CONCATENATE(C1215,E1215,I1215)</f>
        <v/>
      </c>
      <c r="C1215" s="8" t="n">
        <v>900003609</v>
      </c>
      <c r="D1215" s="7">
        <f>IFERROR(VLOOKUP(C1215,TRAOPE!$G:$H,2,0),"")</f>
        <v/>
      </c>
      <c r="E1215" s="8" t="inlineStr">
        <is>
          <t>D836</t>
        </is>
      </c>
      <c r="F1215" s="8" t="inlineStr">
        <is>
          <t>66260760</t>
        </is>
      </c>
      <c r="G1215" s="8">
        <f>IFERROR(VLOOKUP(A1215,Flete!$A:$E,5,0),"")</f>
        <v/>
      </c>
      <c r="H1215" s="7">
        <f>IFERROR(VLOOKUP(F1215,TRAOPE!$AA:$AB,2,0),"")</f>
        <v/>
      </c>
      <c r="I1215" s="7" t="n">
        <v>10000811</v>
      </c>
      <c r="J1215" s="7">
        <f>IFERROR(VLOOKUP(I1215,Materiales!$A:$H,8,0),"")</f>
        <v/>
      </c>
      <c r="K1215" s="9">
        <f>IFERROR(VLOOKUP(I1215,Materiales!$A:$G,7,0),"")</f>
        <v/>
      </c>
      <c r="L1215" s="8" t="inlineStr">
        <is>
          <t>20190426</t>
        </is>
      </c>
      <c r="M1215" s="8" t="inlineStr">
        <is>
          <t>20250127</t>
        </is>
      </c>
      <c r="N1215" s="10" t="n">
        <v>133</v>
      </c>
      <c r="O1215" s="10">
        <f>IFERROR(VLOOKUP(A1215,Flete!$A:$J,10,0),"")</f>
        <v/>
      </c>
      <c r="P1215" s="8" t="inlineStr">
        <is>
          <t>M3</t>
        </is>
      </c>
      <c r="Q1215" s="10">
        <f>IFERROR(IFERROR(VLOOKUP(A1215,TRAOPE!$A:$U,21,0),VLOOKUP(B1215,TRAOPE!$A:$U,21,0)),"")</f>
        <v/>
      </c>
      <c r="R1215" s="8">
        <f>IFERROR(IFERROR(VLOOKUP(A1215,TRAOPE!$A:$W,23,0),VLOOKUP(B1215,TRAOPE!$A:$W,23,0)),"")</f>
        <v/>
      </c>
      <c r="S1215" s="10">
        <f>IF(AND(P1215="TN",R1215="TN"),N1215+N(O1215),IF(G1215&amp;""="1",N(K1215)*N1215,(N1215+N(O1215))*N(K1215)))</f>
        <v/>
      </c>
      <c r="T1215" s="10">
        <f>IF(Q1215="","",Q1215-S1215)</f>
        <v/>
      </c>
    </row>
    <row r="1216">
      <c r="A1216" s="7">
        <f>CONCATENATE(C1216,E1216,F1216,I1216)</f>
        <v/>
      </c>
      <c r="B1216" s="7">
        <f>CONCATENATE(C1216,E1216,I1216)</f>
        <v/>
      </c>
      <c r="C1216" s="8" t="n">
        <v>900003609</v>
      </c>
      <c r="D1216" s="7">
        <f>IFERROR(VLOOKUP(C1216,TRAOPE!$G:$H,2,0),"")</f>
        <v/>
      </c>
      <c r="E1216" s="8" t="inlineStr">
        <is>
          <t>D836</t>
        </is>
      </c>
      <c r="F1216" s="8" t="inlineStr">
        <is>
          <t>66272739</t>
        </is>
      </c>
      <c r="G1216" s="8">
        <f>IFERROR(VLOOKUP(A1216,Flete!$A:$E,5,0),"")</f>
        <v/>
      </c>
      <c r="H1216" s="7">
        <f>IFERROR(VLOOKUP(F1216,TRAOPE!$AA:$AB,2,0),"")</f>
        <v/>
      </c>
      <c r="I1216" s="7" t="n">
        <v>10053281</v>
      </c>
      <c r="J1216" s="7">
        <f>IFERROR(VLOOKUP(I1216,Materiales!$A:$H,8,0),"")</f>
        <v/>
      </c>
      <c r="K1216" s="9">
        <f>IFERROR(VLOOKUP(I1216,Materiales!$A:$G,7,0),"")</f>
        <v/>
      </c>
      <c r="L1216" s="8" t="inlineStr">
        <is>
          <t>20190426</t>
        </is>
      </c>
      <c r="M1216" s="8" t="inlineStr">
        <is>
          <t>20250127</t>
        </is>
      </c>
      <c r="N1216" s="10" t="n">
        <v>126</v>
      </c>
      <c r="O1216" s="10">
        <f>IFERROR(VLOOKUP(A1216,Flete!$A:$J,10,0),"")</f>
        <v/>
      </c>
      <c r="P1216" s="8" t="inlineStr">
        <is>
          <t>M3</t>
        </is>
      </c>
      <c r="Q1216" s="10">
        <f>IFERROR(IFERROR(VLOOKUP(A1216,TRAOPE!$A:$U,21,0),VLOOKUP(B1216,TRAOPE!$A:$U,21,0)),"")</f>
        <v/>
      </c>
      <c r="R1216" s="8">
        <f>IFERROR(IFERROR(VLOOKUP(A1216,TRAOPE!$A:$W,23,0),VLOOKUP(B1216,TRAOPE!$A:$W,23,0)),"")</f>
        <v/>
      </c>
      <c r="S1216" s="10">
        <f>IF(AND(P1216="TN",R1216="TN"),N1216+N(O1216),IF(G1216&amp;""="1",N(K1216)*N1216,(N1216+N(O1216))*N(K1216)))</f>
        <v/>
      </c>
      <c r="T1216" s="10">
        <f>IF(Q1216="","",Q1216-S1216)</f>
        <v/>
      </c>
    </row>
    <row r="1217">
      <c r="A1217" s="7">
        <f>CONCATENATE(C1217,E1217,F1217,I1217)</f>
        <v/>
      </c>
      <c r="B1217" s="7">
        <f>CONCATENATE(C1217,E1217,I1217)</f>
        <v/>
      </c>
      <c r="C1217" s="8" t="n">
        <v>900003609</v>
      </c>
      <c r="D1217" s="7">
        <f>IFERROR(VLOOKUP(C1217,TRAOPE!$G:$H,2,0),"")</f>
        <v/>
      </c>
      <c r="E1217" s="8" t="inlineStr">
        <is>
          <t>D836</t>
        </is>
      </c>
      <c r="F1217" s="8" t="inlineStr">
        <is>
          <t>66289412</t>
        </is>
      </c>
      <c r="G1217" s="8">
        <f>IFERROR(VLOOKUP(A1217,Flete!$A:$E,5,0),"")</f>
        <v/>
      </c>
      <c r="H1217" s="7">
        <f>IFERROR(VLOOKUP(F1217,TRAOPE!$AA:$AB,2,0),"")</f>
        <v/>
      </c>
      <c r="I1217" s="7" t="n">
        <v>10000624</v>
      </c>
      <c r="J1217" s="7">
        <f>IFERROR(VLOOKUP(I1217,Materiales!$A:$H,8,0),"")</f>
        <v/>
      </c>
      <c r="K1217" s="9">
        <f>IFERROR(VLOOKUP(I1217,Materiales!$A:$G,7,0),"")</f>
        <v/>
      </c>
      <c r="L1217" s="8" t="inlineStr">
        <is>
          <t>20190426</t>
        </is>
      </c>
      <c r="M1217" s="8" t="inlineStr">
        <is>
          <t>20250127</t>
        </is>
      </c>
      <c r="N1217" s="10" t="n">
        <v>142</v>
      </c>
      <c r="O1217" s="10">
        <f>IFERROR(VLOOKUP(A1217,Flete!$A:$J,10,0),"")</f>
        <v/>
      </c>
      <c r="P1217" s="8" t="inlineStr">
        <is>
          <t>M3</t>
        </is>
      </c>
      <c r="Q1217" s="10">
        <f>IFERROR(IFERROR(VLOOKUP(A1217,TRAOPE!$A:$U,21,0),VLOOKUP(B1217,TRAOPE!$A:$U,21,0)),"")</f>
        <v/>
      </c>
      <c r="R1217" s="8">
        <f>IFERROR(IFERROR(VLOOKUP(A1217,TRAOPE!$A:$W,23,0),VLOOKUP(B1217,TRAOPE!$A:$W,23,0)),"")</f>
        <v/>
      </c>
      <c r="S1217" s="10">
        <f>IF(AND(P1217="TN",R1217="TN"),N1217+N(O1217),IF(G1217&amp;""="1",N(K1217)*N1217,(N1217+N(O1217))*N(K1217)))</f>
        <v/>
      </c>
      <c r="T1217" s="10">
        <f>IF(Q1217="","",Q1217-S1217)</f>
        <v/>
      </c>
    </row>
    <row r="1218">
      <c r="A1218" s="7">
        <f>CONCATENATE(C1218,E1218,F1218,I1218)</f>
        <v/>
      </c>
      <c r="B1218" s="7">
        <f>CONCATENATE(C1218,E1218,I1218)</f>
        <v/>
      </c>
      <c r="C1218" s="8" t="n">
        <v>900003609</v>
      </c>
      <c r="D1218" s="7">
        <f>IFERROR(VLOOKUP(C1218,TRAOPE!$G:$H,2,0),"")</f>
        <v/>
      </c>
      <c r="E1218" s="8" t="inlineStr">
        <is>
          <t>D836</t>
        </is>
      </c>
      <c r="F1218" s="8" t="inlineStr">
        <is>
          <t>66289412</t>
        </is>
      </c>
      <c r="G1218" s="8">
        <f>IFERROR(VLOOKUP(A1218,Flete!$A:$E,5,0),"")</f>
        <v/>
      </c>
      <c r="H1218" s="7">
        <f>IFERROR(VLOOKUP(F1218,TRAOPE!$AA:$AB,2,0),"")</f>
        <v/>
      </c>
      <c r="I1218" s="7" t="n">
        <v>10000811</v>
      </c>
      <c r="J1218" s="7">
        <f>IFERROR(VLOOKUP(I1218,Materiales!$A:$H,8,0),"")</f>
        <v/>
      </c>
      <c r="K1218" s="9">
        <f>IFERROR(VLOOKUP(I1218,Materiales!$A:$G,7,0),"")</f>
        <v/>
      </c>
      <c r="L1218" s="8" t="inlineStr">
        <is>
          <t>20190426</t>
        </is>
      </c>
      <c r="M1218" s="8" t="inlineStr">
        <is>
          <t>20250127</t>
        </is>
      </c>
      <c r="N1218" s="10" t="n">
        <v>146</v>
      </c>
      <c r="O1218" s="10">
        <f>IFERROR(VLOOKUP(A1218,Flete!$A:$J,10,0),"")</f>
        <v/>
      </c>
      <c r="P1218" s="8" t="inlineStr">
        <is>
          <t>M3</t>
        </is>
      </c>
      <c r="Q1218" s="10">
        <f>IFERROR(IFERROR(VLOOKUP(A1218,TRAOPE!$A:$U,21,0),VLOOKUP(B1218,TRAOPE!$A:$U,21,0)),"")</f>
        <v/>
      </c>
      <c r="R1218" s="8">
        <f>IFERROR(IFERROR(VLOOKUP(A1218,TRAOPE!$A:$W,23,0),VLOOKUP(B1218,TRAOPE!$A:$W,23,0)),"")</f>
        <v/>
      </c>
      <c r="S1218" s="10">
        <f>IF(AND(P1218="TN",R1218="TN"),N1218+N(O1218),IF(G1218&amp;""="1",N(K1218)*N1218,(N1218+N(O1218))*N(K1218)))</f>
        <v/>
      </c>
      <c r="T1218" s="10">
        <f>IF(Q1218="","",Q1218-S1218)</f>
        <v/>
      </c>
    </row>
    <row r="1219">
      <c r="A1219" s="7">
        <f>CONCATENATE(C1219,E1219,F1219,I1219)</f>
        <v/>
      </c>
      <c r="B1219" s="7">
        <f>CONCATENATE(C1219,E1219,I1219)</f>
        <v/>
      </c>
      <c r="C1219" s="8" t="n">
        <v>900003609</v>
      </c>
      <c r="D1219" s="7">
        <f>IFERROR(VLOOKUP(C1219,TRAOPE!$G:$H,2,0),"")</f>
        <v/>
      </c>
      <c r="E1219" s="8" t="inlineStr">
        <is>
          <t>D836</t>
        </is>
      </c>
      <c r="F1219" s="8" t="inlineStr">
        <is>
          <t>66289413</t>
        </is>
      </c>
      <c r="G1219" s="8">
        <f>IFERROR(VLOOKUP(A1219,Flete!$A:$E,5,0),"")</f>
        <v/>
      </c>
      <c r="H1219" s="7">
        <f>IFERROR(VLOOKUP(F1219,TRAOPE!$AA:$AB,2,0),"")</f>
        <v/>
      </c>
      <c r="I1219" s="7" t="n">
        <v>10000624</v>
      </c>
      <c r="J1219" s="7">
        <f>IFERROR(VLOOKUP(I1219,Materiales!$A:$H,8,0),"")</f>
        <v/>
      </c>
      <c r="K1219" s="9">
        <f>IFERROR(VLOOKUP(I1219,Materiales!$A:$G,7,0),"")</f>
        <v/>
      </c>
      <c r="L1219" s="8" t="inlineStr">
        <is>
          <t>20190426</t>
        </is>
      </c>
      <c r="M1219" s="8" t="inlineStr">
        <is>
          <t>20250127</t>
        </is>
      </c>
      <c r="N1219" s="10" t="n">
        <v>142</v>
      </c>
      <c r="O1219" s="10">
        <f>IFERROR(VLOOKUP(A1219,Flete!$A:$J,10,0),"")</f>
        <v/>
      </c>
      <c r="P1219" s="8" t="inlineStr">
        <is>
          <t>M3</t>
        </is>
      </c>
      <c r="Q1219" s="10">
        <f>IFERROR(IFERROR(VLOOKUP(A1219,TRAOPE!$A:$U,21,0),VLOOKUP(B1219,TRAOPE!$A:$U,21,0)),"")</f>
        <v/>
      </c>
      <c r="R1219" s="8">
        <f>IFERROR(IFERROR(VLOOKUP(A1219,TRAOPE!$A:$W,23,0),VLOOKUP(B1219,TRAOPE!$A:$W,23,0)),"")</f>
        <v/>
      </c>
      <c r="S1219" s="10">
        <f>IF(AND(P1219="TN",R1219="TN"),N1219+N(O1219),IF(G1219&amp;""="1",N(K1219)*N1219,(N1219+N(O1219))*N(K1219)))</f>
        <v/>
      </c>
      <c r="T1219" s="10">
        <f>IF(Q1219="","",Q1219-S1219)</f>
        <v/>
      </c>
    </row>
    <row r="1220">
      <c r="A1220" s="7">
        <f>CONCATENATE(C1220,E1220,F1220,I1220)</f>
        <v/>
      </c>
      <c r="B1220" s="7">
        <f>CONCATENATE(C1220,E1220,I1220)</f>
        <v/>
      </c>
      <c r="C1220" s="8" t="n">
        <v>900003609</v>
      </c>
      <c r="D1220" s="7">
        <f>IFERROR(VLOOKUP(C1220,TRAOPE!$G:$H,2,0),"")</f>
        <v/>
      </c>
      <c r="E1220" s="8" t="inlineStr">
        <is>
          <t>D836</t>
        </is>
      </c>
      <c r="F1220" s="8" t="inlineStr">
        <is>
          <t>66289413</t>
        </is>
      </c>
      <c r="G1220" s="8">
        <f>IFERROR(VLOOKUP(A1220,Flete!$A:$E,5,0),"")</f>
        <v/>
      </c>
      <c r="H1220" s="7">
        <f>IFERROR(VLOOKUP(F1220,TRAOPE!$AA:$AB,2,0),"")</f>
        <v/>
      </c>
      <c r="I1220" s="7" t="n">
        <v>10000630</v>
      </c>
      <c r="J1220" s="7">
        <f>IFERROR(VLOOKUP(I1220,Materiales!$A:$H,8,0),"")</f>
        <v/>
      </c>
      <c r="K1220" s="9">
        <f>IFERROR(VLOOKUP(I1220,Materiales!$A:$G,7,0),"")</f>
        <v/>
      </c>
      <c r="L1220" s="8" t="inlineStr">
        <is>
          <t>20190426</t>
        </is>
      </c>
      <c r="M1220" s="8" t="inlineStr">
        <is>
          <t>20250127</t>
        </is>
      </c>
      <c r="N1220" s="10" t="n">
        <v>155</v>
      </c>
      <c r="O1220" s="10">
        <f>IFERROR(VLOOKUP(A1220,Flete!$A:$J,10,0),"")</f>
        <v/>
      </c>
      <c r="P1220" s="8" t="inlineStr">
        <is>
          <t>M3</t>
        </is>
      </c>
      <c r="Q1220" s="10">
        <f>IFERROR(IFERROR(VLOOKUP(A1220,TRAOPE!$A:$U,21,0),VLOOKUP(B1220,TRAOPE!$A:$U,21,0)),"")</f>
        <v/>
      </c>
      <c r="R1220" s="8">
        <f>IFERROR(IFERROR(VLOOKUP(A1220,TRAOPE!$A:$W,23,0),VLOOKUP(B1220,TRAOPE!$A:$W,23,0)),"")</f>
        <v/>
      </c>
      <c r="S1220" s="10">
        <f>IF(AND(P1220="TN",R1220="TN"),N1220+N(O1220),IF(G1220&amp;""="1",N(K1220)*N1220,(N1220+N(O1220))*N(K1220)))</f>
        <v/>
      </c>
      <c r="T1220" s="10">
        <f>IF(Q1220="","",Q1220-S1220)</f>
        <v/>
      </c>
    </row>
    <row r="1221">
      <c r="A1221" s="7">
        <f>CONCATENATE(C1221,E1221,F1221,I1221)</f>
        <v/>
      </c>
      <c r="B1221" s="7">
        <f>CONCATENATE(C1221,E1221,I1221)</f>
        <v/>
      </c>
      <c r="C1221" s="8" t="n">
        <v>900003609</v>
      </c>
      <c r="D1221" s="7">
        <f>IFERROR(VLOOKUP(C1221,TRAOPE!$G:$H,2,0),"")</f>
        <v/>
      </c>
      <c r="E1221" s="8" t="inlineStr">
        <is>
          <t>D836</t>
        </is>
      </c>
      <c r="F1221" s="8" t="inlineStr">
        <is>
          <t>66289413</t>
        </is>
      </c>
      <c r="G1221" s="8">
        <f>IFERROR(VLOOKUP(A1221,Flete!$A:$E,5,0),"")</f>
        <v/>
      </c>
      <c r="H1221" s="7">
        <f>IFERROR(VLOOKUP(F1221,TRAOPE!$AA:$AB,2,0),"")</f>
        <v/>
      </c>
      <c r="I1221" s="7" t="n">
        <v>10000811</v>
      </c>
      <c r="J1221" s="7">
        <f>IFERROR(VLOOKUP(I1221,Materiales!$A:$H,8,0),"")</f>
        <v/>
      </c>
      <c r="K1221" s="9">
        <f>IFERROR(VLOOKUP(I1221,Materiales!$A:$G,7,0),"")</f>
        <v/>
      </c>
      <c r="L1221" s="8" t="inlineStr">
        <is>
          <t>20190426</t>
        </is>
      </c>
      <c r="M1221" s="8" t="inlineStr">
        <is>
          <t>20250127</t>
        </is>
      </c>
      <c r="N1221" s="10" t="n">
        <v>146</v>
      </c>
      <c r="O1221" s="10">
        <f>IFERROR(VLOOKUP(A1221,Flete!$A:$J,10,0),"")</f>
        <v/>
      </c>
      <c r="P1221" s="8" t="inlineStr">
        <is>
          <t>M3</t>
        </is>
      </c>
      <c r="Q1221" s="10">
        <f>IFERROR(IFERROR(VLOOKUP(A1221,TRAOPE!$A:$U,21,0),VLOOKUP(B1221,TRAOPE!$A:$U,21,0)),"")</f>
        <v/>
      </c>
      <c r="R1221" s="8">
        <f>IFERROR(IFERROR(VLOOKUP(A1221,TRAOPE!$A:$W,23,0),VLOOKUP(B1221,TRAOPE!$A:$W,23,0)),"")</f>
        <v/>
      </c>
      <c r="S1221" s="10">
        <f>IF(AND(P1221="TN",R1221="TN"),N1221+N(O1221),IF(G1221&amp;""="1",N(K1221)*N1221,(N1221+N(O1221))*N(K1221)))</f>
        <v/>
      </c>
      <c r="T1221" s="10">
        <f>IF(Q1221="","",Q1221-S1221)</f>
        <v/>
      </c>
    </row>
    <row r="1222">
      <c r="A1222" s="7">
        <f>CONCATENATE(C1222,E1222,F1222,I1222)</f>
        <v/>
      </c>
      <c r="B1222" s="7">
        <f>CONCATENATE(C1222,E1222,I1222)</f>
        <v/>
      </c>
      <c r="C1222" s="8" t="n">
        <v>900003609</v>
      </c>
      <c r="D1222" s="7">
        <f>IFERROR(VLOOKUP(C1222,TRAOPE!$G:$H,2,0),"")</f>
        <v/>
      </c>
      <c r="E1222" s="8" t="inlineStr">
        <is>
          <t>D836</t>
        </is>
      </c>
      <c r="F1222" s="8" t="inlineStr">
        <is>
          <t>66308834</t>
        </is>
      </c>
      <c r="G1222" s="8">
        <f>IFERROR(VLOOKUP(A1222,Flete!$A:$E,5,0),"")</f>
        <v/>
      </c>
      <c r="H1222" s="7">
        <f>IFERROR(VLOOKUP(F1222,TRAOPE!$AA:$AB,2,0),"")</f>
        <v/>
      </c>
      <c r="I1222" s="7" t="n">
        <v>10000625</v>
      </c>
      <c r="J1222" s="7">
        <f>IFERROR(VLOOKUP(I1222,Materiales!$A:$H,8,0),"")</f>
        <v/>
      </c>
      <c r="K1222" s="9">
        <f>IFERROR(VLOOKUP(I1222,Materiales!$A:$G,7,0),"")</f>
        <v/>
      </c>
      <c r="L1222" s="8" t="inlineStr">
        <is>
          <t>20190426</t>
        </is>
      </c>
      <c r="M1222" s="8" t="inlineStr">
        <is>
          <t>20250127</t>
        </is>
      </c>
      <c r="N1222" s="10" t="n">
        <v>105.56</v>
      </c>
      <c r="O1222" s="10">
        <f>IFERROR(VLOOKUP(A1222,Flete!$A:$J,10,0),"")</f>
        <v/>
      </c>
      <c r="P1222" s="8" t="inlineStr">
        <is>
          <t>M3</t>
        </is>
      </c>
      <c r="Q1222" s="10">
        <f>IFERROR(IFERROR(VLOOKUP(A1222,TRAOPE!$A:$U,21,0),VLOOKUP(B1222,TRAOPE!$A:$U,21,0)),"")</f>
        <v/>
      </c>
      <c r="R1222" s="8">
        <f>IFERROR(IFERROR(VLOOKUP(A1222,TRAOPE!$A:$W,23,0),VLOOKUP(B1222,TRAOPE!$A:$W,23,0)),"")</f>
        <v/>
      </c>
      <c r="S1222" s="10">
        <f>IF(AND(P1222="TN",R1222="TN"),N1222+N(O1222),IF(G1222&amp;""="1",N(K1222)*N1222,(N1222+N(O1222))*N(K1222)))</f>
        <v/>
      </c>
      <c r="T1222" s="10">
        <f>IF(Q1222="","",Q1222-S1222)</f>
        <v/>
      </c>
    </row>
    <row r="1223">
      <c r="A1223" s="7">
        <f>CONCATENATE(C1223,E1223,F1223,I1223)</f>
        <v/>
      </c>
      <c r="B1223" s="7">
        <f>CONCATENATE(C1223,E1223,I1223)</f>
        <v/>
      </c>
      <c r="C1223" s="8" t="n">
        <v>900003609</v>
      </c>
      <c r="D1223" s="7">
        <f>IFERROR(VLOOKUP(C1223,TRAOPE!$G:$H,2,0),"")</f>
        <v/>
      </c>
      <c r="E1223" s="8" t="inlineStr">
        <is>
          <t>D836</t>
        </is>
      </c>
      <c r="F1223" s="8" t="inlineStr">
        <is>
          <t>66308834</t>
        </is>
      </c>
      <c r="G1223" s="8">
        <f>IFERROR(VLOOKUP(A1223,Flete!$A:$E,5,0),"")</f>
        <v/>
      </c>
      <c r="H1223" s="7">
        <f>IFERROR(VLOOKUP(F1223,TRAOPE!$AA:$AB,2,0),"")</f>
        <v/>
      </c>
      <c r="I1223" s="7" t="n">
        <v>10000630</v>
      </c>
      <c r="J1223" s="7">
        <f>IFERROR(VLOOKUP(I1223,Materiales!$A:$H,8,0),"")</f>
        <v/>
      </c>
      <c r="K1223" s="9">
        <f>IFERROR(VLOOKUP(I1223,Materiales!$A:$G,7,0),"")</f>
        <v/>
      </c>
      <c r="L1223" s="8" t="inlineStr">
        <is>
          <t>20190426</t>
        </is>
      </c>
      <c r="M1223" s="8" t="inlineStr">
        <is>
          <t>20250127</t>
        </is>
      </c>
      <c r="N1223" s="10" t="n">
        <v>148.89</v>
      </c>
      <c r="O1223" s="10">
        <f>IFERROR(VLOOKUP(A1223,Flete!$A:$J,10,0),"")</f>
        <v/>
      </c>
      <c r="P1223" s="8" t="inlineStr">
        <is>
          <t>M3</t>
        </is>
      </c>
      <c r="Q1223" s="10">
        <f>IFERROR(IFERROR(VLOOKUP(A1223,TRAOPE!$A:$U,21,0),VLOOKUP(B1223,TRAOPE!$A:$U,21,0)),"")</f>
        <v/>
      </c>
      <c r="R1223" s="8">
        <f>IFERROR(IFERROR(VLOOKUP(A1223,TRAOPE!$A:$W,23,0),VLOOKUP(B1223,TRAOPE!$A:$W,23,0)),"")</f>
        <v/>
      </c>
      <c r="S1223" s="10">
        <f>IF(AND(P1223="TN",R1223="TN"),N1223+N(O1223),IF(G1223&amp;""="1",N(K1223)*N1223,(N1223+N(O1223))*N(K1223)))</f>
        <v/>
      </c>
      <c r="T1223" s="10">
        <f>IF(Q1223="","",Q1223-S1223)</f>
        <v/>
      </c>
    </row>
    <row r="1224">
      <c r="A1224" s="7">
        <f>CONCATENATE(C1224,E1224,F1224,I1224)</f>
        <v/>
      </c>
      <c r="B1224" s="7">
        <f>CONCATENATE(C1224,E1224,I1224)</f>
        <v/>
      </c>
      <c r="C1224" s="8" t="n">
        <v>900003609</v>
      </c>
      <c r="D1224" s="7">
        <f>IFERROR(VLOOKUP(C1224,TRAOPE!$G:$H,2,0),"")</f>
        <v/>
      </c>
      <c r="E1224" s="8" t="inlineStr">
        <is>
          <t>D836</t>
        </is>
      </c>
      <c r="F1224" s="8" t="inlineStr">
        <is>
          <t>66308834</t>
        </is>
      </c>
      <c r="G1224" s="8">
        <f>IFERROR(VLOOKUP(A1224,Flete!$A:$E,5,0),"")</f>
        <v/>
      </c>
      <c r="H1224" s="7">
        <f>IFERROR(VLOOKUP(F1224,TRAOPE!$AA:$AB,2,0),"")</f>
        <v/>
      </c>
      <c r="I1224" s="7" t="n">
        <v>10000722</v>
      </c>
      <c r="J1224" s="7">
        <f>IFERROR(VLOOKUP(I1224,Materiales!$A:$H,8,0),"")</f>
        <v/>
      </c>
      <c r="K1224" s="9">
        <f>IFERROR(VLOOKUP(I1224,Materiales!$A:$G,7,0),"")</f>
        <v/>
      </c>
      <c r="L1224" s="8" t="inlineStr">
        <is>
          <t>20190426</t>
        </is>
      </c>
      <c r="M1224" s="8" t="inlineStr">
        <is>
          <t>20250127</t>
        </is>
      </c>
      <c r="N1224" s="10" t="n">
        <v>131.11</v>
      </c>
      <c r="O1224" s="10">
        <f>IFERROR(VLOOKUP(A1224,Flete!$A:$J,10,0),"")</f>
        <v/>
      </c>
      <c r="P1224" s="8" t="inlineStr">
        <is>
          <t>M3</t>
        </is>
      </c>
      <c r="Q1224" s="10">
        <f>IFERROR(IFERROR(VLOOKUP(A1224,TRAOPE!$A:$U,21,0),VLOOKUP(B1224,TRAOPE!$A:$U,21,0)),"")</f>
        <v/>
      </c>
      <c r="R1224" s="8">
        <f>IFERROR(IFERROR(VLOOKUP(A1224,TRAOPE!$A:$W,23,0),VLOOKUP(B1224,TRAOPE!$A:$W,23,0)),"")</f>
        <v/>
      </c>
      <c r="S1224" s="10">
        <f>IF(AND(P1224="TN",R1224="TN"),N1224+N(O1224),IF(G1224&amp;""="1",N(K1224)*N1224,(N1224+N(O1224))*N(K1224)))</f>
        <v/>
      </c>
      <c r="T1224" s="10">
        <f>IF(Q1224="","",Q1224-S1224)</f>
        <v/>
      </c>
    </row>
    <row r="1225">
      <c r="A1225" s="7">
        <f>CONCATENATE(C1225,E1225,F1225,I1225)</f>
        <v/>
      </c>
      <c r="B1225" s="7">
        <f>CONCATENATE(C1225,E1225,I1225)</f>
        <v/>
      </c>
      <c r="C1225" s="8" t="n">
        <v>900003609</v>
      </c>
      <c r="D1225" s="7">
        <f>IFERROR(VLOOKUP(C1225,TRAOPE!$G:$H,2,0),"")</f>
        <v/>
      </c>
      <c r="E1225" s="8" t="inlineStr">
        <is>
          <t>D836</t>
        </is>
      </c>
      <c r="F1225" s="8" t="inlineStr">
        <is>
          <t>66313307</t>
        </is>
      </c>
      <c r="G1225" s="8">
        <f>IFERROR(VLOOKUP(A1225,Flete!$A:$E,5,0),"")</f>
        <v/>
      </c>
      <c r="H1225" s="7">
        <f>IFERROR(VLOOKUP(F1225,TRAOPE!$AA:$AB,2,0),"")</f>
        <v/>
      </c>
      <c r="I1225" s="7" t="n">
        <v>10000630</v>
      </c>
      <c r="J1225" s="7">
        <f>IFERROR(VLOOKUP(I1225,Materiales!$A:$H,8,0),"")</f>
        <v/>
      </c>
      <c r="K1225" s="9">
        <f>IFERROR(VLOOKUP(I1225,Materiales!$A:$G,7,0),"")</f>
        <v/>
      </c>
      <c r="L1225" s="8" t="inlineStr">
        <is>
          <t>20190426</t>
        </is>
      </c>
      <c r="M1225" s="8" t="inlineStr">
        <is>
          <t>20250127</t>
        </is>
      </c>
      <c r="N1225" s="10" t="n">
        <v>145</v>
      </c>
      <c r="O1225" s="10">
        <f>IFERROR(VLOOKUP(A1225,Flete!$A:$J,10,0),"")</f>
        <v/>
      </c>
      <c r="P1225" s="8" t="inlineStr">
        <is>
          <t>M3</t>
        </is>
      </c>
      <c r="Q1225" s="10">
        <f>IFERROR(IFERROR(VLOOKUP(A1225,TRAOPE!$A:$U,21,0),VLOOKUP(B1225,TRAOPE!$A:$U,21,0)),"")</f>
        <v/>
      </c>
      <c r="R1225" s="8">
        <f>IFERROR(IFERROR(VLOOKUP(A1225,TRAOPE!$A:$W,23,0),VLOOKUP(B1225,TRAOPE!$A:$W,23,0)),"")</f>
        <v/>
      </c>
      <c r="S1225" s="10">
        <f>IF(AND(P1225="TN",R1225="TN"),N1225+N(O1225),IF(G1225&amp;""="1",N(K1225)*N1225,(N1225+N(O1225))*N(K1225)))</f>
        <v/>
      </c>
      <c r="T1225" s="10">
        <f>IF(Q1225="","",Q1225-S1225)</f>
        <v/>
      </c>
    </row>
    <row r="1226">
      <c r="A1226" s="7">
        <f>CONCATENATE(C1226,E1226,F1226,I1226)</f>
        <v/>
      </c>
      <c r="B1226" s="7">
        <f>CONCATENATE(C1226,E1226,I1226)</f>
        <v/>
      </c>
      <c r="C1226" s="8" t="n">
        <v>900003609</v>
      </c>
      <c r="D1226" s="7">
        <f>IFERROR(VLOOKUP(C1226,TRAOPE!$G:$H,2,0),"")</f>
        <v/>
      </c>
      <c r="E1226" s="8" t="inlineStr">
        <is>
          <t>D836</t>
        </is>
      </c>
      <c r="F1226" s="8" t="inlineStr">
        <is>
          <t>66313323</t>
        </is>
      </c>
      <c r="G1226" s="8">
        <f>IFERROR(VLOOKUP(A1226,Flete!$A:$E,5,0),"")</f>
        <v/>
      </c>
      <c r="H1226" s="7">
        <f>IFERROR(VLOOKUP(F1226,TRAOPE!$AA:$AB,2,0),"")</f>
        <v/>
      </c>
      <c r="I1226" s="7" t="n">
        <v>10000630</v>
      </c>
      <c r="J1226" s="7">
        <f>IFERROR(VLOOKUP(I1226,Materiales!$A:$H,8,0),"")</f>
        <v/>
      </c>
      <c r="K1226" s="9">
        <f>IFERROR(VLOOKUP(I1226,Materiales!$A:$G,7,0),"")</f>
        <v/>
      </c>
      <c r="L1226" s="8" t="inlineStr">
        <is>
          <t>20190426</t>
        </is>
      </c>
      <c r="M1226" s="8" t="inlineStr">
        <is>
          <t>20250127</t>
        </is>
      </c>
      <c r="N1226" s="10" t="n">
        <v>145</v>
      </c>
      <c r="O1226" s="10">
        <f>IFERROR(VLOOKUP(A1226,Flete!$A:$J,10,0),"")</f>
        <v/>
      </c>
      <c r="P1226" s="8" t="inlineStr">
        <is>
          <t>M3</t>
        </is>
      </c>
      <c r="Q1226" s="10">
        <f>IFERROR(IFERROR(VLOOKUP(A1226,TRAOPE!$A:$U,21,0),VLOOKUP(B1226,TRAOPE!$A:$U,21,0)),"")</f>
        <v/>
      </c>
      <c r="R1226" s="8">
        <f>IFERROR(IFERROR(VLOOKUP(A1226,TRAOPE!$A:$W,23,0),VLOOKUP(B1226,TRAOPE!$A:$W,23,0)),"")</f>
        <v/>
      </c>
      <c r="S1226" s="10">
        <f>IF(AND(P1226="TN",R1226="TN"),N1226+N(O1226),IF(G1226&amp;""="1",N(K1226)*N1226,(N1226+N(O1226))*N(K1226)))</f>
        <v/>
      </c>
      <c r="T1226" s="10">
        <f>IF(Q1226="","",Q1226-S1226)</f>
        <v/>
      </c>
    </row>
    <row r="1227">
      <c r="A1227" s="7">
        <f>CONCATENATE(C1227,E1227,F1227,I1227)</f>
        <v/>
      </c>
      <c r="B1227" s="7">
        <f>CONCATENATE(C1227,E1227,I1227)</f>
        <v/>
      </c>
      <c r="C1227" s="8" t="n">
        <v>900003609</v>
      </c>
      <c r="D1227" s="7">
        <f>IFERROR(VLOOKUP(C1227,TRAOPE!$G:$H,2,0),"")</f>
        <v/>
      </c>
      <c r="E1227" s="8" t="inlineStr">
        <is>
          <t>D836</t>
        </is>
      </c>
      <c r="F1227" s="8" t="inlineStr">
        <is>
          <t>66313323</t>
        </is>
      </c>
      <c r="G1227" s="8">
        <f>IFERROR(VLOOKUP(A1227,Flete!$A:$E,5,0),"")</f>
        <v/>
      </c>
      <c r="H1227" s="7">
        <f>IFERROR(VLOOKUP(F1227,TRAOPE!$AA:$AB,2,0),"")</f>
        <v/>
      </c>
      <c r="I1227" s="7" t="n">
        <v>10053281</v>
      </c>
      <c r="J1227" s="7">
        <f>IFERROR(VLOOKUP(I1227,Materiales!$A:$H,8,0),"")</f>
        <v/>
      </c>
      <c r="K1227" s="9">
        <f>IFERROR(VLOOKUP(I1227,Materiales!$A:$G,7,0),"")</f>
        <v/>
      </c>
      <c r="L1227" s="8" t="inlineStr">
        <is>
          <t>20190426</t>
        </is>
      </c>
      <c r="M1227" s="8" t="inlineStr">
        <is>
          <t>20250127</t>
        </is>
      </c>
      <c r="N1227" s="10" t="n">
        <v>126</v>
      </c>
      <c r="O1227" s="10">
        <f>IFERROR(VLOOKUP(A1227,Flete!$A:$J,10,0),"")</f>
        <v/>
      </c>
      <c r="P1227" s="8" t="inlineStr">
        <is>
          <t>M3</t>
        </is>
      </c>
      <c r="Q1227" s="10">
        <f>IFERROR(IFERROR(VLOOKUP(A1227,TRAOPE!$A:$U,21,0),VLOOKUP(B1227,TRAOPE!$A:$U,21,0)),"")</f>
        <v/>
      </c>
      <c r="R1227" s="8">
        <f>IFERROR(IFERROR(VLOOKUP(A1227,TRAOPE!$A:$W,23,0),VLOOKUP(B1227,TRAOPE!$A:$W,23,0)),"")</f>
        <v/>
      </c>
      <c r="S1227" s="10">
        <f>IF(AND(P1227="TN",R1227="TN"),N1227+N(O1227),IF(G1227&amp;""="1",N(K1227)*N1227,(N1227+N(O1227))*N(K1227)))</f>
        <v/>
      </c>
      <c r="T1227" s="10">
        <f>IF(Q1227="","",Q1227-S1227)</f>
        <v/>
      </c>
    </row>
    <row r="1228">
      <c r="A1228" s="7">
        <f>CONCATENATE(C1228,E1228,F1228,I1228)</f>
        <v/>
      </c>
      <c r="B1228" s="7">
        <f>CONCATENATE(C1228,E1228,I1228)</f>
        <v/>
      </c>
      <c r="C1228" s="8" t="n">
        <v>900003609</v>
      </c>
      <c r="D1228" s="7">
        <f>IFERROR(VLOOKUP(C1228,TRAOPE!$G:$H,2,0),"")</f>
        <v/>
      </c>
      <c r="E1228" s="8" t="inlineStr">
        <is>
          <t>D836</t>
        </is>
      </c>
      <c r="F1228" s="8" t="inlineStr">
        <is>
          <t>66338102</t>
        </is>
      </c>
      <c r="G1228" s="8">
        <f>IFERROR(VLOOKUP(A1228,Flete!$A:$E,5,0),"")</f>
        <v/>
      </c>
      <c r="H1228" s="7">
        <f>IFERROR(VLOOKUP(F1228,TRAOPE!$AA:$AB,2,0),"")</f>
        <v/>
      </c>
      <c r="I1228" s="7" t="n">
        <v>10000624</v>
      </c>
      <c r="J1228" s="7">
        <f>IFERROR(VLOOKUP(I1228,Materiales!$A:$H,8,0),"")</f>
        <v/>
      </c>
      <c r="K1228" s="9">
        <f>IFERROR(VLOOKUP(I1228,Materiales!$A:$G,7,0),"")</f>
        <v/>
      </c>
      <c r="L1228" s="8" t="inlineStr">
        <is>
          <t>20190426</t>
        </is>
      </c>
      <c r="M1228" s="8" t="inlineStr">
        <is>
          <t>20250127</t>
        </is>
      </c>
      <c r="N1228" s="10" t="n">
        <v>143</v>
      </c>
      <c r="O1228" s="10">
        <f>IFERROR(VLOOKUP(A1228,Flete!$A:$J,10,0),"")</f>
        <v/>
      </c>
      <c r="P1228" s="8" t="inlineStr">
        <is>
          <t>M3</t>
        </is>
      </c>
      <c r="Q1228" s="10">
        <f>IFERROR(IFERROR(VLOOKUP(A1228,TRAOPE!$A:$U,21,0),VLOOKUP(B1228,TRAOPE!$A:$U,21,0)),"")</f>
        <v/>
      </c>
      <c r="R1228" s="8">
        <f>IFERROR(IFERROR(VLOOKUP(A1228,TRAOPE!$A:$W,23,0),VLOOKUP(B1228,TRAOPE!$A:$W,23,0)),"")</f>
        <v/>
      </c>
      <c r="S1228" s="10">
        <f>IF(AND(P1228="TN",R1228="TN"),N1228+N(O1228),IF(G1228&amp;""="1",N(K1228)*N1228,(N1228+N(O1228))*N(K1228)))</f>
        <v/>
      </c>
      <c r="T1228" s="10">
        <f>IF(Q1228="","",Q1228-S1228)</f>
        <v/>
      </c>
    </row>
    <row r="1229">
      <c r="A1229" s="7">
        <f>CONCATENATE(C1229,E1229,F1229,I1229)</f>
        <v/>
      </c>
      <c r="B1229" s="7">
        <f>CONCATENATE(C1229,E1229,I1229)</f>
        <v/>
      </c>
      <c r="C1229" s="8" t="n">
        <v>900003609</v>
      </c>
      <c r="D1229" s="7">
        <f>IFERROR(VLOOKUP(C1229,TRAOPE!$G:$H,2,0),"")</f>
        <v/>
      </c>
      <c r="E1229" s="8" t="inlineStr">
        <is>
          <t>D836</t>
        </is>
      </c>
      <c r="F1229" s="8" t="inlineStr">
        <is>
          <t>66338102</t>
        </is>
      </c>
      <c r="G1229" s="8">
        <f>IFERROR(VLOOKUP(A1229,Flete!$A:$E,5,0),"")</f>
        <v/>
      </c>
      <c r="H1229" s="7">
        <f>IFERROR(VLOOKUP(F1229,TRAOPE!$AA:$AB,2,0),"")</f>
        <v/>
      </c>
      <c r="I1229" s="7" t="n">
        <v>10000630</v>
      </c>
      <c r="J1229" s="7">
        <f>IFERROR(VLOOKUP(I1229,Materiales!$A:$H,8,0),"")</f>
        <v/>
      </c>
      <c r="K1229" s="9">
        <f>IFERROR(VLOOKUP(I1229,Materiales!$A:$G,7,0),"")</f>
        <v/>
      </c>
      <c r="L1229" s="8" t="inlineStr">
        <is>
          <t>20190426</t>
        </is>
      </c>
      <c r="M1229" s="8" t="inlineStr">
        <is>
          <t>20250127</t>
        </is>
      </c>
      <c r="N1229" s="10" t="n">
        <v>155</v>
      </c>
      <c r="O1229" s="10">
        <f>IFERROR(VLOOKUP(A1229,Flete!$A:$J,10,0),"")</f>
        <v/>
      </c>
      <c r="P1229" s="8" t="inlineStr">
        <is>
          <t>M3</t>
        </is>
      </c>
      <c r="Q1229" s="10">
        <f>IFERROR(IFERROR(VLOOKUP(A1229,TRAOPE!$A:$U,21,0),VLOOKUP(B1229,TRAOPE!$A:$U,21,0)),"")</f>
        <v/>
      </c>
      <c r="R1229" s="8">
        <f>IFERROR(IFERROR(VLOOKUP(A1229,TRAOPE!$A:$W,23,0),VLOOKUP(B1229,TRAOPE!$A:$W,23,0)),"")</f>
        <v/>
      </c>
      <c r="S1229" s="10">
        <f>IF(AND(P1229="TN",R1229="TN"),N1229+N(O1229),IF(G1229&amp;""="1",N(K1229)*N1229,(N1229+N(O1229))*N(K1229)))</f>
        <v/>
      </c>
      <c r="T1229" s="10">
        <f>IF(Q1229="","",Q1229-S1229)</f>
        <v/>
      </c>
    </row>
    <row r="1230">
      <c r="A1230" s="7">
        <f>CONCATENATE(C1230,E1230,F1230,I1230)</f>
        <v/>
      </c>
      <c r="B1230" s="7">
        <f>CONCATENATE(C1230,E1230,I1230)</f>
        <v/>
      </c>
      <c r="C1230" s="8" t="n">
        <v>900003609</v>
      </c>
      <c r="D1230" s="7">
        <f>IFERROR(VLOOKUP(C1230,TRAOPE!$G:$H,2,0),"")</f>
        <v/>
      </c>
      <c r="E1230" s="8" t="inlineStr">
        <is>
          <t>D836</t>
        </is>
      </c>
      <c r="F1230" s="8" t="inlineStr">
        <is>
          <t>66338102</t>
        </is>
      </c>
      <c r="G1230" s="8">
        <f>IFERROR(VLOOKUP(A1230,Flete!$A:$E,5,0),"")</f>
        <v/>
      </c>
      <c r="H1230" s="7">
        <f>IFERROR(VLOOKUP(F1230,TRAOPE!$AA:$AB,2,0),"")</f>
        <v/>
      </c>
      <c r="I1230" s="7" t="n">
        <v>10000722</v>
      </c>
      <c r="J1230" s="7">
        <f>IFERROR(VLOOKUP(I1230,Materiales!$A:$H,8,0),"")</f>
        <v/>
      </c>
      <c r="K1230" s="9">
        <f>IFERROR(VLOOKUP(I1230,Materiales!$A:$G,7,0),"")</f>
        <v/>
      </c>
      <c r="L1230" s="8" t="inlineStr">
        <is>
          <t>20190426</t>
        </is>
      </c>
      <c r="M1230" s="8" t="inlineStr">
        <is>
          <t>20250127</t>
        </is>
      </c>
      <c r="N1230" s="10" t="n">
        <v>142</v>
      </c>
      <c r="O1230" s="10">
        <f>IFERROR(VLOOKUP(A1230,Flete!$A:$J,10,0),"")</f>
        <v/>
      </c>
      <c r="P1230" s="8" t="inlineStr">
        <is>
          <t>M3</t>
        </is>
      </c>
      <c r="Q1230" s="10">
        <f>IFERROR(IFERROR(VLOOKUP(A1230,TRAOPE!$A:$U,21,0),VLOOKUP(B1230,TRAOPE!$A:$U,21,0)),"")</f>
        <v/>
      </c>
      <c r="R1230" s="8">
        <f>IFERROR(IFERROR(VLOOKUP(A1230,TRAOPE!$A:$W,23,0),VLOOKUP(B1230,TRAOPE!$A:$W,23,0)),"")</f>
        <v/>
      </c>
      <c r="S1230" s="10">
        <f>IF(AND(P1230="TN",R1230="TN"),N1230+N(O1230),IF(G1230&amp;""="1",N(K1230)*N1230,(N1230+N(O1230))*N(K1230)))</f>
        <v/>
      </c>
      <c r="T1230" s="10">
        <f>IF(Q1230="","",Q1230-S1230)</f>
        <v/>
      </c>
    </row>
    <row r="1231">
      <c r="A1231" s="7">
        <f>CONCATENATE(C1231,E1231,F1231,I1231)</f>
        <v/>
      </c>
      <c r="B1231" s="7">
        <f>CONCATENATE(C1231,E1231,I1231)</f>
        <v/>
      </c>
      <c r="C1231" s="8" t="n">
        <v>900003609</v>
      </c>
      <c r="D1231" s="7">
        <f>IFERROR(VLOOKUP(C1231,TRAOPE!$G:$H,2,0),"")</f>
        <v/>
      </c>
      <c r="E1231" s="8" t="inlineStr">
        <is>
          <t>D836</t>
        </is>
      </c>
      <c r="F1231" s="8" t="inlineStr">
        <is>
          <t>66338102</t>
        </is>
      </c>
      <c r="G1231" s="8">
        <f>IFERROR(VLOOKUP(A1231,Flete!$A:$E,5,0),"")</f>
        <v/>
      </c>
      <c r="H1231" s="7">
        <f>IFERROR(VLOOKUP(F1231,TRAOPE!$AA:$AB,2,0),"")</f>
        <v/>
      </c>
      <c r="I1231" s="7" t="n">
        <v>10053281</v>
      </c>
      <c r="J1231" s="7">
        <f>IFERROR(VLOOKUP(I1231,Materiales!$A:$H,8,0),"")</f>
        <v/>
      </c>
      <c r="K1231" s="9">
        <f>IFERROR(VLOOKUP(I1231,Materiales!$A:$G,7,0),"")</f>
        <v/>
      </c>
      <c r="L1231" s="8" t="inlineStr">
        <is>
          <t>20190426</t>
        </is>
      </c>
      <c r="M1231" s="8" t="inlineStr">
        <is>
          <t>20250127</t>
        </is>
      </c>
      <c r="N1231" s="10" t="n">
        <v>130</v>
      </c>
      <c r="O1231" s="10">
        <f>IFERROR(VLOOKUP(A1231,Flete!$A:$J,10,0),"")</f>
        <v/>
      </c>
      <c r="P1231" s="8" t="inlineStr">
        <is>
          <t>M3</t>
        </is>
      </c>
      <c r="Q1231" s="10">
        <f>IFERROR(IFERROR(VLOOKUP(A1231,TRAOPE!$A:$U,21,0),VLOOKUP(B1231,TRAOPE!$A:$U,21,0)),"")</f>
        <v/>
      </c>
      <c r="R1231" s="8">
        <f>IFERROR(IFERROR(VLOOKUP(A1231,TRAOPE!$A:$W,23,0),VLOOKUP(B1231,TRAOPE!$A:$W,23,0)),"")</f>
        <v/>
      </c>
      <c r="S1231" s="10">
        <f>IF(AND(P1231="TN",R1231="TN"),N1231+N(O1231),IF(G1231&amp;""="1",N(K1231)*N1231,(N1231+N(O1231))*N(K1231)))</f>
        <v/>
      </c>
      <c r="T1231" s="10">
        <f>IF(Q1231="","",Q1231-S1231)</f>
        <v/>
      </c>
    </row>
    <row r="1232">
      <c r="A1232" s="7">
        <f>CONCATENATE(C1232,E1232,F1232,I1232)</f>
        <v/>
      </c>
      <c r="B1232" s="7">
        <f>CONCATENATE(C1232,E1232,I1232)</f>
        <v/>
      </c>
      <c r="C1232" s="8" t="n">
        <v>900003609</v>
      </c>
      <c r="D1232" s="7">
        <f>IFERROR(VLOOKUP(C1232,TRAOPE!$G:$H,2,0),"")</f>
        <v/>
      </c>
      <c r="E1232" s="8" t="inlineStr">
        <is>
          <t>D836</t>
        </is>
      </c>
      <c r="F1232" s="8" t="inlineStr">
        <is>
          <t>66394060</t>
        </is>
      </c>
      <c r="G1232" s="8">
        <f>IFERROR(VLOOKUP(A1232,Flete!$A:$E,5,0),"")</f>
        <v/>
      </c>
      <c r="H1232" s="7">
        <f>IFERROR(VLOOKUP(F1232,TRAOPE!$AA:$AB,2,0),"")</f>
        <v/>
      </c>
      <c r="I1232" s="7" t="n">
        <v>10053281</v>
      </c>
      <c r="J1232" s="7">
        <f>IFERROR(VLOOKUP(I1232,Materiales!$A:$H,8,0),"")</f>
        <v/>
      </c>
      <c r="K1232" s="9">
        <f>IFERROR(VLOOKUP(I1232,Materiales!$A:$G,7,0),"")</f>
        <v/>
      </c>
      <c r="L1232" s="8" t="inlineStr">
        <is>
          <t>20190426</t>
        </is>
      </c>
      <c r="M1232" s="8" t="inlineStr">
        <is>
          <t>20250127</t>
        </is>
      </c>
      <c r="N1232" s="10" t="n">
        <v>132</v>
      </c>
      <c r="O1232" s="10">
        <f>IFERROR(VLOOKUP(A1232,Flete!$A:$J,10,0),"")</f>
        <v/>
      </c>
      <c r="P1232" s="8" t="inlineStr">
        <is>
          <t>M3</t>
        </is>
      </c>
      <c r="Q1232" s="10">
        <f>IFERROR(IFERROR(VLOOKUP(A1232,TRAOPE!$A:$U,21,0),VLOOKUP(B1232,TRAOPE!$A:$U,21,0)),"")</f>
        <v/>
      </c>
      <c r="R1232" s="8">
        <f>IFERROR(IFERROR(VLOOKUP(A1232,TRAOPE!$A:$W,23,0),VLOOKUP(B1232,TRAOPE!$A:$W,23,0)),"")</f>
        <v/>
      </c>
      <c r="S1232" s="10">
        <f>IF(AND(P1232="TN",R1232="TN"),N1232+N(O1232),IF(G1232&amp;""="1",N(K1232)*N1232,(N1232+N(O1232))*N(K1232)))</f>
        <v/>
      </c>
      <c r="T1232" s="10">
        <f>IF(Q1232="","",Q1232-S1232)</f>
        <v/>
      </c>
    </row>
    <row r="1233">
      <c r="A1233" s="7">
        <f>CONCATENATE(C1233,E1233,F1233,I1233)</f>
        <v/>
      </c>
      <c r="B1233" s="7">
        <f>CONCATENATE(C1233,E1233,I1233)</f>
        <v/>
      </c>
      <c r="C1233" s="8" t="n">
        <v>900003609</v>
      </c>
      <c r="D1233" s="7">
        <f>IFERROR(VLOOKUP(C1233,TRAOPE!$G:$H,2,0),"")</f>
        <v/>
      </c>
      <c r="E1233" s="8" t="inlineStr">
        <is>
          <t>D836</t>
        </is>
      </c>
      <c r="F1233" s="8" t="inlineStr">
        <is>
          <t>66399551</t>
        </is>
      </c>
      <c r="G1233" s="8">
        <f>IFERROR(VLOOKUP(A1233,Flete!$A:$E,5,0),"")</f>
        <v/>
      </c>
      <c r="H1233" s="7">
        <f>IFERROR(VLOOKUP(F1233,TRAOPE!$AA:$AB,2,0),"")</f>
        <v/>
      </c>
      <c r="I1233" s="7" t="n">
        <v>10053281</v>
      </c>
      <c r="J1233" s="7">
        <f>IFERROR(VLOOKUP(I1233,Materiales!$A:$H,8,0),"")</f>
        <v/>
      </c>
      <c r="K1233" s="9">
        <f>IFERROR(VLOOKUP(I1233,Materiales!$A:$G,7,0),"")</f>
        <v/>
      </c>
      <c r="L1233" s="8" t="inlineStr">
        <is>
          <t>20190426</t>
        </is>
      </c>
      <c r="M1233" s="8" t="inlineStr">
        <is>
          <t>20250127</t>
        </is>
      </c>
      <c r="N1233" s="10" t="n">
        <v>128</v>
      </c>
      <c r="O1233" s="10">
        <f>IFERROR(VLOOKUP(A1233,Flete!$A:$J,10,0),"")</f>
        <v/>
      </c>
      <c r="P1233" s="8" t="inlineStr">
        <is>
          <t>M3</t>
        </is>
      </c>
      <c r="Q1233" s="10">
        <f>IFERROR(IFERROR(VLOOKUP(A1233,TRAOPE!$A:$U,21,0),VLOOKUP(B1233,TRAOPE!$A:$U,21,0)),"")</f>
        <v/>
      </c>
      <c r="R1233" s="8">
        <f>IFERROR(IFERROR(VLOOKUP(A1233,TRAOPE!$A:$W,23,0),VLOOKUP(B1233,TRAOPE!$A:$W,23,0)),"")</f>
        <v/>
      </c>
      <c r="S1233" s="10">
        <f>IF(AND(P1233="TN",R1233="TN"),N1233+N(O1233),IF(G1233&amp;""="1",N(K1233)*N1233,(N1233+N(O1233))*N(K1233)))</f>
        <v/>
      </c>
      <c r="T1233" s="10">
        <f>IF(Q1233="","",Q1233-S1233)</f>
        <v/>
      </c>
    </row>
    <row r="1234">
      <c r="A1234" s="7">
        <f>CONCATENATE(C1234,E1234,F1234,I1234)</f>
        <v/>
      </c>
      <c r="B1234" s="7">
        <f>CONCATENATE(C1234,E1234,I1234)</f>
        <v/>
      </c>
      <c r="C1234" s="8" t="n">
        <v>900003609</v>
      </c>
      <c r="D1234" s="7">
        <f>IFERROR(VLOOKUP(C1234,TRAOPE!$G:$H,2,0),"")</f>
        <v/>
      </c>
      <c r="E1234" s="8" t="inlineStr">
        <is>
          <t>D836</t>
        </is>
      </c>
      <c r="F1234" s="8" t="inlineStr">
        <is>
          <t>66399586</t>
        </is>
      </c>
      <c r="G1234" s="8">
        <f>IFERROR(VLOOKUP(A1234,Flete!$A:$E,5,0),"")</f>
        <v/>
      </c>
      <c r="H1234" s="7">
        <f>IFERROR(VLOOKUP(F1234,TRAOPE!$AA:$AB,2,0),"")</f>
        <v/>
      </c>
      <c r="I1234" s="7" t="n">
        <v>10053281</v>
      </c>
      <c r="J1234" s="7">
        <f>IFERROR(VLOOKUP(I1234,Materiales!$A:$H,8,0),"")</f>
        <v/>
      </c>
      <c r="K1234" s="9">
        <f>IFERROR(VLOOKUP(I1234,Materiales!$A:$G,7,0),"")</f>
        <v/>
      </c>
      <c r="L1234" s="8" t="inlineStr">
        <is>
          <t>20190426</t>
        </is>
      </c>
      <c r="M1234" s="8" t="inlineStr">
        <is>
          <t>20250127</t>
        </is>
      </c>
      <c r="N1234" s="10" t="n">
        <v>128</v>
      </c>
      <c r="O1234" s="10">
        <f>IFERROR(VLOOKUP(A1234,Flete!$A:$J,10,0),"")</f>
        <v/>
      </c>
      <c r="P1234" s="8" t="inlineStr">
        <is>
          <t>M3</t>
        </is>
      </c>
      <c r="Q1234" s="10">
        <f>IFERROR(IFERROR(VLOOKUP(A1234,TRAOPE!$A:$U,21,0),VLOOKUP(B1234,TRAOPE!$A:$U,21,0)),"")</f>
        <v/>
      </c>
      <c r="R1234" s="8">
        <f>IFERROR(IFERROR(VLOOKUP(A1234,TRAOPE!$A:$W,23,0),VLOOKUP(B1234,TRAOPE!$A:$W,23,0)),"")</f>
        <v/>
      </c>
      <c r="S1234" s="10">
        <f>IF(AND(P1234="TN",R1234="TN"),N1234+N(O1234),IF(G1234&amp;""="1",N(K1234)*N1234,(N1234+N(O1234))*N(K1234)))</f>
        <v/>
      </c>
      <c r="T1234" s="10">
        <f>IF(Q1234="","",Q1234-S1234)</f>
        <v/>
      </c>
    </row>
    <row r="1235">
      <c r="A1235" s="7">
        <f>CONCATENATE(C1235,E1235,F1235,I1235)</f>
        <v/>
      </c>
      <c r="B1235" s="7">
        <f>CONCATENATE(C1235,E1235,I1235)</f>
        <v/>
      </c>
      <c r="C1235" s="8" t="n">
        <v>900003609</v>
      </c>
      <c r="D1235" s="7">
        <f>IFERROR(VLOOKUP(C1235,TRAOPE!$G:$H,2,0),"")</f>
        <v/>
      </c>
      <c r="E1235" s="8" t="inlineStr">
        <is>
          <t>D836</t>
        </is>
      </c>
      <c r="F1235" s="8" t="inlineStr">
        <is>
          <t>66400651</t>
        </is>
      </c>
      <c r="G1235" s="8">
        <f>IFERROR(VLOOKUP(A1235,Flete!$A:$E,5,0),"")</f>
        <v/>
      </c>
      <c r="H1235" s="7">
        <f>IFERROR(VLOOKUP(F1235,TRAOPE!$AA:$AB,2,0),"")</f>
        <v/>
      </c>
      <c r="I1235" s="7" t="n">
        <v>10000722</v>
      </c>
      <c r="J1235" s="7">
        <f>IFERROR(VLOOKUP(I1235,Materiales!$A:$H,8,0),"")</f>
        <v/>
      </c>
      <c r="K1235" s="9">
        <f>IFERROR(VLOOKUP(I1235,Materiales!$A:$G,7,0),"")</f>
        <v/>
      </c>
      <c r="L1235" s="8" t="inlineStr">
        <is>
          <t>20190426</t>
        </is>
      </c>
      <c r="M1235" s="8" t="inlineStr">
        <is>
          <t>20250127</t>
        </is>
      </c>
      <c r="N1235" s="10" t="n">
        <v>131.04</v>
      </c>
      <c r="O1235" s="10">
        <f>IFERROR(VLOOKUP(A1235,Flete!$A:$J,10,0),"")</f>
        <v/>
      </c>
      <c r="P1235" s="8" t="inlineStr">
        <is>
          <t>M3</t>
        </is>
      </c>
      <c r="Q1235" s="10">
        <f>IFERROR(IFERROR(VLOOKUP(A1235,TRAOPE!$A:$U,21,0),VLOOKUP(B1235,TRAOPE!$A:$U,21,0)),"")</f>
        <v/>
      </c>
      <c r="R1235" s="8">
        <f>IFERROR(IFERROR(VLOOKUP(A1235,TRAOPE!$A:$W,23,0),VLOOKUP(B1235,TRAOPE!$A:$W,23,0)),"")</f>
        <v/>
      </c>
      <c r="S1235" s="10">
        <f>IF(AND(P1235="TN",R1235="TN"),N1235+N(O1235),IF(G1235&amp;""="1",N(K1235)*N1235,(N1235+N(O1235))*N(K1235)))</f>
        <v/>
      </c>
      <c r="T1235" s="10">
        <f>IF(Q1235="","",Q1235-S1235)</f>
        <v/>
      </c>
    </row>
    <row r="1236">
      <c r="A1236" s="7">
        <f>CONCATENATE(C1236,E1236,F1236,I1236)</f>
        <v/>
      </c>
      <c r="B1236" s="7">
        <f>CONCATENATE(C1236,E1236,I1236)</f>
        <v/>
      </c>
      <c r="C1236" s="8" t="n">
        <v>900003609</v>
      </c>
      <c r="D1236" s="7">
        <f>IFERROR(VLOOKUP(C1236,TRAOPE!$G:$H,2,0),"")</f>
        <v/>
      </c>
      <c r="E1236" s="8" t="inlineStr">
        <is>
          <t>D836</t>
        </is>
      </c>
      <c r="F1236" s="8" t="inlineStr">
        <is>
          <t>66400667</t>
        </is>
      </c>
      <c r="G1236" s="8">
        <f>IFERROR(VLOOKUP(A1236,Flete!$A:$E,5,0),"")</f>
        <v/>
      </c>
      <c r="H1236" s="7">
        <f>IFERROR(VLOOKUP(F1236,TRAOPE!$AA:$AB,2,0),"")</f>
        <v/>
      </c>
      <c r="I1236" s="7" t="n">
        <v>10000722</v>
      </c>
      <c r="J1236" s="7">
        <f>IFERROR(VLOOKUP(I1236,Materiales!$A:$H,8,0),"")</f>
        <v/>
      </c>
      <c r="K1236" s="9">
        <f>IFERROR(VLOOKUP(I1236,Materiales!$A:$G,7,0),"")</f>
        <v/>
      </c>
      <c r="L1236" s="8" t="inlineStr">
        <is>
          <t>20190426</t>
        </is>
      </c>
      <c r="M1236" s="8" t="inlineStr">
        <is>
          <t>20250127</t>
        </is>
      </c>
      <c r="N1236" s="10" t="n">
        <v>129.9</v>
      </c>
      <c r="O1236" s="10">
        <f>IFERROR(VLOOKUP(A1236,Flete!$A:$J,10,0),"")</f>
        <v/>
      </c>
      <c r="P1236" s="8" t="inlineStr">
        <is>
          <t>M3</t>
        </is>
      </c>
      <c r="Q1236" s="10">
        <f>IFERROR(IFERROR(VLOOKUP(A1236,TRAOPE!$A:$U,21,0),VLOOKUP(B1236,TRAOPE!$A:$U,21,0)),"")</f>
        <v/>
      </c>
      <c r="R1236" s="8">
        <f>IFERROR(IFERROR(VLOOKUP(A1236,TRAOPE!$A:$W,23,0),VLOOKUP(B1236,TRAOPE!$A:$W,23,0)),"")</f>
        <v/>
      </c>
      <c r="S1236" s="10">
        <f>IF(AND(P1236="TN",R1236="TN"),N1236+N(O1236),IF(G1236&amp;""="1",N(K1236)*N1236,(N1236+N(O1236))*N(K1236)))</f>
        <v/>
      </c>
      <c r="T1236" s="10">
        <f>IF(Q1236="","",Q1236-S1236)</f>
        <v/>
      </c>
    </row>
    <row r="1237">
      <c r="A1237" s="7">
        <f>CONCATENATE(C1237,E1237,F1237,I1237)</f>
        <v/>
      </c>
      <c r="B1237" s="7">
        <f>CONCATENATE(C1237,E1237,I1237)</f>
        <v/>
      </c>
      <c r="C1237" s="8" t="n">
        <v>900003609</v>
      </c>
      <c r="D1237" s="7">
        <f>IFERROR(VLOOKUP(C1237,TRAOPE!$G:$H,2,0),"")</f>
        <v/>
      </c>
      <c r="E1237" s="8" t="inlineStr">
        <is>
          <t>D836</t>
        </is>
      </c>
      <c r="F1237" s="8" t="inlineStr">
        <is>
          <t>66403063</t>
        </is>
      </c>
      <c r="G1237" s="8">
        <f>IFERROR(VLOOKUP(A1237,Flete!$A:$E,5,0),"")</f>
        <v/>
      </c>
      <c r="H1237" s="7">
        <f>IFERROR(VLOOKUP(F1237,TRAOPE!$AA:$AB,2,0),"")</f>
        <v/>
      </c>
      <c r="I1237" s="7" t="n">
        <v>10000630</v>
      </c>
      <c r="J1237" s="7">
        <f>IFERROR(VLOOKUP(I1237,Materiales!$A:$H,8,0),"")</f>
        <v/>
      </c>
      <c r="K1237" s="9">
        <f>IFERROR(VLOOKUP(I1237,Materiales!$A:$G,7,0),"")</f>
        <v/>
      </c>
      <c r="L1237" s="8" t="inlineStr">
        <is>
          <t>20190426</t>
        </is>
      </c>
      <c r="M1237" s="8" t="inlineStr">
        <is>
          <t>20250127</t>
        </is>
      </c>
      <c r="N1237" s="10" t="n">
        <v>155</v>
      </c>
      <c r="O1237" s="10">
        <f>IFERROR(VLOOKUP(A1237,Flete!$A:$J,10,0),"")</f>
        <v/>
      </c>
      <c r="P1237" s="8" t="inlineStr">
        <is>
          <t>M3</t>
        </is>
      </c>
      <c r="Q1237" s="10">
        <f>IFERROR(IFERROR(VLOOKUP(A1237,TRAOPE!$A:$U,21,0),VLOOKUP(B1237,TRAOPE!$A:$U,21,0)),"")</f>
        <v/>
      </c>
      <c r="R1237" s="8">
        <f>IFERROR(IFERROR(VLOOKUP(A1237,TRAOPE!$A:$W,23,0),VLOOKUP(B1237,TRAOPE!$A:$W,23,0)),"")</f>
        <v/>
      </c>
      <c r="S1237" s="10">
        <f>IF(AND(P1237="TN",R1237="TN"),N1237+N(O1237),IF(G1237&amp;""="1",N(K1237)*N1237,(N1237+N(O1237))*N(K1237)))</f>
        <v/>
      </c>
      <c r="T1237" s="10">
        <f>IF(Q1237="","",Q1237-S1237)</f>
        <v/>
      </c>
    </row>
    <row r="1238">
      <c r="A1238" s="7">
        <f>CONCATENATE(C1238,E1238,F1238,I1238)</f>
        <v/>
      </c>
      <c r="B1238" s="7">
        <f>CONCATENATE(C1238,E1238,I1238)</f>
        <v/>
      </c>
      <c r="C1238" s="8" t="n">
        <v>900003609</v>
      </c>
      <c r="D1238" s="7">
        <f>IFERROR(VLOOKUP(C1238,TRAOPE!$G:$H,2,0),"")</f>
        <v/>
      </c>
      <c r="E1238" s="8" t="inlineStr">
        <is>
          <t>D836</t>
        </is>
      </c>
      <c r="F1238" s="8" t="inlineStr">
        <is>
          <t>66404526</t>
        </is>
      </c>
      <c r="G1238" s="8">
        <f>IFERROR(VLOOKUP(A1238,Flete!$A:$E,5,0),"")</f>
        <v/>
      </c>
      <c r="H1238" s="7">
        <f>IFERROR(VLOOKUP(F1238,TRAOPE!$AA:$AB,2,0),"")</f>
        <v/>
      </c>
      <c r="I1238" s="7" t="n">
        <v>10000722</v>
      </c>
      <c r="J1238" s="7">
        <f>IFERROR(VLOOKUP(I1238,Materiales!$A:$H,8,0),"")</f>
        <v/>
      </c>
      <c r="K1238" s="9">
        <f>IFERROR(VLOOKUP(I1238,Materiales!$A:$G,7,0),"")</f>
        <v/>
      </c>
      <c r="L1238" s="8" t="inlineStr">
        <is>
          <t>20190426</t>
        </is>
      </c>
      <c r="M1238" s="8" t="inlineStr">
        <is>
          <t>20250127</t>
        </is>
      </c>
      <c r="N1238" s="10" t="n">
        <v>129.91</v>
      </c>
      <c r="O1238" s="10">
        <f>IFERROR(VLOOKUP(A1238,Flete!$A:$J,10,0),"")</f>
        <v/>
      </c>
      <c r="P1238" s="8" t="inlineStr">
        <is>
          <t>M3</t>
        </is>
      </c>
      <c r="Q1238" s="10">
        <f>IFERROR(IFERROR(VLOOKUP(A1238,TRAOPE!$A:$U,21,0),VLOOKUP(B1238,TRAOPE!$A:$U,21,0)),"")</f>
        <v/>
      </c>
      <c r="R1238" s="8">
        <f>IFERROR(IFERROR(VLOOKUP(A1238,TRAOPE!$A:$W,23,0),VLOOKUP(B1238,TRAOPE!$A:$W,23,0)),"")</f>
        <v/>
      </c>
      <c r="S1238" s="10">
        <f>IF(AND(P1238="TN",R1238="TN"),N1238+N(O1238),IF(G1238&amp;""="1",N(K1238)*N1238,(N1238+N(O1238))*N(K1238)))</f>
        <v/>
      </c>
      <c r="T1238" s="10">
        <f>IF(Q1238="","",Q1238-S1238)</f>
        <v/>
      </c>
    </row>
    <row r="1239">
      <c r="A1239" s="7">
        <f>CONCATENATE(C1239,E1239,F1239,I1239)</f>
        <v/>
      </c>
      <c r="B1239" s="7">
        <f>CONCATENATE(C1239,E1239,I1239)</f>
        <v/>
      </c>
      <c r="C1239" s="8" t="n">
        <v>900003609</v>
      </c>
      <c r="D1239" s="7">
        <f>IFERROR(VLOOKUP(C1239,TRAOPE!$G:$H,2,0),"")</f>
        <v/>
      </c>
      <c r="E1239" s="8" t="inlineStr">
        <is>
          <t>D836</t>
        </is>
      </c>
      <c r="F1239" s="8" t="inlineStr">
        <is>
          <t>66404577</t>
        </is>
      </c>
      <c r="G1239" s="8">
        <f>IFERROR(VLOOKUP(A1239,Flete!$A:$E,5,0),"")</f>
        <v/>
      </c>
      <c r="H1239" s="7">
        <f>IFERROR(VLOOKUP(F1239,TRAOPE!$AA:$AB,2,0),"")</f>
        <v/>
      </c>
      <c r="I1239" s="7" t="n">
        <v>10000722</v>
      </c>
      <c r="J1239" s="7">
        <f>IFERROR(VLOOKUP(I1239,Materiales!$A:$H,8,0),"")</f>
        <v/>
      </c>
      <c r="K1239" s="9">
        <f>IFERROR(VLOOKUP(I1239,Materiales!$A:$G,7,0),"")</f>
        <v/>
      </c>
      <c r="L1239" s="8" t="inlineStr">
        <is>
          <t>20190426</t>
        </is>
      </c>
      <c r="M1239" s="8" t="inlineStr">
        <is>
          <t>20250127</t>
        </is>
      </c>
      <c r="N1239" s="10" t="n">
        <v>130.35</v>
      </c>
      <c r="O1239" s="10">
        <f>IFERROR(VLOOKUP(A1239,Flete!$A:$J,10,0),"")</f>
        <v/>
      </c>
      <c r="P1239" s="8" t="inlineStr">
        <is>
          <t>M3</t>
        </is>
      </c>
      <c r="Q1239" s="10">
        <f>IFERROR(IFERROR(VLOOKUP(A1239,TRAOPE!$A:$U,21,0),VLOOKUP(B1239,TRAOPE!$A:$U,21,0)),"")</f>
        <v/>
      </c>
      <c r="R1239" s="8">
        <f>IFERROR(IFERROR(VLOOKUP(A1239,TRAOPE!$A:$W,23,0),VLOOKUP(B1239,TRAOPE!$A:$W,23,0)),"")</f>
        <v/>
      </c>
      <c r="S1239" s="10">
        <f>IF(AND(P1239="TN",R1239="TN"),N1239+N(O1239),IF(G1239&amp;""="1",N(K1239)*N1239,(N1239+N(O1239))*N(K1239)))</f>
        <v/>
      </c>
      <c r="T1239" s="10">
        <f>IF(Q1239="","",Q1239-S1239)</f>
        <v/>
      </c>
    </row>
    <row r="1240">
      <c r="A1240" s="7">
        <f>CONCATENATE(C1240,E1240,F1240,I1240)</f>
        <v/>
      </c>
      <c r="B1240" s="7">
        <f>CONCATENATE(C1240,E1240,I1240)</f>
        <v/>
      </c>
      <c r="C1240" s="8" t="n">
        <v>900003609</v>
      </c>
      <c r="D1240" s="7">
        <f>IFERROR(VLOOKUP(C1240,TRAOPE!$G:$H,2,0),"")</f>
        <v/>
      </c>
      <c r="E1240" s="8" t="inlineStr">
        <is>
          <t>D836</t>
        </is>
      </c>
      <c r="F1240" s="8" t="inlineStr">
        <is>
          <t>66408593</t>
        </is>
      </c>
      <c r="G1240" s="8">
        <f>IFERROR(VLOOKUP(A1240,Flete!$A:$E,5,0),"")</f>
        <v/>
      </c>
      <c r="H1240" s="7">
        <f>IFERROR(VLOOKUP(F1240,TRAOPE!$AA:$AB,2,0),"")</f>
        <v/>
      </c>
      <c r="I1240" s="7" t="n">
        <v>10000630</v>
      </c>
      <c r="J1240" s="7">
        <f>IFERROR(VLOOKUP(I1240,Materiales!$A:$H,8,0),"")</f>
        <v/>
      </c>
      <c r="K1240" s="9">
        <f>IFERROR(VLOOKUP(I1240,Materiales!$A:$G,7,0),"")</f>
        <v/>
      </c>
      <c r="L1240" s="8" t="inlineStr">
        <is>
          <t>20190426</t>
        </is>
      </c>
      <c r="M1240" s="8" t="inlineStr">
        <is>
          <t>20250127</t>
        </is>
      </c>
      <c r="N1240" s="10" t="n">
        <v>155</v>
      </c>
      <c r="O1240" s="10">
        <f>IFERROR(VLOOKUP(A1240,Flete!$A:$J,10,0),"")</f>
        <v/>
      </c>
      <c r="P1240" s="8" t="inlineStr">
        <is>
          <t>M3</t>
        </is>
      </c>
      <c r="Q1240" s="10">
        <f>IFERROR(IFERROR(VLOOKUP(A1240,TRAOPE!$A:$U,21,0),VLOOKUP(B1240,TRAOPE!$A:$U,21,0)),"")</f>
        <v/>
      </c>
      <c r="R1240" s="8">
        <f>IFERROR(IFERROR(VLOOKUP(A1240,TRAOPE!$A:$W,23,0),VLOOKUP(B1240,TRAOPE!$A:$W,23,0)),"")</f>
        <v/>
      </c>
      <c r="S1240" s="10">
        <f>IF(AND(P1240="TN",R1240="TN"),N1240+N(O1240),IF(G1240&amp;""="1",N(K1240)*N1240,(N1240+N(O1240))*N(K1240)))</f>
        <v/>
      </c>
      <c r="T1240" s="10">
        <f>IF(Q1240="","",Q1240-S1240)</f>
        <v/>
      </c>
    </row>
    <row r="1241">
      <c r="A1241" s="7">
        <f>CONCATENATE(C1241,E1241,F1241,I1241)</f>
        <v/>
      </c>
      <c r="B1241" s="7">
        <f>CONCATENATE(C1241,E1241,I1241)</f>
        <v/>
      </c>
      <c r="C1241" s="8" t="n">
        <v>900003609</v>
      </c>
      <c r="D1241" s="7">
        <f>IFERROR(VLOOKUP(C1241,TRAOPE!$G:$H,2,0),"")</f>
        <v/>
      </c>
      <c r="E1241" s="8" t="inlineStr">
        <is>
          <t>D836</t>
        </is>
      </c>
      <c r="F1241" s="8" t="inlineStr">
        <is>
          <t>66414377</t>
        </is>
      </c>
      <c r="G1241" s="8">
        <f>IFERROR(VLOOKUP(A1241,Flete!$A:$E,5,0),"")</f>
        <v/>
      </c>
      <c r="H1241" s="7">
        <f>IFERROR(VLOOKUP(F1241,TRAOPE!$AA:$AB,2,0),"")</f>
        <v/>
      </c>
      <c r="I1241" s="7" t="n">
        <v>10000624</v>
      </c>
      <c r="J1241" s="7">
        <f>IFERROR(VLOOKUP(I1241,Materiales!$A:$H,8,0),"")</f>
        <v/>
      </c>
      <c r="K1241" s="9">
        <f>IFERROR(VLOOKUP(I1241,Materiales!$A:$G,7,0),"")</f>
        <v/>
      </c>
      <c r="L1241" s="8" t="inlineStr">
        <is>
          <t>20190426</t>
        </is>
      </c>
      <c r="M1241" s="8" t="inlineStr">
        <is>
          <t>20250127</t>
        </is>
      </c>
      <c r="N1241" s="10" t="n">
        <v>126</v>
      </c>
      <c r="O1241" s="10">
        <f>IFERROR(VLOOKUP(A1241,Flete!$A:$J,10,0),"")</f>
        <v/>
      </c>
      <c r="P1241" s="8" t="inlineStr">
        <is>
          <t>M3</t>
        </is>
      </c>
      <c r="Q1241" s="10">
        <f>IFERROR(IFERROR(VLOOKUP(A1241,TRAOPE!$A:$U,21,0),VLOOKUP(B1241,TRAOPE!$A:$U,21,0)),"")</f>
        <v/>
      </c>
      <c r="R1241" s="8">
        <f>IFERROR(IFERROR(VLOOKUP(A1241,TRAOPE!$A:$W,23,0),VLOOKUP(B1241,TRAOPE!$A:$W,23,0)),"")</f>
        <v/>
      </c>
      <c r="S1241" s="10">
        <f>IF(AND(P1241="TN",R1241="TN"),N1241+N(O1241),IF(G1241&amp;""="1",N(K1241)*N1241,(N1241+N(O1241))*N(K1241)))</f>
        <v/>
      </c>
      <c r="T1241" s="10">
        <f>IF(Q1241="","",Q1241-S1241)</f>
        <v/>
      </c>
    </row>
    <row r="1242">
      <c r="A1242" s="7">
        <f>CONCATENATE(C1242,E1242,F1242,I1242)</f>
        <v/>
      </c>
      <c r="B1242" s="7">
        <f>CONCATENATE(C1242,E1242,I1242)</f>
        <v/>
      </c>
      <c r="C1242" s="8" t="n">
        <v>900003609</v>
      </c>
      <c r="D1242" s="7">
        <f>IFERROR(VLOOKUP(C1242,TRAOPE!$G:$H,2,0),"")</f>
        <v/>
      </c>
      <c r="E1242" s="8" t="inlineStr">
        <is>
          <t>D836</t>
        </is>
      </c>
      <c r="F1242" s="8" t="inlineStr">
        <is>
          <t>66414377</t>
        </is>
      </c>
      <c r="G1242" s="8">
        <f>IFERROR(VLOOKUP(A1242,Flete!$A:$E,5,0),"")</f>
        <v/>
      </c>
      <c r="H1242" s="7">
        <f>IFERROR(VLOOKUP(F1242,TRAOPE!$AA:$AB,2,0),"")</f>
        <v/>
      </c>
      <c r="I1242" s="7" t="n">
        <v>10053281</v>
      </c>
      <c r="J1242" s="7">
        <f>IFERROR(VLOOKUP(I1242,Materiales!$A:$H,8,0),"")</f>
        <v/>
      </c>
      <c r="K1242" s="9">
        <f>IFERROR(VLOOKUP(I1242,Materiales!$A:$G,7,0),"")</f>
        <v/>
      </c>
      <c r="L1242" s="8" t="inlineStr">
        <is>
          <t>20190426</t>
        </is>
      </c>
      <c r="M1242" s="8" t="inlineStr">
        <is>
          <t>20250127</t>
        </is>
      </c>
      <c r="N1242" s="10" t="n">
        <v>126</v>
      </c>
      <c r="O1242" s="10">
        <f>IFERROR(VLOOKUP(A1242,Flete!$A:$J,10,0),"")</f>
        <v/>
      </c>
      <c r="P1242" s="8" t="inlineStr">
        <is>
          <t>M3</t>
        </is>
      </c>
      <c r="Q1242" s="10">
        <f>IFERROR(IFERROR(VLOOKUP(A1242,TRAOPE!$A:$U,21,0),VLOOKUP(B1242,TRAOPE!$A:$U,21,0)),"")</f>
        <v/>
      </c>
      <c r="R1242" s="8">
        <f>IFERROR(IFERROR(VLOOKUP(A1242,TRAOPE!$A:$W,23,0),VLOOKUP(B1242,TRAOPE!$A:$W,23,0)),"")</f>
        <v/>
      </c>
      <c r="S1242" s="10">
        <f>IF(AND(P1242="TN",R1242="TN"),N1242+N(O1242),IF(G1242&amp;""="1",N(K1242)*N1242,(N1242+N(O1242))*N(K1242)))</f>
        <v/>
      </c>
      <c r="T1242" s="10">
        <f>IF(Q1242="","",Q1242-S1242)</f>
        <v/>
      </c>
    </row>
    <row r="1243">
      <c r="A1243" s="7">
        <f>CONCATENATE(C1243,E1243,F1243,I1243)</f>
        <v/>
      </c>
      <c r="B1243" s="7">
        <f>CONCATENATE(C1243,E1243,I1243)</f>
        <v/>
      </c>
      <c r="C1243" s="8" t="n">
        <v>900003609</v>
      </c>
      <c r="D1243" s="7">
        <f>IFERROR(VLOOKUP(C1243,TRAOPE!$G:$H,2,0),"")</f>
        <v/>
      </c>
      <c r="E1243" s="8" t="inlineStr">
        <is>
          <t>D836</t>
        </is>
      </c>
      <c r="F1243" s="8" t="inlineStr">
        <is>
          <t>66415270</t>
        </is>
      </c>
      <c r="G1243" s="8">
        <f>IFERROR(VLOOKUP(A1243,Flete!$A:$E,5,0),"")</f>
        <v/>
      </c>
      <c r="H1243" s="7">
        <f>IFERROR(VLOOKUP(F1243,TRAOPE!$AA:$AB,2,0),"")</f>
        <v/>
      </c>
      <c r="I1243" s="7" t="n">
        <v>10000624</v>
      </c>
      <c r="J1243" s="7">
        <f>IFERROR(VLOOKUP(I1243,Materiales!$A:$H,8,0),"")</f>
        <v/>
      </c>
      <c r="K1243" s="9">
        <f>IFERROR(VLOOKUP(I1243,Materiales!$A:$G,7,0),"")</f>
        <v/>
      </c>
      <c r="L1243" s="8" t="inlineStr">
        <is>
          <t>20190426</t>
        </is>
      </c>
      <c r="M1243" s="8" t="inlineStr">
        <is>
          <t>20250127</t>
        </is>
      </c>
      <c r="N1243" s="10" t="n">
        <v>126</v>
      </c>
      <c r="O1243" s="10">
        <f>IFERROR(VLOOKUP(A1243,Flete!$A:$J,10,0),"")</f>
        <v/>
      </c>
      <c r="P1243" s="8" t="inlineStr">
        <is>
          <t>M3</t>
        </is>
      </c>
      <c r="Q1243" s="10">
        <f>IFERROR(IFERROR(VLOOKUP(A1243,TRAOPE!$A:$U,21,0),VLOOKUP(B1243,TRAOPE!$A:$U,21,0)),"")</f>
        <v/>
      </c>
      <c r="R1243" s="8">
        <f>IFERROR(IFERROR(VLOOKUP(A1243,TRAOPE!$A:$W,23,0),VLOOKUP(B1243,TRAOPE!$A:$W,23,0)),"")</f>
        <v/>
      </c>
      <c r="S1243" s="10">
        <f>IF(AND(P1243="TN",R1243="TN"),N1243+N(O1243),IF(G1243&amp;""="1",N(K1243)*N1243,(N1243+N(O1243))*N(K1243)))</f>
        <v/>
      </c>
      <c r="T1243" s="10">
        <f>IF(Q1243="","",Q1243-S1243)</f>
        <v/>
      </c>
    </row>
    <row r="1244">
      <c r="A1244" s="7">
        <f>CONCATENATE(C1244,E1244,F1244,I1244)</f>
        <v/>
      </c>
      <c r="B1244" s="7">
        <f>CONCATENATE(C1244,E1244,I1244)</f>
        <v/>
      </c>
      <c r="C1244" s="8" t="n">
        <v>900003609</v>
      </c>
      <c r="D1244" s="7">
        <f>IFERROR(VLOOKUP(C1244,TRAOPE!$G:$H,2,0),"")</f>
        <v/>
      </c>
      <c r="E1244" s="8" t="inlineStr">
        <is>
          <t>D836</t>
        </is>
      </c>
      <c r="F1244" s="8" t="inlineStr">
        <is>
          <t>66415270</t>
        </is>
      </c>
      <c r="G1244" s="8">
        <f>IFERROR(VLOOKUP(A1244,Flete!$A:$E,5,0),"")</f>
        <v/>
      </c>
      <c r="H1244" s="7">
        <f>IFERROR(VLOOKUP(F1244,TRAOPE!$AA:$AB,2,0),"")</f>
        <v/>
      </c>
      <c r="I1244" s="7" t="n">
        <v>10053281</v>
      </c>
      <c r="J1244" s="7">
        <f>IFERROR(VLOOKUP(I1244,Materiales!$A:$H,8,0),"")</f>
        <v/>
      </c>
      <c r="K1244" s="9">
        <f>IFERROR(VLOOKUP(I1244,Materiales!$A:$G,7,0),"")</f>
        <v/>
      </c>
      <c r="L1244" s="8" t="inlineStr">
        <is>
          <t>20190426</t>
        </is>
      </c>
      <c r="M1244" s="8" t="inlineStr">
        <is>
          <t>20250127</t>
        </is>
      </c>
      <c r="N1244" s="10" t="n">
        <v>126</v>
      </c>
      <c r="O1244" s="10">
        <f>IFERROR(VLOOKUP(A1244,Flete!$A:$J,10,0),"")</f>
        <v/>
      </c>
      <c r="P1244" s="8" t="inlineStr">
        <is>
          <t>M3</t>
        </is>
      </c>
      <c r="Q1244" s="10">
        <f>IFERROR(IFERROR(VLOOKUP(A1244,TRAOPE!$A:$U,21,0),VLOOKUP(B1244,TRAOPE!$A:$U,21,0)),"")</f>
        <v/>
      </c>
      <c r="R1244" s="8">
        <f>IFERROR(IFERROR(VLOOKUP(A1244,TRAOPE!$A:$W,23,0),VLOOKUP(B1244,TRAOPE!$A:$W,23,0)),"")</f>
        <v/>
      </c>
      <c r="S1244" s="10">
        <f>IF(AND(P1244="TN",R1244="TN"),N1244+N(O1244),IF(G1244&amp;""="1",N(K1244)*N1244,(N1244+N(O1244))*N(K1244)))</f>
        <v/>
      </c>
      <c r="T1244" s="10">
        <f>IF(Q1244="","",Q1244-S1244)</f>
        <v/>
      </c>
    </row>
    <row r="1245">
      <c r="A1245" s="7">
        <f>CONCATENATE(C1245,E1245,F1245,I1245)</f>
        <v/>
      </c>
      <c r="B1245" s="7">
        <f>CONCATENATE(C1245,E1245,I1245)</f>
        <v/>
      </c>
      <c r="C1245" s="8" t="n">
        <v>900003609</v>
      </c>
      <c r="D1245" s="7">
        <f>IFERROR(VLOOKUP(C1245,TRAOPE!$G:$H,2,0),"")</f>
        <v/>
      </c>
      <c r="E1245" s="8" t="inlineStr">
        <is>
          <t>D836</t>
        </is>
      </c>
      <c r="F1245" s="8" t="inlineStr">
        <is>
          <t>66420108</t>
        </is>
      </c>
      <c r="G1245" s="8">
        <f>IFERROR(VLOOKUP(A1245,Flete!$A:$E,5,0),"")</f>
        <v/>
      </c>
      <c r="H1245" s="7">
        <f>IFERROR(VLOOKUP(F1245,TRAOPE!$AA:$AB,2,0),"")</f>
        <v/>
      </c>
      <c r="I1245" s="7" t="n">
        <v>10000722</v>
      </c>
      <c r="J1245" s="7">
        <f>IFERROR(VLOOKUP(I1245,Materiales!$A:$H,8,0),"")</f>
        <v/>
      </c>
      <c r="K1245" s="9">
        <f>IFERROR(VLOOKUP(I1245,Materiales!$A:$G,7,0),"")</f>
        <v/>
      </c>
      <c r="L1245" s="8" t="inlineStr">
        <is>
          <t>20190426</t>
        </is>
      </c>
      <c r="M1245" s="8" t="inlineStr">
        <is>
          <t>20250127</t>
        </is>
      </c>
      <c r="N1245" s="10" t="n">
        <v>142</v>
      </c>
      <c r="O1245" s="10">
        <f>IFERROR(VLOOKUP(A1245,Flete!$A:$J,10,0),"")</f>
        <v/>
      </c>
      <c r="P1245" s="8" t="inlineStr">
        <is>
          <t>M3</t>
        </is>
      </c>
      <c r="Q1245" s="10">
        <f>IFERROR(IFERROR(VLOOKUP(A1245,TRAOPE!$A:$U,21,0),VLOOKUP(B1245,TRAOPE!$A:$U,21,0)),"")</f>
        <v/>
      </c>
      <c r="R1245" s="8">
        <f>IFERROR(IFERROR(VLOOKUP(A1245,TRAOPE!$A:$W,23,0),VLOOKUP(B1245,TRAOPE!$A:$W,23,0)),"")</f>
        <v/>
      </c>
      <c r="S1245" s="10">
        <f>IF(AND(P1245="TN",R1245="TN"),N1245+N(O1245),IF(G1245&amp;""="1",N(K1245)*N1245,(N1245+N(O1245))*N(K1245)))</f>
        <v/>
      </c>
      <c r="T1245" s="10">
        <f>IF(Q1245="","",Q1245-S1245)</f>
        <v/>
      </c>
    </row>
    <row r="1246">
      <c r="A1246" s="7">
        <f>CONCATENATE(C1246,E1246,F1246,I1246)</f>
        <v/>
      </c>
      <c r="B1246" s="7">
        <f>CONCATENATE(C1246,E1246,I1246)</f>
        <v/>
      </c>
      <c r="C1246" s="8" t="n">
        <v>900003609</v>
      </c>
      <c r="D1246" s="7">
        <f>IFERROR(VLOOKUP(C1246,TRAOPE!$G:$H,2,0),"")</f>
        <v/>
      </c>
      <c r="E1246" s="8" t="inlineStr">
        <is>
          <t>D836</t>
        </is>
      </c>
      <c r="F1246" s="8" t="inlineStr">
        <is>
          <t>66420831</t>
        </is>
      </c>
      <c r="G1246" s="8">
        <f>IFERROR(VLOOKUP(A1246,Flete!$A:$E,5,0),"")</f>
        <v/>
      </c>
      <c r="H1246" s="7">
        <f>IFERROR(VLOOKUP(F1246,TRAOPE!$AA:$AB,2,0),"")</f>
        <v/>
      </c>
      <c r="I1246" s="7" t="n">
        <v>10000630</v>
      </c>
      <c r="J1246" s="7">
        <f>IFERROR(VLOOKUP(I1246,Materiales!$A:$H,8,0),"")</f>
        <v/>
      </c>
      <c r="K1246" s="9">
        <f>IFERROR(VLOOKUP(I1246,Materiales!$A:$G,7,0),"")</f>
        <v/>
      </c>
      <c r="L1246" s="8" t="inlineStr">
        <is>
          <t>20190426</t>
        </is>
      </c>
      <c r="M1246" s="8" t="inlineStr">
        <is>
          <t>20250127</t>
        </is>
      </c>
      <c r="N1246" s="10" t="n">
        <v>145</v>
      </c>
      <c r="O1246" s="10">
        <f>IFERROR(VLOOKUP(A1246,Flete!$A:$J,10,0),"")</f>
        <v/>
      </c>
      <c r="P1246" s="8" t="inlineStr">
        <is>
          <t>M3</t>
        </is>
      </c>
      <c r="Q1246" s="10">
        <f>IFERROR(IFERROR(VLOOKUP(A1246,TRAOPE!$A:$U,21,0),VLOOKUP(B1246,TRAOPE!$A:$U,21,0)),"")</f>
        <v/>
      </c>
      <c r="R1246" s="8">
        <f>IFERROR(IFERROR(VLOOKUP(A1246,TRAOPE!$A:$W,23,0),VLOOKUP(B1246,TRAOPE!$A:$W,23,0)),"")</f>
        <v/>
      </c>
      <c r="S1246" s="10">
        <f>IF(AND(P1246="TN",R1246="TN"),N1246+N(O1246),IF(G1246&amp;""="1",N(K1246)*N1246,(N1246+N(O1246))*N(K1246)))</f>
        <v/>
      </c>
      <c r="T1246" s="10">
        <f>IF(Q1246="","",Q1246-S1246)</f>
        <v/>
      </c>
    </row>
    <row r="1247">
      <c r="A1247" s="7">
        <f>CONCATENATE(C1247,E1247,F1247,I1247)</f>
        <v/>
      </c>
      <c r="B1247" s="7">
        <f>CONCATENATE(C1247,E1247,I1247)</f>
        <v/>
      </c>
      <c r="C1247" s="8" t="n">
        <v>900003609</v>
      </c>
      <c r="D1247" s="7">
        <f>IFERROR(VLOOKUP(C1247,TRAOPE!$G:$H,2,0),"")</f>
        <v/>
      </c>
      <c r="E1247" s="8" t="inlineStr">
        <is>
          <t>D836</t>
        </is>
      </c>
      <c r="F1247" s="8" t="inlineStr">
        <is>
          <t>66420831</t>
        </is>
      </c>
      <c r="G1247" s="8">
        <f>IFERROR(VLOOKUP(A1247,Flete!$A:$E,5,0),"")</f>
        <v/>
      </c>
      <c r="H1247" s="7">
        <f>IFERROR(VLOOKUP(F1247,TRAOPE!$AA:$AB,2,0),"")</f>
        <v/>
      </c>
      <c r="I1247" s="7" t="n">
        <v>10053281</v>
      </c>
      <c r="J1247" s="7">
        <f>IFERROR(VLOOKUP(I1247,Materiales!$A:$H,8,0),"")</f>
        <v/>
      </c>
      <c r="K1247" s="9">
        <f>IFERROR(VLOOKUP(I1247,Materiales!$A:$G,7,0),"")</f>
        <v/>
      </c>
      <c r="L1247" s="8" t="inlineStr">
        <is>
          <t>20190426</t>
        </is>
      </c>
      <c r="M1247" s="8" t="inlineStr">
        <is>
          <t>20250127</t>
        </is>
      </c>
      <c r="N1247" s="10" t="n">
        <v>129.5</v>
      </c>
      <c r="O1247" s="10">
        <f>IFERROR(VLOOKUP(A1247,Flete!$A:$J,10,0),"")</f>
        <v/>
      </c>
      <c r="P1247" s="8" t="inlineStr">
        <is>
          <t>M3</t>
        </is>
      </c>
      <c r="Q1247" s="10">
        <f>IFERROR(IFERROR(VLOOKUP(A1247,TRAOPE!$A:$U,21,0),VLOOKUP(B1247,TRAOPE!$A:$U,21,0)),"")</f>
        <v/>
      </c>
      <c r="R1247" s="8">
        <f>IFERROR(IFERROR(VLOOKUP(A1247,TRAOPE!$A:$W,23,0),VLOOKUP(B1247,TRAOPE!$A:$W,23,0)),"")</f>
        <v/>
      </c>
      <c r="S1247" s="10">
        <f>IF(AND(P1247="TN",R1247="TN"),N1247+N(O1247),IF(G1247&amp;""="1",N(K1247)*N1247,(N1247+N(O1247))*N(K1247)))</f>
        <v/>
      </c>
      <c r="T1247" s="10">
        <f>IF(Q1247="","",Q1247-S1247)</f>
        <v/>
      </c>
    </row>
    <row r="1248">
      <c r="A1248" s="7">
        <f>CONCATENATE(C1248,E1248,F1248,I1248)</f>
        <v/>
      </c>
      <c r="B1248" s="7">
        <f>CONCATENATE(C1248,E1248,I1248)</f>
        <v/>
      </c>
      <c r="C1248" s="8" t="n">
        <v>900003609</v>
      </c>
      <c r="D1248" s="7">
        <f>IFERROR(VLOOKUP(C1248,TRAOPE!$G:$H,2,0),"")</f>
        <v/>
      </c>
      <c r="E1248" s="8" t="inlineStr">
        <is>
          <t>D836</t>
        </is>
      </c>
      <c r="F1248" s="8" t="inlineStr">
        <is>
          <t>66433410</t>
        </is>
      </c>
      <c r="G1248" s="8">
        <f>IFERROR(VLOOKUP(A1248,Flete!$A:$E,5,0),"")</f>
        <v/>
      </c>
      <c r="H1248" s="7">
        <f>IFERROR(VLOOKUP(F1248,TRAOPE!$AA:$AB,2,0),"")</f>
        <v/>
      </c>
      <c r="I1248" s="7" t="n">
        <v>10000722</v>
      </c>
      <c r="J1248" s="7">
        <f>IFERROR(VLOOKUP(I1248,Materiales!$A:$H,8,0),"")</f>
        <v/>
      </c>
      <c r="K1248" s="9">
        <f>IFERROR(VLOOKUP(I1248,Materiales!$A:$G,7,0),"")</f>
        <v/>
      </c>
      <c r="L1248" s="8" t="inlineStr">
        <is>
          <t>20190426</t>
        </is>
      </c>
      <c r="M1248" s="8" t="inlineStr">
        <is>
          <t>20250127</t>
        </is>
      </c>
      <c r="N1248" s="10" t="n">
        <v>129.78</v>
      </c>
      <c r="O1248" s="10">
        <f>IFERROR(VLOOKUP(A1248,Flete!$A:$J,10,0),"")</f>
        <v/>
      </c>
      <c r="P1248" s="8" t="inlineStr">
        <is>
          <t>M3</t>
        </is>
      </c>
      <c r="Q1248" s="10">
        <f>IFERROR(IFERROR(VLOOKUP(A1248,TRAOPE!$A:$U,21,0),VLOOKUP(B1248,TRAOPE!$A:$U,21,0)),"")</f>
        <v/>
      </c>
      <c r="R1248" s="8">
        <f>IFERROR(IFERROR(VLOOKUP(A1248,TRAOPE!$A:$W,23,0),VLOOKUP(B1248,TRAOPE!$A:$W,23,0)),"")</f>
        <v/>
      </c>
      <c r="S1248" s="10">
        <f>IF(AND(P1248="TN",R1248="TN"),N1248+N(O1248),IF(G1248&amp;""="1",N(K1248)*N1248,(N1248+N(O1248))*N(K1248)))</f>
        <v/>
      </c>
      <c r="T1248" s="10">
        <f>IF(Q1248="","",Q1248-S1248)</f>
        <v/>
      </c>
    </row>
    <row r="1249">
      <c r="A1249" s="7">
        <f>CONCATENATE(C1249,E1249,F1249,I1249)</f>
        <v/>
      </c>
      <c r="B1249" s="7">
        <f>CONCATENATE(C1249,E1249,I1249)</f>
        <v/>
      </c>
      <c r="C1249" s="8" t="n">
        <v>900003609</v>
      </c>
      <c r="D1249" s="7">
        <f>IFERROR(VLOOKUP(C1249,TRAOPE!$G:$H,2,0),"")</f>
        <v/>
      </c>
      <c r="E1249" s="8" t="inlineStr">
        <is>
          <t>D836</t>
        </is>
      </c>
      <c r="F1249" s="8" t="inlineStr">
        <is>
          <t>66433511</t>
        </is>
      </c>
      <c r="G1249" s="8">
        <f>IFERROR(VLOOKUP(A1249,Flete!$A:$E,5,0),"")</f>
        <v/>
      </c>
      <c r="H1249" s="7">
        <f>IFERROR(VLOOKUP(F1249,TRAOPE!$AA:$AB,2,0),"")</f>
        <v/>
      </c>
      <c r="I1249" s="7" t="n">
        <v>10000360</v>
      </c>
      <c r="J1249" s="7">
        <f>IFERROR(VLOOKUP(I1249,Materiales!$A:$H,8,0),"")</f>
        <v/>
      </c>
      <c r="K1249" s="9">
        <f>IFERROR(VLOOKUP(I1249,Materiales!$A:$G,7,0),"")</f>
        <v/>
      </c>
      <c r="L1249" s="8" t="inlineStr">
        <is>
          <t>20190426</t>
        </is>
      </c>
      <c r="M1249" s="8" t="inlineStr">
        <is>
          <t>20250127</t>
        </is>
      </c>
      <c r="N1249" s="10" t="n">
        <v>127</v>
      </c>
      <c r="O1249" s="10">
        <f>IFERROR(VLOOKUP(A1249,Flete!$A:$J,10,0),"")</f>
        <v/>
      </c>
      <c r="P1249" s="8" t="inlineStr">
        <is>
          <t>M3</t>
        </is>
      </c>
      <c r="Q1249" s="10">
        <f>IFERROR(IFERROR(VLOOKUP(A1249,TRAOPE!$A:$U,21,0),VLOOKUP(B1249,TRAOPE!$A:$U,21,0)),"")</f>
        <v/>
      </c>
      <c r="R1249" s="8">
        <f>IFERROR(IFERROR(VLOOKUP(A1249,TRAOPE!$A:$W,23,0),VLOOKUP(B1249,TRAOPE!$A:$W,23,0)),"")</f>
        <v/>
      </c>
      <c r="S1249" s="10">
        <f>IF(AND(P1249="TN",R1249="TN"),N1249+N(O1249),IF(G1249&amp;""="1",N(K1249)*N1249,(N1249+N(O1249))*N(K1249)))</f>
        <v/>
      </c>
      <c r="T1249" s="10">
        <f>IF(Q1249="","",Q1249-S1249)</f>
        <v/>
      </c>
    </row>
    <row r="1250">
      <c r="A1250" s="7">
        <f>CONCATENATE(C1250,E1250,F1250,I1250)</f>
        <v/>
      </c>
      <c r="B1250" s="7">
        <f>CONCATENATE(C1250,E1250,I1250)</f>
        <v/>
      </c>
      <c r="C1250" s="8" t="n">
        <v>900003609</v>
      </c>
      <c r="D1250" s="7">
        <f>IFERROR(VLOOKUP(C1250,TRAOPE!$G:$H,2,0),"")</f>
        <v/>
      </c>
      <c r="E1250" s="8" t="inlineStr">
        <is>
          <t>D836</t>
        </is>
      </c>
      <c r="F1250" s="8" t="inlineStr">
        <is>
          <t>66438172</t>
        </is>
      </c>
      <c r="G1250" s="8">
        <f>IFERROR(VLOOKUP(A1250,Flete!$A:$E,5,0),"")</f>
        <v/>
      </c>
      <c r="H1250" s="7">
        <f>IFERROR(VLOOKUP(F1250,TRAOPE!$AA:$AB,2,0),"")</f>
        <v/>
      </c>
      <c r="I1250" s="7" t="n">
        <v>10053281</v>
      </c>
      <c r="J1250" s="7">
        <f>IFERROR(VLOOKUP(I1250,Materiales!$A:$H,8,0),"")</f>
        <v/>
      </c>
      <c r="K1250" s="9">
        <f>IFERROR(VLOOKUP(I1250,Materiales!$A:$G,7,0),"")</f>
        <v/>
      </c>
      <c r="L1250" s="8" t="inlineStr">
        <is>
          <t>20190426</t>
        </is>
      </c>
      <c r="M1250" s="8" t="inlineStr">
        <is>
          <t>20250127</t>
        </is>
      </c>
      <c r="N1250" s="10" t="n">
        <v>130</v>
      </c>
      <c r="O1250" s="10">
        <f>IFERROR(VLOOKUP(A1250,Flete!$A:$J,10,0),"")</f>
        <v/>
      </c>
      <c r="P1250" s="8" t="inlineStr">
        <is>
          <t>M3</t>
        </is>
      </c>
      <c r="Q1250" s="10">
        <f>IFERROR(IFERROR(VLOOKUP(A1250,TRAOPE!$A:$U,21,0),VLOOKUP(B1250,TRAOPE!$A:$U,21,0)),"")</f>
        <v/>
      </c>
      <c r="R1250" s="8">
        <f>IFERROR(IFERROR(VLOOKUP(A1250,TRAOPE!$A:$W,23,0),VLOOKUP(B1250,TRAOPE!$A:$W,23,0)),"")</f>
        <v/>
      </c>
      <c r="S1250" s="10">
        <f>IF(AND(P1250="TN",R1250="TN"),N1250+N(O1250),IF(G1250&amp;""="1",N(K1250)*N1250,(N1250+N(O1250))*N(K1250)))</f>
        <v/>
      </c>
      <c r="T1250" s="10">
        <f>IF(Q1250="","",Q1250-S1250)</f>
        <v/>
      </c>
    </row>
    <row r="1251">
      <c r="A1251" s="7">
        <f>CONCATENATE(C1251,E1251,F1251,I1251)</f>
        <v/>
      </c>
      <c r="B1251" s="7">
        <f>CONCATENATE(C1251,E1251,I1251)</f>
        <v/>
      </c>
      <c r="C1251" s="8" t="n">
        <v>900003609</v>
      </c>
      <c r="D1251" s="7">
        <f>IFERROR(VLOOKUP(C1251,TRAOPE!$G:$H,2,0),"")</f>
        <v/>
      </c>
      <c r="E1251" s="8" t="inlineStr">
        <is>
          <t>D836</t>
        </is>
      </c>
      <c r="F1251" s="8" t="inlineStr">
        <is>
          <t>66442116</t>
        </is>
      </c>
      <c r="G1251" s="8">
        <f>IFERROR(VLOOKUP(A1251,Flete!$A:$E,5,0),"")</f>
        <v/>
      </c>
      <c r="H1251" s="7">
        <f>IFERROR(VLOOKUP(F1251,TRAOPE!$AA:$AB,2,0),"")</f>
        <v/>
      </c>
      <c r="I1251" s="7" t="n">
        <v>10000624</v>
      </c>
      <c r="J1251" s="7">
        <f>IFERROR(VLOOKUP(I1251,Materiales!$A:$H,8,0),"")</f>
        <v/>
      </c>
      <c r="K1251" s="9">
        <f>IFERROR(VLOOKUP(I1251,Materiales!$A:$G,7,0),"")</f>
        <v/>
      </c>
      <c r="L1251" s="8" t="inlineStr">
        <is>
          <t>20190426</t>
        </is>
      </c>
      <c r="M1251" s="8" t="inlineStr">
        <is>
          <t>20250127</t>
        </is>
      </c>
      <c r="N1251" s="10" t="n">
        <v>145</v>
      </c>
      <c r="O1251" s="10">
        <f>IFERROR(VLOOKUP(A1251,Flete!$A:$J,10,0),"")</f>
        <v/>
      </c>
      <c r="P1251" s="8" t="inlineStr">
        <is>
          <t>M3</t>
        </is>
      </c>
      <c r="Q1251" s="10">
        <f>IFERROR(IFERROR(VLOOKUP(A1251,TRAOPE!$A:$U,21,0),VLOOKUP(B1251,TRAOPE!$A:$U,21,0)),"")</f>
        <v/>
      </c>
      <c r="R1251" s="8">
        <f>IFERROR(IFERROR(VLOOKUP(A1251,TRAOPE!$A:$W,23,0),VLOOKUP(B1251,TRAOPE!$A:$W,23,0)),"")</f>
        <v/>
      </c>
      <c r="S1251" s="10">
        <f>IF(AND(P1251="TN",R1251="TN"),N1251+N(O1251),IF(G1251&amp;""="1",N(K1251)*N1251,(N1251+N(O1251))*N(K1251)))</f>
        <v/>
      </c>
      <c r="T1251" s="10">
        <f>IF(Q1251="","",Q1251-S1251)</f>
        <v/>
      </c>
    </row>
    <row r="1252">
      <c r="A1252" s="7">
        <f>CONCATENATE(C1252,E1252,F1252,I1252)</f>
        <v/>
      </c>
      <c r="B1252" s="7">
        <f>CONCATENATE(C1252,E1252,I1252)</f>
        <v/>
      </c>
      <c r="C1252" s="8" t="n">
        <v>900003609</v>
      </c>
      <c r="D1252" s="7">
        <f>IFERROR(VLOOKUP(C1252,TRAOPE!$G:$H,2,0),"")</f>
        <v/>
      </c>
      <c r="E1252" s="8" t="inlineStr">
        <is>
          <t>D836</t>
        </is>
      </c>
      <c r="F1252" s="8" t="inlineStr">
        <is>
          <t>66442116</t>
        </is>
      </c>
      <c r="G1252" s="8">
        <f>IFERROR(VLOOKUP(A1252,Flete!$A:$E,5,0),"")</f>
        <v/>
      </c>
      <c r="H1252" s="7">
        <f>IFERROR(VLOOKUP(F1252,TRAOPE!$AA:$AB,2,0),"")</f>
        <v/>
      </c>
      <c r="I1252" s="7" t="n">
        <v>10000722</v>
      </c>
      <c r="J1252" s="7">
        <f>IFERROR(VLOOKUP(I1252,Materiales!$A:$H,8,0),"")</f>
        <v/>
      </c>
      <c r="K1252" s="9">
        <f>IFERROR(VLOOKUP(I1252,Materiales!$A:$G,7,0),"")</f>
        <v/>
      </c>
      <c r="L1252" s="8" t="inlineStr">
        <is>
          <t>20190426</t>
        </is>
      </c>
      <c r="M1252" s="8" t="inlineStr">
        <is>
          <t>20250127</t>
        </is>
      </c>
      <c r="N1252" s="10" t="n">
        <v>150</v>
      </c>
      <c r="O1252" s="10">
        <f>IFERROR(VLOOKUP(A1252,Flete!$A:$J,10,0),"")</f>
        <v/>
      </c>
      <c r="P1252" s="8" t="inlineStr">
        <is>
          <t>M3</t>
        </is>
      </c>
      <c r="Q1252" s="10">
        <f>IFERROR(IFERROR(VLOOKUP(A1252,TRAOPE!$A:$U,21,0),VLOOKUP(B1252,TRAOPE!$A:$U,21,0)),"")</f>
        <v/>
      </c>
      <c r="R1252" s="8">
        <f>IFERROR(IFERROR(VLOOKUP(A1252,TRAOPE!$A:$W,23,0),VLOOKUP(B1252,TRAOPE!$A:$W,23,0)),"")</f>
        <v/>
      </c>
      <c r="S1252" s="10">
        <f>IF(AND(P1252="TN",R1252="TN"),N1252+N(O1252),IF(G1252&amp;""="1",N(K1252)*N1252,(N1252+N(O1252))*N(K1252)))</f>
        <v/>
      </c>
      <c r="T1252" s="10">
        <f>IF(Q1252="","",Q1252-S1252)</f>
        <v/>
      </c>
    </row>
    <row r="1253">
      <c r="A1253" s="7">
        <f>CONCATENATE(C1253,E1253,F1253,I1253)</f>
        <v/>
      </c>
      <c r="B1253" s="7">
        <f>CONCATENATE(C1253,E1253,I1253)</f>
        <v/>
      </c>
      <c r="C1253" s="8" t="n">
        <v>900003609</v>
      </c>
      <c r="D1253" s="7">
        <f>IFERROR(VLOOKUP(C1253,TRAOPE!$G:$H,2,0),"")</f>
        <v/>
      </c>
      <c r="E1253" s="8" t="inlineStr">
        <is>
          <t>D836</t>
        </is>
      </c>
      <c r="F1253" s="8" t="inlineStr">
        <is>
          <t>66442116</t>
        </is>
      </c>
      <c r="G1253" s="8">
        <f>IFERROR(VLOOKUP(A1253,Flete!$A:$E,5,0),"")</f>
        <v/>
      </c>
      <c r="H1253" s="7">
        <f>IFERROR(VLOOKUP(F1253,TRAOPE!$AA:$AB,2,0),"")</f>
        <v/>
      </c>
      <c r="I1253" s="7" t="n">
        <v>10053281</v>
      </c>
      <c r="J1253" s="7">
        <f>IFERROR(VLOOKUP(I1253,Materiales!$A:$H,8,0),"")</f>
        <v/>
      </c>
      <c r="K1253" s="9">
        <f>IFERROR(VLOOKUP(I1253,Materiales!$A:$G,7,0),"")</f>
        <v/>
      </c>
      <c r="L1253" s="8" t="inlineStr">
        <is>
          <t>20190426</t>
        </is>
      </c>
      <c r="M1253" s="8" t="inlineStr">
        <is>
          <t>20250127</t>
        </is>
      </c>
      <c r="N1253" s="10" t="n">
        <v>150</v>
      </c>
      <c r="O1253" s="10">
        <f>IFERROR(VLOOKUP(A1253,Flete!$A:$J,10,0),"")</f>
        <v/>
      </c>
      <c r="P1253" s="8" t="inlineStr">
        <is>
          <t>M3</t>
        </is>
      </c>
      <c r="Q1253" s="10">
        <f>IFERROR(IFERROR(VLOOKUP(A1253,TRAOPE!$A:$U,21,0),VLOOKUP(B1253,TRAOPE!$A:$U,21,0)),"")</f>
        <v/>
      </c>
      <c r="R1253" s="8">
        <f>IFERROR(IFERROR(VLOOKUP(A1253,TRAOPE!$A:$W,23,0),VLOOKUP(B1253,TRAOPE!$A:$W,23,0)),"")</f>
        <v/>
      </c>
      <c r="S1253" s="10">
        <f>IF(AND(P1253="TN",R1253="TN"),N1253+N(O1253),IF(G1253&amp;""="1",N(K1253)*N1253,(N1253+N(O1253))*N(K1253)))</f>
        <v/>
      </c>
      <c r="T1253" s="10">
        <f>IF(Q1253="","",Q1253-S1253)</f>
        <v/>
      </c>
    </row>
    <row r="1254">
      <c r="A1254" s="7">
        <f>CONCATENATE(C1254,E1254,F1254,I1254)</f>
        <v/>
      </c>
      <c r="B1254" s="7">
        <f>CONCATENATE(C1254,E1254,I1254)</f>
        <v/>
      </c>
      <c r="C1254" s="8" t="n">
        <v>900003609</v>
      </c>
      <c r="D1254" s="7">
        <f>IFERROR(VLOOKUP(C1254,TRAOPE!$G:$H,2,0),"")</f>
        <v/>
      </c>
      <c r="E1254" s="8" t="inlineStr">
        <is>
          <t>D836</t>
        </is>
      </c>
      <c r="F1254" s="8" t="inlineStr">
        <is>
          <t>66450072</t>
        </is>
      </c>
      <c r="G1254" s="8">
        <f>IFERROR(VLOOKUP(A1254,Flete!$A:$E,5,0),"")</f>
        <v/>
      </c>
      <c r="H1254" s="7">
        <f>IFERROR(VLOOKUP(F1254,TRAOPE!$AA:$AB,2,0),"")</f>
        <v/>
      </c>
      <c r="I1254" s="7" t="n">
        <v>10000624</v>
      </c>
      <c r="J1254" s="7">
        <f>IFERROR(VLOOKUP(I1254,Materiales!$A:$H,8,0),"")</f>
        <v/>
      </c>
      <c r="K1254" s="9">
        <f>IFERROR(VLOOKUP(I1254,Materiales!$A:$G,7,0),"")</f>
        <v/>
      </c>
      <c r="L1254" s="8" t="inlineStr">
        <is>
          <t>20190426</t>
        </is>
      </c>
      <c r="M1254" s="8" t="inlineStr">
        <is>
          <t>20250127</t>
        </is>
      </c>
      <c r="N1254" s="10" t="n">
        <v>145</v>
      </c>
      <c r="O1254" s="10">
        <f>IFERROR(VLOOKUP(A1254,Flete!$A:$J,10,0),"")</f>
        <v/>
      </c>
      <c r="P1254" s="8" t="inlineStr">
        <is>
          <t>M3</t>
        </is>
      </c>
      <c r="Q1254" s="10">
        <f>IFERROR(IFERROR(VLOOKUP(A1254,TRAOPE!$A:$U,21,0),VLOOKUP(B1254,TRAOPE!$A:$U,21,0)),"")</f>
        <v/>
      </c>
      <c r="R1254" s="8">
        <f>IFERROR(IFERROR(VLOOKUP(A1254,TRAOPE!$A:$W,23,0),VLOOKUP(B1254,TRAOPE!$A:$W,23,0)),"")</f>
        <v/>
      </c>
      <c r="S1254" s="10">
        <f>IF(AND(P1254="TN",R1254="TN"),N1254+N(O1254),IF(G1254&amp;""="1",N(K1254)*N1254,(N1254+N(O1254))*N(K1254)))</f>
        <v/>
      </c>
      <c r="T1254" s="10">
        <f>IF(Q1254="","",Q1254-S1254)</f>
        <v/>
      </c>
    </row>
    <row r="1255">
      <c r="A1255" s="7">
        <f>CONCATENATE(C1255,E1255,F1255,I1255)</f>
        <v/>
      </c>
      <c r="B1255" s="7">
        <f>CONCATENATE(C1255,E1255,I1255)</f>
        <v/>
      </c>
      <c r="C1255" s="8" t="n">
        <v>900003609</v>
      </c>
      <c r="D1255" s="7">
        <f>IFERROR(VLOOKUP(C1255,TRAOPE!$G:$H,2,0),"")</f>
        <v/>
      </c>
      <c r="E1255" s="8" t="inlineStr">
        <is>
          <t>D836</t>
        </is>
      </c>
      <c r="F1255" s="8" t="inlineStr">
        <is>
          <t>66450072</t>
        </is>
      </c>
      <c r="G1255" s="8">
        <f>IFERROR(VLOOKUP(A1255,Flete!$A:$E,5,0),"")</f>
        <v/>
      </c>
      <c r="H1255" s="7">
        <f>IFERROR(VLOOKUP(F1255,TRAOPE!$AA:$AB,2,0),"")</f>
        <v/>
      </c>
      <c r="I1255" s="7" t="n">
        <v>10000722</v>
      </c>
      <c r="J1255" s="7">
        <f>IFERROR(VLOOKUP(I1255,Materiales!$A:$H,8,0),"")</f>
        <v/>
      </c>
      <c r="K1255" s="9">
        <f>IFERROR(VLOOKUP(I1255,Materiales!$A:$G,7,0),"")</f>
        <v/>
      </c>
      <c r="L1255" s="8" t="inlineStr">
        <is>
          <t>20190426</t>
        </is>
      </c>
      <c r="M1255" s="8" t="inlineStr">
        <is>
          <t>20250127</t>
        </is>
      </c>
      <c r="N1255" s="10" t="n">
        <v>150</v>
      </c>
      <c r="O1255" s="10">
        <f>IFERROR(VLOOKUP(A1255,Flete!$A:$J,10,0),"")</f>
        <v/>
      </c>
      <c r="P1255" s="8" t="inlineStr">
        <is>
          <t>M3</t>
        </is>
      </c>
      <c r="Q1255" s="10">
        <f>IFERROR(IFERROR(VLOOKUP(A1255,TRAOPE!$A:$U,21,0),VLOOKUP(B1255,TRAOPE!$A:$U,21,0)),"")</f>
        <v/>
      </c>
      <c r="R1255" s="8">
        <f>IFERROR(IFERROR(VLOOKUP(A1255,TRAOPE!$A:$W,23,0),VLOOKUP(B1255,TRAOPE!$A:$W,23,0)),"")</f>
        <v/>
      </c>
      <c r="S1255" s="10">
        <f>IF(AND(P1255="TN",R1255="TN"),N1255+N(O1255),IF(G1255&amp;""="1",N(K1255)*N1255,(N1255+N(O1255))*N(K1255)))</f>
        <v/>
      </c>
      <c r="T1255" s="10">
        <f>IF(Q1255="","",Q1255-S1255)</f>
        <v/>
      </c>
    </row>
    <row r="1256">
      <c r="A1256" s="7">
        <f>CONCATENATE(C1256,E1256,F1256,I1256)</f>
        <v/>
      </c>
      <c r="B1256" s="7">
        <f>CONCATENATE(C1256,E1256,I1256)</f>
        <v/>
      </c>
      <c r="C1256" s="8" t="n">
        <v>900003609</v>
      </c>
      <c r="D1256" s="7">
        <f>IFERROR(VLOOKUP(C1256,TRAOPE!$G:$H,2,0),"")</f>
        <v/>
      </c>
      <c r="E1256" s="8" t="inlineStr">
        <is>
          <t>D836</t>
        </is>
      </c>
      <c r="F1256" s="8" t="inlineStr">
        <is>
          <t>66458593</t>
        </is>
      </c>
      <c r="G1256" s="8">
        <f>IFERROR(VLOOKUP(A1256,Flete!$A:$E,5,0),"")</f>
        <v/>
      </c>
      <c r="H1256" s="7">
        <f>IFERROR(VLOOKUP(F1256,TRAOPE!$AA:$AB,2,0),"")</f>
        <v/>
      </c>
      <c r="I1256" s="7" t="n">
        <v>10000811</v>
      </c>
      <c r="J1256" s="7">
        <f>IFERROR(VLOOKUP(I1256,Materiales!$A:$H,8,0),"")</f>
        <v/>
      </c>
      <c r="K1256" s="9">
        <f>IFERROR(VLOOKUP(I1256,Materiales!$A:$G,7,0),"")</f>
        <v/>
      </c>
      <c r="L1256" s="8" t="inlineStr">
        <is>
          <t>20190426</t>
        </is>
      </c>
      <c r="M1256" s="8" t="inlineStr">
        <is>
          <t>20250127</t>
        </is>
      </c>
      <c r="N1256" s="10" t="n">
        <v>166</v>
      </c>
      <c r="O1256" s="10">
        <f>IFERROR(VLOOKUP(A1256,Flete!$A:$J,10,0),"")</f>
        <v/>
      </c>
      <c r="P1256" s="8" t="inlineStr">
        <is>
          <t>M3</t>
        </is>
      </c>
      <c r="Q1256" s="10">
        <f>IFERROR(IFERROR(VLOOKUP(A1256,TRAOPE!$A:$U,21,0),VLOOKUP(B1256,TRAOPE!$A:$U,21,0)),"")</f>
        <v/>
      </c>
      <c r="R1256" s="8">
        <f>IFERROR(IFERROR(VLOOKUP(A1256,TRAOPE!$A:$W,23,0),VLOOKUP(B1256,TRAOPE!$A:$W,23,0)),"")</f>
        <v/>
      </c>
      <c r="S1256" s="10">
        <f>IF(AND(P1256="TN",R1256="TN"),N1256+N(O1256),IF(G1256&amp;""="1",N(K1256)*N1256,(N1256+N(O1256))*N(K1256)))</f>
        <v/>
      </c>
      <c r="T1256" s="10">
        <f>IF(Q1256="","",Q1256-S1256)</f>
        <v/>
      </c>
    </row>
    <row r="1257">
      <c r="A1257" s="7">
        <f>CONCATENATE(C1257,E1257,F1257,I1257)</f>
        <v/>
      </c>
      <c r="B1257" s="7">
        <f>CONCATENATE(C1257,E1257,I1257)</f>
        <v/>
      </c>
      <c r="C1257" s="8" t="n">
        <v>900003609</v>
      </c>
      <c r="D1257" s="7">
        <f>IFERROR(VLOOKUP(C1257,TRAOPE!$G:$H,2,0),"")</f>
        <v/>
      </c>
      <c r="E1257" s="8" t="inlineStr">
        <is>
          <t>D836</t>
        </is>
      </c>
      <c r="F1257" s="8" t="inlineStr">
        <is>
          <t>66463792</t>
        </is>
      </c>
      <c r="G1257" s="8">
        <f>IFERROR(VLOOKUP(A1257,Flete!$A:$E,5,0),"")</f>
        <v/>
      </c>
      <c r="H1257" s="7">
        <f>IFERROR(VLOOKUP(F1257,TRAOPE!$AA:$AB,2,0),"")</f>
        <v/>
      </c>
      <c r="I1257" s="7" t="n">
        <v>10000624</v>
      </c>
      <c r="J1257" s="7">
        <f>IFERROR(VLOOKUP(I1257,Materiales!$A:$H,8,0),"")</f>
        <v/>
      </c>
      <c r="K1257" s="9">
        <f>IFERROR(VLOOKUP(I1257,Materiales!$A:$G,7,0),"")</f>
        <v/>
      </c>
      <c r="L1257" s="8" t="inlineStr">
        <is>
          <t>20190426</t>
        </is>
      </c>
      <c r="M1257" s="8" t="inlineStr">
        <is>
          <t>20250127</t>
        </is>
      </c>
      <c r="N1257" s="10" t="n">
        <v>214</v>
      </c>
      <c r="O1257" s="10">
        <f>IFERROR(VLOOKUP(A1257,Flete!$A:$J,10,0),"")</f>
        <v/>
      </c>
      <c r="P1257" s="8" t="inlineStr">
        <is>
          <t>M3</t>
        </is>
      </c>
      <c r="Q1257" s="10">
        <f>IFERROR(IFERROR(VLOOKUP(A1257,TRAOPE!$A:$U,21,0),VLOOKUP(B1257,TRAOPE!$A:$U,21,0)),"")</f>
        <v/>
      </c>
      <c r="R1257" s="8">
        <f>IFERROR(IFERROR(VLOOKUP(A1257,TRAOPE!$A:$W,23,0),VLOOKUP(B1257,TRAOPE!$A:$W,23,0)),"")</f>
        <v/>
      </c>
      <c r="S1257" s="10">
        <f>IF(AND(P1257="TN",R1257="TN"),N1257+N(O1257),IF(G1257&amp;""="1",N(K1257)*N1257,(N1257+N(O1257))*N(K1257)))</f>
        <v/>
      </c>
      <c r="T1257" s="10">
        <f>IF(Q1257="","",Q1257-S1257)</f>
        <v/>
      </c>
    </row>
    <row r="1258">
      <c r="A1258" s="7">
        <f>CONCATENATE(C1258,E1258,F1258,I1258)</f>
        <v/>
      </c>
      <c r="B1258" s="7">
        <f>CONCATENATE(C1258,E1258,I1258)</f>
        <v/>
      </c>
      <c r="C1258" s="8" t="n">
        <v>900003609</v>
      </c>
      <c r="D1258" s="7">
        <f>IFERROR(VLOOKUP(C1258,TRAOPE!$G:$H,2,0),"")</f>
        <v/>
      </c>
      <c r="E1258" s="8" t="inlineStr">
        <is>
          <t>D836</t>
        </is>
      </c>
      <c r="F1258" s="8" t="inlineStr">
        <is>
          <t>66463792</t>
        </is>
      </c>
      <c r="G1258" s="8">
        <f>IFERROR(VLOOKUP(A1258,Flete!$A:$E,5,0),"")</f>
        <v/>
      </c>
      <c r="H1258" s="7">
        <f>IFERROR(VLOOKUP(F1258,TRAOPE!$AA:$AB,2,0),"")</f>
        <v/>
      </c>
      <c r="I1258" s="7" t="n">
        <v>10000630</v>
      </c>
      <c r="J1258" s="7">
        <f>IFERROR(VLOOKUP(I1258,Materiales!$A:$H,8,0),"")</f>
        <v/>
      </c>
      <c r="K1258" s="9">
        <f>IFERROR(VLOOKUP(I1258,Materiales!$A:$G,7,0),"")</f>
        <v/>
      </c>
      <c r="L1258" s="8" t="inlineStr">
        <is>
          <t>20190426</t>
        </is>
      </c>
      <c r="M1258" s="8" t="inlineStr">
        <is>
          <t>20250127</t>
        </is>
      </c>
      <c r="N1258" s="10" t="n">
        <v>214</v>
      </c>
      <c r="O1258" s="10">
        <f>IFERROR(VLOOKUP(A1258,Flete!$A:$J,10,0),"")</f>
        <v/>
      </c>
      <c r="P1258" s="8" t="inlineStr">
        <is>
          <t>M3</t>
        </is>
      </c>
      <c r="Q1258" s="10">
        <f>IFERROR(IFERROR(VLOOKUP(A1258,TRAOPE!$A:$U,21,0),VLOOKUP(B1258,TRAOPE!$A:$U,21,0)),"")</f>
        <v/>
      </c>
      <c r="R1258" s="8">
        <f>IFERROR(IFERROR(VLOOKUP(A1258,TRAOPE!$A:$W,23,0),VLOOKUP(B1258,TRAOPE!$A:$W,23,0)),"")</f>
        <v/>
      </c>
      <c r="S1258" s="10">
        <f>IF(AND(P1258="TN",R1258="TN"),N1258+N(O1258),IF(G1258&amp;""="1",N(K1258)*N1258,(N1258+N(O1258))*N(K1258)))</f>
        <v/>
      </c>
      <c r="T1258" s="10">
        <f>IF(Q1258="","",Q1258-S1258)</f>
        <v/>
      </c>
    </row>
    <row r="1259">
      <c r="A1259" s="7">
        <f>CONCATENATE(C1259,E1259,F1259,I1259)</f>
        <v/>
      </c>
      <c r="B1259" s="7">
        <f>CONCATENATE(C1259,E1259,I1259)</f>
        <v/>
      </c>
      <c r="C1259" s="8" t="n">
        <v>900003609</v>
      </c>
      <c r="D1259" s="7">
        <f>IFERROR(VLOOKUP(C1259,TRAOPE!$G:$H,2,0),"")</f>
        <v/>
      </c>
      <c r="E1259" s="8" t="inlineStr">
        <is>
          <t>D836</t>
        </is>
      </c>
      <c r="F1259" s="8" t="inlineStr">
        <is>
          <t>66463792</t>
        </is>
      </c>
      <c r="G1259" s="8">
        <f>IFERROR(VLOOKUP(A1259,Flete!$A:$E,5,0),"")</f>
        <v/>
      </c>
      <c r="H1259" s="7">
        <f>IFERROR(VLOOKUP(F1259,TRAOPE!$AA:$AB,2,0),"")</f>
        <v/>
      </c>
      <c r="I1259" s="7" t="n">
        <v>10000811</v>
      </c>
      <c r="J1259" s="7">
        <f>IFERROR(VLOOKUP(I1259,Materiales!$A:$H,8,0),"")</f>
        <v/>
      </c>
      <c r="K1259" s="9">
        <f>IFERROR(VLOOKUP(I1259,Materiales!$A:$G,7,0),"")</f>
        <v/>
      </c>
      <c r="L1259" s="8" t="inlineStr">
        <is>
          <t>20190426</t>
        </is>
      </c>
      <c r="M1259" s="8" t="inlineStr">
        <is>
          <t>20250127</t>
        </is>
      </c>
      <c r="N1259" s="10" t="n">
        <v>150</v>
      </c>
      <c r="O1259" s="10">
        <f>IFERROR(VLOOKUP(A1259,Flete!$A:$J,10,0),"")</f>
        <v/>
      </c>
      <c r="P1259" s="8" t="inlineStr">
        <is>
          <t>M3</t>
        </is>
      </c>
      <c r="Q1259" s="10">
        <f>IFERROR(IFERROR(VLOOKUP(A1259,TRAOPE!$A:$U,21,0),VLOOKUP(B1259,TRAOPE!$A:$U,21,0)),"")</f>
        <v/>
      </c>
      <c r="R1259" s="8">
        <f>IFERROR(IFERROR(VLOOKUP(A1259,TRAOPE!$A:$W,23,0),VLOOKUP(B1259,TRAOPE!$A:$W,23,0)),"")</f>
        <v/>
      </c>
      <c r="S1259" s="10">
        <f>IF(AND(P1259="TN",R1259="TN"),N1259+N(O1259),IF(G1259&amp;""="1",N(K1259)*N1259,(N1259+N(O1259))*N(K1259)))</f>
        <v/>
      </c>
      <c r="T1259" s="10">
        <f>IF(Q1259="","",Q1259-S1259)</f>
        <v/>
      </c>
    </row>
    <row r="1260">
      <c r="A1260" s="7">
        <f>CONCATENATE(C1260,E1260,F1260,I1260)</f>
        <v/>
      </c>
      <c r="B1260" s="7">
        <f>CONCATENATE(C1260,E1260,I1260)</f>
        <v/>
      </c>
      <c r="C1260" s="8" t="n">
        <v>900003609</v>
      </c>
      <c r="D1260" s="7">
        <f>IFERROR(VLOOKUP(C1260,TRAOPE!$G:$H,2,0),"")</f>
        <v/>
      </c>
      <c r="E1260" s="8" t="inlineStr">
        <is>
          <t>D836</t>
        </is>
      </c>
      <c r="F1260" s="8" t="inlineStr">
        <is>
          <t>66466079</t>
        </is>
      </c>
      <c r="G1260" s="8">
        <f>IFERROR(VLOOKUP(A1260,Flete!$A:$E,5,0),"")</f>
        <v/>
      </c>
      <c r="H1260" s="7">
        <f>IFERROR(VLOOKUP(F1260,TRAOPE!$AA:$AB,2,0),"")</f>
        <v/>
      </c>
      <c r="I1260" s="7" t="n">
        <v>10000722</v>
      </c>
      <c r="J1260" s="7">
        <f>IFERROR(VLOOKUP(I1260,Materiales!$A:$H,8,0),"")</f>
        <v/>
      </c>
      <c r="K1260" s="9">
        <f>IFERROR(VLOOKUP(I1260,Materiales!$A:$G,7,0),"")</f>
        <v/>
      </c>
      <c r="L1260" s="8" t="inlineStr">
        <is>
          <t>20190426</t>
        </is>
      </c>
      <c r="M1260" s="8" t="inlineStr">
        <is>
          <t>20250127</t>
        </is>
      </c>
      <c r="N1260" s="10" t="n">
        <v>138.24</v>
      </c>
      <c r="O1260" s="10">
        <f>IFERROR(VLOOKUP(A1260,Flete!$A:$J,10,0),"")</f>
        <v/>
      </c>
      <c r="P1260" s="8" t="inlineStr">
        <is>
          <t>M3</t>
        </is>
      </c>
      <c r="Q1260" s="10">
        <f>IFERROR(IFERROR(VLOOKUP(A1260,TRAOPE!$A:$U,21,0),VLOOKUP(B1260,TRAOPE!$A:$U,21,0)),"")</f>
        <v/>
      </c>
      <c r="R1260" s="8">
        <f>IFERROR(IFERROR(VLOOKUP(A1260,TRAOPE!$A:$W,23,0),VLOOKUP(B1260,TRAOPE!$A:$W,23,0)),"")</f>
        <v/>
      </c>
      <c r="S1260" s="10">
        <f>IF(AND(P1260="TN",R1260="TN"),N1260+N(O1260),IF(G1260&amp;""="1",N(K1260)*N1260,(N1260+N(O1260))*N(K1260)))</f>
        <v/>
      </c>
      <c r="T1260" s="10">
        <f>IF(Q1260="","",Q1260-S1260)</f>
        <v/>
      </c>
    </row>
    <row r="1261">
      <c r="A1261" s="7">
        <f>CONCATENATE(C1261,E1261,F1261,I1261)</f>
        <v/>
      </c>
      <c r="B1261" s="7">
        <f>CONCATENATE(C1261,E1261,I1261)</f>
        <v/>
      </c>
      <c r="C1261" s="8" t="n">
        <v>900003609</v>
      </c>
      <c r="D1261" s="7">
        <f>IFERROR(VLOOKUP(C1261,TRAOPE!$G:$H,2,0),"")</f>
        <v/>
      </c>
      <c r="E1261" s="8" t="inlineStr">
        <is>
          <t>D836</t>
        </is>
      </c>
      <c r="F1261" s="8" t="inlineStr">
        <is>
          <t>66475158</t>
        </is>
      </c>
      <c r="G1261" s="8">
        <f>IFERROR(VLOOKUP(A1261,Flete!$A:$E,5,0),"")</f>
        <v/>
      </c>
      <c r="H1261" s="7">
        <f>IFERROR(VLOOKUP(F1261,TRAOPE!$AA:$AB,2,0),"")</f>
        <v/>
      </c>
      <c r="I1261" s="7" t="n">
        <v>10000624</v>
      </c>
      <c r="J1261" s="7">
        <f>IFERROR(VLOOKUP(I1261,Materiales!$A:$H,8,0),"")</f>
        <v/>
      </c>
      <c r="K1261" s="9">
        <f>IFERROR(VLOOKUP(I1261,Materiales!$A:$G,7,0),"")</f>
        <v/>
      </c>
      <c r="L1261" s="8" t="inlineStr">
        <is>
          <t>20190426</t>
        </is>
      </c>
      <c r="M1261" s="8" t="inlineStr">
        <is>
          <t>20250127</t>
        </is>
      </c>
      <c r="N1261" s="10" t="n">
        <v>140</v>
      </c>
      <c r="O1261" s="10">
        <f>IFERROR(VLOOKUP(A1261,Flete!$A:$J,10,0),"")</f>
        <v/>
      </c>
      <c r="P1261" s="8" t="inlineStr">
        <is>
          <t>M3</t>
        </is>
      </c>
      <c r="Q1261" s="10">
        <f>IFERROR(IFERROR(VLOOKUP(A1261,TRAOPE!$A:$U,21,0),VLOOKUP(B1261,TRAOPE!$A:$U,21,0)),"")</f>
        <v/>
      </c>
      <c r="R1261" s="8">
        <f>IFERROR(IFERROR(VLOOKUP(A1261,TRAOPE!$A:$W,23,0),VLOOKUP(B1261,TRAOPE!$A:$W,23,0)),"")</f>
        <v/>
      </c>
      <c r="S1261" s="10">
        <f>IF(AND(P1261="TN",R1261="TN"),N1261+N(O1261),IF(G1261&amp;""="1",N(K1261)*N1261,(N1261+N(O1261))*N(K1261)))</f>
        <v/>
      </c>
      <c r="T1261" s="10">
        <f>IF(Q1261="","",Q1261-S1261)</f>
        <v/>
      </c>
    </row>
    <row r="1262">
      <c r="A1262" s="7">
        <f>CONCATENATE(C1262,E1262,F1262,I1262)</f>
        <v/>
      </c>
      <c r="B1262" s="7">
        <f>CONCATENATE(C1262,E1262,I1262)</f>
        <v/>
      </c>
      <c r="C1262" s="8" t="n">
        <v>900003609</v>
      </c>
      <c r="D1262" s="7">
        <f>IFERROR(VLOOKUP(C1262,TRAOPE!$G:$H,2,0),"")</f>
        <v/>
      </c>
      <c r="E1262" s="8" t="inlineStr">
        <is>
          <t>D836</t>
        </is>
      </c>
      <c r="F1262" s="8" t="inlineStr">
        <is>
          <t>66475158</t>
        </is>
      </c>
      <c r="G1262" s="8">
        <f>IFERROR(VLOOKUP(A1262,Flete!$A:$E,5,0),"")</f>
        <v/>
      </c>
      <c r="H1262" s="7">
        <f>IFERROR(VLOOKUP(F1262,TRAOPE!$AA:$AB,2,0),"")</f>
        <v/>
      </c>
      <c r="I1262" s="7" t="n">
        <v>10000811</v>
      </c>
      <c r="J1262" s="7">
        <f>IFERROR(VLOOKUP(I1262,Materiales!$A:$H,8,0),"")</f>
        <v/>
      </c>
      <c r="K1262" s="9">
        <f>IFERROR(VLOOKUP(I1262,Materiales!$A:$G,7,0),"")</f>
        <v/>
      </c>
      <c r="L1262" s="8" t="inlineStr">
        <is>
          <t>20190426</t>
        </is>
      </c>
      <c r="M1262" s="8" t="inlineStr">
        <is>
          <t>20250127</t>
        </is>
      </c>
      <c r="N1262" s="10" t="n">
        <v>133</v>
      </c>
      <c r="O1262" s="10">
        <f>IFERROR(VLOOKUP(A1262,Flete!$A:$J,10,0),"")</f>
        <v/>
      </c>
      <c r="P1262" s="8" t="inlineStr">
        <is>
          <t>M3</t>
        </is>
      </c>
      <c r="Q1262" s="10">
        <f>IFERROR(IFERROR(VLOOKUP(A1262,TRAOPE!$A:$U,21,0),VLOOKUP(B1262,TRAOPE!$A:$U,21,0)),"")</f>
        <v/>
      </c>
      <c r="R1262" s="8">
        <f>IFERROR(IFERROR(VLOOKUP(A1262,TRAOPE!$A:$W,23,0),VLOOKUP(B1262,TRAOPE!$A:$W,23,0)),"")</f>
        <v/>
      </c>
      <c r="S1262" s="10">
        <f>IF(AND(P1262="TN",R1262="TN"),N1262+N(O1262),IF(G1262&amp;""="1",N(K1262)*N1262,(N1262+N(O1262))*N(K1262)))</f>
        <v/>
      </c>
      <c r="T1262" s="10">
        <f>IF(Q1262="","",Q1262-S1262)</f>
        <v/>
      </c>
    </row>
    <row r="1263">
      <c r="A1263" s="7">
        <f>CONCATENATE(C1263,E1263,F1263,I1263)</f>
        <v/>
      </c>
      <c r="B1263" s="7">
        <f>CONCATENATE(C1263,E1263,I1263)</f>
        <v/>
      </c>
      <c r="C1263" s="8" t="n">
        <v>900003609</v>
      </c>
      <c r="D1263" s="7">
        <f>IFERROR(VLOOKUP(C1263,TRAOPE!$G:$H,2,0),"")</f>
        <v/>
      </c>
      <c r="E1263" s="8" t="inlineStr">
        <is>
          <t>D836</t>
        </is>
      </c>
      <c r="F1263" s="8" t="inlineStr">
        <is>
          <t>66482104</t>
        </is>
      </c>
      <c r="G1263" s="8">
        <f>IFERROR(VLOOKUP(A1263,Flete!$A:$E,5,0),"")</f>
        <v/>
      </c>
      <c r="H1263" s="7">
        <f>IFERROR(VLOOKUP(F1263,TRAOPE!$AA:$AB,2,0),"")</f>
        <v/>
      </c>
      <c r="I1263" s="7" t="n">
        <v>10000624</v>
      </c>
      <c r="J1263" s="7">
        <f>IFERROR(VLOOKUP(I1263,Materiales!$A:$H,8,0),"")</f>
        <v/>
      </c>
      <c r="K1263" s="9">
        <f>IFERROR(VLOOKUP(I1263,Materiales!$A:$G,7,0),"")</f>
        <v/>
      </c>
      <c r="L1263" s="8" t="inlineStr">
        <is>
          <t>20190426</t>
        </is>
      </c>
      <c r="M1263" s="8" t="inlineStr">
        <is>
          <t>20250127</t>
        </is>
      </c>
      <c r="N1263" s="10" t="n">
        <v>140</v>
      </c>
      <c r="O1263" s="10">
        <f>IFERROR(VLOOKUP(A1263,Flete!$A:$J,10,0),"")</f>
        <v/>
      </c>
      <c r="P1263" s="8" t="inlineStr">
        <is>
          <t>M3</t>
        </is>
      </c>
      <c r="Q1263" s="10">
        <f>IFERROR(IFERROR(VLOOKUP(A1263,TRAOPE!$A:$U,21,0),VLOOKUP(B1263,TRAOPE!$A:$U,21,0)),"")</f>
        <v/>
      </c>
      <c r="R1263" s="8">
        <f>IFERROR(IFERROR(VLOOKUP(A1263,TRAOPE!$A:$W,23,0),VLOOKUP(B1263,TRAOPE!$A:$W,23,0)),"")</f>
        <v/>
      </c>
      <c r="S1263" s="10">
        <f>IF(AND(P1263="TN",R1263="TN"),N1263+N(O1263),IF(G1263&amp;""="1",N(K1263)*N1263,(N1263+N(O1263))*N(K1263)))</f>
        <v/>
      </c>
      <c r="T1263" s="10">
        <f>IF(Q1263="","",Q1263-S1263)</f>
        <v/>
      </c>
    </row>
    <row r="1264">
      <c r="A1264" s="7">
        <f>CONCATENATE(C1264,E1264,F1264,I1264)</f>
        <v/>
      </c>
      <c r="B1264" s="7">
        <f>CONCATENATE(C1264,E1264,I1264)</f>
        <v/>
      </c>
      <c r="C1264" s="8" t="n">
        <v>900003609</v>
      </c>
      <c r="D1264" s="7">
        <f>IFERROR(VLOOKUP(C1264,TRAOPE!$G:$H,2,0),"")</f>
        <v/>
      </c>
      <c r="E1264" s="8" t="inlineStr">
        <is>
          <t>D836</t>
        </is>
      </c>
      <c r="F1264" s="8" t="inlineStr">
        <is>
          <t>66482104</t>
        </is>
      </c>
      <c r="G1264" s="8">
        <f>IFERROR(VLOOKUP(A1264,Flete!$A:$E,5,0),"")</f>
        <v/>
      </c>
      <c r="H1264" s="7">
        <f>IFERROR(VLOOKUP(F1264,TRAOPE!$AA:$AB,2,0),"")</f>
        <v/>
      </c>
      <c r="I1264" s="7" t="n">
        <v>10000811</v>
      </c>
      <c r="J1264" s="7">
        <f>IFERROR(VLOOKUP(I1264,Materiales!$A:$H,8,0),"")</f>
        <v/>
      </c>
      <c r="K1264" s="9">
        <f>IFERROR(VLOOKUP(I1264,Materiales!$A:$G,7,0),"")</f>
        <v/>
      </c>
      <c r="L1264" s="8" t="inlineStr">
        <is>
          <t>20190426</t>
        </is>
      </c>
      <c r="M1264" s="8" t="inlineStr">
        <is>
          <t>20250127</t>
        </is>
      </c>
      <c r="N1264" s="10" t="n">
        <v>133</v>
      </c>
      <c r="O1264" s="10">
        <f>IFERROR(VLOOKUP(A1264,Flete!$A:$J,10,0),"")</f>
        <v/>
      </c>
      <c r="P1264" s="8" t="inlineStr">
        <is>
          <t>M3</t>
        </is>
      </c>
      <c r="Q1264" s="10">
        <f>IFERROR(IFERROR(VLOOKUP(A1264,TRAOPE!$A:$U,21,0),VLOOKUP(B1264,TRAOPE!$A:$U,21,0)),"")</f>
        <v/>
      </c>
      <c r="R1264" s="8">
        <f>IFERROR(IFERROR(VLOOKUP(A1264,TRAOPE!$A:$W,23,0),VLOOKUP(B1264,TRAOPE!$A:$W,23,0)),"")</f>
        <v/>
      </c>
      <c r="S1264" s="10">
        <f>IF(AND(P1264="TN",R1264="TN"),N1264+N(O1264),IF(G1264&amp;""="1",N(K1264)*N1264,(N1264+N(O1264))*N(K1264)))</f>
        <v/>
      </c>
      <c r="T1264" s="10">
        <f>IF(Q1264="","",Q1264-S1264)</f>
        <v/>
      </c>
    </row>
    <row r="1265">
      <c r="A1265" s="7">
        <f>CONCATENATE(C1265,E1265,F1265,I1265)</f>
        <v/>
      </c>
      <c r="B1265" s="7">
        <f>CONCATENATE(C1265,E1265,I1265)</f>
        <v/>
      </c>
      <c r="C1265" s="8" t="n">
        <v>900003609</v>
      </c>
      <c r="D1265" s="7">
        <f>IFERROR(VLOOKUP(C1265,TRAOPE!$G:$H,2,0),"")</f>
        <v/>
      </c>
      <c r="E1265" s="8" t="inlineStr">
        <is>
          <t>D836</t>
        </is>
      </c>
      <c r="F1265" s="8" t="inlineStr">
        <is>
          <t>66482288</t>
        </is>
      </c>
      <c r="G1265" s="8">
        <f>IFERROR(VLOOKUP(A1265,Flete!$A:$E,5,0),"")</f>
        <v/>
      </c>
      <c r="H1265" s="7">
        <f>IFERROR(VLOOKUP(F1265,TRAOPE!$AA:$AB,2,0),"")</f>
        <v/>
      </c>
      <c r="I1265" s="7" t="n">
        <v>10000624</v>
      </c>
      <c r="J1265" s="7">
        <f>IFERROR(VLOOKUP(I1265,Materiales!$A:$H,8,0),"")</f>
        <v/>
      </c>
      <c r="K1265" s="9">
        <f>IFERROR(VLOOKUP(I1265,Materiales!$A:$G,7,0),"")</f>
        <v/>
      </c>
      <c r="L1265" s="8" t="inlineStr">
        <is>
          <t>20190426</t>
        </is>
      </c>
      <c r="M1265" s="8" t="inlineStr">
        <is>
          <t>20250127</t>
        </is>
      </c>
      <c r="N1265" s="10" t="n">
        <v>140</v>
      </c>
      <c r="O1265" s="10">
        <f>IFERROR(VLOOKUP(A1265,Flete!$A:$J,10,0),"")</f>
        <v/>
      </c>
      <c r="P1265" s="8" t="inlineStr">
        <is>
          <t>M3</t>
        </is>
      </c>
      <c r="Q1265" s="10">
        <f>IFERROR(IFERROR(VLOOKUP(A1265,TRAOPE!$A:$U,21,0),VLOOKUP(B1265,TRAOPE!$A:$U,21,0)),"")</f>
        <v/>
      </c>
      <c r="R1265" s="8">
        <f>IFERROR(IFERROR(VLOOKUP(A1265,TRAOPE!$A:$W,23,0),VLOOKUP(B1265,TRAOPE!$A:$W,23,0)),"")</f>
        <v/>
      </c>
      <c r="S1265" s="10">
        <f>IF(AND(P1265="TN",R1265="TN"),N1265+N(O1265),IF(G1265&amp;""="1",N(K1265)*N1265,(N1265+N(O1265))*N(K1265)))</f>
        <v/>
      </c>
      <c r="T1265" s="10">
        <f>IF(Q1265="","",Q1265-S1265)</f>
        <v/>
      </c>
    </row>
    <row r="1266">
      <c r="A1266" s="7">
        <f>CONCATENATE(C1266,E1266,F1266,I1266)</f>
        <v/>
      </c>
      <c r="B1266" s="7">
        <f>CONCATENATE(C1266,E1266,I1266)</f>
        <v/>
      </c>
      <c r="C1266" s="8" t="n">
        <v>900003609</v>
      </c>
      <c r="D1266" s="7">
        <f>IFERROR(VLOOKUP(C1266,TRAOPE!$G:$H,2,0),"")</f>
        <v/>
      </c>
      <c r="E1266" s="8" t="inlineStr">
        <is>
          <t>D836</t>
        </is>
      </c>
      <c r="F1266" s="8" t="inlineStr">
        <is>
          <t>66482288</t>
        </is>
      </c>
      <c r="G1266" s="8">
        <f>IFERROR(VLOOKUP(A1266,Flete!$A:$E,5,0),"")</f>
        <v/>
      </c>
      <c r="H1266" s="7">
        <f>IFERROR(VLOOKUP(F1266,TRAOPE!$AA:$AB,2,0),"")</f>
        <v/>
      </c>
      <c r="I1266" s="7" t="n">
        <v>10000811</v>
      </c>
      <c r="J1266" s="7">
        <f>IFERROR(VLOOKUP(I1266,Materiales!$A:$H,8,0),"")</f>
        <v/>
      </c>
      <c r="K1266" s="9">
        <f>IFERROR(VLOOKUP(I1266,Materiales!$A:$G,7,0),"")</f>
        <v/>
      </c>
      <c r="L1266" s="8" t="inlineStr">
        <is>
          <t>20190426</t>
        </is>
      </c>
      <c r="M1266" s="8" t="inlineStr">
        <is>
          <t>20250127</t>
        </is>
      </c>
      <c r="N1266" s="10" t="n">
        <v>133</v>
      </c>
      <c r="O1266" s="10">
        <f>IFERROR(VLOOKUP(A1266,Flete!$A:$J,10,0),"")</f>
        <v/>
      </c>
      <c r="P1266" s="8" t="inlineStr">
        <is>
          <t>M3</t>
        </is>
      </c>
      <c r="Q1266" s="10">
        <f>IFERROR(IFERROR(VLOOKUP(A1266,TRAOPE!$A:$U,21,0),VLOOKUP(B1266,TRAOPE!$A:$U,21,0)),"")</f>
        <v/>
      </c>
      <c r="R1266" s="8">
        <f>IFERROR(IFERROR(VLOOKUP(A1266,TRAOPE!$A:$W,23,0),VLOOKUP(B1266,TRAOPE!$A:$W,23,0)),"")</f>
        <v/>
      </c>
      <c r="S1266" s="10">
        <f>IF(AND(P1266="TN",R1266="TN"),N1266+N(O1266),IF(G1266&amp;""="1",N(K1266)*N1266,(N1266+N(O1266))*N(K1266)))</f>
        <v/>
      </c>
      <c r="T1266" s="10">
        <f>IF(Q1266="","",Q1266-S1266)</f>
        <v/>
      </c>
    </row>
    <row r="1267">
      <c r="A1267" s="7">
        <f>CONCATENATE(C1267,E1267,F1267,I1267)</f>
        <v/>
      </c>
      <c r="B1267" s="7">
        <f>CONCATENATE(C1267,E1267,I1267)</f>
        <v/>
      </c>
      <c r="C1267" s="8" t="n">
        <v>900003609</v>
      </c>
      <c r="D1267" s="7">
        <f>IFERROR(VLOOKUP(C1267,TRAOPE!$G:$H,2,0),"")</f>
        <v/>
      </c>
      <c r="E1267" s="8" t="inlineStr">
        <is>
          <t>D836</t>
        </is>
      </c>
      <c r="F1267" s="8" t="inlineStr">
        <is>
          <t>66482289</t>
        </is>
      </c>
      <c r="G1267" s="8">
        <f>IFERROR(VLOOKUP(A1267,Flete!$A:$E,5,0),"")</f>
        <v/>
      </c>
      <c r="H1267" s="7">
        <f>IFERROR(VLOOKUP(F1267,TRAOPE!$AA:$AB,2,0),"")</f>
        <v/>
      </c>
      <c r="I1267" s="7" t="n">
        <v>10000624</v>
      </c>
      <c r="J1267" s="7">
        <f>IFERROR(VLOOKUP(I1267,Materiales!$A:$H,8,0),"")</f>
        <v/>
      </c>
      <c r="K1267" s="9">
        <f>IFERROR(VLOOKUP(I1267,Materiales!$A:$G,7,0),"")</f>
        <v/>
      </c>
      <c r="L1267" s="8" t="inlineStr">
        <is>
          <t>20190426</t>
        </is>
      </c>
      <c r="M1267" s="8" t="inlineStr">
        <is>
          <t>20250127</t>
        </is>
      </c>
      <c r="N1267" s="10" t="n">
        <v>140</v>
      </c>
      <c r="O1267" s="10">
        <f>IFERROR(VLOOKUP(A1267,Flete!$A:$J,10,0),"")</f>
        <v/>
      </c>
      <c r="P1267" s="8" t="inlineStr">
        <is>
          <t>M3</t>
        </is>
      </c>
      <c r="Q1267" s="10">
        <f>IFERROR(IFERROR(VLOOKUP(A1267,TRAOPE!$A:$U,21,0),VLOOKUP(B1267,TRAOPE!$A:$U,21,0)),"")</f>
        <v/>
      </c>
      <c r="R1267" s="8">
        <f>IFERROR(IFERROR(VLOOKUP(A1267,TRAOPE!$A:$W,23,0),VLOOKUP(B1267,TRAOPE!$A:$W,23,0)),"")</f>
        <v/>
      </c>
      <c r="S1267" s="10">
        <f>IF(AND(P1267="TN",R1267="TN"),N1267+N(O1267),IF(G1267&amp;""="1",N(K1267)*N1267,(N1267+N(O1267))*N(K1267)))</f>
        <v/>
      </c>
      <c r="T1267" s="10">
        <f>IF(Q1267="","",Q1267-S1267)</f>
        <v/>
      </c>
    </row>
    <row r="1268">
      <c r="A1268" s="7">
        <f>CONCATENATE(C1268,E1268,F1268,I1268)</f>
        <v/>
      </c>
      <c r="B1268" s="7">
        <f>CONCATENATE(C1268,E1268,I1268)</f>
        <v/>
      </c>
      <c r="C1268" s="8" t="n">
        <v>900003609</v>
      </c>
      <c r="D1268" s="7">
        <f>IFERROR(VLOOKUP(C1268,TRAOPE!$G:$H,2,0),"")</f>
        <v/>
      </c>
      <c r="E1268" s="8" t="inlineStr">
        <is>
          <t>D836</t>
        </is>
      </c>
      <c r="F1268" s="8" t="inlineStr">
        <is>
          <t>66482289</t>
        </is>
      </c>
      <c r="G1268" s="8">
        <f>IFERROR(VLOOKUP(A1268,Flete!$A:$E,5,0),"")</f>
        <v/>
      </c>
      <c r="H1268" s="7">
        <f>IFERROR(VLOOKUP(F1268,TRAOPE!$AA:$AB,2,0),"")</f>
        <v/>
      </c>
      <c r="I1268" s="7" t="n">
        <v>10000811</v>
      </c>
      <c r="J1268" s="7">
        <f>IFERROR(VLOOKUP(I1268,Materiales!$A:$H,8,0),"")</f>
        <v/>
      </c>
      <c r="K1268" s="9">
        <f>IFERROR(VLOOKUP(I1268,Materiales!$A:$G,7,0),"")</f>
        <v/>
      </c>
      <c r="L1268" s="8" t="inlineStr">
        <is>
          <t>20190426</t>
        </is>
      </c>
      <c r="M1268" s="8" t="inlineStr">
        <is>
          <t>20250127</t>
        </is>
      </c>
      <c r="N1268" s="10" t="n">
        <v>133</v>
      </c>
      <c r="O1268" s="10">
        <f>IFERROR(VLOOKUP(A1268,Flete!$A:$J,10,0),"")</f>
        <v/>
      </c>
      <c r="P1268" s="8" t="inlineStr">
        <is>
          <t>M3</t>
        </is>
      </c>
      <c r="Q1268" s="10">
        <f>IFERROR(IFERROR(VLOOKUP(A1268,TRAOPE!$A:$U,21,0),VLOOKUP(B1268,TRAOPE!$A:$U,21,0)),"")</f>
        <v/>
      </c>
      <c r="R1268" s="8">
        <f>IFERROR(IFERROR(VLOOKUP(A1268,TRAOPE!$A:$W,23,0),VLOOKUP(B1268,TRAOPE!$A:$W,23,0)),"")</f>
        <v/>
      </c>
      <c r="S1268" s="10">
        <f>IF(AND(P1268="TN",R1268="TN"),N1268+N(O1268),IF(G1268&amp;""="1",N(K1268)*N1268,(N1268+N(O1268))*N(K1268)))</f>
        <v/>
      </c>
      <c r="T1268" s="10">
        <f>IF(Q1268="","",Q1268-S1268)</f>
        <v/>
      </c>
    </row>
    <row r="1269">
      <c r="A1269" s="7">
        <f>CONCATENATE(C1269,E1269,F1269,I1269)</f>
        <v/>
      </c>
      <c r="B1269" s="7">
        <f>CONCATENATE(C1269,E1269,I1269)</f>
        <v/>
      </c>
      <c r="C1269" s="8" t="n">
        <v>900003609</v>
      </c>
      <c r="D1269" s="7">
        <f>IFERROR(VLOOKUP(C1269,TRAOPE!$G:$H,2,0),"")</f>
        <v/>
      </c>
      <c r="E1269" s="8" t="inlineStr">
        <is>
          <t>D836</t>
        </is>
      </c>
      <c r="F1269" s="8" t="inlineStr">
        <is>
          <t>66516656</t>
        </is>
      </c>
      <c r="G1269" s="8">
        <f>IFERROR(VLOOKUP(A1269,Flete!$A:$E,5,0),"")</f>
        <v/>
      </c>
      <c r="H1269" s="7">
        <f>IFERROR(VLOOKUP(F1269,TRAOPE!$AA:$AB,2,0),"")</f>
        <v/>
      </c>
      <c r="I1269" s="7" t="n">
        <v>10000630</v>
      </c>
      <c r="J1269" s="7">
        <f>IFERROR(VLOOKUP(I1269,Materiales!$A:$H,8,0),"")</f>
        <v/>
      </c>
      <c r="K1269" s="9">
        <f>IFERROR(VLOOKUP(I1269,Materiales!$A:$G,7,0),"")</f>
        <v/>
      </c>
      <c r="L1269" s="8" t="inlineStr">
        <is>
          <t>20190426</t>
        </is>
      </c>
      <c r="M1269" s="8" t="inlineStr">
        <is>
          <t>20250127</t>
        </is>
      </c>
      <c r="N1269" s="10" t="n">
        <v>145</v>
      </c>
      <c r="O1269" s="10">
        <f>IFERROR(VLOOKUP(A1269,Flete!$A:$J,10,0),"")</f>
        <v/>
      </c>
      <c r="P1269" s="8" t="inlineStr">
        <is>
          <t>M3</t>
        </is>
      </c>
      <c r="Q1269" s="10">
        <f>IFERROR(IFERROR(VLOOKUP(A1269,TRAOPE!$A:$U,21,0),VLOOKUP(B1269,TRAOPE!$A:$U,21,0)),"")</f>
        <v/>
      </c>
      <c r="R1269" s="8">
        <f>IFERROR(IFERROR(VLOOKUP(A1269,TRAOPE!$A:$W,23,0),VLOOKUP(B1269,TRAOPE!$A:$W,23,0)),"")</f>
        <v/>
      </c>
      <c r="S1269" s="10">
        <f>IF(AND(P1269="TN",R1269="TN"),N1269+N(O1269),IF(G1269&amp;""="1",N(K1269)*N1269,(N1269+N(O1269))*N(K1269)))</f>
        <v/>
      </c>
      <c r="T1269" s="10">
        <f>IF(Q1269="","",Q1269-S1269)</f>
        <v/>
      </c>
    </row>
    <row r="1270">
      <c r="A1270" s="7">
        <f>CONCATENATE(C1270,E1270,F1270,I1270)</f>
        <v/>
      </c>
      <c r="B1270" s="7">
        <f>CONCATENATE(C1270,E1270,I1270)</f>
        <v/>
      </c>
      <c r="C1270" s="8" t="n">
        <v>900003609</v>
      </c>
      <c r="D1270" s="7">
        <f>IFERROR(VLOOKUP(C1270,TRAOPE!$G:$H,2,0),"")</f>
        <v/>
      </c>
      <c r="E1270" s="8" t="inlineStr">
        <is>
          <t>D836</t>
        </is>
      </c>
      <c r="F1270" s="8" t="inlineStr">
        <is>
          <t>66518013</t>
        </is>
      </c>
      <c r="G1270" s="8">
        <f>IFERROR(VLOOKUP(A1270,Flete!$A:$E,5,0),"")</f>
        <v/>
      </c>
      <c r="H1270" s="7">
        <f>IFERROR(VLOOKUP(F1270,TRAOPE!$AA:$AB,2,0),"")</f>
        <v/>
      </c>
      <c r="I1270" s="7" t="n">
        <v>10000630</v>
      </c>
      <c r="J1270" s="7">
        <f>IFERROR(VLOOKUP(I1270,Materiales!$A:$H,8,0),"")</f>
        <v/>
      </c>
      <c r="K1270" s="9">
        <f>IFERROR(VLOOKUP(I1270,Materiales!$A:$G,7,0),"")</f>
        <v/>
      </c>
      <c r="L1270" s="8" t="inlineStr">
        <is>
          <t>20190426</t>
        </is>
      </c>
      <c r="M1270" s="8" t="inlineStr">
        <is>
          <t>20250127</t>
        </is>
      </c>
      <c r="N1270" s="10" t="n">
        <v>145</v>
      </c>
      <c r="O1270" s="10">
        <f>IFERROR(VLOOKUP(A1270,Flete!$A:$J,10,0),"")</f>
        <v/>
      </c>
      <c r="P1270" s="8" t="inlineStr">
        <is>
          <t>M3</t>
        </is>
      </c>
      <c r="Q1270" s="10">
        <f>IFERROR(IFERROR(VLOOKUP(A1270,TRAOPE!$A:$U,21,0),VLOOKUP(B1270,TRAOPE!$A:$U,21,0)),"")</f>
        <v/>
      </c>
      <c r="R1270" s="8">
        <f>IFERROR(IFERROR(VLOOKUP(A1270,TRAOPE!$A:$W,23,0),VLOOKUP(B1270,TRAOPE!$A:$W,23,0)),"")</f>
        <v/>
      </c>
      <c r="S1270" s="10">
        <f>IF(AND(P1270="TN",R1270="TN"),N1270+N(O1270),IF(G1270&amp;""="1",N(K1270)*N1270,(N1270+N(O1270))*N(K1270)))</f>
        <v/>
      </c>
      <c r="T1270" s="10">
        <f>IF(Q1270="","",Q1270-S1270)</f>
        <v/>
      </c>
    </row>
    <row r="1271">
      <c r="A1271" s="7">
        <f>CONCATENATE(C1271,E1271,F1271,I1271)</f>
        <v/>
      </c>
      <c r="B1271" s="7">
        <f>CONCATENATE(C1271,E1271,I1271)</f>
        <v/>
      </c>
      <c r="C1271" s="8" t="n">
        <v>900003609</v>
      </c>
      <c r="D1271" s="7">
        <f>IFERROR(VLOOKUP(C1271,TRAOPE!$G:$H,2,0),"")</f>
        <v/>
      </c>
      <c r="E1271" s="8" t="inlineStr">
        <is>
          <t>D836</t>
        </is>
      </c>
      <c r="F1271" s="8" t="inlineStr">
        <is>
          <t>66518013</t>
        </is>
      </c>
      <c r="G1271" s="8">
        <f>IFERROR(VLOOKUP(A1271,Flete!$A:$E,5,0),"")</f>
        <v/>
      </c>
      <c r="H1271" s="7">
        <f>IFERROR(VLOOKUP(F1271,TRAOPE!$AA:$AB,2,0),"")</f>
        <v/>
      </c>
      <c r="I1271" s="7" t="n">
        <v>10053281</v>
      </c>
      <c r="J1271" s="7">
        <f>IFERROR(VLOOKUP(I1271,Materiales!$A:$H,8,0),"")</f>
        <v/>
      </c>
      <c r="K1271" s="9">
        <f>IFERROR(VLOOKUP(I1271,Materiales!$A:$G,7,0),"")</f>
        <v/>
      </c>
      <c r="L1271" s="8" t="inlineStr">
        <is>
          <t>20190426</t>
        </is>
      </c>
      <c r="M1271" s="8" t="inlineStr">
        <is>
          <t>20250127</t>
        </is>
      </c>
      <c r="N1271" s="10" t="n">
        <v>142</v>
      </c>
      <c r="O1271" s="10">
        <f>IFERROR(VLOOKUP(A1271,Flete!$A:$J,10,0),"")</f>
        <v/>
      </c>
      <c r="P1271" s="8" t="inlineStr">
        <is>
          <t>M3</t>
        </is>
      </c>
      <c r="Q1271" s="10">
        <f>IFERROR(IFERROR(VLOOKUP(A1271,TRAOPE!$A:$U,21,0),VLOOKUP(B1271,TRAOPE!$A:$U,21,0)),"")</f>
        <v/>
      </c>
      <c r="R1271" s="8">
        <f>IFERROR(IFERROR(VLOOKUP(A1271,TRAOPE!$A:$W,23,0),VLOOKUP(B1271,TRAOPE!$A:$W,23,0)),"")</f>
        <v/>
      </c>
      <c r="S1271" s="10">
        <f>IF(AND(P1271="TN",R1271="TN"),N1271+N(O1271),IF(G1271&amp;""="1",N(K1271)*N1271,(N1271+N(O1271))*N(K1271)))</f>
        <v/>
      </c>
      <c r="T1271" s="10">
        <f>IF(Q1271="","",Q1271-S1271)</f>
        <v/>
      </c>
    </row>
    <row r="1272">
      <c r="A1272" s="7">
        <f>CONCATENATE(C1272,E1272,F1272,I1272)</f>
        <v/>
      </c>
      <c r="B1272" s="7">
        <f>CONCATENATE(C1272,E1272,I1272)</f>
        <v/>
      </c>
      <c r="C1272" s="8" t="n">
        <v>900003609</v>
      </c>
      <c r="D1272" s="7">
        <f>IFERROR(VLOOKUP(C1272,TRAOPE!$G:$H,2,0),"")</f>
        <v/>
      </c>
      <c r="E1272" s="8" t="inlineStr">
        <is>
          <t>D836</t>
        </is>
      </c>
      <c r="F1272" s="8" t="inlineStr">
        <is>
          <t>66526341</t>
        </is>
      </c>
      <c r="G1272" s="8">
        <f>IFERROR(VLOOKUP(A1272,Flete!$A:$E,5,0),"")</f>
        <v/>
      </c>
      <c r="H1272" s="7">
        <f>IFERROR(VLOOKUP(F1272,TRAOPE!$AA:$AB,2,0),"")</f>
        <v/>
      </c>
      <c r="I1272" s="7" t="n">
        <v>10000624</v>
      </c>
      <c r="J1272" s="7">
        <f>IFERROR(VLOOKUP(I1272,Materiales!$A:$H,8,0),"")</f>
        <v/>
      </c>
      <c r="K1272" s="9">
        <f>IFERROR(VLOOKUP(I1272,Materiales!$A:$G,7,0),"")</f>
        <v/>
      </c>
      <c r="L1272" s="8" t="inlineStr">
        <is>
          <t>20190426</t>
        </is>
      </c>
      <c r="M1272" s="8" t="inlineStr">
        <is>
          <t>20250127</t>
        </is>
      </c>
      <c r="N1272" s="10" t="n">
        <v>140</v>
      </c>
      <c r="O1272" s="10">
        <f>IFERROR(VLOOKUP(A1272,Flete!$A:$J,10,0),"")</f>
        <v/>
      </c>
      <c r="P1272" s="8" t="inlineStr">
        <is>
          <t>M3</t>
        </is>
      </c>
      <c r="Q1272" s="10">
        <f>IFERROR(IFERROR(VLOOKUP(A1272,TRAOPE!$A:$U,21,0),VLOOKUP(B1272,TRAOPE!$A:$U,21,0)),"")</f>
        <v/>
      </c>
      <c r="R1272" s="8">
        <f>IFERROR(IFERROR(VLOOKUP(A1272,TRAOPE!$A:$W,23,0),VLOOKUP(B1272,TRAOPE!$A:$W,23,0)),"")</f>
        <v/>
      </c>
      <c r="S1272" s="10">
        <f>IF(AND(P1272="TN",R1272="TN"),N1272+N(O1272),IF(G1272&amp;""="1",N(K1272)*N1272,(N1272+N(O1272))*N(K1272)))</f>
        <v/>
      </c>
      <c r="T1272" s="10">
        <f>IF(Q1272="","",Q1272-S1272)</f>
        <v/>
      </c>
    </row>
    <row r="1273">
      <c r="A1273" s="7">
        <f>CONCATENATE(C1273,E1273,F1273,I1273)</f>
        <v/>
      </c>
      <c r="B1273" s="7">
        <f>CONCATENATE(C1273,E1273,I1273)</f>
        <v/>
      </c>
      <c r="C1273" s="8" t="n">
        <v>900003609</v>
      </c>
      <c r="D1273" s="7">
        <f>IFERROR(VLOOKUP(C1273,TRAOPE!$G:$H,2,0),"")</f>
        <v/>
      </c>
      <c r="E1273" s="8" t="inlineStr">
        <is>
          <t>D836</t>
        </is>
      </c>
      <c r="F1273" s="8" t="inlineStr">
        <is>
          <t>66526343</t>
        </is>
      </c>
      <c r="G1273" s="8">
        <f>IFERROR(VLOOKUP(A1273,Flete!$A:$E,5,0),"")</f>
        <v/>
      </c>
      <c r="H1273" s="7">
        <f>IFERROR(VLOOKUP(F1273,TRAOPE!$AA:$AB,2,0),"")</f>
        <v/>
      </c>
      <c r="I1273" s="7" t="n">
        <v>10000624</v>
      </c>
      <c r="J1273" s="7">
        <f>IFERROR(VLOOKUP(I1273,Materiales!$A:$H,8,0),"")</f>
        <v/>
      </c>
      <c r="K1273" s="9">
        <f>IFERROR(VLOOKUP(I1273,Materiales!$A:$G,7,0),"")</f>
        <v/>
      </c>
      <c r="L1273" s="8" t="inlineStr">
        <is>
          <t>20190426</t>
        </is>
      </c>
      <c r="M1273" s="8" t="inlineStr">
        <is>
          <t>20250127</t>
        </is>
      </c>
      <c r="N1273" s="10" t="n">
        <v>140</v>
      </c>
      <c r="O1273" s="10">
        <f>IFERROR(VLOOKUP(A1273,Flete!$A:$J,10,0),"")</f>
        <v/>
      </c>
      <c r="P1273" s="8" t="inlineStr">
        <is>
          <t>M3</t>
        </is>
      </c>
      <c r="Q1273" s="10">
        <f>IFERROR(IFERROR(VLOOKUP(A1273,TRAOPE!$A:$U,21,0),VLOOKUP(B1273,TRAOPE!$A:$U,21,0)),"")</f>
        <v/>
      </c>
      <c r="R1273" s="8">
        <f>IFERROR(IFERROR(VLOOKUP(A1273,TRAOPE!$A:$W,23,0),VLOOKUP(B1273,TRAOPE!$A:$W,23,0)),"")</f>
        <v/>
      </c>
      <c r="S1273" s="10">
        <f>IF(AND(P1273="TN",R1273="TN"),N1273+N(O1273),IF(G1273&amp;""="1",N(K1273)*N1273,(N1273+N(O1273))*N(K1273)))</f>
        <v/>
      </c>
      <c r="T1273" s="10">
        <f>IF(Q1273="","",Q1273-S1273)</f>
        <v/>
      </c>
    </row>
    <row r="1274">
      <c r="A1274" s="7">
        <f>CONCATENATE(C1274,E1274,F1274,I1274)</f>
        <v/>
      </c>
      <c r="B1274" s="7">
        <f>CONCATENATE(C1274,E1274,I1274)</f>
        <v/>
      </c>
      <c r="C1274" s="8" t="n">
        <v>900003609</v>
      </c>
      <c r="D1274" s="7">
        <f>IFERROR(VLOOKUP(C1274,TRAOPE!$G:$H,2,0),"")</f>
        <v/>
      </c>
      <c r="E1274" s="8" t="inlineStr">
        <is>
          <t>D836</t>
        </is>
      </c>
      <c r="F1274" s="8" t="inlineStr">
        <is>
          <t>66538213</t>
        </is>
      </c>
      <c r="G1274" s="8">
        <f>IFERROR(VLOOKUP(A1274,Flete!$A:$E,5,0),"")</f>
        <v/>
      </c>
      <c r="H1274" s="7">
        <f>IFERROR(VLOOKUP(F1274,TRAOPE!$AA:$AB,2,0),"")</f>
        <v/>
      </c>
      <c r="I1274" s="7" t="n">
        <v>10000624</v>
      </c>
      <c r="J1274" s="7">
        <f>IFERROR(VLOOKUP(I1274,Materiales!$A:$H,8,0),"")</f>
        <v/>
      </c>
      <c r="K1274" s="9">
        <f>IFERROR(VLOOKUP(I1274,Materiales!$A:$G,7,0),"")</f>
        <v/>
      </c>
      <c r="L1274" s="8" t="inlineStr">
        <is>
          <t>20190426</t>
        </is>
      </c>
      <c r="M1274" s="8" t="inlineStr">
        <is>
          <t>20250127</t>
        </is>
      </c>
      <c r="N1274" s="10" t="n">
        <v>140</v>
      </c>
      <c r="O1274" s="10">
        <f>IFERROR(VLOOKUP(A1274,Flete!$A:$J,10,0),"")</f>
        <v/>
      </c>
      <c r="P1274" s="8" t="inlineStr">
        <is>
          <t>M3</t>
        </is>
      </c>
      <c r="Q1274" s="10">
        <f>IFERROR(IFERROR(VLOOKUP(A1274,TRAOPE!$A:$U,21,0),VLOOKUP(B1274,TRAOPE!$A:$U,21,0)),"")</f>
        <v/>
      </c>
      <c r="R1274" s="8">
        <f>IFERROR(IFERROR(VLOOKUP(A1274,TRAOPE!$A:$W,23,0),VLOOKUP(B1274,TRAOPE!$A:$W,23,0)),"")</f>
        <v/>
      </c>
      <c r="S1274" s="10">
        <f>IF(AND(P1274="TN",R1274="TN"),N1274+N(O1274),IF(G1274&amp;""="1",N(K1274)*N1274,(N1274+N(O1274))*N(K1274)))</f>
        <v/>
      </c>
      <c r="T1274" s="10">
        <f>IF(Q1274="","",Q1274-S1274)</f>
        <v/>
      </c>
    </row>
    <row r="1275">
      <c r="A1275" s="7">
        <f>CONCATENATE(C1275,E1275,F1275,I1275)</f>
        <v/>
      </c>
      <c r="B1275" s="7">
        <f>CONCATENATE(C1275,E1275,I1275)</f>
        <v/>
      </c>
      <c r="C1275" s="8" t="n">
        <v>900003609</v>
      </c>
      <c r="D1275" s="7">
        <f>IFERROR(VLOOKUP(C1275,TRAOPE!$G:$H,2,0),"")</f>
        <v/>
      </c>
      <c r="E1275" s="8" t="inlineStr">
        <is>
          <t>D836</t>
        </is>
      </c>
      <c r="F1275" s="8" t="inlineStr">
        <is>
          <t>66550843</t>
        </is>
      </c>
      <c r="G1275" s="8">
        <f>IFERROR(VLOOKUP(A1275,Flete!$A:$E,5,0),"")</f>
        <v/>
      </c>
      <c r="H1275" s="7">
        <f>IFERROR(VLOOKUP(F1275,TRAOPE!$AA:$AB,2,0),"")</f>
        <v/>
      </c>
      <c r="I1275" s="7" t="n">
        <v>10000624</v>
      </c>
      <c r="J1275" s="7">
        <f>IFERROR(VLOOKUP(I1275,Materiales!$A:$H,8,0),"")</f>
        <v/>
      </c>
      <c r="K1275" s="9">
        <f>IFERROR(VLOOKUP(I1275,Materiales!$A:$G,7,0),"")</f>
        <v/>
      </c>
      <c r="L1275" s="8" t="inlineStr">
        <is>
          <t>20190426</t>
        </is>
      </c>
      <c r="M1275" s="8" t="inlineStr">
        <is>
          <t>20250127</t>
        </is>
      </c>
      <c r="N1275" s="10" t="n">
        <v>145</v>
      </c>
      <c r="O1275" s="10">
        <f>IFERROR(VLOOKUP(A1275,Flete!$A:$J,10,0),"")</f>
        <v/>
      </c>
      <c r="P1275" s="8" t="inlineStr">
        <is>
          <t>M3</t>
        </is>
      </c>
      <c r="Q1275" s="10">
        <f>IFERROR(IFERROR(VLOOKUP(A1275,TRAOPE!$A:$U,21,0),VLOOKUP(B1275,TRAOPE!$A:$U,21,0)),"")</f>
        <v/>
      </c>
      <c r="R1275" s="8">
        <f>IFERROR(IFERROR(VLOOKUP(A1275,TRAOPE!$A:$W,23,0),VLOOKUP(B1275,TRAOPE!$A:$W,23,0)),"")</f>
        <v/>
      </c>
      <c r="S1275" s="10">
        <f>IF(AND(P1275="TN",R1275="TN"),N1275+N(O1275),IF(G1275&amp;""="1",N(K1275)*N1275,(N1275+N(O1275))*N(K1275)))</f>
        <v/>
      </c>
      <c r="T1275" s="10">
        <f>IF(Q1275="","",Q1275-S1275)</f>
        <v/>
      </c>
    </row>
    <row r="1276">
      <c r="A1276" s="7">
        <f>CONCATENATE(C1276,E1276,F1276,I1276)</f>
        <v/>
      </c>
      <c r="B1276" s="7">
        <f>CONCATENATE(C1276,E1276,I1276)</f>
        <v/>
      </c>
      <c r="C1276" s="8" t="n">
        <v>900003609</v>
      </c>
      <c r="D1276" s="7">
        <f>IFERROR(VLOOKUP(C1276,TRAOPE!$G:$H,2,0),"")</f>
        <v/>
      </c>
      <c r="E1276" s="8" t="inlineStr">
        <is>
          <t>D836</t>
        </is>
      </c>
      <c r="F1276" s="8" t="inlineStr">
        <is>
          <t>66550843</t>
        </is>
      </c>
      <c r="G1276" s="8">
        <f>IFERROR(VLOOKUP(A1276,Flete!$A:$E,5,0),"")</f>
        <v/>
      </c>
      <c r="H1276" s="7">
        <f>IFERROR(VLOOKUP(F1276,TRAOPE!$AA:$AB,2,0),"")</f>
        <v/>
      </c>
      <c r="I1276" s="7" t="n">
        <v>10000722</v>
      </c>
      <c r="J1276" s="7">
        <f>IFERROR(VLOOKUP(I1276,Materiales!$A:$H,8,0),"")</f>
        <v/>
      </c>
      <c r="K1276" s="9">
        <f>IFERROR(VLOOKUP(I1276,Materiales!$A:$G,7,0),"")</f>
        <v/>
      </c>
      <c r="L1276" s="8" t="inlineStr">
        <is>
          <t>20190426</t>
        </is>
      </c>
      <c r="M1276" s="8" t="inlineStr">
        <is>
          <t>20250127</t>
        </is>
      </c>
      <c r="N1276" s="10" t="n">
        <v>150</v>
      </c>
      <c r="O1276" s="10">
        <f>IFERROR(VLOOKUP(A1276,Flete!$A:$J,10,0),"")</f>
        <v/>
      </c>
      <c r="P1276" s="8" t="inlineStr">
        <is>
          <t>M3</t>
        </is>
      </c>
      <c r="Q1276" s="10">
        <f>IFERROR(IFERROR(VLOOKUP(A1276,TRAOPE!$A:$U,21,0),VLOOKUP(B1276,TRAOPE!$A:$U,21,0)),"")</f>
        <v/>
      </c>
      <c r="R1276" s="8">
        <f>IFERROR(IFERROR(VLOOKUP(A1276,TRAOPE!$A:$W,23,0),VLOOKUP(B1276,TRAOPE!$A:$W,23,0)),"")</f>
        <v/>
      </c>
      <c r="S1276" s="10">
        <f>IF(AND(P1276="TN",R1276="TN"),N1276+N(O1276),IF(G1276&amp;""="1",N(K1276)*N1276,(N1276+N(O1276))*N(K1276)))</f>
        <v/>
      </c>
      <c r="T1276" s="10">
        <f>IF(Q1276="","",Q1276-S1276)</f>
        <v/>
      </c>
    </row>
    <row r="1277">
      <c r="A1277" s="7">
        <f>CONCATENATE(C1277,E1277,F1277,I1277)</f>
        <v/>
      </c>
      <c r="B1277" s="7">
        <f>CONCATENATE(C1277,E1277,I1277)</f>
        <v/>
      </c>
      <c r="C1277" s="8" t="n">
        <v>900003609</v>
      </c>
      <c r="D1277" s="7">
        <f>IFERROR(VLOOKUP(C1277,TRAOPE!$G:$H,2,0),"")</f>
        <v/>
      </c>
      <c r="E1277" s="8" t="inlineStr">
        <is>
          <t>D836</t>
        </is>
      </c>
      <c r="F1277" s="8" t="inlineStr">
        <is>
          <t>66555135</t>
        </is>
      </c>
      <c r="G1277" s="8">
        <f>IFERROR(VLOOKUP(A1277,Flete!$A:$E,5,0),"")</f>
        <v/>
      </c>
      <c r="H1277" s="7">
        <f>IFERROR(VLOOKUP(F1277,TRAOPE!$AA:$AB,2,0),"")</f>
        <v/>
      </c>
      <c r="I1277" s="7" t="n">
        <v>10000624</v>
      </c>
      <c r="J1277" s="7">
        <f>IFERROR(VLOOKUP(I1277,Materiales!$A:$H,8,0),"")</f>
        <v/>
      </c>
      <c r="K1277" s="9">
        <f>IFERROR(VLOOKUP(I1277,Materiales!$A:$G,7,0),"")</f>
        <v/>
      </c>
      <c r="L1277" s="8" t="inlineStr">
        <is>
          <t>20190426</t>
        </is>
      </c>
      <c r="M1277" s="8" t="inlineStr">
        <is>
          <t>20250127</t>
        </is>
      </c>
      <c r="N1277" s="10" t="n">
        <v>145</v>
      </c>
      <c r="O1277" s="10">
        <f>IFERROR(VLOOKUP(A1277,Flete!$A:$J,10,0),"")</f>
        <v/>
      </c>
      <c r="P1277" s="8" t="inlineStr">
        <is>
          <t>M3</t>
        </is>
      </c>
      <c r="Q1277" s="10">
        <f>IFERROR(IFERROR(VLOOKUP(A1277,TRAOPE!$A:$U,21,0),VLOOKUP(B1277,TRAOPE!$A:$U,21,0)),"")</f>
        <v/>
      </c>
      <c r="R1277" s="8">
        <f>IFERROR(IFERROR(VLOOKUP(A1277,TRAOPE!$A:$W,23,0),VLOOKUP(B1277,TRAOPE!$A:$W,23,0)),"")</f>
        <v/>
      </c>
      <c r="S1277" s="10">
        <f>IF(AND(P1277="TN",R1277="TN"),N1277+N(O1277),IF(G1277&amp;""="1",N(K1277)*N1277,(N1277+N(O1277))*N(K1277)))</f>
        <v/>
      </c>
      <c r="T1277" s="10">
        <f>IF(Q1277="","",Q1277-S1277)</f>
        <v/>
      </c>
    </row>
    <row r="1278">
      <c r="A1278" s="7">
        <f>CONCATENATE(C1278,E1278,F1278,I1278)</f>
        <v/>
      </c>
      <c r="B1278" s="7">
        <f>CONCATENATE(C1278,E1278,I1278)</f>
        <v/>
      </c>
      <c r="C1278" s="8" t="n">
        <v>900003609</v>
      </c>
      <c r="D1278" s="7">
        <f>IFERROR(VLOOKUP(C1278,TRAOPE!$G:$H,2,0),"")</f>
        <v/>
      </c>
      <c r="E1278" s="8" t="inlineStr">
        <is>
          <t>D836</t>
        </is>
      </c>
      <c r="F1278" s="8" t="inlineStr">
        <is>
          <t>66555135</t>
        </is>
      </c>
      <c r="G1278" s="8">
        <f>IFERROR(VLOOKUP(A1278,Flete!$A:$E,5,0),"")</f>
        <v/>
      </c>
      <c r="H1278" s="7">
        <f>IFERROR(VLOOKUP(F1278,TRAOPE!$AA:$AB,2,0),"")</f>
        <v/>
      </c>
      <c r="I1278" s="7" t="n">
        <v>10000722</v>
      </c>
      <c r="J1278" s="7">
        <f>IFERROR(VLOOKUP(I1278,Materiales!$A:$H,8,0),"")</f>
        <v/>
      </c>
      <c r="K1278" s="9">
        <f>IFERROR(VLOOKUP(I1278,Materiales!$A:$G,7,0),"")</f>
        <v/>
      </c>
      <c r="L1278" s="8" t="inlineStr">
        <is>
          <t>20190426</t>
        </is>
      </c>
      <c r="M1278" s="8" t="inlineStr">
        <is>
          <t>20250127</t>
        </is>
      </c>
      <c r="N1278" s="10" t="n">
        <v>150</v>
      </c>
      <c r="O1278" s="10">
        <f>IFERROR(VLOOKUP(A1278,Flete!$A:$J,10,0),"")</f>
        <v/>
      </c>
      <c r="P1278" s="8" t="inlineStr">
        <is>
          <t>M3</t>
        </is>
      </c>
      <c r="Q1278" s="10">
        <f>IFERROR(IFERROR(VLOOKUP(A1278,TRAOPE!$A:$U,21,0),VLOOKUP(B1278,TRAOPE!$A:$U,21,0)),"")</f>
        <v/>
      </c>
      <c r="R1278" s="8">
        <f>IFERROR(IFERROR(VLOOKUP(A1278,TRAOPE!$A:$W,23,0),VLOOKUP(B1278,TRAOPE!$A:$W,23,0)),"")</f>
        <v/>
      </c>
      <c r="S1278" s="10">
        <f>IF(AND(P1278="TN",R1278="TN"),N1278+N(O1278),IF(G1278&amp;""="1",N(K1278)*N1278,(N1278+N(O1278))*N(K1278)))</f>
        <v/>
      </c>
      <c r="T1278" s="10">
        <f>IF(Q1278="","",Q1278-S1278)</f>
        <v/>
      </c>
    </row>
    <row r="1279">
      <c r="A1279" s="7">
        <f>CONCATENATE(C1279,E1279,F1279,I1279)</f>
        <v/>
      </c>
      <c r="B1279" s="7">
        <f>CONCATENATE(C1279,E1279,I1279)</f>
        <v/>
      </c>
      <c r="C1279" s="8" t="n">
        <v>900003609</v>
      </c>
      <c r="D1279" s="7">
        <f>IFERROR(VLOOKUP(C1279,TRAOPE!$G:$H,2,0),"")</f>
        <v/>
      </c>
      <c r="E1279" s="8" t="inlineStr">
        <is>
          <t>D836</t>
        </is>
      </c>
      <c r="F1279" s="8" t="inlineStr">
        <is>
          <t>66574596</t>
        </is>
      </c>
      <c r="G1279" s="8">
        <f>IFERROR(VLOOKUP(A1279,Flete!$A:$E,5,0),"")</f>
        <v/>
      </c>
      <c r="H1279" s="7">
        <f>IFERROR(VLOOKUP(F1279,TRAOPE!$AA:$AB,2,0),"")</f>
        <v/>
      </c>
      <c r="I1279" s="7" t="n">
        <v>10000630</v>
      </c>
      <c r="J1279" s="7">
        <f>IFERROR(VLOOKUP(I1279,Materiales!$A:$H,8,0),"")</f>
        <v/>
      </c>
      <c r="K1279" s="9">
        <f>IFERROR(VLOOKUP(I1279,Materiales!$A:$G,7,0),"")</f>
        <v/>
      </c>
      <c r="L1279" s="8" t="inlineStr">
        <is>
          <t>20190426</t>
        </is>
      </c>
      <c r="M1279" s="8" t="inlineStr">
        <is>
          <t>20250127</t>
        </is>
      </c>
      <c r="N1279" s="10" t="n">
        <v>155</v>
      </c>
      <c r="O1279" s="10">
        <f>IFERROR(VLOOKUP(A1279,Flete!$A:$J,10,0),"")</f>
        <v/>
      </c>
      <c r="P1279" s="8" t="inlineStr">
        <is>
          <t>M3</t>
        </is>
      </c>
      <c r="Q1279" s="10">
        <f>IFERROR(IFERROR(VLOOKUP(A1279,TRAOPE!$A:$U,21,0),VLOOKUP(B1279,TRAOPE!$A:$U,21,0)),"")</f>
        <v/>
      </c>
      <c r="R1279" s="8">
        <f>IFERROR(IFERROR(VLOOKUP(A1279,TRAOPE!$A:$W,23,0),VLOOKUP(B1279,TRAOPE!$A:$W,23,0)),"")</f>
        <v/>
      </c>
      <c r="S1279" s="10">
        <f>IF(AND(P1279="TN",R1279="TN"),N1279+N(O1279),IF(G1279&amp;""="1",N(K1279)*N1279,(N1279+N(O1279))*N(K1279)))</f>
        <v/>
      </c>
      <c r="T1279" s="10">
        <f>IF(Q1279="","",Q1279-S1279)</f>
        <v/>
      </c>
    </row>
    <row r="1280">
      <c r="A1280" s="7">
        <f>CONCATENATE(C1280,E1280,F1280,I1280)</f>
        <v/>
      </c>
      <c r="B1280" s="7">
        <f>CONCATENATE(C1280,E1280,I1280)</f>
        <v/>
      </c>
      <c r="C1280" s="8" t="n">
        <v>900003609</v>
      </c>
      <c r="D1280" s="7">
        <f>IFERROR(VLOOKUP(C1280,TRAOPE!$G:$H,2,0),"")</f>
        <v/>
      </c>
      <c r="E1280" s="8" t="inlineStr">
        <is>
          <t>D836</t>
        </is>
      </c>
      <c r="F1280" s="8" t="inlineStr">
        <is>
          <t>66582580</t>
        </is>
      </c>
      <c r="G1280" s="8">
        <f>IFERROR(VLOOKUP(A1280,Flete!$A:$E,5,0),"")</f>
        <v/>
      </c>
      <c r="H1280" s="7">
        <f>IFERROR(VLOOKUP(F1280,TRAOPE!$AA:$AB,2,0),"")</f>
        <v/>
      </c>
      <c r="I1280" s="7" t="n">
        <v>10000630</v>
      </c>
      <c r="J1280" s="7">
        <f>IFERROR(VLOOKUP(I1280,Materiales!$A:$H,8,0),"")</f>
        <v/>
      </c>
      <c r="K1280" s="9">
        <f>IFERROR(VLOOKUP(I1280,Materiales!$A:$G,7,0),"")</f>
        <v/>
      </c>
      <c r="L1280" s="8" t="inlineStr">
        <is>
          <t>20190426</t>
        </is>
      </c>
      <c r="M1280" s="8" t="inlineStr">
        <is>
          <t>20250127</t>
        </is>
      </c>
      <c r="N1280" s="10" t="n">
        <v>155</v>
      </c>
      <c r="O1280" s="10">
        <f>IFERROR(VLOOKUP(A1280,Flete!$A:$J,10,0),"")</f>
        <v/>
      </c>
      <c r="P1280" s="8" t="inlineStr">
        <is>
          <t>M3</t>
        </is>
      </c>
      <c r="Q1280" s="10">
        <f>IFERROR(IFERROR(VLOOKUP(A1280,TRAOPE!$A:$U,21,0),VLOOKUP(B1280,TRAOPE!$A:$U,21,0)),"")</f>
        <v/>
      </c>
      <c r="R1280" s="8">
        <f>IFERROR(IFERROR(VLOOKUP(A1280,TRAOPE!$A:$W,23,0),VLOOKUP(B1280,TRAOPE!$A:$W,23,0)),"")</f>
        <v/>
      </c>
      <c r="S1280" s="10">
        <f>IF(AND(P1280="TN",R1280="TN"),N1280+N(O1280),IF(G1280&amp;""="1",N(K1280)*N1280,(N1280+N(O1280))*N(K1280)))</f>
        <v/>
      </c>
      <c r="T1280" s="10">
        <f>IF(Q1280="","",Q1280-S1280)</f>
        <v/>
      </c>
    </row>
    <row r="1281">
      <c r="A1281" s="7">
        <f>CONCATENATE(C1281,E1281,F1281,I1281)</f>
        <v/>
      </c>
      <c r="B1281" s="7">
        <f>CONCATENATE(C1281,E1281,I1281)</f>
        <v/>
      </c>
      <c r="C1281" s="8" t="n">
        <v>900003609</v>
      </c>
      <c r="D1281" s="7">
        <f>IFERROR(VLOOKUP(C1281,TRAOPE!$G:$H,2,0),"")</f>
        <v/>
      </c>
      <c r="E1281" s="8" t="inlineStr">
        <is>
          <t>D836</t>
        </is>
      </c>
      <c r="F1281" s="8" t="inlineStr">
        <is>
          <t>66595909</t>
        </is>
      </c>
      <c r="G1281" s="8">
        <f>IFERROR(VLOOKUP(A1281,Flete!$A:$E,5,0),"")</f>
        <v/>
      </c>
      <c r="H1281" s="7">
        <f>IFERROR(VLOOKUP(F1281,TRAOPE!$AA:$AB,2,0),"")</f>
        <v/>
      </c>
      <c r="I1281" s="7" t="n">
        <v>10000133</v>
      </c>
      <c r="J1281" s="7">
        <f>IFERROR(VLOOKUP(I1281,Materiales!$A:$H,8,0),"")</f>
        <v/>
      </c>
      <c r="K1281" s="9">
        <f>IFERROR(VLOOKUP(I1281,Materiales!$A:$G,7,0),"")</f>
        <v/>
      </c>
      <c r="L1281" s="8" t="inlineStr">
        <is>
          <t>20190426</t>
        </is>
      </c>
      <c r="M1281" s="8" t="inlineStr">
        <is>
          <t>20250127</t>
        </is>
      </c>
      <c r="N1281" s="10" t="n">
        <v>146</v>
      </c>
      <c r="O1281" s="10">
        <f>IFERROR(VLOOKUP(A1281,Flete!$A:$J,10,0),"")</f>
        <v/>
      </c>
      <c r="P1281" s="8" t="inlineStr">
        <is>
          <t>M3</t>
        </is>
      </c>
      <c r="Q1281" s="10">
        <f>IFERROR(IFERROR(VLOOKUP(A1281,TRAOPE!$A:$U,21,0),VLOOKUP(B1281,TRAOPE!$A:$U,21,0)),"")</f>
        <v/>
      </c>
      <c r="R1281" s="8">
        <f>IFERROR(IFERROR(VLOOKUP(A1281,TRAOPE!$A:$W,23,0),VLOOKUP(B1281,TRAOPE!$A:$W,23,0)),"")</f>
        <v/>
      </c>
      <c r="S1281" s="10">
        <f>IF(AND(P1281="TN",R1281="TN"),N1281+N(O1281),IF(G1281&amp;""="1",N(K1281)*N1281,(N1281+N(O1281))*N(K1281)))</f>
        <v/>
      </c>
      <c r="T1281" s="10">
        <f>IF(Q1281="","",Q1281-S1281)</f>
        <v/>
      </c>
    </row>
    <row r="1282">
      <c r="A1282" s="7">
        <f>CONCATENATE(C1282,E1282,F1282,I1282)</f>
        <v/>
      </c>
      <c r="B1282" s="7">
        <f>CONCATENATE(C1282,E1282,I1282)</f>
        <v/>
      </c>
      <c r="C1282" s="8" t="n">
        <v>900003609</v>
      </c>
      <c r="D1282" s="7">
        <f>IFERROR(VLOOKUP(C1282,TRAOPE!$G:$H,2,0),"")</f>
        <v/>
      </c>
      <c r="E1282" s="8" t="inlineStr">
        <is>
          <t>D836</t>
        </is>
      </c>
      <c r="F1282" s="8" t="inlineStr">
        <is>
          <t>66595909</t>
        </is>
      </c>
      <c r="G1282" s="8">
        <f>IFERROR(VLOOKUP(A1282,Flete!$A:$E,5,0),"")</f>
        <v/>
      </c>
      <c r="H1282" s="7">
        <f>IFERROR(VLOOKUP(F1282,TRAOPE!$AA:$AB,2,0),"")</f>
        <v/>
      </c>
      <c r="I1282" s="7" t="n">
        <v>10207890</v>
      </c>
      <c r="J1282" s="7">
        <f>IFERROR(VLOOKUP(I1282,Materiales!$A:$H,8,0),"")</f>
        <v/>
      </c>
      <c r="K1282" s="9">
        <f>IFERROR(VLOOKUP(I1282,Materiales!$A:$G,7,0),"")</f>
        <v/>
      </c>
      <c r="L1282" s="8" t="inlineStr">
        <is>
          <t>20190426</t>
        </is>
      </c>
      <c r="M1282" s="8" t="inlineStr">
        <is>
          <t>20250127</t>
        </is>
      </c>
      <c r="N1282" s="10" t="n">
        <v>145</v>
      </c>
      <c r="O1282" s="10">
        <f>IFERROR(VLOOKUP(A1282,Flete!$A:$J,10,0),"")</f>
        <v/>
      </c>
      <c r="P1282" s="8" t="inlineStr">
        <is>
          <t>M3</t>
        </is>
      </c>
      <c r="Q1282" s="10">
        <f>IFERROR(IFERROR(VLOOKUP(A1282,TRAOPE!$A:$U,21,0),VLOOKUP(B1282,TRAOPE!$A:$U,21,0)),"")</f>
        <v/>
      </c>
      <c r="R1282" s="8">
        <f>IFERROR(IFERROR(VLOOKUP(A1282,TRAOPE!$A:$W,23,0),VLOOKUP(B1282,TRAOPE!$A:$W,23,0)),"")</f>
        <v/>
      </c>
      <c r="S1282" s="10">
        <f>IF(AND(P1282="TN",R1282="TN"),N1282+N(O1282),IF(G1282&amp;""="1",N(K1282)*N1282,(N1282+N(O1282))*N(K1282)))</f>
        <v/>
      </c>
      <c r="T1282" s="10">
        <f>IF(Q1282="","",Q1282-S1282)</f>
        <v/>
      </c>
    </row>
    <row r="1283">
      <c r="A1283" s="7">
        <f>CONCATENATE(C1283,E1283,F1283,I1283)</f>
        <v/>
      </c>
      <c r="B1283" s="7">
        <f>CONCATENATE(C1283,E1283,I1283)</f>
        <v/>
      </c>
      <c r="C1283" s="8" t="n">
        <v>900003609</v>
      </c>
      <c r="D1283" s="7">
        <f>IFERROR(VLOOKUP(C1283,TRAOPE!$G:$H,2,0),"")</f>
        <v/>
      </c>
      <c r="E1283" s="8" t="inlineStr">
        <is>
          <t>D836</t>
        </is>
      </c>
      <c r="F1283" s="8" t="inlineStr">
        <is>
          <t>66624554</t>
        </is>
      </c>
      <c r="G1283" s="8">
        <f>IFERROR(VLOOKUP(A1283,Flete!$A:$E,5,0),"")</f>
        <v/>
      </c>
      <c r="H1283" s="7">
        <f>IFERROR(VLOOKUP(F1283,TRAOPE!$AA:$AB,2,0),"")</f>
        <v/>
      </c>
      <c r="I1283" s="7" t="n">
        <v>10000630</v>
      </c>
      <c r="J1283" s="7">
        <f>IFERROR(VLOOKUP(I1283,Materiales!$A:$H,8,0),"")</f>
        <v/>
      </c>
      <c r="K1283" s="9">
        <f>IFERROR(VLOOKUP(I1283,Materiales!$A:$G,7,0),"")</f>
        <v/>
      </c>
      <c r="L1283" s="8" t="inlineStr">
        <is>
          <t>20190426</t>
        </is>
      </c>
      <c r="M1283" s="8" t="inlineStr">
        <is>
          <t>20250127</t>
        </is>
      </c>
      <c r="N1283" s="10" t="n">
        <v>155</v>
      </c>
      <c r="O1283" s="10">
        <f>IFERROR(VLOOKUP(A1283,Flete!$A:$J,10,0),"")</f>
        <v/>
      </c>
      <c r="P1283" s="8" t="inlineStr">
        <is>
          <t>M3</t>
        </is>
      </c>
      <c r="Q1283" s="10">
        <f>IFERROR(IFERROR(VLOOKUP(A1283,TRAOPE!$A:$U,21,0),VLOOKUP(B1283,TRAOPE!$A:$U,21,0)),"")</f>
        <v/>
      </c>
      <c r="R1283" s="8">
        <f>IFERROR(IFERROR(VLOOKUP(A1283,TRAOPE!$A:$W,23,0),VLOOKUP(B1283,TRAOPE!$A:$W,23,0)),"")</f>
        <v/>
      </c>
      <c r="S1283" s="10">
        <f>IF(AND(P1283="TN",R1283="TN"),N1283+N(O1283),IF(G1283&amp;""="1",N(K1283)*N1283,(N1283+N(O1283))*N(K1283)))</f>
        <v/>
      </c>
      <c r="T1283" s="10">
        <f>IF(Q1283="","",Q1283-S1283)</f>
        <v/>
      </c>
    </row>
    <row r="1284">
      <c r="A1284" s="7">
        <f>CONCATENATE(C1284,E1284,F1284,I1284)</f>
        <v/>
      </c>
      <c r="B1284" s="7">
        <f>CONCATENATE(C1284,E1284,I1284)</f>
        <v/>
      </c>
      <c r="C1284" s="8" t="n">
        <v>900003609</v>
      </c>
      <c r="D1284" s="7">
        <f>IFERROR(VLOOKUP(C1284,TRAOPE!$G:$H,2,0),"")</f>
        <v/>
      </c>
      <c r="E1284" s="8" t="inlineStr">
        <is>
          <t>D836</t>
        </is>
      </c>
      <c r="F1284" s="8" t="inlineStr">
        <is>
          <t>66624554</t>
        </is>
      </c>
      <c r="G1284" s="8">
        <f>IFERROR(VLOOKUP(A1284,Flete!$A:$E,5,0),"")</f>
        <v/>
      </c>
      <c r="H1284" s="7">
        <f>IFERROR(VLOOKUP(F1284,TRAOPE!$AA:$AB,2,0),"")</f>
        <v/>
      </c>
      <c r="I1284" s="7" t="n">
        <v>10053281</v>
      </c>
      <c r="J1284" s="7">
        <f>IFERROR(VLOOKUP(I1284,Materiales!$A:$H,8,0),"")</f>
        <v/>
      </c>
      <c r="K1284" s="9">
        <f>IFERROR(VLOOKUP(I1284,Materiales!$A:$G,7,0),"")</f>
        <v/>
      </c>
      <c r="L1284" s="8" t="inlineStr">
        <is>
          <t>20190426</t>
        </is>
      </c>
      <c r="M1284" s="8" t="inlineStr">
        <is>
          <t>20250127</t>
        </is>
      </c>
      <c r="N1284" s="10" t="n">
        <v>142</v>
      </c>
      <c r="O1284" s="10">
        <f>IFERROR(VLOOKUP(A1284,Flete!$A:$J,10,0),"")</f>
        <v/>
      </c>
      <c r="P1284" s="8" t="inlineStr">
        <is>
          <t>M3</t>
        </is>
      </c>
      <c r="Q1284" s="10">
        <f>IFERROR(IFERROR(VLOOKUP(A1284,TRAOPE!$A:$U,21,0),VLOOKUP(B1284,TRAOPE!$A:$U,21,0)),"")</f>
        <v/>
      </c>
      <c r="R1284" s="8">
        <f>IFERROR(IFERROR(VLOOKUP(A1284,TRAOPE!$A:$W,23,0),VLOOKUP(B1284,TRAOPE!$A:$W,23,0)),"")</f>
        <v/>
      </c>
      <c r="S1284" s="10">
        <f>IF(AND(P1284="TN",R1284="TN"),N1284+N(O1284),IF(G1284&amp;""="1",N(K1284)*N1284,(N1284+N(O1284))*N(K1284)))</f>
        <v/>
      </c>
      <c r="T1284" s="10">
        <f>IF(Q1284="","",Q1284-S1284)</f>
        <v/>
      </c>
    </row>
    <row r="1285">
      <c r="A1285" s="7">
        <f>CONCATENATE(C1285,E1285,F1285,I1285)</f>
        <v/>
      </c>
      <c r="B1285" s="7">
        <f>CONCATENATE(C1285,E1285,I1285)</f>
        <v/>
      </c>
      <c r="C1285" s="8" t="n">
        <v>900003609</v>
      </c>
      <c r="D1285" s="7">
        <f>IFERROR(VLOOKUP(C1285,TRAOPE!$G:$H,2,0),"")</f>
        <v/>
      </c>
      <c r="E1285" s="8" t="inlineStr">
        <is>
          <t>D836</t>
        </is>
      </c>
      <c r="F1285" s="8" t="inlineStr">
        <is>
          <t>66701118</t>
        </is>
      </c>
      <c r="G1285" s="8">
        <f>IFERROR(VLOOKUP(A1285,Flete!$A:$E,5,0),"")</f>
        <v/>
      </c>
      <c r="H1285" s="7">
        <f>IFERROR(VLOOKUP(F1285,TRAOPE!$AA:$AB,2,0),"")</f>
        <v/>
      </c>
      <c r="I1285" s="7" t="n">
        <v>10000624</v>
      </c>
      <c r="J1285" s="7">
        <f>IFERROR(VLOOKUP(I1285,Materiales!$A:$H,8,0),"")</f>
        <v/>
      </c>
      <c r="K1285" s="9">
        <f>IFERROR(VLOOKUP(I1285,Materiales!$A:$G,7,0),"")</f>
        <v/>
      </c>
      <c r="L1285" s="8" t="inlineStr">
        <is>
          <t>20190426</t>
        </is>
      </c>
      <c r="M1285" s="8" t="inlineStr">
        <is>
          <t>20250127</t>
        </is>
      </c>
      <c r="N1285" s="10" t="n">
        <v>140</v>
      </c>
      <c r="O1285" s="10">
        <f>IFERROR(VLOOKUP(A1285,Flete!$A:$J,10,0),"")</f>
        <v/>
      </c>
      <c r="P1285" s="8" t="inlineStr">
        <is>
          <t>M3</t>
        </is>
      </c>
      <c r="Q1285" s="10">
        <f>IFERROR(IFERROR(VLOOKUP(A1285,TRAOPE!$A:$U,21,0),VLOOKUP(B1285,TRAOPE!$A:$U,21,0)),"")</f>
        <v/>
      </c>
      <c r="R1285" s="8">
        <f>IFERROR(IFERROR(VLOOKUP(A1285,TRAOPE!$A:$W,23,0),VLOOKUP(B1285,TRAOPE!$A:$W,23,0)),"")</f>
        <v/>
      </c>
      <c r="S1285" s="10">
        <f>IF(AND(P1285="TN",R1285="TN"),N1285+N(O1285),IF(G1285&amp;""="1",N(K1285)*N1285,(N1285+N(O1285))*N(K1285)))</f>
        <v/>
      </c>
      <c r="T1285" s="10">
        <f>IF(Q1285="","",Q1285-S1285)</f>
        <v/>
      </c>
    </row>
    <row r="1286">
      <c r="A1286" s="7">
        <f>CONCATENATE(C1286,E1286,F1286,I1286)</f>
        <v/>
      </c>
      <c r="B1286" s="7">
        <f>CONCATENATE(C1286,E1286,I1286)</f>
        <v/>
      </c>
      <c r="C1286" s="8" t="n">
        <v>900003609</v>
      </c>
      <c r="D1286" s="7">
        <f>IFERROR(VLOOKUP(C1286,TRAOPE!$G:$H,2,0),"")</f>
        <v/>
      </c>
      <c r="E1286" s="8" t="inlineStr">
        <is>
          <t>D836</t>
        </is>
      </c>
      <c r="F1286" s="8" t="inlineStr">
        <is>
          <t>66779276</t>
        </is>
      </c>
      <c r="G1286" s="8">
        <f>IFERROR(VLOOKUP(A1286,Flete!$A:$E,5,0),"")</f>
        <v/>
      </c>
      <c r="H1286" s="7">
        <f>IFERROR(VLOOKUP(F1286,TRAOPE!$AA:$AB,2,0),"")</f>
        <v/>
      </c>
      <c r="I1286" s="7" t="n">
        <v>10000624</v>
      </c>
      <c r="J1286" s="7">
        <f>IFERROR(VLOOKUP(I1286,Materiales!$A:$H,8,0),"")</f>
        <v/>
      </c>
      <c r="K1286" s="9">
        <f>IFERROR(VLOOKUP(I1286,Materiales!$A:$G,7,0),"")</f>
        <v/>
      </c>
      <c r="L1286" s="8" t="inlineStr">
        <is>
          <t>20190426</t>
        </is>
      </c>
      <c r="M1286" s="8" t="inlineStr">
        <is>
          <t>20250127</t>
        </is>
      </c>
      <c r="N1286" s="10" t="n">
        <v>140</v>
      </c>
      <c r="O1286" s="10">
        <f>IFERROR(VLOOKUP(A1286,Flete!$A:$J,10,0),"")</f>
        <v/>
      </c>
      <c r="P1286" s="8" t="inlineStr">
        <is>
          <t>M3</t>
        </is>
      </c>
      <c r="Q1286" s="10">
        <f>IFERROR(IFERROR(VLOOKUP(A1286,TRAOPE!$A:$U,21,0),VLOOKUP(B1286,TRAOPE!$A:$U,21,0)),"")</f>
        <v/>
      </c>
      <c r="R1286" s="8">
        <f>IFERROR(IFERROR(VLOOKUP(A1286,TRAOPE!$A:$W,23,0),VLOOKUP(B1286,TRAOPE!$A:$W,23,0)),"")</f>
        <v/>
      </c>
      <c r="S1286" s="10">
        <f>IF(AND(P1286="TN",R1286="TN"),N1286+N(O1286),IF(G1286&amp;""="1",N(K1286)*N1286,(N1286+N(O1286))*N(K1286)))</f>
        <v/>
      </c>
      <c r="T1286" s="10">
        <f>IF(Q1286="","",Q1286-S1286)</f>
        <v/>
      </c>
    </row>
    <row r="1287">
      <c r="A1287" s="7">
        <f>CONCATENATE(C1287,E1287,F1287,I1287)</f>
        <v/>
      </c>
      <c r="B1287" s="7">
        <f>CONCATENATE(C1287,E1287,I1287)</f>
        <v/>
      </c>
      <c r="C1287" s="8" t="n">
        <v>900003609</v>
      </c>
      <c r="D1287" s="7">
        <f>IFERROR(VLOOKUP(C1287,TRAOPE!$G:$H,2,0),"")</f>
        <v/>
      </c>
      <c r="E1287" s="8" t="inlineStr">
        <is>
          <t>D836</t>
        </is>
      </c>
      <c r="F1287" s="8" t="inlineStr">
        <is>
          <t>66779276</t>
        </is>
      </c>
      <c r="G1287" s="8">
        <f>IFERROR(VLOOKUP(A1287,Flete!$A:$E,5,0),"")</f>
        <v/>
      </c>
      <c r="H1287" s="7">
        <f>IFERROR(VLOOKUP(F1287,TRAOPE!$AA:$AB,2,0),"")</f>
        <v/>
      </c>
      <c r="I1287" s="7" t="n">
        <v>10000625</v>
      </c>
      <c r="J1287" s="7">
        <f>IFERROR(VLOOKUP(I1287,Materiales!$A:$H,8,0),"")</f>
        <v/>
      </c>
      <c r="K1287" s="9">
        <f>IFERROR(VLOOKUP(I1287,Materiales!$A:$G,7,0),"")</f>
        <v/>
      </c>
      <c r="L1287" s="8" t="inlineStr">
        <is>
          <t>20190426</t>
        </is>
      </c>
      <c r="M1287" s="8" t="inlineStr">
        <is>
          <t>20250127</t>
        </is>
      </c>
      <c r="N1287" s="10" t="n">
        <v>132.5</v>
      </c>
      <c r="O1287" s="10">
        <f>IFERROR(VLOOKUP(A1287,Flete!$A:$J,10,0),"")</f>
        <v/>
      </c>
      <c r="P1287" s="8" t="inlineStr">
        <is>
          <t>M3</t>
        </is>
      </c>
      <c r="Q1287" s="10">
        <f>IFERROR(IFERROR(VLOOKUP(A1287,TRAOPE!$A:$U,21,0),VLOOKUP(B1287,TRAOPE!$A:$U,21,0)),"")</f>
        <v/>
      </c>
      <c r="R1287" s="8">
        <f>IFERROR(IFERROR(VLOOKUP(A1287,TRAOPE!$A:$W,23,0),VLOOKUP(B1287,TRAOPE!$A:$W,23,0)),"")</f>
        <v/>
      </c>
      <c r="S1287" s="10">
        <f>IF(AND(P1287="TN",R1287="TN"),N1287+N(O1287),IF(G1287&amp;""="1",N(K1287)*N1287,(N1287+N(O1287))*N(K1287)))</f>
        <v/>
      </c>
      <c r="T1287" s="10">
        <f>IF(Q1287="","",Q1287-S1287)</f>
        <v/>
      </c>
    </row>
    <row r="1288">
      <c r="A1288" s="7">
        <f>CONCATENATE(C1288,E1288,F1288,I1288)</f>
        <v/>
      </c>
      <c r="B1288" s="7">
        <f>CONCATENATE(C1288,E1288,I1288)</f>
        <v/>
      </c>
      <c r="C1288" s="8" t="n">
        <v>900003609</v>
      </c>
      <c r="D1288" s="7">
        <f>IFERROR(VLOOKUP(C1288,TRAOPE!$G:$H,2,0),"")</f>
        <v/>
      </c>
      <c r="E1288" s="8" t="inlineStr">
        <is>
          <t>D836</t>
        </is>
      </c>
      <c r="F1288" s="8" t="inlineStr">
        <is>
          <t>66779276</t>
        </is>
      </c>
      <c r="G1288" s="8">
        <f>IFERROR(VLOOKUP(A1288,Flete!$A:$E,5,0),"")</f>
        <v/>
      </c>
      <c r="H1288" s="7">
        <f>IFERROR(VLOOKUP(F1288,TRAOPE!$AA:$AB,2,0),"")</f>
        <v/>
      </c>
      <c r="I1288" s="7" t="n">
        <v>10000811</v>
      </c>
      <c r="J1288" s="7">
        <f>IFERROR(VLOOKUP(I1288,Materiales!$A:$H,8,0),"")</f>
        <v/>
      </c>
      <c r="K1288" s="9">
        <f>IFERROR(VLOOKUP(I1288,Materiales!$A:$G,7,0),"")</f>
        <v/>
      </c>
      <c r="L1288" s="8" t="inlineStr">
        <is>
          <t>20190426</t>
        </is>
      </c>
      <c r="M1288" s="8" t="inlineStr">
        <is>
          <t>20250127</t>
        </is>
      </c>
      <c r="N1288" s="10" t="n">
        <v>144.5</v>
      </c>
      <c r="O1288" s="10">
        <f>IFERROR(VLOOKUP(A1288,Flete!$A:$J,10,0),"")</f>
        <v/>
      </c>
      <c r="P1288" s="8" t="inlineStr">
        <is>
          <t>M3</t>
        </is>
      </c>
      <c r="Q1288" s="10">
        <f>IFERROR(IFERROR(VLOOKUP(A1288,TRAOPE!$A:$U,21,0),VLOOKUP(B1288,TRAOPE!$A:$U,21,0)),"")</f>
        <v/>
      </c>
      <c r="R1288" s="8">
        <f>IFERROR(IFERROR(VLOOKUP(A1288,TRAOPE!$A:$W,23,0),VLOOKUP(B1288,TRAOPE!$A:$W,23,0)),"")</f>
        <v/>
      </c>
      <c r="S1288" s="10">
        <f>IF(AND(P1288="TN",R1288="TN"),N1288+N(O1288),IF(G1288&amp;""="1",N(K1288)*N1288,(N1288+N(O1288))*N(K1288)))</f>
        <v/>
      </c>
      <c r="T1288" s="10">
        <f>IF(Q1288="","",Q1288-S1288)</f>
        <v/>
      </c>
    </row>
    <row r="1289">
      <c r="A1289" s="7">
        <f>CONCATENATE(C1289,E1289,F1289,I1289)</f>
        <v/>
      </c>
      <c r="B1289" s="7">
        <f>CONCATENATE(C1289,E1289,I1289)</f>
        <v/>
      </c>
      <c r="C1289" s="8" t="n">
        <v>900003609</v>
      </c>
      <c r="D1289" s="7">
        <f>IFERROR(VLOOKUP(C1289,TRAOPE!$G:$H,2,0),"")</f>
        <v/>
      </c>
      <c r="E1289" s="8" t="inlineStr">
        <is>
          <t>D836</t>
        </is>
      </c>
      <c r="F1289" s="8" t="inlineStr">
        <is>
          <t>66798315</t>
        </is>
      </c>
      <c r="G1289" s="8">
        <f>IFERROR(VLOOKUP(A1289,Flete!$A:$E,5,0),"")</f>
        <v/>
      </c>
      <c r="H1289" s="7">
        <f>IFERROR(VLOOKUP(F1289,TRAOPE!$AA:$AB,2,0),"")</f>
        <v/>
      </c>
      <c r="I1289" s="7" t="n">
        <v>10000630</v>
      </c>
      <c r="J1289" s="7">
        <f>IFERROR(VLOOKUP(I1289,Materiales!$A:$H,8,0),"")</f>
        <v/>
      </c>
      <c r="K1289" s="9">
        <f>IFERROR(VLOOKUP(I1289,Materiales!$A:$G,7,0),"")</f>
        <v/>
      </c>
      <c r="L1289" s="8" t="inlineStr">
        <is>
          <t>20190426</t>
        </is>
      </c>
      <c r="M1289" s="8" t="inlineStr">
        <is>
          <t>20250127</t>
        </is>
      </c>
      <c r="N1289" s="10" t="n">
        <v>150</v>
      </c>
      <c r="O1289" s="10">
        <f>IFERROR(VLOOKUP(A1289,Flete!$A:$J,10,0),"")</f>
        <v/>
      </c>
      <c r="P1289" s="8" t="inlineStr">
        <is>
          <t>M3</t>
        </is>
      </c>
      <c r="Q1289" s="10">
        <f>IFERROR(IFERROR(VLOOKUP(A1289,TRAOPE!$A:$U,21,0),VLOOKUP(B1289,TRAOPE!$A:$U,21,0)),"")</f>
        <v/>
      </c>
      <c r="R1289" s="8">
        <f>IFERROR(IFERROR(VLOOKUP(A1289,TRAOPE!$A:$W,23,0),VLOOKUP(B1289,TRAOPE!$A:$W,23,0)),"")</f>
        <v/>
      </c>
      <c r="S1289" s="10">
        <f>IF(AND(P1289="TN",R1289="TN"),N1289+N(O1289),IF(G1289&amp;""="1",N(K1289)*N1289,(N1289+N(O1289))*N(K1289)))</f>
        <v/>
      </c>
      <c r="T1289" s="10">
        <f>IF(Q1289="","",Q1289-S1289)</f>
        <v/>
      </c>
    </row>
    <row r="1290">
      <c r="A1290" s="7">
        <f>CONCATENATE(C1290,E1290,F1290,I1290)</f>
        <v/>
      </c>
      <c r="B1290" s="7">
        <f>CONCATENATE(C1290,E1290,I1290)</f>
        <v/>
      </c>
      <c r="C1290" s="8" t="n">
        <v>900003609</v>
      </c>
      <c r="D1290" s="7">
        <f>IFERROR(VLOOKUP(C1290,TRAOPE!$G:$H,2,0),"")</f>
        <v/>
      </c>
      <c r="E1290" s="8" t="inlineStr">
        <is>
          <t>D836</t>
        </is>
      </c>
      <c r="F1290" s="8" t="inlineStr">
        <is>
          <t>66825797</t>
        </is>
      </c>
      <c r="G1290" s="8">
        <f>IFERROR(VLOOKUP(A1290,Flete!$A:$E,5,0),"")</f>
        <v/>
      </c>
      <c r="H1290" s="7">
        <f>IFERROR(VLOOKUP(F1290,TRAOPE!$AA:$AB,2,0),"")</f>
        <v/>
      </c>
      <c r="I1290" s="7" t="n">
        <v>10000624</v>
      </c>
      <c r="J1290" s="7">
        <f>IFERROR(VLOOKUP(I1290,Materiales!$A:$H,8,0),"")</f>
        <v/>
      </c>
      <c r="K1290" s="9">
        <f>IFERROR(VLOOKUP(I1290,Materiales!$A:$G,7,0),"")</f>
        <v/>
      </c>
      <c r="L1290" s="8" t="inlineStr">
        <is>
          <t>20190426</t>
        </is>
      </c>
      <c r="M1290" s="8" t="inlineStr">
        <is>
          <t>20250127</t>
        </is>
      </c>
      <c r="N1290" s="10" t="n">
        <v>140</v>
      </c>
      <c r="O1290" s="10">
        <f>IFERROR(VLOOKUP(A1290,Flete!$A:$J,10,0),"")</f>
        <v/>
      </c>
      <c r="P1290" s="8" t="inlineStr">
        <is>
          <t>M3</t>
        </is>
      </c>
      <c r="Q1290" s="10">
        <f>IFERROR(IFERROR(VLOOKUP(A1290,TRAOPE!$A:$U,21,0),VLOOKUP(B1290,TRAOPE!$A:$U,21,0)),"")</f>
        <v/>
      </c>
      <c r="R1290" s="8">
        <f>IFERROR(IFERROR(VLOOKUP(A1290,TRAOPE!$A:$W,23,0),VLOOKUP(B1290,TRAOPE!$A:$W,23,0)),"")</f>
        <v/>
      </c>
      <c r="S1290" s="10">
        <f>IF(AND(P1290="TN",R1290="TN"),N1290+N(O1290),IF(G1290&amp;""="1",N(K1290)*N1290,(N1290+N(O1290))*N(K1290)))</f>
        <v/>
      </c>
      <c r="T1290" s="10">
        <f>IF(Q1290="","",Q1290-S1290)</f>
        <v/>
      </c>
    </row>
    <row r="1291">
      <c r="A1291" s="7">
        <f>CONCATENATE(C1291,E1291,F1291,I1291)</f>
        <v/>
      </c>
      <c r="B1291" s="7">
        <f>CONCATENATE(C1291,E1291,I1291)</f>
        <v/>
      </c>
      <c r="C1291" s="8" t="n">
        <v>900003609</v>
      </c>
      <c r="D1291" s="7">
        <f>IFERROR(VLOOKUP(C1291,TRAOPE!$G:$H,2,0),"")</f>
        <v/>
      </c>
      <c r="E1291" s="8" t="inlineStr">
        <is>
          <t>D836</t>
        </is>
      </c>
      <c r="F1291" s="8" t="inlineStr">
        <is>
          <t>66825797</t>
        </is>
      </c>
      <c r="G1291" s="8">
        <f>IFERROR(VLOOKUP(A1291,Flete!$A:$E,5,0),"")</f>
        <v/>
      </c>
      <c r="H1291" s="7">
        <f>IFERROR(VLOOKUP(F1291,TRAOPE!$AA:$AB,2,0),"")</f>
        <v/>
      </c>
      <c r="I1291" s="7" t="n">
        <v>10000811</v>
      </c>
      <c r="J1291" s="7">
        <f>IFERROR(VLOOKUP(I1291,Materiales!$A:$H,8,0),"")</f>
        <v/>
      </c>
      <c r="K1291" s="9">
        <f>IFERROR(VLOOKUP(I1291,Materiales!$A:$G,7,0),"")</f>
        <v/>
      </c>
      <c r="L1291" s="8" t="inlineStr">
        <is>
          <t>20190426</t>
        </is>
      </c>
      <c r="M1291" s="8" t="inlineStr">
        <is>
          <t>20250127</t>
        </is>
      </c>
      <c r="N1291" s="10" t="n">
        <v>145</v>
      </c>
      <c r="O1291" s="10">
        <f>IFERROR(VLOOKUP(A1291,Flete!$A:$J,10,0),"")</f>
        <v/>
      </c>
      <c r="P1291" s="8" t="inlineStr">
        <is>
          <t>M3</t>
        </is>
      </c>
      <c r="Q1291" s="10">
        <f>IFERROR(IFERROR(VLOOKUP(A1291,TRAOPE!$A:$U,21,0),VLOOKUP(B1291,TRAOPE!$A:$U,21,0)),"")</f>
        <v/>
      </c>
      <c r="R1291" s="8">
        <f>IFERROR(IFERROR(VLOOKUP(A1291,TRAOPE!$A:$W,23,0),VLOOKUP(B1291,TRAOPE!$A:$W,23,0)),"")</f>
        <v/>
      </c>
      <c r="S1291" s="10">
        <f>IF(AND(P1291="TN",R1291="TN"),N1291+N(O1291),IF(G1291&amp;""="1",N(K1291)*N1291,(N1291+N(O1291))*N(K1291)))</f>
        <v/>
      </c>
      <c r="T1291" s="10">
        <f>IF(Q1291="","",Q1291-S1291)</f>
        <v/>
      </c>
    </row>
    <row r="1292">
      <c r="A1292" s="7">
        <f>CONCATENATE(C1292,E1292,F1292,I1292)</f>
        <v/>
      </c>
      <c r="B1292" s="7">
        <f>CONCATENATE(C1292,E1292,I1292)</f>
        <v/>
      </c>
      <c r="C1292" s="8" t="n">
        <v>900003609</v>
      </c>
      <c r="D1292" s="7">
        <f>IFERROR(VLOOKUP(C1292,TRAOPE!$G:$H,2,0),"")</f>
        <v/>
      </c>
      <c r="E1292" s="8" t="inlineStr">
        <is>
          <t>D836</t>
        </is>
      </c>
      <c r="F1292" s="8" t="inlineStr">
        <is>
          <t>66834820</t>
        </is>
      </c>
      <c r="G1292" s="8">
        <f>IFERROR(VLOOKUP(A1292,Flete!$A:$E,5,0),"")</f>
        <v/>
      </c>
      <c r="H1292" s="7">
        <f>IFERROR(VLOOKUP(F1292,TRAOPE!$AA:$AB,2,0),"")</f>
        <v/>
      </c>
      <c r="I1292" s="7" t="n">
        <v>10000624</v>
      </c>
      <c r="J1292" s="7">
        <f>IFERROR(VLOOKUP(I1292,Materiales!$A:$H,8,0),"")</f>
        <v/>
      </c>
      <c r="K1292" s="9">
        <f>IFERROR(VLOOKUP(I1292,Materiales!$A:$G,7,0),"")</f>
        <v/>
      </c>
      <c r="L1292" s="8" t="inlineStr">
        <is>
          <t>20190426</t>
        </is>
      </c>
      <c r="M1292" s="8" t="inlineStr">
        <is>
          <t>20250127</t>
        </is>
      </c>
      <c r="N1292" s="10" t="n">
        <v>144</v>
      </c>
      <c r="O1292" s="10">
        <f>IFERROR(VLOOKUP(A1292,Flete!$A:$J,10,0),"")</f>
        <v/>
      </c>
      <c r="P1292" s="8" t="inlineStr">
        <is>
          <t>M3</t>
        </is>
      </c>
      <c r="Q1292" s="10">
        <f>IFERROR(IFERROR(VLOOKUP(A1292,TRAOPE!$A:$U,21,0),VLOOKUP(B1292,TRAOPE!$A:$U,21,0)),"")</f>
        <v/>
      </c>
      <c r="R1292" s="8">
        <f>IFERROR(IFERROR(VLOOKUP(A1292,TRAOPE!$A:$W,23,0),VLOOKUP(B1292,TRAOPE!$A:$W,23,0)),"")</f>
        <v/>
      </c>
      <c r="S1292" s="10">
        <f>IF(AND(P1292="TN",R1292="TN"),N1292+N(O1292),IF(G1292&amp;""="1",N(K1292)*N1292,(N1292+N(O1292))*N(K1292)))</f>
        <v/>
      </c>
      <c r="T1292" s="10">
        <f>IF(Q1292="","",Q1292-S1292)</f>
        <v/>
      </c>
    </row>
    <row r="1293">
      <c r="A1293" s="7">
        <f>CONCATENATE(C1293,E1293,F1293,I1293)</f>
        <v/>
      </c>
      <c r="B1293" s="7">
        <f>CONCATENATE(C1293,E1293,I1293)</f>
        <v/>
      </c>
      <c r="C1293" s="8" t="n">
        <v>900003609</v>
      </c>
      <c r="D1293" s="7">
        <f>IFERROR(VLOOKUP(C1293,TRAOPE!$G:$H,2,0),"")</f>
        <v/>
      </c>
      <c r="E1293" s="8" t="inlineStr">
        <is>
          <t>D836</t>
        </is>
      </c>
      <c r="F1293" s="8" t="inlineStr">
        <is>
          <t>66855922</t>
        </is>
      </c>
      <c r="G1293" s="8">
        <f>IFERROR(VLOOKUP(A1293,Flete!$A:$E,5,0),"")</f>
        <v/>
      </c>
      <c r="H1293" s="7">
        <f>IFERROR(VLOOKUP(F1293,TRAOPE!$AA:$AB,2,0),"")</f>
        <v/>
      </c>
      <c r="I1293" s="7" t="n">
        <v>10000624</v>
      </c>
      <c r="J1293" s="7">
        <f>IFERROR(VLOOKUP(I1293,Materiales!$A:$H,8,0),"")</f>
        <v/>
      </c>
      <c r="K1293" s="9">
        <f>IFERROR(VLOOKUP(I1293,Materiales!$A:$G,7,0),"")</f>
        <v/>
      </c>
      <c r="L1293" s="8" t="inlineStr">
        <is>
          <t>20190426</t>
        </is>
      </c>
      <c r="M1293" s="8" t="inlineStr">
        <is>
          <t>20250127</t>
        </is>
      </c>
      <c r="N1293" s="10" t="n">
        <v>145</v>
      </c>
      <c r="O1293" s="10">
        <f>IFERROR(VLOOKUP(A1293,Flete!$A:$J,10,0),"")</f>
        <v/>
      </c>
      <c r="P1293" s="8" t="inlineStr">
        <is>
          <t>M3</t>
        </is>
      </c>
      <c r="Q1293" s="10">
        <f>IFERROR(IFERROR(VLOOKUP(A1293,TRAOPE!$A:$U,21,0),VLOOKUP(B1293,TRAOPE!$A:$U,21,0)),"")</f>
        <v/>
      </c>
      <c r="R1293" s="8">
        <f>IFERROR(IFERROR(VLOOKUP(A1293,TRAOPE!$A:$W,23,0),VLOOKUP(B1293,TRAOPE!$A:$W,23,0)),"")</f>
        <v/>
      </c>
      <c r="S1293" s="10">
        <f>IF(AND(P1293="TN",R1293="TN"),N1293+N(O1293),IF(G1293&amp;""="1",N(K1293)*N1293,(N1293+N(O1293))*N(K1293)))</f>
        <v/>
      </c>
      <c r="T1293" s="10">
        <f>IF(Q1293="","",Q1293-S1293)</f>
        <v/>
      </c>
    </row>
    <row r="1294">
      <c r="A1294" s="7">
        <f>CONCATENATE(C1294,E1294,F1294,I1294)</f>
        <v/>
      </c>
      <c r="B1294" s="7">
        <f>CONCATENATE(C1294,E1294,I1294)</f>
        <v/>
      </c>
      <c r="C1294" s="8" t="n">
        <v>900003609</v>
      </c>
      <c r="D1294" s="7">
        <f>IFERROR(VLOOKUP(C1294,TRAOPE!$G:$H,2,0),"")</f>
        <v/>
      </c>
      <c r="E1294" s="8" t="inlineStr">
        <is>
          <t>D836</t>
        </is>
      </c>
      <c r="F1294" s="8" t="inlineStr">
        <is>
          <t>66857228</t>
        </is>
      </c>
      <c r="G1294" s="8">
        <f>IFERROR(VLOOKUP(A1294,Flete!$A:$E,5,0),"")</f>
        <v/>
      </c>
      <c r="H1294" s="7">
        <f>IFERROR(VLOOKUP(F1294,TRAOPE!$AA:$AB,2,0),"")</f>
        <v/>
      </c>
      <c r="I1294" s="7" t="n">
        <v>10198730</v>
      </c>
      <c r="J1294" s="7">
        <f>IFERROR(VLOOKUP(I1294,Materiales!$A:$H,8,0),"")</f>
        <v/>
      </c>
      <c r="K1294" s="9">
        <f>IFERROR(VLOOKUP(I1294,Materiales!$A:$G,7,0),"")</f>
        <v/>
      </c>
      <c r="L1294" s="8" t="inlineStr">
        <is>
          <t>20190426</t>
        </is>
      </c>
      <c r="M1294" s="8" t="inlineStr">
        <is>
          <t>20250127</t>
        </is>
      </c>
      <c r="N1294" s="10" t="n">
        <v>97.41</v>
      </c>
      <c r="O1294" s="10">
        <f>IFERROR(VLOOKUP(A1294,Flete!$A:$J,10,0),"")</f>
        <v/>
      </c>
      <c r="P1294" s="8" t="inlineStr">
        <is>
          <t>M3</t>
        </is>
      </c>
      <c r="Q1294" s="10">
        <f>IFERROR(IFERROR(VLOOKUP(A1294,TRAOPE!$A:$U,21,0),VLOOKUP(B1294,TRAOPE!$A:$U,21,0)),"")</f>
        <v/>
      </c>
      <c r="R1294" s="8">
        <f>IFERROR(IFERROR(VLOOKUP(A1294,TRAOPE!$A:$W,23,0),VLOOKUP(B1294,TRAOPE!$A:$W,23,0)),"")</f>
        <v/>
      </c>
      <c r="S1294" s="10">
        <f>IF(AND(P1294="TN",R1294="TN"),N1294+N(O1294),IF(G1294&amp;""="1",N(K1294)*N1294,(N1294+N(O1294))*N(K1294)))</f>
        <v/>
      </c>
      <c r="T1294" s="10">
        <f>IF(Q1294="","",Q1294-S1294)</f>
        <v/>
      </c>
    </row>
    <row r="1295">
      <c r="A1295" s="7">
        <f>CONCATENATE(C1295,E1295,F1295,I1295)</f>
        <v/>
      </c>
      <c r="B1295" s="7">
        <f>CONCATENATE(C1295,E1295,I1295)</f>
        <v/>
      </c>
      <c r="C1295" s="8" t="n">
        <v>900003609</v>
      </c>
      <c r="D1295" s="7">
        <f>IFERROR(VLOOKUP(C1295,TRAOPE!$G:$H,2,0),"")</f>
        <v/>
      </c>
      <c r="E1295" s="8" t="inlineStr">
        <is>
          <t>D836</t>
        </is>
      </c>
      <c r="F1295" s="8" t="inlineStr">
        <is>
          <t>66861303</t>
        </is>
      </c>
      <c r="G1295" s="8">
        <f>IFERROR(VLOOKUP(A1295,Flete!$A:$E,5,0),"")</f>
        <v/>
      </c>
      <c r="H1295" s="7">
        <f>IFERROR(VLOOKUP(F1295,TRAOPE!$AA:$AB,2,0),"")</f>
        <v/>
      </c>
      <c r="I1295" s="7" t="n">
        <v>10000624</v>
      </c>
      <c r="J1295" s="7">
        <f>IFERROR(VLOOKUP(I1295,Materiales!$A:$H,8,0),"")</f>
        <v/>
      </c>
      <c r="K1295" s="9">
        <f>IFERROR(VLOOKUP(I1295,Materiales!$A:$G,7,0),"")</f>
        <v/>
      </c>
      <c r="L1295" s="8" t="inlineStr">
        <is>
          <t>20190426</t>
        </is>
      </c>
      <c r="M1295" s="8" t="inlineStr">
        <is>
          <t>20250127</t>
        </is>
      </c>
      <c r="N1295" s="10" t="n">
        <v>214</v>
      </c>
      <c r="O1295" s="10">
        <f>IFERROR(VLOOKUP(A1295,Flete!$A:$J,10,0),"")</f>
        <v/>
      </c>
      <c r="P1295" s="8" t="inlineStr">
        <is>
          <t>M3</t>
        </is>
      </c>
      <c r="Q1295" s="10">
        <f>IFERROR(IFERROR(VLOOKUP(A1295,TRAOPE!$A:$U,21,0),VLOOKUP(B1295,TRAOPE!$A:$U,21,0)),"")</f>
        <v/>
      </c>
      <c r="R1295" s="8">
        <f>IFERROR(IFERROR(VLOOKUP(A1295,TRAOPE!$A:$W,23,0),VLOOKUP(B1295,TRAOPE!$A:$W,23,0)),"")</f>
        <v/>
      </c>
      <c r="S1295" s="10">
        <f>IF(AND(P1295="TN",R1295="TN"),N1295+N(O1295),IF(G1295&amp;""="1",N(K1295)*N1295,(N1295+N(O1295))*N(K1295)))</f>
        <v/>
      </c>
      <c r="T1295" s="10">
        <f>IF(Q1295="","",Q1295-S1295)</f>
        <v/>
      </c>
    </row>
    <row r="1296">
      <c r="A1296" s="7">
        <f>CONCATENATE(C1296,E1296,F1296,I1296)</f>
        <v/>
      </c>
      <c r="B1296" s="7">
        <f>CONCATENATE(C1296,E1296,I1296)</f>
        <v/>
      </c>
      <c r="C1296" s="8" t="n">
        <v>900003609</v>
      </c>
      <c r="D1296" s="7">
        <f>IFERROR(VLOOKUP(C1296,TRAOPE!$G:$H,2,0),"")</f>
        <v/>
      </c>
      <c r="E1296" s="8" t="inlineStr">
        <is>
          <t>D836</t>
        </is>
      </c>
      <c r="F1296" s="8" t="inlineStr">
        <is>
          <t>66861303</t>
        </is>
      </c>
      <c r="G1296" s="8">
        <f>IFERROR(VLOOKUP(A1296,Flete!$A:$E,5,0),"")</f>
        <v/>
      </c>
      <c r="H1296" s="7">
        <f>IFERROR(VLOOKUP(F1296,TRAOPE!$AA:$AB,2,0),"")</f>
        <v/>
      </c>
      <c r="I1296" s="7" t="n">
        <v>10000630</v>
      </c>
      <c r="J1296" s="7">
        <f>IFERROR(VLOOKUP(I1296,Materiales!$A:$H,8,0),"")</f>
        <v/>
      </c>
      <c r="K1296" s="9">
        <f>IFERROR(VLOOKUP(I1296,Materiales!$A:$G,7,0),"")</f>
        <v/>
      </c>
      <c r="L1296" s="8" t="inlineStr">
        <is>
          <t>20190426</t>
        </is>
      </c>
      <c r="M1296" s="8" t="inlineStr">
        <is>
          <t>20250127</t>
        </is>
      </c>
      <c r="N1296" s="10" t="n">
        <v>214</v>
      </c>
      <c r="O1296" s="10">
        <f>IFERROR(VLOOKUP(A1296,Flete!$A:$J,10,0),"")</f>
        <v/>
      </c>
      <c r="P1296" s="8" t="inlineStr">
        <is>
          <t>M3</t>
        </is>
      </c>
      <c r="Q1296" s="10">
        <f>IFERROR(IFERROR(VLOOKUP(A1296,TRAOPE!$A:$U,21,0),VLOOKUP(B1296,TRAOPE!$A:$U,21,0)),"")</f>
        <v/>
      </c>
      <c r="R1296" s="8">
        <f>IFERROR(IFERROR(VLOOKUP(A1296,TRAOPE!$A:$W,23,0),VLOOKUP(B1296,TRAOPE!$A:$W,23,0)),"")</f>
        <v/>
      </c>
      <c r="S1296" s="10">
        <f>IF(AND(P1296="TN",R1296="TN"),N1296+N(O1296),IF(G1296&amp;""="1",N(K1296)*N1296,(N1296+N(O1296))*N(K1296)))</f>
        <v/>
      </c>
      <c r="T1296" s="10">
        <f>IF(Q1296="","",Q1296-S1296)</f>
        <v/>
      </c>
    </row>
    <row r="1297">
      <c r="A1297" s="7">
        <f>CONCATENATE(C1297,E1297,F1297,I1297)</f>
        <v/>
      </c>
      <c r="B1297" s="7">
        <f>CONCATENATE(C1297,E1297,I1297)</f>
        <v/>
      </c>
      <c r="C1297" s="8" t="n">
        <v>900003609</v>
      </c>
      <c r="D1297" s="7">
        <f>IFERROR(VLOOKUP(C1297,TRAOPE!$G:$H,2,0),"")</f>
        <v/>
      </c>
      <c r="E1297" s="8" t="inlineStr">
        <is>
          <t>D836</t>
        </is>
      </c>
      <c r="F1297" s="8" t="inlineStr">
        <is>
          <t>66861303</t>
        </is>
      </c>
      <c r="G1297" s="8">
        <f>IFERROR(VLOOKUP(A1297,Flete!$A:$E,5,0),"")</f>
        <v/>
      </c>
      <c r="H1297" s="7">
        <f>IFERROR(VLOOKUP(F1297,TRAOPE!$AA:$AB,2,0),"")</f>
        <v/>
      </c>
      <c r="I1297" s="7" t="n">
        <v>10000811</v>
      </c>
      <c r="J1297" s="7">
        <f>IFERROR(VLOOKUP(I1297,Materiales!$A:$H,8,0),"")</f>
        <v/>
      </c>
      <c r="K1297" s="9">
        <f>IFERROR(VLOOKUP(I1297,Materiales!$A:$G,7,0),"")</f>
        <v/>
      </c>
      <c r="L1297" s="8" t="inlineStr">
        <is>
          <t>20190426</t>
        </is>
      </c>
      <c r="M1297" s="8" t="inlineStr">
        <is>
          <t>20250127</t>
        </is>
      </c>
      <c r="N1297" s="10" t="n">
        <v>150</v>
      </c>
      <c r="O1297" s="10">
        <f>IFERROR(VLOOKUP(A1297,Flete!$A:$J,10,0),"")</f>
        <v/>
      </c>
      <c r="P1297" s="8" t="inlineStr">
        <is>
          <t>M3</t>
        </is>
      </c>
      <c r="Q1297" s="10">
        <f>IFERROR(IFERROR(VLOOKUP(A1297,TRAOPE!$A:$U,21,0),VLOOKUP(B1297,TRAOPE!$A:$U,21,0)),"")</f>
        <v/>
      </c>
      <c r="R1297" s="8">
        <f>IFERROR(IFERROR(VLOOKUP(A1297,TRAOPE!$A:$W,23,0),VLOOKUP(B1297,TRAOPE!$A:$W,23,0)),"")</f>
        <v/>
      </c>
      <c r="S1297" s="10">
        <f>IF(AND(P1297="TN",R1297="TN"),N1297+N(O1297),IF(G1297&amp;""="1",N(K1297)*N1297,(N1297+N(O1297))*N(K1297)))</f>
        <v/>
      </c>
      <c r="T1297" s="10">
        <f>IF(Q1297="","",Q1297-S1297)</f>
        <v/>
      </c>
    </row>
    <row r="1298">
      <c r="A1298" s="7">
        <f>CONCATENATE(C1298,E1298,F1298,I1298)</f>
        <v/>
      </c>
      <c r="B1298" s="7">
        <f>CONCATENATE(C1298,E1298,I1298)</f>
        <v/>
      </c>
      <c r="C1298" s="8" t="n">
        <v>900003609</v>
      </c>
      <c r="D1298" s="7">
        <f>IFERROR(VLOOKUP(C1298,TRAOPE!$G:$H,2,0),"")</f>
        <v/>
      </c>
      <c r="E1298" s="8" t="inlineStr">
        <is>
          <t>D836</t>
        </is>
      </c>
      <c r="F1298" s="8" t="inlineStr">
        <is>
          <t>66874292</t>
        </is>
      </c>
      <c r="G1298" s="8">
        <f>IFERROR(VLOOKUP(A1298,Flete!$A:$E,5,0),"")</f>
        <v/>
      </c>
      <c r="H1298" s="7">
        <f>IFERROR(VLOOKUP(F1298,TRAOPE!$AA:$AB,2,0),"")</f>
        <v/>
      </c>
      <c r="I1298" s="7" t="n">
        <v>10000624</v>
      </c>
      <c r="J1298" s="7">
        <f>IFERROR(VLOOKUP(I1298,Materiales!$A:$H,8,0),"")</f>
        <v/>
      </c>
      <c r="K1298" s="9">
        <f>IFERROR(VLOOKUP(I1298,Materiales!$A:$G,7,0),"")</f>
        <v/>
      </c>
      <c r="L1298" s="8" t="inlineStr">
        <is>
          <t>20190426</t>
        </is>
      </c>
      <c r="M1298" s="8" t="inlineStr">
        <is>
          <t>20250127</t>
        </is>
      </c>
      <c r="N1298" s="10" t="n">
        <v>144</v>
      </c>
      <c r="O1298" s="10">
        <f>IFERROR(VLOOKUP(A1298,Flete!$A:$J,10,0),"")</f>
        <v/>
      </c>
      <c r="P1298" s="8" t="inlineStr">
        <is>
          <t>M3</t>
        </is>
      </c>
      <c r="Q1298" s="10">
        <f>IFERROR(IFERROR(VLOOKUP(A1298,TRAOPE!$A:$U,21,0),VLOOKUP(B1298,TRAOPE!$A:$U,21,0)),"")</f>
        <v/>
      </c>
      <c r="R1298" s="8">
        <f>IFERROR(IFERROR(VLOOKUP(A1298,TRAOPE!$A:$W,23,0),VLOOKUP(B1298,TRAOPE!$A:$W,23,0)),"")</f>
        <v/>
      </c>
      <c r="S1298" s="10">
        <f>IF(AND(P1298="TN",R1298="TN"),N1298+N(O1298),IF(G1298&amp;""="1",N(K1298)*N1298,(N1298+N(O1298))*N(K1298)))</f>
        <v/>
      </c>
      <c r="T1298" s="10">
        <f>IF(Q1298="","",Q1298-S1298)</f>
        <v/>
      </c>
    </row>
    <row r="1299">
      <c r="A1299" s="7">
        <f>CONCATENATE(C1299,E1299,F1299,I1299)</f>
        <v/>
      </c>
      <c r="B1299" s="7">
        <f>CONCATENATE(C1299,E1299,I1299)</f>
        <v/>
      </c>
      <c r="C1299" s="8" t="n">
        <v>900003609</v>
      </c>
      <c r="D1299" s="7">
        <f>IFERROR(VLOOKUP(C1299,TRAOPE!$G:$H,2,0),"")</f>
        <v/>
      </c>
      <c r="E1299" s="8" t="inlineStr">
        <is>
          <t>D836</t>
        </is>
      </c>
      <c r="F1299" s="8" t="inlineStr">
        <is>
          <t>66875513</t>
        </is>
      </c>
      <c r="G1299" s="8">
        <f>IFERROR(VLOOKUP(A1299,Flete!$A:$E,5,0),"")</f>
        <v/>
      </c>
      <c r="H1299" s="7">
        <f>IFERROR(VLOOKUP(F1299,TRAOPE!$AA:$AB,2,0),"")</f>
        <v/>
      </c>
      <c r="I1299" s="7" t="n">
        <v>10000624</v>
      </c>
      <c r="J1299" s="7">
        <f>IFERROR(VLOOKUP(I1299,Materiales!$A:$H,8,0),"")</f>
        <v/>
      </c>
      <c r="K1299" s="9">
        <f>IFERROR(VLOOKUP(I1299,Materiales!$A:$G,7,0),"")</f>
        <v/>
      </c>
      <c r="L1299" s="8" t="inlineStr">
        <is>
          <t>20190426</t>
        </is>
      </c>
      <c r="M1299" s="8" t="inlineStr">
        <is>
          <t>20250127</t>
        </is>
      </c>
      <c r="N1299" s="10" t="n">
        <v>142</v>
      </c>
      <c r="O1299" s="10">
        <f>IFERROR(VLOOKUP(A1299,Flete!$A:$J,10,0),"")</f>
        <v/>
      </c>
      <c r="P1299" s="8" t="inlineStr">
        <is>
          <t>M3</t>
        </is>
      </c>
      <c r="Q1299" s="10">
        <f>IFERROR(IFERROR(VLOOKUP(A1299,TRAOPE!$A:$U,21,0),VLOOKUP(B1299,TRAOPE!$A:$U,21,0)),"")</f>
        <v/>
      </c>
      <c r="R1299" s="8">
        <f>IFERROR(IFERROR(VLOOKUP(A1299,TRAOPE!$A:$W,23,0),VLOOKUP(B1299,TRAOPE!$A:$W,23,0)),"")</f>
        <v/>
      </c>
      <c r="S1299" s="10">
        <f>IF(AND(P1299="TN",R1299="TN"),N1299+N(O1299),IF(G1299&amp;""="1",N(K1299)*N1299,(N1299+N(O1299))*N(K1299)))</f>
        <v/>
      </c>
      <c r="T1299" s="10">
        <f>IF(Q1299="","",Q1299-S1299)</f>
        <v/>
      </c>
    </row>
    <row r="1300">
      <c r="A1300" s="7">
        <f>CONCATENATE(C1300,E1300,F1300,I1300)</f>
        <v/>
      </c>
      <c r="B1300" s="7">
        <f>CONCATENATE(C1300,E1300,I1300)</f>
        <v/>
      </c>
      <c r="C1300" s="8" t="n">
        <v>900003609</v>
      </c>
      <c r="D1300" s="7">
        <f>IFERROR(VLOOKUP(C1300,TRAOPE!$G:$H,2,0),"")</f>
        <v/>
      </c>
      <c r="E1300" s="8" t="inlineStr">
        <is>
          <t>D836</t>
        </is>
      </c>
      <c r="F1300" s="8" t="inlineStr">
        <is>
          <t>66875513</t>
        </is>
      </c>
      <c r="G1300" s="8">
        <f>IFERROR(VLOOKUP(A1300,Flete!$A:$E,5,0),"")</f>
        <v/>
      </c>
      <c r="H1300" s="7">
        <f>IFERROR(VLOOKUP(F1300,TRAOPE!$AA:$AB,2,0),"")</f>
        <v/>
      </c>
      <c r="I1300" s="7" t="n">
        <v>10000630</v>
      </c>
      <c r="J1300" s="7">
        <f>IFERROR(VLOOKUP(I1300,Materiales!$A:$H,8,0),"")</f>
        <v/>
      </c>
      <c r="K1300" s="9">
        <f>IFERROR(VLOOKUP(I1300,Materiales!$A:$G,7,0),"")</f>
        <v/>
      </c>
      <c r="L1300" s="8" t="inlineStr">
        <is>
          <t>20190426</t>
        </is>
      </c>
      <c r="M1300" s="8" t="inlineStr">
        <is>
          <t>20250127</t>
        </is>
      </c>
      <c r="N1300" s="10" t="n">
        <v>155</v>
      </c>
      <c r="O1300" s="10">
        <f>IFERROR(VLOOKUP(A1300,Flete!$A:$J,10,0),"")</f>
        <v/>
      </c>
      <c r="P1300" s="8" t="inlineStr">
        <is>
          <t>M3</t>
        </is>
      </c>
      <c r="Q1300" s="10">
        <f>IFERROR(IFERROR(VLOOKUP(A1300,TRAOPE!$A:$U,21,0),VLOOKUP(B1300,TRAOPE!$A:$U,21,0)),"")</f>
        <v/>
      </c>
      <c r="R1300" s="8">
        <f>IFERROR(IFERROR(VLOOKUP(A1300,TRAOPE!$A:$W,23,0),VLOOKUP(B1300,TRAOPE!$A:$W,23,0)),"")</f>
        <v/>
      </c>
      <c r="S1300" s="10">
        <f>IF(AND(P1300="TN",R1300="TN"),N1300+N(O1300),IF(G1300&amp;""="1",N(K1300)*N1300,(N1300+N(O1300))*N(K1300)))</f>
        <v/>
      </c>
      <c r="T1300" s="10">
        <f>IF(Q1300="","",Q1300-S1300)</f>
        <v/>
      </c>
    </row>
    <row r="1301">
      <c r="A1301" s="7">
        <f>CONCATENATE(C1301,E1301,F1301,I1301)</f>
        <v/>
      </c>
      <c r="B1301" s="7">
        <f>CONCATENATE(C1301,E1301,I1301)</f>
        <v/>
      </c>
      <c r="C1301" s="8" t="n">
        <v>900003609</v>
      </c>
      <c r="D1301" s="7">
        <f>IFERROR(VLOOKUP(C1301,TRAOPE!$G:$H,2,0),"")</f>
        <v/>
      </c>
      <c r="E1301" s="8" t="inlineStr">
        <is>
          <t>D836</t>
        </is>
      </c>
      <c r="F1301" s="8" t="inlineStr">
        <is>
          <t>66875513</t>
        </is>
      </c>
      <c r="G1301" s="8">
        <f>IFERROR(VLOOKUP(A1301,Flete!$A:$E,5,0),"")</f>
        <v/>
      </c>
      <c r="H1301" s="7">
        <f>IFERROR(VLOOKUP(F1301,TRAOPE!$AA:$AB,2,0),"")</f>
        <v/>
      </c>
      <c r="I1301" s="7" t="n">
        <v>10000811</v>
      </c>
      <c r="J1301" s="7">
        <f>IFERROR(VLOOKUP(I1301,Materiales!$A:$H,8,0),"")</f>
        <v/>
      </c>
      <c r="K1301" s="9">
        <f>IFERROR(VLOOKUP(I1301,Materiales!$A:$G,7,0),"")</f>
        <v/>
      </c>
      <c r="L1301" s="8" t="inlineStr">
        <is>
          <t>20190426</t>
        </is>
      </c>
      <c r="M1301" s="8" t="inlineStr">
        <is>
          <t>20250127</t>
        </is>
      </c>
      <c r="N1301" s="10" t="n">
        <v>146</v>
      </c>
      <c r="O1301" s="10">
        <f>IFERROR(VLOOKUP(A1301,Flete!$A:$J,10,0),"")</f>
        <v/>
      </c>
      <c r="P1301" s="8" t="inlineStr">
        <is>
          <t>M3</t>
        </is>
      </c>
      <c r="Q1301" s="10">
        <f>IFERROR(IFERROR(VLOOKUP(A1301,TRAOPE!$A:$U,21,0),VLOOKUP(B1301,TRAOPE!$A:$U,21,0)),"")</f>
        <v/>
      </c>
      <c r="R1301" s="8">
        <f>IFERROR(IFERROR(VLOOKUP(A1301,TRAOPE!$A:$W,23,0),VLOOKUP(B1301,TRAOPE!$A:$W,23,0)),"")</f>
        <v/>
      </c>
      <c r="S1301" s="10">
        <f>IF(AND(P1301="TN",R1301="TN"),N1301+N(O1301),IF(G1301&amp;""="1",N(K1301)*N1301,(N1301+N(O1301))*N(K1301)))</f>
        <v/>
      </c>
      <c r="T1301" s="10">
        <f>IF(Q1301="","",Q1301-S1301)</f>
        <v/>
      </c>
    </row>
    <row r="1302">
      <c r="A1302" s="7">
        <f>CONCATENATE(C1302,E1302,F1302,I1302)</f>
        <v/>
      </c>
      <c r="B1302" s="7">
        <f>CONCATENATE(C1302,E1302,I1302)</f>
        <v/>
      </c>
      <c r="C1302" s="8" t="n">
        <v>900003609</v>
      </c>
      <c r="D1302" s="7">
        <f>IFERROR(VLOOKUP(C1302,TRAOPE!$G:$H,2,0),"")</f>
        <v/>
      </c>
      <c r="E1302" s="8" t="inlineStr">
        <is>
          <t>D836</t>
        </is>
      </c>
      <c r="F1302" s="8" t="inlineStr">
        <is>
          <t>66898280</t>
        </is>
      </c>
      <c r="G1302" s="8">
        <f>IFERROR(VLOOKUP(A1302,Flete!$A:$E,5,0),"")</f>
        <v/>
      </c>
      <c r="H1302" s="7">
        <f>IFERROR(VLOOKUP(F1302,TRAOPE!$AA:$AB,2,0),"")</f>
        <v/>
      </c>
      <c r="I1302" s="7" t="n">
        <v>10000624</v>
      </c>
      <c r="J1302" s="7">
        <f>IFERROR(VLOOKUP(I1302,Materiales!$A:$H,8,0),"")</f>
        <v/>
      </c>
      <c r="K1302" s="9">
        <f>IFERROR(VLOOKUP(I1302,Materiales!$A:$G,7,0),"")</f>
        <v/>
      </c>
      <c r="L1302" s="8" t="inlineStr">
        <is>
          <t>20190426</t>
        </is>
      </c>
      <c r="M1302" s="8" t="inlineStr">
        <is>
          <t>20250127</t>
        </is>
      </c>
      <c r="N1302" s="10" t="n">
        <v>140</v>
      </c>
      <c r="O1302" s="10">
        <f>IFERROR(VLOOKUP(A1302,Flete!$A:$J,10,0),"")</f>
        <v/>
      </c>
      <c r="P1302" s="8" t="inlineStr">
        <is>
          <t>M3</t>
        </is>
      </c>
      <c r="Q1302" s="10">
        <f>IFERROR(IFERROR(VLOOKUP(A1302,TRAOPE!$A:$U,21,0),VLOOKUP(B1302,TRAOPE!$A:$U,21,0)),"")</f>
        <v/>
      </c>
      <c r="R1302" s="8">
        <f>IFERROR(IFERROR(VLOOKUP(A1302,TRAOPE!$A:$W,23,0),VLOOKUP(B1302,TRAOPE!$A:$W,23,0)),"")</f>
        <v/>
      </c>
      <c r="S1302" s="10">
        <f>IF(AND(P1302="TN",R1302="TN"),N1302+N(O1302),IF(G1302&amp;""="1",N(K1302)*N1302,(N1302+N(O1302))*N(K1302)))</f>
        <v/>
      </c>
      <c r="T1302" s="10">
        <f>IF(Q1302="","",Q1302-S1302)</f>
        <v/>
      </c>
    </row>
    <row r="1303">
      <c r="A1303" s="7">
        <f>CONCATENATE(C1303,E1303,F1303,I1303)</f>
        <v/>
      </c>
      <c r="B1303" s="7">
        <f>CONCATENATE(C1303,E1303,I1303)</f>
        <v/>
      </c>
      <c r="C1303" s="8" t="n">
        <v>900003609</v>
      </c>
      <c r="D1303" s="7">
        <f>IFERROR(VLOOKUP(C1303,TRAOPE!$G:$H,2,0),"")</f>
        <v/>
      </c>
      <c r="E1303" s="8" t="inlineStr">
        <is>
          <t>D836</t>
        </is>
      </c>
      <c r="F1303" s="8" t="inlineStr">
        <is>
          <t>66898280</t>
        </is>
      </c>
      <c r="G1303" s="8">
        <f>IFERROR(VLOOKUP(A1303,Flete!$A:$E,5,0),"")</f>
        <v/>
      </c>
      <c r="H1303" s="7">
        <f>IFERROR(VLOOKUP(F1303,TRAOPE!$AA:$AB,2,0),"")</f>
        <v/>
      </c>
      <c r="I1303" s="7" t="n">
        <v>10000811</v>
      </c>
      <c r="J1303" s="7">
        <f>IFERROR(VLOOKUP(I1303,Materiales!$A:$H,8,0),"")</f>
        <v/>
      </c>
      <c r="K1303" s="9">
        <f>IFERROR(VLOOKUP(I1303,Materiales!$A:$G,7,0),"")</f>
        <v/>
      </c>
      <c r="L1303" s="8" t="inlineStr">
        <is>
          <t>20190426</t>
        </is>
      </c>
      <c r="M1303" s="8" t="inlineStr">
        <is>
          <t>20250127</t>
        </is>
      </c>
      <c r="N1303" s="10" t="n">
        <v>145</v>
      </c>
      <c r="O1303" s="10">
        <f>IFERROR(VLOOKUP(A1303,Flete!$A:$J,10,0),"")</f>
        <v/>
      </c>
      <c r="P1303" s="8" t="inlineStr">
        <is>
          <t>M3</t>
        </is>
      </c>
      <c r="Q1303" s="10">
        <f>IFERROR(IFERROR(VLOOKUP(A1303,TRAOPE!$A:$U,21,0),VLOOKUP(B1303,TRAOPE!$A:$U,21,0)),"")</f>
        <v/>
      </c>
      <c r="R1303" s="8">
        <f>IFERROR(IFERROR(VLOOKUP(A1303,TRAOPE!$A:$W,23,0),VLOOKUP(B1303,TRAOPE!$A:$W,23,0)),"")</f>
        <v/>
      </c>
      <c r="S1303" s="10">
        <f>IF(AND(P1303="TN",R1303="TN"),N1303+N(O1303),IF(G1303&amp;""="1",N(K1303)*N1303,(N1303+N(O1303))*N(K1303)))</f>
        <v/>
      </c>
      <c r="T1303" s="10">
        <f>IF(Q1303="","",Q1303-S1303)</f>
        <v/>
      </c>
    </row>
    <row r="1304">
      <c r="A1304" s="7">
        <f>CONCATENATE(C1304,E1304,F1304,I1304)</f>
        <v/>
      </c>
      <c r="B1304" s="7">
        <f>CONCATENATE(C1304,E1304,I1304)</f>
        <v/>
      </c>
      <c r="C1304" s="8" t="n">
        <v>900003609</v>
      </c>
      <c r="D1304" s="7">
        <f>IFERROR(VLOOKUP(C1304,TRAOPE!$G:$H,2,0),"")</f>
        <v/>
      </c>
      <c r="E1304" s="8" t="inlineStr">
        <is>
          <t>D836</t>
        </is>
      </c>
      <c r="F1304" s="8" t="inlineStr">
        <is>
          <t>66898281</t>
        </is>
      </c>
      <c r="G1304" s="8">
        <f>IFERROR(VLOOKUP(A1304,Flete!$A:$E,5,0),"")</f>
        <v/>
      </c>
      <c r="H1304" s="7">
        <f>IFERROR(VLOOKUP(F1304,TRAOPE!$AA:$AB,2,0),"")</f>
        <v/>
      </c>
      <c r="I1304" s="7" t="n">
        <v>10000624</v>
      </c>
      <c r="J1304" s="7">
        <f>IFERROR(VLOOKUP(I1304,Materiales!$A:$H,8,0),"")</f>
        <v/>
      </c>
      <c r="K1304" s="9">
        <f>IFERROR(VLOOKUP(I1304,Materiales!$A:$G,7,0),"")</f>
        <v/>
      </c>
      <c r="L1304" s="8" t="inlineStr">
        <is>
          <t>20190426</t>
        </is>
      </c>
      <c r="M1304" s="8" t="inlineStr">
        <is>
          <t>20250127</t>
        </is>
      </c>
      <c r="N1304" s="10" t="n">
        <v>140</v>
      </c>
      <c r="O1304" s="10">
        <f>IFERROR(VLOOKUP(A1304,Flete!$A:$J,10,0),"")</f>
        <v/>
      </c>
      <c r="P1304" s="8" t="inlineStr">
        <is>
          <t>M3</t>
        </is>
      </c>
      <c r="Q1304" s="10">
        <f>IFERROR(IFERROR(VLOOKUP(A1304,TRAOPE!$A:$U,21,0),VLOOKUP(B1304,TRAOPE!$A:$U,21,0)),"")</f>
        <v/>
      </c>
      <c r="R1304" s="8">
        <f>IFERROR(IFERROR(VLOOKUP(A1304,TRAOPE!$A:$W,23,0),VLOOKUP(B1304,TRAOPE!$A:$W,23,0)),"")</f>
        <v/>
      </c>
      <c r="S1304" s="10">
        <f>IF(AND(P1304="TN",R1304="TN"),N1304+N(O1304),IF(G1304&amp;""="1",N(K1304)*N1304,(N1304+N(O1304))*N(K1304)))</f>
        <v/>
      </c>
      <c r="T1304" s="10">
        <f>IF(Q1304="","",Q1304-S1304)</f>
        <v/>
      </c>
    </row>
    <row r="1305">
      <c r="A1305" s="7">
        <f>CONCATENATE(C1305,E1305,F1305,I1305)</f>
        <v/>
      </c>
      <c r="B1305" s="7">
        <f>CONCATENATE(C1305,E1305,I1305)</f>
        <v/>
      </c>
      <c r="C1305" s="8" t="n">
        <v>900003609</v>
      </c>
      <c r="D1305" s="7">
        <f>IFERROR(VLOOKUP(C1305,TRAOPE!$G:$H,2,0),"")</f>
        <v/>
      </c>
      <c r="E1305" s="8" t="inlineStr">
        <is>
          <t>D836</t>
        </is>
      </c>
      <c r="F1305" s="8" t="inlineStr">
        <is>
          <t>66898281</t>
        </is>
      </c>
      <c r="G1305" s="8">
        <f>IFERROR(VLOOKUP(A1305,Flete!$A:$E,5,0),"")</f>
        <v/>
      </c>
      <c r="H1305" s="7">
        <f>IFERROR(VLOOKUP(F1305,TRAOPE!$AA:$AB,2,0),"")</f>
        <v/>
      </c>
      <c r="I1305" s="7" t="n">
        <v>10000811</v>
      </c>
      <c r="J1305" s="7">
        <f>IFERROR(VLOOKUP(I1305,Materiales!$A:$H,8,0),"")</f>
        <v/>
      </c>
      <c r="K1305" s="9">
        <f>IFERROR(VLOOKUP(I1305,Materiales!$A:$G,7,0),"")</f>
        <v/>
      </c>
      <c r="L1305" s="8" t="inlineStr">
        <is>
          <t>20190426</t>
        </is>
      </c>
      <c r="M1305" s="8" t="inlineStr">
        <is>
          <t>20250127</t>
        </is>
      </c>
      <c r="N1305" s="10" t="n">
        <v>145</v>
      </c>
      <c r="O1305" s="10">
        <f>IFERROR(VLOOKUP(A1305,Flete!$A:$J,10,0),"")</f>
        <v/>
      </c>
      <c r="P1305" s="8" t="inlineStr">
        <is>
          <t>M3</t>
        </is>
      </c>
      <c r="Q1305" s="10">
        <f>IFERROR(IFERROR(VLOOKUP(A1305,TRAOPE!$A:$U,21,0),VLOOKUP(B1305,TRAOPE!$A:$U,21,0)),"")</f>
        <v/>
      </c>
      <c r="R1305" s="8">
        <f>IFERROR(IFERROR(VLOOKUP(A1305,TRAOPE!$A:$W,23,0),VLOOKUP(B1305,TRAOPE!$A:$W,23,0)),"")</f>
        <v/>
      </c>
      <c r="S1305" s="10">
        <f>IF(AND(P1305="TN",R1305="TN"),N1305+N(O1305),IF(G1305&amp;""="1",N(K1305)*N1305,(N1305+N(O1305))*N(K1305)))</f>
        <v/>
      </c>
      <c r="T1305" s="10">
        <f>IF(Q1305="","",Q1305-S1305)</f>
        <v/>
      </c>
    </row>
    <row r="1306">
      <c r="A1306" s="7">
        <f>CONCATENATE(C1306,E1306,F1306,I1306)</f>
        <v/>
      </c>
      <c r="B1306" s="7">
        <f>CONCATENATE(C1306,E1306,I1306)</f>
        <v/>
      </c>
      <c r="C1306" s="8" t="n">
        <v>900003609</v>
      </c>
      <c r="D1306" s="7">
        <f>IFERROR(VLOOKUP(C1306,TRAOPE!$G:$H,2,0),"")</f>
        <v/>
      </c>
      <c r="E1306" s="8" t="inlineStr">
        <is>
          <t>D836</t>
        </is>
      </c>
      <c r="F1306" s="8" t="inlineStr">
        <is>
          <t>66933313</t>
        </is>
      </c>
      <c r="G1306" s="8">
        <f>IFERROR(VLOOKUP(A1306,Flete!$A:$E,5,0),"")</f>
        <v/>
      </c>
      <c r="H1306" s="7">
        <f>IFERROR(VLOOKUP(F1306,TRAOPE!$AA:$AB,2,0),"")</f>
        <v/>
      </c>
      <c r="I1306" s="7" t="n">
        <v>10000811</v>
      </c>
      <c r="J1306" s="7">
        <f>IFERROR(VLOOKUP(I1306,Materiales!$A:$H,8,0),"")</f>
        <v/>
      </c>
      <c r="K1306" s="9">
        <f>IFERROR(VLOOKUP(I1306,Materiales!$A:$G,7,0),"")</f>
        <v/>
      </c>
      <c r="L1306" s="8" t="inlineStr">
        <is>
          <t>20190426</t>
        </is>
      </c>
      <c r="M1306" s="8" t="inlineStr">
        <is>
          <t>20250127</t>
        </is>
      </c>
      <c r="N1306" s="10" t="n">
        <v>155</v>
      </c>
      <c r="O1306" s="10">
        <f>IFERROR(VLOOKUP(A1306,Flete!$A:$J,10,0),"")</f>
        <v/>
      </c>
      <c r="P1306" s="8" t="inlineStr">
        <is>
          <t>M3</t>
        </is>
      </c>
      <c r="Q1306" s="10">
        <f>IFERROR(IFERROR(VLOOKUP(A1306,TRAOPE!$A:$U,21,0),VLOOKUP(B1306,TRAOPE!$A:$U,21,0)),"")</f>
        <v/>
      </c>
      <c r="R1306" s="8">
        <f>IFERROR(IFERROR(VLOOKUP(A1306,TRAOPE!$A:$W,23,0),VLOOKUP(B1306,TRAOPE!$A:$W,23,0)),"")</f>
        <v/>
      </c>
      <c r="S1306" s="10">
        <f>IF(AND(P1306="TN",R1306="TN"),N1306+N(O1306),IF(G1306&amp;""="1",N(K1306)*N1306,(N1306+N(O1306))*N(K1306)))</f>
        <v/>
      </c>
      <c r="T1306" s="10">
        <f>IF(Q1306="","",Q1306-S1306)</f>
        <v/>
      </c>
    </row>
    <row r="1307">
      <c r="A1307" s="7">
        <f>CONCATENATE(C1307,E1307,F1307,I1307)</f>
        <v/>
      </c>
      <c r="B1307" s="7">
        <f>CONCATENATE(C1307,E1307,I1307)</f>
        <v/>
      </c>
      <c r="C1307" s="8" t="n">
        <v>900003609</v>
      </c>
      <c r="D1307" s="7">
        <f>IFERROR(VLOOKUP(C1307,TRAOPE!$G:$H,2,0),"")</f>
        <v/>
      </c>
      <c r="E1307" s="8" t="inlineStr">
        <is>
          <t>D836</t>
        </is>
      </c>
      <c r="F1307" s="8" t="inlineStr">
        <is>
          <t>66970213</t>
        </is>
      </c>
      <c r="G1307" s="8">
        <f>IFERROR(VLOOKUP(A1307,Flete!$A:$E,5,0),"")</f>
        <v/>
      </c>
      <c r="H1307" s="7">
        <f>IFERROR(VLOOKUP(F1307,TRAOPE!$AA:$AB,2,0),"")</f>
        <v/>
      </c>
      <c r="I1307" s="7" t="n">
        <v>10198730</v>
      </c>
      <c r="J1307" s="7">
        <f>IFERROR(VLOOKUP(I1307,Materiales!$A:$H,8,0),"")</f>
        <v/>
      </c>
      <c r="K1307" s="9">
        <f>IFERROR(VLOOKUP(I1307,Materiales!$A:$G,7,0),"")</f>
        <v/>
      </c>
      <c r="L1307" s="8" t="inlineStr">
        <is>
          <t>20190426</t>
        </is>
      </c>
      <c r="M1307" s="8" t="inlineStr">
        <is>
          <t>20250127</t>
        </is>
      </c>
      <c r="N1307" s="10" t="n">
        <v>103</v>
      </c>
      <c r="O1307" s="10">
        <f>IFERROR(VLOOKUP(A1307,Flete!$A:$J,10,0),"")</f>
        <v/>
      </c>
      <c r="P1307" s="8" t="inlineStr">
        <is>
          <t>M3</t>
        </is>
      </c>
      <c r="Q1307" s="10">
        <f>IFERROR(IFERROR(VLOOKUP(A1307,TRAOPE!$A:$U,21,0),VLOOKUP(B1307,TRAOPE!$A:$U,21,0)),"")</f>
        <v/>
      </c>
      <c r="R1307" s="8">
        <f>IFERROR(IFERROR(VLOOKUP(A1307,TRAOPE!$A:$W,23,0),VLOOKUP(B1307,TRAOPE!$A:$W,23,0)),"")</f>
        <v/>
      </c>
      <c r="S1307" s="10">
        <f>IF(AND(P1307="TN",R1307="TN"),N1307+N(O1307),IF(G1307&amp;""="1",N(K1307)*N1307,(N1307+N(O1307))*N(K1307)))</f>
        <v/>
      </c>
      <c r="T1307" s="10">
        <f>IF(Q1307="","",Q1307-S1307)</f>
        <v/>
      </c>
    </row>
    <row r="1308">
      <c r="A1308" s="7">
        <f>CONCATENATE(C1308,E1308,F1308,I1308)</f>
        <v/>
      </c>
      <c r="B1308" s="7">
        <f>CONCATENATE(C1308,E1308,I1308)</f>
        <v/>
      </c>
      <c r="C1308" s="8" t="n">
        <v>900003609</v>
      </c>
      <c r="D1308" s="7">
        <f>IFERROR(VLOOKUP(C1308,TRAOPE!$G:$H,2,0),"")</f>
        <v/>
      </c>
      <c r="E1308" s="8" t="inlineStr">
        <is>
          <t>D836</t>
        </is>
      </c>
      <c r="F1308" s="8" t="inlineStr">
        <is>
          <t>66970684</t>
        </is>
      </c>
      <c r="G1308" s="8">
        <f>IFERROR(VLOOKUP(A1308,Flete!$A:$E,5,0),"")</f>
        <v/>
      </c>
      <c r="H1308" s="7">
        <f>IFERROR(VLOOKUP(F1308,TRAOPE!$AA:$AB,2,0),"")</f>
        <v/>
      </c>
      <c r="I1308" s="7" t="n">
        <v>10198730</v>
      </c>
      <c r="J1308" s="7">
        <f>IFERROR(VLOOKUP(I1308,Materiales!$A:$H,8,0),"")</f>
        <v/>
      </c>
      <c r="K1308" s="9">
        <f>IFERROR(VLOOKUP(I1308,Materiales!$A:$G,7,0),"")</f>
        <v/>
      </c>
      <c r="L1308" s="8" t="inlineStr">
        <is>
          <t>20190426</t>
        </is>
      </c>
      <c r="M1308" s="8" t="inlineStr">
        <is>
          <t>20250127</t>
        </is>
      </c>
      <c r="N1308" s="10" t="n">
        <v>103</v>
      </c>
      <c r="O1308" s="10">
        <f>IFERROR(VLOOKUP(A1308,Flete!$A:$J,10,0),"")</f>
        <v/>
      </c>
      <c r="P1308" s="8" t="inlineStr">
        <is>
          <t>M3</t>
        </is>
      </c>
      <c r="Q1308" s="10">
        <f>IFERROR(IFERROR(VLOOKUP(A1308,TRAOPE!$A:$U,21,0),VLOOKUP(B1308,TRAOPE!$A:$U,21,0)),"")</f>
        <v/>
      </c>
      <c r="R1308" s="8">
        <f>IFERROR(IFERROR(VLOOKUP(A1308,TRAOPE!$A:$W,23,0),VLOOKUP(B1308,TRAOPE!$A:$W,23,0)),"")</f>
        <v/>
      </c>
      <c r="S1308" s="10">
        <f>IF(AND(P1308="TN",R1308="TN"),N1308+N(O1308),IF(G1308&amp;""="1",N(K1308)*N1308,(N1308+N(O1308))*N(K1308)))</f>
        <v/>
      </c>
      <c r="T1308" s="10">
        <f>IF(Q1308="","",Q1308-S1308)</f>
        <v/>
      </c>
    </row>
    <row r="1309">
      <c r="A1309" s="7">
        <f>CONCATENATE(C1309,E1309,F1309,I1309)</f>
        <v/>
      </c>
      <c r="B1309" s="7">
        <f>CONCATENATE(C1309,E1309,I1309)</f>
        <v/>
      </c>
      <c r="C1309" s="8" t="n">
        <v>900003609</v>
      </c>
      <c r="D1309" s="7">
        <f>IFERROR(VLOOKUP(C1309,TRAOPE!$G:$H,2,0),"")</f>
        <v/>
      </c>
      <c r="E1309" s="8" t="inlineStr">
        <is>
          <t>D836</t>
        </is>
      </c>
      <c r="F1309" s="8" t="inlineStr">
        <is>
          <t>67000712</t>
        </is>
      </c>
      <c r="G1309" s="8">
        <f>IFERROR(VLOOKUP(A1309,Flete!$A:$E,5,0),"")</f>
        <v/>
      </c>
      <c r="H1309" s="7">
        <f>IFERROR(VLOOKUP(F1309,TRAOPE!$AA:$AB,2,0),"")</f>
        <v/>
      </c>
      <c r="I1309" s="7" t="n">
        <v>10000630</v>
      </c>
      <c r="J1309" s="7">
        <f>IFERROR(VLOOKUP(I1309,Materiales!$A:$H,8,0),"")</f>
        <v/>
      </c>
      <c r="K1309" s="9">
        <f>IFERROR(VLOOKUP(I1309,Materiales!$A:$G,7,0),"")</f>
        <v/>
      </c>
      <c r="L1309" s="8" t="inlineStr">
        <is>
          <t>20190426</t>
        </is>
      </c>
      <c r="M1309" s="8" t="inlineStr">
        <is>
          <t>20250127</t>
        </is>
      </c>
      <c r="N1309" s="10" t="n">
        <v>145</v>
      </c>
      <c r="O1309" s="10">
        <f>IFERROR(VLOOKUP(A1309,Flete!$A:$J,10,0),"")</f>
        <v/>
      </c>
      <c r="P1309" s="8" t="inlineStr">
        <is>
          <t>M3</t>
        </is>
      </c>
      <c r="Q1309" s="10">
        <f>IFERROR(IFERROR(VLOOKUP(A1309,TRAOPE!$A:$U,21,0),VLOOKUP(B1309,TRAOPE!$A:$U,21,0)),"")</f>
        <v/>
      </c>
      <c r="R1309" s="8">
        <f>IFERROR(IFERROR(VLOOKUP(A1309,TRAOPE!$A:$W,23,0),VLOOKUP(B1309,TRAOPE!$A:$W,23,0)),"")</f>
        <v/>
      </c>
      <c r="S1309" s="10">
        <f>IF(AND(P1309="TN",R1309="TN"),N1309+N(O1309),IF(G1309&amp;""="1",N(K1309)*N1309,(N1309+N(O1309))*N(K1309)))</f>
        <v/>
      </c>
      <c r="T1309" s="10">
        <f>IF(Q1309="","",Q1309-S1309)</f>
        <v/>
      </c>
    </row>
    <row r="1310">
      <c r="A1310" s="7">
        <f>CONCATENATE(C1310,E1310,F1310,I1310)</f>
        <v/>
      </c>
      <c r="B1310" s="7">
        <f>CONCATENATE(C1310,E1310,I1310)</f>
        <v/>
      </c>
      <c r="C1310" s="8" t="n">
        <v>900003609</v>
      </c>
      <c r="D1310" s="7">
        <f>IFERROR(VLOOKUP(C1310,TRAOPE!$G:$H,2,0),"")</f>
        <v/>
      </c>
      <c r="E1310" s="8" t="inlineStr">
        <is>
          <t>D836</t>
        </is>
      </c>
      <c r="F1310" s="8" t="inlineStr">
        <is>
          <t>67007016</t>
        </is>
      </c>
      <c r="G1310" s="8">
        <f>IFERROR(VLOOKUP(A1310,Flete!$A:$E,5,0),"")</f>
        <v/>
      </c>
      <c r="H1310" s="7">
        <f>IFERROR(VLOOKUP(F1310,TRAOPE!$AA:$AB,2,0),"")</f>
        <v/>
      </c>
      <c r="I1310" s="7" t="n">
        <v>10000624</v>
      </c>
      <c r="J1310" s="7">
        <f>IFERROR(VLOOKUP(I1310,Materiales!$A:$H,8,0),"")</f>
        <v/>
      </c>
      <c r="K1310" s="9">
        <f>IFERROR(VLOOKUP(I1310,Materiales!$A:$G,7,0),"")</f>
        <v/>
      </c>
      <c r="L1310" s="8" t="inlineStr">
        <is>
          <t>20190426</t>
        </is>
      </c>
      <c r="M1310" s="8" t="inlineStr">
        <is>
          <t>20250127</t>
        </is>
      </c>
      <c r="N1310" s="10" t="n">
        <v>170</v>
      </c>
      <c r="O1310" s="10">
        <f>IFERROR(VLOOKUP(A1310,Flete!$A:$J,10,0),"")</f>
        <v/>
      </c>
      <c r="P1310" s="8" t="inlineStr">
        <is>
          <t>M3</t>
        </is>
      </c>
      <c r="Q1310" s="10">
        <f>IFERROR(IFERROR(VLOOKUP(A1310,TRAOPE!$A:$U,21,0),VLOOKUP(B1310,TRAOPE!$A:$U,21,0)),"")</f>
        <v/>
      </c>
      <c r="R1310" s="8">
        <f>IFERROR(IFERROR(VLOOKUP(A1310,TRAOPE!$A:$W,23,0),VLOOKUP(B1310,TRAOPE!$A:$W,23,0)),"")</f>
        <v/>
      </c>
      <c r="S1310" s="10">
        <f>IF(AND(P1310="TN",R1310="TN"),N1310+N(O1310),IF(G1310&amp;""="1",N(K1310)*N1310,(N1310+N(O1310))*N(K1310)))</f>
        <v/>
      </c>
      <c r="T1310" s="10">
        <f>IF(Q1310="","",Q1310-S1310)</f>
        <v/>
      </c>
    </row>
    <row r="1311">
      <c r="A1311" s="7">
        <f>CONCATENATE(C1311,E1311,F1311,I1311)</f>
        <v/>
      </c>
      <c r="B1311" s="7">
        <f>CONCATENATE(C1311,E1311,I1311)</f>
        <v/>
      </c>
      <c r="C1311" s="8" t="n">
        <v>900003609</v>
      </c>
      <c r="D1311" s="7">
        <f>IFERROR(VLOOKUP(C1311,TRAOPE!$G:$H,2,0),"")</f>
        <v/>
      </c>
      <c r="E1311" s="8" t="inlineStr">
        <is>
          <t>D836</t>
        </is>
      </c>
      <c r="F1311" s="8" t="inlineStr">
        <is>
          <t>67007016</t>
        </is>
      </c>
      <c r="G1311" s="8">
        <f>IFERROR(VLOOKUP(A1311,Flete!$A:$E,5,0),"")</f>
        <v/>
      </c>
      <c r="H1311" s="7">
        <f>IFERROR(VLOOKUP(F1311,TRAOPE!$AA:$AB,2,0),"")</f>
        <v/>
      </c>
      <c r="I1311" s="7" t="n">
        <v>10221141</v>
      </c>
      <c r="J1311" s="7">
        <f>IFERROR(VLOOKUP(I1311,Materiales!$A:$H,8,0),"")</f>
        <v/>
      </c>
      <c r="K1311" s="9">
        <f>IFERROR(VLOOKUP(I1311,Materiales!$A:$G,7,0),"")</f>
        <v/>
      </c>
      <c r="L1311" s="8" t="inlineStr">
        <is>
          <t>20190426</t>
        </is>
      </c>
      <c r="M1311" s="8" t="inlineStr">
        <is>
          <t>20250127</t>
        </is>
      </c>
      <c r="N1311" s="10" t="n">
        <v>170</v>
      </c>
      <c r="O1311" s="10">
        <f>IFERROR(VLOOKUP(A1311,Flete!$A:$J,10,0),"")</f>
        <v/>
      </c>
      <c r="P1311" s="8" t="inlineStr">
        <is>
          <t>M3</t>
        </is>
      </c>
      <c r="Q1311" s="10">
        <f>IFERROR(IFERROR(VLOOKUP(A1311,TRAOPE!$A:$U,21,0),VLOOKUP(B1311,TRAOPE!$A:$U,21,0)),"")</f>
        <v/>
      </c>
      <c r="R1311" s="8">
        <f>IFERROR(IFERROR(VLOOKUP(A1311,TRAOPE!$A:$W,23,0),VLOOKUP(B1311,TRAOPE!$A:$W,23,0)),"")</f>
        <v/>
      </c>
      <c r="S1311" s="10">
        <f>IF(AND(P1311="TN",R1311="TN"),N1311+N(O1311),IF(G1311&amp;""="1",N(K1311)*N1311,(N1311+N(O1311))*N(K1311)))</f>
        <v/>
      </c>
      <c r="T1311" s="10">
        <f>IF(Q1311="","",Q1311-S1311)</f>
        <v/>
      </c>
    </row>
    <row r="1312">
      <c r="A1312" s="7">
        <f>CONCATENATE(C1312,E1312,F1312,I1312)</f>
        <v/>
      </c>
      <c r="B1312" s="7">
        <f>CONCATENATE(C1312,E1312,I1312)</f>
        <v/>
      </c>
      <c r="C1312" s="8" t="n">
        <v>900003609</v>
      </c>
      <c r="D1312" s="7">
        <f>IFERROR(VLOOKUP(C1312,TRAOPE!$G:$H,2,0),"")</f>
        <v/>
      </c>
      <c r="E1312" s="8" t="inlineStr">
        <is>
          <t>D836</t>
        </is>
      </c>
      <c r="F1312" s="8" t="inlineStr">
        <is>
          <t>67011332</t>
        </is>
      </c>
      <c r="G1312" s="8">
        <f>IFERROR(VLOOKUP(A1312,Flete!$A:$E,5,0),"")</f>
        <v/>
      </c>
      <c r="H1312" s="7">
        <f>IFERROR(VLOOKUP(F1312,TRAOPE!$AA:$AB,2,0),"")</f>
        <v/>
      </c>
      <c r="I1312" s="7" t="n">
        <v>10226561</v>
      </c>
      <c r="J1312" s="7">
        <f>IFERROR(VLOOKUP(I1312,Materiales!$A:$H,8,0),"")</f>
        <v/>
      </c>
      <c r="K1312" s="9">
        <f>IFERROR(VLOOKUP(I1312,Materiales!$A:$G,7,0),"")</f>
        <v/>
      </c>
      <c r="L1312" s="8" t="inlineStr">
        <is>
          <t>20190426</t>
        </is>
      </c>
      <c r="M1312" s="8" t="inlineStr">
        <is>
          <t>20250127</t>
        </is>
      </c>
      <c r="N1312" s="10" t="n">
        <v>145</v>
      </c>
      <c r="O1312" s="10">
        <f>IFERROR(VLOOKUP(A1312,Flete!$A:$J,10,0),"")</f>
        <v/>
      </c>
      <c r="P1312" s="8" t="inlineStr">
        <is>
          <t>M3</t>
        </is>
      </c>
      <c r="Q1312" s="10">
        <f>IFERROR(IFERROR(VLOOKUP(A1312,TRAOPE!$A:$U,21,0),VLOOKUP(B1312,TRAOPE!$A:$U,21,0)),"")</f>
        <v/>
      </c>
      <c r="R1312" s="8">
        <f>IFERROR(IFERROR(VLOOKUP(A1312,TRAOPE!$A:$W,23,0),VLOOKUP(B1312,TRAOPE!$A:$W,23,0)),"")</f>
        <v/>
      </c>
      <c r="S1312" s="10">
        <f>IF(AND(P1312="TN",R1312="TN"),N1312+N(O1312),IF(G1312&amp;""="1",N(K1312)*N1312,(N1312+N(O1312))*N(K1312)))</f>
        <v/>
      </c>
      <c r="T1312" s="10">
        <f>IF(Q1312="","",Q1312-S1312)</f>
        <v/>
      </c>
    </row>
    <row r="1313">
      <c r="A1313" s="7">
        <f>CONCATENATE(C1313,E1313,F1313,I1313)</f>
        <v/>
      </c>
      <c r="B1313" s="7">
        <f>CONCATENATE(C1313,E1313,I1313)</f>
        <v/>
      </c>
      <c r="C1313" s="8" t="n">
        <v>900003609</v>
      </c>
      <c r="D1313" s="7">
        <f>IFERROR(VLOOKUP(C1313,TRAOPE!$G:$H,2,0),"")</f>
        <v/>
      </c>
      <c r="E1313" s="8" t="inlineStr">
        <is>
          <t>D836</t>
        </is>
      </c>
      <c r="F1313" s="8" t="inlineStr">
        <is>
          <t>67016001</t>
        </is>
      </c>
      <c r="G1313" s="8">
        <f>IFERROR(VLOOKUP(A1313,Flete!$A:$E,5,0),"")</f>
        <v/>
      </c>
      <c r="H1313" s="7">
        <f>IFERROR(VLOOKUP(F1313,TRAOPE!$AA:$AB,2,0),"")</f>
        <v/>
      </c>
      <c r="I1313" s="7" t="n">
        <v>10000630</v>
      </c>
      <c r="J1313" s="7">
        <f>IFERROR(VLOOKUP(I1313,Materiales!$A:$H,8,0),"")</f>
        <v/>
      </c>
      <c r="K1313" s="9">
        <f>IFERROR(VLOOKUP(I1313,Materiales!$A:$G,7,0),"")</f>
        <v/>
      </c>
      <c r="L1313" s="8" t="inlineStr">
        <is>
          <t>20190426</t>
        </is>
      </c>
      <c r="M1313" s="8" t="inlineStr">
        <is>
          <t>20250127</t>
        </is>
      </c>
      <c r="N1313" s="10" t="n">
        <v>110.71</v>
      </c>
      <c r="O1313" s="10">
        <f>IFERROR(VLOOKUP(A1313,Flete!$A:$J,10,0),"")</f>
        <v/>
      </c>
      <c r="P1313" s="8" t="inlineStr">
        <is>
          <t>TN</t>
        </is>
      </c>
      <c r="Q1313" s="10">
        <f>IFERROR(IFERROR(VLOOKUP(A1313,TRAOPE!$A:$U,21,0),VLOOKUP(B1313,TRAOPE!$A:$U,21,0)),"")</f>
        <v/>
      </c>
      <c r="R1313" s="8">
        <f>IFERROR(IFERROR(VLOOKUP(A1313,TRAOPE!$A:$W,23,0),VLOOKUP(B1313,TRAOPE!$A:$W,23,0)),"")</f>
        <v/>
      </c>
      <c r="S1313" s="10">
        <f>IF(AND(P1313="TN",R1313="TN"),N1313+N(O1313),IF(G1313&amp;""="1",N(K1313)*N1313,(N1313+N(O1313))*N(K1313)))</f>
        <v/>
      </c>
      <c r="T1313" s="10">
        <f>IF(Q1313="","",Q1313-S1313)</f>
        <v/>
      </c>
    </row>
    <row r="1314">
      <c r="A1314" s="7">
        <f>CONCATENATE(C1314,E1314,F1314,I1314)</f>
        <v/>
      </c>
      <c r="B1314" s="7">
        <f>CONCATENATE(C1314,E1314,I1314)</f>
        <v/>
      </c>
      <c r="C1314" s="8" t="n">
        <v>900003609</v>
      </c>
      <c r="D1314" s="7">
        <f>IFERROR(VLOOKUP(C1314,TRAOPE!$G:$H,2,0),"")</f>
        <v/>
      </c>
      <c r="E1314" s="8" t="inlineStr">
        <is>
          <t>D836</t>
        </is>
      </c>
      <c r="F1314" s="8" t="inlineStr">
        <is>
          <t>67089397</t>
        </is>
      </c>
      <c r="G1314" s="8">
        <f>IFERROR(VLOOKUP(A1314,Flete!$A:$E,5,0),"")</f>
        <v/>
      </c>
      <c r="H1314" s="7">
        <f>IFERROR(VLOOKUP(F1314,TRAOPE!$AA:$AB,2,0),"")</f>
        <v/>
      </c>
      <c r="I1314" s="7" t="n">
        <v>10000811</v>
      </c>
      <c r="J1314" s="7">
        <f>IFERROR(VLOOKUP(I1314,Materiales!$A:$H,8,0),"")</f>
        <v/>
      </c>
      <c r="K1314" s="9">
        <f>IFERROR(VLOOKUP(I1314,Materiales!$A:$G,7,0),"")</f>
        <v/>
      </c>
      <c r="L1314" s="8" t="inlineStr">
        <is>
          <t>20190426</t>
        </is>
      </c>
      <c r="M1314" s="8" t="inlineStr">
        <is>
          <t>20250127</t>
        </is>
      </c>
      <c r="N1314" s="10" t="n">
        <v>162</v>
      </c>
      <c r="O1314" s="10">
        <f>IFERROR(VLOOKUP(A1314,Flete!$A:$J,10,0),"")</f>
        <v/>
      </c>
      <c r="P1314" s="8" t="inlineStr">
        <is>
          <t>M3</t>
        </is>
      </c>
      <c r="Q1314" s="10">
        <f>IFERROR(IFERROR(VLOOKUP(A1314,TRAOPE!$A:$U,21,0),VLOOKUP(B1314,TRAOPE!$A:$U,21,0)),"")</f>
        <v/>
      </c>
      <c r="R1314" s="8">
        <f>IFERROR(IFERROR(VLOOKUP(A1314,TRAOPE!$A:$W,23,0),VLOOKUP(B1314,TRAOPE!$A:$W,23,0)),"")</f>
        <v/>
      </c>
      <c r="S1314" s="10">
        <f>IF(AND(P1314="TN",R1314="TN"),N1314+N(O1314),IF(G1314&amp;""="1",N(K1314)*N1314,(N1314+N(O1314))*N(K1314)))</f>
        <v/>
      </c>
      <c r="T1314" s="10">
        <f>IF(Q1314="","",Q1314-S1314)</f>
        <v/>
      </c>
    </row>
    <row r="1315">
      <c r="A1315" s="7">
        <f>CONCATENATE(C1315,E1315,F1315,I1315)</f>
        <v/>
      </c>
      <c r="B1315" s="7">
        <f>CONCATENATE(C1315,E1315,I1315)</f>
        <v/>
      </c>
      <c r="C1315" s="8" t="n">
        <v>900003609</v>
      </c>
      <c r="D1315" s="7">
        <f>IFERROR(VLOOKUP(C1315,TRAOPE!$G:$H,2,0),"")</f>
        <v/>
      </c>
      <c r="E1315" s="8" t="inlineStr">
        <is>
          <t>D836</t>
        </is>
      </c>
      <c r="F1315" s="8" t="inlineStr">
        <is>
          <t>67213976</t>
        </is>
      </c>
      <c r="G1315" s="8">
        <f>IFERROR(VLOOKUP(A1315,Flete!$A:$E,5,0),"")</f>
        <v/>
      </c>
      <c r="H1315" s="7">
        <f>IFERROR(VLOOKUP(F1315,TRAOPE!$AA:$AB,2,0),"")</f>
        <v/>
      </c>
      <c r="I1315" s="7" t="n">
        <v>10000360</v>
      </c>
      <c r="J1315" s="7">
        <f>IFERROR(VLOOKUP(I1315,Materiales!$A:$H,8,0),"")</f>
        <v/>
      </c>
      <c r="K1315" s="9">
        <f>IFERROR(VLOOKUP(I1315,Materiales!$A:$G,7,0),"")</f>
        <v/>
      </c>
      <c r="L1315" s="8" t="inlineStr">
        <is>
          <t>20190426</t>
        </is>
      </c>
      <c r="M1315" s="8" t="inlineStr">
        <is>
          <t>20250127</t>
        </is>
      </c>
      <c r="N1315" s="10" t="n">
        <v>170</v>
      </c>
      <c r="O1315" s="10">
        <f>IFERROR(VLOOKUP(A1315,Flete!$A:$J,10,0),"")</f>
        <v/>
      </c>
      <c r="P1315" s="8" t="inlineStr">
        <is>
          <t>M3</t>
        </is>
      </c>
      <c r="Q1315" s="10">
        <f>IFERROR(IFERROR(VLOOKUP(A1315,TRAOPE!$A:$U,21,0),VLOOKUP(B1315,TRAOPE!$A:$U,21,0)),"")</f>
        <v/>
      </c>
      <c r="R1315" s="8">
        <f>IFERROR(IFERROR(VLOOKUP(A1315,TRAOPE!$A:$W,23,0),VLOOKUP(B1315,TRAOPE!$A:$W,23,0)),"")</f>
        <v/>
      </c>
      <c r="S1315" s="10">
        <f>IF(AND(P1315="TN",R1315="TN"),N1315+N(O1315),IF(G1315&amp;""="1",N(K1315)*N1315,(N1315+N(O1315))*N(K1315)))</f>
        <v/>
      </c>
      <c r="T1315" s="10">
        <f>IF(Q1315="","",Q1315-S1315)</f>
        <v/>
      </c>
    </row>
    <row r="1316">
      <c r="A1316" s="7">
        <f>CONCATENATE(C1316,E1316,F1316,I1316)</f>
        <v/>
      </c>
      <c r="B1316" s="7">
        <f>CONCATENATE(C1316,E1316,I1316)</f>
        <v/>
      </c>
      <c r="C1316" s="8" t="n">
        <v>900003609</v>
      </c>
      <c r="D1316" s="7">
        <f>IFERROR(VLOOKUP(C1316,TRAOPE!$G:$H,2,0),"")</f>
        <v/>
      </c>
      <c r="E1316" s="8" t="inlineStr">
        <is>
          <t>D836</t>
        </is>
      </c>
      <c r="F1316" s="8" t="inlineStr">
        <is>
          <t>67213976</t>
        </is>
      </c>
      <c r="G1316" s="8">
        <f>IFERROR(VLOOKUP(A1316,Flete!$A:$E,5,0),"")</f>
        <v/>
      </c>
      <c r="H1316" s="7">
        <f>IFERROR(VLOOKUP(F1316,TRAOPE!$AA:$AB,2,0),"")</f>
        <v/>
      </c>
      <c r="I1316" s="7" t="n">
        <v>10000624</v>
      </c>
      <c r="J1316" s="7">
        <f>IFERROR(VLOOKUP(I1316,Materiales!$A:$H,8,0),"")</f>
        <v/>
      </c>
      <c r="K1316" s="9">
        <f>IFERROR(VLOOKUP(I1316,Materiales!$A:$G,7,0),"")</f>
        <v/>
      </c>
      <c r="L1316" s="8" t="inlineStr">
        <is>
          <t>20190426</t>
        </is>
      </c>
      <c r="M1316" s="8" t="inlineStr">
        <is>
          <t>20250127</t>
        </is>
      </c>
      <c r="N1316" s="10" t="n">
        <v>170</v>
      </c>
      <c r="O1316" s="10">
        <f>IFERROR(VLOOKUP(A1316,Flete!$A:$J,10,0),"")</f>
        <v/>
      </c>
      <c r="P1316" s="8" t="inlineStr">
        <is>
          <t>M3</t>
        </is>
      </c>
      <c r="Q1316" s="10">
        <f>IFERROR(IFERROR(VLOOKUP(A1316,TRAOPE!$A:$U,21,0),VLOOKUP(B1316,TRAOPE!$A:$U,21,0)),"")</f>
        <v/>
      </c>
      <c r="R1316" s="8">
        <f>IFERROR(IFERROR(VLOOKUP(A1316,TRAOPE!$A:$W,23,0),VLOOKUP(B1316,TRAOPE!$A:$W,23,0)),"")</f>
        <v/>
      </c>
      <c r="S1316" s="10">
        <f>IF(AND(P1316="TN",R1316="TN"),N1316+N(O1316),IF(G1316&amp;""="1",N(K1316)*N1316,(N1316+N(O1316))*N(K1316)))</f>
        <v/>
      </c>
      <c r="T1316" s="10">
        <f>IF(Q1316="","",Q1316-S1316)</f>
        <v/>
      </c>
    </row>
    <row r="1317">
      <c r="A1317" s="7">
        <f>CONCATENATE(C1317,E1317,F1317,I1317)</f>
        <v/>
      </c>
      <c r="B1317" s="7">
        <f>CONCATENATE(C1317,E1317,I1317)</f>
        <v/>
      </c>
      <c r="C1317" s="8" t="n">
        <v>900003609</v>
      </c>
      <c r="D1317" s="7">
        <f>IFERROR(VLOOKUP(C1317,TRAOPE!$G:$H,2,0),"")</f>
        <v/>
      </c>
      <c r="E1317" s="8" t="inlineStr">
        <is>
          <t>D836</t>
        </is>
      </c>
      <c r="F1317" s="8" t="inlineStr">
        <is>
          <t>67213976</t>
        </is>
      </c>
      <c r="G1317" s="8">
        <f>IFERROR(VLOOKUP(A1317,Flete!$A:$E,5,0),"")</f>
        <v/>
      </c>
      <c r="H1317" s="7">
        <f>IFERROR(VLOOKUP(F1317,TRAOPE!$AA:$AB,2,0),"")</f>
        <v/>
      </c>
      <c r="I1317" s="7" t="n">
        <v>10000630</v>
      </c>
      <c r="J1317" s="7">
        <f>IFERROR(VLOOKUP(I1317,Materiales!$A:$H,8,0),"")</f>
        <v/>
      </c>
      <c r="K1317" s="9">
        <f>IFERROR(VLOOKUP(I1317,Materiales!$A:$G,7,0),"")</f>
        <v/>
      </c>
      <c r="L1317" s="8" t="inlineStr">
        <is>
          <t>20190426</t>
        </is>
      </c>
      <c r="M1317" s="8" t="inlineStr">
        <is>
          <t>20250127</t>
        </is>
      </c>
      <c r="N1317" s="10" t="n">
        <v>170</v>
      </c>
      <c r="O1317" s="10">
        <f>IFERROR(VLOOKUP(A1317,Flete!$A:$J,10,0),"")</f>
        <v/>
      </c>
      <c r="P1317" s="8" t="inlineStr">
        <is>
          <t>M3</t>
        </is>
      </c>
      <c r="Q1317" s="10">
        <f>IFERROR(IFERROR(VLOOKUP(A1317,TRAOPE!$A:$U,21,0),VLOOKUP(B1317,TRAOPE!$A:$U,21,0)),"")</f>
        <v/>
      </c>
      <c r="R1317" s="8">
        <f>IFERROR(IFERROR(VLOOKUP(A1317,TRAOPE!$A:$W,23,0),VLOOKUP(B1317,TRAOPE!$A:$W,23,0)),"")</f>
        <v/>
      </c>
      <c r="S1317" s="10">
        <f>IF(AND(P1317="TN",R1317="TN"),N1317+N(O1317),IF(G1317&amp;""="1",N(K1317)*N1317,(N1317+N(O1317))*N(K1317)))</f>
        <v/>
      </c>
      <c r="T1317" s="10">
        <f>IF(Q1317="","",Q1317-S1317)</f>
        <v/>
      </c>
    </row>
    <row r="1318">
      <c r="A1318" s="7">
        <f>CONCATENATE(C1318,E1318,F1318,I1318)</f>
        <v/>
      </c>
      <c r="B1318" s="7">
        <f>CONCATENATE(C1318,E1318,I1318)</f>
        <v/>
      </c>
      <c r="C1318" s="8" t="n">
        <v>900003613</v>
      </c>
      <c r="D1318" s="7">
        <f>IFERROR(VLOOKUP(C1318,TRAOPE!$G:$H,2,0),"")</f>
        <v/>
      </c>
      <c r="E1318" s="8" t="inlineStr">
        <is>
          <t>D836</t>
        </is>
      </c>
      <c r="F1318" s="8" t="inlineStr">
        <is>
          <t>65002182</t>
        </is>
      </c>
      <c r="G1318" s="8">
        <f>IFERROR(VLOOKUP(A1318,Flete!$A:$E,5,0),"")</f>
        <v/>
      </c>
      <c r="H1318" s="7">
        <f>IFERROR(VLOOKUP(F1318,TRAOPE!$AA:$AB,2,0),"")</f>
        <v/>
      </c>
      <c r="I1318" s="7" t="n">
        <v>10000253</v>
      </c>
      <c r="J1318" s="7">
        <f>IFERROR(VLOOKUP(I1318,Materiales!$A:$H,8,0),"")</f>
        <v/>
      </c>
      <c r="K1318" s="9">
        <f>IFERROR(VLOOKUP(I1318,Materiales!$A:$G,7,0),"")</f>
        <v/>
      </c>
      <c r="L1318" s="8" t="inlineStr">
        <is>
          <t>20190426</t>
        </is>
      </c>
      <c r="M1318" s="8" t="inlineStr">
        <is>
          <t>20250127</t>
        </is>
      </c>
      <c r="N1318" s="10" t="n">
        <v>90</v>
      </c>
      <c r="O1318" s="10">
        <f>IFERROR(VLOOKUP(A1318,Flete!$A:$J,10,0),"")</f>
        <v/>
      </c>
      <c r="P1318" s="8" t="inlineStr">
        <is>
          <t>M3</t>
        </is>
      </c>
      <c r="Q1318" s="10">
        <f>IFERROR(IFERROR(VLOOKUP(A1318,TRAOPE!$A:$U,21,0),VLOOKUP(B1318,TRAOPE!$A:$U,21,0)),"")</f>
        <v/>
      </c>
      <c r="R1318" s="8">
        <f>IFERROR(IFERROR(VLOOKUP(A1318,TRAOPE!$A:$W,23,0),VLOOKUP(B1318,TRAOPE!$A:$W,23,0)),"")</f>
        <v/>
      </c>
      <c r="S1318" s="10">
        <f>IF(AND(P1318="TN",R1318="TN"),N1318+N(O1318),IF(G1318&amp;""="1",N(K1318)*N1318,(N1318+N(O1318))*N(K1318)))</f>
        <v/>
      </c>
      <c r="T1318" s="10">
        <f>IF(Q1318="","",Q1318-S1318)</f>
        <v/>
      </c>
    </row>
    <row r="1319">
      <c r="A1319" s="7">
        <f>CONCATENATE(C1319,E1319,F1319,I1319)</f>
        <v/>
      </c>
      <c r="B1319" s="7">
        <f>CONCATENATE(C1319,E1319,I1319)</f>
        <v/>
      </c>
      <c r="C1319" s="8" t="n">
        <v>900003613</v>
      </c>
      <c r="D1319" s="7">
        <f>IFERROR(VLOOKUP(C1319,TRAOPE!$G:$H,2,0),"")</f>
        <v/>
      </c>
      <c r="E1319" s="8" t="inlineStr">
        <is>
          <t>D836</t>
        </is>
      </c>
      <c r="F1319" s="8" t="inlineStr">
        <is>
          <t>65002182</t>
        </is>
      </c>
      <c r="G1319" s="8">
        <f>IFERROR(VLOOKUP(A1319,Flete!$A:$E,5,0),"")</f>
        <v/>
      </c>
      <c r="H1319" s="7">
        <f>IFERROR(VLOOKUP(F1319,TRAOPE!$AA:$AB,2,0),"")</f>
        <v/>
      </c>
      <c r="I1319" s="7" t="n">
        <v>10059181</v>
      </c>
      <c r="J1319" s="7">
        <f>IFERROR(VLOOKUP(I1319,Materiales!$A:$H,8,0),"")</f>
        <v/>
      </c>
      <c r="K1319" s="9">
        <f>IFERROR(VLOOKUP(I1319,Materiales!$A:$G,7,0),"")</f>
        <v/>
      </c>
      <c r="L1319" s="8" t="inlineStr">
        <is>
          <t>20190426</t>
        </is>
      </c>
      <c r="M1319" s="8" t="inlineStr">
        <is>
          <t>20250127</t>
        </is>
      </c>
      <c r="N1319" s="10" t="n">
        <v>80</v>
      </c>
      <c r="O1319" s="10">
        <f>IFERROR(VLOOKUP(A1319,Flete!$A:$J,10,0),"")</f>
        <v/>
      </c>
      <c r="P1319" s="8" t="inlineStr">
        <is>
          <t>M3</t>
        </is>
      </c>
      <c r="Q1319" s="10">
        <f>IFERROR(IFERROR(VLOOKUP(A1319,TRAOPE!$A:$U,21,0),VLOOKUP(B1319,TRAOPE!$A:$U,21,0)),"")</f>
        <v/>
      </c>
      <c r="R1319" s="8">
        <f>IFERROR(IFERROR(VLOOKUP(A1319,TRAOPE!$A:$W,23,0),VLOOKUP(B1319,TRAOPE!$A:$W,23,0)),"")</f>
        <v/>
      </c>
      <c r="S1319" s="10">
        <f>IF(AND(P1319="TN",R1319="TN"),N1319+N(O1319),IF(G1319&amp;""="1",N(K1319)*N1319,(N1319+N(O1319))*N(K1319)))</f>
        <v/>
      </c>
      <c r="T1319" s="10">
        <f>IF(Q1319="","",Q1319-S1319)</f>
        <v/>
      </c>
    </row>
    <row r="1320">
      <c r="A1320" s="7">
        <f>CONCATENATE(C1320,E1320,F1320,I1320)</f>
        <v/>
      </c>
      <c r="B1320" s="7">
        <f>CONCATENATE(C1320,E1320,I1320)</f>
        <v/>
      </c>
      <c r="C1320" s="8" t="n">
        <v>900003613</v>
      </c>
      <c r="D1320" s="7">
        <f>IFERROR(VLOOKUP(C1320,TRAOPE!$G:$H,2,0),"")</f>
        <v/>
      </c>
      <c r="E1320" s="8" t="inlineStr">
        <is>
          <t>D836</t>
        </is>
      </c>
      <c r="F1320" s="8" t="inlineStr">
        <is>
          <t>65003945</t>
        </is>
      </c>
      <c r="G1320" s="8">
        <f>IFERROR(VLOOKUP(A1320,Flete!$A:$E,5,0),"")</f>
        <v/>
      </c>
      <c r="H1320" s="7">
        <f>IFERROR(VLOOKUP(F1320,TRAOPE!$AA:$AB,2,0),"")</f>
        <v/>
      </c>
      <c r="I1320" s="7" t="n">
        <v>10000253</v>
      </c>
      <c r="J1320" s="7">
        <f>IFERROR(VLOOKUP(I1320,Materiales!$A:$H,8,0),"")</f>
        <v/>
      </c>
      <c r="K1320" s="9">
        <f>IFERROR(VLOOKUP(I1320,Materiales!$A:$G,7,0),"")</f>
        <v/>
      </c>
      <c r="L1320" s="8" t="inlineStr">
        <is>
          <t>20190426</t>
        </is>
      </c>
      <c r="M1320" s="8" t="inlineStr">
        <is>
          <t>20250127</t>
        </is>
      </c>
      <c r="N1320" s="10" t="n">
        <v>95</v>
      </c>
      <c r="O1320" s="10">
        <f>IFERROR(VLOOKUP(A1320,Flete!$A:$J,10,0),"")</f>
        <v/>
      </c>
      <c r="P1320" s="8" t="inlineStr">
        <is>
          <t>M3</t>
        </is>
      </c>
      <c r="Q1320" s="10">
        <f>IFERROR(IFERROR(VLOOKUP(A1320,TRAOPE!$A:$U,21,0),VLOOKUP(B1320,TRAOPE!$A:$U,21,0)),"")</f>
        <v/>
      </c>
      <c r="R1320" s="8">
        <f>IFERROR(IFERROR(VLOOKUP(A1320,TRAOPE!$A:$W,23,0),VLOOKUP(B1320,TRAOPE!$A:$W,23,0)),"")</f>
        <v/>
      </c>
      <c r="S1320" s="10">
        <f>IF(AND(P1320="TN",R1320="TN"),N1320+N(O1320),IF(G1320&amp;""="1",N(K1320)*N1320,(N1320+N(O1320))*N(K1320)))</f>
        <v/>
      </c>
      <c r="T1320" s="10">
        <f>IF(Q1320="","",Q1320-S1320)</f>
        <v/>
      </c>
    </row>
    <row r="1321">
      <c r="A1321" s="7">
        <f>CONCATENATE(C1321,E1321,F1321,I1321)</f>
        <v/>
      </c>
      <c r="B1321" s="7">
        <f>CONCATENATE(C1321,E1321,I1321)</f>
        <v/>
      </c>
      <c r="C1321" s="8" t="n">
        <v>900003613</v>
      </c>
      <c r="D1321" s="7">
        <f>IFERROR(VLOOKUP(C1321,TRAOPE!$G:$H,2,0),"")</f>
        <v/>
      </c>
      <c r="E1321" s="8" t="inlineStr">
        <is>
          <t>D836</t>
        </is>
      </c>
      <c r="F1321" s="8" t="inlineStr">
        <is>
          <t>65003945</t>
        </is>
      </c>
      <c r="G1321" s="8">
        <f>IFERROR(VLOOKUP(A1321,Flete!$A:$E,5,0),"")</f>
        <v/>
      </c>
      <c r="H1321" s="7">
        <f>IFERROR(VLOOKUP(F1321,TRAOPE!$AA:$AB,2,0),"")</f>
        <v/>
      </c>
      <c r="I1321" s="7" t="n">
        <v>10059181</v>
      </c>
      <c r="J1321" s="7">
        <f>IFERROR(VLOOKUP(I1321,Materiales!$A:$H,8,0),"")</f>
        <v/>
      </c>
      <c r="K1321" s="9">
        <f>IFERROR(VLOOKUP(I1321,Materiales!$A:$G,7,0),"")</f>
        <v/>
      </c>
      <c r="L1321" s="8" t="inlineStr">
        <is>
          <t>20190426</t>
        </is>
      </c>
      <c r="M1321" s="8" t="inlineStr">
        <is>
          <t>20250127</t>
        </is>
      </c>
      <c r="N1321" s="10" t="n">
        <v>81</v>
      </c>
      <c r="O1321" s="10">
        <f>IFERROR(VLOOKUP(A1321,Flete!$A:$J,10,0),"")</f>
        <v/>
      </c>
      <c r="P1321" s="8" t="inlineStr">
        <is>
          <t>M3</t>
        </is>
      </c>
      <c r="Q1321" s="10">
        <f>IFERROR(IFERROR(VLOOKUP(A1321,TRAOPE!$A:$U,21,0),VLOOKUP(B1321,TRAOPE!$A:$U,21,0)),"")</f>
        <v/>
      </c>
      <c r="R1321" s="8">
        <f>IFERROR(IFERROR(VLOOKUP(A1321,TRAOPE!$A:$W,23,0),VLOOKUP(B1321,TRAOPE!$A:$W,23,0)),"")</f>
        <v/>
      </c>
      <c r="S1321" s="10">
        <f>IF(AND(P1321="TN",R1321="TN"),N1321+N(O1321),IF(G1321&amp;""="1",N(K1321)*N1321,(N1321+N(O1321))*N(K1321)))</f>
        <v/>
      </c>
      <c r="T1321" s="10">
        <f>IF(Q1321="","",Q1321-S1321)</f>
        <v/>
      </c>
    </row>
    <row r="1322">
      <c r="A1322" s="7">
        <f>CONCATENATE(C1322,E1322,F1322,I1322)</f>
        <v/>
      </c>
      <c r="B1322" s="7">
        <f>CONCATENATE(C1322,E1322,I1322)</f>
        <v/>
      </c>
      <c r="C1322" s="8" t="n">
        <v>900003613</v>
      </c>
      <c r="D1322" s="7">
        <f>IFERROR(VLOOKUP(C1322,TRAOPE!$G:$H,2,0),"")</f>
        <v/>
      </c>
      <c r="E1322" s="8" t="inlineStr">
        <is>
          <t>D836</t>
        </is>
      </c>
      <c r="F1322" s="8" t="inlineStr">
        <is>
          <t>65251399</t>
        </is>
      </c>
      <c r="G1322" s="8">
        <f>IFERROR(VLOOKUP(A1322,Flete!$A:$E,5,0),"")</f>
        <v/>
      </c>
      <c r="H1322" s="7">
        <f>IFERROR(VLOOKUP(F1322,TRAOPE!$AA:$AB,2,0),"")</f>
        <v/>
      </c>
      <c r="I1322" s="7" t="n">
        <v>10059181</v>
      </c>
      <c r="J1322" s="7">
        <f>IFERROR(VLOOKUP(I1322,Materiales!$A:$H,8,0),"")</f>
        <v/>
      </c>
      <c r="K1322" s="9">
        <f>IFERROR(VLOOKUP(I1322,Materiales!$A:$G,7,0),"")</f>
        <v/>
      </c>
      <c r="L1322" s="8" t="inlineStr">
        <is>
          <t>20190426</t>
        </is>
      </c>
      <c r="M1322" s="8" t="inlineStr">
        <is>
          <t>20250127</t>
        </is>
      </c>
      <c r="N1322" s="10" t="n">
        <v>80.65000000000001</v>
      </c>
      <c r="O1322" s="10">
        <f>IFERROR(VLOOKUP(A1322,Flete!$A:$J,10,0),"")</f>
        <v/>
      </c>
      <c r="P1322" s="8" t="inlineStr">
        <is>
          <t>M3</t>
        </is>
      </c>
      <c r="Q1322" s="10">
        <f>IFERROR(IFERROR(VLOOKUP(A1322,TRAOPE!$A:$U,21,0),VLOOKUP(B1322,TRAOPE!$A:$U,21,0)),"")</f>
        <v/>
      </c>
      <c r="R1322" s="8">
        <f>IFERROR(IFERROR(VLOOKUP(A1322,TRAOPE!$A:$W,23,0),VLOOKUP(B1322,TRAOPE!$A:$W,23,0)),"")</f>
        <v/>
      </c>
      <c r="S1322" s="10">
        <f>IF(AND(P1322="TN",R1322="TN"),N1322+N(O1322),IF(G1322&amp;""="1",N(K1322)*N1322,(N1322+N(O1322))*N(K1322)))</f>
        <v/>
      </c>
      <c r="T1322" s="10">
        <f>IF(Q1322="","",Q1322-S1322)</f>
        <v/>
      </c>
    </row>
    <row r="1323">
      <c r="A1323" s="7">
        <f>CONCATENATE(C1323,E1323,F1323,I1323)</f>
        <v/>
      </c>
      <c r="B1323" s="7">
        <f>CONCATENATE(C1323,E1323,I1323)</f>
        <v/>
      </c>
      <c r="C1323" s="8" t="n">
        <v>900003613</v>
      </c>
      <c r="D1323" s="7">
        <f>IFERROR(VLOOKUP(C1323,TRAOPE!$G:$H,2,0),"")</f>
        <v/>
      </c>
      <c r="E1323" s="8" t="inlineStr">
        <is>
          <t>D836</t>
        </is>
      </c>
      <c r="F1323" s="8" t="inlineStr">
        <is>
          <t>65445261</t>
        </is>
      </c>
      <c r="G1323" s="8">
        <f>IFERROR(VLOOKUP(A1323,Flete!$A:$E,5,0),"")</f>
        <v/>
      </c>
      <c r="H1323" s="7">
        <f>IFERROR(VLOOKUP(F1323,TRAOPE!$AA:$AB,2,0),"")</f>
        <v/>
      </c>
      <c r="I1323" s="7" t="n">
        <v>10000253</v>
      </c>
      <c r="J1323" s="7">
        <f>IFERROR(VLOOKUP(I1323,Materiales!$A:$H,8,0),"")</f>
        <v/>
      </c>
      <c r="K1323" s="9">
        <f>IFERROR(VLOOKUP(I1323,Materiales!$A:$G,7,0),"")</f>
        <v/>
      </c>
      <c r="L1323" s="8" t="inlineStr">
        <is>
          <t>20190426</t>
        </is>
      </c>
      <c r="M1323" s="8" t="inlineStr">
        <is>
          <t>20250127</t>
        </is>
      </c>
      <c r="N1323" s="10" t="n">
        <v>78.5</v>
      </c>
      <c r="O1323" s="10">
        <f>IFERROR(VLOOKUP(A1323,Flete!$A:$J,10,0),"")</f>
        <v/>
      </c>
      <c r="P1323" s="8" t="inlineStr">
        <is>
          <t>M3</t>
        </is>
      </c>
      <c r="Q1323" s="10">
        <f>IFERROR(IFERROR(VLOOKUP(A1323,TRAOPE!$A:$U,21,0),VLOOKUP(B1323,TRAOPE!$A:$U,21,0)),"")</f>
        <v/>
      </c>
      <c r="R1323" s="8">
        <f>IFERROR(IFERROR(VLOOKUP(A1323,TRAOPE!$A:$W,23,0),VLOOKUP(B1323,TRAOPE!$A:$W,23,0)),"")</f>
        <v/>
      </c>
      <c r="S1323" s="10">
        <f>IF(AND(P1323="TN",R1323="TN"),N1323+N(O1323),IF(G1323&amp;""="1",N(K1323)*N1323,(N1323+N(O1323))*N(K1323)))</f>
        <v/>
      </c>
      <c r="T1323" s="10">
        <f>IF(Q1323="","",Q1323-S1323)</f>
        <v/>
      </c>
    </row>
    <row r="1324">
      <c r="A1324" s="7">
        <f>CONCATENATE(C1324,E1324,F1324,I1324)</f>
        <v/>
      </c>
      <c r="B1324" s="7">
        <f>CONCATENATE(C1324,E1324,I1324)</f>
        <v/>
      </c>
      <c r="C1324" s="8" t="n">
        <v>900003613</v>
      </c>
      <c r="D1324" s="7">
        <f>IFERROR(VLOOKUP(C1324,TRAOPE!$G:$H,2,0),"")</f>
        <v/>
      </c>
      <c r="E1324" s="8" t="inlineStr">
        <is>
          <t>D836</t>
        </is>
      </c>
      <c r="F1324" s="8" t="inlineStr">
        <is>
          <t>65445261</t>
        </is>
      </c>
      <c r="G1324" s="8">
        <f>IFERROR(VLOOKUP(A1324,Flete!$A:$E,5,0),"")</f>
        <v/>
      </c>
      <c r="H1324" s="7">
        <f>IFERROR(VLOOKUP(F1324,TRAOPE!$AA:$AB,2,0),"")</f>
        <v/>
      </c>
      <c r="I1324" s="7" t="n">
        <v>10000627</v>
      </c>
      <c r="J1324" s="7">
        <f>IFERROR(VLOOKUP(I1324,Materiales!$A:$H,8,0),"")</f>
        <v/>
      </c>
      <c r="K1324" s="9">
        <f>IFERROR(VLOOKUP(I1324,Materiales!$A:$G,7,0),"")</f>
        <v/>
      </c>
      <c r="L1324" s="8" t="inlineStr">
        <is>
          <t>20190426</t>
        </is>
      </c>
      <c r="M1324" s="8" t="inlineStr">
        <is>
          <t>20250127</t>
        </is>
      </c>
      <c r="N1324" s="10" t="n">
        <v>84.09</v>
      </c>
      <c r="O1324" s="10">
        <f>IFERROR(VLOOKUP(A1324,Flete!$A:$J,10,0),"")</f>
        <v/>
      </c>
      <c r="P1324" s="8" t="inlineStr">
        <is>
          <t>M3</t>
        </is>
      </c>
      <c r="Q1324" s="10">
        <f>IFERROR(IFERROR(VLOOKUP(A1324,TRAOPE!$A:$U,21,0),VLOOKUP(B1324,TRAOPE!$A:$U,21,0)),"")</f>
        <v/>
      </c>
      <c r="R1324" s="8">
        <f>IFERROR(IFERROR(VLOOKUP(A1324,TRAOPE!$A:$W,23,0),VLOOKUP(B1324,TRAOPE!$A:$W,23,0)),"")</f>
        <v/>
      </c>
      <c r="S1324" s="10">
        <f>IF(AND(P1324="TN",R1324="TN"),N1324+N(O1324),IF(G1324&amp;""="1",N(K1324)*N1324,(N1324+N(O1324))*N(K1324)))</f>
        <v/>
      </c>
      <c r="T1324" s="10">
        <f>IF(Q1324="","",Q1324-S1324)</f>
        <v/>
      </c>
    </row>
    <row r="1325">
      <c r="A1325" s="7">
        <f>CONCATENATE(C1325,E1325,F1325,I1325)</f>
        <v/>
      </c>
      <c r="B1325" s="7">
        <f>CONCATENATE(C1325,E1325,I1325)</f>
        <v/>
      </c>
      <c r="C1325" s="8" t="n">
        <v>900003613</v>
      </c>
      <c r="D1325" s="7">
        <f>IFERROR(VLOOKUP(C1325,TRAOPE!$G:$H,2,0),"")</f>
        <v/>
      </c>
      <c r="E1325" s="8" t="inlineStr">
        <is>
          <t>D836</t>
        </is>
      </c>
      <c r="F1325" s="8" t="inlineStr">
        <is>
          <t>65445261</t>
        </is>
      </c>
      <c r="G1325" s="8">
        <f>IFERROR(VLOOKUP(A1325,Flete!$A:$E,5,0),"")</f>
        <v/>
      </c>
      <c r="H1325" s="7">
        <f>IFERROR(VLOOKUP(F1325,TRAOPE!$AA:$AB,2,0),"")</f>
        <v/>
      </c>
      <c r="I1325" s="7" t="n">
        <v>10000651</v>
      </c>
      <c r="J1325" s="7">
        <f>IFERROR(VLOOKUP(I1325,Materiales!$A:$H,8,0),"")</f>
        <v/>
      </c>
      <c r="K1325" s="9">
        <f>IFERROR(VLOOKUP(I1325,Materiales!$A:$G,7,0),"")</f>
        <v/>
      </c>
      <c r="L1325" s="8" t="inlineStr">
        <is>
          <t>20190426</t>
        </is>
      </c>
      <c r="M1325" s="8" t="inlineStr">
        <is>
          <t>20250127</t>
        </is>
      </c>
      <c r="N1325" s="10" t="n">
        <v>105</v>
      </c>
      <c r="O1325" s="10">
        <f>IFERROR(VLOOKUP(A1325,Flete!$A:$J,10,0),"")</f>
        <v/>
      </c>
      <c r="P1325" s="8" t="inlineStr">
        <is>
          <t>M3</t>
        </is>
      </c>
      <c r="Q1325" s="10">
        <f>IFERROR(IFERROR(VLOOKUP(A1325,TRAOPE!$A:$U,21,0),VLOOKUP(B1325,TRAOPE!$A:$U,21,0)),"")</f>
        <v/>
      </c>
      <c r="R1325" s="8">
        <f>IFERROR(IFERROR(VLOOKUP(A1325,TRAOPE!$A:$W,23,0),VLOOKUP(B1325,TRAOPE!$A:$W,23,0)),"")</f>
        <v/>
      </c>
      <c r="S1325" s="10">
        <f>IF(AND(P1325="TN",R1325="TN"),N1325+N(O1325),IF(G1325&amp;""="1",N(K1325)*N1325,(N1325+N(O1325))*N(K1325)))</f>
        <v/>
      </c>
      <c r="T1325" s="10">
        <f>IF(Q1325="","",Q1325-S1325)</f>
        <v/>
      </c>
    </row>
    <row r="1326">
      <c r="A1326" s="7">
        <f>CONCATENATE(C1326,E1326,F1326,I1326)</f>
        <v/>
      </c>
      <c r="B1326" s="7">
        <f>CONCATENATE(C1326,E1326,I1326)</f>
        <v/>
      </c>
      <c r="C1326" s="8" t="n">
        <v>900003613</v>
      </c>
      <c r="D1326" s="7">
        <f>IFERROR(VLOOKUP(C1326,TRAOPE!$G:$H,2,0),"")</f>
        <v/>
      </c>
      <c r="E1326" s="8" t="inlineStr">
        <is>
          <t>D836</t>
        </is>
      </c>
      <c r="F1326" s="8" t="inlineStr">
        <is>
          <t>65445261</t>
        </is>
      </c>
      <c r="G1326" s="8">
        <f>IFERROR(VLOOKUP(A1326,Flete!$A:$E,5,0),"")</f>
        <v/>
      </c>
      <c r="H1326" s="7">
        <f>IFERROR(VLOOKUP(F1326,TRAOPE!$AA:$AB,2,0),"")</f>
        <v/>
      </c>
      <c r="I1326" s="7" t="n">
        <v>10059181</v>
      </c>
      <c r="J1326" s="7">
        <f>IFERROR(VLOOKUP(I1326,Materiales!$A:$H,8,0),"")</f>
        <v/>
      </c>
      <c r="K1326" s="9">
        <f>IFERROR(VLOOKUP(I1326,Materiales!$A:$G,7,0),"")</f>
        <v/>
      </c>
      <c r="L1326" s="8" t="inlineStr">
        <is>
          <t>20190426</t>
        </is>
      </c>
      <c r="M1326" s="8" t="inlineStr">
        <is>
          <t>20250127</t>
        </is>
      </c>
      <c r="N1326" s="10" t="n">
        <v>80.59</v>
      </c>
      <c r="O1326" s="10">
        <f>IFERROR(VLOOKUP(A1326,Flete!$A:$J,10,0),"")</f>
        <v/>
      </c>
      <c r="P1326" s="8" t="inlineStr">
        <is>
          <t>M3</t>
        </is>
      </c>
      <c r="Q1326" s="10">
        <f>IFERROR(IFERROR(VLOOKUP(A1326,TRAOPE!$A:$U,21,0),VLOOKUP(B1326,TRAOPE!$A:$U,21,0)),"")</f>
        <v/>
      </c>
      <c r="R1326" s="8">
        <f>IFERROR(IFERROR(VLOOKUP(A1326,TRAOPE!$A:$W,23,0),VLOOKUP(B1326,TRAOPE!$A:$W,23,0)),"")</f>
        <v/>
      </c>
      <c r="S1326" s="10">
        <f>IF(AND(P1326="TN",R1326="TN"),N1326+N(O1326),IF(G1326&amp;""="1",N(K1326)*N1326,(N1326+N(O1326))*N(K1326)))</f>
        <v/>
      </c>
      <c r="T1326" s="10">
        <f>IF(Q1326="","",Q1326-S1326)</f>
        <v/>
      </c>
    </row>
    <row r="1327">
      <c r="A1327" s="7">
        <f>CONCATENATE(C1327,E1327,F1327,I1327)</f>
        <v/>
      </c>
      <c r="B1327" s="7">
        <f>CONCATENATE(C1327,E1327,I1327)</f>
        <v/>
      </c>
      <c r="C1327" s="8" t="n">
        <v>900003613</v>
      </c>
      <c r="D1327" s="7">
        <f>IFERROR(VLOOKUP(C1327,TRAOPE!$G:$H,2,0),"")</f>
        <v/>
      </c>
      <c r="E1327" s="8" t="inlineStr">
        <is>
          <t>D836</t>
        </is>
      </c>
      <c r="F1327" s="8" t="inlineStr">
        <is>
          <t>65751297</t>
        </is>
      </c>
      <c r="G1327" s="8">
        <f>IFERROR(VLOOKUP(A1327,Flete!$A:$E,5,0),"")</f>
        <v/>
      </c>
      <c r="H1327" s="7">
        <f>IFERROR(VLOOKUP(F1327,TRAOPE!$AA:$AB,2,0),"")</f>
        <v/>
      </c>
      <c r="I1327" s="7" t="n">
        <v>10000253</v>
      </c>
      <c r="J1327" s="7">
        <f>IFERROR(VLOOKUP(I1327,Materiales!$A:$H,8,0),"")</f>
        <v/>
      </c>
      <c r="K1327" s="9">
        <f>IFERROR(VLOOKUP(I1327,Materiales!$A:$G,7,0),"")</f>
        <v/>
      </c>
      <c r="L1327" s="8" t="inlineStr">
        <is>
          <t>20190426</t>
        </is>
      </c>
      <c r="M1327" s="8" t="inlineStr">
        <is>
          <t>20250127</t>
        </is>
      </c>
      <c r="N1327" s="10" t="n">
        <v>75.92</v>
      </c>
      <c r="O1327" s="10">
        <f>IFERROR(VLOOKUP(A1327,Flete!$A:$J,10,0),"")</f>
        <v/>
      </c>
      <c r="P1327" s="8" t="inlineStr">
        <is>
          <t>M3</t>
        </is>
      </c>
      <c r="Q1327" s="10">
        <f>IFERROR(IFERROR(VLOOKUP(A1327,TRAOPE!$A:$U,21,0),VLOOKUP(B1327,TRAOPE!$A:$U,21,0)),"")</f>
        <v/>
      </c>
      <c r="R1327" s="8">
        <f>IFERROR(IFERROR(VLOOKUP(A1327,TRAOPE!$A:$W,23,0),VLOOKUP(B1327,TRAOPE!$A:$W,23,0)),"")</f>
        <v/>
      </c>
      <c r="S1327" s="10">
        <f>IF(AND(P1327="TN",R1327="TN"),N1327+N(O1327),IF(G1327&amp;""="1",N(K1327)*N1327,(N1327+N(O1327))*N(K1327)))</f>
        <v/>
      </c>
      <c r="T1327" s="10">
        <f>IF(Q1327="","",Q1327-S1327)</f>
        <v/>
      </c>
    </row>
    <row r="1328">
      <c r="A1328" s="7">
        <f>CONCATENATE(C1328,E1328,F1328,I1328)</f>
        <v/>
      </c>
      <c r="B1328" s="7">
        <f>CONCATENATE(C1328,E1328,I1328)</f>
        <v/>
      </c>
      <c r="C1328" s="8" t="n">
        <v>900003613</v>
      </c>
      <c r="D1328" s="7">
        <f>IFERROR(VLOOKUP(C1328,TRAOPE!$G:$H,2,0),"")</f>
        <v/>
      </c>
      <c r="E1328" s="8" t="inlineStr">
        <is>
          <t>D836</t>
        </is>
      </c>
      <c r="F1328" s="8" t="inlineStr">
        <is>
          <t>65751297</t>
        </is>
      </c>
      <c r="G1328" s="8">
        <f>IFERROR(VLOOKUP(A1328,Flete!$A:$E,5,0),"")</f>
        <v/>
      </c>
      <c r="H1328" s="7">
        <f>IFERROR(VLOOKUP(F1328,TRAOPE!$AA:$AB,2,0),"")</f>
        <v/>
      </c>
      <c r="I1328" s="7" t="n">
        <v>10059181</v>
      </c>
      <c r="J1328" s="7">
        <f>IFERROR(VLOOKUP(I1328,Materiales!$A:$H,8,0),"")</f>
        <v/>
      </c>
      <c r="K1328" s="9">
        <f>IFERROR(VLOOKUP(I1328,Materiales!$A:$G,7,0),"")</f>
        <v/>
      </c>
      <c r="L1328" s="8" t="inlineStr">
        <is>
          <t>20190426</t>
        </is>
      </c>
      <c r="M1328" s="8" t="inlineStr">
        <is>
          <t>20250127</t>
        </is>
      </c>
      <c r="N1328" s="10" t="n">
        <v>77.38</v>
      </c>
      <c r="O1328" s="10">
        <f>IFERROR(VLOOKUP(A1328,Flete!$A:$J,10,0),"")</f>
        <v/>
      </c>
      <c r="P1328" s="8" t="inlineStr">
        <is>
          <t>M3</t>
        </is>
      </c>
      <c r="Q1328" s="10">
        <f>IFERROR(IFERROR(VLOOKUP(A1328,TRAOPE!$A:$U,21,0),VLOOKUP(B1328,TRAOPE!$A:$U,21,0)),"")</f>
        <v/>
      </c>
      <c r="R1328" s="8">
        <f>IFERROR(IFERROR(VLOOKUP(A1328,TRAOPE!$A:$W,23,0),VLOOKUP(B1328,TRAOPE!$A:$W,23,0)),"")</f>
        <v/>
      </c>
      <c r="S1328" s="10">
        <f>IF(AND(P1328="TN",R1328="TN"),N1328+N(O1328),IF(G1328&amp;""="1",N(K1328)*N1328,(N1328+N(O1328))*N(K1328)))</f>
        <v/>
      </c>
      <c r="T1328" s="10">
        <f>IF(Q1328="","",Q1328-S1328)</f>
        <v/>
      </c>
    </row>
    <row r="1329">
      <c r="A1329" s="7">
        <f>CONCATENATE(C1329,E1329,F1329,I1329)</f>
        <v/>
      </c>
      <c r="B1329" s="7">
        <f>CONCATENATE(C1329,E1329,I1329)</f>
        <v/>
      </c>
      <c r="C1329" s="8" t="n">
        <v>900003613</v>
      </c>
      <c r="D1329" s="7">
        <f>IFERROR(VLOOKUP(C1329,TRAOPE!$G:$H,2,0),"")</f>
        <v/>
      </c>
      <c r="E1329" s="8" t="inlineStr">
        <is>
          <t>D836</t>
        </is>
      </c>
      <c r="F1329" s="8" t="inlineStr">
        <is>
          <t>65909241</t>
        </is>
      </c>
      <c r="G1329" s="8">
        <f>IFERROR(VLOOKUP(A1329,Flete!$A:$E,5,0),"")</f>
        <v/>
      </c>
      <c r="H1329" s="7">
        <f>IFERROR(VLOOKUP(F1329,TRAOPE!$AA:$AB,2,0),"")</f>
        <v/>
      </c>
      <c r="I1329" s="7" t="n">
        <v>10139280</v>
      </c>
      <c r="J1329" s="7">
        <f>IFERROR(VLOOKUP(I1329,Materiales!$A:$H,8,0),"")</f>
        <v/>
      </c>
      <c r="K1329" s="9">
        <f>IFERROR(VLOOKUP(I1329,Materiales!$A:$G,7,0),"")</f>
        <v/>
      </c>
      <c r="L1329" s="8" t="inlineStr">
        <is>
          <t>20190426</t>
        </is>
      </c>
      <c r="M1329" s="8" t="inlineStr">
        <is>
          <t>20250127</t>
        </is>
      </c>
      <c r="N1329" s="10" t="n">
        <v>55</v>
      </c>
      <c r="O1329" s="10">
        <f>IFERROR(VLOOKUP(A1329,Flete!$A:$J,10,0),"")</f>
        <v/>
      </c>
      <c r="P1329" s="8" t="inlineStr">
        <is>
          <t>M3</t>
        </is>
      </c>
      <c r="Q1329" s="10">
        <f>IFERROR(IFERROR(VLOOKUP(A1329,TRAOPE!$A:$U,21,0),VLOOKUP(B1329,TRAOPE!$A:$U,21,0)),"")</f>
        <v/>
      </c>
      <c r="R1329" s="8">
        <f>IFERROR(IFERROR(VLOOKUP(A1329,TRAOPE!$A:$W,23,0),VLOOKUP(B1329,TRAOPE!$A:$W,23,0)),"")</f>
        <v/>
      </c>
      <c r="S1329" s="10">
        <f>IF(AND(P1329="TN",R1329="TN"),N1329+N(O1329),IF(G1329&amp;""="1",N(K1329)*N1329,(N1329+N(O1329))*N(K1329)))</f>
        <v/>
      </c>
      <c r="T1329" s="10">
        <f>IF(Q1329="","",Q1329-S1329)</f>
        <v/>
      </c>
    </row>
    <row r="1330">
      <c r="A1330" s="7">
        <f>CONCATENATE(C1330,E1330,F1330,I1330)</f>
        <v/>
      </c>
      <c r="B1330" s="7">
        <f>CONCATENATE(C1330,E1330,I1330)</f>
        <v/>
      </c>
      <c r="C1330" s="8" t="n">
        <v>900003613</v>
      </c>
      <c r="D1330" s="7">
        <f>IFERROR(VLOOKUP(C1330,TRAOPE!$G:$H,2,0),"")</f>
        <v/>
      </c>
      <c r="E1330" s="8" t="inlineStr">
        <is>
          <t>D836</t>
        </is>
      </c>
      <c r="F1330" s="8" t="inlineStr">
        <is>
          <t>66212637</t>
        </is>
      </c>
      <c r="G1330" s="8">
        <f>IFERROR(VLOOKUP(A1330,Flete!$A:$E,5,0),"")</f>
        <v/>
      </c>
      <c r="H1330" s="7">
        <f>IFERROR(VLOOKUP(F1330,TRAOPE!$AA:$AB,2,0),"")</f>
        <v/>
      </c>
      <c r="I1330" s="7" t="n">
        <v>10000651</v>
      </c>
      <c r="J1330" s="7">
        <f>IFERROR(VLOOKUP(I1330,Materiales!$A:$H,8,0),"")</f>
        <v/>
      </c>
      <c r="K1330" s="9">
        <f>IFERROR(VLOOKUP(I1330,Materiales!$A:$G,7,0),"")</f>
        <v/>
      </c>
      <c r="L1330" s="8" t="inlineStr">
        <is>
          <t>20190426</t>
        </is>
      </c>
      <c r="M1330" s="8" t="inlineStr">
        <is>
          <t>20250127</t>
        </is>
      </c>
      <c r="N1330" s="10" t="n">
        <v>115</v>
      </c>
      <c r="O1330" s="10">
        <f>IFERROR(VLOOKUP(A1330,Flete!$A:$J,10,0),"")</f>
        <v/>
      </c>
      <c r="P1330" s="8" t="inlineStr">
        <is>
          <t>M3</t>
        </is>
      </c>
      <c r="Q1330" s="10">
        <f>IFERROR(IFERROR(VLOOKUP(A1330,TRAOPE!$A:$U,21,0),VLOOKUP(B1330,TRAOPE!$A:$U,21,0)),"")</f>
        <v/>
      </c>
      <c r="R1330" s="8">
        <f>IFERROR(IFERROR(VLOOKUP(A1330,TRAOPE!$A:$W,23,0),VLOOKUP(B1330,TRAOPE!$A:$W,23,0)),"")</f>
        <v/>
      </c>
      <c r="S1330" s="10">
        <f>IF(AND(P1330="TN",R1330="TN"),N1330+N(O1330),IF(G1330&amp;""="1",N(K1330)*N1330,(N1330+N(O1330))*N(K1330)))</f>
        <v/>
      </c>
      <c r="T1330" s="10">
        <f>IF(Q1330="","",Q1330-S1330)</f>
        <v/>
      </c>
    </row>
    <row r="1331">
      <c r="A1331" s="7">
        <f>CONCATENATE(C1331,E1331,F1331,I1331)</f>
        <v/>
      </c>
      <c r="B1331" s="7">
        <f>CONCATENATE(C1331,E1331,I1331)</f>
        <v/>
      </c>
      <c r="C1331" s="8" t="n">
        <v>900003613</v>
      </c>
      <c r="D1331" s="7">
        <f>IFERROR(VLOOKUP(C1331,TRAOPE!$G:$H,2,0),"")</f>
        <v/>
      </c>
      <c r="E1331" s="8" t="inlineStr">
        <is>
          <t>D836</t>
        </is>
      </c>
      <c r="F1331" s="8" t="inlineStr">
        <is>
          <t>66233244</t>
        </is>
      </c>
      <c r="G1331" s="8">
        <f>IFERROR(VLOOKUP(A1331,Flete!$A:$E,5,0),"")</f>
        <v/>
      </c>
      <c r="H1331" s="7">
        <f>IFERROR(VLOOKUP(F1331,TRAOPE!$AA:$AB,2,0),"")</f>
        <v/>
      </c>
      <c r="I1331" s="7" t="n">
        <v>10000160</v>
      </c>
      <c r="J1331" s="7">
        <f>IFERROR(VLOOKUP(I1331,Materiales!$A:$H,8,0),"")</f>
        <v/>
      </c>
      <c r="K1331" s="9">
        <f>IFERROR(VLOOKUP(I1331,Materiales!$A:$G,7,0),"")</f>
        <v/>
      </c>
      <c r="L1331" s="8" t="inlineStr">
        <is>
          <t>20190426</t>
        </is>
      </c>
      <c r="M1331" s="8" t="inlineStr">
        <is>
          <t>20250127</t>
        </is>
      </c>
      <c r="N1331" s="10" t="n">
        <v>75</v>
      </c>
      <c r="O1331" s="10">
        <f>IFERROR(VLOOKUP(A1331,Flete!$A:$J,10,0),"")</f>
        <v/>
      </c>
      <c r="P1331" s="8" t="inlineStr">
        <is>
          <t>M3</t>
        </is>
      </c>
      <c r="Q1331" s="10">
        <f>IFERROR(IFERROR(VLOOKUP(A1331,TRAOPE!$A:$U,21,0),VLOOKUP(B1331,TRAOPE!$A:$U,21,0)),"")</f>
        <v/>
      </c>
      <c r="R1331" s="8">
        <f>IFERROR(IFERROR(VLOOKUP(A1331,TRAOPE!$A:$W,23,0),VLOOKUP(B1331,TRAOPE!$A:$W,23,0)),"")</f>
        <v/>
      </c>
      <c r="S1331" s="10">
        <f>IF(AND(P1331="TN",R1331="TN"),N1331+N(O1331),IF(G1331&amp;""="1",N(K1331)*N1331,(N1331+N(O1331))*N(K1331)))</f>
        <v/>
      </c>
      <c r="T1331" s="10">
        <f>IF(Q1331="","",Q1331-S1331)</f>
        <v/>
      </c>
    </row>
    <row r="1332">
      <c r="A1332" s="7">
        <f>CONCATENATE(C1332,E1332,F1332,I1332)</f>
        <v/>
      </c>
      <c r="B1332" s="7">
        <f>CONCATENATE(C1332,E1332,I1332)</f>
        <v/>
      </c>
      <c r="C1332" s="8" t="n">
        <v>900003613</v>
      </c>
      <c r="D1332" s="7">
        <f>IFERROR(VLOOKUP(C1332,TRAOPE!$G:$H,2,0),"")</f>
        <v/>
      </c>
      <c r="E1332" s="8" t="inlineStr">
        <is>
          <t>D836</t>
        </is>
      </c>
      <c r="F1332" s="8" t="inlineStr">
        <is>
          <t>66233244</t>
        </is>
      </c>
      <c r="G1332" s="8">
        <f>IFERROR(VLOOKUP(A1332,Flete!$A:$E,5,0),"")</f>
        <v/>
      </c>
      <c r="H1332" s="7">
        <f>IFERROR(VLOOKUP(F1332,TRAOPE!$AA:$AB,2,0),"")</f>
        <v/>
      </c>
      <c r="I1332" s="7" t="n">
        <v>10000253</v>
      </c>
      <c r="J1332" s="7">
        <f>IFERROR(VLOOKUP(I1332,Materiales!$A:$H,8,0),"")</f>
        <v/>
      </c>
      <c r="K1332" s="9">
        <f>IFERROR(VLOOKUP(I1332,Materiales!$A:$G,7,0),"")</f>
        <v/>
      </c>
      <c r="L1332" s="8" t="inlineStr">
        <is>
          <t>20190426</t>
        </is>
      </c>
      <c r="M1332" s="8" t="inlineStr">
        <is>
          <t>20250127</t>
        </is>
      </c>
      <c r="N1332" s="10" t="n">
        <v>84</v>
      </c>
      <c r="O1332" s="10">
        <f>IFERROR(VLOOKUP(A1332,Flete!$A:$J,10,0),"")</f>
        <v/>
      </c>
      <c r="P1332" s="8" t="inlineStr">
        <is>
          <t>M3</t>
        </is>
      </c>
      <c r="Q1332" s="10">
        <f>IFERROR(IFERROR(VLOOKUP(A1332,TRAOPE!$A:$U,21,0),VLOOKUP(B1332,TRAOPE!$A:$U,21,0)),"")</f>
        <v/>
      </c>
      <c r="R1332" s="8">
        <f>IFERROR(IFERROR(VLOOKUP(A1332,TRAOPE!$A:$W,23,0),VLOOKUP(B1332,TRAOPE!$A:$W,23,0)),"")</f>
        <v/>
      </c>
      <c r="S1332" s="10">
        <f>IF(AND(P1332="TN",R1332="TN"),N1332+N(O1332),IF(G1332&amp;""="1",N(K1332)*N1332,(N1332+N(O1332))*N(K1332)))</f>
        <v/>
      </c>
      <c r="T1332" s="10">
        <f>IF(Q1332="","",Q1332-S1332)</f>
        <v/>
      </c>
    </row>
    <row r="1333">
      <c r="A1333" s="7">
        <f>CONCATENATE(C1333,E1333,F1333,I1333)</f>
        <v/>
      </c>
      <c r="B1333" s="7">
        <f>CONCATENATE(C1333,E1333,I1333)</f>
        <v/>
      </c>
      <c r="C1333" s="8" t="n">
        <v>900003613</v>
      </c>
      <c r="D1333" s="7">
        <f>IFERROR(VLOOKUP(C1333,TRAOPE!$G:$H,2,0),"")</f>
        <v/>
      </c>
      <c r="E1333" s="8" t="inlineStr">
        <is>
          <t>D836</t>
        </is>
      </c>
      <c r="F1333" s="8" t="inlineStr">
        <is>
          <t>66233244</t>
        </is>
      </c>
      <c r="G1333" s="8">
        <f>IFERROR(VLOOKUP(A1333,Flete!$A:$E,5,0),"")</f>
        <v/>
      </c>
      <c r="H1333" s="7">
        <f>IFERROR(VLOOKUP(F1333,TRAOPE!$AA:$AB,2,0),"")</f>
        <v/>
      </c>
      <c r="I1333" s="7" t="n">
        <v>10059181</v>
      </c>
      <c r="J1333" s="7">
        <f>IFERROR(VLOOKUP(I1333,Materiales!$A:$H,8,0),"")</f>
        <v/>
      </c>
      <c r="K1333" s="9">
        <f>IFERROR(VLOOKUP(I1333,Materiales!$A:$G,7,0),"")</f>
        <v/>
      </c>
      <c r="L1333" s="8" t="inlineStr">
        <is>
          <t>20190426</t>
        </is>
      </c>
      <c r="M1333" s="8" t="inlineStr">
        <is>
          <t>20250127</t>
        </is>
      </c>
      <c r="N1333" s="10" t="n">
        <v>75</v>
      </c>
      <c r="O1333" s="10">
        <f>IFERROR(VLOOKUP(A1333,Flete!$A:$J,10,0),"")</f>
        <v/>
      </c>
      <c r="P1333" s="8" t="inlineStr">
        <is>
          <t>M3</t>
        </is>
      </c>
      <c r="Q1333" s="10">
        <f>IFERROR(IFERROR(VLOOKUP(A1333,TRAOPE!$A:$U,21,0),VLOOKUP(B1333,TRAOPE!$A:$U,21,0)),"")</f>
        <v/>
      </c>
      <c r="R1333" s="8">
        <f>IFERROR(IFERROR(VLOOKUP(A1333,TRAOPE!$A:$W,23,0),VLOOKUP(B1333,TRAOPE!$A:$W,23,0)),"")</f>
        <v/>
      </c>
      <c r="S1333" s="10">
        <f>IF(AND(P1333="TN",R1333="TN"),N1333+N(O1333),IF(G1333&amp;""="1",N(K1333)*N1333,(N1333+N(O1333))*N(K1333)))</f>
        <v/>
      </c>
      <c r="T1333" s="10">
        <f>IF(Q1333="","",Q1333-S1333)</f>
        <v/>
      </c>
    </row>
    <row r="1334">
      <c r="A1334" s="7">
        <f>CONCATENATE(C1334,E1334,F1334,I1334)</f>
        <v/>
      </c>
      <c r="B1334" s="7">
        <f>CONCATENATE(C1334,E1334,I1334)</f>
        <v/>
      </c>
      <c r="C1334" s="8" t="n">
        <v>900003613</v>
      </c>
      <c r="D1334" s="7">
        <f>IFERROR(VLOOKUP(C1334,TRAOPE!$G:$H,2,0),"")</f>
        <v/>
      </c>
      <c r="E1334" s="8" t="inlineStr">
        <is>
          <t>D836</t>
        </is>
      </c>
      <c r="F1334" s="8" t="inlineStr">
        <is>
          <t>66239560</t>
        </is>
      </c>
      <c r="G1334" s="8">
        <f>IFERROR(VLOOKUP(A1334,Flete!$A:$E,5,0),"")</f>
        <v/>
      </c>
      <c r="H1334" s="7">
        <f>IFERROR(VLOOKUP(F1334,TRAOPE!$AA:$AB,2,0),"")</f>
        <v/>
      </c>
      <c r="I1334" s="7" t="n">
        <v>10000253</v>
      </c>
      <c r="J1334" s="7">
        <f>IFERROR(VLOOKUP(I1334,Materiales!$A:$H,8,0),"")</f>
        <v/>
      </c>
      <c r="K1334" s="9">
        <f>IFERROR(VLOOKUP(I1334,Materiales!$A:$G,7,0),"")</f>
        <v/>
      </c>
      <c r="L1334" s="8" t="inlineStr">
        <is>
          <t>20190426</t>
        </is>
      </c>
      <c r="M1334" s="8" t="inlineStr">
        <is>
          <t>20250127</t>
        </is>
      </c>
      <c r="N1334" s="10" t="n">
        <v>79</v>
      </c>
      <c r="O1334" s="10">
        <f>IFERROR(VLOOKUP(A1334,Flete!$A:$J,10,0),"")</f>
        <v/>
      </c>
      <c r="P1334" s="8" t="inlineStr">
        <is>
          <t>M3</t>
        </is>
      </c>
      <c r="Q1334" s="10">
        <f>IFERROR(IFERROR(VLOOKUP(A1334,TRAOPE!$A:$U,21,0),VLOOKUP(B1334,TRAOPE!$A:$U,21,0)),"")</f>
        <v/>
      </c>
      <c r="R1334" s="8">
        <f>IFERROR(IFERROR(VLOOKUP(A1334,TRAOPE!$A:$W,23,0),VLOOKUP(B1334,TRAOPE!$A:$W,23,0)),"")</f>
        <v/>
      </c>
      <c r="S1334" s="10">
        <f>IF(AND(P1334="TN",R1334="TN"),N1334+N(O1334),IF(G1334&amp;""="1",N(K1334)*N1334,(N1334+N(O1334))*N(K1334)))</f>
        <v/>
      </c>
      <c r="T1334" s="10">
        <f>IF(Q1334="","",Q1334-S1334)</f>
        <v/>
      </c>
    </row>
    <row r="1335">
      <c r="A1335" s="7">
        <f>CONCATENATE(C1335,E1335,F1335,I1335)</f>
        <v/>
      </c>
      <c r="B1335" s="7">
        <f>CONCATENATE(C1335,E1335,I1335)</f>
        <v/>
      </c>
      <c r="C1335" s="8" t="n">
        <v>900003613</v>
      </c>
      <c r="D1335" s="7">
        <f>IFERROR(VLOOKUP(C1335,TRAOPE!$G:$H,2,0),"")</f>
        <v/>
      </c>
      <c r="E1335" s="8" t="inlineStr">
        <is>
          <t>D836</t>
        </is>
      </c>
      <c r="F1335" s="8" t="inlineStr">
        <is>
          <t>66239560</t>
        </is>
      </c>
      <c r="G1335" s="8">
        <f>IFERROR(VLOOKUP(A1335,Flete!$A:$E,5,0),"")</f>
        <v/>
      </c>
      <c r="H1335" s="7">
        <f>IFERROR(VLOOKUP(F1335,TRAOPE!$AA:$AB,2,0),"")</f>
        <v/>
      </c>
      <c r="I1335" s="7" t="n">
        <v>10000627</v>
      </c>
      <c r="J1335" s="7">
        <f>IFERROR(VLOOKUP(I1335,Materiales!$A:$H,8,0),"")</f>
        <v/>
      </c>
      <c r="K1335" s="9">
        <f>IFERROR(VLOOKUP(I1335,Materiales!$A:$G,7,0),"")</f>
        <v/>
      </c>
      <c r="L1335" s="8" t="inlineStr">
        <is>
          <t>20190426</t>
        </is>
      </c>
      <c r="M1335" s="8" t="inlineStr">
        <is>
          <t>20250127</t>
        </is>
      </c>
      <c r="N1335" s="10" t="n">
        <v>76</v>
      </c>
      <c r="O1335" s="10">
        <f>IFERROR(VLOOKUP(A1335,Flete!$A:$J,10,0),"")</f>
        <v/>
      </c>
      <c r="P1335" s="8" t="inlineStr">
        <is>
          <t>M3</t>
        </is>
      </c>
      <c r="Q1335" s="10">
        <f>IFERROR(IFERROR(VLOOKUP(A1335,TRAOPE!$A:$U,21,0),VLOOKUP(B1335,TRAOPE!$A:$U,21,0)),"")</f>
        <v/>
      </c>
      <c r="R1335" s="8">
        <f>IFERROR(IFERROR(VLOOKUP(A1335,TRAOPE!$A:$W,23,0),VLOOKUP(B1335,TRAOPE!$A:$W,23,0)),"")</f>
        <v/>
      </c>
      <c r="S1335" s="10">
        <f>IF(AND(P1335="TN",R1335="TN"),N1335+N(O1335),IF(G1335&amp;""="1",N(K1335)*N1335,(N1335+N(O1335))*N(K1335)))</f>
        <v/>
      </c>
      <c r="T1335" s="10">
        <f>IF(Q1335="","",Q1335-S1335)</f>
        <v/>
      </c>
    </row>
    <row r="1336">
      <c r="A1336" s="7">
        <f>CONCATENATE(C1336,E1336,F1336,I1336)</f>
        <v/>
      </c>
      <c r="B1336" s="7">
        <f>CONCATENATE(C1336,E1336,I1336)</f>
        <v/>
      </c>
      <c r="C1336" s="8" t="n">
        <v>900003613</v>
      </c>
      <c r="D1336" s="7">
        <f>IFERROR(VLOOKUP(C1336,TRAOPE!$G:$H,2,0),"")</f>
        <v/>
      </c>
      <c r="E1336" s="8" t="inlineStr">
        <is>
          <t>D836</t>
        </is>
      </c>
      <c r="F1336" s="8" t="inlineStr">
        <is>
          <t>66239560</t>
        </is>
      </c>
      <c r="G1336" s="8">
        <f>IFERROR(VLOOKUP(A1336,Flete!$A:$E,5,0),"")</f>
        <v/>
      </c>
      <c r="H1336" s="7">
        <f>IFERROR(VLOOKUP(F1336,TRAOPE!$AA:$AB,2,0),"")</f>
        <v/>
      </c>
      <c r="I1336" s="7" t="n">
        <v>10059181</v>
      </c>
      <c r="J1336" s="7">
        <f>IFERROR(VLOOKUP(I1336,Materiales!$A:$H,8,0),"")</f>
        <v/>
      </c>
      <c r="K1336" s="9">
        <f>IFERROR(VLOOKUP(I1336,Materiales!$A:$G,7,0),"")</f>
        <v/>
      </c>
      <c r="L1336" s="8" t="inlineStr">
        <is>
          <t>20190426</t>
        </is>
      </c>
      <c r="M1336" s="8" t="inlineStr">
        <is>
          <t>20250127</t>
        </is>
      </c>
      <c r="N1336" s="10" t="n">
        <v>74</v>
      </c>
      <c r="O1336" s="10">
        <f>IFERROR(VLOOKUP(A1336,Flete!$A:$J,10,0),"")</f>
        <v/>
      </c>
      <c r="P1336" s="8" t="inlineStr">
        <is>
          <t>M3</t>
        </is>
      </c>
      <c r="Q1336" s="10">
        <f>IFERROR(IFERROR(VLOOKUP(A1336,TRAOPE!$A:$U,21,0),VLOOKUP(B1336,TRAOPE!$A:$U,21,0)),"")</f>
        <v/>
      </c>
      <c r="R1336" s="8">
        <f>IFERROR(IFERROR(VLOOKUP(A1336,TRAOPE!$A:$W,23,0),VLOOKUP(B1336,TRAOPE!$A:$W,23,0)),"")</f>
        <v/>
      </c>
      <c r="S1336" s="10">
        <f>IF(AND(P1336="TN",R1336="TN"),N1336+N(O1336),IF(G1336&amp;""="1",N(K1336)*N1336,(N1336+N(O1336))*N(K1336)))</f>
        <v/>
      </c>
      <c r="T1336" s="10">
        <f>IF(Q1336="","",Q1336-S1336)</f>
        <v/>
      </c>
    </row>
    <row r="1337">
      <c r="A1337" s="7">
        <f>CONCATENATE(C1337,E1337,F1337,I1337)</f>
        <v/>
      </c>
      <c r="B1337" s="7">
        <f>CONCATENATE(C1337,E1337,I1337)</f>
        <v/>
      </c>
      <c r="C1337" s="8" t="n">
        <v>900003613</v>
      </c>
      <c r="D1337" s="7">
        <f>IFERROR(VLOOKUP(C1337,TRAOPE!$G:$H,2,0),"")</f>
        <v/>
      </c>
      <c r="E1337" s="8" t="inlineStr">
        <is>
          <t>D836</t>
        </is>
      </c>
      <c r="F1337" s="8" t="inlineStr">
        <is>
          <t>66239561</t>
        </is>
      </c>
      <c r="G1337" s="8">
        <f>IFERROR(VLOOKUP(A1337,Flete!$A:$E,5,0),"")</f>
        <v/>
      </c>
      <c r="H1337" s="7">
        <f>IFERROR(VLOOKUP(F1337,TRAOPE!$AA:$AB,2,0),"")</f>
        <v/>
      </c>
      <c r="I1337" s="7" t="n">
        <v>10000253</v>
      </c>
      <c r="J1337" s="7">
        <f>IFERROR(VLOOKUP(I1337,Materiales!$A:$H,8,0),"")</f>
        <v/>
      </c>
      <c r="K1337" s="9">
        <f>IFERROR(VLOOKUP(I1337,Materiales!$A:$G,7,0),"")</f>
        <v/>
      </c>
      <c r="L1337" s="8" t="inlineStr">
        <is>
          <t>20190426</t>
        </is>
      </c>
      <c r="M1337" s="8" t="inlineStr">
        <is>
          <t>20250127</t>
        </is>
      </c>
      <c r="N1337" s="10" t="n">
        <v>79</v>
      </c>
      <c r="O1337" s="10">
        <f>IFERROR(VLOOKUP(A1337,Flete!$A:$J,10,0),"")</f>
        <v/>
      </c>
      <c r="P1337" s="8" t="inlineStr">
        <is>
          <t>M3</t>
        </is>
      </c>
      <c r="Q1337" s="10">
        <f>IFERROR(IFERROR(VLOOKUP(A1337,TRAOPE!$A:$U,21,0),VLOOKUP(B1337,TRAOPE!$A:$U,21,0)),"")</f>
        <v/>
      </c>
      <c r="R1337" s="8">
        <f>IFERROR(IFERROR(VLOOKUP(A1337,TRAOPE!$A:$W,23,0),VLOOKUP(B1337,TRAOPE!$A:$W,23,0)),"")</f>
        <v/>
      </c>
      <c r="S1337" s="10">
        <f>IF(AND(P1337="TN",R1337="TN"),N1337+N(O1337),IF(G1337&amp;""="1",N(K1337)*N1337,(N1337+N(O1337))*N(K1337)))</f>
        <v/>
      </c>
      <c r="T1337" s="10">
        <f>IF(Q1337="","",Q1337-S1337)</f>
        <v/>
      </c>
    </row>
    <row r="1338">
      <c r="A1338" s="7">
        <f>CONCATENATE(C1338,E1338,F1338,I1338)</f>
        <v/>
      </c>
      <c r="B1338" s="7">
        <f>CONCATENATE(C1338,E1338,I1338)</f>
        <v/>
      </c>
      <c r="C1338" s="8" t="n">
        <v>900003613</v>
      </c>
      <c r="D1338" s="7">
        <f>IFERROR(VLOOKUP(C1338,TRAOPE!$G:$H,2,0),"")</f>
        <v/>
      </c>
      <c r="E1338" s="8" t="inlineStr">
        <is>
          <t>D836</t>
        </is>
      </c>
      <c r="F1338" s="8" t="inlineStr">
        <is>
          <t>66239561</t>
        </is>
      </c>
      <c r="G1338" s="8">
        <f>IFERROR(VLOOKUP(A1338,Flete!$A:$E,5,0),"")</f>
        <v/>
      </c>
      <c r="H1338" s="7">
        <f>IFERROR(VLOOKUP(F1338,TRAOPE!$AA:$AB,2,0),"")</f>
        <v/>
      </c>
      <c r="I1338" s="7" t="n">
        <v>10000627</v>
      </c>
      <c r="J1338" s="7">
        <f>IFERROR(VLOOKUP(I1338,Materiales!$A:$H,8,0),"")</f>
        <v/>
      </c>
      <c r="K1338" s="9">
        <f>IFERROR(VLOOKUP(I1338,Materiales!$A:$G,7,0),"")</f>
        <v/>
      </c>
      <c r="L1338" s="8" t="inlineStr">
        <is>
          <t>20190426</t>
        </is>
      </c>
      <c r="M1338" s="8" t="inlineStr">
        <is>
          <t>20250127</t>
        </is>
      </c>
      <c r="N1338" s="10" t="n">
        <v>76</v>
      </c>
      <c r="O1338" s="10">
        <f>IFERROR(VLOOKUP(A1338,Flete!$A:$J,10,0),"")</f>
        <v/>
      </c>
      <c r="P1338" s="8" t="inlineStr">
        <is>
          <t>M3</t>
        </is>
      </c>
      <c r="Q1338" s="10">
        <f>IFERROR(IFERROR(VLOOKUP(A1338,TRAOPE!$A:$U,21,0),VLOOKUP(B1338,TRAOPE!$A:$U,21,0)),"")</f>
        <v/>
      </c>
      <c r="R1338" s="8">
        <f>IFERROR(IFERROR(VLOOKUP(A1338,TRAOPE!$A:$W,23,0),VLOOKUP(B1338,TRAOPE!$A:$W,23,0)),"")</f>
        <v/>
      </c>
      <c r="S1338" s="10">
        <f>IF(AND(P1338="TN",R1338="TN"),N1338+N(O1338),IF(G1338&amp;""="1",N(K1338)*N1338,(N1338+N(O1338))*N(K1338)))</f>
        <v/>
      </c>
      <c r="T1338" s="10">
        <f>IF(Q1338="","",Q1338-S1338)</f>
        <v/>
      </c>
    </row>
    <row r="1339">
      <c r="A1339" s="7">
        <f>CONCATENATE(C1339,E1339,F1339,I1339)</f>
        <v/>
      </c>
      <c r="B1339" s="7">
        <f>CONCATENATE(C1339,E1339,I1339)</f>
        <v/>
      </c>
      <c r="C1339" s="8" t="n">
        <v>900003613</v>
      </c>
      <c r="D1339" s="7">
        <f>IFERROR(VLOOKUP(C1339,TRAOPE!$G:$H,2,0),"")</f>
        <v/>
      </c>
      <c r="E1339" s="8" t="inlineStr">
        <is>
          <t>D836</t>
        </is>
      </c>
      <c r="F1339" s="8" t="inlineStr">
        <is>
          <t>66239561</t>
        </is>
      </c>
      <c r="G1339" s="8">
        <f>IFERROR(VLOOKUP(A1339,Flete!$A:$E,5,0),"")</f>
        <v/>
      </c>
      <c r="H1339" s="7">
        <f>IFERROR(VLOOKUP(F1339,TRAOPE!$AA:$AB,2,0),"")</f>
        <v/>
      </c>
      <c r="I1339" s="7" t="n">
        <v>10059181</v>
      </c>
      <c r="J1339" s="7">
        <f>IFERROR(VLOOKUP(I1339,Materiales!$A:$H,8,0),"")</f>
        <v/>
      </c>
      <c r="K1339" s="9">
        <f>IFERROR(VLOOKUP(I1339,Materiales!$A:$G,7,0),"")</f>
        <v/>
      </c>
      <c r="L1339" s="8" t="inlineStr">
        <is>
          <t>20190426</t>
        </is>
      </c>
      <c r="M1339" s="8" t="inlineStr">
        <is>
          <t>20250127</t>
        </is>
      </c>
      <c r="N1339" s="10" t="n">
        <v>74</v>
      </c>
      <c r="O1339" s="10">
        <f>IFERROR(VLOOKUP(A1339,Flete!$A:$J,10,0),"")</f>
        <v/>
      </c>
      <c r="P1339" s="8" t="inlineStr">
        <is>
          <t>M3</t>
        </is>
      </c>
      <c r="Q1339" s="10">
        <f>IFERROR(IFERROR(VLOOKUP(A1339,TRAOPE!$A:$U,21,0),VLOOKUP(B1339,TRAOPE!$A:$U,21,0)),"")</f>
        <v/>
      </c>
      <c r="R1339" s="8">
        <f>IFERROR(IFERROR(VLOOKUP(A1339,TRAOPE!$A:$W,23,0),VLOOKUP(B1339,TRAOPE!$A:$W,23,0)),"")</f>
        <v/>
      </c>
      <c r="S1339" s="10">
        <f>IF(AND(P1339="TN",R1339="TN"),N1339+N(O1339),IF(G1339&amp;""="1",N(K1339)*N1339,(N1339+N(O1339))*N(K1339)))</f>
        <v/>
      </c>
      <c r="T1339" s="10">
        <f>IF(Q1339="","",Q1339-S1339)</f>
        <v/>
      </c>
    </row>
    <row r="1340">
      <c r="A1340" s="7">
        <f>CONCATENATE(C1340,E1340,F1340,I1340)</f>
        <v/>
      </c>
      <c r="B1340" s="7">
        <f>CONCATENATE(C1340,E1340,I1340)</f>
        <v/>
      </c>
      <c r="C1340" s="8" t="n">
        <v>900003613</v>
      </c>
      <c r="D1340" s="7">
        <f>IFERROR(VLOOKUP(C1340,TRAOPE!$G:$H,2,0),"")</f>
        <v/>
      </c>
      <c r="E1340" s="8" t="inlineStr">
        <is>
          <t>D836</t>
        </is>
      </c>
      <c r="F1340" s="8" t="inlineStr">
        <is>
          <t>66239598</t>
        </is>
      </c>
      <c r="G1340" s="8">
        <f>IFERROR(VLOOKUP(A1340,Flete!$A:$E,5,0),"")</f>
        <v/>
      </c>
      <c r="H1340" s="7">
        <f>IFERROR(VLOOKUP(F1340,TRAOPE!$AA:$AB,2,0),"")</f>
        <v/>
      </c>
      <c r="I1340" s="7" t="n">
        <v>10000253</v>
      </c>
      <c r="J1340" s="7">
        <f>IFERROR(VLOOKUP(I1340,Materiales!$A:$H,8,0),"")</f>
        <v/>
      </c>
      <c r="K1340" s="9">
        <f>IFERROR(VLOOKUP(I1340,Materiales!$A:$G,7,0),"")</f>
        <v/>
      </c>
      <c r="L1340" s="8" t="inlineStr">
        <is>
          <t>20190426</t>
        </is>
      </c>
      <c r="M1340" s="8" t="inlineStr">
        <is>
          <t>20250127</t>
        </is>
      </c>
      <c r="N1340" s="10" t="n">
        <v>79</v>
      </c>
      <c r="O1340" s="10">
        <f>IFERROR(VLOOKUP(A1340,Flete!$A:$J,10,0),"")</f>
        <v/>
      </c>
      <c r="P1340" s="8" t="inlineStr">
        <is>
          <t>M3</t>
        </is>
      </c>
      <c r="Q1340" s="10">
        <f>IFERROR(IFERROR(VLOOKUP(A1340,TRAOPE!$A:$U,21,0),VLOOKUP(B1340,TRAOPE!$A:$U,21,0)),"")</f>
        <v/>
      </c>
      <c r="R1340" s="8">
        <f>IFERROR(IFERROR(VLOOKUP(A1340,TRAOPE!$A:$W,23,0),VLOOKUP(B1340,TRAOPE!$A:$W,23,0)),"")</f>
        <v/>
      </c>
      <c r="S1340" s="10">
        <f>IF(AND(P1340="TN",R1340="TN"),N1340+N(O1340),IF(G1340&amp;""="1",N(K1340)*N1340,(N1340+N(O1340))*N(K1340)))</f>
        <v/>
      </c>
      <c r="T1340" s="10">
        <f>IF(Q1340="","",Q1340-S1340)</f>
        <v/>
      </c>
    </row>
    <row r="1341">
      <c r="A1341" s="7">
        <f>CONCATENATE(C1341,E1341,F1341,I1341)</f>
        <v/>
      </c>
      <c r="B1341" s="7">
        <f>CONCATENATE(C1341,E1341,I1341)</f>
        <v/>
      </c>
      <c r="C1341" s="8" t="n">
        <v>900003613</v>
      </c>
      <c r="D1341" s="7">
        <f>IFERROR(VLOOKUP(C1341,TRAOPE!$G:$H,2,0),"")</f>
        <v/>
      </c>
      <c r="E1341" s="8" t="inlineStr">
        <is>
          <t>D836</t>
        </is>
      </c>
      <c r="F1341" s="8" t="inlineStr">
        <is>
          <t>66239598</t>
        </is>
      </c>
      <c r="G1341" s="8">
        <f>IFERROR(VLOOKUP(A1341,Flete!$A:$E,5,0),"")</f>
        <v/>
      </c>
      <c r="H1341" s="7">
        <f>IFERROR(VLOOKUP(F1341,TRAOPE!$AA:$AB,2,0),"")</f>
        <v/>
      </c>
      <c r="I1341" s="7" t="n">
        <v>10000627</v>
      </c>
      <c r="J1341" s="7">
        <f>IFERROR(VLOOKUP(I1341,Materiales!$A:$H,8,0),"")</f>
        <v/>
      </c>
      <c r="K1341" s="9">
        <f>IFERROR(VLOOKUP(I1341,Materiales!$A:$G,7,0),"")</f>
        <v/>
      </c>
      <c r="L1341" s="8" t="inlineStr">
        <is>
          <t>20190426</t>
        </is>
      </c>
      <c r="M1341" s="8" t="inlineStr">
        <is>
          <t>20250127</t>
        </is>
      </c>
      <c r="N1341" s="10" t="n">
        <v>76</v>
      </c>
      <c r="O1341" s="10">
        <f>IFERROR(VLOOKUP(A1341,Flete!$A:$J,10,0),"")</f>
        <v/>
      </c>
      <c r="P1341" s="8" t="inlineStr">
        <is>
          <t>M3</t>
        </is>
      </c>
      <c r="Q1341" s="10">
        <f>IFERROR(IFERROR(VLOOKUP(A1341,TRAOPE!$A:$U,21,0),VLOOKUP(B1341,TRAOPE!$A:$U,21,0)),"")</f>
        <v/>
      </c>
      <c r="R1341" s="8">
        <f>IFERROR(IFERROR(VLOOKUP(A1341,TRAOPE!$A:$W,23,0),VLOOKUP(B1341,TRAOPE!$A:$W,23,0)),"")</f>
        <v/>
      </c>
      <c r="S1341" s="10">
        <f>IF(AND(P1341="TN",R1341="TN"),N1341+N(O1341),IF(G1341&amp;""="1",N(K1341)*N1341,(N1341+N(O1341))*N(K1341)))</f>
        <v/>
      </c>
      <c r="T1341" s="10">
        <f>IF(Q1341="","",Q1341-S1341)</f>
        <v/>
      </c>
    </row>
    <row r="1342">
      <c r="A1342" s="7">
        <f>CONCATENATE(C1342,E1342,F1342,I1342)</f>
        <v/>
      </c>
      <c r="B1342" s="7">
        <f>CONCATENATE(C1342,E1342,I1342)</f>
        <v/>
      </c>
      <c r="C1342" s="8" t="n">
        <v>900003613</v>
      </c>
      <c r="D1342" s="7">
        <f>IFERROR(VLOOKUP(C1342,TRAOPE!$G:$H,2,0),"")</f>
        <v/>
      </c>
      <c r="E1342" s="8" t="inlineStr">
        <is>
          <t>D836</t>
        </is>
      </c>
      <c r="F1342" s="8" t="inlineStr">
        <is>
          <t>66239598</t>
        </is>
      </c>
      <c r="G1342" s="8">
        <f>IFERROR(VLOOKUP(A1342,Flete!$A:$E,5,0),"")</f>
        <v/>
      </c>
      <c r="H1342" s="7">
        <f>IFERROR(VLOOKUP(F1342,TRAOPE!$AA:$AB,2,0),"")</f>
        <v/>
      </c>
      <c r="I1342" s="7" t="n">
        <v>10059181</v>
      </c>
      <c r="J1342" s="7">
        <f>IFERROR(VLOOKUP(I1342,Materiales!$A:$H,8,0),"")</f>
        <v/>
      </c>
      <c r="K1342" s="9">
        <f>IFERROR(VLOOKUP(I1342,Materiales!$A:$G,7,0),"")</f>
        <v/>
      </c>
      <c r="L1342" s="8" t="inlineStr">
        <is>
          <t>20190426</t>
        </is>
      </c>
      <c r="M1342" s="8" t="inlineStr">
        <is>
          <t>20250127</t>
        </is>
      </c>
      <c r="N1342" s="10" t="n">
        <v>74</v>
      </c>
      <c r="O1342" s="10">
        <f>IFERROR(VLOOKUP(A1342,Flete!$A:$J,10,0),"")</f>
        <v/>
      </c>
      <c r="P1342" s="8" t="inlineStr">
        <is>
          <t>M3</t>
        </is>
      </c>
      <c r="Q1342" s="10">
        <f>IFERROR(IFERROR(VLOOKUP(A1342,TRAOPE!$A:$U,21,0),VLOOKUP(B1342,TRAOPE!$A:$U,21,0)),"")</f>
        <v/>
      </c>
      <c r="R1342" s="8">
        <f>IFERROR(IFERROR(VLOOKUP(A1342,TRAOPE!$A:$W,23,0),VLOOKUP(B1342,TRAOPE!$A:$W,23,0)),"")</f>
        <v/>
      </c>
      <c r="S1342" s="10">
        <f>IF(AND(P1342="TN",R1342="TN"),N1342+N(O1342),IF(G1342&amp;""="1",N(K1342)*N1342,(N1342+N(O1342))*N(K1342)))</f>
        <v/>
      </c>
      <c r="T1342" s="10">
        <f>IF(Q1342="","",Q1342-S1342)</f>
        <v/>
      </c>
    </row>
    <row r="1343">
      <c r="A1343" s="7">
        <f>CONCATENATE(C1343,E1343,F1343,I1343)</f>
        <v/>
      </c>
      <c r="B1343" s="7">
        <f>CONCATENATE(C1343,E1343,I1343)</f>
        <v/>
      </c>
      <c r="C1343" s="8" t="n">
        <v>900003613</v>
      </c>
      <c r="D1343" s="7">
        <f>IFERROR(VLOOKUP(C1343,TRAOPE!$G:$H,2,0),"")</f>
        <v/>
      </c>
      <c r="E1343" s="8" t="inlineStr">
        <is>
          <t>D836</t>
        </is>
      </c>
      <c r="F1343" s="8" t="inlineStr">
        <is>
          <t>66239599</t>
        </is>
      </c>
      <c r="G1343" s="8">
        <f>IFERROR(VLOOKUP(A1343,Flete!$A:$E,5,0),"")</f>
        <v/>
      </c>
      <c r="H1343" s="7">
        <f>IFERROR(VLOOKUP(F1343,TRAOPE!$AA:$AB,2,0),"")</f>
        <v/>
      </c>
      <c r="I1343" s="7" t="n">
        <v>10000253</v>
      </c>
      <c r="J1343" s="7">
        <f>IFERROR(VLOOKUP(I1343,Materiales!$A:$H,8,0),"")</f>
        <v/>
      </c>
      <c r="K1343" s="9">
        <f>IFERROR(VLOOKUP(I1343,Materiales!$A:$G,7,0),"")</f>
        <v/>
      </c>
      <c r="L1343" s="8" t="inlineStr">
        <is>
          <t>20190426</t>
        </is>
      </c>
      <c r="M1343" s="8" t="inlineStr">
        <is>
          <t>20250127</t>
        </is>
      </c>
      <c r="N1343" s="10" t="n">
        <v>79</v>
      </c>
      <c r="O1343" s="10">
        <f>IFERROR(VLOOKUP(A1343,Flete!$A:$J,10,0),"")</f>
        <v/>
      </c>
      <c r="P1343" s="8" t="inlineStr">
        <is>
          <t>M3</t>
        </is>
      </c>
      <c r="Q1343" s="10">
        <f>IFERROR(IFERROR(VLOOKUP(A1343,TRAOPE!$A:$U,21,0),VLOOKUP(B1343,TRAOPE!$A:$U,21,0)),"")</f>
        <v/>
      </c>
      <c r="R1343" s="8">
        <f>IFERROR(IFERROR(VLOOKUP(A1343,TRAOPE!$A:$W,23,0),VLOOKUP(B1343,TRAOPE!$A:$W,23,0)),"")</f>
        <v/>
      </c>
      <c r="S1343" s="10">
        <f>IF(AND(P1343="TN",R1343="TN"),N1343+N(O1343),IF(G1343&amp;""="1",N(K1343)*N1343,(N1343+N(O1343))*N(K1343)))</f>
        <v/>
      </c>
      <c r="T1343" s="10">
        <f>IF(Q1343="","",Q1343-S1343)</f>
        <v/>
      </c>
    </row>
    <row r="1344">
      <c r="A1344" s="7">
        <f>CONCATENATE(C1344,E1344,F1344,I1344)</f>
        <v/>
      </c>
      <c r="B1344" s="7">
        <f>CONCATENATE(C1344,E1344,I1344)</f>
        <v/>
      </c>
      <c r="C1344" s="8" t="n">
        <v>900003613</v>
      </c>
      <c r="D1344" s="7">
        <f>IFERROR(VLOOKUP(C1344,TRAOPE!$G:$H,2,0),"")</f>
        <v/>
      </c>
      <c r="E1344" s="8" t="inlineStr">
        <is>
          <t>D836</t>
        </is>
      </c>
      <c r="F1344" s="8" t="inlineStr">
        <is>
          <t>66239599</t>
        </is>
      </c>
      <c r="G1344" s="8">
        <f>IFERROR(VLOOKUP(A1344,Flete!$A:$E,5,0),"")</f>
        <v/>
      </c>
      <c r="H1344" s="7">
        <f>IFERROR(VLOOKUP(F1344,TRAOPE!$AA:$AB,2,0),"")</f>
        <v/>
      </c>
      <c r="I1344" s="7" t="n">
        <v>10000627</v>
      </c>
      <c r="J1344" s="7">
        <f>IFERROR(VLOOKUP(I1344,Materiales!$A:$H,8,0),"")</f>
        <v/>
      </c>
      <c r="K1344" s="9">
        <f>IFERROR(VLOOKUP(I1344,Materiales!$A:$G,7,0),"")</f>
        <v/>
      </c>
      <c r="L1344" s="8" t="inlineStr">
        <is>
          <t>20190426</t>
        </is>
      </c>
      <c r="M1344" s="8" t="inlineStr">
        <is>
          <t>20250127</t>
        </is>
      </c>
      <c r="N1344" s="10" t="n">
        <v>76</v>
      </c>
      <c r="O1344" s="10">
        <f>IFERROR(VLOOKUP(A1344,Flete!$A:$J,10,0),"")</f>
        <v/>
      </c>
      <c r="P1344" s="8" t="inlineStr">
        <is>
          <t>M3</t>
        </is>
      </c>
      <c r="Q1344" s="10">
        <f>IFERROR(IFERROR(VLOOKUP(A1344,TRAOPE!$A:$U,21,0),VLOOKUP(B1344,TRAOPE!$A:$U,21,0)),"")</f>
        <v/>
      </c>
      <c r="R1344" s="8">
        <f>IFERROR(IFERROR(VLOOKUP(A1344,TRAOPE!$A:$W,23,0),VLOOKUP(B1344,TRAOPE!$A:$W,23,0)),"")</f>
        <v/>
      </c>
      <c r="S1344" s="10">
        <f>IF(AND(P1344="TN",R1344="TN"),N1344+N(O1344),IF(G1344&amp;""="1",N(K1344)*N1344,(N1344+N(O1344))*N(K1344)))</f>
        <v/>
      </c>
      <c r="T1344" s="10">
        <f>IF(Q1344="","",Q1344-S1344)</f>
        <v/>
      </c>
    </row>
    <row r="1345">
      <c r="A1345" s="7">
        <f>CONCATENATE(C1345,E1345,F1345,I1345)</f>
        <v/>
      </c>
      <c r="B1345" s="7">
        <f>CONCATENATE(C1345,E1345,I1345)</f>
        <v/>
      </c>
      <c r="C1345" s="8" t="n">
        <v>900003613</v>
      </c>
      <c r="D1345" s="7">
        <f>IFERROR(VLOOKUP(C1345,TRAOPE!$G:$H,2,0),"")</f>
        <v/>
      </c>
      <c r="E1345" s="8" t="inlineStr">
        <is>
          <t>D836</t>
        </is>
      </c>
      <c r="F1345" s="8" t="inlineStr">
        <is>
          <t>66239599</t>
        </is>
      </c>
      <c r="G1345" s="8">
        <f>IFERROR(VLOOKUP(A1345,Flete!$A:$E,5,0),"")</f>
        <v/>
      </c>
      <c r="H1345" s="7">
        <f>IFERROR(VLOOKUP(F1345,TRAOPE!$AA:$AB,2,0),"")</f>
        <v/>
      </c>
      <c r="I1345" s="7" t="n">
        <v>10059181</v>
      </c>
      <c r="J1345" s="7">
        <f>IFERROR(VLOOKUP(I1345,Materiales!$A:$H,8,0),"")</f>
        <v/>
      </c>
      <c r="K1345" s="9">
        <f>IFERROR(VLOOKUP(I1345,Materiales!$A:$G,7,0),"")</f>
        <v/>
      </c>
      <c r="L1345" s="8" t="inlineStr">
        <is>
          <t>20190426</t>
        </is>
      </c>
      <c r="M1345" s="8" t="inlineStr">
        <is>
          <t>20250127</t>
        </is>
      </c>
      <c r="N1345" s="10" t="n">
        <v>74</v>
      </c>
      <c r="O1345" s="10">
        <f>IFERROR(VLOOKUP(A1345,Flete!$A:$J,10,0),"")</f>
        <v/>
      </c>
      <c r="P1345" s="8" t="inlineStr">
        <is>
          <t>M3</t>
        </is>
      </c>
      <c r="Q1345" s="10">
        <f>IFERROR(IFERROR(VLOOKUP(A1345,TRAOPE!$A:$U,21,0),VLOOKUP(B1345,TRAOPE!$A:$U,21,0)),"")</f>
        <v/>
      </c>
      <c r="R1345" s="8">
        <f>IFERROR(IFERROR(VLOOKUP(A1345,TRAOPE!$A:$W,23,0),VLOOKUP(B1345,TRAOPE!$A:$W,23,0)),"")</f>
        <v/>
      </c>
      <c r="S1345" s="10">
        <f>IF(AND(P1345="TN",R1345="TN"),N1345+N(O1345),IF(G1345&amp;""="1",N(K1345)*N1345,(N1345+N(O1345))*N(K1345)))</f>
        <v/>
      </c>
      <c r="T1345" s="10">
        <f>IF(Q1345="","",Q1345-S1345)</f>
        <v/>
      </c>
    </row>
    <row r="1346">
      <c r="A1346" s="7">
        <f>CONCATENATE(C1346,E1346,F1346,I1346)</f>
        <v/>
      </c>
      <c r="B1346" s="7">
        <f>CONCATENATE(C1346,E1346,I1346)</f>
        <v/>
      </c>
      <c r="C1346" s="8" t="n">
        <v>900003613</v>
      </c>
      <c r="D1346" s="7">
        <f>IFERROR(VLOOKUP(C1346,TRAOPE!$G:$H,2,0),"")</f>
        <v/>
      </c>
      <c r="E1346" s="8" t="inlineStr">
        <is>
          <t>D836</t>
        </is>
      </c>
      <c r="F1346" s="8" t="inlineStr">
        <is>
          <t>66239600</t>
        </is>
      </c>
      <c r="G1346" s="8">
        <f>IFERROR(VLOOKUP(A1346,Flete!$A:$E,5,0),"")</f>
        <v/>
      </c>
      <c r="H1346" s="7">
        <f>IFERROR(VLOOKUP(F1346,TRAOPE!$AA:$AB,2,0),"")</f>
        <v/>
      </c>
      <c r="I1346" s="7" t="n">
        <v>10000253</v>
      </c>
      <c r="J1346" s="7">
        <f>IFERROR(VLOOKUP(I1346,Materiales!$A:$H,8,0),"")</f>
        <v/>
      </c>
      <c r="K1346" s="9">
        <f>IFERROR(VLOOKUP(I1346,Materiales!$A:$G,7,0),"")</f>
        <v/>
      </c>
      <c r="L1346" s="8" t="inlineStr">
        <is>
          <t>20190426</t>
        </is>
      </c>
      <c r="M1346" s="8" t="inlineStr">
        <is>
          <t>20250127</t>
        </is>
      </c>
      <c r="N1346" s="10" t="n">
        <v>79</v>
      </c>
      <c r="O1346" s="10">
        <f>IFERROR(VLOOKUP(A1346,Flete!$A:$J,10,0),"")</f>
        <v/>
      </c>
      <c r="P1346" s="8" t="inlineStr">
        <is>
          <t>M3</t>
        </is>
      </c>
      <c r="Q1346" s="10">
        <f>IFERROR(IFERROR(VLOOKUP(A1346,TRAOPE!$A:$U,21,0),VLOOKUP(B1346,TRAOPE!$A:$U,21,0)),"")</f>
        <v/>
      </c>
      <c r="R1346" s="8">
        <f>IFERROR(IFERROR(VLOOKUP(A1346,TRAOPE!$A:$W,23,0),VLOOKUP(B1346,TRAOPE!$A:$W,23,0)),"")</f>
        <v/>
      </c>
      <c r="S1346" s="10">
        <f>IF(AND(P1346="TN",R1346="TN"),N1346+N(O1346),IF(G1346&amp;""="1",N(K1346)*N1346,(N1346+N(O1346))*N(K1346)))</f>
        <v/>
      </c>
      <c r="T1346" s="10">
        <f>IF(Q1346="","",Q1346-S1346)</f>
        <v/>
      </c>
    </row>
    <row r="1347">
      <c r="A1347" s="7">
        <f>CONCATENATE(C1347,E1347,F1347,I1347)</f>
        <v/>
      </c>
      <c r="B1347" s="7">
        <f>CONCATENATE(C1347,E1347,I1347)</f>
        <v/>
      </c>
      <c r="C1347" s="8" t="n">
        <v>900003613</v>
      </c>
      <c r="D1347" s="7">
        <f>IFERROR(VLOOKUP(C1347,TRAOPE!$G:$H,2,0),"")</f>
        <v/>
      </c>
      <c r="E1347" s="8" t="inlineStr">
        <is>
          <t>D836</t>
        </is>
      </c>
      <c r="F1347" s="8" t="inlineStr">
        <is>
          <t>66239600</t>
        </is>
      </c>
      <c r="G1347" s="8">
        <f>IFERROR(VLOOKUP(A1347,Flete!$A:$E,5,0),"")</f>
        <v/>
      </c>
      <c r="H1347" s="7">
        <f>IFERROR(VLOOKUP(F1347,TRAOPE!$AA:$AB,2,0),"")</f>
        <v/>
      </c>
      <c r="I1347" s="7" t="n">
        <v>10000627</v>
      </c>
      <c r="J1347" s="7">
        <f>IFERROR(VLOOKUP(I1347,Materiales!$A:$H,8,0),"")</f>
        <v/>
      </c>
      <c r="K1347" s="9">
        <f>IFERROR(VLOOKUP(I1347,Materiales!$A:$G,7,0),"")</f>
        <v/>
      </c>
      <c r="L1347" s="8" t="inlineStr">
        <is>
          <t>20190426</t>
        </is>
      </c>
      <c r="M1347" s="8" t="inlineStr">
        <is>
          <t>20250127</t>
        </is>
      </c>
      <c r="N1347" s="10" t="n">
        <v>76</v>
      </c>
      <c r="O1347" s="10">
        <f>IFERROR(VLOOKUP(A1347,Flete!$A:$J,10,0),"")</f>
        <v/>
      </c>
      <c r="P1347" s="8" t="inlineStr">
        <is>
          <t>M3</t>
        </is>
      </c>
      <c r="Q1347" s="10">
        <f>IFERROR(IFERROR(VLOOKUP(A1347,TRAOPE!$A:$U,21,0),VLOOKUP(B1347,TRAOPE!$A:$U,21,0)),"")</f>
        <v/>
      </c>
      <c r="R1347" s="8">
        <f>IFERROR(IFERROR(VLOOKUP(A1347,TRAOPE!$A:$W,23,0),VLOOKUP(B1347,TRAOPE!$A:$W,23,0)),"")</f>
        <v/>
      </c>
      <c r="S1347" s="10">
        <f>IF(AND(P1347="TN",R1347="TN"),N1347+N(O1347),IF(G1347&amp;""="1",N(K1347)*N1347,(N1347+N(O1347))*N(K1347)))</f>
        <v/>
      </c>
      <c r="T1347" s="10">
        <f>IF(Q1347="","",Q1347-S1347)</f>
        <v/>
      </c>
    </row>
    <row r="1348">
      <c r="A1348" s="7">
        <f>CONCATENATE(C1348,E1348,F1348,I1348)</f>
        <v/>
      </c>
      <c r="B1348" s="7">
        <f>CONCATENATE(C1348,E1348,I1348)</f>
        <v/>
      </c>
      <c r="C1348" s="8" t="n">
        <v>900003613</v>
      </c>
      <c r="D1348" s="7">
        <f>IFERROR(VLOOKUP(C1348,TRAOPE!$G:$H,2,0),"")</f>
        <v/>
      </c>
      <c r="E1348" s="8" t="inlineStr">
        <is>
          <t>D836</t>
        </is>
      </c>
      <c r="F1348" s="8" t="inlineStr">
        <is>
          <t>66239600</t>
        </is>
      </c>
      <c r="G1348" s="8">
        <f>IFERROR(VLOOKUP(A1348,Flete!$A:$E,5,0),"")</f>
        <v/>
      </c>
      <c r="H1348" s="7">
        <f>IFERROR(VLOOKUP(F1348,TRAOPE!$AA:$AB,2,0),"")</f>
        <v/>
      </c>
      <c r="I1348" s="7" t="n">
        <v>10059181</v>
      </c>
      <c r="J1348" s="7">
        <f>IFERROR(VLOOKUP(I1348,Materiales!$A:$H,8,0),"")</f>
        <v/>
      </c>
      <c r="K1348" s="9">
        <f>IFERROR(VLOOKUP(I1348,Materiales!$A:$G,7,0),"")</f>
        <v/>
      </c>
      <c r="L1348" s="8" t="inlineStr">
        <is>
          <t>20190426</t>
        </is>
      </c>
      <c r="M1348" s="8" t="inlineStr">
        <is>
          <t>20250127</t>
        </is>
      </c>
      <c r="N1348" s="10" t="n">
        <v>74</v>
      </c>
      <c r="O1348" s="10">
        <f>IFERROR(VLOOKUP(A1348,Flete!$A:$J,10,0),"")</f>
        <v/>
      </c>
      <c r="P1348" s="8" t="inlineStr">
        <is>
          <t>M3</t>
        </is>
      </c>
      <c r="Q1348" s="10">
        <f>IFERROR(IFERROR(VLOOKUP(A1348,TRAOPE!$A:$U,21,0),VLOOKUP(B1348,TRAOPE!$A:$U,21,0)),"")</f>
        <v/>
      </c>
      <c r="R1348" s="8">
        <f>IFERROR(IFERROR(VLOOKUP(A1348,TRAOPE!$A:$W,23,0),VLOOKUP(B1348,TRAOPE!$A:$W,23,0)),"")</f>
        <v/>
      </c>
      <c r="S1348" s="10">
        <f>IF(AND(P1348="TN",R1348="TN"),N1348+N(O1348),IF(G1348&amp;""="1",N(K1348)*N1348,(N1348+N(O1348))*N(K1348)))</f>
        <v/>
      </c>
      <c r="T1348" s="10">
        <f>IF(Q1348="","",Q1348-S1348)</f>
        <v/>
      </c>
    </row>
    <row r="1349">
      <c r="A1349" s="7">
        <f>CONCATENATE(C1349,E1349,F1349,I1349)</f>
        <v/>
      </c>
      <c r="B1349" s="7">
        <f>CONCATENATE(C1349,E1349,I1349)</f>
        <v/>
      </c>
      <c r="C1349" s="8" t="n">
        <v>900003613</v>
      </c>
      <c r="D1349" s="7">
        <f>IFERROR(VLOOKUP(C1349,TRAOPE!$G:$H,2,0),"")</f>
        <v/>
      </c>
      <c r="E1349" s="8" t="inlineStr">
        <is>
          <t>D836</t>
        </is>
      </c>
      <c r="F1349" s="8" t="inlineStr">
        <is>
          <t>66239601</t>
        </is>
      </c>
      <c r="G1349" s="8">
        <f>IFERROR(VLOOKUP(A1349,Flete!$A:$E,5,0),"")</f>
        <v/>
      </c>
      <c r="H1349" s="7">
        <f>IFERROR(VLOOKUP(F1349,TRAOPE!$AA:$AB,2,0),"")</f>
        <v/>
      </c>
      <c r="I1349" s="7" t="n">
        <v>10000253</v>
      </c>
      <c r="J1349" s="7">
        <f>IFERROR(VLOOKUP(I1349,Materiales!$A:$H,8,0),"")</f>
        <v/>
      </c>
      <c r="K1349" s="9">
        <f>IFERROR(VLOOKUP(I1349,Materiales!$A:$G,7,0),"")</f>
        <v/>
      </c>
      <c r="L1349" s="8" t="inlineStr">
        <is>
          <t>20190426</t>
        </is>
      </c>
      <c r="M1349" s="8" t="inlineStr">
        <is>
          <t>20250127</t>
        </is>
      </c>
      <c r="N1349" s="10" t="n">
        <v>79</v>
      </c>
      <c r="O1349" s="10">
        <f>IFERROR(VLOOKUP(A1349,Flete!$A:$J,10,0),"")</f>
        <v/>
      </c>
      <c r="P1349" s="8" t="inlineStr">
        <is>
          <t>M3</t>
        </is>
      </c>
      <c r="Q1349" s="10">
        <f>IFERROR(IFERROR(VLOOKUP(A1349,TRAOPE!$A:$U,21,0),VLOOKUP(B1349,TRAOPE!$A:$U,21,0)),"")</f>
        <v/>
      </c>
      <c r="R1349" s="8">
        <f>IFERROR(IFERROR(VLOOKUP(A1349,TRAOPE!$A:$W,23,0),VLOOKUP(B1349,TRAOPE!$A:$W,23,0)),"")</f>
        <v/>
      </c>
      <c r="S1349" s="10">
        <f>IF(AND(P1349="TN",R1349="TN"),N1349+N(O1349),IF(G1349&amp;""="1",N(K1349)*N1349,(N1349+N(O1349))*N(K1349)))</f>
        <v/>
      </c>
      <c r="T1349" s="10">
        <f>IF(Q1349="","",Q1349-S1349)</f>
        <v/>
      </c>
    </row>
    <row r="1350">
      <c r="A1350" s="7">
        <f>CONCATENATE(C1350,E1350,F1350,I1350)</f>
        <v/>
      </c>
      <c r="B1350" s="7">
        <f>CONCATENATE(C1350,E1350,I1350)</f>
        <v/>
      </c>
      <c r="C1350" s="8" t="n">
        <v>900003613</v>
      </c>
      <c r="D1350" s="7">
        <f>IFERROR(VLOOKUP(C1350,TRAOPE!$G:$H,2,0),"")</f>
        <v/>
      </c>
      <c r="E1350" s="8" t="inlineStr">
        <is>
          <t>D836</t>
        </is>
      </c>
      <c r="F1350" s="8" t="inlineStr">
        <is>
          <t>66239601</t>
        </is>
      </c>
      <c r="G1350" s="8">
        <f>IFERROR(VLOOKUP(A1350,Flete!$A:$E,5,0),"")</f>
        <v/>
      </c>
      <c r="H1350" s="7">
        <f>IFERROR(VLOOKUP(F1350,TRAOPE!$AA:$AB,2,0),"")</f>
        <v/>
      </c>
      <c r="I1350" s="7" t="n">
        <v>10000627</v>
      </c>
      <c r="J1350" s="7">
        <f>IFERROR(VLOOKUP(I1350,Materiales!$A:$H,8,0),"")</f>
        <v/>
      </c>
      <c r="K1350" s="9">
        <f>IFERROR(VLOOKUP(I1350,Materiales!$A:$G,7,0),"")</f>
        <v/>
      </c>
      <c r="L1350" s="8" t="inlineStr">
        <is>
          <t>20190426</t>
        </is>
      </c>
      <c r="M1350" s="8" t="inlineStr">
        <is>
          <t>20250127</t>
        </is>
      </c>
      <c r="N1350" s="10" t="n">
        <v>76</v>
      </c>
      <c r="O1350" s="10">
        <f>IFERROR(VLOOKUP(A1350,Flete!$A:$J,10,0),"")</f>
        <v/>
      </c>
      <c r="P1350" s="8" t="inlineStr">
        <is>
          <t>M3</t>
        </is>
      </c>
      <c r="Q1350" s="10">
        <f>IFERROR(IFERROR(VLOOKUP(A1350,TRAOPE!$A:$U,21,0),VLOOKUP(B1350,TRAOPE!$A:$U,21,0)),"")</f>
        <v/>
      </c>
      <c r="R1350" s="8">
        <f>IFERROR(IFERROR(VLOOKUP(A1350,TRAOPE!$A:$W,23,0),VLOOKUP(B1350,TRAOPE!$A:$W,23,0)),"")</f>
        <v/>
      </c>
      <c r="S1350" s="10">
        <f>IF(AND(P1350="TN",R1350="TN"),N1350+N(O1350),IF(G1350&amp;""="1",N(K1350)*N1350,(N1350+N(O1350))*N(K1350)))</f>
        <v/>
      </c>
      <c r="T1350" s="10">
        <f>IF(Q1350="","",Q1350-S1350)</f>
        <v/>
      </c>
    </row>
    <row r="1351">
      <c r="A1351" s="7">
        <f>CONCATENATE(C1351,E1351,F1351,I1351)</f>
        <v/>
      </c>
      <c r="B1351" s="7">
        <f>CONCATENATE(C1351,E1351,I1351)</f>
        <v/>
      </c>
      <c r="C1351" s="8" t="n">
        <v>900003613</v>
      </c>
      <c r="D1351" s="7">
        <f>IFERROR(VLOOKUP(C1351,TRAOPE!$G:$H,2,0),"")</f>
        <v/>
      </c>
      <c r="E1351" s="8" t="inlineStr">
        <is>
          <t>D836</t>
        </is>
      </c>
      <c r="F1351" s="8" t="inlineStr">
        <is>
          <t>66239601</t>
        </is>
      </c>
      <c r="G1351" s="8">
        <f>IFERROR(VLOOKUP(A1351,Flete!$A:$E,5,0),"")</f>
        <v/>
      </c>
      <c r="H1351" s="7">
        <f>IFERROR(VLOOKUP(F1351,TRAOPE!$AA:$AB,2,0),"")</f>
        <v/>
      </c>
      <c r="I1351" s="7" t="n">
        <v>10059181</v>
      </c>
      <c r="J1351" s="7">
        <f>IFERROR(VLOOKUP(I1351,Materiales!$A:$H,8,0),"")</f>
        <v/>
      </c>
      <c r="K1351" s="9">
        <f>IFERROR(VLOOKUP(I1351,Materiales!$A:$G,7,0),"")</f>
        <v/>
      </c>
      <c r="L1351" s="8" t="inlineStr">
        <is>
          <t>20190426</t>
        </is>
      </c>
      <c r="M1351" s="8" t="inlineStr">
        <is>
          <t>20250127</t>
        </is>
      </c>
      <c r="N1351" s="10" t="n">
        <v>74</v>
      </c>
      <c r="O1351" s="10">
        <f>IFERROR(VLOOKUP(A1351,Flete!$A:$J,10,0),"")</f>
        <v/>
      </c>
      <c r="P1351" s="8" t="inlineStr">
        <is>
          <t>M3</t>
        </is>
      </c>
      <c r="Q1351" s="10">
        <f>IFERROR(IFERROR(VLOOKUP(A1351,TRAOPE!$A:$U,21,0),VLOOKUP(B1351,TRAOPE!$A:$U,21,0)),"")</f>
        <v/>
      </c>
      <c r="R1351" s="8">
        <f>IFERROR(IFERROR(VLOOKUP(A1351,TRAOPE!$A:$W,23,0),VLOOKUP(B1351,TRAOPE!$A:$W,23,0)),"")</f>
        <v/>
      </c>
      <c r="S1351" s="10">
        <f>IF(AND(P1351="TN",R1351="TN"),N1351+N(O1351),IF(G1351&amp;""="1",N(K1351)*N1351,(N1351+N(O1351))*N(K1351)))</f>
        <v/>
      </c>
      <c r="T1351" s="10">
        <f>IF(Q1351="","",Q1351-S1351)</f>
        <v/>
      </c>
    </row>
    <row r="1352">
      <c r="A1352" s="7">
        <f>CONCATENATE(C1352,E1352,F1352,I1352)</f>
        <v/>
      </c>
      <c r="B1352" s="7">
        <f>CONCATENATE(C1352,E1352,I1352)</f>
        <v/>
      </c>
      <c r="C1352" s="8" t="n">
        <v>900003613</v>
      </c>
      <c r="D1352" s="7">
        <f>IFERROR(VLOOKUP(C1352,TRAOPE!$G:$H,2,0),"")</f>
        <v/>
      </c>
      <c r="E1352" s="8" t="inlineStr">
        <is>
          <t>D836</t>
        </is>
      </c>
      <c r="F1352" s="8" t="inlineStr">
        <is>
          <t>66239617</t>
        </is>
      </c>
      <c r="G1352" s="8">
        <f>IFERROR(VLOOKUP(A1352,Flete!$A:$E,5,0),"")</f>
        <v/>
      </c>
      <c r="H1352" s="7">
        <f>IFERROR(VLOOKUP(F1352,TRAOPE!$AA:$AB,2,0),"")</f>
        <v/>
      </c>
      <c r="I1352" s="7" t="n">
        <v>10000253</v>
      </c>
      <c r="J1352" s="7">
        <f>IFERROR(VLOOKUP(I1352,Materiales!$A:$H,8,0),"")</f>
        <v/>
      </c>
      <c r="K1352" s="9">
        <f>IFERROR(VLOOKUP(I1352,Materiales!$A:$G,7,0),"")</f>
        <v/>
      </c>
      <c r="L1352" s="8" t="inlineStr">
        <is>
          <t>20190426</t>
        </is>
      </c>
      <c r="M1352" s="8" t="inlineStr">
        <is>
          <t>20250127</t>
        </is>
      </c>
      <c r="N1352" s="10" t="n">
        <v>79</v>
      </c>
      <c r="O1352" s="10">
        <f>IFERROR(VLOOKUP(A1352,Flete!$A:$J,10,0),"")</f>
        <v/>
      </c>
      <c r="P1352" s="8" t="inlineStr">
        <is>
          <t>M3</t>
        </is>
      </c>
      <c r="Q1352" s="10">
        <f>IFERROR(IFERROR(VLOOKUP(A1352,TRAOPE!$A:$U,21,0),VLOOKUP(B1352,TRAOPE!$A:$U,21,0)),"")</f>
        <v/>
      </c>
      <c r="R1352" s="8">
        <f>IFERROR(IFERROR(VLOOKUP(A1352,TRAOPE!$A:$W,23,0),VLOOKUP(B1352,TRAOPE!$A:$W,23,0)),"")</f>
        <v/>
      </c>
      <c r="S1352" s="10">
        <f>IF(AND(P1352="TN",R1352="TN"),N1352+N(O1352),IF(G1352&amp;""="1",N(K1352)*N1352,(N1352+N(O1352))*N(K1352)))</f>
        <v/>
      </c>
      <c r="T1352" s="10">
        <f>IF(Q1352="","",Q1352-S1352)</f>
        <v/>
      </c>
    </row>
    <row r="1353">
      <c r="A1353" s="7">
        <f>CONCATENATE(C1353,E1353,F1353,I1353)</f>
        <v/>
      </c>
      <c r="B1353" s="7">
        <f>CONCATENATE(C1353,E1353,I1353)</f>
        <v/>
      </c>
      <c r="C1353" s="8" t="n">
        <v>900003613</v>
      </c>
      <c r="D1353" s="7">
        <f>IFERROR(VLOOKUP(C1353,TRAOPE!$G:$H,2,0),"")</f>
        <v/>
      </c>
      <c r="E1353" s="8" t="inlineStr">
        <is>
          <t>D836</t>
        </is>
      </c>
      <c r="F1353" s="8" t="inlineStr">
        <is>
          <t>66239617</t>
        </is>
      </c>
      <c r="G1353" s="8">
        <f>IFERROR(VLOOKUP(A1353,Flete!$A:$E,5,0),"")</f>
        <v/>
      </c>
      <c r="H1353" s="7">
        <f>IFERROR(VLOOKUP(F1353,TRAOPE!$AA:$AB,2,0),"")</f>
        <v/>
      </c>
      <c r="I1353" s="7" t="n">
        <v>10000627</v>
      </c>
      <c r="J1353" s="7">
        <f>IFERROR(VLOOKUP(I1353,Materiales!$A:$H,8,0),"")</f>
        <v/>
      </c>
      <c r="K1353" s="9">
        <f>IFERROR(VLOOKUP(I1353,Materiales!$A:$G,7,0),"")</f>
        <v/>
      </c>
      <c r="L1353" s="8" t="inlineStr">
        <is>
          <t>20190426</t>
        </is>
      </c>
      <c r="M1353" s="8" t="inlineStr">
        <is>
          <t>20250127</t>
        </is>
      </c>
      <c r="N1353" s="10" t="n">
        <v>76</v>
      </c>
      <c r="O1353" s="10">
        <f>IFERROR(VLOOKUP(A1353,Flete!$A:$J,10,0),"")</f>
        <v/>
      </c>
      <c r="P1353" s="8" t="inlineStr">
        <is>
          <t>M3</t>
        </is>
      </c>
      <c r="Q1353" s="10">
        <f>IFERROR(IFERROR(VLOOKUP(A1353,TRAOPE!$A:$U,21,0),VLOOKUP(B1353,TRAOPE!$A:$U,21,0)),"")</f>
        <v/>
      </c>
      <c r="R1353" s="8">
        <f>IFERROR(IFERROR(VLOOKUP(A1353,TRAOPE!$A:$W,23,0),VLOOKUP(B1353,TRAOPE!$A:$W,23,0)),"")</f>
        <v/>
      </c>
      <c r="S1353" s="10">
        <f>IF(AND(P1353="TN",R1353="TN"),N1353+N(O1353),IF(G1353&amp;""="1",N(K1353)*N1353,(N1353+N(O1353))*N(K1353)))</f>
        <v/>
      </c>
      <c r="T1353" s="10">
        <f>IF(Q1353="","",Q1353-S1353)</f>
        <v/>
      </c>
    </row>
    <row r="1354">
      <c r="A1354" s="7">
        <f>CONCATENATE(C1354,E1354,F1354,I1354)</f>
        <v/>
      </c>
      <c r="B1354" s="7">
        <f>CONCATENATE(C1354,E1354,I1354)</f>
        <v/>
      </c>
      <c r="C1354" s="8" t="n">
        <v>900003613</v>
      </c>
      <c r="D1354" s="7">
        <f>IFERROR(VLOOKUP(C1354,TRAOPE!$G:$H,2,0),"")</f>
        <v/>
      </c>
      <c r="E1354" s="8" t="inlineStr">
        <is>
          <t>D836</t>
        </is>
      </c>
      <c r="F1354" s="8" t="inlineStr">
        <is>
          <t>66239617</t>
        </is>
      </c>
      <c r="G1354" s="8">
        <f>IFERROR(VLOOKUP(A1354,Flete!$A:$E,5,0),"")</f>
        <v/>
      </c>
      <c r="H1354" s="7">
        <f>IFERROR(VLOOKUP(F1354,TRAOPE!$AA:$AB,2,0),"")</f>
        <v/>
      </c>
      <c r="I1354" s="7" t="n">
        <v>10059181</v>
      </c>
      <c r="J1354" s="7">
        <f>IFERROR(VLOOKUP(I1354,Materiales!$A:$H,8,0),"")</f>
        <v/>
      </c>
      <c r="K1354" s="9">
        <f>IFERROR(VLOOKUP(I1354,Materiales!$A:$G,7,0),"")</f>
        <v/>
      </c>
      <c r="L1354" s="8" t="inlineStr">
        <is>
          <t>20190426</t>
        </is>
      </c>
      <c r="M1354" s="8" t="inlineStr">
        <is>
          <t>20250127</t>
        </is>
      </c>
      <c r="N1354" s="10" t="n">
        <v>74</v>
      </c>
      <c r="O1354" s="10">
        <f>IFERROR(VLOOKUP(A1354,Flete!$A:$J,10,0),"")</f>
        <v/>
      </c>
      <c r="P1354" s="8" t="inlineStr">
        <is>
          <t>M3</t>
        </is>
      </c>
      <c r="Q1354" s="10">
        <f>IFERROR(IFERROR(VLOOKUP(A1354,TRAOPE!$A:$U,21,0),VLOOKUP(B1354,TRAOPE!$A:$U,21,0)),"")</f>
        <v/>
      </c>
      <c r="R1354" s="8">
        <f>IFERROR(IFERROR(VLOOKUP(A1354,TRAOPE!$A:$W,23,0),VLOOKUP(B1354,TRAOPE!$A:$W,23,0)),"")</f>
        <v/>
      </c>
      <c r="S1354" s="10">
        <f>IF(AND(P1354="TN",R1354="TN"),N1354+N(O1354),IF(G1354&amp;""="1",N(K1354)*N1354,(N1354+N(O1354))*N(K1354)))</f>
        <v/>
      </c>
      <c r="T1354" s="10">
        <f>IF(Q1354="","",Q1354-S1354)</f>
        <v/>
      </c>
    </row>
    <row r="1355">
      <c r="A1355" s="7">
        <f>CONCATENATE(C1355,E1355,F1355,I1355)</f>
        <v/>
      </c>
      <c r="B1355" s="7">
        <f>CONCATENATE(C1355,E1355,I1355)</f>
        <v/>
      </c>
      <c r="C1355" s="8" t="n">
        <v>900003613</v>
      </c>
      <c r="D1355" s="7">
        <f>IFERROR(VLOOKUP(C1355,TRAOPE!$G:$H,2,0),"")</f>
        <v/>
      </c>
      <c r="E1355" s="8" t="inlineStr">
        <is>
          <t>D836</t>
        </is>
      </c>
      <c r="F1355" s="8" t="inlineStr">
        <is>
          <t>66239618</t>
        </is>
      </c>
      <c r="G1355" s="8">
        <f>IFERROR(VLOOKUP(A1355,Flete!$A:$E,5,0),"")</f>
        <v/>
      </c>
      <c r="H1355" s="7">
        <f>IFERROR(VLOOKUP(F1355,TRAOPE!$AA:$AB,2,0),"")</f>
        <v/>
      </c>
      <c r="I1355" s="7" t="n">
        <v>10000253</v>
      </c>
      <c r="J1355" s="7">
        <f>IFERROR(VLOOKUP(I1355,Materiales!$A:$H,8,0),"")</f>
        <v/>
      </c>
      <c r="K1355" s="9">
        <f>IFERROR(VLOOKUP(I1355,Materiales!$A:$G,7,0),"")</f>
        <v/>
      </c>
      <c r="L1355" s="8" t="inlineStr">
        <is>
          <t>20190426</t>
        </is>
      </c>
      <c r="M1355" s="8" t="inlineStr">
        <is>
          <t>20250127</t>
        </is>
      </c>
      <c r="N1355" s="10" t="n">
        <v>80</v>
      </c>
      <c r="O1355" s="10">
        <f>IFERROR(VLOOKUP(A1355,Flete!$A:$J,10,0),"")</f>
        <v/>
      </c>
      <c r="P1355" s="8" t="inlineStr">
        <is>
          <t>M3</t>
        </is>
      </c>
      <c r="Q1355" s="10">
        <f>IFERROR(IFERROR(VLOOKUP(A1355,TRAOPE!$A:$U,21,0),VLOOKUP(B1355,TRAOPE!$A:$U,21,0)),"")</f>
        <v/>
      </c>
      <c r="R1355" s="8">
        <f>IFERROR(IFERROR(VLOOKUP(A1355,TRAOPE!$A:$W,23,0),VLOOKUP(B1355,TRAOPE!$A:$W,23,0)),"")</f>
        <v/>
      </c>
      <c r="S1355" s="10">
        <f>IF(AND(P1355="TN",R1355="TN"),N1355+N(O1355),IF(G1355&amp;""="1",N(K1355)*N1355,(N1355+N(O1355))*N(K1355)))</f>
        <v/>
      </c>
      <c r="T1355" s="10">
        <f>IF(Q1355="","",Q1355-S1355)</f>
        <v/>
      </c>
    </row>
    <row r="1356">
      <c r="A1356" s="7">
        <f>CONCATENATE(C1356,E1356,F1356,I1356)</f>
        <v/>
      </c>
      <c r="B1356" s="7">
        <f>CONCATENATE(C1356,E1356,I1356)</f>
        <v/>
      </c>
      <c r="C1356" s="8" t="n">
        <v>900003613</v>
      </c>
      <c r="D1356" s="7">
        <f>IFERROR(VLOOKUP(C1356,TRAOPE!$G:$H,2,0),"")</f>
        <v/>
      </c>
      <c r="E1356" s="8" t="inlineStr">
        <is>
          <t>D836</t>
        </is>
      </c>
      <c r="F1356" s="8" t="inlineStr">
        <is>
          <t>66239618</t>
        </is>
      </c>
      <c r="G1356" s="8">
        <f>IFERROR(VLOOKUP(A1356,Flete!$A:$E,5,0),"")</f>
        <v/>
      </c>
      <c r="H1356" s="7">
        <f>IFERROR(VLOOKUP(F1356,TRAOPE!$AA:$AB,2,0),"")</f>
        <v/>
      </c>
      <c r="I1356" s="7" t="n">
        <v>10059181</v>
      </c>
      <c r="J1356" s="7">
        <f>IFERROR(VLOOKUP(I1356,Materiales!$A:$H,8,0),"")</f>
        <v/>
      </c>
      <c r="K1356" s="9">
        <f>IFERROR(VLOOKUP(I1356,Materiales!$A:$G,7,0),"")</f>
        <v/>
      </c>
      <c r="L1356" s="8" t="inlineStr">
        <is>
          <t>20190426</t>
        </is>
      </c>
      <c r="M1356" s="8" t="inlineStr">
        <is>
          <t>20250127</t>
        </is>
      </c>
      <c r="N1356" s="10" t="n">
        <v>80</v>
      </c>
      <c r="O1356" s="10">
        <f>IFERROR(VLOOKUP(A1356,Flete!$A:$J,10,0),"")</f>
        <v/>
      </c>
      <c r="P1356" s="8" t="inlineStr">
        <is>
          <t>M3</t>
        </is>
      </c>
      <c r="Q1356" s="10">
        <f>IFERROR(IFERROR(VLOOKUP(A1356,TRAOPE!$A:$U,21,0),VLOOKUP(B1356,TRAOPE!$A:$U,21,0)),"")</f>
        <v/>
      </c>
      <c r="R1356" s="8">
        <f>IFERROR(IFERROR(VLOOKUP(A1356,TRAOPE!$A:$W,23,0),VLOOKUP(B1356,TRAOPE!$A:$W,23,0)),"")</f>
        <v/>
      </c>
      <c r="S1356" s="10">
        <f>IF(AND(P1356="TN",R1356="TN"),N1356+N(O1356),IF(G1356&amp;""="1",N(K1356)*N1356,(N1356+N(O1356))*N(K1356)))</f>
        <v/>
      </c>
      <c r="T1356" s="10">
        <f>IF(Q1356="","",Q1356-S1356)</f>
        <v/>
      </c>
    </row>
    <row r="1357">
      <c r="A1357" s="7">
        <f>CONCATENATE(C1357,E1357,F1357,I1357)</f>
        <v/>
      </c>
      <c r="B1357" s="7">
        <f>CONCATENATE(C1357,E1357,I1357)</f>
        <v/>
      </c>
      <c r="C1357" s="8" t="n">
        <v>900003613</v>
      </c>
      <c r="D1357" s="7">
        <f>IFERROR(VLOOKUP(C1357,TRAOPE!$G:$H,2,0),"")</f>
        <v/>
      </c>
      <c r="E1357" s="8" t="inlineStr">
        <is>
          <t>D836</t>
        </is>
      </c>
      <c r="F1357" s="8" t="inlineStr">
        <is>
          <t>66239621</t>
        </is>
      </c>
      <c r="G1357" s="8">
        <f>IFERROR(VLOOKUP(A1357,Flete!$A:$E,5,0),"")</f>
        <v/>
      </c>
      <c r="H1357" s="7">
        <f>IFERROR(VLOOKUP(F1357,TRAOPE!$AA:$AB,2,0),"")</f>
        <v/>
      </c>
      <c r="I1357" s="7" t="n">
        <v>10000253</v>
      </c>
      <c r="J1357" s="7">
        <f>IFERROR(VLOOKUP(I1357,Materiales!$A:$H,8,0),"")</f>
        <v/>
      </c>
      <c r="K1357" s="9">
        <f>IFERROR(VLOOKUP(I1357,Materiales!$A:$G,7,0),"")</f>
        <v/>
      </c>
      <c r="L1357" s="8" t="inlineStr">
        <is>
          <t>20190426</t>
        </is>
      </c>
      <c r="M1357" s="8" t="inlineStr">
        <is>
          <t>20250127</t>
        </is>
      </c>
      <c r="N1357" s="10" t="n">
        <v>79</v>
      </c>
      <c r="O1357" s="10">
        <f>IFERROR(VLOOKUP(A1357,Flete!$A:$J,10,0),"")</f>
        <v/>
      </c>
      <c r="P1357" s="8" t="inlineStr">
        <is>
          <t>M3</t>
        </is>
      </c>
      <c r="Q1357" s="10">
        <f>IFERROR(IFERROR(VLOOKUP(A1357,TRAOPE!$A:$U,21,0),VLOOKUP(B1357,TRAOPE!$A:$U,21,0)),"")</f>
        <v/>
      </c>
      <c r="R1357" s="8">
        <f>IFERROR(IFERROR(VLOOKUP(A1357,TRAOPE!$A:$W,23,0),VLOOKUP(B1357,TRAOPE!$A:$W,23,0)),"")</f>
        <v/>
      </c>
      <c r="S1357" s="10">
        <f>IF(AND(P1357="TN",R1357="TN"),N1357+N(O1357),IF(G1357&amp;""="1",N(K1357)*N1357,(N1357+N(O1357))*N(K1357)))</f>
        <v/>
      </c>
      <c r="T1357" s="10">
        <f>IF(Q1357="","",Q1357-S1357)</f>
        <v/>
      </c>
    </row>
    <row r="1358">
      <c r="A1358" s="7">
        <f>CONCATENATE(C1358,E1358,F1358,I1358)</f>
        <v/>
      </c>
      <c r="B1358" s="7">
        <f>CONCATENATE(C1358,E1358,I1358)</f>
        <v/>
      </c>
      <c r="C1358" s="8" t="n">
        <v>900003613</v>
      </c>
      <c r="D1358" s="7">
        <f>IFERROR(VLOOKUP(C1358,TRAOPE!$G:$H,2,0),"")</f>
        <v/>
      </c>
      <c r="E1358" s="8" t="inlineStr">
        <is>
          <t>D836</t>
        </is>
      </c>
      <c r="F1358" s="8" t="inlineStr">
        <is>
          <t>66239621</t>
        </is>
      </c>
      <c r="G1358" s="8">
        <f>IFERROR(VLOOKUP(A1358,Flete!$A:$E,5,0),"")</f>
        <v/>
      </c>
      <c r="H1358" s="7">
        <f>IFERROR(VLOOKUP(F1358,TRAOPE!$AA:$AB,2,0),"")</f>
        <v/>
      </c>
      <c r="I1358" s="7" t="n">
        <v>10000627</v>
      </c>
      <c r="J1358" s="7">
        <f>IFERROR(VLOOKUP(I1358,Materiales!$A:$H,8,0),"")</f>
        <v/>
      </c>
      <c r="K1358" s="9">
        <f>IFERROR(VLOOKUP(I1358,Materiales!$A:$G,7,0),"")</f>
        <v/>
      </c>
      <c r="L1358" s="8" t="inlineStr">
        <is>
          <t>20190426</t>
        </is>
      </c>
      <c r="M1358" s="8" t="inlineStr">
        <is>
          <t>20250127</t>
        </is>
      </c>
      <c r="N1358" s="10" t="n">
        <v>76</v>
      </c>
      <c r="O1358" s="10">
        <f>IFERROR(VLOOKUP(A1358,Flete!$A:$J,10,0),"")</f>
        <v/>
      </c>
      <c r="P1358" s="8" t="inlineStr">
        <is>
          <t>M3</t>
        </is>
      </c>
      <c r="Q1358" s="10">
        <f>IFERROR(IFERROR(VLOOKUP(A1358,TRAOPE!$A:$U,21,0),VLOOKUP(B1358,TRAOPE!$A:$U,21,0)),"")</f>
        <v/>
      </c>
      <c r="R1358" s="8">
        <f>IFERROR(IFERROR(VLOOKUP(A1358,TRAOPE!$A:$W,23,0),VLOOKUP(B1358,TRAOPE!$A:$W,23,0)),"")</f>
        <v/>
      </c>
      <c r="S1358" s="10">
        <f>IF(AND(P1358="TN",R1358="TN"),N1358+N(O1358),IF(G1358&amp;""="1",N(K1358)*N1358,(N1358+N(O1358))*N(K1358)))</f>
        <v/>
      </c>
      <c r="T1358" s="10">
        <f>IF(Q1358="","",Q1358-S1358)</f>
        <v/>
      </c>
    </row>
    <row r="1359">
      <c r="A1359" s="7">
        <f>CONCATENATE(C1359,E1359,F1359,I1359)</f>
        <v/>
      </c>
      <c r="B1359" s="7">
        <f>CONCATENATE(C1359,E1359,I1359)</f>
        <v/>
      </c>
      <c r="C1359" s="8" t="n">
        <v>900003613</v>
      </c>
      <c r="D1359" s="7">
        <f>IFERROR(VLOOKUP(C1359,TRAOPE!$G:$H,2,0),"")</f>
        <v/>
      </c>
      <c r="E1359" s="8" t="inlineStr">
        <is>
          <t>D836</t>
        </is>
      </c>
      <c r="F1359" s="8" t="inlineStr">
        <is>
          <t>66239621</t>
        </is>
      </c>
      <c r="G1359" s="8">
        <f>IFERROR(VLOOKUP(A1359,Flete!$A:$E,5,0),"")</f>
        <v/>
      </c>
      <c r="H1359" s="7">
        <f>IFERROR(VLOOKUP(F1359,TRAOPE!$AA:$AB,2,0),"")</f>
        <v/>
      </c>
      <c r="I1359" s="7" t="n">
        <v>10059181</v>
      </c>
      <c r="J1359" s="7">
        <f>IFERROR(VLOOKUP(I1359,Materiales!$A:$H,8,0),"")</f>
        <v/>
      </c>
      <c r="K1359" s="9">
        <f>IFERROR(VLOOKUP(I1359,Materiales!$A:$G,7,0),"")</f>
        <v/>
      </c>
      <c r="L1359" s="8" t="inlineStr">
        <is>
          <t>20190426</t>
        </is>
      </c>
      <c r="M1359" s="8" t="inlineStr">
        <is>
          <t>20250127</t>
        </is>
      </c>
      <c r="N1359" s="10" t="n">
        <v>74</v>
      </c>
      <c r="O1359" s="10">
        <f>IFERROR(VLOOKUP(A1359,Flete!$A:$J,10,0),"")</f>
        <v/>
      </c>
      <c r="P1359" s="8" t="inlineStr">
        <is>
          <t>M3</t>
        </is>
      </c>
      <c r="Q1359" s="10">
        <f>IFERROR(IFERROR(VLOOKUP(A1359,TRAOPE!$A:$U,21,0),VLOOKUP(B1359,TRAOPE!$A:$U,21,0)),"")</f>
        <v/>
      </c>
      <c r="R1359" s="8">
        <f>IFERROR(IFERROR(VLOOKUP(A1359,TRAOPE!$A:$W,23,0),VLOOKUP(B1359,TRAOPE!$A:$W,23,0)),"")</f>
        <v/>
      </c>
      <c r="S1359" s="10">
        <f>IF(AND(P1359="TN",R1359="TN"),N1359+N(O1359),IF(G1359&amp;""="1",N(K1359)*N1359,(N1359+N(O1359))*N(K1359)))</f>
        <v/>
      </c>
      <c r="T1359" s="10">
        <f>IF(Q1359="","",Q1359-S1359)</f>
        <v/>
      </c>
    </row>
    <row r="1360">
      <c r="A1360" s="7">
        <f>CONCATENATE(C1360,E1360,F1360,I1360)</f>
        <v/>
      </c>
      <c r="B1360" s="7">
        <f>CONCATENATE(C1360,E1360,I1360)</f>
        <v/>
      </c>
      <c r="C1360" s="8" t="n">
        <v>900003613</v>
      </c>
      <c r="D1360" s="7">
        <f>IFERROR(VLOOKUP(C1360,TRAOPE!$G:$H,2,0),"")</f>
        <v/>
      </c>
      <c r="E1360" s="8" t="inlineStr">
        <is>
          <t>D836</t>
        </is>
      </c>
      <c r="F1360" s="8" t="inlineStr">
        <is>
          <t>66239627</t>
        </is>
      </c>
      <c r="G1360" s="8">
        <f>IFERROR(VLOOKUP(A1360,Flete!$A:$E,5,0),"")</f>
        <v/>
      </c>
      <c r="H1360" s="7">
        <f>IFERROR(VLOOKUP(F1360,TRAOPE!$AA:$AB,2,0),"")</f>
        <v/>
      </c>
      <c r="I1360" s="7" t="n">
        <v>10000253</v>
      </c>
      <c r="J1360" s="7">
        <f>IFERROR(VLOOKUP(I1360,Materiales!$A:$H,8,0),"")</f>
        <v/>
      </c>
      <c r="K1360" s="9">
        <f>IFERROR(VLOOKUP(I1360,Materiales!$A:$G,7,0),"")</f>
        <v/>
      </c>
      <c r="L1360" s="8" t="inlineStr">
        <is>
          <t>20190426</t>
        </is>
      </c>
      <c r="M1360" s="8" t="inlineStr">
        <is>
          <t>20250127</t>
        </is>
      </c>
      <c r="N1360" s="10" t="n">
        <v>79</v>
      </c>
      <c r="O1360" s="10">
        <f>IFERROR(VLOOKUP(A1360,Flete!$A:$J,10,0),"")</f>
        <v/>
      </c>
      <c r="P1360" s="8" t="inlineStr">
        <is>
          <t>M3</t>
        </is>
      </c>
      <c r="Q1360" s="10">
        <f>IFERROR(IFERROR(VLOOKUP(A1360,TRAOPE!$A:$U,21,0),VLOOKUP(B1360,TRAOPE!$A:$U,21,0)),"")</f>
        <v/>
      </c>
      <c r="R1360" s="8">
        <f>IFERROR(IFERROR(VLOOKUP(A1360,TRAOPE!$A:$W,23,0),VLOOKUP(B1360,TRAOPE!$A:$W,23,0)),"")</f>
        <v/>
      </c>
      <c r="S1360" s="10">
        <f>IF(AND(P1360="TN",R1360="TN"),N1360+N(O1360),IF(G1360&amp;""="1",N(K1360)*N1360,(N1360+N(O1360))*N(K1360)))</f>
        <v/>
      </c>
      <c r="T1360" s="10">
        <f>IF(Q1360="","",Q1360-S1360)</f>
        <v/>
      </c>
    </row>
    <row r="1361">
      <c r="A1361" s="7">
        <f>CONCATENATE(C1361,E1361,F1361,I1361)</f>
        <v/>
      </c>
      <c r="B1361" s="7">
        <f>CONCATENATE(C1361,E1361,I1361)</f>
        <v/>
      </c>
      <c r="C1361" s="8" t="n">
        <v>900003613</v>
      </c>
      <c r="D1361" s="7">
        <f>IFERROR(VLOOKUP(C1361,TRAOPE!$G:$H,2,0),"")</f>
        <v/>
      </c>
      <c r="E1361" s="8" t="inlineStr">
        <is>
          <t>D836</t>
        </is>
      </c>
      <c r="F1361" s="8" t="inlineStr">
        <is>
          <t>66239627</t>
        </is>
      </c>
      <c r="G1361" s="8">
        <f>IFERROR(VLOOKUP(A1361,Flete!$A:$E,5,0),"")</f>
        <v/>
      </c>
      <c r="H1361" s="7">
        <f>IFERROR(VLOOKUP(F1361,TRAOPE!$AA:$AB,2,0),"")</f>
        <v/>
      </c>
      <c r="I1361" s="7" t="n">
        <v>10000627</v>
      </c>
      <c r="J1361" s="7">
        <f>IFERROR(VLOOKUP(I1361,Materiales!$A:$H,8,0),"")</f>
        <v/>
      </c>
      <c r="K1361" s="9">
        <f>IFERROR(VLOOKUP(I1361,Materiales!$A:$G,7,0),"")</f>
        <v/>
      </c>
      <c r="L1361" s="8" t="inlineStr">
        <is>
          <t>20190426</t>
        </is>
      </c>
      <c r="M1361" s="8" t="inlineStr">
        <is>
          <t>20250127</t>
        </is>
      </c>
      <c r="N1361" s="10" t="n">
        <v>76</v>
      </c>
      <c r="O1361" s="10">
        <f>IFERROR(VLOOKUP(A1361,Flete!$A:$J,10,0),"")</f>
        <v/>
      </c>
      <c r="P1361" s="8" t="inlineStr">
        <is>
          <t>M3</t>
        </is>
      </c>
      <c r="Q1361" s="10">
        <f>IFERROR(IFERROR(VLOOKUP(A1361,TRAOPE!$A:$U,21,0),VLOOKUP(B1361,TRAOPE!$A:$U,21,0)),"")</f>
        <v/>
      </c>
      <c r="R1361" s="8">
        <f>IFERROR(IFERROR(VLOOKUP(A1361,TRAOPE!$A:$W,23,0),VLOOKUP(B1361,TRAOPE!$A:$W,23,0)),"")</f>
        <v/>
      </c>
      <c r="S1361" s="10">
        <f>IF(AND(P1361="TN",R1361="TN"),N1361+N(O1361),IF(G1361&amp;""="1",N(K1361)*N1361,(N1361+N(O1361))*N(K1361)))</f>
        <v/>
      </c>
      <c r="T1361" s="10">
        <f>IF(Q1361="","",Q1361-S1361)</f>
        <v/>
      </c>
    </row>
    <row r="1362">
      <c r="A1362" s="7">
        <f>CONCATENATE(C1362,E1362,F1362,I1362)</f>
        <v/>
      </c>
      <c r="B1362" s="7">
        <f>CONCATENATE(C1362,E1362,I1362)</f>
        <v/>
      </c>
      <c r="C1362" s="8" t="n">
        <v>900003613</v>
      </c>
      <c r="D1362" s="7">
        <f>IFERROR(VLOOKUP(C1362,TRAOPE!$G:$H,2,0),"")</f>
        <v/>
      </c>
      <c r="E1362" s="8" t="inlineStr">
        <is>
          <t>D836</t>
        </is>
      </c>
      <c r="F1362" s="8" t="inlineStr">
        <is>
          <t>66239627</t>
        </is>
      </c>
      <c r="G1362" s="8">
        <f>IFERROR(VLOOKUP(A1362,Flete!$A:$E,5,0),"")</f>
        <v/>
      </c>
      <c r="H1362" s="7">
        <f>IFERROR(VLOOKUP(F1362,TRAOPE!$AA:$AB,2,0),"")</f>
        <v/>
      </c>
      <c r="I1362" s="7" t="n">
        <v>10059181</v>
      </c>
      <c r="J1362" s="7">
        <f>IFERROR(VLOOKUP(I1362,Materiales!$A:$H,8,0),"")</f>
        <v/>
      </c>
      <c r="K1362" s="9">
        <f>IFERROR(VLOOKUP(I1362,Materiales!$A:$G,7,0),"")</f>
        <v/>
      </c>
      <c r="L1362" s="8" t="inlineStr">
        <is>
          <t>20190426</t>
        </is>
      </c>
      <c r="M1362" s="8" t="inlineStr">
        <is>
          <t>20250127</t>
        </is>
      </c>
      <c r="N1362" s="10" t="n">
        <v>74</v>
      </c>
      <c r="O1362" s="10">
        <f>IFERROR(VLOOKUP(A1362,Flete!$A:$J,10,0),"")</f>
        <v/>
      </c>
      <c r="P1362" s="8" t="inlineStr">
        <is>
          <t>M3</t>
        </is>
      </c>
      <c r="Q1362" s="10">
        <f>IFERROR(IFERROR(VLOOKUP(A1362,TRAOPE!$A:$U,21,0),VLOOKUP(B1362,TRAOPE!$A:$U,21,0)),"")</f>
        <v/>
      </c>
      <c r="R1362" s="8">
        <f>IFERROR(IFERROR(VLOOKUP(A1362,TRAOPE!$A:$W,23,0),VLOOKUP(B1362,TRAOPE!$A:$W,23,0)),"")</f>
        <v/>
      </c>
      <c r="S1362" s="10">
        <f>IF(AND(P1362="TN",R1362="TN"),N1362+N(O1362),IF(G1362&amp;""="1",N(K1362)*N1362,(N1362+N(O1362))*N(K1362)))</f>
        <v/>
      </c>
      <c r="T1362" s="10">
        <f>IF(Q1362="","",Q1362-S1362)</f>
        <v/>
      </c>
    </row>
    <row r="1363">
      <c r="A1363" s="7">
        <f>CONCATENATE(C1363,E1363,F1363,I1363)</f>
        <v/>
      </c>
      <c r="B1363" s="7">
        <f>CONCATENATE(C1363,E1363,I1363)</f>
        <v/>
      </c>
      <c r="C1363" s="8" t="n">
        <v>900003613</v>
      </c>
      <c r="D1363" s="7">
        <f>IFERROR(VLOOKUP(C1363,TRAOPE!$G:$H,2,0),"")</f>
        <v/>
      </c>
      <c r="E1363" s="8" t="inlineStr">
        <is>
          <t>D836</t>
        </is>
      </c>
      <c r="F1363" s="8" t="inlineStr">
        <is>
          <t>66239628</t>
        </is>
      </c>
      <c r="G1363" s="8">
        <f>IFERROR(VLOOKUP(A1363,Flete!$A:$E,5,0),"")</f>
        <v/>
      </c>
      <c r="H1363" s="7">
        <f>IFERROR(VLOOKUP(F1363,TRAOPE!$AA:$AB,2,0),"")</f>
        <v/>
      </c>
      <c r="I1363" s="7" t="n">
        <v>10000253</v>
      </c>
      <c r="J1363" s="7">
        <f>IFERROR(VLOOKUP(I1363,Materiales!$A:$H,8,0),"")</f>
        <v/>
      </c>
      <c r="K1363" s="9">
        <f>IFERROR(VLOOKUP(I1363,Materiales!$A:$G,7,0),"")</f>
        <v/>
      </c>
      <c r="L1363" s="8" t="inlineStr">
        <is>
          <t>20190426</t>
        </is>
      </c>
      <c r="M1363" s="8" t="inlineStr">
        <is>
          <t>20250127</t>
        </is>
      </c>
      <c r="N1363" s="10" t="n">
        <v>79</v>
      </c>
      <c r="O1363" s="10">
        <f>IFERROR(VLOOKUP(A1363,Flete!$A:$J,10,0),"")</f>
        <v/>
      </c>
      <c r="P1363" s="8" t="inlineStr">
        <is>
          <t>M3</t>
        </is>
      </c>
      <c r="Q1363" s="10">
        <f>IFERROR(IFERROR(VLOOKUP(A1363,TRAOPE!$A:$U,21,0),VLOOKUP(B1363,TRAOPE!$A:$U,21,0)),"")</f>
        <v/>
      </c>
      <c r="R1363" s="8">
        <f>IFERROR(IFERROR(VLOOKUP(A1363,TRAOPE!$A:$W,23,0),VLOOKUP(B1363,TRAOPE!$A:$W,23,0)),"")</f>
        <v/>
      </c>
      <c r="S1363" s="10">
        <f>IF(AND(P1363="TN",R1363="TN"),N1363+N(O1363),IF(G1363&amp;""="1",N(K1363)*N1363,(N1363+N(O1363))*N(K1363)))</f>
        <v/>
      </c>
      <c r="T1363" s="10">
        <f>IF(Q1363="","",Q1363-S1363)</f>
        <v/>
      </c>
    </row>
    <row r="1364">
      <c r="A1364" s="7">
        <f>CONCATENATE(C1364,E1364,F1364,I1364)</f>
        <v/>
      </c>
      <c r="B1364" s="7">
        <f>CONCATENATE(C1364,E1364,I1364)</f>
        <v/>
      </c>
      <c r="C1364" s="8" t="n">
        <v>900003613</v>
      </c>
      <c r="D1364" s="7">
        <f>IFERROR(VLOOKUP(C1364,TRAOPE!$G:$H,2,0),"")</f>
        <v/>
      </c>
      <c r="E1364" s="8" t="inlineStr">
        <is>
          <t>D836</t>
        </is>
      </c>
      <c r="F1364" s="8" t="inlineStr">
        <is>
          <t>66239628</t>
        </is>
      </c>
      <c r="G1364" s="8">
        <f>IFERROR(VLOOKUP(A1364,Flete!$A:$E,5,0),"")</f>
        <v/>
      </c>
      <c r="H1364" s="7">
        <f>IFERROR(VLOOKUP(F1364,TRAOPE!$AA:$AB,2,0),"")</f>
        <v/>
      </c>
      <c r="I1364" s="7" t="n">
        <v>10000627</v>
      </c>
      <c r="J1364" s="7">
        <f>IFERROR(VLOOKUP(I1364,Materiales!$A:$H,8,0),"")</f>
        <v/>
      </c>
      <c r="K1364" s="9">
        <f>IFERROR(VLOOKUP(I1364,Materiales!$A:$G,7,0),"")</f>
        <v/>
      </c>
      <c r="L1364" s="8" t="inlineStr">
        <is>
          <t>20190426</t>
        </is>
      </c>
      <c r="M1364" s="8" t="inlineStr">
        <is>
          <t>20250127</t>
        </is>
      </c>
      <c r="N1364" s="10" t="n">
        <v>76</v>
      </c>
      <c r="O1364" s="10">
        <f>IFERROR(VLOOKUP(A1364,Flete!$A:$J,10,0),"")</f>
        <v/>
      </c>
      <c r="P1364" s="8" t="inlineStr">
        <is>
          <t>M3</t>
        </is>
      </c>
      <c r="Q1364" s="10">
        <f>IFERROR(IFERROR(VLOOKUP(A1364,TRAOPE!$A:$U,21,0),VLOOKUP(B1364,TRAOPE!$A:$U,21,0)),"")</f>
        <v/>
      </c>
      <c r="R1364" s="8">
        <f>IFERROR(IFERROR(VLOOKUP(A1364,TRAOPE!$A:$W,23,0),VLOOKUP(B1364,TRAOPE!$A:$W,23,0)),"")</f>
        <v/>
      </c>
      <c r="S1364" s="10">
        <f>IF(AND(P1364="TN",R1364="TN"),N1364+N(O1364),IF(G1364&amp;""="1",N(K1364)*N1364,(N1364+N(O1364))*N(K1364)))</f>
        <v/>
      </c>
      <c r="T1364" s="10">
        <f>IF(Q1364="","",Q1364-S1364)</f>
        <v/>
      </c>
    </row>
    <row r="1365">
      <c r="A1365" s="7">
        <f>CONCATENATE(C1365,E1365,F1365,I1365)</f>
        <v/>
      </c>
      <c r="B1365" s="7">
        <f>CONCATENATE(C1365,E1365,I1365)</f>
        <v/>
      </c>
      <c r="C1365" s="8" t="n">
        <v>900003613</v>
      </c>
      <c r="D1365" s="7">
        <f>IFERROR(VLOOKUP(C1365,TRAOPE!$G:$H,2,0),"")</f>
        <v/>
      </c>
      <c r="E1365" s="8" t="inlineStr">
        <is>
          <t>D836</t>
        </is>
      </c>
      <c r="F1365" s="8" t="inlineStr">
        <is>
          <t>66239628</t>
        </is>
      </c>
      <c r="G1365" s="8">
        <f>IFERROR(VLOOKUP(A1365,Flete!$A:$E,5,0),"")</f>
        <v/>
      </c>
      <c r="H1365" s="7">
        <f>IFERROR(VLOOKUP(F1365,TRAOPE!$AA:$AB,2,0),"")</f>
        <v/>
      </c>
      <c r="I1365" s="7" t="n">
        <v>10059181</v>
      </c>
      <c r="J1365" s="7">
        <f>IFERROR(VLOOKUP(I1365,Materiales!$A:$H,8,0),"")</f>
        <v/>
      </c>
      <c r="K1365" s="9">
        <f>IFERROR(VLOOKUP(I1365,Materiales!$A:$G,7,0),"")</f>
        <v/>
      </c>
      <c r="L1365" s="8" t="inlineStr">
        <is>
          <t>20190426</t>
        </is>
      </c>
      <c r="M1365" s="8" t="inlineStr">
        <is>
          <t>20250127</t>
        </is>
      </c>
      <c r="N1365" s="10" t="n">
        <v>74</v>
      </c>
      <c r="O1365" s="10">
        <f>IFERROR(VLOOKUP(A1365,Flete!$A:$J,10,0),"")</f>
        <v/>
      </c>
      <c r="P1365" s="8" t="inlineStr">
        <is>
          <t>M3</t>
        </is>
      </c>
      <c r="Q1365" s="10">
        <f>IFERROR(IFERROR(VLOOKUP(A1365,TRAOPE!$A:$U,21,0),VLOOKUP(B1365,TRAOPE!$A:$U,21,0)),"")</f>
        <v/>
      </c>
      <c r="R1365" s="8">
        <f>IFERROR(IFERROR(VLOOKUP(A1365,TRAOPE!$A:$W,23,0),VLOOKUP(B1365,TRAOPE!$A:$W,23,0)),"")</f>
        <v/>
      </c>
      <c r="S1365" s="10">
        <f>IF(AND(P1365="TN",R1365="TN"),N1365+N(O1365),IF(G1365&amp;""="1",N(K1365)*N1365,(N1365+N(O1365))*N(K1365)))</f>
        <v/>
      </c>
      <c r="T1365" s="10">
        <f>IF(Q1365="","",Q1365-S1365)</f>
        <v/>
      </c>
    </row>
    <row r="1366">
      <c r="A1366" s="7">
        <f>CONCATENATE(C1366,E1366,F1366,I1366)</f>
        <v/>
      </c>
      <c r="B1366" s="7">
        <f>CONCATENATE(C1366,E1366,I1366)</f>
        <v/>
      </c>
      <c r="C1366" s="8" t="n">
        <v>900003613</v>
      </c>
      <c r="D1366" s="7">
        <f>IFERROR(VLOOKUP(C1366,TRAOPE!$G:$H,2,0),"")</f>
        <v/>
      </c>
      <c r="E1366" s="8" t="inlineStr">
        <is>
          <t>D836</t>
        </is>
      </c>
      <c r="F1366" s="8" t="inlineStr">
        <is>
          <t>66289412</t>
        </is>
      </c>
      <c r="G1366" s="8">
        <f>IFERROR(VLOOKUP(A1366,Flete!$A:$E,5,0),"")</f>
        <v/>
      </c>
      <c r="H1366" s="7">
        <f>IFERROR(VLOOKUP(F1366,TRAOPE!$AA:$AB,2,0),"")</f>
        <v/>
      </c>
      <c r="I1366" s="7" t="n">
        <v>10000253</v>
      </c>
      <c r="J1366" s="7">
        <f>IFERROR(VLOOKUP(I1366,Materiales!$A:$H,8,0),"")</f>
        <v/>
      </c>
      <c r="K1366" s="9">
        <f>IFERROR(VLOOKUP(I1366,Materiales!$A:$G,7,0),"")</f>
        <v/>
      </c>
      <c r="L1366" s="8" t="inlineStr">
        <is>
          <t>20190426</t>
        </is>
      </c>
      <c r="M1366" s="8" t="inlineStr">
        <is>
          <t>20250127</t>
        </is>
      </c>
      <c r="N1366" s="10" t="n">
        <v>79</v>
      </c>
      <c r="O1366" s="10">
        <f>IFERROR(VLOOKUP(A1366,Flete!$A:$J,10,0),"")</f>
        <v/>
      </c>
      <c r="P1366" s="8" t="inlineStr">
        <is>
          <t>M3</t>
        </is>
      </c>
      <c r="Q1366" s="10">
        <f>IFERROR(IFERROR(VLOOKUP(A1366,TRAOPE!$A:$U,21,0),VLOOKUP(B1366,TRAOPE!$A:$U,21,0)),"")</f>
        <v/>
      </c>
      <c r="R1366" s="8">
        <f>IFERROR(IFERROR(VLOOKUP(A1366,TRAOPE!$A:$W,23,0),VLOOKUP(B1366,TRAOPE!$A:$W,23,0)),"")</f>
        <v/>
      </c>
      <c r="S1366" s="10">
        <f>IF(AND(P1366="TN",R1366="TN"),N1366+N(O1366),IF(G1366&amp;""="1",N(K1366)*N1366,(N1366+N(O1366))*N(K1366)))</f>
        <v/>
      </c>
      <c r="T1366" s="10">
        <f>IF(Q1366="","",Q1366-S1366)</f>
        <v/>
      </c>
    </row>
    <row r="1367">
      <c r="A1367" s="7">
        <f>CONCATENATE(C1367,E1367,F1367,I1367)</f>
        <v/>
      </c>
      <c r="B1367" s="7">
        <f>CONCATENATE(C1367,E1367,I1367)</f>
        <v/>
      </c>
      <c r="C1367" s="8" t="n">
        <v>900003613</v>
      </c>
      <c r="D1367" s="7">
        <f>IFERROR(VLOOKUP(C1367,TRAOPE!$G:$H,2,0),"")</f>
        <v/>
      </c>
      <c r="E1367" s="8" t="inlineStr">
        <is>
          <t>D836</t>
        </is>
      </c>
      <c r="F1367" s="8" t="inlineStr">
        <is>
          <t>66289412</t>
        </is>
      </c>
      <c r="G1367" s="8">
        <f>IFERROR(VLOOKUP(A1367,Flete!$A:$E,5,0),"")</f>
        <v/>
      </c>
      <c r="H1367" s="7">
        <f>IFERROR(VLOOKUP(F1367,TRAOPE!$AA:$AB,2,0),"")</f>
        <v/>
      </c>
      <c r="I1367" s="7" t="n">
        <v>10000627</v>
      </c>
      <c r="J1367" s="7">
        <f>IFERROR(VLOOKUP(I1367,Materiales!$A:$H,8,0),"")</f>
        <v/>
      </c>
      <c r="K1367" s="9">
        <f>IFERROR(VLOOKUP(I1367,Materiales!$A:$G,7,0),"")</f>
        <v/>
      </c>
      <c r="L1367" s="8" t="inlineStr">
        <is>
          <t>20190426</t>
        </is>
      </c>
      <c r="M1367" s="8" t="inlineStr">
        <is>
          <t>20250127</t>
        </is>
      </c>
      <c r="N1367" s="10" t="n">
        <v>76</v>
      </c>
      <c r="O1367" s="10">
        <f>IFERROR(VLOOKUP(A1367,Flete!$A:$J,10,0),"")</f>
        <v/>
      </c>
      <c r="P1367" s="8" t="inlineStr">
        <is>
          <t>M3</t>
        </is>
      </c>
      <c r="Q1367" s="10">
        <f>IFERROR(IFERROR(VLOOKUP(A1367,TRAOPE!$A:$U,21,0),VLOOKUP(B1367,TRAOPE!$A:$U,21,0)),"")</f>
        <v/>
      </c>
      <c r="R1367" s="8">
        <f>IFERROR(IFERROR(VLOOKUP(A1367,TRAOPE!$A:$W,23,0),VLOOKUP(B1367,TRAOPE!$A:$W,23,0)),"")</f>
        <v/>
      </c>
      <c r="S1367" s="10">
        <f>IF(AND(P1367="TN",R1367="TN"),N1367+N(O1367),IF(G1367&amp;""="1",N(K1367)*N1367,(N1367+N(O1367))*N(K1367)))</f>
        <v/>
      </c>
      <c r="T1367" s="10">
        <f>IF(Q1367="","",Q1367-S1367)</f>
        <v/>
      </c>
    </row>
    <row r="1368">
      <c r="A1368" s="7">
        <f>CONCATENATE(C1368,E1368,F1368,I1368)</f>
        <v/>
      </c>
      <c r="B1368" s="7">
        <f>CONCATENATE(C1368,E1368,I1368)</f>
        <v/>
      </c>
      <c r="C1368" s="8" t="n">
        <v>900003613</v>
      </c>
      <c r="D1368" s="7">
        <f>IFERROR(VLOOKUP(C1368,TRAOPE!$G:$H,2,0),"")</f>
        <v/>
      </c>
      <c r="E1368" s="8" t="inlineStr">
        <is>
          <t>D836</t>
        </is>
      </c>
      <c r="F1368" s="8" t="inlineStr">
        <is>
          <t>66289412</t>
        </is>
      </c>
      <c r="G1368" s="8">
        <f>IFERROR(VLOOKUP(A1368,Flete!$A:$E,5,0),"")</f>
        <v/>
      </c>
      <c r="H1368" s="7">
        <f>IFERROR(VLOOKUP(F1368,TRAOPE!$AA:$AB,2,0),"")</f>
        <v/>
      </c>
      <c r="I1368" s="7" t="n">
        <v>10059181</v>
      </c>
      <c r="J1368" s="7">
        <f>IFERROR(VLOOKUP(I1368,Materiales!$A:$H,8,0),"")</f>
        <v/>
      </c>
      <c r="K1368" s="9">
        <f>IFERROR(VLOOKUP(I1368,Materiales!$A:$G,7,0),"")</f>
        <v/>
      </c>
      <c r="L1368" s="8" t="inlineStr">
        <is>
          <t>20190426</t>
        </is>
      </c>
      <c r="M1368" s="8" t="inlineStr">
        <is>
          <t>20250127</t>
        </is>
      </c>
      <c r="N1368" s="10" t="n">
        <v>74</v>
      </c>
      <c r="O1368" s="10">
        <f>IFERROR(VLOOKUP(A1368,Flete!$A:$J,10,0),"")</f>
        <v/>
      </c>
      <c r="P1368" s="8" t="inlineStr">
        <is>
          <t>M3</t>
        </is>
      </c>
      <c r="Q1368" s="10">
        <f>IFERROR(IFERROR(VLOOKUP(A1368,TRAOPE!$A:$U,21,0),VLOOKUP(B1368,TRAOPE!$A:$U,21,0)),"")</f>
        <v/>
      </c>
      <c r="R1368" s="8">
        <f>IFERROR(IFERROR(VLOOKUP(A1368,TRAOPE!$A:$W,23,0),VLOOKUP(B1368,TRAOPE!$A:$W,23,0)),"")</f>
        <v/>
      </c>
      <c r="S1368" s="10">
        <f>IF(AND(P1368="TN",R1368="TN"),N1368+N(O1368),IF(G1368&amp;""="1",N(K1368)*N1368,(N1368+N(O1368))*N(K1368)))</f>
        <v/>
      </c>
      <c r="T1368" s="10">
        <f>IF(Q1368="","",Q1368-S1368)</f>
        <v/>
      </c>
    </row>
    <row r="1369">
      <c r="A1369" s="7">
        <f>CONCATENATE(C1369,E1369,F1369,I1369)</f>
        <v/>
      </c>
      <c r="B1369" s="7">
        <f>CONCATENATE(C1369,E1369,I1369)</f>
        <v/>
      </c>
      <c r="C1369" s="8" t="n">
        <v>900003613</v>
      </c>
      <c r="D1369" s="7">
        <f>IFERROR(VLOOKUP(C1369,TRAOPE!$G:$H,2,0),"")</f>
        <v/>
      </c>
      <c r="E1369" s="8" t="inlineStr">
        <is>
          <t>D836</t>
        </is>
      </c>
      <c r="F1369" s="8" t="inlineStr">
        <is>
          <t>66289413</t>
        </is>
      </c>
      <c r="G1369" s="8">
        <f>IFERROR(VLOOKUP(A1369,Flete!$A:$E,5,0),"")</f>
        <v/>
      </c>
      <c r="H1369" s="7">
        <f>IFERROR(VLOOKUP(F1369,TRAOPE!$AA:$AB,2,0),"")</f>
        <v/>
      </c>
      <c r="I1369" s="7" t="n">
        <v>10000253</v>
      </c>
      <c r="J1369" s="7">
        <f>IFERROR(VLOOKUP(I1369,Materiales!$A:$H,8,0),"")</f>
        <v/>
      </c>
      <c r="K1369" s="9">
        <f>IFERROR(VLOOKUP(I1369,Materiales!$A:$G,7,0),"")</f>
        <v/>
      </c>
      <c r="L1369" s="8" t="inlineStr">
        <is>
          <t>20190426</t>
        </is>
      </c>
      <c r="M1369" s="8" t="inlineStr">
        <is>
          <t>20250127</t>
        </is>
      </c>
      <c r="N1369" s="10" t="n">
        <v>79</v>
      </c>
      <c r="O1369" s="10">
        <f>IFERROR(VLOOKUP(A1369,Flete!$A:$J,10,0),"")</f>
        <v/>
      </c>
      <c r="P1369" s="8" t="inlineStr">
        <is>
          <t>M3</t>
        </is>
      </c>
      <c r="Q1369" s="10">
        <f>IFERROR(IFERROR(VLOOKUP(A1369,TRAOPE!$A:$U,21,0),VLOOKUP(B1369,TRAOPE!$A:$U,21,0)),"")</f>
        <v/>
      </c>
      <c r="R1369" s="8">
        <f>IFERROR(IFERROR(VLOOKUP(A1369,TRAOPE!$A:$W,23,0),VLOOKUP(B1369,TRAOPE!$A:$W,23,0)),"")</f>
        <v/>
      </c>
      <c r="S1369" s="10">
        <f>IF(AND(P1369="TN",R1369="TN"),N1369+N(O1369),IF(G1369&amp;""="1",N(K1369)*N1369,(N1369+N(O1369))*N(K1369)))</f>
        <v/>
      </c>
      <c r="T1369" s="10">
        <f>IF(Q1369="","",Q1369-S1369)</f>
        <v/>
      </c>
    </row>
    <row r="1370">
      <c r="A1370" s="7">
        <f>CONCATENATE(C1370,E1370,F1370,I1370)</f>
        <v/>
      </c>
      <c r="B1370" s="7">
        <f>CONCATENATE(C1370,E1370,I1370)</f>
        <v/>
      </c>
      <c r="C1370" s="8" t="n">
        <v>900003613</v>
      </c>
      <c r="D1370" s="7">
        <f>IFERROR(VLOOKUP(C1370,TRAOPE!$G:$H,2,0),"")</f>
        <v/>
      </c>
      <c r="E1370" s="8" t="inlineStr">
        <is>
          <t>D836</t>
        </is>
      </c>
      <c r="F1370" s="8" t="inlineStr">
        <is>
          <t>66289413</t>
        </is>
      </c>
      <c r="G1370" s="8">
        <f>IFERROR(VLOOKUP(A1370,Flete!$A:$E,5,0),"")</f>
        <v/>
      </c>
      <c r="H1370" s="7">
        <f>IFERROR(VLOOKUP(F1370,TRAOPE!$AA:$AB,2,0),"")</f>
        <v/>
      </c>
      <c r="I1370" s="7" t="n">
        <v>10000627</v>
      </c>
      <c r="J1370" s="7">
        <f>IFERROR(VLOOKUP(I1370,Materiales!$A:$H,8,0),"")</f>
        <v/>
      </c>
      <c r="K1370" s="9">
        <f>IFERROR(VLOOKUP(I1370,Materiales!$A:$G,7,0),"")</f>
        <v/>
      </c>
      <c r="L1370" s="8" t="inlineStr">
        <is>
          <t>20190426</t>
        </is>
      </c>
      <c r="M1370" s="8" t="inlineStr">
        <is>
          <t>20250127</t>
        </is>
      </c>
      <c r="N1370" s="10" t="n">
        <v>76</v>
      </c>
      <c r="O1370" s="10">
        <f>IFERROR(VLOOKUP(A1370,Flete!$A:$J,10,0),"")</f>
        <v/>
      </c>
      <c r="P1370" s="8" t="inlineStr">
        <is>
          <t>M3</t>
        </is>
      </c>
      <c r="Q1370" s="10">
        <f>IFERROR(IFERROR(VLOOKUP(A1370,TRAOPE!$A:$U,21,0),VLOOKUP(B1370,TRAOPE!$A:$U,21,0)),"")</f>
        <v/>
      </c>
      <c r="R1370" s="8">
        <f>IFERROR(IFERROR(VLOOKUP(A1370,TRAOPE!$A:$W,23,0),VLOOKUP(B1370,TRAOPE!$A:$W,23,0)),"")</f>
        <v/>
      </c>
      <c r="S1370" s="10">
        <f>IF(AND(P1370="TN",R1370="TN"),N1370+N(O1370),IF(G1370&amp;""="1",N(K1370)*N1370,(N1370+N(O1370))*N(K1370)))</f>
        <v/>
      </c>
      <c r="T1370" s="10">
        <f>IF(Q1370="","",Q1370-S1370)</f>
        <v/>
      </c>
    </row>
    <row r="1371">
      <c r="A1371" s="7">
        <f>CONCATENATE(C1371,E1371,F1371,I1371)</f>
        <v/>
      </c>
      <c r="B1371" s="7">
        <f>CONCATENATE(C1371,E1371,I1371)</f>
        <v/>
      </c>
      <c r="C1371" s="8" t="n">
        <v>900003613</v>
      </c>
      <c r="D1371" s="7">
        <f>IFERROR(VLOOKUP(C1371,TRAOPE!$G:$H,2,0),"")</f>
        <v/>
      </c>
      <c r="E1371" s="8" t="inlineStr">
        <is>
          <t>D836</t>
        </is>
      </c>
      <c r="F1371" s="8" t="inlineStr">
        <is>
          <t>66289413</t>
        </is>
      </c>
      <c r="G1371" s="8">
        <f>IFERROR(VLOOKUP(A1371,Flete!$A:$E,5,0),"")</f>
        <v/>
      </c>
      <c r="H1371" s="7">
        <f>IFERROR(VLOOKUP(F1371,TRAOPE!$AA:$AB,2,0),"")</f>
        <v/>
      </c>
      <c r="I1371" s="7" t="n">
        <v>10059181</v>
      </c>
      <c r="J1371" s="7">
        <f>IFERROR(VLOOKUP(I1371,Materiales!$A:$H,8,0),"")</f>
        <v/>
      </c>
      <c r="K1371" s="9">
        <f>IFERROR(VLOOKUP(I1371,Materiales!$A:$G,7,0),"")</f>
        <v/>
      </c>
      <c r="L1371" s="8" t="inlineStr">
        <is>
          <t>20190426</t>
        </is>
      </c>
      <c r="M1371" s="8" t="inlineStr">
        <is>
          <t>20250127</t>
        </is>
      </c>
      <c r="N1371" s="10" t="n">
        <v>74</v>
      </c>
      <c r="O1371" s="10">
        <f>IFERROR(VLOOKUP(A1371,Flete!$A:$J,10,0),"")</f>
        <v/>
      </c>
      <c r="P1371" s="8" t="inlineStr">
        <is>
          <t>M3</t>
        </is>
      </c>
      <c r="Q1371" s="10">
        <f>IFERROR(IFERROR(VLOOKUP(A1371,TRAOPE!$A:$U,21,0),VLOOKUP(B1371,TRAOPE!$A:$U,21,0)),"")</f>
        <v/>
      </c>
      <c r="R1371" s="8">
        <f>IFERROR(IFERROR(VLOOKUP(A1371,TRAOPE!$A:$W,23,0),VLOOKUP(B1371,TRAOPE!$A:$W,23,0)),"")</f>
        <v/>
      </c>
      <c r="S1371" s="10">
        <f>IF(AND(P1371="TN",R1371="TN"),N1371+N(O1371),IF(G1371&amp;""="1",N(K1371)*N1371,(N1371+N(O1371))*N(K1371)))</f>
        <v/>
      </c>
      <c r="T1371" s="10">
        <f>IF(Q1371="","",Q1371-S1371)</f>
        <v/>
      </c>
    </row>
    <row r="1372">
      <c r="A1372" s="7">
        <f>CONCATENATE(C1372,E1372,F1372,I1372)</f>
        <v/>
      </c>
      <c r="B1372" s="7">
        <f>CONCATENATE(C1372,E1372,I1372)</f>
        <v/>
      </c>
      <c r="C1372" s="8" t="n">
        <v>900003613</v>
      </c>
      <c r="D1372" s="7">
        <f>IFERROR(VLOOKUP(C1372,TRAOPE!$G:$H,2,0),"")</f>
        <v/>
      </c>
      <c r="E1372" s="8" t="inlineStr">
        <is>
          <t>D836</t>
        </is>
      </c>
      <c r="F1372" s="8" t="inlineStr">
        <is>
          <t>66313323</t>
        </is>
      </c>
      <c r="G1372" s="8">
        <f>IFERROR(VLOOKUP(A1372,Flete!$A:$E,5,0),"")</f>
        <v/>
      </c>
      <c r="H1372" s="7">
        <f>IFERROR(VLOOKUP(F1372,TRAOPE!$AA:$AB,2,0),"")</f>
        <v/>
      </c>
      <c r="I1372" s="7" t="n">
        <v>10000160</v>
      </c>
      <c r="J1372" s="7">
        <f>IFERROR(VLOOKUP(I1372,Materiales!$A:$H,8,0),"")</f>
        <v/>
      </c>
      <c r="K1372" s="9">
        <f>IFERROR(VLOOKUP(I1372,Materiales!$A:$G,7,0),"")</f>
        <v/>
      </c>
      <c r="L1372" s="8" t="inlineStr">
        <is>
          <t>20190426</t>
        </is>
      </c>
      <c r="M1372" s="8" t="inlineStr">
        <is>
          <t>20250127</t>
        </is>
      </c>
      <c r="N1372" s="10" t="n">
        <v>77</v>
      </c>
      <c r="O1372" s="10">
        <f>IFERROR(VLOOKUP(A1372,Flete!$A:$J,10,0),"")</f>
        <v/>
      </c>
      <c r="P1372" s="8" t="inlineStr">
        <is>
          <t>M3</t>
        </is>
      </c>
      <c r="Q1372" s="10">
        <f>IFERROR(IFERROR(VLOOKUP(A1372,TRAOPE!$A:$U,21,0),VLOOKUP(B1372,TRAOPE!$A:$U,21,0)),"")</f>
        <v/>
      </c>
      <c r="R1372" s="8">
        <f>IFERROR(IFERROR(VLOOKUP(A1372,TRAOPE!$A:$W,23,0),VLOOKUP(B1372,TRAOPE!$A:$W,23,0)),"")</f>
        <v/>
      </c>
      <c r="S1372" s="10">
        <f>IF(AND(P1372="TN",R1372="TN"),N1372+N(O1372),IF(G1372&amp;""="1",N(K1372)*N1372,(N1372+N(O1372))*N(K1372)))</f>
        <v/>
      </c>
      <c r="T1372" s="10">
        <f>IF(Q1372="","",Q1372-S1372)</f>
        <v/>
      </c>
    </row>
    <row r="1373">
      <c r="A1373" s="7">
        <f>CONCATENATE(C1373,E1373,F1373,I1373)</f>
        <v/>
      </c>
      <c r="B1373" s="7">
        <f>CONCATENATE(C1373,E1373,I1373)</f>
        <v/>
      </c>
      <c r="C1373" s="8" t="n">
        <v>900003613</v>
      </c>
      <c r="D1373" s="7">
        <f>IFERROR(VLOOKUP(C1373,TRAOPE!$G:$H,2,0),"")</f>
        <v/>
      </c>
      <c r="E1373" s="8" t="inlineStr">
        <is>
          <t>D836</t>
        </is>
      </c>
      <c r="F1373" s="8" t="inlineStr">
        <is>
          <t>66313323</t>
        </is>
      </c>
      <c r="G1373" s="8">
        <f>IFERROR(VLOOKUP(A1373,Flete!$A:$E,5,0),"")</f>
        <v/>
      </c>
      <c r="H1373" s="7">
        <f>IFERROR(VLOOKUP(F1373,TRAOPE!$AA:$AB,2,0),"")</f>
        <v/>
      </c>
      <c r="I1373" s="7" t="n">
        <v>10059181</v>
      </c>
      <c r="J1373" s="7">
        <f>IFERROR(VLOOKUP(I1373,Materiales!$A:$H,8,0),"")</f>
        <v/>
      </c>
      <c r="K1373" s="9">
        <f>IFERROR(VLOOKUP(I1373,Materiales!$A:$G,7,0),"")</f>
        <v/>
      </c>
      <c r="L1373" s="8" t="inlineStr">
        <is>
          <t>20190426</t>
        </is>
      </c>
      <c r="M1373" s="8" t="inlineStr">
        <is>
          <t>20250127</t>
        </is>
      </c>
      <c r="N1373" s="10" t="n">
        <v>77</v>
      </c>
      <c r="O1373" s="10">
        <f>IFERROR(VLOOKUP(A1373,Flete!$A:$J,10,0),"")</f>
        <v/>
      </c>
      <c r="P1373" s="8" t="inlineStr">
        <is>
          <t>M3</t>
        </is>
      </c>
      <c r="Q1373" s="10">
        <f>IFERROR(IFERROR(VLOOKUP(A1373,TRAOPE!$A:$U,21,0),VLOOKUP(B1373,TRAOPE!$A:$U,21,0)),"")</f>
        <v/>
      </c>
      <c r="R1373" s="8">
        <f>IFERROR(IFERROR(VLOOKUP(A1373,TRAOPE!$A:$W,23,0),VLOOKUP(B1373,TRAOPE!$A:$W,23,0)),"")</f>
        <v/>
      </c>
      <c r="S1373" s="10">
        <f>IF(AND(P1373="TN",R1373="TN"),N1373+N(O1373),IF(G1373&amp;""="1",N(K1373)*N1373,(N1373+N(O1373))*N(K1373)))</f>
        <v/>
      </c>
      <c r="T1373" s="10">
        <f>IF(Q1373="","",Q1373-S1373)</f>
        <v/>
      </c>
    </row>
    <row r="1374">
      <c r="A1374" s="7">
        <f>CONCATENATE(C1374,E1374,F1374,I1374)</f>
        <v/>
      </c>
      <c r="B1374" s="7">
        <f>CONCATENATE(C1374,E1374,I1374)</f>
        <v/>
      </c>
      <c r="C1374" s="8" t="n">
        <v>900003613</v>
      </c>
      <c r="D1374" s="7">
        <f>IFERROR(VLOOKUP(C1374,TRAOPE!$G:$H,2,0),"")</f>
        <v/>
      </c>
      <c r="E1374" s="8" t="inlineStr">
        <is>
          <t>D836</t>
        </is>
      </c>
      <c r="F1374" s="8" t="inlineStr">
        <is>
          <t>66395728</t>
        </is>
      </c>
      <c r="G1374" s="8">
        <f>IFERROR(VLOOKUP(A1374,Flete!$A:$E,5,0),"")</f>
        <v/>
      </c>
      <c r="H1374" s="7">
        <f>IFERROR(VLOOKUP(F1374,TRAOPE!$AA:$AB,2,0),"")</f>
        <v/>
      </c>
      <c r="I1374" s="7" t="n">
        <v>10000160</v>
      </c>
      <c r="J1374" s="7">
        <f>IFERROR(VLOOKUP(I1374,Materiales!$A:$H,8,0),"")</f>
        <v/>
      </c>
      <c r="K1374" s="9">
        <f>IFERROR(VLOOKUP(I1374,Materiales!$A:$G,7,0),"")</f>
        <v/>
      </c>
      <c r="L1374" s="8" t="inlineStr">
        <is>
          <t>20190426</t>
        </is>
      </c>
      <c r="M1374" s="8" t="inlineStr">
        <is>
          <t>20250127</t>
        </is>
      </c>
      <c r="N1374" s="10" t="n">
        <v>77</v>
      </c>
      <c r="O1374" s="10">
        <f>IFERROR(VLOOKUP(A1374,Flete!$A:$J,10,0),"")</f>
        <v/>
      </c>
      <c r="P1374" s="8" t="inlineStr">
        <is>
          <t>M3</t>
        </is>
      </c>
      <c r="Q1374" s="10">
        <f>IFERROR(IFERROR(VLOOKUP(A1374,TRAOPE!$A:$U,21,0),VLOOKUP(B1374,TRAOPE!$A:$U,21,0)),"")</f>
        <v/>
      </c>
      <c r="R1374" s="8">
        <f>IFERROR(IFERROR(VLOOKUP(A1374,TRAOPE!$A:$W,23,0),VLOOKUP(B1374,TRAOPE!$A:$W,23,0)),"")</f>
        <v/>
      </c>
      <c r="S1374" s="10">
        <f>IF(AND(P1374="TN",R1374="TN"),N1374+N(O1374),IF(G1374&amp;""="1",N(K1374)*N1374,(N1374+N(O1374))*N(K1374)))</f>
        <v/>
      </c>
      <c r="T1374" s="10">
        <f>IF(Q1374="","",Q1374-S1374)</f>
        <v/>
      </c>
    </row>
    <row r="1375">
      <c r="A1375" s="7">
        <f>CONCATENATE(C1375,E1375,F1375,I1375)</f>
        <v/>
      </c>
      <c r="B1375" s="7">
        <f>CONCATENATE(C1375,E1375,I1375)</f>
        <v/>
      </c>
      <c r="C1375" s="8" t="n">
        <v>900003613</v>
      </c>
      <c r="D1375" s="7">
        <f>IFERROR(VLOOKUP(C1375,TRAOPE!$G:$H,2,0),"")</f>
        <v/>
      </c>
      <c r="E1375" s="8" t="inlineStr">
        <is>
          <t>D836</t>
        </is>
      </c>
      <c r="F1375" s="8" t="inlineStr">
        <is>
          <t>66395728</t>
        </is>
      </c>
      <c r="G1375" s="8">
        <f>IFERROR(VLOOKUP(A1375,Flete!$A:$E,5,0),"")</f>
        <v/>
      </c>
      <c r="H1375" s="7">
        <f>IFERROR(VLOOKUP(F1375,TRAOPE!$AA:$AB,2,0),"")</f>
        <v/>
      </c>
      <c r="I1375" s="7" t="n">
        <v>10059181</v>
      </c>
      <c r="J1375" s="7">
        <f>IFERROR(VLOOKUP(I1375,Materiales!$A:$H,8,0),"")</f>
        <v/>
      </c>
      <c r="K1375" s="9">
        <f>IFERROR(VLOOKUP(I1375,Materiales!$A:$G,7,0),"")</f>
        <v/>
      </c>
      <c r="L1375" s="8" t="inlineStr">
        <is>
          <t>20190426</t>
        </is>
      </c>
      <c r="M1375" s="8" t="inlineStr">
        <is>
          <t>20250127</t>
        </is>
      </c>
      <c r="N1375" s="10" t="n">
        <v>77</v>
      </c>
      <c r="O1375" s="10">
        <f>IFERROR(VLOOKUP(A1375,Flete!$A:$J,10,0),"")</f>
        <v/>
      </c>
      <c r="P1375" s="8" t="inlineStr">
        <is>
          <t>M3</t>
        </is>
      </c>
      <c r="Q1375" s="10">
        <f>IFERROR(IFERROR(VLOOKUP(A1375,TRAOPE!$A:$U,21,0),VLOOKUP(B1375,TRAOPE!$A:$U,21,0)),"")</f>
        <v/>
      </c>
      <c r="R1375" s="8">
        <f>IFERROR(IFERROR(VLOOKUP(A1375,TRAOPE!$A:$W,23,0),VLOOKUP(B1375,TRAOPE!$A:$W,23,0)),"")</f>
        <v/>
      </c>
      <c r="S1375" s="10">
        <f>IF(AND(P1375="TN",R1375="TN"),N1375+N(O1375),IF(G1375&amp;""="1",N(K1375)*N1375,(N1375+N(O1375))*N(K1375)))</f>
        <v/>
      </c>
      <c r="T1375" s="10">
        <f>IF(Q1375="","",Q1375-S1375)</f>
        <v/>
      </c>
    </row>
    <row r="1376">
      <c r="A1376" s="7">
        <f>CONCATENATE(C1376,E1376,F1376,I1376)</f>
        <v/>
      </c>
      <c r="B1376" s="7">
        <f>CONCATENATE(C1376,E1376,I1376)</f>
        <v/>
      </c>
      <c r="C1376" s="8" t="n">
        <v>900003613</v>
      </c>
      <c r="D1376" s="7">
        <f>IFERROR(VLOOKUP(C1376,TRAOPE!$G:$H,2,0),"")</f>
        <v/>
      </c>
      <c r="E1376" s="8" t="inlineStr">
        <is>
          <t>D836</t>
        </is>
      </c>
      <c r="F1376" s="8" t="inlineStr">
        <is>
          <t>66420831</t>
        </is>
      </c>
      <c r="G1376" s="8">
        <f>IFERROR(VLOOKUP(A1376,Flete!$A:$E,5,0),"")</f>
        <v/>
      </c>
      <c r="H1376" s="7">
        <f>IFERROR(VLOOKUP(F1376,TRAOPE!$AA:$AB,2,0),"")</f>
        <v/>
      </c>
      <c r="I1376" s="7" t="n">
        <v>10059181</v>
      </c>
      <c r="J1376" s="7">
        <f>IFERROR(VLOOKUP(I1376,Materiales!$A:$H,8,0),"")</f>
        <v/>
      </c>
      <c r="K1376" s="9">
        <f>IFERROR(VLOOKUP(I1376,Materiales!$A:$G,7,0),"")</f>
        <v/>
      </c>
      <c r="L1376" s="8" t="inlineStr">
        <is>
          <t>20190426</t>
        </is>
      </c>
      <c r="M1376" s="8" t="inlineStr">
        <is>
          <t>20250127</t>
        </is>
      </c>
      <c r="N1376" s="10" t="n">
        <v>77</v>
      </c>
      <c r="O1376" s="10">
        <f>IFERROR(VLOOKUP(A1376,Flete!$A:$J,10,0),"")</f>
        <v/>
      </c>
      <c r="P1376" s="8" t="inlineStr">
        <is>
          <t>M3</t>
        </is>
      </c>
      <c r="Q1376" s="10">
        <f>IFERROR(IFERROR(VLOOKUP(A1376,TRAOPE!$A:$U,21,0),VLOOKUP(B1376,TRAOPE!$A:$U,21,0)),"")</f>
        <v/>
      </c>
      <c r="R1376" s="8">
        <f>IFERROR(IFERROR(VLOOKUP(A1376,TRAOPE!$A:$W,23,0),VLOOKUP(B1376,TRAOPE!$A:$W,23,0)),"")</f>
        <v/>
      </c>
      <c r="S1376" s="10">
        <f>IF(AND(P1376="TN",R1376="TN"),N1376+N(O1376),IF(G1376&amp;""="1",N(K1376)*N1376,(N1376+N(O1376))*N(K1376)))</f>
        <v/>
      </c>
      <c r="T1376" s="10">
        <f>IF(Q1376="","",Q1376-S1376)</f>
        <v/>
      </c>
    </row>
    <row r="1377">
      <c r="A1377" s="7">
        <f>CONCATENATE(C1377,E1377,F1377,I1377)</f>
        <v/>
      </c>
      <c r="B1377" s="7">
        <f>CONCATENATE(C1377,E1377,I1377)</f>
        <v/>
      </c>
      <c r="C1377" s="8" t="n">
        <v>900003613</v>
      </c>
      <c r="D1377" s="7">
        <f>IFERROR(VLOOKUP(C1377,TRAOPE!$G:$H,2,0),"")</f>
        <v/>
      </c>
      <c r="E1377" s="8" t="inlineStr">
        <is>
          <t>D836</t>
        </is>
      </c>
      <c r="F1377" s="8" t="inlineStr">
        <is>
          <t>66458593</t>
        </is>
      </c>
      <c r="G1377" s="8">
        <f>IFERROR(VLOOKUP(A1377,Flete!$A:$E,5,0),"")</f>
        <v/>
      </c>
      <c r="H1377" s="7">
        <f>IFERROR(VLOOKUP(F1377,TRAOPE!$AA:$AB,2,0),"")</f>
        <v/>
      </c>
      <c r="I1377" s="7" t="n">
        <v>10059181</v>
      </c>
      <c r="J1377" s="7">
        <f>IFERROR(VLOOKUP(I1377,Materiales!$A:$H,8,0),"")</f>
        <v/>
      </c>
      <c r="K1377" s="9">
        <f>IFERROR(VLOOKUP(I1377,Materiales!$A:$G,7,0),"")</f>
        <v/>
      </c>
      <c r="L1377" s="8" t="inlineStr">
        <is>
          <t>20190426</t>
        </is>
      </c>
      <c r="M1377" s="8" t="inlineStr">
        <is>
          <t>20250127</t>
        </is>
      </c>
      <c r="N1377" s="10" t="n">
        <v>92</v>
      </c>
      <c r="O1377" s="10">
        <f>IFERROR(VLOOKUP(A1377,Flete!$A:$J,10,0),"")</f>
        <v/>
      </c>
      <c r="P1377" s="8" t="inlineStr">
        <is>
          <t>M3</t>
        </is>
      </c>
      <c r="Q1377" s="10">
        <f>IFERROR(IFERROR(VLOOKUP(A1377,TRAOPE!$A:$U,21,0),VLOOKUP(B1377,TRAOPE!$A:$U,21,0)),"")</f>
        <v/>
      </c>
      <c r="R1377" s="8">
        <f>IFERROR(IFERROR(VLOOKUP(A1377,TRAOPE!$A:$W,23,0),VLOOKUP(B1377,TRAOPE!$A:$W,23,0)),"")</f>
        <v/>
      </c>
      <c r="S1377" s="10">
        <f>IF(AND(P1377="TN",R1377="TN"),N1377+N(O1377),IF(G1377&amp;""="1",N(K1377)*N1377,(N1377+N(O1377))*N(K1377)))</f>
        <v/>
      </c>
      <c r="T1377" s="10">
        <f>IF(Q1377="","",Q1377-S1377)</f>
        <v/>
      </c>
    </row>
    <row r="1378">
      <c r="A1378" s="7">
        <f>CONCATENATE(C1378,E1378,F1378,I1378)</f>
        <v/>
      </c>
      <c r="B1378" s="7">
        <f>CONCATENATE(C1378,E1378,I1378)</f>
        <v/>
      </c>
      <c r="C1378" s="8" t="n">
        <v>900003613</v>
      </c>
      <c r="D1378" s="7">
        <f>IFERROR(VLOOKUP(C1378,TRAOPE!$G:$H,2,0),"")</f>
        <v/>
      </c>
      <c r="E1378" s="8" t="inlineStr">
        <is>
          <t>D836</t>
        </is>
      </c>
      <c r="F1378" s="8" t="inlineStr">
        <is>
          <t>66475158</t>
        </is>
      </c>
      <c r="G1378" s="8">
        <f>IFERROR(VLOOKUP(A1378,Flete!$A:$E,5,0),"")</f>
        <v/>
      </c>
      <c r="H1378" s="7">
        <f>IFERROR(VLOOKUP(F1378,TRAOPE!$AA:$AB,2,0),"")</f>
        <v/>
      </c>
      <c r="I1378" s="7" t="n">
        <v>10000253</v>
      </c>
      <c r="J1378" s="7">
        <f>IFERROR(VLOOKUP(I1378,Materiales!$A:$H,8,0),"")</f>
        <v/>
      </c>
      <c r="K1378" s="9">
        <f>IFERROR(VLOOKUP(I1378,Materiales!$A:$G,7,0),"")</f>
        <v/>
      </c>
      <c r="L1378" s="8" t="inlineStr">
        <is>
          <t>20190426</t>
        </is>
      </c>
      <c r="M1378" s="8" t="inlineStr">
        <is>
          <t>20250127</t>
        </is>
      </c>
      <c r="N1378" s="10" t="n">
        <v>79</v>
      </c>
      <c r="O1378" s="10">
        <f>IFERROR(VLOOKUP(A1378,Flete!$A:$J,10,0),"")</f>
        <v/>
      </c>
      <c r="P1378" s="8" t="inlineStr">
        <is>
          <t>M3</t>
        </is>
      </c>
      <c r="Q1378" s="10">
        <f>IFERROR(IFERROR(VLOOKUP(A1378,TRAOPE!$A:$U,21,0),VLOOKUP(B1378,TRAOPE!$A:$U,21,0)),"")</f>
        <v/>
      </c>
      <c r="R1378" s="8">
        <f>IFERROR(IFERROR(VLOOKUP(A1378,TRAOPE!$A:$W,23,0),VLOOKUP(B1378,TRAOPE!$A:$W,23,0)),"")</f>
        <v/>
      </c>
      <c r="S1378" s="10">
        <f>IF(AND(P1378="TN",R1378="TN"),N1378+N(O1378),IF(G1378&amp;""="1",N(K1378)*N1378,(N1378+N(O1378))*N(K1378)))</f>
        <v/>
      </c>
      <c r="T1378" s="10">
        <f>IF(Q1378="","",Q1378-S1378)</f>
        <v/>
      </c>
    </row>
    <row r="1379">
      <c r="A1379" s="7">
        <f>CONCATENATE(C1379,E1379,F1379,I1379)</f>
        <v/>
      </c>
      <c r="B1379" s="7">
        <f>CONCATENATE(C1379,E1379,I1379)</f>
        <v/>
      </c>
      <c r="C1379" s="8" t="n">
        <v>900003613</v>
      </c>
      <c r="D1379" s="7">
        <f>IFERROR(VLOOKUP(C1379,TRAOPE!$G:$H,2,0),"")</f>
        <v/>
      </c>
      <c r="E1379" s="8" t="inlineStr">
        <is>
          <t>D836</t>
        </is>
      </c>
      <c r="F1379" s="8" t="inlineStr">
        <is>
          <t>66475158</t>
        </is>
      </c>
      <c r="G1379" s="8">
        <f>IFERROR(VLOOKUP(A1379,Flete!$A:$E,5,0),"")</f>
        <v/>
      </c>
      <c r="H1379" s="7">
        <f>IFERROR(VLOOKUP(F1379,TRAOPE!$AA:$AB,2,0),"")</f>
        <v/>
      </c>
      <c r="I1379" s="7" t="n">
        <v>10000627</v>
      </c>
      <c r="J1379" s="7">
        <f>IFERROR(VLOOKUP(I1379,Materiales!$A:$H,8,0),"")</f>
        <v/>
      </c>
      <c r="K1379" s="9">
        <f>IFERROR(VLOOKUP(I1379,Materiales!$A:$G,7,0),"")</f>
        <v/>
      </c>
      <c r="L1379" s="8" t="inlineStr">
        <is>
          <t>20190426</t>
        </is>
      </c>
      <c r="M1379" s="8" t="inlineStr">
        <is>
          <t>20250127</t>
        </is>
      </c>
      <c r="N1379" s="10" t="n">
        <v>76</v>
      </c>
      <c r="O1379" s="10">
        <f>IFERROR(VLOOKUP(A1379,Flete!$A:$J,10,0),"")</f>
        <v/>
      </c>
      <c r="P1379" s="8" t="inlineStr">
        <is>
          <t>M3</t>
        </is>
      </c>
      <c r="Q1379" s="10">
        <f>IFERROR(IFERROR(VLOOKUP(A1379,TRAOPE!$A:$U,21,0),VLOOKUP(B1379,TRAOPE!$A:$U,21,0)),"")</f>
        <v/>
      </c>
      <c r="R1379" s="8">
        <f>IFERROR(IFERROR(VLOOKUP(A1379,TRAOPE!$A:$W,23,0),VLOOKUP(B1379,TRAOPE!$A:$W,23,0)),"")</f>
        <v/>
      </c>
      <c r="S1379" s="10">
        <f>IF(AND(P1379="TN",R1379="TN"),N1379+N(O1379),IF(G1379&amp;""="1",N(K1379)*N1379,(N1379+N(O1379))*N(K1379)))</f>
        <v/>
      </c>
      <c r="T1379" s="10">
        <f>IF(Q1379="","",Q1379-S1379)</f>
        <v/>
      </c>
    </row>
    <row r="1380">
      <c r="A1380" s="7">
        <f>CONCATENATE(C1380,E1380,F1380,I1380)</f>
        <v/>
      </c>
      <c r="B1380" s="7">
        <f>CONCATENATE(C1380,E1380,I1380)</f>
        <v/>
      </c>
      <c r="C1380" s="8" t="n">
        <v>900003613</v>
      </c>
      <c r="D1380" s="7">
        <f>IFERROR(VLOOKUP(C1380,TRAOPE!$G:$H,2,0),"")</f>
        <v/>
      </c>
      <c r="E1380" s="8" t="inlineStr">
        <is>
          <t>D836</t>
        </is>
      </c>
      <c r="F1380" s="8" t="inlineStr">
        <is>
          <t>66475158</t>
        </is>
      </c>
      <c r="G1380" s="8">
        <f>IFERROR(VLOOKUP(A1380,Flete!$A:$E,5,0),"")</f>
        <v/>
      </c>
      <c r="H1380" s="7">
        <f>IFERROR(VLOOKUP(F1380,TRAOPE!$AA:$AB,2,0),"")</f>
        <v/>
      </c>
      <c r="I1380" s="7" t="n">
        <v>10059181</v>
      </c>
      <c r="J1380" s="7">
        <f>IFERROR(VLOOKUP(I1380,Materiales!$A:$H,8,0),"")</f>
        <v/>
      </c>
      <c r="K1380" s="9">
        <f>IFERROR(VLOOKUP(I1380,Materiales!$A:$G,7,0),"")</f>
        <v/>
      </c>
      <c r="L1380" s="8" t="inlineStr">
        <is>
          <t>20190426</t>
        </is>
      </c>
      <c r="M1380" s="8" t="inlineStr">
        <is>
          <t>20250127</t>
        </is>
      </c>
      <c r="N1380" s="10" t="n">
        <v>74</v>
      </c>
      <c r="O1380" s="10">
        <f>IFERROR(VLOOKUP(A1380,Flete!$A:$J,10,0),"")</f>
        <v/>
      </c>
      <c r="P1380" s="8" t="inlineStr">
        <is>
          <t>M3</t>
        </is>
      </c>
      <c r="Q1380" s="10">
        <f>IFERROR(IFERROR(VLOOKUP(A1380,TRAOPE!$A:$U,21,0),VLOOKUP(B1380,TRAOPE!$A:$U,21,0)),"")</f>
        <v/>
      </c>
      <c r="R1380" s="8">
        <f>IFERROR(IFERROR(VLOOKUP(A1380,TRAOPE!$A:$W,23,0),VLOOKUP(B1380,TRAOPE!$A:$W,23,0)),"")</f>
        <v/>
      </c>
      <c r="S1380" s="10">
        <f>IF(AND(P1380="TN",R1380="TN"),N1380+N(O1380),IF(G1380&amp;""="1",N(K1380)*N1380,(N1380+N(O1380))*N(K1380)))</f>
        <v/>
      </c>
      <c r="T1380" s="10">
        <f>IF(Q1380="","",Q1380-S1380)</f>
        <v/>
      </c>
    </row>
    <row r="1381">
      <c r="A1381" s="7">
        <f>CONCATENATE(C1381,E1381,F1381,I1381)</f>
        <v/>
      </c>
      <c r="B1381" s="7">
        <f>CONCATENATE(C1381,E1381,I1381)</f>
        <v/>
      </c>
      <c r="C1381" s="8" t="n">
        <v>900003613</v>
      </c>
      <c r="D1381" s="7">
        <f>IFERROR(VLOOKUP(C1381,TRAOPE!$G:$H,2,0),"")</f>
        <v/>
      </c>
      <c r="E1381" s="8" t="inlineStr">
        <is>
          <t>D836</t>
        </is>
      </c>
      <c r="F1381" s="8" t="inlineStr">
        <is>
          <t>66482104</t>
        </is>
      </c>
      <c r="G1381" s="8">
        <f>IFERROR(VLOOKUP(A1381,Flete!$A:$E,5,0),"")</f>
        <v/>
      </c>
      <c r="H1381" s="7">
        <f>IFERROR(VLOOKUP(F1381,TRAOPE!$AA:$AB,2,0),"")</f>
        <v/>
      </c>
      <c r="I1381" s="7" t="n">
        <v>10000253</v>
      </c>
      <c r="J1381" s="7">
        <f>IFERROR(VLOOKUP(I1381,Materiales!$A:$H,8,0),"")</f>
        <v/>
      </c>
      <c r="K1381" s="9">
        <f>IFERROR(VLOOKUP(I1381,Materiales!$A:$G,7,0),"")</f>
        <v/>
      </c>
      <c r="L1381" s="8" t="inlineStr">
        <is>
          <t>20190426</t>
        </is>
      </c>
      <c r="M1381" s="8" t="inlineStr">
        <is>
          <t>20250127</t>
        </is>
      </c>
      <c r="N1381" s="10" t="n">
        <v>79</v>
      </c>
      <c r="O1381" s="10">
        <f>IFERROR(VLOOKUP(A1381,Flete!$A:$J,10,0),"")</f>
        <v/>
      </c>
      <c r="P1381" s="8" t="inlineStr">
        <is>
          <t>M3</t>
        </is>
      </c>
      <c r="Q1381" s="10">
        <f>IFERROR(IFERROR(VLOOKUP(A1381,TRAOPE!$A:$U,21,0),VLOOKUP(B1381,TRAOPE!$A:$U,21,0)),"")</f>
        <v/>
      </c>
      <c r="R1381" s="8">
        <f>IFERROR(IFERROR(VLOOKUP(A1381,TRAOPE!$A:$W,23,0),VLOOKUP(B1381,TRAOPE!$A:$W,23,0)),"")</f>
        <v/>
      </c>
      <c r="S1381" s="10">
        <f>IF(AND(P1381="TN",R1381="TN"),N1381+N(O1381),IF(G1381&amp;""="1",N(K1381)*N1381,(N1381+N(O1381))*N(K1381)))</f>
        <v/>
      </c>
      <c r="T1381" s="10">
        <f>IF(Q1381="","",Q1381-S1381)</f>
        <v/>
      </c>
    </row>
    <row r="1382">
      <c r="A1382" s="7">
        <f>CONCATENATE(C1382,E1382,F1382,I1382)</f>
        <v/>
      </c>
      <c r="B1382" s="7">
        <f>CONCATENATE(C1382,E1382,I1382)</f>
        <v/>
      </c>
      <c r="C1382" s="8" t="n">
        <v>900003613</v>
      </c>
      <c r="D1382" s="7">
        <f>IFERROR(VLOOKUP(C1382,TRAOPE!$G:$H,2,0),"")</f>
        <v/>
      </c>
      <c r="E1382" s="8" t="inlineStr">
        <is>
          <t>D836</t>
        </is>
      </c>
      <c r="F1382" s="8" t="inlineStr">
        <is>
          <t>66482104</t>
        </is>
      </c>
      <c r="G1382" s="8">
        <f>IFERROR(VLOOKUP(A1382,Flete!$A:$E,5,0),"")</f>
        <v/>
      </c>
      <c r="H1382" s="7">
        <f>IFERROR(VLOOKUP(F1382,TRAOPE!$AA:$AB,2,0),"")</f>
        <v/>
      </c>
      <c r="I1382" s="7" t="n">
        <v>10000627</v>
      </c>
      <c r="J1382" s="7">
        <f>IFERROR(VLOOKUP(I1382,Materiales!$A:$H,8,0),"")</f>
        <v/>
      </c>
      <c r="K1382" s="9">
        <f>IFERROR(VLOOKUP(I1382,Materiales!$A:$G,7,0),"")</f>
        <v/>
      </c>
      <c r="L1382" s="8" t="inlineStr">
        <is>
          <t>20190426</t>
        </is>
      </c>
      <c r="M1382" s="8" t="inlineStr">
        <is>
          <t>20250127</t>
        </is>
      </c>
      <c r="N1382" s="10" t="n">
        <v>76</v>
      </c>
      <c r="O1382" s="10">
        <f>IFERROR(VLOOKUP(A1382,Flete!$A:$J,10,0),"")</f>
        <v/>
      </c>
      <c r="P1382" s="8" t="inlineStr">
        <is>
          <t>M3</t>
        </is>
      </c>
      <c r="Q1382" s="10">
        <f>IFERROR(IFERROR(VLOOKUP(A1382,TRAOPE!$A:$U,21,0),VLOOKUP(B1382,TRAOPE!$A:$U,21,0)),"")</f>
        <v/>
      </c>
      <c r="R1382" s="8">
        <f>IFERROR(IFERROR(VLOOKUP(A1382,TRAOPE!$A:$W,23,0),VLOOKUP(B1382,TRAOPE!$A:$W,23,0)),"")</f>
        <v/>
      </c>
      <c r="S1382" s="10">
        <f>IF(AND(P1382="TN",R1382="TN"),N1382+N(O1382),IF(G1382&amp;""="1",N(K1382)*N1382,(N1382+N(O1382))*N(K1382)))</f>
        <v/>
      </c>
      <c r="T1382" s="10">
        <f>IF(Q1382="","",Q1382-S1382)</f>
        <v/>
      </c>
    </row>
    <row r="1383">
      <c r="A1383" s="7">
        <f>CONCATENATE(C1383,E1383,F1383,I1383)</f>
        <v/>
      </c>
      <c r="B1383" s="7">
        <f>CONCATENATE(C1383,E1383,I1383)</f>
        <v/>
      </c>
      <c r="C1383" s="8" t="n">
        <v>900003613</v>
      </c>
      <c r="D1383" s="7">
        <f>IFERROR(VLOOKUP(C1383,TRAOPE!$G:$H,2,0),"")</f>
        <v/>
      </c>
      <c r="E1383" s="8" t="inlineStr">
        <is>
          <t>D836</t>
        </is>
      </c>
      <c r="F1383" s="8" t="inlineStr">
        <is>
          <t>66482104</t>
        </is>
      </c>
      <c r="G1383" s="8">
        <f>IFERROR(VLOOKUP(A1383,Flete!$A:$E,5,0),"")</f>
        <v/>
      </c>
      <c r="H1383" s="7">
        <f>IFERROR(VLOOKUP(F1383,TRAOPE!$AA:$AB,2,0),"")</f>
        <v/>
      </c>
      <c r="I1383" s="7" t="n">
        <v>10059181</v>
      </c>
      <c r="J1383" s="7">
        <f>IFERROR(VLOOKUP(I1383,Materiales!$A:$H,8,0),"")</f>
        <v/>
      </c>
      <c r="K1383" s="9">
        <f>IFERROR(VLOOKUP(I1383,Materiales!$A:$G,7,0),"")</f>
        <v/>
      </c>
      <c r="L1383" s="8" t="inlineStr">
        <is>
          <t>20190426</t>
        </is>
      </c>
      <c r="M1383" s="8" t="inlineStr">
        <is>
          <t>20250127</t>
        </is>
      </c>
      <c r="N1383" s="10" t="n">
        <v>74</v>
      </c>
      <c r="O1383" s="10">
        <f>IFERROR(VLOOKUP(A1383,Flete!$A:$J,10,0),"")</f>
        <v/>
      </c>
      <c r="P1383" s="8" t="inlineStr">
        <is>
          <t>M3</t>
        </is>
      </c>
      <c r="Q1383" s="10">
        <f>IFERROR(IFERROR(VLOOKUP(A1383,TRAOPE!$A:$U,21,0),VLOOKUP(B1383,TRAOPE!$A:$U,21,0)),"")</f>
        <v/>
      </c>
      <c r="R1383" s="8">
        <f>IFERROR(IFERROR(VLOOKUP(A1383,TRAOPE!$A:$W,23,0),VLOOKUP(B1383,TRAOPE!$A:$W,23,0)),"")</f>
        <v/>
      </c>
      <c r="S1383" s="10">
        <f>IF(AND(P1383="TN",R1383="TN"),N1383+N(O1383),IF(G1383&amp;""="1",N(K1383)*N1383,(N1383+N(O1383))*N(K1383)))</f>
        <v/>
      </c>
      <c r="T1383" s="10">
        <f>IF(Q1383="","",Q1383-S1383)</f>
        <v/>
      </c>
    </row>
    <row r="1384">
      <c r="A1384" s="7">
        <f>CONCATENATE(C1384,E1384,F1384,I1384)</f>
        <v/>
      </c>
      <c r="B1384" s="7">
        <f>CONCATENATE(C1384,E1384,I1384)</f>
        <v/>
      </c>
      <c r="C1384" s="8" t="n">
        <v>900003613</v>
      </c>
      <c r="D1384" s="7">
        <f>IFERROR(VLOOKUP(C1384,TRAOPE!$G:$H,2,0),"")</f>
        <v/>
      </c>
      <c r="E1384" s="8" t="inlineStr">
        <is>
          <t>D836</t>
        </is>
      </c>
      <c r="F1384" s="8" t="inlineStr">
        <is>
          <t>66482288</t>
        </is>
      </c>
      <c r="G1384" s="8">
        <f>IFERROR(VLOOKUP(A1384,Flete!$A:$E,5,0),"")</f>
        <v/>
      </c>
      <c r="H1384" s="7">
        <f>IFERROR(VLOOKUP(F1384,TRAOPE!$AA:$AB,2,0),"")</f>
        <v/>
      </c>
      <c r="I1384" s="7" t="n">
        <v>10000253</v>
      </c>
      <c r="J1384" s="7">
        <f>IFERROR(VLOOKUP(I1384,Materiales!$A:$H,8,0),"")</f>
        <v/>
      </c>
      <c r="K1384" s="9">
        <f>IFERROR(VLOOKUP(I1384,Materiales!$A:$G,7,0),"")</f>
        <v/>
      </c>
      <c r="L1384" s="8" t="inlineStr">
        <is>
          <t>20190426</t>
        </is>
      </c>
      <c r="M1384" s="8" t="inlineStr">
        <is>
          <t>20250127</t>
        </is>
      </c>
      <c r="N1384" s="10" t="n">
        <v>79</v>
      </c>
      <c r="O1384" s="10">
        <f>IFERROR(VLOOKUP(A1384,Flete!$A:$J,10,0),"")</f>
        <v/>
      </c>
      <c r="P1384" s="8" t="inlineStr">
        <is>
          <t>M3</t>
        </is>
      </c>
      <c r="Q1384" s="10">
        <f>IFERROR(IFERROR(VLOOKUP(A1384,TRAOPE!$A:$U,21,0),VLOOKUP(B1384,TRAOPE!$A:$U,21,0)),"")</f>
        <v/>
      </c>
      <c r="R1384" s="8">
        <f>IFERROR(IFERROR(VLOOKUP(A1384,TRAOPE!$A:$W,23,0),VLOOKUP(B1384,TRAOPE!$A:$W,23,0)),"")</f>
        <v/>
      </c>
      <c r="S1384" s="10">
        <f>IF(AND(P1384="TN",R1384="TN"),N1384+N(O1384),IF(G1384&amp;""="1",N(K1384)*N1384,(N1384+N(O1384))*N(K1384)))</f>
        <v/>
      </c>
      <c r="T1384" s="10">
        <f>IF(Q1384="","",Q1384-S1384)</f>
        <v/>
      </c>
    </row>
    <row r="1385">
      <c r="A1385" s="7">
        <f>CONCATENATE(C1385,E1385,F1385,I1385)</f>
        <v/>
      </c>
      <c r="B1385" s="7">
        <f>CONCATENATE(C1385,E1385,I1385)</f>
        <v/>
      </c>
      <c r="C1385" s="8" t="n">
        <v>900003613</v>
      </c>
      <c r="D1385" s="7">
        <f>IFERROR(VLOOKUP(C1385,TRAOPE!$G:$H,2,0),"")</f>
        <v/>
      </c>
      <c r="E1385" s="8" t="inlineStr">
        <is>
          <t>D836</t>
        </is>
      </c>
      <c r="F1385" s="8" t="inlineStr">
        <is>
          <t>66482288</t>
        </is>
      </c>
      <c r="G1385" s="8">
        <f>IFERROR(VLOOKUP(A1385,Flete!$A:$E,5,0),"")</f>
        <v/>
      </c>
      <c r="H1385" s="7">
        <f>IFERROR(VLOOKUP(F1385,TRAOPE!$AA:$AB,2,0),"")</f>
        <v/>
      </c>
      <c r="I1385" s="7" t="n">
        <v>10000627</v>
      </c>
      <c r="J1385" s="7">
        <f>IFERROR(VLOOKUP(I1385,Materiales!$A:$H,8,0),"")</f>
        <v/>
      </c>
      <c r="K1385" s="9">
        <f>IFERROR(VLOOKUP(I1385,Materiales!$A:$G,7,0),"")</f>
        <v/>
      </c>
      <c r="L1385" s="8" t="inlineStr">
        <is>
          <t>20190426</t>
        </is>
      </c>
      <c r="M1385" s="8" t="inlineStr">
        <is>
          <t>20250127</t>
        </is>
      </c>
      <c r="N1385" s="10" t="n">
        <v>76</v>
      </c>
      <c r="O1385" s="10">
        <f>IFERROR(VLOOKUP(A1385,Flete!$A:$J,10,0),"")</f>
        <v/>
      </c>
      <c r="P1385" s="8" t="inlineStr">
        <is>
          <t>M3</t>
        </is>
      </c>
      <c r="Q1385" s="10">
        <f>IFERROR(IFERROR(VLOOKUP(A1385,TRAOPE!$A:$U,21,0),VLOOKUP(B1385,TRAOPE!$A:$U,21,0)),"")</f>
        <v/>
      </c>
      <c r="R1385" s="8">
        <f>IFERROR(IFERROR(VLOOKUP(A1385,TRAOPE!$A:$W,23,0),VLOOKUP(B1385,TRAOPE!$A:$W,23,0)),"")</f>
        <v/>
      </c>
      <c r="S1385" s="10">
        <f>IF(AND(P1385="TN",R1385="TN"),N1385+N(O1385),IF(G1385&amp;""="1",N(K1385)*N1385,(N1385+N(O1385))*N(K1385)))</f>
        <v/>
      </c>
      <c r="T1385" s="10">
        <f>IF(Q1385="","",Q1385-S1385)</f>
        <v/>
      </c>
    </row>
    <row r="1386">
      <c r="A1386" s="7">
        <f>CONCATENATE(C1386,E1386,F1386,I1386)</f>
        <v/>
      </c>
      <c r="B1386" s="7">
        <f>CONCATENATE(C1386,E1386,I1386)</f>
        <v/>
      </c>
      <c r="C1386" s="8" t="n">
        <v>900003613</v>
      </c>
      <c r="D1386" s="7">
        <f>IFERROR(VLOOKUP(C1386,TRAOPE!$G:$H,2,0),"")</f>
        <v/>
      </c>
      <c r="E1386" s="8" t="inlineStr">
        <is>
          <t>D836</t>
        </is>
      </c>
      <c r="F1386" s="8" t="inlineStr">
        <is>
          <t>66482288</t>
        </is>
      </c>
      <c r="G1386" s="8">
        <f>IFERROR(VLOOKUP(A1386,Flete!$A:$E,5,0),"")</f>
        <v/>
      </c>
      <c r="H1386" s="7">
        <f>IFERROR(VLOOKUP(F1386,TRAOPE!$AA:$AB,2,0),"")</f>
        <v/>
      </c>
      <c r="I1386" s="7" t="n">
        <v>10059181</v>
      </c>
      <c r="J1386" s="7">
        <f>IFERROR(VLOOKUP(I1386,Materiales!$A:$H,8,0),"")</f>
        <v/>
      </c>
      <c r="K1386" s="9">
        <f>IFERROR(VLOOKUP(I1386,Materiales!$A:$G,7,0),"")</f>
        <v/>
      </c>
      <c r="L1386" s="8" t="inlineStr">
        <is>
          <t>20190426</t>
        </is>
      </c>
      <c r="M1386" s="8" t="inlineStr">
        <is>
          <t>20250127</t>
        </is>
      </c>
      <c r="N1386" s="10" t="n">
        <v>74</v>
      </c>
      <c r="O1386" s="10">
        <f>IFERROR(VLOOKUP(A1386,Flete!$A:$J,10,0),"")</f>
        <v/>
      </c>
      <c r="P1386" s="8" t="inlineStr">
        <is>
          <t>M3</t>
        </is>
      </c>
      <c r="Q1386" s="10">
        <f>IFERROR(IFERROR(VLOOKUP(A1386,TRAOPE!$A:$U,21,0),VLOOKUP(B1386,TRAOPE!$A:$U,21,0)),"")</f>
        <v/>
      </c>
      <c r="R1386" s="8">
        <f>IFERROR(IFERROR(VLOOKUP(A1386,TRAOPE!$A:$W,23,0),VLOOKUP(B1386,TRAOPE!$A:$W,23,0)),"")</f>
        <v/>
      </c>
      <c r="S1386" s="10">
        <f>IF(AND(P1386="TN",R1386="TN"),N1386+N(O1386),IF(G1386&amp;""="1",N(K1386)*N1386,(N1386+N(O1386))*N(K1386)))</f>
        <v/>
      </c>
      <c r="T1386" s="10">
        <f>IF(Q1386="","",Q1386-S1386)</f>
        <v/>
      </c>
    </row>
    <row r="1387">
      <c r="A1387" s="7">
        <f>CONCATENATE(C1387,E1387,F1387,I1387)</f>
        <v/>
      </c>
      <c r="B1387" s="7">
        <f>CONCATENATE(C1387,E1387,I1387)</f>
        <v/>
      </c>
      <c r="C1387" s="8" t="n">
        <v>900003613</v>
      </c>
      <c r="D1387" s="7">
        <f>IFERROR(VLOOKUP(C1387,TRAOPE!$G:$H,2,0),"")</f>
        <v/>
      </c>
      <c r="E1387" s="8" t="inlineStr">
        <is>
          <t>D836</t>
        </is>
      </c>
      <c r="F1387" s="8" t="inlineStr">
        <is>
          <t>66482289</t>
        </is>
      </c>
      <c r="G1387" s="8">
        <f>IFERROR(VLOOKUP(A1387,Flete!$A:$E,5,0),"")</f>
        <v/>
      </c>
      <c r="H1387" s="7">
        <f>IFERROR(VLOOKUP(F1387,TRAOPE!$AA:$AB,2,0),"")</f>
        <v/>
      </c>
      <c r="I1387" s="7" t="n">
        <v>10000253</v>
      </c>
      <c r="J1387" s="7">
        <f>IFERROR(VLOOKUP(I1387,Materiales!$A:$H,8,0),"")</f>
        <v/>
      </c>
      <c r="K1387" s="9">
        <f>IFERROR(VLOOKUP(I1387,Materiales!$A:$G,7,0),"")</f>
        <v/>
      </c>
      <c r="L1387" s="8" t="inlineStr">
        <is>
          <t>20190426</t>
        </is>
      </c>
      <c r="M1387" s="8" t="inlineStr">
        <is>
          <t>20250127</t>
        </is>
      </c>
      <c r="N1387" s="10" t="n">
        <v>79</v>
      </c>
      <c r="O1387" s="10">
        <f>IFERROR(VLOOKUP(A1387,Flete!$A:$J,10,0),"")</f>
        <v/>
      </c>
      <c r="P1387" s="8" t="inlineStr">
        <is>
          <t>M3</t>
        </is>
      </c>
      <c r="Q1387" s="10">
        <f>IFERROR(IFERROR(VLOOKUP(A1387,TRAOPE!$A:$U,21,0),VLOOKUP(B1387,TRAOPE!$A:$U,21,0)),"")</f>
        <v/>
      </c>
      <c r="R1387" s="8">
        <f>IFERROR(IFERROR(VLOOKUP(A1387,TRAOPE!$A:$W,23,0),VLOOKUP(B1387,TRAOPE!$A:$W,23,0)),"")</f>
        <v/>
      </c>
      <c r="S1387" s="10">
        <f>IF(AND(P1387="TN",R1387="TN"),N1387+N(O1387),IF(G1387&amp;""="1",N(K1387)*N1387,(N1387+N(O1387))*N(K1387)))</f>
        <v/>
      </c>
      <c r="T1387" s="10">
        <f>IF(Q1387="","",Q1387-S1387)</f>
        <v/>
      </c>
    </row>
    <row r="1388">
      <c r="A1388" s="7">
        <f>CONCATENATE(C1388,E1388,F1388,I1388)</f>
        <v/>
      </c>
      <c r="B1388" s="7">
        <f>CONCATENATE(C1388,E1388,I1388)</f>
        <v/>
      </c>
      <c r="C1388" s="8" t="n">
        <v>900003613</v>
      </c>
      <c r="D1388" s="7">
        <f>IFERROR(VLOOKUP(C1388,TRAOPE!$G:$H,2,0),"")</f>
        <v/>
      </c>
      <c r="E1388" s="8" t="inlineStr">
        <is>
          <t>D836</t>
        </is>
      </c>
      <c r="F1388" s="8" t="inlineStr">
        <is>
          <t>66482289</t>
        </is>
      </c>
      <c r="G1388" s="8">
        <f>IFERROR(VLOOKUP(A1388,Flete!$A:$E,5,0),"")</f>
        <v/>
      </c>
      <c r="H1388" s="7">
        <f>IFERROR(VLOOKUP(F1388,TRAOPE!$AA:$AB,2,0),"")</f>
        <v/>
      </c>
      <c r="I1388" s="7" t="n">
        <v>10000627</v>
      </c>
      <c r="J1388" s="7">
        <f>IFERROR(VLOOKUP(I1388,Materiales!$A:$H,8,0),"")</f>
        <v/>
      </c>
      <c r="K1388" s="9">
        <f>IFERROR(VLOOKUP(I1388,Materiales!$A:$G,7,0),"")</f>
        <v/>
      </c>
      <c r="L1388" s="8" t="inlineStr">
        <is>
          <t>20190426</t>
        </is>
      </c>
      <c r="M1388" s="8" t="inlineStr">
        <is>
          <t>20250127</t>
        </is>
      </c>
      <c r="N1388" s="10" t="n">
        <v>76</v>
      </c>
      <c r="O1388" s="10">
        <f>IFERROR(VLOOKUP(A1388,Flete!$A:$J,10,0),"")</f>
        <v/>
      </c>
      <c r="P1388" s="8" t="inlineStr">
        <is>
          <t>M3</t>
        </is>
      </c>
      <c r="Q1388" s="10">
        <f>IFERROR(IFERROR(VLOOKUP(A1388,TRAOPE!$A:$U,21,0),VLOOKUP(B1388,TRAOPE!$A:$U,21,0)),"")</f>
        <v/>
      </c>
      <c r="R1388" s="8">
        <f>IFERROR(IFERROR(VLOOKUP(A1388,TRAOPE!$A:$W,23,0),VLOOKUP(B1388,TRAOPE!$A:$W,23,0)),"")</f>
        <v/>
      </c>
      <c r="S1388" s="10">
        <f>IF(AND(P1388="TN",R1388="TN"),N1388+N(O1388),IF(G1388&amp;""="1",N(K1388)*N1388,(N1388+N(O1388))*N(K1388)))</f>
        <v/>
      </c>
      <c r="T1388" s="10">
        <f>IF(Q1388="","",Q1388-S1388)</f>
        <v/>
      </c>
    </row>
    <row r="1389">
      <c r="A1389" s="7">
        <f>CONCATENATE(C1389,E1389,F1389,I1389)</f>
        <v/>
      </c>
      <c r="B1389" s="7">
        <f>CONCATENATE(C1389,E1389,I1389)</f>
        <v/>
      </c>
      <c r="C1389" s="8" t="n">
        <v>900003613</v>
      </c>
      <c r="D1389" s="7">
        <f>IFERROR(VLOOKUP(C1389,TRAOPE!$G:$H,2,0),"")</f>
        <v/>
      </c>
      <c r="E1389" s="8" t="inlineStr">
        <is>
          <t>D836</t>
        </is>
      </c>
      <c r="F1389" s="8" t="inlineStr">
        <is>
          <t>66482289</t>
        </is>
      </c>
      <c r="G1389" s="8">
        <f>IFERROR(VLOOKUP(A1389,Flete!$A:$E,5,0),"")</f>
        <v/>
      </c>
      <c r="H1389" s="7">
        <f>IFERROR(VLOOKUP(F1389,TRAOPE!$AA:$AB,2,0),"")</f>
        <v/>
      </c>
      <c r="I1389" s="7" t="n">
        <v>10059181</v>
      </c>
      <c r="J1389" s="7">
        <f>IFERROR(VLOOKUP(I1389,Materiales!$A:$H,8,0),"")</f>
        <v/>
      </c>
      <c r="K1389" s="9">
        <f>IFERROR(VLOOKUP(I1389,Materiales!$A:$G,7,0),"")</f>
        <v/>
      </c>
      <c r="L1389" s="8" t="inlineStr">
        <is>
          <t>20190426</t>
        </is>
      </c>
      <c r="M1389" s="8" t="inlineStr">
        <is>
          <t>20250127</t>
        </is>
      </c>
      <c r="N1389" s="10" t="n">
        <v>74</v>
      </c>
      <c r="O1389" s="10">
        <f>IFERROR(VLOOKUP(A1389,Flete!$A:$J,10,0),"")</f>
        <v/>
      </c>
      <c r="P1389" s="8" t="inlineStr">
        <is>
          <t>M3</t>
        </is>
      </c>
      <c r="Q1389" s="10">
        <f>IFERROR(IFERROR(VLOOKUP(A1389,TRAOPE!$A:$U,21,0),VLOOKUP(B1389,TRAOPE!$A:$U,21,0)),"")</f>
        <v/>
      </c>
      <c r="R1389" s="8">
        <f>IFERROR(IFERROR(VLOOKUP(A1389,TRAOPE!$A:$W,23,0),VLOOKUP(B1389,TRAOPE!$A:$W,23,0)),"")</f>
        <v/>
      </c>
      <c r="S1389" s="10">
        <f>IF(AND(P1389="TN",R1389="TN"),N1389+N(O1389),IF(G1389&amp;""="1",N(K1389)*N1389,(N1389+N(O1389))*N(K1389)))</f>
        <v/>
      </c>
      <c r="T1389" s="10">
        <f>IF(Q1389="","",Q1389-S1389)</f>
        <v/>
      </c>
    </row>
    <row r="1390">
      <c r="A1390" s="7">
        <f>CONCATENATE(C1390,E1390,F1390,I1390)</f>
        <v/>
      </c>
      <c r="B1390" s="7">
        <f>CONCATENATE(C1390,E1390,I1390)</f>
        <v/>
      </c>
      <c r="C1390" s="8" t="n">
        <v>900003613</v>
      </c>
      <c r="D1390" s="7">
        <f>IFERROR(VLOOKUP(C1390,TRAOPE!$G:$H,2,0),"")</f>
        <v/>
      </c>
      <c r="E1390" s="8" t="inlineStr">
        <is>
          <t>D836</t>
        </is>
      </c>
      <c r="F1390" s="8" t="inlineStr">
        <is>
          <t>66490957</t>
        </is>
      </c>
      <c r="G1390" s="8">
        <f>IFERROR(VLOOKUP(A1390,Flete!$A:$E,5,0),"")</f>
        <v/>
      </c>
      <c r="H1390" s="7">
        <f>IFERROR(VLOOKUP(F1390,TRAOPE!$AA:$AB,2,0),"")</f>
        <v/>
      </c>
      <c r="I1390" s="7" t="n">
        <v>10000627</v>
      </c>
      <c r="J1390" s="7">
        <f>IFERROR(VLOOKUP(I1390,Materiales!$A:$H,8,0),"")</f>
        <v/>
      </c>
      <c r="K1390" s="9">
        <f>IFERROR(VLOOKUP(I1390,Materiales!$A:$G,7,0),"")</f>
        <v/>
      </c>
      <c r="L1390" s="8" t="inlineStr">
        <is>
          <t>20190426</t>
        </is>
      </c>
      <c r="M1390" s="8" t="inlineStr">
        <is>
          <t>20250127</t>
        </is>
      </c>
      <c r="N1390" s="10" t="n">
        <v>84.09</v>
      </c>
      <c r="O1390" s="10">
        <f>IFERROR(VLOOKUP(A1390,Flete!$A:$J,10,0),"")</f>
        <v/>
      </c>
      <c r="P1390" s="8" t="inlineStr">
        <is>
          <t>M3</t>
        </is>
      </c>
      <c r="Q1390" s="10">
        <f>IFERROR(IFERROR(VLOOKUP(A1390,TRAOPE!$A:$U,21,0),VLOOKUP(B1390,TRAOPE!$A:$U,21,0)),"")</f>
        <v/>
      </c>
      <c r="R1390" s="8">
        <f>IFERROR(IFERROR(VLOOKUP(A1390,TRAOPE!$A:$W,23,0),VLOOKUP(B1390,TRAOPE!$A:$W,23,0)),"")</f>
        <v/>
      </c>
      <c r="S1390" s="10">
        <f>IF(AND(P1390="TN",R1390="TN"),N1390+N(O1390),IF(G1390&amp;""="1",N(K1390)*N1390,(N1390+N(O1390))*N(K1390)))</f>
        <v/>
      </c>
      <c r="T1390" s="10">
        <f>IF(Q1390="","",Q1390-S1390)</f>
        <v/>
      </c>
    </row>
    <row r="1391">
      <c r="A1391" s="7">
        <f>CONCATENATE(C1391,E1391,F1391,I1391)</f>
        <v/>
      </c>
      <c r="B1391" s="7">
        <f>CONCATENATE(C1391,E1391,I1391)</f>
        <v/>
      </c>
      <c r="C1391" s="8" t="n">
        <v>900003613</v>
      </c>
      <c r="D1391" s="7">
        <f>IFERROR(VLOOKUP(C1391,TRAOPE!$G:$H,2,0),"")</f>
        <v/>
      </c>
      <c r="E1391" s="8" t="inlineStr">
        <is>
          <t>D836</t>
        </is>
      </c>
      <c r="F1391" s="8" t="inlineStr">
        <is>
          <t>66490957</t>
        </is>
      </c>
      <c r="G1391" s="8">
        <f>IFERROR(VLOOKUP(A1391,Flete!$A:$E,5,0),"")</f>
        <v/>
      </c>
      <c r="H1391" s="7">
        <f>IFERROR(VLOOKUP(F1391,TRAOPE!$AA:$AB,2,0),"")</f>
        <v/>
      </c>
      <c r="I1391" s="7" t="n">
        <v>10000651</v>
      </c>
      <c r="J1391" s="7">
        <f>IFERROR(VLOOKUP(I1391,Materiales!$A:$H,8,0),"")</f>
        <v/>
      </c>
      <c r="K1391" s="9">
        <f>IFERROR(VLOOKUP(I1391,Materiales!$A:$G,7,0),"")</f>
        <v/>
      </c>
      <c r="L1391" s="8" t="inlineStr">
        <is>
          <t>20190426</t>
        </is>
      </c>
      <c r="M1391" s="8" t="inlineStr">
        <is>
          <t>20250127</t>
        </is>
      </c>
      <c r="N1391" s="10" t="n">
        <v>105</v>
      </c>
      <c r="O1391" s="10">
        <f>IFERROR(VLOOKUP(A1391,Flete!$A:$J,10,0),"")</f>
        <v/>
      </c>
      <c r="P1391" s="8" t="inlineStr">
        <is>
          <t>M3</t>
        </is>
      </c>
      <c r="Q1391" s="10">
        <f>IFERROR(IFERROR(VLOOKUP(A1391,TRAOPE!$A:$U,21,0),VLOOKUP(B1391,TRAOPE!$A:$U,21,0)),"")</f>
        <v/>
      </c>
      <c r="R1391" s="8">
        <f>IFERROR(IFERROR(VLOOKUP(A1391,TRAOPE!$A:$W,23,0),VLOOKUP(B1391,TRAOPE!$A:$W,23,0)),"")</f>
        <v/>
      </c>
      <c r="S1391" s="10">
        <f>IF(AND(P1391="TN",R1391="TN"),N1391+N(O1391),IF(G1391&amp;""="1",N(K1391)*N1391,(N1391+N(O1391))*N(K1391)))</f>
        <v/>
      </c>
      <c r="T1391" s="10">
        <f>IF(Q1391="","",Q1391-S1391)</f>
        <v/>
      </c>
    </row>
    <row r="1392">
      <c r="A1392" s="7">
        <f>CONCATENATE(C1392,E1392,F1392,I1392)</f>
        <v/>
      </c>
      <c r="B1392" s="7">
        <f>CONCATENATE(C1392,E1392,I1392)</f>
        <v/>
      </c>
      <c r="C1392" s="8" t="n">
        <v>900003668</v>
      </c>
      <c r="D1392" s="7">
        <f>IFERROR(VLOOKUP(C1392,TRAOPE!$G:$H,2,0),"")</f>
        <v/>
      </c>
      <c r="E1392" s="8" t="inlineStr">
        <is>
          <t>D836</t>
        </is>
      </c>
      <c r="F1392" s="8" t="inlineStr">
        <is>
          <t>66422539</t>
        </is>
      </c>
      <c r="G1392" s="8">
        <f>IFERROR(VLOOKUP(A1392,Flete!$A:$E,5,0),"")</f>
        <v/>
      </c>
      <c r="H1392" s="7">
        <f>IFERROR(VLOOKUP(F1392,TRAOPE!$AA:$AB,2,0),"")</f>
        <v/>
      </c>
      <c r="I1392" s="7" t="n">
        <v>10143807</v>
      </c>
      <c r="J1392" s="7">
        <f>IFERROR(VLOOKUP(I1392,Materiales!$A:$H,8,0),"")</f>
        <v/>
      </c>
      <c r="K1392" s="9">
        <f>IFERROR(VLOOKUP(I1392,Materiales!$A:$G,7,0),"")</f>
        <v/>
      </c>
      <c r="L1392" s="8" t="inlineStr">
        <is>
          <t>20190426</t>
        </is>
      </c>
      <c r="M1392" s="8" t="inlineStr">
        <is>
          <t>20250127</t>
        </is>
      </c>
      <c r="N1392" s="10" t="n">
        <v>435</v>
      </c>
      <c r="O1392" s="10">
        <f>IFERROR(VLOOKUP(A1392,Flete!$A:$J,10,0),"")</f>
        <v/>
      </c>
      <c r="P1392" s="8" t="inlineStr">
        <is>
          <t>TN</t>
        </is>
      </c>
      <c r="Q1392" s="10">
        <f>IFERROR(IFERROR(VLOOKUP(A1392,TRAOPE!$A:$U,21,0),VLOOKUP(B1392,TRAOPE!$A:$U,21,0)),"")</f>
        <v/>
      </c>
      <c r="R1392" s="8">
        <f>IFERROR(IFERROR(VLOOKUP(A1392,TRAOPE!$A:$W,23,0),VLOOKUP(B1392,TRAOPE!$A:$W,23,0)),"")</f>
        <v/>
      </c>
      <c r="S1392" s="10">
        <f>IF(AND(P1392="TN",R1392="TN"),N1392+N(O1392),IF(G1392&amp;""="1",N(K1392)*N1392,(N1392+N(O1392))*N(K1392)))</f>
        <v/>
      </c>
      <c r="T1392" s="10">
        <f>IF(Q1392="","",Q1392-S1392)</f>
        <v/>
      </c>
    </row>
    <row r="1393">
      <c r="A1393" s="7">
        <f>CONCATENATE(C1393,E1393,F1393,I1393)</f>
        <v/>
      </c>
      <c r="B1393" s="7">
        <f>CONCATENATE(C1393,E1393,I1393)</f>
        <v/>
      </c>
      <c r="C1393" s="8" t="n">
        <v>900003670</v>
      </c>
      <c r="D1393" s="7">
        <f>IFERROR(VLOOKUP(C1393,TRAOPE!$G:$H,2,0),"")</f>
        <v/>
      </c>
      <c r="E1393" s="8" t="inlineStr">
        <is>
          <t>D836</t>
        </is>
      </c>
      <c r="F1393" s="8" t="inlineStr">
        <is>
          <t>65016041</t>
        </is>
      </c>
      <c r="G1393" s="8">
        <f>IFERROR(VLOOKUP(A1393,Flete!$A:$E,5,0),"")</f>
        <v/>
      </c>
      <c r="H1393" s="7">
        <f>IFERROR(VLOOKUP(F1393,TRAOPE!$AA:$AB,2,0),"")</f>
        <v/>
      </c>
      <c r="I1393" s="7" t="n">
        <v>10135829</v>
      </c>
      <c r="J1393" s="7">
        <f>IFERROR(VLOOKUP(I1393,Materiales!$A:$H,8,0),"")</f>
        <v/>
      </c>
      <c r="K1393" s="9">
        <f>IFERROR(VLOOKUP(I1393,Materiales!$A:$G,7,0),"")</f>
        <v/>
      </c>
      <c r="L1393" s="8" t="inlineStr">
        <is>
          <t>20190426</t>
        </is>
      </c>
      <c r="M1393" s="8" t="inlineStr">
        <is>
          <t>20250127</t>
        </is>
      </c>
      <c r="N1393" s="10" t="n">
        <v>400</v>
      </c>
      <c r="O1393" s="10">
        <f>IFERROR(VLOOKUP(A1393,Flete!$A:$J,10,0),"")</f>
        <v/>
      </c>
      <c r="P1393" s="8" t="inlineStr">
        <is>
          <t>TN</t>
        </is>
      </c>
      <c r="Q1393" s="10">
        <f>IFERROR(IFERROR(VLOOKUP(A1393,TRAOPE!$A:$U,21,0),VLOOKUP(B1393,TRAOPE!$A:$U,21,0)),"")</f>
        <v/>
      </c>
      <c r="R1393" s="8">
        <f>IFERROR(IFERROR(VLOOKUP(A1393,TRAOPE!$A:$W,23,0),VLOOKUP(B1393,TRAOPE!$A:$W,23,0)),"")</f>
        <v/>
      </c>
      <c r="S1393" s="10">
        <f>IF(AND(P1393="TN",R1393="TN"),N1393+N(O1393),IF(G1393&amp;""="1",N(K1393)*N1393,(N1393+N(O1393))*N(K1393)))</f>
        <v/>
      </c>
      <c r="T1393" s="10">
        <f>IF(Q1393="","",Q1393-S1393)</f>
        <v/>
      </c>
    </row>
    <row r="1394">
      <c r="A1394" s="7">
        <f>CONCATENATE(C1394,E1394,F1394,I1394)</f>
        <v/>
      </c>
      <c r="B1394" s="7">
        <f>CONCATENATE(C1394,E1394,I1394)</f>
        <v/>
      </c>
      <c r="C1394" s="8" t="n">
        <v>900003845</v>
      </c>
      <c r="D1394" s="7">
        <f>IFERROR(VLOOKUP(C1394,TRAOPE!$G:$H,2,0),"")</f>
        <v/>
      </c>
      <c r="E1394" s="8" t="inlineStr">
        <is>
          <t>D836</t>
        </is>
      </c>
      <c r="F1394" s="8" t="inlineStr">
        <is>
          <t>65729122</t>
        </is>
      </c>
      <c r="G1394" s="8">
        <f>IFERROR(VLOOKUP(A1394,Flete!$A:$E,5,0),"")</f>
        <v/>
      </c>
      <c r="H1394" s="7">
        <f>IFERROR(VLOOKUP(F1394,TRAOPE!$AA:$AB,2,0),"")</f>
        <v/>
      </c>
      <c r="I1394" s="7" t="n">
        <v>10002802</v>
      </c>
      <c r="J1394" s="7">
        <f>IFERROR(VLOOKUP(I1394,Materiales!$A:$H,8,0),"")</f>
        <v/>
      </c>
      <c r="K1394" s="9">
        <f>IFERROR(VLOOKUP(I1394,Materiales!$A:$G,7,0),"")</f>
        <v/>
      </c>
      <c r="L1394" s="8" t="inlineStr">
        <is>
          <t>20190426</t>
        </is>
      </c>
      <c r="M1394" s="8" t="inlineStr">
        <is>
          <t>20250127</t>
        </is>
      </c>
      <c r="N1394" s="10" t="n">
        <v>138</v>
      </c>
      <c r="O1394" s="10">
        <f>IFERROR(VLOOKUP(A1394,Flete!$A:$J,10,0),"")</f>
        <v/>
      </c>
      <c r="P1394" s="8" t="inlineStr">
        <is>
          <t>M3</t>
        </is>
      </c>
      <c r="Q1394" s="10">
        <f>IFERROR(IFERROR(VLOOKUP(A1394,TRAOPE!$A:$U,21,0),VLOOKUP(B1394,TRAOPE!$A:$U,21,0)),"")</f>
        <v/>
      </c>
      <c r="R1394" s="8">
        <f>IFERROR(IFERROR(VLOOKUP(A1394,TRAOPE!$A:$W,23,0),VLOOKUP(B1394,TRAOPE!$A:$W,23,0)),"")</f>
        <v/>
      </c>
      <c r="S1394" s="10">
        <f>IF(AND(P1394="TN",R1394="TN"),N1394+N(O1394),IF(G1394&amp;""="1",N(K1394)*N1394,(N1394+N(O1394))*N(K1394)))</f>
        <v/>
      </c>
      <c r="T1394" s="10">
        <f>IF(Q1394="","",Q1394-S1394)</f>
        <v/>
      </c>
    </row>
    <row r="1395">
      <c r="A1395" s="7">
        <f>CONCATENATE(C1395,E1395,F1395,I1395)</f>
        <v/>
      </c>
      <c r="B1395" s="7">
        <f>CONCATENATE(C1395,E1395,I1395)</f>
        <v/>
      </c>
      <c r="C1395" s="8" t="n">
        <v>900003845</v>
      </c>
      <c r="D1395" s="7">
        <f>IFERROR(VLOOKUP(C1395,TRAOPE!$G:$H,2,0),"")</f>
        <v/>
      </c>
      <c r="E1395" s="8" t="inlineStr">
        <is>
          <t>D836</t>
        </is>
      </c>
      <c r="F1395" s="8" t="inlineStr">
        <is>
          <t>65908426</t>
        </is>
      </c>
      <c r="G1395" s="8">
        <f>IFERROR(VLOOKUP(A1395,Flete!$A:$E,5,0),"")</f>
        <v/>
      </c>
      <c r="H1395" s="7">
        <f>IFERROR(VLOOKUP(F1395,TRAOPE!$AA:$AB,2,0),"")</f>
        <v/>
      </c>
      <c r="I1395" s="7" t="n">
        <v>10002802</v>
      </c>
      <c r="J1395" s="7">
        <f>IFERROR(VLOOKUP(I1395,Materiales!$A:$H,8,0),"")</f>
        <v/>
      </c>
      <c r="K1395" s="9">
        <f>IFERROR(VLOOKUP(I1395,Materiales!$A:$G,7,0),"")</f>
        <v/>
      </c>
      <c r="L1395" s="8" t="inlineStr">
        <is>
          <t>20190426</t>
        </is>
      </c>
      <c r="M1395" s="8" t="inlineStr">
        <is>
          <t>20250127</t>
        </is>
      </c>
      <c r="N1395" s="10" t="n">
        <v>133.4</v>
      </c>
      <c r="O1395" s="10">
        <f>IFERROR(VLOOKUP(A1395,Flete!$A:$J,10,0),"")</f>
        <v/>
      </c>
      <c r="P1395" s="8" t="inlineStr">
        <is>
          <t>M3</t>
        </is>
      </c>
      <c r="Q1395" s="10">
        <f>IFERROR(IFERROR(VLOOKUP(A1395,TRAOPE!$A:$U,21,0),VLOOKUP(B1395,TRAOPE!$A:$U,21,0)),"")</f>
        <v/>
      </c>
      <c r="R1395" s="8">
        <f>IFERROR(IFERROR(VLOOKUP(A1395,TRAOPE!$A:$W,23,0),VLOOKUP(B1395,TRAOPE!$A:$W,23,0)),"")</f>
        <v/>
      </c>
      <c r="S1395" s="10">
        <f>IF(AND(P1395="TN",R1395="TN"),N1395+N(O1395),IF(G1395&amp;""="1",N(K1395)*N1395,(N1395+N(O1395))*N(K1395)))</f>
        <v/>
      </c>
      <c r="T1395" s="10">
        <f>IF(Q1395="","",Q1395-S1395)</f>
        <v/>
      </c>
    </row>
    <row r="1396">
      <c r="A1396" s="7">
        <f>CONCATENATE(C1396,E1396,F1396,I1396)</f>
        <v/>
      </c>
      <c r="B1396" s="7">
        <f>CONCATENATE(C1396,E1396,I1396)</f>
        <v/>
      </c>
      <c r="C1396" s="8" t="n">
        <v>900003877</v>
      </c>
      <c r="D1396" s="7">
        <f>IFERROR(VLOOKUP(C1396,TRAOPE!$G:$H,2,0),"")</f>
        <v/>
      </c>
      <c r="E1396" s="8" t="inlineStr">
        <is>
          <t>D836</t>
        </is>
      </c>
      <c r="F1396" s="8" t="inlineStr">
        <is>
          <t>66779276</t>
        </is>
      </c>
      <c r="G1396" s="8">
        <f>IFERROR(VLOOKUP(A1396,Flete!$A:$E,5,0),"")</f>
        <v/>
      </c>
      <c r="H1396" s="7">
        <f>IFERROR(VLOOKUP(F1396,TRAOPE!$AA:$AB,2,0),"")</f>
        <v/>
      </c>
      <c r="I1396" s="7" t="n">
        <v>10000632</v>
      </c>
      <c r="J1396" s="7">
        <f>IFERROR(VLOOKUP(I1396,Materiales!$A:$H,8,0),"")</f>
        <v/>
      </c>
      <c r="K1396" s="9">
        <f>IFERROR(VLOOKUP(I1396,Materiales!$A:$G,7,0),"")</f>
        <v/>
      </c>
      <c r="L1396" s="8" t="inlineStr">
        <is>
          <t>20190426</t>
        </is>
      </c>
      <c r="M1396" s="8" t="inlineStr">
        <is>
          <t>20250127</t>
        </is>
      </c>
      <c r="N1396" s="10" t="n">
        <v>158</v>
      </c>
      <c r="O1396" s="10">
        <f>IFERROR(VLOOKUP(A1396,Flete!$A:$J,10,0),"")</f>
        <v/>
      </c>
      <c r="P1396" s="8" t="inlineStr">
        <is>
          <t>M3</t>
        </is>
      </c>
      <c r="Q1396" s="10">
        <f>IFERROR(IFERROR(VLOOKUP(A1396,TRAOPE!$A:$U,21,0),VLOOKUP(B1396,TRAOPE!$A:$U,21,0)),"")</f>
        <v/>
      </c>
      <c r="R1396" s="8">
        <f>IFERROR(IFERROR(VLOOKUP(A1396,TRAOPE!$A:$W,23,0),VLOOKUP(B1396,TRAOPE!$A:$W,23,0)),"")</f>
        <v/>
      </c>
      <c r="S1396" s="10">
        <f>IF(AND(P1396="TN",R1396="TN"),N1396+N(O1396),IF(G1396&amp;""="1",N(K1396)*N1396,(N1396+N(O1396))*N(K1396)))</f>
        <v/>
      </c>
      <c r="T1396" s="10">
        <f>IF(Q1396="","",Q1396-S1396)</f>
        <v/>
      </c>
    </row>
    <row r="1397">
      <c r="A1397" s="7">
        <f>CONCATENATE(C1397,E1397,F1397,I1397)</f>
        <v/>
      </c>
      <c r="B1397" s="7">
        <f>CONCATENATE(C1397,E1397,I1397)</f>
        <v/>
      </c>
      <c r="C1397" s="8" t="n">
        <v>900003877</v>
      </c>
      <c r="D1397" s="7">
        <f>IFERROR(VLOOKUP(C1397,TRAOPE!$G:$H,2,0),"")</f>
        <v/>
      </c>
      <c r="E1397" s="8" t="inlineStr">
        <is>
          <t>D836</t>
        </is>
      </c>
      <c r="F1397" s="8" t="inlineStr">
        <is>
          <t>66779276</t>
        </is>
      </c>
      <c r="G1397" s="8">
        <f>IFERROR(VLOOKUP(A1397,Flete!$A:$E,5,0),"")</f>
        <v/>
      </c>
      <c r="H1397" s="7">
        <f>IFERROR(VLOOKUP(F1397,TRAOPE!$AA:$AB,2,0),"")</f>
        <v/>
      </c>
      <c r="I1397" s="7" t="n">
        <v>10000735</v>
      </c>
      <c r="J1397" s="7">
        <f>IFERROR(VLOOKUP(I1397,Materiales!$A:$H,8,0),"")</f>
        <v/>
      </c>
      <c r="K1397" s="9">
        <f>IFERROR(VLOOKUP(I1397,Materiales!$A:$G,7,0),"")</f>
        <v/>
      </c>
      <c r="L1397" s="8" t="inlineStr">
        <is>
          <t>20190426</t>
        </is>
      </c>
      <c r="M1397" s="8" t="inlineStr">
        <is>
          <t>20250127</t>
        </is>
      </c>
      <c r="N1397" s="10" t="n">
        <v>183</v>
      </c>
      <c r="O1397" s="10">
        <f>IFERROR(VLOOKUP(A1397,Flete!$A:$J,10,0),"")</f>
        <v/>
      </c>
      <c r="P1397" s="8" t="inlineStr">
        <is>
          <t>M3</t>
        </is>
      </c>
      <c r="Q1397" s="10">
        <f>IFERROR(IFERROR(VLOOKUP(A1397,TRAOPE!$A:$U,21,0),VLOOKUP(B1397,TRAOPE!$A:$U,21,0)),"")</f>
        <v/>
      </c>
      <c r="R1397" s="8">
        <f>IFERROR(IFERROR(VLOOKUP(A1397,TRAOPE!$A:$W,23,0),VLOOKUP(B1397,TRAOPE!$A:$W,23,0)),"")</f>
        <v/>
      </c>
      <c r="S1397" s="10">
        <f>IF(AND(P1397="TN",R1397="TN"),N1397+N(O1397),IF(G1397&amp;""="1",N(K1397)*N1397,(N1397+N(O1397))*N(K1397)))</f>
        <v/>
      </c>
      <c r="T1397" s="10">
        <f>IF(Q1397="","",Q1397-S1397)</f>
        <v/>
      </c>
    </row>
    <row r="1398">
      <c r="A1398" s="7">
        <f>CONCATENATE(C1398,E1398,F1398,I1398)</f>
        <v/>
      </c>
      <c r="B1398" s="7">
        <f>CONCATENATE(C1398,E1398,I1398)</f>
        <v/>
      </c>
      <c r="C1398" s="8" t="n">
        <v>900004077</v>
      </c>
      <c r="D1398" s="7">
        <f>IFERROR(VLOOKUP(C1398,TRAOPE!$G:$H,2,0),"")</f>
        <v/>
      </c>
      <c r="E1398" s="8" t="inlineStr">
        <is>
          <t>D836</t>
        </is>
      </c>
      <c r="F1398" s="8" t="inlineStr">
        <is>
          <t>65003945</t>
        </is>
      </c>
      <c r="G1398" s="8">
        <f>IFERROR(VLOOKUP(A1398,Flete!$A:$E,5,0),"")</f>
        <v/>
      </c>
      <c r="H1398" s="7">
        <f>IFERROR(VLOOKUP(F1398,TRAOPE!$AA:$AB,2,0),"")</f>
        <v/>
      </c>
      <c r="I1398" s="7" t="n">
        <v>10000357</v>
      </c>
      <c r="J1398" s="7">
        <f>IFERROR(VLOOKUP(I1398,Materiales!$A:$H,8,0),"")</f>
        <v/>
      </c>
      <c r="K1398" s="9">
        <f>IFERROR(VLOOKUP(I1398,Materiales!$A:$G,7,0),"")</f>
        <v/>
      </c>
      <c r="L1398" s="8" t="inlineStr">
        <is>
          <t>20190426</t>
        </is>
      </c>
      <c r="M1398" s="8" t="inlineStr">
        <is>
          <t>20250127</t>
        </is>
      </c>
      <c r="N1398" s="10" t="n">
        <v>126</v>
      </c>
      <c r="O1398" s="10">
        <f>IFERROR(VLOOKUP(A1398,Flete!$A:$J,10,0),"")</f>
        <v/>
      </c>
      <c r="P1398" s="8" t="inlineStr">
        <is>
          <t>M3</t>
        </is>
      </c>
      <c r="Q1398" s="10">
        <f>IFERROR(IFERROR(VLOOKUP(A1398,TRAOPE!$A:$U,21,0),VLOOKUP(B1398,TRAOPE!$A:$U,21,0)),"")</f>
        <v/>
      </c>
      <c r="R1398" s="8">
        <f>IFERROR(IFERROR(VLOOKUP(A1398,TRAOPE!$A:$W,23,0),VLOOKUP(B1398,TRAOPE!$A:$W,23,0)),"")</f>
        <v/>
      </c>
      <c r="S1398" s="10">
        <f>IF(AND(P1398="TN",R1398="TN"),N1398+N(O1398),IF(G1398&amp;""="1",N(K1398)*N1398,(N1398+N(O1398))*N(K1398)))</f>
        <v/>
      </c>
      <c r="T1398" s="10">
        <f>IF(Q1398="","",Q1398-S1398)</f>
        <v/>
      </c>
    </row>
    <row r="1399">
      <c r="A1399" s="7">
        <f>CONCATENATE(C1399,E1399,F1399,I1399)</f>
        <v/>
      </c>
      <c r="B1399" s="7">
        <f>CONCATENATE(C1399,E1399,I1399)</f>
        <v/>
      </c>
      <c r="C1399" s="8" t="n">
        <v>900004077</v>
      </c>
      <c r="D1399" s="7">
        <f>IFERROR(VLOOKUP(C1399,TRAOPE!$G:$H,2,0),"")</f>
        <v/>
      </c>
      <c r="E1399" s="8" t="inlineStr">
        <is>
          <t>D836</t>
        </is>
      </c>
      <c r="F1399" s="8" t="inlineStr">
        <is>
          <t>65003945</t>
        </is>
      </c>
      <c r="G1399" s="8">
        <f>IFERROR(VLOOKUP(A1399,Flete!$A:$E,5,0),"")</f>
        <v/>
      </c>
      <c r="H1399" s="7">
        <f>IFERROR(VLOOKUP(F1399,TRAOPE!$AA:$AB,2,0),"")</f>
        <v/>
      </c>
      <c r="I1399" s="7" t="n">
        <v>10184011</v>
      </c>
      <c r="J1399" s="7">
        <f>IFERROR(VLOOKUP(I1399,Materiales!$A:$H,8,0),"")</f>
        <v/>
      </c>
      <c r="K1399" s="9">
        <f>IFERROR(VLOOKUP(I1399,Materiales!$A:$G,7,0),"")</f>
        <v/>
      </c>
      <c r="L1399" s="8" t="inlineStr">
        <is>
          <t>20190426</t>
        </is>
      </c>
      <c r="M1399" s="8" t="inlineStr">
        <is>
          <t>20250127</t>
        </is>
      </c>
      <c r="N1399" s="10" t="n">
        <v>126</v>
      </c>
      <c r="O1399" s="10">
        <f>IFERROR(VLOOKUP(A1399,Flete!$A:$J,10,0),"")</f>
        <v/>
      </c>
      <c r="P1399" s="8" t="inlineStr">
        <is>
          <t>M3</t>
        </is>
      </c>
      <c r="Q1399" s="10">
        <f>IFERROR(IFERROR(VLOOKUP(A1399,TRAOPE!$A:$U,21,0),VLOOKUP(B1399,TRAOPE!$A:$U,21,0)),"")</f>
        <v/>
      </c>
      <c r="R1399" s="8">
        <f>IFERROR(IFERROR(VLOOKUP(A1399,TRAOPE!$A:$W,23,0),VLOOKUP(B1399,TRAOPE!$A:$W,23,0)),"")</f>
        <v/>
      </c>
      <c r="S1399" s="10">
        <f>IF(AND(P1399="TN",R1399="TN"),N1399+N(O1399),IF(G1399&amp;""="1",N(K1399)*N1399,(N1399+N(O1399))*N(K1399)))</f>
        <v/>
      </c>
      <c r="T1399" s="10">
        <f>IF(Q1399="","",Q1399-S1399)</f>
        <v/>
      </c>
    </row>
    <row r="1400">
      <c r="A1400" s="7">
        <f>CONCATENATE(C1400,E1400,F1400,I1400)</f>
        <v/>
      </c>
      <c r="B1400" s="7">
        <f>CONCATENATE(C1400,E1400,I1400)</f>
        <v/>
      </c>
      <c r="C1400" s="8" t="n">
        <v>900004077</v>
      </c>
      <c r="D1400" s="7">
        <f>IFERROR(VLOOKUP(C1400,TRAOPE!$G:$H,2,0),"")</f>
        <v/>
      </c>
      <c r="E1400" s="8" t="inlineStr">
        <is>
          <t>D836</t>
        </is>
      </c>
      <c r="F1400" s="8" t="inlineStr">
        <is>
          <t>65003945</t>
        </is>
      </c>
      <c r="G1400" s="8">
        <f>IFERROR(VLOOKUP(A1400,Flete!$A:$E,5,0),"")</f>
        <v/>
      </c>
      <c r="H1400" s="7">
        <f>IFERROR(VLOOKUP(F1400,TRAOPE!$AA:$AB,2,0),"")</f>
        <v/>
      </c>
      <c r="I1400" s="7" t="n">
        <v>10184142</v>
      </c>
      <c r="J1400" s="7">
        <f>IFERROR(VLOOKUP(I1400,Materiales!$A:$H,8,0),"")</f>
        <v/>
      </c>
      <c r="K1400" s="9">
        <f>IFERROR(VLOOKUP(I1400,Materiales!$A:$G,7,0),"")</f>
        <v/>
      </c>
      <c r="L1400" s="8" t="inlineStr">
        <is>
          <t>20190426</t>
        </is>
      </c>
      <c r="M1400" s="8" t="inlineStr">
        <is>
          <t>20250127</t>
        </is>
      </c>
      <c r="N1400" s="10" t="n">
        <v>126</v>
      </c>
      <c r="O1400" s="10">
        <f>IFERROR(VLOOKUP(A1400,Flete!$A:$J,10,0),"")</f>
        <v/>
      </c>
      <c r="P1400" s="8" t="inlineStr">
        <is>
          <t>M3</t>
        </is>
      </c>
      <c r="Q1400" s="10">
        <f>IFERROR(IFERROR(VLOOKUP(A1400,TRAOPE!$A:$U,21,0),VLOOKUP(B1400,TRAOPE!$A:$U,21,0)),"")</f>
        <v/>
      </c>
      <c r="R1400" s="8">
        <f>IFERROR(IFERROR(VLOOKUP(A1400,TRAOPE!$A:$W,23,0),VLOOKUP(B1400,TRAOPE!$A:$W,23,0)),"")</f>
        <v/>
      </c>
      <c r="S1400" s="10">
        <f>IF(AND(P1400="TN",R1400="TN"),N1400+N(O1400),IF(G1400&amp;""="1",N(K1400)*N1400,(N1400+N(O1400))*N(K1400)))</f>
        <v/>
      </c>
      <c r="T1400" s="10">
        <f>IF(Q1400="","",Q1400-S1400)</f>
        <v/>
      </c>
    </row>
    <row r="1401">
      <c r="A1401" s="7">
        <f>CONCATENATE(C1401,E1401,F1401,I1401)</f>
        <v/>
      </c>
      <c r="B1401" s="7">
        <f>CONCATENATE(C1401,E1401,I1401)</f>
        <v/>
      </c>
      <c r="C1401" s="8" t="n">
        <v>900004077</v>
      </c>
      <c r="D1401" s="7">
        <f>IFERROR(VLOOKUP(C1401,TRAOPE!$G:$H,2,0),"")</f>
        <v/>
      </c>
      <c r="E1401" s="8" t="inlineStr">
        <is>
          <t>D836</t>
        </is>
      </c>
      <c r="F1401" s="8" t="inlineStr">
        <is>
          <t>65016451</t>
        </is>
      </c>
      <c r="G1401" s="8">
        <f>IFERROR(VLOOKUP(A1401,Flete!$A:$E,5,0),"")</f>
        <v/>
      </c>
      <c r="H1401" s="7">
        <f>IFERROR(VLOOKUP(F1401,TRAOPE!$AA:$AB,2,0),"")</f>
        <v/>
      </c>
      <c r="I1401" s="7" t="n">
        <v>10000630</v>
      </c>
      <c r="J1401" s="7">
        <f>IFERROR(VLOOKUP(I1401,Materiales!$A:$H,8,0),"")</f>
        <v/>
      </c>
      <c r="K1401" s="9">
        <f>IFERROR(VLOOKUP(I1401,Materiales!$A:$G,7,0),"")</f>
        <v/>
      </c>
      <c r="L1401" s="8" t="inlineStr">
        <is>
          <t>20190426</t>
        </is>
      </c>
      <c r="M1401" s="8" t="inlineStr">
        <is>
          <t>20250127</t>
        </is>
      </c>
      <c r="N1401" s="10" t="n">
        <v>125</v>
      </c>
      <c r="O1401" s="10">
        <f>IFERROR(VLOOKUP(A1401,Flete!$A:$J,10,0),"")</f>
        <v/>
      </c>
      <c r="P1401" s="8" t="inlineStr">
        <is>
          <t>M3</t>
        </is>
      </c>
      <c r="Q1401" s="10">
        <f>IFERROR(IFERROR(VLOOKUP(A1401,TRAOPE!$A:$U,21,0),VLOOKUP(B1401,TRAOPE!$A:$U,21,0)),"")</f>
        <v/>
      </c>
      <c r="R1401" s="8">
        <f>IFERROR(IFERROR(VLOOKUP(A1401,TRAOPE!$A:$W,23,0),VLOOKUP(B1401,TRAOPE!$A:$W,23,0)),"")</f>
        <v/>
      </c>
      <c r="S1401" s="10">
        <f>IF(AND(P1401="TN",R1401="TN"),N1401+N(O1401),IF(G1401&amp;""="1",N(K1401)*N1401,(N1401+N(O1401))*N(K1401)))</f>
        <v/>
      </c>
      <c r="T1401" s="10">
        <f>IF(Q1401="","",Q1401-S1401)</f>
        <v/>
      </c>
    </row>
    <row r="1402">
      <c r="A1402" s="7">
        <f>CONCATENATE(C1402,E1402,F1402,I1402)</f>
        <v/>
      </c>
      <c r="B1402" s="7">
        <f>CONCATENATE(C1402,E1402,I1402)</f>
        <v/>
      </c>
      <c r="C1402" s="8" t="n">
        <v>900004077</v>
      </c>
      <c r="D1402" s="7">
        <f>IFERROR(VLOOKUP(C1402,TRAOPE!$G:$H,2,0),"")</f>
        <v/>
      </c>
      <c r="E1402" s="8" t="inlineStr">
        <is>
          <t>D836</t>
        </is>
      </c>
      <c r="F1402" s="8" t="inlineStr">
        <is>
          <t>65713808</t>
        </is>
      </c>
      <c r="G1402" s="8">
        <f>IFERROR(VLOOKUP(A1402,Flete!$A:$E,5,0),"")</f>
        <v/>
      </c>
      <c r="H1402" s="7">
        <f>IFERROR(VLOOKUP(F1402,TRAOPE!$AA:$AB,2,0),"")</f>
        <v/>
      </c>
      <c r="I1402" s="7" t="n">
        <v>10058345</v>
      </c>
      <c r="J1402" s="7">
        <f>IFERROR(VLOOKUP(I1402,Materiales!$A:$H,8,0),"")</f>
        <v/>
      </c>
      <c r="K1402" s="9">
        <f>IFERROR(VLOOKUP(I1402,Materiales!$A:$G,7,0),"")</f>
        <v/>
      </c>
      <c r="L1402" s="8" t="inlineStr">
        <is>
          <t>20190426</t>
        </is>
      </c>
      <c r="M1402" s="8" t="inlineStr">
        <is>
          <t>20250127</t>
        </is>
      </c>
      <c r="N1402" s="10" t="n">
        <v>140</v>
      </c>
      <c r="O1402" s="10">
        <f>IFERROR(VLOOKUP(A1402,Flete!$A:$J,10,0),"")</f>
        <v/>
      </c>
      <c r="P1402" s="8" t="inlineStr">
        <is>
          <t>M3</t>
        </is>
      </c>
      <c r="Q1402" s="10">
        <f>IFERROR(IFERROR(VLOOKUP(A1402,TRAOPE!$A:$U,21,0),VLOOKUP(B1402,TRAOPE!$A:$U,21,0)),"")</f>
        <v/>
      </c>
      <c r="R1402" s="8">
        <f>IFERROR(IFERROR(VLOOKUP(A1402,TRAOPE!$A:$W,23,0),VLOOKUP(B1402,TRAOPE!$A:$W,23,0)),"")</f>
        <v/>
      </c>
      <c r="S1402" s="10">
        <f>IF(AND(P1402="TN",R1402="TN"),N1402+N(O1402),IF(G1402&amp;""="1",N(K1402)*N1402,(N1402+N(O1402))*N(K1402)))</f>
        <v/>
      </c>
      <c r="T1402" s="10">
        <f>IF(Q1402="","",Q1402-S1402)</f>
        <v/>
      </c>
    </row>
    <row r="1403">
      <c r="A1403" s="7">
        <f>CONCATENATE(C1403,E1403,F1403,I1403)</f>
        <v/>
      </c>
      <c r="B1403" s="7">
        <f>CONCATENATE(C1403,E1403,I1403)</f>
        <v/>
      </c>
      <c r="C1403" s="8" t="n">
        <v>900004077</v>
      </c>
      <c r="D1403" s="7">
        <f>IFERROR(VLOOKUP(C1403,TRAOPE!$G:$H,2,0),"")</f>
        <v/>
      </c>
      <c r="E1403" s="8" t="inlineStr">
        <is>
          <t>D836</t>
        </is>
      </c>
      <c r="F1403" s="8" t="inlineStr">
        <is>
          <t>65713808</t>
        </is>
      </c>
      <c r="G1403" s="8">
        <f>IFERROR(VLOOKUP(A1403,Flete!$A:$E,5,0),"")</f>
        <v/>
      </c>
      <c r="H1403" s="7">
        <f>IFERROR(VLOOKUP(F1403,TRAOPE!$AA:$AB,2,0),"")</f>
        <v/>
      </c>
      <c r="I1403" s="7" t="n">
        <v>10184010</v>
      </c>
      <c r="J1403" s="7">
        <f>IFERROR(VLOOKUP(I1403,Materiales!$A:$H,8,0),"")</f>
        <v/>
      </c>
      <c r="K1403" s="9">
        <f>IFERROR(VLOOKUP(I1403,Materiales!$A:$G,7,0),"")</f>
        <v/>
      </c>
      <c r="L1403" s="8" t="inlineStr">
        <is>
          <t>20190426</t>
        </is>
      </c>
      <c r="M1403" s="8" t="inlineStr">
        <is>
          <t>20250127</t>
        </is>
      </c>
      <c r="N1403" s="10" t="n">
        <v>140</v>
      </c>
      <c r="O1403" s="10">
        <f>IFERROR(VLOOKUP(A1403,Flete!$A:$J,10,0),"")</f>
        <v/>
      </c>
      <c r="P1403" s="8" t="inlineStr">
        <is>
          <t>M3</t>
        </is>
      </c>
      <c r="Q1403" s="10">
        <f>IFERROR(IFERROR(VLOOKUP(A1403,TRAOPE!$A:$U,21,0),VLOOKUP(B1403,TRAOPE!$A:$U,21,0)),"")</f>
        <v/>
      </c>
      <c r="R1403" s="8">
        <f>IFERROR(IFERROR(VLOOKUP(A1403,TRAOPE!$A:$W,23,0),VLOOKUP(B1403,TRAOPE!$A:$W,23,0)),"")</f>
        <v/>
      </c>
      <c r="S1403" s="10">
        <f>IF(AND(P1403="TN",R1403="TN"),N1403+N(O1403),IF(G1403&amp;""="1",N(K1403)*N1403,(N1403+N(O1403))*N(K1403)))</f>
        <v/>
      </c>
      <c r="T1403" s="10">
        <f>IF(Q1403="","",Q1403-S1403)</f>
        <v/>
      </c>
    </row>
    <row r="1404">
      <c r="A1404" s="7">
        <f>CONCATENATE(C1404,E1404,F1404,I1404)</f>
        <v/>
      </c>
      <c r="B1404" s="7">
        <f>CONCATENATE(C1404,E1404,I1404)</f>
        <v/>
      </c>
      <c r="C1404" s="8" t="n">
        <v>900004077</v>
      </c>
      <c r="D1404" s="7">
        <f>IFERROR(VLOOKUP(C1404,TRAOPE!$G:$H,2,0),"")</f>
        <v/>
      </c>
      <c r="E1404" s="8" t="inlineStr">
        <is>
          <t>D836</t>
        </is>
      </c>
      <c r="F1404" s="8" t="inlineStr">
        <is>
          <t>65713808</t>
        </is>
      </c>
      <c r="G1404" s="8">
        <f>IFERROR(VLOOKUP(A1404,Flete!$A:$E,5,0),"")</f>
        <v/>
      </c>
      <c r="H1404" s="7">
        <f>IFERROR(VLOOKUP(F1404,TRAOPE!$AA:$AB,2,0),"")</f>
        <v/>
      </c>
      <c r="I1404" s="7" t="n">
        <v>10184011</v>
      </c>
      <c r="J1404" s="7">
        <f>IFERROR(VLOOKUP(I1404,Materiales!$A:$H,8,0),"")</f>
        <v/>
      </c>
      <c r="K1404" s="9">
        <f>IFERROR(VLOOKUP(I1404,Materiales!$A:$G,7,0),"")</f>
        <v/>
      </c>
      <c r="L1404" s="8" t="inlineStr">
        <is>
          <t>20190426</t>
        </is>
      </c>
      <c r="M1404" s="8" t="inlineStr">
        <is>
          <t>20250127</t>
        </is>
      </c>
      <c r="N1404" s="10" t="n">
        <v>150</v>
      </c>
      <c r="O1404" s="10">
        <f>IFERROR(VLOOKUP(A1404,Flete!$A:$J,10,0),"")</f>
        <v/>
      </c>
      <c r="P1404" s="8" t="inlineStr">
        <is>
          <t>M3</t>
        </is>
      </c>
      <c r="Q1404" s="10">
        <f>IFERROR(IFERROR(VLOOKUP(A1404,TRAOPE!$A:$U,21,0),VLOOKUP(B1404,TRAOPE!$A:$U,21,0)),"")</f>
        <v/>
      </c>
      <c r="R1404" s="8">
        <f>IFERROR(IFERROR(VLOOKUP(A1404,TRAOPE!$A:$W,23,0),VLOOKUP(B1404,TRAOPE!$A:$W,23,0)),"")</f>
        <v/>
      </c>
      <c r="S1404" s="10">
        <f>IF(AND(P1404="TN",R1404="TN"),N1404+N(O1404),IF(G1404&amp;""="1",N(K1404)*N1404,(N1404+N(O1404))*N(K1404)))</f>
        <v/>
      </c>
      <c r="T1404" s="10">
        <f>IF(Q1404="","",Q1404-S1404)</f>
        <v/>
      </c>
    </row>
    <row r="1405">
      <c r="A1405" s="7">
        <f>CONCATENATE(C1405,E1405,F1405,I1405)</f>
        <v/>
      </c>
      <c r="B1405" s="7">
        <f>CONCATENATE(C1405,E1405,I1405)</f>
        <v/>
      </c>
      <c r="C1405" s="8" t="n">
        <v>900004077</v>
      </c>
      <c r="D1405" s="7">
        <f>IFERROR(VLOOKUP(C1405,TRAOPE!$G:$H,2,0),"")</f>
        <v/>
      </c>
      <c r="E1405" s="8" t="inlineStr">
        <is>
          <t>D836</t>
        </is>
      </c>
      <c r="F1405" s="8" t="inlineStr">
        <is>
          <t>66260760</t>
        </is>
      </c>
      <c r="G1405" s="8">
        <f>IFERROR(VLOOKUP(A1405,Flete!$A:$E,5,0),"")</f>
        <v/>
      </c>
      <c r="H1405" s="7">
        <f>IFERROR(VLOOKUP(F1405,TRAOPE!$AA:$AB,2,0),"")</f>
        <v/>
      </c>
      <c r="I1405" s="7" t="n">
        <v>10215377</v>
      </c>
      <c r="J1405" s="7">
        <f>IFERROR(VLOOKUP(I1405,Materiales!$A:$H,8,0),"")</f>
        <v/>
      </c>
      <c r="K1405" s="9">
        <f>IFERROR(VLOOKUP(I1405,Materiales!$A:$G,7,0),"")</f>
        <v/>
      </c>
      <c r="L1405" s="8" t="inlineStr">
        <is>
          <t>20190426</t>
        </is>
      </c>
      <c r="M1405" s="8" t="inlineStr">
        <is>
          <t>20250127</t>
        </is>
      </c>
      <c r="N1405" s="10" t="n">
        <v>135</v>
      </c>
      <c r="O1405" s="10">
        <f>IFERROR(VLOOKUP(A1405,Flete!$A:$J,10,0),"")</f>
        <v/>
      </c>
      <c r="P1405" s="8" t="inlineStr">
        <is>
          <t>M3</t>
        </is>
      </c>
      <c r="Q1405" s="10">
        <f>IFERROR(IFERROR(VLOOKUP(A1405,TRAOPE!$A:$U,21,0),VLOOKUP(B1405,TRAOPE!$A:$U,21,0)),"")</f>
        <v/>
      </c>
      <c r="R1405" s="8">
        <f>IFERROR(IFERROR(VLOOKUP(A1405,TRAOPE!$A:$W,23,0),VLOOKUP(B1405,TRAOPE!$A:$W,23,0)),"")</f>
        <v/>
      </c>
      <c r="S1405" s="10">
        <f>IF(AND(P1405="TN",R1405="TN"),N1405+N(O1405),IF(G1405&amp;""="1",N(K1405)*N1405,(N1405+N(O1405))*N(K1405)))</f>
        <v/>
      </c>
      <c r="T1405" s="10">
        <f>IF(Q1405="","",Q1405-S1405)</f>
        <v/>
      </c>
    </row>
    <row r="1406">
      <c r="A1406" s="7">
        <f>CONCATENATE(C1406,E1406,F1406,I1406)</f>
        <v/>
      </c>
      <c r="B1406" s="7">
        <f>CONCATENATE(C1406,E1406,I1406)</f>
        <v/>
      </c>
      <c r="C1406" s="8" t="n">
        <v>900004077</v>
      </c>
      <c r="D1406" s="7">
        <f>IFERROR(VLOOKUP(C1406,TRAOPE!$G:$H,2,0),"")</f>
        <v/>
      </c>
      <c r="E1406" s="8" t="inlineStr">
        <is>
          <t>D836</t>
        </is>
      </c>
      <c r="F1406" s="8" t="inlineStr">
        <is>
          <t>66420831</t>
        </is>
      </c>
      <c r="G1406" s="8">
        <f>IFERROR(VLOOKUP(A1406,Flete!$A:$E,5,0),"")</f>
        <v/>
      </c>
      <c r="H1406" s="7">
        <f>IFERROR(VLOOKUP(F1406,TRAOPE!$AA:$AB,2,0),"")</f>
        <v/>
      </c>
      <c r="I1406" s="7" t="n">
        <v>10000630</v>
      </c>
      <c r="J1406" s="7">
        <f>IFERROR(VLOOKUP(I1406,Materiales!$A:$H,8,0),"")</f>
        <v/>
      </c>
      <c r="K1406" s="9">
        <f>IFERROR(VLOOKUP(I1406,Materiales!$A:$G,7,0),"")</f>
        <v/>
      </c>
      <c r="L1406" s="8" t="inlineStr">
        <is>
          <t>20190426</t>
        </is>
      </c>
      <c r="M1406" s="8" t="inlineStr">
        <is>
          <t>20250127</t>
        </is>
      </c>
      <c r="N1406" s="10" t="n">
        <v>147</v>
      </c>
      <c r="O1406" s="10">
        <f>IFERROR(VLOOKUP(A1406,Flete!$A:$J,10,0),"")</f>
        <v/>
      </c>
      <c r="P1406" s="8" t="inlineStr">
        <is>
          <t>M3</t>
        </is>
      </c>
      <c r="Q1406" s="10">
        <f>IFERROR(IFERROR(VLOOKUP(A1406,TRAOPE!$A:$U,21,0),VLOOKUP(B1406,TRAOPE!$A:$U,21,0)),"")</f>
        <v/>
      </c>
      <c r="R1406" s="8">
        <f>IFERROR(IFERROR(VLOOKUP(A1406,TRAOPE!$A:$W,23,0),VLOOKUP(B1406,TRAOPE!$A:$W,23,0)),"")</f>
        <v/>
      </c>
      <c r="S1406" s="10">
        <f>IF(AND(P1406="TN",R1406="TN"),N1406+N(O1406),IF(G1406&amp;""="1",N(K1406)*N1406,(N1406+N(O1406))*N(K1406)))</f>
        <v/>
      </c>
      <c r="T1406" s="10">
        <f>IF(Q1406="","",Q1406-S1406)</f>
        <v/>
      </c>
    </row>
    <row r="1407">
      <c r="A1407" s="7">
        <f>CONCATENATE(C1407,E1407,F1407,I1407)</f>
        <v/>
      </c>
      <c r="B1407" s="7">
        <f>CONCATENATE(C1407,E1407,I1407)</f>
        <v/>
      </c>
      <c r="C1407" s="8" t="n">
        <v>900004077</v>
      </c>
      <c r="D1407" s="7">
        <f>IFERROR(VLOOKUP(C1407,TRAOPE!$G:$H,2,0),"")</f>
        <v/>
      </c>
      <c r="E1407" s="8" t="inlineStr">
        <is>
          <t>D836</t>
        </is>
      </c>
      <c r="F1407" s="8" t="inlineStr">
        <is>
          <t>66426100</t>
        </is>
      </c>
      <c r="G1407" s="8">
        <f>IFERROR(VLOOKUP(A1407,Flete!$A:$E,5,0),"")</f>
        <v/>
      </c>
      <c r="H1407" s="7">
        <f>IFERROR(VLOOKUP(F1407,TRAOPE!$AA:$AB,2,0),"")</f>
        <v/>
      </c>
      <c r="I1407" s="7" t="n">
        <v>10215377</v>
      </c>
      <c r="J1407" s="7">
        <f>IFERROR(VLOOKUP(I1407,Materiales!$A:$H,8,0),"")</f>
        <v/>
      </c>
      <c r="K1407" s="9">
        <f>IFERROR(VLOOKUP(I1407,Materiales!$A:$G,7,0),"")</f>
        <v/>
      </c>
      <c r="L1407" s="8" t="inlineStr">
        <is>
          <t>20190426</t>
        </is>
      </c>
      <c r="M1407" s="8" t="inlineStr">
        <is>
          <t>20250127</t>
        </is>
      </c>
      <c r="N1407" s="10" t="n">
        <v>126</v>
      </c>
      <c r="O1407" s="10">
        <f>IFERROR(VLOOKUP(A1407,Flete!$A:$J,10,0),"")</f>
        <v/>
      </c>
      <c r="P1407" s="8" t="inlineStr">
        <is>
          <t>M3</t>
        </is>
      </c>
      <c r="Q1407" s="10">
        <f>IFERROR(IFERROR(VLOOKUP(A1407,TRAOPE!$A:$U,21,0),VLOOKUP(B1407,TRAOPE!$A:$U,21,0)),"")</f>
        <v/>
      </c>
      <c r="R1407" s="8">
        <f>IFERROR(IFERROR(VLOOKUP(A1407,TRAOPE!$A:$W,23,0),VLOOKUP(B1407,TRAOPE!$A:$W,23,0)),"")</f>
        <v/>
      </c>
      <c r="S1407" s="10">
        <f>IF(AND(P1407="TN",R1407="TN"),N1407+N(O1407),IF(G1407&amp;""="1",N(K1407)*N1407,(N1407+N(O1407))*N(K1407)))</f>
        <v/>
      </c>
      <c r="T1407" s="10">
        <f>IF(Q1407="","",Q1407-S1407)</f>
        <v/>
      </c>
    </row>
    <row r="1408">
      <c r="A1408" s="7">
        <f>CONCATENATE(C1408,E1408,F1408,I1408)</f>
        <v/>
      </c>
      <c r="B1408" s="7">
        <f>CONCATENATE(C1408,E1408,I1408)</f>
        <v/>
      </c>
      <c r="C1408" s="8" t="n">
        <v>900004077</v>
      </c>
      <c r="D1408" s="7">
        <f>IFERROR(VLOOKUP(C1408,TRAOPE!$G:$H,2,0),"")</f>
        <v/>
      </c>
      <c r="E1408" s="8" t="inlineStr">
        <is>
          <t>D836</t>
        </is>
      </c>
      <c r="F1408" s="8" t="inlineStr">
        <is>
          <t>66433509</t>
        </is>
      </c>
      <c r="G1408" s="8">
        <f>IFERROR(VLOOKUP(A1408,Flete!$A:$E,5,0),"")</f>
        <v/>
      </c>
      <c r="H1408" s="7">
        <f>IFERROR(VLOOKUP(F1408,TRAOPE!$AA:$AB,2,0),"")</f>
        <v/>
      </c>
      <c r="I1408" s="7" t="n">
        <v>10215377</v>
      </c>
      <c r="J1408" s="7">
        <f>IFERROR(VLOOKUP(I1408,Materiales!$A:$H,8,0),"")</f>
        <v/>
      </c>
      <c r="K1408" s="9">
        <f>IFERROR(VLOOKUP(I1408,Materiales!$A:$G,7,0),"")</f>
        <v/>
      </c>
      <c r="L1408" s="8" t="inlineStr">
        <is>
          <t>20190426</t>
        </is>
      </c>
      <c r="M1408" s="8" t="inlineStr">
        <is>
          <t>20250127</t>
        </is>
      </c>
      <c r="N1408" s="10" t="n">
        <v>126</v>
      </c>
      <c r="O1408" s="10">
        <f>IFERROR(VLOOKUP(A1408,Flete!$A:$J,10,0),"")</f>
        <v/>
      </c>
      <c r="P1408" s="8" t="inlineStr">
        <is>
          <t>M3</t>
        </is>
      </c>
      <c r="Q1408" s="10">
        <f>IFERROR(IFERROR(VLOOKUP(A1408,TRAOPE!$A:$U,21,0),VLOOKUP(B1408,TRAOPE!$A:$U,21,0)),"")</f>
        <v/>
      </c>
      <c r="R1408" s="8">
        <f>IFERROR(IFERROR(VLOOKUP(A1408,TRAOPE!$A:$W,23,0),VLOOKUP(B1408,TRAOPE!$A:$W,23,0)),"")</f>
        <v/>
      </c>
      <c r="S1408" s="10">
        <f>IF(AND(P1408="TN",R1408="TN"),N1408+N(O1408),IF(G1408&amp;""="1",N(K1408)*N1408,(N1408+N(O1408))*N(K1408)))</f>
        <v/>
      </c>
      <c r="T1408" s="10">
        <f>IF(Q1408="","",Q1408-S1408)</f>
        <v/>
      </c>
    </row>
    <row r="1409">
      <c r="A1409" s="7">
        <f>CONCATENATE(C1409,E1409,F1409,I1409)</f>
        <v/>
      </c>
      <c r="B1409" s="7">
        <f>CONCATENATE(C1409,E1409,I1409)</f>
        <v/>
      </c>
      <c r="C1409" s="8" t="n">
        <v>900004077</v>
      </c>
      <c r="D1409" s="7">
        <f>IFERROR(VLOOKUP(C1409,TRAOPE!$G:$H,2,0),"")</f>
        <v/>
      </c>
      <c r="E1409" s="8" t="inlineStr">
        <is>
          <t>D836</t>
        </is>
      </c>
      <c r="F1409" s="8" t="inlineStr">
        <is>
          <t>66486059</t>
        </is>
      </c>
      <c r="G1409" s="8">
        <f>IFERROR(VLOOKUP(A1409,Flete!$A:$E,5,0),"")</f>
        <v/>
      </c>
      <c r="H1409" s="7">
        <f>IFERROR(VLOOKUP(F1409,TRAOPE!$AA:$AB,2,0),"")</f>
        <v/>
      </c>
      <c r="I1409" s="7" t="n">
        <v>10215377</v>
      </c>
      <c r="J1409" s="7">
        <f>IFERROR(VLOOKUP(I1409,Materiales!$A:$H,8,0),"")</f>
        <v/>
      </c>
      <c r="K1409" s="9">
        <f>IFERROR(VLOOKUP(I1409,Materiales!$A:$G,7,0),"")</f>
        <v/>
      </c>
      <c r="L1409" s="8" t="inlineStr">
        <is>
          <t>20190426</t>
        </is>
      </c>
      <c r="M1409" s="8" t="inlineStr">
        <is>
          <t>20250127</t>
        </is>
      </c>
      <c r="N1409" s="10" t="n">
        <v>120</v>
      </c>
      <c r="O1409" s="10">
        <f>IFERROR(VLOOKUP(A1409,Flete!$A:$J,10,0),"")</f>
        <v/>
      </c>
      <c r="P1409" s="8" t="inlineStr">
        <is>
          <t>M3</t>
        </is>
      </c>
      <c r="Q1409" s="10">
        <f>IFERROR(IFERROR(VLOOKUP(A1409,TRAOPE!$A:$U,21,0),VLOOKUP(B1409,TRAOPE!$A:$U,21,0)),"")</f>
        <v/>
      </c>
      <c r="R1409" s="8">
        <f>IFERROR(IFERROR(VLOOKUP(A1409,TRAOPE!$A:$W,23,0),VLOOKUP(B1409,TRAOPE!$A:$W,23,0)),"")</f>
        <v/>
      </c>
      <c r="S1409" s="10">
        <f>IF(AND(P1409="TN",R1409="TN"),N1409+N(O1409),IF(G1409&amp;""="1",N(K1409)*N1409,(N1409+N(O1409))*N(K1409)))</f>
        <v/>
      </c>
      <c r="T1409" s="10">
        <f>IF(Q1409="","",Q1409-S1409)</f>
        <v/>
      </c>
    </row>
    <row r="1410">
      <c r="A1410" s="7">
        <f>CONCATENATE(C1410,E1410,F1410,I1410)</f>
        <v/>
      </c>
      <c r="B1410" s="7">
        <f>CONCATENATE(C1410,E1410,I1410)</f>
        <v/>
      </c>
      <c r="C1410" s="8" t="n">
        <v>900004077</v>
      </c>
      <c r="D1410" s="7">
        <f>IFERROR(VLOOKUP(C1410,TRAOPE!$G:$H,2,0),"")</f>
        <v/>
      </c>
      <c r="E1410" s="8" t="inlineStr">
        <is>
          <t>D836</t>
        </is>
      </c>
      <c r="F1410" s="8" t="inlineStr">
        <is>
          <t>66516656</t>
        </is>
      </c>
      <c r="G1410" s="8">
        <f>IFERROR(VLOOKUP(A1410,Flete!$A:$E,5,0),"")</f>
        <v/>
      </c>
      <c r="H1410" s="7">
        <f>IFERROR(VLOOKUP(F1410,TRAOPE!$AA:$AB,2,0),"")</f>
        <v/>
      </c>
      <c r="I1410" s="7" t="n">
        <v>10000630</v>
      </c>
      <c r="J1410" s="7">
        <f>IFERROR(VLOOKUP(I1410,Materiales!$A:$H,8,0),"")</f>
        <v/>
      </c>
      <c r="K1410" s="9">
        <f>IFERROR(VLOOKUP(I1410,Materiales!$A:$G,7,0),"")</f>
        <v/>
      </c>
      <c r="L1410" s="8" t="inlineStr">
        <is>
          <t>20190426</t>
        </is>
      </c>
      <c r="M1410" s="8" t="inlineStr">
        <is>
          <t>20250127</t>
        </is>
      </c>
      <c r="N1410" s="10" t="n">
        <v>147</v>
      </c>
      <c r="O1410" s="10">
        <f>IFERROR(VLOOKUP(A1410,Flete!$A:$J,10,0),"")</f>
        <v/>
      </c>
      <c r="P1410" s="8" t="inlineStr">
        <is>
          <t>M3</t>
        </is>
      </c>
      <c r="Q1410" s="10">
        <f>IFERROR(IFERROR(VLOOKUP(A1410,TRAOPE!$A:$U,21,0),VLOOKUP(B1410,TRAOPE!$A:$U,21,0)),"")</f>
        <v/>
      </c>
      <c r="R1410" s="8">
        <f>IFERROR(IFERROR(VLOOKUP(A1410,TRAOPE!$A:$W,23,0),VLOOKUP(B1410,TRAOPE!$A:$W,23,0)),"")</f>
        <v/>
      </c>
      <c r="S1410" s="10">
        <f>IF(AND(P1410="TN",R1410="TN"),N1410+N(O1410),IF(G1410&amp;""="1",N(K1410)*N1410,(N1410+N(O1410))*N(K1410)))</f>
        <v/>
      </c>
      <c r="T1410" s="10">
        <f>IF(Q1410="","",Q1410-S1410)</f>
        <v/>
      </c>
    </row>
    <row r="1411">
      <c r="A1411" s="7">
        <f>CONCATENATE(C1411,E1411,F1411,I1411)</f>
        <v/>
      </c>
      <c r="B1411" s="7">
        <f>CONCATENATE(C1411,E1411,I1411)</f>
        <v/>
      </c>
      <c r="C1411" s="8" t="n">
        <v>900004077</v>
      </c>
      <c r="D1411" s="7">
        <f>IFERROR(VLOOKUP(C1411,TRAOPE!$G:$H,2,0),"")</f>
        <v/>
      </c>
      <c r="E1411" s="8" t="inlineStr">
        <is>
          <t>D836</t>
        </is>
      </c>
      <c r="F1411" s="8" t="inlineStr">
        <is>
          <t>66825797</t>
        </is>
      </c>
      <c r="G1411" s="8">
        <f>IFERROR(VLOOKUP(A1411,Flete!$A:$E,5,0),"")</f>
        <v/>
      </c>
      <c r="H1411" s="7">
        <f>IFERROR(VLOOKUP(F1411,TRAOPE!$AA:$AB,2,0),"")</f>
        <v/>
      </c>
      <c r="I1411" s="7" t="n">
        <v>10000623</v>
      </c>
      <c r="J1411" s="7">
        <f>IFERROR(VLOOKUP(I1411,Materiales!$A:$H,8,0),"")</f>
        <v/>
      </c>
      <c r="K1411" s="9">
        <f>IFERROR(VLOOKUP(I1411,Materiales!$A:$G,7,0),"")</f>
        <v/>
      </c>
      <c r="L1411" s="8" t="inlineStr">
        <is>
          <t>20190426</t>
        </is>
      </c>
      <c r="M1411" s="8" t="inlineStr">
        <is>
          <t>20250127</t>
        </is>
      </c>
      <c r="N1411" s="10" t="n">
        <v>150</v>
      </c>
      <c r="O1411" s="10">
        <f>IFERROR(VLOOKUP(A1411,Flete!$A:$J,10,0),"")</f>
        <v/>
      </c>
      <c r="P1411" s="8" t="inlineStr">
        <is>
          <t>M3</t>
        </is>
      </c>
      <c r="Q1411" s="10">
        <f>IFERROR(IFERROR(VLOOKUP(A1411,TRAOPE!$A:$U,21,0),VLOOKUP(B1411,TRAOPE!$A:$U,21,0)),"")</f>
        <v/>
      </c>
      <c r="R1411" s="8">
        <f>IFERROR(IFERROR(VLOOKUP(A1411,TRAOPE!$A:$W,23,0),VLOOKUP(B1411,TRAOPE!$A:$W,23,0)),"")</f>
        <v/>
      </c>
      <c r="S1411" s="10">
        <f>IF(AND(P1411="TN",R1411="TN"),N1411+N(O1411),IF(G1411&amp;""="1",N(K1411)*N1411,(N1411+N(O1411))*N(K1411)))</f>
        <v/>
      </c>
      <c r="T1411" s="10">
        <f>IF(Q1411="","",Q1411-S1411)</f>
        <v/>
      </c>
    </row>
    <row r="1412">
      <c r="A1412" s="7">
        <f>CONCATENATE(C1412,E1412,F1412,I1412)</f>
        <v/>
      </c>
      <c r="B1412" s="7">
        <f>CONCATENATE(C1412,E1412,I1412)</f>
        <v/>
      </c>
      <c r="C1412" s="8" t="n">
        <v>900004077</v>
      </c>
      <c r="D1412" s="7">
        <f>IFERROR(VLOOKUP(C1412,TRAOPE!$G:$H,2,0),"")</f>
        <v/>
      </c>
      <c r="E1412" s="8" t="inlineStr">
        <is>
          <t>D836</t>
        </is>
      </c>
      <c r="F1412" s="8" t="inlineStr">
        <is>
          <t>66825797</t>
        </is>
      </c>
      <c r="G1412" s="8">
        <f>IFERROR(VLOOKUP(A1412,Flete!$A:$E,5,0),"")</f>
        <v/>
      </c>
      <c r="H1412" s="7">
        <f>IFERROR(VLOOKUP(F1412,TRAOPE!$AA:$AB,2,0),"")</f>
        <v/>
      </c>
      <c r="I1412" s="7" t="n">
        <v>10184010</v>
      </c>
      <c r="J1412" s="7">
        <f>IFERROR(VLOOKUP(I1412,Materiales!$A:$H,8,0),"")</f>
        <v/>
      </c>
      <c r="K1412" s="9">
        <f>IFERROR(VLOOKUP(I1412,Materiales!$A:$G,7,0),"")</f>
        <v/>
      </c>
      <c r="L1412" s="8" t="inlineStr">
        <is>
          <t>20190426</t>
        </is>
      </c>
      <c r="M1412" s="8" t="inlineStr">
        <is>
          <t>20250127</t>
        </is>
      </c>
      <c r="N1412" s="10" t="n">
        <v>147.5</v>
      </c>
      <c r="O1412" s="10">
        <f>IFERROR(VLOOKUP(A1412,Flete!$A:$J,10,0),"")</f>
        <v/>
      </c>
      <c r="P1412" s="8" t="inlineStr">
        <is>
          <t>M3</t>
        </is>
      </c>
      <c r="Q1412" s="10">
        <f>IFERROR(IFERROR(VLOOKUP(A1412,TRAOPE!$A:$U,21,0),VLOOKUP(B1412,TRAOPE!$A:$U,21,0)),"")</f>
        <v/>
      </c>
      <c r="R1412" s="8">
        <f>IFERROR(IFERROR(VLOOKUP(A1412,TRAOPE!$A:$W,23,0),VLOOKUP(B1412,TRAOPE!$A:$W,23,0)),"")</f>
        <v/>
      </c>
      <c r="S1412" s="10">
        <f>IF(AND(P1412="TN",R1412="TN"),N1412+N(O1412),IF(G1412&amp;""="1",N(K1412)*N1412,(N1412+N(O1412))*N(K1412)))</f>
        <v/>
      </c>
      <c r="T1412" s="10">
        <f>IF(Q1412="","",Q1412-S1412)</f>
        <v/>
      </c>
    </row>
    <row r="1413">
      <c r="A1413" s="7">
        <f>CONCATENATE(C1413,E1413,F1413,I1413)</f>
        <v/>
      </c>
      <c r="B1413" s="7">
        <f>CONCATENATE(C1413,E1413,I1413)</f>
        <v/>
      </c>
      <c r="C1413" s="8" t="n">
        <v>900004077</v>
      </c>
      <c r="D1413" s="7">
        <f>IFERROR(VLOOKUP(C1413,TRAOPE!$G:$H,2,0),"")</f>
        <v/>
      </c>
      <c r="E1413" s="8" t="inlineStr">
        <is>
          <t>D836</t>
        </is>
      </c>
      <c r="F1413" s="8" t="inlineStr">
        <is>
          <t>66825797</t>
        </is>
      </c>
      <c r="G1413" s="8">
        <f>IFERROR(VLOOKUP(A1413,Flete!$A:$E,5,0),"")</f>
        <v/>
      </c>
      <c r="H1413" s="7">
        <f>IFERROR(VLOOKUP(F1413,TRAOPE!$AA:$AB,2,0),"")</f>
        <v/>
      </c>
      <c r="I1413" s="7" t="n">
        <v>10184011</v>
      </c>
      <c r="J1413" s="7">
        <f>IFERROR(VLOOKUP(I1413,Materiales!$A:$H,8,0),"")</f>
        <v/>
      </c>
      <c r="K1413" s="9">
        <f>IFERROR(VLOOKUP(I1413,Materiales!$A:$G,7,0),"")</f>
        <v/>
      </c>
      <c r="L1413" s="8" t="inlineStr">
        <is>
          <t>20190426</t>
        </is>
      </c>
      <c r="M1413" s="8" t="inlineStr">
        <is>
          <t>20250127</t>
        </is>
      </c>
      <c r="N1413" s="10" t="n">
        <v>147.5</v>
      </c>
      <c r="O1413" s="10">
        <f>IFERROR(VLOOKUP(A1413,Flete!$A:$J,10,0),"")</f>
        <v/>
      </c>
      <c r="P1413" s="8" t="inlineStr">
        <is>
          <t>M3</t>
        </is>
      </c>
      <c r="Q1413" s="10">
        <f>IFERROR(IFERROR(VLOOKUP(A1413,TRAOPE!$A:$U,21,0),VLOOKUP(B1413,TRAOPE!$A:$U,21,0)),"")</f>
        <v/>
      </c>
      <c r="R1413" s="8">
        <f>IFERROR(IFERROR(VLOOKUP(A1413,TRAOPE!$A:$W,23,0),VLOOKUP(B1413,TRAOPE!$A:$W,23,0)),"")</f>
        <v/>
      </c>
      <c r="S1413" s="10">
        <f>IF(AND(P1413="TN",R1413="TN"),N1413+N(O1413),IF(G1413&amp;""="1",N(K1413)*N1413,(N1413+N(O1413))*N(K1413)))</f>
        <v/>
      </c>
      <c r="T1413" s="10">
        <f>IF(Q1413="","",Q1413-S1413)</f>
        <v/>
      </c>
    </row>
    <row r="1414">
      <c r="A1414" s="7">
        <f>CONCATENATE(C1414,E1414,F1414,I1414)</f>
        <v/>
      </c>
      <c r="B1414" s="7">
        <f>CONCATENATE(C1414,E1414,I1414)</f>
        <v/>
      </c>
      <c r="C1414" s="8" t="n">
        <v>900004077</v>
      </c>
      <c r="D1414" s="7">
        <f>IFERROR(VLOOKUP(C1414,TRAOPE!$G:$H,2,0),"")</f>
        <v/>
      </c>
      <c r="E1414" s="8" t="inlineStr">
        <is>
          <t>D836</t>
        </is>
      </c>
      <c r="F1414" s="8" t="inlineStr">
        <is>
          <t>66825797</t>
        </is>
      </c>
      <c r="G1414" s="8">
        <f>IFERROR(VLOOKUP(A1414,Flete!$A:$E,5,0),"")</f>
        <v/>
      </c>
      <c r="H1414" s="7">
        <f>IFERROR(VLOOKUP(F1414,TRAOPE!$AA:$AB,2,0),"")</f>
        <v/>
      </c>
      <c r="I1414" s="7" t="n">
        <v>10184142</v>
      </c>
      <c r="J1414" s="7">
        <f>IFERROR(VLOOKUP(I1414,Materiales!$A:$H,8,0),"")</f>
        <v/>
      </c>
      <c r="K1414" s="9">
        <f>IFERROR(VLOOKUP(I1414,Materiales!$A:$G,7,0),"")</f>
        <v/>
      </c>
      <c r="L1414" s="8" t="inlineStr">
        <is>
          <t>20190426</t>
        </is>
      </c>
      <c r="M1414" s="8" t="inlineStr">
        <is>
          <t>20250127</t>
        </is>
      </c>
      <c r="N1414" s="10" t="n">
        <v>147.5</v>
      </c>
      <c r="O1414" s="10">
        <f>IFERROR(VLOOKUP(A1414,Flete!$A:$J,10,0),"")</f>
        <v/>
      </c>
      <c r="P1414" s="8" t="inlineStr">
        <is>
          <t>M3</t>
        </is>
      </c>
      <c r="Q1414" s="10">
        <f>IFERROR(IFERROR(VLOOKUP(A1414,TRAOPE!$A:$U,21,0),VLOOKUP(B1414,TRAOPE!$A:$U,21,0)),"")</f>
        <v/>
      </c>
      <c r="R1414" s="8">
        <f>IFERROR(IFERROR(VLOOKUP(A1414,TRAOPE!$A:$W,23,0),VLOOKUP(B1414,TRAOPE!$A:$W,23,0)),"")</f>
        <v/>
      </c>
      <c r="S1414" s="10">
        <f>IF(AND(P1414="TN",R1414="TN"),N1414+N(O1414),IF(G1414&amp;""="1",N(K1414)*N1414,(N1414+N(O1414))*N(K1414)))</f>
        <v/>
      </c>
      <c r="T1414" s="10">
        <f>IF(Q1414="","",Q1414-S1414)</f>
        <v/>
      </c>
    </row>
    <row r="1415">
      <c r="A1415" s="7">
        <f>CONCATENATE(C1415,E1415,F1415,I1415)</f>
        <v/>
      </c>
      <c r="B1415" s="7">
        <f>CONCATENATE(C1415,E1415,I1415)</f>
        <v/>
      </c>
      <c r="C1415" s="8" t="n">
        <v>900004077</v>
      </c>
      <c r="D1415" s="7">
        <f>IFERROR(VLOOKUP(C1415,TRAOPE!$G:$H,2,0),"")</f>
        <v/>
      </c>
      <c r="E1415" s="8" t="inlineStr">
        <is>
          <t>D836</t>
        </is>
      </c>
      <c r="F1415" s="8" t="inlineStr">
        <is>
          <t>66838326</t>
        </is>
      </c>
      <c r="G1415" s="8">
        <f>IFERROR(VLOOKUP(A1415,Flete!$A:$E,5,0),"")</f>
        <v/>
      </c>
      <c r="H1415" s="7">
        <f>IFERROR(VLOOKUP(F1415,TRAOPE!$AA:$AB,2,0),"")</f>
        <v/>
      </c>
      <c r="I1415" s="7" t="n">
        <v>10000357</v>
      </c>
      <c r="J1415" s="7">
        <f>IFERROR(VLOOKUP(I1415,Materiales!$A:$H,8,0),"")</f>
        <v/>
      </c>
      <c r="K1415" s="9">
        <f>IFERROR(VLOOKUP(I1415,Materiales!$A:$G,7,0),"")</f>
        <v/>
      </c>
      <c r="L1415" s="8" t="inlineStr">
        <is>
          <t>20190426</t>
        </is>
      </c>
      <c r="M1415" s="8" t="inlineStr">
        <is>
          <t>20250127</t>
        </is>
      </c>
      <c r="N1415" s="10" t="n">
        <v>84</v>
      </c>
      <c r="O1415" s="10">
        <f>IFERROR(VLOOKUP(A1415,Flete!$A:$J,10,0),"")</f>
        <v/>
      </c>
      <c r="P1415" s="8" t="inlineStr">
        <is>
          <t>TN</t>
        </is>
      </c>
      <c r="Q1415" s="10">
        <f>IFERROR(IFERROR(VLOOKUP(A1415,TRAOPE!$A:$U,21,0),VLOOKUP(B1415,TRAOPE!$A:$U,21,0)),"")</f>
        <v/>
      </c>
      <c r="R1415" s="8">
        <f>IFERROR(IFERROR(VLOOKUP(A1415,TRAOPE!$A:$W,23,0),VLOOKUP(B1415,TRAOPE!$A:$W,23,0)),"")</f>
        <v/>
      </c>
      <c r="S1415" s="10">
        <f>IF(AND(P1415="TN",R1415="TN"),N1415+N(O1415),IF(G1415&amp;""="1",N(K1415)*N1415,(N1415+N(O1415))*N(K1415)))</f>
        <v/>
      </c>
      <c r="T1415" s="10">
        <f>IF(Q1415="","",Q1415-S1415)</f>
        <v/>
      </c>
    </row>
    <row r="1416">
      <c r="A1416" s="7">
        <f>CONCATENATE(C1416,E1416,F1416,I1416)</f>
        <v/>
      </c>
      <c r="B1416" s="7">
        <f>CONCATENATE(C1416,E1416,I1416)</f>
        <v/>
      </c>
      <c r="C1416" s="8" t="n">
        <v>900004077</v>
      </c>
      <c r="D1416" s="7">
        <f>IFERROR(VLOOKUP(C1416,TRAOPE!$G:$H,2,0),"")</f>
        <v/>
      </c>
      <c r="E1416" s="8" t="inlineStr">
        <is>
          <t>D836</t>
        </is>
      </c>
      <c r="F1416" s="8" t="inlineStr">
        <is>
          <t>66838326</t>
        </is>
      </c>
      <c r="G1416" s="8">
        <f>IFERROR(VLOOKUP(A1416,Flete!$A:$E,5,0),"")</f>
        <v/>
      </c>
      <c r="H1416" s="7">
        <f>IFERROR(VLOOKUP(F1416,TRAOPE!$AA:$AB,2,0),"")</f>
        <v/>
      </c>
      <c r="I1416" s="7" t="n">
        <v>10000623</v>
      </c>
      <c r="J1416" s="7">
        <f>IFERROR(VLOOKUP(I1416,Materiales!$A:$H,8,0),"")</f>
        <v/>
      </c>
      <c r="K1416" s="9">
        <f>IFERROR(VLOOKUP(I1416,Materiales!$A:$G,7,0),"")</f>
        <v/>
      </c>
      <c r="L1416" s="8" t="inlineStr">
        <is>
          <t>20190426</t>
        </is>
      </c>
      <c r="M1416" s="8" t="inlineStr">
        <is>
          <t>20250127</t>
        </is>
      </c>
      <c r="N1416" s="10" t="n">
        <v>118</v>
      </c>
      <c r="O1416" s="10">
        <f>IFERROR(VLOOKUP(A1416,Flete!$A:$J,10,0),"")</f>
        <v/>
      </c>
      <c r="P1416" s="8" t="inlineStr">
        <is>
          <t>TN</t>
        </is>
      </c>
      <c r="Q1416" s="10">
        <f>IFERROR(IFERROR(VLOOKUP(A1416,TRAOPE!$A:$U,21,0),VLOOKUP(B1416,TRAOPE!$A:$U,21,0)),"")</f>
        <v/>
      </c>
      <c r="R1416" s="8">
        <f>IFERROR(IFERROR(VLOOKUP(A1416,TRAOPE!$A:$W,23,0),VLOOKUP(B1416,TRAOPE!$A:$W,23,0)),"")</f>
        <v/>
      </c>
      <c r="S1416" s="10">
        <f>IF(AND(P1416="TN",R1416="TN"),N1416+N(O1416),IF(G1416&amp;""="1",N(K1416)*N1416,(N1416+N(O1416))*N(K1416)))</f>
        <v/>
      </c>
      <c r="T1416" s="10">
        <f>IF(Q1416="","",Q1416-S1416)</f>
        <v/>
      </c>
    </row>
    <row r="1417">
      <c r="A1417" s="7">
        <f>CONCATENATE(C1417,E1417,F1417,I1417)</f>
        <v/>
      </c>
      <c r="B1417" s="7">
        <f>CONCATENATE(C1417,E1417,I1417)</f>
        <v/>
      </c>
      <c r="C1417" s="8" t="n">
        <v>900004077</v>
      </c>
      <c r="D1417" s="7">
        <f>IFERROR(VLOOKUP(C1417,TRAOPE!$G:$H,2,0),"")</f>
        <v/>
      </c>
      <c r="E1417" s="8" t="inlineStr">
        <is>
          <t>D836</t>
        </is>
      </c>
      <c r="F1417" s="8" t="inlineStr">
        <is>
          <t>66838326</t>
        </is>
      </c>
      <c r="G1417" s="8">
        <f>IFERROR(VLOOKUP(A1417,Flete!$A:$E,5,0),"")</f>
        <v/>
      </c>
      <c r="H1417" s="7">
        <f>IFERROR(VLOOKUP(F1417,TRAOPE!$AA:$AB,2,0),"")</f>
        <v/>
      </c>
      <c r="I1417" s="7" t="n">
        <v>10000627</v>
      </c>
      <c r="J1417" s="7">
        <f>IFERROR(VLOOKUP(I1417,Materiales!$A:$H,8,0),"")</f>
        <v/>
      </c>
      <c r="K1417" s="9">
        <f>IFERROR(VLOOKUP(I1417,Materiales!$A:$G,7,0),"")</f>
        <v/>
      </c>
      <c r="L1417" s="8" t="inlineStr">
        <is>
          <t>20190426</t>
        </is>
      </c>
      <c r="M1417" s="8" t="inlineStr">
        <is>
          <t>20250127</t>
        </is>
      </c>
      <c r="N1417" s="10" t="n">
        <v>105</v>
      </c>
      <c r="O1417" s="10">
        <f>IFERROR(VLOOKUP(A1417,Flete!$A:$J,10,0),"")</f>
        <v/>
      </c>
      <c r="P1417" s="8" t="inlineStr">
        <is>
          <t>M3</t>
        </is>
      </c>
      <c r="Q1417" s="10">
        <f>IFERROR(IFERROR(VLOOKUP(A1417,TRAOPE!$A:$U,21,0),VLOOKUP(B1417,TRAOPE!$A:$U,21,0)),"")</f>
        <v/>
      </c>
      <c r="R1417" s="8">
        <f>IFERROR(IFERROR(VLOOKUP(A1417,TRAOPE!$A:$W,23,0),VLOOKUP(B1417,TRAOPE!$A:$W,23,0)),"")</f>
        <v/>
      </c>
      <c r="S1417" s="10">
        <f>IF(AND(P1417="TN",R1417="TN"),N1417+N(O1417),IF(G1417&amp;""="1",N(K1417)*N1417,(N1417+N(O1417))*N(K1417)))</f>
        <v/>
      </c>
      <c r="T1417" s="10">
        <f>IF(Q1417="","",Q1417-S1417)</f>
        <v/>
      </c>
    </row>
    <row r="1418">
      <c r="A1418" s="7">
        <f>CONCATENATE(C1418,E1418,F1418,I1418)</f>
        <v/>
      </c>
      <c r="B1418" s="7">
        <f>CONCATENATE(C1418,E1418,I1418)</f>
        <v/>
      </c>
      <c r="C1418" s="8" t="n">
        <v>900004077</v>
      </c>
      <c r="D1418" s="7">
        <f>IFERROR(VLOOKUP(C1418,TRAOPE!$G:$H,2,0),"")</f>
        <v/>
      </c>
      <c r="E1418" s="8" t="inlineStr">
        <is>
          <t>D836</t>
        </is>
      </c>
      <c r="F1418" s="8" t="inlineStr">
        <is>
          <t>66838326</t>
        </is>
      </c>
      <c r="G1418" s="8">
        <f>IFERROR(VLOOKUP(A1418,Flete!$A:$E,5,0),"")</f>
        <v/>
      </c>
      <c r="H1418" s="7">
        <f>IFERROR(VLOOKUP(F1418,TRAOPE!$AA:$AB,2,0),"")</f>
        <v/>
      </c>
      <c r="I1418" s="7" t="n">
        <v>10184010</v>
      </c>
      <c r="J1418" s="7">
        <f>IFERROR(VLOOKUP(I1418,Materiales!$A:$H,8,0),"")</f>
        <v/>
      </c>
      <c r="K1418" s="9">
        <f>IFERROR(VLOOKUP(I1418,Materiales!$A:$G,7,0),"")</f>
        <v/>
      </c>
      <c r="L1418" s="8" t="inlineStr">
        <is>
          <t>20190426</t>
        </is>
      </c>
      <c r="M1418" s="8" t="inlineStr">
        <is>
          <t>20250127</t>
        </is>
      </c>
      <c r="N1418" s="10" t="n">
        <v>118</v>
      </c>
      <c r="O1418" s="10">
        <f>IFERROR(VLOOKUP(A1418,Flete!$A:$J,10,0),"")</f>
        <v/>
      </c>
      <c r="P1418" s="8" t="inlineStr">
        <is>
          <t>TN</t>
        </is>
      </c>
      <c r="Q1418" s="10">
        <f>IFERROR(IFERROR(VLOOKUP(A1418,TRAOPE!$A:$U,21,0),VLOOKUP(B1418,TRAOPE!$A:$U,21,0)),"")</f>
        <v/>
      </c>
      <c r="R1418" s="8">
        <f>IFERROR(IFERROR(VLOOKUP(A1418,TRAOPE!$A:$W,23,0),VLOOKUP(B1418,TRAOPE!$A:$W,23,0)),"")</f>
        <v/>
      </c>
      <c r="S1418" s="10">
        <f>IF(AND(P1418="TN",R1418="TN"),N1418+N(O1418),IF(G1418&amp;""="1",N(K1418)*N1418,(N1418+N(O1418))*N(K1418)))</f>
        <v/>
      </c>
      <c r="T1418" s="10">
        <f>IF(Q1418="","",Q1418-S1418)</f>
        <v/>
      </c>
    </row>
    <row r="1419">
      <c r="A1419" s="7">
        <f>CONCATENATE(C1419,E1419,F1419,I1419)</f>
        <v/>
      </c>
      <c r="B1419" s="7">
        <f>CONCATENATE(C1419,E1419,I1419)</f>
        <v/>
      </c>
      <c r="C1419" s="8" t="n">
        <v>900004077</v>
      </c>
      <c r="D1419" s="7">
        <f>IFERROR(VLOOKUP(C1419,TRAOPE!$G:$H,2,0),"")</f>
        <v/>
      </c>
      <c r="E1419" s="8" t="inlineStr">
        <is>
          <t>D836</t>
        </is>
      </c>
      <c r="F1419" s="8" t="inlineStr">
        <is>
          <t>66838326</t>
        </is>
      </c>
      <c r="G1419" s="8">
        <f>IFERROR(VLOOKUP(A1419,Flete!$A:$E,5,0),"")</f>
        <v/>
      </c>
      <c r="H1419" s="7">
        <f>IFERROR(VLOOKUP(F1419,TRAOPE!$AA:$AB,2,0),"")</f>
        <v/>
      </c>
      <c r="I1419" s="7" t="n">
        <v>10184011</v>
      </c>
      <c r="J1419" s="7">
        <f>IFERROR(VLOOKUP(I1419,Materiales!$A:$H,8,0),"")</f>
        <v/>
      </c>
      <c r="K1419" s="9">
        <f>IFERROR(VLOOKUP(I1419,Materiales!$A:$G,7,0),"")</f>
        <v/>
      </c>
      <c r="L1419" s="8" t="inlineStr">
        <is>
          <t>20190426</t>
        </is>
      </c>
      <c r="M1419" s="8" t="inlineStr">
        <is>
          <t>20250127</t>
        </is>
      </c>
      <c r="N1419" s="10" t="n">
        <v>118</v>
      </c>
      <c r="O1419" s="10">
        <f>IFERROR(VLOOKUP(A1419,Flete!$A:$J,10,0),"")</f>
        <v/>
      </c>
      <c r="P1419" s="8" t="inlineStr">
        <is>
          <t>TN</t>
        </is>
      </c>
      <c r="Q1419" s="10">
        <f>IFERROR(IFERROR(VLOOKUP(A1419,TRAOPE!$A:$U,21,0),VLOOKUP(B1419,TRAOPE!$A:$U,21,0)),"")</f>
        <v/>
      </c>
      <c r="R1419" s="8">
        <f>IFERROR(IFERROR(VLOOKUP(A1419,TRAOPE!$A:$W,23,0),VLOOKUP(B1419,TRAOPE!$A:$W,23,0)),"")</f>
        <v/>
      </c>
      <c r="S1419" s="10">
        <f>IF(AND(P1419="TN",R1419="TN"),N1419+N(O1419),IF(G1419&amp;""="1",N(K1419)*N1419,(N1419+N(O1419))*N(K1419)))</f>
        <v/>
      </c>
      <c r="T1419" s="10">
        <f>IF(Q1419="","",Q1419-S1419)</f>
        <v/>
      </c>
    </row>
    <row r="1420">
      <c r="A1420" s="7">
        <f>CONCATENATE(C1420,E1420,F1420,I1420)</f>
        <v/>
      </c>
      <c r="B1420" s="7">
        <f>CONCATENATE(C1420,E1420,I1420)</f>
        <v/>
      </c>
      <c r="C1420" s="8" t="n">
        <v>900004077</v>
      </c>
      <c r="D1420" s="7">
        <f>IFERROR(VLOOKUP(C1420,TRAOPE!$G:$H,2,0),"")</f>
        <v/>
      </c>
      <c r="E1420" s="8" t="inlineStr">
        <is>
          <t>D836</t>
        </is>
      </c>
      <c r="F1420" s="8" t="inlineStr">
        <is>
          <t>66838326</t>
        </is>
      </c>
      <c r="G1420" s="8">
        <f>IFERROR(VLOOKUP(A1420,Flete!$A:$E,5,0),"")</f>
        <v/>
      </c>
      <c r="H1420" s="7">
        <f>IFERROR(VLOOKUP(F1420,TRAOPE!$AA:$AB,2,0),"")</f>
        <v/>
      </c>
      <c r="I1420" s="7" t="n">
        <v>10184142</v>
      </c>
      <c r="J1420" s="7">
        <f>IFERROR(VLOOKUP(I1420,Materiales!$A:$H,8,0),"")</f>
        <v/>
      </c>
      <c r="K1420" s="9">
        <f>IFERROR(VLOOKUP(I1420,Materiales!$A:$G,7,0),"")</f>
        <v/>
      </c>
      <c r="L1420" s="8" t="inlineStr">
        <is>
          <t>20190426</t>
        </is>
      </c>
      <c r="M1420" s="8" t="inlineStr">
        <is>
          <t>20250127</t>
        </is>
      </c>
      <c r="N1420" s="10" t="n">
        <v>118</v>
      </c>
      <c r="O1420" s="10">
        <f>IFERROR(VLOOKUP(A1420,Flete!$A:$J,10,0),"")</f>
        <v/>
      </c>
      <c r="P1420" s="8" t="inlineStr">
        <is>
          <t>TN</t>
        </is>
      </c>
      <c r="Q1420" s="10">
        <f>IFERROR(IFERROR(VLOOKUP(A1420,TRAOPE!$A:$U,21,0),VLOOKUP(B1420,TRAOPE!$A:$U,21,0)),"")</f>
        <v/>
      </c>
      <c r="R1420" s="8">
        <f>IFERROR(IFERROR(VLOOKUP(A1420,TRAOPE!$A:$W,23,0),VLOOKUP(B1420,TRAOPE!$A:$W,23,0)),"")</f>
        <v/>
      </c>
      <c r="S1420" s="10">
        <f>IF(AND(P1420="TN",R1420="TN"),N1420+N(O1420),IF(G1420&amp;""="1",N(K1420)*N1420,(N1420+N(O1420))*N(K1420)))</f>
        <v/>
      </c>
      <c r="T1420" s="10">
        <f>IF(Q1420="","",Q1420-S1420)</f>
        <v/>
      </c>
    </row>
    <row r="1421">
      <c r="A1421" s="7">
        <f>CONCATENATE(C1421,E1421,F1421,I1421)</f>
        <v/>
      </c>
      <c r="B1421" s="7">
        <f>CONCATENATE(C1421,E1421,I1421)</f>
        <v/>
      </c>
      <c r="C1421" s="8" t="n">
        <v>900004077</v>
      </c>
      <c r="D1421" s="7">
        <f>IFERROR(VLOOKUP(C1421,TRAOPE!$G:$H,2,0),"")</f>
        <v/>
      </c>
      <c r="E1421" s="8" t="inlineStr">
        <is>
          <t>D836</t>
        </is>
      </c>
      <c r="F1421" s="8" t="inlineStr">
        <is>
          <t>66838326</t>
        </is>
      </c>
      <c r="G1421" s="8">
        <f>IFERROR(VLOOKUP(A1421,Flete!$A:$E,5,0),"")</f>
        <v/>
      </c>
      <c r="H1421" s="7">
        <f>IFERROR(VLOOKUP(F1421,TRAOPE!$AA:$AB,2,0),"")</f>
        <v/>
      </c>
      <c r="I1421" s="7" t="n">
        <v>10192909</v>
      </c>
      <c r="J1421" s="7">
        <f>IFERROR(VLOOKUP(I1421,Materiales!$A:$H,8,0),"")</f>
        <v/>
      </c>
      <c r="K1421" s="9">
        <f>IFERROR(VLOOKUP(I1421,Materiales!$A:$G,7,0),"")</f>
        <v/>
      </c>
      <c r="L1421" s="8" t="inlineStr">
        <is>
          <t>20190426</t>
        </is>
      </c>
      <c r="M1421" s="8" t="inlineStr">
        <is>
          <t>20250127</t>
        </is>
      </c>
      <c r="N1421" s="10" t="n">
        <v>110</v>
      </c>
      <c r="O1421" s="10">
        <f>IFERROR(VLOOKUP(A1421,Flete!$A:$J,10,0),"")</f>
        <v/>
      </c>
      <c r="P1421" s="8" t="inlineStr">
        <is>
          <t>TN</t>
        </is>
      </c>
      <c r="Q1421" s="10">
        <f>IFERROR(IFERROR(VLOOKUP(A1421,TRAOPE!$A:$U,21,0),VLOOKUP(B1421,TRAOPE!$A:$U,21,0)),"")</f>
        <v/>
      </c>
      <c r="R1421" s="8">
        <f>IFERROR(IFERROR(VLOOKUP(A1421,TRAOPE!$A:$W,23,0),VLOOKUP(B1421,TRAOPE!$A:$W,23,0)),"")</f>
        <v/>
      </c>
      <c r="S1421" s="10">
        <f>IF(AND(P1421="TN",R1421="TN"),N1421+N(O1421),IF(G1421&amp;""="1",N(K1421)*N1421,(N1421+N(O1421))*N(K1421)))</f>
        <v/>
      </c>
      <c r="T1421" s="10">
        <f>IF(Q1421="","",Q1421-S1421)</f>
        <v/>
      </c>
    </row>
    <row r="1422">
      <c r="A1422" s="7">
        <f>CONCATENATE(C1422,E1422,F1422,I1422)</f>
        <v/>
      </c>
      <c r="B1422" s="7">
        <f>CONCATENATE(C1422,E1422,I1422)</f>
        <v/>
      </c>
      <c r="C1422" s="8" t="n">
        <v>900004077</v>
      </c>
      <c r="D1422" s="7">
        <f>IFERROR(VLOOKUP(C1422,TRAOPE!$G:$H,2,0),"")</f>
        <v/>
      </c>
      <c r="E1422" s="8" t="inlineStr">
        <is>
          <t>D836</t>
        </is>
      </c>
      <c r="F1422" s="8" t="inlineStr">
        <is>
          <t>66838326</t>
        </is>
      </c>
      <c r="G1422" s="8">
        <f>IFERROR(VLOOKUP(A1422,Flete!$A:$E,5,0),"")</f>
        <v/>
      </c>
      <c r="H1422" s="7">
        <f>IFERROR(VLOOKUP(F1422,TRAOPE!$AA:$AB,2,0),"")</f>
        <v/>
      </c>
      <c r="I1422" s="7" t="n">
        <v>10192940</v>
      </c>
      <c r="J1422" s="7">
        <f>IFERROR(VLOOKUP(I1422,Materiales!$A:$H,8,0),"")</f>
        <v/>
      </c>
      <c r="K1422" s="9">
        <f>IFERROR(VLOOKUP(I1422,Materiales!$A:$G,7,0),"")</f>
        <v/>
      </c>
      <c r="L1422" s="8" t="inlineStr">
        <is>
          <t>20190426</t>
        </is>
      </c>
      <c r="M1422" s="8" t="inlineStr">
        <is>
          <t>20250127</t>
        </is>
      </c>
      <c r="N1422" s="10" t="n">
        <v>100</v>
      </c>
      <c r="O1422" s="10">
        <f>IFERROR(VLOOKUP(A1422,Flete!$A:$J,10,0),"")</f>
        <v/>
      </c>
      <c r="P1422" s="8" t="inlineStr">
        <is>
          <t>TN</t>
        </is>
      </c>
      <c r="Q1422" s="10">
        <f>IFERROR(IFERROR(VLOOKUP(A1422,TRAOPE!$A:$U,21,0),VLOOKUP(B1422,TRAOPE!$A:$U,21,0)),"")</f>
        <v/>
      </c>
      <c r="R1422" s="8">
        <f>IFERROR(IFERROR(VLOOKUP(A1422,TRAOPE!$A:$W,23,0),VLOOKUP(B1422,TRAOPE!$A:$W,23,0)),"")</f>
        <v/>
      </c>
      <c r="S1422" s="10">
        <f>IF(AND(P1422="TN",R1422="TN"),N1422+N(O1422),IF(G1422&amp;""="1",N(K1422)*N1422,(N1422+N(O1422))*N(K1422)))</f>
        <v/>
      </c>
      <c r="T1422" s="10">
        <f>IF(Q1422="","",Q1422-S1422)</f>
        <v/>
      </c>
    </row>
    <row r="1423">
      <c r="A1423" s="7">
        <f>CONCATENATE(C1423,E1423,F1423,I1423)</f>
        <v/>
      </c>
      <c r="B1423" s="7">
        <f>CONCATENATE(C1423,E1423,I1423)</f>
        <v/>
      </c>
      <c r="C1423" s="8" t="n">
        <v>900004077</v>
      </c>
      <c r="D1423" s="7">
        <f>IFERROR(VLOOKUP(C1423,TRAOPE!$G:$H,2,0),"")</f>
        <v/>
      </c>
      <c r="E1423" s="8" t="inlineStr">
        <is>
          <t>D836</t>
        </is>
      </c>
      <c r="F1423" s="8" t="inlineStr">
        <is>
          <t>66838326</t>
        </is>
      </c>
      <c r="G1423" s="8">
        <f>IFERROR(VLOOKUP(A1423,Flete!$A:$E,5,0),"")</f>
        <v/>
      </c>
      <c r="H1423" s="7">
        <f>IFERROR(VLOOKUP(F1423,TRAOPE!$AA:$AB,2,0),"")</f>
        <v/>
      </c>
      <c r="I1423" s="7" t="n">
        <v>10192941</v>
      </c>
      <c r="J1423" s="7">
        <f>IFERROR(VLOOKUP(I1423,Materiales!$A:$H,8,0),"")</f>
        <v/>
      </c>
      <c r="K1423" s="9">
        <f>IFERROR(VLOOKUP(I1423,Materiales!$A:$G,7,0),"")</f>
        <v/>
      </c>
      <c r="L1423" s="8" t="inlineStr">
        <is>
          <t>20190426</t>
        </is>
      </c>
      <c r="M1423" s="8" t="inlineStr">
        <is>
          <t>20250127</t>
        </is>
      </c>
      <c r="N1423" s="10" t="n">
        <v>130</v>
      </c>
      <c r="O1423" s="10">
        <f>IFERROR(VLOOKUP(A1423,Flete!$A:$J,10,0),"")</f>
        <v/>
      </c>
      <c r="P1423" s="8" t="inlineStr">
        <is>
          <t>TN</t>
        </is>
      </c>
      <c r="Q1423" s="10">
        <f>IFERROR(IFERROR(VLOOKUP(A1423,TRAOPE!$A:$U,21,0),VLOOKUP(B1423,TRAOPE!$A:$U,21,0)),"")</f>
        <v/>
      </c>
      <c r="R1423" s="8">
        <f>IFERROR(IFERROR(VLOOKUP(A1423,TRAOPE!$A:$W,23,0),VLOOKUP(B1423,TRAOPE!$A:$W,23,0)),"")</f>
        <v/>
      </c>
      <c r="S1423" s="10">
        <f>IF(AND(P1423="TN",R1423="TN"),N1423+N(O1423),IF(G1423&amp;""="1",N(K1423)*N1423,(N1423+N(O1423))*N(K1423)))</f>
        <v/>
      </c>
      <c r="T1423" s="10">
        <f>IF(Q1423="","",Q1423-S1423)</f>
        <v/>
      </c>
    </row>
    <row r="1424">
      <c r="A1424" s="7">
        <f>CONCATENATE(C1424,E1424,F1424,I1424)</f>
        <v/>
      </c>
      <c r="B1424" s="7">
        <f>CONCATENATE(C1424,E1424,I1424)</f>
        <v/>
      </c>
      <c r="C1424" s="8" t="n">
        <v>900004077</v>
      </c>
      <c r="D1424" s="7">
        <f>IFERROR(VLOOKUP(C1424,TRAOPE!$G:$H,2,0),"")</f>
        <v/>
      </c>
      <c r="E1424" s="8" t="inlineStr">
        <is>
          <t>D836</t>
        </is>
      </c>
      <c r="F1424" s="8" t="inlineStr">
        <is>
          <t>66838326</t>
        </is>
      </c>
      <c r="G1424" s="8">
        <f>IFERROR(VLOOKUP(A1424,Flete!$A:$E,5,0),"")</f>
        <v/>
      </c>
      <c r="H1424" s="7">
        <f>IFERROR(VLOOKUP(F1424,TRAOPE!$AA:$AB,2,0),"")</f>
        <v/>
      </c>
      <c r="I1424" s="7" t="n">
        <v>10192942</v>
      </c>
      <c r="J1424" s="7">
        <f>IFERROR(VLOOKUP(I1424,Materiales!$A:$H,8,0),"")</f>
        <v/>
      </c>
      <c r="K1424" s="9">
        <f>IFERROR(VLOOKUP(I1424,Materiales!$A:$G,7,0),"")</f>
        <v/>
      </c>
      <c r="L1424" s="8" t="inlineStr">
        <is>
          <t>20190426</t>
        </is>
      </c>
      <c r="M1424" s="8" t="inlineStr">
        <is>
          <t>20250127</t>
        </is>
      </c>
      <c r="N1424" s="10" t="n">
        <v>102</v>
      </c>
      <c r="O1424" s="10">
        <f>IFERROR(VLOOKUP(A1424,Flete!$A:$J,10,0),"")</f>
        <v/>
      </c>
      <c r="P1424" s="8" t="inlineStr">
        <is>
          <t>TN</t>
        </is>
      </c>
      <c r="Q1424" s="10">
        <f>IFERROR(IFERROR(VLOOKUP(A1424,TRAOPE!$A:$U,21,0),VLOOKUP(B1424,TRAOPE!$A:$U,21,0)),"")</f>
        <v/>
      </c>
      <c r="R1424" s="8">
        <f>IFERROR(IFERROR(VLOOKUP(A1424,TRAOPE!$A:$W,23,0),VLOOKUP(B1424,TRAOPE!$A:$W,23,0)),"")</f>
        <v/>
      </c>
      <c r="S1424" s="10">
        <f>IF(AND(P1424="TN",R1424="TN"),N1424+N(O1424),IF(G1424&amp;""="1",N(K1424)*N1424,(N1424+N(O1424))*N(K1424)))</f>
        <v/>
      </c>
      <c r="T1424" s="10">
        <f>IF(Q1424="","",Q1424-S1424)</f>
        <v/>
      </c>
    </row>
    <row r="1425">
      <c r="A1425" s="7">
        <f>CONCATENATE(C1425,E1425,F1425,I1425)</f>
        <v/>
      </c>
      <c r="B1425" s="7">
        <f>CONCATENATE(C1425,E1425,I1425)</f>
        <v/>
      </c>
      <c r="C1425" s="8" t="n">
        <v>900004077</v>
      </c>
      <c r="D1425" s="7">
        <f>IFERROR(VLOOKUP(C1425,TRAOPE!$G:$H,2,0),"")</f>
        <v/>
      </c>
      <c r="E1425" s="8" t="inlineStr">
        <is>
          <t>D836</t>
        </is>
      </c>
      <c r="F1425" s="8" t="inlineStr">
        <is>
          <t>66838326</t>
        </is>
      </c>
      <c r="G1425" s="8">
        <f>IFERROR(VLOOKUP(A1425,Flete!$A:$E,5,0),"")</f>
        <v/>
      </c>
      <c r="H1425" s="7">
        <f>IFERROR(VLOOKUP(F1425,TRAOPE!$AA:$AB,2,0),"")</f>
        <v/>
      </c>
      <c r="I1425" s="7" t="n">
        <v>10192943</v>
      </c>
      <c r="J1425" s="7">
        <f>IFERROR(VLOOKUP(I1425,Materiales!$A:$H,8,0),"")</f>
        <v/>
      </c>
      <c r="K1425" s="9">
        <f>IFERROR(VLOOKUP(I1425,Materiales!$A:$G,7,0),"")</f>
        <v/>
      </c>
      <c r="L1425" s="8" t="inlineStr">
        <is>
          <t>20190426</t>
        </is>
      </c>
      <c r="M1425" s="8" t="inlineStr">
        <is>
          <t>20250127</t>
        </is>
      </c>
      <c r="N1425" s="10" t="n">
        <v>126</v>
      </c>
      <c r="O1425" s="10">
        <f>IFERROR(VLOOKUP(A1425,Flete!$A:$J,10,0),"")</f>
        <v/>
      </c>
      <c r="P1425" s="8" t="inlineStr">
        <is>
          <t>TN</t>
        </is>
      </c>
      <c r="Q1425" s="10">
        <f>IFERROR(IFERROR(VLOOKUP(A1425,TRAOPE!$A:$U,21,0),VLOOKUP(B1425,TRAOPE!$A:$U,21,0)),"")</f>
        <v/>
      </c>
      <c r="R1425" s="8">
        <f>IFERROR(IFERROR(VLOOKUP(A1425,TRAOPE!$A:$W,23,0),VLOOKUP(B1425,TRAOPE!$A:$W,23,0)),"")</f>
        <v/>
      </c>
      <c r="S1425" s="10">
        <f>IF(AND(P1425="TN",R1425="TN"),N1425+N(O1425),IF(G1425&amp;""="1",N(K1425)*N1425,(N1425+N(O1425))*N(K1425)))</f>
        <v/>
      </c>
      <c r="T1425" s="10">
        <f>IF(Q1425="","",Q1425-S1425)</f>
        <v/>
      </c>
    </row>
    <row r="1426">
      <c r="A1426" s="7">
        <f>CONCATENATE(C1426,E1426,F1426,I1426)</f>
        <v/>
      </c>
      <c r="B1426" s="7">
        <f>CONCATENATE(C1426,E1426,I1426)</f>
        <v/>
      </c>
      <c r="C1426" s="8" t="n">
        <v>900004077</v>
      </c>
      <c r="D1426" s="7">
        <f>IFERROR(VLOOKUP(C1426,TRAOPE!$G:$H,2,0),"")</f>
        <v/>
      </c>
      <c r="E1426" s="8" t="inlineStr">
        <is>
          <t>D836</t>
        </is>
      </c>
      <c r="F1426" s="8" t="inlineStr">
        <is>
          <t>66838326</t>
        </is>
      </c>
      <c r="G1426" s="8">
        <f>IFERROR(VLOOKUP(A1426,Flete!$A:$E,5,0),"")</f>
        <v/>
      </c>
      <c r="H1426" s="7">
        <f>IFERROR(VLOOKUP(F1426,TRAOPE!$AA:$AB,2,0),"")</f>
        <v/>
      </c>
      <c r="I1426" s="7" t="n">
        <v>10192944</v>
      </c>
      <c r="J1426" s="7">
        <f>IFERROR(VLOOKUP(I1426,Materiales!$A:$H,8,0),"")</f>
        <v/>
      </c>
      <c r="K1426" s="9">
        <f>IFERROR(VLOOKUP(I1426,Materiales!$A:$G,7,0),"")</f>
        <v/>
      </c>
      <c r="L1426" s="8" t="inlineStr">
        <is>
          <t>20190426</t>
        </is>
      </c>
      <c r="M1426" s="8" t="inlineStr">
        <is>
          <t>20250127</t>
        </is>
      </c>
      <c r="N1426" s="10" t="n">
        <v>126</v>
      </c>
      <c r="O1426" s="10">
        <f>IFERROR(VLOOKUP(A1426,Flete!$A:$J,10,0),"")</f>
        <v/>
      </c>
      <c r="P1426" s="8" t="inlineStr">
        <is>
          <t>TN</t>
        </is>
      </c>
      <c r="Q1426" s="10">
        <f>IFERROR(IFERROR(VLOOKUP(A1426,TRAOPE!$A:$U,21,0),VLOOKUP(B1426,TRAOPE!$A:$U,21,0)),"")</f>
        <v/>
      </c>
      <c r="R1426" s="8">
        <f>IFERROR(IFERROR(VLOOKUP(A1426,TRAOPE!$A:$W,23,0),VLOOKUP(B1426,TRAOPE!$A:$W,23,0)),"")</f>
        <v/>
      </c>
      <c r="S1426" s="10">
        <f>IF(AND(P1426="TN",R1426="TN"),N1426+N(O1426),IF(G1426&amp;""="1",N(K1426)*N1426,(N1426+N(O1426))*N(K1426)))</f>
        <v/>
      </c>
      <c r="T1426" s="10">
        <f>IF(Q1426="","",Q1426-S1426)</f>
        <v/>
      </c>
    </row>
    <row r="1427">
      <c r="A1427" s="7">
        <f>CONCATENATE(C1427,E1427,F1427,I1427)</f>
        <v/>
      </c>
      <c r="B1427" s="7">
        <f>CONCATENATE(C1427,E1427,I1427)</f>
        <v/>
      </c>
      <c r="C1427" s="8" t="n">
        <v>900004077</v>
      </c>
      <c r="D1427" s="7">
        <f>IFERROR(VLOOKUP(C1427,TRAOPE!$G:$H,2,0),"")</f>
        <v/>
      </c>
      <c r="E1427" s="8" t="inlineStr">
        <is>
          <t>D836</t>
        </is>
      </c>
      <c r="F1427" s="8" t="inlineStr">
        <is>
          <t>66838326</t>
        </is>
      </c>
      <c r="G1427" s="8">
        <f>IFERROR(VLOOKUP(A1427,Flete!$A:$E,5,0),"")</f>
        <v/>
      </c>
      <c r="H1427" s="7">
        <f>IFERROR(VLOOKUP(F1427,TRAOPE!$AA:$AB,2,0),"")</f>
        <v/>
      </c>
      <c r="I1427" s="7" t="n">
        <v>10192945</v>
      </c>
      <c r="J1427" s="7">
        <f>IFERROR(VLOOKUP(I1427,Materiales!$A:$H,8,0),"")</f>
        <v/>
      </c>
      <c r="K1427" s="9">
        <f>IFERROR(VLOOKUP(I1427,Materiales!$A:$G,7,0),"")</f>
        <v/>
      </c>
      <c r="L1427" s="8" t="inlineStr">
        <is>
          <t>20190426</t>
        </is>
      </c>
      <c r="M1427" s="8" t="inlineStr">
        <is>
          <t>20250127</t>
        </is>
      </c>
      <c r="N1427" s="10" t="n">
        <v>126</v>
      </c>
      <c r="O1427" s="10">
        <f>IFERROR(VLOOKUP(A1427,Flete!$A:$J,10,0),"")</f>
        <v/>
      </c>
      <c r="P1427" s="8" t="inlineStr">
        <is>
          <t>TN</t>
        </is>
      </c>
      <c r="Q1427" s="10">
        <f>IFERROR(IFERROR(VLOOKUP(A1427,TRAOPE!$A:$U,21,0),VLOOKUP(B1427,TRAOPE!$A:$U,21,0)),"")</f>
        <v/>
      </c>
      <c r="R1427" s="8">
        <f>IFERROR(IFERROR(VLOOKUP(A1427,TRAOPE!$A:$W,23,0),VLOOKUP(B1427,TRAOPE!$A:$W,23,0)),"")</f>
        <v/>
      </c>
      <c r="S1427" s="10">
        <f>IF(AND(P1427="TN",R1427="TN"),N1427+N(O1427),IF(G1427&amp;""="1",N(K1427)*N1427,(N1427+N(O1427))*N(K1427)))</f>
        <v/>
      </c>
      <c r="T1427" s="10">
        <f>IF(Q1427="","",Q1427-S1427)</f>
        <v/>
      </c>
    </row>
    <row r="1428">
      <c r="A1428" s="7">
        <f>CONCATENATE(C1428,E1428,F1428,I1428)</f>
        <v/>
      </c>
      <c r="B1428" s="7">
        <f>CONCATENATE(C1428,E1428,I1428)</f>
        <v/>
      </c>
      <c r="C1428" s="8" t="n">
        <v>900004077</v>
      </c>
      <c r="D1428" s="7">
        <f>IFERROR(VLOOKUP(C1428,TRAOPE!$G:$H,2,0),"")</f>
        <v/>
      </c>
      <c r="E1428" s="8" t="inlineStr">
        <is>
          <t>D836</t>
        </is>
      </c>
      <c r="F1428" s="8" t="inlineStr">
        <is>
          <t>66853813</t>
        </is>
      </c>
      <c r="G1428" s="8">
        <f>IFERROR(VLOOKUP(A1428,Flete!$A:$E,5,0),"")</f>
        <v/>
      </c>
      <c r="H1428" s="7">
        <f>IFERROR(VLOOKUP(F1428,TRAOPE!$AA:$AB,2,0),"")</f>
        <v/>
      </c>
      <c r="I1428" s="7" t="n">
        <v>10215377</v>
      </c>
      <c r="J1428" s="7">
        <f>IFERROR(VLOOKUP(I1428,Materiales!$A:$H,8,0),"")</f>
        <v/>
      </c>
      <c r="K1428" s="9">
        <f>IFERROR(VLOOKUP(I1428,Materiales!$A:$G,7,0),"")</f>
        <v/>
      </c>
      <c r="L1428" s="8" t="inlineStr">
        <is>
          <t>20190426</t>
        </is>
      </c>
      <c r="M1428" s="8" t="inlineStr">
        <is>
          <t>20250127</t>
        </is>
      </c>
      <c r="N1428" s="10" t="n">
        <v>134</v>
      </c>
      <c r="O1428" s="10">
        <f>IFERROR(VLOOKUP(A1428,Flete!$A:$J,10,0),"")</f>
        <v/>
      </c>
      <c r="P1428" s="8" t="inlineStr">
        <is>
          <t>M3</t>
        </is>
      </c>
      <c r="Q1428" s="10">
        <f>IFERROR(IFERROR(VLOOKUP(A1428,TRAOPE!$A:$U,21,0),VLOOKUP(B1428,TRAOPE!$A:$U,21,0)),"")</f>
        <v/>
      </c>
      <c r="R1428" s="8">
        <f>IFERROR(IFERROR(VLOOKUP(A1428,TRAOPE!$A:$W,23,0),VLOOKUP(B1428,TRAOPE!$A:$W,23,0)),"")</f>
        <v/>
      </c>
      <c r="S1428" s="10">
        <f>IF(AND(P1428="TN",R1428="TN"),N1428+N(O1428),IF(G1428&amp;""="1",N(K1428)*N1428,(N1428+N(O1428))*N(K1428)))</f>
        <v/>
      </c>
      <c r="T1428" s="10">
        <f>IF(Q1428="","",Q1428-S1428)</f>
        <v/>
      </c>
    </row>
    <row r="1429">
      <c r="A1429" s="7">
        <f>CONCATENATE(C1429,E1429,F1429,I1429)</f>
        <v/>
      </c>
      <c r="B1429" s="7">
        <f>CONCATENATE(C1429,E1429,I1429)</f>
        <v/>
      </c>
      <c r="C1429" s="8" t="n">
        <v>900004077</v>
      </c>
      <c r="D1429" s="7">
        <f>IFERROR(VLOOKUP(C1429,TRAOPE!$G:$H,2,0),"")</f>
        <v/>
      </c>
      <c r="E1429" s="8" t="inlineStr">
        <is>
          <t>D836</t>
        </is>
      </c>
      <c r="F1429" s="8" t="inlineStr">
        <is>
          <t>66865547</t>
        </is>
      </c>
      <c r="G1429" s="8">
        <f>IFERROR(VLOOKUP(A1429,Flete!$A:$E,5,0),"")</f>
        <v/>
      </c>
      <c r="H1429" s="7">
        <f>IFERROR(VLOOKUP(F1429,TRAOPE!$AA:$AB,2,0),"")</f>
        <v/>
      </c>
      <c r="I1429" s="7" t="n">
        <v>10000357</v>
      </c>
      <c r="J1429" s="7">
        <f>IFERROR(VLOOKUP(I1429,Materiales!$A:$H,8,0),"")</f>
        <v/>
      </c>
      <c r="K1429" s="9">
        <f>IFERROR(VLOOKUP(I1429,Materiales!$A:$G,7,0),"")</f>
        <v/>
      </c>
      <c r="L1429" s="8" t="inlineStr">
        <is>
          <t>20190426</t>
        </is>
      </c>
      <c r="M1429" s="8" t="inlineStr">
        <is>
          <t>20250127</t>
        </is>
      </c>
      <c r="N1429" s="10" t="n">
        <v>84</v>
      </c>
      <c r="O1429" s="10">
        <f>IFERROR(VLOOKUP(A1429,Flete!$A:$J,10,0),"")</f>
        <v/>
      </c>
      <c r="P1429" s="8" t="inlineStr">
        <is>
          <t>TN</t>
        </is>
      </c>
      <c r="Q1429" s="10">
        <f>IFERROR(IFERROR(VLOOKUP(A1429,TRAOPE!$A:$U,21,0),VLOOKUP(B1429,TRAOPE!$A:$U,21,0)),"")</f>
        <v/>
      </c>
      <c r="R1429" s="8">
        <f>IFERROR(IFERROR(VLOOKUP(A1429,TRAOPE!$A:$W,23,0),VLOOKUP(B1429,TRAOPE!$A:$W,23,0)),"")</f>
        <v/>
      </c>
      <c r="S1429" s="10">
        <f>IF(AND(P1429="TN",R1429="TN"),N1429+N(O1429),IF(G1429&amp;""="1",N(K1429)*N1429,(N1429+N(O1429))*N(K1429)))</f>
        <v/>
      </c>
      <c r="T1429" s="10">
        <f>IF(Q1429="","",Q1429-S1429)</f>
        <v/>
      </c>
    </row>
    <row r="1430">
      <c r="A1430" s="7">
        <f>CONCATENATE(C1430,E1430,F1430,I1430)</f>
        <v/>
      </c>
      <c r="B1430" s="7">
        <f>CONCATENATE(C1430,E1430,I1430)</f>
        <v/>
      </c>
      <c r="C1430" s="8" t="n">
        <v>900004077</v>
      </c>
      <c r="D1430" s="7">
        <f>IFERROR(VLOOKUP(C1430,TRAOPE!$G:$H,2,0),"")</f>
        <v/>
      </c>
      <c r="E1430" s="8" t="inlineStr">
        <is>
          <t>D836</t>
        </is>
      </c>
      <c r="F1430" s="8" t="inlineStr">
        <is>
          <t>66865547</t>
        </is>
      </c>
      <c r="G1430" s="8">
        <f>IFERROR(VLOOKUP(A1430,Flete!$A:$E,5,0),"")</f>
        <v/>
      </c>
      <c r="H1430" s="7">
        <f>IFERROR(VLOOKUP(F1430,TRAOPE!$AA:$AB,2,0),"")</f>
        <v/>
      </c>
      <c r="I1430" s="7" t="n">
        <v>10000623</v>
      </c>
      <c r="J1430" s="7">
        <f>IFERROR(VLOOKUP(I1430,Materiales!$A:$H,8,0),"")</f>
        <v/>
      </c>
      <c r="K1430" s="9">
        <f>IFERROR(VLOOKUP(I1430,Materiales!$A:$G,7,0),"")</f>
        <v/>
      </c>
      <c r="L1430" s="8" t="inlineStr">
        <is>
          <t>20190426</t>
        </is>
      </c>
      <c r="M1430" s="8" t="inlineStr">
        <is>
          <t>20250127</t>
        </is>
      </c>
      <c r="N1430" s="10" t="n">
        <v>118</v>
      </c>
      <c r="O1430" s="10">
        <f>IFERROR(VLOOKUP(A1430,Flete!$A:$J,10,0),"")</f>
        <v/>
      </c>
      <c r="P1430" s="8" t="inlineStr">
        <is>
          <t>TN</t>
        </is>
      </c>
      <c r="Q1430" s="10">
        <f>IFERROR(IFERROR(VLOOKUP(A1430,TRAOPE!$A:$U,21,0),VLOOKUP(B1430,TRAOPE!$A:$U,21,0)),"")</f>
        <v/>
      </c>
      <c r="R1430" s="8">
        <f>IFERROR(IFERROR(VLOOKUP(A1430,TRAOPE!$A:$W,23,0),VLOOKUP(B1430,TRAOPE!$A:$W,23,0)),"")</f>
        <v/>
      </c>
      <c r="S1430" s="10">
        <f>IF(AND(P1430="TN",R1430="TN"),N1430+N(O1430),IF(G1430&amp;""="1",N(K1430)*N1430,(N1430+N(O1430))*N(K1430)))</f>
        <v/>
      </c>
      <c r="T1430" s="10">
        <f>IF(Q1430="","",Q1430-S1430)</f>
        <v/>
      </c>
    </row>
    <row r="1431">
      <c r="A1431" s="7">
        <f>CONCATENATE(C1431,E1431,F1431,I1431)</f>
        <v/>
      </c>
      <c r="B1431" s="7">
        <f>CONCATENATE(C1431,E1431,I1431)</f>
        <v/>
      </c>
      <c r="C1431" s="8" t="n">
        <v>900004077</v>
      </c>
      <c r="D1431" s="7">
        <f>IFERROR(VLOOKUP(C1431,TRAOPE!$G:$H,2,0),"")</f>
        <v/>
      </c>
      <c r="E1431" s="8" t="inlineStr">
        <is>
          <t>D836</t>
        </is>
      </c>
      <c r="F1431" s="8" t="inlineStr">
        <is>
          <t>66865547</t>
        </is>
      </c>
      <c r="G1431" s="8">
        <f>IFERROR(VLOOKUP(A1431,Flete!$A:$E,5,0),"")</f>
        <v/>
      </c>
      <c r="H1431" s="7">
        <f>IFERROR(VLOOKUP(F1431,TRAOPE!$AA:$AB,2,0),"")</f>
        <v/>
      </c>
      <c r="I1431" s="7" t="n">
        <v>10000627</v>
      </c>
      <c r="J1431" s="7">
        <f>IFERROR(VLOOKUP(I1431,Materiales!$A:$H,8,0),"")</f>
        <v/>
      </c>
      <c r="K1431" s="9">
        <f>IFERROR(VLOOKUP(I1431,Materiales!$A:$G,7,0),"")</f>
        <v/>
      </c>
      <c r="L1431" s="8" t="inlineStr">
        <is>
          <t>20190426</t>
        </is>
      </c>
      <c r="M1431" s="8" t="inlineStr">
        <is>
          <t>20250127</t>
        </is>
      </c>
      <c r="N1431" s="10" t="n">
        <v>110</v>
      </c>
      <c r="O1431" s="10">
        <f>IFERROR(VLOOKUP(A1431,Flete!$A:$J,10,0),"")</f>
        <v/>
      </c>
      <c r="P1431" s="8" t="inlineStr">
        <is>
          <t>M3</t>
        </is>
      </c>
      <c r="Q1431" s="10">
        <f>IFERROR(IFERROR(VLOOKUP(A1431,TRAOPE!$A:$U,21,0),VLOOKUP(B1431,TRAOPE!$A:$U,21,0)),"")</f>
        <v/>
      </c>
      <c r="R1431" s="8">
        <f>IFERROR(IFERROR(VLOOKUP(A1431,TRAOPE!$A:$W,23,0),VLOOKUP(B1431,TRAOPE!$A:$W,23,0)),"")</f>
        <v/>
      </c>
      <c r="S1431" s="10">
        <f>IF(AND(P1431="TN",R1431="TN"),N1431+N(O1431),IF(G1431&amp;""="1",N(K1431)*N1431,(N1431+N(O1431))*N(K1431)))</f>
        <v/>
      </c>
      <c r="T1431" s="10">
        <f>IF(Q1431="","",Q1431-S1431)</f>
        <v/>
      </c>
    </row>
    <row r="1432">
      <c r="A1432" s="7">
        <f>CONCATENATE(C1432,E1432,F1432,I1432)</f>
        <v/>
      </c>
      <c r="B1432" s="7">
        <f>CONCATENATE(C1432,E1432,I1432)</f>
        <v/>
      </c>
      <c r="C1432" s="8" t="n">
        <v>900004077</v>
      </c>
      <c r="D1432" s="7">
        <f>IFERROR(VLOOKUP(C1432,TRAOPE!$G:$H,2,0),"")</f>
        <v/>
      </c>
      <c r="E1432" s="8" t="inlineStr">
        <is>
          <t>D836</t>
        </is>
      </c>
      <c r="F1432" s="8" t="inlineStr">
        <is>
          <t>66865547</t>
        </is>
      </c>
      <c r="G1432" s="8">
        <f>IFERROR(VLOOKUP(A1432,Flete!$A:$E,5,0),"")</f>
        <v/>
      </c>
      <c r="H1432" s="7">
        <f>IFERROR(VLOOKUP(F1432,TRAOPE!$AA:$AB,2,0),"")</f>
        <v/>
      </c>
      <c r="I1432" s="7" t="n">
        <v>10184010</v>
      </c>
      <c r="J1432" s="7">
        <f>IFERROR(VLOOKUP(I1432,Materiales!$A:$H,8,0),"")</f>
        <v/>
      </c>
      <c r="K1432" s="9">
        <f>IFERROR(VLOOKUP(I1432,Materiales!$A:$G,7,0),"")</f>
        <v/>
      </c>
      <c r="L1432" s="8" t="inlineStr">
        <is>
          <t>20190426</t>
        </is>
      </c>
      <c r="M1432" s="8" t="inlineStr">
        <is>
          <t>20250127</t>
        </is>
      </c>
      <c r="N1432" s="10" t="n">
        <v>118</v>
      </c>
      <c r="O1432" s="10">
        <f>IFERROR(VLOOKUP(A1432,Flete!$A:$J,10,0),"")</f>
        <v/>
      </c>
      <c r="P1432" s="8" t="inlineStr">
        <is>
          <t>TN</t>
        </is>
      </c>
      <c r="Q1432" s="10">
        <f>IFERROR(IFERROR(VLOOKUP(A1432,TRAOPE!$A:$U,21,0),VLOOKUP(B1432,TRAOPE!$A:$U,21,0)),"")</f>
        <v/>
      </c>
      <c r="R1432" s="8">
        <f>IFERROR(IFERROR(VLOOKUP(A1432,TRAOPE!$A:$W,23,0),VLOOKUP(B1432,TRAOPE!$A:$W,23,0)),"")</f>
        <v/>
      </c>
      <c r="S1432" s="10">
        <f>IF(AND(P1432="TN",R1432="TN"),N1432+N(O1432),IF(G1432&amp;""="1",N(K1432)*N1432,(N1432+N(O1432))*N(K1432)))</f>
        <v/>
      </c>
      <c r="T1432" s="10">
        <f>IF(Q1432="","",Q1432-S1432)</f>
        <v/>
      </c>
    </row>
    <row r="1433">
      <c r="A1433" s="7">
        <f>CONCATENATE(C1433,E1433,F1433,I1433)</f>
        <v/>
      </c>
      <c r="B1433" s="7">
        <f>CONCATENATE(C1433,E1433,I1433)</f>
        <v/>
      </c>
      <c r="C1433" s="8" t="n">
        <v>900004077</v>
      </c>
      <c r="D1433" s="7">
        <f>IFERROR(VLOOKUP(C1433,TRAOPE!$G:$H,2,0),"")</f>
        <v/>
      </c>
      <c r="E1433" s="8" t="inlineStr">
        <is>
          <t>D836</t>
        </is>
      </c>
      <c r="F1433" s="8" t="inlineStr">
        <is>
          <t>66865547</t>
        </is>
      </c>
      <c r="G1433" s="8">
        <f>IFERROR(VLOOKUP(A1433,Flete!$A:$E,5,0),"")</f>
        <v/>
      </c>
      <c r="H1433" s="7">
        <f>IFERROR(VLOOKUP(F1433,TRAOPE!$AA:$AB,2,0),"")</f>
        <v/>
      </c>
      <c r="I1433" s="7" t="n">
        <v>10184011</v>
      </c>
      <c r="J1433" s="7">
        <f>IFERROR(VLOOKUP(I1433,Materiales!$A:$H,8,0),"")</f>
        <v/>
      </c>
      <c r="K1433" s="9">
        <f>IFERROR(VLOOKUP(I1433,Materiales!$A:$G,7,0),"")</f>
        <v/>
      </c>
      <c r="L1433" s="8" t="inlineStr">
        <is>
          <t>20190426</t>
        </is>
      </c>
      <c r="M1433" s="8" t="inlineStr">
        <is>
          <t>20250127</t>
        </is>
      </c>
      <c r="N1433" s="10" t="n">
        <v>118</v>
      </c>
      <c r="O1433" s="10">
        <f>IFERROR(VLOOKUP(A1433,Flete!$A:$J,10,0),"")</f>
        <v/>
      </c>
      <c r="P1433" s="8" t="inlineStr">
        <is>
          <t>TN</t>
        </is>
      </c>
      <c r="Q1433" s="10">
        <f>IFERROR(IFERROR(VLOOKUP(A1433,TRAOPE!$A:$U,21,0),VLOOKUP(B1433,TRAOPE!$A:$U,21,0)),"")</f>
        <v/>
      </c>
      <c r="R1433" s="8">
        <f>IFERROR(IFERROR(VLOOKUP(A1433,TRAOPE!$A:$W,23,0),VLOOKUP(B1433,TRAOPE!$A:$W,23,0)),"")</f>
        <v/>
      </c>
      <c r="S1433" s="10">
        <f>IF(AND(P1433="TN",R1433="TN"),N1433+N(O1433),IF(G1433&amp;""="1",N(K1433)*N1433,(N1433+N(O1433))*N(K1433)))</f>
        <v/>
      </c>
      <c r="T1433" s="10">
        <f>IF(Q1433="","",Q1433-S1433)</f>
        <v/>
      </c>
    </row>
    <row r="1434">
      <c r="A1434" s="7">
        <f>CONCATENATE(C1434,E1434,F1434,I1434)</f>
        <v/>
      </c>
      <c r="B1434" s="7">
        <f>CONCATENATE(C1434,E1434,I1434)</f>
        <v/>
      </c>
      <c r="C1434" s="8" t="n">
        <v>900004077</v>
      </c>
      <c r="D1434" s="7">
        <f>IFERROR(VLOOKUP(C1434,TRAOPE!$G:$H,2,0),"")</f>
        <v/>
      </c>
      <c r="E1434" s="8" t="inlineStr">
        <is>
          <t>D836</t>
        </is>
      </c>
      <c r="F1434" s="8" t="inlineStr">
        <is>
          <t>66865547</t>
        </is>
      </c>
      <c r="G1434" s="8">
        <f>IFERROR(VLOOKUP(A1434,Flete!$A:$E,5,0),"")</f>
        <v/>
      </c>
      <c r="H1434" s="7">
        <f>IFERROR(VLOOKUP(F1434,TRAOPE!$AA:$AB,2,0),"")</f>
        <v/>
      </c>
      <c r="I1434" s="7" t="n">
        <v>10184142</v>
      </c>
      <c r="J1434" s="7">
        <f>IFERROR(VLOOKUP(I1434,Materiales!$A:$H,8,0),"")</f>
        <v/>
      </c>
      <c r="K1434" s="9">
        <f>IFERROR(VLOOKUP(I1434,Materiales!$A:$G,7,0),"")</f>
        <v/>
      </c>
      <c r="L1434" s="8" t="inlineStr">
        <is>
          <t>20190426</t>
        </is>
      </c>
      <c r="M1434" s="8" t="inlineStr">
        <is>
          <t>20250127</t>
        </is>
      </c>
      <c r="N1434" s="10" t="n">
        <v>118</v>
      </c>
      <c r="O1434" s="10">
        <f>IFERROR(VLOOKUP(A1434,Flete!$A:$J,10,0),"")</f>
        <v/>
      </c>
      <c r="P1434" s="8" t="inlineStr">
        <is>
          <t>TN</t>
        </is>
      </c>
      <c r="Q1434" s="10">
        <f>IFERROR(IFERROR(VLOOKUP(A1434,TRAOPE!$A:$U,21,0),VLOOKUP(B1434,TRAOPE!$A:$U,21,0)),"")</f>
        <v/>
      </c>
      <c r="R1434" s="8">
        <f>IFERROR(IFERROR(VLOOKUP(A1434,TRAOPE!$A:$W,23,0),VLOOKUP(B1434,TRAOPE!$A:$W,23,0)),"")</f>
        <v/>
      </c>
      <c r="S1434" s="10">
        <f>IF(AND(P1434="TN",R1434="TN"),N1434+N(O1434),IF(G1434&amp;""="1",N(K1434)*N1434,(N1434+N(O1434))*N(K1434)))</f>
        <v/>
      </c>
      <c r="T1434" s="10">
        <f>IF(Q1434="","",Q1434-S1434)</f>
        <v/>
      </c>
    </row>
    <row r="1435">
      <c r="A1435" s="7">
        <f>CONCATENATE(C1435,E1435,F1435,I1435)</f>
        <v/>
      </c>
      <c r="B1435" s="7">
        <f>CONCATENATE(C1435,E1435,I1435)</f>
        <v/>
      </c>
      <c r="C1435" s="8" t="n">
        <v>900004077</v>
      </c>
      <c r="D1435" s="7">
        <f>IFERROR(VLOOKUP(C1435,TRAOPE!$G:$H,2,0),"")</f>
        <v/>
      </c>
      <c r="E1435" s="8" t="inlineStr">
        <is>
          <t>D836</t>
        </is>
      </c>
      <c r="F1435" s="8" t="inlineStr">
        <is>
          <t>66874616</t>
        </is>
      </c>
      <c r="G1435" s="8">
        <f>IFERROR(VLOOKUP(A1435,Flete!$A:$E,5,0),"")</f>
        <v/>
      </c>
      <c r="H1435" s="7">
        <f>IFERROR(VLOOKUP(F1435,TRAOPE!$AA:$AB,2,0),"")</f>
        <v/>
      </c>
      <c r="I1435" s="7" t="n">
        <v>10192909</v>
      </c>
      <c r="J1435" s="7">
        <f>IFERROR(VLOOKUP(I1435,Materiales!$A:$H,8,0),"")</f>
        <v/>
      </c>
      <c r="K1435" s="9">
        <f>IFERROR(VLOOKUP(I1435,Materiales!$A:$G,7,0),"")</f>
        <v/>
      </c>
      <c r="L1435" s="8" t="inlineStr">
        <is>
          <t>20190426</t>
        </is>
      </c>
      <c r="M1435" s="8" t="inlineStr">
        <is>
          <t>20250127</t>
        </is>
      </c>
      <c r="N1435" s="10" t="n">
        <v>110</v>
      </c>
      <c r="O1435" s="10">
        <f>IFERROR(VLOOKUP(A1435,Flete!$A:$J,10,0),"")</f>
        <v/>
      </c>
      <c r="P1435" s="8" t="inlineStr">
        <is>
          <t>TN</t>
        </is>
      </c>
      <c r="Q1435" s="10">
        <f>IFERROR(IFERROR(VLOOKUP(A1435,TRAOPE!$A:$U,21,0),VLOOKUP(B1435,TRAOPE!$A:$U,21,0)),"")</f>
        <v/>
      </c>
      <c r="R1435" s="8">
        <f>IFERROR(IFERROR(VLOOKUP(A1435,TRAOPE!$A:$W,23,0),VLOOKUP(B1435,TRAOPE!$A:$W,23,0)),"")</f>
        <v/>
      </c>
      <c r="S1435" s="10">
        <f>IF(AND(P1435="TN",R1435="TN"),N1435+N(O1435),IF(G1435&amp;""="1",N(K1435)*N1435,(N1435+N(O1435))*N(K1435)))</f>
        <v/>
      </c>
      <c r="T1435" s="10">
        <f>IF(Q1435="","",Q1435-S1435)</f>
        <v/>
      </c>
    </row>
    <row r="1436">
      <c r="A1436" s="7">
        <f>CONCATENATE(C1436,E1436,F1436,I1436)</f>
        <v/>
      </c>
      <c r="B1436" s="7">
        <f>CONCATENATE(C1436,E1436,I1436)</f>
        <v/>
      </c>
      <c r="C1436" s="8" t="n">
        <v>900004077</v>
      </c>
      <c r="D1436" s="7">
        <f>IFERROR(VLOOKUP(C1436,TRAOPE!$G:$H,2,0),"")</f>
        <v/>
      </c>
      <c r="E1436" s="8" t="inlineStr">
        <is>
          <t>D836</t>
        </is>
      </c>
      <c r="F1436" s="8" t="inlineStr">
        <is>
          <t>66874616</t>
        </is>
      </c>
      <c r="G1436" s="8">
        <f>IFERROR(VLOOKUP(A1436,Flete!$A:$E,5,0),"")</f>
        <v/>
      </c>
      <c r="H1436" s="7">
        <f>IFERROR(VLOOKUP(F1436,TRAOPE!$AA:$AB,2,0),"")</f>
        <v/>
      </c>
      <c r="I1436" s="7" t="n">
        <v>10192940</v>
      </c>
      <c r="J1436" s="7">
        <f>IFERROR(VLOOKUP(I1436,Materiales!$A:$H,8,0),"")</f>
        <v/>
      </c>
      <c r="K1436" s="9">
        <f>IFERROR(VLOOKUP(I1436,Materiales!$A:$G,7,0),"")</f>
        <v/>
      </c>
      <c r="L1436" s="8" t="inlineStr">
        <is>
          <t>20190426</t>
        </is>
      </c>
      <c r="M1436" s="8" t="inlineStr">
        <is>
          <t>20250127</t>
        </is>
      </c>
      <c r="N1436" s="10" t="n">
        <v>100</v>
      </c>
      <c r="O1436" s="10">
        <f>IFERROR(VLOOKUP(A1436,Flete!$A:$J,10,0),"")</f>
        <v/>
      </c>
      <c r="P1436" s="8" t="inlineStr">
        <is>
          <t>TN</t>
        </is>
      </c>
      <c r="Q1436" s="10">
        <f>IFERROR(IFERROR(VLOOKUP(A1436,TRAOPE!$A:$U,21,0),VLOOKUP(B1436,TRAOPE!$A:$U,21,0)),"")</f>
        <v/>
      </c>
      <c r="R1436" s="8">
        <f>IFERROR(IFERROR(VLOOKUP(A1436,TRAOPE!$A:$W,23,0),VLOOKUP(B1436,TRAOPE!$A:$W,23,0)),"")</f>
        <v/>
      </c>
      <c r="S1436" s="10">
        <f>IF(AND(P1436="TN",R1436="TN"),N1436+N(O1436),IF(G1436&amp;""="1",N(K1436)*N1436,(N1436+N(O1436))*N(K1436)))</f>
        <v/>
      </c>
      <c r="T1436" s="10">
        <f>IF(Q1436="","",Q1436-S1436)</f>
        <v/>
      </c>
    </row>
    <row r="1437">
      <c r="A1437" s="7">
        <f>CONCATENATE(C1437,E1437,F1437,I1437)</f>
        <v/>
      </c>
      <c r="B1437" s="7">
        <f>CONCATENATE(C1437,E1437,I1437)</f>
        <v/>
      </c>
      <c r="C1437" s="8" t="n">
        <v>900004077</v>
      </c>
      <c r="D1437" s="7">
        <f>IFERROR(VLOOKUP(C1437,TRAOPE!$G:$H,2,0),"")</f>
        <v/>
      </c>
      <c r="E1437" s="8" t="inlineStr">
        <is>
          <t>D836</t>
        </is>
      </c>
      <c r="F1437" s="8" t="inlineStr">
        <is>
          <t>66874616</t>
        </is>
      </c>
      <c r="G1437" s="8">
        <f>IFERROR(VLOOKUP(A1437,Flete!$A:$E,5,0),"")</f>
        <v/>
      </c>
      <c r="H1437" s="7">
        <f>IFERROR(VLOOKUP(F1437,TRAOPE!$AA:$AB,2,0),"")</f>
        <v/>
      </c>
      <c r="I1437" s="7" t="n">
        <v>10192941</v>
      </c>
      <c r="J1437" s="7">
        <f>IFERROR(VLOOKUP(I1437,Materiales!$A:$H,8,0),"")</f>
        <v/>
      </c>
      <c r="K1437" s="9">
        <f>IFERROR(VLOOKUP(I1437,Materiales!$A:$G,7,0),"")</f>
        <v/>
      </c>
      <c r="L1437" s="8" t="inlineStr">
        <is>
          <t>20190426</t>
        </is>
      </c>
      <c r="M1437" s="8" t="inlineStr">
        <is>
          <t>20250127</t>
        </is>
      </c>
      <c r="N1437" s="10" t="n">
        <v>130</v>
      </c>
      <c r="O1437" s="10">
        <f>IFERROR(VLOOKUP(A1437,Flete!$A:$J,10,0),"")</f>
        <v/>
      </c>
      <c r="P1437" s="8" t="inlineStr">
        <is>
          <t>TN</t>
        </is>
      </c>
      <c r="Q1437" s="10">
        <f>IFERROR(IFERROR(VLOOKUP(A1437,TRAOPE!$A:$U,21,0),VLOOKUP(B1437,TRAOPE!$A:$U,21,0)),"")</f>
        <v/>
      </c>
      <c r="R1437" s="8">
        <f>IFERROR(IFERROR(VLOOKUP(A1437,TRAOPE!$A:$W,23,0),VLOOKUP(B1437,TRAOPE!$A:$W,23,0)),"")</f>
        <v/>
      </c>
      <c r="S1437" s="10">
        <f>IF(AND(P1437="TN",R1437="TN"),N1437+N(O1437),IF(G1437&amp;""="1",N(K1437)*N1437,(N1437+N(O1437))*N(K1437)))</f>
        <v/>
      </c>
      <c r="T1437" s="10">
        <f>IF(Q1437="","",Q1437-S1437)</f>
        <v/>
      </c>
    </row>
    <row r="1438">
      <c r="A1438" s="7">
        <f>CONCATENATE(C1438,E1438,F1438,I1438)</f>
        <v/>
      </c>
      <c r="B1438" s="7">
        <f>CONCATENATE(C1438,E1438,I1438)</f>
        <v/>
      </c>
      <c r="C1438" s="8" t="n">
        <v>900004077</v>
      </c>
      <c r="D1438" s="7">
        <f>IFERROR(VLOOKUP(C1438,TRAOPE!$G:$H,2,0),"")</f>
        <v/>
      </c>
      <c r="E1438" s="8" t="inlineStr">
        <is>
          <t>D836</t>
        </is>
      </c>
      <c r="F1438" s="8" t="inlineStr">
        <is>
          <t>66874616</t>
        </is>
      </c>
      <c r="G1438" s="8">
        <f>IFERROR(VLOOKUP(A1438,Flete!$A:$E,5,0),"")</f>
        <v/>
      </c>
      <c r="H1438" s="7">
        <f>IFERROR(VLOOKUP(F1438,TRAOPE!$AA:$AB,2,0),"")</f>
        <v/>
      </c>
      <c r="I1438" s="7" t="n">
        <v>10192942</v>
      </c>
      <c r="J1438" s="7">
        <f>IFERROR(VLOOKUP(I1438,Materiales!$A:$H,8,0),"")</f>
        <v/>
      </c>
      <c r="K1438" s="9">
        <f>IFERROR(VLOOKUP(I1438,Materiales!$A:$G,7,0),"")</f>
        <v/>
      </c>
      <c r="L1438" s="8" t="inlineStr">
        <is>
          <t>20190426</t>
        </is>
      </c>
      <c r="M1438" s="8" t="inlineStr">
        <is>
          <t>20250127</t>
        </is>
      </c>
      <c r="N1438" s="10" t="n">
        <v>102</v>
      </c>
      <c r="O1438" s="10">
        <f>IFERROR(VLOOKUP(A1438,Flete!$A:$J,10,0),"")</f>
        <v/>
      </c>
      <c r="P1438" s="8" t="inlineStr">
        <is>
          <t>TN</t>
        </is>
      </c>
      <c r="Q1438" s="10">
        <f>IFERROR(IFERROR(VLOOKUP(A1438,TRAOPE!$A:$U,21,0),VLOOKUP(B1438,TRAOPE!$A:$U,21,0)),"")</f>
        <v/>
      </c>
      <c r="R1438" s="8">
        <f>IFERROR(IFERROR(VLOOKUP(A1438,TRAOPE!$A:$W,23,0),VLOOKUP(B1438,TRAOPE!$A:$W,23,0)),"")</f>
        <v/>
      </c>
      <c r="S1438" s="10">
        <f>IF(AND(P1438="TN",R1438="TN"),N1438+N(O1438),IF(G1438&amp;""="1",N(K1438)*N1438,(N1438+N(O1438))*N(K1438)))</f>
        <v/>
      </c>
      <c r="T1438" s="10">
        <f>IF(Q1438="","",Q1438-S1438)</f>
        <v/>
      </c>
    </row>
    <row r="1439">
      <c r="A1439" s="7">
        <f>CONCATENATE(C1439,E1439,F1439,I1439)</f>
        <v/>
      </c>
      <c r="B1439" s="7">
        <f>CONCATENATE(C1439,E1439,I1439)</f>
        <v/>
      </c>
      <c r="C1439" s="8" t="n">
        <v>900004077</v>
      </c>
      <c r="D1439" s="7">
        <f>IFERROR(VLOOKUP(C1439,TRAOPE!$G:$H,2,0),"")</f>
        <v/>
      </c>
      <c r="E1439" s="8" t="inlineStr">
        <is>
          <t>D836</t>
        </is>
      </c>
      <c r="F1439" s="8" t="inlineStr">
        <is>
          <t>66874616</t>
        </is>
      </c>
      <c r="G1439" s="8">
        <f>IFERROR(VLOOKUP(A1439,Flete!$A:$E,5,0),"")</f>
        <v/>
      </c>
      <c r="H1439" s="7">
        <f>IFERROR(VLOOKUP(F1439,TRAOPE!$AA:$AB,2,0),"")</f>
        <v/>
      </c>
      <c r="I1439" s="7" t="n">
        <v>10192943</v>
      </c>
      <c r="J1439" s="7">
        <f>IFERROR(VLOOKUP(I1439,Materiales!$A:$H,8,0),"")</f>
        <v/>
      </c>
      <c r="K1439" s="9">
        <f>IFERROR(VLOOKUP(I1439,Materiales!$A:$G,7,0),"")</f>
        <v/>
      </c>
      <c r="L1439" s="8" t="inlineStr">
        <is>
          <t>20190426</t>
        </is>
      </c>
      <c r="M1439" s="8" t="inlineStr">
        <is>
          <t>20250127</t>
        </is>
      </c>
      <c r="N1439" s="10" t="n">
        <v>126</v>
      </c>
      <c r="O1439" s="10">
        <f>IFERROR(VLOOKUP(A1439,Flete!$A:$J,10,0),"")</f>
        <v/>
      </c>
      <c r="P1439" s="8" t="inlineStr">
        <is>
          <t>TN</t>
        </is>
      </c>
      <c r="Q1439" s="10">
        <f>IFERROR(IFERROR(VLOOKUP(A1439,TRAOPE!$A:$U,21,0),VLOOKUP(B1439,TRAOPE!$A:$U,21,0)),"")</f>
        <v/>
      </c>
      <c r="R1439" s="8">
        <f>IFERROR(IFERROR(VLOOKUP(A1439,TRAOPE!$A:$W,23,0),VLOOKUP(B1439,TRAOPE!$A:$W,23,0)),"")</f>
        <v/>
      </c>
      <c r="S1439" s="10">
        <f>IF(AND(P1439="TN",R1439="TN"),N1439+N(O1439),IF(G1439&amp;""="1",N(K1439)*N1439,(N1439+N(O1439))*N(K1439)))</f>
        <v/>
      </c>
      <c r="T1439" s="10">
        <f>IF(Q1439="","",Q1439-S1439)</f>
        <v/>
      </c>
    </row>
    <row r="1440">
      <c r="A1440" s="7">
        <f>CONCATENATE(C1440,E1440,F1440,I1440)</f>
        <v/>
      </c>
      <c r="B1440" s="7">
        <f>CONCATENATE(C1440,E1440,I1440)</f>
        <v/>
      </c>
      <c r="C1440" s="8" t="n">
        <v>900004077</v>
      </c>
      <c r="D1440" s="7">
        <f>IFERROR(VLOOKUP(C1440,TRAOPE!$G:$H,2,0),"")</f>
        <v/>
      </c>
      <c r="E1440" s="8" t="inlineStr">
        <is>
          <t>D836</t>
        </is>
      </c>
      <c r="F1440" s="8" t="inlineStr">
        <is>
          <t>66874616</t>
        </is>
      </c>
      <c r="G1440" s="8">
        <f>IFERROR(VLOOKUP(A1440,Flete!$A:$E,5,0),"")</f>
        <v/>
      </c>
      <c r="H1440" s="7">
        <f>IFERROR(VLOOKUP(F1440,TRAOPE!$AA:$AB,2,0),"")</f>
        <v/>
      </c>
      <c r="I1440" s="7" t="n">
        <v>10192944</v>
      </c>
      <c r="J1440" s="7">
        <f>IFERROR(VLOOKUP(I1440,Materiales!$A:$H,8,0),"")</f>
        <v/>
      </c>
      <c r="K1440" s="9">
        <f>IFERROR(VLOOKUP(I1440,Materiales!$A:$G,7,0),"")</f>
        <v/>
      </c>
      <c r="L1440" s="8" t="inlineStr">
        <is>
          <t>20190426</t>
        </is>
      </c>
      <c r="M1440" s="8" t="inlineStr">
        <is>
          <t>20250127</t>
        </is>
      </c>
      <c r="N1440" s="10" t="n">
        <v>126</v>
      </c>
      <c r="O1440" s="10">
        <f>IFERROR(VLOOKUP(A1440,Flete!$A:$J,10,0),"")</f>
        <v/>
      </c>
      <c r="P1440" s="8" t="inlineStr">
        <is>
          <t>TN</t>
        </is>
      </c>
      <c r="Q1440" s="10">
        <f>IFERROR(IFERROR(VLOOKUP(A1440,TRAOPE!$A:$U,21,0),VLOOKUP(B1440,TRAOPE!$A:$U,21,0)),"")</f>
        <v/>
      </c>
      <c r="R1440" s="8">
        <f>IFERROR(IFERROR(VLOOKUP(A1440,TRAOPE!$A:$W,23,0),VLOOKUP(B1440,TRAOPE!$A:$W,23,0)),"")</f>
        <v/>
      </c>
      <c r="S1440" s="10">
        <f>IF(AND(P1440="TN",R1440="TN"),N1440+N(O1440),IF(G1440&amp;""="1",N(K1440)*N1440,(N1440+N(O1440))*N(K1440)))</f>
        <v/>
      </c>
      <c r="T1440" s="10">
        <f>IF(Q1440="","",Q1440-S1440)</f>
        <v/>
      </c>
    </row>
    <row r="1441">
      <c r="A1441" s="7">
        <f>CONCATENATE(C1441,E1441,F1441,I1441)</f>
        <v/>
      </c>
      <c r="B1441" s="7">
        <f>CONCATENATE(C1441,E1441,I1441)</f>
        <v/>
      </c>
      <c r="C1441" s="8" t="n">
        <v>900004077</v>
      </c>
      <c r="D1441" s="7">
        <f>IFERROR(VLOOKUP(C1441,TRAOPE!$G:$H,2,0),"")</f>
        <v/>
      </c>
      <c r="E1441" s="8" t="inlineStr">
        <is>
          <t>D836</t>
        </is>
      </c>
      <c r="F1441" s="8" t="inlineStr">
        <is>
          <t>66874616</t>
        </is>
      </c>
      <c r="G1441" s="8">
        <f>IFERROR(VLOOKUP(A1441,Flete!$A:$E,5,0),"")</f>
        <v/>
      </c>
      <c r="H1441" s="7">
        <f>IFERROR(VLOOKUP(F1441,TRAOPE!$AA:$AB,2,0),"")</f>
        <v/>
      </c>
      <c r="I1441" s="7" t="n">
        <v>10192945</v>
      </c>
      <c r="J1441" s="7">
        <f>IFERROR(VLOOKUP(I1441,Materiales!$A:$H,8,0),"")</f>
        <v/>
      </c>
      <c r="K1441" s="9">
        <f>IFERROR(VLOOKUP(I1441,Materiales!$A:$G,7,0),"")</f>
        <v/>
      </c>
      <c r="L1441" s="8" t="inlineStr">
        <is>
          <t>20190426</t>
        </is>
      </c>
      <c r="M1441" s="8" t="inlineStr">
        <is>
          <t>20250127</t>
        </is>
      </c>
      <c r="N1441" s="10" t="n">
        <v>126</v>
      </c>
      <c r="O1441" s="10">
        <f>IFERROR(VLOOKUP(A1441,Flete!$A:$J,10,0),"")</f>
        <v/>
      </c>
      <c r="P1441" s="8" t="inlineStr">
        <is>
          <t>TN</t>
        </is>
      </c>
      <c r="Q1441" s="10">
        <f>IFERROR(IFERROR(VLOOKUP(A1441,TRAOPE!$A:$U,21,0),VLOOKUP(B1441,TRAOPE!$A:$U,21,0)),"")</f>
        <v/>
      </c>
      <c r="R1441" s="8">
        <f>IFERROR(IFERROR(VLOOKUP(A1441,TRAOPE!$A:$W,23,0),VLOOKUP(B1441,TRAOPE!$A:$W,23,0)),"")</f>
        <v/>
      </c>
      <c r="S1441" s="10">
        <f>IF(AND(P1441="TN",R1441="TN"),N1441+N(O1441),IF(G1441&amp;""="1",N(K1441)*N1441,(N1441+N(O1441))*N(K1441)))</f>
        <v/>
      </c>
      <c r="T1441" s="10">
        <f>IF(Q1441="","",Q1441-S1441)</f>
        <v/>
      </c>
    </row>
    <row r="1442">
      <c r="A1442" s="7">
        <f>CONCATENATE(C1442,E1442,F1442,I1442)</f>
        <v/>
      </c>
      <c r="B1442" s="7">
        <f>CONCATENATE(C1442,E1442,I1442)</f>
        <v/>
      </c>
      <c r="C1442" s="8" t="n">
        <v>900004077</v>
      </c>
      <c r="D1442" s="7">
        <f>IFERROR(VLOOKUP(C1442,TRAOPE!$G:$H,2,0),"")</f>
        <v/>
      </c>
      <c r="E1442" s="8" t="inlineStr">
        <is>
          <t>D836</t>
        </is>
      </c>
      <c r="F1442" s="8" t="inlineStr">
        <is>
          <t>66874616</t>
        </is>
      </c>
      <c r="G1442" s="8">
        <f>IFERROR(VLOOKUP(A1442,Flete!$A:$E,5,0),"")</f>
        <v/>
      </c>
      <c r="H1442" s="7">
        <f>IFERROR(VLOOKUP(F1442,TRAOPE!$AA:$AB,2,0),"")</f>
        <v/>
      </c>
      <c r="I1442" s="7" t="n">
        <v>10215377</v>
      </c>
      <c r="J1442" s="7">
        <f>IFERROR(VLOOKUP(I1442,Materiales!$A:$H,8,0),"")</f>
        <v/>
      </c>
      <c r="K1442" s="9">
        <f>IFERROR(VLOOKUP(I1442,Materiales!$A:$G,7,0),"")</f>
        <v/>
      </c>
      <c r="L1442" s="8" t="inlineStr">
        <is>
          <t>20190426</t>
        </is>
      </c>
      <c r="M1442" s="8" t="inlineStr">
        <is>
          <t>20250127</t>
        </is>
      </c>
      <c r="N1442" s="10" t="n">
        <v>126</v>
      </c>
      <c r="O1442" s="10">
        <f>IFERROR(VLOOKUP(A1442,Flete!$A:$J,10,0),"")</f>
        <v/>
      </c>
      <c r="P1442" s="8" t="inlineStr">
        <is>
          <t>M3</t>
        </is>
      </c>
      <c r="Q1442" s="10">
        <f>IFERROR(IFERROR(VLOOKUP(A1442,TRAOPE!$A:$U,21,0),VLOOKUP(B1442,TRAOPE!$A:$U,21,0)),"")</f>
        <v/>
      </c>
      <c r="R1442" s="8">
        <f>IFERROR(IFERROR(VLOOKUP(A1442,TRAOPE!$A:$W,23,0),VLOOKUP(B1442,TRAOPE!$A:$W,23,0)),"")</f>
        <v/>
      </c>
      <c r="S1442" s="10">
        <f>IF(AND(P1442="TN",R1442="TN"),N1442+N(O1442),IF(G1442&amp;""="1",N(K1442)*N1442,(N1442+N(O1442))*N(K1442)))</f>
        <v/>
      </c>
      <c r="T1442" s="10">
        <f>IF(Q1442="","",Q1442-S1442)</f>
        <v/>
      </c>
    </row>
    <row r="1443">
      <c r="A1443" s="7">
        <f>CONCATENATE(C1443,E1443,F1443,I1443)</f>
        <v/>
      </c>
      <c r="B1443" s="7">
        <f>CONCATENATE(C1443,E1443,I1443)</f>
        <v/>
      </c>
      <c r="C1443" s="8" t="n">
        <v>900004077</v>
      </c>
      <c r="D1443" s="7">
        <f>IFERROR(VLOOKUP(C1443,TRAOPE!$G:$H,2,0),"")</f>
        <v/>
      </c>
      <c r="E1443" s="8" t="inlineStr">
        <is>
          <t>D836</t>
        </is>
      </c>
      <c r="F1443" s="8" t="inlineStr">
        <is>
          <t>66898280</t>
        </is>
      </c>
      <c r="G1443" s="8">
        <f>IFERROR(VLOOKUP(A1443,Flete!$A:$E,5,0),"")</f>
        <v/>
      </c>
      <c r="H1443" s="7">
        <f>IFERROR(VLOOKUP(F1443,TRAOPE!$AA:$AB,2,0),"")</f>
        <v/>
      </c>
      <c r="I1443" s="7" t="n">
        <v>10000623</v>
      </c>
      <c r="J1443" s="7">
        <f>IFERROR(VLOOKUP(I1443,Materiales!$A:$H,8,0),"")</f>
        <v/>
      </c>
      <c r="K1443" s="9">
        <f>IFERROR(VLOOKUP(I1443,Materiales!$A:$G,7,0),"")</f>
        <v/>
      </c>
      <c r="L1443" s="8" t="inlineStr">
        <is>
          <t>20190426</t>
        </is>
      </c>
      <c r="M1443" s="8" t="inlineStr">
        <is>
          <t>20250127</t>
        </is>
      </c>
      <c r="N1443" s="10" t="n">
        <v>150</v>
      </c>
      <c r="O1443" s="10">
        <f>IFERROR(VLOOKUP(A1443,Flete!$A:$J,10,0),"")</f>
        <v/>
      </c>
      <c r="P1443" s="8" t="inlineStr">
        <is>
          <t>M3</t>
        </is>
      </c>
      <c r="Q1443" s="10">
        <f>IFERROR(IFERROR(VLOOKUP(A1443,TRAOPE!$A:$U,21,0),VLOOKUP(B1443,TRAOPE!$A:$U,21,0)),"")</f>
        <v/>
      </c>
      <c r="R1443" s="8">
        <f>IFERROR(IFERROR(VLOOKUP(A1443,TRAOPE!$A:$W,23,0),VLOOKUP(B1443,TRAOPE!$A:$W,23,0)),"")</f>
        <v/>
      </c>
      <c r="S1443" s="10">
        <f>IF(AND(P1443="TN",R1443="TN"),N1443+N(O1443),IF(G1443&amp;""="1",N(K1443)*N1443,(N1443+N(O1443))*N(K1443)))</f>
        <v/>
      </c>
      <c r="T1443" s="10">
        <f>IF(Q1443="","",Q1443-S1443)</f>
        <v/>
      </c>
    </row>
    <row r="1444">
      <c r="A1444" s="7">
        <f>CONCATENATE(C1444,E1444,F1444,I1444)</f>
        <v/>
      </c>
      <c r="B1444" s="7">
        <f>CONCATENATE(C1444,E1444,I1444)</f>
        <v/>
      </c>
      <c r="C1444" s="8" t="n">
        <v>900004077</v>
      </c>
      <c r="D1444" s="7">
        <f>IFERROR(VLOOKUP(C1444,TRAOPE!$G:$H,2,0),"")</f>
        <v/>
      </c>
      <c r="E1444" s="8" t="inlineStr">
        <is>
          <t>D836</t>
        </is>
      </c>
      <c r="F1444" s="8" t="inlineStr">
        <is>
          <t>66898280</t>
        </is>
      </c>
      <c r="G1444" s="8">
        <f>IFERROR(VLOOKUP(A1444,Flete!$A:$E,5,0),"")</f>
        <v/>
      </c>
      <c r="H1444" s="7">
        <f>IFERROR(VLOOKUP(F1444,TRAOPE!$AA:$AB,2,0),"")</f>
        <v/>
      </c>
      <c r="I1444" s="7" t="n">
        <v>10184010</v>
      </c>
      <c r="J1444" s="7">
        <f>IFERROR(VLOOKUP(I1444,Materiales!$A:$H,8,0),"")</f>
        <v/>
      </c>
      <c r="K1444" s="9">
        <f>IFERROR(VLOOKUP(I1444,Materiales!$A:$G,7,0),"")</f>
        <v/>
      </c>
      <c r="L1444" s="8" t="inlineStr">
        <is>
          <t>20190426</t>
        </is>
      </c>
      <c r="M1444" s="8" t="inlineStr">
        <is>
          <t>20250127</t>
        </is>
      </c>
      <c r="N1444" s="10" t="n">
        <v>147.5</v>
      </c>
      <c r="O1444" s="10">
        <f>IFERROR(VLOOKUP(A1444,Flete!$A:$J,10,0),"")</f>
        <v/>
      </c>
      <c r="P1444" s="8" t="inlineStr">
        <is>
          <t>M3</t>
        </is>
      </c>
      <c r="Q1444" s="10">
        <f>IFERROR(IFERROR(VLOOKUP(A1444,TRAOPE!$A:$U,21,0),VLOOKUP(B1444,TRAOPE!$A:$U,21,0)),"")</f>
        <v/>
      </c>
      <c r="R1444" s="8">
        <f>IFERROR(IFERROR(VLOOKUP(A1444,TRAOPE!$A:$W,23,0),VLOOKUP(B1444,TRAOPE!$A:$W,23,0)),"")</f>
        <v/>
      </c>
      <c r="S1444" s="10">
        <f>IF(AND(P1444="TN",R1444="TN"),N1444+N(O1444),IF(G1444&amp;""="1",N(K1444)*N1444,(N1444+N(O1444))*N(K1444)))</f>
        <v/>
      </c>
      <c r="T1444" s="10">
        <f>IF(Q1444="","",Q1444-S1444)</f>
        <v/>
      </c>
    </row>
    <row r="1445">
      <c r="A1445" s="7">
        <f>CONCATENATE(C1445,E1445,F1445,I1445)</f>
        <v/>
      </c>
      <c r="B1445" s="7">
        <f>CONCATENATE(C1445,E1445,I1445)</f>
        <v/>
      </c>
      <c r="C1445" s="8" t="n">
        <v>900004077</v>
      </c>
      <c r="D1445" s="7">
        <f>IFERROR(VLOOKUP(C1445,TRAOPE!$G:$H,2,0),"")</f>
        <v/>
      </c>
      <c r="E1445" s="8" t="inlineStr">
        <is>
          <t>D836</t>
        </is>
      </c>
      <c r="F1445" s="8" t="inlineStr">
        <is>
          <t>66898280</t>
        </is>
      </c>
      <c r="G1445" s="8">
        <f>IFERROR(VLOOKUP(A1445,Flete!$A:$E,5,0),"")</f>
        <v/>
      </c>
      <c r="H1445" s="7">
        <f>IFERROR(VLOOKUP(F1445,TRAOPE!$AA:$AB,2,0),"")</f>
        <v/>
      </c>
      <c r="I1445" s="7" t="n">
        <v>10184011</v>
      </c>
      <c r="J1445" s="7">
        <f>IFERROR(VLOOKUP(I1445,Materiales!$A:$H,8,0),"")</f>
        <v/>
      </c>
      <c r="K1445" s="9">
        <f>IFERROR(VLOOKUP(I1445,Materiales!$A:$G,7,0),"")</f>
        <v/>
      </c>
      <c r="L1445" s="8" t="inlineStr">
        <is>
          <t>20190426</t>
        </is>
      </c>
      <c r="M1445" s="8" t="inlineStr">
        <is>
          <t>20250127</t>
        </is>
      </c>
      <c r="N1445" s="10" t="n">
        <v>147.5</v>
      </c>
      <c r="O1445" s="10">
        <f>IFERROR(VLOOKUP(A1445,Flete!$A:$J,10,0),"")</f>
        <v/>
      </c>
      <c r="P1445" s="8" t="inlineStr">
        <is>
          <t>M3</t>
        </is>
      </c>
      <c r="Q1445" s="10">
        <f>IFERROR(IFERROR(VLOOKUP(A1445,TRAOPE!$A:$U,21,0),VLOOKUP(B1445,TRAOPE!$A:$U,21,0)),"")</f>
        <v/>
      </c>
      <c r="R1445" s="8">
        <f>IFERROR(IFERROR(VLOOKUP(A1445,TRAOPE!$A:$W,23,0),VLOOKUP(B1445,TRAOPE!$A:$W,23,0)),"")</f>
        <v/>
      </c>
      <c r="S1445" s="10">
        <f>IF(AND(P1445="TN",R1445="TN"),N1445+N(O1445),IF(G1445&amp;""="1",N(K1445)*N1445,(N1445+N(O1445))*N(K1445)))</f>
        <v/>
      </c>
      <c r="T1445" s="10">
        <f>IF(Q1445="","",Q1445-S1445)</f>
        <v/>
      </c>
    </row>
    <row r="1446">
      <c r="A1446" s="7">
        <f>CONCATENATE(C1446,E1446,F1446,I1446)</f>
        <v/>
      </c>
      <c r="B1446" s="7">
        <f>CONCATENATE(C1446,E1446,I1446)</f>
        <v/>
      </c>
      <c r="C1446" s="8" t="n">
        <v>900004077</v>
      </c>
      <c r="D1446" s="7">
        <f>IFERROR(VLOOKUP(C1446,TRAOPE!$G:$H,2,0),"")</f>
        <v/>
      </c>
      <c r="E1446" s="8" t="inlineStr">
        <is>
          <t>D836</t>
        </is>
      </c>
      <c r="F1446" s="8" t="inlineStr">
        <is>
          <t>66898280</t>
        </is>
      </c>
      <c r="G1446" s="8">
        <f>IFERROR(VLOOKUP(A1446,Flete!$A:$E,5,0),"")</f>
        <v/>
      </c>
      <c r="H1446" s="7">
        <f>IFERROR(VLOOKUP(F1446,TRAOPE!$AA:$AB,2,0),"")</f>
        <v/>
      </c>
      <c r="I1446" s="7" t="n">
        <v>10184142</v>
      </c>
      <c r="J1446" s="7">
        <f>IFERROR(VLOOKUP(I1446,Materiales!$A:$H,8,0),"")</f>
        <v/>
      </c>
      <c r="K1446" s="9">
        <f>IFERROR(VLOOKUP(I1446,Materiales!$A:$G,7,0),"")</f>
        <v/>
      </c>
      <c r="L1446" s="8" t="inlineStr">
        <is>
          <t>20190426</t>
        </is>
      </c>
      <c r="M1446" s="8" t="inlineStr">
        <is>
          <t>20250127</t>
        </is>
      </c>
      <c r="N1446" s="10" t="n">
        <v>147.5</v>
      </c>
      <c r="O1446" s="10">
        <f>IFERROR(VLOOKUP(A1446,Flete!$A:$J,10,0),"")</f>
        <v/>
      </c>
      <c r="P1446" s="8" t="inlineStr">
        <is>
          <t>M3</t>
        </is>
      </c>
      <c r="Q1446" s="10">
        <f>IFERROR(IFERROR(VLOOKUP(A1446,TRAOPE!$A:$U,21,0),VLOOKUP(B1446,TRAOPE!$A:$U,21,0)),"")</f>
        <v/>
      </c>
      <c r="R1446" s="8">
        <f>IFERROR(IFERROR(VLOOKUP(A1446,TRAOPE!$A:$W,23,0),VLOOKUP(B1446,TRAOPE!$A:$W,23,0)),"")</f>
        <v/>
      </c>
      <c r="S1446" s="10">
        <f>IF(AND(P1446="TN",R1446="TN"),N1446+N(O1446),IF(G1446&amp;""="1",N(K1446)*N1446,(N1446+N(O1446))*N(K1446)))</f>
        <v/>
      </c>
      <c r="T1446" s="10">
        <f>IF(Q1446="","",Q1446-S1446)</f>
        <v/>
      </c>
    </row>
    <row r="1447">
      <c r="A1447" s="7">
        <f>CONCATENATE(C1447,E1447,F1447,I1447)</f>
        <v/>
      </c>
      <c r="B1447" s="7">
        <f>CONCATENATE(C1447,E1447,I1447)</f>
        <v/>
      </c>
      <c r="C1447" s="8" t="n">
        <v>900004077</v>
      </c>
      <c r="D1447" s="7">
        <f>IFERROR(VLOOKUP(C1447,TRAOPE!$G:$H,2,0),"")</f>
        <v/>
      </c>
      <c r="E1447" s="8" t="inlineStr">
        <is>
          <t>D836</t>
        </is>
      </c>
      <c r="F1447" s="8" t="inlineStr">
        <is>
          <t>66898281</t>
        </is>
      </c>
      <c r="G1447" s="8">
        <f>IFERROR(VLOOKUP(A1447,Flete!$A:$E,5,0),"")</f>
        <v/>
      </c>
      <c r="H1447" s="7">
        <f>IFERROR(VLOOKUP(F1447,TRAOPE!$AA:$AB,2,0),"")</f>
        <v/>
      </c>
      <c r="I1447" s="7" t="n">
        <v>10000623</v>
      </c>
      <c r="J1447" s="7">
        <f>IFERROR(VLOOKUP(I1447,Materiales!$A:$H,8,0),"")</f>
        <v/>
      </c>
      <c r="K1447" s="9">
        <f>IFERROR(VLOOKUP(I1447,Materiales!$A:$G,7,0),"")</f>
        <v/>
      </c>
      <c r="L1447" s="8" t="inlineStr">
        <is>
          <t>20190426</t>
        </is>
      </c>
      <c r="M1447" s="8" t="inlineStr">
        <is>
          <t>20250127</t>
        </is>
      </c>
      <c r="N1447" s="10" t="n">
        <v>150</v>
      </c>
      <c r="O1447" s="10">
        <f>IFERROR(VLOOKUP(A1447,Flete!$A:$J,10,0),"")</f>
        <v/>
      </c>
      <c r="P1447" s="8" t="inlineStr">
        <is>
          <t>M3</t>
        </is>
      </c>
      <c r="Q1447" s="10">
        <f>IFERROR(IFERROR(VLOOKUP(A1447,TRAOPE!$A:$U,21,0),VLOOKUP(B1447,TRAOPE!$A:$U,21,0)),"")</f>
        <v/>
      </c>
      <c r="R1447" s="8">
        <f>IFERROR(IFERROR(VLOOKUP(A1447,TRAOPE!$A:$W,23,0),VLOOKUP(B1447,TRAOPE!$A:$W,23,0)),"")</f>
        <v/>
      </c>
      <c r="S1447" s="10">
        <f>IF(AND(P1447="TN",R1447="TN"),N1447+N(O1447),IF(G1447&amp;""="1",N(K1447)*N1447,(N1447+N(O1447))*N(K1447)))</f>
        <v/>
      </c>
      <c r="T1447" s="10">
        <f>IF(Q1447="","",Q1447-S1447)</f>
        <v/>
      </c>
    </row>
    <row r="1448">
      <c r="A1448" s="7">
        <f>CONCATENATE(C1448,E1448,F1448,I1448)</f>
        <v/>
      </c>
      <c r="B1448" s="7">
        <f>CONCATENATE(C1448,E1448,I1448)</f>
        <v/>
      </c>
      <c r="C1448" s="8" t="n">
        <v>900004077</v>
      </c>
      <c r="D1448" s="7">
        <f>IFERROR(VLOOKUP(C1448,TRAOPE!$G:$H,2,0),"")</f>
        <v/>
      </c>
      <c r="E1448" s="8" t="inlineStr">
        <is>
          <t>D836</t>
        </is>
      </c>
      <c r="F1448" s="8" t="inlineStr">
        <is>
          <t>66898281</t>
        </is>
      </c>
      <c r="G1448" s="8">
        <f>IFERROR(VLOOKUP(A1448,Flete!$A:$E,5,0),"")</f>
        <v/>
      </c>
      <c r="H1448" s="7">
        <f>IFERROR(VLOOKUP(F1448,TRAOPE!$AA:$AB,2,0),"")</f>
        <v/>
      </c>
      <c r="I1448" s="7" t="n">
        <v>10184010</v>
      </c>
      <c r="J1448" s="7">
        <f>IFERROR(VLOOKUP(I1448,Materiales!$A:$H,8,0),"")</f>
        <v/>
      </c>
      <c r="K1448" s="9">
        <f>IFERROR(VLOOKUP(I1448,Materiales!$A:$G,7,0),"")</f>
        <v/>
      </c>
      <c r="L1448" s="8" t="inlineStr">
        <is>
          <t>20190426</t>
        </is>
      </c>
      <c r="M1448" s="8" t="inlineStr">
        <is>
          <t>20250127</t>
        </is>
      </c>
      <c r="N1448" s="10" t="n">
        <v>147.5</v>
      </c>
      <c r="O1448" s="10">
        <f>IFERROR(VLOOKUP(A1448,Flete!$A:$J,10,0),"")</f>
        <v/>
      </c>
      <c r="P1448" s="8" t="inlineStr">
        <is>
          <t>M3</t>
        </is>
      </c>
      <c r="Q1448" s="10">
        <f>IFERROR(IFERROR(VLOOKUP(A1448,TRAOPE!$A:$U,21,0),VLOOKUP(B1448,TRAOPE!$A:$U,21,0)),"")</f>
        <v/>
      </c>
      <c r="R1448" s="8">
        <f>IFERROR(IFERROR(VLOOKUP(A1448,TRAOPE!$A:$W,23,0),VLOOKUP(B1448,TRAOPE!$A:$W,23,0)),"")</f>
        <v/>
      </c>
      <c r="S1448" s="10">
        <f>IF(AND(P1448="TN",R1448="TN"),N1448+N(O1448),IF(G1448&amp;""="1",N(K1448)*N1448,(N1448+N(O1448))*N(K1448)))</f>
        <v/>
      </c>
      <c r="T1448" s="10">
        <f>IF(Q1448="","",Q1448-S1448)</f>
        <v/>
      </c>
    </row>
    <row r="1449">
      <c r="A1449" s="7">
        <f>CONCATENATE(C1449,E1449,F1449,I1449)</f>
        <v/>
      </c>
      <c r="B1449" s="7">
        <f>CONCATENATE(C1449,E1449,I1449)</f>
        <v/>
      </c>
      <c r="C1449" s="8" t="n">
        <v>900004077</v>
      </c>
      <c r="D1449" s="7">
        <f>IFERROR(VLOOKUP(C1449,TRAOPE!$G:$H,2,0),"")</f>
        <v/>
      </c>
      <c r="E1449" s="8" t="inlineStr">
        <is>
          <t>D836</t>
        </is>
      </c>
      <c r="F1449" s="8" t="inlineStr">
        <is>
          <t>66898281</t>
        </is>
      </c>
      <c r="G1449" s="8">
        <f>IFERROR(VLOOKUP(A1449,Flete!$A:$E,5,0),"")</f>
        <v/>
      </c>
      <c r="H1449" s="7">
        <f>IFERROR(VLOOKUP(F1449,TRAOPE!$AA:$AB,2,0),"")</f>
        <v/>
      </c>
      <c r="I1449" s="7" t="n">
        <v>10184011</v>
      </c>
      <c r="J1449" s="7">
        <f>IFERROR(VLOOKUP(I1449,Materiales!$A:$H,8,0),"")</f>
        <v/>
      </c>
      <c r="K1449" s="9">
        <f>IFERROR(VLOOKUP(I1449,Materiales!$A:$G,7,0),"")</f>
        <v/>
      </c>
      <c r="L1449" s="8" t="inlineStr">
        <is>
          <t>20190426</t>
        </is>
      </c>
      <c r="M1449" s="8" t="inlineStr">
        <is>
          <t>20250127</t>
        </is>
      </c>
      <c r="N1449" s="10" t="n">
        <v>147.5</v>
      </c>
      <c r="O1449" s="10">
        <f>IFERROR(VLOOKUP(A1449,Flete!$A:$J,10,0),"")</f>
        <v/>
      </c>
      <c r="P1449" s="8" t="inlineStr">
        <is>
          <t>M3</t>
        </is>
      </c>
      <c r="Q1449" s="10">
        <f>IFERROR(IFERROR(VLOOKUP(A1449,TRAOPE!$A:$U,21,0),VLOOKUP(B1449,TRAOPE!$A:$U,21,0)),"")</f>
        <v/>
      </c>
      <c r="R1449" s="8">
        <f>IFERROR(IFERROR(VLOOKUP(A1449,TRAOPE!$A:$W,23,0),VLOOKUP(B1449,TRAOPE!$A:$W,23,0)),"")</f>
        <v/>
      </c>
      <c r="S1449" s="10">
        <f>IF(AND(P1449="TN",R1449="TN"),N1449+N(O1449),IF(G1449&amp;""="1",N(K1449)*N1449,(N1449+N(O1449))*N(K1449)))</f>
        <v/>
      </c>
      <c r="T1449" s="10">
        <f>IF(Q1449="","",Q1449-S1449)</f>
        <v/>
      </c>
    </row>
    <row r="1450">
      <c r="A1450" s="7">
        <f>CONCATENATE(C1450,E1450,F1450,I1450)</f>
        <v/>
      </c>
      <c r="B1450" s="7">
        <f>CONCATENATE(C1450,E1450,I1450)</f>
        <v/>
      </c>
      <c r="C1450" s="8" t="n">
        <v>900004077</v>
      </c>
      <c r="D1450" s="7">
        <f>IFERROR(VLOOKUP(C1450,TRAOPE!$G:$H,2,0),"")</f>
        <v/>
      </c>
      <c r="E1450" s="8" t="inlineStr">
        <is>
          <t>D836</t>
        </is>
      </c>
      <c r="F1450" s="8" t="inlineStr">
        <is>
          <t>66898281</t>
        </is>
      </c>
      <c r="G1450" s="8">
        <f>IFERROR(VLOOKUP(A1450,Flete!$A:$E,5,0),"")</f>
        <v/>
      </c>
      <c r="H1450" s="7">
        <f>IFERROR(VLOOKUP(F1450,TRAOPE!$AA:$AB,2,0),"")</f>
        <v/>
      </c>
      <c r="I1450" s="7" t="n">
        <v>10184142</v>
      </c>
      <c r="J1450" s="7">
        <f>IFERROR(VLOOKUP(I1450,Materiales!$A:$H,8,0),"")</f>
        <v/>
      </c>
      <c r="K1450" s="9">
        <f>IFERROR(VLOOKUP(I1450,Materiales!$A:$G,7,0),"")</f>
        <v/>
      </c>
      <c r="L1450" s="8" t="inlineStr">
        <is>
          <t>20190426</t>
        </is>
      </c>
      <c r="M1450" s="8" t="inlineStr">
        <is>
          <t>20250127</t>
        </is>
      </c>
      <c r="N1450" s="10" t="n">
        <v>147.5</v>
      </c>
      <c r="O1450" s="10">
        <f>IFERROR(VLOOKUP(A1450,Flete!$A:$J,10,0),"")</f>
        <v/>
      </c>
      <c r="P1450" s="8" t="inlineStr">
        <is>
          <t>M3</t>
        </is>
      </c>
      <c r="Q1450" s="10">
        <f>IFERROR(IFERROR(VLOOKUP(A1450,TRAOPE!$A:$U,21,0),VLOOKUP(B1450,TRAOPE!$A:$U,21,0)),"")</f>
        <v/>
      </c>
      <c r="R1450" s="8">
        <f>IFERROR(IFERROR(VLOOKUP(A1450,TRAOPE!$A:$W,23,0),VLOOKUP(B1450,TRAOPE!$A:$W,23,0)),"")</f>
        <v/>
      </c>
      <c r="S1450" s="10">
        <f>IF(AND(P1450="TN",R1450="TN"),N1450+N(O1450),IF(G1450&amp;""="1",N(K1450)*N1450,(N1450+N(O1450))*N(K1450)))</f>
        <v/>
      </c>
      <c r="T1450" s="10">
        <f>IF(Q1450="","",Q1450-S1450)</f>
        <v/>
      </c>
    </row>
    <row r="1451">
      <c r="A1451" s="7">
        <f>CONCATENATE(C1451,E1451,F1451,I1451)</f>
        <v/>
      </c>
      <c r="B1451" s="7">
        <f>CONCATENATE(C1451,E1451,I1451)</f>
        <v/>
      </c>
      <c r="C1451" s="8" t="n">
        <v>900004077</v>
      </c>
      <c r="D1451" s="7">
        <f>IFERROR(VLOOKUP(C1451,TRAOPE!$G:$H,2,0),"")</f>
        <v/>
      </c>
      <c r="E1451" s="8" t="inlineStr">
        <is>
          <t>D836</t>
        </is>
      </c>
      <c r="F1451" s="8" t="inlineStr">
        <is>
          <t>66898281</t>
        </is>
      </c>
      <c r="G1451" s="8">
        <f>IFERROR(VLOOKUP(A1451,Flete!$A:$E,5,0),"")</f>
        <v/>
      </c>
      <c r="H1451" s="7">
        <f>IFERROR(VLOOKUP(F1451,TRAOPE!$AA:$AB,2,0),"")</f>
        <v/>
      </c>
      <c r="I1451" s="7" t="n">
        <v>10192944</v>
      </c>
      <c r="J1451" s="7">
        <f>IFERROR(VLOOKUP(I1451,Materiales!$A:$H,8,0),"")</f>
        <v/>
      </c>
      <c r="K1451" s="9">
        <f>IFERROR(VLOOKUP(I1451,Materiales!$A:$G,7,0),"")</f>
        <v/>
      </c>
      <c r="L1451" s="8" t="inlineStr">
        <is>
          <t>20190426</t>
        </is>
      </c>
      <c r="M1451" s="8" t="inlineStr">
        <is>
          <t>20250127</t>
        </is>
      </c>
      <c r="N1451" s="10" t="n">
        <v>147.5</v>
      </c>
      <c r="O1451" s="10">
        <f>IFERROR(VLOOKUP(A1451,Flete!$A:$J,10,0),"")</f>
        <v/>
      </c>
      <c r="P1451" s="8" t="inlineStr">
        <is>
          <t>M3</t>
        </is>
      </c>
      <c r="Q1451" s="10">
        <f>IFERROR(IFERROR(VLOOKUP(A1451,TRAOPE!$A:$U,21,0),VLOOKUP(B1451,TRAOPE!$A:$U,21,0)),"")</f>
        <v/>
      </c>
      <c r="R1451" s="8">
        <f>IFERROR(IFERROR(VLOOKUP(A1451,TRAOPE!$A:$W,23,0),VLOOKUP(B1451,TRAOPE!$A:$W,23,0)),"")</f>
        <v/>
      </c>
      <c r="S1451" s="10">
        <f>IF(AND(P1451="TN",R1451="TN"),N1451+N(O1451),IF(G1451&amp;""="1",N(K1451)*N1451,(N1451+N(O1451))*N(K1451)))</f>
        <v/>
      </c>
      <c r="T1451" s="10">
        <f>IF(Q1451="","",Q1451-S1451)</f>
        <v/>
      </c>
    </row>
    <row r="1452">
      <c r="A1452" s="7">
        <f>CONCATENATE(C1452,E1452,F1452,I1452)</f>
        <v/>
      </c>
      <c r="B1452" s="7">
        <f>CONCATENATE(C1452,E1452,I1452)</f>
        <v/>
      </c>
      <c r="C1452" s="8" t="n">
        <v>900004077</v>
      </c>
      <c r="D1452" s="7">
        <f>IFERROR(VLOOKUP(C1452,TRAOPE!$G:$H,2,0),"")</f>
        <v/>
      </c>
      <c r="E1452" s="8" t="inlineStr">
        <is>
          <t>D836</t>
        </is>
      </c>
      <c r="F1452" s="8" t="inlineStr">
        <is>
          <t>66928379</t>
        </is>
      </c>
      <c r="G1452" s="8">
        <f>IFERROR(VLOOKUP(A1452,Flete!$A:$E,5,0),"")</f>
        <v/>
      </c>
      <c r="H1452" s="7">
        <f>IFERROR(VLOOKUP(F1452,TRAOPE!$AA:$AB,2,0),"")</f>
        <v/>
      </c>
      <c r="I1452" s="7" t="n">
        <v>10000357</v>
      </c>
      <c r="J1452" s="7">
        <f>IFERROR(VLOOKUP(I1452,Materiales!$A:$H,8,0),"")</f>
        <v/>
      </c>
      <c r="K1452" s="9">
        <f>IFERROR(VLOOKUP(I1452,Materiales!$A:$G,7,0),"")</f>
        <v/>
      </c>
      <c r="L1452" s="8" t="inlineStr">
        <is>
          <t>20190426</t>
        </is>
      </c>
      <c r="M1452" s="8" t="inlineStr">
        <is>
          <t>20250127</t>
        </is>
      </c>
      <c r="N1452" s="10" t="n">
        <v>84</v>
      </c>
      <c r="O1452" s="10">
        <f>IFERROR(VLOOKUP(A1452,Flete!$A:$J,10,0),"")</f>
        <v/>
      </c>
      <c r="P1452" s="8" t="inlineStr">
        <is>
          <t>TN</t>
        </is>
      </c>
      <c r="Q1452" s="10">
        <f>IFERROR(IFERROR(VLOOKUP(A1452,TRAOPE!$A:$U,21,0),VLOOKUP(B1452,TRAOPE!$A:$U,21,0)),"")</f>
        <v/>
      </c>
      <c r="R1452" s="8">
        <f>IFERROR(IFERROR(VLOOKUP(A1452,TRAOPE!$A:$W,23,0),VLOOKUP(B1452,TRAOPE!$A:$W,23,0)),"")</f>
        <v/>
      </c>
      <c r="S1452" s="10">
        <f>IF(AND(P1452="TN",R1452="TN"),N1452+N(O1452),IF(G1452&amp;""="1",N(K1452)*N1452,(N1452+N(O1452))*N(K1452)))</f>
        <v/>
      </c>
      <c r="T1452" s="10">
        <f>IF(Q1452="","",Q1452-S1452)</f>
        <v/>
      </c>
    </row>
    <row r="1453">
      <c r="A1453" s="7">
        <f>CONCATENATE(C1453,E1453,F1453,I1453)</f>
        <v/>
      </c>
      <c r="B1453" s="7">
        <f>CONCATENATE(C1453,E1453,I1453)</f>
        <v/>
      </c>
      <c r="C1453" s="8" t="n">
        <v>900004077</v>
      </c>
      <c r="D1453" s="7">
        <f>IFERROR(VLOOKUP(C1453,TRAOPE!$G:$H,2,0),"")</f>
        <v/>
      </c>
      <c r="E1453" s="8" t="inlineStr">
        <is>
          <t>D836</t>
        </is>
      </c>
      <c r="F1453" s="8" t="inlineStr">
        <is>
          <t>66928379</t>
        </is>
      </c>
      <c r="G1453" s="8">
        <f>IFERROR(VLOOKUP(A1453,Flete!$A:$E,5,0),"")</f>
        <v/>
      </c>
      <c r="H1453" s="7">
        <f>IFERROR(VLOOKUP(F1453,TRAOPE!$AA:$AB,2,0),"")</f>
        <v/>
      </c>
      <c r="I1453" s="7" t="n">
        <v>10000623</v>
      </c>
      <c r="J1453" s="7">
        <f>IFERROR(VLOOKUP(I1453,Materiales!$A:$H,8,0),"")</f>
        <v/>
      </c>
      <c r="K1453" s="9">
        <f>IFERROR(VLOOKUP(I1453,Materiales!$A:$G,7,0),"")</f>
        <v/>
      </c>
      <c r="L1453" s="8" t="inlineStr">
        <is>
          <t>20190426</t>
        </is>
      </c>
      <c r="M1453" s="8" t="inlineStr">
        <is>
          <t>20250127</t>
        </is>
      </c>
      <c r="N1453" s="10" t="n">
        <v>118</v>
      </c>
      <c r="O1453" s="10">
        <f>IFERROR(VLOOKUP(A1453,Flete!$A:$J,10,0),"")</f>
        <v/>
      </c>
      <c r="P1453" s="8" t="inlineStr">
        <is>
          <t>TN</t>
        </is>
      </c>
      <c r="Q1453" s="10">
        <f>IFERROR(IFERROR(VLOOKUP(A1453,TRAOPE!$A:$U,21,0),VLOOKUP(B1453,TRAOPE!$A:$U,21,0)),"")</f>
        <v/>
      </c>
      <c r="R1453" s="8">
        <f>IFERROR(IFERROR(VLOOKUP(A1453,TRAOPE!$A:$W,23,0),VLOOKUP(B1453,TRAOPE!$A:$W,23,0)),"")</f>
        <v/>
      </c>
      <c r="S1453" s="10">
        <f>IF(AND(P1453="TN",R1453="TN"),N1453+N(O1453),IF(G1453&amp;""="1",N(K1453)*N1453,(N1453+N(O1453))*N(K1453)))</f>
        <v/>
      </c>
      <c r="T1453" s="10">
        <f>IF(Q1453="","",Q1453-S1453)</f>
        <v/>
      </c>
    </row>
    <row r="1454">
      <c r="A1454" s="7">
        <f>CONCATENATE(C1454,E1454,F1454,I1454)</f>
        <v/>
      </c>
      <c r="B1454" s="7">
        <f>CONCATENATE(C1454,E1454,I1454)</f>
        <v/>
      </c>
      <c r="C1454" s="8" t="n">
        <v>900004077</v>
      </c>
      <c r="D1454" s="7">
        <f>IFERROR(VLOOKUP(C1454,TRAOPE!$G:$H,2,0),"")</f>
        <v/>
      </c>
      <c r="E1454" s="8" t="inlineStr">
        <is>
          <t>D836</t>
        </is>
      </c>
      <c r="F1454" s="8" t="inlineStr">
        <is>
          <t>66928379</t>
        </is>
      </c>
      <c r="G1454" s="8">
        <f>IFERROR(VLOOKUP(A1454,Flete!$A:$E,5,0),"")</f>
        <v/>
      </c>
      <c r="H1454" s="7">
        <f>IFERROR(VLOOKUP(F1454,TRAOPE!$AA:$AB,2,0),"")</f>
        <v/>
      </c>
      <c r="I1454" s="7" t="n">
        <v>10000627</v>
      </c>
      <c r="J1454" s="7">
        <f>IFERROR(VLOOKUP(I1454,Materiales!$A:$H,8,0),"")</f>
        <v/>
      </c>
      <c r="K1454" s="9">
        <f>IFERROR(VLOOKUP(I1454,Materiales!$A:$G,7,0),"")</f>
        <v/>
      </c>
      <c r="L1454" s="8" t="inlineStr">
        <is>
          <t>20190426</t>
        </is>
      </c>
      <c r="M1454" s="8" t="inlineStr">
        <is>
          <t>20250127</t>
        </is>
      </c>
      <c r="N1454" s="10" t="n">
        <v>110</v>
      </c>
      <c r="O1454" s="10">
        <f>IFERROR(VLOOKUP(A1454,Flete!$A:$J,10,0),"")</f>
        <v/>
      </c>
      <c r="P1454" s="8" t="inlineStr">
        <is>
          <t>M3</t>
        </is>
      </c>
      <c r="Q1454" s="10">
        <f>IFERROR(IFERROR(VLOOKUP(A1454,TRAOPE!$A:$U,21,0),VLOOKUP(B1454,TRAOPE!$A:$U,21,0)),"")</f>
        <v/>
      </c>
      <c r="R1454" s="8">
        <f>IFERROR(IFERROR(VLOOKUP(A1454,TRAOPE!$A:$W,23,0),VLOOKUP(B1454,TRAOPE!$A:$W,23,0)),"")</f>
        <v/>
      </c>
      <c r="S1454" s="10">
        <f>IF(AND(P1454="TN",R1454="TN"),N1454+N(O1454),IF(G1454&amp;""="1",N(K1454)*N1454,(N1454+N(O1454))*N(K1454)))</f>
        <v/>
      </c>
      <c r="T1454" s="10">
        <f>IF(Q1454="","",Q1454-S1454)</f>
        <v/>
      </c>
    </row>
    <row r="1455">
      <c r="A1455" s="7">
        <f>CONCATENATE(C1455,E1455,F1455,I1455)</f>
        <v/>
      </c>
      <c r="B1455" s="7">
        <f>CONCATENATE(C1455,E1455,I1455)</f>
        <v/>
      </c>
      <c r="C1455" s="8" t="n">
        <v>900004077</v>
      </c>
      <c r="D1455" s="7">
        <f>IFERROR(VLOOKUP(C1455,TRAOPE!$G:$H,2,0),"")</f>
        <v/>
      </c>
      <c r="E1455" s="8" t="inlineStr">
        <is>
          <t>D836</t>
        </is>
      </c>
      <c r="F1455" s="8" t="inlineStr">
        <is>
          <t>66928379</t>
        </is>
      </c>
      <c r="G1455" s="8">
        <f>IFERROR(VLOOKUP(A1455,Flete!$A:$E,5,0),"")</f>
        <v/>
      </c>
      <c r="H1455" s="7">
        <f>IFERROR(VLOOKUP(F1455,TRAOPE!$AA:$AB,2,0),"")</f>
        <v/>
      </c>
      <c r="I1455" s="7" t="n">
        <v>10184010</v>
      </c>
      <c r="J1455" s="7">
        <f>IFERROR(VLOOKUP(I1455,Materiales!$A:$H,8,0),"")</f>
        <v/>
      </c>
      <c r="K1455" s="9">
        <f>IFERROR(VLOOKUP(I1455,Materiales!$A:$G,7,0),"")</f>
        <v/>
      </c>
      <c r="L1455" s="8" t="inlineStr">
        <is>
          <t>20190426</t>
        </is>
      </c>
      <c r="M1455" s="8" t="inlineStr">
        <is>
          <t>20250127</t>
        </is>
      </c>
      <c r="N1455" s="10" t="n">
        <v>118</v>
      </c>
      <c r="O1455" s="10">
        <f>IFERROR(VLOOKUP(A1455,Flete!$A:$J,10,0),"")</f>
        <v/>
      </c>
      <c r="P1455" s="8" t="inlineStr">
        <is>
          <t>TN</t>
        </is>
      </c>
      <c r="Q1455" s="10">
        <f>IFERROR(IFERROR(VLOOKUP(A1455,TRAOPE!$A:$U,21,0),VLOOKUP(B1455,TRAOPE!$A:$U,21,0)),"")</f>
        <v/>
      </c>
      <c r="R1455" s="8">
        <f>IFERROR(IFERROR(VLOOKUP(A1455,TRAOPE!$A:$W,23,0),VLOOKUP(B1455,TRAOPE!$A:$W,23,0)),"")</f>
        <v/>
      </c>
      <c r="S1455" s="10">
        <f>IF(AND(P1455="TN",R1455="TN"),N1455+N(O1455),IF(G1455&amp;""="1",N(K1455)*N1455,(N1455+N(O1455))*N(K1455)))</f>
        <v/>
      </c>
      <c r="T1455" s="10">
        <f>IF(Q1455="","",Q1455-S1455)</f>
        <v/>
      </c>
    </row>
    <row r="1456">
      <c r="A1456" s="7">
        <f>CONCATENATE(C1456,E1456,F1456,I1456)</f>
        <v/>
      </c>
      <c r="B1456" s="7">
        <f>CONCATENATE(C1456,E1456,I1456)</f>
        <v/>
      </c>
      <c r="C1456" s="8" t="n">
        <v>900004077</v>
      </c>
      <c r="D1456" s="7">
        <f>IFERROR(VLOOKUP(C1456,TRAOPE!$G:$H,2,0),"")</f>
        <v/>
      </c>
      <c r="E1456" s="8" t="inlineStr">
        <is>
          <t>D836</t>
        </is>
      </c>
      <c r="F1456" s="8" t="inlineStr">
        <is>
          <t>66928379</t>
        </is>
      </c>
      <c r="G1456" s="8">
        <f>IFERROR(VLOOKUP(A1456,Flete!$A:$E,5,0),"")</f>
        <v/>
      </c>
      <c r="H1456" s="7">
        <f>IFERROR(VLOOKUP(F1456,TRAOPE!$AA:$AB,2,0),"")</f>
        <v/>
      </c>
      <c r="I1456" s="7" t="n">
        <v>10184011</v>
      </c>
      <c r="J1456" s="7">
        <f>IFERROR(VLOOKUP(I1456,Materiales!$A:$H,8,0),"")</f>
        <v/>
      </c>
      <c r="K1456" s="9">
        <f>IFERROR(VLOOKUP(I1456,Materiales!$A:$G,7,0),"")</f>
        <v/>
      </c>
      <c r="L1456" s="8" t="inlineStr">
        <is>
          <t>20190426</t>
        </is>
      </c>
      <c r="M1456" s="8" t="inlineStr">
        <is>
          <t>20250127</t>
        </is>
      </c>
      <c r="N1456" s="10" t="n">
        <v>118</v>
      </c>
      <c r="O1456" s="10">
        <f>IFERROR(VLOOKUP(A1456,Flete!$A:$J,10,0),"")</f>
        <v/>
      </c>
      <c r="P1456" s="8" t="inlineStr">
        <is>
          <t>TN</t>
        </is>
      </c>
      <c r="Q1456" s="10">
        <f>IFERROR(IFERROR(VLOOKUP(A1456,TRAOPE!$A:$U,21,0),VLOOKUP(B1456,TRAOPE!$A:$U,21,0)),"")</f>
        <v/>
      </c>
      <c r="R1456" s="8">
        <f>IFERROR(IFERROR(VLOOKUP(A1456,TRAOPE!$A:$W,23,0),VLOOKUP(B1456,TRAOPE!$A:$W,23,0)),"")</f>
        <v/>
      </c>
      <c r="S1456" s="10">
        <f>IF(AND(P1456="TN",R1456="TN"),N1456+N(O1456),IF(G1456&amp;""="1",N(K1456)*N1456,(N1456+N(O1456))*N(K1456)))</f>
        <v/>
      </c>
      <c r="T1456" s="10">
        <f>IF(Q1456="","",Q1456-S1456)</f>
        <v/>
      </c>
    </row>
    <row r="1457">
      <c r="A1457" s="7">
        <f>CONCATENATE(C1457,E1457,F1457,I1457)</f>
        <v/>
      </c>
      <c r="B1457" s="7">
        <f>CONCATENATE(C1457,E1457,I1457)</f>
        <v/>
      </c>
      <c r="C1457" s="8" t="n">
        <v>900004077</v>
      </c>
      <c r="D1457" s="7">
        <f>IFERROR(VLOOKUP(C1457,TRAOPE!$G:$H,2,0),"")</f>
        <v/>
      </c>
      <c r="E1457" s="8" t="inlineStr">
        <is>
          <t>D836</t>
        </is>
      </c>
      <c r="F1457" s="8" t="inlineStr">
        <is>
          <t>66928379</t>
        </is>
      </c>
      <c r="G1457" s="8">
        <f>IFERROR(VLOOKUP(A1457,Flete!$A:$E,5,0),"")</f>
        <v/>
      </c>
      <c r="H1457" s="7">
        <f>IFERROR(VLOOKUP(F1457,TRAOPE!$AA:$AB,2,0),"")</f>
        <v/>
      </c>
      <c r="I1457" s="7" t="n">
        <v>10184142</v>
      </c>
      <c r="J1457" s="7">
        <f>IFERROR(VLOOKUP(I1457,Materiales!$A:$H,8,0),"")</f>
        <v/>
      </c>
      <c r="K1457" s="9">
        <f>IFERROR(VLOOKUP(I1457,Materiales!$A:$G,7,0),"")</f>
        <v/>
      </c>
      <c r="L1457" s="8" t="inlineStr">
        <is>
          <t>20190426</t>
        </is>
      </c>
      <c r="M1457" s="8" t="inlineStr">
        <is>
          <t>20250127</t>
        </is>
      </c>
      <c r="N1457" s="10" t="n">
        <v>118</v>
      </c>
      <c r="O1457" s="10">
        <f>IFERROR(VLOOKUP(A1457,Flete!$A:$J,10,0),"")</f>
        <v/>
      </c>
      <c r="P1457" s="8" t="inlineStr">
        <is>
          <t>TN</t>
        </is>
      </c>
      <c r="Q1457" s="10">
        <f>IFERROR(IFERROR(VLOOKUP(A1457,TRAOPE!$A:$U,21,0),VLOOKUP(B1457,TRAOPE!$A:$U,21,0)),"")</f>
        <v/>
      </c>
      <c r="R1457" s="8">
        <f>IFERROR(IFERROR(VLOOKUP(A1457,TRAOPE!$A:$W,23,0),VLOOKUP(B1457,TRAOPE!$A:$W,23,0)),"")</f>
        <v/>
      </c>
      <c r="S1457" s="10">
        <f>IF(AND(P1457="TN",R1457="TN"),N1457+N(O1457),IF(G1457&amp;""="1",N(K1457)*N1457,(N1457+N(O1457))*N(K1457)))</f>
        <v/>
      </c>
      <c r="T1457" s="10">
        <f>IF(Q1457="","",Q1457-S1457)</f>
        <v/>
      </c>
    </row>
    <row r="1458">
      <c r="A1458" s="7">
        <f>CONCATENATE(C1458,E1458,F1458,I1458)</f>
        <v/>
      </c>
      <c r="B1458" s="7">
        <f>CONCATENATE(C1458,E1458,I1458)</f>
        <v/>
      </c>
      <c r="C1458" s="8" t="n">
        <v>900004077</v>
      </c>
      <c r="D1458" s="7">
        <f>IFERROR(VLOOKUP(C1458,TRAOPE!$G:$H,2,0),"")</f>
        <v/>
      </c>
      <c r="E1458" s="8" t="inlineStr">
        <is>
          <t>D836</t>
        </is>
      </c>
      <c r="F1458" s="8" t="inlineStr">
        <is>
          <t>66928379</t>
        </is>
      </c>
      <c r="G1458" s="8">
        <f>IFERROR(VLOOKUP(A1458,Flete!$A:$E,5,0),"")</f>
        <v/>
      </c>
      <c r="H1458" s="7">
        <f>IFERROR(VLOOKUP(F1458,TRAOPE!$AA:$AB,2,0),"")</f>
        <v/>
      </c>
      <c r="I1458" s="7" t="n">
        <v>10192909</v>
      </c>
      <c r="J1458" s="7">
        <f>IFERROR(VLOOKUP(I1458,Materiales!$A:$H,8,0),"")</f>
        <v/>
      </c>
      <c r="K1458" s="9">
        <f>IFERROR(VLOOKUP(I1458,Materiales!$A:$G,7,0),"")</f>
        <v/>
      </c>
      <c r="L1458" s="8" t="inlineStr">
        <is>
          <t>20190426</t>
        </is>
      </c>
      <c r="M1458" s="8" t="inlineStr">
        <is>
          <t>20250127</t>
        </is>
      </c>
      <c r="N1458" s="10" t="n">
        <v>110</v>
      </c>
      <c r="O1458" s="10">
        <f>IFERROR(VLOOKUP(A1458,Flete!$A:$J,10,0),"")</f>
        <v/>
      </c>
      <c r="P1458" s="8" t="inlineStr">
        <is>
          <t>M3</t>
        </is>
      </c>
      <c r="Q1458" s="10">
        <f>IFERROR(IFERROR(VLOOKUP(A1458,TRAOPE!$A:$U,21,0),VLOOKUP(B1458,TRAOPE!$A:$U,21,0)),"")</f>
        <v/>
      </c>
      <c r="R1458" s="8">
        <f>IFERROR(IFERROR(VLOOKUP(A1458,TRAOPE!$A:$W,23,0),VLOOKUP(B1458,TRAOPE!$A:$W,23,0)),"")</f>
        <v/>
      </c>
      <c r="S1458" s="10">
        <f>IF(AND(P1458="TN",R1458="TN"),N1458+N(O1458),IF(G1458&amp;""="1",N(K1458)*N1458,(N1458+N(O1458))*N(K1458)))</f>
        <v/>
      </c>
      <c r="T1458" s="10">
        <f>IF(Q1458="","",Q1458-S1458)</f>
        <v/>
      </c>
    </row>
    <row r="1459">
      <c r="A1459" s="7">
        <f>CONCATENATE(C1459,E1459,F1459,I1459)</f>
        <v/>
      </c>
      <c r="B1459" s="7">
        <f>CONCATENATE(C1459,E1459,I1459)</f>
        <v/>
      </c>
      <c r="C1459" s="8" t="n">
        <v>900004077</v>
      </c>
      <c r="D1459" s="7">
        <f>IFERROR(VLOOKUP(C1459,TRAOPE!$G:$H,2,0),"")</f>
        <v/>
      </c>
      <c r="E1459" s="8" t="inlineStr">
        <is>
          <t>D836</t>
        </is>
      </c>
      <c r="F1459" s="8" t="inlineStr">
        <is>
          <t>66928379</t>
        </is>
      </c>
      <c r="G1459" s="8">
        <f>IFERROR(VLOOKUP(A1459,Flete!$A:$E,5,0),"")</f>
        <v/>
      </c>
      <c r="H1459" s="7">
        <f>IFERROR(VLOOKUP(F1459,TRAOPE!$AA:$AB,2,0),"")</f>
        <v/>
      </c>
      <c r="I1459" s="7" t="n">
        <v>10192940</v>
      </c>
      <c r="J1459" s="7">
        <f>IFERROR(VLOOKUP(I1459,Materiales!$A:$H,8,0),"")</f>
        <v/>
      </c>
      <c r="K1459" s="9">
        <f>IFERROR(VLOOKUP(I1459,Materiales!$A:$G,7,0),"")</f>
        <v/>
      </c>
      <c r="L1459" s="8" t="inlineStr">
        <is>
          <t>20190426</t>
        </is>
      </c>
      <c r="M1459" s="8" t="inlineStr">
        <is>
          <t>20250127</t>
        </is>
      </c>
      <c r="N1459" s="10" t="n">
        <v>84</v>
      </c>
      <c r="O1459" s="10">
        <f>IFERROR(VLOOKUP(A1459,Flete!$A:$J,10,0),"")</f>
        <v/>
      </c>
      <c r="P1459" s="8" t="inlineStr">
        <is>
          <t>TN</t>
        </is>
      </c>
      <c r="Q1459" s="10">
        <f>IFERROR(IFERROR(VLOOKUP(A1459,TRAOPE!$A:$U,21,0),VLOOKUP(B1459,TRAOPE!$A:$U,21,0)),"")</f>
        <v/>
      </c>
      <c r="R1459" s="8">
        <f>IFERROR(IFERROR(VLOOKUP(A1459,TRAOPE!$A:$W,23,0),VLOOKUP(B1459,TRAOPE!$A:$W,23,0)),"")</f>
        <v/>
      </c>
      <c r="S1459" s="10">
        <f>IF(AND(P1459="TN",R1459="TN"),N1459+N(O1459),IF(G1459&amp;""="1",N(K1459)*N1459,(N1459+N(O1459))*N(K1459)))</f>
        <v/>
      </c>
      <c r="T1459" s="10">
        <f>IF(Q1459="","",Q1459-S1459)</f>
        <v/>
      </c>
    </row>
    <row r="1460">
      <c r="A1460" s="7">
        <f>CONCATENATE(C1460,E1460,F1460,I1460)</f>
        <v/>
      </c>
      <c r="B1460" s="7">
        <f>CONCATENATE(C1460,E1460,I1460)</f>
        <v/>
      </c>
      <c r="C1460" s="8" t="n">
        <v>900004077</v>
      </c>
      <c r="D1460" s="7">
        <f>IFERROR(VLOOKUP(C1460,TRAOPE!$G:$H,2,0),"")</f>
        <v/>
      </c>
      <c r="E1460" s="8" t="inlineStr">
        <is>
          <t>D836</t>
        </is>
      </c>
      <c r="F1460" s="8" t="inlineStr">
        <is>
          <t>66928379</t>
        </is>
      </c>
      <c r="G1460" s="8">
        <f>IFERROR(VLOOKUP(A1460,Flete!$A:$E,5,0),"")</f>
        <v/>
      </c>
      <c r="H1460" s="7">
        <f>IFERROR(VLOOKUP(F1460,TRAOPE!$AA:$AB,2,0),"")</f>
        <v/>
      </c>
      <c r="I1460" s="7" t="n">
        <v>10192941</v>
      </c>
      <c r="J1460" s="7">
        <f>IFERROR(VLOOKUP(I1460,Materiales!$A:$H,8,0),"")</f>
        <v/>
      </c>
      <c r="K1460" s="9">
        <f>IFERROR(VLOOKUP(I1460,Materiales!$A:$G,7,0),"")</f>
        <v/>
      </c>
      <c r="L1460" s="8" t="inlineStr">
        <is>
          <t>20190426</t>
        </is>
      </c>
      <c r="M1460" s="8" t="inlineStr">
        <is>
          <t>20250127</t>
        </is>
      </c>
      <c r="N1460" s="10" t="n">
        <v>118</v>
      </c>
      <c r="O1460" s="10">
        <f>IFERROR(VLOOKUP(A1460,Flete!$A:$J,10,0),"")</f>
        <v/>
      </c>
      <c r="P1460" s="8" t="inlineStr">
        <is>
          <t>TN</t>
        </is>
      </c>
      <c r="Q1460" s="10">
        <f>IFERROR(IFERROR(VLOOKUP(A1460,TRAOPE!$A:$U,21,0),VLOOKUP(B1460,TRAOPE!$A:$U,21,0)),"")</f>
        <v/>
      </c>
      <c r="R1460" s="8">
        <f>IFERROR(IFERROR(VLOOKUP(A1460,TRAOPE!$A:$W,23,0),VLOOKUP(B1460,TRAOPE!$A:$W,23,0)),"")</f>
        <v/>
      </c>
      <c r="S1460" s="10">
        <f>IF(AND(P1460="TN",R1460="TN"),N1460+N(O1460),IF(G1460&amp;""="1",N(K1460)*N1460,(N1460+N(O1460))*N(K1460)))</f>
        <v/>
      </c>
      <c r="T1460" s="10">
        <f>IF(Q1460="","",Q1460-S1460)</f>
        <v/>
      </c>
    </row>
    <row r="1461">
      <c r="A1461" s="7">
        <f>CONCATENATE(C1461,E1461,F1461,I1461)</f>
        <v/>
      </c>
      <c r="B1461" s="7">
        <f>CONCATENATE(C1461,E1461,I1461)</f>
        <v/>
      </c>
      <c r="C1461" s="8" t="n">
        <v>900004077</v>
      </c>
      <c r="D1461" s="7">
        <f>IFERROR(VLOOKUP(C1461,TRAOPE!$G:$H,2,0),"")</f>
        <v/>
      </c>
      <c r="E1461" s="8" t="inlineStr">
        <is>
          <t>D836</t>
        </is>
      </c>
      <c r="F1461" s="8" t="inlineStr">
        <is>
          <t>66928379</t>
        </is>
      </c>
      <c r="G1461" s="8">
        <f>IFERROR(VLOOKUP(A1461,Flete!$A:$E,5,0),"")</f>
        <v/>
      </c>
      <c r="H1461" s="7">
        <f>IFERROR(VLOOKUP(F1461,TRAOPE!$AA:$AB,2,0),"")</f>
        <v/>
      </c>
      <c r="I1461" s="7" t="n">
        <v>10192942</v>
      </c>
      <c r="J1461" s="7">
        <f>IFERROR(VLOOKUP(I1461,Materiales!$A:$H,8,0),"")</f>
        <v/>
      </c>
      <c r="K1461" s="9">
        <f>IFERROR(VLOOKUP(I1461,Materiales!$A:$G,7,0),"")</f>
        <v/>
      </c>
      <c r="L1461" s="8" t="inlineStr">
        <is>
          <t>20190426</t>
        </is>
      </c>
      <c r="M1461" s="8" t="inlineStr">
        <is>
          <t>20250127</t>
        </is>
      </c>
      <c r="N1461" s="10" t="n">
        <v>129</v>
      </c>
      <c r="O1461" s="10">
        <f>IFERROR(VLOOKUP(A1461,Flete!$A:$J,10,0),"")</f>
        <v/>
      </c>
      <c r="P1461" s="8" t="inlineStr">
        <is>
          <t>M3</t>
        </is>
      </c>
      <c r="Q1461" s="10">
        <f>IFERROR(IFERROR(VLOOKUP(A1461,TRAOPE!$A:$U,21,0),VLOOKUP(B1461,TRAOPE!$A:$U,21,0)),"")</f>
        <v/>
      </c>
      <c r="R1461" s="8">
        <f>IFERROR(IFERROR(VLOOKUP(A1461,TRAOPE!$A:$W,23,0),VLOOKUP(B1461,TRAOPE!$A:$W,23,0)),"")</f>
        <v/>
      </c>
      <c r="S1461" s="10">
        <f>IF(AND(P1461="TN",R1461="TN"),N1461+N(O1461),IF(G1461&amp;""="1",N(K1461)*N1461,(N1461+N(O1461))*N(K1461)))</f>
        <v/>
      </c>
      <c r="T1461" s="10">
        <f>IF(Q1461="","",Q1461-S1461)</f>
        <v/>
      </c>
    </row>
    <row r="1462">
      <c r="A1462" s="7">
        <f>CONCATENATE(C1462,E1462,F1462,I1462)</f>
        <v/>
      </c>
      <c r="B1462" s="7">
        <f>CONCATENATE(C1462,E1462,I1462)</f>
        <v/>
      </c>
      <c r="C1462" s="8" t="n">
        <v>900004077</v>
      </c>
      <c r="D1462" s="7">
        <f>IFERROR(VLOOKUP(C1462,TRAOPE!$G:$H,2,0),"")</f>
        <v/>
      </c>
      <c r="E1462" s="8" t="inlineStr">
        <is>
          <t>D836</t>
        </is>
      </c>
      <c r="F1462" s="8" t="inlineStr">
        <is>
          <t>66928379</t>
        </is>
      </c>
      <c r="G1462" s="8">
        <f>IFERROR(VLOOKUP(A1462,Flete!$A:$E,5,0),"")</f>
        <v/>
      </c>
      <c r="H1462" s="7">
        <f>IFERROR(VLOOKUP(F1462,TRAOPE!$AA:$AB,2,0),"")</f>
        <v/>
      </c>
      <c r="I1462" s="7" t="n">
        <v>10192943</v>
      </c>
      <c r="J1462" s="7">
        <f>IFERROR(VLOOKUP(I1462,Materiales!$A:$H,8,0),"")</f>
        <v/>
      </c>
      <c r="K1462" s="9">
        <f>IFERROR(VLOOKUP(I1462,Materiales!$A:$G,7,0),"")</f>
        <v/>
      </c>
      <c r="L1462" s="8" t="inlineStr">
        <is>
          <t>20190426</t>
        </is>
      </c>
      <c r="M1462" s="8" t="inlineStr">
        <is>
          <t>20250127</t>
        </is>
      </c>
      <c r="N1462" s="10" t="n">
        <v>118</v>
      </c>
      <c r="O1462" s="10">
        <f>IFERROR(VLOOKUP(A1462,Flete!$A:$J,10,0),"")</f>
        <v/>
      </c>
      <c r="P1462" s="8" t="inlineStr">
        <is>
          <t>TN</t>
        </is>
      </c>
      <c r="Q1462" s="10">
        <f>IFERROR(IFERROR(VLOOKUP(A1462,TRAOPE!$A:$U,21,0),VLOOKUP(B1462,TRAOPE!$A:$U,21,0)),"")</f>
        <v/>
      </c>
      <c r="R1462" s="8">
        <f>IFERROR(IFERROR(VLOOKUP(A1462,TRAOPE!$A:$W,23,0),VLOOKUP(B1462,TRAOPE!$A:$W,23,0)),"")</f>
        <v/>
      </c>
      <c r="S1462" s="10">
        <f>IF(AND(P1462="TN",R1462="TN"),N1462+N(O1462),IF(G1462&amp;""="1",N(K1462)*N1462,(N1462+N(O1462))*N(K1462)))</f>
        <v/>
      </c>
      <c r="T1462" s="10">
        <f>IF(Q1462="","",Q1462-S1462)</f>
        <v/>
      </c>
    </row>
    <row r="1463">
      <c r="A1463" s="7">
        <f>CONCATENATE(C1463,E1463,F1463,I1463)</f>
        <v/>
      </c>
      <c r="B1463" s="7">
        <f>CONCATENATE(C1463,E1463,I1463)</f>
        <v/>
      </c>
      <c r="C1463" s="8" t="n">
        <v>900004077</v>
      </c>
      <c r="D1463" s="7">
        <f>IFERROR(VLOOKUP(C1463,TRAOPE!$G:$H,2,0),"")</f>
        <v/>
      </c>
      <c r="E1463" s="8" t="inlineStr">
        <is>
          <t>D836</t>
        </is>
      </c>
      <c r="F1463" s="8" t="inlineStr">
        <is>
          <t>66928379</t>
        </is>
      </c>
      <c r="G1463" s="8">
        <f>IFERROR(VLOOKUP(A1463,Flete!$A:$E,5,0),"")</f>
        <v/>
      </c>
      <c r="H1463" s="7">
        <f>IFERROR(VLOOKUP(F1463,TRAOPE!$AA:$AB,2,0),"")</f>
        <v/>
      </c>
      <c r="I1463" s="7" t="n">
        <v>10192944</v>
      </c>
      <c r="J1463" s="7">
        <f>IFERROR(VLOOKUP(I1463,Materiales!$A:$H,8,0),"")</f>
        <v/>
      </c>
      <c r="K1463" s="9">
        <f>IFERROR(VLOOKUP(I1463,Materiales!$A:$G,7,0),"")</f>
        <v/>
      </c>
      <c r="L1463" s="8" t="inlineStr">
        <is>
          <t>20190426</t>
        </is>
      </c>
      <c r="M1463" s="8" t="inlineStr">
        <is>
          <t>20250127</t>
        </is>
      </c>
      <c r="N1463" s="10" t="n">
        <v>118</v>
      </c>
      <c r="O1463" s="10">
        <f>IFERROR(VLOOKUP(A1463,Flete!$A:$J,10,0),"")</f>
        <v/>
      </c>
      <c r="P1463" s="8" t="inlineStr">
        <is>
          <t>TN</t>
        </is>
      </c>
      <c r="Q1463" s="10">
        <f>IFERROR(IFERROR(VLOOKUP(A1463,TRAOPE!$A:$U,21,0),VLOOKUP(B1463,TRAOPE!$A:$U,21,0)),"")</f>
        <v/>
      </c>
      <c r="R1463" s="8">
        <f>IFERROR(IFERROR(VLOOKUP(A1463,TRAOPE!$A:$W,23,0),VLOOKUP(B1463,TRAOPE!$A:$W,23,0)),"")</f>
        <v/>
      </c>
      <c r="S1463" s="10">
        <f>IF(AND(P1463="TN",R1463="TN"),N1463+N(O1463),IF(G1463&amp;""="1",N(K1463)*N1463,(N1463+N(O1463))*N(K1463)))</f>
        <v/>
      </c>
      <c r="T1463" s="10">
        <f>IF(Q1463="","",Q1463-S1463)</f>
        <v/>
      </c>
    </row>
    <row r="1464">
      <c r="A1464" s="7">
        <f>CONCATENATE(C1464,E1464,F1464,I1464)</f>
        <v/>
      </c>
      <c r="B1464" s="7">
        <f>CONCATENATE(C1464,E1464,I1464)</f>
        <v/>
      </c>
      <c r="C1464" s="8" t="n">
        <v>900004077</v>
      </c>
      <c r="D1464" s="7">
        <f>IFERROR(VLOOKUP(C1464,TRAOPE!$G:$H,2,0),"")</f>
        <v/>
      </c>
      <c r="E1464" s="8" t="inlineStr">
        <is>
          <t>D836</t>
        </is>
      </c>
      <c r="F1464" s="8" t="inlineStr">
        <is>
          <t>66928379</t>
        </is>
      </c>
      <c r="G1464" s="8">
        <f>IFERROR(VLOOKUP(A1464,Flete!$A:$E,5,0),"")</f>
        <v/>
      </c>
      <c r="H1464" s="7">
        <f>IFERROR(VLOOKUP(F1464,TRAOPE!$AA:$AB,2,0),"")</f>
        <v/>
      </c>
      <c r="I1464" s="7" t="n">
        <v>10192945</v>
      </c>
      <c r="J1464" s="7">
        <f>IFERROR(VLOOKUP(I1464,Materiales!$A:$H,8,0),"")</f>
        <v/>
      </c>
      <c r="K1464" s="9">
        <f>IFERROR(VLOOKUP(I1464,Materiales!$A:$G,7,0),"")</f>
        <v/>
      </c>
      <c r="L1464" s="8" t="inlineStr">
        <is>
          <t>20190426</t>
        </is>
      </c>
      <c r="M1464" s="8" t="inlineStr">
        <is>
          <t>20250127</t>
        </is>
      </c>
      <c r="N1464" s="10" t="n">
        <v>118</v>
      </c>
      <c r="O1464" s="10">
        <f>IFERROR(VLOOKUP(A1464,Flete!$A:$J,10,0),"")</f>
        <v/>
      </c>
      <c r="P1464" s="8" t="inlineStr">
        <is>
          <t>TN</t>
        </is>
      </c>
      <c r="Q1464" s="10">
        <f>IFERROR(IFERROR(VLOOKUP(A1464,TRAOPE!$A:$U,21,0),VLOOKUP(B1464,TRAOPE!$A:$U,21,0)),"")</f>
        <v/>
      </c>
      <c r="R1464" s="8">
        <f>IFERROR(IFERROR(VLOOKUP(A1464,TRAOPE!$A:$W,23,0),VLOOKUP(B1464,TRAOPE!$A:$W,23,0)),"")</f>
        <v/>
      </c>
      <c r="S1464" s="10">
        <f>IF(AND(P1464="TN",R1464="TN"),N1464+N(O1464),IF(G1464&amp;""="1",N(K1464)*N1464,(N1464+N(O1464))*N(K1464)))</f>
        <v/>
      </c>
      <c r="T1464" s="10">
        <f>IF(Q1464="","",Q1464-S1464)</f>
        <v/>
      </c>
    </row>
    <row r="1465">
      <c r="A1465" s="7">
        <f>CONCATENATE(C1465,E1465,F1465,I1465)</f>
        <v/>
      </c>
      <c r="B1465" s="7">
        <f>CONCATENATE(C1465,E1465,I1465)</f>
        <v/>
      </c>
      <c r="C1465" s="8" t="n">
        <v>900004077</v>
      </c>
      <c r="D1465" s="7">
        <f>IFERROR(VLOOKUP(C1465,TRAOPE!$G:$H,2,0),"")</f>
        <v/>
      </c>
      <c r="E1465" s="8" t="inlineStr">
        <is>
          <t>D836</t>
        </is>
      </c>
      <c r="F1465" s="8" t="inlineStr">
        <is>
          <t>66970684</t>
        </is>
      </c>
      <c r="G1465" s="8">
        <f>IFERROR(VLOOKUP(A1465,Flete!$A:$E,5,0),"")</f>
        <v/>
      </c>
      <c r="H1465" s="7">
        <f>IFERROR(VLOOKUP(F1465,TRAOPE!$AA:$AB,2,0),"")</f>
        <v/>
      </c>
      <c r="I1465" s="7" t="n">
        <v>10215377</v>
      </c>
      <c r="J1465" s="7">
        <f>IFERROR(VLOOKUP(I1465,Materiales!$A:$H,8,0),"")</f>
        <v/>
      </c>
      <c r="K1465" s="9">
        <f>IFERROR(VLOOKUP(I1465,Materiales!$A:$G,7,0),"")</f>
        <v/>
      </c>
      <c r="L1465" s="8" t="inlineStr">
        <is>
          <t>20190426</t>
        </is>
      </c>
      <c r="M1465" s="8" t="inlineStr">
        <is>
          <t>20250127</t>
        </is>
      </c>
      <c r="N1465" s="10" t="n">
        <v>123</v>
      </c>
      <c r="O1465" s="10">
        <f>IFERROR(VLOOKUP(A1465,Flete!$A:$J,10,0),"")</f>
        <v/>
      </c>
      <c r="P1465" s="8" t="inlineStr">
        <is>
          <t>M3</t>
        </is>
      </c>
      <c r="Q1465" s="10">
        <f>IFERROR(IFERROR(VLOOKUP(A1465,TRAOPE!$A:$U,21,0),VLOOKUP(B1465,TRAOPE!$A:$U,21,0)),"")</f>
        <v/>
      </c>
      <c r="R1465" s="8">
        <f>IFERROR(IFERROR(VLOOKUP(A1465,TRAOPE!$A:$W,23,0),VLOOKUP(B1465,TRAOPE!$A:$W,23,0)),"")</f>
        <v/>
      </c>
      <c r="S1465" s="10">
        <f>IF(AND(P1465="TN",R1465="TN"),N1465+N(O1465),IF(G1465&amp;""="1",N(K1465)*N1465,(N1465+N(O1465))*N(K1465)))</f>
        <v/>
      </c>
      <c r="T1465" s="10">
        <f>IF(Q1465="","",Q1465-S1465)</f>
        <v/>
      </c>
    </row>
    <row r="1466">
      <c r="A1466" s="7">
        <f>CONCATENATE(C1466,E1466,F1466,I1466)</f>
        <v/>
      </c>
      <c r="B1466" s="7">
        <f>CONCATENATE(C1466,E1466,I1466)</f>
        <v/>
      </c>
      <c r="C1466" s="8" t="n">
        <v>900004077</v>
      </c>
      <c r="D1466" s="7">
        <f>IFERROR(VLOOKUP(C1466,TRAOPE!$G:$H,2,0),"")</f>
        <v/>
      </c>
      <c r="E1466" s="8" t="inlineStr">
        <is>
          <t>D836</t>
        </is>
      </c>
      <c r="F1466" s="8" t="inlineStr">
        <is>
          <t>67089397</t>
        </is>
      </c>
      <c r="G1466" s="8">
        <f>IFERROR(VLOOKUP(A1466,Flete!$A:$E,5,0),"")</f>
        <v/>
      </c>
      <c r="H1466" s="7">
        <f>IFERROR(VLOOKUP(F1466,TRAOPE!$AA:$AB,2,0),"")</f>
        <v/>
      </c>
      <c r="I1466" s="7" t="n">
        <v>10215377</v>
      </c>
      <c r="J1466" s="7">
        <f>IFERROR(VLOOKUP(I1466,Materiales!$A:$H,8,0),"")</f>
        <v/>
      </c>
      <c r="K1466" s="9">
        <f>IFERROR(VLOOKUP(I1466,Materiales!$A:$G,7,0),"")</f>
        <v/>
      </c>
      <c r="L1466" s="8" t="inlineStr">
        <is>
          <t>20190426</t>
        </is>
      </c>
      <c r="M1466" s="8" t="inlineStr">
        <is>
          <t>20250127</t>
        </is>
      </c>
      <c r="N1466" s="10" t="n">
        <v>130</v>
      </c>
      <c r="O1466" s="10">
        <f>IFERROR(VLOOKUP(A1466,Flete!$A:$J,10,0),"")</f>
        <v/>
      </c>
      <c r="P1466" s="8" t="inlineStr">
        <is>
          <t>M3</t>
        </is>
      </c>
      <c r="Q1466" s="10">
        <f>IFERROR(IFERROR(VLOOKUP(A1466,TRAOPE!$A:$U,21,0),VLOOKUP(B1466,TRAOPE!$A:$U,21,0)),"")</f>
        <v/>
      </c>
      <c r="R1466" s="8">
        <f>IFERROR(IFERROR(VLOOKUP(A1466,TRAOPE!$A:$W,23,0),VLOOKUP(B1466,TRAOPE!$A:$W,23,0)),"")</f>
        <v/>
      </c>
      <c r="S1466" s="10">
        <f>IF(AND(P1466="TN",R1466="TN"),N1466+N(O1466),IF(G1466&amp;""="1",N(K1466)*N1466,(N1466+N(O1466))*N(K1466)))</f>
        <v/>
      </c>
      <c r="T1466" s="10">
        <f>IF(Q1466="","",Q1466-S1466)</f>
        <v/>
      </c>
    </row>
    <row r="1467">
      <c r="A1467" s="7">
        <f>CONCATENATE(C1467,E1467,F1467,I1467)</f>
        <v/>
      </c>
      <c r="B1467" s="7">
        <f>CONCATENATE(C1467,E1467,I1467)</f>
        <v/>
      </c>
      <c r="C1467" s="8" t="n">
        <v>900004323</v>
      </c>
      <c r="D1467" s="7">
        <f>IFERROR(VLOOKUP(C1467,TRAOPE!$G:$H,2,0),"")</f>
        <v/>
      </c>
      <c r="E1467" s="8" t="inlineStr">
        <is>
          <t>D836</t>
        </is>
      </c>
      <c r="F1467" s="8" t="inlineStr">
        <is>
          <t>65002459</t>
        </is>
      </c>
      <c r="G1467" s="8">
        <f>IFERROR(VLOOKUP(A1467,Flete!$A:$E,5,0),"")</f>
        <v/>
      </c>
      <c r="H1467" s="7">
        <f>IFERROR(VLOOKUP(F1467,TRAOPE!$AA:$AB,2,0),"")</f>
        <v/>
      </c>
      <c r="I1467" s="7" t="n">
        <v>10000160</v>
      </c>
      <c r="J1467" s="7">
        <f>IFERROR(VLOOKUP(I1467,Materiales!$A:$H,8,0),"")</f>
        <v/>
      </c>
      <c r="K1467" s="9">
        <f>IFERROR(VLOOKUP(I1467,Materiales!$A:$G,7,0),"")</f>
        <v/>
      </c>
      <c r="L1467" s="8" t="inlineStr">
        <is>
          <t>20190426</t>
        </is>
      </c>
      <c r="M1467" s="8" t="inlineStr">
        <is>
          <t>20250127</t>
        </is>
      </c>
      <c r="N1467" s="10" t="n">
        <v>87</v>
      </c>
      <c r="O1467" s="10">
        <f>IFERROR(VLOOKUP(A1467,Flete!$A:$J,10,0),"")</f>
        <v/>
      </c>
      <c r="P1467" s="8" t="inlineStr">
        <is>
          <t>M3</t>
        </is>
      </c>
      <c r="Q1467" s="10">
        <f>IFERROR(IFERROR(VLOOKUP(A1467,TRAOPE!$A:$U,21,0),VLOOKUP(B1467,TRAOPE!$A:$U,21,0)),"")</f>
        <v/>
      </c>
      <c r="R1467" s="8">
        <f>IFERROR(IFERROR(VLOOKUP(A1467,TRAOPE!$A:$W,23,0),VLOOKUP(B1467,TRAOPE!$A:$W,23,0)),"")</f>
        <v/>
      </c>
      <c r="S1467" s="10">
        <f>IF(AND(P1467="TN",R1467="TN"),N1467+N(O1467),IF(G1467&amp;""="1",N(K1467)*N1467,(N1467+N(O1467))*N(K1467)))</f>
        <v/>
      </c>
      <c r="T1467" s="10">
        <f>IF(Q1467="","",Q1467-S1467)</f>
        <v/>
      </c>
    </row>
    <row r="1468">
      <c r="A1468" s="7">
        <f>CONCATENATE(C1468,E1468,F1468,I1468)</f>
        <v/>
      </c>
      <c r="B1468" s="7">
        <f>CONCATENATE(C1468,E1468,I1468)</f>
        <v/>
      </c>
      <c r="C1468" s="8" t="n">
        <v>900004323</v>
      </c>
      <c r="D1468" s="7">
        <f>IFERROR(VLOOKUP(C1468,TRAOPE!$G:$H,2,0),"")</f>
        <v/>
      </c>
      <c r="E1468" s="8" t="inlineStr">
        <is>
          <t>D836</t>
        </is>
      </c>
      <c r="F1468" s="8" t="inlineStr">
        <is>
          <t>65002459</t>
        </is>
      </c>
      <c r="G1468" s="8">
        <f>IFERROR(VLOOKUP(A1468,Flete!$A:$E,5,0),"")</f>
        <v/>
      </c>
      <c r="H1468" s="7">
        <f>IFERROR(VLOOKUP(F1468,TRAOPE!$AA:$AB,2,0),"")</f>
        <v/>
      </c>
      <c r="I1468" s="7" t="n">
        <v>10000357</v>
      </c>
      <c r="J1468" s="7">
        <f>IFERROR(VLOOKUP(I1468,Materiales!$A:$H,8,0),"")</f>
        <v/>
      </c>
      <c r="K1468" s="9">
        <f>IFERROR(VLOOKUP(I1468,Materiales!$A:$G,7,0),"")</f>
        <v/>
      </c>
      <c r="L1468" s="8" t="inlineStr">
        <is>
          <t>20190426</t>
        </is>
      </c>
      <c r="M1468" s="8" t="inlineStr">
        <is>
          <t>20250127</t>
        </is>
      </c>
      <c r="N1468" s="10" t="n">
        <v>95</v>
      </c>
      <c r="O1468" s="10">
        <f>IFERROR(VLOOKUP(A1468,Flete!$A:$J,10,0),"")</f>
        <v/>
      </c>
      <c r="P1468" s="8" t="inlineStr">
        <is>
          <t>M3</t>
        </is>
      </c>
      <c r="Q1468" s="10">
        <f>IFERROR(IFERROR(VLOOKUP(A1468,TRAOPE!$A:$U,21,0),VLOOKUP(B1468,TRAOPE!$A:$U,21,0)),"")</f>
        <v/>
      </c>
      <c r="R1468" s="8">
        <f>IFERROR(IFERROR(VLOOKUP(A1468,TRAOPE!$A:$W,23,0),VLOOKUP(B1468,TRAOPE!$A:$W,23,0)),"")</f>
        <v/>
      </c>
      <c r="S1468" s="10">
        <f>IF(AND(P1468="TN",R1468="TN"),N1468+N(O1468),IF(G1468&amp;""="1",N(K1468)*N1468,(N1468+N(O1468))*N(K1468)))</f>
        <v/>
      </c>
      <c r="T1468" s="10">
        <f>IF(Q1468="","",Q1468-S1468)</f>
        <v/>
      </c>
    </row>
    <row r="1469">
      <c r="A1469" s="7">
        <f>CONCATENATE(C1469,E1469,F1469,I1469)</f>
        <v/>
      </c>
      <c r="B1469" s="7">
        <f>CONCATENATE(C1469,E1469,I1469)</f>
        <v/>
      </c>
      <c r="C1469" s="8" t="n">
        <v>900004323</v>
      </c>
      <c r="D1469" s="7">
        <f>IFERROR(VLOOKUP(C1469,TRAOPE!$G:$H,2,0),"")</f>
        <v/>
      </c>
      <c r="E1469" s="8" t="inlineStr">
        <is>
          <t>D836</t>
        </is>
      </c>
      <c r="F1469" s="8" t="inlineStr">
        <is>
          <t>65003945</t>
        </is>
      </c>
      <c r="G1469" s="8">
        <f>IFERROR(VLOOKUP(A1469,Flete!$A:$E,5,0),"")</f>
        <v/>
      </c>
      <c r="H1469" s="7">
        <f>IFERROR(VLOOKUP(F1469,TRAOPE!$AA:$AB,2,0),"")</f>
        <v/>
      </c>
      <c r="I1469" s="7" t="n">
        <v>10000160</v>
      </c>
      <c r="J1469" s="7">
        <f>IFERROR(VLOOKUP(I1469,Materiales!$A:$H,8,0),"")</f>
        <v/>
      </c>
      <c r="K1469" s="9">
        <f>IFERROR(VLOOKUP(I1469,Materiales!$A:$G,7,0),"")</f>
        <v/>
      </c>
      <c r="L1469" s="8" t="inlineStr">
        <is>
          <t>20190426</t>
        </is>
      </c>
      <c r="M1469" s="8" t="inlineStr">
        <is>
          <t>20250127</t>
        </is>
      </c>
      <c r="N1469" s="10" t="n">
        <v>87.15000000000001</v>
      </c>
      <c r="O1469" s="10">
        <f>IFERROR(VLOOKUP(A1469,Flete!$A:$J,10,0),"")</f>
        <v/>
      </c>
      <c r="P1469" s="8" t="inlineStr">
        <is>
          <t>M3</t>
        </is>
      </c>
      <c r="Q1469" s="10">
        <f>IFERROR(IFERROR(VLOOKUP(A1469,TRAOPE!$A:$U,21,0),VLOOKUP(B1469,TRAOPE!$A:$U,21,0)),"")</f>
        <v/>
      </c>
      <c r="R1469" s="8">
        <f>IFERROR(IFERROR(VLOOKUP(A1469,TRAOPE!$A:$W,23,0),VLOOKUP(B1469,TRAOPE!$A:$W,23,0)),"")</f>
        <v/>
      </c>
      <c r="S1469" s="10">
        <f>IF(AND(P1469="TN",R1469="TN"),N1469+N(O1469),IF(G1469&amp;""="1",N(K1469)*N1469,(N1469+N(O1469))*N(K1469)))</f>
        <v/>
      </c>
      <c r="T1469" s="10">
        <f>IF(Q1469="","",Q1469-S1469)</f>
        <v/>
      </c>
    </row>
    <row r="1470">
      <c r="A1470" s="7">
        <f>CONCATENATE(C1470,E1470,F1470,I1470)</f>
        <v/>
      </c>
      <c r="B1470" s="7">
        <f>CONCATENATE(C1470,E1470,I1470)</f>
        <v/>
      </c>
      <c r="C1470" s="8" t="n">
        <v>900004323</v>
      </c>
      <c r="D1470" s="7">
        <f>IFERROR(VLOOKUP(C1470,TRAOPE!$G:$H,2,0),"")</f>
        <v/>
      </c>
      <c r="E1470" s="8" t="inlineStr">
        <is>
          <t>D836</t>
        </is>
      </c>
      <c r="F1470" s="8" t="inlineStr">
        <is>
          <t>65003945</t>
        </is>
      </c>
      <c r="G1470" s="8">
        <f>IFERROR(VLOOKUP(A1470,Flete!$A:$E,5,0),"")</f>
        <v/>
      </c>
      <c r="H1470" s="7">
        <f>IFERROR(VLOOKUP(F1470,TRAOPE!$AA:$AB,2,0),"")</f>
        <v/>
      </c>
      <c r="I1470" s="7" t="n">
        <v>10000357</v>
      </c>
      <c r="J1470" s="7">
        <f>IFERROR(VLOOKUP(I1470,Materiales!$A:$H,8,0),"")</f>
        <v/>
      </c>
      <c r="K1470" s="9">
        <f>IFERROR(VLOOKUP(I1470,Materiales!$A:$G,7,0),"")</f>
        <v/>
      </c>
      <c r="L1470" s="8" t="inlineStr">
        <is>
          <t>20190426</t>
        </is>
      </c>
      <c r="M1470" s="8" t="inlineStr">
        <is>
          <t>20250127</t>
        </is>
      </c>
      <c r="N1470" s="10" t="n">
        <v>100.8</v>
      </c>
      <c r="O1470" s="10">
        <f>IFERROR(VLOOKUP(A1470,Flete!$A:$J,10,0),"")</f>
        <v/>
      </c>
      <c r="P1470" s="8" t="inlineStr">
        <is>
          <t>M3</t>
        </is>
      </c>
      <c r="Q1470" s="10">
        <f>IFERROR(IFERROR(VLOOKUP(A1470,TRAOPE!$A:$U,21,0),VLOOKUP(B1470,TRAOPE!$A:$U,21,0)),"")</f>
        <v/>
      </c>
      <c r="R1470" s="8">
        <f>IFERROR(IFERROR(VLOOKUP(A1470,TRAOPE!$A:$W,23,0),VLOOKUP(B1470,TRAOPE!$A:$W,23,0)),"")</f>
        <v/>
      </c>
      <c r="S1470" s="10">
        <f>IF(AND(P1470="TN",R1470="TN"),N1470+N(O1470),IF(G1470&amp;""="1",N(K1470)*N1470,(N1470+N(O1470))*N(K1470)))</f>
        <v/>
      </c>
      <c r="T1470" s="10">
        <f>IF(Q1470="","",Q1470-S1470)</f>
        <v/>
      </c>
    </row>
    <row r="1471">
      <c r="A1471" s="7">
        <f>CONCATENATE(C1471,E1471,F1471,I1471)</f>
        <v/>
      </c>
      <c r="B1471" s="7">
        <f>CONCATENATE(C1471,E1471,I1471)</f>
        <v/>
      </c>
      <c r="C1471" s="8" t="n">
        <v>900004323</v>
      </c>
      <c r="D1471" s="7">
        <f>IFERROR(VLOOKUP(C1471,TRAOPE!$G:$H,2,0),"")</f>
        <v/>
      </c>
      <c r="E1471" s="8" t="inlineStr">
        <is>
          <t>D836</t>
        </is>
      </c>
      <c r="F1471" s="8" t="inlineStr">
        <is>
          <t>65006122</t>
        </is>
      </c>
      <c r="G1471" s="8">
        <f>IFERROR(VLOOKUP(A1471,Flete!$A:$E,5,0),"")</f>
        <v/>
      </c>
      <c r="H1471" s="7">
        <f>IFERROR(VLOOKUP(F1471,TRAOPE!$AA:$AB,2,0),"")</f>
        <v/>
      </c>
      <c r="I1471" s="7" t="n">
        <v>10003132</v>
      </c>
      <c r="J1471" s="7">
        <f>IFERROR(VLOOKUP(I1471,Materiales!$A:$H,8,0),"")</f>
        <v/>
      </c>
      <c r="K1471" s="9">
        <f>IFERROR(VLOOKUP(I1471,Materiales!$A:$G,7,0),"")</f>
        <v/>
      </c>
      <c r="L1471" s="8" t="inlineStr">
        <is>
          <t>20190426</t>
        </is>
      </c>
      <c r="M1471" s="8" t="inlineStr">
        <is>
          <t>20250127</t>
        </is>
      </c>
      <c r="N1471" s="10" t="n">
        <v>120</v>
      </c>
      <c r="O1471" s="10">
        <f>IFERROR(VLOOKUP(A1471,Flete!$A:$J,10,0),"")</f>
        <v/>
      </c>
      <c r="P1471" s="8" t="inlineStr">
        <is>
          <t>M3</t>
        </is>
      </c>
      <c r="Q1471" s="10">
        <f>IFERROR(IFERROR(VLOOKUP(A1471,TRAOPE!$A:$U,21,0),VLOOKUP(B1471,TRAOPE!$A:$U,21,0)),"")</f>
        <v/>
      </c>
      <c r="R1471" s="8">
        <f>IFERROR(IFERROR(VLOOKUP(A1471,TRAOPE!$A:$W,23,0),VLOOKUP(B1471,TRAOPE!$A:$W,23,0)),"")</f>
        <v/>
      </c>
      <c r="S1471" s="10">
        <f>IF(AND(P1471="TN",R1471="TN"),N1471+N(O1471),IF(G1471&amp;""="1",N(K1471)*N1471,(N1471+N(O1471))*N(K1471)))</f>
        <v/>
      </c>
      <c r="T1471" s="10">
        <f>IF(Q1471="","",Q1471-S1471)</f>
        <v/>
      </c>
    </row>
    <row r="1472">
      <c r="A1472" s="7">
        <f>CONCATENATE(C1472,E1472,F1472,I1472)</f>
        <v/>
      </c>
      <c r="B1472" s="7">
        <f>CONCATENATE(C1472,E1472,I1472)</f>
        <v/>
      </c>
      <c r="C1472" s="8" t="n">
        <v>900004323</v>
      </c>
      <c r="D1472" s="7">
        <f>IFERROR(VLOOKUP(C1472,TRAOPE!$G:$H,2,0),"")</f>
        <v/>
      </c>
      <c r="E1472" s="8" t="inlineStr">
        <is>
          <t>D836</t>
        </is>
      </c>
      <c r="F1472" s="8" t="inlineStr">
        <is>
          <t>65014664</t>
        </is>
      </c>
      <c r="G1472" s="8">
        <f>IFERROR(VLOOKUP(A1472,Flete!$A:$E,5,0),"")</f>
        <v/>
      </c>
      <c r="H1472" s="7">
        <f>IFERROR(VLOOKUP(F1472,TRAOPE!$AA:$AB,2,0),"")</f>
        <v/>
      </c>
      <c r="I1472" s="7" t="n">
        <v>10000160</v>
      </c>
      <c r="J1472" s="7">
        <f>IFERROR(VLOOKUP(I1472,Materiales!$A:$H,8,0),"")</f>
        <v/>
      </c>
      <c r="K1472" s="9">
        <f>IFERROR(VLOOKUP(I1472,Materiales!$A:$G,7,0),"")</f>
        <v/>
      </c>
      <c r="L1472" s="8" t="inlineStr">
        <is>
          <t>20190426</t>
        </is>
      </c>
      <c r="M1472" s="8" t="inlineStr">
        <is>
          <t>20250127</t>
        </is>
      </c>
      <c r="N1472" s="10" t="n">
        <v>86</v>
      </c>
      <c r="O1472" s="10">
        <f>IFERROR(VLOOKUP(A1472,Flete!$A:$J,10,0),"")</f>
        <v/>
      </c>
      <c r="P1472" s="8" t="inlineStr">
        <is>
          <t>M3</t>
        </is>
      </c>
      <c r="Q1472" s="10">
        <f>IFERROR(IFERROR(VLOOKUP(A1472,TRAOPE!$A:$U,21,0),VLOOKUP(B1472,TRAOPE!$A:$U,21,0)),"")</f>
        <v/>
      </c>
      <c r="R1472" s="8">
        <f>IFERROR(IFERROR(VLOOKUP(A1472,TRAOPE!$A:$W,23,0),VLOOKUP(B1472,TRAOPE!$A:$W,23,0)),"")</f>
        <v/>
      </c>
      <c r="S1472" s="10">
        <f>IF(AND(P1472="TN",R1472="TN"),N1472+N(O1472),IF(G1472&amp;""="1",N(K1472)*N1472,(N1472+N(O1472))*N(K1472)))</f>
        <v/>
      </c>
      <c r="T1472" s="10">
        <f>IF(Q1472="","",Q1472-S1472)</f>
        <v/>
      </c>
    </row>
    <row r="1473">
      <c r="A1473" s="7">
        <f>CONCATENATE(C1473,E1473,F1473,I1473)</f>
        <v/>
      </c>
      <c r="B1473" s="7">
        <f>CONCATENATE(C1473,E1473,I1473)</f>
        <v/>
      </c>
      <c r="C1473" s="8" t="n">
        <v>900004323</v>
      </c>
      <c r="D1473" s="7">
        <f>IFERROR(VLOOKUP(C1473,TRAOPE!$G:$H,2,0),"")</f>
        <v/>
      </c>
      <c r="E1473" s="8" t="inlineStr">
        <is>
          <t>D836</t>
        </is>
      </c>
      <c r="F1473" s="8" t="inlineStr">
        <is>
          <t>65014664</t>
        </is>
      </c>
      <c r="G1473" s="8">
        <f>IFERROR(VLOOKUP(A1473,Flete!$A:$E,5,0),"")</f>
        <v/>
      </c>
      <c r="H1473" s="7">
        <f>IFERROR(VLOOKUP(F1473,TRAOPE!$AA:$AB,2,0),"")</f>
        <v/>
      </c>
      <c r="I1473" s="7" t="n">
        <v>10000627</v>
      </c>
      <c r="J1473" s="7">
        <f>IFERROR(VLOOKUP(I1473,Materiales!$A:$H,8,0),"")</f>
        <v/>
      </c>
      <c r="K1473" s="9">
        <f>IFERROR(VLOOKUP(I1473,Materiales!$A:$G,7,0),"")</f>
        <v/>
      </c>
      <c r="L1473" s="8" t="inlineStr">
        <is>
          <t>20190426</t>
        </is>
      </c>
      <c r="M1473" s="8" t="inlineStr">
        <is>
          <t>20250127</t>
        </is>
      </c>
      <c r="N1473" s="10" t="n">
        <v>94</v>
      </c>
      <c r="O1473" s="10">
        <f>IFERROR(VLOOKUP(A1473,Flete!$A:$J,10,0),"")</f>
        <v/>
      </c>
      <c r="P1473" s="8" t="inlineStr">
        <is>
          <t>M3</t>
        </is>
      </c>
      <c r="Q1473" s="10">
        <f>IFERROR(IFERROR(VLOOKUP(A1473,TRAOPE!$A:$U,21,0),VLOOKUP(B1473,TRAOPE!$A:$U,21,0)),"")</f>
        <v/>
      </c>
      <c r="R1473" s="8">
        <f>IFERROR(IFERROR(VLOOKUP(A1473,TRAOPE!$A:$W,23,0),VLOOKUP(B1473,TRAOPE!$A:$W,23,0)),"")</f>
        <v/>
      </c>
      <c r="S1473" s="10">
        <f>IF(AND(P1473="TN",R1473="TN"),N1473+N(O1473),IF(G1473&amp;""="1",N(K1473)*N1473,(N1473+N(O1473))*N(K1473)))</f>
        <v/>
      </c>
      <c r="T1473" s="10">
        <f>IF(Q1473="","",Q1473-S1473)</f>
        <v/>
      </c>
    </row>
    <row r="1474">
      <c r="A1474" s="7">
        <f>CONCATENATE(C1474,E1474,F1474,I1474)</f>
        <v/>
      </c>
      <c r="B1474" s="7">
        <f>CONCATENATE(C1474,E1474,I1474)</f>
        <v/>
      </c>
      <c r="C1474" s="8" t="n">
        <v>900004323</v>
      </c>
      <c r="D1474" s="7">
        <f>IFERROR(VLOOKUP(C1474,TRAOPE!$G:$H,2,0),"")</f>
        <v/>
      </c>
      <c r="E1474" s="8" t="inlineStr">
        <is>
          <t>D836</t>
        </is>
      </c>
      <c r="F1474" s="8" t="inlineStr">
        <is>
          <t>65016451</t>
        </is>
      </c>
      <c r="G1474" s="8">
        <f>IFERROR(VLOOKUP(A1474,Flete!$A:$E,5,0),"")</f>
        <v/>
      </c>
      <c r="H1474" s="7">
        <f>IFERROR(VLOOKUP(F1474,TRAOPE!$AA:$AB,2,0),"")</f>
        <v/>
      </c>
      <c r="I1474" s="7" t="n">
        <v>10000160</v>
      </c>
      <c r="J1474" s="7">
        <f>IFERROR(VLOOKUP(I1474,Materiales!$A:$H,8,0),"")</f>
        <v/>
      </c>
      <c r="K1474" s="9">
        <f>IFERROR(VLOOKUP(I1474,Materiales!$A:$G,7,0),"")</f>
        <v/>
      </c>
      <c r="L1474" s="8" t="inlineStr">
        <is>
          <t>20190426</t>
        </is>
      </c>
      <c r="M1474" s="8" t="inlineStr">
        <is>
          <t>20250127</t>
        </is>
      </c>
      <c r="N1474" s="10" t="n">
        <v>87.15000000000001</v>
      </c>
      <c r="O1474" s="10">
        <f>IFERROR(VLOOKUP(A1474,Flete!$A:$J,10,0),"")</f>
        <v/>
      </c>
      <c r="P1474" s="8" t="inlineStr">
        <is>
          <t>M3</t>
        </is>
      </c>
      <c r="Q1474" s="10">
        <f>IFERROR(IFERROR(VLOOKUP(A1474,TRAOPE!$A:$U,21,0),VLOOKUP(B1474,TRAOPE!$A:$U,21,0)),"")</f>
        <v/>
      </c>
      <c r="R1474" s="8">
        <f>IFERROR(IFERROR(VLOOKUP(A1474,TRAOPE!$A:$W,23,0),VLOOKUP(B1474,TRAOPE!$A:$W,23,0)),"")</f>
        <v/>
      </c>
      <c r="S1474" s="10">
        <f>IF(AND(P1474="TN",R1474="TN"),N1474+N(O1474),IF(G1474&amp;""="1",N(K1474)*N1474,(N1474+N(O1474))*N(K1474)))</f>
        <v/>
      </c>
      <c r="T1474" s="10">
        <f>IF(Q1474="","",Q1474-S1474)</f>
        <v/>
      </c>
    </row>
    <row r="1475">
      <c r="A1475" s="7">
        <f>CONCATENATE(C1475,E1475,F1475,I1475)</f>
        <v/>
      </c>
      <c r="B1475" s="7">
        <f>CONCATENATE(C1475,E1475,I1475)</f>
        <v/>
      </c>
      <c r="C1475" s="8" t="n">
        <v>900004323</v>
      </c>
      <c r="D1475" s="7">
        <f>IFERROR(VLOOKUP(C1475,TRAOPE!$G:$H,2,0),"")</f>
        <v/>
      </c>
      <c r="E1475" s="8" t="inlineStr">
        <is>
          <t>D836</t>
        </is>
      </c>
      <c r="F1475" s="8" t="inlineStr">
        <is>
          <t>65030275</t>
        </is>
      </c>
      <c r="G1475" s="8">
        <f>IFERROR(VLOOKUP(A1475,Flete!$A:$E,5,0),"")</f>
        <v/>
      </c>
      <c r="H1475" s="7">
        <f>IFERROR(VLOOKUP(F1475,TRAOPE!$AA:$AB,2,0),"")</f>
        <v/>
      </c>
      <c r="I1475" s="7" t="n">
        <v>10000160</v>
      </c>
      <c r="J1475" s="7">
        <f>IFERROR(VLOOKUP(I1475,Materiales!$A:$H,8,0),"")</f>
        <v/>
      </c>
      <c r="K1475" s="9">
        <f>IFERROR(VLOOKUP(I1475,Materiales!$A:$G,7,0),"")</f>
        <v/>
      </c>
      <c r="L1475" s="8" t="inlineStr">
        <is>
          <t>20190426</t>
        </is>
      </c>
      <c r="M1475" s="8" t="inlineStr">
        <is>
          <t>20250127</t>
        </is>
      </c>
      <c r="N1475" s="10" t="n">
        <v>83</v>
      </c>
      <c r="O1475" s="10">
        <f>IFERROR(VLOOKUP(A1475,Flete!$A:$J,10,0),"")</f>
        <v/>
      </c>
      <c r="P1475" s="8" t="inlineStr">
        <is>
          <t>M3</t>
        </is>
      </c>
      <c r="Q1475" s="10">
        <f>IFERROR(IFERROR(VLOOKUP(A1475,TRAOPE!$A:$U,21,0),VLOOKUP(B1475,TRAOPE!$A:$U,21,0)),"")</f>
        <v/>
      </c>
      <c r="R1475" s="8">
        <f>IFERROR(IFERROR(VLOOKUP(A1475,TRAOPE!$A:$W,23,0),VLOOKUP(B1475,TRAOPE!$A:$W,23,0)),"")</f>
        <v/>
      </c>
      <c r="S1475" s="10">
        <f>IF(AND(P1475="TN",R1475="TN"),N1475+N(O1475),IF(G1475&amp;""="1",N(K1475)*N1475,(N1475+N(O1475))*N(K1475)))</f>
        <v/>
      </c>
      <c r="T1475" s="10">
        <f>IF(Q1475="","",Q1475-S1475)</f>
        <v/>
      </c>
    </row>
    <row r="1476">
      <c r="A1476" s="7">
        <f>CONCATENATE(C1476,E1476,F1476,I1476)</f>
        <v/>
      </c>
      <c r="B1476" s="7">
        <f>CONCATENATE(C1476,E1476,I1476)</f>
        <v/>
      </c>
      <c r="C1476" s="8" t="n">
        <v>900004323</v>
      </c>
      <c r="D1476" s="7">
        <f>IFERROR(VLOOKUP(C1476,TRAOPE!$G:$H,2,0),"")</f>
        <v/>
      </c>
      <c r="E1476" s="8" t="inlineStr">
        <is>
          <t>D836</t>
        </is>
      </c>
      <c r="F1476" s="8" t="inlineStr">
        <is>
          <t>65155820</t>
        </is>
      </c>
      <c r="G1476" s="8">
        <f>IFERROR(VLOOKUP(A1476,Flete!$A:$E,5,0),"")</f>
        <v/>
      </c>
      <c r="H1476" s="7">
        <f>IFERROR(VLOOKUP(F1476,TRAOPE!$AA:$AB,2,0),"")</f>
        <v/>
      </c>
      <c r="I1476" s="7" t="n">
        <v>10000160</v>
      </c>
      <c r="J1476" s="7">
        <f>IFERROR(VLOOKUP(I1476,Materiales!$A:$H,8,0),"")</f>
        <v/>
      </c>
      <c r="K1476" s="9">
        <f>IFERROR(VLOOKUP(I1476,Materiales!$A:$G,7,0),"")</f>
        <v/>
      </c>
      <c r="L1476" s="8" t="inlineStr">
        <is>
          <t>20190426</t>
        </is>
      </c>
      <c r="M1476" s="8" t="inlineStr">
        <is>
          <t>20250127</t>
        </is>
      </c>
      <c r="N1476" s="10" t="n">
        <v>92</v>
      </c>
      <c r="O1476" s="10">
        <f>IFERROR(VLOOKUP(A1476,Flete!$A:$J,10,0),"")</f>
        <v/>
      </c>
      <c r="P1476" s="8" t="inlineStr">
        <is>
          <t>M3</t>
        </is>
      </c>
      <c r="Q1476" s="10">
        <f>IFERROR(IFERROR(VLOOKUP(A1476,TRAOPE!$A:$U,21,0),VLOOKUP(B1476,TRAOPE!$A:$U,21,0)),"")</f>
        <v/>
      </c>
      <c r="R1476" s="8">
        <f>IFERROR(IFERROR(VLOOKUP(A1476,TRAOPE!$A:$W,23,0),VLOOKUP(B1476,TRAOPE!$A:$W,23,0)),"")</f>
        <v/>
      </c>
      <c r="S1476" s="10">
        <f>IF(AND(P1476="TN",R1476="TN"),N1476+N(O1476),IF(G1476&amp;""="1",N(K1476)*N1476,(N1476+N(O1476))*N(K1476)))</f>
        <v/>
      </c>
      <c r="T1476" s="10">
        <f>IF(Q1476="","",Q1476-S1476)</f>
        <v/>
      </c>
    </row>
    <row r="1477">
      <c r="A1477" s="7">
        <f>CONCATENATE(C1477,E1477,F1477,I1477)</f>
        <v/>
      </c>
      <c r="B1477" s="7">
        <f>CONCATENATE(C1477,E1477,I1477)</f>
        <v/>
      </c>
      <c r="C1477" s="8" t="n">
        <v>900004323</v>
      </c>
      <c r="D1477" s="7">
        <f>IFERROR(VLOOKUP(C1477,TRAOPE!$G:$H,2,0),"")</f>
        <v/>
      </c>
      <c r="E1477" s="8" t="inlineStr">
        <is>
          <t>D836</t>
        </is>
      </c>
      <c r="F1477" s="8" t="inlineStr">
        <is>
          <t>65155820</t>
        </is>
      </c>
      <c r="G1477" s="8">
        <f>IFERROR(VLOOKUP(A1477,Flete!$A:$E,5,0),"")</f>
        <v/>
      </c>
      <c r="H1477" s="7">
        <f>IFERROR(VLOOKUP(F1477,TRAOPE!$AA:$AB,2,0),"")</f>
        <v/>
      </c>
      <c r="I1477" s="7" t="n">
        <v>10000357</v>
      </c>
      <c r="J1477" s="7">
        <f>IFERROR(VLOOKUP(I1477,Materiales!$A:$H,8,0),"")</f>
        <v/>
      </c>
      <c r="K1477" s="9">
        <f>IFERROR(VLOOKUP(I1477,Materiales!$A:$G,7,0),"")</f>
        <v/>
      </c>
      <c r="L1477" s="8" t="inlineStr">
        <is>
          <t>20190426</t>
        </is>
      </c>
      <c r="M1477" s="8" t="inlineStr">
        <is>
          <t>20250127</t>
        </is>
      </c>
      <c r="N1477" s="10" t="n">
        <v>96.95</v>
      </c>
      <c r="O1477" s="10">
        <f>IFERROR(VLOOKUP(A1477,Flete!$A:$J,10,0),"")</f>
        <v/>
      </c>
      <c r="P1477" s="8" t="inlineStr">
        <is>
          <t>M3</t>
        </is>
      </c>
      <c r="Q1477" s="10">
        <f>IFERROR(IFERROR(VLOOKUP(A1477,TRAOPE!$A:$U,21,0),VLOOKUP(B1477,TRAOPE!$A:$U,21,0)),"")</f>
        <v/>
      </c>
      <c r="R1477" s="8">
        <f>IFERROR(IFERROR(VLOOKUP(A1477,TRAOPE!$A:$W,23,0),VLOOKUP(B1477,TRAOPE!$A:$W,23,0)),"")</f>
        <v/>
      </c>
      <c r="S1477" s="10">
        <f>IF(AND(P1477="TN",R1477="TN"),N1477+N(O1477),IF(G1477&amp;""="1",N(K1477)*N1477,(N1477+N(O1477))*N(K1477)))</f>
        <v/>
      </c>
      <c r="T1477" s="10">
        <f>IF(Q1477="","",Q1477-S1477)</f>
        <v/>
      </c>
    </row>
    <row r="1478">
      <c r="A1478" s="7">
        <f>CONCATENATE(C1478,E1478,F1478,I1478)</f>
        <v/>
      </c>
      <c r="B1478" s="7">
        <f>CONCATENATE(C1478,E1478,I1478)</f>
        <v/>
      </c>
      <c r="C1478" s="8" t="n">
        <v>900004323</v>
      </c>
      <c r="D1478" s="7">
        <f>IFERROR(VLOOKUP(C1478,TRAOPE!$G:$H,2,0),"")</f>
        <v/>
      </c>
      <c r="E1478" s="8" t="inlineStr">
        <is>
          <t>D836</t>
        </is>
      </c>
      <c r="F1478" s="8" t="inlineStr">
        <is>
          <t>65292088</t>
        </is>
      </c>
      <c r="G1478" s="8">
        <f>IFERROR(VLOOKUP(A1478,Flete!$A:$E,5,0),"")</f>
        <v/>
      </c>
      <c r="H1478" s="7">
        <f>IFERROR(VLOOKUP(F1478,TRAOPE!$AA:$AB,2,0),"")</f>
        <v/>
      </c>
      <c r="I1478" s="7" t="n">
        <v>10215930</v>
      </c>
      <c r="J1478" s="7">
        <f>IFERROR(VLOOKUP(I1478,Materiales!$A:$H,8,0),"")</f>
        <v/>
      </c>
      <c r="K1478" s="9">
        <f>IFERROR(VLOOKUP(I1478,Materiales!$A:$G,7,0),"")</f>
        <v/>
      </c>
      <c r="L1478" s="8" t="inlineStr">
        <is>
          <t>20190426</t>
        </is>
      </c>
      <c r="M1478" s="8" t="inlineStr">
        <is>
          <t>20250127</t>
        </is>
      </c>
      <c r="N1478" s="10" t="n">
        <v>130</v>
      </c>
      <c r="O1478" s="10">
        <f>IFERROR(VLOOKUP(A1478,Flete!$A:$J,10,0),"")</f>
        <v/>
      </c>
      <c r="P1478" s="8" t="inlineStr">
        <is>
          <t>M3</t>
        </is>
      </c>
      <c r="Q1478" s="10">
        <f>IFERROR(IFERROR(VLOOKUP(A1478,TRAOPE!$A:$U,21,0),VLOOKUP(B1478,TRAOPE!$A:$U,21,0)),"")</f>
        <v/>
      </c>
      <c r="R1478" s="8">
        <f>IFERROR(IFERROR(VLOOKUP(A1478,TRAOPE!$A:$W,23,0),VLOOKUP(B1478,TRAOPE!$A:$W,23,0)),"")</f>
        <v/>
      </c>
      <c r="S1478" s="10">
        <f>IF(AND(P1478="TN",R1478="TN"),N1478+N(O1478),IF(G1478&amp;""="1",N(K1478)*N1478,(N1478+N(O1478))*N(K1478)))</f>
        <v/>
      </c>
      <c r="T1478" s="10">
        <f>IF(Q1478="","",Q1478-S1478)</f>
        <v/>
      </c>
    </row>
    <row r="1479">
      <c r="A1479" s="7">
        <f>CONCATENATE(C1479,E1479,F1479,I1479)</f>
        <v/>
      </c>
      <c r="B1479" s="7">
        <f>CONCATENATE(C1479,E1479,I1479)</f>
        <v/>
      </c>
      <c r="C1479" s="8" t="n">
        <v>900004323</v>
      </c>
      <c r="D1479" s="7">
        <f>IFERROR(VLOOKUP(C1479,TRAOPE!$G:$H,2,0),"")</f>
        <v/>
      </c>
      <c r="E1479" s="8" t="inlineStr">
        <is>
          <t>D836</t>
        </is>
      </c>
      <c r="F1479" s="8" t="inlineStr">
        <is>
          <t>65345243</t>
        </is>
      </c>
      <c r="G1479" s="8">
        <f>IFERROR(VLOOKUP(A1479,Flete!$A:$E,5,0),"")</f>
        <v/>
      </c>
      <c r="H1479" s="7">
        <f>IFERROR(VLOOKUP(F1479,TRAOPE!$AA:$AB,2,0),"")</f>
        <v/>
      </c>
      <c r="I1479" s="7" t="n">
        <v>10000160</v>
      </c>
      <c r="J1479" s="7">
        <f>IFERROR(VLOOKUP(I1479,Materiales!$A:$H,8,0),"")</f>
        <v/>
      </c>
      <c r="K1479" s="9">
        <f>IFERROR(VLOOKUP(I1479,Materiales!$A:$G,7,0),"")</f>
        <v/>
      </c>
      <c r="L1479" s="8" t="inlineStr">
        <is>
          <t>20190426</t>
        </is>
      </c>
      <c r="M1479" s="8" t="inlineStr">
        <is>
          <t>20250127</t>
        </is>
      </c>
      <c r="N1479" s="10" t="n">
        <v>84</v>
      </c>
      <c r="O1479" s="10">
        <f>IFERROR(VLOOKUP(A1479,Flete!$A:$J,10,0),"")</f>
        <v/>
      </c>
      <c r="P1479" s="8" t="inlineStr">
        <is>
          <t>M3</t>
        </is>
      </c>
      <c r="Q1479" s="10">
        <f>IFERROR(IFERROR(VLOOKUP(A1479,TRAOPE!$A:$U,21,0),VLOOKUP(B1479,TRAOPE!$A:$U,21,0)),"")</f>
        <v/>
      </c>
      <c r="R1479" s="8">
        <f>IFERROR(IFERROR(VLOOKUP(A1479,TRAOPE!$A:$W,23,0),VLOOKUP(B1479,TRAOPE!$A:$W,23,0)),"")</f>
        <v/>
      </c>
      <c r="S1479" s="10">
        <f>IF(AND(P1479="TN",R1479="TN"),N1479+N(O1479),IF(G1479&amp;""="1",N(K1479)*N1479,(N1479+N(O1479))*N(K1479)))</f>
        <v/>
      </c>
      <c r="T1479" s="10">
        <f>IF(Q1479="","",Q1479-S1479)</f>
        <v/>
      </c>
    </row>
    <row r="1480">
      <c r="A1480" s="7">
        <f>CONCATENATE(C1480,E1480,F1480,I1480)</f>
        <v/>
      </c>
      <c r="B1480" s="7">
        <f>CONCATENATE(C1480,E1480,I1480)</f>
        <v/>
      </c>
      <c r="C1480" s="8" t="n">
        <v>900004323</v>
      </c>
      <c r="D1480" s="7">
        <f>IFERROR(VLOOKUP(C1480,TRAOPE!$G:$H,2,0),"")</f>
        <v/>
      </c>
      <c r="E1480" s="8" t="inlineStr">
        <is>
          <t>D836</t>
        </is>
      </c>
      <c r="F1480" s="8" t="inlineStr">
        <is>
          <t>65345243</t>
        </is>
      </c>
      <c r="G1480" s="8">
        <f>IFERROR(VLOOKUP(A1480,Flete!$A:$E,5,0),"")</f>
        <v/>
      </c>
      <c r="H1480" s="7">
        <f>IFERROR(VLOOKUP(F1480,TRAOPE!$AA:$AB,2,0),"")</f>
        <v/>
      </c>
      <c r="I1480" s="7" t="n">
        <v>10000357</v>
      </c>
      <c r="J1480" s="7">
        <f>IFERROR(VLOOKUP(I1480,Materiales!$A:$H,8,0),"")</f>
        <v/>
      </c>
      <c r="K1480" s="9">
        <f>IFERROR(VLOOKUP(I1480,Materiales!$A:$G,7,0),"")</f>
        <v/>
      </c>
      <c r="L1480" s="8" t="inlineStr">
        <is>
          <t>20190426</t>
        </is>
      </c>
      <c r="M1480" s="8" t="inlineStr">
        <is>
          <t>20250127</t>
        </is>
      </c>
      <c r="N1480" s="10" t="n">
        <v>95.5</v>
      </c>
      <c r="O1480" s="10">
        <f>IFERROR(VLOOKUP(A1480,Flete!$A:$J,10,0),"")</f>
        <v/>
      </c>
      <c r="P1480" s="8" t="inlineStr">
        <is>
          <t>M3</t>
        </is>
      </c>
      <c r="Q1480" s="10">
        <f>IFERROR(IFERROR(VLOOKUP(A1480,TRAOPE!$A:$U,21,0),VLOOKUP(B1480,TRAOPE!$A:$U,21,0)),"")</f>
        <v/>
      </c>
      <c r="R1480" s="8">
        <f>IFERROR(IFERROR(VLOOKUP(A1480,TRAOPE!$A:$W,23,0),VLOOKUP(B1480,TRAOPE!$A:$W,23,0)),"")</f>
        <v/>
      </c>
      <c r="S1480" s="10">
        <f>IF(AND(P1480="TN",R1480="TN"),N1480+N(O1480),IF(G1480&amp;""="1",N(K1480)*N1480,(N1480+N(O1480))*N(K1480)))</f>
        <v/>
      </c>
      <c r="T1480" s="10">
        <f>IF(Q1480="","",Q1480-S1480)</f>
        <v/>
      </c>
    </row>
    <row r="1481">
      <c r="A1481" s="7">
        <f>CONCATENATE(C1481,E1481,F1481,I1481)</f>
        <v/>
      </c>
      <c r="B1481" s="7">
        <f>CONCATENATE(C1481,E1481,I1481)</f>
        <v/>
      </c>
      <c r="C1481" s="8" t="n">
        <v>900004323</v>
      </c>
      <c r="D1481" s="7">
        <f>IFERROR(VLOOKUP(C1481,TRAOPE!$G:$H,2,0),"")</f>
        <v/>
      </c>
      <c r="E1481" s="8" t="inlineStr">
        <is>
          <t>D836</t>
        </is>
      </c>
      <c r="F1481" s="8" t="inlineStr">
        <is>
          <t>65345243</t>
        </is>
      </c>
      <c r="G1481" s="8">
        <f>IFERROR(VLOOKUP(A1481,Flete!$A:$E,5,0),"")</f>
        <v/>
      </c>
      <c r="H1481" s="7">
        <f>IFERROR(VLOOKUP(F1481,TRAOPE!$AA:$AB,2,0),"")</f>
        <v/>
      </c>
      <c r="I1481" s="7" t="n">
        <v>10000627</v>
      </c>
      <c r="J1481" s="7">
        <f>IFERROR(VLOOKUP(I1481,Materiales!$A:$H,8,0),"")</f>
        <v/>
      </c>
      <c r="K1481" s="9">
        <f>IFERROR(VLOOKUP(I1481,Materiales!$A:$G,7,0),"")</f>
        <v/>
      </c>
      <c r="L1481" s="8" t="inlineStr">
        <is>
          <t>20190426</t>
        </is>
      </c>
      <c r="M1481" s="8" t="inlineStr">
        <is>
          <t>20250127</t>
        </is>
      </c>
      <c r="N1481" s="10" t="n">
        <v>84</v>
      </c>
      <c r="O1481" s="10">
        <f>IFERROR(VLOOKUP(A1481,Flete!$A:$J,10,0),"")</f>
        <v/>
      </c>
      <c r="P1481" s="8" t="inlineStr">
        <is>
          <t>M3</t>
        </is>
      </c>
      <c r="Q1481" s="10">
        <f>IFERROR(IFERROR(VLOOKUP(A1481,TRAOPE!$A:$U,21,0),VLOOKUP(B1481,TRAOPE!$A:$U,21,0)),"")</f>
        <v/>
      </c>
      <c r="R1481" s="8">
        <f>IFERROR(IFERROR(VLOOKUP(A1481,TRAOPE!$A:$W,23,0),VLOOKUP(B1481,TRAOPE!$A:$W,23,0)),"")</f>
        <v/>
      </c>
      <c r="S1481" s="10">
        <f>IF(AND(P1481="TN",R1481="TN"),N1481+N(O1481),IF(G1481&amp;""="1",N(K1481)*N1481,(N1481+N(O1481))*N(K1481)))</f>
        <v/>
      </c>
      <c r="T1481" s="10">
        <f>IF(Q1481="","",Q1481-S1481)</f>
        <v/>
      </c>
    </row>
    <row r="1482">
      <c r="A1482" s="7">
        <f>CONCATENATE(C1482,E1482,F1482,I1482)</f>
        <v/>
      </c>
      <c r="B1482" s="7">
        <f>CONCATENATE(C1482,E1482,I1482)</f>
        <v/>
      </c>
      <c r="C1482" s="8" t="n">
        <v>900004323</v>
      </c>
      <c r="D1482" s="7">
        <f>IFERROR(VLOOKUP(C1482,TRAOPE!$G:$H,2,0),"")</f>
        <v/>
      </c>
      <c r="E1482" s="8" t="inlineStr">
        <is>
          <t>D836</t>
        </is>
      </c>
      <c r="F1482" s="8" t="inlineStr">
        <is>
          <t>65366156</t>
        </is>
      </c>
      <c r="G1482" s="8">
        <f>IFERROR(VLOOKUP(A1482,Flete!$A:$E,5,0),"")</f>
        <v/>
      </c>
      <c r="H1482" s="7">
        <f>IFERROR(VLOOKUP(F1482,TRAOPE!$AA:$AB,2,0),"")</f>
        <v/>
      </c>
      <c r="I1482" s="7" t="n">
        <v>10000160</v>
      </c>
      <c r="J1482" s="7">
        <f>IFERROR(VLOOKUP(I1482,Materiales!$A:$H,8,0),"")</f>
        <v/>
      </c>
      <c r="K1482" s="9">
        <f>IFERROR(VLOOKUP(I1482,Materiales!$A:$G,7,0),"")</f>
        <v/>
      </c>
      <c r="L1482" s="8" t="inlineStr">
        <is>
          <t>20190426</t>
        </is>
      </c>
      <c r="M1482" s="8" t="inlineStr">
        <is>
          <t>20250127</t>
        </is>
      </c>
      <c r="N1482" s="10" t="n">
        <v>84</v>
      </c>
      <c r="O1482" s="10">
        <f>IFERROR(VLOOKUP(A1482,Flete!$A:$J,10,0),"")</f>
        <v/>
      </c>
      <c r="P1482" s="8" t="inlineStr">
        <is>
          <t>M3</t>
        </is>
      </c>
      <c r="Q1482" s="10">
        <f>IFERROR(IFERROR(VLOOKUP(A1482,TRAOPE!$A:$U,21,0),VLOOKUP(B1482,TRAOPE!$A:$U,21,0)),"")</f>
        <v/>
      </c>
      <c r="R1482" s="8">
        <f>IFERROR(IFERROR(VLOOKUP(A1482,TRAOPE!$A:$W,23,0),VLOOKUP(B1482,TRAOPE!$A:$W,23,0)),"")</f>
        <v/>
      </c>
      <c r="S1482" s="10">
        <f>IF(AND(P1482="TN",R1482="TN"),N1482+N(O1482),IF(G1482&amp;""="1",N(K1482)*N1482,(N1482+N(O1482))*N(K1482)))</f>
        <v/>
      </c>
      <c r="T1482" s="10">
        <f>IF(Q1482="","",Q1482-S1482)</f>
        <v/>
      </c>
    </row>
    <row r="1483">
      <c r="A1483" s="7">
        <f>CONCATENATE(C1483,E1483,F1483,I1483)</f>
        <v/>
      </c>
      <c r="B1483" s="7">
        <f>CONCATENATE(C1483,E1483,I1483)</f>
        <v/>
      </c>
      <c r="C1483" s="8" t="n">
        <v>900004323</v>
      </c>
      <c r="D1483" s="7">
        <f>IFERROR(VLOOKUP(C1483,TRAOPE!$G:$H,2,0),"")</f>
        <v/>
      </c>
      <c r="E1483" s="8" t="inlineStr">
        <is>
          <t>D836</t>
        </is>
      </c>
      <c r="F1483" s="8" t="inlineStr">
        <is>
          <t>65366156</t>
        </is>
      </c>
      <c r="G1483" s="8">
        <f>IFERROR(VLOOKUP(A1483,Flete!$A:$E,5,0),"")</f>
        <v/>
      </c>
      <c r="H1483" s="7">
        <f>IFERROR(VLOOKUP(F1483,TRAOPE!$AA:$AB,2,0),"")</f>
        <v/>
      </c>
      <c r="I1483" s="7" t="n">
        <v>10000357</v>
      </c>
      <c r="J1483" s="7">
        <f>IFERROR(VLOOKUP(I1483,Materiales!$A:$H,8,0),"")</f>
        <v/>
      </c>
      <c r="K1483" s="9">
        <f>IFERROR(VLOOKUP(I1483,Materiales!$A:$G,7,0),"")</f>
        <v/>
      </c>
      <c r="L1483" s="8" t="inlineStr">
        <is>
          <t>20190426</t>
        </is>
      </c>
      <c r="M1483" s="8" t="inlineStr">
        <is>
          <t>20250127</t>
        </is>
      </c>
      <c r="N1483" s="10" t="n">
        <v>95.5</v>
      </c>
      <c r="O1483" s="10">
        <f>IFERROR(VLOOKUP(A1483,Flete!$A:$J,10,0),"")</f>
        <v/>
      </c>
      <c r="P1483" s="8" t="inlineStr">
        <is>
          <t>M3</t>
        </is>
      </c>
      <c r="Q1483" s="10">
        <f>IFERROR(IFERROR(VLOOKUP(A1483,TRAOPE!$A:$U,21,0),VLOOKUP(B1483,TRAOPE!$A:$U,21,0)),"")</f>
        <v/>
      </c>
      <c r="R1483" s="8">
        <f>IFERROR(IFERROR(VLOOKUP(A1483,TRAOPE!$A:$W,23,0),VLOOKUP(B1483,TRAOPE!$A:$W,23,0)),"")</f>
        <v/>
      </c>
      <c r="S1483" s="10">
        <f>IF(AND(P1483="TN",R1483="TN"),N1483+N(O1483),IF(G1483&amp;""="1",N(K1483)*N1483,(N1483+N(O1483))*N(K1483)))</f>
        <v/>
      </c>
      <c r="T1483" s="10">
        <f>IF(Q1483="","",Q1483-S1483)</f>
        <v/>
      </c>
    </row>
    <row r="1484">
      <c r="A1484" s="7">
        <f>CONCATENATE(C1484,E1484,F1484,I1484)</f>
        <v/>
      </c>
      <c r="B1484" s="7">
        <f>CONCATENATE(C1484,E1484,I1484)</f>
        <v/>
      </c>
      <c r="C1484" s="8" t="n">
        <v>900004323</v>
      </c>
      <c r="D1484" s="7">
        <f>IFERROR(VLOOKUP(C1484,TRAOPE!$G:$H,2,0),"")</f>
        <v/>
      </c>
      <c r="E1484" s="8" t="inlineStr">
        <is>
          <t>D836</t>
        </is>
      </c>
      <c r="F1484" s="8" t="inlineStr">
        <is>
          <t>65366156</t>
        </is>
      </c>
      <c r="G1484" s="8">
        <f>IFERROR(VLOOKUP(A1484,Flete!$A:$E,5,0),"")</f>
        <v/>
      </c>
      <c r="H1484" s="7">
        <f>IFERROR(VLOOKUP(F1484,TRAOPE!$AA:$AB,2,0),"")</f>
        <v/>
      </c>
      <c r="I1484" s="7" t="n">
        <v>10000627</v>
      </c>
      <c r="J1484" s="7">
        <f>IFERROR(VLOOKUP(I1484,Materiales!$A:$H,8,0),"")</f>
        <v/>
      </c>
      <c r="K1484" s="9">
        <f>IFERROR(VLOOKUP(I1484,Materiales!$A:$G,7,0),"")</f>
        <v/>
      </c>
      <c r="L1484" s="8" t="inlineStr">
        <is>
          <t>20190426</t>
        </is>
      </c>
      <c r="M1484" s="8" t="inlineStr">
        <is>
          <t>20250127</t>
        </is>
      </c>
      <c r="N1484" s="10" t="n">
        <v>84</v>
      </c>
      <c r="O1484" s="10">
        <f>IFERROR(VLOOKUP(A1484,Flete!$A:$J,10,0),"")</f>
        <v/>
      </c>
      <c r="P1484" s="8" t="inlineStr">
        <is>
          <t>M3</t>
        </is>
      </c>
      <c r="Q1484" s="10">
        <f>IFERROR(IFERROR(VLOOKUP(A1484,TRAOPE!$A:$U,21,0),VLOOKUP(B1484,TRAOPE!$A:$U,21,0)),"")</f>
        <v/>
      </c>
      <c r="R1484" s="8">
        <f>IFERROR(IFERROR(VLOOKUP(A1484,TRAOPE!$A:$W,23,0),VLOOKUP(B1484,TRAOPE!$A:$W,23,0)),"")</f>
        <v/>
      </c>
      <c r="S1484" s="10">
        <f>IF(AND(P1484="TN",R1484="TN"),N1484+N(O1484),IF(G1484&amp;""="1",N(K1484)*N1484,(N1484+N(O1484))*N(K1484)))</f>
        <v/>
      </c>
      <c r="T1484" s="10">
        <f>IF(Q1484="","",Q1484-S1484)</f>
        <v/>
      </c>
    </row>
    <row r="1485">
      <c r="A1485" s="7">
        <f>CONCATENATE(C1485,E1485,F1485,I1485)</f>
        <v/>
      </c>
      <c r="B1485" s="7">
        <f>CONCATENATE(C1485,E1485,I1485)</f>
        <v/>
      </c>
      <c r="C1485" s="8" t="n">
        <v>900004323</v>
      </c>
      <c r="D1485" s="7">
        <f>IFERROR(VLOOKUP(C1485,TRAOPE!$G:$H,2,0),"")</f>
        <v/>
      </c>
      <c r="E1485" s="8" t="inlineStr">
        <is>
          <t>D836</t>
        </is>
      </c>
      <c r="F1485" s="8" t="inlineStr">
        <is>
          <t>65366167</t>
        </is>
      </c>
      <c r="G1485" s="8">
        <f>IFERROR(VLOOKUP(A1485,Flete!$A:$E,5,0),"")</f>
        <v/>
      </c>
      <c r="H1485" s="7">
        <f>IFERROR(VLOOKUP(F1485,TRAOPE!$AA:$AB,2,0),"")</f>
        <v/>
      </c>
      <c r="I1485" s="7" t="n">
        <v>10000160</v>
      </c>
      <c r="J1485" s="7">
        <f>IFERROR(VLOOKUP(I1485,Materiales!$A:$H,8,0),"")</f>
        <v/>
      </c>
      <c r="K1485" s="9">
        <f>IFERROR(VLOOKUP(I1485,Materiales!$A:$G,7,0),"")</f>
        <v/>
      </c>
      <c r="L1485" s="8" t="inlineStr">
        <is>
          <t>20190426</t>
        </is>
      </c>
      <c r="M1485" s="8" t="inlineStr">
        <is>
          <t>20250127</t>
        </is>
      </c>
      <c r="N1485" s="10" t="n">
        <v>84</v>
      </c>
      <c r="O1485" s="10">
        <f>IFERROR(VLOOKUP(A1485,Flete!$A:$J,10,0),"")</f>
        <v/>
      </c>
      <c r="P1485" s="8" t="inlineStr">
        <is>
          <t>M3</t>
        </is>
      </c>
      <c r="Q1485" s="10">
        <f>IFERROR(IFERROR(VLOOKUP(A1485,TRAOPE!$A:$U,21,0),VLOOKUP(B1485,TRAOPE!$A:$U,21,0)),"")</f>
        <v/>
      </c>
      <c r="R1485" s="8">
        <f>IFERROR(IFERROR(VLOOKUP(A1485,TRAOPE!$A:$W,23,0),VLOOKUP(B1485,TRAOPE!$A:$W,23,0)),"")</f>
        <v/>
      </c>
      <c r="S1485" s="10">
        <f>IF(AND(P1485="TN",R1485="TN"),N1485+N(O1485),IF(G1485&amp;""="1",N(K1485)*N1485,(N1485+N(O1485))*N(K1485)))</f>
        <v/>
      </c>
      <c r="T1485" s="10">
        <f>IF(Q1485="","",Q1485-S1485)</f>
        <v/>
      </c>
    </row>
    <row r="1486">
      <c r="A1486" s="7">
        <f>CONCATENATE(C1486,E1486,F1486,I1486)</f>
        <v/>
      </c>
      <c r="B1486" s="7">
        <f>CONCATENATE(C1486,E1486,I1486)</f>
        <v/>
      </c>
      <c r="C1486" s="8" t="n">
        <v>900004323</v>
      </c>
      <c r="D1486" s="7">
        <f>IFERROR(VLOOKUP(C1486,TRAOPE!$G:$H,2,0),"")</f>
        <v/>
      </c>
      <c r="E1486" s="8" t="inlineStr">
        <is>
          <t>D836</t>
        </is>
      </c>
      <c r="F1486" s="8" t="inlineStr">
        <is>
          <t>65366167</t>
        </is>
      </c>
      <c r="G1486" s="8">
        <f>IFERROR(VLOOKUP(A1486,Flete!$A:$E,5,0),"")</f>
        <v/>
      </c>
      <c r="H1486" s="7">
        <f>IFERROR(VLOOKUP(F1486,TRAOPE!$AA:$AB,2,0),"")</f>
        <v/>
      </c>
      <c r="I1486" s="7" t="n">
        <v>10000357</v>
      </c>
      <c r="J1486" s="7">
        <f>IFERROR(VLOOKUP(I1486,Materiales!$A:$H,8,0),"")</f>
        <v/>
      </c>
      <c r="K1486" s="9">
        <f>IFERROR(VLOOKUP(I1486,Materiales!$A:$G,7,0),"")</f>
        <v/>
      </c>
      <c r="L1486" s="8" t="inlineStr">
        <is>
          <t>20190426</t>
        </is>
      </c>
      <c r="M1486" s="8" t="inlineStr">
        <is>
          <t>20250127</t>
        </is>
      </c>
      <c r="N1486" s="10" t="n">
        <v>95.5</v>
      </c>
      <c r="O1486" s="10">
        <f>IFERROR(VLOOKUP(A1486,Flete!$A:$J,10,0),"")</f>
        <v/>
      </c>
      <c r="P1486" s="8" t="inlineStr">
        <is>
          <t>M3</t>
        </is>
      </c>
      <c r="Q1486" s="10">
        <f>IFERROR(IFERROR(VLOOKUP(A1486,TRAOPE!$A:$U,21,0),VLOOKUP(B1486,TRAOPE!$A:$U,21,0)),"")</f>
        <v/>
      </c>
      <c r="R1486" s="8">
        <f>IFERROR(IFERROR(VLOOKUP(A1486,TRAOPE!$A:$W,23,0),VLOOKUP(B1486,TRAOPE!$A:$W,23,0)),"")</f>
        <v/>
      </c>
      <c r="S1486" s="10">
        <f>IF(AND(P1486="TN",R1486="TN"),N1486+N(O1486),IF(G1486&amp;""="1",N(K1486)*N1486,(N1486+N(O1486))*N(K1486)))</f>
        <v/>
      </c>
      <c r="T1486" s="10">
        <f>IF(Q1486="","",Q1486-S1486)</f>
        <v/>
      </c>
    </row>
    <row r="1487">
      <c r="A1487" s="7">
        <f>CONCATENATE(C1487,E1487,F1487,I1487)</f>
        <v/>
      </c>
      <c r="B1487" s="7">
        <f>CONCATENATE(C1487,E1487,I1487)</f>
        <v/>
      </c>
      <c r="C1487" s="8" t="n">
        <v>900004323</v>
      </c>
      <c r="D1487" s="7">
        <f>IFERROR(VLOOKUP(C1487,TRAOPE!$G:$H,2,0),"")</f>
        <v/>
      </c>
      <c r="E1487" s="8" t="inlineStr">
        <is>
          <t>D836</t>
        </is>
      </c>
      <c r="F1487" s="8" t="inlineStr">
        <is>
          <t>65366167</t>
        </is>
      </c>
      <c r="G1487" s="8">
        <f>IFERROR(VLOOKUP(A1487,Flete!$A:$E,5,0),"")</f>
        <v/>
      </c>
      <c r="H1487" s="7">
        <f>IFERROR(VLOOKUP(F1487,TRAOPE!$AA:$AB,2,0),"")</f>
        <v/>
      </c>
      <c r="I1487" s="7" t="n">
        <v>10000627</v>
      </c>
      <c r="J1487" s="7">
        <f>IFERROR(VLOOKUP(I1487,Materiales!$A:$H,8,0),"")</f>
        <v/>
      </c>
      <c r="K1487" s="9">
        <f>IFERROR(VLOOKUP(I1487,Materiales!$A:$G,7,0),"")</f>
        <v/>
      </c>
      <c r="L1487" s="8" t="inlineStr">
        <is>
          <t>20190426</t>
        </is>
      </c>
      <c r="M1487" s="8" t="inlineStr">
        <is>
          <t>20250127</t>
        </is>
      </c>
      <c r="N1487" s="10" t="n">
        <v>84</v>
      </c>
      <c r="O1487" s="10">
        <f>IFERROR(VLOOKUP(A1487,Flete!$A:$J,10,0),"")</f>
        <v/>
      </c>
      <c r="P1487" s="8" t="inlineStr">
        <is>
          <t>M3</t>
        </is>
      </c>
      <c r="Q1487" s="10">
        <f>IFERROR(IFERROR(VLOOKUP(A1487,TRAOPE!$A:$U,21,0),VLOOKUP(B1487,TRAOPE!$A:$U,21,0)),"")</f>
        <v/>
      </c>
      <c r="R1487" s="8">
        <f>IFERROR(IFERROR(VLOOKUP(A1487,TRAOPE!$A:$W,23,0),VLOOKUP(B1487,TRAOPE!$A:$W,23,0)),"")</f>
        <v/>
      </c>
      <c r="S1487" s="10">
        <f>IF(AND(P1487="TN",R1487="TN"),N1487+N(O1487),IF(G1487&amp;""="1",N(K1487)*N1487,(N1487+N(O1487))*N(K1487)))</f>
        <v/>
      </c>
      <c r="T1487" s="10">
        <f>IF(Q1487="","",Q1487-S1487)</f>
        <v/>
      </c>
    </row>
    <row r="1488">
      <c r="A1488" s="7">
        <f>CONCATENATE(C1488,E1488,F1488,I1488)</f>
        <v/>
      </c>
      <c r="B1488" s="7">
        <f>CONCATENATE(C1488,E1488,I1488)</f>
        <v/>
      </c>
      <c r="C1488" s="8" t="n">
        <v>900004323</v>
      </c>
      <c r="D1488" s="7">
        <f>IFERROR(VLOOKUP(C1488,TRAOPE!$G:$H,2,0),"")</f>
        <v/>
      </c>
      <c r="E1488" s="8" t="inlineStr">
        <is>
          <t>D836</t>
        </is>
      </c>
      <c r="F1488" s="8" t="inlineStr">
        <is>
          <t>65366169</t>
        </is>
      </c>
      <c r="G1488" s="8">
        <f>IFERROR(VLOOKUP(A1488,Flete!$A:$E,5,0),"")</f>
        <v/>
      </c>
      <c r="H1488" s="7">
        <f>IFERROR(VLOOKUP(F1488,TRAOPE!$AA:$AB,2,0),"")</f>
        <v/>
      </c>
      <c r="I1488" s="7" t="n">
        <v>10000160</v>
      </c>
      <c r="J1488" s="7">
        <f>IFERROR(VLOOKUP(I1488,Materiales!$A:$H,8,0),"")</f>
        <v/>
      </c>
      <c r="K1488" s="9">
        <f>IFERROR(VLOOKUP(I1488,Materiales!$A:$G,7,0),"")</f>
        <v/>
      </c>
      <c r="L1488" s="8" t="inlineStr">
        <is>
          <t>20190426</t>
        </is>
      </c>
      <c r="M1488" s="8" t="inlineStr">
        <is>
          <t>20250127</t>
        </is>
      </c>
      <c r="N1488" s="10" t="n">
        <v>84</v>
      </c>
      <c r="O1488" s="10">
        <f>IFERROR(VLOOKUP(A1488,Flete!$A:$J,10,0),"")</f>
        <v/>
      </c>
      <c r="P1488" s="8" t="inlineStr">
        <is>
          <t>M3</t>
        </is>
      </c>
      <c r="Q1488" s="10">
        <f>IFERROR(IFERROR(VLOOKUP(A1488,TRAOPE!$A:$U,21,0),VLOOKUP(B1488,TRAOPE!$A:$U,21,0)),"")</f>
        <v/>
      </c>
      <c r="R1488" s="8">
        <f>IFERROR(IFERROR(VLOOKUP(A1488,TRAOPE!$A:$W,23,0),VLOOKUP(B1488,TRAOPE!$A:$W,23,0)),"")</f>
        <v/>
      </c>
      <c r="S1488" s="10">
        <f>IF(AND(P1488="TN",R1488="TN"),N1488+N(O1488),IF(G1488&amp;""="1",N(K1488)*N1488,(N1488+N(O1488))*N(K1488)))</f>
        <v/>
      </c>
      <c r="T1488" s="10">
        <f>IF(Q1488="","",Q1488-S1488)</f>
        <v/>
      </c>
    </row>
    <row r="1489">
      <c r="A1489" s="7">
        <f>CONCATENATE(C1489,E1489,F1489,I1489)</f>
        <v/>
      </c>
      <c r="B1489" s="7">
        <f>CONCATENATE(C1489,E1489,I1489)</f>
        <v/>
      </c>
      <c r="C1489" s="8" t="n">
        <v>900004323</v>
      </c>
      <c r="D1489" s="7">
        <f>IFERROR(VLOOKUP(C1489,TRAOPE!$G:$H,2,0),"")</f>
        <v/>
      </c>
      <c r="E1489" s="8" t="inlineStr">
        <is>
          <t>D836</t>
        </is>
      </c>
      <c r="F1489" s="8" t="inlineStr">
        <is>
          <t>65366169</t>
        </is>
      </c>
      <c r="G1489" s="8">
        <f>IFERROR(VLOOKUP(A1489,Flete!$A:$E,5,0),"")</f>
        <v/>
      </c>
      <c r="H1489" s="7">
        <f>IFERROR(VLOOKUP(F1489,TRAOPE!$AA:$AB,2,0),"")</f>
        <v/>
      </c>
      <c r="I1489" s="7" t="n">
        <v>10000357</v>
      </c>
      <c r="J1489" s="7">
        <f>IFERROR(VLOOKUP(I1489,Materiales!$A:$H,8,0),"")</f>
        <v/>
      </c>
      <c r="K1489" s="9">
        <f>IFERROR(VLOOKUP(I1489,Materiales!$A:$G,7,0),"")</f>
        <v/>
      </c>
      <c r="L1489" s="8" t="inlineStr">
        <is>
          <t>20190426</t>
        </is>
      </c>
      <c r="M1489" s="8" t="inlineStr">
        <is>
          <t>20250127</t>
        </is>
      </c>
      <c r="N1489" s="10" t="n">
        <v>95.5</v>
      </c>
      <c r="O1489" s="10">
        <f>IFERROR(VLOOKUP(A1489,Flete!$A:$J,10,0),"")</f>
        <v/>
      </c>
      <c r="P1489" s="8" t="inlineStr">
        <is>
          <t>M3</t>
        </is>
      </c>
      <c r="Q1489" s="10">
        <f>IFERROR(IFERROR(VLOOKUP(A1489,TRAOPE!$A:$U,21,0),VLOOKUP(B1489,TRAOPE!$A:$U,21,0)),"")</f>
        <v/>
      </c>
      <c r="R1489" s="8">
        <f>IFERROR(IFERROR(VLOOKUP(A1489,TRAOPE!$A:$W,23,0),VLOOKUP(B1489,TRAOPE!$A:$W,23,0)),"")</f>
        <v/>
      </c>
      <c r="S1489" s="10">
        <f>IF(AND(P1489="TN",R1489="TN"),N1489+N(O1489),IF(G1489&amp;""="1",N(K1489)*N1489,(N1489+N(O1489))*N(K1489)))</f>
        <v/>
      </c>
      <c r="T1489" s="10">
        <f>IF(Q1489="","",Q1489-S1489)</f>
        <v/>
      </c>
    </row>
    <row r="1490">
      <c r="A1490" s="7">
        <f>CONCATENATE(C1490,E1490,F1490,I1490)</f>
        <v/>
      </c>
      <c r="B1490" s="7">
        <f>CONCATENATE(C1490,E1490,I1490)</f>
        <v/>
      </c>
      <c r="C1490" s="8" t="n">
        <v>900004323</v>
      </c>
      <c r="D1490" s="7">
        <f>IFERROR(VLOOKUP(C1490,TRAOPE!$G:$H,2,0),"")</f>
        <v/>
      </c>
      <c r="E1490" s="8" t="inlineStr">
        <is>
          <t>D836</t>
        </is>
      </c>
      <c r="F1490" s="8" t="inlineStr">
        <is>
          <t>65366169</t>
        </is>
      </c>
      <c r="G1490" s="8">
        <f>IFERROR(VLOOKUP(A1490,Flete!$A:$E,5,0),"")</f>
        <v/>
      </c>
      <c r="H1490" s="7">
        <f>IFERROR(VLOOKUP(F1490,TRAOPE!$AA:$AB,2,0),"")</f>
        <v/>
      </c>
      <c r="I1490" s="7" t="n">
        <v>10000627</v>
      </c>
      <c r="J1490" s="7">
        <f>IFERROR(VLOOKUP(I1490,Materiales!$A:$H,8,0),"")</f>
        <v/>
      </c>
      <c r="K1490" s="9">
        <f>IFERROR(VLOOKUP(I1490,Materiales!$A:$G,7,0),"")</f>
        <v/>
      </c>
      <c r="L1490" s="8" t="inlineStr">
        <is>
          <t>20190426</t>
        </is>
      </c>
      <c r="M1490" s="8" t="inlineStr">
        <is>
          <t>20250127</t>
        </is>
      </c>
      <c r="N1490" s="10" t="n">
        <v>84</v>
      </c>
      <c r="O1490" s="10">
        <f>IFERROR(VLOOKUP(A1490,Flete!$A:$J,10,0),"")</f>
        <v/>
      </c>
      <c r="P1490" s="8" t="inlineStr">
        <is>
          <t>M3</t>
        </is>
      </c>
      <c r="Q1490" s="10">
        <f>IFERROR(IFERROR(VLOOKUP(A1490,TRAOPE!$A:$U,21,0),VLOOKUP(B1490,TRAOPE!$A:$U,21,0)),"")</f>
        <v/>
      </c>
      <c r="R1490" s="8">
        <f>IFERROR(IFERROR(VLOOKUP(A1490,TRAOPE!$A:$W,23,0),VLOOKUP(B1490,TRAOPE!$A:$W,23,0)),"")</f>
        <v/>
      </c>
      <c r="S1490" s="10">
        <f>IF(AND(P1490="TN",R1490="TN"),N1490+N(O1490),IF(G1490&amp;""="1",N(K1490)*N1490,(N1490+N(O1490))*N(K1490)))</f>
        <v/>
      </c>
      <c r="T1490" s="10">
        <f>IF(Q1490="","",Q1490-S1490)</f>
        <v/>
      </c>
    </row>
    <row r="1491">
      <c r="A1491" s="7">
        <f>CONCATENATE(C1491,E1491,F1491,I1491)</f>
        <v/>
      </c>
      <c r="B1491" s="7">
        <f>CONCATENATE(C1491,E1491,I1491)</f>
        <v/>
      </c>
      <c r="C1491" s="8" t="n">
        <v>900004323</v>
      </c>
      <c r="D1491" s="7">
        <f>IFERROR(VLOOKUP(C1491,TRAOPE!$G:$H,2,0),"")</f>
        <v/>
      </c>
      <c r="E1491" s="8" t="inlineStr">
        <is>
          <t>D836</t>
        </is>
      </c>
      <c r="F1491" s="8" t="inlineStr">
        <is>
          <t>65406062</t>
        </is>
      </c>
      <c r="G1491" s="8">
        <f>IFERROR(VLOOKUP(A1491,Flete!$A:$E,5,0),"")</f>
        <v/>
      </c>
      <c r="H1491" s="7">
        <f>IFERROR(VLOOKUP(F1491,TRAOPE!$AA:$AB,2,0),"")</f>
        <v/>
      </c>
      <c r="I1491" s="7" t="n">
        <v>10000160</v>
      </c>
      <c r="J1491" s="7">
        <f>IFERROR(VLOOKUP(I1491,Materiales!$A:$H,8,0),"")</f>
        <v/>
      </c>
      <c r="K1491" s="9">
        <f>IFERROR(VLOOKUP(I1491,Materiales!$A:$G,7,0),"")</f>
        <v/>
      </c>
      <c r="L1491" s="8" t="inlineStr">
        <is>
          <t>20190426</t>
        </is>
      </c>
      <c r="M1491" s="8" t="inlineStr">
        <is>
          <t>20250127</t>
        </is>
      </c>
      <c r="N1491" s="10" t="n">
        <v>89.25</v>
      </c>
      <c r="O1491" s="10">
        <f>IFERROR(VLOOKUP(A1491,Flete!$A:$J,10,0),"")</f>
        <v/>
      </c>
      <c r="P1491" s="8" t="inlineStr">
        <is>
          <t>M3</t>
        </is>
      </c>
      <c r="Q1491" s="10">
        <f>IFERROR(IFERROR(VLOOKUP(A1491,TRAOPE!$A:$U,21,0),VLOOKUP(B1491,TRAOPE!$A:$U,21,0)),"")</f>
        <v/>
      </c>
      <c r="R1491" s="8">
        <f>IFERROR(IFERROR(VLOOKUP(A1491,TRAOPE!$A:$W,23,0),VLOOKUP(B1491,TRAOPE!$A:$W,23,0)),"")</f>
        <v/>
      </c>
      <c r="S1491" s="10">
        <f>IF(AND(P1491="TN",R1491="TN"),N1491+N(O1491),IF(G1491&amp;""="1",N(K1491)*N1491,(N1491+N(O1491))*N(K1491)))</f>
        <v/>
      </c>
      <c r="T1491" s="10">
        <f>IF(Q1491="","",Q1491-S1491)</f>
        <v/>
      </c>
    </row>
    <row r="1492">
      <c r="A1492" s="7">
        <f>CONCATENATE(C1492,E1492,F1492,I1492)</f>
        <v/>
      </c>
      <c r="B1492" s="7">
        <f>CONCATENATE(C1492,E1492,I1492)</f>
        <v/>
      </c>
      <c r="C1492" s="8" t="n">
        <v>900004323</v>
      </c>
      <c r="D1492" s="7">
        <f>IFERROR(VLOOKUP(C1492,TRAOPE!$G:$H,2,0),"")</f>
        <v/>
      </c>
      <c r="E1492" s="8" t="inlineStr">
        <is>
          <t>D836</t>
        </is>
      </c>
      <c r="F1492" s="8" t="inlineStr">
        <is>
          <t>65406062</t>
        </is>
      </c>
      <c r="G1492" s="8">
        <f>IFERROR(VLOOKUP(A1492,Flete!$A:$E,5,0),"")</f>
        <v/>
      </c>
      <c r="H1492" s="7">
        <f>IFERROR(VLOOKUP(F1492,TRAOPE!$AA:$AB,2,0),"")</f>
        <v/>
      </c>
      <c r="I1492" s="7" t="n">
        <v>10000357</v>
      </c>
      <c r="J1492" s="7">
        <f>IFERROR(VLOOKUP(I1492,Materiales!$A:$H,8,0),"")</f>
        <v/>
      </c>
      <c r="K1492" s="9">
        <f>IFERROR(VLOOKUP(I1492,Materiales!$A:$G,7,0),"")</f>
        <v/>
      </c>
      <c r="L1492" s="8" t="inlineStr">
        <is>
          <t>20190426</t>
        </is>
      </c>
      <c r="M1492" s="8" t="inlineStr">
        <is>
          <t>20250127</t>
        </is>
      </c>
      <c r="N1492" s="10" t="n">
        <v>100.8</v>
      </c>
      <c r="O1492" s="10">
        <f>IFERROR(VLOOKUP(A1492,Flete!$A:$J,10,0),"")</f>
        <v/>
      </c>
      <c r="P1492" s="8" t="inlineStr">
        <is>
          <t>M3</t>
        </is>
      </c>
      <c r="Q1492" s="10">
        <f>IFERROR(IFERROR(VLOOKUP(A1492,TRAOPE!$A:$U,21,0),VLOOKUP(B1492,TRAOPE!$A:$U,21,0)),"")</f>
        <v/>
      </c>
      <c r="R1492" s="8">
        <f>IFERROR(IFERROR(VLOOKUP(A1492,TRAOPE!$A:$W,23,0),VLOOKUP(B1492,TRAOPE!$A:$W,23,0)),"")</f>
        <v/>
      </c>
      <c r="S1492" s="10">
        <f>IF(AND(P1492="TN",R1492="TN"),N1492+N(O1492),IF(G1492&amp;""="1",N(K1492)*N1492,(N1492+N(O1492))*N(K1492)))</f>
        <v/>
      </c>
      <c r="T1492" s="10">
        <f>IF(Q1492="","",Q1492-S1492)</f>
        <v/>
      </c>
    </row>
    <row r="1493">
      <c r="A1493" s="7">
        <f>CONCATENATE(C1493,E1493,F1493,I1493)</f>
        <v/>
      </c>
      <c r="B1493" s="7">
        <f>CONCATENATE(C1493,E1493,I1493)</f>
        <v/>
      </c>
      <c r="C1493" s="8" t="n">
        <v>900004323</v>
      </c>
      <c r="D1493" s="7">
        <f>IFERROR(VLOOKUP(C1493,TRAOPE!$G:$H,2,0),"")</f>
        <v/>
      </c>
      <c r="E1493" s="8" t="inlineStr">
        <is>
          <t>D836</t>
        </is>
      </c>
      <c r="F1493" s="8" t="inlineStr">
        <is>
          <t>65406064</t>
        </is>
      </c>
      <c r="G1493" s="8">
        <f>IFERROR(VLOOKUP(A1493,Flete!$A:$E,5,0),"")</f>
        <v/>
      </c>
      <c r="H1493" s="7">
        <f>IFERROR(VLOOKUP(F1493,TRAOPE!$AA:$AB,2,0),"")</f>
        <v/>
      </c>
      <c r="I1493" s="7" t="n">
        <v>10000160</v>
      </c>
      <c r="J1493" s="7">
        <f>IFERROR(VLOOKUP(I1493,Materiales!$A:$H,8,0),"")</f>
        <v/>
      </c>
      <c r="K1493" s="9">
        <f>IFERROR(VLOOKUP(I1493,Materiales!$A:$G,7,0),"")</f>
        <v/>
      </c>
      <c r="L1493" s="8" t="inlineStr">
        <is>
          <t>20190426</t>
        </is>
      </c>
      <c r="M1493" s="8" t="inlineStr">
        <is>
          <t>20250127</t>
        </is>
      </c>
      <c r="N1493" s="10" t="n">
        <v>87.15000000000001</v>
      </c>
      <c r="O1493" s="10">
        <f>IFERROR(VLOOKUP(A1493,Flete!$A:$J,10,0),"")</f>
        <v/>
      </c>
      <c r="P1493" s="8" t="inlineStr">
        <is>
          <t>M3</t>
        </is>
      </c>
      <c r="Q1493" s="10">
        <f>IFERROR(IFERROR(VLOOKUP(A1493,TRAOPE!$A:$U,21,0),VLOOKUP(B1493,TRAOPE!$A:$U,21,0)),"")</f>
        <v/>
      </c>
      <c r="R1493" s="8">
        <f>IFERROR(IFERROR(VLOOKUP(A1493,TRAOPE!$A:$W,23,0),VLOOKUP(B1493,TRAOPE!$A:$W,23,0)),"")</f>
        <v/>
      </c>
      <c r="S1493" s="10">
        <f>IF(AND(P1493="TN",R1493="TN"),N1493+N(O1493),IF(G1493&amp;""="1",N(K1493)*N1493,(N1493+N(O1493))*N(K1493)))</f>
        <v/>
      </c>
      <c r="T1493" s="10">
        <f>IF(Q1493="","",Q1493-S1493)</f>
        <v/>
      </c>
    </row>
    <row r="1494">
      <c r="A1494" s="7">
        <f>CONCATENATE(C1494,E1494,F1494,I1494)</f>
        <v/>
      </c>
      <c r="B1494" s="7">
        <f>CONCATENATE(C1494,E1494,I1494)</f>
        <v/>
      </c>
      <c r="C1494" s="8" t="n">
        <v>900004323</v>
      </c>
      <c r="D1494" s="7">
        <f>IFERROR(VLOOKUP(C1494,TRAOPE!$G:$H,2,0),"")</f>
        <v/>
      </c>
      <c r="E1494" s="8" t="inlineStr">
        <is>
          <t>D836</t>
        </is>
      </c>
      <c r="F1494" s="8" t="inlineStr">
        <is>
          <t>65406064</t>
        </is>
      </c>
      <c r="G1494" s="8">
        <f>IFERROR(VLOOKUP(A1494,Flete!$A:$E,5,0),"")</f>
        <v/>
      </c>
      <c r="H1494" s="7">
        <f>IFERROR(VLOOKUP(F1494,TRAOPE!$AA:$AB,2,0),"")</f>
        <v/>
      </c>
      <c r="I1494" s="7" t="n">
        <v>10000357</v>
      </c>
      <c r="J1494" s="7">
        <f>IFERROR(VLOOKUP(I1494,Materiales!$A:$H,8,0),"")</f>
        <v/>
      </c>
      <c r="K1494" s="9">
        <f>IFERROR(VLOOKUP(I1494,Materiales!$A:$G,7,0),"")</f>
        <v/>
      </c>
      <c r="L1494" s="8" t="inlineStr">
        <is>
          <t>20190426</t>
        </is>
      </c>
      <c r="M1494" s="8" t="inlineStr">
        <is>
          <t>20250127</t>
        </is>
      </c>
      <c r="N1494" s="10" t="n">
        <v>100.8</v>
      </c>
      <c r="O1494" s="10">
        <f>IFERROR(VLOOKUP(A1494,Flete!$A:$J,10,0),"")</f>
        <v/>
      </c>
      <c r="P1494" s="8" t="inlineStr">
        <is>
          <t>M3</t>
        </is>
      </c>
      <c r="Q1494" s="10">
        <f>IFERROR(IFERROR(VLOOKUP(A1494,TRAOPE!$A:$U,21,0),VLOOKUP(B1494,TRAOPE!$A:$U,21,0)),"")</f>
        <v/>
      </c>
      <c r="R1494" s="8">
        <f>IFERROR(IFERROR(VLOOKUP(A1494,TRAOPE!$A:$W,23,0),VLOOKUP(B1494,TRAOPE!$A:$W,23,0)),"")</f>
        <v/>
      </c>
      <c r="S1494" s="10">
        <f>IF(AND(P1494="TN",R1494="TN"),N1494+N(O1494),IF(G1494&amp;""="1",N(K1494)*N1494,(N1494+N(O1494))*N(K1494)))</f>
        <v/>
      </c>
      <c r="T1494" s="10">
        <f>IF(Q1494="","",Q1494-S1494)</f>
        <v/>
      </c>
    </row>
    <row r="1495">
      <c r="A1495" s="7">
        <f>CONCATENATE(C1495,E1495,F1495,I1495)</f>
        <v/>
      </c>
      <c r="B1495" s="7">
        <f>CONCATENATE(C1495,E1495,I1495)</f>
        <v/>
      </c>
      <c r="C1495" s="8" t="n">
        <v>900004323</v>
      </c>
      <c r="D1495" s="7">
        <f>IFERROR(VLOOKUP(C1495,TRAOPE!$G:$H,2,0),"")</f>
        <v/>
      </c>
      <c r="E1495" s="8" t="inlineStr">
        <is>
          <t>D836</t>
        </is>
      </c>
      <c r="F1495" s="8" t="inlineStr">
        <is>
          <t>65440384</t>
        </is>
      </c>
      <c r="G1495" s="8">
        <f>IFERROR(VLOOKUP(A1495,Flete!$A:$E,5,0),"")</f>
        <v/>
      </c>
      <c r="H1495" s="7">
        <f>IFERROR(VLOOKUP(F1495,TRAOPE!$AA:$AB,2,0),"")</f>
        <v/>
      </c>
      <c r="I1495" s="7" t="n">
        <v>10000160</v>
      </c>
      <c r="J1495" s="7">
        <f>IFERROR(VLOOKUP(I1495,Materiales!$A:$H,8,0),"")</f>
        <v/>
      </c>
      <c r="K1495" s="9">
        <f>IFERROR(VLOOKUP(I1495,Materiales!$A:$G,7,0),"")</f>
        <v/>
      </c>
      <c r="L1495" s="8" t="inlineStr">
        <is>
          <t>20190426</t>
        </is>
      </c>
      <c r="M1495" s="8" t="inlineStr">
        <is>
          <t>20250127</t>
        </is>
      </c>
      <c r="N1495" s="10" t="n">
        <v>85</v>
      </c>
      <c r="O1495" s="10">
        <f>IFERROR(VLOOKUP(A1495,Flete!$A:$J,10,0),"")</f>
        <v/>
      </c>
      <c r="P1495" s="8" t="inlineStr">
        <is>
          <t>M3</t>
        </is>
      </c>
      <c r="Q1495" s="10">
        <f>IFERROR(IFERROR(VLOOKUP(A1495,TRAOPE!$A:$U,21,0),VLOOKUP(B1495,TRAOPE!$A:$U,21,0)),"")</f>
        <v/>
      </c>
      <c r="R1495" s="8">
        <f>IFERROR(IFERROR(VLOOKUP(A1495,TRAOPE!$A:$W,23,0),VLOOKUP(B1495,TRAOPE!$A:$W,23,0)),"")</f>
        <v/>
      </c>
      <c r="S1495" s="10">
        <f>IF(AND(P1495="TN",R1495="TN"),N1495+N(O1495),IF(G1495&amp;""="1",N(K1495)*N1495,(N1495+N(O1495))*N(K1495)))</f>
        <v/>
      </c>
      <c r="T1495" s="10">
        <f>IF(Q1495="","",Q1495-S1495)</f>
        <v/>
      </c>
    </row>
    <row r="1496">
      <c r="A1496" s="7">
        <f>CONCATENATE(C1496,E1496,F1496,I1496)</f>
        <v/>
      </c>
      <c r="B1496" s="7">
        <f>CONCATENATE(C1496,E1496,I1496)</f>
        <v/>
      </c>
      <c r="C1496" s="8" t="n">
        <v>900004323</v>
      </c>
      <c r="D1496" s="7">
        <f>IFERROR(VLOOKUP(C1496,TRAOPE!$G:$H,2,0),"")</f>
        <v/>
      </c>
      <c r="E1496" s="8" t="inlineStr">
        <is>
          <t>D836</t>
        </is>
      </c>
      <c r="F1496" s="8" t="inlineStr">
        <is>
          <t>65445261</t>
        </is>
      </c>
      <c r="G1496" s="8">
        <f>IFERROR(VLOOKUP(A1496,Flete!$A:$E,5,0),"")</f>
        <v/>
      </c>
      <c r="H1496" s="7">
        <f>IFERROR(VLOOKUP(F1496,TRAOPE!$AA:$AB,2,0),"")</f>
        <v/>
      </c>
      <c r="I1496" s="7" t="n">
        <v>10000160</v>
      </c>
      <c r="J1496" s="7">
        <f>IFERROR(VLOOKUP(I1496,Materiales!$A:$H,8,0),"")</f>
        <v/>
      </c>
      <c r="K1496" s="9">
        <f>IFERROR(VLOOKUP(I1496,Materiales!$A:$G,7,0),"")</f>
        <v/>
      </c>
      <c r="L1496" s="8" t="inlineStr">
        <is>
          <t>20190426</t>
        </is>
      </c>
      <c r="M1496" s="8" t="inlineStr">
        <is>
          <t>20250127</t>
        </is>
      </c>
      <c r="N1496" s="10" t="n">
        <v>87.15000000000001</v>
      </c>
      <c r="O1496" s="10">
        <f>IFERROR(VLOOKUP(A1496,Flete!$A:$J,10,0),"")</f>
        <v/>
      </c>
      <c r="P1496" s="8" t="inlineStr">
        <is>
          <t>M3</t>
        </is>
      </c>
      <c r="Q1496" s="10">
        <f>IFERROR(IFERROR(VLOOKUP(A1496,TRAOPE!$A:$U,21,0),VLOOKUP(B1496,TRAOPE!$A:$U,21,0)),"")</f>
        <v/>
      </c>
      <c r="R1496" s="8">
        <f>IFERROR(IFERROR(VLOOKUP(A1496,TRAOPE!$A:$W,23,0),VLOOKUP(B1496,TRAOPE!$A:$W,23,0)),"")</f>
        <v/>
      </c>
      <c r="S1496" s="10">
        <f>IF(AND(P1496="TN",R1496="TN"),N1496+N(O1496),IF(G1496&amp;""="1",N(K1496)*N1496,(N1496+N(O1496))*N(K1496)))</f>
        <v/>
      </c>
      <c r="T1496" s="10">
        <f>IF(Q1496="","",Q1496-S1496)</f>
        <v/>
      </c>
    </row>
    <row r="1497">
      <c r="A1497" s="7">
        <f>CONCATENATE(C1497,E1497,F1497,I1497)</f>
        <v/>
      </c>
      <c r="B1497" s="7">
        <f>CONCATENATE(C1497,E1497,I1497)</f>
        <v/>
      </c>
      <c r="C1497" s="8" t="n">
        <v>900004323</v>
      </c>
      <c r="D1497" s="7">
        <f>IFERROR(VLOOKUP(C1497,TRAOPE!$G:$H,2,0),"")</f>
        <v/>
      </c>
      <c r="E1497" s="8" t="inlineStr">
        <is>
          <t>D836</t>
        </is>
      </c>
      <c r="F1497" s="8" t="inlineStr">
        <is>
          <t>65674132</t>
        </is>
      </c>
      <c r="G1497" s="8">
        <f>IFERROR(VLOOKUP(A1497,Flete!$A:$E,5,0),"")</f>
        <v/>
      </c>
      <c r="H1497" s="7">
        <f>IFERROR(VLOOKUP(F1497,TRAOPE!$AA:$AB,2,0),"")</f>
        <v/>
      </c>
      <c r="I1497" s="7" t="n">
        <v>10000140</v>
      </c>
      <c r="J1497" s="7">
        <f>IFERROR(VLOOKUP(I1497,Materiales!$A:$H,8,0),"")</f>
        <v/>
      </c>
      <c r="K1497" s="9">
        <f>IFERROR(VLOOKUP(I1497,Materiales!$A:$G,7,0),"")</f>
        <v/>
      </c>
      <c r="L1497" s="8" t="inlineStr">
        <is>
          <t>20190426</t>
        </is>
      </c>
      <c r="M1497" s="8" t="inlineStr">
        <is>
          <t>20250127</t>
        </is>
      </c>
      <c r="N1497" s="10" t="n">
        <v>97</v>
      </c>
      <c r="O1497" s="10">
        <f>IFERROR(VLOOKUP(A1497,Flete!$A:$J,10,0),"")</f>
        <v/>
      </c>
      <c r="P1497" s="8" t="inlineStr">
        <is>
          <t>M3</t>
        </is>
      </c>
      <c r="Q1497" s="10">
        <f>IFERROR(IFERROR(VLOOKUP(A1497,TRAOPE!$A:$U,21,0),VLOOKUP(B1497,TRAOPE!$A:$U,21,0)),"")</f>
        <v/>
      </c>
      <c r="R1497" s="8">
        <f>IFERROR(IFERROR(VLOOKUP(A1497,TRAOPE!$A:$W,23,0),VLOOKUP(B1497,TRAOPE!$A:$W,23,0)),"")</f>
        <v/>
      </c>
      <c r="S1497" s="10">
        <f>IF(AND(P1497="TN",R1497="TN"),N1497+N(O1497),IF(G1497&amp;""="1",N(K1497)*N1497,(N1497+N(O1497))*N(K1497)))</f>
        <v/>
      </c>
      <c r="T1497" s="10">
        <f>IF(Q1497="","",Q1497-S1497)</f>
        <v/>
      </c>
    </row>
    <row r="1498">
      <c r="A1498" s="7">
        <f>CONCATENATE(C1498,E1498,F1498,I1498)</f>
        <v/>
      </c>
      <c r="B1498" s="7">
        <f>CONCATENATE(C1498,E1498,I1498)</f>
        <v/>
      </c>
      <c r="C1498" s="8" t="n">
        <v>900004323</v>
      </c>
      <c r="D1498" s="7">
        <f>IFERROR(VLOOKUP(C1498,TRAOPE!$G:$H,2,0),"")</f>
        <v/>
      </c>
      <c r="E1498" s="8" t="inlineStr">
        <is>
          <t>D836</t>
        </is>
      </c>
      <c r="F1498" s="8" t="inlineStr">
        <is>
          <t>65706147</t>
        </is>
      </c>
      <c r="G1498" s="8">
        <f>IFERROR(VLOOKUP(A1498,Flete!$A:$E,5,0),"")</f>
        <v/>
      </c>
      <c r="H1498" s="7">
        <f>IFERROR(VLOOKUP(F1498,TRAOPE!$AA:$AB,2,0),"")</f>
        <v/>
      </c>
      <c r="I1498" s="7" t="n">
        <v>10000160</v>
      </c>
      <c r="J1498" s="7">
        <f>IFERROR(VLOOKUP(I1498,Materiales!$A:$H,8,0),"")</f>
        <v/>
      </c>
      <c r="K1498" s="9">
        <f>IFERROR(VLOOKUP(I1498,Materiales!$A:$G,7,0),"")</f>
        <v/>
      </c>
      <c r="L1498" s="8" t="inlineStr">
        <is>
          <t>20190426</t>
        </is>
      </c>
      <c r="M1498" s="8" t="inlineStr">
        <is>
          <t>20250127</t>
        </is>
      </c>
      <c r="N1498" s="10" t="n">
        <v>87.15000000000001</v>
      </c>
      <c r="O1498" s="10">
        <f>IFERROR(VLOOKUP(A1498,Flete!$A:$J,10,0),"")</f>
        <v/>
      </c>
      <c r="P1498" s="8" t="inlineStr">
        <is>
          <t>M3</t>
        </is>
      </c>
      <c r="Q1498" s="10">
        <f>IFERROR(IFERROR(VLOOKUP(A1498,TRAOPE!$A:$U,21,0),VLOOKUP(B1498,TRAOPE!$A:$U,21,0)),"")</f>
        <v/>
      </c>
      <c r="R1498" s="8">
        <f>IFERROR(IFERROR(VLOOKUP(A1498,TRAOPE!$A:$W,23,0),VLOOKUP(B1498,TRAOPE!$A:$W,23,0)),"")</f>
        <v/>
      </c>
      <c r="S1498" s="10">
        <f>IF(AND(P1498="TN",R1498="TN"),N1498+N(O1498),IF(G1498&amp;""="1",N(K1498)*N1498,(N1498+N(O1498))*N(K1498)))</f>
        <v/>
      </c>
      <c r="T1498" s="10">
        <f>IF(Q1498="","",Q1498-S1498)</f>
        <v/>
      </c>
    </row>
    <row r="1499">
      <c r="A1499" s="7">
        <f>CONCATENATE(C1499,E1499,F1499,I1499)</f>
        <v/>
      </c>
      <c r="B1499" s="7">
        <f>CONCATENATE(C1499,E1499,I1499)</f>
        <v/>
      </c>
      <c r="C1499" s="8" t="n">
        <v>900004323</v>
      </c>
      <c r="D1499" s="7">
        <f>IFERROR(VLOOKUP(C1499,TRAOPE!$G:$H,2,0),"")</f>
        <v/>
      </c>
      <c r="E1499" s="8" t="inlineStr">
        <is>
          <t>D836</t>
        </is>
      </c>
      <c r="F1499" s="8" t="inlineStr">
        <is>
          <t>65706147</t>
        </is>
      </c>
      <c r="G1499" s="8">
        <f>IFERROR(VLOOKUP(A1499,Flete!$A:$E,5,0),"")</f>
        <v/>
      </c>
      <c r="H1499" s="7">
        <f>IFERROR(VLOOKUP(F1499,TRAOPE!$AA:$AB,2,0),"")</f>
        <v/>
      </c>
      <c r="I1499" s="7" t="n">
        <v>10000357</v>
      </c>
      <c r="J1499" s="7">
        <f>IFERROR(VLOOKUP(I1499,Materiales!$A:$H,8,0),"")</f>
        <v/>
      </c>
      <c r="K1499" s="9">
        <f>IFERROR(VLOOKUP(I1499,Materiales!$A:$G,7,0),"")</f>
        <v/>
      </c>
      <c r="L1499" s="8" t="inlineStr">
        <is>
          <t>20190426</t>
        </is>
      </c>
      <c r="M1499" s="8" t="inlineStr">
        <is>
          <t>20250127</t>
        </is>
      </c>
      <c r="N1499" s="10" t="n">
        <v>100.8</v>
      </c>
      <c r="O1499" s="10">
        <f>IFERROR(VLOOKUP(A1499,Flete!$A:$J,10,0),"")</f>
        <v/>
      </c>
      <c r="P1499" s="8" t="inlineStr">
        <is>
          <t>M3</t>
        </is>
      </c>
      <c r="Q1499" s="10">
        <f>IFERROR(IFERROR(VLOOKUP(A1499,TRAOPE!$A:$U,21,0),VLOOKUP(B1499,TRAOPE!$A:$U,21,0)),"")</f>
        <v/>
      </c>
      <c r="R1499" s="8">
        <f>IFERROR(IFERROR(VLOOKUP(A1499,TRAOPE!$A:$W,23,0),VLOOKUP(B1499,TRAOPE!$A:$W,23,0)),"")</f>
        <v/>
      </c>
      <c r="S1499" s="10">
        <f>IF(AND(P1499="TN",R1499="TN"),N1499+N(O1499),IF(G1499&amp;""="1",N(K1499)*N1499,(N1499+N(O1499))*N(K1499)))</f>
        <v/>
      </c>
      <c r="T1499" s="10">
        <f>IF(Q1499="","",Q1499-S1499)</f>
        <v/>
      </c>
    </row>
    <row r="1500">
      <c r="A1500" s="7">
        <f>CONCATENATE(C1500,E1500,F1500,I1500)</f>
        <v/>
      </c>
      <c r="B1500" s="7">
        <f>CONCATENATE(C1500,E1500,I1500)</f>
        <v/>
      </c>
      <c r="C1500" s="8" t="n">
        <v>900004323</v>
      </c>
      <c r="D1500" s="7">
        <f>IFERROR(VLOOKUP(C1500,TRAOPE!$G:$H,2,0),"")</f>
        <v/>
      </c>
      <c r="E1500" s="8" t="inlineStr">
        <is>
          <t>D836</t>
        </is>
      </c>
      <c r="F1500" s="8" t="inlineStr">
        <is>
          <t>65706147</t>
        </is>
      </c>
      <c r="G1500" s="8">
        <f>IFERROR(VLOOKUP(A1500,Flete!$A:$E,5,0),"")</f>
        <v/>
      </c>
      <c r="H1500" s="7">
        <f>IFERROR(VLOOKUP(F1500,TRAOPE!$AA:$AB,2,0),"")</f>
        <v/>
      </c>
      <c r="I1500" s="7" t="n">
        <v>10000627</v>
      </c>
      <c r="J1500" s="7">
        <f>IFERROR(VLOOKUP(I1500,Materiales!$A:$H,8,0),"")</f>
        <v/>
      </c>
      <c r="K1500" s="9">
        <f>IFERROR(VLOOKUP(I1500,Materiales!$A:$G,7,0),"")</f>
        <v/>
      </c>
      <c r="L1500" s="8" t="inlineStr">
        <is>
          <t>20190426</t>
        </is>
      </c>
      <c r="M1500" s="8" t="inlineStr">
        <is>
          <t>20250127</t>
        </is>
      </c>
      <c r="N1500" s="10" t="n">
        <v>88</v>
      </c>
      <c r="O1500" s="10">
        <f>IFERROR(VLOOKUP(A1500,Flete!$A:$J,10,0),"")</f>
        <v/>
      </c>
      <c r="P1500" s="8" t="inlineStr">
        <is>
          <t>M3</t>
        </is>
      </c>
      <c r="Q1500" s="10">
        <f>IFERROR(IFERROR(VLOOKUP(A1500,TRAOPE!$A:$U,21,0),VLOOKUP(B1500,TRAOPE!$A:$U,21,0)),"")</f>
        <v/>
      </c>
      <c r="R1500" s="8">
        <f>IFERROR(IFERROR(VLOOKUP(A1500,TRAOPE!$A:$W,23,0),VLOOKUP(B1500,TRAOPE!$A:$W,23,0)),"")</f>
        <v/>
      </c>
      <c r="S1500" s="10">
        <f>IF(AND(P1500="TN",R1500="TN"),N1500+N(O1500),IF(G1500&amp;""="1",N(K1500)*N1500,(N1500+N(O1500))*N(K1500)))</f>
        <v/>
      </c>
      <c r="T1500" s="10">
        <f>IF(Q1500="","",Q1500-S1500)</f>
        <v/>
      </c>
    </row>
    <row r="1501">
      <c r="A1501" s="7">
        <f>CONCATENATE(C1501,E1501,F1501,I1501)</f>
        <v/>
      </c>
      <c r="B1501" s="7">
        <f>CONCATENATE(C1501,E1501,I1501)</f>
        <v/>
      </c>
      <c r="C1501" s="8" t="n">
        <v>900004323</v>
      </c>
      <c r="D1501" s="7">
        <f>IFERROR(VLOOKUP(C1501,TRAOPE!$G:$H,2,0),"")</f>
        <v/>
      </c>
      <c r="E1501" s="8" t="inlineStr">
        <is>
          <t>D836</t>
        </is>
      </c>
      <c r="F1501" s="8" t="inlineStr">
        <is>
          <t>65751297</t>
        </is>
      </c>
      <c r="G1501" s="8">
        <f>IFERROR(VLOOKUP(A1501,Flete!$A:$E,5,0),"")</f>
        <v/>
      </c>
      <c r="H1501" s="7">
        <f>IFERROR(VLOOKUP(F1501,TRAOPE!$AA:$AB,2,0),"")</f>
        <v/>
      </c>
      <c r="I1501" s="7" t="n">
        <v>10000160</v>
      </c>
      <c r="J1501" s="7">
        <f>IFERROR(VLOOKUP(I1501,Materiales!$A:$H,8,0),"")</f>
        <v/>
      </c>
      <c r="K1501" s="9">
        <f>IFERROR(VLOOKUP(I1501,Materiales!$A:$G,7,0),"")</f>
        <v/>
      </c>
      <c r="L1501" s="8" t="inlineStr">
        <is>
          <t>20190426</t>
        </is>
      </c>
      <c r="M1501" s="8" t="inlineStr">
        <is>
          <t>20250127</t>
        </is>
      </c>
      <c r="N1501" s="10" t="n">
        <v>84</v>
      </c>
      <c r="O1501" s="10">
        <f>IFERROR(VLOOKUP(A1501,Flete!$A:$J,10,0),"")</f>
        <v/>
      </c>
      <c r="P1501" s="8" t="inlineStr">
        <is>
          <t>M3</t>
        </is>
      </c>
      <c r="Q1501" s="10">
        <f>IFERROR(IFERROR(VLOOKUP(A1501,TRAOPE!$A:$U,21,0),VLOOKUP(B1501,TRAOPE!$A:$U,21,0)),"")</f>
        <v/>
      </c>
      <c r="R1501" s="8">
        <f>IFERROR(IFERROR(VLOOKUP(A1501,TRAOPE!$A:$W,23,0),VLOOKUP(B1501,TRAOPE!$A:$W,23,0)),"")</f>
        <v/>
      </c>
      <c r="S1501" s="10">
        <f>IF(AND(P1501="TN",R1501="TN"),N1501+N(O1501),IF(G1501&amp;""="1",N(K1501)*N1501,(N1501+N(O1501))*N(K1501)))</f>
        <v/>
      </c>
      <c r="T1501" s="10">
        <f>IF(Q1501="","",Q1501-S1501)</f>
        <v/>
      </c>
    </row>
    <row r="1502">
      <c r="A1502" s="7">
        <f>CONCATENATE(C1502,E1502,F1502,I1502)</f>
        <v/>
      </c>
      <c r="B1502" s="7">
        <f>CONCATENATE(C1502,E1502,I1502)</f>
        <v/>
      </c>
      <c r="C1502" s="8" t="n">
        <v>900004323</v>
      </c>
      <c r="D1502" s="7">
        <f>IFERROR(VLOOKUP(C1502,TRAOPE!$G:$H,2,0),"")</f>
        <v/>
      </c>
      <c r="E1502" s="8" t="inlineStr">
        <is>
          <t>D836</t>
        </is>
      </c>
      <c r="F1502" s="8" t="inlineStr">
        <is>
          <t>65751297</t>
        </is>
      </c>
      <c r="G1502" s="8">
        <f>IFERROR(VLOOKUP(A1502,Flete!$A:$E,5,0),"")</f>
        <v/>
      </c>
      <c r="H1502" s="7">
        <f>IFERROR(VLOOKUP(F1502,TRAOPE!$AA:$AB,2,0),"")</f>
        <v/>
      </c>
      <c r="I1502" s="7" t="n">
        <v>10000357</v>
      </c>
      <c r="J1502" s="7">
        <f>IFERROR(VLOOKUP(I1502,Materiales!$A:$H,8,0),"")</f>
        <v/>
      </c>
      <c r="K1502" s="9">
        <f>IFERROR(VLOOKUP(I1502,Materiales!$A:$G,7,0),"")</f>
        <v/>
      </c>
      <c r="L1502" s="8" t="inlineStr">
        <is>
          <t>20190426</t>
        </is>
      </c>
      <c r="M1502" s="8" t="inlineStr">
        <is>
          <t>20250127</t>
        </is>
      </c>
      <c r="N1502" s="10" t="n">
        <v>95.5</v>
      </c>
      <c r="O1502" s="10">
        <f>IFERROR(VLOOKUP(A1502,Flete!$A:$J,10,0),"")</f>
        <v/>
      </c>
      <c r="P1502" s="8" t="inlineStr">
        <is>
          <t>M3</t>
        </is>
      </c>
      <c r="Q1502" s="10">
        <f>IFERROR(IFERROR(VLOOKUP(A1502,TRAOPE!$A:$U,21,0),VLOOKUP(B1502,TRAOPE!$A:$U,21,0)),"")</f>
        <v/>
      </c>
      <c r="R1502" s="8">
        <f>IFERROR(IFERROR(VLOOKUP(A1502,TRAOPE!$A:$W,23,0),VLOOKUP(B1502,TRAOPE!$A:$W,23,0)),"")</f>
        <v/>
      </c>
      <c r="S1502" s="10">
        <f>IF(AND(P1502="TN",R1502="TN"),N1502+N(O1502),IF(G1502&amp;""="1",N(K1502)*N1502,(N1502+N(O1502))*N(K1502)))</f>
        <v/>
      </c>
      <c r="T1502" s="10">
        <f>IF(Q1502="","",Q1502-S1502)</f>
        <v/>
      </c>
    </row>
    <row r="1503">
      <c r="A1503" s="7">
        <f>CONCATENATE(C1503,E1503,F1503,I1503)</f>
        <v/>
      </c>
      <c r="B1503" s="7">
        <f>CONCATENATE(C1503,E1503,I1503)</f>
        <v/>
      </c>
      <c r="C1503" s="8" t="n">
        <v>900004323</v>
      </c>
      <c r="D1503" s="7">
        <f>IFERROR(VLOOKUP(C1503,TRAOPE!$G:$H,2,0),"")</f>
        <v/>
      </c>
      <c r="E1503" s="8" t="inlineStr">
        <is>
          <t>D836</t>
        </is>
      </c>
      <c r="F1503" s="8" t="inlineStr">
        <is>
          <t>65751297</t>
        </is>
      </c>
      <c r="G1503" s="8">
        <f>IFERROR(VLOOKUP(A1503,Flete!$A:$E,5,0),"")</f>
        <v/>
      </c>
      <c r="H1503" s="7">
        <f>IFERROR(VLOOKUP(F1503,TRAOPE!$AA:$AB,2,0),"")</f>
        <v/>
      </c>
      <c r="I1503" s="7" t="n">
        <v>10000627</v>
      </c>
      <c r="J1503" s="7">
        <f>IFERROR(VLOOKUP(I1503,Materiales!$A:$H,8,0),"")</f>
        <v/>
      </c>
      <c r="K1503" s="9">
        <f>IFERROR(VLOOKUP(I1503,Materiales!$A:$G,7,0),"")</f>
        <v/>
      </c>
      <c r="L1503" s="8" t="inlineStr">
        <is>
          <t>20190426</t>
        </is>
      </c>
      <c r="M1503" s="8" t="inlineStr">
        <is>
          <t>20250127</t>
        </is>
      </c>
      <c r="N1503" s="10" t="n">
        <v>84</v>
      </c>
      <c r="O1503" s="10">
        <f>IFERROR(VLOOKUP(A1503,Flete!$A:$J,10,0),"")</f>
        <v/>
      </c>
      <c r="P1503" s="8" t="inlineStr">
        <is>
          <t>M3</t>
        </is>
      </c>
      <c r="Q1503" s="10">
        <f>IFERROR(IFERROR(VLOOKUP(A1503,TRAOPE!$A:$U,21,0),VLOOKUP(B1503,TRAOPE!$A:$U,21,0)),"")</f>
        <v/>
      </c>
      <c r="R1503" s="8">
        <f>IFERROR(IFERROR(VLOOKUP(A1503,TRAOPE!$A:$W,23,0),VLOOKUP(B1503,TRAOPE!$A:$W,23,0)),"")</f>
        <v/>
      </c>
      <c r="S1503" s="10">
        <f>IF(AND(P1503="TN",R1503="TN"),N1503+N(O1503),IF(G1503&amp;""="1",N(K1503)*N1503,(N1503+N(O1503))*N(K1503)))</f>
        <v/>
      </c>
      <c r="T1503" s="10">
        <f>IF(Q1503="","",Q1503-S1503)</f>
        <v/>
      </c>
    </row>
    <row r="1504">
      <c r="A1504" s="7">
        <f>CONCATENATE(C1504,E1504,F1504,I1504)</f>
        <v/>
      </c>
      <c r="B1504" s="7">
        <f>CONCATENATE(C1504,E1504,I1504)</f>
        <v/>
      </c>
      <c r="C1504" s="8" t="n">
        <v>900004323</v>
      </c>
      <c r="D1504" s="7">
        <f>IFERROR(VLOOKUP(C1504,TRAOPE!$G:$H,2,0),"")</f>
        <v/>
      </c>
      <c r="E1504" s="8" t="inlineStr">
        <is>
          <t>D836</t>
        </is>
      </c>
      <c r="F1504" s="8" t="inlineStr">
        <is>
          <t>65751298</t>
        </is>
      </c>
      <c r="G1504" s="8">
        <f>IFERROR(VLOOKUP(A1504,Flete!$A:$E,5,0),"")</f>
        <v/>
      </c>
      <c r="H1504" s="7">
        <f>IFERROR(VLOOKUP(F1504,TRAOPE!$AA:$AB,2,0),"")</f>
        <v/>
      </c>
      <c r="I1504" s="7" t="n">
        <v>10000160</v>
      </c>
      <c r="J1504" s="7">
        <f>IFERROR(VLOOKUP(I1504,Materiales!$A:$H,8,0),"")</f>
        <v/>
      </c>
      <c r="K1504" s="9">
        <f>IFERROR(VLOOKUP(I1504,Materiales!$A:$G,7,0),"")</f>
        <v/>
      </c>
      <c r="L1504" s="8" t="inlineStr">
        <is>
          <t>20190426</t>
        </is>
      </c>
      <c r="M1504" s="8" t="inlineStr">
        <is>
          <t>20250127</t>
        </is>
      </c>
      <c r="N1504" s="10" t="n">
        <v>84</v>
      </c>
      <c r="O1504" s="10">
        <f>IFERROR(VLOOKUP(A1504,Flete!$A:$J,10,0),"")</f>
        <v/>
      </c>
      <c r="P1504" s="8" t="inlineStr">
        <is>
          <t>M3</t>
        </is>
      </c>
      <c r="Q1504" s="10">
        <f>IFERROR(IFERROR(VLOOKUP(A1504,TRAOPE!$A:$U,21,0),VLOOKUP(B1504,TRAOPE!$A:$U,21,0)),"")</f>
        <v/>
      </c>
      <c r="R1504" s="8">
        <f>IFERROR(IFERROR(VLOOKUP(A1504,TRAOPE!$A:$W,23,0),VLOOKUP(B1504,TRAOPE!$A:$W,23,0)),"")</f>
        <v/>
      </c>
      <c r="S1504" s="10">
        <f>IF(AND(P1504="TN",R1504="TN"),N1504+N(O1504),IF(G1504&amp;""="1",N(K1504)*N1504,(N1504+N(O1504))*N(K1504)))</f>
        <v/>
      </c>
      <c r="T1504" s="10">
        <f>IF(Q1504="","",Q1504-S1504)</f>
        <v/>
      </c>
    </row>
    <row r="1505">
      <c r="A1505" s="7">
        <f>CONCATENATE(C1505,E1505,F1505,I1505)</f>
        <v/>
      </c>
      <c r="B1505" s="7">
        <f>CONCATENATE(C1505,E1505,I1505)</f>
        <v/>
      </c>
      <c r="C1505" s="8" t="n">
        <v>900004323</v>
      </c>
      <c r="D1505" s="7">
        <f>IFERROR(VLOOKUP(C1505,TRAOPE!$G:$H,2,0),"")</f>
        <v/>
      </c>
      <c r="E1505" s="8" t="inlineStr">
        <is>
          <t>D836</t>
        </is>
      </c>
      <c r="F1505" s="8" t="inlineStr">
        <is>
          <t>65751298</t>
        </is>
      </c>
      <c r="G1505" s="8">
        <f>IFERROR(VLOOKUP(A1505,Flete!$A:$E,5,0),"")</f>
        <v/>
      </c>
      <c r="H1505" s="7">
        <f>IFERROR(VLOOKUP(F1505,TRAOPE!$AA:$AB,2,0),"")</f>
        <v/>
      </c>
      <c r="I1505" s="7" t="n">
        <v>10000357</v>
      </c>
      <c r="J1505" s="7">
        <f>IFERROR(VLOOKUP(I1505,Materiales!$A:$H,8,0),"")</f>
        <v/>
      </c>
      <c r="K1505" s="9">
        <f>IFERROR(VLOOKUP(I1505,Materiales!$A:$G,7,0),"")</f>
        <v/>
      </c>
      <c r="L1505" s="8" t="inlineStr">
        <is>
          <t>20190426</t>
        </is>
      </c>
      <c r="M1505" s="8" t="inlineStr">
        <is>
          <t>20250127</t>
        </is>
      </c>
      <c r="N1505" s="10" t="n">
        <v>95.5</v>
      </c>
      <c r="O1505" s="10">
        <f>IFERROR(VLOOKUP(A1505,Flete!$A:$J,10,0),"")</f>
        <v/>
      </c>
      <c r="P1505" s="8" t="inlineStr">
        <is>
          <t>M3</t>
        </is>
      </c>
      <c r="Q1505" s="10">
        <f>IFERROR(IFERROR(VLOOKUP(A1505,TRAOPE!$A:$U,21,0),VLOOKUP(B1505,TRAOPE!$A:$U,21,0)),"")</f>
        <v/>
      </c>
      <c r="R1505" s="8">
        <f>IFERROR(IFERROR(VLOOKUP(A1505,TRAOPE!$A:$W,23,0),VLOOKUP(B1505,TRAOPE!$A:$W,23,0)),"")</f>
        <v/>
      </c>
      <c r="S1505" s="10">
        <f>IF(AND(P1505="TN",R1505="TN"),N1505+N(O1505),IF(G1505&amp;""="1",N(K1505)*N1505,(N1505+N(O1505))*N(K1505)))</f>
        <v/>
      </c>
      <c r="T1505" s="10">
        <f>IF(Q1505="","",Q1505-S1505)</f>
        <v/>
      </c>
    </row>
    <row r="1506">
      <c r="A1506" s="7">
        <f>CONCATENATE(C1506,E1506,F1506,I1506)</f>
        <v/>
      </c>
      <c r="B1506" s="7">
        <f>CONCATENATE(C1506,E1506,I1506)</f>
        <v/>
      </c>
      <c r="C1506" s="8" t="n">
        <v>900004323</v>
      </c>
      <c r="D1506" s="7">
        <f>IFERROR(VLOOKUP(C1506,TRAOPE!$G:$H,2,0),"")</f>
        <v/>
      </c>
      <c r="E1506" s="8" t="inlineStr">
        <is>
          <t>D836</t>
        </is>
      </c>
      <c r="F1506" s="8" t="inlineStr">
        <is>
          <t>65751298</t>
        </is>
      </c>
      <c r="G1506" s="8">
        <f>IFERROR(VLOOKUP(A1506,Flete!$A:$E,5,0),"")</f>
        <v/>
      </c>
      <c r="H1506" s="7">
        <f>IFERROR(VLOOKUP(F1506,TRAOPE!$AA:$AB,2,0),"")</f>
        <v/>
      </c>
      <c r="I1506" s="7" t="n">
        <v>10000627</v>
      </c>
      <c r="J1506" s="7">
        <f>IFERROR(VLOOKUP(I1506,Materiales!$A:$H,8,0),"")</f>
        <v/>
      </c>
      <c r="K1506" s="9">
        <f>IFERROR(VLOOKUP(I1506,Materiales!$A:$G,7,0),"")</f>
        <v/>
      </c>
      <c r="L1506" s="8" t="inlineStr">
        <is>
          <t>20190426</t>
        </is>
      </c>
      <c r="M1506" s="8" t="inlineStr">
        <is>
          <t>20250127</t>
        </is>
      </c>
      <c r="N1506" s="10" t="n">
        <v>84</v>
      </c>
      <c r="O1506" s="10">
        <f>IFERROR(VLOOKUP(A1506,Flete!$A:$J,10,0),"")</f>
        <v/>
      </c>
      <c r="P1506" s="8" t="inlineStr">
        <is>
          <t>M3</t>
        </is>
      </c>
      <c r="Q1506" s="10">
        <f>IFERROR(IFERROR(VLOOKUP(A1506,TRAOPE!$A:$U,21,0),VLOOKUP(B1506,TRAOPE!$A:$U,21,0)),"")</f>
        <v/>
      </c>
      <c r="R1506" s="8">
        <f>IFERROR(IFERROR(VLOOKUP(A1506,TRAOPE!$A:$W,23,0),VLOOKUP(B1506,TRAOPE!$A:$W,23,0)),"")</f>
        <v/>
      </c>
      <c r="S1506" s="10">
        <f>IF(AND(P1506="TN",R1506="TN"),N1506+N(O1506),IF(G1506&amp;""="1",N(K1506)*N1506,(N1506+N(O1506))*N(K1506)))</f>
        <v/>
      </c>
      <c r="T1506" s="10">
        <f>IF(Q1506="","",Q1506-S1506)</f>
        <v/>
      </c>
    </row>
    <row r="1507">
      <c r="A1507" s="7">
        <f>CONCATENATE(C1507,E1507,F1507,I1507)</f>
        <v/>
      </c>
      <c r="B1507" s="7">
        <f>CONCATENATE(C1507,E1507,I1507)</f>
        <v/>
      </c>
      <c r="C1507" s="8" t="n">
        <v>900004323</v>
      </c>
      <c r="D1507" s="7">
        <f>IFERROR(VLOOKUP(C1507,TRAOPE!$G:$H,2,0),"")</f>
        <v/>
      </c>
      <c r="E1507" s="8" t="inlineStr">
        <is>
          <t>D836</t>
        </is>
      </c>
      <c r="F1507" s="8" t="inlineStr">
        <is>
          <t>65751299</t>
        </is>
      </c>
      <c r="G1507" s="8">
        <f>IFERROR(VLOOKUP(A1507,Flete!$A:$E,5,0),"")</f>
        <v/>
      </c>
      <c r="H1507" s="7">
        <f>IFERROR(VLOOKUP(F1507,TRAOPE!$AA:$AB,2,0),"")</f>
        <v/>
      </c>
      <c r="I1507" s="7" t="n">
        <v>10000160</v>
      </c>
      <c r="J1507" s="7">
        <f>IFERROR(VLOOKUP(I1507,Materiales!$A:$H,8,0),"")</f>
        <v/>
      </c>
      <c r="K1507" s="9">
        <f>IFERROR(VLOOKUP(I1507,Materiales!$A:$G,7,0),"")</f>
        <v/>
      </c>
      <c r="L1507" s="8" t="inlineStr">
        <is>
          <t>20190426</t>
        </is>
      </c>
      <c r="M1507" s="8" t="inlineStr">
        <is>
          <t>20250127</t>
        </is>
      </c>
      <c r="N1507" s="10" t="n">
        <v>84</v>
      </c>
      <c r="O1507" s="10">
        <f>IFERROR(VLOOKUP(A1507,Flete!$A:$J,10,0),"")</f>
        <v/>
      </c>
      <c r="P1507" s="8" t="inlineStr">
        <is>
          <t>M3</t>
        </is>
      </c>
      <c r="Q1507" s="10">
        <f>IFERROR(IFERROR(VLOOKUP(A1507,TRAOPE!$A:$U,21,0),VLOOKUP(B1507,TRAOPE!$A:$U,21,0)),"")</f>
        <v/>
      </c>
      <c r="R1507" s="8">
        <f>IFERROR(IFERROR(VLOOKUP(A1507,TRAOPE!$A:$W,23,0),VLOOKUP(B1507,TRAOPE!$A:$W,23,0)),"")</f>
        <v/>
      </c>
      <c r="S1507" s="10">
        <f>IF(AND(P1507="TN",R1507="TN"),N1507+N(O1507),IF(G1507&amp;""="1",N(K1507)*N1507,(N1507+N(O1507))*N(K1507)))</f>
        <v/>
      </c>
      <c r="T1507" s="10">
        <f>IF(Q1507="","",Q1507-S1507)</f>
        <v/>
      </c>
    </row>
    <row r="1508">
      <c r="A1508" s="7">
        <f>CONCATENATE(C1508,E1508,F1508,I1508)</f>
        <v/>
      </c>
      <c r="B1508" s="7">
        <f>CONCATENATE(C1508,E1508,I1508)</f>
        <v/>
      </c>
      <c r="C1508" s="8" t="n">
        <v>900004323</v>
      </c>
      <c r="D1508" s="7">
        <f>IFERROR(VLOOKUP(C1508,TRAOPE!$G:$H,2,0),"")</f>
        <v/>
      </c>
      <c r="E1508" s="8" t="inlineStr">
        <is>
          <t>D836</t>
        </is>
      </c>
      <c r="F1508" s="8" t="inlineStr">
        <is>
          <t>65751299</t>
        </is>
      </c>
      <c r="G1508" s="8">
        <f>IFERROR(VLOOKUP(A1508,Flete!$A:$E,5,0),"")</f>
        <v/>
      </c>
      <c r="H1508" s="7">
        <f>IFERROR(VLOOKUP(F1508,TRAOPE!$AA:$AB,2,0),"")</f>
        <v/>
      </c>
      <c r="I1508" s="7" t="n">
        <v>10000357</v>
      </c>
      <c r="J1508" s="7">
        <f>IFERROR(VLOOKUP(I1508,Materiales!$A:$H,8,0),"")</f>
        <v/>
      </c>
      <c r="K1508" s="9">
        <f>IFERROR(VLOOKUP(I1508,Materiales!$A:$G,7,0),"")</f>
        <v/>
      </c>
      <c r="L1508" s="8" t="inlineStr">
        <is>
          <t>20190426</t>
        </is>
      </c>
      <c r="M1508" s="8" t="inlineStr">
        <is>
          <t>20250127</t>
        </is>
      </c>
      <c r="N1508" s="10" t="n">
        <v>95.5</v>
      </c>
      <c r="O1508" s="10">
        <f>IFERROR(VLOOKUP(A1508,Flete!$A:$J,10,0),"")</f>
        <v/>
      </c>
      <c r="P1508" s="8" t="inlineStr">
        <is>
          <t>M3</t>
        </is>
      </c>
      <c r="Q1508" s="10">
        <f>IFERROR(IFERROR(VLOOKUP(A1508,TRAOPE!$A:$U,21,0),VLOOKUP(B1508,TRAOPE!$A:$U,21,0)),"")</f>
        <v/>
      </c>
      <c r="R1508" s="8">
        <f>IFERROR(IFERROR(VLOOKUP(A1508,TRAOPE!$A:$W,23,0),VLOOKUP(B1508,TRAOPE!$A:$W,23,0)),"")</f>
        <v/>
      </c>
      <c r="S1508" s="10">
        <f>IF(AND(P1508="TN",R1508="TN"),N1508+N(O1508),IF(G1508&amp;""="1",N(K1508)*N1508,(N1508+N(O1508))*N(K1508)))</f>
        <v/>
      </c>
      <c r="T1508" s="10">
        <f>IF(Q1508="","",Q1508-S1508)</f>
        <v/>
      </c>
    </row>
    <row r="1509">
      <c r="A1509" s="7">
        <f>CONCATENATE(C1509,E1509,F1509,I1509)</f>
        <v/>
      </c>
      <c r="B1509" s="7">
        <f>CONCATENATE(C1509,E1509,I1509)</f>
        <v/>
      </c>
      <c r="C1509" s="8" t="n">
        <v>900004323</v>
      </c>
      <c r="D1509" s="7">
        <f>IFERROR(VLOOKUP(C1509,TRAOPE!$G:$H,2,0),"")</f>
        <v/>
      </c>
      <c r="E1509" s="8" t="inlineStr">
        <is>
          <t>D836</t>
        </is>
      </c>
      <c r="F1509" s="8" t="inlineStr">
        <is>
          <t>65751299</t>
        </is>
      </c>
      <c r="G1509" s="8">
        <f>IFERROR(VLOOKUP(A1509,Flete!$A:$E,5,0),"")</f>
        <v/>
      </c>
      <c r="H1509" s="7">
        <f>IFERROR(VLOOKUP(F1509,TRAOPE!$AA:$AB,2,0),"")</f>
        <v/>
      </c>
      <c r="I1509" s="7" t="n">
        <v>10000627</v>
      </c>
      <c r="J1509" s="7">
        <f>IFERROR(VLOOKUP(I1509,Materiales!$A:$H,8,0),"")</f>
        <v/>
      </c>
      <c r="K1509" s="9">
        <f>IFERROR(VLOOKUP(I1509,Materiales!$A:$G,7,0),"")</f>
        <v/>
      </c>
      <c r="L1509" s="8" t="inlineStr">
        <is>
          <t>20190426</t>
        </is>
      </c>
      <c r="M1509" s="8" t="inlineStr">
        <is>
          <t>20250127</t>
        </is>
      </c>
      <c r="N1509" s="10" t="n">
        <v>84</v>
      </c>
      <c r="O1509" s="10">
        <f>IFERROR(VLOOKUP(A1509,Flete!$A:$J,10,0),"")</f>
        <v/>
      </c>
      <c r="P1509" s="8" t="inlineStr">
        <is>
          <t>M3</t>
        </is>
      </c>
      <c r="Q1509" s="10">
        <f>IFERROR(IFERROR(VLOOKUP(A1509,TRAOPE!$A:$U,21,0),VLOOKUP(B1509,TRAOPE!$A:$U,21,0)),"")</f>
        <v/>
      </c>
      <c r="R1509" s="8">
        <f>IFERROR(IFERROR(VLOOKUP(A1509,TRAOPE!$A:$W,23,0),VLOOKUP(B1509,TRAOPE!$A:$W,23,0)),"")</f>
        <v/>
      </c>
      <c r="S1509" s="10">
        <f>IF(AND(P1509="TN",R1509="TN"),N1509+N(O1509),IF(G1509&amp;""="1",N(K1509)*N1509,(N1509+N(O1509))*N(K1509)))</f>
        <v/>
      </c>
      <c r="T1509" s="10">
        <f>IF(Q1509="","",Q1509-S1509)</f>
        <v/>
      </c>
    </row>
    <row r="1510">
      <c r="A1510" s="7">
        <f>CONCATENATE(C1510,E1510,F1510,I1510)</f>
        <v/>
      </c>
      <c r="B1510" s="7">
        <f>CONCATENATE(C1510,E1510,I1510)</f>
        <v/>
      </c>
      <c r="C1510" s="8" t="n">
        <v>900004323</v>
      </c>
      <c r="D1510" s="7">
        <f>IFERROR(VLOOKUP(C1510,TRAOPE!$G:$H,2,0),"")</f>
        <v/>
      </c>
      <c r="E1510" s="8" t="inlineStr">
        <is>
          <t>D836</t>
        </is>
      </c>
      <c r="F1510" s="8" t="inlineStr">
        <is>
          <t>65751300</t>
        </is>
      </c>
      <c r="G1510" s="8">
        <f>IFERROR(VLOOKUP(A1510,Flete!$A:$E,5,0),"")</f>
        <v/>
      </c>
      <c r="H1510" s="7">
        <f>IFERROR(VLOOKUP(F1510,TRAOPE!$AA:$AB,2,0),"")</f>
        <v/>
      </c>
      <c r="I1510" s="7" t="n">
        <v>10000160</v>
      </c>
      <c r="J1510" s="7">
        <f>IFERROR(VLOOKUP(I1510,Materiales!$A:$H,8,0),"")</f>
        <v/>
      </c>
      <c r="K1510" s="9">
        <f>IFERROR(VLOOKUP(I1510,Materiales!$A:$G,7,0),"")</f>
        <v/>
      </c>
      <c r="L1510" s="8" t="inlineStr">
        <is>
          <t>20190426</t>
        </is>
      </c>
      <c r="M1510" s="8" t="inlineStr">
        <is>
          <t>20250127</t>
        </is>
      </c>
      <c r="N1510" s="10" t="n">
        <v>84</v>
      </c>
      <c r="O1510" s="10">
        <f>IFERROR(VLOOKUP(A1510,Flete!$A:$J,10,0),"")</f>
        <v/>
      </c>
      <c r="P1510" s="8" t="inlineStr">
        <is>
          <t>M3</t>
        </is>
      </c>
      <c r="Q1510" s="10">
        <f>IFERROR(IFERROR(VLOOKUP(A1510,TRAOPE!$A:$U,21,0),VLOOKUP(B1510,TRAOPE!$A:$U,21,0)),"")</f>
        <v/>
      </c>
      <c r="R1510" s="8">
        <f>IFERROR(IFERROR(VLOOKUP(A1510,TRAOPE!$A:$W,23,0),VLOOKUP(B1510,TRAOPE!$A:$W,23,0)),"")</f>
        <v/>
      </c>
      <c r="S1510" s="10">
        <f>IF(AND(P1510="TN",R1510="TN"),N1510+N(O1510),IF(G1510&amp;""="1",N(K1510)*N1510,(N1510+N(O1510))*N(K1510)))</f>
        <v/>
      </c>
      <c r="T1510" s="10">
        <f>IF(Q1510="","",Q1510-S1510)</f>
        <v/>
      </c>
    </row>
    <row r="1511">
      <c r="A1511" s="7">
        <f>CONCATENATE(C1511,E1511,F1511,I1511)</f>
        <v/>
      </c>
      <c r="B1511" s="7">
        <f>CONCATENATE(C1511,E1511,I1511)</f>
        <v/>
      </c>
      <c r="C1511" s="8" t="n">
        <v>900004323</v>
      </c>
      <c r="D1511" s="7">
        <f>IFERROR(VLOOKUP(C1511,TRAOPE!$G:$H,2,0),"")</f>
        <v/>
      </c>
      <c r="E1511" s="8" t="inlineStr">
        <is>
          <t>D836</t>
        </is>
      </c>
      <c r="F1511" s="8" t="inlineStr">
        <is>
          <t>65751300</t>
        </is>
      </c>
      <c r="G1511" s="8">
        <f>IFERROR(VLOOKUP(A1511,Flete!$A:$E,5,0),"")</f>
        <v/>
      </c>
      <c r="H1511" s="7">
        <f>IFERROR(VLOOKUP(F1511,TRAOPE!$AA:$AB,2,0),"")</f>
        <v/>
      </c>
      <c r="I1511" s="7" t="n">
        <v>10000357</v>
      </c>
      <c r="J1511" s="7">
        <f>IFERROR(VLOOKUP(I1511,Materiales!$A:$H,8,0),"")</f>
        <v/>
      </c>
      <c r="K1511" s="9">
        <f>IFERROR(VLOOKUP(I1511,Materiales!$A:$G,7,0),"")</f>
        <v/>
      </c>
      <c r="L1511" s="8" t="inlineStr">
        <is>
          <t>20190426</t>
        </is>
      </c>
      <c r="M1511" s="8" t="inlineStr">
        <is>
          <t>20250127</t>
        </is>
      </c>
      <c r="N1511" s="10" t="n">
        <v>95.5</v>
      </c>
      <c r="O1511" s="10">
        <f>IFERROR(VLOOKUP(A1511,Flete!$A:$J,10,0),"")</f>
        <v/>
      </c>
      <c r="P1511" s="8" t="inlineStr">
        <is>
          <t>M3</t>
        </is>
      </c>
      <c r="Q1511" s="10">
        <f>IFERROR(IFERROR(VLOOKUP(A1511,TRAOPE!$A:$U,21,0),VLOOKUP(B1511,TRAOPE!$A:$U,21,0)),"")</f>
        <v/>
      </c>
      <c r="R1511" s="8">
        <f>IFERROR(IFERROR(VLOOKUP(A1511,TRAOPE!$A:$W,23,0),VLOOKUP(B1511,TRAOPE!$A:$W,23,0)),"")</f>
        <v/>
      </c>
      <c r="S1511" s="10">
        <f>IF(AND(P1511="TN",R1511="TN"),N1511+N(O1511),IF(G1511&amp;""="1",N(K1511)*N1511,(N1511+N(O1511))*N(K1511)))</f>
        <v/>
      </c>
      <c r="T1511" s="10">
        <f>IF(Q1511="","",Q1511-S1511)</f>
        <v/>
      </c>
    </row>
    <row r="1512">
      <c r="A1512" s="7">
        <f>CONCATENATE(C1512,E1512,F1512,I1512)</f>
        <v/>
      </c>
      <c r="B1512" s="7">
        <f>CONCATENATE(C1512,E1512,I1512)</f>
        <v/>
      </c>
      <c r="C1512" s="8" t="n">
        <v>900004323</v>
      </c>
      <c r="D1512" s="7">
        <f>IFERROR(VLOOKUP(C1512,TRAOPE!$G:$H,2,0),"")</f>
        <v/>
      </c>
      <c r="E1512" s="8" t="inlineStr">
        <is>
          <t>D836</t>
        </is>
      </c>
      <c r="F1512" s="8" t="inlineStr">
        <is>
          <t>65751300</t>
        </is>
      </c>
      <c r="G1512" s="8">
        <f>IFERROR(VLOOKUP(A1512,Flete!$A:$E,5,0),"")</f>
        <v/>
      </c>
      <c r="H1512" s="7">
        <f>IFERROR(VLOOKUP(F1512,TRAOPE!$AA:$AB,2,0),"")</f>
        <v/>
      </c>
      <c r="I1512" s="7" t="n">
        <v>10000627</v>
      </c>
      <c r="J1512" s="7">
        <f>IFERROR(VLOOKUP(I1512,Materiales!$A:$H,8,0),"")</f>
        <v/>
      </c>
      <c r="K1512" s="9">
        <f>IFERROR(VLOOKUP(I1512,Materiales!$A:$G,7,0),"")</f>
        <v/>
      </c>
      <c r="L1512" s="8" t="inlineStr">
        <is>
          <t>20190426</t>
        </is>
      </c>
      <c r="M1512" s="8" t="inlineStr">
        <is>
          <t>20250127</t>
        </is>
      </c>
      <c r="N1512" s="10" t="n">
        <v>84</v>
      </c>
      <c r="O1512" s="10">
        <f>IFERROR(VLOOKUP(A1512,Flete!$A:$J,10,0),"")</f>
        <v/>
      </c>
      <c r="P1512" s="8" t="inlineStr">
        <is>
          <t>M3</t>
        </is>
      </c>
      <c r="Q1512" s="10">
        <f>IFERROR(IFERROR(VLOOKUP(A1512,TRAOPE!$A:$U,21,0),VLOOKUP(B1512,TRAOPE!$A:$U,21,0)),"")</f>
        <v/>
      </c>
      <c r="R1512" s="8">
        <f>IFERROR(IFERROR(VLOOKUP(A1512,TRAOPE!$A:$W,23,0),VLOOKUP(B1512,TRAOPE!$A:$W,23,0)),"")</f>
        <v/>
      </c>
      <c r="S1512" s="10">
        <f>IF(AND(P1512="TN",R1512="TN"),N1512+N(O1512),IF(G1512&amp;""="1",N(K1512)*N1512,(N1512+N(O1512))*N(K1512)))</f>
        <v/>
      </c>
      <c r="T1512" s="10">
        <f>IF(Q1512="","",Q1512-S1512)</f>
        <v/>
      </c>
    </row>
    <row r="1513">
      <c r="A1513" s="7">
        <f>CONCATENATE(C1513,E1513,F1513,I1513)</f>
        <v/>
      </c>
      <c r="B1513" s="7">
        <f>CONCATENATE(C1513,E1513,I1513)</f>
        <v/>
      </c>
      <c r="C1513" s="8" t="n">
        <v>900004323</v>
      </c>
      <c r="D1513" s="7">
        <f>IFERROR(VLOOKUP(C1513,TRAOPE!$G:$H,2,0),"")</f>
        <v/>
      </c>
      <c r="E1513" s="8" t="inlineStr">
        <is>
          <t>D836</t>
        </is>
      </c>
      <c r="F1513" s="8" t="inlineStr">
        <is>
          <t>65911289</t>
        </is>
      </c>
      <c r="G1513" s="8">
        <f>IFERROR(VLOOKUP(A1513,Flete!$A:$E,5,0),"")</f>
        <v/>
      </c>
      <c r="H1513" s="7">
        <f>IFERROR(VLOOKUP(F1513,TRAOPE!$AA:$AB,2,0),"")</f>
        <v/>
      </c>
      <c r="I1513" s="7" t="n">
        <v>10000160</v>
      </c>
      <c r="J1513" s="7">
        <f>IFERROR(VLOOKUP(I1513,Materiales!$A:$H,8,0),"")</f>
        <v/>
      </c>
      <c r="K1513" s="9">
        <f>IFERROR(VLOOKUP(I1513,Materiales!$A:$G,7,0),"")</f>
        <v/>
      </c>
      <c r="L1513" s="8" t="inlineStr">
        <is>
          <t>20190426</t>
        </is>
      </c>
      <c r="M1513" s="8" t="inlineStr">
        <is>
          <t>20250127</t>
        </is>
      </c>
      <c r="N1513" s="10" t="n">
        <v>89.25</v>
      </c>
      <c r="O1513" s="10">
        <f>IFERROR(VLOOKUP(A1513,Flete!$A:$J,10,0),"")</f>
        <v/>
      </c>
      <c r="P1513" s="8" t="inlineStr">
        <is>
          <t>M3</t>
        </is>
      </c>
      <c r="Q1513" s="10">
        <f>IFERROR(IFERROR(VLOOKUP(A1513,TRAOPE!$A:$U,21,0),VLOOKUP(B1513,TRAOPE!$A:$U,21,0)),"")</f>
        <v/>
      </c>
      <c r="R1513" s="8">
        <f>IFERROR(IFERROR(VLOOKUP(A1513,TRAOPE!$A:$W,23,0),VLOOKUP(B1513,TRAOPE!$A:$W,23,0)),"")</f>
        <v/>
      </c>
      <c r="S1513" s="10">
        <f>IF(AND(P1513="TN",R1513="TN"),N1513+N(O1513),IF(G1513&amp;""="1",N(K1513)*N1513,(N1513+N(O1513))*N(K1513)))</f>
        <v/>
      </c>
      <c r="T1513" s="10">
        <f>IF(Q1513="","",Q1513-S1513)</f>
        <v/>
      </c>
    </row>
    <row r="1514">
      <c r="A1514" s="7">
        <f>CONCATENATE(C1514,E1514,F1514,I1514)</f>
        <v/>
      </c>
      <c r="B1514" s="7">
        <f>CONCATENATE(C1514,E1514,I1514)</f>
        <v/>
      </c>
      <c r="C1514" s="8" t="n">
        <v>900004323</v>
      </c>
      <c r="D1514" s="7">
        <f>IFERROR(VLOOKUP(C1514,TRAOPE!$G:$H,2,0),"")</f>
        <v/>
      </c>
      <c r="E1514" s="8" t="inlineStr">
        <is>
          <t>D836</t>
        </is>
      </c>
      <c r="F1514" s="8" t="inlineStr">
        <is>
          <t>65911313</t>
        </is>
      </c>
      <c r="G1514" s="8">
        <f>IFERROR(VLOOKUP(A1514,Flete!$A:$E,5,0),"")</f>
        <v/>
      </c>
      <c r="H1514" s="7">
        <f>IFERROR(VLOOKUP(F1514,TRAOPE!$AA:$AB,2,0),"")</f>
        <v/>
      </c>
      <c r="I1514" s="7" t="n">
        <v>10000160</v>
      </c>
      <c r="J1514" s="7">
        <f>IFERROR(VLOOKUP(I1514,Materiales!$A:$H,8,0),"")</f>
        <v/>
      </c>
      <c r="K1514" s="9">
        <f>IFERROR(VLOOKUP(I1514,Materiales!$A:$G,7,0),"")</f>
        <v/>
      </c>
      <c r="L1514" s="8" t="inlineStr">
        <is>
          <t>20190426</t>
        </is>
      </c>
      <c r="M1514" s="8" t="inlineStr">
        <is>
          <t>20250127</t>
        </is>
      </c>
      <c r="N1514" s="10" t="n">
        <v>89.25</v>
      </c>
      <c r="O1514" s="10">
        <f>IFERROR(VLOOKUP(A1514,Flete!$A:$J,10,0),"")</f>
        <v/>
      </c>
      <c r="P1514" s="8" t="inlineStr">
        <is>
          <t>M3</t>
        </is>
      </c>
      <c r="Q1514" s="10">
        <f>IFERROR(IFERROR(VLOOKUP(A1514,TRAOPE!$A:$U,21,0),VLOOKUP(B1514,TRAOPE!$A:$U,21,0)),"")</f>
        <v/>
      </c>
      <c r="R1514" s="8">
        <f>IFERROR(IFERROR(VLOOKUP(A1514,TRAOPE!$A:$W,23,0),VLOOKUP(B1514,TRAOPE!$A:$W,23,0)),"")</f>
        <v/>
      </c>
      <c r="S1514" s="10">
        <f>IF(AND(P1514="TN",R1514="TN"),N1514+N(O1514),IF(G1514&amp;""="1",N(K1514)*N1514,(N1514+N(O1514))*N(K1514)))</f>
        <v/>
      </c>
      <c r="T1514" s="10">
        <f>IF(Q1514="","",Q1514-S1514)</f>
        <v/>
      </c>
    </row>
    <row r="1515">
      <c r="A1515" s="7">
        <f>CONCATENATE(C1515,E1515,F1515,I1515)</f>
        <v/>
      </c>
      <c r="B1515" s="7">
        <f>CONCATENATE(C1515,E1515,I1515)</f>
        <v/>
      </c>
      <c r="C1515" s="8" t="n">
        <v>900004323</v>
      </c>
      <c r="D1515" s="7">
        <f>IFERROR(VLOOKUP(C1515,TRAOPE!$G:$H,2,0),"")</f>
        <v/>
      </c>
      <c r="E1515" s="8" t="inlineStr">
        <is>
          <t>D836</t>
        </is>
      </c>
      <c r="F1515" s="8" t="inlineStr">
        <is>
          <t>65911313</t>
        </is>
      </c>
      <c r="G1515" s="8">
        <f>IFERROR(VLOOKUP(A1515,Flete!$A:$E,5,0),"")</f>
        <v/>
      </c>
      <c r="H1515" s="7">
        <f>IFERROR(VLOOKUP(F1515,TRAOPE!$AA:$AB,2,0),"")</f>
        <v/>
      </c>
      <c r="I1515" s="7" t="n">
        <v>10000357</v>
      </c>
      <c r="J1515" s="7">
        <f>IFERROR(VLOOKUP(I1515,Materiales!$A:$H,8,0),"")</f>
        <v/>
      </c>
      <c r="K1515" s="9">
        <f>IFERROR(VLOOKUP(I1515,Materiales!$A:$G,7,0),"")</f>
        <v/>
      </c>
      <c r="L1515" s="8" t="inlineStr">
        <is>
          <t>20190426</t>
        </is>
      </c>
      <c r="M1515" s="8" t="inlineStr">
        <is>
          <t>20250127</t>
        </is>
      </c>
      <c r="N1515" s="10" t="n">
        <v>100.8</v>
      </c>
      <c r="O1515" s="10">
        <f>IFERROR(VLOOKUP(A1515,Flete!$A:$J,10,0),"")</f>
        <v/>
      </c>
      <c r="P1515" s="8" t="inlineStr">
        <is>
          <t>M3</t>
        </is>
      </c>
      <c r="Q1515" s="10">
        <f>IFERROR(IFERROR(VLOOKUP(A1515,TRAOPE!$A:$U,21,0),VLOOKUP(B1515,TRAOPE!$A:$U,21,0)),"")</f>
        <v/>
      </c>
      <c r="R1515" s="8">
        <f>IFERROR(IFERROR(VLOOKUP(A1515,TRAOPE!$A:$W,23,0),VLOOKUP(B1515,TRAOPE!$A:$W,23,0)),"")</f>
        <v/>
      </c>
      <c r="S1515" s="10">
        <f>IF(AND(P1515="TN",R1515="TN"),N1515+N(O1515),IF(G1515&amp;""="1",N(K1515)*N1515,(N1515+N(O1515))*N(K1515)))</f>
        <v/>
      </c>
      <c r="T1515" s="10">
        <f>IF(Q1515="","",Q1515-S1515)</f>
        <v/>
      </c>
    </row>
    <row r="1516">
      <c r="A1516" s="7">
        <f>CONCATENATE(C1516,E1516,F1516,I1516)</f>
        <v/>
      </c>
      <c r="B1516" s="7">
        <f>CONCATENATE(C1516,E1516,I1516)</f>
        <v/>
      </c>
      <c r="C1516" s="8" t="n">
        <v>900004323</v>
      </c>
      <c r="D1516" s="7">
        <f>IFERROR(VLOOKUP(C1516,TRAOPE!$G:$H,2,0),"")</f>
        <v/>
      </c>
      <c r="E1516" s="8" t="inlineStr">
        <is>
          <t>D836</t>
        </is>
      </c>
      <c r="F1516" s="8" t="inlineStr">
        <is>
          <t>65911313</t>
        </is>
      </c>
      <c r="G1516" s="8">
        <f>IFERROR(VLOOKUP(A1516,Flete!$A:$E,5,0),"")</f>
        <v/>
      </c>
      <c r="H1516" s="7">
        <f>IFERROR(VLOOKUP(F1516,TRAOPE!$AA:$AB,2,0),"")</f>
        <v/>
      </c>
      <c r="I1516" s="7" t="n">
        <v>10000627</v>
      </c>
      <c r="J1516" s="7">
        <f>IFERROR(VLOOKUP(I1516,Materiales!$A:$H,8,0),"")</f>
        <v/>
      </c>
      <c r="K1516" s="9">
        <f>IFERROR(VLOOKUP(I1516,Materiales!$A:$G,7,0),"")</f>
        <v/>
      </c>
      <c r="L1516" s="8" t="inlineStr">
        <is>
          <t>20190426</t>
        </is>
      </c>
      <c r="M1516" s="8" t="inlineStr">
        <is>
          <t>20250127</t>
        </is>
      </c>
      <c r="N1516" s="10" t="n">
        <v>88</v>
      </c>
      <c r="O1516" s="10">
        <f>IFERROR(VLOOKUP(A1516,Flete!$A:$J,10,0),"")</f>
        <v/>
      </c>
      <c r="P1516" s="8" t="inlineStr">
        <is>
          <t>M3</t>
        </is>
      </c>
      <c r="Q1516" s="10">
        <f>IFERROR(IFERROR(VLOOKUP(A1516,TRAOPE!$A:$U,21,0),VLOOKUP(B1516,TRAOPE!$A:$U,21,0)),"")</f>
        <v/>
      </c>
      <c r="R1516" s="8">
        <f>IFERROR(IFERROR(VLOOKUP(A1516,TRAOPE!$A:$W,23,0),VLOOKUP(B1516,TRAOPE!$A:$W,23,0)),"")</f>
        <v/>
      </c>
      <c r="S1516" s="10">
        <f>IF(AND(P1516="TN",R1516="TN"),N1516+N(O1516),IF(G1516&amp;""="1",N(K1516)*N1516,(N1516+N(O1516))*N(K1516)))</f>
        <v/>
      </c>
      <c r="T1516" s="10">
        <f>IF(Q1516="","",Q1516-S1516)</f>
        <v/>
      </c>
    </row>
    <row r="1517">
      <c r="A1517" s="7">
        <f>CONCATENATE(C1517,E1517,F1517,I1517)</f>
        <v/>
      </c>
      <c r="B1517" s="7">
        <f>CONCATENATE(C1517,E1517,I1517)</f>
        <v/>
      </c>
      <c r="C1517" s="8" t="n">
        <v>900004323</v>
      </c>
      <c r="D1517" s="7">
        <f>IFERROR(VLOOKUP(C1517,TRAOPE!$G:$H,2,0),"")</f>
        <v/>
      </c>
      <c r="E1517" s="8" t="inlineStr">
        <is>
          <t>D836</t>
        </is>
      </c>
      <c r="F1517" s="8" t="inlineStr">
        <is>
          <t>66233244</t>
        </is>
      </c>
      <c r="G1517" s="8">
        <f>IFERROR(VLOOKUP(A1517,Flete!$A:$E,5,0),"")</f>
        <v/>
      </c>
      <c r="H1517" s="7">
        <f>IFERROR(VLOOKUP(F1517,TRAOPE!$AA:$AB,2,0),"")</f>
        <v/>
      </c>
      <c r="I1517" s="7" t="n">
        <v>10000160</v>
      </c>
      <c r="J1517" s="7">
        <f>IFERROR(VLOOKUP(I1517,Materiales!$A:$H,8,0),"")</f>
        <v/>
      </c>
      <c r="K1517" s="9">
        <f>IFERROR(VLOOKUP(I1517,Materiales!$A:$G,7,0),"")</f>
        <v/>
      </c>
      <c r="L1517" s="8" t="inlineStr">
        <is>
          <t>20190426</t>
        </is>
      </c>
      <c r="M1517" s="8" t="inlineStr">
        <is>
          <t>20250127</t>
        </is>
      </c>
      <c r="N1517" s="10" t="n">
        <v>89.25</v>
      </c>
      <c r="O1517" s="10">
        <f>IFERROR(VLOOKUP(A1517,Flete!$A:$J,10,0),"")</f>
        <v/>
      </c>
      <c r="P1517" s="8" t="inlineStr">
        <is>
          <t>M3</t>
        </is>
      </c>
      <c r="Q1517" s="10">
        <f>IFERROR(IFERROR(VLOOKUP(A1517,TRAOPE!$A:$U,21,0),VLOOKUP(B1517,TRAOPE!$A:$U,21,0)),"")</f>
        <v/>
      </c>
      <c r="R1517" s="8">
        <f>IFERROR(IFERROR(VLOOKUP(A1517,TRAOPE!$A:$W,23,0),VLOOKUP(B1517,TRAOPE!$A:$W,23,0)),"")</f>
        <v/>
      </c>
      <c r="S1517" s="10">
        <f>IF(AND(P1517="TN",R1517="TN"),N1517+N(O1517),IF(G1517&amp;""="1",N(K1517)*N1517,(N1517+N(O1517))*N(K1517)))</f>
        <v/>
      </c>
      <c r="T1517" s="10">
        <f>IF(Q1517="","",Q1517-S1517)</f>
        <v/>
      </c>
    </row>
    <row r="1518">
      <c r="A1518" s="7">
        <f>CONCATENATE(C1518,E1518,F1518,I1518)</f>
        <v/>
      </c>
      <c r="B1518" s="7">
        <f>CONCATENATE(C1518,E1518,I1518)</f>
        <v/>
      </c>
      <c r="C1518" s="8" t="n">
        <v>900004323</v>
      </c>
      <c r="D1518" s="7">
        <f>IFERROR(VLOOKUP(C1518,TRAOPE!$G:$H,2,0),"")</f>
        <v/>
      </c>
      <c r="E1518" s="8" t="inlineStr">
        <is>
          <t>D836</t>
        </is>
      </c>
      <c r="F1518" s="8" t="inlineStr">
        <is>
          <t>66233244</t>
        </is>
      </c>
      <c r="G1518" s="8">
        <f>IFERROR(VLOOKUP(A1518,Flete!$A:$E,5,0),"")</f>
        <v/>
      </c>
      <c r="H1518" s="7">
        <f>IFERROR(VLOOKUP(F1518,TRAOPE!$AA:$AB,2,0),"")</f>
        <v/>
      </c>
      <c r="I1518" s="7" t="n">
        <v>10000357</v>
      </c>
      <c r="J1518" s="7">
        <f>IFERROR(VLOOKUP(I1518,Materiales!$A:$H,8,0),"")</f>
        <v/>
      </c>
      <c r="K1518" s="9">
        <f>IFERROR(VLOOKUP(I1518,Materiales!$A:$G,7,0),"")</f>
        <v/>
      </c>
      <c r="L1518" s="8" t="inlineStr">
        <is>
          <t>20190426</t>
        </is>
      </c>
      <c r="M1518" s="8" t="inlineStr">
        <is>
          <t>20250127</t>
        </is>
      </c>
      <c r="N1518" s="10" t="n">
        <v>100.8</v>
      </c>
      <c r="O1518" s="10">
        <f>IFERROR(VLOOKUP(A1518,Flete!$A:$J,10,0),"")</f>
        <v/>
      </c>
      <c r="P1518" s="8" t="inlineStr">
        <is>
          <t>M3</t>
        </is>
      </c>
      <c r="Q1518" s="10">
        <f>IFERROR(IFERROR(VLOOKUP(A1518,TRAOPE!$A:$U,21,0),VLOOKUP(B1518,TRAOPE!$A:$U,21,0)),"")</f>
        <v/>
      </c>
      <c r="R1518" s="8">
        <f>IFERROR(IFERROR(VLOOKUP(A1518,TRAOPE!$A:$W,23,0),VLOOKUP(B1518,TRAOPE!$A:$W,23,0)),"")</f>
        <v/>
      </c>
      <c r="S1518" s="10">
        <f>IF(AND(P1518="TN",R1518="TN"),N1518+N(O1518),IF(G1518&amp;""="1",N(K1518)*N1518,(N1518+N(O1518))*N(K1518)))</f>
        <v/>
      </c>
      <c r="T1518" s="10">
        <f>IF(Q1518="","",Q1518-S1518)</f>
        <v/>
      </c>
    </row>
    <row r="1519">
      <c r="A1519" s="7">
        <f>CONCATENATE(C1519,E1519,F1519,I1519)</f>
        <v/>
      </c>
      <c r="B1519" s="7">
        <f>CONCATENATE(C1519,E1519,I1519)</f>
        <v/>
      </c>
      <c r="C1519" s="8" t="n">
        <v>900004323</v>
      </c>
      <c r="D1519" s="7">
        <f>IFERROR(VLOOKUP(C1519,TRAOPE!$G:$H,2,0),"")</f>
        <v/>
      </c>
      <c r="E1519" s="8" t="inlineStr">
        <is>
          <t>D836</t>
        </is>
      </c>
      <c r="F1519" s="8" t="inlineStr">
        <is>
          <t>66239560</t>
        </is>
      </c>
      <c r="G1519" s="8">
        <f>IFERROR(VLOOKUP(A1519,Flete!$A:$E,5,0),"")</f>
        <v/>
      </c>
      <c r="H1519" s="7">
        <f>IFERROR(VLOOKUP(F1519,TRAOPE!$AA:$AB,2,0),"")</f>
        <v/>
      </c>
      <c r="I1519" s="7" t="n">
        <v>10000160</v>
      </c>
      <c r="J1519" s="7">
        <f>IFERROR(VLOOKUP(I1519,Materiales!$A:$H,8,0),"")</f>
        <v/>
      </c>
      <c r="K1519" s="9">
        <f>IFERROR(VLOOKUP(I1519,Materiales!$A:$G,7,0),"")</f>
        <v/>
      </c>
      <c r="L1519" s="8" t="inlineStr">
        <is>
          <t>20190426</t>
        </is>
      </c>
      <c r="M1519" s="8" t="inlineStr">
        <is>
          <t>20250127</t>
        </is>
      </c>
      <c r="N1519" s="10" t="n">
        <v>84</v>
      </c>
      <c r="O1519" s="10">
        <f>IFERROR(VLOOKUP(A1519,Flete!$A:$J,10,0),"")</f>
        <v/>
      </c>
      <c r="P1519" s="8" t="inlineStr">
        <is>
          <t>M3</t>
        </is>
      </c>
      <c r="Q1519" s="10">
        <f>IFERROR(IFERROR(VLOOKUP(A1519,TRAOPE!$A:$U,21,0),VLOOKUP(B1519,TRAOPE!$A:$U,21,0)),"")</f>
        <v/>
      </c>
      <c r="R1519" s="8">
        <f>IFERROR(IFERROR(VLOOKUP(A1519,TRAOPE!$A:$W,23,0),VLOOKUP(B1519,TRAOPE!$A:$W,23,0)),"")</f>
        <v/>
      </c>
      <c r="S1519" s="10">
        <f>IF(AND(P1519="TN",R1519="TN"),N1519+N(O1519),IF(G1519&amp;""="1",N(K1519)*N1519,(N1519+N(O1519))*N(K1519)))</f>
        <v/>
      </c>
      <c r="T1519" s="10">
        <f>IF(Q1519="","",Q1519-S1519)</f>
        <v/>
      </c>
    </row>
    <row r="1520">
      <c r="A1520" s="7">
        <f>CONCATENATE(C1520,E1520,F1520,I1520)</f>
        <v/>
      </c>
      <c r="B1520" s="7">
        <f>CONCATENATE(C1520,E1520,I1520)</f>
        <v/>
      </c>
      <c r="C1520" s="8" t="n">
        <v>900004323</v>
      </c>
      <c r="D1520" s="7">
        <f>IFERROR(VLOOKUP(C1520,TRAOPE!$G:$H,2,0),"")</f>
        <v/>
      </c>
      <c r="E1520" s="8" t="inlineStr">
        <is>
          <t>D836</t>
        </is>
      </c>
      <c r="F1520" s="8" t="inlineStr">
        <is>
          <t>66239560</t>
        </is>
      </c>
      <c r="G1520" s="8">
        <f>IFERROR(VLOOKUP(A1520,Flete!$A:$E,5,0),"")</f>
        <v/>
      </c>
      <c r="H1520" s="7">
        <f>IFERROR(VLOOKUP(F1520,TRAOPE!$AA:$AB,2,0),"")</f>
        <v/>
      </c>
      <c r="I1520" s="7" t="n">
        <v>10000357</v>
      </c>
      <c r="J1520" s="7">
        <f>IFERROR(VLOOKUP(I1520,Materiales!$A:$H,8,0),"")</f>
        <v/>
      </c>
      <c r="K1520" s="9">
        <f>IFERROR(VLOOKUP(I1520,Materiales!$A:$G,7,0),"")</f>
        <v/>
      </c>
      <c r="L1520" s="8" t="inlineStr">
        <is>
          <t>20190426</t>
        </is>
      </c>
      <c r="M1520" s="8" t="inlineStr">
        <is>
          <t>20250127</t>
        </is>
      </c>
      <c r="N1520" s="10" t="n">
        <v>95.5</v>
      </c>
      <c r="O1520" s="10">
        <f>IFERROR(VLOOKUP(A1520,Flete!$A:$J,10,0),"")</f>
        <v/>
      </c>
      <c r="P1520" s="8" t="inlineStr">
        <is>
          <t>M3</t>
        </is>
      </c>
      <c r="Q1520" s="10">
        <f>IFERROR(IFERROR(VLOOKUP(A1520,TRAOPE!$A:$U,21,0),VLOOKUP(B1520,TRAOPE!$A:$U,21,0)),"")</f>
        <v/>
      </c>
      <c r="R1520" s="8">
        <f>IFERROR(IFERROR(VLOOKUP(A1520,TRAOPE!$A:$W,23,0),VLOOKUP(B1520,TRAOPE!$A:$W,23,0)),"")</f>
        <v/>
      </c>
      <c r="S1520" s="10">
        <f>IF(AND(P1520="TN",R1520="TN"),N1520+N(O1520),IF(G1520&amp;""="1",N(K1520)*N1520,(N1520+N(O1520))*N(K1520)))</f>
        <v/>
      </c>
      <c r="T1520" s="10">
        <f>IF(Q1520="","",Q1520-S1520)</f>
        <v/>
      </c>
    </row>
    <row r="1521">
      <c r="A1521" s="7">
        <f>CONCATENATE(C1521,E1521,F1521,I1521)</f>
        <v/>
      </c>
      <c r="B1521" s="7">
        <f>CONCATENATE(C1521,E1521,I1521)</f>
        <v/>
      </c>
      <c r="C1521" s="8" t="n">
        <v>900004323</v>
      </c>
      <c r="D1521" s="7">
        <f>IFERROR(VLOOKUP(C1521,TRAOPE!$G:$H,2,0),"")</f>
        <v/>
      </c>
      <c r="E1521" s="8" t="inlineStr">
        <is>
          <t>D836</t>
        </is>
      </c>
      <c r="F1521" s="8" t="inlineStr">
        <is>
          <t>66239560</t>
        </is>
      </c>
      <c r="G1521" s="8">
        <f>IFERROR(VLOOKUP(A1521,Flete!$A:$E,5,0),"")</f>
        <v/>
      </c>
      <c r="H1521" s="7">
        <f>IFERROR(VLOOKUP(F1521,TRAOPE!$AA:$AB,2,0),"")</f>
        <v/>
      </c>
      <c r="I1521" s="7" t="n">
        <v>10000627</v>
      </c>
      <c r="J1521" s="7">
        <f>IFERROR(VLOOKUP(I1521,Materiales!$A:$H,8,0),"")</f>
        <v/>
      </c>
      <c r="K1521" s="9">
        <f>IFERROR(VLOOKUP(I1521,Materiales!$A:$G,7,0),"")</f>
        <v/>
      </c>
      <c r="L1521" s="8" t="inlineStr">
        <is>
          <t>20190426</t>
        </is>
      </c>
      <c r="M1521" s="8" t="inlineStr">
        <is>
          <t>20250127</t>
        </is>
      </c>
      <c r="N1521" s="10" t="n">
        <v>84</v>
      </c>
      <c r="O1521" s="10">
        <f>IFERROR(VLOOKUP(A1521,Flete!$A:$J,10,0),"")</f>
        <v/>
      </c>
      <c r="P1521" s="8" t="inlineStr">
        <is>
          <t>M3</t>
        </is>
      </c>
      <c r="Q1521" s="10">
        <f>IFERROR(IFERROR(VLOOKUP(A1521,TRAOPE!$A:$U,21,0),VLOOKUP(B1521,TRAOPE!$A:$U,21,0)),"")</f>
        <v/>
      </c>
      <c r="R1521" s="8">
        <f>IFERROR(IFERROR(VLOOKUP(A1521,TRAOPE!$A:$W,23,0),VLOOKUP(B1521,TRAOPE!$A:$W,23,0)),"")</f>
        <v/>
      </c>
      <c r="S1521" s="10">
        <f>IF(AND(P1521="TN",R1521="TN"),N1521+N(O1521),IF(G1521&amp;""="1",N(K1521)*N1521,(N1521+N(O1521))*N(K1521)))</f>
        <v/>
      </c>
      <c r="T1521" s="10">
        <f>IF(Q1521="","",Q1521-S1521)</f>
        <v/>
      </c>
    </row>
    <row r="1522">
      <c r="A1522" s="7">
        <f>CONCATENATE(C1522,E1522,F1522,I1522)</f>
        <v/>
      </c>
      <c r="B1522" s="7">
        <f>CONCATENATE(C1522,E1522,I1522)</f>
        <v/>
      </c>
      <c r="C1522" s="8" t="n">
        <v>900004323</v>
      </c>
      <c r="D1522" s="7">
        <f>IFERROR(VLOOKUP(C1522,TRAOPE!$G:$H,2,0),"")</f>
        <v/>
      </c>
      <c r="E1522" s="8" t="inlineStr">
        <is>
          <t>D836</t>
        </is>
      </c>
      <c r="F1522" s="8" t="inlineStr">
        <is>
          <t>66239561</t>
        </is>
      </c>
      <c r="G1522" s="8">
        <f>IFERROR(VLOOKUP(A1522,Flete!$A:$E,5,0),"")</f>
        <v/>
      </c>
      <c r="H1522" s="7">
        <f>IFERROR(VLOOKUP(F1522,TRAOPE!$AA:$AB,2,0),"")</f>
        <v/>
      </c>
      <c r="I1522" s="7" t="n">
        <v>10000160</v>
      </c>
      <c r="J1522" s="7">
        <f>IFERROR(VLOOKUP(I1522,Materiales!$A:$H,8,0),"")</f>
        <v/>
      </c>
      <c r="K1522" s="9">
        <f>IFERROR(VLOOKUP(I1522,Materiales!$A:$G,7,0),"")</f>
        <v/>
      </c>
      <c r="L1522" s="8" t="inlineStr">
        <is>
          <t>20190426</t>
        </is>
      </c>
      <c r="M1522" s="8" t="inlineStr">
        <is>
          <t>20250127</t>
        </is>
      </c>
      <c r="N1522" s="10" t="n">
        <v>84</v>
      </c>
      <c r="O1522" s="10">
        <f>IFERROR(VLOOKUP(A1522,Flete!$A:$J,10,0),"")</f>
        <v/>
      </c>
      <c r="P1522" s="8" t="inlineStr">
        <is>
          <t>M3</t>
        </is>
      </c>
      <c r="Q1522" s="10">
        <f>IFERROR(IFERROR(VLOOKUP(A1522,TRAOPE!$A:$U,21,0),VLOOKUP(B1522,TRAOPE!$A:$U,21,0)),"")</f>
        <v/>
      </c>
      <c r="R1522" s="8">
        <f>IFERROR(IFERROR(VLOOKUP(A1522,TRAOPE!$A:$W,23,0),VLOOKUP(B1522,TRAOPE!$A:$W,23,0)),"")</f>
        <v/>
      </c>
      <c r="S1522" s="10">
        <f>IF(AND(P1522="TN",R1522="TN"),N1522+N(O1522),IF(G1522&amp;""="1",N(K1522)*N1522,(N1522+N(O1522))*N(K1522)))</f>
        <v/>
      </c>
      <c r="T1522" s="10">
        <f>IF(Q1522="","",Q1522-S1522)</f>
        <v/>
      </c>
    </row>
    <row r="1523">
      <c r="A1523" s="7">
        <f>CONCATENATE(C1523,E1523,F1523,I1523)</f>
        <v/>
      </c>
      <c r="B1523" s="7">
        <f>CONCATENATE(C1523,E1523,I1523)</f>
        <v/>
      </c>
      <c r="C1523" s="8" t="n">
        <v>900004323</v>
      </c>
      <c r="D1523" s="7">
        <f>IFERROR(VLOOKUP(C1523,TRAOPE!$G:$H,2,0),"")</f>
        <v/>
      </c>
      <c r="E1523" s="8" t="inlineStr">
        <is>
          <t>D836</t>
        </is>
      </c>
      <c r="F1523" s="8" t="inlineStr">
        <is>
          <t>66239561</t>
        </is>
      </c>
      <c r="G1523" s="8">
        <f>IFERROR(VLOOKUP(A1523,Flete!$A:$E,5,0),"")</f>
        <v/>
      </c>
      <c r="H1523" s="7">
        <f>IFERROR(VLOOKUP(F1523,TRAOPE!$AA:$AB,2,0),"")</f>
        <v/>
      </c>
      <c r="I1523" s="7" t="n">
        <v>10000357</v>
      </c>
      <c r="J1523" s="7">
        <f>IFERROR(VLOOKUP(I1523,Materiales!$A:$H,8,0),"")</f>
        <v/>
      </c>
      <c r="K1523" s="9">
        <f>IFERROR(VLOOKUP(I1523,Materiales!$A:$G,7,0),"")</f>
        <v/>
      </c>
      <c r="L1523" s="8" t="inlineStr">
        <is>
          <t>20190426</t>
        </is>
      </c>
      <c r="M1523" s="8" t="inlineStr">
        <is>
          <t>20250127</t>
        </is>
      </c>
      <c r="N1523" s="10" t="n">
        <v>95.5</v>
      </c>
      <c r="O1523" s="10">
        <f>IFERROR(VLOOKUP(A1523,Flete!$A:$J,10,0),"")</f>
        <v/>
      </c>
      <c r="P1523" s="8" t="inlineStr">
        <is>
          <t>M3</t>
        </is>
      </c>
      <c r="Q1523" s="10">
        <f>IFERROR(IFERROR(VLOOKUP(A1523,TRAOPE!$A:$U,21,0),VLOOKUP(B1523,TRAOPE!$A:$U,21,0)),"")</f>
        <v/>
      </c>
      <c r="R1523" s="8">
        <f>IFERROR(IFERROR(VLOOKUP(A1523,TRAOPE!$A:$W,23,0),VLOOKUP(B1523,TRAOPE!$A:$W,23,0)),"")</f>
        <v/>
      </c>
      <c r="S1523" s="10">
        <f>IF(AND(P1523="TN",R1523="TN"),N1523+N(O1523),IF(G1523&amp;""="1",N(K1523)*N1523,(N1523+N(O1523))*N(K1523)))</f>
        <v/>
      </c>
      <c r="T1523" s="10">
        <f>IF(Q1523="","",Q1523-S1523)</f>
        <v/>
      </c>
    </row>
    <row r="1524">
      <c r="A1524" s="7">
        <f>CONCATENATE(C1524,E1524,F1524,I1524)</f>
        <v/>
      </c>
      <c r="B1524" s="7">
        <f>CONCATENATE(C1524,E1524,I1524)</f>
        <v/>
      </c>
      <c r="C1524" s="8" t="n">
        <v>900004323</v>
      </c>
      <c r="D1524" s="7">
        <f>IFERROR(VLOOKUP(C1524,TRAOPE!$G:$H,2,0),"")</f>
        <v/>
      </c>
      <c r="E1524" s="8" t="inlineStr">
        <is>
          <t>D836</t>
        </is>
      </c>
      <c r="F1524" s="8" t="inlineStr">
        <is>
          <t>66239561</t>
        </is>
      </c>
      <c r="G1524" s="8">
        <f>IFERROR(VLOOKUP(A1524,Flete!$A:$E,5,0),"")</f>
        <v/>
      </c>
      <c r="H1524" s="7">
        <f>IFERROR(VLOOKUP(F1524,TRAOPE!$AA:$AB,2,0),"")</f>
        <v/>
      </c>
      <c r="I1524" s="7" t="n">
        <v>10000627</v>
      </c>
      <c r="J1524" s="7">
        <f>IFERROR(VLOOKUP(I1524,Materiales!$A:$H,8,0),"")</f>
        <v/>
      </c>
      <c r="K1524" s="9">
        <f>IFERROR(VLOOKUP(I1524,Materiales!$A:$G,7,0),"")</f>
        <v/>
      </c>
      <c r="L1524" s="8" t="inlineStr">
        <is>
          <t>20190426</t>
        </is>
      </c>
      <c r="M1524" s="8" t="inlineStr">
        <is>
          <t>20250127</t>
        </is>
      </c>
      <c r="N1524" s="10" t="n">
        <v>84</v>
      </c>
      <c r="O1524" s="10">
        <f>IFERROR(VLOOKUP(A1524,Flete!$A:$J,10,0),"")</f>
        <v/>
      </c>
      <c r="P1524" s="8" t="inlineStr">
        <is>
          <t>M3</t>
        </is>
      </c>
      <c r="Q1524" s="10">
        <f>IFERROR(IFERROR(VLOOKUP(A1524,TRAOPE!$A:$U,21,0),VLOOKUP(B1524,TRAOPE!$A:$U,21,0)),"")</f>
        <v/>
      </c>
      <c r="R1524" s="8">
        <f>IFERROR(IFERROR(VLOOKUP(A1524,TRAOPE!$A:$W,23,0),VLOOKUP(B1524,TRAOPE!$A:$W,23,0)),"")</f>
        <v/>
      </c>
      <c r="S1524" s="10">
        <f>IF(AND(P1524="TN",R1524="TN"),N1524+N(O1524),IF(G1524&amp;""="1",N(K1524)*N1524,(N1524+N(O1524))*N(K1524)))</f>
        <v/>
      </c>
      <c r="T1524" s="10">
        <f>IF(Q1524="","",Q1524-S1524)</f>
        <v/>
      </c>
    </row>
    <row r="1525">
      <c r="A1525" s="7">
        <f>CONCATENATE(C1525,E1525,F1525,I1525)</f>
        <v/>
      </c>
      <c r="B1525" s="7">
        <f>CONCATENATE(C1525,E1525,I1525)</f>
        <v/>
      </c>
      <c r="C1525" s="8" t="n">
        <v>900004323</v>
      </c>
      <c r="D1525" s="7">
        <f>IFERROR(VLOOKUP(C1525,TRAOPE!$G:$H,2,0),"")</f>
        <v/>
      </c>
      <c r="E1525" s="8" t="inlineStr">
        <is>
          <t>D836</t>
        </is>
      </c>
      <c r="F1525" s="8" t="inlineStr">
        <is>
          <t>66239598</t>
        </is>
      </c>
      <c r="G1525" s="8">
        <f>IFERROR(VLOOKUP(A1525,Flete!$A:$E,5,0),"")</f>
        <v/>
      </c>
      <c r="H1525" s="7">
        <f>IFERROR(VLOOKUP(F1525,TRAOPE!$AA:$AB,2,0),"")</f>
        <v/>
      </c>
      <c r="I1525" s="7" t="n">
        <v>10000160</v>
      </c>
      <c r="J1525" s="7">
        <f>IFERROR(VLOOKUP(I1525,Materiales!$A:$H,8,0),"")</f>
        <v/>
      </c>
      <c r="K1525" s="9">
        <f>IFERROR(VLOOKUP(I1525,Materiales!$A:$G,7,0),"")</f>
        <v/>
      </c>
      <c r="L1525" s="8" t="inlineStr">
        <is>
          <t>20190426</t>
        </is>
      </c>
      <c r="M1525" s="8" t="inlineStr">
        <is>
          <t>20250127</t>
        </is>
      </c>
      <c r="N1525" s="10" t="n">
        <v>84</v>
      </c>
      <c r="O1525" s="10">
        <f>IFERROR(VLOOKUP(A1525,Flete!$A:$J,10,0),"")</f>
        <v/>
      </c>
      <c r="P1525" s="8" t="inlineStr">
        <is>
          <t>M3</t>
        </is>
      </c>
      <c r="Q1525" s="10">
        <f>IFERROR(IFERROR(VLOOKUP(A1525,TRAOPE!$A:$U,21,0),VLOOKUP(B1525,TRAOPE!$A:$U,21,0)),"")</f>
        <v/>
      </c>
      <c r="R1525" s="8">
        <f>IFERROR(IFERROR(VLOOKUP(A1525,TRAOPE!$A:$W,23,0),VLOOKUP(B1525,TRAOPE!$A:$W,23,0)),"")</f>
        <v/>
      </c>
      <c r="S1525" s="10">
        <f>IF(AND(P1525="TN",R1525="TN"),N1525+N(O1525),IF(G1525&amp;""="1",N(K1525)*N1525,(N1525+N(O1525))*N(K1525)))</f>
        <v/>
      </c>
      <c r="T1525" s="10">
        <f>IF(Q1525="","",Q1525-S1525)</f>
        <v/>
      </c>
    </row>
    <row r="1526">
      <c r="A1526" s="7">
        <f>CONCATENATE(C1526,E1526,F1526,I1526)</f>
        <v/>
      </c>
      <c r="B1526" s="7">
        <f>CONCATENATE(C1526,E1526,I1526)</f>
        <v/>
      </c>
      <c r="C1526" s="8" t="n">
        <v>900004323</v>
      </c>
      <c r="D1526" s="7">
        <f>IFERROR(VLOOKUP(C1526,TRAOPE!$G:$H,2,0),"")</f>
        <v/>
      </c>
      <c r="E1526" s="8" t="inlineStr">
        <is>
          <t>D836</t>
        </is>
      </c>
      <c r="F1526" s="8" t="inlineStr">
        <is>
          <t>66239598</t>
        </is>
      </c>
      <c r="G1526" s="8">
        <f>IFERROR(VLOOKUP(A1526,Flete!$A:$E,5,0),"")</f>
        <v/>
      </c>
      <c r="H1526" s="7">
        <f>IFERROR(VLOOKUP(F1526,TRAOPE!$AA:$AB,2,0),"")</f>
        <v/>
      </c>
      <c r="I1526" s="7" t="n">
        <v>10000357</v>
      </c>
      <c r="J1526" s="7">
        <f>IFERROR(VLOOKUP(I1526,Materiales!$A:$H,8,0),"")</f>
        <v/>
      </c>
      <c r="K1526" s="9">
        <f>IFERROR(VLOOKUP(I1526,Materiales!$A:$G,7,0),"")</f>
        <v/>
      </c>
      <c r="L1526" s="8" t="inlineStr">
        <is>
          <t>20190426</t>
        </is>
      </c>
      <c r="M1526" s="8" t="inlineStr">
        <is>
          <t>20250127</t>
        </is>
      </c>
      <c r="N1526" s="10" t="n">
        <v>95.5</v>
      </c>
      <c r="O1526" s="10">
        <f>IFERROR(VLOOKUP(A1526,Flete!$A:$J,10,0),"")</f>
        <v/>
      </c>
      <c r="P1526" s="8" t="inlineStr">
        <is>
          <t>M3</t>
        </is>
      </c>
      <c r="Q1526" s="10">
        <f>IFERROR(IFERROR(VLOOKUP(A1526,TRAOPE!$A:$U,21,0),VLOOKUP(B1526,TRAOPE!$A:$U,21,0)),"")</f>
        <v/>
      </c>
      <c r="R1526" s="8">
        <f>IFERROR(IFERROR(VLOOKUP(A1526,TRAOPE!$A:$W,23,0),VLOOKUP(B1526,TRAOPE!$A:$W,23,0)),"")</f>
        <v/>
      </c>
      <c r="S1526" s="10">
        <f>IF(AND(P1526="TN",R1526="TN"),N1526+N(O1526),IF(G1526&amp;""="1",N(K1526)*N1526,(N1526+N(O1526))*N(K1526)))</f>
        <v/>
      </c>
      <c r="T1526" s="10">
        <f>IF(Q1526="","",Q1526-S1526)</f>
        <v/>
      </c>
    </row>
    <row r="1527">
      <c r="A1527" s="7">
        <f>CONCATENATE(C1527,E1527,F1527,I1527)</f>
        <v/>
      </c>
      <c r="B1527" s="7">
        <f>CONCATENATE(C1527,E1527,I1527)</f>
        <v/>
      </c>
      <c r="C1527" s="8" t="n">
        <v>900004323</v>
      </c>
      <c r="D1527" s="7">
        <f>IFERROR(VLOOKUP(C1527,TRAOPE!$G:$H,2,0),"")</f>
        <v/>
      </c>
      <c r="E1527" s="8" t="inlineStr">
        <is>
          <t>D836</t>
        </is>
      </c>
      <c r="F1527" s="8" t="inlineStr">
        <is>
          <t>66239598</t>
        </is>
      </c>
      <c r="G1527" s="8">
        <f>IFERROR(VLOOKUP(A1527,Flete!$A:$E,5,0),"")</f>
        <v/>
      </c>
      <c r="H1527" s="7">
        <f>IFERROR(VLOOKUP(F1527,TRAOPE!$AA:$AB,2,0),"")</f>
        <v/>
      </c>
      <c r="I1527" s="7" t="n">
        <v>10000627</v>
      </c>
      <c r="J1527" s="7">
        <f>IFERROR(VLOOKUP(I1527,Materiales!$A:$H,8,0),"")</f>
        <v/>
      </c>
      <c r="K1527" s="9">
        <f>IFERROR(VLOOKUP(I1527,Materiales!$A:$G,7,0),"")</f>
        <v/>
      </c>
      <c r="L1527" s="8" t="inlineStr">
        <is>
          <t>20190426</t>
        </is>
      </c>
      <c r="M1527" s="8" t="inlineStr">
        <is>
          <t>20250127</t>
        </is>
      </c>
      <c r="N1527" s="10" t="n">
        <v>84</v>
      </c>
      <c r="O1527" s="10">
        <f>IFERROR(VLOOKUP(A1527,Flete!$A:$J,10,0),"")</f>
        <v/>
      </c>
      <c r="P1527" s="8" t="inlineStr">
        <is>
          <t>M3</t>
        </is>
      </c>
      <c r="Q1527" s="10">
        <f>IFERROR(IFERROR(VLOOKUP(A1527,TRAOPE!$A:$U,21,0),VLOOKUP(B1527,TRAOPE!$A:$U,21,0)),"")</f>
        <v/>
      </c>
      <c r="R1527" s="8">
        <f>IFERROR(IFERROR(VLOOKUP(A1527,TRAOPE!$A:$W,23,0),VLOOKUP(B1527,TRAOPE!$A:$W,23,0)),"")</f>
        <v/>
      </c>
      <c r="S1527" s="10">
        <f>IF(AND(P1527="TN",R1527="TN"),N1527+N(O1527),IF(G1527&amp;""="1",N(K1527)*N1527,(N1527+N(O1527))*N(K1527)))</f>
        <v/>
      </c>
      <c r="T1527" s="10">
        <f>IF(Q1527="","",Q1527-S1527)</f>
        <v/>
      </c>
    </row>
    <row r="1528">
      <c r="A1528" s="7">
        <f>CONCATENATE(C1528,E1528,F1528,I1528)</f>
        <v/>
      </c>
      <c r="B1528" s="7">
        <f>CONCATENATE(C1528,E1528,I1528)</f>
        <v/>
      </c>
      <c r="C1528" s="8" t="n">
        <v>900004323</v>
      </c>
      <c r="D1528" s="7">
        <f>IFERROR(VLOOKUP(C1528,TRAOPE!$G:$H,2,0),"")</f>
        <v/>
      </c>
      <c r="E1528" s="8" t="inlineStr">
        <is>
          <t>D836</t>
        </is>
      </c>
      <c r="F1528" s="8" t="inlineStr">
        <is>
          <t>66239599</t>
        </is>
      </c>
      <c r="G1528" s="8">
        <f>IFERROR(VLOOKUP(A1528,Flete!$A:$E,5,0),"")</f>
        <v/>
      </c>
      <c r="H1528" s="7">
        <f>IFERROR(VLOOKUP(F1528,TRAOPE!$AA:$AB,2,0),"")</f>
        <v/>
      </c>
      <c r="I1528" s="7" t="n">
        <v>10000160</v>
      </c>
      <c r="J1528" s="7">
        <f>IFERROR(VLOOKUP(I1528,Materiales!$A:$H,8,0),"")</f>
        <v/>
      </c>
      <c r="K1528" s="9">
        <f>IFERROR(VLOOKUP(I1528,Materiales!$A:$G,7,0),"")</f>
        <v/>
      </c>
      <c r="L1528" s="8" t="inlineStr">
        <is>
          <t>20190426</t>
        </is>
      </c>
      <c r="M1528" s="8" t="inlineStr">
        <is>
          <t>20250127</t>
        </is>
      </c>
      <c r="N1528" s="10" t="n">
        <v>84</v>
      </c>
      <c r="O1528" s="10">
        <f>IFERROR(VLOOKUP(A1528,Flete!$A:$J,10,0),"")</f>
        <v/>
      </c>
      <c r="P1528" s="8" t="inlineStr">
        <is>
          <t>M3</t>
        </is>
      </c>
      <c r="Q1528" s="10">
        <f>IFERROR(IFERROR(VLOOKUP(A1528,TRAOPE!$A:$U,21,0),VLOOKUP(B1528,TRAOPE!$A:$U,21,0)),"")</f>
        <v/>
      </c>
      <c r="R1528" s="8">
        <f>IFERROR(IFERROR(VLOOKUP(A1528,TRAOPE!$A:$W,23,0),VLOOKUP(B1528,TRAOPE!$A:$W,23,0)),"")</f>
        <v/>
      </c>
      <c r="S1528" s="10">
        <f>IF(AND(P1528="TN",R1528="TN"),N1528+N(O1528),IF(G1528&amp;""="1",N(K1528)*N1528,(N1528+N(O1528))*N(K1528)))</f>
        <v/>
      </c>
      <c r="T1528" s="10">
        <f>IF(Q1528="","",Q1528-S1528)</f>
        <v/>
      </c>
    </row>
    <row r="1529">
      <c r="A1529" s="7">
        <f>CONCATENATE(C1529,E1529,F1529,I1529)</f>
        <v/>
      </c>
      <c r="B1529" s="7">
        <f>CONCATENATE(C1529,E1529,I1529)</f>
        <v/>
      </c>
      <c r="C1529" s="8" t="n">
        <v>900004323</v>
      </c>
      <c r="D1529" s="7">
        <f>IFERROR(VLOOKUP(C1529,TRAOPE!$G:$H,2,0),"")</f>
        <v/>
      </c>
      <c r="E1529" s="8" t="inlineStr">
        <is>
          <t>D836</t>
        </is>
      </c>
      <c r="F1529" s="8" t="inlineStr">
        <is>
          <t>66239599</t>
        </is>
      </c>
      <c r="G1529" s="8">
        <f>IFERROR(VLOOKUP(A1529,Flete!$A:$E,5,0),"")</f>
        <v/>
      </c>
      <c r="H1529" s="7">
        <f>IFERROR(VLOOKUP(F1529,TRAOPE!$AA:$AB,2,0),"")</f>
        <v/>
      </c>
      <c r="I1529" s="7" t="n">
        <v>10000357</v>
      </c>
      <c r="J1529" s="7">
        <f>IFERROR(VLOOKUP(I1529,Materiales!$A:$H,8,0),"")</f>
        <v/>
      </c>
      <c r="K1529" s="9">
        <f>IFERROR(VLOOKUP(I1529,Materiales!$A:$G,7,0),"")</f>
        <v/>
      </c>
      <c r="L1529" s="8" t="inlineStr">
        <is>
          <t>20190426</t>
        </is>
      </c>
      <c r="M1529" s="8" t="inlineStr">
        <is>
          <t>20250127</t>
        </is>
      </c>
      <c r="N1529" s="10" t="n">
        <v>95.5</v>
      </c>
      <c r="O1529" s="10">
        <f>IFERROR(VLOOKUP(A1529,Flete!$A:$J,10,0),"")</f>
        <v/>
      </c>
      <c r="P1529" s="8" t="inlineStr">
        <is>
          <t>M3</t>
        </is>
      </c>
      <c r="Q1529" s="10">
        <f>IFERROR(IFERROR(VLOOKUP(A1529,TRAOPE!$A:$U,21,0),VLOOKUP(B1529,TRAOPE!$A:$U,21,0)),"")</f>
        <v/>
      </c>
      <c r="R1529" s="8">
        <f>IFERROR(IFERROR(VLOOKUP(A1529,TRAOPE!$A:$W,23,0),VLOOKUP(B1529,TRAOPE!$A:$W,23,0)),"")</f>
        <v/>
      </c>
      <c r="S1529" s="10">
        <f>IF(AND(P1529="TN",R1529="TN"),N1529+N(O1529),IF(G1529&amp;""="1",N(K1529)*N1529,(N1529+N(O1529))*N(K1529)))</f>
        <v/>
      </c>
      <c r="T1529" s="10">
        <f>IF(Q1529="","",Q1529-S1529)</f>
        <v/>
      </c>
    </row>
    <row r="1530">
      <c r="A1530" s="7">
        <f>CONCATENATE(C1530,E1530,F1530,I1530)</f>
        <v/>
      </c>
      <c r="B1530" s="7">
        <f>CONCATENATE(C1530,E1530,I1530)</f>
        <v/>
      </c>
      <c r="C1530" s="8" t="n">
        <v>900004323</v>
      </c>
      <c r="D1530" s="7">
        <f>IFERROR(VLOOKUP(C1530,TRAOPE!$G:$H,2,0),"")</f>
        <v/>
      </c>
      <c r="E1530" s="8" t="inlineStr">
        <is>
          <t>D836</t>
        </is>
      </c>
      <c r="F1530" s="8" t="inlineStr">
        <is>
          <t>66239599</t>
        </is>
      </c>
      <c r="G1530" s="8">
        <f>IFERROR(VLOOKUP(A1530,Flete!$A:$E,5,0),"")</f>
        <v/>
      </c>
      <c r="H1530" s="7">
        <f>IFERROR(VLOOKUP(F1530,TRAOPE!$AA:$AB,2,0),"")</f>
        <v/>
      </c>
      <c r="I1530" s="7" t="n">
        <v>10000627</v>
      </c>
      <c r="J1530" s="7">
        <f>IFERROR(VLOOKUP(I1530,Materiales!$A:$H,8,0),"")</f>
        <v/>
      </c>
      <c r="K1530" s="9">
        <f>IFERROR(VLOOKUP(I1530,Materiales!$A:$G,7,0),"")</f>
        <v/>
      </c>
      <c r="L1530" s="8" t="inlineStr">
        <is>
          <t>20190426</t>
        </is>
      </c>
      <c r="M1530" s="8" t="inlineStr">
        <is>
          <t>20250127</t>
        </is>
      </c>
      <c r="N1530" s="10" t="n">
        <v>84</v>
      </c>
      <c r="O1530" s="10">
        <f>IFERROR(VLOOKUP(A1530,Flete!$A:$J,10,0),"")</f>
        <v/>
      </c>
      <c r="P1530" s="8" t="inlineStr">
        <is>
          <t>M3</t>
        </is>
      </c>
      <c r="Q1530" s="10">
        <f>IFERROR(IFERROR(VLOOKUP(A1530,TRAOPE!$A:$U,21,0),VLOOKUP(B1530,TRAOPE!$A:$U,21,0)),"")</f>
        <v/>
      </c>
      <c r="R1530" s="8">
        <f>IFERROR(IFERROR(VLOOKUP(A1530,TRAOPE!$A:$W,23,0),VLOOKUP(B1530,TRAOPE!$A:$W,23,0)),"")</f>
        <v/>
      </c>
      <c r="S1530" s="10">
        <f>IF(AND(P1530="TN",R1530="TN"),N1530+N(O1530),IF(G1530&amp;""="1",N(K1530)*N1530,(N1530+N(O1530))*N(K1530)))</f>
        <v/>
      </c>
      <c r="T1530" s="10">
        <f>IF(Q1530="","",Q1530-S1530)</f>
        <v/>
      </c>
    </row>
    <row r="1531">
      <c r="A1531" s="7">
        <f>CONCATENATE(C1531,E1531,F1531,I1531)</f>
        <v/>
      </c>
      <c r="B1531" s="7">
        <f>CONCATENATE(C1531,E1531,I1531)</f>
        <v/>
      </c>
      <c r="C1531" s="8" t="n">
        <v>900004323</v>
      </c>
      <c r="D1531" s="7">
        <f>IFERROR(VLOOKUP(C1531,TRAOPE!$G:$H,2,0),"")</f>
        <v/>
      </c>
      <c r="E1531" s="8" t="inlineStr">
        <is>
          <t>D836</t>
        </is>
      </c>
      <c r="F1531" s="8" t="inlineStr">
        <is>
          <t>66239600</t>
        </is>
      </c>
      <c r="G1531" s="8">
        <f>IFERROR(VLOOKUP(A1531,Flete!$A:$E,5,0),"")</f>
        <v/>
      </c>
      <c r="H1531" s="7">
        <f>IFERROR(VLOOKUP(F1531,TRAOPE!$AA:$AB,2,0),"")</f>
        <v/>
      </c>
      <c r="I1531" s="7" t="n">
        <v>10000160</v>
      </c>
      <c r="J1531" s="7">
        <f>IFERROR(VLOOKUP(I1531,Materiales!$A:$H,8,0),"")</f>
        <v/>
      </c>
      <c r="K1531" s="9">
        <f>IFERROR(VLOOKUP(I1531,Materiales!$A:$G,7,0),"")</f>
        <v/>
      </c>
      <c r="L1531" s="8" t="inlineStr">
        <is>
          <t>20190426</t>
        </is>
      </c>
      <c r="M1531" s="8" t="inlineStr">
        <is>
          <t>20250127</t>
        </is>
      </c>
      <c r="N1531" s="10" t="n">
        <v>84</v>
      </c>
      <c r="O1531" s="10">
        <f>IFERROR(VLOOKUP(A1531,Flete!$A:$J,10,0),"")</f>
        <v/>
      </c>
      <c r="P1531" s="8" t="inlineStr">
        <is>
          <t>M3</t>
        </is>
      </c>
      <c r="Q1531" s="10">
        <f>IFERROR(IFERROR(VLOOKUP(A1531,TRAOPE!$A:$U,21,0),VLOOKUP(B1531,TRAOPE!$A:$U,21,0)),"")</f>
        <v/>
      </c>
      <c r="R1531" s="8">
        <f>IFERROR(IFERROR(VLOOKUP(A1531,TRAOPE!$A:$W,23,0),VLOOKUP(B1531,TRAOPE!$A:$W,23,0)),"")</f>
        <v/>
      </c>
      <c r="S1531" s="10">
        <f>IF(AND(P1531="TN",R1531="TN"),N1531+N(O1531),IF(G1531&amp;""="1",N(K1531)*N1531,(N1531+N(O1531))*N(K1531)))</f>
        <v/>
      </c>
      <c r="T1531" s="10">
        <f>IF(Q1531="","",Q1531-S1531)</f>
        <v/>
      </c>
    </row>
    <row r="1532">
      <c r="A1532" s="7">
        <f>CONCATENATE(C1532,E1532,F1532,I1532)</f>
        <v/>
      </c>
      <c r="B1532" s="7">
        <f>CONCATENATE(C1532,E1532,I1532)</f>
        <v/>
      </c>
      <c r="C1532" s="8" t="n">
        <v>900004323</v>
      </c>
      <c r="D1532" s="7">
        <f>IFERROR(VLOOKUP(C1532,TRAOPE!$G:$H,2,0),"")</f>
        <v/>
      </c>
      <c r="E1532" s="8" t="inlineStr">
        <is>
          <t>D836</t>
        </is>
      </c>
      <c r="F1532" s="8" t="inlineStr">
        <is>
          <t>66239600</t>
        </is>
      </c>
      <c r="G1532" s="8">
        <f>IFERROR(VLOOKUP(A1532,Flete!$A:$E,5,0),"")</f>
        <v/>
      </c>
      <c r="H1532" s="7">
        <f>IFERROR(VLOOKUP(F1532,TRAOPE!$AA:$AB,2,0),"")</f>
        <v/>
      </c>
      <c r="I1532" s="7" t="n">
        <v>10000357</v>
      </c>
      <c r="J1532" s="7">
        <f>IFERROR(VLOOKUP(I1532,Materiales!$A:$H,8,0),"")</f>
        <v/>
      </c>
      <c r="K1532" s="9">
        <f>IFERROR(VLOOKUP(I1532,Materiales!$A:$G,7,0),"")</f>
        <v/>
      </c>
      <c r="L1532" s="8" t="inlineStr">
        <is>
          <t>20190426</t>
        </is>
      </c>
      <c r="M1532" s="8" t="inlineStr">
        <is>
          <t>20250127</t>
        </is>
      </c>
      <c r="N1532" s="10" t="n">
        <v>95.5</v>
      </c>
      <c r="O1532" s="10">
        <f>IFERROR(VLOOKUP(A1532,Flete!$A:$J,10,0),"")</f>
        <v/>
      </c>
      <c r="P1532" s="8" t="inlineStr">
        <is>
          <t>M3</t>
        </is>
      </c>
      <c r="Q1532" s="10">
        <f>IFERROR(IFERROR(VLOOKUP(A1532,TRAOPE!$A:$U,21,0),VLOOKUP(B1532,TRAOPE!$A:$U,21,0)),"")</f>
        <v/>
      </c>
      <c r="R1532" s="8">
        <f>IFERROR(IFERROR(VLOOKUP(A1532,TRAOPE!$A:$W,23,0),VLOOKUP(B1532,TRAOPE!$A:$W,23,0)),"")</f>
        <v/>
      </c>
      <c r="S1532" s="10">
        <f>IF(AND(P1532="TN",R1532="TN"),N1532+N(O1532),IF(G1532&amp;""="1",N(K1532)*N1532,(N1532+N(O1532))*N(K1532)))</f>
        <v/>
      </c>
      <c r="T1532" s="10">
        <f>IF(Q1532="","",Q1532-S1532)</f>
        <v/>
      </c>
    </row>
    <row r="1533">
      <c r="A1533" s="7">
        <f>CONCATENATE(C1533,E1533,F1533,I1533)</f>
        <v/>
      </c>
      <c r="B1533" s="7">
        <f>CONCATENATE(C1533,E1533,I1533)</f>
        <v/>
      </c>
      <c r="C1533" s="8" t="n">
        <v>900004323</v>
      </c>
      <c r="D1533" s="7">
        <f>IFERROR(VLOOKUP(C1533,TRAOPE!$G:$H,2,0),"")</f>
        <v/>
      </c>
      <c r="E1533" s="8" t="inlineStr">
        <is>
          <t>D836</t>
        </is>
      </c>
      <c r="F1533" s="8" t="inlineStr">
        <is>
          <t>66239600</t>
        </is>
      </c>
      <c r="G1533" s="8">
        <f>IFERROR(VLOOKUP(A1533,Flete!$A:$E,5,0),"")</f>
        <v/>
      </c>
      <c r="H1533" s="7">
        <f>IFERROR(VLOOKUP(F1533,TRAOPE!$AA:$AB,2,0),"")</f>
        <v/>
      </c>
      <c r="I1533" s="7" t="n">
        <v>10000627</v>
      </c>
      <c r="J1533" s="7">
        <f>IFERROR(VLOOKUP(I1533,Materiales!$A:$H,8,0),"")</f>
        <v/>
      </c>
      <c r="K1533" s="9">
        <f>IFERROR(VLOOKUP(I1533,Materiales!$A:$G,7,0),"")</f>
        <v/>
      </c>
      <c r="L1533" s="8" t="inlineStr">
        <is>
          <t>20190426</t>
        </is>
      </c>
      <c r="M1533" s="8" t="inlineStr">
        <is>
          <t>20250127</t>
        </is>
      </c>
      <c r="N1533" s="10" t="n">
        <v>84</v>
      </c>
      <c r="O1533" s="10">
        <f>IFERROR(VLOOKUP(A1533,Flete!$A:$J,10,0),"")</f>
        <v/>
      </c>
      <c r="P1533" s="8" t="inlineStr">
        <is>
          <t>M3</t>
        </is>
      </c>
      <c r="Q1533" s="10">
        <f>IFERROR(IFERROR(VLOOKUP(A1533,TRAOPE!$A:$U,21,0),VLOOKUP(B1533,TRAOPE!$A:$U,21,0)),"")</f>
        <v/>
      </c>
      <c r="R1533" s="8">
        <f>IFERROR(IFERROR(VLOOKUP(A1533,TRAOPE!$A:$W,23,0),VLOOKUP(B1533,TRAOPE!$A:$W,23,0)),"")</f>
        <v/>
      </c>
      <c r="S1533" s="10">
        <f>IF(AND(P1533="TN",R1533="TN"),N1533+N(O1533),IF(G1533&amp;""="1",N(K1533)*N1533,(N1533+N(O1533))*N(K1533)))</f>
        <v/>
      </c>
      <c r="T1533" s="10">
        <f>IF(Q1533="","",Q1533-S1533)</f>
        <v/>
      </c>
    </row>
    <row r="1534">
      <c r="A1534" s="7">
        <f>CONCATENATE(C1534,E1534,F1534,I1534)</f>
        <v/>
      </c>
      <c r="B1534" s="7">
        <f>CONCATENATE(C1534,E1534,I1534)</f>
        <v/>
      </c>
      <c r="C1534" s="8" t="n">
        <v>900004323</v>
      </c>
      <c r="D1534" s="7">
        <f>IFERROR(VLOOKUP(C1534,TRAOPE!$G:$H,2,0),"")</f>
        <v/>
      </c>
      <c r="E1534" s="8" t="inlineStr">
        <is>
          <t>D836</t>
        </is>
      </c>
      <c r="F1534" s="8" t="inlineStr">
        <is>
          <t>66239601</t>
        </is>
      </c>
      <c r="G1534" s="8">
        <f>IFERROR(VLOOKUP(A1534,Flete!$A:$E,5,0),"")</f>
        <v/>
      </c>
      <c r="H1534" s="7">
        <f>IFERROR(VLOOKUP(F1534,TRAOPE!$AA:$AB,2,0),"")</f>
        <v/>
      </c>
      <c r="I1534" s="7" t="n">
        <v>10000160</v>
      </c>
      <c r="J1534" s="7">
        <f>IFERROR(VLOOKUP(I1534,Materiales!$A:$H,8,0),"")</f>
        <v/>
      </c>
      <c r="K1534" s="9">
        <f>IFERROR(VLOOKUP(I1534,Materiales!$A:$G,7,0),"")</f>
        <v/>
      </c>
      <c r="L1534" s="8" t="inlineStr">
        <is>
          <t>20190426</t>
        </is>
      </c>
      <c r="M1534" s="8" t="inlineStr">
        <is>
          <t>20250127</t>
        </is>
      </c>
      <c r="N1534" s="10" t="n">
        <v>84</v>
      </c>
      <c r="O1534" s="10">
        <f>IFERROR(VLOOKUP(A1534,Flete!$A:$J,10,0),"")</f>
        <v/>
      </c>
      <c r="P1534" s="8" t="inlineStr">
        <is>
          <t>M3</t>
        </is>
      </c>
      <c r="Q1534" s="10">
        <f>IFERROR(IFERROR(VLOOKUP(A1534,TRAOPE!$A:$U,21,0),VLOOKUP(B1534,TRAOPE!$A:$U,21,0)),"")</f>
        <v/>
      </c>
      <c r="R1534" s="8">
        <f>IFERROR(IFERROR(VLOOKUP(A1534,TRAOPE!$A:$W,23,0),VLOOKUP(B1534,TRAOPE!$A:$W,23,0)),"")</f>
        <v/>
      </c>
      <c r="S1534" s="10">
        <f>IF(AND(P1534="TN",R1534="TN"),N1534+N(O1534),IF(G1534&amp;""="1",N(K1534)*N1534,(N1534+N(O1534))*N(K1534)))</f>
        <v/>
      </c>
      <c r="T1534" s="10">
        <f>IF(Q1534="","",Q1534-S1534)</f>
        <v/>
      </c>
    </row>
    <row r="1535">
      <c r="A1535" s="7">
        <f>CONCATENATE(C1535,E1535,F1535,I1535)</f>
        <v/>
      </c>
      <c r="B1535" s="7">
        <f>CONCATENATE(C1535,E1535,I1535)</f>
        <v/>
      </c>
      <c r="C1535" s="8" t="n">
        <v>900004323</v>
      </c>
      <c r="D1535" s="7">
        <f>IFERROR(VLOOKUP(C1535,TRAOPE!$G:$H,2,0),"")</f>
        <v/>
      </c>
      <c r="E1535" s="8" t="inlineStr">
        <is>
          <t>D836</t>
        </is>
      </c>
      <c r="F1535" s="8" t="inlineStr">
        <is>
          <t>66239601</t>
        </is>
      </c>
      <c r="G1535" s="8">
        <f>IFERROR(VLOOKUP(A1535,Flete!$A:$E,5,0),"")</f>
        <v/>
      </c>
      <c r="H1535" s="7">
        <f>IFERROR(VLOOKUP(F1535,TRAOPE!$AA:$AB,2,0),"")</f>
        <v/>
      </c>
      <c r="I1535" s="7" t="n">
        <v>10000357</v>
      </c>
      <c r="J1535" s="7">
        <f>IFERROR(VLOOKUP(I1535,Materiales!$A:$H,8,0),"")</f>
        <v/>
      </c>
      <c r="K1535" s="9">
        <f>IFERROR(VLOOKUP(I1535,Materiales!$A:$G,7,0),"")</f>
        <v/>
      </c>
      <c r="L1535" s="8" t="inlineStr">
        <is>
          <t>20190426</t>
        </is>
      </c>
      <c r="M1535" s="8" t="inlineStr">
        <is>
          <t>20250127</t>
        </is>
      </c>
      <c r="N1535" s="10" t="n">
        <v>95.5</v>
      </c>
      <c r="O1535" s="10">
        <f>IFERROR(VLOOKUP(A1535,Flete!$A:$J,10,0),"")</f>
        <v/>
      </c>
      <c r="P1535" s="8" t="inlineStr">
        <is>
          <t>M3</t>
        </is>
      </c>
      <c r="Q1535" s="10">
        <f>IFERROR(IFERROR(VLOOKUP(A1535,TRAOPE!$A:$U,21,0),VLOOKUP(B1535,TRAOPE!$A:$U,21,0)),"")</f>
        <v/>
      </c>
      <c r="R1535" s="8">
        <f>IFERROR(IFERROR(VLOOKUP(A1535,TRAOPE!$A:$W,23,0),VLOOKUP(B1535,TRAOPE!$A:$W,23,0)),"")</f>
        <v/>
      </c>
      <c r="S1535" s="10">
        <f>IF(AND(P1535="TN",R1535="TN"),N1535+N(O1535),IF(G1535&amp;""="1",N(K1535)*N1535,(N1535+N(O1535))*N(K1535)))</f>
        <v/>
      </c>
      <c r="T1535" s="10">
        <f>IF(Q1535="","",Q1535-S1535)</f>
        <v/>
      </c>
    </row>
    <row r="1536">
      <c r="A1536" s="7">
        <f>CONCATENATE(C1536,E1536,F1536,I1536)</f>
        <v/>
      </c>
      <c r="B1536" s="7">
        <f>CONCATENATE(C1536,E1536,I1536)</f>
        <v/>
      </c>
      <c r="C1536" s="8" t="n">
        <v>900004323</v>
      </c>
      <c r="D1536" s="7">
        <f>IFERROR(VLOOKUP(C1536,TRAOPE!$G:$H,2,0),"")</f>
        <v/>
      </c>
      <c r="E1536" s="8" t="inlineStr">
        <is>
          <t>D836</t>
        </is>
      </c>
      <c r="F1536" s="8" t="inlineStr">
        <is>
          <t>66239601</t>
        </is>
      </c>
      <c r="G1536" s="8">
        <f>IFERROR(VLOOKUP(A1536,Flete!$A:$E,5,0),"")</f>
        <v/>
      </c>
      <c r="H1536" s="7">
        <f>IFERROR(VLOOKUP(F1536,TRAOPE!$AA:$AB,2,0),"")</f>
        <v/>
      </c>
      <c r="I1536" s="7" t="n">
        <v>10000627</v>
      </c>
      <c r="J1536" s="7">
        <f>IFERROR(VLOOKUP(I1536,Materiales!$A:$H,8,0),"")</f>
        <v/>
      </c>
      <c r="K1536" s="9">
        <f>IFERROR(VLOOKUP(I1536,Materiales!$A:$G,7,0),"")</f>
        <v/>
      </c>
      <c r="L1536" s="8" t="inlineStr">
        <is>
          <t>20190426</t>
        </is>
      </c>
      <c r="M1536" s="8" t="inlineStr">
        <is>
          <t>20250127</t>
        </is>
      </c>
      <c r="N1536" s="10" t="n">
        <v>84</v>
      </c>
      <c r="O1536" s="10">
        <f>IFERROR(VLOOKUP(A1536,Flete!$A:$J,10,0),"")</f>
        <v/>
      </c>
      <c r="P1536" s="8" t="inlineStr">
        <is>
          <t>M3</t>
        </is>
      </c>
      <c r="Q1536" s="10">
        <f>IFERROR(IFERROR(VLOOKUP(A1536,TRAOPE!$A:$U,21,0),VLOOKUP(B1536,TRAOPE!$A:$U,21,0)),"")</f>
        <v/>
      </c>
      <c r="R1536" s="8">
        <f>IFERROR(IFERROR(VLOOKUP(A1536,TRAOPE!$A:$W,23,0),VLOOKUP(B1536,TRAOPE!$A:$W,23,0)),"")</f>
        <v/>
      </c>
      <c r="S1536" s="10">
        <f>IF(AND(P1536="TN",R1536="TN"),N1536+N(O1536),IF(G1536&amp;""="1",N(K1536)*N1536,(N1536+N(O1536))*N(K1536)))</f>
        <v/>
      </c>
      <c r="T1536" s="10">
        <f>IF(Q1536="","",Q1536-S1536)</f>
        <v/>
      </c>
    </row>
    <row r="1537">
      <c r="A1537" s="7">
        <f>CONCATENATE(C1537,E1537,F1537,I1537)</f>
        <v/>
      </c>
      <c r="B1537" s="7">
        <f>CONCATENATE(C1537,E1537,I1537)</f>
        <v/>
      </c>
      <c r="C1537" s="8" t="n">
        <v>900004323</v>
      </c>
      <c r="D1537" s="7">
        <f>IFERROR(VLOOKUP(C1537,TRAOPE!$G:$H,2,0),"")</f>
        <v/>
      </c>
      <c r="E1537" s="8" t="inlineStr">
        <is>
          <t>D836</t>
        </is>
      </c>
      <c r="F1537" s="8" t="inlineStr">
        <is>
          <t>66239617</t>
        </is>
      </c>
      <c r="G1537" s="8">
        <f>IFERROR(VLOOKUP(A1537,Flete!$A:$E,5,0),"")</f>
        <v/>
      </c>
      <c r="H1537" s="7">
        <f>IFERROR(VLOOKUP(F1537,TRAOPE!$AA:$AB,2,0),"")</f>
        <v/>
      </c>
      <c r="I1537" s="7" t="n">
        <v>10000160</v>
      </c>
      <c r="J1537" s="7">
        <f>IFERROR(VLOOKUP(I1537,Materiales!$A:$H,8,0),"")</f>
        <v/>
      </c>
      <c r="K1537" s="9">
        <f>IFERROR(VLOOKUP(I1537,Materiales!$A:$G,7,0),"")</f>
        <v/>
      </c>
      <c r="L1537" s="8" t="inlineStr">
        <is>
          <t>20190426</t>
        </is>
      </c>
      <c r="M1537" s="8" t="inlineStr">
        <is>
          <t>20250127</t>
        </is>
      </c>
      <c r="N1537" s="10" t="n">
        <v>84</v>
      </c>
      <c r="O1537" s="10">
        <f>IFERROR(VLOOKUP(A1537,Flete!$A:$J,10,0),"")</f>
        <v/>
      </c>
      <c r="P1537" s="8" t="inlineStr">
        <is>
          <t>M3</t>
        </is>
      </c>
      <c r="Q1537" s="10">
        <f>IFERROR(IFERROR(VLOOKUP(A1537,TRAOPE!$A:$U,21,0),VLOOKUP(B1537,TRAOPE!$A:$U,21,0)),"")</f>
        <v/>
      </c>
      <c r="R1537" s="8">
        <f>IFERROR(IFERROR(VLOOKUP(A1537,TRAOPE!$A:$W,23,0),VLOOKUP(B1537,TRAOPE!$A:$W,23,0)),"")</f>
        <v/>
      </c>
      <c r="S1537" s="10">
        <f>IF(AND(P1537="TN",R1537="TN"),N1537+N(O1537),IF(G1537&amp;""="1",N(K1537)*N1537,(N1537+N(O1537))*N(K1537)))</f>
        <v/>
      </c>
      <c r="T1537" s="10">
        <f>IF(Q1537="","",Q1537-S1537)</f>
        <v/>
      </c>
    </row>
    <row r="1538">
      <c r="A1538" s="7">
        <f>CONCATENATE(C1538,E1538,F1538,I1538)</f>
        <v/>
      </c>
      <c r="B1538" s="7">
        <f>CONCATENATE(C1538,E1538,I1538)</f>
        <v/>
      </c>
      <c r="C1538" s="8" t="n">
        <v>900004323</v>
      </c>
      <c r="D1538" s="7">
        <f>IFERROR(VLOOKUP(C1538,TRAOPE!$G:$H,2,0),"")</f>
        <v/>
      </c>
      <c r="E1538" s="8" t="inlineStr">
        <is>
          <t>D836</t>
        </is>
      </c>
      <c r="F1538" s="8" t="inlineStr">
        <is>
          <t>66239617</t>
        </is>
      </c>
      <c r="G1538" s="8">
        <f>IFERROR(VLOOKUP(A1538,Flete!$A:$E,5,0),"")</f>
        <v/>
      </c>
      <c r="H1538" s="7">
        <f>IFERROR(VLOOKUP(F1538,TRAOPE!$AA:$AB,2,0),"")</f>
        <v/>
      </c>
      <c r="I1538" s="7" t="n">
        <v>10000357</v>
      </c>
      <c r="J1538" s="7">
        <f>IFERROR(VLOOKUP(I1538,Materiales!$A:$H,8,0),"")</f>
        <v/>
      </c>
      <c r="K1538" s="9">
        <f>IFERROR(VLOOKUP(I1538,Materiales!$A:$G,7,0),"")</f>
        <v/>
      </c>
      <c r="L1538" s="8" t="inlineStr">
        <is>
          <t>20190426</t>
        </is>
      </c>
      <c r="M1538" s="8" t="inlineStr">
        <is>
          <t>20250127</t>
        </is>
      </c>
      <c r="N1538" s="10" t="n">
        <v>95.5</v>
      </c>
      <c r="O1538" s="10">
        <f>IFERROR(VLOOKUP(A1538,Flete!$A:$J,10,0),"")</f>
        <v/>
      </c>
      <c r="P1538" s="8" t="inlineStr">
        <is>
          <t>M3</t>
        </is>
      </c>
      <c r="Q1538" s="10">
        <f>IFERROR(IFERROR(VLOOKUP(A1538,TRAOPE!$A:$U,21,0),VLOOKUP(B1538,TRAOPE!$A:$U,21,0)),"")</f>
        <v/>
      </c>
      <c r="R1538" s="8">
        <f>IFERROR(IFERROR(VLOOKUP(A1538,TRAOPE!$A:$W,23,0),VLOOKUP(B1538,TRAOPE!$A:$W,23,0)),"")</f>
        <v/>
      </c>
      <c r="S1538" s="10">
        <f>IF(AND(P1538="TN",R1538="TN"),N1538+N(O1538),IF(G1538&amp;""="1",N(K1538)*N1538,(N1538+N(O1538))*N(K1538)))</f>
        <v/>
      </c>
      <c r="T1538" s="10">
        <f>IF(Q1538="","",Q1538-S1538)</f>
        <v/>
      </c>
    </row>
    <row r="1539">
      <c r="A1539" s="7">
        <f>CONCATENATE(C1539,E1539,F1539,I1539)</f>
        <v/>
      </c>
      <c r="B1539" s="7">
        <f>CONCATENATE(C1539,E1539,I1539)</f>
        <v/>
      </c>
      <c r="C1539" s="8" t="n">
        <v>900004323</v>
      </c>
      <c r="D1539" s="7">
        <f>IFERROR(VLOOKUP(C1539,TRAOPE!$G:$H,2,0),"")</f>
        <v/>
      </c>
      <c r="E1539" s="8" t="inlineStr">
        <is>
          <t>D836</t>
        </is>
      </c>
      <c r="F1539" s="8" t="inlineStr">
        <is>
          <t>66239617</t>
        </is>
      </c>
      <c r="G1539" s="8">
        <f>IFERROR(VLOOKUP(A1539,Flete!$A:$E,5,0),"")</f>
        <v/>
      </c>
      <c r="H1539" s="7">
        <f>IFERROR(VLOOKUP(F1539,TRAOPE!$AA:$AB,2,0),"")</f>
        <v/>
      </c>
      <c r="I1539" s="7" t="n">
        <v>10000627</v>
      </c>
      <c r="J1539" s="7">
        <f>IFERROR(VLOOKUP(I1539,Materiales!$A:$H,8,0),"")</f>
        <v/>
      </c>
      <c r="K1539" s="9">
        <f>IFERROR(VLOOKUP(I1539,Materiales!$A:$G,7,0),"")</f>
        <v/>
      </c>
      <c r="L1539" s="8" t="inlineStr">
        <is>
          <t>20190426</t>
        </is>
      </c>
      <c r="M1539" s="8" t="inlineStr">
        <is>
          <t>20250127</t>
        </is>
      </c>
      <c r="N1539" s="10" t="n">
        <v>84</v>
      </c>
      <c r="O1539" s="10">
        <f>IFERROR(VLOOKUP(A1539,Flete!$A:$J,10,0),"")</f>
        <v/>
      </c>
      <c r="P1539" s="8" t="inlineStr">
        <is>
          <t>M3</t>
        </is>
      </c>
      <c r="Q1539" s="10">
        <f>IFERROR(IFERROR(VLOOKUP(A1539,TRAOPE!$A:$U,21,0),VLOOKUP(B1539,TRAOPE!$A:$U,21,0)),"")</f>
        <v/>
      </c>
      <c r="R1539" s="8">
        <f>IFERROR(IFERROR(VLOOKUP(A1539,TRAOPE!$A:$W,23,0),VLOOKUP(B1539,TRAOPE!$A:$W,23,0)),"")</f>
        <v/>
      </c>
      <c r="S1539" s="10">
        <f>IF(AND(P1539="TN",R1539="TN"),N1539+N(O1539),IF(G1539&amp;""="1",N(K1539)*N1539,(N1539+N(O1539))*N(K1539)))</f>
        <v/>
      </c>
      <c r="T1539" s="10">
        <f>IF(Q1539="","",Q1539-S1539)</f>
        <v/>
      </c>
    </row>
    <row r="1540">
      <c r="A1540" s="7">
        <f>CONCATENATE(C1540,E1540,F1540,I1540)</f>
        <v/>
      </c>
      <c r="B1540" s="7">
        <f>CONCATENATE(C1540,E1540,I1540)</f>
        <v/>
      </c>
      <c r="C1540" s="8" t="n">
        <v>900004323</v>
      </c>
      <c r="D1540" s="7">
        <f>IFERROR(VLOOKUP(C1540,TRAOPE!$G:$H,2,0),"")</f>
        <v/>
      </c>
      <c r="E1540" s="8" t="inlineStr">
        <is>
          <t>D836</t>
        </is>
      </c>
      <c r="F1540" s="8" t="inlineStr">
        <is>
          <t>66239618</t>
        </is>
      </c>
      <c r="G1540" s="8">
        <f>IFERROR(VLOOKUP(A1540,Flete!$A:$E,5,0),"")</f>
        <v/>
      </c>
      <c r="H1540" s="7">
        <f>IFERROR(VLOOKUP(F1540,TRAOPE!$AA:$AB,2,0),"")</f>
        <v/>
      </c>
      <c r="I1540" s="7" t="n">
        <v>10000160</v>
      </c>
      <c r="J1540" s="7">
        <f>IFERROR(VLOOKUP(I1540,Materiales!$A:$H,8,0),"")</f>
        <v/>
      </c>
      <c r="K1540" s="9">
        <f>IFERROR(VLOOKUP(I1540,Materiales!$A:$G,7,0),"")</f>
        <v/>
      </c>
      <c r="L1540" s="8" t="inlineStr">
        <is>
          <t>20190426</t>
        </is>
      </c>
      <c r="M1540" s="8" t="inlineStr">
        <is>
          <t>20250127</t>
        </is>
      </c>
      <c r="N1540" s="10" t="n">
        <v>84</v>
      </c>
      <c r="O1540" s="10">
        <f>IFERROR(VLOOKUP(A1540,Flete!$A:$J,10,0),"")</f>
        <v/>
      </c>
      <c r="P1540" s="8" t="inlineStr">
        <is>
          <t>M3</t>
        </is>
      </c>
      <c r="Q1540" s="10">
        <f>IFERROR(IFERROR(VLOOKUP(A1540,TRAOPE!$A:$U,21,0),VLOOKUP(B1540,TRAOPE!$A:$U,21,0)),"")</f>
        <v/>
      </c>
      <c r="R1540" s="8">
        <f>IFERROR(IFERROR(VLOOKUP(A1540,TRAOPE!$A:$W,23,0),VLOOKUP(B1540,TRAOPE!$A:$W,23,0)),"")</f>
        <v/>
      </c>
      <c r="S1540" s="10">
        <f>IF(AND(P1540="TN",R1540="TN"),N1540+N(O1540),IF(G1540&amp;""="1",N(K1540)*N1540,(N1540+N(O1540))*N(K1540)))</f>
        <v/>
      </c>
      <c r="T1540" s="10">
        <f>IF(Q1540="","",Q1540-S1540)</f>
        <v/>
      </c>
    </row>
    <row r="1541">
      <c r="A1541" s="7">
        <f>CONCATENATE(C1541,E1541,F1541,I1541)</f>
        <v/>
      </c>
      <c r="B1541" s="7">
        <f>CONCATENATE(C1541,E1541,I1541)</f>
        <v/>
      </c>
      <c r="C1541" s="8" t="n">
        <v>900004323</v>
      </c>
      <c r="D1541" s="7">
        <f>IFERROR(VLOOKUP(C1541,TRAOPE!$G:$H,2,0),"")</f>
        <v/>
      </c>
      <c r="E1541" s="8" t="inlineStr">
        <is>
          <t>D836</t>
        </is>
      </c>
      <c r="F1541" s="8" t="inlineStr">
        <is>
          <t>66239618</t>
        </is>
      </c>
      <c r="G1541" s="8">
        <f>IFERROR(VLOOKUP(A1541,Flete!$A:$E,5,0),"")</f>
        <v/>
      </c>
      <c r="H1541" s="7">
        <f>IFERROR(VLOOKUP(F1541,TRAOPE!$AA:$AB,2,0),"")</f>
        <v/>
      </c>
      <c r="I1541" s="7" t="n">
        <v>10000357</v>
      </c>
      <c r="J1541" s="7">
        <f>IFERROR(VLOOKUP(I1541,Materiales!$A:$H,8,0),"")</f>
        <v/>
      </c>
      <c r="K1541" s="9">
        <f>IFERROR(VLOOKUP(I1541,Materiales!$A:$G,7,0),"")</f>
        <v/>
      </c>
      <c r="L1541" s="8" t="inlineStr">
        <is>
          <t>20190426</t>
        </is>
      </c>
      <c r="M1541" s="8" t="inlineStr">
        <is>
          <t>20250127</t>
        </is>
      </c>
      <c r="N1541" s="10" t="n">
        <v>95.5</v>
      </c>
      <c r="O1541" s="10">
        <f>IFERROR(VLOOKUP(A1541,Flete!$A:$J,10,0),"")</f>
        <v/>
      </c>
      <c r="P1541" s="8" t="inlineStr">
        <is>
          <t>M3</t>
        </is>
      </c>
      <c r="Q1541" s="10">
        <f>IFERROR(IFERROR(VLOOKUP(A1541,TRAOPE!$A:$U,21,0),VLOOKUP(B1541,TRAOPE!$A:$U,21,0)),"")</f>
        <v/>
      </c>
      <c r="R1541" s="8">
        <f>IFERROR(IFERROR(VLOOKUP(A1541,TRAOPE!$A:$W,23,0),VLOOKUP(B1541,TRAOPE!$A:$W,23,0)),"")</f>
        <v/>
      </c>
      <c r="S1541" s="10">
        <f>IF(AND(P1541="TN",R1541="TN"),N1541+N(O1541),IF(G1541&amp;""="1",N(K1541)*N1541,(N1541+N(O1541))*N(K1541)))</f>
        <v/>
      </c>
      <c r="T1541" s="10">
        <f>IF(Q1541="","",Q1541-S1541)</f>
        <v/>
      </c>
    </row>
    <row r="1542">
      <c r="A1542" s="7">
        <f>CONCATENATE(C1542,E1542,F1542,I1542)</f>
        <v/>
      </c>
      <c r="B1542" s="7">
        <f>CONCATENATE(C1542,E1542,I1542)</f>
        <v/>
      </c>
      <c r="C1542" s="8" t="n">
        <v>900004323</v>
      </c>
      <c r="D1542" s="7">
        <f>IFERROR(VLOOKUP(C1542,TRAOPE!$G:$H,2,0),"")</f>
        <v/>
      </c>
      <c r="E1542" s="8" t="inlineStr">
        <is>
          <t>D836</t>
        </is>
      </c>
      <c r="F1542" s="8" t="inlineStr">
        <is>
          <t>66239618</t>
        </is>
      </c>
      <c r="G1542" s="8">
        <f>IFERROR(VLOOKUP(A1542,Flete!$A:$E,5,0),"")</f>
        <v/>
      </c>
      <c r="H1542" s="7">
        <f>IFERROR(VLOOKUP(F1542,TRAOPE!$AA:$AB,2,0),"")</f>
        <v/>
      </c>
      <c r="I1542" s="7" t="n">
        <v>10000627</v>
      </c>
      <c r="J1542" s="7">
        <f>IFERROR(VLOOKUP(I1542,Materiales!$A:$H,8,0),"")</f>
        <v/>
      </c>
      <c r="K1542" s="9">
        <f>IFERROR(VLOOKUP(I1542,Materiales!$A:$G,7,0),"")</f>
        <v/>
      </c>
      <c r="L1542" s="8" t="inlineStr">
        <is>
          <t>20190426</t>
        </is>
      </c>
      <c r="M1542" s="8" t="inlineStr">
        <is>
          <t>20250127</t>
        </is>
      </c>
      <c r="N1542" s="10" t="n">
        <v>84</v>
      </c>
      <c r="O1542" s="10">
        <f>IFERROR(VLOOKUP(A1542,Flete!$A:$J,10,0),"")</f>
        <v/>
      </c>
      <c r="P1542" s="8" t="inlineStr">
        <is>
          <t>M3</t>
        </is>
      </c>
      <c r="Q1542" s="10">
        <f>IFERROR(IFERROR(VLOOKUP(A1542,TRAOPE!$A:$U,21,0),VLOOKUP(B1542,TRAOPE!$A:$U,21,0)),"")</f>
        <v/>
      </c>
      <c r="R1542" s="8">
        <f>IFERROR(IFERROR(VLOOKUP(A1542,TRAOPE!$A:$W,23,0),VLOOKUP(B1542,TRAOPE!$A:$W,23,0)),"")</f>
        <v/>
      </c>
      <c r="S1542" s="10">
        <f>IF(AND(P1542="TN",R1542="TN"),N1542+N(O1542),IF(G1542&amp;""="1",N(K1542)*N1542,(N1542+N(O1542))*N(K1542)))</f>
        <v/>
      </c>
      <c r="T1542" s="10">
        <f>IF(Q1542="","",Q1542-S1542)</f>
        <v/>
      </c>
    </row>
    <row r="1543">
      <c r="A1543" s="7">
        <f>CONCATENATE(C1543,E1543,F1543,I1543)</f>
        <v/>
      </c>
      <c r="B1543" s="7">
        <f>CONCATENATE(C1543,E1543,I1543)</f>
        <v/>
      </c>
      <c r="C1543" s="8" t="n">
        <v>900004323</v>
      </c>
      <c r="D1543" s="7">
        <f>IFERROR(VLOOKUP(C1543,TRAOPE!$G:$H,2,0),"")</f>
        <v/>
      </c>
      <c r="E1543" s="8" t="inlineStr">
        <is>
          <t>D836</t>
        </is>
      </c>
      <c r="F1543" s="8" t="inlineStr">
        <is>
          <t>66239621</t>
        </is>
      </c>
      <c r="G1543" s="8">
        <f>IFERROR(VLOOKUP(A1543,Flete!$A:$E,5,0),"")</f>
        <v/>
      </c>
      <c r="H1543" s="7">
        <f>IFERROR(VLOOKUP(F1543,TRAOPE!$AA:$AB,2,0),"")</f>
        <v/>
      </c>
      <c r="I1543" s="7" t="n">
        <v>10000160</v>
      </c>
      <c r="J1543" s="7">
        <f>IFERROR(VLOOKUP(I1543,Materiales!$A:$H,8,0),"")</f>
        <v/>
      </c>
      <c r="K1543" s="9">
        <f>IFERROR(VLOOKUP(I1543,Materiales!$A:$G,7,0),"")</f>
        <v/>
      </c>
      <c r="L1543" s="8" t="inlineStr">
        <is>
          <t>20190426</t>
        </is>
      </c>
      <c r="M1543" s="8" t="inlineStr">
        <is>
          <t>20250127</t>
        </is>
      </c>
      <c r="N1543" s="10" t="n">
        <v>84</v>
      </c>
      <c r="O1543" s="10">
        <f>IFERROR(VLOOKUP(A1543,Flete!$A:$J,10,0),"")</f>
        <v/>
      </c>
      <c r="P1543" s="8" t="inlineStr">
        <is>
          <t>M3</t>
        </is>
      </c>
      <c r="Q1543" s="10">
        <f>IFERROR(IFERROR(VLOOKUP(A1543,TRAOPE!$A:$U,21,0),VLOOKUP(B1543,TRAOPE!$A:$U,21,0)),"")</f>
        <v/>
      </c>
      <c r="R1543" s="8">
        <f>IFERROR(IFERROR(VLOOKUP(A1543,TRAOPE!$A:$W,23,0),VLOOKUP(B1543,TRAOPE!$A:$W,23,0)),"")</f>
        <v/>
      </c>
      <c r="S1543" s="10">
        <f>IF(AND(P1543="TN",R1543="TN"),N1543+N(O1543),IF(G1543&amp;""="1",N(K1543)*N1543,(N1543+N(O1543))*N(K1543)))</f>
        <v/>
      </c>
      <c r="T1543" s="10">
        <f>IF(Q1543="","",Q1543-S1543)</f>
        <v/>
      </c>
    </row>
    <row r="1544">
      <c r="A1544" s="7">
        <f>CONCATENATE(C1544,E1544,F1544,I1544)</f>
        <v/>
      </c>
      <c r="B1544" s="7">
        <f>CONCATENATE(C1544,E1544,I1544)</f>
        <v/>
      </c>
      <c r="C1544" s="8" t="n">
        <v>900004323</v>
      </c>
      <c r="D1544" s="7">
        <f>IFERROR(VLOOKUP(C1544,TRAOPE!$G:$H,2,0),"")</f>
        <v/>
      </c>
      <c r="E1544" s="8" t="inlineStr">
        <is>
          <t>D836</t>
        </is>
      </c>
      <c r="F1544" s="8" t="inlineStr">
        <is>
          <t>66239621</t>
        </is>
      </c>
      <c r="G1544" s="8">
        <f>IFERROR(VLOOKUP(A1544,Flete!$A:$E,5,0),"")</f>
        <v/>
      </c>
      <c r="H1544" s="7">
        <f>IFERROR(VLOOKUP(F1544,TRAOPE!$AA:$AB,2,0),"")</f>
        <v/>
      </c>
      <c r="I1544" s="7" t="n">
        <v>10000357</v>
      </c>
      <c r="J1544" s="7">
        <f>IFERROR(VLOOKUP(I1544,Materiales!$A:$H,8,0),"")</f>
        <v/>
      </c>
      <c r="K1544" s="9">
        <f>IFERROR(VLOOKUP(I1544,Materiales!$A:$G,7,0),"")</f>
        <v/>
      </c>
      <c r="L1544" s="8" t="inlineStr">
        <is>
          <t>20190426</t>
        </is>
      </c>
      <c r="M1544" s="8" t="inlineStr">
        <is>
          <t>20250127</t>
        </is>
      </c>
      <c r="N1544" s="10" t="n">
        <v>95.5</v>
      </c>
      <c r="O1544" s="10">
        <f>IFERROR(VLOOKUP(A1544,Flete!$A:$J,10,0),"")</f>
        <v/>
      </c>
      <c r="P1544" s="8" t="inlineStr">
        <is>
          <t>M3</t>
        </is>
      </c>
      <c r="Q1544" s="10">
        <f>IFERROR(IFERROR(VLOOKUP(A1544,TRAOPE!$A:$U,21,0),VLOOKUP(B1544,TRAOPE!$A:$U,21,0)),"")</f>
        <v/>
      </c>
      <c r="R1544" s="8">
        <f>IFERROR(IFERROR(VLOOKUP(A1544,TRAOPE!$A:$W,23,0),VLOOKUP(B1544,TRAOPE!$A:$W,23,0)),"")</f>
        <v/>
      </c>
      <c r="S1544" s="10">
        <f>IF(AND(P1544="TN",R1544="TN"),N1544+N(O1544),IF(G1544&amp;""="1",N(K1544)*N1544,(N1544+N(O1544))*N(K1544)))</f>
        <v/>
      </c>
      <c r="T1544" s="10">
        <f>IF(Q1544="","",Q1544-S1544)</f>
        <v/>
      </c>
    </row>
    <row r="1545">
      <c r="A1545" s="7">
        <f>CONCATENATE(C1545,E1545,F1545,I1545)</f>
        <v/>
      </c>
      <c r="B1545" s="7">
        <f>CONCATENATE(C1545,E1545,I1545)</f>
        <v/>
      </c>
      <c r="C1545" s="8" t="n">
        <v>900004323</v>
      </c>
      <c r="D1545" s="7">
        <f>IFERROR(VLOOKUP(C1545,TRAOPE!$G:$H,2,0),"")</f>
        <v/>
      </c>
      <c r="E1545" s="8" t="inlineStr">
        <is>
          <t>D836</t>
        </is>
      </c>
      <c r="F1545" s="8" t="inlineStr">
        <is>
          <t>66239621</t>
        </is>
      </c>
      <c r="G1545" s="8">
        <f>IFERROR(VLOOKUP(A1545,Flete!$A:$E,5,0),"")</f>
        <v/>
      </c>
      <c r="H1545" s="7">
        <f>IFERROR(VLOOKUP(F1545,TRAOPE!$AA:$AB,2,0),"")</f>
        <v/>
      </c>
      <c r="I1545" s="7" t="n">
        <v>10000627</v>
      </c>
      <c r="J1545" s="7">
        <f>IFERROR(VLOOKUP(I1545,Materiales!$A:$H,8,0),"")</f>
        <v/>
      </c>
      <c r="K1545" s="9">
        <f>IFERROR(VLOOKUP(I1545,Materiales!$A:$G,7,0),"")</f>
        <v/>
      </c>
      <c r="L1545" s="8" t="inlineStr">
        <is>
          <t>20190426</t>
        </is>
      </c>
      <c r="M1545" s="8" t="inlineStr">
        <is>
          <t>20250127</t>
        </is>
      </c>
      <c r="N1545" s="10" t="n">
        <v>84</v>
      </c>
      <c r="O1545" s="10">
        <f>IFERROR(VLOOKUP(A1545,Flete!$A:$J,10,0),"")</f>
        <v/>
      </c>
      <c r="P1545" s="8" t="inlineStr">
        <is>
          <t>M3</t>
        </is>
      </c>
      <c r="Q1545" s="10">
        <f>IFERROR(IFERROR(VLOOKUP(A1545,TRAOPE!$A:$U,21,0),VLOOKUP(B1545,TRAOPE!$A:$U,21,0)),"")</f>
        <v/>
      </c>
      <c r="R1545" s="8">
        <f>IFERROR(IFERROR(VLOOKUP(A1545,TRAOPE!$A:$W,23,0),VLOOKUP(B1545,TRAOPE!$A:$W,23,0)),"")</f>
        <v/>
      </c>
      <c r="S1545" s="10">
        <f>IF(AND(P1545="TN",R1545="TN"),N1545+N(O1545),IF(G1545&amp;""="1",N(K1545)*N1545,(N1545+N(O1545))*N(K1545)))</f>
        <v/>
      </c>
      <c r="T1545" s="10">
        <f>IF(Q1545="","",Q1545-S1545)</f>
        <v/>
      </c>
    </row>
    <row r="1546">
      <c r="A1546" s="7">
        <f>CONCATENATE(C1546,E1546,F1546,I1546)</f>
        <v/>
      </c>
      <c r="B1546" s="7">
        <f>CONCATENATE(C1546,E1546,I1546)</f>
        <v/>
      </c>
      <c r="C1546" s="8" t="n">
        <v>900004323</v>
      </c>
      <c r="D1546" s="7">
        <f>IFERROR(VLOOKUP(C1546,TRAOPE!$G:$H,2,0),"")</f>
        <v/>
      </c>
      <c r="E1546" s="8" t="inlineStr">
        <is>
          <t>D836</t>
        </is>
      </c>
      <c r="F1546" s="8" t="inlineStr">
        <is>
          <t>66239627</t>
        </is>
      </c>
      <c r="G1546" s="8">
        <f>IFERROR(VLOOKUP(A1546,Flete!$A:$E,5,0),"")</f>
        <v/>
      </c>
      <c r="H1546" s="7">
        <f>IFERROR(VLOOKUP(F1546,TRAOPE!$AA:$AB,2,0),"")</f>
        <v/>
      </c>
      <c r="I1546" s="7" t="n">
        <v>10000160</v>
      </c>
      <c r="J1546" s="7">
        <f>IFERROR(VLOOKUP(I1546,Materiales!$A:$H,8,0),"")</f>
        <v/>
      </c>
      <c r="K1546" s="9">
        <f>IFERROR(VLOOKUP(I1546,Materiales!$A:$G,7,0),"")</f>
        <v/>
      </c>
      <c r="L1546" s="8" t="inlineStr">
        <is>
          <t>20190426</t>
        </is>
      </c>
      <c r="M1546" s="8" t="inlineStr">
        <is>
          <t>20250127</t>
        </is>
      </c>
      <c r="N1546" s="10" t="n">
        <v>84</v>
      </c>
      <c r="O1546" s="10">
        <f>IFERROR(VLOOKUP(A1546,Flete!$A:$J,10,0),"")</f>
        <v/>
      </c>
      <c r="P1546" s="8" t="inlineStr">
        <is>
          <t>M3</t>
        </is>
      </c>
      <c r="Q1546" s="10">
        <f>IFERROR(IFERROR(VLOOKUP(A1546,TRAOPE!$A:$U,21,0),VLOOKUP(B1546,TRAOPE!$A:$U,21,0)),"")</f>
        <v/>
      </c>
      <c r="R1546" s="8">
        <f>IFERROR(IFERROR(VLOOKUP(A1546,TRAOPE!$A:$W,23,0),VLOOKUP(B1546,TRAOPE!$A:$W,23,0)),"")</f>
        <v/>
      </c>
      <c r="S1546" s="10">
        <f>IF(AND(P1546="TN",R1546="TN"),N1546+N(O1546),IF(G1546&amp;""="1",N(K1546)*N1546,(N1546+N(O1546))*N(K1546)))</f>
        <v/>
      </c>
      <c r="T1546" s="10">
        <f>IF(Q1546="","",Q1546-S1546)</f>
        <v/>
      </c>
    </row>
    <row r="1547">
      <c r="A1547" s="7">
        <f>CONCATENATE(C1547,E1547,F1547,I1547)</f>
        <v/>
      </c>
      <c r="B1547" s="7">
        <f>CONCATENATE(C1547,E1547,I1547)</f>
        <v/>
      </c>
      <c r="C1547" s="8" t="n">
        <v>900004323</v>
      </c>
      <c r="D1547" s="7">
        <f>IFERROR(VLOOKUP(C1547,TRAOPE!$G:$H,2,0),"")</f>
        <v/>
      </c>
      <c r="E1547" s="8" t="inlineStr">
        <is>
          <t>D836</t>
        </is>
      </c>
      <c r="F1547" s="8" t="inlineStr">
        <is>
          <t>66239627</t>
        </is>
      </c>
      <c r="G1547" s="8">
        <f>IFERROR(VLOOKUP(A1547,Flete!$A:$E,5,0),"")</f>
        <v/>
      </c>
      <c r="H1547" s="7">
        <f>IFERROR(VLOOKUP(F1547,TRAOPE!$AA:$AB,2,0),"")</f>
        <v/>
      </c>
      <c r="I1547" s="7" t="n">
        <v>10000357</v>
      </c>
      <c r="J1547" s="7">
        <f>IFERROR(VLOOKUP(I1547,Materiales!$A:$H,8,0),"")</f>
        <v/>
      </c>
      <c r="K1547" s="9">
        <f>IFERROR(VLOOKUP(I1547,Materiales!$A:$G,7,0),"")</f>
        <v/>
      </c>
      <c r="L1547" s="8" t="inlineStr">
        <is>
          <t>20190426</t>
        </is>
      </c>
      <c r="M1547" s="8" t="inlineStr">
        <is>
          <t>20250127</t>
        </is>
      </c>
      <c r="N1547" s="10" t="n">
        <v>95.5</v>
      </c>
      <c r="O1547" s="10">
        <f>IFERROR(VLOOKUP(A1547,Flete!$A:$J,10,0),"")</f>
        <v/>
      </c>
      <c r="P1547" s="8" t="inlineStr">
        <is>
          <t>M3</t>
        </is>
      </c>
      <c r="Q1547" s="10">
        <f>IFERROR(IFERROR(VLOOKUP(A1547,TRAOPE!$A:$U,21,0),VLOOKUP(B1547,TRAOPE!$A:$U,21,0)),"")</f>
        <v/>
      </c>
      <c r="R1547" s="8">
        <f>IFERROR(IFERROR(VLOOKUP(A1547,TRAOPE!$A:$W,23,0),VLOOKUP(B1547,TRAOPE!$A:$W,23,0)),"")</f>
        <v/>
      </c>
      <c r="S1547" s="10">
        <f>IF(AND(P1547="TN",R1547="TN"),N1547+N(O1547),IF(G1547&amp;""="1",N(K1547)*N1547,(N1547+N(O1547))*N(K1547)))</f>
        <v/>
      </c>
      <c r="T1547" s="10">
        <f>IF(Q1547="","",Q1547-S1547)</f>
        <v/>
      </c>
    </row>
    <row r="1548">
      <c r="A1548" s="7">
        <f>CONCATENATE(C1548,E1548,F1548,I1548)</f>
        <v/>
      </c>
      <c r="B1548" s="7">
        <f>CONCATENATE(C1548,E1548,I1548)</f>
        <v/>
      </c>
      <c r="C1548" s="8" t="n">
        <v>900004323</v>
      </c>
      <c r="D1548" s="7">
        <f>IFERROR(VLOOKUP(C1548,TRAOPE!$G:$H,2,0),"")</f>
        <v/>
      </c>
      <c r="E1548" s="8" t="inlineStr">
        <is>
          <t>D836</t>
        </is>
      </c>
      <c r="F1548" s="8" t="inlineStr">
        <is>
          <t>66239627</t>
        </is>
      </c>
      <c r="G1548" s="8">
        <f>IFERROR(VLOOKUP(A1548,Flete!$A:$E,5,0),"")</f>
        <v/>
      </c>
      <c r="H1548" s="7">
        <f>IFERROR(VLOOKUP(F1548,TRAOPE!$AA:$AB,2,0),"")</f>
        <v/>
      </c>
      <c r="I1548" s="7" t="n">
        <v>10000627</v>
      </c>
      <c r="J1548" s="7">
        <f>IFERROR(VLOOKUP(I1548,Materiales!$A:$H,8,0),"")</f>
        <v/>
      </c>
      <c r="K1548" s="9">
        <f>IFERROR(VLOOKUP(I1548,Materiales!$A:$G,7,0),"")</f>
        <v/>
      </c>
      <c r="L1548" s="8" t="inlineStr">
        <is>
          <t>20190426</t>
        </is>
      </c>
      <c r="M1548" s="8" t="inlineStr">
        <is>
          <t>20250127</t>
        </is>
      </c>
      <c r="N1548" s="10" t="n">
        <v>84</v>
      </c>
      <c r="O1548" s="10">
        <f>IFERROR(VLOOKUP(A1548,Flete!$A:$J,10,0),"")</f>
        <v/>
      </c>
      <c r="P1548" s="8" t="inlineStr">
        <is>
          <t>M3</t>
        </is>
      </c>
      <c r="Q1548" s="10">
        <f>IFERROR(IFERROR(VLOOKUP(A1548,TRAOPE!$A:$U,21,0),VLOOKUP(B1548,TRAOPE!$A:$U,21,0)),"")</f>
        <v/>
      </c>
      <c r="R1548" s="8">
        <f>IFERROR(IFERROR(VLOOKUP(A1548,TRAOPE!$A:$W,23,0),VLOOKUP(B1548,TRAOPE!$A:$W,23,0)),"")</f>
        <v/>
      </c>
      <c r="S1548" s="10">
        <f>IF(AND(P1548="TN",R1548="TN"),N1548+N(O1548),IF(G1548&amp;""="1",N(K1548)*N1548,(N1548+N(O1548))*N(K1548)))</f>
        <v/>
      </c>
      <c r="T1548" s="10">
        <f>IF(Q1548="","",Q1548-S1548)</f>
        <v/>
      </c>
    </row>
    <row r="1549">
      <c r="A1549" s="7">
        <f>CONCATENATE(C1549,E1549,F1549,I1549)</f>
        <v/>
      </c>
      <c r="B1549" s="7">
        <f>CONCATENATE(C1549,E1549,I1549)</f>
        <v/>
      </c>
      <c r="C1549" s="8" t="n">
        <v>900004323</v>
      </c>
      <c r="D1549" s="7">
        <f>IFERROR(VLOOKUP(C1549,TRAOPE!$G:$H,2,0),"")</f>
        <v/>
      </c>
      <c r="E1549" s="8" t="inlineStr">
        <is>
          <t>D836</t>
        </is>
      </c>
      <c r="F1549" s="8" t="inlineStr">
        <is>
          <t>66239628</t>
        </is>
      </c>
      <c r="G1549" s="8">
        <f>IFERROR(VLOOKUP(A1549,Flete!$A:$E,5,0),"")</f>
        <v/>
      </c>
      <c r="H1549" s="7">
        <f>IFERROR(VLOOKUP(F1549,TRAOPE!$AA:$AB,2,0),"")</f>
        <v/>
      </c>
      <c r="I1549" s="7" t="n">
        <v>10000160</v>
      </c>
      <c r="J1549" s="7">
        <f>IFERROR(VLOOKUP(I1549,Materiales!$A:$H,8,0),"")</f>
        <v/>
      </c>
      <c r="K1549" s="9">
        <f>IFERROR(VLOOKUP(I1549,Materiales!$A:$G,7,0),"")</f>
        <v/>
      </c>
      <c r="L1549" s="8" t="inlineStr">
        <is>
          <t>20190426</t>
        </is>
      </c>
      <c r="M1549" s="8" t="inlineStr">
        <is>
          <t>20250127</t>
        </is>
      </c>
      <c r="N1549" s="10" t="n">
        <v>84</v>
      </c>
      <c r="O1549" s="10">
        <f>IFERROR(VLOOKUP(A1549,Flete!$A:$J,10,0),"")</f>
        <v/>
      </c>
      <c r="P1549" s="8" t="inlineStr">
        <is>
          <t>M3</t>
        </is>
      </c>
      <c r="Q1549" s="10">
        <f>IFERROR(IFERROR(VLOOKUP(A1549,TRAOPE!$A:$U,21,0),VLOOKUP(B1549,TRAOPE!$A:$U,21,0)),"")</f>
        <v/>
      </c>
      <c r="R1549" s="8">
        <f>IFERROR(IFERROR(VLOOKUP(A1549,TRAOPE!$A:$W,23,0),VLOOKUP(B1549,TRAOPE!$A:$W,23,0)),"")</f>
        <v/>
      </c>
      <c r="S1549" s="10">
        <f>IF(AND(P1549="TN",R1549="TN"),N1549+N(O1549),IF(G1549&amp;""="1",N(K1549)*N1549,(N1549+N(O1549))*N(K1549)))</f>
        <v/>
      </c>
      <c r="T1549" s="10">
        <f>IF(Q1549="","",Q1549-S1549)</f>
        <v/>
      </c>
    </row>
    <row r="1550">
      <c r="A1550" s="7">
        <f>CONCATENATE(C1550,E1550,F1550,I1550)</f>
        <v/>
      </c>
      <c r="B1550" s="7">
        <f>CONCATENATE(C1550,E1550,I1550)</f>
        <v/>
      </c>
      <c r="C1550" s="8" t="n">
        <v>900004323</v>
      </c>
      <c r="D1550" s="7">
        <f>IFERROR(VLOOKUP(C1550,TRAOPE!$G:$H,2,0),"")</f>
        <v/>
      </c>
      <c r="E1550" s="8" t="inlineStr">
        <is>
          <t>D836</t>
        </is>
      </c>
      <c r="F1550" s="8" t="inlineStr">
        <is>
          <t>66239628</t>
        </is>
      </c>
      <c r="G1550" s="8">
        <f>IFERROR(VLOOKUP(A1550,Flete!$A:$E,5,0),"")</f>
        <v/>
      </c>
      <c r="H1550" s="7">
        <f>IFERROR(VLOOKUP(F1550,TRAOPE!$AA:$AB,2,0),"")</f>
        <v/>
      </c>
      <c r="I1550" s="7" t="n">
        <v>10000357</v>
      </c>
      <c r="J1550" s="7">
        <f>IFERROR(VLOOKUP(I1550,Materiales!$A:$H,8,0),"")</f>
        <v/>
      </c>
      <c r="K1550" s="9">
        <f>IFERROR(VLOOKUP(I1550,Materiales!$A:$G,7,0),"")</f>
        <v/>
      </c>
      <c r="L1550" s="8" t="inlineStr">
        <is>
          <t>20190426</t>
        </is>
      </c>
      <c r="M1550" s="8" t="inlineStr">
        <is>
          <t>20250127</t>
        </is>
      </c>
      <c r="N1550" s="10" t="n">
        <v>95.5</v>
      </c>
      <c r="O1550" s="10">
        <f>IFERROR(VLOOKUP(A1550,Flete!$A:$J,10,0),"")</f>
        <v/>
      </c>
      <c r="P1550" s="8" t="inlineStr">
        <is>
          <t>M3</t>
        </is>
      </c>
      <c r="Q1550" s="10">
        <f>IFERROR(IFERROR(VLOOKUP(A1550,TRAOPE!$A:$U,21,0),VLOOKUP(B1550,TRAOPE!$A:$U,21,0)),"")</f>
        <v/>
      </c>
      <c r="R1550" s="8">
        <f>IFERROR(IFERROR(VLOOKUP(A1550,TRAOPE!$A:$W,23,0),VLOOKUP(B1550,TRAOPE!$A:$W,23,0)),"")</f>
        <v/>
      </c>
      <c r="S1550" s="10">
        <f>IF(AND(P1550="TN",R1550="TN"),N1550+N(O1550),IF(G1550&amp;""="1",N(K1550)*N1550,(N1550+N(O1550))*N(K1550)))</f>
        <v/>
      </c>
      <c r="T1550" s="10">
        <f>IF(Q1550="","",Q1550-S1550)</f>
        <v/>
      </c>
    </row>
    <row r="1551">
      <c r="A1551" s="7">
        <f>CONCATENATE(C1551,E1551,F1551,I1551)</f>
        <v/>
      </c>
      <c r="B1551" s="7">
        <f>CONCATENATE(C1551,E1551,I1551)</f>
        <v/>
      </c>
      <c r="C1551" s="8" t="n">
        <v>900004323</v>
      </c>
      <c r="D1551" s="7">
        <f>IFERROR(VLOOKUP(C1551,TRAOPE!$G:$H,2,0),"")</f>
        <v/>
      </c>
      <c r="E1551" s="8" t="inlineStr">
        <is>
          <t>D836</t>
        </is>
      </c>
      <c r="F1551" s="8" t="inlineStr">
        <is>
          <t>66239628</t>
        </is>
      </c>
      <c r="G1551" s="8">
        <f>IFERROR(VLOOKUP(A1551,Flete!$A:$E,5,0),"")</f>
        <v/>
      </c>
      <c r="H1551" s="7">
        <f>IFERROR(VLOOKUP(F1551,TRAOPE!$AA:$AB,2,0),"")</f>
        <v/>
      </c>
      <c r="I1551" s="7" t="n">
        <v>10000627</v>
      </c>
      <c r="J1551" s="7">
        <f>IFERROR(VLOOKUP(I1551,Materiales!$A:$H,8,0),"")</f>
        <v/>
      </c>
      <c r="K1551" s="9">
        <f>IFERROR(VLOOKUP(I1551,Materiales!$A:$G,7,0),"")</f>
        <v/>
      </c>
      <c r="L1551" s="8" t="inlineStr">
        <is>
          <t>20190426</t>
        </is>
      </c>
      <c r="M1551" s="8" t="inlineStr">
        <is>
          <t>20250127</t>
        </is>
      </c>
      <c r="N1551" s="10" t="n">
        <v>84</v>
      </c>
      <c r="O1551" s="10">
        <f>IFERROR(VLOOKUP(A1551,Flete!$A:$J,10,0),"")</f>
        <v/>
      </c>
      <c r="P1551" s="8" t="inlineStr">
        <is>
          <t>M3</t>
        </is>
      </c>
      <c r="Q1551" s="10">
        <f>IFERROR(IFERROR(VLOOKUP(A1551,TRAOPE!$A:$U,21,0),VLOOKUP(B1551,TRAOPE!$A:$U,21,0)),"")</f>
        <v/>
      </c>
      <c r="R1551" s="8">
        <f>IFERROR(IFERROR(VLOOKUP(A1551,TRAOPE!$A:$W,23,0),VLOOKUP(B1551,TRAOPE!$A:$W,23,0)),"")</f>
        <v/>
      </c>
      <c r="S1551" s="10">
        <f>IF(AND(P1551="TN",R1551="TN"),N1551+N(O1551),IF(G1551&amp;""="1",N(K1551)*N1551,(N1551+N(O1551))*N(K1551)))</f>
        <v/>
      </c>
      <c r="T1551" s="10">
        <f>IF(Q1551="","",Q1551-S1551)</f>
        <v/>
      </c>
    </row>
    <row r="1552">
      <c r="A1552" s="7">
        <f>CONCATENATE(C1552,E1552,F1552,I1552)</f>
        <v/>
      </c>
      <c r="B1552" s="7">
        <f>CONCATENATE(C1552,E1552,I1552)</f>
        <v/>
      </c>
      <c r="C1552" s="8" t="n">
        <v>900004323</v>
      </c>
      <c r="D1552" s="7">
        <f>IFERROR(VLOOKUP(C1552,TRAOPE!$G:$H,2,0),"")</f>
        <v/>
      </c>
      <c r="E1552" s="8" t="inlineStr">
        <is>
          <t>D836</t>
        </is>
      </c>
      <c r="F1552" s="8" t="inlineStr">
        <is>
          <t>66260760</t>
        </is>
      </c>
      <c r="G1552" s="8">
        <f>IFERROR(VLOOKUP(A1552,Flete!$A:$E,5,0),"")</f>
        <v/>
      </c>
      <c r="H1552" s="7">
        <f>IFERROR(VLOOKUP(F1552,TRAOPE!$AA:$AB,2,0),"")</f>
        <v/>
      </c>
      <c r="I1552" s="7" t="n">
        <v>10000357</v>
      </c>
      <c r="J1552" s="7">
        <f>IFERROR(VLOOKUP(I1552,Materiales!$A:$H,8,0),"")</f>
        <v/>
      </c>
      <c r="K1552" s="9">
        <f>IFERROR(VLOOKUP(I1552,Materiales!$A:$G,7,0),"")</f>
        <v/>
      </c>
      <c r="L1552" s="8" t="inlineStr">
        <is>
          <t>20190426</t>
        </is>
      </c>
      <c r="M1552" s="8" t="inlineStr">
        <is>
          <t>20250127</t>
        </is>
      </c>
      <c r="N1552" s="10" t="n">
        <v>86</v>
      </c>
      <c r="O1552" s="10">
        <f>IFERROR(VLOOKUP(A1552,Flete!$A:$J,10,0),"")</f>
        <v/>
      </c>
      <c r="P1552" s="8" t="inlineStr">
        <is>
          <t>M3</t>
        </is>
      </c>
      <c r="Q1552" s="10">
        <f>IFERROR(IFERROR(VLOOKUP(A1552,TRAOPE!$A:$U,21,0),VLOOKUP(B1552,TRAOPE!$A:$U,21,0)),"")</f>
        <v/>
      </c>
      <c r="R1552" s="8">
        <f>IFERROR(IFERROR(VLOOKUP(A1552,TRAOPE!$A:$W,23,0),VLOOKUP(B1552,TRAOPE!$A:$W,23,0)),"")</f>
        <v/>
      </c>
      <c r="S1552" s="10">
        <f>IF(AND(P1552="TN",R1552="TN"),N1552+N(O1552),IF(G1552&amp;""="1",N(K1552)*N1552,(N1552+N(O1552))*N(K1552)))</f>
        <v/>
      </c>
      <c r="T1552" s="10">
        <f>IF(Q1552="","",Q1552-S1552)</f>
        <v/>
      </c>
    </row>
    <row r="1553">
      <c r="A1553" s="7">
        <f>CONCATENATE(C1553,E1553,F1553,I1553)</f>
        <v/>
      </c>
      <c r="B1553" s="7">
        <f>CONCATENATE(C1553,E1553,I1553)</f>
        <v/>
      </c>
      <c r="C1553" s="8" t="n">
        <v>900004323</v>
      </c>
      <c r="D1553" s="7">
        <f>IFERROR(VLOOKUP(C1553,TRAOPE!$G:$H,2,0),"")</f>
        <v/>
      </c>
      <c r="E1553" s="8" t="inlineStr">
        <is>
          <t>D836</t>
        </is>
      </c>
      <c r="F1553" s="8" t="inlineStr">
        <is>
          <t>66260760</t>
        </is>
      </c>
      <c r="G1553" s="8">
        <f>IFERROR(VLOOKUP(A1553,Flete!$A:$E,5,0),"")</f>
        <v/>
      </c>
      <c r="H1553" s="7">
        <f>IFERROR(VLOOKUP(F1553,TRAOPE!$AA:$AB,2,0),"")</f>
        <v/>
      </c>
      <c r="I1553" s="7" t="n">
        <v>10000627</v>
      </c>
      <c r="J1553" s="7">
        <f>IFERROR(VLOOKUP(I1553,Materiales!$A:$H,8,0),"")</f>
        <v/>
      </c>
      <c r="K1553" s="9">
        <f>IFERROR(VLOOKUP(I1553,Materiales!$A:$G,7,0),"")</f>
        <v/>
      </c>
      <c r="L1553" s="8" t="inlineStr">
        <is>
          <t>20190426</t>
        </is>
      </c>
      <c r="M1553" s="8" t="inlineStr">
        <is>
          <t>20250127</t>
        </is>
      </c>
      <c r="N1553" s="10" t="n">
        <v>86</v>
      </c>
      <c r="O1553" s="10">
        <f>IFERROR(VLOOKUP(A1553,Flete!$A:$J,10,0),"")</f>
        <v/>
      </c>
      <c r="P1553" s="8" t="inlineStr">
        <is>
          <t>M3</t>
        </is>
      </c>
      <c r="Q1553" s="10">
        <f>IFERROR(IFERROR(VLOOKUP(A1553,TRAOPE!$A:$U,21,0),VLOOKUP(B1553,TRAOPE!$A:$U,21,0)),"")</f>
        <v/>
      </c>
      <c r="R1553" s="8">
        <f>IFERROR(IFERROR(VLOOKUP(A1553,TRAOPE!$A:$W,23,0),VLOOKUP(B1553,TRAOPE!$A:$W,23,0)),"")</f>
        <v/>
      </c>
      <c r="S1553" s="10">
        <f>IF(AND(P1553="TN",R1553="TN"),N1553+N(O1553),IF(G1553&amp;""="1",N(K1553)*N1553,(N1553+N(O1553))*N(K1553)))</f>
        <v/>
      </c>
      <c r="T1553" s="10">
        <f>IF(Q1553="","",Q1553-S1553)</f>
        <v/>
      </c>
    </row>
    <row r="1554">
      <c r="A1554" s="7">
        <f>CONCATENATE(C1554,E1554,F1554,I1554)</f>
        <v/>
      </c>
      <c r="B1554" s="7">
        <f>CONCATENATE(C1554,E1554,I1554)</f>
        <v/>
      </c>
      <c r="C1554" s="8" t="n">
        <v>900004323</v>
      </c>
      <c r="D1554" s="7">
        <f>IFERROR(VLOOKUP(C1554,TRAOPE!$G:$H,2,0),"")</f>
        <v/>
      </c>
      <c r="E1554" s="8" t="inlineStr">
        <is>
          <t>D836</t>
        </is>
      </c>
      <c r="F1554" s="8" t="inlineStr">
        <is>
          <t>66289412</t>
        </is>
      </c>
      <c r="G1554" s="8">
        <f>IFERROR(VLOOKUP(A1554,Flete!$A:$E,5,0),"")</f>
        <v/>
      </c>
      <c r="H1554" s="7">
        <f>IFERROR(VLOOKUP(F1554,TRAOPE!$AA:$AB,2,0),"")</f>
        <v/>
      </c>
      <c r="I1554" s="7" t="n">
        <v>10000160</v>
      </c>
      <c r="J1554" s="7">
        <f>IFERROR(VLOOKUP(I1554,Materiales!$A:$H,8,0),"")</f>
        <v/>
      </c>
      <c r="K1554" s="9">
        <f>IFERROR(VLOOKUP(I1554,Materiales!$A:$G,7,0),"")</f>
        <v/>
      </c>
      <c r="L1554" s="8" t="inlineStr">
        <is>
          <t>20190426</t>
        </is>
      </c>
      <c r="M1554" s="8" t="inlineStr">
        <is>
          <t>20250127</t>
        </is>
      </c>
      <c r="N1554" s="10" t="n">
        <v>84</v>
      </c>
      <c r="O1554" s="10">
        <f>IFERROR(VLOOKUP(A1554,Flete!$A:$J,10,0),"")</f>
        <v/>
      </c>
      <c r="P1554" s="8" t="inlineStr">
        <is>
          <t>M3</t>
        </is>
      </c>
      <c r="Q1554" s="10">
        <f>IFERROR(IFERROR(VLOOKUP(A1554,TRAOPE!$A:$U,21,0),VLOOKUP(B1554,TRAOPE!$A:$U,21,0)),"")</f>
        <v/>
      </c>
      <c r="R1554" s="8">
        <f>IFERROR(IFERROR(VLOOKUP(A1554,TRAOPE!$A:$W,23,0),VLOOKUP(B1554,TRAOPE!$A:$W,23,0)),"")</f>
        <v/>
      </c>
      <c r="S1554" s="10">
        <f>IF(AND(P1554="TN",R1554="TN"),N1554+N(O1554),IF(G1554&amp;""="1",N(K1554)*N1554,(N1554+N(O1554))*N(K1554)))</f>
        <v/>
      </c>
      <c r="T1554" s="10">
        <f>IF(Q1554="","",Q1554-S1554)</f>
        <v/>
      </c>
    </row>
    <row r="1555">
      <c r="A1555" s="7">
        <f>CONCATENATE(C1555,E1555,F1555,I1555)</f>
        <v/>
      </c>
      <c r="B1555" s="7">
        <f>CONCATENATE(C1555,E1555,I1555)</f>
        <v/>
      </c>
      <c r="C1555" s="8" t="n">
        <v>900004323</v>
      </c>
      <c r="D1555" s="7">
        <f>IFERROR(VLOOKUP(C1555,TRAOPE!$G:$H,2,0),"")</f>
        <v/>
      </c>
      <c r="E1555" s="8" t="inlineStr">
        <is>
          <t>D836</t>
        </is>
      </c>
      <c r="F1555" s="8" t="inlineStr">
        <is>
          <t>66289412</t>
        </is>
      </c>
      <c r="G1555" s="8">
        <f>IFERROR(VLOOKUP(A1555,Flete!$A:$E,5,0),"")</f>
        <v/>
      </c>
      <c r="H1555" s="7">
        <f>IFERROR(VLOOKUP(F1555,TRAOPE!$AA:$AB,2,0),"")</f>
        <v/>
      </c>
      <c r="I1555" s="7" t="n">
        <v>10000357</v>
      </c>
      <c r="J1555" s="7">
        <f>IFERROR(VLOOKUP(I1555,Materiales!$A:$H,8,0),"")</f>
        <v/>
      </c>
      <c r="K1555" s="9">
        <f>IFERROR(VLOOKUP(I1555,Materiales!$A:$G,7,0),"")</f>
        <v/>
      </c>
      <c r="L1555" s="8" t="inlineStr">
        <is>
          <t>20190426</t>
        </is>
      </c>
      <c r="M1555" s="8" t="inlineStr">
        <is>
          <t>20250127</t>
        </is>
      </c>
      <c r="N1555" s="10" t="n">
        <v>95.5</v>
      </c>
      <c r="O1555" s="10">
        <f>IFERROR(VLOOKUP(A1555,Flete!$A:$J,10,0),"")</f>
        <v/>
      </c>
      <c r="P1555" s="8" t="inlineStr">
        <is>
          <t>M3</t>
        </is>
      </c>
      <c r="Q1555" s="10">
        <f>IFERROR(IFERROR(VLOOKUP(A1555,TRAOPE!$A:$U,21,0),VLOOKUP(B1555,TRAOPE!$A:$U,21,0)),"")</f>
        <v/>
      </c>
      <c r="R1555" s="8">
        <f>IFERROR(IFERROR(VLOOKUP(A1555,TRAOPE!$A:$W,23,0),VLOOKUP(B1555,TRAOPE!$A:$W,23,0)),"")</f>
        <v/>
      </c>
      <c r="S1555" s="10">
        <f>IF(AND(P1555="TN",R1555="TN"),N1555+N(O1555),IF(G1555&amp;""="1",N(K1555)*N1555,(N1555+N(O1555))*N(K1555)))</f>
        <v/>
      </c>
      <c r="T1555" s="10">
        <f>IF(Q1555="","",Q1555-S1555)</f>
        <v/>
      </c>
    </row>
    <row r="1556">
      <c r="A1556" s="7">
        <f>CONCATENATE(C1556,E1556,F1556,I1556)</f>
        <v/>
      </c>
      <c r="B1556" s="7">
        <f>CONCATENATE(C1556,E1556,I1556)</f>
        <v/>
      </c>
      <c r="C1556" s="8" t="n">
        <v>900004323</v>
      </c>
      <c r="D1556" s="7">
        <f>IFERROR(VLOOKUP(C1556,TRAOPE!$G:$H,2,0),"")</f>
        <v/>
      </c>
      <c r="E1556" s="8" t="inlineStr">
        <is>
          <t>D836</t>
        </is>
      </c>
      <c r="F1556" s="8" t="inlineStr">
        <is>
          <t>66289412</t>
        </is>
      </c>
      <c r="G1556" s="8">
        <f>IFERROR(VLOOKUP(A1556,Flete!$A:$E,5,0),"")</f>
        <v/>
      </c>
      <c r="H1556" s="7">
        <f>IFERROR(VLOOKUP(F1556,TRAOPE!$AA:$AB,2,0),"")</f>
        <v/>
      </c>
      <c r="I1556" s="7" t="n">
        <v>10000627</v>
      </c>
      <c r="J1556" s="7">
        <f>IFERROR(VLOOKUP(I1556,Materiales!$A:$H,8,0),"")</f>
        <v/>
      </c>
      <c r="K1556" s="9">
        <f>IFERROR(VLOOKUP(I1556,Materiales!$A:$G,7,0),"")</f>
        <v/>
      </c>
      <c r="L1556" s="8" t="inlineStr">
        <is>
          <t>20190426</t>
        </is>
      </c>
      <c r="M1556" s="8" t="inlineStr">
        <is>
          <t>20250127</t>
        </is>
      </c>
      <c r="N1556" s="10" t="n">
        <v>84</v>
      </c>
      <c r="O1556" s="10">
        <f>IFERROR(VLOOKUP(A1556,Flete!$A:$J,10,0),"")</f>
        <v/>
      </c>
      <c r="P1556" s="8" t="inlineStr">
        <is>
          <t>M3</t>
        </is>
      </c>
      <c r="Q1556" s="10">
        <f>IFERROR(IFERROR(VLOOKUP(A1556,TRAOPE!$A:$U,21,0),VLOOKUP(B1556,TRAOPE!$A:$U,21,0)),"")</f>
        <v/>
      </c>
      <c r="R1556" s="8">
        <f>IFERROR(IFERROR(VLOOKUP(A1556,TRAOPE!$A:$W,23,0),VLOOKUP(B1556,TRAOPE!$A:$W,23,0)),"")</f>
        <v/>
      </c>
      <c r="S1556" s="10">
        <f>IF(AND(P1556="TN",R1556="TN"),N1556+N(O1556),IF(G1556&amp;""="1",N(K1556)*N1556,(N1556+N(O1556))*N(K1556)))</f>
        <v/>
      </c>
      <c r="T1556" s="10">
        <f>IF(Q1556="","",Q1556-S1556)</f>
        <v/>
      </c>
    </row>
    <row r="1557">
      <c r="A1557" s="7">
        <f>CONCATENATE(C1557,E1557,F1557,I1557)</f>
        <v/>
      </c>
      <c r="B1557" s="7">
        <f>CONCATENATE(C1557,E1557,I1557)</f>
        <v/>
      </c>
      <c r="C1557" s="8" t="n">
        <v>900004323</v>
      </c>
      <c r="D1557" s="7">
        <f>IFERROR(VLOOKUP(C1557,TRAOPE!$G:$H,2,0),"")</f>
        <v/>
      </c>
      <c r="E1557" s="8" t="inlineStr">
        <is>
          <t>D836</t>
        </is>
      </c>
      <c r="F1557" s="8" t="inlineStr">
        <is>
          <t>66289413</t>
        </is>
      </c>
      <c r="G1557" s="8">
        <f>IFERROR(VLOOKUP(A1557,Flete!$A:$E,5,0),"")</f>
        <v/>
      </c>
      <c r="H1557" s="7">
        <f>IFERROR(VLOOKUP(F1557,TRAOPE!$AA:$AB,2,0),"")</f>
        <v/>
      </c>
      <c r="I1557" s="7" t="n">
        <v>10000160</v>
      </c>
      <c r="J1557" s="7">
        <f>IFERROR(VLOOKUP(I1557,Materiales!$A:$H,8,0),"")</f>
        <v/>
      </c>
      <c r="K1557" s="9">
        <f>IFERROR(VLOOKUP(I1557,Materiales!$A:$G,7,0),"")</f>
        <v/>
      </c>
      <c r="L1557" s="8" t="inlineStr">
        <is>
          <t>20190426</t>
        </is>
      </c>
      <c r="M1557" s="8" t="inlineStr">
        <is>
          <t>20250127</t>
        </is>
      </c>
      <c r="N1557" s="10" t="n">
        <v>84</v>
      </c>
      <c r="O1557" s="10">
        <f>IFERROR(VLOOKUP(A1557,Flete!$A:$J,10,0),"")</f>
        <v/>
      </c>
      <c r="P1557" s="8" t="inlineStr">
        <is>
          <t>M3</t>
        </is>
      </c>
      <c r="Q1557" s="10">
        <f>IFERROR(IFERROR(VLOOKUP(A1557,TRAOPE!$A:$U,21,0),VLOOKUP(B1557,TRAOPE!$A:$U,21,0)),"")</f>
        <v/>
      </c>
      <c r="R1557" s="8">
        <f>IFERROR(IFERROR(VLOOKUP(A1557,TRAOPE!$A:$W,23,0),VLOOKUP(B1557,TRAOPE!$A:$W,23,0)),"")</f>
        <v/>
      </c>
      <c r="S1557" s="10">
        <f>IF(AND(P1557="TN",R1557="TN"),N1557+N(O1557),IF(G1557&amp;""="1",N(K1557)*N1557,(N1557+N(O1557))*N(K1557)))</f>
        <v/>
      </c>
      <c r="T1557" s="10">
        <f>IF(Q1557="","",Q1557-S1557)</f>
        <v/>
      </c>
    </row>
    <row r="1558">
      <c r="A1558" s="7">
        <f>CONCATENATE(C1558,E1558,F1558,I1558)</f>
        <v/>
      </c>
      <c r="B1558" s="7">
        <f>CONCATENATE(C1558,E1558,I1558)</f>
        <v/>
      </c>
      <c r="C1558" s="8" t="n">
        <v>900004323</v>
      </c>
      <c r="D1558" s="7">
        <f>IFERROR(VLOOKUP(C1558,TRAOPE!$G:$H,2,0),"")</f>
        <v/>
      </c>
      <c r="E1558" s="8" t="inlineStr">
        <is>
          <t>D836</t>
        </is>
      </c>
      <c r="F1558" s="8" t="inlineStr">
        <is>
          <t>66289413</t>
        </is>
      </c>
      <c r="G1558" s="8">
        <f>IFERROR(VLOOKUP(A1558,Flete!$A:$E,5,0),"")</f>
        <v/>
      </c>
      <c r="H1558" s="7">
        <f>IFERROR(VLOOKUP(F1558,TRAOPE!$AA:$AB,2,0),"")</f>
        <v/>
      </c>
      <c r="I1558" s="7" t="n">
        <v>10000357</v>
      </c>
      <c r="J1558" s="7">
        <f>IFERROR(VLOOKUP(I1558,Materiales!$A:$H,8,0),"")</f>
        <v/>
      </c>
      <c r="K1558" s="9">
        <f>IFERROR(VLOOKUP(I1558,Materiales!$A:$G,7,0),"")</f>
        <v/>
      </c>
      <c r="L1558" s="8" t="inlineStr">
        <is>
          <t>20190426</t>
        </is>
      </c>
      <c r="M1558" s="8" t="inlineStr">
        <is>
          <t>20250127</t>
        </is>
      </c>
      <c r="N1558" s="10" t="n">
        <v>95.5</v>
      </c>
      <c r="O1558" s="10">
        <f>IFERROR(VLOOKUP(A1558,Flete!$A:$J,10,0),"")</f>
        <v/>
      </c>
      <c r="P1558" s="8" t="inlineStr">
        <is>
          <t>M3</t>
        </is>
      </c>
      <c r="Q1558" s="10">
        <f>IFERROR(IFERROR(VLOOKUP(A1558,TRAOPE!$A:$U,21,0),VLOOKUP(B1558,TRAOPE!$A:$U,21,0)),"")</f>
        <v/>
      </c>
      <c r="R1558" s="8">
        <f>IFERROR(IFERROR(VLOOKUP(A1558,TRAOPE!$A:$W,23,0),VLOOKUP(B1558,TRAOPE!$A:$W,23,0)),"")</f>
        <v/>
      </c>
      <c r="S1558" s="10">
        <f>IF(AND(P1558="TN",R1558="TN"),N1558+N(O1558),IF(G1558&amp;""="1",N(K1558)*N1558,(N1558+N(O1558))*N(K1558)))</f>
        <v/>
      </c>
      <c r="T1558" s="10">
        <f>IF(Q1558="","",Q1558-S1558)</f>
        <v/>
      </c>
    </row>
    <row r="1559">
      <c r="A1559" s="7">
        <f>CONCATENATE(C1559,E1559,F1559,I1559)</f>
        <v/>
      </c>
      <c r="B1559" s="7">
        <f>CONCATENATE(C1559,E1559,I1559)</f>
        <v/>
      </c>
      <c r="C1559" s="8" t="n">
        <v>900004323</v>
      </c>
      <c r="D1559" s="7">
        <f>IFERROR(VLOOKUP(C1559,TRAOPE!$G:$H,2,0),"")</f>
        <v/>
      </c>
      <c r="E1559" s="8" t="inlineStr">
        <is>
          <t>D836</t>
        </is>
      </c>
      <c r="F1559" s="8" t="inlineStr">
        <is>
          <t>66289413</t>
        </is>
      </c>
      <c r="G1559" s="8">
        <f>IFERROR(VLOOKUP(A1559,Flete!$A:$E,5,0),"")</f>
        <v/>
      </c>
      <c r="H1559" s="7">
        <f>IFERROR(VLOOKUP(F1559,TRAOPE!$AA:$AB,2,0),"")</f>
        <v/>
      </c>
      <c r="I1559" s="7" t="n">
        <v>10000627</v>
      </c>
      <c r="J1559" s="7">
        <f>IFERROR(VLOOKUP(I1559,Materiales!$A:$H,8,0),"")</f>
        <v/>
      </c>
      <c r="K1559" s="9">
        <f>IFERROR(VLOOKUP(I1559,Materiales!$A:$G,7,0),"")</f>
        <v/>
      </c>
      <c r="L1559" s="8" t="inlineStr">
        <is>
          <t>20190426</t>
        </is>
      </c>
      <c r="M1559" s="8" t="inlineStr">
        <is>
          <t>20250127</t>
        </is>
      </c>
      <c r="N1559" s="10" t="n">
        <v>84</v>
      </c>
      <c r="O1559" s="10">
        <f>IFERROR(VLOOKUP(A1559,Flete!$A:$J,10,0),"")</f>
        <v/>
      </c>
      <c r="P1559" s="8" t="inlineStr">
        <is>
          <t>M3</t>
        </is>
      </c>
      <c r="Q1559" s="10">
        <f>IFERROR(IFERROR(VLOOKUP(A1559,TRAOPE!$A:$U,21,0),VLOOKUP(B1559,TRAOPE!$A:$U,21,0)),"")</f>
        <v/>
      </c>
      <c r="R1559" s="8">
        <f>IFERROR(IFERROR(VLOOKUP(A1559,TRAOPE!$A:$W,23,0),VLOOKUP(B1559,TRAOPE!$A:$W,23,0)),"")</f>
        <v/>
      </c>
      <c r="S1559" s="10">
        <f>IF(AND(P1559="TN",R1559="TN"),N1559+N(O1559),IF(G1559&amp;""="1",N(K1559)*N1559,(N1559+N(O1559))*N(K1559)))</f>
        <v/>
      </c>
      <c r="T1559" s="10">
        <f>IF(Q1559="","",Q1559-S1559)</f>
        <v/>
      </c>
    </row>
    <row r="1560">
      <c r="A1560" s="7">
        <f>CONCATENATE(C1560,E1560,F1560,I1560)</f>
        <v/>
      </c>
      <c r="B1560" s="7">
        <f>CONCATENATE(C1560,E1560,I1560)</f>
        <v/>
      </c>
      <c r="C1560" s="8" t="n">
        <v>900004323</v>
      </c>
      <c r="D1560" s="7">
        <f>IFERROR(VLOOKUP(C1560,TRAOPE!$G:$H,2,0),"")</f>
        <v/>
      </c>
      <c r="E1560" s="8" t="inlineStr">
        <is>
          <t>D836</t>
        </is>
      </c>
      <c r="F1560" s="8" t="inlineStr">
        <is>
          <t>66313323</t>
        </is>
      </c>
      <c r="G1560" s="8">
        <f>IFERROR(VLOOKUP(A1560,Flete!$A:$E,5,0),"")</f>
        <v/>
      </c>
      <c r="H1560" s="7">
        <f>IFERROR(VLOOKUP(F1560,TRAOPE!$AA:$AB,2,0),"")</f>
        <v/>
      </c>
      <c r="I1560" s="7" t="n">
        <v>10000160</v>
      </c>
      <c r="J1560" s="7">
        <f>IFERROR(VLOOKUP(I1560,Materiales!$A:$H,8,0),"")</f>
        <v/>
      </c>
      <c r="K1560" s="9">
        <f>IFERROR(VLOOKUP(I1560,Materiales!$A:$G,7,0),"")</f>
        <v/>
      </c>
      <c r="L1560" s="8" t="inlineStr">
        <is>
          <t>20190426</t>
        </is>
      </c>
      <c r="M1560" s="8" t="inlineStr">
        <is>
          <t>20250127</t>
        </is>
      </c>
      <c r="N1560" s="10" t="n">
        <v>88</v>
      </c>
      <c r="O1560" s="10">
        <f>IFERROR(VLOOKUP(A1560,Flete!$A:$J,10,0),"")</f>
        <v/>
      </c>
      <c r="P1560" s="8" t="inlineStr">
        <is>
          <t>M3</t>
        </is>
      </c>
      <c r="Q1560" s="10">
        <f>IFERROR(IFERROR(VLOOKUP(A1560,TRAOPE!$A:$U,21,0),VLOOKUP(B1560,TRAOPE!$A:$U,21,0)),"")</f>
        <v/>
      </c>
      <c r="R1560" s="8">
        <f>IFERROR(IFERROR(VLOOKUP(A1560,TRAOPE!$A:$W,23,0),VLOOKUP(B1560,TRAOPE!$A:$W,23,0)),"")</f>
        <v/>
      </c>
      <c r="S1560" s="10">
        <f>IF(AND(P1560="TN",R1560="TN"),N1560+N(O1560),IF(G1560&amp;""="1",N(K1560)*N1560,(N1560+N(O1560))*N(K1560)))</f>
        <v/>
      </c>
      <c r="T1560" s="10">
        <f>IF(Q1560="","",Q1560-S1560)</f>
        <v/>
      </c>
    </row>
    <row r="1561">
      <c r="A1561" s="7">
        <f>CONCATENATE(C1561,E1561,F1561,I1561)</f>
        <v/>
      </c>
      <c r="B1561" s="7">
        <f>CONCATENATE(C1561,E1561,I1561)</f>
        <v/>
      </c>
      <c r="C1561" s="8" t="n">
        <v>900004323</v>
      </c>
      <c r="D1561" s="7">
        <f>IFERROR(VLOOKUP(C1561,TRAOPE!$G:$H,2,0),"")</f>
        <v/>
      </c>
      <c r="E1561" s="8" t="inlineStr">
        <is>
          <t>D836</t>
        </is>
      </c>
      <c r="F1561" s="8" t="inlineStr">
        <is>
          <t>66318945</t>
        </is>
      </c>
      <c r="G1561" s="8">
        <f>IFERROR(VLOOKUP(A1561,Flete!$A:$E,5,0),"")</f>
        <v/>
      </c>
      <c r="H1561" s="7">
        <f>IFERROR(VLOOKUP(F1561,TRAOPE!$AA:$AB,2,0),"")</f>
        <v/>
      </c>
      <c r="I1561" s="7" t="n">
        <v>10019516</v>
      </c>
      <c r="J1561" s="7">
        <f>IFERROR(VLOOKUP(I1561,Materiales!$A:$H,8,0),"")</f>
        <v/>
      </c>
      <c r="K1561" s="9">
        <f>IFERROR(VLOOKUP(I1561,Materiales!$A:$G,7,0),"")</f>
        <v/>
      </c>
      <c r="L1561" s="8" t="inlineStr">
        <is>
          <t>20190426</t>
        </is>
      </c>
      <c r="M1561" s="8" t="inlineStr">
        <is>
          <t>20250127</t>
        </is>
      </c>
      <c r="N1561" s="10" t="n">
        <v>83.95</v>
      </c>
      <c r="O1561" s="10">
        <f>IFERROR(VLOOKUP(A1561,Flete!$A:$J,10,0),"")</f>
        <v/>
      </c>
      <c r="P1561" s="8" t="inlineStr">
        <is>
          <t>M3</t>
        </is>
      </c>
      <c r="Q1561" s="10">
        <f>IFERROR(IFERROR(VLOOKUP(A1561,TRAOPE!$A:$U,21,0),VLOOKUP(B1561,TRAOPE!$A:$U,21,0)),"")</f>
        <v/>
      </c>
      <c r="R1561" s="8">
        <f>IFERROR(IFERROR(VLOOKUP(A1561,TRAOPE!$A:$W,23,0),VLOOKUP(B1561,TRAOPE!$A:$W,23,0)),"")</f>
        <v/>
      </c>
      <c r="S1561" s="10">
        <f>IF(AND(P1561="TN",R1561="TN"),N1561+N(O1561),IF(G1561&amp;""="1",N(K1561)*N1561,(N1561+N(O1561))*N(K1561)))</f>
        <v/>
      </c>
      <c r="T1561" s="10">
        <f>IF(Q1561="","",Q1561-S1561)</f>
        <v/>
      </c>
    </row>
    <row r="1562">
      <c r="A1562" s="7">
        <f>CONCATENATE(C1562,E1562,F1562,I1562)</f>
        <v/>
      </c>
      <c r="B1562" s="7">
        <f>CONCATENATE(C1562,E1562,I1562)</f>
        <v/>
      </c>
      <c r="C1562" s="8" t="n">
        <v>900004323</v>
      </c>
      <c r="D1562" s="7">
        <f>IFERROR(VLOOKUP(C1562,TRAOPE!$G:$H,2,0),"")</f>
        <v/>
      </c>
      <c r="E1562" s="8" t="inlineStr">
        <is>
          <t>D836</t>
        </is>
      </c>
      <c r="F1562" s="8" t="inlineStr">
        <is>
          <t>66338102</t>
        </is>
      </c>
      <c r="G1562" s="8">
        <f>IFERROR(VLOOKUP(A1562,Flete!$A:$E,5,0),"")</f>
        <v/>
      </c>
      <c r="H1562" s="7">
        <f>IFERROR(VLOOKUP(F1562,TRAOPE!$AA:$AB,2,0),"")</f>
        <v/>
      </c>
      <c r="I1562" s="7" t="n">
        <v>10000357</v>
      </c>
      <c r="J1562" s="7">
        <f>IFERROR(VLOOKUP(I1562,Materiales!$A:$H,8,0),"")</f>
        <v/>
      </c>
      <c r="K1562" s="9">
        <f>IFERROR(VLOOKUP(I1562,Materiales!$A:$G,7,0),"")</f>
        <v/>
      </c>
      <c r="L1562" s="8" t="inlineStr">
        <is>
          <t>20190426</t>
        </is>
      </c>
      <c r="M1562" s="8" t="inlineStr">
        <is>
          <t>20250127</t>
        </is>
      </c>
      <c r="N1562" s="10" t="n">
        <v>100.8</v>
      </c>
      <c r="O1562" s="10">
        <f>IFERROR(VLOOKUP(A1562,Flete!$A:$J,10,0),"")</f>
        <v/>
      </c>
      <c r="P1562" s="8" t="inlineStr">
        <is>
          <t>M3</t>
        </is>
      </c>
      <c r="Q1562" s="10">
        <f>IFERROR(IFERROR(VLOOKUP(A1562,TRAOPE!$A:$U,21,0),VLOOKUP(B1562,TRAOPE!$A:$U,21,0)),"")</f>
        <v/>
      </c>
      <c r="R1562" s="8">
        <f>IFERROR(IFERROR(VLOOKUP(A1562,TRAOPE!$A:$W,23,0),VLOOKUP(B1562,TRAOPE!$A:$W,23,0)),"")</f>
        <v/>
      </c>
      <c r="S1562" s="10">
        <f>IF(AND(P1562="TN",R1562="TN"),N1562+N(O1562),IF(G1562&amp;""="1",N(K1562)*N1562,(N1562+N(O1562))*N(K1562)))</f>
        <v/>
      </c>
      <c r="T1562" s="10">
        <f>IF(Q1562="","",Q1562-S1562)</f>
        <v/>
      </c>
    </row>
    <row r="1563">
      <c r="A1563" s="7">
        <f>CONCATENATE(C1563,E1563,F1563,I1563)</f>
        <v/>
      </c>
      <c r="B1563" s="7">
        <f>CONCATENATE(C1563,E1563,I1563)</f>
        <v/>
      </c>
      <c r="C1563" s="8" t="n">
        <v>900004323</v>
      </c>
      <c r="D1563" s="7">
        <f>IFERROR(VLOOKUP(C1563,TRAOPE!$G:$H,2,0),"")</f>
        <v/>
      </c>
      <c r="E1563" s="8" t="inlineStr">
        <is>
          <t>D836</t>
        </is>
      </c>
      <c r="F1563" s="8" t="inlineStr">
        <is>
          <t>66372475</t>
        </is>
      </c>
      <c r="G1563" s="8">
        <f>IFERROR(VLOOKUP(A1563,Flete!$A:$E,5,0),"")</f>
        <v/>
      </c>
      <c r="H1563" s="7">
        <f>IFERROR(VLOOKUP(F1563,TRAOPE!$AA:$AB,2,0),"")</f>
        <v/>
      </c>
      <c r="I1563" s="7" t="n">
        <v>10000160</v>
      </c>
      <c r="J1563" s="7">
        <f>IFERROR(VLOOKUP(I1563,Materiales!$A:$H,8,0),"")</f>
        <v/>
      </c>
      <c r="K1563" s="9">
        <f>IFERROR(VLOOKUP(I1563,Materiales!$A:$G,7,0),"")</f>
        <v/>
      </c>
      <c r="L1563" s="8" t="inlineStr">
        <is>
          <t>20190426</t>
        </is>
      </c>
      <c r="M1563" s="8" t="inlineStr">
        <is>
          <t>20250127</t>
        </is>
      </c>
      <c r="N1563" s="10" t="n">
        <v>92.40000000000001</v>
      </c>
      <c r="O1563" s="10">
        <f>IFERROR(VLOOKUP(A1563,Flete!$A:$J,10,0),"")</f>
        <v/>
      </c>
      <c r="P1563" s="8" t="inlineStr">
        <is>
          <t>M3</t>
        </is>
      </c>
      <c r="Q1563" s="10">
        <f>IFERROR(IFERROR(VLOOKUP(A1563,TRAOPE!$A:$U,21,0),VLOOKUP(B1563,TRAOPE!$A:$U,21,0)),"")</f>
        <v/>
      </c>
      <c r="R1563" s="8">
        <f>IFERROR(IFERROR(VLOOKUP(A1563,TRAOPE!$A:$W,23,0),VLOOKUP(B1563,TRAOPE!$A:$W,23,0)),"")</f>
        <v/>
      </c>
      <c r="S1563" s="10">
        <f>IF(AND(P1563="TN",R1563="TN"),N1563+N(O1563),IF(G1563&amp;""="1",N(K1563)*N1563,(N1563+N(O1563))*N(K1563)))</f>
        <v/>
      </c>
      <c r="T1563" s="10">
        <f>IF(Q1563="","",Q1563-S1563)</f>
        <v/>
      </c>
    </row>
    <row r="1564">
      <c r="A1564" s="7">
        <f>CONCATENATE(C1564,E1564,F1564,I1564)</f>
        <v/>
      </c>
      <c r="B1564" s="7">
        <f>CONCATENATE(C1564,E1564,I1564)</f>
        <v/>
      </c>
      <c r="C1564" s="8" t="n">
        <v>900004323</v>
      </c>
      <c r="D1564" s="7">
        <f>IFERROR(VLOOKUP(C1564,TRAOPE!$G:$H,2,0),"")</f>
        <v/>
      </c>
      <c r="E1564" s="8" t="inlineStr">
        <is>
          <t>D836</t>
        </is>
      </c>
      <c r="F1564" s="8" t="inlineStr">
        <is>
          <t>66372475</t>
        </is>
      </c>
      <c r="G1564" s="8">
        <f>IFERROR(VLOOKUP(A1564,Flete!$A:$E,5,0),"")</f>
        <v/>
      </c>
      <c r="H1564" s="7">
        <f>IFERROR(VLOOKUP(F1564,TRAOPE!$AA:$AB,2,0),"")</f>
        <v/>
      </c>
      <c r="I1564" s="7" t="n">
        <v>10000206</v>
      </c>
      <c r="J1564" s="7">
        <f>IFERROR(VLOOKUP(I1564,Materiales!$A:$H,8,0),"")</f>
        <v/>
      </c>
      <c r="K1564" s="9">
        <f>IFERROR(VLOOKUP(I1564,Materiales!$A:$G,7,0),"")</f>
        <v/>
      </c>
      <c r="L1564" s="8" t="inlineStr">
        <is>
          <t>20190426</t>
        </is>
      </c>
      <c r="M1564" s="8" t="inlineStr">
        <is>
          <t>20250127</t>
        </is>
      </c>
      <c r="N1564" s="10" t="n">
        <v>37.22</v>
      </c>
      <c r="O1564" s="10">
        <f>IFERROR(VLOOKUP(A1564,Flete!$A:$J,10,0),"")</f>
        <v/>
      </c>
      <c r="P1564" s="8" t="inlineStr">
        <is>
          <t>M3</t>
        </is>
      </c>
      <c r="Q1564" s="10">
        <f>IFERROR(IFERROR(VLOOKUP(A1564,TRAOPE!$A:$U,21,0),VLOOKUP(B1564,TRAOPE!$A:$U,21,0)),"")</f>
        <v/>
      </c>
      <c r="R1564" s="8">
        <f>IFERROR(IFERROR(VLOOKUP(A1564,TRAOPE!$A:$W,23,0),VLOOKUP(B1564,TRAOPE!$A:$W,23,0)),"")</f>
        <v/>
      </c>
      <c r="S1564" s="10">
        <f>IF(AND(P1564="TN",R1564="TN"),N1564+N(O1564),IF(G1564&amp;""="1",N(K1564)*N1564,(N1564+N(O1564))*N(K1564)))</f>
        <v/>
      </c>
      <c r="T1564" s="10">
        <f>IF(Q1564="","",Q1564-S1564)</f>
        <v/>
      </c>
    </row>
    <row r="1565">
      <c r="A1565" s="7">
        <f>CONCATENATE(C1565,E1565,F1565,I1565)</f>
        <v/>
      </c>
      <c r="B1565" s="7">
        <f>CONCATENATE(C1565,E1565,I1565)</f>
        <v/>
      </c>
      <c r="C1565" s="8" t="n">
        <v>900004323</v>
      </c>
      <c r="D1565" s="7">
        <f>IFERROR(VLOOKUP(C1565,TRAOPE!$G:$H,2,0),"")</f>
        <v/>
      </c>
      <c r="E1565" s="8" t="inlineStr">
        <is>
          <t>D836</t>
        </is>
      </c>
      <c r="F1565" s="8" t="inlineStr">
        <is>
          <t>66372475</t>
        </is>
      </c>
      <c r="G1565" s="8">
        <f>IFERROR(VLOOKUP(A1565,Flete!$A:$E,5,0),"")</f>
        <v/>
      </c>
      <c r="H1565" s="7">
        <f>IFERROR(VLOOKUP(F1565,TRAOPE!$AA:$AB,2,0),"")</f>
        <v/>
      </c>
      <c r="I1565" s="7" t="n">
        <v>10000357</v>
      </c>
      <c r="J1565" s="7">
        <f>IFERROR(VLOOKUP(I1565,Materiales!$A:$H,8,0),"")</f>
        <v/>
      </c>
      <c r="K1565" s="9">
        <f>IFERROR(VLOOKUP(I1565,Materiales!$A:$G,7,0),"")</f>
        <v/>
      </c>
      <c r="L1565" s="8" t="inlineStr">
        <is>
          <t>20190426</t>
        </is>
      </c>
      <c r="M1565" s="8" t="inlineStr">
        <is>
          <t>20250127</t>
        </is>
      </c>
      <c r="N1565" s="10" t="n">
        <v>100.8</v>
      </c>
      <c r="O1565" s="10">
        <f>IFERROR(VLOOKUP(A1565,Flete!$A:$J,10,0),"")</f>
        <v/>
      </c>
      <c r="P1565" s="8" t="inlineStr">
        <is>
          <t>M3</t>
        </is>
      </c>
      <c r="Q1565" s="10">
        <f>IFERROR(IFERROR(VLOOKUP(A1565,TRAOPE!$A:$U,21,0),VLOOKUP(B1565,TRAOPE!$A:$U,21,0)),"")</f>
        <v/>
      </c>
      <c r="R1565" s="8">
        <f>IFERROR(IFERROR(VLOOKUP(A1565,TRAOPE!$A:$W,23,0),VLOOKUP(B1565,TRAOPE!$A:$W,23,0)),"")</f>
        <v/>
      </c>
      <c r="S1565" s="10">
        <f>IF(AND(P1565="TN",R1565="TN"),N1565+N(O1565),IF(G1565&amp;""="1",N(K1565)*N1565,(N1565+N(O1565))*N(K1565)))</f>
        <v/>
      </c>
      <c r="T1565" s="10">
        <f>IF(Q1565="","",Q1565-S1565)</f>
        <v/>
      </c>
    </row>
    <row r="1566">
      <c r="A1566" s="7">
        <f>CONCATENATE(C1566,E1566,F1566,I1566)</f>
        <v/>
      </c>
      <c r="B1566" s="7">
        <f>CONCATENATE(C1566,E1566,I1566)</f>
        <v/>
      </c>
      <c r="C1566" s="8" t="n">
        <v>900004323</v>
      </c>
      <c r="D1566" s="7">
        <f>IFERROR(VLOOKUP(C1566,TRAOPE!$G:$H,2,0),"")</f>
        <v/>
      </c>
      <c r="E1566" s="8" t="inlineStr">
        <is>
          <t>D836</t>
        </is>
      </c>
      <c r="F1566" s="8" t="inlineStr">
        <is>
          <t>66372475</t>
        </is>
      </c>
      <c r="G1566" s="8">
        <f>IFERROR(VLOOKUP(A1566,Flete!$A:$E,5,0),"")</f>
        <v/>
      </c>
      <c r="H1566" s="7">
        <f>IFERROR(VLOOKUP(F1566,TRAOPE!$AA:$AB,2,0),"")</f>
        <v/>
      </c>
      <c r="I1566" s="7" t="n">
        <v>10019515</v>
      </c>
      <c r="J1566" s="7">
        <f>IFERROR(VLOOKUP(I1566,Materiales!$A:$H,8,0),"")</f>
        <v/>
      </c>
      <c r="K1566" s="9">
        <f>IFERROR(VLOOKUP(I1566,Materiales!$A:$G,7,0),"")</f>
        <v/>
      </c>
      <c r="L1566" s="8" t="inlineStr">
        <is>
          <t>20190426</t>
        </is>
      </c>
      <c r="M1566" s="8" t="inlineStr">
        <is>
          <t>20250127</t>
        </is>
      </c>
      <c r="N1566" s="10" t="n">
        <v>110</v>
      </c>
      <c r="O1566" s="10">
        <f>IFERROR(VLOOKUP(A1566,Flete!$A:$J,10,0),"")</f>
        <v/>
      </c>
      <c r="P1566" s="8" t="inlineStr">
        <is>
          <t>M3</t>
        </is>
      </c>
      <c r="Q1566" s="10">
        <f>IFERROR(IFERROR(VLOOKUP(A1566,TRAOPE!$A:$U,21,0),VLOOKUP(B1566,TRAOPE!$A:$U,21,0)),"")</f>
        <v/>
      </c>
      <c r="R1566" s="8">
        <f>IFERROR(IFERROR(VLOOKUP(A1566,TRAOPE!$A:$W,23,0),VLOOKUP(B1566,TRAOPE!$A:$W,23,0)),"")</f>
        <v/>
      </c>
      <c r="S1566" s="10">
        <f>IF(AND(P1566="TN",R1566="TN"),N1566+N(O1566),IF(G1566&amp;""="1",N(K1566)*N1566,(N1566+N(O1566))*N(K1566)))</f>
        <v/>
      </c>
      <c r="T1566" s="10">
        <f>IF(Q1566="","",Q1566-S1566)</f>
        <v/>
      </c>
    </row>
    <row r="1567">
      <c r="A1567" s="7">
        <f>CONCATENATE(C1567,E1567,F1567,I1567)</f>
        <v/>
      </c>
      <c r="B1567" s="7">
        <f>CONCATENATE(C1567,E1567,I1567)</f>
        <v/>
      </c>
      <c r="C1567" s="8" t="n">
        <v>900004323</v>
      </c>
      <c r="D1567" s="7">
        <f>IFERROR(VLOOKUP(C1567,TRAOPE!$G:$H,2,0),"")</f>
        <v/>
      </c>
      <c r="E1567" s="8" t="inlineStr">
        <is>
          <t>D836</t>
        </is>
      </c>
      <c r="F1567" s="8" t="inlineStr">
        <is>
          <t>66400667</t>
        </is>
      </c>
      <c r="G1567" s="8">
        <f>IFERROR(VLOOKUP(A1567,Flete!$A:$E,5,0),"")</f>
        <v/>
      </c>
      <c r="H1567" s="7">
        <f>IFERROR(VLOOKUP(F1567,TRAOPE!$AA:$AB,2,0),"")</f>
        <v/>
      </c>
      <c r="I1567" s="7" t="n">
        <v>10000160</v>
      </c>
      <c r="J1567" s="7">
        <f>IFERROR(VLOOKUP(I1567,Materiales!$A:$H,8,0),"")</f>
        <v/>
      </c>
      <c r="K1567" s="9">
        <f>IFERROR(VLOOKUP(I1567,Materiales!$A:$G,7,0),"")</f>
        <v/>
      </c>
      <c r="L1567" s="8" t="inlineStr">
        <is>
          <t>20190426</t>
        </is>
      </c>
      <c r="M1567" s="8" t="inlineStr">
        <is>
          <t>20250127</t>
        </is>
      </c>
      <c r="N1567" s="10" t="n">
        <v>87.15000000000001</v>
      </c>
      <c r="O1567" s="10">
        <f>IFERROR(VLOOKUP(A1567,Flete!$A:$J,10,0),"")</f>
        <v/>
      </c>
      <c r="P1567" s="8" t="inlineStr">
        <is>
          <t>M3</t>
        </is>
      </c>
      <c r="Q1567" s="10">
        <f>IFERROR(IFERROR(VLOOKUP(A1567,TRAOPE!$A:$U,21,0),VLOOKUP(B1567,TRAOPE!$A:$U,21,0)),"")</f>
        <v/>
      </c>
      <c r="R1567" s="8">
        <f>IFERROR(IFERROR(VLOOKUP(A1567,TRAOPE!$A:$W,23,0),VLOOKUP(B1567,TRAOPE!$A:$W,23,0)),"")</f>
        <v/>
      </c>
      <c r="S1567" s="10">
        <f>IF(AND(P1567="TN",R1567="TN"),N1567+N(O1567),IF(G1567&amp;""="1",N(K1567)*N1567,(N1567+N(O1567))*N(K1567)))</f>
        <v/>
      </c>
      <c r="T1567" s="10">
        <f>IF(Q1567="","",Q1567-S1567)</f>
        <v/>
      </c>
    </row>
    <row r="1568">
      <c r="A1568" s="7">
        <f>CONCATENATE(C1568,E1568,F1568,I1568)</f>
        <v/>
      </c>
      <c r="B1568" s="7">
        <f>CONCATENATE(C1568,E1568,I1568)</f>
        <v/>
      </c>
      <c r="C1568" s="8" t="n">
        <v>900004323</v>
      </c>
      <c r="D1568" s="7">
        <f>IFERROR(VLOOKUP(C1568,TRAOPE!$G:$H,2,0),"")</f>
        <v/>
      </c>
      <c r="E1568" s="8" t="inlineStr">
        <is>
          <t>D836</t>
        </is>
      </c>
      <c r="F1568" s="8" t="inlineStr">
        <is>
          <t>66414377</t>
        </is>
      </c>
      <c r="G1568" s="8">
        <f>IFERROR(VLOOKUP(A1568,Flete!$A:$E,5,0),"")</f>
        <v/>
      </c>
      <c r="H1568" s="7">
        <f>IFERROR(VLOOKUP(F1568,TRAOPE!$AA:$AB,2,0),"")</f>
        <v/>
      </c>
      <c r="I1568" s="7" t="n">
        <v>10000160</v>
      </c>
      <c r="J1568" s="7">
        <f>IFERROR(VLOOKUP(I1568,Materiales!$A:$H,8,0),"")</f>
        <v/>
      </c>
      <c r="K1568" s="9">
        <f>IFERROR(VLOOKUP(I1568,Materiales!$A:$G,7,0),"")</f>
        <v/>
      </c>
      <c r="L1568" s="8" t="inlineStr">
        <is>
          <t>20190426</t>
        </is>
      </c>
      <c r="M1568" s="8" t="inlineStr">
        <is>
          <t>20250127</t>
        </is>
      </c>
      <c r="N1568" s="10" t="n">
        <v>87.15000000000001</v>
      </c>
      <c r="O1568" s="10">
        <f>IFERROR(VLOOKUP(A1568,Flete!$A:$J,10,0),"")</f>
        <v/>
      </c>
      <c r="P1568" s="8" t="inlineStr">
        <is>
          <t>M3</t>
        </is>
      </c>
      <c r="Q1568" s="10">
        <f>IFERROR(IFERROR(VLOOKUP(A1568,TRAOPE!$A:$U,21,0),VLOOKUP(B1568,TRAOPE!$A:$U,21,0)),"")</f>
        <v/>
      </c>
      <c r="R1568" s="8">
        <f>IFERROR(IFERROR(VLOOKUP(A1568,TRAOPE!$A:$W,23,0),VLOOKUP(B1568,TRAOPE!$A:$W,23,0)),"")</f>
        <v/>
      </c>
      <c r="S1568" s="10">
        <f>IF(AND(P1568="TN",R1568="TN"),N1568+N(O1568),IF(G1568&amp;""="1",N(K1568)*N1568,(N1568+N(O1568))*N(K1568)))</f>
        <v/>
      </c>
      <c r="T1568" s="10">
        <f>IF(Q1568="","",Q1568-S1568)</f>
        <v/>
      </c>
    </row>
    <row r="1569">
      <c r="A1569" s="7">
        <f>CONCATENATE(C1569,E1569,F1569,I1569)</f>
        <v/>
      </c>
      <c r="B1569" s="7">
        <f>CONCATENATE(C1569,E1569,I1569)</f>
        <v/>
      </c>
      <c r="C1569" s="8" t="n">
        <v>900004323</v>
      </c>
      <c r="D1569" s="7">
        <f>IFERROR(VLOOKUP(C1569,TRAOPE!$G:$H,2,0),"")</f>
        <v/>
      </c>
      <c r="E1569" s="8" t="inlineStr">
        <is>
          <t>D836</t>
        </is>
      </c>
      <c r="F1569" s="8" t="inlineStr">
        <is>
          <t>66414377</t>
        </is>
      </c>
      <c r="G1569" s="8">
        <f>IFERROR(VLOOKUP(A1569,Flete!$A:$E,5,0),"")</f>
        <v/>
      </c>
      <c r="H1569" s="7">
        <f>IFERROR(VLOOKUP(F1569,TRAOPE!$AA:$AB,2,0),"")</f>
        <v/>
      </c>
      <c r="I1569" s="7" t="n">
        <v>10003132</v>
      </c>
      <c r="J1569" s="7">
        <f>IFERROR(VLOOKUP(I1569,Materiales!$A:$H,8,0),"")</f>
        <v/>
      </c>
      <c r="K1569" s="9">
        <f>IFERROR(VLOOKUP(I1569,Materiales!$A:$G,7,0),"")</f>
        <v/>
      </c>
      <c r="L1569" s="8" t="inlineStr">
        <is>
          <t>20190426</t>
        </is>
      </c>
      <c r="M1569" s="8" t="inlineStr">
        <is>
          <t>20250127</t>
        </is>
      </c>
      <c r="N1569" s="10" t="n">
        <v>115</v>
      </c>
      <c r="O1569" s="10">
        <f>IFERROR(VLOOKUP(A1569,Flete!$A:$J,10,0),"")</f>
        <v/>
      </c>
      <c r="P1569" s="8" t="inlineStr">
        <is>
          <t>M3</t>
        </is>
      </c>
      <c r="Q1569" s="10">
        <f>IFERROR(IFERROR(VLOOKUP(A1569,TRAOPE!$A:$U,21,0),VLOOKUP(B1569,TRAOPE!$A:$U,21,0)),"")</f>
        <v/>
      </c>
      <c r="R1569" s="8">
        <f>IFERROR(IFERROR(VLOOKUP(A1569,TRAOPE!$A:$W,23,0),VLOOKUP(B1569,TRAOPE!$A:$W,23,0)),"")</f>
        <v/>
      </c>
      <c r="S1569" s="10">
        <f>IF(AND(P1569="TN",R1569="TN"),N1569+N(O1569),IF(G1569&amp;""="1",N(K1569)*N1569,(N1569+N(O1569))*N(K1569)))</f>
        <v/>
      </c>
      <c r="T1569" s="10">
        <f>IF(Q1569="","",Q1569-S1569)</f>
        <v/>
      </c>
    </row>
    <row r="1570">
      <c r="A1570" s="7">
        <f>CONCATENATE(C1570,E1570,F1570,I1570)</f>
        <v/>
      </c>
      <c r="B1570" s="7">
        <f>CONCATENATE(C1570,E1570,I1570)</f>
        <v/>
      </c>
      <c r="C1570" s="8" t="n">
        <v>900004323</v>
      </c>
      <c r="D1570" s="7">
        <f>IFERROR(VLOOKUP(C1570,TRAOPE!$G:$H,2,0),"")</f>
        <v/>
      </c>
      <c r="E1570" s="8" t="inlineStr">
        <is>
          <t>D836</t>
        </is>
      </c>
      <c r="F1570" s="8" t="inlineStr">
        <is>
          <t>66420831</t>
        </is>
      </c>
      <c r="G1570" s="8">
        <f>IFERROR(VLOOKUP(A1570,Flete!$A:$E,5,0),"")</f>
        <v/>
      </c>
      <c r="H1570" s="7">
        <f>IFERROR(VLOOKUP(F1570,TRAOPE!$AA:$AB,2,0),"")</f>
        <v/>
      </c>
      <c r="I1570" s="7" t="n">
        <v>10000160</v>
      </c>
      <c r="J1570" s="7">
        <f>IFERROR(VLOOKUP(I1570,Materiales!$A:$H,8,0),"")</f>
        <v/>
      </c>
      <c r="K1570" s="9">
        <f>IFERROR(VLOOKUP(I1570,Materiales!$A:$G,7,0),"")</f>
        <v/>
      </c>
      <c r="L1570" s="8" t="inlineStr">
        <is>
          <t>20190426</t>
        </is>
      </c>
      <c r="M1570" s="8" t="inlineStr">
        <is>
          <t>20250127</t>
        </is>
      </c>
      <c r="N1570" s="10" t="n">
        <v>88</v>
      </c>
      <c r="O1570" s="10">
        <f>IFERROR(VLOOKUP(A1570,Flete!$A:$J,10,0),"")</f>
        <v/>
      </c>
      <c r="P1570" s="8" t="inlineStr">
        <is>
          <t>M3</t>
        </is>
      </c>
      <c r="Q1570" s="10">
        <f>IFERROR(IFERROR(VLOOKUP(A1570,TRAOPE!$A:$U,21,0),VLOOKUP(B1570,TRAOPE!$A:$U,21,0)),"")</f>
        <v/>
      </c>
      <c r="R1570" s="8">
        <f>IFERROR(IFERROR(VLOOKUP(A1570,TRAOPE!$A:$W,23,0),VLOOKUP(B1570,TRAOPE!$A:$W,23,0)),"")</f>
        <v/>
      </c>
      <c r="S1570" s="10">
        <f>IF(AND(P1570="TN",R1570="TN"),N1570+N(O1570),IF(G1570&amp;""="1",N(K1570)*N1570,(N1570+N(O1570))*N(K1570)))</f>
        <v/>
      </c>
      <c r="T1570" s="10">
        <f>IF(Q1570="","",Q1570-S1570)</f>
        <v/>
      </c>
    </row>
    <row r="1571">
      <c r="A1571" s="7">
        <f>CONCATENATE(C1571,E1571,F1571,I1571)</f>
        <v/>
      </c>
      <c r="B1571" s="7">
        <f>CONCATENATE(C1571,E1571,I1571)</f>
        <v/>
      </c>
      <c r="C1571" s="8" t="n">
        <v>900004323</v>
      </c>
      <c r="D1571" s="7">
        <f>IFERROR(VLOOKUP(C1571,TRAOPE!$G:$H,2,0),"")</f>
        <v/>
      </c>
      <c r="E1571" s="8" t="inlineStr">
        <is>
          <t>D836</t>
        </is>
      </c>
      <c r="F1571" s="8" t="inlineStr">
        <is>
          <t>66433511</t>
        </is>
      </c>
      <c r="G1571" s="8">
        <f>IFERROR(VLOOKUP(A1571,Flete!$A:$E,5,0),"")</f>
        <v/>
      </c>
      <c r="H1571" s="7">
        <f>IFERROR(VLOOKUP(F1571,TRAOPE!$AA:$AB,2,0),"")</f>
        <v/>
      </c>
      <c r="I1571" s="7" t="n">
        <v>10003132</v>
      </c>
      <c r="J1571" s="7">
        <f>IFERROR(VLOOKUP(I1571,Materiales!$A:$H,8,0),"")</f>
        <v/>
      </c>
      <c r="K1571" s="9">
        <f>IFERROR(VLOOKUP(I1571,Materiales!$A:$G,7,0),"")</f>
        <v/>
      </c>
      <c r="L1571" s="8" t="inlineStr">
        <is>
          <t>20190426</t>
        </is>
      </c>
      <c r="M1571" s="8" t="inlineStr">
        <is>
          <t>20250127</t>
        </is>
      </c>
      <c r="N1571" s="10" t="n">
        <v>125</v>
      </c>
      <c r="O1571" s="10">
        <f>IFERROR(VLOOKUP(A1571,Flete!$A:$J,10,0),"")</f>
        <v/>
      </c>
      <c r="P1571" s="8" t="inlineStr">
        <is>
          <t>M3</t>
        </is>
      </c>
      <c r="Q1571" s="10">
        <f>IFERROR(IFERROR(VLOOKUP(A1571,TRAOPE!$A:$U,21,0),VLOOKUP(B1571,TRAOPE!$A:$U,21,0)),"")</f>
        <v/>
      </c>
      <c r="R1571" s="8">
        <f>IFERROR(IFERROR(VLOOKUP(A1571,TRAOPE!$A:$W,23,0),VLOOKUP(B1571,TRAOPE!$A:$W,23,0)),"")</f>
        <v/>
      </c>
      <c r="S1571" s="10">
        <f>IF(AND(P1571="TN",R1571="TN"),N1571+N(O1571),IF(G1571&amp;""="1",N(K1571)*N1571,(N1571+N(O1571))*N(K1571)))</f>
        <v/>
      </c>
      <c r="T1571" s="10">
        <f>IF(Q1571="","",Q1571-S1571)</f>
        <v/>
      </c>
    </row>
    <row r="1572">
      <c r="A1572" s="7">
        <f>CONCATENATE(C1572,E1572,F1572,I1572)</f>
        <v/>
      </c>
      <c r="B1572" s="7">
        <f>CONCATENATE(C1572,E1572,I1572)</f>
        <v/>
      </c>
      <c r="C1572" s="8" t="n">
        <v>900004323</v>
      </c>
      <c r="D1572" s="7">
        <f>IFERROR(VLOOKUP(C1572,TRAOPE!$G:$H,2,0),"")</f>
        <v/>
      </c>
      <c r="E1572" s="8" t="inlineStr">
        <is>
          <t>D836</t>
        </is>
      </c>
      <c r="F1572" s="8" t="inlineStr">
        <is>
          <t>66458217</t>
        </is>
      </c>
      <c r="G1572" s="8">
        <f>IFERROR(VLOOKUP(A1572,Flete!$A:$E,5,0),"")</f>
        <v/>
      </c>
      <c r="H1572" s="7">
        <f>IFERROR(VLOOKUP(F1572,TRAOPE!$AA:$AB,2,0),"")</f>
        <v/>
      </c>
      <c r="I1572" s="7" t="n">
        <v>10000594</v>
      </c>
      <c r="J1572" s="7">
        <f>IFERROR(VLOOKUP(I1572,Materiales!$A:$H,8,0),"")</f>
        <v/>
      </c>
      <c r="K1572" s="9">
        <f>IFERROR(VLOOKUP(I1572,Materiales!$A:$G,7,0),"")</f>
        <v/>
      </c>
      <c r="L1572" s="8" t="inlineStr">
        <is>
          <t>20190426</t>
        </is>
      </c>
      <c r="M1572" s="8" t="inlineStr">
        <is>
          <t>20250127</t>
        </is>
      </c>
      <c r="N1572" s="10" t="n">
        <v>270</v>
      </c>
      <c r="O1572" s="10">
        <f>IFERROR(VLOOKUP(A1572,Flete!$A:$J,10,0),"")</f>
        <v/>
      </c>
      <c r="P1572" s="8" t="inlineStr">
        <is>
          <t>M3</t>
        </is>
      </c>
      <c r="Q1572" s="10">
        <f>IFERROR(IFERROR(VLOOKUP(A1572,TRAOPE!$A:$U,21,0),VLOOKUP(B1572,TRAOPE!$A:$U,21,0)),"")</f>
        <v/>
      </c>
      <c r="R1572" s="8">
        <f>IFERROR(IFERROR(VLOOKUP(A1572,TRAOPE!$A:$W,23,0),VLOOKUP(B1572,TRAOPE!$A:$W,23,0)),"")</f>
        <v/>
      </c>
      <c r="S1572" s="10">
        <f>IF(AND(P1572="TN",R1572="TN"),N1572+N(O1572),IF(G1572&amp;""="1",N(K1572)*N1572,(N1572+N(O1572))*N(K1572)))</f>
        <v/>
      </c>
      <c r="T1572" s="10">
        <f>IF(Q1572="","",Q1572-S1572)</f>
        <v/>
      </c>
    </row>
    <row r="1573">
      <c r="A1573" s="7">
        <f>CONCATENATE(C1573,E1573,F1573,I1573)</f>
        <v/>
      </c>
      <c r="B1573" s="7">
        <f>CONCATENATE(C1573,E1573,I1573)</f>
        <v/>
      </c>
      <c r="C1573" s="8" t="n">
        <v>900004323</v>
      </c>
      <c r="D1573" s="7">
        <f>IFERROR(VLOOKUP(C1573,TRAOPE!$G:$H,2,0),"")</f>
        <v/>
      </c>
      <c r="E1573" s="8" t="inlineStr">
        <is>
          <t>D836</t>
        </is>
      </c>
      <c r="F1573" s="8" t="inlineStr">
        <is>
          <t>66458217</t>
        </is>
      </c>
      <c r="G1573" s="8">
        <f>IFERROR(VLOOKUP(A1573,Flete!$A:$E,5,0),"")</f>
        <v/>
      </c>
      <c r="H1573" s="7">
        <f>IFERROR(VLOOKUP(F1573,TRAOPE!$AA:$AB,2,0),"")</f>
        <v/>
      </c>
      <c r="I1573" s="7" t="n">
        <v>10000598</v>
      </c>
      <c r="J1573" s="7">
        <f>IFERROR(VLOOKUP(I1573,Materiales!$A:$H,8,0),"")</f>
        <v/>
      </c>
      <c r="K1573" s="9">
        <f>IFERROR(VLOOKUP(I1573,Materiales!$A:$G,7,0),"")</f>
        <v/>
      </c>
      <c r="L1573" s="8" t="inlineStr">
        <is>
          <t>20190426</t>
        </is>
      </c>
      <c r="M1573" s="8" t="inlineStr">
        <is>
          <t>20250127</t>
        </is>
      </c>
      <c r="N1573" s="10" t="n">
        <v>300</v>
      </c>
      <c r="O1573" s="10">
        <f>IFERROR(VLOOKUP(A1573,Flete!$A:$J,10,0),"")</f>
        <v/>
      </c>
      <c r="P1573" s="8" t="inlineStr">
        <is>
          <t>M3</t>
        </is>
      </c>
      <c r="Q1573" s="10">
        <f>IFERROR(IFERROR(VLOOKUP(A1573,TRAOPE!$A:$U,21,0),VLOOKUP(B1573,TRAOPE!$A:$U,21,0)),"")</f>
        <v/>
      </c>
      <c r="R1573" s="8">
        <f>IFERROR(IFERROR(VLOOKUP(A1573,TRAOPE!$A:$W,23,0),VLOOKUP(B1573,TRAOPE!$A:$W,23,0)),"")</f>
        <v/>
      </c>
      <c r="S1573" s="10">
        <f>IF(AND(P1573="TN",R1573="TN"),N1573+N(O1573),IF(G1573&amp;""="1",N(K1573)*N1573,(N1573+N(O1573))*N(K1573)))</f>
        <v/>
      </c>
      <c r="T1573" s="10">
        <f>IF(Q1573="","",Q1573-S1573)</f>
        <v/>
      </c>
    </row>
    <row r="1574">
      <c r="A1574" s="7">
        <f>CONCATENATE(C1574,E1574,F1574,I1574)</f>
        <v/>
      </c>
      <c r="B1574" s="7">
        <f>CONCATENATE(C1574,E1574,I1574)</f>
        <v/>
      </c>
      <c r="C1574" s="8" t="n">
        <v>900004323</v>
      </c>
      <c r="D1574" s="7">
        <f>IFERROR(VLOOKUP(C1574,TRAOPE!$G:$H,2,0),"")</f>
        <v/>
      </c>
      <c r="E1574" s="8" t="inlineStr">
        <is>
          <t>D836</t>
        </is>
      </c>
      <c r="F1574" s="8" t="inlineStr">
        <is>
          <t>66458217</t>
        </is>
      </c>
      <c r="G1574" s="8">
        <f>IFERROR(VLOOKUP(A1574,Flete!$A:$E,5,0),"")</f>
        <v/>
      </c>
      <c r="H1574" s="7">
        <f>IFERROR(VLOOKUP(F1574,TRAOPE!$AA:$AB,2,0),"")</f>
        <v/>
      </c>
      <c r="I1574" s="7" t="n">
        <v>10154187</v>
      </c>
      <c r="J1574" s="7">
        <f>IFERROR(VLOOKUP(I1574,Materiales!$A:$H,8,0),"")</f>
        <v/>
      </c>
      <c r="K1574" s="9">
        <f>IFERROR(VLOOKUP(I1574,Materiales!$A:$G,7,0),"")</f>
        <v/>
      </c>
      <c r="L1574" s="8" t="inlineStr">
        <is>
          <t>20190426</t>
        </is>
      </c>
      <c r="M1574" s="8" t="inlineStr">
        <is>
          <t>20250127</t>
        </is>
      </c>
      <c r="N1574" s="10" t="n">
        <v>290</v>
      </c>
      <c r="O1574" s="10">
        <f>IFERROR(VLOOKUP(A1574,Flete!$A:$J,10,0),"")</f>
        <v/>
      </c>
      <c r="P1574" s="8" t="inlineStr">
        <is>
          <t>M3</t>
        </is>
      </c>
      <c r="Q1574" s="10">
        <f>IFERROR(IFERROR(VLOOKUP(A1574,TRAOPE!$A:$U,21,0),VLOOKUP(B1574,TRAOPE!$A:$U,21,0)),"")</f>
        <v/>
      </c>
      <c r="R1574" s="8">
        <f>IFERROR(IFERROR(VLOOKUP(A1574,TRAOPE!$A:$W,23,0),VLOOKUP(B1574,TRAOPE!$A:$W,23,0)),"")</f>
        <v/>
      </c>
      <c r="S1574" s="10">
        <f>IF(AND(P1574="TN",R1574="TN"),N1574+N(O1574),IF(G1574&amp;""="1",N(K1574)*N1574,(N1574+N(O1574))*N(K1574)))</f>
        <v/>
      </c>
      <c r="T1574" s="10">
        <f>IF(Q1574="","",Q1574-S1574)</f>
        <v/>
      </c>
    </row>
    <row r="1575">
      <c r="A1575" s="7">
        <f>CONCATENATE(C1575,E1575,F1575,I1575)</f>
        <v/>
      </c>
      <c r="B1575" s="7">
        <f>CONCATENATE(C1575,E1575,I1575)</f>
        <v/>
      </c>
      <c r="C1575" s="8" t="n">
        <v>900004323</v>
      </c>
      <c r="D1575" s="7">
        <f>IFERROR(VLOOKUP(C1575,TRAOPE!$G:$H,2,0),"")</f>
        <v/>
      </c>
      <c r="E1575" s="8" t="inlineStr">
        <is>
          <t>D836</t>
        </is>
      </c>
      <c r="F1575" s="8" t="inlineStr">
        <is>
          <t>66475158</t>
        </is>
      </c>
      <c r="G1575" s="8">
        <f>IFERROR(VLOOKUP(A1575,Flete!$A:$E,5,0),"")</f>
        <v/>
      </c>
      <c r="H1575" s="7">
        <f>IFERROR(VLOOKUP(F1575,TRAOPE!$AA:$AB,2,0),"")</f>
        <v/>
      </c>
      <c r="I1575" s="7" t="n">
        <v>10000160</v>
      </c>
      <c r="J1575" s="7">
        <f>IFERROR(VLOOKUP(I1575,Materiales!$A:$H,8,0),"")</f>
        <v/>
      </c>
      <c r="K1575" s="9">
        <f>IFERROR(VLOOKUP(I1575,Materiales!$A:$G,7,0),"")</f>
        <v/>
      </c>
      <c r="L1575" s="8" t="inlineStr">
        <is>
          <t>20190426</t>
        </is>
      </c>
      <c r="M1575" s="8" t="inlineStr">
        <is>
          <t>20250127</t>
        </is>
      </c>
      <c r="N1575" s="10" t="n">
        <v>84</v>
      </c>
      <c r="O1575" s="10">
        <f>IFERROR(VLOOKUP(A1575,Flete!$A:$J,10,0),"")</f>
        <v/>
      </c>
      <c r="P1575" s="8" t="inlineStr">
        <is>
          <t>M3</t>
        </is>
      </c>
      <c r="Q1575" s="10">
        <f>IFERROR(IFERROR(VLOOKUP(A1575,TRAOPE!$A:$U,21,0),VLOOKUP(B1575,TRAOPE!$A:$U,21,0)),"")</f>
        <v/>
      </c>
      <c r="R1575" s="8">
        <f>IFERROR(IFERROR(VLOOKUP(A1575,TRAOPE!$A:$W,23,0),VLOOKUP(B1575,TRAOPE!$A:$W,23,0)),"")</f>
        <v/>
      </c>
      <c r="S1575" s="10">
        <f>IF(AND(P1575="TN",R1575="TN"),N1575+N(O1575),IF(G1575&amp;""="1",N(K1575)*N1575,(N1575+N(O1575))*N(K1575)))</f>
        <v/>
      </c>
      <c r="T1575" s="10">
        <f>IF(Q1575="","",Q1575-S1575)</f>
        <v/>
      </c>
    </row>
    <row r="1576">
      <c r="A1576" s="7">
        <f>CONCATENATE(C1576,E1576,F1576,I1576)</f>
        <v/>
      </c>
      <c r="B1576" s="7">
        <f>CONCATENATE(C1576,E1576,I1576)</f>
        <v/>
      </c>
      <c r="C1576" s="8" t="n">
        <v>900004323</v>
      </c>
      <c r="D1576" s="7">
        <f>IFERROR(VLOOKUP(C1576,TRAOPE!$G:$H,2,0),"")</f>
        <v/>
      </c>
      <c r="E1576" s="8" t="inlineStr">
        <is>
          <t>D836</t>
        </is>
      </c>
      <c r="F1576" s="8" t="inlineStr">
        <is>
          <t>66475158</t>
        </is>
      </c>
      <c r="G1576" s="8">
        <f>IFERROR(VLOOKUP(A1576,Flete!$A:$E,5,0),"")</f>
        <v/>
      </c>
      <c r="H1576" s="7">
        <f>IFERROR(VLOOKUP(F1576,TRAOPE!$AA:$AB,2,0),"")</f>
        <v/>
      </c>
      <c r="I1576" s="7" t="n">
        <v>10000357</v>
      </c>
      <c r="J1576" s="7">
        <f>IFERROR(VLOOKUP(I1576,Materiales!$A:$H,8,0),"")</f>
        <v/>
      </c>
      <c r="K1576" s="9">
        <f>IFERROR(VLOOKUP(I1576,Materiales!$A:$G,7,0),"")</f>
        <v/>
      </c>
      <c r="L1576" s="8" t="inlineStr">
        <is>
          <t>20190426</t>
        </is>
      </c>
      <c r="M1576" s="8" t="inlineStr">
        <is>
          <t>20250127</t>
        </is>
      </c>
      <c r="N1576" s="10" t="n">
        <v>95.5</v>
      </c>
      <c r="O1576" s="10">
        <f>IFERROR(VLOOKUP(A1576,Flete!$A:$J,10,0),"")</f>
        <v/>
      </c>
      <c r="P1576" s="8" t="inlineStr">
        <is>
          <t>M3</t>
        </is>
      </c>
      <c r="Q1576" s="10">
        <f>IFERROR(IFERROR(VLOOKUP(A1576,TRAOPE!$A:$U,21,0),VLOOKUP(B1576,TRAOPE!$A:$U,21,0)),"")</f>
        <v/>
      </c>
      <c r="R1576" s="8">
        <f>IFERROR(IFERROR(VLOOKUP(A1576,TRAOPE!$A:$W,23,0),VLOOKUP(B1576,TRAOPE!$A:$W,23,0)),"")</f>
        <v/>
      </c>
      <c r="S1576" s="10">
        <f>IF(AND(P1576="TN",R1576="TN"),N1576+N(O1576),IF(G1576&amp;""="1",N(K1576)*N1576,(N1576+N(O1576))*N(K1576)))</f>
        <v/>
      </c>
      <c r="T1576" s="10">
        <f>IF(Q1576="","",Q1576-S1576)</f>
        <v/>
      </c>
    </row>
    <row r="1577">
      <c r="A1577" s="7">
        <f>CONCATENATE(C1577,E1577,F1577,I1577)</f>
        <v/>
      </c>
      <c r="B1577" s="7">
        <f>CONCATENATE(C1577,E1577,I1577)</f>
        <v/>
      </c>
      <c r="C1577" s="8" t="n">
        <v>900004323</v>
      </c>
      <c r="D1577" s="7">
        <f>IFERROR(VLOOKUP(C1577,TRAOPE!$G:$H,2,0),"")</f>
        <v/>
      </c>
      <c r="E1577" s="8" t="inlineStr">
        <is>
          <t>D836</t>
        </is>
      </c>
      <c r="F1577" s="8" t="inlineStr">
        <is>
          <t>66475158</t>
        </is>
      </c>
      <c r="G1577" s="8">
        <f>IFERROR(VLOOKUP(A1577,Flete!$A:$E,5,0),"")</f>
        <v/>
      </c>
      <c r="H1577" s="7">
        <f>IFERROR(VLOOKUP(F1577,TRAOPE!$AA:$AB,2,0),"")</f>
        <v/>
      </c>
      <c r="I1577" s="7" t="n">
        <v>10000627</v>
      </c>
      <c r="J1577" s="7">
        <f>IFERROR(VLOOKUP(I1577,Materiales!$A:$H,8,0),"")</f>
        <v/>
      </c>
      <c r="K1577" s="9">
        <f>IFERROR(VLOOKUP(I1577,Materiales!$A:$G,7,0),"")</f>
        <v/>
      </c>
      <c r="L1577" s="8" t="inlineStr">
        <is>
          <t>20190426</t>
        </is>
      </c>
      <c r="M1577" s="8" t="inlineStr">
        <is>
          <t>20250127</t>
        </is>
      </c>
      <c r="N1577" s="10" t="n">
        <v>84</v>
      </c>
      <c r="O1577" s="10">
        <f>IFERROR(VLOOKUP(A1577,Flete!$A:$J,10,0),"")</f>
        <v/>
      </c>
      <c r="P1577" s="8" t="inlineStr">
        <is>
          <t>M3</t>
        </is>
      </c>
      <c r="Q1577" s="10">
        <f>IFERROR(IFERROR(VLOOKUP(A1577,TRAOPE!$A:$U,21,0),VLOOKUP(B1577,TRAOPE!$A:$U,21,0)),"")</f>
        <v/>
      </c>
      <c r="R1577" s="8">
        <f>IFERROR(IFERROR(VLOOKUP(A1577,TRAOPE!$A:$W,23,0),VLOOKUP(B1577,TRAOPE!$A:$W,23,0)),"")</f>
        <v/>
      </c>
      <c r="S1577" s="10">
        <f>IF(AND(P1577="TN",R1577="TN"),N1577+N(O1577),IF(G1577&amp;""="1",N(K1577)*N1577,(N1577+N(O1577))*N(K1577)))</f>
        <v/>
      </c>
      <c r="T1577" s="10">
        <f>IF(Q1577="","",Q1577-S1577)</f>
        <v/>
      </c>
    </row>
    <row r="1578">
      <c r="A1578" s="7">
        <f>CONCATENATE(C1578,E1578,F1578,I1578)</f>
        <v/>
      </c>
      <c r="B1578" s="7">
        <f>CONCATENATE(C1578,E1578,I1578)</f>
        <v/>
      </c>
      <c r="C1578" s="8" t="n">
        <v>900004323</v>
      </c>
      <c r="D1578" s="7">
        <f>IFERROR(VLOOKUP(C1578,TRAOPE!$G:$H,2,0),"")</f>
        <v/>
      </c>
      <c r="E1578" s="8" t="inlineStr">
        <is>
          <t>D836</t>
        </is>
      </c>
      <c r="F1578" s="8" t="inlineStr">
        <is>
          <t>66482104</t>
        </is>
      </c>
      <c r="G1578" s="8">
        <f>IFERROR(VLOOKUP(A1578,Flete!$A:$E,5,0),"")</f>
        <v/>
      </c>
      <c r="H1578" s="7">
        <f>IFERROR(VLOOKUP(F1578,TRAOPE!$AA:$AB,2,0),"")</f>
        <v/>
      </c>
      <c r="I1578" s="7" t="n">
        <v>10000160</v>
      </c>
      <c r="J1578" s="7">
        <f>IFERROR(VLOOKUP(I1578,Materiales!$A:$H,8,0),"")</f>
        <v/>
      </c>
      <c r="K1578" s="9">
        <f>IFERROR(VLOOKUP(I1578,Materiales!$A:$G,7,0),"")</f>
        <v/>
      </c>
      <c r="L1578" s="8" t="inlineStr">
        <is>
          <t>20190426</t>
        </is>
      </c>
      <c r="M1578" s="8" t="inlineStr">
        <is>
          <t>20250127</t>
        </is>
      </c>
      <c r="N1578" s="10" t="n">
        <v>84</v>
      </c>
      <c r="O1578" s="10">
        <f>IFERROR(VLOOKUP(A1578,Flete!$A:$J,10,0),"")</f>
        <v/>
      </c>
      <c r="P1578" s="8" t="inlineStr">
        <is>
          <t>M3</t>
        </is>
      </c>
      <c r="Q1578" s="10">
        <f>IFERROR(IFERROR(VLOOKUP(A1578,TRAOPE!$A:$U,21,0),VLOOKUP(B1578,TRAOPE!$A:$U,21,0)),"")</f>
        <v/>
      </c>
      <c r="R1578" s="8">
        <f>IFERROR(IFERROR(VLOOKUP(A1578,TRAOPE!$A:$W,23,0),VLOOKUP(B1578,TRAOPE!$A:$W,23,0)),"")</f>
        <v/>
      </c>
      <c r="S1578" s="10">
        <f>IF(AND(P1578="TN",R1578="TN"),N1578+N(O1578),IF(G1578&amp;""="1",N(K1578)*N1578,(N1578+N(O1578))*N(K1578)))</f>
        <v/>
      </c>
      <c r="T1578" s="10">
        <f>IF(Q1578="","",Q1578-S1578)</f>
        <v/>
      </c>
    </row>
    <row r="1579">
      <c r="A1579" s="7">
        <f>CONCATENATE(C1579,E1579,F1579,I1579)</f>
        <v/>
      </c>
      <c r="B1579" s="7">
        <f>CONCATENATE(C1579,E1579,I1579)</f>
        <v/>
      </c>
      <c r="C1579" s="8" t="n">
        <v>900004323</v>
      </c>
      <c r="D1579" s="7">
        <f>IFERROR(VLOOKUP(C1579,TRAOPE!$G:$H,2,0),"")</f>
        <v/>
      </c>
      <c r="E1579" s="8" t="inlineStr">
        <is>
          <t>D836</t>
        </is>
      </c>
      <c r="F1579" s="8" t="inlineStr">
        <is>
          <t>66482104</t>
        </is>
      </c>
      <c r="G1579" s="8">
        <f>IFERROR(VLOOKUP(A1579,Flete!$A:$E,5,0),"")</f>
        <v/>
      </c>
      <c r="H1579" s="7">
        <f>IFERROR(VLOOKUP(F1579,TRAOPE!$AA:$AB,2,0),"")</f>
        <v/>
      </c>
      <c r="I1579" s="7" t="n">
        <v>10000357</v>
      </c>
      <c r="J1579" s="7">
        <f>IFERROR(VLOOKUP(I1579,Materiales!$A:$H,8,0),"")</f>
        <v/>
      </c>
      <c r="K1579" s="9">
        <f>IFERROR(VLOOKUP(I1579,Materiales!$A:$G,7,0),"")</f>
        <v/>
      </c>
      <c r="L1579" s="8" t="inlineStr">
        <is>
          <t>20190426</t>
        </is>
      </c>
      <c r="M1579" s="8" t="inlineStr">
        <is>
          <t>20250127</t>
        </is>
      </c>
      <c r="N1579" s="10" t="n">
        <v>95.5</v>
      </c>
      <c r="O1579" s="10">
        <f>IFERROR(VLOOKUP(A1579,Flete!$A:$J,10,0),"")</f>
        <v/>
      </c>
      <c r="P1579" s="8" t="inlineStr">
        <is>
          <t>M3</t>
        </is>
      </c>
      <c r="Q1579" s="10">
        <f>IFERROR(IFERROR(VLOOKUP(A1579,TRAOPE!$A:$U,21,0),VLOOKUP(B1579,TRAOPE!$A:$U,21,0)),"")</f>
        <v/>
      </c>
      <c r="R1579" s="8">
        <f>IFERROR(IFERROR(VLOOKUP(A1579,TRAOPE!$A:$W,23,0),VLOOKUP(B1579,TRAOPE!$A:$W,23,0)),"")</f>
        <v/>
      </c>
      <c r="S1579" s="10">
        <f>IF(AND(P1579="TN",R1579="TN"),N1579+N(O1579),IF(G1579&amp;""="1",N(K1579)*N1579,(N1579+N(O1579))*N(K1579)))</f>
        <v/>
      </c>
      <c r="T1579" s="10">
        <f>IF(Q1579="","",Q1579-S1579)</f>
        <v/>
      </c>
    </row>
    <row r="1580">
      <c r="A1580" s="7">
        <f>CONCATENATE(C1580,E1580,F1580,I1580)</f>
        <v/>
      </c>
      <c r="B1580" s="7">
        <f>CONCATENATE(C1580,E1580,I1580)</f>
        <v/>
      </c>
      <c r="C1580" s="8" t="n">
        <v>900004323</v>
      </c>
      <c r="D1580" s="7">
        <f>IFERROR(VLOOKUP(C1580,TRAOPE!$G:$H,2,0),"")</f>
        <v/>
      </c>
      <c r="E1580" s="8" t="inlineStr">
        <is>
          <t>D836</t>
        </is>
      </c>
      <c r="F1580" s="8" t="inlineStr">
        <is>
          <t>66482104</t>
        </is>
      </c>
      <c r="G1580" s="8">
        <f>IFERROR(VLOOKUP(A1580,Flete!$A:$E,5,0),"")</f>
        <v/>
      </c>
      <c r="H1580" s="7">
        <f>IFERROR(VLOOKUP(F1580,TRAOPE!$AA:$AB,2,0),"")</f>
        <v/>
      </c>
      <c r="I1580" s="7" t="n">
        <v>10000627</v>
      </c>
      <c r="J1580" s="7">
        <f>IFERROR(VLOOKUP(I1580,Materiales!$A:$H,8,0),"")</f>
        <v/>
      </c>
      <c r="K1580" s="9">
        <f>IFERROR(VLOOKUP(I1580,Materiales!$A:$G,7,0),"")</f>
        <v/>
      </c>
      <c r="L1580" s="8" t="inlineStr">
        <is>
          <t>20190426</t>
        </is>
      </c>
      <c r="M1580" s="8" t="inlineStr">
        <is>
          <t>20250127</t>
        </is>
      </c>
      <c r="N1580" s="10" t="n">
        <v>84</v>
      </c>
      <c r="O1580" s="10">
        <f>IFERROR(VLOOKUP(A1580,Flete!$A:$J,10,0),"")</f>
        <v/>
      </c>
      <c r="P1580" s="8" t="inlineStr">
        <is>
          <t>M3</t>
        </is>
      </c>
      <c r="Q1580" s="10">
        <f>IFERROR(IFERROR(VLOOKUP(A1580,TRAOPE!$A:$U,21,0),VLOOKUP(B1580,TRAOPE!$A:$U,21,0)),"")</f>
        <v/>
      </c>
      <c r="R1580" s="8">
        <f>IFERROR(IFERROR(VLOOKUP(A1580,TRAOPE!$A:$W,23,0),VLOOKUP(B1580,TRAOPE!$A:$W,23,0)),"")</f>
        <v/>
      </c>
      <c r="S1580" s="10">
        <f>IF(AND(P1580="TN",R1580="TN"),N1580+N(O1580),IF(G1580&amp;""="1",N(K1580)*N1580,(N1580+N(O1580))*N(K1580)))</f>
        <v/>
      </c>
      <c r="T1580" s="10">
        <f>IF(Q1580="","",Q1580-S1580)</f>
        <v/>
      </c>
    </row>
    <row r="1581">
      <c r="A1581" s="7">
        <f>CONCATENATE(C1581,E1581,F1581,I1581)</f>
        <v/>
      </c>
      <c r="B1581" s="7">
        <f>CONCATENATE(C1581,E1581,I1581)</f>
        <v/>
      </c>
      <c r="C1581" s="8" t="n">
        <v>900004323</v>
      </c>
      <c r="D1581" s="7">
        <f>IFERROR(VLOOKUP(C1581,TRAOPE!$G:$H,2,0),"")</f>
        <v/>
      </c>
      <c r="E1581" s="8" t="inlineStr">
        <is>
          <t>D836</t>
        </is>
      </c>
      <c r="F1581" s="8" t="inlineStr">
        <is>
          <t>66482288</t>
        </is>
      </c>
      <c r="G1581" s="8">
        <f>IFERROR(VLOOKUP(A1581,Flete!$A:$E,5,0),"")</f>
        <v/>
      </c>
      <c r="H1581" s="7">
        <f>IFERROR(VLOOKUP(F1581,TRAOPE!$AA:$AB,2,0),"")</f>
        <v/>
      </c>
      <c r="I1581" s="7" t="n">
        <v>10000160</v>
      </c>
      <c r="J1581" s="7">
        <f>IFERROR(VLOOKUP(I1581,Materiales!$A:$H,8,0),"")</f>
        <v/>
      </c>
      <c r="K1581" s="9">
        <f>IFERROR(VLOOKUP(I1581,Materiales!$A:$G,7,0),"")</f>
        <v/>
      </c>
      <c r="L1581" s="8" t="inlineStr">
        <is>
          <t>20190426</t>
        </is>
      </c>
      <c r="M1581" s="8" t="inlineStr">
        <is>
          <t>20250127</t>
        </is>
      </c>
      <c r="N1581" s="10" t="n">
        <v>84</v>
      </c>
      <c r="O1581" s="10">
        <f>IFERROR(VLOOKUP(A1581,Flete!$A:$J,10,0),"")</f>
        <v/>
      </c>
      <c r="P1581" s="8" t="inlineStr">
        <is>
          <t>M3</t>
        </is>
      </c>
      <c r="Q1581" s="10">
        <f>IFERROR(IFERROR(VLOOKUP(A1581,TRAOPE!$A:$U,21,0),VLOOKUP(B1581,TRAOPE!$A:$U,21,0)),"")</f>
        <v/>
      </c>
      <c r="R1581" s="8">
        <f>IFERROR(IFERROR(VLOOKUP(A1581,TRAOPE!$A:$W,23,0),VLOOKUP(B1581,TRAOPE!$A:$W,23,0)),"")</f>
        <v/>
      </c>
      <c r="S1581" s="10">
        <f>IF(AND(P1581="TN",R1581="TN"),N1581+N(O1581),IF(G1581&amp;""="1",N(K1581)*N1581,(N1581+N(O1581))*N(K1581)))</f>
        <v/>
      </c>
      <c r="T1581" s="10">
        <f>IF(Q1581="","",Q1581-S1581)</f>
        <v/>
      </c>
    </row>
    <row r="1582">
      <c r="A1582" s="7">
        <f>CONCATENATE(C1582,E1582,F1582,I1582)</f>
        <v/>
      </c>
      <c r="B1582" s="7">
        <f>CONCATENATE(C1582,E1582,I1582)</f>
        <v/>
      </c>
      <c r="C1582" s="8" t="n">
        <v>900004323</v>
      </c>
      <c r="D1582" s="7">
        <f>IFERROR(VLOOKUP(C1582,TRAOPE!$G:$H,2,0),"")</f>
        <v/>
      </c>
      <c r="E1582" s="8" t="inlineStr">
        <is>
          <t>D836</t>
        </is>
      </c>
      <c r="F1582" s="8" t="inlineStr">
        <is>
          <t>66482288</t>
        </is>
      </c>
      <c r="G1582" s="8">
        <f>IFERROR(VLOOKUP(A1582,Flete!$A:$E,5,0),"")</f>
        <v/>
      </c>
      <c r="H1582" s="7">
        <f>IFERROR(VLOOKUP(F1582,TRAOPE!$AA:$AB,2,0),"")</f>
        <v/>
      </c>
      <c r="I1582" s="7" t="n">
        <v>10000357</v>
      </c>
      <c r="J1582" s="7">
        <f>IFERROR(VLOOKUP(I1582,Materiales!$A:$H,8,0),"")</f>
        <v/>
      </c>
      <c r="K1582" s="9">
        <f>IFERROR(VLOOKUP(I1582,Materiales!$A:$G,7,0),"")</f>
        <v/>
      </c>
      <c r="L1582" s="8" t="inlineStr">
        <is>
          <t>20190426</t>
        </is>
      </c>
      <c r="M1582" s="8" t="inlineStr">
        <is>
          <t>20250127</t>
        </is>
      </c>
      <c r="N1582" s="10" t="n">
        <v>95.5</v>
      </c>
      <c r="O1582" s="10">
        <f>IFERROR(VLOOKUP(A1582,Flete!$A:$J,10,0),"")</f>
        <v/>
      </c>
      <c r="P1582" s="8" t="inlineStr">
        <is>
          <t>M3</t>
        </is>
      </c>
      <c r="Q1582" s="10">
        <f>IFERROR(IFERROR(VLOOKUP(A1582,TRAOPE!$A:$U,21,0),VLOOKUP(B1582,TRAOPE!$A:$U,21,0)),"")</f>
        <v/>
      </c>
      <c r="R1582" s="8">
        <f>IFERROR(IFERROR(VLOOKUP(A1582,TRAOPE!$A:$W,23,0),VLOOKUP(B1582,TRAOPE!$A:$W,23,0)),"")</f>
        <v/>
      </c>
      <c r="S1582" s="10">
        <f>IF(AND(P1582="TN",R1582="TN"),N1582+N(O1582),IF(G1582&amp;""="1",N(K1582)*N1582,(N1582+N(O1582))*N(K1582)))</f>
        <v/>
      </c>
      <c r="T1582" s="10">
        <f>IF(Q1582="","",Q1582-S1582)</f>
        <v/>
      </c>
    </row>
    <row r="1583">
      <c r="A1583" s="7">
        <f>CONCATENATE(C1583,E1583,F1583,I1583)</f>
        <v/>
      </c>
      <c r="B1583" s="7">
        <f>CONCATENATE(C1583,E1583,I1583)</f>
        <v/>
      </c>
      <c r="C1583" s="8" t="n">
        <v>900004323</v>
      </c>
      <c r="D1583" s="7">
        <f>IFERROR(VLOOKUP(C1583,TRAOPE!$G:$H,2,0),"")</f>
        <v/>
      </c>
      <c r="E1583" s="8" t="inlineStr">
        <is>
          <t>D836</t>
        </is>
      </c>
      <c r="F1583" s="8" t="inlineStr">
        <is>
          <t>66482288</t>
        </is>
      </c>
      <c r="G1583" s="8">
        <f>IFERROR(VLOOKUP(A1583,Flete!$A:$E,5,0),"")</f>
        <v/>
      </c>
      <c r="H1583" s="7">
        <f>IFERROR(VLOOKUP(F1583,TRAOPE!$AA:$AB,2,0),"")</f>
        <v/>
      </c>
      <c r="I1583" s="7" t="n">
        <v>10000627</v>
      </c>
      <c r="J1583" s="7">
        <f>IFERROR(VLOOKUP(I1583,Materiales!$A:$H,8,0),"")</f>
        <v/>
      </c>
      <c r="K1583" s="9">
        <f>IFERROR(VLOOKUP(I1583,Materiales!$A:$G,7,0),"")</f>
        <v/>
      </c>
      <c r="L1583" s="8" t="inlineStr">
        <is>
          <t>20190426</t>
        </is>
      </c>
      <c r="M1583" s="8" t="inlineStr">
        <is>
          <t>20250127</t>
        </is>
      </c>
      <c r="N1583" s="10" t="n">
        <v>84</v>
      </c>
      <c r="O1583" s="10">
        <f>IFERROR(VLOOKUP(A1583,Flete!$A:$J,10,0),"")</f>
        <v/>
      </c>
      <c r="P1583" s="8" t="inlineStr">
        <is>
          <t>M3</t>
        </is>
      </c>
      <c r="Q1583" s="10">
        <f>IFERROR(IFERROR(VLOOKUP(A1583,TRAOPE!$A:$U,21,0),VLOOKUP(B1583,TRAOPE!$A:$U,21,0)),"")</f>
        <v/>
      </c>
      <c r="R1583" s="8">
        <f>IFERROR(IFERROR(VLOOKUP(A1583,TRAOPE!$A:$W,23,0),VLOOKUP(B1583,TRAOPE!$A:$W,23,0)),"")</f>
        <v/>
      </c>
      <c r="S1583" s="10">
        <f>IF(AND(P1583="TN",R1583="TN"),N1583+N(O1583),IF(G1583&amp;""="1",N(K1583)*N1583,(N1583+N(O1583))*N(K1583)))</f>
        <v/>
      </c>
      <c r="T1583" s="10">
        <f>IF(Q1583="","",Q1583-S1583)</f>
        <v/>
      </c>
    </row>
    <row r="1584">
      <c r="A1584" s="7">
        <f>CONCATENATE(C1584,E1584,F1584,I1584)</f>
        <v/>
      </c>
      <c r="B1584" s="7">
        <f>CONCATENATE(C1584,E1584,I1584)</f>
        <v/>
      </c>
      <c r="C1584" s="8" t="n">
        <v>900004323</v>
      </c>
      <c r="D1584" s="7">
        <f>IFERROR(VLOOKUP(C1584,TRAOPE!$G:$H,2,0),"")</f>
        <v/>
      </c>
      <c r="E1584" s="8" t="inlineStr">
        <is>
          <t>D836</t>
        </is>
      </c>
      <c r="F1584" s="8" t="inlineStr">
        <is>
          <t>66482289</t>
        </is>
      </c>
      <c r="G1584" s="8">
        <f>IFERROR(VLOOKUP(A1584,Flete!$A:$E,5,0),"")</f>
        <v/>
      </c>
      <c r="H1584" s="7">
        <f>IFERROR(VLOOKUP(F1584,TRAOPE!$AA:$AB,2,0),"")</f>
        <v/>
      </c>
      <c r="I1584" s="7" t="n">
        <v>10000160</v>
      </c>
      <c r="J1584" s="7">
        <f>IFERROR(VLOOKUP(I1584,Materiales!$A:$H,8,0),"")</f>
        <v/>
      </c>
      <c r="K1584" s="9">
        <f>IFERROR(VLOOKUP(I1584,Materiales!$A:$G,7,0),"")</f>
        <v/>
      </c>
      <c r="L1584" s="8" t="inlineStr">
        <is>
          <t>20190426</t>
        </is>
      </c>
      <c r="M1584" s="8" t="inlineStr">
        <is>
          <t>20250127</t>
        </is>
      </c>
      <c r="N1584" s="10" t="n">
        <v>84</v>
      </c>
      <c r="O1584" s="10">
        <f>IFERROR(VLOOKUP(A1584,Flete!$A:$J,10,0),"")</f>
        <v/>
      </c>
      <c r="P1584" s="8" t="inlineStr">
        <is>
          <t>M3</t>
        </is>
      </c>
      <c r="Q1584" s="10">
        <f>IFERROR(IFERROR(VLOOKUP(A1584,TRAOPE!$A:$U,21,0),VLOOKUP(B1584,TRAOPE!$A:$U,21,0)),"")</f>
        <v/>
      </c>
      <c r="R1584" s="8">
        <f>IFERROR(IFERROR(VLOOKUP(A1584,TRAOPE!$A:$W,23,0),VLOOKUP(B1584,TRAOPE!$A:$W,23,0)),"")</f>
        <v/>
      </c>
      <c r="S1584" s="10">
        <f>IF(AND(P1584="TN",R1584="TN"),N1584+N(O1584),IF(G1584&amp;""="1",N(K1584)*N1584,(N1584+N(O1584))*N(K1584)))</f>
        <v/>
      </c>
      <c r="T1584" s="10">
        <f>IF(Q1584="","",Q1584-S1584)</f>
        <v/>
      </c>
    </row>
    <row r="1585">
      <c r="A1585" s="7">
        <f>CONCATENATE(C1585,E1585,F1585,I1585)</f>
        <v/>
      </c>
      <c r="B1585" s="7">
        <f>CONCATENATE(C1585,E1585,I1585)</f>
        <v/>
      </c>
      <c r="C1585" s="8" t="n">
        <v>900004323</v>
      </c>
      <c r="D1585" s="7">
        <f>IFERROR(VLOOKUP(C1585,TRAOPE!$G:$H,2,0),"")</f>
        <v/>
      </c>
      <c r="E1585" s="8" t="inlineStr">
        <is>
          <t>D836</t>
        </is>
      </c>
      <c r="F1585" s="8" t="inlineStr">
        <is>
          <t>66482289</t>
        </is>
      </c>
      <c r="G1585" s="8">
        <f>IFERROR(VLOOKUP(A1585,Flete!$A:$E,5,0),"")</f>
        <v/>
      </c>
      <c r="H1585" s="7">
        <f>IFERROR(VLOOKUP(F1585,TRAOPE!$AA:$AB,2,0),"")</f>
        <v/>
      </c>
      <c r="I1585" s="7" t="n">
        <v>10000357</v>
      </c>
      <c r="J1585" s="7">
        <f>IFERROR(VLOOKUP(I1585,Materiales!$A:$H,8,0),"")</f>
        <v/>
      </c>
      <c r="K1585" s="9">
        <f>IFERROR(VLOOKUP(I1585,Materiales!$A:$G,7,0),"")</f>
        <v/>
      </c>
      <c r="L1585" s="8" t="inlineStr">
        <is>
          <t>20190426</t>
        </is>
      </c>
      <c r="M1585" s="8" t="inlineStr">
        <is>
          <t>20250127</t>
        </is>
      </c>
      <c r="N1585" s="10" t="n">
        <v>95.5</v>
      </c>
      <c r="O1585" s="10">
        <f>IFERROR(VLOOKUP(A1585,Flete!$A:$J,10,0),"")</f>
        <v/>
      </c>
      <c r="P1585" s="8" t="inlineStr">
        <is>
          <t>M3</t>
        </is>
      </c>
      <c r="Q1585" s="10">
        <f>IFERROR(IFERROR(VLOOKUP(A1585,TRAOPE!$A:$U,21,0),VLOOKUP(B1585,TRAOPE!$A:$U,21,0)),"")</f>
        <v/>
      </c>
      <c r="R1585" s="8">
        <f>IFERROR(IFERROR(VLOOKUP(A1585,TRAOPE!$A:$W,23,0),VLOOKUP(B1585,TRAOPE!$A:$W,23,0)),"")</f>
        <v/>
      </c>
      <c r="S1585" s="10">
        <f>IF(AND(P1585="TN",R1585="TN"),N1585+N(O1585),IF(G1585&amp;""="1",N(K1585)*N1585,(N1585+N(O1585))*N(K1585)))</f>
        <v/>
      </c>
      <c r="T1585" s="10">
        <f>IF(Q1585="","",Q1585-S1585)</f>
        <v/>
      </c>
    </row>
    <row r="1586">
      <c r="A1586" s="7">
        <f>CONCATENATE(C1586,E1586,F1586,I1586)</f>
        <v/>
      </c>
      <c r="B1586" s="7">
        <f>CONCATENATE(C1586,E1586,I1586)</f>
        <v/>
      </c>
      <c r="C1586" s="8" t="n">
        <v>900004323</v>
      </c>
      <c r="D1586" s="7">
        <f>IFERROR(VLOOKUP(C1586,TRAOPE!$G:$H,2,0),"")</f>
        <v/>
      </c>
      <c r="E1586" s="8" t="inlineStr">
        <is>
          <t>D836</t>
        </is>
      </c>
      <c r="F1586" s="8" t="inlineStr">
        <is>
          <t>66482289</t>
        </is>
      </c>
      <c r="G1586" s="8">
        <f>IFERROR(VLOOKUP(A1586,Flete!$A:$E,5,0),"")</f>
        <v/>
      </c>
      <c r="H1586" s="7">
        <f>IFERROR(VLOOKUP(F1586,TRAOPE!$AA:$AB,2,0),"")</f>
        <v/>
      </c>
      <c r="I1586" s="7" t="n">
        <v>10000627</v>
      </c>
      <c r="J1586" s="7">
        <f>IFERROR(VLOOKUP(I1586,Materiales!$A:$H,8,0),"")</f>
        <v/>
      </c>
      <c r="K1586" s="9">
        <f>IFERROR(VLOOKUP(I1586,Materiales!$A:$G,7,0),"")</f>
        <v/>
      </c>
      <c r="L1586" s="8" t="inlineStr">
        <is>
          <t>20190426</t>
        </is>
      </c>
      <c r="M1586" s="8" t="inlineStr">
        <is>
          <t>20250127</t>
        </is>
      </c>
      <c r="N1586" s="10" t="n">
        <v>84</v>
      </c>
      <c r="O1586" s="10">
        <f>IFERROR(VLOOKUP(A1586,Flete!$A:$J,10,0),"")</f>
        <v/>
      </c>
      <c r="P1586" s="8" t="inlineStr">
        <is>
          <t>M3</t>
        </is>
      </c>
      <c r="Q1586" s="10">
        <f>IFERROR(IFERROR(VLOOKUP(A1586,TRAOPE!$A:$U,21,0),VLOOKUP(B1586,TRAOPE!$A:$U,21,0)),"")</f>
        <v/>
      </c>
      <c r="R1586" s="8">
        <f>IFERROR(IFERROR(VLOOKUP(A1586,TRAOPE!$A:$W,23,0),VLOOKUP(B1586,TRAOPE!$A:$W,23,0)),"")</f>
        <v/>
      </c>
      <c r="S1586" s="10">
        <f>IF(AND(P1586="TN",R1586="TN"),N1586+N(O1586),IF(G1586&amp;""="1",N(K1586)*N1586,(N1586+N(O1586))*N(K1586)))</f>
        <v/>
      </c>
      <c r="T1586" s="10">
        <f>IF(Q1586="","",Q1586-S1586)</f>
        <v/>
      </c>
    </row>
    <row r="1587">
      <c r="A1587" s="7">
        <f>CONCATENATE(C1587,E1587,F1587,I1587)</f>
        <v/>
      </c>
      <c r="B1587" s="7">
        <f>CONCATENATE(C1587,E1587,I1587)</f>
        <v/>
      </c>
      <c r="C1587" s="8" t="n">
        <v>900004323</v>
      </c>
      <c r="D1587" s="7">
        <f>IFERROR(VLOOKUP(C1587,TRAOPE!$G:$H,2,0),"")</f>
        <v/>
      </c>
      <c r="E1587" s="8" t="inlineStr">
        <is>
          <t>D836</t>
        </is>
      </c>
      <c r="F1587" s="8" t="inlineStr">
        <is>
          <t>66490957</t>
        </is>
      </c>
      <c r="G1587" s="8">
        <f>IFERROR(VLOOKUP(A1587,Flete!$A:$E,5,0),"")</f>
        <v/>
      </c>
      <c r="H1587" s="7">
        <f>IFERROR(VLOOKUP(F1587,TRAOPE!$AA:$AB,2,0),"")</f>
        <v/>
      </c>
      <c r="I1587" s="7" t="n">
        <v>10000160</v>
      </c>
      <c r="J1587" s="7">
        <f>IFERROR(VLOOKUP(I1587,Materiales!$A:$H,8,0),"")</f>
        <v/>
      </c>
      <c r="K1587" s="9">
        <f>IFERROR(VLOOKUP(I1587,Materiales!$A:$G,7,0),"")</f>
        <v/>
      </c>
      <c r="L1587" s="8" t="inlineStr">
        <is>
          <t>20190426</t>
        </is>
      </c>
      <c r="M1587" s="8" t="inlineStr">
        <is>
          <t>20250127</t>
        </is>
      </c>
      <c r="N1587" s="10" t="n">
        <v>87.15000000000001</v>
      </c>
      <c r="O1587" s="10">
        <f>IFERROR(VLOOKUP(A1587,Flete!$A:$J,10,0),"")</f>
        <v/>
      </c>
      <c r="P1587" s="8" t="inlineStr">
        <is>
          <t>M3</t>
        </is>
      </c>
      <c r="Q1587" s="10">
        <f>IFERROR(IFERROR(VLOOKUP(A1587,TRAOPE!$A:$U,21,0),VLOOKUP(B1587,TRAOPE!$A:$U,21,0)),"")</f>
        <v/>
      </c>
      <c r="R1587" s="8">
        <f>IFERROR(IFERROR(VLOOKUP(A1587,TRAOPE!$A:$W,23,0),VLOOKUP(B1587,TRAOPE!$A:$W,23,0)),"")</f>
        <v/>
      </c>
      <c r="S1587" s="10">
        <f>IF(AND(P1587="TN",R1587="TN"),N1587+N(O1587),IF(G1587&amp;""="1",N(K1587)*N1587,(N1587+N(O1587))*N(K1587)))</f>
        <v/>
      </c>
      <c r="T1587" s="10">
        <f>IF(Q1587="","",Q1587-S1587)</f>
        <v/>
      </c>
    </row>
    <row r="1588">
      <c r="A1588" s="7">
        <f>CONCATENATE(C1588,E1588,F1588,I1588)</f>
        <v/>
      </c>
      <c r="B1588" s="7">
        <f>CONCATENATE(C1588,E1588,I1588)</f>
        <v/>
      </c>
      <c r="C1588" s="8" t="n">
        <v>900004323</v>
      </c>
      <c r="D1588" s="7">
        <f>IFERROR(VLOOKUP(C1588,TRAOPE!$G:$H,2,0),"")</f>
        <v/>
      </c>
      <c r="E1588" s="8" t="inlineStr">
        <is>
          <t>D836</t>
        </is>
      </c>
      <c r="F1588" s="8" t="inlineStr">
        <is>
          <t>66490957</t>
        </is>
      </c>
      <c r="G1588" s="8">
        <f>IFERROR(VLOOKUP(A1588,Flete!$A:$E,5,0),"")</f>
        <v/>
      </c>
      <c r="H1588" s="7">
        <f>IFERROR(VLOOKUP(F1588,TRAOPE!$AA:$AB,2,0),"")</f>
        <v/>
      </c>
      <c r="I1588" s="7" t="n">
        <v>10000627</v>
      </c>
      <c r="J1588" s="7">
        <f>IFERROR(VLOOKUP(I1588,Materiales!$A:$H,8,0),"")</f>
        <v/>
      </c>
      <c r="K1588" s="9">
        <f>IFERROR(VLOOKUP(I1588,Materiales!$A:$G,7,0),"")</f>
        <v/>
      </c>
      <c r="L1588" s="8" t="inlineStr">
        <is>
          <t>20190426</t>
        </is>
      </c>
      <c r="M1588" s="8" t="inlineStr">
        <is>
          <t>20250127</t>
        </is>
      </c>
      <c r="N1588" s="10" t="n">
        <v>85</v>
      </c>
      <c r="O1588" s="10">
        <f>IFERROR(VLOOKUP(A1588,Flete!$A:$J,10,0),"")</f>
        <v/>
      </c>
      <c r="P1588" s="8" t="inlineStr">
        <is>
          <t>M3</t>
        </is>
      </c>
      <c r="Q1588" s="10">
        <f>IFERROR(IFERROR(VLOOKUP(A1588,TRAOPE!$A:$U,21,0),VLOOKUP(B1588,TRAOPE!$A:$U,21,0)),"")</f>
        <v/>
      </c>
      <c r="R1588" s="8">
        <f>IFERROR(IFERROR(VLOOKUP(A1588,TRAOPE!$A:$W,23,0),VLOOKUP(B1588,TRAOPE!$A:$W,23,0)),"")</f>
        <v/>
      </c>
      <c r="S1588" s="10">
        <f>IF(AND(P1588="TN",R1588="TN"),N1588+N(O1588),IF(G1588&amp;""="1",N(K1588)*N1588,(N1588+N(O1588))*N(K1588)))</f>
        <v/>
      </c>
      <c r="T1588" s="10">
        <f>IF(Q1588="","",Q1588-S1588)</f>
        <v/>
      </c>
    </row>
    <row r="1589">
      <c r="A1589" s="7">
        <f>CONCATENATE(C1589,E1589,F1589,I1589)</f>
        <v/>
      </c>
      <c r="B1589" s="7">
        <f>CONCATENATE(C1589,E1589,I1589)</f>
        <v/>
      </c>
      <c r="C1589" s="8" t="n">
        <v>900004323</v>
      </c>
      <c r="D1589" s="7">
        <f>IFERROR(VLOOKUP(C1589,TRAOPE!$G:$H,2,0),"")</f>
        <v/>
      </c>
      <c r="E1589" s="8" t="inlineStr">
        <is>
          <t>D836</t>
        </is>
      </c>
      <c r="F1589" s="8" t="inlineStr">
        <is>
          <t>66512346</t>
        </is>
      </c>
      <c r="G1589" s="8">
        <f>IFERROR(VLOOKUP(A1589,Flete!$A:$E,5,0),"")</f>
        <v/>
      </c>
      <c r="H1589" s="7">
        <f>IFERROR(VLOOKUP(F1589,TRAOPE!$AA:$AB,2,0),"")</f>
        <v/>
      </c>
      <c r="I1589" s="7" t="n">
        <v>10000206</v>
      </c>
      <c r="J1589" s="7">
        <f>IFERROR(VLOOKUP(I1589,Materiales!$A:$H,8,0),"")</f>
        <v/>
      </c>
      <c r="K1589" s="9">
        <f>IFERROR(VLOOKUP(I1589,Materiales!$A:$G,7,0),"")</f>
        <v/>
      </c>
      <c r="L1589" s="8" t="inlineStr">
        <is>
          <t>20190426</t>
        </is>
      </c>
      <c r="M1589" s="8" t="inlineStr">
        <is>
          <t>20250127</t>
        </is>
      </c>
      <c r="N1589" s="10" t="n">
        <v>140</v>
      </c>
      <c r="O1589" s="10">
        <f>IFERROR(VLOOKUP(A1589,Flete!$A:$J,10,0),"")</f>
        <v/>
      </c>
      <c r="P1589" s="8" t="inlineStr">
        <is>
          <t>M3</t>
        </is>
      </c>
      <c r="Q1589" s="10">
        <f>IFERROR(IFERROR(VLOOKUP(A1589,TRAOPE!$A:$U,21,0),VLOOKUP(B1589,TRAOPE!$A:$U,21,0)),"")</f>
        <v/>
      </c>
      <c r="R1589" s="8">
        <f>IFERROR(IFERROR(VLOOKUP(A1589,TRAOPE!$A:$W,23,0),VLOOKUP(B1589,TRAOPE!$A:$W,23,0)),"")</f>
        <v/>
      </c>
      <c r="S1589" s="10">
        <f>IF(AND(P1589="TN",R1589="TN"),N1589+N(O1589),IF(G1589&amp;""="1",N(K1589)*N1589,(N1589+N(O1589))*N(K1589)))</f>
        <v/>
      </c>
      <c r="T1589" s="10">
        <f>IF(Q1589="","",Q1589-S1589)</f>
        <v/>
      </c>
    </row>
    <row r="1590">
      <c r="A1590" s="7">
        <f>CONCATENATE(C1590,E1590,F1590,I1590)</f>
        <v/>
      </c>
      <c r="B1590" s="7">
        <f>CONCATENATE(C1590,E1590,I1590)</f>
        <v/>
      </c>
      <c r="C1590" s="8" t="n">
        <v>900004323</v>
      </c>
      <c r="D1590" s="7">
        <f>IFERROR(VLOOKUP(C1590,TRAOPE!$G:$H,2,0),"")</f>
        <v/>
      </c>
      <c r="E1590" s="8" t="inlineStr">
        <is>
          <t>D836</t>
        </is>
      </c>
      <c r="F1590" s="8" t="inlineStr">
        <is>
          <t>66512346</t>
        </is>
      </c>
      <c r="G1590" s="8">
        <f>IFERROR(VLOOKUP(A1590,Flete!$A:$E,5,0),"")</f>
        <v/>
      </c>
      <c r="H1590" s="7">
        <f>IFERROR(VLOOKUP(F1590,TRAOPE!$AA:$AB,2,0),"")</f>
        <v/>
      </c>
      <c r="I1590" s="7" t="n">
        <v>10000357</v>
      </c>
      <c r="J1590" s="7">
        <f>IFERROR(VLOOKUP(I1590,Materiales!$A:$H,8,0),"")</f>
        <v/>
      </c>
      <c r="K1590" s="9">
        <f>IFERROR(VLOOKUP(I1590,Materiales!$A:$G,7,0),"")</f>
        <v/>
      </c>
      <c r="L1590" s="8" t="inlineStr">
        <is>
          <t>20190426</t>
        </is>
      </c>
      <c r="M1590" s="8" t="inlineStr">
        <is>
          <t>20250127</t>
        </is>
      </c>
      <c r="N1590" s="10" t="n">
        <v>222</v>
      </c>
      <c r="O1590" s="10">
        <f>IFERROR(VLOOKUP(A1590,Flete!$A:$J,10,0),"")</f>
        <v/>
      </c>
      <c r="P1590" s="8" t="inlineStr">
        <is>
          <t>M3</t>
        </is>
      </c>
      <c r="Q1590" s="10">
        <f>IFERROR(IFERROR(VLOOKUP(A1590,TRAOPE!$A:$U,21,0),VLOOKUP(B1590,TRAOPE!$A:$U,21,0)),"")</f>
        <v/>
      </c>
      <c r="R1590" s="8">
        <f>IFERROR(IFERROR(VLOOKUP(A1590,TRAOPE!$A:$W,23,0),VLOOKUP(B1590,TRAOPE!$A:$W,23,0)),"")</f>
        <v/>
      </c>
      <c r="S1590" s="10">
        <f>IF(AND(P1590="TN",R1590="TN"),N1590+N(O1590),IF(G1590&amp;""="1",N(K1590)*N1590,(N1590+N(O1590))*N(K1590)))</f>
        <v/>
      </c>
      <c r="T1590" s="10">
        <f>IF(Q1590="","",Q1590-S1590)</f>
        <v/>
      </c>
    </row>
    <row r="1591">
      <c r="A1591" s="7">
        <f>CONCATENATE(C1591,E1591,F1591,I1591)</f>
        <v/>
      </c>
      <c r="B1591" s="7">
        <f>CONCATENATE(C1591,E1591,I1591)</f>
        <v/>
      </c>
      <c r="C1591" s="8" t="n">
        <v>900004323</v>
      </c>
      <c r="D1591" s="7">
        <f>IFERROR(VLOOKUP(C1591,TRAOPE!$G:$H,2,0),"")</f>
        <v/>
      </c>
      <c r="E1591" s="8" t="inlineStr">
        <is>
          <t>D836</t>
        </is>
      </c>
      <c r="F1591" s="8" t="inlineStr">
        <is>
          <t>66516656</t>
        </is>
      </c>
      <c r="G1591" s="8">
        <f>IFERROR(VLOOKUP(A1591,Flete!$A:$E,5,0),"")</f>
        <v/>
      </c>
      <c r="H1591" s="7">
        <f>IFERROR(VLOOKUP(F1591,TRAOPE!$AA:$AB,2,0),"")</f>
        <v/>
      </c>
      <c r="I1591" s="7" t="n">
        <v>10000160</v>
      </c>
      <c r="J1591" s="7">
        <f>IFERROR(VLOOKUP(I1591,Materiales!$A:$H,8,0),"")</f>
        <v/>
      </c>
      <c r="K1591" s="9">
        <f>IFERROR(VLOOKUP(I1591,Materiales!$A:$G,7,0),"")</f>
        <v/>
      </c>
      <c r="L1591" s="8" t="inlineStr">
        <is>
          <t>20190426</t>
        </is>
      </c>
      <c r="M1591" s="8" t="inlineStr">
        <is>
          <t>20250127</t>
        </is>
      </c>
      <c r="N1591" s="10" t="n">
        <v>88</v>
      </c>
      <c r="O1591" s="10">
        <f>IFERROR(VLOOKUP(A1591,Flete!$A:$J,10,0),"")</f>
        <v/>
      </c>
      <c r="P1591" s="8" t="inlineStr">
        <is>
          <t>M3</t>
        </is>
      </c>
      <c r="Q1591" s="10">
        <f>IFERROR(IFERROR(VLOOKUP(A1591,TRAOPE!$A:$U,21,0),VLOOKUP(B1591,TRAOPE!$A:$U,21,0)),"")</f>
        <v/>
      </c>
      <c r="R1591" s="8">
        <f>IFERROR(IFERROR(VLOOKUP(A1591,TRAOPE!$A:$W,23,0),VLOOKUP(B1591,TRAOPE!$A:$W,23,0)),"")</f>
        <v/>
      </c>
      <c r="S1591" s="10">
        <f>IF(AND(P1591="TN",R1591="TN"),N1591+N(O1591),IF(G1591&amp;""="1",N(K1591)*N1591,(N1591+N(O1591))*N(K1591)))</f>
        <v/>
      </c>
      <c r="T1591" s="10">
        <f>IF(Q1591="","",Q1591-S1591)</f>
        <v/>
      </c>
    </row>
    <row r="1592">
      <c r="A1592" s="7">
        <f>CONCATENATE(C1592,E1592,F1592,I1592)</f>
        <v/>
      </c>
      <c r="B1592" s="7">
        <f>CONCATENATE(C1592,E1592,I1592)</f>
        <v/>
      </c>
      <c r="C1592" s="8" t="n">
        <v>900004323</v>
      </c>
      <c r="D1592" s="7">
        <f>IFERROR(VLOOKUP(C1592,TRAOPE!$G:$H,2,0),"")</f>
        <v/>
      </c>
      <c r="E1592" s="8" t="inlineStr">
        <is>
          <t>D836</t>
        </is>
      </c>
      <c r="F1592" s="8" t="inlineStr">
        <is>
          <t>66518013</t>
        </is>
      </c>
      <c r="G1592" s="8">
        <f>IFERROR(VLOOKUP(A1592,Flete!$A:$E,5,0),"")</f>
        <v/>
      </c>
      <c r="H1592" s="7">
        <f>IFERROR(VLOOKUP(F1592,TRAOPE!$AA:$AB,2,0),"")</f>
        <v/>
      </c>
      <c r="I1592" s="7" t="n">
        <v>10000160</v>
      </c>
      <c r="J1592" s="7">
        <f>IFERROR(VLOOKUP(I1592,Materiales!$A:$H,8,0),"")</f>
        <v/>
      </c>
      <c r="K1592" s="9">
        <f>IFERROR(VLOOKUP(I1592,Materiales!$A:$G,7,0),"")</f>
        <v/>
      </c>
      <c r="L1592" s="8" t="inlineStr">
        <is>
          <t>20190426</t>
        </is>
      </c>
      <c r="M1592" s="8" t="inlineStr">
        <is>
          <t>20250127</t>
        </is>
      </c>
      <c r="N1592" s="10" t="n">
        <v>87.15000000000001</v>
      </c>
      <c r="O1592" s="10">
        <f>IFERROR(VLOOKUP(A1592,Flete!$A:$J,10,0),"")</f>
        <v/>
      </c>
      <c r="P1592" s="8" t="inlineStr">
        <is>
          <t>M3</t>
        </is>
      </c>
      <c r="Q1592" s="10">
        <f>IFERROR(IFERROR(VLOOKUP(A1592,TRAOPE!$A:$U,21,0),VLOOKUP(B1592,TRAOPE!$A:$U,21,0)),"")</f>
        <v/>
      </c>
      <c r="R1592" s="8">
        <f>IFERROR(IFERROR(VLOOKUP(A1592,TRAOPE!$A:$W,23,0),VLOOKUP(B1592,TRAOPE!$A:$W,23,0)),"")</f>
        <v/>
      </c>
      <c r="S1592" s="10">
        <f>IF(AND(P1592="TN",R1592="TN"),N1592+N(O1592),IF(G1592&amp;""="1",N(K1592)*N1592,(N1592+N(O1592))*N(K1592)))</f>
        <v/>
      </c>
      <c r="T1592" s="10">
        <f>IF(Q1592="","",Q1592-S1592)</f>
        <v/>
      </c>
    </row>
    <row r="1593">
      <c r="A1593" s="7">
        <f>CONCATENATE(C1593,E1593,F1593,I1593)</f>
        <v/>
      </c>
      <c r="B1593" s="7">
        <f>CONCATENATE(C1593,E1593,I1593)</f>
        <v/>
      </c>
      <c r="C1593" s="8" t="n">
        <v>900004323</v>
      </c>
      <c r="D1593" s="7">
        <f>IFERROR(VLOOKUP(C1593,TRAOPE!$G:$H,2,0),"")</f>
        <v/>
      </c>
      <c r="E1593" s="8" t="inlineStr">
        <is>
          <t>D836</t>
        </is>
      </c>
      <c r="F1593" s="8" t="inlineStr">
        <is>
          <t>66518013</t>
        </is>
      </c>
      <c r="G1593" s="8">
        <f>IFERROR(VLOOKUP(A1593,Flete!$A:$E,5,0),"")</f>
        <v/>
      </c>
      <c r="H1593" s="7">
        <f>IFERROR(VLOOKUP(F1593,TRAOPE!$AA:$AB,2,0),"")</f>
        <v/>
      </c>
      <c r="I1593" s="7" t="n">
        <v>10000357</v>
      </c>
      <c r="J1593" s="7">
        <f>IFERROR(VLOOKUP(I1593,Materiales!$A:$H,8,0),"")</f>
        <v/>
      </c>
      <c r="K1593" s="9">
        <f>IFERROR(VLOOKUP(I1593,Materiales!$A:$G,7,0),"")</f>
        <v/>
      </c>
      <c r="L1593" s="8" t="inlineStr">
        <is>
          <t>20190426</t>
        </is>
      </c>
      <c r="M1593" s="8" t="inlineStr">
        <is>
          <t>20250127</t>
        </is>
      </c>
      <c r="N1593" s="10" t="n">
        <v>100.8</v>
      </c>
      <c r="O1593" s="10">
        <f>IFERROR(VLOOKUP(A1593,Flete!$A:$J,10,0),"")</f>
        <v/>
      </c>
      <c r="P1593" s="8" t="inlineStr">
        <is>
          <t>M3</t>
        </is>
      </c>
      <c r="Q1593" s="10">
        <f>IFERROR(IFERROR(VLOOKUP(A1593,TRAOPE!$A:$U,21,0),VLOOKUP(B1593,TRAOPE!$A:$U,21,0)),"")</f>
        <v/>
      </c>
      <c r="R1593" s="8">
        <f>IFERROR(IFERROR(VLOOKUP(A1593,TRAOPE!$A:$W,23,0),VLOOKUP(B1593,TRAOPE!$A:$W,23,0)),"")</f>
        <v/>
      </c>
      <c r="S1593" s="10">
        <f>IF(AND(P1593="TN",R1593="TN"),N1593+N(O1593),IF(G1593&amp;""="1",N(K1593)*N1593,(N1593+N(O1593))*N(K1593)))</f>
        <v/>
      </c>
      <c r="T1593" s="10">
        <f>IF(Q1593="","",Q1593-S1593)</f>
        <v/>
      </c>
    </row>
    <row r="1594">
      <c r="A1594" s="7">
        <f>CONCATENATE(C1594,E1594,F1594,I1594)</f>
        <v/>
      </c>
      <c r="B1594" s="7">
        <f>CONCATENATE(C1594,E1594,I1594)</f>
        <v/>
      </c>
      <c r="C1594" s="8" t="n">
        <v>900004323</v>
      </c>
      <c r="D1594" s="7">
        <f>IFERROR(VLOOKUP(C1594,TRAOPE!$G:$H,2,0),"")</f>
        <v/>
      </c>
      <c r="E1594" s="8" t="inlineStr">
        <is>
          <t>D836</t>
        </is>
      </c>
      <c r="F1594" s="8" t="inlineStr">
        <is>
          <t>66518013</t>
        </is>
      </c>
      <c r="G1594" s="8">
        <f>IFERROR(VLOOKUP(A1594,Flete!$A:$E,5,0),"")</f>
        <v/>
      </c>
      <c r="H1594" s="7">
        <f>IFERROR(VLOOKUP(F1594,TRAOPE!$AA:$AB,2,0),"")</f>
        <v/>
      </c>
      <c r="I1594" s="7" t="n">
        <v>10000627</v>
      </c>
      <c r="J1594" s="7">
        <f>IFERROR(VLOOKUP(I1594,Materiales!$A:$H,8,0),"")</f>
        <v/>
      </c>
      <c r="K1594" s="9">
        <f>IFERROR(VLOOKUP(I1594,Materiales!$A:$G,7,0),"")</f>
        <v/>
      </c>
      <c r="L1594" s="8" t="inlineStr">
        <is>
          <t>20190426</t>
        </is>
      </c>
      <c r="M1594" s="8" t="inlineStr">
        <is>
          <t>20250127</t>
        </is>
      </c>
      <c r="N1594" s="10" t="n">
        <v>88</v>
      </c>
      <c r="O1594" s="10">
        <f>IFERROR(VLOOKUP(A1594,Flete!$A:$J,10,0),"")</f>
        <v/>
      </c>
      <c r="P1594" s="8" t="inlineStr">
        <is>
          <t>M3</t>
        </is>
      </c>
      <c r="Q1594" s="10">
        <f>IFERROR(IFERROR(VLOOKUP(A1594,TRAOPE!$A:$U,21,0),VLOOKUP(B1594,TRAOPE!$A:$U,21,0)),"")</f>
        <v/>
      </c>
      <c r="R1594" s="8">
        <f>IFERROR(IFERROR(VLOOKUP(A1594,TRAOPE!$A:$W,23,0),VLOOKUP(B1594,TRAOPE!$A:$W,23,0)),"")</f>
        <v/>
      </c>
      <c r="S1594" s="10">
        <f>IF(AND(P1594="TN",R1594="TN"),N1594+N(O1594),IF(G1594&amp;""="1",N(K1594)*N1594,(N1594+N(O1594))*N(K1594)))</f>
        <v/>
      </c>
      <c r="T1594" s="10">
        <f>IF(Q1594="","",Q1594-S1594)</f>
        <v/>
      </c>
    </row>
    <row r="1595">
      <c r="A1595" s="7">
        <f>CONCATENATE(C1595,E1595,F1595,I1595)</f>
        <v/>
      </c>
      <c r="B1595" s="7">
        <f>CONCATENATE(C1595,E1595,I1595)</f>
        <v/>
      </c>
      <c r="C1595" s="8" t="n">
        <v>900004323</v>
      </c>
      <c r="D1595" s="7">
        <f>IFERROR(VLOOKUP(C1595,TRAOPE!$G:$H,2,0),"")</f>
        <v/>
      </c>
      <c r="E1595" s="8" t="inlineStr">
        <is>
          <t>D836</t>
        </is>
      </c>
      <c r="F1595" s="8" t="inlineStr">
        <is>
          <t>66526341</t>
        </is>
      </c>
      <c r="G1595" s="8">
        <f>IFERROR(VLOOKUP(A1595,Flete!$A:$E,5,0),"")</f>
        <v/>
      </c>
      <c r="H1595" s="7">
        <f>IFERROR(VLOOKUP(F1595,TRAOPE!$AA:$AB,2,0),"")</f>
        <v/>
      </c>
      <c r="I1595" s="7" t="n">
        <v>10000627</v>
      </c>
      <c r="J1595" s="7">
        <f>IFERROR(VLOOKUP(I1595,Materiales!$A:$H,8,0),"")</f>
        <v/>
      </c>
      <c r="K1595" s="9">
        <f>IFERROR(VLOOKUP(I1595,Materiales!$A:$G,7,0),"")</f>
        <v/>
      </c>
      <c r="L1595" s="8" t="inlineStr">
        <is>
          <t>20190426</t>
        </is>
      </c>
      <c r="M1595" s="8" t="inlineStr">
        <is>
          <t>20250127</t>
        </is>
      </c>
      <c r="N1595" s="10" t="n">
        <v>95</v>
      </c>
      <c r="O1595" s="10">
        <f>IFERROR(VLOOKUP(A1595,Flete!$A:$J,10,0),"")</f>
        <v/>
      </c>
      <c r="P1595" s="8" t="inlineStr">
        <is>
          <t>M3</t>
        </is>
      </c>
      <c r="Q1595" s="10">
        <f>IFERROR(IFERROR(VLOOKUP(A1595,TRAOPE!$A:$U,21,0),VLOOKUP(B1595,TRAOPE!$A:$U,21,0)),"")</f>
        <v/>
      </c>
      <c r="R1595" s="8">
        <f>IFERROR(IFERROR(VLOOKUP(A1595,TRAOPE!$A:$W,23,0),VLOOKUP(B1595,TRAOPE!$A:$W,23,0)),"")</f>
        <v/>
      </c>
      <c r="S1595" s="10">
        <f>IF(AND(P1595="TN",R1595="TN"),N1595+N(O1595),IF(G1595&amp;""="1",N(K1595)*N1595,(N1595+N(O1595))*N(K1595)))</f>
        <v/>
      </c>
      <c r="T1595" s="10">
        <f>IF(Q1595="","",Q1595-S1595)</f>
        <v/>
      </c>
    </row>
    <row r="1596">
      <c r="A1596" s="7">
        <f>CONCATENATE(C1596,E1596,F1596,I1596)</f>
        <v/>
      </c>
      <c r="B1596" s="7">
        <f>CONCATENATE(C1596,E1596,I1596)</f>
        <v/>
      </c>
      <c r="C1596" s="8" t="n">
        <v>900004323</v>
      </c>
      <c r="D1596" s="7">
        <f>IFERROR(VLOOKUP(C1596,TRAOPE!$G:$H,2,0),"")</f>
        <v/>
      </c>
      <c r="E1596" s="8" t="inlineStr">
        <is>
          <t>D836</t>
        </is>
      </c>
      <c r="F1596" s="8" t="inlineStr">
        <is>
          <t>66526343</t>
        </is>
      </c>
      <c r="G1596" s="8">
        <f>IFERROR(VLOOKUP(A1596,Flete!$A:$E,5,0),"")</f>
        <v/>
      </c>
      <c r="H1596" s="7">
        <f>IFERROR(VLOOKUP(F1596,TRAOPE!$AA:$AB,2,0),"")</f>
        <v/>
      </c>
      <c r="I1596" s="7" t="n">
        <v>10000627</v>
      </c>
      <c r="J1596" s="7">
        <f>IFERROR(VLOOKUP(I1596,Materiales!$A:$H,8,0),"")</f>
        <v/>
      </c>
      <c r="K1596" s="9">
        <f>IFERROR(VLOOKUP(I1596,Materiales!$A:$G,7,0),"")</f>
        <v/>
      </c>
      <c r="L1596" s="8" t="inlineStr">
        <is>
          <t>20190426</t>
        </is>
      </c>
      <c r="M1596" s="8" t="inlineStr">
        <is>
          <t>20250127</t>
        </is>
      </c>
      <c r="N1596" s="10" t="n">
        <v>95</v>
      </c>
      <c r="O1596" s="10">
        <f>IFERROR(VLOOKUP(A1596,Flete!$A:$J,10,0),"")</f>
        <v/>
      </c>
      <c r="P1596" s="8" t="inlineStr">
        <is>
          <t>M3</t>
        </is>
      </c>
      <c r="Q1596" s="10">
        <f>IFERROR(IFERROR(VLOOKUP(A1596,TRAOPE!$A:$U,21,0),VLOOKUP(B1596,TRAOPE!$A:$U,21,0)),"")</f>
        <v/>
      </c>
      <c r="R1596" s="8">
        <f>IFERROR(IFERROR(VLOOKUP(A1596,TRAOPE!$A:$W,23,0),VLOOKUP(B1596,TRAOPE!$A:$W,23,0)),"")</f>
        <v/>
      </c>
      <c r="S1596" s="10">
        <f>IF(AND(P1596="TN",R1596="TN"),N1596+N(O1596),IF(G1596&amp;""="1",N(K1596)*N1596,(N1596+N(O1596))*N(K1596)))</f>
        <v/>
      </c>
      <c r="T1596" s="10">
        <f>IF(Q1596="","",Q1596-S1596)</f>
        <v/>
      </c>
    </row>
    <row r="1597">
      <c r="A1597" s="7">
        <f>CONCATENATE(C1597,E1597,F1597,I1597)</f>
        <v/>
      </c>
      <c r="B1597" s="7">
        <f>CONCATENATE(C1597,E1597,I1597)</f>
        <v/>
      </c>
      <c r="C1597" s="8" t="n">
        <v>900004323</v>
      </c>
      <c r="D1597" s="7">
        <f>IFERROR(VLOOKUP(C1597,TRAOPE!$G:$H,2,0),"")</f>
        <v/>
      </c>
      <c r="E1597" s="8" t="inlineStr">
        <is>
          <t>D836</t>
        </is>
      </c>
      <c r="F1597" s="8" t="inlineStr">
        <is>
          <t>66535266</t>
        </is>
      </c>
      <c r="G1597" s="8">
        <f>IFERROR(VLOOKUP(A1597,Flete!$A:$E,5,0),"")</f>
        <v/>
      </c>
      <c r="H1597" s="7">
        <f>IFERROR(VLOOKUP(F1597,TRAOPE!$AA:$AB,2,0),"")</f>
        <v/>
      </c>
      <c r="I1597" s="7" t="n">
        <v>10000357</v>
      </c>
      <c r="J1597" s="7">
        <f>IFERROR(VLOOKUP(I1597,Materiales!$A:$H,8,0),"")</f>
        <v/>
      </c>
      <c r="K1597" s="9">
        <f>IFERROR(VLOOKUP(I1597,Materiales!$A:$G,7,0),"")</f>
        <v/>
      </c>
      <c r="L1597" s="8" t="inlineStr">
        <is>
          <t>20190426</t>
        </is>
      </c>
      <c r="M1597" s="8" t="inlineStr">
        <is>
          <t>20250127</t>
        </is>
      </c>
      <c r="N1597" s="10" t="n">
        <v>153</v>
      </c>
      <c r="O1597" s="10">
        <f>IFERROR(VLOOKUP(A1597,Flete!$A:$J,10,0),"")</f>
        <v/>
      </c>
      <c r="P1597" s="8" t="inlineStr">
        <is>
          <t>M3</t>
        </is>
      </c>
      <c r="Q1597" s="10">
        <f>IFERROR(IFERROR(VLOOKUP(A1597,TRAOPE!$A:$U,21,0),VLOOKUP(B1597,TRAOPE!$A:$U,21,0)),"")</f>
        <v/>
      </c>
      <c r="R1597" s="8">
        <f>IFERROR(IFERROR(VLOOKUP(A1597,TRAOPE!$A:$W,23,0),VLOOKUP(B1597,TRAOPE!$A:$W,23,0)),"")</f>
        <v/>
      </c>
      <c r="S1597" s="10">
        <f>IF(AND(P1597="TN",R1597="TN"),N1597+N(O1597),IF(G1597&amp;""="1",N(K1597)*N1597,(N1597+N(O1597))*N(K1597)))</f>
        <v/>
      </c>
      <c r="T1597" s="10">
        <f>IF(Q1597="","",Q1597-S1597)</f>
        <v/>
      </c>
    </row>
    <row r="1598">
      <c r="A1598" s="7">
        <f>CONCATENATE(C1598,E1598,F1598,I1598)</f>
        <v/>
      </c>
      <c r="B1598" s="7">
        <f>CONCATENATE(C1598,E1598,I1598)</f>
        <v/>
      </c>
      <c r="C1598" s="8" t="n">
        <v>900004323</v>
      </c>
      <c r="D1598" s="7">
        <f>IFERROR(VLOOKUP(C1598,TRAOPE!$G:$H,2,0),"")</f>
        <v/>
      </c>
      <c r="E1598" s="8" t="inlineStr">
        <is>
          <t>D836</t>
        </is>
      </c>
      <c r="F1598" s="8" t="inlineStr">
        <is>
          <t>66538213</t>
        </is>
      </c>
      <c r="G1598" s="8">
        <f>IFERROR(VLOOKUP(A1598,Flete!$A:$E,5,0),"")</f>
        <v/>
      </c>
      <c r="H1598" s="7">
        <f>IFERROR(VLOOKUP(F1598,TRAOPE!$AA:$AB,2,0),"")</f>
        <v/>
      </c>
      <c r="I1598" s="7" t="n">
        <v>10000627</v>
      </c>
      <c r="J1598" s="7">
        <f>IFERROR(VLOOKUP(I1598,Materiales!$A:$H,8,0),"")</f>
        <v/>
      </c>
      <c r="K1598" s="9">
        <f>IFERROR(VLOOKUP(I1598,Materiales!$A:$G,7,0),"")</f>
        <v/>
      </c>
      <c r="L1598" s="8" t="inlineStr">
        <is>
          <t>20190426</t>
        </is>
      </c>
      <c r="M1598" s="8" t="inlineStr">
        <is>
          <t>20250127</t>
        </is>
      </c>
      <c r="N1598" s="10" t="n">
        <v>95</v>
      </c>
      <c r="O1598" s="10">
        <f>IFERROR(VLOOKUP(A1598,Flete!$A:$J,10,0),"")</f>
        <v/>
      </c>
      <c r="P1598" s="8" t="inlineStr">
        <is>
          <t>M3</t>
        </is>
      </c>
      <c r="Q1598" s="10">
        <f>IFERROR(IFERROR(VLOOKUP(A1598,TRAOPE!$A:$U,21,0),VLOOKUP(B1598,TRAOPE!$A:$U,21,0)),"")</f>
        <v/>
      </c>
      <c r="R1598" s="8">
        <f>IFERROR(IFERROR(VLOOKUP(A1598,TRAOPE!$A:$W,23,0),VLOOKUP(B1598,TRAOPE!$A:$W,23,0)),"")</f>
        <v/>
      </c>
      <c r="S1598" s="10">
        <f>IF(AND(P1598="TN",R1598="TN"),N1598+N(O1598),IF(G1598&amp;""="1",N(K1598)*N1598,(N1598+N(O1598))*N(K1598)))</f>
        <v/>
      </c>
      <c r="T1598" s="10">
        <f>IF(Q1598="","",Q1598-S1598)</f>
        <v/>
      </c>
    </row>
    <row r="1599">
      <c r="A1599" s="7">
        <f>CONCATENATE(C1599,E1599,F1599,I1599)</f>
        <v/>
      </c>
      <c r="B1599" s="7">
        <f>CONCATENATE(C1599,E1599,I1599)</f>
        <v/>
      </c>
      <c r="C1599" s="8" t="n">
        <v>900004323</v>
      </c>
      <c r="D1599" s="7">
        <f>IFERROR(VLOOKUP(C1599,TRAOPE!$G:$H,2,0),"")</f>
        <v/>
      </c>
      <c r="E1599" s="8" t="inlineStr">
        <is>
          <t>D836</t>
        </is>
      </c>
      <c r="F1599" s="8" t="inlineStr">
        <is>
          <t>66573526</t>
        </is>
      </c>
      <c r="G1599" s="8">
        <f>IFERROR(VLOOKUP(A1599,Flete!$A:$E,5,0),"")</f>
        <v/>
      </c>
      <c r="H1599" s="7">
        <f>IFERROR(VLOOKUP(F1599,TRAOPE!$AA:$AB,2,0),"")</f>
        <v/>
      </c>
      <c r="I1599" s="7" t="n">
        <v>10000160</v>
      </c>
      <c r="J1599" s="7">
        <f>IFERROR(VLOOKUP(I1599,Materiales!$A:$H,8,0),"")</f>
        <v/>
      </c>
      <c r="K1599" s="9">
        <f>IFERROR(VLOOKUP(I1599,Materiales!$A:$G,7,0),"")</f>
        <v/>
      </c>
      <c r="L1599" s="8" t="inlineStr">
        <is>
          <t>20190426</t>
        </is>
      </c>
      <c r="M1599" s="8" t="inlineStr">
        <is>
          <t>20250127</t>
        </is>
      </c>
      <c r="N1599" s="10" t="n">
        <v>81.5</v>
      </c>
      <c r="O1599" s="10">
        <f>IFERROR(VLOOKUP(A1599,Flete!$A:$J,10,0),"")</f>
        <v/>
      </c>
      <c r="P1599" s="8" t="inlineStr">
        <is>
          <t>M3</t>
        </is>
      </c>
      <c r="Q1599" s="10">
        <f>IFERROR(IFERROR(VLOOKUP(A1599,TRAOPE!$A:$U,21,0),VLOOKUP(B1599,TRAOPE!$A:$U,21,0)),"")</f>
        <v/>
      </c>
      <c r="R1599" s="8">
        <f>IFERROR(IFERROR(VLOOKUP(A1599,TRAOPE!$A:$W,23,0),VLOOKUP(B1599,TRAOPE!$A:$W,23,0)),"")</f>
        <v/>
      </c>
      <c r="S1599" s="10">
        <f>IF(AND(P1599="TN",R1599="TN"),N1599+N(O1599),IF(G1599&amp;""="1",N(K1599)*N1599,(N1599+N(O1599))*N(K1599)))</f>
        <v/>
      </c>
      <c r="T1599" s="10">
        <f>IF(Q1599="","",Q1599-S1599)</f>
        <v/>
      </c>
    </row>
    <row r="1600">
      <c r="A1600" s="7">
        <f>CONCATENATE(C1600,E1600,F1600,I1600)</f>
        <v/>
      </c>
      <c r="B1600" s="7">
        <f>CONCATENATE(C1600,E1600,I1600)</f>
        <v/>
      </c>
      <c r="C1600" s="8" t="n">
        <v>900004323</v>
      </c>
      <c r="D1600" s="7">
        <f>IFERROR(VLOOKUP(C1600,TRAOPE!$G:$H,2,0),"")</f>
        <v/>
      </c>
      <c r="E1600" s="8" t="inlineStr">
        <is>
          <t>D836</t>
        </is>
      </c>
      <c r="F1600" s="8" t="inlineStr">
        <is>
          <t>66573526</t>
        </is>
      </c>
      <c r="G1600" s="8">
        <f>IFERROR(VLOOKUP(A1600,Flete!$A:$E,5,0),"")</f>
        <v/>
      </c>
      <c r="H1600" s="7">
        <f>IFERROR(VLOOKUP(F1600,TRAOPE!$AA:$AB,2,0),"")</f>
        <v/>
      </c>
      <c r="I1600" s="7" t="n">
        <v>10000357</v>
      </c>
      <c r="J1600" s="7">
        <f>IFERROR(VLOOKUP(I1600,Materiales!$A:$H,8,0),"")</f>
        <v/>
      </c>
      <c r="K1600" s="9">
        <f>IFERROR(VLOOKUP(I1600,Materiales!$A:$G,7,0),"")</f>
        <v/>
      </c>
      <c r="L1600" s="8" t="inlineStr">
        <is>
          <t>20190426</t>
        </is>
      </c>
      <c r="M1600" s="8" t="inlineStr">
        <is>
          <t>20250127</t>
        </is>
      </c>
      <c r="N1600" s="10" t="n">
        <v>95</v>
      </c>
      <c r="O1600" s="10">
        <f>IFERROR(VLOOKUP(A1600,Flete!$A:$J,10,0),"")</f>
        <v/>
      </c>
      <c r="P1600" s="8" t="inlineStr">
        <is>
          <t>M3</t>
        </is>
      </c>
      <c r="Q1600" s="10">
        <f>IFERROR(IFERROR(VLOOKUP(A1600,TRAOPE!$A:$U,21,0),VLOOKUP(B1600,TRAOPE!$A:$U,21,0)),"")</f>
        <v/>
      </c>
      <c r="R1600" s="8">
        <f>IFERROR(IFERROR(VLOOKUP(A1600,TRAOPE!$A:$W,23,0),VLOOKUP(B1600,TRAOPE!$A:$W,23,0)),"")</f>
        <v/>
      </c>
      <c r="S1600" s="10">
        <f>IF(AND(P1600="TN",R1600="TN"),N1600+N(O1600),IF(G1600&amp;""="1",N(K1600)*N1600,(N1600+N(O1600))*N(K1600)))</f>
        <v/>
      </c>
      <c r="T1600" s="10">
        <f>IF(Q1600="","",Q1600-S1600)</f>
        <v/>
      </c>
    </row>
    <row r="1601">
      <c r="A1601" s="7">
        <f>CONCATENATE(C1601,E1601,F1601,I1601)</f>
        <v/>
      </c>
      <c r="B1601" s="7">
        <f>CONCATENATE(C1601,E1601,I1601)</f>
        <v/>
      </c>
      <c r="C1601" s="8" t="n">
        <v>900004323</v>
      </c>
      <c r="D1601" s="7">
        <f>IFERROR(VLOOKUP(C1601,TRAOPE!$G:$H,2,0),"")</f>
        <v/>
      </c>
      <c r="E1601" s="8" t="inlineStr">
        <is>
          <t>D836</t>
        </is>
      </c>
      <c r="F1601" s="8" t="inlineStr">
        <is>
          <t>66591199</t>
        </is>
      </c>
      <c r="G1601" s="8">
        <f>IFERROR(VLOOKUP(A1601,Flete!$A:$E,5,0),"")</f>
        <v/>
      </c>
      <c r="H1601" s="7">
        <f>IFERROR(VLOOKUP(F1601,TRAOPE!$AA:$AB,2,0),"")</f>
        <v/>
      </c>
      <c r="I1601" s="7" t="n">
        <v>10000160</v>
      </c>
      <c r="J1601" s="7">
        <f>IFERROR(VLOOKUP(I1601,Materiales!$A:$H,8,0),"")</f>
        <v/>
      </c>
      <c r="K1601" s="9">
        <f>IFERROR(VLOOKUP(I1601,Materiales!$A:$G,7,0),"")</f>
        <v/>
      </c>
      <c r="L1601" s="8" t="inlineStr">
        <is>
          <t>20190426</t>
        </is>
      </c>
      <c r="M1601" s="8" t="inlineStr">
        <is>
          <t>20250127</t>
        </is>
      </c>
      <c r="N1601" s="10" t="n">
        <v>102</v>
      </c>
      <c r="O1601" s="10">
        <f>IFERROR(VLOOKUP(A1601,Flete!$A:$J,10,0),"")</f>
        <v/>
      </c>
      <c r="P1601" s="8" t="inlineStr">
        <is>
          <t>M3</t>
        </is>
      </c>
      <c r="Q1601" s="10">
        <f>IFERROR(IFERROR(VLOOKUP(A1601,TRAOPE!$A:$U,21,0),VLOOKUP(B1601,TRAOPE!$A:$U,21,0)),"")</f>
        <v/>
      </c>
      <c r="R1601" s="8">
        <f>IFERROR(IFERROR(VLOOKUP(A1601,TRAOPE!$A:$W,23,0),VLOOKUP(B1601,TRAOPE!$A:$W,23,0)),"")</f>
        <v/>
      </c>
      <c r="S1601" s="10">
        <f>IF(AND(P1601="TN",R1601="TN"),N1601+N(O1601),IF(G1601&amp;""="1",N(K1601)*N1601,(N1601+N(O1601))*N(K1601)))</f>
        <v/>
      </c>
      <c r="T1601" s="10">
        <f>IF(Q1601="","",Q1601-S1601)</f>
        <v/>
      </c>
    </row>
    <row r="1602">
      <c r="A1602" s="7">
        <f>CONCATENATE(C1602,E1602,F1602,I1602)</f>
        <v/>
      </c>
      <c r="B1602" s="7">
        <f>CONCATENATE(C1602,E1602,I1602)</f>
        <v/>
      </c>
      <c r="C1602" s="8" t="n">
        <v>900004323</v>
      </c>
      <c r="D1602" s="7">
        <f>IFERROR(VLOOKUP(C1602,TRAOPE!$G:$H,2,0),"")</f>
        <v/>
      </c>
      <c r="E1602" s="8" t="inlineStr">
        <is>
          <t>D836</t>
        </is>
      </c>
      <c r="F1602" s="8" t="inlineStr">
        <is>
          <t>66591199</t>
        </is>
      </c>
      <c r="G1602" s="8">
        <f>IFERROR(VLOOKUP(A1602,Flete!$A:$E,5,0),"")</f>
        <v/>
      </c>
      <c r="H1602" s="7">
        <f>IFERROR(VLOOKUP(F1602,TRAOPE!$AA:$AB,2,0),"")</f>
        <v/>
      </c>
      <c r="I1602" s="7" t="n">
        <v>10000357</v>
      </c>
      <c r="J1602" s="7">
        <f>IFERROR(VLOOKUP(I1602,Materiales!$A:$H,8,0),"")</f>
        <v/>
      </c>
      <c r="K1602" s="9">
        <f>IFERROR(VLOOKUP(I1602,Materiales!$A:$G,7,0),"")</f>
        <v/>
      </c>
      <c r="L1602" s="8" t="inlineStr">
        <is>
          <t>20190426</t>
        </is>
      </c>
      <c r="M1602" s="8" t="inlineStr">
        <is>
          <t>20250127</t>
        </is>
      </c>
      <c r="N1602" s="10" t="n">
        <v>113</v>
      </c>
      <c r="O1602" s="10">
        <f>IFERROR(VLOOKUP(A1602,Flete!$A:$J,10,0),"")</f>
        <v/>
      </c>
      <c r="P1602" s="8" t="inlineStr">
        <is>
          <t>M3</t>
        </is>
      </c>
      <c r="Q1602" s="10">
        <f>IFERROR(IFERROR(VLOOKUP(A1602,TRAOPE!$A:$U,21,0),VLOOKUP(B1602,TRAOPE!$A:$U,21,0)),"")</f>
        <v/>
      </c>
      <c r="R1602" s="8">
        <f>IFERROR(IFERROR(VLOOKUP(A1602,TRAOPE!$A:$W,23,0),VLOOKUP(B1602,TRAOPE!$A:$W,23,0)),"")</f>
        <v/>
      </c>
      <c r="S1602" s="10">
        <f>IF(AND(P1602="TN",R1602="TN"),N1602+N(O1602),IF(G1602&amp;""="1",N(K1602)*N1602,(N1602+N(O1602))*N(K1602)))</f>
        <v/>
      </c>
      <c r="T1602" s="10">
        <f>IF(Q1602="","",Q1602-S1602)</f>
        <v/>
      </c>
    </row>
    <row r="1603">
      <c r="A1603" s="7">
        <f>CONCATENATE(C1603,E1603,F1603,I1603)</f>
        <v/>
      </c>
      <c r="B1603" s="7">
        <f>CONCATENATE(C1603,E1603,I1603)</f>
        <v/>
      </c>
      <c r="C1603" s="8" t="n">
        <v>900004323</v>
      </c>
      <c r="D1603" s="7">
        <f>IFERROR(VLOOKUP(C1603,TRAOPE!$G:$H,2,0),"")</f>
        <v/>
      </c>
      <c r="E1603" s="8" t="inlineStr">
        <is>
          <t>D836</t>
        </is>
      </c>
      <c r="F1603" s="8" t="inlineStr">
        <is>
          <t>66608012</t>
        </is>
      </c>
      <c r="G1603" s="8">
        <f>IFERROR(VLOOKUP(A1603,Flete!$A:$E,5,0),"")</f>
        <v/>
      </c>
      <c r="H1603" s="7">
        <f>IFERROR(VLOOKUP(F1603,TRAOPE!$AA:$AB,2,0),"")</f>
        <v/>
      </c>
      <c r="I1603" s="7" t="n">
        <v>10000160</v>
      </c>
      <c r="J1603" s="7">
        <f>IFERROR(VLOOKUP(I1603,Materiales!$A:$H,8,0),"")</f>
        <v/>
      </c>
      <c r="K1603" s="9">
        <f>IFERROR(VLOOKUP(I1603,Materiales!$A:$G,7,0),"")</f>
        <v/>
      </c>
      <c r="L1603" s="8" t="inlineStr">
        <is>
          <t>20190426</t>
        </is>
      </c>
      <c r="M1603" s="8" t="inlineStr">
        <is>
          <t>20250127</t>
        </is>
      </c>
      <c r="N1603" s="10" t="n">
        <v>90</v>
      </c>
      <c r="O1603" s="10">
        <f>IFERROR(VLOOKUP(A1603,Flete!$A:$J,10,0),"")</f>
        <v/>
      </c>
      <c r="P1603" s="8" t="inlineStr">
        <is>
          <t>M3</t>
        </is>
      </c>
      <c r="Q1603" s="10">
        <f>IFERROR(IFERROR(VLOOKUP(A1603,TRAOPE!$A:$U,21,0),VLOOKUP(B1603,TRAOPE!$A:$U,21,0)),"")</f>
        <v/>
      </c>
      <c r="R1603" s="8">
        <f>IFERROR(IFERROR(VLOOKUP(A1603,TRAOPE!$A:$W,23,0),VLOOKUP(B1603,TRAOPE!$A:$W,23,0)),"")</f>
        <v/>
      </c>
      <c r="S1603" s="10">
        <f>IF(AND(P1603="TN",R1603="TN"),N1603+N(O1603),IF(G1603&amp;""="1",N(K1603)*N1603,(N1603+N(O1603))*N(K1603)))</f>
        <v/>
      </c>
      <c r="T1603" s="10">
        <f>IF(Q1603="","",Q1603-S1603)</f>
        <v/>
      </c>
    </row>
    <row r="1604">
      <c r="A1604" s="7">
        <f>CONCATENATE(C1604,E1604,F1604,I1604)</f>
        <v/>
      </c>
      <c r="B1604" s="7">
        <f>CONCATENATE(C1604,E1604,I1604)</f>
        <v/>
      </c>
      <c r="C1604" s="8" t="n">
        <v>900004323</v>
      </c>
      <c r="D1604" s="7">
        <f>IFERROR(VLOOKUP(C1604,TRAOPE!$G:$H,2,0),"")</f>
        <v/>
      </c>
      <c r="E1604" s="8" t="inlineStr">
        <is>
          <t>D836</t>
        </is>
      </c>
      <c r="F1604" s="8" t="inlineStr">
        <is>
          <t>66608012</t>
        </is>
      </c>
      <c r="G1604" s="8">
        <f>IFERROR(VLOOKUP(A1604,Flete!$A:$E,5,0),"")</f>
        <v/>
      </c>
      <c r="H1604" s="7">
        <f>IFERROR(VLOOKUP(F1604,TRAOPE!$AA:$AB,2,0),"")</f>
        <v/>
      </c>
      <c r="I1604" s="7" t="n">
        <v>10000357</v>
      </c>
      <c r="J1604" s="7">
        <f>IFERROR(VLOOKUP(I1604,Materiales!$A:$H,8,0),"")</f>
        <v/>
      </c>
      <c r="K1604" s="9">
        <f>IFERROR(VLOOKUP(I1604,Materiales!$A:$G,7,0),"")</f>
        <v/>
      </c>
      <c r="L1604" s="8" t="inlineStr">
        <is>
          <t>20190426</t>
        </is>
      </c>
      <c r="M1604" s="8" t="inlineStr">
        <is>
          <t>20250127</t>
        </is>
      </c>
      <c r="N1604" s="10" t="n">
        <v>103</v>
      </c>
      <c r="O1604" s="10">
        <f>IFERROR(VLOOKUP(A1604,Flete!$A:$J,10,0),"")</f>
        <v/>
      </c>
      <c r="P1604" s="8" t="inlineStr">
        <is>
          <t>M3</t>
        </is>
      </c>
      <c r="Q1604" s="10">
        <f>IFERROR(IFERROR(VLOOKUP(A1604,TRAOPE!$A:$U,21,0),VLOOKUP(B1604,TRAOPE!$A:$U,21,0)),"")</f>
        <v/>
      </c>
      <c r="R1604" s="8">
        <f>IFERROR(IFERROR(VLOOKUP(A1604,TRAOPE!$A:$W,23,0),VLOOKUP(B1604,TRAOPE!$A:$W,23,0)),"")</f>
        <v/>
      </c>
      <c r="S1604" s="10">
        <f>IF(AND(P1604="TN",R1604="TN"),N1604+N(O1604),IF(G1604&amp;""="1",N(K1604)*N1604,(N1604+N(O1604))*N(K1604)))</f>
        <v/>
      </c>
      <c r="T1604" s="10">
        <f>IF(Q1604="","",Q1604-S1604)</f>
        <v/>
      </c>
    </row>
    <row r="1605">
      <c r="A1605" s="7">
        <f>CONCATENATE(C1605,E1605,F1605,I1605)</f>
        <v/>
      </c>
      <c r="B1605" s="7">
        <f>CONCATENATE(C1605,E1605,I1605)</f>
        <v/>
      </c>
      <c r="C1605" s="8" t="n">
        <v>900004323</v>
      </c>
      <c r="D1605" s="7">
        <f>IFERROR(VLOOKUP(C1605,TRAOPE!$G:$H,2,0),"")</f>
        <v/>
      </c>
      <c r="E1605" s="8" t="inlineStr">
        <is>
          <t>D836</t>
        </is>
      </c>
      <c r="F1605" s="8" t="inlineStr">
        <is>
          <t>66618135</t>
        </is>
      </c>
      <c r="G1605" s="8">
        <f>IFERROR(VLOOKUP(A1605,Flete!$A:$E,5,0),"")</f>
        <v/>
      </c>
      <c r="H1605" s="7">
        <f>IFERROR(VLOOKUP(F1605,TRAOPE!$AA:$AB,2,0),"")</f>
        <v/>
      </c>
      <c r="I1605" s="7" t="n">
        <v>10000160</v>
      </c>
      <c r="J1605" s="7">
        <f>IFERROR(VLOOKUP(I1605,Materiales!$A:$H,8,0),"")</f>
        <v/>
      </c>
      <c r="K1605" s="9">
        <f>IFERROR(VLOOKUP(I1605,Materiales!$A:$G,7,0),"")</f>
        <v/>
      </c>
      <c r="L1605" s="8" t="inlineStr">
        <is>
          <t>20190426</t>
        </is>
      </c>
      <c r="M1605" s="8" t="inlineStr">
        <is>
          <t>20250127</t>
        </is>
      </c>
      <c r="N1605" s="10" t="n">
        <v>102</v>
      </c>
      <c r="O1605" s="10">
        <f>IFERROR(VLOOKUP(A1605,Flete!$A:$J,10,0),"")</f>
        <v/>
      </c>
      <c r="P1605" s="8" t="inlineStr">
        <is>
          <t>M3</t>
        </is>
      </c>
      <c r="Q1605" s="10">
        <f>IFERROR(IFERROR(VLOOKUP(A1605,TRAOPE!$A:$U,21,0),VLOOKUP(B1605,TRAOPE!$A:$U,21,0)),"")</f>
        <v/>
      </c>
      <c r="R1605" s="8">
        <f>IFERROR(IFERROR(VLOOKUP(A1605,TRAOPE!$A:$W,23,0),VLOOKUP(B1605,TRAOPE!$A:$W,23,0)),"")</f>
        <v/>
      </c>
      <c r="S1605" s="10">
        <f>IF(AND(P1605="TN",R1605="TN"),N1605+N(O1605),IF(G1605&amp;""="1",N(K1605)*N1605,(N1605+N(O1605))*N(K1605)))</f>
        <v/>
      </c>
      <c r="T1605" s="10">
        <f>IF(Q1605="","",Q1605-S1605)</f>
        <v/>
      </c>
    </row>
    <row r="1606">
      <c r="A1606" s="7">
        <f>CONCATENATE(C1606,E1606,F1606,I1606)</f>
        <v/>
      </c>
      <c r="B1606" s="7">
        <f>CONCATENATE(C1606,E1606,I1606)</f>
        <v/>
      </c>
      <c r="C1606" s="8" t="n">
        <v>900004323</v>
      </c>
      <c r="D1606" s="7">
        <f>IFERROR(VLOOKUP(C1606,TRAOPE!$G:$H,2,0),"")</f>
        <v/>
      </c>
      <c r="E1606" s="8" t="inlineStr">
        <is>
          <t>D836</t>
        </is>
      </c>
      <c r="F1606" s="8" t="inlineStr">
        <is>
          <t>66618135</t>
        </is>
      </c>
      <c r="G1606" s="8">
        <f>IFERROR(VLOOKUP(A1606,Flete!$A:$E,5,0),"")</f>
        <v/>
      </c>
      <c r="H1606" s="7">
        <f>IFERROR(VLOOKUP(F1606,TRAOPE!$AA:$AB,2,0),"")</f>
        <v/>
      </c>
      <c r="I1606" s="7" t="n">
        <v>10000357</v>
      </c>
      <c r="J1606" s="7">
        <f>IFERROR(VLOOKUP(I1606,Materiales!$A:$H,8,0),"")</f>
        <v/>
      </c>
      <c r="K1606" s="9">
        <f>IFERROR(VLOOKUP(I1606,Materiales!$A:$G,7,0),"")</f>
        <v/>
      </c>
      <c r="L1606" s="8" t="inlineStr">
        <is>
          <t>20190426</t>
        </is>
      </c>
      <c r="M1606" s="8" t="inlineStr">
        <is>
          <t>20250127</t>
        </is>
      </c>
      <c r="N1606" s="10" t="n">
        <v>113</v>
      </c>
      <c r="O1606" s="10">
        <f>IFERROR(VLOOKUP(A1606,Flete!$A:$J,10,0),"")</f>
        <v/>
      </c>
      <c r="P1606" s="8" t="inlineStr">
        <is>
          <t>M3</t>
        </is>
      </c>
      <c r="Q1606" s="10">
        <f>IFERROR(IFERROR(VLOOKUP(A1606,TRAOPE!$A:$U,21,0),VLOOKUP(B1606,TRAOPE!$A:$U,21,0)),"")</f>
        <v/>
      </c>
      <c r="R1606" s="8">
        <f>IFERROR(IFERROR(VLOOKUP(A1606,TRAOPE!$A:$W,23,0),VLOOKUP(B1606,TRAOPE!$A:$W,23,0)),"")</f>
        <v/>
      </c>
      <c r="S1606" s="10">
        <f>IF(AND(P1606="TN",R1606="TN"),N1606+N(O1606),IF(G1606&amp;""="1",N(K1606)*N1606,(N1606+N(O1606))*N(K1606)))</f>
        <v/>
      </c>
      <c r="T1606" s="10">
        <f>IF(Q1606="","",Q1606-S1606)</f>
        <v/>
      </c>
    </row>
    <row r="1607">
      <c r="A1607" s="7">
        <f>CONCATENATE(C1607,E1607,F1607,I1607)</f>
        <v/>
      </c>
      <c r="B1607" s="7">
        <f>CONCATENATE(C1607,E1607,I1607)</f>
        <v/>
      </c>
      <c r="C1607" s="8" t="n">
        <v>900004323</v>
      </c>
      <c r="D1607" s="7">
        <f>IFERROR(VLOOKUP(C1607,TRAOPE!$G:$H,2,0),"")</f>
        <v/>
      </c>
      <c r="E1607" s="8" t="inlineStr">
        <is>
          <t>D836</t>
        </is>
      </c>
      <c r="F1607" s="8" t="inlineStr">
        <is>
          <t>66624554</t>
        </is>
      </c>
      <c r="G1607" s="8">
        <f>IFERROR(VLOOKUP(A1607,Flete!$A:$E,5,0),"")</f>
        <v/>
      </c>
      <c r="H1607" s="7">
        <f>IFERROR(VLOOKUP(F1607,TRAOPE!$AA:$AB,2,0),"")</f>
        <v/>
      </c>
      <c r="I1607" s="7" t="n">
        <v>10000160</v>
      </c>
      <c r="J1607" s="7">
        <f>IFERROR(VLOOKUP(I1607,Materiales!$A:$H,8,0),"")</f>
        <v/>
      </c>
      <c r="K1607" s="9">
        <f>IFERROR(VLOOKUP(I1607,Materiales!$A:$G,7,0),"")</f>
        <v/>
      </c>
      <c r="L1607" s="8" t="inlineStr">
        <is>
          <t>20190426</t>
        </is>
      </c>
      <c r="M1607" s="8" t="inlineStr">
        <is>
          <t>20250127</t>
        </is>
      </c>
      <c r="N1607" s="10" t="n">
        <v>87.15000000000001</v>
      </c>
      <c r="O1607" s="10">
        <f>IFERROR(VLOOKUP(A1607,Flete!$A:$J,10,0),"")</f>
        <v/>
      </c>
      <c r="P1607" s="8" t="inlineStr">
        <is>
          <t>M3</t>
        </is>
      </c>
      <c r="Q1607" s="10">
        <f>IFERROR(IFERROR(VLOOKUP(A1607,TRAOPE!$A:$U,21,0),VLOOKUP(B1607,TRAOPE!$A:$U,21,0)),"")</f>
        <v/>
      </c>
      <c r="R1607" s="8">
        <f>IFERROR(IFERROR(VLOOKUP(A1607,TRAOPE!$A:$W,23,0),VLOOKUP(B1607,TRAOPE!$A:$W,23,0)),"")</f>
        <v/>
      </c>
      <c r="S1607" s="10">
        <f>IF(AND(P1607="TN",R1607="TN"),N1607+N(O1607),IF(G1607&amp;""="1",N(K1607)*N1607,(N1607+N(O1607))*N(K1607)))</f>
        <v/>
      </c>
      <c r="T1607" s="10">
        <f>IF(Q1607="","",Q1607-S1607)</f>
        <v/>
      </c>
    </row>
    <row r="1608">
      <c r="A1608" s="7">
        <f>CONCATENATE(C1608,E1608,F1608,I1608)</f>
        <v/>
      </c>
      <c r="B1608" s="7">
        <f>CONCATENATE(C1608,E1608,I1608)</f>
        <v/>
      </c>
      <c r="C1608" s="8" t="n">
        <v>900004323</v>
      </c>
      <c r="D1608" s="7">
        <f>IFERROR(VLOOKUP(C1608,TRAOPE!$G:$H,2,0),"")</f>
        <v/>
      </c>
      <c r="E1608" s="8" t="inlineStr">
        <is>
          <t>D836</t>
        </is>
      </c>
      <c r="F1608" s="8" t="inlineStr">
        <is>
          <t>66624554</t>
        </is>
      </c>
      <c r="G1608" s="8">
        <f>IFERROR(VLOOKUP(A1608,Flete!$A:$E,5,0),"")</f>
        <v/>
      </c>
      <c r="H1608" s="7">
        <f>IFERROR(VLOOKUP(F1608,TRAOPE!$AA:$AB,2,0),"")</f>
        <v/>
      </c>
      <c r="I1608" s="7" t="n">
        <v>10000357</v>
      </c>
      <c r="J1608" s="7">
        <f>IFERROR(VLOOKUP(I1608,Materiales!$A:$H,8,0),"")</f>
        <v/>
      </c>
      <c r="K1608" s="9">
        <f>IFERROR(VLOOKUP(I1608,Materiales!$A:$G,7,0),"")</f>
        <v/>
      </c>
      <c r="L1608" s="8" t="inlineStr">
        <is>
          <t>20190426</t>
        </is>
      </c>
      <c r="M1608" s="8" t="inlineStr">
        <is>
          <t>20250127</t>
        </is>
      </c>
      <c r="N1608" s="10" t="n">
        <v>100.8</v>
      </c>
      <c r="O1608" s="10">
        <f>IFERROR(VLOOKUP(A1608,Flete!$A:$J,10,0),"")</f>
        <v/>
      </c>
      <c r="P1608" s="8" t="inlineStr">
        <is>
          <t>M3</t>
        </is>
      </c>
      <c r="Q1608" s="10">
        <f>IFERROR(IFERROR(VLOOKUP(A1608,TRAOPE!$A:$U,21,0),VLOOKUP(B1608,TRAOPE!$A:$U,21,0)),"")</f>
        <v/>
      </c>
      <c r="R1608" s="8">
        <f>IFERROR(IFERROR(VLOOKUP(A1608,TRAOPE!$A:$W,23,0),VLOOKUP(B1608,TRAOPE!$A:$W,23,0)),"")</f>
        <v/>
      </c>
      <c r="S1608" s="10">
        <f>IF(AND(P1608="TN",R1608="TN"),N1608+N(O1608),IF(G1608&amp;""="1",N(K1608)*N1608,(N1608+N(O1608))*N(K1608)))</f>
        <v/>
      </c>
      <c r="T1608" s="10">
        <f>IF(Q1608="","",Q1608-S1608)</f>
        <v/>
      </c>
    </row>
    <row r="1609">
      <c r="A1609" s="7">
        <f>CONCATENATE(C1609,E1609,F1609,I1609)</f>
        <v/>
      </c>
      <c r="B1609" s="7">
        <f>CONCATENATE(C1609,E1609,I1609)</f>
        <v/>
      </c>
      <c r="C1609" s="8" t="n">
        <v>900004323</v>
      </c>
      <c r="D1609" s="7">
        <f>IFERROR(VLOOKUP(C1609,TRAOPE!$G:$H,2,0),"")</f>
        <v/>
      </c>
      <c r="E1609" s="8" t="inlineStr">
        <is>
          <t>D836</t>
        </is>
      </c>
      <c r="F1609" s="8" t="inlineStr">
        <is>
          <t>66624554</t>
        </is>
      </c>
      <c r="G1609" s="8">
        <f>IFERROR(VLOOKUP(A1609,Flete!$A:$E,5,0),"")</f>
        <v/>
      </c>
      <c r="H1609" s="7">
        <f>IFERROR(VLOOKUP(F1609,TRAOPE!$AA:$AB,2,0),"")</f>
        <v/>
      </c>
      <c r="I1609" s="7" t="n">
        <v>10000627</v>
      </c>
      <c r="J1609" s="7">
        <f>IFERROR(VLOOKUP(I1609,Materiales!$A:$H,8,0),"")</f>
        <v/>
      </c>
      <c r="K1609" s="9">
        <f>IFERROR(VLOOKUP(I1609,Materiales!$A:$G,7,0),"")</f>
        <v/>
      </c>
      <c r="L1609" s="8" t="inlineStr">
        <is>
          <t>20190426</t>
        </is>
      </c>
      <c r="M1609" s="8" t="inlineStr">
        <is>
          <t>20250127</t>
        </is>
      </c>
      <c r="N1609" s="10" t="n">
        <v>88</v>
      </c>
      <c r="O1609" s="10">
        <f>IFERROR(VLOOKUP(A1609,Flete!$A:$J,10,0),"")</f>
        <v/>
      </c>
      <c r="P1609" s="8" t="inlineStr">
        <is>
          <t>M3</t>
        </is>
      </c>
      <c r="Q1609" s="10">
        <f>IFERROR(IFERROR(VLOOKUP(A1609,TRAOPE!$A:$U,21,0),VLOOKUP(B1609,TRAOPE!$A:$U,21,0)),"")</f>
        <v/>
      </c>
      <c r="R1609" s="8">
        <f>IFERROR(IFERROR(VLOOKUP(A1609,TRAOPE!$A:$W,23,0),VLOOKUP(B1609,TRAOPE!$A:$W,23,0)),"")</f>
        <v/>
      </c>
      <c r="S1609" s="10">
        <f>IF(AND(P1609="TN",R1609="TN"),N1609+N(O1609),IF(G1609&amp;""="1",N(K1609)*N1609,(N1609+N(O1609))*N(K1609)))</f>
        <v/>
      </c>
      <c r="T1609" s="10">
        <f>IF(Q1609="","",Q1609-S1609)</f>
        <v/>
      </c>
    </row>
    <row r="1610">
      <c r="A1610" s="7">
        <f>CONCATENATE(C1610,E1610,F1610,I1610)</f>
        <v/>
      </c>
      <c r="B1610" s="7">
        <f>CONCATENATE(C1610,E1610,I1610)</f>
        <v/>
      </c>
      <c r="C1610" s="8" t="n">
        <v>900004323</v>
      </c>
      <c r="D1610" s="7">
        <f>IFERROR(VLOOKUP(C1610,TRAOPE!$G:$H,2,0),"")</f>
        <v/>
      </c>
      <c r="E1610" s="8" t="inlineStr">
        <is>
          <t>D836</t>
        </is>
      </c>
      <c r="F1610" s="8" t="inlineStr">
        <is>
          <t>66636549</t>
        </is>
      </c>
      <c r="G1610" s="8">
        <f>IFERROR(VLOOKUP(A1610,Flete!$A:$E,5,0),"")</f>
        <v/>
      </c>
      <c r="H1610" s="7">
        <f>IFERROR(VLOOKUP(F1610,TRAOPE!$AA:$AB,2,0),"")</f>
        <v/>
      </c>
      <c r="I1610" s="7" t="n">
        <v>10000160</v>
      </c>
      <c r="J1610" s="7">
        <f>IFERROR(VLOOKUP(I1610,Materiales!$A:$H,8,0),"")</f>
        <v/>
      </c>
      <c r="K1610" s="9">
        <f>IFERROR(VLOOKUP(I1610,Materiales!$A:$G,7,0),"")</f>
        <v/>
      </c>
      <c r="L1610" s="8" t="inlineStr">
        <is>
          <t>20190426</t>
        </is>
      </c>
      <c r="M1610" s="8" t="inlineStr">
        <is>
          <t>20250127</t>
        </is>
      </c>
      <c r="N1610" s="10" t="n">
        <v>90</v>
      </c>
      <c r="O1610" s="10">
        <f>IFERROR(VLOOKUP(A1610,Flete!$A:$J,10,0),"")</f>
        <v/>
      </c>
      <c r="P1610" s="8" t="inlineStr">
        <is>
          <t>M3</t>
        </is>
      </c>
      <c r="Q1610" s="10">
        <f>IFERROR(IFERROR(VLOOKUP(A1610,TRAOPE!$A:$U,21,0),VLOOKUP(B1610,TRAOPE!$A:$U,21,0)),"")</f>
        <v/>
      </c>
      <c r="R1610" s="8">
        <f>IFERROR(IFERROR(VLOOKUP(A1610,TRAOPE!$A:$W,23,0),VLOOKUP(B1610,TRAOPE!$A:$W,23,0)),"")</f>
        <v/>
      </c>
      <c r="S1610" s="10">
        <f>IF(AND(P1610="TN",R1610="TN"),N1610+N(O1610),IF(G1610&amp;""="1",N(K1610)*N1610,(N1610+N(O1610))*N(K1610)))</f>
        <v/>
      </c>
      <c r="T1610" s="10">
        <f>IF(Q1610="","",Q1610-S1610)</f>
        <v/>
      </c>
    </row>
    <row r="1611">
      <c r="A1611" s="7">
        <f>CONCATENATE(C1611,E1611,F1611,I1611)</f>
        <v/>
      </c>
      <c r="B1611" s="7">
        <f>CONCATENATE(C1611,E1611,I1611)</f>
        <v/>
      </c>
      <c r="C1611" s="8" t="n">
        <v>900004323</v>
      </c>
      <c r="D1611" s="7">
        <f>IFERROR(VLOOKUP(C1611,TRAOPE!$G:$H,2,0),"")</f>
        <v/>
      </c>
      <c r="E1611" s="8" t="inlineStr">
        <is>
          <t>D836</t>
        </is>
      </c>
      <c r="F1611" s="8" t="inlineStr">
        <is>
          <t>66636549</t>
        </is>
      </c>
      <c r="G1611" s="8">
        <f>IFERROR(VLOOKUP(A1611,Flete!$A:$E,5,0),"")</f>
        <v/>
      </c>
      <c r="H1611" s="7">
        <f>IFERROR(VLOOKUP(F1611,TRAOPE!$AA:$AB,2,0),"")</f>
        <v/>
      </c>
      <c r="I1611" s="7" t="n">
        <v>10000357</v>
      </c>
      <c r="J1611" s="7">
        <f>IFERROR(VLOOKUP(I1611,Materiales!$A:$H,8,0),"")</f>
        <v/>
      </c>
      <c r="K1611" s="9">
        <f>IFERROR(VLOOKUP(I1611,Materiales!$A:$G,7,0),"")</f>
        <v/>
      </c>
      <c r="L1611" s="8" t="inlineStr">
        <is>
          <t>20190426</t>
        </is>
      </c>
      <c r="M1611" s="8" t="inlineStr">
        <is>
          <t>20250127</t>
        </is>
      </c>
      <c r="N1611" s="10" t="n">
        <v>103</v>
      </c>
      <c r="O1611" s="10">
        <f>IFERROR(VLOOKUP(A1611,Flete!$A:$J,10,0),"")</f>
        <v/>
      </c>
      <c r="P1611" s="8" t="inlineStr">
        <is>
          <t>M3</t>
        </is>
      </c>
      <c r="Q1611" s="10">
        <f>IFERROR(IFERROR(VLOOKUP(A1611,TRAOPE!$A:$U,21,0),VLOOKUP(B1611,TRAOPE!$A:$U,21,0)),"")</f>
        <v/>
      </c>
      <c r="R1611" s="8">
        <f>IFERROR(IFERROR(VLOOKUP(A1611,TRAOPE!$A:$W,23,0),VLOOKUP(B1611,TRAOPE!$A:$W,23,0)),"")</f>
        <v/>
      </c>
      <c r="S1611" s="10">
        <f>IF(AND(P1611="TN",R1611="TN"),N1611+N(O1611),IF(G1611&amp;""="1",N(K1611)*N1611,(N1611+N(O1611))*N(K1611)))</f>
        <v/>
      </c>
      <c r="T1611" s="10">
        <f>IF(Q1611="","",Q1611-S1611)</f>
        <v/>
      </c>
    </row>
    <row r="1612">
      <c r="A1612" s="7">
        <f>CONCATENATE(C1612,E1612,F1612,I1612)</f>
        <v/>
      </c>
      <c r="B1612" s="7">
        <f>CONCATENATE(C1612,E1612,I1612)</f>
        <v/>
      </c>
      <c r="C1612" s="8" t="n">
        <v>900004323</v>
      </c>
      <c r="D1612" s="7">
        <f>IFERROR(VLOOKUP(C1612,TRAOPE!$G:$H,2,0),"")</f>
        <v/>
      </c>
      <c r="E1612" s="8" t="inlineStr">
        <is>
          <t>D836</t>
        </is>
      </c>
      <c r="F1612" s="8" t="inlineStr">
        <is>
          <t>66639726</t>
        </is>
      </c>
      <c r="G1612" s="8">
        <f>IFERROR(VLOOKUP(A1612,Flete!$A:$E,5,0),"")</f>
        <v/>
      </c>
      <c r="H1612" s="7">
        <f>IFERROR(VLOOKUP(F1612,TRAOPE!$AA:$AB,2,0),"")</f>
        <v/>
      </c>
      <c r="I1612" s="7" t="n">
        <v>10000160</v>
      </c>
      <c r="J1612" s="7">
        <f>IFERROR(VLOOKUP(I1612,Materiales!$A:$H,8,0),"")</f>
        <v/>
      </c>
      <c r="K1612" s="9">
        <f>IFERROR(VLOOKUP(I1612,Materiales!$A:$G,7,0),"")</f>
        <v/>
      </c>
      <c r="L1612" s="8" t="inlineStr">
        <is>
          <t>20190426</t>
        </is>
      </c>
      <c r="M1612" s="8" t="inlineStr">
        <is>
          <t>20250127</t>
        </is>
      </c>
      <c r="N1612" s="10" t="n">
        <v>90</v>
      </c>
      <c r="O1612" s="10">
        <f>IFERROR(VLOOKUP(A1612,Flete!$A:$J,10,0),"")</f>
        <v/>
      </c>
      <c r="P1612" s="8" t="inlineStr">
        <is>
          <t>M3</t>
        </is>
      </c>
      <c r="Q1612" s="10">
        <f>IFERROR(IFERROR(VLOOKUP(A1612,TRAOPE!$A:$U,21,0),VLOOKUP(B1612,TRAOPE!$A:$U,21,0)),"")</f>
        <v/>
      </c>
      <c r="R1612" s="8">
        <f>IFERROR(IFERROR(VLOOKUP(A1612,TRAOPE!$A:$W,23,0),VLOOKUP(B1612,TRAOPE!$A:$W,23,0)),"")</f>
        <v/>
      </c>
      <c r="S1612" s="10">
        <f>IF(AND(P1612="TN",R1612="TN"),N1612+N(O1612),IF(G1612&amp;""="1",N(K1612)*N1612,(N1612+N(O1612))*N(K1612)))</f>
        <v/>
      </c>
      <c r="T1612" s="10">
        <f>IF(Q1612="","",Q1612-S1612)</f>
        <v/>
      </c>
    </row>
    <row r="1613">
      <c r="A1613" s="7">
        <f>CONCATENATE(C1613,E1613,F1613,I1613)</f>
        <v/>
      </c>
      <c r="B1613" s="7">
        <f>CONCATENATE(C1613,E1613,I1613)</f>
        <v/>
      </c>
      <c r="C1613" s="8" t="n">
        <v>900004323</v>
      </c>
      <c r="D1613" s="7">
        <f>IFERROR(VLOOKUP(C1613,TRAOPE!$G:$H,2,0),"")</f>
        <v/>
      </c>
      <c r="E1613" s="8" t="inlineStr">
        <is>
          <t>D836</t>
        </is>
      </c>
      <c r="F1613" s="8" t="inlineStr">
        <is>
          <t>66639726</t>
        </is>
      </c>
      <c r="G1613" s="8">
        <f>IFERROR(VLOOKUP(A1613,Flete!$A:$E,5,0),"")</f>
        <v/>
      </c>
      <c r="H1613" s="7">
        <f>IFERROR(VLOOKUP(F1613,TRAOPE!$AA:$AB,2,0),"")</f>
        <v/>
      </c>
      <c r="I1613" s="7" t="n">
        <v>10000357</v>
      </c>
      <c r="J1613" s="7">
        <f>IFERROR(VLOOKUP(I1613,Materiales!$A:$H,8,0),"")</f>
        <v/>
      </c>
      <c r="K1613" s="9">
        <f>IFERROR(VLOOKUP(I1613,Materiales!$A:$G,7,0),"")</f>
        <v/>
      </c>
      <c r="L1613" s="8" t="inlineStr">
        <is>
          <t>20190426</t>
        </is>
      </c>
      <c r="M1613" s="8" t="inlineStr">
        <is>
          <t>20250127</t>
        </is>
      </c>
      <c r="N1613" s="10" t="n">
        <v>103</v>
      </c>
      <c r="O1613" s="10">
        <f>IFERROR(VLOOKUP(A1613,Flete!$A:$J,10,0),"")</f>
        <v/>
      </c>
      <c r="P1613" s="8" t="inlineStr">
        <is>
          <t>M3</t>
        </is>
      </c>
      <c r="Q1613" s="10">
        <f>IFERROR(IFERROR(VLOOKUP(A1613,TRAOPE!$A:$U,21,0),VLOOKUP(B1613,TRAOPE!$A:$U,21,0)),"")</f>
        <v/>
      </c>
      <c r="R1613" s="8">
        <f>IFERROR(IFERROR(VLOOKUP(A1613,TRAOPE!$A:$W,23,0),VLOOKUP(B1613,TRAOPE!$A:$W,23,0)),"")</f>
        <v/>
      </c>
      <c r="S1613" s="10">
        <f>IF(AND(P1613="TN",R1613="TN"),N1613+N(O1613),IF(G1613&amp;""="1",N(K1613)*N1613,(N1613+N(O1613))*N(K1613)))</f>
        <v/>
      </c>
      <c r="T1613" s="10">
        <f>IF(Q1613="","",Q1613-S1613)</f>
        <v/>
      </c>
    </row>
    <row r="1614">
      <c r="A1614" s="7">
        <f>CONCATENATE(C1614,E1614,F1614,I1614)</f>
        <v/>
      </c>
      <c r="B1614" s="7">
        <f>CONCATENATE(C1614,E1614,I1614)</f>
        <v/>
      </c>
      <c r="C1614" s="8" t="n">
        <v>900004323</v>
      </c>
      <c r="D1614" s="7">
        <f>IFERROR(VLOOKUP(C1614,TRAOPE!$G:$H,2,0),"")</f>
        <v/>
      </c>
      <c r="E1614" s="8" t="inlineStr">
        <is>
          <t>D836</t>
        </is>
      </c>
      <c r="F1614" s="8" t="inlineStr">
        <is>
          <t>66701118</t>
        </is>
      </c>
      <c r="G1614" s="8">
        <f>IFERROR(VLOOKUP(A1614,Flete!$A:$E,5,0),"")</f>
        <v/>
      </c>
      <c r="H1614" s="7">
        <f>IFERROR(VLOOKUP(F1614,TRAOPE!$AA:$AB,2,0),"")</f>
        <v/>
      </c>
      <c r="I1614" s="7" t="n">
        <v>10003132</v>
      </c>
      <c r="J1614" s="7">
        <f>IFERROR(VLOOKUP(I1614,Materiales!$A:$H,8,0),"")</f>
        <v/>
      </c>
      <c r="K1614" s="9">
        <f>IFERROR(VLOOKUP(I1614,Materiales!$A:$G,7,0),"")</f>
        <v/>
      </c>
      <c r="L1614" s="8" t="inlineStr">
        <is>
          <t>20190426</t>
        </is>
      </c>
      <c r="M1614" s="8" t="inlineStr">
        <is>
          <t>20250127</t>
        </is>
      </c>
      <c r="N1614" s="10" t="n">
        <v>120</v>
      </c>
      <c r="O1614" s="10">
        <f>IFERROR(VLOOKUP(A1614,Flete!$A:$J,10,0),"")</f>
        <v/>
      </c>
      <c r="P1614" s="8" t="inlineStr">
        <is>
          <t>M3</t>
        </is>
      </c>
      <c r="Q1614" s="10">
        <f>IFERROR(IFERROR(VLOOKUP(A1614,TRAOPE!$A:$U,21,0),VLOOKUP(B1614,TRAOPE!$A:$U,21,0)),"")</f>
        <v/>
      </c>
      <c r="R1614" s="8">
        <f>IFERROR(IFERROR(VLOOKUP(A1614,TRAOPE!$A:$W,23,0),VLOOKUP(B1614,TRAOPE!$A:$W,23,0)),"")</f>
        <v/>
      </c>
      <c r="S1614" s="10">
        <f>IF(AND(P1614="TN",R1614="TN"),N1614+N(O1614),IF(G1614&amp;""="1",N(K1614)*N1614,(N1614+N(O1614))*N(K1614)))</f>
        <v/>
      </c>
      <c r="T1614" s="10">
        <f>IF(Q1614="","",Q1614-S1614)</f>
        <v/>
      </c>
    </row>
    <row r="1615">
      <c r="A1615" s="7">
        <f>CONCATENATE(C1615,E1615,F1615,I1615)</f>
        <v/>
      </c>
      <c r="B1615" s="7">
        <f>CONCATENATE(C1615,E1615,I1615)</f>
        <v/>
      </c>
      <c r="C1615" s="8" t="n">
        <v>900004323</v>
      </c>
      <c r="D1615" s="7">
        <f>IFERROR(VLOOKUP(C1615,TRAOPE!$G:$H,2,0),"")</f>
        <v/>
      </c>
      <c r="E1615" s="8" t="inlineStr">
        <is>
          <t>D836</t>
        </is>
      </c>
      <c r="F1615" s="8" t="inlineStr">
        <is>
          <t>66701383</t>
        </is>
      </c>
      <c r="G1615" s="8">
        <f>IFERROR(VLOOKUP(A1615,Flete!$A:$E,5,0),"")</f>
        <v/>
      </c>
      <c r="H1615" s="7">
        <f>IFERROR(VLOOKUP(F1615,TRAOPE!$AA:$AB,2,0),"")</f>
        <v/>
      </c>
      <c r="I1615" s="7" t="n">
        <v>10000160</v>
      </c>
      <c r="J1615" s="7">
        <f>IFERROR(VLOOKUP(I1615,Materiales!$A:$H,8,0),"")</f>
        <v/>
      </c>
      <c r="K1615" s="9">
        <f>IFERROR(VLOOKUP(I1615,Materiales!$A:$G,7,0),"")</f>
        <v/>
      </c>
      <c r="L1615" s="8" t="inlineStr">
        <is>
          <t>20190426</t>
        </is>
      </c>
      <c r="M1615" s="8" t="inlineStr">
        <is>
          <t>20250127</t>
        </is>
      </c>
      <c r="N1615" s="10" t="n">
        <v>90</v>
      </c>
      <c r="O1615" s="10">
        <f>IFERROR(VLOOKUP(A1615,Flete!$A:$J,10,0),"")</f>
        <v/>
      </c>
      <c r="P1615" s="8" t="inlineStr">
        <is>
          <t>M3</t>
        </is>
      </c>
      <c r="Q1615" s="10">
        <f>IFERROR(IFERROR(VLOOKUP(A1615,TRAOPE!$A:$U,21,0),VLOOKUP(B1615,TRAOPE!$A:$U,21,0)),"")</f>
        <v/>
      </c>
      <c r="R1615" s="8">
        <f>IFERROR(IFERROR(VLOOKUP(A1615,TRAOPE!$A:$W,23,0),VLOOKUP(B1615,TRAOPE!$A:$W,23,0)),"")</f>
        <v/>
      </c>
      <c r="S1615" s="10">
        <f>IF(AND(P1615="TN",R1615="TN"),N1615+N(O1615),IF(G1615&amp;""="1",N(K1615)*N1615,(N1615+N(O1615))*N(K1615)))</f>
        <v/>
      </c>
      <c r="T1615" s="10">
        <f>IF(Q1615="","",Q1615-S1615)</f>
        <v/>
      </c>
    </row>
    <row r="1616">
      <c r="A1616" s="7">
        <f>CONCATENATE(C1616,E1616,F1616,I1616)</f>
        <v/>
      </c>
      <c r="B1616" s="7">
        <f>CONCATENATE(C1616,E1616,I1616)</f>
        <v/>
      </c>
      <c r="C1616" s="8" t="n">
        <v>900004323</v>
      </c>
      <c r="D1616" s="7">
        <f>IFERROR(VLOOKUP(C1616,TRAOPE!$G:$H,2,0),"")</f>
        <v/>
      </c>
      <c r="E1616" s="8" t="inlineStr">
        <is>
          <t>D836</t>
        </is>
      </c>
      <c r="F1616" s="8" t="inlineStr">
        <is>
          <t>66701383</t>
        </is>
      </c>
      <c r="G1616" s="8">
        <f>IFERROR(VLOOKUP(A1616,Flete!$A:$E,5,0),"")</f>
        <v/>
      </c>
      <c r="H1616" s="7">
        <f>IFERROR(VLOOKUP(F1616,TRAOPE!$AA:$AB,2,0),"")</f>
        <v/>
      </c>
      <c r="I1616" s="7" t="n">
        <v>10000357</v>
      </c>
      <c r="J1616" s="7">
        <f>IFERROR(VLOOKUP(I1616,Materiales!$A:$H,8,0),"")</f>
        <v/>
      </c>
      <c r="K1616" s="9">
        <f>IFERROR(VLOOKUP(I1616,Materiales!$A:$G,7,0),"")</f>
        <v/>
      </c>
      <c r="L1616" s="8" t="inlineStr">
        <is>
          <t>20190426</t>
        </is>
      </c>
      <c r="M1616" s="8" t="inlineStr">
        <is>
          <t>20250127</t>
        </is>
      </c>
      <c r="N1616" s="10" t="n">
        <v>103</v>
      </c>
      <c r="O1616" s="10">
        <f>IFERROR(VLOOKUP(A1616,Flete!$A:$J,10,0),"")</f>
        <v/>
      </c>
      <c r="P1616" s="8" t="inlineStr">
        <is>
          <t>M3</t>
        </is>
      </c>
      <c r="Q1616" s="10">
        <f>IFERROR(IFERROR(VLOOKUP(A1616,TRAOPE!$A:$U,21,0),VLOOKUP(B1616,TRAOPE!$A:$U,21,0)),"")</f>
        <v/>
      </c>
      <c r="R1616" s="8">
        <f>IFERROR(IFERROR(VLOOKUP(A1616,TRAOPE!$A:$W,23,0),VLOOKUP(B1616,TRAOPE!$A:$W,23,0)),"")</f>
        <v/>
      </c>
      <c r="S1616" s="10">
        <f>IF(AND(P1616="TN",R1616="TN"),N1616+N(O1616),IF(G1616&amp;""="1",N(K1616)*N1616,(N1616+N(O1616))*N(K1616)))</f>
        <v/>
      </c>
      <c r="T1616" s="10">
        <f>IF(Q1616="","",Q1616-S1616)</f>
        <v/>
      </c>
    </row>
    <row r="1617">
      <c r="A1617" s="7">
        <f>CONCATENATE(C1617,E1617,F1617,I1617)</f>
        <v/>
      </c>
      <c r="B1617" s="7">
        <f>CONCATENATE(C1617,E1617,I1617)</f>
        <v/>
      </c>
      <c r="C1617" s="8" t="n">
        <v>900004323</v>
      </c>
      <c r="D1617" s="7">
        <f>IFERROR(VLOOKUP(C1617,TRAOPE!$G:$H,2,0),"")</f>
        <v/>
      </c>
      <c r="E1617" s="8" t="inlineStr">
        <is>
          <t>D836</t>
        </is>
      </c>
      <c r="F1617" s="8" t="inlineStr">
        <is>
          <t>66819150</t>
        </is>
      </c>
      <c r="G1617" s="8">
        <f>IFERROR(VLOOKUP(A1617,Flete!$A:$E,5,0),"")</f>
        <v/>
      </c>
      <c r="H1617" s="7">
        <f>IFERROR(VLOOKUP(F1617,TRAOPE!$AA:$AB,2,0),"")</f>
        <v/>
      </c>
      <c r="I1617" s="7" t="n">
        <v>10000160</v>
      </c>
      <c r="J1617" s="7">
        <f>IFERROR(VLOOKUP(I1617,Materiales!$A:$H,8,0),"")</f>
        <v/>
      </c>
      <c r="K1617" s="9">
        <f>IFERROR(VLOOKUP(I1617,Materiales!$A:$G,7,0),"")</f>
        <v/>
      </c>
      <c r="L1617" s="8" t="inlineStr">
        <is>
          <t>20190426</t>
        </is>
      </c>
      <c r="M1617" s="8" t="inlineStr">
        <is>
          <t>20250127</t>
        </is>
      </c>
      <c r="N1617" s="10" t="n">
        <v>89.25</v>
      </c>
      <c r="O1617" s="10">
        <f>IFERROR(VLOOKUP(A1617,Flete!$A:$J,10,0),"")</f>
        <v/>
      </c>
      <c r="P1617" s="8" t="inlineStr">
        <is>
          <t>M3</t>
        </is>
      </c>
      <c r="Q1617" s="10">
        <f>IFERROR(IFERROR(VLOOKUP(A1617,TRAOPE!$A:$U,21,0),VLOOKUP(B1617,TRAOPE!$A:$U,21,0)),"")</f>
        <v/>
      </c>
      <c r="R1617" s="8">
        <f>IFERROR(IFERROR(VLOOKUP(A1617,TRAOPE!$A:$W,23,0),VLOOKUP(B1617,TRAOPE!$A:$W,23,0)),"")</f>
        <v/>
      </c>
      <c r="S1617" s="10">
        <f>IF(AND(P1617="TN",R1617="TN"),N1617+N(O1617),IF(G1617&amp;""="1",N(K1617)*N1617,(N1617+N(O1617))*N(K1617)))</f>
        <v/>
      </c>
      <c r="T1617" s="10">
        <f>IF(Q1617="","",Q1617-S1617)</f>
        <v/>
      </c>
    </row>
    <row r="1618">
      <c r="A1618" s="7">
        <f>CONCATENATE(C1618,E1618,F1618,I1618)</f>
        <v/>
      </c>
      <c r="B1618" s="7">
        <f>CONCATENATE(C1618,E1618,I1618)</f>
        <v/>
      </c>
      <c r="C1618" s="8" t="n">
        <v>900004323</v>
      </c>
      <c r="D1618" s="7">
        <f>IFERROR(VLOOKUP(C1618,TRAOPE!$G:$H,2,0),"")</f>
        <v/>
      </c>
      <c r="E1618" s="8" t="inlineStr">
        <is>
          <t>D836</t>
        </is>
      </c>
      <c r="F1618" s="8" t="inlineStr">
        <is>
          <t>66819150</t>
        </is>
      </c>
      <c r="G1618" s="8">
        <f>IFERROR(VLOOKUP(A1618,Flete!$A:$E,5,0),"")</f>
        <v/>
      </c>
      <c r="H1618" s="7">
        <f>IFERROR(VLOOKUP(F1618,TRAOPE!$AA:$AB,2,0),"")</f>
        <v/>
      </c>
      <c r="I1618" s="7" t="n">
        <v>10000357</v>
      </c>
      <c r="J1618" s="7">
        <f>IFERROR(VLOOKUP(I1618,Materiales!$A:$H,8,0),"")</f>
        <v/>
      </c>
      <c r="K1618" s="9">
        <f>IFERROR(VLOOKUP(I1618,Materiales!$A:$G,7,0),"")</f>
        <v/>
      </c>
      <c r="L1618" s="8" t="inlineStr">
        <is>
          <t>20190426</t>
        </is>
      </c>
      <c r="M1618" s="8" t="inlineStr">
        <is>
          <t>20250127</t>
        </is>
      </c>
      <c r="N1618" s="10" t="n">
        <v>100.8</v>
      </c>
      <c r="O1618" s="10">
        <f>IFERROR(VLOOKUP(A1618,Flete!$A:$J,10,0),"")</f>
        <v/>
      </c>
      <c r="P1618" s="8" t="inlineStr">
        <is>
          <t>M3</t>
        </is>
      </c>
      <c r="Q1618" s="10">
        <f>IFERROR(IFERROR(VLOOKUP(A1618,TRAOPE!$A:$U,21,0),VLOOKUP(B1618,TRAOPE!$A:$U,21,0)),"")</f>
        <v/>
      </c>
      <c r="R1618" s="8">
        <f>IFERROR(IFERROR(VLOOKUP(A1618,TRAOPE!$A:$W,23,0),VLOOKUP(B1618,TRAOPE!$A:$W,23,0)),"")</f>
        <v/>
      </c>
      <c r="S1618" s="10">
        <f>IF(AND(P1618="TN",R1618="TN"),N1618+N(O1618),IF(G1618&amp;""="1",N(K1618)*N1618,(N1618+N(O1618))*N(K1618)))</f>
        <v/>
      </c>
      <c r="T1618" s="10">
        <f>IF(Q1618="","",Q1618-S1618)</f>
        <v/>
      </c>
    </row>
    <row r="1619">
      <c r="A1619" s="7">
        <f>CONCATENATE(C1619,E1619,F1619,I1619)</f>
        <v/>
      </c>
      <c r="B1619" s="7">
        <f>CONCATENATE(C1619,E1619,I1619)</f>
        <v/>
      </c>
      <c r="C1619" s="8" t="n">
        <v>900004323</v>
      </c>
      <c r="D1619" s="7">
        <f>IFERROR(VLOOKUP(C1619,TRAOPE!$G:$H,2,0),"")</f>
        <v/>
      </c>
      <c r="E1619" s="8" t="inlineStr">
        <is>
          <t>D836</t>
        </is>
      </c>
      <c r="F1619" s="8" t="inlineStr">
        <is>
          <t>66853858</t>
        </is>
      </c>
      <c r="G1619" s="8">
        <f>IFERROR(VLOOKUP(A1619,Flete!$A:$E,5,0),"")</f>
        <v/>
      </c>
      <c r="H1619" s="7">
        <f>IFERROR(VLOOKUP(F1619,TRAOPE!$AA:$AB,2,0),"")</f>
        <v/>
      </c>
      <c r="I1619" s="7" t="n">
        <v>10000160</v>
      </c>
      <c r="J1619" s="7">
        <f>IFERROR(VLOOKUP(I1619,Materiales!$A:$H,8,0),"")</f>
        <v/>
      </c>
      <c r="K1619" s="9">
        <f>IFERROR(VLOOKUP(I1619,Materiales!$A:$G,7,0),"")</f>
        <v/>
      </c>
      <c r="L1619" s="8" t="inlineStr">
        <is>
          <t>20190426</t>
        </is>
      </c>
      <c r="M1619" s="8" t="inlineStr">
        <is>
          <t>20250127</t>
        </is>
      </c>
      <c r="N1619" s="10" t="n">
        <v>84</v>
      </c>
      <c r="O1619" s="10">
        <f>IFERROR(VLOOKUP(A1619,Flete!$A:$J,10,0),"")</f>
        <v/>
      </c>
      <c r="P1619" s="8" t="inlineStr">
        <is>
          <t>M3</t>
        </is>
      </c>
      <c r="Q1619" s="10">
        <f>IFERROR(IFERROR(VLOOKUP(A1619,TRAOPE!$A:$U,21,0),VLOOKUP(B1619,TRAOPE!$A:$U,21,0)),"")</f>
        <v/>
      </c>
      <c r="R1619" s="8">
        <f>IFERROR(IFERROR(VLOOKUP(A1619,TRAOPE!$A:$W,23,0),VLOOKUP(B1619,TRAOPE!$A:$W,23,0)),"")</f>
        <v/>
      </c>
      <c r="S1619" s="10">
        <f>IF(AND(P1619="TN",R1619="TN"),N1619+N(O1619),IF(G1619&amp;""="1",N(K1619)*N1619,(N1619+N(O1619))*N(K1619)))</f>
        <v/>
      </c>
      <c r="T1619" s="10">
        <f>IF(Q1619="","",Q1619-S1619)</f>
        <v/>
      </c>
    </row>
    <row r="1620">
      <c r="A1620" s="7">
        <f>CONCATENATE(C1620,E1620,F1620,I1620)</f>
        <v/>
      </c>
      <c r="B1620" s="7">
        <f>CONCATENATE(C1620,E1620,I1620)</f>
        <v/>
      </c>
      <c r="C1620" s="8" t="n">
        <v>900004323</v>
      </c>
      <c r="D1620" s="7">
        <f>IFERROR(VLOOKUP(C1620,TRAOPE!$G:$H,2,0),"")</f>
        <v/>
      </c>
      <c r="E1620" s="8" t="inlineStr">
        <is>
          <t>D836</t>
        </is>
      </c>
      <c r="F1620" s="8" t="inlineStr">
        <is>
          <t>66853858</t>
        </is>
      </c>
      <c r="G1620" s="8">
        <f>IFERROR(VLOOKUP(A1620,Flete!$A:$E,5,0),"")</f>
        <v/>
      </c>
      <c r="H1620" s="7">
        <f>IFERROR(VLOOKUP(F1620,TRAOPE!$AA:$AB,2,0),"")</f>
        <v/>
      </c>
      <c r="I1620" s="7" t="n">
        <v>10000357</v>
      </c>
      <c r="J1620" s="7">
        <f>IFERROR(VLOOKUP(I1620,Materiales!$A:$H,8,0),"")</f>
        <v/>
      </c>
      <c r="K1620" s="9">
        <f>IFERROR(VLOOKUP(I1620,Materiales!$A:$G,7,0),"")</f>
        <v/>
      </c>
      <c r="L1620" s="8" t="inlineStr">
        <is>
          <t>20190426</t>
        </is>
      </c>
      <c r="M1620" s="8" t="inlineStr">
        <is>
          <t>20250127</t>
        </is>
      </c>
      <c r="N1620" s="10" t="n">
        <v>95.5</v>
      </c>
      <c r="O1620" s="10">
        <f>IFERROR(VLOOKUP(A1620,Flete!$A:$J,10,0),"")</f>
        <v/>
      </c>
      <c r="P1620" s="8" t="inlineStr">
        <is>
          <t>M3</t>
        </is>
      </c>
      <c r="Q1620" s="10">
        <f>IFERROR(IFERROR(VLOOKUP(A1620,TRAOPE!$A:$U,21,0),VLOOKUP(B1620,TRAOPE!$A:$U,21,0)),"")</f>
        <v/>
      </c>
      <c r="R1620" s="8">
        <f>IFERROR(IFERROR(VLOOKUP(A1620,TRAOPE!$A:$W,23,0),VLOOKUP(B1620,TRAOPE!$A:$W,23,0)),"")</f>
        <v/>
      </c>
      <c r="S1620" s="10">
        <f>IF(AND(P1620="TN",R1620="TN"),N1620+N(O1620),IF(G1620&amp;""="1",N(K1620)*N1620,(N1620+N(O1620))*N(K1620)))</f>
        <v/>
      </c>
      <c r="T1620" s="10">
        <f>IF(Q1620="","",Q1620-S1620)</f>
        <v/>
      </c>
    </row>
    <row r="1621">
      <c r="A1621" s="7">
        <f>CONCATENATE(C1621,E1621,F1621,I1621)</f>
        <v/>
      </c>
      <c r="B1621" s="7">
        <f>CONCATENATE(C1621,E1621,I1621)</f>
        <v/>
      </c>
      <c r="C1621" s="8" t="n">
        <v>900004323</v>
      </c>
      <c r="D1621" s="7">
        <f>IFERROR(VLOOKUP(C1621,TRAOPE!$G:$H,2,0),"")</f>
        <v/>
      </c>
      <c r="E1621" s="8" t="inlineStr">
        <is>
          <t>D836</t>
        </is>
      </c>
      <c r="F1621" s="8" t="inlineStr">
        <is>
          <t>66853858</t>
        </is>
      </c>
      <c r="G1621" s="8">
        <f>IFERROR(VLOOKUP(A1621,Flete!$A:$E,5,0),"")</f>
        <v/>
      </c>
      <c r="H1621" s="7">
        <f>IFERROR(VLOOKUP(F1621,TRAOPE!$AA:$AB,2,0),"")</f>
        <v/>
      </c>
      <c r="I1621" s="7" t="n">
        <v>10000627</v>
      </c>
      <c r="J1621" s="7">
        <f>IFERROR(VLOOKUP(I1621,Materiales!$A:$H,8,0),"")</f>
        <v/>
      </c>
      <c r="K1621" s="9">
        <f>IFERROR(VLOOKUP(I1621,Materiales!$A:$G,7,0),"")</f>
        <v/>
      </c>
      <c r="L1621" s="8" t="inlineStr">
        <is>
          <t>20190426</t>
        </is>
      </c>
      <c r="M1621" s="8" t="inlineStr">
        <is>
          <t>20250127</t>
        </is>
      </c>
      <c r="N1621" s="10" t="n">
        <v>84</v>
      </c>
      <c r="O1621" s="10">
        <f>IFERROR(VLOOKUP(A1621,Flete!$A:$J,10,0),"")</f>
        <v/>
      </c>
      <c r="P1621" s="8" t="inlineStr">
        <is>
          <t>M3</t>
        </is>
      </c>
      <c r="Q1621" s="10">
        <f>IFERROR(IFERROR(VLOOKUP(A1621,TRAOPE!$A:$U,21,0),VLOOKUP(B1621,TRAOPE!$A:$U,21,0)),"")</f>
        <v/>
      </c>
      <c r="R1621" s="8">
        <f>IFERROR(IFERROR(VLOOKUP(A1621,TRAOPE!$A:$W,23,0),VLOOKUP(B1621,TRAOPE!$A:$W,23,0)),"")</f>
        <v/>
      </c>
      <c r="S1621" s="10">
        <f>IF(AND(P1621="TN",R1621="TN"),N1621+N(O1621),IF(G1621&amp;""="1",N(K1621)*N1621,(N1621+N(O1621))*N(K1621)))</f>
        <v/>
      </c>
      <c r="T1621" s="10">
        <f>IF(Q1621="","",Q1621-S1621)</f>
        <v/>
      </c>
    </row>
    <row r="1622">
      <c r="A1622" s="7">
        <f>CONCATENATE(C1622,E1622,F1622,I1622)</f>
        <v/>
      </c>
      <c r="B1622" s="7">
        <f>CONCATENATE(C1622,E1622,I1622)</f>
        <v/>
      </c>
      <c r="C1622" s="8" t="n">
        <v>900004323</v>
      </c>
      <c r="D1622" s="7">
        <f>IFERROR(VLOOKUP(C1622,TRAOPE!$G:$H,2,0),"")</f>
        <v/>
      </c>
      <c r="E1622" s="8" t="inlineStr">
        <is>
          <t>D836</t>
        </is>
      </c>
      <c r="F1622" s="8" t="inlineStr">
        <is>
          <t>66908488</t>
        </is>
      </c>
      <c r="G1622" s="8">
        <f>IFERROR(VLOOKUP(A1622,Flete!$A:$E,5,0),"")</f>
        <v/>
      </c>
      <c r="H1622" s="7">
        <f>IFERROR(VLOOKUP(F1622,TRAOPE!$AA:$AB,2,0),"")</f>
        <v/>
      </c>
      <c r="I1622" s="7" t="n">
        <v>10003132</v>
      </c>
      <c r="J1622" s="7">
        <f>IFERROR(VLOOKUP(I1622,Materiales!$A:$H,8,0),"")</f>
        <v/>
      </c>
      <c r="K1622" s="9">
        <f>IFERROR(VLOOKUP(I1622,Materiales!$A:$G,7,0),"")</f>
        <v/>
      </c>
      <c r="L1622" s="8" t="inlineStr">
        <is>
          <t>20190426</t>
        </is>
      </c>
      <c r="M1622" s="8" t="inlineStr">
        <is>
          <t>20250127</t>
        </is>
      </c>
      <c r="N1622" s="10" t="n">
        <v>130</v>
      </c>
      <c r="O1622" s="10">
        <f>IFERROR(VLOOKUP(A1622,Flete!$A:$J,10,0),"")</f>
        <v/>
      </c>
      <c r="P1622" s="8" t="inlineStr">
        <is>
          <t>M3</t>
        </is>
      </c>
      <c r="Q1622" s="10">
        <f>IFERROR(IFERROR(VLOOKUP(A1622,TRAOPE!$A:$U,21,0),VLOOKUP(B1622,TRAOPE!$A:$U,21,0)),"")</f>
        <v/>
      </c>
      <c r="R1622" s="8">
        <f>IFERROR(IFERROR(VLOOKUP(A1622,TRAOPE!$A:$W,23,0),VLOOKUP(B1622,TRAOPE!$A:$W,23,0)),"")</f>
        <v/>
      </c>
      <c r="S1622" s="10">
        <f>IF(AND(P1622="TN",R1622="TN"),N1622+N(O1622),IF(G1622&amp;""="1",N(K1622)*N1622,(N1622+N(O1622))*N(K1622)))</f>
        <v/>
      </c>
      <c r="T1622" s="10">
        <f>IF(Q1622="","",Q1622-S1622)</f>
        <v/>
      </c>
    </row>
    <row r="1623">
      <c r="A1623" s="7">
        <f>CONCATENATE(C1623,E1623,F1623,I1623)</f>
        <v/>
      </c>
      <c r="B1623" s="7">
        <f>CONCATENATE(C1623,E1623,I1623)</f>
        <v/>
      </c>
      <c r="C1623" s="8" t="n">
        <v>900004323</v>
      </c>
      <c r="D1623" s="7">
        <f>IFERROR(VLOOKUP(C1623,TRAOPE!$G:$H,2,0),"")</f>
        <v/>
      </c>
      <c r="E1623" s="8" t="inlineStr">
        <is>
          <t>D836</t>
        </is>
      </c>
      <c r="F1623" s="8" t="inlineStr">
        <is>
          <t>66908488</t>
        </is>
      </c>
      <c r="G1623" s="8">
        <f>IFERROR(VLOOKUP(A1623,Flete!$A:$E,5,0),"")</f>
        <v/>
      </c>
      <c r="H1623" s="7">
        <f>IFERROR(VLOOKUP(F1623,TRAOPE!$AA:$AB,2,0),"")</f>
        <v/>
      </c>
      <c r="I1623" s="7" t="n">
        <v>10215930</v>
      </c>
      <c r="J1623" s="7">
        <f>IFERROR(VLOOKUP(I1623,Materiales!$A:$H,8,0),"")</f>
        <v/>
      </c>
      <c r="K1623" s="9">
        <f>IFERROR(VLOOKUP(I1623,Materiales!$A:$G,7,0),"")</f>
        <v/>
      </c>
      <c r="L1623" s="8" t="inlineStr">
        <is>
          <t>20190426</t>
        </is>
      </c>
      <c r="M1623" s="8" t="inlineStr">
        <is>
          <t>20250127</t>
        </is>
      </c>
      <c r="N1623" s="10" t="n">
        <v>130</v>
      </c>
      <c r="O1623" s="10">
        <f>IFERROR(VLOOKUP(A1623,Flete!$A:$J,10,0),"")</f>
        <v/>
      </c>
      <c r="P1623" s="8" t="inlineStr">
        <is>
          <t>M3</t>
        </is>
      </c>
      <c r="Q1623" s="10">
        <f>IFERROR(IFERROR(VLOOKUP(A1623,TRAOPE!$A:$U,21,0),VLOOKUP(B1623,TRAOPE!$A:$U,21,0)),"")</f>
        <v/>
      </c>
      <c r="R1623" s="8">
        <f>IFERROR(IFERROR(VLOOKUP(A1623,TRAOPE!$A:$W,23,0),VLOOKUP(B1623,TRAOPE!$A:$W,23,0)),"")</f>
        <v/>
      </c>
      <c r="S1623" s="10">
        <f>IF(AND(P1623="TN",R1623="TN"),N1623+N(O1623),IF(G1623&amp;""="1",N(K1623)*N1623,(N1623+N(O1623))*N(K1623)))</f>
        <v/>
      </c>
      <c r="T1623" s="10">
        <f>IF(Q1623="","",Q1623-S1623)</f>
        <v/>
      </c>
    </row>
    <row r="1624">
      <c r="A1624" s="7">
        <f>CONCATENATE(C1624,E1624,F1624,I1624)</f>
        <v/>
      </c>
      <c r="B1624" s="7">
        <f>CONCATENATE(C1624,E1624,I1624)</f>
        <v/>
      </c>
      <c r="C1624" s="8" t="n">
        <v>900004365</v>
      </c>
      <c r="D1624" s="7">
        <f>IFERROR(VLOOKUP(C1624,TRAOPE!$G:$H,2,0),"")</f>
        <v/>
      </c>
      <c r="E1624" s="8" t="inlineStr">
        <is>
          <t>D836</t>
        </is>
      </c>
      <c r="F1624" s="8" t="inlineStr">
        <is>
          <t>65061687</t>
        </is>
      </c>
      <c r="G1624" s="8">
        <f>IFERROR(VLOOKUP(A1624,Flete!$A:$E,5,0),"")</f>
        <v/>
      </c>
      <c r="H1624" s="7">
        <f>IFERROR(VLOOKUP(F1624,TRAOPE!$AA:$AB,2,0),"")</f>
        <v/>
      </c>
      <c r="I1624" s="7" t="n">
        <v>10000133</v>
      </c>
      <c r="J1624" s="7">
        <f>IFERROR(VLOOKUP(I1624,Materiales!$A:$H,8,0),"")</f>
        <v/>
      </c>
      <c r="K1624" s="9">
        <f>IFERROR(VLOOKUP(I1624,Materiales!$A:$G,7,0),"")</f>
        <v/>
      </c>
      <c r="L1624" s="8" t="inlineStr">
        <is>
          <t>20190426</t>
        </is>
      </c>
      <c r="M1624" s="8" t="inlineStr">
        <is>
          <t>20250127</t>
        </is>
      </c>
      <c r="N1624" s="10" t="n">
        <v>164</v>
      </c>
      <c r="O1624" s="10">
        <f>IFERROR(VLOOKUP(A1624,Flete!$A:$J,10,0),"")</f>
        <v/>
      </c>
      <c r="P1624" s="8" t="inlineStr">
        <is>
          <t>M3</t>
        </is>
      </c>
      <c r="Q1624" s="10">
        <f>IFERROR(IFERROR(VLOOKUP(A1624,TRAOPE!$A:$U,21,0),VLOOKUP(B1624,TRAOPE!$A:$U,21,0)),"")</f>
        <v/>
      </c>
      <c r="R1624" s="8">
        <f>IFERROR(IFERROR(VLOOKUP(A1624,TRAOPE!$A:$W,23,0),VLOOKUP(B1624,TRAOPE!$A:$W,23,0)),"")</f>
        <v/>
      </c>
      <c r="S1624" s="10">
        <f>IF(AND(P1624="TN",R1624="TN"),N1624+N(O1624),IF(G1624&amp;""="1",N(K1624)*N1624,(N1624+N(O1624))*N(K1624)))</f>
        <v/>
      </c>
      <c r="T1624" s="10">
        <f>IF(Q1624="","",Q1624-S1624)</f>
        <v/>
      </c>
    </row>
    <row r="1625">
      <c r="A1625" s="7">
        <f>CONCATENATE(C1625,E1625,F1625,I1625)</f>
        <v/>
      </c>
      <c r="B1625" s="7">
        <f>CONCATENATE(C1625,E1625,I1625)</f>
        <v/>
      </c>
      <c r="C1625" s="8" t="n">
        <v>900004365</v>
      </c>
      <c r="D1625" s="7">
        <f>IFERROR(VLOOKUP(C1625,TRAOPE!$G:$H,2,0),"")</f>
        <v/>
      </c>
      <c r="E1625" s="8" t="inlineStr">
        <is>
          <t>D836</t>
        </is>
      </c>
      <c r="F1625" s="8" t="inlineStr">
        <is>
          <t>65061687</t>
        </is>
      </c>
      <c r="G1625" s="8">
        <f>IFERROR(VLOOKUP(A1625,Flete!$A:$E,5,0),"")</f>
        <v/>
      </c>
      <c r="H1625" s="7">
        <f>IFERROR(VLOOKUP(F1625,TRAOPE!$AA:$AB,2,0),"")</f>
        <v/>
      </c>
      <c r="I1625" s="7" t="n">
        <v>10000623</v>
      </c>
      <c r="J1625" s="7">
        <f>IFERROR(VLOOKUP(I1625,Materiales!$A:$H,8,0),"")</f>
        <v/>
      </c>
      <c r="K1625" s="9">
        <f>IFERROR(VLOOKUP(I1625,Materiales!$A:$G,7,0),"")</f>
        <v/>
      </c>
      <c r="L1625" s="8" t="inlineStr">
        <is>
          <t>20190426</t>
        </is>
      </c>
      <c r="M1625" s="8" t="inlineStr">
        <is>
          <t>20250127</t>
        </is>
      </c>
      <c r="N1625" s="10" t="n">
        <v>178</v>
      </c>
      <c r="O1625" s="10">
        <f>IFERROR(VLOOKUP(A1625,Flete!$A:$J,10,0),"")</f>
        <v/>
      </c>
      <c r="P1625" s="8" t="inlineStr">
        <is>
          <t>M3</t>
        </is>
      </c>
      <c r="Q1625" s="10">
        <f>IFERROR(IFERROR(VLOOKUP(A1625,TRAOPE!$A:$U,21,0),VLOOKUP(B1625,TRAOPE!$A:$U,21,0)),"")</f>
        <v/>
      </c>
      <c r="R1625" s="8">
        <f>IFERROR(IFERROR(VLOOKUP(A1625,TRAOPE!$A:$W,23,0),VLOOKUP(B1625,TRAOPE!$A:$W,23,0)),"")</f>
        <v/>
      </c>
      <c r="S1625" s="10">
        <f>IF(AND(P1625="TN",R1625="TN"),N1625+N(O1625),IF(G1625&amp;""="1",N(K1625)*N1625,(N1625+N(O1625))*N(K1625)))</f>
        <v/>
      </c>
      <c r="T1625" s="10">
        <f>IF(Q1625="","",Q1625-S1625)</f>
        <v/>
      </c>
    </row>
    <row r="1626">
      <c r="A1626" s="7">
        <f>CONCATENATE(C1626,E1626,F1626,I1626)</f>
        <v/>
      </c>
      <c r="B1626" s="7">
        <f>CONCATENATE(C1626,E1626,I1626)</f>
        <v/>
      </c>
      <c r="C1626" s="8" t="n">
        <v>900004365</v>
      </c>
      <c r="D1626" s="7">
        <f>IFERROR(VLOOKUP(C1626,TRAOPE!$G:$H,2,0),"")</f>
        <v/>
      </c>
      <c r="E1626" s="8" t="inlineStr">
        <is>
          <t>D836</t>
        </is>
      </c>
      <c r="F1626" s="8" t="inlineStr">
        <is>
          <t>65061687</t>
        </is>
      </c>
      <c r="G1626" s="8">
        <f>IFERROR(VLOOKUP(A1626,Flete!$A:$E,5,0),"")</f>
        <v/>
      </c>
      <c r="H1626" s="7">
        <f>IFERROR(VLOOKUP(F1626,TRAOPE!$AA:$AB,2,0),"")</f>
        <v/>
      </c>
      <c r="I1626" s="7" t="n">
        <v>10000624</v>
      </c>
      <c r="J1626" s="7">
        <f>IFERROR(VLOOKUP(I1626,Materiales!$A:$H,8,0),"")</f>
        <v/>
      </c>
      <c r="K1626" s="9">
        <f>IFERROR(VLOOKUP(I1626,Materiales!$A:$G,7,0),"")</f>
        <v/>
      </c>
      <c r="L1626" s="8" t="inlineStr">
        <is>
          <t>20190426</t>
        </is>
      </c>
      <c r="M1626" s="8" t="inlineStr">
        <is>
          <t>20250127</t>
        </is>
      </c>
      <c r="N1626" s="10" t="n">
        <v>173</v>
      </c>
      <c r="O1626" s="10">
        <f>IFERROR(VLOOKUP(A1626,Flete!$A:$J,10,0),"")</f>
        <v/>
      </c>
      <c r="P1626" s="8" t="inlineStr">
        <is>
          <t>M3</t>
        </is>
      </c>
      <c r="Q1626" s="10">
        <f>IFERROR(IFERROR(VLOOKUP(A1626,TRAOPE!$A:$U,21,0),VLOOKUP(B1626,TRAOPE!$A:$U,21,0)),"")</f>
        <v/>
      </c>
      <c r="R1626" s="8">
        <f>IFERROR(IFERROR(VLOOKUP(A1626,TRAOPE!$A:$W,23,0),VLOOKUP(B1626,TRAOPE!$A:$W,23,0)),"")</f>
        <v/>
      </c>
      <c r="S1626" s="10">
        <f>IF(AND(P1626="TN",R1626="TN"),N1626+N(O1626),IF(G1626&amp;""="1",N(K1626)*N1626,(N1626+N(O1626))*N(K1626)))</f>
        <v/>
      </c>
      <c r="T1626" s="10">
        <f>IF(Q1626="","",Q1626-S1626)</f>
        <v/>
      </c>
    </row>
    <row r="1627">
      <c r="A1627" s="7">
        <f>CONCATENATE(C1627,E1627,F1627,I1627)</f>
        <v/>
      </c>
      <c r="B1627" s="7">
        <f>CONCATENATE(C1627,E1627,I1627)</f>
        <v/>
      </c>
      <c r="C1627" s="8" t="n">
        <v>900004365</v>
      </c>
      <c r="D1627" s="7">
        <f>IFERROR(VLOOKUP(C1627,TRAOPE!$G:$H,2,0),"")</f>
        <v/>
      </c>
      <c r="E1627" s="8" t="inlineStr">
        <is>
          <t>D836</t>
        </is>
      </c>
      <c r="F1627" s="8" t="inlineStr">
        <is>
          <t>66230098</t>
        </is>
      </c>
      <c r="G1627" s="8">
        <f>IFERROR(VLOOKUP(A1627,Flete!$A:$E,5,0),"")</f>
        <v/>
      </c>
      <c r="H1627" s="7">
        <f>IFERROR(VLOOKUP(F1627,TRAOPE!$AA:$AB,2,0),"")</f>
        <v/>
      </c>
      <c r="I1627" s="7" t="n">
        <v>10000623</v>
      </c>
      <c r="J1627" s="7">
        <f>IFERROR(VLOOKUP(I1627,Materiales!$A:$H,8,0),"")</f>
        <v/>
      </c>
      <c r="K1627" s="9">
        <f>IFERROR(VLOOKUP(I1627,Materiales!$A:$G,7,0),"")</f>
        <v/>
      </c>
      <c r="L1627" s="8" t="inlineStr">
        <is>
          <t>20190426</t>
        </is>
      </c>
      <c r="M1627" s="8" t="inlineStr">
        <is>
          <t>20250127</t>
        </is>
      </c>
      <c r="N1627" s="10" t="n">
        <v>210</v>
      </c>
      <c r="O1627" s="10">
        <f>IFERROR(VLOOKUP(A1627,Flete!$A:$J,10,0),"")</f>
        <v/>
      </c>
      <c r="P1627" s="8" t="inlineStr">
        <is>
          <t>M3</t>
        </is>
      </c>
      <c r="Q1627" s="10">
        <f>IFERROR(IFERROR(VLOOKUP(A1627,TRAOPE!$A:$U,21,0),VLOOKUP(B1627,TRAOPE!$A:$U,21,0)),"")</f>
        <v/>
      </c>
      <c r="R1627" s="8">
        <f>IFERROR(IFERROR(VLOOKUP(A1627,TRAOPE!$A:$W,23,0),VLOOKUP(B1627,TRAOPE!$A:$W,23,0)),"")</f>
        <v/>
      </c>
      <c r="S1627" s="10">
        <f>IF(AND(P1627="TN",R1627="TN"),N1627+N(O1627),IF(G1627&amp;""="1",N(K1627)*N1627,(N1627+N(O1627))*N(K1627)))</f>
        <v/>
      </c>
      <c r="T1627" s="10">
        <f>IF(Q1627="","",Q1627-S1627)</f>
        <v/>
      </c>
    </row>
    <row r="1628">
      <c r="A1628" s="7">
        <f>CONCATENATE(C1628,E1628,F1628,I1628)</f>
        <v/>
      </c>
      <c r="B1628" s="7">
        <f>CONCATENATE(C1628,E1628,I1628)</f>
        <v/>
      </c>
      <c r="C1628" s="8" t="n">
        <v>900004365</v>
      </c>
      <c r="D1628" s="7">
        <f>IFERROR(VLOOKUP(C1628,TRAOPE!$G:$H,2,0),"")</f>
        <v/>
      </c>
      <c r="E1628" s="8" t="inlineStr">
        <is>
          <t>D836</t>
        </is>
      </c>
      <c r="F1628" s="8" t="inlineStr">
        <is>
          <t>66230098</t>
        </is>
      </c>
      <c r="G1628" s="8">
        <f>IFERROR(VLOOKUP(A1628,Flete!$A:$E,5,0),"")</f>
        <v/>
      </c>
      <c r="H1628" s="7">
        <f>IFERROR(VLOOKUP(F1628,TRAOPE!$AA:$AB,2,0),"")</f>
        <v/>
      </c>
      <c r="I1628" s="7" t="n">
        <v>10000624</v>
      </c>
      <c r="J1628" s="7">
        <f>IFERROR(VLOOKUP(I1628,Materiales!$A:$H,8,0),"")</f>
        <v/>
      </c>
      <c r="K1628" s="9">
        <f>IFERROR(VLOOKUP(I1628,Materiales!$A:$G,7,0),"")</f>
        <v/>
      </c>
      <c r="L1628" s="8" t="inlineStr">
        <is>
          <t>20190426</t>
        </is>
      </c>
      <c r="M1628" s="8" t="inlineStr">
        <is>
          <t>20250127</t>
        </is>
      </c>
      <c r="N1628" s="10" t="n">
        <v>207</v>
      </c>
      <c r="O1628" s="10">
        <f>IFERROR(VLOOKUP(A1628,Flete!$A:$J,10,0),"")</f>
        <v/>
      </c>
      <c r="P1628" s="8" t="inlineStr">
        <is>
          <t>M3</t>
        </is>
      </c>
      <c r="Q1628" s="10">
        <f>IFERROR(IFERROR(VLOOKUP(A1628,TRAOPE!$A:$U,21,0),VLOOKUP(B1628,TRAOPE!$A:$U,21,0)),"")</f>
        <v/>
      </c>
      <c r="R1628" s="8">
        <f>IFERROR(IFERROR(VLOOKUP(A1628,TRAOPE!$A:$W,23,0),VLOOKUP(B1628,TRAOPE!$A:$W,23,0)),"")</f>
        <v/>
      </c>
      <c r="S1628" s="10">
        <f>IF(AND(P1628="TN",R1628="TN"),N1628+N(O1628),IF(G1628&amp;""="1",N(K1628)*N1628,(N1628+N(O1628))*N(K1628)))</f>
        <v/>
      </c>
      <c r="T1628" s="10">
        <f>IF(Q1628="","",Q1628-S1628)</f>
        <v/>
      </c>
    </row>
    <row r="1629">
      <c r="A1629" s="7">
        <f>CONCATENATE(C1629,E1629,F1629,I1629)</f>
        <v/>
      </c>
      <c r="B1629" s="7">
        <f>CONCATENATE(C1629,E1629,I1629)</f>
        <v/>
      </c>
      <c r="C1629" s="8" t="n">
        <v>900004365</v>
      </c>
      <c r="D1629" s="7">
        <f>IFERROR(VLOOKUP(C1629,TRAOPE!$G:$H,2,0),"")</f>
        <v/>
      </c>
      <c r="E1629" s="8" t="inlineStr">
        <is>
          <t>D836</t>
        </is>
      </c>
      <c r="F1629" s="8" t="inlineStr">
        <is>
          <t>66450072</t>
        </is>
      </c>
      <c r="G1629" s="8">
        <f>IFERROR(VLOOKUP(A1629,Flete!$A:$E,5,0),"")</f>
        <v/>
      </c>
      <c r="H1629" s="7">
        <f>IFERROR(VLOOKUP(F1629,TRAOPE!$AA:$AB,2,0),"")</f>
        <v/>
      </c>
      <c r="I1629" s="7" t="n">
        <v>10000133</v>
      </c>
      <c r="J1629" s="7">
        <f>IFERROR(VLOOKUP(I1629,Materiales!$A:$H,8,0),"")</f>
        <v/>
      </c>
      <c r="K1629" s="9">
        <f>IFERROR(VLOOKUP(I1629,Materiales!$A:$G,7,0),"")</f>
        <v/>
      </c>
      <c r="L1629" s="8" t="inlineStr">
        <is>
          <t>20190426</t>
        </is>
      </c>
      <c r="M1629" s="8" t="inlineStr">
        <is>
          <t>20250127</t>
        </is>
      </c>
      <c r="N1629" s="10" t="n">
        <v>202</v>
      </c>
      <c r="O1629" s="10">
        <f>IFERROR(VLOOKUP(A1629,Flete!$A:$J,10,0),"")</f>
        <v/>
      </c>
      <c r="P1629" s="8" t="inlineStr">
        <is>
          <t>M3</t>
        </is>
      </c>
      <c r="Q1629" s="10">
        <f>IFERROR(IFERROR(VLOOKUP(A1629,TRAOPE!$A:$U,21,0),VLOOKUP(B1629,TRAOPE!$A:$U,21,0)),"")</f>
        <v/>
      </c>
      <c r="R1629" s="8">
        <f>IFERROR(IFERROR(VLOOKUP(A1629,TRAOPE!$A:$W,23,0),VLOOKUP(B1629,TRAOPE!$A:$W,23,0)),"")</f>
        <v/>
      </c>
      <c r="S1629" s="10">
        <f>IF(AND(P1629="TN",R1629="TN"),N1629+N(O1629),IF(G1629&amp;""="1",N(K1629)*N1629,(N1629+N(O1629))*N(K1629)))</f>
        <v/>
      </c>
      <c r="T1629" s="10">
        <f>IF(Q1629="","",Q1629-S1629)</f>
        <v/>
      </c>
    </row>
    <row r="1630">
      <c r="A1630" s="7">
        <f>CONCATENATE(C1630,E1630,F1630,I1630)</f>
        <v/>
      </c>
      <c r="B1630" s="7">
        <f>CONCATENATE(C1630,E1630,I1630)</f>
        <v/>
      </c>
      <c r="C1630" s="8" t="n">
        <v>900004365</v>
      </c>
      <c r="D1630" s="7">
        <f>IFERROR(VLOOKUP(C1630,TRAOPE!$G:$H,2,0),"")</f>
        <v/>
      </c>
      <c r="E1630" s="8" t="inlineStr">
        <is>
          <t>D836</t>
        </is>
      </c>
      <c r="F1630" s="8" t="inlineStr">
        <is>
          <t>66450072</t>
        </is>
      </c>
      <c r="G1630" s="8">
        <f>IFERROR(VLOOKUP(A1630,Flete!$A:$E,5,0),"")</f>
        <v/>
      </c>
      <c r="H1630" s="7">
        <f>IFERROR(VLOOKUP(F1630,TRAOPE!$AA:$AB,2,0),"")</f>
        <v/>
      </c>
      <c r="I1630" s="7" t="n">
        <v>10000623</v>
      </c>
      <c r="J1630" s="7">
        <f>IFERROR(VLOOKUP(I1630,Materiales!$A:$H,8,0),"")</f>
        <v/>
      </c>
      <c r="K1630" s="9">
        <f>IFERROR(VLOOKUP(I1630,Materiales!$A:$G,7,0),"")</f>
        <v/>
      </c>
      <c r="L1630" s="8" t="inlineStr">
        <is>
          <t>20190426</t>
        </is>
      </c>
      <c r="M1630" s="8" t="inlineStr">
        <is>
          <t>20250127</t>
        </is>
      </c>
      <c r="N1630" s="10" t="n">
        <v>215</v>
      </c>
      <c r="O1630" s="10">
        <f>IFERROR(VLOOKUP(A1630,Flete!$A:$J,10,0),"")</f>
        <v/>
      </c>
      <c r="P1630" s="8" t="inlineStr">
        <is>
          <t>M3</t>
        </is>
      </c>
      <c r="Q1630" s="10">
        <f>IFERROR(IFERROR(VLOOKUP(A1630,TRAOPE!$A:$U,21,0),VLOOKUP(B1630,TRAOPE!$A:$U,21,0)),"")</f>
        <v/>
      </c>
      <c r="R1630" s="8">
        <f>IFERROR(IFERROR(VLOOKUP(A1630,TRAOPE!$A:$W,23,0),VLOOKUP(B1630,TRAOPE!$A:$W,23,0)),"")</f>
        <v/>
      </c>
      <c r="S1630" s="10">
        <f>IF(AND(P1630="TN",R1630="TN"),N1630+N(O1630),IF(G1630&amp;""="1",N(K1630)*N1630,(N1630+N(O1630))*N(K1630)))</f>
        <v/>
      </c>
      <c r="T1630" s="10">
        <f>IF(Q1630="","",Q1630-S1630)</f>
        <v/>
      </c>
    </row>
    <row r="1631">
      <c r="A1631" s="7">
        <f>CONCATENATE(C1631,E1631,F1631,I1631)</f>
        <v/>
      </c>
      <c r="B1631" s="7">
        <f>CONCATENATE(C1631,E1631,I1631)</f>
        <v/>
      </c>
      <c r="C1631" s="8" t="n">
        <v>900004365</v>
      </c>
      <c r="D1631" s="7">
        <f>IFERROR(VLOOKUP(C1631,TRAOPE!$G:$H,2,0),"")</f>
        <v/>
      </c>
      <c r="E1631" s="8" t="inlineStr">
        <is>
          <t>D836</t>
        </is>
      </c>
      <c r="F1631" s="8" t="inlineStr">
        <is>
          <t>66450072</t>
        </is>
      </c>
      <c r="G1631" s="8">
        <f>IFERROR(VLOOKUP(A1631,Flete!$A:$E,5,0),"")</f>
        <v/>
      </c>
      <c r="H1631" s="7">
        <f>IFERROR(VLOOKUP(F1631,TRAOPE!$AA:$AB,2,0),"")</f>
        <v/>
      </c>
      <c r="I1631" s="7" t="n">
        <v>10000624</v>
      </c>
      <c r="J1631" s="7">
        <f>IFERROR(VLOOKUP(I1631,Materiales!$A:$H,8,0),"")</f>
        <v/>
      </c>
      <c r="K1631" s="9">
        <f>IFERROR(VLOOKUP(I1631,Materiales!$A:$G,7,0),"")</f>
        <v/>
      </c>
      <c r="L1631" s="8" t="inlineStr">
        <is>
          <t>20190426</t>
        </is>
      </c>
      <c r="M1631" s="8" t="inlineStr">
        <is>
          <t>20250127</t>
        </is>
      </c>
      <c r="N1631" s="10" t="n">
        <v>212</v>
      </c>
      <c r="O1631" s="10">
        <f>IFERROR(VLOOKUP(A1631,Flete!$A:$J,10,0),"")</f>
        <v/>
      </c>
      <c r="P1631" s="8" t="inlineStr">
        <is>
          <t>M3</t>
        </is>
      </c>
      <c r="Q1631" s="10">
        <f>IFERROR(IFERROR(VLOOKUP(A1631,TRAOPE!$A:$U,21,0),VLOOKUP(B1631,TRAOPE!$A:$U,21,0)),"")</f>
        <v/>
      </c>
      <c r="R1631" s="8">
        <f>IFERROR(IFERROR(VLOOKUP(A1631,TRAOPE!$A:$W,23,0),VLOOKUP(B1631,TRAOPE!$A:$W,23,0)),"")</f>
        <v/>
      </c>
      <c r="S1631" s="10">
        <f>IF(AND(P1631="TN",R1631="TN"),N1631+N(O1631),IF(G1631&amp;""="1",N(K1631)*N1631,(N1631+N(O1631))*N(K1631)))</f>
        <v/>
      </c>
      <c r="T1631" s="10">
        <f>IF(Q1631="","",Q1631-S1631)</f>
        <v/>
      </c>
    </row>
    <row r="1632">
      <c r="A1632" s="7">
        <f>CONCATENATE(C1632,E1632,F1632,I1632)</f>
        <v/>
      </c>
      <c r="B1632" s="7">
        <f>CONCATENATE(C1632,E1632,I1632)</f>
        <v/>
      </c>
      <c r="C1632" s="8" t="n">
        <v>900004365</v>
      </c>
      <c r="D1632" s="7">
        <f>IFERROR(VLOOKUP(C1632,TRAOPE!$G:$H,2,0),"")</f>
        <v/>
      </c>
      <c r="E1632" s="8" t="inlineStr">
        <is>
          <t>D836</t>
        </is>
      </c>
      <c r="F1632" s="8" t="inlineStr">
        <is>
          <t>66526341</t>
        </is>
      </c>
      <c r="G1632" s="8">
        <f>IFERROR(VLOOKUP(A1632,Flete!$A:$E,5,0),"")</f>
        <v/>
      </c>
      <c r="H1632" s="7">
        <f>IFERROR(VLOOKUP(F1632,TRAOPE!$AA:$AB,2,0),"")</f>
        <v/>
      </c>
      <c r="I1632" s="7" t="n">
        <v>10154416</v>
      </c>
      <c r="J1632" s="7">
        <f>IFERROR(VLOOKUP(I1632,Materiales!$A:$H,8,0),"")</f>
        <v/>
      </c>
      <c r="K1632" s="9">
        <f>IFERROR(VLOOKUP(I1632,Materiales!$A:$G,7,0),"")</f>
        <v/>
      </c>
      <c r="L1632" s="8" t="inlineStr">
        <is>
          <t>20190426</t>
        </is>
      </c>
      <c r="M1632" s="8" t="inlineStr">
        <is>
          <t>20250127</t>
        </is>
      </c>
      <c r="N1632" s="10" t="n">
        <v>130</v>
      </c>
      <c r="O1632" s="10">
        <f>IFERROR(VLOOKUP(A1632,Flete!$A:$J,10,0),"")</f>
        <v/>
      </c>
      <c r="P1632" s="8" t="inlineStr">
        <is>
          <t>M3</t>
        </is>
      </c>
      <c r="Q1632" s="10">
        <f>IFERROR(IFERROR(VLOOKUP(A1632,TRAOPE!$A:$U,21,0),VLOOKUP(B1632,TRAOPE!$A:$U,21,0)),"")</f>
        <v/>
      </c>
      <c r="R1632" s="8">
        <f>IFERROR(IFERROR(VLOOKUP(A1632,TRAOPE!$A:$W,23,0),VLOOKUP(B1632,TRAOPE!$A:$W,23,0)),"")</f>
        <v/>
      </c>
      <c r="S1632" s="10">
        <f>IF(AND(P1632="TN",R1632="TN"),N1632+N(O1632),IF(G1632&amp;""="1",N(K1632)*N1632,(N1632+N(O1632))*N(K1632)))</f>
        <v/>
      </c>
      <c r="T1632" s="10">
        <f>IF(Q1632="","",Q1632-S1632)</f>
        <v/>
      </c>
    </row>
    <row r="1633">
      <c r="A1633" s="7">
        <f>CONCATENATE(C1633,E1633,F1633,I1633)</f>
        <v/>
      </c>
      <c r="B1633" s="7">
        <f>CONCATENATE(C1633,E1633,I1633)</f>
        <v/>
      </c>
      <c r="C1633" s="8" t="n">
        <v>900004365</v>
      </c>
      <c r="D1633" s="7">
        <f>IFERROR(VLOOKUP(C1633,TRAOPE!$G:$H,2,0),"")</f>
        <v/>
      </c>
      <c r="E1633" s="8" t="inlineStr">
        <is>
          <t>D836</t>
        </is>
      </c>
      <c r="F1633" s="8" t="inlineStr">
        <is>
          <t>66526343</t>
        </is>
      </c>
      <c r="G1633" s="8">
        <f>IFERROR(VLOOKUP(A1633,Flete!$A:$E,5,0),"")</f>
        <v/>
      </c>
      <c r="H1633" s="7">
        <f>IFERROR(VLOOKUP(F1633,TRAOPE!$AA:$AB,2,0),"")</f>
        <v/>
      </c>
      <c r="I1633" s="7" t="n">
        <v>10154416</v>
      </c>
      <c r="J1633" s="7">
        <f>IFERROR(VLOOKUP(I1633,Materiales!$A:$H,8,0),"")</f>
        <v/>
      </c>
      <c r="K1633" s="9">
        <f>IFERROR(VLOOKUP(I1633,Materiales!$A:$G,7,0),"")</f>
        <v/>
      </c>
      <c r="L1633" s="8" t="inlineStr">
        <is>
          <t>20190426</t>
        </is>
      </c>
      <c r="M1633" s="8" t="inlineStr">
        <is>
          <t>20250127</t>
        </is>
      </c>
      <c r="N1633" s="10" t="n">
        <v>130</v>
      </c>
      <c r="O1633" s="10">
        <f>IFERROR(VLOOKUP(A1633,Flete!$A:$J,10,0),"")</f>
        <v/>
      </c>
      <c r="P1633" s="8" t="inlineStr">
        <is>
          <t>M3</t>
        </is>
      </c>
      <c r="Q1633" s="10">
        <f>IFERROR(IFERROR(VLOOKUP(A1633,TRAOPE!$A:$U,21,0),VLOOKUP(B1633,TRAOPE!$A:$U,21,0)),"")</f>
        <v/>
      </c>
      <c r="R1633" s="8">
        <f>IFERROR(IFERROR(VLOOKUP(A1633,TRAOPE!$A:$W,23,0),VLOOKUP(B1633,TRAOPE!$A:$W,23,0)),"")</f>
        <v/>
      </c>
      <c r="S1633" s="10">
        <f>IF(AND(P1633="TN",R1633="TN"),N1633+N(O1633),IF(G1633&amp;""="1",N(K1633)*N1633,(N1633+N(O1633))*N(K1633)))</f>
        <v/>
      </c>
      <c r="T1633" s="10">
        <f>IF(Q1633="","",Q1633-S1633)</f>
        <v/>
      </c>
    </row>
    <row r="1634">
      <c r="A1634" s="7">
        <f>CONCATENATE(C1634,E1634,F1634,I1634)</f>
        <v/>
      </c>
      <c r="B1634" s="7">
        <f>CONCATENATE(C1634,E1634,I1634)</f>
        <v/>
      </c>
      <c r="C1634" s="8" t="n">
        <v>900004365</v>
      </c>
      <c r="D1634" s="7">
        <f>IFERROR(VLOOKUP(C1634,TRAOPE!$G:$H,2,0),"")</f>
        <v/>
      </c>
      <c r="E1634" s="8" t="inlineStr">
        <is>
          <t>D836</t>
        </is>
      </c>
      <c r="F1634" s="8" t="inlineStr">
        <is>
          <t>66538213</t>
        </is>
      </c>
      <c r="G1634" s="8">
        <f>IFERROR(VLOOKUP(A1634,Flete!$A:$E,5,0),"")</f>
        <v/>
      </c>
      <c r="H1634" s="7">
        <f>IFERROR(VLOOKUP(F1634,TRAOPE!$AA:$AB,2,0),"")</f>
        <v/>
      </c>
      <c r="I1634" s="7" t="n">
        <v>10154416</v>
      </c>
      <c r="J1634" s="7">
        <f>IFERROR(VLOOKUP(I1634,Materiales!$A:$H,8,0),"")</f>
        <v/>
      </c>
      <c r="K1634" s="9">
        <f>IFERROR(VLOOKUP(I1634,Materiales!$A:$G,7,0),"")</f>
        <v/>
      </c>
      <c r="L1634" s="8" t="inlineStr">
        <is>
          <t>20190426</t>
        </is>
      </c>
      <c r="M1634" s="8" t="inlineStr">
        <is>
          <t>20250127</t>
        </is>
      </c>
      <c r="N1634" s="10" t="n">
        <v>130</v>
      </c>
      <c r="O1634" s="10">
        <f>IFERROR(VLOOKUP(A1634,Flete!$A:$J,10,0),"")</f>
        <v/>
      </c>
      <c r="P1634" s="8" t="inlineStr">
        <is>
          <t>M3</t>
        </is>
      </c>
      <c r="Q1634" s="10">
        <f>IFERROR(IFERROR(VLOOKUP(A1634,TRAOPE!$A:$U,21,0),VLOOKUP(B1634,TRAOPE!$A:$U,21,0)),"")</f>
        <v/>
      </c>
      <c r="R1634" s="8">
        <f>IFERROR(IFERROR(VLOOKUP(A1634,TRAOPE!$A:$W,23,0),VLOOKUP(B1634,TRAOPE!$A:$W,23,0)),"")</f>
        <v/>
      </c>
      <c r="S1634" s="10">
        <f>IF(AND(P1634="TN",R1634="TN"),N1634+N(O1634),IF(G1634&amp;""="1",N(K1634)*N1634,(N1634+N(O1634))*N(K1634)))</f>
        <v/>
      </c>
      <c r="T1634" s="10">
        <f>IF(Q1634="","",Q1634-S1634)</f>
        <v/>
      </c>
    </row>
    <row r="1635">
      <c r="A1635" s="7">
        <f>CONCATENATE(C1635,E1635,F1635,I1635)</f>
        <v/>
      </c>
      <c r="B1635" s="7">
        <f>CONCATENATE(C1635,E1635,I1635)</f>
        <v/>
      </c>
      <c r="C1635" s="8" t="n">
        <v>900004365</v>
      </c>
      <c r="D1635" s="7">
        <f>IFERROR(VLOOKUP(C1635,TRAOPE!$G:$H,2,0),"")</f>
        <v/>
      </c>
      <c r="E1635" s="8" t="inlineStr">
        <is>
          <t>D836</t>
        </is>
      </c>
      <c r="F1635" s="8" t="inlineStr">
        <is>
          <t>66608012</t>
        </is>
      </c>
      <c r="G1635" s="8">
        <f>IFERROR(VLOOKUP(A1635,Flete!$A:$E,5,0),"")</f>
        <v/>
      </c>
      <c r="H1635" s="7">
        <f>IFERROR(VLOOKUP(F1635,TRAOPE!$AA:$AB,2,0),"")</f>
        <v/>
      </c>
      <c r="I1635" s="7" t="n">
        <v>10019515</v>
      </c>
      <c r="J1635" s="7">
        <f>IFERROR(VLOOKUP(I1635,Materiales!$A:$H,8,0),"")</f>
        <v/>
      </c>
      <c r="K1635" s="9">
        <f>IFERROR(VLOOKUP(I1635,Materiales!$A:$G,7,0),"")</f>
        <v/>
      </c>
      <c r="L1635" s="8" t="inlineStr">
        <is>
          <t>20190426</t>
        </is>
      </c>
      <c r="M1635" s="8" t="inlineStr">
        <is>
          <t>20250127</t>
        </is>
      </c>
      <c r="N1635" s="10" t="n">
        <v>148.5</v>
      </c>
      <c r="O1635" s="10">
        <f>IFERROR(VLOOKUP(A1635,Flete!$A:$J,10,0),"")</f>
        <v/>
      </c>
      <c r="P1635" s="8" t="inlineStr">
        <is>
          <t>M3</t>
        </is>
      </c>
      <c r="Q1635" s="10">
        <f>IFERROR(IFERROR(VLOOKUP(A1635,TRAOPE!$A:$U,21,0),VLOOKUP(B1635,TRAOPE!$A:$U,21,0)),"")</f>
        <v/>
      </c>
      <c r="R1635" s="8">
        <f>IFERROR(IFERROR(VLOOKUP(A1635,TRAOPE!$A:$W,23,0),VLOOKUP(B1635,TRAOPE!$A:$W,23,0)),"")</f>
        <v/>
      </c>
      <c r="S1635" s="10">
        <f>IF(AND(P1635="TN",R1635="TN"),N1635+N(O1635),IF(G1635&amp;""="1",N(K1635)*N1635,(N1635+N(O1635))*N(K1635)))</f>
        <v/>
      </c>
      <c r="T1635" s="10">
        <f>IF(Q1635="","",Q1635-S1635)</f>
        <v/>
      </c>
    </row>
    <row r="1636">
      <c r="A1636" s="7">
        <f>CONCATENATE(C1636,E1636,F1636,I1636)</f>
        <v/>
      </c>
      <c r="B1636" s="7">
        <f>CONCATENATE(C1636,E1636,I1636)</f>
        <v/>
      </c>
      <c r="C1636" s="8" t="n">
        <v>900004365</v>
      </c>
      <c r="D1636" s="7">
        <f>IFERROR(VLOOKUP(C1636,TRAOPE!$G:$H,2,0),"")</f>
        <v/>
      </c>
      <c r="E1636" s="8" t="inlineStr">
        <is>
          <t>D836</t>
        </is>
      </c>
      <c r="F1636" s="8" t="inlineStr">
        <is>
          <t>66636549</t>
        </is>
      </c>
      <c r="G1636" s="8">
        <f>IFERROR(VLOOKUP(A1636,Flete!$A:$E,5,0),"")</f>
        <v/>
      </c>
      <c r="H1636" s="7">
        <f>IFERROR(VLOOKUP(F1636,TRAOPE!$AA:$AB,2,0),"")</f>
        <v/>
      </c>
      <c r="I1636" s="7" t="n">
        <v>10019515</v>
      </c>
      <c r="J1636" s="7">
        <f>IFERROR(VLOOKUP(I1636,Materiales!$A:$H,8,0),"")</f>
        <v/>
      </c>
      <c r="K1636" s="9">
        <f>IFERROR(VLOOKUP(I1636,Materiales!$A:$G,7,0),"")</f>
        <v/>
      </c>
      <c r="L1636" s="8" t="inlineStr">
        <is>
          <t>20190426</t>
        </is>
      </c>
      <c r="M1636" s="8" t="inlineStr">
        <is>
          <t>20250127</t>
        </is>
      </c>
      <c r="N1636" s="10" t="n">
        <v>130</v>
      </c>
      <c r="O1636" s="10">
        <f>IFERROR(VLOOKUP(A1636,Flete!$A:$J,10,0),"")</f>
        <v/>
      </c>
      <c r="P1636" s="8" t="inlineStr">
        <is>
          <t>M3</t>
        </is>
      </c>
      <c r="Q1636" s="10">
        <f>IFERROR(IFERROR(VLOOKUP(A1636,TRAOPE!$A:$U,21,0),VLOOKUP(B1636,TRAOPE!$A:$U,21,0)),"")</f>
        <v/>
      </c>
      <c r="R1636" s="8">
        <f>IFERROR(IFERROR(VLOOKUP(A1636,TRAOPE!$A:$W,23,0),VLOOKUP(B1636,TRAOPE!$A:$W,23,0)),"")</f>
        <v/>
      </c>
      <c r="S1636" s="10">
        <f>IF(AND(P1636="TN",R1636="TN"),N1636+N(O1636),IF(G1636&amp;""="1",N(K1636)*N1636,(N1636+N(O1636))*N(K1636)))</f>
        <v/>
      </c>
      <c r="T1636" s="10">
        <f>IF(Q1636="","",Q1636-S1636)</f>
        <v/>
      </c>
    </row>
    <row r="1637">
      <c r="A1637" s="7">
        <f>CONCATENATE(C1637,E1637,F1637,I1637)</f>
        <v/>
      </c>
      <c r="B1637" s="7">
        <f>CONCATENATE(C1637,E1637,I1637)</f>
        <v/>
      </c>
      <c r="C1637" s="8" t="n">
        <v>900004365</v>
      </c>
      <c r="D1637" s="7">
        <f>IFERROR(VLOOKUP(C1637,TRAOPE!$G:$H,2,0),"")</f>
        <v/>
      </c>
      <c r="E1637" s="8" t="inlineStr">
        <is>
          <t>D836</t>
        </is>
      </c>
      <c r="F1637" s="8" t="inlineStr">
        <is>
          <t>66639726</t>
        </is>
      </c>
      <c r="G1637" s="8">
        <f>IFERROR(VLOOKUP(A1637,Flete!$A:$E,5,0),"")</f>
        <v/>
      </c>
      <c r="H1637" s="7">
        <f>IFERROR(VLOOKUP(F1637,TRAOPE!$AA:$AB,2,0),"")</f>
        <v/>
      </c>
      <c r="I1637" s="7" t="n">
        <v>10019515</v>
      </c>
      <c r="J1637" s="7">
        <f>IFERROR(VLOOKUP(I1637,Materiales!$A:$H,8,0),"")</f>
        <v/>
      </c>
      <c r="K1637" s="9">
        <f>IFERROR(VLOOKUP(I1637,Materiales!$A:$G,7,0),"")</f>
        <v/>
      </c>
      <c r="L1637" s="8" t="inlineStr">
        <is>
          <t>20190426</t>
        </is>
      </c>
      <c r="M1637" s="8" t="inlineStr">
        <is>
          <t>20250127</t>
        </is>
      </c>
      <c r="N1637" s="10" t="n">
        <v>150</v>
      </c>
      <c r="O1637" s="10">
        <f>IFERROR(VLOOKUP(A1637,Flete!$A:$J,10,0),"")</f>
        <v/>
      </c>
      <c r="P1637" s="8" t="inlineStr">
        <is>
          <t>M3</t>
        </is>
      </c>
      <c r="Q1637" s="10">
        <f>IFERROR(IFERROR(VLOOKUP(A1637,TRAOPE!$A:$U,21,0),VLOOKUP(B1637,TRAOPE!$A:$U,21,0)),"")</f>
        <v/>
      </c>
      <c r="R1637" s="8">
        <f>IFERROR(IFERROR(VLOOKUP(A1637,TRAOPE!$A:$W,23,0),VLOOKUP(B1637,TRAOPE!$A:$W,23,0)),"")</f>
        <v/>
      </c>
      <c r="S1637" s="10">
        <f>IF(AND(P1637="TN",R1637="TN"),N1637+N(O1637),IF(G1637&amp;""="1",N(K1637)*N1637,(N1637+N(O1637))*N(K1637)))</f>
        <v/>
      </c>
      <c r="T1637" s="10">
        <f>IF(Q1637="","",Q1637-S1637)</f>
        <v/>
      </c>
    </row>
    <row r="1638">
      <c r="A1638" s="7">
        <f>CONCATENATE(C1638,E1638,F1638,I1638)</f>
        <v/>
      </c>
      <c r="B1638" s="7">
        <f>CONCATENATE(C1638,E1638,I1638)</f>
        <v/>
      </c>
      <c r="C1638" s="8" t="n">
        <v>900004365</v>
      </c>
      <c r="D1638" s="7">
        <f>IFERROR(VLOOKUP(C1638,TRAOPE!$G:$H,2,0),"")</f>
        <v/>
      </c>
      <c r="E1638" s="8" t="inlineStr">
        <is>
          <t>D836</t>
        </is>
      </c>
      <c r="F1638" s="8" t="inlineStr">
        <is>
          <t>66701383</t>
        </is>
      </c>
      <c r="G1638" s="8">
        <f>IFERROR(VLOOKUP(A1638,Flete!$A:$E,5,0),"")</f>
        <v/>
      </c>
      <c r="H1638" s="7">
        <f>IFERROR(VLOOKUP(F1638,TRAOPE!$AA:$AB,2,0),"")</f>
        <v/>
      </c>
      <c r="I1638" s="7" t="n">
        <v>10019515</v>
      </c>
      <c r="J1638" s="7">
        <f>IFERROR(VLOOKUP(I1638,Materiales!$A:$H,8,0),"")</f>
        <v/>
      </c>
      <c r="K1638" s="9">
        <f>IFERROR(VLOOKUP(I1638,Materiales!$A:$G,7,0),"")</f>
        <v/>
      </c>
      <c r="L1638" s="8" t="inlineStr">
        <is>
          <t>20190426</t>
        </is>
      </c>
      <c r="M1638" s="8" t="inlineStr">
        <is>
          <t>20250127</t>
        </is>
      </c>
      <c r="N1638" s="10" t="n">
        <v>130</v>
      </c>
      <c r="O1638" s="10">
        <f>IFERROR(VLOOKUP(A1638,Flete!$A:$J,10,0),"")</f>
        <v/>
      </c>
      <c r="P1638" s="8" t="inlineStr">
        <is>
          <t>M3</t>
        </is>
      </c>
      <c r="Q1638" s="10">
        <f>IFERROR(IFERROR(VLOOKUP(A1638,TRAOPE!$A:$U,21,0),VLOOKUP(B1638,TRAOPE!$A:$U,21,0)),"")</f>
        <v/>
      </c>
      <c r="R1638" s="8">
        <f>IFERROR(IFERROR(VLOOKUP(A1638,TRAOPE!$A:$W,23,0),VLOOKUP(B1638,TRAOPE!$A:$W,23,0)),"")</f>
        <v/>
      </c>
      <c r="S1638" s="10">
        <f>IF(AND(P1638="TN",R1638="TN"),N1638+N(O1638),IF(G1638&amp;""="1",N(K1638)*N1638,(N1638+N(O1638))*N(K1638)))</f>
        <v/>
      </c>
      <c r="T1638" s="10">
        <f>IF(Q1638="","",Q1638-S1638)</f>
        <v/>
      </c>
    </row>
    <row r="1639">
      <c r="A1639" s="7">
        <f>CONCATENATE(C1639,E1639,F1639,I1639)</f>
        <v/>
      </c>
      <c r="B1639" s="7">
        <f>CONCATENATE(C1639,E1639,I1639)</f>
        <v/>
      </c>
      <c r="C1639" s="8" t="n">
        <v>900004365</v>
      </c>
      <c r="D1639" s="7">
        <f>IFERROR(VLOOKUP(C1639,TRAOPE!$G:$H,2,0),"")</f>
        <v/>
      </c>
      <c r="E1639" s="8" t="inlineStr">
        <is>
          <t>D836</t>
        </is>
      </c>
      <c r="F1639" s="8" t="inlineStr">
        <is>
          <t>66982658</t>
        </is>
      </c>
      <c r="G1639" s="8">
        <f>IFERROR(VLOOKUP(A1639,Flete!$A:$E,5,0),"")</f>
        <v/>
      </c>
      <c r="H1639" s="7">
        <f>IFERROR(VLOOKUP(F1639,TRAOPE!$AA:$AB,2,0),"")</f>
        <v/>
      </c>
      <c r="I1639" s="7" t="n">
        <v>10215930</v>
      </c>
      <c r="J1639" s="7">
        <f>IFERROR(VLOOKUP(I1639,Materiales!$A:$H,8,0),"")</f>
        <v/>
      </c>
      <c r="K1639" s="9">
        <f>IFERROR(VLOOKUP(I1639,Materiales!$A:$G,7,0),"")</f>
        <v/>
      </c>
      <c r="L1639" s="8" t="inlineStr">
        <is>
          <t>20190426</t>
        </is>
      </c>
      <c r="M1639" s="8" t="inlineStr">
        <is>
          <t>20250127</t>
        </is>
      </c>
      <c r="N1639" s="10" t="n">
        <v>50</v>
      </c>
      <c r="O1639" s="10">
        <f>IFERROR(VLOOKUP(A1639,Flete!$A:$J,10,0),"")</f>
        <v/>
      </c>
      <c r="P1639" s="8" t="inlineStr">
        <is>
          <t>M3</t>
        </is>
      </c>
      <c r="Q1639" s="10">
        <f>IFERROR(IFERROR(VLOOKUP(A1639,TRAOPE!$A:$U,21,0),VLOOKUP(B1639,TRAOPE!$A:$U,21,0)),"")</f>
        <v/>
      </c>
      <c r="R1639" s="8">
        <f>IFERROR(IFERROR(VLOOKUP(A1639,TRAOPE!$A:$W,23,0),VLOOKUP(B1639,TRAOPE!$A:$W,23,0)),"")</f>
        <v/>
      </c>
      <c r="S1639" s="10">
        <f>IF(AND(P1639="TN",R1639="TN"),N1639+N(O1639),IF(G1639&amp;""="1",N(K1639)*N1639,(N1639+N(O1639))*N(K1639)))</f>
        <v/>
      </c>
      <c r="T1639" s="10">
        <f>IF(Q1639="","",Q1639-S1639)</f>
        <v/>
      </c>
    </row>
    <row r="1640">
      <c r="A1640" s="7">
        <f>CONCATENATE(C1640,E1640,F1640,I1640)</f>
        <v/>
      </c>
      <c r="B1640" s="7">
        <f>CONCATENATE(C1640,E1640,I1640)</f>
        <v/>
      </c>
      <c r="C1640" s="8" t="n">
        <v>900004365</v>
      </c>
      <c r="D1640" s="7">
        <f>IFERROR(VLOOKUP(C1640,TRAOPE!$G:$H,2,0),"")</f>
        <v/>
      </c>
      <c r="E1640" s="8" t="inlineStr">
        <is>
          <t>D836</t>
        </is>
      </c>
      <c r="F1640" s="8" t="inlineStr">
        <is>
          <t>67019802</t>
        </is>
      </c>
      <c r="G1640" s="8">
        <f>IFERROR(VLOOKUP(A1640,Flete!$A:$E,5,0),"")</f>
        <v/>
      </c>
      <c r="H1640" s="7">
        <f>IFERROR(VLOOKUP(F1640,TRAOPE!$AA:$AB,2,0),"")</f>
        <v/>
      </c>
      <c r="I1640" s="7" t="n">
        <v>10000287</v>
      </c>
      <c r="J1640" s="7">
        <f>IFERROR(VLOOKUP(I1640,Materiales!$A:$H,8,0),"")</f>
        <v/>
      </c>
      <c r="K1640" s="9">
        <f>IFERROR(VLOOKUP(I1640,Materiales!$A:$G,7,0),"")</f>
        <v/>
      </c>
      <c r="L1640" s="8" t="inlineStr">
        <is>
          <t>20190426</t>
        </is>
      </c>
      <c r="M1640" s="8" t="inlineStr">
        <is>
          <t>20250127</t>
        </is>
      </c>
      <c r="N1640" s="10" t="n">
        <v>628.5700000000001</v>
      </c>
      <c r="O1640" s="10">
        <f>IFERROR(VLOOKUP(A1640,Flete!$A:$J,10,0),"")</f>
        <v/>
      </c>
      <c r="P1640" s="8" t="inlineStr">
        <is>
          <t>M3</t>
        </is>
      </c>
      <c r="Q1640" s="10">
        <f>IFERROR(IFERROR(VLOOKUP(A1640,TRAOPE!$A:$U,21,0),VLOOKUP(B1640,TRAOPE!$A:$U,21,0)),"")</f>
        <v/>
      </c>
      <c r="R1640" s="8">
        <f>IFERROR(IFERROR(VLOOKUP(A1640,TRAOPE!$A:$W,23,0),VLOOKUP(B1640,TRAOPE!$A:$W,23,0)),"")</f>
        <v/>
      </c>
      <c r="S1640" s="10">
        <f>IF(AND(P1640="TN",R1640="TN"),N1640+N(O1640),IF(G1640&amp;""="1",N(K1640)*N1640,(N1640+N(O1640))*N(K1640)))</f>
        <v/>
      </c>
      <c r="T1640" s="10">
        <f>IF(Q1640="","",Q1640-S1640)</f>
        <v/>
      </c>
    </row>
    <row r="1641">
      <c r="A1641" s="7">
        <f>CONCATENATE(C1641,E1641,F1641,I1641)</f>
        <v/>
      </c>
      <c r="B1641" s="7">
        <f>CONCATENATE(C1641,E1641,I1641)</f>
        <v/>
      </c>
      <c r="C1641" s="8" t="n">
        <v>900004365</v>
      </c>
      <c r="D1641" s="7">
        <f>IFERROR(VLOOKUP(C1641,TRAOPE!$G:$H,2,0),"")</f>
        <v/>
      </c>
      <c r="E1641" s="8" t="inlineStr">
        <is>
          <t>D836</t>
        </is>
      </c>
      <c r="F1641" s="8" t="inlineStr">
        <is>
          <t>67031816</t>
        </is>
      </c>
      <c r="G1641" s="8">
        <f>IFERROR(VLOOKUP(A1641,Flete!$A:$E,5,0),"")</f>
        <v/>
      </c>
      <c r="H1641" s="7">
        <f>IFERROR(VLOOKUP(F1641,TRAOPE!$AA:$AB,2,0),"")</f>
        <v/>
      </c>
      <c r="I1641" s="7" t="n">
        <v>10019515</v>
      </c>
      <c r="J1641" s="7">
        <f>IFERROR(VLOOKUP(I1641,Materiales!$A:$H,8,0),"")</f>
        <v/>
      </c>
      <c r="K1641" s="9">
        <f>IFERROR(VLOOKUP(I1641,Materiales!$A:$G,7,0),"")</f>
        <v/>
      </c>
      <c r="L1641" s="8" t="inlineStr">
        <is>
          <t>20190426</t>
        </is>
      </c>
      <c r="M1641" s="8" t="inlineStr">
        <is>
          <t>20250127</t>
        </is>
      </c>
      <c r="N1641" s="10" t="n">
        <v>155</v>
      </c>
      <c r="O1641" s="10">
        <f>IFERROR(VLOOKUP(A1641,Flete!$A:$J,10,0),"")</f>
        <v/>
      </c>
      <c r="P1641" s="8" t="inlineStr">
        <is>
          <t>M3</t>
        </is>
      </c>
      <c r="Q1641" s="10">
        <f>IFERROR(IFERROR(VLOOKUP(A1641,TRAOPE!$A:$U,21,0),VLOOKUP(B1641,TRAOPE!$A:$U,21,0)),"")</f>
        <v/>
      </c>
      <c r="R1641" s="8">
        <f>IFERROR(IFERROR(VLOOKUP(A1641,TRAOPE!$A:$W,23,0),VLOOKUP(B1641,TRAOPE!$A:$W,23,0)),"")</f>
        <v/>
      </c>
      <c r="S1641" s="10">
        <f>IF(AND(P1641="TN",R1641="TN"),N1641+N(O1641),IF(G1641&amp;""="1",N(K1641)*N1641,(N1641+N(O1641))*N(K1641)))</f>
        <v/>
      </c>
      <c r="T1641" s="10">
        <f>IF(Q1641="","",Q1641-S1641)</f>
        <v/>
      </c>
    </row>
    <row r="1642">
      <c r="A1642" s="7">
        <f>CONCATENATE(C1642,E1642,F1642,I1642)</f>
        <v/>
      </c>
      <c r="B1642" s="7">
        <f>CONCATENATE(C1642,E1642,I1642)</f>
        <v/>
      </c>
      <c r="C1642" s="8" t="n">
        <v>900004365</v>
      </c>
      <c r="D1642" s="7">
        <f>IFERROR(VLOOKUP(C1642,TRAOPE!$G:$H,2,0),"")</f>
        <v/>
      </c>
      <c r="E1642" s="8" t="inlineStr">
        <is>
          <t>D836</t>
        </is>
      </c>
      <c r="F1642" s="8" t="inlineStr">
        <is>
          <t>67031816</t>
        </is>
      </c>
      <c r="G1642" s="8">
        <f>IFERROR(VLOOKUP(A1642,Flete!$A:$E,5,0),"")</f>
        <v/>
      </c>
      <c r="H1642" s="7">
        <f>IFERROR(VLOOKUP(F1642,TRAOPE!$AA:$AB,2,0),"")</f>
        <v/>
      </c>
      <c r="I1642" s="7" t="n">
        <v>10215074</v>
      </c>
      <c r="J1642" s="7">
        <f>IFERROR(VLOOKUP(I1642,Materiales!$A:$H,8,0),"")</f>
        <v/>
      </c>
      <c r="K1642" s="9">
        <f>IFERROR(VLOOKUP(I1642,Materiales!$A:$G,7,0),"")</f>
        <v/>
      </c>
      <c r="L1642" s="8" t="inlineStr">
        <is>
          <t>20190426</t>
        </is>
      </c>
      <c r="M1642" s="8" t="inlineStr">
        <is>
          <t>20250127</t>
        </is>
      </c>
      <c r="N1642" s="10" t="n">
        <v>105</v>
      </c>
      <c r="O1642" s="10">
        <f>IFERROR(VLOOKUP(A1642,Flete!$A:$J,10,0),"")</f>
        <v/>
      </c>
      <c r="P1642" s="8" t="inlineStr">
        <is>
          <t>M3</t>
        </is>
      </c>
      <c r="Q1642" s="10">
        <f>IFERROR(IFERROR(VLOOKUP(A1642,TRAOPE!$A:$U,21,0),VLOOKUP(B1642,TRAOPE!$A:$U,21,0)),"")</f>
        <v/>
      </c>
      <c r="R1642" s="8">
        <f>IFERROR(IFERROR(VLOOKUP(A1642,TRAOPE!$A:$W,23,0),VLOOKUP(B1642,TRAOPE!$A:$W,23,0)),"")</f>
        <v/>
      </c>
      <c r="S1642" s="10">
        <f>IF(AND(P1642="TN",R1642="TN"),N1642+N(O1642),IF(G1642&amp;""="1",N(K1642)*N1642,(N1642+N(O1642))*N(K1642)))</f>
        <v/>
      </c>
      <c r="T1642" s="10">
        <f>IF(Q1642="","",Q1642-S1642)</f>
        <v/>
      </c>
    </row>
    <row r="1643">
      <c r="A1643" s="7">
        <f>CONCATENATE(C1643,E1643,F1643,I1643)</f>
        <v/>
      </c>
      <c r="B1643" s="7">
        <f>CONCATENATE(C1643,E1643,I1643)</f>
        <v/>
      </c>
      <c r="C1643" s="8" t="n">
        <v>900004447</v>
      </c>
      <c r="D1643" s="7">
        <f>IFERROR(VLOOKUP(C1643,TRAOPE!$G:$H,2,0),"")</f>
        <v/>
      </c>
      <c r="E1643" s="8" t="inlineStr">
        <is>
          <t>D836</t>
        </is>
      </c>
      <c r="F1643" s="8" t="inlineStr">
        <is>
          <t>65014664</t>
        </is>
      </c>
      <c r="G1643" s="8">
        <f>IFERROR(VLOOKUP(A1643,Flete!$A:$E,5,0),"")</f>
        <v/>
      </c>
      <c r="H1643" s="7">
        <f>IFERROR(VLOOKUP(F1643,TRAOPE!$AA:$AB,2,0),"")</f>
        <v/>
      </c>
      <c r="I1643" s="7" t="n">
        <v>10000160</v>
      </c>
      <c r="J1643" s="7">
        <f>IFERROR(VLOOKUP(I1643,Materiales!$A:$H,8,0),"")</f>
        <v/>
      </c>
      <c r="K1643" s="9">
        <f>IFERROR(VLOOKUP(I1643,Materiales!$A:$G,7,0),"")</f>
        <v/>
      </c>
      <c r="L1643" s="8" t="inlineStr">
        <is>
          <t>20190426</t>
        </is>
      </c>
      <c r="M1643" s="8" t="inlineStr">
        <is>
          <t>20250127</t>
        </is>
      </c>
      <c r="N1643" s="10" t="n">
        <v>55</v>
      </c>
      <c r="O1643" s="10">
        <f>IFERROR(VLOOKUP(A1643,Flete!$A:$J,10,0),"")</f>
        <v/>
      </c>
      <c r="P1643" s="8" t="inlineStr">
        <is>
          <t>M3</t>
        </is>
      </c>
      <c r="Q1643" s="10">
        <f>IFERROR(IFERROR(VLOOKUP(A1643,TRAOPE!$A:$U,21,0),VLOOKUP(B1643,TRAOPE!$A:$U,21,0)),"")</f>
        <v/>
      </c>
      <c r="R1643" s="8">
        <f>IFERROR(IFERROR(VLOOKUP(A1643,TRAOPE!$A:$W,23,0),VLOOKUP(B1643,TRAOPE!$A:$W,23,0)),"")</f>
        <v/>
      </c>
      <c r="S1643" s="10">
        <f>IF(AND(P1643="TN",R1643="TN"),N1643+N(O1643),IF(G1643&amp;""="1",N(K1643)*N1643,(N1643+N(O1643))*N(K1643)))</f>
        <v/>
      </c>
      <c r="T1643" s="10">
        <f>IF(Q1643="","",Q1643-S1643)</f>
        <v/>
      </c>
    </row>
    <row r="1644">
      <c r="A1644" s="7">
        <f>CONCATENATE(C1644,E1644,F1644,I1644)</f>
        <v/>
      </c>
      <c r="B1644" s="7">
        <f>CONCATENATE(C1644,E1644,I1644)</f>
        <v/>
      </c>
      <c r="C1644" s="8" t="n">
        <v>900004447</v>
      </c>
      <c r="D1644" s="7">
        <f>IFERROR(VLOOKUP(C1644,TRAOPE!$G:$H,2,0),"")</f>
        <v/>
      </c>
      <c r="E1644" s="8" t="inlineStr">
        <is>
          <t>D836</t>
        </is>
      </c>
      <c r="F1644" s="8" t="inlineStr">
        <is>
          <t>65014664</t>
        </is>
      </c>
      <c r="G1644" s="8">
        <f>IFERROR(VLOOKUP(A1644,Flete!$A:$E,5,0),"")</f>
        <v/>
      </c>
      <c r="H1644" s="7">
        <f>IFERROR(VLOOKUP(F1644,TRAOPE!$AA:$AB,2,0),"")</f>
        <v/>
      </c>
      <c r="I1644" s="7" t="n">
        <v>10000829</v>
      </c>
      <c r="J1644" s="7">
        <f>IFERROR(VLOOKUP(I1644,Materiales!$A:$H,8,0),"")</f>
        <v/>
      </c>
      <c r="K1644" s="9">
        <f>IFERROR(VLOOKUP(I1644,Materiales!$A:$G,7,0),"")</f>
        <v/>
      </c>
      <c r="L1644" s="8" t="inlineStr">
        <is>
          <t>20190426</t>
        </is>
      </c>
      <c r="M1644" s="8" t="inlineStr">
        <is>
          <t>20250127</t>
        </is>
      </c>
      <c r="N1644" s="10" t="n">
        <v>55</v>
      </c>
      <c r="O1644" s="10">
        <f>IFERROR(VLOOKUP(A1644,Flete!$A:$J,10,0),"")</f>
        <v/>
      </c>
      <c r="P1644" s="8" t="inlineStr">
        <is>
          <t>M3</t>
        </is>
      </c>
      <c r="Q1644" s="10">
        <f>IFERROR(IFERROR(VLOOKUP(A1644,TRAOPE!$A:$U,21,0),VLOOKUP(B1644,TRAOPE!$A:$U,21,0)),"")</f>
        <v/>
      </c>
      <c r="R1644" s="8">
        <f>IFERROR(IFERROR(VLOOKUP(A1644,TRAOPE!$A:$W,23,0),VLOOKUP(B1644,TRAOPE!$A:$W,23,0)),"")</f>
        <v/>
      </c>
      <c r="S1644" s="10">
        <f>IF(AND(P1644="TN",R1644="TN"),N1644+N(O1644),IF(G1644&amp;""="1",N(K1644)*N1644,(N1644+N(O1644))*N(K1644)))</f>
        <v/>
      </c>
      <c r="T1644" s="10">
        <f>IF(Q1644="","",Q1644-S1644)</f>
        <v/>
      </c>
    </row>
    <row r="1645">
      <c r="A1645" s="7">
        <f>CONCATENATE(C1645,E1645,F1645,I1645)</f>
        <v/>
      </c>
      <c r="B1645" s="7">
        <f>CONCATENATE(C1645,E1645,I1645)</f>
        <v/>
      </c>
      <c r="C1645" s="8" t="n">
        <v>900004447</v>
      </c>
      <c r="D1645" s="7">
        <f>IFERROR(VLOOKUP(C1645,TRAOPE!$G:$H,2,0),"")</f>
        <v/>
      </c>
      <c r="E1645" s="8" t="inlineStr">
        <is>
          <t>D836</t>
        </is>
      </c>
      <c r="F1645" s="8" t="inlineStr">
        <is>
          <t>65944468</t>
        </is>
      </c>
      <c r="G1645" s="8">
        <f>IFERROR(VLOOKUP(A1645,Flete!$A:$E,5,0),"")</f>
        <v/>
      </c>
      <c r="H1645" s="7">
        <f>IFERROR(VLOOKUP(F1645,TRAOPE!$AA:$AB,2,0),"")</f>
        <v/>
      </c>
      <c r="I1645" s="7" t="n">
        <v>10000829</v>
      </c>
      <c r="J1645" s="7">
        <f>IFERROR(VLOOKUP(I1645,Materiales!$A:$H,8,0),"")</f>
        <v/>
      </c>
      <c r="K1645" s="9">
        <f>IFERROR(VLOOKUP(I1645,Materiales!$A:$G,7,0),"")</f>
        <v/>
      </c>
      <c r="L1645" s="8" t="inlineStr">
        <is>
          <t>20190426</t>
        </is>
      </c>
      <c r="M1645" s="8" t="inlineStr">
        <is>
          <t>20250127</t>
        </is>
      </c>
      <c r="N1645" s="10" t="n">
        <v>55</v>
      </c>
      <c r="O1645" s="10">
        <f>IFERROR(VLOOKUP(A1645,Flete!$A:$J,10,0),"")</f>
        <v/>
      </c>
      <c r="P1645" s="8" t="inlineStr">
        <is>
          <t>M3</t>
        </is>
      </c>
      <c r="Q1645" s="10">
        <f>IFERROR(IFERROR(VLOOKUP(A1645,TRAOPE!$A:$U,21,0),VLOOKUP(B1645,TRAOPE!$A:$U,21,0)),"")</f>
        <v/>
      </c>
      <c r="R1645" s="8">
        <f>IFERROR(IFERROR(VLOOKUP(A1645,TRAOPE!$A:$W,23,0),VLOOKUP(B1645,TRAOPE!$A:$W,23,0)),"")</f>
        <v/>
      </c>
      <c r="S1645" s="10">
        <f>IF(AND(P1645="TN",R1645="TN"),N1645+N(O1645),IF(G1645&amp;""="1",N(K1645)*N1645,(N1645+N(O1645))*N(K1645)))</f>
        <v/>
      </c>
      <c r="T1645" s="10">
        <f>IF(Q1645="","",Q1645-S1645)</f>
        <v/>
      </c>
    </row>
    <row r="1646">
      <c r="A1646" s="7">
        <f>CONCATENATE(C1646,E1646,F1646,I1646)</f>
        <v/>
      </c>
      <c r="B1646" s="7">
        <f>CONCATENATE(C1646,E1646,I1646)</f>
        <v/>
      </c>
      <c r="C1646" s="8" t="n">
        <v>900004447</v>
      </c>
      <c r="D1646" s="7">
        <f>IFERROR(VLOOKUP(C1646,TRAOPE!$G:$H,2,0),"")</f>
        <v/>
      </c>
      <c r="E1646" s="8" t="inlineStr">
        <is>
          <t>D836</t>
        </is>
      </c>
      <c r="F1646" s="8" t="inlineStr">
        <is>
          <t>66189620</t>
        </is>
      </c>
      <c r="G1646" s="8">
        <f>IFERROR(VLOOKUP(A1646,Flete!$A:$E,5,0),"")</f>
        <v/>
      </c>
      <c r="H1646" s="7">
        <f>IFERROR(VLOOKUP(F1646,TRAOPE!$AA:$AB,2,0),"")</f>
        <v/>
      </c>
      <c r="I1646" s="7" t="n">
        <v>10000829</v>
      </c>
      <c r="J1646" s="7">
        <f>IFERROR(VLOOKUP(I1646,Materiales!$A:$H,8,0),"")</f>
        <v/>
      </c>
      <c r="K1646" s="9">
        <f>IFERROR(VLOOKUP(I1646,Materiales!$A:$G,7,0),"")</f>
        <v/>
      </c>
      <c r="L1646" s="8" t="inlineStr">
        <is>
          <t>20190426</t>
        </is>
      </c>
      <c r="M1646" s="8" t="inlineStr">
        <is>
          <t>20250127</t>
        </is>
      </c>
      <c r="N1646" s="10" t="n">
        <v>55</v>
      </c>
      <c r="O1646" s="10">
        <f>IFERROR(VLOOKUP(A1646,Flete!$A:$J,10,0),"")</f>
        <v/>
      </c>
      <c r="P1646" s="8" t="inlineStr">
        <is>
          <t>M3</t>
        </is>
      </c>
      <c r="Q1646" s="10">
        <f>IFERROR(IFERROR(VLOOKUP(A1646,TRAOPE!$A:$U,21,0),VLOOKUP(B1646,TRAOPE!$A:$U,21,0)),"")</f>
        <v/>
      </c>
      <c r="R1646" s="8">
        <f>IFERROR(IFERROR(VLOOKUP(A1646,TRAOPE!$A:$W,23,0),VLOOKUP(B1646,TRAOPE!$A:$W,23,0)),"")</f>
        <v/>
      </c>
      <c r="S1646" s="10">
        <f>IF(AND(P1646="TN",R1646="TN"),N1646+N(O1646),IF(G1646&amp;""="1",N(K1646)*N1646,(N1646+N(O1646))*N(K1646)))</f>
        <v/>
      </c>
      <c r="T1646" s="10">
        <f>IF(Q1646="","",Q1646-S1646)</f>
        <v/>
      </c>
    </row>
    <row r="1647">
      <c r="A1647" s="7">
        <f>CONCATENATE(C1647,E1647,F1647,I1647)</f>
        <v/>
      </c>
      <c r="B1647" s="7">
        <f>CONCATENATE(C1647,E1647,I1647)</f>
        <v/>
      </c>
      <c r="C1647" s="8" t="n">
        <v>900004447</v>
      </c>
      <c r="D1647" s="7">
        <f>IFERROR(VLOOKUP(C1647,TRAOPE!$G:$H,2,0),"")</f>
        <v/>
      </c>
      <c r="E1647" s="8" t="inlineStr">
        <is>
          <t>D836</t>
        </is>
      </c>
      <c r="F1647" s="8" t="inlineStr">
        <is>
          <t>66416982</t>
        </is>
      </c>
      <c r="G1647" s="8">
        <f>IFERROR(VLOOKUP(A1647,Flete!$A:$E,5,0),"")</f>
        <v/>
      </c>
      <c r="H1647" s="7">
        <f>IFERROR(VLOOKUP(F1647,TRAOPE!$AA:$AB,2,0),"")</f>
        <v/>
      </c>
      <c r="I1647" s="7" t="n">
        <v>10000829</v>
      </c>
      <c r="J1647" s="7">
        <f>IFERROR(VLOOKUP(I1647,Materiales!$A:$H,8,0),"")</f>
        <v/>
      </c>
      <c r="K1647" s="9">
        <f>IFERROR(VLOOKUP(I1647,Materiales!$A:$G,7,0),"")</f>
        <v/>
      </c>
      <c r="L1647" s="8" t="inlineStr">
        <is>
          <t>20190426</t>
        </is>
      </c>
      <c r="M1647" s="8" t="inlineStr">
        <is>
          <t>20250127</t>
        </is>
      </c>
      <c r="N1647" s="10" t="n">
        <v>54</v>
      </c>
      <c r="O1647" s="10">
        <f>IFERROR(VLOOKUP(A1647,Flete!$A:$J,10,0),"")</f>
        <v/>
      </c>
      <c r="P1647" s="8" t="inlineStr">
        <is>
          <t>M3</t>
        </is>
      </c>
      <c r="Q1647" s="10">
        <f>IFERROR(IFERROR(VLOOKUP(A1647,TRAOPE!$A:$U,21,0),VLOOKUP(B1647,TRAOPE!$A:$U,21,0)),"")</f>
        <v/>
      </c>
      <c r="R1647" s="8">
        <f>IFERROR(IFERROR(VLOOKUP(A1647,TRAOPE!$A:$W,23,0),VLOOKUP(B1647,TRAOPE!$A:$W,23,0)),"")</f>
        <v/>
      </c>
      <c r="S1647" s="10">
        <f>IF(AND(P1647="TN",R1647="TN"),N1647+N(O1647),IF(G1647&amp;""="1",N(K1647)*N1647,(N1647+N(O1647))*N(K1647)))</f>
        <v/>
      </c>
      <c r="T1647" s="10">
        <f>IF(Q1647="","",Q1647-S1647)</f>
        <v/>
      </c>
    </row>
    <row r="1648">
      <c r="A1648" s="7">
        <f>CONCATENATE(C1648,E1648,F1648,I1648)</f>
        <v/>
      </c>
      <c r="B1648" s="7">
        <f>CONCATENATE(C1648,E1648,I1648)</f>
        <v/>
      </c>
      <c r="C1648" s="8" t="n">
        <v>900004447</v>
      </c>
      <c r="D1648" s="7">
        <f>IFERROR(VLOOKUP(C1648,TRAOPE!$G:$H,2,0),"")</f>
        <v/>
      </c>
      <c r="E1648" s="8" t="inlineStr">
        <is>
          <t>D836</t>
        </is>
      </c>
      <c r="F1648" s="8" t="inlineStr">
        <is>
          <t>66529377</t>
        </is>
      </c>
      <c r="G1648" s="8">
        <f>IFERROR(VLOOKUP(A1648,Flete!$A:$E,5,0),"")</f>
        <v/>
      </c>
      <c r="H1648" s="7">
        <f>IFERROR(VLOOKUP(F1648,TRAOPE!$AA:$AB,2,0),"")</f>
        <v/>
      </c>
      <c r="I1648" s="7" t="n">
        <v>10000160</v>
      </c>
      <c r="J1648" s="7">
        <f>IFERROR(VLOOKUP(I1648,Materiales!$A:$H,8,0),"")</f>
        <v/>
      </c>
      <c r="K1648" s="9">
        <f>IFERROR(VLOOKUP(I1648,Materiales!$A:$G,7,0),"")</f>
        <v/>
      </c>
      <c r="L1648" s="8" t="inlineStr">
        <is>
          <t>20190426</t>
        </is>
      </c>
      <c r="M1648" s="8" t="inlineStr">
        <is>
          <t>20250127</t>
        </is>
      </c>
      <c r="N1648" s="10" t="n">
        <v>55</v>
      </c>
      <c r="O1648" s="10">
        <f>IFERROR(VLOOKUP(A1648,Flete!$A:$J,10,0),"")</f>
        <v/>
      </c>
      <c r="P1648" s="8" t="inlineStr">
        <is>
          <t>M3</t>
        </is>
      </c>
      <c r="Q1648" s="10">
        <f>IFERROR(IFERROR(VLOOKUP(A1648,TRAOPE!$A:$U,21,0),VLOOKUP(B1648,TRAOPE!$A:$U,21,0)),"")</f>
        <v/>
      </c>
      <c r="R1648" s="8">
        <f>IFERROR(IFERROR(VLOOKUP(A1648,TRAOPE!$A:$W,23,0),VLOOKUP(B1648,TRAOPE!$A:$W,23,0)),"")</f>
        <v/>
      </c>
      <c r="S1648" s="10">
        <f>IF(AND(P1648="TN",R1648="TN"),N1648+N(O1648),IF(G1648&amp;""="1",N(K1648)*N1648,(N1648+N(O1648))*N(K1648)))</f>
        <v/>
      </c>
      <c r="T1648" s="10">
        <f>IF(Q1648="","",Q1648-S1648)</f>
        <v/>
      </c>
    </row>
    <row r="1649">
      <c r="A1649" s="7">
        <f>CONCATENATE(C1649,E1649,F1649,I1649)</f>
        <v/>
      </c>
      <c r="B1649" s="7">
        <f>CONCATENATE(C1649,E1649,I1649)</f>
        <v/>
      </c>
      <c r="C1649" s="8" t="n">
        <v>900004465</v>
      </c>
      <c r="D1649" s="7">
        <f>IFERROR(VLOOKUP(C1649,TRAOPE!$G:$H,2,0),"")</f>
        <v/>
      </c>
      <c r="E1649" s="8" t="inlineStr">
        <is>
          <t>D836</t>
        </is>
      </c>
      <c r="F1649" s="8" t="inlineStr">
        <is>
          <t>67007608</t>
        </is>
      </c>
      <c r="G1649" s="8">
        <f>IFERROR(VLOOKUP(A1649,Flete!$A:$E,5,0),"")</f>
        <v/>
      </c>
      <c r="H1649" s="7">
        <f>IFERROR(VLOOKUP(F1649,TRAOPE!$AA:$AB,2,0),"")</f>
        <v/>
      </c>
      <c r="I1649" s="7" t="n">
        <v>10221265</v>
      </c>
      <c r="J1649" s="7">
        <f>IFERROR(VLOOKUP(I1649,Materiales!$A:$H,8,0),"")</f>
        <v/>
      </c>
      <c r="K1649" s="9">
        <f>IFERROR(VLOOKUP(I1649,Materiales!$A:$G,7,0),"")</f>
        <v/>
      </c>
      <c r="L1649" s="8" t="inlineStr">
        <is>
          <t>20190426</t>
        </is>
      </c>
      <c r="M1649" s="8" t="inlineStr">
        <is>
          <t>20250127</t>
        </is>
      </c>
      <c r="N1649" s="10" t="n">
        <v>55</v>
      </c>
      <c r="O1649" s="10">
        <f>IFERROR(VLOOKUP(A1649,Flete!$A:$J,10,0),"")</f>
        <v/>
      </c>
      <c r="P1649" s="8" t="inlineStr">
        <is>
          <t>M3</t>
        </is>
      </c>
      <c r="Q1649" s="10">
        <f>IFERROR(IFERROR(VLOOKUP(A1649,TRAOPE!$A:$U,21,0),VLOOKUP(B1649,TRAOPE!$A:$U,21,0)),"")</f>
        <v/>
      </c>
      <c r="R1649" s="8">
        <f>IFERROR(IFERROR(VLOOKUP(A1649,TRAOPE!$A:$W,23,0),VLOOKUP(B1649,TRAOPE!$A:$W,23,0)),"")</f>
        <v/>
      </c>
      <c r="S1649" s="10">
        <f>IF(AND(P1649="TN",R1649="TN"),N1649+N(O1649),IF(G1649&amp;""="1",N(K1649)*N1649,(N1649+N(O1649))*N(K1649)))</f>
        <v/>
      </c>
      <c r="T1649" s="10">
        <f>IF(Q1649="","",Q1649-S1649)</f>
        <v/>
      </c>
    </row>
    <row r="1650">
      <c r="A1650" s="7">
        <f>CONCATENATE(C1650,E1650,F1650,I1650)</f>
        <v/>
      </c>
      <c r="B1650" s="7">
        <f>CONCATENATE(C1650,E1650,I1650)</f>
        <v/>
      </c>
      <c r="C1650" s="8" t="n">
        <v>900004465</v>
      </c>
      <c r="D1650" s="7">
        <f>IFERROR(VLOOKUP(C1650,TRAOPE!$G:$H,2,0),"")</f>
        <v/>
      </c>
      <c r="E1650" s="8" t="inlineStr">
        <is>
          <t>D836</t>
        </is>
      </c>
      <c r="F1650" s="8" t="inlineStr">
        <is>
          <t>67007608</t>
        </is>
      </c>
      <c r="G1650" s="8">
        <f>IFERROR(VLOOKUP(A1650,Flete!$A:$E,5,0),"")</f>
        <v/>
      </c>
      <c r="H1650" s="7">
        <f>IFERROR(VLOOKUP(F1650,TRAOPE!$AA:$AB,2,0),"")</f>
        <v/>
      </c>
      <c r="I1650" s="7" t="n">
        <v>10221480</v>
      </c>
      <c r="J1650" s="7">
        <f>IFERROR(VLOOKUP(I1650,Materiales!$A:$H,8,0),"")</f>
        <v/>
      </c>
      <c r="K1650" s="9">
        <f>IFERROR(VLOOKUP(I1650,Materiales!$A:$G,7,0),"")</f>
        <v/>
      </c>
      <c r="L1650" s="8" t="inlineStr">
        <is>
          <t>20190426</t>
        </is>
      </c>
      <c r="M1650" s="8" t="inlineStr">
        <is>
          <t>20250127</t>
        </is>
      </c>
      <c r="N1650" s="10" t="n">
        <v>81</v>
      </c>
      <c r="O1650" s="10">
        <f>IFERROR(VLOOKUP(A1650,Flete!$A:$J,10,0),"")</f>
        <v/>
      </c>
      <c r="P1650" s="8" t="inlineStr">
        <is>
          <t>M3</t>
        </is>
      </c>
      <c r="Q1650" s="10">
        <f>IFERROR(IFERROR(VLOOKUP(A1650,TRAOPE!$A:$U,21,0),VLOOKUP(B1650,TRAOPE!$A:$U,21,0)),"")</f>
        <v/>
      </c>
      <c r="R1650" s="8">
        <f>IFERROR(IFERROR(VLOOKUP(A1650,TRAOPE!$A:$W,23,0),VLOOKUP(B1650,TRAOPE!$A:$W,23,0)),"")</f>
        <v/>
      </c>
      <c r="S1650" s="10">
        <f>IF(AND(P1650="TN",R1650="TN"),N1650+N(O1650),IF(G1650&amp;""="1",N(K1650)*N1650,(N1650+N(O1650))*N(K1650)))</f>
        <v/>
      </c>
      <c r="T1650" s="10">
        <f>IF(Q1650="","",Q1650-S1650)</f>
        <v/>
      </c>
    </row>
    <row r="1651">
      <c r="A1651" s="7">
        <f>CONCATENATE(C1651,E1651,F1651,I1651)</f>
        <v/>
      </c>
      <c r="B1651" s="7">
        <f>CONCATENATE(C1651,E1651,I1651)</f>
        <v/>
      </c>
      <c r="C1651" s="8" t="n">
        <v>900004465</v>
      </c>
      <c r="D1651" s="7">
        <f>IFERROR(VLOOKUP(C1651,TRAOPE!$G:$H,2,0),"")</f>
        <v/>
      </c>
      <c r="E1651" s="8" t="inlineStr">
        <is>
          <t>D836</t>
        </is>
      </c>
      <c r="F1651" s="8" t="inlineStr">
        <is>
          <t>67007608</t>
        </is>
      </c>
      <c r="G1651" s="8">
        <f>IFERROR(VLOOKUP(A1651,Flete!$A:$E,5,0),"")</f>
        <v/>
      </c>
      <c r="H1651" s="7">
        <f>IFERROR(VLOOKUP(F1651,TRAOPE!$AA:$AB,2,0),"")</f>
        <v/>
      </c>
      <c r="I1651" s="7" t="n">
        <v>10221481</v>
      </c>
      <c r="J1651" s="7">
        <f>IFERROR(VLOOKUP(I1651,Materiales!$A:$H,8,0),"")</f>
        <v/>
      </c>
      <c r="K1651" s="9">
        <f>IFERROR(VLOOKUP(I1651,Materiales!$A:$G,7,0),"")</f>
        <v/>
      </c>
      <c r="L1651" s="8" t="inlineStr">
        <is>
          <t>20190426</t>
        </is>
      </c>
      <c r="M1651" s="8" t="inlineStr">
        <is>
          <t>20250127</t>
        </is>
      </c>
      <c r="N1651" s="10" t="n">
        <v>75</v>
      </c>
      <c r="O1651" s="10">
        <f>IFERROR(VLOOKUP(A1651,Flete!$A:$J,10,0),"")</f>
        <v/>
      </c>
      <c r="P1651" s="8" t="inlineStr">
        <is>
          <t>M3</t>
        </is>
      </c>
      <c r="Q1651" s="10">
        <f>IFERROR(IFERROR(VLOOKUP(A1651,TRAOPE!$A:$U,21,0),VLOOKUP(B1651,TRAOPE!$A:$U,21,0)),"")</f>
        <v/>
      </c>
      <c r="R1651" s="8">
        <f>IFERROR(IFERROR(VLOOKUP(A1651,TRAOPE!$A:$W,23,0),VLOOKUP(B1651,TRAOPE!$A:$W,23,0)),"")</f>
        <v/>
      </c>
      <c r="S1651" s="10">
        <f>IF(AND(P1651="TN",R1651="TN"),N1651+N(O1651),IF(G1651&amp;""="1",N(K1651)*N1651,(N1651+N(O1651))*N(K1651)))</f>
        <v/>
      </c>
      <c r="T1651" s="10">
        <f>IF(Q1651="","",Q1651-S1651)</f>
        <v/>
      </c>
    </row>
    <row r="1652">
      <c r="A1652" s="7">
        <f>CONCATENATE(C1652,E1652,F1652,I1652)</f>
        <v/>
      </c>
      <c r="B1652" s="7">
        <f>CONCATENATE(C1652,E1652,I1652)</f>
        <v/>
      </c>
      <c r="C1652" s="8" t="n">
        <v>900004465</v>
      </c>
      <c r="D1652" s="7">
        <f>IFERROR(VLOOKUP(C1652,TRAOPE!$G:$H,2,0),"")</f>
        <v/>
      </c>
      <c r="E1652" s="8" t="inlineStr">
        <is>
          <t>D836</t>
        </is>
      </c>
      <c r="F1652" s="8" t="inlineStr">
        <is>
          <t>67036769</t>
        </is>
      </c>
      <c r="G1652" s="8">
        <f>IFERROR(VLOOKUP(A1652,Flete!$A:$E,5,0),"")</f>
        <v/>
      </c>
      <c r="H1652" s="7">
        <f>IFERROR(VLOOKUP(F1652,TRAOPE!$AA:$AB,2,0),"")</f>
        <v/>
      </c>
      <c r="I1652" s="7" t="n">
        <v>10221265</v>
      </c>
      <c r="J1652" s="7">
        <f>IFERROR(VLOOKUP(I1652,Materiales!$A:$H,8,0),"")</f>
        <v/>
      </c>
      <c r="K1652" s="9">
        <f>IFERROR(VLOOKUP(I1652,Materiales!$A:$G,7,0),"")</f>
        <v/>
      </c>
      <c r="L1652" s="8" t="inlineStr">
        <is>
          <t>20190426</t>
        </is>
      </c>
      <c r="M1652" s="8" t="inlineStr">
        <is>
          <t>20250127</t>
        </is>
      </c>
      <c r="N1652" s="10" t="n">
        <v>55</v>
      </c>
      <c r="O1652" s="10">
        <f>IFERROR(VLOOKUP(A1652,Flete!$A:$J,10,0),"")</f>
        <v/>
      </c>
      <c r="P1652" s="8" t="inlineStr">
        <is>
          <t>M3</t>
        </is>
      </c>
      <c r="Q1652" s="10">
        <f>IFERROR(IFERROR(VLOOKUP(A1652,TRAOPE!$A:$U,21,0),VLOOKUP(B1652,TRAOPE!$A:$U,21,0)),"")</f>
        <v/>
      </c>
      <c r="R1652" s="8">
        <f>IFERROR(IFERROR(VLOOKUP(A1652,TRAOPE!$A:$W,23,0),VLOOKUP(B1652,TRAOPE!$A:$W,23,0)),"")</f>
        <v/>
      </c>
      <c r="S1652" s="10">
        <f>IF(AND(P1652="TN",R1652="TN"),N1652+N(O1652),IF(G1652&amp;""="1",N(K1652)*N1652,(N1652+N(O1652))*N(K1652)))</f>
        <v/>
      </c>
      <c r="T1652" s="10">
        <f>IF(Q1652="","",Q1652-S1652)</f>
        <v/>
      </c>
    </row>
    <row r="1653">
      <c r="A1653" s="7">
        <f>CONCATENATE(C1653,E1653,F1653,I1653)</f>
        <v/>
      </c>
      <c r="B1653" s="7">
        <f>CONCATENATE(C1653,E1653,I1653)</f>
        <v/>
      </c>
      <c r="C1653" s="8" t="n">
        <v>900004465</v>
      </c>
      <c r="D1653" s="7">
        <f>IFERROR(VLOOKUP(C1653,TRAOPE!$G:$H,2,0),"")</f>
        <v/>
      </c>
      <c r="E1653" s="8" t="inlineStr">
        <is>
          <t>D836</t>
        </is>
      </c>
      <c r="F1653" s="8" t="inlineStr">
        <is>
          <t>67036769</t>
        </is>
      </c>
      <c r="G1653" s="8">
        <f>IFERROR(VLOOKUP(A1653,Flete!$A:$E,5,0),"")</f>
        <v/>
      </c>
      <c r="H1653" s="7">
        <f>IFERROR(VLOOKUP(F1653,TRAOPE!$AA:$AB,2,0),"")</f>
        <v/>
      </c>
      <c r="I1653" s="7" t="n">
        <v>10221480</v>
      </c>
      <c r="J1653" s="7">
        <f>IFERROR(VLOOKUP(I1653,Materiales!$A:$H,8,0),"")</f>
        <v/>
      </c>
      <c r="K1653" s="9">
        <f>IFERROR(VLOOKUP(I1653,Materiales!$A:$G,7,0),"")</f>
        <v/>
      </c>
      <c r="L1653" s="8" t="inlineStr">
        <is>
          <t>20190426</t>
        </is>
      </c>
      <c r="M1653" s="8" t="inlineStr">
        <is>
          <t>20250127</t>
        </is>
      </c>
      <c r="N1653" s="10" t="n">
        <v>81</v>
      </c>
      <c r="O1653" s="10">
        <f>IFERROR(VLOOKUP(A1653,Flete!$A:$J,10,0),"")</f>
        <v/>
      </c>
      <c r="P1653" s="8" t="inlineStr">
        <is>
          <t>M3</t>
        </is>
      </c>
      <c r="Q1653" s="10">
        <f>IFERROR(IFERROR(VLOOKUP(A1653,TRAOPE!$A:$U,21,0),VLOOKUP(B1653,TRAOPE!$A:$U,21,0)),"")</f>
        <v/>
      </c>
      <c r="R1653" s="8">
        <f>IFERROR(IFERROR(VLOOKUP(A1653,TRAOPE!$A:$W,23,0),VLOOKUP(B1653,TRAOPE!$A:$W,23,0)),"")</f>
        <v/>
      </c>
      <c r="S1653" s="10">
        <f>IF(AND(P1653="TN",R1653="TN"),N1653+N(O1653),IF(G1653&amp;""="1",N(K1653)*N1653,(N1653+N(O1653))*N(K1653)))</f>
        <v/>
      </c>
      <c r="T1653" s="10">
        <f>IF(Q1653="","",Q1653-S1653)</f>
        <v/>
      </c>
    </row>
    <row r="1654">
      <c r="A1654" s="7">
        <f>CONCATENATE(C1654,E1654,F1654,I1654)</f>
        <v/>
      </c>
      <c r="B1654" s="7">
        <f>CONCATENATE(C1654,E1654,I1654)</f>
        <v/>
      </c>
      <c r="C1654" s="8" t="n">
        <v>900004465</v>
      </c>
      <c r="D1654" s="7">
        <f>IFERROR(VLOOKUP(C1654,TRAOPE!$G:$H,2,0),"")</f>
        <v/>
      </c>
      <c r="E1654" s="8" t="inlineStr">
        <is>
          <t>D836</t>
        </is>
      </c>
      <c r="F1654" s="8" t="inlineStr">
        <is>
          <t>67036769</t>
        </is>
      </c>
      <c r="G1654" s="8">
        <f>IFERROR(VLOOKUP(A1654,Flete!$A:$E,5,0),"")</f>
        <v/>
      </c>
      <c r="H1654" s="7">
        <f>IFERROR(VLOOKUP(F1654,TRAOPE!$AA:$AB,2,0),"")</f>
        <v/>
      </c>
      <c r="I1654" s="7" t="n">
        <v>10221481</v>
      </c>
      <c r="J1654" s="7">
        <f>IFERROR(VLOOKUP(I1654,Materiales!$A:$H,8,0),"")</f>
        <v/>
      </c>
      <c r="K1654" s="9">
        <f>IFERROR(VLOOKUP(I1654,Materiales!$A:$G,7,0),"")</f>
        <v/>
      </c>
      <c r="L1654" s="8" t="inlineStr">
        <is>
          <t>20190426</t>
        </is>
      </c>
      <c r="M1654" s="8" t="inlineStr">
        <is>
          <t>20250127</t>
        </is>
      </c>
      <c r="N1654" s="10" t="n">
        <v>75</v>
      </c>
      <c r="O1654" s="10">
        <f>IFERROR(VLOOKUP(A1654,Flete!$A:$J,10,0),"")</f>
        <v/>
      </c>
      <c r="P1654" s="8" t="inlineStr">
        <is>
          <t>M3</t>
        </is>
      </c>
      <c r="Q1654" s="10">
        <f>IFERROR(IFERROR(VLOOKUP(A1654,TRAOPE!$A:$U,21,0),VLOOKUP(B1654,TRAOPE!$A:$U,21,0)),"")</f>
        <v/>
      </c>
      <c r="R1654" s="8">
        <f>IFERROR(IFERROR(VLOOKUP(A1654,TRAOPE!$A:$W,23,0),VLOOKUP(B1654,TRAOPE!$A:$W,23,0)),"")</f>
        <v/>
      </c>
      <c r="S1654" s="10">
        <f>IF(AND(P1654="TN",R1654="TN"),N1654+N(O1654),IF(G1654&amp;""="1",N(K1654)*N1654,(N1654+N(O1654))*N(K1654)))</f>
        <v/>
      </c>
      <c r="T1654" s="10">
        <f>IF(Q1654="","",Q1654-S1654)</f>
        <v/>
      </c>
    </row>
    <row r="1655">
      <c r="A1655" s="7">
        <f>CONCATENATE(C1655,E1655,F1655,I1655)</f>
        <v/>
      </c>
      <c r="B1655" s="7">
        <f>CONCATENATE(C1655,E1655,I1655)</f>
        <v/>
      </c>
      <c r="C1655" s="8" t="n">
        <v>900004542</v>
      </c>
      <c r="D1655" s="7">
        <f>IFERROR(VLOOKUP(C1655,TRAOPE!$G:$H,2,0),"")</f>
        <v/>
      </c>
      <c r="E1655" s="8" t="inlineStr">
        <is>
          <t>D836</t>
        </is>
      </c>
      <c r="F1655" s="8" t="inlineStr">
        <is>
          <t>65014664</t>
        </is>
      </c>
      <c r="G1655" s="8">
        <f>IFERROR(VLOOKUP(A1655,Flete!$A:$E,5,0),"")</f>
        <v/>
      </c>
      <c r="H1655" s="7">
        <f>IFERROR(VLOOKUP(F1655,TRAOPE!$AA:$AB,2,0),"")</f>
        <v/>
      </c>
      <c r="I1655" s="7" t="n">
        <v>10000829</v>
      </c>
      <c r="J1655" s="7">
        <f>IFERROR(VLOOKUP(I1655,Materiales!$A:$H,8,0),"")</f>
        <v/>
      </c>
      <c r="K1655" s="9">
        <f>IFERROR(VLOOKUP(I1655,Materiales!$A:$G,7,0),"")</f>
        <v/>
      </c>
      <c r="L1655" s="8" t="inlineStr">
        <is>
          <t>20190426</t>
        </is>
      </c>
      <c r="M1655" s="8" t="inlineStr">
        <is>
          <t>20250127</t>
        </is>
      </c>
      <c r="N1655" s="10" t="n">
        <v>53.13</v>
      </c>
      <c r="O1655" s="10">
        <f>IFERROR(VLOOKUP(A1655,Flete!$A:$J,10,0),"")</f>
        <v/>
      </c>
      <c r="P1655" s="8" t="inlineStr">
        <is>
          <t>M3</t>
        </is>
      </c>
      <c r="Q1655" s="10">
        <f>IFERROR(IFERROR(VLOOKUP(A1655,TRAOPE!$A:$U,21,0),VLOOKUP(B1655,TRAOPE!$A:$U,21,0)),"")</f>
        <v/>
      </c>
      <c r="R1655" s="8">
        <f>IFERROR(IFERROR(VLOOKUP(A1655,TRAOPE!$A:$W,23,0),VLOOKUP(B1655,TRAOPE!$A:$W,23,0)),"")</f>
        <v/>
      </c>
      <c r="S1655" s="10">
        <f>IF(AND(P1655="TN",R1655="TN"),N1655+N(O1655),IF(G1655&amp;""="1",N(K1655)*N1655,(N1655+N(O1655))*N(K1655)))</f>
        <v/>
      </c>
      <c r="T1655" s="10">
        <f>IF(Q1655="","",Q1655-S1655)</f>
        <v/>
      </c>
    </row>
    <row r="1656">
      <c r="A1656" s="7">
        <f>CONCATENATE(C1656,E1656,F1656,I1656)</f>
        <v/>
      </c>
      <c r="B1656" s="7">
        <f>CONCATENATE(C1656,E1656,I1656)</f>
        <v/>
      </c>
      <c r="C1656" s="8" t="n">
        <v>900004651</v>
      </c>
      <c r="D1656" s="7">
        <f>IFERROR(VLOOKUP(C1656,TRAOPE!$G:$H,2,0),"")</f>
        <v/>
      </c>
      <c r="E1656" s="8" t="inlineStr">
        <is>
          <t>D836</t>
        </is>
      </c>
      <c r="F1656" s="8" t="inlineStr">
        <is>
          <t>66414022</t>
        </is>
      </c>
      <c r="G1656" s="8">
        <f>IFERROR(VLOOKUP(A1656,Flete!$A:$E,5,0),"")</f>
        <v/>
      </c>
      <c r="H1656" s="7">
        <f>IFERROR(VLOOKUP(F1656,TRAOPE!$AA:$AB,2,0),"")</f>
        <v/>
      </c>
      <c r="I1656" s="7" t="n">
        <v>10000160</v>
      </c>
      <c r="J1656" s="7">
        <f>IFERROR(VLOOKUP(I1656,Materiales!$A:$H,8,0),"")</f>
        <v/>
      </c>
      <c r="K1656" s="9">
        <f>IFERROR(VLOOKUP(I1656,Materiales!$A:$G,7,0),"")</f>
        <v/>
      </c>
      <c r="L1656" s="8" t="inlineStr">
        <is>
          <t>20190426</t>
        </is>
      </c>
      <c r="M1656" s="8" t="inlineStr">
        <is>
          <t>20250127</t>
        </is>
      </c>
      <c r="N1656" s="10" t="n">
        <v>95</v>
      </c>
      <c r="O1656" s="10">
        <f>IFERROR(VLOOKUP(A1656,Flete!$A:$J,10,0),"")</f>
        <v/>
      </c>
      <c r="P1656" s="8" t="inlineStr">
        <is>
          <t>M3</t>
        </is>
      </c>
      <c r="Q1656" s="10">
        <f>IFERROR(IFERROR(VLOOKUP(A1656,TRAOPE!$A:$U,21,0),VLOOKUP(B1656,TRAOPE!$A:$U,21,0)),"")</f>
        <v/>
      </c>
      <c r="R1656" s="8">
        <f>IFERROR(IFERROR(VLOOKUP(A1656,TRAOPE!$A:$W,23,0),VLOOKUP(B1656,TRAOPE!$A:$W,23,0)),"")</f>
        <v/>
      </c>
      <c r="S1656" s="10">
        <f>IF(AND(P1656="TN",R1656="TN"),N1656+N(O1656),IF(G1656&amp;""="1",N(K1656)*N1656,(N1656+N(O1656))*N(K1656)))</f>
        <v/>
      </c>
      <c r="T1656" s="10">
        <f>IF(Q1656="","",Q1656-S1656)</f>
        <v/>
      </c>
    </row>
    <row r="1657">
      <c r="A1657" s="7">
        <f>CONCATENATE(C1657,E1657,F1657,I1657)</f>
        <v/>
      </c>
      <c r="B1657" s="7">
        <f>CONCATENATE(C1657,E1657,I1657)</f>
        <v/>
      </c>
      <c r="C1657" s="8" t="n">
        <v>900004651</v>
      </c>
      <c r="D1657" s="7">
        <f>IFERROR(VLOOKUP(C1657,TRAOPE!$G:$H,2,0),"")</f>
        <v/>
      </c>
      <c r="E1657" s="8" t="inlineStr">
        <is>
          <t>D836</t>
        </is>
      </c>
      <c r="F1657" s="8" t="inlineStr">
        <is>
          <t>66420108</t>
        </is>
      </c>
      <c r="G1657" s="8">
        <f>IFERROR(VLOOKUP(A1657,Flete!$A:$E,5,0),"")</f>
        <v/>
      </c>
      <c r="H1657" s="7">
        <f>IFERROR(VLOOKUP(F1657,TRAOPE!$AA:$AB,2,0),"")</f>
        <v/>
      </c>
      <c r="I1657" s="7" t="n">
        <v>10000160</v>
      </c>
      <c r="J1657" s="7">
        <f>IFERROR(VLOOKUP(I1657,Materiales!$A:$H,8,0),"")</f>
        <v/>
      </c>
      <c r="K1657" s="9">
        <f>IFERROR(VLOOKUP(I1657,Materiales!$A:$G,7,0),"")</f>
        <v/>
      </c>
      <c r="L1657" s="8" t="inlineStr">
        <is>
          <t>20190426</t>
        </is>
      </c>
      <c r="M1657" s="8" t="inlineStr">
        <is>
          <t>20250127</t>
        </is>
      </c>
      <c r="N1657" s="10" t="n">
        <v>95</v>
      </c>
      <c r="O1657" s="10">
        <f>IFERROR(VLOOKUP(A1657,Flete!$A:$J,10,0),"")</f>
        <v/>
      </c>
      <c r="P1657" s="8" t="inlineStr">
        <is>
          <t>M3</t>
        </is>
      </c>
      <c r="Q1657" s="10">
        <f>IFERROR(IFERROR(VLOOKUP(A1657,TRAOPE!$A:$U,21,0),VLOOKUP(B1657,TRAOPE!$A:$U,21,0)),"")</f>
        <v/>
      </c>
      <c r="R1657" s="8">
        <f>IFERROR(IFERROR(VLOOKUP(A1657,TRAOPE!$A:$W,23,0),VLOOKUP(B1657,TRAOPE!$A:$W,23,0)),"")</f>
        <v/>
      </c>
      <c r="S1657" s="10">
        <f>IF(AND(P1657="TN",R1657="TN"),N1657+N(O1657),IF(G1657&amp;""="1",N(K1657)*N1657,(N1657+N(O1657))*N(K1657)))</f>
        <v/>
      </c>
      <c r="T1657" s="10">
        <f>IF(Q1657="","",Q1657-S1657)</f>
        <v/>
      </c>
    </row>
    <row r="1658">
      <c r="A1658" s="7">
        <f>CONCATENATE(C1658,E1658,F1658,I1658)</f>
        <v/>
      </c>
      <c r="B1658" s="7">
        <f>CONCATENATE(C1658,E1658,I1658)</f>
        <v/>
      </c>
      <c r="C1658" s="8" t="n">
        <v>900005005</v>
      </c>
      <c r="D1658" s="7">
        <f>IFERROR(VLOOKUP(C1658,TRAOPE!$G:$H,2,0),"")</f>
        <v/>
      </c>
      <c r="E1658" s="8" t="inlineStr">
        <is>
          <t>D836</t>
        </is>
      </c>
      <c r="F1658" s="8" t="inlineStr">
        <is>
          <t>65300906</t>
        </is>
      </c>
      <c r="G1658" s="8">
        <f>IFERROR(VLOOKUP(A1658,Flete!$A:$E,5,0),"")</f>
        <v/>
      </c>
      <c r="H1658" s="7">
        <f>IFERROR(VLOOKUP(F1658,TRAOPE!$AA:$AB,2,0),"")</f>
        <v/>
      </c>
      <c r="I1658" s="7" t="n">
        <v>10000624</v>
      </c>
      <c r="J1658" s="7">
        <f>IFERROR(VLOOKUP(I1658,Materiales!$A:$H,8,0),"")</f>
        <v/>
      </c>
      <c r="K1658" s="9">
        <f>IFERROR(VLOOKUP(I1658,Materiales!$A:$G,7,0),"")</f>
        <v/>
      </c>
      <c r="L1658" s="8" t="inlineStr">
        <is>
          <t>20190426</t>
        </is>
      </c>
      <c r="M1658" s="8" t="inlineStr">
        <is>
          <t>20250127</t>
        </is>
      </c>
      <c r="N1658" s="10" t="n">
        <v>86.25</v>
      </c>
      <c r="O1658" s="10">
        <f>IFERROR(VLOOKUP(A1658,Flete!$A:$J,10,0),"")</f>
        <v/>
      </c>
      <c r="P1658" s="8" t="inlineStr">
        <is>
          <t>TN</t>
        </is>
      </c>
      <c r="Q1658" s="10">
        <f>IFERROR(IFERROR(VLOOKUP(A1658,TRAOPE!$A:$U,21,0),VLOOKUP(B1658,TRAOPE!$A:$U,21,0)),"")</f>
        <v/>
      </c>
      <c r="R1658" s="8">
        <f>IFERROR(IFERROR(VLOOKUP(A1658,TRAOPE!$A:$W,23,0),VLOOKUP(B1658,TRAOPE!$A:$W,23,0)),"")</f>
        <v/>
      </c>
      <c r="S1658" s="10">
        <f>IF(AND(P1658="TN",R1658="TN"),N1658+N(O1658),IF(G1658&amp;""="1",N(K1658)*N1658,(N1658+N(O1658))*N(K1658)))</f>
        <v/>
      </c>
      <c r="T1658" s="10">
        <f>IF(Q1658="","",Q1658-S1658)</f>
        <v/>
      </c>
    </row>
    <row r="1659">
      <c r="A1659" s="7">
        <f>CONCATENATE(C1659,E1659,F1659,I1659)</f>
        <v/>
      </c>
      <c r="B1659" s="7">
        <f>CONCATENATE(C1659,E1659,I1659)</f>
        <v/>
      </c>
      <c r="C1659" s="8" t="n">
        <v>900005005</v>
      </c>
      <c r="D1659" s="7">
        <f>IFERROR(VLOOKUP(C1659,TRAOPE!$G:$H,2,0),"")</f>
        <v/>
      </c>
      <c r="E1659" s="8" t="inlineStr">
        <is>
          <t>D836</t>
        </is>
      </c>
      <c r="F1659" s="8" t="inlineStr">
        <is>
          <t>65300906</t>
        </is>
      </c>
      <c r="G1659" s="8">
        <f>IFERROR(VLOOKUP(A1659,Flete!$A:$E,5,0),"")</f>
        <v/>
      </c>
      <c r="H1659" s="7">
        <f>IFERROR(VLOOKUP(F1659,TRAOPE!$AA:$AB,2,0),"")</f>
        <v/>
      </c>
      <c r="I1659" s="7" t="n">
        <v>10000722</v>
      </c>
      <c r="J1659" s="7">
        <f>IFERROR(VLOOKUP(I1659,Materiales!$A:$H,8,0),"")</f>
        <v/>
      </c>
      <c r="K1659" s="9">
        <f>IFERROR(VLOOKUP(I1659,Materiales!$A:$G,7,0),"")</f>
        <v/>
      </c>
      <c r="L1659" s="8" t="inlineStr">
        <is>
          <t>20190426</t>
        </is>
      </c>
      <c r="M1659" s="8" t="inlineStr">
        <is>
          <t>20250127</t>
        </is>
      </c>
      <c r="N1659" s="10" t="n">
        <v>86.25</v>
      </c>
      <c r="O1659" s="10">
        <f>IFERROR(VLOOKUP(A1659,Flete!$A:$J,10,0),"")</f>
        <v/>
      </c>
      <c r="P1659" s="8" t="inlineStr">
        <is>
          <t>TN</t>
        </is>
      </c>
      <c r="Q1659" s="10">
        <f>IFERROR(IFERROR(VLOOKUP(A1659,TRAOPE!$A:$U,21,0),VLOOKUP(B1659,TRAOPE!$A:$U,21,0)),"")</f>
        <v/>
      </c>
      <c r="R1659" s="8">
        <f>IFERROR(IFERROR(VLOOKUP(A1659,TRAOPE!$A:$W,23,0),VLOOKUP(B1659,TRAOPE!$A:$W,23,0)),"")</f>
        <v/>
      </c>
      <c r="S1659" s="10">
        <f>IF(AND(P1659="TN",R1659="TN"),N1659+N(O1659),IF(G1659&amp;""="1",N(K1659)*N1659,(N1659+N(O1659))*N(K1659)))</f>
        <v/>
      </c>
      <c r="T1659" s="10">
        <f>IF(Q1659="","",Q1659-S1659)</f>
        <v/>
      </c>
    </row>
    <row r="1660">
      <c r="A1660" s="7">
        <f>CONCATENATE(C1660,E1660,F1660,I1660)</f>
        <v/>
      </c>
      <c r="B1660" s="7">
        <f>CONCATENATE(C1660,E1660,I1660)</f>
        <v/>
      </c>
      <c r="C1660" s="8" t="n">
        <v>900005005</v>
      </c>
      <c r="D1660" s="7">
        <f>IFERROR(VLOOKUP(C1660,TRAOPE!$G:$H,2,0),"")</f>
        <v/>
      </c>
      <c r="E1660" s="8" t="inlineStr">
        <is>
          <t>D836</t>
        </is>
      </c>
      <c r="F1660" s="8" t="inlineStr">
        <is>
          <t>66313323</t>
        </is>
      </c>
      <c r="G1660" s="8">
        <f>IFERROR(VLOOKUP(A1660,Flete!$A:$E,5,0),"")</f>
        <v/>
      </c>
      <c r="H1660" s="7">
        <f>IFERROR(VLOOKUP(F1660,TRAOPE!$AA:$AB,2,0),"")</f>
        <v/>
      </c>
      <c r="I1660" s="7" t="n">
        <v>10000722</v>
      </c>
      <c r="J1660" s="7">
        <f>IFERROR(VLOOKUP(I1660,Materiales!$A:$H,8,0),"")</f>
        <v/>
      </c>
      <c r="K1660" s="9">
        <f>IFERROR(VLOOKUP(I1660,Materiales!$A:$G,7,0),"")</f>
        <v/>
      </c>
      <c r="L1660" s="8" t="inlineStr">
        <is>
          <t>20190426</t>
        </is>
      </c>
      <c r="M1660" s="8" t="inlineStr">
        <is>
          <t>20250127</t>
        </is>
      </c>
      <c r="N1660" s="10" t="n">
        <v>80</v>
      </c>
      <c r="O1660" s="10">
        <f>IFERROR(VLOOKUP(A1660,Flete!$A:$J,10,0),"")</f>
        <v/>
      </c>
      <c r="P1660" s="8" t="inlineStr">
        <is>
          <t>TN</t>
        </is>
      </c>
      <c r="Q1660" s="10">
        <f>IFERROR(IFERROR(VLOOKUP(A1660,TRAOPE!$A:$U,21,0),VLOOKUP(B1660,TRAOPE!$A:$U,21,0)),"")</f>
        <v/>
      </c>
      <c r="R1660" s="8">
        <f>IFERROR(IFERROR(VLOOKUP(A1660,TRAOPE!$A:$W,23,0),VLOOKUP(B1660,TRAOPE!$A:$W,23,0)),"")</f>
        <v/>
      </c>
      <c r="S1660" s="10">
        <f>IF(AND(P1660="TN",R1660="TN"),N1660+N(O1660),IF(G1660&amp;""="1",N(K1660)*N1660,(N1660+N(O1660))*N(K1660)))</f>
        <v/>
      </c>
      <c r="T1660" s="10">
        <f>IF(Q1660="","",Q1660-S1660)</f>
        <v/>
      </c>
    </row>
    <row r="1661">
      <c r="A1661" s="7">
        <f>CONCATENATE(C1661,E1661,F1661,I1661)</f>
        <v/>
      </c>
      <c r="B1661" s="7">
        <f>CONCATENATE(C1661,E1661,I1661)</f>
        <v/>
      </c>
      <c r="C1661" s="8" t="n">
        <v>900005005</v>
      </c>
      <c r="D1661" s="7">
        <f>IFERROR(VLOOKUP(C1661,TRAOPE!$G:$H,2,0),"")</f>
        <v/>
      </c>
      <c r="E1661" s="8" t="inlineStr">
        <is>
          <t>D836</t>
        </is>
      </c>
      <c r="F1661" s="8" t="inlineStr">
        <is>
          <t>66420831</t>
        </is>
      </c>
      <c r="G1661" s="8">
        <f>IFERROR(VLOOKUP(A1661,Flete!$A:$E,5,0),"")</f>
        <v/>
      </c>
      <c r="H1661" s="7">
        <f>IFERROR(VLOOKUP(F1661,TRAOPE!$AA:$AB,2,0),"")</f>
        <v/>
      </c>
      <c r="I1661" s="7" t="n">
        <v>10000722</v>
      </c>
      <c r="J1661" s="7">
        <f>IFERROR(VLOOKUP(I1661,Materiales!$A:$H,8,0),"")</f>
        <v/>
      </c>
      <c r="K1661" s="9">
        <f>IFERROR(VLOOKUP(I1661,Materiales!$A:$G,7,0),"")</f>
        <v/>
      </c>
      <c r="L1661" s="8" t="inlineStr">
        <is>
          <t>20190426</t>
        </is>
      </c>
      <c r="M1661" s="8" t="inlineStr">
        <is>
          <t>20250127</t>
        </is>
      </c>
      <c r="N1661" s="10" t="n">
        <v>80</v>
      </c>
      <c r="O1661" s="10">
        <f>IFERROR(VLOOKUP(A1661,Flete!$A:$J,10,0),"")</f>
        <v/>
      </c>
      <c r="P1661" s="8" t="inlineStr">
        <is>
          <t>TN</t>
        </is>
      </c>
      <c r="Q1661" s="10">
        <f>IFERROR(IFERROR(VLOOKUP(A1661,TRAOPE!$A:$U,21,0),VLOOKUP(B1661,TRAOPE!$A:$U,21,0)),"")</f>
        <v/>
      </c>
      <c r="R1661" s="8">
        <f>IFERROR(IFERROR(VLOOKUP(A1661,TRAOPE!$A:$W,23,0),VLOOKUP(B1661,TRAOPE!$A:$W,23,0)),"")</f>
        <v/>
      </c>
      <c r="S1661" s="10">
        <f>IF(AND(P1661="TN",R1661="TN"),N1661+N(O1661),IF(G1661&amp;""="1",N(K1661)*N1661,(N1661+N(O1661))*N(K1661)))</f>
        <v/>
      </c>
      <c r="T1661" s="10">
        <f>IF(Q1661="","",Q1661-S1661)</f>
        <v/>
      </c>
    </row>
    <row r="1662">
      <c r="A1662" s="7">
        <f>CONCATENATE(C1662,E1662,F1662,I1662)</f>
        <v/>
      </c>
      <c r="B1662" s="7">
        <f>CONCATENATE(C1662,E1662,I1662)</f>
        <v/>
      </c>
      <c r="C1662" s="8" t="n">
        <v>900005007</v>
      </c>
      <c r="D1662" s="7">
        <f>IFERROR(VLOOKUP(C1662,TRAOPE!$G:$H,2,0),"")</f>
        <v/>
      </c>
      <c r="E1662" s="8" t="inlineStr">
        <is>
          <t>D836</t>
        </is>
      </c>
      <c r="F1662" s="8" t="inlineStr">
        <is>
          <t>65251399</t>
        </is>
      </c>
      <c r="G1662" s="8">
        <f>IFERROR(VLOOKUP(A1662,Flete!$A:$E,5,0),"")</f>
        <v/>
      </c>
      <c r="H1662" s="7">
        <f>IFERROR(VLOOKUP(F1662,TRAOPE!$AA:$AB,2,0),"")</f>
        <v/>
      </c>
      <c r="I1662" s="7" t="n">
        <v>10029712</v>
      </c>
      <c r="J1662" s="7">
        <f>IFERROR(VLOOKUP(I1662,Materiales!$A:$H,8,0),"")</f>
        <v/>
      </c>
      <c r="K1662" s="9">
        <f>IFERROR(VLOOKUP(I1662,Materiales!$A:$G,7,0),"")</f>
        <v/>
      </c>
      <c r="L1662" s="8" t="inlineStr">
        <is>
          <t>20190426</t>
        </is>
      </c>
      <c r="M1662" s="8" t="inlineStr">
        <is>
          <t>20250127</t>
        </is>
      </c>
      <c r="N1662" s="10" t="n">
        <v>145</v>
      </c>
      <c r="O1662" s="10">
        <f>IFERROR(VLOOKUP(A1662,Flete!$A:$J,10,0),"")</f>
        <v/>
      </c>
      <c r="P1662" s="8" t="inlineStr">
        <is>
          <t>M3</t>
        </is>
      </c>
      <c r="Q1662" s="10">
        <f>IFERROR(IFERROR(VLOOKUP(A1662,TRAOPE!$A:$U,21,0),VLOOKUP(B1662,TRAOPE!$A:$U,21,0)),"")</f>
        <v/>
      </c>
      <c r="R1662" s="8">
        <f>IFERROR(IFERROR(VLOOKUP(A1662,TRAOPE!$A:$W,23,0),VLOOKUP(B1662,TRAOPE!$A:$W,23,0)),"")</f>
        <v/>
      </c>
      <c r="S1662" s="10">
        <f>IF(AND(P1662="TN",R1662="TN"),N1662+N(O1662),IF(G1662&amp;""="1",N(K1662)*N1662,(N1662+N(O1662))*N(K1662)))</f>
        <v/>
      </c>
      <c r="T1662" s="10">
        <f>IF(Q1662="","",Q1662-S1662)</f>
        <v/>
      </c>
    </row>
    <row r="1663">
      <c r="A1663" s="7">
        <f>CONCATENATE(C1663,E1663,F1663,I1663)</f>
        <v/>
      </c>
      <c r="B1663" s="7">
        <f>CONCATENATE(C1663,E1663,I1663)</f>
        <v/>
      </c>
      <c r="C1663" s="8" t="n">
        <v>900005060</v>
      </c>
      <c r="D1663" s="7">
        <f>IFERROR(VLOOKUP(C1663,TRAOPE!$G:$H,2,0),"")</f>
        <v/>
      </c>
      <c r="E1663" s="8" t="inlineStr">
        <is>
          <t>D836</t>
        </is>
      </c>
      <c r="F1663" s="8" t="inlineStr">
        <is>
          <t>65909241</t>
        </is>
      </c>
      <c r="G1663" s="8">
        <f>IFERROR(VLOOKUP(A1663,Flete!$A:$E,5,0),"")</f>
        <v/>
      </c>
      <c r="H1663" s="7">
        <f>IFERROR(VLOOKUP(F1663,TRAOPE!$AA:$AB,2,0),"")</f>
        <v/>
      </c>
      <c r="I1663" s="7" t="n">
        <v>10139280</v>
      </c>
      <c r="J1663" s="7">
        <f>IFERROR(VLOOKUP(I1663,Materiales!$A:$H,8,0),"")</f>
        <v/>
      </c>
      <c r="K1663" s="9">
        <f>IFERROR(VLOOKUP(I1663,Materiales!$A:$G,7,0),"")</f>
        <v/>
      </c>
      <c r="L1663" s="8" t="inlineStr">
        <is>
          <t>20190426</t>
        </is>
      </c>
      <c r="M1663" s="8" t="inlineStr">
        <is>
          <t>20250127</t>
        </is>
      </c>
      <c r="N1663" s="10" t="n">
        <v>35.5</v>
      </c>
      <c r="O1663" s="10">
        <f>IFERROR(VLOOKUP(A1663,Flete!$A:$J,10,0),"")</f>
        <v/>
      </c>
      <c r="P1663" s="8" t="inlineStr">
        <is>
          <t>M3</t>
        </is>
      </c>
      <c r="Q1663" s="10">
        <f>IFERROR(IFERROR(VLOOKUP(A1663,TRAOPE!$A:$U,21,0),VLOOKUP(B1663,TRAOPE!$A:$U,21,0)),"")</f>
        <v/>
      </c>
      <c r="R1663" s="8">
        <f>IFERROR(IFERROR(VLOOKUP(A1663,TRAOPE!$A:$W,23,0),VLOOKUP(B1663,TRAOPE!$A:$W,23,0)),"")</f>
        <v/>
      </c>
      <c r="S1663" s="10">
        <f>IF(AND(P1663="TN",R1663="TN"),N1663+N(O1663),IF(G1663&amp;""="1",N(K1663)*N1663,(N1663+N(O1663))*N(K1663)))</f>
        <v/>
      </c>
      <c r="T1663" s="10">
        <f>IF(Q1663="","",Q1663-S1663)</f>
        <v/>
      </c>
    </row>
    <row r="1664">
      <c r="A1664" s="7">
        <f>CONCATENATE(C1664,E1664,F1664,I1664)</f>
        <v/>
      </c>
      <c r="B1664" s="7">
        <f>CONCATENATE(C1664,E1664,I1664)</f>
        <v/>
      </c>
      <c r="C1664" s="8" t="n">
        <v>900005060</v>
      </c>
      <c r="D1664" s="7">
        <f>IFERROR(VLOOKUP(C1664,TRAOPE!$G:$H,2,0),"")</f>
        <v/>
      </c>
      <c r="E1664" s="8" t="inlineStr">
        <is>
          <t>D836</t>
        </is>
      </c>
      <c r="F1664" s="8" t="inlineStr">
        <is>
          <t>65909241</t>
        </is>
      </c>
      <c r="G1664" s="8">
        <f>IFERROR(VLOOKUP(A1664,Flete!$A:$E,5,0),"")</f>
        <v/>
      </c>
      <c r="H1664" s="7">
        <f>IFERROR(VLOOKUP(F1664,TRAOPE!$AA:$AB,2,0),"")</f>
        <v/>
      </c>
      <c r="I1664" s="7" t="n">
        <v>10139735</v>
      </c>
      <c r="J1664" s="7">
        <f>IFERROR(VLOOKUP(I1664,Materiales!$A:$H,8,0),"")</f>
        <v/>
      </c>
      <c r="K1664" s="9">
        <f>IFERROR(VLOOKUP(I1664,Materiales!$A:$G,7,0),"")</f>
        <v/>
      </c>
      <c r="L1664" s="8" t="inlineStr">
        <is>
          <t>20190426</t>
        </is>
      </c>
      <c r="M1664" s="8" t="inlineStr">
        <is>
          <t>20250127</t>
        </is>
      </c>
      <c r="N1664" s="10" t="n">
        <v>20</v>
      </c>
      <c r="O1664" s="10">
        <f>IFERROR(VLOOKUP(A1664,Flete!$A:$J,10,0),"")</f>
        <v/>
      </c>
      <c r="P1664" s="8" t="inlineStr">
        <is>
          <t>M3</t>
        </is>
      </c>
      <c r="Q1664" s="10">
        <f>IFERROR(IFERROR(VLOOKUP(A1664,TRAOPE!$A:$U,21,0),VLOOKUP(B1664,TRAOPE!$A:$U,21,0)),"")</f>
        <v/>
      </c>
      <c r="R1664" s="8">
        <f>IFERROR(IFERROR(VLOOKUP(A1664,TRAOPE!$A:$W,23,0),VLOOKUP(B1664,TRAOPE!$A:$W,23,0)),"")</f>
        <v/>
      </c>
      <c r="S1664" s="10">
        <f>IF(AND(P1664="TN",R1664="TN"),N1664+N(O1664),IF(G1664&amp;""="1",N(K1664)*N1664,(N1664+N(O1664))*N(K1664)))</f>
        <v/>
      </c>
      <c r="T1664" s="10">
        <f>IF(Q1664="","",Q1664-S1664)</f>
        <v/>
      </c>
    </row>
    <row r="1665">
      <c r="A1665" s="7">
        <f>CONCATENATE(C1665,E1665,F1665,I1665)</f>
        <v/>
      </c>
      <c r="B1665" s="7">
        <f>CONCATENATE(C1665,E1665,I1665)</f>
        <v/>
      </c>
      <c r="C1665" s="8" t="n">
        <v>900005060</v>
      </c>
      <c r="D1665" s="7">
        <f>IFERROR(VLOOKUP(C1665,TRAOPE!$G:$H,2,0),"")</f>
        <v/>
      </c>
      <c r="E1665" s="8" t="inlineStr">
        <is>
          <t>D836</t>
        </is>
      </c>
      <c r="F1665" s="8" t="inlineStr">
        <is>
          <t>66381346</t>
        </is>
      </c>
      <c r="G1665" s="8">
        <f>IFERROR(VLOOKUP(A1665,Flete!$A:$E,5,0),"")</f>
        <v/>
      </c>
      <c r="H1665" s="7">
        <f>IFERROR(VLOOKUP(F1665,TRAOPE!$AA:$AB,2,0),"")</f>
        <v/>
      </c>
      <c r="I1665" s="7" t="n">
        <v>10139280</v>
      </c>
      <c r="J1665" s="7">
        <f>IFERROR(VLOOKUP(I1665,Materiales!$A:$H,8,0),"")</f>
        <v/>
      </c>
      <c r="K1665" s="9">
        <f>IFERROR(VLOOKUP(I1665,Materiales!$A:$G,7,0),"")</f>
        <v/>
      </c>
      <c r="L1665" s="8" t="inlineStr">
        <is>
          <t>20190426</t>
        </is>
      </c>
      <c r="M1665" s="8" t="inlineStr">
        <is>
          <t>20250127</t>
        </is>
      </c>
      <c r="N1665" s="10" t="n">
        <v>35.5</v>
      </c>
      <c r="O1665" s="10">
        <f>IFERROR(VLOOKUP(A1665,Flete!$A:$J,10,0),"")</f>
        <v/>
      </c>
      <c r="P1665" s="8" t="inlineStr">
        <is>
          <t>M3</t>
        </is>
      </c>
      <c r="Q1665" s="10">
        <f>IFERROR(IFERROR(VLOOKUP(A1665,TRAOPE!$A:$U,21,0),VLOOKUP(B1665,TRAOPE!$A:$U,21,0)),"")</f>
        <v/>
      </c>
      <c r="R1665" s="8">
        <f>IFERROR(IFERROR(VLOOKUP(A1665,TRAOPE!$A:$W,23,0),VLOOKUP(B1665,TRAOPE!$A:$W,23,0)),"")</f>
        <v/>
      </c>
      <c r="S1665" s="10">
        <f>IF(AND(P1665="TN",R1665="TN"),N1665+N(O1665),IF(G1665&amp;""="1",N(K1665)*N1665,(N1665+N(O1665))*N(K1665)))</f>
        <v/>
      </c>
      <c r="T1665" s="10">
        <f>IF(Q1665="","",Q1665-S1665)</f>
        <v/>
      </c>
    </row>
    <row r="1666">
      <c r="A1666" s="7">
        <f>CONCATENATE(C1666,E1666,F1666,I1666)</f>
        <v/>
      </c>
      <c r="B1666" s="7">
        <f>CONCATENATE(C1666,E1666,I1666)</f>
        <v/>
      </c>
      <c r="C1666" s="8" t="n">
        <v>900005060</v>
      </c>
      <c r="D1666" s="7">
        <f>IFERROR(VLOOKUP(C1666,TRAOPE!$G:$H,2,0),"")</f>
        <v/>
      </c>
      <c r="E1666" s="8" t="inlineStr">
        <is>
          <t>D836</t>
        </is>
      </c>
      <c r="F1666" s="8" t="inlineStr">
        <is>
          <t>66381346</t>
        </is>
      </c>
      <c r="G1666" s="8">
        <f>IFERROR(VLOOKUP(A1666,Flete!$A:$E,5,0),"")</f>
        <v/>
      </c>
      <c r="H1666" s="7">
        <f>IFERROR(VLOOKUP(F1666,TRAOPE!$AA:$AB,2,0),"")</f>
        <v/>
      </c>
      <c r="I1666" s="7" t="n">
        <v>10139735</v>
      </c>
      <c r="J1666" s="7">
        <f>IFERROR(VLOOKUP(I1666,Materiales!$A:$H,8,0),"")</f>
        <v/>
      </c>
      <c r="K1666" s="9">
        <f>IFERROR(VLOOKUP(I1666,Materiales!$A:$G,7,0),"")</f>
        <v/>
      </c>
      <c r="L1666" s="8" t="inlineStr">
        <is>
          <t>20190426</t>
        </is>
      </c>
      <c r="M1666" s="8" t="inlineStr">
        <is>
          <t>20250127</t>
        </is>
      </c>
      <c r="N1666" s="10" t="n">
        <v>20</v>
      </c>
      <c r="O1666" s="10">
        <f>IFERROR(VLOOKUP(A1666,Flete!$A:$J,10,0),"")</f>
        <v/>
      </c>
      <c r="P1666" s="8" t="inlineStr">
        <is>
          <t>M3</t>
        </is>
      </c>
      <c r="Q1666" s="10">
        <f>IFERROR(IFERROR(VLOOKUP(A1666,TRAOPE!$A:$U,21,0),VLOOKUP(B1666,TRAOPE!$A:$U,21,0)),"")</f>
        <v/>
      </c>
      <c r="R1666" s="8">
        <f>IFERROR(IFERROR(VLOOKUP(A1666,TRAOPE!$A:$W,23,0),VLOOKUP(B1666,TRAOPE!$A:$W,23,0)),"")</f>
        <v/>
      </c>
      <c r="S1666" s="10">
        <f>IF(AND(P1666="TN",R1666="TN"),N1666+N(O1666),IF(G1666&amp;""="1",N(K1666)*N1666,(N1666+N(O1666))*N(K1666)))</f>
        <v/>
      </c>
      <c r="T1666" s="10">
        <f>IF(Q1666="","",Q1666-S1666)</f>
        <v/>
      </c>
    </row>
    <row r="1667">
      <c r="A1667" s="7">
        <f>CONCATENATE(C1667,E1667,F1667,I1667)</f>
        <v/>
      </c>
      <c r="B1667" s="7">
        <f>CONCATENATE(C1667,E1667,I1667)</f>
        <v/>
      </c>
      <c r="C1667" s="8" t="n">
        <v>900005060</v>
      </c>
      <c r="D1667" s="7">
        <f>IFERROR(VLOOKUP(C1667,TRAOPE!$G:$H,2,0),"")</f>
        <v/>
      </c>
      <c r="E1667" s="8" t="inlineStr">
        <is>
          <t>D836</t>
        </is>
      </c>
      <c r="F1667" s="8" t="inlineStr">
        <is>
          <t>66416982</t>
        </is>
      </c>
      <c r="G1667" s="8">
        <f>IFERROR(VLOOKUP(A1667,Flete!$A:$E,5,0),"")</f>
        <v/>
      </c>
      <c r="H1667" s="7">
        <f>IFERROR(VLOOKUP(F1667,TRAOPE!$AA:$AB,2,0),"")</f>
        <v/>
      </c>
      <c r="I1667" s="7" t="n">
        <v>10139280</v>
      </c>
      <c r="J1667" s="7">
        <f>IFERROR(VLOOKUP(I1667,Materiales!$A:$H,8,0),"")</f>
        <v/>
      </c>
      <c r="K1667" s="9">
        <f>IFERROR(VLOOKUP(I1667,Materiales!$A:$G,7,0),"")</f>
        <v/>
      </c>
      <c r="L1667" s="8" t="inlineStr">
        <is>
          <t>20190426</t>
        </is>
      </c>
      <c r="M1667" s="8" t="inlineStr">
        <is>
          <t>20250127</t>
        </is>
      </c>
      <c r="N1667" s="10" t="n">
        <v>35.5</v>
      </c>
      <c r="O1667" s="10">
        <f>IFERROR(VLOOKUP(A1667,Flete!$A:$J,10,0),"")</f>
        <v/>
      </c>
      <c r="P1667" s="8" t="inlineStr">
        <is>
          <t>M3</t>
        </is>
      </c>
      <c r="Q1667" s="10">
        <f>IFERROR(IFERROR(VLOOKUP(A1667,TRAOPE!$A:$U,21,0),VLOOKUP(B1667,TRAOPE!$A:$U,21,0)),"")</f>
        <v/>
      </c>
      <c r="R1667" s="8">
        <f>IFERROR(IFERROR(VLOOKUP(A1667,TRAOPE!$A:$W,23,0),VLOOKUP(B1667,TRAOPE!$A:$W,23,0)),"")</f>
        <v/>
      </c>
      <c r="S1667" s="10">
        <f>IF(AND(P1667="TN",R1667="TN"),N1667+N(O1667),IF(G1667&amp;""="1",N(K1667)*N1667,(N1667+N(O1667))*N(K1667)))</f>
        <v/>
      </c>
      <c r="T1667" s="10">
        <f>IF(Q1667="","",Q1667-S1667)</f>
        <v/>
      </c>
    </row>
    <row r="1668">
      <c r="A1668" s="7">
        <f>CONCATENATE(C1668,E1668,F1668,I1668)</f>
        <v/>
      </c>
      <c r="B1668" s="7">
        <f>CONCATENATE(C1668,E1668,I1668)</f>
        <v/>
      </c>
      <c r="C1668" s="8" t="n">
        <v>900005060</v>
      </c>
      <c r="D1668" s="7">
        <f>IFERROR(VLOOKUP(C1668,TRAOPE!$G:$H,2,0),"")</f>
        <v/>
      </c>
      <c r="E1668" s="8" t="inlineStr">
        <is>
          <t>D836</t>
        </is>
      </c>
      <c r="F1668" s="8" t="inlineStr">
        <is>
          <t>66416982</t>
        </is>
      </c>
      <c r="G1668" s="8">
        <f>IFERROR(VLOOKUP(A1668,Flete!$A:$E,5,0),"")</f>
        <v/>
      </c>
      <c r="H1668" s="7">
        <f>IFERROR(VLOOKUP(F1668,TRAOPE!$AA:$AB,2,0),"")</f>
        <v/>
      </c>
      <c r="I1668" s="7" t="n">
        <v>10139735</v>
      </c>
      <c r="J1668" s="7">
        <f>IFERROR(VLOOKUP(I1668,Materiales!$A:$H,8,0),"")</f>
        <v/>
      </c>
      <c r="K1668" s="9">
        <f>IFERROR(VLOOKUP(I1668,Materiales!$A:$G,7,0),"")</f>
        <v/>
      </c>
      <c r="L1668" s="8" t="inlineStr">
        <is>
          <t>20190426</t>
        </is>
      </c>
      <c r="M1668" s="8" t="inlineStr">
        <is>
          <t>20250127</t>
        </is>
      </c>
      <c r="N1668" s="10" t="n">
        <v>20</v>
      </c>
      <c r="O1668" s="10">
        <f>IFERROR(VLOOKUP(A1668,Flete!$A:$J,10,0),"")</f>
        <v/>
      </c>
      <c r="P1668" s="8" t="inlineStr">
        <is>
          <t>M3</t>
        </is>
      </c>
      <c r="Q1668" s="10">
        <f>IFERROR(IFERROR(VLOOKUP(A1668,TRAOPE!$A:$U,21,0),VLOOKUP(B1668,TRAOPE!$A:$U,21,0)),"")</f>
        <v/>
      </c>
      <c r="R1668" s="8">
        <f>IFERROR(IFERROR(VLOOKUP(A1668,TRAOPE!$A:$W,23,0),VLOOKUP(B1668,TRAOPE!$A:$W,23,0)),"")</f>
        <v/>
      </c>
      <c r="S1668" s="10">
        <f>IF(AND(P1668="TN",R1668="TN"),N1668+N(O1668),IF(G1668&amp;""="1",N(K1668)*N1668,(N1668+N(O1668))*N(K1668)))</f>
        <v/>
      </c>
      <c r="T1668" s="10">
        <f>IF(Q1668="","",Q1668-S1668)</f>
        <v/>
      </c>
    </row>
    <row r="1669">
      <c r="A1669" s="7">
        <f>CONCATENATE(C1669,E1669,F1669,I1669)</f>
        <v/>
      </c>
      <c r="B1669" s="7">
        <f>CONCATENATE(C1669,E1669,I1669)</f>
        <v/>
      </c>
      <c r="C1669" s="8" t="n">
        <v>900005060</v>
      </c>
      <c r="D1669" s="7">
        <f>IFERROR(VLOOKUP(C1669,TRAOPE!$G:$H,2,0),"")</f>
        <v/>
      </c>
      <c r="E1669" s="8" t="inlineStr">
        <is>
          <t>D836</t>
        </is>
      </c>
      <c r="F1669" s="8" t="inlineStr">
        <is>
          <t>66427831</t>
        </is>
      </c>
      <c r="G1669" s="8">
        <f>IFERROR(VLOOKUP(A1669,Flete!$A:$E,5,0),"")</f>
        <v/>
      </c>
      <c r="H1669" s="7">
        <f>IFERROR(VLOOKUP(F1669,TRAOPE!$AA:$AB,2,0),"")</f>
        <v/>
      </c>
      <c r="I1669" s="7" t="n">
        <v>10139735</v>
      </c>
      <c r="J1669" s="7">
        <f>IFERROR(VLOOKUP(I1669,Materiales!$A:$H,8,0),"")</f>
        <v/>
      </c>
      <c r="K1669" s="9">
        <f>IFERROR(VLOOKUP(I1669,Materiales!$A:$G,7,0),"")</f>
        <v/>
      </c>
      <c r="L1669" s="8" t="inlineStr">
        <is>
          <t>20190426</t>
        </is>
      </c>
      <c r="M1669" s="8" t="inlineStr">
        <is>
          <t>20250127</t>
        </is>
      </c>
      <c r="N1669" s="10" t="n">
        <v>20</v>
      </c>
      <c r="O1669" s="10">
        <f>IFERROR(VLOOKUP(A1669,Flete!$A:$J,10,0),"")</f>
        <v/>
      </c>
      <c r="P1669" s="8" t="inlineStr">
        <is>
          <t>M3</t>
        </is>
      </c>
      <c r="Q1669" s="10">
        <f>IFERROR(IFERROR(VLOOKUP(A1669,TRAOPE!$A:$U,21,0),VLOOKUP(B1669,TRAOPE!$A:$U,21,0)),"")</f>
        <v/>
      </c>
      <c r="R1669" s="8">
        <f>IFERROR(IFERROR(VLOOKUP(A1669,TRAOPE!$A:$W,23,0),VLOOKUP(B1669,TRAOPE!$A:$W,23,0)),"")</f>
        <v/>
      </c>
      <c r="S1669" s="10">
        <f>IF(AND(P1669="TN",R1669="TN"),N1669+N(O1669),IF(G1669&amp;""="1",N(K1669)*N1669,(N1669+N(O1669))*N(K1669)))</f>
        <v/>
      </c>
      <c r="T1669" s="10">
        <f>IF(Q1669="","",Q1669-S1669)</f>
        <v/>
      </c>
    </row>
    <row r="1670">
      <c r="A1670" s="7">
        <f>CONCATENATE(C1670,E1670,F1670,I1670)</f>
        <v/>
      </c>
      <c r="B1670" s="7">
        <f>CONCATENATE(C1670,E1670,I1670)</f>
        <v/>
      </c>
      <c r="C1670" s="8" t="n">
        <v>900005060</v>
      </c>
      <c r="D1670" s="7">
        <f>IFERROR(VLOOKUP(C1670,TRAOPE!$G:$H,2,0),"")</f>
        <v/>
      </c>
      <c r="E1670" s="8" t="inlineStr">
        <is>
          <t>D836</t>
        </is>
      </c>
      <c r="F1670" s="8" t="inlineStr">
        <is>
          <t>66441732</t>
        </is>
      </c>
      <c r="G1670" s="8">
        <f>IFERROR(VLOOKUP(A1670,Flete!$A:$E,5,0),"")</f>
        <v/>
      </c>
      <c r="H1670" s="7">
        <f>IFERROR(VLOOKUP(F1670,TRAOPE!$AA:$AB,2,0),"")</f>
        <v/>
      </c>
      <c r="I1670" s="7" t="n">
        <v>10139280</v>
      </c>
      <c r="J1670" s="7">
        <f>IFERROR(VLOOKUP(I1670,Materiales!$A:$H,8,0),"")</f>
        <v/>
      </c>
      <c r="K1670" s="9">
        <f>IFERROR(VLOOKUP(I1670,Materiales!$A:$G,7,0),"")</f>
        <v/>
      </c>
      <c r="L1670" s="8" t="inlineStr">
        <is>
          <t>20190426</t>
        </is>
      </c>
      <c r="M1670" s="8" t="inlineStr">
        <is>
          <t>20250127</t>
        </is>
      </c>
      <c r="N1670" s="10" t="n">
        <v>35.5</v>
      </c>
      <c r="O1670" s="10">
        <f>IFERROR(VLOOKUP(A1670,Flete!$A:$J,10,0),"")</f>
        <v/>
      </c>
      <c r="P1670" s="8" t="inlineStr">
        <is>
          <t>M3</t>
        </is>
      </c>
      <c r="Q1670" s="10">
        <f>IFERROR(IFERROR(VLOOKUP(A1670,TRAOPE!$A:$U,21,0),VLOOKUP(B1670,TRAOPE!$A:$U,21,0)),"")</f>
        <v/>
      </c>
      <c r="R1670" s="8">
        <f>IFERROR(IFERROR(VLOOKUP(A1670,TRAOPE!$A:$W,23,0),VLOOKUP(B1670,TRAOPE!$A:$W,23,0)),"")</f>
        <v/>
      </c>
      <c r="S1670" s="10">
        <f>IF(AND(P1670="TN",R1670="TN"),N1670+N(O1670),IF(G1670&amp;""="1",N(K1670)*N1670,(N1670+N(O1670))*N(K1670)))</f>
        <v/>
      </c>
      <c r="T1670" s="10">
        <f>IF(Q1670="","",Q1670-S1670)</f>
        <v/>
      </c>
    </row>
    <row r="1671">
      <c r="A1671" s="7">
        <f>CONCATENATE(C1671,E1671,F1671,I1671)</f>
        <v/>
      </c>
      <c r="B1671" s="7">
        <f>CONCATENATE(C1671,E1671,I1671)</f>
        <v/>
      </c>
      <c r="C1671" s="8" t="n">
        <v>900005060</v>
      </c>
      <c r="D1671" s="7">
        <f>IFERROR(VLOOKUP(C1671,TRAOPE!$G:$H,2,0),"")</f>
        <v/>
      </c>
      <c r="E1671" s="8" t="inlineStr">
        <is>
          <t>D836</t>
        </is>
      </c>
      <c r="F1671" s="8" t="inlineStr">
        <is>
          <t>66441732</t>
        </is>
      </c>
      <c r="G1671" s="8">
        <f>IFERROR(VLOOKUP(A1671,Flete!$A:$E,5,0),"")</f>
        <v/>
      </c>
      <c r="H1671" s="7">
        <f>IFERROR(VLOOKUP(F1671,TRAOPE!$AA:$AB,2,0),"")</f>
        <v/>
      </c>
      <c r="I1671" s="7" t="n">
        <v>10139735</v>
      </c>
      <c r="J1671" s="7">
        <f>IFERROR(VLOOKUP(I1671,Materiales!$A:$H,8,0),"")</f>
        <v/>
      </c>
      <c r="K1671" s="9">
        <f>IFERROR(VLOOKUP(I1671,Materiales!$A:$G,7,0),"")</f>
        <v/>
      </c>
      <c r="L1671" s="8" t="inlineStr">
        <is>
          <t>20190426</t>
        </is>
      </c>
      <c r="M1671" s="8" t="inlineStr">
        <is>
          <t>20250127</t>
        </is>
      </c>
      <c r="N1671" s="10" t="n">
        <v>20</v>
      </c>
      <c r="O1671" s="10">
        <f>IFERROR(VLOOKUP(A1671,Flete!$A:$J,10,0),"")</f>
        <v/>
      </c>
      <c r="P1671" s="8" t="inlineStr">
        <is>
          <t>M3</t>
        </is>
      </c>
      <c r="Q1671" s="10">
        <f>IFERROR(IFERROR(VLOOKUP(A1671,TRAOPE!$A:$U,21,0),VLOOKUP(B1671,TRAOPE!$A:$U,21,0)),"")</f>
        <v/>
      </c>
      <c r="R1671" s="8">
        <f>IFERROR(IFERROR(VLOOKUP(A1671,TRAOPE!$A:$W,23,0),VLOOKUP(B1671,TRAOPE!$A:$W,23,0)),"")</f>
        <v/>
      </c>
      <c r="S1671" s="10">
        <f>IF(AND(P1671="TN",R1671="TN"),N1671+N(O1671),IF(G1671&amp;""="1",N(K1671)*N1671,(N1671+N(O1671))*N(K1671)))</f>
        <v/>
      </c>
      <c r="T1671" s="10">
        <f>IF(Q1671="","",Q1671-S1671)</f>
        <v/>
      </c>
    </row>
    <row r="1672">
      <c r="A1672" s="7">
        <f>CONCATENATE(C1672,E1672,F1672,I1672)</f>
        <v/>
      </c>
      <c r="B1672" s="7">
        <f>CONCATENATE(C1672,E1672,I1672)</f>
        <v/>
      </c>
      <c r="C1672" s="8" t="n">
        <v>900005214</v>
      </c>
      <c r="D1672" s="7">
        <f>IFERROR(VLOOKUP(C1672,TRAOPE!$G:$H,2,0),"")</f>
        <v/>
      </c>
      <c r="E1672" s="8" t="inlineStr">
        <is>
          <t>D836</t>
        </is>
      </c>
      <c r="F1672" s="8" t="inlineStr">
        <is>
          <t>65003945</t>
        </is>
      </c>
      <c r="G1672" s="8">
        <f>IFERROR(VLOOKUP(A1672,Flete!$A:$E,5,0),"")</f>
        <v/>
      </c>
      <c r="H1672" s="7">
        <f>IFERROR(VLOOKUP(F1672,TRAOPE!$AA:$AB,2,0),"")</f>
        <v/>
      </c>
      <c r="I1672" s="7" t="n">
        <v>10000253</v>
      </c>
      <c r="J1672" s="7">
        <f>IFERROR(VLOOKUP(I1672,Materiales!$A:$H,8,0),"")</f>
        <v/>
      </c>
      <c r="K1672" s="9">
        <f>IFERROR(VLOOKUP(I1672,Materiales!$A:$G,7,0),"")</f>
        <v/>
      </c>
      <c r="L1672" s="8" t="inlineStr">
        <is>
          <t>20190426</t>
        </is>
      </c>
      <c r="M1672" s="8" t="inlineStr">
        <is>
          <t>20250127</t>
        </is>
      </c>
      <c r="N1672" s="10" t="n">
        <v>95</v>
      </c>
      <c r="O1672" s="10">
        <f>IFERROR(VLOOKUP(A1672,Flete!$A:$J,10,0),"")</f>
        <v/>
      </c>
      <c r="P1672" s="8" t="inlineStr">
        <is>
          <t>M3</t>
        </is>
      </c>
      <c r="Q1672" s="10">
        <f>IFERROR(IFERROR(VLOOKUP(A1672,TRAOPE!$A:$U,21,0),VLOOKUP(B1672,TRAOPE!$A:$U,21,0)),"")</f>
        <v/>
      </c>
      <c r="R1672" s="8">
        <f>IFERROR(IFERROR(VLOOKUP(A1672,TRAOPE!$A:$W,23,0),VLOOKUP(B1672,TRAOPE!$A:$W,23,0)),"")</f>
        <v/>
      </c>
      <c r="S1672" s="10">
        <f>IF(AND(P1672="TN",R1672="TN"),N1672+N(O1672),IF(G1672&amp;""="1",N(K1672)*N1672,(N1672+N(O1672))*N(K1672)))</f>
        <v/>
      </c>
      <c r="T1672" s="10">
        <f>IF(Q1672="","",Q1672-S1672)</f>
        <v/>
      </c>
    </row>
    <row r="1673">
      <c r="A1673" s="7">
        <f>CONCATENATE(C1673,E1673,F1673,I1673)</f>
        <v/>
      </c>
      <c r="B1673" s="7">
        <f>CONCATENATE(C1673,E1673,I1673)</f>
        <v/>
      </c>
      <c r="C1673" s="8" t="n">
        <v>900005214</v>
      </c>
      <c r="D1673" s="7">
        <f>IFERROR(VLOOKUP(C1673,TRAOPE!$G:$H,2,0),"")</f>
        <v/>
      </c>
      <c r="E1673" s="8" t="inlineStr">
        <is>
          <t>D836</t>
        </is>
      </c>
      <c r="F1673" s="8" t="inlineStr">
        <is>
          <t>65003945</t>
        </is>
      </c>
      <c r="G1673" s="8">
        <f>IFERROR(VLOOKUP(A1673,Flete!$A:$E,5,0),"")</f>
        <v/>
      </c>
      <c r="H1673" s="7">
        <f>IFERROR(VLOOKUP(F1673,TRAOPE!$AA:$AB,2,0),"")</f>
        <v/>
      </c>
      <c r="I1673" s="7" t="n">
        <v>10059181</v>
      </c>
      <c r="J1673" s="7">
        <f>IFERROR(VLOOKUP(I1673,Materiales!$A:$H,8,0),"")</f>
        <v/>
      </c>
      <c r="K1673" s="9">
        <f>IFERROR(VLOOKUP(I1673,Materiales!$A:$G,7,0),"")</f>
        <v/>
      </c>
      <c r="L1673" s="8" t="inlineStr">
        <is>
          <t>20190426</t>
        </is>
      </c>
      <c r="M1673" s="8" t="inlineStr">
        <is>
          <t>20250127</t>
        </is>
      </c>
      <c r="N1673" s="10" t="n">
        <v>81</v>
      </c>
      <c r="O1673" s="10">
        <f>IFERROR(VLOOKUP(A1673,Flete!$A:$J,10,0),"")</f>
        <v/>
      </c>
      <c r="P1673" s="8" t="inlineStr">
        <is>
          <t>M3</t>
        </is>
      </c>
      <c r="Q1673" s="10">
        <f>IFERROR(IFERROR(VLOOKUP(A1673,TRAOPE!$A:$U,21,0),VLOOKUP(B1673,TRAOPE!$A:$U,21,0)),"")</f>
        <v/>
      </c>
      <c r="R1673" s="8">
        <f>IFERROR(IFERROR(VLOOKUP(A1673,TRAOPE!$A:$W,23,0),VLOOKUP(B1673,TRAOPE!$A:$W,23,0)),"")</f>
        <v/>
      </c>
      <c r="S1673" s="10">
        <f>IF(AND(P1673="TN",R1673="TN"),N1673+N(O1673),IF(G1673&amp;""="1",N(K1673)*N1673,(N1673+N(O1673))*N(K1673)))</f>
        <v/>
      </c>
      <c r="T1673" s="10">
        <f>IF(Q1673="","",Q1673-S1673)</f>
        <v/>
      </c>
    </row>
    <row r="1674">
      <c r="A1674" s="7">
        <f>CONCATENATE(C1674,E1674,F1674,I1674)</f>
        <v/>
      </c>
      <c r="B1674" s="7">
        <f>CONCATENATE(C1674,E1674,I1674)</f>
        <v/>
      </c>
      <c r="C1674" s="8" t="n">
        <v>900005214</v>
      </c>
      <c r="D1674" s="7">
        <f>IFERROR(VLOOKUP(C1674,TRAOPE!$G:$H,2,0),"")</f>
        <v/>
      </c>
      <c r="E1674" s="8" t="inlineStr">
        <is>
          <t>D836</t>
        </is>
      </c>
      <c r="F1674" s="8" t="inlineStr">
        <is>
          <t>65251399</t>
        </is>
      </c>
      <c r="G1674" s="8">
        <f>IFERROR(VLOOKUP(A1674,Flete!$A:$E,5,0),"")</f>
        <v/>
      </c>
      <c r="H1674" s="7">
        <f>IFERROR(VLOOKUP(F1674,TRAOPE!$AA:$AB,2,0),"")</f>
        <v/>
      </c>
      <c r="I1674" s="7" t="n">
        <v>10059181</v>
      </c>
      <c r="J1674" s="7">
        <f>IFERROR(VLOOKUP(I1674,Materiales!$A:$H,8,0),"")</f>
        <v/>
      </c>
      <c r="K1674" s="9">
        <f>IFERROR(VLOOKUP(I1674,Materiales!$A:$G,7,0),"")</f>
        <v/>
      </c>
      <c r="L1674" s="8" t="inlineStr">
        <is>
          <t>20190426</t>
        </is>
      </c>
      <c r="M1674" s="8" t="inlineStr">
        <is>
          <t>20250127</t>
        </is>
      </c>
      <c r="N1674" s="10" t="n">
        <v>80.65000000000001</v>
      </c>
      <c r="O1674" s="10">
        <f>IFERROR(VLOOKUP(A1674,Flete!$A:$J,10,0),"")</f>
        <v/>
      </c>
      <c r="P1674" s="8" t="inlineStr">
        <is>
          <t>M3</t>
        </is>
      </c>
      <c r="Q1674" s="10">
        <f>IFERROR(IFERROR(VLOOKUP(A1674,TRAOPE!$A:$U,21,0),VLOOKUP(B1674,TRAOPE!$A:$U,21,0)),"")</f>
        <v/>
      </c>
      <c r="R1674" s="8">
        <f>IFERROR(IFERROR(VLOOKUP(A1674,TRAOPE!$A:$W,23,0),VLOOKUP(B1674,TRAOPE!$A:$W,23,0)),"")</f>
        <v/>
      </c>
      <c r="S1674" s="10">
        <f>IF(AND(P1674="TN",R1674="TN"),N1674+N(O1674),IF(G1674&amp;""="1",N(K1674)*N1674,(N1674+N(O1674))*N(K1674)))</f>
        <v/>
      </c>
      <c r="T1674" s="10">
        <f>IF(Q1674="","",Q1674-S1674)</f>
        <v/>
      </c>
    </row>
    <row r="1675">
      <c r="A1675" s="7">
        <f>CONCATENATE(C1675,E1675,F1675,I1675)</f>
        <v/>
      </c>
      <c r="B1675" s="7">
        <f>CONCATENATE(C1675,E1675,I1675)</f>
        <v/>
      </c>
      <c r="C1675" s="8" t="n">
        <v>900005214</v>
      </c>
      <c r="D1675" s="7">
        <f>IFERROR(VLOOKUP(C1675,TRAOPE!$G:$H,2,0),"")</f>
        <v/>
      </c>
      <c r="E1675" s="8" t="inlineStr">
        <is>
          <t>D836</t>
        </is>
      </c>
      <c r="F1675" s="8" t="inlineStr">
        <is>
          <t>65445261</t>
        </is>
      </c>
      <c r="G1675" s="8">
        <f>IFERROR(VLOOKUP(A1675,Flete!$A:$E,5,0),"")</f>
        <v/>
      </c>
      <c r="H1675" s="7">
        <f>IFERROR(VLOOKUP(F1675,TRAOPE!$AA:$AB,2,0),"")</f>
        <v/>
      </c>
      <c r="I1675" s="7" t="n">
        <v>10000253</v>
      </c>
      <c r="J1675" s="7">
        <f>IFERROR(VLOOKUP(I1675,Materiales!$A:$H,8,0),"")</f>
        <v/>
      </c>
      <c r="K1675" s="9">
        <f>IFERROR(VLOOKUP(I1675,Materiales!$A:$G,7,0),"")</f>
        <v/>
      </c>
      <c r="L1675" s="8" t="inlineStr">
        <is>
          <t>20190426</t>
        </is>
      </c>
      <c r="M1675" s="8" t="inlineStr">
        <is>
          <t>20250127</t>
        </is>
      </c>
      <c r="N1675" s="10" t="n">
        <v>78.5</v>
      </c>
      <c r="O1675" s="10">
        <f>IFERROR(VLOOKUP(A1675,Flete!$A:$J,10,0),"")</f>
        <v/>
      </c>
      <c r="P1675" s="8" t="inlineStr">
        <is>
          <t>M3</t>
        </is>
      </c>
      <c r="Q1675" s="10">
        <f>IFERROR(IFERROR(VLOOKUP(A1675,TRAOPE!$A:$U,21,0),VLOOKUP(B1675,TRAOPE!$A:$U,21,0)),"")</f>
        <v/>
      </c>
      <c r="R1675" s="8">
        <f>IFERROR(IFERROR(VLOOKUP(A1675,TRAOPE!$A:$W,23,0),VLOOKUP(B1675,TRAOPE!$A:$W,23,0)),"")</f>
        <v/>
      </c>
      <c r="S1675" s="10">
        <f>IF(AND(P1675="TN",R1675="TN"),N1675+N(O1675),IF(G1675&amp;""="1",N(K1675)*N1675,(N1675+N(O1675))*N(K1675)))</f>
        <v/>
      </c>
      <c r="T1675" s="10">
        <f>IF(Q1675="","",Q1675-S1675)</f>
        <v/>
      </c>
    </row>
    <row r="1676">
      <c r="A1676" s="7">
        <f>CONCATENATE(C1676,E1676,F1676,I1676)</f>
        <v/>
      </c>
      <c r="B1676" s="7">
        <f>CONCATENATE(C1676,E1676,I1676)</f>
        <v/>
      </c>
      <c r="C1676" s="8" t="n">
        <v>900005214</v>
      </c>
      <c r="D1676" s="7">
        <f>IFERROR(VLOOKUP(C1676,TRAOPE!$G:$H,2,0),"")</f>
        <v/>
      </c>
      <c r="E1676" s="8" t="inlineStr">
        <is>
          <t>D836</t>
        </is>
      </c>
      <c r="F1676" s="8" t="inlineStr">
        <is>
          <t>65445261</t>
        </is>
      </c>
      <c r="G1676" s="8">
        <f>IFERROR(VLOOKUP(A1676,Flete!$A:$E,5,0),"")</f>
        <v/>
      </c>
      <c r="H1676" s="7">
        <f>IFERROR(VLOOKUP(F1676,TRAOPE!$AA:$AB,2,0),"")</f>
        <v/>
      </c>
      <c r="I1676" s="7" t="n">
        <v>10000627</v>
      </c>
      <c r="J1676" s="7">
        <f>IFERROR(VLOOKUP(I1676,Materiales!$A:$H,8,0),"")</f>
        <v/>
      </c>
      <c r="K1676" s="9">
        <f>IFERROR(VLOOKUP(I1676,Materiales!$A:$G,7,0),"")</f>
        <v/>
      </c>
      <c r="L1676" s="8" t="inlineStr">
        <is>
          <t>20190426</t>
        </is>
      </c>
      <c r="M1676" s="8" t="inlineStr">
        <is>
          <t>20250127</t>
        </is>
      </c>
      <c r="N1676" s="10" t="n">
        <v>84.09</v>
      </c>
      <c r="O1676" s="10">
        <f>IFERROR(VLOOKUP(A1676,Flete!$A:$J,10,0),"")</f>
        <v/>
      </c>
      <c r="P1676" s="8" t="inlineStr">
        <is>
          <t>M3</t>
        </is>
      </c>
      <c r="Q1676" s="10">
        <f>IFERROR(IFERROR(VLOOKUP(A1676,TRAOPE!$A:$U,21,0),VLOOKUP(B1676,TRAOPE!$A:$U,21,0)),"")</f>
        <v/>
      </c>
      <c r="R1676" s="8">
        <f>IFERROR(IFERROR(VLOOKUP(A1676,TRAOPE!$A:$W,23,0),VLOOKUP(B1676,TRAOPE!$A:$W,23,0)),"")</f>
        <v/>
      </c>
      <c r="S1676" s="10">
        <f>IF(AND(P1676="TN",R1676="TN"),N1676+N(O1676),IF(G1676&amp;""="1",N(K1676)*N1676,(N1676+N(O1676))*N(K1676)))</f>
        <v/>
      </c>
      <c r="T1676" s="10">
        <f>IF(Q1676="","",Q1676-S1676)</f>
        <v/>
      </c>
    </row>
    <row r="1677">
      <c r="A1677" s="7">
        <f>CONCATENATE(C1677,E1677,F1677,I1677)</f>
        <v/>
      </c>
      <c r="B1677" s="7">
        <f>CONCATENATE(C1677,E1677,I1677)</f>
        <v/>
      </c>
      <c r="C1677" s="8" t="n">
        <v>900005214</v>
      </c>
      <c r="D1677" s="7">
        <f>IFERROR(VLOOKUP(C1677,TRAOPE!$G:$H,2,0),"")</f>
        <v/>
      </c>
      <c r="E1677" s="8" t="inlineStr">
        <is>
          <t>D836</t>
        </is>
      </c>
      <c r="F1677" s="8" t="inlineStr">
        <is>
          <t>65445261</t>
        </is>
      </c>
      <c r="G1677" s="8">
        <f>IFERROR(VLOOKUP(A1677,Flete!$A:$E,5,0),"")</f>
        <v/>
      </c>
      <c r="H1677" s="7">
        <f>IFERROR(VLOOKUP(F1677,TRAOPE!$AA:$AB,2,0),"")</f>
        <v/>
      </c>
      <c r="I1677" s="7" t="n">
        <v>10000651</v>
      </c>
      <c r="J1677" s="7">
        <f>IFERROR(VLOOKUP(I1677,Materiales!$A:$H,8,0),"")</f>
        <v/>
      </c>
      <c r="K1677" s="9">
        <f>IFERROR(VLOOKUP(I1677,Materiales!$A:$G,7,0),"")</f>
        <v/>
      </c>
      <c r="L1677" s="8" t="inlineStr">
        <is>
          <t>20190426</t>
        </is>
      </c>
      <c r="M1677" s="8" t="inlineStr">
        <is>
          <t>20250127</t>
        </is>
      </c>
      <c r="N1677" s="10" t="n">
        <v>105</v>
      </c>
      <c r="O1677" s="10">
        <f>IFERROR(VLOOKUP(A1677,Flete!$A:$J,10,0),"")</f>
        <v/>
      </c>
      <c r="P1677" s="8" t="inlineStr">
        <is>
          <t>M3</t>
        </is>
      </c>
      <c r="Q1677" s="10">
        <f>IFERROR(IFERROR(VLOOKUP(A1677,TRAOPE!$A:$U,21,0),VLOOKUP(B1677,TRAOPE!$A:$U,21,0)),"")</f>
        <v/>
      </c>
      <c r="R1677" s="8">
        <f>IFERROR(IFERROR(VLOOKUP(A1677,TRAOPE!$A:$W,23,0),VLOOKUP(B1677,TRAOPE!$A:$W,23,0)),"")</f>
        <v/>
      </c>
      <c r="S1677" s="10">
        <f>IF(AND(P1677="TN",R1677="TN"),N1677+N(O1677),IF(G1677&amp;""="1",N(K1677)*N1677,(N1677+N(O1677))*N(K1677)))</f>
        <v/>
      </c>
      <c r="T1677" s="10">
        <f>IF(Q1677="","",Q1677-S1677)</f>
        <v/>
      </c>
    </row>
    <row r="1678">
      <c r="A1678" s="7">
        <f>CONCATENATE(C1678,E1678,F1678,I1678)</f>
        <v/>
      </c>
      <c r="B1678" s="7">
        <f>CONCATENATE(C1678,E1678,I1678)</f>
        <v/>
      </c>
      <c r="C1678" s="8" t="n">
        <v>900005214</v>
      </c>
      <c r="D1678" s="7">
        <f>IFERROR(VLOOKUP(C1678,TRAOPE!$G:$H,2,0),"")</f>
        <v/>
      </c>
      <c r="E1678" s="8" t="inlineStr">
        <is>
          <t>D836</t>
        </is>
      </c>
      <c r="F1678" s="8" t="inlineStr">
        <is>
          <t>65445261</t>
        </is>
      </c>
      <c r="G1678" s="8">
        <f>IFERROR(VLOOKUP(A1678,Flete!$A:$E,5,0),"")</f>
        <v/>
      </c>
      <c r="H1678" s="7">
        <f>IFERROR(VLOOKUP(F1678,TRAOPE!$AA:$AB,2,0),"")</f>
        <v/>
      </c>
      <c r="I1678" s="7" t="n">
        <v>10059181</v>
      </c>
      <c r="J1678" s="7">
        <f>IFERROR(VLOOKUP(I1678,Materiales!$A:$H,8,0),"")</f>
        <v/>
      </c>
      <c r="K1678" s="9">
        <f>IFERROR(VLOOKUP(I1678,Materiales!$A:$G,7,0),"")</f>
        <v/>
      </c>
      <c r="L1678" s="8" t="inlineStr">
        <is>
          <t>20190426</t>
        </is>
      </c>
      <c r="M1678" s="8" t="inlineStr">
        <is>
          <t>20250127</t>
        </is>
      </c>
      <c r="N1678" s="10" t="n">
        <v>80.59</v>
      </c>
      <c r="O1678" s="10">
        <f>IFERROR(VLOOKUP(A1678,Flete!$A:$J,10,0),"")</f>
        <v/>
      </c>
      <c r="P1678" s="8" t="inlineStr">
        <is>
          <t>M3</t>
        </is>
      </c>
      <c r="Q1678" s="10">
        <f>IFERROR(IFERROR(VLOOKUP(A1678,TRAOPE!$A:$U,21,0),VLOOKUP(B1678,TRAOPE!$A:$U,21,0)),"")</f>
        <v/>
      </c>
      <c r="R1678" s="8">
        <f>IFERROR(IFERROR(VLOOKUP(A1678,TRAOPE!$A:$W,23,0),VLOOKUP(B1678,TRAOPE!$A:$W,23,0)),"")</f>
        <v/>
      </c>
      <c r="S1678" s="10">
        <f>IF(AND(P1678="TN",R1678="TN"),N1678+N(O1678),IF(G1678&amp;""="1",N(K1678)*N1678,(N1678+N(O1678))*N(K1678)))</f>
        <v/>
      </c>
      <c r="T1678" s="10">
        <f>IF(Q1678="","",Q1678-S1678)</f>
        <v/>
      </c>
    </row>
    <row r="1679">
      <c r="A1679" s="7">
        <f>CONCATENATE(C1679,E1679,F1679,I1679)</f>
        <v/>
      </c>
      <c r="B1679" s="7">
        <f>CONCATENATE(C1679,E1679,I1679)</f>
        <v/>
      </c>
      <c r="C1679" s="8" t="n">
        <v>900005214</v>
      </c>
      <c r="D1679" s="7">
        <f>IFERROR(VLOOKUP(C1679,TRAOPE!$G:$H,2,0),"")</f>
        <v/>
      </c>
      <c r="E1679" s="8" t="inlineStr">
        <is>
          <t>D836</t>
        </is>
      </c>
      <c r="F1679" s="8" t="inlineStr">
        <is>
          <t>66212637</t>
        </is>
      </c>
      <c r="G1679" s="8">
        <f>IFERROR(VLOOKUP(A1679,Flete!$A:$E,5,0),"")</f>
        <v/>
      </c>
      <c r="H1679" s="7">
        <f>IFERROR(VLOOKUP(F1679,TRAOPE!$AA:$AB,2,0),"")</f>
        <v/>
      </c>
      <c r="I1679" s="7" t="n">
        <v>10000651</v>
      </c>
      <c r="J1679" s="7">
        <f>IFERROR(VLOOKUP(I1679,Materiales!$A:$H,8,0),"")</f>
        <v/>
      </c>
      <c r="K1679" s="9">
        <f>IFERROR(VLOOKUP(I1679,Materiales!$A:$G,7,0),"")</f>
        <v/>
      </c>
      <c r="L1679" s="8" t="inlineStr">
        <is>
          <t>20190426</t>
        </is>
      </c>
      <c r="M1679" s="8" t="inlineStr">
        <is>
          <t>20250127</t>
        </is>
      </c>
      <c r="N1679" s="10" t="n">
        <v>115</v>
      </c>
      <c r="O1679" s="10">
        <f>IFERROR(VLOOKUP(A1679,Flete!$A:$J,10,0),"")</f>
        <v/>
      </c>
      <c r="P1679" s="8" t="inlineStr">
        <is>
          <t>M3</t>
        </is>
      </c>
      <c r="Q1679" s="10">
        <f>IFERROR(IFERROR(VLOOKUP(A1679,TRAOPE!$A:$U,21,0),VLOOKUP(B1679,TRAOPE!$A:$U,21,0)),"")</f>
        <v/>
      </c>
      <c r="R1679" s="8">
        <f>IFERROR(IFERROR(VLOOKUP(A1679,TRAOPE!$A:$W,23,0),VLOOKUP(B1679,TRAOPE!$A:$W,23,0)),"")</f>
        <v/>
      </c>
      <c r="S1679" s="10">
        <f>IF(AND(P1679="TN",R1679="TN"),N1679+N(O1679),IF(G1679&amp;""="1",N(K1679)*N1679,(N1679+N(O1679))*N(K1679)))</f>
        <v/>
      </c>
      <c r="T1679" s="10">
        <f>IF(Q1679="","",Q1679-S1679)</f>
        <v/>
      </c>
    </row>
    <row r="1680">
      <c r="A1680" s="7">
        <f>CONCATENATE(C1680,E1680,F1680,I1680)</f>
        <v/>
      </c>
      <c r="B1680" s="7">
        <f>CONCATENATE(C1680,E1680,I1680)</f>
        <v/>
      </c>
      <c r="C1680" s="8" t="n">
        <v>900005214</v>
      </c>
      <c r="D1680" s="7">
        <f>IFERROR(VLOOKUP(C1680,TRAOPE!$G:$H,2,0),"")</f>
        <v/>
      </c>
      <c r="E1680" s="8" t="inlineStr">
        <is>
          <t>D836</t>
        </is>
      </c>
      <c r="F1680" s="8" t="inlineStr">
        <is>
          <t>66239560</t>
        </is>
      </c>
      <c r="G1680" s="8">
        <f>IFERROR(VLOOKUP(A1680,Flete!$A:$E,5,0),"")</f>
        <v/>
      </c>
      <c r="H1680" s="7">
        <f>IFERROR(VLOOKUP(F1680,TRAOPE!$AA:$AB,2,0),"")</f>
        <v/>
      </c>
      <c r="I1680" s="7" t="n">
        <v>10000253</v>
      </c>
      <c r="J1680" s="7">
        <f>IFERROR(VLOOKUP(I1680,Materiales!$A:$H,8,0),"")</f>
        <v/>
      </c>
      <c r="K1680" s="9">
        <f>IFERROR(VLOOKUP(I1680,Materiales!$A:$G,7,0),"")</f>
        <v/>
      </c>
      <c r="L1680" s="8" t="inlineStr">
        <is>
          <t>20190426</t>
        </is>
      </c>
      <c r="M1680" s="8" t="inlineStr">
        <is>
          <t>20250127</t>
        </is>
      </c>
      <c r="N1680" s="10" t="n">
        <v>76</v>
      </c>
      <c r="O1680" s="10">
        <f>IFERROR(VLOOKUP(A1680,Flete!$A:$J,10,0),"")</f>
        <v/>
      </c>
      <c r="P1680" s="8" t="inlineStr">
        <is>
          <t>M3</t>
        </is>
      </c>
      <c r="Q1680" s="10">
        <f>IFERROR(IFERROR(VLOOKUP(A1680,TRAOPE!$A:$U,21,0),VLOOKUP(B1680,TRAOPE!$A:$U,21,0)),"")</f>
        <v/>
      </c>
      <c r="R1680" s="8">
        <f>IFERROR(IFERROR(VLOOKUP(A1680,TRAOPE!$A:$W,23,0),VLOOKUP(B1680,TRAOPE!$A:$W,23,0)),"")</f>
        <v/>
      </c>
      <c r="S1680" s="10">
        <f>IF(AND(P1680="TN",R1680="TN"),N1680+N(O1680),IF(G1680&amp;""="1",N(K1680)*N1680,(N1680+N(O1680))*N(K1680)))</f>
        <v/>
      </c>
      <c r="T1680" s="10">
        <f>IF(Q1680="","",Q1680-S1680)</f>
        <v/>
      </c>
    </row>
    <row r="1681">
      <c r="A1681" s="7">
        <f>CONCATENATE(C1681,E1681,F1681,I1681)</f>
        <v/>
      </c>
      <c r="B1681" s="7">
        <f>CONCATENATE(C1681,E1681,I1681)</f>
        <v/>
      </c>
      <c r="C1681" s="8" t="n">
        <v>900005214</v>
      </c>
      <c r="D1681" s="7">
        <f>IFERROR(VLOOKUP(C1681,TRAOPE!$G:$H,2,0),"")</f>
        <v/>
      </c>
      <c r="E1681" s="8" t="inlineStr">
        <is>
          <t>D836</t>
        </is>
      </c>
      <c r="F1681" s="8" t="inlineStr">
        <is>
          <t>66239560</t>
        </is>
      </c>
      <c r="G1681" s="8">
        <f>IFERROR(VLOOKUP(A1681,Flete!$A:$E,5,0),"")</f>
        <v/>
      </c>
      <c r="H1681" s="7">
        <f>IFERROR(VLOOKUP(F1681,TRAOPE!$AA:$AB,2,0),"")</f>
        <v/>
      </c>
      <c r="I1681" s="7" t="n">
        <v>10000627</v>
      </c>
      <c r="J1681" s="7">
        <f>IFERROR(VLOOKUP(I1681,Materiales!$A:$H,8,0),"")</f>
        <v/>
      </c>
      <c r="K1681" s="9">
        <f>IFERROR(VLOOKUP(I1681,Materiales!$A:$G,7,0),"")</f>
        <v/>
      </c>
      <c r="L1681" s="8" t="inlineStr">
        <is>
          <t>20190426</t>
        </is>
      </c>
      <c r="M1681" s="8" t="inlineStr">
        <is>
          <t>20250127</t>
        </is>
      </c>
      <c r="N1681" s="10" t="n">
        <v>75</v>
      </c>
      <c r="O1681" s="10">
        <f>IFERROR(VLOOKUP(A1681,Flete!$A:$J,10,0),"")</f>
        <v/>
      </c>
      <c r="P1681" s="8" t="inlineStr">
        <is>
          <t>M3</t>
        </is>
      </c>
      <c r="Q1681" s="10">
        <f>IFERROR(IFERROR(VLOOKUP(A1681,TRAOPE!$A:$U,21,0),VLOOKUP(B1681,TRAOPE!$A:$U,21,0)),"")</f>
        <v/>
      </c>
      <c r="R1681" s="8">
        <f>IFERROR(IFERROR(VLOOKUP(A1681,TRAOPE!$A:$W,23,0),VLOOKUP(B1681,TRAOPE!$A:$W,23,0)),"")</f>
        <v/>
      </c>
      <c r="S1681" s="10">
        <f>IF(AND(P1681="TN",R1681="TN"),N1681+N(O1681),IF(G1681&amp;""="1",N(K1681)*N1681,(N1681+N(O1681))*N(K1681)))</f>
        <v/>
      </c>
      <c r="T1681" s="10">
        <f>IF(Q1681="","",Q1681-S1681)</f>
        <v/>
      </c>
    </row>
    <row r="1682">
      <c r="A1682" s="7">
        <f>CONCATENATE(C1682,E1682,F1682,I1682)</f>
        <v/>
      </c>
      <c r="B1682" s="7">
        <f>CONCATENATE(C1682,E1682,I1682)</f>
        <v/>
      </c>
      <c r="C1682" s="8" t="n">
        <v>900005214</v>
      </c>
      <c r="D1682" s="7">
        <f>IFERROR(VLOOKUP(C1682,TRAOPE!$G:$H,2,0),"")</f>
        <v/>
      </c>
      <c r="E1682" s="8" t="inlineStr">
        <is>
          <t>D836</t>
        </is>
      </c>
      <c r="F1682" s="8" t="inlineStr">
        <is>
          <t>66239560</t>
        </is>
      </c>
      <c r="G1682" s="8">
        <f>IFERROR(VLOOKUP(A1682,Flete!$A:$E,5,0),"")</f>
        <v/>
      </c>
      <c r="H1682" s="7">
        <f>IFERROR(VLOOKUP(F1682,TRAOPE!$AA:$AB,2,0),"")</f>
        <v/>
      </c>
      <c r="I1682" s="7" t="n">
        <v>10059181</v>
      </c>
      <c r="J1682" s="7">
        <f>IFERROR(VLOOKUP(I1682,Materiales!$A:$H,8,0),"")</f>
        <v/>
      </c>
      <c r="K1682" s="9">
        <f>IFERROR(VLOOKUP(I1682,Materiales!$A:$G,7,0),"")</f>
        <v/>
      </c>
      <c r="L1682" s="8" t="inlineStr">
        <is>
          <t>20190426</t>
        </is>
      </c>
      <c r="M1682" s="8" t="inlineStr">
        <is>
          <t>20250127</t>
        </is>
      </c>
      <c r="N1682" s="10" t="n">
        <v>72.5</v>
      </c>
      <c r="O1682" s="10">
        <f>IFERROR(VLOOKUP(A1682,Flete!$A:$J,10,0),"")</f>
        <v/>
      </c>
      <c r="P1682" s="8" t="inlineStr">
        <is>
          <t>M3</t>
        </is>
      </c>
      <c r="Q1682" s="10">
        <f>IFERROR(IFERROR(VLOOKUP(A1682,TRAOPE!$A:$U,21,0),VLOOKUP(B1682,TRAOPE!$A:$U,21,0)),"")</f>
        <v/>
      </c>
      <c r="R1682" s="8">
        <f>IFERROR(IFERROR(VLOOKUP(A1682,TRAOPE!$A:$W,23,0),VLOOKUP(B1682,TRAOPE!$A:$W,23,0)),"")</f>
        <v/>
      </c>
      <c r="S1682" s="10">
        <f>IF(AND(P1682="TN",R1682="TN"),N1682+N(O1682),IF(G1682&amp;""="1",N(K1682)*N1682,(N1682+N(O1682))*N(K1682)))</f>
        <v/>
      </c>
      <c r="T1682" s="10">
        <f>IF(Q1682="","",Q1682-S1682)</f>
        <v/>
      </c>
    </row>
    <row r="1683">
      <c r="A1683" s="7">
        <f>CONCATENATE(C1683,E1683,F1683,I1683)</f>
        <v/>
      </c>
      <c r="B1683" s="7">
        <f>CONCATENATE(C1683,E1683,I1683)</f>
        <v/>
      </c>
      <c r="C1683" s="8" t="n">
        <v>900005214</v>
      </c>
      <c r="D1683" s="7">
        <f>IFERROR(VLOOKUP(C1683,TRAOPE!$G:$H,2,0),"")</f>
        <v/>
      </c>
      <c r="E1683" s="8" t="inlineStr">
        <is>
          <t>D836</t>
        </is>
      </c>
      <c r="F1683" s="8" t="inlineStr">
        <is>
          <t>66239561</t>
        </is>
      </c>
      <c r="G1683" s="8">
        <f>IFERROR(VLOOKUP(A1683,Flete!$A:$E,5,0),"")</f>
        <v/>
      </c>
      <c r="H1683" s="7">
        <f>IFERROR(VLOOKUP(F1683,TRAOPE!$AA:$AB,2,0),"")</f>
        <v/>
      </c>
      <c r="I1683" s="7" t="n">
        <v>10000253</v>
      </c>
      <c r="J1683" s="7">
        <f>IFERROR(VLOOKUP(I1683,Materiales!$A:$H,8,0),"")</f>
        <v/>
      </c>
      <c r="K1683" s="9">
        <f>IFERROR(VLOOKUP(I1683,Materiales!$A:$G,7,0),"")</f>
        <v/>
      </c>
      <c r="L1683" s="8" t="inlineStr">
        <is>
          <t>20190426</t>
        </is>
      </c>
      <c r="M1683" s="8" t="inlineStr">
        <is>
          <t>20250127</t>
        </is>
      </c>
      <c r="N1683" s="10" t="n">
        <v>76</v>
      </c>
      <c r="O1683" s="10">
        <f>IFERROR(VLOOKUP(A1683,Flete!$A:$J,10,0),"")</f>
        <v/>
      </c>
      <c r="P1683" s="8" t="inlineStr">
        <is>
          <t>M3</t>
        </is>
      </c>
      <c r="Q1683" s="10">
        <f>IFERROR(IFERROR(VLOOKUP(A1683,TRAOPE!$A:$U,21,0),VLOOKUP(B1683,TRAOPE!$A:$U,21,0)),"")</f>
        <v/>
      </c>
      <c r="R1683" s="8">
        <f>IFERROR(IFERROR(VLOOKUP(A1683,TRAOPE!$A:$W,23,0),VLOOKUP(B1683,TRAOPE!$A:$W,23,0)),"")</f>
        <v/>
      </c>
      <c r="S1683" s="10">
        <f>IF(AND(P1683="TN",R1683="TN"),N1683+N(O1683),IF(G1683&amp;""="1",N(K1683)*N1683,(N1683+N(O1683))*N(K1683)))</f>
        <v/>
      </c>
      <c r="T1683" s="10">
        <f>IF(Q1683="","",Q1683-S1683)</f>
        <v/>
      </c>
    </row>
    <row r="1684">
      <c r="A1684" s="7">
        <f>CONCATENATE(C1684,E1684,F1684,I1684)</f>
        <v/>
      </c>
      <c r="B1684" s="7">
        <f>CONCATENATE(C1684,E1684,I1684)</f>
        <v/>
      </c>
      <c r="C1684" s="8" t="n">
        <v>900005214</v>
      </c>
      <c r="D1684" s="7">
        <f>IFERROR(VLOOKUP(C1684,TRAOPE!$G:$H,2,0),"")</f>
        <v/>
      </c>
      <c r="E1684" s="8" t="inlineStr">
        <is>
          <t>D836</t>
        </is>
      </c>
      <c r="F1684" s="8" t="inlineStr">
        <is>
          <t>66239561</t>
        </is>
      </c>
      <c r="G1684" s="8">
        <f>IFERROR(VLOOKUP(A1684,Flete!$A:$E,5,0),"")</f>
        <v/>
      </c>
      <c r="H1684" s="7">
        <f>IFERROR(VLOOKUP(F1684,TRAOPE!$AA:$AB,2,0),"")</f>
        <v/>
      </c>
      <c r="I1684" s="7" t="n">
        <v>10000627</v>
      </c>
      <c r="J1684" s="7">
        <f>IFERROR(VLOOKUP(I1684,Materiales!$A:$H,8,0),"")</f>
        <v/>
      </c>
      <c r="K1684" s="9">
        <f>IFERROR(VLOOKUP(I1684,Materiales!$A:$G,7,0),"")</f>
        <v/>
      </c>
      <c r="L1684" s="8" t="inlineStr">
        <is>
          <t>20190426</t>
        </is>
      </c>
      <c r="M1684" s="8" t="inlineStr">
        <is>
          <t>20250127</t>
        </is>
      </c>
      <c r="N1684" s="10" t="n">
        <v>75</v>
      </c>
      <c r="O1684" s="10">
        <f>IFERROR(VLOOKUP(A1684,Flete!$A:$J,10,0),"")</f>
        <v/>
      </c>
      <c r="P1684" s="8" t="inlineStr">
        <is>
          <t>M3</t>
        </is>
      </c>
      <c r="Q1684" s="10">
        <f>IFERROR(IFERROR(VLOOKUP(A1684,TRAOPE!$A:$U,21,0),VLOOKUP(B1684,TRAOPE!$A:$U,21,0)),"")</f>
        <v/>
      </c>
      <c r="R1684" s="8">
        <f>IFERROR(IFERROR(VLOOKUP(A1684,TRAOPE!$A:$W,23,0),VLOOKUP(B1684,TRAOPE!$A:$W,23,0)),"")</f>
        <v/>
      </c>
      <c r="S1684" s="10">
        <f>IF(AND(P1684="TN",R1684="TN"),N1684+N(O1684),IF(G1684&amp;""="1",N(K1684)*N1684,(N1684+N(O1684))*N(K1684)))</f>
        <v/>
      </c>
      <c r="T1684" s="10">
        <f>IF(Q1684="","",Q1684-S1684)</f>
        <v/>
      </c>
    </row>
    <row r="1685">
      <c r="A1685" s="7">
        <f>CONCATENATE(C1685,E1685,F1685,I1685)</f>
        <v/>
      </c>
      <c r="B1685" s="7">
        <f>CONCATENATE(C1685,E1685,I1685)</f>
        <v/>
      </c>
      <c r="C1685" s="8" t="n">
        <v>900005214</v>
      </c>
      <c r="D1685" s="7">
        <f>IFERROR(VLOOKUP(C1685,TRAOPE!$G:$H,2,0),"")</f>
        <v/>
      </c>
      <c r="E1685" s="8" t="inlineStr">
        <is>
          <t>D836</t>
        </is>
      </c>
      <c r="F1685" s="8" t="inlineStr">
        <is>
          <t>66239561</t>
        </is>
      </c>
      <c r="G1685" s="8">
        <f>IFERROR(VLOOKUP(A1685,Flete!$A:$E,5,0),"")</f>
        <v/>
      </c>
      <c r="H1685" s="7">
        <f>IFERROR(VLOOKUP(F1685,TRAOPE!$AA:$AB,2,0),"")</f>
        <v/>
      </c>
      <c r="I1685" s="7" t="n">
        <v>10059181</v>
      </c>
      <c r="J1685" s="7">
        <f>IFERROR(VLOOKUP(I1685,Materiales!$A:$H,8,0),"")</f>
        <v/>
      </c>
      <c r="K1685" s="9">
        <f>IFERROR(VLOOKUP(I1685,Materiales!$A:$G,7,0),"")</f>
        <v/>
      </c>
      <c r="L1685" s="8" t="inlineStr">
        <is>
          <t>20190426</t>
        </is>
      </c>
      <c r="M1685" s="8" t="inlineStr">
        <is>
          <t>20250127</t>
        </is>
      </c>
      <c r="N1685" s="10" t="n">
        <v>72.5</v>
      </c>
      <c r="O1685" s="10">
        <f>IFERROR(VLOOKUP(A1685,Flete!$A:$J,10,0),"")</f>
        <v/>
      </c>
      <c r="P1685" s="8" t="inlineStr">
        <is>
          <t>M3</t>
        </is>
      </c>
      <c r="Q1685" s="10">
        <f>IFERROR(IFERROR(VLOOKUP(A1685,TRAOPE!$A:$U,21,0),VLOOKUP(B1685,TRAOPE!$A:$U,21,0)),"")</f>
        <v/>
      </c>
      <c r="R1685" s="8">
        <f>IFERROR(IFERROR(VLOOKUP(A1685,TRAOPE!$A:$W,23,0),VLOOKUP(B1685,TRAOPE!$A:$W,23,0)),"")</f>
        <v/>
      </c>
      <c r="S1685" s="10">
        <f>IF(AND(P1685="TN",R1685="TN"),N1685+N(O1685),IF(G1685&amp;""="1",N(K1685)*N1685,(N1685+N(O1685))*N(K1685)))</f>
        <v/>
      </c>
      <c r="T1685" s="10">
        <f>IF(Q1685="","",Q1685-S1685)</f>
        <v/>
      </c>
    </row>
    <row r="1686">
      <c r="A1686" s="7">
        <f>CONCATENATE(C1686,E1686,F1686,I1686)</f>
        <v/>
      </c>
      <c r="B1686" s="7">
        <f>CONCATENATE(C1686,E1686,I1686)</f>
        <v/>
      </c>
      <c r="C1686" s="8" t="n">
        <v>900005214</v>
      </c>
      <c r="D1686" s="7">
        <f>IFERROR(VLOOKUP(C1686,TRAOPE!$G:$H,2,0),"")</f>
        <v/>
      </c>
      <c r="E1686" s="8" t="inlineStr">
        <is>
          <t>D836</t>
        </is>
      </c>
      <c r="F1686" s="8" t="inlineStr">
        <is>
          <t>66239598</t>
        </is>
      </c>
      <c r="G1686" s="8">
        <f>IFERROR(VLOOKUP(A1686,Flete!$A:$E,5,0),"")</f>
        <v/>
      </c>
      <c r="H1686" s="7">
        <f>IFERROR(VLOOKUP(F1686,TRAOPE!$AA:$AB,2,0),"")</f>
        <v/>
      </c>
      <c r="I1686" s="7" t="n">
        <v>10000253</v>
      </c>
      <c r="J1686" s="7">
        <f>IFERROR(VLOOKUP(I1686,Materiales!$A:$H,8,0),"")</f>
        <v/>
      </c>
      <c r="K1686" s="9">
        <f>IFERROR(VLOOKUP(I1686,Materiales!$A:$G,7,0),"")</f>
        <v/>
      </c>
      <c r="L1686" s="8" t="inlineStr">
        <is>
          <t>20190426</t>
        </is>
      </c>
      <c r="M1686" s="8" t="inlineStr">
        <is>
          <t>20250127</t>
        </is>
      </c>
      <c r="N1686" s="10" t="n">
        <v>76</v>
      </c>
      <c r="O1686" s="10">
        <f>IFERROR(VLOOKUP(A1686,Flete!$A:$J,10,0),"")</f>
        <v/>
      </c>
      <c r="P1686" s="8" t="inlineStr">
        <is>
          <t>M3</t>
        </is>
      </c>
      <c r="Q1686" s="10">
        <f>IFERROR(IFERROR(VLOOKUP(A1686,TRAOPE!$A:$U,21,0),VLOOKUP(B1686,TRAOPE!$A:$U,21,0)),"")</f>
        <v/>
      </c>
      <c r="R1686" s="8">
        <f>IFERROR(IFERROR(VLOOKUP(A1686,TRAOPE!$A:$W,23,0),VLOOKUP(B1686,TRAOPE!$A:$W,23,0)),"")</f>
        <v/>
      </c>
      <c r="S1686" s="10">
        <f>IF(AND(P1686="TN",R1686="TN"),N1686+N(O1686),IF(G1686&amp;""="1",N(K1686)*N1686,(N1686+N(O1686))*N(K1686)))</f>
        <v/>
      </c>
      <c r="T1686" s="10">
        <f>IF(Q1686="","",Q1686-S1686)</f>
        <v/>
      </c>
    </row>
    <row r="1687">
      <c r="A1687" s="7">
        <f>CONCATENATE(C1687,E1687,F1687,I1687)</f>
        <v/>
      </c>
      <c r="B1687" s="7">
        <f>CONCATENATE(C1687,E1687,I1687)</f>
        <v/>
      </c>
      <c r="C1687" s="8" t="n">
        <v>900005214</v>
      </c>
      <c r="D1687" s="7">
        <f>IFERROR(VLOOKUP(C1687,TRAOPE!$G:$H,2,0),"")</f>
        <v/>
      </c>
      <c r="E1687" s="8" t="inlineStr">
        <is>
          <t>D836</t>
        </is>
      </c>
      <c r="F1687" s="8" t="inlineStr">
        <is>
          <t>66239598</t>
        </is>
      </c>
      <c r="G1687" s="8">
        <f>IFERROR(VLOOKUP(A1687,Flete!$A:$E,5,0),"")</f>
        <v/>
      </c>
      <c r="H1687" s="7">
        <f>IFERROR(VLOOKUP(F1687,TRAOPE!$AA:$AB,2,0),"")</f>
        <v/>
      </c>
      <c r="I1687" s="7" t="n">
        <v>10000627</v>
      </c>
      <c r="J1687" s="7">
        <f>IFERROR(VLOOKUP(I1687,Materiales!$A:$H,8,0),"")</f>
        <v/>
      </c>
      <c r="K1687" s="9">
        <f>IFERROR(VLOOKUP(I1687,Materiales!$A:$G,7,0),"")</f>
        <v/>
      </c>
      <c r="L1687" s="8" t="inlineStr">
        <is>
          <t>20190426</t>
        </is>
      </c>
      <c r="M1687" s="8" t="inlineStr">
        <is>
          <t>20250127</t>
        </is>
      </c>
      <c r="N1687" s="10" t="n">
        <v>75</v>
      </c>
      <c r="O1687" s="10">
        <f>IFERROR(VLOOKUP(A1687,Flete!$A:$J,10,0),"")</f>
        <v/>
      </c>
      <c r="P1687" s="8" t="inlineStr">
        <is>
          <t>M3</t>
        </is>
      </c>
      <c r="Q1687" s="10">
        <f>IFERROR(IFERROR(VLOOKUP(A1687,TRAOPE!$A:$U,21,0),VLOOKUP(B1687,TRAOPE!$A:$U,21,0)),"")</f>
        <v/>
      </c>
      <c r="R1687" s="8">
        <f>IFERROR(IFERROR(VLOOKUP(A1687,TRAOPE!$A:$W,23,0),VLOOKUP(B1687,TRAOPE!$A:$W,23,0)),"")</f>
        <v/>
      </c>
      <c r="S1687" s="10">
        <f>IF(AND(P1687="TN",R1687="TN"),N1687+N(O1687),IF(G1687&amp;""="1",N(K1687)*N1687,(N1687+N(O1687))*N(K1687)))</f>
        <v/>
      </c>
      <c r="T1687" s="10">
        <f>IF(Q1687="","",Q1687-S1687)</f>
        <v/>
      </c>
    </row>
    <row r="1688">
      <c r="A1688" s="7">
        <f>CONCATENATE(C1688,E1688,F1688,I1688)</f>
        <v/>
      </c>
      <c r="B1688" s="7">
        <f>CONCATENATE(C1688,E1688,I1688)</f>
        <v/>
      </c>
      <c r="C1688" s="8" t="n">
        <v>900005214</v>
      </c>
      <c r="D1688" s="7">
        <f>IFERROR(VLOOKUP(C1688,TRAOPE!$G:$H,2,0),"")</f>
        <v/>
      </c>
      <c r="E1688" s="8" t="inlineStr">
        <is>
          <t>D836</t>
        </is>
      </c>
      <c r="F1688" s="8" t="inlineStr">
        <is>
          <t>66239598</t>
        </is>
      </c>
      <c r="G1688" s="8">
        <f>IFERROR(VLOOKUP(A1688,Flete!$A:$E,5,0),"")</f>
        <v/>
      </c>
      <c r="H1688" s="7">
        <f>IFERROR(VLOOKUP(F1688,TRAOPE!$AA:$AB,2,0),"")</f>
        <v/>
      </c>
      <c r="I1688" s="7" t="n">
        <v>10059181</v>
      </c>
      <c r="J1688" s="7">
        <f>IFERROR(VLOOKUP(I1688,Materiales!$A:$H,8,0),"")</f>
        <v/>
      </c>
      <c r="K1688" s="9">
        <f>IFERROR(VLOOKUP(I1688,Materiales!$A:$G,7,0),"")</f>
        <v/>
      </c>
      <c r="L1688" s="8" t="inlineStr">
        <is>
          <t>20190426</t>
        </is>
      </c>
      <c r="M1688" s="8" t="inlineStr">
        <is>
          <t>20250127</t>
        </is>
      </c>
      <c r="N1688" s="10" t="n">
        <v>72.5</v>
      </c>
      <c r="O1688" s="10">
        <f>IFERROR(VLOOKUP(A1688,Flete!$A:$J,10,0),"")</f>
        <v/>
      </c>
      <c r="P1688" s="8" t="inlineStr">
        <is>
          <t>M3</t>
        </is>
      </c>
      <c r="Q1688" s="10">
        <f>IFERROR(IFERROR(VLOOKUP(A1688,TRAOPE!$A:$U,21,0),VLOOKUP(B1688,TRAOPE!$A:$U,21,0)),"")</f>
        <v/>
      </c>
      <c r="R1688" s="8">
        <f>IFERROR(IFERROR(VLOOKUP(A1688,TRAOPE!$A:$W,23,0),VLOOKUP(B1688,TRAOPE!$A:$W,23,0)),"")</f>
        <v/>
      </c>
      <c r="S1688" s="10">
        <f>IF(AND(P1688="TN",R1688="TN"),N1688+N(O1688),IF(G1688&amp;""="1",N(K1688)*N1688,(N1688+N(O1688))*N(K1688)))</f>
        <v/>
      </c>
      <c r="T1688" s="10">
        <f>IF(Q1688="","",Q1688-S1688)</f>
        <v/>
      </c>
    </row>
    <row r="1689">
      <c r="A1689" s="7">
        <f>CONCATENATE(C1689,E1689,F1689,I1689)</f>
        <v/>
      </c>
      <c r="B1689" s="7">
        <f>CONCATENATE(C1689,E1689,I1689)</f>
        <v/>
      </c>
      <c r="C1689" s="8" t="n">
        <v>900005214</v>
      </c>
      <c r="D1689" s="7">
        <f>IFERROR(VLOOKUP(C1689,TRAOPE!$G:$H,2,0),"")</f>
        <v/>
      </c>
      <c r="E1689" s="8" t="inlineStr">
        <is>
          <t>D836</t>
        </is>
      </c>
      <c r="F1689" s="8" t="inlineStr">
        <is>
          <t>66239599</t>
        </is>
      </c>
      <c r="G1689" s="8">
        <f>IFERROR(VLOOKUP(A1689,Flete!$A:$E,5,0),"")</f>
        <v/>
      </c>
      <c r="H1689" s="7">
        <f>IFERROR(VLOOKUP(F1689,TRAOPE!$AA:$AB,2,0),"")</f>
        <v/>
      </c>
      <c r="I1689" s="7" t="n">
        <v>10000253</v>
      </c>
      <c r="J1689" s="7">
        <f>IFERROR(VLOOKUP(I1689,Materiales!$A:$H,8,0),"")</f>
        <v/>
      </c>
      <c r="K1689" s="9">
        <f>IFERROR(VLOOKUP(I1689,Materiales!$A:$G,7,0),"")</f>
        <v/>
      </c>
      <c r="L1689" s="8" t="inlineStr">
        <is>
          <t>20190426</t>
        </is>
      </c>
      <c r="M1689" s="8" t="inlineStr">
        <is>
          <t>20250127</t>
        </is>
      </c>
      <c r="N1689" s="10" t="n">
        <v>76</v>
      </c>
      <c r="O1689" s="10">
        <f>IFERROR(VLOOKUP(A1689,Flete!$A:$J,10,0),"")</f>
        <v/>
      </c>
      <c r="P1689" s="8" t="inlineStr">
        <is>
          <t>M3</t>
        </is>
      </c>
      <c r="Q1689" s="10">
        <f>IFERROR(IFERROR(VLOOKUP(A1689,TRAOPE!$A:$U,21,0),VLOOKUP(B1689,TRAOPE!$A:$U,21,0)),"")</f>
        <v/>
      </c>
      <c r="R1689" s="8">
        <f>IFERROR(IFERROR(VLOOKUP(A1689,TRAOPE!$A:$W,23,0),VLOOKUP(B1689,TRAOPE!$A:$W,23,0)),"")</f>
        <v/>
      </c>
      <c r="S1689" s="10">
        <f>IF(AND(P1689="TN",R1689="TN"),N1689+N(O1689),IF(G1689&amp;""="1",N(K1689)*N1689,(N1689+N(O1689))*N(K1689)))</f>
        <v/>
      </c>
      <c r="T1689" s="10">
        <f>IF(Q1689="","",Q1689-S1689)</f>
        <v/>
      </c>
    </row>
    <row r="1690">
      <c r="A1690" s="7">
        <f>CONCATENATE(C1690,E1690,F1690,I1690)</f>
        <v/>
      </c>
      <c r="B1690" s="7">
        <f>CONCATENATE(C1690,E1690,I1690)</f>
        <v/>
      </c>
      <c r="C1690" s="8" t="n">
        <v>900005214</v>
      </c>
      <c r="D1690" s="7">
        <f>IFERROR(VLOOKUP(C1690,TRAOPE!$G:$H,2,0),"")</f>
        <v/>
      </c>
      <c r="E1690" s="8" t="inlineStr">
        <is>
          <t>D836</t>
        </is>
      </c>
      <c r="F1690" s="8" t="inlineStr">
        <is>
          <t>66239599</t>
        </is>
      </c>
      <c r="G1690" s="8">
        <f>IFERROR(VLOOKUP(A1690,Flete!$A:$E,5,0),"")</f>
        <v/>
      </c>
      <c r="H1690" s="7">
        <f>IFERROR(VLOOKUP(F1690,TRAOPE!$AA:$AB,2,0),"")</f>
        <v/>
      </c>
      <c r="I1690" s="7" t="n">
        <v>10000627</v>
      </c>
      <c r="J1690" s="7">
        <f>IFERROR(VLOOKUP(I1690,Materiales!$A:$H,8,0),"")</f>
        <v/>
      </c>
      <c r="K1690" s="9">
        <f>IFERROR(VLOOKUP(I1690,Materiales!$A:$G,7,0),"")</f>
        <v/>
      </c>
      <c r="L1690" s="8" t="inlineStr">
        <is>
          <t>20190426</t>
        </is>
      </c>
      <c r="M1690" s="8" t="inlineStr">
        <is>
          <t>20250127</t>
        </is>
      </c>
      <c r="N1690" s="10" t="n">
        <v>75</v>
      </c>
      <c r="O1690" s="10">
        <f>IFERROR(VLOOKUP(A1690,Flete!$A:$J,10,0),"")</f>
        <v/>
      </c>
      <c r="P1690" s="8" t="inlineStr">
        <is>
          <t>M3</t>
        </is>
      </c>
      <c r="Q1690" s="10">
        <f>IFERROR(IFERROR(VLOOKUP(A1690,TRAOPE!$A:$U,21,0),VLOOKUP(B1690,TRAOPE!$A:$U,21,0)),"")</f>
        <v/>
      </c>
      <c r="R1690" s="8">
        <f>IFERROR(IFERROR(VLOOKUP(A1690,TRAOPE!$A:$W,23,0),VLOOKUP(B1690,TRAOPE!$A:$W,23,0)),"")</f>
        <v/>
      </c>
      <c r="S1690" s="10">
        <f>IF(AND(P1690="TN",R1690="TN"),N1690+N(O1690),IF(G1690&amp;""="1",N(K1690)*N1690,(N1690+N(O1690))*N(K1690)))</f>
        <v/>
      </c>
      <c r="T1690" s="10">
        <f>IF(Q1690="","",Q1690-S1690)</f>
        <v/>
      </c>
    </row>
    <row r="1691">
      <c r="A1691" s="7">
        <f>CONCATENATE(C1691,E1691,F1691,I1691)</f>
        <v/>
      </c>
      <c r="B1691" s="7">
        <f>CONCATENATE(C1691,E1691,I1691)</f>
        <v/>
      </c>
      <c r="C1691" s="8" t="n">
        <v>900005214</v>
      </c>
      <c r="D1691" s="7">
        <f>IFERROR(VLOOKUP(C1691,TRAOPE!$G:$H,2,0),"")</f>
        <v/>
      </c>
      <c r="E1691" s="8" t="inlineStr">
        <is>
          <t>D836</t>
        </is>
      </c>
      <c r="F1691" s="8" t="inlineStr">
        <is>
          <t>66239599</t>
        </is>
      </c>
      <c r="G1691" s="8">
        <f>IFERROR(VLOOKUP(A1691,Flete!$A:$E,5,0),"")</f>
        <v/>
      </c>
      <c r="H1691" s="7">
        <f>IFERROR(VLOOKUP(F1691,TRAOPE!$AA:$AB,2,0),"")</f>
        <v/>
      </c>
      <c r="I1691" s="7" t="n">
        <v>10059181</v>
      </c>
      <c r="J1691" s="7">
        <f>IFERROR(VLOOKUP(I1691,Materiales!$A:$H,8,0),"")</f>
        <v/>
      </c>
      <c r="K1691" s="9">
        <f>IFERROR(VLOOKUP(I1691,Materiales!$A:$G,7,0),"")</f>
        <v/>
      </c>
      <c r="L1691" s="8" t="inlineStr">
        <is>
          <t>20190426</t>
        </is>
      </c>
      <c r="M1691" s="8" t="inlineStr">
        <is>
          <t>20250127</t>
        </is>
      </c>
      <c r="N1691" s="10" t="n">
        <v>72.5</v>
      </c>
      <c r="O1691" s="10">
        <f>IFERROR(VLOOKUP(A1691,Flete!$A:$J,10,0),"")</f>
        <v/>
      </c>
      <c r="P1691" s="8" t="inlineStr">
        <is>
          <t>M3</t>
        </is>
      </c>
      <c r="Q1691" s="10">
        <f>IFERROR(IFERROR(VLOOKUP(A1691,TRAOPE!$A:$U,21,0),VLOOKUP(B1691,TRAOPE!$A:$U,21,0)),"")</f>
        <v/>
      </c>
      <c r="R1691" s="8">
        <f>IFERROR(IFERROR(VLOOKUP(A1691,TRAOPE!$A:$W,23,0),VLOOKUP(B1691,TRAOPE!$A:$W,23,0)),"")</f>
        <v/>
      </c>
      <c r="S1691" s="10">
        <f>IF(AND(P1691="TN",R1691="TN"),N1691+N(O1691),IF(G1691&amp;""="1",N(K1691)*N1691,(N1691+N(O1691))*N(K1691)))</f>
        <v/>
      </c>
      <c r="T1691" s="10">
        <f>IF(Q1691="","",Q1691-S1691)</f>
        <v/>
      </c>
    </row>
    <row r="1692">
      <c r="A1692" s="7">
        <f>CONCATENATE(C1692,E1692,F1692,I1692)</f>
        <v/>
      </c>
      <c r="B1692" s="7">
        <f>CONCATENATE(C1692,E1692,I1692)</f>
        <v/>
      </c>
      <c r="C1692" s="8" t="n">
        <v>900005214</v>
      </c>
      <c r="D1692" s="7">
        <f>IFERROR(VLOOKUP(C1692,TRAOPE!$G:$H,2,0),"")</f>
        <v/>
      </c>
      <c r="E1692" s="8" t="inlineStr">
        <is>
          <t>D836</t>
        </is>
      </c>
      <c r="F1692" s="8" t="inlineStr">
        <is>
          <t>66239600</t>
        </is>
      </c>
      <c r="G1692" s="8">
        <f>IFERROR(VLOOKUP(A1692,Flete!$A:$E,5,0),"")</f>
        <v/>
      </c>
      <c r="H1692" s="7">
        <f>IFERROR(VLOOKUP(F1692,TRAOPE!$AA:$AB,2,0),"")</f>
        <v/>
      </c>
      <c r="I1692" s="7" t="n">
        <v>10000253</v>
      </c>
      <c r="J1692" s="7">
        <f>IFERROR(VLOOKUP(I1692,Materiales!$A:$H,8,0),"")</f>
        <v/>
      </c>
      <c r="K1692" s="9">
        <f>IFERROR(VLOOKUP(I1692,Materiales!$A:$G,7,0),"")</f>
        <v/>
      </c>
      <c r="L1692" s="8" t="inlineStr">
        <is>
          <t>20190426</t>
        </is>
      </c>
      <c r="M1692" s="8" t="inlineStr">
        <is>
          <t>20250127</t>
        </is>
      </c>
      <c r="N1692" s="10" t="n">
        <v>76</v>
      </c>
      <c r="O1692" s="10">
        <f>IFERROR(VLOOKUP(A1692,Flete!$A:$J,10,0),"")</f>
        <v/>
      </c>
      <c r="P1692" s="8" t="inlineStr">
        <is>
          <t>M3</t>
        </is>
      </c>
      <c r="Q1692" s="10">
        <f>IFERROR(IFERROR(VLOOKUP(A1692,TRAOPE!$A:$U,21,0),VLOOKUP(B1692,TRAOPE!$A:$U,21,0)),"")</f>
        <v/>
      </c>
      <c r="R1692" s="8">
        <f>IFERROR(IFERROR(VLOOKUP(A1692,TRAOPE!$A:$W,23,0),VLOOKUP(B1692,TRAOPE!$A:$W,23,0)),"")</f>
        <v/>
      </c>
      <c r="S1692" s="10">
        <f>IF(AND(P1692="TN",R1692="TN"),N1692+N(O1692),IF(G1692&amp;""="1",N(K1692)*N1692,(N1692+N(O1692))*N(K1692)))</f>
        <v/>
      </c>
      <c r="T1692" s="10">
        <f>IF(Q1692="","",Q1692-S1692)</f>
        <v/>
      </c>
    </row>
    <row r="1693">
      <c r="A1693" s="7">
        <f>CONCATENATE(C1693,E1693,F1693,I1693)</f>
        <v/>
      </c>
      <c r="B1693" s="7">
        <f>CONCATENATE(C1693,E1693,I1693)</f>
        <v/>
      </c>
      <c r="C1693" s="8" t="n">
        <v>900005214</v>
      </c>
      <c r="D1693" s="7">
        <f>IFERROR(VLOOKUP(C1693,TRAOPE!$G:$H,2,0),"")</f>
        <v/>
      </c>
      <c r="E1693" s="8" t="inlineStr">
        <is>
          <t>D836</t>
        </is>
      </c>
      <c r="F1693" s="8" t="inlineStr">
        <is>
          <t>66239600</t>
        </is>
      </c>
      <c r="G1693" s="8">
        <f>IFERROR(VLOOKUP(A1693,Flete!$A:$E,5,0),"")</f>
        <v/>
      </c>
      <c r="H1693" s="7">
        <f>IFERROR(VLOOKUP(F1693,TRAOPE!$AA:$AB,2,0),"")</f>
        <v/>
      </c>
      <c r="I1693" s="7" t="n">
        <v>10000627</v>
      </c>
      <c r="J1693" s="7">
        <f>IFERROR(VLOOKUP(I1693,Materiales!$A:$H,8,0),"")</f>
        <v/>
      </c>
      <c r="K1693" s="9">
        <f>IFERROR(VLOOKUP(I1693,Materiales!$A:$G,7,0),"")</f>
        <v/>
      </c>
      <c r="L1693" s="8" t="inlineStr">
        <is>
          <t>20190426</t>
        </is>
      </c>
      <c r="M1693" s="8" t="inlineStr">
        <is>
          <t>20250127</t>
        </is>
      </c>
      <c r="N1693" s="10" t="n">
        <v>75</v>
      </c>
      <c r="O1693" s="10">
        <f>IFERROR(VLOOKUP(A1693,Flete!$A:$J,10,0),"")</f>
        <v/>
      </c>
      <c r="P1693" s="8" t="inlineStr">
        <is>
          <t>M3</t>
        </is>
      </c>
      <c r="Q1693" s="10">
        <f>IFERROR(IFERROR(VLOOKUP(A1693,TRAOPE!$A:$U,21,0),VLOOKUP(B1693,TRAOPE!$A:$U,21,0)),"")</f>
        <v/>
      </c>
      <c r="R1693" s="8">
        <f>IFERROR(IFERROR(VLOOKUP(A1693,TRAOPE!$A:$W,23,0),VLOOKUP(B1693,TRAOPE!$A:$W,23,0)),"")</f>
        <v/>
      </c>
      <c r="S1693" s="10">
        <f>IF(AND(P1693="TN",R1693="TN"),N1693+N(O1693),IF(G1693&amp;""="1",N(K1693)*N1693,(N1693+N(O1693))*N(K1693)))</f>
        <v/>
      </c>
      <c r="T1693" s="10">
        <f>IF(Q1693="","",Q1693-S1693)</f>
        <v/>
      </c>
    </row>
    <row r="1694">
      <c r="A1694" s="7">
        <f>CONCATENATE(C1694,E1694,F1694,I1694)</f>
        <v/>
      </c>
      <c r="B1694" s="7">
        <f>CONCATENATE(C1694,E1694,I1694)</f>
        <v/>
      </c>
      <c r="C1694" s="8" t="n">
        <v>900005214</v>
      </c>
      <c r="D1694" s="7">
        <f>IFERROR(VLOOKUP(C1694,TRAOPE!$G:$H,2,0),"")</f>
        <v/>
      </c>
      <c r="E1694" s="8" t="inlineStr">
        <is>
          <t>D836</t>
        </is>
      </c>
      <c r="F1694" s="8" t="inlineStr">
        <is>
          <t>66239600</t>
        </is>
      </c>
      <c r="G1694" s="8">
        <f>IFERROR(VLOOKUP(A1694,Flete!$A:$E,5,0),"")</f>
        <v/>
      </c>
      <c r="H1694" s="7">
        <f>IFERROR(VLOOKUP(F1694,TRAOPE!$AA:$AB,2,0),"")</f>
        <v/>
      </c>
      <c r="I1694" s="7" t="n">
        <v>10059181</v>
      </c>
      <c r="J1694" s="7">
        <f>IFERROR(VLOOKUP(I1694,Materiales!$A:$H,8,0),"")</f>
        <v/>
      </c>
      <c r="K1694" s="9">
        <f>IFERROR(VLOOKUP(I1694,Materiales!$A:$G,7,0),"")</f>
        <v/>
      </c>
      <c r="L1694" s="8" t="inlineStr">
        <is>
          <t>20190426</t>
        </is>
      </c>
      <c r="M1694" s="8" t="inlineStr">
        <is>
          <t>20250127</t>
        </is>
      </c>
      <c r="N1694" s="10" t="n">
        <v>72.5</v>
      </c>
      <c r="O1694" s="10">
        <f>IFERROR(VLOOKUP(A1694,Flete!$A:$J,10,0),"")</f>
        <v/>
      </c>
      <c r="P1694" s="8" t="inlineStr">
        <is>
          <t>M3</t>
        </is>
      </c>
      <c r="Q1694" s="10">
        <f>IFERROR(IFERROR(VLOOKUP(A1694,TRAOPE!$A:$U,21,0),VLOOKUP(B1694,TRAOPE!$A:$U,21,0)),"")</f>
        <v/>
      </c>
      <c r="R1694" s="8">
        <f>IFERROR(IFERROR(VLOOKUP(A1694,TRAOPE!$A:$W,23,0),VLOOKUP(B1694,TRAOPE!$A:$W,23,0)),"")</f>
        <v/>
      </c>
      <c r="S1694" s="10">
        <f>IF(AND(P1694="TN",R1694="TN"),N1694+N(O1694),IF(G1694&amp;""="1",N(K1694)*N1694,(N1694+N(O1694))*N(K1694)))</f>
        <v/>
      </c>
      <c r="T1694" s="10">
        <f>IF(Q1694="","",Q1694-S1694)</f>
        <v/>
      </c>
    </row>
    <row r="1695">
      <c r="A1695" s="7">
        <f>CONCATENATE(C1695,E1695,F1695,I1695)</f>
        <v/>
      </c>
      <c r="B1695" s="7">
        <f>CONCATENATE(C1695,E1695,I1695)</f>
        <v/>
      </c>
      <c r="C1695" s="8" t="n">
        <v>900005214</v>
      </c>
      <c r="D1695" s="7">
        <f>IFERROR(VLOOKUP(C1695,TRAOPE!$G:$H,2,0),"")</f>
        <v/>
      </c>
      <c r="E1695" s="8" t="inlineStr">
        <is>
          <t>D836</t>
        </is>
      </c>
      <c r="F1695" s="8" t="inlineStr">
        <is>
          <t>66239601</t>
        </is>
      </c>
      <c r="G1695" s="8">
        <f>IFERROR(VLOOKUP(A1695,Flete!$A:$E,5,0),"")</f>
        <v/>
      </c>
      <c r="H1695" s="7">
        <f>IFERROR(VLOOKUP(F1695,TRAOPE!$AA:$AB,2,0),"")</f>
        <v/>
      </c>
      <c r="I1695" s="7" t="n">
        <v>10000253</v>
      </c>
      <c r="J1695" s="7">
        <f>IFERROR(VLOOKUP(I1695,Materiales!$A:$H,8,0),"")</f>
        <v/>
      </c>
      <c r="K1695" s="9">
        <f>IFERROR(VLOOKUP(I1695,Materiales!$A:$G,7,0),"")</f>
        <v/>
      </c>
      <c r="L1695" s="8" t="inlineStr">
        <is>
          <t>20190426</t>
        </is>
      </c>
      <c r="M1695" s="8" t="inlineStr">
        <is>
          <t>20250127</t>
        </is>
      </c>
      <c r="N1695" s="10" t="n">
        <v>76</v>
      </c>
      <c r="O1695" s="10">
        <f>IFERROR(VLOOKUP(A1695,Flete!$A:$J,10,0),"")</f>
        <v/>
      </c>
      <c r="P1695" s="8" t="inlineStr">
        <is>
          <t>M3</t>
        </is>
      </c>
      <c r="Q1695" s="10">
        <f>IFERROR(IFERROR(VLOOKUP(A1695,TRAOPE!$A:$U,21,0),VLOOKUP(B1695,TRAOPE!$A:$U,21,0)),"")</f>
        <v/>
      </c>
      <c r="R1695" s="8">
        <f>IFERROR(IFERROR(VLOOKUP(A1695,TRAOPE!$A:$W,23,0),VLOOKUP(B1695,TRAOPE!$A:$W,23,0)),"")</f>
        <v/>
      </c>
      <c r="S1695" s="10">
        <f>IF(AND(P1695="TN",R1695="TN"),N1695+N(O1695),IF(G1695&amp;""="1",N(K1695)*N1695,(N1695+N(O1695))*N(K1695)))</f>
        <v/>
      </c>
      <c r="T1695" s="10">
        <f>IF(Q1695="","",Q1695-S1695)</f>
        <v/>
      </c>
    </row>
    <row r="1696">
      <c r="A1696" s="7">
        <f>CONCATENATE(C1696,E1696,F1696,I1696)</f>
        <v/>
      </c>
      <c r="B1696" s="7">
        <f>CONCATENATE(C1696,E1696,I1696)</f>
        <v/>
      </c>
      <c r="C1696" s="8" t="n">
        <v>900005214</v>
      </c>
      <c r="D1696" s="7">
        <f>IFERROR(VLOOKUP(C1696,TRAOPE!$G:$H,2,0),"")</f>
        <v/>
      </c>
      <c r="E1696" s="8" t="inlineStr">
        <is>
          <t>D836</t>
        </is>
      </c>
      <c r="F1696" s="8" t="inlineStr">
        <is>
          <t>66239601</t>
        </is>
      </c>
      <c r="G1696" s="8">
        <f>IFERROR(VLOOKUP(A1696,Flete!$A:$E,5,0),"")</f>
        <v/>
      </c>
      <c r="H1696" s="7">
        <f>IFERROR(VLOOKUP(F1696,TRAOPE!$AA:$AB,2,0),"")</f>
        <v/>
      </c>
      <c r="I1696" s="7" t="n">
        <v>10000627</v>
      </c>
      <c r="J1696" s="7">
        <f>IFERROR(VLOOKUP(I1696,Materiales!$A:$H,8,0),"")</f>
        <v/>
      </c>
      <c r="K1696" s="9">
        <f>IFERROR(VLOOKUP(I1696,Materiales!$A:$G,7,0),"")</f>
        <v/>
      </c>
      <c r="L1696" s="8" t="inlineStr">
        <is>
          <t>20190426</t>
        </is>
      </c>
      <c r="M1696" s="8" t="inlineStr">
        <is>
          <t>20250127</t>
        </is>
      </c>
      <c r="N1696" s="10" t="n">
        <v>75</v>
      </c>
      <c r="O1696" s="10">
        <f>IFERROR(VLOOKUP(A1696,Flete!$A:$J,10,0),"")</f>
        <v/>
      </c>
      <c r="P1696" s="8" t="inlineStr">
        <is>
          <t>M3</t>
        </is>
      </c>
      <c r="Q1696" s="10">
        <f>IFERROR(IFERROR(VLOOKUP(A1696,TRAOPE!$A:$U,21,0),VLOOKUP(B1696,TRAOPE!$A:$U,21,0)),"")</f>
        <v/>
      </c>
      <c r="R1696" s="8">
        <f>IFERROR(IFERROR(VLOOKUP(A1696,TRAOPE!$A:$W,23,0),VLOOKUP(B1696,TRAOPE!$A:$W,23,0)),"")</f>
        <v/>
      </c>
      <c r="S1696" s="10">
        <f>IF(AND(P1696="TN",R1696="TN"),N1696+N(O1696),IF(G1696&amp;""="1",N(K1696)*N1696,(N1696+N(O1696))*N(K1696)))</f>
        <v/>
      </c>
      <c r="T1696" s="10">
        <f>IF(Q1696="","",Q1696-S1696)</f>
        <v/>
      </c>
    </row>
    <row r="1697">
      <c r="A1697" s="7">
        <f>CONCATENATE(C1697,E1697,F1697,I1697)</f>
        <v/>
      </c>
      <c r="B1697" s="7">
        <f>CONCATENATE(C1697,E1697,I1697)</f>
        <v/>
      </c>
      <c r="C1697" s="8" t="n">
        <v>900005214</v>
      </c>
      <c r="D1697" s="7">
        <f>IFERROR(VLOOKUP(C1697,TRAOPE!$G:$H,2,0),"")</f>
        <v/>
      </c>
      <c r="E1697" s="8" t="inlineStr">
        <is>
          <t>D836</t>
        </is>
      </c>
      <c r="F1697" s="8" t="inlineStr">
        <is>
          <t>66239601</t>
        </is>
      </c>
      <c r="G1697" s="8">
        <f>IFERROR(VLOOKUP(A1697,Flete!$A:$E,5,0),"")</f>
        <v/>
      </c>
      <c r="H1697" s="7">
        <f>IFERROR(VLOOKUP(F1697,TRAOPE!$AA:$AB,2,0),"")</f>
        <v/>
      </c>
      <c r="I1697" s="7" t="n">
        <v>10059181</v>
      </c>
      <c r="J1697" s="7">
        <f>IFERROR(VLOOKUP(I1697,Materiales!$A:$H,8,0),"")</f>
        <v/>
      </c>
      <c r="K1697" s="9">
        <f>IFERROR(VLOOKUP(I1697,Materiales!$A:$G,7,0),"")</f>
        <v/>
      </c>
      <c r="L1697" s="8" t="inlineStr">
        <is>
          <t>20190426</t>
        </is>
      </c>
      <c r="M1697" s="8" t="inlineStr">
        <is>
          <t>20250127</t>
        </is>
      </c>
      <c r="N1697" s="10" t="n">
        <v>72.5</v>
      </c>
      <c r="O1697" s="10">
        <f>IFERROR(VLOOKUP(A1697,Flete!$A:$J,10,0),"")</f>
        <v/>
      </c>
      <c r="P1697" s="8" t="inlineStr">
        <is>
          <t>M3</t>
        </is>
      </c>
      <c r="Q1697" s="10">
        <f>IFERROR(IFERROR(VLOOKUP(A1697,TRAOPE!$A:$U,21,0),VLOOKUP(B1697,TRAOPE!$A:$U,21,0)),"")</f>
        <v/>
      </c>
      <c r="R1697" s="8">
        <f>IFERROR(IFERROR(VLOOKUP(A1697,TRAOPE!$A:$W,23,0),VLOOKUP(B1697,TRAOPE!$A:$W,23,0)),"")</f>
        <v/>
      </c>
      <c r="S1697" s="10">
        <f>IF(AND(P1697="TN",R1697="TN"),N1697+N(O1697),IF(G1697&amp;""="1",N(K1697)*N1697,(N1697+N(O1697))*N(K1697)))</f>
        <v/>
      </c>
      <c r="T1697" s="10">
        <f>IF(Q1697="","",Q1697-S1697)</f>
        <v/>
      </c>
    </row>
    <row r="1698">
      <c r="A1698" s="7">
        <f>CONCATENATE(C1698,E1698,F1698,I1698)</f>
        <v/>
      </c>
      <c r="B1698" s="7">
        <f>CONCATENATE(C1698,E1698,I1698)</f>
        <v/>
      </c>
      <c r="C1698" s="8" t="n">
        <v>900005214</v>
      </c>
      <c r="D1698" s="7">
        <f>IFERROR(VLOOKUP(C1698,TRAOPE!$G:$H,2,0),"")</f>
        <v/>
      </c>
      <c r="E1698" s="8" t="inlineStr">
        <is>
          <t>D836</t>
        </is>
      </c>
      <c r="F1698" s="8" t="inlineStr">
        <is>
          <t>66239617</t>
        </is>
      </c>
      <c r="G1698" s="8">
        <f>IFERROR(VLOOKUP(A1698,Flete!$A:$E,5,0),"")</f>
        <v/>
      </c>
      <c r="H1698" s="7">
        <f>IFERROR(VLOOKUP(F1698,TRAOPE!$AA:$AB,2,0),"")</f>
        <v/>
      </c>
      <c r="I1698" s="7" t="n">
        <v>10000253</v>
      </c>
      <c r="J1698" s="7">
        <f>IFERROR(VLOOKUP(I1698,Materiales!$A:$H,8,0),"")</f>
        <v/>
      </c>
      <c r="K1698" s="9">
        <f>IFERROR(VLOOKUP(I1698,Materiales!$A:$G,7,0),"")</f>
        <v/>
      </c>
      <c r="L1698" s="8" t="inlineStr">
        <is>
          <t>20190426</t>
        </is>
      </c>
      <c r="M1698" s="8" t="inlineStr">
        <is>
          <t>20250127</t>
        </is>
      </c>
      <c r="N1698" s="10" t="n">
        <v>76</v>
      </c>
      <c r="O1698" s="10">
        <f>IFERROR(VLOOKUP(A1698,Flete!$A:$J,10,0),"")</f>
        <v/>
      </c>
      <c r="P1698" s="8" t="inlineStr">
        <is>
          <t>M3</t>
        </is>
      </c>
      <c r="Q1698" s="10">
        <f>IFERROR(IFERROR(VLOOKUP(A1698,TRAOPE!$A:$U,21,0),VLOOKUP(B1698,TRAOPE!$A:$U,21,0)),"")</f>
        <v/>
      </c>
      <c r="R1698" s="8">
        <f>IFERROR(IFERROR(VLOOKUP(A1698,TRAOPE!$A:$W,23,0),VLOOKUP(B1698,TRAOPE!$A:$W,23,0)),"")</f>
        <v/>
      </c>
      <c r="S1698" s="10">
        <f>IF(AND(P1698="TN",R1698="TN"),N1698+N(O1698),IF(G1698&amp;""="1",N(K1698)*N1698,(N1698+N(O1698))*N(K1698)))</f>
        <v/>
      </c>
      <c r="T1698" s="10">
        <f>IF(Q1698="","",Q1698-S1698)</f>
        <v/>
      </c>
    </row>
    <row r="1699">
      <c r="A1699" s="7">
        <f>CONCATENATE(C1699,E1699,F1699,I1699)</f>
        <v/>
      </c>
      <c r="B1699" s="7">
        <f>CONCATENATE(C1699,E1699,I1699)</f>
        <v/>
      </c>
      <c r="C1699" s="8" t="n">
        <v>900005214</v>
      </c>
      <c r="D1699" s="7">
        <f>IFERROR(VLOOKUP(C1699,TRAOPE!$G:$H,2,0),"")</f>
        <v/>
      </c>
      <c r="E1699" s="8" t="inlineStr">
        <is>
          <t>D836</t>
        </is>
      </c>
      <c r="F1699" s="8" t="inlineStr">
        <is>
          <t>66239617</t>
        </is>
      </c>
      <c r="G1699" s="8">
        <f>IFERROR(VLOOKUP(A1699,Flete!$A:$E,5,0),"")</f>
        <v/>
      </c>
      <c r="H1699" s="7">
        <f>IFERROR(VLOOKUP(F1699,TRAOPE!$AA:$AB,2,0),"")</f>
        <v/>
      </c>
      <c r="I1699" s="7" t="n">
        <v>10000627</v>
      </c>
      <c r="J1699" s="7">
        <f>IFERROR(VLOOKUP(I1699,Materiales!$A:$H,8,0),"")</f>
        <v/>
      </c>
      <c r="K1699" s="9">
        <f>IFERROR(VLOOKUP(I1699,Materiales!$A:$G,7,0),"")</f>
        <v/>
      </c>
      <c r="L1699" s="8" t="inlineStr">
        <is>
          <t>20190426</t>
        </is>
      </c>
      <c r="M1699" s="8" t="inlineStr">
        <is>
          <t>20250127</t>
        </is>
      </c>
      <c r="N1699" s="10" t="n">
        <v>75</v>
      </c>
      <c r="O1699" s="10">
        <f>IFERROR(VLOOKUP(A1699,Flete!$A:$J,10,0),"")</f>
        <v/>
      </c>
      <c r="P1699" s="8" t="inlineStr">
        <is>
          <t>M3</t>
        </is>
      </c>
      <c r="Q1699" s="10">
        <f>IFERROR(IFERROR(VLOOKUP(A1699,TRAOPE!$A:$U,21,0),VLOOKUP(B1699,TRAOPE!$A:$U,21,0)),"")</f>
        <v/>
      </c>
      <c r="R1699" s="8">
        <f>IFERROR(IFERROR(VLOOKUP(A1699,TRAOPE!$A:$W,23,0),VLOOKUP(B1699,TRAOPE!$A:$W,23,0)),"")</f>
        <v/>
      </c>
      <c r="S1699" s="10">
        <f>IF(AND(P1699="TN",R1699="TN"),N1699+N(O1699),IF(G1699&amp;""="1",N(K1699)*N1699,(N1699+N(O1699))*N(K1699)))</f>
        <v/>
      </c>
      <c r="T1699" s="10">
        <f>IF(Q1699="","",Q1699-S1699)</f>
        <v/>
      </c>
    </row>
    <row r="1700">
      <c r="A1700" s="7">
        <f>CONCATENATE(C1700,E1700,F1700,I1700)</f>
        <v/>
      </c>
      <c r="B1700" s="7">
        <f>CONCATENATE(C1700,E1700,I1700)</f>
        <v/>
      </c>
      <c r="C1700" s="8" t="n">
        <v>900005214</v>
      </c>
      <c r="D1700" s="7">
        <f>IFERROR(VLOOKUP(C1700,TRAOPE!$G:$H,2,0),"")</f>
        <v/>
      </c>
      <c r="E1700" s="8" t="inlineStr">
        <is>
          <t>D836</t>
        </is>
      </c>
      <c r="F1700" s="8" t="inlineStr">
        <is>
          <t>66239617</t>
        </is>
      </c>
      <c r="G1700" s="8">
        <f>IFERROR(VLOOKUP(A1700,Flete!$A:$E,5,0),"")</f>
        <v/>
      </c>
      <c r="H1700" s="7">
        <f>IFERROR(VLOOKUP(F1700,TRAOPE!$AA:$AB,2,0),"")</f>
        <v/>
      </c>
      <c r="I1700" s="7" t="n">
        <v>10059181</v>
      </c>
      <c r="J1700" s="7">
        <f>IFERROR(VLOOKUP(I1700,Materiales!$A:$H,8,0),"")</f>
        <v/>
      </c>
      <c r="K1700" s="9">
        <f>IFERROR(VLOOKUP(I1700,Materiales!$A:$G,7,0),"")</f>
        <v/>
      </c>
      <c r="L1700" s="8" t="inlineStr">
        <is>
          <t>20190426</t>
        </is>
      </c>
      <c r="M1700" s="8" t="inlineStr">
        <is>
          <t>20250127</t>
        </is>
      </c>
      <c r="N1700" s="10" t="n">
        <v>72.5</v>
      </c>
      <c r="O1700" s="10">
        <f>IFERROR(VLOOKUP(A1700,Flete!$A:$J,10,0),"")</f>
        <v/>
      </c>
      <c r="P1700" s="8" t="inlineStr">
        <is>
          <t>M3</t>
        </is>
      </c>
      <c r="Q1700" s="10">
        <f>IFERROR(IFERROR(VLOOKUP(A1700,TRAOPE!$A:$U,21,0),VLOOKUP(B1700,TRAOPE!$A:$U,21,0)),"")</f>
        <v/>
      </c>
      <c r="R1700" s="8">
        <f>IFERROR(IFERROR(VLOOKUP(A1700,TRAOPE!$A:$W,23,0),VLOOKUP(B1700,TRAOPE!$A:$W,23,0)),"")</f>
        <v/>
      </c>
      <c r="S1700" s="10">
        <f>IF(AND(P1700="TN",R1700="TN"),N1700+N(O1700),IF(G1700&amp;""="1",N(K1700)*N1700,(N1700+N(O1700))*N(K1700)))</f>
        <v/>
      </c>
      <c r="T1700" s="10">
        <f>IF(Q1700="","",Q1700-S1700)</f>
        <v/>
      </c>
    </row>
    <row r="1701">
      <c r="A1701" s="7">
        <f>CONCATENATE(C1701,E1701,F1701,I1701)</f>
        <v/>
      </c>
      <c r="B1701" s="7">
        <f>CONCATENATE(C1701,E1701,I1701)</f>
        <v/>
      </c>
      <c r="C1701" s="8" t="n">
        <v>900005214</v>
      </c>
      <c r="D1701" s="7">
        <f>IFERROR(VLOOKUP(C1701,TRAOPE!$G:$H,2,0),"")</f>
        <v/>
      </c>
      <c r="E1701" s="8" t="inlineStr">
        <is>
          <t>D836</t>
        </is>
      </c>
      <c r="F1701" s="8" t="inlineStr">
        <is>
          <t>66239621</t>
        </is>
      </c>
      <c r="G1701" s="8">
        <f>IFERROR(VLOOKUP(A1701,Flete!$A:$E,5,0),"")</f>
        <v/>
      </c>
      <c r="H1701" s="7">
        <f>IFERROR(VLOOKUP(F1701,TRAOPE!$AA:$AB,2,0),"")</f>
        <v/>
      </c>
      <c r="I1701" s="7" t="n">
        <v>10000253</v>
      </c>
      <c r="J1701" s="7">
        <f>IFERROR(VLOOKUP(I1701,Materiales!$A:$H,8,0),"")</f>
        <v/>
      </c>
      <c r="K1701" s="9">
        <f>IFERROR(VLOOKUP(I1701,Materiales!$A:$G,7,0),"")</f>
        <v/>
      </c>
      <c r="L1701" s="8" t="inlineStr">
        <is>
          <t>20190426</t>
        </is>
      </c>
      <c r="M1701" s="8" t="inlineStr">
        <is>
          <t>20250127</t>
        </is>
      </c>
      <c r="N1701" s="10" t="n">
        <v>76</v>
      </c>
      <c r="O1701" s="10">
        <f>IFERROR(VLOOKUP(A1701,Flete!$A:$J,10,0),"")</f>
        <v/>
      </c>
      <c r="P1701" s="8" t="inlineStr">
        <is>
          <t>M3</t>
        </is>
      </c>
      <c r="Q1701" s="10">
        <f>IFERROR(IFERROR(VLOOKUP(A1701,TRAOPE!$A:$U,21,0),VLOOKUP(B1701,TRAOPE!$A:$U,21,0)),"")</f>
        <v/>
      </c>
      <c r="R1701" s="8">
        <f>IFERROR(IFERROR(VLOOKUP(A1701,TRAOPE!$A:$W,23,0),VLOOKUP(B1701,TRAOPE!$A:$W,23,0)),"")</f>
        <v/>
      </c>
      <c r="S1701" s="10">
        <f>IF(AND(P1701="TN",R1701="TN"),N1701+N(O1701),IF(G1701&amp;""="1",N(K1701)*N1701,(N1701+N(O1701))*N(K1701)))</f>
        <v/>
      </c>
      <c r="T1701" s="10">
        <f>IF(Q1701="","",Q1701-S1701)</f>
        <v/>
      </c>
    </row>
    <row r="1702">
      <c r="A1702" s="7">
        <f>CONCATENATE(C1702,E1702,F1702,I1702)</f>
        <v/>
      </c>
      <c r="B1702" s="7">
        <f>CONCATENATE(C1702,E1702,I1702)</f>
        <v/>
      </c>
      <c r="C1702" s="8" t="n">
        <v>900005214</v>
      </c>
      <c r="D1702" s="7">
        <f>IFERROR(VLOOKUP(C1702,TRAOPE!$G:$H,2,0),"")</f>
        <v/>
      </c>
      <c r="E1702" s="8" t="inlineStr">
        <is>
          <t>D836</t>
        </is>
      </c>
      <c r="F1702" s="8" t="inlineStr">
        <is>
          <t>66239621</t>
        </is>
      </c>
      <c r="G1702" s="8">
        <f>IFERROR(VLOOKUP(A1702,Flete!$A:$E,5,0),"")</f>
        <v/>
      </c>
      <c r="H1702" s="7">
        <f>IFERROR(VLOOKUP(F1702,TRAOPE!$AA:$AB,2,0),"")</f>
        <v/>
      </c>
      <c r="I1702" s="7" t="n">
        <v>10000627</v>
      </c>
      <c r="J1702" s="7">
        <f>IFERROR(VLOOKUP(I1702,Materiales!$A:$H,8,0),"")</f>
        <v/>
      </c>
      <c r="K1702" s="9">
        <f>IFERROR(VLOOKUP(I1702,Materiales!$A:$G,7,0),"")</f>
        <v/>
      </c>
      <c r="L1702" s="8" t="inlineStr">
        <is>
          <t>20190426</t>
        </is>
      </c>
      <c r="M1702" s="8" t="inlineStr">
        <is>
          <t>20250127</t>
        </is>
      </c>
      <c r="N1702" s="10" t="n">
        <v>75</v>
      </c>
      <c r="O1702" s="10">
        <f>IFERROR(VLOOKUP(A1702,Flete!$A:$J,10,0),"")</f>
        <v/>
      </c>
      <c r="P1702" s="8" t="inlineStr">
        <is>
          <t>M3</t>
        </is>
      </c>
      <c r="Q1702" s="10">
        <f>IFERROR(IFERROR(VLOOKUP(A1702,TRAOPE!$A:$U,21,0),VLOOKUP(B1702,TRAOPE!$A:$U,21,0)),"")</f>
        <v/>
      </c>
      <c r="R1702" s="8">
        <f>IFERROR(IFERROR(VLOOKUP(A1702,TRAOPE!$A:$W,23,0),VLOOKUP(B1702,TRAOPE!$A:$W,23,0)),"")</f>
        <v/>
      </c>
      <c r="S1702" s="10">
        <f>IF(AND(P1702="TN",R1702="TN"),N1702+N(O1702),IF(G1702&amp;""="1",N(K1702)*N1702,(N1702+N(O1702))*N(K1702)))</f>
        <v/>
      </c>
      <c r="T1702" s="10">
        <f>IF(Q1702="","",Q1702-S1702)</f>
        <v/>
      </c>
    </row>
    <row r="1703">
      <c r="A1703" s="7">
        <f>CONCATENATE(C1703,E1703,F1703,I1703)</f>
        <v/>
      </c>
      <c r="B1703" s="7">
        <f>CONCATENATE(C1703,E1703,I1703)</f>
        <v/>
      </c>
      <c r="C1703" s="8" t="n">
        <v>900005214</v>
      </c>
      <c r="D1703" s="7">
        <f>IFERROR(VLOOKUP(C1703,TRAOPE!$G:$H,2,0),"")</f>
        <v/>
      </c>
      <c r="E1703" s="8" t="inlineStr">
        <is>
          <t>D836</t>
        </is>
      </c>
      <c r="F1703" s="8" t="inlineStr">
        <is>
          <t>66239621</t>
        </is>
      </c>
      <c r="G1703" s="8">
        <f>IFERROR(VLOOKUP(A1703,Flete!$A:$E,5,0),"")</f>
        <v/>
      </c>
      <c r="H1703" s="7">
        <f>IFERROR(VLOOKUP(F1703,TRAOPE!$AA:$AB,2,0),"")</f>
        <v/>
      </c>
      <c r="I1703" s="7" t="n">
        <v>10059181</v>
      </c>
      <c r="J1703" s="7">
        <f>IFERROR(VLOOKUP(I1703,Materiales!$A:$H,8,0),"")</f>
        <v/>
      </c>
      <c r="K1703" s="9">
        <f>IFERROR(VLOOKUP(I1703,Materiales!$A:$G,7,0),"")</f>
        <v/>
      </c>
      <c r="L1703" s="8" t="inlineStr">
        <is>
          <t>20190426</t>
        </is>
      </c>
      <c r="M1703" s="8" t="inlineStr">
        <is>
          <t>20250127</t>
        </is>
      </c>
      <c r="N1703" s="10" t="n">
        <v>72.5</v>
      </c>
      <c r="O1703" s="10">
        <f>IFERROR(VLOOKUP(A1703,Flete!$A:$J,10,0),"")</f>
        <v/>
      </c>
      <c r="P1703" s="8" t="inlineStr">
        <is>
          <t>M3</t>
        </is>
      </c>
      <c r="Q1703" s="10">
        <f>IFERROR(IFERROR(VLOOKUP(A1703,TRAOPE!$A:$U,21,0),VLOOKUP(B1703,TRAOPE!$A:$U,21,0)),"")</f>
        <v/>
      </c>
      <c r="R1703" s="8">
        <f>IFERROR(IFERROR(VLOOKUP(A1703,TRAOPE!$A:$W,23,0),VLOOKUP(B1703,TRAOPE!$A:$W,23,0)),"")</f>
        <v/>
      </c>
      <c r="S1703" s="10">
        <f>IF(AND(P1703="TN",R1703="TN"),N1703+N(O1703),IF(G1703&amp;""="1",N(K1703)*N1703,(N1703+N(O1703))*N(K1703)))</f>
        <v/>
      </c>
      <c r="T1703" s="10">
        <f>IF(Q1703="","",Q1703-S1703)</f>
        <v/>
      </c>
    </row>
    <row r="1704">
      <c r="A1704" s="7">
        <f>CONCATENATE(C1704,E1704,F1704,I1704)</f>
        <v/>
      </c>
      <c r="B1704" s="7">
        <f>CONCATENATE(C1704,E1704,I1704)</f>
        <v/>
      </c>
      <c r="C1704" s="8" t="n">
        <v>900005214</v>
      </c>
      <c r="D1704" s="7">
        <f>IFERROR(VLOOKUP(C1704,TRAOPE!$G:$H,2,0),"")</f>
        <v/>
      </c>
      <c r="E1704" s="8" t="inlineStr">
        <is>
          <t>D836</t>
        </is>
      </c>
      <c r="F1704" s="8" t="inlineStr">
        <is>
          <t>66239627</t>
        </is>
      </c>
      <c r="G1704" s="8">
        <f>IFERROR(VLOOKUP(A1704,Flete!$A:$E,5,0),"")</f>
        <v/>
      </c>
      <c r="H1704" s="7">
        <f>IFERROR(VLOOKUP(F1704,TRAOPE!$AA:$AB,2,0),"")</f>
        <v/>
      </c>
      <c r="I1704" s="7" t="n">
        <v>10000253</v>
      </c>
      <c r="J1704" s="7">
        <f>IFERROR(VLOOKUP(I1704,Materiales!$A:$H,8,0),"")</f>
        <v/>
      </c>
      <c r="K1704" s="9">
        <f>IFERROR(VLOOKUP(I1704,Materiales!$A:$G,7,0),"")</f>
        <v/>
      </c>
      <c r="L1704" s="8" t="inlineStr">
        <is>
          <t>20190426</t>
        </is>
      </c>
      <c r="M1704" s="8" t="inlineStr">
        <is>
          <t>20250127</t>
        </is>
      </c>
      <c r="N1704" s="10" t="n">
        <v>76</v>
      </c>
      <c r="O1704" s="10">
        <f>IFERROR(VLOOKUP(A1704,Flete!$A:$J,10,0),"")</f>
        <v/>
      </c>
      <c r="P1704" s="8" t="inlineStr">
        <is>
          <t>M3</t>
        </is>
      </c>
      <c r="Q1704" s="10">
        <f>IFERROR(IFERROR(VLOOKUP(A1704,TRAOPE!$A:$U,21,0),VLOOKUP(B1704,TRAOPE!$A:$U,21,0)),"")</f>
        <v/>
      </c>
      <c r="R1704" s="8">
        <f>IFERROR(IFERROR(VLOOKUP(A1704,TRAOPE!$A:$W,23,0),VLOOKUP(B1704,TRAOPE!$A:$W,23,0)),"")</f>
        <v/>
      </c>
      <c r="S1704" s="10">
        <f>IF(AND(P1704="TN",R1704="TN"),N1704+N(O1704),IF(G1704&amp;""="1",N(K1704)*N1704,(N1704+N(O1704))*N(K1704)))</f>
        <v/>
      </c>
      <c r="T1704" s="10">
        <f>IF(Q1704="","",Q1704-S1704)</f>
        <v/>
      </c>
    </row>
    <row r="1705">
      <c r="A1705" s="7">
        <f>CONCATENATE(C1705,E1705,F1705,I1705)</f>
        <v/>
      </c>
      <c r="B1705" s="7">
        <f>CONCATENATE(C1705,E1705,I1705)</f>
        <v/>
      </c>
      <c r="C1705" s="8" t="n">
        <v>900005214</v>
      </c>
      <c r="D1705" s="7">
        <f>IFERROR(VLOOKUP(C1705,TRAOPE!$G:$H,2,0),"")</f>
        <v/>
      </c>
      <c r="E1705" s="8" t="inlineStr">
        <is>
          <t>D836</t>
        </is>
      </c>
      <c r="F1705" s="8" t="inlineStr">
        <is>
          <t>66239627</t>
        </is>
      </c>
      <c r="G1705" s="8">
        <f>IFERROR(VLOOKUP(A1705,Flete!$A:$E,5,0),"")</f>
        <v/>
      </c>
      <c r="H1705" s="7">
        <f>IFERROR(VLOOKUP(F1705,TRAOPE!$AA:$AB,2,0),"")</f>
        <v/>
      </c>
      <c r="I1705" s="7" t="n">
        <v>10000627</v>
      </c>
      <c r="J1705" s="7">
        <f>IFERROR(VLOOKUP(I1705,Materiales!$A:$H,8,0),"")</f>
        <v/>
      </c>
      <c r="K1705" s="9">
        <f>IFERROR(VLOOKUP(I1705,Materiales!$A:$G,7,0),"")</f>
        <v/>
      </c>
      <c r="L1705" s="8" t="inlineStr">
        <is>
          <t>20190426</t>
        </is>
      </c>
      <c r="M1705" s="8" t="inlineStr">
        <is>
          <t>20250127</t>
        </is>
      </c>
      <c r="N1705" s="10" t="n">
        <v>75</v>
      </c>
      <c r="O1705" s="10">
        <f>IFERROR(VLOOKUP(A1705,Flete!$A:$J,10,0),"")</f>
        <v/>
      </c>
      <c r="P1705" s="8" t="inlineStr">
        <is>
          <t>M3</t>
        </is>
      </c>
      <c r="Q1705" s="10">
        <f>IFERROR(IFERROR(VLOOKUP(A1705,TRAOPE!$A:$U,21,0),VLOOKUP(B1705,TRAOPE!$A:$U,21,0)),"")</f>
        <v/>
      </c>
      <c r="R1705" s="8">
        <f>IFERROR(IFERROR(VLOOKUP(A1705,TRAOPE!$A:$W,23,0),VLOOKUP(B1705,TRAOPE!$A:$W,23,0)),"")</f>
        <v/>
      </c>
      <c r="S1705" s="10">
        <f>IF(AND(P1705="TN",R1705="TN"),N1705+N(O1705),IF(G1705&amp;""="1",N(K1705)*N1705,(N1705+N(O1705))*N(K1705)))</f>
        <v/>
      </c>
      <c r="T1705" s="10">
        <f>IF(Q1705="","",Q1705-S1705)</f>
        <v/>
      </c>
    </row>
    <row r="1706">
      <c r="A1706" s="7">
        <f>CONCATENATE(C1706,E1706,F1706,I1706)</f>
        <v/>
      </c>
      <c r="B1706" s="7">
        <f>CONCATENATE(C1706,E1706,I1706)</f>
        <v/>
      </c>
      <c r="C1706" s="8" t="n">
        <v>900005214</v>
      </c>
      <c r="D1706" s="7">
        <f>IFERROR(VLOOKUP(C1706,TRAOPE!$G:$H,2,0),"")</f>
        <v/>
      </c>
      <c r="E1706" s="8" t="inlineStr">
        <is>
          <t>D836</t>
        </is>
      </c>
      <c r="F1706" s="8" t="inlineStr">
        <is>
          <t>66239627</t>
        </is>
      </c>
      <c r="G1706" s="8">
        <f>IFERROR(VLOOKUP(A1706,Flete!$A:$E,5,0),"")</f>
        <v/>
      </c>
      <c r="H1706" s="7">
        <f>IFERROR(VLOOKUP(F1706,TRAOPE!$AA:$AB,2,0),"")</f>
        <v/>
      </c>
      <c r="I1706" s="7" t="n">
        <v>10059181</v>
      </c>
      <c r="J1706" s="7">
        <f>IFERROR(VLOOKUP(I1706,Materiales!$A:$H,8,0),"")</f>
        <v/>
      </c>
      <c r="K1706" s="9">
        <f>IFERROR(VLOOKUP(I1706,Materiales!$A:$G,7,0),"")</f>
        <v/>
      </c>
      <c r="L1706" s="8" t="inlineStr">
        <is>
          <t>20190426</t>
        </is>
      </c>
      <c r="M1706" s="8" t="inlineStr">
        <is>
          <t>20250127</t>
        </is>
      </c>
      <c r="N1706" s="10" t="n">
        <v>72.5</v>
      </c>
      <c r="O1706" s="10">
        <f>IFERROR(VLOOKUP(A1706,Flete!$A:$J,10,0),"")</f>
        <v/>
      </c>
      <c r="P1706" s="8" t="inlineStr">
        <is>
          <t>M3</t>
        </is>
      </c>
      <c r="Q1706" s="10">
        <f>IFERROR(IFERROR(VLOOKUP(A1706,TRAOPE!$A:$U,21,0),VLOOKUP(B1706,TRAOPE!$A:$U,21,0)),"")</f>
        <v/>
      </c>
      <c r="R1706" s="8">
        <f>IFERROR(IFERROR(VLOOKUP(A1706,TRAOPE!$A:$W,23,0),VLOOKUP(B1706,TRAOPE!$A:$W,23,0)),"")</f>
        <v/>
      </c>
      <c r="S1706" s="10">
        <f>IF(AND(P1706="TN",R1706="TN"),N1706+N(O1706),IF(G1706&amp;""="1",N(K1706)*N1706,(N1706+N(O1706))*N(K1706)))</f>
        <v/>
      </c>
      <c r="T1706" s="10">
        <f>IF(Q1706="","",Q1706-S1706)</f>
        <v/>
      </c>
    </row>
    <row r="1707">
      <c r="A1707" s="7">
        <f>CONCATENATE(C1707,E1707,F1707,I1707)</f>
        <v/>
      </c>
      <c r="B1707" s="7">
        <f>CONCATENATE(C1707,E1707,I1707)</f>
        <v/>
      </c>
      <c r="C1707" s="8" t="n">
        <v>900005214</v>
      </c>
      <c r="D1707" s="7">
        <f>IFERROR(VLOOKUP(C1707,TRAOPE!$G:$H,2,0),"")</f>
        <v/>
      </c>
      <c r="E1707" s="8" t="inlineStr">
        <is>
          <t>D836</t>
        </is>
      </c>
      <c r="F1707" s="8" t="inlineStr">
        <is>
          <t>66239628</t>
        </is>
      </c>
      <c r="G1707" s="8">
        <f>IFERROR(VLOOKUP(A1707,Flete!$A:$E,5,0),"")</f>
        <v/>
      </c>
      <c r="H1707" s="7">
        <f>IFERROR(VLOOKUP(F1707,TRAOPE!$AA:$AB,2,0),"")</f>
        <v/>
      </c>
      <c r="I1707" s="7" t="n">
        <v>10000253</v>
      </c>
      <c r="J1707" s="7">
        <f>IFERROR(VLOOKUP(I1707,Materiales!$A:$H,8,0),"")</f>
        <v/>
      </c>
      <c r="K1707" s="9">
        <f>IFERROR(VLOOKUP(I1707,Materiales!$A:$G,7,0),"")</f>
        <v/>
      </c>
      <c r="L1707" s="8" t="inlineStr">
        <is>
          <t>20190426</t>
        </is>
      </c>
      <c r="M1707" s="8" t="inlineStr">
        <is>
          <t>20250127</t>
        </is>
      </c>
      <c r="N1707" s="10" t="n">
        <v>76</v>
      </c>
      <c r="O1707" s="10">
        <f>IFERROR(VLOOKUP(A1707,Flete!$A:$J,10,0),"")</f>
        <v/>
      </c>
      <c r="P1707" s="8" t="inlineStr">
        <is>
          <t>M3</t>
        </is>
      </c>
      <c r="Q1707" s="10">
        <f>IFERROR(IFERROR(VLOOKUP(A1707,TRAOPE!$A:$U,21,0),VLOOKUP(B1707,TRAOPE!$A:$U,21,0)),"")</f>
        <v/>
      </c>
      <c r="R1707" s="8">
        <f>IFERROR(IFERROR(VLOOKUP(A1707,TRAOPE!$A:$W,23,0),VLOOKUP(B1707,TRAOPE!$A:$W,23,0)),"")</f>
        <v/>
      </c>
      <c r="S1707" s="10">
        <f>IF(AND(P1707="TN",R1707="TN"),N1707+N(O1707),IF(G1707&amp;""="1",N(K1707)*N1707,(N1707+N(O1707))*N(K1707)))</f>
        <v/>
      </c>
      <c r="T1707" s="10">
        <f>IF(Q1707="","",Q1707-S1707)</f>
        <v/>
      </c>
    </row>
    <row r="1708">
      <c r="A1708" s="7">
        <f>CONCATENATE(C1708,E1708,F1708,I1708)</f>
        <v/>
      </c>
      <c r="B1708" s="7">
        <f>CONCATENATE(C1708,E1708,I1708)</f>
        <v/>
      </c>
      <c r="C1708" s="8" t="n">
        <v>900005214</v>
      </c>
      <c r="D1708" s="7">
        <f>IFERROR(VLOOKUP(C1708,TRAOPE!$G:$H,2,0),"")</f>
        <v/>
      </c>
      <c r="E1708" s="8" t="inlineStr">
        <is>
          <t>D836</t>
        </is>
      </c>
      <c r="F1708" s="8" t="inlineStr">
        <is>
          <t>66239628</t>
        </is>
      </c>
      <c r="G1708" s="8">
        <f>IFERROR(VLOOKUP(A1708,Flete!$A:$E,5,0),"")</f>
        <v/>
      </c>
      <c r="H1708" s="7">
        <f>IFERROR(VLOOKUP(F1708,TRAOPE!$AA:$AB,2,0),"")</f>
        <v/>
      </c>
      <c r="I1708" s="7" t="n">
        <v>10000627</v>
      </c>
      <c r="J1708" s="7">
        <f>IFERROR(VLOOKUP(I1708,Materiales!$A:$H,8,0),"")</f>
        <v/>
      </c>
      <c r="K1708" s="9">
        <f>IFERROR(VLOOKUP(I1708,Materiales!$A:$G,7,0),"")</f>
        <v/>
      </c>
      <c r="L1708" s="8" t="inlineStr">
        <is>
          <t>20190426</t>
        </is>
      </c>
      <c r="M1708" s="8" t="inlineStr">
        <is>
          <t>20250127</t>
        </is>
      </c>
      <c r="N1708" s="10" t="n">
        <v>75</v>
      </c>
      <c r="O1708" s="10">
        <f>IFERROR(VLOOKUP(A1708,Flete!$A:$J,10,0),"")</f>
        <v/>
      </c>
      <c r="P1708" s="8" t="inlineStr">
        <is>
          <t>M3</t>
        </is>
      </c>
      <c r="Q1708" s="10">
        <f>IFERROR(IFERROR(VLOOKUP(A1708,TRAOPE!$A:$U,21,0),VLOOKUP(B1708,TRAOPE!$A:$U,21,0)),"")</f>
        <v/>
      </c>
      <c r="R1708" s="8">
        <f>IFERROR(IFERROR(VLOOKUP(A1708,TRAOPE!$A:$W,23,0),VLOOKUP(B1708,TRAOPE!$A:$W,23,0)),"")</f>
        <v/>
      </c>
      <c r="S1708" s="10">
        <f>IF(AND(P1708="TN",R1708="TN"),N1708+N(O1708),IF(G1708&amp;""="1",N(K1708)*N1708,(N1708+N(O1708))*N(K1708)))</f>
        <v/>
      </c>
      <c r="T1708" s="10">
        <f>IF(Q1708="","",Q1708-S1708)</f>
        <v/>
      </c>
    </row>
    <row r="1709">
      <c r="A1709" s="7">
        <f>CONCATENATE(C1709,E1709,F1709,I1709)</f>
        <v/>
      </c>
      <c r="B1709" s="7">
        <f>CONCATENATE(C1709,E1709,I1709)</f>
        <v/>
      </c>
      <c r="C1709" s="8" t="n">
        <v>900005214</v>
      </c>
      <c r="D1709" s="7">
        <f>IFERROR(VLOOKUP(C1709,TRAOPE!$G:$H,2,0),"")</f>
        <v/>
      </c>
      <c r="E1709" s="8" t="inlineStr">
        <is>
          <t>D836</t>
        </is>
      </c>
      <c r="F1709" s="8" t="inlineStr">
        <is>
          <t>66239628</t>
        </is>
      </c>
      <c r="G1709" s="8">
        <f>IFERROR(VLOOKUP(A1709,Flete!$A:$E,5,0),"")</f>
        <v/>
      </c>
      <c r="H1709" s="7">
        <f>IFERROR(VLOOKUP(F1709,TRAOPE!$AA:$AB,2,0),"")</f>
        <v/>
      </c>
      <c r="I1709" s="7" t="n">
        <v>10059181</v>
      </c>
      <c r="J1709" s="7">
        <f>IFERROR(VLOOKUP(I1709,Materiales!$A:$H,8,0),"")</f>
        <v/>
      </c>
      <c r="K1709" s="9">
        <f>IFERROR(VLOOKUP(I1709,Materiales!$A:$G,7,0),"")</f>
        <v/>
      </c>
      <c r="L1709" s="8" t="inlineStr">
        <is>
          <t>20190426</t>
        </is>
      </c>
      <c r="M1709" s="8" t="inlineStr">
        <is>
          <t>20250127</t>
        </is>
      </c>
      <c r="N1709" s="10" t="n">
        <v>72.5</v>
      </c>
      <c r="O1709" s="10">
        <f>IFERROR(VLOOKUP(A1709,Flete!$A:$J,10,0),"")</f>
        <v/>
      </c>
      <c r="P1709" s="8" t="inlineStr">
        <is>
          <t>M3</t>
        </is>
      </c>
      <c r="Q1709" s="10">
        <f>IFERROR(IFERROR(VLOOKUP(A1709,TRAOPE!$A:$U,21,0),VLOOKUP(B1709,TRAOPE!$A:$U,21,0)),"")</f>
        <v/>
      </c>
      <c r="R1709" s="8">
        <f>IFERROR(IFERROR(VLOOKUP(A1709,TRAOPE!$A:$W,23,0),VLOOKUP(B1709,TRAOPE!$A:$W,23,0)),"")</f>
        <v/>
      </c>
      <c r="S1709" s="10">
        <f>IF(AND(P1709="TN",R1709="TN"),N1709+N(O1709),IF(G1709&amp;""="1",N(K1709)*N1709,(N1709+N(O1709))*N(K1709)))</f>
        <v/>
      </c>
      <c r="T1709" s="10">
        <f>IF(Q1709="","",Q1709-S1709)</f>
        <v/>
      </c>
    </row>
    <row r="1710">
      <c r="A1710" s="7">
        <f>CONCATENATE(C1710,E1710,F1710,I1710)</f>
        <v/>
      </c>
      <c r="B1710" s="7">
        <f>CONCATENATE(C1710,E1710,I1710)</f>
        <v/>
      </c>
      <c r="C1710" s="8" t="n">
        <v>900005214</v>
      </c>
      <c r="D1710" s="7">
        <f>IFERROR(VLOOKUP(C1710,TRAOPE!$G:$H,2,0),"")</f>
        <v/>
      </c>
      <c r="E1710" s="8" t="inlineStr">
        <is>
          <t>D836</t>
        </is>
      </c>
      <c r="F1710" s="8" t="inlineStr">
        <is>
          <t>66289412</t>
        </is>
      </c>
      <c r="G1710" s="8">
        <f>IFERROR(VLOOKUP(A1710,Flete!$A:$E,5,0),"")</f>
        <v/>
      </c>
      <c r="H1710" s="7">
        <f>IFERROR(VLOOKUP(F1710,TRAOPE!$AA:$AB,2,0),"")</f>
        <v/>
      </c>
      <c r="I1710" s="7" t="n">
        <v>10000253</v>
      </c>
      <c r="J1710" s="7">
        <f>IFERROR(VLOOKUP(I1710,Materiales!$A:$H,8,0),"")</f>
        <v/>
      </c>
      <c r="K1710" s="9">
        <f>IFERROR(VLOOKUP(I1710,Materiales!$A:$G,7,0),"")</f>
        <v/>
      </c>
      <c r="L1710" s="8" t="inlineStr">
        <is>
          <t>20190426</t>
        </is>
      </c>
      <c r="M1710" s="8" t="inlineStr">
        <is>
          <t>20250127</t>
        </is>
      </c>
      <c r="N1710" s="10" t="n">
        <v>76</v>
      </c>
      <c r="O1710" s="10">
        <f>IFERROR(VLOOKUP(A1710,Flete!$A:$J,10,0),"")</f>
        <v/>
      </c>
      <c r="P1710" s="8" t="inlineStr">
        <is>
          <t>M3</t>
        </is>
      </c>
      <c r="Q1710" s="10">
        <f>IFERROR(IFERROR(VLOOKUP(A1710,TRAOPE!$A:$U,21,0),VLOOKUP(B1710,TRAOPE!$A:$U,21,0)),"")</f>
        <v/>
      </c>
      <c r="R1710" s="8">
        <f>IFERROR(IFERROR(VLOOKUP(A1710,TRAOPE!$A:$W,23,0),VLOOKUP(B1710,TRAOPE!$A:$W,23,0)),"")</f>
        <v/>
      </c>
      <c r="S1710" s="10">
        <f>IF(AND(P1710="TN",R1710="TN"),N1710+N(O1710),IF(G1710&amp;""="1",N(K1710)*N1710,(N1710+N(O1710))*N(K1710)))</f>
        <v/>
      </c>
      <c r="T1710" s="10">
        <f>IF(Q1710="","",Q1710-S1710)</f>
        <v/>
      </c>
    </row>
    <row r="1711">
      <c r="A1711" s="7">
        <f>CONCATENATE(C1711,E1711,F1711,I1711)</f>
        <v/>
      </c>
      <c r="B1711" s="7">
        <f>CONCATENATE(C1711,E1711,I1711)</f>
        <v/>
      </c>
      <c r="C1711" s="8" t="n">
        <v>900005214</v>
      </c>
      <c r="D1711" s="7">
        <f>IFERROR(VLOOKUP(C1711,TRAOPE!$G:$H,2,0),"")</f>
        <v/>
      </c>
      <c r="E1711" s="8" t="inlineStr">
        <is>
          <t>D836</t>
        </is>
      </c>
      <c r="F1711" s="8" t="inlineStr">
        <is>
          <t>66289412</t>
        </is>
      </c>
      <c r="G1711" s="8">
        <f>IFERROR(VLOOKUP(A1711,Flete!$A:$E,5,0),"")</f>
        <v/>
      </c>
      <c r="H1711" s="7">
        <f>IFERROR(VLOOKUP(F1711,TRAOPE!$AA:$AB,2,0),"")</f>
        <v/>
      </c>
      <c r="I1711" s="7" t="n">
        <v>10000627</v>
      </c>
      <c r="J1711" s="7">
        <f>IFERROR(VLOOKUP(I1711,Materiales!$A:$H,8,0),"")</f>
        <v/>
      </c>
      <c r="K1711" s="9">
        <f>IFERROR(VLOOKUP(I1711,Materiales!$A:$G,7,0),"")</f>
        <v/>
      </c>
      <c r="L1711" s="8" t="inlineStr">
        <is>
          <t>20190426</t>
        </is>
      </c>
      <c r="M1711" s="8" t="inlineStr">
        <is>
          <t>20250127</t>
        </is>
      </c>
      <c r="N1711" s="10" t="n">
        <v>75</v>
      </c>
      <c r="O1711" s="10">
        <f>IFERROR(VLOOKUP(A1711,Flete!$A:$J,10,0),"")</f>
        <v/>
      </c>
      <c r="P1711" s="8" t="inlineStr">
        <is>
          <t>M3</t>
        </is>
      </c>
      <c r="Q1711" s="10">
        <f>IFERROR(IFERROR(VLOOKUP(A1711,TRAOPE!$A:$U,21,0),VLOOKUP(B1711,TRAOPE!$A:$U,21,0)),"")</f>
        <v/>
      </c>
      <c r="R1711" s="8">
        <f>IFERROR(IFERROR(VLOOKUP(A1711,TRAOPE!$A:$W,23,0),VLOOKUP(B1711,TRAOPE!$A:$W,23,0)),"")</f>
        <v/>
      </c>
      <c r="S1711" s="10">
        <f>IF(AND(P1711="TN",R1711="TN"),N1711+N(O1711),IF(G1711&amp;""="1",N(K1711)*N1711,(N1711+N(O1711))*N(K1711)))</f>
        <v/>
      </c>
      <c r="T1711" s="10">
        <f>IF(Q1711="","",Q1711-S1711)</f>
        <v/>
      </c>
    </row>
    <row r="1712">
      <c r="A1712" s="7">
        <f>CONCATENATE(C1712,E1712,F1712,I1712)</f>
        <v/>
      </c>
      <c r="B1712" s="7">
        <f>CONCATENATE(C1712,E1712,I1712)</f>
        <v/>
      </c>
      <c r="C1712" s="8" t="n">
        <v>900005214</v>
      </c>
      <c r="D1712" s="7">
        <f>IFERROR(VLOOKUP(C1712,TRAOPE!$G:$H,2,0),"")</f>
        <v/>
      </c>
      <c r="E1712" s="8" t="inlineStr">
        <is>
          <t>D836</t>
        </is>
      </c>
      <c r="F1712" s="8" t="inlineStr">
        <is>
          <t>66289412</t>
        </is>
      </c>
      <c r="G1712" s="8">
        <f>IFERROR(VLOOKUP(A1712,Flete!$A:$E,5,0),"")</f>
        <v/>
      </c>
      <c r="H1712" s="7">
        <f>IFERROR(VLOOKUP(F1712,TRAOPE!$AA:$AB,2,0),"")</f>
        <v/>
      </c>
      <c r="I1712" s="7" t="n">
        <v>10059181</v>
      </c>
      <c r="J1712" s="7">
        <f>IFERROR(VLOOKUP(I1712,Materiales!$A:$H,8,0),"")</f>
        <v/>
      </c>
      <c r="K1712" s="9">
        <f>IFERROR(VLOOKUP(I1712,Materiales!$A:$G,7,0),"")</f>
        <v/>
      </c>
      <c r="L1712" s="8" t="inlineStr">
        <is>
          <t>20190426</t>
        </is>
      </c>
      <c r="M1712" s="8" t="inlineStr">
        <is>
          <t>20250127</t>
        </is>
      </c>
      <c r="N1712" s="10" t="n">
        <v>72.5</v>
      </c>
      <c r="O1712" s="10">
        <f>IFERROR(VLOOKUP(A1712,Flete!$A:$J,10,0),"")</f>
        <v/>
      </c>
      <c r="P1712" s="8" t="inlineStr">
        <is>
          <t>M3</t>
        </is>
      </c>
      <c r="Q1712" s="10">
        <f>IFERROR(IFERROR(VLOOKUP(A1712,TRAOPE!$A:$U,21,0),VLOOKUP(B1712,TRAOPE!$A:$U,21,0)),"")</f>
        <v/>
      </c>
      <c r="R1712" s="8">
        <f>IFERROR(IFERROR(VLOOKUP(A1712,TRAOPE!$A:$W,23,0),VLOOKUP(B1712,TRAOPE!$A:$W,23,0)),"")</f>
        <v/>
      </c>
      <c r="S1712" s="10">
        <f>IF(AND(P1712="TN",R1712="TN"),N1712+N(O1712),IF(G1712&amp;""="1",N(K1712)*N1712,(N1712+N(O1712))*N(K1712)))</f>
        <v/>
      </c>
      <c r="T1712" s="10">
        <f>IF(Q1712="","",Q1712-S1712)</f>
        <v/>
      </c>
    </row>
    <row r="1713">
      <c r="A1713" s="7">
        <f>CONCATENATE(C1713,E1713,F1713,I1713)</f>
        <v/>
      </c>
      <c r="B1713" s="7">
        <f>CONCATENATE(C1713,E1713,I1713)</f>
        <v/>
      </c>
      <c r="C1713" s="8" t="n">
        <v>900005214</v>
      </c>
      <c r="D1713" s="7">
        <f>IFERROR(VLOOKUP(C1713,TRAOPE!$G:$H,2,0),"")</f>
        <v/>
      </c>
      <c r="E1713" s="8" t="inlineStr">
        <is>
          <t>D836</t>
        </is>
      </c>
      <c r="F1713" s="8" t="inlineStr">
        <is>
          <t>66289413</t>
        </is>
      </c>
      <c r="G1713" s="8">
        <f>IFERROR(VLOOKUP(A1713,Flete!$A:$E,5,0),"")</f>
        <v/>
      </c>
      <c r="H1713" s="7">
        <f>IFERROR(VLOOKUP(F1713,TRAOPE!$AA:$AB,2,0),"")</f>
        <v/>
      </c>
      <c r="I1713" s="7" t="n">
        <v>10000253</v>
      </c>
      <c r="J1713" s="7">
        <f>IFERROR(VLOOKUP(I1713,Materiales!$A:$H,8,0),"")</f>
        <v/>
      </c>
      <c r="K1713" s="9">
        <f>IFERROR(VLOOKUP(I1713,Materiales!$A:$G,7,0),"")</f>
        <v/>
      </c>
      <c r="L1713" s="8" t="inlineStr">
        <is>
          <t>20190426</t>
        </is>
      </c>
      <c r="M1713" s="8" t="inlineStr">
        <is>
          <t>20250127</t>
        </is>
      </c>
      <c r="N1713" s="10" t="n">
        <v>76</v>
      </c>
      <c r="O1713" s="10">
        <f>IFERROR(VLOOKUP(A1713,Flete!$A:$J,10,0),"")</f>
        <v/>
      </c>
      <c r="P1713" s="8" t="inlineStr">
        <is>
          <t>M3</t>
        </is>
      </c>
      <c r="Q1713" s="10">
        <f>IFERROR(IFERROR(VLOOKUP(A1713,TRAOPE!$A:$U,21,0),VLOOKUP(B1713,TRAOPE!$A:$U,21,0)),"")</f>
        <v/>
      </c>
      <c r="R1713" s="8">
        <f>IFERROR(IFERROR(VLOOKUP(A1713,TRAOPE!$A:$W,23,0),VLOOKUP(B1713,TRAOPE!$A:$W,23,0)),"")</f>
        <v/>
      </c>
      <c r="S1713" s="10">
        <f>IF(AND(P1713="TN",R1713="TN"),N1713+N(O1713),IF(G1713&amp;""="1",N(K1713)*N1713,(N1713+N(O1713))*N(K1713)))</f>
        <v/>
      </c>
      <c r="T1713" s="10">
        <f>IF(Q1713="","",Q1713-S1713)</f>
        <v/>
      </c>
    </row>
    <row r="1714">
      <c r="A1714" s="7">
        <f>CONCATENATE(C1714,E1714,F1714,I1714)</f>
        <v/>
      </c>
      <c r="B1714" s="7">
        <f>CONCATENATE(C1714,E1714,I1714)</f>
        <v/>
      </c>
      <c r="C1714" s="8" t="n">
        <v>900005214</v>
      </c>
      <c r="D1714" s="7">
        <f>IFERROR(VLOOKUP(C1714,TRAOPE!$G:$H,2,0),"")</f>
        <v/>
      </c>
      <c r="E1714" s="8" t="inlineStr">
        <is>
          <t>D836</t>
        </is>
      </c>
      <c r="F1714" s="8" t="inlineStr">
        <is>
          <t>66289413</t>
        </is>
      </c>
      <c r="G1714" s="8">
        <f>IFERROR(VLOOKUP(A1714,Flete!$A:$E,5,0),"")</f>
        <v/>
      </c>
      <c r="H1714" s="7">
        <f>IFERROR(VLOOKUP(F1714,TRAOPE!$AA:$AB,2,0),"")</f>
        <v/>
      </c>
      <c r="I1714" s="7" t="n">
        <v>10000627</v>
      </c>
      <c r="J1714" s="7">
        <f>IFERROR(VLOOKUP(I1714,Materiales!$A:$H,8,0),"")</f>
        <v/>
      </c>
      <c r="K1714" s="9">
        <f>IFERROR(VLOOKUP(I1714,Materiales!$A:$G,7,0),"")</f>
        <v/>
      </c>
      <c r="L1714" s="8" t="inlineStr">
        <is>
          <t>20190426</t>
        </is>
      </c>
      <c r="M1714" s="8" t="inlineStr">
        <is>
          <t>20250127</t>
        </is>
      </c>
      <c r="N1714" s="10" t="n">
        <v>75</v>
      </c>
      <c r="O1714" s="10">
        <f>IFERROR(VLOOKUP(A1714,Flete!$A:$J,10,0),"")</f>
        <v/>
      </c>
      <c r="P1714" s="8" t="inlineStr">
        <is>
          <t>M3</t>
        </is>
      </c>
      <c r="Q1714" s="10">
        <f>IFERROR(IFERROR(VLOOKUP(A1714,TRAOPE!$A:$U,21,0),VLOOKUP(B1714,TRAOPE!$A:$U,21,0)),"")</f>
        <v/>
      </c>
      <c r="R1714" s="8">
        <f>IFERROR(IFERROR(VLOOKUP(A1714,TRAOPE!$A:$W,23,0),VLOOKUP(B1714,TRAOPE!$A:$W,23,0)),"")</f>
        <v/>
      </c>
      <c r="S1714" s="10">
        <f>IF(AND(P1714="TN",R1714="TN"),N1714+N(O1714),IF(G1714&amp;""="1",N(K1714)*N1714,(N1714+N(O1714))*N(K1714)))</f>
        <v/>
      </c>
      <c r="T1714" s="10">
        <f>IF(Q1714="","",Q1714-S1714)</f>
        <v/>
      </c>
    </row>
    <row r="1715">
      <c r="A1715" s="7">
        <f>CONCATENATE(C1715,E1715,F1715,I1715)</f>
        <v/>
      </c>
      <c r="B1715" s="7">
        <f>CONCATENATE(C1715,E1715,I1715)</f>
        <v/>
      </c>
      <c r="C1715" s="8" t="n">
        <v>900005214</v>
      </c>
      <c r="D1715" s="7">
        <f>IFERROR(VLOOKUP(C1715,TRAOPE!$G:$H,2,0),"")</f>
        <v/>
      </c>
      <c r="E1715" s="8" t="inlineStr">
        <is>
          <t>D836</t>
        </is>
      </c>
      <c r="F1715" s="8" t="inlineStr">
        <is>
          <t>66289413</t>
        </is>
      </c>
      <c r="G1715" s="8">
        <f>IFERROR(VLOOKUP(A1715,Flete!$A:$E,5,0),"")</f>
        <v/>
      </c>
      <c r="H1715" s="7">
        <f>IFERROR(VLOOKUP(F1715,TRAOPE!$AA:$AB,2,0),"")</f>
        <v/>
      </c>
      <c r="I1715" s="7" t="n">
        <v>10059181</v>
      </c>
      <c r="J1715" s="7">
        <f>IFERROR(VLOOKUP(I1715,Materiales!$A:$H,8,0),"")</f>
        <v/>
      </c>
      <c r="K1715" s="9">
        <f>IFERROR(VLOOKUP(I1715,Materiales!$A:$G,7,0),"")</f>
        <v/>
      </c>
      <c r="L1715" s="8" t="inlineStr">
        <is>
          <t>20190426</t>
        </is>
      </c>
      <c r="M1715" s="8" t="inlineStr">
        <is>
          <t>20250127</t>
        </is>
      </c>
      <c r="N1715" s="10" t="n">
        <v>72.5</v>
      </c>
      <c r="O1715" s="10">
        <f>IFERROR(VLOOKUP(A1715,Flete!$A:$J,10,0),"")</f>
        <v/>
      </c>
      <c r="P1715" s="8" t="inlineStr">
        <is>
          <t>M3</t>
        </is>
      </c>
      <c r="Q1715" s="10">
        <f>IFERROR(IFERROR(VLOOKUP(A1715,TRAOPE!$A:$U,21,0),VLOOKUP(B1715,TRAOPE!$A:$U,21,0)),"")</f>
        <v/>
      </c>
      <c r="R1715" s="8">
        <f>IFERROR(IFERROR(VLOOKUP(A1715,TRAOPE!$A:$W,23,0),VLOOKUP(B1715,TRAOPE!$A:$W,23,0)),"")</f>
        <v/>
      </c>
      <c r="S1715" s="10">
        <f>IF(AND(P1715="TN",R1715="TN"),N1715+N(O1715),IF(G1715&amp;""="1",N(K1715)*N1715,(N1715+N(O1715))*N(K1715)))</f>
        <v/>
      </c>
      <c r="T1715" s="10">
        <f>IF(Q1715="","",Q1715-S1715)</f>
        <v/>
      </c>
    </row>
    <row r="1716">
      <c r="A1716" s="7">
        <f>CONCATENATE(C1716,E1716,F1716,I1716)</f>
        <v/>
      </c>
      <c r="B1716" s="7">
        <f>CONCATENATE(C1716,E1716,I1716)</f>
        <v/>
      </c>
      <c r="C1716" s="8" t="n">
        <v>900005214</v>
      </c>
      <c r="D1716" s="7">
        <f>IFERROR(VLOOKUP(C1716,TRAOPE!$G:$H,2,0),"")</f>
        <v/>
      </c>
      <c r="E1716" s="8" t="inlineStr">
        <is>
          <t>D836</t>
        </is>
      </c>
      <c r="F1716" s="8" t="inlineStr">
        <is>
          <t>66458593</t>
        </is>
      </c>
      <c r="G1716" s="8">
        <f>IFERROR(VLOOKUP(A1716,Flete!$A:$E,5,0),"")</f>
        <v/>
      </c>
      <c r="H1716" s="7">
        <f>IFERROR(VLOOKUP(F1716,TRAOPE!$AA:$AB,2,0),"")</f>
        <v/>
      </c>
      <c r="I1716" s="7" t="n">
        <v>10059181</v>
      </c>
      <c r="J1716" s="7">
        <f>IFERROR(VLOOKUP(I1716,Materiales!$A:$H,8,0),"")</f>
        <v/>
      </c>
      <c r="K1716" s="9">
        <f>IFERROR(VLOOKUP(I1716,Materiales!$A:$G,7,0),"")</f>
        <v/>
      </c>
      <c r="L1716" s="8" t="inlineStr">
        <is>
          <t>20190426</t>
        </is>
      </c>
      <c r="M1716" s="8" t="inlineStr">
        <is>
          <t>20250127</t>
        </is>
      </c>
      <c r="N1716" s="10" t="n">
        <v>92</v>
      </c>
      <c r="O1716" s="10">
        <f>IFERROR(VLOOKUP(A1716,Flete!$A:$J,10,0),"")</f>
        <v/>
      </c>
      <c r="P1716" s="8" t="inlineStr">
        <is>
          <t>M3</t>
        </is>
      </c>
      <c r="Q1716" s="10">
        <f>IFERROR(IFERROR(VLOOKUP(A1716,TRAOPE!$A:$U,21,0),VLOOKUP(B1716,TRAOPE!$A:$U,21,0)),"")</f>
        <v/>
      </c>
      <c r="R1716" s="8">
        <f>IFERROR(IFERROR(VLOOKUP(A1716,TRAOPE!$A:$W,23,0),VLOOKUP(B1716,TRAOPE!$A:$W,23,0)),"")</f>
        <v/>
      </c>
      <c r="S1716" s="10">
        <f>IF(AND(P1716="TN",R1716="TN"),N1716+N(O1716),IF(G1716&amp;""="1",N(K1716)*N1716,(N1716+N(O1716))*N(K1716)))</f>
        <v/>
      </c>
      <c r="T1716" s="10">
        <f>IF(Q1716="","",Q1716-S1716)</f>
        <v/>
      </c>
    </row>
    <row r="1717">
      <c r="A1717" s="7">
        <f>CONCATENATE(C1717,E1717,F1717,I1717)</f>
        <v/>
      </c>
      <c r="B1717" s="7">
        <f>CONCATENATE(C1717,E1717,I1717)</f>
        <v/>
      </c>
      <c r="C1717" s="8" t="n">
        <v>900005214</v>
      </c>
      <c r="D1717" s="7">
        <f>IFERROR(VLOOKUP(C1717,TRAOPE!$G:$H,2,0),"")</f>
        <v/>
      </c>
      <c r="E1717" s="8" t="inlineStr">
        <is>
          <t>D836</t>
        </is>
      </c>
      <c r="F1717" s="8" t="inlineStr">
        <is>
          <t>66490957</t>
        </is>
      </c>
      <c r="G1717" s="8">
        <f>IFERROR(VLOOKUP(A1717,Flete!$A:$E,5,0),"")</f>
        <v/>
      </c>
      <c r="H1717" s="7">
        <f>IFERROR(VLOOKUP(F1717,TRAOPE!$AA:$AB,2,0),"")</f>
        <v/>
      </c>
      <c r="I1717" s="7" t="n">
        <v>10000627</v>
      </c>
      <c r="J1717" s="7">
        <f>IFERROR(VLOOKUP(I1717,Materiales!$A:$H,8,0),"")</f>
        <v/>
      </c>
      <c r="K1717" s="9">
        <f>IFERROR(VLOOKUP(I1717,Materiales!$A:$G,7,0),"")</f>
        <v/>
      </c>
      <c r="L1717" s="8" t="inlineStr">
        <is>
          <t>20190426</t>
        </is>
      </c>
      <c r="M1717" s="8" t="inlineStr">
        <is>
          <t>20250127</t>
        </is>
      </c>
      <c r="N1717" s="10" t="n">
        <v>84.09</v>
      </c>
      <c r="O1717" s="10">
        <f>IFERROR(VLOOKUP(A1717,Flete!$A:$J,10,0),"")</f>
        <v/>
      </c>
      <c r="P1717" s="8" t="inlineStr">
        <is>
          <t>M3</t>
        </is>
      </c>
      <c r="Q1717" s="10">
        <f>IFERROR(IFERROR(VLOOKUP(A1717,TRAOPE!$A:$U,21,0),VLOOKUP(B1717,TRAOPE!$A:$U,21,0)),"")</f>
        <v/>
      </c>
      <c r="R1717" s="8">
        <f>IFERROR(IFERROR(VLOOKUP(A1717,TRAOPE!$A:$W,23,0),VLOOKUP(B1717,TRAOPE!$A:$W,23,0)),"")</f>
        <v/>
      </c>
      <c r="S1717" s="10">
        <f>IF(AND(P1717="TN",R1717="TN"),N1717+N(O1717),IF(G1717&amp;""="1",N(K1717)*N1717,(N1717+N(O1717))*N(K1717)))</f>
        <v/>
      </c>
      <c r="T1717" s="10">
        <f>IF(Q1717="","",Q1717-S1717)</f>
        <v/>
      </c>
    </row>
    <row r="1718">
      <c r="A1718" s="7">
        <f>CONCATENATE(C1718,E1718,F1718,I1718)</f>
        <v/>
      </c>
      <c r="B1718" s="7">
        <f>CONCATENATE(C1718,E1718,I1718)</f>
        <v/>
      </c>
      <c r="C1718" s="8" t="n">
        <v>900005259</v>
      </c>
      <c r="D1718" s="7">
        <f>IFERROR(VLOOKUP(C1718,TRAOPE!$G:$H,2,0),"")</f>
        <v/>
      </c>
      <c r="E1718" s="8" t="inlineStr">
        <is>
          <t>D836</t>
        </is>
      </c>
      <c r="F1718" s="8" t="inlineStr">
        <is>
          <t>65924415</t>
        </is>
      </c>
      <c r="G1718" s="8">
        <f>IFERROR(VLOOKUP(A1718,Flete!$A:$E,5,0),"")</f>
        <v/>
      </c>
      <c r="H1718" s="7">
        <f>IFERROR(VLOOKUP(F1718,TRAOPE!$AA:$AB,2,0),"")</f>
        <v/>
      </c>
      <c r="I1718" s="7" t="n">
        <v>10000623</v>
      </c>
      <c r="J1718" s="7">
        <f>IFERROR(VLOOKUP(I1718,Materiales!$A:$H,8,0),"")</f>
        <v/>
      </c>
      <c r="K1718" s="9">
        <f>IFERROR(VLOOKUP(I1718,Materiales!$A:$G,7,0),"")</f>
        <v/>
      </c>
      <c r="L1718" s="8" t="inlineStr">
        <is>
          <t>20190426</t>
        </is>
      </c>
      <c r="M1718" s="8" t="inlineStr">
        <is>
          <t>20250127</t>
        </is>
      </c>
      <c r="N1718" s="10" t="n">
        <v>142</v>
      </c>
      <c r="O1718" s="10">
        <f>IFERROR(VLOOKUP(A1718,Flete!$A:$J,10,0),"")</f>
        <v/>
      </c>
      <c r="P1718" s="8" t="inlineStr">
        <is>
          <t>M3</t>
        </is>
      </c>
      <c r="Q1718" s="10">
        <f>IFERROR(IFERROR(VLOOKUP(A1718,TRAOPE!$A:$U,21,0),VLOOKUP(B1718,TRAOPE!$A:$U,21,0)),"")</f>
        <v/>
      </c>
      <c r="R1718" s="8">
        <f>IFERROR(IFERROR(VLOOKUP(A1718,TRAOPE!$A:$W,23,0),VLOOKUP(B1718,TRAOPE!$A:$W,23,0)),"")</f>
        <v/>
      </c>
      <c r="S1718" s="10">
        <f>IF(AND(P1718="TN",R1718="TN"),N1718+N(O1718),IF(G1718&amp;""="1",N(K1718)*N1718,(N1718+N(O1718))*N(K1718)))</f>
        <v/>
      </c>
      <c r="T1718" s="10">
        <f>IF(Q1718="","",Q1718-S1718)</f>
        <v/>
      </c>
    </row>
    <row r="1719">
      <c r="A1719" s="7">
        <f>CONCATENATE(C1719,E1719,F1719,I1719)</f>
        <v/>
      </c>
      <c r="B1719" s="7">
        <f>CONCATENATE(C1719,E1719,I1719)</f>
        <v/>
      </c>
      <c r="C1719" s="8" t="n">
        <v>900005259</v>
      </c>
      <c r="D1719" s="7">
        <f>IFERROR(VLOOKUP(C1719,TRAOPE!$G:$H,2,0),"")</f>
        <v/>
      </c>
      <c r="E1719" s="8" t="inlineStr">
        <is>
          <t>D836</t>
        </is>
      </c>
      <c r="F1719" s="8" t="inlineStr">
        <is>
          <t>65965410</t>
        </is>
      </c>
      <c r="G1719" s="8">
        <f>IFERROR(VLOOKUP(A1719,Flete!$A:$E,5,0),"")</f>
        <v/>
      </c>
      <c r="H1719" s="7">
        <f>IFERROR(VLOOKUP(F1719,TRAOPE!$AA:$AB,2,0),"")</f>
        <v/>
      </c>
      <c r="I1719" s="7" t="n">
        <v>10000623</v>
      </c>
      <c r="J1719" s="7">
        <f>IFERROR(VLOOKUP(I1719,Materiales!$A:$H,8,0),"")</f>
        <v/>
      </c>
      <c r="K1719" s="9">
        <f>IFERROR(VLOOKUP(I1719,Materiales!$A:$G,7,0),"")</f>
        <v/>
      </c>
      <c r="L1719" s="8" t="inlineStr">
        <is>
          <t>20190426</t>
        </is>
      </c>
      <c r="M1719" s="8" t="inlineStr">
        <is>
          <t>20250127</t>
        </is>
      </c>
      <c r="N1719" s="10" t="n">
        <v>142</v>
      </c>
      <c r="O1719" s="10">
        <f>IFERROR(VLOOKUP(A1719,Flete!$A:$J,10,0),"")</f>
        <v/>
      </c>
      <c r="P1719" s="8" t="inlineStr">
        <is>
          <t>M3</t>
        </is>
      </c>
      <c r="Q1719" s="10">
        <f>IFERROR(IFERROR(VLOOKUP(A1719,TRAOPE!$A:$U,21,0),VLOOKUP(B1719,TRAOPE!$A:$U,21,0)),"")</f>
        <v/>
      </c>
      <c r="R1719" s="8">
        <f>IFERROR(IFERROR(VLOOKUP(A1719,TRAOPE!$A:$W,23,0),VLOOKUP(B1719,TRAOPE!$A:$W,23,0)),"")</f>
        <v/>
      </c>
      <c r="S1719" s="10">
        <f>IF(AND(P1719="TN",R1719="TN"),N1719+N(O1719),IF(G1719&amp;""="1",N(K1719)*N1719,(N1719+N(O1719))*N(K1719)))</f>
        <v/>
      </c>
      <c r="T1719" s="10">
        <f>IF(Q1719="","",Q1719-S1719)</f>
        <v/>
      </c>
    </row>
    <row r="1720">
      <c r="A1720" s="7">
        <f>CONCATENATE(C1720,E1720,F1720,I1720)</f>
        <v/>
      </c>
      <c r="B1720" s="7">
        <f>CONCATENATE(C1720,E1720,I1720)</f>
        <v/>
      </c>
      <c r="C1720" s="8" t="n">
        <v>900005259</v>
      </c>
      <c r="D1720" s="7">
        <f>IFERROR(VLOOKUP(C1720,TRAOPE!$G:$H,2,0),"")</f>
        <v/>
      </c>
      <c r="E1720" s="8" t="inlineStr">
        <is>
          <t>D836</t>
        </is>
      </c>
      <c r="F1720" s="8" t="inlineStr">
        <is>
          <t>66239561</t>
        </is>
      </c>
      <c r="G1720" s="8">
        <f>IFERROR(VLOOKUP(A1720,Flete!$A:$E,5,0),"")</f>
        <v/>
      </c>
      <c r="H1720" s="7">
        <f>IFERROR(VLOOKUP(F1720,TRAOPE!$AA:$AB,2,0),"")</f>
        <v/>
      </c>
      <c r="I1720" s="7" t="n">
        <v>10000623</v>
      </c>
      <c r="J1720" s="7">
        <f>IFERROR(VLOOKUP(I1720,Materiales!$A:$H,8,0),"")</f>
        <v/>
      </c>
      <c r="K1720" s="9">
        <f>IFERROR(VLOOKUP(I1720,Materiales!$A:$G,7,0),"")</f>
        <v/>
      </c>
      <c r="L1720" s="8" t="inlineStr">
        <is>
          <t>20190426</t>
        </is>
      </c>
      <c r="M1720" s="8" t="inlineStr">
        <is>
          <t>20250127</t>
        </is>
      </c>
      <c r="N1720" s="10" t="n">
        <v>136.84</v>
      </c>
      <c r="O1720" s="10">
        <f>IFERROR(VLOOKUP(A1720,Flete!$A:$J,10,0),"")</f>
        <v/>
      </c>
      <c r="P1720" s="8" t="inlineStr">
        <is>
          <t>M3</t>
        </is>
      </c>
      <c r="Q1720" s="10">
        <f>IFERROR(IFERROR(VLOOKUP(A1720,TRAOPE!$A:$U,21,0),VLOOKUP(B1720,TRAOPE!$A:$U,21,0)),"")</f>
        <v/>
      </c>
      <c r="R1720" s="8">
        <f>IFERROR(IFERROR(VLOOKUP(A1720,TRAOPE!$A:$W,23,0),VLOOKUP(B1720,TRAOPE!$A:$W,23,0)),"")</f>
        <v/>
      </c>
      <c r="S1720" s="10">
        <f>IF(AND(P1720="TN",R1720="TN"),N1720+N(O1720),IF(G1720&amp;""="1",N(K1720)*N1720,(N1720+N(O1720))*N(K1720)))</f>
        <v/>
      </c>
      <c r="T1720" s="10">
        <f>IF(Q1720="","",Q1720-S1720)</f>
        <v/>
      </c>
    </row>
    <row r="1721">
      <c r="A1721" s="7">
        <f>CONCATENATE(C1721,E1721,F1721,I1721)</f>
        <v/>
      </c>
      <c r="B1721" s="7">
        <f>CONCATENATE(C1721,E1721,I1721)</f>
        <v/>
      </c>
      <c r="C1721" s="8" t="n">
        <v>900005259</v>
      </c>
      <c r="D1721" s="7">
        <f>IFERROR(VLOOKUP(C1721,TRAOPE!$G:$H,2,0),"")</f>
        <v/>
      </c>
      <c r="E1721" s="8" t="inlineStr">
        <is>
          <t>D836</t>
        </is>
      </c>
      <c r="F1721" s="8" t="inlineStr">
        <is>
          <t>66239617</t>
        </is>
      </c>
      <c r="G1721" s="8">
        <f>IFERROR(VLOOKUP(A1721,Flete!$A:$E,5,0),"")</f>
        <v/>
      </c>
      <c r="H1721" s="7">
        <f>IFERROR(VLOOKUP(F1721,TRAOPE!$AA:$AB,2,0),"")</f>
        <v/>
      </c>
      <c r="I1721" s="7" t="n">
        <v>10000623</v>
      </c>
      <c r="J1721" s="7">
        <f>IFERROR(VLOOKUP(I1721,Materiales!$A:$H,8,0),"")</f>
        <v/>
      </c>
      <c r="K1721" s="9">
        <f>IFERROR(VLOOKUP(I1721,Materiales!$A:$G,7,0),"")</f>
        <v/>
      </c>
      <c r="L1721" s="8" t="inlineStr">
        <is>
          <t>20190426</t>
        </is>
      </c>
      <c r="M1721" s="8" t="inlineStr">
        <is>
          <t>20250127</t>
        </is>
      </c>
      <c r="N1721" s="10" t="n">
        <v>136.84</v>
      </c>
      <c r="O1721" s="10">
        <f>IFERROR(VLOOKUP(A1721,Flete!$A:$J,10,0),"")</f>
        <v/>
      </c>
      <c r="P1721" s="8" t="inlineStr">
        <is>
          <t>M3</t>
        </is>
      </c>
      <c r="Q1721" s="10">
        <f>IFERROR(IFERROR(VLOOKUP(A1721,TRAOPE!$A:$U,21,0),VLOOKUP(B1721,TRAOPE!$A:$U,21,0)),"")</f>
        <v/>
      </c>
      <c r="R1721" s="8">
        <f>IFERROR(IFERROR(VLOOKUP(A1721,TRAOPE!$A:$W,23,0),VLOOKUP(B1721,TRAOPE!$A:$W,23,0)),"")</f>
        <v/>
      </c>
      <c r="S1721" s="10">
        <f>IF(AND(P1721="TN",R1721="TN"),N1721+N(O1721),IF(G1721&amp;""="1",N(K1721)*N1721,(N1721+N(O1721))*N(K1721)))</f>
        <v/>
      </c>
      <c r="T1721" s="10">
        <f>IF(Q1721="","",Q1721-S1721)</f>
        <v/>
      </c>
    </row>
    <row r="1722">
      <c r="A1722" s="7">
        <f>CONCATENATE(C1722,E1722,F1722,I1722)</f>
        <v/>
      </c>
      <c r="B1722" s="7">
        <f>CONCATENATE(C1722,E1722,I1722)</f>
        <v/>
      </c>
      <c r="C1722" s="8" t="n">
        <v>900005259</v>
      </c>
      <c r="D1722" s="7">
        <f>IFERROR(VLOOKUP(C1722,TRAOPE!$G:$H,2,0),"")</f>
        <v/>
      </c>
      <c r="E1722" s="8" t="inlineStr">
        <is>
          <t>D836</t>
        </is>
      </c>
      <c r="F1722" s="8" t="inlineStr">
        <is>
          <t>66239628</t>
        </is>
      </c>
      <c r="G1722" s="8">
        <f>IFERROR(VLOOKUP(A1722,Flete!$A:$E,5,0),"")</f>
        <v/>
      </c>
      <c r="H1722" s="7">
        <f>IFERROR(VLOOKUP(F1722,TRAOPE!$AA:$AB,2,0),"")</f>
        <v/>
      </c>
      <c r="I1722" s="7" t="n">
        <v>10000623</v>
      </c>
      <c r="J1722" s="7">
        <f>IFERROR(VLOOKUP(I1722,Materiales!$A:$H,8,0),"")</f>
        <v/>
      </c>
      <c r="K1722" s="9">
        <f>IFERROR(VLOOKUP(I1722,Materiales!$A:$G,7,0),"")</f>
        <v/>
      </c>
      <c r="L1722" s="8" t="inlineStr">
        <is>
          <t>20190426</t>
        </is>
      </c>
      <c r="M1722" s="8" t="inlineStr">
        <is>
          <t>20250127</t>
        </is>
      </c>
      <c r="N1722" s="10" t="n">
        <v>136.84</v>
      </c>
      <c r="O1722" s="10">
        <f>IFERROR(VLOOKUP(A1722,Flete!$A:$J,10,0),"")</f>
        <v/>
      </c>
      <c r="P1722" s="8" t="inlineStr">
        <is>
          <t>M3</t>
        </is>
      </c>
      <c r="Q1722" s="10">
        <f>IFERROR(IFERROR(VLOOKUP(A1722,TRAOPE!$A:$U,21,0),VLOOKUP(B1722,TRAOPE!$A:$U,21,0)),"")</f>
        <v/>
      </c>
      <c r="R1722" s="8">
        <f>IFERROR(IFERROR(VLOOKUP(A1722,TRAOPE!$A:$W,23,0),VLOOKUP(B1722,TRAOPE!$A:$W,23,0)),"")</f>
        <v/>
      </c>
      <c r="S1722" s="10">
        <f>IF(AND(P1722="TN",R1722="TN"),N1722+N(O1722),IF(G1722&amp;""="1",N(K1722)*N1722,(N1722+N(O1722))*N(K1722)))</f>
        <v/>
      </c>
      <c r="T1722" s="10">
        <f>IF(Q1722="","",Q1722-S1722)</f>
        <v/>
      </c>
    </row>
    <row r="1723">
      <c r="A1723" s="7">
        <f>CONCATENATE(C1723,E1723,F1723,I1723)</f>
        <v/>
      </c>
      <c r="B1723" s="7">
        <f>CONCATENATE(C1723,E1723,I1723)</f>
        <v/>
      </c>
      <c r="C1723" s="8" t="n">
        <v>900005259</v>
      </c>
      <c r="D1723" s="7">
        <f>IFERROR(VLOOKUP(C1723,TRAOPE!$G:$H,2,0),"")</f>
        <v/>
      </c>
      <c r="E1723" s="8" t="inlineStr">
        <is>
          <t>D836</t>
        </is>
      </c>
      <c r="F1723" s="8" t="inlineStr">
        <is>
          <t>66289413</t>
        </is>
      </c>
      <c r="G1723" s="8">
        <f>IFERROR(VLOOKUP(A1723,Flete!$A:$E,5,0),"")</f>
        <v/>
      </c>
      <c r="H1723" s="7">
        <f>IFERROR(VLOOKUP(F1723,TRAOPE!$AA:$AB,2,0),"")</f>
        <v/>
      </c>
      <c r="I1723" s="7" t="n">
        <v>10000623</v>
      </c>
      <c r="J1723" s="7">
        <f>IFERROR(VLOOKUP(I1723,Materiales!$A:$H,8,0),"")</f>
        <v/>
      </c>
      <c r="K1723" s="9">
        <f>IFERROR(VLOOKUP(I1723,Materiales!$A:$G,7,0),"")</f>
        <v/>
      </c>
      <c r="L1723" s="8" t="inlineStr">
        <is>
          <t>20190426</t>
        </is>
      </c>
      <c r="M1723" s="8" t="inlineStr">
        <is>
          <t>20250127</t>
        </is>
      </c>
      <c r="N1723" s="10" t="n">
        <v>136.84</v>
      </c>
      <c r="O1723" s="10">
        <f>IFERROR(VLOOKUP(A1723,Flete!$A:$J,10,0),"")</f>
        <v/>
      </c>
      <c r="P1723" s="8" t="inlineStr">
        <is>
          <t>M3</t>
        </is>
      </c>
      <c r="Q1723" s="10">
        <f>IFERROR(IFERROR(VLOOKUP(A1723,TRAOPE!$A:$U,21,0),VLOOKUP(B1723,TRAOPE!$A:$U,21,0)),"")</f>
        <v/>
      </c>
      <c r="R1723" s="8">
        <f>IFERROR(IFERROR(VLOOKUP(A1723,TRAOPE!$A:$W,23,0),VLOOKUP(B1723,TRAOPE!$A:$W,23,0)),"")</f>
        <v/>
      </c>
      <c r="S1723" s="10">
        <f>IF(AND(P1723="TN",R1723="TN"),N1723+N(O1723),IF(G1723&amp;""="1",N(K1723)*N1723,(N1723+N(O1723))*N(K1723)))</f>
        <v/>
      </c>
      <c r="T1723" s="10">
        <f>IF(Q1723="","",Q1723-S1723)</f>
        <v/>
      </c>
    </row>
    <row r="1724">
      <c r="A1724" s="7">
        <f>CONCATENATE(C1724,E1724,F1724,I1724)</f>
        <v/>
      </c>
      <c r="B1724" s="7">
        <f>CONCATENATE(C1724,E1724,I1724)</f>
        <v/>
      </c>
      <c r="C1724" s="8" t="n">
        <v>900005259</v>
      </c>
      <c r="D1724" s="7">
        <f>IFERROR(VLOOKUP(C1724,TRAOPE!$G:$H,2,0),"")</f>
        <v/>
      </c>
      <c r="E1724" s="8" t="inlineStr">
        <is>
          <t>D836</t>
        </is>
      </c>
      <c r="F1724" s="8" t="inlineStr">
        <is>
          <t>66308834</t>
        </is>
      </c>
      <c r="G1724" s="8">
        <f>IFERROR(VLOOKUP(A1724,Flete!$A:$E,5,0),"")</f>
        <v/>
      </c>
      <c r="H1724" s="7">
        <f>IFERROR(VLOOKUP(F1724,TRAOPE!$AA:$AB,2,0),"")</f>
        <v/>
      </c>
      <c r="I1724" s="7" t="n">
        <v>10000623</v>
      </c>
      <c r="J1724" s="7">
        <f>IFERROR(VLOOKUP(I1724,Materiales!$A:$H,8,0),"")</f>
        <v/>
      </c>
      <c r="K1724" s="9">
        <f>IFERROR(VLOOKUP(I1724,Materiales!$A:$G,7,0),"")</f>
        <v/>
      </c>
      <c r="L1724" s="8" t="inlineStr">
        <is>
          <t>20190426</t>
        </is>
      </c>
      <c r="M1724" s="8" t="inlineStr">
        <is>
          <t>20250127</t>
        </is>
      </c>
      <c r="N1724" s="10" t="n">
        <v>142</v>
      </c>
      <c r="O1724" s="10">
        <f>IFERROR(VLOOKUP(A1724,Flete!$A:$J,10,0),"")</f>
        <v/>
      </c>
      <c r="P1724" s="8" t="inlineStr">
        <is>
          <t>M3</t>
        </is>
      </c>
      <c r="Q1724" s="10">
        <f>IFERROR(IFERROR(VLOOKUP(A1724,TRAOPE!$A:$U,21,0),VLOOKUP(B1724,TRAOPE!$A:$U,21,0)),"")</f>
        <v/>
      </c>
      <c r="R1724" s="8">
        <f>IFERROR(IFERROR(VLOOKUP(A1724,TRAOPE!$A:$W,23,0),VLOOKUP(B1724,TRAOPE!$A:$W,23,0)),"")</f>
        <v/>
      </c>
      <c r="S1724" s="10">
        <f>IF(AND(P1724="TN",R1724="TN"),N1724+N(O1724),IF(G1724&amp;""="1",N(K1724)*N1724,(N1724+N(O1724))*N(K1724)))</f>
        <v/>
      </c>
      <c r="T1724" s="10">
        <f>IF(Q1724="","",Q1724-S1724)</f>
        <v/>
      </c>
    </row>
    <row r="1725">
      <c r="A1725" s="7">
        <f>CONCATENATE(C1725,E1725,F1725,I1725)</f>
        <v/>
      </c>
      <c r="B1725" s="7">
        <f>CONCATENATE(C1725,E1725,I1725)</f>
        <v/>
      </c>
      <c r="C1725" s="8" t="n">
        <v>900005259</v>
      </c>
      <c r="D1725" s="7">
        <f>IFERROR(VLOOKUP(C1725,TRAOPE!$G:$H,2,0),"")</f>
        <v/>
      </c>
      <c r="E1725" s="8" t="inlineStr">
        <is>
          <t>D836</t>
        </is>
      </c>
      <c r="F1725" s="8" t="inlineStr">
        <is>
          <t>66416982</t>
        </is>
      </c>
      <c r="G1725" s="8">
        <f>IFERROR(VLOOKUP(A1725,Flete!$A:$E,5,0),"")</f>
        <v/>
      </c>
      <c r="H1725" s="7">
        <f>IFERROR(VLOOKUP(F1725,TRAOPE!$AA:$AB,2,0),"")</f>
        <v/>
      </c>
      <c r="I1725" s="7" t="n">
        <v>10139280</v>
      </c>
      <c r="J1725" s="7">
        <f>IFERROR(VLOOKUP(I1725,Materiales!$A:$H,8,0),"")</f>
        <v/>
      </c>
      <c r="K1725" s="9">
        <f>IFERROR(VLOOKUP(I1725,Materiales!$A:$G,7,0),"")</f>
        <v/>
      </c>
      <c r="L1725" s="8" t="inlineStr">
        <is>
          <t>20190426</t>
        </is>
      </c>
      <c r="M1725" s="8" t="inlineStr">
        <is>
          <t>20250127</t>
        </is>
      </c>
      <c r="N1725" s="10" t="n">
        <v>35.5</v>
      </c>
      <c r="O1725" s="10">
        <f>IFERROR(VLOOKUP(A1725,Flete!$A:$J,10,0),"")</f>
        <v/>
      </c>
      <c r="P1725" s="8" t="inlineStr">
        <is>
          <t>M3</t>
        </is>
      </c>
      <c r="Q1725" s="10">
        <f>IFERROR(IFERROR(VLOOKUP(A1725,TRAOPE!$A:$U,21,0),VLOOKUP(B1725,TRAOPE!$A:$U,21,0)),"")</f>
        <v/>
      </c>
      <c r="R1725" s="8">
        <f>IFERROR(IFERROR(VLOOKUP(A1725,TRAOPE!$A:$W,23,0),VLOOKUP(B1725,TRAOPE!$A:$W,23,0)),"")</f>
        <v/>
      </c>
      <c r="S1725" s="10">
        <f>IF(AND(P1725="TN",R1725="TN"),N1725+N(O1725),IF(G1725&amp;""="1",N(K1725)*N1725,(N1725+N(O1725))*N(K1725)))</f>
        <v/>
      </c>
      <c r="T1725" s="10">
        <f>IF(Q1725="","",Q1725-S1725)</f>
        <v/>
      </c>
    </row>
    <row r="1726">
      <c r="A1726" s="7">
        <f>CONCATENATE(C1726,E1726,F1726,I1726)</f>
        <v/>
      </c>
      <c r="B1726" s="7">
        <f>CONCATENATE(C1726,E1726,I1726)</f>
        <v/>
      </c>
      <c r="C1726" s="8" t="n">
        <v>900005259</v>
      </c>
      <c r="D1726" s="7">
        <f>IFERROR(VLOOKUP(C1726,TRAOPE!$G:$H,2,0),"")</f>
        <v/>
      </c>
      <c r="E1726" s="8" t="inlineStr">
        <is>
          <t>D836</t>
        </is>
      </c>
      <c r="F1726" s="8" t="inlineStr">
        <is>
          <t>66416982</t>
        </is>
      </c>
      <c r="G1726" s="8">
        <f>IFERROR(VLOOKUP(A1726,Flete!$A:$E,5,0),"")</f>
        <v/>
      </c>
      <c r="H1726" s="7">
        <f>IFERROR(VLOOKUP(F1726,TRAOPE!$AA:$AB,2,0),"")</f>
        <v/>
      </c>
      <c r="I1726" s="7" t="n">
        <v>10139735</v>
      </c>
      <c r="J1726" s="7">
        <f>IFERROR(VLOOKUP(I1726,Materiales!$A:$H,8,0),"")</f>
        <v/>
      </c>
      <c r="K1726" s="9">
        <f>IFERROR(VLOOKUP(I1726,Materiales!$A:$G,7,0),"")</f>
        <v/>
      </c>
      <c r="L1726" s="8" t="inlineStr">
        <is>
          <t>20190426</t>
        </is>
      </c>
      <c r="M1726" s="8" t="inlineStr">
        <is>
          <t>20250127</t>
        </is>
      </c>
      <c r="N1726" s="10" t="n">
        <v>20</v>
      </c>
      <c r="O1726" s="10">
        <f>IFERROR(VLOOKUP(A1726,Flete!$A:$J,10,0),"")</f>
        <v/>
      </c>
      <c r="P1726" s="8" t="inlineStr">
        <is>
          <t>M3</t>
        </is>
      </c>
      <c r="Q1726" s="10">
        <f>IFERROR(IFERROR(VLOOKUP(A1726,TRAOPE!$A:$U,21,0),VLOOKUP(B1726,TRAOPE!$A:$U,21,0)),"")</f>
        <v/>
      </c>
      <c r="R1726" s="8">
        <f>IFERROR(IFERROR(VLOOKUP(A1726,TRAOPE!$A:$W,23,0),VLOOKUP(B1726,TRAOPE!$A:$W,23,0)),"")</f>
        <v/>
      </c>
      <c r="S1726" s="10">
        <f>IF(AND(P1726="TN",R1726="TN"),N1726+N(O1726),IF(G1726&amp;""="1",N(K1726)*N1726,(N1726+N(O1726))*N(K1726)))</f>
        <v/>
      </c>
      <c r="T1726" s="10">
        <f>IF(Q1726="","",Q1726-S1726)</f>
        <v/>
      </c>
    </row>
    <row r="1727">
      <c r="A1727" s="7">
        <f>CONCATENATE(C1727,E1727,F1727,I1727)</f>
        <v/>
      </c>
      <c r="B1727" s="7">
        <f>CONCATENATE(C1727,E1727,I1727)</f>
        <v/>
      </c>
      <c r="C1727" s="8" t="n">
        <v>900005259</v>
      </c>
      <c r="D1727" s="7">
        <f>IFERROR(VLOOKUP(C1727,TRAOPE!$G:$H,2,0),"")</f>
        <v/>
      </c>
      <c r="E1727" s="8" t="inlineStr">
        <is>
          <t>D836</t>
        </is>
      </c>
      <c r="F1727" s="8" t="inlineStr">
        <is>
          <t>66427831</t>
        </is>
      </c>
      <c r="G1727" s="8">
        <f>IFERROR(VLOOKUP(A1727,Flete!$A:$E,5,0),"")</f>
        <v/>
      </c>
      <c r="H1727" s="7">
        <f>IFERROR(VLOOKUP(F1727,TRAOPE!$AA:$AB,2,0),"")</f>
        <v/>
      </c>
      <c r="I1727" s="7" t="n">
        <v>10139735</v>
      </c>
      <c r="J1727" s="7">
        <f>IFERROR(VLOOKUP(I1727,Materiales!$A:$H,8,0),"")</f>
        <v/>
      </c>
      <c r="K1727" s="9">
        <f>IFERROR(VLOOKUP(I1727,Materiales!$A:$G,7,0),"")</f>
        <v/>
      </c>
      <c r="L1727" s="8" t="inlineStr">
        <is>
          <t>20190426</t>
        </is>
      </c>
      <c r="M1727" s="8" t="inlineStr">
        <is>
          <t>20250127</t>
        </is>
      </c>
      <c r="N1727" s="10" t="n">
        <v>20</v>
      </c>
      <c r="O1727" s="10">
        <f>IFERROR(VLOOKUP(A1727,Flete!$A:$J,10,0),"")</f>
        <v/>
      </c>
      <c r="P1727" s="8" t="inlineStr">
        <is>
          <t>M3</t>
        </is>
      </c>
      <c r="Q1727" s="10">
        <f>IFERROR(IFERROR(VLOOKUP(A1727,TRAOPE!$A:$U,21,0),VLOOKUP(B1727,TRAOPE!$A:$U,21,0)),"")</f>
        <v/>
      </c>
      <c r="R1727" s="8">
        <f>IFERROR(IFERROR(VLOOKUP(A1727,TRAOPE!$A:$W,23,0),VLOOKUP(B1727,TRAOPE!$A:$W,23,0)),"")</f>
        <v/>
      </c>
      <c r="S1727" s="10">
        <f>IF(AND(P1727="TN",R1727="TN"),N1727+N(O1727),IF(G1727&amp;""="1",N(K1727)*N1727,(N1727+N(O1727))*N(K1727)))</f>
        <v/>
      </c>
      <c r="T1727" s="10">
        <f>IF(Q1727="","",Q1727-S1727)</f>
        <v/>
      </c>
    </row>
    <row r="1728">
      <c r="A1728" s="7">
        <f>CONCATENATE(C1728,E1728,F1728,I1728)</f>
        <v/>
      </c>
      <c r="B1728" s="7">
        <f>CONCATENATE(C1728,E1728,I1728)</f>
        <v/>
      </c>
      <c r="C1728" s="8" t="n">
        <v>900005259</v>
      </c>
      <c r="D1728" s="7">
        <f>IFERROR(VLOOKUP(C1728,TRAOPE!$G:$H,2,0),"")</f>
        <v/>
      </c>
      <c r="E1728" s="8" t="inlineStr">
        <is>
          <t>D836</t>
        </is>
      </c>
      <c r="F1728" s="8" t="inlineStr">
        <is>
          <t>66427831</t>
        </is>
      </c>
      <c r="G1728" s="8">
        <f>IFERROR(VLOOKUP(A1728,Flete!$A:$E,5,0),"")</f>
        <v/>
      </c>
      <c r="H1728" s="7">
        <f>IFERROR(VLOOKUP(F1728,TRAOPE!$AA:$AB,2,0),"")</f>
        <v/>
      </c>
      <c r="I1728" s="7" t="n">
        <v>10143808</v>
      </c>
      <c r="J1728" s="7">
        <f>IFERROR(VLOOKUP(I1728,Materiales!$A:$H,8,0),"")</f>
        <v/>
      </c>
      <c r="K1728" s="9">
        <f>IFERROR(VLOOKUP(I1728,Materiales!$A:$G,7,0),"")</f>
        <v/>
      </c>
      <c r="L1728" s="8" t="inlineStr">
        <is>
          <t>20190426</t>
        </is>
      </c>
      <c r="M1728" s="8" t="inlineStr">
        <is>
          <t>20250127</t>
        </is>
      </c>
      <c r="N1728" s="10" t="n">
        <v>62</v>
      </c>
      <c r="O1728" s="10">
        <f>IFERROR(VLOOKUP(A1728,Flete!$A:$J,10,0),"")</f>
        <v/>
      </c>
      <c r="P1728" s="8" t="inlineStr">
        <is>
          <t>M3</t>
        </is>
      </c>
      <c r="Q1728" s="10">
        <f>IFERROR(IFERROR(VLOOKUP(A1728,TRAOPE!$A:$U,21,0),VLOOKUP(B1728,TRAOPE!$A:$U,21,0)),"")</f>
        <v/>
      </c>
      <c r="R1728" s="8">
        <f>IFERROR(IFERROR(VLOOKUP(A1728,TRAOPE!$A:$W,23,0),VLOOKUP(B1728,TRAOPE!$A:$W,23,0)),"")</f>
        <v/>
      </c>
      <c r="S1728" s="10">
        <f>IF(AND(P1728="TN",R1728="TN"),N1728+N(O1728),IF(G1728&amp;""="1",N(K1728)*N1728,(N1728+N(O1728))*N(K1728)))</f>
        <v/>
      </c>
      <c r="T1728" s="10">
        <f>IF(Q1728="","",Q1728-S1728)</f>
        <v/>
      </c>
    </row>
    <row r="1729">
      <c r="A1729" s="7">
        <f>CONCATENATE(C1729,E1729,F1729,I1729)</f>
        <v/>
      </c>
      <c r="B1729" s="7">
        <f>CONCATENATE(C1729,E1729,I1729)</f>
        <v/>
      </c>
      <c r="C1729" s="8" t="n">
        <v>900005259</v>
      </c>
      <c r="D1729" s="7">
        <f>IFERROR(VLOOKUP(C1729,TRAOPE!$G:$H,2,0),"")</f>
        <v/>
      </c>
      <c r="E1729" s="8" t="inlineStr">
        <is>
          <t>D836</t>
        </is>
      </c>
      <c r="F1729" s="8" t="inlineStr">
        <is>
          <t>66441732</t>
        </is>
      </c>
      <c r="G1729" s="8">
        <f>IFERROR(VLOOKUP(A1729,Flete!$A:$E,5,0),"")</f>
        <v/>
      </c>
      <c r="H1729" s="7">
        <f>IFERROR(VLOOKUP(F1729,TRAOPE!$AA:$AB,2,0),"")</f>
        <v/>
      </c>
      <c r="I1729" s="7" t="n">
        <v>10139280</v>
      </c>
      <c r="J1729" s="7">
        <f>IFERROR(VLOOKUP(I1729,Materiales!$A:$H,8,0),"")</f>
        <v/>
      </c>
      <c r="K1729" s="9">
        <f>IFERROR(VLOOKUP(I1729,Materiales!$A:$G,7,0),"")</f>
        <v/>
      </c>
      <c r="L1729" s="8" t="inlineStr">
        <is>
          <t>20190426</t>
        </is>
      </c>
      <c r="M1729" s="8" t="inlineStr">
        <is>
          <t>20250127</t>
        </is>
      </c>
      <c r="N1729" s="10" t="n">
        <v>35.5</v>
      </c>
      <c r="O1729" s="10">
        <f>IFERROR(VLOOKUP(A1729,Flete!$A:$J,10,0),"")</f>
        <v/>
      </c>
      <c r="P1729" s="8" t="inlineStr">
        <is>
          <t>M3</t>
        </is>
      </c>
      <c r="Q1729" s="10">
        <f>IFERROR(IFERROR(VLOOKUP(A1729,TRAOPE!$A:$U,21,0),VLOOKUP(B1729,TRAOPE!$A:$U,21,0)),"")</f>
        <v/>
      </c>
      <c r="R1729" s="8">
        <f>IFERROR(IFERROR(VLOOKUP(A1729,TRAOPE!$A:$W,23,0),VLOOKUP(B1729,TRAOPE!$A:$W,23,0)),"")</f>
        <v/>
      </c>
      <c r="S1729" s="10">
        <f>IF(AND(P1729="TN",R1729="TN"),N1729+N(O1729),IF(G1729&amp;""="1",N(K1729)*N1729,(N1729+N(O1729))*N(K1729)))</f>
        <v/>
      </c>
      <c r="T1729" s="10">
        <f>IF(Q1729="","",Q1729-S1729)</f>
        <v/>
      </c>
    </row>
    <row r="1730">
      <c r="A1730" s="7">
        <f>CONCATENATE(C1730,E1730,F1730,I1730)</f>
        <v/>
      </c>
      <c r="B1730" s="7">
        <f>CONCATENATE(C1730,E1730,I1730)</f>
        <v/>
      </c>
      <c r="C1730" s="8" t="n">
        <v>900005259</v>
      </c>
      <c r="D1730" s="7">
        <f>IFERROR(VLOOKUP(C1730,TRAOPE!$G:$H,2,0),"")</f>
        <v/>
      </c>
      <c r="E1730" s="8" t="inlineStr">
        <is>
          <t>D836</t>
        </is>
      </c>
      <c r="F1730" s="8" t="inlineStr">
        <is>
          <t>66441732</t>
        </is>
      </c>
      <c r="G1730" s="8">
        <f>IFERROR(VLOOKUP(A1730,Flete!$A:$E,5,0),"")</f>
        <v/>
      </c>
      <c r="H1730" s="7">
        <f>IFERROR(VLOOKUP(F1730,TRAOPE!$AA:$AB,2,0),"")</f>
        <v/>
      </c>
      <c r="I1730" s="7" t="n">
        <v>10139735</v>
      </c>
      <c r="J1730" s="7">
        <f>IFERROR(VLOOKUP(I1730,Materiales!$A:$H,8,0),"")</f>
        <v/>
      </c>
      <c r="K1730" s="9">
        <f>IFERROR(VLOOKUP(I1730,Materiales!$A:$G,7,0),"")</f>
        <v/>
      </c>
      <c r="L1730" s="8" t="inlineStr">
        <is>
          <t>20190426</t>
        </is>
      </c>
      <c r="M1730" s="8" t="inlineStr">
        <is>
          <t>20250127</t>
        </is>
      </c>
      <c r="N1730" s="10" t="n">
        <v>20</v>
      </c>
      <c r="O1730" s="10">
        <f>IFERROR(VLOOKUP(A1730,Flete!$A:$J,10,0),"")</f>
        <v/>
      </c>
      <c r="P1730" s="8" t="inlineStr">
        <is>
          <t>M3</t>
        </is>
      </c>
      <c r="Q1730" s="10">
        <f>IFERROR(IFERROR(VLOOKUP(A1730,TRAOPE!$A:$U,21,0),VLOOKUP(B1730,TRAOPE!$A:$U,21,0)),"")</f>
        <v/>
      </c>
      <c r="R1730" s="8">
        <f>IFERROR(IFERROR(VLOOKUP(A1730,TRAOPE!$A:$W,23,0),VLOOKUP(B1730,TRAOPE!$A:$W,23,0)),"")</f>
        <v/>
      </c>
      <c r="S1730" s="10">
        <f>IF(AND(P1730="TN",R1730="TN"),N1730+N(O1730),IF(G1730&amp;""="1",N(K1730)*N1730,(N1730+N(O1730))*N(K1730)))</f>
        <v/>
      </c>
      <c r="T1730" s="10">
        <f>IF(Q1730="","",Q1730-S1730)</f>
        <v/>
      </c>
    </row>
    <row r="1731">
      <c r="A1731" s="7">
        <f>CONCATENATE(C1731,E1731,F1731,I1731)</f>
        <v/>
      </c>
      <c r="B1731" s="7">
        <f>CONCATENATE(C1731,E1731,I1731)</f>
        <v/>
      </c>
      <c r="C1731" s="8" t="n">
        <v>900005259</v>
      </c>
      <c r="D1731" s="7">
        <f>IFERROR(VLOOKUP(C1731,TRAOPE!$G:$H,2,0),"")</f>
        <v/>
      </c>
      <c r="E1731" s="8" t="inlineStr">
        <is>
          <t>D836</t>
        </is>
      </c>
      <c r="F1731" s="8" t="inlineStr">
        <is>
          <t>66447492</t>
        </is>
      </c>
      <c r="G1731" s="8">
        <f>IFERROR(VLOOKUP(A1731,Flete!$A:$E,5,0),"")</f>
        <v/>
      </c>
      <c r="H1731" s="7">
        <f>IFERROR(VLOOKUP(F1731,TRAOPE!$AA:$AB,2,0),"")</f>
        <v/>
      </c>
      <c r="I1731" s="7" t="n">
        <v>10000623</v>
      </c>
      <c r="J1731" s="7">
        <f>IFERROR(VLOOKUP(I1731,Materiales!$A:$H,8,0),"")</f>
        <v/>
      </c>
      <c r="K1731" s="9">
        <f>IFERROR(VLOOKUP(I1731,Materiales!$A:$G,7,0),"")</f>
        <v/>
      </c>
      <c r="L1731" s="8" t="inlineStr">
        <is>
          <t>20190426</t>
        </is>
      </c>
      <c r="M1731" s="8" t="inlineStr">
        <is>
          <t>20250127</t>
        </is>
      </c>
      <c r="N1731" s="10" t="n">
        <v>142</v>
      </c>
      <c r="O1731" s="10">
        <f>IFERROR(VLOOKUP(A1731,Flete!$A:$J,10,0),"")</f>
        <v/>
      </c>
      <c r="P1731" s="8" t="inlineStr">
        <is>
          <t>M3</t>
        </is>
      </c>
      <c r="Q1731" s="10">
        <f>IFERROR(IFERROR(VLOOKUP(A1731,TRAOPE!$A:$U,21,0),VLOOKUP(B1731,TRAOPE!$A:$U,21,0)),"")</f>
        <v/>
      </c>
      <c r="R1731" s="8">
        <f>IFERROR(IFERROR(VLOOKUP(A1731,TRAOPE!$A:$W,23,0),VLOOKUP(B1731,TRAOPE!$A:$W,23,0)),"")</f>
        <v/>
      </c>
      <c r="S1731" s="10">
        <f>IF(AND(P1731="TN",R1731="TN"),N1731+N(O1731),IF(G1731&amp;""="1",N(K1731)*N1731,(N1731+N(O1731))*N(K1731)))</f>
        <v/>
      </c>
      <c r="T1731" s="10">
        <f>IF(Q1731="","",Q1731-S1731)</f>
        <v/>
      </c>
    </row>
    <row r="1732">
      <c r="A1732" s="7">
        <f>CONCATENATE(C1732,E1732,F1732,I1732)</f>
        <v/>
      </c>
      <c r="B1732" s="7">
        <f>CONCATENATE(C1732,E1732,I1732)</f>
        <v/>
      </c>
      <c r="C1732" s="8" t="n">
        <v>900005259</v>
      </c>
      <c r="D1732" s="7">
        <f>IFERROR(VLOOKUP(C1732,TRAOPE!$G:$H,2,0),"")</f>
        <v/>
      </c>
      <c r="E1732" s="8" t="inlineStr">
        <is>
          <t>D836</t>
        </is>
      </c>
      <c r="F1732" s="8" t="inlineStr">
        <is>
          <t>66458217</t>
        </is>
      </c>
      <c r="G1732" s="8">
        <f>IFERROR(VLOOKUP(A1732,Flete!$A:$E,5,0),"")</f>
        <v/>
      </c>
      <c r="H1732" s="7">
        <f>IFERROR(VLOOKUP(F1732,TRAOPE!$AA:$AB,2,0),"")</f>
        <v/>
      </c>
      <c r="I1732" s="7" t="n">
        <v>10143808</v>
      </c>
      <c r="J1732" s="7">
        <f>IFERROR(VLOOKUP(I1732,Materiales!$A:$H,8,0),"")</f>
        <v/>
      </c>
      <c r="K1732" s="9">
        <f>IFERROR(VLOOKUP(I1732,Materiales!$A:$G,7,0),"")</f>
        <v/>
      </c>
      <c r="L1732" s="8" t="inlineStr">
        <is>
          <t>20190426</t>
        </is>
      </c>
      <c r="M1732" s="8" t="inlineStr">
        <is>
          <t>20250127</t>
        </is>
      </c>
      <c r="N1732" s="10" t="n">
        <v>62</v>
      </c>
      <c r="O1732" s="10">
        <f>IFERROR(VLOOKUP(A1732,Flete!$A:$J,10,0),"")</f>
        <v/>
      </c>
      <c r="P1732" s="8" t="inlineStr">
        <is>
          <t>M3</t>
        </is>
      </c>
      <c r="Q1732" s="10">
        <f>IFERROR(IFERROR(VLOOKUP(A1732,TRAOPE!$A:$U,21,0),VLOOKUP(B1732,TRAOPE!$A:$U,21,0)),"")</f>
        <v/>
      </c>
      <c r="R1732" s="8">
        <f>IFERROR(IFERROR(VLOOKUP(A1732,TRAOPE!$A:$W,23,0),VLOOKUP(B1732,TRAOPE!$A:$W,23,0)),"")</f>
        <v/>
      </c>
      <c r="S1732" s="10">
        <f>IF(AND(P1732="TN",R1732="TN"),N1732+N(O1732),IF(G1732&amp;""="1",N(K1732)*N1732,(N1732+N(O1732))*N(K1732)))</f>
        <v/>
      </c>
      <c r="T1732" s="10">
        <f>IF(Q1732="","",Q1732-S1732)</f>
        <v/>
      </c>
    </row>
    <row r="1733">
      <c r="A1733" s="7">
        <f>CONCATENATE(C1733,E1733,F1733,I1733)</f>
        <v/>
      </c>
      <c r="B1733" s="7">
        <f>CONCATENATE(C1733,E1733,I1733)</f>
        <v/>
      </c>
      <c r="C1733" s="8" t="n">
        <v>900005259</v>
      </c>
      <c r="D1733" s="7">
        <f>IFERROR(VLOOKUP(C1733,TRAOPE!$G:$H,2,0),"")</f>
        <v/>
      </c>
      <c r="E1733" s="8" t="inlineStr">
        <is>
          <t>D836</t>
        </is>
      </c>
      <c r="F1733" s="8" t="inlineStr">
        <is>
          <t>66463835</t>
        </is>
      </c>
      <c r="G1733" s="8">
        <f>IFERROR(VLOOKUP(A1733,Flete!$A:$E,5,0),"")</f>
        <v/>
      </c>
      <c r="H1733" s="7">
        <f>IFERROR(VLOOKUP(F1733,TRAOPE!$AA:$AB,2,0),"")</f>
        <v/>
      </c>
      <c r="I1733" s="7" t="n">
        <v>10000623</v>
      </c>
      <c r="J1733" s="7">
        <f>IFERROR(VLOOKUP(I1733,Materiales!$A:$H,8,0),"")</f>
        <v/>
      </c>
      <c r="K1733" s="9">
        <f>IFERROR(VLOOKUP(I1733,Materiales!$A:$G,7,0),"")</f>
        <v/>
      </c>
      <c r="L1733" s="8" t="inlineStr">
        <is>
          <t>20190426</t>
        </is>
      </c>
      <c r="M1733" s="8" t="inlineStr">
        <is>
          <t>20250127</t>
        </is>
      </c>
      <c r="N1733" s="10" t="n">
        <v>142</v>
      </c>
      <c r="O1733" s="10">
        <f>IFERROR(VLOOKUP(A1733,Flete!$A:$J,10,0),"")</f>
        <v/>
      </c>
      <c r="P1733" s="8" t="inlineStr">
        <is>
          <t>M3</t>
        </is>
      </c>
      <c r="Q1733" s="10">
        <f>IFERROR(IFERROR(VLOOKUP(A1733,TRAOPE!$A:$U,21,0),VLOOKUP(B1733,TRAOPE!$A:$U,21,0)),"")</f>
        <v/>
      </c>
      <c r="R1733" s="8">
        <f>IFERROR(IFERROR(VLOOKUP(A1733,TRAOPE!$A:$W,23,0),VLOOKUP(B1733,TRAOPE!$A:$W,23,0)),"")</f>
        <v/>
      </c>
      <c r="S1733" s="10">
        <f>IF(AND(P1733="TN",R1733="TN"),N1733+N(O1733),IF(G1733&amp;""="1",N(K1733)*N1733,(N1733+N(O1733))*N(K1733)))</f>
        <v/>
      </c>
      <c r="T1733" s="10">
        <f>IF(Q1733="","",Q1733-S1733)</f>
        <v/>
      </c>
    </row>
    <row r="1734">
      <c r="A1734" s="7">
        <f>CONCATENATE(C1734,E1734,F1734,I1734)</f>
        <v/>
      </c>
      <c r="B1734" s="7">
        <f>CONCATENATE(C1734,E1734,I1734)</f>
        <v/>
      </c>
      <c r="C1734" s="8" t="n">
        <v>900005259</v>
      </c>
      <c r="D1734" s="7">
        <f>IFERROR(VLOOKUP(C1734,TRAOPE!$G:$H,2,0),"")</f>
        <v/>
      </c>
      <c r="E1734" s="8" t="inlineStr">
        <is>
          <t>D836</t>
        </is>
      </c>
      <c r="F1734" s="8" t="inlineStr">
        <is>
          <t>66552845</t>
        </is>
      </c>
      <c r="G1734" s="8">
        <f>IFERROR(VLOOKUP(A1734,Flete!$A:$E,5,0),"")</f>
        <v/>
      </c>
      <c r="H1734" s="7">
        <f>IFERROR(VLOOKUP(F1734,TRAOPE!$AA:$AB,2,0),"")</f>
        <v/>
      </c>
      <c r="I1734" s="7" t="n">
        <v>10000623</v>
      </c>
      <c r="J1734" s="7">
        <f>IFERROR(VLOOKUP(I1734,Materiales!$A:$H,8,0),"")</f>
        <v/>
      </c>
      <c r="K1734" s="9">
        <f>IFERROR(VLOOKUP(I1734,Materiales!$A:$G,7,0),"")</f>
        <v/>
      </c>
      <c r="L1734" s="8" t="inlineStr">
        <is>
          <t>20190426</t>
        </is>
      </c>
      <c r="M1734" s="8" t="inlineStr">
        <is>
          <t>20250127</t>
        </is>
      </c>
      <c r="N1734" s="10" t="n">
        <v>145</v>
      </c>
      <c r="O1734" s="10">
        <f>IFERROR(VLOOKUP(A1734,Flete!$A:$J,10,0),"")</f>
        <v/>
      </c>
      <c r="P1734" s="8" t="inlineStr">
        <is>
          <t>M3</t>
        </is>
      </c>
      <c r="Q1734" s="10">
        <f>IFERROR(IFERROR(VLOOKUP(A1734,TRAOPE!$A:$U,21,0),VLOOKUP(B1734,TRAOPE!$A:$U,21,0)),"")</f>
        <v/>
      </c>
      <c r="R1734" s="8">
        <f>IFERROR(IFERROR(VLOOKUP(A1734,TRAOPE!$A:$W,23,0),VLOOKUP(B1734,TRAOPE!$A:$W,23,0)),"")</f>
        <v/>
      </c>
      <c r="S1734" s="10">
        <f>IF(AND(P1734="TN",R1734="TN"),N1734+N(O1734),IF(G1734&amp;""="1",N(K1734)*N1734,(N1734+N(O1734))*N(K1734)))</f>
        <v/>
      </c>
      <c r="T1734" s="10">
        <f>IF(Q1734="","",Q1734-S1734)</f>
        <v/>
      </c>
    </row>
    <row r="1735">
      <c r="A1735" s="7">
        <f>CONCATENATE(C1735,E1735,F1735,I1735)</f>
        <v/>
      </c>
      <c r="B1735" s="7">
        <f>CONCATENATE(C1735,E1735,I1735)</f>
        <v/>
      </c>
      <c r="C1735" s="8" t="n">
        <v>900005259</v>
      </c>
      <c r="D1735" s="7">
        <f>IFERROR(VLOOKUP(C1735,TRAOPE!$G:$H,2,0),"")</f>
        <v/>
      </c>
      <c r="E1735" s="8" t="inlineStr">
        <is>
          <t>D836</t>
        </is>
      </c>
      <c r="F1735" s="8" t="inlineStr">
        <is>
          <t>66556060</t>
        </is>
      </c>
      <c r="G1735" s="8">
        <f>IFERROR(VLOOKUP(A1735,Flete!$A:$E,5,0),"")</f>
        <v/>
      </c>
      <c r="H1735" s="7">
        <f>IFERROR(VLOOKUP(F1735,TRAOPE!$AA:$AB,2,0),"")</f>
        <v/>
      </c>
      <c r="I1735" s="7" t="n">
        <v>10000623</v>
      </c>
      <c r="J1735" s="7">
        <f>IFERROR(VLOOKUP(I1735,Materiales!$A:$H,8,0),"")</f>
        <v/>
      </c>
      <c r="K1735" s="9">
        <f>IFERROR(VLOOKUP(I1735,Materiales!$A:$G,7,0),"")</f>
        <v/>
      </c>
      <c r="L1735" s="8" t="inlineStr">
        <is>
          <t>20190426</t>
        </is>
      </c>
      <c r="M1735" s="8" t="inlineStr">
        <is>
          <t>20250127</t>
        </is>
      </c>
      <c r="N1735" s="10" t="n">
        <v>191.24</v>
      </c>
      <c r="O1735" s="10">
        <f>IFERROR(VLOOKUP(A1735,Flete!$A:$J,10,0),"")</f>
        <v/>
      </c>
      <c r="P1735" s="8" t="inlineStr">
        <is>
          <t>M3</t>
        </is>
      </c>
      <c r="Q1735" s="10">
        <f>IFERROR(IFERROR(VLOOKUP(A1735,TRAOPE!$A:$U,21,0),VLOOKUP(B1735,TRAOPE!$A:$U,21,0)),"")</f>
        <v/>
      </c>
      <c r="R1735" s="8">
        <f>IFERROR(IFERROR(VLOOKUP(A1735,TRAOPE!$A:$W,23,0),VLOOKUP(B1735,TRAOPE!$A:$W,23,0)),"")</f>
        <v/>
      </c>
      <c r="S1735" s="10">
        <f>IF(AND(P1735="TN",R1735="TN"),N1735+N(O1735),IF(G1735&amp;""="1",N(K1735)*N1735,(N1735+N(O1735))*N(K1735)))</f>
        <v/>
      </c>
      <c r="T1735" s="10">
        <f>IF(Q1735="","",Q1735-S1735)</f>
        <v/>
      </c>
    </row>
    <row r="1736">
      <c r="A1736" s="7">
        <f>CONCATENATE(C1736,E1736,F1736,I1736)</f>
        <v/>
      </c>
      <c r="B1736" s="7">
        <f>CONCATENATE(C1736,E1736,I1736)</f>
        <v/>
      </c>
      <c r="C1736" s="8" t="n">
        <v>900005284</v>
      </c>
      <c r="D1736" s="7">
        <f>IFERROR(VLOOKUP(C1736,TRAOPE!$G:$H,2,0),"")</f>
        <v/>
      </c>
      <c r="E1736" s="8" t="inlineStr">
        <is>
          <t>D836</t>
        </is>
      </c>
      <c r="F1736" s="8" t="inlineStr">
        <is>
          <t>66422539</t>
        </is>
      </c>
      <c r="G1736" s="8">
        <f>IFERROR(VLOOKUP(A1736,Flete!$A:$E,5,0),"")</f>
        <v/>
      </c>
      <c r="H1736" s="7">
        <f>IFERROR(VLOOKUP(F1736,TRAOPE!$AA:$AB,2,0),"")</f>
        <v/>
      </c>
      <c r="I1736" s="7" t="n">
        <v>10143807</v>
      </c>
      <c r="J1736" s="7">
        <f>IFERROR(VLOOKUP(I1736,Materiales!$A:$H,8,0),"")</f>
        <v/>
      </c>
      <c r="K1736" s="9">
        <f>IFERROR(VLOOKUP(I1736,Materiales!$A:$G,7,0),"")</f>
        <v/>
      </c>
      <c r="L1736" s="8" t="inlineStr">
        <is>
          <t>20190426</t>
        </is>
      </c>
      <c r="M1736" s="8" t="inlineStr">
        <is>
          <t>20250127</t>
        </is>
      </c>
      <c r="N1736" s="10" t="n">
        <v>435</v>
      </c>
      <c r="O1736" s="10">
        <f>IFERROR(VLOOKUP(A1736,Flete!$A:$J,10,0),"")</f>
        <v/>
      </c>
      <c r="P1736" s="8" t="inlineStr">
        <is>
          <t>TN</t>
        </is>
      </c>
      <c r="Q1736" s="10">
        <f>IFERROR(IFERROR(VLOOKUP(A1736,TRAOPE!$A:$U,21,0),VLOOKUP(B1736,TRAOPE!$A:$U,21,0)),"")</f>
        <v/>
      </c>
      <c r="R1736" s="8">
        <f>IFERROR(IFERROR(VLOOKUP(A1736,TRAOPE!$A:$W,23,0),VLOOKUP(B1736,TRAOPE!$A:$W,23,0)),"")</f>
        <v/>
      </c>
      <c r="S1736" s="10">
        <f>IF(AND(P1736="TN",R1736="TN"),N1736+N(O1736),IF(G1736&amp;""="1",N(K1736)*N1736,(N1736+N(O1736))*N(K1736)))</f>
        <v/>
      </c>
      <c r="T1736" s="10">
        <f>IF(Q1736="","",Q1736-S1736)</f>
        <v/>
      </c>
    </row>
    <row r="1737">
      <c r="A1737" s="7">
        <f>CONCATENATE(C1737,E1737,F1737,I1737)</f>
        <v/>
      </c>
      <c r="B1737" s="7">
        <f>CONCATENATE(C1737,E1737,I1737)</f>
        <v/>
      </c>
      <c r="C1737" s="8" t="n">
        <v>900005286</v>
      </c>
      <c r="D1737" s="7">
        <f>IFERROR(VLOOKUP(C1737,TRAOPE!$G:$H,2,0),"")</f>
        <v/>
      </c>
      <c r="E1737" s="8" t="inlineStr">
        <is>
          <t>D836</t>
        </is>
      </c>
      <c r="F1737" s="8" t="inlineStr">
        <is>
          <t>65003945</t>
        </is>
      </c>
      <c r="G1737" s="8">
        <f>IFERROR(VLOOKUP(A1737,Flete!$A:$E,5,0),"")</f>
        <v/>
      </c>
      <c r="H1737" s="7">
        <f>IFERROR(VLOOKUP(F1737,TRAOPE!$AA:$AB,2,0),"")</f>
        <v/>
      </c>
      <c r="I1737" s="7" t="n">
        <v>10000647</v>
      </c>
      <c r="J1737" s="7">
        <f>IFERROR(VLOOKUP(I1737,Materiales!$A:$H,8,0),"")</f>
        <v/>
      </c>
      <c r="K1737" s="9">
        <f>IFERROR(VLOOKUP(I1737,Materiales!$A:$G,7,0),"")</f>
        <v/>
      </c>
      <c r="L1737" s="8" t="inlineStr">
        <is>
          <t>20190426</t>
        </is>
      </c>
      <c r="M1737" s="8" t="inlineStr">
        <is>
          <t>20250127</t>
        </is>
      </c>
      <c r="N1737" s="10" t="n">
        <v>73</v>
      </c>
      <c r="O1737" s="10">
        <f>IFERROR(VLOOKUP(A1737,Flete!$A:$J,10,0),"")</f>
        <v/>
      </c>
      <c r="P1737" s="8" t="inlineStr">
        <is>
          <t>M3</t>
        </is>
      </c>
      <c r="Q1737" s="10">
        <f>IFERROR(IFERROR(VLOOKUP(A1737,TRAOPE!$A:$U,21,0),VLOOKUP(B1737,TRAOPE!$A:$U,21,0)),"")</f>
        <v/>
      </c>
      <c r="R1737" s="8">
        <f>IFERROR(IFERROR(VLOOKUP(A1737,TRAOPE!$A:$W,23,0),VLOOKUP(B1737,TRAOPE!$A:$W,23,0)),"")</f>
        <v/>
      </c>
      <c r="S1737" s="10">
        <f>IF(AND(P1737="TN",R1737="TN"),N1737+N(O1737),IF(G1737&amp;""="1",N(K1737)*N1737,(N1737+N(O1737))*N(K1737)))</f>
        <v/>
      </c>
      <c r="T1737" s="10">
        <f>IF(Q1737="","",Q1737-S1737)</f>
        <v/>
      </c>
    </row>
    <row r="1738">
      <c r="A1738" s="7">
        <f>CONCATENATE(C1738,E1738,F1738,I1738)</f>
        <v/>
      </c>
      <c r="B1738" s="7">
        <f>CONCATENATE(C1738,E1738,I1738)</f>
        <v/>
      </c>
      <c r="C1738" s="8" t="n">
        <v>900005286</v>
      </c>
      <c r="D1738" s="7">
        <f>IFERROR(VLOOKUP(C1738,TRAOPE!$G:$H,2,0),"")</f>
        <v/>
      </c>
      <c r="E1738" s="8" t="inlineStr">
        <is>
          <t>D836</t>
        </is>
      </c>
      <c r="F1738" s="8" t="inlineStr">
        <is>
          <t>65030275</t>
        </is>
      </c>
      <c r="G1738" s="8">
        <f>IFERROR(VLOOKUP(A1738,Flete!$A:$E,5,0),"")</f>
        <v/>
      </c>
      <c r="H1738" s="7">
        <f>IFERROR(VLOOKUP(F1738,TRAOPE!$AA:$AB,2,0),"")</f>
        <v/>
      </c>
      <c r="I1738" s="7" t="n">
        <v>10000647</v>
      </c>
      <c r="J1738" s="7">
        <f>IFERROR(VLOOKUP(I1738,Materiales!$A:$H,8,0),"")</f>
        <v/>
      </c>
      <c r="K1738" s="9">
        <f>IFERROR(VLOOKUP(I1738,Materiales!$A:$G,7,0),"")</f>
        <v/>
      </c>
      <c r="L1738" s="8" t="inlineStr">
        <is>
          <t>20190426</t>
        </is>
      </c>
      <c r="M1738" s="8" t="inlineStr">
        <is>
          <t>20250127</t>
        </is>
      </c>
      <c r="N1738" s="10" t="n">
        <v>80</v>
      </c>
      <c r="O1738" s="10">
        <f>IFERROR(VLOOKUP(A1738,Flete!$A:$J,10,0),"")</f>
        <v/>
      </c>
      <c r="P1738" s="8" t="inlineStr">
        <is>
          <t>M3</t>
        </is>
      </c>
      <c r="Q1738" s="10">
        <f>IFERROR(IFERROR(VLOOKUP(A1738,TRAOPE!$A:$U,21,0),VLOOKUP(B1738,TRAOPE!$A:$U,21,0)),"")</f>
        <v/>
      </c>
      <c r="R1738" s="8">
        <f>IFERROR(IFERROR(VLOOKUP(A1738,TRAOPE!$A:$W,23,0),VLOOKUP(B1738,TRAOPE!$A:$W,23,0)),"")</f>
        <v/>
      </c>
      <c r="S1738" s="10">
        <f>IF(AND(P1738="TN",R1738="TN"),N1738+N(O1738),IF(G1738&amp;""="1",N(K1738)*N1738,(N1738+N(O1738))*N(K1738)))</f>
        <v/>
      </c>
      <c r="T1738" s="10">
        <f>IF(Q1738="","",Q1738-S1738)</f>
        <v/>
      </c>
    </row>
    <row r="1739">
      <c r="A1739" s="7">
        <f>CONCATENATE(C1739,E1739,F1739,I1739)</f>
        <v/>
      </c>
      <c r="B1739" s="7">
        <f>CONCATENATE(C1739,E1739,I1739)</f>
        <v/>
      </c>
      <c r="C1739" s="8" t="n">
        <v>900005286</v>
      </c>
      <c r="D1739" s="7">
        <f>IFERROR(VLOOKUP(C1739,TRAOPE!$G:$H,2,0),"")</f>
        <v/>
      </c>
      <c r="E1739" s="8" t="inlineStr">
        <is>
          <t>D836</t>
        </is>
      </c>
      <c r="F1739" s="8" t="inlineStr">
        <is>
          <t>65037523</t>
        </is>
      </c>
      <c r="G1739" s="8">
        <f>IFERROR(VLOOKUP(A1739,Flete!$A:$E,5,0),"")</f>
        <v/>
      </c>
      <c r="H1739" s="7">
        <f>IFERROR(VLOOKUP(F1739,TRAOPE!$AA:$AB,2,0),"")</f>
        <v/>
      </c>
      <c r="I1739" s="7" t="n">
        <v>10000647</v>
      </c>
      <c r="J1739" s="7">
        <f>IFERROR(VLOOKUP(I1739,Materiales!$A:$H,8,0),"")</f>
        <v/>
      </c>
      <c r="K1739" s="9">
        <f>IFERROR(VLOOKUP(I1739,Materiales!$A:$G,7,0),"")</f>
        <v/>
      </c>
      <c r="L1739" s="8" t="inlineStr">
        <is>
          <t>20190426</t>
        </is>
      </c>
      <c r="M1739" s="8" t="inlineStr">
        <is>
          <t>20250127</t>
        </is>
      </c>
      <c r="N1739" s="10" t="n">
        <v>80</v>
      </c>
      <c r="O1739" s="10">
        <f>IFERROR(VLOOKUP(A1739,Flete!$A:$J,10,0),"")</f>
        <v/>
      </c>
      <c r="P1739" s="8" t="inlineStr">
        <is>
          <t>M3</t>
        </is>
      </c>
      <c r="Q1739" s="10">
        <f>IFERROR(IFERROR(VLOOKUP(A1739,TRAOPE!$A:$U,21,0),VLOOKUP(B1739,TRAOPE!$A:$U,21,0)),"")</f>
        <v/>
      </c>
      <c r="R1739" s="8">
        <f>IFERROR(IFERROR(VLOOKUP(A1739,TRAOPE!$A:$W,23,0),VLOOKUP(B1739,TRAOPE!$A:$W,23,0)),"")</f>
        <v/>
      </c>
      <c r="S1739" s="10">
        <f>IF(AND(P1739="TN",R1739="TN"),N1739+N(O1739),IF(G1739&amp;""="1",N(K1739)*N1739,(N1739+N(O1739))*N(K1739)))</f>
        <v/>
      </c>
      <c r="T1739" s="10">
        <f>IF(Q1739="","",Q1739-S1739)</f>
        <v/>
      </c>
    </row>
    <row r="1740">
      <c r="A1740" s="7">
        <f>CONCATENATE(C1740,E1740,F1740,I1740)</f>
        <v/>
      </c>
      <c r="B1740" s="7">
        <f>CONCATENATE(C1740,E1740,I1740)</f>
        <v/>
      </c>
      <c r="C1740" s="8" t="n">
        <v>900005286</v>
      </c>
      <c r="D1740" s="7">
        <f>IFERROR(VLOOKUP(C1740,TRAOPE!$G:$H,2,0),"")</f>
        <v/>
      </c>
      <c r="E1740" s="8" t="inlineStr">
        <is>
          <t>D836</t>
        </is>
      </c>
      <c r="F1740" s="8" t="inlineStr">
        <is>
          <t>65370785</t>
        </is>
      </c>
      <c r="G1740" s="8">
        <f>IFERROR(VLOOKUP(A1740,Flete!$A:$E,5,0),"")</f>
        <v/>
      </c>
      <c r="H1740" s="7">
        <f>IFERROR(VLOOKUP(F1740,TRAOPE!$AA:$AB,2,0),"")</f>
        <v/>
      </c>
      <c r="I1740" s="7" t="n">
        <v>10000647</v>
      </c>
      <c r="J1740" s="7">
        <f>IFERROR(VLOOKUP(I1740,Materiales!$A:$H,8,0),"")</f>
        <v/>
      </c>
      <c r="K1740" s="9">
        <f>IFERROR(VLOOKUP(I1740,Materiales!$A:$G,7,0),"")</f>
        <v/>
      </c>
      <c r="L1740" s="8" t="inlineStr">
        <is>
          <t>20190426</t>
        </is>
      </c>
      <c r="M1740" s="8" t="inlineStr">
        <is>
          <t>20250127</t>
        </is>
      </c>
      <c r="N1740" s="10" t="n">
        <v>75</v>
      </c>
      <c r="O1740" s="10">
        <f>IFERROR(VLOOKUP(A1740,Flete!$A:$J,10,0),"")</f>
        <v/>
      </c>
      <c r="P1740" s="8" t="inlineStr">
        <is>
          <t>M3</t>
        </is>
      </c>
      <c r="Q1740" s="10">
        <f>IFERROR(IFERROR(VLOOKUP(A1740,TRAOPE!$A:$U,21,0),VLOOKUP(B1740,TRAOPE!$A:$U,21,0)),"")</f>
        <v/>
      </c>
      <c r="R1740" s="8">
        <f>IFERROR(IFERROR(VLOOKUP(A1740,TRAOPE!$A:$W,23,0),VLOOKUP(B1740,TRAOPE!$A:$W,23,0)),"")</f>
        <v/>
      </c>
      <c r="S1740" s="10">
        <f>IF(AND(P1740="TN",R1740="TN"),N1740+N(O1740),IF(G1740&amp;""="1",N(K1740)*N1740,(N1740+N(O1740))*N(K1740)))</f>
        <v/>
      </c>
      <c r="T1740" s="10">
        <f>IF(Q1740="","",Q1740-S1740)</f>
        <v/>
      </c>
    </row>
    <row r="1741">
      <c r="A1741" s="7">
        <f>CONCATENATE(C1741,E1741,F1741,I1741)</f>
        <v/>
      </c>
      <c r="B1741" s="7">
        <f>CONCATENATE(C1741,E1741,I1741)</f>
        <v/>
      </c>
      <c r="C1741" s="8" t="n">
        <v>900005286</v>
      </c>
      <c r="D1741" s="7">
        <f>IFERROR(VLOOKUP(C1741,TRAOPE!$G:$H,2,0),"")</f>
        <v/>
      </c>
      <c r="E1741" s="8" t="inlineStr">
        <is>
          <t>D836</t>
        </is>
      </c>
      <c r="F1741" s="8" t="inlineStr">
        <is>
          <t>65706147</t>
        </is>
      </c>
      <c r="G1741" s="8">
        <f>IFERROR(VLOOKUP(A1741,Flete!$A:$E,5,0),"")</f>
        <v/>
      </c>
      <c r="H1741" s="7">
        <f>IFERROR(VLOOKUP(F1741,TRAOPE!$AA:$AB,2,0),"")</f>
        <v/>
      </c>
      <c r="I1741" s="7" t="n">
        <v>10000357</v>
      </c>
      <c r="J1741" s="7">
        <f>IFERROR(VLOOKUP(I1741,Materiales!$A:$H,8,0),"")</f>
        <v/>
      </c>
      <c r="K1741" s="9">
        <f>IFERROR(VLOOKUP(I1741,Materiales!$A:$G,7,0),"")</f>
        <v/>
      </c>
      <c r="L1741" s="8" t="inlineStr">
        <is>
          <t>20190426</t>
        </is>
      </c>
      <c r="M1741" s="8" t="inlineStr">
        <is>
          <t>20250127</t>
        </is>
      </c>
      <c r="N1741" s="10" t="n">
        <v>88</v>
      </c>
      <c r="O1741" s="10">
        <f>IFERROR(VLOOKUP(A1741,Flete!$A:$J,10,0),"")</f>
        <v/>
      </c>
      <c r="P1741" s="8" t="inlineStr">
        <is>
          <t>M3</t>
        </is>
      </c>
      <c r="Q1741" s="10">
        <f>IFERROR(IFERROR(VLOOKUP(A1741,TRAOPE!$A:$U,21,0),VLOOKUP(B1741,TRAOPE!$A:$U,21,0)),"")</f>
        <v/>
      </c>
      <c r="R1741" s="8">
        <f>IFERROR(IFERROR(VLOOKUP(A1741,TRAOPE!$A:$W,23,0),VLOOKUP(B1741,TRAOPE!$A:$W,23,0)),"")</f>
        <v/>
      </c>
      <c r="S1741" s="10">
        <f>IF(AND(P1741="TN",R1741="TN"),N1741+N(O1741),IF(G1741&amp;""="1",N(K1741)*N1741,(N1741+N(O1741))*N(K1741)))</f>
        <v/>
      </c>
      <c r="T1741" s="10">
        <f>IF(Q1741="","",Q1741-S1741)</f>
        <v/>
      </c>
    </row>
    <row r="1742">
      <c r="A1742" s="7">
        <f>CONCATENATE(C1742,E1742,F1742,I1742)</f>
        <v/>
      </c>
      <c r="B1742" s="7">
        <f>CONCATENATE(C1742,E1742,I1742)</f>
        <v/>
      </c>
      <c r="C1742" s="8" t="n">
        <v>900005286</v>
      </c>
      <c r="D1742" s="7">
        <f>IFERROR(VLOOKUP(C1742,TRAOPE!$G:$H,2,0),"")</f>
        <v/>
      </c>
      <c r="E1742" s="8" t="inlineStr">
        <is>
          <t>D836</t>
        </is>
      </c>
      <c r="F1742" s="8" t="inlineStr">
        <is>
          <t>65706147</t>
        </is>
      </c>
      <c r="G1742" s="8">
        <f>IFERROR(VLOOKUP(A1742,Flete!$A:$E,5,0),"")</f>
        <v/>
      </c>
      <c r="H1742" s="7">
        <f>IFERROR(VLOOKUP(F1742,TRAOPE!$AA:$AB,2,0),"")</f>
        <v/>
      </c>
      <c r="I1742" s="7" t="n">
        <v>10000647</v>
      </c>
      <c r="J1742" s="7">
        <f>IFERROR(VLOOKUP(I1742,Materiales!$A:$H,8,0),"")</f>
        <v/>
      </c>
      <c r="K1742" s="9">
        <f>IFERROR(VLOOKUP(I1742,Materiales!$A:$G,7,0),"")</f>
        <v/>
      </c>
      <c r="L1742" s="8" t="inlineStr">
        <is>
          <t>20190426</t>
        </is>
      </c>
      <c r="M1742" s="8" t="inlineStr">
        <is>
          <t>20250127</t>
        </is>
      </c>
      <c r="N1742" s="10" t="n">
        <v>75</v>
      </c>
      <c r="O1742" s="10">
        <f>IFERROR(VLOOKUP(A1742,Flete!$A:$J,10,0),"")</f>
        <v/>
      </c>
      <c r="P1742" s="8" t="inlineStr">
        <is>
          <t>M3</t>
        </is>
      </c>
      <c r="Q1742" s="10">
        <f>IFERROR(IFERROR(VLOOKUP(A1742,TRAOPE!$A:$U,21,0),VLOOKUP(B1742,TRAOPE!$A:$U,21,0)),"")</f>
        <v/>
      </c>
      <c r="R1742" s="8">
        <f>IFERROR(IFERROR(VLOOKUP(A1742,TRAOPE!$A:$W,23,0),VLOOKUP(B1742,TRAOPE!$A:$W,23,0)),"")</f>
        <v/>
      </c>
      <c r="S1742" s="10">
        <f>IF(AND(P1742="TN",R1742="TN"),N1742+N(O1742),IF(G1742&amp;""="1",N(K1742)*N1742,(N1742+N(O1742))*N(K1742)))</f>
        <v/>
      </c>
      <c r="T1742" s="10">
        <f>IF(Q1742="","",Q1742-S1742)</f>
        <v/>
      </c>
    </row>
    <row r="1743">
      <c r="A1743" s="7">
        <f>CONCATENATE(C1743,E1743,F1743,I1743)</f>
        <v/>
      </c>
      <c r="B1743" s="7">
        <f>CONCATENATE(C1743,E1743,I1743)</f>
        <v/>
      </c>
      <c r="C1743" s="8" t="n">
        <v>900005286</v>
      </c>
      <c r="D1743" s="7">
        <f>IFERROR(VLOOKUP(C1743,TRAOPE!$G:$H,2,0),"")</f>
        <v/>
      </c>
      <c r="E1743" s="8" t="inlineStr">
        <is>
          <t>D836</t>
        </is>
      </c>
      <c r="F1743" s="8" t="inlineStr">
        <is>
          <t>66239560</t>
        </is>
      </c>
      <c r="G1743" s="8">
        <f>IFERROR(VLOOKUP(A1743,Flete!$A:$E,5,0),"")</f>
        <v/>
      </c>
      <c r="H1743" s="7">
        <f>IFERROR(VLOOKUP(F1743,TRAOPE!$AA:$AB,2,0),"")</f>
        <v/>
      </c>
      <c r="I1743" s="7" t="n">
        <v>10000647</v>
      </c>
      <c r="J1743" s="7">
        <f>IFERROR(VLOOKUP(I1743,Materiales!$A:$H,8,0),"")</f>
        <v/>
      </c>
      <c r="K1743" s="9">
        <f>IFERROR(VLOOKUP(I1743,Materiales!$A:$G,7,0),"")</f>
        <v/>
      </c>
      <c r="L1743" s="8" t="inlineStr">
        <is>
          <t>20190426</t>
        </is>
      </c>
      <c r="M1743" s="8" t="inlineStr">
        <is>
          <t>20250127</t>
        </is>
      </c>
      <c r="N1743" s="10" t="n">
        <v>83</v>
      </c>
      <c r="O1743" s="10">
        <f>IFERROR(VLOOKUP(A1743,Flete!$A:$J,10,0),"")</f>
        <v/>
      </c>
      <c r="P1743" s="8" t="inlineStr">
        <is>
          <t>M3</t>
        </is>
      </c>
      <c r="Q1743" s="10">
        <f>IFERROR(IFERROR(VLOOKUP(A1743,TRAOPE!$A:$U,21,0),VLOOKUP(B1743,TRAOPE!$A:$U,21,0)),"")</f>
        <v/>
      </c>
      <c r="R1743" s="8">
        <f>IFERROR(IFERROR(VLOOKUP(A1743,TRAOPE!$A:$W,23,0),VLOOKUP(B1743,TRAOPE!$A:$W,23,0)),"")</f>
        <v/>
      </c>
      <c r="S1743" s="10">
        <f>IF(AND(P1743="TN",R1743="TN"),N1743+N(O1743),IF(G1743&amp;""="1",N(K1743)*N1743,(N1743+N(O1743))*N(K1743)))</f>
        <v/>
      </c>
      <c r="T1743" s="10">
        <f>IF(Q1743="","",Q1743-S1743)</f>
        <v/>
      </c>
    </row>
    <row r="1744">
      <c r="A1744" s="7">
        <f>CONCATENATE(C1744,E1744,F1744,I1744)</f>
        <v/>
      </c>
      <c r="B1744" s="7">
        <f>CONCATENATE(C1744,E1744,I1744)</f>
        <v/>
      </c>
      <c r="C1744" s="8" t="n">
        <v>900005286</v>
      </c>
      <c r="D1744" s="7">
        <f>IFERROR(VLOOKUP(C1744,TRAOPE!$G:$H,2,0),"")</f>
        <v/>
      </c>
      <c r="E1744" s="8" t="inlineStr">
        <is>
          <t>D836</t>
        </is>
      </c>
      <c r="F1744" s="8" t="inlineStr">
        <is>
          <t>66239561</t>
        </is>
      </c>
      <c r="G1744" s="8">
        <f>IFERROR(VLOOKUP(A1744,Flete!$A:$E,5,0),"")</f>
        <v/>
      </c>
      <c r="H1744" s="7">
        <f>IFERROR(VLOOKUP(F1744,TRAOPE!$AA:$AB,2,0),"")</f>
        <v/>
      </c>
      <c r="I1744" s="7" t="n">
        <v>10000647</v>
      </c>
      <c r="J1744" s="7">
        <f>IFERROR(VLOOKUP(I1744,Materiales!$A:$H,8,0),"")</f>
        <v/>
      </c>
      <c r="K1744" s="9">
        <f>IFERROR(VLOOKUP(I1744,Materiales!$A:$G,7,0),"")</f>
        <v/>
      </c>
      <c r="L1744" s="8" t="inlineStr">
        <is>
          <t>20190426</t>
        </is>
      </c>
      <c r="M1744" s="8" t="inlineStr">
        <is>
          <t>20250127</t>
        </is>
      </c>
      <c r="N1744" s="10" t="n">
        <v>83</v>
      </c>
      <c r="O1744" s="10">
        <f>IFERROR(VLOOKUP(A1744,Flete!$A:$J,10,0),"")</f>
        <v/>
      </c>
      <c r="P1744" s="8" t="inlineStr">
        <is>
          <t>M3</t>
        </is>
      </c>
      <c r="Q1744" s="10">
        <f>IFERROR(IFERROR(VLOOKUP(A1744,TRAOPE!$A:$U,21,0),VLOOKUP(B1744,TRAOPE!$A:$U,21,0)),"")</f>
        <v/>
      </c>
      <c r="R1744" s="8">
        <f>IFERROR(IFERROR(VLOOKUP(A1744,TRAOPE!$A:$W,23,0),VLOOKUP(B1744,TRAOPE!$A:$W,23,0)),"")</f>
        <v/>
      </c>
      <c r="S1744" s="10">
        <f>IF(AND(P1744="TN",R1744="TN"),N1744+N(O1744),IF(G1744&amp;""="1",N(K1744)*N1744,(N1744+N(O1744))*N(K1744)))</f>
        <v/>
      </c>
      <c r="T1744" s="10">
        <f>IF(Q1744="","",Q1744-S1744)</f>
        <v/>
      </c>
    </row>
    <row r="1745">
      <c r="A1745" s="7">
        <f>CONCATENATE(C1745,E1745,F1745,I1745)</f>
        <v/>
      </c>
      <c r="B1745" s="7">
        <f>CONCATENATE(C1745,E1745,I1745)</f>
        <v/>
      </c>
      <c r="C1745" s="8" t="n">
        <v>900005286</v>
      </c>
      <c r="D1745" s="7">
        <f>IFERROR(VLOOKUP(C1745,TRAOPE!$G:$H,2,0),"")</f>
        <v/>
      </c>
      <c r="E1745" s="8" t="inlineStr">
        <is>
          <t>D836</t>
        </is>
      </c>
      <c r="F1745" s="8" t="inlineStr">
        <is>
          <t>66239598</t>
        </is>
      </c>
      <c r="G1745" s="8">
        <f>IFERROR(VLOOKUP(A1745,Flete!$A:$E,5,0),"")</f>
        <v/>
      </c>
      <c r="H1745" s="7">
        <f>IFERROR(VLOOKUP(F1745,TRAOPE!$AA:$AB,2,0),"")</f>
        <v/>
      </c>
      <c r="I1745" s="7" t="n">
        <v>10000647</v>
      </c>
      <c r="J1745" s="7">
        <f>IFERROR(VLOOKUP(I1745,Materiales!$A:$H,8,0),"")</f>
        <v/>
      </c>
      <c r="K1745" s="9">
        <f>IFERROR(VLOOKUP(I1745,Materiales!$A:$G,7,0),"")</f>
        <v/>
      </c>
      <c r="L1745" s="8" t="inlineStr">
        <is>
          <t>20190426</t>
        </is>
      </c>
      <c r="M1745" s="8" t="inlineStr">
        <is>
          <t>20250127</t>
        </is>
      </c>
      <c r="N1745" s="10" t="n">
        <v>83</v>
      </c>
      <c r="O1745" s="10">
        <f>IFERROR(VLOOKUP(A1745,Flete!$A:$J,10,0),"")</f>
        <v/>
      </c>
      <c r="P1745" s="8" t="inlineStr">
        <is>
          <t>M3</t>
        </is>
      </c>
      <c r="Q1745" s="10">
        <f>IFERROR(IFERROR(VLOOKUP(A1745,TRAOPE!$A:$U,21,0),VLOOKUP(B1745,TRAOPE!$A:$U,21,0)),"")</f>
        <v/>
      </c>
      <c r="R1745" s="8">
        <f>IFERROR(IFERROR(VLOOKUP(A1745,TRAOPE!$A:$W,23,0),VLOOKUP(B1745,TRAOPE!$A:$W,23,0)),"")</f>
        <v/>
      </c>
      <c r="S1745" s="10">
        <f>IF(AND(P1745="TN",R1745="TN"),N1745+N(O1745),IF(G1745&amp;""="1",N(K1745)*N1745,(N1745+N(O1745))*N(K1745)))</f>
        <v/>
      </c>
      <c r="T1745" s="10">
        <f>IF(Q1745="","",Q1745-S1745)</f>
        <v/>
      </c>
    </row>
    <row r="1746">
      <c r="A1746" s="7">
        <f>CONCATENATE(C1746,E1746,F1746,I1746)</f>
        <v/>
      </c>
      <c r="B1746" s="7">
        <f>CONCATENATE(C1746,E1746,I1746)</f>
        <v/>
      </c>
      <c r="C1746" s="8" t="n">
        <v>900005286</v>
      </c>
      <c r="D1746" s="7">
        <f>IFERROR(VLOOKUP(C1746,TRAOPE!$G:$H,2,0),"")</f>
        <v/>
      </c>
      <c r="E1746" s="8" t="inlineStr">
        <is>
          <t>D836</t>
        </is>
      </c>
      <c r="F1746" s="8" t="inlineStr">
        <is>
          <t>66239599</t>
        </is>
      </c>
      <c r="G1746" s="8">
        <f>IFERROR(VLOOKUP(A1746,Flete!$A:$E,5,0),"")</f>
        <v/>
      </c>
      <c r="H1746" s="7">
        <f>IFERROR(VLOOKUP(F1746,TRAOPE!$AA:$AB,2,0),"")</f>
        <v/>
      </c>
      <c r="I1746" s="7" t="n">
        <v>10000647</v>
      </c>
      <c r="J1746" s="7">
        <f>IFERROR(VLOOKUP(I1746,Materiales!$A:$H,8,0),"")</f>
        <v/>
      </c>
      <c r="K1746" s="9">
        <f>IFERROR(VLOOKUP(I1746,Materiales!$A:$G,7,0),"")</f>
        <v/>
      </c>
      <c r="L1746" s="8" t="inlineStr">
        <is>
          <t>20190426</t>
        </is>
      </c>
      <c r="M1746" s="8" t="inlineStr">
        <is>
          <t>20250127</t>
        </is>
      </c>
      <c r="N1746" s="10" t="n">
        <v>83</v>
      </c>
      <c r="O1746" s="10">
        <f>IFERROR(VLOOKUP(A1746,Flete!$A:$J,10,0),"")</f>
        <v/>
      </c>
      <c r="P1746" s="8" t="inlineStr">
        <is>
          <t>M3</t>
        </is>
      </c>
      <c r="Q1746" s="10">
        <f>IFERROR(IFERROR(VLOOKUP(A1746,TRAOPE!$A:$U,21,0),VLOOKUP(B1746,TRAOPE!$A:$U,21,0)),"")</f>
        <v/>
      </c>
      <c r="R1746" s="8">
        <f>IFERROR(IFERROR(VLOOKUP(A1746,TRAOPE!$A:$W,23,0),VLOOKUP(B1746,TRAOPE!$A:$W,23,0)),"")</f>
        <v/>
      </c>
      <c r="S1746" s="10">
        <f>IF(AND(P1746="TN",R1746="TN"),N1746+N(O1746),IF(G1746&amp;""="1",N(K1746)*N1746,(N1746+N(O1746))*N(K1746)))</f>
        <v/>
      </c>
      <c r="T1746" s="10">
        <f>IF(Q1746="","",Q1746-S1746)</f>
        <v/>
      </c>
    </row>
    <row r="1747">
      <c r="A1747" s="7">
        <f>CONCATENATE(C1747,E1747,F1747,I1747)</f>
        <v/>
      </c>
      <c r="B1747" s="7">
        <f>CONCATENATE(C1747,E1747,I1747)</f>
        <v/>
      </c>
      <c r="C1747" s="8" t="n">
        <v>900005286</v>
      </c>
      <c r="D1747" s="7">
        <f>IFERROR(VLOOKUP(C1747,TRAOPE!$G:$H,2,0),"")</f>
        <v/>
      </c>
      <c r="E1747" s="8" t="inlineStr">
        <is>
          <t>D836</t>
        </is>
      </c>
      <c r="F1747" s="8" t="inlineStr">
        <is>
          <t>66239600</t>
        </is>
      </c>
      <c r="G1747" s="8">
        <f>IFERROR(VLOOKUP(A1747,Flete!$A:$E,5,0),"")</f>
        <v/>
      </c>
      <c r="H1747" s="7">
        <f>IFERROR(VLOOKUP(F1747,TRAOPE!$AA:$AB,2,0),"")</f>
        <v/>
      </c>
      <c r="I1747" s="7" t="n">
        <v>10000647</v>
      </c>
      <c r="J1747" s="7">
        <f>IFERROR(VLOOKUP(I1747,Materiales!$A:$H,8,0),"")</f>
        <v/>
      </c>
      <c r="K1747" s="9">
        <f>IFERROR(VLOOKUP(I1747,Materiales!$A:$G,7,0),"")</f>
        <v/>
      </c>
      <c r="L1747" s="8" t="inlineStr">
        <is>
          <t>20190426</t>
        </is>
      </c>
      <c r="M1747" s="8" t="inlineStr">
        <is>
          <t>20250127</t>
        </is>
      </c>
      <c r="N1747" s="10" t="n">
        <v>83</v>
      </c>
      <c r="O1747" s="10">
        <f>IFERROR(VLOOKUP(A1747,Flete!$A:$J,10,0),"")</f>
        <v/>
      </c>
      <c r="P1747" s="8" t="inlineStr">
        <is>
          <t>M3</t>
        </is>
      </c>
      <c r="Q1747" s="10">
        <f>IFERROR(IFERROR(VLOOKUP(A1747,TRAOPE!$A:$U,21,0),VLOOKUP(B1747,TRAOPE!$A:$U,21,0)),"")</f>
        <v/>
      </c>
      <c r="R1747" s="8">
        <f>IFERROR(IFERROR(VLOOKUP(A1747,TRAOPE!$A:$W,23,0),VLOOKUP(B1747,TRAOPE!$A:$W,23,0)),"")</f>
        <v/>
      </c>
      <c r="S1747" s="10">
        <f>IF(AND(P1747="TN",R1747="TN"),N1747+N(O1747),IF(G1747&amp;""="1",N(K1747)*N1747,(N1747+N(O1747))*N(K1747)))</f>
        <v/>
      </c>
      <c r="T1747" s="10">
        <f>IF(Q1747="","",Q1747-S1747)</f>
        <v/>
      </c>
    </row>
    <row r="1748">
      <c r="A1748" s="7">
        <f>CONCATENATE(C1748,E1748,F1748,I1748)</f>
        <v/>
      </c>
      <c r="B1748" s="7">
        <f>CONCATENATE(C1748,E1748,I1748)</f>
        <v/>
      </c>
      <c r="C1748" s="8" t="n">
        <v>900005286</v>
      </c>
      <c r="D1748" s="7">
        <f>IFERROR(VLOOKUP(C1748,TRAOPE!$G:$H,2,0),"")</f>
        <v/>
      </c>
      <c r="E1748" s="8" t="inlineStr">
        <is>
          <t>D836</t>
        </is>
      </c>
      <c r="F1748" s="8" t="inlineStr">
        <is>
          <t>66239601</t>
        </is>
      </c>
      <c r="G1748" s="8">
        <f>IFERROR(VLOOKUP(A1748,Flete!$A:$E,5,0),"")</f>
        <v/>
      </c>
      <c r="H1748" s="7">
        <f>IFERROR(VLOOKUP(F1748,TRAOPE!$AA:$AB,2,0),"")</f>
        <v/>
      </c>
      <c r="I1748" s="7" t="n">
        <v>10000647</v>
      </c>
      <c r="J1748" s="7">
        <f>IFERROR(VLOOKUP(I1748,Materiales!$A:$H,8,0),"")</f>
        <v/>
      </c>
      <c r="K1748" s="9">
        <f>IFERROR(VLOOKUP(I1748,Materiales!$A:$G,7,0),"")</f>
        <v/>
      </c>
      <c r="L1748" s="8" t="inlineStr">
        <is>
          <t>20190426</t>
        </is>
      </c>
      <c r="M1748" s="8" t="inlineStr">
        <is>
          <t>20250127</t>
        </is>
      </c>
      <c r="N1748" s="10" t="n">
        <v>83</v>
      </c>
      <c r="O1748" s="10">
        <f>IFERROR(VLOOKUP(A1748,Flete!$A:$J,10,0),"")</f>
        <v/>
      </c>
      <c r="P1748" s="8" t="inlineStr">
        <is>
          <t>M3</t>
        </is>
      </c>
      <c r="Q1748" s="10">
        <f>IFERROR(IFERROR(VLOOKUP(A1748,TRAOPE!$A:$U,21,0),VLOOKUP(B1748,TRAOPE!$A:$U,21,0)),"")</f>
        <v/>
      </c>
      <c r="R1748" s="8">
        <f>IFERROR(IFERROR(VLOOKUP(A1748,TRAOPE!$A:$W,23,0),VLOOKUP(B1748,TRAOPE!$A:$W,23,0)),"")</f>
        <v/>
      </c>
      <c r="S1748" s="10">
        <f>IF(AND(P1748="TN",R1748="TN"),N1748+N(O1748),IF(G1748&amp;""="1",N(K1748)*N1748,(N1748+N(O1748))*N(K1748)))</f>
        <v/>
      </c>
      <c r="T1748" s="10">
        <f>IF(Q1748="","",Q1748-S1748)</f>
        <v/>
      </c>
    </row>
    <row r="1749">
      <c r="A1749" s="7">
        <f>CONCATENATE(C1749,E1749,F1749,I1749)</f>
        <v/>
      </c>
      <c r="B1749" s="7">
        <f>CONCATENATE(C1749,E1749,I1749)</f>
        <v/>
      </c>
      <c r="C1749" s="8" t="n">
        <v>900005286</v>
      </c>
      <c r="D1749" s="7">
        <f>IFERROR(VLOOKUP(C1749,TRAOPE!$G:$H,2,0),"")</f>
        <v/>
      </c>
      <c r="E1749" s="8" t="inlineStr">
        <is>
          <t>D836</t>
        </is>
      </c>
      <c r="F1749" s="8" t="inlineStr">
        <is>
          <t>66239617</t>
        </is>
      </c>
      <c r="G1749" s="8">
        <f>IFERROR(VLOOKUP(A1749,Flete!$A:$E,5,0),"")</f>
        <v/>
      </c>
      <c r="H1749" s="7">
        <f>IFERROR(VLOOKUP(F1749,TRAOPE!$AA:$AB,2,0),"")</f>
        <v/>
      </c>
      <c r="I1749" s="7" t="n">
        <v>10000647</v>
      </c>
      <c r="J1749" s="7">
        <f>IFERROR(VLOOKUP(I1749,Materiales!$A:$H,8,0),"")</f>
        <v/>
      </c>
      <c r="K1749" s="9">
        <f>IFERROR(VLOOKUP(I1749,Materiales!$A:$G,7,0),"")</f>
        <v/>
      </c>
      <c r="L1749" s="8" t="inlineStr">
        <is>
          <t>20190426</t>
        </is>
      </c>
      <c r="M1749" s="8" t="inlineStr">
        <is>
          <t>20250127</t>
        </is>
      </c>
      <c r="N1749" s="10" t="n">
        <v>83</v>
      </c>
      <c r="O1749" s="10">
        <f>IFERROR(VLOOKUP(A1749,Flete!$A:$J,10,0),"")</f>
        <v/>
      </c>
      <c r="P1749" s="8" t="inlineStr">
        <is>
          <t>M3</t>
        </is>
      </c>
      <c r="Q1749" s="10">
        <f>IFERROR(IFERROR(VLOOKUP(A1749,TRAOPE!$A:$U,21,0),VLOOKUP(B1749,TRAOPE!$A:$U,21,0)),"")</f>
        <v/>
      </c>
      <c r="R1749" s="8">
        <f>IFERROR(IFERROR(VLOOKUP(A1749,TRAOPE!$A:$W,23,0),VLOOKUP(B1749,TRAOPE!$A:$W,23,0)),"")</f>
        <v/>
      </c>
      <c r="S1749" s="10">
        <f>IF(AND(P1749="TN",R1749="TN"),N1749+N(O1749),IF(G1749&amp;""="1",N(K1749)*N1749,(N1749+N(O1749))*N(K1749)))</f>
        <v/>
      </c>
      <c r="T1749" s="10">
        <f>IF(Q1749="","",Q1749-S1749)</f>
        <v/>
      </c>
    </row>
    <row r="1750">
      <c r="A1750" s="7">
        <f>CONCATENATE(C1750,E1750,F1750,I1750)</f>
        <v/>
      </c>
      <c r="B1750" s="7">
        <f>CONCATENATE(C1750,E1750,I1750)</f>
        <v/>
      </c>
      <c r="C1750" s="8" t="n">
        <v>900005286</v>
      </c>
      <c r="D1750" s="7">
        <f>IFERROR(VLOOKUP(C1750,TRAOPE!$G:$H,2,0),"")</f>
        <v/>
      </c>
      <c r="E1750" s="8" t="inlineStr">
        <is>
          <t>D836</t>
        </is>
      </c>
      <c r="F1750" s="8" t="inlineStr">
        <is>
          <t>66239621</t>
        </is>
      </c>
      <c r="G1750" s="8">
        <f>IFERROR(VLOOKUP(A1750,Flete!$A:$E,5,0),"")</f>
        <v/>
      </c>
      <c r="H1750" s="7">
        <f>IFERROR(VLOOKUP(F1750,TRAOPE!$AA:$AB,2,0),"")</f>
        <v/>
      </c>
      <c r="I1750" s="7" t="n">
        <v>10000647</v>
      </c>
      <c r="J1750" s="7">
        <f>IFERROR(VLOOKUP(I1750,Materiales!$A:$H,8,0),"")</f>
        <v/>
      </c>
      <c r="K1750" s="9">
        <f>IFERROR(VLOOKUP(I1750,Materiales!$A:$G,7,0),"")</f>
        <v/>
      </c>
      <c r="L1750" s="8" t="inlineStr">
        <is>
          <t>20190426</t>
        </is>
      </c>
      <c r="M1750" s="8" t="inlineStr">
        <is>
          <t>20250127</t>
        </is>
      </c>
      <c r="N1750" s="10" t="n">
        <v>83</v>
      </c>
      <c r="O1750" s="10">
        <f>IFERROR(VLOOKUP(A1750,Flete!$A:$J,10,0),"")</f>
        <v/>
      </c>
      <c r="P1750" s="8" t="inlineStr">
        <is>
          <t>M3</t>
        </is>
      </c>
      <c r="Q1750" s="10">
        <f>IFERROR(IFERROR(VLOOKUP(A1750,TRAOPE!$A:$U,21,0),VLOOKUP(B1750,TRAOPE!$A:$U,21,0)),"")</f>
        <v/>
      </c>
      <c r="R1750" s="8">
        <f>IFERROR(IFERROR(VLOOKUP(A1750,TRAOPE!$A:$W,23,0),VLOOKUP(B1750,TRAOPE!$A:$W,23,0)),"")</f>
        <v/>
      </c>
      <c r="S1750" s="10">
        <f>IF(AND(P1750="TN",R1750="TN"),N1750+N(O1750),IF(G1750&amp;""="1",N(K1750)*N1750,(N1750+N(O1750))*N(K1750)))</f>
        <v/>
      </c>
      <c r="T1750" s="10">
        <f>IF(Q1750="","",Q1750-S1750)</f>
        <v/>
      </c>
    </row>
    <row r="1751">
      <c r="A1751" s="7">
        <f>CONCATENATE(C1751,E1751,F1751,I1751)</f>
        <v/>
      </c>
      <c r="B1751" s="7">
        <f>CONCATENATE(C1751,E1751,I1751)</f>
        <v/>
      </c>
      <c r="C1751" s="8" t="n">
        <v>900005286</v>
      </c>
      <c r="D1751" s="7">
        <f>IFERROR(VLOOKUP(C1751,TRAOPE!$G:$H,2,0),"")</f>
        <v/>
      </c>
      <c r="E1751" s="8" t="inlineStr">
        <is>
          <t>D836</t>
        </is>
      </c>
      <c r="F1751" s="8" t="inlineStr">
        <is>
          <t>66239627</t>
        </is>
      </c>
      <c r="G1751" s="8">
        <f>IFERROR(VLOOKUP(A1751,Flete!$A:$E,5,0),"")</f>
        <v/>
      </c>
      <c r="H1751" s="7">
        <f>IFERROR(VLOOKUP(F1751,TRAOPE!$AA:$AB,2,0),"")</f>
        <v/>
      </c>
      <c r="I1751" s="7" t="n">
        <v>10000647</v>
      </c>
      <c r="J1751" s="7">
        <f>IFERROR(VLOOKUP(I1751,Materiales!$A:$H,8,0),"")</f>
        <v/>
      </c>
      <c r="K1751" s="9">
        <f>IFERROR(VLOOKUP(I1751,Materiales!$A:$G,7,0),"")</f>
        <v/>
      </c>
      <c r="L1751" s="8" t="inlineStr">
        <is>
          <t>20190426</t>
        </is>
      </c>
      <c r="M1751" s="8" t="inlineStr">
        <is>
          <t>20250127</t>
        </is>
      </c>
      <c r="N1751" s="10" t="n">
        <v>83</v>
      </c>
      <c r="O1751" s="10">
        <f>IFERROR(VLOOKUP(A1751,Flete!$A:$J,10,0),"")</f>
        <v/>
      </c>
      <c r="P1751" s="8" t="inlineStr">
        <is>
          <t>M3</t>
        </is>
      </c>
      <c r="Q1751" s="10">
        <f>IFERROR(IFERROR(VLOOKUP(A1751,TRAOPE!$A:$U,21,0),VLOOKUP(B1751,TRAOPE!$A:$U,21,0)),"")</f>
        <v/>
      </c>
      <c r="R1751" s="8">
        <f>IFERROR(IFERROR(VLOOKUP(A1751,TRAOPE!$A:$W,23,0),VLOOKUP(B1751,TRAOPE!$A:$W,23,0)),"")</f>
        <v/>
      </c>
      <c r="S1751" s="10">
        <f>IF(AND(P1751="TN",R1751="TN"),N1751+N(O1751),IF(G1751&amp;""="1",N(K1751)*N1751,(N1751+N(O1751))*N(K1751)))</f>
        <v/>
      </c>
      <c r="T1751" s="10">
        <f>IF(Q1751="","",Q1751-S1751)</f>
        <v/>
      </c>
    </row>
    <row r="1752">
      <c r="A1752" s="7">
        <f>CONCATENATE(C1752,E1752,F1752,I1752)</f>
        <v/>
      </c>
      <c r="B1752" s="7">
        <f>CONCATENATE(C1752,E1752,I1752)</f>
        <v/>
      </c>
      <c r="C1752" s="8" t="n">
        <v>900005286</v>
      </c>
      <c r="D1752" s="7">
        <f>IFERROR(VLOOKUP(C1752,TRAOPE!$G:$H,2,0),"")</f>
        <v/>
      </c>
      <c r="E1752" s="8" t="inlineStr">
        <is>
          <t>D836</t>
        </is>
      </c>
      <c r="F1752" s="8" t="inlineStr">
        <is>
          <t>66239628</t>
        </is>
      </c>
      <c r="G1752" s="8">
        <f>IFERROR(VLOOKUP(A1752,Flete!$A:$E,5,0),"")</f>
        <v/>
      </c>
      <c r="H1752" s="7">
        <f>IFERROR(VLOOKUP(F1752,TRAOPE!$AA:$AB,2,0),"")</f>
        <v/>
      </c>
      <c r="I1752" s="7" t="n">
        <v>10000647</v>
      </c>
      <c r="J1752" s="7">
        <f>IFERROR(VLOOKUP(I1752,Materiales!$A:$H,8,0),"")</f>
        <v/>
      </c>
      <c r="K1752" s="9">
        <f>IFERROR(VLOOKUP(I1752,Materiales!$A:$G,7,0),"")</f>
        <v/>
      </c>
      <c r="L1752" s="8" t="inlineStr">
        <is>
          <t>20190426</t>
        </is>
      </c>
      <c r="M1752" s="8" t="inlineStr">
        <is>
          <t>20250127</t>
        </is>
      </c>
      <c r="N1752" s="10" t="n">
        <v>83</v>
      </c>
      <c r="O1752" s="10">
        <f>IFERROR(VLOOKUP(A1752,Flete!$A:$J,10,0),"")</f>
        <v/>
      </c>
      <c r="P1752" s="8" t="inlineStr">
        <is>
          <t>M3</t>
        </is>
      </c>
      <c r="Q1752" s="10">
        <f>IFERROR(IFERROR(VLOOKUP(A1752,TRAOPE!$A:$U,21,0),VLOOKUP(B1752,TRAOPE!$A:$U,21,0)),"")</f>
        <v/>
      </c>
      <c r="R1752" s="8">
        <f>IFERROR(IFERROR(VLOOKUP(A1752,TRAOPE!$A:$W,23,0),VLOOKUP(B1752,TRAOPE!$A:$W,23,0)),"")</f>
        <v/>
      </c>
      <c r="S1752" s="10">
        <f>IF(AND(P1752="TN",R1752="TN"),N1752+N(O1752),IF(G1752&amp;""="1",N(K1752)*N1752,(N1752+N(O1752))*N(K1752)))</f>
        <v/>
      </c>
      <c r="T1752" s="10">
        <f>IF(Q1752="","",Q1752-S1752)</f>
        <v/>
      </c>
    </row>
    <row r="1753">
      <c r="A1753" s="7">
        <f>CONCATENATE(C1753,E1753,F1753,I1753)</f>
        <v/>
      </c>
      <c r="B1753" s="7">
        <f>CONCATENATE(C1753,E1753,I1753)</f>
        <v/>
      </c>
      <c r="C1753" s="8" t="n">
        <v>900005286</v>
      </c>
      <c r="D1753" s="7">
        <f>IFERROR(VLOOKUP(C1753,TRAOPE!$G:$H,2,0),"")</f>
        <v/>
      </c>
      <c r="E1753" s="8" t="inlineStr">
        <is>
          <t>D836</t>
        </is>
      </c>
      <c r="F1753" s="8" t="inlineStr">
        <is>
          <t>66260760</t>
        </is>
      </c>
      <c r="G1753" s="8">
        <f>IFERROR(VLOOKUP(A1753,Flete!$A:$E,5,0),"")</f>
        <v/>
      </c>
      <c r="H1753" s="7">
        <f>IFERROR(VLOOKUP(F1753,TRAOPE!$AA:$AB,2,0),"")</f>
        <v/>
      </c>
      <c r="I1753" s="7" t="n">
        <v>10000647</v>
      </c>
      <c r="J1753" s="7">
        <f>IFERROR(VLOOKUP(I1753,Materiales!$A:$H,8,0),"")</f>
        <v/>
      </c>
      <c r="K1753" s="9">
        <f>IFERROR(VLOOKUP(I1753,Materiales!$A:$G,7,0),"")</f>
        <v/>
      </c>
      <c r="L1753" s="8" t="inlineStr">
        <is>
          <t>20190426</t>
        </is>
      </c>
      <c r="M1753" s="8" t="inlineStr">
        <is>
          <t>20250127</t>
        </is>
      </c>
      <c r="N1753" s="10" t="n">
        <v>76</v>
      </c>
      <c r="O1753" s="10">
        <f>IFERROR(VLOOKUP(A1753,Flete!$A:$J,10,0),"")</f>
        <v/>
      </c>
      <c r="P1753" s="8" t="inlineStr">
        <is>
          <t>M3</t>
        </is>
      </c>
      <c r="Q1753" s="10">
        <f>IFERROR(IFERROR(VLOOKUP(A1753,TRAOPE!$A:$U,21,0),VLOOKUP(B1753,TRAOPE!$A:$U,21,0)),"")</f>
        <v/>
      </c>
      <c r="R1753" s="8">
        <f>IFERROR(IFERROR(VLOOKUP(A1753,TRAOPE!$A:$W,23,0),VLOOKUP(B1753,TRAOPE!$A:$W,23,0)),"")</f>
        <v/>
      </c>
      <c r="S1753" s="10">
        <f>IF(AND(P1753="TN",R1753="TN"),N1753+N(O1753),IF(G1753&amp;""="1",N(K1753)*N1753,(N1753+N(O1753))*N(K1753)))</f>
        <v/>
      </c>
      <c r="T1753" s="10">
        <f>IF(Q1753="","",Q1753-S1753)</f>
        <v/>
      </c>
    </row>
    <row r="1754">
      <c r="A1754" s="7">
        <f>CONCATENATE(C1754,E1754,F1754,I1754)</f>
        <v/>
      </c>
      <c r="B1754" s="7">
        <f>CONCATENATE(C1754,E1754,I1754)</f>
        <v/>
      </c>
      <c r="C1754" s="8" t="n">
        <v>900005286</v>
      </c>
      <c r="D1754" s="7">
        <f>IFERROR(VLOOKUP(C1754,TRAOPE!$G:$H,2,0),"")</f>
        <v/>
      </c>
      <c r="E1754" s="8" t="inlineStr">
        <is>
          <t>D836</t>
        </is>
      </c>
      <c r="F1754" s="8" t="inlineStr">
        <is>
          <t>66265943</t>
        </is>
      </c>
      <c r="G1754" s="8">
        <f>IFERROR(VLOOKUP(A1754,Flete!$A:$E,5,0),"")</f>
        <v/>
      </c>
      <c r="H1754" s="7">
        <f>IFERROR(VLOOKUP(F1754,TRAOPE!$AA:$AB,2,0),"")</f>
        <v/>
      </c>
      <c r="I1754" s="7" t="n">
        <v>10000625</v>
      </c>
      <c r="J1754" s="7">
        <f>IFERROR(VLOOKUP(I1754,Materiales!$A:$H,8,0),"")</f>
        <v/>
      </c>
      <c r="K1754" s="9">
        <f>IFERROR(VLOOKUP(I1754,Materiales!$A:$G,7,0),"")</f>
        <v/>
      </c>
      <c r="L1754" s="8" t="inlineStr">
        <is>
          <t>20190426</t>
        </is>
      </c>
      <c r="M1754" s="8" t="inlineStr">
        <is>
          <t>20250127</t>
        </is>
      </c>
      <c r="N1754" s="10" t="n">
        <v>82</v>
      </c>
      <c r="O1754" s="10">
        <f>IFERROR(VLOOKUP(A1754,Flete!$A:$J,10,0),"")</f>
        <v/>
      </c>
      <c r="P1754" s="8" t="inlineStr">
        <is>
          <t>M3</t>
        </is>
      </c>
      <c r="Q1754" s="10">
        <f>IFERROR(IFERROR(VLOOKUP(A1754,TRAOPE!$A:$U,21,0),VLOOKUP(B1754,TRAOPE!$A:$U,21,0)),"")</f>
        <v/>
      </c>
      <c r="R1754" s="8">
        <f>IFERROR(IFERROR(VLOOKUP(A1754,TRAOPE!$A:$W,23,0),VLOOKUP(B1754,TRAOPE!$A:$W,23,0)),"")</f>
        <v/>
      </c>
      <c r="S1754" s="10">
        <f>IF(AND(P1754="TN",R1754="TN"),N1754+N(O1754),IF(G1754&amp;""="1",N(K1754)*N1754,(N1754+N(O1754))*N(K1754)))</f>
        <v/>
      </c>
      <c r="T1754" s="10">
        <f>IF(Q1754="","",Q1754-S1754)</f>
        <v/>
      </c>
    </row>
    <row r="1755">
      <c r="A1755" s="7">
        <f>CONCATENATE(C1755,E1755,F1755,I1755)</f>
        <v/>
      </c>
      <c r="B1755" s="7">
        <f>CONCATENATE(C1755,E1755,I1755)</f>
        <v/>
      </c>
      <c r="C1755" s="8" t="n">
        <v>900005286</v>
      </c>
      <c r="D1755" s="7">
        <f>IFERROR(VLOOKUP(C1755,TRAOPE!$G:$H,2,0),"")</f>
        <v/>
      </c>
      <c r="E1755" s="8" t="inlineStr">
        <is>
          <t>D836</t>
        </is>
      </c>
      <c r="F1755" s="8" t="inlineStr">
        <is>
          <t>66279408</t>
        </is>
      </c>
      <c r="G1755" s="8">
        <f>IFERROR(VLOOKUP(A1755,Flete!$A:$E,5,0),"")</f>
        <v/>
      </c>
      <c r="H1755" s="7">
        <f>IFERROR(VLOOKUP(F1755,TRAOPE!$AA:$AB,2,0),"")</f>
        <v/>
      </c>
      <c r="I1755" s="7" t="n">
        <v>10000625</v>
      </c>
      <c r="J1755" s="7">
        <f>IFERROR(VLOOKUP(I1755,Materiales!$A:$H,8,0),"")</f>
        <v/>
      </c>
      <c r="K1755" s="9">
        <f>IFERROR(VLOOKUP(I1755,Materiales!$A:$G,7,0),"")</f>
        <v/>
      </c>
      <c r="L1755" s="8" t="inlineStr">
        <is>
          <t>20190426</t>
        </is>
      </c>
      <c r="M1755" s="8" t="inlineStr">
        <is>
          <t>20250127</t>
        </is>
      </c>
      <c r="N1755" s="10" t="n">
        <v>82</v>
      </c>
      <c r="O1755" s="10">
        <f>IFERROR(VLOOKUP(A1755,Flete!$A:$J,10,0),"")</f>
        <v/>
      </c>
      <c r="P1755" s="8" t="inlineStr">
        <is>
          <t>M3</t>
        </is>
      </c>
      <c r="Q1755" s="10">
        <f>IFERROR(IFERROR(VLOOKUP(A1755,TRAOPE!$A:$U,21,0),VLOOKUP(B1755,TRAOPE!$A:$U,21,0)),"")</f>
        <v/>
      </c>
      <c r="R1755" s="8">
        <f>IFERROR(IFERROR(VLOOKUP(A1755,TRAOPE!$A:$W,23,0),VLOOKUP(B1755,TRAOPE!$A:$W,23,0)),"")</f>
        <v/>
      </c>
      <c r="S1755" s="10">
        <f>IF(AND(P1755="TN",R1755="TN"),N1755+N(O1755),IF(G1755&amp;""="1",N(K1755)*N1755,(N1755+N(O1755))*N(K1755)))</f>
        <v/>
      </c>
      <c r="T1755" s="10">
        <f>IF(Q1755="","",Q1755-S1755)</f>
        <v/>
      </c>
    </row>
    <row r="1756">
      <c r="A1756" s="7">
        <f>CONCATENATE(C1756,E1756,F1756,I1756)</f>
        <v/>
      </c>
      <c r="B1756" s="7">
        <f>CONCATENATE(C1756,E1756,I1756)</f>
        <v/>
      </c>
      <c r="C1756" s="8" t="n">
        <v>900005286</v>
      </c>
      <c r="D1756" s="7">
        <f>IFERROR(VLOOKUP(C1756,TRAOPE!$G:$H,2,0),"")</f>
        <v/>
      </c>
      <c r="E1756" s="8" t="inlineStr">
        <is>
          <t>D836</t>
        </is>
      </c>
      <c r="F1756" s="8" t="inlineStr">
        <is>
          <t>66289412</t>
        </is>
      </c>
      <c r="G1756" s="8">
        <f>IFERROR(VLOOKUP(A1756,Flete!$A:$E,5,0),"")</f>
        <v/>
      </c>
      <c r="H1756" s="7">
        <f>IFERROR(VLOOKUP(F1756,TRAOPE!$AA:$AB,2,0),"")</f>
        <v/>
      </c>
      <c r="I1756" s="7" t="n">
        <v>10000647</v>
      </c>
      <c r="J1756" s="7">
        <f>IFERROR(VLOOKUP(I1756,Materiales!$A:$H,8,0),"")</f>
        <v/>
      </c>
      <c r="K1756" s="9">
        <f>IFERROR(VLOOKUP(I1756,Materiales!$A:$G,7,0),"")</f>
        <v/>
      </c>
      <c r="L1756" s="8" t="inlineStr">
        <is>
          <t>20190426</t>
        </is>
      </c>
      <c r="M1756" s="8" t="inlineStr">
        <is>
          <t>20250127</t>
        </is>
      </c>
      <c r="N1756" s="10" t="n">
        <v>83</v>
      </c>
      <c r="O1756" s="10">
        <f>IFERROR(VLOOKUP(A1756,Flete!$A:$J,10,0),"")</f>
        <v/>
      </c>
      <c r="P1756" s="8" t="inlineStr">
        <is>
          <t>M3</t>
        </is>
      </c>
      <c r="Q1756" s="10">
        <f>IFERROR(IFERROR(VLOOKUP(A1756,TRAOPE!$A:$U,21,0),VLOOKUP(B1756,TRAOPE!$A:$U,21,0)),"")</f>
        <v/>
      </c>
      <c r="R1756" s="8">
        <f>IFERROR(IFERROR(VLOOKUP(A1756,TRAOPE!$A:$W,23,0),VLOOKUP(B1756,TRAOPE!$A:$W,23,0)),"")</f>
        <v/>
      </c>
      <c r="S1756" s="10">
        <f>IF(AND(P1756="TN",R1756="TN"),N1756+N(O1756),IF(G1756&amp;""="1",N(K1756)*N1756,(N1756+N(O1756))*N(K1756)))</f>
        <v/>
      </c>
      <c r="T1756" s="10">
        <f>IF(Q1756="","",Q1756-S1756)</f>
        <v/>
      </c>
    </row>
    <row r="1757">
      <c r="A1757" s="7">
        <f>CONCATENATE(C1757,E1757,F1757,I1757)</f>
        <v/>
      </c>
      <c r="B1757" s="7">
        <f>CONCATENATE(C1757,E1757,I1757)</f>
        <v/>
      </c>
      <c r="C1757" s="8" t="n">
        <v>900005286</v>
      </c>
      <c r="D1757" s="7">
        <f>IFERROR(VLOOKUP(C1757,TRAOPE!$G:$H,2,0),"")</f>
        <v/>
      </c>
      <c r="E1757" s="8" t="inlineStr">
        <is>
          <t>D836</t>
        </is>
      </c>
      <c r="F1757" s="8" t="inlineStr">
        <is>
          <t>66289413</t>
        </is>
      </c>
      <c r="G1757" s="8">
        <f>IFERROR(VLOOKUP(A1757,Flete!$A:$E,5,0),"")</f>
        <v/>
      </c>
      <c r="H1757" s="7">
        <f>IFERROR(VLOOKUP(F1757,TRAOPE!$AA:$AB,2,0),"")</f>
        <v/>
      </c>
      <c r="I1757" s="7" t="n">
        <v>10000647</v>
      </c>
      <c r="J1757" s="7">
        <f>IFERROR(VLOOKUP(I1757,Materiales!$A:$H,8,0),"")</f>
        <v/>
      </c>
      <c r="K1757" s="9">
        <f>IFERROR(VLOOKUP(I1757,Materiales!$A:$G,7,0),"")</f>
        <v/>
      </c>
      <c r="L1757" s="8" t="inlineStr">
        <is>
          <t>20190426</t>
        </is>
      </c>
      <c r="M1757" s="8" t="inlineStr">
        <is>
          <t>20250127</t>
        </is>
      </c>
      <c r="N1757" s="10" t="n">
        <v>83</v>
      </c>
      <c r="O1757" s="10">
        <f>IFERROR(VLOOKUP(A1757,Flete!$A:$J,10,0),"")</f>
        <v/>
      </c>
      <c r="P1757" s="8" t="inlineStr">
        <is>
          <t>M3</t>
        </is>
      </c>
      <c r="Q1757" s="10">
        <f>IFERROR(IFERROR(VLOOKUP(A1757,TRAOPE!$A:$U,21,0),VLOOKUP(B1757,TRAOPE!$A:$U,21,0)),"")</f>
        <v/>
      </c>
      <c r="R1757" s="8">
        <f>IFERROR(IFERROR(VLOOKUP(A1757,TRAOPE!$A:$W,23,0),VLOOKUP(B1757,TRAOPE!$A:$W,23,0)),"")</f>
        <v/>
      </c>
      <c r="S1757" s="10">
        <f>IF(AND(P1757="TN",R1757="TN"),N1757+N(O1757),IF(G1757&amp;""="1",N(K1757)*N1757,(N1757+N(O1757))*N(K1757)))</f>
        <v/>
      </c>
      <c r="T1757" s="10">
        <f>IF(Q1757="","",Q1757-S1757)</f>
        <v/>
      </c>
    </row>
    <row r="1758">
      <c r="A1758" s="7">
        <f>CONCATENATE(C1758,E1758,F1758,I1758)</f>
        <v/>
      </c>
      <c r="B1758" s="7">
        <f>CONCATENATE(C1758,E1758,I1758)</f>
        <v/>
      </c>
      <c r="C1758" s="8" t="n">
        <v>900005286</v>
      </c>
      <c r="D1758" s="7">
        <f>IFERROR(VLOOKUP(C1758,TRAOPE!$G:$H,2,0),"")</f>
        <v/>
      </c>
      <c r="E1758" s="8" t="inlineStr">
        <is>
          <t>D836</t>
        </is>
      </c>
      <c r="F1758" s="8" t="inlineStr">
        <is>
          <t>66318366</t>
        </is>
      </c>
      <c r="G1758" s="8">
        <f>IFERROR(VLOOKUP(A1758,Flete!$A:$E,5,0),"")</f>
        <v/>
      </c>
      <c r="H1758" s="7">
        <f>IFERROR(VLOOKUP(F1758,TRAOPE!$AA:$AB,2,0),"")</f>
        <v/>
      </c>
      <c r="I1758" s="7" t="n">
        <v>10000625</v>
      </c>
      <c r="J1758" s="7">
        <f>IFERROR(VLOOKUP(I1758,Materiales!$A:$H,8,0),"")</f>
        <v/>
      </c>
      <c r="K1758" s="9">
        <f>IFERROR(VLOOKUP(I1758,Materiales!$A:$G,7,0),"")</f>
        <v/>
      </c>
      <c r="L1758" s="8" t="inlineStr">
        <is>
          <t>20190426</t>
        </is>
      </c>
      <c r="M1758" s="8" t="inlineStr">
        <is>
          <t>20250127</t>
        </is>
      </c>
      <c r="N1758" s="10" t="n">
        <v>82</v>
      </c>
      <c r="O1758" s="10">
        <f>IFERROR(VLOOKUP(A1758,Flete!$A:$J,10,0),"")</f>
        <v/>
      </c>
      <c r="P1758" s="8" t="inlineStr">
        <is>
          <t>M3</t>
        </is>
      </c>
      <c r="Q1758" s="10">
        <f>IFERROR(IFERROR(VLOOKUP(A1758,TRAOPE!$A:$U,21,0),VLOOKUP(B1758,TRAOPE!$A:$U,21,0)),"")</f>
        <v/>
      </c>
      <c r="R1758" s="8">
        <f>IFERROR(IFERROR(VLOOKUP(A1758,TRAOPE!$A:$W,23,0),VLOOKUP(B1758,TRAOPE!$A:$W,23,0)),"")</f>
        <v/>
      </c>
      <c r="S1758" s="10">
        <f>IF(AND(P1758="TN",R1758="TN"),N1758+N(O1758),IF(G1758&amp;""="1",N(K1758)*N1758,(N1758+N(O1758))*N(K1758)))</f>
        <v/>
      </c>
      <c r="T1758" s="10">
        <f>IF(Q1758="","",Q1758-S1758)</f>
        <v/>
      </c>
    </row>
    <row r="1759">
      <c r="A1759" s="7">
        <f>CONCATENATE(C1759,E1759,F1759,I1759)</f>
        <v/>
      </c>
      <c r="B1759" s="7">
        <f>CONCATENATE(C1759,E1759,I1759)</f>
        <v/>
      </c>
      <c r="C1759" s="8" t="n">
        <v>900005286</v>
      </c>
      <c r="D1759" s="7">
        <f>IFERROR(VLOOKUP(C1759,TRAOPE!$G:$H,2,0),"")</f>
        <v/>
      </c>
      <c r="E1759" s="8" t="inlineStr">
        <is>
          <t>D836</t>
        </is>
      </c>
      <c r="F1759" s="8" t="inlineStr">
        <is>
          <t>66414377</t>
        </is>
      </c>
      <c r="G1759" s="8">
        <f>IFERROR(VLOOKUP(A1759,Flete!$A:$E,5,0),"")</f>
        <v/>
      </c>
      <c r="H1759" s="7">
        <f>IFERROR(VLOOKUP(F1759,TRAOPE!$AA:$AB,2,0),"")</f>
        <v/>
      </c>
      <c r="I1759" s="7" t="n">
        <v>10000647</v>
      </c>
      <c r="J1759" s="7">
        <f>IFERROR(VLOOKUP(I1759,Materiales!$A:$H,8,0),"")</f>
        <v/>
      </c>
      <c r="K1759" s="9">
        <f>IFERROR(VLOOKUP(I1759,Materiales!$A:$G,7,0),"")</f>
        <v/>
      </c>
      <c r="L1759" s="8" t="inlineStr">
        <is>
          <t>20190426</t>
        </is>
      </c>
      <c r="M1759" s="8" t="inlineStr">
        <is>
          <t>20250127</t>
        </is>
      </c>
      <c r="N1759" s="10" t="n">
        <v>75</v>
      </c>
      <c r="O1759" s="10">
        <f>IFERROR(VLOOKUP(A1759,Flete!$A:$J,10,0),"")</f>
        <v/>
      </c>
      <c r="P1759" s="8" t="inlineStr">
        <is>
          <t>M3</t>
        </is>
      </c>
      <c r="Q1759" s="10">
        <f>IFERROR(IFERROR(VLOOKUP(A1759,TRAOPE!$A:$U,21,0),VLOOKUP(B1759,TRAOPE!$A:$U,21,0)),"")</f>
        <v/>
      </c>
      <c r="R1759" s="8">
        <f>IFERROR(IFERROR(VLOOKUP(A1759,TRAOPE!$A:$W,23,0),VLOOKUP(B1759,TRAOPE!$A:$W,23,0)),"")</f>
        <v/>
      </c>
      <c r="S1759" s="10">
        <f>IF(AND(P1759="TN",R1759="TN"),N1759+N(O1759),IF(G1759&amp;""="1",N(K1759)*N1759,(N1759+N(O1759))*N(K1759)))</f>
        <v/>
      </c>
      <c r="T1759" s="10">
        <f>IF(Q1759="","",Q1759-S1759)</f>
        <v/>
      </c>
    </row>
    <row r="1760">
      <c r="A1760" s="7">
        <f>CONCATENATE(C1760,E1760,F1760,I1760)</f>
        <v/>
      </c>
      <c r="B1760" s="7">
        <f>CONCATENATE(C1760,E1760,I1760)</f>
        <v/>
      </c>
      <c r="C1760" s="8" t="n">
        <v>900005286</v>
      </c>
      <c r="D1760" s="7">
        <f>IFERROR(VLOOKUP(C1760,TRAOPE!$G:$H,2,0),"")</f>
        <v/>
      </c>
      <c r="E1760" s="8" t="inlineStr">
        <is>
          <t>D836</t>
        </is>
      </c>
      <c r="F1760" s="8" t="inlineStr">
        <is>
          <t>66416982</t>
        </is>
      </c>
      <c r="G1760" s="8">
        <f>IFERROR(VLOOKUP(A1760,Flete!$A:$E,5,0),"")</f>
        <v/>
      </c>
      <c r="H1760" s="7">
        <f>IFERROR(VLOOKUP(F1760,TRAOPE!$AA:$AB,2,0),"")</f>
        <v/>
      </c>
      <c r="I1760" s="7" t="n">
        <v>10145811</v>
      </c>
      <c r="J1760" s="7">
        <f>IFERROR(VLOOKUP(I1760,Materiales!$A:$H,8,0),"")</f>
        <v/>
      </c>
      <c r="K1760" s="9">
        <f>IFERROR(VLOOKUP(I1760,Materiales!$A:$G,7,0),"")</f>
        <v/>
      </c>
      <c r="L1760" s="8" t="inlineStr">
        <is>
          <t>20190426</t>
        </is>
      </c>
      <c r="M1760" s="8" t="inlineStr">
        <is>
          <t>20250127</t>
        </is>
      </c>
      <c r="N1760" s="10" t="n">
        <v>70</v>
      </c>
      <c r="O1760" s="10">
        <f>IFERROR(VLOOKUP(A1760,Flete!$A:$J,10,0),"")</f>
        <v/>
      </c>
      <c r="P1760" s="8" t="inlineStr">
        <is>
          <t>M3</t>
        </is>
      </c>
      <c r="Q1760" s="10">
        <f>IFERROR(IFERROR(VLOOKUP(A1760,TRAOPE!$A:$U,21,0),VLOOKUP(B1760,TRAOPE!$A:$U,21,0)),"")</f>
        <v/>
      </c>
      <c r="R1760" s="8">
        <f>IFERROR(IFERROR(VLOOKUP(A1760,TRAOPE!$A:$W,23,0),VLOOKUP(B1760,TRAOPE!$A:$W,23,0)),"")</f>
        <v/>
      </c>
      <c r="S1760" s="10">
        <f>IF(AND(P1760="TN",R1760="TN"),N1760+N(O1760),IF(G1760&amp;""="1",N(K1760)*N1760,(N1760+N(O1760))*N(K1760)))</f>
        <v/>
      </c>
      <c r="T1760" s="10">
        <f>IF(Q1760="","",Q1760-S1760)</f>
        <v/>
      </c>
    </row>
    <row r="1761">
      <c r="A1761" s="7">
        <f>CONCATENATE(C1761,E1761,F1761,I1761)</f>
        <v/>
      </c>
      <c r="B1761" s="7">
        <f>CONCATENATE(C1761,E1761,I1761)</f>
        <v/>
      </c>
      <c r="C1761" s="8" t="n">
        <v>900005286</v>
      </c>
      <c r="D1761" s="7">
        <f>IFERROR(VLOOKUP(C1761,TRAOPE!$G:$H,2,0),"")</f>
        <v/>
      </c>
      <c r="E1761" s="8" t="inlineStr">
        <is>
          <t>D836</t>
        </is>
      </c>
      <c r="F1761" s="8" t="inlineStr">
        <is>
          <t>66433509</t>
        </is>
      </c>
      <c r="G1761" s="8">
        <f>IFERROR(VLOOKUP(A1761,Flete!$A:$E,5,0),"")</f>
        <v/>
      </c>
      <c r="H1761" s="7">
        <f>IFERROR(VLOOKUP(F1761,TRAOPE!$AA:$AB,2,0),"")</f>
        <v/>
      </c>
      <c r="I1761" s="7" t="n">
        <v>10000647</v>
      </c>
      <c r="J1761" s="7">
        <f>IFERROR(VLOOKUP(I1761,Materiales!$A:$H,8,0),"")</f>
        <v/>
      </c>
      <c r="K1761" s="9">
        <f>IFERROR(VLOOKUP(I1761,Materiales!$A:$G,7,0),"")</f>
        <v/>
      </c>
      <c r="L1761" s="8" t="inlineStr">
        <is>
          <t>20190426</t>
        </is>
      </c>
      <c r="M1761" s="8" t="inlineStr">
        <is>
          <t>20250127</t>
        </is>
      </c>
      <c r="N1761" s="10" t="n">
        <v>75</v>
      </c>
      <c r="O1761" s="10">
        <f>IFERROR(VLOOKUP(A1761,Flete!$A:$J,10,0),"")</f>
        <v/>
      </c>
      <c r="P1761" s="8" t="inlineStr">
        <is>
          <t>M3</t>
        </is>
      </c>
      <c r="Q1761" s="10">
        <f>IFERROR(IFERROR(VLOOKUP(A1761,TRAOPE!$A:$U,21,0),VLOOKUP(B1761,TRAOPE!$A:$U,21,0)),"")</f>
        <v/>
      </c>
      <c r="R1761" s="8">
        <f>IFERROR(IFERROR(VLOOKUP(A1761,TRAOPE!$A:$W,23,0),VLOOKUP(B1761,TRAOPE!$A:$W,23,0)),"")</f>
        <v/>
      </c>
      <c r="S1761" s="10">
        <f>IF(AND(P1761="TN",R1761="TN"),N1761+N(O1761),IF(G1761&amp;""="1",N(K1761)*N1761,(N1761+N(O1761))*N(K1761)))</f>
        <v/>
      </c>
      <c r="T1761" s="10">
        <f>IF(Q1761="","",Q1761-S1761)</f>
        <v/>
      </c>
    </row>
    <row r="1762">
      <c r="A1762" s="7">
        <f>CONCATENATE(C1762,E1762,F1762,I1762)</f>
        <v/>
      </c>
      <c r="B1762" s="7">
        <f>CONCATENATE(C1762,E1762,I1762)</f>
        <v/>
      </c>
      <c r="C1762" s="8" t="n">
        <v>900005286</v>
      </c>
      <c r="D1762" s="7">
        <f>IFERROR(VLOOKUP(C1762,TRAOPE!$G:$H,2,0),"")</f>
        <v/>
      </c>
      <c r="E1762" s="8" t="inlineStr">
        <is>
          <t>D836</t>
        </is>
      </c>
      <c r="F1762" s="8" t="inlineStr">
        <is>
          <t>66438172</t>
        </is>
      </c>
      <c r="G1762" s="8">
        <f>IFERROR(VLOOKUP(A1762,Flete!$A:$E,5,0),"")</f>
        <v/>
      </c>
      <c r="H1762" s="7">
        <f>IFERROR(VLOOKUP(F1762,TRAOPE!$AA:$AB,2,0),"")</f>
        <v/>
      </c>
      <c r="I1762" s="7" t="n">
        <v>10000647</v>
      </c>
      <c r="J1762" s="7">
        <f>IFERROR(VLOOKUP(I1762,Materiales!$A:$H,8,0),"")</f>
        <v/>
      </c>
      <c r="K1762" s="9">
        <f>IFERROR(VLOOKUP(I1762,Materiales!$A:$G,7,0),"")</f>
        <v/>
      </c>
      <c r="L1762" s="8" t="inlineStr">
        <is>
          <t>20190426</t>
        </is>
      </c>
      <c r="M1762" s="8" t="inlineStr">
        <is>
          <t>20250127</t>
        </is>
      </c>
      <c r="N1762" s="10" t="n">
        <v>72</v>
      </c>
      <c r="O1762" s="10">
        <f>IFERROR(VLOOKUP(A1762,Flete!$A:$J,10,0),"")</f>
        <v/>
      </c>
      <c r="P1762" s="8" t="inlineStr">
        <is>
          <t>M3</t>
        </is>
      </c>
      <c r="Q1762" s="10">
        <f>IFERROR(IFERROR(VLOOKUP(A1762,TRAOPE!$A:$U,21,0),VLOOKUP(B1762,TRAOPE!$A:$U,21,0)),"")</f>
        <v/>
      </c>
      <c r="R1762" s="8">
        <f>IFERROR(IFERROR(VLOOKUP(A1762,TRAOPE!$A:$W,23,0),VLOOKUP(B1762,TRAOPE!$A:$W,23,0)),"")</f>
        <v/>
      </c>
      <c r="S1762" s="10">
        <f>IF(AND(P1762="TN",R1762="TN"),N1762+N(O1762),IF(G1762&amp;""="1",N(K1762)*N1762,(N1762+N(O1762))*N(K1762)))</f>
        <v/>
      </c>
      <c r="T1762" s="10">
        <f>IF(Q1762="","",Q1762-S1762)</f>
        <v/>
      </c>
    </row>
    <row r="1763">
      <c r="A1763" s="7">
        <f>CONCATENATE(C1763,E1763,F1763,I1763)</f>
        <v/>
      </c>
      <c r="B1763" s="7">
        <f>CONCATENATE(C1763,E1763,I1763)</f>
        <v/>
      </c>
      <c r="C1763" s="8" t="n">
        <v>900005286</v>
      </c>
      <c r="D1763" s="7">
        <f>IFERROR(VLOOKUP(C1763,TRAOPE!$G:$H,2,0),"")</f>
        <v/>
      </c>
      <c r="E1763" s="8" t="inlineStr">
        <is>
          <t>D836</t>
        </is>
      </c>
      <c r="F1763" s="8" t="inlineStr">
        <is>
          <t>66446559</t>
        </is>
      </c>
      <c r="G1763" s="8">
        <f>IFERROR(VLOOKUP(A1763,Flete!$A:$E,5,0),"")</f>
        <v/>
      </c>
      <c r="H1763" s="7">
        <f>IFERROR(VLOOKUP(F1763,TRAOPE!$AA:$AB,2,0),"")</f>
        <v/>
      </c>
      <c r="I1763" s="7" t="n">
        <v>10145811</v>
      </c>
      <c r="J1763" s="7">
        <f>IFERROR(VLOOKUP(I1763,Materiales!$A:$H,8,0),"")</f>
        <v/>
      </c>
      <c r="K1763" s="9">
        <f>IFERROR(VLOOKUP(I1763,Materiales!$A:$G,7,0),"")</f>
        <v/>
      </c>
      <c r="L1763" s="8" t="inlineStr">
        <is>
          <t>20190426</t>
        </is>
      </c>
      <c r="M1763" s="8" t="inlineStr">
        <is>
          <t>20250127</t>
        </is>
      </c>
      <c r="N1763" s="10" t="n">
        <v>70</v>
      </c>
      <c r="O1763" s="10">
        <f>IFERROR(VLOOKUP(A1763,Flete!$A:$J,10,0),"")</f>
        <v/>
      </c>
      <c r="P1763" s="8" t="inlineStr">
        <is>
          <t>M3</t>
        </is>
      </c>
      <c r="Q1763" s="10">
        <f>IFERROR(IFERROR(VLOOKUP(A1763,TRAOPE!$A:$U,21,0),VLOOKUP(B1763,TRAOPE!$A:$U,21,0)),"")</f>
        <v/>
      </c>
      <c r="R1763" s="8">
        <f>IFERROR(IFERROR(VLOOKUP(A1763,TRAOPE!$A:$W,23,0),VLOOKUP(B1763,TRAOPE!$A:$W,23,0)),"")</f>
        <v/>
      </c>
      <c r="S1763" s="10">
        <f>IF(AND(P1763="TN",R1763="TN"),N1763+N(O1763),IF(G1763&amp;""="1",N(K1763)*N1763,(N1763+N(O1763))*N(K1763)))</f>
        <v/>
      </c>
      <c r="T1763" s="10">
        <f>IF(Q1763="","",Q1763-S1763)</f>
        <v/>
      </c>
    </row>
    <row r="1764">
      <c r="A1764" s="7">
        <f>CONCATENATE(C1764,E1764,F1764,I1764)</f>
        <v/>
      </c>
      <c r="B1764" s="7">
        <f>CONCATENATE(C1764,E1764,I1764)</f>
        <v/>
      </c>
      <c r="C1764" s="8" t="n">
        <v>900005286</v>
      </c>
      <c r="D1764" s="7">
        <f>IFERROR(VLOOKUP(C1764,TRAOPE!$G:$H,2,0),"")</f>
        <v/>
      </c>
      <c r="E1764" s="8" t="inlineStr">
        <is>
          <t>D836</t>
        </is>
      </c>
      <c r="F1764" s="8" t="inlineStr">
        <is>
          <t>66458217</t>
        </is>
      </c>
      <c r="G1764" s="8">
        <f>IFERROR(VLOOKUP(A1764,Flete!$A:$E,5,0),"")</f>
        <v/>
      </c>
      <c r="H1764" s="7">
        <f>IFERROR(VLOOKUP(F1764,TRAOPE!$AA:$AB,2,0),"")</f>
        <v/>
      </c>
      <c r="I1764" s="7" t="n">
        <v>10145811</v>
      </c>
      <c r="J1764" s="7">
        <f>IFERROR(VLOOKUP(I1764,Materiales!$A:$H,8,0),"")</f>
        <v/>
      </c>
      <c r="K1764" s="9">
        <f>IFERROR(VLOOKUP(I1764,Materiales!$A:$G,7,0),"")</f>
        <v/>
      </c>
      <c r="L1764" s="8" t="inlineStr">
        <is>
          <t>20190426</t>
        </is>
      </c>
      <c r="M1764" s="8" t="inlineStr">
        <is>
          <t>20250127</t>
        </is>
      </c>
      <c r="N1764" s="10" t="n">
        <v>75</v>
      </c>
      <c r="O1764" s="10">
        <f>IFERROR(VLOOKUP(A1764,Flete!$A:$J,10,0),"")</f>
        <v/>
      </c>
      <c r="P1764" s="8" t="inlineStr">
        <is>
          <t>M3</t>
        </is>
      </c>
      <c r="Q1764" s="10">
        <f>IFERROR(IFERROR(VLOOKUP(A1764,TRAOPE!$A:$U,21,0),VLOOKUP(B1764,TRAOPE!$A:$U,21,0)),"")</f>
        <v/>
      </c>
      <c r="R1764" s="8">
        <f>IFERROR(IFERROR(VLOOKUP(A1764,TRAOPE!$A:$W,23,0),VLOOKUP(B1764,TRAOPE!$A:$W,23,0)),"")</f>
        <v/>
      </c>
      <c r="S1764" s="10">
        <f>IF(AND(P1764="TN",R1764="TN"),N1764+N(O1764),IF(G1764&amp;""="1",N(K1764)*N1764,(N1764+N(O1764))*N(K1764)))</f>
        <v/>
      </c>
      <c r="T1764" s="10">
        <f>IF(Q1764="","",Q1764-S1764)</f>
        <v/>
      </c>
    </row>
    <row r="1765">
      <c r="A1765" s="7">
        <f>CONCATENATE(C1765,E1765,F1765,I1765)</f>
        <v/>
      </c>
      <c r="B1765" s="7">
        <f>CONCATENATE(C1765,E1765,I1765)</f>
        <v/>
      </c>
      <c r="C1765" s="8" t="n">
        <v>900005286</v>
      </c>
      <c r="D1765" s="7">
        <f>IFERROR(VLOOKUP(C1765,TRAOPE!$G:$H,2,0),"")</f>
        <v/>
      </c>
      <c r="E1765" s="8" t="inlineStr">
        <is>
          <t>D836</t>
        </is>
      </c>
      <c r="F1765" s="8" t="inlineStr">
        <is>
          <t>66475158</t>
        </is>
      </c>
      <c r="G1765" s="8">
        <f>IFERROR(VLOOKUP(A1765,Flete!$A:$E,5,0),"")</f>
        <v/>
      </c>
      <c r="H1765" s="7">
        <f>IFERROR(VLOOKUP(F1765,TRAOPE!$AA:$AB,2,0),"")</f>
        <v/>
      </c>
      <c r="I1765" s="7" t="n">
        <v>10000647</v>
      </c>
      <c r="J1765" s="7">
        <f>IFERROR(VLOOKUP(I1765,Materiales!$A:$H,8,0),"")</f>
        <v/>
      </c>
      <c r="K1765" s="9">
        <f>IFERROR(VLOOKUP(I1765,Materiales!$A:$G,7,0),"")</f>
        <v/>
      </c>
      <c r="L1765" s="8" t="inlineStr">
        <is>
          <t>20190426</t>
        </is>
      </c>
      <c r="M1765" s="8" t="inlineStr">
        <is>
          <t>20250127</t>
        </is>
      </c>
      <c r="N1765" s="10" t="n">
        <v>83</v>
      </c>
      <c r="O1765" s="10">
        <f>IFERROR(VLOOKUP(A1765,Flete!$A:$J,10,0),"")</f>
        <v/>
      </c>
      <c r="P1765" s="8" t="inlineStr">
        <is>
          <t>M3</t>
        </is>
      </c>
      <c r="Q1765" s="10">
        <f>IFERROR(IFERROR(VLOOKUP(A1765,TRAOPE!$A:$U,21,0),VLOOKUP(B1765,TRAOPE!$A:$U,21,0)),"")</f>
        <v/>
      </c>
      <c r="R1765" s="8">
        <f>IFERROR(IFERROR(VLOOKUP(A1765,TRAOPE!$A:$W,23,0),VLOOKUP(B1765,TRAOPE!$A:$W,23,0)),"")</f>
        <v/>
      </c>
      <c r="S1765" s="10">
        <f>IF(AND(P1765="TN",R1765="TN"),N1765+N(O1765),IF(G1765&amp;""="1",N(K1765)*N1765,(N1765+N(O1765))*N(K1765)))</f>
        <v/>
      </c>
      <c r="T1765" s="10">
        <f>IF(Q1765="","",Q1765-S1765)</f>
        <v/>
      </c>
    </row>
    <row r="1766">
      <c r="A1766" s="7">
        <f>CONCATENATE(C1766,E1766,F1766,I1766)</f>
        <v/>
      </c>
      <c r="B1766" s="7">
        <f>CONCATENATE(C1766,E1766,I1766)</f>
        <v/>
      </c>
      <c r="C1766" s="8" t="n">
        <v>900005286</v>
      </c>
      <c r="D1766" s="7">
        <f>IFERROR(VLOOKUP(C1766,TRAOPE!$G:$H,2,0),"")</f>
        <v/>
      </c>
      <c r="E1766" s="8" t="inlineStr">
        <is>
          <t>D836</t>
        </is>
      </c>
      <c r="F1766" s="8" t="inlineStr">
        <is>
          <t>66482104</t>
        </is>
      </c>
      <c r="G1766" s="8">
        <f>IFERROR(VLOOKUP(A1766,Flete!$A:$E,5,0),"")</f>
        <v/>
      </c>
      <c r="H1766" s="7">
        <f>IFERROR(VLOOKUP(F1766,TRAOPE!$AA:$AB,2,0),"")</f>
        <v/>
      </c>
      <c r="I1766" s="7" t="n">
        <v>10000647</v>
      </c>
      <c r="J1766" s="7">
        <f>IFERROR(VLOOKUP(I1766,Materiales!$A:$H,8,0),"")</f>
        <v/>
      </c>
      <c r="K1766" s="9">
        <f>IFERROR(VLOOKUP(I1766,Materiales!$A:$G,7,0),"")</f>
        <v/>
      </c>
      <c r="L1766" s="8" t="inlineStr">
        <is>
          <t>20190426</t>
        </is>
      </c>
      <c r="M1766" s="8" t="inlineStr">
        <is>
          <t>20250127</t>
        </is>
      </c>
      <c r="N1766" s="10" t="n">
        <v>83</v>
      </c>
      <c r="O1766" s="10">
        <f>IFERROR(VLOOKUP(A1766,Flete!$A:$J,10,0),"")</f>
        <v/>
      </c>
      <c r="P1766" s="8" t="inlineStr">
        <is>
          <t>M3</t>
        </is>
      </c>
      <c r="Q1766" s="10">
        <f>IFERROR(IFERROR(VLOOKUP(A1766,TRAOPE!$A:$U,21,0),VLOOKUP(B1766,TRAOPE!$A:$U,21,0)),"")</f>
        <v/>
      </c>
      <c r="R1766" s="8">
        <f>IFERROR(IFERROR(VLOOKUP(A1766,TRAOPE!$A:$W,23,0),VLOOKUP(B1766,TRAOPE!$A:$W,23,0)),"")</f>
        <v/>
      </c>
      <c r="S1766" s="10">
        <f>IF(AND(P1766="TN",R1766="TN"),N1766+N(O1766),IF(G1766&amp;""="1",N(K1766)*N1766,(N1766+N(O1766))*N(K1766)))</f>
        <v/>
      </c>
      <c r="T1766" s="10">
        <f>IF(Q1766="","",Q1766-S1766)</f>
        <v/>
      </c>
    </row>
    <row r="1767">
      <c r="A1767" s="7">
        <f>CONCATENATE(C1767,E1767,F1767,I1767)</f>
        <v/>
      </c>
      <c r="B1767" s="7">
        <f>CONCATENATE(C1767,E1767,I1767)</f>
        <v/>
      </c>
      <c r="C1767" s="8" t="n">
        <v>900005286</v>
      </c>
      <c r="D1767" s="7">
        <f>IFERROR(VLOOKUP(C1767,TRAOPE!$G:$H,2,0),"")</f>
        <v/>
      </c>
      <c r="E1767" s="8" t="inlineStr">
        <is>
          <t>D836</t>
        </is>
      </c>
      <c r="F1767" s="8" t="inlineStr">
        <is>
          <t>66482288</t>
        </is>
      </c>
      <c r="G1767" s="8">
        <f>IFERROR(VLOOKUP(A1767,Flete!$A:$E,5,0),"")</f>
        <v/>
      </c>
      <c r="H1767" s="7">
        <f>IFERROR(VLOOKUP(F1767,TRAOPE!$AA:$AB,2,0),"")</f>
        <v/>
      </c>
      <c r="I1767" s="7" t="n">
        <v>10000647</v>
      </c>
      <c r="J1767" s="7">
        <f>IFERROR(VLOOKUP(I1767,Materiales!$A:$H,8,0),"")</f>
        <v/>
      </c>
      <c r="K1767" s="9">
        <f>IFERROR(VLOOKUP(I1767,Materiales!$A:$G,7,0),"")</f>
        <v/>
      </c>
      <c r="L1767" s="8" t="inlineStr">
        <is>
          <t>20190426</t>
        </is>
      </c>
      <c r="M1767" s="8" t="inlineStr">
        <is>
          <t>20250127</t>
        </is>
      </c>
      <c r="N1767" s="10" t="n">
        <v>83</v>
      </c>
      <c r="O1767" s="10">
        <f>IFERROR(VLOOKUP(A1767,Flete!$A:$J,10,0),"")</f>
        <v/>
      </c>
      <c r="P1767" s="8" t="inlineStr">
        <is>
          <t>M3</t>
        </is>
      </c>
      <c r="Q1767" s="10">
        <f>IFERROR(IFERROR(VLOOKUP(A1767,TRAOPE!$A:$U,21,0),VLOOKUP(B1767,TRAOPE!$A:$U,21,0)),"")</f>
        <v/>
      </c>
      <c r="R1767" s="8">
        <f>IFERROR(IFERROR(VLOOKUP(A1767,TRAOPE!$A:$W,23,0),VLOOKUP(B1767,TRAOPE!$A:$W,23,0)),"")</f>
        <v/>
      </c>
      <c r="S1767" s="10">
        <f>IF(AND(P1767="TN",R1767="TN"),N1767+N(O1767),IF(G1767&amp;""="1",N(K1767)*N1767,(N1767+N(O1767))*N(K1767)))</f>
        <v/>
      </c>
      <c r="T1767" s="10">
        <f>IF(Q1767="","",Q1767-S1767)</f>
        <v/>
      </c>
    </row>
    <row r="1768">
      <c r="A1768" s="7">
        <f>CONCATENATE(C1768,E1768,F1768,I1768)</f>
        <v/>
      </c>
      <c r="B1768" s="7">
        <f>CONCATENATE(C1768,E1768,I1768)</f>
        <v/>
      </c>
      <c r="C1768" s="8" t="n">
        <v>900005286</v>
      </c>
      <c r="D1768" s="7">
        <f>IFERROR(VLOOKUP(C1768,TRAOPE!$G:$H,2,0),"")</f>
        <v/>
      </c>
      <c r="E1768" s="8" t="inlineStr">
        <is>
          <t>D836</t>
        </is>
      </c>
      <c r="F1768" s="8" t="inlineStr">
        <is>
          <t>66482289</t>
        </is>
      </c>
      <c r="G1768" s="8">
        <f>IFERROR(VLOOKUP(A1768,Flete!$A:$E,5,0),"")</f>
        <v/>
      </c>
      <c r="H1768" s="7">
        <f>IFERROR(VLOOKUP(F1768,TRAOPE!$AA:$AB,2,0),"")</f>
        <v/>
      </c>
      <c r="I1768" s="7" t="n">
        <v>10000647</v>
      </c>
      <c r="J1768" s="7">
        <f>IFERROR(VLOOKUP(I1768,Materiales!$A:$H,8,0),"")</f>
        <v/>
      </c>
      <c r="K1768" s="9">
        <f>IFERROR(VLOOKUP(I1768,Materiales!$A:$G,7,0),"")</f>
        <v/>
      </c>
      <c r="L1768" s="8" t="inlineStr">
        <is>
          <t>20190426</t>
        </is>
      </c>
      <c r="M1768" s="8" t="inlineStr">
        <is>
          <t>20250127</t>
        </is>
      </c>
      <c r="N1768" s="10" t="n">
        <v>83</v>
      </c>
      <c r="O1768" s="10">
        <f>IFERROR(VLOOKUP(A1768,Flete!$A:$J,10,0),"")</f>
        <v/>
      </c>
      <c r="P1768" s="8" t="inlineStr">
        <is>
          <t>M3</t>
        </is>
      </c>
      <c r="Q1768" s="10">
        <f>IFERROR(IFERROR(VLOOKUP(A1768,TRAOPE!$A:$U,21,0),VLOOKUP(B1768,TRAOPE!$A:$U,21,0)),"")</f>
        <v/>
      </c>
      <c r="R1768" s="8">
        <f>IFERROR(IFERROR(VLOOKUP(A1768,TRAOPE!$A:$W,23,0),VLOOKUP(B1768,TRAOPE!$A:$W,23,0)),"")</f>
        <v/>
      </c>
      <c r="S1768" s="10">
        <f>IF(AND(P1768="TN",R1768="TN"),N1768+N(O1768),IF(G1768&amp;""="1",N(K1768)*N1768,(N1768+N(O1768))*N(K1768)))</f>
        <v/>
      </c>
      <c r="T1768" s="10">
        <f>IF(Q1768="","",Q1768-S1768)</f>
        <v/>
      </c>
    </row>
    <row r="1769">
      <c r="A1769" s="7">
        <f>CONCATENATE(C1769,E1769,F1769,I1769)</f>
        <v/>
      </c>
      <c r="B1769" s="7">
        <f>CONCATENATE(C1769,E1769,I1769)</f>
        <v/>
      </c>
      <c r="C1769" s="8" t="n">
        <v>900005286</v>
      </c>
      <c r="D1769" s="7">
        <f>IFERROR(VLOOKUP(C1769,TRAOPE!$G:$H,2,0),"")</f>
        <v/>
      </c>
      <c r="E1769" s="8" t="inlineStr">
        <is>
          <t>D836</t>
        </is>
      </c>
      <c r="F1769" s="8" t="inlineStr">
        <is>
          <t>66518013</t>
        </is>
      </c>
      <c r="G1769" s="8">
        <f>IFERROR(VLOOKUP(A1769,Flete!$A:$E,5,0),"")</f>
        <v/>
      </c>
      <c r="H1769" s="7">
        <f>IFERROR(VLOOKUP(F1769,TRAOPE!$AA:$AB,2,0),"")</f>
        <v/>
      </c>
      <c r="I1769" s="7" t="n">
        <v>10000647</v>
      </c>
      <c r="J1769" s="7">
        <f>IFERROR(VLOOKUP(I1769,Materiales!$A:$H,8,0),"")</f>
        <v/>
      </c>
      <c r="K1769" s="9">
        <f>IFERROR(VLOOKUP(I1769,Materiales!$A:$G,7,0),"")</f>
        <v/>
      </c>
      <c r="L1769" s="8" t="inlineStr">
        <is>
          <t>20190426</t>
        </is>
      </c>
      <c r="M1769" s="8" t="inlineStr">
        <is>
          <t>20250127</t>
        </is>
      </c>
      <c r="N1769" s="10" t="n">
        <v>75</v>
      </c>
      <c r="O1769" s="10">
        <f>IFERROR(VLOOKUP(A1769,Flete!$A:$J,10,0),"")</f>
        <v/>
      </c>
      <c r="P1769" s="8" t="inlineStr">
        <is>
          <t>M3</t>
        </is>
      </c>
      <c r="Q1769" s="10">
        <f>IFERROR(IFERROR(VLOOKUP(A1769,TRAOPE!$A:$U,21,0),VLOOKUP(B1769,TRAOPE!$A:$U,21,0)),"")</f>
        <v/>
      </c>
      <c r="R1769" s="8">
        <f>IFERROR(IFERROR(VLOOKUP(A1769,TRAOPE!$A:$W,23,0),VLOOKUP(B1769,TRAOPE!$A:$W,23,0)),"")</f>
        <v/>
      </c>
      <c r="S1769" s="10">
        <f>IF(AND(P1769="TN",R1769="TN"),N1769+N(O1769),IF(G1769&amp;""="1",N(K1769)*N1769,(N1769+N(O1769))*N(K1769)))</f>
        <v/>
      </c>
      <c r="T1769" s="10">
        <f>IF(Q1769="","",Q1769-S1769)</f>
        <v/>
      </c>
    </row>
    <row r="1770">
      <c r="A1770" s="7">
        <f>CONCATENATE(C1770,E1770,F1770,I1770)</f>
        <v/>
      </c>
      <c r="B1770" s="7">
        <f>CONCATENATE(C1770,E1770,I1770)</f>
        <v/>
      </c>
      <c r="C1770" s="8" t="n">
        <v>900005286</v>
      </c>
      <c r="D1770" s="7">
        <f>IFERROR(VLOOKUP(C1770,TRAOPE!$G:$H,2,0),"")</f>
        <v/>
      </c>
      <c r="E1770" s="8" t="inlineStr">
        <is>
          <t>D836</t>
        </is>
      </c>
      <c r="F1770" s="8" t="inlineStr">
        <is>
          <t>66624554</t>
        </is>
      </c>
      <c r="G1770" s="8">
        <f>IFERROR(VLOOKUP(A1770,Flete!$A:$E,5,0),"")</f>
        <v/>
      </c>
      <c r="H1770" s="7">
        <f>IFERROR(VLOOKUP(F1770,TRAOPE!$AA:$AB,2,0),"")</f>
        <v/>
      </c>
      <c r="I1770" s="7" t="n">
        <v>10000647</v>
      </c>
      <c r="J1770" s="7">
        <f>IFERROR(VLOOKUP(I1770,Materiales!$A:$H,8,0),"")</f>
        <v/>
      </c>
      <c r="K1770" s="9">
        <f>IFERROR(VLOOKUP(I1770,Materiales!$A:$G,7,0),"")</f>
        <v/>
      </c>
      <c r="L1770" s="8" t="inlineStr">
        <is>
          <t>20190426</t>
        </is>
      </c>
      <c r="M1770" s="8" t="inlineStr">
        <is>
          <t>20250127</t>
        </is>
      </c>
      <c r="N1770" s="10" t="n">
        <v>75</v>
      </c>
      <c r="O1770" s="10">
        <f>IFERROR(VLOOKUP(A1770,Flete!$A:$J,10,0),"")</f>
        <v/>
      </c>
      <c r="P1770" s="8" t="inlineStr">
        <is>
          <t>M3</t>
        </is>
      </c>
      <c r="Q1770" s="10">
        <f>IFERROR(IFERROR(VLOOKUP(A1770,TRAOPE!$A:$U,21,0),VLOOKUP(B1770,TRAOPE!$A:$U,21,0)),"")</f>
        <v/>
      </c>
      <c r="R1770" s="8">
        <f>IFERROR(IFERROR(VLOOKUP(A1770,TRAOPE!$A:$W,23,0),VLOOKUP(B1770,TRAOPE!$A:$W,23,0)),"")</f>
        <v/>
      </c>
      <c r="S1770" s="10">
        <f>IF(AND(P1770="TN",R1770="TN"),N1770+N(O1770),IF(G1770&amp;""="1",N(K1770)*N1770,(N1770+N(O1770))*N(K1770)))</f>
        <v/>
      </c>
      <c r="T1770" s="10">
        <f>IF(Q1770="","",Q1770-S1770)</f>
        <v/>
      </c>
    </row>
    <row r="1771">
      <c r="A1771" s="7">
        <f>CONCATENATE(C1771,E1771,F1771,I1771)</f>
        <v/>
      </c>
      <c r="B1771" s="7">
        <f>CONCATENATE(C1771,E1771,I1771)</f>
        <v/>
      </c>
      <c r="C1771" s="8" t="n">
        <v>900005356</v>
      </c>
      <c r="D1771" s="7">
        <f>IFERROR(VLOOKUP(C1771,TRAOPE!$G:$H,2,0),"")</f>
        <v/>
      </c>
      <c r="E1771" s="8" t="inlineStr">
        <is>
          <t>D836</t>
        </is>
      </c>
      <c r="F1771" s="8" t="inlineStr">
        <is>
          <t>65014664</t>
        </is>
      </c>
      <c r="G1771" s="8">
        <f>IFERROR(VLOOKUP(A1771,Flete!$A:$E,5,0),"")</f>
        <v/>
      </c>
      <c r="H1771" s="7">
        <f>IFERROR(VLOOKUP(F1771,TRAOPE!$AA:$AB,2,0),"")</f>
        <v/>
      </c>
      <c r="I1771" s="7" t="n">
        <v>10000627</v>
      </c>
      <c r="J1771" s="7">
        <f>IFERROR(VLOOKUP(I1771,Materiales!$A:$H,8,0),"")</f>
        <v/>
      </c>
      <c r="K1771" s="9">
        <f>IFERROR(VLOOKUP(I1771,Materiales!$A:$G,7,0),"")</f>
        <v/>
      </c>
      <c r="L1771" s="8" t="inlineStr">
        <is>
          <t>20190426</t>
        </is>
      </c>
      <c r="M1771" s="8" t="inlineStr">
        <is>
          <t>20250127</t>
        </is>
      </c>
      <c r="N1771" s="10" t="n">
        <v>106.93</v>
      </c>
      <c r="O1771" s="10">
        <f>IFERROR(VLOOKUP(A1771,Flete!$A:$J,10,0),"")</f>
        <v/>
      </c>
      <c r="P1771" s="8" t="inlineStr">
        <is>
          <t>M3</t>
        </is>
      </c>
      <c r="Q1771" s="10">
        <f>IFERROR(IFERROR(VLOOKUP(A1771,TRAOPE!$A:$U,21,0),VLOOKUP(B1771,TRAOPE!$A:$U,21,0)),"")</f>
        <v/>
      </c>
      <c r="R1771" s="8">
        <f>IFERROR(IFERROR(VLOOKUP(A1771,TRAOPE!$A:$W,23,0),VLOOKUP(B1771,TRAOPE!$A:$W,23,0)),"")</f>
        <v/>
      </c>
      <c r="S1771" s="10">
        <f>IF(AND(P1771="TN",R1771="TN"),N1771+N(O1771),IF(G1771&amp;""="1",N(K1771)*N1771,(N1771+N(O1771))*N(K1771)))</f>
        <v/>
      </c>
      <c r="T1771" s="10">
        <f>IF(Q1771="","",Q1771-S1771)</f>
        <v/>
      </c>
    </row>
    <row r="1772">
      <c r="A1772" s="7">
        <f>CONCATENATE(C1772,E1772,F1772,I1772)</f>
        <v/>
      </c>
      <c r="B1772" s="7">
        <f>CONCATENATE(C1772,E1772,I1772)</f>
        <v/>
      </c>
      <c r="C1772" s="8" t="n">
        <v>900005356</v>
      </c>
      <c r="D1772" s="7">
        <f>IFERROR(VLOOKUP(C1772,TRAOPE!$G:$H,2,0),"")</f>
        <v/>
      </c>
      <c r="E1772" s="8" t="inlineStr">
        <is>
          <t>D836</t>
        </is>
      </c>
      <c r="F1772" s="8" t="inlineStr">
        <is>
          <t>65014664</t>
        </is>
      </c>
      <c r="G1772" s="8">
        <f>IFERROR(VLOOKUP(A1772,Flete!$A:$E,5,0),"")</f>
        <v/>
      </c>
      <c r="H1772" s="7">
        <f>IFERROR(VLOOKUP(F1772,TRAOPE!$AA:$AB,2,0),"")</f>
        <v/>
      </c>
      <c r="I1772" s="7" t="n">
        <v>10233432</v>
      </c>
      <c r="J1772" s="7">
        <f>IFERROR(VLOOKUP(I1772,Materiales!$A:$H,8,0),"")</f>
        <v/>
      </c>
      <c r="K1772" s="9">
        <f>IFERROR(VLOOKUP(I1772,Materiales!$A:$G,7,0),"")</f>
        <v/>
      </c>
      <c r="L1772" s="8" t="inlineStr">
        <is>
          <t>20190426</t>
        </is>
      </c>
      <c r="M1772" s="8" t="inlineStr">
        <is>
          <t>20250127</t>
        </is>
      </c>
      <c r="N1772" s="10" t="n">
        <v>96.47</v>
      </c>
      <c r="O1772" s="10">
        <f>IFERROR(VLOOKUP(A1772,Flete!$A:$J,10,0),"")</f>
        <v/>
      </c>
      <c r="P1772" s="8" t="inlineStr">
        <is>
          <t>M3</t>
        </is>
      </c>
      <c r="Q1772" s="10">
        <f>IFERROR(IFERROR(VLOOKUP(A1772,TRAOPE!$A:$U,21,0),VLOOKUP(B1772,TRAOPE!$A:$U,21,0)),"")</f>
        <v/>
      </c>
      <c r="R1772" s="8">
        <f>IFERROR(IFERROR(VLOOKUP(A1772,TRAOPE!$A:$W,23,0),VLOOKUP(B1772,TRAOPE!$A:$W,23,0)),"")</f>
        <v/>
      </c>
      <c r="S1772" s="10">
        <f>IF(AND(P1772="TN",R1772="TN"),N1772+N(O1772),IF(G1772&amp;""="1",N(K1772)*N1772,(N1772+N(O1772))*N(K1772)))</f>
        <v/>
      </c>
      <c r="T1772" s="10">
        <f>IF(Q1772="","",Q1772-S1772)</f>
        <v/>
      </c>
    </row>
    <row r="1773">
      <c r="A1773" s="7">
        <f>CONCATENATE(C1773,E1773,F1773,I1773)</f>
        <v/>
      </c>
      <c r="B1773" s="7">
        <f>CONCATENATE(C1773,E1773,I1773)</f>
        <v/>
      </c>
      <c r="C1773" s="8" t="n">
        <v>900005356</v>
      </c>
      <c r="D1773" s="7">
        <f>IFERROR(VLOOKUP(C1773,TRAOPE!$G:$H,2,0),"")</f>
        <v/>
      </c>
      <c r="E1773" s="8" t="inlineStr">
        <is>
          <t>D836</t>
        </is>
      </c>
      <c r="F1773" s="8" t="inlineStr">
        <is>
          <t>65911289</t>
        </is>
      </c>
      <c r="G1773" s="8">
        <f>IFERROR(VLOOKUP(A1773,Flete!$A:$E,5,0),"")</f>
        <v/>
      </c>
      <c r="H1773" s="7">
        <f>IFERROR(VLOOKUP(F1773,TRAOPE!$AA:$AB,2,0),"")</f>
        <v/>
      </c>
      <c r="I1773" s="7" t="n">
        <v>10000160</v>
      </c>
      <c r="J1773" s="7">
        <f>IFERROR(VLOOKUP(I1773,Materiales!$A:$H,8,0),"")</f>
        <v/>
      </c>
      <c r="K1773" s="9">
        <f>IFERROR(VLOOKUP(I1773,Materiales!$A:$G,7,0),"")</f>
        <v/>
      </c>
      <c r="L1773" s="8" t="inlineStr">
        <is>
          <t>20190426</t>
        </is>
      </c>
      <c r="M1773" s="8" t="inlineStr">
        <is>
          <t>20250127</t>
        </is>
      </c>
      <c r="N1773" s="10" t="n">
        <v>100</v>
      </c>
      <c r="O1773" s="10">
        <f>IFERROR(VLOOKUP(A1773,Flete!$A:$J,10,0),"")</f>
        <v/>
      </c>
      <c r="P1773" s="8" t="inlineStr">
        <is>
          <t>M3</t>
        </is>
      </c>
      <c r="Q1773" s="10">
        <f>IFERROR(IFERROR(VLOOKUP(A1773,TRAOPE!$A:$U,21,0),VLOOKUP(B1773,TRAOPE!$A:$U,21,0)),"")</f>
        <v/>
      </c>
      <c r="R1773" s="8">
        <f>IFERROR(IFERROR(VLOOKUP(A1773,TRAOPE!$A:$W,23,0),VLOOKUP(B1773,TRAOPE!$A:$W,23,0)),"")</f>
        <v/>
      </c>
      <c r="S1773" s="10">
        <f>IF(AND(P1773="TN",R1773="TN"),N1773+N(O1773),IF(G1773&amp;""="1",N(K1773)*N1773,(N1773+N(O1773))*N(K1773)))</f>
        <v/>
      </c>
      <c r="T1773" s="10">
        <f>IF(Q1773="","",Q1773-S1773)</f>
        <v/>
      </c>
    </row>
    <row r="1774">
      <c r="A1774" s="7">
        <f>CONCATENATE(C1774,E1774,F1774,I1774)</f>
        <v/>
      </c>
      <c r="B1774" s="7">
        <f>CONCATENATE(C1774,E1774,I1774)</f>
        <v/>
      </c>
      <c r="C1774" s="8" t="n">
        <v>900005356</v>
      </c>
      <c r="D1774" s="7">
        <f>IFERROR(VLOOKUP(C1774,TRAOPE!$G:$H,2,0),"")</f>
        <v/>
      </c>
      <c r="E1774" s="8" t="inlineStr">
        <is>
          <t>D836</t>
        </is>
      </c>
      <c r="F1774" s="8" t="inlineStr">
        <is>
          <t>66233244</t>
        </is>
      </c>
      <c r="G1774" s="8">
        <f>IFERROR(VLOOKUP(A1774,Flete!$A:$E,5,0),"")</f>
        <v/>
      </c>
      <c r="H1774" s="7">
        <f>IFERROR(VLOOKUP(F1774,TRAOPE!$AA:$AB,2,0),"")</f>
        <v/>
      </c>
      <c r="I1774" s="7" t="n">
        <v>10000160</v>
      </c>
      <c r="J1774" s="7">
        <f>IFERROR(VLOOKUP(I1774,Materiales!$A:$H,8,0),"")</f>
        <v/>
      </c>
      <c r="K1774" s="9">
        <f>IFERROR(VLOOKUP(I1774,Materiales!$A:$G,7,0),"")</f>
        <v/>
      </c>
      <c r="L1774" s="8" t="inlineStr">
        <is>
          <t>20190426</t>
        </is>
      </c>
      <c r="M1774" s="8" t="inlineStr">
        <is>
          <t>20250127</t>
        </is>
      </c>
      <c r="N1774" s="10" t="n">
        <v>95</v>
      </c>
      <c r="O1774" s="10">
        <f>IFERROR(VLOOKUP(A1774,Flete!$A:$J,10,0),"")</f>
        <v/>
      </c>
      <c r="P1774" s="8" t="inlineStr">
        <is>
          <t>M3</t>
        </is>
      </c>
      <c r="Q1774" s="10">
        <f>IFERROR(IFERROR(VLOOKUP(A1774,TRAOPE!$A:$U,21,0),VLOOKUP(B1774,TRAOPE!$A:$U,21,0)),"")</f>
        <v/>
      </c>
      <c r="R1774" s="8">
        <f>IFERROR(IFERROR(VLOOKUP(A1774,TRAOPE!$A:$W,23,0),VLOOKUP(B1774,TRAOPE!$A:$W,23,0)),"")</f>
        <v/>
      </c>
      <c r="S1774" s="10">
        <f>IF(AND(P1774="TN",R1774="TN"),N1774+N(O1774),IF(G1774&amp;""="1",N(K1774)*N1774,(N1774+N(O1774))*N(K1774)))</f>
        <v/>
      </c>
      <c r="T1774" s="10">
        <f>IF(Q1774="","",Q1774-S1774)</f>
        <v/>
      </c>
    </row>
    <row r="1775">
      <c r="A1775" s="7">
        <f>CONCATENATE(C1775,E1775,F1775,I1775)</f>
        <v/>
      </c>
      <c r="B1775" s="7">
        <f>CONCATENATE(C1775,E1775,I1775)</f>
        <v/>
      </c>
      <c r="C1775" s="8" t="n">
        <v>900005356</v>
      </c>
      <c r="D1775" s="7">
        <f>IFERROR(VLOOKUP(C1775,TRAOPE!$G:$H,2,0),"")</f>
        <v/>
      </c>
      <c r="E1775" s="8" t="inlineStr">
        <is>
          <t>D836</t>
        </is>
      </c>
      <c r="F1775" s="8" t="inlineStr">
        <is>
          <t>66233244</t>
        </is>
      </c>
      <c r="G1775" s="8">
        <f>IFERROR(VLOOKUP(A1775,Flete!$A:$E,5,0),"")</f>
        <v/>
      </c>
      <c r="H1775" s="7">
        <f>IFERROR(VLOOKUP(F1775,TRAOPE!$AA:$AB,2,0),"")</f>
        <v/>
      </c>
      <c r="I1775" s="7" t="n">
        <v>10000357</v>
      </c>
      <c r="J1775" s="7">
        <f>IFERROR(VLOOKUP(I1775,Materiales!$A:$H,8,0),"")</f>
        <v/>
      </c>
      <c r="K1775" s="9">
        <f>IFERROR(VLOOKUP(I1775,Materiales!$A:$G,7,0),"")</f>
        <v/>
      </c>
      <c r="L1775" s="8" t="inlineStr">
        <is>
          <t>20190426</t>
        </is>
      </c>
      <c r="M1775" s="8" t="inlineStr">
        <is>
          <t>20250127</t>
        </is>
      </c>
      <c r="N1775" s="10" t="n">
        <v>110</v>
      </c>
      <c r="O1775" s="10">
        <f>IFERROR(VLOOKUP(A1775,Flete!$A:$J,10,0),"")</f>
        <v/>
      </c>
      <c r="P1775" s="8" t="inlineStr">
        <is>
          <t>M3</t>
        </is>
      </c>
      <c r="Q1775" s="10">
        <f>IFERROR(IFERROR(VLOOKUP(A1775,TRAOPE!$A:$U,21,0),VLOOKUP(B1775,TRAOPE!$A:$U,21,0)),"")</f>
        <v/>
      </c>
      <c r="R1775" s="8">
        <f>IFERROR(IFERROR(VLOOKUP(A1775,TRAOPE!$A:$W,23,0),VLOOKUP(B1775,TRAOPE!$A:$W,23,0)),"")</f>
        <v/>
      </c>
      <c r="S1775" s="10">
        <f>IF(AND(P1775="TN",R1775="TN"),N1775+N(O1775),IF(G1775&amp;""="1",N(K1775)*N1775,(N1775+N(O1775))*N(K1775)))</f>
        <v/>
      </c>
      <c r="T1775" s="10">
        <f>IF(Q1775="","",Q1775-S1775)</f>
        <v/>
      </c>
    </row>
    <row r="1776">
      <c r="A1776" s="7">
        <f>CONCATENATE(C1776,E1776,F1776,I1776)</f>
        <v/>
      </c>
      <c r="B1776" s="7">
        <f>CONCATENATE(C1776,E1776,I1776)</f>
        <v/>
      </c>
      <c r="C1776" s="8" t="n">
        <v>900005356</v>
      </c>
      <c r="D1776" s="7">
        <f>IFERROR(VLOOKUP(C1776,TRAOPE!$G:$H,2,0),"")</f>
        <v/>
      </c>
      <c r="E1776" s="8" t="inlineStr">
        <is>
          <t>D836</t>
        </is>
      </c>
      <c r="F1776" s="8" t="inlineStr">
        <is>
          <t>66240596</t>
        </is>
      </c>
      <c r="G1776" s="8">
        <f>IFERROR(VLOOKUP(A1776,Flete!$A:$E,5,0),"")</f>
        <v/>
      </c>
      <c r="H1776" s="7">
        <f>IFERROR(VLOOKUP(F1776,TRAOPE!$AA:$AB,2,0),"")</f>
        <v/>
      </c>
      <c r="I1776" s="7" t="n">
        <v>10000160</v>
      </c>
      <c r="J1776" s="7">
        <f>IFERROR(VLOOKUP(I1776,Materiales!$A:$H,8,0),"")</f>
        <v/>
      </c>
      <c r="K1776" s="9">
        <f>IFERROR(VLOOKUP(I1776,Materiales!$A:$G,7,0),"")</f>
        <v/>
      </c>
      <c r="L1776" s="8" t="inlineStr">
        <is>
          <t>20190426</t>
        </is>
      </c>
      <c r="M1776" s="8" t="inlineStr">
        <is>
          <t>20250127</t>
        </is>
      </c>
      <c r="N1776" s="10" t="n">
        <v>100</v>
      </c>
      <c r="O1776" s="10">
        <f>IFERROR(VLOOKUP(A1776,Flete!$A:$J,10,0),"")</f>
        <v/>
      </c>
      <c r="P1776" s="8" t="inlineStr">
        <is>
          <t>M3</t>
        </is>
      </c>
      <c r="Q1776" s="10">
        <f>IFERROR(IFERROR(VLOOKUP(A1776,TRAOPE!$A:$U,21,0),VLOOKUP(B1776,TRAOPE!$A:$U,21,0)),"")</f>
        <v/>
      </c>
      <c r="R1776" s="8">
        <f>IFERROR(IFERROR(VLOOKUP(A1776,TRAOPE!$A:$W,23,0),VLOOKUP(B1776,TRAOPE!$A:$W,23,0)),"")</f>
        <v/>
      </c>
      <c r="S1776" s="10">
        <f>IF(AND(P1776="TN",R1776="TN"),N1776+N(O1776),IF(G1776&amp;""="1",N(K1776)*N1776,(N1776+N(O1776))*N(K1776)))</f>
        <v/>
      </c>
      <c r="T1776" s="10">
        <f>IF(Q1776="","",Q1776-S1776)</f>
        <v/>
      </c>
    </row>
    <row r="1777">
      <c r="A1777" s="7">
        <f>CONCATENATE(C1777,E1777,F1777,I1777)</f>
        <v/>
      </c>
      <c r="B1777" s="7">
        <f>CONCATENATE(C1777,E1777,I1777)</f>
        <v/>
      </c>
      <c r="C1777" s="8" t="n">
        <v>900005356</v>
      </c>
      <c r="D1777" s="7">
        <f>IFERROR(VLOOKUP(C1777,TRAOPE!$G:$H,2,0),"")</f>
        <v/>
      </c>
      <c r="E1777" s="8" t="inlineStr">
        <is>
          <t>D836</t>
        </is>
      </c>
      <c r="F1777" s="8" t="inlineStr">
        <is>
          <t>66240596</t>
        </is>
      </c>
      <c r="G1777" s="8">
        <f>IFERROR(VLOOKUP(A1777,Flete!$A:$E,5,0),"")</f>
        <v/>
      </c>
      <c r="H1777" s="7">
        <f>IFERROR(VLOOKUP(F1777,TRAOPE!$AA:$AB,2,0),"")</f>
        <v/>
      </c>
      <c r="I1777" s="7" t="n">
        <v>10000357</v>
      </c>
      <c r="J1777" s="7">
        <f>IFERROR(VLOOKUP(I1777,Materiales!$A:$H,8,0),"")</f>
        <v/>
      </c>
      <c r="K1777" s="9">
        <f>IFERROR(VLOOKUP(I1777,Materiales!$A:$G,7,0),"")</f>
        <v/>
      </c>
      <c r="L1777" s="8" t="inlineStr">
        <is>
          <t>20190426</t>
        </is>
      </c>
      <c r="M1777" s="8" t="inlineStr">
        <is>
          <t>20250127</t>
        </is>
      </c>
      <c r="N1777" s="10" t="n">
        <v>105</v>
      </c>
      <c r="O1777" s="10">
        <f>IFERROR(VLOOKUP(A1777,Flete!$A:$J,10,0),"")</f>
        <v/>
      </c>
      <c r="P1777" s="8" t="inlineStr">
        <is>
          <t>M3</t>
        </is>
      </c>
      <c r="Q1777" s="10">
        <f>IFERROR(IFERROR(VLOOKUP(A1777,TRAOPE!$A:$U,21,0),VLOOKUP(B1777,TRAOPE!$A:$U,21,0)),"")</f>
        <v/>
      </c>
      <c r="R1777" s="8">
        <f>IFERROR(IFERROR(VLOOKUP(A1777,TRAOPE!$A:$W,23,0),VLOOKUP(B1777,TRAOPE!$A:$W,23,0)),"")</f>
        <v/>
      </c>
      <c r="S1777" s="10">
        <f>IF(AND(P1777="TN",R1777="TN"),N1777+N(O1777),IF(G1777&amp;""="1",N(K1777)*N1777,(N1777+N(O1777))*N(K1777)))</f>
        <v/>
      </c>
      <c r="T1777" s="10">
        <f>IF(Q1777="","",Q1777-S1777)</f>
        <v/>
      </c>
    </row>
    <row r="1778">
      <c r="A1778" s="7">
        <f>CONCATENATE(C1778,E1778,F1778,I1778)</f>
        <v/>
      </c>
      <c r="B1778" s="7">
        <f>CONCATENATE(C1778,E1778,I1778)</f>
        <v/>
      </c>
      <c r="C1778" s="8" t="n">
        <v>900005356</v>
      </c>
      <c r="D1778" s="7">
        <f>IFERROR(VLOOKUP(C1778,TRAOPE!$G:$H,2,0),"")</f>
        <v/>
      </c>
      <c r="E1778" s="8" t="inlineStr">
        <is>
          <t>D836</t>
        </is>
      </c>
      <c r="F1778" s="8" t="inlineStr">
        <is>
          <t>66624554</t>
        </is>
      </c>
      <c r="G1778" s="8">
        <f>IFERROR(VLOOKUP(A1778,Flete!$A:$E,5,0),"")</f>
        <v/>
      </c>
      <c r="H1778" s="7">
        <f>IFERROR(VLOOKUP(F1778,TRAOPE!$AA:$AB,2,0),"")</f>
        <v/>
      </c>
      <c r="I1778" s="7" t="n">
        <v>10000160</v>
      </c>
      <c r="J1778" s="7">
        <f>IFERROR(VLOOKUP(I1778,Materiales!$A:$H,8,0),"")</f>
        <v/>
      </c>
      <c r="K1778" s="9">
        <f>IFERROR(VLOOKUP(I1778,Materiales!$A:$G,7,0),"")</f>
        <v/>
      </c>
      <c r="L1778" s="8" t="inlineStr">
        <is>
          <t>20190426</t>
        </is>
      </c>
      <c r="M1778" s="8" t="inlineStr">
        <is>
          <t>20250127</t>
        </is>
      </c>
      <c r="N1778" s="10" t="n">
        <v>93.73999999999999</v>
      </c>
      <c r="O1778" s="10">
        <f>IFERROR(VLOOKUP(A1778,Flete!$A:$J,10,0),"")</f>
        <v/>
      </c>
      <c r="P1778" s="8" t="inlineStr">
        <is>
          <t>M3</t>
        </is>
      </c>
      <c r="Q1778" s="10">
        <f>IFERROR(IFERROR(VLOOKUP(A1778,TRAOPE!$A:$U,21,0),VLOOKUP(B1778,TRAOPE!$A:$U,21,0)),"")</f>
        <v/>
      </c>
      <c r="R1778" s="8">
        <f>IFERROR(IFERROR(VLOOKUP(A1778,TRAOPE!$A:$W,23,0),VLOOKUP(B1778,TRAOPE!$A:$W,23,0)),"")</f>
        <v/>
      </c>
      <c r="S1778" s="10">
        <f>IF(AND(P1778="TN",R1778="TN"),N1778+N(O1778),IF(G1778&amp;""="1",N(K1778)*N1778,(N1778+N(O1778))*N(K1778)))</f>
        <v/>
      </c>
      <c r="T1778" s="10">
        <f>IF(Q1778="","",Q1778-S1778)</f>
        <v/>
      </c>
    </row>
    <row r="1779">
      <c r="A1779" s="7">
        <f>CONCATENATE(C1779,E1779,F1779,I1779)</f>
        <v/>
      </c>
      <c r="B1779" s="7">
        <f>CONCATENATE(C1779,E1779,I1779)</f>
        <v/>
      </c>
      <c r="C1779" s="8" t="n">
        <v>900005356</v>
      </c>
      <c r="D1779" s="7">
        <f>IFERROR(VLOOKUP(C1779,TRAOPE!$G:$H,2,0),"")</f>
        <v/>
      </c>
      <c r="E1779" s="8" t="inlineStr">
        <is>
          <t>D836</t>
        </is>
      </c>
      <c r="F1779" s="8" t="inlineStr">
        <is>
          <t>66624554</t>
        </is>
      </c>
      <c r="G1779" s="8">
        <f>IFERROR(VLOOKUP(A1779,Flete!$A:$E,5,0),"")</f>
        <v/>
      </c>
      <c r="H1779" s="7">
        <f>IFERROR(VLOOKUP(F1779,TRAOPE!$AA:$AB,2,0),"")</f>
        <v/>
      </c>
      <c r="I1779" s="7" t="n">
        <v>10000357</v>
      </c>
      <c r="J1779" s="7">
        <f>IFERROR(VLOOKUP(I1779,Materiales!$A:$H,8,0),"")</f>
        <v/>
      </c>
      <c r="K1779" s="9">
        <f>IFERROR(VLOOKUP(I1779,Materiales!$A:$G,7,0),"")</f>
        <v/>
      </c>
      <c r="L1779" s="8" t="inlineStr">
        <is>
          <t>20190426</t>
        </is>
      </c>
      <c r="M1779" s="8" t="inlineStr">
        <is>
          <t>20250127</t>
        </is>
      </c>
      <c r="N1779" s="10" t="n">
        <v>109</v>
      </c>
      <c r="O1779" s="10">
        <f>IFERROR(VLOOKUP(A1779,Flete!$A:$J,10,0),"")</f>
        <v/>
      </c>
      <c r="P1779" s="8" t="inlineStr">
        <is>
          <t>M3</t>
        </is>
      </c>
      <c r="Q1779" s="10">
        <f>IFERROR(IFERROR(VLOOKUP(A1779,TRAOPE!$A:$U,21,0),VLOOKUP(B1779,TRAOPE!$A:$U,21,0)),"")</f>
        <v/>
      </c>
      <c r="R1779" s="8">
        <f>IFERROR(IFERROR(VLOOKUP(A1779,TRAOPE!$A:$W,23,0),VLOOKUP(B1779,TRAOPE!$A:$W,23,0)),"")</f>
        <v/>
      </c>
      <c r="S1779" s="10">
        <f>IF(AND(P1779="TN",R1779="TN"),N1779+N(O1779),IF(G1779&amp;""="1",N(K1779)*N1779,(N1779+N(O1779))*N(K1779)))</f>
        <v/>
      </c>
      <c r="T1779" s="10">
        <f>IF(Q1779="","",Q1779-S1779)</f>
        <v/>
      </c>
    </row>
    <row r="1780">
      <c r="A1780" s="7">
        <f>CONCATENATE(C1780,E1780,F1780,I1780)</f>
        <v/>
      </c>
      <c r="B1780" s="7">
        <f>CONCATENATE(C1780,E1780,I1780)</f>
        <v/>
      </c>
      <c r="C1780" s="8" t="n">
        <v>900005356</v>
      </c>
      <c r="D1780" s="7">
        <f>IFERROR(VLOOKUP(C1780,TRAOPE!$G:$H,2,0),"")</f>
        <v/>
      </c>
      <c r="E1780" s="8" t="inlineStr">
        <is>
          <t>D836</t>
        </is>
      </c>
      <c r="F1780" s="8" t="inlineStr">
        <is>
          <t>66624554</t>
        </is>
      </c>
      <c r="G1780" s="8">
        <f>IFERROR(VLOOKUP(A1780,Flete!$A:$E,5,0),"")</f>
        <v/>
      </c>
      <c r="H1780" s="7">
        <f>IFERROR(VLOOKUP(F1780,TRAOPE!$AA:$AB,2,0),"")</f>
        <v/>
      </c>
      <c r="I1780" s="7" t="n">
        <v>10000627</v>
      </c>
      <c r="J1780" s="7">
        <f>IFERROR(VLOOKUP(I1780,Materiales!$A:$H,8,0),"")</f>
        <v/>
      </c>
      <c r="K1780" s="9">
        <f>IFERROR(VLOOKUP(I1780,Materiales!$A:$G,7,0),"")</f>
        <v/>
      </c>
      <c r="L1780" s="8" t="inlineStr">
        <is>
          <t>20190426</t>
        </is>
      </c>
      <c r="M1780" s="8" t="inlineStr">
        <is>
          <t>20250127</t>
        </is>
      </c>
      <c r="N1780" s="10" t="n">
        <v>92.65000000000001</v>
      </c>
      <c r="O1780" s="10">
        <f>IFERROR(VLOOKUP(A1780,Flete!$A:$J,10,0),"")</f>
        <v/>
      </c>
      <c r="P1780" s="8" t="inlineStr">
        <is>
          <t>M3</t>
        </is>
      </c>
      <c r="Q1780" s="10">
        <f>IFERROR(IFERROR(VLOOKUP(A1780,TRAOPE!$A:$U,21,0),VLOOKUP(B1780,TRAOPE!$A:$U,21,0)),"")</f>
        <v/>
      </c>
      <c r="R1780" s="8">
        <f>IFERROR(IFERROR(VLOOKUP(A1780,TRAOPE!$A:$W,23,0),VLOOKUP(B1780,TRAOPE!$A:$W,23,0)),"")</f>
        <v/>
      </c>
      <c r="S1780" s="10">
        <f>IF(AND(P1780="TN",R1780="TN"),N1780+N(O1780),IF(G1780&amp;""="1",N(K1780)*N1780,(N1780+N(O1780))*N(K1780)))</f>
        <v/>
      </c>
      <c r="T1780" s="10">
        <f>IF(Q1780="","",Q1780-S1780)</f>
        <v/>
      </c>
    </row>
    <row r="1781">
      <c r="A1781" s="7">
        <f>CONCATENATE(C1781,E1781,F1781,I1781)</f>
        <v/>
      </c>
      <c r="B1781" s="7">
        <f>CONCATENATE(C1781,E1781,I1781)</f>
        <v/>
      </c>
      <c r="C1781" s="8" t="n">
        <v>900005356</v>
      </c>
      <c r="D1781" s="7">
        <f>IFERROR(VLOOKUP(C1781,TRAOPE!$G:$H,2,0),"")</f>
        <v/>
      </c>
      <c r="E1781" s="8" t="inlineStr">
        <is>
          <t>D836</t>
        </is>
      </c>
      <c r="F1781" s="8" t="inlineStr">
        <is>
          <t>66779276</t>
        </is>
      </c>
      <c r="G1781" s="8">
        <f>IFERROR(VLOOKUP(A1781,Flete!$A:$E,5,0),"")</f>
        <v/>
      </c>
      <c r="H1781" s="7">
        <f>IFERROR(VLOOKUP(F1781,TRAOPE!$AA:$AB,2,0),"")</f>
        <v/>
      </c>
      <c r="I1781" s="7" t="n">
        <v>10003132</v>
      </c>
      <c r="J1781" s="7">
        <f>IFERROR(VLOOKUP(I1781,Materiales!$A:$H,8,0),"")</f>
        <v/>
      </c>
      <c r="K1781" s="9">
        <f>IFERROR(VLOOKUP(I1781,Materiales!$A:$G,7,0),"")</f>
        <v/>
      </c>
      <c r="L1781" s="8" t="inlineStr">
        <is>
          <t>20190426</t>
        </is>
      </c>
      <c r="M1781" s="8" t="inlineStr">
        <is>
          <t>20250127</t>
        </is>
      </c>
      <c r="N1781" s="10" t="n">
        <v>125</v>
      </c>
      <c r="O1781" s="10">
        <f>IFERROR(VLOOKUP(A1781,Flete!$A:$J,10,0),"")</f>
        <v/>
      </c>
      <c r="P1781" s="8" t="inlineStr">
        <is>
          <t>M3</t>
        </is>
      </c>
      <c r="Q1781" s="10">
        <f>IFERROR(IFERROR(VLOOKUP(A1781,TRAOPE!$A:$U,21,0),VLOOKUP(B1781,TRAOPE!$A:$U,21,0)),"")</f>
        <v/>
      </c>
      <c r="R1781" s="8">
        <f>IFERROR(IFERROR(VLOOKUP(A1781,TRAOPE!$A:$W,23,0),VLOOKUP(B1781,TRAOPE!$A:$W,23,0)),"")</f>
        <v/>
      </c>
      <c r="S1781" s="10">
        <f>IF(AND(P1781="TN",R1781="TN"),N1781+N(O1781),IF(G1781&amp;""="1",N(K1781)*N1781,(N1781+N(O1781))*N(K1781)))</f>
        <v/>
      </c>
      <c r="T1781" s="10">
        <f>IF(Q1781="","",Q1781-S1781)</f>
        <v/>
      </c>
    </row>
    <row r="1782">
      <c r="A1782" s="7">
        <f>CONCATENATE(C1782,E1782,F1782,I1782)</f>
        <v/>
      </c>
      <c r="B1782" s="7">
        <f>CONCATENATE(C1782,E1782,I1782)</f>
        <v/>
      </c>
      <c r="C1782" s="8" t="n">
        <v>900005356</v>
      </c>
      <c r="D1782" s="7">
        <f>IFERROR(VLOOKUP(C1782,TRAOPE!$G:$H,2,0),"")</f>
        <v/>
      </c>
      <c r="E1782" s="8" t="inlineStr">
        <is>
          <t>D836</t>
        </is>
      </c>
      <c r="F1782" s="8" t="inlineStr">
        <is>
          <t>66828114</t>
        </is>
      </c>
      <c r="G1782" s="8">
        <f>IFERROR(VLOOKUP(A1782,Flete!$A:$E,5,0),"")</f>
        <v/>
      </c>
      <c r="H1782" s="7">
        <f>IFERROR(VLOOKUP(F1782,TRAOPE!$AA:$AB,2,0),"")</f>
        <v/>
      </c>
      <c r="I1782" s="7" t="n">
        <v>10000627</v>
      </c>
      <c r="J1782" s="7">
        <f>IFERROR(VLOOKUP(I1782,Materiales!$A:$H,8,0),"")</f>
        <v/>
      </c>
      <c r="K1782" s="9">
        <f>IFERROR(VLOOKUP(I1782,Materiales!$A:$G,7,0),"")</f>
        <v/>
      </c>
      <c r="L1782" s="8" t="inlineStr">
        <is>
          <t>20190426</t>
        </is>
      </c>
      <c r="M1782" s="8" t="inlineStr">
        <is>
          <t>20250127</t>
        </is>
      </c>
      <c r="N1782" s="10" t="n">
        <v>88</v>
      </c>
      <c r="O1782" s="10">
        <f>IFERROR(VLOOKUP(A1782,Flete!$A:$J,10,0),"")</f>
        <v/>
      </c>
      <c r="P1782" s="8" t="inlineStr">
        <is>
          <t>M3</t>
        </is>
      </c>
      <c r="Q1782" s="10">
        <f>IFERROR(IFERROR(VLOOKUP(A1782,TRAOPE!$A:$U,21,0),VLOOKUP(B1782,TRAOPE!$A:$U,21,0)),"")</f>
        <v/>
      </c>
      <c r="R1782" s="8">
        <f>IFERROR(IFERROR(VLOOKUP(A1782,TRAOPE!$A:$W,23,0),VLOOKUP(B1782,TRAOPE!$A:$W,23,0)),"")</f>
        <v/>
      </c>
      <c r="S1782" s="10">
        <f>IF(AND(P1782="TN",R1782="TN"),N1782+N(O1782),IF(G1782&amp;""="1",N(K1782)*N1782,(N1782+N(O1782))*N(K1782)))</f>
        <v/>
      </c>
      <c r="T1782" s="10">
        <f>IF(Q1782="","",Q1782-S1782)</f>
        <v/>
      </c>
    </row>
    <row r="1783">
      <c r="A1783" s="7">
        <f>CONCATENATE(C1783,E1783,F1783,I1783)</f>
        <v/>
      </c>
      <c r="B1783" s="7">
        <f>CONCATENATE(C1783,E1783,I1783)</f>
        <v/>
      </c>
      <c r="C1783" s="8" t="n">
        <v>900005356</v>
      </c>
      <c r="D1783" s="7">
        <f>IFERROR(VLOOKUP(C1783,TRAOPE!$G:$H,2,0),"")</f>
        <v/>
      </c>
      <c r="E1783" s="8" t="inlineStr">
        <is>
          <t>D836</t>
        </is>
      </c>
      <c r="F1783" s="8" t="inlineStr">
        <is>
          <t>66834820</t>
        </is>
      </c>
      <c r="G1783" s="8">
        <f>IFERROR(VLOOKUP(A1783,Flete!$A:$E,5,0),"")</f>
        <v/>
      </c>
      <c r="H1783" s="7">
        <f>IFERROR(VLOOKUP(F1783,TRAOPE!$AA:$AB,2,0),"")</f>
        <v/>
      </c>
      <c r="I1783" s="7" t="n">
        <v>10000160</v>
      </c>
      <c r="J1783" s="7">
        <f>IFERROR(VLOOKUP(I1783,Materiales!$A:$H,8,0),"")</f>
        <v/>
      </c>
      <c r="K1783" s="9">
        <f>IFERROR(VLOOKUP(I1783,Materiales!$A:$G,7,0),"")</f>
        <v/>
      </c>
      <c r="L1783" s="8" t="inlineStr">
        <is>
          <t>20190426</t>
        </is>
      </c>
      <c r="M1783" s="8" t="inlineStr">
        <is>
          <t>20250127</t>
        </is>
      </c>
      <c r="N1783" s="10" t="n">
        <v>95</v>
      </c>
      <c r="O1783" s="10">
        <f>IFERROR(VLOOKUP(A1783,Flete!$A:$J,10,0),"")</f>
        <v/>
      </c>
      <c r="P1783" s="8" t="inlineStr">
        <is>
          <t>M3</t>
        </is>
      </c>
      <c r="Q1783" s="10">
        <f>IFERROR(IFERROR(VLOOKUP(A1783,TRAOPE!$A:$U,21,0),VLOOKUP(B1783,TRAOPE!$A:$U,21,0)),"")</f>
        <v/>
      </c>
      <c r="R1783" s="8">
        <f>IFERROR(IFERROR(VLOOKUP(A1783,TRAOPE!$A:$W,23,0),VLOOKUP(B1783,TRAOPE!$A:$W,23,0)),"")</f>
        <v/>
      </c>
      <c r="S1783" s="10">
        <f>IF(AND(P1783="TN",R1783="TN"),N1783+N(O1783),IF(G1783&amp;""="1",N(K1783)*N1783,(N1783+N(O1783))*N(K1783)))</f>
        <v/>
      </c>
      <c r="T1783" s="10">
        <f>IF(Q1783="","",Q1783-S1783)</f>
        <v/>
      </c>
    </row>
    <row r="1784">
      <c r="A1784" s="7">
        <f>CONCATENATE(C1784,E1784,F1784,I1784)</f>
        <v/>
      </c>
      <c r="B1784" s="7">
        <f>CONCATENATE(C1784,E1784,I1784)</f>
        <v/>
      </c>
      <c r="C1784" s="8" t="n">
        <v>900005356</v>
      </c>
      <c r="D1784" s="7">
        <f>IFERROR(VLOOKUP(C1784,TRAOPE!$G:$H,2,0),"")</f>
        <v/>
      </c>
      <c r="E1784" s="8" t="inlineStr">
        <is>
          <t>D836</t>
        </is>
      </c>
      <c r="F1784" s="8" t="inlineStr">
        <is>
          <t>66834820</t>
        </is>
      </c>
      <c r="G1784" s="8">
        <f>IFERROR(VLOOKUP(A1784,Flete!$A:$E,5,0),"")</f>
        <v/>
      </c>
      <c r="H1784" s="7">
        <f>IFERROR(VLOOKUP(F1784,TRAOPE!$AA:$AB,2,0),"")</f>
        <v/>
      </c>
      <c r="I1784" s="7" t="n">
        <v>10000357</v>
      </c>
      <c r="J1784" s="7">
        <f>IFERROR(VLOOKUP(I1784,Materiales!$A:$H,8,0),"")</f>
        <v/>
      </c>
      <c r="K1784" s="9">
        <f>IFERROR(VLOOKUP(I1784,Materiales!$A:$G,7,0),"")</f>
        <v/>
      </c>
      <c r="L1784" s="8" t="inlineStr">
        <is>
          <t>20190426</t>
        </is>
      </c>
      <c r="M1784" s="8" t="inlineStr">
        <is>
          <t>20250127</t>
        </is>
      </c>
      <c r="N1784" s="10" t="n">
        <v>105</v>
      </c>
      <c r="O1784" s="10">
        <f>IFERROR(VLOOKUP(A1784,Flete!$A:$J,10,0),"")</f>
        <v/>
      </c>
      <c r="P1784" s="8" t="inlineStr">
        <is>
          <t>M3</t>
        </is>
      </c>
      <c r="Q1784" s="10">
        <f>IFERROR(IFERROR(VLOOKUP(A1784,TRAOPE!$A:$U,21,0),VLOOKUP(B1784,TRAOPE!$A:$U,21,0)),"")</f>
        <v/>
      </c>
      <c r="R1784" s="8">
        <f>IFERROR(IFERROR(VLOOKUP(A1784,TRAOPE!$A:$W,23,0),VLOOKUP(B1784,TRAOPE!$A:$W,23,0)),"")</f>
        <v/>
      </c>
      <c r="S1784" s="10">
        <f>IF(AND(P1784="TN",R1784="TN"),N1784+N(O1784),IF(G1784&amp;""="1",N(K1784)*N1784,(N1784+N(O1784))*N(K1784)))</f>
        <v/>
      </c>
      <c r="T1784" s="10">
        <f>IF(Q1784="","",Q1784-S1784)</f>
        <v/>
      </c>
    </row>
    <row r="1785">
      <c r="A1785" s="7">
        <f>CONCATENATE(C1785,E1785,F1785,I1785)</f>
        <v/>
      </c>
      <c r="B1785" s="7">
        <f>CONCATENATE(C1785,E1785,I1785)</f>
        <v/>
      </c>
      <c r="C1785" s="8" t="n">
        <v>900005356</v>
      </c>
      <c r="D1785" s="7">
        <f>IFERROR(VLOOKUP(C1785,TRAOPE!$G:$H,2,0),"")</f>
        <v/>
      </c>
      <c r="E1785" s="8" t="inlineStr">
        <is>
          <t>D836</t>
        </is>
      </c>
      <c r="F1785" s="8" t="inlineStr">
        <is>
          <t>66840672</t>
        </is>
      </c>
      <c r="G1785" s="8">
        <f>IFERROR(VLOOKUP(A1785,Flete!$A:$E,5,0),"")</f>
        <v/>
      </c>
      <c r="H1785" s="7">
        <f>IFERROR(VLOOKUP(F1785,TRAOPE!$AA:$AB,2,0),"")</f>
        <v/>
      </c>
      <c r="I1785" s="7" t="n">
        <v>10000357</v>
      </c>
      <c r="J1785" s="7">
        <f>IFERROR(VLOOKUP(I1785,Materiales!$A:$H,8,0),"")</f>
        <v/>
      </c>
      <c r="K1785" s="9">
        <f>IFERROR(VLOOKUP(I1785,Materiales!$A:$G,7,0),"")</f>
        <v/>
      </c>
      <c r="L1785" s="8" t="inlineStr">
        <is>
          <t>20190426</t>
        </is>
      </c>
      <c r="M1785" s="8" t="inlineStr">
        <is>
          <t>20250127</t>
        </is>
      </c>
      <c r="N1785" s="10" t="n">
        <v>105</v>
      </c>
      <c r="O1785" s="10">
        <f>IFERROR(VLOOKUP(A1785,Flete!$A:$J,10,0),"")</f>
        <v/>
      </c>
      <c r="P1785" s="8" t="inlineStr">
        <is>
          <t>M3</t>
        </is>
      </c>
      <c r="Q1785" s="10">
        <f>IFERROR(IFERROR(VLOOKUP(A1785,TRAOPE!$A:$U,21,0),VLOOKUP(B1785,TRAOPE!$A:$U,21,0)),"")</f>
        <v/>
      </c>
      <c r="R1785" s="8">
        <f>IFERROR(IFERROR(VLOOKUP(A1785,TRAOPE!$A:$W,23,0),VLOOKUP(B1785,TRAOPE!$A:$W,23,0)),"")</f>
        <v/>
      </c>
      <c r="S1785" s="10">
        <f>IF(AND(P1785="TN",R1785="TN"),N1785+N(O1785),IF(G1785&amp;""="1",N(K1785)*N1785,(N1785+N(O1785))*N(K1785)))</f>
        <v/>
      </c>
      <c r="T1785" s="10">
        <f>IF(Q1785="","",Q1785-S1785)</f>
        <v/>
      </c>
    </row>
    <row r="1786">
      <c r="A1786" s="7">
        <f>CONCATENATE(C1786,E1786,F1786,I1786)</f>
        <v/>
      </c>
      <c r="B1786" s="7">
        <f>CONCATENATE(C1786,E1786,I1786)</f>
        <v/>
      </c>
      <c r="C1786" s="8" t="n">
        <v>900005356</v>
      </c>
      <c r="D1786" s="7">
        <f>IFERROR(VLOOKUP(C1786,TRAOPE!$G:$H,2,0),"")</f>
        <v/>
      </c>
      <c r="E1786" s="8" t="inlineStr">
        <is>
          <t>D836</t>
        </is>
      </c>
      <c r="F1786" s="8" t="inlineStr">
        <is>
          <t>66874292</t>
        </is>
      </c>
      <c r="G1786" s="8">
        <f>IFERROR(VLOOKUP(A1786,Flete!$A:$E,5,0),"")</f>
        <v/>
      </c>
      <c r="H1786" s="7">
        <f>IFERROR(VLOOKUP(F1786,TRAOPE!$AA:$AB,2,0),"")</f>
        <v/>
      </c>
      <c r="I1786" s="7" t="n">
        <v>10000160</v>
      </c>
      <c r="J1786" s="7">
        <f>IFERROR(VLOOKUP(I1786,Materiales!$A:$H,8,0),"")</f>
        <v/>
      </c>
      <c r="K1786" s="9">
        <f>IFERROR(VLOOKUP(I1786,Materiales!$A:$G,7,0),"")</f>
        <v/>
      </c>
      <c r="L1786" s="8" t="inlineStr">
        <is>
          <t>20190426</t>
        </is>
      </c>
      <c r="M1786" s="8" t="inlineStr">
        <is>
          <t>20250127</t>
        </is>
      </c>
      <c r="N1786" s="10" t="n">
        <v>95</v>
      </c>
      <c r="O1786" s="10">
        <f>IFERROR(VLOOKUP(A1786,Flete!$A:$J,10,0),"")</f>
        <v/>
      </c>
      <c r="P1786" s="8" t="inlineStr">
        <is>
          <t>M3</t>
        </is>
      </c>
      <c r="Q1786" s="10">
        <f>IFERROR(IFERROR(VLOOKUP(A1786,TRAOPE!$A:$U,21,0),VLOOKUP(B1786,TRAOPE!$A:$U,21,0)),"")</f>
        <v/>
      </c>
      <c r="R1786" s="8">
        <f>IFERROR(IFERROR(VLOOKUP(A1786,TRAOPE!$A:$W,23,0),VLOOKUP(B1786,TRAOPE!$A:$W,23,0)),"")</f>
        <v/>
      </c>
      <c r="S1786" s="10">
        <f>IF(AND(P1786="TN",R1786="TN"),N1786+N(O1786),IF(G1786&amp;""="1",N(K1786)*N1786,(N1786+N(O1786))*N(K1786)))</f>
        <v/>
      </c>
      <c r="T1786" s="10">
        <f>IF(Q1786="","",Q1786-S1786)</f>
        <v/>
      </c>
    </row>
    <row r="1787">
      <c r="A1787" s="7">
        <f>CONCATENATE(C1787,E1787,F1787,I1787)</f>
        <v/>
      </c>
      <c r="B1787" s="7">
        <f>CONCATENATE(C1787,E1787,I1787)</f>
        <v/>
      </c>
      <c r="C1787" s="8" t="n">
        <v>900005356</v>
      </c>
      <c r="D1787" s="7">
        <f>IFERROR(VLOOKUP(C1787,TRAOPE!$G:$H,2,0),"")</f>
        <v/>
      </c>
      <c r="E1787" s="8" t="inlineStr">
        <is>
          <t>D836</t>
        </is>
      </c>
      <c r="F1787" s="8" t="inlineStr">
        <is>
          <t>66874292</t>
        </is>
      </c>
      <c r="G1787" s="8">
        <f>IFERROR(VLOOKUP(A1787,Flete!$A:$E,5,0),"")</f>
        <v/>
      </c>
      <c r="H1787" s="7">
        <f>IFERROR(VLOOKUP(F1787,TRAOPE!$AA:$AB,2,0),"")</f>
        <v/>
      </c>
      <c r="I1787" s="7" t="n">
        <v>10000357</v>
      </c>
      <c r="J1787" s="7">
        <f>IFERROR(VLOOKUP(I1787,Materiales!$A:$H,8,0),"")</f>
        <v/>
      </c>
      <c r="K1787" s="9">
        <f>IFERROR(VLOOKUP(I1787,Materiales!$A:$G,7,0),"")</f>
        <v/>
      </c>
      <c r="L1787" s="8" t="inlineStr">
        <is>
          <t>20190426</t>
        </is>
      </c>
      <c r="M1787" s="8" t="inlineStr">
        <is>
          <t>20250127</t>
        </is>
      </c>
      <c r="N1787" s="10" t="n">
        <v>105</v>
      </c>
      <c r="O1787" s="10">
        <f>IFERROR(VLOOKUP(A1787,Flete!$A:$J,10,0),"")</f>
        <v/>
      </c>
      <c r="P1787" s="8" t="inlineStr">
        <is>
          <t>M3</t>
        </is>
      </c>
      <c r="Q1787" s="10">
        <f>IFERROR(IFERROR(VLOOKUP(A1787,TRAOPE!$A:$U,21,0),VLOOKUP(B1787,TRAOPE!$A:$U,21,0)),"")</f>
        <v/>
      </c>
      <c r="R1787" s="8">
        <f>IFERROR(IFERROR(VLOOKUP(A1787,TRAOPE!$A:$W,23,0),VLOOKUP(B1787,TRAOPE!$A:$W,23,0)),"")</f>
        <v/>
      </c>
      <c r="S1787" s="10">
        <f>IF(AND(P1787="TN",R1787="TN"),N1787+N(O1787),IF(G1787&amp;""="1",N(K1787)*N1787,(N1787+N(O1787))*N(K1787)))</f>
        <v/>
      </c>
      <c r="T1787" s="10">
        <f>IF(Q1787="","",Q1787-S1787)</f>
        <v/>
      </c>
    </row>
    <row r="1788">
      <c r="A1788" s="7">
        <f>CONCATENATE(C1788,E1788,F1788,I1788)</f>
        <v/>
      </c>
      <c r="B1788" s="7">
        <f>CONCATENATE(C1788,E1788,I1788)</f>
        <v/>
      </c>
      <c r="C1788" s="8" t="n">
        <v>900005356</v>
      </c>
      <c r="D1788" s="7">
        <f>IFERROR(VLOOKUP(C1788,TRAOPE!$G:$H,2,0),"")</f>
        <v/>
      </c>
      <c r="E1788" s="8" t="inlineStr">
        <is>
          <t>D836</t>
        </is>
      </c>
      <c r="F1788" s="8" t="inlineStr">
        <is>
          <t>66885144</t>
        </is>
      </c>
      <c r="G1788" s="8">
        <f>IFERROR(VLOOKUP(A1788,Flete!$A:$E,5,0),"")</f>
        <v/>
      </c>
      <c r="H1788" s="7">
        <f>IFERROR(VLOOKUP(F1788,TRAOPE!$AA:$AB,2,0),"")</f>
        <v/>
      </c>
      <c r="I1788" s="7" t="n">
        <v>10000160</v>
      </c>
      <c r="J1788" s="7">
        <f>IFERROR(VLOOKUP(I1788,Materiales!$A:$H,8,0),"")</f>
        <v/>
      </c>
      <c r="K1788" s="9">
        <f>IFERROR(VLOOKUP(I1788,Materiales!$A:$G,7,0),"")</f>
        <v/>
      </c>
      <c r="L1788" s="8" t="inlineStr">
        <is>
          <t>20190426</t>
        </is>
      </c>
      <c r="M1788" s="8" t="inlineStr">
        <is>
          <t>20250127</t>
        </is>
      </c>
      <c r="N1788" s="10" t="n">
        <v>107.8</v>
      </c>
      <c r="O1788" s="10">
        <f>IFERROR(VLOOKUP(A1788,Flete!$A:$J,10,0),"")</f>
        <v/>
      </c>
      <c r="P1788" s="8" t="inlineStr">
        <is>
          <t>M3</t>
        </is>
      </c>
      <c r="Q1788" s="10">
        <f>IFERROR(IFERROR(VLOOKUP(A1788,TRAOPE!$A:$U,21,0),VLOOKUP(B1788,TRAOPE!$A:$U,21,0)),"")</f>
        <v/>
      </c>
      <c r="R1788" s="8">
        <f>IFERROR(IFERROR(VLOOKUP(A1788,TRAOPE!$A:$W,23,0),VLOOKUP(B1788,TRAOPE!$A:$W,23,0)),"")</f>
        <v/>
      </c>
      <c r="S1788" s="10">
        <f>IF(AND(P1788="TN",R1788="TN"),N1788+N(O1788),IF(G1788&amp;""="1",N(K1788)*N1788,(N1788+N(O1788))*N(K1788)))</f>
        <v/>
      </c>
      <c r="T1788" s="10">
        <f>IF(Q1788="","",Q1788-S1788)</f>
        <v/>
      </c>
    </row>
    <row r="1789">
      <c r="A1789" s="7">
        <f>CONCATENATE(C1789,E1789,F1789,I1789)</f>
        <v/>
      </c>
      <c r="B1789" s="7">
        <f>CONCATENATE(C1789,E1789,I1789)</f>
        <v/>
      </c>
      <c r="C1789" s="8" t="n">
        <v>900005356</v>
      </c>
      <c r="D1789" s="7">
        <f>IFERROR(VLOOKUP(C1789,TRAOPE!$G:$H,2,0),"")</f>
        <v/>
      </c>
      <c r="E1789" s="8" t="inlineStr">
        <is>
          <t>D836</t>
        </is>
      </c>
      <c r="F1789" s="8" t="inlineStr">
        <is>
          <t>66885144</t>
        </is>
      </c>
      <c r="G1789" s="8">
        <f>IFERROR(VLOOKUP(A1789,Flete!$A:$E,5,0),"")</f>
        <v/>
      </c>
      <c r="H1789" s="7">
        <f>IFERROR(VLOOKUP(F1789,TRAOPE!$AA:$AB,2,0),"")</f>
        <v/>
      </c>
      <c r="I1789" s="7" t="n">
        <v>10000357</v>
      </c>
      <c r="J1789" s="7">
        <f>IFERROR(VLOOKUP(I1789,Materiales!$A:$H,8,0),"")</f>
        <v/>
      </c>
      <c r="K1789" s="9">
        <f>IFERROR(VLOOKUP(I1789,Materiales!$A:$G,7,0),"")</f>
        <v/>
      </c>
      <c r="L1789" s="8" t="inlineStr">
        <is>
          <t>20190426</t>
        </is>
      </c>
      <c r="M1789" s="8" t="inlineStr">
        <is>
          <t>20250127</t>
        </is>
      </c>
      <c r="N1789" s="10" t="n">
        <v>105</v>
      </c>
      <c r="O1789" s="10">
        <f>IFERROR(VLOOKUP(A1789,Flete!$A:$J,10,0),"")</f>
        <v/>
      </c>
      <c r="P1789" s="8" t="inlineStr">
        <is>
          <t>M3</t>
        </is>
      </c>
      <c r="Q1789" s="10">
        <f>IFERROR(IFERROR(VLOOKUP(A1789,TRAOPE!$A:$U,21,0),VLOOKUP(B1789,TRAOPE!$A:$U,21,0)),"")</f>
        <v/>
      </c>
      <c r="R1789" s="8">
        <f>IFERROR(IFERROR(VLOOKUP(A1789,TRAOPE!$A:$W,23,0),VLOOKUP(B1789,TRAOPE!$A:$W,23,0)),"")</f>
        <v/>
      </c>
      <c r="S1789" s="10">
        <f>IF(AND(P1789="TN",R1789="TN"),N1789+N(O1789),IF(G1789&amp;""="1",N(K1789)*N1789,(N1789+N(O1789))*N(K1789)))</f>
        <v/>
      </c>
      <c r="T1789" s="10">
        <f>IF(Q1789="","",Q1789-S1789)</f>
        <v/>
      </c>
    </row>
    <row r="1790">
      <c r="A1790" s="7">
        <f>CONCATENATE(C1790,E1790,F1790,I1790)</f>
        <v/>
      </c>
      <c r="B1790" s="7">
        <f>CONCATENATE(C1790,E1790,I1790)</f>
        <v/>
      </c>
      <c r="C1790" s="8" t="n">
        <v>900005356</v>
      </c>
      <c r="D1790" s="7">
        <f>IFERROR(VLOOKUP(C1790,TRAOPE!$G:$H,2,0),"")</f>
        <v/>
      </c>
      <c r="E1790" s="8" t="inlineStr">
        <is>
          <t>D836</t>
        </is>
      </c>
      <c r="F1790" s="8" t="inlineStr">
        <is>
          <t>66885144</t>
        </is>
      </c>
      <c r="G1790" s="8">
        <f>IFERROR(VLOOKUP(A1790,Flete!$A:$E,5,0),"")</f>
        <v/>
      </c>
      <c r="H1790" s="7">
        <f>IFERROR(VLOOKUP(F1790,TRAOPE!$AA:$AB,2,0),"")</f>
        <v/>
      </c>
      <c r="I1790" s="7" t="n">
        <v>10003132</v>
      </c>
      <c r="J1790" s="7">
        <f>IFERROR(VLOOKUP(I1790,Materiales!$A:$H,8,0),"")</f>
        <v/>
      </c>
      <c r="K1790" s="9">
        <f>IFERROR(VLOOKUP(I1790,Materiales!$A:$G,7,0),"")</f>
        <v/>
      </c>
      <c r="L1790" s="8" t="inlineStr">
        <is>
          <t>20190426</t>
        </is>
      </c>
      <c r="M1790" s="8" t="inlineStr">
        <is>
          <t>20250127</t>
        </is>
      </c>
      <c r="N1790" s="10" t="n">
        <v>140.8</v>
      </c>
      <c r="O1790" s="10">
        <f>IFERROR(VLOOKUP(A1790,Flete!$A:$J,10,0),"")</f>
        <v/>
      </c>
      <c r="P1790" s="8" t="inlineStr">
        <is>
          <t>M3</t>
        </is>
      </c>
      <c r="Q1790" s="10">
        <f>IFERROR(IFERROR(VLOOKUP(A1790,TRAOPE!$A:$U,21,0),VLOOKUP(B1790,TRAOPE!$A:$U,21,0)),"")</f>
        <v/>
      </c>
      <c r="R1790" s="8">
        <f>IFERROR(IFERROR(VLOOKUP(A1790,TRAOPE!$A:$W,23,0),VLOOKUP(B1790,TRAOPE!$A:$W,23,0)),"")</f>
        <v/>
      </c>
      <c r="S1790" s="10">
        <f>IF(AND(P1790="TN",R1790="TN"),N1790+N(O1790),IF(G1790&amp;""="1",N(K1790)*N1790,(N1790+N(O1790))*N(K1790)))</f>
        <v/>
      </c>
      <c r="T1790" s="10">
        <f>IF(Q1790="","",Q1790-S1790)</f>
        <v/>
      </c>
    </row>
    <row r="1791">
      <c r="A1791" s="7">
        <f>CONCATENATE(C1791,E1791,F1791,I1791)</f>
        <v/>
      </c>
      <c r="B1791" s="7">
        <f>CONCATENATE(C1791,E1791,I1791)</f>
        <v/>
      </c>
      <c r="C1791" s="8" t="n">
        <v>900005356</v>
      </c>
      <c r="D1791" s="7">
        <f>IFERROR(VLOOKUP(C1791,TRAOPE!$G:$H,2,0),"")</f>
        <v/>
      </c>
      <c r="E1791" s="8" t="inlineStr">
        <is>
          <t>D836</t>
        </is>
      </c>
      <c r="F1791" s="8" t="inlineStr">
        <is>
          <t>66885144</t>
        </is>
      </c>
      <c r="G1791" s="8">
        <f>IFERROR(VLOOKUP(A1791,Flete!$A:$E,5,0),"")</f>
        <v/>
      </c>
      <c r="H1791" s="7">
        <f>IFERROR(VLOOKUP(F1791,TRAOPE!$AA:$AB,2,0),"")</f>
        <v/>
      </c>
      <c r="I1791" s="7" t="n">
        <v>10200075</v>
      </c>
      <c r="J1791" s="7">
        <f>IFERROR(VLOOKUP(I1791,Materiales!$A:$H,8,0),"")</f>
        <v/>
      </c>
      <c r="K1791" s="9">
        <f>IFERROR(VLOOKUP(I1791,Materiales!$A:$G,7,0),"")</f>
        <v/>
      </c>
      <c r="L1791" s="8" t="inlineStr">
        <is>
          <t>20190426</t>
        </is>
      </c>
      <c r="M1791" s="8" t="inlineStr">
        <is>
          <t>20250127</t>
        </is>
      </c>
      <c r="N1791" s="10" t="n">
        <v>150</v>
      </c>
      <c r="O1791" s="10">
        <f>IFERROR(VLOOKUP(A1791,Flete!$A:$J,10,0),"")</f>
        <v/>
      </c>
      <c r="P1791" s="8" t="inlineStr">
        <is>
          <t>M3</t>
        </is>
      </c>
      <c r="Q1791" s="10">
        <f>IFERROR(IFERROR(VLOOKUP(A1791,TRAOPE!$A:$U,21,0),VLOOKUP(B1791,TRAOPE!$A:$U,21,0)),"")</f>
        <v/>
      </c>
      <c r="R1791" s="8">
        <f>IFERROR(IFERROR(VLOOKUP(A1791,TRAOPE!$A:$W,23,0),VLOOKUP(B1791,TRAOPE!$A:$W,23,0)),"")</f>
        <v/>
      </c>
      <c r="S1791" s="10">
        <f>IF(AND(P1791="TN",R1791="TN"),N1791+N(O1791),IF(G1791&amp;""="1",N(K1791)*N1791,(N1791+N(O1791))*N(K1791)))</f>
        <v/>
      </c>
      <c r="T1791" s="10">
        <f>IF(Q1791="","",Q1791-S1791)</f>
        <v/>
      </c>
    </row>
    <row r="1792">
      <c r="A1792" s="7">
        <f>CONCATENATE(C1792,E1792,F1792,I1792)</f>
        <v/>
      </c>
      <c r="B1792" s="7">
        <f>CONCATENATE(C1792,E1792,I1792)</f>
        <v/>
      </c>
      <c r="C1792" s="8" t="n">
        <v>900005356</v>
      </c>
      <c r="D1792" s="7">
        <f>IFERROR(VLOOKUP(C1792,TRAOPE!$G:$H,2,0),"")</f>
        <v/>
      </c>
      <c r="E1792" s="8" t="inlineStr">
        <is>
          <t>D836</t>
        </is>
      </c>
      <c r="F1792" s="8" t="inlineStr">
        <is>
          <t>66885144</t>
        </is>
      </c>
      <c r="G1792" s="8">
        <f>IFERROR(VLOOKUP(A1792,Flete!$A:$E,5,0),"")</f>
        <v/>
      </c>
      <c r="H1792" s="7">
        <f>IFERROR(VLOOKUP(F1792,TRAOPE!$AA:$AB,2,0),"")</f>
        <v/>
      </c>
      <c r="I1792" s="7" t="n">
        <v>10200676</v>
      </c>
      <c r="J1792" s="7">
        <f>IFERROR(VLOOKUP(I1792,Materiales!$A:$H,8,0),"")</f>
        <v/>
      </c>
      <c r="K1792" s="9">
        <f>IFERROR(VLOOKUP(I1792,Materiales!$A:$G,7,0),"")</f>
        <v/>
      </c>
      <c r="L1792" s="8" t="inlineStr">
        <is>
          <t>20190426</t>
        </is>
      </c>
      <c r="M1792" s="8" t="inlineStr">
        <is>
          <t>20250127</t>
        </is>
      </c>
      <c r="N1792" s="10" t="n">
        <v>150</v>
      </c>
      <c r="O1792" s="10">
        <f>IFERROR(VLOOKUP(A1792,Flete!$A:$J,10,0),"")</f>
        <v/>
      </c>
      <c r="P1792" s="8" t="inlineStr">
        <is>
          <t>M3</t>
        </is>
      </c>
      <c r="Q1792" s="10">
        <f>IFERROR(IFERROR(VLOOKUP(A1792,TRAOPE!$A:$U,21,0),VLOOKUP(B1792,TRAOPE!$A:$U,21,0)),"")</f>
        <v/>
      </c>
      <c r="R1792" s="8">
        <f>IFERROR(IFERROR(VLOOKUP(A1792,TRAOPE!$A:$W,23,0),VLOOKUP(B1792,TRAOPE!$A:$W,23,0)),"")</f>
        <v/>
      </c>
      <c r="S1792" s="10">
        <f>IF(AND(P1792="TN",R1792="TN"),N1792+N(O1792),IF(G1792&amp;""="1",N(K1792)*N1792,(N1792+N(O1792))*N(K1792)))</f>
        <v/>
      </c>
      <c r="T1792" s="10">
        <f>IF(Q1792="","",Q1792-S1792)</f>
        <v/>
      </c>
    </row>
    <row r="1793">
      <c r="A1793" s="7">
        <f>CONCATENATE(C1793,E1793,F1793,I1793)</f>
        <v/>
      </c>
      <c r="B1793" s="7">
        <f>CONCATENATE(C1793,E1793,I1793)</f>
        <v/>
      </c>
      <c r="C1793" s="8" t="n">
        <v>900005356</v>
      </c>
      <c r="D1793" s="7">
        <f>IFERROR(VLOOKUP(C1793,TRAOPE!$G:$H,2,0),"")</f>
        <v/>
      </c>
      <c r="E1793" s="8" t="inlineStr">
        <is>
          <t>D836</t>
        </is>
      </c>
      <c r="F1793" s="8" t="inlineStr">
        <is>
          <t>66977443</t>
        </is>
      </c>
      <c r="G1793" s="8">
        <f>IFERROR(VLOOKUP(A1793,Flete!$A:$E,5,0),"")</f>
        <v/>
      </c>
      <c r="H1793" s="7">
        <f>IFERROR(VLOOKUP(F1793,TRAOPE!$AA:$AB,2,0),"")</f>
        <v/>
      </c>
      <c r="I1793" s="7" t="n">
        <v>10000160</v>
      </c>
      <c r="J1793" s="7">
        <f>IFERROR(VLOOKUP(I1793,Materiales!$A:$H,8,0),"")</f>
        <v/>
      </c>
      <c r="K1793" s="9">
        <f>IFERROR(VLOOKUP(I1793,Materiales!$A:$G,7,0),"")</f>
        <v/>
      </c>
      <c r="L1793" s="8" t="inlineStr">
        <is>
          <t>20190426</t>
        </is>
      </c>
      <c r="M1793" s="8" t="inlineStr">
        <is>
          <t>20250127</t>
        </is>
      </c>
      <c r="N1793" s="10" t="n">
        <v>90</v>
      </c>
      <c r="O1793" s="10">
        <f>IFERROR(VLOOKUP(A1793,Flete!$A:$J,10,0),"")</f>
        <v/>
      </c>
      <c r="P1793" s="8" t="inlineStr">
        <is>
          <t>M3</t>
        </is>
      </c>
      <c r="Q1793" s="10">
        <f>IFERROR(IFERROR(VLOOKUP(A1793,TRAOPE!$A:$U,21,0),VLOOKUP(B1793,TRAOPE!$A:$U,21,0)),"")</f>
        <v/>
      </c>
      <c r="R1793" s="8">
        <f>IFERROR(IFERROR(VLOOKUP(A1793,TRAOPE!$A:$W,23,0),VLOOKUP(B1793,TRAOPE!$A:$W,23,0)),"")</f>
        <v/>
      </c>
      <c r="S1793" s="10">
        <f>IF(AND(P1793="TN",R1793="TN"),N1793+N(O1793),IF(G1793&amp;""="1",N(K1793)*N1793,(N1793+N(O1793))*N(K1793)))</f>
        <v/>
      </c>
      <c r="T1793" s="10">
        <f>IF(Q1793="","",Q1793-S1793)</f>
        <v/>
      </c>
    </row>
    <row r="1794">
      <c r="A1794" s="7">
        <f>CONCATENATE(C1794,E1794,F1794,I1794)</f>
        <v/>
      </c>
      <c r="B1794" s="7">
        <f>CONCATENATE(C1794,E1794,I1794)</f>
        <v/>
      </c>
      <c r="C1794" s="8" t="n">
        <v>900005356</v>
      </c>
      <c r="D1794" s="7">
        <f>IFERROR(VLOOKUP(C1794,TRAOPE!$G:$H,2,0),"")</f>
        <v/>
      </c>
      <c r="E1794" s="8" t="inlineStr">
        <is>
          <t>D836</t>
        </is>
      </c>
      <c r="F1794" s="8" t="inlineStr">
        <is>
          <t>66977443</t>
        </is>
      </c>
      <c r="G1794" s="8">
        <f>IFERROR(VLOOKUP(A1794,Flete!$A:$E,5,0),"")</f>
        <v/>
      </c>
      <c r="H1794" s="7">
        <f>IFERROR(VLOOKUP(F1794,TRAOPE!$AA:$AB,2,0),"")</f>
        <v/>
      </c>
      <c r="I1794" s="7" t="n">
        <v>10000357</v>
      </c>
      <c r="J1794" s="7">
        <f>IFERROR(VLOOKUP(I1794,Materiales!$A:$H,8,0),"")</f>
        <v/>
      </c>
      <c r="K1794" s="9">
        <f>IFERROR(VLOOKUP(I1794,Materiales!$A:$G,7,0),"")</f>
        <v/>
      </c>
      <c r="L1794" s="8" t="inlineStr">
        <is>
          <t>20190426</t>
        </is>
      </c>
      <c r="M1794" s="8" t="inlineStr">
        <is>
          <t>20250127</t>
        </is>
      </c>
      <c r="N1794" s="10" t="n">
        <v>105</v>
      </c>
      <c r="O1794" s="10">
        <f>IFERROR(VLOOKUP(A1794,Flete!$A:$J,10,0),"")</f>
        <v/>
      </c>
      <c r="P1794" s="8" t="inlineStr">
        <is>
          <t>M3</t>
        </is>
      </c>
      <c r="Q1794" s="10">
        <f>IFERROR(IFERROR(VLOOKUP(A1794,TRAOPE!$A:$U,21,0),VLOOKUP(B1794,TRAOPE!$A:$U,21,0)),"")</f>
        <v/>
      </c>
      <c r="R1794" s="8">
        <f>IFERROR(IFERROR(VLOOKUP(A1794,TRAOPE!$A:$W,23,0),VLOOKUP(B1794,TRAOPE!$A:$W,23,0)),"")</f>
        <v/>
      </c>
      <c r="S1794" s="10">
        <f>IF(AND(P1794="TN",R1794="TN"),N1794+N(O1794),IF(G1794&amp;""="1",N(K1794)*N1794,(N1794+N(O1794))*N(K1794)))</f>
        <v/>
      </c>
      <c r="T1794" s="10">
        <f>IF(Q1794="","",Q1794-S1794)</f>
        <v/>
      </c>
    </row>
    <row r="1795">
      <c r="A1795" s="7">
        <f>CONCATENATE(C1795,E1795,F1795,I1795)</f>
        <v/>
      </c>
      <c r="B1795" s="7">
        <f>CONCATENATE(C1795,E1795,I1795)</f>
        <v/>
      </c>
      <c r="C1795" s="8" t="n">
        <v>900005356</v>
      </c>
      <c r="D1795" s="7">
        <f>IFERROR(VLOOKUP(C1795,TRAOPE!$G:$H,2,0),"")</f>
        <v/>
      </c>
      <c r="E1795" s="8" t="inlineStr">
        <is>
          <t>D836</t>
        </is>
      </c>
      <c r="F1795" s="8" t="inlineStr">
        <is>
          <t>66977443</t>
        </is>
      </c>
      <c r="G1795" s="8">
        <f>IFERROR(VLOOKUP(A1795,Flete!$A:$E,5,0),"")</f>
        <v/>
      </c>
      <c r="H1795" s="7">
        <f>IFERROR(VLOOKUP(F1795,TRAOPE!$AA:$AB,2,0),"")</f>
        <v/>
      </c>
      <c r="I1795" s="7" t="n">
        <v>10000627</v>
      </c>
      <c r="J1795" s="7">
        <f>IFERROR(VLOOKUP(I1795,Materiales!$A:$H,8,0),"")</f>
        <v/>
      </c>
      <c r="K1795" s="9">
        <f>IFERROR(VLOOKUP(I1795,Materiales!$A:$G,7,0),"")</f>
        <v/>
      </c>
      <c r="L1795" s="8" t="inlineStr">
        <is>
          <t>20190426</t>
        </is>
      </c>
      <c r="M1795" s="8" t="inlineStr">
        <is>
          <t>20250127</t>
        </is>
      </c>
      <c r="N1795" s="10" t="n">
        <v>88</v>
      </c>
      <c r="O1795" s="10">
        <f>IFERROR(VLOOKUP(A1795,Flete!$A:$J,10,0),"")</f>
        <v/>
      </c>
      <c r="P1795" s="8" t="inlineStr">
        <is>
          <t>M3</t>
        </is>
      </c>
      <c r="Q1795" s="10">
        <f>IFERROR(IFERROR(VLOOKUP(A1795,TRAOPE!$A:$U,21,0),VLOOKUP(B1795,TRAOPE!$A:$U,21,0)),"")</f>
        <v/>
      </c>
      <c r="R1795" s="8">
        <f>IFERROR(IFERROR(VLOOKUP(A1795,TRAOPE!$A:$W,23,0),VLOOKUP(B1795,TRAOPE!$A:$W,23,0)),"")</f>
        <v/>
      </c>
      <c r="S1795" s="10">
        <f>IF(AND(P1795="TN",R1795="TN"),N1795+N(O1795),IF(G1795&amp;""="1",N(K1795)*N1795,(N1795+N(O1795))*N(K1795)))</f>
        <v/>
      </c>
      <c r="T1795" s="10">
        <f>IF(Q1795="","",Q1795-S1795)</f>
        <v/>
      </c>
    </row>
    <row r="1796">
      <c r="A1796" s="7">
        <f>CONCATENATE(C1796,E1796,F1796,I1796)</f>
        <v/>
      </c>
      <c r="B1796" s="7">
        <f>CONCATENATE(C1796,E1796,I1796)</f>
        <v/>
      </c>
      <c r="C1796" s="8" t="n">
        <v>900005356</v>
      </c>
      <c r="D1796" s="7">
        <f>IFERROR(VLOOKUP(C1796,TRAOPE!$G:$H,2,0),"")</f>
        <v/>
      </c>
      <c r="E1796" s="8" t="inlineStr">
        <is>
          <t>D836</t>
        </is>
      </c>
      <c r="F1796" s="8" t="inlineStr">
        <is>
          <t>67026364</t>
        </is>
      </c>
      <c r="G1796" s="8">
        <f>IFERROR(VLOOKUP(A1796,Flete!$A:$E,5,0),"")</f>
        <v/>
      </c>
      <c r="H1796" s="7">
        <f>IFERROR(VLOOKUP(F1796,TRAOPE!$AA:$AB,2,0),"")</f>
        <v/>
      </c>
      <c r="I1796" s="7" t="n">
        <v>10000357</v>
      </c>
      <c r="J1796" s="7">
        <f>IFERROR(VLOOKUP(I1796,Materiales!$A:$H,8,0),"")</f>
        <v/>
      </c>
      <c r="K1796" s="9">
        <f>IFERROR(VLOOKUP(I1796,Materiales!$A:$G,7,0),"")</f>
        <v/>
      </c>
      <c r="L1796" s="8" t="inlineStr">
        <is>
          <t>20190426</t>
        </is>
      </c>
      <c r="M1796" s="8" t="inlineStr">
        <is>
          <t>20250127</t>
        </is>
      </c>
      <c r="N1796" s="10" t="n">
        <v>125</v>
      </c>
      <c r="O1796" s="10">
        <f>IFERROR(VLOOKUP(A1796,Flete!$A:$J,10,0),"")</f>
        <v/>
      </c>
      <c r="P1796" s="8" t="inlineStr">
        <is>
          <t>M3</t>
        </is>
      </c>
      <c r="Q1796" s="10">
        <f>IFERROR(IFERROR(VLOOKUP(A1796,TRAOPE!$A:$U,21,0),VLOOKUP(B1796,TRAOPE!$A:$U,21,0)),"")</f>
        <v/>
      </c>
      <c r="R1796" s="8">
        <f>IFERROR(IFERROR(VLOOKUP(A1796,TRAOPE!$A:$W,23,0),VLOOKUP(B1796,TRAOPE!$A:$W,23,0)),"")</f>
        <v/>
      </c>
      <c r="S1796" s="10">
        <f>IF(AND(P1796="TN",R1796="TN"),N1796+N(O1796),IF(G1796&amp;""="1",N(K1796)*N1796,(N1796+N(O1796))*N(K1796)))</f>
        <v/>
      </c>
      <c r="T1796" s="10">
        <f>IF(Q1796="","",Q1796-S1796)</f>
        <v/>
      </c>
    </row>
    <row r="1797">
      <c r="A1797" s="7">
        <f>CONCATENATE(C1797,E1797,F1797,I1797)</f>
        <v/>
      </c>
      <c r="B1797" s="7">
        <f>CONCATENATE(C1797,E1797,I1797)</f>
        <v/>
      </c>
      <c r="C1797" s="8" t="n">
        <v>900005356</v>
      </c>
      <c r="D1797" s="7">
        <f>IFERROR(VLOOKUP(C1797,TRAOPE!$G:$H,2,0),"")</f>
        <v/>
      </c>
      <c r="E1797" s="8" t="inlineStr">
        <is>
          <t>D836</t>
        </is>
      </c>
      <c r="F1797" s="8" t="inlineStr">
        <is>
          <t>67077727</t>
        </is>
      </c>
      <c r="G1797" s="8">
        <f>IFERROR(VLOOKUP(A1797,Flete!$A:$E,5,0),"")</f>
        <v/>
      </c>
      <c r="H1797" s="7">
        <f>IFERROR(VLOOKUP(F1797,TRAOPE!$AA:$AB,2,0),"")</f>
        <v/>
      </c>
      <c r="I1797" s="7" t="n">
        <v>10000160</v>
      </c>
      <c r="J1797" s="7">
        <f>IFERROR(VLOOKUP(I1797,Materiales!$A:$H,8,0),"")</f>
        <v/>
      </c>
      <c r="K1797" s="9">
        <f>IFERROR(VLOOKUP(I1797,Materiales!$A:$G,7,0),"")</f>
        <v/>
      </c>
      <c r="L1797" s="8" t="inlineStr">
        <is>
          <t>20190426</t>
        </is>
      </c>
      <c r="M1797" s="8" t="inlineStr">
        <is>
          <t>20250127</t>
        </is>
      </c>
      <c r="N1797" s="10" t="n">
        <v>94</v>
      </c>
      <c r="O1797" s="10">
        <f>IFERROR(VLOOKUP(A1797,Flete!$A:$J,10,0),"")</f>
        <v/>
      </c>
      <c r="P1797" s="8" t="inlineStr">
        <is>
          <t>M3</t>
        </is>
      </c>
      <c r="Q1797" s="10">
        <f>IFERROR(IFERROR(VLOOKUP(A1797,TRAOPE!$A:$U,21,0),VLOOKUP(B1797,TRAOPE!$A:$U,21,0)),"")</f>
        <v/>
      </c>
      <c r="R1797" s="8">
        <f>IFERROR(IFERROR(VLOOKUP(A1797,TRAOPE!$A:$W,23,0),VLOOKUP(B1797,TRAOPE!$A:$W,23,0)),"")</f>
        <v/>
      </c>
      <c r="S1797" s="10">
        <f>IF(AND(P1797="TN",R1797="TN"),N1797+N(O1797),IF(G1797&amp;""="1",N(K1797)*N1797,(N1797+N(O1797))*N(K1797)))</f>
        <v/>
      </c>
      <c r="T1797" s="10">
        <f>IF(Q1797="","",Q1797-S1797)</f>
        <v/>
      </c>
    </row>
    <row r="1798">
      <c r="A1798" s="7">
        <f>CONCATENATE(C1798,E1798,F1798,I1798)</f>
        <v/>
      </c>
      <c r="B1798" s="7">
        <f>CONCATENATE(C1798,E1798,I1798)</f>
        <v/>
      </c>
      <c r="C1798" s="8" t="n">
        <v>900005356</v>
      </c>
      <c r="D1798" s="7">
        <f>IFERROR(VLOOKUP(C1798,TRAOPE!$G:$H,2,0),"")</f>
        <v/>
      </c>
      <c r="E1798" s="8" t="inlineStr">
        <is>
          <t>D836</t>
        </is>
      </c>
      <c r="F1798" s="8" t="inlineStr">
        <is>
          <t>67077727</t>
        </is>
      </c>
      <c r="G1798" s="8">
        <f>IFERROR(VLOOKUP(A1798,Flete!$A:$E,5,0),"")</f>
        <v/>
      </c>
      <c r="H1798" s="7">
        <f>IFERROR(VLOOKUP(F1798,TRAOPE!$AA:$AB,2,0),"")</f>
        <v/>
      </c>
      <c r="I1798" s="7" t="n">
        <v>10000357</v>
      </c>
      <c r="J1798" s="7">
        <f>IFERROR(VLOOKUP(I1798,Materiales!$A:$H,8,0),"")</f>
        <v/>
      </c>
      <c r="K1798" s="9">
        <f>IFERROR(VLOOKUP(I1798,Materiales!$A:$G,7,0),"")</f>
        <v/>
      </c>
      <c r="L1798" s="8" t="inlineStr">
        <is>
          <t>20190426</t>
        </is>
      </c>
      <c r="M1798" s="8" t="inlineStr">
        <is>
          <t>20250127</t>
        </is>
      </c>
      <c r="N1798" s="10" t="n">
        <v>110</v>
      </c>
      <c r="O1798" s="10">
        <f>IFERROR(VLOOKUP(A1798,Flete!$A:$J,10,0),"")</f>
        <v/>
      </c>
      <c r="P1798" s="8" t="inlineStr">
        <is>
          <t>M3</t>
        </is>
      </c>
      <c r="Q1798" s="10">
        <f>IFERROR(IFERROR(VLOOKUP(A1798,TRAOPE!$A:$U,21,0),VLOOKUP(B1798,TRAOPE!$A:$U,21,0)),"")</f>
        <v/>
      </c>
      <c r="R1798" s="8">
        <f>IFERROR(IFERROR(VLOOKUP(A1798,TRAOPE!$A:$W,23,0),VLOOKUP(B1798,TRAOPE!$A:$W,23,0)),"")</f>
        <v/>
      </c>
      <c r="S1798" s="10">
        <f>IF(AND(P1798="TN",R1798="TN"),N1798+N(O1798),IF(G1798&amp;""="1",N(K1798)*N1798,(N1798+N(O1798))*N(K1798)))</f>
        <v/>
      </c>
      <c r="T1798" s="10">
        <f>IF(Q1798="","",Q1798-S1798)</f>
        <v/>
      </c>
    </row>
    <row r="1799">
      <c r="A1799" s="7">
        <f>CONCATENATE(C1799,E1799,F1799,I1799)</f>
        <v/>
      </c>
      <c r="B1799" s="7">
        <f>CONCATENATE(C1799,E1799,I1799)</f>
        <v/>
      </c>
      <c r="C1799" s="8" t="n">
        <v>900005356</v>
      </c>
      <c r="D1799" s="7">
        <f>IFERROR(VLOOKUP(C1799,TRAOPE!$G:$H,2,0),"")</f>
        <v/>
      </c>
      <c r="E1799" s="8" t="inlineStr">
        <is>
          <t>D836</t>
        </is>
      </c>
      <c r="F1799" s="8" t="inlineStr">
        <is>
          <t>67077727</t>
        </is>
      </c>
      <c r="G1799" s="8">
        <f>IFERROR(VLOOKUP(A1799,Flete!$A:$E,5,0),"")</f>
        <v/>
      </c>
      <c r="H1799" s="7">
        <f>IFERROR(VLOOKUP(F1799,TRAOPE!$AA:$AB,2,0),"")</f>
        <v/>
      </c>
      <c r="I1799" s="7" t="n">
        <v>10000627</v>
      </c>
      <c r="J1799" s="7">
        <f>IFERROR(VLOOKUP(I1799,Materiales!$A:$H,8,0),"")</f>
        <v/>
      </c>
      <c r="K1799" s="9">
        <f>IFERROR(VLOOKUP(I1799,Materiales!$A:$G,7,0),"")</f>
        <v/>
      </c>
      <c r="L1799" s="8" t="inlineStr">
        <is>
          <t>20190426</t>
        </is>
      </c>
      <c r="M1799" s="8" t="inlineStr">
        <is>
          <t>20250127</t>
        </is>
      </c>
      <c r="N1799" s="10" t="n">
        <v>85</v>
      </c>
      <c r="O1799" s="10">
        <f>IFERROR(VLOOKUP(A1799,Flete!$A:$J,10,0),"")</f>
        <v/>
      </c>
      <c r="P1799" s="8" t="inlineStr">
        <is>
          <t>M3</t>
        </is>
      </c>
      <c r="Q1799" s="10">
        <f>IFERROR(IFERROR(VLOOKUP(A1799,TRAOPE!$A:$U,21,0),VLOOKUP(B1799,TRAOPE!$A:$U,21,0)),"")</f>
        <v/>
      </c>
      <c r="R1799" s="8">
        <f>IFERROR(IFERROR(VLOOKUP(A1799,TRAOPE!$A:$W,23,0),VLOOKUP(B1799,TRAOPE!$A:$W,23,0)),"")</f>
        <v/>
      </c>
      <c r="S1799" s="10">
        <f>IF(AND(P1799="TN",R1799="TN"),N1799+N(O1799),IF(G1799&amp;""="1",N(K1799)*N1799,(N1799+N(O1799))*N(K1799)))</f>
        <v/>
      </c>
      <c r="T1799" s="10">
        <f>IF(Q1799="","",Q1799-S1799)</f>
        <v/>
      </c>
    </row>
    <row r="1800">
      <c r="A1800" s="7">
        <f>CONCATENATE(C1800,E1800,F1800,I1800)</f>
        <v/>
      </c>
      <c r="B1800" s="7">
        <f>CONCATENATE(C1800,E1800,I1800)</f>
        <v/>
      </c>
      <c r="C1800" s="8" t="n">
        <v>900005356</v>
      </c>
      <c r="D1800" s="7">
        <f>IFERROR(VLOOKUP(C1800,TRAOPE!$G:$H,2,0),"")</f>
        <v/>
      </c>
      <c r="E1800" s="8" t="inlineStr">
        <is>
          <t>D836</t>
        </is>
      </c>
      <c r="F1800" s="8" t="inlineStr">
        <is>
          <t>67079665</t>
        </is>
      </c>
      <c r="G1800" s="8">
        <f>IFERROR(VLOOKUP(A1800,Flete!$A:$E,5,0),"")</f>
        <v/>
      </c>
      <c r="H1800" s="7">
        <f>IFERROR(VLOOKUP(F1800,TRAOPE!$AA:$AB,2,0),"")</f>
        <v/>
      </c>
      <c r="I1800" s="7" t="n">
        <v>10000160</v>
      </c>
      <c r="J1800" s="7">
        <f>IFERROR(VLOOKUP(I1800,Materiales!$A:$H,8,0),"")</f>
        <v/>
      </c>
      <c r="K1800" s="9">
        <f>IFERROR(VLOOKUP(I1800,Materiales!$A:$G,7,0),"")</f>
        <v/>
      </c>
      <c r="L1800" s="8" t="inlineStr">
        <is>
          <t>20190426</t>
        </is>
      </c>
      <c r="M1800" s="8" t="inlineStr">
        <is>
          <t>20250127</t>
        </is>
      </c>
      <c r="N1800" s="10" t="n">
        <v>104.5</v>
      </c>
      <c r="O1800" s="10">
        <f>IFERROR(VLOOKUP(A1800,Flete!$A:$J,10,0),"")</f>
        <v/>
      </c>
      <c r="P1800" s="8" t="inlineStr">
        <is>
          <t>M3</t>
        </is>
      </c>
      <c r="Q1800" s="10">
        <f>IFERROR(IFERROR(VLOOKUP(A1800,TRAOPE!$A:$U,21,0),VLOOKUP(B1800,TRAOPE!$A:$U,21,0)),"")</f>
        <v/>
      </c>
      <c r="R1800" s="8">
        <f>IFERROR(IFERROR(VLOOKUP(A1800,TRAOPE!$A:$W,23,0),VLOOKUP(B1800,TRAOPE!$A:$W,23,0)),"")</f>
        <v/>
      </c>
      <c r="S1800" s="10">
        <f>IF(AND(P1800="TN",R1800="TN"),N1800+N(O1800),IF(G1800&amp;""="1",N(K1800)*N1800,(N1800+N(O1800))*N(K1800)))</f>
        <v/>
      </c>
      <c r="T1800" s="10">
        <f>IF(Q1800="","",Q1800-S1800)</f>
        <v/>
      </c>
    </row>
    <row r="1801">
      <c r="A1801" s="7">
        <f>CONCATENATE(C1801,E1801,F1801,I1801)</f>
        <v/>
      </c>
      <c r="B1801" s="7">
        <f>CONCATENATE(C1801,E1801,I1801)</f>
        <v/>
      </c>
      <c r="C1801" s="8" t="n">
        <v>900005356</v>
      </c>
      <c r="D1801" s="7">
        <f>IFERROR(VLOOKUP(C1801,TRAOPE!$G:$H,2,0),"")</f>
        <v/>
      </c>
      <c r="E1801" s="8" t="inlineStr">
        <is>
          <t>D836</t>
        </is>
      </c>
      <c r="F1801" s="8" t="inlineStr">
        <is>
          <t>67079665</t>
        </is>
      </c>
      <c r="G1801" s="8">
        <f>IFERROR(VLOOKUP(A1801,Flete!$A:$E,5,0),"")</f>
        <v/>
      </c>
      <c r="H1801" s="7">
        <f>IFERROR(VLOOKUP(F1801,TRAOPE!$AA:$AB,2,0),"")</f>
        <v/>
      </c>
      <c r="I1801" s="7" t="n">
        <v>10000357</v>
      </c>
      <c r="J1801" s="7">
        <f>IFERROR(VLOOKUP(I1801,Materiales!$A:$H,8,0),"")</f>
        <v/>
      </c>
      <c r="K1801" s="9">
        <f>IFERROR(VLOOKUP(I1801,Materiales!$A:$G,7,0),"")</f>
        <v/>
      </c>
      <c r="L1801" s="8" t="inlineStr">
        <is>
          <t>20190426</t>
        </is>
      </c>
      <c r="M1801" s="8" t="inlineStr">
        <is>
          <t>20250127</t>
        </is>
      </c>
      <c r="N1801" s="10" t="n">
        <v>121</v>
      </c>
      <c r="O1801" s="10">
        <f>IFERROR(VLOOKUP(A1801,Flete!$A:$J,10,0),"")</f>
        <v/>
      </c>
      <c r="P1801" s="8" t="inlineStr">
        <is>
          <t>M3</t>
        </is>
      </c>
      <c r="Q1801" s="10">
        <f>IFERROR(IFERROR(VLOOKUP(A1801,TRAOPE!$A:$U,21,0),VLOOKUP(B1801,TRAOPE!$A:$U,21,0)),"")</f>
        <v/>
      </c>
      <c r="R1801" s="8">
        <f>IFERROR(IFERROR(VLOOKUP(A1801,TRAOPE!$A:$W,23,0),VLOOKUP(B1801,TRAOPE!$A:$W,23,0)),"")</f>
        <v/>
      </c>
      <c r="S1801" s="10">
        <f>IF(AND(P1801="TN",R1801="TN"),N1801+N(O1801),IF(G1801&amp;""="1",N(K1801)*N1801,(N1801+N(O1801))*N(K1801)))</f>
        <v/>
      </c>
      <c r="T1801" s="10">
        <f>IF(Q1801="","",Q1801-S1801)</f>
        <v/>
      </c>
    </row>
    <row r="1802">
      <c r="A1802" s="7">
        <f>CONCATENATE(C1802,E1802,F1802,I1802)</f>
        <v/>
      </c>
      <c r="B1802" s="7">
        <f>CONCATENATE(C1802,E1802,I1802)</f>
        <v/>
      </c>
      <c r="C1802" s="8" t="n">
        <v>900005357</v>
      </c>
      <c r="D1802" s="7">
        <f>IFERROR(VLOOKUP(C1802,TRAOPE!$G:$H,2,0),"")</f>
        <v/>
      </c>
      <c r="E1802" s="8" t="inlineStr">
        <is>
          <t>D836</t>
        </is>
      </c>
      <c r="F1802" s="8" t="inlineStr">
        <is>
          <t>65014664</t>
        </is>
      </c>
      <c r="G1802" s="8">
        <f>IFERROR(VLOOKUP(A1802,Flete!$A:$E,5,0),"")</f>
        <v/>
      </c>
      <c r="H1802" s="7">
        <f>IFERROR(VLOOKUP(F1802,TRAOPE!$AA:$AB,2,0),"")</f>
        <v/>
      </c>
      <c r="I1802" s="7" t="n">
        <v>10000160</v>
      </c>
      <c r="J1802" s="7">
        <f>IFERROR(VLOOKUP(I1802,Materiales!$A:$H,8,0),"")</f>
        <v/>
      </c>
      <c r="K1802" s="9">
        <f>IFERROR(VLOOKUP(I1802,Materiales!$A:$G,7,0),"")</f>
        <v/>
      </c>
      <c r="L1802" s="8" t="inlineStr">
        <is>
          <t>20190426</t>
        </is>
      </c>
      <c r="M1802" s="8" t="inlineStr">
        <is>
          <t>20250127</t>
        </is>
      </c>
      <c r="N1802" s="10" t="n">
        <v>88.55</v>
      </c>
      <c r="O1802" s="10">
        <f>IFERROR(VLOOKUP(A1802,Flete!$A:$J,10,0),"")</f>
        <v/>
      </c>
      <c r="P1802" s="8" t="inlineStr">
        <is>
          <t>M3</t>
        </is>
      </c>
      <c r="Q1802" s="10">
        <f>IFERROR(IFERROR(VLOOKUP(A1802,TRAOPE!$A:$U,21,0),VLOOKUP(B1802,TRAOPE!$A:$U,21,0)),"")</f>
        <v/>
      </c>
      <c r="R1802" s="8">
        <f>IFERROR(IFERROR(VLOOKUP(A1802,TRAOPE!$A:$W,23,0),VLOOKUP(B1802,TRAOPE!$A:$W,23,0)),"")</f>
        <v/>
      </c>
      <c r="S1802" s="10">
        <f>IF(AND(P1802="TN",R1802="TN"),N1802+N(O1802),IF(G1802&amp;""="1",N(K1802)*N1802,(N1802+N(O1802))*N(K1802)))</f>
        <v/>
      </c>
      <c r="T1802" s="10">
        <f>IF(Q1802="","",Q1802-S1802)</f>
        <v/>
      </c>
    </row>
    <row r="1803">
      <c r="A1803" s="7">
        <f>CONCATENATE(C1803,E1803,F1803,I1803)</f>
        <v/>
      </c>
      <c r="B1803" s="7">
        <f>CONCATENATE(C1803,E1803,I1803)</f>
        <v/>
      </c>
      <c r="C1803" s="8" t="n">
        <v>900005401</v>
      </c>
      <c r="D1803" s="7">
        <f>IFERROR(VLOOKUP(C1803,TRAOPE!$G:$H,2,0),"")</f>
        <v/>
      </c>
      <c r="E1803" s="8" t="inlineStr">
        <is>
          <t>D836</t>
        </is>
      </c>
      <c r="F1803" s="8" t="inlineStr">
        <is>
          <t>65003945</t>
        </is>
      </c>
      <c r="G1803" s="8">
        <f>IFERROR(VLOOKUP(A1803,Flete!$A:$E,5,0),"")</f>
        <v/>
      </c>
      <c r="H1803" s="7">
        <f>IFERROR(VLOOKUP(F1803,TRAOPE!$AA:$AB,2,0),"")</f>
        <v/>
      </c>
      <c r="I1803" s="7" t="n">
        <v>10037590</v>
      </c>
      <c r="J1803" s="7">
        <f>IFERROR(VLOOKUP(I1803,Materiales!$A:$H,8,0),"")</f>
        <v/>
      </c>
      <c r="K1803" s="9">
        <f>IFERROR(VLOOKUP(I1803,Materiales!$A:$G,7,0),"")</f>
        <v/>
      </c>
      <c r="L1803" s="8" t="inlineStr">
        <is>
          <t>20190426</t>
        </is>
      </c>
      <c r="M1803" s="8" t="inlineStr">
        <is>
          <t>20250127</t>
        </is>
      </c>
      <c r="N1803" s="10" t="n">
        <v>79.5</v>
      </c>
      <c r="O1803" s="10">
        <f>IFERROR(VLOOKUP(A1803,Flete!$A:$J,10,0),"")</f>
        <v/>
      </c>
      <c r="P1803" s="8" t="inlineStr">
        <is>
          <t>M3</t>
        </is>
      </c>
      <c r="Q1803" s="10">
        <f>IFERROR(IFERROR(VLOOKUP(A1803,TRAOPE!$A:$U,21,0),VLOOKUP(B1803,TRAOPE!$A:$U,21,0)),"")</f>
        <v/>
      </c>
      <c r="R1803" s="8">
        <f>IFERROR(IFERROR(VLOOKUP(A1803,TRAOPE!$A:$W,23,0),VLOOKUP(B1803,TRAOPE!$A:$W,23,0)),"")</f>
        <v/>
      </c>
      <c r="S1803" s="10">
        <f>IF(AND(P1803="TN",R1803="TN"),N1803+N(O1803),IF(G1803&amp;""="1",N(K1803)*N1803,(N1803+N(O1803))*N(K1803)))</f>
        <v/>
      </c>
      <c r="T1803" s="10">
        <f>IF(Q1803="","",Q1803-S1803)</f>
        <v/>
      </c>
    </row>
    <row r="1804">
      <c r="A1804" s="7">
        <f>CONCATENATE(C1804,E1804,F1804,I1804)</f>
        <v/>
      </c>
      <c r="B1804" s="7">
        <f>CONCATENATE(C1804,E1804,I1804)</f>
        <v/>
      </c>
      <c r="C1804" s="8" t="n">
        <v>900005401</v>
      </c>
      <c r="D1804" s="7">
        <f>IFERROR(VLOOKUP(C1804,TRAOPE!$G:$H,2,0),"")</f>
        <v/>
      </c>
      <c r="E1804" s="8" t="inlineStr">
        <is>
          <t>D836</t>
        </is>
      </c>
      <c r="F1804" s="8" t="inlineStr">
        <is>
          <t>65251399</t>
        </is>
      </c>
      <c r="G1804" s="8">
        <f>IFERROR(VLOOKUP(A1804,Flete!$A:$E,5,0),"")</f>
        <v/>
      </c>
      <c r="H1804" s="7">
        <f>IFERROR(VLOOKUP(F1804,TRAOPE!$AA:$AB,2,0),"")</f>
        <v/>
      </c>
      <c r="I1804" s="7" t="n">
        <v>10059181</v>
      </c>
      <c r="J1804" s="7">
        <f>IFERROR(VLOOKUP(I1804,Materiales!$A:$H,8,0),"")</f>
        <v/>
      </c>
      <c r="K1804" s="9">
        <f>IFERROR(VLOOKUP(I1804,Materiales!$A:$G,7,0),"")</f>
        <v/>
      </c>
      <c r="L1804" s="8" t="inlineStr">
        <is>
          <t>20190426</t>
        </is>
      </c>
      <c r="M1804" s="8" t="inlineStr">
        <is>
          <t>20250127</t>
        </is>
      </c>
      <c r="N1804" s="10" t="n">
        <v>80.65000000000001</v>
      </c>
      <c r="O1804" s="10">
        <f>IFERROR(VLOOKUP(A1804,Flete!$A:$J,10,0),"")</f>
        <v/>
      </c>
      <c r="P1804" s="8" t="inlineStr">
        <is>
          <t>M3</t>
        </is>
      </c>
      <c r="Q1804" s="10">
        <f>IFERROR(IFERROR(VLOOKUP(A1804,TRAOPE!$A:$U,21,0),VLOOKUP(B1804,TRAOPE!$A:$U,21,0)),"")</f>
        <v/>
      </c>
      <c r="R1804" s="8">
        <f>IFERROR(IFERROR(VLOOKUP(A1804,TRAOPE!$A:$W,23,0),VLOOKUP(B1804,TRAOPE!$A:$W,23,0)),"")</f>
        <v/>
      </c>
      <c r="S1804" s="10">
        <f>IF(AND(P1804="TN",R1804="TN"),N1804+N(O1804),IF(G1804&amp;""="1",N(K1804)*N1804,(N1804+N(O1804))*N(K1804)))</f>
        <v/>
      </c>
      <c r="T1804" s="10">
        <f>IF(Q1804="","",Q1804-S1804)</f>
        <v/>
      </c>
    </row>
    <row r="1805">
      <c r="A1805" s="7">
        <f>CONCATENATE(C1805,E1805,F1805,I1805)</f>
        <v/>
      </c>
      <c r="B1805" s="7">
        <f>CONCATENATE(C1805,E1805,I1805)</f>
        <v/>
      </c>
      <c r="C1805" s="8" t="n">
        <v>900005401</v>
      </c>
      <c r="D1805" s="7">
        <f>IFERROR(VLOOKUP(C1805,TRAOPE!$G:$H,2,0),"")</f>
        <v/>
      </c>
      <c r="E1805" s="8" t="inlineStr">
        <is>
          <t>D836</t>
        </is>
      </c>
      <c r="F1805" s="8" t="inlineStr">
        <is>
          <t>65445261</t>
        </is>
      </c>
      <c r="G1805" s="8">
        <f>IFERROR(VLOOKUP(A1805,Flete!$A:$E,5,0),"")</f>
        <v/>
      </c>
      <c r="H1805" s="7">
        <f>IFERROR(VLOOKUP(F1805,TRAOPE!$AA:$AB,2,0),"")</f>
        <v/>
      </c>
      <c r="I1805" s="7" t="n">
        <v>10000253</v>
      </c>
      <c r="J1805" s="7">
        <f>IFERROR(VLOOKUP(I1805,Materiales!$A:$H,8,0),"")</f>
        <v/>
      </c>
      <c r="K1805" s="9">
        <f>IFERROR(VLOOKUP(I1805,Materiales!$A:$G,7,0),"")</f>
        <v/>
      </c>
      <c r="L1805" s="8" t="inlineStr">
        <is>
          <t>20190426</t>
        </is>
      </c>
      <c r="M1805" s="8" t="inlineStr">
        <is>
          <t>20250127</t>
        </is>
      </c>
      <c r="N1805" s="10" t="n">
        <v>78.5</v>
      </c>
      <c r="O1805" s="10">
        <f>IFERROR(VLOOKUP(A1805,Flete!$A:$J,10,0),"")</f>
        <v/>
      </c>
      <c r="P1805" s="8" t="inlineStr">
        <is>
          <t>M3</t>
        </is>
      </c>
      <c r="Q1805" s="10">
        <f>IFERROR(IFERROR(VLOOKUP(A1805,TRAOPE!$A:$U,21,0),VLOOKUP(B1805,TRAOPE!$A:$U,21,0)),"")</f>
        <v/>
      </c>
      <c r="R1805" s="8">
        <f>IFERROR(IFERROR(VLOOKUP(A1805,TRAOPE!$A:$W,23,0),VLOOKUP(B1805,TRAOPE!$A:$W,23,0)),"")</f>
        <v/>
      </c>
      <c r="S1805" s="10">
        <f>IF(AND(P1805="TN",R1805="TN"),N1805+N(O1805),IF(G1805&amp;""="1",N(K1805)*N1805,(N1805+N(O1805))*N(K1805)))</f>
        <v/>
      </c>
      <c r="T1805" s="10">
        <f>IF(Q1805="","",Q1805-S1805)</f>
        <v/>
      </c>
    </row>
    <row r="1806">
      <c r="A1806" s="7">
        <f>CONCATENATE(C1806,E1806,F1806,I1806)</f>
        <v/>
      </c>
      <c r="B1806" s="7">
        <f>CONCATENATE(C1806,E1806,I1806)</f>
        <v/>
      </c>
      <c r="C1806" s="8" t="n">
        <v>900005401</v>
      </c>
      <c r="D1806" s="7">
        <f>IFERROR(VLOOKUP(C1806,TRAOPE!$G:$H,2,0),"")</f>
        <v/>
      </c>
      <c r="E1806" s="8" t="inlineStr">
        <is>
          <t>D836</t>
        </is>
      </c>
      <c r="F1806" s="8" t="inlineStr">
        <is>
          <t>65445261</t>
        </is>
      </c>
      <c r="G1806" s="8">
        <f>IFERROR(VLOOKUP(A1806,Flete!$A:$E,5,0),"")</f>
        <v/>
      </c>
      <c r="H1806" s="7">
        <f>IFERROR(VLOOKUP(F1806,TRAOPE!$AA:$AB,2,0),"")</f>
        <v/>
      </c>
      <c r="I1806" s="7" t="n">
        <v>10000627</v>
      </c>
      <c r="J1806" s="7">
        <f>IFERROR(VLOOKUP(I1806,Materiales!$A:$H,8,0),"")</f>
        <v/>
      </c>
      <c r="K1806" s="9">
        <f>IFERROR(VLOOKUP(I1806,Materiales!$A:$G,7,0),"")</f>
        <v/>
      </c>
      <c r="L1806" s="8" t="inlineStr">
        <is>
          <t>20190426</t>
        </is>
      </c>
      <c r="M1806" s="8" t="inlineStr">
        <is>
          <t>20250127</t>
        </is>
      </c>
      <c r="N1806" s="10" t="n">
        <v>84.09</v>
      </c>
      <c r="O1806" s="10">
        <f>IFERROR(VLOOKUP(A1806,Flete!$A:$J,10,0),"")</f>
        <v/>
      </c>
      <c r="P1806" s="8" t="inlineStr">
        <is>
          <t>M3</t>
        </is>
      </c>
      <c r="Q1806" s="10">
        <f>IFERROR(IFERROR(VLOOKUP(A1806,TRAOPE!$A:$U,21,0),VLOOKUP(B1806,TRAOPE!$A:$U,21,0)),"")</f>
        <v/>
      </c>
      <c r="R1806" s="8">
        <f>IFERROR(IFERROR(VLOOKUP(A1806,TRAOPE!$A:$W,23,0),VLOOKUP(B1806,TRAOPE!$A:$W,23,0)),"")</f>
        <v/>
      </c>
      <c r="S1806" s="10">
        <f>IF(AND(P1806="TN",R1806="TN"),N1806+N(O1806),IF(G1806&amp;""="1",N(K1806)*N1806,(N1806+N(O1806))*N(K1806)))</f>
        <v/>
      </c>
      <c r="T1806" s="10">
        <f>IF(Q1806="","",Q1806-S1806)</f>
        <v/>
      </c>
    </row>
    <row r="1807">
      <c r="A1807" s="7">
        <f>CONCATENATE(C1807,E1807,F1807,I1807)</f>
        <v/>
      </c>
      <c r="B1807" s="7">
        <f>CONCATENATE(C1807,E1807,I1807)</f>
        <v/>
      </c>
      <c r="C1807" s="8" t="n">
        <v>900005401</v>
      </c>
      <c r="D1807" s="7">
        <f>IFERROR(VLOOKUP(C1807,TRAOPE!$G:$H,2,0),"")</f>
        <v/>
      </c>
      <c r="E1807" s="8" t="inlineStr">
        <is>
          <t>D836</t>
        </is>
      </c>
      <c r="F1807" s="8" t="inlineStr">
        <is>
          <t>65445261</t>
        </is>
      </c>
      <c r="G1807" s="8">
        <f>IFERROR(VLOOKUP(A1807,Flete!$A:$E,5,0),"")</f>
        <v/>
      </c>
      <c r="H1807" s="7">
        <f>IFERROR(VLOOKUP(F1807,TRAOPE!$AA:$AB,2,0),"")</f>
        <v/>
      </c>
      <c r="I1807" s="7" t="n">
        <v>10000651</v>
      </c>
      <c r="J1807" s="7">
        <f>IFERROR(VLOOKUP(I1807,Materiales!$A:$H,8,0),"")</f>
        <v/>
      </c>
      <c r="K1807" s="9">
        <f>IFERROR(VLOOKUP(I1807,Materiales!$A:$G,7,0),"")</f>
        <v/>
      </c>
      <c r="L1807" s="8" t="inlineStr">
        <is>
          <t>20190426</t>
        </is>
      </c>
      <c r="M1807" s="8" t="inlineStr">
        <is>
          <t>20250127</t>
        </is>
      </c>
      <c r="N1807" s="10" t="n">
        <v>105</v>
      </c>
      <c r="O1807" s="10">
        <f>IFERROR(VLOOKUP(A1807,Flete!$A:$J,10,0),"")</f>
        <v/>
      </c>
      <c r="P1807" s="8" t="inlineStr">
        <is>
          <t>M3</t>
        </is>
      </c>
      <c r="Q1807" s="10">
        <f>IFERROR(IFERROR(VLOOKUP(A1807,TRAOPE!$A:$U,21,0),VLOOKUP(B1807,TRAOPE!$A:$U,21,0)),"")</f>
        <v/>
      </c>
      <c r="R1807" s="8">
        <f>IFERROR(IFERROR(VLOOKUP(A1807,TRAOPE!$A:$W,23,0),VLOOKUP(B1807,TRAOPE!$A:$W,23,0)),"")</f>
        <v/>
      </c>
      <c r="S1807" s="10">
        <f>IF(AND(P1807="TN",R1807="TN"),N1807+N(O1807),IF(G1807&amp;""="1",N(K1807)*N1807,(N1807+N(O1807))*N(K1807)))</f>
        <v/>
      </c>
      <c r="T1807" s="10">
        <f>IF(Q1807="","",Q1807-S1807)</f>
        <v/>
      </c>
    </row>
    <row r="1808">
      <c r="A1808" s="7">
        <f>CONCATENATE(C1808,E1808,F1808,I1808)</f>
        <v/>
      </c>
      <c r="B1808" s="7">
        <f>CONCATENATE(C1808,E1808,I1808)</f>
        <v/>
      </c>
      <c r="C1808" s="8" t="n">
        <v>900005401</v>
      </c>
      <c r="D1808" s="7">
        <f>IFERROR(VLOOKUP(C1808,TRAOPE!$G:$H,2,0),"")</f>
        <v/>
      </c>
      <c r="E1808" s="8" t="inlineStr">
        <is>
          <t>D836</t>
        </is>
      </c>
      <c r="F1808" s="8" t="inlineStr">
        <is>
          <t>65445261</t>
        </is>
      </c>
      <c r="G1808" s="8">
        <f>IFERROR(VLOOKUP(A1808,Flete!$A:$E,5,0),"")</f>
        <v/>
      </c>
      <c r="H1808" s="7">
        <f>IFERROR(VLOOKUP(F1808,TRAOPE!$AA:$AB,2,0),"")</f>
        <v/>
      </c>
      <c r="I1808" s="7" t="n">
        <v>10059181</v>
      </c>
      <c r="J1808" s="7">
        <f>IFERROR(VLOOKUP(I1808,Materiales!$A:$H,8,0),"")</f>
        <v/>
      </c>
      <c r="K1808" s="9">
        <f>IFERROR(VLOOKUP(I1808,Materiales!$A:$G,7,0),"")</f>
        <v/>
      </c>
      <c r="L1808" s="8" t="inlineStr">
        <is>
          <t>20190426</t>
        </is>
      </c>
      <c r="M1808" s="8" t="inlineStr">
        <is>
          <t>20250127</t>
        </is>
      </c>
      <c r="N1808" s="10" t="n">
        <v>80.59</v>
      </c>
      <c r="O1808" s="10">
        <f>IFERROR(VLOOKUP(A1808,Flete!$A:$J,10,0),"")</f>
        <v/>
      </c>
      <c r="P1808" s="8" t="inlineStr">
        <is>
          <t>M3</t>
        </is>
      </c>
      <c r="Q1808" s="10">
        <f>IFERROR(IFERROR(VLOOKUP(A1808,TRAOPE!$A:$U,21,0),VLOOKUP(B1808,TRAOPE!$A:$U,21,0)),"")</f>
        <v/>
      </c>
      <c r="R1808" s="8">
        <f>IFERROR(IFERROR(VLOOKUP(A1808,TRAOPE!$A:$W,23,0),VLOOKUP(B1808,TRAOPE!$A:$W,23,0)),"")</f>
        <v/>
      </c>
      <c r="S1808" s="10">
        <f>IF(AND(P1808="TN",R1808="TN"),N1808+N(O1808),IF(G1808&amp;""="1",N(K1808)*N1808,(N1808+N(O1808))*N(K1808)))</f>
        <v/>
      </c>
      <c r="T1808" s="10">
        <f>IF(Q1808="","",Q1808-S1808)</f>
        <v/>
      </c>
    </row>
    <row r="1809">
      <c r="A1809" s="7">
        <f>CONCATENATE(C1809,E1809,F1809,I1809)</f>
        <v/>
      </c>
      <c r="B1809" s="7">
        <f>CONCATENATE(C1809,E1809,I1809)</f>
        <v/>
      </c>
      <c r="C1809" s="8" t="n">
        <v>900005401</v>
      </c>
      <c r="D1809" s="7">
        <f>IFERROR(VLOOKUP(C1809,TRAOPE!$G:$H,2,0),"")</f>
        <v/>
      </c>
      <c r="E1809" s="8" t="inlineStr">
        <is>
          <t>D836</t>
        </is>
      </c>
      <c r="F1809" s="8" t="inlineStr">
        <is>
          <t>66212637</t>
        </is>
      </c>
      <c r="G1809" s="8">
        <f>IFERROR(VLOOKUP(A1809,Flete!$A:$E,5,0),"")</f>
        <v/>
      </c>
      <c r="H1809" s="7">
        <f>IFERROR(VLOOKUP(F1809,TRAOPE!$AA:$AB,2,0),"")</f>
        <v/>
      </c>
      <c r="I1809" s="7" t="n">
        <v>10000651</v>
      </c>
      <c r="J1809" s="7">
        <f>IFERROR(VLOOKUP(I1809,Materiales!$A:$H,8,0),"")</f>
        <v/>
      </c>
      <c r="K1809" s="9">
        <f>IFERROR(VLOOKUP(I1809,Materiales!$A:$G,7,0),"")</f>
        <v/>
      </c>
      <c r="L1809" s="8" t="inlineStr">
        <is>
          <t>20190426</t>
        </is>
      </c>
      <c r="M1809" s="8" t="inlineStr">
        <is>
          <t>20250127</t>
        </is>
      </c>
      <c r="N1809" s="10" t="n">
        <v>115</v>
      </c>
      <c r="O1809" s="10">
        <f>IFERROR(VLOOKUP(A1809,Flete!$A:$J,10,0),"")</f>
        <v/>
      </c>
      <c r="P1809" s="8" t="inlineStr">
        <is>
          <t>M3</t>
        </is>
      </c>
      <c r="Q1809" s="10">
        <f>IFERROR(IFERROR(VLOOKUP(A1809,TRAOPE!$A:$U,21,0),VLOOKUP(B1809,TRAOPE!$A:$U,21,0)),"")</f>
        <v/>
      </c>
      <c r="R1809" s="8">
        <f>IFERROR(IFERROR(VLOOKUP(A1809,TRAOPE!$A:$W,23,0),VLOOKUP(B1809,TRAOPE!$A:$W,23,0)),"")</f>
        <v/>
      </c>
      <c r="S1809" s="10">
        <f>IF(AND(P1809="TN",R1809="TN"),N1809+N(O1809),IF(G1809&amp;""="1",N(K1809)*N1809,(N1809+N(O1809))*N(K1809)))</f>
        <v/>
      </c>
      <c r="T1809" s="10">
        <f>IF(Q1809="","",Q1809-S1809)</f>
        <v/>
      </c>
    </row>
    <row r="1810">
      <c r="A1810" s="7">
        <f>CONCATENATE(C1810,E1810,F1810,I1810)</f>
        <v/>
      </c>
      <c r="B1810" s="7">
        <f>CONCATENATE(C1810,E1810,I1810)</f>
        <v/>
      </c>
      <c r="C1810" s="8" t="n">
        <v>900005401</v>
      </c>
      <c r="D1810" s="7">
        <f>IFERROR(VLOOKUP(C1810,TRAOPE!$G:$H,2,0),"")</f>
        <v/>
      </c>
      <c r="E1810" s="8" t="inlineStr">
        <is>
          <t>D836</t>
        </is>
      </c>
      <c r="F1810" s="8" t="inlineStr">
        <is>
          <t>66239621</t>
        </is>
      </c>
      <c r="G1810" s="8">
        <f>IFERROR(VLOOKUP(A1810,Flete!$A:$E,5,0),"")</f>
        <v/>
      </c>
      <c r="H1810" s="7">
        <f>IFERROR(VLOOKUP(F1810,TRAOPE!$AA:$AB,2,0),"")</f>
        <v/>
      </c>
      <c r="I1810" s="7" t="n">
        <v>10000651</v>
      </c>
      <c r="J1810" s="7">
        <f>IFERROR(VLOOKUP(I1810,Materiales!$A:$H,8,0),"")</f>
        <v/>
      </c>
      <c r="K1810" s="9">
        <f>IFERROR(VLOOKUP(I1810,Materiales!$A:$G,7,0),"")</f>
        <v/>
      </c>
      <c r="L1810" s="8" t="inlineStr">
        <is>
          <t>20190426</t>
        </is>
      </c>
      <c r="M1810" s="8" t="inlineStr">
        <is>
          <t>20250127</t>
        </is>
      </c>
      <c r="N1810" s="10" t="n">
        <v>100</v>
      </c>
      <c r="O1810" s="10">
        <f>IFERROR(VLOOKUP(A1810,Flete!$A:$J,10,0),"")</f>
        <v/>
      </c>
      <c r="P1810" s="8" t="inlineStr">
        <is>
          <t>M3</t>
        </is>
      </c>
      <c r="Q1810" s="10">
        <f>IFERROR(IFERROR(VLOOKUP(A1810,TRAOPE!$A:$U,21,0),VLOOKUP(B1810,TRAOPE!$A:$U,21,0)),"")</f>
        <v/>
      </c>
      <c r="R1810" s="8">
        <f>IFERROR(IFERROR(VLOOKUP(A1810,TRAOPE!$A:$W,23,0),VLOOKUP(B1810,TRAOPE!$A:$W,23,0)),"")</f>
        <v/>
      </c>
      <c r="S1810" s="10">
        <f>IF(AND(P1810="TN",R1810="TN"),N1810+N(O1810),IF(G1810&amp;""="1",N(K1810)*N1810,(N1810+N(O1810))*N(K1810)))</f>
        <v/>
      </c>
      <c r="T1810" s="10">
        <f>IF(Q1810="","",Q1810-S1810)</f>
        <v/>
      </c>
    </row>
    <row r="1811">
      <c r="A1811" s="7">
        <f>CONCATENATE(C1811,E1811,F1811,I1811)</f>
        <v/>
      </c>
      <c r="B1811" s="7">
        <f>CONCATENATE(C1811,E1811,I1811)</f>
        <v/>
      </c>
      <c r="C1811" s="8" t="n">
        <v>900005401</v>
      </c>
      <c r="D1811" s="7">
        <f>IFERROR(VLOOKUP(C1811,TRAOPE!$G:$H,2,0),"")</f>
        <v/>
      </c>
      <c r="E1811" s="8" t="inlineStr">
        <is>
          <t>D836</t>
        </is>
      </c>
      <c r="F1811" s="8" t="inlineStr">
        <is>
          <t>66458593</t>
        </is>
      </c>
      <c r="G1811" s="8">
        <f>IFERROR(VLOOKUP(A1811,Flete!$A:$E,5,0),"")</f>
        <v/>
      </c>
      <c r="H1811" s="7">
        <f>IFERROR(VLOOKUP(F1811,TRAOPE!$AA:$AB,2,0),"")</f>
        <v/>
      </c>
      <c r="I1811" s="7" t="n">
        <v>10059181</v>
      </c>
      <c r="J1811" s="7">
        <f>IFERROR(VLOOKUP(I1811,Materiales!$A:$H,8,0),"")</f>
        <v/>
      </c>
      <c r="K1811" s="9">
        <f>IFERROR(VLOOKUP(I1811,Materiales!$A:$G,7,0),"")</f>
        <v/>
      </c>
      <c r="L1811" s="8" t="inlineStr">
        <is>
          <t>20190426</t>
        </is>
      </c>
      <c r="M1811" s="8" t="inlineStr">
        <is>
          <t>20250127</t>
        </is>
      </c>
      <c r="N1811" s="10" t="n">
        <v>92</v>
      </c>
      <c r="O1811" s="10">
        <f>IFERROR(VLOOKUP(A1811,Flete!$A:$J,10,0),"")</f>
        <v/>
      </c>
      <c r="P1811" s="8" t="inlineStr">
        <is>
          <t>M3</t>
        </is>
      </c>
      <c r="Q1811" s="10">
        <f>IFERROR(IFERROR(VLOOKUP(A1811,TRAOPE!$A:$U,21,0),VLOOKUP(B1811,TRAOPE!$A:$U,21,0)),"")</f>
        <v/>
      </c>
      <c r="R1811" s="8">
        <f>IFERROR(IFERROR(VLOOKUP(A1811,TRAOPE!$A:$W,23,0),VLOOKUP(B1811,TRAOPE!$A:$W,23,0)),"")</f>
        <v/>
      </c>
      <c r="S1811" s="10">
        <f>IF(AND(P1811="TN",R1811="TN"),N1811+N(O1811),IF(G1811&amp;""="1",N(K1811)*N1811,(N1811+N(O1811))*N(K1811)))</f>
        <v/>
      </c>
      <c r="T1811" s="10">
        <f>IF(Q1811="","",Q1811-S1811)</f>
        <v/>
      </c>
    </row>
    <row r="1812">
      <c r="A1812" s="7">
        <f>CONCATENATE(C1812,E1812,F1812,I1812)</f>
        <v/>
      </c>
      <c r="B1812" s="7">
        <f>CONCATENATE(C1812,E1812,I1812)</f>
        <v/>
      </c>
      <c r="C1812" s="8" t="n">
        <v>900005401</v>
      </c>
      <c r="D1812" s="7">
        <f>IFERROR(VLOOKUP(C1812,TRAOPE!$G:$H,2,0),"")</f>
        <v/>
      </c>
      <c r="E1812" s="8" t="inlineStr">
        <is>
          <t>D836</t>
        </is>
      </c>
      <c r="F1812" s="8" t="inlineStr">
        <is>
          <t>66490957</t>
        </is>
      </c>
      <c r="G1812" s="8">
        <f>IFERROR(VLOOKUP(A1812,Flete!$A:$E,5,0),"")</f>
        <v/>
      </c>
      <c r="H1812" s="7">
        <f>IFERROR(VLOOKUP(F1812,TRAOPE!$AA:$AB,2,0),"")</f>
        <v/>
      </c>
      <c r="I1812" s="7" t="n">
        <v>10000253</v>
      </c>
      <c r="J1812" s="7">
        <f>IFERROR(VLOOKUP(I1812,Materiales!$A:$H,8,0),"")</f>
        <v/>
      </c>
      <c r="K1812" s="9">
        <f>IFERROR(VLOOKUP(I1812,Materiales!$A:$G,7,0),"")</f>
        <v/>
      </c>
      <c r="L1812" s="8" t="inlineStr">
        <is>
          <t>20190426</t>
        </is>
      </c>
      <c r="M1812" s="8" t="inlineStr">
        <is>
          <t>20250127</t>
        </is>
      </c>
      <c r="N1812" s="10" t="n">
        <v>79</v>
      </c>
      <c r="O1812" s="10">
        <f>IFERROR(VLOOKUP(A1812,Flete!$A:$J,10,0),"")</f>
        <v/>
      </c>
      <c r="P1812" s="8" t="inlineStr">
        <is>
          <t>M3</t>
        </is>
      </c>
      <c r="Q1812" s="10">
        <f>IFERROR(IFERROR(VLOOKUP(A1812,TRAOPE!$A:$U,21,0),VLOOKUP(B1812,TRAOPE!$A:$U,21,0)),"")</f>
        <v/>
      </c>
      <c r="R1812" s="8">
        <f>IFERROR(IFERROR(VLOOKUP(A1812,TRAOPE!$A:$W,23,0),VLOOKUP(B1812,TRAOPE!$A:$W,23,0)),"")</f>
        <v/>
      </c>
      <c r="S1812" s="10">
        <f>IF(AND(P1812="TN",R1812="TN"),N1812+N(O1812),IF(G1812&amp;""="1",N(K1812)*N1812,(N1812+N(O1812))*N(K1812)))</f>
        <v/>
      </c>
      <c r="T1812" s="10">
        <f>IF(Q1812="","",Q1812-S1812)</f>
        <v/>
      </c>
    </row>
    <row r="1813">
      <c r="A1813" s="7">
        <f>CONCATENATE(C1813,E1813,F1813,I1813)</f>
        <v/>
      </c>
      <c r="B1813" s="7">
        <f>CONCATENATE(C1813,E1813,I1813)</f>
        <v/>
      </c>
      <c r="C1813" s="8" t="n">
        <v>900005401</v>
      </c>
      <c r="D1813" s="7">
        <f>IFERROR(VLOOKUP(C1813,TRAOPE!$G:$H,2,0),"")</f>
        <v/>
      </c>
      <c r="E1813" s="8" t="inlineStr">
        <is>
          <t>D836</t>
        </is>
      </c>
      <c r="F1813" s="8" t="inlineStr">
        <is>
          <t>66490957</t>
        </is>
      </c>
      <c r="G1813" s="8">
        <f>IFERROR(VLOOKUP(A1813,Flete!$A:$E,5,0),"")</f>
        <v/>
      </c>
      <c r="H1813" s="7">
        <f>IFERROR(VLOOKUP(F1813,TRAOPE!$AA:$AB,2,0),"")</f>
        <v/>
      </c>
      <c r="I1813" s="7" t="n">
        <v>10000627</v>
      </c>
      <c r="J1813" s="7">
        <f>IFERROR(VLOOKUP(I1813,Materiales!$A:$H,8,0),"")</f>
        <v/>
      </c>
      <c r="K1813" s="9">
        <f>IFERROR(VLOOKUP(I1813,Materiales!$A:$G,7,0),"")</f>
        <v/>
      </c>
      <c r="L1813" s="8" t="inlineStr">
        <is>
          <t>20190426</t>
        </is>
      </c>
      <c r="M1813" s="8" t="inlineStr">
        <is>
          <t>20250127</t>
        </is>
      </c>
      <c r="N1813" s="10" t="n">
        <v>84.09</v>
      </c>
      <c r="O1813" s="10">
        <f>IFERROR(VLOOKUP(A1813,Flete!$A:$J,10,0),"")</f>
        <v/>
      </c>
      <c r="P1813" s="8" t="inlineStr">
        <is>
          <t>M3</t>
        </is>
      </c>
      <c r="Q1813" s="10">
        <f>IFERROR(IFERROR(VLOOKUP(A1813,TRAOPE!$A:$U,21,0),VLOOKUP(B1813,TRAOPE!$A:$U,21,0)),"")</f>
        <v/>
      </c>
      <c r="R1813" s="8">
        <f>IFERROR(IFERROR(VLOOKUP(A1813,TRAOPE!$A:$W,23,0),VLOOKUP(B1813,TRAOPE!$A:$W,23,0)),"")</f>
        <v/>
      </c>
      <c r="S1813" s="10">
        <f>IF(AND(P1813="TN",R1813="TN"),N1813+N(O1813),IF(G1813&amp;""="1",N(K1813)*N1813,(N1813+N(O1813))*N(K1813)))</f>
        <v/>
      </c>
      <c r="T1813" s="10">
        <f>IF(Q1813="","",Q1813-S1813)</f>
        <v/>
      </c>
    </row>
    <row r="1814">
      <c r="A1814" s="7">
        <f>CONCATENATE(C1814,E1814,F1814,I1814)</f>
        <v/>
      </c>
      <c r="B1814" s="7">
        <f>CONCATENATE(C1814,E1814,I1814)</f>
        <v/>
      </c>
      <c r="C1814" s="8" t="n">
        <v>900005401</v>
      </c>
      <c r="D1814" s="7">
        <f>IFERROR(VLOOKUP(C1814,TRAOPE!$G:$H,2,0),"")</f>
        <v/>
      </c>
      <c r="E1814" s="8" t="inlineStr">
        <is>
          <t>D836</t>
        </is>
      </c>
      <c r="F1814" s="8" t="inlineStr">
        <is>
          <t>66490957</t>
        </is>
      </c>
      <c r="G1814" s="8">
        <f>IFERROR(VLOOKUP(A1814,Flete!$A:$E,5,0),"")</f>
        <v/>
      </c>
      <c r="H1814" s="7">
        <f>IFERROR(VLOOKUP(F1814,TRAOPE!$AA:$AB,2,0),"")</f>
        <v/>
      </c>
      <c r="I1814" s="7" t="n">
        <v>10000651</v>
      </c>
      <c r="J1814" s="7">
        <f>IFERROR(VLOOKUP(I1814,Materiales!$A:$H,8,0),"")</f>
        <v/>
      </c>
      <c r="K1814" s="9">
        <f>IFERROR(VLOOKUP(I1814,Materiales!$A:$G,7,0),"")</f>
        <v/>
      </c>
      <c r="L1814" s="8" t="inlineStr">
        <is>
          <t>20190426</t>
        </is>
      </c>
      <c r="M1814" s="8" t="inlineStr">
        <is>
          <t>20250127</t>
        </is>
      </c>
      <c r="N1814" s="10" t="n">
        <v>102</v>
      </c>
      <c r="O1814" s="10">
        <f>IFERROR(VLOOKUP(A1814,Flete!$A:$J,10,0),"")</f>
        <v/>
      </c>
      <c r="P1814" s="8" t="inlineStr">
        <is>
          <t>M3</t>
        </is>
      </c>
      <c r="Q1814" s="10">
        <f>IFERROR(IFERROR(VLOOKUP(A1814,TRAOPE!$A:$U,21,0),VLOOKUP(B1814,TRAOPE!$A:$U,21,0)),"")</f>
        <v/>
      </c>
      <c r="R1814" s="8">
        <f>IFERROR(IFERROR(VLOOKUP(A1814,TRAOPE!$A:$W,23,0),VLOOKUP(B1814,TRAOPE!$A:$W,23,0)),"")</f>
        <v/>
      </c>
      <c r="S1814" s="10">
        <f>IF(AND(P1814="TN",R1814="TN"),N1814+N(O1814),IF(G1814&amp;""="1",N(K1814)*N1814,(N1814+N(O1814))*N(K1814)))</f>
        <v/>
      </c>
      <c r="T1814" s="10">
        <f>IF(Q1814="","",Q1814-S1814)</f>
        <v/>
      </c>
    </row>
    <row r="1815">
      <c r="A1815" s="7">
        <f>CONCATENATE(C1815,E1815,F1815,I1815)</f>
        <v/>
      </c>
      <c r="B1815" s="7">
        <f>CONCATENATE(C1815,E1815,I1815)</f>
        <v/>
      </c>
      <c r="C1815" s="8" t="n">
        <v>900005401</v>
      </c>
      <c r="D1815" s="7">
        <f>IFERROR(VLOOKUP(C1815,TRAOPE!$G:$H,2,0),"")</f>
        <v/>
      </c>
      <c r="E1815" s="8" t="inlineStr">
        <is>
          <t>D836</t>
        </is>
      </c>
      <c r="F1815" s="8" t="inlineStr">
        <is>
          <t>66490957</t>
        </is>
      </c>
      <c r="G1815" s="8">
        <f>IFERROR(VLOOKUP(A1815,Flete!$A:$E,5,0),"")</f>
        <v/>
      </c>
      <c r="H1815" s="7">
        <f>IFERROR(VLOOKUP(F1815,TRAOPE!$AA:$AB,2,0),"")</f>
        <v/>
      </c>
      <c r="I1815" s="7" t="n">
        <v>10059181</v>
      </c>
      <c r="J1815" s="7">
        <f>IFERROR(VLOOKUP(I1815,Materiales!$A:$H,8,0),"")</f>
        <v/>
      </c>
      <c r="K1815" s="9">
        <f>IFERROR(VLOOKUP(I1815,Materiales!$A:$G,7,0),"")</f>
        <v/>
      </c>
      <c r="L1815" s="8" t="inlineStr">
        <is>
          <t>20190426</t>
        </is>
      </c>
      <c r="M1815" s="8" t="inlineStr">
        <is>
          <t>20250127</t>
        </is>
      </c>
      <c r="N1815" s="10" t="n">
        <v>95</v>
      </c>
      <c r="O1815" s="10">
        <f>IFERROR(VLOOKUP(A1815,Flete!$A:$J,10,0),"")</f>
        <v/>
      </c>
      <c r="P1815" s="8" t="inlineStr">
        <is>
          <t>M3</t>
        </is>
      </c>
      <c r="Q1815" s="10">
        <f>IFERROR(IFERROR(VLOOKUP(A1815,TRAOPE!$A:$U,21,0),VLOOKUP(B1815,TRAOPE!$A:$U,21,0)),"")</f>
        <v/>
      </c>
      <c r="R1815" s="8">
        <f>IFERROR(IFERROR(VLOOKUP(A1815,TRAOPE!$A:$W,23,0),VLOOKUP(B1815,TRAOPE!$A:$W,23,0)),"")</f>
        <v/>
      </c>
      <c r="S1815" s="10">
        <f>IF(AND(P1815="TN",R1815="TN"),N1815+N(O1815),IF(G1815&amp;""="1",N(K1815)*N1815,(N1815+N(O1815))*N(K1815)))</f>
        <v/>
      </c>
      <c r="T1815" s="10">
        <f>IF(Q1815="","",Q1815-S1815)</f>
        <v/>
      </c>
    </row>
    <row r="1816">
      <c r="A1816" s="7">
        <f>CONCATENATE(C1816,E1816,F1816,I1816)</f>
        <v/>
      </c>
      <c r="B1816" s="7">
        <f>CONCATENATE(C1816,E1816,I1816)</f>
        <v/>
      </c>
      <c r="C1816" s="8" t="n">
        <v>900005401</v>
      </c>
      <c r="D1816" s="7">
        <f>IFERROR(VLOOKUP(C1816,TRAOPE!$G:$H,2,0),"")</f>
        <v/>
      </c>
      <c r="E1816" s="8" t="inlineStr">
        <is>
          <t>D836</t>
        </is>
      </c>
      <c r="F1816" s="8" t="inlineStr">
        <is>
          <t>66490957</t>
        </is>
      </c>
      <c r="G1816" s="8">
        <f>IFERROR(VLOOKUP(A1816,Flete!$A:$E,5,0),"")</f>
        <v/>
      </c>
      <c r="H1816" s="7">
        <f>IFERROR(VLOOKUP(F1816,TRAOPE!$AA:$AB,2,0),"")</f>
        <v/>
      </c>
      <c r="I1816" s="7" t="n">
        <v>10182154</v>
      </c>
      <c r="J1816" s="7">
        <f>IFERROR(VLOOKUP(I1816,Materiales!$A:$H,8,0),"")</f>
        <v/>
      </c>
      <c r="K1816" s="9">
        <f>IFERROR(VLOOKUP(I1816,Materiales!$A:$G,7,0),"")</f>
        <v/>
      </c>
      <c r="L1816" s="8" t="inlineStr">
        <is>
          <t>20190426</t>
        </is>
      </c>
      <c r="M1816" s="8" t="inlineStr">
        <is>
          <t>20250127</t>
        </is>
      </c>
      <c r="N1816" s="10" t="n">
        <v>102</v>
      </c>
      <c r="O1816" s="10">
        <f>IFERROR(VLOOKUP(A1816,Flete!$A:$J,10,0),"")</f>
        <v/>
      </c>
      <c r="P1816" s="8" t="inlineStr">
        <is>
          <t>M3</t>
        </is>
      </c>
      <c r="Q1816" s="10">
        <f>IFERROR(IFERROR(VLOOKUP(A1816,TRAOPE!$A:$U,21,0),VLOOKUP(B1816,TRAOPE!$A:$U,21,0)),"")</f>
        <v/>
      </c>
      <c r="R1816" s="8">
        <f>IFERROR(IFERROR(VLOOKUP(A1816,TRAOPE!$A:$W,23,0),VLOOKUP(B1816,TRAOPE!$A:$W,23,0)),"")</f>
        <v/>
      </c>
      <c r="S1816" s="10">
        <f>IF(AND(P1816="TN",R1816="TN"),N1816+N(O1816),IF(G1816&amp;""="1",N(K1816)*N1816,(N1816+N(O1816))*N(K1816)))</f>
        <v/>
      </c>
      <c r="T1816" s="10">
        <f>IF(Q1816="","",Q1816-S1816)</f>
        <v/>
      </c>
    </row>
    <row r="1817">
      <c r="A1817" s="7">
        <f>CONCATENATE(C1817,E1817,F1817,I1817)</f>
        <v/>
      </c>
      <c r="B1817" s="7">
        <f>CONCATENATE(C1817,E1817,I1817)</f>
        <v/>
      </c>
      <c r="C1817" s="8" t="n">
        <v>900005401</v>
      </c>
      <c r="D1817" s="7">
        <f>IFERROR(VLOOKUP(C1817,TRAOPE!$G:$H,2,0),"")</f>
        <v/>
      </c>
      <c r="E1817" s="8" t="inlineStr">
        <is>
          <t>D836</t>
        </is>
      </c>
      <c r="F1817" s="8" t="inlineStr">
        <is>
          <t>66624554</t>
        </is>
      </c>
      <c r="G1817" s="8">
        <f>IFERROR(VLOOKUP(A1817,Flete!$A:$E,5,0),"")</f>
        <v/>
      </c>
      <c r="H1817" s="7">
        <f>IFERROR(VLOOKUP(F1817,TRAOPE!$AA:$AB,2,0),"")</f>
        <v/>
      </c>
      <c r="I1817" s="7" t="n">
        <v>10000253</v>
      </c>
      <c r="J1817" s="7">
        <f>IFERROR(VLOOKUP(I1817,Materiales!$A:$H,8,0),"")</f>
        <v/>
      </c>
      <c r="K1817" s="9">
        <f>IFERROR(VLOOKUP(I1817,Materiales!$A:$G,7,0),"")</f>
        <v/>
      </c>
      <c r="L1817" s="8" t="inlineStr">
        <is>
          <t>20190426</t>
        </is>
      </c>
      <c r="M1817" s="8" t="inlineStr">
        <is>
          <t>20250127</t>
        </is>
      </c>
      <c r="N1817" s="10" t="n">
        <v>90.09999999999999</v>
      </c>
      <c r="O1817" s="10">
        <f>IFERROR(VLOOKUP(A1817,Flete!$A:$J,10,0),"")</f>
        <v/>
      </c>
      <c r="P1817" s="8" t="inlineStr">
        <is>
          <t>M3</t>
        </is>
      </c>
      <c r="Q1817" s="10">
        <f>IFERROR(IFERROR(VLOOKUP(A1817,TRAOPE!$A:$U,21,0),VLOOKUP(B1817,TRAOPE!$A:$U,21,0)),"")</f>
        <v/>
      </c>
      <c r="R1817" s="8">
        <f>IFERROR(IFERROR(VLOOKUP(A1817,TRAOPE!$A:$W,23,0),VLOOKUP(B1817,TRAOPE!$A:$W,23,0)),"")</f>
        <v/>
      </c>
      <c r="S1817" s="10">
        <f>IF(AND(P1817="TN",R1817="TN"),N1817+N(O1817),IF(G1817&amp;""="1",N(K1817)*N1817,(N1817+N(O1817))*N(K1817)))</f>
        <v/>
      </c>
      <c r="T1817" s="10">
        <f>IF(Q1817="","",Q1817-S1817)</f>
        <v/>
      </c>
    </row>
    <row r="1818">
      <c r="A1818" s="7">
        <f>CONCATENATE(C1818,E1818,F1818,I1818)</f>
        <v/>
      </c>
      <c r="B1818" s="7">
        <f>CONCATENATE(C1818,E1818,I1818)</f>
        <v/>
      </c>
      <c r="C1818" s="8" t="n">
        <v>900005401</v>
      </c>
      <c r="D1818" s="7">
        <f>IFERROR(VLOOKUP(C1818,TRAOPE!$G:$H,2,0),"")</f>
        <v/>
      </c>
      <c r="E1818" s="8" t="inlineStr">
        <is>
          <t>D836</t>
        </is>
      </c>
      <c r="F1818" s="8" t="inlineStr">
        <is>
          <t>66624554</t>
        </is>
      </c>
      <c r="G1818" s="8">
        <f>IFERROR(VLOOKUP(A1818,Flete!$A:$E,5,0),"")</f>
        <v/>
      </c>
      <c r="H1818" s="7">
        <f>IFERROR(VLOOKUP(F1818,TRAOPE!$AA:$AB,2,0),"")</f>
        <v/>
      </c>
      <c r="I1818" s="7" t="n">
        <v>10000627</v>
      </c>
      <c r="J1818" s="7">
        <f>IFERROR(VLOOKUP(I1818,Materiales!$A:$H,8,0),"")</f>
        <v/>
      </c>
      <c r="K1818" s="9">
        <f>IFERROR(VLOOKUP(I1818,Materiales!$A:$G,7,0),"")</f>
        <v/>
      </c>
      <c r="L1818" s="8" t="inlineStr">
        <is>
          <t>20190426</t>
        </is>
      </c>
      <c r="M1818" s="8" t="inlineStr">
        <is>
          <t>20250127</t>
        </is>
      </c>
      <c r="N1818" s="10" t="n">
        <v>79.5</v>
      </c>
      <c r="O1818" s="10">
        <f>IFERROR(VLOOKUP(A1818,Flete!$A:$J,10,0),"")</f>
        <v/>
      </c>
      <c r="P1818" s="8" t="inlineStr">
        <is>
          <t>M3</t>
        </is>
      </c>
      <c r="Q1818" s="10">
        <f>IFERROR(IFERROR(VLOOKUP(A1818,TRAOPE!$A:$U,21,0),VLOOKUP(B1818,TRAOPE!$A:$U,21,0)),"")</f>
        <v/>
      </c>
      <c r="R1818" s="8">
        <f>IFERROR(IFERROR(VLOOKUP(A1818,TRAOPE!$A:$W,23,0),VLOOKUP(B1818,TRAOPE!$A:$W,23,0)),"")</f>
        <v/>
      </c>
      <c r="S1818" s="10">
        <f>IF(AND(P1818="TN",R1818="TN"),N1818+N(O1818),IF(G1818&amp;""="1",N(K1818)*N1818,(N1818+N(O1818))*N(K1818)))</f>
        <v/>
      </c>
      <c r="T1818" s="10">
        <f>IF(Q1818="","",Q1818-S1818)</f>
        <v/>
      </c>
    </row>
    <row r="1819">
      <c r="A1819" s="7">
        <f>CONCATENATE(C1819,E1819,F1819,I1819)</f>
        <v/>
      </c>
      <c r="B1819" s="7">
        <f>CONCATENATE(C1819,E1819,I1819)</f>
        <v/>
      </c>
      <c r="C1819" s="8" t="n">
        <v>900005401</v>
      </c>
      <c r="D1819" s="7">
        <f>IFERROR(VLOOKUP(C1819,TRAOPE!$G:$H,2,0),"")</f>
        <v/>
      </c>
      <c r="E1819" s="8" t="inlineStr">
        <is>
          <t>D836</t>
        </is>
      </c>
      <c r="F1819" s="8" t="inlineStr">
        <is>
          <t>66624554</t>
        </is>
      </c>
      <c r="G1819" s="8">
        <f>IFERROR(VLOOKUP(A1819,Flete!$A:$E,5,0),"")</f>
        <v/>
      </c>
      <c r="H1819" s="7">
        <f>IFERROR(VLOOKUP(F1819,TRAOPE!$AA:$AB,2,0),"")</f>
        <v/>
      </c>
      <c r="I1819" s="7" t="n">
        <v>10059181</v>
      </c>
      <c r="J1819" s="7">
        <f>IFERROR(VLOOKUP(I1819,Materiales!$A:$H,8,0),"")</f>
        <v/>
      </c>
      <c r="K1819" s="9">
        <f>IFERROR(VLOOKUP(I1819,Materiales!$A:$G,7,0),"")</f>
        <v/>
      </c>
      <c r="L1819" s="8" t="inlineStr">
        <is>
          <t>20190426</t>
        </is>
      </c>
      <c r="M1819" s="8" t="inlineStr">
        <is>
          <t>20250127</t>
        </is>
      </c>
      <c r="N1819" s="10" t="n">
        <v>79.5</v>
      </c>
      <c r="O1819" s="10">
        <f>IFERROR(VLOOKUP(A1819,Flete!$A:$J,10,0),"")</f>
        <v/>
      </c>
      <c r="P1819" s="8" t="inlineStr">
        <is>
          <t>M3</t>
        </is>
      </c>
      <c r="Q1819" s="10">
        <f>IFERROR(IFERROR(VLOOKUP(A1819,TRAOPE!$A:$U,21,0),VLOOKUP(B1819,TRAOPE!$A:$U,21,0)),"")</f>
        <v/>
      </c>
      <c r="R1819" s="8">
        <f>IFERROR(IFERROR(VLOOKUP(A1819,TRAOPE!$A:$W,23,0),VLOOKUP(B1819,TRAOPE!$A:$W,23,0)),"")</f>
        <v/>
      </c>
      <c r="S1819" s="10">
        <f>IF(AND(P1819="TN",R1819="TN"),N1819+N(O1819),IF(G1819&amp;""="1",N(K1819)*N1819,(N1819+N(O1819))*N(K1819)))</f>
        <v/>
      </c>
      <c r="T1819" s="10">
        <f>IF(Q1819="","",Q1819-S1819)</f>
        <v/>
      </c>
    </row>
    <row r="1820">
      <c r="A1820" s="7">
        <f>CONCATENATE(C1820,E1820,F1820,I1820)</f>
        <v/>
      </c>
      <c r="B1820" s="7">
        <f>CONCATENATE(C1820,E1820,I1820)</f>
        <v/>
      </c>
      <c r="C1820" s="8" t="n">
        <v>900005401</v>
      </c>
      <c r="D1820" s="7">
        <f>IFERROR(VLOOKUP(C1820,TRAOPE!$G:$H,2,0),"")</f>
        <v/>
      </c>
      <c r="E1820" s="8" t="inlineStr">
        <is>
          <t>D836</t>
        </is>
      </c>
      <c r="F1820" s="8" t="inlineStr">
        <is>
          <t>66779276</t>
        </is>
      </c>
      <c r="G1820" s="8">
        <f>IFERROR(VLOOKUP(A1820,Flete!$A:$E,5,0),"")</f>
        <v/>
      </c>
      <c r="H1820" s="7">
        <f>IFERROR(VLOOKUP(F1820,TRAOPE!$AA:$AB,2,0),"")</f>
        <v/>
      </c>
      <c r="I1820" s="7" t="n">
        <v>10000253</v>
      </c>
      <c r="J1820" s="7">
        <f>IFERROR(VLOOKUP(I1820,Materiales!$A:$H,8,0),"")</f>
        <v/>
      </c>
      <c r="K1820" s="9">
        <f>IFERROR(VLOOKUP(I1820,Materiales!$A:$G,7,0),"")</f>
        <v/>
      </c>
      <c r="L1820" s="8" t="inlineStr">
        <is>
          <t>20190426</t>
        </is>
      </c>
      <c r="M1820" s="8" t="inlineStr">
        <is>
          <t>20250127</t>
        </is>
      </c>
      <c r="N1820" s="10" t="n">
        <v>93.5</v>
      </c>
      <c r="O1820" s="10">
        <f>IFERROR(VLOOKUP(A1820,Flete!$A:$J,10,0),"")</f>
        <v/>
      </c>
      <c r="P1820" s="8" t="inlineStr">
        <is>
          <t>M3</t>
        </is>
      </c>
      <c r="Q1820" s="10">
        <f>IFERROR(IFERROR(VLOOKUP(A1820,TRAOPE!$A:$U,21,0),VLOOKUP(B1820,TRAOPE!$A:$U,21,0)),"")</f>
        <v/>
      </c>
      <c r="R1820" s="8">
        <f>IFERROR(IFERROR(VLOOKUP(A1820,TRAOPE!$A:$W,23,0),VLOOKUP(B1820,TRAOPE!$A:$W,23,0)),"")</f>
        <v/>
      </c>
      <c r="S1820" s="10">
        <f>IF(AND(P1820="TN",R1820="TN"),N1820+N(O1820),IF(G1820&amp;""="1",N(K1820)*N1820,(N1820+N(O1820))*N(K1820)))</f>
        <v/>
      </c>
      <c r="T1820" s="10">
        <f>IF(Q1820="","",Q1820-S1820)</f>
        <v/>
      </c>
    </row>
    <row r="1821">
      <c r="A1821" s="7">
        <f>CONCATENATE(C1821,E1821,F1821,I1821)</f>
        <v/>
      </c>
      <c r="B1821" s="7">
        <f>CONCATENATE(C1821,E1821,I1821)</f>
        <v/>
      </c>
      <c r="C1821" s="8" t="n">
        <v>900005401</v>
      </c>
      <c r="D1821" s="7">
        <f>IFERROR(VLOOKUP(C1821,TRAOPE!$G:$H,2,0),"")</f>
        <v/>
      </c>
      <c r="E1821" s="8" t="inlineStr">
        <is>
          <t>D836</t>
        </is>
      </c>
      <c r="F1821" s="8" t="inlineStr">
        <is>
          <t>66779276</t>
        </is>
      </c>
      <c r="G1821" s="8">
        <f>IFERROR(VLOOKUP(A1821,Flete!$A:$E,5,0),"")</f>
        <v/>
      </c>
      <c r="H1821" s="7">
        <f>IFERROR(VLOOKUP(F1821,TRAOPE!$AA:$AB,2,0),"")</f>
        <v/>
      </c>
      <c r="I1821" s="7" t="n">
        <v>10000651</v>
      </c>
      <c r="J1821" s="7">
        <f>IFERROR(VLOOKUP(I1821,Materiales!$A:$H,8,0),"")</f>
        <v/>
      </c>
      <c r="K1821" s="9">
        <f>IFERROR(VLOOKUP(I1821,Materiales!$A:$G,7,0),"")</f>
        <v/>
      </c>
      <c r="L1821" s="8" t="inlineStr">
        <is>
          <t>20190426</t>
        </is>
      </c>
      <c r="M1821" s="8" t="inlineStr">
        <is>
          <t>20250127</t>
        </is>
      </c>
      <c r="N1821" s="10" t="n">
        <v>102</v>
      </c>
      <c r="O1821" s="10">
        <f>IFERROR(VLOOKUP(A1821,Flete!$A:$J,10,0),"")</f>
        <v/>
      </c>
      <c r="P1821" s="8" t="inlineStr">
        <is>
          <t>M3</t>
        </is>
      </c>
      <c r="Q1821" s="10">
        <f>IFERROR(IFERROR(VLOOKUP(A1821,TRAOPE!$A:$U,21,0),VLOOKUP(B1821,TRAOPE!$A:$U,21,0)),"")</f>
        <v/>
      </c>
      <c r="R1821" s="8">
        <f>IFERROR(IFERROR(VLOOKUP(A1821,TRAOPE!$A:$W,23,0),VLOOKUP(B1821,TRAOPE!$A:$W,23,0)),"")</f>
        <v/>
      </c>
      <c r="S1821" s="10">
        <f>IF(AND(P1821="TN",R1821="TN"),N1821+N(O1821),IF(G1821&amp;""="1",N(K1821)*N1821,(N1821+N(O1821))*N(K1821)))</f>
        <v/>
      </c>
      <c r="T1821" s="10">
        <f>IF(Q1821="","",Q1821-S1821)</f>
        <v/>
      </c>
    </row>
    <row r="1822">
      <c r="A1822" s="7">
        <f>CONCATENATE(C1822,E1822,F1822,I1822)</f>
        <v/>
      </c>
      <c r="B1822" s="7">
        <f>CONCATENATE(C1822,E1822,I1822)</f>
        <v/>
      </c>
      <c r="C1822" s="8" t="n">
        <v>900005401</v>
      </c>
      <c r="D1822" s="7">
        <f>IFERROR(VLOOKUP(C1822,TRAOPE!$G:$H,2,0),"")</f>
        <v/>
      </c>
      <c r="E1822" s="8" t="inlineStr">
        <is>
          <t>D836</t>
        </is>
      </c>
      <c r="F1822" s="8" t="inlineStr">
        <is>
          <t>66779276</t>
        </is>
      </c>
      <c r="G1822" s="8">
        <f>IFERROR(VLOOKUP(A1822,Flete!$A:$E,5,0),"")</f>
        <v/>
      </c>
      <c r="H1822" s="7">
        <f>IFERROR(VLOOKUP(F1822,TRAOPE!$AA:$AB,2,0),"")</f>
        <v/>
      </c>
      <c r="I1822" s="7" t="n">
        <v>10059181</v>
      </c>
      <c r="J1822" s="7">
        <f>IFERROR(VLOOKUP(I1822,Materiales!$A:$H,8,0),"")</f>
        <v/>
      </c>
      <c r="K1822" s="9">
        <f>IFERROR(VLOOKUP(I1822,Materiales!$A:$G,7,0),"")</f>
        <v/>
      </c>
      <c r="L1822" s="8" t="inlineStr">
        <is>
          <t>20190426</t>
        </is>
      </c>
      <c r="M1822" s="8" t="inlineStr">
        <is>
          <t>20250127</t>
        </is>
      </c>
      <c r="N1822" s="10" t="n">
        <v>82.5</v>
      </c>
      <c r="O1822" s="10">
        <f>IFERROR(VLOOKUP(A1822,Flete!$A:$J,10,0),"")</f>
        <v/>
      </c>
      <c r="P1822" s="8" t="inlineStr">
        <is>
          <t>M3</t>
        </is>
      </c>
      <c r="Q1822" s="10">
        <f>IFERROR(IFERROR(VLOOKUP(A1822,TRAOPE!$A:$U,21,0),VLOOKUP(B1822,TRAOPE!$A:$U,21,0)),"")</f>
        <v/>
      </c>
      <c r="R1822" s="8">
        <f>IFERROR(IFERROR(VLOOKUP(A1822,TRAOPE!$A:$W,23,0),VLOOKUP(B1822,TRAOPE!$A:$W,23,0)),"")</f>
        <v/>
      </c>
      <c r="S1822" s="10">
        <f>IF(AND(P1822="TN",R1822="TN"),N1822+N(O1822),IF(G1822&amp;""="1",N(K1822)*N1822,(N1822+N(O1822))*N(K1822)))</f>
        <v/>
      </c>
      <c r="T1822" s="10">
        <f>IF(Q1822="","",Q1822-S1822)</f>
        <v/>
      </c>
    </row>
    <row r="1823">
      <c r="A1823" s="7">
        <f>CONCATENATE(C1823,E1823,F1823,I1823)</f>
        <v/>
      </c>
      <c r="B1823" s="7">
        <f>CONCATENATE(C1823,E1823,I1823)</f>
        <v/>
      </c>
      <c r="C1823" s="8" t="n">
        <v>900005401</v>
      </c>
      <c r="D1823" s="7">
        <f>IFERROR(VLOOKUP(C1823,TRAOPE!$G:$H,2,0),"")</f>
        <v/>
      </c>
      <c r="E1823" s="8" t="inlineStr">
        <is>
          <t>D836</t>
        </is>
      </c>
      <c r="F1823" s="8" t="inlineStr">
        <is>
          <t>66799029</t>
        </is>
      </c>
      <c r="G1823" s="8">
        <f>IFERROR(VLOOKUP(A1823,Flete!$A:$E,5,0),"")</f>
        <v/>
      </c>
      <c r="H1823" s="7">
        <f>IFERROR(VLOOKUP(F1823,TRAOPE!$AA:$AB,2,0),"")</f>
        <v/>
      </c>
      <c r="I1823" s="7" t="n">
        <v>10059181</v>
      </c>
      <c r="J1823" s="7">
        <f>IFERROR(VLOOKUP(I1823,Materiales!$A:$H,8,0),"")</f>
        <v/>
      </c>
      <c r="K1823" s="9">
        <f>IFERROR(VLOOKUP(I1823,Materiales!$A:$G,7,0),"")</f>
        <v/>
      </c>
      <c r="L1823" s="8" t="inlineStr">
        <is>
          <t>20190426</t>
        </is>
      </c>
      <c r="M1823" s="8" t="inlineStr">
        <is>
          <t>20250127</t>
        </is>
      </c>
      <c r="N1823" s="10" t="n">
        <v>82</v>
      </c>
      <c r="O1823" s="10">
        <f>IFERROR(VLOOKUP(A1823,Flete!$A:$J,10,0),"")</f>
        <v/>
      </c>
      <c r="P1823" s="8" t="inlineStr">
        <is>
          <t>M3</t>
        </is>
      </c>
      <c r="Q1823" s="10">
        <f>IFERROR(IFERROR(VLOOKUP(A1823,TRAOPE!$A:$U,21,0),VLOOKUP(B1823,TRAOPE!$A:$U,21,0)),"")</f>
        <v/>
      </c>
      <c r="R1823" s="8">
        <f>IFERROR(IFERROR(VLOOKUP(A1823,TRAOPE!$A:$W,23,0),VLOOKUP(B1823,TRAOPE!$A:$W,23,0)),"")</f>
        <v/>
      </c>
      <c r="S1823" s="10">
        <f>IF(AND(P1823="TN",R1823="TN"),N1823+N(O1823),IF(G1823&amp;""="1",N(K1823)*N1823,(N1823+N(O1823))*N(K1823)))</f>
        <v/>
      </c>
      <c r="T1823" s="10">
        <f>IF(Q1823="","",Q1823-S1823)</f>
        <v/>
      </c>
    </row>
    <row r="1824">
      <c r="A1824" s="7">
        <f>CONCATENATE(C1824,E1824,F1824,I1824)</f>
        <v/>
      </c>
      <c r="B1824" s="7">
        <f>CONCATENATE(C1824,E1824,I1824)</f>
        <v/>
      </c>
      <c r="C1824" s="8" t="n">
        <v>900005401</v>
      </c>
      <c r="D1824" s="7">
        <f>IFERROR(VLOOKUP(C1824,TRAOPE!$G:$H,2,0),"")</f>
        <v/>
      </c>
      <c r="E1824" s="8" t="inlineStr">
        <is>
          <t>D836</t>
        </is>
      </c>
      <c r="F1824" s="8" t="inlineStr">
        <is>
          <t>66884146</t>
        </is>
      </c>
      <c r="G1824" s="8">
        <f>IFERROR(VLOOKUP(A1824,Flete!$A:$E,5,0),"")</f>
        <v/>
      </c>
      <c r="H1824" s="7">
        <f>IFERROR(VLOOKUP(F1824,TRAOPE!$AA:$AB,2,0),"")</f>
        <v/>
      </c>
      <c r="I1824" s="7" t="n">
        <v>10000253</v>
      </c>
      <c r="J1824" s="7">
        <f>IFERROR(VLOOKUP(I1824,Materiales!$A:$H,8,0),"")</f>
        <v/>
      </c>
      <c r="K1824" s="9">
        <f>IFERROR(VLOOKUP(I1824,Materiales!$A:$G,7,0),"")</f>
        <v/>
      </c>
      <c r="L1824" s="8" t="inlineStr">
        <is>
          <t>20190426</t>
        </is>
      </c>
      <c r="M1824" s="8" t="inlineStr">
        <is>
          <t>20250127</t>
        </is>
      </c>
      <c r="N1824" s="10" t="n">
        <v>100</v>
      </c>
      <c r="O1824" s="10">
        <f>IFERROR(VLOOKUP(A1824,Flete!$A:$J,10,0),"")</f>
        <v/>
      </c>
      <c r="P1824" s="8" t="inlineStr">
        <is>
          <t>M3</t>
        </is>
      </c>
      <c r="Q1824" s="10">
        <f>IFERROR(IFERROR(VLOOKUP(A1824,TRAOPE!$A:$U,21,0),VLOOKUP(B1824,TRAOPE!$A:$U,21,0)),"")</f>
        <v/>
      </c>
      <c r="R1824" s="8">
        <f>IFERROR(IFERROR(VLOOKUP(A1824,TRAOPE!$A:$W,23,0),VLOOKUP(B1824,TRAOPE!$A:$W,23,0)),"")</f>
        <v/>
      </c>
      <c r="S1824" s="10">
        <f>IF(AND(P1824="TN",R1824="TN"),N1824+N(O1824),IF(G1824&amp;""="1",N(K1824)*N1824,(N1824+N(O1824))*N(K1824)))</f>
        <v/>
      </c>
      <c r="T1824" s="10">
        <f>IF(Q1824="","",Q1824-S1824)</f>
        <v/>
      </c>
    </row>
    <row r="1825">
      <c r="A1825" s="7">
        <f>CONCATENATE(C1825,E1825,F1825,I1825)</f>
        <v/>
      </c>
      <c r="B1825" s="7">
        <f>CONCATENATE(C1825,E1825,I1825)</f>
        <v/>
      </c>
      <c r="C1825" s="8" t="n">
        <v>900005401</v>
      </c>
      <c r="D1825" s="7">
        <f>IFERROR(VLOOKUP(C1825,TRAOPE!$G:$H,2,0),"")</f>
        <v/>
      </c>
      <c r="E1825" s="8" t="inlineStr">
        <is>
          <t>D836</t>
        </is>
      </c>
      <c r="F1825" s="8" t="inlineStr">
        <is>
          <t>66884146</t>
        </is>
      </c>
      <c r="G1825" s="8">
        <f>IFERROR(VLOOKUP(A1825,Flete!$A:$E,5,0),"")</f>
        <v/>
      </c>
      <c r="H1825" s="7">
        <f>IFERROR(VLOOKUP(F1825,TRAOPE!$AA:$AB,2,0),"")</f>
        <v/>
      </c>
      <c r="I1825" s="7" t="n">
        <v>10059181</v>
      </c>
      <c r="J1825" s="7">
        <f>IFERROR(VLOOKUP(I1825,Materiales!$A:$H,8,0),"")</f>
        <v/>
      </c>
      <c r="K1825" s="9">
        <f>IFERROR(VLOOKUP(I1825,Materiales!$A:$G,7,0),"")</f>
        <v/>
      </c>
      <c r="L1825" s="8" t="inlineStr">
        <is>
          <t>20190426</t>
        </is>
      </c>
      <c r="M1825" s="8" t="inlineStr">
        <is>
          <t>20250127</t>
        </is>
      </c>
      <c r="N1825" s="10" t="n">
        <v>88</v>
      </c>
      <c r="O1825" s="10">
        <f>IFERROR(VLOOKUP(A1825,Flete!$A:$J,10,0),"")</f>
        <v/>
      </c>
      <c r="P1825" s="8" t="inlineStr">
        <is>
          <t>M3</t>
        </is>
      </c>
      <c r="Q1825" s="10">
        <f>IFERROR(IFERROR(VLOOKUP(A1825,TRAOPE!$A:$U,21,0),VLOOKUP(B1825,TRAOPE!$A:$U,21,0)),"")</f>
        <v/>
      </c>
      <c r="R1825" s="8">
        <f>IFERROR(IFERROR(VLOOKUP(A1825,TRAOPE!$A:$W,23,0),VLOOKUP(B1825,TRAOPE!$A:$W,23,0)),"")</f>
        <v/>
      </c>
      <c r="S1825" s="10">
        <f>IF(AND(P1825="TN",R1825="TN"),N1825+N(O1825),IF(G1825&amp;""="1",N(K1825)*N1825,(N1825+N(O1825))*N(K1825)))</f>
        <v/>
      </c>
      <c r="T1825" s="10">
        <f>IF(Q1825="","",Q1825-S1825)</f>
        <v/>
      </c>
    </row>
    <row r="1826">
      <c r="A1826" s="7">
        <f>CONCATENATE(C1826,E1826,F1826,I1826)</f>
        <v/>
      </c>
      <c r="B1826" s="7">
        <f>CONCATENATE(C1826,E1826,I1826)</f>
        <v/>
      </c>
      <c r="C1826" s="8" t="n">
        <v>900005401</v>
      </c>
      <c r="D1826" s="7">
        <f>IFERROR(VLOOKUP(C1826,TRAOPE!$G:$H,2,0),"")</f>
        <v/>
      </c>
      <c r="E1826" s="8" t="inlineStr">
        <is>
          <t>D836</t>
        </is>
      </c>
      <c r="F1826" s="8" t="inlineStr">
        <is>
          <t>66884146</t>
        </is>
      </c>
      <c r="G1826" s="8">
        <f>IFERROR(VLOOKUP(A1826,Flete!$A:$E,5,0),"")</f>
        <v/>
      </c>
      <c r="H1826" s="7">
        <f>IFERROR(VLOOKUP(F1826,TRAOPE!$AA:$AB,2,0),"")</f>
        <v/>
      </c>
      <c r="I1826" s="7" t="n">
        <v>10200676</v>
      </c>
      <c r="J1826" s="7">
        <f>IFERROR(VLOOKUP(I1826,Materiales!$A:$H,8,0),"")</f>
        <v/>
      </c>
      <c r="K1826" s="9">
        <f>IFERROR(VLOOKUP(I1826,Materiales!$A:$G,7,0),"")</f>
        <v/>
      </c>
      <c r="L1826" s="8" t="inlineStr">
        <is>
          <t>20190426</t>
        </is>
      </c>
      <c r="M1826" s="8" t="inlineStr">
        <is>
          <t>20250127</t>
        </is>
      </c>
      <c r="N1826" s="10" t="n">
        <v>115</v>
      </c>
      <c r="O1826" s="10">
        <f>IFERROR(VLOOKUP(A1826,Flete!$A:$J,10,0),"")</f>
        <v/>
      </c>
      <c r="P1826" s="8" t="inlineStr">
        <is>
          <t>M3</t>
        </is>
      </c>
      <c r="Q1826" s="10">
        <f>IFERROR(IFERROR(VLOOKUP(A1826,TRAOPE!$A:$U,21,0),VLOOKUP(B1826,TRAOPE!$A:$U,21,0)),"")</f>
        <v/>
      </c>
      <c r="R1826" s="8">
        <f>IFERROR(IFERROR(VLOOKUP(A1826,TRAOPE!$A:$W,23,0),VLOOKUP(B1826,TRAOPE!$A:$W,23,0)),"")</f>
        <v/>
      </c>
      <c r="S1826" s="10">
        <f>IF(AND(P1826="TN",R1826="TN"),N1826+N(O1826),IF(G1826&amp;""="1",N(K1826)*N1826,(N1826+N(O1826))*N(K1826)))</f>
        <v/>
      </c>
      <c r="T1826" s="10">
        <f>IF(Q1826="","",Q1826-S1826)</f>
        <v/>
      </c>
    </row>
    <row r="1827">
      <c r="A1827" s="7">
        <f>CONCATENATE(C1827,E1827,F1827,I1827)</f>
        <v/>
      </c>
      <c r="B1827" s="7">
        <f>CONCATENATE(C1827,E1827,I1827)</f>
        <v/>
      </c>
      <c r="C1827" s="8" t="n">
        <v>900005401</v>
      </c>
      <c r="D1827" s="7">
        <f>IFERROR(VLOOKUP(C1827,TRAOPE!$G:$H,2,0),"")</f>
        <v/>
      </c>
      <c r="E1827" s="8" t="inlineStr">
        <is>
          <t>D836</t>
        </is>
      </c>
      <c r="F1827" s="8" t="inlineStr">
        <is>
          <t>66900173</t>
        </is>
      </c>
      <c r="G1827" s="8">
        <f>IFERROR(VLOOKUP(A1827,Flete!$A:$E,5,0),"")</f>
        <v/>
      </c>
      <c r="H1827" s="7">
        <f>IFERROR(VLOOKUP(F1827,TRAOPE!$AA:$AB,2,0),"")</f>
        <v/>
      </c>
      <c r="I1827" s="7" t="n">
        <v>10059181</v>
      </c>
      <c r="J1827" s="7">
        <f>IFERROR(VLOOKUP(I1827,Materiales!$A:$H,8,0),"")</f>
        <v/>
      </c>
      <c r="K1827" s="9">
        <f>IFERROR(VLOOKUP(I1827,Materiales!$A:$G,7,0),"")</f>
        <v/>
      </c>
      <c r="L1827" s="8" t="inlineStr">
        <is>
          <t>20190426</t>
        </is>
      </c>
      <c r="M1827" s="8" t="inlineStr">
        <is>
          <t>20250127</t>
        </is>
      </c>
      <c r="N1827" s="10" t="n">
        <v>82</v>
      </c>
      <c r="O1827" s="10">
        <f>IFERROR(VLOOKUP(A1827,Flete!$A:$J,10,0),"")</f>
        <v/>
      </c>
      <c r="P1827" s="8" t="inlineStr">
        <is>
          <t>M3</t>
        </is>
      </c>
      <c r="Q1827" s="10">
        <f>IFERROR(IFERROR(VLOOKUP(A1827,TRAOPE!$A:$U,21,0),VLOOKUP(B1827,TRAOPE!$A:$U,21,0)),"")</f>
        <v/>
      </c>
      <c r="R1827" s="8">
        <f>IFERROR(IFERROR(VLOOKUP(A1827,TRAOPE!$A:$W,23,0),VLOOKUP(B1827,TRAOPE!$A:$W,23,0)),"")</f>
        <v/>
      </c>
      <c r="S1827" s="10">
        <f>IF(AND(P1827="TN",R1827="TN"),N1827+N(O1827),IF(G1827&amp;""="1",N(K1827)*N1827,(N1827+N(O1827))*N(K1827)))</f>
        <v/>
      </c>
      <c r="T1827" s="10">
        <f>IF(Q1827="","",Q1827-S1827)</f>
        <v/>
      </c>
    </row>
    <row r="1828">
      <c r="A1828" s="7">
        <f>CONCATENATE(C1828,E1828,F1828,I1828)</f>
        <v/>
      </c>
      <c r="B1828" s="7">
        <f>CONCATENATE(C1828,E1828,I1828)</f>
        <v/>
      </c>
      <c r="C1828" s="8" t="n">
        <v>900005401</v>
      </c>
      <c r="D1828" s="7">
        <f>IFERROR(VLOOKUP(C1828,TRAOPE!$G:$H,2,0),"")</f>
        <v/>
      </c>
      <c r="E1828" s="8" t="inlineStr">
        <is>
          <t>D836</t>
        </is>
      </c>
      <c r="F1828" s="8" t="inlineStr">
        <is>
          <t>66982551</t>
        </is>
      </c>
      <c r="G1828" s="8">
        <f>IFERROR(VLOOKUP(A1828,Flete!$A:$E,5,0),"")</f>
        <v/>
      </c>
      <c r="H1828" s="7">
        <f>IFERROR(VLOOKUP(F1828,TRAOPE!$AA:$AB,2,0),"")</f>
        <v/>
      </c>
      <c r="I1828" s="7" t="n">
        <v>10000253</v>
      </c>
      <c r="J1828" s="7">
        <f>IFERROR(VLOOKUP(I1828,Materiales!$A:$H,8,0),"")</f>
        <v/>
      </c>
      <c r="K1828" s="9">
        <f>IFERROR(VLOOKUP(I1828,Materiales!$A:$G,7,0),"")</f>
        <v/>
      </c>
      <c r="L1828" s="8" t="inlineStr">
        <is>
          <t>20190426</t>
        </is>
      </c>
      <c r="M1828" s="8" t="inlineStr">
        <is>
          <t>20250127</t>
        </is>
      </c>
      <c r="N1828" s="10" t="n">
        <v>100</v>
      </c>
      <c r="O1828" s="10">
        <f>IFERROR(VLOOKUP(A1828,Flete!$A:$J,10,0),"")</f>
        <v/>
      </c>
      <c r="P1828" s="8" t="inlineStr">
        <is>
          <t>M3</t>
        </is>
      </c>
      <c r="Q1828" s="10">
        <f>IFERROR(IFERROR(VLOOKUP(A1828,TRAOPE!$A:$U,21,0),VLOOKUP(B1828,TRAOPE!$A:$U,21,0)),"")</f>
        <v/>
      </c>
      <c r="R1828" s="8">
        <f>IFERROR(IFERROR(VLOOKUP(A1828,TRAOPE!$A:$W,23,0),VLOOKUP(B1828,TRAOPE!$A:$W,23,0)),"")</f>
        <v/>
      </c>
      <c r="S1828" s="10">
        <f>IF(AND(P1828="TN",R1828="TN"),N1828+N(O1828),IF(G1828&amp;""="1",N(K1828)*N1828,(N1828+N(O1828))*N(K1828)))</f>
        <v/>
      </c>
      <c r="T1828" s="10">
        <f>IF(Q1828="","",Q1828-S1828)</f>
        <v/>
      </c>
    </row>
    <row r="1829">
      <c r="A1829" s="7">
        <f>CONCATENATE(C1829,E1829,F1829,I1829)</f>
        <v/>
      </c>
      <c r="B1829" s="7">
        <f>CONCATENATE(C1829,E1829,I1829)</f>
        <v/>
      </c>
      <c r="C1829" s="8" t="n">
        <v>900005401</v>
      </c>
      <c r="D1829" s="7">
        <f>IFERROR(VLOOKUP(C1829,TRAOPE!$G:$H,2,0),"")</f>
        <v/>
      </c>
      <c r="E1829" s="8" t="inlineStr">
        <is>
          <t>D836</t>
        </is>
      </c>
      <c r="F1829" s="8" t="inlineStr">
        <is>
          <t>66982551</t>
        </is>
      </c>
      <c r="G1829" s="8">
        <f>IFERROR(VLOOKUP(A1829,Flete!$A:$E,5,0),"")</f>
        <v/>
      </c>
      <c r="H1829" s="7">
        <f>IFERROR(VLOOKUP(F1829,TRAOPE!$AA:$AB,2,0),"")</f>
        <v/>
      </c>
      <c r="I1829" s="7" t="n">
        <v>10200676</v>
      </c>
      <c r="J1829" s="7">
        <f>IFERROR(VLOOKUP(I1829,Materiales!$A:$H,8,0),"")</f>
        <v/>
      </c>
      <c r="K1829" s="9">
        <f>IFERROR(VLOOKUP(I1829,Materiales!$A:$G,7,0),"")</f>
        <v/>
      </c>
      <c r="L1829" s="8" t="inlineStr">
        <is>
          <t>20190426</t>
        </is>
      </c>
      <c r="M1829" s="8" t="inlineStr">
        <is>
          <t>20250127</t>
        </is>
      </c>
      <c r="N1829" s="10" t="n">
        <v>115</v>
      </c>
      <c r="O1829" s="10">
        <f>IFERROR(VLOOKUP(A1829,Flete!$A:$J,10,0),"")</f>
        <v/>
      </c>
      <c r="P1829" s="8" t="inlineStr">
        <is>
          <t>M3</t>
        </is>
      </c>
      <c r="Q1829" s="10">
        <f>IFERROR(IFERROR(VLOOKUP(A1829,TRAOPE!$A:$U,21,0),VLOOKUP(B1829,TRAOPE!$A:$U,21,0)),"")</f>
        <v/>
      </c>
      <c r="R1829" s="8">
        <f>IFERROR(IFERROR(VLOOKUP(A1829,TRAOPE!$A:$W,23,0),VLOOKUP(B1829,TRAOPE!$A:$W,23,0)),"")</f>
        <v/>
      </c>
      <c r="S1829" s="10">
        <f>IF(AND(P1829="TN",R1829="TN"),N1829+N(O1829),IF(G1829&amp;""="1",N(K1829)*N1829,(N1829+N(O1829))*N(K1829)))</f>
        <v/>
      </c>
      <c r="T1829" s="10">
        <f>IF(Q1829="","",Q1829-S1829)</f>
        <v/>
      </c>
    </row>
    <row r="1830">
      <c r="A1830" s="7">
        <f>CONCATENATE(C1830,E1830,F1830,I1830)</f>
        <v/>
      </c>
      <c r="B1830" s="7">
        <f>CONCATENATE(C1830,E1830,I1830)</f>
        <v/>
      </c>
      <c r="C1830" s="8" t="n">
        <v>900005401</v>
      </c>
      <c r="D1830" s="7">
        <f>IFERROR(VLOOKUP(C1830,TRAOPE!$G:$H,2,0),"")</f>
        <v/>
      </c>
      <c r="E1830" s="8" t="inlineStr">
        <is>
          <t>D836</t>
        </is>
      </c>
      <c r="F1830" s="8" t="inlineStr">
        <is>
          <t>67011332</t>
        </is>
      </c>
      <c r="G1830" s="8">
        <f>IFERROR(VLOOKUP(A1830,Flete!$A:$E,5,0),"")</f>
        <v/>
      </c>
      <c r="H1830" s="7">
        <f>IFERROR(VLOOKUP(F1830,TRAOPE!$AA:$AB,2,0),"")</f>
        <v/>
      </c>
      <c r="I1830" s="7" t="n">
        <v>10000253</v>
      </c>
      <c r="J1830" s="7">
        <f>IFERROR(VLOOKUP(I1830,Materiales!$A:$H,8,0),"")</f>
        <v/>
      </c>
      <c r="K1830" s="9">
        <f>IFERROR(VLOOKUP(I1830,Materiales!$A:$G,7,0),"")</f>
        <v/>
      </c>
      <c r="L1830" s="8" t="inlineStr">
        <is>
          <t>20190426</t>
        </is>
      </c>
      <c r="M1830" s="8" t="inlineStr">
        <is>
          <t>20250127</t>
        </is>
      </c>
      <c r="N1830" s="10" t="n">
        <v>110</v>
      </c>
      <c r="O1830" s="10">
        <f>IFERROR(VLOOKUP(A1830,Flete!$A:$J,10,0),"")</f>
        <v/>
      </c>
      <c r="P1830" s="8" t="inlineStr">
        <is>
          <t>M3</t>
        </is>
      </c>
      <c r="Q1830" s="10">
        <f>IFERROR(IFERROR(VLOOKUP(A1830,TRAOPE!$A:$U,21,0),VLOOKUP(B1830,TRAOPE!$A:$U,21,0)),"")</f>
        <v/>
      </c>
      <c r="R1830" s="8">
        <f>IFERROR(IFERROR(VLOOKUP(A1830,TRAOPE!$A:$W,23,0),VLOOKUP(B1830,TRAOPE!$A:$W,23,0)),"")</f>
        <v/>
      </c>
      <c r="S1830" s="10">
        <f>IF(AND(P1830="TN",R1830="TN"),N1830+N(O1830),IF(G1830&amp;""="1",N(K1830)*N1830,(N1830+N(O1830))*N(K1830)))</f>
        <v/>
      </c>
      <c r="T1830" s="10">
        <f>IF(Q1830="","",Q1830-S1830)</f>
        <v/>
      </c>
    </row>
    <row r="1831">
      <c r="A1831" s="7">
        <f>CONCATENATE(C1831,E1831,F1831,I1831)</f>
        <v/>
      </c>
      <c r="B1831" s="7">
        <f>CONCATENATE(C1831,E1831,I1831)</f>
        <v/>
      </c>
      <c r="C1831" s="8" t="n">
        <v>900005401</v>
      </c>
      <c r="D1831" s="7">
        <f>IFERROR(VLOOKUP(C1831,TRAOPE!$G:$H,2,0),"")</f>
        <v/>
      </c>
      <c r="E1831" s="8" t="inlineStr">
        <is>
          <t>D836</t>
        </is>
      </c>
      <c r="F1831" s="8" t="inlineStr">
        <is>
          <t>67011332</t>
        </is>
      </c>
      <c r="G1831" s="8">
        <f>IFERROR(VLOOKUP(A1831,Flete!$A:$E,5,0),"")</f>
        <v/>
      </c>
      <c r="H1831" s="7">
        <f>IFERROR(VLOOKUP(F1831,TRAOPE!$AA:$AB,2,0),"")</f>
        <v/>
      </c>
      <c r="I1831" s="7" t="n">
        <v>10000627</v>
      </c>
      <c r="J1831" s="7">
        <f>IFERROR(VLOOKUP(I1831,Materiales!$A:$H,8,0),"")</f>
        <v/>
      </c>
      <c r="K1831" s="9">
        <f>IFERROR(VLOOKUP(I1831,Materiales!$A:$G,7,0),"")</f>
        <v/>
      </c>
      <c r="L1831" s="8" t="inlineStr">
        <is>
          <t>20190426</t>
        </is>
      </c>
      <c r="M1831" s="8" t="inlineStr">
        <is>
          <t>20250127</t>
        </is>
      </c>
      <c r="N1831" s="10" t="n">
        <v>100</v>
      </c>
      <c r="O1831" s="10">
        <f>IFERROR(VLOOKUP(A1831,Flete!$A:$J,10,0),"")</f>
        <v/>
      </c>
      <c r="P1831" s="8" t="inlineStr">
        <is>
          <t>M3</t>
        </is>
      </c>
      <c r="Q1831" s="10">
        <f>IFERROR(IFERROR(VLOOKUP(A1831,TRAOPE!$A:$U,21,0),VLOOKUP(B1831,TRAOPE!$A:$U,21,0)),"")</f>
        <v/>
      </c>
      <c r="R1831" s="8">
        <f>IFERROR(IFERROR(VLOOKUP(A1831,TRAOPE!$A:$W,23,0),VLOOKUP(B1831,TRAOPE!$A:$W,23,0)),"")</f>
        <v/>
      </c>
      <c r="S1831" s="10">
        <f>IF(AND(P1831="TN",R1831="TN"),N1831+N(O1831),IF(G1831&amp;""="1",N(K1831)*N1831,(N1831+N(O1831))*N(K1831)))</f>
        <v/>
      </c>
      <c r="T1831" s="10">
        <f>IF(Q1831="","",Q1831-S1831)</f>
        <v/>
      </c>
    </row>
    <row r="1832">
      <c r="A1832" s="7">
        <f>CONCATENATE(C1832,E1832,F1832,I1832)</f>
        <v/>
      </c>
      <c r="B1832" s="7">
        <f>CONCATENATE(C1832,E1832,I1832)</f>
        <v/>
      </c>
      <c r="C1832" s="8" t="n">
        <v>900005401</v>
      </c>
      <c r="D1832" s="7">
        <f>IFERROR(VLOOKUP(C1832,TRAOPE!$G:$H,2,0),"")</f>
        <v/>
      </c>
      <c r="E1832" s="8" t="inlineStr">
        <is>
          <t>D836</t>
        </is>
      </c>
      <c r="F1832" s="8" t="inlineStr">
        <is>
          <t>67011332</t>
        </is>
      </c>
      <c r="G1832" s="8">
        <f>IFERROR(VLOOKUP(A1832,Flete!$A:$E,5,0),"")</f>
        <v/>
      </c>
      <c r="H1832" s="7">
        <f>IFERROR(VLOOKUP(F1832,TRAOPE!$AA:$AB,2,0),"")</f>
        <v/>
      </c>
      <c r="I1832" s="7" t="n">
        <v>10059181</v>
      </c>
      <c r="J1832" s="7">
        <f>IFERROR(VLOOKUP(I1832,Materiales!$A:$H,8,0),"")</f>
        <v/>
      </c>
      <c r="K1832" s="9">
        <f>IFERROR(VLOOKUP(I1832,Materiales!$A:$G,7,0),"")</f>
        <v/>
      </c>
      <c r="L1832" s="8" t="inlineStr">
        <is>
          <t>20190426</t>
        </is>
      </c>
      <c r="M1832" s="8" t="inlineStr">
        <is>
          <t>20250127</t>
        </is>
      </c>
      <c r="N1832" s="10" t="n">
        <v>95</v>
      </c>
      <c r="O1832" s="10">
        <f>IFERROR(VLOOKUP(A1832,Flete!$A:$J,10,0),"")</f>
        <v/>
      </c>
      <c r="P1832" s="8" t="inlineStr">
        <is>
          <t>M3</t>
        </is>
      </c>
      <c r="Q1832" s="10">
        <f>IFERROR(IFERROR(VLOOKUP(A1832,TRAOPE!$A:$U,21,0),VLOOKUP(B1832,TRAOPE!$A:$U,21,0)),"")</f>
        <v/>
      </c>
      <c r="R1832" s="8">
        <f>IFERROR(IFERROR(VLOOKUP(A1832,TRAOPE!$A:$W,23,0),VLOOKUP(B1832,TRAOPE!$A:$W,23,0)),"")</f>
        <v/>
      </c>
      <c r="S1832" s="10">
        <f>IF(AND(P1832="TN",R1832="TN"),N1832+N(O1832),IF(G1832&amp;""="1",N(K1832)*N1832,(N1832+N(O1832))*N(K1832)))</f>
        <v/>
      </c>
      <c r="T1832" s="10">
        <f>IF(Q1832="","",Q1832-S1832)</f>
        <v/>
      </c>
    </row>
    <row r="1833">
      <c r="A1833" s="7">
        <f>CONCATENATE(C1833,E1833,F1833,I1833)</f>
        <v/>
      </c>
      <c r="B1833" s="7">
        <f>CONCATENATE(C1833,E1833,I1833)</f>
        <v/>
      </c>
      <c r="C1833" s="8" t="n">
        <v>900005533</v>
      </c>
      <c r="D1833" s="7">
        <f>IFERROR(VLOOKUP(C1833,TRAOPE!$G:$H,2,0),"")</f>
        <v/>
      </c>
      <c r="E1833" s="8" t="inlineStr">
        <is>
          <t>D836</t>
        </is>
      </c>
      <c r="F1833" s="8" t="inlineStr">
        <is>
          <t>65911289</t>
        </is>
      </c>
      <c r="G1833" s="8">
        <f>IFERROR(VLOOKUP(A1833,Flete!$A:$E,5,0),"")</f>
        <v/>
      </c>
      <c r="H1833" s="7">
        <f>IFERROR(VLOOKUP(F1833,TRAOPE!$AA:$AB,2,0),"")</f>
        <v/>
      </c>
      <c r="I1833" s="7" t="n">
        <v>10159180</v>
      </c>
      <c r="J1833" s="7">
        <f>IFERROR(VLOOKUP(I1833,Materiales!$A:$H,8,0),"")</f>
        <v/>
      </c>
      <c r="K1833" s="9">
        <f>IFERROR(VLOOKUP(I1833,Materiales!$A:$G,7,0),"")</f>
        <v/>
      </c>
      <c r="L1833" s="8" t="inlineStr">
        <is>
          <t>20190426</t>
        </is>
      </c>
      <c r="M1833" s="8" t="inlineStr">
        <is>
          <t>20250127</t>
        </is>
      </c>
      <c r="N1833" s="10" t="n">
        <v>290</v>
      </c>
      <c r="O1833" s="10">
        <f>IFERROR(VLOOKUP(A1833,Flete!$A:$J,10,0),"")</f>
        <v/>
      </c>
      <c r="P1833" s="8" t="inlineStr">
        <is>
          <t>M3</t>
        </is>
      </c>
      <c r="Q1833" s="10">
        <f>IFERROR(IFERROR(VLOOKUP(A1833,TRAOPE!$A:$U,21,0),VLOOKUP(B1833,TRAOPE!$A:$U,21,0)),"")</f>
        <v/>
      </c>
      <c r="R1833" s="8">
        <f>IFERROR(IFERROR(VLOOKUP(A1833,TRAOPE!$A:$W,23,0),VLOOKUP(B1833,TRAOPE!$A:$W,23,0)),"")</f>
        <v/>
      </c>
      <c r="S1833" s="10">
        <f>IF(AND(P1833="TN",R1833="TN"),N1833+N(O1833),IF(G1833&amp;""="1",N(K1833)*N1833,(N1833+N(O1833))*N(K1833)))</f>
        <v/>
      </c>
      <c r="T1833" s="10">
        <f>IF(Q1833="","",Q1833-S1833)</f>
        <v/>
      </c>
    </row>
    <row r="1834">
      <c r="A1834" s="7">
        <f>CONCATENATE(C1834,E1834,F1834,I1834)</f>
        <v/>
      </c>
      <c r="B1834" s="7">
        <f>CONCATENATE(C1834,E1834,I1834)</f>
        <v/>
      </c>
      <c r="C1834" s="8" t="n">
        <v>900005586</v>
      </c>
      <c r="D1834" s="7">
        <f>IFERROR(VLOOKUP(C1834,TRAOPE!$G:$H,2,0),"")</f>
        <v/>
      </c>
      <c r="E1834" s="8" t="inlineStr">
        <is>
          <t>D836</t>
        </is>
      </c>
      <c r="F1834" s="8" t="inlineStr">
        <is>
          <t>66591199</t>
        </is>
      </c>
      <c r="G1834" s="8">
        <f>IFERROR(VLOOKUP(A1834,Flete!$A:$E,5,0),"")</f>
        <v/>
      </c>
      <c r="H1834" s="7">
        <f>IFERROR(VLOOKUP(F1834,TRAOPE!$AA:$AB,2,0),"")</f>
        <v/>
      </c>
      <c r="I1834" s="7" t="n">
        <v>10152927</v>
      </c>
      <c r="J1834" s="7">
        <f>IFERROR(VLOOKUP(I1834,Materiales!$A:$H,8,0),"")</f>
        <v/>
      </c>
      <c r="K1834" s="9">
        <f>IFERROR(VLOOKUP(I1834,Materiales!$A:$G,7,0),"")</f>
        <v/>
      </c>
      <c r="L1834" s="8" t="inlineStr">
        <is>
          <t>20190426</t>
        </is>
      </c>
      <c r="M1834" s="8" t="inlineStr">
        <is>
          <t>20250127</t>
        </is>
      </c>
      <c r="N1834" s="10" t="n">
        <v>200</v>
      </c>
      <c r="O1834" s="10">
        <f>IFERROR(VLOOKUP(A1834,Flete!$A:$J,10,0),"")</f>
        <v/>
      </c>
      <c r="P1834" s="8" t="inlineStr">
        <is>
          <t>M3</t>
        </is>
      </c>
      <c r="Q1834" s="10">
        <f>IFERROR(IFERROR(VLOOKUP(A1834,TRAOPE!$A:$U,21,0),VLOOKUP(B1834,TRAOPE!$A:$U,21,0)),"")</f>
        <v/>
      </c>
      <c r="R1834" s="8">
        <f>IFERROR(IFERROR(VLOOKUP(A1834,TRAOPE!$A:$W,23,0),VLOOKUP(B1834,TRAOPE!$A:$W,23,0)),"")</f>
        <v/>
      </c>
      <c r="S1834" s="10">
        <f>IF(AND(P1834="TN",R1834="TN"),N1834+N(O1834),IF(G1834&amp;""="1",N(K1834)*N1834,(N1834+N(O1834))*N(K1834)))</f>
        <v/>
      </c>
      <c r="T1834" s="10">
        <f>IF(Q1834="","",Q1834-S1834)</f>
        <v/>
      </c>
    </row>
    <row r="1835">
      <c r="A1835" s="7">
        <f>CONCATENATE(C1835,E1835,F1835,I1835)</f>
        <v/>
      </c>
      <c r="B1835" s="7">
        <f>CONCATENATE(C1835,E1835,I1835)</f>
        <v/>
      </c>
      <c r="C1835" s="8" t="n">
        <v>900005586</v>
      </c>
      <c r="D1835" s="7">
        <f>IFERROR(VLOOKUP(C1835,TRAOPE!$G:$H,2,0),"")</f>
        <v/>
      </c>
      <c r="E1835" s="8" t="inlineStr">
        <is>
          <t>D836</t>
        </is>
      </c>
      <c r="F1835" s="8" t="inlineStr">
        <is>
          <t>66618135</t>
        </is>
      </c>
      <c r="G1835" s="8">
        <f>IFERROR(VLOOKUP(A1835,Flete!$A:$E,5,0),"")</f>
        <v/>
      </c>
      <c r="H1835" s="7">
        <f>IFERROR(VLOOKUP(F1835,TRAOPE!$AA:$AB,2,0),"")</f>
        <v/>
      </c>
      <c r="I1835" s="7" t="n">
        <v>10152927</v>
      </c>
      <c r="J1835" s="7">
        <f>IFERROR(VLOOKUP(I1835,Materiales!$A:$H,8,0),"")</f>
        <v/>
      </c>
      <c r="K1835" s="9">
        <f>IFERROR(VLOOKUP(I1835,Materiales!$A:$G,7,0),"")</f>
        <v/>
      </c>
      <c r="L1835" s="8" t="inlineStr">
        <is>
          <t>20190426</t>
        </is>
      </c>
      <c r="M1835" s="8" t="inlineStr">
        <is>
          <t>20250127</t>
        </is>
      </c>
      <c r="N1835" s="10" t="n">
        <v>200</v>
      </c>
      <c r="O1835" s="10">
        <f>IFERROR(VLOOKUP(A1835,Flete!$A:$J,10,0),"")</f>
        <v/>
      </c>
      <c r="P1835" s="8" t="inlineStr">
        <is>
          <t>M3</t>
        </is>
      </c>
      <c r="Q1835" s="10">
        <f>IFERROR(IFERROR(VLOOKUP(A1835,TRAOPE!$A:$U,21,0),VLOOKUP(B1835,TRAOPE!$A:$U,21,0)),"")</f>
        <v/>
      </c>
      <c r="R1835" s="8">
        <f>IFERROR(IFERROR(VLOOKUP(A1835,TRAOPE!$A:$W,23,0),VLOOKUP(B1835,TRAOPE!$A:$W,23,0)),"")</f>
        <v/>
      </c>
      <c r="S1835" s="10">
        <f>IF(AND(P1835="TN",R1835="TN"),N1835+N(O1835),IF(G1835&amp;""="1",N(K1835)*N1835,(N1835+N(O1835))*N(K1835)))</f>
        <v/>
      </c>
      <c r="T1835" s="10">
        <f>IF(Q1835="","",Q1835-S1835)</f>
        <v/>
      </c>
    </row>
    <row r="1836">
      <c r="A1836" s="7">
        <f>CONCATENATE(C1836,E1836,F1836,I1836)</f>
        <v/>
      </c>
      <c r="B1836" s="7">
        <f>CONCATENATE(C1836,E1836,I1836)</f>
        <v/>
      </c>
      <c r="C1836" s="8" t="n">
        <v>900005627</v>
      </c>
      <c r="D1836" s="7">
        <f>IFERROR(VLOOKUP(C1836,TRAOPE!$G:$H,2,0),"")</f>
        <v/>
      </c>
      <c r="E1836" s="8" t="inlineStr">
        <is>
          <t>D836</t>
        </is>
      </c>
      <c r="F1836" s="8" t="inlineStr">
        <is>
          <t>65911289</t>
        </is>
      </c>
      <c r="G1836" s="8">
        <f>IFERROR(VLOOKUP(A1836,Flete!$A:$E,5,0),"")</f>
        <v/>
      </c>
      <c r="H1836" s="7">
        <f>IFERROR(VLOOKUP(F1836,TRAOPE!$AA:$AB,2,0),"")</f>
        <v/>
      </c>
      <c r="I1836" s="7" t="n">
        <v>10189652</v>
      </c>
      <c r="J1836" s="7">
        <f>IFERROR(VLOOKUP(I1836,Materiales!$A:$H,8,0),"")</f>
        <v/>
      </c>
      <c r="K1836" s="9">
        <f>IFERROR(VLOOKUP(I1836,Materiales!$A:$G,7,0),"")</f>
        <v/>
      </c>
      <c r="L1836" s="8" t="inlineStr">
        <is>
          <t>20190426</t>
        </is>
      </c>
      <c r="M1836" s="8" t="inlineStr">
        <is>
          <t>20250127</t>
        </is>
      </c>
      <c r="N1836" s="10" t="n">
        <v>435</v>
      </c>
      <c r="O1836" s="10">
        <f>IFERROR(VLOOKUP(A1836,Flete!$A:$J,10,0),"")</f>
        <v/>
      </c>
      <c r="P1836" s="8" t="inlineStr">
        <is>
          <t>M3</t>
        </is>
      </c>
      <c r="Q1836" s="10">
        <f>IFERROR(IFERROR(VLOOKUP(A1836,TRAOPE!$A:$U,21,0),VLOOKUP(B1836,TRAOPE!$A:$U,21,0)),"")</f>
        <v/>
      </c>
      <c r="R1836" s="8">
        <f>IFERROR(IFERROR(VLOOKUP(A1836,TRAOPE!$A:$W,23,0),VLOOKUP(B1836,TRAOPE!$A:$W,23,0)),"")</f>
        <v/>
      </c>
      <c r="S1836" s="10">
        <f>IF(AND(P1836="TN",R1836="TN"),N1836+N(O1836),IF(G1836&amp;""="1",N(K1836)*N1836,(N1836+N(O1836))*N(K1836)))</f>
        <v/>
      </c>
      <c r="T1836" s="10">
        <f>IF(Q1836="","",Q1836-S1836)</f>
        <v/>
      </c>
    </row>
    <row r="1837">
      <c r="A1837" s="7">
        <f>CONCATENATE(C1837,E1837,F1837,I1837)</f>
        <v/>
      </c>
      <c r="B1837" s="7">
        <f>CONCATENATE(C1837,E1837,I1837)</f>
        <v/>
      </c>
      <c r="C1837" s="8" t="n">
        <v>900005627</v>
      </c>
      <c r="D1837" s="7">
        <f>IFERROR(VLOOKUP(C1837,TRAOPE!$G:$H,2,0),"")</f>
        <v/>
      </c>
      <c r="E1837" s="8" t="inlineStr">
        <is>
          <t>D836</t>
        </is>
      </c>
      <c r="F1837" s="8" t="inlineStr">
        <is>
          <t>65911289</t>
        </is>
      </c>
      <c r="G1837" s="8">
        <f>IFERROR(VLOOKUP(A1837,Flete!$A:$E,5,0),"")</f>
        <v/>
      </c>
      <c r="H1837" s="7">
        <f>IFERROR(VLOOKUP(F1837,TRAOPE!$AA:$AB,2,0),"")</f>
        <v/>
      </c>
      <c r="I1837" s="7" t="n">
        <v>10189935</v>
      </c>
      <c r="J1837" s="7">
        <f>IFERROR(VLOOKUP(I1837,Materiales!$A:$H,8,0),"")</f>
        <v/>
      </c>
      <c r="K1837" s="9">
        <f>IFERROR(VLOOKUP(I1837,Materiales!$A:$G,7,0),"")</f>
        <v/>
      </c>
      <c r="L1837" s="8" t="inlineStr">
        <is>
          <t>20190426</t>
        </is>
      </c>
      <c r="M1837" s="8" t="inlineStr">
        <is>
          <t>20250127</t>
        </is>
      </c>
      <c r="N1837" s="10" t="n">
        <v>370</v>
      </c>
      <c r="O1837" s="10">
        <f>IFERROR(VLOOKUP(A1837,Flete!$A:$J,10,0),"")</f>
        <v/>
      </c>
      <c r="P1837" s="8" t="inlineStr">
        <is>
          <t>M3</t>
        </is>
      </c>
      <c r="Q1837" s="10">
        <f>IFERROR(IFERROR(VLOOKUP(A1837,TRAOPE!$A:$U,21,0),VLOOKUP(B1837,TRAOPE!$A:$U,21,0)),"")</f>
        <v/>
      </c>
      <c r="R1837" s="8">
        <f>IFERROR(IFERROR(VLOOKUP(A1837,TRAOPE!$A:$W,23,0),VLOOKUP(B1837,TRAOPE!$A:$W,23,0)),"")</f>
        <v/>
      </c>
      <c r="S1837" s="10">
        <f>IF(AND(P1837="TN",R1837="TN"),N1837+N(O1837),IF(G1837&amp;""="1",N(K1837)*N1837,(N1837+N(O1837))*N(K1837)))</f>
        <v/>
      </c>
      <c r="T1837" s="10">
        <f>IF(Q1837="","",Q1837-S1837)</f>
        <v/>
      </c>
    </row>
    <row r="1838">
      <c r="A1838" s="7">
        <f>CONCATENATE(C1838,E1838,F1838,I1838)</f>
        <v/>
      </c>
      <c r="B1838" s="7">
        <f>CONCATENATE(C1838,E1838,I1838)</f>
        <v/>
      </c>
      <c r="C1838" s="8" t="n">
        <v>900005627</v>
      </c>
      <c r="D1838" s="7">
        <f>IFERROR(VLOOKUP(C1838,TRAOPE!$G:$H,2,0),"")</f>
        <v/>
      </c>
      <c r="E1838" s="8" t="inlineStr">
        <is>
          <t>D836</t>
        </is>
      </c>
      <c r="F1838" s="8" t="inlineStr">
        <is>
          <t>66458217</t>
        </is>
      </c>
      <c r="G1838" s="8">
        <f>IFERROR(VLOOKUP(A1838,Flete!$A:$E,5,0),"")</f>
        <v/>
      </c>
      <c r="H1838" s="7">
        <f>IFERROR(VLOOKUP(F1838,TRAOPE!$AA:$AB,2,0),"")</f>
        <v/>
      </c>
      <c r="I1838" s="7" t="n">
        <v>10000598</v>
      </c>
      <c r="J1838" s="7">
        <f>IFERROR(VLOOKUP(I1838,Materiales!$A:$H,8,0),"")</f>
        <v/>
      </c>
      <c r="K1838" s="9">
        <f>IFERROR(VLOOKUP(I1838,Materiales!$A:$G,7,0),"")</f>
        <v/>
      </c>
      <c r="L1838" s="8" t="inlineStr">
        <is>
          <t>20190426</t>
        </is>
      </c>
      <c r="M1838" s="8" t="inlineStr">
        <is>
          <t>20250127</t>
        </is>
      </c>
      <c r="N1838" s="10" t="n">
        <v>300</v>
      </c>
      <c r="O1838" s="10">
        <f>IFERROR(VLOOKUP(A1838,Flete!$A:$J,10,0),"")</f>
        <v/>
      </c>
      <c r="P1838" s="8" t="inlineStr">
        <is>
          <t>M3</t>
        </is>
      </c>
      <c r="Q1838" s="10">
        <f>IFERROR(IFERROR(VLOOKUP(A1838,TRAOPE!$A:$U,21,0),VLOOKUP(B1838,TRAOPE!$A:$U,21,0)),"")</f>
        <v/>
      </c>
      <c r="R1838" s="8">
        <f>IFERROR(IFERROR(VLOOKUP(A1838,TRAOPE!$A:$W,23,0),VLOOKUP(B1838,TRAOPE!$A:$W,23,0)),"")</f>
        <v/>
      </c>
      <c r="S1838" s="10">
        <f>IF(AND(P1838="TN",R1838="TN"),N1838+N(O1838),IF(G1838&amp;""="1",N(K1838)*N1838,(N1838+N(O1838))*N(K1838)))</f>
        <v/>
      </c>
      <c r="T1838" s="10">
        <f>IF(Q1838="","",Q1838-S1838)</f>
        <v/>
      </c>
    </row>
    <row r="1839">
      <c r="A1839" s="7">
        <f>CONCATENATE(C1839,E1839,F1839,I1839)</f>
        <v/>
      </c>
      <c r="B1839" s="7">
        <f>CONCATENATE(C1839,E1839,I1839)</f>
        <v/>
      </c>
      <c r="C1839" s="8" t="n">
        <v>900005627</v>
      </c>
      <c r="D1839" s="7">
        <f>IFERROR(VLOOKUP(C1839,TRAOPE!$G:$H,2,0),"")</f>
        <v/>
      </c>
      <c r="E1839" s="8" t="inlineStr">
        <is>
          <t>D836</t>
        </is>
      </c>
      <c r="F1839" s="8" t="inlineStr">
        <is>
          <t>66458217</t>
        </is>
      </c>
      <c r="G1839" s="8">
        <f>IFERROR(VLOOKUP(A1839,Flete!$A:$E,5,0),"")</f>
        <v/>
      </c>
      <c r="H1839" s="7">
        <f>IFERROR(VLOOKUP(F1839,TRAOPE!$AA:$AB,2,0),"")</f>
        <v/>
      </c>
      <c r="I1839" s="7" t="n">
        <v>10154187</v>
      </c>
      <c r="J1839" s="7">
        <f>IFERROR(VLOOKUP(I1839,Materiales!$A:$H,8,0),"")</f>
        <v/>
      </c>
      <c r="K1839" s="9">
        <f>IFERROR(VLOOKUP(I1839,Materiales!$A:$G,7,0),"")</f>
        <v/>
      </c>
      <c r="L1839" s="8" t="inlineStr">
        <is>
          <t>20190426</t>
        </is>
      </c>
      <c r="M1839" s="8" t="inlineStr">
        <is>
          <t>20250127</t>
        </is>
      </c>
      <c r="N1839" s="10" t="n">
        <v>290</v>
      </c>
      <c r="O1839" s="10">
        <f>IFERROR(VLOOKUP(A1839,Flete!$A:$J,10,0),"")</f>
        <v/>
      </c>
      <c r="P1839" s="8" t="inlineStr">
        <is>
          <t>M3</t>
        </is>
      </c>
      <c r="Q1839" s="10">
        <f>IFERROR(IFERROR(VLOOKUP(A1839,TRAOPE!$A:$U,21,0),VLOOKUP(B1839,TRAOPE!$A:$U,21,0)),"")</f>
        <v/>
      </c>
      <c r="R1839" s="8">
        <f>IFERROR(IFERROR(VLOOKUP(A1839,TRAOPE!$A:$W,23,0),VLOOKUP(B1839,TRAOPE!$A:$W,23,0)),"")</f>
        <v/>
      </c>
      <c r="S1839" s="10">
        <f>IF(AND(P1839="TN",R1839="TN"),N1839+N(O1839),IF(G1839&amp;""="1",N(K1839)*N1839,(N1839+N(O1839))*N(K1839)))</f>
        <v/>
      </c>
      <c r="T1839" s="10">
        <f>IF(Q1839="","",Q1839-S1839)</f>
        <v/>
      </c>
    </row>
    <row r="1840">
      <c r="A1840" s="7">
        <f>CONCATENATE(C1840,E1840,F1840,I1840)</f>
        <v/>
      </c>
      <c r="B1840" s="7">
        <f>CONCATENATE(C1840,E1840,I1840)</f>
        <v/>
      </c>
      <c r="C1840" s="8" t="n">
        <v>900005627</v>
      </c>
      <c r="D1840" s="7">
        <f>IFERROR(VLOOKUP(C1840,TRAOPE!$G:$H,2,0),"")</f>
        <v/>
      </c>
      <c r="E1840" s="8" t="inlineStr">
        <is>
          <t>D836</t>
        </is>
      </c>
      <c r="F1840" s="8" t="inlineStr">
        <is>
          <t>66526341</t>
        </is>
      </c>
      <c r="G1840" s="8">
        <f>IFERROR(VLOOKUP(A1840,Flete!$A:$E,5,0),"")</f>
        <v/>
      </c>
      <c r="H1840" s="7">
        <f>IFERROR(VLOOKUP(F1840,TRAOPE!$AA:$AB,2,0),"")</f>
        <v/>
      </c>
      <c r="I1840" s="7" t="n">
        <v>10154416</v>
      </c>
      <c r="J1840" s="7">
        <f>IFERROR(VLOOKUP(I1840,Materiales!$A:$H,8,0),"")</f>
        <v/>
      </c>
      <c r="K1840" s="9">
        <f>IFERROR(VLOOKUP(I1840,Materiales!$A:$G,7,0),"")</f>
        <v/>
      </c>
      <c r="L1840" s="8" t="inlineStr">
        <is>
          <t>20190426</t>
        </is>
      </c>
      <c r="M1840" s="8" t="inlineStr">
        <is>
          <t>20250127</t>
        </is>
      </c>
      <c r="N1840" s="10" t="n">
        <v>140</v>
      </c>
      <c r="O1840" s="10">
        <f>IFERROR(VLOOKUP(A1840,Flete!$A:$J,10,0),"")</f>
        <v/>
      </c>
      <c r="P1840" s="8" t="inlineStr">
        <is>
          <t>M3</t>
        </is>
      </c>
      <c r="Q1840" s="10">
        <f>IFERROR(IFERROR(VLOOKUP(A1840,TRAOPE!$A:$U,21,0),VLOOKUP(B1840,TRAOPE!$A:$U,21,0)),"")</f>
        <v/>
      </c>
      <c r="R1840" s="8">
        <f>IFERROR(IFERROR(VLOOKUP(A1840,TRAOPE!$A:$W,23,0),VLOOKUP(B1840,TRAOPE!$A:$W,23,0)),"")</f>
        <v/>
      </c>
      <c r="S1840" s="10">
        <f>IF(AND(P1840="TN",R1840="TN"),N1840+N(O1840),IF(G1840&amp;""="1",N(K1840)*N1840,(N1840+N(O1840))*N(K1840)))</f>
        <v/>
      </c>
      <c r="T1840" s="10">
        <f>IF(Q1840="","",Q1840-S1840)</f>
        <v/>
      </c>
    </row>
    <row r="1841">
      <c r="A1841" s="7">
        <f>CONCATENATE(C1841,E1841,F1841,I1841)</f>
        <v/>
      </c>
      <c r="B1841" s="7">
        <f>CONCATENATE(C1841,E1841,I1841)</f>
        <v/>
      </c>
      <c r="C1841" s="8" t="n">
        <v>900005627</v>
      </c>
      <c r="D1841" s="7">
        <f>IFERROR(VLOOKUP(C1841,TRAOPE!$G:$H,2,0),"")</f>
        <v/>
      </c>
      <c r="E1841" s="8" t="inlineStr">
        <is>
          <t>D836</t>
        </is>
      </c>
      <c r="F1841" s="8" t="inlineStr">
        <is>
          <t>66526343</t>
        </is>
      </c>
      <c r="G1841" s="8">
        <f>IFERROR(VLOOKUP(A1841,Flete!$A:$E,5,0),"")</f>
        <v/>
      </c>
      <c r="H1841" s="7">
        <f>IFERROR(VLOOKUP(F1841,TRAOPE!$AA:$AB,2,0),"")</f>
        <v/>
      </c>
      <c r="I1841" s="7" t="n">
        <v>10154416</v>
      </c>
      <c r="J1841" s="7">
        <f>IFERROR(VLOOKUP(I1841,Materiales!$A:$H,8,0),"")</f>
        <v/>
      </c>
      <c r="K1841" s="9">
        <f>IFERROR(VLOOKUP(I1841,Materiales!$A:$G,7,0),"")</f>
        <v/>
      </c>
      <c r="L1841" s="8" t="inlineStr">
        <is>
          <t>20190426</t>
        </is>
      </c>
      <c r="M1841" s="8" t="inlineStr">
        <is>
          <t>20250127</t>
        </is>
      </c>
      <c r="N1841" s="10" t="n">
        <v>140</v>
      </c>
      <c r="O1841" s="10">
        <f>IFERROR(VLOOKUP(A1841,Flete!$A:$J,10,0),"")</f>
        <v/>
      </c>
      <c r="P1841" s="8" t="inlineStr">
        <is>
          <t>M3</t>
        </is>
      </c>
      <c r="Q1841" s="10">
        <f>IFERROR(IFERROR(VLOOKUP(A1841,TRAOPE!$A:$U,21,0),VLOOKUP(B1841,TRAOPE!$A:$U,21,0)),"")</f>
        <v/>
      </c>
      <c r="R1841" s="8">
        <f>IFERROR(IFERROR(VLOOKUP(A1841,TRAOPE!$A:$W,23,0),VLOOKUP(B1841,TRAOPE!$A:$W,23,0)),"")</f>
        <v/>
      </c>
      <c r="S1841" s="10">
        <f>IF(AND(P1841="TN",R1841="TN"),N1841+N(O1841),IF(G1841&amp;""="1",N(K1841)*N1841,(N1841+N(O1841))*N(K1841)))</f>
        <v/>
      </c>
      <c r="T1841" s="10">
        <f>IF(Q1841="","",Q1841-S1841)</f>
        <v/>
      </c>
    </row>
    <row r="1842">
      <c r="A1842" s="7">
        <f>CONCATENATE(C1842,E1842,F1842,I1842)</f>
        <v/>
      </c>
      <c r="B1842" s="7">
        <f>CONCATENATE(C1842,E1842,I1842)</f>
        <v/>
      </c>
      <c r="C1842" s="8" t="n">
        <v>900005627</v>
      </c>
      <c r="D1842" s="7">
        <f>IFERROR(VLOOKUP(C1842,TRAOPE!$G:$H,2,0),"")</f>
        <v/>
      </c>
      <c r="E1842" s="8" t="inlineStr">
        <is>
          <t>D836</t>
        </is>
      </c>
      <c r="F1842" s="8" t="inlineStr">
        <is>
          <t>66538213</t>
        </is>
      </c>
      <c r="G1842" s="8">
        <f>IFERROR(VLOOKUP(A1842,Flete!$A:$E,5,0),"")</f>
        <v/>
      </c>
      <c r="H1842" s="7">
        <f>IFERROR(VLOOKUP(F1842,TRAOPE!$AA:$AB,2,0),"")</f>
        <v/>
      </c>
      <c r="I1842" s="7" t="n">
        <v>10154416</v>
      </c>
      <c r="J1842" s="7">
        <f>IFERROR(VLOOKUP(I1842,Materiales!$A:$H,8,0),"")</f>
        <v/>
      </c>
      <c r="K1842" s="9">
        <f>IFERROR(VLOOKUP(I1842,Materiales!$A:$G,7,0),"")</f>
        <v/>
      </c>
      <c r="L1842" s="8" t="inlineStr">
        <is>
          <t>20190426</t>
        </is>
      </c>
      <c r="M1842" s="8" t="inlineStr">
        <is>
          <t>20250127</t>
        </is>
      </c>
      <c r="N1842" s="10" t="n">
        <v>140</v>
      </c>
      <c r="O1842" s="10">
        <f>IFERROR(VLOOKUP(A1842,Flete!$A:$J,10,0),"")</f>
        <v/>
      </c>
      <c r="P1842" s="8" t="inlineStr">
        <is>
          <t>M3</t>
        </is>
      </c>
      <c r="Q1842" s="10">
        <f>IFERROR(IFERROR(VLOOKUP(A1842,TRAOPE!$A:$U,21,0),VLOOKUP(B1842,TRAOPE!$A:$U,21,0)),"")</f>
        <v/>
      </c>
      <c r="R1842" s="8">
        <f>IFERROR(IFERROR(VLOOKUP(A1842,TRAOPE!$A:$W,23,0),VLOOKUP(B1842,TRAOPE!$A:$W,23,0)),"")</f>
        <v/>
      </c>
      <c r="S1842" s="10">
        <f>IF(AND(P1842="TN",R1842="TN"),N1842+N(O1842),IF(G1842&amp;""="1",N(K1842)*N1842,(N1842+N(O1842))*N(K1842)))</f>
        <v/>
      </c>
      <c r="T1842" s="10">
        <f>IF(Q1842="","",Q1842-S1842)</f>
        <v/>
      </c>
    </row>
    <row r="1843">
      <c r="A1843" s="7">
        <f>CONCATENATE(C1843,E1843,F1843,I1843)</f>
        <v/>
      </c>
      <c r="B1843" s="7">
        <f>CONCATENATE(C1843,E1843,I1843)</f>
        <v/>
      </c>
      <c r="C1843" s="8" t="n">
        <v>900005627</v>
      </c>
      <c r="D1843" s="7">
        <f>IFERROR(VLOOKUP(C1843,TRAOPE!$G:$H,2,0),"")</f>
        <v/>
      </c>
      <c r="E1843" s="8" t="inlineStr">
        <is>
          <t>D836</t>
        </is>
      </c>
      <c r="F1843" s="8" t="inlineStr">
        <is>
          <t>67164038</t>
        </is>
      </c>
      <c r="G1843" s="8">
        <f>IFERROR(VLOOKUP(A1843,Flete!$A:$E,5,0),"")</f>
        <v/>
      </c>
      <c r="H1843" s="7">
        <f>IFERROR(VLOOKUP(F1843,TRAOPE!$AA:$AB,2,0),"")</f>
        <v/>
      </c>
      <c r="I1843" s="7" t="n">
        <v>10159061</v>
      </c>
      <c r="J1843" s="7">
        <f>IFERROR(VLOOKUP(I1843,Materiales!$A:$H,8,0),"")</f>
        <v/>
      </c>
      <c r="K1843" s="9">
        <f>IFERROR(VLOOKUP(I1843,Materiales!$A:$G,7,0),"")</f>
        <v/>
      </c>
      <c r="L1843" s="8" t="inlineStr">
        <is>
          <t>20190426</t>
        </is>
      </c>
      <c r="M1843" s="8" t="inlineStr">
        <is>
          <t>20250127</t>
        </is>
      </c>
      <c r="N1843" s="10" t="n">
        <v>145</v>
      </c>
      <c r="O1843" s="10">
        <f>IFERROR(VLOOKUP(A1843,Flete!$A:$J,10,0),"")</f>
        <v/>
      </c>
      <c r="P1843" s="8" t="inlineStr">
        <is>
          <t>M3</t>
        </is>
      </c>
      <c r="Q1843" s="10">
        <f>IFERROR(IFERROR(VLOOKUP(A1843,TRAOPE!$A:$U,21,0),VLOOKUP(B1843,TRAOPE!$A:$U,21,0)),"")</f>
        <v/>
      </c>
      <c r="R1843" s="8">
        <f>IFERROR(IFERROR(VLOOKUP(A1843,TRAOPE!$A:$W,23,0),VLOOKUP(B1843,TRAOPE!$A:$W,23,0)),"")</f>
        <v/>
      </c>
      <c r="S1843" s="10">
        <f>IF(AND(P1843="TN",R1843="TN"),N1843+N(O1843),IF(G1843&amp;""="1",N(K1843)*N1843,(N1843+N(O1843))*N(K1843)))</f>
        <v/>
      </c>
      <c r="T1843" s="10">
        <f>IF(Q1843="","",Q1843-S1843)</f>
        <v/>
      </c>
    </row>
    <row r="1844">
      <c r="A1844" s="7">
        <f>CONCATENATE(C1844,E1844,F1844,I1844)</f>
        <v/>
      </c>
      <c r="B1844" s="7">
        <f>CONCATENATE(C1844,E1844,I1844)</f>
        <v/>
      </c>
      <c r="C1844" s="8" t="n">
        <v>900006005</v>
      </c>
      <c r="D1844" s="7">
        <f>IFERROR(VLOOKUP(C1844,TRAOPE!$G:$H,2,0),"")</f>
        <v/>
      </c>
      <c r="E1844" s="8" t="inlineStr">
        <is>
          <t>D836</t>
        </is>
      </c>
      <c r="F1844" s="8" t="inlineStr">
        <is>
          <t>65251399</t>
        </is>
      </c>
      <c r="G1844" s="8">
        <f>IFERROR(VLOOKUP(A1844,Flete!$A:$E,5,0),"")</f>
        <v/>
      </c>
      <c r="H1844" s="7">
        <f>IFERROR(VLOOKUP(F1844,TRAOPE!$AA:$AB,2,0),"")</f>
        <v/>
      </c>
      <c r="I1844" s="7" t="n">
        <v>10183920</v>
      </c>
      <c r="J1844" s="7">
        <f>IFERROR(VLOOKUP(I1844,Materiales!$A:$H,8,0),"")</f>
        <v/>
      </c>
      <c r="K1844" s="9">
        <f>IFERROR(VLOOKUP(I1844,Materiales!$A:$G,7,0),"")</f>
        <v/>
      </c>
      <c r="L1844" s="8" t="inlineStr">
        <is>
          <t>20190426</t>
        </is>
      </c>
      <c r="M1844" s="8" t="inlineStr">
        <is>
          <t>20250127</t>
        </is>
      </c>
      <c r="N1844" s="10" t="n">
        <v>90</v>
      </c>
      <c r="O1844" s="10">
        <f>IFERROR(VLOOKUP(A1844,Flete!$A:$J,10,0),"")</f>
        <v/>
      </c>
      <c r="P1844" s="8" t="inlineStr">
        <is>
          <t>M3</t>
        </is>
      </c>
      <c r="Q1844" s="10">
        <f>IFERROR(IFERROR(VLOOKUP(A1844,TRAOPE!$A:$U,21,0),VLOOKUP(B1844,TRAOPE!$A:$U,21,0)),"")</f>
        <v/>
      </c>
      <c r="R1844" s="8">
        <f>IFERROR(IFERROR(VLOOKUP(A1844,TRAOPE!$A:$W,23,0),VLOOKUP(B1844,TRAOPE!$A:$W,23,0)),"")</f>
        <v/>
      </c>
      <c r="S1844" s="10">
        <f>IF(AND(P1844="TN",R1844="TN"),N1844+N(O1844),IF(G1844&amp;""="1",N(K1844)*N1844,(N1844+N(O1844))*N(K1844)))</f>
        <v/>
      </c>
      <c r="T1844" s="10">
        <f>IF(Q1844="","",Q1844-S1844)</f>
        <v/>
      </c>
    </row>
    <row r="1845">
      <c r="A1845" s="7">
        <f>CONCATENATE(C1845,E1845,F1845,I1845)</f>
        <v/>
      </c>
      <c r="B1845" s="7">
        <f>CONCATENATE(C1845,E1845,I1845)</f>
        <v/>
      </c>
      <c r="C1845" s="8" t="n">
        <v>900006005</v>
      </c>
      <c r="D1845" s="7">
        <f>IFERROR(VLOOKUP(C1845,TRAOPE!$G:$H,2,0),"")</f>
        <v/>
      </c>
      <c r="E1845" s="8" t="inlineStr">
        <is>
          <t>D836</t>
        </is>
      </c>
      <c r="F1845" s="8" t="inlineStr">
        <is>
          <t>65272437</t>
        </is>
      </c>
      <c r="G1845" s="8">
        <f>IFERROR(VLOOKUP(A1845,Flete!$A:$E,5,0),"")</f>
        <v/>
      </c>
      <c r="H1845" s="7">
        <f>IFERROR(VLOOKUP(F1845,TRAOPE!$AA:$AB,2,0),"")</f>
        <v/>
      </c>
      <c r="I1845" s="7" t="n">
        <v>10000630</v>
      </c>
      <c r="J1845" s="7">
        <f>IFERROR(VLOOKUP(I1845,Materiales!$A:$H,8,0),"")</f>
        <v/>
      </c>
      <c r="K1845" s="9">
        <f>IFERROR(VLOOKUP(I1845,Materiales!$A:$G,7,0),"")</f>
        <v/>
      </c>
      <c r="L1845" s="8" t="inlineStr">
        <is>
          <t>20190426</t>
        </is>
      </c>
      <c r="M1845" s="8" t="inlineStr">
        <is>
          <t>20250127</t>
        </is>
      </c>
      <c r="N1845" s="10" t="n">
        <v>120</v>
      </c>
      <c r="O1845" s="10">
        <f>IFERROR(VLOOKUP(A1845,Flete!$A:$J,10,0),"")</f>
        <v/>
      </c>
      <c r="P1845" s="8" t="inlineStr">
        <is>
          <t>M3</t>
        </is>
      </c>
      <c r="Q1845" s="10">
        <f>IFERROR(IFERROR(VLOOKUP(A1845,TRAOPE!$A:$U,21,0),VLOOKUP(B1845,TRAOPE!$A:$U,21,0)),"")</f>
        <v/>
      </c>
      <c r="R1845" s="8">
        <f>IFERROR(IFERROR(VLOOKUP(A1845,TRAOPE!$A:$W,23,0),VLOOKUP(B1845,TRAOPE!$A:$W,23,0)),"")</f>
        <v/>
      </c>
      <c r="S1845" s="10">
        <f>IF(AND(P1845="TN",R1845="TN"),N1845+N(O1845),IF(G1845&amp;""="1",N(K1845)*N1845,(N1845+N(O1845))*N(K1845)))</f>
        <v/>
      </c>
      <c r="T1845" s="10">
        <f>IF(Q1845="","",Q1845-S1845)</f>
        <v/>
      </c>
    </row>
    <row r="1846">
      <c r="A1846" s="7">
        <f>CONCATENATE(C1846,E1846,F1846,I1846)</f>
        <v/>
      </c>
      <c r="B1846" s="7">
        <f>CONCATENATE(C1846,E1846,I1846)</f>
        <v/>
      </c>
      <c r="C1846" s="8" t="n">
        <v>900006005</v>
      </c>
      <c r="D1846" s="7">
        <f>IFERROR(VLOOKUP(C1846,TRAOPE!$G:$H,2,0),"")</f>
        <v/>
      </c>
      <c r="E1846" s="8" t="inlineStr">
        <is>
          <t>D836</t>
        </is>
      </c>
      <c r="F1846" s="8" t="inlineStr">
        <is>
          <t>66233244</t>
        </is>
      </c>
      <c r="G1846" s="8">
        <f>IFERROR(VLOOKUP(A1846,Flete!$A:$E,5,0),"")</f>
        <v/>
      </c>
      <c r="H1846" s="7">
        <f>IFERROR(VLOOKUP(F1846,TRAOPE!$AA:$AB,2,0),"")</f>
        <v/>
      </c>
      <c r="I1846" s="7" t="n">
        <v>10000427</v>
      </c>
      <c r="J1846" s="7">
        <f>IFERROR(VLOOKUP(I1846,Materiales!$A:$H,8,0),"")</f>
        <v/>
      </c>
      <c r="K1846" s="9">
        <f>IFERROR(VLOOKUP(I1846,Materiales!$A:$G,7,0),"")</f>
        <v/>
      </c>
      <c r="L1846" s="8" t="inlineStr">
        <is>
          <t>20190426</t>
        </is>
      </c>
      <c r="M1846" s="8" t="inlineStr">
        <is>
          <t>20250127</t>
        </is>
      </c>
      <c r="N1846" s="10" t="n">
        <v>134.4</v>
      </c>
      <c r="O1846" s="10">
        <f>IFERROR(VLOOKUP(A1846,Flete!$A:$J,10,0),"")</f>
        <v/>
      </c>
      <c r="P1846" s="8" t="inlineStr">
        <is>
          <t>M3</t>
        </is>
      </c>
      <c r="Q1846" s="10">
        <f>IFERROR(IFERROR(VLOOKUP(A1846,TRAOPE!$A:$U,21,0),VLOOKUP(B1846,TRAOPE!$A:$U,21,0)),"")</f>
        <v/>
      </c>
      <c r="R1846" s="8">
        <f>IFERROR(IFERROR(VLOOKUP(A1846,TRAOPE!$A:$W,23,0),VLOOKUP(B1846,TRAOPE!$A:$W,23,0)),"")</f>
        <v/>
      </c>
      <c r="S1846" s="10">
        <f>IF(AND(P1846="TN",R1846="TN"),N1846+N(O1846),IF(G1846&amp;""="1",N(K1846)*N1846,(N1846+N(O1846))*N(K1846)))</f>
        <v/>
      </c>
      <c r="T1846" s="10">
        <f>IF(Q1846="","",Q1846-S1846)</f>
        <v/>
      </c>
    </row>
    <row r="1847">
      <c r="A1847" s="7">
        <f>CONCATENATE(C1847,E1847,F1847,I1847)</f>
        <v/>
      </c>
      <c r="B1847" s="7">
        <f>CONCATENATE(C1847,E1847,I1847)</f>
        <v/>
      </c>
      <c r="C1847" s="8" t="n">
        <v>900006005</v>
      </c>
      <c r="D1847" s="7">
        <f>IFERROR(VLOOKUP(C1847,TRAOPE!$G:$H,2,0),"")</f>
        <v/>
      </c>
      <c r="E1847" s="8" t="inlineStr">
        <is>
          <t>D836</t>
        </is>
      </c>
      <c r="F1847" s="8" t="inlineStr">
        <is>
          <t>66233244</t>
        </is>
      </c>
      <c r="G1847" s="8">
        <f>IFERROR(VLOOKUP(A1847,Flete!$A:$E,5,0),"")</f>
        <v/>
      </c>
      <c r="H1847" s="7">
        <f>IFERROR(VLOOKUP(F1847,TRAOPE!$AA:$AB,2,0),"")</f>
        <v/>
      </c>
      <c r="I1847" s="7" t="n">
        <v>10000623</v>
      </c>
      <c r="J1847" s="7">
        <f>IFERROR(VLOOKUP(I1847,Materiales!$A:$H,8,0),"")</f>
        <v/>
      </c>
      <c r="K1847" s="9">
        <f>IFERROR(VLOOKUP(I1847,Materiales!$A:$G,7,0),"")</f>
        <v/>
      </c>
      <c r="L1847" s="8" t="inlineStr">
        <is>
          <t>20190426</t>
        </is>
      </c>
      <c r="M1847" s="8" t="inlineStr">
        <is>
          <t>20250127</t>
        </is>
      </c>
      <c r="N1847" s="10" t="n">
        <v>134.4</v>
      </c>
      <c r="O1847" s="10">
        <f>IFERROR(VLOOKUP(A1847,Flete!$A:$J,10,0),"")</f>
        <v/>
      </c>
      <c r="P1847" s="8" t="inlineStr">
        <is>
          <t>M3</t>
        </is>
      </c>
      <c r="Q1847" s="10">
        <f>IFERROR(IFERROR(VLOOKUP(A1847,TRAOPE!$A:$U,21,0),VLOOKUP(B1847,TRAOPE!$A:$U,21,0)),"")</f>
        <v/>
      </c>
      <c r="R1847" s="8">
        <f>IFERROR(IFERROR(VLOOKUP(A1847,TRAOPE!$A:$W,23,0),VLOOKUP(B1847,TRAOPE!$A:$W,23,0)),"")</f>
        <v/>
      </c>
      <c r="S1847" s="10">
        <f>IF(AND(P1847="TN",R1847="TN"),N1847+N(O1847),IF(G1847&amp;""="1",N(K1847)*N1847,(N1847+N(O1847))*N(K1847)))</f>
        <v/>
      </c>
      <c r="T1847" s="10">
        <f>IF(Q1847="","",Q1847-S1847)</f>
        <v/>
      </c>
    </row>
    <row r="1848">
      <c r="A1848" s="7">
        <f>CONCATENATE(C1848,E1848,F1848,I1848)</f>
        <v/>
      </c>
      <c r="B1848" s="7">
        <f>CONCATENATE(C1848,E1848,I1848)</f>
        <v/>
      </c>
      <c r="C1848" s="8" t="n">
        <v>900006005</v>
      </c>
      <c r="D1848" s="7">
        <f>IFERROR(VLOOKUP(C1848,TRAOPE!$G:$H,2,0),"")</f>
        <v/>
      </c>
      <c r="E1848" s="8" t="inlineStr">
        <is>
          <t>D836</t>
        </is>
      </c>
      <c r="F1848" s="8" t="inlineStr">
        <is>
          <t>66233244</t>
        </is>
      </c>
      <c r="G1848" s="8">
        <f>IFERROR(VLOOKUP(A1848,Flete!$A:$E,5,0),"")</f>
        <v/>
      </c>
      <c r="H1848" s="7">
        <f>IFERROR(VLOOKUP(F1848,TRAOPE!$AA:$AB,2,0),"")</f>
        <v/>
      </c>
      <c r="I1848" s="7" t="n">
        <v>10000624</v>
      </c>
      <c r="J1848" s="7">
        <f>IFERROR(VLOOKUP(I1848,Materiales!$A:$H,8,0),"")</f>
        <v/>
      </c>
      <c r="K1848" s="9">
        <f>IFERROR(VLOOKUP(I1848,Materiales!$A:$G,7,0),"")</f>
        <v/>
      </c>
      <c r="L1848" s="8" t="inlineStr">
        <is>
          <t>20190426</t>
        </is>
      </c>
      <c r="M1848" s="8" t="inlineStr">
        <is>
          <t>20250127</t>
        </is>
      </c>
      <c r="N1848" s="10" t="n">
        <v>134.4</v>
      </c>
      <c r="O1848" s="10">
        <f>IFERROR(VLOOKUP(A1848,Flete!$A:$J,10,0),"")</f>
        <v/>
      </c>
      <c r="P1848" s="8" t="inlineStr">
        <is>
          <t>M3</t>
        </is>
      </c>
      <c r="Q1848" s="10">
        <f>IFERROR(IFERROR(VLOOKUP(A1848,TRAOPE!$A:$U,21,0),VLOOKUP(B1848,TRAOPE!$A:$U,21,0)),"")</f>
        <v/>
      </c>
      <c r="R1848" s="8">
        <f>IFERROR(IFERROR(VLOOKUP(A1848,TRAOPE!$A:$W,23,0),VLOOKUP(B1848,TRAOPE!$A:$W,23,0)),"")</f>
        <v/>
      </c>
      <c r="S1848" s="10">
        <f>IF(AND(P1848="TN",R1848="TN"),N1848+N(O1848),IF(G1848&amp;""="1",N(K1848)*N1848,(N1848+N(O1848))*N(K1848)))</f>
        <v/>
      </c>
      <c r="T1848" s="10">
        <f>IF(Q1848="","",Q1848-S1848)</f>
        <v/>
      </c>
    </row>
    <row r="1849">
      <c r="A1849" s="7">
        <f>CONCATENATE(C1849,E1849,F1849,I1849)</f>
        <v/>
      </c>
      <c r="B1849" s="7">
        <f>CONCATENATE(C1849,E1849,I1849)</f>
        <v/>
      </c>
      <c r="C1849" s="8" t="n">
        <v>900006005</v>
      </c>
      <c r="D1849" s="7">
        <f>IFERROR(VLOOKUP(C1849,TRAOPE!$G:$H,2,0),"")</f>
        <v/>
      </c>
      <c r="E1849" s="8" t="inlineStr">
        <is>
          <t>D836</t>
        </is>
      </c>
      <c r="F1849" s="8" t="inlineStr">
        <is>
          <t>66233244</t>
        </is>
      </c>
      <c r="G1849" s="8">
        <f>IFERROR(VLOOKUP(A1849,Flete!$A:$E,5,0),"")</f>
        <v/>
      </c>
      <c r="H1849" s="7">
        <f>IFERROR(VLOOKUP(F1849,TRAOPE!$AA:$AB,2,0),"")</f>
        <v/>
      </c>
      <c r="I1849" s="7" t="n">
        <v>10000811</v>
      </c>
      <c r="J1849" s="7">
        <f>IFERROR(VLOOKUP(I1849,Materiales!$A:$H,8,0),"")</f>
        <v/>
      </c>
      <c r="K1849" s="9">
        <f>IFERROR(VLOOKUP(I1849,Materiales!$A:$G,7,0),"")</f>
        <v/>
      </c>
      <c r="L1849" s="8" t="inlineStr">
        <is>
          <t>20190426</t>
        </is>
      </c>
      <c r="M1849" s="8" t="inlineStr">
        <is>
          <t>20250127</t>
        </is>
      </c>
      <c r="N1849" s="10" t="n">
        <v>134.4</v>
      </c>
      <c r="O1849" s="10">
        <f>IFERROR(VLOOKUP(A1849,Flete!$A:$J,10,0),"")</f>
        <v/>
      </c>
      <c r="P1849" s="8" t="inlineStr">
        <is>
          <t>TN</t>
        </is>
      </c>
      <c r="Q1849" s="10">
        <f>IFERROR(IFERROR(VLOOKUP(A1849,TRAOPE!$A:$U,21,0),VLOOKUP(B1849,TRAOPE!$A:$U,21,0)),"")</f>
        <v/>
      </c>
      <c r="R1849" s="8">
        <f>IFERROR(IFERROR(VLOOKUP(A1849,TRAOPE!$A:$W,23,0),VLOOKUP(B1849,TRAOPE!$A:$W,23,0)),"")</f>
        <v/>
      </c>
      <c r="S1849" s="10">
        <f>IF(AND(P1849="TN",R1849="TN"),N1849+N(O1849),IF(G1849&amp;""="1",N(K1849)*N1849,(N1849+N(O1849))*N(K1849)))</f>
        <v/>
      </c>
      <c r="T1849" s="10">
        <f>IF(Q1849="","",Q1849-S1849)</f>
        <v/>
      </c>
    </row>
    <row r="1850">
      <c r="A1850" s="7">
        <f>CONCATENATE(C1850,E1850,F1850,I1850)</f>
        <v/>
      </c>
      <c r="B1850" s="7">
        <f>CONCATENATE(C1850,E1850,I1850)</f>
        <v/>
      </c>
      <c r="C1850" s="8" t="n">
        <v>900006005</v>
      </c>
      <c r="D1850" s="7">
        <f>IFERROR(VLOOKUP(C1850,TRAOPE!$G:$H,2,0),"")</f>
        <v/>
      </c>
      <c r="E1850" s="8" t="inlineStr">
        <is>
          <t>D836</t>
        </is>
      </c>
      <c r="F1850" s="8" t="inlineStr">
        <is>
          <t>66239598</t>
        </is>
      </c>
      <c r="G1850" s="8">
        <f>IFERROR(VLOOKUP(A1850,Flete!$A:$E,5,0),"")</f>
        <v/>
      </c>
      <c r="H1850" s="7">
        <f>IFERROR(VLOOKUP(F1850,TRAOPE!$AA:$AB,2,0),"")</f>
        <v/>
      </c>
      <c r="I1850" s="7" t="n">
        <v>10000623</v>
      </c>
      <c r="J1850" s="7">
        <f>IFERROR(VLOOKUP(I1850,Materiales!$A:$H,8,0),"")</f>
        <v/>
      </c>
      <c r="K1850" s="9">
        <f>IFERROR(VLOOKUP(I1850,Materiales!$A:$G,7,0),"")</f>
        <v/>
      </c>
      <c r="L1850" s="8" t="inlineStr">
        <is>
          <t>20190426</t>
        </is>
      </c>
      <c r="M1850" s="8" t="inlineStr">
        <is>
          <t>20250127</t>
        </is>
      </c>
      <c r="N1850" s="10" t="n">
        <v>134.74</v>
      </c>
      <c r="O1850" s="10">
        <f>IFERROR(VLOOKUP(A1850,Flete!$A:$J,10,0),"")</f>
        <v/>
      </c>
      <c r="P1850" s="8" t="inlineStr">
        <is>
          <t>M3</t>
        </is>
      </c>
      <c r="Q1850" s="10">
        <f>IFERROR(IFERROR(VLOOKUP(A1850,TRAOPE!$A:$U,21,0),VLOOKUP(B1850,TRAOPE!$A:$U,21,0)),"")</f>
        <v/>
      </c>
      <c r="R1850" s="8">
        <f>IFERROR(IFERROR(VLOOKUP(A1850,TRAOPE!$A:$W,23,0),VLOOKUP(B1850,TRAOPE!$A:$W,23,0)),"")</f>
        <v/>
      </c>
      <c r="S1850" s="10">
        <f>IF(AND(P1850="TN",R1850="TN"),N1850+N(O1850),IF(G1850&amp;""="1",N(K1850)*N1850,(N1850+N(O1850))*N(K1850)))</f>
        <v/>
      </c>
      <c r="T1850" s="10">
        <f>IF(Q1850="","",Q1850-S1850)</f>
        <v/>
      </c>
    </row>
    <row r="1851">
      <c r="A1851" s="7">
        <f>CONCATENATE(C1851,E1851,F1851,I1851)</f>
        <v/>
      </c>
      <c r="B1851" s="7">
        <f>CONCATENATE(C1851,E1851,I1851)</f>
        <v/>
      </c>
      <c r="C1851" s="8" t="n">
        <v>900006005</v>
      </c>
      <c r="D1851" s="7">
        <f>IFERROR(VLOOKUP(C1851,TRAOPE!$G:$H,2,0),"")</f>
        <v/>
      </c>
      <c r="E1851" s="8" t="inlineStr">
        <is>
          <t>D836</t>
        </is>
      </c>
      <c r="F1851" s="8" t="inlineStr">
        <is>
          <t>66239617</t>
        </is>
      </c>
      <c r="G1851" s="8">
        <f>IFERROR(VLOOKUP(A1851,Flete!$A:$E,5,0),"")</f>
        <v/>
      </c>
      <c r="H1851" s="7">
        <f>IFERROR(VLOOKUP(F1851,TRAOPE!$AA:$AB,2,0),"")</f>
        <v/>
      </c>
      <c r="I1851" s="7" t="n">
        <v>10000623</v>
      </c>
      <c r="J1851" s="7">
        <f>IFERROR(VLOOKUP(I1851,Materiales!$A:$H,8,0),"")</f>
        <v/>
      </c>
      <c r="K1851" s="9">
        <f>IFERROR(VLOOKUP(I1851,Materiales!$A:$G,7,0),"")</f>
        <v/>
      </c>
      <c r="L1851" s="8" t="inlineStr">
        <is>
          <t>20190426</t>
        </is>
      </c>
      <c r="M1851" s="8" t="inlineStr">
        <is>
          <t>20250127</t>
        </is>
      </c>
      <c r="N1851" s="10" t="n">
        <v>134.74</v>
      </c>
      <c r="O1851" s="10">
        <f>IFERROR(VLOOKUP(A1851,Flete!$A:$J,10,0),"")</f>
        <v/>
      </c>
      <c r="P1851" s="8" t="inlineStr">
        <is>
          <t>M3</t>
        </is>
      </c>
      <c r="Q1851" s="10">
        <f>IFERROR(IFERROR(VLOOKUP(A1851,TRAOPE!$A:$U,21,0),VLOOKUP(B1851,TRAOPE!$A:$U,21,0)),"")</f>
        <v/>
      </c>
      <c r="R1851" s="8">
        <f>IFERROR(IFERROR(VLOOKUP(A1851,TRAOPE!$A:$W,23,0),VLOOKUP(B1851,TRAOPE!$A:$W,23,0)),"")</f>
        <v/>
      </c>
      <c r="S1851" s="10">
        <f>IF(AND(P1851="TN",R1851="TN"),N1851+N(O1851),IF(G1851&amp;""="1",N(K1851)*N1851,(N1851+N(O1851))*N(K1851)))</f>
        <v/>
      </c>
      <c r="T1851" s="10">
        <f>IF(Q1851="","",Q1851-S1851)</f>
        <v/>
      </c>
    </row>
    <row r="1852">
      <c r="A1852" s="7">
        <f>CONCATENATE(C1852,E1852,F1852,I1852)</f>
        <v/>
      </c>
      <c r="B1852" s="7">
        <f>CONCATENATE(C1852,E1852,I1852)</f>
        <v/>
      </c>
      <c r="C1852" s="8" t="n">
        <v>900006005</v>
      </c>
      <c r="D1852" s="7">
        <f>IFERROR(VLOOKUP(C1852,TRAOPE!$G:$H,2,0),"")</f>
        <v/>
      </c>
      <c r="E1852" s="8" t="inlineStr">
        <is>
          <t>D836</t>
        </is>
      </c>
      <c r="F1852" s="8" t="inlineStr">
        <is>
          <t>66239628</t>
        </is>
      </c>
      <c r="G1852" s="8">
        <f>IFERROR(VLOOKUP(A1852,Flete!$A:$E,5,0),"")</f>
        <v/>
      </c>
      <c r="H1852" s="7">
        <f>IFERROR(VLOOKUP(F1852,TRAOPE!$AA:$AB,2,0),"")</f>
        <v/>
      </c>
      <c r="I1852" s="7" t="n">
        <v>10000623</v>
      </c>
      <c r="J1852" s="7">
        <f>IFERROR(VLOOKUP(I1852,Materiales!$A:$H,8,0),"")</f>
        <v/>
      </c>
      <c r="K1852" s="9">
        <f>IFERROR(VLOOKUP(I1852,Materiales!$A:$G,7,0),"")</f>
        <v/>
      </c>
      <c r="L1852" s="8" t="inlineStr">
        <is>
          <t>20190426</t>
        </is>
      </c>
      <c r="M1852" s="8" t="inlineStr">
        <is>
          <t>20250127</t>
        </is>
      </c>
      <c r="N1852" s="10" t="n">
        <v>134.74</v>
      </c>
      <c r="O1852" s="10">
        <f>IFERROR(VLOOKUP(A1852,Flete!$A:$J,10,0),"")</f>
        <v/>
      </c>
      <c r="P1852" s="8" t="inlineStr">
        <is>
          <t>M3</t>
        </is>
      </c>
      <c r="Q1852" s="10">
        <f>IFERROR(IFERROR(VLOOKUP(A1852,TRAOPE!$A:$U,21,0),VLOOKUP(B1852,TRAOPE!$A:$U,21,0)),"")</f>
        <v/>
      </c>
      <c r="R1852" s="8">
        <f>IFERROR(IFERROR(VLOOKUP(A1852,TRAOPE!$A:$W,23,0),VLOOKUP(B1852,TRAOPE!$A:$W,23,0)),"")</f>
        <v/>
      </c>
      <c r="S1852" s="10">
        <f>IF(AND(P1852="TN",R1852="TN"),N1852+N(O1852),IF(G1852&amp;""="1",N(K1852)*N1852,(N1852+N(O1852))*N(K1852)))</f>
        <v/>
      </c>
      <c r="T1852" s="10">
        <f>IF(Q1852="","",Q1852-S1852)</f>
        <v/>
      </c>
    </row>
    <row r="1853">
      <c r="A1853" s="7">
        <f>CONCATENATE(C1853,E1853,F1853,I1853)</f>
        <v/>
      </c>
      <c r="B1853" s="7">
        <f>CONCATENATE(C1853,E1853,I1853)</f>
        <v/>
      </c>
      <c r="C1853" s="8" t="n">
        <v>900006005</v>
      </c>
      <c r="D1853" s="7">
        <f>IFERROR(VLOOKUP(C1853,TRAOPE!$G:$H,2,0),"")</f>
        <v/>
      </c>
      <c r="E1853" s="8" t="inlineStr">
        <is>
          <t>D836</t>
        </is>
      </c>
      <c r="F1853" s="8" t="inlineStr">
        <is>
          <t>66289413</t>
        </is>
      </c>
      <c r="G1853" s="8">
        <f>IFERROR(VLOOKUP(A1853,Flete!$A:$E,5,0),"")</f>
        <v/>
      </c>
      <c r="H1853" s="7">
        <f>IFERROR(VLOOKUP(F1853,TRAOPE!$AA:$AB,2,0),"")</f>
        <v/>
      </c>
      <c r="I1853" s="7" t="n">
        <v>10000623</v>
      </c>
      <c r="J1853" s="7">
        <f>IFERROR(VLOOKUP(I1853,Materiales!$A:$H,8,0),"")</f>
        <v/>
      </c>
      <c r="K1853" s="9">
        <f>IFERROR(VLOOKUP(I1853,Materiales!$A:$G,7,0),"")</f>
        <v/>
      </c>
      <c r="L1853" s="8" t="inlineStr">
        <is>
          <t>20190426</t>
        </is>
      </c>
      <c r="M1853" s="8" t="inlineStr">
        <is>
          <t>20250127</t>
        </is>
      </c>
      <c r="N1853" s="10" t="n">
        <v>134.74</v>
      </c>
      <c r="O1853" s="10">
        <f>IFERROR(VLOOKUP(A1853,Flete!$A:$J,10,0),"")</f>
        <v/>
      </c>
      <c r="P1853" s="8" t="inlineStr">
        <is>
          <t>M3</t>
        </is>
      </c>
      <c r="Q1853" s="10">
        <f>IFERROR(IFERROR(VLOOKUP(A1853,TRAOPE!$A:$U,21,0),VLOOKUP(B1853,TRAOPE!$A:$U,21,0)),"")</f>
        <v/>
      </c>
      <c r="R1853" s="8">
        <f>IFERROR(IFERROR(VLOOKUP(A1853,TRAOPE!$A:$W,23,0),VLOOKUP(B1853,TRAOPE!$A:$W,23,0)),"")</f>
        <v/>
      </c>
      <c r="S1853" s="10">
        <f>IF(AND(P1853="TN",R1853="TN"),N1853+N(O1853),IF(G1853&amp;""="1",N(K1853)*N1853,(N1853+N(O1853))*N(K1853)))</f>
        <v/>
      </c>
      <c r="T1853" s="10">
        <f>IF(Q1853="","",Q1853-S1853)</f>
        <v/>
      </c>
    </row>
    <row r="1854">
      <c r="A1854" s="7">
        <f>CONCATENATE(C1854,E1854,F1854,I1854)</f>
        <v/>
      </c>
      <c r="B1854" s="7">
        <f>CONCATENATE(C1854,E1854,I1854)</f>
        <v/>
      </c>
      <c r="C1854" s="8" t="n">
        <v>900006005</v>
      </c>
      <c r="D1854" s="7">
        <f>IFERROR(VLOOKUP(C1854,TRAOPE!$G:$H,2,0),"")</f>
        <v/>
      </c>
      <c r="E1854" s="8" t="inlineStr">
        <is>
          <t>D836</t>
        </is>
      </c>
      <c r="F1854" s="8" t="inlineStr">
        <is>
          <t>66482288</t>
        </is>
      </c>
      <c r="G1854" s="8">
        <f>IFERROR(VLOOKUP(A1854,Flete!$A:$E,5,0),"")</f>
        <v/>
      </c>
      <c r="H1854" s="7">
        <f>IFERROR(VLOOKUP(F1854,TRAOPE!$AA:$AB,2,0),"")</f>
        <v/>
      </c>
      <c r="I1854" s="7" t="n">
        <v>10000623</v>
      </c>
      <c r="J1854" s="7">
        <f>IFERROR(VLOOKUP(I1854,Materiales!$A:$H,8,0),"")</f>
        <v/>
      </c>
      <c r="K1854" s="9">
        <f>IFERROR(VLOOKUP(I1854,Materiales!$A:$G,7,0),"")</f>
        <v/>
      </c>
      <c r="L1854" s="8" t="inlineStr">
        <is>
          <t>20190426</t>
        </is>
      </c>
      <c r="M1854" s="8" t="inlineStr">
        <is>
          <t>20250127</t>
        </is>
      </c>
      <c r="N1854" s="10" t="n">
        <v>134.74</v>
      </c>
      <c r="O1854" s="10">
        <f>IFERROR(VLOOKUP(A1854,Flete!$A:$J,10,0),"")</f>
        <v/>
      </c>
      <c r="P1854" s="8" t="inlineStr">
        <is>
          <t>M3</t>
        </is>
      </c>
      <c r="Q1854" s="10">
        <f>IFERROR(IFERROR(VLOOKUP(A1854,TRAOPE!$A:$U,21,0),VLOOKUP(B1854,TRAOPE!$A:$U,21,0)),"")</f>
        <v/>
      </c>
      <c r="R1854" s="8">
        <f>IFERROR(IFERROR(VLOOKUP(A1854,TRAOPE!$A:$W,23,0),VLOOKUP(B1854,TRAOPE!$A:$W,23,0)),"")</f>
        <v/>
      </c>
      <c r="S1854" s="10">
        <f>IF(AND(P1854="TN",R1854="TN"),N1854+N(O1854),IF(G1854&amp;""="1",N(K1854)*N1854,(N1854+N(O1854))*N(K1854)))</f>
        <v/>
      </c>
      <c r="T1854" s="10">
        <f>IF(Q1854="","",Q1854-S1854)</f>
        <v/>
      </c>
    </row>
    <row r="1855">
      <c r="A1855" s="7">
        <f>CONCATENATE(C1855,E1855,F1855,I1855)</f>
        <v/>
      </c>
      <c r="B1855" s="7">
        <f>CONCATENATE(C1855,E1855,I1855)</f>
        <v/>
      </c>
      <c r="C1855" s="8" t="n">
        <v>900006005</v>
      </c>
      <c r="D1855" s="7">
        <f>IFERROR(VLOOKUP(C1855,TRAOPE!$G:$H,2,0),"")</f>
        <v/>
      </c>
      <c r="E1855" s="8" t="inlineStr">
        <is>
          <t>D836</t>
        </is>
      </c>
      <c r="F1855" s="8" t="inlineStr">
        <is>
          <t>66597345</t>
        </is>
      </c>
      <c r="G1855" s="8">
        <f>IFERROR(VLOOKUP(A1855,Flete!$A:$E,5,0),"")</f>
        <v/>
      </c>
      <c r="H1855" s="7">
        <f>IFERROR(VLOOKUP(F1855,TRAOPE!$AA:$AB,2,0),"")</f>
        <v/>
      </c>
      <c r="I1855" s="7" t="n">
        <v>10000427</v>
      </c>
      <c r="J1855" s="7">
        <f>IFERROR(VLOOKUP(I1855,Materiales!$A:$H,8,0),"")</f>
        <v/>
      </c>
      <c r="K1855" s="9">
        <f>IFERROR(VLOOKUP(I1855,Materiales!$A:$G,7,0),"")</f>
        <v/>
      </c>
      <c r="L1855" s="8" t="inlineStr">
        <is>
          <t>20190426</t>
        </is>
      </c>
      <c r="M1855" s="8" t="inlineStr">
        <is>
          <t>20250127</t>
        </is>
      </c>
      <c r="N1855" s="10" t="n">
        <v>134.5</v>
      </c>
      <c r="O1855" s="10">
        <f>IFERROR(VLOOKUP(A1855,Flete!$A:$J,10,0),"")</f>
        <v/>
      </c>
      <c r="P1855" s="8" t="inlineStr">
        <is>
          <t>M3</t>
        </is>
      </c>
      <c r="Q1855" s="10">
        <f>IFERROR(IFERROR(VLOOKUP(A1855,TRAOPE!$A:$U,21,0),VLOOKUP(B1855,TRAOPE!$A:$U,21,0)),"")</f>
        <v/>
      </c>
      <c r="R1855" s="8">
        <f>IFERROR(IFERROR(VLOOKUP(A1855,TRAOPE!$A:$W,23,0),VLOOKUP(B1855,TRAOPE!$A:$W,23,0)),"")</f>
        <v/>
      </c>
      <c r="S1855" s="10">
        <f>IF(AND(P1855="TN",R1855="TN"),N1855+N(O1855),IF(G1855&amp;""="1",N(K1855)*N1855,(N1855+N(O1855))*N(K1855)))</f>
        <v/>
      </c>
      <c r="T1855" s="10">
        <f>IF(Q1855="","",Q1855-S1855)</f>
        <v/>
      </c>
    </row>
    <row r="1856">
      <c r="A1856" s="7">
        <f>CONCATENATE(C1856,E1856,F1856,I1856)</f>
        <v/>
      </c>
      <c r="B1856" s="7">
        <f>CONCATENATE(C1856,E1856,I1856)</f>
        <v/>
      </c>
      <c r="C1856" s="8" t="n">
        <v>900006005</v>
      </c>
      <c r="D1856" s="7">
        <f>IFERROR(VLOOKUP(C1856,TRAOPE!$G:$H,2,0),"")</f>
        <v/>
      </c>
      <c r="E1856" s="8" t="inlineStr">
        <is>
          <t>D836</t>
        </is>
      </c>
      <c r="F1856" s="8" t="inlineStr">
        <is>
          <t>66793342</t>
        </is>
      </c>
      <c r="G1856" s="8">
        <f>IFERROR(VLOOKUP(A1856,Flete!$A:$E,5,0),"")</f>
        <v/>
      </c>
      <c r="H1856" s="7">
        <f>IFERROR(VLOOKUP(F1856,TRAOPE!$AA:$AB,2,0),"")</f>
        <v/>
      </c>
      <c r="I1856" s="7" t="n">
        <v>10000427</v>
      </c>
      <c r="J1856" s="7">
        <f>IFERROR(VLOOKUP(I1856,Materiales!$A:$H,8,0),"")</f>
        <v/>
      </c>
      <c r="K1856" s="9">
        <f>IFERROR(VLOOKUP(I1856,Materiales!$A:$G,7,0),"")</f>
        <v/>
      </c>
      <c r="L1856" s="8" t="inlineStr">
        <is>
          <t>20190426</t>
        </is>
      </c>
      <c r="M1856" s="8" t="inlineStr">
        <is>
          <t>20250127</t>
        </is>
      </c>
      <c r="N1856" s="10" t="n">
        <v>134.5</v>
      </c>
      <c r="O1856" s="10">
        <f>IFERROR(VLOOKUP(A1856,Flete!$A:$J,10,0),"")</f>
        <v/>
      </c>
      <c r="P1856" s="8" t="inlineStr">
        <is>
          <t>M3</t>
        </is>
      </c>
      <c r="Q1856" s="10">
        <f>IFERROR(IFERROR(VLOOKUP(A1856,TRAOPE!$A:$U,21,0),VLOOKUP(B1856,TRAOPE!$A:$U,21,0)),"")</f>
        <v/>
      </c>
      <c r="R1856" s="8">
        <f>IFERROR(IFERROR(VLOOKUP(A1856,TRAOPE!$A:$W,23,0),VLOOKUP(B1856,TRAOPE!$A:$W,23,0)),"")</f>
        <v/>
      </c>
      <c r="S1856" s="10">
        <f>IF(AND(P1856="TN",R1856="TN"),N1856+N(O1856),IF(G1856&amp;""="1",N(K1856)*N1856,(N1856+N(O1856))*N(K1856)))</f>
        <v/>
      </c>
      <c r="T1856" s="10">
        <f>IF(Q1856="","",Q1856-S1856)</f>
        <v/>
      </c>
    </row>
    <row r="1857">
      <c r="A1857" s="7">
        <f>CONCATENATE(C1857,E1857,F1857,I1857)</f>
        <v/>
      </c>
      <c r="B1857" s="7">
        <f>CONCATENATE(C1857,E1857,I1857)</f>
        <v/>
      </c>
      <c r="C1857" s="8" t="n">
        <v>900006005</v>
      </c>
      <c r="D1857" s="7">
        <f>IFERROR(VLOOKUP(C1857,TRAOPE!$G:$H,2,0),"")</f>
        <v/>
      </c>
      <c r="E1857" s="8" t="inlineStr">
        <is>
          <t>D836</t>
        </is>
      </c>
      <c r="F1857" s="8" t="inlineStr">
        <is>
          <t>66838326</t>
        </is>
      </c>
      <c r="G1857" s="8">
        <f>IFERROR(VLOOKUP(A1857,Flete!$A:$E,5,0),"")</f>
        <v/>
      </c>
      <c r="H1857" s="7">
        <f>IFERROR(VLOOKUP(F1857,TRAOPE!$AA:$AB,2,0),"")</f>
        <v/>
      </c>
      <c r="I1857" s="7" t="n">
        <v>10000630</v>
      </c>
      <c r="J1857" s="7">
        <f>IFERROR(VLOOKUP(I1857,Materiales!$A:$H,8,0),"")</f>
        <v/>
      </c>
      <c r="K1857" s="9">
        <f>IFERROR(VLOOKUP(I1857,Materiales!$A:$G,7,0),"")</f>
        <v/>
      </c>
      <c r="L1857" s="8" t="inlineStr">
        <is>
          <t>20190426</t>
        </is>
      </c>
      <c r="M1857" s="8" t="inlineStr">
        <is>
          <t>20250127</t>
        </is>
      </c>
      <c r="N1857" s="10" t="n">
        <v>120</v>
      </c>
      <c r="O1857" s="10">
        <f>IFERROR(VLOOKUP(A1857,Flete!$A:$J,10,0),"")</f>
        <v/>
      </c>
      <c r="P1857" s="8" t="inlineStr">
        <is>
          <t>M3</t>
        </is>
      </c>
      <c r="Q1857" s="10">
        <f>IFERROR(IFERROR(VLOOKUP(A1857,TRAOPE!$A:$U,21,0),VLOOKUP(B1857,TRAOPE!$A:$U,21,0)),"")</f>
        <v/>
      </c>
      <c r="R1857" s="8">
        <f>IFERROR(IFERROR(VLOOKUP(A1857,TRAOPE!$A:$W,23,0),VLOOKUP(B1857,TRAOPE!$A:$W,23,0)),"")</f>
        <v/>
      </c>
      <c r="S1857" s="10">
        <f>IF(AND(P1857="TN",R1857="TN"),N1857+N(O1857),IF(G1857&amp;""="1",N(K1857)*N1857,(N1857+N(O1857))*N(K1857)))</f>
        <v/>
      </c>
      <c r="T1857" s="10">
        <f>IF(Q1857="","",Q1857-S1857)</f>
        <v/>
      </c>
    </row>
    <row r="1858">
      <c r="A1858" s="7">
        <f>CONCATENATE(C1858,E1858,F1858,I1858)</f>
        <v/>
      </c>
      <c r="B1858" s="7">
        <f>CONCATENATE(C1858,E1858,I1858)</f>
        <v/>
      </c>
      <c r="C1858" s="8" t="n">
        <v>900006030</v>
      </c>
      <c r="D1858" s="7">
        <f>IFERROR(VLOOKUP(C1858,TRAOPE!$G:$H,2,0),"")</f>
        <v/>
      </c>
      <c r="E1858" s="8" t="inlineStr">
        <is>
          <t>D836</t>
        </is>
      </c>
      <c r="F1858" s="8" t="inlineStr">
        <is>
          <t>66624663</t>
        </is>
      </c>
      <c r="G1858" s="8">
        <f>IFERROR(VLOOKUP(A1858,Flete!$A:$E,5,0),"")</f>
        <v/>
      </c>
      <c r="H1858" s="7">
        <f>IFERROR(VLOOKUP(F1858,TRAOPE!$AA:$AB,2,0),"")</f>
        <v/>
      </c>
      <c r="I1858" s="7" t="n">
        <v>10000811</v>
      </c>
      <c r="J1858" s="7">
        <f>IFERROR(VLOOKUP(I1858,Materiales!$A:$H,8,0),"")</f>
        <v/>
      </c>
      <c r="K1858" s="9">
        <f>IFERROR(VLOOKUP(I1858,Materiales!$A:$G,7,0),"")</f>
        <v/>
      </c>
      <c r="L1858" s="8" t="inlineStr">
        <is>
          <t>20190426</t>
        </is>
      </c>
      <c r="M1858" s="8" t="inlineStr">
        <is>
          <t>20250127</t>
        </is>
      </c>
      <c r="N1858" s="10" t="n">
        <v>355</v>
      </c>
      <c r="O1858" s="10">
        <f>IFERROR(VLOOKUP(A1858,Flete!$A:$J,10,0),"")</f>
        <v/>
      </c>
      <c r="P1858" s="8" t="inlineStr">
        <is>
          <t>M3</t>
        </is>
      </c>
      <c r="Q1858" s="10">
        <f>IFERROR(IFERROR(VLOOKUP(A1858,TRAOPE!$A:$U,21,0),VLOOKUP(B1858,TRAOPE!$A:$U,21,0)),"")</f>
        <v/>
      </c>
      <c r="R1858" s="8">
        <f>IFERROR(IFERROR(VLOOKUP(A1858,TRAOPE!$A:$W,23,0),VLOOKUP(B1858,TRAOPE!$A:$W,23,0)),"")</f>
        <v/>
      </c>
      <c r="S1858" s="10">
        <f>IF(AND(P1858="TN",R1858="TN"),N1858+N(O1858),IF(G1858&amp;""="1",N(K1858)*N1858,(N1858+N(O1858))*N(K1858)))</f>
        <v/>
      </c>
      <c r="T1858" s="10">
        <f>IF(Q1858="","",Q1858-S1858)</f>
        <v/>
      </c>
    </row>
    <row r="1859">
      <c r="A1859" s="7">
        <f>CONCATENATE(C1859,E1859,F1859,I1859)</f>
        <v/>
      </c>
      <c r="B1859" s="7">
        <f>CONCATENATE(C1859,E1859,I1859)</f>
        <v/>
      </c>
      <c r="C1859" s="8" t="n">
        <v>900006030</v>
      </c>
      <c r="D1859" s="7">
        <f>IFERROR(VLOOKUP(C1859,TRAOPE!$G:$H,2,0),"")</f>
        <v/>
      </c>
      <c r="E1859" s="8" t="inlineStr">
        <is>
          <t>D836</t>
        </is>
      </c>
      <c r="F1859" s="8" t="inlineStr">
        <is>
          <t>66624663</t>
        </is>
      </c>
      <c r="G1859" s="8">
        <f>IFERROR(VLOOKUP(A1859,Flete!$A:$E,5,0),"")</f>
        <v/>
      </c>
      <c r="H1859" s="7">
        <f>IFERROR(VLOOKUP(F1859,TRAOPE!$AA:$AB,2,0),"")</f>
        <v/>
      </c>
      <c r="I1859" s="7" t="n">
        <v>10161192</v>
      </c>
      <c r="J1859" s="7">
        <f>IFERROR(VLOOKUP(I1859,Materiales!$A:$H,8,0),"")</f>
        <v/>
      </c>
      <c r="K1859" s="9">
        <f>IFERROR(VLOOKUP(I1859,Materiales!$A:$G,7,0),"")</f>
        <v/>
      </c>
      <c r="L1859" s="8" t="inlineStr">
        <is>
          <t>20190426</t>
        </is>
      </c>
      <c r="M1859" s="8" t="inlineStr">
        <is>
          <t>20250127</t>
        </is>
      </c>
      <c r="N1859" s="10" t="n">
        <v>410</v>
      </c>
      <c r="O1859" s="10">
        <f>IFERROR(VLOOKUP(A1859,Flete!$A:$J,10,0),"")</f>
        <v/>
      </c>
      <c r="P1859" s="8" t="inlineStr">
        <is>
          <t>M3</t>
        </is>
      </c>
      <c r="Q1859" s="10">
        <f>IFERROR(IFERROR(VLOOKUP(A1859,TRAOPE!$A:$U,21,0),VLOOKUP(B1859,TRAOPE!$A:$U,21,0)),"")</f>
        <v/>
      </c>
      <c r="R1859" s="8">
        <f>IFERROR(IFERROR(VLOOKUP(A1859,TRAOPE!$A:$W,23,0),VLOOKUP(B1859,TRAOPE!$A:$W,23,0)),"")</f>
        <v/>
      </c>
      <c r="S1859" s="10">
        <f>IF(AND(P1859="TN",R1859="TN"),N1859+N(O1859),IF(G1859&amp;""="1",N(K1859)*N1859,(N1859+N(O1859))*N(K1859)))</f>
        <v/>
      </c>
      <c r="T1859" s="10">
        <f>IF(Q1859="","",Q1859-S1859)</f>
        <v/>
      </c>
    </row>
    <row r="1860">
      <c r="A1860" s="7">
        <f>CONCATENATE(C1860,E1860,F1860,I1860)</f>
        <v/>
      </c>
      <c r="B1860" s="7">
        <f>CONCATENATE(C1860,E1860,I1860)</f>
        <v/>
      </c>
      <c r="C1860" s="8" t="n">
        <v>900006030</v>
      </c>
      <c r="D1860" s="7">
        <f>IFERROR(VLOOKUP(C1860,TRAOPE!$G:$H,2,0),"")</f>
        <v/>
      </c>
      <c r="E1860" s="8" t="inlineStr">
        <is>
          <t>D836</t>
        </is>
      </c>
      <c r="F1860" s="8" t="inlineStr">
        <is>
          <t>66624663</t>
        </is>
      </c>
      <c r="G1860" s="8">
        <f>IFERROR(VLOOKUP(A1860,Flete!$A:$E,5,0),"")</f>
        <v/>
      </c>
      <c r="H1860" s="7">
        <f>IFERROR(VLOOKUP(F1860,TRAOPE!$AA:$AB,2,0),"")</f>
        <v/>
      </c>
      <c r="I1860" s="7" t="n">
        <v>10161492</v>
      </c>
      <c r="J1860" s="7">
        <f>IFERROR(VLOOKUP(I1860,Materiales!$A:$H,8,0),"")</f>
        <v/>
      </c>
      <c r="K1860" s="9">
        <f>IFERROR(VLOOKUP(I1860,Materiales!$A:$G,7,0),"")</f>
        <v/>
      </c>
      <c r="L1860" s="8" t="inlineStr">
        <is>
          <t>20190426</t>
        </is>
      </c>
      <c r="M1860" s="8" t="inlineStr">
        <is>
          <t>20250127</t>
        </is>
      </c>
      <c r="N1860" s="10" t="n">
        <v>310</v>
      </c>
      <c r="O1860" s="10">
        <f>IFERROR(VLOOKUP(A1860,Flete!$A:$J,10,0),"")</f>
        <v/>
      </c>
      <c r="P1860" s="8" t="inlineStr">
        <is>
          <t>M3</t>
        </is>
      </c>
      <c r="Q1860" s="10">
        <f>IFERROR(IFERROR(VLOOKUP(A1860,TRAOPE!$A:$U,21,0),VLOOKUP(B1860,TRAOPE!$A:$U,21,0)),"")</f>
        <v/>
      </c>
      <c r="R1860" s="8">
        <f>IFERROR(IFERROR(VLOOKUP(A1860,TRAOPE!$A:$W,23,0),VLOOKUP(B1860,TRAOPE!$A:$W,23,0)),"")</f>
        <v/>
      </c>
      <c r="S1860" s="10">
        <f>IF(AND(P1860="TN",R1860="TN"),N1860+N(O1860),IF(G1860&amp;""="1",N(K1860)*N1860,(N1860+N(O1860))*N(K1860)))</f>
        <v/>
      </c>
      <c r="T1860" s="10">
        <f>IF(Q1860="","",Q1860-S1860)</f>
        <v/>
      </c>
    </row>
    <row r="1861">
      <c r="A1861" s="7">
        <f>CONCATENATE(C1861,E1861,F1861,I1861)</f>
        <v/>
      </c>
      <c r="B1861" s="7">
        <f>CONCATENATE(C1861,E1861,I1861)</f>
        <v/>
      </c>
      <c r="C1861" s="8" t="n">
        <v>900006030</v>
      </c>
      <c r="D1861" s="7">
        <f>IFERROR(VLOOKUP(C1861,TRAOPE!$G:$H,2,0),"")</f>
        <v/>
      </c>
      <c r="E1861" s="8" t="inlineStr">
        <is>
          <t>D836</t>
        </is>
      </c>
      <c r="F1861" s="8" t="inlineStr">
        <is>
          <t>66640810</t>
        </is>
      </c>
      <c r="G1861" s="8">
        <f>IFERROR(VLOOKUP(A1861,Flete!$A:$E,5,0),"")</f>
        <v/>
      </c>
      <c r="H1861" s="7">
        <f>IFERROR(VLOOKUP(F1861,TRAOPE!$AA:$AB,2,0),"")</f>
        <v/>
      </c>
      <c r="I1861" s="7" t="n">
        <v>10165990</v>
      </c>
      <c r="J1861" s="7">
        <f>IFERROR(VLOOKUP(I1861,Materiales!$A:$H,8,0),"")</f>
        <v/>
      </c>
      <c r="K1861" s="9">
        <f>IFERROR(VLOOKUP(I1861,Materiales!$A:$G,7,0),"")</f>
        <v/>
      </c>
      <c r="L1861" s="8" t="inlineStr">
        <is>
          <t>20190426</t>
        </is>
      </c>
      <c r="M1861" s="8" t="inlineStr">
        <is>
          <t>20250127</t>
        </is>
      </c>
      <c r="N1861" s="10" t="n">
        <v>262.5</v>
      </c>
      <c r="O1861" s="10">
        <f>IFERROR(VLOOKUP(A1861,Flete!$A:$J,10,0),"")</f>
        <v/>
      </c>
      <c r="P1861" s="8" t="inlineStr">
        <is>
          <t>M3</t>
        </is>
      </c>
      <c r="Q1861" s="10">
        <f>IFERROR(IFERROR(VLOOKUP(A1861,TRAOPE!$A:$U,21,0),VLOOKUP(B1861,TRAOPE!$A:$U,21,0)),"")</f>
        <v/>
      </c>
      <c r="R1861" s="8">
        <f>IFERROR(IFERROR(VLOOKUP(A1861,TRAOPE!$A:$W,23,0),VLOOKUP(B1861,TRAOPE!$A:$W,23,0)),"")</f>
        <v/>
      </c>
      <c r="S1861" s="10">
        <f>IF(AND(P1861="TN",R1861="TN"),N1861+N(O1861),IF(G1861&amp;""="1",N(K1861)*N1861,(N1861+N(O1861))*N(K1861)))</f>
        <v/>
      </c>
      <c r="T1861" s="10">
        <f>IF(Q1861="","",Q1861-S1861)</f>
        <v/>
      </c>
    </row>
    <row r="1862">
      <c r="A1862" s="7">
        <f>CONCATENATE(C1862,E1862,F1862,I1862)</f>
        <v/>
      </c>
      <c r="B1862" s="7">
        <f>CONCATENATE(C1862,E1862,I1862)</f>
        <v/>
      </c>
      <c r="C1862" s="8" t="n">
        <v>900006185</v>
      </c>
      <c r="D1862" s="7">
        <f>IFERROR(VLOOKUP(C1862,TRAOPE!$G:$H,2,0),"")</f>
        <v/>
      </c>
      <c r="E1862" s="8" t="inlineStr">
        <is>
          <t>D836</t>
        </is>
      </c>
      <c r="F1862" s="8" t="inlineStr">
        <is>
          <t>66506827</t>
        </is>
      </c>
      <c r="G1862" s="8">
        <f>IFERROR(VLOOKUP(A1862,Flete!$A:$E,5,0),"")</f>
        <v/>
      </c>
      <c r="H1862" s="7">
        <f>IFERROR(VLOOKUP(F1862,TRAOPE!$AA:$AB,2,0),"")</f>
        <v/>
      </c>
      <c r="I1862" s="7" t="n">
        <v>10000133</v>
      </c>
      <c r="J1862" s="7">
        <f>IFERROR(VLOOKUP(I1862,Materiales!$A:$H,8,0),"")</f>
        <v/>
      </c>
      <c r="K1862" s="9">
        <f>IFERROR(VLOOKUP(I1862,Materiales!$A:$G,7,0),"")</f>
        <v/>
      </c>
      <c r="L1862" s="8" t="inlineStr">
        <is>
          <t>20190426</t>
        </is>
      </c>
      <c r="M1862" s="8" t="inlineStr">
        <is>
          <t>20250127</t>
        </is>
      </c>
      <c r="N1862" s="10" t="n">
        <v>614.75</v>
      </c>
      <c r="O1862" s="10">
        <f>IFERROR(VLOOKUP(A1862,Flete!$A:$J,10,0),"")</f>
        <v/>
      </c>
      <c r="P1862" s="8" t="inlineStr">
        <is>
          <t>M3</t>
        </is>
      </c>
      <c r="Q1862" s="10">
        <f>IFERROR(IFERROR(VLOOKUP(A1862,TRAOPE!$A:$U,21,0),VLOOKUP(B1862,TRAOPE!$A:$U,21,0)),"")</f>
        <v/>
      </c>
      <c r="R1862" s="8">
        <f>IFERROR(IFERROR(VLOOKUP(A1862,TRAOPE!$A:$W,23,0),VLOOKUP(B1862,TRAOPE!$A:$W,23,0)),"")</f>
        <v/>
      </c>
      <c r="S1862" s="10">
        <f>IF(AND(P1862="TN",R1862="TN"),N1862+N(O1862),IF(G1862&amp;""="1",N(K1862)*N1862,(N1862+N(O1862))*N(K1862)))</f>
        <v/>
      </c>
      <c r="T1862" s="10">
        <f>IF(Q1862="","",Q1862-S1862)</f>
        <v/>
      </c>
    </row>
    <row r="1863">
      <c r="A1863" s="7">
        <f>CONCATENATE(C1863,E1863,F1863,I1863)</f>
        <v/>
      </c>
      <c r="B1863" s="7">
        <f>CONCATENATE(C1863,E1863,I1863)</f>
        <v/>
      </c>
      <c r="C1863" s="8" t="n">
        <v>900006185</v>
      </c>
      <c r="D1863" s="7">
        <f>IFERROR(VLOOKUP(C1863,TRAOPE!$G:$H,2,0),"")</f>
        <v/>
      </c>
      <c r="E1863" s="8" t="inlineStr">
        <is>
          <t>D836</t>
        </is>
      </c>
      <c r="F1863" s="8" t="inlineStr">
        <is>
          <t>66555781</t>
        </is>
      </c>
      <c r="G1863" s="8">
        <f>IFERROR(VLOOKUP(A1863,Flete!$A:$E,5,0),"")</f>
        <v/>
      </c>
      <c r="H1863" s="7">
        <f>IFERROR(VLOOKUP(F1863,TRAOPE!$AA:$AB,2,0),"")</f>
        <v/>
      </c>
      <c r="I1863" s="7" t="n">
        <v>10000140</v>
      </c>
      <c r="J1863" s="7">
        <f>IFERROR(VLOOKUP(I1863,Materiales!$A:$H,8,0),"")</f>
        <v/>
      </c>
      <c r="K1863" s="9">
        <f>IFERROR(VLOOKUP(I1863,Materiales!$A:$G,7,0),"")</f>
        <v/>
      </c>
      <c r="L1863" s="8" t="inlineStr">
        <is>
          <t>20190426</t>
        </is>
      </c>
      <c r="M1863" s="8" t="inlineStr">
        <is>
          <t>20250127</t>
        </is>
      </c>
      <c r="N1863" s="10" t="n">
        <v>562.5</v>
      </c>
      <c r="O1863" s="10">
        <f>IFERROR(VLOOKUP(A1863,Flete!$A:$J,10,0),"")</f>
        <v/>
      </c>
      <c r="P1863" s="8" t="inlineStr">
        <is>
          <t>M3</t>
        </is>
      </c>
      <c r="Q1863" s="10">
        <f>IFERROR(IFERROR(VLOOKUP(A1863,TRAOPE!$A:$U,21,0),VLOOKUP(B1863,TRAOPE!$A:$U,21,0)),"")</f>
        <v/>
      </c>
      <c r="R1863" s="8">
        <f>IFERROR(IFERROR(VLOOKUP(A1863,TRAOPE!$A:$W,23,0),VLOOKUP(B1863,TRAOPE!$A:$W,23,0)),"")</f>
        <v/>
      </c>
      <c r="S1863" s="10">
        <f>IF(AND(P1863="TN",R1863="TN"),N1863+N(O1863),IF(G1863&amp;""="1",N(K1863)*N1863,(N1863+N(O1863))*N(K1863)))</f>
        <v/>
      </c>
      <c r="T1863" s="10">
        <f>IF(Q1863="","",Q1863-S1863)</f>
        <v/>
      </c>
    </row>
    <row r="1864">
      <c r="A1864" s="7">
        <f>CONCATENATE(C1864,E1864,F1864,I1864)</f>
        <v/>
      </c>
      <c r="B1864" s="7">
        <f>CONCATENATE(C1864,E1864,I1864)</f>
        <v/>
      </c>
      <c r="C1864" s="8" t="n">
        <v>900006185</v>
      </c>
      <c r="D1864" s="7">
        <f>IFERROR(VLOOKUP(C1864,TRAOPE!$G:$H,2,0),"")</f>
        <v/>
      </c>
      <c r="E1864" s="8" t="inlineStr">
        <is>
          <t>D836</t>
        </is>
      </c>
      <c r="F1864" s="8" t="inlineStr">
        <is>
          <t>66555781</t>
        </is>
      </c>
      <c r="G1864" s="8">
        <f>IFERROR(VLOOKUP(A1864,Flete!$A:$E,5,0),"")</f>
        <v/>
      </c>
      <c r="H1864" s="7">
        <f>IFERROR(VLOOKUP(F1864,TRAOPE!$AA:$AB,2,0),"")</f>
        <v/>
      </c>
      <c r="I1864" s="7" t="n">
        <v>10000160</v>
      </c>
      <c r="J1864" s="7">
        <f>IFERROR(VLOOKUP(I1864,Materiales!$A:$H,8,0),"")</f>
        <v/>
      </c>
      <c r="K1864" s="9">
        <f>IFERROR(VLOOKUP(I1864,Materiales!$A:$G,7,0),"")</f>
        <v/>
      </c>
      <c r="L1864" s="8" t="inlineStr">
        <is>
          <t>20190426</t>
        </is>
      </c>
      <c r="M1864" s="8" t="inlineStr">
        <is>
          <t>20250127</t>
        </is>
      </c>
      <c r="N1864" s="10" t="n">
        <v>562.5</v>
      </c>
      <c r="O1864" s="10">
        <f>IFERROR(VLOOKUP(A1864,Flete!$A:$J,10,0),"")</f>
        <v/>
      </c>
      <c r="P1864" s="8" t="inlineStr">
        <is>
          <t>M3</t>
        </is>
      </c>
      <c r="Q1864" s="10">
        <f>IFERROR(IFERROR(VLOOKUP(A1864,TRAOPE!$A:$U,21,0),VLOOKUP(B1864,TRAOPE!$A:$U,21,0)),"")</f>
        <v/>
      </c>
      <c r="R1864" s="8">
        <f>IFERROR(IFERROR(VLOOKUP(A1864,TRAOPE!$A:$W,23,0),VLOOKUP(B1864,TRAOPE!$A:$W,23,0)),"")</f>
        <v/>
      </c>
      <c r="S1864" s="10">
        <f>IF(AND(P1864="TN",R1864="TN"),N1864+N(O1864),IF(G1864&amp;""="1",N(K1864)*N1864,(N1864+N(O1864))*N(K1864)))</f>
        <v/>
      </c>
      <c r="T1864" s="10">
        <f>IF(Q1864="","",Q1864-S1864)</f>
        <v/>
      </c>
    </row>
    <row r="1865">
      <c r="A1865" s="7">
        <f>CONCATENATE(C1865,E1865,F1865,I1865)</f>
        <v/>
      </c>
      <c r="B1865" s="7">
        <f>CONCATENATE(C1865,E1865,I1865)</f>
        <v/>
      </c>
      <c r="C1865" s="8" t="n">
        <v>900006185</v>
      </c>
      <c r="D1865" s="7">
        <f>IFERROR(VLOOKUP(C1865,TRAOPE!$G:$H,2,0),"")</f>
        <v/>
      </c>
      <c r="E1865" s="8" t="inlineStr">
        <is>
          <t>D836</t>
        </is>
      </c>
      <c r="F1865" s="8" t="inlineStr">
        <is>
          <t>66555781</t>
        </is>
      </c>
      <c r="G1865" s="8">
        <f>IFERROR(VLOOKUP(A1865,Flete!$A:$E,5,0),"")</f>
        <v/>
      </c>
      <c r="H1865" s="7">
        <f>IFERROR(VLOOKUP(F1865,TRAOPE!$AA:$AB,2,0),"")</f>
        <v/>
      </c>
      <c r="I1865" s="7" t="n">
        <v>10000357</v>
      </c>
      <c r="J1865" s="7">
        <f>IFERROR(VLOOKUP(I1865,Materiales!$A:$H,8,0),"")</f>
        <v/>
      </c>
      <c r="K1865" s="9">
        <f>IFERROR(VLOOKUP(I1865,Materiales!$A:$G,7,0),"")</f>
        <v/>
      </c>
      <c r="L1865" s="8" t="inlineStr">
        <is>
          <t>20190426</t>
        </is>
      </c>
      <c r="M1865" s="8" t="inlineStr">
        <is>
          <t>20250127</t>
        </is>
      </c>
      <c r="N1865" s="10" t="n">
        <v>562.5</v>
      </c>
      <c r="O1865" s="10">
        <f>IFERROR(VLOOKUP(A1865,Flete!$A:$J,10,0),"")</f>
        <v/>
      </c>
      <c r="P1865" s="8" t="inlineStr">
        <is>
          <t>M3</t>
        </is>
      </c>
      <c r="Q1865" s="10">
        <f>IFERROR(IFERROR(VLOOKUP(A1865,TRAOPE!$A:$U,21,0),VLOOKUP(B1865,TRAOPE!$A:$U,21,0)),"")</f>
        <v/>
      </c>
      <c r="R1865" s="8">
        <f>IFERROR(IFERROR(VLOOKUP(A1865,TRAOPE!$A:$W,23,0),VLOOKUP(B1865,TRAOPE!$A:$W,23,0)),"")</f>
        <v/>
      </c>
      <c r="S1865" s="10">
        <f>IF(AND(P1865="TN",R1865="TN"),N1865+N(O1865),IF(G1865&amp;""="1",N(K1865)*N1865,(N1865+N(O1865))*N(K1865)))</f>
        <v/>
      </c>
      <c r="T1865" s="10">
        <f>IF(Q1865="","",Q1865-S1865)</f>
        <v/>
      </c>
    </row>
    <row r="1866">
      <c r="A1866" s="7">
        <f>CONCATENATE(C1866,E1866,F1866,I1866)</f>
        <v/>
      </c>
      <c r="B1866" s="7">
        <f>CONCATENATE(C1866,E1866,I1866)</f>
        <v/>
      </c>
      <c r="C1866" s="8" t="n">
        <v>900006185</v>
      </c>
      <c r="D1866" s="7">
        <f>IFERROR(VLOOKUP(C1866,TRAOPE!$G:$H,2,0),"")</f>
        <v/>
      </c>
      <c r="E1866" s="8" t="inlineStr">
        <is>
          <t>D836</t>
        </is>
      </c>
      <c r="F1866" s="8" t="inlineStr">
        <is>
          <t>66555781</t>
        </is>
      </c>
      <c r="G1866" s="8">
        <f>IFERROR(VLOOKUP(A1866,Flete!$A:$E,5,0),"")</f>
        <v/>
      </c>
      <c r="H1866" s="7">
        <f>IFERROR(VLOOKUP(F1866,TRAOPE!$AA:$AB,2,0),"")</f>
        <v/>
      </c>
      <c r="I1866" s="7" t="n">
        <v>10000627</v>
      </c>
      <c r="J1866" s="7">
        <f>IFERROR(VLOOKUP(I1866,Materiales!$A:$H,8,0),"")</f>
        <v/>
      </c>
      <c r="K1866" s="9">
        <f>IFERROR(VLOOKUP(I1866,Materiales!$A:$G,7,0),"")</f>
        <v/>
      </c>
      <c r="L1866" s="8" t="inlineStr">
        <is>
          <t>20190426</t>
        </is>
      </c>
      <c r="M1866" s="8" t="inlineStr">
        <is>
          <t>20250127</t>
        </is>
      </c>
      <c r="N1866" s="10" t="n">
        <v>562.5</v>
      </c>
      <c r="O1866" s="10">
        <f>IFERROR(VLOOKUP(A1866,Flete!$A:$J,10,0),"")</f>
        <v/>
      </c>
      <c r="P1866" s="8" t="inlineStr">
        <is>
          <t>M3</t>
        </is>
      </c>
      <c r="Q1866" s="10">
        <f>IFERROR(IFERROR(VLOOKUP(A1866,TRAOPE!$A:$U,21,0),VLOOKUP(B1866,TRAOPE!$A:$U,21,0)),"")</f>
        <v/>
      </c>
      <c r="R1866" s="8">
        <f>IFERROR(IFERROR(VLOOKUP(A1866,TRAOPE!$A:$W,23,0),VLOOKUP(B1866,TRAOPE!$A:$W,23,0)),"")</f>
        <v/>
      </c>
      <c r="S1866" s="10">
        <f>IF(AND(P1866="TN",R1866="TN"),N1866+N(O1866),IF(G1866&amp;""="1",N(K1866)*N1866,(N1866+N(O1866))*N(K1866)))</f>
        <v/>
      </c>
      <c r="T1866" s="10">
        <f>IF(Q1866="","",Q1866-S1866)</f>
        <v/>
      </c>
    </row>
    <row r="1867">
      <c r="A1867" s="7">
        <f>CONCATENATE(C1867,E1867,F1867,I1867)</f>
        <v/>
      </c>
      <c r="B1867" s="7">
        <f>CONCATENATE(C1867,E1867,I1867)</f>
        <v/>
      </c>
      <c r="C1867" s="8" t="n">
        <v>900006185</v>
      </c>
      <c r="D1867" s="7">
        <f>IFERROR(VLOOKUP(C1867,TRAOPE!$G:$H,2,0),"")</f>
        <v/>
      </c>
      <c r="E1867" s="8" t="inlineStr">
        <is>
          <t>D836</t>
        </is>
      </c>
      <c r="F1867" s="8" t="inlineStr">
        <is>
          <t>66555781</t>
        </is>
      </c>
      <c r="G1867" s="8">
        <f>IFERROR(VLOOKUP(A1867,Flete!$A:$E,5,0),"")</f>
        <v/>
      </c>
      <c r="H1867" s="7">
        <f>IFERROR(VLOOKUP(F1867,TRAOPE!$AA:$AB,2,0),"")</f>
        <v/>
      </c>
      <c r="I1867" s="7" t="n">
        <v>10037590</v>
      </c>
      <c r="J1867" s="7">
        <f>IFERROR(VLOOKUP(I1867,Materiales!$A:$H,8,0),"")</f>
        <v/>
      </c>
      <c r="K1867" s="9">
        <f>IFERROR(VLOOKUP(I1867,Materiales!$A:$G,7,0),"")</f>
        <v/>
      </c>
      <c r="L1867" s="8" t="inlineStr">
        <is>
          <t>20190426</t>
        </is>
      </c>
      <c r="M1867" s="8" t="inlineStr">
        <is>
          <t>20250127</t>
        </is>
      </c>
      <c r="N1867" s="10" t="n">
        <v>562.5</v>
      </c>
      <c r="O1867" s="10">
        <f>IFERROR(VLOOKUP(A1867,Flete!$A:$J,10,0),"")</f>
        <v/>
      </c>
      <c r="P1867" s="8" t="inlineStr">
        <is>
          <t>M3</t>
        </is>
      </c>
      <c r="Q1867" s="10">
        <f>IFERROR(IFERROR(VLOOKUP(A1867,TRAOPE!$A:$U,21,0),VLOOKUP(B1867,TRAOPE!$A:$U,21,0)),"")</f>
        <v/>
      </c>
      <c r="R1867" s="8">
        <f>IFERROR(IFERROR(VLOOKUP(A1867,TRAOPE!$A:$W,23,0),VLOOKUP(B1867,TRAOPE!$A:$W,23,0)),"")</f>
        <v/>
      </c>
      <c r="S1867" s="10">
        <f>IF(AND(P1867="TN",R1867="TN"),N1867+N(O1867),IF(G1867&amp;""="1",N(K1867)*N1867,(N1867+N(O1867))*N(K1867)))</f>
        <v/>
      </c>
      <c r="T1867" s="10">
        <f>IF(Q1867="","",Q1867-S1867)</f>
        <v/>
      </c>
    </row>
    <row r="1868">
      <c r="A1868" s="7">
        <f>CONCATENATE(C1868,E1868,F1868,I1868)</f>
        <v/>
      </c>
      <c r="B1868" s="7">
        <f>CONCATENATE(C1868,E1868,I1868)</f>
        <v/>
      </c>
      <c r="C1868" s="8" t="n">
        <v>900006185</v>
      </c>
      <c r="D1868" s="7">
        <f>IFERROR(VLOOKUP(C1868,TRAOPE!$G:$H,2,0),"")</f>
        <v/>
      </c>
      <c r="E1868" s="8" t="inlineStr">
        <is>
          <t>D836</t>
        </is>
      </c>
      <c r="F1868" s="8" t="inlineStr">
        <is>
          <t>66595909</t>
        </is>
      </c>
      <c r="G1868" s="8">
        <f>IFERROR(VLOOKUP(A1868,Flete!$A:$E,5,0),"")</f>
        <v/>
      </c>
      <c r="H1868" s="7">
        <f>IFERROR(VLOOKUP(F1868,TRAOPE!$AA:$AB,2,0),"")</f>
        <v/>
      </c>
      <c r="I1868" s="7" t="n">
        <v>10000133</v>
      </c>
      <c r="J1868" s="7">
        <f>IFERROR(VLOOKUP(I1868,Materiales!$A:$H,8,0),"")</f>
        <v/>
      </c>
      <c r="K1868" s="9">
        <f>IFERROR(VLOOKUP(I1868,Materiales!$A:$G,7,0),"")</f>
        <v/>
      </c>
      <c r="L1868" s="8" t="inlineStr">
        <is>
          <t>20190426</t>
        </is>
      </c>
      <c r="M1868" s="8" t="inlineStr">
        <is>
          <t>20250127</t>
        </is>
      </c>
      <c r="N1868" s="10" t="n">
        <v>250</v>
      </c>
      <c r="O1868" s="10">
        <f>IFERROR(VLOOKUP(A1868,Flete!$A:$J,10,0),"")</f>
        <v/>
      </c>
      <c r="P1868" s="8" t="inlineStr">
        <is>
          <t>M3</t>
        </is>
      </c>
      <c r="Q1868" s="10">
        <f>IFERROR(IFERROR(VLOOKUP(A1868,TRAOPE!$A:$U,21,0),VLOOKUP(B1868,TRAOPE!$A:$U,21,0)),"")</f>
        <v/>
      </c>
      <c r="R1868" s="8">
        <f>IFERROR(IFERROR(VLOOKUP(A1868,TRAOPE!$A:$W,23,0),VLOOKUP(B1868,TRAOPE!$A:$W,23,0)),"")</f>
        <v/>
      </c>
      <c r="S1868" s="10">
        <f>IF(AND(P1868="TN",R1868="TN"),N1868+N(O1868),IF(G1868&amp;""="1",N(K1868)*N1868,(N1868+N(O1868))*N(K1868)))</f>
        <v/>
      </c>
      <c r="T1868" s="10">
        <f>IF(Q1868="","",Q1868-S1868)</f>
        <v/>
      </c>
    </row>
    <row r="1869">
      <c r="A1869" s="7">
        <f>CONCATENATE(C1869,E1869,F1869,I1869)</f>
        <v/>
      </c>
      <c r="B1869" s="7">
        <f>CONCATENATE(C1869,E1869,I1869)</f>
        <v/>
      </c>
      <c r="C1869" s="8" t="n">
        <v>900006185</v>
      </c>
      <c r="D1869" s="7">
        <f>IFERROR(VLOOKUP(C1869,TRAOPE!$G:$H,2,0),"")</f>
        <v/>
      </c>
      <c r="E1869" s="8" t="inlineStr">
        <is>
          <t>D836</t>
        </is>
      </c>
      <c r="F1869" s="8" t="inlineStr">
        <is>
          <t>66595909</t>
        </is>
      </c>
      <c r="G1869" s="8">
        <f>IFERROR(VLOOKUP(A1869,Flete!$A:$E,5,0),"")</f>
        <v/>
      </c>
      <c r="H1869" s="7">
        <f>IFERROR(VLOOKUP(F1869,TRAOPE!$AA:$AB,2,0),"")</f>
        <v/>
      </c>
      <c r="I1869" s="7" t="n">
        <v>10149994</v>
      </c>
      <c r="J1869" s="7">
        <f>IFERROR(VLOOKUP(I1869,Materiales!$A:$H,8,0),"")</f>
        <v/>
      </c>
      <c r="K1869" s="9">
        <f>IFERROR(VLOOKUP(I1869,Materiales!$A:$G,7,0),"")</f>
        <v/>
      </c>
      <c r="L1869" s="8" t="inlineStr">
        <is>
          <t>20190426</t>
        </is>
      </c>
      <c r="M1869" s="8" t="inlineStr">
        <is>
          <t>20250127</t>
        </is>
      </c>
      <c r="N1869" s="10" t="n">
        <v>230</v>
      </c>
      <c r="O1869" s="10">
        <f>IFERROR(VLOOKUP(A1869,Flete!$A:$J,10,0),"")</f>
        <v/>
      </c>
      <c r="P1869" s="8" t="inlineStr">
        <is>
          <t>M3</t>
        </is>
      </c>
      <c r="Q1869" s="10">
        <f>IFERROR(IFERROR(VLOOKUP(A1869,TRAOPE!$A:$U,21,0),VLOOKUP(B1869,TRAOPE!$A:$U,21,0)),"")</f>
        <v/>
      </c>
      <c r="R1869" s="8">
        <f>IFERROR(IFERROR(VLOOKUP(A1869,TRAOPE!$A:$W,23,0),VLOOKUP(B1869,TRAOPE!$A:$W,23,0)),"")</f>
        <v/>
      </c>
      <c r="S1869" s="10">
        <f>IF(AND(P1869="TN",R1869="TN"),N1869+N(O1869),IF(G1869&amp;""="1",N(K1869)*N1869,(N1869+N(O1869))*N(K1869)))</f>
        <v/>
      </c>
      <c r="T1869" s="10">
        <f>IF(Q1869="","",Q1869-S1869)</f>
        <v/>
      </c>
    </row>
    <row r="1870">
      <c r="A1870" s="7">
        <f>CONCATENATE(C1870,E1870,F1870,I1870)</f>
        <v/>
      </c>
      <c r="B1870" s="7">
        <f>CONCATENATE(C1870,E1870,I1870)</f>
        <v/>
      </c>
      <c r="C1870" s="8" t="n">
        <v>900006185</v>
      </c>
      <c r="D1870" s="7">
        <f>IFERROR(VLOOKUP(C1870,TRAOPE!$G:$H,2,0),"")</f>
        <v/>
      </c>
      <c r="E1870" s="8" t="inlineStr">
        <is>
          <t>D836</t>
        </is>
      </c>
      <c r="F1870" s="8" t="inlineStr">
        <is>
          <t>66600227</t>
        </is>
      </c>
      <c r="G1870" s="8">
        <f>IFERROR(VLOOKUP(A1870,Flete!$A:$E,5,0),"")</f>
        <v/>
      </c>
      <c r="H1870" s="7">
        <f>IFERROR(VLOOKUP(F1870,TRAOPE!$AA:$AB,2,0),"")</f>
        <v/>
      </c>
      <c r="I1870" s="7" t="n">
        <v>10000357</v>
      </c>
      <c r="J1870" s="7">
        <f>IFERROR(VLOOKUP(I1870,Materiales!$A:$H,8,0),"")</f>
        <v/>
      </c>
      <c r="K1870" s="9">
        <f>IFERROR(VLOOKUP(I1870,Materiales!$A:$G,7,0),"")</f>
        <v/>
      </c>
      <c r="L1870" s="8" t="inlineStr">
        <is>
          <t>20190426</t>
        </is>
      </c>
      <c r="M1870" s="8" t="inlineStr">
        <is>
          <t>20250127</t>
        </is>
      </c>
      <c r="N1870" s="10" t="n">
        <v>1425</v>
      </c>
      <c r="O1870" s="10">
        <f>IFERROR(VLOOKUP(A1870,Flete!$A:$J,10,0),"")</f>
        <v/>
      </c>
      <c r="P1870" s="8" t="inlineStr">
        <is>
          <t>M3</t>
        </is>
      </c>
      <c r="Q1870" s="10">
        <f>IFERROR(IFERROR(VLOOKUP(A1870,TRAOPE!$A:$U,21,0),VLOOKUP(B1870,TRAOPE!$A:$U,21,0)),"")</f>
        <v/>
      </c>
      <c r="R1870" s="8">
        <f>IFERROR(IFERROR(VLOOKUP(A1870,TRAOPE!$A:$W,23,0),VLOOKUP(B1870,TRAOPE!$A:$W,23,0)),"")</f>
        <v/>
      </c>
      <c r="S1870" s="10">
        <f>IF(AND(P1870="TN",R1870="TN"),N1870+N(O1870),IF(G1870&amp;""="1",N(K1870)*N1870,(N1870+N(O1870))*N(K1870)))</f>
        <v/>
      </c>
      <c r="T1870" s="10">
        <f>IF(Q1870="","",Q1870-S1870)</f>
        <v/>
      </c>
    </row>
    <row r="1871">
      <c r="A1871" s="7">
        <f>CONCATENATE(C1871,E1871,F1871,I1871)</f>
        <v/>
      </c>
      <c r="B1871" s="7">
        <f>CONCATENATE(C1871,E1871,I1871)</f>
        <v/>
      </c>
      <c r="C1871" s="8" t="n">
        <v>900006185</v>
      </c>
      <c r="D1871" s="7">
        <f>IFERROR(VLOOKUP(C1871,TRAOPE!$G:$H,2,0),"")</f>
        <v/>
      </c>
      <c r="E1871" s="8" t="inlineStr">
        <is>
          <t>D836</t>
        </is>
      </c>
      <c r="F1871" s="8" t="inlineStr">
        <is>
          <t>66600227</t>
        </is>
      </c>
      <c r="G1871" s="8">
        <f>IFERROR(VLOOKUP(A1871,Flete!$A:$E,5,0),"")</f>
        <v/>
      </c>
      <c r="H1871" s="7">
        <f>IFERROR(VLOOKUP(F1871,TRAOPE!$AA:$AB,2,0),"")</f>
        <v/>
      </c>
      <c r="I1871" s="7" t="n">
        <v>10000651</v>
      </c>
      <c r="J1871" s="7">
        <f>IFERROR(VLOOKUP(I1871,Materiales!$A:$H,8,0),"")</f>
        <v/>
      </c>
      <c r="K1871" s="9">
        <f>IFERROR(VLOOKUP(I1871,Materiales!$A:$G,7,0),"")</f>
        <v/>
      </c>
      <c r="L1871" s="8" t="inlineStr">
        <is>
          <t>20190426</t>
        </is>
      </c>
      <c r="M1871" s="8" t="inlineStr">
        <is>
          <t>20250127</t>
        </is>
      </c>
      <c r="N1871" s="10" t="n">
        <v>1425</v>
      </c>
      <c r="O1871" s="10">
        <f>IFERROR(VLOOKUP(A1871,Flete!$A:$J,10,0),"")</f>
        <v/>
      </c>
      <c r="P1871" s="8" t="inlineStr">
        <is>
          <t>M3</t>
        </is>
      </c>
      <c r="Q1871" s="10">
        <f>IFERROR(IFERROR(VLOOKUP(A1871,TRAOPE!$A:$U,21,0),VLOOKUP(B1871,TRAOPE!$A:$U,21,0)),"")</f>
        <v/>
      </c>
      <c r="R1871" s="8">
        <f>IFERROR(IFERROR(VLOOKUP(A1871,TRAOPE!$A:$W,23,0),VLOOKUP(B1871,TRAOPE!$A:$W,23,0)),"")</f>
        <v/>
      </c>
      <c r="S1871" s="10">
        <f>IF(AND(P1871="TN",R1871="TN"),N1871+N(O1871),IF(G1871&amp;""="1",N(K1871)*N1871,(N1871+N(O1871))*N(K1871)))</f>
        <v/>
      </c>
      <c r="T1871" s="10">
        <f>IF(Q1871="","",Q1871-S1871)</f>
        <v/>
      </c>
    </row>
    <row r="1872">
      <c r="A1872" s="7">
        <f>CONCATENATE(C1872,E1872,F1872,I1872)</f>
        <v/>
      </c>
      <c r="B1872" s="7">
        <f>CONCATENATE(C1872,E1872,I1872)</f>
        <v/>
      </c>
      <c r="C1872" s="8" t="n">
        <v>900006185</v>
      </c>
      <c r="D1872" s="7">
        <f>IFERROR(VLOOKUP(C1872,TRAOPE!$G:$H,2,0),"")</f>
        <v/>
      </c>
      <c r="E1872" s="8" t="inlineStr">
        <is>
          <t>D836</t>
        </is>
      </c>
      <c r="F1872" s="8" t="inlineStr">
        <is>
          <t>66779276</t>
        </is>
      </c>
      <c r="G1872" s="8">
        <f>IFERROR(VLOOKUP(A1872,Flete!$A:$E,5,0),"")</f>
        <v/>
      </c>
      <c r="H1872" s="7">
        <f>IFERROR(VLOOKUP(F1872,TRAOPE!$AA:$AB,2,0),"")</f>
        <v/>
      </c>
      <c r="I1872" s="7" t="n">
        <v>10175979</v>
      </c>
      <c r="J1872" s="7">
        <f>IFERROR(VLOOKUP(I1872,Materiales!$A:$H,8,0),"")</f>
        <v/>
      </c>
      <c r="K1872" s="9">
        <f>IFERROR(VLOOKUP(I1872,Materiales!$A:$G,7,0),"")</f>
        <v/>
      </c>
      <c r="L1872" s="8" t="inlineStr">
        <is>
          <t>20190426</t>
        </is>
      </c>
      <c r="M1872" s="8" t="inlineStr">
        <is>
          <t>20250127</t>
        </is>
      </c>
      <c r="N1872" s="10" t="n">
        <v>560</v>
      </c>
      <c r="O1872" s="10">
        <f>IFERROR(VLOOKUP(A1872,Flete!$A:$J,10,0),"")</f>
        <v/>
      </c>
      <c r="P1872" s="8" t="inlineStr">
        <is>
          <t>TN</t>
        </is>
      </c>
      <c r="Q1872" s="10">
        <f>IFERROR(IFERROR(VLOOKUP(A1872,TRAOPE!$A:$U,21,0),VLOOKUP(B1872,TRAOPE!$A:$U,21,0)),"")</f>
        <v/>
      </c>
      <c r="R1872" s="8">
        <f>IFERROR(IFERROR(VLOOKUP(A1872,TRAOPE!$A:$W,23,0),VLOOKUP(B1872,TRAOPE!$A:$W,23,0)),"")</f>
        <v/>
      </c>
      <c r="S1872" s="10">
        <f>IF(AND(P1872="TN",R1872="TN"),N1872+N(O1872),IF(G1872&amp;""="1",N(K1872)*N1872,(N1872+N(O1872))*N(K1872)))</f>
        <v/>
      </c>
      <c r="T1872" s="10">
        <f>IF(Q1872="","",Q1872-S1872)</f>
        <v/>
      </c>
    </row>
    <row r="1873">
      <c r="A1873" s="7">
        <f>CONCATENATE(C1873,E1873,F1873,I1873)</f>
        <v/>
      </c>
      <c r="B1873" s="7">
        <f>CONCATENATE(C1873,E1873,I1873)</f>
        <v/>
      </c>
      <c r="C1873" s="8" t="n">
        <v>900006185</v>
      </c>
      <c r="D1873" s="7">
        <f>IFERROR(VLOOKUP(C1873,TRAOPE!$G:$H,2,0),"")</f>
        <v/>
      </c>
      <c r="E1873" s="8" t="inlineStr">
        <is>
          <t>D836</t>
        </is>
      </c>
      <c r="F1873" s="8" t="inlineStr">
        <is>
          <t>66779276</t>
        </is>
      </c>
      <c r="G1873" s="8">
        <f>IFERROR(VLOOKUP(A1873,Flete!$A:$E,5,0),"")</f>
        <v/>
      </c>
      <c r="H1873" s="7">
        <f>IFERROR(VLOOKUP(F1873,TRAOPE!$AA:$AB,2,0),"")</f>
        <v/>
      </c>
      <c r="I1873" s="7" t="n">
        <v>10177979</v>
      </c>
      <c r="J1873" s="7">
        <f>IFERROR(VLOOKUP(I1873,Materiales!$A:$H,8,0),"")</f>
        <v/>
      </c>
      <c r="K1873" s="9">
        <f>IFERROR(VLOOKUP(I1873,Materiales!$A:$G,7,0),"")</f>
        <v/>
      </c>
      <c r="L1873" s="8" t="inlineStr">
        <is>
          <t>20190426</t>
        </is>
      </c>
      <c r="M1873" s="8" t="inlineStr">
        <is>
          <t>20250127</t>
        </is>
      </c>
      <c r="N1873" s="10" t="n">
        <v>560</v>
      </c>
      <c r="O1873" s="10">
        <f>IFERROR(VLOOKUP(A1873,Flete!$A:$J,10,0),"")</f>
        <v/>
      </c>
      <c r="P1873" s="8" t="inlineStr">
        <is>
          <t>TN</t>
        </is>
      </c>
      <c r="Q1873" s="10">
        <f>IFERROR(IFERROR(VLOOKUP(A1873,TRAOPE!$A:$U,21,0),VLOOKUP(B1873,TRAOPE!$A:$U,21,0)),"")</f>
        <v/>
      </c>
      <c r="R1873" s="8">
        <f>IFERROR(IFERROR(VLOOKUP(A1873,TRAOPE!$A:$W,23,0),VLOOKUP(B1873,TRAOPE!$A:$W,23,0)),"")</f>
        <v/>
      </c>
      <c r="S1873" s="10">
        <f>IF(AND(P1873="TN",R1873="TN"),N1873+N(O1873),IF(G1873&amp;""="1",N(K1873)*N1873,(N1873+N(O1873))*N(K1873)))</f>
        <v/>
      </c>
      <c r="T1873" s="10">
        <f>IF(Q1873="","",Q1873-S1873)</f>
        <v/>
      </c>
    </row>
    <row r="1874">
      <c r="A1874" s="7">
        <f>CONCATENATE(C1874,E1874,F1874,I1874)</f>
        <v/>
      </c>
      <c r="B1874" s="7">
        <f>CONCATENATE(C1874,E1874,I1874)</f>
        <v/>
      </c>
      <c r="C1874" s="8" t="n">
        <v>900006185</v>
      </c>
      <c r="D1874" s="7">
        <f>IFERROR(VLOOKUP(C1874,TRAOPE!$G:$H,2,0),"")</f>
        <v/>
      </c>
      <c r="E1874" s="8" t="inlineStr">
        <is>
          <t>D836</t>
        </is>
      </c>
      <c r="F1874" s="8" t="inlineStr">
        <is>
          <t>66788750</t>
        </is>
      </c>
      <c r="G1874" s="8">
        <f>IFERROR(VLOOKUP(A1874,Flete!$A:$E,5,0),"")</f>
        <v/>
      </c>
      <c r="H1874" s="7">
        <f>IFERROR(VLOOKUP(F1874,TRAOPE!$AA:$AB,2,0),"")</f>
        <v/>
      </c>
      <c r="I1874" s="7" t="n">
        <v>10000133</v>
      </c>
      <c r="J1874" s="7">
        <f>IFERROR(VLOOKUP(I1874,Materiales!$A:$H,8,0),"")</f>
        <v/>
      </c>
      <c r="K1874" s="9">
        <f>IFERROR(VLOOKUP(I1874,Materiales!$A:$G,7,0),"")</f>
        <v/>
      </c>
      <c r="L1874" s="8" t="inlineStr">
        <is>
          <t>20190426</t>
        </is>
      </c>
      <c r="M1874" s="8" t="inlineStr">
        <is>
          <t>20250127</t>
        </is>
      </c>
      <c r="N1874" s="10" t="n">
        <v>550</v>
      </c>
      <c r="O1874" s="10">
        <f>IFERROR(VLOOKUP(A1874,Flete!$A:$J,10,0),"")</f>
        <v/>
      </c>
      <c r="P1874" s="8" t="inlineStr">
        <is>
          <t>TN</t>
        </is>
      </c>
      <c r="Q1874" s="10">
        <f>IFERROR(IFERROR(VLOOKUP(A1874,TRAOPE!$A:$U,21,0),VLOOKUP(B1874,TRAOPE!$A:$U,21,0)),"")</f>
        <v/>
      </c>
      <c r="R1874" s="8">
        <f>IFERROR(IFERROR(VLOOKUP(A1874,TRAOPE!$A:$W,23,0),VLOOKUP(B1874,TRAOPE!$A:$W,23,0)),"")</f>
        <v/>
      </c>
      <c r="S1874" s="10">
        <f>IF(AND(P1874="TN",R1874="TN"),N1874+N(O1874),IF(G1874&amp;""="1",N(K1874)*N1874,(N1874+N(O1874))*N(K1874)))</f>
        <v/>
      </c>
      <c r="T1874" s="10">
        <f>IF(Q1874="","",Q1874-S1874)</f>
        <v/>
      </c>
    </row>
    <row r="1875">
      <c r="A1875" s="7">
        <f>CONCATENATE(C1875,E1875,F1875,I1875)</f>
        <v/>
      </c>
      <c r="B1875" s="7">
        <f>CONCATENATE(C1875,E1875,I1875)</f>
        <v/>
      </c>
      <c r="C1875" s="8" t="n">
        <v>900006185</v>
      </c>
      <c r="D1875" s="7">
        <f>IFERROR(VLOOKUP(C1875,TRAOPE!$G:$H,2,0),"")</f>
        <v/>
      </c>
      <c r="E1875" s="8" t="inlineStr">
        <is>
          <t>D836</t>
        </is>
      </c>
      <c r="F1875" s="8" t="inlineStr">
        <is>
          <t>66788750</t>
        </is>
      </c>
      <c r="G1875" s="8">
        <f>IFERROR(VLOOKUP(A1875,Flete!$A:$E,5,0),"")</f>
        <v/>
      </c>
      <c r="H1875" s="7">
        <f>IFERROR(VLOOKUP(F1875,TRAOPE!$AA:$AB,2,0),"")</f>
        <v/>
      </c>
      <c r="I1875" s="7" t="n">
        <v>10000651</v>
      </c>
      <c r="J1875" s="7">
        <f>IFERROR(VLOOKUP(I1875,Materiales!$A:$H,8,0),"")</f>
        <v/>
      </c>
      <c r="K1875" s="9">
        <f>IFERROR(VLOOKUP(I1875,Materiales!$A:$G,7,0),"")</f>
        <v/>
      </c>
      <c r="L1875" s="8" t="inlineStr">
        <is>
          <t>20190426</t>
        </is>
      </c>
      <c r="M1875" s="8" t="inlineStr">
        <is>
          <t>20250127</t>
        </is>
      </c>
      <c r="N1875" s="10" t="n">
        <v>500</v>
      </c>
      <c r="O1875" s="10">
        <f>IFERROR(VLOOKUP(A1875,Flete!$A:$J,10,0),"")</f>
        <v/>
      </c>
      <c r="P1875" s="8" t="inlineStr">
        <is>
          <t>TN</t>
        </is>
      </c>
      <c r="Q1875" s="10">
        <f>IFERROR(IFERROR(VLOOKUP(A1875,TRAOPE!$A:$U,21,0),VLOOKUP(B1875,TRAOPE!$A:$U,21,0)),"")</f>
        <v/>
      </c>
      <c r="R1875" s="8">
        <f>IFERROR(IFERROR(VLOOKUP(A1875,TRAOPE!$A:$W,23,0),VLOOKUP(B1875,TRAOPE!$A:$W,23,0)),"")</f>
        <v/>
      </c>
      <c r="S1875" s="10">
        <f>IF(AND(P1875="TN",R1875="TN"),N1875+N(O1875),IF(G1875&amp;""="1",N(K1875)*N1875,(N1875+N(O1875))*N(K1875)))</f>
        <v/>
      </c>
      <c r="T1875" s="10">
        <f>IF(Q1875="","",Q1875-S1875)</f>
        <v/>
      </c>
    </row>
    <row r="1876">
      <c r="A1876" s="7">
        <f>CONCATENATE(C1876,E1876,F1876,I1876)</f>
        <v/>
      </c>
      <c r="B1876" s="7">
        <f>CONCATENATE(C1876,E1876,I1876)</f>
        <v/>
      </c>
      <c r="C1876" s="8" t="n">
        <v>900006185</v>
      </c>
      <c r="D1876" s="7">
        <f>IFERROR(VLOOKUP(C1876,TRAOPE!$G:$H,2,0),"")</f>
        <v/>
      </c>
      <c r="E1876" s="8" t="inlineStr">
        <is>
          <t>D836</t>
        </is>
      </c>
      <c r="F1876" s="8" t="inlineStr">
        <is>
          <t>66788750</t>
        </is>
      </c>
      <c r="G1876" s="8">
        <f>IFERROR(VLOOKUP(A1876,Flete!$A:$E,5,0),"")</f>
        <v/>
      </c>
      <c r="H1876" s="7">
        <f>IFERROR(VLOOKUP(F1876,TRAOPE!$AA:$AB,2,0),"")</f>
        <v/>
      </c>
      <c r="I1876" s="7" t="n">
        <v>10149994</v>
      </c>
      <c r="J1876" s="7">
        <f>IFERROR(VLOOKUP(I1876,Materiales!$A:$H,8,0),"")</f>
        <v/>
      </c>
      <c r="K1876" s="9">
        <f>IFERROR(VLOOKUP(I1876,Materiales!$A:$G,7,0),"")</f>
        <v/>
      </c>
      <c r="L1876" s="8" t="inlineStr">
        <is>
          <t>20190426</t>
        </is>
      </c>
      <c r="M1876" s="8" t="inlineStr">
        <is>
          <t>20250127</t>
        </is>
      </c>
      <c r="N1876" s="10" t="n">
        <v>412.5</v>
      </c>
      <c r="O1876" s="10">
        <f>IFERROR(VLOOKUP(A1876,Flete!$A:$J,10,0),"")</f>
        <v/>
      </c>
      <c r="P1876" s="8" t="inlineStr">
        <is>
          <t>M3</t>
        </is>
      </c>
      <c r="Q1876" s="10">
        <f>IFERROR(IFERROR(VLOOKUP(A1876,TRAOPE!$A:$U,21,0),VLOOKUP(B1876,TRAOPE!$A:$U,21,0)),"")</f>
        <v/>
      </c>
      <c r="R1876" s="8">
        <f>IFERROR(IFERROR(VLOOKUP(A1876,TRAOPE!$A:$W,23,0),VLOOKUP(B1876,TRAOPE!$A:$W,23,0)),"")</f>
        <v/>
      </c>
      <c r="S1876" s="10">
        <f>IF(AND(P1876="TN",R1876="TN"),N1876+N(O1876),IF(G1876&amp;""="1",N(K1876)*N1876,(N1876+N(O1876))*N(K1876)))</f>
        <v/>
      </c>
      <c r="T1876" s="10">
        <f>IF(Q1876="","",Q1876-S1876)</f>
        <v/>
      </c>
    </row>
    <row r="1877">
      <c r="A1877" s="7">
        <f>CONCATENATE(C1877,E1877,F1877,I1877)</f>
        <v/>
      </c>
      <c r="B1877" s="7">
        <f>CONCATENATE(C1877,E1877,I1877)</f>
        <v/>
      </c>
      <c r="C1877" s="8" t="n">
        <v>900006185</v>
      </c>
      <c r="D1877" s="7">
        <f>IFERROR(VLOOKUP(C1877,TRAOPE!$G:$H,2,0),"")</f>
        <v/>
      </c>
      <c r="E1877" s="8" t="inlineStr">
        <is>
          <t>D836</t>
        </is>
      </c>
      <c r="F1877" s="8" t="inlineStr">
        <is>
          <t>66794474</t>
        </is>
      </c>
      <c r="G1877" s="8">
        <f>IFERROR(VLOOKUP(A1877,Flete!$A:$E,5,0),"")</f>
        <v/>
      </c>
      <c r="H1877" s="7">
        <f>IFERROR(VLOOKUP(F1877,TRAOPE!$AA:$AB,2,0),"")</f>
        <v/>
      </c>
      <c r="I1877" s="7" t="n">
        <v>10000160</v>
      </c>
      <c r="J1877" s="7">
        <f>IFERROR(VLOOKUP(I1877,Materiales!$A:$H,8,0),"")</f>
        <v/>
      </c>
      <c r="K1877" s="9">
        <f>IFERROR(VLOOKUP(I1877,Materiales!$A:$G,7,0),"")</f>
        <v/>
      </c>
      <c r="L1877" s="8" t="inlineStr">
        <is>
          <t>20190426</t>
        </is>
      </c>
      <c r="M1877" s="8" t="inlineStr">
        <is>
          <t>20250127</t>
        </is>
      </c>
      <c r="N1877" s="10" t="n">
        <v>525</v>
      </c>
      <c r="O1877" s="10">
        <f>IFERROR(VLOOKUP(A1877,Flete!$A:$J,10,0),"")</f>
        <v/>
      </c>
      <c r="P1877" s="8" t="inlineStr">
        <is>
          <t>TN</t>
        </is>
      </c>
      <c r="Q1877" s="10">
        <f>IFERROR(IFERROR(VLOOKUP(A1877,TRAOPE!$A:$U,21,0),VLOOKUP(B1877,TRAOPE!$A:$U,21,0)),"")</f>
        <v/>
      </c>
      <c r="R1877" s="8">
        <f>IFERROR(IFERROR(VLOOKUP(A1877,TRAOPE!$A:$W,23,0),VLOOKUP(B1877,TRAOPE!$A:$W,23,0)),"")</f>
        <v/>
      </c>
      <c r="S1877" s="10">
        <f>IF(AND(P1877="TN",R1877="TN"),N1877+N(O1877),IF(G1877&amp;""="1",N(K1877)*N1877,(N1877+N(O1877))*N(K1877)))</f>
        <v/>
      </c>
      <c r="T1877" s="10">
        <f>IF(Q1877="","",Q1877-S1877)</f>
        <v/>
      </c>
    </row>
    <row r="1878">
      <c r="A1878" s="7">
        <f>CONCATENATE(C1878,E1878,F1878,I1878)</f>
        <v/>
      </c>
      <c r="B1878" s="7">
        <f>CONCATENATE(C1878,E1878,I1878)</f>
        <v/>
      </c>
      <c r="C1878" s="8" t="n">
        <v>900006185</v>
      </c>
      <c r="D1878" s="7">
        <f>IFERROR(VLOOKUP(C1878,TRAOPE!$G:$H,2,0),"")</f>
        <v/>
      </c>
      <c r="E1878" s="8" t="inlineStr">
        <is>
          <t>D836</t>
        </is>
      </c>
      <c r="F1878" s="8" t="inlineStr">
        <is>
          <t>66794474</t>
        </is>
      </c>
      <c r="G1878" s="8">
        <f>IFERROR(VLOOKUP(A1878,Flete!$A:$E,5,0),"")</f>
        <v/>
      </c>
      <c r="H1878" s="7">
        <f>IFERROR(VLOOKUP(F1878,TRAOPE!$AA:$AB,2,0),"")</f>
        <v/>
      </c>
      <c r="I1878" s="7" t="n">
        <v>10000357</v>
      </c>
      <c r="J1878" s="7">
        <f>IFERROR(VLOOKUP(I1878,Materiales!$A:$H,8,0),"")</f>
        <v/>
      </c>
      <c r="K1878" s="9">
        <f>IFERROR(VLOOKUP(I1878,Materiales!$A:$G,7,0),"")</f>
        <v/>
      </c>
      <c r="L1878" s="8" t="inlineStr">
        <is>
          <t>20190426</t>
        </is>
      </c>
      <c r="M1878" s="8" t="inlineStr">
        <is>
          <t>20250127</t>
        </is>
      </c>
      <c r="N1878" s="10" t="n">
        <v>525</v>
      </c>
      <c r="O1878" s="10">
        <f>IFERROR(VLOOKUP(A1878,Flete!$A:$J,10,0),"")</f>
        <v/>
      </c>
      <c r="P1878" s="8" t="inlineStr">
        <is>
          <t>TN</t>
        </is>
      </c>
      <c r="Q1878" s="10">
        <f>IFERROR(IFERROR(VLOOKUP(A1878,TRAOPE!$A:$U,21,0),VLOOKUP(B1878,TRAOPE!$A:$U,21,0)),"")</f>
        <v/>
      </c>
      <c r="R1878" s="8">
        <f>IFERROR(IFERROR(VLOOKUP(A1878,TRAOPE!$A:$W,23,0),VLOOKUP(B1878,TRAOPE!$A:$W,23,0)),"")</f>
        <v/>
      </c>
      <c r="S1878" s="10">
        <f>IF(AND(P1878="TN",R1878="TN"),N1878+N(O1878),IF(G1878&amp;""="1",N(K1878)*N1878,(N1878+N(O1878))*N(K1878)))</f>
        <v/>
      </c>
      <c r="T1878" s="10">
        <f>IF(Q1878="","",Q1878-S1878)</f>
        <v/>
      </c>
    </row>
    <row r="1879">
      <c r="A1879" s="7">
        <f>CONCATENATE(C1879,E1879,F1879,I1879)</f>
        <v/>
      </c>
      <c r="B1879" s="7">
        <f>CONCATENATE(C1879,E1879,I1879)</f>
        <v/>
      </c>
      <c r="C1879" s="8" t="n">
        <v>900006185</v>
      </c>
      <c r="D1879" s="7">
        <f>IFERROR(VLOOKUP(C1879,TRAOPE!$G:$H,2,0),"")</f>
        <v/>
      </c>
      <c r="E1879" s="8" t="inlineStr">
        <is>
          <t>D836</t>
        </is>
      </c>
      <c r="F1879" s="8" t="inlineStr">
        <is>
          <t>66823198</t>
        </is>
      </c>
      <c r="G1879" s="8">
        <f>IFERROR(VLOOKUP(A1879,Flete!$A:$E,5,0),"")</f>
        <v/>
      </c>
      <c r="H1879" s="7">
        <f>IFERROR(VLOOKUP(F1879,TRAOPE!$AA:$AB,2,0),"")</f>
        <v/>
      </c>
      <c r="I1879" s="7" t="n">
        <v>10000357</v>
      </c>
      <c r="J1879" s="7">
        <f>IFERROR(VLOOKUP(I1879,Materiales!$A:$H,8,0),"")</f>
        <v/>
      </c>
      <c r="K1879" s="9">
        <f>IFERROR(VLOOKUP(I1879,Materiales!$A:$G,7,0),"")</f>
        <v/>
      </c>
      <c r="L1879" s="8" t="inlineStr">
        <is>
          <t>20190426</t>
        </is>
      </c>
      <c r="M1879" s="8" t="inlineStr">
        <is>
          <t>20250127</t>
        </is>
      </c>
      <c r="N1879" s="10" t="n">
        <v>1425</v>
      </c>
      <c r="O1879" s="10">
        <f>IFERROR(VLOOKUP(A1879,Flete!$A:$J,10,0),"")</f>
        <v/>
      </c>
      <c r="P1879" s="8" t="inlineStr">
        <is>
          <t>M3</t>
        </is>
      </c>
      <c r="Q1879" s="10">
        <f>IFERROR(IFERROR(VLOOKUP(A1879,TRAOPE!$A:$U,21,0),VLOOKUP(B1879,TRAOPE!$A:$U,21,0)),"")</f>
        <v/>
      </c>
      <c r="R1879" s="8">
        <f>IFERROR(IFERROR(VLOOKUP(A1879,TRAOPE!$A:$W,23,0),VLOOKUP(B1879,TRAOPE!$A:$W,23,0)),"")</f>
        <v/>
      </c>
      <c r="S1879" s="10">
        <f>IF(AND(P1879="TN",R1879="TN"),N1879+N(O1879),IF(G1879&amp;""="1",N(K1879)*N1879,(N1879+N(O1879))*N(K1879)))</f>
        <v/>
      </c>
      <c r="T1879" s="10">
        <f>IF(Q1879="","",Q1879-S1879)</f>
        <v/>
      </c>
    </row>
    <row r="1880">
      <c r="A1880" s="7">
        <f>CONCATENATE(C1880,E1880,F1880,I1880)</f>
        <v/>
      </c>
      <c r="B1880" s="7">
        <f>CONCATENATE(C1880,E1880,I1880)</f>
        <v/>
      </c>
      <c r="C1880" s="8" t="n">
        <v>900006185</v>
      </c>
      <c r="D1880" s="7">
        <f>IFERROR(VLOOKUP(C1880,TRAOPE!$G:$H,2,0),"")</f>
        <v/>
      </c>
      <c r="E1880" s="8" t="inlineStr">
        <is>
          <t>D836</t>
        </is>
      </c>
      <c r="F1880" s="8" t="inlineStr">
        <is>
          <t>66823198</t>
        </is>
      </c>
      <c r="G1880" s="8">
        <f>IFERROR(VLOOKUP(A1880,Flete!$A:$E,5,0),"")</f>
        <v/>
      </c>
      <c r="H1880" s="7">
        <f>IFERROR(VLOOKUP(F1880,TRAOPE!$AA:$AB,2,0),"")</f>
        <v/>
      </c>
      <c r="I1880" s="7" t="n">
        <v>10000651</v>
      </c>
      <c r="J1880" s="7">
        <f>IFERROR(VLOOKUP(I1880,Materiales!$A:$H,8,0),"")</f>
        <v/>
      </c>
      <c r="K1880" s="9">
        <f>IFERROR(VLOOKUP(I1880,Materiales!$A:$G,7,0),"")</f>
        <v/>
      </c>
      <c r="L1880" s="8" t="inlineStr">
        <is>
          <t>20190426</t>
        </is>
      </c>
      <c r="M1880" s="8" t="inlineStr">
        <is>
          <t>20250127</t>
        </is>
      </c>
      <c r="N1880" s="10" t="n">
        <v>1425</v>
      </c>
      <c r="O1880" s="10">
        <f>IFERROR(VLOOKUP(A1880,Flete!$A:$J,10,0),"")</f>
        <v/>
      </c>
      <c r="P1880" s="8" t="inlineStr">
        <is>
          <t>M3</t>
        </is>
      </c>
      <c r="Q1880" s="10">
        <f>IFERROR(IFERROR(VLOOKUP(A1880,TRAOPE!$A:$U,21,0),VLOOKUP(B1880,TRAOPE!$A:$U,21,0)),"")</f>
        <v/>
      </c>
      <c r="R1880" s="8">
        <f>IFERROR(IFERROR(VLOOKUP(A1880,TRAOPE!$A:$W,23,0),VLOOKUP(B1880,TRAOPE!$A:$W,23,0)),"")</f>
        <v/>
      </c>
      <c r="S1880" s="10">
        <f>IF(AND(P1880="TN",R1880="TN"),N1880+N(O1880),IF(G1880&amp;""="1",N(K1880)*N1880,(N1880+N(O1880))*N(K1880)))</f>
        <v/>
      </c>
      <c r="T1880" s="10">
        <f>IF(Q1880="","",Q1880-S1880)</f>
        <v/>
      </c>
    </row>
    <row r="1881">
      <c r="A1881" s="7">
        <f>CONCATENATE(C1881,E1881,F1881,I1881)</f>
        <v/>
      </c>
      <c r="B1881" s="7">
        <f>CONCATENATE(C1881,E1881,I1881)</f>
        <v/>
      </c>
      <c r="C1881" s="8" t="n">
        <v>900006185</v>
      </c>
      <c r="D1881" s="7">
        <f>IFERROR(VLOOKUP(C1881,TRAOPE!$G:$H,2,0),"")</f>
        <v/>
      </c>
      <c r="E1881" s="8" t="inlineStr">
        <is>
          <t>D836</t>
        </is>
      </c>
      <c r="F1881" s="8" t="inlineStr">
        <is>
          <t>66830683</t>
        </is>
      </c>
      <c r="G1881" s="8">
        <f>IFERROR(VLOOKUP(A1881,Flete!$A:$E,5,0),"")</f>
        <v/>
      </c>
      <c r="H1881" s="7">
        <f>IFERROR(VLOOKUP(F1881,TRAOPE!$AA:$AB,2,0),"")</f>
        <v/>
      </c>
      <c r="I1881" s="7" t="n">
        <v>10000160</v>
      </c>
      <c r="J1881" s="7">
        <f>IFERROR(VLOOKUP(I1881,Materiales!$A:$H,8,0),"")</f>
        <v/>
      </c>
      <c r="K1881" s="9">
        <f>IFERROR(VLOOKUP(I1881,Materiales!$A:$G,7,0),"")</f>
        <v/>
      </c>
      <c r="L1881" s="8" t="inlineStr">
        <is>
          <t>20190426</t>
        </is>
      </c>
      <c r="M1881" s="8" t="inlineStr">
        <is>
          <t>20250127</t>
        </is>
      </c>
      <c r="N1881" s="10" t="n">
        <v>500</v>
      </c>
      <c r="O1881" s="10">
        <f>IFERROR(VLOOKUP(A1881,Flete!$A:$J,10,0),"")</f>
        <v/>
      </c>
      <c r="P1881" s="8" t="inlineStr">
        <is>
          <t>TN</t>
        </is>
      </c>
      <c r="Q1881" s="10">
        <f>IFERROR(IFERROR(VLOOKUP(A1881,TRAOPE!$A:$U,21,0),VLOOKUP(B1881,TRAOPE!$A:$U,21,0)),"")</f>
        <v/>
      </c>
      <c r="R1881" s="8">
        <f>IFERROR(IFERROR(VLOOKUP(A1881,TRAOPE!$A:$W,23,0),VLOOKUP(B1881,TRAOPE!$A:$W,23,0)),"")</f>
        <v/>
      </c>
      <c r="S1881" s="10">
        <f>IF(AND(P1881="TN",R1881="TN"),N1881+N(O1881),IF(G1881&amp;""="1",N(K1881)*N1881,(N1881+N(O1881))*N(K1881)))</f>
        <v/>
      </c>
      <c r="T1881" s="10">
        <f>IF(Q1881="","",Q1881-S1881)</f>
        <v/>
      </c>
    </row>
    <row r="1882">
      <c r="A1882" s="7">
        <f>CONCATENATE(C1882,E1882,F1882,I1882)</f>
        <v/>
      </c>
      <c r="B1882" s="7">
        <f>CONCATENATE(C1882,E1882,I1882)</f>
        <v/>
      </c>
      <c r="C1882" s="8" t="n">
        <v>900006185</v>
      </c>
      <c r="D1882" s="7">
        <f>IFERROR(VLOOKUP(C1882,TRAOPE!$G:$H,2,0),"")</f>
        <v/>
      </c>
      <c r="E1882" s="8" t="inlineStr">
        <is>
          <t>D836</t>
        </is>
      </c>
      <c r="F1882" s="8" t="inlineStr">
        <is>
          <t>66830683</t>
        </is>
      </c>
      <c r="G1882" s="8">
        <f>IFERROR(VLOOKUP(A1882,Flete!$A:$E,5,0),"")</f>
        <v/>
      </c>
      <c r="H1882" s="7">
        <f>IFERROR(VLOOKUP(F1882,TRAOPE!$AA:$AB,2,0),"")</f>
        <v/>
      </c>
      <c r="I1882" s="7" t="n">
        <v>10000206</v>
      </c>
      <c r="J1882" s="7">
        <f>IFERROR(VLOOKUP(I1882,Materiales!$A:$H,8,0),"")</f>
        <v/>
      </c>
      <c r="K1882" s="9">
        <f>IFERROR(VLOOKUP(I1882,Materiales!$A:$G,7,0),"")</f>
        <v/>
      </c>
      <c r="L1882" s="8" t="inlineStr">
        <is>
          <t>20190426</t>
        </is>
      </c>
      <c r="M1882" s="8" t="inlineStr">
        <is>
          <t>20250127</t>
        </is>
      </c>
      <c r="N1882" s="10" t="n">
        <v>375</v>
      </c>
      <c r="O1882" s="10">
        <f>IFERROR(VLOOKUP(A1882,Flete!$A:$J,10,0),"")</f>
        <v/>
      </c>
      <c r="P1882" s="8" t="inlineStr">
        <is>
          <t>M3</t>
        </is>
      </c>
      <c r="Q1882" s="10">
        <f>IFERROR(IFERROR(VLOOKUP(A1882,TRAOPE!$A:$U,21,0),VLOOKUP(B1882,TRAOPE!$A:$U,21,0)),"")</f>
        <v/>
      </c>
      <c r="R1882" s="8">
        <f>IFERROR(IFERROR(VLOOKUP(A1882,TRAOPE!$A:$W,23,0),VLOOKUP(B1882,TRAOPE!$A:$W,23,0)),"")</f>
        <v/>
      </c>
      <c r="S1882" s="10">
        <f>IF(AND(P1882="TN",R1882="TN"),N1882+N(O1882),IF(G1882&amp;""="1",N(K1882)*N1882,(N1882+N(O1882))*N(K1882)))</f>
        <v/>
      </c>
      <c r="T1882" s="10">
        <f>IF(Q1882="","",Q1882-S1882)</f>
        <v/>
      </c>
    </row>
    <row r="1883">
      <c r="A1883" s="7">
        <f>CONCATENATE(C1883,E1883,F1883,I1883)</f>
        <v/>
      </c>
      <c r="B1883" s="7">
        <f>CONCATENATE(C1883,E1883,I1883)</f>
        <v/>
      </c>
      <c r="C1883" s="8" t="n">
        <v>900006185</v>
      </c>
      <c r="D1883" s="7">
        <f>IFERROR(VLOOKUP(C1883,TRAOPE!$G:$H,2,0),"")</f>
        <v/>
      </c>
      <c r="E1883" s="8" t="inlineStr">
        <is>
          <t>D836</t>
        </is>
      </c>
      <c r="F1883" s="8" t="inlineStr">
        <is>
          <t>66830683</t>
        </is>
      </c>
      <c r="G1883" s="8">
        <f>IFERROR(VLOOKUP(A1883,Flete!$A:$E,5,0),"")</f>
        <v/>
      </c>
      <c r="H1883" s="7">
        <f>IFERROR(VLOOKUP(F1883,TRAOPE!$AA:$AB,2,0),"")</f>
        <v/>
      </c>
      <c r="I1883" s="7" t="n">
        <v>10000357</v>
      </c>
      <c r="J1883" s="7">
        <f>IFERROR(VLOOKUP(I1883,Materiales!$A:$H,8,0),"")</f>
        <v/>
      </c>
      <c r="K1883" s="9">
        <f>IFERROR(VLOOKUP(I1883,Materiales!$A:$G,7,0),"")</f>
        <v/>
      </c>
      <c r="L1883" s="8" t="inlineStr">
        <is>
          <t>20190426</t>
        </is>
      </c>
      <c r="M1883" s="8" t="inlineStr">
        <is>
          <t>20250127</t>
        </is>
      </c>
      <c r="N1883" s="10" t="n">
        <v>500</v>
      </c>
      <c r="O1883" s="10">
        <f>IFERROR(VLOOKUP(A1883,Flete!$A:$J,10,0),"")</f>
        <v/>
      </c>
      <c r="P1883" s="8" t="inlineStr">
        <is>
          <t>TN</t>
        </is>
      </c>
      <c r="Q1883" s="10">
        <f>IFERROR(IFERROR(VLOOKUP(A1883,TRAOPE!$A:$U,21,0),VLOOKUP(B1883,TRAOPE!$A:$U,21,0)),"")</f>
        <v/>
      </c>
      <c r="R1883" s="8">
        <f>IFERROR(IFERROR(VLOOKUP(A1883,TRAOPE!$A:$W,23,0),VLOOKUP(B1883,TRAOPE!$A:$W,23,0)),"")</f>
        <v/>
      </c>
      <c r="S1883" s="10">
        <f>IF(AND(P1883="TN",R1883="TN"),N1883+N(O1883),IF(G1883&amp;""="1",N(K1883)*N1883,(N1883+N(O1883))*N(K1883)))</f>
        <v/>
      </c>
      <c r="T1883" s="10">
        <f>IF(Q1883="","",Q1883-S1883)</f>
        <v/>
      </c>
    </row>
    <row r="1884">
      <c r="A1884" s="7">
        <f>CONCATENATE(C1884,E1884,F1884,I1884)</f>
        <v/>
      </c>
      <c r="B1884" s="7">
        <f>CONCATENATE(C1884,E1884,I1884)</f>
        <v/>
      </c>
      <c r="C1884" s="8" t="n">
        <v>900006185</v>
      </c>
      <c r="D1884" s="7">
        <f>IFERROR(VLOOKUP(C1884,TRAOPE!$G:$H,2,0),"")</f>
        <v/>
      </c>
      <c r="E1884" s="8" t="inlineStr">
        <is>
          <t>D836</t>
        </is>
      </c>
      <c r="F1884" s="8" t="inlineStr">
        <is>
          <t>66830683</t>
        </is>
      </c>
      <c r="G1884" s="8">
        <f>IFERROR(VLOOKUP(A1884,Flete!$A:$E,5,0),"")</f>
        <v/>
      </c>
      <c r="H1884" s="7">
        <f>IFERROR(VLOOKUP(F1884,TRAOPE!$AA:$AB,2,0),"")</f>
        <v/>
      </c>
      <c r="I1884" s="7" t="n">
        <v>10000627</v>
      </c>
      <c r="J1884" s="7">
        <f>IFERROR(VLOOKUP(I1884,Materiales!$A:$H,8,0),"")</f>
        <v/>
      </c>
      <c r="K1884" s="9">
        <f>IFERROR(VLOOKUP(I1884,Materiales!$A:$G,7,0),"")</f>
        <v/>
      </c>
      <c r="L1884" s="8" t="inlineStr">
        <is>
          <t>20190426</t>
        </is>
      </c>
      <c r="M1884" s="8" t="inlineStr">
        <is>
          <t>20250127</t>
        </is>
      </c>
      <c r="N1884" s="10" t="n">
        <v>562.5</v>
      </c>
      <c r="O1884" s="10">
        <f>IFERROR(VLOOKUP(A1884,Flete!$A:$J,10,0),"")</f>
        <v/>
      </c>
      <c r="P1884" s="8" t="inlineStr">
        <is>
          <t>M3</t>
        </is>
      </c>
      <c r="Q1884" s="10">
        <f>IFERROR(IFERROR(VLOOKUP(A1884,TRAOPE!$A:$U,21,0),VLOOKUP(B1884,TRAOPE!$A:$U,21,0)),"")</f>
        <v/>
      </c>
      <c r="R1884" s="8">
        <f>IFERROR(IFERROR(VLOOKUP(A1884,TRAOPE!$A:$W,23,0),VLOOKUP(B1884,TRAOPE!$A:$W,23,0)),"")</f>
        <v/>
      </c>
      <c r="S1884" s="10">
        <f>IF(AND(P1884="TN",R1884="TN"),N1884+N(O1884),IF(G1884&amp;""="1",N(K1884)*N1884,(N1884+N(O1884))*N(K1884)))</f>
        <v/>
      </c>
      <c r="T1884" s="10">
        <f>IF(Q1884="","",Q1884-S1884)</f>
        <v/>
      </c>
    </row>
    <row r="1885">
      <c r="A1885" s="7">
        <f>CONCATENATE(C1885,E1885,F1885,I1885)</f>
        <v/>
      </c>
      <c r="B1885" s="7">
        <f>CONCATENATE(C1885,E1885,I1885)</f>
        <v/>
      </c>
      <c r="C1885" s="8" t="n">
        <v>900006185</v>
      </c>
      <c r="D1885" s="7">
        <f>IFERROR(VLOOKUP(C1885,TRAOPE!$G:$H,2,0),"")</f>
        <v/>
      </c>
      <c r="E1885" s="8" t="inlineStr">
        <is>
          <t>D836</t>
        </is>
      </c>
      <c r="F1885" s="8" t="inlineStr">
        <is>
          <t>66842692</t>
        </is>
      </c>
      <c r="G1885" s="8">
        <f>IFERROR(VLOOKUP(A1885,Flete!$A:$E,5,0),"")</f>
        <v/>
      </c>
      <c r="H1885" s="7">
        <f>IFERROR(VLOOKUP(F1885,TRAOPE!$AA:$AB,2,0),"")</f>
        <v/>
      </c>
      <c r="I1885" s="7" t="n">
        <v>10000160</v>
      </c>
      <c r="J1885" s="7">
        <f>IFERROR(VLOOKUP(I1885,Materiales!$A:$H,8,0),"")</f>
        <v/>
      </c>
      <c r="K1885" s="9">
        <f>IFERROR(VLOOKUP(I1885,Materiales!$A:$G,7,0),"")</f>
        <v/>
      </c>
      <c r="L1885" s="8" t="inlineStr">
        <is>
          <t>20190426</t>
        </is>
      </c>
      <c r="M1885" s="8" t="inlineStr">
        <is>
          <t>20250127</t>
        </is>
      </c>
      <c r="N1885" s="10" t="n">
        <v>640</v>
      </c>
      <c r="O1885" s="10">
        <f>IFERROR(VLOOKUP(A1885,Flete!$A:$J,10,0),"")</f>
        <v/>
      </c>
      <c r="P1885" s="8" t="inlineStr">
        <is>
          <t>M3</t>
        </is>
      </c>
      <c r="Q1885" s="10">
        <f>IFERROR(IFERROR(VLOOKUP(A1885,TRAOPE!$A:$U,21,0),VLOOKUP(B1885,TRAOPE!$A:$U,21,0)),"")</f>
        <v/>
      </c>
      <c r="R1885" s="8">
        <f>IFERROR(IFERROR(VLOOKUP(A1885,TRAOPE!$A:$W,23,0),VLOOKUP(B1885,TRAOPE!$A:$W,23,0)),"")</f>
        <v/>
      </c>
      <c r="S1885" s="10">
        <f>IF(AND(P1885="TN",R1885="TN"),N1885+N(O1885),IF(G1885&amp;""="1",N(K1885)*N1885,(N1885+N(O1885))*N(K1885)))</f>
        <v/>
      </c>
      <c r="T1885" s="10">
        <f>IF(Q1885="","",Q1885-S1885)</f>
        <v/>
      </c>
    </row>
    <row r="1886">
      <c r="A1886" s="7">
        <f>CONCATENATE(C1886,E1886,F1886,I1886)</f>
        <v/>
      </c>
      <c r="B1886" s="7">
        <f>CONCATENATE(C1886,E1886,I1886)</f>
        <v/>
      </c>
      <c r="C1886" s="8" t="n">
        <v>900006185</v>
      </c>
      <c r="D1886" s="7">
        <f>IFERROR(VLOOKUP(C1886,TRAOPE!$G:$H,2,0),"")</f>
        <v/>
      </c>
      <c r="E1886" s="8" t="inlineStr">
        <is>
          <t>D836</t>
        </is>
      </c>
      <c r="F1886" s="8" t="inlineStr">
        <is>
          <t>66842692</t>
        </is>
      </c>
      <c r="G1886" s="8">
        <f>IFERROR(VLOOKUP(A1886,Flete!$A:$E,5,0),"")</f>
        <v/>
      </c>
      <c r="H1886" s="7">
        <f>IFERROR(VLOOKUP(F1886,TRAOPE!$AA:$AB,2,0),"")</f>
        <v/>
      </c>
      <c r="I1886" s="7" t="n">
        <v>10000357</v>
      </c>
      <c r="J1886" s="7">
        <f>IFERROR(VLOOKUP(I1886,Materiales!$A:$H,8,0),"")</f>
        <v/>
      </c>
      <c r="K1886" s="9">
        <f>IFERROR(VLOOKUP(I1886,Materiales!$A:$G,7,0),"")</f>
        <v/>
      </c>
      <c r="L1886" s="8" t="inlineStr">
        <is>
          <t>20190426</t>
        </is>
      </c>
      <c r="M1886" s="8" t="inlineStr">
        <is>
          <t>20250127</t>
        </is>
      </c>
      <c r="N1886" s="10" t="n">
        <v>640</v>
      </c>
      <c r="O1886" s="10">
        <f>IFERROR(VLOOKUP(A1886,Flete!$A:$J,10,0),"")</f>
        <v/>
      </c>
      <c r="P1886" s="8" t="inlineStr">
        <is>
          <t>M3</t>
        </is>
      </c>
      <c r="Q1886" s="10">
        <f>IFERROR(IFERROR(VLOOKUP(A1886,TRAOPE!$A:$U,21,0),VLOOKUP(B1886,TRAOPE!$A:$U,21,0)),"")</f>
        <v/>
      </c>
      <c r="R1886" s="8">
        <f>IFERROR(IFERROR(VLOOKUP(A1886,TRAOPE!$A:$W,23,0),VLOOKUP(B1886,TRAOPE!$A:$W,23,0)),"")</f>
        <v/>
      </c>
      <c r="S1886" s="10">
        <f>IF(AND(P1886="TN",R1886="TN"),N1886+N(O1886),IF(G1886&amp;""="1",N(K1886)*N1886,(N1886+N(O1886))*N(K1886)))</f>
        <v/>
      </c>
      <c r="T1886" s="10">
        <f>IF(Q1886="","",Q1886-S1886)</f>
        <v/>
      </c>
    </row>
    <row r="1887">
      <c r="A1887" s="7">
        <f>CONCATENATE(C1887,E1887,F1887,I1887)</f>
        <v/>
      </c>
      <c r="B1887" s="7">
        <f>CONCATENATE(C1887,E1887,I1887)</f>
        <v/>
      </c>
      <c r="C1887" s="8" t="n">
        <v>900006185</v>
      </c>
      <c r="D1887" s="7">
        <f>IFERROR(VLOOKUP(C1887,TRAOPE!$G:$H,2,0),"")</f>
        <v/>
      </c>
      <c r="E1887" s="8" t="inlineStr">
        <is>
          <t>D836</t>
        </is>
      </c>
      <c r="F1887" s="8" t="inlineStr">
        <is>
          <t>66847144</t>
        </is>
      </c>
      <c r="G1887" s="8">
        <f>IFERROR(VLOOKUP(A1887,Flete!$A:$E,5,0),"")</f>
        <v/>
      </c>
      <c r="H1887" s="7">
        <f>IFERROR(VLOOKUP(F1887,TRAOPE!$AA:$AB,2,0),"")</f>
        <v/>
      </c>
      <c r="I1887" s="7" t="n">
        <v>10000160</v>
      </c>
      <c r="J1887" s="7">
        <f>IFERROR(VLOOKUP(I1887,Materiales!$A:$H,8,0),"")</f>
        <v/>
      </c>
      <c r="K1887" s="9">
        <f>IFERROR(VLOOKUP(I1887,Materiales!$A:$G,7,0),"")</f>
        <v/>
      </c>
      <c r="L1887" s="8" t="inlineStr">
        <is>
          <t>20190426</t>
        </is>
      </c>
      <c r="M1887" s="8" t="inlineStr">
        <is>
          <t>20250127</t>
        </is>
      </c>
      <c r="N1887" s="10" t="n">
        <v>500</v>
      </c>
      <c r="O1887" s="10">
        <f>IFERROR(VLOOKUP(A1887,Flete!$A:$J,10,0),"")</f>
        <v/>
      </c>
      <c r="P1887" s="8" t="inlineStr">
        <is>
          <t>M3</t>
        </is>
      </c>
      <c r="Q1887" s="10">
        <f>IFERROR(IFERROR(VLOOKUP(A1887,TRAOPE!$A:$U,21,0),VLOOKUP(B1887,TRAOPE!$A:$U,21,0)),"")</f>
        <v/>
      </c>
      <c r="R1887" s="8">
        <f>IFERROR(IFERROR(VLOOKUP(A1887,TRAOPE!$A:$W,23,0),VLOOKUP(B1887,TRAOPE!$A:$W,23,0)),"")</f>
        <v/>
      </c>
      <c r="S1887" s="10">
        <f>IF(AND(P1887="TN",R1887="TN"),N1887+N(O1887),IF(G1887&amp;""="1",N(K1887)*N1887,(N1887+N(O1887))*N(K1887)))</f>
        <v/>
      </c>
      <c r="T1887" s="10">
        <f>IF(Q1887="","",Q1887-S1887)</f>
        <v/>
      </c>
    </row>
    <row r="1888">
      <c r="A1888" s="7">
        <f>CONCATENATE(C1888,E1888,F1888,I1888)</f>
        <v/>
      </c>
      <c r="B1888" s="7">
        <f>CONCATENATE(C1888,E1888,I1888)</f>
        <v/>
      </c>
      <c r="C1888" s="8" t="n">
        <v>900006185</v>
      </c>
      <c r="D1888" s="7">
        <f>IFERROR(VLOOKUP(C1888,TRAOPE!$G:$H,2,0),"")</f>
        <v/>
      </c>
      <c r="E1888" s="8" t="inlineStr">
        <is>
          <t>D836</t>
        </is>
      </c>
      <c r="F1888" s="8" t="inlineStr">
        <is>
          <t>66847144</t>
        </is>
      </c>
      <c r="G1888" s="8">
        <f>IFERROR(VLOOKUP(A1888,Flete!$A:$E,5,0),"")</f>
        <v/>
      </c>
      <c r="H1888" s="7">
        <f>IFERROR(VLOOKUP(F1888,TRAOPE!$AA:$AB,2,0),"")</f>
        <v/>
      </c>
      <c r="I1888" s="7" t="n">
        <v>10000357</v>
      </c>
      <c r="J1888" s="7">
        <f>IFERROR(VLOOKUP(I1888,Materiales!$A:$H,8,0),"")</f>
        <v/>
      </c>
      <c r="K1888" s="9">
        <f>IFERROR(VLOOKUP(I1888,Materiales!$A:$G,7,0),"")</f>
        <v/>
      </c>
      <c r="L1888" s="8" t="inlineStr">
        <is>
          <t>20190426</t>
        </is>
      </c>
      <c r="M1888" s="8" t="inlineStr">
        <is>
          <t>20250127</t>
        </is>
      </c>
      <c r="N1888" s="10" t="n">
        <v>500</v>
      </c>
      <c r="O1888" s="10">
        <f>IFERROR(VLOOKUP(A1888,Flete!$A:$J,10,0),"")</f>
        <v/>
      </c>
      <c r="P1888" s="8" t="inlineStr">
        <is>
          <t>M3</t>
        </is>
      </c>
      <c r="Q1888" s="10">
        <f>IFERROR(IFERROR(VLOOKUP(A1888,TRAOPE!$A:$U,21,0),VLOOKUP(B1888,TRAOPE!$A:$U,21,0)),"")</f>
        <v/>
      </c>
      <c r="R1888" s="8">
        <f>IFERROR(IFERROR(VLOOKUP(A1888,TRAOPE!$A:$W,23,0),VLOOKUP(B1888,TRAOPE!$A:$W,23,0)),"")</f>
        <v/>
      </c>
      <c r="S1888" s="10">
        <f>IF(AND(P1888="TN",R1888="TN"),N1888+N(O1888),IF(G1888&amp;""="1",N(K1888)*N1888,(N1888+N(O1888))*N(K1888)))</f>
        <v/>
      </c>
      <c r="T1888" s="10">
        <f>IF(Q1888="","",Q1888-S1888)</f>
        <v/>
      </c>
    </row>
    <row r="1889">
      <c r="A1889" s="7">
        <f>CONCATENATE(C1889,E1889,F1889,I1889)</f>
        <v/>
      </c>
      <c r="B1889" s="7">
        <f>CONCATENATE(C1889,E1889,I1889)</f>
        <v/>
      </c>
      <c r="C1889" s="8" t="n">
        <v>900006185</v>
      </c>
      <c r="D1889" s="7">
        <f>IFERROR(VLOOKUP(C1889,TRAOPE!$G:$H,2,0),"")</f>
        <v/>
      </c>
      <c r="E1889" s="8" t="inlineStr">
        <is>
          <t>D836</t>
        </is>
      </c>
      <c r="F1889" s="8" t="inlineStr">
        <is>
          <t>66847816</t>
        </is>
      </c>
      <c r="G1889" s="8">
        <f>IFERROR(VLOOKUP(A1889,Flete!$A:$E,5,0),"")</f>
        <v/>
      </c>
      <c r="H1889" s="7">
        <f>IFERROR(VLOOKUP(F1889,TRAOPE!$AA:$AB,2,0),"")</f>
        <v/>
      </c>
      <c r="I1889" s="7" t="n">
        <v>10037590</v>
      </c>
      <c r="J1889" s="7">
        <f>IFERROR(VLOOKUP(I1889,Materiales!$A:$H,8,0),"")</f>
        <v/>
      </c>
      <c r="K1889" s="9">
        <f>IFERROR(VLOOKUP(I1889,Materiales!$A:$G,7,0),"")</f>
        <v/>
      </c>
      <c r="L1889" s="8" t="inlineStr">
        <is>
          <t>20190426</t>
        </is>
      </c>
      <c r="M1889" s="8" t="inlineStr">
        <is>
          <t>20250127</t>
        </is>
      </c>
      <c r="N1889" s="10" t="n">
        <v>750</v>
      </c>
      <c r="O1889" s="10">
        <f>IFERROR(VLOOKUP(A1889,Flete!$A:$J,10,0),"")</f>
        <v/>
      </c>
      <c r="P1889" s="8" t="inlineStr">
        <is>
          <t>TN</t>
        </is>
      </c>
      <c r="Q1889" s="10">
        <f>IFERROR(IFERROR(VLOOKUP(A1889,TRAOPE!$A:$U,21,0),VLOOKUP(B1889,TRAOPE!$A:$U,21,0)),"")</f>
        <v/>
      </c>
      <c r="R1889" s="8">
        <f>IFERROR(IFERROR(VLOOKUP(A1889,TRAOPE!$A:$W,23,0),VLOOKUP(B1889,TRAOPE!$A:$W,23,0)),"")</f>
        <v/>
      </c>
      <c r="S1889" s="10">
        <f>IF(AND(P1889="TN",R1889="TN"),N1889+N(O1889),IF(G1889&amp;""="1",N(K1889)*N1889,(N1889+N(O1889))*N(K1889)))</f>
        <v/>
      </c>
      <c r="T1889" s="10">
        <f>IF(Q1889="","",Q1889-S1889)</f>
        <v/>
      </c>
    </row>
    <row r="1890">
      <c r="A1890" s="7">
        <f>CONCATENATE(C1890,E1890,F1890,I1890)</f>
        <v/>
      </c>
      <c r="B1890" s="7">
        <f>CONCATENATE(C1890,E1890,I1890)</f>
        <v/>
      </c>
      <c r="C1890" s="8" t="n">
        <v>900006185</v>
      </c>
      <c r="D1890" s="7">
        <f>IFERROR(VLOOKUP(C1890,TRAOPE!$G:$H,2,0),"")</f>
        <v/>
      </c>
      <c r="E1890" s="8" t="inlineStr">
        <is>
          <t>D836</t>
        </is>
      </c>
      <c r="F1890" s="8" t="inlineStr">
        <is>
          <t>66852206</t>
        </is>
      </c>
      <c r="G1890" s="8">
        <f>IFERROR(VLOOKUP(A1890,Flete!$A:$E,5,0),"")</f>
        <v/>
      </c>
      <c r="H1890" s="7">
        <f>IFERROR(VLOOKUP(F1890,TRAOPE!$AA:$AB,2,0),"")</f>
        <v/>
      </c>
      <c r="I1890" s="7" t="n">
        <v>10000160</v>
      </c>
      <c r="J1890" s="7">
        <f>IFERROR(VLOOKUP(I1890,Materiales!$A:$H,8,0),"")</f>
        <v/>
      </c>
      <c r="K1890" s="9">
        <f>IFERROR(VLOOKUP(I1890,Materiales!$A:$G,7,0),"")</f>
        <v/>
      </c>
      <c r="L1890" s="8" t="inlineStr">
        <is>
          <t>20190426</t>
        </is>
      </c>
      <c r="M1890" s="8" t="inlineStr">
        <is>
          <t>20250127</t>
        </is>
      </c>
      <c r="N1890" s="10" t="n">
        <v>500</v>
      </c>
      <c r="O1890" s="10">
        <f>IFERROR(VLOOKUP(A1890,Flete!$A:$J,10,0),"")</f>
        <v/>
      </c>
      <c r="P1890" s="8" t="inlineStr">
        <is>
          <t>M3</t>
        </is>
      </c>
      <c r="Q1890" s="10">
        <f>IFERROR(IFERROR(VLOOKUP(A1890,TRAOPE!$A:$U,21,0),VLOOKUP(B1890,TRAOPE!$A:$U,21,0)),"")</f>
        <v/>
      </c>
      <c r="R1890" s="8">
        <f>IFERROR(IFERROR(VLOOKUP(A1890,TRAOPE!$A:$W,23,0),VLOOKUP(B1890,TRAOPE!$A:$W,23,0)),"")</f>
        <v/>
      </c>
      <c r="S1890" s="10">
        <f>IF(AND(P1890="TN",R1890="TN"),N1890+N(O1890),IF(G1890&amp;""="1",N(K1890)*N1890,(N1890+N(O1890))*N(K1890)))</f>
        <v/>
      </c>
      <c r="T1890" s="10">
        <f>IF(Q1890="","",Q1890-S1890)</f>
        <v/>
      </c>
    </row>
    <row r="1891">
      <c r="A1891" s="7">
        <f>CONCATENATE(C1891,E1891,F1891,I1891)</f>
        <v/>
      </c>
      <c r="B1891" s="7">
        <f>CONCATENATE(C1891,E1891,I1891)</f>
        <v/>
      </c>
      <c r="C1891" s="8" t="n">
        <v>900006185</v>
      </c>
      <c r="D1891" s="7">
        <f>IFERROR(VLOOKUP(C1891,TRAOPE!$G:$H,2,0),"")</f>
        <v/>
      </c>
      <c r="E1891" s="8" t="inlineStr">
        <is>
          <t>D836</t>
        </is>
      </c>
      <c r="F1891" s="8" t="inlineStr">
        <is>
          <t>66852206</t>
        </is>
      </c>
      <c r="G1891" s="8">
        <f>IFERROR(VLOOKUP(A1891,Flete!$A:$E,5,0),"")</f>
        <v/>
      </c>
      <c r="H1891" s="7">
        <f>IFERROR(VLOOKUP(F1891,TRAOPE!$AA:$AB,2,0),"")</f>
        <v/>
      </c>
      <c r="I1891" s="7" t="n">
        <v>10000357</v>
      </c>
      <c r="J1891" s="7">
        <f>IFERROR(VLOOKUP(I1891,Materiales!$A:$H,8,0),"")</f>
        <v/>
      </c>
      <c r="K1891" s="9">
        <f>IFERROR(VLOOKUP(I1891,Materiales!$A:$G,7,0),"")</f>
        <v/>
      </c>
      <c r="L1891" s="8" t="inlineStr">
        <is>
          <t>20190426</t>
        </is>
      </c>
      <c r="M1891" s="8" t="inlineStr">
        <is>
          <t>20250127</t>
        </is>
      </c>
      <c r="N1891" s="10" t="n">
        <v>500</v>
      </c>
      <c r="O1891" s="10">
        <f>IFERROR(VLOOKUP(A1891,Flete!$A:$J,10,0),"")</f>
        <v/>
      </c>
      <c r="P1891" s="8" t="inlineStr">
        <is>
          <t>M3</t>
        </is>
      </c>
      <c r="Q1891" s="10">
        <f>IFERROR(IFERROR(VLOOKUP(A1891,TRAOPE!$A:$U,21,0),VLOOKUP(B1891,TRAOPE!$A:$U,21,0)),"")</f>
        <v/>
      </c>
      <c r="R1891" s="8">
        <f>IFERROR(IFERROR(VLOOKUP(A1891,TRAOPE!$A:$W,23,0),VLOOKUP(B1891,TRAOPE!$A:$W,23,0)),"")</f>
        <v/>
      </c>
      <c r="S1891" s="10">
        <f>IF(AND(P1891="TN",R1891="TN"),N1891+N(O1891),IF(G1891&amp;""="1",N(K1891)*N1891,(N1891+N(O1891))*N(K1891)))</f>
        <v/>
      </c>
      <c r="T1891" s="10">
        <f>IF(Q1891="","",Q1891-S1891)</f>
        <v/>
      </c>
    </row>
    <row r="1892">
      <c r="A1892" s="7">
        <f>CONCATENATE(C1892,E1892,F1892,I1892)</f>
        <v/>
      </c>
      <c r="B1892" s="7">
        <f>CONCATENATE(C1892,E1892,I1892)</f>
        <v/>
      </c>
      <c r="C1892" s="8" t="n">
        <v>900006185</v>
      </c>
      <c r="D1892" s="7">
        <f>IFERROR(VLOOKUP(C1892,TRAOPE!$G:$H,2,0),"")</f>
        <v/>
      </c>
      <c r="E1892" s="8" t="inlineStr">
        <is>
          <t>D836</t>
        </is>
      </c>
      <c r="F1892" s="8" t="inlineStr">
        <is>
          <t>66869655</t>
        </is>
      </c>
      <c r="G1892" s="8">
        <f>IFERROR(VLOOKUP(A1892,Flete!$A:$E,5,0),"")</f>
        <v/>
      </c>
      <c r="H1892" s="7">
        <f>IFERROR(VLOOKUP(F1892,TRAOPE!$AA:$AB,2,0),"")</f>
        <v/>
      </c>
      <c r="I1892" s="7" t="n">
        <v>10000160</v>
      </c>
      <c r="J1892" s="7">
        <f>IFERROR(VLOOKUP(I1892,Materiales!$A:$H,8,0),"")</f>
        <v/>
      </c>
      <c r="K1892" s="9">
        <f>IFERROR(VLOOKUP(I1892,Materiales!$A:$G,7,0),"")</f>
        <v/>
      </c>
      <c r="L1892" s="8" t="inlineStr">
        <is>
          <t>20190426</t>
        </is>
      </c>
      <c r="M1892" s="8" t="inlineStr">
        <is>
          <t>20250127</t>
        </is>
      </c>
      <c r="N1892" s="10" t="n">
        <v>778.5</v>
      </c>
      <c r="O1892" s="10">
        <f>IFERROR(VLOOKUP(A1892,Flete!$A:$J,10,0),"")</f>
        <v/>
      </c>
      <c r="P1892" s="8" t="inlineStr">
        <is>
          <t>M3</t>
        </is>
      </c>
      <c r="Q1892" s="10">
        <f>IFERROR(IFERROR(VLOOKUP(A1892,TRAOPE!$A:$U,21,0),VLOOKUP(B1892,TRAOPE!$A:$U,21,0)),"")</f>
        <v/>
      </c>
      <c r="R1892" s="8">
        <f>IFERROR(IFERROR(VLOOKUP(A1892,TRAOPE!$A:$W,23,0),VLOOKUP(B1892,TRAOPE!$A:$W,23,0)),"")</f>
        <v/>
      </c>
      <c r="S1892" s="10">
        <f>IF(AND(P1892="TN",R1892="TN"),N1892+N(O1892),IF(G1892&amp;""="1",N(K1892)*N1892,(N1892+N(O1892))*N(K1892)))</f>
        <v/>
      </c>
      <c r="T1892" s="10">
        <f>IF(Q1892="","",Q1892-S1892)</f>
        <v/>
      </c>
    </row>
    <row r="1893">
      <c r="A1893" s="7">
        <f>CONCATENATE(C1893,E1893,F1893,I1893)</f>
        <v/>
      </c>
      <c r="B1893" s="7">
        <f>CONCATENATE(C1893,E1893,I1893)</f>
        <v/>
      </c>
      <c r="C1893" s="8" t="n">
        <v>900006185</v>
      </c>
      <c r="D1893" s="7">
        <f>IFERROR(VLOOKUP(C1893,TRAOPE!$G:$H,2,0),"")</f>
        <v/>
      </c>
      <c r="E1893" s="8" t="inlineStr">
        <is>
          <t>D836</t>
        </is>
      </c>
      <c r="F1893" s="8" t="inlineStr">
        <is>
          <t>66869655</t>
        </is>
      </c>
      <c r="G1893" s="8">
        <f>IFERROR(VLOOKUP(A1893,Flete!$A:$E,5,0),"")</f>
        <v/>
      </c>
      <c r="H1893" s="7">
        <f>IFERROR(VLOOKUP(F1893,TRAOPE!$AA:$AB,2,0),"")</f>
        <v/>
      </c>
      <c r="I1893" s="7" t="n">
        <v>10000357</v>
      </c>
      <c r="J1893" s="7">
        <f>IFERROR(VLOOKUP(I1893,Materiales!$A:$H,8,0),"")</f>
        <v/>
      </c>
      <c r="K1893" s="9">
        <f>IFERROR(VLOOKUP(I1893,Materiales!$A:$G,7,0),"")</f>
        <v/>
      </c>
      <c r="L1893" s="8" t="inlineStr">
        <is>
          <t>20190426</t>
        </is>
      </c>
      <c r="M1893" s="8" t="inlineStr">
        <is>
          <t>20250127</t>
        </is>
      </c>
      <c r="N1893" s="10" t="n">
        <v>778.5</v>
      </c>
      <c r="O1893" s="10">
        <f>IFERROR(VLOOKUP(A1893,Flete!$A:$J,10,0),"")</f>
        <v/>
      </c>
      <c r="P1893" s="8" t="inlineStr">
        <is>
          <t>M3</t>
        </is>
      </c>
      <c r="Q1893" s="10">
        <f>IFERROR(IFERROR(VLOOKUP(A1893,TRAOPE!$A:$U,21,0),VLOOKUP(B1893,TRAOPE!$A:$U,21,0)),"")</f>
        <v/>
      </c>
      <c r="R1893" s="8">
        <f>IFERROR(IFERROR(VLOOKUP(A1893,TRAOPE!$A:$W,23,0),VLOOKUP(B1893,TRAOPE!$A:$W,23,0)),"")</f>
        <v/>
      </c>
      <c r="S1893" s="10">
        <f>IF(AND(P1893="TN",R1893="TN"),N1893+N(O1893),IF(G1893&amp;""="1",N(K1893)*N1893,(N1893+N(O1893))*N(K1893)))</f>
        <v/>
      </c>
      <c r="T1893" s="10">
        <f>IF(Q1893="","",Q1893-S1893)</f>
        <v/>
      </c>
    </row>
    <row r="1894">
      <c r="A1894" s="7">
        <f>CONCATENATE(C1894,E1894,F1894,I1894)</f>
        <v/>
      </c>
      <c r="B1894" s="7">
        <f>CONCATENATE(C1894,E1894,I1894)</f>
        <v/>
      </c>
      <c r="C1894" s="8" t="n">
        <v>900006185</v>
      </c>
      <c r="D1894" s="7">
        <f>IFERROR(VLOOKUP(C1894,TRAOPE!$G:$H,2,0),"")</f>
        <v/>
      </c>
      <c r="E1894" s="8" t="inlineStr">
        <is>
          <t>D836</t>
        </is>
      </c>
      <c r="F1894" s="8" t="inlineStr">
        <is>
          <t>66886969</t>
        </is>
      </c>
      <c r="G1894" s="8">
        <f>IFERROR(VLOOKUP(A1894,Flete!$A:$E,5,0),"")</f>
        <v/>
      </c>
      <c r="H1894" s="7">
        <f>IFERROR(VLOOKUP(F1894,TRAOPE!$AA:$AB,2,0),"")</f>
        <v/>
      </c>
      <c r="I1894" s="7" t="n">
        <v>10000206</v>
      </c>
      <c r="J1894" s="7">
        <f>IFERROR(VLOOKUP(I1894,Materiales!$A:$H,8,0),"")</f>
        <v/>
      </c>
      <c r="K1894" s="9">
        <f>IFERROR(VLOOKUP(I1894,Materiales!$A:$G,7,0),"")</f>
        <v/>
      </c>
      <c r="L1894" s="8" t="inlineStr">
        <is>
          <t>20190426</t>
        </is>
      </c>
      <c r="M1894" s="8" t="inlineStr">
        <is>
          <t>20250127</t>
        </is>
      </c>
      <c r="N1894" s="10" t="n">
        <v>375</v>
      </c>
      <c r="O1894" s="10">
        <f>IFERROR(VLOOKUP(A1894,Flete!$A:$J,10,0),"")</f>
        <v/>
      </c>
      <c r="P1894" s="8" t="inlineStr">
        <is>
          <t>M3</t>
        </is>
      </c>
      <c r="Q1894" s="10">
        <f>IFERROR(IFERROR(VLOOKUP(A1894,TRAOPE!$A:$U,21,0),VLOOKUP(B1894,TRAOPE!$A:$U,21,0)),"")</f>
        <v/>
      </c>
      <c r="R1894" s="8">
        <f>IFERROR(IFERROR(VLOOKUP(A1894,TRAOPE!$A:$W,23,0),VLOOKUP(B1894,TRAOPE!$A:$W,23,0)),"")</f>
        <v/>
      </c>
      <c r="S1894" s="10">
        <f>IF(AND(P1894="TN",R1894="TN"),N1894+N(O1894),IF(G1894&amp;""="1",N(K1894)*N1894,(N1894+N(O1894))*N(K1894)))</f>
        <v/>
      </c>
      <c r="T1894" s="10">
        <f>IF(Q1894="","",Q1894-S1894)</f>
        <v/>
      </c>
    </row>
    <row r="1895">
      <c r="A1895" s="7">
        <f>CONCATENATE(C1895,E1895,F1895,I1895)</f>
        <v/>
      </c>
      <c r="B1895" s="7">
        <f>CONCATENATE(C1895,E1895,I1895)</f>
        <v/>
      </c>
      <c r="C1895" s="8" t="n">
        <v>900006185</v>
      </c>
      <c r="D1895" s="7">
        <f>IFERROR(VLOOKUP(C1895,TRAOPE!$G:$H,2,0),"")</f>
        <v/>
      </c>
      <c r="E1895" s="8" t="inlineStr">
        <is>
          <t>D836</t>
        </is>
      </c>
      <c r="F1895" s="8" t="inlineStr">
        <is>
          <t>66902320</t>
        </is>
      </c>
      <c r="G1895" s="8">
        <f>IFERROR(VLOOKUP(A1895,Flete!$A:$E,5,0),"")</f>
        <v/>
      </c>
      <c r="H1895" s="7">
        <f>IFERROR(VLOOKUP(F1895,TRAOPE!$AA:$AB,2,0),"")</f>
        <v/>
      </c>
      <c r="I1895" s="7" t="n">
        <v>10000357</v>
      </c>
      <c r="J1895" s="7">
        <f>IFERROR(VLOOKUP(I1895,Materiales!$A:$H,8,0),"")</f>
        <v/>
      </c>
      <c r="K1895" s="9">
        <f>IFERROR(VLOOKUP(I1895,Materiales!$A:$G,7,0),"")</f>
        <v/>
      </c>
      <c r="L1895" s="8" t="inlineStr">
        <is>
          <t>20190426</t>
        </is>
      </c>
      <c r="M1895" s="8" t="inlineStr">
        <is>
          <t>20250127</t>
        </is>
      </c>
      <c r="N1895" s="10" t="n">
        <v>1425</v>
      </c>
      <c r="O1895" s="10">
        <f>IFERROR(VLOOKUP(A1895,Flete!$A:$J,10,0),"")</f>
        <v/>
      </c>
      <c r="P1895" s="8" t="inlineStr">
        <is>
          <t>M3</t>
        </is>
      </c>
      <c r="Q1895" s="10">
        <f>IFERROR(IFERROR(VLOOKUP(A1895,TRAOPE!$A:$U,21,0),VLOOKUP(B1895,TRAOPE!$A:$U,21,0)),"")</f>
        <v/>
      </c>
      <c r="R1895" s="8">
        <f>IFERROR(IFERROR(VLOOKUP(A1895,TRAOPE!$A:$W,23,0),VLOOKUP(B1895,TRAOPE!$A:$W,23,0)),"")</f>
        <v/>
      </c>
      <c r="S1895" s="10">
        <f>IF(AND(P1895="TN",R1895="TN"),N1895+N(O1895),IF(G1895&amp;""="1",N(K1895)*N1895,(N1895+N(O1895))*N(K1895)))</f>
        <v/>
      </c>
      <c r="T1895" s="10">
        <f>IF(Q1895="","",Q1895-S1895)</f>
        <v/>
      </c>
    </row>
    <row r="1896">
      <c r="A1896" s="7">
        <f>CONCATENATE(C1896,E1896,F1896,I1896)</f>
        <v/>
      </c>
      <c r="B1896" s="7">
        <f>CONCATENATE(C1896,E1896,I1896)</f>
        <v/>
      </c>
      <c r="C1896" s="8" t="n">
        <v>900006185</v>
      </c>
      <c r="D1896" s="7">
        <f>IFERROR(VLOOKUP(C1896,TRAOPE!$G:$H,2,0),"")</f>
        <v/>
      </c>
      <c r="E1896" s="8" t="inlineStr">
        <is>
          <t>D836</t>
        </is>
      </c>
      <c r="F1896" s="8" t="inlineStr">
        <is>
          <t>66902320</t>
        </is>
      </c>
      <c r="G1896" s="8">
        <f>IFERROR(VLOOKUP(A1896,Flete!$A:$E,5,0),"")</f>
        <v/>
      </c>
      <c r="H1896" s="7">
        <f>IFERROR(VLOOKUP(F1896,TRAOPE!$AA:$AB,2,0),"")</f>
        <v/>
      </c>
      <c r="I1896" s="7" t="n">
        <v>10000651</v>
      </c>
      <c r="J1896" s="7">
        <f>IFERROR(VLOOKUP(I1896,Materiales!$A:$H,8,0),"")</f>
        <v/>
      </c>
      <c r="K1896" s="9">
        <f>IFERROR(VLOOKUP(I1896,Materiales!$A:$G,7,0),"")</f>
        <v/>
      </c>
      <c r="L1896" s="8" t="inlineStr">
        <is>
          <t>20190426</t>
        </is>
      </c>
      <c r="M1896" s="8" t="inlineStr">
        <is>
          <t>20250127</t>
        </is>
      </c>
      <c r="N1896" s="10" t="n">
        <v>1425</v>
      </c>
      <c r="O1896" s="10">
        <f>IFERROR(VLOOKUP(A1896,Flete!$A:$J,10,0),"")</f>
        <v/>
      </c>
      <c r="P1896" s="8" t="inlineStr">
        <is>
          <t>M3</t>
        </is>
      </c>
      <c r="Q1896" s="10">
        <f>IFERROR(IFERROR(VLOOKUP(A1896,TRAOPE!$A:$U,21,0),VLOOKUP(B1896,TRAOPE!$A:$U,21,0)),"")</f>
        <v/>
      </c>
      <c r="R1896" s="8">
        <f>IFERROR(IFERROR(VLOOKUP(A1896,TRAOPE!$A:$W,23,0),VLOOKUP(B1896,TRAOPE!$A:$W,23,0)),"")</f>
        <v/>
      </c>
      <c r="S1896" s="10">
        <f>IF(AND(P1896="TN",R1896="TN"),N1896+N(O1896),IF(G1896&amp;""="1",N(K1896)*N1896,(N1896+N(O1896))*N(K1896)))</f>
        <v/>
      </c>
      <c r="T1896" s="10">
        <f>IF(Q1896="","",Q1896-S1896)</f>
        <v/>
      </c>
    </row>
    <row r="1897">
      <c r="A1897" s="7">
        <f>CONCATENATE(C1897,E1897,F1897,I1897)</f>
        <v/>
      </c>
      <c r="B1897" s="7">
        <f>CONCATENATE(C1897,E1897,I1897)</f>
        <v/>
      </c>
      <c r="C1897" s="8" t="n">
        <v>900006185</v>
      </c>
      <c r="D1897" s="7">
        <f>IFERROR(VLOOKUP(C1897,TRAOPE!$G:$H,2,0),"")</f>
        <v/>
      </c>
      <c r="E1897" s="8" t="inlineStr">
        <is>
          <t>D836</t>
        </is>
      </c>
      <c r="F1897" s="8" t="inlineStr">
        <is>
          <t>66908004</t>
        </is>
      </c>
      <c r="G1897" s="8">
        <f>IFERROR(VLOOKUP(A1897,Flete!$A:$E,5,0),"")</f>
        <v/>
      </c>
      <c r="H1897" s="7">
        <f>IFERROR(VLOOKUP(F1897,TRAOPE!$AA:$AB,2,0),"")</f>
        <v/>
      </c>
      <c r="I1897" s="7" t="n">
        <v>10000357</v>
      </c>
      <c r="J1897" s="7">
        <f>IFERROR(VLOOKUP(I1897,Materiales!$A:$H,8,0),"")</f>
        <v/>
      </c>
      <c r="K1897" s="9">
        <f>IFERROR(VLOOKUP(I1897,Materiales!$A:$G,7,0),"")</f>
        <v/>
      </c>
      <c r="L1897" s="8" t="inlineStr">
        <is>
          <t>20190426</t>
        </is>
      </c>
      <c r="M1897" s="8" t="inlineStr">
        <is>
          <t>20250127</t>
        </is>
      </c>
      <c r="N1897" s="10" t="n">
        <v>1425</v>
      </c>
      <c r="O1897" s="10">
        <f>IFERROR(VLOOKUP(A1897,Flete!$A:$J,10,0),"")</f>
        <v/>
      </c>
      <c r="P1897" s="8" t="inlineStr">
        <is>
          <t>M3</t>
        </is>
      </c>
      <c r="Q1897" s="10">
        <f>IFERROR(IFERROR(VLOOKUP(A1897,TRAOPE!$A:$U,21,0),VLOOKUP(B1897,TRAOPE!$A:$U,21,0)),"")</f>
        <v/>
      </c>
      <c r="R1897" s="8">
        <f>IFERROR(IFERROR(VLOOKUP(A1897,TRAOPE!$A:$W,23,0),VLOOKUP(B1897,TRAOPE!$A:$W,23,0)),"")</f>
        <v/>
      </c>
      <c r="S1897" s="10">
        <f>IF(AND(P1897="TN",R1897="TN"),N1897+N(O1897),IF(G1897&amp;""="1",N(K1897)*N1897,(N1897+N(O1897))*N(K1897)))</f>
        <v/>
      </c>
      <c r="T1897" s="10">
        <f>IF(Q1897="","",Q1897-S1897)</f>
        <v/>
      </c>
    </row>
    <row r="1898">
      <c r="A1898" s="7">
        <f>CONCATENATE(C1898,E1898,F1898,I1898)</f>
        <v/>
      </c>
      <c r="B1898" s="7">
        <f>CONCATENATE(C1898,E1898,I1898)</f>
        <v/>
      </c>
      <c r="C1898" s="8" t="n">
        <v>900006185</v>
      </c>
      <c r="D1898" s="7">
        <f>IFERROR(VLOOKUP(C1898,TRAOPE!$G:$H,2,0),"")</f>
        <v/>
      </c>
      <c r="E1898" s="8" t="inlineStr">
        <is>
          <t>D836</t>
        </is>
      </c>
      <c r="F1898" s="8" t="inlineStr">
        <is>
          <t>66908004</t>
        </is>
      </c>
      <c r="G1898" s="8">
        <f>IFERROR(VLOOKUP(A1898,Flete!$A:$E,5,0),"")</f>
        <v/>
      </c>
      <c r="H1898" s="7">
        <f>IFERROR(VLOOKUP(F1898,TRAOPE!$AA:$AB,2,0),"")</f>
        <v/>
      </c>
      <c r="I1898" s="7" t="n">
        <v>10000651</v>
      </c>
      <c r="J1898" s="7">
        <f>IFERROR(VLOOKUP(I1898,Materiales!$A:$H,8,0),"")</f>
        <v/>
      </c>
      <c r="K1898" s="9">
        <f>IFERROR(VLOOKUP(I1898,Materiales!$A:$G,7,0),"")</f>
        <v/>
      </c>
      <c r="L1898" s="8" t="inlineStr">
        <is>
          <t>20190426</t>
        </is>
      </c>
      <c r="M1898" s="8" t="inlineStr">
        <is>
          <t>20250127</t>
        </is>
      </c>
      <c r="N1898" s="10" t="n">
        <v>1425</v>
      </c>
      <c r="O1898" s="10">
        <f>IFERROR(VLOOKUP(A1898,Flete!$A:$J,10,0),"")</f>
        <v/>
      </c>
      <c r="P1898" s="8" t="inlineStr">
        <is>
          <t>M3</t>
        </is>
      </c>
      <c r="Q1898" s="10">
        <f>IFERROR(IFERROR(VLOOKUP(A1898,TRAOPE!$A:$U,21,0),VLOOKUP(B1898,TRAOPE!$A:$U,21,0)),"")</f>
        <v/>
      </c>
      <c r="R1898" s="8">
        <f>IFERROR(IFERROR(VLOOKUP(A1898,TRAOPE!$A:$W,23,0),VLOOKUP(B1898,TRAOPE!$A:$W,23,0)),"")</f>
        <v/>
      </c>
      <c r="S1898" s="10">
        <f>IF(AND(P1898="TN",R1898="TN"),N1898+N(O1898),IF(G1898&amp;""="1",N(K1898)*N1898,(N1898+N(O1898))*N(K1898)))</f>
        <v/>
      </c>
      <c r="T1898" s="10">
        <f>IF(Q1898="","",Q1898-S1898)</f>
        <v/>
      </c>
    </row>
    <row r="1899">
      <c r="A1899" s="7">
        <f>CONCATENATE(C1899,E1899,F1899,I1899)</f>
        <v/>
      </c>
      <c r="B1899" s="7">
        <f>CONCATENATE(C1899,E1899,I1899)</f>
        <v/>
      </c>
      <c r="C1899" s="8" t="n">
        <v>900006185</v>
      </c>
      <c r="D1899" s="7">
        <f>IFERROR(VLOOKUP(C1899,TRAOPE!$G:$H,2,0),"")</f>
        <v/>
      </c>
      <c r="E1899" s="8" t="inlineStr">
        <is>
          <t>D836</t>
        </is>
      </c>
      <c r="F1899" s="8" t="inlineStr">
        <is>
          <t>66933313</t>
        </is>
      </c>
      <c r="G1899" s="8">
        <f>IFERROR(VLOOKUP(A1899,Flete!$A:$E,5,0),"")</f>
        <v/>
      </c>
      <c r="H1899" s="7">
        <f>IFERROR(VLOOKUP(F1899,TRAOPE!$AA:$AB,2,0),"")</f>
        <v/>
      </c>
      <c r="I1899" s="7" t="n">
        <v>10000133</v>
      </c>
      <c r="J1899" s="7">
        <f>IFERROR(VLOOKUP(I1899,Materiales!$A:$H,8,0),"")</f>
        <v/>
      </c>
      <c r="K1899" s="9">
        <f>IFERROR(VLOOKUP(I1899,Materiales!$A:$G,7,0),"")</f>
        <v/>
      </c>
      <c r="L1899" s="8" t="inlineStr">
        <is>
          <t>20190426</t>
        </is>
      </c>
      <c r="M1899" s="8" t="inlineStr">
        <is>
          <t>20250127</t>
        </is>
      </c>
      <c r="N1899" s="10" t="n">
        <v>113.18</v>
      </c>
      <c r="O1899" s="10">
        <f>IFERROR(VLOOKUP(A1899,Flete!$A:$J,10,0),"")</f>
        <v/>
      </c>
      <c r="P1899" s="8" t="inlineStr">
        <is>
          <t>TN</t>
        </is>
      </c>
      <c r="Q1899" s="10">
        <f>IFERROR(IFERROR(VLOOKUP(A1899,TRAOPE!$A:$U,21,0),VLOOKUP(B1899,TRAOPE!$A:$U,21,0)),"")</f>
        <v/>
      </c>
      <c r="R1899" s="8">
        <f>IFERROR(IFERROR(VLOOKUP(A1899,TRAOPE!$A:$W,23,0),VLOOKUP(B1899,TRAOPE!$A:$W,23,0)),"")</f>
        <v/>
      </c>
      <c r="S1899" s="10">
        <f>IF(AND(P1899="TN",R1899="TN"),N1899+N(O1899),IF(G1899&amp;""="1",N(K1899)*N1899,(N1899+N(O1899))*N(K1899)))</f>
        <v/>
      </c>
      <c r="T1899" s="10">
        <f>IF(Q1899="","",Q1899-S1899)</f>
        <v/>
      </c>
    </row>
    <row r="1900">
      <c r="A1900" s="7">
        <f>CONCATENATE(C1900,E1900,F1900,I1900)</f>
        <v/>
      </c>
      <c r="B1900" s="7">
        <f>CONCATENATE(C1900,E1900,I1900)</f>
        <v/>
      </c>
      <c r="C1900" s="8" t="n">
        <v>900006185</v>
      </c>
      <c r="D1900" s="7">
        <f>IFERROR(VLOOKUP(C1900,TRAOPE!$G:$H,2,0),"")</f>
        <v/>
      </c>
      <c r="E1900" s="8" t="inlineStr">
        <is>
          <t>D836</t>
        </is>
      </c>
      <c r="F1900" s="8" t="inlineStr">
        <is>
          <t>66933313</t>
        </is>
      </c>
      <c r="G1900" s="8">
        <f>IFERROR(VLOOKUP(A1900,Flete!$A:$E,5,0),"")</f>
        <v/>
      </c>
      <c r="H1900" s="7">
        <f>IFERROR(VLOOKUP(F1900,TRAOPE!$AA:$AB,2,0),"")</f>
        <v/>
      </c>
      <c r="I1900" s="7" t="n">
        <v>10149994</v>
      </c>
      <c r="J1900" s="7">
        <f>IFERROR(VLOOKUP(I1900,Materiales!$A:$H,8,0),"")</f>
        <v/>
      </c>
      <c r="K1900" s="9">
        <f>IFERROR(VLOOKUP(I1900,Materiales!$A:$G,7,0),"")</f>
        <v/>
      </c>
      <c r="L1900" s="8" t="inlineStr">
        <is>
          <t>20190426</t>
        </is>
      </c>
      <c r="M1900" s="8" t="inlineStr">
        <is>
          <t>20250127</t>
        </is>
      </c>
      <c r="N1900" s="10" t="n">
        <v>94.51000000000001</v>
      </c>
      <c r="O1900" s="10">
        <f>IFERROR(VLOOKUP(A1900,Flete!$A:$J,10,0),"")</f>
        <v/>
      </c>
      <c r="P1900" s="8" t="inlineStr">
        <is>
          <t>TN</t>
        </is>
      </c>
      <c r="Q1900" s="10">
        <f>IFERROR(IFERROR(VLOOKUP(A1900,TRAOPE!$A:$U,21,0),VLOOKUP(B1900,TRAOPE!$A:$U,21,0)),"")</f>
        <v/>
      </c>
      <c r="R1900" s="8">
        <f>IFERROR(IFERROR(VLOOKUP(A1900,TRAOPE!$A:$W,23,0),VLOOKUP(B1900,TRAOPE!$A:$W,23,0)),"")</f>
        <v/>
      </c>
      <c r="S1900" s="10">
        <f>IF(AND(P1900="TN",R1900="TN"),N1900+N(O1900),IF(G1900&amp;""="1",N(K1900)*N1900,(N1900+N(O1900))*N(K1900)))</f>
        <v/>
      </c>
      <c r="T1900" s="10">
        <f>IF(Q1900="","",Q1900-S1900)</f>
        <v/>
      </c>
    </row>
    <row r="1901">
      <c r="A1901" s="7">
        <f>CONCATENATE(C1901,E1901,F1901,I1901)</f>
        <v/>
      </c>
      <c r="B1901" s="7">
        <f>CONCATENATE(C1901,E1901,I1901)</f>
        <v/>
      </c>
      <c r="C1901" s="8" t="n">
        <v>900006185</v>
      </c>
      <c r="D1901" s="7">
        <f>IFERROR(VLOOKUP(C1901,TRAOPE!$G:$H,2,0),"")</f>
        <v/>
      </c>
      <c r="E1901" s="8" t="inlineStr">
        <is>
          <t>D836</t>
        </is>
      </c>
      <c r="F1901" s="8" t="inlineStr">
        <is>
          <t>66976140</t>
        </is>
      </c>
      <c r="G1901" s="8">
        <f>IFERROR(VLOOKUP(A1901,Flete!$A:$E,5,0),"")</f>
        <v/>
      </c>
      <c r="H1901" s="7">
        <f>IFERROR(VLOOKUP(F1901,TRAOPE!$AA:$AB,2,0),"")</f>
        <v/>
      </c>
      <c r="I1901" s="7" t="n">
        <v>10000133</v>
      </c>
      <c r="J1901" s="7">
        <f>IFERROR(VLOOKUP(I1901,Materiales!$A:$H,8,0),"")</f>
        <v/>
      </c>
      <c r="K1901" s="9">
        <f>IFERROR(VLOOKUP(I1901,Materiales!$A:$G,7,0),"")</f>
        <v/>
      </c>
      <c r="L1901" s="8" t="inlineStr">
        <is>
          <t>20190426</t>
        </is>
      </c>
      <c r="M1901" s="8" t="inlineStr">
        <is>
          <t>20250127</t>
        </is>
      </c>
      <c r="N1901" s="10" t="n">
        <v>1700</v>
      </c>
      <c r="O1901" s="10">
        <f>IFERROR(VLOOKUP(A1901,Flete!$A:$J,10,0),"")</f>
        <v/>
      </c>
      <c r="P1901" s="8" t="inlineStr">
        <is>
          <t>M3</t>
        </is>
      </c>
      <c r="Q1901" s="10">
        <f>IFERROR(IFERROR(VLOOKUP(A1901,TRAOPE!$A:$U,21,0),VLOOKUP(B1901,TRAOPE!$A:$U,21,0)),"")</f>
        <v/>
      </c>
      <c r="R1901" s="8">
        <f>IFERROR(IFERROR(VLOOKUP(A1901,TRAOPE!$A:$W,23,0),VLOOKUP(B1901,TRAOPE!$A:$W,23,0)),"")</f>
        <v/>
      </c>
      <c r="S1901" s="10">
        <f>IF(AND(P1901="TN",R1901="TN"),N1901+N(O1901),IF(G1901&amp;""="1",N(K1901)*N1901,(N1901+N(O1901))*N(K1901)))</f>
        <v/>
      </c>
      <c r="T1901" s="10">
        <f>IF(Q1901="","",Q1901-S1901)</f>
        <v/>
      </c>
    </row>
    <row r="1902">
      <c r="A1902" s="7">
        <f>CONCATENATE(C1902,E1902,F1902,I1902)</f>
        <v/>
      </c>
      <c r="B1902" s="7">
        <f>CONCATENATE(C1902,E1902,I1902)</f>
        <v/>
      </c>
      <c r="C1902" s="8" t="n">
        <v>900006185</v>
      </c>
      <c r="D1902" s="7">
        <f>IFERROR(VLOOKUP(C1902,TRAOPE!$G:$H,2,0),"")</f>
        <v/>
      </c>
      <c r="E1902" s="8" t="inlineStr">
        <is>
          <t>D836</t>
        </is>
      </c>
      <c r="F1902" s="8" t="inlineStr">
        <is>
          <t>66989007</t>
        </is>
      </c>
      <c r="G1902" s="8">
        <f>IFERROR(VLOOKUP(A1902,Flete!$A:$E,5,0),"")</f>
        <v/>
      </c>
      <c r="H1902" s="7">
        <f>IFERROR(VLOOKUP(F1902,TRAOPE!$AA:$AB,2,0),"")</f>
        <v/>
      </c>
      <c r="I1902" s="7" t="n">
        <v>10000651</v>
      </c>
      <c r="J1902" s="7">
        <f>IFERROR(VLOOKUP(I1902,Materiales!$A:$H,8,0),"")</f>
        <v/>
      </c>
      <c r="K1902" s="9">
        <f>IFERROR(VLOOKUP(I1902,Materiales!$A:$G,7,0),"")</f>
        <v/>
      </c>
      <c r="L1902" s="8" t="inlineStr">
        <is>
          <t>20190426</t>
        </is>
      </c>
      <c r="M1902" s="8" t="inlineStr">
        <is>
          <t>20250127</t>
        </is>
      </c>
      <c r="N1902" s="10" t="n">
        <v>1425</v>
      </c>
      <c r="O1902" s="10">
        <f>IFERROR(VLOOKUP(A1902,Flete!$A:$J,10,0),"")</f>
        <v/>
      </c>
      <c r="P1902" s="8" t="inlineStr">
        <is>
          <t>M3</t>
        </is>
      </c>
      <c r="Q1902" s="10">
        <f>IFERROR(IFERROR(VLOOKUP(A1902,TRAOPE!$A:$U,21,0),VLOOKUP(B1902,TRAOPE!$A:$U,21,0)),"")</f>
        <v/>
      </c>
      <c r="R1902" s="8">
        <f>IFERROR(IFERROR(VLOOKUP(A1902,TRAOPE!$A:$W,23,0),VLOOKUP(B1902,TRAOPE!$A:$W,23,0)),"")</f>
        <v/>
      </c>
      <c r="S1902" s="10">
        <f>IF(AND(P1902="TN",R1902="TN"),N1902+N(O1902),IF(G1902&amp;""="1",N(K1902)*N1902,(N1902+N(O1902))*N(K1902)))</f>
        <v/>
      </c>
      <c r="T1902" s="10">
        <f>IF(Q1902="","",Q1902-S1902)</f>
        <v/>
      </c>
    </row>
    <row r="1903">
      <c r="A1903" s="7">
        <f>CONCATENATE(C1903,E1903,F1903,I1903)</f>
        <v/>
      </c>
      <c r="B1903" s="7">
        <f>CONCATENATE(C1903,E1903,I1903)</f>
        <v/>
      </c>
      <c r="C1903" s="8" t="n">
        <v>900006185</v>
      </c>
      <c r="D1903" s="7">
        <f>IFERROR(VLOOKUP(C1903,TRAOPE!$G:$H,2,0),"")</f>
        <v/>
      </c>
      <c r="E1903" s="8" t="inlineStr">
        <is>
          <t>D836</t>
        </is>
      </c>
      <c r="F1903" s="8" t="inlineStr">
        <is>
          <t>66989007</t>
        </is>
      </c>
      <c r="G1903" s="8">
        <f>IFERROR(VLOOKUP(A1903,Flete!$A:$E,5,0),"")</f>
        <v/>
      </c>
      <c r="H1903" s="7">
        <f>IFERROR(VLOOKUP(F1903,TRAOPE!$AA:$AB,2,0),"")</f>
        <v/>
      </c>
      <c r="I1903" s="7" t="n">
        <v>10178773</v>
      </c>
      <c r="J1903" s="7">
        <f>IFERROR(VLOOKUP(I1903,Materiales!$A:$H,8,0),"")</f>
        <v/>
      </c>
      <c r="K1903" s="9">
        <f>IFERROR(VLOOKUP(I1903,Materiales!$A:$G,7,0),"")</f>
        <v/>
      </c>
      <c r="L1903" s="8" t="inlineStr">
        <is>
          <t>20190426</t>
        </is>
      </c>
      <c r="M1903" s="8" t="inlineStr">
        <is>
          <t>20250127</t>
        </is>
      </c>
      <c r="N1903" s="10" t="n">
        <v>1875</v>
      </c>
      <c r="O1903" s="10">
        <f>IFERROR(VLOOKUP(A1903,Flete!$A:$J,10,0),"")</f>
        <v/>
      </c>
      <c r="P1903" s="8" t="inlineStr">
        <is>
          <t>M3</t>
        </is>
      </c>
      <c r="Q1903" s="10">
        <f>IFERROR(IFERROR(VLOOKUP(A1903,TRAOPE!$A:$U,21,0),VLOOKUP(B1903,TRAOPE!$A:$U,21,0)),"")</f>
        <v/>
      </c>
      <c r="R1903" s="8">
        <f>IFERROR(IFERROR(VLOOKUP(A1903,TRAOPE!$A:$W,23,0),VLOOKUP(B1903,TRAOPE!$A:$W,23,0)),"")</f>
        <v/>
      </c>
      <c r="S1903" s="10">
        <f>IF(AND(P1903="TN",R1903="TN"),N1903+N(O1903),IF(G1903&amp;""="1",N(K1903)*N1903,(N1903+N(O1903))*N(K1903)))</f>
        <v/>
      </c>
      <c r="T1903" s="10">
        <f>IF(Q1903="","",Q1903-S1903)</f>
        <v/>
      </c>
    </row>
    <row r="1904">
      <c r="A1904" s="7">
        <f>CONCATENATE(C1904,E1904,F1904,I1904)</f>
        <v/>
      </c>
      <c r="B1904" s="7">
        <f>CONCATENATE(C1904,E1904,I1904)</f>
        <v/>
      </c>
      <c r="C1904" s="8" t="n">
        <v>900006185</v>
      </c>
      <c r="D1904" s="7">
        <f>IFERROR(VLOOKUP(C1904,TRAOPE!$G:$H,2,0),"")</f>
        <v/>
      </c>
      <c r="E1904" s="8" t="inlineStr">
        <is>
          <t>D836</t>
        </is>
      </c>
      <c r="F1904" s="8" t="inlineStr">
        <is>
          <t>66998640</t>
        </is>
      </c>
      <c r="G1904" s="8">
        <f>IFERROR(VLOOKUP(A1904,Flete!$A:$E,5,0),"")</f>
        <v/>
      </c>
      <c r="H1904" s="7">
        <f>IFERROR(VLOOKUP(F1904,TRAOPE!$AA:$AB,2,0),"")</f>
        <v/>
      </c>
      <c r="I1904" s="7" t="n">
        <v>10000160</v>
      </c>
      <c r="J1904" s="7">
        <f>IFERROR(VLOOKUP(I1904,Materiales!$A:$H,8,0),"")</f>
        <v/>
      </c>
      <c r="K1904" s="9">
        <f>IFERROR(VLOOKUP(I1904,Materiales!$A:$G,7,0),"")</f>
        <v/>
      </c>
      <c r="L1904" s="8" t="inlineStr">
        <is>
          <t>20190426</t>
        </is>
      </c>
      <c r="M1904" s="8" t="inlineStr">
        <is>
          <t>20250127</t>
        </is>
      </c>
      <c r="N1904" s="10" t="n">
        <v>1676</v>
      </c>
      <c r="O1904" s="10">
        <f>IFERROR(VLOOKUP(A1904,Flete!$A:$J,10,0),"")</f>
        <v/>
      </c>
      <c r="P1904" s="8" t="inlineStr">
        <is>
          <t>M3</t>
        </is>
      </c>
      <c r="Q1904" s="10">
        <f>IFERROR(IFERROR(VLOOKUP(A1904,TRAOPE!$A:$U,21,0),VLOOKUP(B1904,TRAOPE!$A:$U,21,0)),"")</f>
        <v/>
      </c>
      <c r="R1904" s="8">
        <f>IFERROR(IFERROR(VLOOKUP(A1904,TRAOPE!$A:$W,23,0),VLOOKUP(B1904,TRAOPE!$A:$W,23,0)),"")</f>
        <v/>
      </c>
      <c r="S1904" s="10">
        <f>IF(AND(P1904="TN",R1904="TN"),N1904+N(O1904),IF(G1904&amp;""="1",N(K1904)*N1904,(N1904+N(O1904))*N(K1904)))</f>
        <v/>
      </c>
      <c r="T1904" s="10">
        <f>IF(Q1904="","",Q1904-S1904)</f>
        <v/>
      </c>
    </row>
    <row r="1905">
      <c r="A1905" s="7">
        <f>CONCATENATE(C1905,E1905,F1905,I1905)</f>
        <v/>
      </c>
      <c r="B1905" s="7">
        <f>CONCATENATE(C1905,E1905,I1905)</f>
        <v/>
      </c>
      <c r="C1905" s="8" t="n">
        <v>900006185</v>
      </c>
      <c r="D1905" s="7">
        <f>IFERROR(VLOOKUP(C1905,TRAOPE!$G:$H,2,0),"")</f>
        <v/>
      </c>
      <c r="E1905" s="8" t="inlineStr">
        <is>
          <t>D836</t>
        </is>
      </c>
      <c r="F1905" s="8" t="inlineStr">
        <is>
          <t>67005911</t>
        </is>
      </c>
      <c r="G1905" s="8">
        <f>IFERROR(VLOOKUP(A1905,Flete!$A:$E,5,0),"")</f>
        <v/>
      </c>
      <c r="H1905" s="7">
        <f>IFERROR(VLOOKUP(F1905,TRAOPE!$AA:$AB,2,0),"")</f>
        <v/>
      </c>
      <c r="I1905" s="7" t="n">
        <v>10000357</v>
      </c>
      <c r="J1905" s="7">
        <f>IFERROR(VLOOKUP(I1905,Materiales!$A:$H,8,0),"")</f>
        <v/>
      </c>
      <c r="K1905" s="9">
        <f>IFERROR(VLOOKUP(I1905,Materiales!$A:$G,7,0),"")</f>
        <v/>
      </c>
      <c r="L1905" s="8" t="inlineStr">
        <is>
          <t>20190426</t>
        </is>
      </c>
      <c r="M1905" s="8" t="inlineStr">
        <is>
          <t>20250127</t>
        </is>
      </c>
      <c r="N1905" s="10" t="n">
        <v>1425</v>
      </c>
      <c r="O1905" s="10">
        <f>IFERROR(VLOOKUP(A1905,Flete!$A:$J,10,0),"")</f>
        <v/>
      </c>
      <c r="P1905" s="8" t="inlineStr">
        <is>
          <t>M3</t>
        </is>
      </c>
      <c r="Q1905" s="10">
        <f>IFERROR(IFERROR(VLOOKUP(A1905,TRAOPE!$A:$U,21,0),VLOOKUP(B1905,TRAOPE!$A:$U,21,0)),"")</f>
        <v/>
      </c>
      <c r="R1905" s="8">
        <f>IFERROR(IFERROR(VLOOKUP(A1905,TRAOPE!$A:$W,23,0),VLOOKUP(B1905,TRAOPE!$A:$W,23,0)),"")</f>
        <v/>
      </c>
      <c r="S1905" s="10">
        <f>IF(AND(P1905="TN",R1905="TN"),N1905+N(O1905),IF(G1905&amp;""="1",N(K1905)*N1905,(N1905+N(O1905))*N(K1905)))</f>
        <v/>
      </c>
      <c r="T1905" s="10">
        <f>IF(Q1905="","",Q1905-S1905)</f>
        <v/>
      </c>
    </row>
    <row r="1906">
      <c r="A1906" s="7">
        <f>CONCATENATE(C1906,E1906,F1906,I1906)</f>
        <v/>
      </c>
      <c r="B1906" s="7">
        <f>CONCATENATE(C1906,E1906,I1906)</f>
        <v/>
      </c>
      <c r="C1906" s="8" t="n">
        <v>900006185</v>
      </c>
      <c r="D1906" s="7">
        <f>IFERROR(VLOOKUP(C1906,TRAOPE!$G:$H,2,0),"")</f>
        <v/>
      </c>
      <c r="E1906" s="8" t="inlineStr">
        <is>
          <t>D836</t>
        </is>
      </c>
      <c r="F1906" s="8" t="inlineStr">
        <is>
          <t>67005911</t>
        </is>
      </c>
      <c r="G1906" s="8">
        <f>IFERROR(VLOOKUP(A1906,Flete!$A:$E,5,0),"")</f>
        <v/>
      </c>
      <c r="H1906" s="7">
        <f>IFERROR(VLOOKUP(F1906,TRAOPE!$AA:$AB,2,0),"")</f>
        <v/>
      </c>
      <c r="I1906" s="7" t="n">
        <v>10000651</v>
      </c>
      <c r="J1906" s="7">
        <f>IFERROR(VLOOKUP(I1906,Materiales!$A:$H,8,0),"")</f>
        <v/>
      </c>
      <c r="K1906" s="9">
        <f>IFERROR(VLOOKUP(I1906,Materiales!$A:$G,7,0),"")</f>
        <v/>
      </c>
      <c r="L1906" s="8" t="inlineStr">
        <is>
          <t>20190426</t>
        </is>
      </c>
      <c r="M1906" s="8" t="inlineStr">
        <is>
          <t>20250127</t>
        </is>
      </c>
      <c r="N1906" s="10" t="n">
        <v>1425</v>
      </c>
      <c r="O1906" s="10">
        <f>IFERROR(VLOOKUP(A1906,Flete!$A:$J,10,0),"")</f>
        <v/>
      </c>
      <c r="P1906" s="8" t="inlineStr">
        <is>
          <t>M3</t>
        </is>
      </c>
      <c r="Q1906" s="10">
        <f>IFERROR(IFERROR(VLOOKUP(A1906,TRAOPE!$A:$U,21,0),VLOOKUP(B1906,TRAOPE!$A:$U,21,0)),"")</f>
        <v/>
      </c>
      <c r="R1906" s="8">
        <f>IFERROR(IFERROR(VLOOKUP(A1906,TRAOPE!$A:$W,23,0),VLOOKUP(B1906,TRAOPE!$A:$W,23,0)),"")</f>
        <v/>
      </c>
      <c r="S1906" s="10">
        <f>IF(AND(P1906="TN",R1906="TN"),N1906+N(O1906),IF(G1906&amp;""="1",N(K1906)*N1906,(N1906+N(O1906))*N(K1906)))</f>
        <v/>
      </c>
      <c r="T1906" s="10">
        <f>IF(Q1906="","",Q1906-S1906)</f>
        <v/>
      </c>
    </row>
    <row r="1907">
      <c r="A1907" s="7">
        <f>CONCATENATE(C1907,E1907,F1907,I1907)</f>
        <v/>
      </c>
      <c r="B1907" s="7">
        <f>CONCATENATE(C1907,E1907,I1907)</f>
        <v/>
      </c>
      <c r="C1907" s="8" t="n">
        <v>900006185</v>
      </c>
      <c r="D1907" s="7">
        <f>IFERROR(VLOOKUP(C1907,TRAOPE!$G:$H,2,0),"")</f>
        <v/>
      </c>
      <c r="E1907" s="8" t="inlineStr">
        <is>
          <t>D836</t>
        </is>
      </c>
      <c r="F1907" s="8" t="inlineStr">
        <is>
          <t>67145272</t>
        </is>
      </c>
      <c r="G1907" s="8">
        <f>IFERROR(VLOOKUP(A1907,Flete!$A:$E,5,0),"")</f>
        <v/>
      </c>
      <c r="H1907" s="7">
        <f>IFERROR(VLOOKUP(F1907,TRAOPE!$AA:$AB,2,0),"")</f>
        <v/>
      </c>
      <c r="I1907" s="7" t="n">
        <v>10000624</v>
      </c>
      <c r="J1907" s="7">
        <f>IFERROR(VLOOKUP(I1907,Materiales!$A:$H,8,0),"")</f>
        <v/>
      </c>
      <c r="K1907" s="9">
        <f>IFERROR(VLOOKUP(I1907,Materiales!$A:$G,7,0),"")</f>
        <v/>
      </c>
      <c r="L1907" s="8" t="inlineStr">
        <is>
          <t>20190426</t>
        </is>
      </c>
      <c r="M1907" s="8" t="inlineStr">
        <is>
          <t>20250127</t>
        </is>
      </c>
      <c r="N1907" s="10" t="n">
        <v>732.2</v>
      </c>
      <c r="O1907" s="10">
        <f>IFERROR(VLOOKUP(A1907,Flete!$A:$J,10,0),"")</f>
        <v/>
      </c>
      <c r="P1907" s="8" t="inlineStr">
        <is>
          <t>M3</t>
        </is>
      </c>
      <c r="Q1907" s="10">
        <f>IFERROR(IFERROR(VLOOKUP(A1907,TRAOPE!$A:$U,21,0),VLOOKUP(B1907,TRAOPE!$A:$U,21,0)),"")</f>
        <v/>
      </c>
      <c r="R1907" s="8">
        <f>IFERROR(IFERROR(VLOOKUP(A1907,TRAOPE!$A:$W,23,0),VLOOKUP(B1907,TRAOPE!$A:$W,23,0)),"")</f>
        <v/>
      </c>
      <c r="S1907" s="10">
        <f>IF(AND(P1907="TN",R1907="TN"),N1907+N(O1907),IF(G1907&amp;""="1",N(K1907)*N1907,(N1907+N(O1907))*N(K1907)))</f>
        <v/>
      </c>
      <c r="T1907" s="10">
        <f>IF(Q1907="","",Q1907-S1907)</f>
        <v/>
      </c>
    </row>
    <row r="1908">
      <c r="A1908" s="7">
        <f>CONCATENATE(C1908,E1908,F1908,I1908)</f>
        <v/>
      </c>
      <c r="B1908" s="7">
        <f>CONCATENATE(C1908,E1908,I1908)</f>
        <v/>
      </c>
      <c r="C1908" s="8" t="n">
        <v>900006185</v>
      </c>
      <c r="D1908" s="7">
        <f>IFERROR(VLOOKUP(C1908,TRAOPE!$G:$H,2,0),"")</f>
        <v/>
      </c>
      <c r="E1908" s="8" t="inlineStr">
        <is>
          <t>D836</t>
        </is>
      </c>
      <c r="F1908" s="8" t="inlineStr">
        <is>
          <t>67157899</t>
        </is>
      </c>
      <c r="G1908" s="8">
        <f>IFERROR(VLOOKUP(A1908,Flete!$A:$E,5,0),"")</f>
        <v/>
      </c>
      <c r="H1908" s="7">
        <f>IFERROR(VLOOKUP(F1908,TRAOPE!$AA:$AB,2,0),"")</f>
        <v/>
      </c>
      <c r="I1908" s="7" t="n">
        <v>10236867</v>
      </c>
      <c r="J1908" s="7">
        <f>IFERROR(VLOOKUP(I1908,Materiales!$A:$H,8,0),"")</f>
        <v/>
      </c>
      <c r="K1908" s="9">
        <f>IFERROR(VLOOKUP(I1908,Materiales!$A:$G,7,0),"")</f>
        <v/>
      </c>
      <c r="L1908" s="8" t="inlineStr">
        <is>
          <t>20190426</t>
        </is>
      </c>
      <c r="M1908" s="8" t="inlineStr">
        <is>
          <t>20250127</t>
        </is>
      </c>
      <c r="N1908" s="10" t="n">
        <v>2210</v>
      </c>
      <c r="O1908" s="10">
        <f>IFERROR(VLOOKUP(A1908,Flete!$A:$J,10,0),"")</f>
        <v/>
      </c>
      <c r="P1908" s="8" t="inlineStr">
        <is>
          <t>TN</t>
        </is>
      </c>
      <c r="Q1908" s="10">
        <f>IFERROR(IFERROR(VLOOKUP(A1908,TRAOPE!$A:$U,21,0),VLOOKUP(B1908,TRAOPE!$A:$U,21,0)),"")</f>
        <v/>
      </c>
      <c r="R1908" s="8">
        <f>IFERROR(IFERROR(VLOOKUP(A1908,TRAOPE!$A:$W,23,0),VLOOKUP(B1908,TRAOPE!$A:$W,23,0)),"")</f>
        <v/>
      </c>
      <c r="S1908" s="10">
        <f>IF(AND(P1908="TN",R1908="TN"),N1908+N(O1908),IF(G1908&amp;""="1",N(K1908)*N1908,(N1908+N(O1908))*N(K1908)))</f>
        <v/>
      </c>
      <c r="T1908" s="10">
        <f>IF(Q1908="","",Q1908-S1908)</f>
        <v/>
      </c>
    </row>
    <row r="1909">
      <c r="A1909" s="7">
        <f>CONCATENATE(C1909,E1909,F1909,I1909)</f>
        <v/>
      </c>
      <c r="B1909" s="7">
        <f>CONCATENATE(C1909,E1909,I1909)</f>
        <v/>
      </c>
      <c r="C1909" s="8" t="n">
        <v>900006228</v>
      </c>
      <c r="D1909" s="7">
        <f>IFERROR(VLOOKUP(C1909,TRAOPE!$G:$H,2,0),"")</f>
        <v/>
      </c>
      <c r="E1909" s="8" t="inlineStr">
        <is>
          <t>D836</t>
        </is>
      </c>
      <c r="F1909" s="8" t="inlineStr">
        <is>
          <t>66490694</t>
        </is>
      </c>
      <c r="G1909" s="8">
        <f>IFERROR(VLOOKUP(A1909,Flete!$A:$E,5,0),"")</f>
        <v/>
      </c>
      <c r="H1909" s="7">
        <f>IFERROR(VLOOKUP(F1909,TRAOPE!$AA:$AB,2,0),"")</f>
        <v/>
      </c>
      <c r="I1909" s="7" t="n">
        <v>10170112</v>
      </c>
      <c r="J1909" s="7">
        <f>IFERROR(VLOOKUP(I1909,Materiales!$A:$H,8,0),"")</f>
        <v/>
      </c>
      <c r="K1909" s="9">
        <f>IFERROR(VLOOKUP(I1909,Materiales!$A:$G,7,0),"")</f>
        <v/>
      </c>
      <c r="L1909" s="8" t="inlineStr">
        <is>
          <t>20190426</t>
        </is>
      </c>
      <c r="M1909" s="8" t="inlineStr">
        <is>
          <t>20250127</t>
        </is>
      </c>
      <c r="N1909" s="10" t="n">
        <v>117</v>
      </c>
      <c r="O1909" s="10">
        <f>IFERROR(VLOOKUP(A1909,Flete!$A:$J,10,0),"")</f>
        <v/>
      </c>
      <c r="P1909" s="8" t="inlineStr">
        <is>
          <t>M3</t>
        </is>
      </c>
      <c r="Q1909" s="10">
        <f>IFERROR(IFERROR(VLOOKUP(A1909,TRAOPE!$A:$U,21,0),VLOOKUP(B1909,TRAOPE!$A:$U,21,0)),"")</f>
        <v/>
      </c>
      <c r="R1909" s="8">
        <f>IFERROR(IFERROR(VLOOKUP(A1909,TRAOPE!$A:$W,23,0),VLOOKUP(B1909,TRAOPE!$A:$W,23,0)),"")</f>
        <v/>
      </c>
      <c r="S1909" s="10">
        <f>IF(AND(P1909="TN",R1909="TN"),N1909+N(O1909),IF(G1909&amp;""="1",N(K1909)*N1909,(N1909+N(O1909))*N(K1909)))</f>
        <v/>
      </c>
      <c r="T1909" s="10">
        <f>IF(Q1909="","",Q1909-S1909)</f>
        <v/>
      </c>
    </row>
    <row r="1910">
      <c r="A1910" s="7">
        <f>CONCATENATE(C1910,E1910,F1910,I1910)</f>
        <v/>
      </c>
      <c r="B1910" s="7">
        <f>CONCATENATE(C1910,E1910,I1910)</f>
        <v/>
      </c>
      <c r="C1910" s="8" t="n">
        <v>900006228</v>
      </c>
      <c r="D1910" s="7">
        <f>IFERROR(VLOOKUP(C1910,TRAOPE!$G:$H,2,0),"")</f>
        <v/>
      </c>
      <c r="E1910" s="8" t="inlineStr">
        <is>
          <t>D836</t>
        </is>
      </c>
      <c r="F1910" s="8" t="inlineStr">
        <is>
          <t>66532867</t>
        </is>
      </c>
      <c r="G1910" s="8">
        <f>IFERROR(VLOOKUP(A1910,Flete!$A:$E,5,0),"")</f>
        <v/>
      </c>
      <c r="H1910" s="7">
        <f>IFERROR(VLOOKUP(F1910,TRAOPE!$AA:$AB,2,0),"")</f>
        <v/>
      </c>
      <c r="I1910" s="7" t="n">
        <v>10170112</v>
      </c>
      <c r="J1910" s="7">
        <f>IFERROR(VLOOKUP(I1910,Materiales!$A:$H,8,0),"")</f>
        <v/>
      </c>
      <c r="K1910" s="9">
        <f>IFERROR(VLOOKUP(I1910,Materiales!$A:$G,7,0),"")</f>
        <v/>
      </c>
      <c r="L1910" s="8" t="inlineStr">
        <is>
          <t>20190426</t>
        </is>
      </c>
      <c r="M1910" s="8" t="inlineStr">
        <is>
          <t>20250127</t>
        </is>
      </c>
      <c r="N1910" s="10" t="n">
        <v>117</v>
      </c>
      <c r="O1910" s="10">
        <f>IFERROR(VLOOKUP(A1910,Flete!$A:$J,10,0),"")</f>
        <v/>
      </c>
      <c r="P1910" s="8" t="inlineStr">
        <is>
          <t>M3</t>
        </is>
      </c>
      <c r="Q1910" s="10">
        <f>IFERROR(IFERROR(VLOOKUP(A1910,TRAOPE!$A:$U,21,0),VLOOKUP(B1910,TRAOPE!$A:$U,21,0)),"")</f>
        <v/>
      </c>
      <c r="R1910" s="8">
        <f>IFERROR(IFERROR(VLOOKUP(A1910,TRAOPE!$A:$W,23,0),VLOOKUP(B1910,TRAOPE!$A:$W,23,0)),"")</f>
        <v/>
      </c>
      <c r="S1910" s="10">
        <f>IF(AND(P1910="TN",R1910="TN"),N1910+N(O1910),IF(G1910&amp;""="1",N(K1910)*N1910,(N1910+N(O1910))*N(K1910)))</f>
        <v/>
      </c>
      <c r="T1910" s="10">
        <f>IF(Q1910="","",Q1910-S1910)</f>
        <v/>
      </c>
    </row>
    <row r="1911">
      <c r="A1911" s="7">
        <f>CONCATENATE(C1911,E1911,F1911,I1911)</f>
        <v/>
      </c>
      <c r="B1911" s="7">
        <f>CONCATENATE(C1911,E1911,I1911)</f>
        <v/>
      </c>
      <c r="C1911" s="8" t="n">
        <v>900006228</v>
      </c>
      <c r="D1911" s="7">
        <f>IFERROR(VLOOKUP(C1911,TRAOPE!$G:$H,2,0),"")</f>
        <v/>
      </c>
      <c r="E1911" s="8" t="inlineStr">
        <is>
          <t>D836</t>
        </is>
      </c>
      <c r="F1911" s="8" t="inlineStr">
        <is>
          <t>66574596</t>
        </is>
      </c>
      <c r="G1911" s="8">
        <f>IFERROR(VLOOKUP(A1911,Flete!$A:$E,5,0),"")</f>
        <v/>
      </c>
      <c r="H1911" s="7">
        <f>IFERROR(VLOOKUP(F1911,TRAOPE!$AA:$AB,2,0),"")</f>
        <v/>
      </c>
      <c r="I1911" s="7" t="n">
        <v>10170112</v>
      </c>
      <c r="J1911" s="7">
        <f>IFERROR(VLOOKUP(I1911,Materiales!$A:$H,8,0),"")</f>
        <v/>
      </c>
      <c r="K1911" s="9">
        <f>IFERROR(VLOOKUP(I1911,Materiales!$A:$G,7,0),"")</f>
        <v/>
      </c>
      <c r="L1911" s="8" t="inlineStr">
        <is>
          <t>20190426</t>
        </is>
      </c>
      <c r="M1911" s="8" t="inlineStr">
        <is>
          <t>20250127</t>
        </is>
      </c>
      <c r="N1911" s="10" t="n">
        <v>117</v>
      </c>
      <c r="O1911" s="10">
        <f>IFERROR(VLOOKUP(A1911,Flete!$A:$J,10,0),"")</f>
        <v/>
      </c>
      <c r="P1911" s="8" t="inlineStr">
        <is>
          <t>M3</t>
        </is>
      </c>
      <c r="Q1911" s="10">
        <f>IFERROR(IFERROR(VLOOKUP(A1911,TRAOPE!$A:$U,21,0),VLOOKUP(B1911,TRAOPE!$A:$U,21,0)),"")</f>
        <v/>
      </c>
      <c r="R1911" s="8">
        <f>IFERROR(IFERROR(VLOOKUP(A1911,TRAOPE!$A:$W,23,0),VLOOKUP(B1911,TRAOPE!$A:$W,23,0)),"")</f>
        <v/>
      </c>
      <c r="S1911" s="10">
        <f>IF(AND(P1911="TN",R1911="TN"),N1911+N(O1911),IF(G1911&amp;""="1",N(K1911)*N1911,(N1911+N(O1911))*N(K1911)))</f>
        <v/>
      </c>
      <c r="T1911" s="10">
        <f>IF(Q1911="","",Q1911-S1911)</f>
        <v/>
      </c>
    </row>
    <row r="1912">
      <c r="A1912" s="7">
        <f>CONCATENATE(C1912,E1912,F1912,I1912)</f>
        <v/>
      </c>
      <c r="B1912" s="7">
        <f>CONCATENATE(C1912,E1912,I1912)</f>
        <v/>
      </c>
      <c r="C1912" s="8" t="n">
        <v>900006350</v>
      </c>
      <c r="D1912" s="7">
        <f>IFERROR(VLOOKUP(C1912,TRAOPE!$G:$H,2,0),"")</f>
        <v/>
      </c>
      <c r="E1912" s="8" t="inlineStr">
        <is>
          <t>D836</t>
        </is>
      </c>
      <c r="F1912" s="8" t="inlineStr">
        <is>
          <t>66433511</t>
        </is>
      </c>
      <c r="G1912" s="8">
        <f>IFERROR(VLOOKUP(A1912,Flete!$A:$E,5,0),"")</f>
        <v/>
      </c>
      <c r="H1912" s="7">
        <f>IFERROR(VLOOKUP(F1912,TRAOPE!$AA:$AB,2,0),"")</f>
        <v/>
      </c>
      <c r="I1912" s="7" t="n">
        <v>10000623</v>
      </c>
      <c r="J1912" s="7">
        <f>IFERROR(VLOOKUP(I1912,Materiales!$A:$H,8,0),"")</f>
        <v/>
      </c>
      <c r="K1912" s="9">
        <f>IFERROR(VLOOKUP(I1912,Materiales!$A:$G,7,0),"")</f>
        <v/>
      </c>
      <c r="L1912" s="8" t="inlineStr">
        <is>
          <t>20190426</t>
        </is>
      </c>
      <c r="M1912" s="8" t="inlineStr">
        <is>
          <t>20250127</t>
        </is>
      </c>
      <c r="N1912" s="10" t="n">
        <v>138</v>
      </c>
      <c r="O1912" s="10">
        <f>IFERROR(VLOOKUP(A1912,Flete!$A:$J,10,0),"")</f>
        <v/>
      </c>
      <c r="P1912" s="8" t="inlineStr">
        <is>
          <t>M3</t>
        </is>
      </c>
      <c r="Q1912" s="10">
        <f>IFERROR(IFERROR(VLOOKUP(A1912,TRAOPE!$A:$U,21,0),VLOOKUP(B1912,TRAOPE!$A:$U,21,0)),"")</f>
        <v/>
      </c>
      <c r="R1912" s="8">
        <f>IFERROR(IFERROR(VLOOKUP(A1912,TRAOPE!$A:$W,23,0),VLOOKUP(B1912,TRAOPE!$A:$W,23,0)),"")</f>
        <v/>
      </c>
      <c r="S1912" s="10">
        <f>IF(AND(P1912="TN",R1912="TN"),N1912+N(O1912),IF(G1912&amp;""="1",N(K1912)*N1912,(N1912+N(O1912))*N(K1912)))</f>
        <v/>
      </c>
      <c r="T1912" s="10">
        <f>IF(Q1912="","",Q1912-S1912)</f>
        <v/>
      </c>
    </row>
    <row r="1913">
      <c r="A1913" s="7">
        <f>CONCATENATE(C1913,E1913,F1913,I1913)</f>
        <v/>
      </c>
      <c r="B1913" s="7">
        <f>CONCATENATE(C1913,E1913,I1913)</f>
        <v/>
      </c>
      <c r="C1913" s="8" t="n">
        <v>900006350</v>
      </c>
      <c r="D1913" s="7">
        <f>IFERROR(VLOOKUP(C1913,TRAOPE!$G:$H,2,0),"")</f>
        <v/>
      </c>
      <c r="E1913" s="8" t="inlineStr">
        <is>
          <t>D836</t>
        </is>
      </c>
      <c r="F1913" s="8" t="inlineStr">
        <is>
          <t>66433511</t>
        </is>
      </c>
      <c r="G1913" s="8">
        <f>IFERROR(VLOOKUP(A1913,Flete!$A:$E,5,0),"")</f>
        <v/>
      </c>
      <c r="H1913" s="7">
        <f>IFERROR(VLOOKUP(F1913,TRAOPE!$AA:$AB,2,0),"")</f>
        <v/>
      </c>
      <c r="I1913" s="7" t="n">
        <v>10000624</v>
      </c>
      <c r="J1913" s="7">
        <f>IFERROR(VLOOKUP(I1913,Materiales!$A:$H,8,0),"")</f>
        <v/>
      </c>
      <c r="K1913" s="9">
        <f>IFERROR(VLOOKUP(I1913,Materiales!$A:$G,7,0),"")</f>
        <v/>
      </c>
      <c r="L1913" s="8" t="inlineStr">
        <is>
          <t>20190426</t>
        </is>
      </c>
      <c r="M1913" s="8" t="inlineStr">
        <is>
          <t>20250127</t>
        </is>
      </c>
      <c r="N1913" s="10" t="n">
        <v>138</v>
      </c>
      <c r="O1913" s="10">
        <f>IFERROR(VLOOKUP(A1913,Flete!$A:$J,10,0),"")</f>
        <v/>
      </c>
      <c r="P1913" s="8" t="inlineStr">
        <is>
          <t>M3</t>
        </is>
      </c>
      <c r="Q1913" s="10">
        <f>IFERROR(IFERROR(VLOOKUP(A1913,TRAOPE!$A:$U,21,0),VLOOKUP(B1913,TRAOPE!$A:$U,21,0)),"")</f>
        <v/>
      </c>
      <c r="R1913" s="8">
        <f>IFERROR(IFERROR(VLOOKUP(A1913,TRAOPE!$A:$W,23,0),VLOOKUP(B1913,TRAOPE!$A:$W,23,0)),"")</f>
        <v/>
      </c>
      <c r="S1913" s="10">
        <f>IF(AND(P1913="TN",R1913="TN"),N1913+N(O1913),IF(G1913&amp;""="1",N(K1913)*N1913,(N1913+N(O1913))*N(K1913)))</f>
        <v/>
      </c>
      <c r="T1913" s="10">
        <f>IF(Q1913="","",Q1913-S1913)</f>
        <v/>
      </c>
    </row>
    <row r="1914">
      <c r="A1914" s="7">
        <f>CONCATENATE(C1914,E1914,F1914,I1914)</f>
        <v/>
      </c>
      <c r="B1914" s="7">
        <f>CONCATENATE(C1914,E1914,I1914)</f>
        <v/>
      </c>
      <c r="C1914" s="8" t="n">
        <v>900006350</v>
      </c>
      <c r="D1914" s="7">
        <f>IFERROR(VLOOKUP(C1914,TRAOPE!$G:$H,2,0),"")</f>
        <v/>
      </c>
      <c r="E1914" s="8" t="inlineStr">
        <is>
          <t>D836</t>
        </is>
      </c>
      <c r="F1914" s="8" t="inlineStr">
        <is>
          <t>66433511</t>
        </is>
      </c>
      <c r="G1914" s="8">
        <f>IFERROR(VLOOKUP(A1914,Flete!$A:$E,5,0),"")</f>
        <v/>
      </c>
      <c r="H1914" s="7">
        <f>IFERROR(VLOOKUP(F1914,TRAOPE!$AA:$AB,2,0),"")</f>
        <v/>
      </c>
      <c r="I1914" s="7" t="n">
        <v>10000811</v>
      </c>
      <c r="J1914" s="7">
        <f>IFERROR(VLOOKUP(I1914,Materiales!$A:$H,8,0),"")</f>
        <v/>
      </c>
      <c r="K1914" s="9">
        <f>IFERROR(VLOOKUP(I1914,Materiales!$A:$G,7,0),"")</f>
        <v/>
      </c>
      <c r="L1914" s="8" t="inlineStr">
        <is>
          <t>20190426</t>
        </is>
      </c>
      <c r="M1914" s="8" t="inlineStr">
        <is>
          <t>20250127</t>
        </is>
      </c>
      <c r="N1914" s="10" t="n">
        <v>138</v>
      </c>
      <c r="O1914" s="10">
        <f>IFERROR(VLOOKUP(A1914,Flete!$A:$J,10,0),"")</f>
        <v/>
      </c>
      <c r="P1914" s="8" t="inlineStr">
        <is>
          <t>M3</t>
        </is>
      </c>
      <c r="Q1914" s="10">
        <f>IFERROR(IFERROR(VLOOKUP(A1914,TRAOPE!$A:$U,21,0),VLOOKUP(B1914,TRAOPE!$A:$U,21,0)),"")</f>
        <v/>
      </c>
      <c r="R1914" s="8">
        <f>IFERROR(IFERROR(VLOOKUP(A1914,TRAOPE!$A:$W,23,0),VLOOKUP(B1914,TRAOPE!$A:$W,23,0)),"")</f>
        <v/>
      </c>
      <c r="S1914" s="10">
        <f>IF(AND(P1914="TN",R1914="TN"),N1914+N(O1914),IF(G1914&amp;""="1",N(K1914)*N1914,(N1914+N(O1914))*N(K1914)))</f>
        <v/>
      </c>
      <c r="T1914" s="10">
        <f>IF(Q1914="","",Q1914-S1914)</f>
        <v/>
      </c>
    </row>
    <row r="1915">
      <c r="A1915" s="7">
        <f>CONCATENATE(C1915,E1915,F1915,I1915)</f>
        <v/>
      </c>
      <c r="B1915" s="7">
        <f>CONCATENATE(C1915,E1915,I1915)</f>
        <v/>
      </c>
      <c r="C1915" s="8" t="n">
        <v>900006350</v>
      </c>
      <c r="D1915" s="7">
        <f>IFERROR(VLOOKUP(C1915,TRAOPE!$G:$H,2,0),"")</f>
        <v/>
      </c>
      <c r="E1915" s="8" t="inlineStr">
        <is>
          <t>D836</t>
        </is>
      </c>
      <c r="F1915" s="8" t="inlineStr">
        <is>
          <t>66433511</t>
        </is>
      </c>
      <c r="G1915" s="8">
        <f>IFERROR(VLOOKUP(A1915,Flete!$A:$E,5,0),"")</f>
        <v/>
      </c>
      <c r="H1915" s="7">
        <f>IFERROR(VLOOKUP(F1915,TRAOPE!$AA:$AB,2,0),"")</f>
        <v/>
      </c>
      <c r="I1915" s="7" t="n">
        <v>10059180</v>
      </c>
      <c r="J1915" s="7">
        <f>IFERROR(VLOOKUP(I1915,Materiales!$A:$H,8,0),"")</f>
        <v/>
      </c>
      <c r="K1915" s="9">
        <f>IFERROR(VLOOKUP(I1915,Materiales!$A:$G,7,0),"")</f>
        <v/>
      </c>
      <c r="L1915" s="8" t="inlineStr">
        <is>
          <t>20190426</t>
        </is>
      </c>
      <c r="M1915" s="8" t="inlineStr">
        <is>
          <t>20250127</t>
        </is>
      </c>
      <c r="N1915" s="10" t="n">
        <v>96</v>
      </c>
      <c r="O1915" s="10">
        <f>IFERROR(VLOOKUP(A1915,Flete!$A:$J,10,0),"")</f>
        <v/>
      </c>
      <c r="P1915" s="8" t="inlineStr">
        <is>
          <t>M3</t>
        </is>
      </c>
      <c r="Q1915" s="10">
        <f>IFERROR(IFERROR(VLOOKUP(A1915,TRAOPE!$A:$U,21,0),VLOOKUP(B1915,TRAOPE!$A:$U,21,0)),"")</f>
        <v/>
      </c>
      <c r="R1915" s="8">
        <f>IFERROR(IFERROR(VLOOKUP(A1915,TRAOPE!$A:$W,23,0),VLOOKUP(B1915,TRAOPE!$A:$W,23,0)),"")</f>
        <v/>
      </c>
      <c r="S1915" s="10">
        <f>IF(AND(P1915="TN",R1915="TN"),N1915+N(O1915),IF(G1915&amp;""="1",N(K1915)*N1915,(N1915+N(O1915))*N(K1915)))</f>
        <v/>
      </c>
      <c r="T1915" s="10">
        <f>IF(Q1915="","",Q1915-S1915)</f>
        <v/>
      </c>
    </row>
    <row r="1916">
      <c r="A1916" s="7">
        <f>CONCATENATE(C1916,E1916,F1916,I1916)</f>
        <v/>
      </c>
      <c r="B1916" s="7">
        <f>CONCATENATE(C1916,E1916,I1916)</f>
        <v/>
      </c>
      <c r="C1916" s="8" t="n">
        <v>900006351</v>
      </c>
      <c r="D1916" s="7">
        <f>IFERROR(VLOOKUP(C1916,TRAOPE!$G:$H,2,0),"")</f>
        <v/>
      </c>
      <c r="E1916" s="8" t="inlineStr">
        <is>
          <t>D836</t>
        </is>
      </c>
      <c r="F1916" s="8" t="inlineStr">
        <is>
          <t>66260760</t>
        </is>
      </c>
      <c r="G1916" s="8">
        <f>IFERROR(VLOOKUP(A1916,Flete!$A:$E,5,0),"")</f>
        <v/>
      </c>
      <c r="H1916" s="7">
        <f>IFERROR(VLOOKUP(F1916,TRAOPE!$AA:$AB,2,0),"")</f>
        <v/>
      </c>
      <c r="I1916" s="7" t="n">
        <v>10000630</v>
      </c>
      <c r="J1916" s="7">
        <f>IFERROR(VLOOKUP(I1916,Materiales!$A:$H,8,0),"")</f>
        <v/>
      </c>
      <c r="K1916" s="9">
        <f>IFERROR(VLOOKUP(I1916,Materiales!$A:$G,7,0),"")</f>
        <v/>
      </c>
      <c r="L1916" s="8" t="inlineStr">
        <is>
          <t>20190426</t>
        </is>
      </c>
      <c r="M1916" s="8" t="inlineStr">
        <is>
          <t>20250127</t>
        </is>
      </c>
      <c r="N1916" s="10" t="n">
        <v>170</v>
      </c>
      <c r="O1916" s="10">
        <f>IFERROR(VLOOKUP(A1916,Flete!$A:$J,10,0),"")</f>
        <v/>
      </c>
      <c r="P1916" s="8" t="inlineStr">
        <is>
          <t>M3</t>
        </is>
      </c>
      <c r="Q1916" s="10">
        <f>IFERROR(IFERROR(VLOOKUP(A1916,TRAOPE!$A:$U,21,0),VLOOKUP(B1916,TRAOPE!$A:$U,21,0)),"")</f>
        <v/>
      </c>
      <c r="R1916" s="8">
        <f>IFERROR(IFERROR(VLOOKUP(A1916,TRAOPE!$A:$W,23,0),VLOOKUP(B1916,TRAOPE!$A:$W,23,0)),"")</f>
        <v/>
      </c>
      <c r="S1916" s="10">
        <f>IF(AND(P1916="TN",R1916="TN"),N1916+N(O1916),IF(G1916&amp;""="1",N(K1916)*N1916,(N1916+N(O1916))*N(K1916)))</f>
        <v/>
      </c>
      <c r="T1916" s="10">
        <f>IF(Q1916="","",Q1916-S1916)</f>
        <v/>
      </c>
    </row>
    <row r="1917">
      <c r="A1917" s="7">
        <f>CONCATENATE(C1917,E1917,F1917,I1917)</f>
        <v/>
      </c>
      <c r="B1917" s="7">
        <f>CONCATENATE(C1917,E1917,I1917)</f>
        <v/>
      </c>
      <c r="C1917" s="8" t="n">
        <v>900006351</v>
      </c>
      <c r="D1917" s="7">
        <f>IFERROR(VLOOKUP(C1917,TRAOPE!$G:$H,2,0),"")</f>
        <v/>
      </c>
      <c r="E1917" s="8" t="inlineStr">
        <is>
          <t>D836</t>
        </is>
      </c>
      <c r="F1917" s="8" t="inlineStr">
        <is>
          <t>66338102</t>
        </is>
      </c>
      <c r="G1917" s="8">
        <f>IFERROR(VLOOKUP(A1917,Flete!$A:$E,5,0),"")</f>
        <v/>
      </c>
      <c r="H1917" s="7">
        <f>IFERROR(VLOOKUP(F1917,TRAOPE!$AA:$AB,2,0),"")</f>
        <v/>
      </c>
      <c r="I1917" s="7" t="n">
        <v>10000630</v>
      </c>
      <c r="J1917" s="7">
        <f>IFERROR(VLOOKUP(I1917,Materiales!$A:$H,8,0),"")</f>
        <v/>
      </c>
      <c r="K1917" s="9">
        <f>IFERROR(VLOOKUP(I1917,Materiales!$A:$G,7,0),"")</f>
        <v/>
      </c>
      <c r="L1917" s="8" t="inlineStr">
        <is>
          <t>20190426</t>
        </is>
      </c>
      <c r="M1917" s="8" t="inlineStr">
        <is>
          <t>20250127</t>
        </is>
      </c>
      <c r="N1917" s="10" t="n">
        <v>142</v>
      </c>
      <c r="O1917" s="10">
        <f>IFERROR(VLOOKUP(A1917,Flete!$A:$J,10,0),"")</f>
        <v/>
      </c>
      <c r="P1917" s="8" t="inlineStr">
        <is>
          <t>M3</t>
        </is>
      </c>
      <c r="Q1917" s="10">
        <f>IFERROR(IFERROR(VLOOKUP(A1917,TRAOPE!$A:$U,21,0),VLOOKUP(B1917,TRAOPE!$A:$U,21,0)),"")</f>
        <v/>
      </c>
      <c r="R1917" s="8">
        <f>IFERROR(IFERROR(VLOOKUP(A1917,TRAOPE!$A:$W,23,0),VLOOKUP(B1917,TRAOPE!$A:$W,23,0)),"")</f>
        <v/>
      </c>
      <c r="S1917" s="10">
        <f>IF(AND(P1917="TN",R1917="TN"),N1917+N(O1917),IF(G1917&amp;""="1",N(K1917)*N1917,(N1917+N(O1917))*N(K1917)))</f>
        <v/>
      </c>
      <c r="T1917" s="10">
        <f>IF(Q1917="","",Q1917-S1917)</f>
        <v/>
      </c>
    </row>
    <row r="1918">
      <c r="A1918" s="7">
        <f>CONCATENATE(C1918,E1918,F1918,I1918)</f>
        <v/>
      </c>
      <c r="B1918" s="7">
        <f>CONCATENATE(C1918,E1918,I1918)</f>
        <v/>
      </c>
      <c r="C1918" s="8" t="n">
        <v>900006351</v>
      </c>
      <c r="D1918" s="7">
        <f>IFERROR(VLOOKUP(C1918,TRAOPE!$G:$H,2,0),"")</f>
        <v/>
      </c>
      <c r="E1918" s="8" t="inlineStr">
        <is>
          <t>D836</t>
        </is>
      </c>
      <c r="F1918" s="8" t="inlineStr">
        <is>
          <t>66433511</t>
        </is>
      </c>
      <c r="G1918" s="8">
        <f>IFERROR(VLOOKUP(A1918,Flete!$A:$E,5,0),"")</f>
        <v/>
      </c>
      <c r="H1918" s="7">
        <f>IFERROR(VLOOKUP(F1918,TRAOPE!$AA:$AB,2,0),"")</f>
        <v/>
      </c>
      <c r="I1918" s="7" t="n">
        <v>10000623</v>
      </c>
      <c r="J1918" s="7">
        <f>IFERROR(VLOOKUP(I1918,Materiales!$A:$H,8,0),"")</f>
        <v/>
      </c>
      <c r="K1918" s="9">
        <f>IFERROR(VLOOKUP(I1918,Materiales!$A:$G,7,0),"")</f>
        <v/>
      </c>
      <c r="L1918" s="8" t="inlineStr">
        <is>
          <t>20190426</t>
        </is>
      </c>
      <c r="M1918" s="8" t="inlineStr">
        <is>
          <t>20250127</t>
        </is>
      </c>
      <c r="N1918" s="10" t="n">
        <v>123</v>
      </c>
      <c r="O1918" s="10">
        <f>IFERROR(VLOOKUP(A1918,Flete!$A:$J,10,0),"")</f>
        <v/>
      </c>
      <c r="P1918" s="8" t="inlineStr">
        <is>
          <t>M3</t>
        </is>
      </c>
      <c r="Q1918" s="10">
        <f>IFERROR(IFERROR(VLOOKUP(A1918,TRAOPE!$A:$U,21,0),VLOOKUP(B1918,TRAOPE!$A:$U,21,0)),"")</f>
        <v/>
      </c>
      <c r="R1918" s="8">
        <f>IFERROR(IFERROR(VLOOKUP(A1918,TRAOPE!$A:$W,23,0),VLOOKUP(B1918,TRAOPE!$A:$W,23,0)),"")</f>
        <v/>
      </c>
      <c r="S1918" s="10">
        <f>IF(AND(P1918="TN",R1918="TN"),N1918+N(O1918),IF(G1918&amp;""="1",N(K1918)*N1918,(N1918+N(O1918))*N(K1918)))</f>
        <v/>
      </c>
      <c r="T1918" s="10">
        <f>IF(Q1918="","",Q1918-S1918)</f>
        <v/>
      </c>
    </row>
    <row r="1919">
      <c r="A1919" s="7">
        <f>CONCATENATE(C1919,E1919,F1919,I1919)</f>
        <v/>
      </c>
      <c r="B1919" s="7">
        <f>CONCATENATE(C1919,E1919,I1919)</f>
        <v/>
      </c>
      <c r="C1919" s="8" t="n">
        <v>900006351</v>
      </c>
      <c r="D1919" s="7">
        <f>IFERROR(VLOOKUP(C1919,TRAOPE!$G:$H,2,0),"")</f>
        <v/>
      </c>
      <c r="E1919" s="8" t="inlineStr">
        <is>
          <t>D836</t>
        </is>
      </c>
      <c r="F1919" s="8" t="inlineStr">
        <is>
          <t>66433511</t>
        </is>
      </c>
      <c r="G1919" s="8">
        <f>IFERROR(VLOOKUP(A1919,Flete!$A:$E,5,0),"")</f>
        <v/>
      </c>
      <c r="H1919" s="7">
        <f>IFERROR(VLOOKUP(F1919,TRAOPE!$AA:$AB,2,0),"")</f>
        <v/>
      </c>
      <c r="I1919" s="7" t="n">
        <v>10000630</v>
      </c>
      <c r="J1919" s="7">
        <f>IFERROR(VLOOKUP(I1919,Materiales!$A:$H,8,0),"")</f>
        <v/>
      </c>
      <c r="K1919" s="9">
        <f>IFERROR(VLOOKUP(I1919,Materiales!$A:$G,7,0),"")</f>
        <v/>
      </c>
      <c r="L1919" s="8" t="inlineStr">
        <is>
          <t>20190426</t>
        </is>
      </c>
      <c r="M1919" s="8" t="inlineStr">
        <is>
          <t>20250127</t>
        </is>
      </c>
      <c r="N1919" s="10" t="n">
        <v>123</v>
      </c>
      <c r="O1919" s="10">
        <f>IFERROR(VLOOKUP(A1919,Flete!$A:$J,10,0),"")</f>
        <v/>
      </c>
      <c r="P1919" s="8" t="inlineStr">
        <is>
          <t>M3</t>
        </is>
      </c>
      <c r="Q1919" s="10">
        <f>IFERROR(IFERROR(VLOOKUP(A1919,TRAOPE!$A:$U,21,0),VLOOKUP(B1919,TRAOPE!$A:$U,21,0)),"")</f>
        <v/>
      </c>
      <c r="R1919" s="8">
        <f>IFERROR(IFERROR(VLOOKUP(A1919,TRAOPE!$A:$W,23,0),VLOOKUP(B1919,TRAOPE!$A:$W,23,0)),"")</f>
        <v/>
      </c>
      <c r="S1919" s="10">
        <f>IF(AND(P1919="TN",R1919="TN"),N1919+N(O1919),IF(G1919&amp;""="1",N(K1919)*N1919,(N1919+N(O1919))*N(K1919)))</f>
        <v/>
      </c>
      <c r="T1919" s="10">
        <f>IF(Q1919="","",Q1919-S1919)</f>
        <v/>
      </c>
    </row>
    <row r="1920">
      <c r="A1920" s="7">
        <f>CONCATENATE(C1920,E1920,F1920,I1920)</f>
        <v/>
      </c>
      <c r="B1920" s="7">
        <f>CONCATENATE(C1920,E1920,I1920)</f>
        <v/>
      </c>
      <c r="C1920" s="8" t="n">
        <v>900006351</v>
      </c>
      <c r="D1920" s="7">
        <f>IFERROR(VLOOKUP(C1920,TRAOPE!$G:$H,2,0),"")</f>
        <v/>
      </c>
      <c r="E1920" s="8" t="inlineStr">
        <is>
          <t>D836</t>
        </is>
      </c>
      <c r="F1920" s="8" t="inlineStr">
        <is>
          <t>66433511</t>
        </is>
      </c>
      <c r="G1920" s="8">
        <f>IFERROR(VLOOKUP(A1920,Flete!$A:$E,5,0),"")</f>
        <v/>
      </c>
      <c r="H1920" s="7">
        <f>IFERROR(VLOOKUP(F1920,TRAOPE!$AA:$AB,2,0),"")</f>
        <v/>
      </c>
      <c r="I1920" s="7" t="n">
        <v>10000811</v>
      </c>
      <c r="J1920" s="7">
        <f>IFERROR(VLOOKUP(I1920,Materiales!$A:$H,8,0),"")</f>
        <v/>
      </c>
      <c r="K1920" s="9">
        <f>IFERROR(VLOOKUP(I1920,Materiales!$A:$G,7,0),"")</f>
        <v/>
      </c>
      <c r="L1920" s="8" t="inlineStr">
        <is>
          <t>20190426</t>
        </is>
      </c>
      <c r="M1920" s="8" t="inlineStr">
        <is>
          <t>20250127</t>
        </is>
      </c>
      <c r="N1920" s="10" t="n">
        <v>118</v>
      </c>
      <c r="O1920" s="10">
        <f>IFERROR(VLOOKUP(A1920,Flete!$A:$J,10,0),"")</f>
        <v/>
      </c>
      <c r="P1920" s="8" t="inlineStr">
        <is>
          <t>M3</t>
        </is>
      </c>
      <c r="Q1920" s="10">
        <f>IFERROR(IFERROR(VLOOKUP(A1920,TRAOPE!$A:$U,21,0),VLOOKUP(B1920,TRAOPE!$A:$U,21,0)),"")</f>
        <v/>
      </c>
      <c r="R1920" s="8">
        <f>IFERROR(IFERROR(VLOOKUP(A1920,TRAOPE!$A:$W,23,0),VLOOKUP(B1920,TRAOPE!$A:$W,23,0)),"")</f>
        <v/>
      </c>
      <c r="S1920" s="10">
        <f>IF(AND(P1920="TN",R1920="TN"),N1920+N(O1920),IF(G1920&amp;""="1",N(K1920)*N1920,(N1920+N(O1920))*N(K1920)))</f>
        <v/>
      </c>
      <c r="T1920" s="10">
        <f>IF(Q1920="","",Q1920-S1920)</f>
        <v/>
      </c>
    </row>
    <row r="1921">
      <c r="A1921" s="7">
        <f>CONCATENATE(C1921,E1921,F1921,I1921)</f>
        <v/>
      </c>
      <c r="B1921" s="7">
        <f>CONCATENATE(C1921,E1921,I1921)</f>
        <v/>
      </c>
      <c r="C1921" s="8" t="n">
        <v>900006351</v>
      </c>
      <c r="D1921" s="7">
        <f>IFERROR(VLOOKUP(C1921,TRAOPE!$G:$H,2,0),"")</f>
        <v/>
      </c>
      <c r="E1921" s="8" t="inlineStr">
        <is>
          <t>D836</t>
        </is>
      </c>
      <c r="F1921" s="8" t="inlineStr">
        <is>
          <t>66516656</t>
        </is>
      </c>
      <c r="G1921" s="8">
        <f>IFERROR(VLOOKUP(A1921,Flete!$A:$E,5,0),"")</f>
        <v/>
      </c>
      <c r="H1921" s="7">
        <f>IFERROR(VLOOKUP(F1921,TRAOPE!$AA:$AB,2,0),"")</f>
        <v/>
      </c>
      <c r="I1921" s="7" t="n">
        <v>10000630</v>
      </c>
      <c r="J1921" s="7">
        <f>IFERROR(VLOOKUP(I1921,Materiales!$A:$H,8,0),"")</f>
        <v/>
      </c>
      <c r="K1921" s="9">
        <f>IFERROR(VLOOKUP(I1921,Materiales!$A:$G,7,0),"")</f>
        <v/>
      </c>
      <c r="L1921" s="8" t="inlineStr">
        <is>
          <t>20190426</t>
        </is>
      </c>
      <c r="M1921" s="8" t="inlineStr">
        <is>
          <t>20250127</t>
        </is>
      </c>
      <c r="N1921" s="10" t="n">
        <v>144</v>
      </c>
      <c r="O1921" s="10">
        <f>IFERROR(VLOOKUP(A1921,Flete!$A:$J,10,0),"")</f>
        <v/>
      </c>
      <c r="P1921" s="8" t="inlineStr">
        <is>
          <t>M3</t>
        </is>
      </c>
      <c r="Q1921" s="10">
        <f>IFERROR(IFERROR(VLOOKUP(A1921,TRAOPE!$A:$U,21,0),VLOOKUP(B1921,TRAOPE!$A:$U,21,0)),"")</f>
        <v/>
      </c>
      <c r="R1921" s="8">
        <f>IFERROR(IFERROR(VLOOKUP(A1921,TRAOPE!$A:$W,23,0),VLOOKUP(B1921,TRAOPE!$A:$W,23,0)),"")</f>
        <v/>
      </c>
      <c r="S1921" s="10">
        <f>IF(AND(P1921="TN",R1921="TN"),N1921+N(O1921),IF(G1921&amp;""="1",N(K1921)*N1921,(N1921+N(O1921))*N(K1921)))</f>
        <v/>
      </c>
      <c r="T1921" s="10">
        <f>IF(Q1921="","",Q1921-S1921)</f>
        <v/>
      </c>
    </row>
    <row r="1922">
      <c r="A1922" s="7">
        <f>CONCATENATE(C1922,E1922,F1922,I1922)</f>
        <v/>
      </c>
      <c r="B1922" s="7">
        <f>CONCATENATE(C1922,E1922,I1922)</f>
        <v/>
      </c>
      <c r="C1922" s="8" t="n">
        <v>900006351</v>
      </c>
      <c r="D1922" s="7">
        <f>IFERROR(VLOOKUP(C1922,TRAOPE!$G:$H,2,0),"")</f>
        <v/>
      </c>
      <c r="E1922" s="8" t="inlineStr">
        <is>
          <t>D836</t>
        </is>
      </c>
      <c r="F1922" s="8" t="inlineStr">
        <is>
          <t>66828114</t>
        </is>
      </c>
      <c r="G1922" s="8">
        <f>IFERROR(VLOOKUP(A1922,Flete!$A:$E,5,0),"")</f>
        <v/>
      </c>
      <c r="H1922" s="7">
        <f>IFERROR(VLOOKUP(F1922,TRAOPE!$AA:$AB,2,0),"")</f>
        <v/>
      </c>
      <c r="I1922" s="7" t="n">
        <v>10000630</v>
      </c>
      <c r="J1922" s="7">
        <f>IFERROR(VLOOKUP(I1922,Materiales!$A:$H,8,0),"")</f>
        <v/>
      </c>
      <c r="K1922" s="9">
        <f>IFERROR(VLOOKUP(I1922,Materiales!$A:$G,7,0),"")</f>
        <v/>
      </c>
      <c r="L1922" s="8" t="inlineStr">
        <is>
          <t>20190426</t>
        </is>
      </c>
      <c r="M1922" s="8" t="inlineStr">
        <is>
          <t>20250127</t>
        </is>
      </c>
      <c r="N1922" s="10" t="n">
        <v>148</v>
      </c>
      <c r="O1922" s="10">
        <f>IFERROR(VLOOKUP(A1922,Flete!$A:$J,10,0),"")</f>
        <v/>
      </c>
      <c r="P1922" s="8" t="inlineStr">
        <is>
          <t>M3</t>
        </is>
      </c>
      <c r="Q1922" s="10">
        <f>IFERROR(IFERROR(VLOOKUP(A1922,TRAOPE!$A:$U,21,0),VLOOKUP(B1922,TRAOPE!$A:$U,21,0)),"")</f>
        <v/>
      </c>
      <c r="R1922" s="8">
        <f>IFERROR(IFERROR(VLOOKUP(A1922,TRAOPE!$A:$W,23,0),VLOOKUP(B1922,TRAOPE!$A:$W,23,0)),"")</f>
        <v/>
      </c>
      <c r="S1922" s="10">
        <f>IF(AND(P1922="TN",R1922="TN"),N1922+N(O1922),IF(G1922&amp;""="1",N(K1922)*N1922,(N1922+N(O1922))*N(K1922)))</f>
        <v/>
      </c>
      <c r="T1922" s="10">
        <f>IF(Q1922="","",Q1922-S1922)</f>
        <v/>
      </c>
    </row>
    <row r="1923">
      <c r="A1923" s="7">
        <f>CONCATENATE(C1923,E1923,F1923,I1923)</f>
        <v/>
      </c>
      <c r="B1923" s="7">
        <f>CONCATENATE(C1923,E1923,I1923)</f>
        <v/>
      </c>
      <c r="C1923" s="8" t="n">
        <v>900006351</v>
      </c>
      <c r="D1923" s="7">
        <f>IFERROR(VLOOKUP(C1923,TRAOPE!$G:$H,2,0),"")</f>
        <v/>
      </c>
      <c r="E1923" s="8" t="inlineStr">
        <is>
          <t>D836</t>
        </is>
      </c>
      <c r="F1923" s="8" t="inlineStr">
        <is>
          <t>67000712</t>
        </is>
      </c>
      <c r="G1923" s="8">
        <f>IFERROR(VLOOKUP(A1923,Flete!$A:$E,5,0),"")</f>
        <v/>
      </c>
      <c r="H1923" s="7">
        <f>IFERROR(VLOOKUP(F1923,TRAOPE!$AA:$AB,2,0),"")</f>
        <v/>
      </c>
      <c r="I1923" s="7" t="n">
        <v>10000630</v>
      </c>
      <c r="J1923" s="7">
        <f>IFERROR(VLOOKUP(I1923,Materiales!$A:$H,8,0),"")</f>
        <v/>
      </c>
      <c r="K1923" s="9">
        <f>IFERROR(VLOOKUP(I1923,Materiales!$A:$G,7,0),"")</f>
        <v/>
      </c>
      <c r="L1923" s="8" t="inlineStr">
        <is>
          <t>20190426</t>
        </is>
      </c>
      <c r="M1923" s="8" t="inlineStr">
        <is>
          <t>20250127</t>
        </is>
      </c>
      <c r="N1923" s="10" t="n">
        <v>144</v>
      </c>
      <c r="O1923" s="10">
        <f>IFERROR(VLOOKUP(A1923,Flete!$A:$J,10,0),"")</f>
        <v/>
      </c>
      <c r="P1923" s="8" t="inlineStr">
        <is>
          <t>M3</t>
        </is>
      </c>
      <c r="Q1923" s="10">
        <f>IFERROR(IFERROR(VLOOKUP(A1923,TRAOPE!$A:$U,21,0),VLOOKUP(B1923,TRAOPE!$A:$U,21,0)),"")</f>
        <v/>
      </c>
      <c r="R1923" s="8">
        <f>IFERROR(IFERROR(VLOOKUP(A1923,TRAOPE!$A:$W,23,0),VLOOKUP(B1923,TRAOPE!$A:$W,23,0)),"")</f>
        <v/>
      </c>
      <c r="S1923" s="10">
        <f>IF(AND(P1923="TN",R1923="TN"),N1923+N(O1923),IF(G1923&amp;""="1",N(K1923)*N1923,(N1923+N(O1923))*N(K1923)))</f>
        <v/>
      </c>
      <c r="T1923" s="10">
        <f>IF(Q1923="","",Q1923-S1923)</f>
        <v/>
      </c>
    </row>
    <row r="1924">
      <c r="A1924" s="7">
        <f>CONCATENATE(C1924,E1924,F1924,I1924)</f>
        <v/>
      </c>
      <c r="B1924" s="7">
        <f>CONCATENATE(C1924,E1924,I1924)</f>
        <v/>
      </c>
      <c r="C1924" s="8" t="n">
        <v>900006371</v>
      </c>
      <c r="D1924" s="7">
        <f>IFERROR(VLOOKUP(C1924,TRAOPE!$G:$H,2,0),"")</f>
        <v/>
      </c>
      <c r="E1924" s="8" t="inlineStr">
        <is>
          <t>D836</t>
        </is>
      </c>
      <c r="F1924" s="8" t="inlineStr">
        <is>
          <t>65061687</t>
        </is>
      </c>
      <c r="G1924" s="8">
        <f>IFERROR(VLOOKUP(A1924,Flete!$A:$E,5,0),"")</f>
        <v/>
      </c>
      <c r="H1924" s="7">
        <f>IFERROR(VLOOKUP(F1924,TRAOPE!$AA:$AB,2,0),"")</f>
        <v/>
      </c>
      <c r="I1924" s="7" t="n">
        <v>10000160</v>
      </c>
      <c r="J1924" s="7">
        <f>IFERROR(VLOOKUP(I1924,Materiales!$A:$H,8,0),"")</f>
        <v/>
      </c>
      <c r="K1924" s="9">
        <f>IFERROR(VLOOKUP(I1924,Materiales!$A:$G,7,0),"")</f>
        <v/>
      </c>
      <c r="L1924" s="8" t="inlineStr">
        <is>
          <t>20190426</t>
        </is>
      </c>
      <c r="M1924" s="8" t="inlineStr">
        <is>
          <t>20250127</t>
        </is>
      </c>
      <c r="N1924" s="10" t="n">
        <v>149</v>
      </c>
      <c r="O1924" s="10">
        <f>IFERROR(VLOOKUP(A1924,Flete!$A:$J,10,0),"")</f>
        <v/>
      </c>
      <c r="P1924" s="8" t="inlineStr">
        <is>
          <t>M3</t>
        </is>
      </c>
      <c r="Q1924" s="10">
        <f>IFERROR(IFERROR(VLOOKUP(A1924,TRAOPE!$A:$U,21,0),VLOOKUP(B1924,TRAOPE!$A:$U,21,0)),"")</f>
        <v/>
      </c>
      <c r="R1924" s="8">
        <f>IFERROR(IFERROR(VLOOKUP(A1924,TRAOPE!$A:$W,23,0),VLOOKUP(B1924,TRAOPE!$A:$W,23,0)),"")</f>
        <v/>
      </c>
      <c r="S1924" s="10">
        <f>IF(AND(P1924="TN",R1924="TN"),N1924+N(O1924),IF(G1924&amp;""="1",N(K1924)*N1924,(N1924+N(O1924))*N(K1924)))</f>
        <v/>
      </c>
      <c r="T1924" s="10">
        <f>IF(Q1924="","",Q1924-S1924)</f>
        <v/>
      </c>
    </row>
    <row r="1925">
      <c r="A1925" s="7">
        <f>CONCATENATE(C1925,E1925,F1925,I1925)</f>
        <v/>
      </c>
      <c r="B1925" s="7">
        <f>CONCATENATE(C1925,E1925,I1925)</f>
        <v/>
      </c>
      <c r="C1925" s="8" t="n">
        <v>900006371</v>
      </c>
      <c r="D1925" s="7">
        <f>IFERROR(VLOOKUP(C1925,TRAOPE!$G:$H,2,0),"")</f>
        <v/>
      </c>
      <c r="E1925" s="8" t="inlineStr">
        <is>
          <t>D836</t>
        </is>
      </c>
      <c r="F1925" s="8" t="inlineStr">
        <is>
          <t>66230098</t>
        </is>
      </c>
      <c r="G1925" s="8">
        <f>IFERROR(VLOOKUP(A1925,Flete!$A:$E,5,0),"")</f>
        <v/>
      </c>
      <c r="H1925" s="7">
        <f>IFERROR(VLOOKUP(F1925,TRAOPE!$AA:$AB,2,0),"")</f>
        <v/>
      </c>
      <c r="I1925" s="7" t="n">
        <v>10000160</v>
      </c>
      <c r="J1925" s="7">
        <f>IFERROR(VLOOKUP(I1925,Materiales!$A:$H,8,0),"")</f>
        <v/>
      </c>
      <c r="K1925" s="9">
        <f>IFERROR(VLOOKUP(I1925,Materiales!$A:$G,7,0),"")</f>
        <v/>
      </c>
      <c r="L1925" s="8" t="inlineStr">
        <is>
          <t>20190426</t>
        </is>
      </c>
      <c r="M1925" s="8" t="inlineStr">
        <is>
          <t>20250127</t>
        </is>
      </c>
      <c r="N1925" s="10" t="n">
        <v>149</v>
      </c>
      <c r="O1925" s="10">
        <f>IFERROR(VLOOKUP(A1925,Flete!$A:$J,10,0),"")</f>
        <v/>
      </c>
      <c r="P1925" s="8" t="inlineStr">
        <is>
          <t>M3</t>
        </is>
      </c>
      <c r="Q1925" s="10">
        <f>IFERROR(IFERROR(VLOOKUP(A1925,TRAOPE!$A:$U,21,0),VLOOKUP(B1925,TRAOPE!$A:$U,21,0)),"")</f>
        <v/>
      </c>
      <c r="R1925" s="8">
        <f>IFERROR(IFERROR(VLOOKUP(A1925,TRAOPE!$A:$W,23,0),VLOOKUP(B1925,TRAOPE!$A:$W,23,0)),"")</f>
        <v/>
      </c>
      <c r="S1925" s="10">
        <f>IF(AND(P1925="TN",R1925="TN"),N1925+N(O1925),IF(G1925&amp;""="1",N(K1925)*N1925,(N1925+N(O1925))*N(K1925)))</f>
        <v/>
      </c>
      <c r="T1925" s="10">
        <f>IF(Q1925="","",Q1925-S1925)</f>
        <v/>
      </c>
    </row>
    <row r="1926">
      <c r="A1926" s="7">
        <f>CONCATENATE(C1926,E1926,F1926,I1926)</f>
        <v/>
      </c>
      <c r="B1926" s="7">
        <f>CONCATENATE(C1926,E1926,I1926)</f>
        <v/>
      </c>
      <c r="C1926" s="8" t="n">
        <v>900006371</v>
      </c>
      <c r="D1926" s="7">
        <f>IFERROR(VLOOKUP(C1926,TRAOPE!$G:$H,2,0),"")</f>
        <v/>
      </c>
      <c r="E1926" s="8" t="inlineStr">
        <is>
          <t>D836</t>
        </is>
      </c>
      <c r="F1926" s="8" t="inlineStr">
        <is>
          <t>66372475</t>
        </is>
      </c>
      <c r="G1926" s="8">
        <f>IFERROR(VLOOKUP(A1926,Flete!$A:$E,5,0),"")</f>
        <v/>
      </c>
      <c r="H1926" s="7">
        <f>IFERROR(VLOOKUP(F1926,TRAOPE!$AA:$AB,2,0),"")</f>
        <v/>
      </c>
      <c r="I1926" s="7" t="n">
        <v>10000160</v>
      </c>
      <c r="J1926" s="7">
        <f>IFERROR(VLOOKUP(I1926,Materiales!$A:$H,8,0),"")</f>
        <v/>
      </c>
      <c r="K1926" s="9">
        <f>IFERROR(VLOOKUP(I1926,Materiales!$A:$G,7,0),"")</f>
        <v/>
      </c>
      <c r="L1926" s="8" t="inlineStr">
        <is>
          <t>20190426</t>
        </is>
      </c>
      <c r="M1926" s="8" t="inlineStr">
        <is>
          <t>20250127</t>
        </is>
      </c>
      <c r="N1926" s="10" t="n">
        <v>95</v>
      </c>
      <c r="O1926" s="10">
        <f>IFERROR(VLOOKUP(A1926,Flete!$A:$J,10,0),"")</f>
        <v/>
      </c>
      <c r="P1926" s="8" t="inlineStr">
        <is>
          <t>M3</t>
        </is>
      </c>
      <c r="Q1926" s="10">
        <f>IFERROR(IFERROR(VLOOKUP(A1926,TRAOPE!$A:$U,21,0),VLOOKUP(B1926,TRAOPE!$A:$U,21,0)),"")</f>
        <v/>
      </c>
      <c r="R1926" s="8">
        <f>IFERROR(IFERROR(VLOOKUP(A1926,TRAOPE!$A:$W,23,0),VLOOKUP(B1926,TRAOPE!$A:$W,23,0)),"")</f>
        <v/>
      </c>
      <c r="S1926" s="10">
        <f>IF(AND(P1926="TN",R1926="TN"),N1926+N(O1926),IF(G1926&amp;""="1",N(K1926)*N1926,(N1926+N(O1926))*N(K1926)))</f>
        <v/>
      </c>
      <c r="T1926" s="10">
        <f>IF(Q1926="","",Q1926-S1926)</f>
        <v/>
      </c>
    </row>
    <row r="1927">
      <c r="A1927" s="7">
        <f>CONCATENATE(C1927,E1927,F1927,I1927)</f>
        <v/>
      </c>
      <c r="B1927" s="7">
        <f>CONCATENATE(C1927,E1927,I1927)</f>
        <v/>
      </c>
      <c r="C1927" s="8" t="n">
        <v>900006371</v>
      </c>
      <c r="D1927" s="7">
        <f>IFERROR(VLOOKUP(C1927,TRAOPE!$G:$H,2,0),"")</f>
        <v/>
      </c>
      <c r="E1927" s="8" t="inlineStr">
        <is>
          <t>D836</t>
        </is>
      </c>
      <c r="F1927" s="8" t="inlineStr">
        <is>
          <t>66372475</t>
        </is>
      </c>
      <c r="G1927" s="8">
        <f>IFERROR(VLOOKUP(A1927,Flete!$A:$E,5,0),"")</f>
        <v/>
      </c>
      <c r="H1927" s="7">
        <f>IFERROR(VLOOKUP(F1927,TRAOPE!$AA:$AB,2,0),"")</f>
        <v/>
      </c>
      <c r="I1927" s="7" t="n">
        <v>10000206</v>
      </c>
      <c r="J1927" s="7">
        <f>IFERROR(VLOOKUP(I1927,Materiales!$A:$H,8,0),"")</f>
        <v/>
      </c>
      <c r="K1927" s="9">
        <f>IFERROR(VLOOKUP(I1927,Materiales!$A:$G,7,0),"")</f>
        <v/>
      </c>
      <c r="L1927" s="8" t="inlineStr">
        <is>
          <t>20190426</t>
        </is>
      </c>
      <c r="M1927" s="8" t="inlineStr">
        <is>
          <t>20250127</t>
        </is>
      </c>
      <c r="N1927" s="10" t="n">
        <v>45</v>
      </c>
      <c r="O1927" s="10">
        <f>IFERROR(VLOOKUP(A1927,Flete!$A:$J,10,0),"")</f>
        <v/>
      </c>
      <c r="P1927" s="8" t="inlineStr">
        <is>
          <t>M3</t>
        </is>
      </c>
      <c r="Q1927" s="10">
        <f>IFERROR(IFERROR(VLOOKUP(A1927,TRAOPE!$A:$U,21,0),VLOOKUP(B1927,TRAOPE!$A:$U,21,0)),"")</f>
        <v/>
      </c>
      <c r="R1927" s="8">
        <f>IFERROR(IFERROR(VLOOKUP(A1927,TRAOPE!$A:$W,23,0),VLOOKUP(B1927,TRAOPE!$A:$W,23,0)),"")</f>
        <v/>
      </c>
      <c r="S1927" s="10">
        <f>IF(AND(P1927="TN",R1927="TN"),N1927+N(O1927),IF(G1927&amp;""="1",N(K1927)*N1927,(N1927+N(O1927))*N(K1927)))</f>
        <v/>
      </c>
      <c r="T1927" s="10">
        <f>IF(Q1927="","",Q1927-S1927)</f>
        <v/>
      </c>
    </row>
    <row r="1928">
      <c r="A1928" s="7">
        <f>CONCATENATE(C1928,E1928,F1928,I1928)</f>
        <v/>
      </c>
      <c r="B1928" s="7">
        <f>CONCATENATE(C1928,E1928,I1928)</f>
        <v/>
      </c>
      <c r="C1928" s="8" t="n">
        <v>900006371</v>
      </c>
      <c r="D1928" s="7">
        <f>IFERROR(VLOOKUP(C1928,TRAOPE!$G:$H,2,0),"")</f>
        <v/>
      </c>
      <c r="E1928" s="8" t="inlineStr">
        <is>
          <t>D836</t>
        </is>
      </c>
      <c r="F1928" s="8" t="inlineStr">
        <is>
          <t>66372475</t>
        </is>
      </c>
      <c r="G1928" s="8">
        <f>IFERROR(VLOOKUP(A1928,Flete!$A:$E,5,0),"")</f>
        <v/>
      </c>
      <c r="H1928" s="7">
        <f>IFERROR(VLOOKUP(F1928,TRAOPE!$AA:$AB,2,0),"")</f>
        <v/>
      </c>
      <c r="I1928" s="7" t="n">
        <v>10000357</v>
      </c>
      <c r="J1928" s="7">
        <f>IFERROR(VLOOKUP(I1928,Materiales!$A:$H,8,0),"")</f>
        <v/>
      </c>
      <c r="K1928" s="9">
        <f>IFERROR(VLOOKUP(I1928,Materiales!$A:$G,7,0),"")</f>
        <v/>
      </c>
      <c r="L1928" s="8" t="inlineStr">
        <is>
          <t>20190426</t>
        </is>
      </c>
      <c r="M1928" s="8" t="inlineStr">
        <is>
          <t>20250127</t>
        </is>
      </c>
      <c r="N1928" s="10" t="n">
        <v>102</v>
      </c>
      <c r="O1928" s="10">
        <f>IFERROR(VLOOKUP(A1928,Flete!$A:$J,10,0),"")</f>
        <v/>
      </c>
      <c r="P1928" s="8" t="inlineStr">
        <is>
          <t>M3</t>
        </is>
      </c>
      <c r="Q1928" s="10">
        <f>IFERROR(IFERROR(VLOOKUP(A1928,TRAOPE!$A:$U,21,0),VLOOKUP(B1928,TRAOPE!$A:$U,21,0)),"")</f>
        <v/>
      </c>
      <c r="R1928" s="8">
        <f>IFERROR(IFERROR(VLOOKUP(A1928,TRAOPE!$A:$W,23,0),VLOOKUP(B1928,TRAOPE!$A:$W,23,0)),"")</f>
        <v/>
      </c>
      <c r="S1928" s="10">
        <f>IF(AND(P1928="TN",R1928="TN"),N1928+N(O1928),IF(G1928&amp;""="1",N(K1928)*N1928,(N1928+N(O1928))*N(K1928)))</f>
        <v/>
      </c>
      <c r="T1928" s="10">
        <f>IF(Q1928="","",Q1928-S1928)</f>
        <v/>
      </c>
    </row>
    <row r="1929">
      <c r="A1929" s="7">
        <f>CONCATENATE(C1929,E1929,F1929,I1929)</f>
        <v/>
      </c>
      <c r="B1929" s="7">
        <f>CONCATENATE(C1929,E1929,I1929)</f>
        <v/>
      </c>
      <c r="C1929" s="8" t="n">
        <v>900006371</v>
      </c>
      <c r="D1929" s="7">
        <f>IFERROR(VLOOKUP(C1929,TRAOPE!$G:$H,2,0),"")</f>
        <v/>
      </c>
      <c r="E1929" s="8" t="inlineStr">
        <is>
          <t>D836</t>
        </is>
      </c>
      <c r="F1929" s="8" t="inlineStr">
        <is>
          <t>66372475</t>
        </is>
      </c>
      <c r="G1929" s="8">
        <f>IFERROR(VLOOKUP(A1929,Flete!$A:$E,5,0),"")</f>
        <v/>
      </c>
      <c r="H1929" s="7">
        <f>IFERROR(VLOOKUP(F1929,TRAOPE!$AA:$AB,2,0),"")</f>
        <v/>
      </c>
      <c r="I1929" s="7" t="n">
        <v>10003132</v>
      </c>
      <c r="J1929" s="7">
        <f>IFERROR(VLOOKUP(I1929,Materiales!$A:$H,8,0),"")</f>
        <v/>
      </c>
      <c r="K1929" s="9">
        <f>IFERROR(VLOOKUP(I1929,Materiales!$A:$G,7,0),"")</f>
        <v/>
      </c>
      <c r="L1929" s="8" t="inlineStr">
        <is>
          <t>20190426</t>
        </is>
      </c>
      <c r="M1929" s="8" t="inlineStr">
        <is>
          <t>20250127</t>
        </is>
      </c>
      <c r="N1929" s="10" t="n">
        <v>135</v>
      </c>
      <c r="O1929" s="10">
        <f>IFERROR(VLOOKUP(A1929,Flete!$A:$J,10,0),"")</f>
        <v/>
      </c>
      <c r="P1929" s="8" t="inlineStr">
        <is>
          <t>M3</t>
        </is>
      </c>
      <c r="Q1929" s="10">
        <f>IFERROR(IFERROR(VLOOKUP(A1929,TRAOPE!$A:$U,21,0),VLOOKUP(B1929,TRAOPE!$A:$U,21,0)),"")</f>
        <v/>
      </c>
      <c r="R1929" s="8">
        <f>IFERROR(IFERROR(VLOOKUP(A1929,TRAOPE!$A:$W,23,0),VLOOKUP(B1929,TRAOPE!$A:$W,23,0)),"")</f>
        <v/>
      </c>
      <c r="S1929" s="10">
        <f>IF(AND(P1929="TN",R1929="TN"),N1929+N(O1929),IF(G1929&amp;""="1",N(K1929)*N1929,(N1929+N(O1929))*N(K1929)))</f>
        <v/>
      </c>
      <c r="T1929" s="10">
        <f>IF(Q1929="","",Q1929-S1929)</f>
        <v/>
      </c>
    </row>
    <row r="1930">
      <c r="A1930" s="7">
        <f>CONCATENATE(C1930,E1930,F1930,I1930)</f>
        <v/>
      </c>
      <c r="B1930" s="7">
        <f>CONCATENATE(C1930,E1930,I1930)</f>
        <v/>
      </c>
      <c r="C1930" s="8" t="n">
        <v>900006371</v>
      </c>
      <c r="D1930" s="7">
        <f>IFERROR(VLOOKUP(C1930,TRAOPE!$G:$H,2,0),"")</f>
        <v/>
      </c>
      <c r="E1930" s="8" t="inlineStr">
        <is>
          <t>D836</t>
        </is>
      </c>
      <c r="F1930" s="8" t="inlineStr">
        <is>
          <t>66433509</t>
        </is>
      </c>
      <c r="G1930" s="8">
        <f>IFERROR(VLOOKUP(A1930,Flete!$A:$E,5,0),"")</f>
        <v/>
      </c>
      <c r="H1930" s="7">
        <f>IFERROR(VLOOKUP(F1930,TRAOPE!$AA:$AB,2,0),"")</f>
        <v/>
      </c>
      <c r="I1930" s="7" t="n">
        <v>10000160</v>
      </c>
      <c r="J1930" s="7">
        <f>IFERROR(VLOOKUP(I1930,Materiales!$A:$H,8,0),"")</f>
        <v/>
      </c>
      <c r="K1930" s="9">
        <f>IFERROR(VLOOKUP(I1930,Materiales!$A:$G,7,0),"")</f>
        <v/>
      </c>
      <c r="L1930" s="8" t="inlineStr">
        <is>
          <t>20190426</t>
        </is>
      </c>
      <c r="M1930" s="8" t="inlineStr">
        <is>
          <t>20250127</t>
        </is>
      </c>
      <c r="N1930" s="10" t="n">
        <v>86</v>
      </c>
      <c r="O1930" s="10">
        <f>IFERROR(VLOOKUP(A1930,Flete!$A:$J,10,0),"")</f>
        <v/>
      </c>
      <c r="P1930" s="8" t="inlineStr">
        <is>
          <t>M3</t>
        </is>
      </c>
      <c r="Q1930" s="10">
        <f>IFERROR(IFERROR(VLOOKUP(A1930,TRAOPE!$A:$U,21,0),VLOOKUP(B1930,TRAOPE!$A:$U,21,0)),"")</f>
        <v/>
      </c>
      <c r="R1930" s="8">
        <f>IFERROR(IFERROR(VLOOKUP(A1930,TRAOPE!$A:$W,23,0),VLOOKUP(B1930,TRAOPE!$A:$W,23,0)),"")</f>
        <v/>
      </c>
      <c r="S1930" s="10">
        <f>IF(AND(P1930="TN",R1930="TN"),N1930+N(O1930),IF(G1930&amp;""="1",N(K1930)*N1930,(N1930+N(O1930))*N(K1930)))</f>
        <v/>
      </c>
      <c r="T1930" s="10">
        <f>IF(Q1930="","",Q1930-S1930)</f>
        <v/>
      </c>
    </row>
    <row r="1931">
      <c r="A1931" s="7">
        <f>CONCATENATE(C1931,E1931,F1931,I1931)</f>
        <v/>
      </c>
      <c r="B1931" s="7">
        <f>CONCATENATE(C1931,E1931,I1931)</f>
        <v/>
      </c>
      <c r="C1931" s="8" t="n">
        <v>900006371</v>
      </c>
      <c r="D1931" s="7">
        <f>IFERROR(VLOOKUP(C1931,TRAOPE!$G:$H,2,0),"")</f>
        <v/>
      </c>
      <c r="E1931" s="8" t="inlineStr">
        <is>
          <t>D836</t>
        </is>
      </c>
      <c r="F1931" s="8" t="inlineStr">
        <is>
          <t>66433509</t>
        </is>
      </c>
      <c r="G1931" s="8">
        <f>IFERROR(VLOOKUP(A1931,Flete!$A:$E,5,0),"")</f>
        <v/>
      </c>
      <c r="H1931" s="7">
        <f>IFERROR(VLOOKUP(F1931,TRAOPE!$AA:$AB,2,0),"")</f>
        <v/>
      </c>
      <c r="I1931" s="7" t="n">
        <v>10000357</v>
      </c>
      <c r="J1931" s="7">
        <f>IFERROR(VLOOKUP(I1931,Materiales!$A:$H,8,0),"")</f>
        <v/>
      </c>
      <c r="K1931" s="9">
        <f>IFERROR(VLOOKUP(I1931,Materiales!$A:$G,7,0),"")</f>
        <v/>
      </c>
      <c r="L1931" s="8" t="inlineStr">
        <is>
          <t>20190426</t>
        </is>
      </c>
      <c r="M1931" s="8" t="inlineStr">
        <is>
          <t>20250127</t>
        </is>
      </c>
      <c r="N1931" s="10" t="n">
        <v>100</v>
      </c>
      <c r="O1931" s="10">
        <f>IFERROR(VLOOKUP(A1931,Flete!$A:$J,10,0),"")</f>
        <v/>
      </c>
      <c r="P1931" s="8" t="inlineStr">
        <is>
          <t>M3</t>
        </is>
      </c>
      <c r="Q1931" s="10">
        <f>IFERROR(IFERROR(VLOOKUP(A1931,TRAOPE!$A:$U,21,0),VLOOKUP(B1931,TRAOPE!$A:$U,21,0)),"")</f>
        <v/>
      </c>
      <c r="R1931" s="8">
        <f>IFERROR(IFERROR(VLOOKUP(A1931,TRAOPE!$A:$W,23,0),VLOOKUP(B1931,TRAOPE!$A:$W,23,0)),"")</f>
        <v/>
      </c>
      <c r="S1931" s="10">
        <f>IF(AND(P1931="TN",R1931="TN"),N1931+N(O1931),IF(G1931&amp;""="1",N(K1931)*N1931,(N1931+N(O1931))*N(K1931)))</f>
        <v/>
      </c>
      <c r="T1931" s="10">
        <f>IF(Q1931="","",Q1931-S1931)</f>
        <v/>
      </c>
    </row>
    <row r="1932">
      <c r="A1932" s="7">
        <f>CONCATENATE(C1932,E1932,F1932,I1932)</f>
        <v/>
      </c>
      <c r="B1932" s="7">
        <f>CONCATENATE(C1932,E1932,I1932)</f>
        <v/>
      </c>
      <c r="C1932" s="8" t="n">
        <v>900006371</v>
      </c>
      <c r="D1932" s="7">
        <f>IFERROR(VLOOKUP(C1932,TRAOPE!$G:$H,2,0),"")</f>
        <v/>
      </c>
      <c r="E1932" s="8" t="inlineStr">
        <is>
          <t>D836</t>
        </is>
      </c>
      <c r="F1932" s="8" t="inlineStr">
        <is>
          <t>66450072</t>
        </is>
      </c>
      <c r="G1932" s="8">
        <f>IFERROR(VLOOKUP(A1932,Flete!$A:$E,5,0),"")</f>
        <v/>
      </c>
      <c r="H1932" s="7">
        <f>IFERROR(VLOOKUP(F1932,TRAOPE!$AA:$AB,2,0),"")</f>
        <v/>
      </c>
      <c r="I1932" s="7" t="n">
        <v>10000160</v>
      </c>
      <c r="J1932" s="7">
        <f>IFERROR(VLOOKUP(I1932,Materiales!$A:$H,8,0),"")</f>
        <v/>
      </c>
      <c r="K1932" s="9">
        <f>IFERROR(VLOOKUP(I1932,Materiales!$A:$G,7,0),"")</f>
        <v/>
      </c>
      <c r="L1932" s="8" t="inlineStr">
        <is>
          <t>20190426</t>
        </is>
      </c>
      <c r="M1932" s="8" t="inlineStr">
        <is>
          <t>20250127</t>
        </is>
      </c>
      <c r="N1932" s="10" t="n">
        <v>149</v>
      </c>
      <c r="O1932" s="10">
        <f>IFERROR(VLOOKUP(A1932,Flete!$A:$J,10,0),"")</f>
        <v/>
      </c>
      <c r="P1932" s="8" t="inlineStr">
        <is>
          <t>M3</t>
        </is>
      </c>
      <c r="Q1932" s="10">
        <f>IFERROR(IFERROR(VLOOKUP(A1932,TRAOPE!$A:$U,21,0),VLOOKUP(B1932,TRAOPE!$A:$U,21,0)),"")</f>
        <v/>
      </c>
      <c r="R1932" s="8">
        <f>IFERROR(IFERROR(VLOOKUP(A1932,TRAOPE!$A:$W,23,0),VLOOKUP(B1932,TRAOPE!$A:$W,23,0)),"")</f>
        <v/>
      </c>
      <c r="S1932" s="10">
        <f>IF(AND(P1932="TN",R1932="TN"),N1932+N(O1932),IF(G1932&amp;""="1",N(K1932)*N1932,(N1932+N(O1932))*N(K1932)))</f>
        <v/>
      </c>
      <c r="T1932" s="10">
        <f>IF(Q1932="","",Q1932-S1932)</f>
        <v/>
      </c>
    </row>
    <row r="1933">
      <c r="A1933" s="7">
        <f>CONCATENATE(C1933,E1933,F1933,I1933)</f>
        <v/>
      </c>
      <c r="B1933" s="7">
        <f>CONCATENATE(C1933,E1933,I1933)</f>
        <v/>
      </c>
      <c r="C1933" s="8" t="n">
        <v>900006371</v>
      </c>
      <c r="D1933" s="7">
        <f>IFERROR(VLOOKUP(C1933,TRAOPE!$G:$H,2,0),"")</f>
        <v/>
      </c>
      <c r="E1933" s="8" t="inlineStr">
        <is>
          <t>D836</t>
        </is>
      </c>
      <c r="F1933" s="8" t="inlineStr">
        <is>
          <t>66800346</t>
        </is>
      </c>
      <c r="G1933" s="8">
        <f>IFERROR(VLOOKUP(A1933,Flete!$A:$E,5,0),"")</f>
        <v/>
      </c>
      <c r="H1933" s="7">
        <f>IFERROR(VLOOKUP(F1933,TRAOPE!$AA:$AB,2,0),"")</f>
        <v/>
      </c>
      <c r="I1933" s="7" t="n">
        <v>10000313</v>
      </c>
      <c r="J1933" s="7">
        <f>IFERROR(VLOOKUP(I1933,Materiales!$A:$H,8,0),"")</f>
        <v/>
      </c>
      <c r="K1933" s="9">
        <f>IFERROR(VLOOKUP(I1933,Materiales!$A:$G,7,0),"")</f>
        <v/>
      </c>
      <c r="L1933" s="8" t="inlineStr">
        <is>
          <t>20190426</t>
        </is>
      </c>
      <c r="M1933" s="8" t="inlineStr">
        <is>
          <t>20250127</t>
        </is>
      </c>
      <c r="N1933" s="10" t="n">
        <v>445</v>
      </c>
      <c r="O1933" s="10">
        <f>IFERROR(VLOOKUP(A1933,Flete!$A:$J,10,0),"")</f>
        <v/>
      </c>
      <c r="P1933" s="8" t="inlineStr">
        <is>
          <t>M3</t>
        </is>
      </c>
      <c r="Q1933" s="10">
        <f>IFERROR(IFERROR(VLOOKUP(A1933,TRAOPE!$A:$U,21,0),VLOOKUP(B1933,TRAOPE!$A:$U,21,0)),"")</f>
        <v/>
      </c>
      <c r="R1933" s="8">
        <f>IFERROR(IFERROR(VLOOKUP(A1933,TRAOPE!$A:$W,23,0),VLOOKUP(B1933,TRAOPE!$A:$W,23,0)),"")</f>
        <v/>
      </c>
      <c r="S1933" s="10">
        <f>IF(AND(P1933="TN",R1933="TN"),N1933+N(O1933),IF(G1933&amp;""="1",N(K1933)*N1933,(N1933+N(O1933))*N(K1933)))</f>
        <v/>
      </c>
      <c r="T1933" s="10">
        <f>IF(Q1933="","",Q1933-S1933)</f>
        <v/>
      </c>
    </row>
    <row r="1934">
      <c r="A1934" s="7">
        <f>CONCATENATE(C1934,E1934,F1934,I1934)</f>
        <v/>
      </c>
      <c r="B1934" s="7">
        <f>CONCATENATE(C1934,E1934,I1934)</f>
        <v/>
      </c>
      <c r="C1934" s="8" t="n">
        <v>900006371</v>
      </c>
      <c r="D1934" s="7">
        <f>IFERROR(VLOOKUP(C1934,TRAOPE!$G:$H,2,0),"")</f>
        <v/>
      </c>
      <c r="E1934" s="8" t="inlineStr">
        <is>
          <t>D836</t>
        </is>
      </c>
      <c r="F1934" s="8" t="inlineStr">
        <is>
          <t>66982658</t>
        </is>
      </c>
      <c r="G1934" s="8">
        <f>IFERROR(VLOOKUP(A1934,Flete!$A:$E,5,0),"")</f>
        <v/>
      </c>
      <c r="H1934" s="7">
        <f>IFERROR(VLOOKUP(F1934,TRAOPE!$AA:$AB,2,0),"")</f>
        <v/>
      </c>
      <c r="I1934" s="7" t="n">
        <v>10000160</v>
      </c>
      <c r="J1934" s="7">
        <f>IFERROR(VLOOKUP(I1934,Materiales!$A:$H,8,0),"")</f>
        <v/>
      </c>
      <c r="K1934" s="9">
        <f>IFERROR(VLOOKUP(I1934,Materiales!$A:$G,7,0),"")</f>
        <v/>
      </c>
      <c r="L1934" s="8" t="inlineStr">
        <is>
          <t>20190426</t>
        </is>
      </c>
      <c r="M1934" s="8" t="inlineStr">
        <is>
          <t>20250127</t>
        </is>
      </c>
      <c r="N1934" s="10" t="n">
        <v>95</v>
      </c>
      <c r="O1934" s="10">
        <f>IFERROR(VLOOKUP(A1934,Flete!$A:$J,10,0),"")</f>
        <v/>
      </c>
      <c r="P1934" s="8" t="inlineStr">
        <is>
          <t>M3</t>
        </is>
      </c>
      <c r="Q1934" s="10">
        <f>IFERROR(IFERROR(VLOOKUP(A1934,TRAOPE!$A:$U,21,0),VLOOKUP(B1934,TRAOPE!$A:$U,21,0)),"")</f>
        <v/>
      </c>
      <c r="R1934" s="8">
        <f>IFERROR(IFERROR(VLOOKUP(A1934,TRAOPE!$A:$W,23,0),VLOOKUP(B1934,TRAOPE!$A:$W,23,0)),"")</f>
        <v/>
      </c>
      <c r="S1934" s="10">
        <f>IF(AND(P1934="TN",R1934="TN"),N1934+N(O1934),IF(G1934&amp;""="1",N(K1934)*N1934,(N1934+N(O1934))*N(K1934)))</f>
        <v/>
      </c>
      <c r="T1934" s="10">
        <f>IF(Q1934="","",Q1934-S1934)</f>
        <v/>
      </c>
    </row>
    <row r="1935">
      <c r="A1935" s="7">
        <f>CONCATENATE(C1935,E1935,F1935,I1935)</f>
        <v/>
      </c>
      <c r="B1935" s="7">
        <f>CONCATENATE(C1935,E1935,I1935)</f>
        <v/>
      </c>
      <c r="C1935" s="8" t="n">
        <v>900006371</v>
      </c>
      <c r="D1935" s="7">
        <f>IFERROR(VLOOKUP(C1935,TRAOPE!$G:$H,2,0),"")</f>
        <v/>
      </c>
      <c r="E1935" s="8" t="inlineStr">
        <is>
          <t>D836</t>
        </is>
      </c>
      <c r="F1935" s="8" t="inlineStr">
        <is>
          <t>66982658</t>
        </is>
      </c>
      <c r="G1935" s="8">
        <f>IFERROR(VLOOKUP(A1935,Flete!$A:$E,5,0),"")</f>
        <v/>
      </c>
      <c r="H1935" s="7">
        <f>IFERROR(VLOOKUP(F1935,TRAOPE!$AA:$AB,2,0),"")</f>
        <v/>
      </c>
      <c r="I1935" s="7" t="n">
        <v>10000206</v>
      </c>
      <c r="J1935" s="7">
        <f>IFERROR(VLOOKUP(I1935,Materiales!$A:$H,8,0),"")</f>
        <v/>
      </c>
      <c r="K1935" s="9">
        <f>IFERROR(VLOOKUP(I1935,Materiales!$A:$G,7,0),"")</f>
        <v/>
      </c>
      <c r="L1935" s="8" t="inlineStr">
        <is>
          <t>20190426</t>
        </is>
      </c>
      <c r="M1935" s="8" t="inlineStr">
        <is>
          <t>20250127</t>
        </is>
      </c>
      <c r="N1935" s="10" t="n">
        <v>45</v>
      </c>
      <c r="O1935" s="10">
        <f>IFERROR(VLOOKUP(A1935,Flete!$A:$J,10,0),"")</f>
        <v/>
      </c>
      <c r="P1935" s="8" t="inlineStr">
        <is>
          <t>M3</t>
        </is>
      </c>
      <c r="Q1935" s="10">
        <f>IFERROR(IFERROR(VLOOKUP(A1935,TRAOPE!$A:$U,21,0),VLOOKUP(B1935,TRAOPE!$A:$U,21,0)),"")</f>
        <v/>
      </c>
      <c r="R1935" s="8">
        <f>IFERROR(IFERROR(VLOOKUP(A1935,TRAOPE!$A:$W,23,0),VLOOKUP(B1935,TRAOPE!$A:$W,23,0)),"")</f>
        <v/>
      </c>
      <c r="S1935" s="10">
        <f>IF(AND(P1935="TN",R1935="TN"),N1935+N(O1935),IF(G1935&amp;""="1",N(K1935)*N1935,(N1935+N(O1935))*N(K1935)))</f>
        <v/>
      </c>
      <c r="T1935" s="10">
        <f>IF(Q1935="","",Q1935-S1935)</f>
        <v/>
      </c>
    </row>
    <row r="1936">
      <c r="A1936" s="7">
        <f>CONCATENATE(C1936,E1936,F1936,I1936)</f>
        <v/>
      </c>
      <c r="B1936" s="7">
        <f>CONCATENATE(C1936,E1936,I1936)</f>
        <v/>
      </c>
      <c r="C1936" s="8" t="n">
        <v>900006371</v>
      </c>
      <c r="D1936" s="7">
        <f>IFERROR(VLOOKUP(C1936,TRAOPE!$G:$H,2,0),"")</f>
        <v/>
      </c>
      <c r="E1936" s="8" t="inlineStr">
        <is>
          <t>D836</t>
        </is>
      </c>
      <c r="F1936" s="8" t="inlineStr">
        <is>
          <t>66982658</t>
        </is>
      </c>
      <c r="G1936" s="8">
        <f>IFERROR(VLOOKUP(A1936,Flete!$A:$E,5,0),"")</f>
        <v/>
      </c>
      <c r="H1936" s="7">
        <f>IFERROR(VLOOKUP(F1936,TRAOPE!$AA:$AB,2,0),"")</f>
        <v/>
      </c>
      <c r="I1936" s="7" t="n">
        <v>10000357</v>
      </c>
      <c r="J1936" s="7">
        <f>IFERROR(VLOOKUP(I1936,Materiales!$A:$H,8,0),"")</f>
        <v/>
      </c>
      <c r="K1936" s="9">
        <f>IFERROR(VLOOKUP(I1936,Materiales!$A:$G,7,0),"")</f>
        <v/>
      </c>
      <c r="L1936" s="8" t="inlineStr">
        <is>
          <t>20190426</t>
        </is>
      </c>
      <c r="M1936" s="8" t="inlineStr">
        <is>
          <t>20250127</t>
        </is>
      </c>
      <c r="N1936" s="10" t="n">
        <v>102</v>
      </c>
      <c r="O1936" s="10">
        <f>IFERROR(VLOOKUP(A1936,Flete!$A:$J,10,0),"")</f>
        <v/>
      </c>
      <c r="P1936" s="8" t="inlineStr">
        <is>
          <t>M3</t>
        </is>
      </c>
      <c r="Q1936" s="10">
        <f>IFERROR(IFERROR(VLOOKUP(A1936,TRAOPE!$A:$U,21,0),VLOOKUP(B1936,TRAOPE!$A:$U,21,0)),"")</f>
        <v/>
      </c>
      <c r="R1936" s="8">
        <f>IFERROR(IFERROR(VLOOKUP(A1936,TRAOPE!$A:$W,23,0),VLOOKUP(B1936,TRAOPE!$A:$W,23,0)),"")</f>
        <v/>
      </c>
      <c r="S1936" s="10">
        <f>IF(AND(P1936="TN",R1936="TN"),N1936+N(O1936),IF(G1936&amp;""="1",N(K1936)*N1936,(N1936+N(O1936))*N(K1936)))</f>
        <v/>
      </c>
      <c r="T1936" s="10">
        <f>IF(Q1936="","",Q1936-S1936)</f>
        <v/>
      </c>
    </row>
    <row r="1937">
      <c r="A1937" s="7">
        <f>CONCATENATE(C1937,E1937,F1937,I1937)</f>
        <v/>
      </c>
      <c r="B1937" s="7">
        <f>CONCATENATE(C1937,E1937,I1937)</f>
        <v/>
      </c>
      <c r="C1937" s="8" t="n">
        <v>900006371</v>
      </c>
      <c r="D1937" s="7">
        <f>IFERROR(VLOOKUP(C1937,TRAOPE!$G:$H,2,0),"")</f>
        <v/>
      </c>
      <c r="E1937" s="8" t="inlineStr">
        <is>
          <t>D836</t>
        </is>
      </c>
      <c r="F1937" s="8" t="inlineStr">
        <is>
          <t>66982658</t>
        </is>
      </c>
      <c r="G1937" s="8">
        <f>IFERROR(VLOOKUP(A1937,Flete!$A:$E,5,0),"")</f>
        <v/>
      </c>
      <c r="H1937" s="7">
        <f>IFERROR(VLOOKUP(F1937,TRAOPE!$AA:$AB,2,0),"")</f>
        <v/>
      </c>
      <c r="I1937" s="7" t="n">
        <v>10003132</v>
      </c>
      <c r="J1937" s="7">
        <f>IFERROR(VLOOKUP(I1937,Materiales!$A:$H,8,0),"")</f>
        <v/>
      </c>
      <c r="K1937" s="9">
        <f>IFERROR(VLOOKUP(I1937,Materiales!$A:$G,7,0),"")</f>
        <v/>
      </c>
      <c r="L1937" s="8" t="inlineStr">
        <is>
          <t>20190426</t>
        </is>
      </c>
      <c r="M1937" s="8" t="inlineStr">
        <is>
          <t>20250127</t>
        </is>
      </c>
      <c r="N1937" s="10" t="n">
        <v>135</v>
      </c>
      <c r="O1937" s="10">
        <f>IFERROR(VLOOKUP(A1937,Flete!$A:$J,10,0),"")</f>
        <v/>
      </c>
      <c r="P1937" s="8" t="inlineStr">
        <is>
          <t>M3</t>
        </is>
      </c>
      <c r="Q1937" s="10">
        <f>IFERROR(IFERROR(VLOOKUP(A1937,TRAOPE!$A:$U,21,0),VLOOKUP(B1937,TRAOPE!$A:$U,21,0)),"")</f>
        <v/>
      </c>
      <c r="R1937" s="8">
        <f>IFERROR(IFERROR(VLOOKUP(A1937,TRAOPE!$A:$W,23,0),VLOOKUP(B1937,TRAOPE!$A:$W,23,0)),"")</f>
        <v/>
      </c>
      <c r="S1937" s="10">
        <f>IF(AND(P1937="TN",R1937="TN"),N1937+N(O1937),IF(G1937&amp;""="1",N(K1937)*N1937,(N1937+N(O1937))*N(K1937)))</f>
        <v/>
      </c>
      <c r="T1937" s="10">
        <f>IF(Q1937="","",Q1937-S1937)</f>
        <v/>
      </c>
    </row>
    <row r="1938">
      <c r="A1938" s="7">
        <f>CONCATENATE(C1938,E1938,F1938,I1938)</f>
        <v/>
      </c>
      <c r="B1938" s="7">
        <f>CONCATENATE(C1938,E1938,I1938)</f>
        <v/>
      </c>
      <c r="C1938" s="8" t="n">
        <v>900006371</v>
      </c>
      <c r="D1938" s="7">
        <f>IFERROR(VLOOKUP(C1938,TRAOPE!$G:$H,2,0),"")</f>
        <v/>
      </c>
      <c r="E1938" s="8" t="inlineStr">
        <is>
          <t>D836</t>
        </is>
      </c>
      <c r="F1938" s="8" t="inlineStr">
        <is>
          <t>67012505</t>
        </is>
      </c>
      <c r="G1938" s="8">
        <f>IFERROR(VLOOKUP(A1938,Flete!$A:$E,5,0),"")</f>
        <v/>
      </c>
      <c r="H1938" s="7">
        <f>IFERROR(VLOOKUP(F1938,TRAOPE!$AA:$AB,2,0),"")</f>
        <v/>
      </c>
      <c r="I1938" s="7" t="n">
        <v>10145835</v>
      </c>
      <c r="J1938" s="7">
        <f>IFERROR(VLOOKUP(I1938,Materiales!$A:$H,8,0),"")</f>
        <v/>
      </c>
      <c r="K1938" s="9">
        <f>IFERROR(VLOOKUP(I1938,Materiales!$A:$G,7,0),"")</f>
        <v/>
      </c>
      <c r="L1938" s="8" t="inlineStr">
        <is>
          <t>20190426</t>
        </is>
      </c>
      <c r="M1938" s="8" t="inlineStr">
        <is>
          <t>20250127</t>
        </is>
      </c>
      <c r="N1938" s="10" t="n">
        <v>240</v>
      </c>
      <c r="O1938" s="10">
        <f>IFERROR(VLOOKUP(A1938,Flete!$A:$J,10,0),"")</f>
        <v/>
      </c>
      <c r="P1938" s="8" t="inlineStr">
        <is>
          <t>M3</t>
        </is>
      </c>
      <c r="Q1938" s="10">
        <f>IFERROR(IFERROR(VLOOKUP(A1938,TRAOPE!$A:$U,21,0),VLOOKUP(B1938,TRAOPE!$A:$U,21,0)),"")</f>
        <v/>
      </c>
      <c r="R1938" s="8">
        <f>IFERROR(IFERROR(VLOOKUP(A1938,TRAOPE!$A:$W,23,0),VLOOKUP(B1938,TRAOPE!$A:$W,23,0)),"")</f>
        <v/>
      </c>
      <c r="S1938" s="10">
        <f>IF(AND(P1938="TN",R1938="TN"),N1938+N(O1938),IF(G1938&amp;""="1",N(K1938)*N1938,(N1938+N(O1938))*N(K1938)))</f>
        <v/>
      </c>
      <c r="T1938" s="10">
        <f>IF(Q1938="","",Q1938-S1938)</f>
        <v/>
      </c>
    </row>
    <row r="1939">
      <c r="A1939" s="7">
        <f>CONCATENATE(C1939,E1939,F1939,I1939)</f>
        <v/>
      </c>
      <c r="B1939" s="7">
        <f>CONCATENATE(C1939,E1939,I1939)</f>
        <v/>
      </c>
      <c r="C1939" s="8" t="n">
        <v>900006371</v>
      </c>
      <c r="D1939" s="7">
        <f>IFERROR(VLOOKUP(C1939,TRAOPE!$G:$H,2,0),"")</f>
        <v/>
      </c>
      <c r="E1939" s="8" t="inlineStr">
        <is>
          <t>D836</t>
        </is>
      </c>
      <c r="F1939" s="8" t="inlineStr">
        <is>
          <t>67019802</t>
        </is>
      </c>
      <c r="G1939" s="8">
        <f>IFERROR(VLOOKUP(A1939,Flete!$A:$E,5,0),"")</f>
        <v/>
      </c>
      <c r="H1939" s="7">
        <f>IFERROR(VLOOKUP(F1939,TRAOPE!$AA:$AB,2,0),"")</f>
        <v/>
      </c>
      <c r="I1939" s="7" t="n">
        <v>10000287</v>
      </c>
      <c r="J1939" s="7">
        <f>IFERROR(VLOOKUP(I1939,Materiales!$A:$H,8,0),"")</f>
        <v/>
      </c>
      <c r="K1939" s="9">
        <f>IFERROR(VLOOKUP(I1939,Materiales!$A:$G,7,0),"")</f>
        <v/>
      </c>
      <c r="L1939" s="8" t="inlineStr">
        <is>
          <t>20190426</t>
        </is>
      </c>
      <c r="M1939" s="8" t="inlineStr">
        <is>
          <t>20250127</t>
        </is>
      </c>
      <c r="N1939" s="10" t="n">
        <v>296</v>
      </c>
      <c r="O1939" s="10">
        <f>IFERROR(VLOOKUP(A1939,Flete!$A:$J,10,0),"")</f>
        <v/>
      </c>
      <c r="P1939" s="8" t="inlineStr">
        <is>
          <t>M3</t>
        </is>
      </c>
      <c r="Q1939" s="10">
        <f>IFERROR(IFERROR(VLOOKUP(A1939,TRAOPE!$A:$U,21,0),VLOOKUP(B1939,TRAOPE!$A:$U,21,0)),"")</f>
        <v/>
      </c>
      <c r="R1939" s="8">
        <f>IFERROR(IFERROR(VLOOKUP(A1939,TRAOPE!$A:$W,23,0),VLOOKUP(B1939,TRAOPE!$A:$W,23,0)),"")</f>
        <v/>
      </c>
      <c r="S1939" s="10">
        <f>IF(AND(P1939="TN",R1939="TN"),N1939+N(O1939),IF(G1939&amp;""="1",N(K1939)*N1939,(N1939+N(O1939))*N(K1939)))</f>
        <v/>
      </c>
      <c r="T1939" s="10">
        <f>IF(Q1939="","",Q1939-S1939)</f>
        <v/>
      </c>
    </row>
    <row r="1940">
      <c r="A1940" s="7">
        <f>CONCATENATE(C1940,E1940,F1940,I1940)</f>
        <v/>
      </c>
      <c r="B1940" s="7">
        <f>CONCATENATE(C1940,E1940,I1940)</f>
        <v/>
      </c>
      <c r="C1940" s="8" t="n">
        <v>900006371</v>
      </c>
      <c r="D1940" s="7">
        <f>IFERROR(VLOOKUP(C1940,TRAOPE!$G:$H,2,0),"")</f>
        <v/>
      </c>
      <c r="E1940" s="8" t="inlineStr">
        <is>
          <t>D836</t>
        </is>
      </c>
      <c r="F1940" s="8" t="inlineStr">
        <is>
          <t>67091004</t>
        </is>
      </c>
      <c r="G1940" s="8">
        <f>IFERROR(VLOOKUP(A1940,Flete!$A:$E,5,0),"")</f>
        <v/>
      </c>
      <c r="H1940" s="7">
        <f>IFERROR(VLOOKUP(F1940,TRAOPE!$AA:$AB,2,0),"")</f>
        <v/>
      </c>
      <c r="I1940" s="7" t="n">
        <v>10000160</v>
      </c>
      <c r="J1940" s="7">
        <f>IFERROR(VLOOKUP(I1940,Materiales!$A:$H,8,0),"")</f>
        <v/>
      </c>
      <c r="K1940" s="9">
        <f>IFERROR(VLOOKUP(I1940,Materiales!$A:$G,7,0),"")</f>
        <v/>
      </c>
      <c r="L1940" s="8" t="inlineStr">
        <is>
          <t>20190426</t>
        </is>
      </c>
      <c r="M1940" s="8" t="inlineStr">
        <is>
          <t>20250127</t>
        </is>
      </c>
      <c r="N1940" s="10" t="n">
        <v>97</v>
      </c>
      <c r="O1940" s="10">
        <f>IFERROR(VLOOKUP(A1940,Flete!$A:$J,10,0),"")</f>
        <v/>
      </c>
      <c r="P1940" s="8" t="inlineStr">
        <is>
          <t>M3</t>
        </is>
      </c>
      <c r="Q1940" s="10">
        <f>IFERROR(IFERROR(VLOOKUP(A1940,TRAOPE!$A:$U,21,0),VLOOKUP(B1940,TRAOPE!$A:$U,21,0)),"")</f>
        <v/>
      </c>
      <c r="R1940" s="8">
        <f>IFERROR(IFERROR(VLOOKUP(A1940,TRAOPE!$A:$W,23,0),VLOOKUP(B1940,TRAOPE!$A:$W,23,0)),"")</f>
        <v/>
      </c>
      <c r="S1940" s="10">
        <f>IF(AND(P1940="TN",R1940="TN"),N1940+N(O1940),IF(G1940&amp;""="1",N(K1940)*N1940,(N1940+N(O1940))*N(K1940)))</f>
        <v/>
      </c>
      <c r="T1940" s="10">
        <f>IF(Q1940="","",Q1940-S1940)</f>
        <v/>
      </c>
    </row>
    <row r="1941">
      <c r="A1941" s="7">
        <f>CONCATENATE(C1941,E1941,F1941,I1941)</f>
        <v/>
      </c>
      <c r="B1941" s="7">
        <f>CONCATENATE(C1941,E1941,I1941)</f>
        <v/>
      </c>
      <c r="C1941" s="8" t="n">
        <v>900006371</v>
      </c>
      <c r="D1941" s="7">
        <f>IFERROR(VLOOKUP(C1941,TRAOPE!$G:$H,2,0),"")</f>
        <v/>
      </c>
      <c r="E1941" s="8" t="inlineStr">
        <is>
          <t>D836</t>
        </is>
      </c>
      <c r="F1941" s="8" t="inlineStr">
        <is>
          <t>67091004</t>
        </is>
      </c>
      <c r="G1941" s="8">
        <f>IFERROR(VLOOKUP(A1941,Flete!$A:$E,5,0),"")</f>
        <v/>
      </c>
      <c r="H1941" s="7">
        <f>IFERROR(VLOOKUP(F1941,TRAOPE!$AA:$AB,2,0),"")</f>
        <v/>
      </c>
      <c r="I1941" s="7" t="n">
        <v>10000357</v>
      </c>
      <c r="J1941" s="7">
        <f>IFERROR(VLOOKUP(I1941,Materiales!$A:$H,8,0),"")</f>
        <v/>
      </c>
      <c r="K1941" s="9">
        <f>IFERROR(VLOOKUP(I1941,Materiales!$A:$G,7,0),"")</f>
        <v/>
      </c>
      <c r="L1941" s="8" t="inlineStr">
        <is>
          <t>20190426</t>
        </is>
      </c>
      <c r="M1941" s="8" t="inlineStr">
        <is>
          <t>20250127</t>
        </is>
      </c>
      <c r="N1941" s="10" t="n">
        <v>115</v>
      </c>
      <c r="O1941" s="10">
        <f>IFERROR(VLOOKUP(A1941,Flete!$A:$J,10,0),"")</f>
        <v/>
      </c>
      <c r="P1941" s="8" t="inlineStr">
        <is>
          <t>M3</t>
        </is>
      </c>
      <c r="Q1941" s="10">
        <f>IFERROR(IFERROR(VLOOKUP(A1941,TRAOPE!$A:$U,21,0),VLOOKUP(B1941,TRAOPE!$A:$U,21,0)),"")</f>
        <v/>
      </c>
      <c r="R1941" s="8">
        <f>IFERROR(IFERROR(VLOOKUP(A1941,TRAOPE!$A:$W,23,0),VLOOKUP(B1941,TRAOPE!$A:$W,23,0)),"")</f>
        <v/>
      </c>
      <c r="S1941" s="10">
        <f>IF(AND(P1941="TN",R1941="TN"),N1941+N(O1941),IF(G1941&amp;""="1",N(K1941)*N1941,(N1941+N(O1941))*N(K1941)))</f>
        <v/>
      </c>
      <c r="T1941" s="10">
        <f>IF(Q1941="","",Q1941-S1941)</f>
        <v/>
      </c>
    </row>
    <row r="1942">
      <c r="A1942" s="7">
        <f>CONCATENATE(C1942,E1942,F1942,I1942)</f>
        <v/>
      </c>
      <c r="B1942" s="7">
        <f>CONCATENATE(C1942,E1942,I1942)</f>
        <v/>
      </c>
      <c r="C1942" s="8" t="n">
        <v>900006371</v>
      </c>
      <c r="D1942" s="7">
        <f>IFERROR(VLOOKUP(C1942,TRAOPE!$G:$H,2,0),"")</f>
        <v/>
      </c>
      <c r="E1942" s="8" t="inlineStr">
        <is>
          <t>D836</t>
        </is>
      </c>
      <c r="F1942" s="8" t="inlineStr">
        <is>
          <t>67091004</t>
        </is>
      </c>
      <c r="G1942" s="8">
        <f>IFERROR(VLOOKUP(A1942,Flete!$A:$E,5,0),"")</f>
        <v/>
      </c>
      <c r="H1942" s="7">
        <f>IFERROR(VLOOKUP(F1942,TRAOPE!$AA:$AB,2,0),"")</f>
        <v/>
      </c>
      <c r="I1942" s="7" t="n">
        <v>10019515</v>
      </c>
      <c r="J1942" s="7">
        <f>IFERROR(VLOOKUP(I1942,Materiales!$A:$H,8,0),"")</f>
        <v/>
      </c>
      <c r="K1942" s="9">
        <f>IFERROR(VLOOKUP(I1942,Materiales!$A:$G,7,0),"")</f>
        <v/>
      </c>
      <c r="L1942" s="8" t="inlineStr">
        <is>
          <t>20190426</t>
        </is>
      </c>
      <c r="M1942" s="8" t="inlineStr">
        <is>
          <t>20250127</t>
        </is>
      </c>
      <c r="N1942" s="10" t="n">
        <v>143</v>
      </c>
      <c r="O1942" s="10">
        <f>IFERROR(VLOOKUP(A1942,Flete!$A:$J,10,0),"")</f>
        <v/>
      </c>
      <c r="P1942" s="8" t="inlineStr">
        <is>
          <t>M3</t>
        </is>
      </c>
      <c r="Q1942" s="10">
        <f>IFERROR(IFERROR(VLOOKUP(A1942,TRAOPE!$A:$U,21,0),VLOOKUP(B1942,TRAOPE!$A:$U,21,0)),"")</f>
        <v/>
      </c>
      <c r="R1942" s="8">
        <f>IFERROR(IFERROR(VLOOKUP(A1942,TRAOPE!$A:$W,23,0),VLOOKUP(B1942,TRAOPE!$A:$W,23,0)),"")</f>
        <v/>
      </c>
      <c r="S1942" s="10">
        <f>IF(AND(P1942="TN",R1942="TN"),N1942+N(O1942),IF(G1942&amp;""="1",N(K1942)*N1942,(N1942+N(O1942))*N(K1942)))</f>
        <v/>
      </c>
      <c r="T1942" s="10">
        <f>IF(Q1942="","",Q1942-S1942)</f>
        <v/>
      </c>
    </row>
    <row r="1943">
      <c r="A1943" s="7">
        <f>CONCATENATE(C1943,E1943,F1943,I1943)</f>
        <v/>
      </c>
      <c r="B1943" s="7">
        <f>CONCATENATE(C1943,E1943,I1943)</f>
        <v/>
      </c>
      <c r="C1943" s="8" t="n">
        <v>900006542</v>
      </c>
      <c r="D1943" s="7">
        <f>IFERROR(VLOOKUP(C1943,TRAOPE!$G:$H,2,0),"")</f>
        <v/>
      </c>
      <c r="E1943" s="8" t="inlineStr">
        <is>
          <t>D836</t>
        </is>
      </c>
      <c r="F1943" s="8" t="inlineStr">
        <is>
          <t>65001905</t>
        </is>
      </c>
      <c r="G1943" s="8">
        <f>IFERROR(VLOOKUP(A1943,Flete!$A:$E,5,0),"")</f>
        <v/>
      </c>
      <c r="H1943" s="7">
        <f>IFERROR(VLOOKUP(F1943,TRAOPE!$AA:$AB,2,0),"")</f>
        <v/>
      </c>
      <c r="I1943" s="7" t="n">
        <v>10000133</v>
      </c>
      <c r="J1943" s="7">
        <f>IFERROR(VLOOKUP(I1943,Materiales!$A:$H,8,0),"")</f>
        <v/>
      </c>
      <c r="K1943" s="9">
        <f>IFERROR(VLOOKUP(I1943,Materiales!$A:$G,7,0),"")</f>
        <v/>
      </c>
      <c r="L1943" s="8" t="inlineStr">
        <is>
          <t>20190426</t>
        </is>
      </c>
      <c r="M1943" s="8" t="inlineStr">
        <is>
          <t>20250127</t>
        </is>
      </c>
      <c r="N1943" s="10" t="n">
        <v>205</v>
      </c>
      <c r="O1943" s="10">
        <f>IFERROR(VLOOKUP(A1943,Flete!$A:$J,10,0),"")</f>
        <v/>
      </c>
      <c r="P1943" s="8" t="inlineStr">
        <is>
          <t>M3</t>
        </is>
      </c>
      <c r="Q1943" s="10">
        <f>IFERROR(IFERROR(VLOOKUP(A1943,TRAOPE!$A:$U,21,0),VLOOKUP(B1943,TRAOPE!$A:$U,21,0)),"")</f>
        <v/>
      </c>
      <c r="R1943" s="8">
        <f>IFERROR(IFERROR(VLOOKUP(A1943,TRAOPE!$A:$W,23,0),VLOOKUP(B1943,TRAOPE!$A:$W,23,0)),"")</f>
        <v/>
      </c>
      <c r="S1943" s="10">
        <f>IF(AND(P1943="TN",R1943="TN"),N1943+N(O1943),IF(G1943&amp;""="1",N(K1943)*N1943,(N1943+N(O1943))*N(K1943)))</f>
        <v/>
      </c>
      <c r="T1943" s="10">
        <f>IF(Q1943="","",Q1943-S1943)</f>
        <v/>
      </c>
    </row>
    <row r="1944">
      <c r="A1944" s="7">
        <f>CONCATENATE(C1944,E1944,F1944,I1944)</f>
        <v/>
      </c>
      <c r="B1944" s="7">
        <f>CONCATENATE(C1944,E1944,I1944)</f>
        <v/>
      </c>
      <c r="C1944" s="8" t="n">
        <v>900006542</v>
      </c>
      <c r="D1944" s="7">
        <f>IFERROR(VLOOKUP(C1944,TRAOPE!$G:$H,2,0),"")</f>
        <v/>
      </c>
      <c r="E1944" s="8" t="inlineStr">
        <is>
          <t>D836</t>
        </is>
      </c>
      <c r="F1944" s="8" t="inlineStr">
        <is>
          <t>65001905</t>
        </is>
      </c>
      <c r="G1944" s="8">
        <f>IFERROR(VLOOKUP(A1944,Flete!$A:$E,5,0),"")</f>
        <v/>
      </c>
      <c r="H1944" s="7">
        <f>IFERROR(VLOOKUP(F1944,TRAOPE!$AA:$AB,2,0),"")</f>
        <v/>
      </c>
      <c r="I1944" s="7" t="n">
        <v>10058345</v>
      </c>
      <c r="J1944" s="7">
        <f>IFERROR(VLOOKUP(I1944,Materiales!$A:$H,8,0),"")</f>
        <v/>
      </c>
      <c r="K1944" s="9">
        <f>IFERROR(VLOOKUP(I1944,Materiales!$A:$G,7,0),"")</f>
        <v/>
      </c>
      <c r="L1944" s="8" t="inlineStr">
        <is>
          <t>20190426</t>
        </is>
      </c>
      <c r="M1944" s="8" t="inlineStr">
        <is>
          <t>20250127</t>
        </is>
      </c>
      <c r="N1944" s="10" t="n">
        <v>95</v>
      </c>
      <c r="O1944" s="10">
        <f>IFERROR(VLOOKUP(A1944,Flete!$A:$J,10,0),"")</f>
        <v/>
      </c>
      <c r="P1944" s="8" t="inlineStr">
        <is>
          <t>M3</t>
        </is>
      </c>
      <c r="Q1944" s="10">
        <f>IFERROR(IFERROR(VLOOKUP(A1944,TRAOPE!$A:$U,21,0),VLOOKUP(B1944,TRAOPE!$A:$U,21,0)),"")</f>
        <v/>
      </c>
      <c r="R1944" s="8">
        <f>IFERROR(IFERROR(VLOOKUP(A1944,TRAOPE!$A:$W,23,0),VLOOKUP(B1944,TRAOPE!$A:$W,23,0)),"")</f>
        <v/>
      </c>
      <c r="S1944" s="10">
        <f>IF(AND(P1944="TN",R1944="TN"),N1944+N(O1944),IF(G1944&amp;""="1",N(K1944)*N1944,(N1944+N(O1944))*N(K1944)))</f>
        <v/>
      </c>
      <c r="T1944" s="10">
        <f>IF(Q1944="","",Q1944-S1944)</f>
        <v/>
      </c>
    </row>
    <row r="1945">
      <c r="A1945" s="7">
        <f>CONCATENATE(C1945,E1945,F1945,I1945)</f>
        <v/>
      </c>
      <c r="B1945" s="7">
        <f>CONCATENATE(C1945,E1945,I1945)</f>
        <v/>
      </c>
      <c r="C1945" s="8" t="n">
        <v>900006542</v>
      </c>
      <c r="D1945" s="7">
        <f>IFERROR(VLOOKUP(C1945,TRAOPE!$G:$H,2,0),"")</f>
        <v/>
      </c>
      <c r="E1945" s="8" t="inlineStr">
        <is>
          <t>D836</t>
        </is>
      </c>
      <c r="F1945" s="8" t="inlineStr">
        <is>
          <t>65009229</t>
        </is>
      </c>
      <c r="G1945" s="8">
        <f>IFERROR(VLOOKUP(A1945,Flete!$A:$E,5,0),"")</f>
        <v/>
      </c>
      <c r="H1945" s="7">
        <f>IFERROR(VLOOKUP(F1945,TRAOPE!$AA:$AB,2,0),"")</f>
        <v/>
      </c>
      <c r="I1945" s="7" t="n">
        <v>10000160</v>
      </c>
      <c r="J1945" s="7">
        <f>IFERROR(VLOOKUP(I1945,Materiales!$A:$H,8,0),"")</f>
        <v/>
      </c>
      <c r="K1945" s="9">
        <f>IFERROR(VLOOKUP(I1945,Materiales!$A:$G,7,0),"")</f>
        <v/>
      </c>
      <c r="L1945" s="8" t="inlineStr">
        <is>
          <t>20190426</t>
        </is>
      </c>
      <c r="M1945" s="8" t="inlineStr">
        <is>
          <t>20250127</t>
        </is>
      </c>
      <c r="N1945" s="10" t="n">
        <v>112</v>
      </c>
      <c r="O1945" s="10">
        <f>IFERROR(VLOOKUP(A1945,Flete!$A:$J,10,0),"")</f>
        <v/>
      </c>
      <c r="P1945" s="8" t="inlineStr">
        <is>
          <t>M3</t>
        </is>
      </c>
      <c r="Q1945" s="10">
        <f>IFERROR(IFERROR(VLOOKUP(A1945,TRAOPE!$A:$U,21,0),VLOOKUP(B1945,TRAOPE!$A:$U,21,0)),"")</f>
        <v/>
      </c>
      <c r="R1945" s="8">
        <f>IFERROR(IFERROR(VLOOKUP(A1945,TRAOPE!$A:$W,23,0),VLOOKUP(B1945,TRAOPE!$A:$W,23,0)),"")</f>
        <v/>
      </c>
      <c r="S1945" s="10">
        <f>IF(AND(P1945="TN",R1945="TN"),N1945+N(O1945),IF(G1945&amp;""="1",N(K1945)*N1945,(N1945+N(O1945))*N(K1945)))</f>
        <v/>
      </c>
      <c r="T1945" s="10">
        <f>IF(Q1945="","",Q1945-S1945)</f>
        <v/>
      </c>
    </row>
    <row r="1946">
      <c r="A1946" s="7">
        <f>CONCATENATE(C1946,E1946,F1946,I1946)</f>
        <v/>
      </c>
      <c r="B1946" s="7">
        <f>CONCATENATE(C1946,E1946,I1946)</f>
        <v/>
      </c>
      <c r="C1946" s="8" t="n">
        <v>900006542</v>
      </c>
      <c r="D1946" s="7">
        <f>IFERROR(VLOOKUP(C1946,TRAOPE!$G:$H,2,0),"")</f>
        <v/>
      </c>
      <c r="E1946" s="8" t="inlineStr">
        <is>
          <t>D836</t>
        </is>
      </c>
      <c r="F1946" s="8" t="inlineStr">
        <is>
          <t>65009229</t>
        </is>
      </c>
      <c r="G1946" s="8">
        <f>IFERROR(VLOOKUP(A1946,Flete!$A:$E,5,0),"")</f>
        <v/>
      </c>
      <c r="H1946" s="7">
        <f>IFERROR(VLOOKUP(F1946,TRAOPE!$AA:$AB,2,0),"")</f>
        <v/>
      </c>
      <c r="I1946" s="7" t="n">
        <v>10000357</v>
      </c>
      <c r="J1946" s="7">
        <f>IFERROR(VLOOKUP(I1946,Materiales!$A:$H,8,0),"")</f>
        <v/>
      </c>
      <c r="K1946" s="9">
        <f>IFERROR(VLOOKUP(I1946,Materiales!$A:$G,7,0),"")</f>
        <v/>
      </c>
      <c r="L1946" s="8" t="inlineStr">
        <is>
          <t>20190426</t>
        </is>
      </c>
      <c r="M1946" s="8" t="inlineStr">
        <is>
          <t>20250127</t>
        </is>
      </c>
      <c r="N1946" s="10" t="n">
        <v>157</v>
      </c>
      <c r="O1946" s="10">
        <f>IFERROR(VLOOKUP(A1946,Flete!$A:$J,10,0),"")</f>
        <v/>
      </c>
      <c r="P1946" s="8" t="inlineStr">
        <is>
          <t>M3</t>
        </is>
      </c>
      <c r="Q1946" s="10">
        <f>IFERROR(IFERROR(VLOOKUP(A1946,TRAOPE!$A:$U,21,0),VLOOKUP(B1946,TRAOPE!$A:$U,21,0)),"")</f>
        <v/>
      </c>
      <c r="R1946" s="8">
        <f>IFERROR(IFERROR(VLOOKUP(A1946,TRAOPE!$A:$W,23,0),VLOOKUP(B1946,TRAOPE!$A:$W,23,0)),"")</f>
        <v/>
      </c>
      <c r="S1946" s="10">
        <f>IF(AND(P1946="TN",R1946="TN"),N1946+N(O1946),IF(G1946&amp;""="1",N(K1946)*N1946,(N1946+N(O1946))*N(K1946)))</f>
        <v/>
      </c>
      <c r="T1946" s="10">
        <f>IF(Q1946="","",Q1946-S1946)</f>
        <v/>
      </c>
    </row>
    <row r="1947">
      <c r="A1947" s="7">
        <f>CONCATENATE(C1947,E1947,F1947,I1947)</f>
        <v/>
      </c>
      <c r="B1947" s="7">
        <f>CONCATENATE(C1947,E1947,I1947)</f>
        <v/>
      </c>
      <c r="C1947" s="8" t="n">
        <v>900006542</v>
      </c>
      <c r="D1947" s="7">
        <f>IFERROR(VLOOKUP(C1947,TRAOPE!$G:$H,2,0),"")</f>
        <v/>
      </c>
      <c r="E1947" s="8" t="inlineStr">
        <is>
          <t>D836</t>
        </is>
      </c>
      <c r="F1947" s="8" t="inlineStr">
        <is>
          <t>66240596</t>
        </is>
      </c>
      <c r="G1947" s="8">
        <f>IFERROR(VLOOKUP(A1947,Flete!$A:$E,5,0),"")</f>
        <v/>
      </c>
      <c r="H1947" s="7">
        <f>IFERROR(VLOOKUP(F1947,TRAOPE!$AA:$AB,2,0),"")</f>
        <v/>
      </c>
      <c r="I1947" s="7" t="n">
        <v>10000160</v>
      </c>
      <c r="J1947" s="7">
        <f>IFERROR(VLOOKUP(I1947,Materiales!$A:$H,8,0),"")</f>
        <v/>
      </c>
      <c r="K1947" s="9">
        <f>IFERROR(VLOOKUP(I1947,Materiales!$A:$G,7,0),"")</f>
        <v/>
      </c>
      <c r="L1947" s="8" t="inlineStr">
        <is>
          <t>20190426</t>
        </is>
      </c>
      <c r="M1947" s="8" t="inlineStr">
        <is>
          <t>20250127</t>
        </is>
      </c>
      <c r="N1947" s="10" t="n">
        <v>115</v>
      </c>
      <c r="O1947" s="10">
        <f>IFERROR(VLOOKUP(A1947,Flete!$A:$J,10,0),"")</f>
        <v/>
      </c>
      <c r="P1947" s="8" t="inlineStr">
        <is>
          <t>M3</t>
        </is>
      </c>
      <c r="Q1947" s="10">
        <f>IFERROR(IFERROR(VLOOKUP(A1947,TRAOPE!$A:$U,21,0),VLOOKUP(B1947,TRAOPE!$A:$U,21,0)),"")</f>
        <v/>
      </c>
      <c r="R1947" s="8">
        <f>IFERROR(IFERROR(VLOOKUP(A1947,TRAOPE!$A:$W,23,0),VLOOKUP(B1947,TRAOPE!$A:$W,23,0)),"")</f>
        <v/>
      </c>
      <c r="S1947" s="10">
        <f>IF(AND(P1947="TN",R1947="TN"),N1947+N(O1947),IF(G1947&amp;""="1",N(K1947)*N1947,(N1947+N(O1947))*N(K1947)))</f>
        <v/>
      </c>
      <c r="T1947" s="10">
        <f>IF(Q1947="","",Q1947-S1947)</f>
        <v/>
      </c>
    </row>
    <row r="1948">
      <c r="A1948" s="7">
        <f>CONCATENATE(C1948,E1948,F1948,I1948)</f>
        <v/>
      </c>
      <c r="B1948" s="7">
        <f>CONCATENATE(C1948,E1948,I1948)</f>
        <v/>
      </c>
      <c r="C1948" s="8" t="n">
        <v>900006542</v>
      </c>
      <c r="D1948" s="7">
        <f>IFERROR(VLOOKUP(C1948,TRAOPE!$G:$H,2,0),"")</f>
        <v/>
      </c>
      <c r="E1948" s="8" t="inlineStr">
        <is>
          <t>D836</t>
        </is>
      </c>
      <c r="F1948" s="8" t="inlineStr">
        <is>
          <t>66240596</t>
        </is>
      </c>
      <c r="G1948" s="8">
        <f>IFERROR(VLOOKUP(A1948,Flete!$A:$E,5,0),"")</f>
        <v/>
      </c>
      <c r="H1948" s="7">
        <f>IFERROR(VLOOKUP(F1948,TRAOPE!$AA:$AB,2,0),"")</f>
        <v/>
      </c>
      <c r="I1948" s="7" t="n">
        <v>10000357</v>
      </c>
      <c r="J1948" s="7">
        <f>IFERROR(VLOOKUP(I1948,Materiales!$A:$H,8,0),"")</f>
        <v/>
      </c>
      <c r="K1948" s="9">
        <f>IFERROR(VLOOKUP(I1948,Materiales!$A:$G,7,0),"")</f>
        <v/>
      </c>
      <c r="L1948" s="8" t="inlineStr">
        <is>
          <t>20190426</t>
        </is>
      </c>
      <c r="M1948" s="8" t="inlineStr">
        <is>
          <t>20250127</t>
        </is>
      </c>
      <c r="N1948" s="10" t="n">
        <v>130</v>
      </c>
      <c r="O1948" s="10">
        <f>IFERROR(VLOOKUP(A1948,Flete!$A:$J,10,0),"")</f>
        <v/>
      </c>
      <c r="P1948" s="8" t="inlineStr">
        <is>
          <t>M3</t>
        </is>
      </c>
      <c r="Q1948" s="10">
        <f>IFERROR(IFERROR(VLOOKUP(A1948,TRAOPE!$A:$U,21,0),VLOOKUP(B1948,TRAOPE!$A:$U,21,0)),"")</f>
        <v/>
      </c>
      <c r="R1948" s="8">
        <f>IFERROR(IFERROR(VLOOKUP(A1948,TRAOPE!$A:$W,23,0),VLOOKUP(B1948,TRAOPE!$A:$W,23,0)),"")</f>
        <v/>
      </c>
      <c r="S1948" s="10">
        <f>IF(AND(P1948="TN",R1948="TN"),N1948+N(O1948),IF(G1948&amp;""="1",N(K1948)*N1948,(N1948+N(O1948))*N(K1948)))</f>
        <v/>
      </c>
      <c r="T1948" s="10">
        <f>IF(Q1948="","",Q1948-S1948)</f>
        <v/>
      </c>
    </row>
    <row r="1949">
      <c r="A1949" s="7">
        <f>CONCATENATE(C1949,E1949,F1949,I1949)</f>
        <v/>
      </c>
      <c r="B1949" s="7">
        <f>CONCATENATE(C1949,E1949,I1949)</f>
        <v/>
      </c>
      <c r="C1949" s="8" t="n">
        <v>900006542</v>
      </c>
      <c r="D1949" s="7">
        <f>IFERROR(VLOOKUP(C1949,TRAOPE!$G:$H,2,0),"")</f>
        <v/>
      </c>
      <c r="E1949" s="8" t="inlineStr">
        <is>
          <t>D836</t>
        </is>
      </c>
      <c r="F1949" s="8" t="inlineStr">
        <is>
          <t>66240596</t>
        </is>
      </c>
      <c r="G1949" s="8">
        <f>IFERROR(VLOOKUP(A1949,Flete!$A:$E,5,0),"")</f>
        <v/>
      </c>
      <c r="H1949" s="7">
        <f>IFERROR(VLOOKUP(F1949,TRAOPE!$AA:$AB,2,0),"")</f>
        <v/>
      </c>
      <c r="I1949" s="7" t="n">
        <v>10000651</v>
      </c>
      <c r="J1949" s="7">
        <f>IFERROR(VLOOKUP(I1949,Materiales!$A:$H,8,0),"")</f>
        <v/>
      </c>
      <c r="K1949" s="9">
        <f>IFERROR(VLOOKUP(I1949,Materiales!$A:$G,7,0),"")</f>
        <v/>
      </c>
      <c r="L1949" s="8" t="inlineStr">
        <is>
          <t>20190426</t>
        </is>
      </c>
      <c r="M1949" s="8" t="inlineStr">
        <is>
          <t>20250127</t>
        </is>
      </c>
      <c r="N1949" s="10" t="n">
        <v>95</v>
      </c>
      <c r="O1949" s="10">
        <f>IFERROR(VLOOKUP(A1949,Flete!$A:$J,10,0),"")</f>
        <v/>
      </c>
      <c r="P1949" s="8" t="inlineStr">
        <is>
          <t>M3</t>
        </is>
      </c>
      <c r="Q1949" s="10">
        <f>IFERROR(IFERROR(VLOOKUP(A1949,TRAOPE!$A:$U,21,0),VLOOKUP(B1949,TRAOPE!$A:$U,21,0)),"")</f>
        <v/>
      </c>
      <c r="R1949" s="8">
        <f>IFERROR(IFERROR(VLOOKUP(A1949,TRAOPE!$A:$W,23,0),VLOOKUP(B1949,TRAOPE!$A:$W,23,0)),"")</f>
        <v/>
      </c>
      <c r="S1949" s="10">
        <f>IF(AND(P1949="TN",R1949="TN"),N1949+N(O1949),IF(G1949&amp;""="1",N(K1949)*N1949,(N1949+N(O1949))*N(K1949)))</f>
        <v/>
      </c>
      <c r="T1949" s="10">
        <f>IF(Q1949="","",Q1949-S1949)</f>
        <v/>
      </c>
    </row>
    <row r="1950">
      <c r="A1950" s="7">
        <f>CONCATENATE(C1950,E1950,F1950,I1950)</f>
        <v/>
      </c>
      <c r="B1950" s="7">
        <f>CONCATENATE(C1950,E1950,I1950)</f>
        <v/>
      </c>
      <c r="C1950" s="8" t="n">
        <v>900006542</v>
      </c>
      <c r="D1950" s="7">
        <f>IFERROR(VLOOKUP(C1950,TRAOPE!$G:$H,2,0),"")</f>
        <v/>
      </c>
      <c r="E1950" s="8" t="inlineStr">
        <is>
          <t>D836</t>
        </is>
      </c>
      <c r="F1950" s="8" t="inlineStr">
        <is>
          <t>66323115</t>
        </is>
      </c>
      <c r="G1950" s="8">
        <f>IFERROR(VLOOKUP(A1950,Flete!$A:$E,5,0),"")</f>
        <v/>
      </c>
      <c r="H1950" s="7">
        <f>IFERROR(VLOOKUP(F1950,TRAOPE!$AA:$AB,2,0),"")</f>
        <v/>
      </c>
      <c r="I1950" s="7" t="n">
        <v>10000160</v>
      </c>
      <c r="J1950" s="7">
        <f>IFERROR(VLOOKUP(I1950,Materiales!$A:$H,8,0),"")</f>
        <v/>
      </c>
      <c r="K1950" s="9">
        <f>IFERROR(VLOOKUP(I1950,Materiales!$A:$G,7,0),"")</f>
        <v/>
      </c>
      <c r="L1950" s="8" t="inlineStr">
        <is>
          <t>20190426</t>
        </is>
      </c>
      <c r="M1950" s="8" t="inlineStr">
        <is>
          <t>20250127</t>
        </is>
      </c>
      <c r="N1950" s="10" t="n">
        <v>104.01</v>
      </c>
      <c r="O1950" s="10">
        <f>IFERROR(VLOOKUP(A1950,Flete!$A:$J,10,0),"")</f>
        <v/>
      </c>
      <c r="P1950" s="8" t="inlineStr">
        <is>
          <t>TN</t>
        </is>
      </c>
      <c r="Q1950" s="10">
        <f>IFERROR(IFERROR(VLOOKUP(A1950,TRAOPE!$A:$U,21,0),VLOOKUP(B1950,TRAOPE!$A:$U,21,0)),"")</f>
        <v/>
      </c>
      <c r="R1950" s="8">
        <f>IFERROR(IFERROR(VLOOKUP(A1950,TRAOPE!$A:$W,23,0),VLOOKUP(B1950,TRAOPE!$A:$W,23,0)),"")</f>
        <v/>
      </c>
      <c r="S1950" s="10">
        <f>IF(AND(P1950="TN",R1950="TN"),N1950+N(O1950),IF(G1950&amp;""="1",N(K1950)*N1950,(N1950+N(O1950))*N(K1950)))</f>
        <v/>
      </c>
      <c r="T1950" s="10">
        <f>IF(Q1950="","",Q1950-S1950)</f>
        <v/>
      </c>
    </row>
    <row r="1951">
      <c r="A1951" s="7">
        <f>CONCATENATE(C1951,E1951,F1951,I1951)</f>
        <v/>
      </c>
      <c r="B1951" s="7">
        <f>CONCATENATE(C1951,E1951,I1951)</f>
        <v/>
      </c>
      <c r="C1951" s="8" t="n">
        <v>900006542</v>
      </c>
      <c r="D1951" s="7">
        <f>IFERROR(VLOOKUP(C1951,TRAOPE!$G:$H,2,0),"")</f>
        <v/>
      </c>
      <c r="E1951" s="8" t="inlineStr">
        <is>
          <t>D836</t>
        </is>
      </c>
      <c r="F1951" s="8" t="inlineStr">
        <is>
          <t>66486059</t>
        </is>
      </c>
      <c r="G1951" s="8">
        <f>IFERROR(VLOOKUP(A1951,Flete!$A:$E,5,0),"")</f>
        <v/>
      </c>
      <c r="H1951" s="7">
        <f>IFERROR(VLOOKUP(F1951,TRAOPE!$AA:$AB,2,0),"")</f>
        <v/>
      </c>
      <c r="I1951" s="7" t="n">
        <v>10000160</v>
      </c>
      <c r="J1951" s="7">
        <f>IFERROR(VLOOKUP(I1951,Materiales!$A:$H,8,0),"")</f>
        <v/>
      </c>
      <c r="K1951" s="9">
        <f>IFERROR(VLOOKUP(I1951,Materiales!$A:$G,7,0),"")</f>
        <v/>
      </c>
      <c r="L1951" s="8" t="inlineStr">
        <is>
          <t>20190426</t>
        </is>
      </c>
      <c r="M1951" s="8" t="inlineStr">
        <is>
          <t>20250127</t>
        </is>
      </c>
      <c r="N1951" s="10" t="n">
        <v>115</v>
      </c>
      <c r="O1951" s="10">
        <f>IFERROR(VLOOKUP(A1951,Flete!$A:$J,10,0),"")</f>
        <v/>
      </c>
      <c r="P1951" s="8" t="inlineStr">
        <is>
          <t>M3</t>
        </is>
      </c>
      <c r="Q1951" s="10">
        <f>IFERROR(IFERROR(VLOOKUP(A1951,TRAOPE!$A:$U,21,0),VLOOKUP(B1951,TRAOPE!$A:$U,21,0)),"")</f>
        <v/>
      </c>
      <c r="R1951" s="8">
        <f>IFERROR(IFERROR(VLOOKUP(A1951,TRAOPE!$A:$W,23,0),VLOOKUP(B1951,TRAOPE!$A:$W,23,0)),"")</f>
        <v/>
      </c>
      <c r="S1951" s="10">
        <f>IF(AND(P1951="TN",R1951="TN"),N1951+N(O1951),IF(G1951&amp;""="1",N(K1951)*N1951,(N1951+N(O1951))*N(K1951)))</f>
        <v/>
      </c>
      <c r="T1951" s="10">
        <f>IF(Q1951="","",Q1951-S1951)</f>
        <v/>
      </c>
    </row>
    <row r="1952">
      <c r="A1952" s="7">
        <f>CONCATENATE(C1952,E1952,F1952,I1952)</f>
        <v/>
      </c>
      <c r="B1952" s="7">
        <f>CONCATENATE(C1952,E1952,I1952)</f>
        <v/>
      </c>
      <c r="C1952" s="8" t="n">
        <v>900006542</v>
      </c>
      <c r="D1952" s="7">
        <f>IFERROR(VLOOKUP(C1952,TRAOPE!$G:$H,2,0),"")</f>
        <v/>
      </c>
      <c r="E1952" s="8" t="inlineStr">
        <is>
          <t>D836</t>
        </is>
      </c>
      <c r="F1952" s="8" t="inlineStr">
        <is>
          <t>66486059</t>
        </is>
      </c>
      <c r="G1952" s="8">
        <f>IFERROR(VLOOKUP(A1952,Flete!$A:$E,5,0),"")</f>
        <v/>
      </c>
      <c r="H1952" s="7">
        <f>IFERROR(VLOOKUP(F1952,TRAOPE!$AA:$AB,2,0),"")</f>
        <v/>
      </c>
      <c r="I1952" s="7" t="n">
        <v>10000206</v>
      </c>
      <c r="J1952" s="7">
        <f>IFERROR(VLOOKUP(I1952,Materiales!$A:$H,8,0),"")</f>
        <v/>
      </c>
      <c r="K1952" s="9">
        <f>IFERROR(VLOOKUP(I1952,Materiales!$A:$G,7,0),"")</f>
        <v/>
      </c>
      <c r="L1952" s="8" t="inlineStr">
        <is>
          <t>20190426</t>
        </is>
      </c>
      <c r="M1952" s="8" t="inlineStr">
        <is>
          <t>20250127</t>
        </is>
      </c>
      <c r="N1952" s="10" t="n">
        <v>60</v>
      </c>
      <c r="O1952" s="10">
        <f>IFERROR(VLOOKUP(A1952,Flete!$A:$J,10,0),"")</f>
        <v/>
      </c>
      <c r="P1952" s="8" t="inlineStr">
        <is>
          <t>M3</t>
        </is>
      </c>
      <c r="Q1952" s="10">
        <f>IFERROR(IFERROR(VLOOKUP(A1952,TRAOPE!$A:$U,21,0),VLOOKUP(B1952,TRAOPE!$A:$U,21,0)),"")</f>
        <v/>
      </c>
      <c r="R1952" s="8">
        <f>IFERROR(IFERROR(VLOOKUP(A1952,TRAOPE!$A:$W,23,0),VLOOKUP(B1952,TRAOPE!$A:$W,23,0)),"")</f>
        <v/>
      </c>
      <c r="S1952" s="10">
        <f>IF(AND(P1952="TN",R1952="TN"),N1952+N(O1952),IF(G1952&amp;""="1",N(K1952)*N1952,(N1952+N(O1952))*N(K1952)))</f>
        <v/>
      </c>
      <c r="T1952" s="10">
        <f>IF(Q1952="","",Q1952-S1952)</f>
        <v/>
      </c>
    </row>
    <row r="1953">
      <c r="A1953" s="7">
        <f>CONCATENATE(C1953,E1953,F1953,I1953)</f>
        <v/>
      </c>
      <c r="B1953" s="7">
        <f>CONCATENATE(C1953,E1953,I1953)</f>
        <v/>
      </c>
      <c r="C1953" s="8" t="n">
        <v>900006542</v>
      </c>
      <c r="D1953" s="7">
        <f>IFERROR(VLOOKUP(C1953,TRAOPE!$G:$H,2,0),"")</f>
        <v/>
      </c>
      <c r="E1953" s="8" t="inlineStr">
        <is>
          <t>D836</t>
        </is>
      </c>
      <c r="F1953" s="8" t="inlineStr">
        <is>
          <t>66486059</t>
        </is>
      </c>
      <c r="G1953" s="8">
        <f>IFERROR(VLOOKUP(A1953,Flete!$A:$E,5,0),"")</f>
        <v/>
      </c>
      <c r="H1953" s="7">
        <f>IFERROR(VLOOKUP(F1953,TRAOPE!$AA:$AB,2,0),"")</f>
        <v/>
      </c>
      <c r="I1953" s="7" t="n">
        <v>10000357</v>
      </c>
      <c r="J1953" s="7">
        <f>IFERROR(VLOOKUP(I1953,Materiales!$A:$H,8,0),"")</f>
        <v/>
      </c>
      <c r="K1953" s="9">
        <f>IFERROR(VLOOKUP(I1953,Materiales!$A:$G,7,0),"")</f>
        <v/>
      </c>
      <c r="L1953" s="8" t="inlineStr">
        <is>
          <t>20190426</t>
        </is>
      </c>
      <c r="M1953" s="8" t="inlineStr">
        <is>
          <t>20250127</t>
        </is>
      </c>
      <c r="N1953" s="10" t="n">
        <v>130</v>
      </c>
      <c r="O1953" s="10">
        <f>IFERROR(VLOOKUP(A1953,Flete!$A:$J,10,0),"")</f>
        <v/>
      </c>
      <c r="P1953" s="8" t="inlineStr">
        <is>
          <t>M3</t>
        </is>
      </c>
      <c r="Q1953" s="10">
        <f>IFERROR(IFERROR(VLOOKUP(A1953,TRAOPE!$A:$U,21,0),VLOOKUP(B1953,TRAOPE!$A:$U,21,0)),"")</f>
        <v/>
      </c>
      <c r="R1953" s="8">
        <f>IFERROR(IFERROR(VLOOKUP(A1953,TRAOPE!$A:$W,23,0),VLOOKUP(B1953,TRAOPE!$A:$W,23,0)),"")</f>
        <v/>
      </c>
      <c r="S1953" s="10">
        <f>IF(AND(P1953="TN",R1953="TN"),N1953+N(O1953),IF(G1953&amp;""="1",N(K1953)*N1953,(N1953+N(O1953))*N(K1953)))</f>
        <v/>
      </c>
      <c r="T1953" s="10">
        <f>IF(Q1953="","",Q1953-S1953)</f>
        <v/>
      </c>
    </row>
    <row r="1954">
      <c r="A1954" s="7">
        <f>CONCATENATE(C1954,E1954,F1954,I1954)</f>
        <v/>
      </c>
      <c r="B1954" s="7">
        <f>CONCATENATE(C1954,E1954,I1954)</f>
        <v/>
      </c>
      <c r="C1954" s="8" t="n">
        <v>900006542</v>
      </c>
      <c r="D1954" s="7">
        <f>IFERROR(VLOOKUP(C1954,TRAOPE!$G:$H,2,0),"")</f>
        <v/>
      </c>
      <c r="E1954" s="8" t="inlineStr">
        <is>
          <t>D836</t>
        </is>
      </c>
      <c r="F1954" s="8" t="inlineStr">
        <is>
          <t>66587348</t>
        </is>
      </c>
      <c r="G1954" s="8">
        <f>IFERROR(VLOOKUP(A1954,Flete!$A:$E,5,0),"")</f>
        <v/>
      </c>
      <c r="H1954" s="7">
        <f>IFERROR(VLOOKUP(F1954,TRAOPE!$AA:$AB,2,0),"")</f>
        <v/>
      </c>
      <c r="I1954" s="7" t="n">
        <v>10000160</v>
      </c>
      <c r="J1954" s="7">
        <f>IFERROR(VLOOKUP(I1954,Materiales!$A:$H,8,0),"")</f>
        <v/>
      </c>
      <c r="K1954" s="9">
        <f>IFERROR(VLOOKUP(I1954,Materiales!$A:$G,7,0),"")</f>
        <v/>
      </c>
      <c r="L1954" s="8" t="inlineStr">
        <is>
          <t>20190426</t>
        </is>
      </c>
      <c r="M1954" s="8" t="inlineStr">
        <is>
          <t>20250127</t>
        </is>
      </c>
      <c r="N1954" s="10" t="n">
        <v>118.28</v>
      </c>
      <c r="O1954" s="10">
        <f>IFERROR(VLOOKUP(A1954,Flete!$A:$J,10,0),"")</f>
        <v/>
      </c>
      <c r="P1954" s="8" t="inlineStr">
        <is>
          <t>M3</t>
        </is>
      </c>
      <c r="Q1954" s="10">
        <f>IFERROR(IFERROR(VLOOKUP(A1954,TRAOPE!$A:$U,21,0),VLOOKUP(B1954,TRAOPE!$A:$U,21,0)),"")</f>
        <v/>
      </c>
      <c r="R1954" s="8">
        <f>IFERROR(IFERROR(VLOOKUP(A1954,TRAOPE!$A:$W,23,0),VLOOKUP(B1954,TRAOPE!$A:$W,23,0)),"")</f>
        <v/>
      </c>
      <c r="S1954" s="10">
        <f>IF(AND(P1954="TN",R1954="TN"),N1954+N(O1954),IF(G1954&amp;""="1",N(K1954)*N1954,(N1954+N(O1954))*N(K1954)))</f>
        <v/>
      </c>
      <c r="T1954" s="10">
        <f>IF(Q1954="","",Q1954-S1954)</f>
        <v/>
      </c>
    </row>
    <row r="1955">
      <c r="A1955" s="7">
        <f>CONCATENATE(C1955,E1955,F1955,I1955)</f>
        <v/>
      </c>
      <c r="B1955" s="7">
        <f>CONCATENATE(C1955,E1955,I1955)</f>
        <v/>
      </c>
      <c r="C1955" s="8" t="n">
        <v>900006542</v>
      </c>
      <c r="D1955" s="7">
        <f>IFERROR(VLOOKUP(C1955,TRAOPE!$G:$H,2,0),"")</f>
        <v/>
      </c>
      <c r="E1955" s="8" t="inlineStr">
        <is>
          <t>D836</t>
        </is>
      </c>
      <c r="F1955" s="8" t="inlineStr">
        <is>
          <t>66587348</t>
        </is>
      </c>
      <c r="G1955" s="8">
        <f>IFERROR(VLOOKUP(A1955,Flete!$A:$E,5,0),"")</f>
        <v/>
      </c>
      <c r="H1955" s="7">
        <f>IFERROR(VLOOKUP(F1955,TRAOPE!$AA:$AB,2,0),"")</f>
        <v/>
      </c>
      <c r="I1955" s="7" t="n">
        <v>10000357</v>
      </c>
      <c r="J1955" s="7">
        <f>IFERROR(VLOOKUP(I1955,Materiales!$A:$H,8,0),"")</f>
        <v/>
      </c>
      <c r="K1955" s="9">
        <f>IFERROR(VLOOKUP(I1955,Materiales!$A:$G,7,0),"")</f>
        <v/>
      </c>
      <c r="L1955" s="8" t="inlineStr">
        <is>
          <t>20190426</t>
        </is>
      </c>
      <c r="M1955" s="8" t="inlineStr">
        <is>
          <t>20250127</t>
        </is>
      </c>
      <c r="N1955" s="10" t="n">
        <v>153.04</v>
      </c>
      <c r="O1955" s="10">
        <f>IFERROR(VLOOKUP(A1955,Flete!$A:$J,10,0),"")</f>
        <v/>
      </c>
      <c r="P1955" s="8" t="inlineStr">
        <is>
          <t>M3</t>
        </is>
      </c>
      <c r="Q1955" s="10">
        <f>IFERROR(IFERROR(VLOOKUP(A1955,TRAOPE!$A:$U,21,0),VLOOKUP(B1955,TRAOPE!$A:$U,21,0)),"")</f>
        <v/>
      </c>
      <c r="R1955" s="8">
        <f>IFERROR(IFERROR(VLOOKUP(A1955,TRAOPE!$A:$W,23,0),VLOOKUP(B1955,TRAOPE!$A:$W,23,0)),"")</f>
        <v/>
      </c>
      <c r="S1955" s="10">
        <f>IF(AND(P1955="TN",R1955="TN"),N1955+N(O1955),IF(G1955&amp;""="1",N(K1955)*N1955,(N1955+N(O1955))*N(K1955)))</f>
        <v/>
      </c>
      <c r="T1955" s="10">
        <f>IF(Q1955="","",Q1955-S1955)</f>
        <v/>
      </c>
    </row>
    <row r="1956">
      <c r="A1956" s="7">
        <f>CONCATENATE(C1956,E1956,F1956,I1956)</f>
        <v/>
      </c>
      <c r="B1956" s="7">
        <f>CONCATENATE(C1956,E1956,I1956)</f>
        <v/>
      </c>
      <c r="C1956" s="8" t="n">
        <v>900006542</v>
      </c>
      <c r="D1956" s="7">
        <f>IFERROR(VLOOKUP(C1956,TRAOPE!$G:$H,2,0),"")</f>
        <v/>
      </c>
      <c r="E1956" s="8" t="inlineStr">
        <is>
          <t>D836</t>
        </is>
      </c>
      <c r="F1956" s="8" t="inlineStr">
        <is>
          <t>66838561</t>
        </is>
      </c>
      <c r="G1956" s="8">
        <f>IFERROR(VLOOKUP(A1956,Flete!$A:$E,5,0),"")</f>
        <v/>
      </c>
      <c r="H1956" s="7">
        <f>IFERROR(VLOOKUP(F1956,TRAOPE!$AA:$AB,2,0),"")</f>
        <v/>
      </c>
      <c r="I1956" s="7" t="n">
        <v>10000160</v>
      </c>
      <c r="J1956" s="7">
        <f>IFERROR(VLOOKUP(I1956,Materiales!$A:$H,8,0),"")</f>
        <v/>
      </c>
      <c r="K1956" s="9">
        <f>IFERROR(VLOOKUP(I1956,Materiales!$A:$G,7,0),"")</f>
        <v/>
      </c>
      <c r="L1956" s="8" t="inlineStr">
        <is>
          <t>20190426</t>
        </is>
      </c>
      <c r="M1956" s="8" t="inlineStr">
        <is>
          <t>20250127</t>
        </is>
      </c>
      <c r="N1956" s="10" t="n">
        <v>105</v>
      </c>
      <c r="O1956" s="10">
        <f>IFERROR(VLOOKUP(A1956,Flete!$A:$J,10,0),"")</f>
        <v/>
      </c>
      <c r="P1956" s="8" t="inlineStr">
        <is>
          <t>M3</t>
        </is>
      </c>
      <c r="Q1956" s="10">
        <f>IFERROR(IFERROR(VLOOKUP(A1956,TRAOPE!$A:$U,21,0),VLOOKUP(B1956,TRAOPE!$A:$U,21,0)),"")</f>
        <v/>
      </c>
      <c r="R1956" s="8">
        <f>IFERROR(IFERROR(VLOOKUP(A1956,TRAOPE!$A:$W,23,0),VLOOKUP(B1956,TRAOPE!$A:$W,23,0)),"")</f>
        <v/>
      </c>
      <c r="S1956" s="10">
        <f>IF(AND(P1956="TN",R1956="TN"),N1956+N(O1956),IF(G1956&amp;""="1",N(K1956)*N1956,(N1956+N(O1956))*N(K1956)))</f>
        <v/>
      </c>
      <c r="T1956" s="10">
        <f>IF(Q1956="","",Q1956-S1956)</f>
        <v/>
      </c>
    </row>
    <row r="1957">
      <c r="A1957" s="7">
        <f>CONCATENATE(C1957,E1957,F1957,I1957)</f>
        <v/>
      </c>
      <c r="B1957" s="7">
        <f>CONCATENATE(C1957,E1957,I1957)</f>
        <v/>
      </c>
      <c r="C1957" s="8" t="n">
        <v>900006542</v>
      </c>
      <c r="D1957" s="7">
        <f>IFERROR(VLOOKUP(C1957,TRAOPE!$G:$H,2,0),"")</f>
        <v/>
      </c>
      <c r="E1957" s="8" t="inlineStr">
        <is>
          <t>D836</t>
        </is>
      </c>
      <c r="F1957" s="8" t="inlineStr">
        <is>
          <t>66838561</t>
        </is>
      </c>
      <c r="G1957" s="8">
        <f>IFERROR(VLOOKUP(A1957,Flete!$A:$E,5,0),"")</f>
        <v/>
      </c>
      <c r="H1957" s="7">
        <f>IFERROR(VLOOKUP(F1957,TRAOPE!$AA:$AB,2,0),"")</f>
        <v/>
      </c>
      <c r="I1957" s="7" t="n">
        <v>10000206</v>
      </c>
      <c r="J1957" s="7">
        <f>IFERROR(VLOOKUP(I1957,Materiales!$A:$H,8,0),"")</f>
        <v/>
      </c>
      <c r="K1957" s="9">
        <f>IFERROR(VLOOKUP(I1957,Materiales!$A:$G,7,0),"")</f>
        <v/>
      </c>
      <c r="L1957" s="8" t="inlineStr">
        <is>
          <t>20190426</t>
        </is>
      </c>
      <c r="M1957" s="8" t="inlineStr">
        <is>
          <t>20250127</t>
        </is>
      </c>
      <c r="N1957" s="10" t="n">
        <v>35</v>
      </c>
      <c r="O1957" s="10">
        <f>IFERROR(VLOOKUP(A1957,Flete!$A:$J,10,0),"")</f>
        <v/>
      </c>
      <c r="P1957" s="8" t="inlineStr">
        <is>
          <t>M3</t>
        </is>
      </c>
      <c r="Q1957" s="10">
        <f>IFERROR(IFERROR(VLOOKUP(A1957,TRAOPE!$A:$U,21,0),VLOOKUP(B1957,TRAOPE!$A:$U,21,0)),"")</f>
        <v/>
      </c>
      <c r="R1957" s="8">
        <f>IFERROR(IFERROR(VLOOKUP(A1957,TRAOPE!$A:$W,23,0),VLOOKUP(B1957,TRAOPE!$A:$W,23,0)),"")</f>
        <v/>
      </c>
      <c r="S1957" s="10">
        <f>IF(AND(P1957="TN",R1957="TN"),N1957+N(O1957),IF(G1957&amp;""="1",N(K1957)*N1957,(N1957+N(O1957))*N(K1957)))</f>
        <v/>
      </c>
      <c r="T1957" s="10">
        <f>IF(Q1957="","",Q1957-S1957)</f>
        <v/>
      </c>
    </row>
    <row r="1958">
      <c r="A1958" s="7">
        <f>CONCATENATE(C1958,E1958,F1958,I1958)</f>
        <v/>
      </c>
      <c r="B1958" s="7">
        <f>CONCATENATE(C1958,E1958,I1958)</f>
        <v/>
      </c>
      <c r="C1958" s="8" t="n">
        <v>900006542</v>
      </c>
      <c r="D1958" s="7">
        <f>IFERROR(VLOOKUP(C1958,TRAOPE!$G:$H,2,0),"")</f>
        <v/>
      </c>
      <c r="E1958" s="8" t="inlineStr">
        <is>
          <t>D836</t>
        </is>
      </c>
      <c r="F1958" s="8" t="inlineStr">
        <is>
          <t>66838561</t>
        </is>
      </c>
      <c r="G1958" s="8">
        <f>IFERROR(VLOOKUP(A1958,Flete!$A:$E,5,0),"")</f>
        <v/>
      </c>
      <c r="H1958" s="7">
        <f>IFERROR(VLOOKUP(F1958,TRAOPE!$AA:$AB,2,0),"")</f>
        <v/>
      </c>
      <c r="I1958" s="7" t="n">
        <v>10000357</v>
      </c>
      <c r="J1958" s="7">
        <f>IFERROR(VLOOKUP(I1958,Materiales!$A:$H,8,0),"")</f>
        <v/>
      </c>
      <c r="K1958" s="9">
        <f>IFERROR(VLOOKUP(I1958,Materiales!$A:$G,7,0),"")</f>
        <v/>
      </c>
      <c r="L1958" s="8" t="inlineStr">
        <is>
          <t>20190426</t>
        </is>
      </c>
      <c r="M1958" s="8" t="inlineStr">
        <is>
          <t>20250127</t>
        </is>
      </c>
      <c r="N1958" s="10" t="n">
        <v>115</v>
      </c>
      <c r="O1958" s="10">
        <f>IFERROR(VLOOKUP(A1958,Flete!$A:$J,10,0),"")</f>
        <v/>
      </c>
      <c r="P1958" s="8" t="inlineStr">
        <is>
          <t>M3</t>
        </is>
      </c>
      <c r="Q1958" s="10">
        <f>IFERROR(IFERROR(VLOOKUP(A1958,TRAOPE!$A:$U,21,0),VLOOKUP(B1958,TRAOPE!$A:$U,21,0)),"")</f>
        <v/>
      </c>
      <c r="R1958" s="8">
        <f>IFERROR(IFERROR(VLOOKUP(A1958,TRAOPE!$A:$W,23,0),VLOOKUP(B1958,TRAOPE!$A:$W,23,0)),"")</f>
        <v/>
      </c>
      <c r="S1958" s="10">
        <f>IF(AND(P1958="TN",R1958="TN"),N1958+N(O1958),IF(G1958&amp;""="1",N(K1958)*N1958,(N1958+N(O1958))*N(K1958)))</f>
        <v/>
      </c>
      <c r="T1958" s="10">
        <f>IF(Q1958="","",Q1958-S1958)</f>
        <v/>
      </c>
    </row>
    <row r="1959">
      <c r="A1959" s="7">
        <f>CONCATENATE(C1959,E1959,F1959,I1959)</f>
        <v/>
      </c>
      <c r="B1959" s="7">
        <f>CONCATENATE(C1959,E1959,I1959)</f>
        <v/>
      </c>
      <c r="C1959" s="8" t="n">
        <v>900006542</v>
      </c>
      <c r="D1959" s="7">
        <f>IFERROR(VLOOKUP(C1959,TRAOPE!$G:$H,2,0),"")</f>
        <v/>
      </c>
      <c r="E1959" s="8" t="inlineStr">
        <is>
          <t>D836</t>
        </is>
      </c>
      <c r="F1959" s="8" t="inlineStr">
        <is>
          <t>66851034</t>
        </is>
      </c>
      <c r="G1959" s="8">
        <f>IFERROR(VLOOKUP(A1959,Flete!$A:$E,5,0),"")</f>
        <v/>
      </c>
      <c r="H1959" s="7">
        <f>IFERROR(VLOOKUP(F1959,TRAOPE!$AA:$AB,2,0),"")</f>
        <v/>
      </c>
      <c r="I1959" s="7" t="n">
        <v>10000160</v>
      </c>
      <c r="J1959" s="7">
        <f>IFERROR(VLOOKUP(I1959,Materiales!$A:$H,8,0),"")</f>
        <v/>
      </c>
      <c r="K1959" s="9">
        <f>IFERROR(VLOOKUP(I1959,Materiales!$A:$G,7,0),"")</f>
        <v/>
      </c>
      <c r="L1959" s="8" t="inlineStr">
        <is>
          <t>20190426</t>
        </is>
      </c>
      <c r="M1959" s="8" t="inlineStr">
        <is>
          <t>20250127</t>
        </is>
      </c>
      <c r="N1959" s="10" t="n">
        <v>117</v>
      </c>
      <c r="O1959" s="10">
        <f>IFERROR(VLOOKUP(A1959,Flete!$A:$J,10,0),"")</f>
        <v/>
      </c>
      <c r="P1959" s="8" t="inlineStr">
        <is>
          <t>M3</t>
        </is>
      </c>
      <c r="Q1959" s="10">
        <f>IFERROR(IFERROR(VLOOKUP(A1959,TRAOPE!$A:$U,21,0),VLOOKUP(B1959,TRAOPE!$A:$U,21,0)),"")</f>
        <v/>
      </c>
      <c r="R1959" s="8">
        <f>IFERROR(IFERROR(VLOOKUP(A1959,TRAOPE!$A:$W,23,0),VLOOKUP(B1959,TRAOPE!$A:$W,23,0)),"")</f>
        <v/>
      </c>
      <c r="S1959" s="10">
        <f>IF(AND(P1959="TN",R1959="TN"),N1959+N(O1959),IF(G1959&amp;""="1",N(K1959)*N1959,(N1959+N(O1959))*N(K1959)))</f>
        <v/>
      </c>
      <c r="T1959" s="10">
        <f>IF(Q1959="","",Q1959-S1959)</f>
        <v/>
      </c>
    </row>
    <row r="1960">
      <c r="A1960" s="7">
        <f>CONCATENATE(C1960,E1960,F1960,I1960)</f>
        <v/>
      </c>
      <c r="B1960" s="7">
        <f>CONCATENATE(C1960,E1960,I1960)</f>
        <v/>
      </c>
      <c r="C1960" s="8" t="n">
        <v>900006542</v>
      </c>
      <c r="D1960" s="7">
        <f>IFERROR(VLOOKUP(C1960,TRAOPE!$G:$H,2,0),"")</f>
        <v/>
      </c>
      <c r="E1960" s="8" t="inlineStr">
        <is>
          <t>D836</t>
        </is>
      </c>
      <c r="F1960" s="8" t="inlineStr">
        <is>
          <t>66851034</t>
        </is>
      </c>
      <c r="G1960" s="8">
        <f>IFERROR(VLOOKUP(A1960,Flete!$A:$E,5,0),"")</f>
        <v/>
      </c>
      <c r="H1960" s="7">
        <f>IFERROR(VLOOKUP(F1960,TRAOPE!$AA:$AB,2,0),"")</f>
        <v/>
      </c>
      <c r="I1960" s="7" t="n">
        <v>10000357</v>
      </c>
      <c r="J1960" s="7">
        <f>IFERROR(VLOOKUP(I1960,Materiales!$A:$H,8,0),"")</f>
        <v/>
      </c>
      <c r="K1960" s="9">
        <f>IFERROR(VLOOKUP(I1960,Materiales!$A:$G,7,0),"")</f>
        <v/>
      </c>
      <c r="L1960" s="8" t="inlineStr">
        <is>
          <t>20190426</t>
        </is>
      </c>
      <c r="M1960" s="8" t="inlineStr">
        <is>
          <t>20250127</t>
        </is>
      </c>
      <c r="N1960" s="10" t="n">
        <v>127</v>
      </c>
      <c r="O1960" s="10">
        <f>IFERROR(VLOOKUP(A1960,Flete!$A:$J,10,0),"")</f>
        <v/>
      </c>
      <c r="P1960" s="8" t="inlineStr">
        <is>
          <t>M3</t>
        </is>
      </c>
      <c r="Q1960" s="10">
        <f>IFERROR(IFERROR(VLOOKUP(A1960,TRAOPE!$A:$U,21,0),VLOOKUP(B1960,TRAOPE!$A:$U,21,0)),"")</f>
        <v/>
      </c>
      <c r="R1960" s="8">
        <f>IFERROR(IFERROR(VLOOKUP(A1960,TRAOPE!$A:$W,23,0),VLOOKUP(B1960,TRAOPE!$A:$W,23,0)),"")</f>
        <v/>
      </c>
      <c r="S1960" s="10">
        <f>IF(AND(P1960="TN",R1960="TN"),N1960+N(O1960),IF(G1960&amp;""="1",N(K1960)*N1960,(N1960+N(O1960))*N(K1960)))</f>
        <v/>
      </c>
      <c r="T1960" s="10">
        <f>IF(Q1960="","",Q1960-S1960)</f>
        <v/>
      </c>
    </row>
    <row r="1961">
      <c r="A1961" s="7">
        <f>CONCATENATE(C1961,E1961,F1961,I1961)</f>
        <v/>
      </c>
      <c r="B1961" s="7">
        <f>CONCATENATE(C1961,E1961,I1961)</f>
        <v/>
      </c>
      <c r="C1961" s="8" t="n">
        <v>900006542</v>
      </c>
      <c r="D1961" s="7">
        <f>IFERROR(VLOOKUP(C1961,TRAOPE!$G:$H,2,0),"")</f>
        <v/>
      </c>
      <c r="E1961" s="8" t="inlineStr">
        <is>
          <t>D836</t>
        </is>
      </c>
      <c r="F1961" s="8" t="inlineStr">
        <is>
          <t>66852206</t>
        </is>
      </c>
      <c r="G1961" s="8">
        <f>IFERROR(VLOOKUP(A1961,Flete!$A:$E,5,0),"")</f>
        <v/>
      </c>
      <c r="H1961" s="7">
        <f>IFERROR(VLOOKUP(F1961,TRAOPE!$AA:$AB,2,0),"")</f>
        <v/>
      </c>
      <c r="I1961" s="7" t="n">
        <v>10000160</v>
      </c>
      <c r="J1961" s="7">
        <f>IFERROR(VLOOKUP(I1961,Materiales!$A:$H,8,0),"")</f>
        <v/>
      </c>
      <c r="K1961" s="9">
        <f>IFERROR(VLOOKUP(I1961,Materiales!$A:$G,7,0),"")</f>
        <v/>
      </c>
      <c r="L1961" s="8" t="inlineStr">
        <is>
          <t>20190426</t>
        </is>
      </c>
      <c r="M1961" s="8" t="inlineStr">
        <is>
          <t>20250127</t>
        </is>
      </c>
      <c r="N1961" s="10" t="n">
        <v>106</v>
      </c>
      <c r="O1961" s="10">
        <f>IFERROR(VLOOKUP(A1961,Flete!$A:$J,10,0),"")</f>
        <v/>
      </c>
      <c r="P1961" s="8" t="inlineStr">
        <is>
          <t>M3</t>
        </is>
      </c>
      <c r="Q1961" s="10">
        <f>IFERROR(IFERROR(VLOOKUP(A1961,TRAOPE!$A:$U,21,0),VLOOKUP(B1961,TRAOPE!$A:$U,21,0)),"")</f>
        <v/>
      </c>
      <c r="R1961" s="8">
        <f>IFERROR(IFERROR(VLOOKUP(A1961,TRAOPE!$A:$W,23,0),VLOOKUP(B1961,TRAOPE!$A:$W,23,0)),"")</f>
        <v/>
      </c>
      <c r="S1961" s="10">
        <f>IF(AND(P1961="TN",R1961="TN"),N1961+N(O1961),IF(G1961&amp;""="1",N(K1961)*N1961,(N1961+N(O1961))*N(K1961)))</f>
        <v/>
      </c>
      <c r="T1961" s="10">
        <f>IF(Q1961="","",Q1961-S1961)</f>
        <v/>
      </c>
    </row>
    <row r="1962">
      <c r="A1962" s="7">
        <f>CONCATENATE(C1962,E1962,F1962,I1962)</f>
        <v/>
      </c>
      <c r="B1962" s="7">
        <f>CONCATENATE(C1962,E1962,I1962)</f>
        <v/>
      </c>
      <c r="C1962" s="8" t="n">
        <v>900006542</v>
      </c>
      <c r="D1962" s="7">
        <f>IFERROR(VLOOKUP(C1962,TRAOPE!$G:$H,2,0),"")</f>
        <v/>
      </c>
      <c r="E1962" s="8" t="inlineStr">
        <is>
          <t>D836</t>
        </is>
      </c>
      <c r="F1962" s="8" t="inlineStr">
        <is>
          <t>66852206</t>
        </is>
      </c>
      <c r="G1962" s="8">
        <f>IFERROR(VLOOKUP(A1962,Flete!$A:$E,5,0),"")</f>
        <v/>
      </c>
      <c r="H1962" s="7">
        <f>IFERROR(VLOOKUP(F1962,TRAOPE!$AA:$AB,2,0),"")</f>
        <v/>
      </c>
      <c r="I1962" s="7" t="n">
        <v>10000357</v>
      </c>
      <c r="J1962" s="7">
        <f>IFERROR(VLOOKUP(I1962,Materiales!$A:$H,8,0),"")</f>
        <v/>
      </c>
      <c r="K1962" s="9">
        <f>IFERROR(VLOOKUP(I1962,Materiales!$A:$G,7,0),"")</f>
        <v/>
      </c>
      <c r="L1962" s="8" t="inlineStr">
        <is>
          <t>20190426</t>
        </is>
      </c>
      <c r="M1962" s="8" t="inlineStr">
        <is>
          <t>20250127</t>
        </is>
      </c>
      <c r="N1962" s="10" t="n">
        <v>116</v>
      </c>
      <c r="O1962" s="10">
        <f>IFERROR(VLOOKUP(A1962,Flete!$A:$J,10,0),"")</f>
        <v/>
      </c>
      <c r="P1962" s="8" t="inlineStr">
        <is>
          <t>M3</t>
        </is>
      </c>
      <c r="Q1962" s="10">
        <f>IFERROR(IFERROR(VLOOKUP(A1962,TRAOPE!$A:$U,21,0),VLOOKUP(B1962,TRAOPE!$A:$U,21,0)),"")</f>
        <v/>
      </c>
      <c r="R1962" s="8">
        <f>IFERROR(IFERROR(VLOOKUP(A1962,TRAOPE!$A:$W,23,0),VLOOKUP(B1962,TRAOPE!$A:$W,23,0)),"")</f>
        <v/>
      </c>
      <c r="S1962" s="10">
        <f>IF(AND(P1962="TN",R1962="TN"),N1962+N(O1962),IF(G1962&amp;""="1",N(K1962)*N1962,(N1962+N(O1962))*N(K1962)))</f>
        <v/>
      </c>
      <c r="T1962" s="10">
        <f>IF(Q1962="","",Q1962-S1962)</f>
        <v/>
      </c>
    </row>
    <row r="1963">
      <c r="A1963" s="7">
        <f>CONCATENATE(C1963,E1963,F1963,I1963)</f>
        <v/>
      </c>
      <c r="B1963" s="7">
        <f>CONCATENATE(C1963,E1963,I1963)</f>
        <v/>
      </c>
      <c r="C1963" s="8" t="n">
        <v>900006542</v>
      </c>
      <c r="D1963" s="7">
        <f>IFERROR(VLOOKUP(C1963,TRAOPE!$G:$H,2,0),"")</f>
        <v/>
      </c>
      <c r="E1963" s="8" t="inlineStr">
        <is>
          <t>D836</t>
        </is>
      </c>
      <c r="F1963" s="8" t="inlineStr">
        <is>
          <t>66876362</t>
        </is>
      </c>
      <c r="G1963" s="8">
        <f>IFERROR(VLOOKUP(A1963,Flete!$A:$E,5,0),"")</f>
        <v/>
      </c>
      <c r="H1963" s="7">
        <f>IFERROR(VLOOKUP(F1963,TRAOPE!$AA:$AB,2,0),"")</f>
        <v/>
      </c>
      <c r="I1963" s="7" t="n">
        <v>10000160</v>
      </c>
      <c r="J1963" s="7">
        <f>IFERROR(VLOOKUP(I1963,Materiales!$A:$H,8,0),"")</f>
        <v/>
      </c>
      <c r="K1963" s="9">
        <f>IFERROR(VLOOKUP(I1963,Materiales!$A:$G,7,0),"")</f>
        <v/>
      </c>
      <c r="L1963" s="8" t="inlineStr">
        <is>
          <t>20190426</t>
        </is>
      </c>
      <c r="M1963" s="8" t="inlineStr">
        <is>
          <t>20250127</t>
        </is>
      </c>
      <c r="N1963" s="10" t="n">
        <v>112.07</v>
      </c>
      <c r="O1963" s="10">
        <f>IFERROR(VLOOKUP(A1963,Flete!$A:$J,10,0),"")</f>
        <v/>
      </c>
      <c r="P1963" s="8" t="inlineStr">
        <is>
          <t>M3</t>
        </is>
      </c>
      <c r="Q1963" s="10">
        <f>IFERROR(IFERROR(VLOOKUP(A1963,TRAOPE!$A:$U,21,0),VLOOKUP(B1963,TRAOPE!$A:$U,21,0)),"")</f>
        <v/>
      </c>
      <c r="R1963" s="8">
        <f>IFERROR(IFERROR(VLOOKUP(A1963,TRAOPE!$A:$W,23,0),VLOOKUP(B1963,TRAOPE!$A:$W,23,0)),"")</f>
        <v/>
      </c>
      <c r="S1963" s="10">
        <f>IF(AND(P1963="TN",R1963="TN"),N1963+N(O1963),IF(G1963&amp;""="1",N(K1963)*N1963,(N1963+N(O1963))*N(K1963)))</f>
        <v/>
      </c>
      <c r="T1963" s="10">
        <f>IF(Q1963="","",Q1963-S1963)</f>
        <v/>
      </c>
    </row>
    <row r="1964">
      <c r="A1964" s="7">
        <f>CONCATENATE(C1964,E1964,F1964,I1964)</f>
        <v/>
      </c>
      <c r="B1964" s="7">
        <f>CONCATENATE(C1964,E1964,I1964)</f>
        <v/>
      </c>
      <c r="C1964" s="8" t="n">
        <v>900006542</v>
      </c>
      <c r="D1964" s="7">
        <f>IFERROR(VLOOKUP(C1964,TRAOPE!$G:$H,2,0),"")</f>
        <v/>
      </c>
      <c r="E1964" s="8" t="inlineStr">
        <is>
          <t>D836</t>
        </is>
      </c>
      <c r="F1964" s="8" t="inlineStr">
        <is>
          <t>66876362</t>
        </is>
      </c>
      <c r="G1964" s="8">
        <f>IFERROR(VLOOKUP(A1964,Flete!$A:$E,5,0),"")</f>
        <v/>
      </c>
      <c r="H1964" s="7">
        <f>IFERROR(VLOOKUP(F1964,TRAOPE!$AA:$AB,2,0),"")</f>
        <v/>
      </c>
      <c r="I1964" s="7" t="n">
        <v>10000357</v>
      </c>
      <c r="J1964" s="7">
        <f>IFERROR(VLOOKUP(I1964,Materiales!$A:$H,8,0),"")</f>
        <v/>
      </c>
      <c r="K1964" s="9">
        <f>IFERROR(VLOOKUP(I1964,Materiales!$A:$G,7,0),"")</f>
        <v/>
      </c>
      <c r="L1964" s="8" t="inlineStr">
        <is>
          <t>20190426</t>
        </is>
      </c>
      <c r="M1964" s="8" t="inlineStr">
        <is>
          <t>20250127</t>
        </is>
      </c>
      <c r="N1964" s="10" t="n">
        <v>151.83</v>
      </c>
      <c r="O1964" s="10">
        <f>IFERROR(VLOOKUP(A1964,Flete!$A:$J,10,0),"")</f>
        <v/>
      </c>
      <c r="P1964" s="8" t="inlineStr">
        <is>
          <t>M3</t>
        </is>
      </c>
      <c r="Q1964" s="10">
        <f>IFERROR(IFERROR(VLOOKUP(A1964,TRAOPE!$A:$U,21,0),VLOOKUP(B1964,TRAOPE!$A:$U,21,0)),"")</f>
        <v/>
      </c>
      <c r="R1964" s="8">
        <f>IFERROR(IFERROR(VLOOKUP(A1964,TRAOPE!$A:$W,23,0),VLOOKUP(B1964,TRAOPE!$A:$W,23,0)),"")</f>
        <v/>
      </c>
      <c r="S1964" s="10">
        <f>IF(AND(P1964="TN",R1964="TN"),N1964+N(O1964),IF(G1964&amp;""="1",N(K1964)*N1964,(N1964+N(O1964))*N(K1964)))</f>
        <v/>
      </c>
      <c r="T1964" s="10">
        <f>IF(Q1964="","",Q1964-S1964)</f>
        <v/>
      </c>
    </row>
    <row r="1965">
      <c r="A1965" s="7">
        <f>CONCATENATE(C1965,E1965,F1965,I1965)</f>
        <v/>
      </c>
      <c r="B1965" s="7">
        <f>CONCATENATE(C1965,E1965,I1965)</f>
        <v/>
      </c>
      <c r="C1965" s="8" t="n">
        <v>900006542</v>
      </c>
      <c r="D1965" s="7">
        <f>IFERROR(VLOOKUP(C1965,TRAOPE!$G:$H,2,0),"")</f>
        <v/>
      </c>
      <c r="E1965" s="8" t="inlineStr">
        <is>
          <t>D836</t>
        </is>
      </c>
      <c r="F1965" s="8" t="inlineStr">
        <is>
          <t>66878071</t>
        </is>
      </c>
      <c r="G1965" s="8">
        <f>IFERROR(VLOOKUP(A1965,Flete!$A:$E,5,0),"")</f>
        <v/>
      </c>
      <c r="H1965" s="7">
        <f>IFERROR(VLOOKUP(F1965,TRAOPE!$AA:$AB,2,0),"")</f>
        <v/>
      </c>
      <c r="I1965" s="7" t="n">
        <v>10000133</v>
      </c>
      <c r="J1965" s="7">
        <f>IFERROR(VLOOKUP(I1965,Materiales!$A:$H,8,0),"")</f>
        <v/>
      </c>
      <c r="K1965" s="9">
        <f>IFERROR(VLOOKUP(I1965,Materiales!$A:$G,7,0),"")</f>
        <v/>
      </c>
      <c r="L1965" s="8" t="inlineStr">
        <is>
          <t>20190426</t>
        </is>
      </c>
      <c r="M1965" s="8" t="inlineStr">
        <is>
          <t>20250127</t>
        </is>
      </c>
      <c r="N1965" s="10" t="n">
        <v>270</v>
      </c>
      <c r="O1965" s="10">
        <f>IFERROR(VLOOKUP(A1965,Flete!$A:$J,10,0),"")</f>
        <v/>
      </c>
      <c r="P1965" s="8" t="inlineStr">
        <is>
          <t>M3</t>
        </is>
      </c>
      <c r="Q1965" s="10">
        <f>IFERROR(IFERROR(VLOOKUP(A1965,TRAOPE!$A:$U,21,0),VLOOKUP(B1965,TRAOPE!$A:$U,21,0)),"")</f>
        <v/>
      </c>
      <c r="R1965" s="8">
        <f>IFERROR(IFERROR(VLOOKUP(A1965,TRAOPE!$A:$W,23,0),VLOOKUP(B1965,TRAOPE!$A:$W,23,0)),"")</f>
        <v/>
      </c>
      <c r="S1965" s="10">
        <f>IF(AND(P1965="TN",R1965="TN"),N1965+N(O1965),IF(G1965&amp;""="1",N(K1965)*N1965,(N1965+N(O1965))*N(K1965)))</f>
        <v/>
      </c>
      <c r="T1965" s="10">
        <f>IF(Q1965="","",Q1965-S1965)</f>
        <v/>
      </c>
    </row>
    <row r="1966">
      <c r="A1966" s="7">
        <f>CONCATENATE(C1966,E1966,F1966,I1966)</f>
        <v/>
      </c>
      <c r="B1966" s="7">
        <f>CONCATENATE(C1966,E1966,I1966)</f>
        <v/>
      </c>
      <c r="C1966" s="8" t="n">
        <v>900006542</v>
      </c>
      <c r="D1966" s="7">
        <f>IFERROR(VLOOKUP(C1966,TRAOPE!$G:$H,2,0),"")</f>
        <v/>
      </c>
      <c r="E1966" s="8" t="inlineStr">
        <is>
          <t>D836</t>
        </is>
      </c>
      <c r="F1966" s="8" t="inlineStr">
        <is>
          <t>66880132</t>
        </is>
      </c>
      <c r="G1966" s="8">
        <f>IFERROR(VLOOKUP(A1966,Flete!$A:$E,5,0),"")</f>
        <v/>
      </c>
      <c r="H1966" s="7">
        <f>IFERROR(VLOOKUP(F1966,TRAOPE!$AA:$AB,2,0),"")</f>
        <v/>
      </c>
      <c r="I1966" s="7" t="n">
        <v>10000206</v>
      </c>
      <c r="J1966" s="7">
        <f>IFERROR(VLOOKUP(I1966,Materiales!$A:$H,8,0),"")</f>
        <v/>
      </c>
      <c r="K1966" s="9">
        <f>IFERROR(VLOOKUP(I1966,Materiales!$A:$G,7,0),"")</f>
        <v/>
      </c>
      <c r="L1966" s="8" t="inlineStr">
        <is>
          <t>20190426</t>
        </is>
      </c>
      <c r="M1966" s="8" t="inlineStr">
        <is>
          <t>20250127</t>
        </is>
      </c>
      <c r="N1966" s="10" t="n">
        <v>67.5</v>
      </c>
      <c r="O1966" s="10">
        <f>IFERROR(VLOOKUP(A1966,Flete!$A:$J,10,0),"")</f>
        <v/>
      </c>
      <c r="P1966" s="8" t="inlineStr">
        <is>
          <t>M3</t>
        </is>
      </c>
      <c r="Q1966" s="10">
        <f>IFERROR(IFERROR(VLOOKUP(A1966,TRAOPE!$A:$U,21,0),VLOOKUP(B1966,TRAOPE!$A:$U,21,0)),"")</f>
        <v/>
      </c>
      <c r="R1966" s="8">
        <f>IFERROR(IFERROR(VLOOKUP(A1966,TRAOPE!$A:$W,23,0),VLOOKUP(B1966,TRAOPE!$A:$W,23,0)),"")</f>
        <v/>
      </c>
      <c r="S1966" s="10">
        <f>IF(AND(P1966="TN",R1966="TN"),N1966+N(O1966),IF(G1966&amp;""="1",N(K1966)*N1966,(N1966+N(O1966))*N(K1966)))</f>
        <v/>
      </c>
      <c r="T1966" s="10">
        <f>IF(Q1966="","",Q1966-S1966)</f>
        <v/>
      </c>
    </row>
    <row r="1967">
      <c r="A1967" s="7">
        <f>CONCATENATE(C1967,E1967,F1967,I1967)</f>
        <v/>
      </c>
      <c r="B1967" s="7">
        <f>CONCATENATE(C1967,E1967,I1967)</f>
        <v/>
      </c>
      <c r="C1967" s="8" t="n">
        <v>900006542</v>
      </c>
      <c r="D1967" s="7">
        <f>IFERROR(VLOOKUP(C1967,TRAOPE!$G:$H,2,0),"")</f>
        <v/>
      </c>
      <c r="E1967" s="8" t="inlineStr">
        <is>
          <t>D836</t>
        </is>
      </c>
      <c r="F1967" s="8" t="inlineStr">
        <is>
          <t>66885144</t>
        </is>
      </c>
      <c r="G1967" s="8">
        <f>IFERROR(VLOOKUP(A1967,Flete!$A:$E,5,0),"")</f>
        <v/>
      </c>
      <c r="H1967" s="7">
        <f>IFERROR(VLOOKUP(F1967,TRAOPE!$AA:$AB,2,0),"")</f>
        <v/>
      </c>
      <c r="I1967" s="7" t="n">
        <v>10000160</v>
      </c>
      <c r="J1967" s="7">
        <f>IFERROR(VLOOKUP(I1967,Materiales!$A:$H,8,0),"")</f>
        <v/>
      </c>
      <c r="K1967" s="9">
        <f>IFERROR(VLOOKUP(I1967,Materiales!$A:$G,7,0),"")</f>
        <v/>
      </c>
      <c r="L1967" s="8" t="inlineStr">
        <is>
          <t>20190426</t>
        </is>
      </c>
      <c r="M1967" s="8" t="inlineStr">
        <is>
          <t>20250127</t>
        </is>
      </c>
      <c r="N1967" s="10" t="n">
        <v>115</v>
      </c>
      <c r="O1967" s="10">
        <f>IFERROR(VLOOKUP(A1967,Flete!$A:$J,10,0),"")</f>
        <v/>
      </c>
      <c r="P1967" s="8" t="inlineStr">
        <is>
          <t>M3</t>
        </is>
      </c>
      <c r="Q1967" s="10">
        <f>IFERROR(IFERROR(VLOOKUP(A1967,TRAOPE!$A:$U,21,0),VLOOKUP(B1967,TRAOPE!$A:$U,21,0)),"")</f>
        <v/>
      </c>
      <c r="R1967" s="8">
        <f>IFERROR(IFERROR(VLOOKUP(A1967,TRAOPE!$A:$W,23,0),VLOOKUP(B1967,TRAOPE!$A:$W,23,0)),"")</f>
        <v/>
      </c>
      <c r="S1967" s="10">
        <f>IF(AND(P1967="TN",R1967="TN"),N1967+N(O1967),IF(G1967&amp;""="1",N(K1967)*N1967,(N1967+N(O1967))*N(K1967)))</f>
        <v/>
      </c>
      <c r="T1967" s="10">
        <f>IF(Q1967="","",Q1967-S1967)</f>
        <v/>
      </c>
    </row>
    <row r="1968">
      <c r="A1968" s="7">
        <f>CONCATENATE(C1968,E1968,F1968,I1968)</f>
        <v/>
      </c>
      <c r="B1968" s="7">
        <f>CONCATENATE(C1968,E1968,I1968)</f>
        <v/>
      </c>
      <c r="C1968" s="8" t="n">
        <v>900006542</v>
      </c>
      <c r="D1968" s="7">
        <f>IFERROR(VLOOKUP(C1968,TRAOPE!$G:$H,2,0),"")</f>
        <v/>
      </c>
      <c r="E1968" s="8" t="inlineStr">
        <is>
          <t>D836</t>
        </is>
      </c>
      <c r="F1968" s="8" t="inlineStr">
        <is>
          <t>66885144</t>
        </is>
      </c>
      <c r="G1968" s="8">
        <f>IFERROR(VLOOKUP(A1968,Flete!$A:$E,5,0),"")</f>
        <v/>
      </c>
      <c r="H1968" s="7">
        <f>IFERROR(VLOOKUP(F1968,TRAOPE!$AA:$AB,2,0),"")</f>
        <v/>
      </c>
      <c r="I1968" s="7" t="n">
        <v>10000301</v>
      </c>
      <c r="J1968" s="7">
        <f>IFERROR(VLOOKUP(I1968,Materiales!$A:$H,8,0),"")</f>
        <v/>
      </c>
      <c r="K1968" s="9">
        <f>IFERROR(VLOOKUP(I1968,Materiales!$A:$G,7,0),"")</f>
        <v/>
      </c>
      <c r="L1968" s="8" t="inlineStr">
        <is>
          <t>20190426</t>
        </is>
      </c>
      <c r="M1968" s="8" t="inlineStr">
        <is>
          <t>20250127</t>
        </is>
      </c>
      <c r="N1968" s="10" t="n">
        <v>80</v>
      </c>
      <c r="O1968" s="10">
        <f>IFERROR(VLOOKUP(A1968,Flete!$A:$J,10,0),"")</f>
        <v/>
      </c>
      <c r="P1968" s="8" t="inlineStr">
        <is>
          <t>M3</t>
        </is>
      </c>
      <c r="Q1968" s="10">
        <f>IFERROR(IFERROR(VLOOKUP(A1968,TRAOPE!$A:$U,21,0),VLOOKUP(B1968,TRAOPE!$A:$U,21,0)),"")</f>
        <v/>
      </c>
      <c r="R1968" s="8">
        <f>IFERROR(IFERROR(VLOOKUP(A1968,TRAOPE!$A:$W,23,0),VLOOKUP(B1968,TRAOPE!$A:$W,23,0)),"")</f>
        <v/>
      </c>
      <c r="S1968" s="10">
        <f>IF(AND(P1968="TN",R1968="TN"),N1968+N(O1968),IF(G1968&amp;""="1",N(K1968)*N1968,(N1968+N(O1968))*N(K1968)))</f>
        <v/>
      </c>
      <c r="T1968" s="10">
        <f>IF(Q1968="","",Q1968-S1968)</f>
        <v/>
      </c>
    </row>
    <row r="1969">
      <c r="A1969" s="7">
        <f>CONCATENATE(C1969,E1969,F1969,I1969)</f>
        <v/>
      </c>
      <c r="B1969" s="7">
        <f>CONCATENATE(C1969,E1969,I1969)</f>
        <v/>
      </c>
      <c r="C1969" s="8" t="n">
        <v>900006542</v>
      </c>
      <c r="D1969" s="7">
        <f>IFERROR(VLOOKUP(C1969,TRAOPE!$G:$H,2,0),"")</f>
        <v/>
      </c>
      <c r="E1969" s="8" t="inlineStr">
        <is>
          <t>D836</t>
        </is>
      </c>
      <c r="F1969" s="8" t="inlineStr">
        <is>
          <t>66885144</t>
        </is>
      </c>
      <c r="G1969" s="8">
        <f>IFERROR(VLOOKUP(A1969,Flete!$A:$E,5,0),"")</f>
        <v/>
      </c>
      <c r="H1969" s="7">
        <f>IFERROR(VLOOKUP(F1969,TRAOPE!$AA:$AB,2,0),"")</f>
        <v/>
      </c>
      <c r="I1969" s="7" t="n">
        <v>10000357</v>
      </c>
      <c r="J1969" s="7">
        <f>IFERROR(VLOOKUP(I1969,Materiales!$A:$H,8,0),"")</f>
        <v/>
      </c>
      <c r="K1969" s="9">
        <f>IFERROR(VLOOKUP(I1969,Materiales!$A:$G,7,0),"")</f>
        <v/>
      </c>
      <c r="L1969" s="8" t="inlineStr">
        <is>
          <t>20190426</t>
        </is>
      </c>
      <c r="M1969" s="8" t="inlineStr">
        <is>
          <t>20250127</t>
        </is>
      </c>
      <c r="N1969" s="10" t="n">
        <v>130</v>
      </c>
      <c r="O1969" s="10">
        <f>IFERROR(VLOOKUP(A1969,Flete!$A:$J,10,0),"")</f>
        <v/>
      </c>
      <c r="P1969" s="8" t="inlineStr">
        <is>
          <t>M3</t>
        </is>
      </c>
      <c r="Q1969" s="10">
        <f>IFERROR(IFERROR(VLOOKUP(A1969,TRAOPE!$A:$U,21,0),VLOOKUP(B1969,TRAOPE!$A:$U,21,0)),"")</f>
        <v/>
      </c>
      <c r="R1969" s="8">
        <f>IFERROR(IFERROR(VLOOKUP(A1969,TRAOPE!$A:$W,23,0),VLOOKUP(B1969,TRAOPE!$A:$W,23,0)),"")</f>
        <v/>
      </c>
      <c r="S1969" s="10">
        <f>IF(AND(P1969="TN",R1969="TN"),N1969+N(O1969),IF(G1969&amp;""="1",N(K1969)*N1969,(N1969+N(O1969))*N(K1969)))</f>
        <v/>
      </c>
      <c r="T1969" s="10">
        <f>IF(Q1969="","",Q1969-S1969)</f>
        <v/>
      </c>
    </row>
    <row r="1970">
      <c r="A1970" s="7">
        <f>CONCATENATE(C1970,E1970,F1970,I1970)</f>
        <v/>
      </c>
      <c r="B1970" s="7">
        <f>CONCATENATE(C1970,E1970,I1970)</f>
        <v/>
      </c>
      <c r="C1970" s="8" t="n">
        <v>900006542</v>
      </c>
      <c r="D1970" s="7">
        <f>IFERROR(VLOOKUP(C1970,TRAOPE!$G:$H,2,0),"")</f>
        <v/>
      </c>
      <c r="E1970" s="8" t="inlineStr">
        <is>
          <t>D836</t>
        </is>
      </c>
      <c r="F1970" s="8" t="inlineStr">
        <is>
          <t>66885144</t>
        </is>
      </c>
      <c r="G1970" s="8">
        <f>IFERROR(VLOOKUP(A1970,Flete!$A:$E,5,0),"")</f>
        <v/>
      </c>
      <c r="H1970" s="7">
        <f>IFERROR(VLOOKUP(F1970,TRAOPE!$AA:$AB,2,0),"")</f>
        <v/>
      </c>
      <c r="I1970" s="7" t="n">
        <v>10000441</v>
      </c>
      <c r="J1970" s="7">
        <f>IFERROR(VLOOKUP(I1970,Materiales!$A:$H,8,0),"")</f>
        <v/>
      </c>
      <c r="K1970" s="9">
        <f>IFERROR(VLOOKUP(I1970,Materiales!$A:$G,7,0),"")</f>
        <v/>
      </c>
      <c r="L1970" s="8" t="inlineStr">
        <is>
          <t>20190426</t>
        </is>
      </c>
      <c r="M1970" s="8" t="inlineStr">
        <is>
          <t>20250127</t>
        </is>
      </c>
      <c r="N1970" s="10" t="n">
        <v>130</v>
      </c>
      <c r="O1970" s="10">
        <f>IFERROR(VLOOKUP(A1970,Flete!$A:$J,10,0),"")</f>
        <v/>
      </c>
      <c r="P1970" s="8" t="inlineStr">
        <is>
          <t>M3</t>
        </is>
      </c>
      <c r="Q1970" s="10">
        <f>IFERROR(IFERROR(VLOOKUP(A1970,TRAOPE!$A:$U,21,0),VLOOKUP(B1970,TRAOPE!$A:$U,21,0)),"")</f>
        <v/>
      </c>
      <c r="R1970" s="8">
        <f>IFERROR(IFERROR(VLOOKUP(A1970,TRAOPE!$A:$W,23,0),VLOOKUP(B1970,TRAOPE!$A:$W,23,0)),"")</f>
        <v/>
      </c>
      <c r="S1970" s="10">
        <f>IF(AND(P1970="TN",R1970="TN"),N1970+N(O1970),IF(G1970&amp;""="1",N(K1970)*N1970,(N1970+N(O1970))*N(K1970)))</f>
        <v/>
      </c>
      <c r="T1970" s="10">
        <f>IF(Q1970="","",Q1970-S1970)</f>
        <v/>
      </c>
    </row>
    <row r="1971">
      <c r="A1971" s="7">
        <f>CONCATENATE(C1971,E1971,F1971,I1971)</f>
        <v/>
      </c>
      <c r="B1971" s="7">
        <f>CONCATENATE(C1971,E1971,I1971)</f>
        <v/>
      </c>
      <c r="C1971" s="8" t="n">
        <v>900006542</v>
      </c>
      <c r="D1971" s="7">
        <f>IFERROR(VLOOKUP(C1971,TRAOPE!$G:$H,2,0),"")</f>
        <v/>
      </c>
      <c r="E1971" s="8" t="inlineStr">
        <is>
          <t>D836</t>
        </is>
      </c>
      <c r="F1971" s="8" t="inlineStr">
        <is>
          <t>66885144</t>
        </is>
      </c>
      <c r="G1971" s="8">
        <f>IFERROR(VLOOKUP(A1971,Flete!$A:$E,5,0),"")</f>
        <v/>
      </c>
      <c r="H1971" s="7">
        <f>IFERROR(VLOOKUP(F1971,TRAOPE!$AA:$AB,2,0),"")</f>
        <v/>
      </c>
      <c r="I1971" s="7" t="n">
        <v>10000651</v>
      </c>
      <c r="J1971" s="7">
        <f>IFERROR(VLOOKUP(I1971,Materiales!$A:$H,8,0),"")</f>
        <v/>
      </c>
      <c r="K1971" s="9">
        <f>IFERROR(VLOOKUP(I1971,Materiales!$A:$G,7,0),"")</f>
        <v/>
      </c>
      <c r="L1971" s="8" t="inlineStr">
        <is>
          <t>20190426</t>
        </is>
      </c>
      <c r="M1971" s="8" t="inlineStr">
        <is>
          <t>20250127</t>
        </is>
      </c>
      <c r="N1971" s="10" t="n">
        <v>100</v>
      </c>
      <c r="O1971" s="10">
        <f>IFERROR(VLOOKUP(A1971,Flete!$A:$J,10,0),"")</f>
        <v/>
      </c>
      <c r="P1971" s="8" t="inlineStr">
        <is>
          <t>M3</t>
        </is>
      </c>
      <c r="Q1971" s="10">
        <f>IFERROR(IFERROR(VLOOKUP(A1971,TRAOPE!$A:$U,21,0),VLOOKUP(B1971,TRAOPE!$A:$U,21,0)),"")</f>
        <v/>
      </c>
      <c r="R1971" s="8">
        <f>IFERROR(IFERROR(VLOOKUP(A1971,TRAOPE!$A:$W,23,0),VLOOKUP(B1971,TRAOPE!$A:$W,23,0)),"")</f>
        <v/>
      </c>
      <c r="S1971" s="10">
        <f>IF(AND(P1971="TN",R1971="TN"),N1971+N(O1971),IF(G1971&amp;""="1",N(K1971)*N1971,(N1971+N(O1971))*N(K1971)))</f>
        <v/>
      </c>
      <c r="T1971" s="10">
        <f>IF(Q1971="","",Q1971-S1971)</f>
        <v/>
      </c>
    </row>
    <row r="1972">
      <c r="A1972" s="7">
        <f>CONCATENATE(C1972,E1972,F1972,I1972)</f>
        <v/>
      </c>
      <c r="B1972" s="7">
        <f>CONCATENATE(C1972,E1972,I1972)</f>
        <v/>
      </c>
      <c r="C1972" s="8" t="n">
        <v>900006542</v>
      </c>
      <c r="D1972" s="7">
        <f>IFERROR(VLOOKUP(C1972,TRAOPE!$G:$H,2,0),"")</f>
        <v/>
      </c>
      <c r="E1972" s="8" t="inlineStr">
        <is>
          <t>D836</t>
        </is>
      </c>
      <c r="F1972" s="8" t="inlineStr">
        <is>
          <t>66885144</t>
        </is>
      </c>
      <c r="G1972" s="8">
        <f>IFERROR(VLOOKUP(A1972,Flete!$A:$E,5,0),"")</f>
        <v/>
      </c>
      <c r="H1972" s="7">
        <f>IFERROR(VLOOKUP(F1972,TRAOPE!$AA:$AB,2,0),"")</f>
        <v/>
      </c>
      <c r="I1972" s="7" t="n">
        <v>10175723</v>
      </c>
      <c r="J1972" s="7">
        <f>IFERROR(VLOOKUP(I1972,Materiales!$A:$H,8,0),"")</f>
        <v/>
      </c>
      <c r="K1972" s="9">
        <f>IFERROR(VLOOKUP(I1972,Materiales!$A:$G,7,0),"")</f>
        <v/>
      </c>
      <c r="L1972" s="8" t="inlineStr">
        <is>
          <t>20190426</t>
        </is>
      </c>
      <c r="M1972" s="8" t="inlineStr">
        <is>
          <t>20250127</t>
        </is>
      </c>
      <c r="N1972" s="10" t="n">
        <v>140</v>
      </c>
      <c r="O1972" s="10">
        <f>IFERROR(VLOOKUP(A1972,Flete!$A:$J,10,0),"")</f>
        <v/>
      </c>
      <c r="P1972" s="8" t="inlineStr">
        <is>
          <t>M3</t>
        </is>
      </c>
      <c r="Q1972" s="10">
        <f>IFERROR(IFERROR(VLOOKUP(A1972,TRAOPE!$A:$U,21,0),VLOOKUP(B1972,TRAOPE!$A:$U,21,0)),"")</f>
        <v/>
      </c>
      <c r="R1972" s="8">
        <f>IFERROR(IFERROR(VLOOKUP(A1972,TRAOPE!$A:$W,23,0),VLOOKUP(B1972,TRAOPE!$A:$W,23,0)),"")</f>
        <v/>
      </c>
      <c r="S1972" s="10">
        <f>IF(AND(P1972="TN",R1972="TN"),N1972+N(O1972),IF(G1972&amp;""="1",N(K1972)*N1972,(N1972+N(O1972))*N(K1972)))</f>
        <v/>
      </c>
      <c r="T1972" s="10">
        <f>IF(Q1972="","",Q1972-S1972)</f>
        <v/>
      </c>
    </row>
    <row r="1973">
      <c r="A1973" s="7">
        <f>CONCATENATE(C1973,E1973,F1973,I1973)</f>
        <v/>
      </c>
      <c r="B1973" s="7">
        <f>CONCATENATE(C1973,E1973,I1973)</f>
        <v/>
      </c>
      <c r="C1973" s="8" t="n">
        <v>900006542</v>
      </c>
      <c r="D1973" s="7">
        <f>IFERROR(VLOOKUP(C1973,TRAOPE!$G:$H,2,0),"")</f>
        <v/>
      </c>
      <c r="E1973" s="8" t="inlineStr">
        <is>
          <t>D836</t>
        </is>
      </c>
      <c r="F1973" s="8" t="inlineStr">
        <is>
          <t>66885144</t>
        </is>
      </c>
      <c r="G1973" s="8">
        <f>IFERROR(VLOOKUP(A1973,Flete!$A:$E,5,0),"")</f>
        <v/>
      </c>
      <c r="H1973" s="7">
        <f>IFERROR(VLOOKUP(F1973,TRAOPE!$AA:$AB,2,0),"")</f>
        <v/>
      </c>
      <c r="I1973" s="7" t="n">
        <v>10183535</v>
      </c>
      <c r="J1973" s="7">
        <f>IFERROR(VLOOKUP(I1973,Materiales!$A:$H,8,0),"")</f>
        <v/>
      </c>
      <c r="K1973" s="9">
        <f>IFERROR(VLOOKUP(I1973,Materiales!$A:$G,7,0),"")</f>
        <v/>
      </c>
      <c r="L1973" s="8" t="inlineStr">
        <is>
          <t>20190426</t>
        </is>
      </c>
      <c r="M1973" s="8" t="inlineStr">
        <is>
          <t>20250127</t>
        </is>
      </c>
      <c r="N1973" s="10" t="n">
        <v>80</v>
      </c>
      <c r="O1973" s="10">
        <f>IFERROR(VLOOKUP(A1973,Flete!$A:$J,10,0),"")</f>
        <v/>
      </c>
      <c r="P1973" s="8" t="inlineStr">
        <is>
          <t>M3</t>
        </is>
      </c>
      <c r="Q1973" s="10">
        <f>IFERROR(IFERROR(VLOOKUP(A1973,TRAOPE!$A:$U,21,0),VLOOKUP(B1973,TRAOPE!$A:$U,21,0)),"")</f>
        <v/>
      </c>
      <c r="R1973" s="8">
        <f>IFERROR(IFERROR(VLOOKUP(A1973,TRAOPE!$A:$W,23,0),VLOOKUP(B1973,TRAOPE!$A:$W,23,0)),"")</f>
        <v/>
      </c>
      <c r="S1973" s="10">
        <f>IF(AND(P1973="TN",R1973="TN"),N1973+N(O1973),IF(G1973&amp;""="1",N(K1973)*N1973,(N1973+N(O1973))*N(K1973)))</f>
        <v/>
      </c>
      <c r="T1973" s="10">
        <f>IF(Q1973="","",Q1973-S1973)</f>
        <v/>
      </c>
    </row>
    <row r="1974">
      <c r="A1974" s="7">
        <f>CONCATENATE(C1974,E1974,F1974,I1974)</f>
        <v/>
      </c>
      <c r="B1974" s="7">
        <f>CONCATENATE(C1974,E1974,I1974)</f>
        <v/>
      </c>
      <c r="C1974" s="8" t="n">
        <v>900006542</v>
      </c>
      <c r="D1974" s="7">
        <f>IFERROR(VLOOKUP(C1974,TRAOPE!$G:$H,2,0),"")</f>
        <v/>
      </c>
      <c r="E1974" s="8" t="inlineStr">
        <is>
          <t>D836</t>
        </is>
      </c>
      <c r="F1974" s="8" t="inlineStr">
        <is>
          <t>66885144</t>
        </is>
      </c>
      <c r="G1974" s="8">
        <f>IFERROR(VLOOKUP(A1974,Flete!$A:$E,5,0),"")</f>
        <v/>
      </c>
      <c r="H1974" s="7">
        <f>IFERROR(VLOOKUP(F1974,TRAOPE!$AA:$AB,2,0),"")</f>
        <v/>
      </c>
      <c r="I1974" s="7" t="n">
        <v>10187953</v>
      </c>
      <c r="J1974" s="7">
        <f>IFERROR(VLOOKUP(I1974,Materiales!$A:$H,8,0),"")</f>
        <v/>
      </c>
      <c r="K1974" s="9">
        <f>IFERROR(VLOOKUP(I1974,Materiales!$A:$G,7,0),"")</f>
        <v/>
      </c>
      <c r="L1974" s="8" t="inlineStr">
        <is>
          <t>20190426</t>
        </is>
      </c>
      <c r="M1974" s="8" t="inlineStr">
        <is>
          <t>20250127</t>
        </is>
      </c>
      <c r="N1974" s="10" t="n">
        <v>80</v>
      </c>
      <c r="O1974" s="10">
        <f>IFERROR(VLOOKUP(A1974,Flete!$A:$J,10,0),"")</f>
        <v/>
      </c>
      <c r="P1974" s="8" t="inlineStr">
        <is>
          <t>M3</t>
        </is>
      </c>
      <c r="Q1974" s="10">
        <f>IFERROR(IFERROR(VLOOKUP(A1974,TRAOPE!$A:$U,21,0),VLOOKUP(B1974,TRAOPE!$A:$U,21,0)),"")</f>
        <v/>
      </c>
      <c r="R1974" s="8">
        <f>IFERROR(IFERROR(VLOOKUP(A1974,TRAOPE!$A:$W,23,0),VLOOKUP(B1974,TRAOPE!$A:$W,23,0)),"")</f>
        <v/>
      </c>
      <c r="S1974" s="10">
        <f>IF(AND(P1974="TN",R1974="TN"),N1974+N(O1974),IF(G1974&amp;""="1",N(K1974)*N1974,(N1974+N(O1974))*N(K1974)))</f>
        <v/>
      </c>
      <c r="T1974" s="10">
        <f>IF(Q1974="","",Q1974-S1974)</f>
        <v/>
      </c>
    </row>
    <row r="1975">
      <c r="A1975" s="7">
        <f>CONCATENATE(C1975,E1975,F1975,I1975)</f>
        <v/>
      </c>
      <c r="B1975" s="7">
        <f>CONCATENATE(C1975,E1975,I1975)</f>
        <v/>
      </c>
      <c r="C1975" s="8" t="n">
        <v>900006542</v>
      </c>
      <c r="D1975" s="7">
        <f>IFERROR(VLOOKUP(C1975,TRAOPE!$G:$H,2,0),"")</f>
        <v/>
      </c>
      <c r="E1975" s="8" t="inlineStr">
        <is>
          <t>D836</t>
        </is>
      </c>
      <c r="F1975" s="8" t="inlineStr">
        <is>
          <t>66886969</t>
        </is>
      </c>
      <c r="G1975" s="8">
        <f>IFERROR(VLOOKUP(A1975,Flete!$A:$E,5,0),"")</f>
        <v/>
      </c>
      <c r="H1975" s="7">
        <f>IFERROR(VLOOKUP(F1975,TRAOPE!$AA:$AB,2,0),"")</f>
        <v/>
      </c>
      <c r="I1975" s="7" t="n">
        <v>10000160</v>
      </c>
      <c r="J1975" s="7">
        <f>IFERROR(VLOOKUP(I1975,Materiales!$A:$H,8,0),"")</f>
        <v/>
      </c>
      <c r="K1975" s="9">
        <f>IFERROR(VLOOKUP(I1975,Materiales!$A:$G,7,0),"")</f>
        <v/>
      </c>
      <c r="L1975" s="8" t="inlineStr">
        <is>
          <t>20190426</t>
        </is>
      </c>
      <c r="M1975" s="8" t="inlineStr">
        <is>
          <t>20250127</t>
        </is>
      </c>
      <c r="N1975" s="10" t="n">
        <v>120</v>
      </c>
      <c r="O1975" s="10">
        <f>IFERROR(VLOOKUP(A1975,Flete!$A:$J,10,0),"")</f>
        <v/>
      </c>
      <c r="P1975" s="8" t="inlineStr">
        <is>
          <t>M3</t>
        </is>
      </c>
      <c r="Q1975" s="10">
        <f>IFERROR(IFERROR(VLOOKUP(A1975,TRAOPE!$A:$U,21,0),VLOOKUP(B1975,TRAOPE!$A:$U,21,0)),"")</f>
        <v/>
      </c>
      <c r="R1975" s="8">
        <f>IFERROR(IFERROR(VLOOKUP(A1975,TRAOPE!$A:$W,23,0),VLOOKUP(B1975,TRAOPE!$A:$W,23,0)),"")</f>
        <v/>
      </c>
      <c r="S1975" s="10">
        <f>IF(AND(P1975="TN",R1975="TN"),N1975+N(O1975),IF(G1975&amp;""="1",N(K1975)*N1975,(N1975+N(O1975))*N(K1975)))</f>
        <v/>
      </c>
      <c r="T1975" s="10">
        <f>IF(Q1975="","",Q1975-S1975)</f>
        <v/>
      </c>
    </row>
    <row r="1976">
      <c r="A1976" s="7">
        <f>CONCATENATE(C1976,E1976,F1976,I1976)</f>
        <v/>
      </c>
      <c r="B1976" s="7">
        <f>CONCATENATE(C1976,E1976,I1976)</f>
        <v/>
      </c>
      <c r="C1976" s="8" t="n">
        <v>900006542</v>
      </c>
      <c r="D1976" s="7">
        <f>IFERROR(VLOOKUP(C1976,TRAOPE!$G:$H,2,0),"")</f>
        <v/>
      </c>
      <c r="E1976" s="8" t="inlineStr">
        <is>
          <t>D836</t>
        </is>
      </c>
      <c r="F1976" s="8" t="inlineStr">
        <is>
          <t>66886969</t>
        </is>
      </c>
      <c r="G1976" s="8">
        <f>IFERROR(VLOOKUP(A1976,Flete!$A:$E,5,0),"")</f>
        <v/>
      </c>
      <c r="H1976" s="7">
        <f>IFERROR(VLOOKUP(F1976,TRAOPE!$AA:$AB,2,0),"")</f>
        <v/>
      </c>
      <c r="I1976" s="7" t="n">
        <v>10000357</v>
      </c>
      <c r="J1976" s="7">
        <f>IFERROR(VLOOKUP(I1976,Materiales!$A:$H,8,0),"")</f>
        <v/>
      </c>
      <c r="K1976" s="9">
        <f>IFERROR(VLOOKUP(I1976,Materiales!$A:$G,7,0),"")</f>
        <v/>
      </c>
      <c r="L1976" s="8" t="inlineStr">
        <is>
          <t>20190426</t>
        </is>
      </c>
      <c r="M1976" s="8" t="inlineStr">
        <is>
          <t>20250127</t>
        </is>
      </c>
      <c r="N1976" s="10" t="n">
        <v>130</v>
      </c>
      <c r="O1976" s="10">
        <f>IFERROR(VLOOKUP(A1976,Flete!$A:$J,10,0),"")</f>
        <v/>
      </c>
      <c r="P1976" s="8" t="inlineStr">
        <is>
          <t>M3</t>
        </is>
      </c>
      <c r="Q1976" s="10">
        <f>IFERROR(IFERROR(VLOOKUP(A1976,TRAOPE!$A:$U,21,0),VLOOKUP(B1976,TRAOPE!$A:$U,21,0)),"")</f>
        <v/>
      </c>
      <c r="R1976" s="8">
        <f>IFERROR(IFERROR(VLOOKUP(A1976,TRAOPE!$A:$W,23,0),VLOOKUP(B1976,TRAOPE!$A:$W,23,0)),"")</f>
        <v/>
      </c>
      <c r="S1976" s="10">
        <f>IF(AND(P1976="TN",R1976="TN"),N1976+N(O1976),IF(G1976&amp;""="1",N(K1976)*N1976,(N1976+N(O1976))*N(K1976)))</f>
        <v/>
      </c>
      <c r="T1976" s="10">
        <f>IF(Q1976="","",Q1976-S1976)</f>
        <v/>
      </c>
    </row>
    <row r="1977">
      <c r="A1977" s="7">
        <f>CONCATENATE(C1977,E1977,F1977,I1977)</f>
        <v/>
      </c>
      <c r="B1977" s="7">
        <f>CONCATENATE(C1977,E1977,I1977)</f>
        <v/>
      </c>
      <c r="C1977" s="8" t="n">
        <v>900006542</v>
      </c>
      <c r="D1977" s="7">
        <f>IFERROR(VLOOKUP(C1977,TRAOPE!$G:$H,2,0),"")</f>
        <v/>
      </c>
      <c r="E1977" s="8" t="inlineStr">
        <is>
          <t>D836</t>
        </is>
      </c>
      <c r="F1977" s="8" t="inlineStr">
        <is>
          <t>66886969</t>
        </is>
      </c>
      <c r="G1977" s="8">
        <f>IFERROR(VLOOKUP(A1977,Flete!$A:$E,5,0),"")</f>
        <v/>
      </c>
      <c r="H1977" s="7">
        <f>IFERROR(VLOOKUP(F1977,TRAOPE!$AA:$AB,2,0),"")</f>
        <v/>
      </c>
      <c r="I1977" s="7" t="n">
        <v>10000649</v>
      </c>
      <c r="J1977" s="7">
        <f>IFERROR(VLOOKUP(I1977,Materiales!$A:$H,8,0),"")</f>
        <v/>
      </c>
      <c r="K1977" s="9">
        <f>IFERROR(VLOOKUP(I1977,Materiales!$A:$G,7,0),"")</f>
        <v/>
      </c>
      <c r="L1977" s="8" t="inlineStr">
        <is>
          <t>20190426</t>
        </is>
      </c>
      <c r="M1977" s="8" t="inlineStr">
        <is>
          <t>20250127</t>
        </is>
      </c>
      <c r="N1977" s="10" t="n">
        <v>160</v>
      </c>
      <c r="O1977" s="10">
        <f>IFERROR(VLOOKUP(A1977,Flete!$A:$J,10,0),"")</f>
        <v/>
      </c>
      <c r="P1977" s="8" t="inlineStr">
        <is>
          <t>M3</t>
        </is>
      </c>
      <c r="Q1977" s="10">
        <f>IFERROR(IFERROR(VLOOKUP(A1977,TRAOPE!$A:$U,21,0),VLOOKUP(B1977,TRAOPE!$A:$U,21,0)),"")</f>
        <v/>
      </c>
      <c r="R1977" s="8">
        <f>IFERROR(IFERROR(VLOOKUP(A1977,TRAOPE!$A:$W,23,0),VLOOKUP(B1977,TRAOPE!$A:$W,23,0)),"")</f>
        <v/>
      </c>
      <c r="S1977" s="10">
        <f>IF(AND(P1977="TN",R1977="TN"),N1977+N(O1977),IF(G1977&amp;""="1",N(K1977)*N1977,(N1977+N(O1977))*N(K1977)))</f>
        <v/>
      </c>
      <c r="T1977" s="10">
        <f>IF(Q1977="","",Q1977-S1977)</f>
        <v/>
      </c>
    </row>
    <row r="1978">
      <c r="A1978" s="7">
        <f>CONCATENATE(C1978,E1978,F1978,I1978)</f>
        <v/>
      </c>
      <c r="B1978" s="7">
        <f>CONCATENATE(C1978,E1978,I1978)</f>
        <v/>
      </c>
      <c r="C1978" s="8" t="n">
        <v>900006542</v>
      </c>
      <c r="D1978" s="7">
        <f>IFERROR(VLOOKUP(C1978,TRAOPE!$G:$H,2,0),"")</f>
        <v/>
      </c>
      <c r="E1978" s="8" t="inlineStr">
        <is>
          <t>D836</t>
        </is>
      </c>
      <c r="F1978" s="8" t="inlineStr">
        <is>
          <t>66897460</t>
        </is>
      </c>
      <c r="G1978" s="8">
        <f>IFERROR(VLOOKUP(A1978,Flete!$A:$E,5,0),"")</f>
        <v/>
      </c>
      <c r="H1978" s="7">
        <f>IFERROR(VLOOKUP(F1978,TRAOPE!$AA:$AB,2,0),"")</f>
        <v/>
      </c>
      <c r="I1978" s="7" t="n">
        <v>10000651</v>
      </c>
      <c r="J1978" s="7">
        <f>IFERROR(VLOOKUP(I1978,Materiales!$A:$H,8,0),"")</f>
        <v/>
      </c>
      <c r="K1978" s="9">
        <f>IFERROR(VLOOKUP(I1978,Materiales!$A:$G,7,0),"")</f>
        <v/>
      </c>
      <c r="L1978" s="8" t="inlineStr">
        <is>
          <t>20190426</t>
        </is>
      </c>
      <c r="M1978" s="8" t="inlineStr">
        <is>
          <t>20250127</t>
        </is>
      </c>
      <c r="N1978" s="10" t="n">
        <v>110</v>
      </c>
      <c r="O1978" s="10">
        <f>IFERROR(VLOOKUP(A1978,Flete!$A:$J,10,0),"")</f>
        <v/>
      </c>
      <c r="P1978" s="8" t="inlineStr">
        <is>
          <t>M3</t>
        </is>
      </c>
      <c r="Q1978" s="10">
        <f>IFERROR(IFERROR(VLOOKUP(A1978,TRAOPE!$A:$U,21,0),VLOOKUP(B1978,TRAOPE!$A:$U,21,0)),"")</f>
        <v/>
      </c>
      <c r="R1978" s="8">
        <f>IFERROR(IFERROR(VLOOKUP(A1978,TRAOPE!$A:$W,23,0),VLOOKUP(B1978,TRAOPE!$A:$W,23,0)),"")</f>
        <v/>
      </c>
      <c r="S1978" s="10">
        <f>IF(AND(P1978="TN",R1978="TN"),N1978+N(O1978),IF(G1978&amp;""="1",N(K1978)*N1978,(N1978+N(O1978))*N(K1978)))</f>
        <v/>
      </c>
      <c r="T1978" s="10">
        <f>IF(Q1978="","",Q1978-S1978)</f>
        <v/>
      </c>
    </row>
    <row r="1979">
      <c r="A1979" s="7">
        <f>CONCATENATE(C1979,E1979,F1979,I1979)</f>
        <v/>
      </c>
      <c r="B1979" s="7">
        <f>CONCATENATE(C1979,E1979,I1979)</f>
        <v/>
      </c>
      <c r="C1979" s="8" t="n">
        <v>900006542</v>
      </c>
      <c r="D1979" s="7">
        <f>IFERROR(VLOOKUP(C1979,TRAOPE!$G:$H,2,0),"")</f>
        <v/>
      </c>
      <c r="E1979" s="8" t="inlineStr">
        <is>
          <t>D836</t>
        </is>
      </c>
      <c r="F1979" s="8" t="inlineStr">
        <is>
          <t>66897460</t>
        </is>
      </c>
      <c r="G1979" s="8">
        <f>IFERROR(VLOOKUP(A1979,Flete!$A:$E,5,0),"")</f>
        <v/>
      </c>
      <c r="H1979" s="7">
        <f>IFERROR(VLOOKUP(F1979,TRAOPE!$AA:$AB,2,0),"")</f>
        <v/>
      </c>
      <c r="I1979" s="7" t="n">
        <v>10154416</v>
      </c>
      <c r="J1979" s="7">
        <f>IFERROR(VLOOKUP(I1979,Materiales!$A:$H,8,0),"")</f>
        <v/>
      </c>
      <c r="K1979" s="9">
        <f>IFERROR(VLOOKUP(I1979,Materiales!$A:$G,7,0),"")</f>
        <v/>
      </c>
      <c r="L1979" s="8" t="inlineStr">
        <is>
          <t>20190426</t>
        </is>
      </c>
      <c r="M1979" s="8" t="inlineStr">
        <is>
          <t>20250127</t>
        </is>
      </c>
      <c r="N1979" s="10" t="n">
        <v>125</v>
      </c>
      <c r="O1979" s="10">
        <f>IFERROR(VLOOKUP(A1979,Flete!$A:$J,10,0),"")</f>
        <v/>
      </c>
      <c r="P1979" s="8" t="inlineStr">
        <is>
          <t>M3</t>
        </is>
      </c>
      <c r="Q1979" s="10">
        <f>IFERROR(IFERROR(VLOOKUP(A1979,TRAOPE!$A:$U,21,0),VLOOKUP(B1979,TRAOPE!$A:$U,21,0)),"")</f>
        <v/>
      </c>
      <c r="R1979" s="8">
        <f>IFERROR(IFERROR(VLOOKUP(A1979,TRAOPE!$A:$W,23,0),VLOOKUP(B1979,TRAOPE!$A:$W,23,0)),"")</f>
        <v/>
      </c>
      <c r="S1979" s="10">
        <f>IF(AND(P1979="TN",R1979="TN"),N1979+N(O1979),IF(G1979&amp;""="1",N(K1979)*N1979,(N1979+N(O1979))*N(K1979)))</f>
        <v/>
      </c>
      <c r="T1979" s="10">
        <f>IF(Q1979="","",Q1979-S1979)</f>
        <v/>
      </c>
    </row>
    <row r="1980">
      <c r="A1980" s="7">
        <f>CONCATENATE(C1980,E1980,F1980,I1980)</f>
        <v/>
      </c>
      <c r="B1980" s="7">
        <f>CONCATENATE(C1980,E1980,I1980)</f>
        <v/>
      </c>
      <c r="C1980" s="8" t="n">
        <v>900006542</v>
      </c>
      <c r="D1980" s="7">
        <f>IFERROR(VLOOKUP(C1980,TRAOPE!$G:$H,2,0),"")</f>
        <v/>
      </c>
      <c r="E1980" s="8" t="inlineStr">
        <is>
          <t>D836</t>
        </is>
      </c>
      <c r="F1980" s="8" t="inlineStr">
        <is>
          <t>66897460</t>
        </is>
      </c>
      <c r="G1980" s="8">
        <f>IFERROR(VLOOKUP(A1980,Flete!$A:$E,5,0),"")</f>
        <v/>
      </c>
      <c r="H1980" s="7">
        <f>IFERROR(VLOOKUP(F1980,TRAOPE!$AA:$AB,2,0),"")</f>
        <v/>
      </c>
      <c r="I1980" s="7" t="n">
        <v>10183535</v>
      </c>
      <c r="J1980" s="7">
        <f>IFERROR(VLOOKUP(I1980,Materiales!$A:$H,8,0),"")</f>
        <v/>
      </c>
      <c r="K1980" s="9">
        <f>IFERROR(VLOOKUP(I1980,Materiales!$A:$G,7,0),"")</f>
        <v/>
      </c>
      <c r="L1980" s="8" t="inlineStr">
        <is>
          <t>20190426</t>
        </is>
      </c>
      <c r="M1980" s="8" t="inlineStr">
        <is>
          <t>20250127</t>
        </is>
      </c>
      <c r="N1980" s="10" t="n">
        <v>200</v>
      </c>
      <c r="O1980" s="10">
        <f>IFERROR(VLOOKUP(A1980,Flete!$A:$J,10,0),"")</f>
        <v/>
      </c>
      <c r="P1980" s="8" t="inlineStr">
        <is>
          <t>M3</t>
        </is>
      </c>
      <c r="Q1980" s="10">
        <f>IFERROR(IFERROR(VLOOKUP(A1980,TRAOPE!$A:$U,21,0),VLOOKUP(B1980,TRAOPE!$A:$U,21,0)),"")</f>
        <v/>
      </c>
      <c r="R1980" s="8">
        <f>IFERROR(IFERROR(VLOOKUP(A1980,TRAOPE!$A:$W,23,0),VLOOKUP(B1980,TRAOPE!$A:$W,23,0)),"")</f>
        <v/>
      </c>
      <c r="S1980" s="10">
        <f>IF(AND(P1980="TN",R1980="TN"),N1980+N(O1980),IF(G1980&amp;""="1",N(K1980)*N1980,(N1980+N(O1980))*N(K1980)))</f>
        <v/>
      </c>
      <c r="T1980" s="10">
        <f>IF(Q1980="","",Q1980-S1980)</f>
        <v/>
      </c>
    </row>
    <row r="1981">
      <c r="A1981" s="7">
        <f>CONCATENATE(C1981,E1981,F1981,I1981)</f>
        <v/>
      </c>
      <c r="B1981" s="7">
        <f>CONCATENATE(C1981,E1981,I1981)</f>
        <v/>
      </c>
      <c r="C1981" s="8" t="n">
        <v>900006542</v>
      </c>
      <c r="D1981" s="7">
        <f>IFERROR(VLOOKUP(C1981,TRAOPE!$G:$H,2,0),"")</f>
        <v/>
      </c>
      <c r="E1981" s="8" t="inlineStr">
        <is>
          <t>D836</t>
        </is>
      </c>
      <c r="F1981" s="8" t="inlineStr">
        <is>
          <t>66897867</t>
        </is>
      </c>
      <c r="G1981" s="8">
        <f>IFERROR(VLOOKUP(A1981,Flete!$A:$E,5,0),"")</f>
        <v/>
      </c>
      <c r="H1981" s="7">
        <f>IFERROR(VLOOKUP(F1981,TRAOPE!$AA:$AB,2,0),"")</f>
        <v/>
      </c>
      <c r="I1981" s="7" t="n">
        <v>10000160</v>
      </c>
      <c r="J1981" s="7">
        <f>IFERROR(VLOOKUP(I1981,Materiales!$A:$H,8,0),"")</f>
        <v/>
      </c>
      <c r="K1981" s="9">
        <f>IFERROR(VLOOKUP(I1981,Materiales!$A:$G,7,0),"")</f>
        <v/>
      </c>
      <c r="L1981" s="8" t="inlineStr">
        <is>
          <t>20190426</t>
        </is>
      </c>
      <c r="M1981" s="8" t="inlineStr">
        <is>
          <t>20250127</t>
        </is>
      </c>
      <c r="N1981" s="10" t="n">
        <v>115</v>
      </c>
      <c r="O1981" s="10">
        <f>IFERROR(VLOOKUP(A1981,Flete!$A:$J,10,0),"")</f>
        <v/>
      </c>
      <c r="P1981" s="8" t="inlineStr">
        <is>
          <t>M3</t>
        </is>
      </c>
      <c r="Q1981" s="10">
        <f>IFERROR(IFERROR(VLOOKUP(A1981,TRAOPE!$A:$U,21,0),VLOOKUP(B1981,TRAOPE!$A:$U,21,0)),"")</f>
        <v/>
      </c>
      <c r="R1981" s="8">
        <f>IFERROR(IFERROR(VLOOKUP(A1981,TRAOPE!$A:$W,23,0),VLOOKUP(B1981,TRAOPE!$A:$W,23,0)),"")</f>
        <v/>
      </c>
      <c r="S1981" s="10">
        <f>IF(AND(P1981="TN",R1981="TN"),N1981+N(O1981),IF(G1981&amp;""="1",N(K1981)*N1981,(N1981+N(O1981))*N(K1981)))</f>
        <v/>
      </c>
      <c r="T1981" s="10">
        <f>IF(Q1981="","",Q1981-S1981)</f>
        <v/>
      </c>
    </row>
    <row r="1982">
      <c r="A1982" s="7">
        <f>CONCATENATE(C1982,E1982,F1982,I1982)</f>
        <v/>
      </c>
      <c r="B1982" s="7">
        <f>CONCATENATE(C1982,E1982,I1982)</f>
        <v/>
      </c>
      <c r="C1982" s="8" t="n">
        <v>900006542</v>
      </c>
      <c r="D1982" s="7">
        <f>IFERROR(VLOOKUP(C1982,TRAOPE!$G:$H,2,0),"")</f>
        <v/>
      </c>
      <c r="E1982" s="8" t="inlineStr">
        <is>
          <t>D836</t>
        </is>
      </c>
      <c r="F1982" s="8" t="inlineStr">
        <is>
          <t>66897867</t>
        </is>
      </c>
      <c r="G1982" s="8">
        <f>IFERROR(VLOOKUP(A1982,Flete!$A:$E,5,0),"")</f>
        <v/>
      </c>
      <c r="H1982" s="7">
        <f>IFERROR(VLOOKUP(F1982,TRAOPE!$AA:$AB,2,0),"")</f>
        <v/>
      </c>
      <c r="I1982" s="7" t="n">
        <v>10000357</v>
      </c>
      <c r="J1982" s="7">
        <f>IFERROR(VLOOKUP(I1982,Materiales!$A:$H,8,0),"")</f>
        <v/>
      </c>
      <c r="K1982" s="9">
        <f>IFERROR(VLOOKUP(I1982,Materiales!$A:$G,7,0),"")</f>
        <v/>
      </c>
      <c r="L1982" s="8" t="inlineStr">
        <is>
          <t>20190426</t>
        </is>
      </c>
      <c r="M1982" s="8" t="inlineStr">
        <is>
          <t>20250127</t>
        </is>
      </c>
      <c r="N1982" s="10" t="n">
        <v>125</v>
      </c>
      <c r="O1982" s="10">
        <f>IFERROR(VLOOKUP(A1982,Flete!$A:$J,10,0),"")</f>
        <v/>
      </c>
      <c r="P1982" s="8" t="inlineStr">
        <is>
          <t>M3</t>
        </is>
      </c>
      <c r="Q1982" s="10">
        <f>IFERROR(IFERROR(VLOOKUP(A1982,TRAOPE!$A:$U,21,0),VLOOKUP(B1982,TRAOPE!$A:$U,21,0)),"")</f>
        <v/>
      </c>
      <c r="R1982" s="8">
        <f>IFERROR(IFERROR(VLOOKUP(A1982,TRAOPE!$A:$W,23,0),VLOOKUP(B1982,TRAOPE!$A:$W,23,0)),"")</f>
        <v/>
      </c>
      <c r="S1982" s="10">
        <f>IF(AND(P1982="TN",R1982="TN"),N1982+N(O1982),IF(G1982&amp;""="1",N(K1982)*N1982,(N1982+N(O1982))*N(K1982)))</f>
        <v/>
      </c>
      <c r="T1982" s="10">
        <f>IF(Q1982="","",Q1982-S1982)</f>
        <v/>
      </c>
    </row>
    <row r="1983">
      <c r="A1983" s="7">
        <f>CONCATENATE(C1983,E1983,F1983,I1983)</f>
        <v/>
      </c>
      <c r="B1983" s="7">
        <f>CONCATENATE(C1983,E1983,I1983)</f>
        <v/>
      </c>
      <c r="C1983" s="8" t="n">
        <v>900006542</v>
      </c>
      <c r="D1983" s="7">
        <f>IFERROR(VLOOKUP(C1983,TRAOPE!$G:$H,2,0),"")</f>
        <v/>
      </c>
      <c r="E1983" s="8" t="inlineStr">
        <is>
          <t>D836</t>
        </is>
      </c>
      <c r="F1983" s="8" t="inlineStr">
        <is>
          <t>66912090</t>
        </is>
      </c>
      <c r="G1983" s="8">
        <f>IFERROR(VLOOKUP(A1983,Flete!$A:$E,5,0),"")</f>
        <v/>
      </c>
      <c r="H1983" s="7">
        <f>IFERROR(VLOOKUP(F1983,TRAOPE!$AA:$AB,2,0),"")</f>
        <v/>
      </c>
      <c r="I1983" s="7" t="n">
        <v>10000160</v>
      </c>
      <c r="J1983" s="7">
        <f>IFERROR(VLOOKUP(I1983,Materiales!$A:$H,8,0),"")</f>
        <v/>
      </c>
      <c r="K1983" s="9">
        <f>IFERROR(VLOOKUP(I1983,Materiales!$A:$G,7,0),"")</f>
        <v/>
      </c>
      <c r="L1983" s="8" t="inlineStr">
        <is>
          <t>20190426</t>
        </is>
      </c>
      <c r="M1983" s="8" t="inlineStr">
        <is>
          <t>20250127</t>
        </is>
      </c>
      <c r="N1983" s="10" t="n">
        <v>105</v>
      </c>
      <c r="O1983" s="10">
        <f>IFERROR(VLOOKUP(A1983,Flete!$A:$J,10,0),"")</f>
        <v/>
      </c>
      <c r="P1983" s="8" t="inlineStr">
        <is>
          <t>M3</t>
        </is>
      </c>
      <c r="Q1983" s="10">
        <f>IFERROR(IFERROR(VLOOKUP(A1983,TRAOPE!$A:$U,21,0),VLOOKUP(B1983,TRAOPE!$A:$U,21,0)),"")</f>
        <v/>
      </c>
      <c r="R1983" s="8">
        <f>IFERROR(IFERROR(VLOOKUP(A1983,TRAOPE!$A:$W,23,0),VLOOKUP(B1983,TRAOPE!$A:$W,23,0)),"")</f>
        <v/>
      </c>
      <c r="S1983" s="10">
        <f>IF(AND(P1983="TN",R1983="TN"),N1983+N(O1983),IF(G1983&amp;""="1",N(K1983)*N1983,(N1983+N(O1983))*N(K1983)))</f>
        <v/>
      </c>
      <c r="T1983" s="10">
        <f>IF(Q1983="","",Q1983-S1983)</f>
        <v/>
      </c>
    </row>
    <row r="1984">
      <c r="A1984" s="7">
        <f>CONCATENATE(C1984,E1984,F1984,I1984)</f>
        <v/>
      </c>
      <c r="B1984" s="7">
        <f>CONCATENATE(C1984,E1984,I1984)</f>
        <v/>
      </c>
      <c r="C1984" s="8" t="n">
        <v>900006542</v>
      </c>
      <c r="D1984" s="7">
        <f>IFERROR(VLOOKUP(C1984,TRAOPE!$G:$H,2,0),"")</f>
        <v/>
      </c>
      <c r="E1984" s="8" t="inlineStr">
        <is>
          <t>D836</t>
        </is>
      </c>
      <c r="F1984" s="8" t="inlineStr">
        <is>
          <t>66912090</t>
        </is>
      </c>
      <c r="G1984" s="8">
        <f>IFERROR(VLOOKUP(A1984,Flete!$A:$E,5,0),"")</f>
        <v/>
      </c>
      <c r="H1984" s="7">
        <f>IFERROR(VLOOKUP(F1984,TRAOPE!$AA:$AB,2,0),"")</f>
        <v/>
      </c>
      <c r="I1984" s="7" t="n">
        <v>10000206</v>
      </c>
      <c r="J1984" s="7">
        <f>IFERROR(VLOOKUP(I1984,Materiales!$A:$H,8,0),"")</f>
        <v/>
      </c>
      <c r="K1984" s="9">
        <f>IFERROR(VLOOKUP(I1984,Materiales!$A:$G,7,0),"")</f>
        <v/>
      </c>
      <c r="L1984" s="8" t="inlineStr">
        <is>
          <t>20190426</t>
        </is>
      </c>
      <c r="M1984" s="8" t="inlineStr">
        <is>
          <t>20250127</t>
        </is>
      </c>
      <c r="N1984" s="10" t="n">
        <v>35</v>
      </c>
      <c r="O1984" s="10">
        <f>IFERROR(VLOOKUP(A1984,Flete!$A:$J,10,0),"")</f>
        <v/>
      </c>
      <c r="P1984" s="8" t="inlineStr">
        <is>
          <t>M3</t>
        </is>
      </c>
      <c r="Q1984" s="10">
        <f>IFERROR(IFERROR(VLOOKUP(A1984,TRAOPE!$A:$U,21,0),VLOOKUP(B1984,TRAOPE!$A:$U,21,0)),"")</f>
        <v/>
      </c>
      <c r="R1984" s="8">
        <f>IFERROR(IFERROR(VLOOKUP(A1984,TRAOPE!$A:$W,23,0),VLOOKUP(B1984,TRAOPE!$A:$W,23,0)),"")</f>
        <v/>
      </c>
      <c r="S1984" s="10">
        <f>IF(AND(P1984="TN",R1984="TN"),N1984+N(O1984),IF(G1984&amp;""="1",N(K1984)*N1984,(N1984+N(O1984))*N(K1984)))</f>
        <v/>
      </c>
      <c r="T1984" s="10">
        <f>IF(Q1984="","",Q1984-S1984)</f>
        <v/>
      </c>
    </row>
    <row r="1985">
      <c r="A1985" s="7">
        <f>CONCATENATE(C1985,E1985,F1985,I1985)</f>
        <v/>
      </c>
      <c r="B1985" s="7">
        <f>CONCATENATE(C1985,E1985,I1985)</f>
        <v/>
      </c>
      <c r="C1985" s="8" t="n">
        <v>900006542</v>
      </c>
      <c r="D1985" s="7">
        <f>IFERROR(VLOOKUP(C1985,TRAOPE!$G:$H,2,0),"")</f>
        <v/>
      </c>
      <c r="E1985" s="8" t="inlineStr">
        <is>
          <t>D836</t>
        </is>
      </c>
      <c r="F1985" s="8" t="inlineStr">
        <is>
          <t>66912090</t>
        </is>
      </c>
      <c r="G1985" s="8">
        <f>IFERROR(VLOOKUP(A1985,Flete!$A:$E,5,0),"")</f>
        <v/>
      </c>
      <c r="H1985" s="7">
        <f>IFERROR(VLOOKUP(F1985,TRAOPE!$AA:$AB,2,0),"")</f>
        <v/>
      </c>
      <c r="I1985" s="7" t="n">
        <v>10000357</v>
      </c>
      <c r="J1985" s="7">
        <f>IFERROR(VLOOKUP(I1985,Materiales!$A:$H,8,0),"")</f>
        <v/>
      </c>
      <c r="K1985" s="9">
        <f>IFERROR(VLOOKUP(I1985,Materiales!$A:$G,7,0),"")</f>
        <v/>
      </c>
      <c r="L1985" s="8" t="inlineStr">
        <is>
          <t>20190426</t>
        </is>
      </c>
      <c r="M1985" s="8" t="inlineStr">
        <is>
          <t>20250127</t>
        </is>
      </c>
      <c r="N1985" s="10" t="n">
        <v>115</v>
      </c>
      <c r="O1985" s="10">
        <f>IFERROR(VLOOKUP(A1985,Flete!$A:$J,10,0),"")</f>
        <v/>
      </c>
      <c r="P1985" s="8" t="inlineStr">
        <is>
          <t>M3</t>
        </is>
      </c>
      <c r="Q1985" s="10">
        <f>IFERROR(IFERROR(VLOOKUP(A1985,TRAOPE!$A:$U,21,0),VLOOKUP(B1985,TRAOPE!$A:$U,21,0)),"")</f>
        <v/>
      </c>
      <c r="R1985" s="8">
        <f>IFERROR(IFERROR(VLOOKUP(A1985,TRAOPE!$A:$W,23,0),VLOOKUP(B1985,TRAOPE!$A:$W,23,0)),"")</f>
        <v/>
      </c>
      <c r="S1985" s="10">
        <f>IF(AND(P1985="TN",R1985="TN"),N1985+N(O1985),IF(G1985&amp;""="1",N(K1985)*N1985,(N1985+N(O1985))*N(K1985)))</f>
        <v/>
      </c>
      <c r="T1985" s="10">
        <f>IF(Q1985="","",Q1985-S1985)</f>
        <v/>
      </c>
    </row>
    <row r="1986">
      <c r="A1986" s="7">
        <f>CONCATENATE(C1986,E1986,F1986,I1986)</f>
        <v/>
      </c>
      <c r="B1986" s="7">
        <f>CONCATENATE(C1986,E1986,I1986)</f>
        <v/>
      </c>
      <c r="C1986" s="8" t="n">
        <v>900006542</v>
      </c>
      <c r="D1986" s="7">
        <f>IFERROR(VLOOKUP(C1986,TRAOPE!$G:$H,2,0),"")</f>
        <v/>
      </c>
      <c r="E1986" s="8" t="inlineStr">
        <is>
          <t>D836</t>
        </is>
      </c>
      <c r="F1986" s="8" t="inlineStr">
        <is>
          <t>66982704</t>
        </is>
      </c>
      <c r="G1986" s="8">
        <f>IFERROR(VLOOKUP(A1986,Flete!$A:$E,5,0),"")</f>
        <v/>
      </c>
      <c r="H1986" s="7">
        <f>IFERROR(VLOOKUP(F1986,TRAOPE!$AA:$AB,2,0),"")</f>
        <v/>
      </c>
      <c r="I1986" s="7" t="n">
        <v>10000630</v>
      </c>
      <c r="J1986" s="7">
        <f>IFERROR(VLOOKUP(I1986,Materiales!$A:$H,8,0),"")</f>
        <v/>
      </c>
      <c r="K1986" s="9">
        <f>IFERROR(VLOOKUP(I1986,Materiales!$A:$G,7,0),"")</f>
        <v/>
      </c>
      <c r="L1986" s="8" t="inlineStr">
        <is>
          <t>20190426</t>
        </is>
      </c>
      <c r="M1986" s="8" t="inlineStr">
        <is>
          <t>20250127</t>
        </is>
      </c>
      <c r="N1986" s="10" t="n">
        <v>162.5</v>
      </c>
      <c r="O1986" s="10">
        <f>IFERROR(VLOOKUP(A1986,Flete!$A:$J,10,0),"")</f>
        <v/>
      </c>
      <c r="P1986" s="8" t="inlineStr">
        <is>
          <t>M3</t>
        </is>
      </c>
      <c r="Q1986" s="10">
        <f>IFERROR(IFERROR(VLOOKUP(A1986,TRAOPE!$A:$U,21,0),VLOOKUP(B1986,TRAOPE!$A:$U,21,0)),"")</f>
        <v/>
      </c>
      <c r="R1986" s="8">
        <f>IFERROR(IFERROR(VLOOKUP(A1986,TRAOPE!$A:$W,23,0),VLOOKUP(B1986,TRAOPE!$A:$W,23,0)),"")</f>
        <v/>
      </c>
      <c r="S1986" s="10">
        <f>IF(AND(P1986="TN",R1986="TN"),N1986+N(O1986),IF(G1986&amp;""="1",N(K1986)*N1986,(N1986+N(O1986))*N(K1986)))</f>
        <v/>
      </c>
      <c r="T1986" s="10">
        <f>IF(Q1986="","",Q1986-S1986)</f>
        <v/>
      </c>
    </row>
    <row r="1987">
      <c r="A1987" s="7">
        <f>CONCATENATE(C1987,E1987,F1987,I1987)</f>
        <v/>
      </c>
      <c r="B1987" s="7">
        <f>CONCATENATE(C1987,E1987,I1987)</f>
        <v/>
      </c>
      <c r="C1987" s="8" t="n">
        <v>900006542</v>
      </c>
      <c r="D1987" s="7">
        <f>IFERROR(VLOOKUP(C1987,TRAOPE!$G:$H,2,0),"")</f>
        <v/>
      </c>
      <c r="E1987" s="8" t="inlineStr">
        <is>
          <t>D836</t>
        </is>
      </c>
      <c r="F1987" s="8" t="inlineStr">
        <is>
          <t>67012505</t>
        </is>
      </c>
      <c r="G1987" s="8">
        <f>IFERROR(VLOOKUP(A1987,Flete!$A:$E,5,0),"")</f>
        <v/>
      </c>
      <c r="H1987" s="7">
        <f>IFERROR(VLOOKUP(F1987,TRAOPE!$AA:$AB,2,0),"")</f>
        <v/>
      </c>
      <c r="I1987" s="7" t="n">
        <v>10178773</v>
      </c>
      <c r="J1987" s="7">
        <f>IFERROR(VLOOKUP(I1987,Materiales!$A:$H,8,0),"")</f>
        <v/>
      </c>
      <c r="K1987" s="9">
        <f>IFERROR(VLOOKUP(I1987,Materiales!$A:$G,7,0),"")</f>
        <v/>
      </c>
      <c r="L1987" s="8" t="inlineStr">
        <is>
          <t>20190426</t>
        </is>
      </c>
      <c r="M1987" s="8" t="inlineStr">
        <is>
          <t>20250127</t>
        </is>
      </c>
      <c r="N1987" s="10" t="n">
        <v>407</v>
      </c>
      <c r="O1987" s="10">
        <f>IFERROR(VLOOKUP(A1987,Flete!$A:$J,10,0),"")</f>
        <v/>
      </c>
      <c r="P1987" s="8" t="inlineStr">
        <is>
          <t>M3</t>
        </is>
      </c>
      <c r="Q1987" s="10">
        <f>IFERROR(IFERROR(VLOOKUP(A1987,TRAOPE!$A:$U,21,0),VLOOKUP(B1987,TRAOPE!$A:$U,21,0)),"")</f>
        <v/>
      </c>
      <c r="R1987" s="8">
        <f>IFERROR(IFERROR(VLOOKUP(A1987,TRAOPE!$A:$W,23,0),VLOOKUP(B1987,TRAOPE!$A:$W,23,0)),"")</f>
        <v/>
      </c>
      <c r="S1987" s="10">
        <f>IF(AND(P1987="TN",R1987="TN"),N1987+N(O1987),IF(G1987&amp;""="1",N(K1987)*N1987,(N1987+N(O1987))*N(K1987)))</f>
        <v/>
      </c>
      <c r="T1987" s="10">
        <f>IF(Q1987="","",Q1987-S1987)</f>
        <v/>
      </c>
    </row>
    <row r="1988">
      <c r="A1988" s="7">
        <f>CONCATENATE(C1988,E1988,F1988,I1988)</f>
        <v/>
      </c>
      <c r="B1988" s="7">
        <f>CONCATENATE(C1988,E1988,I1988)</f>
        <v/>
      </c>
      <c r="C1988" s="8" t="n">
        <v>900006542</v>
      </c>
      <c r="D1988" s="7">
        <f>IFERROR(VLOOKUP(C1988,TRAOPE!$G:$H,2,0),"")</f>
        <v/>
      </c>
      <c r="E1988" s="8" t="inlineStr">
        <is>
          <t>D836</t>
        </is>
      </c>
      <c r="F1988" s="8" t="inlineStr">
        <is>
          <t>67018821</t>
        </is>
      </c>
      <c r="G1988" s="8">
        <f>IFERROR(VLOOKUP(A1988,Flete!$A:$E,5,0),"")</f>
        <v/>
      </c>
      <c r="H1988" s="7">
        <f>IFERROR(VLOOKUP(F1988,TRAOPE!$AA:$AB,2,0),"")</f>
        <v/>
      </c>
      <c r="I1988" s="7" t="n">
        <v>10000206</v>
      </c>
      <c r="J1988" s="7">
        <f>IFERROR(VLOOKUP(I1988,Materiales!$A:$H,8,0),"")</f>
        <v/>
      </c>
      <c r="K1988" s="9">
        <f>IFERROR(VLOOKUP(I1988,Materiales!$A:$G,7,0),"")</f>
        <v/>
      </c>
      <c r="L1988" s="8" t="inlineStr">
        <is>
          <t>20190426</t>
        </is>
      </c>
      <c r="M1988" s="8" t="inlineStr">
        <is>
          <t>20250127</t>
        </is>
      </c>
      <c r="N1988" s="10" t="n">
        <v>210.5</v>
      </c>
      <c r="O1988" s="10">
        <f>IFERROR(VLOOKUP(A1988,Flete!$A:$J,10,0),"")</f>
        <v/>
      </c>
      <c r="P1988" s="8" t="inlineStr">
        <is>
          <t>M3</t>
        </is>
      </c>
      <c r="Q1988" s="10">
        <f>IFERROR(IFERROR(VLOOKUP(A1988,TRAOPE!$A:$U,21,0),VLOOKUP(B1988,TRAOPE!$A:$U,21,0)),"")</f>
        <v/>
      </c>
      <c r="R1988" s="8">
        <f>IFERROR(IFERROR(VLOOKUP(A1988,TRAOPE!$A:$W,23,0),VLOOKUP(B1988,TRAOPE!$A:$W,23,0)),"")</f>
        <v/>
      </c>
      <c r="S1988" s="10">
        <f>IF(AND(P1988="TN",R1988="TN"),N1988+N(O1988),IF(G1988&amp;""="1",N(K1988)*N1988,(N1988+N(O1988))*N(K1988)))</f>
        <v/>
      </c>
      <c r="T1988" s="10">
        <f>IF(Q1988="","",Q1988-S1988)</f>
        <v/>
      </c>
    </row>
    <row r="1989">
      <c r="A1989" s="7">
        <f>CONCATENATE(C1989,E1989,F1989,I1989)</f>
        <v/>
      </c>
      <c r="B1989" s="7">
        <f>CONCATENATE(C1989,E1989,I1989)</f>
        <v/>
      </c>
      <c r="C1989" s="8" t="n">
        <v>900006542</v>
      </c>
      <c r="D1989" s="7">
        <f>IFERROR(VLOOKUP(C1989,TRAOPE!$G:$H,2,0),"")</f>
        <v/>
      </c>
      <c r="E1989" s="8" t="inlineStr">
        <is>
          <t>D836</t>
        </is>
      </c>
      <c r="F1989" s="8" t="inlineStr">
        <is>
          <t>67018821</t>
        </is>
      </c>
      <c r="G1989" s="8">
        <f>IFERROR(VLOOKUP(A1989,Flete!$A:$E,5,0),"")</f>
        <v/>
      </c>
      <c r="H1989" s="7">
        <f>IFERROR(VLOOKUP(F1989,TRAOPE!$AA:$AB,2,0),"")</f>
        <v/>
      </c>
      <c r="I1989" s="7" t="n">
        <v>10000357</v>
      </c>
      <c r="J1989" s="7">
        <f>IFERROR(VLOOKUP(I1989,Materiales!$A:$H,8,0),"")</f>
        <v/>
      </c>
      <c r="K1989" s="9">
        <f>IFERROR(VLOOKUP(I1989,Materiales!$A:$G,7,0),"")</f>
        <v/>
      </c>
      <c r="L1989" s="8" t="inlineStr">
        <is>
          <t>20190426</t>
        </is>
      </c>
      <c r="M1989" s="8" t="inlineStr">
        <is>
          <t>20250127</t>
        </is>
      </c>
      <c r="N1989" s="10" t="n">
        <v>330.5</v>
      </c>
      <c r="O1989" s="10">
        <f>IFERROR(VLOOKUP(A1989,Flete!$A:$J,10,0),"")</f>
        <v/>
      </c>
      <c r="P1989" s="8" t="inlineStr">
        <is>
          <t>M3</t>
        </is>
      </c>
      <c r="Q1989" s="10">
        <f>IFERROR(IFERROR(VLOOKUP(A1989,TRAOPE!$A:$U,21,0),VLOOKUP(B1989,TRAOPE!$A:$U,21,0)),"")</f>
        <v/>
      </c>
      <c r="R1989" s="8">
        <f>IFERROR(IFERROR(VLOOKUP(A1989,TRAOPE!$A:$W,23,0),VLOOKUP(B1989,TRAOPE!$A:$W,23,0)),"")</f>
        <v/>
      </c>
      <c r="S1989" s="10">
        <f>IF(AND(P1989="TN",R1989="TN"),N1989+N(O1989),IF(G1989&amp;""="1",N(K1989)*N1989,(N1989+N(O1989))*N(K1989)))</f>
        <v/>
      </c>
      <c r="T1989" s="10">
        <f>IF(Q1989="","",Q1989-S1989)</f>
        <v/>
      </c>
    </row>
    <row r="1990">
      <c r="A1990" s="7">
        <f>CONCATENATE(C1990,E1990,F1990,I1990)</f>
        <v/>
      </c>
      <c r="B1990" s="7">
        <f>CONCATENATE(C1990,E1990,I1990)</f>
        <v/>
      </c>
      <c r="C1990" s="8" t="n">
        <v>900006542</v>
      </c>
      <c r="D1990" s="7">
        <f>IFERROR(VLOOKUP(C1990,TRAOPE!$G:$H,2,0),"")</f>
        <v/>
      </c>
      <c r="E1990" s="8" t="inlineStr">
        <is>
          <t>D836</t>
        </is>
      </c>
      <c r="F1990" s="8" t="inlineStr">
        <is>
          <t>67018821</t>
        </is>
      </c>
      <c r="G1990" s="8">
        <f>IFERROR(VLOOKUP(A1990,Flete!$A:$E,5,0),"")</f>
        <v/>
      </c>
      <c r="H1990" s="7">
        <f>IFERROR(VLOOKUP(F1990,TRAOPE!$AA:$AB,2,0),"")</f>
        <v/>
      </c>
      <c r="I1990" s="7" t="n">
        <v>10000651</v>
      </c>
      <c r="J1990" s="7">
        <f>IFERROR(VLOOKUP(I1990,Materiales!$A:$H,8,0),"")</f>
        <v/>
      </c>
      <c r="K1990" s="9">
        <f>IFERROR(VLOOKUP(I1990,Materiales!$A:$G,7,0),"")</f>
        <v/>
      </c>
      <c r="L1990" s="8" t="inlineStr">
        <is>
          <t>20190426</t>
        </is>
      </c>
      <c r="M1990" s="8" t="inlineStr">
        <is>
          <t>20250127</t>
        </is>
      </c>
      <c r="N1990" s="10" t="n">
        <v>285.5</v>
      </c>
      <c r="O1990" s="10">
        <f>IFERROR(VLOOKUP(A1990,Flete!$A:$J,10,0),"")</f>
        <v/>
      </c>
      <c r="P1990" s="8" t="inlineStr">
        <is>
          <t>M3</t>
        </is>
      </c>
      <c r="Q1990" s="10">
        <f>IFERROR(IFERROR(VLOOKUP(A1990,TRAOPE!$A:$U,21,0),VLOOKUP(B1990,TRAOPE!$A:$U,21,0)),"")</f>
        <v/>
      </c>
      <c r="R1990" s="8">
        <f>IFERROR(IFERROR(VLOOKUP(A1990,TRAOPE!$A:$W,23,0),VLOOKUP(B1990,TRAOPE!$A:$W,23,0)),"")</f>
        <v/>
      </c>
      <c r="S1990" s="10">
        <f>IF(AND(P1990="TN",R1990="TN"),N1990+N(O1990),IF(G1990&amp;""="1",N(K1990)*N1990,(N1990+N(O1990))*N(K1990)))</f>
        <v/>
      </c>
      <c r="T1990" s="10">
        <f>IF(Q1990="","",Q1990-S1990)</f>
        <v/>
      </c>
    </row>
    <row r="1991">
      <c r="A1991" s="7">
        <f>CONCATENATE(C1991,E1991,F1991,I1991)</f>
        <v/>
      </c>
      <c r="B1991" s="7">
        <f>CONCATENATE(C1991,E1991,I1991)</f>
        <v/>
      </c>
      <c r="C1991" s="8" t="n">
        <v>900006542</v>
      </c>
      <c r="D1991" s="7">
        <f>IFERROR(VLOOKUP(C1991,TRAOPE!$G:$H,2,0),"")</f>
        <v/>
      </c>
      <c r="E1991" s="8" t="inlineStr">
        <is>
          <t>D836</t>
        </is>
      </c>
      <c r="F1991" s="8" t="inlineStr">
        <is>
          <t>67079060</t>
        </is>
      </c>
      <c r="G1991" s="8">
        <f>IFERROR(VLOOKUP(A1991,Flete!$A:$E,5,0),"")</f>
        <v/>
      </c>
      <c r="H1991" s="7">
        <f>IFERROR(VLOOKUP(F1991,TRAOPE!$AA:$AB,2,0),"")</f>
        <v/>
      </c>
      <c r="I1991" s="7" t="n">
        <v>10000133</v>
      </c>
      <c r="J1991" s="7">
        <f>IFERROR(VLOOKUP(I1991,Materiales!$A:$H,8,0),"")</f>
        <v/>
      </c>
      <c r="K1991" s="9">
        <f>IFERROR(VLOOKUP(I1991,Materiales!$A:$G,7,0),"")</f>
        <v/>
      </c>
      <c r="L1991" s="8" t="inlineStr">
        <is>
          <t>20190426</t>
        </is>
      </c>
      <c r="M1991" s="8" t="inlineStr">
        <is>
          <t>20250127</t>
        </is>
      </c>
      <c r="N1991" s="10" t="n">
        <v>550.9</v>
      </c>
      <c r="O1991" s="10">
        <f>IFERROR(VLOOKUP(A1991,Flete!$A:$J,10,0),"")</f>
        <v/>
      </c>
      <c r="P1991" s="8" t="inlineStr">
        <is>
          <t>M3</t>
        </is>
      </c>
      <c r="Q1991" s="10">
        <f>IFERROR(IFERROR(VLOOKUP(A1991,TRAOPE!$A:$U,21,0),VLOOKUP(B1991,TRAOPE!$A:$U,21,0)),"")</f>
        <v/>
      </c>
      <c r="R1991" s="8">
        <f>IFERROR(IFERROR(VLOOKUP(A1991,TRAOPE!$A:$W,23,0),VLOOKUP(B1991,TRAOPE!$A:$W,23,0)),"")</f>
        <v/>
      </c>
      <c r="S1991" s="10">
        <f>IF(AND(P1991="TN",R1991="TN"),N1991+N(O1991),IF(G1991&amp;""="1",N(K1991)*N1991,(N1991+N(O1991))*N(K1991)))</f>
        <v/>
      </c>
      <c r="T1991" s="10">
        <f>IF(Q1991="","",Q1991-S1991)</f>
        <v/>
      </c>
    </row>
    <row r="1992">
      <c r="A1992" s="7">
        <f>CONCATENATE(C1992,E1992,F1992,I1992)</f>
        <v/>
      </c>
      <c r="B1992" s="7">
        <f>CONCATENATE(C1992,E1992,I1992)</f>
        <v/>
      </c>
      <c r="C1992" s="8" t="n">
        <v>900006542</v>
      </c>
      <c r="D1992" s="7">
        <f>IFERROR(VLOOKUP(C1992,TRAOPE!$G:$H,2,0),"")</f>
        <v/>
      </c>
      <c r="E1992" s="8" t="inlineStr">
        <is>
          <t>D836</t>
        </is>
      </c>
      <c r="F1992" s="8" t="inlineStr">
        <is>
          <t>67104718</t>
        </is>
      </c>
      <c r="G1992" s="8">
        <f>IFERROR(VLOOKUP(A1992,Flete!$A:$E,5,0),"")</f>
        <v/>
      </c>
      <c r="H1992" s="7">
        <f>IFERROR(VLOOKUP(F1992,TRAOPE!$AA:$AB,2,0),"")</f>
        <v/>
      </c>
      <c r="I1992" s="7" t="n">
        <v>10000623</v>
      </c>
      <c r="J1992" s="7">
        <f>IFERROR(VLOOKUP(I1992,Materiales!$A:$H,8,0),"")</f>
        <v/>
      </c>
      <c r="K1992" s="9">
        <f>IFERROR(VLOOKUP(I1992,Materiales!$A:$G,7,0),"")</f>
        <v/>
      </c>
      <c r="L1992" s="8" t="inlineStr">
        <is>
          <t>20190426</t>
        </is>
      </c>
      <c r="M1992" s="8" t="inlineStr">
        <is>
          <t>20250127</t>
        </is>
      </c>
      <c r="N1992" s="10" t="n">
        <v>205.32</v>
      </c>
      <c r="O1992" s="10">
        <f>IFERROR(VLOOKUP(A1992,Flete!$A:$J,10,0),"")</f>
        <v/>
      </c>
      <c r="P1992" s="8" t="inlineStr">
        <is>
          <t>TN</t>
        </is>
      </c>
      <c r="Q1992" s="10">
        <f>IFERROR(IFERROR(VLOOKUP(A1992,TRAOPE!$A:$U,21,0),VLOOKUP(B1992,TRAOPE!$A:$U,21,0)),"")</f>
        <v/>
      </c>
      <c r="R1992" s="8">
        <f>IFERROR(IFERROR(VLOOKUP(A1992,TRAOPE!$A:$W,23,0),VLOOKUP(B1992,TRAOPE!$A:$W,23,0)),"")</f>
        <v/>
      </c>
      <c r="S1992" s="10">
        <f>IF(AND(P1992="TN",R1992="TN"),N1992+N(O1992),IF(G1992&amp;""="1",N(K1992)*N1992,(N1992+N(O1992))*N(K1992)))</f>
        <v/>
      </c>
      <c r="T1992" s="10">
        <f>IF(Q1992="","",Q1992-S1992)</f>
        <v/>
      </c>
    </row>
    <row r="1993">
      <c r="A1993" s="7">
        <f>CONCATENATE(C1993,E1993,F1993,I1993)</f>
        <v/>
      </c>
      <c r="B1993" s="7">
        <f>CONCATENATE(C1993,E1993,I1993)</f>
        <v/>
      </c>
      <c r="C1993" s="8" t="n">
        <v>900006542</v>
      </c>
      <c r="D1993" s="7">
        <f>IFERROR(VLOOKUP(C1993,TRAOPE!$G:$H,2,0),"")</f>
        <v/>
      </c>
      <c r="E1993" s="8" t="inlineStr">
        <is>
          <t>D836</t>
        </is>
      </c>
      <c r="F1993" s="8" t="inlineStr">
        <is>
          <t>67121213</t>
        </is>
      </c>
      <c r="G1993" s="8">
        <f>IFERROR(VLOOKUP(A1993,Flete!$A:$E,5,0),"")</f>
        <v/>
      </c>
      <c r="H1993" s="7">
        <f>IFERROR(VLOOKUP(F1993,TRAOPE!$AA:$AB,2,0),"")</f>
        <v/>
      </c>
      <c r="I1993" s="7" t="n">
        <v>10000160</v>
      </c>
      <c r="J1993" s="7">
        <f>IFERROR(VLOOKUP(I1993,Materiales!$A:$H,8,0),"")</f>
        <v/>
      </c>
      <c r="K1993" s="9">
        <f>IFERROR(VLOOKUP(I1993,Materiales!$A:$G,7,0),"")</f>
        <v/>
      </c>
      <c r="L1993" s="8" t="inlineStr">
        <is>
          <t>20190426</t>
        </is>
      </c>
      <c r="M1993" s="8" t="inlineStr">
        <is>
          <t>20250127</t>
        </is>
      </c>
      <c r="N1993" s="10" t="n">
        <v>410</v>
      </c>
      <c r="O1993" s="10">
        <f>IFERROR(VLOOKUP(A1993,Flete!$A:$J,10,0),"")</f>
        <v/>
      </c>
      <c r="P1993" s="8" t="inlineStr">
        <is>
          <t>M3</t>
        </is>
      </c>
      <c r="Q1993" s="10">
        <f>IFERROR(IFERROR(VLOOKUP(A1993,TRAOPE!$A:$U,21,0),VLOOKUP(B1993,TRAOPE!$A:$U,21,0)),"")</f>
        <v/>
      </c>
      <c r="R1993" s="8">
        <f>IFERROR(IFERROR(VLOOKUP(A1993,TRAOPE!$A:$W,23,0),VLOOKUP(B1993,TRAOPE!$A:$W,23,0)),"")</f>
        <v/>
      </c>
      <c r="S1993" s="10">
        <f>IF(AND(P1993="TN",R1993="TN"),N1993+N(O1993),IF(G1993&amp;""="1",N(K1993)*N1993,(N1993+N(O1993))*N(K1993)))</f>
        <v/>
      </c>
      <c r="T1993" s="10">
        <f>IF(Q1993="","",Q1993-S1993)</f>
        <v/>
      </c>
    </row>
    <row r="1994">
      <c r="A1994" s="7">
        <f>CONCATENATE(C1994,E1994,F1994,I1994)</f>
        <v/>
      </c>
      <c r="B1994" s="7">
        <f>CONCATENATE(C1994,E1994,I1994)</f>
        <v/>
      </c>
      <c r="C1994" s="8" t="n">
        <v>900006542</v>
      </c>
      <c r="D1994" s="7">
        <f>IFERROR(VLOOKUP(C1994,TRAOPE!$G:$H,2,0),"")</f>
        <v/>
      </c>
      <c r="E1994" s="8" t="inlineStr">
        <is>
          <t>D836</t>
        </is>
      </c>
      <c r="F1994" s="8" t="inlineStr">
        <is>
          <t>67121213</t>
        </is>
      </c>
      <c r="G1994" s="8">
        <f>IFERROR(VLOOKUP(A1994,Flete!$A:$E,5,0),"")</f>
        <v/>
      </c>
      <c r="H1994" s="7">
        <f>IFERROR(VLOOKUP(F1994,TRAOPE!$AA:$AB,2,0),"")</f>
        <v/>
      </c>
      <c r="I1994" s="7" t="n">
        <v>10000649</v>
      </c>
      <c r="J1994" s="7">
        <f>IFERROR(VLOOKUP(I1994,Materiales!$A:$H,8,0),"")</f>
        <v/>
      </c>
      <c r="K1994" s="9">
        <f>IFERROR(VLOOKUP(I1994,Materiales!$A:$G,7,0),"")</f>
        <v/>
      </c>
      <c r="L1994" s="8" t="inlineStr">
        <is>
          <t>20190426</t>
        </is>
      </c>
      <c r="M1994" s="8" t="inlineStr">
        <is>
          <t>20250127</t>
        </is>
      </c>
      <c r="N1994" s="10" t="n">
        <v>400</v>
      </c>
      <c r="O1994" s="10">
        <f>IFERROR(VLOOKUP(A1994,Flete!$A:$J,10,0),"")</f>
        <v/>
      </c>
      <c r="P1994" s="8" t="inlineStr">
        <is>
          <t>M3</t>
        </is>
      </c>
      <c r="Q1994" s="10">
        <f>IFERROR(IFERROR(VLOOKUP(A1994,TRAOPE!$A:$U,21,0),VLOOKUP(B1994,TRAOPE!$A:$U,21,0)),"")</f>
        <v/>
      </c>
      <c r="R1994" s="8">
        <f>IFERROR(IFERROR(VLOOKUP(A1994,TRAOPE!$A:$W,23,0),VLOOKUP(B1994,TRAOPE!$A:$W,23,0)),"")</f>
        <v/>
      </c>
      <c r="S1994" s="10">
        <f>IF(AND(P1994="TN",R1994="TN"),N1994+N(O1994),IF(G1994&amp;""="1",N(K1994)*N1994,(N1994+N(O1994))*N(K1994)))</f>
        <v/>
      </c>
      <c r="T1994" s="10">
        <f>IF(Q1994="","",Q1994-S1994)</f>
        <v/>
      </c>
    </row>
    <row r="1995">
      <c r="A1995" s="7">
        <f>CONCATENATE(C1995,E1995,F1995,I1995)</f>
        <v/>
      </c>
      <c r="B1995" s="7">
        <f>CONCATENATE(C1995,E1995,I1995)</f>
        <v/>
      </c>
      <c r="C1995" s="8" t="n">
        <v>900006542</v>
      </c>
      <c r="D1995" s="7">
        <f>IFERROR(VLOOKUP(C1995,TRAOPE!$G:$H,2,0),"")</f>
        <v/>
      </c>
      <c r="E1995" s="8" t="inlineStr">
        <is>
          <t>D836</t>
        </is>
      </c>
      <c r="F1995" s="8" t="inlineStr">
        <is>
          <t>67146165</t>
        </is>
      </c>
      <c r="G1995" s="8">
        <f>IFERROR(VLOOKUP(A1995,Flete!$A:$E,5,0),"")</f>
        <v/>
      </c>
      <c r="H1995" s="7">
        <f>IFERROR(VLOOKUP(F1995,TRAOPE!$AA:$AB,2,0),"")</f>
        <v/>
      </c>
      <c r="I1995" s="7" t="n">
        <v>10000133</v>
      </c>
      <c r="J1995" s="7">
        <f>IFERROR(VLOOKUP(I1995,Materiales!$A:$H,8,0),"")</f>
        <v/>
      </c>
      <c r="K1995" s="9">
        <f>IFERROR(VLOOKUP(I1995,Materiales!$A:$G,7,0),"")</f>
        <v/>
      </c>
      <c r="L1995" s="8" t="inlineStr">
        <is>
          <t>20190426</t>
        </is>
      </c>
      <c r="M1995" s="8" t="inlineStr">
        <is>
          <t>20250127</t>
        </is>
      </c>
      <c r="N1995" s="10" t="n">
        <v>660</v>
      </c>
      <c r="O1995" s="10">
        <f>IFERROR(VLOOKUP(A1995,Flete!$A:$J,10,0),"")</f>
        <v/>
      </c>
      <c r="P1995" s="8" t="inlineStr">
        <is>
          <t>M3</t>
        </is>
      </c>
      <c r="Q1995" s="10">
        <f>IFERROR(IFERROR(VLOOKUP(A1995,TRAOPE!$A:$U,21,0),VLOOKUP(B1995,TRAOPE!$A:$U,21,0)),"")</f>
        <v/>
      </c>
      <c r="R1995" s="8">
        <f>IFERROR(IFERROR(VLOOKUP(A1995,TRAOPE!$A:$W,23,0),VLOOKUP(B1995,TRAOPE!$A:$W,23,0)),"")</f>
        <v/>
      </c>
      <c r="S1995" s="10">
        <f>IF(AND(P1995="TN",R1995="TN"),N1995+N(O1995),IF(G1995&amp;""="1",N(K1995)*N1995,(N1995+N(O1995))*N(K1995)))</f>
        <v/>
      </c>
      <c r="T1995" s="10">
        <f>IF(Q1995="","",Q1995-S1995)</f>
        <v/>
      </c>
    </row>
    <row r="1996">
      <c r="A1996" s="7">
        <f>CONCATENATE(C1996,E1996,F1996,I1996)</f>
        <v/>
      </c>
      <c r="B1996" s="7">
        <f>CONCATENATE(C1996,E1996,I1996)</f>
        <v/>
      </c>
      <c r="C1996" s="8" t="n">
        <v>900006542</v>
      </c>
      <c r="D1996" s="7">
        <f>IFERROR(VLOOKUP(C1996,TRAOPE!$G:$H,2,0),"")</f>
        <v/>
      </c>
      <c r="E1996" s="8" t="inlineStr">
        <is>
          <t>D836</t>
        </is>
      </c>
      <c r="F1996" s="8" t="inlineStr">
        <is>
          <t>67146165</t>
        </is>
      </c>
      <c r="G1996" s="8">
        <f>IFERROR(VLOOKUP(A1996,Flete!$A:$E,5,0),"")</f>
        <v/>
      </c>
      <c r="H1996" s="7">
        <f>IFERROR(VLOOKUP(F1996,TRAOPE!$AA:$AB,2,0),"")</f>
        <v/>
      </c>
      <c r="I1996" s="7" t="n">
        <v>10058345</v>
      </c>
      <c r="J1996" s="7">
        <f>IFERROR(VLOOKUP(I1996,Materiales!$A:$H,8,0),"")</f>
        <v/>
      </c>
      <c r="K1996" s="9">
        <f>IFERROR(VLOOKUP(I1996,Materiales!$A:$G,7,0),"")</f>
        <v/>
      </c>
      <c r="L1996" s="8" t="inlineStr">
        <is>
          <t>20190426</t>
        </is>
      </c>
      <c r="M1996" s="8" t="inlineStr">
        <is>
          <t>20250127</t>
        </is>
      </c>
      <c r="N1996" s="10" t="n">
        <v>640</v>
      </c>
      <c r="O1996" s="10">
        <f>IFERROR(VLOOKUP(A1996,Flete!$A:$J,10,0),"")</f>
        <v/>
      </c>
      <c r="P1996" s="8" t="inlineStr">
        <is>
          <t>M3</t>
        </is>
      </c>
      <c r="Q1996" s="10">
        <f>IFERROR(IFERROR(VLOOKUP(A1996,TRAOPE!$A:$U,21,0),VLOOKUP(B1996,TRAOPE!$A:$U,21,0)),"")</f>
        <v/>
      </c>
      <c r="R1996" s="8">
        <f>IFERROR(IFERROR(VLOOKUP(A1996,TRAOPE!$A:$W,23,0),VLOOKUP(B1996,TRAOPE!$A:$W,23,0)),"")</f>
        <v/>
      </c>
      <c r="S1996" s="10">
        <f>IF(AND(P1996="TN",R1996="TN"),N1996+N(O1996),IF(G1996&amp;""="1",N(K1996)*N1996,(N1996+N(O1996))*N(K1996)))</f>
        <v/>
      </c>
      <c r="T1996" s="10">
        <f>IF(Q1996="","",Q1996-S1996)</f>
        <v/>
      </c>
    </row>
    <row r="1997">
      <c r="A1997" s="7">
        <f>CONCATENATE(C1997,E1997,F1997,I1997)</f>
        <v/>
      </c>
      <c r="B1997" s="7">
        <f>CONCATENATE(C1997,E1997,I1997)</f>
        <v/>
      </c>
      <c r="C1997" s="8" t="n">
        <v>900006543</v>
      </c>
      <c r="D1997" s="7">
        <f>IFERROR(VLOOKUP(C1997,TRAOPE!$G:$H,2,0),"")</f>
        <v/>
      </c>
      <c r="E1997" s="8" t="inlineStr">
        <is>
          <t>D836</t>
        </is>
      </c>
      <c r="F1997" s="8" t="inlineStr">
        <is>
          <t>65006122</t>
        </is>
      </c>
      <c r="G1997" s="8">
        <f>IFERROR(VLOOKUP(A1997,Flete!$A:$E,5,0),"")</f>
        <v/>
      </c>
      <c r="H1997" s="7">
        <f>IFERROR(VLOOKUP(F1997,TRAOPE!$AA:$AB,2,0),"")</f>
        <v/>
      </c>
      <c r="I1997" s="7" t="n">
        <v>10000651</v>
      </c>
      <c r="J1997" s="7">
        <f>IFERROR(VLOOKUP(I1997,Materiales!$A:$H,8,0),"")</f>
        <v/>
      </c>
      <c r="K1997" s="9">
        <f>IFERROR(VLOOKUP(I1997,Materiales!$A:$G,7,0),"")</f>
        <v/>
      </c>
      <c r="L1997" s="8" t="inlineStr">
        <is>
          <t>20190426</t>
        </is>
      </c>
      <c r="M1997" s="8" t="inlineStr">
        <is>
          <t>20250127</t>
        </is>
      </c>
      <c r="N1997" s="10" t="n">
        <v>128.1</v>
      </c>
      <c r="O1997" s="10">
        <f>IFERROR(VLOOKUP(A1997,Flete!$A:$J,10,0),"")</f>
        <v/>
      </c>
      <c r="P1997" s="8" t="inlineStr">
        <is>
          <t>M3</t>
        </is>
      </c>
      <c r="Q1997" s="10">
        <f>IFERROR(IFERROR(VLOOKUP(A1997,TRAOPE!$A:$U,21,0),VLOOKUP(B1997,TRAOPE!$A:$U,21,0)),"")</f>
        <v/>
      </c>
      <c r="R1997" s="8">
        <f>IFERROR(IFERROR(VLOOKUP(A1997,TRAOPE!$A:$W,23,0),VLOOKUP(B1997,TRAOPE!$A:$W,23,0)),"")</f>
        <v/>
      </c>
      <c r="S1997" s="10">
        <f>IF(AND(P1997="TN",R1997="TN"),N1997+N(O1997),IF(G1997&amp;""="1",N(K1997)*N1997,(N1997+N(O1997))*N(K1997)))</f>
        <v/>
      </c>
      <c r="T1997" s="10">
        <f>IF(Q1997="","",Q1997-S1997)</f>
        <v/>
      </c>
    </row>
    <row r="1998">
      <c r="A1998" s="7">
        <f>CONCATENATE(C1998,E1998,F1998,I1998)</f>
        <v/>
      </c>
      <c r="B1998" s="7">
        <f>CONCATENATE(C1998,E1998,I1998)</f>
        <v/>
      </c>
      <c r="C1998" s="8" t="n">
        <v>900006543</v>
      </c>
      <c r="D1998" s="7">
        <f>IFERROR(VLOOKUP(C1998,TRAOPE!$G:$H,2,0),"")</f>
        <v/>
      </c>
      <c r="E1998" s="8" t="inlineStr">
        <is>
          <t>D836</t>
        </is>
      </c>
      <c r="F1998" s="8" t="inlineStr">
        <is>
          <t>65061685</t>
        </is>
      </c>
      <c r="G1998" s="8">
        <f>IFERROR(VLOOKUP(A1998,Flete!$A:$E,5,0),"")</f>
        <v/>
      </c>
      <c r="H1998" s="7">
        <f>IFERROR(VLOOKUP(F1998,TRAOPE!$AA:$AB,2,0),"")</f>
        <v/>
      </c>
      <c r="I1998" s="7" t="n">
        <v>10185476</v>
      </c>
      <c r="J1998" s="7">
        <f>IFERROR(VLOOKUP(I1998,Materiales!$A:$H,8,0),"")</f>
        <v/>
      </c>
      <c r="K1998" s="9">
        <f>IFERROR(VLOOKUP(I1998,Materiales!$A:$G,7,0),"")</f>
        <v/>
      </c>
      <c r="L1998" s="8" t="inlineStr">
        <is>
          <t>20190426</t>
        </is>
      </c>
      <c r="M1998" s="8" t="inlineStr">
        <is>
          <t>20250127</t>
        </is>
      </c>
      <c r="N1998" s="10" t="n">
        <v>110</v>
      </c>
      <c r="O1998" s="10">
        <f>IFERROR(VLOOKUP(A1998,Flete!$A:$J,10,0),"")</f>
        <v/>
      </c>
      <c r="P1998" s="8" t="inlineStr">
        <is>
          <t>M3</t>
        </is>
      </c>
      <c r="Q1998" s="10">
        <f>IFERROR(IFERROR(VLOOKUP(A1998,TRAOPE!$A:$U,21,0),VLOOKUP(B1998,TRAOPE!$A:$U,21,0)),"")</f>
        <v/>
      </c>
      <c r="R1998" s="8">
        <f>IFERROR(IFERROR(VLOOKUP(A1998,TRAOPE!$A:$W,23,0),VLOOKUP(B1998,TRAOPE!$A:$W,23,0)),"")</f>
        <v/>
      </c>
      <c r="S1998" s="10">
        <f>IF(AND(P1998="TN",R1998="TN"),N1998+N(O1998),IF(G1998&amp;""="1",N(K1998)*N1998,(N1998+N(O1998))*N(K1998)))</f>
        <v/>
      </c>
      <c r="T1998" s="10">
        <f>IF(Q1998="","",Q1998-S1998)</f>
        <v/>
      </c>
    </row>
    <row r="1999">
      <c r="A1999" s="7">
        <f>CONCATENATE(C1999,E1999,F1999,I1999)</f>
        <v/>
      </c>
      <c r="B1999" s="7">
        <f>CONCATENATE(C1999,E1999,I1999)</f>
        <v/>
      </c>
      <c r="C1999" s="8" t="n">
        <v>900006543</v>
      </c>
      <c r="D1999" s="7">
        <f>IFERROR(VLOOKUP(C1999,TRAOPE!$G:$H,2,0),"")</f>
        <v/>
      </c>
      <c r="E1999" s="8" t="inlineStr">
        <is>
          <t>D836</t>
        </is>
      </c>
      <c r="F1999" s="8" t="inlineStr">
        <is>
          <t>65061685</t>
        </is>
      </c>
      <c r="G1999" s="8">
        <f>IFERROR(VLOOKUP(A1999,Flete!$A:$E,5,0),"")</f>
        <v/>
      </c>
      <c r="H1999" s="7">
        <f>IFERROR(VLOOKUP(F1999,TRAOPE!$AA:$AB,2,0),"")</f>
        <v/>
      </c>
      <c r="I1999" s="7" t="n">
        <v>10185477</v>
      </c>
      <c r="J1999" s="7">
        <f>IFERROR(VLOOKUP(I1999,Materiales!$A:$H,8,0),"")</f>
        <v/>
      </c>
      <c r="K1999" s="9">
        <f>IFERROR(VLOOKUP(I1999,Materiales!$A:$G,7,0),"")</f>
        <v/>
      </c>
      <c r="L1999" s="8" t="inlineStr">
        <is>
          <t>20190426</t>
        </is>
      </c>
      <c r="M1999" s="8" t="inlineStr">
        <is>
          <t>20250127</t>
        </is>
      </c>
      <c r="N1999" s="10" t="n">
        <v>125</v>
      </c>
      <c r="O1999" s="10">
        <f>IFERROR(VLOOKUP(A1999,Flete!$A:$J,10,0),"")</f>
        <v/>
      </c>
      <c r="P1999" s="8" t="inlineStr">
        <is>
          <t>M3</t>
        </is>
      </c>
      <c r="Q1999" s="10">
        <f>IFERROR(IFERROR(VLOOKUP(A1999,TRAOPE!$A:$U,21,0),VLOOKUP(B1999,TRAOPE!$A:$U,21,0)),"")</f>
        <v/>
      </c>
      <c r="R1999" s="8">
        <f>IFERROR(IFERROR(VLOOKUP(A1999,TRAOPE!$A:$W,23,0),VLOOKUP(B1999,TRAOPE!$A:$W,23,0)),"")</f>
        <v/>
      </c>
      <c r="S1999" s="10">
        <f>IF(AND(P1999="TN",R1999="TN"),N1999+N(O1999),IF(G1999&amp;""="1",N(K1999)*N1999,(N1999+N(O1999))*N(K1999)))</f>
        <v/>
      </c>
      <c r="T1999" s="10">
        <f>IF(Q1999="","",Q1999-S1999)</f>
        <v/>
      </c>
    </row>
    <row r="2000">
      <c r="A2000" s="7">
        <f>CONCATENATE(C2000,E2000,F2000,I2000)</f>
        <v/>
      </c>
      <c r="B2000" s="7">
        <f>CONCATENATE(C2000,E2000,I2000)</f>
        <v/>
      </c>
      <c r="C2000" s="8" t="n">
        <v>900006543</v>
      </c>
      <c r="D2000" s="7">
        <f>IFERROR(VLOOKUP(C2000,TRAOPE!$G:$H,2,0),"")</f>
        <v/>
      </c>
      <c r="E2000" s="8" t="inlineStr">
        <is>
          <t>D836</t>
        </is>
      </c>
      <c r="F2000" s="8" t="inlineStr">
        <is>
          <t>65232687</t>
        </is>
      </c>
      <c r="G2000" s="8">
        <f>IFERROR(VLOOKUP(A2000,Flete!$A:$E,5,0),"")</f>
        <v/>
      </c>
      <c r="H2000" s="7">
        <f>IFERROR(VLOOKUP(F2000,TRAOPE!$AA:$AB,2,0),"")</f>
        <v/>
      </c>
      <c r="I2000" s="7" t="n">
        <v>10146897</v>
      </c>
      <c r="J2000" s="7">
        <f>IFERROR(VLOOKUP(I2000,Materiales!$A:$H,8,0),"")</f>
        <v/>
      </c>
      <c r="K2000" s="9">
        <f>IFERROR(VLOOKUP(I2000,Materiales!$A:$G,7,0),"")</f>
        <v/>
      </c>
      <c r="L2000" s="8" t="inlineStr">
        <is>
          <t>20190426</t>
        </is>
      </c>
      <c r="M2000" s="8" t="inlineStr">
        <is>
          <t>20250127</t>
        </is>
      </c>
      <c r="N2000" s="10" t="n">
        <v>123</v>
      </c>
      <c r="O2000" s="10">
        <f>IFERROR(VLOOKUP(A2000,Flete!$A:$J,10,0),"")</f>
        <v/>
      </c>
      <c r="P2000" s="8" t="inlineStr">
        <is>
          <t>M3</t>
        </is>
      </c>
      <c r="Q2000" s="10">
        <f>IFERROR(IFERROR(VLOOKUP(A2000,TRAOPE!$A:$U,21,0),VLOOKUP(B2000,TRAOPE!$A:$U,21,0)),"")</f>
        <v/>
      </c>
      <c r="R2000" s="8">
        <f>IFERROR(IFERROR(VLOOKUP(A2000,TRAOPE!$A:$W,23,0),VLOOKUP(B2000,TRAOPE!$A:$W,23,0)),"")</f>
        <v/>
      </c>
      <c r="S2000" s="10">
        <f>IF(AND(P2000="TN",R2000="TN"),N2000+N(O2000),IF(G2000&amp;""="1",N(K2000)*N2000,(N2000+N(O2000))*N(K2000)))</f>
        <v/>
      </c>
      <c r="T2000" s="10">
        <f>IF(Q2000="","",Q2000-S2000)</f>
        <v/>
      </c>
    </row>
    <row r="2001">
      <c r="A2001" s="7">
        <f>CONCATENATE(C2001,E2001,F2001,I2001)</f>
        <v/>
      </c>
      <c r="B2001" s="7">
        <f>CONCATENATE(C2001,E2001,I2001)</f>
        <v/>
      </c>
      <c r="C2001" s="8" t="n">
        <v>900006543</v>
      </c>
      <c r="D2001" s="7">
        <f>IFERROR(VLOOKUP(C2001,TRAOPE!$G:$H,2,0),"")</f>
        <v/>
      </c>
      <c r="E2001" s="8" t="inlineStr">
        <is>
          <t>D836</t>
        </is>
      </c>
      <c r="F2001" s="8" t="inlineStr">
        <is>
          <t>65251399</t>
        </is>
      </c>
      <c r="G2001" s="8">
        <f>IFERROR(VLOOKUP(A2001,Flete!$A:$E,5,0),"")</f>
        <v/>
      </c>
      <c r="H2001" s="7">
        <f>IFERROR(VLOOKUP(F2001,TRAOPE!$AA:$AB,2,0),"")</f>
        <v/>
      </c>
      <c r="I2001" s="7" t="n">
        <v>10185476</v>
      </c>
      <c r="J2001" s="7">
        <f>IFERROR(VLOOKUP(I2001,Materiales!$A:$H,8,0),"")</f>
        <v/>
      </c>
      <c r="K2001" s="9">
        <f>IFERROR(VLOOKUP(I2001,Materiales!$A:$G,7,0),"")</f>
        <v/>
      </c>
      <c r="L2001" s="8" t="inlineStr">
        <is>
          <t>20190426</t>
        </is>
      </c>
      <c r="M2001" s="8" t="inlineStr">
        <is>
          <t>20250127</t>
        </is>
      </c>
      <c r="N2001" s="10" t="n">
        <v>110</v>
      </c>
      <c r="O2001" s="10">
        <f>IFERROR(VLOOKUP(A2001,Flete!$A:$J,10,0),"")</f>
        <v/>
      </c>
      <c r="P2001" s="8" t="inlineStr">
        <is>
          <t>M3</t>
        </is>
      </c>
      <c r="Q2001" s="10">
        <f>IFERROR(IFERROR(VLOOKUP(A2001,TRAOPE!$A:$U,21,0),VLOOKUP(B2001,TRAOPE!$A:$U,21,0)),"")</f>
        <v/>
      </c>
      <c r="R2001" s="8">
        <f>IFERROR(IFERROR(VLOOKUP(A2001,TRAOPE!$A:$W,23,0),VLOOKUP(B2001,TRAOPE!$A:$W,23,0)),"")</f>
        <v/>
      </c>
      <c r="S2001" s="10">
        <f>IF(AND(P2001="TN",R2001="TN"),N2001+N(O2001),IF(G2001&amp;""="1",N(K2001)*N2001,(N2001+N(O2001))*N(K2001)))</f>
        <v/>
      </c>
      <c r="T2001" s="10">
        <f>IF(Q2001="","",Q2001-S2001)</f>
        <v/>
      </c>
    </row>
    <row r="2002">
      <c r="A2002" s="7">
        <f>CONCATENATE(C2002,E2002,F2002,I2002)</f>
        <v/>
      </c>
      <c r="B2002" s="7">
        <f>CONCATENATE(C2002,E2002,I2002)</f>
        <v/>
      </c>
      <c r="C2002" s="8" t="n">
        <v>900006543</v>
      </c>
      <c r="D2002" s="7">
        <f>IFERROR(VLOOKUP(C2002,TRAOPE!$G:$H,2,0),"")</f>
        <v/>
      </c>
      <c r="E2002" s="8" t="inlineStr">
        <is>
          <t>D836</t>
        </is>
      </c>
      <c r="F2002" s="8" t="inlineStr">
        <is>
          <t>65251399</t>
        </is>
      </c>
      <c r="G2002" s="8">
        <f>IFERROR(VLOOKUP(A2002,Flete!$A:$E,5,0),"")</f>
        <v/>
      </c>
      <c r="H2002" s="7">
        <f>IFERROR(VLOOKUP(F2002,TRAOPE!$AA:$AB,2,0),"")</f>
        <v/>
      </c>
      <c r="I2002" s="7" t="n">
        <v>10185477</v>
      </c>
      <c r="J2002" s="7">
        <f>IFERROR(VLOOKUP(I2002,Materiales!$A:$H,8,0),"")</f>
        <v/>
      </c>
      <c r="K2002" s="9">
        <f>IFERROR(VLOOKUP(I2002,Materiales!$A:$G,7,0),"")</f>
        <v/>
      </c>
      <c r="L2002" s="8" t="inlineStr">
        <is>
          <t>20190426</t>
        </is>
      </c>
      <c r="M2002" s="8" t="inlineStr">
        <is>
          <t>20250127</t>
        </is>
      </c>
      <c r="N2002" s="10" t="n">
        <v>125</v>
      </c>
      <c r="O2002" s="10">
        <f>IFERROR(VLOOKUP(A2002,Flete!$A:$J,10,0),"")</f>
        <v/>
      </c>
      <c r="P2002" s="8" t="inlineStr">
        <is>
          <t>M3</t>
        </is>
      </c>
      <c r="Q2002" s="10">
        <f>IFERROR(IFERROR(VLOOKUP(A2002,TRAOPE!$A:$U,21,0),VLOOKUP(B2002,TRAOPE!$A:$U,21,0)),"")</f>
        <v/>
      </c>
      <c r="R2002" s="8">
        <f>IFERROR(IFERROR(VLOOKUP(A2002,TRAOPE!$A:$W,23,0),VLOOKUP(B2002,TRAOPE!$A:$W,23,0)),"")</f>
        <v/>
      </c>
      <c r="S2002" s="10">
        <f>IF(AND(P2002="TN",R2002="TN"),N2002+N(O2002),IF(G2002&amp;""="1",N(K2002)*N2002,(N2002+N(O2002))*N(K2002)))</f>
        <v/>
      </c>
      <c r="T2002" s="10">
        <f>IF(Q2002="","",Q2002-S2002)</f>
        <v/>
      </c>
    </row>
    <row r="2003">
      <c r="A2003" s="7">
        <f>CONCATENATE(C2003,E2003,F2003,I2003)</f>
        <v/>
      </c>
      <c r="B2003" s="7">
        <f>CONCATENATE(C2003,E2003,I2003)</f>
        <v/>
      </c>
      <c r="C2003" s="8" t="n">
        <v>900006543</v>
      </c>
      <c r="D2003" s="7">
        <f>IFERROR(VLOOKUP(C2003,TRAOPE!$G:$H,2,0),"")</f>
        <v/>
      </c>
      <c r="E2003" s="8" t="inlineStr">
        <is>
          <t>D836</t>
        </is>
      </c>
      <c r="F2003" s="8" t="inlineStr">
        <is>
          <t>65796882</t>
        </is>
      </c>
      <c r="G2003" s="8">
        <f>IFERROR(VLOOKUP(A2003,Flete!$A:$E,5,0),"")</f>
        <v/>
      </c>
      <c r="H2003" s="7">
        <f>IFERROR(VLOOKUP(F2003,TRAOPE!$AA:$AB,2,0),"")</f>
        <v/>
      </c>
      <c r="I2003" s="7" t="n">
        <v>10185476</v>
      </c>
      <c r="J2003" s="7">
        <f>IFERROR(VLOOKUP(I2003,Materiales!$A:$H,8,0),"")</f>
        <v/>
      </c>
      <c r="K2003" s="9">
        <f>IFERROR(VLOOKUP(I2003,Materiales!$A:$G,7,0),"")</f>
        <v/>
      </c>
      <c r="L2003" s="8" t="inlineStr">
        <is>
          <t>20190426</t>
        </is>
      </c>
      <c r="M2003" s="8" t="inlineStr">
        <is>
          <t>20250127</t>
        </is>
      </c>
      <c r="N2003" s="10" t="n">
        <v>110</v>
      </c>
      <c r="O2003" s="10">
        <f>IFERROR(VLOOKUP(A2003,Flete!$A:$J,10,0),"")</f>
        <v/>
      </c>
      <c r="P2003" s="8" t="inlineStr">
        <is>
          <t>M3</t>
        </is>
      </c>
      <c r="Q2003" s="10">
        <f>IFERROR(IFERROR(VLOOKUP(A2003,TRAOPE!$A:$U,21,0),VLOOKUP(B2003,TRAOPE!$A:$U,21,0)),"")</f>
        <v/>
      </c>
      <c r="R2003" s="8">
        <f>IFERROR(IFERROR(VLOOKUP(A2003,TRAOPE!$A:$W,23,0),VLOOKUP(B2003,TRAOPE!$A:$W,23,0)),"")</f>
        <v/>
      </c>
      <c r="S2003" s="10">
        <f>IF(AND(P2003="TN",R2003="TN"),N2003+N(O2003),IF(G2003&amp;""="1",N(K2003)*N2003,(N2003+N(O2003))*N(K2003)))</f>
        <v/>
      </c>
      <c r="T2003" s="10">
        <f>IF(Q2003="","",Q2003-S2003)</f>
        <v/>
      </c>
    </row>
    <row r="2004">
      <c r="A2004" s="7">
        <f>CONCATENATE(C2004,E2004,F2004,I2004)</f>
        <v/>
      </c>
      <c r="B2004" s="7">
        <f>CONCATENATE(C2004,E2004,I2004)</f>
        <v/>
      </c>
      <c r="C2004" s="8" t="n">
        <v>900006543</v>
      </c>
      <c r="D2004" s="7">
        <f>IFERROR(VLOOKUP(C2004,TRAOPE!$G:$H,2,0),"")</f>
        <v/>
      </c>
      <c r="E2004" s="8" t="inlineStr">
        <is>
          <t>D836</t>
        </is>
      </c>
      <c r="F2004" s="8" t="inlineStr">
        <is>
          <t>65796882</t>
        </is>
      </c>
      <c r="G2004" s="8">
        <f>IFERROR(VLOOKUP(A2004,Flete!$A:$E,5,0),"")</f>
        <v/>
      </c>
      <c r="H2004" s="7">
        <f>IFERROR(VLOOKUP(F2004,TRAOPE!$AA:$AB,2,0),"")</f>
        <v/>
      </c>
      <c r="I2004" s="7" t="n">
        <v>10185477</v>
      </c>
      <c r="J2004" s="7">
        <f>IFERROR(VLOOKUP(I2004,Materiales!$A:$H,8,0),"")</f>
        <v/>
      </c>
      <c r="K2004" s="9">
        <f>IFERROR(VLOOKUP(I2004,Materiales!$A:$G,7,0),"")</f>
        <v/>
      </c>
      <c r="L2004" s="8" t="inlineStr">
        <is>
          <t>20190426</t>
        </is>
      </c>
      <c r="M2004" s="8" t="inlineStr">
        <is>
          <t>20250127</t>
        </is>
      </c>
      <c r="N2004" s="10" t="n">
        <v>125</v>
      </c>
      <c r="O2004" s="10">
        <f>IFERROR(VLOOKUP(A2004,Flete!$A:$J,10,0),"")</f>
        <v/>
      </c>
      <c r="P2004" s="8" t="inlineStr">
        <is>
          <t>M3</t>
        </is>
      </c>
      <c r="Q2004" s="10">
        <f>IFERROR(IFERROR(VLOOKUP(A2004,TRAOPE!$A:$U,21,0),VLOOKUP(B2004,TRAOPE!$A:$U,21,0)),"")</f>
        <v/>
      </c>
      <c r="R2004" s="8">
        <f>IFERROR(IFERROR(VLOOKUP(A2004,TRAOPE!$A:$W,23,0),VLOOKUP(B2004,TRAOPE!$A:$W,23,0)),"")</f>
        <v/>
      </c>
      <c r="S2004" s="10">
        <f>IF(AND(P2004="TN",R2004="TN"),N2004+N(O2004),IF(G2004&amp;""="1",N(K2004)*N2004,(N2004+N(O2004))*N(K2004)))</f>
        <v/>
      </c>
      <c r="T2004" s="10">
        <f>IF(Q2004="","",Q2004-S2004)</f>
        <v/>
      </c>
    </row>
    <row r="2005">
      <c r="A2005" s="7">
        <f>CONCATENATE(C2005,E2005,F2005,I2005)</f>
        <v/>
      </c>
      <c r="B2005" s="7">
        <f>CONCATENATE(C2005,E2005,I2005)</f>
        <v/>
      </c>
      <c r="C2005" s="8" t="n">
        <v>900006543</v>
      </c>
      <c r="D2005" s="7">
        <f>IFERROR(VLOOKUP(C2005,TRAOPE!$G:$H,2,0),"")</f>
        <v/>
      </c>
      <c r="E2005" s="8" t="inlineStr">
        <is>
          <t>D836</t>
        </is>
      </c>
      <c r="F2005" s="8" t="inlineStr">
        <is>
          <t>65916616</t>
        </is>
      </c>
      <c r="G2005" s="8">
        <f>IFERROR(VLOOKUP(A2005,Flete!$A:$E,5,0),"")</f>
        <v/>
      </c>
      <c r="H2005" s="7">
        <f>IFERROR(VLOOKUP(F2005,TRAOPE!$AA:$AB,2,0),"")</f>
        <v/>
      </c>
      <c r="I2005" s="7" t="n">
        <v>10185476</v>
      </c>
      <c r="J2005" s="7">
        <f>IFERROR(VLOOKUP(I2005,Materiales!$A:$H,8,0),"")</f>
        <v/>
      </c>
      <c r="K2005" s="9">
        <f>IFERROR(VLOOKUP(I2005,Materiales!$A:$G,7,0),"")</f>
        <v/>
      </c>
      <c r="L2005" s="8" t="inlineStr">
        <is>
          <t>20190426</t>
        </is>
      </c>
      <c r="M2005" s="8" t="inlineStr">
        <is>
          <t>20250127</t>
        </is>
      </c>
      <c r="N2005" s="10" t="n">
        <v>110</v>
      </c>
      <c r="O2005" s="10">
        <f>IFERROR(VLOOKUP(A2005,Flete!$A:$J,10,0),"")</f>
        <v/>
      </c>
      <c r="P2005" s="8" t="inlineStr">
        <is>
          <t>M3</t>
        </is>
      </c>
      <c r="Q2005" s="10">
        <f>IFERROR(IFERROR(VLOOKUP(A2005,TRAOPE!$A:$U,21,0),VLOOKUP(B2005,TRAOPE!$A:$U,21,0)),"")</f>
        <v/>
      </c>
      <c r="R2005" s="8">
        <f>IFERROR(IFERROR(VLOOKUP(A2005,TRAOPE!$A:$W,23,0),VLOOKUP(B2005,TRAOPE!$A:$W,23,0)),"")</f>
        <v/>
      </c>
      <c r="S2005" s="10">
        <f>IF(AND(P2005="TN",R2005="TN"),N2005+N(O2005),IF(G2005&amp;""="1",N(K2005)*N2005,(N2005+N(O2005))*N(K2005)))</f>
        <v/>
      </c>
      <c r="T2005" s="10">
        <f>IF(Q2005="","",Q2005-S2005)</f>
        <v/>
      </c>
    </row>
    <row r="2006">
      <c r="A2006" s="7">
        <f>CONCATENATE(C2006,E2006,F2006,I2006)</f>
        <v/>
      </c>
      <c r="B2006" s="7">
        <f>CONCATENATE(C2006,E2006,I2006)</f>
        <v/>
      </c>
      <c r="C2006" s="8" t="n">
        <v>900006543</v>
      </c>
      <c r="D2006" s="7">
        <f>IFERROR(VLOOKUP(C2006,TRAOPE!$G:$H,2,0),"")</f>
        <v/>
      </c>
      <c r="E2006" s="8" t="inlineStr">
        <is>
          <t>D836</t>
        </is>
      </c>
      <c r="F2006" s="8" t="inlineStr">
        <is>
          <t>65916616</t>
        </is>
      </c>
      <c r="G2006" s="8">
        <f>IFERROR(VLOOKUP(A2006,Flete!$A:$E,5,0),"")</f>
        <v/>
      </c>
      <c r="H2006" s="7">
        <f>IFERROR(VLOOKUP(F2006,TRAOPE!$AA:$AB,2,0),"")</f>
        <v/>
      </c>
      <c r="I2006" s="7" t="n">
        <v>10185477</v>
      </c>
      <c r="J2006" s="7">
        <f>IFERROR(VLOOKUP(I2006,Materiales!$A:$H,8,0),"")</f>
        <v/>
      </c>
      <c r="K2006" s="9">
        <f>IFERROR(VLOOKUP(I2006,Materiales!$A:$G,7,0),"")</f>
        <v/>
      </c>
      <c r="L2006" s="8" t="inlineStr">
        <is>
          <t>20190426</t>
        </is>
      </c>
      <c r="M2006" s="8" t="inlineStr">
        <is>
          <t>20250127</t>
        </is>
      </c>
      <c r="N2006" s="10" t="n">
        <v>125</v>
      </c>
      <c r="O2006" s="10">
        <f>IFERROR(VLOOKUP(A2006,Flete!$A:$J,10,0),"")</f>
        <v/>
      </c>
      <c r="P2006" s="8" t="inlineStr">
        <is>
          <t>M3</t>
        </is>
      </c>
      <c r="Q2006" s="10">
        <f>IFERROR(IFERROR(VLOOKUP(A2006,TRAOPE!$A:$U,21,0),VLOOKUP(B2006,TRAOPE!$A:$U,21,0)),"")</f>
        <v/>
      </c>
      <c r="R2006" s="8">
        <f>IFERROR(IFERROR(VLOOKUP(A2006,TRAOPE!$A:$W,23,0),VLOOKUP(B2006,TRAOPE!$A:$W,23,0)),"")</f>
        <v/>
      </c>
      <c r="S2006" s="10">
        <f>IF(AND(P2006="TN",R2006="TN"),N2006+N(O2006),IF(G2006&amp;""="1",N(K2006)*N2006,(N2006+N(O2006))*N(K2006)))</f>
        <v/>
      </c>
      <c r="T2006" s="10">
        <f>IF(Q2006="","",Q2006-S2006)</f>
        <v/>
      </c>
    </row>
    <row r="2007">
      <c r="A2007" s="7">
        <f>CONCATENATE(C2007,E2007,F2007,I2007)</f>
        <v/>
      </c>
      <c r="B2007" s="7">
        <f>CONCATENATE(C2007,E2007,I2007)</f>
        <v/>
      </c>
      <c r="C2007" s="8" t="n">
        <v>900006543</v>
      </c>
      <c r="D2007" s="7">
        <f>IFERROR(VLOOKUP(C2007,TRAOPE!$G:$H,2,0),"")</f>
        <v/>
      </c>
      <c r="E2007" s="8" t="inlineStr">
        <is>
          <t>D836</t>
        </is>
      </c>
      <c r="F2007" s="8" t="inlineStr">
        <is>
          <t>66230098</t>
        </is>
      </c>
      <c r="G2007" s="8">
        <f>IFERROR(VLOOKUP(A2007,Flete!$A:$E,5,0),"")</f>
        <v/>
      </c>
      <c r="H2007" s="7">
        <f>IFERROR(VLOOKUP(F2007,TRAOPE!$AA:$AB,2,0),"")</f>
        <v/>
      </c>
      <c r="I2007" s="7" t="n">
        <v>10185476</v>
      </c>
      <c r="J2007" s="7">
        <f>IFERROR(VLOOKUP(I2007,Materiales!$A:$H,8,0),"")</f>
        <v/>
      </c>
      <c r="K2007" s="9">
        <f>IFERROR(VLOOKUP(I2007,Materiales!$A:$G,7,0),"")</f>
        <v/>
      </c>
      <c r="L2007" s="8" t="inlineStr">
        <is>
          <t>20190426</t>
        </is>
      </c>
      <c r="M2007" s="8" t="inlineStr">
        <is>
          <t>20250127</t>
        </is>
      </c>
      <c r="N2007" s="10" t="n">
        <v>110</v>
      </c>
      <c r="O2007" s="10">
        <f>IFERROR(VLOOKUP(A2007,Flete!$A:$J,10,0),"")</f>
        <v/>
      </c>
      <c r="P2007" s="8" t="inlineStr">
        <is>
          <t>M3</t>
        </is>
      </c>
      <c r="Q2007" s="10">
        <f>IFERROR(IFERROR(VLOOKUP(A2007,TRAOPE!$A:$U,21,0),VLOOKUP(B2007,TRAOPE!$A:$U,21,0)),"")</f>
        <v/>
      </c>
      <c r="R2007" s="8">
        <f>IFERROR(IFERROR(VLOOKUP(A2007,TRAOPE!$A:$W,23,0),VLOOKUP(B2007,TRAOPE!$A:$W,23,0)),"")</f>
        <v/>
      </c>
      <c r="S2007" s="10">
        <f>IF(AND(P2007="TN",R2007="TN"),N2007+N(O2007),IF(G2007&amp;""="1",N(K2007)*N2007,(N2007+N(O2007))*N(K2007)))</f>
        <v/>
      </c>
      <c r="T2007" s="10">
        <f>IF(Q2007="","",Q2007-S2007)</f>
        <v/>
      </c>
    </row>
    <row r="2008">
      <c r="A2008" s="7">
        <f>CONCATENATE(C2008,E2008,F2008,I2008)</f>
        <v/>
      </c>
      <c r="B2008" s="7">
        <f>CONCATENATE(C2008,E2008,I2008)</f>
        <v/>
      </c>
      <c r="C2008" s="8" t="n">
        <v>900006543</v>
      </c>
      <c r="D2008" s="7">
        <f>IFERROR(VLOOKUP(C2008,TRAOPE!$G:$H,2,0),"")</f>
        <v/>
      </c>
      <c r="E2008" s="8" t="inlineStr">
        <is>
          <t>D836</t>
        </is>
      </c>
      <c r="F2008" s="8" t="inlineStr">
        <is>
          <t>66230098</t>
        </is>
      </c>
      <c r="G2008" s="8">
        <f>IFERROR(VLOOKUP(A2008,Flete!$A:$E,5,0),"")</f>
        <v/>
      </c>
      <c r="H2008" s="7">
        <f>IFERROR(VLOOKUP(F2008,TRAOPE!$AA:$AB,2,0),"")</f>
        <v/>
      </c>
      <c r="I2008" s="7" t="n">
        <v>10185477</v>
      </c>
      <c r="J2008" s="7">
        <f>IFERROR(VLOOKUP(I2008,Materiales!$A:$H,8,0),"")</f>
        <v/>
      </c>
      <c r="K2008" s="9">
        <f>IFERROR(VLOOKUP(I2008,Materiales!$A:$G,7,0),"")</f>
        <v/>
      </c>
      <c r="L2008" s="8" t="inlineStr">
        <is>
          <t>20190426</t>
        </is>
      </c>
      <c r="M2008" s="8" t="inlineStr">
        <is>
          <t>20250127</t>
        </is>
      </c>
      <c r="N2008" s="10" t="n">
        <v>125</v>
      </c>
      <c r="O2008" s="10">
        <f>IFERROR(VLOOKUP(A2008,Flete!$A:$J,10,0),"")</f>
        <v/>
      </c>
      <c r="P2008" s="8" t="inlineStr">
        <is>
          <t>M3</t>
        </is>
      </c>
      <c r="Q2008" s="10">
        <f>IFERROR(IFERROR(VLOOKUP(A2008,TRAOPE!$A:$U,21,0),VLOOKUP(B2008,TRAOPE!$A:$U,21,0)),"")</f>
        <v/>
      </c>
      <c r="R2008" s="8">
        <f>IFERROR(IFERROR(VLOOKUP(A2008,TRAOPE!$A:$W,23,0),VLOOKUP(B2008,TRAOPE!$A:$W,23,0)),"")</f>
        <v/>
      </c>
      <c r="S2008" s="10">
        <f>IF(AND(P2008="TN",R2008="TN"),N2008+N(O2008),IF(G2008&amp;""="1",N(K2008)*N2008,(N2008+N(O2008))*N(K2008)))</f>
        <v/>
      </c>
      <c r="T2008" s="10">
        <f>IF(Q2008="","",Q2008-S2008)</f>
        <v/>
      </c>
    </row>
    <row r="2009">
      <c r="A2009" s="7">
        <f>CONCATENATE(C2009,E2009,F2009,I2009)</f>
        <v/>
      </c>
      <c r="B2009" s="7">
        <f>CONCATENATE(C2009,E2009,I2009)</f>
        <v/>
      </c>
      <c r="C2009" s="8" t="n">
        <v>900006543</v>
      </c>
      <c r="D2009" s="7">
        <f>IFERROR(VLOOKUP(C2009,TRAOPE!$G:$H,2,0),"")</f>
        <v/>
      </c>
      <c r="E2009" s="8" t="inlineStr">
        <is>
          <t>D836</t>
        </is>
      </c>
      <c r="F2009" s="8" t="inlineStr">
        <is>
          <t>66426100</t>
        </is>
      </c>
      <c r="G2009" s="8">
        <f>IFERROR(VLOOKUP(A2009,Flete!$A:$E,5,0),"")</f>
        <v/>
      </c>
      <c r="H2009" s="7">
        <f>IFERROR(VLOOKUP(F2009,TRAOPE!$AA:$AB,2,0),"")</f>
        <v/>
      </c>
      <c r="I2009" s="7" t="n">
        <v>10185476</v>
      </c>
      <c r="J2009" s="7">
        <f>IFERROR(VLOOKUP(I2009,Materiales!$A:$H,8,0),"")</f>
        <v/>
      </c>
      <c r="K2009" s="9">
        <f>IFERROR(VLOOKUP(I2009,Materiales!$A:$G,7,0),"")</f>
        <v/>
      </c>
      <c r="L2009" s="8" t="inlineStr">
        <is>
          <t>20190426</t>
        </is>
      </c>
      <c r="M2009" s="8" t="inlineStr">
        <is>
          <t>20250127</t>
        </is>
      </c>
      <c r="N2009" s="10" t="n">
        <v>115</v>
      </c>
      <c r="O2009" s="10">
        <f>IFERROR(VLOOKUP(A2009,Flete!$A:$J,10,0),"")</f>
        <v/>
      </c>
      <c r="P2009" s="8" t="inlineStr">
        <is>
          <t>M3</t>
        </is>
      </c>
      <c r="Q2009" s="10">
        <f>IFERROR(IFERROR(VLOOKUP(A2009,TRAOPE!$A:$U,21,0),VLOOKUP(B2009,TRAOPE!$A:$U,21,0)),"")</f>
        <v/>
      </c>
      <c r="R2009" s="8">
        <f>IFERROR(IFERROR(VLOOKUP(A2009,TRAOPE!$A:$W,23,0),VLOOKUP(B2009,TRAOPE!$A:$W,23,0)),"")</f>
        <v/>
      </c>
      <c r="S2009" s="10">
        <f>IF(AND(P2009="TN",R2009="TN"),N2009+N(O2009),IF(G2009&amp;""="1",N(K2009)*N2009,(N2009+N(O2009))*N(K2009)))</f>
        <v/>
      </c>
      <c r="T2009" s="10">
        <f>IF(Q2009="","",Q2009-S2009)</f>
        <v/>
      </c>
    </row>
    <row r="2010">
      <c r="A2010" s="7">
        <f>CONCATENATE(C2010,E2010,F2010,I2010)</f>
        <v/>
      </c>
      <c r="B2010" s="7">
        <f>CONCATENATE(C2010,E2010,I2010)</f>
        <v/>
      </c>
      <c r="C2010" s="8" t="n">
        <v>900006543</v>
      </c>
      <c r="D2010" s="7">
        <f>IFERROR(VLOOKUP(C2010,TRAOPE!$G:$H,2,0),"")</f>
        <v/>
      </c>
      <c r="E2010" s="8" t="inlineStr">
        <is>
          <t>D836</t>
        </is>
      </c>
      <c r="F2010" s="8" t="inlineStr">
        <is>
          <t>66426100</t>
        </is>
      </c>
      <c r="G2010" s="8">
        <f>IFERROR(VLOOKUP(A2010,Flete!$A:$E,5,0),"")</f>
        <v/>
      </c>
      <c r="H2010" s="7">
        <f>IFERROR(VLOOKUP(F2010,TRAOPE!$AA:$AB,2,0),"")</f>
        <v/>
      </c>
      <c r="I2010" s="7" t="n">
        <v>10185477</v>
      </c>
      <c r="J2010" s="7">
        <f>IFERROR(VLOOKUP(I2010,Materiales!$A:$H,8,0),"")</f>
        <v/>
      </c>
      <c r="K2010" s="9">
        <f>IFERROR(VLOOKUP(I2010,Materiales!$A:$G,7,0),"")</f>
        <v/>
      </c>
      <c r="L2010" s="8" t="inlineStr">
        <is>
          <t>20190426</t>
        </is>
      </c>
      <c r="M2010" s="8" t="inlineStr">
        <is>
          <t>20250127</t>
        </is>
      </c>
      <c r="N2010" s="10" t="n">
        <v>120</v>
      </c>
      <c r="O2010" s="10">
        <f>IFERROR(VLOOKUP(A2010,Flete!$A:$J,10,0),"")</f>
        <v/>
      </c>
      <c r="P2010" s="8" t="inlineStr">
        <is>
          <t>M3</t>
        </is>
      </c>
      <c r="Q2010" s="10">
        <f>IFERROR(IFERROR(VLOOKUP(A2010,TRAOPE!$A:$U,21,0),VLOOKUP(B2010,TRAOPE!$A:$U,21,0)),"")</f>
        <v/>
      </c>
      <c r="R2010" s="8">
        <f>IFERROR(IFERROR(VLOOKUP(A2010,TRAOPE!$A:$W,23,0),VLOOKUP(B2010,TRAOPE!$A:$W,23,0)),"")</f>
        <v/>
      </c>
      <c r="S2010" s="10">
        <f>IF(AND(P2010="TN",R2010="TN"),N2010+N(O2010),IF(G2010&amp;""="1",N(K2010)*N2010,(N2010+N(O2010))*N(K2010)))</f>
        <v/>
      </c>
      <c r="T2010" s="10">
        <f>IF(Q2010="","",Q2010-S2010)</f>
        <v/>
      </c>
    </row>
    <row r="2011">
      <c r="A2011" s="7">
        <f>CONCATENATE(C2011,E2011,F2011,I2011)</f>
        <v/>
      </c>
      <c r="B2011" s="7">
        <f>CONCATENATE(C2011,E2011,I2011)</f>
        <v/>
      </c>
      <c r="C2011" s="8" t="n">
        <v>900006543</v>
      </c>
      <c r="D2011" s="7">
        <f>IFERROR(VLOOKUP(C2011,TRAOPE!$G:$H,2,0),"")</f>
        <v/>
      </c>
      <c r="E2011" s="8" t="inlineStr">
        <is>
          <t>D836</t>
        </is>
      </c>
      <c r="F2011" s="8" t="inlineStr">
        <is>
          <t>66433509</t>
        </is>
      </c>
      <c r="G2011" s="8">
        <f>IFERROR(VLOOKUP(A2011,Flete!$A:$E,5,0),"")</f>
        <v/>
      </c>
      <c r="H2011" s="7">
        <f>IFERROR(VLOOKUP(F2011,TRAOPE!$AA:$AB,2,0),"")</f>
        <v/>
      </c>
      <c r="I2011" s="7" t="n">
        <v>10185476</v>
      </c>
      <c r="J2011" s="7">
        <f>IFERROR(VLOOKUP(I2011,Materiales!$A:$H,8,0),"")</f>
        <v/>
      </c>
      <c r="K2011" s="9">
        <f>IFERROR(VLOOKUP(I2011,Materiales!$A:$G,7,0),"")</f>
        <v/>
      </c>
      <c r="L2011" s="8" t="inlineStr">
        <is>
          <t>20190426</t>
        </is>
      </c>
      <c r="M2011" s="8" t="inlineStr">
        <is>
          <t>20250127</t>
        </is>
      </c>
      <c r="N2011" s="10" t="n">
        <v>115</v>
      </c>
      <c r="O2011" s="10">
        <f>IFERROR(VLOOKUP(A2011,Flete!$A:$J,10,0),"")</f>
        <v/>
      </c>
      <c r="P2011" s="8" t="inlineStr">
        <is>
          <t>M3</t>
        </is>
      </c>
      <c r="Q2011" s="10">
        <f>IFERROR(IFERROR(VLOOKUP(A2011,TRAOPE!$A:$U,21,0),VLOOKUP(B2011,TRAOPE!$A:$U,21,0)),"")</f>
        <v/>
      </c>
      <c r="R2011" s="8">
        <f>IFERROR(IFERROR(VLOOKUP(A2011,TRAOPE!$A:$W,23,0),VLOOKUP(B2011,TRAOPE!$A:$W,23,0)),"")</f>
        <v/>
      </c>
      <c r="S2011" s="10">
        <f>IF(AND(P2011="TN",R2011="TN"),N2011+N(O2011),IF(G2011&amp;""="1",N(K2011)*N2011,(N2011+N(O2011))*N(K2011)))</f>
        <v/>
      </c>
      <c r="T2011" s="10">
        <f>IF(Q2011="","",Q2011-S2011)</f>
        <v/>
      </c>
    </row>
    <row r="2012">
      <c r="A2012" s="7">
        <f>CONCATENATE(C2012,E2012,F2012,I2012)</f>
        <v/>
      </c>
      <c r="B2012" s="7">
        <f>CONCATENATE(C2012,E2012,I2012)</f>
        <v/>
      </c>
      <c r="C2012" s="8" t="n">
        <v>900006543</v>
      </c>
      <c r="D2012" s="7">
        <f>IFERROR(VLOOKUP(C2012,TRAOPE!$G:$H,2,0),"")</f>
        <v/>
      </c>
      <c r="E2012" s="8" t="inlineStr">
        <is>
          <t>D836</t>
        </is>
      </c>
      <c r="F2012" s="8" t="inlineStr">
        <is>
          <t>66433509</t>
        </is>
      </c>
      <c r="G2012" s="8">
        <f>IFERROR(VLOOKUP(A2012,Flete!$A:$E,5,0),"")</f>
        <v/>
      </c>
      <c r="H2012" s="7">
        <f>IFERROR(VLOOKUP(F2012,TRAOPE!$AA:$AB,2,0),"")</f>
        <v/>
      </c>
      <c r="I2012" s="7" t="n">
        <v>10185477</v>
      </c>
      <c r="J2012" s="7">
        <f>IFERROR(VLOOKUP(I2012,Materiales!$A:$H,8,0),"")</f>
        <v/>
      </c>
      <c r="K2012" s="9">
        <f>IFERROR(VLOOKUP(I2012,Materiales!$A:$G,7,0),"")</f>
        <v/>
      </c>
      <c r="L2012" s="8" t="inlineStr">
        <is>
          <t>20190426</t>
        </is>
      </c>
      <c r="M2012" s="8" t="inlineStr">
        <is>
          <t>20250127</t>
        </is>
      </c>
      <c r="N2012" s="10" t="n">
        <v>120</v>
      </c>
      <c r="O2012" s="10">
        <f>IFERROR(VLOOKUP(A2012,Flete!$A:$J,10,0),"")</f>
        <v/>
      </c>
      <c r="P2012" s="8" t="inlineStr">
        <is>
          <t>M3</t>
        </is>
      </c>
      <c r="Q2012" s="10">
        <f>IFERROR(IFERROR(VLOOKUP(A2012,TRAOPE!$A:$U,21,0),VLOOKUP(B2012,TRAOPE!$A:$U,21,0)),"")</f>
        <v/>
      </c>
      <c r="R2012" s="8">
        <f>IFERROR(IFERROR(VLOOKUP(A2012,TRAOPE!$A:$W,23,0),VLOOKUP(B2012,TRAOPE!$A:$W,23,0)),"")</f>
        <v/>
      </c>
      <c r="S2012" s="10">
        <f>IF(AND(P2012="TN",R2012="TN"),N2012+N(O2012),IF(G2012&amp;""="1",N(K2012)*N2012,(N2012+N(O2012))*N(K2012)))</f>
        <v/>
      </c>
      <c r="T2012" s="10">
        <f>IF(Q2012="","",Q2012-S2012)</f>
        <v/>
      </c>
    </row>
    <row r="2013">
      <c r="A2013" s="7">
        <f>CONCATENATE(C2013,E2013,F2013,I2013)</f>
        <v/>
      </c>
      <c r="B2013" s="7">
        <f>CONCATENATE(C2013,E2013,I2013)</f>
        <v/>
      </c>
      <c r="C2013" s="8" t="n">
        <v>900006543</v>
      </c>
      <c r="D2013" s="7">
        <f>IFERROR(VLOOKUP(C2013,TRAOPE!$G:$H,2,0),"")</f>
        <v/>
      </c>
      <c r="E2013" s="8" t="inlineStr">
        <is>
          <t>D836</t>
        </is>
      </c>
      <c r="F2013" s="8" t="inlineStr">
        <is>
          <t>66442116</t>
        </is>
      </c>
      <c r="G2013" s="8">
        <f>IFERROR(VLOOKUP(A2013,Flete!$A:$E,5,0),"")</f>
        <v/>
      </c>
      <c r="H2013" s="7">
        <f>IFERROR(VLOOKUP(F2013,TRAOPE!$AA:$AB,2,0),"")</f>
        <v/>
      </c>
      <c r="I2013" s="7" t="n">
        <v>10185476</v>
      </c>
      <c r="J2013" s="7">
        <f>IFERROR(VLOOKUP(I2013,Materiales!$A:$H,8,0),"")</f>
        <v/>
      </c>
      <c r="K2013" s="9">
        <f>IFERROR(VLOOKUP(I2013,Materiales!$A:$G,7,0),"")</f>
        <v/>
      </c>
      <c r="L2013" s="8" t="inlineStr">
        <is>
          <t>20190426</t>
        </is>
      </c>
      <c r="M2013" s="8" t="inlineStr">
        <is>
          <t>20250127</t>
        </is>
      </c>
      <c r="N2013" s="10" t="n">
        <v>110</v>
      </c>
      <c r="O2013" s="10">
        <f>IFERROR(VLOOKUP(A2013,Flete!$A:$J,10,0),"")</f>
        <v/>
      </c>
      <c r="P2013" s="8" t="inlineStr">
        <is>
          <t>M3</t>
        </is>
      </c>
      <c r="Q2013" s="10">
        <f>IFERROR(IFERROR(VLOOKUP(A2013,TRAOPE!$A:$U,21,0),VLOOKUP(B2013,TRAOPE!$A:$U,21,0)),"")</f>
        <v/>
      </c>
      <c r="R2013" s="8">
        <f>IFERROR(IFERROR(VLOOKUP(A2013,TRAOPE!$A:$W,23,0),VLOOKUP(B2013,TRAOPE!$A:$W,23,0)),"")</f>
        <v/>
      </c>
      <c r="S2013" s="10">
        <f>IF(AND(P2013="TN",R2013="TN"),N2013+N(O2013),IF(G2013&amp;""="1",N(K2013)*N2013,(N2013+N(O2013))*N(K2013)))</f>
        <v/>
      </c>
      <c r="T2013" s="10">
        <f>IF(Q2013="","",Q2013-S2013)</f>
        <v/>
      </c>
    </row>
    <row r="2014">
      <c r="A2014" s="7">
        <f>CONCATENATE(C2014,E2014,F2014,I2014)</f>
        <v/>
      </c>
      <c r="B2014" s="7">
        <f>CONCATENATE(C2014,E2014,I2014)</f>
        <v/>
      </c>
      <c r="C2014" s="8" t="n">
        <v>900006543</v>
      </c>
      <c r="D2014" s="7">
        <f>IFERROR(VLOOKUP(C2014,TRAOPE!$G:$H,2,0),"")</f>
        <v/>
      </c>
      <c r="E2014" s="8" t="inlineStr">
        <is>
          <t>D836</t>
        </is>
      </c>
      <c r="F2014" s="8" t="inlineStr">
        <is>
          <t>66442116</t>
        </is>
      </c>
      <c r="G2014" s="8">
        <f>IFERROR(VLOOKUP(A2014,Flete!$A:$E,5,0),"")</f>
        <v/>
      </c>
      <c r="H2014" s="7">
        <f>IFERROR(VLOOKUP(F2014,TRAOPE!$AA:$AB,2,0),"")</f>
        <v/>
      </c>
      <c r="I2014" s="7" t="n">
        <v>10185477</v>
      </c>
      <c r="J2014" s="7">
        <f>IFERROR(VLOOKUP(I2014,Materiales!$A:$H,8,0),"")</f>
        <v/>
      </c>
      <c r="K2014" s="9">
        <f>IFERROR(VLOOKUP(I2014,Materiales!$A:$G,7,0),"")</f>
        <v/>
      </c>
      <c r="L2014" s="8" t="inlineStr">
        <is>
          <t>20190426</t>
        </is>
      </c>
      <c r="M2014" s="8" t="inlineStr">
        <is>
          <t>20250127</t>
        </is>
      </c>
      <c r="N2014" s="10" t="n">
        <v>125</v>
      </c>
      <c r="O2014" s="10">
        <f>IFERROR(VLOOKUP(A2014,Flete!$A:$J,10,0),"")</f>
        <v/>
      </c>
      <c r="P2014" s="8" t="inlineStr">
        <is>
          <t>M3</t>
        </is>
      </c>
      <c r="Q2014" s="10">
        <f>IFERROR(IFERROR(VLOOKUP(A2014,TRAOPE!$A:$U,21,0),VLOOKUP(B2014,TRAOPE!$A:$U,21,0)),"")</f>
        <v/>
      </c>
      <c r="R2014" s="8">
        <f>IFERROR(IFERROR(VLOOKUP(A2014,TRAOPE!$A:$W,23,0),VLOOKUP(B2014,TRAOPE!$A:$W,23,0)),"")</f>
        <v/>
      </c>
      <c r="S2014" s="10">
        <f>IF(AND(P2014="TN",R2014="TN"),N2014+N(O2014),IF(G2014&amp;""="1",N(K2014)*N2014,(N2014+N(O2014))*N(K2014)))</f>
        <v/>
      </c>
      <c r="T2014" s="10">
        <f>IF(Q2014="","",Q2014-S2014)</f>
        <v/>
      </c>
    </row>
    <row r="2015">
      <c r="A2015" s="7">
        <f>CONCATENATE(C2015,E2015,F2015,I2015)</f>
        <v/>
      </c>
      <c r="B2015" s="7">
        <f>CONCATENATE(C2015,E2015,I2015)</f>
        <v/>
      </c>
      <c r="C2015" s="8" t="n">
        <v>900006543</v>
      </c>
      <c r="D2015" s="7">
        <f>IFERROR(VLOOKUP(C2015,TRAOPE!$G:$H,2,0),"")</f>
        <v/>
      </c>
      <c r="E2015" s="8" t="inlineStr">
        <is>
          <t>D836</t>
        </is>
      </c>
      <c r="F2015" s="8" t="inlineStr">
        <is>
          <t>66450072</t>
        </is>
      </c>
      <c r="G2015" s="8">
        <f>IFERROR(VLOOKUP(A2015,Flete!$A:$E,5,0),"")</f>
        <v/>
      </c>
      <c r="H2015" s="7">
        <f>IFERROR(VLOOKUP(F2015,TRAOPE!$AA:$AB,2,0),"")</f>
        <v/>
      </c>
      <c r="I2015" s="7" t="n">
        <v>10185476</v>
      </c>
      <c r="J2015" s="7">
        <f>IFERROR(VLOOKUP(I2015,Materiales!$A:$H,8,0),"")</f>
        <v/>
      </c>
      <c r="K2015" s="9">
        <f>IFERROR(VLOOKUP(I2015,Materiales!$A:$G,7,0),"")</f>
        <v/>
      </c>
      <c r="L2015" s="8" t="inlineStr">
        <is>
          <t>20190426</t>
        </is>
      </c>
      <c r="M2015" s="8" t="inlineStr">
        <is>
          <t>20250127</t>
        </is>
      </c>
      <c r="N2015" s="10" t="n">
        <v>110</v>
      </c>
      <c r="O2015" s="10">
        <f>IFERROR(VLOOKUP(A2015,Flete!$A:$J,10,0),"")</f>
        <v/>
      </c>
      <c r="P2015" s="8" t="inlineStr">
        <is>
          <t>M3</t>
        </is>
      </c>
      <c r="Q2015" s="10">
        <f>IFERROR(IFERROR(VLOOKUP(A2015,TRAOPE!$A:$U,21,0),VLOOKUP(B2015,TRAOPE!$A:$U,21,0)),"")</f>
        <v/>
      </c>
      <c r="R2015" s="8">
        <f>IFERROR(IFERROR(VLOOKUP(A2015,TRAOPE!$A:$W,23,0),VLOOKUP(B2015,TRAOPE!$A:$W,23,0)),"")</f>
        <v/>
      </c>
      <c r="S2015" s="10">
        <f>IF(AND(P2015="TN",R2015="TN"),N2015+N(O2015),IF(G2015&amp;""="1",N(K2015)*N2015,(N2015+N(O2015))*N(K2015)))</f>
        <v/>
      </c>
      <c r="T2015" s="10">
        <f>IF(Q2015="","",Q2015-S2015)</f>
        <v/>
      </c>
    </row>
    <row r="2016">
      <c r="A2016" s="7">
        <f>CONCATENATE(C2016,E2016,F2016,I2016)</f>
        <v/>
      </c>
      <c r="B2016" s="7">
        <f>CONCATENATE(C2016,E2016,I2016)</f>
        <v/>
      </c>
      <c r="C2016" s="8" t="n">
        <v>900006543</v>
      </c>
      <c r="D2016" s="7">
        <f>IFERROR(VLOOKUP(C2016,TRAOPE!$G:$H,2,0),"")</f>
        <v/>
      </c>
      <c r="E2016" s="8" t="inlineStr">
        <is>
          <t>D836</t>
        </is>
      </c>
      <c r="F2016" s="8" t="inlineStr">
        <is>
          <t>66450072</t>
        </is>
      </c>
      <c r="G2016" s="8">
        <f>IFERROR(VLOOKUP(A2016,Flete!$A:$E,5,0),"")</f>
        <v/>
      </c>
      <c r="H2016" s="7">
        <f>IFERROR(VLOOKUP(F2016,TRAOPE!$AA:$AB,2,0),"")</f>
        <v/>
      </c>
      <c r="I2016" s="7" t="n">
        <v>10185477</v>
      </c>
      <c r="J2016" s="7">
        <f>IFERROR(VLOOKUP(I2016,Materiales!$A:$H,8,0),"")</f>
        <v/>
      </c>
      <c r="K2016" s="9">
        <f>IFERROR(VLOOKUP(I2016,Materiales!$A:$G,7,0),"")</f>
        <v/>
      </c>
      <c r="L2016" s="8" t="inlineStr">
        <is>
          <t>20190426</t>
        </is>
      </c>
      <c r="M2016" s="8" t="inlineStr">
        <is>
          <t>20250127</t>
        </is>
      </c>
      <c r="N2016" s="10" t="n">
        <v>125</v>
      </c>
      <c r="O2016" s="10">
        <f>IFERROR(VLOOKUP(A2016,Flete!$A:$J,10,0),"")</f>
        <v/>
      </c>
      <c r="P2016" s="8" t="inlineStr">
        <is>
          <t>M3</t>
        </is>
      </c>
      <c r="Q2016" s="10">
        <f>IFERROR(IFERROR(VLOOKUP(A2016,TRAOPE!$A:$U,21,0),VLOOKUP(B2016,TRAOPE!$A:$U,21,0)),"")</f>
        <v/>
      </c>
      <c r="R2016" s="8">
        <f>IFERROR(IFERROR(VLOOKUP(A2016,TRAOPE!$A:$W,23,0),VLOOKUP(B2016,TRAOPE!$A:$W,23,0)),"")</f>
        <v/>
      </c>
      <c r="S2016" s="10">
        <f>IF(AND(P2016="TN",R2016="TN"),N2016+N(O2016),IF(G2016&amp;""="1",N(K2016)*N2016,(N2016+N(O2016))*N(K2016)))</f>
        <v/>
      </c>
      <c r="T2016" s="10">
        <f>IF(Q2016="","",Q2016-S2016)</f>
        <v/>
      </c>
    </row>
    <row r="2017">
      <c r="A2017" s="7">
        <f>CONCATENATE(C2017,E2017,F2017,I2017)</f>
        <v/>
      </c>
      <c r="B2017" s="7">
        <f>CONCATENATE(C2017,E2017,I2017)</f>
        <v/>
      </c>
      <c r="C2017" s="8" t="n">
        <v>900006543</v>
      </c>
      <c r="D2017" s="7">
        <f>IFERROR(VLOOKUP(C2017,TRAOPE!$G:$H,2,0),"")</f>
        <v/>
      </c>
      <c r="E2017" s="8" t="inlineStr">
        <is>
          <t>D836</t>
        </is>
      </c>
      <c r="F2017" s="8" t="inlineStr">
        <is>
          <t>66490957</t>
        </is>
      </c>
      <c r="G2017" s="8">
        <f>IFERROR(VLOOKUP(A2017,Flete!$A:$E,5,0),"")</f>
        <v/>
      </c>
      <c r="H2017" s="7">
        <f>IFERROR(VLOOKUP(F2017,TRAOPE!$AA:$AB,2,0),"")</f>
        <v/>
      </c>
      <c r="I2017" s="7" t="n">
        <v>10000651</v>
      </c>
      <c r="J2017" s="7">
        <f>IFERROR(VLOOKUP(I2017,Materiales!$A:$H,8,0),"")</f>
        <v/>
      </c>
      <c r="K2017" s="9">
        <f>IFERROR(VLOOKUP(I2017,Materiales!$A:$G,7,0),"")</f>
        <v/>
      </c>
      <c r="L2017" s="8" t="inlineStr">
        <is>
          <t>20190426</t>
        </is>
      </c>
      <c r="M2017" s="8" t="inlineStr">
        <is>
          <t>20250127</t>
        </is>
      </c>
      <c r="N2017" s="10" t="n">
        <v>130</v>
      </c>
      <c r="O2017" s="10">
        <f>IFERROR(VLOOKUP(A2017,Flete!$A:$J,10,0),"")</f>
        <v/>
      </c>
      <c r="P2017" s="8" t="inlineStr">
        <is>
          <t>M3</t>
        </is>
      </c>
      <c r="Q2017" s="10">
        <f>IFERROR(IFERROR(VLOOKUP(A2017,TRAOPE!$A:$U,21,0),VLOOKUP(B2017,TRAOPE!$A:$U,21,0)),"")</f>
        <v/>
      </c>
      <c r="R2017" s="8">
        <f>IFERROR(IFERROR(VLOOKUP(A2017,TRAOPE!$A:$W,23,0),VLOOKUP(B2017,TRAOPE!$A:$W,23,0)),"")</f>
        <v/>
      </c>
      <c r="S2017" s="10">
        <f>IF(AND(P2017="TN",R2017="TN"),N2017+N(O2017),IF(G2017&amp;""="1",N(K2017)*N2017,(N2017+N(O2017))*N(K2017)))</f>
        <v/>
      </c>
      <c r="T2017" s="10">
        <f>IF(Q2017="","",Q2017-S2017)</f>
        <v/>
      </c>
    </row>
    <row r="2018">
      <c r="A2018" s="7">
        <f>CONCATENATE(C2018,E2018,F2018,I2018)</f>
        <v/>
      </c>
      <c r="B2018" s="7">
        <f>CONCATENATE(C2018,E2018,I2018)</f>
        <v/>
      </c>
      <c r="C2018" s="8" t="n">
        <v>900006543</v>
      </c>
      <c r="D2018" s="7">
        <f>IFERROR(VLOOKUP(C2018,TRAOPE!$G:$H,2,0),"")</f>
        <v/>
      </c>
      <c r="E2018" s="8" t="inlineStr">
        <is>
          <t>D836</t>
        </is>
      </c>
      <c r="F2018" s="8" t="inlineStr">
        <is>
          <t>66550843</t>
        </is>
      </c>
      <c r="G2018" s="8">
        <f>IFERROR(VLOOKUP(A2018,Flete!$A:$E,5,0),"")</f>
        <v/>
      </c>
      <c r="H2018" s="7">
        <f>IFERROR(VLOOKUP(F2018,TRAOPE!$AA:$AB,2,0),"")</f>
        <v/>
      </c>
      <c r="I2018" s="7" t="n">
        <v>10185476</v>
      </c>
      <c r="J2018" s="7">
        <f>IFERROR(VLOOKUP(I2018,Materiales!$A:$H,8,0),"")</f>
        <v/>
      </c>
      <c r="K2018" s="9">
        <f>IFERROR(VLOOKUP(I2018,Materiales!$A:$G,7,0),"")</f>
        <v/>
      </c>
      <c r="L2018" s="8" t="inlineStr">
        <is>
          <t>20190426</t>
        </is>
      </c>
      <c r="M2018" s="8" t="inlineStr">
        <is>
          <t>20250127</t>
        </is>
      </c>
      <c r="N2018" s="10" t="n">
        <v>110</v>
      </c>
      <c r="O2018" s="10">
        <f>IFERROR(VLOOKUP(A2018,Flete!$A:$J,10,0),"")</f>
        <v/>
      </c>
      <c r="P2018" s="8" t="inlineStr">
        <is>
          <t>M3</t>
        </is>
      </c>
      <c r="Q2018" s="10">
        <f>IFERROR(IFERROR(VLOOKUP(A2018,TRAOPE!$A:$U,21,0),VLOOKUP(B2018,TRAOPE!$A:$U,21,0)),"")</f>
        <v/>
      </c>
      <c r="R2018" s="8">
        <f>IFERROR(IFERROR(VLOOKUP(A2018,TRAOPE!$A:$W,23,0),VLOOKUP(B2018,TRAOPE!$A:$W,23,0)),"")</f>
        <v/>
      </c>
      <c r="S2018" s="10">
        <f>IF(AND(P2018="TN",R2018="TN"),N2018+N(O2018),IF(G2018&amp;""="1",N(K2018)*N2018,(N2018+N(O2018))*N(K2018)))</f>
        <v/>
      </c>
      <c r="T2018" s="10">
        <f>IF(Q2018="","",Q2018-S2018)</f>
        <v/>
      </c>
    </row>
    <row r="2019">
      <c r="A2019" s="7">
        <f>CONCATENATE(C2019,E2019,F2019,I2019)</f>
        <v/>
      </c>
      <c r="B2019" s="7">
        <f>CONCATENATE(C2019,E2019,I2019)</f>
        <v/>
      </c>
      <c r="C2019" s="8" t="n">
        <v>900006543</v>
      </c>
      <c r="D2019" s="7">
        <f>IFERROR(VLOOKUP(C2019,TRAOPE!$G:$H,2,0),"")</f>
        <v/>
      </c>
      <c r="E2019" s="8" t="inlineStr">
        <is>
          <t>D836</t>
        </is>
      </c>
      <c r="F2019" s="8" t="inlineStr">
        <is>
          <t>66550843</t>
        </is>
      </c>
      <c r="G2019" s="8">
        <f>IFERROR(VLOOKUP(A2019,Flete!$A:$E,5,0),"")</f>
        <v/>
      </c>
      <c r="H2019" s="7">
        <f>IFERROR(VLOOKUP(F2019,TRAOPE!$AA:$AB,2,0),"")</f>
        <v/>
      </c>
      <c r="I2019" s="7" t="n">
        <v>10185477</v>
      </c>
      <c r="J2019" s="7">
        <f>IFERROR(VLOOKUP(I2019,Materiales!$A:$H,8,0),"")</f>
        <v/>
      </c>
      <c r="K2019" s="9">
        <f>IFERROR(VLOOKUP(I2019,Materiales!$A:$G,7,0),"")</f>
        <v/>
      </c>
      <c r="L2019" s="8" t="inlineStr">
        <is>
          <t>20190426</t>
        </is>
      </c>
      <c r="M2019" s="8" t="inlineStr">
        <is>
          <t>20250127</t>
        </is>
      </c>
      <c r="N2019" s="10" t="n">
        <v>125</v>
      </c>
      <c r="O2019" s="10">
        <f>IFERROR(VLOOKUP(A2019,Flete!$A:$J,10,0),"")</f>
        <v/>
      </c>
      <c r="P2019" s="8" t="inlineStr">
        <is>
          <t>M3</t>
        </is>
      </c>
      <c r="Q2019" s="10">
        <f>IFERROR(IFERROR(VLOOKUP(A2019,TRAOPE!$A:$U,21,0),VLOOKUP(B2019,TRAOPE!$A:$U,21,0)),"")</f>
        <v/>
      </c>
      <c r="R2019" s="8">
        <f>IFERROR(IFERROR(VLOOKUP(A2019,TRAOPE!$A:$W,23,0),VLOOKUP(B2019,TRAOPE!$A:$W,23,0)),"")</f>
        <v/>
      </c>
      <c r="S2019" s="10">
        <f>IF(AND(P2019="TN",R2019="TN"),N2019+N(O2019),IF(G2019&amp;""="1",N(K2019)*N2019,(N2019+N(O2019))*N(K2019)))</f>
        <v/>
      </c>
      <c r="T2019" s="10">
        <f>IF(Q2019="","",Q2019-S2019)</f>
        <v/>
      </c>
    </row>
    <row r="2020">
      <c r="A2020" s="7">
        <f>CONCATENATE(C2020,E2020,F2020,I2020)</f>
        <v/>
      </c>
      <c r="B2020" s="7">
        <f>CONCATENATE(C2020,E2020,I2020)</f>
        <v/>
      </c>
      <c r="C2020" s="8" t="n">
        <v>900006543</v>
      </c>
      <c r="D2020" s="7">
        <f>IFERROR(VLOOKUP(C2020,TRAOPE!$G:$H,2,0),"")</f>
        <v/>
      </c>
      <c r="E2020" s="8" t="inlineStr">
        <is>
          <t>D836</t>
        </is>
      </c>
      <c r="F2020" s="8" t="inlineStr">
        <is>
          <t>66555135</t>
        </is>
      </c>
      <c r="G2020" s="8">
        <f>IFERROR(VLOOKUP(A2020,Flete!$A:$E,5,0),"")</f>
        <v/>
      </c>
      <c r="H2020" s="7">
        <f>IFERROR(VLOOKUP(F2020,TRAOPE!$AA:$AB,2,0),"")</f>
        <v/>
      </c>
      <c r="I2020" s="7" t="n">
        <v>10185476</v>
      </c>
      <c r="J2020" s="7">
        <f>IFERROR(VLOOKUP(I2020,Materiales!$A:$H,8,0),"")</f>
        <v/>
      </c>
      <c r="K2020" s="9">
        <f>IFERROR(VLOOKUP(I2020,Materiales!$A:$G,7,0),"")</f>
        <v/>
      </c>
      <c r="L2020" s="8" t="inlineStr">
        <is>
          <t>20190426</t>
        </is>
      </c>
      <c r="M2020" s="8" t="inlineStr">
        <is>
          <t>20250127</t>
        </is>
      </c>
      <c r="N2020" s="10" t="n">
        <v>110</v>
      </c>
      <c r="O2020" s="10">
        <f>IFERROR(VLOOKUP(A2020,Flete!$A:$J,10,0),"")</f>
        <v/>
      </c>
      <c r="P2020" s="8" t="inlineStr">
        <is>
          <t>M3</t>
        </is>
      </c>
      <c r="Q2020" s="10">
        <f>IFERROR(IFERROR(VLOOKUP(A2020,TRAOPE!$A:$U,21,0),VLOOKUP(B2020,TRAOPE!$A:$U,21,0)),"")</f>
        <v/>
      </c>
      <c r="R2020" s="8">
        <f>IFERROR(IFERROR(VLOOKUP(A2020,TRAOPE!$A:$W,23,0),VLOOKUP(B2020,TRAOPE!$A:$W,23,0)),"")</f>
        <v/>
      </c>
      <c r="S2020" s="10">
        <f>IF(AND(P2020="TN",R2020="TN"),N2020+N(O2020),IF(G2020&amp;""="1",N(K2020)*N2020,(N2020+N(O2020))*N(K2020)))</f>
        <v/>
      </c>
      <c r="T2020" s="10">
        <f>IF(Q2020="","",Q2020-S2020)</f>
        <v/>
      </c>
    </row>
    <row r="2021">
      <c r="A2021" s="7">
        <f>CONCATENATE(C2021,E2021,F2021,I2021)</f>
        <v/>
      </c>
      <c r="B2021" s="7">
        <f>CONCATENATE(C2021,E2021,I2021)</f>
        <v/>
      </c>
      <c r="C2021" s="8" t="n">
        <v>900006543</v>
      </c>
      <c r="D2021" s="7">
        <f>IFERROR(VLOOKUP(C2021,TRAOPE!$G:$H,2,0),"")</f>
        <v/>
      </c>
      <c r="E2021" s="8" t="inlineStr">
        <is>
          <t>D836</t>
        </is>
      </c>
      <c r="F2021" s="8" t="inlineStr">
        <is>
          <t>66555135</t>
        </is>
      </c>
      <c r="G2021" s="8">
        <f>IFERROR(VLOOKUP(A2021,Flete!$A:$E,5,0),"")</f>
        <v/>
      </c>
      <c r="H2021" s="7">
        <f>IFERROR(VLOOKUP(F2021,TRAOPE!$AA:$AB,2,0),"")</f>
        <v/>
      </c>
      <c r="I2021" s="7" t="n">
        <v>10185477</v>
      </c>
      <c r="J2021" s="7">
        <f>IFERROR(VLOOKUP(I2021,Materiales!$A:$H,8,0),"")</f>
        <v/>
      </c>
      <c r="K2021" s="9">
        <f>IFERROR(VLOOKUP(I2021,Materiales!$A:$G,7,0),"")</f>
        <v/>
      </c>
      <c r="L2021" s="8" t="inlineStr">
        <is>
          <t>20190426</t>
        </is>
      </c>
      <c r="M2021" s="8" t="inlineStr">
        <is>
          <t>20250127</t>
        </is>
      </c>
      <c r="N2021" s="10" t="n">
        <v>125</v>
      </c>
      <c r="O2021" s="10">
        <f>IFERROR(VLOOKUP(A2021,Flete!$A:$J,10,0),"")</f>
        <v/>
      </c>
      <c r="P2021" s="8" t="inlineStr">
        <is>
          <t>M3</t>
        </is>
      </c>
      <c r="Q2021" s="10">
        <f>IFERROR(IFERROR(VLOOKUP(A2021,TRAOPE!$A:$U,21,0),VLOOKUP(B2021,TRAOPE!$A:$U,21,0)),"")</f>
        <v/>
      </c>
      <c r="R2021" s="8">
        <f>IFERROR(IFERROR(VLOOKUP(A2021,TRAOPE!$A:$W,23,0),VLOOKUP(B2021,TRAOPE!$A:$W,23,0)),"")</f>
        <v/>
      </c>
      <c r="S2021" s="10">
        <f>IF(AND(P2021="TN",R2021="TN"),N2021+N(O2021),IF(G2021&amp;""="1",N(K2021)*N2021,(N2021+N(O2021))*N(K2021)))</f>
        <v/>
      </c>
      <c r="T2021" s="10">
        <f>IF(Q2021="","",Q2021-S2021)</f>
        <v/>
      </c>
    </row>
    <row r="2022">
      <c r="A2022" s="7">
        <f>CONCATENATE(C2022,E2022,F2022,I2022)</f>
        <v/>
      </c>
      <c r="B2022" s="7">
        <f>CONCATENATE(C2022,E2022,I2022)</f>
        <v/>
      </c>
      <c r="C2022" s="8" t="n">
        <v>900006543</v>
      </c>
      <c r="D2022" s="7">
        <f>IFERROR(VLOOKUP(C2022,TRAOPE!$G:$H,2,0),"")</f>
        <v/>
      </c>
      <c r="E2022" s="8" t="inlineStr">
        <is>
          <t>D836</t>
        </is>
      </c>
      <c r="F2022" s="8" t="inlineStr">
        <is>
          <t>66605859</t>
        </is>
      </c>
      <c r="G2022" s="8">
        <f>IFERROR(VLOOKUP(A2022,Flete!$A:$E,5,0),"")</f>
        <v/>
      </c>
      <c r="H2022" s="7">
        <f>IFERROR(VLOOKUP(F2022,TRAOPE!$AA:$AB,2,0),"")</f>
        <v/>
      </c>
      <c r="I2022" s="7" t="n">
        <v>10000651</v>
      </c>
      <c r="J2022" s="7">
        <f>IFERROR(VLOOKUP(I2022,Materiales!$A:$H,8,0),"")</f>
        <v/>
      </c>
      <c r="K2022" s="9">
        <f>IFERROR(VLOOKUP(I2022,Materiales!$A:$G,7,0),"")</f>
        <v/>
      </c>
      <c r="L2022" s="8" t="inlineStr">
        <is>
          <t>20190426</t>
        </is>
      </c>
      <c r="M2022" s="8" t="inlineStr">
        <is>
          <t>20250127</t>
        </is>
      </c>
      <c r="N2022" s="10" t="n">
        <v>130</v>
      </c>
      <c r="O2022" s="10">
        <f>IFERROR(VLOOKUP(A2022,Flete!$A:$J,10,0),"")</f>
        <v/>
      </c>
      <c r="P2022" s="8" t="inlineStr">
        <is>
          <t>M3</t>
        </is>
      </c>
      <c r="Q2022" s="10">
        <f>IFERROR(IFERROR(VLOOKUP(A2022,TRAOPE!$A:$U,21,0),VLOOKUP(B2022,TRAOPE!$A:$U,21,0)),"")</f>
        <v/>
      </c>
      <c r="R2022" s="8">
        <f>IFERROR(IFERROR(VLOOKUP(A2022,TRAOPE!$A:$W,23,0),VLOOKUP(B2022,TRAOPE!$A:$W,23,0)),"")</f>
        <v/>
      </c>
      <c r="S2022" s="10">
        <f>IF(AND(P2022="TN",R2022="TN"),N2022+N(O2022),IF(G2022&amp;""="1",N(K2022)*N2022,(N2022+N(O2022))*N(K2022)))</f>
        <v/>
      </c>
      <c r="T2022" s="10">
        <f>IF(Q2022="","",Q2022-S2022)</f>
        <v/>
      </c>
    </row>
    <row r="2023">
      <c r="A2023" s="7">
        <f>CONCATENATE(C2023,E2023,F2023,I2023)</f>
        <v/>
      </c>
      <c r="B2023" s="7">
        <f>CONCATENATE(C2023,E2023,I2023)</f>
        <v/>
      </c>
      <c r="C2023" s="8" t="n">
        <v>900006543</v>
      </c>
      <c r="D2023" s="7">
        <f>IFERROR(VLOOKUP(C2023,TRAOPE!$G:$H,2,0),"")</f>
        <v/>
      </c>
      <c r="E2023" s="8" t="inlineStr">
        <is>
          <t>D836</t>
        </is>
      </c>
      <c r="F2023" s="8" t="inlineStr">
        <is>
          <t>66624554</t>
        </is>
      </c>
      <c r="G2023" s="8">
        <f>IFERROR(VLOOKUP(A2023,Flete!$A:$E,5,0),"")</f>
        <v/>
      </c>
      <c r="H2023" s="7">
        <f>IFERROR(VLOOKUP(F2023,TRAOPE!$AA:$AB,2,0),"")</f>
        <v/>
      </c>
      <c r="I2023" s="7" t="n">
        <v>10000627</v>
      </c>
      <c r="J2023" s="7">
        <f>IFERROR(VLOOKUP(I2023,Materiales!$A:$H,8,0),"")</f>
        <v/>
      </c>
      <c r="K2023" s="9">
        <f>IFERROR(VLOOKUP(I2023,Materiales!$A:$G,7,0),"")</f>
        <v/>
      </c>
      <c r="L2023" s="8" t="inlineStr">
        <is>
          <t>20190426</t>
        </is>
      </c>
      <c r="M2023" s="8" t="inlineStr">
        <is>
          <t>20250127</t>
        </is>
      </c>
      <c r="N2023" s="10" t="n">
        <v>128</v>
      </c>
      <c r="O2023" s="10">
        <f>IFERROR(VLOOKUP(A2023,Flete!$A:$J,10,0),"")</f>
        <v/>
      </c>
      <c r="P2023" s="8" t="inlineStr">
        <is>
          <t>M3</t>
        </is>
      </c>
      <c r="Q2023" s="10">
        <f>IFERROR(IFERROR(VLOOKUP(A2023,TRAOPE!$A:$U,21,0),VLOOKUP(B2023,TRAOPE!$A:$U,21,0)),"")</f>
        <v/>
      </c>
      <c r="R2023" s="8">
        <f>IFERROR(IFERROR(VLOOKUP(A2023,TRAOPE!$A:$W,23,0),VLOOKUP(B2023,TRAOPE!$A:$W,23,0)),"")</f>
        <v/>
      </c>
      <c r="S2023" s="10">
        <f>IF(AND(P2023="TN",R2023="TN"),N2023+N(O2023),IF(G2023&amp;""="1",N(K2023)*N2023,(N2023+N(O2023))*N(K2023)))</f>
        <v/>
      </c>
      <c r="T2023" s="10">
        <f>IF(Q2023="","",Q2023-S2023)</f>
        <v/>
      </c>
    </row>
    <row r="2024">
      <c r="A2024" s="7">
        <f>CONCATENATE(C2024,E2024,F2024,I2024)</f>
        <v/>
      </c>
      <c r="B2024" s="7">
        <f>CONCATENATE(C2024,E2024,I2024)</f>
        <v/>
      </c>
      <c r="C2024" s="8" t="n">
        <v>900006543</v>
      </c>
      <c r="D2024" s="7">
        <f>IFERROR(VLOOKUP(C2024,TRAOPE!$G:$H,2,0),"")</f>
        <v/>
      </c>
      <c r="E2024" s="8" t="inlineStr">
        <is>
          <t>D836</t>
        </is>
      </c>
      <c r="F2024" s="8" t="inlineStr">
        <is>
          <t>66834820</t>
        </is>
      </c>
      <c r="G2024" s="8">
        <f>IFERROR(VLOOKUP(A2024,Flete!$A:$E,5,0),"")</f>
        <v/>
      </c>
      <c r="H2024" s="7">
        <f>IFERROR(VLOOKUP(F2024,TRAOPE!$AA:$AB,2,0),"")</f>
        <v/>
      </c>
      <c r="I2024" s="7" t="n">
        <v>10185476</v>
      </c>
      <c r="J2024" s="7">
        <f>IFERROR(VLOOKUP(I2024,Materiales!$A:$H,8,0),"")</f>
        <v/>
      </c>
      <c r="K2024" s="9">
        <f>IFERROR(VLOOKUP(I2024,Materiales!$A:$G,7,0),"")</f>
        <v/>
      </c>
      <c r="L2024" s="8" t="inlineStr">
        <is>
          <t>20190426</t>
        </is>
      </c>
      <c r="M2024" s="8" t="inlineStr">
        <is>
          <t>20250127</t>
        </is>
      </c>
      <c r="N2024" s="10" t="n">
        <v>107</v>
      </c>
      <c r="O2024" s="10">
        <f>IFERROR(VLOOKUP(A2024,Flete!$A:$J,10,0),"")</f>
        <v/>
      </c>
      <c r="P2024" s="8" t="inlineStr">
        <is>
          <t>M3</t>
        </is>
      </c>
      <c r="Q2024" s="10">
        <f>IFERROR(IFERROR(VLOOKUP(A2024,TRAOPE!$A:$U,21,0),VLOOKUP(B2024,TRAOPE!$A:$U,21,0)),"")</f>
        <v/>
      </c>
      <c r="R2024" s="8">
        <f>IFERROR(IFERROR(VLOOKUP(A2024,TRAOPE!$A:$W,23,0),VLOOKUP(B2024,TRAOPE!$A:$W,23,0)),"")</f>
        <v/>
      </c>
      <c r="S2024" s="10">
        <f>IF(AND(P2024="TN",R2024="TN"),N2024+N(O2024),IF(G2024&amp;""="1",N(K2024)*N2024,(N2024+N(O2024))*N(K2024)))</f>
        <v/>
      </c>
      <c r="T2024" s="10">
        <f>IF(Q2024="","",Q2024-S2024)</f>
        <v/>
      </c>
    </row>
    <row r="2025">
      <c r="A2025" s="7">
        <f>CONCATENATE(C2025,E2025,F2025,I2025)</f>
        <v/>
      </c>
      <c r="B2025" s="7">
        <f>CONCATENATE(C2025,E2025,I2025)</f>
        <v/>
      </c>
      <c r="C2025" s="8" t="n">
        <v>900006543</v>
      </c>
      <c r="D2025" s="7">
        <f>IFERROR(VLOOKUP(C2025,TRAOPE!$G:$H,2,0),"")</f>
        <v/>
      </c>
      <c r="E2025" s="8" t="inlineStr">
        <is>
          <t>D836</t>
        </is>
      </c>
      <c r="F2025" s="8" t="inlineStr">
        <is>
          <t>66834820</t>
        </is>
      </c>
      <c r="G2025" s="8">
        <f>IFERROR(VLOOKUP(A2025,Flete!$A:$E,5,0),"")</f>
        <v/>
      </c>
      <c r="H2025" s="7">
        <f>IFERROR(VLOOKUP(F2025,TRAOPE!$AA:$AB,2,0),"")</f>
        <v/>
      </c>
      <c r="I2025" s="7" t="n">
        <v>10185477</v>
      </c>
      <c r="J2025" s="7">
        <f>IFERROR(VLOOKUP(I2025,Materiales!$A:$H,8,0),"")</f>
        <v/>
      </c>
      <c r="K2025" s="9">
        <f>IFERROR(VLOOKUP(I2025,Materiales!$A:$G,7,0),"")</f>
        <v/>
      </c>
      <c r="L2025" s="8" t="inlineStr">
        <is>
          <t>20190426</t>
        </is>
      </c>
      <c r="M2025" s="8" t="inlineStr">
        <is>
          <t>20250127</t>
        </is>
      </c>
      <c r="N2025" s="10" t="n">
        <v>117</v>
      </c>
      <c r="O2025" s="10">
        <f>IFERROR(VLOOKUP(A2025,Flete!$A:$J,10,0),"")</f>
        <v/>
      </c>
      <c r="P2025" s="8" t="inlineStr">
        <is>
          <t>M3</t>
        </is>
      </c>
      <c r="Q2025" s="10">
        <f>IFERROR(IFERROR(VLOOKUP(A2025,TRAOPE!$A:$U,21,0),VLOOKUP(B2025,TRAOPE!$A:$U,21,0)),"")</f>
        <v/>
      </c>
      <c r="R2025" s="8">
        <f>IFERROR(IFERROR(VLOOKUP(A2025,TRAOPE!$A:$W,23,0),VLOOKUP(B2025,TRAOPE!$A:$W,23,0)),"")</f>
        <v/>
      </c>
      <c r="S2025" s="10">
        <f>IF(AND(P2025="TN",R2025="TN"),N2025+N(O2025),IF(G2025&amp;""="1",N(K2025)*N2025,(N2025+N(O2025))*N(K2025)))</f>
        <v/>
      </c>
      <c r="T2025" s="10">
        <f>IF(Q2025="","",Q2025-S2025)</f>
        <v/>
      </c>
    </row>
    <row r="2026">
      <c r="A2026" s="7">
        <f>CONCATENATE(C2026,E2026,F2026,I2026)</f>
        <v/>
      </c>
      <c r="B2026" s="7">
        <f>CONCATENATE(C2026,E2026,I2026)</f>
        <v/>
      </c>
      <c r="C2026" s="8" t="n">
        <v>900006543</v>
      </c>
      <c r="D2026" s="7">
        <f>IFERROR(VLOOKUP(C2026,TRAOPE!$G:$H,2,0),"")</f>
        <v/>
      </c>
      <c r="E2026" s="8" t="inlineStr">
        <is>
          <t>D836</t>
        </is>
      </c>
      <c r="F2026" s="8" t="inlineStr">
        <is>
          <t>66840672</t>
        </is>
      </c>
      <c r="G2026" s="8">
        <f>IFERROR(VLOOKUP(A2026,Flete!$A:$E,5,0),"")</f>
        <v/>
      </c>
      <c r="H2026" s="7">
        <f>IFERROR(VLOOKUP(F2026,TRAOPE!$AA:$AB,2,0),"")</f>
        <v/>
      </c>
      <c r="I2026" s="7" t="n">
        <v>10000651</v>
      </c>
      <c r="J2026" s="7">
        <f>IFERROR(VLOOKUP(I2026,Materiales!$A:$H,8,0),"")</f>
        <v/>
      </c>
      <c r="K2026" s="9">
        <f>IFERROR(VLOOKUP(I2026,Materiales!$A:$G,7,0),"")</f>
        <v/>
      </c>
      <c r="L2026" s="8" t="inlineStr">
        <is>
          <t>20190426</t>
        </is>
      </c>
      <c r="M2026" s="8" t="inlineStr">
        <is>
          <t>20250127</t>
        </is>
      </c>
      <c r="N2026" s="10" t="n">
        <v>130</v>
      </c>
      <c r="O2026" s="10">
        <f>IFERROR(VLOOKUP(A2026,Flete!$A:$J,10,0),"")</f>
        <v/>
      </c>
      <c r="P2026" s="8" t="inlineStr">
        <is>
          <t>M3</t>
        </is>
      </c>
      <c r="Q2026" s="10">
        <f>IFERROR(IFERROR(VLOOKUP(A2026,TRAOPE!$A:$U,21,0),VLOOKUP(B2026,TRAOPE!$A:$U,21,0)),"")</f>
        <v/>
      </c>
      <c r="R2026" s="8">
        <f>IFERROR(IFERROR(VLOOKUP(A2026,TRAOPE!$A:$W,23,0),VLOOKUP(B2026,TRAOPE!$A:$W,23,0)),"")</f>
        <v/>
      </c>
      <c r="S2026" s="10">
        <f>IF(AND(P2026="TN",R2026="TN"),N2026+N(O2026),IF(G2026&amp;""="1",N(K2026)*N2026,(N2026+N(O2026))*N(K2026)))</f>
        <v/>
      </c>
      <c r="T2026" s="10">
        <f>IF(Q2026="","",Q2026-S2026)</f>
        <v/>
      </c>
    </row>
    <row r="2027">
      <c r="A2027" s="7">
        <f>CONCATENATE(C2027,E2027,F2027,I2027)</f>
        <v/>
      </c>
      <c r="B2027" s="7">
        <f>CONCATENATE(C2027,E2027,I2027)</f>
        <v/>
      </c>
      <c r="C2027" s="8" t="n">
        <v>900006543</v>
      </c>
      <c r="D2027" s="7">
        <f>IFERROR(VLOOKUP(C2027,TRAOPE!$G:$H,2,0),"")</f>
        <v/>
      </c>
      <c r="E2027" s="8" t="inlineStr">
        <is>
          <t>D836</t>
        </is>
      </c>
      <c r="F2027" s="8" t="inlineStr">
        <is>
          <t>66840672</t>
        </is>
      </c>
      <c r="G2027" s="8">
        <f>IFERROR(VLOOKUP(A2027,Flete!$A:$E,5,0),"")</f>
        <v/>
      </c>
      <c r="H2027" s="7">
        <f>IFERROR(VLOOKUP(F2027,TRAOPE!$AA:$AB,2,0),"")</f>
        <v/>
      </c>
      <c r="I2027" s="7" t="n">
        <v>10185476</v>
      </c>
      <c r="J2027" s="7">
        <f>IFERROR(VLOOKUP(I2027,Materiales!$A:$H,8,0),"")</f>
        <v/>
      </c>
      <c r="K2027" s="9">
        <f>IFERROR(VLOOKUP(I2027,Materiales!$A:$G,7,0),"")</f>
        <v/>
      </c>
      <c r="L2027" s="8" t="inlineStr">
        <is>
          <t>20190426</t>
        </is>
      </c>
      <c r="M2027" s="8" t="inlineStr">
        <is>
          <t>20250127</t>
        </is>
      </c>
      <c r="N2027" s="10" t="n">
        <v>107</v>
      </c>
      <c r="O2027" s="10">
        <f>IFERROR(VLOOKUP(A2027,Flete!$A:$J,10,0),"")</f>
        <v/>
      </c>
      <c r="P2027" s="8" t="inlineStr">
        <is>
          <t>M3</t>
        </is>
      </c>
      <c r="Q2027" s="10">
        <f>IFERROR(IFERROR(VLOOKUP(A2027,TRAOPE!$A:$U,21,0),VLOOKUP(B2027,TRAOPE!$A:$U,21,0)),"")</f>
        <v/>
      </c>
      <c r="R2027" s="8">
        <f>IFERROR(IFERROR(VLOOKUP(A2027,TRAOPE!$A:$W,23,0),VLOOKUP(B2027,TRAOPE!$A:$W,23,0)),"")</f>
        <v/>
      </c>
      <c r="S2027" s="10">
        <f>IF(AND(P2027="TN",R2027="TN"),N2027+N(O2027),IF(G2027&amp;""="1",N(K2027)*N2027,(N2027+N(O2027))*N(K2027)))</f>
        <v/>
      </c>
      <c r="T2027" s="10">
        <f>IF(Q2027="","",Q2027-S2027)</f>
        <v/>
      </c>
    </row>
    <row r="2028">
      <c r="A2028" s="7">
        <f>CONCATENATE(C2028,E2028,F2028,I2028)</f>
        <v/>
      </c>
      <c r="B2028" s="7">
        <f>CONCATENATE(C2028,E2028,I2028)</f>
        <v/>
      </c>
      <c r="C2028" s="8" t="n">
        <v>900006543</v>
      </c>
      <c r="D2028" s="7">
        <f>IFERROR(VLOOKUP(C2028,TRAOPE!$G:$H,2,0),"")</f>
        <v/>
      </c>
      <c r="E2028" s="8" t="inlineStr">
        <is>
          <t>D836</t>
        </is>
      </c>
      <c r="F2028" s="8" t="inlineStr">
        <is>
          <t>66840672</t>
        </is>
      </c>
      <c r="G2028" s="8">
        <f>IFERROR(VLOOKUP(A2028,Flete!$A:$E,5,0),"")</f>
        <v/>
      </c>
      <c r="H2028" s="7">
        <f>IFERROR(VLOOKUP(F2028,TRAOPE!$AA:$AB,2,0),"")</f>
        <v/>
      </c>
      <c r="I2028" s="7" t="n">
        <v>10185477</v>
      </c>
      <c r="J2028" s="7">
        <f>IFERROR(VLOOKUP(I2028,Materiales!$A:$H,8,0),"")</f>
        <v/>
      </c>
      <c r="K2028" s="9">
        <f>IFERROR(VLOOKUP(I2028,Materiales!$A:$G,7,0),"")</f>
        <v/>
      </c>
      <c r="L2028" s="8" t="inlineStr">
        <is>
          <t>20190426</t>
        </is>
      </c>
      <c r="M2028" s="8" t="inlineStr">
        <is>
          <t>20250127</t>
        </is>
      </c>
      <c r="N2028" s="10" t="n">
        <v>122</v>
      </c>
      <c r="O2028" s="10">
        <f>IFERROR(VLOOKUP(A2028,Flete!$A:$J,10,0),"")</f>
        <v/>
      </c>
      <c r="P2028" s="8" t="inlineStr">
        <is>
          <t>M3</t>
        </is>
      </c>
      <c r="Q2028" s="10">
        <f>IFERROR(IFERROR(VLOOKUP(A2028,TRAOPE!$A:$U,21,0),VLOOKUP(B2028,TRAOPE!$A:$U,21,0)),"")</f>
        <v/>
      </c>
      <c r="R2028" s="8">
        <f>IFERROR(IFERROR(VLOOKUP(A2028,TRAOPE!$A:$W,23,0),VLOOKUP(B2028,TRAOPE!$A:$W,23,0)),"")</f>
        <v/>
      </c>
      <c r="S2028" s="10">
        <f>IF(AND(P2028="TN",R2028="TN"),N2028+N(O2028),IF(G2028&amp;""="1",N(K2028)*N2028,(N2028+N(O2028))*N(K2028)))</f>
        <v/>
      </c>
      <c r="T2028" s="10">
        <f>IF(Q2028="","",Q2028-S2028)</f>
        <v/>
      </c>
    </row>
    <row r="2029">
      <c r="A2029" s="7">
        <f>CONCATENATE(C2029,E2029,F2029,I2029)</f>
        <v/>
      </c>
      <c r="B2029" s="7">
        <f>CONCATENATE(C2029,E2029,I2029)</f>
        <v/>
      </c>
      <c r="C2029" s="8" t="n">
        <v>900006543</v>
      </c>
      <c r="D2029" s="7">
        <f>IFERROR(VLOOKUP(C2029,TRAOPE!$G:$H,2,0),"")</f>
        <v/>
      </c>
      <c r="E2029" s="8" t="inlineStr">
        <is>
          <t>D836</t>
        </is>
      </c>
      <c r="F2029" s="8" t="inlineStr">
        <is>
          <t>66853813</t>
        </is>
      </c>
      <c r="G2029" s="8">
        <f>IFERROR(VLOOKUP(A2029,Flete!$A:$E,5,0),"")</f>
        <v/>
      </c>
      <c r="H2029" s="7">
        <f>IFERROR(VLOOKUP(F2029,TRAOPE!$AA:$AB,2,0),"")</f>
        <v/>
      </c>
      <c r="I2029" s="7" t="n">
        <v>10185476</v>
      </c>
      <c r="J2029" s="7">
        <f>IFERROR(VLOOKUP(I2029,Materiales!$A:$H,8,0),"")</f>
        <v/>
      </c>
      <c r="K2029" s="9">
        <f>IFERROR(VLOOKUP(I2029,Materiales!$A:$G,7,0),"")</f>
        <v/>
      </c>
      <c r="L2029" s="8" t="inlineStr">
        <is>
          <t>20190426</t>
        </is>
      </c>
      <c r="M2029" s="8" t="inlineStr">
        <is>
          <t>20250127</t>
        </is>
      </c>
      <c r="N2029" s="10" t="n">
        <v>115</v>
      </c>
      <c r="O2029" s="10">
        <f>IFERROR(VLOOKUP(A2029,Flete!$A:$J,10,0),"")</f>
        <v/>
      </c>
      <c r="P2029" s="8" t="inlineStr">
        <is>
          <t>M3</t>
        </is>
      </c>
      <c r="Q2029" s="10">
        <f>IFERROR(IFERROR(VLOOKUP(A2029,TRAOPE!$A:$U,21,0),VLOOKUP(B2029,TRAOPE!$A:$U,21,0)),"")</f>
        <v/>
      </c>
      <c r="R2029" s="8">
        <f>IFERROR(IFERROR(VLOOKUP(A2029,TRAOPE!$A:$W,23,0),VLOOKUP(B2029,TRAOPE!$A:$W,23,0)),"")</f>
        <v/>
      </c>
      <c r="S2029" s="10">
        <f>IF(AND(P2029="TN",R2029="TN"),N2029+N(O2029),IF(G2029&amp;""="1",N(K2029)*N2029,(N2029+N(O2029))*N(K2029)))</f>
        <v/>
      </c>
      <c r="T2029" s="10">
        <f>IF(Q2029="","",Q2029-S2029)</f>
        <v/>
      </c>
    </row>
    <row r="2030">
      <c r="A2030" s="7">
        <f>CONCATENATE(C2030,E2030,F2030,I2030)</f>
        <v/>
      </c>
      <c r="B2030" s="7">
        <f>CONCATENATE(C2030,E2030,I2030)</f>
        <v/>
      </c>
      <c r="C2030" s="8" t="n">
        <v>900006543</v>
      </c>
      <c r="D2030" s="7">
        <f>IFERROR(VLOOKUP(C2030,TRAOPE!$G:$H,2,0),"")</f>
        <v/>
      </c>
      <c r="E2030" s="8" t="inlineStr">
        <is>
          <t>D836</t>
        </is>
      </c>
      <c r="F2030" s="8" t="inlineStr">
        <is>
          <t>66853813</t>
        </is>
      </c>
      <c r="G2030" s="8">
        <f>IFERROR(VLOOKUP(A2030,Flete!$A:$E,5,0),"")</f>
        <v/>
      </c>
      <c r="H2030" s="7">
        <f>IFERROR(VLOOKUP(F2030,TRAOPE!$AA:$AB,2,0),"")</f>
        <v/>
      </c>
      <c r="I2030" s="7" t="n">
        <v>10185477</v>
      </c>
      <c r="J2030" s="7">
        <f>IFERROR(VLOOKUP(I2030,Materiales!$A:$H,8,0),"")</f>
        <v/>
      </c>
      <c r="K2030" s="9">
        <f>IFERROR(VLOOKUP(I2030,Materiales!$A:$G,7,0),"")</f>
        <v/>
      </c>
      <c r="L2030" s="8" t="inlineStr">
        <is>
          <t>20190426</t>
        </is>
      </c>
      <c r="M2030" s="8" t="inlineStr">
        <is>
          <t>20250127</t>
        </is>
      </c>
      <c r="N2030" s="10" t="n">
        <v>120</v>
      </c>
      <c r="O2030" s="10">
        <f>IFERROR(VLOOKUP(A2030,Flete!$A:$J,10,0),"")</f>
        <v/>
      </c>
      <c r="P2030" s="8" t="inlineStr">
        <is>
          <t>M3</t>
        </is>
      </c>
      <c r="Q2030" s="10">
        <f>IFERROR(IFERROR(VLOOKUP(A2030,TRAOPE!$A:$U,21,0),VLOOKUP(B2030,TRAOPE!$A:$U,21,0)),"")</f>
        <v/>
      </c>
      <c r="R2030" s="8">
        <f>IFERROR(IFERROR(VLOOKUP(A2030,TRAOPE!$A:$W,23,0),VLOOKUP(B2030,TRAOPE!$A:$W,23,0)),"")</f>
        <v/>
      </c>
      <c r="S2030" s="10">
        <f>IF(AND(P2030="TN",R2030="TN"),N2030+N(O2030),IF(G2030&amp;""="1",N(K2030)*N2030,(N2030+N(O2030))*N(K2030)))</f>
        <v/>
      </c>
      <c r="T2030" s="10">
        <f>IF(Q2030="","",Q2030-S2030)</f>
        <v/>
      </c>
    </row>
    <row r="2031">
      <c r="A2031" s="7">
        <f>CONCATENATE(C2031,E2031,F2031,I2031)</f>
        <v/>
      </c>
      <c r="B2031" s="7">
        <f>CONCATENATE(C2031,E2031,I2031)</f>
        <v/>
      </c>
      <c r="C2031" s="8" t="n">
        <v>900006543</v>
      </c>
      <c r="D2031" s="7">
        <f>IFERROR(VLOOKUP(C2031,TRAOPE!$G:$H,2,0),"")</f>
        <v/>
      </c>
      <c r="E2031" s="8" t="inlineStr">
        <is>
          <t>D836</t>
        </is>
      </c>
      <c r="F2031" s="8" t="inlineStr">
        <is>
          <t>66874292</t>
        </is>
      </c>
      <c r="G2031" s="8">
        <f>IFERROR(VLOOKUP(A2031,Flete!$A:$E,5,0),"")</f>
        <v/>
      </c>
      <c r="H2031" s="7">
        <f>IFERROR(VLOOKUP(F2031,TRAOPE!$AA:$AB,2,0),"")</f>
        <v/>
      </c>
      <c r="I2031" s="7" t="n">
        <v>10185476</v>
      </c>
      <c r="J2031" s="7">
        <f>IFERROR(VLOOKUP(I2031,Materiales!$A:$H,8,0),"")</f>
        <v/>
      </c>
      <c r="K2031" s="9">
        <f>IFERROR(VLOOKUP(I2031,Materiales!$A:$G,7,0),"")</f>
        <v/>
      </c>
      <c r="L2031" s="8" t="inlineStr">
        <is>
          <t>20190426</t>
        </is>
      </c>
      <c r="M2031" s="8" t="inlineStr">
        <is>
          <t>20250127</t>
        </is>
      </c>
      <c r="N2031" s="10" t="n">
        <v>107</v>
      </c>
      <c r="O2031" s="10">
        <f>IFERROR(VLOOKUP(A2031,Flete!$A:$J,10,0),"")</f>
        <v/>
      </c>
      <c r="P2031" s="8" t="inlineStr">
        <is>
          <t>M3</t>
        </is>
      </c>
      <c r="Q2031" s="10">
        <f>IFERROR(IFERROR(VLOOKUP(A2031,TRAOPE!$A:$U,21,0),VLOOKUP(B2031,TRAOPE!$A:$U,21,0)),"")</f>
        <v/>
      </c>
      <c r="R2031" s="8">
        <f>IFERROR(IFERROR(VLOOKUP(A2031,TRAOPE!$A:$W,23,0),VLOOKUP(B2031,TRAOPE!$A:$W,23,0)),"")</f>
        <v/>
      </c>
      <c r="S2031" s="10">
        <f>IF(AND(P2031="TN",R2031="TN"),N2031+N(O2031),IF(G2031&amp;""="1",N(K2031)*N2031,(N2031+N(O2031))*N(K2031)))</f>
        <v/>
      </c>
      <c r="T2031" s="10">
        <f>IF(Q2031="","",Q2031-S2031)</f>
        <v/>
      </c>
    </row>
    <row r="2032">
      <c r="A2032" s="7">
        <f>CONCATENATE(C2032,E2032,F2032,I2032)</f>
        <v/>
      </c>
      <c r="B2032" s="7">
        <f>CONCATENATE(C2032,E2032,I2032)</f>
        <v/>
      </c>
      <c r="C2032" s="8" t="n">
        <v>900006543</v>
      </c>
      <c r="D2032" s="7">
        <f>IFERROR(VLOOKUP(C2032,TRAOPE!$G:$H,2,0),"")</f>
        <v/>
      </c>
      <c r="E2032" s="8" t="inlineStr">
        <is>
          <t>D836</t>
        </is>
      </c>
      <c r="F2032" s="8" t="inlineStr">
        <is>
          <t>66874292</t>
        </is>
      </c>
      <c r="G2032" s="8">
        <f>IFERROR(VLOOKUP(A2032,Flete!$A:$E,5,0),"")</f>
        <v/>
      </c>
      <c r="H2032" s="7">
        <f>IFERROR(VLOOKUP(F2032,TRAOPE!$AA:$AB,2,0),"")</f>
        <v/>
      </c>
      <c r="I2032" s="7" t="n">
        <v>10185477</v>
      </c>
      <c r="J2032" s="7">
        <f>IFERROR(VLOOKUP(I2032,Materiales!$A:$H,8,0),"")</f>
        <v/>
      </c>
      <c r="K2032" s="9">
        <f>IFERROR(VLOOKUP(I2032,Materiales!$A:$G,7,0),"")</f>
        <v/>
      </c>
      <c r="L2032" s="8" t="inlineStr">
        <is>
          <t>20190426</t>
        </is>
      </c>
      <c r="M2032" s="8" t="inlineStr">
        <is>
          <t>20250127</t>
        </is>
      </c>
      <c r="N2032" s="10" t="n">
        <v>117</v>
      </c>
      <c r="O2032" s="10">
        <f>IFERROR(VLOOKUP(A2032,Flete!$A:$J,10,0),"")</f>
        <v/>
      </c>
      <c r="P2032" s="8" t="inlineStr">
        <is>
          <t>M3</t>
        </is>
      </c>
      <c r="Q2032" s="10">
        <f>IFERROR(IFERROR(VLOOKUP(A2032,TRAOPE!$A:$U,21,0),VLOOKUP(B2032,TRAOPE!$A:$U,21,0)),"")</f>
        <v/>
      </c>
      <c r="R2032" s="8">
        <f>IFERROR(IFERROR(VLOOKUP(A2032,TRAOPE!$A:$W,23,0),VLOOKUP(B2032,TRAOPE!$A:$W,23,0)),"")</f>
        <v/>
      </c>
      <c r="S2032" s="10">
        <f>IF(AND(P2032="TN",R2032="TN"),N2032+N(O2032),IF(G2032&amp;""="1",N(K2032)*N2032,(N2032+N(O2032))*N(K2032)))</f>
        <v/>
      </c>
      <c r="T2032" s="10">
        <f>IF(Q2032="","",Q2032-S2032)</f>
        <v/>
      </c>
    </row>
    <row r="2033">
      <c r="A2033" s="7">
        <f>CONCATENATE(C2033,E2033,F2033,I2033)</f>
        <v/>
      </c>
      <c r="B2033" s="7">
        <f>CONCATENATE(C2033,E2033,I2033)</f>
        <v/>
      </c>
      <c r="C2033" s="8" t="n">
        <v>900006543</v>
      </c>
      <c r="D2033" s="7">
        <f>IFERROR(VLOOKUP(C2033,TRAOPE!$G:$H,2,0),"")</f>
        <v/>
      </c>
      <c r="E2033" s="8" t="inlineStr">
        <is>
          <t>D836</t>
        </is>
      </c>
      <c r="F2033" s="8" t="inlineStr">
        <is>
          <t>66884146</t>
        </is>
      </c>
      <c r="G2033" s="8">
        <f>IFERROR(VLOOKUP(A2033,Flete!$A:$E,5,0),"")</f>
        <v/>
      </c>
      <c r="H2033" s="7">
        <f>IFERROR(VLOOKUP(F2033,TRAOPE!$AA:$AB,2,0),"")</f>
        <v/>
      </c>
      <c r="I2033" s="7" t="n">
        <v>10000627</v>
      </c>
      <c r="J2033" s="7">
        <f>IFERROR(VLOOKUP(I2033,Materiales!$A:$H,8,0),"")</f>
        <v/>
      </c>
      <c r="K2033" s="9">
        <f>IFERROR(VLOOKUP(I2033,Materiales!$A:$G,7,0),"")</f>
        <v/>
      </c>
      <c r="L2033" s="8" t="inlineStr">
        <is>
          <t>20190426</t>
        </is>
      </c>
      <c r="M2033" s="8" t="inlineStr">
        <is>
          <t>20250127</t>
        </is>
      </c>
      <c r="N2033" s="10" t="n">
        <v>115</v>
      </c>
      <c r="O2033" s="10">
        <f>IFERROR(VLOOKUP(A2033,Flete!$A:$J,10,0),"")</f>
        <v/>
      </c>
      <c r="P2033" s="8" t="inlineStr">
        <is>
          <t>M3</t>
        </is>
      </c>
      <c r="Q2033" s="10">
        <f>IFERROR(IFERROR(VLOOKUP(A2033,TRAOPE!$A:$U,21,0),VLOOKUP(B2033,TRAOPE!$A:$U,21,0)),"")</f>
        <v/>
      </c>
      <c r="R2033" s="8">
        <f>IFERROR(IFERROR(VLOOKUP(A2033,TRAOPE!$A:$W,23,0),VLOOKUP(B2033,TRAOPE!$A:$W,23,0)),"")</f>
        <v/>
      </c>
      <c r="S2033" s="10">
        <f>IF(AND(P2033="TN",R2033="TN"),N2033+N(O2033),IF(G2033&amp;""="1",N(K2033)*N2033,(N2033+N(O2033))*N(K2033)))</f>
        <v/>
      </c>
      <c r="T2033" s="10">
        <f>IF(Q2033="","",Q2033-S2033)</f>
        <v/>
      </c>
    </row>
    <row r="2034">
      <c r="A2034" s="7">
        <f>CONCATENATE(C2034,E2034,F2034,I2034)</f>
        <v/>
      </c>
      <c r="B2034" s="7">
        <f>CONCATENATE(C2034,E2034,I2034)</f>
        <v/>
      </c>
      <c r="C2034" s="8" t="n">
        <v>900006543</v>
      </c>
      <c r="D2034" s="7">
        <f>IFERROR(VLOOKUP(C2034,TRAOPE!$G:$H,2,0),"")</f>
        <v/>
      </c>
      <c r="E2034" s="8" t="inlineStr">
        <is>
          <t>D836</t>
        </is>
      </c>
      <c r="F2034" s="8" t="inlineStr">
        <is>
          <t>66884146</t>
        </is>
      </c>
      <c r="G2034" s="8">
        <f>IFERROR(VLOOKUP(A2034,Flete!$A:$E,5,0),"")</f>
        <v/>
      </c>
      <c r="H2034" s="7">
        <f>IFERROR(VLOOKUP(F2034,TRAOPE!$AA:$AB,2,0),"")</f>
        <v/>
      </c>
      <c r="I2034" s="7" t="n">
        <v>10185476</v>
      </c>
      <c r="J2034" s="7">
        <f>IFERROR(VLOOKUP(I2034,Materiales!$A:$H,8,0),"")</f>
        <v/>
      </c>
      <c r="K2034" s="9">
        <f>IFERROR(VLOOKUP(I2034,Materiales!$A:$G,7,0),"")</f>
        <v/>
      </c>
      <c r="L2034" s="8" t="inlineStr">
        <is>
          <t>20190426</t>
        </is>
      </c>
      <c r="M2034" s="8" t="inlineStr">
        <is>
          <t>20250127</t>
        </is>
      </c>
      <c r="N2034" s="10" t="n">
        <v>115</v>
      </c>
      <c r="O2034" s="10">
        <f>IFERROR(VLOOKUP(A2034,Flete!$A:$J,10,0),"")</f>
        <v/>
      </c>
      <c r="P2034" s="8" t="inlineStr">
        <is>
          <t>M3</t>
        </is>
      </c>
      <c r="Q2034" s="10">
        <f>IFERROR(IFERROR(VLOOKUP(A2034,TRAOPE!$A:$U,21,0),VLOOKUP(B2034,TRAOPE!$A:$U,21,0)),"")</f>
        <v/>
      </c>
      <c r="R2034" s="8">
        <f>IFERROR(IFERROR(VLOOKUP(A2034,TRAOPE!$A:$W,23,0),VLOOKUP(B2034,TRAOPE!$A:$W,23,0)),"")</f>
        <v/>
      </c>
      <c r="S2034" s="10">
        <f>IF(AND(P2034="TN",R2034="TN"),N2034+N(O2034),IF(G2034&amp;""="1",N(K2034)*N2034,(N2034+N(O2034))*N(K2034)))</f>
        <v/>
      </c>
      <c r="T2034" s="10">
        <f>IF(Q2034="","",Q2034-S2034)</f>
        <v/>
      </c>
    </row>
    <row r="2035">
      <c r="A2035" s="7">
        <f>CONCATENATE(C2035,E2035,F2035,I2035)</f>
        <v/>
      </c>
      <c r="B2035" s="7">
        <f>CONCATENATE(C2035,E2035,I2035)</f>
        <v/>
      </c>
      <c r="C2035" s="8" t="n">
        <v>900006543</v>
      </c>
      <c r="D2035" s="7">
        <f>IFERROR(VLOOKUP(C2035,TRAOPE!$G:$H,2,0),"")</f>
        <v/>
      </c>
      <c r="E2035" s="8" t="inlineStr">
        <is>
          <t>D836</t>
        </is>
      </c>
      <c r="F2035" s="8" t="inlineStr">
        <is>
          <t>66890781</t>
        </is>
      </c>
      <c r="G2035" s="8">
        <f>IFERROR(VLOOKUP(A2035,Flete!$A:$E,5,0),"")</f>
        <v/>
      </c>
      <c r="H2035" s="7">
        <f>IFERROR(VLOOKUP(F2035,TRAOPE!$AA:$AB,2,0),"")</f>
        <v/>
      </c>
      <c r="I2035" s="7" t="n">
        <v>10185476</v>
      </c>
      <c r="J2035" s="7">
        <f>IFERROR(VLOOKUP(I2035,Materiales!$A:$H,8,0),"")</f>
        <v/>
      </c>
      <c r="K2035" s="9">
        <f>IFERROR(VLOOKUP(I2035,Materiales!$A:$G,7,0),"")</f>
        <v/>
      </c>
      <c r="L2035" s="8" t="inlineStr">
        <is>
          <t>20190426</t>
        </is>
      </c>
      <c r="M2035" s="8" t="inlineStr">
        <is>
          <t>20250127</t>
        </is>
      </c>
      <c r="N2035" s="10" t="n">
        <v>107</v>
      </c>
      <c r="O2035" s="10">
        <f>IFERROR(VLOOKUP(A2035,Flete!$A:$J,10,0),"")</f>
        <v/>
      </c>
      <c r="P2035" s="8" t="inlineStr">
        <is>
          <t>M3</t>
        </is>
      </c>
      <c r="Q2035" s="10">
        <f>IFERROR(IFERROR(VLOOKUP(A2035,TRAOPE!$A:$U,21,0),VLOOKUP(B2035,TRAOPE!$A:$U,21,0)),"")</f>
        <v/>
      </c>
      <c r="R2035" s="8">
        <f>IFERROR(IFERROR(VLOOKUP(A2035,TRAOPE!$A:$W,23,0),VLOOKUP(B2035,TRAOPE!$A:$W,23,0)),"")</f>
        <v/>
      </c>
      <c r="S2035" s="10">
        <f>IF(AND(P2035="TN",R2035="TN"),N2035+N(O2035),IF(G2035&amp;""="1",N(K2035)*N2035,(N2035+N(O2035))*N(K2035)))</f>
        <v/>
      </c>
      <c r="T2035" s="10">
        <f>IF(Q2035="","",Q2035-S2035)</f>
        <v/>
      </c>
    </row>
    <row r="2036">
      <c r="A2036" s="7">
        <f>CONCATENATE(C2036,E2036,F2036,I2036)</f>
        <v/>
      </c>
      <c r="B2036" s="7">
        <f>CONCATENATE(C2036,E2036,I2036)</f>
        <v/>
      </c>
      <c r="C2036" s="8" t="n">
        <v>900006543</v>
      </c>
      <c r="D2036" s="7">
        <f>IFERROR(VLOOKUP(C2036,TRAOPE!$G:$H,2,0),"")</f>
        <v/>
      </c>
      <c r="E2036" s="8" t="inlineStr">
        <is>
          <t>D836</t>
        </is>
      </c>
      <c r="F2036" s="8" t="inlineStr">
        <is>
          <t>66890781</t>
        </is>
      </c>
      <c r="G2036" s="8">
        <f>IFERROR(VLOOKUP(A2036,Flete!$A:$E,5,0),"")</f>
        <v/>
      </c>
      <c r="H2036" s="7">
        <f>IFERROR(VLOOKUP(F2036,TRAOPE!$AA:$AB,2,0),"")</f>
        <v/>
      </c>
      <c r="I2036" s="7" t="n">
        <v>10185477</v>
      </c>
      <c r="J2036" s="7">
        <f>IFERROR(VLOOKUP(I2036,Materiales!$A:$H,8,0),"")</f>
        <v/>
      </c>
      <c r="K2036" s="9">
        <f>IFERROR(VLOOKUP(I2036,Materiales!$A:$G,7,0),"")</f>
        <v/>
      </c>
      <c r="L2036" s="8" t="inlineStr">
        <is>
          <t>20190426</t>
        </is>
      </c>
      <c r="M2036" s="8" t="inlineStr">
        <is>
          <t>20250127</t>
        </is>
      </c>
      <c r="N2036" s="10" t="n">
        <v>117</v>
      </c>
      <c r="O2036" s="10">
        <f>IFERROR(VLOOKUP(A2036,Flete!$A:$J,10,0),"")</f>
        <v/>
      </c>
      <c r="P2036" s="8" t="inlineStr">
        <is>
          <t>M3</t>
        </is>
      </c>
      <c r="Q2036" s="10">
        <f>IFERROR(IFERROR(VLOOKUP(A2036,TRAOPE!$A:$U,21,0),VLOOKUP(B2036,TRAOPE!$A:$U,21,0)),"")</f>
        <v/>
      </c>
      <c r="R2036" s="8">
        <f>IFERROR(IFERROR(VLOOKUP(A2036,TRAOPE!$A:$W,23,0),VLOOKUP(B2036,TRAOPE!$A:$W,23,0)),"")</f>
        <v/>
      </c>
      <c r="S2036" s="10">
        <f>IF(AND(P2036="TN",R2036="TN"),N2036+N(O2036),IF(G2036&amp;""="1",N(K2036)*N2036,(N2036+N(O2036))*N(K2036)))</f>
        <v/>
      </c>
      <c r="T2036" s="10">
        <f>IF(Q2036="","",Q2036-S2036)</f>
        <v/>
      </c>
    </row>
    <row r="2037">
      <c r="A2037" s="7">
        <f>CONCATENATE(C2037,E2037,F2037,I2037)</f>
        <v/>
      </c>
      <c r="B2037" s="7">
        <f>CONCATENATE(C2037,E2037,I2037)</f>
        <v/>
      </c>
      <c r="C2037" s="8" t="n">
        <v>900006543</v>
      </c>
      <c r="D2037" s="7">
        <f>IFERROR(VLOOKUP(C2037,TRAOPE!$G:$H,2,0),"")</f>
        <v/>
      </c>
      <c r="E2037" s="8" t="inlineStr">
        <is>
          <t>D836</t>
        </is>
      </c>
      <c r="F2037" s="8" t="inlineStr">
        <is>
          <t>66933313</t>
        </is>
      </c>
      <c r="G2037" s="8">
        <f>IFERROR(VLOOKUP(A2037,Flete!$A:$E,5,0),"")</f>
        <v/>
      </c>
      <c r="H2037" s="7">
        <f>IFERROR(VLOOKUP(F2037,TRAOPE!$AA:$AB,2,0),"")</f>
        <v/>
      </c>
      <c r="I2037" s="7" t="n">
        <v>10185476</v>
      </c>
      <c r="J2037" s="7">
        <f>IFERROR(VLOOKUP(I2037,Materiales!$A:$H,8,0),"")</f>
        <v/>
      </c>
      <c r="K2037" s="9">
        <f>IFERROR(VLOOKUP(I2037,Materiales!$A:$G,7,0),"")</f>
        <v/>
      </c>
      <c r="L2037" s="8" t="inlineStr">
        <is>
          <t>20190426</t>
        </is>
      </c>
      <c r="M2037" s="8" t="inlineStr">
        <is>
          <t>20250127</t>
        </is>
      </c>
      <c r="N2037" s="10" t="n">
        <v>110</v>
      </c>
      <c r="O2037" s="10">
        <f>IFERROR(VLOOKUP(A2037,Flete!$A:$J,10,0),"")</f>
        <v/>
      </c>
      <c r="P2037" s="8" t="inlineStr">
        <is>
          <t>M3</t>
        </is>
      </c>
      <c r="Q2037" s="10">
        <f>IFERROR(IFERROR(VLOOKUP(A2037,TRAOPE!$A:$U,21,0),VLOOKUP(B2037,TRAOPE!$A:$U,21,0)),"")</f>
        <v/>
      </c>
      <c r="R2037" s="8">
        <f>IFERROR(IFERROR(VLOOKUP(A2037,TRAOPE!$A:$W,23,0),VLOOKUP(B2037,TRAOPE!$A:$W,23,0)),"")</f>
        <v/>
      </c>
      <c r="S2037" s="10">
        <f>IF(AND(P2037="TN",R2037="TN"),N2037+N(O2037),IF(G2037&amp;""="1",N(K2037)*N2037,(N2037+N(O2037))*N(K2037)))</f>
        <v/>
      </c>
      <c r="T2037" s="10">
        <f>IF(Q2037="","",Q2037-S2037)</f>
        <v/>
      </c>
    </row>
    <row r="2038">
      <c r="A2038" s="7">
        <f>CONCATENATE(C2038,E2038,F2038,I2038)</f>
        <v/>
      </c>
      <c r="B2038" s="7">
        <f>CONCATENATE(C2038,E2038,I2038)</f>
        <v/>
      </c>
      <c r="C2038" s="8" t="n">
        <v>900006543</v>
      </c>
      <c r="D2038" s="7">
        <f>IFERROR(VLOOKUP(C2038,TRAOPE!$G:$H,2,0),"")</f>
        <v/>
      </c>
      <c r="E2038" s="8" t="inlineStr">
        <is>
          <t>D836</t>
        </is>
      </c>
      <c r="F2038" s="8" t="inlineStr">
        <is>
          <t>66933313</t>
        </is>
      </c>
      <c r="G2038" s="8">
        <f>IFERROR(VLOOKUP(A2038,Flete!$A:$E,5,0),"")</f>
        <v/>
      </c>
      <c r="H2038" s="7">
        <f>IFERROR(VLOOKUP(F2038,TRAOPE!$AA:$AB,2,0),"")</f>
        <v/>
      </c>
      <c r="I2038" s="7" t="n">
        <v>10185477</v>
      </c>
      <c r="J2038" s="7">
        <f>IFERROR(VLOOKUP(I2038,Materiales!$A:$H,8,0),"")</f>
        <v/>
      </c>
      <c r="K2038" s="9">
        <f>IFERROR(VLOOKUP(I2038,Materiales!$A:$G,7,0),"")</f>
        <v/>
      </c>
      <c r="L2038" s="8" t="inlineStr">
        <is>
          <t>20190426</t>
        </is>
      </c>
      <c r="M2038" s="8" t="inlineStr">
        <is>
          <t>20250127</t>
        </is>
      </c>
      <c r="N2038" s="10" t="n">
        <v>120</v>
      </c>
      <c r="O2038" s="10">
        <f>IFERROR(VLOOKUP(A2038,Flete!$A:$J,10,0),"")</f>
        <v/>
      </c>
      <c r="P2038" s="8" t="inlineStr">
        <is>
          <t>M3</t>
        </is>
      </c>
      <c r="Q2038" s="10">
        <f>IFERROR(IFERROR(VLOOKUP(A2038,TRAOPE!$A:$U,21,0),VLOOKUP(B2038,TRAOPE!$A:$U,21,0)),"")</f>
        <v/>
      </c>
      <c r="R2038" s="8">
        <f>IFERROR(IFERROR(VLOOKUP(A2038,TRAOPE!$A:$W,23,0),VLOOKUP(B2038,TRAOPE!$A:$W,23,0)),"")</f>
        <v/>
      </c>
      <c r="S2038" s="10">
        <f>IF(AND(P2038="TN",R2038="TN"),N2038+N(O2038),IF(G2038&amp;""="1",N(K2038)*N2038,(N2038+N(O2038))*N(K2038)))</f>
        <v/>
      </c>
      <c r="T2038" s="10">
        <f>IF(Q2038="","",Q2038-S2038)</f>
        <v/>
      </c>
    </row>
    <row r="2039">
      <c r="A2039" s="7">
        <f>CONCATENATE(C2039,E2039,F2039,I2039)</f>
        <v/>
      </c>
      <c r="B2039" s="7">
        <f>CONCATENATE(C2039,E2039,I2039)</f>
        <v/>
      </c>
      <c r="C2039" s="8" t="n">
        <v>900006543</v>
      </c>
      <c r="D2039" s="7">
        <f>IFERROR(VLOOKUP(C2039,TRAOPE!$G:$H,2,0),"")</f>
        <v/>
      </c>
      <c r="E2039" s="8" t="inlineStr">
        <is>
          <t>D836</t>
        </is>
      </c>
      <c r="F2039" s="8" t="inlineStr">
        <is>
          <t>66970213</t>
        </is>
      </c>
      <c r="G2039" s="8">
        <f>IFERROR(VLOOKUP(A2039,Flete!$A:$E,5,0),"")</f>
        <v/>
      </c>
      <c r="H2039" s="7">
        <f>IFERROR(VLOOKUP(F2039,TRAOPE!$AA:$AB,2,0),"")</f>
        <v/>
      </c>
      <c r="I2039" s="7" t="n">
        <v>10000651</v>
      </c>
      <c r="J2039" s="7">
        <f>IFERROR(VLOOKUP(I2039,Materiales!$A:$H,8,0),"")</f>
        <v/>
      </c>
      <c r="K2039" s="9">
        <f>IFERROR(VLOOKUP(I2039,Materiales!$A:$G,7,0),"")</f>
        <v/>
      </c>
      <c r="L2039" s="8" t="inlineStr">
        <is>
          <t>20190426</t>
        </is>
      </c>
      <c r="M2039" s="8" t="inlineStr">
        <is>
          <t>20250127</t>
        </is>
      </c>
      <c r="N2039" s="10" t="n">
        <v>130</v>
      </c>
      <c r="O2039" s="10">
        <f>IFERROR(VLOOKUP(A2039,Flete!$A:$J,10,0),"")</f>
        <v/>
      </c>
      <c r="P2039" s="8" t="inlineStr">
        <is>
          <t>M3</t>
        </is>
      </c>
      <c r="Q2039" s="10">
        <f>IFERROR(IFERROR(VLOOKUP(A2039,TRAOPE!$A:$U,21,0),VLOOKUP(B2039,TRAOPE!$A:$U,21,0)),"")</f>
        <v/>
      </c>
      <c r="R2039" s="8">
        <f>IFERROR(IFERROR(VLOOKUP(A2039,TRAOPE!$A:$W,23,0),VLOOKUP(B2039,TRAOPE!$A:$W,23,0)),"")</f>
        <v/>
      </c>
      <c r="S2039" s="10">
        <f>IF(AND(P2039="TN",R2039="TN"),N2039+N(O2039),IF(G2039&amp;""="1",N(K2039)*N2039,(N2039+N(O2039))*N(K2039)))</f>
        <v/>
      </c>
      <c r="T2039" s="10">
        <f>IF(Q2039="","",Q2039-S2039)</f>
        <v/>
      </c>
    </row>
    <row r="2040">
      <c r="A2040" s="7">
        <f>CONCATENATE(C2040,E2040,F2040,I2040)</f>
        <v/>
      </c>
      <c r="B2040" s="7">
        <f>CONCATENATE(C2040,E2040,I2040)</f>
        <v/>
      </c>
      <c r="C2040" s="8" t="n">
        <v>900006543</v>
      </c>
      <c r="D2040" s="7">
        <f>IFERROR(VLOOKUP(C2040,TRAOPE!$G:$H,2,0),"")</f>
        <v/>
      </c>
      <c r="E2040" s="8" t="inlineStr">
        <is>
          <t>D836</t>
        </is>
      </c>
      <c r="F2040" s="8" t="inlineStr">
        <is>
          <t>66977443</t>
        </is>
      </c>
      <c r="G2040" s="8">
        <f>IFERROR(VLOOKUP(A2040,Flete!$A:$E,5,0),"")</f>
        <v/>
      </c>
      <c r="H2040" s="7">
        <f>IFERROR(VLOOKUP(F2040,TRAOPE!$AA:$AB,2,0),"")</f>
        <v/>
      </c>
      <c r="I2040" s="7" t="n">
        <v>10185476</v>
      </c>
      <c r="J2040" s="7">
        <f>IFERROR(VLOOKUP(I2040,Materiales!$A:$H,8,0),"")</f>
        <v/>
      </c>
      <c r="K2040" s="9">
        <f>IFERROR(VLOOKUP(I2040,Materiales!$A:$G,7,0),"")</f>
        <v/>
      </c>
      <c r="L2040" s="8" t="inlineStr">
        <is>
          <t>20190426</t>
        </is>
      </c>
      <c r="M2040" s="8" t="inlineStr">
        <is>
          <t>20250127</t>
        </is>
      </c>
      <c r="N2040" s="10" t="n">
        <v>110</v>
      </c>
      <c r="O2040" s="10">
        <f>IFERROR(VLOOKUP(A2040,Flete!$A:$J,10,0),"")</f>
        <v/>
      </c>
      <c r="P2040" s="8" t="inlineStr">
        <is>
          <t>M3</t>
        </is>
      </c>
      <c r="Q2040" s="10">
        <f>IFERROR(IFERROR(VLOOKUP(A2040,TRAOPE!$A:$U,21,0),VLOOKUP(B2040,TRAOPE!$A:$U,21,0)),"")</f>
        <v/>
      </c>
      <c r="R2040" s="8">
        <f>IFERROR(IFERROR(VLOOKUP(A2040,TRAOPE!$A:$W,23,0),VLOOKUP(B2040,TRAOPE!$A:$W,23,0)),"")</f>
        <v/>
      </c>
      <c r="S2040" s="10">
        <f>IF(AND(P2040="TN",R2040="TN"),N2040+N(O2040),IF(G2040&amp;""="1",N(K2040)*N2040,(N2040+N(O2040))*N(K2040)))</f>
        <v/>
      </c>
      <c r="T2040" s="10">
        <f>IF(Q2040="","",Q2040-S2040)</f>
        <v/>
      </c>
    </row>
    <row r="2041">
      <c r="A2041" s="7">
        <f>CONCATENATE(C2041,E2041,F2041,I2041)</f>
        <v/>
      </c>
      <c r="B2041" s="7">
        <f>CONCATENATE(C2041,E2041,I2041)</f>
        <v/>
      </c>
      <c r="C2041" s="8" t="n">
        <v>900006543</v>
      </c>
      <c r="D2041" s="7">
        <f>IFERROR(VLOOKUP(C2041,TRAOPE!$G:$H,2,0),"")</f>
        <v/>
      </c>
      <c r="E2041" s="8" t="inlineStr">
        <is>
          <t>D836</t>
        </is>
      </c>
      <c r="F2041" s="8" t="inlineStr">
        <is>
          <t>66977443</t>
        </is>
      </c>
      <c r="G2041" s="8">
        <f>IFERROR(VLOOKUP(A2041,Flete!$A:$E,5,0),"")</f>
        <v/>
      </c>
      <c r="H2041" s="7">
        <f>IFERROR(VLOOKUP(F2041,TRAOPE!$AA:$AB,2,0),"")</f>
        <v/>
      </c>
      <c r="I2041" s="7" t="n">
        <v>10185477</v>
      </c>
      <c r="J2041" s="7">
        <f>IFERROR(VLOOKUP(I2041,Materiales!$A:$H,8,0),"")</f>
        <v/>
      </c>
      <c r="K2041" s="9">
        <f>IFERROR(VLOOKUP(I2041,Materiales!$A:$G,7,0),"")</f>
        <v/>
      </c>
      <c r="L2041" s="8" t="inlineStr">
        <is>
          <t>20190426</t>
        </is>
      </c>
      <c r="M2041" s="8" t="inlineStr">
        <is>
          <t>20250127</t>
        </is>
      </c>
      <c r="N2041" s="10" t="n">
        <v>125</v>
      </c>
      <c r="O2041" s="10">
        <f>IFERROR(VLOOKUP(A2041,Flete!$A:$J,10,0),"")</f>
        <v/>
      </c>
      <c r="P2041" s="8" t="inlineStr">
        <is>
          <t>M3</t>
        </is>
      </c>
      <c r="Q2041" s="10">
        <f>IFERROR(IFERROR(VLOOKUP(A2041,TRAOPE!$A:$U,21,0),VLOOKUP(B2041,TRAOPE!$A:$U,21,0)),"")</f>
        <v/>
      </c>
      <c r="R2041" s="8">
        <f>IFERROR(IFERROR(VLOOKUP(A2041,TRAOPE!$A:$W,23,0),VLOOKUP(B2041,TRAOPE!$A:$W,23,0)),"")</f>
        <v/>
      </c>
      <c r="S2041" s="10">
        <f>IF(AND(P2041="TN",R2041="TN"),N2041+N(O2041),IF(G2041&amp;""="1",N(K2041)*N2041,(N2041+N(O2041))*N(K2041)))</f>
        <v/>
      </c>
      <c r="T2041" s="10">
        <f>IF(Q2041="","",Q2041-S2041)</f>
        <v/>
      </c>
    </row>
    <row r="2042">
      <c r="A2042" s="7">
        <f>CONCATENATE(C2042,E2042,F2042,I2042)</f>
        <v/>
      </c>
      <c r="B2042" s="7">
        <f>CONCATENATE(C2042,E2042,I2042)</f>
        <v/>
      </c>
      <c r="C2042" s="8" t="n">
        <v>900006543</v>
      </c>
      <c r="D2042" s="7">
        <f>IFERROR(VLOOKUP(C2042,TRAOPE!$G:$H,2,0),"")</f>
        <v/>
      </c>
      <c r="E2042" s="8" t="inlineStr">
        <is>
          <t>D836</t>
        </is>
      </c>
      <c r="F2042" s="8" t="inlineStr">
        <is>
          <t>66982551</t>
        </is>
      </c>
      <c r="G2042" s="8">
        <f>IFERROR(VLOOKUP(A2042,Flete!$A:$E,5,0),"")</f>
        <v/>
      </c>
      <c r="H2042" s="7">
        <f>IFERROR(VLOOKUP(F2042,TRAOPE!$AA:$AB,2,0),"")</f>
        <v/>
      </c>
      <c r="I2042" s="7" t="n">
        <v>10000627</v>
      </c>
      <c r="J2042" s="7">
        <f>IFERROR(VLOOKUP(I2042,Materiales!$A:$H,8,0),"")</f>
        <v/>
      </c>
      <c r="K2042" s="9">
        <f>IFERROR(VLOOKUP(I2042,Materiales!$A:$G,7,0),"")</f>
        <v/>
      </c>
      <c r="L2042" s="8" t="inlineStr">
        <is>
          <t>20190426</t>
        </is>
      </c>
      <c r="M2042" s="8" t="inlineStr">
        <is>
          <t>20250127</t>
        </is>
      </c>
      <c r="N2042" s="10" t="n">
        <v>115</v>
      </c>
      <c r="O2042" s="10">
        <f>IFERROR(VLOOKUP(A2042,Flete!$A:$J,10,0),"")</f>
        <v/>
      </c>
      <c r="P2042" s="8" t="inlineStr">
        <is>
          <t>M3</t>
        </is>
      </c>
      <c r="Q2042" s="10">
        <f>IFERROR(IFERROR(VLOOKUP(A2042,TRAOPE!$A:$U,21,0),VLOOKUP(B2042,TRAOPE!$A:$U,21,0)),"")</f>
        <v/>
      </c>
      <c r="R2042" s="8">
        <f>IFERROR(IFERROR(VLOOKUP(A2042,TRAOPE!$A:$W,23,0),VLOOKUP(B2042,TRAOPE!$A:$W,23,0)),"")</f>
        <v/>
      </c>
      <c r="S2042" s="10">
        <f>IF(AND(P2042="TN",R2042="TN"),N2042+N(O2042),IF(G2042&amp;""="1",N(K2042)*N2042,(N2042+N(O2042))*N(K2042)))</f>
        <v/>
      </c>
      <c r="T2042" s="10">
        <f>IF(Q2042="","",Q2042-S2042)</f>
        <v/>
      </c>
    </row>
    <row r="2043">
      <c r="A2043" s="7">
        <f>CONCATENATE(C2043,E2043,F2043,I2043)</f>
        <v/>
      </c>
      <c r="B2043" s="7">
        <f>CONCATENATE(C2043,E2043,I2043)</f>
        <v/>
      </c>
      <c r="C2043" s="8" t="n">
        <v>900006543</v>
      </c>
      <c r="D2043" s="7">
        <f>IFERROR(VLOOKUP(C2043,TRAOPE!$G:$H,2,0),"")</f>
        <v/>
      </c>
      <c r="E2043" s="8" t="inlineStr">
        <is>
          <t>D836</t>
        </is>
      </c>
      <c r="F2043" s="8" t="inlineStr">
        <is>
          <t>66982551</t>
        </is>
      </c>
      <c r="G2043" s="8">
        <f>IFERROR(VLOOKUP(A2043,Flete!$A:$E,5,0),"")</f>
        <v/>
      </c>
      <c r="H2043" s="7">
        <f>IFERROR(VLOOKUP(F2043,TRAOPE!$AA:$AB,2,0),"")</f>
        <v/>
      </c>
      <c r="I2043" s="7" t="n">
        <v>10185476</v>
      </c>
      <c r="J2043" s="7">
        <f>IFERROR(VLOOKUP(I2043,Materiales!$A:$H,8,0),"")</f>
        <v/>
      </c>
      <c r="K2043" s="9">
        <f>IFERROR(VLOOKUP(I2043,Materiales!$A:$G,7,0),"")</f>
        <v/>
      </c>
      <c r="L2043" s="8" t="inlineStr">
        <is>
          <t>20190426</t>
        </is>
      </c>
      <c r="M2043" s="8" t="inlineStr">
        <is>
          <t>20250127</t>
        </is>
      </c>
      <c r="N2043" s="10" t="n">
        <v>115</v>
      </c>
      <c r="O2043" s="10">
        <f>IFERROR(VLOOKUP(A2043,Flete!$A:$J,10,0),"")</f>
        <v/>
      </c>
      <c r="P2043" s="8" t="inlineStr">
        <is>
          <t>M3</t>
        </is>
      </c>
      <c r="Q2043" s="10">
        <f>IFERROR(IFERROR(VLOOKUP(A2043,TRAOPE!$A:$U,21,0),VLOOKUP(B2043,TRAOPE!$A:$U,21,0)),"")</f>
        <v/>
      </c>
      <c r="R2043" s="8">
        <f>IFERROR(IFERROR(VLOOKUP(A2043,TRAOPE!$A:$W,23,0),VLOOKUP(B2043,TRAOPE!$A:$W,23,0)),"")</f>
        <v/>
      </c>
      <c r="S2043" s="10">
        <f>IF(AND(P2043="TN",R2043="TN"),N2043+N(O2043),IF(G2043&amp;""="1",N(K2043)*N2043,(N2043+N(O2043))*N(K2043)))</f>
        <v/>
      </c>
      <c r="T2043" s="10">
        <f>IF(Q2043="","",Q2043-S2043)</f>
        <v/>
      </c>
    </row>
    <row r="2044">
      <c r="A2044" s="7">
        <f>CONCATENATE(C2044,E2044,F2044,I2044)</f>
        <v/>
      </c>
      <c r="B2044" s="7">
        <f>CONCATENATE(C2044,E2044,I2044)</f>
        <v/>
      </c>
      <c r="C2044" s="8" t="n">
        <v>900006543</v>
      </c>
      <c r="D2044" s="7">
        <f>IFERROR(VLOOKUP(C2044,TRAOPE!$G:$H,2,0),"")</f>
        <v/>
      </c>
      <c r="E2044" s="8" t="inlineStr">
        <is>
          <t>D836</t>
        </is>
      </c>
      <c r="F2044" s="8" t="inlineStr">
        <is>
          <t>66982658</t>
        </is>
      </c>
      <c r="G2044" s="8">
        <f>IFERROR(VLOOKUP(A2044,Flete!$A:$E,5,0),"")</f>
        <v/>
      </c>
      <c r="H2044" s="7">
        <f>IFERROR(VLOOKUP(F2044,TRAOPE!$AA:$AB,2,0),"")</f>
        <v/>
      </c>
      <c r="I2044" s="7" t="n">
        <v>10185476</v>
      </c>
      <c r="J2044" s="7">
        <f>IFERROR(VLOOKUP(I2044,Materiales!$A:$H,8,0),"")</f>
        <v/>
      </c>
      <c r="K2044" s="9">
        <f>IFERROR(VLOOKUP(I2044,Materiales!$A:$G,7,0),"")</f>
        <v/>
      </c>
      <c r="L2044" s="8" t="inlineStr">
        <is>
          <t>20190426</t>
        </is>
      </c>
      <c r="M2044" s="8" t="inlineStr">
        <is>
          <t>20250127</t>
        </is>
      </c>
      <c r="N2044" s="10" t="n">
        <v>115</v>
      </c>
      <c r="O2044" s="10">
        <f>IFERROR(VLOOKUP(A2044,Flete!$A:$J,10,0),"")</f>
        <v/>
      </c>
      <c r="P2044" s="8" t="inlineStr">
        <is>
          <t>M3</t>
        </is>
      </c>
      <c r="Q2044" s="10">
        <f>IFERROR(IFERROR(VLOOKUP(A2044,TRAOPE!$A:$U,21,0),VLOOKUP(B2044,TRAOPE!$A:$U,21,0)),"")</f>
        <v/>
      </c>
      <c r="R2044" s="8">
        <f>IFERROR(IFERROR(VLOOKUP(A2044,TRAOPE!$A:$W,23,0),VLOOKUP(B2044,TRAOPE!$A:$W,23,0)),"")</f>
        <v/>
      </c>
      <c r="S2044" s="10">
        <f>IF(AND(P2044="TN",R2044="TN"),N2044+N(O2044),IF(G2044&amp;""="1",N(K2044)*N2044,(N2044+N(O2044))*N(K2044)))</f>
        <v/>
      </c>
      <c r="T2044" s="10">
        <f>IF(Q2044="","",Q2044-S2044)</f>
        <v/>
      </c>
    </row>
    <row r="2045">
      <c r="A2045" s="7">
        <f>CONCATENATE(C2045,E2045,F2045,I2045)</f>
        <v/>
      </c>
      <c r="B2045" s="7">
        <f>CONCATENATE(C2045,E2045,I2045)</f>
        <v/>
      </c>
      <c r="C2045" s="8" t="n">
        <v>900006543</v>
      </c>
      <c r="D2045" s="7">
        <f>IFERROR(VLOOKUP(C2045,TRAOPE!$G:$H,2,0),"")</f>
        <v/>
      </c>
      <c r="E2045" s="8" t="inlineStr">
        <is>
          <t>D836</t>
        </is>
      </c>
      <c r="F2045" s="8" t="inlineStr">
        <is>
          <t>66982658</t>
        </is>
      </c>
      <c r="G2045" s="8">
        <f>IFERROR(VLOOKUP(A2045,Flete!$A:$E,5,0),"")</f>
        <v/>
      </c>
      <c r="H2045" s="7">
        <f>IFERROR(VLOOKUP(F2045,TRAOPE!$AA:$AB,2,0),"")</f>
        <v/>
      </c>
      <c r="I2045" s="7" t="n">
        <v>10185477</v>
      </c>
      <c r="J2045" s="7">
        <f>IFERROR(VLOOKUP(I2045,Materiales!$A:$H,8,0),"")</f>
        <v/>
      </c>
      <c r="K2045" s="9">
        <f>IFERROR(VLOOKUP(I2045,Materiales!$A:$G,7,0),"")</f>
        <v/>
      </c>
      <c r="L2045" s="8" t="inlineStr">
        <is>
          <t>20190426</t>
        </is>
      </c>
      <c r="M2045" s="8" t="inlineStr">
        <is>
          <t>20250127</t>
        </is>
      </c>
      <c r="N2045" s="10" t="n">
        <v>125</v>
      </c>
      <c r="O2045" s="10">
        <f>IFERROR(VLOOKUP(A2045,Flete!$A:$J,10,0),"")</f>
        <v/>
      </c>
      <c r="P2045" s="8" t="inlineStr">
        <is>
          <t>M3</t>
        </is>
      </c>
      <c r="Q2045" s="10">
        <f>IFERROR(IFERROR(VLOOKUP(A2045,TRAOPE!$A:$U,21,0),VLOOKUP(B2045,TRAOPE!$A:$U,21,0)),"")</f>
        <v/>
      </c>
      <c r="R2045" s="8">
        <f>IFERROR(IFERROR(VLOOKUP(A2045,TRAOPE!$A:$W,23,0),VLOOKUP(B2045,TRAOPE!$A:$W,23,0)),"")</f>
        <v/>
      </c>
      <c r="S2045" s="10">
        <f>IF(AND(P2045="TN",R2045="TN"),N2045+N(O2045),IF(G2045&amp;""="1",N(K2045)*N2045,(N2045+N(O2045))*N(K2045)))</f>
        <v/>
      </c>
      <c r="T2045" s="10">
        <f>IF(Q2045="","",Q2045-S2045)</f>
        <v/>
      </c>
    </row>
    <row r="2046">
      <c r="A2046" s="7">
        <f>CONCATENATE(C2046,E2046,F2046,I2046)</f>
        <v/>
      </c>
      <c r="B2046" s="7">
        <f>CONCATENATE(C2046,E2046,I2046)</f>
        <v/>
      </c>
      <c r="C2046" s="8" t="n">
        <v>900006543</v>
      </c>
      <c r="D2046" s="7">
        <f>IFERROR(VLOOKUP(C2046,TRAOPE!$G:$H,2,0),"")</f>
        <v/>
      </c>
      <c r="E2046" s="8" t="inlineStr">
        <is>
          <t>D836</t>
        </is>
      </c>
      <c r="F2046" s="8" t="inlineStr">
        <is>
          <t>67007608</t>
        </is>
      </c>
      <c r="G2046" s="8">
        <f>IFERROR(VLOOKUP(A2046,Flete!$A:$E,5,0),"")</f>
        <v/>
      </c>
      <c r="H2046" s="7">
        <f>IFERROR(VLOOKUP(F2046,TRAOPE!$AA:$AB,2,0),"")</f>
        <v/>
      </c>
      <c r="I2046" s="7" t="n">
        <v>10000651</v>
      </c>
      <c r="J2046" s="7">
        <f>IFERROR(VLOOKUP(I2046,Materiales!$A:$H,8,0),"")</f>
        <v/>
      </c>
      <c r="K2046" s="9">
        <f>IFERROR(VLOOKUP(I2046,Materiales!$A:$G,7,0),"")</f>
        <v/>
      </c>
      <c r="L2046" s="8" t="inlineStr">
        <is>
          <t>20190426</t>
        </is>
      </c>
      <c r="M2046" s="8" t="inlineStr">
        <is>
          <t>20250127</t>
        </is>
      </c>
      <c r="N2046" s="10" t="n">
        <v>131.16</v>
      </c>
      <c r="O2046" s="10">
        <f>IFERROR(VLOOKUP(A2046,Flete!$A:$J,10,0),"")</f>
        <v/>
      </c>
      <c r="P2046" s="8" t="inlineStr">
        <is>
          <t>M3</t>
        </is>
      </c>
      <c r="Q2046" s="10">
        <f>IFERROR(IFERROR(VLOOKUP(A2046,TRAOPE!$A:$U,21,0),VLOOKUP(B2046,TRAOPE!$A:$U,21,0)),"")</f>
        <v/>
      </c>
      <c r="R2046" s="8">
        <f>IFERROR(IFERROR(VLOOKUP(A2046,TRAOPE!$A:$W,23,0),VLOOKUP(B2046,TRAOPE!$A:$W,23,0)),"")</f>
        <v/>
      </c>
      <c r="S2046" s="10">
        <f>IF(AND(P2046="TN",R2046="TN"),N2046+N(O2046),IF(G2046&amp;""="1",N(K2046)*N2046,(N2046+N(O2046))*N(K2046)))</f>
        <v/>
      </c>
      <c r="T2046" s="10">
        <f>IF(Q2046="","",Q2046-S2046)</f>
        <v/>
      </c>
    </row>
    <row r="2047">
      <c r="A2047" s="7">
        <f>CONCATENATE(C2047,E2047,F2047,I2047)</f>
        <v/>
      </c>
      <c r="B2047" s="7">
        <f>CONCATENATE(C2047,E2047,I2047)</f>
        <v/>
      </c>
      <c r="C2047" s="8" t="n">
        <v>900006543</v>
      </c>
      <c r="D2047" s="7">
        <f>IFERROR(VLOOKUP(C2047,TRAOPE!$G:$H,2,0),"")</f>
        <v/>
      </c>
      <c r="E2047" s="8" t="inlineStr">
        <is>
          <t>D836</t>
        </is>
      </c>
      <c r="F2047" s="8" t="inlineStr">
        <is>
          <t>67011332</t>
        </is>
      </c>
      <c r="G2047" s="8">
        <f>IFERROR(VLOOKUP(A2047,Flete!$A:$E,5,0),"")</f>
        <v/>
      </c>
      <c r="H2047" s="7">
        <f>IFERROR(VLOOKUP(F2047,TRAOPE!$AA:$AB,2,0),"")</f>
        <v/>
      </c>
      <c r="I2047" s="7" t="n">
        <v>10185476</v>
      </c>
      <c r="J2047" s="7">
        <f>IFERROR(VLOOKUP(I2047,Materiales!$A:$H,8,0),"")</f>
        <v/>
      </c>
      <c r="K2047" s="9">
        <f>IFERROR(VLOOKUP(I2047,Materiales!$A:$G,7,0),"")</f>
        <v/>
      </c>
      <c r="L2047" s="8" t="inlineStr">
        <is>
          <t>20190426</t>
        </is>
      </c>
      <c r="M2047" s="8" t="inlineStr">
        <is>
          <t>20250127</t>
        </is>
      </c>
      <c r="N2047" s="10" t="n">
        <v>110</v>
      </c>
      <c r="O2047" s="10">
        <f>IFERROR(VLOOKUP(A2047,Flete!$A:$J,10,0),"")</f>
        <v/>
      </c>
      <c r="P2047" s="8" t="inlineStr">
        <is>
          <t>M3</t>
        </is>
      </c>
      <c r="Q2047" s="10">
        <f>IFERROR(IFERROR(VLOOKUP(A2047,TRAOPE!$A:$U,21,0),VLOOKUP(B2047,TRAOPE!$A:$U,21,0)),"")</f>
        <v/>
      </c>
      <c r="R2047" s="8">
        <f>IFERROR(IFERROR(VLOOKUP(A2047,TRAOPE!$A:$W,23,0),VLOOKUP(B2047,TRAOPE!$A:$W,23,0)),"")</f>
        <v/>
      </c>
      <c r="S2047" s="10">
        <f>IF(AND(P2047="TN",R2047="TN"),N2047+N(O2047),IF(G2047&amp;""="1",N(K2047)*N2047,(N2047+N(O2047))*N(K2047)))</f>
        <v/>
      </c>
      <c r="T2047" s="10">
        <f>IF(Q2047="","",Q2047-S2047)</f>
        <v/>
      </c>
    </row>
    <row r="2048">
      <c r="A2048" s="7">
        <f>CONCATENATE(C2048,E2048,F2048,I2048)</f>
        <v/>
      </c>
      <c r="B2048" s="7">
        <f>CONCATENATE(C2048,E2048,I2048)</f>
        <v/>
      </c>
      <c r="C2048" s="8" t="n">
        <v>900006543</v>
      </c>
      <c r="D2048" s="7">
        <f>IFERROR(VLOOKUP(C2048,TRAOPE!$G:$H,2,0),"")</f>
        <v/>
      </c>
      <c r="E2048" s="8" t="inlineStr">
        <is>
          <t>D836</t>
        </is>
      </c>
      <c r="F2048" s="8" t="inlineStr">
        <is>
          <t>67011332</t>
        </is>
      </c>
      <c r="G2048" s="8">
        <f>IFERROR(VLOOKUP(A2048,Flete!$A:$E,5,0),"")</f>
        <v/>
      </c>
      <c r="H2048" s="7">
        <f>IFERROR(VLOOKUP(F2048,TRAOPE!$AA:$AB,2,0),"")</f>
        <v/>
      </c>
      <c r="I2048" s="7" t="n">
        <v>10185477</v>
      </c>
      <c r="J2048" s="7">
        <f>IFERROR(VLOOKUP(I2048,Materiales!$A:$H,8,0),"")</f>
        <v/>
      </c>
      <c r="K2048" s="9">
        <f>IFERROR(VLOOKUP(I2048,Materiales!$A:$G,7,0),"")</f>
        <v/>
      </c>
      <c r="L2048" s="8" t="inlineStr">
        <is>
          <t>20190426</t>
        </is>
      </c>
      <c r="M2048" s="8" t="inlineStr">
        <is>
          <t>20250127</t>
        </is>
      </c>
      <c r="N2048" s="10" t="n">
        <v>120</v>
      </c>
      <c r="O2048" s="10">
        <f>IFERROR(VLOOKUP(A2048,Flete!$A:$J,10,0),"")</f>
        <v/>
      </c>
      <c r="P2048" s="8" t="inlineStr">
        <is>
          <t>M3</t>
        </is>
      </c>
      <c r="Q2048" s="10">
        <f>IFERROR(IFERROR(VLOOKUP(A2048,TRAOPE!$A:$U,21,0),VLOOKUP(B2048,TRAOPE!$A:$U,21,0)),"")</f>
        <v/>
      </c>
      <c r="R2048" s="8">
        <f>IFERROR(IFERROR(VLOOKUP(A2048,TRAOPE!$A:$W,23,0),VLOOKUP(B2048,TRAOPE!$A:$W,23,0)),"")</f>
        <v/>
      </c>
      <c r="S2048" s="10">
        <f>IF(AND(P2048="TN",R2048="TN"),N2048+N(O2048),IF(G2048&amp;""="1",N(K2048)*N2048,(N2048+N(O2048))*N(K2048)))</f>
        <v/>
      </c>
      <c r="T2048" s="10">
        <f>IF(Q2048="","",Q2048-S2048)</f>
        <v/>
      </c>
    </row>
    <row r="2049">
      <c r="A2049" s="7">
        <f>CONCATENATE(C2049,E2049,F2049,I2049)</f>
        <v/>
      </c>
      <c r="B2049" s="7">
        <f>CONCATENATE(C2049,E2049,I2049)</f>
        <v/>
      </c>
      <c r="C2049" s="8" t="n">
        <v>900006543</v>
      </c>
      <c r="D2049" s="7">
        <f>IFERROR(VLOOKUP(C2049,TRAOPE!$G:$H,2,0),"")</f>
        <v/>
      </c>
      <c r="E2049" s="8" t="inlineStr">
        <is>
          <t>D836</t>
        </is>
      </c>
      <c r="F2049" s="8" t="inlineStr">
        <is>
          <t>67012780</t>
        </is>
      </c>
      <c r="G2049" s="8">
        <f>IFERROR(VLOOKUP(A2049,Flete!$A:$E,5,0),"")</f>
        <v/>
      </c>
      <c r="H2049" s="7">
        <f>IFERROR(VLOOKUP(F2049,TRAOPE!$AA:$AB,2,0),"")</f>
        <v/>
      </c>
      <c r="I2049" s="7" t="n">
        <v>10185476</v>
      </c>
      <c r="J2049" s="7">
        <f>IFERROR(VLOOKUP(I2049,Materiales!$A:$H,8,0),"")</f>
        <v/>
      </c>
      <c r="K2049" s="9">
        <f>IFERROR(VLOOKUP(I2049,Materiales!$A:$G,7,0),"")</f>
        <v/>
      </c>
      <c r="L2049" s="8" t="inlineStr">
        <is>
          <t>20190426</t>
        </is>
      </c>
      <c r="M2049" s="8" t="inlineStr">
        <is>
          <t>20250127</t>
        </is>
      </c>
      <c r="N2049" s="10" t="n">
        <v>115</v>
      </c>
      <c r="O2049" s="10">
        <f>IFERROR(VLOOKUP(A2049,Flete!$A:$J,10,0),"")</f>
        <v/>
      </c>
      <c r="P2049" s="8" t="inlineStr">
        <is>
          <t>M3</t>
        </is>
      </c>
      <c r="Q2049" s="10">
        <f>IFERROR(IFERROR(VLOOKUP(A2049,TRAOPE!$A:$U,21,0),VLOOKUP(B2049,TRAOPE!$A:$U,21,0)),"")</f>
        <v/>
      </c>
      <c r="R2049" s="8">
        <f>IFERROR(IFERROR(VLOOKUP(A2049,TRAOPE!$A:$W,23,0),VLOOKUP(B2049,TRAOPE!$A:$W,23,0)),"")</f>
        <v/>
      </c>
      <c r="S2049" s="10">
        <f>IF(AND(P2049="TN",R2049="TN"),N2049+N(O2049),IF(G2049&amp;""="1",N(K2049)*N2049,(N2049+N(O2049))*N(K2049)))</f>
        <v/>
      </c>
      <c r="T2049" s="10">
        <f>IF(Q2049="","",Q2049-S2049)</f>
        <v/>
      </c>
    </row>
    <row r="2050">
      <c r="A2050" s="7">
        <f>CONCATENATE(C2050,E2050,F2050,I2050)</f>
        <v/>
      </c>
      <c r="B2050" s="7">
        <f>CONCATENATE(C2050,E2050,I2050)</f>
        <v/>
      </c>
      <c r="C2050" s="8" t="n">
        <v>900006543</v>
      </c>
      <c r="D2050" s="7">
        <f>IFERROR(VLOOKUP(C2050,TRAOPE!$G:$H,2,0),"")</f>
        <v/>
      </c>
      <c r="E2050" s="8" t="inlineStr">
        <is>
          <t>D836</t>
        </is>
      </c>
      <c r="F2050" s="8" t="inlineStr">
        <is>
          <t>67012780</t>
        </is>
      </c>
      <c r="G2050" s="8">
        <f>IFERROR(VLOOKUP(A2050,Flete!$A:$E,5,0),"")</f>
        <v/>
      </c>
      <c r="H2050" s="7">
        <f>IFERROR(VLOOKUP(F2050,TRAOPE!$AA:$AB,2,0),"")</f>
        <v/>
      </c>
      <c r="I2050" s="7" t="n">
        <v>10185477</v>
      </c>
      <c r="J2050" s="7">
        <f>IFERROR(VLOOKUP(I2050,Materiales!$A:$H,8,0),"")</f>
        <v/>
      </c>
      <c r="K2050" s="9">
        <f>IFERROR(VLOOKUP(I2050,Materiales!$A:$G,7,0),"")</f>
        <v/>
      </c>
      <c r="L2050" s="8" t="inlineStr">
        <is>
          <t>20190426</t>
        </is>
      </c>
      <c r="M2050" s="8" t="inlineStr">
        <is>
          <t>20250127</t>
        </is>
      </c>
      <c r="N2050" s="10" t="n">
        <v>125</v>
      </c>
      <c r="O2050" s="10">
        <f>IFERROR(VLOOKUP(A2050,Flete!$A:$J,10,0),"")</f>
        <v/>
      </c>
      <c r="P2050" s="8" t="inlineStr">
        <is>
          <t>M3</t>
        </is>
      </c>
      <c r="Q2050" s="10">
        <f>IFERROR(IFERROR(VLOOKUP(A2050,TRAOPE!$A:$U,21,0),VLOOKUP(B2050,TRAOPE!$A:$U,21,0)),"")</f>
        <v/>
      </c>
      <c r="R2050" s="8">
        <f>IFERROR(IFERROR(VLOOKUP(A2050,TRAOPE!$A:$W,23,0),VLOOKUP(B2050,TRAOPE!$A:$W,23,0)),"")</f>
        <v/>
      </c>
      <c r="S2050" s="10">
        <f>IF(AND(P2050="TN",R2050="TN"),N2050+N(O2050),IF(G2050&amp;""="1",N(K2050)*N2050,(N2050+N(O2050))*N(K2050)))</f>
        <v/>
      </c>
      <c r="T2050" s="10">
        <f>IF(Q2050="","",Q2050-S2050)</f>
        <v/>
      </c>
    </row>
    <row r="2051">
      <c r="A2051" s="7">
        <f>CONCATENATE(C2051,E2051,F2051,I2051)</f>
        <v/>
      </c>
      <c r="B2051" s="7">
        <f>CONCATENATE(C2051,E2051,I2051)</f>
        <v/>
      </c>
      <c r="C2051" s="8" t="n">
        <v>900006543</v>
      </c>
      <c r="D2051" s="7">
        <f>IFERROR(VLOOKUP(C2051,TRAOPE!$G:$H,2,0),"")</f>
        <v/>
      </c>
      <c r="E2051" s="8" t="inlineStr">
        <is>
          <t>D836</t>
        </is>
      </c>
      <c r="F2051" s="8" t="inlineStr">
        <is>
          <t>67032666</t>
        </is>
      </c>
      <c r="G2051" s="8">
        <f>IFERROR(VLOOKUP(A2051,Flete!$A:$E,5,0),"")</f>
        <v/>
      </c>
      <c r="H2051" s="7">
        <f>IFERROR(VLOOKUP(F2051,TRAOPE!$AA:$AB,2,0),"")</f>
        <v/>
      </c>
      <c r="I2051" s="7" t="n">
        <v>10185476</v>
      </c>
      <c r="J2051" s="7">
        <f>IFERROR(VLOOKUP(I2051,Materiales!$A:$H,8,0),"")</f>
        <v/>
      </c>
      <c r="K2051" s="9">
        <f>IFERROR(VLOOKUP(I2051,Materiales!$A:$G,7,0),"")</f>
        <v/>
      </c>
      <c r="L2051" s="8" t="inlineStr">
        <is>
          <t>20190426</t>
        </is>
      </c>
      <c r="M2051" s="8" t="inlineStr">
        <is>
          <t>20250127</t>
        </is>
      </c>
      <c r="N2051" s="10" t="n">
        <v>125</v>
      </c>
      <c r="O2051" s="10">
        <f>IFERROR(VLOOKUP(A2051,Flete!$A:$J,10,0),"")</f>
        <v/>
      </c>
      <c r="P2051" s="8" t="inlineStr">
        <is>
          <t>M3</t>
        </is>
      </c>
      <c r="Q2051" s="10">
        <f>IFERROR(IFERROR(VLOOKUP(A2051,TRAOPE!$A:$U,21,0),VLOOKUP(B2051,TRAOPE!$A:$U,21,0)),"")</f>
        <v/>
      </c>
      <c r="R2051" s="8">
        <f>IFERROR(IFERROR(VLOOKUP(A2051,TRAOPE!$A:$W,23,0),VLOOKUP(B2051,TRAOPE!$A:$W,23,0)),"")</f>
        <v/>
      </c>
      <c r="S2051" s="10">
        <f>IF(AND(P2051="TN",R2051="TN"),N2051+N(O2051),IF(G2051&amp;""="1",N(K2051)*N2051,(N2051+N(O2051))*N(K2051)))</f>
        <v/>
      </c>
      <c r="T2051" s="10">
        <f>IF(Q2051="","",Q2051-S2051)</f>
        <v/>
      </c>
    </row>
    <row r="2052">
      <c r="A2052" s="7">
        <f>CONCATENATE(C2052,E2052,F2052,I2052)</f>
        <v/>
      </c>
      <c r="B2052" s="7">
        <f>CONCATENATE(C2052,E2052,I2052)</f>
        <v/>
      </c>
      <c r="C2052" s="8" t="n">
        <v>900006543</v>
      </c>
      <c r="D2052" s="7">
        <f>IFERROR(VLOOKUP(C2052,TRAOPE!$G:$H,2,0),"")</f>
        <v/>
      </c>
      <c r="E2052" s="8" t="inlineStr">
        <is>
          <t>D836</t>
        </is>
      </c>
      <c r="F2052" s="8" t="inlineStr">
        <is>
          <t>67036769</t>
        </is>
      </c>
      <c r="G2052" s="8">
        <f>IFERROR(VLOOKUP(A2052,Flete!$A:$E,5,0),"")</f>
        <v/>
      </c>
      <c r="H2052" s="7">
        <f>IFERROR(VLOOKUP(F2052,TRAOPE!$AA:$AB,2,0),"")</f>
        <v/>
      </c>
      <c r="I2052" s="7" t="n">
        <v>10000651</v>
      </c>
      <c r="J2052" s="7">
        <f>IFERROR(VLOOKUP(I2052,Materiales!$A:$H,8,0),"")</f>
        <v/>
      </c>
      <c r="K2052" s="9">
        <f>IFERROR(VLOOKUP(I2052,Materiales!$A:$G,7,0),"")</f>
        <v/>
      </c>
      <c r="L2052" s="8" t="inlineStr">
        <is>
          <t>20190426</t>
        </is>
      </c>
      <c r="M2052" s="8" t="inlineStr">
        <is>
          <t>20250127</t>
        </is>
      </c>
      <c r="N2052" s="10" t="n">
        <v>131.16</v>
      </c>
      <c r="O2052" s="10">
        <f>IFERROR(VLOOKUP(A2052,Flete!$A:$J,10,0),"")</f>
        <v/>
      </c>
      <c r="P2052" s="8" t="inlineStr">
        <is>
          <t>M3</t>
        </is>
      </c>
      <c r="Q2052" s="10">
        <f>IFERROR(IFERROR(VLOOKUP(A2052,TRAOPE!$A:$U,21,0),VLOOKUP(B2052,TRAOPE!$A:$U,21,0)),"")</f>
        <v/>
      </c>
      <c r="R2052" s="8">
        <f>IFERROR(IFERROR(VLOOKUP(A2052,TRAOPE!$A:$W,23,0),VLOOKUP(B2052,TRAOPE!$A:$W,23,0)),"")</f>
        <v/>
      </c>
      <c r="S2052" s="10">
        <f>IF(AND(P2052="TN",R2052="TN"),N2052+N(O2052),IF(G2052&amp;""="1",N(K2052)*N2052,(N2052+N(O2052))*N(K2052)))</f>
        <v/>
      </c>
      <c r="T2052" s="10">
        <f>IF(Q2052="","",Q2052-S2052)</f>
        <v/>
      </c>
    </row>
    <row r="2053">
      <c r="A2053" s="7">
        <f>CONCATENATE(C2053,E2053,F2053,I2053)</f>
        <v/>
      </c>
      <c r="B2053" s="7">
        <f>CONCATENATE(C2053,E2053,I2053)</f>
        <v/>
      </c>
      <c r="C2053" s="8" t="n">
        <v>900006543</v>
      </c>
      <c r="D2053" s="7">
        <f>IFERROR(VLOOKUP(C2053,TRAOPE!$G:$H,2,0),"")</f>
        <v/>
      </c>
      <c r="E2053" s="8" t="inlineStr">
        <is>
          <t>D836</t>
        </is>
      </c>
      <c r="F2053" s="8" t="inlineStr">
        <is>
          <t>67058164</t>
        </is>
      </c>
      <c r="G2053" s="8">
        <f>IFERROR(VLOOKUP(A2053,Flete!$A:$E,5,0),"")</f>
        <v/>
      </c>
      <c r="H2053" s="7">
        <f>IFERROR(VLOOKUP(F2053,TRAOPE!$AA:$AB,2,0),"")</f>
        <v/>
      </c>
      <c r="I2053" s="7" t="n">
        <v>10000206</v>
      </c>
      <c r="J2053" s="7">
        <f>IFERROR(VLOOKUP(I2053,Materiales!$A:$H,8,0),"")</f>
        <v/>
      </c>
      <c r="K2053" s="9">
        <f>IFERROR(VLOOKUP(I2053,Materiales!$A:$G,7,0),"")</f>
        <v/>
      </c>
      <c r="L2053" s="8" t="inlineStr">
        <is>
          <t>20190426</t>
        </is>
      </c>
      <c r="M2053" s="8" t="inlineStr">
        <is>
          <t>20250127</t>
        </is>
      </c>
      <c r="N2053" s="10" t="n">
        <v>20</v>
      </c>
      <c r="O2053" s="10">
        <f>IFERROR(VLOOKUP(A2053,Flete!$A:$J,10,0),"")</f>
        <v/>
      </c>
      <c r="P2053" s="8" t="inlineStr">
        <is>
          <t>M3</t>
        </is>
      </c>
      <c r="Q2053" s="10">
        <f>IFERROR(IFERROR(VLOOKUP(A2053,TRAOPE!$A:$U,21,0),VLOOKUP(B2053,TRAOPE!$A:$U,21,0)),"")</f>
        <v/>
      </c>
      <c r="R2053" s="8">
        <f>IFERROR(IFERROR(VLOOKUP(A2053,TRAOPE!$A:$W,23,0),VLOOKUP(B2053,TRAOPE!$A:$W,23,0)),"")</f>
        <v/>
      </c>
      <c r="S2053" s="10">
        <f>IF(AND(P2053="TN",R2053="TN"),N2053+N(O2053),IF(G2053&amp;""="1",N(K2053)*N2053,(N2053+N(O2053))*N(K2053)))</f>
        <v/>
      </c>
      <c r="T2053" s="10">
        <f>IF(Q2053="","",Q2053-S2053)</f>
        <v/>
      </c>
    </row>
    <row r="2054">
      <c r="A2054" s="7">
        <f>CONCATENATE(C2054,E2054,F2054,I2054)</f>
        <v/>
      </c>
      <c r="B2054" s="7">
        <f>CONCATENATE(C2054,E2054,I2054)</f>
        <v/>
      </c>
      <c r="C2054" s="8" t="n">
        <v>900006543</v>
      </c>
      <c r="D2054" s="7">
        <f>IFERROR(VLOOKUP(C2054,TRAOPE!$G:$H,2,0),"")</f>
        <v/>
      </c>
      <c r="E2054" s="8" t="inlineStr">
        <is>
          <t>D836</t>
        </is>
      </c>
      <c r="F2054" s="8" t="inlineStr">
        <is>
          <t>67058164</t>
        </is>
      </c>
      <c r="G2054" s="8">
        <f>IFERROR(VLOOKUP(A2054,Flete!$A:$E,5,0),"")</f>
        <v/>
      </c>
      <c r="H2054" s="7">
        <f>IFERROR(VLOOKUP(F2054,TRAOPE!$AA:$AB,2,0),"")</f>
        <v/>
      </c>
      <c r="I2054" s="7" t="n">
        <v>10185476</v>
      </c>
      <c r="J2054" s="7">
        <f>IFERROR(VLOOKUP(I2054,Materiales!$A:$H,8,0),"")</f>
        <v/>
      </c>
      <c r="K2054" s="9">
        <f>IFERROR(VLOOKUP(I2054,Materiales!$A:$G,7,0),"")</f>
        <v/>
      </c>
      <c r="L2054" s="8" t="inlineStr">
        <is>
          <t>20190426</t>
        </is>
      </c>
      <c r="M2054" s="8" t="inlineStr">
        <is>
          <t>20250127</t>
        </is>
      </c>
      <c r="N2054" s="10" t="n">
        <v>115</v>
      </c>
      <c r="O2054" s="10">
        <f>IFERROR(VLOOKUP(A2054,Flete!$A:$J,10,0),"")</f>
        <v/>
      </c>
      <c r="P2054" s="8" t="inlineStr">
        <is>
          <t>M3</t>
        </is>
      </c>
      <c r="Q2054" s="10">
        <f>IFERROR(IFERROR(VLOOKUP(A2054,TRAOPE!$A:$U,21,0),VLOOKUP(B2054,TRAOPE!$A:$U,21,0)),"")</f>
        <v/>
      </c>
      <c r="R2054" s="8">
        <f>IFERROR(IFERROR(VLOOKUP(A2054,TRAOPE!$A:$W,23,0),VLOOKUP(B2054,TRAOPE!$A:$W,23,0)),"")</f>
        <v/>
      </c>
      <c r="S2054" s="10">
        <f>IF(AND(P2054="TN",R2054="TN"),N2054+N(O2054),IF(G2054&amp;""="1",N(K2054)*N2054,(N2054+N(O2054))*N(K2054)))</f>
        <v/>
      </c>
      <c r="T2054" s="10">
        <f>IF(Q2054="","",Q2054-S2054)</f>
        <v/>
      </c>
    </row>
    <row r="2055">
      <c r="A2055" s="7">
        <f>CONCATENATE(C2055,E2055,F2055,I2055)</f>
        <v/>
      </c>
      <c r="B2055" s="7">
        <f>CONCATENATE(C2055,E2055,I2055)</f>
        <v/>
      </c>
      <c r="C2055" s="8" t="n">
        <v>900006543</v>
      </c>
      <c r="D2055" s="7">
        <f>IFERROR(VLOOKUP(C2055,TRAOPE!$G:$H,2,0),"")</f>
        <v/>
      </c>
      <c r="E2055" s="8" t="inlineStr">
        <is>
          <t>D836</t>
        </is>
      </c>
      <c r="F2055" s="8" t="inlineStr">
        <is>
          <t>67058164</t>
        </is>
      </c>
      <c r="G2055" s="8">
        <f>IFERROR(VLOOKUP(A2055,Flete!$A:$E,5,0),"")</f>
        <v/>
      </c>
      <c r="H2055" s="7">
        <f>IFERROR(VLOOKUP(F2055,TRAOPE!$AA:$AB,2,0),"")</f>
        <v/>
      </c>
      <c r="I2055" s="7" t="n">
        <v>10215930</v>
      </c>
      <c r="J2055" s="7">
        <f>IFERROR(VLOOKUP(I2055,Materiales!$A:$H,8,0),"")</f>
        <v/>
      </c>
      <c r="K2055" s="9">
        <f>IFERROR(VLOOKUP(I2055,Materiales!$A:$G,7,0),"")</f>
        <v/>
      </c>
      <c r="L2055" s="8" t="inlineStr">
        <is>
          <t>20190426</t>
        </is>
      </c>
      <c r="M2055" s="8" t="inlineStr">
        <is>
          <t>20250127</t>
        </is>
      </c>
      <c r="N2055" s="10" t="n">
        <v>20</v>
      </c>
      <c r="O2055" s="10">
        <f>IFERROR(VLOOKUP(A2055,Flete!$A:$J,10,0),"")</f>
        <v/>
      </c>
      <c r="P2055" s="8" t="inlineStr">
        <is>
          <t>M3</t>
        </is>
      </c>
      <c r="Q2055" s="10">
        <f>IFERROR(IFERROR(VLOOKUP(A2055,TRAOPE!$A:$U,21,0),VLOOKUP(B2055,TRAOPE!$A:$U,21,0)),"")</f>
        <v/>
      </c>
      <c r="R2055" s="8">
        <f>IFERROR(IFERROR(VLOOKUP(A2055,TRAOPE!$A:$W,23,0),VLOOKUP(B2055,TRAOPE!$A:$W,23,0)),"")</f>
        <v/>
      </c>
      <c r="S2055" s="10">
        <f>IF(AND(P2055="TN",R2055="TN"),N2055+N(O2055),IF(G2055&amp;""="1",N(K2055)*N2055,(N2055+N(O2055))*N(K2055)))</f>
        <v/>
      </c>
      <c r="T2055" s="10">
        <f>IF(Q2055="","",Q2055-S2055)</f>
        <v/>
      </c>
    </row>
    <row r="2056">
      <c r="A2056" s="7">
        <f>CONCATENATE(C2056,E2056,F2056,I2056)</f>
        <v/>
      </c>
      <c r="B2056" s="7">
        <f>CONCATENATE(C2056,E2056,I2056)</f>
        <v/>
      </c>
      <c r="C2056" s="8" t="n">
        <v>900006543</v>
      </c>
      <c r="D2056" s="7">
        <f>IFERROR(VLOOKUP(C2056,TRAOPE!$G:$H,2,0),"")</f>
        <v/>
      </c>
      <c r="E2056" s="8" t="inlineStr">
        <is>
          <t>D836</t>
        </is>
      </c>
      <c r="F2056" s="8" t="inlineStr">
        <is>
          <t>67070498</t>
        </is>
      </c>
      <c r="G2056" s="8">
        <f>IFERROR(VLOOKUP(A2056,Flete!$A:$E,5,0),"")</f>
        <v/>
      </c>
      <c r="H2056" s="7">
        <f>IFERROR(VLOOKUP(F2056,TRAOPE!$AA:$AB,2,0),"")</f>
        <v/>
      </c>
      <c r="I2056" s="7" t="n">
        <v>10000627</v>
      </c>
      <c r="J2056" s="7">
        <f>IFERROR(VLOOKUP(I2056,Materiales!$A:$H,8,0),"")</f>
        <v/>
      </c>
      <c r="K2056" s="9">
        <f>IFERROR(VLOOKUP(I2056,Materiales!$A:$G,7,0),"")</f>
        <v/>
      </c>
      <c r="L2056" s="8" t="inlineStr">
        <is>
          <t>20190426</t>
        </is>
      </c>
      <c r="M2056" s="8" t="inlineStr">
        <is>
          <t>20250127</t>
        </is>
      </c>
      <c r="N2056" s="10" t="n">
        <v>120</v>
      </c>
      <c r="O2056" s="10">
        <f>IFERROR(VLOOKUP(A2056,Flete!$A:$J,10,0),"")</f>
        <v/>
      </c>
      <c r="P2056" s="8" t="inlineStr">
        <is>
          <t>M3</t>
        </is>
      </c>
      <c r="Q2056" s="10">
        <f>IFERROR(IFERROR(VLOOKUP(A2056,TRAOPE!$A:$U,21,0),VLOOKUP(B2056,TRAOPE!$A:$U,21,0)),"")</f>
        <v/>
      </c>
      <c r="R2056" s="8">
        <f>IFERROR(IFERROR(VLOOKUP(A2056,TRAOPE!$A:$W,23,0),VLOOKUP(B2056,TRAOPE!$A:$W,23,0)),"")</f>
        <v/>
      </c>
      <c r="S2056" s="10">
        <f>IF(AND(P2056="TN",R2056="TN"),N2056+N(O2056),IF(G2056&amp;""="1",N(K2056)*N2056,(N2056+N(O2056))*N(K2056)))</f>
        <v/>
      </c>
      <c r="T2056" s="10">
        <f>IF(Q2056="","",Q2056-S2056)</f>
        <v/>
      </c>
    </row>
    <row r="2057">
      <c r="A2057" s="7">
        <f>CONCATENATE(C2057,E2057,F2057,I2057)</f>
        <v/>
      </c>
      <c r="B2057" s="7">
        <f>CONCATENATE(C2057,E2057,I2057)</f>
        <v/>
      </c>
      <c r="C2057" s="8" t="n">
        <v>900006543</v>
      </c>
      <c r="D2057" s="7">
        <f>IFERROR(VLOOKUP(C2057,TRAOPE!$G:$H,2,0),"")</f>
        <v/>
      </c>
      <c r="E2057" s="8" t="inlineStr">
        <is>
          <t>D836</t>
        </is>
      </c>
      <c r="F2057" s="8" t="inlineStr">
        <is>
          <t>67070498</t>
        </is>
      </c>
      <c r="G2057" s="8">
        <f>IFERROR(VLOOKUP(A2057,Flete!$A:$E,5,0),"")</f>
        <v/>
      </c>
      <c r="H2057" s="7">
        <f>IFERROR(VLOOKUP(F2057,TRAOPE!$AA:$AB,2,0),"")</f>
        <v/>
      </c>
      <c r="I2057" s="7" t="n">
        <v>10185476</v>
      </c>
      <c r="J2057" s="7">
        <f>IFERROR(VLOOKUP(I2057,Materiales!$A:$H,8,0),"")</f>
        <v/>
      </c>
      <c r="K2057" s="9">
        <f>IFERROR(VLOOKUP(I2057,Materiales!$A:$G,7,0),"")</f>
        <v/>
      </c>
      <c r="L2057" s="8" t="inlineStr">
        <is>
          <t>20190426</t>
        </is>
      </c>
      <c r="M2057" s="8" t="inlineStr">
        <is>
          <t>20250127</t>
        </is>
      </c>
      <c r="N2057" s="10" t="n">
        <v>145</v>
      </c>
      <c r="O2057" s="10">
        <f>IFERROR(VLOOKUP(A2057,Flete!$A:$J,10,0),"")</f>
        <v/>
      </c>
      <c r="P2057" s="8" t="inlineStr">
        <is>
          <t>M3</t>
        </is>
      </c>
      <c r="Q2057" s="10">
        <f>IFERROR(IFERROR(VLOOKUP(A2057,TRAOPE!$A:$U,21,0),VLOOKUP(B2057,TRAOPE!$A:$U,21,0)),"")</f>
        <v/>
      </c>
      <c r="R2057" s="8">
        <f>IFERROR(IFERROR(VLOOKUP(A2057,TRAOPE!$A:$W,23,0),VLOOKUP(B2057,TRAOPE!$A:$W,23,0)),"")</f>
        <v/>
      </c>
      <c r="S2057" s="10">
        <f>IF(AND(P2057="TN",R2057="TN"),N2057+N(O2057),IF(G2057&amp;""="1",N(K2057)*N2057,(N2057+N(O2057))*N(K2057)))</f>
        <v/>
      </c>
      <c r="T2057" s="10">
        <f>IF(Q2057="","",Q2057-S2057)</f>
        <v/>
      </c>
    </row>
    <row r="2058">
      <c r="A2058" s="7">
        <f>CONCATENATE(C2058,E2058,F2058,I2058)</f>
        <v/>
      </c>
      <c r="B2058" s="7">
        <f>CONCATENATE(C2058,E2058,I2058)</f>
        <v/>
      </c>
      <c r="C2058" s="8" t="n">
        <v>900006543</v>
      </c>
      <c r="D2058" s="7">
        <f>IFERROR(VLOOKUP(C2058,TRAOPE!$G:$H,2,0),"")</f>
        <v/>
      </c>
      <c r="E2058" s="8" t="inlineStr">
        <is>
          <t>D836</t>
        </is>
      </c>
      <c r="F2058" s="8" t="inlineStr">
        <is>
          <t>67070498</t>
        </is>
      </c>
      <c r="G2058" s="8">
        <f>IFERROR(VLOOKUP(A2058,Flete!$A:$E,5,0),"")</f>
        <v/>
      </c>
      <c r="H2058" s="7">
        <f>IFERROR(VLOOKUP(F2058,TRAOPE!$AA:$AB,2,0),"")</f>
        <v/>
      </c>
      <c r="I2058" s="7" t="n">
        <v>10216851</v>
      </c>
      <c r="J2058" s="7">
        <f>IFERROR(VLOOKUP(I2058,Materiales!$A:$H,8,0),"")</f>
        <v/>
      </c>
      <c r="K2058" s="9">
        <f>IFERROR(VLOOKUP(I2058,Materiales!$A:$G,7,0),"")</f>
        <v/>
      </c>
      <c r="L2058" s="8" t="inlineStr">
        <is>
          <t>20190426</t>
        </is>
      </c>
      <c r="M2058" s="8" t="inlineStr">
        <is>
          <t>20250127</t>
        </is>
      </c>
      <c r="N2058" s="10" t="n">
        <v>30</v>
      </c>
      <c r="O2058" s="10">
        <f>IFERROR(VLOOKUP(A2058,Flete!$A:$J,10,0),"")</f>
        <v/>
      </c>
      <c r="P2058" s="8" t="inlineStr">
        <is>
          <t>M3</t>
        </is>
      </c>
      <c r="Q2058" s="10">
        <f>IFERROR(IFERROR(VLOOKUP(A2058,TRAOPE!$A:$U,21,0),VLOOKUP(B2058,TRAOPE!$A:$U,21,0)),"")</f>
        <v/>
      </c>
      <c r="R2058" s="8">
        <f>IFERROR(IFERROR(VLOOKUP(A2058,TRAOPE!$A:$W,23,0),VLOOKUP(B2058,TRAOPE!$A:$W,23,0)),"")</f>
        <v/>
      </c>
      <c r="S2058" s="10">
        <f>IF(AND(P2058="TN",R2058="TN"),N2058+N(O2058),IF(G2058&amp;""="1",N(K2058)*N2058,(N2058+N(O2058))*N(K2058)))</f>
        <v/>
      </c>
      <c r="T2058" s="10">
        <f>IF(Q2058="","",Q2058-S2058)</f>
        <v/>
      </c>
    </row>
    <row r="2059">
      <c r="A2059" s="7">
        <f>CONCATENATE(C2059,E2059,F2059,I2059)</f>
        <v/>
      </c>
      <c r="B2059" s="7">
        <f>CONCATENATE(C2059,E2059,I2059)</f>
        <v/>
      </c>
      <c r="C2059" s="8" t="n">
        <v>900006543</v>
      </c>
      <c r="D2059" s="7">
        <f>IFERROR(VLOOKUP(C2059,TRAOPE!$G:$H,2,0),"")</f>
        <v/>
      </c>
      <c r="E2059" s="8" t="inlineStr">
        <is>
          <t>D836</t>
        </is>
      </c>
      <c r="F2059" s="8" t="inlineStr">
        <is>
          <t>67073801</t>
        </is>
      </c>
      <c r="G2059" s="8">
        <f>IFERROR(VLOOKUP(A2059,Flete!$A:$E,5,0),"")</f>
        <v/>
      </c>
      <c r="H2059" s="7">
        <f>IFERROR(VLOOKUP(F2059,TRAOPE!$AA:$AB,2,0),"")</f>
        <v/>
      </c>
      <c r="I2059" s="7" t="n">
        <v>10185476</v>
      </c>
      <c r="J2059" s="7">
        <f>IFERROR(VLOOKUP(I2059,Materiales!$A:$H,8,0),"")</f>
        <v/>
      </c>
      <c r="K2059" s="9">
        <f>IFERROR(VLOOKUP(I2059,Materiales!$A:$G,7,0),"")</f>
        <v/>
      </c>
      <c r="L2059" s="8" t="inlineStr">
        <is>
          <t>20190426</t>
        </is>
      </c>
      <c r="M2059" s="8" t="inlineStr">
        <is>
          <t>20250127</t>
        </is>
      </c>
      <c r="N2059" s="10" t="n">
        <v>115</v>
      </c>
      <c r="O2059" s="10">
        <f>IFERROR(VLOOKUP(A2059,Flete!$A:$J,10,0),"")</f>
        <v/>
      </c>
      <c r="P2059" s="8" t="inlineStr">
        <is>
          <t>M3</t>
        </is>
      </c>
      <c r="Q2059" s="10">
        <f>IFERROR(IFERROR(VLOOKUP(A2059,TRAOPE!$A:$U,21,0),VLOOKUP(B2059,TRAOPE!$A:$U,21,0)),"")</f>
        <v/>
      </c>
      <c r="R2059" s="8">
        <f>IFERROR(IFERROR(VLOOKUP(A2059,TRAOPE!$A:$W,23,0),VLOOKUP(B2059,TRAOPE!$A:$W,23,0)),"")</f>
        <v/>
      </c>
      <c r="S2059" s="10">
        <f>IF(AND(P2059="TN",R2059="TN"),N2059+N(O2059),IF(G2059&amp;""="1",N(K2059)*N2059,(N2059+N(O2059))*N(K2059)))</f>
        <v/>
      </c>
      <c r="T2059" s="10">
        <f>IF(Q2059="","",Q2059-S2059)</f>
        <v/>
      </c>
    </row>
    <row r="2060">
      <c r="A2060" s="7">
        <f>CONCATENATE(C2060,E2060,F2060,I2060)</f>
        <v/>
      </c>
      <c r="B2060" s="7">
        <f>CONCATENATE(C2060,E2060,I2060)</f>
        <v/>
      </c>
      <c r="C2060" s="8" t="n">
        <v>900006543</v>
      </c>
      <c r="D2060" s="7">
        <f>IFERROR(VLOOKUP(C2060,TRAOPE!$G:$H,2,0),"")</f>
        <v/>
      </c>
      <c r="E2060" s="8" t="inlineStr">
        <is>
          <t>D836</t>
        </is>
      </c>
      <c r="F2060" s="8" t="inlineStr">
        <is>
          <t>67073801</t>
        </is>
      </c>
      <c r="G2060" s="8">
        <f>IFERROR(VLOOKUP(A2060,Flete!$A:$E,5,0),"")</f>
        <v/>
      </c>
      <c r="H2060" s="7">
        <f>IFERROR(VLOOKUP(F2060,TRAOPE!$AA:$AB,2,0),"")</f>
        <v/>
      </c>
      <c r="I2060" s="7" t="n">
        <v>10185477</v>
      </c>
      <c r="J2060" s="7">
        <f>IFERROR(VLOOKUP(I2060,Materiales!$A:$H,8,0),"")</f>
        <v/>
      </c>
      <c r="K2060" s="9">
        <f>IFERROR(VLOOKUP(I2060,Materiales!$A:$G,7,0),"")</f>
        <v/>
      </c>
      <c r="L2060" s="8" t="inlineStr">
        <is>
          <t>20190426</t>
        </is>
      </c>
      <c r="M2060" s="8" t="inlineStr">
        <is>
          <t>20250127</t>
        </is>
      </c>
      <c r="N2060" s="10" t="n">
        <v>125</v>
      </c>
      <c r="O2060" s="10">
        <f>IFERROR(VLOOKUP(A2060,Flete!$A:$J,10,0),"")</f>
        <v/>
      </c>
      <c r="P2060" s="8" t="inlineStr">
        <is>
          <t>M3</t>
        </is>
      </c>
      <c r="Q2060" s="10">
        <f>IFERROR(IFERROR(VLOOKUP(A2060,TRAOPE!$A:$U,21,0),VLOOKUP(B2060,TRAOPE!$A:$U,21,0)),"")</f>
        <v/>
      </c>
      <c r="R2060" s="8">
        <f>IFERROR(IFERROR(VLOOKUP(A2060,TRAOPE!$A:$W,23,0),VLOOKUP(B2060,TRAOPE!$A:$W,23,0)),"")</f>
        <v/>
      </c>
      <c r="S2060" s="10">
        <f>IF(AND(P2060="TN",R2060="TN"),N2060+N(O2060),IF(G2060&amp;""="1",N(K2060)*N2060,(N2060+N(O2060))*N(K2060)))</f>
        <v/>
      </c>
      <c r="T2060" s="10">
        <f>IF(Q2060="","",Q2060-S2060)</f>
        <v/>
      </c>
    </row>
    <row r="2061">
      <c r="A2061" s="7">
        <f>CONCATENATE(C2061,E2061,F2061,I2061)</f>
        <v/>
      </c>
      <c r="B2061" s="7">
        <f>CONCATENATE(C2061,E2061,I2061)</f>
        <v/>
      </c>
      <c r="C2061" s="8" t="n">
        <v>900006543</v>
      </c>
      <c r="D2061" s="7">
        <f>IFERROR(VLOOKUP(C2061,TRAOPE!$G:$H,2,0),"")</f>
        <v/>
      </c>
      <c r="E2061" s="8" t="inlineStr">
        <is>
          <t>D836</t>
        </is>
      </c>
      <c r="F2061" s="8" t="inlineStr">
        <is>
          <t>67089397</t>
        </is>
      </c>
      <c r="G2061" s="8">
        <f>IFERROR(VLOOKUP(A2061,Flete!$A:$E,5,0),"")</f>
        <v/>
      </c>
      <c r="H2061" s="7">
        <f>IFERROR(VLOOKUP(F2061,TRAOPE!$AA:$AB,2,0),"")</f>
        <v/>
      </c>
      <c r="I2061" s="7" t="n">
        <v>10185476</v>
      </c>
      <c r="J2061" s="7">
        <f>IFERROR(VLOOKUP(I2061,Materiales!$A:$H,8,0),"")</f>
        <v/>
      </c>
      <c r="K2061" s="9">
        <f>IFERROR(VLOOKUP(I2061,Materiales!$A:$G,7,0),"")</f>
        <v/>
      </c>
      <c r="L2061" s="8" t="inlineStr">
        <is>
          <t>20190426</t>
        </is>
      </c>
      <c r="M2061" s="8" t="inlineStr">
        <is>
          <t>20250127</t>
        </is>
      </c>
      <c r="N2061" s="10" t="n">
        <v>115</v>
      </c>
      <c r="O2061" s="10">
        <f>IFERROR(VLOOKUP(A2061,Flete!$A:$J,10,0),"")</f>
        <v/>
      </c>
      <c r="P2061" s="8" t="inlineStr">
        <is>
          <t>M3</t>
        </is>
      </c>
      <c r="Q2061" s="10">
        <f>IFERROR(IFERROR(VLOOKUP(A2061,TRAOPE!$A:$U,21,0),VLOOKUP(B2061,TRAOPE!$A:$U,21,0)),"")</f>
        <v/>
      </c>
      <c r="R2061" s="8">
        <f>IFERROR(IFERROR(VLOOKUP(A2061,TRAOPE!$A:$W,23,0),VLOOKUP(B2061,TRAOPE!$A:$W,23,0)),"")</f>
        <v/>
      </c>
      <c r="S2061" s="10">
        <f>IF(AND(P2061="TN",R2061="TN"),N2061+N(O2061),IF(G2061&amp;""="1",N(K2061)*N2061,(N2061+N(O2061))*N(K2061)))</f>
        <v/>
      </c>
      <c r="T2061" s="10">
        <f>IF(Q2061="","",Q2061-S2061)</f>
        <v/>
      </c>
    </row>
    <row r="2062">
      <c r="A2062" s="7">
        <f>CONCATENATE(C2062,E2062,F2062,I2062)</f>
        <v/>
      </c>
      <c r="B2062" s="7">
        <f>CONCATENATE(C2062,E2062,I2062)</f>
        <v/>
      </c>
      <c r="C2062" s="8" t="n">
        <v>900006543</v>
      </c>
      <c r="D2062" s="7">
        <f>IFERROR(VLOOKUP(C2062,TRAOPE!$G:$H,2,0),"")</f>
        <v/>
      </c>
      <c r="E2062" s="8" t="inlineStr">
        <is>
          <t>D836</t>
        </is>
      </c>
      <c r="F2062" s="8" t="inlineStr">
        <is>
          <t>67089397</t>
        </is>
      </c>
      <c r="G2062" s="8">
        <f>IFERROR(VLOOKUP(A2062,Flete!$A:$E,5,0),"")</f>
        <v/>
      </c>
      <c r="H2062" s="7">
        <f>IFERROR(VLOOKUP(F2062,TRAOPE!$AA:$AB,2,0),"")</f>
        <v/>
      </c>
      <c r="I2062" s="7" t="n">
        <v>10185477</v>
      </c>
      <c r="J2062" s="7">
        <f>IFERROR(VLOOKUP(I2062,Materiales!$A:$H,8,0),"")</f>
        <v/>
      </c>
      <c r="K2062" s="9">
        <f>IFERROR(VLOOKUP(I2062,Materiales!$A:$G,7,0),"")</f>
        <v/>
      </c>
      <c r="L2062" s="8" t="inlineStr">
        <is>
          <t>20190426</t>
        </is>
      </c>
      <c r="M2062" s="8" t="inlineStr">
        <is>
          <t>20250127</t>
        </is>
      </c>
      <c r="N2062" s="10" t="n">
        <v>125</v>
      </c>
      <c r="O2062" s="10">
        <f>IFERROR(VLOOKUP(A2062,Flete!$A:$J,10,0),"")</f>
        <v/>
      </c>
      <c r="P2062" s="8" t="inlineStr">
        <is>
          <t>M3</t>
        </is>
      </c>
      <c r="Q2062" s="10">
        <f>IFERROR(IFERROR(VLOOKUP(A2062,TRAOPE!$A:$U,21,0),VLOOKUP(B2062,TRAOPE!$A:$U,21,0)),"")</f>
        <v/>
      </c>
      <c r="R2062" s="8">
        <f>IFERROR(IFERROR(VLOOKUP(A2062,TRAOPE!$A:$W,23,0),VLOOKUP(B2062,TRAOPE!$A:$W,23,0)),"")</f>
        <v/>
      </c>
      <c r="S2062" s="10">
        <f>IF(AND(P2062="TN",R2062="TN"),N2062+N(O2062),IF(G2062&amp;""="1",N(K2062)*N2062,(N2062+N(O2062))*N(K2062)))</f>
        <v/>
      </c>
      <c r="T2062" s="10">
        <f>IF(Q2062="","",Q2062-S2062)</f>
        <v/>
      </c>
    </row>
    <row r="2063">
      <c r="A2063" s="7">
        <f>CONCATENATE(C2063,E2063,F2063,I2063)</f>
        <v/>
      </c>
      <c r="B2063" s="7">
        <f>CONCATENATE(C2063,E2063,I2063)</f>
        <v/>
      </c>
      <c r="C2063" s="8" t="n">
        <v>900006543</v>
      </c>
      <c r="D2063" s="7">
        <f>IFERROR(VLOOKUP(C2063,TRAOPE!$G:$H,2,0),"")</f>
        <v/>
      </c>
      <c r="E2063" s="8" t="inlineStr">
        <is>
          <t>D836</t>
        </is>
      </c>
      <c r="F2063" s="8" t="inlineStr">
        <is>
          <t>67155199</t>
        </is>
      </c>
      <c r="G2063" s="8">
        <f>IFERROR(VLOOKUP(A2063,Flete!$A:$E,5,0),"")</f>
        <v/>
      </c>
      <c r="H2063" s="7">
        <f>IFERROR(VLOOKUP(F2063,TRAOPE!$AA:$AB,2,0),"")</f>
        <v/>
      </c>
      <c r="I2063" s="7" t="n">
        <v>10216851</v>
      </c>
      <c r="J2063" s="7">
        <f>IFERROR(VLOOKUP(I2063,Materiales!$A:$H,8,0),"")</f>
        <v/>
      </c>
      <c r="K2063" s="9">
        <f>IFERROR(VLOOKUP(I2063,Materiales!$A:$G,7,0),"")</f>
        <v/>
      </c>
      <c r="L2063" s="8" t="inlineStr">
        <is>
          <t>20190426</t>
        </is>
      </c>
      <c r="M2063" s="8" t="inlineStr">
        <is>
          <t>20250127</t>
        </is>
      </c>
      <c r="N2063" s="10" t="n">
        <v>20</v>
      </c>
      <c r="O2063" s="10">
        <f>IFERROR(VLOOKUP(A2063,Flete!$A:$J,10,0),"")</f>
        <v/>
      </c>
      <c r="P2063" s="8" t="inlineStr">
        <is>
          <t>M3</t>
        </is>
      </c>
      <c r="Q2063" s="10">
        <f>IFERROR(IFERROR(VLOOKUP(A2063,TRAOPE!$A:$U,21,0),VLOOKUP(B2063,TRAOPE!$A:$U,21,0)),"")</f>
        <v/>
      </c>
      <c r="R2063" s="8">
        <f>IFERROR(IFERROR(VLOOKUP(A2063,TRAOPE!$A:$W,23,0),VLOOKUP(B2063,TRAOPE!$A:$W,23,0)),"")</f>
        <v/>
      </c>
      <c r="S2063" s="10">
        <f>IF(AND(P2063="TN",R2063="TN"),N2063+N(O2063),IF(G2063&amp;""="1",N(K2063)*N2063,(N2063+N(O2063))*N(K2063)))</f>
        <v/>
      </c>
      <c r="T2063" s="10">
        <f>IF(Q2063="","",Q2063-S2063)</f>
        <v/>
      </c>
    </row>
    <row r="2064">
      <c r="A2064" s="7">
        <f>CONCATENATE(C2064,E2064,F2064,I2064)</f>
        <v/>
      </c>
      <c r="B2064" s="7">
        <f>CONCATENATE(C2064,E2064,I2064)</f>
        <v/>
      </c>
      <c r="C2064" s="8" t="n">
        <v>900006551</v>
      </c>
      <c r="D2064" s="7">
        <f>IFERROR(VLOOKUP(C2064,TRAOPE!$G:$H,2,0),"")</f>
        <v/>
      </c>
      <c r="E2064" s="8" t="inlineStr">
        <is>
          <t>D836</t>
        </is>
      </c>
      <c r="F2064" s="8" t="inlineStr">
        <is>
          <t>66605859</t>
        </is>
      </c>
      <c r="G2064" s="8">
        <f>IFERROR(VLOOKUP(A2064,Flete!$A:$E,5,0),"")</f>
        <v/>
      </c>
      <c r="H2064" s="7">
        <f>IFERROR(VLOOKUP(F2064,TRAOPE!$AA:$AB,2,0),"")</f>
        <v/>
      </c>
      <c r="I2064" s="7" t="n">
        <v>10195952</v>
      </c>
      <c r="J2064" s="7">
        <f>IFERROR(VLOOKUP(I2064,Materiales!$A:$H,8,0),"")</f>
        <v/>
      </c>
      <c r="K2064" s="9">
        <f>IFERROR(VLOOKUP(I2064,Materiales!$A:$G,7,0),"")</f>
        <v/>
      </c>
      <c r="L2064" s="8" t="inlineStr">
        <is>
          <t>20190426</t>
        </is>
      </c>
      <c r="M2064" s="8" t="inlineStr">
        <is>
          <t>20250127</t>
        </is>
      </c>
      <c r="N2064" s="10" t="n">
        <v>312</v>
      </c>
      <c r="O2064" s="10">
        <f>IFERROR(VLOOKUP(A2064,Flete!$A:$J,10,0),"")</f>
        <v/>
      </c>
      <c r="P2064" s="8" t="inlineStr">
        <is>
          <t>M3</t>
        </is>
      </c>
      <c r="Q2064" s="10">
        <f>IFERROR(IFERROR(VLOOKUP(A2064,TRAOPE!$A:$U,21,0),VLOOKUP(B2064,TRAOPE!$A:$U,21,0)),"")</f>
        <v/>
      </c>
      <c r="R2064" s="8">
        <f>IFERROR(IFERROR(VLOOKUP(A2064,TRAOPE!$A:$W,23,0),VLOOKUP(B2064,TRAOPE!$A:$W,23,0)),"")</f>
        <v/>
      </c>
      <c r="S2064" s="10">
        <f>IF(AND(P2064="TN",R2064="TN"),N2064+N(O2064),IF(G2064&amp;""="1",N(K2064)*N2064,(N2064+N(O2064))*N(K2064)))</f>
        <v/>
      </c>
      <c r="T2064" s="10">
        <f>IF(Q2064="","",Q2064-S2064)</f>
        <v/>
      </c>
    </row>
    <row r="2065">
      <c r="A2065" s="7">
        <f>CONCATENATE(C2065,E2065,F2065,I2065)</f>
        <v/>
      </c>
      <c r="B2065" s="7">
        <f>CONCATENATE(C2065,E2065,I2065)</f>
        <v/>
      </c>
      <c r="C2065" s="8" t="n">
        <v>900006551</v>
      </c>
      <c r="D2065" s="7">
        <f>IFERROR(VLOOKUP(C2065,TRAOPE!$G:$H,2,0),"")</f>
        <v/>
      </c>
      <c r="E2065" s="8" t="inlineStr">
        <is>
          <t>D836</t>
        </is>
      </c>
      <c r="F2065" s="8" t="inlineStr">
        <is>
          <t>66605859</t>
        </is>
      </c>
      <c r="G2065" s="8">
        <f>IFERROR(VLOOKUP(A2065,Flete!$A:$E,5,0),"")</f>
        <v/>
      </c>
      <c r="H2065" s="7">
        <f>IFERROR(VLOOKUP(F2065,TRAOPE!$AA:$AB,2,0),"")</f>
        <v/>
      </c>
      <c r="I2065" s="7" t="n">
        <v>10196021</v>
      </c>
      <c r="J2065" s="7">
        <f>IFERROR(VLOOKUP(I2065,Materiales!$A:$H,8,0),"")</f>
        <v/>
      </c>
      <c r="K2065" s="9">
        <f>IFERROR(VLOOKUP(I2065,Materiales!$A:$G,7,0),"")</f>
        <v/>
      </c>
      <c r="L2065" s="8" t="inlineStr">
        <is>
          <t>20190426</t>
        </is>
      </c>
      <c r="M2065" s="8" t="inlineStr">
        <is>
          <t>20250127</t>
        </is>
      </c>
      <c r="N2065" s="10" t="n">
        <v>455</v>
      </c>
      <c r="O2065" s="10">
        <f>IFERROR(VLOOKUP(A2065,Flete!$A:$J,10,0),"")</f>
        <v/>
      </c>
      <c r="P2065" s="8" t="inlineStr">
        <is>
          <t>M3</t>
        </is>
      </c>
      <c r="Q2065" s="10">
        <f>IFERROR(IFERROR(VLOOKUP(A2065,TRAOPE!$A:$U,21,0),VLOOKUP(B2065,TRAOPE!$A:$U,21,0)),"")</f>
        <v/>
      </c>
      <c r="R2065" s="8">
        <f>IFERROR(IFERROR(VLOOKUP(A2065,TRAOPE!$A:$W,23,0),VLOOKUP(B2065,TRAOPE!$A:$W,23,0)),"")</f>
        <v/>
      </c>
      <c r="S2065" s="10">
        <f>IF(AND(P2065="TN",R2065="TN"),N2065+N(O2065),IF(G2065&amp;""="1",N(K2065)*N2065,(N2065+N(O2065))*N(K2065)))</f>
        <v/>
      </c>
      <c r="T2065" s="10">
        <f>IF(Q2065="","",Q2065-S2065)</f>
        <v/>
      </c>
    </row>
    <row r="2066">
      <c r="A2066" s="7">
        <f>CONCATENATE(C2066,E2066,F2066,I2066)</f>
        <v/>
      </c>
      <c r="B2066" s="7">
        <f>CONCATENATE(C2066,E2066,I2066)</f>
        <v/>
      </c>
      <c r="C2066" s="8" t="n">
        <v>900006581</v>
      </c>
      <c r="D2066" s="7">
        <f>IFERROR(VLOOKUP(C2066,TRAOPE!$G:$H,2,0),"")</f>
        <v/>
      </c>
      <c r="E2066" s="8" t="inlineStr">
        <is>
          <t>D836</t>
        </is>
      </c>
      <c r="F2066" s="8" t="inlineStr">
        <is>
          <t>66624663</t>
        </is>
      </c>
      <c r="G2066" s="8">
        <f>IFERROR(VLOOKUP(A2066,Flete!$A:$E,5,0),"")</f>
        <v/>
      </c>
      <c r="H2066" s="7">
        <f>IFERROR(VLOOKUP(F2066,TRAOPE!$AA:$AB,2,0),"")</f>
        <v/>
      </c>
      <c r="I2066" s="7" t="n">
        <v>10146897</v>
      </c>
      <c r="J2066" s="7">
        <f>IFERROR(VLOOKUP(I2066,Materiales!$A:$H,8,0),"")</f>
        <v/>
      </c>
      <c r="K2066" s="9">
        <f>IFERROR(VLOOKUP(I2066,Materiales!$A:$G,7,0),"")</f>
        <v/>
      </c>
      <c r="L2066" s="8" t="inlineStr">
        <is>
          <t>20190426</t>
        </is>
      </c>
      <c r="M2066" s="8" t="inlineStr">
        <is>
          <t>20250127</t>
        </is>
      </c>
      <c r="N2066" s="10" t="n">
        <v>105</v>
      </c>
      <c r="O2066" s="10">
        <f>IFERROR(VLOOKUP(A2066,Flete!$A:$J,10,0),"")</f>
        <v/>
      </c>
      <c r="P2066" s="8" t="inlineStr">
        <is>
          <t>M3</t>
        </is>
      </c>
      <c r="Q2066" s="10">
        <f>IFERROR(IFERROR(VLOOKUP(A2066,TRAOPE!$A:$U,21,0),VLOOKUP(B2066,TRAOPE!$A:$U,21,0)),"")</f>
        <v/>
      </c>
      <c r="R2066" s="8">
        <f>IFERROR(IFERROR(VLOOKUP(A2066,TRAOPE!$A:$W,23,0),VLOOKUP(B2066,TRAOPE!$A:$W,23,0)),"")</f>
        <v/>
      </c>
      <c r="S2066" s="10">
        <f>IF(AND(P2066="TN",R2066="TN"),N2066+N(O2066),IF(G2066&amp;""="1",N(K2066)*N2066,(N2066+N(O2066))*N(K2066)))</f>
        <v/>
      </c>
      <c r="T2066" s="10">
        <f>IF(Q2066="","",Q2066-S2066)</f>
        <v/>
      </c>
    </row>
    <row r="2067">
      <c r="A2067" s="7">
        <f>CONCATENATE(C2067,E2067,F2067,I2067)</f>
        <v/>
      </c>
      <c r="B2067" s="7">
        <f>CONCATENATE(C2067,E2067,I2067)</f>
        <v/>
      </c>
      <c r="C2067" s="8" t="n">
        <v>900006824</v>
      </c>
      <c r="D2067" s="7">
        <f>IFERROR(VLOOKUP(C2067,TRAOPE!$G:$H,2,0),"")</f>
        <v/>
      </c>
      <c r="E2067" s="8" t="inlineStr">
        <is>
          <t>D836</t>
        </is>
      </c>
      <c r="F2067" s="8" t="inlineStr">
        <is>
          <t>65003945</t>
        </is>
      </c>
      <c r="G2067" s="8">
        <f>IFERROR(VLOOKUP(A2067,Flete!$A:$E,5,0),"")</f>
        <v/>
      </c>
      <c r="H2067" s="7">
        <f>IFERROR(VLOOKUP(F2067,TRAOPE!$AA:$AB,2,0),"")</f>
        <v/>
      </c>
      <c r="I2067" s="7" t="n">
        <v>10192943</v>
      </c>
      <c r="J2067" s="7">
        <f>IFERROR(VLOOKUP(I2067,Materiales!$A:$H,8,0),"")</f>
        <v/>
      </c>
      <c r="K2067" s="9">
        <f>IFERROR(VLOOKUP(I2067,Materiales!$A:$G,7,0),"")</f>
        <v/>
      </c>
      <c r="L2067" s="8" t="inlineStr">
        <is>
          <t>20190426</t>
        </is>
      </c>
      <c r="M2067" s="8" t="inlineStr">
        <is>
          <t>20250127</t>
        </is>
      </c>
      <c r="N2067" s="10" t="n">
        <v>215</v>
      </c>
      <c r="O2067" s="10">
        <f>IFERROR(VLOOKUP(A2067,Flete!$A:$J,10,0),"")</f>
        <v/>
      </c>
      <c r="P2067" s="8" t="inlineStr">
        <is>
          <t>M3</t>
        </is>
      </c>
      <c r="Q2067" s="10">
        <f>IFERROR(IFERROR(VLOOKUP(A2067,TRAOPE!$A:$U,21,0),VLOOKUP(B2067,TRAOPE!$A:$U,21,0)),"")</f>
        <v/>
      </c>
      <c r="R2067" s="8">
        <f>IFERROR(IFERROR(VLOOKUP(A2067,TRAOPE!$A:$W,23,0),VLOOKUP(B2067,TRAOPE!$A:$W,23,0)),"")</f>
        <v/>
      </c>
      <c r="S2067" s="10">
        <f>IF(AND(P2067="TN",R2067="TN"),N2067+N(O2067),IF(G2067&amp;""="1",N(K2067)*N2067,(N2067+N(O2067))*N(K2067)))</f>
        <v/>
      </c>
      <c r="T2067" s="10">
        <f>IF(Q2067="","",Q2067-S2067)</f>
        <v/>
      </c>
    </row>
    <row r="2068">
      <c r="A2068" s="7">
        <f>CONCATENATE(C2068,E2068,F2068,I2068)</f>
        <v/>
      </c>
      <c r="B2068" s="7">
        <f>CONCATENATE(C2068,E2068,I2068)</f>
        <v/>
      </c>
      <c r="C2068" s="8" t="n">
        <v>900006824</v>
      </c>
      <c r="D2068" s="7">
        <f>IFERROR(VLOOKUP(C2068,TRAOPE!$G:$H,2,0),"")</f>
        <v/>
      </c>
      <c r="E2068" s="8" t="inlineStr">
        <is>
          <t>D836</t>
        </is>
      </c>
      <c r="F2068" s="8" t="inlineStr">
        <is>
          <t>65003945</t>
        </is>
      </c>
      <c r="G2068" s="8">
        <f>IFERROR(VLOOKUP(A2068,Flete!$A:$E,5,0),"")</f>
        <v/>
      </c>
      <c r="H2068" s="7">
        <f>IFERROR(VLOOKUP(F2068,TRAOPE!$AA:$AB,2,0),"")</f>
        <v/>
      </c>
      <c r="I2068" s="7" t="n">
        <v>10192944</v>
      </c>
      <c r="J2068" s="7">
        <f>IFERROR(VLOOKUP(I2068,Materiales!$A:$H,8,0),"")</f>
        <v/>
      </c>
      <c r="K2068" s="9">
        <f>IFERROR(VLOOKUP(I2068,Materiales!$A:$G,7,0),"")</f>
        <v/>
      </c>
      <c r="L2068" s="8" t="inlineStr">
        <is>
          <t>20190426</t>
        </is>
      </c>
      <c r="M2068" s="8" t="inlineStr">
        <is>
          <t>20250127</t>
        </is>
      </c>
      <c r="N2068" s="10" t="n">
        <v>190</v>
      </c>
      <c r="O2068" s="10">
        <f>IFERROR(VLOOKUP(A2068,Flete!$A:$J,10,0),"")</f>
        <v/>
      </c>
      <c r="P2068" s="8" t="inlineStr">
        <is>
          <t>M3</t>
        </is>
      </c>
      <c r="Q2068" s="10">
        <f>IFERROR(IFERROR(VLOOKUP(A2068,TRAOPE!$A:$U,21,0),VLOOKUP(B2068,TRAOPE!$A:$U,21,0)),"")</f>
        <v/>
      </c>
      <c r="R2068" s="8">
        <f>IFERROR(IFERROR(VLOOKUP(A2068,TRAOPE!$A:$W,23,0),VLOOKUP(B2068,TRAOPE!$A:$W,23,0)),"")</f>
        <v/>
      </c>
      <c r="S2068" s="10">
        <f>IF(AND(P2068="TN",R2068="TN"),N2068+N(O2068),IF(G2068&amp;""="1",N(K2068)*N2068,(N2068+N(O2068))*N(K2068)))</f>
        <v/>
      </c>
      <c r="T2068" s="10">
        <f>IF(Q2068="","",Q2068-S2068)</f>
        <v/>
      </c>
    </row>
    <row r="2069">
      <c r="A2069" s="7">
        <f>CONCATENATE(C2069,E2069,F2069,I2069)</f>
        <v/>
      </c>
      <c r="B2069" s="7">
        <f>CONCATENATE(C2069,E2069,I2069)</f>
        <v/>
      </c>
      <c r="C2069" s="8" t="n">
        <v>900006824</v>
      </c>
      <c r="D2069" s="7">
        <f>IFERROR(VLOOKUP(C2069,TRAOPE!$G:$H,2,0),"")</f>
        <v/>
      </c>
      <c r="E2069" s="8" t="inlineStr">
        <is>
          <t>D836</t>
        </is>
      </c>
      <c r="F2069" s="8" t="inlineStr">
        <is>
          <t>66490960</t>
        </is>
      </c>
      <c r="G2069" s="8">
        <f>IFERROR(VLOOKUP(A2069,Flete!$A:$E,5,0),"")</f>
        <v/>
      </c>
      <c r="H2069" s="7">
        <f>IFERROR(VLOOKUP(F2069,TRAOPE!$AA:$AB,2,0),"")</f>
        <v/>
      </c>
      <c r="I2069" s="7" t="n">
        <v>10000623</v>
      </c>
      <c r="J2069" s="7">
        <f>IFERROR(VLOOKUP(I2069,Materiales!$A:$H,8,0),"")</f>
        <v/>
      </c>
      <c r="K2069" s="9">
        <f>IFERROR(VLOOKUP(I2069,Materiales!$A:$G,7,0),"")</f>
        <v/>
      </c>
      <c r="L2069" s="8" t="inlineStr">
        <is>
          <t>20190426</t>
        </is>
      </c>
      <c r="M2069" s="8" t="inlineStr">
        <is>
          <t>20250127</t>
        </is>
      </c>
      <c r="N2069" s="10" t="n">
        <v>130</v>
      </c>
      <c r="O2069" s="10">
        <f>IFERROR(VLOOKUP(A2069,Flete!$A:$J,10,0),"")</f>
        <v/>
      </c>
      <c r="P2069" s="8" t="inlineStr">
        <is>
          <t>M3</t>
        </is>
      </c>
      <c r="Q2069" s="10">
        <f>IFERROR(IFERROR(VLOOKUP(A2069,TRAOPE!$A:$U,21,0),VLOOKUP(B2069,TRAOPE!$A:$U,21,0)),"")</f>
        <v/>
      </c>
      <c r="R2069" s="8">
        <f>IFERROR(IFERROR(VLOOKUP(A2069,TRAOPE!$A:$W,23,0),VLOOKUP(B2069,TRAOPE!$A:$W,23,0)),"")</f>
        <v/>
      </c>
      <c r="S2069" s="10">
        <f>IF(AND(P2069="TN",R2069="TN"),N2069+N(O2069),IF(G2069&amp;""="1",N(K2069)*N2069,(N2069+N(O2069))*N(K2069)))</f>
        <v/>
      </c>
      <c r="T2069" s="10">
        <f>IF(Q2069="","",Q2069-S2069)</f>
        <v/>
      </c>
    </row>
    <row r="2070">
      <c r="A2070" s="7">
        <f>CONCATENATE(C2070,E2070,F2070,I2070)</f>
        <v/>
      </c>
      <c r="B2070" s="7">
        <f>CONCATENATE(C2070,E2070,I2070)</f>
        <v/>
      </c>
      <c r="C2070" s="8" t="n">
        <v>900006824</v>
      </c>
      <c r="D2070" s="7">
        <f>IFERROR(VLOOKUP(C2070,TRAOPE!$G:$H,2,0),"")</f>
        <v/>
      </c>
      <c r="E2070" s="8" t="inlineStr">
        <is>
          <t>D836</t>
        </is>
      </c>
      <c r="F2070" s="8" t="inlineStr">
        <is>
          <t>66874616</t>
        </is>
      </c>
      <c r="G2070" s="8">
        <f>IFERROR(VLOOKUP(A2070,Flete!$A:$E,5,0),"")</f>
        <v/>
      </c>
      <c r="H2070" s="7">
        <f>IFERROR(VLOOKUP(F2070,TRAOPE!$AA:$AB,2,0),"")</f>
        <v/>
      </c>
      <c r="I2070" s="7" t="n">
        <v>10215377</v>
      </c>
      <c r="J2070" s="7">
        <f>IFERROR(VLOOKUP(I2070,Materiales!$A:$H,8,0),"")</f>
        <v/>
      </c>
      <c r="K2070" s="9">
        <f>IFERROR(VLOOKUP(I2070,Materiales!$A:$G,7,0),"")</f>
        <v/>
      </c>
      <c r="L2070" s="8" t="inlineStr">
        <is>
          <t>20190426</t>
        </is>
      </c>
      <c r="M2070" s="8" t="inlineStr">
        <is>
          <t>20250127</t>
        </is>
      </c>
      <c r="N2070" s="10" t="n">
        <v>124</v>
      </c>
      <c r="O2070" s="10">
        <f>IFERROR(VLOOKUP(A2070,Flete!$A:$J,10,0),"")</f>
        <v/>
      </c>
      <c r="P2070" s="8" t="inlineStr">
        <is>
          <t>M3</t>
        </is>
      </c>
      <c r="Q2070" s="10">
        <f>IFERROR(IFERROR(VLOOKUP(A2070,TRAOPE!$A:$U,21,0),VLOOKUP(B2070,TRAOPE!$A:$U,21,0)),"")</f>
        <v/>
      </c>
      <c r="R2070" s="8">
        <f>IFERROR(IFERROR(VLOOKUP(A2070,TRAOPE!$A:$W,23,0),VLOOKUP(B2070,TRAOPE!$A:$W,23,0)),"")</f>
        <v/>
      </c>
      <c r="S2070" s="10">
        <f>IF(AND(P2070="TN",R2070="TN"),N2070+N(O2070),IF(G2070&amp;""="1",N(K2070)*N2070,(N2070+N(O2070))*N(K2070)))</f>
        <v/>
      </c>
      <c r="T2070" s="10">
        <f>IF(Q2070="","",Q2070-S2070)</f>
        <v/>
      </c>
    </row>
    <row r="2071">
      <c r="A2071" s="7">
        <f>CONCATENATE(C2071,E2071,F2071,I2071)</f>
        <v/>
      </c>
      <c r="B2071" s="7">
        <f>CONCATENATE(C2071,E2071,I2071)</f>
        <v/>
      </c>
      <c r="C2071" s="8" t="n">
        <v>900006824</v>
      </c>
      <c r="D2071" s="7">
        <f>IFERROR(VLOOKUP(C2071,TRAOPE!$G:$H,2,0),"")</f>
        <v/>
      </c>
      <c r="E2071" s="8" t="inlineStr">
        <is>
          <t>D836</t>
        </is>
      </c>
      <c r="F2071" s="8" t="inlineStr">
        <is>
          <t>67008507</t>
        </is>
      </c>
      <c r="G2071" s="8">
        <f>IFERROR(VLOOKUP(A2071,Flete!$A:$E,5,0),"")</f>
        <v/>
      </c>
      <c r="H2071" s="7">
        <f>IFERROR(VLOOKUP(F2071,TRAOPE!$AA:$AB,2,0),"")</f>
        <v/>
      </c>
      <c r="I2071" s="7" t="n">
        <v>10000623</v>
      </c>
      <c r="J2071" s="7">
        <f>IFERROR(VLOOKUP(I2071,Materiales!$A:$H,8,0),"")</f>
        <v/>
      </c>
      <c r="K2071" s="9">
        <f>IFERROR(VLOOKUP(I2071,Materiales!$A:$G,7,0),"")</f>
        <v/>
      </c>
      <c r="L2071" s="8" t="inlineStr">
        <is>
          <t>20190426</t>
        </is>
      </c>
      <c r="M2071" s="8" t="inlineStr">
        <is>
          <t>20250127</t>
        </is>
      </c>
      <c r="N2071" s="10" t="n">
        <v>160</v>
      </c>
      <c r="O2071" s="10">
        <f>IFERROR(VLOOKUP(A2071,Flete!$A:$J,10,0),"")</f>
        <v/>
      </c>
      <c r="P2071" s="8" t="inlineStr">
        <is>
          <t>TN</t>
        </is>
      </c>
      <c r="Q2071" s="10">
        <f>IFERROR(IFERROR(VLOOKUP(A2071,TRAOPE!$A:$U,21,0),VLOOKUP(B2071,TRAOPE!$A:$U,21,0)),"")</f>
        <v/>
      </c>
      <c r="R2071" s="8">
        <f>IFERROR(IFERROR(VLOOKUP(A2071,TRAOPE!$A:$W,23,0),VLOOKUP(B2071,TRAOPE!$A:$W,23,0)),"")</f>
        <v/>
      </c>
      <c r="S2071" s="10">
        <f>IF(AND(P2071="TN",R2071="TN"),N2071+N(O2071),IF(G2071&amp;""="1",N(K2071)*N2071,(N2071+N(O2071))*N(K2071)))</f>
        <v/>
      </c>
      <c r="T2071" s="10">
        <f>IF(Q2071="","",Q2071-S2071)</f>
        <v/>
      </c>
    </row>
    <row r="2072">
      <c r="A2072" s="7">
        <f>CONCATENATE(C2072,E2072,F2072,I2072)</f>
        <v/>
      </c>
      <c r="B2072" s="7">
        <f>CONCATENATE(C2072,E2072,I2072)</f>
        <v/>
      </c>
      <c r="C2072" s="8" t="n">
        <v>900006824</v>
      </c>
      <c r="D2072" s="7">
        <f>IFERROR(VLOOKUP(C2072,TRAOPE!$G:$H,2,0),"")</f>
        <v/>
      </c>
      <c r="E2072" s="8" t="inlineStr">
        <is>
          <t>D836</t>
        </is>
      </c>
      <c r="F2072" s="8" t="inlineStr">
        <is>
          <t>67091004</t>
        </is>
      </c>
      <c r="G2072" s="8">
        <f>IFERROR(VLOOKUP(A2072,Flete!$A:$E,5,0),"")</f>
        <v/>
      </c>
      <c r="H2072" s="7">
        <f>IFERROR(VLOOKUP(F2072,TRAOPE!$AA:$AB,2,0),"")</f>
        <v/>
      </c>
      <c r="I2072" s="7" t="n">
        <v>10192945</v>
      </c>
      <c r="J2072" s="7">
        <f>IFERROR(VLOOKUP(I2072,Materiales!$A:$H,8,0),"")</f>
        <v/>
      </c>
      <c r="K2072" s="9">
        <f>IFERROR(VLOOKUP(I2072,Materiales!$A:$G,7,0),"")</f>
        <v/>
      </c>
      <c r="L2072" s="8" t="inlineStr">
        <is>
          <t>20190426</t>
        </is>
      </c>
      <c r="M2072" s="8" t="inlineStr">
        <is>
          <t>20250127</t>
        </is>
      </c>
      <c r="N2072" s="10" t="n">
        <v>251.82</v>
      </c>
      <c r="O2072" s="10">
        <f>IFERROR(VLOOKUP(A2072,Flete!$A:$J,10,0),"")</f>
        <v/>
      </c>
      <c r="P2072" s="8" t="inlineStr">
        <is>
          <t>TN</t>
        </is>
      </c>
      <c r="Q2072" s="10">
        <f>IFERROR(IFERROR(VLOOKUP(A2072,TRAOPE!$A:$U,21,0),VLOOKUP(B2072,TRAOPE!$A:$U,21,0)),"")</f>
        <v/>
      </c>
      <c r="R2072" s="8">
        <f>IFERROR(IFERROR(VLOOKUP(A2072,TRAOPE!$A:$W,23,0),VLOOKUP(B2072,TRAOPE!$A:$W,23,0)),"")</f>
        <v/>
      </c>
      <c r="S2072" s="10">
        <f>IF(AND(P2072="TN",R2072="TN"),N2072+N(O2072),IF(G2072&amp;""="1",N(K2072)*N2072,(N2072+N(O2072))*N(K2072)))</f>
        <v/>
      </c>
      <c r="T2072" s="10">
        <f>IF(Q2072="","",Q2072-S2072)</f>
        <v/>
      </c>
    </row>
    <row r="2073">
      <c r="A2073" s="7">
        <f>CONCATENATE(C2073,E2073,F2073,I2073)</f>
        <v/>
      </c>
      <c r="B2073" s="7">
        <f>CONCATENATE(C2073,E2073,I2073)</f>
        <v/>
      </c>
      <c r="C2073" s="8" t="n">
        <v>900006824</v>
      </c>
      <c r="D2073" s="7">
        <f>IFERROR(VLOOKUP(C2073,TRAOPE!$G:$H,2,0),"")</f>
        <v/>
      </c>
      <c r="E2073" s="8" t="inlineStr">
        <is>
          <t>D836</t>
        </is>
      </c>
      <c r="F2073" s="8" t="inlineStr">
        <is>
          <t>67092454</t>
        </is>
      </c>
      <c r="G2073" s="8">
        <f>IFERROR(VLOOKUP(A2073,Flete!$A:$E,5,0),"")</f>
        <v/>
      </c>
      <c r="H2073" s="7">
        <f>IFERROR(VLOOKUP(F2073,TRAOPE!$AA:$AB,2,0),"")</f>
        <v/>
      </c>
      <c r="I2073" s="7" t="n">
        <v>10000623</v>
      </c>
      <c r="J2073" s="7">
        <f>IFERROR(VLOOKUP(I2073,Materiales!$A:$H,8,0),"")</f>
        <v/>
      </c>
      <c r="K2073" s="9">
        <f>IFERROR(VLOOKUP(I2073,Materiales!$A:$G,7,0),"")</f>
        <v/>
      </c>
      <c r="L2073" s="8" t="inlineStr">
        <is>
          <t>20190426</t>
        </is>
      </c>
      <c r="M2073" s="8" t="inlineStr">
        <is>
          <t>20250127</t>
        </is>
      </c>
      <c r="N2073" s="10" t="n">
        <v>160</v>
      </c>
      <c r="O2073" s="10">
        <f>IFERROR(VLOOKUP(A2073,Flete!$A:$J,10,0),"")</f>
        <v/>
      </c>
      <c r="P2073" s="8" t="inlineStr">
        <is>
          <t>TN</t>
        </is>
      </c>
      <c r="Q2073" s="10">
        <f>IFERROR(IFERROR(VLOOKUP(A2073,TRAOPE!$A:$U,21,0),VLOOKUP(B2073,TRAOPE!$A:$U,21,0)),"")</f>
        <v/>
      </c>
      <c r="R2073" s="8">
        <f>IFERROR(IFERROR(VLOOKUP(A2073,TRAOPE!$A:$W,23,0),VLOOKUP(B2073,TRAOPE!$A:$W,23,0)),"")</f>
        <v/>
      </c>
      <c r="S2073" s="10">
        <f>IF(AND(P2073="TN",R2073="TN"),N2073+N(O2073),IF(G2073&amp;""="1",N(K2073)*N2073,(N2073+N(O2073))*N(K2073)))</f>
        <v/>
      </c>
      <c r="T2073" s="10">
        <f>IF(Q2073="","",Q2073-S2073)</f>
        <v/>
      </c>
    </row>
    <row r="2074">
      <c r="A2074" s="7">
        <f>CONCATENATE(C2074,E2074,F2074,I2074)</f>
        <v/>
      </c>
      <c r="B2074" s="7">
        <f>CONCATENATE(C2074,E2074,I2074)</f>
        <v/>
      </c>
      <c r="C2074" s="8" t="n">
        <v>900006950</v>
      </c>
      <c r="D2074" s="7">
        <f>IFERROR(VLOOKUP(C2074,TRAOPE!$G:$H,2,0),"")</f>
        <v/>
      </c>
      <c r="E2074" s="8" t="inlineStr">
        <is>
          <t>D836</t>
        </is>
      </c>
      <c r="F2074" s="8" t="inlineStr">
        <is>
          <t>65001905</t>
        </is>
      </c>
      <c r="G2074" s="8">
        <f>IFERROR(VLOOKUP(A2074,Flete!$A:$E,5,0),"")</f>
        <v/>
      </c>
      <c r="H2074" s="7">
        <f>IFERROR(VLOOKUP(F2074,TRAOPE!$AA:$AB,2,0),"")</f>
        <v/>
      </c>
      <c r="I2074" s="7" t="n">
        <v>10000133</v>
      </c>
      <c r="J2074" s="7">
        <f>IFERROR(VLOOKUP(I2074,Materiales!$A:$H,8,0),"")</f>
        <v/>
      </c>
      <c r="K2074" s="9">
        <f>IFERROR(VLOOKUP(I2074,Materiales!$A:$G,7,0),"")</f>
        <v/>
      </c>
      <c r="L2074" s="8" t="inlineStr">
        <is>
          <t>20190426</t>
        </is>
      </c>
      <c r="M2074" s="8" t="inlineStr">
        <is>
          <t>20250127</t>
        </is>
      </c>
      <c r="N2074" s="10" t="n">
        <v>180</v>
      </c>
      <c r="O2074" s="10">
        <f>IFERROR(VLOOKUP(A2074,Flete!$A:$J,10,0),"")</f>
        <v/>
      </c>
      <c r="P2074" s="8" t="inlineStr">
        <is>
          <t>M3</t>
        </is>
      </c>
      <c r="Q2074" s="10">
        <f>IFERROR(IFERROR(VLOOKUP(A2074,TRAOPE!$A:$U,21,0),VLOOKUP(B2074,TRAOPE!$A:$U,21,0)),"")</f>
        <v/>
      </c>
      <c r="R2074" s="8">
        <f>IFERROR(IFERROR(VLOOKUP(A2074,TRAOPE!$A:$W,23,0),VLOOKUP(B2074,TRAOPE!$A:$W,23,0)),"")</f>
        <v/>
      </c>
      <c r="S2074" s="10">
        <f>IF(AND(P2074="TN",R2074="TN"),N2074+N(O2074),IF(G2074&amp;""="1",N(K2074)*N2074,(N2074+N(O2074))*N(K2074)))</f>
        <v/>
      </c>
      <c r="T2074" s="10">
        <f>IF(Q2074="","",Q2074-S2074)</f>
        <v/>
      </c>
    </row>
    <row r="2075">
      <c r="A2075" s="7">
        <f>CONCATENATE(C2075,E2075,F2075,I2075)</f>
        <v/>
      </c>
      <c r="B2075" s="7">
        <f>CONCATENATE(C2075,E2075,I2075)</f>
        <v/>
      </c>
      <c r="C2075" s="8" t="n">
        <v>900006950</v>
      </c>
      <c r="D2075" s="7">
        <f>IFERROR(VLOOKUP(C2075,TRAOPE!$G:$H,2,0),"")</f>
        <v/>
      </c>
      <c r="E2075" s="8" t="inlineStr">
        <is>
          <t>D836</t>
        </is>
      </c>
      <c r="F2075" s="8" t="inlineStr">
        <is>
          <t>65001905</t>
        </is>
      </c>
      <c r="G2075" s="8">
        <f>IFERROR(VLOOKUP(A2075,Flete!$A:$E,5,0),"")</f>
        <v/>
      </c>
      <c r="H2075" s="7">
        <f>IFERROR(VLOOKUP(F2075,TRAOPE!$AA:$AB,2,0),"")</f>
        <v/>
      </c>
      <c r="I2075" s="7" t="n">
        <v>10058345</v>
      </c>
      <c r="J2075" s="7">
        <f>IFERROR(VLOOKUP(I2075,Materiales!$A:$H,8,0),"")</f>
        <v/>
      </c>
      <c r="K2075" s="9">
        <f>IFERROR(VLOOKUP(I2075,Materiales!$A:$G,7,0),"")</f>
        <v/>
      </c>
      <c r="L2075" s="8" t="inlineStr">
        <is>
          <t>20190426</t>
        </is>
      </c>
      <c r="M2075" s="8" t="inlineStr">
        <is>
          <t>20250127</t>
        </is>
      </c>
      <c r="N2075" s="10" t="n">
        <v>95</v>
      </c>
      <c r="O2075" s="10">
        <f>IFERROR(VLOOKUP(A2075,Flete!$A:$J,10,0),"")</f>
        <v/>
      </c>
      <c r="P2075" s="8" t="inlineStr">
        <is>
          <t>M3</t>
        </is>
      </c>
      <c r="Q2075" s="10">
        <f>IFERROR(IFERROR(VLOOKUP(A2075,TRAOPE!$A:$U,21,0),VLOOKUP(B2075,TRAOPE!$A:$U,21,0)),"")</f>
        <v/>
      </c>
      <c r="R2075" s="8">
        <f>IFERROR(IFERROR(VLOOKUP(A2075,TRAOPE!$A:$W,23,0),VLOOKUP(B2075,TRAOPE!$A:$W,23,0)),"")</f>
        <v/>
      </c>
      <c r="S2075" s="10">
        <f>IF(AND(P2075="TN",R2075="TN"),N2075+N(O2075),IF(G2075&amp;""="1",N(K2075)*N2075,(N2075+N(O2075))*N(K2075)))</f>
        <v/>
      </c>
      <c r="T2075" s="10">
        <f>IF(Q2075="","",Q2075-S2075)</f>
        <v/>
      </c>
    </row>
    <row r="2076">
      <c r="A2076" s="7">
        <f>CONCATENATE(C2076,E2076,F2076,I2076)</f>
        <v/>
      </c>
      <c r="B2076" s="7">
        <f>CONCATENATE(C2076,E2076,I2076)</f>
        <v/>
      </c>
      <c r="C2076" s="8" t="n">
        <v>900006950</v>
      </c>
      <c r="D2076" s="7">
        <f>IFERROR(VLOOKUP(C2076,TRAOPE!$G:$H,2,0),"")</f>
        <v/>
      </c>
      <c r="E2076" s="8" t="inlineStr">
        <is>
          <t>D836</t>
        </is>
      </c>
      <c r="F2076" s="8" t="inlineStr">
        <is>
          <t>66779276</t>
        </is>
      </c>
      <c r="G2076" s="8">
        <f>IFERROR(VLOOKUP(A2076,Flete!$A:$E,5,0),"")</f>
        <v/>
      </c>
      <c r="H2076" s="7">
        <f>IFERROR(VLOOKUP(F2076,TRAOPE!$AA:$AB,2,0),"")</f>
        <v/>
      </c>
      <c r="I2076" s="7" t="n">
        <v>10000624</v>
      </c>
      <c r="J2076" s="7">
        <f>IFERROR(VLOOKUP(I2076,Materiales!$A:$H,8,0),"")</f>
        <v/>
      </c>
      <c r="K2076" s="9">
        <f>IFERROR(VLOOKUP(I2076,Materiales!$A:$G,7,0),"")</f>
        <v/>
      </c>
      <c r="L2076" s="8" t="inlineStr">
        <is>
          <t>20190426</t>
        </is>
      </c>
      <c r="M2076" s="8" t="inlineStr">
        <is>
          <t>20250127</t>
        </is>
      </c>
      <c r="N2076" s="10" t="n">
        <v>252.29</v>
      </c>
      <c r="O2076" s="10">
        <f>IFERROR(VLOOKUP(A2076,Flete!$A:$J,10,0),"")</f>
        <v/>
      </c>
      <c r="P2076" s="8" t="inlineStr">
        <is>
          <t>TN</t>
        </is>
      </c>
      <c r="Q2076" s="10">
        <f>IFERROR(IFERROR(VLOOKUP(A2076,TRAOPE!$A:$U,21,0),VLOOKUP(B2076,TRAOPE!$A:$U,21,0)),"")</f>
        <v/>
      </c>
      <c r="R2076" s="8">
        <f>IFERROR(IFERROR(VLOOKUP(A2076,TRAOPE!$A:$W,23,0),VLOOKUP(B2076,TRAOPE!$A:$W,23,0)),"")</f>
        <v/>
      </c>
      <c r="S2076" s="10">
        <f>IF(AND(P2076="TN",R2076="TN"),N2076+N(O2076),IF(G2076&amp;""="1",N(K2076)*N2076,(N2076+N(O2076))*N(K2076)))</f>
        <v/>
      </c>
      <c r="T2076" s="10">
        <f>IF(Q2076="","",Q2076-S2076)</f>
        <v/>
      </c>
    </row>
    <row r="2077">
      <c r="A2077" s="7">
        <f>CONCATENATE(C2077,E2077,F2077,I2077)</f>
        <v/>
      </c>
      <c r="B2077" s="7">
        <f>CONCATENATE(C2077,E2077,I2077)</f>
        <v/>
      </c>
      <c r="C2077" s="8" t="n">
        <v>900006950</v>
      </c>
      <c r="D2077" s="7">
        <f>IFERROR(VLOOKUP(C2077,TRAOPE!$G:$H,2,0),"")</f>
        <v/>
      </c>
      <c r="E2077" s="8" t="inlineStr">
        <is>
          <t>D836</t>
        </is>
      </c>
      <c r="F2077" s="8" t="inlineStr">
        <is>
          <t>66911867</t>
        </is>
      </c>
      <c r="G2077" s="8">
        <f>IFERROR(VLOOKUP(A2077,Flete!$A:$E,5,0),"")</f>
        <v/>
      </c>
      <c r="H2077" s="7">
        <f>IFERROR(VLOOKUP(F2077,TRAOPE!$AA:$AB,2,0),"")</f>
        <v/>
      </c>
      <c r="I2077" s="7" t="n">
        <v>10000357</v>
      </c>
      <c r="J2077" s="7">
        <f>IFERROR(VLOOKUP(I2077,Materiales!$A:$H,8,0),"")</f>
        <v/>
      </c>
      <c r="K2077" s="9">
        <f>IFERROR(VLOOKUP(I2077,Materiales!$A:$G,7,0),"")</f>
        <v/>
      </c>
      <c r="L2077" s="8" t="inlineStr">
        <is>
          <t>20190426</t>
        </is>
      </c>
      <c r="M2077" s="8" t="inlineStr">
        <is>
          <t>20250127</t>
        </is>
      </c>
      <c r="N2077" s="10" t="n">
        <v>227.6</v>
      </c>
      <c r="O2077" s="10">
        <f>IFERROR(VLOOKUP(A2077,Flete!$A:$J,10,0),"")</f>
        <v/>
      </c>
      <c r="P2077" s="8" t="inlineStr">
        <is>
          <t>M3</t>
        </is>
      </c>
      <c r="Q2077" s="10">
        <f>IFERROR(IFERROR(VLOOKUP(A2077,TRAOPE!$A:$U,21,0),VLOOKUP(B2077,TRAOPE!$A:$U,21,0)),"")</f>
        <v/>
      </c>
      <c r="R2077" s="8">
        <f>IFERROR(IFERROR(VLOOKUP(A2077,TRAOPE!$A:$W,23,0),VLOOKUP(B2077,TRAOPE!$A:$W,23,0)),"")</f>
        <v/>
      </c>
      <c r="S2077" s="10">
        <f>IF(AND(P2077="TN",R2077="TN"),N2077+N(O2077),IF(G2077&amp;""="1",N(K2077)*N2077,(N2077+N(O2077))*N(K2077)))</f>
        <v/>
      </c>
      <c r="T2077" s="10">
        <f>IF(Q2077="","",Q2077-S2077)</f>
        <v/>
      </c>
    </row>
    <row r="2078">
      <c r="A2078" s="7">
        <f>CONCATENATE(C2078,E2078,F2078,I2078)</f>
        <v/>
      </c>
      <c r="B2078" s="7">
        <f>CONCATENATE(C2078,E2078,I2078)</f>
        <v/>
      </c>
      <c r="C2078" s="8" t="n">
        <v>900006950</v>
      </c>
      <c r="D2078" s="7">
        <f>IFERROR(VLOOKUP(C2078,TRAOPE!$G:$H,2,0),"")</f>
        <v/>
      </c>
      <c r="E2078" s="8" t="inlineStr">
        <is>
          <t>D836</t>
        </is>
      </c>
      <c r="F2078" s="8" t="inlineStr">
        <is>
          <t>66942186</t>
        </is>
      </c>
      <c r="G2078" s="8">
        <f>IFERROR(VLOOKUP(A2078,Flete!$A:$E,5,0),"")</f>
        <v/>
      </c>
      <c r="H2078" s="7">
        <f>IFERROR(VLOOKUP(F2078,TRAOPE!$AA:$AB,2,0),"")</f>
        <v/>
      </c>
      <c r="I2078" s="7" t="n">
        <v>10019515</v>
      </c>
      <c r="J2078" s="7">
        <f>IFERROR(VLOOKUP(I2078,Materiales!$A:$H,8,0),"")</f>
        <v/>
      </c>
      <c r="K2078" s="9">
        <f>IFERROR(VLOOKUP(I2078,Materiales!$A:$G,7,0),"")</f>
        <v/>
      </c>
      <c r="L2078" s="8" t="inlineStr">
        <is>
          <t>20190426</t>
        </is>
      </c>
      <c r="M2078" s="8" t="inlineStr">
        <is>
          <t>20250127</t>
        </is>
      </c>
      <c r="N2078" s="10" t="n">
        <v>70</v>
      </c>
      <c r="O2078" s="10">
        <f>IFERROR(VLOOKUP(A2078,Flete!$A:$J,10,0),"")</f>
        <v/>
      </c>
      <c r="P2078" s="8" t="inlineStr">
        <is>
          <t>M3</t>
        </is>
      </c>
      <c r="Q2078" s="10">
        <f>IFERROR(IFERROR(VLOOKUP(A2078,TRAOPE!$A:$U,21,0),VLOOKUP(B2078,TRAOPE!$A:$U,21,0)),"")</f>
        <v/>
      </c>
      <c r="R2078" s="8">
        <f>IFERROR(IFERROR(VLOOKUP(A2078,TRAOPE!$A:$W,23,0),VLOOKUP(B2078,TRAOPE!$A:$W,23,0)),"")</f>
        <v/>
      </c>
      <c r="S2078" s="10">
        <f>IF(AND(P2078="TN",R2078="TN"),N2078+N(O2078),IF(G2078&amp;""="1",N(K2078)*N2078,(N2078+N(O2078))*N(K2078)))</f>
        <v/>
      </c>
      <c r="T2078" s="10">
        <f>IF(Q2078="","",Q2078-S2078)</f>
        <v/>
      </c>
    </row>
    <row r="2079">
      <c r="A2079" s="7">
        <f>CONCATENATE(C2079,E2079,F2079,I2079)</f>
        <v/>
      </c>
      <c r="B2079" s="7">
        <f>CONCATENATE(C2079,E2079,I2079)</f>
        <v/>
      </c>
      <c r="C2079" s="8" t="n">
        <v>900006950</v>
      </c>
      <c r="D2079" s="7">
        <f>IFERROR(VLOOKUP(C2079,TRAOPE!$G:$H,2,0),"")</f>
        <v/>
      </c>
      <c r="E2079" s="8" t="inlineStr">
        <is>
          <t>D836</t>
        </is>
      </c>
      <c r="F2079" s="8" t="inlineStr">
        <is>
          <t>66958312</t>
        </is>
      </c>
      <c r="G2079" s="8">
        <f>IFERROR(VLOOKUP(A2079,Flete!$A:$E,5,0),"")</f>
        <v/>
      </c>
      <c r="H2079" s="7">
        <f>IFERROR(VLOOKUP(F2079,TRAOPE!$AA:$AB,2,0),"")</f>
        <v/>
      </c>
      <c r="I2079" s="7" t="n">
        <v>10000133</v>
      </c>
      <c r="J2079" s="7">
        <f>IFERROR(VLOOKUP(I2079,Materiales!$A:$H,8,0),"")</f>
        <v/>
      </c>
      <c r="K2079" s="9">
        <f>IFERROR(VLOOKUP(I2079,Materiales!$A:$G,7,0),"")</f>
        <v/>
      </c>
      <c r="L2079" s="8" t="inlineStr">
        <is>
          <t>20190426</t>
        </is>
      </c>
      <c r="M2079" s="8" t="inlineStr">
        <is>
          <t>20250127</t>
        </is>
      </c>
      <c r="N2079" s="10" t="n">
        <v>165</v>
      </c>
      <c r="O2079" s="10">
        <f>IFERROR(VLOOKUP(A2079,Flete!$A:$J,10,0),"")</f>
        <v/>
      </c>
      <c r="P2079" s="8" t="inlineStr">
        <is>
          <t>M3</t>
        </is>
      </c>
      <c r="Q2079" s="10">
        <f>IFERROR(IFERROR(VLOOKUP(A2079,TRAOPE!$A:$U,21,0),VLOOKUP(B2079,TRAOPE!$A:$U,21,0)),"")</f>
        <v/>
      </c>
      <c r="R2079" s="8">
        <f>IFERROR(IFERROR(VLOOKUP(A2079,TRAOPE!$A:$W,23,0),VLOOKUP(B2079,TRAOPE!$A:$W,23,0)),"")</f>
        <v/>
      </c>
      <c r="S2079" s="10">
        <f>IF(AND(P2079="TN",R2079="TN"),N2079+N(O2079),IF(G2079&amp;""="1",N(K2079)*N2079,(N2079+N(O2079))*N(K2079)))</f>
        <v/>
      </c>
      <c r="T2079" s="10">
        <f>IF(Q2079="","",Q2079-S2079)</f>
        <v/>
      </c>
    </row>
    <row r="2080">
      <c r="A2080" s="7">
        <f>CONCATENATE(C2080,E2080,F2080,I2080)</f>
        <v/>
      </c>
      <c r="B2080" s="7">
        <f>CONCATENATE(C2080,E2080,I2080)</f>
        <v/>
      </c>
      <c r="C2080" s="8" t="n">
        <v>900006950</v>
      </c>
      <c r="D2080" s="7">
        <f>IFERROR(VLOOKUP(C2080,TRAOPE!$G:$H,2,0),"")</f>
        <v/>
      </c>
      <c r="E2080" s="8" t="inlineStr">
        <is>
          <t>D836</t>
        </is>
      </c>
      <c r="F2080" s="8" t="inlineStr">
        <is>
          <t>66958312</t>
        </is>
      </c>
      <c r="G2080" s="8">
        <f>IFERROR(VLOOKUP(A2080,Flete!$A:$E,5,0),"")</f>
        <v/>
      </c>
      <c r="H2080" s="7">
        <f>IFERROR(VLOOKUP(F2080,TRAOPE!$AA:$AB,2,0),"")</f>
        <v/>
      </c>
      <c r="I2080" s="7" t="n">
        <v>10000160</v>
      </c>
      <c r="J2080" s="7">
        <f>IFERROR(VLOOKUP(I2080,Materiales!$A:$H,8,0),"")</f>
        <v/>
      </c>
      <c r="K2080" s="9">
        <f>IFERROR(VLOOKUP(I2080,Materiales!$A:$G,7,0),"")</f>
        <v/>
      </c>
      <c r="L2080" s="8" t="inlineStr">
        <is>
          <t>20190426</t>
        </is>
      </c>
      <c r="M2080" s="8" t="inlineStr">
        <is>
          <t>20250127</t>
        </is>
      </c>
      <c r="N2080" s="10" t="n">
        <v>139</v>
      </c>
      <c r="O2080" s="10">
        <f>IFERROR(VLOOKUP(A2080,Flete!$A:$J,10,0),"")</f>
        <v/>
      </c>
      <c r="P2080" s="8" t="inlineStr">
        <is>
          <t>M3</t>
        </is>
      </c>
      <c r="Q2080" s="10">
        <f>IFERROR(IFERROR(VLOOKUP(A2080,TRAOPE!$A:$U,21,0),VLOOKUP(B2080,TRAOPE!$A:$U,21,0)),"")</f>
        <v/>
      </c>
      <c r="R2080" s="8">
        <f>IFERROR(IFERROR(VLOOKUP(A2080,TRAOPE!$A:$W,23,0),VLOOKUP(B2080,TRAOPE!$A:$W,23,0)),"")</f>
        <v/>
      </c>
      <c r="S2080" s="10">
        <f>IF(AND(P2080="TN",R2080="TN"),N2080+N(O2080),IF(G2080&amp;""="1",N(K2080)*N2080,(N2080+N(O2080))*N(K2080)))</f>
        <v/>
      </c>
      <c r="T2080" s="10">
        <f>IF(Q2080="","",Q2080-S2080)</f>
        <v/>
      </c>
    </row>
    <row r="2081">
      <c r="A2081" s="7">
        <f>CONCATENATE(C2081,E2081,F2081,I2081)</f>
        <v/>
      </c>
      <c r="B2081" s="7">
        <f>CONCATENATE(C2081,E2081,I2081)</f>
        <v/>
      </c>
      <c r="C2081" s="8" t="n">
        <v>900006950</v>
      </c>
      <c r="D2081" s="7">
        <f>IFERROR(VLOOKUP(C2081,TRAOPE!$G:$H,2,0),"")</f>
        <v/>
      </c>
      <c r="E2081" s="8" t="inlineStr">
        <is>
          <t>D836</t>
        </is>
      </c>
      <c r="F2081" s="8" t="inlineStr">
        <is>
          <t>66958312</t>
        </is>
      </c>
      <c r="G2081" s="8">
        <f>IFERROR(VLOOKUP(A2081,Flete!$A:$E,5,0),"")</f>
        <v/>
      </c>
      <c r="H2081" s="7">
        <f>IFERROR(VLOOKUP(F2081,TRAOPE!$AA:$AB,2,0),"")</f>
        <v/>
      </c>
      <c r="I2081" s="7" t="n">
        <v>10000206</v>
      </c>
      <c r="J2081" s="7">
        <f>IFERROR(VLOOKUP(I2081,Materiales!$A:$H,8,0),"")</f>
        <v/>
      </c>
      <c r="K2081" s="9">
        <f>IFERROR(VLOOKUP(I2081,Materiales!$A:$G,7,0),"")</f>
        <v/>
      </c>
      <c r="L2081" s="8" t="inlineStr">
        <is>
          <t>20190426</t>
        </is>
      </c>
      <c r="M2081" s="8" t="inlineStr">
        <is>
          <t>20250127</t>
        </is>
      </c>
      <c r="N2081" s="10" t="n">
        <v>36.2</v>
      </c>
      <c r="O2081" s="10">
        <f>IFERROR(VLOOKUP(A2081,Flete!$A:$J,10,0),"")</f>
        <v/>
      </c>
      <c r="P2081" s="8" t="inlineStr">
        <is>
          <t>M3</t>
        </is>
      </c>
      <c r="Q2081" s="10">
        <f>IFERROR(IFERROR(VLOOKUP(A2081,TRAOPE!$A:$U,21,0),VLOOKUP(B2081,TRAOPE!$A:$U,21,0)),"")</f>
        <v/>
      </c>
      <c r="R2081" s="8">
        <f>IFERROR(IFERROR(VLOOKUP(A2081,TRAOPE!$A:$W,23,0),VLOOKUP(B2081,TRAOPE!$A:$W,23,0)),"")</f>
        <v/>
      </c>
      <c r="S2081" s="10">
        <f>IF(AND(P2081="TN",R2081="TN"),N2081+N(O2081),IF(G2081&amp;""="1",N(K2081)*N2081,(N2081+N(O2081))*N(K2081)))</f>
        <v/>
      </c>
      <c r="T2081" s="10">
        <f>IF(Q2081="","",Q2081-S2081)</f>
        <v/>
      </c>
    </row>
    <row r="2082">
      <c r="A2082" s="7">
        <f>CONCATENATE(C2082,E2082,F2082,I2082)</f>
        <v/>
      </c>
      <c r="B2082" s="7">
        <f>CONCATENATE(C2082,E2082,I2082)</f>
        <v/>
      </c>
      <c r="C2082" s="8" t="n">
        <v>900006950</v>
      </c>
      <c r="D2082" s="7">
        <f>IFERROR(VLOOKUP(C2082,TRAOPE!$G:$H,2,0),"")</f>
        <v/>
      </c>
      <c r="E2082" s="8" t="inlineStr">
        <is>
          <t>D836</t>
        </is>
      </c>
      <c r="F2082" s="8" t="inlineStr">
        <is>
          <t>66958312</t>
        </is>
      </c>
      <c r="G2082" s="8">
        <f>IFERROR(VLOOKUP(A2082,Flete!$A:$E,5,0),"")</f>
        <v/>
      </c>
      <c r="H2082" s="7">
        <f>IFERROR(VLOOKUP(F2082,TRAOPE!$AA:$AB,2,0),"")</f>
        <v/>
      </c>
      <c r="I2082" s="7" t="n">
        <v>10000357</v>
      </c>
      <c r="J2082" s="7">
        <f>IFERROR(VLOOKUP(I2082,Materiales!$A:$H,8,0),"")</f>
        <v/>
      </c>
      <c r="K2082" s="9">
        <f>IFERROR(VLOOKUP(I2082,Materiales!$A:$G,7,0),"")</f>
        <v/>
      </c>
      <c r="L2082" s="8" t="inlineStr">
        <is>
          <t>20190426</t>
        </is>
      </c>
      <c r="M2082" s="8" t="inlineStr">
        <is>
          <t>20250127</t>
        </is>
      </c>
      <c r="N2082" s="10" t="n">
        <v>165</v>
      </c>
      <c r="O2082" s="10">
        <f>IFERROR(VLOOKUP(A2082,Flete!$A:$J,10,0),"")</f>
        <v/>
      </c>
      <c r="P2082" s="8" t="inlineStr">
        <is>
          <t>M3</t>
        </is>
      </c>
      <c r="Q2082" s="10">
        <f>IFERROR(IFERROR(VLOOKUP(A2082,TRAOPE!$A:$U,21,0),VLOOKUP(B2082,TRAOPE!$A:$U,21,0)),"")</f>
        <v/>
      </c>
      <c r="R2082" s="8">
        <f>IFERROR(IFERROR(VLOOKUP(A2082,TRAOPE!$A:$W,23,0),VLOOKUP(B2082,TRAOPE!$A:$W,23,0)),"")</f>
        <v/>
      </c>
      <c r="S2082" s="10">
        <f>IF(AND(P2082="TN",R2082="TN"),N2082+N(O2082),IF(G2082&amp;""="1",N(K2082)*N2082,(N2082+N(O2082))*N(K2082)))</f>
        <v/>
      </c>
      <c r="T2082" s="10">
        <f>IF(Q2082="","",Q2082-S2082)</f>
        <v/>
      </c>
    </row>
    <row r="2083">
      <c r="A2083" s="7">
        <f>CONCATENATE(C2083,E2083,F2083,I2083)</f>
        <v/>
      </c>
      <c r="B2083" s="7">
        <f>CONCATENATE(C2083,E2083,I2083)</f>
        <v/>
      </c>
      <c r="C2083" s="8" t="n">
        <v>900006950</v>
      </c>
      <c r="D2083" s="7">
        <f>IFERROR(VLOOKUP(C2083,TRAOPE!$G:$H,2,0),"")</f>
        <v/>
      </c>
      <c r="E2083" s="8" t="inlineStr">
        <is>
          <t>D836</t>
        </is>
      </c>
      <c r="F2083" s="8" t="inlineStr">
        <is>
          <t>67104718</t>
        </is>
      </c>
      <c r="G2083" s="8">
        <f>IFERROR(VLOOKUP(A2083,Flete!$A:$E,5,0),"")</f>
        <v/>
      </c>
      <c r="H2083" s="7">
        <f>IFERROR(VLOOKUP(F2083,TRAOPE!$AA:$AB,2,0),"")</f>
        <v/>
      </c>
      <c r="I2083" s="7" t="n">
        <v>10000623</v>
      </c>
      <c r="J2083" s="7">
        <f>IFERROR(VLOOKUP(I2083,Materiales!$A:$H,8,0),"")</f>
        <v/>
      </c>
      <c r="K2083" s="9">
        <f>IFERROR(VLOOKUP(I2083,Materiales!$A:$G,7,0),"")</f>
        <v/>
      </c>
      <c r="L2083" s="8" t="inlineStr">
        <is>
          <t>20190426</t>
        </is>
      </c>
      <c r="M2083" s="8" t="inlineStr">
        <is>
          <t>20250127</t>
        </is>
      </c>
      <c r="N2083" s="10" t="n">
        <v>198.62</v>
      </c>
      <c r="O2083" s="10">
        <f>IFERROR(VLOOKUP(A2083,Flete!$A:$J,10,0),"")</f>
        <v/>
      </c>
      <c r="P2083" s="8" t="inlineStr">
        <is>
          <t>TN</t>
        </is>
      </c>
      <c r="Q2083" s="10">
        <f>IFERROR(IFERROR(VLOOKUP(A2083,TRAOPE!$A:$U,21,0),VLOOKUP(B2083,TRAOPE!$A:$U,21,0)),"")</f>
        <v/>
      </c>
      <c r="R2083" s="8">
        <f>IFERROR(IFERROR(VLOOKUP(A2083,TRAOPE!$A:$W,23,0),VLOOKUP(B2083,TRAOPE!$A:$W,23,0)),"")</f>
        <v/>
      </c>
      <c r="S2083" s="10">
        <f>IF(AND(P2083="TN",R2083="TN"),N2083+N(O2083),IF(G2083&amp;""="1",N(K2083)*N2083,(N2083+N(O2083))*N(K2083)))</f>
        <v/>
      </c>
      <c r="T2083" s="10">
        <f>IF(Q2083="","",Q2083-S2083)</f>
        <v/>
      </c>
    </row>
    <row r="2084">
      <c r="A2084" s="7">
        <f>CONCATENATE(C2084,E2084,F2084,I2084)</f>
        <v/>
      </c>
      <c r="B2084" s="7">
        <f>CONCATENATE(C2084,E2084,I2084)</f>
        <v/>
      </c>
      <c r="C2084" s="8" t="n">
        <v>900007028</v>
      </c>
      <c r="D2084" s="7">
        <f>IFERROR(VLOOKUP(C2084,TRAOPE!$G:$H,2,0),"")</f>
        <v/>
      </c>
      <c r="E2084" s="8" t="inlineStr">
        <is>
          <t>D836</t>
        </is>
      </c>
      <c r="F2084" s="8" t="inlineStr">
        <is>
          <t>65061685</t>
        </is>
      </c>
      <c r="G2084" s="8">
        <f>IFERROR(VLOOKUP(A2084,Flete!$A:$E,5,0),"")</f>
        <v/>
      </c>
      <c r="H2084" s="7">
        <f>IFERROR(VLOOKUP(F2084,TRAOPE!$AA:$AB,2,0),"")</f>
        <v/>
      </c>
      <c r="I2084" s="7" t="n">
        <v>10000566</v>
      </c>
      <c r="J2084" s="7">
        <f>IFERROR(VLOOKUP(I2084,Materiales!$A:$H,8,0),"")</f>
        <v/>
      </c>
      <c r="K2084" s="9">
        <f>IFERROR(VLOOKUP(I2084,Materiales!$A:$G,7,0),"")</f>
        <v/>
      </c>
      <c r="L2084" s="8" t="inlineStr">
        <is>
          <t>20190426</t>
        </is>
      </c>
      <c r="M2084" s="8" t="inlineStr">
        <is>
          <t>20250127</t>
        </is>
      </c>
      <c r="N2084" s="10" t="n">
        <v>80</v>
      </c>
      <c r="O2084" s="10">
        <f>IFERROR(VLOOKUP(A2084,Flete!$A:$J,10,0),"")</f>
        <v/>
      </c>
      <c r="P2084" s="8" t="inlineStr">
        <is>
          <t>TN</t>
        </is>
      </c>
      <c r="Q2084" s="10">
        <f>IFERROR(IFERROR(VLOOKUP(A2084,TRAOPE!$A:$U,21,0),VLOOKUP(B2084,TRAOPE!$A:$U,21,0)),"")</f>
        <v/>
      </c>
      <c r="R2084" s="8">
        <f>IFERROR(IFERROR(VLOOKUP(A2084,TRAOPE!$A:$W,23,0),VLOOKUP(B2084,TRAOPE!$A:$W,23,0)),"")</f>
        <v/>
      </c>
      <c r="S2084" s="10">
        <f>IF(AND(P2084="TN",R2084="TN"),N2084+N(O2084),IF(G2084&amp;""="1",N(K2084)*N2084,(N2084+N(O2084))*N(K2084)))</f>
        <v/>
      </c>
      <c r="T2084" s="10">
        <f>IF(Q2084="","",Q2084-S2084)</f>
        <v/>
      </c>
    </row>
    <row r="2085">
      <c r="A2085" s="7">
        <f>CONCATENATE(C2085,E2085,F2085,I2085)</f>
        <v/>
      </c>
      <c r="B2085" s="7">
        <f>CONCATENATE(C2085,E2085,I2085)</f>
        <v/>
      </c>
      <c r="C2085" s="8" t="n">
        <v>900007028</v>
      </c>
      <c r="D2085" s="7">
        <f>IFERROR(VLOOKUP(C2085,TRAOPE!$G:$H,2,0),"")</f>
        <v/>
      </c>
      <c r="E2085" s="8" t="inlineStr">
        <is>
          <t>D836</t>
        </is>
      </c>
      <c r="F2085" s="8" t="inlineStr">
        <is>
          <t>65251399</t>
        </is>
      </c>
      <c r="G2085" s="8">
        <f>IFERROR(VLOOKUP(A2085,Flete!$A:$E,5,0),"")</f>
        <v/>
      </c>
      <c r="H2085" s="7">
        <f>IFERROR(VLOOKUP(F2085,TRAOPE!$AA:$AB,2,0),"")</f>
        <v/>
      </c>
      <c r="I2085" s="7" t="n">
        <v>10000566</v>
      </c>
      <c r="J2085" s="7">
        <f>IFERROR(VLOOKUP(I2085,Materiales!$A:$H,8,0),"")</f>
        <v/>
      </c>
      <c r="K2085" s="9">
        <f>IFERROR(VLOOKUP(I2085,Materiales!$A:$G,7,0),"")</f>
        <v/>
      </c>
      <c r="L2085" s="8" t="inlineStr">
        <is>
          <t>20190426</t>
        </is>
      </c>
      <c r="M2085" s="8" t="inlineStr">
        <is>
          <t>20250127</t>
        </is>
      </c>
      <c r="N2085" s="10" t="n">
        <v>80</v>
      </c>
      <c r="O2085" s="10">
        <f>IFERROR(VLOOKUP(A2085,Flete!$A:$J,10,0),"")</f>
        <v/>
      </c>
      <c r="P2085" s="8" t="inlineStr">
        <is>
          <t>TN</t>
        </is>
      </c>
      <c r="Q2085" s="10">
        <f>IFERROR(IFERROR(VLOOKUP(A2085,TRAOPE!$A:$U,21,0),VLOOKUP(B2085,TRAOPE!$A:$U,21,0)),"")</f>
        <v/>
      </c>
      <c r="R2085" s="8">
        <f>IFERROR(IFERROR(VLOOKUP(A2085,TRAOPE!$A:$W,23,0),VLOOKUP(B2085,TRAOPE!$A:$W,23,0)),"")</f>
        <v/>
      </c>
      <c r="S2085" s="10">
        <f>IF(AND(P2085="TN",R2085="TN"),N2085+N(O2085),IF(G2085&amp;""="1",N(K2085)*N2085,(N2085+N(O2085))*N(K2085)))</f>
        <v/>
      </c>
      <c r="T2085" s="10">
        <f>IF(Q2085="","",Q2085-S2085)</f>
        <v/>
      </c>
    </row>
    <row r="2086">
      <c r="A2086" s="7">
        <f>CONCATENATE(C2086,E2086,F2086,I2086)</f>
        <v/>
      </c>
      <c r="B2086" s="7">
        <f>CONCATENATE(C2086,E2086,I2086)</f>
        <v/>
      </c>
      <c r="C2086" s="8" t="n">
        <v>900007028</v>
      </c>
      <c r="D2086" s="7">
        <f>IFERROR(VLOOKUP(C2086,TRAOPE!$G:$H,2,0),"")</f>
        <v/>
      </c>
      <c r="E2086" s="8" t="inlineStr">
        <is>
          <t>D836</t>
        </is>
      </c>
      <c r="F2086" s="8" t="inlineStr">
        <is>
          <t>65796882</t>
        </is>
      </c>
      <c r="G2086" s="8">
        <f>IFERROR(VLOOKUP(A2086,Flete!$A:$E,5,0),"")</f>
        <v/>
      </c>
      <c r="H2086" s="7">
        <f>IFERROR(VLOOKUP(F2086,TRAOPE!$AA:$AB,2,0),"")</f>
        <v/>
      </c>
      <c r="I2086" s="7" t="n">
        <v>10000566</v>
      </c>
      <c r="J2086" s="7">
        <f>IFERROR(VLOOKUP(I2086,Materiales!$A:$H,8,0),"")</f>
        <v/>
      </c>
      <c r="K2086" s="9">
        <f>IFERROR(VLOOKUP(I2086,Materiales!$A:$G,7,0),"")</f>
        <v/>
      </c>
      <c r="L2086" s="8" t="inlineStr">
        <is>
          <t>20190426</t>
        </is>
      </c>
      <c r="M2086" s="8" t="inlineStr">
        <is>
          <t>20250127</t>
        </is>
      </c>
      <c r="N2086" s="10" t="n">
        <v>80</v>
      </c>
      <c r="O2086" s="10">
        <f>IFERROR(VLOOKUP(A2086,Flete!$A:$J,10,0),"")</f>
        <v/>
      </c>
      <c r="P2086" s="8" t="inlineStr">
        <is>
          <t>TN</t>
        </is>
      </c>
      <c r="Q2086" s="10">
        <f>IFERROR(IFERROR(VLOOKUP(A2086,TRAOPE!$A:$U,21,0),VLOOKUP(B2086,TRAOPE!$A:$U,21,0)),"")</f>
        <v/>
      </c>
      <c r="R2086" s="8">
        <f>IFERROR(IFERROR(VLOOKUP(A2086,TRAOPE!$A:$W,23,0),VLOOKUP(B2086,TRAOPE!$A:$W,23,0)),"")</f>
        <v/>
      </c>
      <c r="S2086" s="10">
        <f>IF(AND(P2086="TN",R2086="TN"),N2086+N(O2086),IF(G2086&amp;""="1",N(K2086)*N2086,(N2086+N(O2086))*N(K2086)))</f>
        <v/>
      </c>
      <c r="T2086" s="10">
        <f>IF(Q2086="","",Q2086-S2086)</f>
        <v/>
      </c>
    </row>
    <row r="2087">
      <c r="A2087" s="7">
        <f>CONCATENATE(C2087,E2087,F2087,I2087)</f>
        <v/>
      </c>
      <c r="B2087" s="7">
        <f>CONCATENATE(C2087,E2087,I2087)</f>
        <v/>
      </c>
      <c r="C2087" s="8" t="n">
        <v>900007028</v>
      </c>
      <c r="D2087" s="7">
        <f>IFERROR(VLOOKUP(C2087,TRAOPE!$G:$H,2,0),"")</f>
        <v/>
      </c>
      <c r="E2087" s="8" t="inlineStr">
        <is>
          <t>D836</t>
        </is>
      </c>
      <c r="F2087" s="8" t="inlineStr">
        <is>
          <t>65916616</t>
        </is>
      </c>
      <c r="G2087" s="8">
        <f>IFERROR(VLOOKUP(A2087,Flete!$A:$E,5,0),"")</f>
        <v/>
      </c>
      <c r="H2087" s="7">
        <f>IFERROR(VLOOKUP(F2087,TRAOPE!$AA:$AB,2,0),"")</f>
        <v/>
      </c>
      <c r="I2087" s="7" t="n">
        <v>10000566</v>
      </c>
      <c r="J2087" s="7">
        <f>IFERROR(VLOOKUP(I2087,Materiales!$A:$H,8,0),"")</f>
        <v/>
      </c>
      <c r="K2087" s="9">
        <f>IFERROR(VLOOKUP(I2087,Materiales!$A:$G,7,0),"")</f>
        <v/>
      </c>
      <c r="L2087" s="8" t="inlineStr">
        <is>
          <t>20190426</t>
        </is>
      </c>
      <c r="M2087" s="8" t="inlineStr">
        <is>
          <t>20250127</t>
        </is>
      </c>
      <c r="N2087" s="10" t="n">
        <v>80</v>
      </c>
      <c r="O2087" s="10">
        <f>IFERROR(VLOOKUP(A2087,Flete!$A:$J,10,0),"")</f>
        <v/>
      </c>
      <c r="P2087" s="8" t="inlineStr">
        <is>
          <t>TN</t>
        </is>
      </c>
      <c r="Q2087" s="10">
        <f>IFERROR(IFERROR(VLOOKUP(A2087,TRAOPE!$A:$U,21,0),VLOOKUP(B2087,TRAOPE!$A:$U,21,0)),"")</f>
        <v/>
      </c>
      <c r="R2087" s="8">
        <f>IFERROR(IFERROR(VLOOKUP(A2087,TRAOPE!$A:$W,23,0),VLOOKUP(B2087,TRAOPE!$A:$W,23,0)),"")</f>
        <v/>
      </c>
      <c r="S2087" s="10">
        <f>IF(AND(P2087="TN",R2087="TN"),N2087+N(O2087),IF(G2087&amp;""="1",N(K2087)*N2087,(N2087+N(O2087))*N(K2087)))</f>
        <v/>
      </c>
      <c r="T2087" s="10">
        <f>IF(Q2087="","",Q2087-S2087)</f>
        <v/>
      </c>
    </row>
    <row r="2088">
      <c r="A2088" s="7">
        <f>CONCATENATE(C2088,E2088,F2088,I2088)</f>
        <v/>
      </c>
      <c r="B2088" s="7">
        <f>CONCATENATE(C2088,E2088,I2088)</f>
        <v/>
      </c>
      <c r="C2088" s="8" t="n">
        <v>900007028</v>
      </c>
      <c r="D2088" s="7">
        <f>IFERROR(VLOOKUP(C2088,TRAOPE!$G:$H,2,0),"")</f>
        <v/>
      </c>
      <c r="E2088" s="8" t="inlineStr">
        <is>
          <t>D836</t>
        </is>
      </c>
      <c r="F2088" s="8" t="inlineStr">
        <is>
          <t>66230098</t>
        </is>
      </c>
      <c r="G2088" s="8">
        <f>IFERROR(VLOOKUP(A2088,Flete!$A:$E,5,0),"")</f>
        <v/>
      </c>
      <c r="H2088" s="7">
        <f>IFERROR(VLOOKUP(F2088,TRAOPE!$AA:$AB,2,0),"")</f>
        <v/>
      </c>
      <c r="I2088" s="7" t="n">
        <v>10000566</v>
      </c>
      <c r="J2088" s="7">
        <f>IFERROR(VLOOKUP(I2088,Materiales!$A:$H,8,0),"")</f>
        <v/>
      </c>
      <c r="K2088" s="9">
        <f>IFERROR(VLOOKUP(I2088,Materiales!$A:$G,7,0),"")</f>
        <v/>
      </c>
      <c r="L2088" s="8" t="inlineStr">
        <is>
          <t>20190426</t>
        </is>
      </c>
      <c r="M2088" s="8" t="inlineStr">
        <is>
          <t>20250127</t>
        </is>
      </c>
      <c r="N2088" s="10" t="n">
        <v>80</v>
      </c>
      <c r="O2088" s="10">
        <f>IFERROR(VLOOKUP(A2088,Flete!$A:$J,10,0),"")</f>
        <v/>
      </c>
      <c r="P2088" s="8" t="inlineStr">
        <is>
          <t>TN</t>
        </is>
      </c>
      <c r="Q2088" s="10">
        <f>IFERROR(IFERROR(VLOOKUP(A2088,TRAOPE!$A:$U,21,0),VLOOKUP(B2088,TRAOPE!$A:$U,21,0)),"")</f>
        <v/>
      </c>
      <c r="R2088" s="8">
        <f>IFERROR(IFERROR(VLOOKUP(A2088,TRAOPE!$A:$W,23,0),VLOOKUP(B2088,TRAOPE!$A:$W,23,0)),"")</f>
        <v/>
      </c>
      <c r="S2088" s="10">
        <f>IF(AND(P2088="TN",R2088="TN"),N2088+N(O2088),IF(G2088&amp;""="1",N(K2088)*N2088,(N2088+N(O2088))*N(K2088)))</f>
        <v/>
      </c>
      <c r="T2088" s="10">
        <f>IF(Q2088="","",Q2088-S2088)</f>
        <v/>
      </c>
    </row>
    <row r="2089">
      <c r="A2089" s="7">
        <f>CONCATENATE(C2089,E2089,F2089,I2089)</f>
        <v/>
      </c>
      <c r="B2089" s="7">
        <f>CONCATENATE(C2089,E2089,I2089)</f>
        <v/>
      </c>
      <c r="C2089" s="8" t="n">
        <v>900007028</v>
      </c>
      <c r="D2089" s="7">
        <f>IFERROR(VLOOKUP(C2089,TRAOPE!$G:$H,2,0),"")</f>
        <v/>
      </c>
      <c r="E2089" s="8" t="inlineStr">
        <is>
          <t>D836</t>
        </is>
      </c>
      <c r="F2089" s="8" t="inlineStr">
        <is>
          <t>66233244</t>
        </is>
      </c>
      <c r="G2089" s="8">
        <f>IFERROR(VLOOKUP(A2089,Flete!$A:$E,5,0),"")</f>
        <v/>
      </c>
      <c r="H2089" s="7">
        <f>IFERROR(VLOOKUP(F2089,TRAOPE!$AA:$AB,2,0),"")</f>
        <v/>
      </c>
      <c r="I2089" s="7" t="n">
        <v>10000566</v>
      </c>
      <c r="J2089" s="7">
        <f>IFERROR(VLOOKUP(I2089,Materiales!$A:$H,8,0),"")</f>
        <v/>
      </c>
      <c r="K2089" s="9">
        <f>IFERROR(VLOOKUP(I2089,Materiales!$A:$G,7,0),"")</f>
        <v/>
      </c>
      <c r="L2089" s="8" t="inlineStr">
        <is>
          <t>20190426</t>
        </is>
      </c>
      <c r="M2089" s="8" t="inlineStr">
        <is>
          <t>20250127</t>
        </is>
      </c>
      <c r="N2089" s="10" t="n">
        <v>82</v>
      </c>
      <c r="O2089" s="10">
        <f>IFERROR(VLOOKUP(A2089,Flete!$A:$J,10,0),"")</f>
        <v/>
      </c>
      <c r="P2089" s="8" t="inlineStr">
        <is>
          <t>TN</t>
        </is>
      </c>
      <c r="Q2089" s="10">
        <f>IFERROR(IFERROR(VLOOKUP(A2089,TRAOPE!$A:$U,21,0),VLOOKUP(B2089,TRAOPE!$A:$U,21,0)),"")</f>
        <v/>
      </c>
      <c r="R2089" s="8">
        <f>IFERROR(IFERROR(VLOOKUP(A2089,TRAOPE!$A:$W,23,0),VLOOKUP(B2089,TRAOPE!$A:$W,23,0)),"")</f>
        <v/>
      </c>
      <c r="S2089" s="10">
        <f>IF(AND(P2089="TN",R2089="TN"),N2089+N(O2089),IF(G2089&amp;""="1",N(K2089)*N2089,(N2089+N(O2089))*N(K2089)))</f>
        <v/>
      </c>
      <c r="T2089" s="10">
        <f>IF(Q2089="","",Q2089-S2089)</f>
        <v/>
      </c>
    </row>
    <row r="2090">
      <c r="A2090" s="7">
        <f>CONCATENATE(C2090,E2090,F2090,I2090)</f>
        <v/>
      </c>
      <c r="B2090" s="7">
        <f>CONCATENATE(C2090,E2090,I2090)</f>
        <v/>
      </c>
      <c r="C2090" s="8" t="n">
        <v>900007028</v>
      </c>
      <c r="D2090" s="7">
        <f>IFERROR(VLOOKUP(C2090,TRAOPE!$G:$H,2,0),"")</f>
        <v/>
      </c>
      <c r="E2090" s="8" t="inlineStr">
        <is>
          <t>D836</t>
        </is>
      </c>
      <c r="F2090" s="8" t="inlineStr">
        <is>
          <t>66433509</t>
        </is>
      </c>
      <c r="G2090" s="8">
        <f>IFERROR(VLOOKUP(A2090,Flete!$A:$E,5,0),"")</f>
        <v/>
      </c>
      <c r="H2090" s="7">
        <f>IFERROR(VLOOKUP(F2090,TRAOPE!$AA:$AB,2,0),"")</f>
        <v/>
      </c>
      <c r="I2090" s="7" t="n">
        <v>10000566</v>
      </c>
      <c r="J2090" s="7">
        <f>IFERROR(VLOOKUP(I2090,Materiales!$A:$H,8,0),"")</f>
        <v/>
      </c>
      <c r="K2090" s="9">
        <f>IFERROR(VLOOKUP(I2090,Materiales!$A:$G,7,0),"")</f>
        <v/>
      </c>
      <c r="L2090" s="8" t="inlineStr">
        <is>
          <t>20190426</t>
        </is>
      </c>
      <c r="M2090" s="8" t="inlineStr">
        <is>
          <t>20250127</t>
        </is>
      </c>
      <c r="N2090" s="10" t="n">
        <v>80</v>
      </c>
      <c r="O2090" s="10">
        <f>IFERROR(VLOOKUP(A2090,Flete!$A:$J,10,0),"")</f>
        <v/>
      </c>
      <c r="P2090" s="8" t="inlineStr">
        <is>
          <t>TN</t>
        </is>
      </c>
      <c r="Q2090" s="10">
        <f>IFERROR(IFERROR(VLOOKUP(A2090,TRAOPE!$A:$U,21,0),VLOOKUP(B2090,TRAOPE!$A:$U,21,0)),"")</f>
        <v/>
      </c>
      <c r="R2090" s="8">
        <f>IFERROR(IFERROR(VLOOKUP(A2090,TRAOPE!$A:$W,23,0),VLOOKUP(B2090,TRAOPE!$A:$W,23,0)),"")</f>
        <v/>
      </c>
      <c r="S2090" s="10">
        <f>IF(AND(P2090="TN",R2090="TN"),N2090+N(O2090),IF(G2090&amp;""="1",N(K2090)*N2090,(N2090+N(O2090))*N(K2090)))</f>
        <v/>
      </c>
      <c r="T2090" s="10">
        <f>IF(Q2090="","",Q2090-S2090)</f>
        <v/>
      </c>
    </row>
    <row r="2091">
      <c r="A2091" s="7">
        <f>CONCATENATE(C2091,E2091,F2091,I2091)</f>
        <v/>
      </c>
      <c r="B2091" s="7">
        <f>CONCATENATE(C2091,E2091,I2091)</f>
        <v/>
      </c>
      <c r="C2091" s="8" t="n">
        <v>900007028</v>
      </c>
      <c r="D2091" s="7">
        <f>IFERROR(VLOOKUP(C2091,TRAOPE!$G:$H,2,0),"")</f>
        <v/>
      </c>
      <c r="E2091" s="8" t="inlineStr">
        <is>
          <t>D836</t>
        </is>
      </c>
      <c r="F2091" s="8" t="inlineStr">
        <is>
          <t>66433511</t>
        </is>
      </c>
      <c r="G2091" s="8">
        <f>IFERROR(VLOOKUP(A2091,Flete!$A:$E,5,0),"")</f>
        <v/>
      </c>
      <c r="H2091" s="7">
        <f>IFERROR(VLOOKUP(F2091,TRAOPE!$AA:$AB,2,0),"")</f>
        <v/>
      </c>
      <c r="I2091" s="7" t="n">
        <v>10000566</v>
      </c>
      <c r="J2091" s="7">
        <f>IFERROR(VLOOKUP(I2091,Materiales!$A:$H,8,0),"")</f>
        <v/>
      </c>
      <c r="K2091" s="9">
        <f>IFERROR(VLOOKUP(I2091,Materiales!$A:$G,7,0),"")</f>
        <v/>
      </c>
      <c r="L2091" s="8" t="inlineStr">
        <is>
          <t>20190426</t>
        </is>
      </c>
      <c r="M2091" s="8" t="inlineStr">
        <is>
          <t>20250127</t>
        </is>
      </c>
      <c r="N2091" s="10" t="n">
        <v>80</v>
      </c>
      <c r="O2091" s="10">
        <f>IFERROR(VLOOKUP(A2091,Flete!$A:$J,10,0),"")</f>
        <v/>
      </c>
      <c r="P2091" s="8" t="inlineStr">
        <is>
          <t>TN</t>
        </is>
      </c>
      <c r="Q2091" s="10">
        <f>IFERROR(IFERROR(VLOOKUP(A2091,TRAOPE!$A:$U,21,0),VLOOKUP(B2091,TRAOPE!$A:$U,21,0)),"")</f>
        <v/>
      </c>
      <c r="R2091" s="8">
        <f>IFERROR(IFERROR(VLOOKUP(A2091,TRAOPE!$A:$W,23,0),VLOOKUP(B2091,TRAOPE!$A:$W,23,0)),"")</f>
        <v/>
      </c>
      <c r="S2091" s="10">
        <f>IF(AND(P2091="TN",R2091="TN"),N2091+N(O2091),IF(G2091&amp;""="1",N(K2091)*N2091,(N2091+N(O2091))*N(K2091)))</f>
        <v/>
      </c>
      <c r="T2091" s="10">
        <f>IF(Q2091="","",Q2091-S2091)</f>
        <v/>
      </c>
    </row>
    <row r="2092">
      <c r="A2092" s="7">
        <f>CONCATENATE(C2092,E2092,F2092,I2092)</f>
        <v/>
      </c>
      <c r="B2092" s="7">
        <f>CONCATENATE(C2092,E2092,I2092)</f>
        <v/>
      </c>
      <c r="C2092" s="8" t="n">
        <v>900007028</v>
      </c>
      <c r="D2092" s="7">
        <f>IFERROR(VLOOKUP(C2092,TRAOPE!$G:$H,2,0),"")</f>
        <v/>
      </c>
      <c r="E2092" s="8" t="inlineStr">
        <is>
          <t>D836</t>
        </is>
      </c>
      <c r="F2092" s="8" t="inlineStr">
        <is>
          <t>66442116</t>
        </is>
      </c>
      <c r="G2092" s="8">
        <f>IFERROR(VLOOKUP(A2092,Flete!$A:$E,5,0),"")</f>
        <v/>
      </c>
      <c r="H2092" s="7">
        <f>IFERROR(VLOOKUP(F2092,TRAOPE!$AA:$AB,2,0),"")</f>
        <v/>
      </c>
      <c r="I2092" s="7" t="n">
        <v>10000566</v>
      </c>
      <c r="J2092" s="7">
        <f>IFERROR(VLOOKUP(I2092,Materiales!$A:$H,8,0),"")</f>
        <v/>
      </c>
      <c r="K2092" s="9">
        <f>IFERROR(VLOOKUP(I2092,Materiales!$A:$G,7,0),"")</f>
        <v/>
      </c>
      <c r="L2092" s="8" t="inlineStr">
        <is>
          <t>20190426</t>
        </is>
      </c>
      <c r="M2092" s="8" t="inlineStr">
        <is>
          <t>20250127</t>
        </is>
      </c>
      <c r="N2092" s="10" t="n">
        <v>80</v>
      </c>
      <c r="O2092" s="10">
        <f>IFERROR(VLOOKUP(A2092,Flete!$A:$J,10,0),"")</f>
        <v/>
      </c>
      <c r="P2092" s="8" t="inlineStr">
        <is>
          <t>TN</t>
        </is>
      </c>
      <c r="Q2092" s="10">
        <f>IFERROR(IFERROR(VLOOKUP(A2092,TRAOPE!$A:$U,21,0),VLOOKUP(B2092,TRAOPE!$A:$U,21,0)),"")</f>
        <v/>
      </c>
      <c r="R2092" s="8">
        <f>IFERROR(IFERROR(VLOOKUP(A2092,TRAOPE!$A:$W,23,0),VLOOKUP(B2092,TRAOPE!$A:$W,23,0)),"")</f>
        <v/>
      </c>
      <c r="S2092" s="10">
        <f>IF(AND(P2092="TN",R2092="TN"),N2092+N(O2092),IF(G2092&amp;""="1",N(K2092)*N2092,(N2092+N(O2092))*N(K2092)))</f>
        <v/>
      </c>
      <c r="T2092" s="10">
        <f>IF(Q2092="","",Q2092-S2092)</f>
        <v/>
      </c>
    </row>
    <row r="2093">
      <c r="A2093" s="7">
        <f>CONCATENATE(C2093,E2093,F2093,I2093)</f>
        <v/>
      </c>
      <c r="B2093" s="7">
        <f>CONCATENATE(C2093,E2093,I2093)</f>
        <v/>
      </c>
      <c r="C2093" s="8" t="n">
        <v>900007028</v>
      </c>
      <c r="D2093" s="7">
        <f>IFERROR(VLOOKUP(C2093,TRAOPE!$G:$H,2,0),"")</f>
        <v/>
      </c>
      <c r="E2093" s="8" t="inlineStr">
        <is>
          <t>D836</t>
        </is>
      </c>
      <c r="F2093" s="8" t="inlineStr">
        <is>
          <t>66445399</t>
        </is>
      </c>
      <c r="G2093" s="8">
        <f>IFERROR(VLOOKUP(A2093,Flete!$A:$E,5,0),"")</f>
        <v/>
      </c>
      <c r="H2093" s="7">
        <f>IFERROR(VLOOKUP(F2093,TRAOPE!$AA:$AB,2,0),"")</f>
        <v/>
      </c>
      <c r="I2093" s="7" t="n">
        <v>10000566</v>
      </c>
      <c r="J2093" s="7">
        <f>IFERROR(VLOOKUP(I2093,Materiales!$A:$H,8,0),"")</f>
        <v/>
      </c>
      <c r="K2093" s="9">
        <f>IFERROR(VLOOKUP(I2093,Materiales!$A:$G,7,0),"")</f>
        <v/>
      </c>
      <c r="L2093" s="8" t="inlineStr">
        <is>
          <t>20190426</t>
        </is>
      </c>
      <c r="M2093" s="8" t="inlineStr">
        <is>
          <t>20250127</t>
        </is>
      </c>
      <c r="N2093" s="10" t="n">
        <v>85</v>
      </c>
      <c r="O2093" s="10">
        <f>IFERROR(VLOOKUP(A2093,Flete!$A:$J,10,0),"")</f>
        <v/>
      </c>
      <c r="P2093" s="8" t="inlineStr">
        <is>
          <t>TN</t>
        </is>
      </c>
      <c r="Q2093" s="10">
        <f>IFERROR(IFERROR(VLOOKUP(A2093,TRAOPE!$A:$U,21,0),VLOOKUP(B2093,TRAOPE!$A:$U,21,0)),"")</f>
        <v/>
      </c>
      <c r="R2093" s="8">
        <f>IFERROR(IFERROR(VLOOKUP(A2093,TRAOPE!$A:$W,23,0),VLOOKUP(B2093,TRAOPE!$A:$W,23,0)),"")</f>
        <v/>
      </c>
      <c r="S2093" s="10">
        <f>IF(AND(P2093="TN",R2093="TN"),N2093+N(O2093),IF(G2093&amp;""="1",N(K2093)*N2093,(N2093+N(O2093))*N(K2093)))</f>
        <v/>
      </c>
      <c r="T2093" s="10">
        <f>IF(Q2093="","",Q2093-S2093)</f>
        <v/>
      </c>
    </row>
    <row r="2094">
      <c r="A2094" s="7">
        <f>CONCATENATE(C2094,E2094,F2094,I2094)</f>
        <v/>
      </c>
      <c r="B2094" s="7">
        <f>CONCATENATE(C2094,E2094,I2094)</f>
        <v/>
      </c>
      <c r="C2094" s="8" t="n">
        <v>900007028</v>
      </c>
      <c r="D2094" s="7">
        <f>IFERROR(VLOOKUP(C2094,TRAOPE!$G:$H,2,0),"")</f>
        <v/>
      </c>
      <c r="E2094" s="8" t="inlineStr">
        <is>
          <t>D836</t>
        </is>
      </c>
      <c r="F2094" s="8" t="inlineStr">
        <is>
          <t>66450072</t>
        </is>
      </c>
      <c r="G2094" s="8">
        <f>IFERROR(VLOOKUP(A2094,Flete!$A:$E,5,0),"")</f>
        <v/>
      </c>
      <c r="H2094" s="7">
        <f>IFERROR(VLOOKUP(F2094,TRAOPE!$AA:$AB,2,0),"")</f>
        <v/>
      </c>
      <c r="I2094" s="7" t="n">
        <v>10000566</v>
      </c>
      <c r="J2094" s="7">
        <f>IFERROR(VLOOKUP(I2094,Materiales!$A:$H,8,0),"")</f>
        <v/>
      </c>
      <c r="K2094" s="9">
        <f>IFERROR(VLOOKUP(I2094,Materiales!$A:$G,7,0),"")</f>
        <v/>
      </c>
      <c r="L2094" s="8" t="inlineStr">
        <is>
          <t>20190426</t>
        </is>
      </c>
      <c r="M2094" s="8" t="inlineStr">
        <is>
          <t>20250127</t>
        </is>
      </c>
      <c r="N2094" s="10" t="n">
        <v>80</v>
      </c>
      <c r="O2094" s="10">
        <f>IFERROR(VLOOKUP(A2094,Flete!$A:$J,10,0),"")</f>
        <v/>
      </c>
      <c r="P2094" s="8" t="inlineStr">
        <is>
          <t>TN</t>
        </is>
      </c>
      <c r="Q2094" s="10">
        <f>IFERROR(IFERROR(VLOOKUP(A2094,TRAOPE!$A:$U,21,0),VLOOKUP(B2094,TRAOPE!$A:$U,21,0)),"")</f>
        <v/>
      </c>
      <c r="R2094" s="8">
        <f>IFERROR(IFERROR(VLOOKUP(A2094,TRAOPE!$A:$W,23,0),VLOOKUP(B2094,TRAOPE!$A:$W,23,0)),"")</f>
        <v/>
      </c>
      <c r="S2094" s="10">
        <f>IF(AND(P2094="TN",R2094="TN"),N2094+N(O2094),IF(G2094&amp;""="1",N(K2094)*N2094,(N2094+N(O2094))*N(K2094)))</f>
        <v/>
      </c>
      <c r="T2094" s="10">
        <f>IF(Q2094="","",Q2094-S2094)</f>
        <v/>
      </c>
    </row>
    <row r="2095">
      <c r="A2095" s="7">
        <f>CONCATENATE(C2095,E2095,F2095,I2095)</f>
        <v/>
      </c>
      <c r="B2095" s="7">
        <f>CONCATENATE(C2095,E2095,I2095)</f>
        <v/>
      </c>
      <c r="C2095" s="8" t="n">
        <v>900007028</v>
      </c>
      <c r="D2095" s="7">
        <f>IFERROR(VLOOKUP(C2095,TRAOPE!$G:$H,2,0),"")</f>
        <v/>
      </c>
      <c r="E2095" s="8" t="inlineStr">
        <is>
          <t>D836</t>
        </is>
      </c>
      <c r="F2095" s="8" t="inlineStr">
        <is>
          <t>66463792</t>
        </is>
      </c>
      <c r="G2095" s="8">
        <f>IFERROR(VLOOKUP(A2095,Flete!$A:$E,5,0),"")</f>
        <v/>
      </c>
      <c r="H2095" s="7">
        <f>IFERROR(VLOOKUP(F2095,TRAOPE!$AA:$AB,2,0),"")</f>
        <v/>
      </c>
      <c r="I2095" s="7" t="n">
        <v>10000566</v>
      </c>
      <c r="J2095" s="7">
        <f>IFERROR(VLOOKUP(I2095,Materiales!$A:$H,8,0),"")</f>
        <v/>
      </c>
      <c r="K2095" s="9">
        <f>IFERROR(VLOOKUP(I2095,Materiales!$A:$G,7,0),"")</f>
        <v/>
      </c>
      <c r="L2095" s="8" t="inlineStr">
        <is>
          <t>20190426</t>
        </is>
      </c>
      <c r="M2095" s="8" t="inlineStr">
        <is>
          <t>20250127</t>
        </is>
      </c>
      <c r="N2095" s="10" t="n">
        <v>85</v>
      </c>
      <c r="O2095" s="10">
        <f>IFERROR(VLOOKUP(A2095,Flete!$A:$J,10,0),"")</f>
        <v/>
      </c>
      <c r="P2095" s="8" t="inlineStr">
        <is>
          <t>TN</t>
        </is>
      </c>
      <c r="Q2095" s="10">
        <f>IFERROR(IFERROR(VLOOKUP(A2095,TRAOPE!$A:$U,21,0),VLOOKUP(B2095,TRAOPE!$A:$U,21,0)),"")</f>
        <v/>
      </c>
      <c r="R2095" s="8">
        <f>IFERROR(IFERROR(VLOOKUP(A2095,TRAOPE!$A:$W,23,0),VLOOKUP(B2095,TRAOPE!$A:$W,23,0)),"")</f>
        <v/>
      </c>
      <c r="S2095" s="10">
        <f>IF(AND(P2095="TN",R2095="TN"),N2095+N(O2095),IF(G2095&amp;""="1",N(K2095)*N2095,(N2095+N(O2095))*N(K2095)))</f>
        <v/>
      </c>
      <c r="T2095" s="10">
        <f>IF(Q2095="","",Q2095-S2095)</f>
        <v/>
      </c>
    </row>
    <row r="2096">
      <c r="A2096" s="7">
        <f>CONCATENATE(C2096,E2096,F2096,I2096)</f>
        <v/>
      </c>
      <c r="B2096" s="7">
        <f>CONCATENATE(C2096,E2096,I2096)</f>
        <v/>
      </c>
      <c r="C2096" s="8" t="n">
        <v>900007028</v>
      </c>
      <c r="D2096" s="7">
        <f>IFERROR(VLOOKUP(C2096,TRAOPE!$G:$H,2,0),"")</f>
        <v/>
      </c>
      <c r="E2096" s="8" t="inlineStr">
        <is>
          <t>D836</t>
        </is>
      </c>
      <c r="F2096" s="8" t="inlineStr">
        <is>
          <t>66550843</t>
        </is>
      </c>
      <c r="G2096" s="8">
        <f>IFERROR(VLOOKUP(A2096,Flete!$A:$E,5,0),"")</f>
        <v/>
      </c>
      <c r="H2096" s="7">
        <f>IFERROR(VLOOKUP(F2096,TRAOPE!$AA:$AB,2,0),"")</f>
        <v/>
      </c>
      <c r="I2096" s="7" t="n">
        <v>10000566</v>
      </c>
      <c r="J2096" s="7">
        <f>IFERROR(VLOOKUP(I2096,Materiales!$A:$H,8,0),"")</f>
        <v/>
      </c>
      <c r="K2096" s="9">
        <f>IFERROR(VLOOKUP(I2096,Materiales!$A:$G,7,0),"")</f>
        <v/>
      </c>
      <c r="L2096" s="8" t="inlineStr">
        <is>
          <t>20190426</t>
        </is>
      </c>
      <c r="M2096" s="8" t="inlineStr">
        <is>
          <t>20250127</t>
        </is>
      </c>
      <c r="N2096" s="10" t="n">
        <v>80</v>
      </c>
      <c r="O2096" s="10">
        <f>IFERROR(VLOOKUP(A2096,Flete!$A:$J,10,0),"")</f>
        <v/>
      </c>
      <c r="P2096" s="8" t="inlineStr">
        <is>
          <t>TN</t>
        </is>
      </c>
      <c r="Q2096" s="10">
        <f>IFERROR(IFERROR(VLOOKUP(A2096,TRAOPE!$A:$U,21,0),VLOOKUP(B2096,TRAOPE!$A:$U,21,0)),"")</f>
        <v/>
      </c>
      <c r="R2096" s="8">
        <f>IFERROR(IFERROR(VLOOKUP(A2096,TRAOPE!$A:$W,23,0),VLOOKUP(B2096,TRAOPE!$A:$W,23,0)),"")</f>
        <v/>
      </c>
      <c r="S2096" s="10">
        <f>IF(AND(P2096="TN",R2096="TN"),N2096+N(O2096),IF(G2096&amp;""="1",N(K2096)*N2096,(N2096+N(O2096))*N(K2096)))</f>
        <v/>
      </c>
      <c r="T2096" s="10">
        <f>IF(Q2096="","",Q2096-S2096)</f>
        <v/>
      </c>
    </row>
    <row r="2097">
      <c r="A2097" s="7">
        <f>CONCATENATE(C2097,E2097,F2097,I2097)</f>
        <v/>
      </c>
      <c r="B2097" s="7">
        <f>CONCATENATE(C2097,E2097,I2097)</f>
        <v/>
      </c>
      <c r="C2097" s="8" t="n">
        <v>900007028</v>
      </c>
      <c r="D2097" s="7">
        <f>IFERROR(VLOOKUP(C2097,TRAOPE!$G:$H,2,0),"")</f>
        <v/>
      </c>
      <c r="E2097" s="8" t="inlineStr">
        <is>
          <t>D836</t>
        </is>
      </c>
      <c r="F2097" s="8" t="inlineStr">
        <is>
          <t>66555135</t>
        </is>
      </c>
      <c r="G2097" s="8">
        <f>IFERROR(VLOOKUP(A2097,Flete!$A:$E,5,0),"")</f>
        <v/>
      </c>
      <c r="H2097" s="7">
        <f>IFERROR(VLOOKUP(F2097,TRAOPE!$AA:$AB,2,0),"")</f>
        <v/>
      </c>
      <c r="I2097" s="7" t="n">
        <v>10000566</v>
      </c>
      <c r="J2097" s="7">
        <f>IFERROR(VLOOKUP(I2097,Materiales!$A:$H,8,0),"")</f>
        <v/>
      </c>
      <c r="K2097" s="9">
        <f>IFERROR(VLOOKUP(I2097,Materiales!$A:$G,7,0),"")</f>
        <v/>
      </c>
      <c r="L2097" s="8" t="inlineStr">
        <is>
          <t>20190426</t>
        </is>
      </c>
      <c r="M2097" s="8" t="inlineStr">
        <is>
          <t>20250127</t>
        </is>
      </c>
      <c r="N2097" s="10" t="n">
        <v>80</v>
      </c>
      <c r="O2097" s="10">
        <f>IFERROR(VLOOKUP(A2097,Flete!$A:$J,10,0),"")</f>
        <v/>
      </c>
      <c r="P2097" s="8" t="inlineStr">
        <is>
          <t>TN</t>
        </is>
      </c>
      <c r="Q2097" s="10">
        <f>IFERROR(IFERROR(VLOOKUP(A2097,TRAOPE!$A:$U,21,0),VLOOKUP(B2097,TRAOPE!$A:$U,21,0)),"")</f>
        <v/>
      </c>
      <c r="R2097" s="8">
        <f>IFERROR(IFERROR(VLOOKUP(A2097,TRAOPE!$A:$W,23,0),VLOOKUP(B2097,TRAOPE!$A:$W,23,0)),"")</f>
        <v/>
      </c>
      <c r="S2097" s="10">
        <f>IF(AND(P2097="TN",R2097="TN"),N2097+N(O2097),IF(G2097&amp;""="1",N(K2097)*N2097,(N2097+N(O2097))*N(K2097)))</f>
        <v/>
      </c>
      <c r="T2097" s="10">
        <f>IF(Q2097="","",Q2097-S2097)</f>
        <v/>
      </c>
    </row>
    <row r="2098">
      <c r="A2098" s="7">
        <f>CONCATENATE(C2098,E2098,F2098,I2098)</f>
        <v/>
      </c>
      <c r="B2098" s="7">
        <f>CONCATENATE(C2098,E2098,I2098)</f>
        <v/>
      </c>
      <c r="C2098" s="8" t="n">
        <v>900007028</v>
      </c>
      <c r="D2098" s="7">
        <f>IFERROR(VLOOKUP(C2098,TRAOPE!$G:$H,2,0),"")</f>
        <v/>
      </c>
      <c r="E2098" s="8" t="inlineStr">
        <is>
          <t>D836</t>
        </is>
      </c>
      <c r="F2098" s="8" t="inlineStr">
        <is>
          <t>66827157</t>
        </is>
      </c>
      <c r="G2098" s="8">
        <f>IFERROR(VLOOKUP(A2098,Flete!$A:$E,5,0),"")</f>
        <v/>
      </c>
      <c r="H2098" s="7">
        <f>IFERROR(VLOOKUP(F2098,TRAOPE!$AA:$AB,2,0),"")</f>
        <v/>
      </c>
      <c r="I2098" s="7" t="n">
        <v>10000566</v>
      </c>
      <c r="J2098" s="7">
        <f>IFERROR(VLOOKUP(I2098,Materiales!$A:$H,8,0),"")</f>
        <v/>
      </c>
      <c r="K2098" s="9">
        <f>IFERROR(VLOOKUP(I2098,Materiales!$A:$G,7,0),"")</f>
        <v/>
      </c>
      <c r="L2098" s="8" t="inlineStr">
        <is>
          <t>20190426</t>
        </is>
      </c>
      <c r="M2098" s="8" t="inlineStr">
        <is>
          <t>20250127</t>
        </is>
      </c>
      <c r="N2098" s="10" t="n">
        <v>80</v>
      </c>
      <c r="O2098" s="10">
        <f>IFERROR(VLOOKUP(A2098,Flete!$A:$J,10,0),"")</f>
        <v/>
      </c>
      <c r="P2098" s="8" t="inlineStr">
        <is>
          <t>TN</t>
        </is>
      </c>
      <c r="Q2098" s="10">
        <f>IFERROR(IFERROR(VLOOKUP(A2098,TRAOPE!$A:$U,21,0),VLOOKUP(B2098,TRAOPE!$A:$U,21,0)),"")</f>
        <v/>
      </c>
      <c r="R2098" s="8">
        <f>IFERROR(IFERROR(VLOOKUP(A2098,TRAOPE!$A:$W,23,0),VLOOKUP(B2098,TRAOPE!$A:$W,23,0)),"")</f>
        <v/>
      </c>
      <c r="S2098" s="10">
        <f>IF(AND(P2098="TN",R2098="TN"),N2098+N(O2098),IF(G2098&amp;""="1",N(K2098)*N2098,(N2098+N(O2098))*N(K2098)))</f>
        <v/>
      </c>
      <c r="T2098" s="10">
        <f>IF(Q2098="","",Q2098-S2098)</f>
        <v/>
      </c>
    </row>
    <row r="2099">
      <c r="A2099" s="7">
        <f>CONCATENATE(C2099,E2099,F2099,I2099)</f>
        <v/>
      </c>
      <c r="B2099" s="7">
        <f>CONCATENATE(C2099,E2099,I2099)</f>
        <v/>
      </c>
      <c r="C2099" s="8" t="n">
        <v>900007028</v>
      </c>
      <c r="D2099" s="7">
        <f>IFERROR(VLOOKUP(C2099,TRAOPE!$G:$H,2,0),"")</f>
        <v/>
      </c>
      <c r="E2099" s="8" t="inlineStr">
        <is>
          <t>D836</t>
        </is>
      </c>
      <c r="F2099" s="8" t="inlineStr">
        <is>
          <t>66861303</t>
        </is>
      </c>
      <c r="G2099" s="8">
        <f>IFERROR(VLOOKUP(A2099,Flete!$A:$E,5,0),"")</f>
        <v/>
      </c>
      <c r="H2099" s="7">
        <f>IFERROR(VLOOKUP(F2099,TRAOPE!$AA:$AB,2,0),"")</f>
        <v/>
      </c>
      <c r="I2099" s="7" t="n">
        <v>10000566</v>
      </c>
      <c r="J2099" s="7">
        <f>IFERROR(VLOOKUP(I2099,Materiales!$A:$H,8,0),"")</f>
        <v/>
      </c>
      <c r="K2099" s="9">
        <f>IFERROR(VLOOKUP(I2099,Materiales!$A:$G,7,0),"")</f>
        <v/>
      </c>
      <c r="L2099" s="8" t="inlineStr">
        <is>
          <t>20190426</t>
        </is>
      </c>
      <c r="M2099" s="8" t="inlineStr">
        <is>
          <t>20250127</t>
        </is>
      </c>
      <c r="N2099" s="10" t="n">
        <v>85</v>
      </c>
      <c r="O2099" s="10">
        <f>IFERROR(VLOOKUP(A2099,Flete!$A:$J,10,0),"")</f>
        <v/>
      </c>
      <c r="P2099" s="8" t="inlineStr">
        <is>
          <t>TN</t>
        </is>
      </c>
      <c r="Q2099" s="10">
        <f>IFERROR(IFERROR(VLOOKUP(A2099,TRAOPE!$A:$U,21,0),VLOOKUP(B2099,TRAOPE!$A:$U,21,0)),"")</f>
        <v/>
      </c>
      <c r="R2099" s="8">
        <f>IFERROR(IFERROR(VLOOKUP(A2099,TRAOPE!$A:$W,23,0),VLOOKUP(B2099,TRAOPE!$A:$W,23,0)),"")</f>
        <v/>
      </c>
      <c r="S2099" s="10">
        <f>IF(AND(P2099="TN",R2099="TN"),N2099+N(O2099),IF(G2099&amp;""="1",N(K2099)*N2099,(N2099+N(O2099))*N(K2099)))</f>
        <v/>
      </c>
      <c r="T2099" s="10">
        <f>IF(Q2099="","",Q2099-S2099)</f>
        <v/>
      </c>
    </row>
    <row r="2100">
      <c r="A2100" s="7">
        <f>CONCATENATE(C2100,E2100,F2100,I2100)</f>
        <v/>
      </c>
      <c r="B2100" s="7">
        <f>CONCATENATE(C2100,E2100,I2100)</f>
        <v/>
      </c>
      <c r="C2100" s="8" t="n">
        <v>900007320</v>
      </c>
      <c r="D2100" s="7">
        <f>IFERROR(VLOOKUP(C2100,TRAOPE!$G:$H,2,0),"")</f>
        <v/>
      </c>
      <c r="E2100" s="8" t="inlineStr">
        <is>
          <t>D836</t>
        </is>
      </c>
      <c r="F2100" s="8" t="inlineStr">
        <is>
          <t>65003945</t>
        </is>
      </c>
      <c r="G2100" s="8">
        <f>IFERROR(VLOOKUP(A2100,Flete!$A:$E,5,0),"")</f>
        <v/>
      </c>
      <c r="H2100" s="7">
        <f>IFERROR(VLOOKUP(F2100,TRAOPE!$AA:$AB,2,0),"")</f>
        <v/>
      </c>
      <c r="I2100" s="7" t="n">
        <v>10000160</v>
      </c>
      <c r="J2100" s="7">
        <f>IFERROR(VLOOKUP(I2100,Materiales!$A:$H,8,0),"")</f>
        <v/>
      </c>
      <c r="K2100" s="9">
        <f>IFERROR(VLOOKUP(I2100,Materiales!$A:$G,7,0),"")</f>
        <v/>
      </c>
      <c r="L2100" s="8" t="inlineStr">
        <is>
          <t>20190426</t>
        </is>
      </c>
      <c r="M2100" s="8" t="inlineStr">
        <is>
          <t>20250127</t>
        </is>
      </c>
      <c r="N2100" s="10" t="n">
        <v>95</v>
      </c>
      <c r="O2100" s="10">
        <f>IFERROR(VLOOKUP(A2100,Flete!$A:$J,10,0),"")</f>
        <v/>
      </c>
      <c r="P2100" s="8" t="inlineStr">
        <is>
          <t>M3</t>
        </is>
      </c>
      <c r="Q2100" s="10">
        <f>IFERROR(IFERROR(VLOOKUP(A2100,TRAOPE!$A:$U,21,0),VLOOKUP(B2100,TRAOPE!$A:$U,21,0)),"")</f>
        <v/>
      </c>
      <c r="R2100" s="8">
        <f>IFERROR(IFERROR(VLOOKUP(A2100,TRAOPE!$A:$W,23,0),VLOOKUP(B2100,TRAOPE!$A:$W,23,0)),"")</f>
        <v/>
      </c>
      <c r="S2100" s="10">
        <f>IF(AND(P2100="TN",R2100="TN"),N2100+N(O2100),IF(G2100&amp;""="1",N(K2100)*N2100,(N2100+N(O2100))*N(K2100)))</f>
        <v/>
      </c>
      <c r="T2100" s="10">
        <f>IF(Q2100="","",Q2100-S2100)</f>
        <v/>
      </c>
    </row>
    <row r="2101">
      <c r="A2101" s="7">
        <f>CONCATENATE(C2101,E2101,F2101,I2101)</f>
        <v/>
      </c>
      <c r="B2101" s="7">
        <f>CONCATENATE(C2101,E2101,I2101)</f>
        <v/>
      </c>
      <c r="C2101" s="8" t="n">
        <v>900007320</v>
      </c>
      <c r="D2101" s="7">
        <f>IFERROR(VLOOKUP(C2101,TRAOPE!$G:$H,2,0),"")</f>
        <v/>
      </c>
      <c r="E2101" s="8" t="inlineStr">
        <is>
          <t>D836</t>
        </is>
      </c>
      <c r="F2101" s="8" t="inlineStr">
        <is>
          <t>65003945</t>
        </is>
      </c>
      <c r="G2101" s="8">
        <f>IFERROR(VLOOKUP(A2101,Flete!$A:$E,5,0),"")</f>
        <v/>
      </c>
      <c r="H2101" s="7">
        <f>IFERROR(VLOOKUP(F2101,TRAOPE!$AA:$AB,2,0),"")</f>
        <v/>
      </c>
      <c r="I2101" s="7" t="n">
        <v>10000357</v>
      </c>
      <c r="J2101" s="7">
        <f>IFERROR(VLOOKUP(I2101,Materiales!$A:$H,8,0),"")</f>
        <v/>
      </c>
      <c r="K2101" s="9">
        <f>IFERROR(VLOOKUP(I2101,Materiales!$A:$G,7,0),"")</f>
        <v/>
      </c>
      <c r="L2101" s="8" t="inlineStr">
        <is>
          <t>20190426</t>
        </is>
      </c>
      <c r="M2101" s="8" t="inlineStr">
        <is>
          <t>20250127</t>
        </is>
      </c>
      <c r="N2101" s="10" t="n">
        <v>110</v>
      </c>
      <c r="O2101" s="10">
        <f>IFERROR(VLOOKUP(A2101,Flete!$A:$J,10,0),"")</f>
        <v/>
      </c>
      <c r="P2101" s="8" t="inlineStr">
        <is>
          <t>M3</t>
        </is>
      </c>
      <c r="Q2101" s="10">
        <f>IFERROR(IFERROR(VLOOKUP(A2101,TRAOPE!$A:$U,21,0),VLOOKUP(B2101,TRAOPE!$A:$U,21,0)),"")</f>
        <v/>
      </c>
      <c r="R2101" s="8">
        <f>IFERROR(IFERROR(VLOOKUP(A2101,TRAOPE!$A:$W,23,0),VLOOKUP(B2101,TRAOPE!$A:$W,23,0)),"")</f>
        <v/>
      </c>
      <c r="S2101" s="10">
        <f>IF(AND(P2101="TN",R2101="TN"),N2101+N(O2101),IF(G2101&amp;""="1",N(K2101)*N2101,(N2101+N(O2101))*N(K2101)))</f>
        <v/>
      </c>
      <c r="T2101" s="10">
        <f>IF(Q2101="","",Q2101-S2101)</f>
        <v/>
      </c>
    </row>
    <row r="2102">
      <c r="A2102" s="7">
        <f>CONCATENATE(C2102,E2102,F2102,I2102)</f>
        <v/>
      </c>
      <c r="B2102" s="7">
        <f>CONCATENATE(C2102,E2102,I2102)</f>
        <v/>
      </c>
      <c r="C2102" s="8" t="n">
        <v>900007320</v>
      </c>
      <c r="D2102" s="7">
        <f>IFERROR(VLOOKUP(C2102,TRAOPE!$G:$H,2,0),"")</f>
        <v/>
      </c>
      <c r="E2102" s="8" t="inlineStr">
        <is>
          <t>D836</t>
        </is>
      </c>
      <c r="F2102" s="8" t="inlineStr">
        <is>
          <t>65014664</t>
        </is>
      </c>
      <c r="G2102" s="8">
        <f>IFERROR(VLOOKUP(A2102,Flete!$A:$E,5,0),"")</f>
        <v/>
      </c>
      <c r="H2102" s="7">
        <f>IFERROR(VLOOKUP(F2102,TRAOPE!$AA:$AB,2,0),"")</f>
        <v/>
      </c>
      <c r="I2102" s="7" t="n">
        <v>10000627</v>
      </c>
      <c r="J2102" s="7">
        <f>IFERROR(VLOOKUP(I2102,Materiales!$A:$H,8,0),"")</f>
        <v/>
      </c>
      <c r="K2102" s="9">
        <f>IFERROR(VLOOKUP(I2102,Materiales!$A:$G,7,0),"")</f>
        <v/>
      </c>
      <c r="L2102" s="8" t="inlineStr">
        <is>
          <t>20190426</t>
        </is>
      </c>
      <c r="M2102" s="8" t="inlineStr">
        <is>
          <t>20250127</t>
        </is>
      </c>
      <c r="N2102" s="10" t="n">
        <v>106.93</v>
      </c>
      <c r="O2102" s="10">
        <f>IFERROR(VLOOKUP(A2102,Flete!$A:$J,10,0),"")</f>
        <v/>
      </c>
      <c r="P2102" s="8" t="inlineStr">
        <is>
          <t>M3</t>
        </is>
      </c>
      <c r="Q2102" s="10">
        <f>IFERROR(IFERROR(VLOOKUP(A2102,TRAOPE!$A:$U,21,0),VLOOKUP(B2102,TRAOPE!$A:$U,21,0)),"")</f>
        <v/>
      </c>
      <c r="R2102" s="8">
        <f>IFERROR(IFERROR(VLOOKUP(A2102,TRAOPE!$A:$W,23,0),VLOOKUP(B2102,TRAOPE!$A:$W,23,0)),"")</f>
        <v/>
      </c>
      <c r="S2102" s="10">
        <f>IF(AND(P2102="TN",R2102="TN"),N2102+N(O2102),IF(G2102&amp;""="1",N(K2102)*N2102,(N2102+N(O2102))*N(K2102)))</f>
        <v/>
      </c>
      <c r="T2102" s="10">
        <f>IF(Q2102="","",Q2102-S2102)</f>
        <v/>
      </c>
    </row>
    <row r="2103">
      <c r="A2103" s="7">
        <f>CONCATENATE(C2103,E2103,F2103,I2103)</f>
        <v/>
      </c>
      <c r="B2103" s="7">
        <f>CONCATENATE(C2103,E2103,I2103)</f>
        <v/>
      </c>
      <c r="C2103" s="8" t="n">
        <v>900007320</v>
      </c>
      <c r="D2103" s="7">
        <f>IFERROR(VLOOKUP(C2103,TRAOPE!$G:$H,2,0),"")</f>
        <v/>
      </c>
      <c r="E2103" s="8" t="inlineStr">
        <is>
          <t>D836</t>
        </is>
      </c>
      <c r="F2103" s="8" t="inlineStr">
        <is>
          <t>65796882</t>
        </is>
      </c>
      <c r="G2103" s="8">
        <f>IFERROR(VLOOKUP(A2103,Flete!$A:$E,5,0),"")</f>
        <v/>
      </c>
      <c r="H2103" s="7">
        <f>IFERROR(VLOOKUP(F2103,TRAOPE!$AA:$AB,2,0),"")</f>
        <v/>
      </c>
      <c r="I2103" s="7" t="n">
        <v>10218415</v>
      </c>
      <c r="J2103" s="7">
        <f>IFERROR(VLOOKUP(I2103,Materiales!$A:$H,8,0),"")</f>
        <v/>
      </c>
      <c r="K2103" s="9">
        <f>IFERROR(VLOOKUP(I2103,Materiales!$A:$G,7,0),"")</f>
        <v/>
      </c>
      <c r="L2103" s="8" t="inlineStr">
        <is>
          <t>20190426</t>
        </is>
      </c>
      <c r="M2103" s="8" t="inlineStr">
        <is>
          <t>20250127</t>
        </is>
      </c>
      <c r="N2103" s="10" t="n">
        <v>90</v>
      </c>
      <c r="O2103" s="10">
        <f>IFERROR(VLOOKUP(A2103,Flete!$A:$J,10,0),"")</f>
        <v/>
      </c>
      <c r="P2103" s="8" t="inlineStr">
        <is>
          <t>M3</t>
        </is>
      </c>
      <c r="Q2103" s="10">
        <f>IFERROR(IFERROR(VLOOKUP(A2103,TRAOPE!$A:$U,21,0),VLOOKUP(B2103,TRAOPE!$A:$U,21,0)),"")</f>
        <v/>
      </c>
      <c r="R2103" s="8">
        <f>IFERROR(IFERROR(VLOOKUP(A2103,TRAOPE!$A:$W,23,0),VLOOKUP(B2103,TRAOPE!$A:$W,23,0)),"")</f>
        <v/>
      </c>
      <c r="S2103" s="10">
        <f>IF(AND(P2103="TN",R2103="TN"),N2103+N(O2103),IF(G2103&amp;""="1",N(K2103)*N2103,(N2103+N(O2103))*N(K2103)))</f>
        <v/>
      </c>
      <c r="T2103" s="10">
        <f>IF(Q2103="","",Q2103-S2103)</f>
        <v/>
      </c>
    </row>
    <row r="2104">
      <c r="A2104" s="7">
        <f>CONCATENATE(C2104,E2104,F2104,I2104)</f>
        <v/>
      </c>
      <c r="B2104" s="7">
        <f>CONCATENATE(C2104,E2104,I2104)</f>
        <v/>
      </c>
      <c r="C2104" s="8" t="n">
        <v>900007320</v>
      </c>
      <c r="D2104" s="7">
        <f>IFERROR(VLOOKUP(C2104,TRAOPE!$G:$H,2,0),"")</f>
        <v/>
      </c>
      <c r="E2104" s="8" t="inlineStr">
        <is>
          <t>D836</t>
        </is>
      </c>
      <c r="F2104" s="8" t="inlineStr">
        <is>
          <t>65916616</t>
        </is>
      </c>
      <c r="G2104" s="8">
        <f>IFERROR(VLOOKUP(A2104,Flete!$A:$E,5,0),"")</f>
        <v/>
      </c>
      <c r="H2104" s="7">
        <f>IFERROR(VLOOKUP(F2104,TRAOPE!$AA:$AB,2,0),"")</f>
        <v/>
      </c>
      <c r="I2104" s="7" t="n">
        <v>10000357</v>
      </c>
      <c r="J2104" s="7">
        <f>IFERROR(VLOOKUP(I2104,Materiales!$A:$H,8,0),"")</f>
        <v/>
      </c>
      <c r="K2104" s="9">
        <f>IFERROR(VLOOKUP(I2104,Materiales!$A:$G,7,0),"")</f>
        <v/>
      </c>
      <c r="L2104" s="8" t="inlineStr">
        <is>
          <t>20190426</t>
        </is>
      </c>
      <c r="M2104" s="8" t="inlineStr">
        <is>
          <t>20250127</t>
        </is>
      </c>
      <c r="N2104" s="10" t="n">
        <v>110</v>
      </c>
      <c r="O2104" s="10">
        <f>IFERROR(VLOOKUP(A2104,Flete!$A:$J,10,0),"")</f>
        <v/>
      </c>
      <c r="P2104" s="8" t="inlineStr">
        <is>
          <t>M3</t>
        </is>
      </c>
      <c r="Q2104" s="10">
        <f>IFERROR(IFERROR(VLOOKUP(A2104,TRAOPE!$A:$U,21,0),VLOOKUP(B2104,TRAOPE!$A:$U,21,0)),"")</f>
        <v/>
      </c>
      <c r="R2104" s="8">
        <f>IFERROR(IFERROR(VLOOKUP(A2104,TRAOPE!$A:$W,23,0),VLOOKUP(B2104,TRAOPE!$A:$W,23,0)),"")</f>
        <v/>
      </c>
      <c r="S2104" s="10">
        <f>IF(AND(P2104="TN",R2104="TN"),N2104+N(O2104),IF(G2104&amp;""="1",N(K2104)*N2104,(N2104+N(O2104))*N(K2104)))</f>
        <v/>
      </c>
      <c r="T2104" s="10">
        <f>IF(Q2104="","",Q2104-S2104)</f>
        <v/>
      </c>
    </row>
    <row r="2105">
      <c r="A2105" s="7">
        <f>CONCATENATE(C2105,E2105,F2105,I2105)</f>
        <v/>
      </c>
      <c r="B2105" s="7">
        <f>CONCATENATE(C2105,E2105,I2105)</f>
        <v/>
      </c>
      <c r="C2105" s="8" t="n">
        <v>900007320</v>
      </c>
      <c r="D2105" s="7">
        <f>IFERROR(VLOOKUP(C2105,TRAOPE!$G:$H,2,0),"")</f>
        <v/>
      </c>
      <c r="E2105" s="8" t="inlineStr">
        <is>
          <t>D836</t>
        </is>
      </c>
      <c r="F2105" s="8" t="inlineStr">
        <is>
          <t>65916616</t>
        </is>
      </c>
      <c r="G2105" s="8">
        <f>IFERROR(VLOOKUP(A2105,Flete!$A:$E,5,0),"")</f>
        <v/>
      </c>
      <c r="H2105" s="7">
        <f>IFERROR(VLOOKUP(F2105,TRAOPE!$AA:$AB,2,0),"")</f>
        <v/>
      </c>
      <c r="I2105" s="7" t="n">
        <v>10218415</v>
      </c>
      <c r="J2105" s="7">
        <f>IFERROR(VLOOKUP(I2105,Materiales!$A:$H,8,0),"")</f>
        <v/>
      </c>
      <c r="K2105" s="9">
        <f>IFERROR(VLOOKUP(I2105,Materiales!$A:$G,7,0),"")</f>
        <v/>
      </c>
      <c r="L2105" s="8" t="inlineStr">
        <is>
          <t>20190426</t>
        </is>
      </c>
      <c r="M2105" s="8" t="inlineStr">
        <is>
          <t>20250127</t>
        </is>
      </c>
      <c r="N2105" s="10" t="n">
        <v>90</v>
      </c>
      <c r="O2105" s="10">
        <f>IFERROR(VLOOKUP(A2105,Flete!$A:$J,10,0),"")</f>
        <v/>
      </c>
      <c r="P2105" s="8" t="inlineStr">
        <is>
          <t>M3</t>
        </is>
      </c>
      <c r="Q2105" s="10">
        <f>IFERROR(IFERROR(VLOOKUP(A2105,TRAOPE!$A:$U,21,0),VLOOKUP(B2105,TRAOPE!$A:$U,21,0)),"")</f>
        <v/>
      </c>
      <c r="R2105" s="8">
        <f>IFERROR(IFERROR(VLOOKUP(A2105,TRAOPE!$A:$W,23,0),VLOOKUP(B2105,TRAOPE!$A:$W,23,0)),"")</f>
        <v/>
      </c>
      <c r="S2105" s="10">
        <f>IF(AND(P2105="TN",R2105="TN"),N2105+N(O2105),IF(G2105&amp;""="1",N(K2105)*N2105,(N2105+N(O2105))*N(K2105)))</f>
        <v/>
      </c>
      <c r="T2105" s="10">
        <f>IF(Q2105="","",Q2105-S2105)</f>
        <v/>
      </c>
    </row>
    <row r="2106">
      <c r="A2106" s="7">
        <f>CONCATENATE(C2106,E2106,F2106,I2106)</f>
        <v/>
      </c>
      <c r="B2106" s="7">
        <f>CONCATENATE(C2106,E2106,I2106)</f>
        <v/>
      </c>
      <c r="C2106" s="8" t="n">
        <v>900007320</v>
      </c>
      <c r="D2106" s="7">
        <f>IFERROR(VLOOKUP(C2106,TRAOPE!$G:$H,2,0),"")</f>
        <v/>
      </c>
      <c r="E2106" s="8" t="inlineStr">
        <is>
          <t>D836</t>
        </is>
      </c>
      <c r="F2106" s="8" t="inlineStr">
        <is>
          <t>66260760</t>
        </is>
      </c>
      <c r="G2106" s="8">
        <f>IFERROR(VLOOKUP(A2106,Flete!$A:$E,5,0),"")</f>
        <v/>
      </c>
      <c r="H2106" s="7">
        <f>IFERROR(VLOOKUP(F2106,TRAOPE!$AA:$AB,2,0),"")</f>
        <v/>
      </c>
      <c r="I2106" s="7" t="n">
        <v>10218415</v>
      </c>
      <c r="J2106" s="7">
        <f>IFERROR(VLOOKUP(I2106,Materiales!$A:$H,8,0),"")</f>
        <v/>
      </c>
      <c r="K2106" s="9">
        <f>IFERROR(VLOOKUP(I2106,Materiales!$A:$G,7,0),"")</f>
        <v/>
      </c>
      <c r="L2106" s="8" t="inlineStr">
        <is>
          <t>20190426</t>
        </is>
      </c>
      <c r="M2106" s="8" t="inlineStr">
        <is>
          <t>20250127</t>
        </is>
      </c>
      <c r="N2106" s="10" t="n">
        <v>93</v>
      </c>
      <c r="O2106" s="10">
        <f>IFERROR(VLOOKUP(A2106,Flete!$A:$J,10,0),"")</f>
        <v/>
      </c>
      <c r="P2106" s="8" t="inlineStr">
        <is>
          <t>M3</t>
        </is>
      </c>
      <c r="Q2106" s="10">
        <f>IFERROR(IFERROR(VLOOKUP(A2106,TRAOPE!$A:$U,21,0),VLOOKUP(B2106,TRAOPE!$A:$U,21,0)),"")</f>
        <v/>
      </c>
      <c r="R2106" s="8">
        <f>IFERROR(IFERROR(VLOOKUP(A2106,TRAOPE!$A:$W,23,0),VLOOKUP(B2106,TRAOPE!$A:$W,23,0)),"")</f>
        <v/>
      </c>
      <c r="S2106" s="10">
        <f>IF(AND(P2106="TN",R2106="TN"),N2106+N(O2106),IF(G2106&amp;""="1",N(K2106)*N2106,(N2106+N(O2106))*N(K2106)))</f>
        <v/>
      </c>
      <c r="T2106" s="10">
        <f>IF(Q2106="","",Q2106-S2106)</f>
        <v/>
      </c>
    </row>
    <row r="2107">
      <c r="A2107" s="7">
        <f>CONCATENATE(C2107,E2107,F2107,I2107)</f>
        <v/>
      </c>
      <c r="B2107" s="7">
        <f>CONCATENATE(C2107,E2107,I2107)</f>
        <v/>
      </c>
      <c r="C2107" s="8" t="n">
        <v>900007320</v>
      </c>
      <c r="D2107" s="7">
        <f>IFERROR(VLOOKUP(C2107,TRAOPE!$G:$H,2,0),"")</f>
        <v/>
      </c>
      <c r="E2107" s="8" t="inlineStr">
        <is>
          <t>D836</t>
        </is>
      </c>
      <c r="F2107" s="8" t="inlineStr">
        <is>
          <t>66414377</t>
        </is>
      </c>
      <c r="G2107" s="8">
        <f>IFERROR(VLOOKUP(A2107,Flete!$A:$E,5,0),"")</f>
        <v/>
      </c>
      <c r="H2107" s="7">
        <f>IFERROR(VLOOKUP(F2107,TRAOPE!$AA:$AB,2,0),"")</f>
        <v/>
      </c>
      <c r="I2107" s="7" t="n">
        <v>10000160</v>
      </c>
      <c r="J2107" s="7">
        <f>IFERROR(VLOOKUP(I2107,Materiales!$A:$H,8,0),"")</f>
        <v/>
      </c>
      <c r="K2107" s="9">
        <f>IFERROR(VLOOKUP(I2107,Materiales!$A:$G,7,0),"")</f>
        <v/>
      </c>
      <c r="L2107" s="8" t="inlineStr">
        <is>
          <t>20190426</t>
        </is>
      </c>
      <c r="M2107" s="8" t="inlineStr">
        <is>
          <t>20250127</t>
        </is>
      </c>
      <c r="N2107" s="10" t="n">
        <v>97</v>
      </c>
      <c r="O2107" s="10">
        <f>IFERROR(VLOOKUP(A2107,Flete!$A:$J,10,0),"")</f>
        <v/>
      </c>
      <c r="P2107" s="8" t="inlineStr">
        <is>
          <t>M3</t>
        </is>
      </c>
      <c r="Q2107" s="10">
        <f>IFERROR(IFERROR(VLOOKUP(A2107,TRAOPE!$A:$U,21,0),VLOOKUP(B2107,TRAOPE!$A:$U,21,0)),"")</f>
        <v/>
      </c>
      <c r="R2107" s="8">
        <f>IFERROR(IFERROR(VLOOKUP(A2107,TRAOPE!$A:$W,23,0),VLOOKUP(B2107,TRAOPE!$A:$W,23,0)),"")</f>
        <v/>
      </c>
      <c r="S2107" s="10">
        <f>IF(AND(P2107="TN",R2107="TN"),N2107+N(O2107),IF(G2107&amp;""="1",N(K2107)*N2107,(N2107+N(O2107))*N(K2107)))</f>
        <v/>
      </c>
      <c r="T2107" s="10">
        <f>IF(Q2107="","",Q2107-S2107)</f>
        <v/>
      </c>
    </row>
    <row r="2108">
      <c r="A2108" s="7">
        <f>CONCATENATE(C2108,E2108,F2108,I2108)</f>
        <v/>
      </c>
      <c r="B2108" s="7">
        <f>CONCATENATE(C2108,E2108,I2108)</f>
        <v/>
      </c>
      <c r="C2108" s="8" t="n">
        <v>900007320</v>
      </c>
      <c r="D2108" s="7">
        <f>IFERROR(VLOOKUP(C2108,TRAOPE!$G:$H,2,0),"")</f>
        <v/>
      </c>
      <c r="E2108" s="8" t="inlineStr">
        <is>
          <t>D836</t>
        </is>
      </c>
      <c r="F2108" s="8" t="inlineStr">
        <is>
          <t>66414377</t>
        </is>
      </c>
      <c r="G2108" s="8">
        <f>IFERROR(VLOOKUP(A2108,Flete!$A:$E,5,0),"")</f>
        <v/>
      </c>
      <c r="H2108" s="7">
        <f>IFERROR(VLOOKUP(F2108,TRAOPE!$AA:$AB,2,0),"")</f>
        <v/>
      </c>
      <c r="I2108" s="7" t="n">
        <v>10003132</v>
      </c>
      <c r="J2108" s="7">
        <f>IFERROR(VLOOKUP(I2108,Materiales!$A:$H,8,0),"")</f>
        <v/>
      </c>
      <c r="K2108" s="9">
        <f>IFERROR(VLOOKUP(I2108,Materiales!$A:$G,7,0),"")</f>
        <v/>
      </c>
      <c r="L2108" s="8" t="inlineStr">
        <is>
          <t>20190426</t>
        </is>
      </c>
      <c r="M2108" s="8" t="inlineStr">
        <is>
          <t>20250127</t>
        </is>
      </c>
      <c r="N2108" s="10" t="n">
        <v>109</v>
      </c>
      <c r="O2108" s="10">
        <f>IFERROR(VLOOKUP(A2108,Flete!$A:$J,10,0),"")</f>
        <v/>
      </c>
      <c r="P2108" s="8" t="inlineStr">
        <is>
          <t>M3</t>
        </is>
      </c>
      <c r="Q2108" s="10">
        <f>IFERROR(IFERROR(VLOOKUP(A2108,TRAOPE!$A:$U,21,0),VLOOKUP(B2108,TRAOPE!$A:$U,21,0)),"")</f>
        <v/>
      </c>
      <c r="R2108" s="8">
        <f>IFERROR(IFERROR(VLOOKUP(A2108,TRAOPE!$A:$W,23,0),VLOOKUP(B2108,TRAOPE!$A:$W,23,0)),"")</f>
        <v/>
      </c>
      <c r="S2108" s="10">
        <f>IF(AND(P2108="TN",R2108="TN"),N2108+N(O2108),IF(G2108&amp;""="1",N(K2108)*N2108,(N2108+N(O2108))*N(K2108)))</f>
        <v/>
      </c>
      <c r="T2108" s="10">
        <f>IF(Q2108="","",Q2108-S2108)</f>
        <v/>
      </c>
    </row>
    <row r="2109">
      <c r="A2109" s="7">
        <f>CONCATENATE(C2109,E2109,F2109,I2109)</f>
        <v/>
      </c>
      <c r="B2109" s="7">
        <f>CONCATENATE(C2109,E2109,I2109)</f>
        <v/>
      </c>
      <c r="C2109" s="8" t="n">
        <v>900007320</v>
      </c>
      <c r="D2109" s="7">
        <f>IFERROR(VLOOKUP(C2109,TRAOPE!$G:$H,2,0),"")</f>
        <v/>
      </c>
      <c r="E2109" s="8" t="inlineStr">
        <is>
          <t>D836</t>
        </is>
      </c>
      <c r="F2109" s="8" t="inlineStr">
        <is>
          <t>66442116</t>
        </is>
      </c>
      <c r="G2109" s="8">
        <f>IFERROR(VLOOKUP(A2109,Flete!$A:$E,5,0),"")</f>
        <v/>
      </c>
      <c r="H2109" s="7">
        <f>IFERROR(VLOOKUP(F2109,TRAOPE!$AA:$AB,2,0),"")</f>
        <v/>
      </c>
      <c r="I2109" s="7" t="n">
        <v>10000357</v>
      </c>
      <c r="J2109" s="7">
        <f>IFERROR(VLOOKUP(I2109,Materiales!$A:$H,8,0),"")</f>
        <v/>
      </c>
      <c r="K2109" s="9">
        <f>IFERROR(VLOOKUP(I2109,Materiales!$A:$G,7,0),"")</f>
        <v/>
      </c>
      <c r="L2109" s="8" t="inlineStr">
        <is>
          <t>20190426</t>
        </is>
      </c>
      <c r="M2109" s="8" t="inlineStr">
        <is>
          <t>20250127</t>
        </is>
      </c>
      <c r="N2109" s="10" t="n">
        <v>110</v>
      </c>
      <c r="O2109" s="10">
        <f>IFERROR(VLOOKUP(A2109,Flete!$A:$J,10,0),"")</f>
        <v/>
      </c>
      <c r="P2109" s="8" t="inlineStr">
        <is>
          <t>M3</t>
        </is>
      </c>
      <c r="Q2109" s="10">
        <f>IFERROR(IFERROR(VLOOKUP(A2109,TRAOPE!$A:$U,21,0),VLOOKUP(B2109,TRAOPE!$A:$U,21,0)),"")</f>
        <v/>
      </c>
      <c r="R2109" s="8">
        <f>IFERROR(IFERROR(VLOOKUP(A2109,TRAOPE!$A:$W,23,0),VLOOKUP(B2109,TRAOPE!$A:$W,23,0)),"")</f>
        <v/>
      </c>
      <c r="S2109" s="10">
        <f>IF(AND(P2109="TN",R2109="TN"),N2109+N(O2109),IF(G2109&amp;""="1",N(K2109)*N2109,(N2109+N(O2109))*N(K2109)))</f>
        <v/>
      </c>
      <c r="T2109" s="10">
        <f>IF(Q2109="","",Q2109-S2109)</f>
        <v/>
      </c>
    </row>
    <row r="2110">
      <c r="A2110" s="7">
        <f>CONCATENATE(C2110,E2110,F2110,I2110)</f>
        <v/>
      </c>
      <c r="B2110" s="7">
        <f>CONCATENATE(C2110,E2110,I2110)</f>
        <v/>
      </c>
      <c r="C2110" s="8" t="n">
        <v>900007320</v>
      </c>
      <c r="D2110" s="7">
        <f>IFERROR(VLOOKUP(C2110,TRAOPE!$G:$H,2,0),"")</f>
        <v/>
      </c>
      <c r="E2110" s="8" t="inlineStr">
        <is>
          <t>D836</t>
        </is>
      </c>
      <c r="F2110" s="8" t="inlineStr">
        <is>
          <t>66442116</t>
        </is>
      </c>
      <c r="G2110" s="8">
        <f>IFERROR(VLOOKUP(A2110,Flete!$A:$E,5,0),"")</f>
        <v/>
      </c>
      <c r="H2110" s="7">
        <f>IFERROR(VLOOKUP(F2110,TRAOPE!$AA:$AB,2,0),"")</f>
        <v/>
      </c>
      <c r="I2110" s="7" t="n">
        <v>10218415</v>
      </c>
      <c r="J2110" s="7">
        <f>IFERROR(VLOOKUP(I2110,Materiales!$A:$H,8,0),"")</f>
        <v/>
      </c>
      <c r="K2110" s="9">
        <f>IFERROR(VLOOKUP(I2110,Materiales!$A:$G,7,0),"")</f>
        <v/>
      </c>
      <c r="L2110" s="8" t="inlineStr">
        <is>
          <t>20190426</t>
        </is>
      </c>
      <c r="M2110" s="8" t="inlineStr">
        <is>
          <t>20250127</t>
        </is>
      </c>
      <c r="N2110" s="10" t="n">
        <v>90</v>
      </c>
      <c r="O2110" s="10">
        <f>IFERROR(VLOOKUP(A2110,Flete!$A:$J,10,0),"")</f>
        <v/>
      </c>
      <c r="P2110" s="8" t="inlineStr">
        <is>
          <t>M3</t>
        </is>
      </c>
      <c r="Q2110" s="10">
        <f>IFERROR(IFERROR(VLOOKUP(A2110,TRAOPE!$A:$U,21,0),VLOOKUP(B2110,TRAOPE!$A:$U,21,0)),"")</f>
        <v/>
      </c>
      <c r="R2110" s="8">
        <f>IFERROR(IFERROR(VLOOKUP(A2110,TRAOPE!$A:$W,23,0),VLOOKUP(B2110,TRAOPE!$A:$W,23,0)),"")</f>
        <v/>
      </c>
      <c r="S2110" s="10">
        <f>IF(AND(P2110="TN",R2110="TN"),N2110+N(O2110),IF(G2110&amp;""="1",N(K2110)*N2110,(N2110+N(O2110))*N(K2110)))</f>
        <v/>
      </c>
      <c r="T2110" s="10">
        <f>IF(Q2110="","",Q2110-S2110)</f>
        <v/>
      </c>
    </row>
    <row r="2111">
      <c r="A2111" s="7">
        <f>CONCATENATE(C2111,E2111,F2111,I2111)</f>
        <v/>
      </c>
      <c r="B2111" s="7">
        <f>CONCATENATE(C2111,E2111,I2111)</f>
        <v/>
      </c>
      <c r="C2111" s="8" t="n">
        <v>900007320</v>
      </c>
      <c r="D2111" s="7">
        <f>IFERROR(VLOOKUP(C2111,TRAOPE!$G:$H,2,0),"")</f>
        <v/>
      </c>
      <c r="E2111" s="8" t="inlineStr">
        <is>
          <t>D836</t>
        </is>
      </c>
      <c r="F2111" s="8" t="inlineStr">
        <is>
          <t>66779276</t>
        </is>
      </c>
      <c r="G2111" s="8">
        <f>IFERROR(VLOOKUP(A2111,Flete!$A:$E,5,0),"")</f>
        <v/>
      </c>
      <c r="H2111" s="7">
        <f>IFERROR(VLOOKUP(F2111,TRAOPE!$AA:$AB,2,0),"")</f>
        <v/>
      </c>
      <c r="I2111" s="7" t="n">
        <v>10000206</v>
      </c>
      <c r="J2111" s="7">
        <f>IFERROR(VLOOKUP(I2111,Materiales!$A:$H,8,0),"")</f>
        <v/>
      </c>
      <c r="K2111" s="9">
        <f>IFERROR(VLOOKUP(I2111,Materiales!$A:$G,7,0),"")</f>
        <v/>
      </c>
      <c r="L2111" s="8" t="inlineStr">
        <is>
          <t>20190426</t>
        </is>
      </c>
      <c r="M2111" s="8" t="inlineStr">
        <is>
          <t>20250127</t>
        </is>
      </c>
      <c r="N2111" s="10" t="n">
        <v>17</v>
      </c>
      <c r="O2111" s="10">
        <f>IFERROR(VLOOKUP(A2111,Flete!$A:$J,10,0),"")</f>
        <v/>
      </c>
      <c r="P2111" s="8" t="inlineStr">
        <is>
          <t>M3</t>
        </is>
      </c>
      <c r="Q2111" s="10">
        <f>IFERROR(IFERROR(VLOOKUP(A2111,TRAOPE!$A:$U,21,0),VLOOKUP(B2111,TRAOPE!$A:$U,21,0)),"")</f>
        <v/>
      </c>
      <c r="R2111" s="8">
        <f>IFERROR(IFERROR(VLOOKUP(A2111,TRAOPE!$A:$W,23,0),VLOOKUP(B2111,TRAOPE!$A:$W,23,0)),"")</f>
        <v/>
      </c>
      <c r="S2111" s="10">
        <f>IF(AND(P2111="TN",R2111="TN"),N2111+N(O2111),IF(G2111&amp;""="1",N(K2111)*N2111,(N2111+N(O2111))*N(K2111)))</f>
        <v/>
      </c>
      <c r="T2111" s="10">
        <f>IF(Q2111="","",Q2111-S2111)</f>
        <v/>
      </c>
    </row>
    <row r="2112">
      <c r="A2112" s="7">
        <f>CONCATENATE(C2112,E2112,F2112,I2112)</f>
        <v/>
      </c>
      <c r="B2112" s="7">
        <f>CONCATENATE(C2112,E2112,I2112)</f>
        <v/>
      </c>
      <c r="C2112" s="8" t="n">
        <v>900007320</v>
      </c>
      <c r="D2112" s="7">
        <f>IFERROR(VLOOKUP(C2112,TRAOPE!$G:$H,2,0),"")</f>
        <v/>
      </c>
      <c r="E2112" s="8" t="inlineStr">
        <is>
          <t>D836</t>
        </is>
      </c>
      <c r="F2112" s="8" t="inlineStr">
        <is>
          <t>66825797</t>
        </is>
      </c>
      <c r="G2112" s="8">
        <f>IFERROR(VLOOKUP(A2112,Flete!$A:$E,5,0),"")</f>
        <v/>
      </c>
      <c r="H2112" s="7">
        <f>IFERROR(VLOOKUP(F2112,TRAOPE!$AA:$AB,2,0),"")</f>
        <v/>
      </c>
      <c r="I2112" s="7" t="n">
        <v>10216851</v>
      </c>
      <c r="J2112" s="7">
        <f>IFERROR(VLOOKUP(I2112,Materiales!$A:$H,8,0),"")</f>
        <v/>
      </c>
      <c r="K2112" s="9">
        <f>IFERROR(VLOOKUP(I2112,Materiales!$A:$G,7,0),"")</f>
        <v/>
      </c>
      <c r="L2112" s="8" t="inlineStr">
        <is>
          <t>20190426</t>
        </is>
      </c>
      <c r="M2112" s="8" t="inlineStr">
        <is>
          <t>20250127</t>
        </is>
      </c>
      <c r="N2112" s="10" t="n">
        <v>25</v>
      </c>
      <c r="O2112" s="10">
        <f>IFERROR(VLOOKUP(A2112,Flete!$A:$J,10,0),"")</f>
        <v/>
      </c>
      <c r="P2112" s="8" t="inlineStr">
        <is>
          <t>M3</t>
        </is>
      </c>
      <c r="Q2112" s="10">
        <f>IFERROR(IFERROR(VLOOKUP(A2112,TRAOPE!$A:$U,21,0),VLOOKUP(B2112,TRAOPE!$A:$U,21,0)),"")</f>
        <v/>
      </c>
      <c r="R2112" s="8">
        <f>IFERROR(IFERROR(VLOOKUP(A2112,TRAOPE!$A:$W,23,0),VLOOKUP(B2112,TRAOPE!$A:$W,23,0)),"")</f>
        <v/>
      </c>
      <c r="S2112" s="10">
        <f>IF(AND(P2112="TN",R2112="TN"),N2112+N(O2112),IF(G2112&amp;""="1",N(K2112)*N2112,(N2112+N(O2112))*N(K2112)))</f>
        <v/>
      </c>
      <c r="T2112" s="10">
        <f>IF(Q2112="","",Q2112-S2112)</f>
        <v/>
      </c>
    </row>
    <row r="2113">
      <c r="A2113" s="7">
        <f>CONCATENATE(C2113,E2113,F2113,I2113)</f>
        <v/>
      </c>
      <c r="B2113" s="7">
        <f>CONCATENATE(C2113,E2113,I2113)</f>
        <v/>
      </c>
      <c r="C2113" s="8" t="n">
        <v>900007320</v>
      </c>
      <c r="D2113" s="7">
        <f>IFERROR(VLOOKUP(C2113,TRAOPE!$G:$H,2,0),"")</f>
        <v/>
      </c>
      <c r="E2113" s="8" t="inlineStr">
        <is>
          <t>D836</t>
        </is>
      </c>
      <c r="F2113" s="8" t="inlineStr">
        <is>
          <t>66825797</t>
        </is>
      </c>
      <c r="G2113" s="8">
        <f>IFERROR(VLOOKUP(A2113,Flete!$A:$E,5,0),"")</f>
        <v/>
      </c>
      <c r="H2113" s="7">
        <f>IFERROR(VLOOKUP(F2113,TRAOPE!$AA:$AB,2,0),"")</f>
        <v/>
      </c>
      <c r="I2113" s="7" t="n">
        <v>10217649</v>
      </c>
      <c r="J2113" s="7">
        <f>IFERROR(VLOOKUP(I2113,Materiales!$A:$H,8,0),"")</f>
        <v/>
      </c>
      <c r="K2113" s="9">
        <f>IFERROR(VLOOKUP(I2113,Materiales!$A:$G,7,0),"")</f>
        <v/>
      </c>
      <c r="L2113" s="8" t="inlineStr">
        <is>
          <t>20190426</t>
        </is>
      </c>
      <c r="M2113" s="8" t="inlineStr">
        <is>
          <t>20250127</t>
        </is>
      </c>
      <c r="N2113" s="10" t="n">
        <v>170</v>
      </c>
      <c r="O2113" s="10">
        <f>IFERROR(VLOOKUP(A2113,Flete!$A:$J,10,0),"")</f>
        <v/>
      </c>
      <c r="P2113" s="8" t="inlineStr">
        <is>
          <t>M3</t>
        </is>
      </c>
      <c r="Q2113" s="10">
        <f>IFERROR(IFERROR(VLOOKUP(A2113,TRAOPE!$A:$U,21,0),VLOOKUP(B2113,TRAOPE!$A:$U,21,0)),"")</f>
        <v/>
      </c>
      <c r="R2113" s="8">
        <f>IFERROR(IFERROR(VLOOKUP(A2113,TRAOPE!$A:$W,23,0),VLOOKUP(B2113,TRAOPE!$A:$W,23,0)),"")</f>
        <v/>
      </c>
      <c r="S2113" s="10">
        <f>IF(AND(P2113="TN",R2113="TN"),N2113+N(O2113),IF(G2113&amp;""="1",N(K2113)*N2113,(N2113+N(O2113))*N(K2113)))</f>
        <v/>
      </c>
      <c r="T2113" s="10">
        <f>IF(Q2113="","",Q2113-S2113)</f>
        <v/>
      </c>
    </row>
    <row r="2114">
      <c r="A2114" s="7">
        <f>CONCATENATE(C2114,E2114,F2114,I2114)</f>
        <v/>
      </c>
      <c r="B2114" s="7">
        <f>CONCATENATE(C2114,E2114,I2114)</f>
        <v/>
      </c>
      <c r="C2114" s="8" t="n">
        <v>900007320</v>
      </c>
      <c r="D2114" s="7">
        <f>IFERROR(VLOOKUP(C2114,TRAOPE!$G:$H,2,0),"")</f>
        <v/>
      </c>
      <c r="E2114" s="8" t="inlineStr">
        <is>
          <t>D836</t>
        </is>
      </c>
      <c r="F2114" s="8" t="inlineStr">
        <is>
          <t>66825797</t>
        </is>
      </c>
      <c r="G2114" s="8">
        <f>IFERROR(VLOOKUP(A2114,Flete!$A:$E,5,0),"")</f>
        <v/>
      </c>
      <c r="H2114" s="7">
        <f>IFERROR(VLOOKUP(F2114,TRAOPE!$AA:$AB,2,0),"")</f>
        <v/>
      </c>
      <c r="I2114" s="7" t="n">
        <v>10218000</v>
      </c>
      <c r="J2114" s="7">
        <f>IFERROR(VLOOKUP(I2114,Materiales!$A:$H,8,0),"")</f>
        <v/>
      </c>
      <c r="K2114" s="9">
        <f>IFERROR(VLOOKUP(I2114,Materiales!$A:$G,7,0),"")</f>
        <v/>
      </c>
      <c r="L2114" s="8" t="inlineStr">
        <is>
          <t>20190426</t>
        </is>
      </c>
      <c r="M2114" s="8" t="inlineStr">
        <is>
          <t>20250127</t>
        </is>
      </c>
      <c r="N2114" s="10" t="n">
        <v>275</v>
      </c>
      <c r="O2114" s="10">
        <f>IFERROR(VLOOKUP(A2114,Flete!$A:$J,10,0),"")</f>
        <v/>
      </c>
      <c r="P2114" s="8" t="inlineStr">
        <is>
          <t>M3</t>
        </is>
      </c>
      <c r="Q2114" s="10">
        <f>IFERROR(IFERROR(VLOOKUP(A2114,TRAOPE!$A:$U,21,0),VLOOKUP(B2114,TRAOPE!$A:$U,21,0)),"")</f>
        <v/>
      </c>
      <c r="R2114" s="8">
        <f>IFERROR(IFERROR(VLOOKUP(A2114,TRAOPE!$A:$W,23,0),VLOOKUP(B2114,TRAOPE!$A:$W,23,0)),"")</f>
        <v/>
      </c>
      <c r="S2114" s="10">
        <f>IF(AND(P2114="TN",R2114="TN"),N2114+N(O2114),IF(G2114&amp;""="1",N(K2114)*N2114,(N2114+N(O2114))*N(K2114)))</f>
        <v/>
      </c>
      <c r="T2114" s="10">
        <f>IF(Q2114="","",Q2114-S2114)</f>
        <v/>
      </c>
    </row>
    <row r="2115">
      <c r="A2115" s="7">
        <f>CONCATENATE(C2115,E2115,F2115,I2115)</f>
        <v/>
      </c>
      <c r="B2115" s="7">
        <f>CONCATENATE(C2115,E2115,I2115)</f>
        <v/>
      </c>
      <c r="C2115" s="8" t="n">
        <v>900007320</v>
      </c>
      <c r="D2115" s="7">
        <f>IFERROR(VLOOKUP(C2115,TRAOPE!$G:$H,2,0),"")</f>
        <v/>
      </c>
      <c r="E2115" s="8" t="inlineStr">
        <is>
          <t>D836</t>
        </is>
      </c>
      <c r="F2115" s="8" t="inlineStr">
        <is>
          <t>67012838</t>
        </is>
      </c>
      <c r="G2115" s="8">
        <f>IFERROR(VLOOKUP(A2115,Flete!$A:$E,5,0),"")</f>
        <v/>
      </c>
      <c r="H2115" s="7">
        <f>IFERROR(VLOOKUP(F2115,TRAOPE!$AA:$AB,2,0),"")</f>
        <v/>
      </c>
      <c r="I2115" s="7" t="n">
        <v>10000160</v>
      </c>
      <c r="J2115" s="7">
        <f>IFERROR(VLOOKUP(I2115,Materiales!$A:$H,8,0),"")</f>
        <v/>
      </c>
      <c r="K2115" s="9">
        <f>IFERROR(VLOOKUP(I2115,Materiales!$A:$G,7,0),"")</f>
        <v/>
      </c>
      <c r="L2115" s="8" t="inlineStr">
        <is>
          <t>20190426</t>
        </is>
      </c>
      <c r="M2115" s="8" t="inlineStr">
        <is>
          <t>20250127</t>
        </is>
      </c>
      <c r="N2115" s="10" t="n">
        <v>95</v>
      </c>
      <c r="O2115" s="10">
        <f>IFERROR(VLOOKUP(A2115,Flete!$A:$J,10,0),"")</f>
        <v/>
      </c>
      <c r="P2115" s="8" t="inlineStr">
        <is>
          <t>M3</t>
        </is>
      </c>
      <c r="Q2115" s="10">
        <f>IFERROR(IFERROR(VLOOKUP(A2115,TRAOPE!$A:$U,21,0),VLOOKUP(B2115,TRAOPE!$A:$U,21,0)),"")</f>
        <v/>
      </c>
      <c r="R2115" s="8">
        <f>IFERROR(IFERROR(VLOOKUP(A2115,TRAOPE!$A:$W,23,0),VLOOKUP(B2115,TRAOPE!$A:$W,23,0)),"")</f>
        <v/>
      </c>
      <c r="S2115" s="10">
        <f>IF(AND(P2115="TN",R2115="TN"),N2115+N(O2115),IF(G2115&amp;""="1",N(K2115)*N2115,(N2115+N(O2115))*N(K2115)))</f>
        <v/>
      </c>
      <c r="T2115" s="10">
        <f>IF(Q2115="","",Q2115-S2115)</f>
        <v/>
      </c>
    </row>
    <row r="2116">
      <c r="A2116" s="7">
        <f>CONCATENATE(C2116,E2116,F2116,I2116)</f>
        <v/>
      </c>
      <c r="B2116" s="7">
        <f>CONCATENATE(C2116,E2116,I2116)</f>
        <v/>
      </c>
      <c r="C2116" s="8" t="n">
        <v>900007320</v>
      </c>
      <c r="D2116" s="7">
        <f>IFERROR(VLOOKUP(C2116,TRAOPE!$G:$H,2,0),"")</f>
        <v/>
      </c>
      <c r="E2116" s="8" t="inlineStr">
        <is>
          <t>D836</t>
        </is>
      </c>
      <c r="F2116" s="8" t="inlineStr">
        <is>
          <t>67012838</t>
        </is>
      </c>
      <c r="G2116" s="8">
        <f>IFERROR(VLOOKUP(A2116,Flete!$A:$E,5,0),"")</f>
        <v/>
      </c>
      <c r="H2116" s="7">
        <f>IFERROR(VLOOKUP(F2116,TRAOPE!$AA:$AB,2,0),"")</f>
        <v/>
      </c>
      <c r="I2116" s="7" t="n">
        <v>10000357</v>
      </c>
      <c r="J2116" s="7">
        <f>IFERROR(VLOOKUP(I2116,Materiales!$A:$H,8,0),"")</f>
        <v/>
      </c>
      <c r="K2116" s="9">
        <f>IFERROR(VLOOKUP(I2116,Materiales!$A:$G,7,0),"")</f>
        <v/>
      </c>
      <c r="L2116" s="8" t="inlineStr">
        <is>
          <t>20190426</t>
        </is>
      </c>
      <c r="M2116" s="8" t="inlineStr">
        <is>
          <t>20250127</t>
        </is>
      </c>
      <c r="N2116" s="10" t="n">
        <v>110</v>
      </c>
      <c r="O2116" s="10">
        <f>IFERROR(VLOOKUP(A2116,Flete!$A:$J,10,0),"")</f>
        <v/>
      </c>
      <c r="P2116" s="8" t="inlineStr">
        <is>
          <t>M3</t>
        </is>
      </c>
      <c r="Q2116" s="10">
        <f>IFERROR(IFERROR(VLOOKUP(A2116,TRAOPE!$A:$U,21,0),VLOOKUP(B2116,TRAOPE!$A:$U,21,0)),"")</f>
        <v/>
      </c>
      <c r="R2116" s="8">
        <f>IFERROR(IFERROR(VLOOKUP(A2116,TRAOPE!$A:$W,23,0),VLOOKUP(B2116,TRAOPE!$A:$W,23,0)),"")</f>
        <v/>
      </c>
      <c r="S2116" s="10">
        <f>IF(AND(P2116="TN",R2116="TN"),N2116+N(O2116),IF(G2116&amp;""="1",N(K2116)*N2116,(N2116+N(O2116))*N(K2116)))</f>
        <v/>
      </c>
      <c r="T2116" s="10">
        <f>IF(Q2116="","",Q2116-S2116)</f>
        <v/>
      </c>
    </row>
    <row r="2117">
      <c r="A2117" s="7">
        <f>CONCATENATE(C2117,E2117,F2117,I2117)</f>
        <v/>
      </c>
      <c r="B2117" s="7">
        <f>CONCATENATE(C2117,E2117,I2117)</f>
        <v/>
      </c>
      <c r="C2117" s="8" t="n">
        <v>900007320</v>
      </c>
      <c r="D2117" s="7">
        <f>IFERROR(VLOOKUP(C2117,TRAOPE!$G:$H,2,0),"")</f>
        <v/>
      </c>
      <c r="E2117" s="8" t="inlineStr">
        <is>
          <t>D836</t>
        </is>
      </c>
      <c r="F2117" s="8" t="inlineStr">
        <is>
          <t>67209238</t>
        </is>
      </c>
      <c r="G2117" s="8">
        <f>IFERROR(VLOOKUP(A2117,Flete!$A:$E,5,0),"")</f>
        <v/>
      </c>
      <c r="H2117" s="7">
        <f>IFERROR(VLOOKUP(F2117,TRAOPE!$AA:$AB,2,0),"")</f>
        <v/>
      </c>
      <c r="I2117" s="7" t="n">
        <v>10000160</v>
      </c>
      <c r="J2117" s="7">
        <f>IFERROR(VLOOKUP(I2117,Materiales!$A:$H,8,0),"")</f>
        <v/>
      </c>
      <c r="K2117" s="9">
        <f>IFERROR(VLOOKUP(I2117,Materiales!$A:$G,7,0),"")</f>
        <v/>
      </c>
      <c r="L2117" s="8" t="inlineStr">
        <is>
          <t>20190426</t>
        </is>
      </c>
      <c r="M2117" s="8" t="inlineStr">
        <is>
          <t>20250127</t>
        </is>
      </c>
      <c r="N2117" s="10" t="n">
        <v>100</v>
      </c>
      <c r="O2117" s="10">
        <f>IFERROR(VLOOKUP(A2117,Flete!$A:$J,10,0),"")</f>
        <v/>
      </c>
      <c r="P2117" s="8" t="inlineStr">
        <is>
          <t>M3</t>
        </is>
      </c>
      <c r="Q2117" s="10">
        <f>IFERROR(IFERROR(VLOOKUP(A2117,TRAOPE!$A:$U,21,0),VLOOKUP(B2117,TRAOPE!$A:$U,21,0)),"")</f>
        <v/>
      </c>
      <c r="R2117" s="8">
        <f>IFERROR(IFERROR(VLOOKUP(A2117,TRAOPE!$A:$W,23,0),VLOOKUP(B2117,TRAOPE!$A:$W,23,0)),"")</f>
        <v/>
      </c>
      <c r="S2117" s="10">
        <f>IF(AND(P2117="TN",R2117="TN"),N2117+N(O2117),IF(G2117&amp;""="1",N(K2117)*N2117,(N2117+N(O2117))*N(K2117)))</f>
        <v/>
      </c>
      <c r="T2117" s="10">
        <f>IF(Q2117="","",Q2117-S2117)</f>
        <v/>
      </c>
    </row>
    <row r="2118">
      <c r="A2118" s="7">
        <f>CONCATENATE(C2118,E2118,F2118,I2118)</f>
        <v/>
      </c>
      <c r="B2118" s="7">
        <f>CONCATENATE(C2118,E2118,I2118)</f>
        <v/>
      </c>
      <c r="C2118" s="8" t="n">
        <v>900007320</v>
      </c>
      <c r="D2118" s="7">
        <f>IFERROR(VLOOKUP(C2118,TRAOPE!$G:$H,2,0),"")</f>
        <v/>
      </c>
      <c r="E2118" s="8" t="inlineStr">
        <is>
          <t>D836</t>
        </is>
      </c>
      <c r="F2118" s="8" t="inlineStr">
        <is>
          <t>67209238</t>
        </is>
      </c>
      <c r="G2118" s="8">
        <f>IFERROR(VLOOKUP(A2118,Flete!$A:$E,5,0),"")</f>
        <v/>
      </c>
      <c r="H2118" s="7">
        <f>IFERROR(VLOOKUP(F2118,TRAOPE!$AA:$AB,2,0),"")</f>
        <v/>
      </c>
      <c r="I2118" s="7" t="n">
        <v>10000357</v>
      </c>
      <c r="J2118" s="7">
        <f>IFERROR(VLOOKUP(I2118,Materiales!$A:$H,8,0),"")</f>
        <v/>
      </c>
      <c r="K2118" s="9">
        <f>IFERROR(VLOOKUP(I2118,Materiales!$A:$G,7,0),"")</f>
        <v/>
      </c>
      <c r="L2118" s="8" t="inlineStr">
        <is>
          <t>20190426</t>
        </is>
      </c>
      <c r="M2118" s="8" t="inlineStr">
        <is>
          <t>20250127</t>
        </is>
      </c>
      <c r="N2118" s="10" t="n">
        <v>115</v>
      </c>
      <c r="O2118" s="10">
        <f>IFERROR(VLOOKUP(A2118,Flete!$A:$J,10,0),"")</f>
        <v/>
      </c>
      <c r="P2118" s="8" t="inlineStr">
        <is>
          <t>M3</t>
        </is>
      </c>
      <c r="Q2118" s="10">
        <f>IFERROR(IFERROR(VLOOKUP(A2118,TRAOPE!$A:$U,21,0),VLOOKUP(B2118,TRAOPE!$A:$U,21,0)),"")</f>
        <v/>
      </c>
      <c r="R2118" s="8">
        <f>IFERROR(IFERROR(VLOOKUP(A2118,TRAOPE!$A:$W,23,0),VLOOKUP(B2118,TRAOPE!$A:$W,23,0)),"")</f>
        <v/>
      </c>
      <c r="S2118" s="10">
        <f>IF(AND(P2118="TN",R2118="TN"),N2118+N(O2118),IF(G2118&amp;""="1",N(K2118)*N2118,(N2118+N(O2118))*N(K2118)))</f>
        <v/>
      </c>
      <c r="T2118" s="10">
        <f>IF(Q2118="","",Q2118-S2118)</f>
        <v/>
      </c>
    </row>
    <row r="2119">
      <c r="A2119" s="7">
        <f>CONCATENATE(C2119,E2119,F2119,I2119)</f>
        <v/>
      </c>
      <c r="B2119" s="7">
        <f>CONCATENATE(C2119,E2119,I2119)</f>
        <v/>
      </c>
      <c r="C2119" s="8" t="n">
        <v>900007321</v>
      </c>
      <c r="D2119" s="7">
        <f>IFERROR(VLOOKUP(C2119,TRAOPE!$G:$H,2,0),"")</f>
        <v/>
      </c>
      <c r="E2119" s="8" t="inlineStr">
        <is>
          <t>D836</t>
        </is>
      </c>
      <c r="F2119" s="8" t="inlineStr">
        <is>
          <t>65061687</t>
        </is>
      </c>
      <c r="G2119" s="8">
        <f>IFERROR(VLOOKUP(A2119,Flete!$A:$E,5,0),"")</f>
        <v/>
      </c>
      <c r="H2119" s="7">
        <f>IFERROR(VLOOKUP(F2119,TRAOPE!$AA:$AB,2,0),"")</f>
        <v/>
      </c>
      <c r="I2119" s="7" t="n">
        <v>10000160</v>
      </c>
      <c r="J2119" s="7">
        <f>IFERROR(VLOOKUP(I2119,Materiales!$A:$H,8,0),"")</f>
        <v/>
      </c>
      <c r="K2119" s="9">
        <f>IFERROR(VLOOKUP(I2119,Materiales!$A:$G,7,0),"")</f>
        <v/>
      </c>
      <c r="L2119" s="8" t="inlineStr">
        <is>
          <t>20190426</t>
        </is>
      </c>
      <c r="M2119" s="8" t="inlineStr">
        <is>
          <t>20250127</t>
        </is>
      </c>
      <c r="N2119" s="10" t="n">
        <v>139</v>
      </c>
      <c r="O2119" s="10">
        <f>IFERROR(VLOOKUP(A2119,Flete!$A:$J,10,0),"")</f>
        <v/>
      </c>
      <c r="P2119" s="8" t="inlineStr">
        <is>
          <t>M3</t>
        </is>
      </c>
      <c r="Q2119" s="10">
        <f>IFERROR(IFERROR(VLOOKUP(A2119,TRAOPE!$A:$U,21,0),VLOOKUP(B2119,TRAOPE!$A:$U,21,0)),"")</f>
        <v/>
      </c>
      <c r="R2119" s="8">
        <f>IFERROR(IFERROR(VLOOKUP(A2119,TRAOPE!$A:$W,23,0),VLOOKUP(B2119,TRAOPE!$A:$W,23,0)),"")</f>
        <v/>
      </c>
      <c r="S2119" s="10">
        <f>IF(AND(P2119="TN",R2119="TN"),N2119+N(O2119),IF(G2119&amp;""="1",N(K2119)*N2119,(N2119+N(O2119))*N(K2119)))</f>
        <v/>
      </c>
      <c r="T2119" s="10">
        <f>IF(Q2119="","",Q2119-S2119)</f>
        <v/>
      </c>
    </row>
    <row r="2120">
      <c r="A2120" s="7">
        <f>CONCATENATE(C2120,E2120,F2120,I2120)</f>
        <v/>
      </c>
      <c r="B2120" s="7">
        <f>CONCATENATE(C2120,E2120,I2120)</f>
        <v/>
      </c>
      <c r="C2120" s="8" t="n">
        <v>900007321</v>
      </c>
      <c r="D2120" s="7">
        <f>IFERROR(VLOOKUP(C2120,TRAOPE!$G:$H,2,0),"")</f>
        <v/>
      </c>
      <c r="E2120" s="8" t="inlineStr">
        <is>
          <t>D836</t>
        </is>
      </c>
      <c r="F2120" s="8" t="inlineStr">
        <is>
          <t>66230098</t>
        </is>
      </c>
      <c r="G2120" s="8">
        <f>IFERROR(VLOOKUP(A2120,Flete!$A:$E,5,0),"")</f>
        <v/>
      </c>
      <c r="H2120" s="7">
        <f>IFERROR(VLOOKUP(F2120,TRAOPE!$AA:$AB,2,0),"")</f>
        <v/>
      </c>
      <c r="I2120" s="7" t="n">
        <v>10000160</v>
      </c>
      <c r="J2120" s="7">
        <f>IFERROR(VLOOKUP(I2120,Materiales!$A:$H,8,0),"")</f>
        <v/>
      </c>
      <c r="K2120" s="9">
        <f>IFERROR(VLOOKUP(I2120,Materiales!$A:$G,7,0),"")</f>
        <v/>
      </c>
      <c r="L2120" s="8" t="inlineStr">
        <is>
          <t>20190426</t>
        </is>
      </c>
      <c r="M2120" s="8" t="inlineStr">
        <is>
          <t>20250127</t>
        </is>
      </c>
      <c r="N2120" s="10" t="n">
        <v>139</v>
      </c>
      <c r="O2120" s="10">
        <f>IFERROR(VLOOKUP(A2120,Flete!$A:$J,10,0),"")</f>
        <v/>
      </c>
      <c r="P2120" s="8" t="inlineStr">
        <is>
          <t>M3</t>
        </is>
      </c>
      <c r="Q2120" s="10">
        <f>IFERROR(IFERROR(VLOOKUP(A2120,TRAOPE!$A:$U,21,0),VLOOKUP(B2120,TRAOPE!$A:$U,21,0)),"")</f>
        <v/>
      </c>
      <c r="R2120" s="8">
        <f>IFERROR(IFERROR(VLOOKUP(A2120,TRAOPE!$A:$W,23,0),VLOOKUP(B2120,TRAOPE!$A:$W,23,0)),"")</f>
        <v/>
      </c>
      <c r="S2120" s="10">
        <f>IF(AND(P2120="TN",R2120="TN"),N2120+N(O2120),IF(G2120&amp;""="1",N(K2120)*N2120,(N2120+N(O2120))*N(K2120)))</f>
        <v/>
      </c>
      <c r="T2120" s="10">
        <f>IF(Q2120="","",Q2120-S2120)</f>
        <v/>
      </c>
    </row>
    <row r="2121">
      <c r="A2121" s="7">
        <f>CONCATENATE(C2121,E2121,F2121,I2121)</f>
        <v/>
      </c>
      <c r="B2121" s="7">
        <f>CONCATENATE(C2121,E2121,I2121)</f>
        <v/>
      </c>
      <c r="C2121" s="8" t="n">
        <v>900007321</v>
      </c>
      <c r="D2121" s="7">
        <f>IFERROR(VLOOKUP(C2121,TRAOPE!$G:$H,2,0),"")</f>
        <v/>
      </c>
      <c r="E2121" s="8" t="inlineStr">
        <is>
          <t>D836</t>
        </is>
      </c>
      <c r="F2121" s="8" t="inlineStr">
        <is>
          <t>66450072</t>
        </is>
      </c>
      <c r="G2121" s="8">
        <f>IFERROR(VLOOKUP(A2121,Flete!$A:$E,5,0),"")</f>
        <v/>
      </c>
      <c r="H2121" s="7">
        <f>IFERROR(VLOOKUP(F2121,TRAOPE!$AA:$AB,2,0),"")</f>
        <v/>
      </c>
      <c r="I2121" s="7" t="n">
        <v>10000160</v>
      </c>
      <c r="J2121" s="7">
        <f>IFERROR(VLOOKUP(I2121,Materiales!$A:$H,8,0),"")</f>
        <v/>
      </c>
      <c r="K2121" s="9">
        <f>IFERROR(VLOOKUP(I2121,Materiales!$A:$G,7,0),"")</f>
        <v/>
      </c>
      <c r="L2121" s="8" t="inlineStr">
        <is>
          <t>20190426</t>
        </is>
      </c>
      <c r="M2121" s="8" t="inlineStr">
        <is>
          <t>20250127</t>
        </is>
      </c>
      <c r="N2121" s="10" t="n">
        <v>139</v>
      </c>
      <c r="O2121" s="10">
        <f>IFERROR(VLOOKUP(A2121,Flete!$A:$J,10,0),"")</f>
        <v/>
      </c>
      <c r="P2121" s="8" t="inlineStr">
        <is>
          <t>M3</t>
        </is>
      </c>
      <c r="Q2121" s="10">
        <f>IFERROR(IFERROR(VLOOKUP(A2121,TRAOPE!$A:$U,21,0),VLOOKUP(B2121,TRAOPE!$A:$U,21,0)),"")</f>
        <v/>
      </c>
      <c r="R2121" s="8">
        <f>IFERROR(IFERROR(VLOOKUP(A2121,TRAOPE!$A:$W,23,0),VLOOKUP(B2121,TRAOPE!$A:$W,23,0)),"")</f>
        <v/>
      </c>
      <c r="S2121" s="10">
        <f>IF(AND(P2121="TN",R2121="TN"),N2121+N(O2121),IF(G2121&amp;""="1",N(K2121)*N2121,(N2121+N(O2121))*N(K2121)))</f>
        <v/>
      </c>
      <c r="T2121" s="10">
        <f>IF(Q2121="","",Q2121-S2121)</f>
        <v/>
      </c>
    </row>
    <row r="2122">
      <c r="A2122" s="7">
        <f>CONCATENATE(C2122,E2122,F2122,I2122)</f>
        <v/>
      </c>
      <c r="B2122" s="7">
        <f>CONCATENATE(C2122,E2122,I2122)</f>
        <v/>
      </c>
      <c r="C2122" s="8" t="n">
        <v>900007321</v>
      </c>
      <c r="D2122" s="7">
        <f>IFERROR(VLOOKUP(C2122,TRAOPE!$G:$H,2,0),"")</f>
        <v/>
      </c>
      <c r="E2122" s="8" t="inlineStr">
        <is>
          <t>D836</t>
        </is>
      </c>
      <c r="F2122" s="8" t="inlineStr">
        <is>
          <t>66799029</t>
        </is>
      </c>
      <c r="G2122" s="8">
        <f>IFERROR(VLOOKUP(A2122,Flete!$A:$E,5,0),"")</f>
        <v/>
      </c>
      <c r="H2122" s="7">
        <f>IFERROR(VLOOKUP(F2122,TRAOPE!$AA:$AB,2,0),"")</f>
        <v/>
      </c>
      <c r="I2122" s="7" t="n">
        <v>10000160</v>
      </c>
      <c r="J2122" s="7">
        <f>IFERROR(VLOOKUP(I2122,Materiales!$A:$H,8,0),"")</f>
        <v/>
      </c>
      <c r="K2122" s="9">
        <f>IFERROR(VLOOKUP(I2122,Materiales!$A:$G,7,0),"")</f>
        <v/>
      </c>
      <c r="L2122" s="8" t="inlineStr">
        <is>
          <t>20190426</t>
        </is>
      </c>
      <c r="M2122" s="8" t="inlineStr">
        <is>
          <t>20250127</t>
        </is>
      </c>
      <c r="N2122" s="10" t="n">
        <v>98</v>
      </c>
      <c r="O2122" s="10">
        <f>IFERROR(VLOOKUP(A2122,Flete!$A:$J,10,0),"")</f>
        <v/>
      </c>
      <c r="P2122" s="8" t="inlineStr">
        <is>
          <t>M3</t>
        </is>
      </c>
      <c r="Q2122" s="10">
        <f>IFERROR(IFERROR(VLOOKUP(A2122,TRAOPE!$A:$U,21,0),VLOOKUP(B2122,TRAOPE!$A:$U,21,0)),"")</f>
        <v/>
      </c>
      <c r="R2122" s="8">
        <f>IFERROR(IFERROR(VLOOKUP(A2122,TRAOPE!$A:$W,23,0),VLOOKUP(B2122,TRAOPE!$A:$W,23,0)),"")</f>
        <v/>
      </c>
      <c r="S2122" s="10">
        <f>IF(AND(P2122="TN",R2122="TN"),N2122+N(O2122),IF(G2122&amp;""="1",N(K2122)*N2122,(N2122+N(O2122))*N(K2122)))</f>
        <v/>
      </c>
      <c r="T2122" s="10">
        <f>IF(Q2122="","",Q2122-S2122)</f>
        <v/>
      </c>
    </row>
    <row r="2123">
      <c r="A2123" s="7">
        <f>CONCATENATE(C2123,E2123,F2123,I2123)</f>
        <v/>
      </c>
      <c r="B2123" s="7">
        <f>CONCATENATE(C2123,E2123,I2123)</f>
        <v/>
      </c>
      <c r="C2123" s="8" t="n">
        <v>900007321</v>
      </c>
      <c r="D2123" s="7">
        <f>IFERROR(VLOOKUP(C2123,TRAOPE!$G:$H,2,0),"")</f>
        <v/>
      </c>
      <c r="E2123" s="8" t="inlineStr">
        <is>
          <t>D836</t>
        </is>
      </c>
      <c r="F2123" s="8" t="inlineStr">
        <is>
          <t>66933313</t>
        </is>
      </c>
      <c r="G2123" s="8">
        <f>IFERROR(VLOOKUP(A2123,Flete!$A:$E,5,0),"")</f>
        <v/>
      </c>
      <c r="H2123" s="7">
        <f>IFERROR(VLOOKUP(F2123,TRAOPE!$AA:$AB,2,0),"")</f>
        <v/>
      </c>
      <c r="I2123" s="7" t="n">
        <v>10000160</v>
      </c>
      <c r="J2123" s="7">
        <f>IFERROR(VLOOKUP(I2123,Materiales!$A:$H,8,0),"")</f>
        <v/>
      </c>
      <c r="K2123" s="9">
        <f>IFERROR(VLOOKUP(I2123,Materiales!$A:$G,7,0),"")</f>
        <v/>
      </c>
      <c r="L2123" s="8" t="inlineStr">
        <is>
          <t>20190426</t>
        </is>
      </c>
      <c r="M2123" s="8" t="inlineStr">
        <is>
          <t>20250127</t>
        </is>
      </c>
      <c r="N2123" s="10" t="n">
        <v>115.5</v>
      </c>
      <c r="O2123" s="10">
        <f>IFERROR(VLOOKUP(A2123,Flete!$A:$J,10,0),"")</f>
        <v/>
      </c>
      <c r="P2123" s="8" t="inlineStr">
        <is>
          <t>M3</t>
        </is>
      </c>
      <c r="Q2123" s="10">
        <f>IFERROR(IFERROR(VLOOKUP(A2123,TRAOPE!$A:$U,21,0),VLOOKUP(B2123,TRAOPE!$A:$U,21,0)),"")</f>
        <v/>
      </c>
      <c r="R2123" s="8">
        <f>IFERROR(IFERROR(VLOOKUP(A2123,TRAOPE!$A:$W,23,0),VLOOKUP(B2123,TRAOPE!$A:$W,23,0)),"")</f>
        <v/>
      </c>
      <c r="S2123" s="10">
        <f>IF(AND(P2123="TN",R2123="TN"),N2123+N(O2123),IF(G2123&amp;""="1",N(K2123)*N2123,(N2123+N(O2123))*N(K2123)))</f>
        <v/>
      </c>
      <c r="T2123" s="10">
        <f>IF(Q2123="","",Q2123-S2123)</f>
        <v/>
      </c>
    </row>
    <row r="2124">
      <c r="A2124" s="7">
        <f>CONCATENATE(C2124,E2124,F2124,I2124)</f>
        <v/>
      </c>
      <c r="B2124" s="7">
        <f>CONCATENATE(C2124,E2124,I2124)</f>
        <v/>
      </c>
      <c r="C2124" s="8" t="n">
        <v>900007321</v>
      </c>
      <c r="D2124" s="7">
        <f>IFERROR(VLOOKUP(C2124,TRAOPE!$G:$H,2,0),"")</f>
        <v/>
      </c>
      <c r="E2124" s="8" t="inlineStr">
        <is>
          <t>D836</t>
        </is>
      </c>
      <c r="F2124" s="8" t="inlineStr">
        <is>
          <t>66982658</t>
        </is>
      </c>
      <c r="G2124" s="8">
        <f>IFERROR(VLOOKUP(A2124,Flete!$A:$E,5,0),"")</f>
        <v/>
      </c>
      <c r="H2124" s="7">
        <f>IFERROR(VLOOKUP(F2124,TRAOPE!$AA:$AB,2,0),"")</f>
        <v/>
      </c>
      <c r="I2124" s="7" t="n">
        <v>10216851</v>
      </c>
      <c r="J2124" s="7">
        <f>IFERROR(VLOOKUP(I2124,Materiales!$A:$H,8,0),"")</f>
        <v/>
      </c>
      <c r="K2124" s="9">
        <f>IFERROR(VLOOKUP(I2124,Materiales!$A:$G,7,0),"")</f>
        <v/>
      </c>
      <c r="L2124" s="8" t="inlineStr">
        <is>
          <t>20190426</t>
        </is>
      </c>
      <c r="M2124" s="8" t="inlineStr">
        <is>
          <t>20250127</t>
        </is>
      </c>
      <c r="N2124" s="10" t="n">
        <v>50</v>
      </c>
      <c r="O2124" s="10">
        <f>IFERROR(VLOOKUP(A2124,Flete!$A:$J,10,0),"")</f>
        <v/>
      </c>
      <c r="P2124" s="8" t="inlineStr">
        <is>
          <t>M3</t>
        </is>
      </c>
      <c r="Q2124" s="10">
        <f>IFERROR(IFERROR(VLOOKUP(A2124,TRAOPE!$A:$U,21,0),VLOOKUP(B2124,TRAOPE!$A:$U,21,0)),"")</f>
        <v/>
      </c>
      <c r="R2124" s="8">
        <f>IFERROR(IFERROR(VLOOKUP(A2124,TRAOPE!$A:$W,23,0),VLOOKUP(B2124,TRAOPE!$A:$W,23,0)),"")</f>
        <v/>
      </c>
      <c r="S2124" s="10">
        <f>IF(AND(P2124="TN",R2124="TN"),N2124+N(O2124),IF(G2124&amp;""="1",N(K2124)*N2124,(N2124+N(O2124))*N(K2124)))</f>
        <v/>
      </c>
      <c r="T2124" s="10">
        <f>IF(Q2124="","",Q2124-S2124)</f>
        <v/>
      </c>
    </row>
    <row r="2125">
      <c r="A2125" s="7">
        <f>CONCATENATE(C2125,E2125,F2125,I2125)</f>
        <v/>
      </c>
      <c r="B2125" s="7">
        <f>CONCATENATE(C2125,E2125,I2125)</f>
        <v/>
      </c>
      <c r="C2125" s="8" t="n">
        <v>900007321</v>
      </c>
      <c r="D2125" s="7">
        <f>IFERROR(VLOOKUP(C2125,TRAOPE!$G:$H,2,0),"")</f>
        <v/>
      </c>
      <c r="E2125" s="8" t="inlineStr">
        <is>
          <t>D836</t>
        </is>
      </c>
      <c r="F2125" s="8" t="inlineStr">
        <is>
          <t>67091004</t>
        </is>
      </c>
      <c r="G2125" s="8">
        <f>IFERROR(VLOOKUP(A2125,Flete!$A:$E,5,0),"")</f>
        <v/>
      </c>
      <c r="H2125" s="7">
        <f>IFERROR(VLOOKUP(F2125,TRAOPE!$AA:$AB,2,0),"")</f>
        <v/>
      </c>
      <c r="I2125" s="7" t="n">
        <v>10000357</v>
      </c>
      <c r="J2125" s="7">
        <f>IFERROR(VLOOKUP(I2125,Materiales!$A:$H,8,0),"")</f>
        <v/>
      </c>
      <c r="K2125" s="9">
        <f>IFERROR(VLOOKUP(I2125,Materiales!$A:$G,7,0),"")</f>
        <v/>
      </c>
      <c r="L2125" s="8" t="inlineStr">
        <is>
          <t>20190426</t>
        </is>
      </c>
      <c r="M2125" s="8" t="inlineStr">
        <is>
          <t>20250127</t>
        </is>
      </c>
      <c r="N2125" s="10" t="n">
        <v>114</v>
      </c>
      <c r="O2125" s="10">
        <f>IFERROR(VLOOKUP(A2125,Flete!$A:$J,10,0),"")</f>
        <v/>
      </c>
      <c r="P2125" s="8" t="inlineStr">
        <is>
          <t>M3</t>
        </is>
      </c>
      <c r="Q2125" s="10">
        <f>IFERROR(IFERROR(VLOOKUP(A2125,TRAOPE!$A:$U,21,0),VLOOKUP(B2125,TRAOPE!$A:$U,21,0)),"")</f>
        <v/>
      </c>
      <c r="R2125" s="8">
        <f>IFERROR(IFERROR(VLOOKUP(A2125,TRAOPE!$A:$W,23,0),VLOOKUP(B2125,TRAOPE!$A:$W,23,0)),"")</f>
        <v/>
      </c>
      <c r="S2125" s="10">
        <f>IF(AND(P2125="TN",R2125="TN"),N2125+N(O2125),IF(G2125&amp;""="1",N(K2125)*N2125,(N2125+N(O2125))*N(K2125)))</f>
        <v/>
      </c>
      <c r="T2125" s="10">
        <f>IF(Q2125="","",Q2125-S2125)</f>
        <v/>
      </c>
    </row>
    <row r="2126">
      <c r="A2126" s="7">
        <f>CONCATENATE(C2126,E2126,F2126,I2126)</f>
        <v/>
      </c>
      <c r="B2126" s="7">
        <f>CONCATENATE(C2126,E2126,I2126)</f>
        <v/>
      </c>
      <c r="C2126" s="8" t="n">
        <v>900007321</v>
      </c>
      <c r="D2126" s="7">
        <f>IFERROR(VLOOKUP(C2126,TRAOPE!$G:$H,2,0),"")</f>
        <v/>
      </c>
      <c r="E2126" s="8" t="inlineStr">
        <is>
          <t>D836</t>
        </is>
      </c>
      <c r="F2126" s="8" t="inlineStr">
        <is>
          <t>67091004</t>
        </is>
      </c>
      <c r="G2126" s="8">
        <f>IFERROR(VLOOKUP(A2126,Flete!$A:$E,5,0),"")</f>
        <v/>
      </c>
      <c r="H2126" s="7">
        <f>IFERROR(VLOOKUP(F2126,TRAOPE!$AA:$AB,2,0),"")</f>
        <v/>
      </c>
      <c r="I2126" s="7" t="n">
        <v>10172240</v>
      </c>
      <c r="J2126" s="7">
        <f>IFERROR(VLOOKUP(I2126,Materiales!$A:$H,8,0),"")</f>
        <v/>
      </c>
      <c r="K2126" s="9">
        <f>IFERROR(VLOOKUP(I2126,Materiales!$A:$G,7,0),"")</f>
        <v/>
      </c>
      <c r="L2126" s="8" t="inlineStr">
        <is>
          <t>20190426</t>
        </is>
      </c>
      <c r="M2126" s="8" t="inlineStr">
        <is>
          <t>20250127</t>
        </is>
      </c>
      <c r="N2126" s="10" t="n">
        <v>135</v>
      </c>
      <c r="O2126" s="10">
        <f>IFERROR(VLOOKUP(A2126,Flete!$A:$J,10,0),"")</f>
        <v/>
      </c>
      <c r="P2126" s="8" t="inlineStr">
        <is>
          <t>M3</t>
        </is>
      </c>
      <c r="Q2126" s="10">
        <f>IFERROR(IFERROR(VLOOKUP(A2126,TRAOPE!$A:$U,21,0),VLOOKUP(B2126,TRAOPE!$A:$U,21,0)),"")</f>
        <v/>
      </c>
      <c r="R2126" s="8">
        <f>IFERROR(IFERROR(VLOOKUP(A2126,TRAOPE!$A:$W,23,0),VLOOKUP(B2126,TRAOPE!$A:$W,23,0)),"")</f>
        <v/>
      </c>
      <c r="S2126" s="10">
        <f>IF(AND(P2126="TN",R2126="TN"),N2126+N(O2126),IF(G2126&amp;""="1",N(K2126)*N2126,(N2126+N(O2126))*N(K2126)))</f>
        <v/>
      </c>
      <c r="T2126" s="10">
        <f>IF(Q2126="","",Q2126-S2126)</f>
        <v/>
      </c>
    </row>
    <row r="2127">
      <c r="A2127" s="7">
        <f>CONCATENATE(C2127,E2127,F2127,I2127)</f>
        <v/>
      </c>
      <c r="B2127" s="7">
        <f>CONCATENATE(C2127,E2127,I2127)</f>
        <v/>
      </c>
      <c r="C2127" s="8" t="n">
        <v>900007650</v>
      </c>
      <c r="D2127" s="7">
        <f>IFERROR(VLOOKUP(C2127,TRAOPE!$G:$H,2,0),"")</f>
        <v/>
      </c>
      <c r="E2127" s="8" t="inlineStr">
        <is>
          <t>D836</t>
        </is>
      </c>
      <c r="F2127" s="8" t="inlineStr">
        <is>
          <t>67073185</t>
        </is>
      </c>
      <c r="G2127" s="8">
        <f>IFERROR(VLOOKUP(A2127,Flete!$A:$E,5,0),"")</f>
        <v/>
      </c>
      <c r="H2127" s="7">
        <f>IFERROR(VLOOKUP(F2127,TRAOPE!$AA:$AB,2,0),"")</f>
        <v/>
      </c>
      <c r="I2127" s="7" t="n">
        <v>10000284</v>
      </c>
      <c r="J2127" s="7">
        <f>IFERROR(VLOOKUP(I2127,Materiales!$A:$H,8,0),"")</f>
        <v/>
      </c>
      <c r="K2127" s="9">
        <f>IFERROR(VLOOKUP(I2127,Materiales!$A:$G,7,0),"")</f>
        <v/>
      </c>
      <c r="L2127" s="8" t="inlineStr">
        <is>
          <t>20190426</t>
        </is>
      </c>
      <c r="M2127" s="8" t="inlineStr">
        <is>
          <t>20250127</t>
        </is>
      </c>
      <c r="N2127" s="10" t="n">
        <v>391.46</v>
      </c>
      <c r="O2127" s="10">
        <f>IFERROR(VLOOKUP(A2127,Flete!$A:$J,10,0),"")</f>
        <v/>
      </c>
      <c r="P2127" s="8" t="inlineStr">
        <is>
          <t>M3</t>
        </is>
      </c>
      <c r="Q2127" s="10">
        <f>IFERROR(IFERROR(VLOOKUP(A2127,TRAOPE!$A:$U,21,0),VLOOKUP(B2127,TRAOPE!$A:$U,21,0)),"")</f>
        <v/>
      </c>
      <c r="R2127" s="8">
        <f>IFERROR(IFERROR(VLOOKUP(A2127,TRAOPE!$A:$W,23,0),VLOOKUP(B2127,TRAOPE!$A:$W,23,0)),"")</f>
        <v/>
      </c>
      <c r="S2127" s="10">
        <f>IF(AND(P2127="TN",R2127="TN"),N2127+N(O2127),IF(G2127&amp;""="1",N(K2127)*N2127,(N2127+N(O2127))*N(K2127)))</f>
        <v/>
      </c>
      <c r="T2127" s="10">
        <f>IF(Q2127="","",Q2127-S2127)</f>
        <v/>
      </c>
    </row>
    <row r="2128">
      <c r="A2128" s="7">
        <f>CONCATENATE(C2128,E2128,F2128,I2128)</f>
        <v/>
      </c>
      <c r="B2128" s="7">
        <f>CONCATENATE(C2128,E2128,I2128)</f>
        <v/>
      </c>
      <c r="C2128" s="8" t="n">
        <v>900007650</v>
      </c>
      <c r="D2128" s="7">
        <f>IFERROR(VLOOKUP(C2128,TRAOPE!$G:$H,2,0),"")</f>
        <v/>
      </c>
      <c r="E2128" s="8" t="inlineStr">
        <is>
          <t>D836</t>
        </is>
      </c>
      <c r="F2128" s="8" t="inlineStr">
        <is>
          <t>67109263</t>
        </is>
      </c>
      <c r="G2128" s="8">
        <f>IFERROR(VLOOKUP(A2128,Flete!$A:$E,5,0),"")</f>
        <v/>
      </c>
      <c r="H2128" s="7">
        <f>IFERROR(VLOOKUP(F2128,TRAOPE!$AA:$AB,2,0),"")</f>
        <v/>
      </c>
      <c r="I2128" s="7" t="n">
        <v>10057633</v>
      </c>
      <c r="J2128" s="7">
        <f>IFERROR(VLOOKUP(I2128,Materiales!$A:$H,8,0),"")</f>
        <v/>
      </c>
      <c r="K2128" s="9">
        <f>IFERROR(VLOOKUP(I2128,Materiales!$A:$G,7,0),"")</f>
        <v/>
      </c>
      <c r="L2128" s="8" t="inlineStr">
        <is>
          <t>20190426</t>
        </is>
      </c>
      <c r="M2128" s="8" t="inlineStr">
        <is>
          <t>20250127</t>
        </is>
      </c>
      <c r="N2128" s="10" t="n">
        <v>335</v>
      </c>
      <c r="O2128" s="10">
        <f>IFERROR(VLOOKUP(A2128,Flete!$A:$J,10,0),"")</f>
        <v/>
      </c>
      <c r="P2128" s="8" t="inlineStr">
        <is>
          <t>M3</t>
        </is>
      </c>
      <c r="Q2128" s="10">
        <f>IFERROR(IFERROR(VLOOKUP(A2128,TRAOPE!$A:$U,21,0),VLOOKUP(B2128,TRAOPE!$A:$U,21,0)),"")</f>
        <v/>
      </c>
      <c r="R2128" s="8">
        <f>IFERROR(IFERROR(VLOOKUP(A2128,TRAOPE!$A:$W,23,0),VLOOKUP(B2128,TRAOPE!$A:$W,23,0)),"")</f>
        <v/>
      </c>
      <c r="S2128" s="10">
        <f>IF(AND(P2128="TN",R2128="TN"),N2128+N(O2128),IF(G2128&amp;""="1",N(K2128)*N2128,(N2128+N(O2128))*N(K2128)))</f>
        <v/>
      </c>
      <c r="T2128" s="10">
        <f>IF(Q2128="","",Q2128-S2128)</f>
        <v/>
      </c>
    </row>
    <row r="2129">
      <c r="A2129" s="7">
        <f>CONCATENATE(C2129,E2129,F2129,I2129)</f>
        <v/>
      </c>
      <c r="B2129" s="7">
        <f>CONCATENATE(C2129,E2129,I2129)</f>
        <v/>
      </c>
      <c r="C2129" s="8" t="n">
        <v>900007650</v>
      </c>
      <c r="D2129" s="7">
        <f>IFERROR(VLOOKUP(C2129,TRAOPE!$G:$H,2,0),"")</f>
        <v/>
      </c>
      <c r="E2129" s="8" t="inlineStr">
        <is>
          <t>D836</t>
        </is>
      </c>
      <c r="F2129" s="8" t="inlineStr">
        <is>
          <t>67109263</t>
        </is>
      </c>
      <c r="G2129" s="8">
        <f>IFERROR(VLOOKUP(A2129,Flete!$A:$E,5,0),"")</f>
        <v/>
      </c>
      <c r="H2129" s="7">
        <f>IFERROR(VLOOKUP(F2129,TRAOPE!$AA:$AB,2,0),"")</f>
        <v/>
      </c>
      <c r="I2129" s="7" t="n">
        <v>10128752</v>
      </c>
      <c r="J2129" s="7">
        <f>IFERROR(VLOOKUP(I2129,Materiales!$A:$H,8,0),"")</f>
        <v/>
      </c>
      <c r="K2129" s="9">
        <f>IFERROR(VLOOKUP(I2129,Materiales!$A:$G,7,0),"")</f>
        <v/>
      </c>
      <c r="L2129" s="8" t="inlineStr">
        <is>
          <t>20190426</t>
        </is>
      </c>
      <c r="M2129" s="8" t="inlineStr">
        <is>
          <t>20250127</t>
        </is>
      </c>
      <c r="N2129" s="10" t="n">
        <v>335</v>
      </c>
      <c r="O2129" s="10">
        <f>IFERROR(VLOOKUP(A2129,Flete!$A:$J,10,0),"")</f>
        <v/>
      </c>
      <c r="P2129" s="8" t="inlineStr">
        <is>
          <t>M3</t>
        </is>
      </c>
      <c r="Q2129" s="10">
        <f>IFERROR(IFERROR(VLOOKUP(A2129,TRAOPE!$A:$U,21,0),VLOOKUP(B2129,TRAOPE!$A:$U,21,0)),"")</f>
        <v/>
      </c>
      <c r="R2129" s="8">
        <f>IFERROR(IFERROR(VLOOKUP(A2129,TRAOPE!$A:$W,23,0),VLOOKUP(B2129,TRAOPE!$A:$W,23,0)),"")</f>
        <v/>
      </c>
      <c r="S2129" s="10">
        <f>IF(AND(P2129="TN",R2129="TN"),N2129+N(O2129),IF(G2129&amp;""="1",N(K2129)*N2129,(N2129+N(O2129))*N(K2129)))</f>
        <v/>
      </c>
      <c r="T2129" s="10">
        <f>IF(Q2129="","",Q2129-S2129)</f>
        <v/>
      </c>
    </row>
    <row r="2130">
      <c r="A2130" s="7">
        <f>CONCATENATE(C2130,E2130,F2130,I2130)</f>
        <v/>
      </c>
      <c r="B2130" s="7">
        <f>CONCATENATE(C2130,E2130,I2130)</f>
        <v/>
      </c>
      <c r="C2130" s="8" t="n">
        <v>900007650</v>
      </c>
      <c r="D2130" s="7">
        <f>IFERROR(VLOOKUP(C2130,TRAOPE!$G:$H,2,0),"")</f>
        <v/>
      </c>
      <c r="E2130" s="8" t="inlineStr">
        <is>
          <t>D836</t>
        </is>
      </c>
      <c r="F2130" s="8" t="inlineStr">
        <is>
          <t>67155199</t>
        </is>
      </c>
      <c r="G2130" s="8">
        <f>IFERROR(VLOOKUP(A2130,Flete!$A:$E,5,0),"")</f>
        <v/>
      </c>
      <c r="H2130" s="7">
        <f>IFERROR(VLOOKUP(F2130,TRAOPE!$AA:$AB,2,0),"")</f>
        <v/>
      </c>
      <c r="I2130" s="7" t="n">
        <v>10000301</v>
      </c>
      <c r="J2130" s="7">
        <f>IFERROR(VLOOKUP(I2130,Materiales!$A:$H,8,0),"")</f>
        <v/>
      </c>
      <c r="K2130" s="9">
        <f>IFERROR(VLOOKUP(I2130,Materiales!$A:$G,7,0),"")</f>
        <v/>
      </c>
      <c r="L2130" s="8" t="inlineStr">
        <is>
          <t>20190426</t>
        </is>
      </c>
      <c r="M2130" s="8" t="inlineStr">
        <is>
          <t>20250127</t>
        </is>
      </c>
      <c r="N2130" s="10" t="n">
        <v>370</v>
      </c>
      <c r="O2130" s="10">
        <f>IFERROR(VLOOKUP(A2130,Flete!$A:$J,10,0),"")</f>
        <v/>
      </c>
      <c r="P2130" s="8" t="inlineStr">
        <is>
          <t>M3</t>
        </is>
      </c>
      <c r="Q2130" s="10">
        <f>IFERROR(IFERROR(VLOOKUP(A2130,TRAOPE!$A:$U,21,0),VLOOKUP(B2130,TRAOPE!$A:$U,21,0)),"")</f>
        <v/>
      </c>
      <c r="R2130" s="8">
        <f>IFERROR(IFERROR(VLOOKUP(A2130,TRAOPE!$A:$W,23,0),VLOOKUP(B2130,TRAOPE!$A:$W,23,0)),"")</f>
        <v/>
      </c>
      <c r="S2130" s="10">
        <f>IF(AND(P2130="TN",R2130="TN"),N2130+N(O2130),IF(G2130&amp;""="1",N(K2130)*N2130,(N2130+N(O2130))*N(K2130)))</f>
        <v/>
      </c>
      <c r="T2130" s="10">
        <f>IF(Q2130="","",Q2130-S2130)</f>
        <v/>
      </c>
    </row>
    <row r="2131">
      <c r="A2131" s="7">
        <f>CONCATENATE(C2131,E2131,F2131,I2131)</f>
        <v/>
      </c>
      <c r="B2131" s="7">
        <f>CONCATENATE(C2131,E2131,I2131)</f>
        <v/>
      </c>
      <c r="C2131" s="8" t="n">
        <v>900007670</v>
      </c>
      <c r="D2131" s="7">
        <f>IFERROR(VLOOKUP(C2131,TRAOPE!$G:$H,2,0),"")</f>
        <v/>
      </c>
      <c r="E2131" s="8" t="inlineStr">
        <is>
          <t>D836</t>
        </is>
      </c>
      <c r="F2131" s="8" t="inlineStr">
        <is>
          <t>67073185</t>
        </is>
      </c>
      <c r="G2131" s="8">
        <f>IFERROR(VLOOKUP(A2131,Flete!$A:$E,5,0),"")</f>
        <v/>
      </c>
      <c r="H2131" s="7">
        <f>IFERROR(VLOOKUP(F2131,TRAOPE!$AA:$AB,2,0),"")</f>
        <v/>
      </c>
      <c r="I2131" s="7" t="n">
        <v>10000284</v>
      </c>
      <c r="J2131" s="7">
        <f>IFERROR(VLOOKUP(I2131,Materiales!$A:$H,8,0),"")</f>
        <v/>
      </c>
      <c r="K2131" s="9">
        <f>IFERROR(VLOOKUP(I2131,Materiales!$A:$G,7,0),"")</f>
        <v/>
      </c>
      <c r="L2131" s="8" t="inlineStr">
        <is>
          <t>20190426</t>
        </is>
      </c>
      <c r="M2131" s="8" t="inlineStr">
        <is>
          <t>20250127</t>
        </is>
      </c>
      <c r="N2131" s="10" t="n">
        <v>371</v>
      </c>
      <c r="O2131" s="10">
        <f>IFERROR(VLOOKUP(A2131,Flete!$A:$J,10,0),"")</f>
        <v/>
      </c>
      <c r="P2131" s="8" t="inlineStr">
        <is>
          <t>M3</t>
        </is>
      </c>
      <c r="Q2131" s="10">
        <f>IFERROR(IFERROR(VLOOKUP(A2131,TRAOPE!$A:$U,21,0),VLOOKUP(B2131,TRAOPE!$A:$U,21,0)),"")</f>
        <v/>
      </c>
      <c r="R2131" s="8">
        <f>IFERROR(IFERROR(VLOOKUP(A2131,TRAOPE!$A:$W,23,0),VLOOKUP(B2131,TRAOPE!$A:$W,23,0)),"")</f>
        <v/>
      </c>
      <c r="S2131" s="10">
        <f>IF(AND(P2131="TN",R2131="TN"),N2131+N(O2131),IF(G2131&amp;""="1",N(K2131)*N2131,(N2131+N(O2131))*N(K2131)))</f>
        <v/>
      </c>
      <c r="T2131" s="10">
        <f>IF(Q2131="","",Q2131-S2131)</f>
        <v/>
      </c>
    </row>
    <row r="2132">
      <c r="A2132" s="7">
        <f>CONCATENATE(C2132,E2132,F2132,I2132)</f>
        <v/>
      </c>
      <c r="B2132" s="7">
        <f>CONCATENATE(C2132,E2132,I2132)</f>
        <v/>
      </c>
      <c r="C2132" s="8" t="n">
        <v>900003601</v>
      </c>
      <c r="D2132" s="7">
        <f>IFERROR(VLOOKUP(C2132,TRAOPE!$G:$H,2,0),"")</f>
        <v/>
      </c>
      <c r="E2132" s="8" t="inlineStr">
        <is>
          <t>D836</t>
        </is>
      </c>
      <c r="F2132" s="8" t="inlineStr">
        <is>
          <t>66415270</t>
        </is>
      </c>
      <c r="G2132" s="8">
        <f>IFERROR(VLOOKUP(A2132,Flete!$A:$E,5,0),"")</f>
        <v/>
      </c>
      <c r="H2132" s="7">
        <f>IFERROR(VLOOKUP(F2132,TRAOPE!$AA:$AB,2,0),"")</f>
        <v/>
      </c>
      <c r="I2132" s="7" t="n">
        <v>10000722</v>
      </c>
      <c r="J2132" s="7">
        <f>IFERROR(VLOOKUP(I2132,Materiales!$A:$H,8,0),"")</f>
        <v/>
      </c>
      <c r="K2132" s="9">
        <f>IFERROR(VLOOKUP(I2132,Materiales!$A:$G,7,0),"")</f>
        <v/>
      </c>
      <c r="L2132" s="8" t="inlineStr">
        <is>
          <t>20250331</t>
        </is>
      </c>
      <c r="M2132" s="8" t="inlineStr">
        <is>
          <t>20250421</t>
        </is>
      </c>
      <c r="N2132" s="10" t="n">
        <v>115</v>
      </c>
      <c r="O2132" s="10">
        <f>IFERROR(VLOOKUP(A2132,Flete!$A:$J,10,0),"")</f>
        <v/>
      </c>
      <c r="P2132" s="8" t="inlineStr">
        <is>
          <t>TN</t>
        </is>
      </c>
      <c r="Q2132" s="10">
        <f>IFERROR(IFERROR(VLOOKUP(A2132,TRAOPE!$A:$U,21,0),VLOOKUP(B2132,TRAOPE!$A:$U,21,0)),"")</f>
        <v/>
      </c>
      <c r="R2132" s="8">
        <f>IFERROR(IFERROR(VLOOKUP(A2132,TRAOPE!$A:$W,23,0),VLOOKUP(B2132,TRAOPE!$A:$W,23,0)),"")</f>
        <v/>
      </c>
      <c r="S2132" s="10">
        <f>IF(AND(P2132="TN",R2132="TN"),N2132+N(O2132),IF(G2132&amp;""="1",N(K2132)*N2132,(N2132+N(O2132))*N(K2132)))</f>
        <v/>
      </c>
      <c r="T2132" s="10">
        <f>IF(Q2132="","",Q2132-S2132)</f>
        <v/>
      </c>
    </row>
    <row r="2133">
      <c r="A2133" s="7">
        <f>CONCATENATE(C2133,E2133,F2133,I2133)</f>
        <v/>
      </c>
      <c r="B2133" s="7">
        <f>CONCATENATE(C2133,E2133,I2133)</f>
        <v/>
      </c>
      <c r="C2133" s="8" t="n">
        <v>900009140</v>
      </c>
      <c r="D2133" s="7">
        <f>IFERROR(VLOOKUP(C2133,TRAOPE!$G:$H,2,0),"")</f>
        <v/>
      </c>
      <c r="E2133" s="8" t="inlineStr">
        <is>
          <t>D836</t>
        </is>
      </c>
      <c r="F2133" s="8" t="inlineStr">
        <is>
          <t>67240729</t>
        </is>
      </c>
      <c r="G2133" s="8">
        <f>IFERROR(VLOOKUP(A2133,Flete!$A:$E,5,0),"")</f>
        <v/>
      </c>
      <c r="H2133" s="7">
        <f>IFERROR(VLOOKUP(F2133,TRAOPE!$AA:$AB,2,0),"")</f>
        <v/>
      </c>
      <c r="I2133" s="7" t="n">
        <v>10000623</v>
      </c>
      <c r="J2133" s="7">
        <f>IFERROR(VLOOKUP(I2133,Materiales!$A:$H,8,0),"")</f>
        <v/>
      </c>
      <c r="K2133" s="9">
        <f>IFERROR(VLOOKUP(I2133,Materiales!$A:$G,7,0),"")</f>
        <v/>
      </c>
      <c r="L2133" s="8" t="inlineStr">
        <is>
          <t>20250612</t>
        </is>
      </c>
      <c r="M2133" s="8" t="inlineStr">
        <is>
          <t>20250627</t>
        </is>
      </c>
      <c r="N2133" s="10" t="n">
        <v>142.49</v>
      </c>
      <c r="O2133" s="10">
        <f>IFERROR(VLOOKUP(A2133,Flete!$A:$J,10,0),"")</f>
        <v/>
      </c>
      <c r="P2133" s="8" t="inlineStr">
        <is>
          <t>TN</t>
        </is>
      </c>
      <c r="Q2133" s="10">
        <f>IFERROR(IFERROR(VLOOKUP(A2133,TRAOPE!$A:$U,21,0),VLOOKUP(B2133,TRAOPE!$A:$U,21,0)),"")</f>
        <v/>
      </c>
      <c r="R2133" s="8">
        <f>IFERROR(IFERROR(VLOOKUP(A2133,TRAOPE!$A:$W,23,0),VLOOKUP(B2133,TRAOPE!$A:$W,23,0)),"")</f>
        <v/>
      </c>
      <c r="S2133" s="10">
        <f>IF(AND(P2133="TN",R2133="TN"),N2133+N(O2133),IF(G2133&amp;""="1",N(K2133)*N2133,(N2133+N(O2133))*N(K2133)))</f>
        <v/>
      </c>
      <c r="T2133" s="10">
        <f>IF(Q2133="","",Q2133-S2133)</f>
        <v/>
      </c>
    </row>
    <row r="2134">
      <c r="A2134" s="7">
        <f>CONCATENATE(C2134,E2134,F2134,I2134)</f>
        <v/>
      </c>
      <c r="B2134" s="7">
        <f>CONCATENATE(C2134,E2134,I2134)</f>
        <v/>
      </c>
      <c r="C2134" s="8" t="n">
        <v>900003609</v>
      </c>
      <c r="D2134" s="7">
        <f>IFERROR(VLOOKUP(C2134,TRAOPE!$G:$H,2,0),"")</f>
        <v/>
      </c>
      <c r="E2134" s="8" t="inlineStr">
        <is>
          <t>D836</t>
        </is>
      </c>
      <c r="F2134" s="8" t="inlineStr">
        <is>
          <t>66233244</t>
        </is>
      </c>
      <c r="G2134" s="8">
        <f>IFERROR(VLOOKUP(A2134,Flete!$A:$E,5,0),"")</f>
        <v/>
      </c>
      <c r="H2134" s="7">
        <f>IFERROR(VLOOKUP(F2134,TRAOPE!$AA:$AB,2,0),"")</f>
        <v/>
      </c>
      <c r="I2134" s="7" t="n">
        <v>10207890</v>
      </c>
      <c r="J2134" s="7">
        <f>IFERROR(VLOOKUP(I2134,Materiales!$A:$H,8,0),"")</f>
        <v/>
      </c>
      <c r="K2134" s="9">
        <f>IFERROR(VLOOKUP(I2134,Materiales!$A:$G,7,0),"")</f>
        <v/>
      </c>
      <c r="L2134" s="8" t="inlineStr">
        <is>
          <t>20250618</t>
        </is>
      </c>
      <c r="M2134" s="8" t="inlineStr">
        <is>
          <t>20251001</t>
        </is>
      </c>
      <c r="N2134" s="10" t="n">
        <v>150</v>
      </c>
      <c r="O2134" s="10">
        <f>IFERROR(VLOOKUP(A2134,Flete!$A:$J,10,0),"")</f>
        <v/>
      </c>
      <c r="P2134" s="8" t="inlineStr">
        <is>
          <t>M3</t>
        </is>
      </c>
      <c r="Q2134" s="10">
        <f>IFERROR(IFERROR(VLOOKUP(A2134,TRAOPE!$A:$U,21,0),VLOOKUP(B2134,TRAOPE!$A:$U,21,0)),"")</f>
        <v/>
      </c>
      <c r="R2134" s="8">
        <f>IFERROR(IFERROR(VLOOKUP(A2134,TRAOPE!$A:$W,23,0),VLOOKUP(B2134,TRAOPE!$A:$W,23,0)),"")</f>
        <v/>
      </c>
      <c r="S2134" s="10">
        <f>IF(AND(P2134="TN",R2134="TN"),N2134+N(O2134),IF(G2134&amp;""="1",N(K2134)*N2134,(N2134+N(O2134))*N(K2134)))</f>
        <v/>
      </c>
      <c r="T2134" s="10">
        <f>IF(Q2134="","",Q2134-S2134)</f>
        <v/>
      </c>
    </row>
    <row r="2135">
      <c r="A2135" s="7">
        <f>CONCATENATE(C2135,E2135,F2135,I2135)</f>
        <v/>
      </c>
      <c r="B2135" s="7">
        <f>CONCATENATE(C2135,E2135,I2135)</f>
        <v/>
      </c>
      <c r="C2135" s="8" t="n">
        <v>900002574</v>
      </c>
      <c r="D2135" s="7">
        <f>IFERROR(VLOOKUP(C2135,TRAOPE!$G:$H,2,0),"")</f>
        <v/>
      </c>
      <c r="E2135" s="8" t="inlineStr">
        <is>
          <t>D836</t>
        </is>
      </c>
      <c r="F2135" s="8" t="inlineStr">
        <is>
          <t>67148606</t>
        </is>
      </c>
      <c r="G2135" s="8">
        <f>IFERROR(VLOOKUP(A2135,Flete!$A:$E,5,0),"")</f>
        <v/>
      </c>
      <c r="H2135" s="7">
        <f>IFERROR(VLOOKUP(F2135,TRAOPE!$AA:$AB,2,0),"")</f>
        <v/>
      </c>
      <c r="I2135" s="7" t="n">
        <v>10019515</v>
      </c>
      <c r="J2135" s="7">
        <f>IFERROR(VLOOKUP(I2135,Materiales!$A:$H,8,0),"")</f>
        <v/>
      </c>
      <c r="K2135" s="9">
        <f>IFERROR(VLOOKUP(I2135,Materiales!$A:$G,7,0),"")</f>
        <v/>
      </c>
      <c r="L2135" s="8" t="inlineStr">
        <is>
          <t>20230523</t>
        </is>
      </c>
      <c r="M2135" s="8" t="inlineStr">
        <is>
          <t>20251030</t>
        </is>
      </c>
      <c r="N2135" s="10" t="n">
        <v>429</v>
      </c>
      <c r="O2135" s="10">
        <f>IFERROR(VLOOKUP(A2135,Flete!$A:$J,10,0),"")</f>
        <v/>
      </c>
      <c r="P2135" s="8" t="inlineStr">
        <is>
          <t>M3</t>
        </is>
      </c>
      <c r="Q2135" s="10">
        <f>IFERROR(IFERROR(VLOOKUP(A2135,TRAOPE!$A:$U,21,0),VLOOKUP(B2135,TRAOPE!$A:$U,21,0)),"")</f>
        <v/>
      </c>
      <c r="R2135" s="8">
        <f>IFERROR(IFERROR(VLOOKUP(A2135,TRAOPE!$A:$W,23,0),VLOOKUP(B2135,TRAOPE!$A:$W,23,0)),"")</f>
        <v/>
      </c>
      <c r="S2135" s="10">
        <f>IF(AND(P2135="TN",R2135="TN"),N2135+N(O2135),IF(G2135&amp;""="1",N(K2135)*N2135,(N2135+N(O2135))*N(K2135)))</f>
        <v/>
      </c>
      <c r="T2135" s="10">
        <f>IF(Q2135="","",Q2135-S2135)</f>
        <v/>
      </c>
    </row>
    <row r="2136">
      <c r="A2136" s="7">
        <f>CONCATENATE(C2136,E2136,F2136,I2136)</f>
        <v/>
      </c>
      <c r="B2136" s="7">
        <f>CONCATENATE(C2136,E2136,I2136)</f>
        <v/>
      </c>
      <c r="C2136" s="8" t="n">
        <v>900003609</v>
      </c>
      <c r="D2136" s="7">
        <f>IFERROR(VLOOKUP(C2136,TRAOPE!$G:$H,2,0),"")</f>
        <v/>
      </c>
      <c r="E2136" s="8" t="inlineStr">
        <is>
          <t>D836</t>
        </is>
      </c>
      <c r="F2136" s="8" t="inlineStr">
        <is>
          <t>67330388</t>
        </is>
      </c>
      <c r="G2136" s="8">
        <f>IFERROR(VLOOKUP(A2136,Flete!$A:$E,5,0),"")</f>
        <v/>
      </c>
      <c r="H2136" s="7">
        <f>IFERROR(VLOOKUP(F2136,TRAOPE!$AA:$AB,2,0),"")</f>
        <v/>
      </c>
      <c r="I2136" s="7" t="n">
        <v>10207890</v>
      </c>
      <c r="J2136" s="7">
        <f>IFERROR(VLOOKUP(I2136,Materiales!$A:$H,8,0),"")</f>
        <v/>
      </c>
      <c r="K2136" s="9">
        <f>IFERROR(VLOOKUP(I2136,Materiales!$A:$G,7,0),"")</f>
        <v/>
      </c>
      <c r="L2136" s="8" t="inlineStr">
        <is>
          <t>20250728</t>
        </is>
      </c>
      <c r="M2136" s="8" t="inlineStr">
        <is>
          <t>20251030</t>
        </is>
      </c>
      <c r="N2136" s="10" t="n">
        <v>167</v>
      </c>
      <c r="O2136" s="10">
        <f>IFERROR(VLOOKUP(A2136,Flete!$A:$J,10,0),"")</f>
        <v/>
      </c>
      <c r="P2136" s="8" t="inlineStr">
        <is>
          <t>M3</t>
        </is>
      </c>
      <c r="Q2136" s="10">
        <f>IFERROR(IFERROR(VLOOKUP(A2136,TRAOPE!$A:$U,21,0),VLOOKUP(B2136,TRAOPE!$A:$U,21,0)),"")</f>
        <v/>
      </c>
      <c r="R2136" s="8">
        <f>IFERROR(IFERROR(VLOOKUP(A2136,TRAOPE!$A:$W,23,0),VLOOKUP(B2136,TRAOPE!$A:$W,23,0)),"")</f>
        <v/>
      </c>
      <c r="S2136" s="10">
        <f>IF(AND(P2136="TN",R2136="TN"),N2136+N(O2136),IF(G2136&amp;""="1",N(K2136)*N2136,(N2136+N(O2136))*N(K2136)))</f>
        <v/>
      </c>
      <c r="T2136" s="10">
        <f>IF(Q2136="","",Q2136-S2136)</f>
        <v/>
      </c>
    </row>
    <row r="2137">
      <c r="A2137" s="7">
        <f>CONCATENATE(C2137,E2137,F2137,I2137)</f>
        <v/>
      </c>
      <c r="B2137" s="7">
        <f>CONCATENATE(C2137,E2137,I2137)</f>
        <v/>
      </c>
      <c r="C2137" s="8" t="n">
        <v>900004365</v>
      </c>
      <c r="D2137" s="7">
        <f>IFERROR(VLOOKUP(C2137,TRAOPE!$G:$H,2,0),"")</f>
        <v/>
      </c>
      <c r="E2137" s="8" t="inlineStr">
        <is>
          <t>D836</t>
        </is>
      </c>
      <c r="F2137" s="8" t="inlineStr">
        <is>
          <t>65098481</t>
        </is>
      </c>
      <c r="G2137" s="8">
        <f>IFERROR(VLOOKUP(A2137,Flete!$A:$E,5,0),"")</f>
        <v/>
      </c>
      <c r="H2137" s="7">
        <f>IFERROR(VLOOKUP(F2137,TRAOPE!$AA:$AB,2,0),"")</f>
        <v/>
      </c>
      <c r="I2137" s="7" t="n">
        <v>10184010</v>
      </c>
      <c r="J2137" s="7">
        <f>IFERROR(VLOOKUP(I2137,Materiales!$A:$H,8,0),"")</f>
        <v/>
      </c>
      <c r="K2137" s="9">
        <f>IFERROR(VLOOKUP(I2137,Materiales!$A:$G,7,0),"")</f>
        <v/>
      </c>
      <c r="L2137" s="8" t="inlineStr">
        <is>
          <t>20230623</t>
        </is>
      </c>
      <c r="M2137" s="8" t="inlineStr">
        <is>
          <t>20251030</t>
        </is>
      </c>
      <c r="N2137" s="10" t="n">
        <v>272</v>
      </c>
      <c r="O2137" s="10">
        <f>IFERROR(VLOOKUP(A2137,Flete!$A:$J,10,0),"")</f>
        <v/>
      </c>
      <c r="P2137" s="8" t="inlineStr">
        <is>
          <t>M3</t>
        </is>
      </c>
      <c r="Q2137" s="10">
        <f>IFERROR(IFERROR(VLOOKUP(A2137,TRAOPE!$A:$U,21,0),VLOOKUP(B2137,TRAOPE!$A:$U,21,0)),"")</f>
        <v/>
      </c>
      <c r="R2137" s="8">
        <f>IFERROR(IFERROR(VLOOKUP(A2137,TRAOPE!$A:$W,23,0),VLOOKUP(B2137,TRAOPE!$A:$W,23,0)),"")</f>
        <v/>
      </c>
      <c r="S2137" s="10">
        <f>IF(AND(P2137="TN",R2137="TN"),N2137+N(O2137),IF(G2137&amp;""="1",N(K2137)*N2137,(N2137+N(O2137))*N(K2137)))</f>
        <v/>
      </c>
      <c r="T2137" s="10">
        <f>IF(Q2137="","",Q2137-S2137)</f>
        <v/>
      </c>
    </row>
    <row r="2138">
      <c r="A2138" s="7">
        <f>CONCATENATE(C2138,E2138,F2138,I2138)</f>
        <v/>
      </c>
      <c r="B2138" s="7">
        <f>CONCATENATE(C2138,E2138,I2138)</f>
        <v/>
      </c>
      <c r="C2138" s="8" t="n">
        <v>900004365</v>
      </c>
      <c r="D2138" s="7">
        <f>IFERROR(VLOOKUP(C2138,TRAOPE!$G:$H,2,0),"")</f>
        <v/>
      </c>
      <c r="E2138" s="8" t="inlineStr">
        <is>
          <t>D836</t>
        </is>
      </c>
      <c r="F2138" s="8" t="inlineStr">
        <is>
          <t>67052438</t>
        </is>
      </c>
      <c r="G2138" s="8">
        <f>IFERROR(VLOOKUP(A2138,Flete!$A:$E,5,0),"")</f>
        <v/>
      </c>
      <c r="H2138" s="7">
        <f>IFERROR(VLOOKUP(F2138,TRAOPE!$AA:$AB,2,0),"")</f>
        <v/>
      </c>
      <c r="I2138" s="7" t="n">
        <v>10000313</v>
      </c>
      <c r="J2138" s="7">
        <f>IFERROR(VLOOKUP(I2138,Materiales!$A:$H,8,0),"")</f>
        <v/>
      </c>
      <c r="K2138" s="9">
        <f>IFERROR(VLOOKUP(I2138,Materiales!$A:$G,7,0),"")</f>
        <v/>
      </c>
      <c r="L2138" s="8" t="inlineStr">
        <is>
          <t>20220326</t>
        </is>
      </c>
      <c r="M2138" s="8" t="inlineStr">
        <is>
          <t>20251030</t>
        </is>
      </c>
      <c r="N2138" s="10" t="n">
        <v>390</v>
      </c>
      <c r="O2138" s="10">
        <f>IFERROR(VLOOKUP(A2138,Flete!$A:$J,10,0),"")</f>
        <v/>
      </c>
      <c r="P2138" s="8" t="inlineStr">
        <is>
          <t>M3</t>
        </is>
      </c>
      <c r="Q2138" s="10">
        <f>IFERROR(IFERROR(VLOOKUP(A2138,TRAOPE!$A:$U,21,0),VLOOKUP(B2138,TRAOPE!$A:$U,21,0)),"")</f>
        <v/>
      </c>
      <c r="R2138" s="8">
        <f>IFERROR(IFERROR(VLOOKUP(A2138,TRAOPE!$A:$W,23,0),VLOOKUP(B2138,TRAOPE!$A:$W,23,0)),"")</f>
        <v/>
      </c>
      <c r="S2138" s="10">
        <f>IF(AND(P2138="TN",R2138="TN"),N2138+N(O2138),IF(G2138&amp;""="1",N(K2138)*N2138,(N2138+N(O2138))*N(K2138)))</f>
        <v/>
      </c>
      <c r="T2138" s="10">
        <f>IF(Q2138="","",Q2138-S2138)</f>
        <v/>
      </c>
    </row>
    <row r="2139">
      <c r="A2139" s="7">
        <f>CONCATENATE(C2139,E2139,F2139,I2139)</f>
        <v/>
      </c>
      <c r="B2139" s="7">
        <f>CONCATENATE(C2139,E2139,I2139)</f>
        <v/>
      </c>
      <c r="C2139" s="8" t="n">
        <v>900004365</v>
      </c>
      <c r="D2139" s="7">
        <f>IFERROR(VLOOKUP(C2139,TRAOPE!$G:$H,2,0),"")</f>
        <v/>
      </c>
      <c r="E2139" s="8" t="inlineStr">
        <is>
          <t>D836</t>
        </is>
      </c>
      <c r="F2139" s="8" t="inlineStr">
        <is>
          <t>67075811</t>
        </is>
      </c>
      <c r="G2139" s="8">
        <f>IFERROR(VLOOKUP(A2139,Flete!$A:$E,5,0),"")</f>
        <v/>
      </c>
      <c r="H2139" s="7">
        <f>IFERROR(VLOOKUP(F2139,TRAOPE!$AA:$AB,2,0),"")</f>
        <v/>
      </c>
      <c r="I2139" s="7" t="n">
        <v>10000284</v>
      </c>
      <c r="J2139" s="7">
        <f>IFERROR(VLOOKUP(I2139,Materiales!$A:$H,8,0),"")</f>
        <v/>
      </c>
      <c r="K2139" s="9">
        <f>IFERROR(VLOOKUP(I2139,Materiales!$A:$G,7,0),"")</f>
        <v/>
      </c>
      <c r="L2139" s="8" t="inlineStr">
        <is>
          <t>20220615</t>
        </is>
      </c>
      <c r="M2139" s="8" t="inlineStr">
        <is>
          <t>20251030</t>
        </is>
      </c>
      <c r="N2139" s="10" t="n">
        <v>345</v>
      </c>
      <c r="O2139" s="10">
        <f>IFERROR(VLOOKUP(A2139,Flete!$A:$J,10,0),"")</f>
        <v/>
      </c>
      <c r="P2139" s="8" t="inlineStr">
        <is>
          <t>M3</t>
        </is>
      </c>
      <c r="Q2139" s="10">
        <f>IFERROR(IFERROR(VLOOKUP(A2139,TRAOPE!$A:$U,21,0),VLOOKUP(B2139,TRAOPE!$A:$U,21,0)),"")</f>
        <v/>
      </c>
      <c r="R2139" s="8">
        <f>IFERROR(IFERROR(VLOOKUP(A2139,TRAOPE!$A:$W,23,0),VLOOKUP(B2139,TRAOPE!$A:$W,23,0)),"")</f>
        <v/>
      </c>
      <c r="S2139" s="10">
        <f>IF(AND(P2139="TN",R2139="TN"),N2139+N(O2139),IF(G2139&amp;""="1",N(K2139)*N2139,(N2139+N(O2139))*N(K2139)))</f>
        <v/>
      </c>
      <c r="T2139" s="10">
        <f>IF(Q2139="","",Q2139-S2139)</f>
        <v/>
      </c>
    </row>
    <row r="2140">
      <c r="A2140" s="7">
        <f>CONCATENATE(C2140,E2140,F2140,I2140)</f>
        <v/>
      </c>
      <c r="B2140" s="7">
        <f>CONCATENATE(C2140,E2140,I2140)</f>
        <v/>
      </c>
      <c r="C2140" s="8" t="n">
        <v>900005286</v>
      </c>
      <c r="D2140" s="7">
        <f>IFERROR(VLOOKUP(C2140,TRAOPE!$G:$H,2,0),"")</f>
        <v/>
      </c>
      <c r="E2140" s="8" t="inlineStr">
        <is>
          <t>D836</t>
        </is>
      </c>
      <c r="F2140" s="8" t="inlineStr">
        <is>
          <t>66512346</t>
        </is>
      </c>
      <c r="G2140" s="8">
        <f>IFERROR(VLOOKUP(A2140,Flete!$A:$E,5,0),"")</f>
        <v/>
      </c>
      <c r="H2140" s="7">
        <f>IFERROR(VLOOKUP(F2140,TRAOPE!$AA:$AB,2,0),"")</f>
        <v/>
      </c>
      <c r="I2140" s="7" t="n">
        <v>10000647</v>
      </c>
      <c r="J2140" s="7">
        <f>IFERROR(VLOOKUP(I2140,Materiales!$A:$H,8,0),"")</f>
        <v/>
      </c>
      <c r="K2140" s="9">
        <f>IFERROR(VLOOKUP(I2140,Materiales!$A:$G,7,0),"")</f>
        <v/>
      </c>
      <c r="L2140" s="8" t="inlineStr">
        <is>
          <t>20180226</t>
        </is>
      </c>
      <c r="M2140" s="8" t="inlineStr">
        <is>
          <t>20251030</t>
        </is>
      </c>
      <c r="N2140" s="10" t="n">
        <v>92.90000000000001</v>
      </c>
      <c r="O2140" s="10">
        <f>IFERROR(VLOOKUP(A2140,Flete!$A:$J,10,0),"")</f>
        <v/>
      </c>
      <c r="P2140" s="8" t="inlineStr">
        <is>
          <t>M3</t>
        </is>
      </c>
      <c r="Q2140" s="10">
        <f>IFERROR(IFERROR(VLOOKUP(A2140,TRAOPE!$A:$U,21,0),VLOOKUP(B2140,TRAOPE!$A:$U,21,0)),"")</f>
        <v/>
      </c>
      <c r="R2140" s="8">
        <f>IFERROR(IFERROR(VLOOKUP(A2140,TRAOPE!$A:$W,23,0),VLOOKUP(B2140,TRAOPE!$A:$W,23,0)),"")</f>
        <v/>
      </c>
      <c r="S2140" s="10">
        <f>IF(AND(P2140="TN",R2140="TN"),N2140+N(O2140),IF(G2140&amp;""="1",N(K2140)*N2140,(N2140+N(O2140))*N(K2140)))</f>
        <v/>
      </c>
      <c r="T2140" s="10">
        <f>IF(Q2140="","",Q2140-S2140)</f>
        <v/>
      </c>
    </row>
    <row r="2141">
      <c r="A2141" s="7">
        <f>CONCATENATE(C2141,E2141,F2141,I2141)</f>
        <v/>
      </c>
      <c r="B2141" s="7">
        <f>CONCATENATE(C2141,E2141,I2141)</f>
        <v/>
      </c>
      <c r="C2141" s="8" t="n">
        <v>900006030</v>
      </c>
      <c r="D2141" s="7">
        <f>IFERROR(VLOOKUP(C2141,TRAOPE!$G:$H,2,0),"")</f>
        <v/>
      </c>
      <c r="E2141" s="8" t="inlineStr">
        <is>
          <t>D836</t>
        </is>
      </c>
      <c r="F2141" s="8" t="inlineStr">
        <is>
          <t>66640810</t>
        </is>
      </c>
      <c r="G2141" s="8">
        <f>IFERROR(VLOOKUP(A2141,Flete!$A:$E,5,0),"")</f>
        <v/>
      </c>
      <c r="H2141" s="7">
        <f>IFERROR(VLOOKUP(F2141,TRAOPE!$AA:$AB,2,0),"")</f>
        <v/>
      </c>
      <c r="I2141" s="7" t="n">
        <v>10166129</v>
      </c>
      <c r="J2141" s="7">
        <f>IFERROR(VLOOKUP(I2141,Materiales!$A:$H,8,0),"")</f>
        <v/>
      </c>
      <c r="K2141" s="9">
        <f>IFERROR(VLOOKUP(I2141,Materiales!$A:$G,7,0),"")</f>
        <v/>
      </c>
      <c r="L2141" s="8" t="inlineStr">
        <is>
          <t>20200106</t>
        </is>
      </c>
      <c r="M2141" s="8" t="inlineStr">
        <is>
          <t>20251030</t>
        </is>
      </c>
      <c r="N2141" s="10" t="n">
        <v>405</v>
      </c>
      <c r="O2141" s="10">
        <f>IFERROR(VLOOKUP(A2141,Flete!$A:$J,10,0),"")</f>
        <v/>
      </c>
      <c r="P2141" s="8" t="inlineStr">
        <is>
          <t>M3</t>
        </is>
      </c>
      <c r="Q2141" s="10">
        <f>IFERROR(IFERROR(VLOOKUP(A2141,TRAOPE!$A:$U,21,0),VLOOKUP(B2141,TRAOPE!$A:$U,21,0)),"")</f>
        <v/>
      </c>
      <c r="R2141" s="8">
        <f>IFERROR(IFERROR(VLOOKUP(A2141,TRAOPE!$A:$W,23,0),VLOOKUP(B2141,TRAOPE!$A:$W,23,0)),"")</f>
        <v/>
      </c>
      <c r="S2141" s="10">
        <f>IF(AND(P2141="TN",R2141="TN"),N2141+N(O2141),IF(G2141&amp;""="1",N(K2141)*N2141,(N2141+N(O2141))*N(K2141)))</f>
        <v/>
      </c>
      <c r="T2141" s="10">
        <f>IF(Q2141="","",Q2141-S2141)</f>
        <v/>
      </c>
    </row>
    <row r="2142">
      <c r="A2142" s="7">
        <f>CONCATENATE(C2142,E2142,F2142,I2142)</f>
        <v/>
      </c>
      <c r="B2142" s="7">
        <f>CONCATENATE(C2142,E2142,I2142)</f>
        <v/>
      </c>
      <c r="C2142" s="8" t="n">
        <v>900006371</v>
      </c>
      <c r="D2142" s="7">
        <f>IFERROR(VLOOKUP(C2142,TRAOPE!$G:$H,2,0),"")</f>
        <v/>
      </c>
      <c r="E2142" s="8" t="inlineStr">
        <is>
          <t>D836</t>
        </is>
      </c>
      <c r="F2142" s="8" t="inlineStr">
        <is>
          <t>67014907</t>
        </is>
      </c>
      <c r="G2142" s="8">
        <f>IFERROR(VLOOKUP(A2142,Flete!$A:$E,5,0),"")</f>
        <v/>
      </c>
      <c r="H2142" s="7">
        <f>IFERROR(VLOOKUP(F2142,TRAOPE!$AA:$AB,2,0),"")</f>
        <v/>
      </c>
      <c r="I2142" s="7" t="n">
        <v>10000313</v>
      </c>
      <c r="J2142" s="7">
        <f>IFERROR(VLOOKUP(I2142,Materiales!$A:$H,8,0),"")</f>
        <v/>
      </c>
      <c r="K2142" s="9">
        <f>IFERROR(VLOOKUP(I2142,Materiales!$A:$G,7,0),"")</f>
        <v/>
      </c>
      <c r="L2142" s="8" t="inlineStr">
        <is>
          <t>20211027</t>
        </is>
      </c>
      <c r="M2142" s="8" t="inlineStr">
        <is>
          <t>20251030</t>
        </is>
      </c>
      <c r="N2142" s="10" t="n">
        <v>445</v>
      </c>
      <c r="O2142" s="10">
        <f>IFERROR(VLOOKUP(A2142,Flete!$A:$J,10,0),"")</f>
        <v/>
      </c>
      <c r="P2142" s="8" t="inlineStr">
        <is>
          <t>M3</t>
        </is>
      </c>
      <c r="Q2142" s="10">
        <f>IFERROR(IFERROR(VLOOKUP(A2142,TRAOPE!$A:$U,21,0),VLOOKUP(B2142,TRAOPE!$A:$U,21,0)),"")</f>
        <v/>
      </c>
      <c r="R2142" s="8">
        <f>IFERROR(IFERROR(VLOOKUP(A2142,TRAOPE!$A:$W,23,0),VLOOKUP(B2142,TRAOPE!$A:$W,23,0)),"")</f>
        <v/>
      </c>
      <c r="S2142" s="10">
        <f>IF(AND(P2142="TN",R2142="TN"),N2142+N(O2142),IF(G2142&amp;""="1",N(K2142)*N2142,(N2142+N(O2142))*N(K2142)))</f>
        <v/>
      </c>
      <c r="T2142" s="10">
        <f>IF(Q2142="","",Q2142-S2142)</f>
        <v/>
      </c>
    </row>
    <row r="2143">
      <c r="A2143" s="7">
        <f>CONCATENATE(C2143,E2143,F2143,I2143)</f>
        <v/>
      </c>
      <c r="B2143" s="7">
        <f>CONCATENATE(C2143,E2143,I2143)</f>
        <v/>
      </c>
      <c r="C2143" s="8" t="n">
        <v>900006542</v>
      </c>
      <c r="D2143" s="7">
        <f>IFERROR(VLOOKUP(C2143,TRAOPE!$G:$H,2,0),"")</f>
        <v/>
      </c>
      <c r="E2143" s="8" t="inlineStr">
        <is>
          <t>D836</t>
        </is>
      </c>
      <c r="F2143" s="8" t="inlineStr">
        <is>
          <t>67148606</t>
        </is>
      </c>
      <c r="G2143" s="8">
        <f>IFERROR(VLOOKUP(A2143,Flete!$A:$E,5,0),"")</f>
        <v/>
      </c>
      <c r="H2143" s="7">
        <f>IFERROR(VLOOKUP(F2143,TRAOPE!$AA:$AB,2,0),"")</f>
        <v/>
      </c>
      <c r="I2143" s="7" t="n">
        <v>10019515</v>
      </c>
      <c r="J2143" s="7">
        <f>IFERROR(VLOOKUP(I2143,Materiales!$A:$H,8,0),"")</f>
        <v/>
      </c>
      <c r="K2143" s="9">
        <f>IFERROR(VLOOKUP(I2143,Materiales!$A:$G,7,0),"")</f>
        <v/>
      </c>
      <c r="L2143" s="8" t="inlineStr">
        <is>
          <t>20230523</t>
        </is>
      </c>
      <c r="M2143" s="8" t="inlineStr">
        <is>
          <t>20251030</t>
        </is>
      </c>
      <c r="N2143" s="10" t="n">
        <v>226</v>
      </c>
      <c r="O2143" s="10">
        <f>IFERROR(VLOOKUP(A2143,Flete!$A:$J,10,0),"")</f>
        <v/>
      </c>
      <c r="P2143" s="8" t="inlineStr">
        <is>
          <t>M3</t>
        </is>
      </c>
      <c r="Q2143" s="10">
        <f>IFERROR(IFERROR(VLOOKUP(A2143,TRAOPE!$A:$U,21,0),VLOOKUP(B2143,TRAOPE!$A:$U,21,0)),"")</f>
        <v/>
      </c>
      <c r="R2143" s="8">
        <f>IFERROR(IFERROR(VLOOKUP(A2143,TRAOPE!$A:$W,23,0),VLOOKUP(B2143,TRAOPE!$A:$W,23,0)),"")</f>
        <v/>
      </c>
      <c r="S2143" s="10">
        <f>IF(AND(P2143="TN",R2143="TN"),N2143+N(O2143),IF(G2143&amp;""="1",N(K2143)*N2143,(N2143+N(O2143))*N(K2143)))</f>
        <v/>
      </c>
      <c r="T2143" s="10">
        <f>IF(Q2143="","",Q2143-S2143)</f>
        <v/>
      </c>
    </row>
    <row r="2144">
      <c r="A2144" s="7">
        <f>CONCATENATE(C2144,E2144,F2144,I2144)</f>
        <v/>
      </c>
      <c r="B2144" s="7">
        <f>CONCATENATE(C2144,E2144,I2144)</f>
        <v/>
      </c>
      <c r="C2144" s="8" t="n">
        <v>900001074</v>
      </c>
      <c r="D2144" s="7">
        <f>IFERROR(VLOOKUP(C2144,TRAOPE!$G:$H,2,0),"")</f>
        <v/>
      </c>
      <c r="E2144" s="8" t="inlineStr">
        <is>
          <t>D836</t>
        </is>
      </c>
      <c r="F2144" s="8" t="inlineStr">
        <is>
          <t>65003945</t>
        </is>
      </c>
      <c r="G2144" s="8">
        <f>IFERROR(VLOOKUP(A2144,Flete!$A:$E,5,0),"")</f>
        <v/>
      </c>
      <c r="H2144" s="7">
        <f>IFERROR(VLOOKUP(F2144,TRAOPE!$AA:$AB,2,0),"")</f>
        <v/>
      </c>
      <c r="I2144" s="7" t="n">
        <v>10000160</v>
      </c>
      <c r="J2144" s="7">
        <f>IFERROR(VLOOKUP(I2144,Materiales!$A:$H,8,0),"")</f>
        <v/>
      </c>
      <c r="K2144" s="9">
        <f>IFERROR(VLOOKUP(I2144,Materiales!$A:$G,7,0),"")</f>
        <v/>
      </c>
      <c r="L2144" s="8" t="inlineStr">
        <is>
          <t>20240619</t>
        </is>
      </c>
      <c r="M2144" s="8" t="inlineStr">
        <is>
          <t>20251031</t>
        </is>
      </c>
      <c r="N2144" s="10" t="n">
        <v>110</v>
      </c>
      <c r="O2144" s="10">
        <f>IFERROR(VLOOKUP(A2144,Flete!$A:$J,10,0),"")</f>
        <v/>
      </c>
      <c r="P2144" s="8" t="inlineStr">
        <is>
          <t>M3</t>
        </is>
      </c>
      <c r="Q2144" s="10">
        <f>IFERROR(IFERROR(VLOOKUP(A2144,TRAOPE!$A:$U,21,0),VLOOKUP(B2144,TRAOPE!$A:$U,21,0)),"")</f>
        <v/>
      </c>
      <c r="R2144" s="8">
        <f>IFERROR(IFERROR(VLOOKUP(A2144,TRAOPE!$A:$W,23,0),VLOOKUP(B2144,TRAOPE!$A:$W,23,0)),"")</f>
        <v/>
      </c>
      <c r="S2144" s="10">
        <f>IF(AND(P2144="TN",R2144="TN"),N2144+N(O2144),IF(G2144&amp;""="1",N(K2144)*N2144,(N2144+N(O2144))*N(K2144)))</f>
        <v/>
      </c>
      <c r="T2144" s="10">
        <f>IF(Q2144="","",Q2144-S2144)</f>
        <v/>
      </c>
    </row>
    <row r="2145">
      <c r="A2145" s="7">
        <f>CONCATENATE(C2145,E2145,F2145,I2145)</f>
        <v/>
      </c>
      <c r="B2145" s="7">
        <f>CONCATENATE(C2145,E2145,I2145)</f>
        <v/>
      </c>
      <c r="C2145" s="8" t="n">
        <v>900001074</v>
      </c>
      <c r="D2145" s="7">
        <f>IFERROR(VLOOKUP(C2145,TRAOPE!$G:$H,2,0),"")</f>
        <v/>
      </c>
      <c r="E2145" s="8" t="inlineStr">
        <is>
          <t>D836</t>
        </is>
      </c>
      <c r="F2145" s="8" t="inlineStr">
        <is>
          <t>65003945</t>
        </is>
      </c>
      <c r="G2145" s="8">
        <f>IFERROR(VLOOKUP(A2145,Flete!$A:$E,5,0),"")</f>
        <v/>
      </c>
      <c r="H2145" s="7">
        <f>IFERROR(VLOOKUP(F2145,TRAOPE!$AA:$AB,2,0),"")</f>
        <v/>
      </c>
      <c r="I2145" s="7" t="n">
        <v>10000357</v>
      </c>
      <c r="J2145" s="7">
        <f>IFERROR(VLOOKUP(I2145,Materiales!$A:$H,8,0),"")</f>
        <v/>
      </c>
      <c r="K2145" s="9">
        <f>IFERROR(VLOOKUP(I2145,Materiales!$A:$G,7,0),"")</f>
        <v/>
      </c>
      <c r="L2145" s="8" t="inlineStr">
        <is>
          <t>20240619</t>
        </is>
      </c>
      <c r="M2145" s="8" t="inlineStr">
        <is>
          <t>20251031</t>
        </is>
      </c>
      <c r="N2145" s="10" t="n">
        <v>130</v>
      </c>
      <c r="O2145" s="10">
        <f>IFERROR(VLOOKUP(A2145,Flete!$A:$J,10,0),"")</f>
        <v/>
      </c>
      <c r="P2145" s="8" t="inlineStr">
        <is>
          <t>M3</t>
        </is>
      </c>
      <c r="Q2145" s="10">
        <f>IFERROR(IFERROR(VLOOKUP(A2145,TRAOPE!$A:$U,21,0),VLOOKUP(B2145,TRAOPE!$A:$U,21,0)),"")</f>
        <v/>
      </c>
      <c r="R2145" s="8">
        <f>IFERROR(IFERROR(VLOOKUP(A2145,TRAOPE!$A:$W,23,0),VLOOKUP(B2145,TRAOPE!$A:$W,23,0)),"")</f>
        <v/>
      </c>
      <c r="S2145" s="10">
        <f>IF(AND(P2145="TN",R2145="TN"),N2145+N(O2145),IF(G2145&amp;""="1",N(K2145)*N2145,(N2145+N(O2145))*N(K2145)))</f>
        <v/>
      </c>
      <c r="T2145" s="10">
        <f>IF(Q2145="","",Q2145-S2145)</f>
        <v/>
      </c>
    </row>
    <row r="2146">
      <c r="A2146" s="7">
        <f>CONCATENATE(C2146,E2146,F2146,I2146)</f>
        <v/>
      </c>
      <c r="B2146" s="7">
        <f>CONCATENATE(C2146,E2146,I2146)</f>
        <v/>
      </c>
      <c r="C2146" s="8" t="n">
        <v>900001074</v>
      </c>
      <c r="D2146" s="7">
        <f>IFERROR(VLOOKUP(C2146,TRAOPE!$G:$H,2,0),"")</f>
        <v/>
      </c>
      <c r="E2146" s="8" t="inlineStr">
        <is>
          <t>D836</t>
        </is>
      </c>
      <c r="F2146" s="8" t="inlineStr">
        <is>
          <t>65006122</t>
        </is>
      </c>
      <c r="G2146" s="8">
        <f>IFERROR(VLOOKUP(A2146,Flete!$A:$E,5,0),"")</f>
        <v/>
      </c>
      <c r="H2146" s="7">
        <f>IFERROR(VLOOKUP(F2146,TRAOPE!$AA:$AB,2,0),"")</f>
        <v/>
      </c>
      <c r="I2146" s="7" t="n">
        <v>10000357</v>
      </c>
      <c r="J2146" s="7">
        <f>IFERROR(VLOOKUP(I2146,Materiales!$A:$H,8,0),"")</f>
        <v/>
      </c>
      <c r="K2146" s="9">
        <f>IFERROR(VLOOKUP(I2146,Materiales!$A:$G,7,0),"")</f>
        <v/>
      </c>
      <c r="L2146" s="8" t="inlineStr">
        <is>
          <t>20240619</t>
        </is>
      </c>
      <c r="M2146" s="8" t="inlineStr">
        <is>
          <t>20251031</t>
        </is>
      </c>
      <c r="N2146" s="10" t="n">
        <v>130</v>
      </c>
      <c r="O2146" s="10">
        <f>IFERROR(VLOOKUP(A2146,Flete!$A:$J,10,0),"")</f>
        <v/>
      </c>
      <c r="P2146" s="8" t="inlineStr">
        <is>
          <t>M3</t>
        </is>
      </c>
      <c r="Q2146" s="10">
        <f>IFERROR(IFERROR(VLOOKUP(A2146,TRAOPE!$A:$U,21,0),VLOOKUP(B2146,TRAOPE!$A:$U,21,0)),"")</f>
        <v/>
      </c>
      <c r="R2146" s="8">
        <f>IFERROR(IFERROR(VLOOKUP(A2146,TRAOPE!$A:$W,23,0),VLOOKUP(B2146,TRAOPE!$A:$W,23,0)),"")</f>
        <v/>
      </c>
      <c r="S2146" s="10">
        <f>IF(AND(P2146="TN",R2146="TN"),N2146+N(O2146),IF(G2146&amp;""="1",N(K2146)*N2146,(N2146+N(O2146))*N(K2146)))</f>
        <v/>
      </c>
      <c r="T2146" s="10">
        <f>IF(Q2146="","",Q2146-S2146)</f>
        <v/>
      </c>
    </row>
    <row r="2147">
      <c r="A2147" s="7">
        <f>CONCATENATE(C2147,E2147,F2147,I2147)</f>
        <v/>
      </c>
      <c r="B2147" s="7">
        <f>CONCATENATE(C2147,E2147,I2147)</f>
        <v/>
      </c>
      <c r="C2147" s="8" t="n">
        <v>900001074</v>
      </c>
      <c r="D2147" s="7">
        <f>IFERROR(VLOOKUP(C2147,TRAOPE!$G:$H,2,0),"")</f>
        <v/>
      </c>
      <c r="E2147" s="8" t="inlineStr">
        <is>
          <t>D836</t>
        </is>
      </c>
      <c r="F2147" s="8" t="inlineStr">
        <is>
          <t>65014664</t>
        </is>
      </c>
      <c r="G2147" s="8">
        <f>IFERROR(VLOOKUP(A2147,Flete!$A:$E,5,0),"")</f>
        <v/>
      </c>
      <c r="H2147" s="7">
        <f>IFERROR(VLOOKUP(F2147,TRAOPE!$AA:$AB,2,0),"")</f>
        <v/>
      </c>
      <c r="I2147" s="7" t="n">
        <v>10000160</v>
      </c>
      <c r="J2147" s="7">
        <f>IFERROR(VLOOKUP(I2147,Materiales!$A:$H,8,0),"")</f>
        <v/>
      </c>
      <c r="K2147" s="9">
        <f>IFERROR(VLOOKUP(I2147,Materiales!$A:$G,7,0),"")</f>
        <v/>
      </c>
      <c r="L2147" s="8" t="inlineStr">
        <is>
          <t>20240619</t>
        </is>
      </c>
      <c r="M2147" s="8" t="inlineStr">
        <is>
          <t>20251031</t>
        </is>
      </c>
      <c r="N2147" s="10" t="n">
        <v>108.78</v>
      </c>
      <c r="O2147" s="10">
        <f>IFERROR(VLOOKUP(A2147,Flete!$A:$J,10,0),"")</f>
        <v/>
      </c>
      <c r="P2147" s="8" t="inlineStr">
        <is>
          <t>M3</t>
        </is>
      </c>
      <c r="Q2147" s="10">
        <f>IFERROR(IFERROR(VLOOKUP(A2147,TRAOPE!$A:$U,21,0),VLOOKUP(B2147,TRAOPE!$A:$U,21,0)),"")</f>
        <v/>
      </c>
      <c r="R2147" s="8">
        <f>IFERROR(IFERROR(VLOOKUP(A2147,TRAOPE!$A:$W,23,0),VLOOKUP(B2147,TRAOPE!$A:$W,23,0)),"")</f>
        <v/>
      </c>
      <c r="S2147" s="10">
        <f>IF(AND(P2147="TN",R2147="TN"),N2147+N(O2147),IF(G2147&amp;""="1",N(K2147)*N2147,(N2147+N(O2147))*N(K2147)))</f>
        <v/>
      </c>
      <c r="T2147" s="10">
        <f>IF(Q2147="","",Q2147-S2147)</f>
        <v/>
      </c>
    </row>
    <row r="2148">
      <c r="A2148" s="7">
        <f>CONCATENATE(C2148,E2148,F2148,I2148)</f>
        <v/>
      </c>
      <c r="B2148" s="7">
        <f>CONCATENATE(C2148,E2148,I2148)</f>
        <v/>
      </c>
      <c r="C2148" s="8" t="n">
        <v>900001074</v>
      </c>
      <c r="D2148" s="7">
        <f>IFERROR(VLOOKUP(C2148,TRAOPE!$G:$H,2,0),"")</f>
        <v/>
      </c>
      <c r="E2148" s="8" t="inlineStr">
        <is>
          <t>D836</t>
        </is>
      </c>
      <c r="F2148" s="8" t="inlineStr">
        <is>
          <t>65016451</t>
        </is>
      </c>
      <c r="G2148" s="8">
        <f>IFERROR(VLOOKUP(A2148,Flete!$A:$E,5,0),"")</f>
        <v/>
      </c>
      <c r="H2148" s="7">
        <f>IFERROR(VLOOKUP(F2148,TRAOPE!$AA:$AB,2,0),"")</f>
        <v/>
      </c>
      <c r="I2148" s="7" t="n">
        <v>10000357</v>
      </c>
      <c r="J2148" s="7">
        <f>IFERROR(VLOOKUP(I2148,Materiales!$A:$H,8,0),"")</f>
        <v/>
      </c>
      <c r="K2148" s="9">
        <f>IFERROR(VLOOKUP(I2148,Materiales!$A:$G,7,0),"")</f>
        <v/>
      </c>
      <c r="L2148" s="8" t="inlineStr">
        <is>
          <t>20240619</t>
        </is>
      </c>
      <c r="M2148" s="8" t="inlineStr">
        <is>
          <t>20251031</t>
        </is>
      </c>
      <c r="N2148" s="10" t="n">
        <v>137.7</v>
      </c>
      <c r="O2148" s="10">
        <f>IFERROR(VLOOKUP(A2148,Flete!$A:$J,10,0),"")</f>
        <v/>
      </c>
      <c r="P2148" s="8" t="inlineStr">
        <is>
          <t>M3</t>
        </is>
      </c>
      <c r="Q2148" s="10">
        <f>IFERROR(IFERROR(VLOOKUP(A2148,TRAOPE!$A:$U,21,0),VLOOKUP(B2148,TRAOPE!$A:$U,21,0)),"")</f>
        <v/>
      </c>
      <c r="R2148" s="8">
        <f>IFERROR(IFERROR(VLOOKUP(A2148,TRAOPE!$A:$W,23,0),VLOOKUP(B2148,TRAOPE!$A:$W,23,0)),"")</f>
        <v/>
      </c>
      <c r="S2148" s="10">
        <f>IF(AND(P2148="TN",R2148="TN"),N2148+N(O2148),IF(G2148&amp;""="1",N(K2148)*N2148,(N2148+N(O2148))*N(K2148)))</f>
        <v/>
      </c>
      <c r="T2148" s="10">
        <f>IF(Q2148="","",Q2148-S2148)</f>
        <v/>
      </c>
    </row>
    <row r="2149">
      <c r="A2149" s="7">
        <f>CONCATENATE(C2149,E2149,F2149,I2149)</f>
        <v/>
      </c>
      <c r="B2149" s="7">
        <f>CONCATENATE(C2149,E2149,I2149)</f>
        <v/>
      </c>
      <c r="C2149" s="8" t="n">
        <v>900001074</v>
      </c>
      <c r="D2149" s="7">
        <f>IFERROR(VLOOKUP(C2149,TRAOPE!$G:$H,2,0),"")</f>
        <v/>
      </c>
      <c r="E2149" s="8" t="inlineStr">
        <is>
          <t>D836</t>
        </is>
      </c>
      <c r="F2149" s="8" t="inlineStr">
        <is>
          <t>65440384</t>
        </is>
      </c>
      <c r="G2149" s="8">
        <f>IFERROR(VLOOKUP(A2149,Flete!$A:$E,5,0),"")</f>
        <v/>
      </c>
      <c r="H2149" s="7">
        <f>IFERROR(VLOOKUP(F2149,TRAOPE!$AA:$AB,2,0),"")</f>
        <v/>
      </c>
      <c r="I2149" s="7" t="n">
        <v>10000160</v>
      </c>
      <c r="J2149" s="7">
        <f>IFERROR(VLOOKUP(I2149,Materiales!$A:$H,8,0),"")</f>
        <v/>
      </c>
      <c r="K2149" s="9">
        <f>IFERROR(VLOOKUP(I2149,Materiales!$A:$G,7,0),"")</f>
        <v/>
      </c>
      <c r="L2149" s="8" t="inlineStr">
        <is>
          <t>20240619</t>
        </is>
      </c>
      <c r="M2149" s="8" t="inlineStr">
        <is>
          <t>20251031</t>
        </is>
      </c>
      <c r="N2149" s="10" t="n">
        <v>117.8</v>
      </c>
      <c r="O2149" s="10">
        <f>IFERROR(VLOOKUP(A2149,Flete!$A:$J,10,0),"")</f>
        <v/>
      </c>
      <c r="P2149" s="8" t="inlineStr">
        <is>
          <t>M3</t>
        </is>
      </c>
      <c r="Q2149" s="10">
        <f>IFERROR(IFERROR(VLOOKUP(A2149,TRAOPE!$A:$U,21,0),VLOOKUP(B2149,TRAOPE!$A:$U,21,0)),"")</f>
        <v/>
      </c>
      <c r="R2149" s="8">
        <f>IFERROR(IFERROR(VLOOKUP(A2149,TRAOPE!$A:$W,23,0),VLOOKUP(B2149,TRAOPE!$A:$W,23,0)),"")</f>
        <v/>
      </c>
      <c r="S2149" s="10">
        <f>IF(AND(P2149="TN",R2149="TN"),N2149+N(O2149),IF(G2149&amp;""="1",N(K2149)*N2149,(N2149+N(O2149))*N(K2149)))</f>
        <v/>
      </c>
      <c r="T2149" s="10">
        <f>IF(Q2149="","",Q2149-S2149)</f>
        <v/>
      </c>
    </row>
    <row r="2150">
      <c r="A2150" s="7">
        <f>CONCATENATE(C2150,E2150,F2150,I2150)</f>
        <v/>
      </c>
      <c r="B2150" s="7">
        <f>CONCATENATE(C2150,E2150,I2150)</f>
        <v/>
      </c>
      <c r="C2150" s="8" t="n">
        <v>900001074</v>
      </c>
      <c r="D2150" s="7">
        <f>IFERROR(VLOOKUP(C2150,TRAOPE!$G:$H,2,0),"")</f>
        <v/>
      </c>
      <c r="E2150" s="8" t="inlineStr">
        <is>
          <t>D836</t>
        </is>
      </c>
      <c r="F2150" s="8" t="inlineStr">
        <is>
          <t>66279408</t>
        </is>
      </c>
      <c r="G2150" s="8">
        <f>IFERROR(VLOOKUP(A2150,Flete!$A:$E,5,0),"")</f>
        <v/>
      </c>
      <c r="H2150" s="7">
        <f>IFERROR(VLOOKUP(F2150,TRAOPE!$AA:$AB,2,0),"")</f>
        <v/>
      </c>
      <c r="I2150" s="7" t="n">
        <v>10000160</v>
      </c>
      <c r="J2150" s="7">
        <f>IFERROR(VLOOKUP(I2150,Materiales!$A:$H,8,0),"")</f>
        <v/>
      </c>
      <c r="K2150" s="9">
        <f>IFERROR(VLOOKUP(I2150,Materiales!$A:$G,7,0),"")</f>
        <v/>
      </c>
      <c r="L2150" s="8" t="inlineStr">
        <is>
          <t>20240619</t>
        </is>
      </c>
      <c r="M2150" s="8" t="inlineStr">
        <is>
          <t>20251031</t>
        </is>
      </c>
      <c r="N2150" s="10" t="n">
        <v>116</v>
      </c>
      <c r="O2150" s="10">
        <f>IFERROR(VLOOKUP(A2150,Flete!$A:$J,10,0),"")</f>
        <v/>
      </c>
      <c r="P2150" s="8" t="inlineStr">
        <is>
          <t>M3</t>
        </is>
      </c>
      <c r="Q2150" s="10">
        <f>IFERROR(IFERROR(VLOOKUP(A2150,TRAOPE!$A:$U,21,0),VLOOKUP(B2150,TRAOPE!$A:$U,21,0)),"")</f>
        <v/>
      </c>
      <c r="R2150" s="8">
        <f>IFERROR(IFERROR(VLOOKUP(A2150,TRAOPE!$A:$W,23,0),VLOOKUP(B2150,TRAOPE!$A:$W,23,0)),"")</f>
        <v/>
      </c>
      <c r="S2150" s="10">
        <f>IF(AND(P2150="TN",R2150="TN"),N2150+N(O2150),IF(G2150&amp;""="1",N(K2150)*N2150,(N2150+N(O2150))*N(K2150)))</f>
        <v/>
      </c>
      <c r="T2150" s="10">
        <f>IF(Q2150="","",Q2150-S2150)</f>
        <v/>
      </c>
    </row>
    <row r="2151">
      <c r="A2151" s="7">
        <f>CONCATENATE(C2151,E2151,F2151,I2151)</f>
        <v/>
      </c>
      <c r="B2151" s="7">
        <f>CONCATENATE(C2151,E2151,I2151)</f>
        <v/>
      </c>
      <c r="C2151" s="8" t="n">
        <v>900001074</v>
      </c>
      <c r="D2151" s="7">
        <f>IFERROR(VLOOKUP(C2151,TRAOPE!$G:$H,2,0),"")</f>
        <v/>
      </c>
      <c r="E2151" s="8" t="inlineStr">
        <is>
          <t>D836</t>
        </is>
      </c>
      <c r="F2151" s="8" t="inlineStr">
        <is>
          <t>66279408</t>
        </is>
      </c>
      <c r="G2151" s="8">
        <f>IFERROR(VLOOKUP(A2151,Flete!$A:$E,5,0),"")</f>
        <v/>
      </c>
      <c r="H2151" s="7">
        <f>IFERROR(VLOOKUP(F2151,TRAOPE!$AA:$AB,2,0),"")</f>
        <v/>
      </c>
      <c r="I2151" s="7" t="n">
        <v>10000357</v>
      </c>
      <c r="J2151" s="7">
        <f>IFERROR(VLOOKUP(I2151,Materiales!$A:$H,8,0),"")</f>
        <v/>
      </c>
      <c r="K2151" s="9">
        <f>IFERROR(VLOOKUP(I2151,Materiales!$A:$G,7,0),"")</f>
        <v/>
      </c>
      <c r="L2151" s="8" t="inlineStr">
        <is>
          <t>20240619</t>
        </is>
      </c>
      <c r="M2151" s="8" t="inlineStr">
        <is>
          <t>20251031</t>
        </is>
      </c>
      <c r="N2151" s="10" t="n">
        <v>126</v>
      </c>
      <c r="O2151" s="10">
        <f>IFERROR(VLOOKUP(A2151,Flete!$A:$J,10,0),"")</f>
        <v/>
      </c>
      <c r="P2151" s="8" t="inlineStr">
        <is>
          <t>M3</t>
        </is>
      </c>
      <c r="Q2151" s="10">
        <f>IFERROR(IFERROR(VLOOKUP(A2151,TRAOPE!$A:$U,21,0),VLOOKUP(B2151,TRAOPE!$A:$U,21,0)),"")</f>
        <v/>
      </c>
      <c r="R2151" s="8">
        <f>IFERROR(IFERROR(VLOOKUP(A2151,TRAOPE!$A:$W,23,0),VLOOKUP(B2151,TRAOPE!$A:$W,23,0)),"")</f>
        <v/>
      </c>
      <c r="S2151" s="10">
        <f>IF(AND(P2151="TN",R2151="TN"),N2151+N(O2151),IF(G2151&amp;""="1",N(K2151)*N2151,(N2151+N(O2151))*N(K2151)))</f>
        <v/>
      </c>
      <c r="T2151" s="10">
        <f>IF(Q2151="","",Q2151-S2151)</f>
        <v/>
      </c>
    </row>
    <row r="2152">
      <c r="A2152" s="7">
        <f>CONCATENATE(C2152,E2152,F2152,I2152)</f>
        <v/>
      </c>
      <c r="B2152" s="7">
        <f>CONCATENATE(C2152,E2152,I2152)</f>
        <v/>
      </c>
      <c r="C2152" s="8" t="n">
        <v>900001074</v>
      </c>
      <c r="D2152" s="7">
        <f>IFERROR(VLOOKUP(C2152,TRAOPE!$G:$H,2,0),"")</f>
        <v/>
      </c>
      <c r="E2152" s="8" t="inlineStr">
        <is>
          <t>D836</t>
        </is>
      </c>
      <c r="F2152" s="8" t="inlineStr">
        <is>
          <t>66336981</t>
        </is>
      </c>
      <c r="G2152" s="8">
        <f>IFERROR(VLOOKUP(A2152,Flete!$A:$E,5,0),"")</f>
        <v/>
      </c>
      <c r="H2152" s="7">
        <f>IFERROR(VLOOKUP(F2152,TRAOPE!$AA:$AB,2,0),"")</f>
        <v/>
      </c>
      <c r="I2152" s="7" t="n">
        <v>10175723</v>
      </c>
      <c r="J2152" s="7">
        <f>IFERROR(VLOOKUP(I2152,Materiales!$A:$H,8,0),"")</f>
        <v/>
      </c>
      <c r="K2152" s="9">
        <f>IFERROR(VLOOKUP(I2152,Materiales!$A:$G,7,0),"")</f>
        <v/>
      </c>
      <c r="L2152" s="8" t="inlineStr">
        <is>
          <t>20240619</t>
        </is>
      </c>
      <c r="M2152" s="8" t="inlineStr">
        <is>
          <t>20251031</t>
        </is>
      </c>
      <c r="N2152" s="10" t="n">
        <v>141</v>
      </c>
      <c r="O2152" s="10">
        <f>IFERROR(VLOOKUP(A2152,Flete!$A:$J,10,0),"")</f>
        <v/>
      </c>
      <c r="P2152" s="8" t="inlineStr">
        <is>
          <t>M3</t>
        </is>
      </c>
      <c r="Q2152" s="10">
        <f>IFERROR(IFERROR(VLOOKUP(A2152,TRAOPE!$A:$U,21,0),VLOOKUP(B2152,TRAOPE!$A:$U,21,0)),"")</f>
        <v/>
      </c>
      <c r="R2152" s="8">
        <f>IFERROR(IFERROR(VLOOKUP(A2152,TRAOPE!$A:$W,23,0),VLOOKUP(B2152,TRAOPE!$A:$W,23,0)),"")</f>
        <v/>
      </c>
      <c r="S2152" s="10">
        <f>IF(AND(P2152="TN",R2152="TN"),N2152+N(O2152),IF(G2152&amp;""="1",N(K2152)*N2152,(N2152+N(O2152))*N(K2152)))</f>
        <v/>
      </c>
      <c r="T2152" s="10">
        <f>IF(Q2152="","",Q2152-S2152)</f>
        <v/>
      </c>
    </row>
    <row r="2153">
      <c r="A2153" s="7">
        <f>CONCATENATE(C2153,E2153,F2153,I2153)</f>
        <v/>
      </c>
      <c r="B2153" s="7">
        <f>CONCATENATE(C2153,E2153,I2153)</f>
        <v/>
      </c>
      <c r="C2153" s="8" t="n">
        <v>900001074</v>
      </c>
      <c r="D2153" s="7">
        <f>IFERROR(VLOOKUP(C2153,TRAOPE!$G:$H,2,0),"")</f>
        <v/>
      </c>
      <c r="E2153" s="8" t="inlineStr">
        <is>
          <t>D836</t>
        </is>
      </c>
      <c r="F2153" s="8" t="inlineStr">
        <is>
          <t>66426100</t>
        </is>
      </c>
      <c r="G2153" s="8">
        <f>IFERROR(VLOOKUP(A2153,Flete!$A:$E,5,0),"")</f>
        <v/>
      </c>
      <c r="H2153" s="7">
        <f>IFERROR(VLOOKUP(F2153,TRAOPE!$AA:$AB,2,0),"")</f>
        <v/>
      </c>
      <c r="I2153" s="7" t="n">
        <v>10000357</v>
      </c>
      <c r="J2153" s="7">
        <f>IFERROR(VLOOKUP(I2153,Materiales!$A:$H,8,0),"")</f>
        <v/>
      </c>
      <c r="K2153" s="9">
        <f>IFERROR(VLOOKUP(I2153,Materiales!$A:$G,7,0),"")</f>
        <v/>
      </c>
      <c r="L2153" s="8" t="inlineStr">
        <is>
          <t>20240619</t>
        </is>
      </c>
      <c r="M2153" s="8" t="inlineStr">
        <is>
          <t>20251031</t>
        </is>
      </c>
      <c r="N2153" s="10" t="n">
        <v>130</v>
      </c>
      <c r="O2153" s="10">
        <f>IFERROR(VLOOKUP(A2153,Flete!$A:$J,10,0),"")</f>
        <v/>
      </c>
      <c r="P2153" s="8" t="inlineStr">
        <is>
          <t>M3</t>
        </is>
      </c>
      <c r="Q2153" s="10">
        <f>IFERROR(IFERROR(VLOOKUP(A2153,TRAOPE!$A:$U,21,0),VLOOKUP(B2153,TRAOPE!$A:$U,21,0)),"")</f>
        <v/>
      </c>
      <c r="R2153" s="8">
        <f>IFERROR(IFERROR(VLOOKUP(A2153,TRAOPE!$A:$W,23,0),VLOOKUP(B2153,TRAOPE!$A:$W,23,0)),"")</f>
        <v/>
      </c>
      <c r="S2153" s="10">
        <f>IF(AND(P2153="TN",R2153="TN"),N2153+N(O2153),IF(G2153&amp;""="1",N(K2153)*N2153,(N2153+N(O2153))*N(K2153)))</f>
        <v/>
      </c>
      <c r="T2153" s="10">
        <f>IF(Q2153="","",Q2153-S2153)</f>
        <v/>
      </c>
    </row>
    <row r="2154">
      <c r="A2154" s="7">
        <f>CONCATENATE(C2154,E2154,F2154,I2154)</f>
        <v/>
      </c>
      <c r="B2154" s="7">
        <f>CONCATENATE(C2154,E2154,I2154)</f>
        <v/>
      </c>
      <c r="C2154" s="8" t="n">
        <v>900001074</v>
      </c>
      <c r="D2154" s="7">
        <f>IFERROR(VLOOKUP(C2154,TRAOPE!$G:$H,2,0),"")</f>
        <v/>
      </c>
      <c r="E2154" s="8" t="inlineStr">
        <is>
          <t>D836</t>
        </is>
      </c>
      <c r="F2154" s="8" t="inlineStr">
        <is>
          <t>66433509</t>
        </is>
      </c>
      <c r="G2154" s="8">
        <f>IFERROR(VLOOKUP(A2154,Flete!$A:$E,5,0),"")</f>
        <v/>
      </c>
      <c r="H2154" s="7">
        <f>IFERROR(VLOOKUP(F2154,TRAOPE!$AA:$AB,2,0),"")</f>
        <v/>
      </c>
      <c r="I2154" s="7" t="n">
        <v>10000357</v>
      </c>
      <c r="J2154" s="7">
        <f>IFERROR(VLOOKUP(I2154,Materiales!$A:$H,8,0),"")</f>
        <v/>
      </c>
      <c r="K2154" s="9">
        <f>IFERROR(VLOOKUP(I2154,Materiales!$A:$G,7,0),"")</f>
        <v/>
      </c>
      <c r="L2154" s="8" t="inlineStr">
        <is>
          <t>20240619</t>
        </is>
      </c>
      <c r="M2154" s="8" t="inlineStr">
        <is>
          <t>20251031</t>
        </is>
      </c>
      <c r="N2154" s="10" t="n">
        <v>130</v>
      </c>
      <c r="O2154" s="10">
        <f>IFERROR(VLOOKUP(A2154,Flete!$A:$J,10,0),"")</f>
        <v/>
      </c>
      <c r="P2154" s="8" t="inlineStr">
        <is>
          <t>M3</t>
        </is>
      </c>
      <c r="Q2154" s="10">
        <f>IFERROR(IFERROR(VLOOKUP(A2154,TRAOPE!$A:$U,21,0),VLOOKUP(B2154,TRAOPE!$A:$U,21,0)),"")</f>
        <v/>
      </c>
      <c r="R2154" s="8">
        <f>IFERROR(IFERROR(VLOOKUP(A2154,TRAOPE!$A:$W,23,0),VLOOKUP(B2154,TRAOPE!$A:$W,23,0)),"")</f>
        <v/>
      </c>
      <c r="S2154" s="10">
        <f>IF(AND(P2154="TN",R2154="TN"),N2154+N(O2154),IF(G2154&amp;""="1",N(K2154)*N2154,(N2154+N(O2154))*N(K2154)))</f>
        <v/>
      </c>
      <c r="T2154" s="10">
        <f>IF(Q2154="","",Q2154-S2154)</f>
        <v/>
      </c>
    </row>
    <row r="2155">
      <c r="A2155" s="7">
        <f>CONCATENATE(C2155,E2155,F2155,I2155)</f>
        <v/>
      </c>
      <c r="B2155" s="7">
        <f>CONCATENATE(C2155,E2155,I2155)</f>
        <v/>
      </c>
      <c r="C2155" s="8" t="n">
        <v>900001074</v>
      </c>
      <c r="D2155" s="7">
        <f>IFERROR(VLOOKUP(C2155,TRAOPE!$G:$H,2,0),"")</f>
        <v/>
      </c>
      <c r="E2155" s="8" t="inlineStr">
        <is>
          <t>D836</t>
        </is>
      </c>
      <c r="F2155" s="8" t="inlineStr">
        <is>
          <t>66490694</t>
        </is>
      </c>
      <c r="G2155" s="8">
        <f>IFERROR(VLOOKUP(A2155,Flete!$A:$E,5,0),"")</f>
        <v/>
      </c>
      <c r="H2155" s="7">
        <f>IFERROR(VLOOKUP(F2155,TRAOPE!$AA:$AB,2,0),"")</f>
        <v/>
      </c>
      <c r="I2155" s="7" t="n">
        <v>10000357</v>
      </c>
      <c r="J2155" s="7">
        <f>IFERROR(VLOOKUP(I2155,Materiales!$A:$H,8,0),"")</f>
        <v/>
      </c>
      <c r="K2155" s="9">
        <f>IFERROR(VLOOKUP(I2155,Materiales!$A:$G,7,0),"")</f>
        <v/>
      </c>
      <c r="L2155" s="8" t="inlineStr">
        <is>
          <t>20240619</t>
        </is>
      </c>
      <c r="M2155" s="8" t="inlineStr">
        <is>
          <t>20251031</t>
        </is>
      </c>
      <c r="N2155" s="10" t="n">
        <v>138</v>
      </c>
      <c r="O2155" s="10">
        <f>IFERROR(VLOOKUP(A2155,Flete!$A:$J,10,0),"")</f>
        <v/>
      </c>
      <c r="P2155" s="8" t="inlineStr">
        <is>
          <t>M3</t>
        </is>
      </c>
      <c r="Q2155" s="10">
        <f>IFERROR(IFERROR(VLOOKUP(A2155,TRAOPE!$A:$U,21,0),VLOOKUP(B2155,TRAOPE!$A:$U,21,0)),"")</f>
        <v/>
      </c>
      <c r="R2155" s="8">
        <f>IFERROR(IFERROR(VLOOKUP(A2155,TRAOPE!$A:$W,23,0),VLOOKUP(B2155,TRAOPE!$A:$W,23,0)),"")</f>
        <v/>
      </c>
      <c r="S2155" s="10">
        <f>IF(AND(P2155="TN",R2155="TN"),N2155+N(O2155),IF(G2155&amp;""="1",N(K2155)*N2155,(N2155+N(O2155))*N(K2155)))</f>
        <v/>
      </c>
      <c r="T2155" s="10">
        <f>IF(Q2155="","",Q2155-S2155)</f>
        <v/>
      </c>
    </row>
    <row r="2156">
      <c r="A2156" s="7">
        <f>CONCATENATE(C2156,E2156,F2156,I2156)</f>
        <v/>
      </c>
      <c r="B2156" s="7">
        <f>CONCATENATE(C2156,E2156,I2156)</f>
        <v/>
      </c>
      <c r="C2156" s="8" t="n">
        <v>900001074</v>
      </c>
      <c r="D2156" s="7">
        <f>IFERROR(VLOOKUP(C2156,TRAOPE!$G:$H,2,0),"")</f>
        <v/>
      </c>
      <c r="E2156" s="8" t="inlineStr">
        <is>
          <t>D836</t>
        </is>
      </c>
      <c r="F2156" s="8" t="inlineStr">
        <is>
          <t>66779276</t>
        </is>
      </c>
      <c r="G2156" s="8">
        <f>IFERROR(VLOOKUP(A2156,Flete!$A:$E,5,0),"")</f>
        <v/>
      </c>
      <c r="H2156" s="7">
        <f>IFERROR(VLOOKUP(F2156,TRAOPE!$AA:$AB,2,0),"")</f>
        <v/>
      </c>
      <c r="I2156" s="7" t="n">
        <v>10000627</v>
      </c>
      <c r="J2156" s="7">
        <f>IFERROR(VLOOKUP(I2156,Materiales!$A:$H,8,0),"")</f>
        <v/>
      </c>
      <c r="K2156" s="9">
        <f>IFERROR(VLOOKUP(I2156,Materiales!$A:$G,7,0),"")</f>
        <v/>
      </c>
      <c r="L2156" s="8" t="inlineStr">
        <is>
          <t>20240619</t>
        </is>
      </c>
      <c r="M2156" s="8" t="inlineStr">
        <is>
          <t>20251031</t>
        </is>
      </c>
      <c r="N2156" s="10" t="n">
        <v>94</v>
      </c>
      <c r="O2156" s="10">
        <f>IFERROR(VLOOKUP(A2156,Flete!$A:$J,10,0),"")</f>
        <v/>
      </c>
      <c r="P2156" s="8" t="inlineStr">
        <is>
          <t>M3</t>
        </is>
      </c>
      <c r="Q2156" s="10">
        <f>IFERROR(IFERROR(VLOOKUP(A2156,TRAOPE!$A:$U,21,0),VLOOKUP(B2156,TRAOPE!$A:$U,21,0)),"")</f>
        <v/>
      </c>
      <c r="R2156" s="8">
        <f>IFERROR(IFERROR(VLOOKUP(A2156,TRAOPE!$A:$W,23,0),VLOOKUP(B2156,TRAOPE!$A:$W,23,0)),"")</f>
        <v/>
      </c>
      <c r="S2156" s="10">
        <f>IF(AND(P2156="TN",R2156="TN"),N2156+N(O2156),IF(G2156&amp;""="1",N(K2156)*N2156,(N2156+N(O2156))*N(K2156)))</f>
        <v/>
      </c>
      <c r="T2156" s="10">
        <f>IF(Q2156="","",Q2156-S2156)</f>
        <v/>
      </c>
    </row>
    <row r="2157">
      <c r="A2157" s="7">
        <f>CONCATENATE(C2157,E2157,F2157,I2157)</f>
        <v/>
      </c>
      <c r="B2157" s="7">
        <f>CONCATENATE(C2157,E2157,I2157)</f>
        <v/>
      </c>
      <c r="C2157" s="8" t="n">
        <v>900001074</v>
      </c>
      <c r="D2157" s="7">
        <f>IFERROR(VLOOKUP(C2157,TRAOPE!$G:$H,2,0),"")</f>
        <v/>
      </c>
      <c r="E2157" s="8" t="inlineStr">
        <is>
          <t>D836</t>
        </is>
      </c>
      <c r="F2157" s="8" t="inlineStr">
        <is>
          <t>66859565</t>
        </is>
      </c>
      <c r="G2157" s="8">
        <f>IFERROR(VLOOKUP(A2157,Flete!$A:$E,5,0),"")</f>
        <v/>
      </c>
      <c r="H2157" s="7">
        <f>IFERROR(VLOOKUP(F2157,TRAOPE!$AA:$AB,2,0),"")</f>
        <v/>
      </c>
      <c r="I2157" s="7" t="n">
        <v>10175723</v>
      </c>
      <c r="J2157" s="7">
        <f>IFERROR(VLOOKUP(I2157,Materiales!$A:$H,8,0),"")</f>
        <v/>
      </c>
      <c r="K2157" s="9">
        <f>IFERROR(VLOOKUP(I2157,Materiales!$A:$G,7,0),"")</f>
        <v/>
      </c>
      <c r="L2157" s="8" t="inlineStr">
        <is>
          <t>20240619</t>
        </is>
      </c>
      <c r="M2157" s="8" t="inlineStr">
        <is>
          <t>20251031</t>
        </is>
      </c>
      <c r="N2157" s="10" t="n">
        <v>141</v>
      </c>
      <c r="O2157" s="10">
        <f>IFERROR(VLOOKUP(A2157,Flete!$A:$J,10,0),"")</f>
        <v/>
      </c>
      <c r="P2157" s="8" t="inlineStr">
        <is>
          <t>M3</t>
        </is>
      </c>
      <c r="Q2157" s="10">
        <f>IFERROR(IFERROR(VLOOKUP(A2157,TRAOPE!$A:$U,21,0),VLOOKUP(B2157,TRAOPE!$A:$U,21,0)),"")</f>
        <v/>
      </c>
      <c r="R2157" s="8">
        <f>IFERROR(IFERROR(VLOOKUP(A2157,TRAOPE!$A:$W,23,0),VLOOKUP(B2157,TRAOPE!$A:$W,23,0)),"")</f>
        <v/>
      </c>
      <c r="S2157" s="10">
        <f>IF(AND(P2157="TN",R2157="TN"),N2157+N(O2157),IF(G2157&amp;""="1",N(K2157)*N2157,(N2157+N(O2157))*N(K2157)))</f>
        <v/>
      </c>
      <c r="T2157" s="10">
        <f>IF(Q2157="","",Q2157-S2157)</f>
        <v/>
      </c>
    </row>
    <row r="2158">
      <c r="A2158" s="7">
        <f>CONCATENATE(C2158,E2158,F2158,I2158)</f>
        <v/>
      </c>
      <c r="B2158" s="7">
        <f>CONCATENATE(C2158,E2158,I2158)</f>
        <v/>
      </c>
      <c r="C2158" s="8" t="n">
        <v>900001074</v>
      </c>
      <c r="D2158" s="7">
        <f>IFERROR(VLOOKUP(C2158,TRAOPE!$G:$H,2,0),"")</f>
        <v/>
      </c>
      <c r="E2158" s="8" t="inlineStr">
        <is>
          <t>D836</t>
        </is>
      </c>
      <c r="F2158" s="8" t="inlineStr">
        <is>
          <t>66864508</t>
        </is>
      </c>
      <c r="G2158" s="8">
        <f>IFERROR(VLOOKUP(A2158,Flete!$A:$E,5,0),"")</f>
        <v/>
      </c>
      <c r="H2158" s="7">
        <f>IFERROR(VLOOKUP(F2158,TRAOPE!$AA:$AB,2,0),"")</f>
        <v/>
      </c>
      <c r="I2158" s="7" t="n">
        <v>10259792</v>
      </c>
      <c r="J2158" s="7">
        <f>IFERROR(VLOOKUP(I2158,Materiales!$A:$H,8,0),"")</f>
        <v/>
      </c>
      <c r="K2158" s="9">
        <f>IFERROR(VLOOKUP(I2158,Materiales!$A:$G,7,0),"")</f>
        <v/>
      </c>
      <c r="L2158" s="8" t="inlineStr">
        <is>
          <t>20240619</t>
        </is>
      </c>
      <c r="M2158" s="8" t="inlineStr">
        <is>
          <t>20251031</t>
        </is>
      </c>
      <c r="N2158" s="10" t="n">
        <v>116</v>
      </c>
      <c r="O2158" s="10">
        <f>IFERROR(VLOOKUP(A2158,Flete!$A:$J,10,0),"")</f>
        <v/>
      </c>
      <c r="P2158" s="8" t="inlineStr">
        <is>
          <t>M3</t>
        </is>
      </c>
      <c r="Q2158" s="10">
        <f>IFERROR(IFERROR(VLOOKUP(A2158,TRAOPE!$A:$U,21,0),VLOOKUP(B2158,TRAOPE!$A:$U,21,0)),"")</f>
        <v/>
      </c>
      <c r="R2158" s="8">
        <f>IFERROR(IFERROR(VLOOKUP(A2158,TRAOPE!$A:$W,23,0),VLOOKUP(B2158,TRAOPE!$A:$W,23,0)),"")</f>
        <v/>
      </c>
      <c r="S2158" s="10">
        <f>IF(AND(P2158="TN",R2158="TN"),N2158+N(O2158),IF(G2158&amp;""="1",N(K2158)*N2158,(N2158+N(O2158))*N(K2158)))</f>
        <v/>
      </c>
      <c r="T2158" s="10">
        <f>IF(Q2158="","",Q2158-S2158)</f>
        <v/>
      </c>
    </row>
    <row r="2159">
      <c r="A2159" s="7">
        <f>CONCATENATE(C2159,E2159,F2159,I2159)</f>
        <v/>
      </c>
      <c r="B2159" s="7">
        <f>CONCATENATE(C2159,E2159,I2159)</f>
        <v/>
      </c>
      <c r="C2159" s="8" t="n">
        <v>900001074</v>
      </c>
      <c r="D2159" s="7">
        <f>IFERROR(VLOOKUP(C2159,TRAOPE!$G:$H,2,0),"")</f>
        <v/>
      </c>
      <c r="E2159" s="8" t="inlineStr">
        <is>
          <t>D836</t>
        </is>
      </c>
      <c r="F2159" s="8" t="inlineStr">
        <is>
          <t>66864540</t>
        </is>
      </c>
      <c r="G2159" s="8">
        <f>IFERROR(VLOOKUP(A2159,Flete!$A:$E,5,0),"")</f>
        <v/>
      </c>
      <c r="H2159" s="7">
        <f>IFERROR(VLOOKUP(F2159,TRAOPE!$AA:$AB,2,0),"")</f>
        <v/>
      </c>
      <c r="I2159" s="7" t="n">
        <v>10259792</v>
      </c>
      <c r="J2159" s="7">
        <f>IFERROR(VLOOKUP(I2159,Materiales!$A:$H,8,0),"")</f>
        <v/>
      </c>
      <c r="K2159" s="9">
        <f>IFERROR(VLOOKUP(I2159,Materiales!$A:$G,7,0),"")</f>
        <v/>
      </c>
      <c r="L2159" s="8" t="inlineStr">
        <is>
          <t>20240619</t>
        </is>
      </c>
      <c r="M2159" s="8" t="inlineStr">
        <is>
          <t>20251031</t>
        </is>
      </c>
      <c r="N2159" s="10" t="n">
        <v>116</v>
      </c>
      <c r="O2159" s="10">
        <f>IFERROR(VLOOKUP(A2159,Flete!$A:$J,10,0),"")</f>
        <v/>
      </c>
      <c r="P2159" s="8" t="inlineStr">
        <is>
          <t>M3</t>
        </is>
      </c>
      <c r="Q2159" s="10">
        <f>IFERROR(IFERROR(VLOOKUP(A2159,TRAOPE!$A:$U,21,0),VLOOKUP(B2159,TRAOPE!$A:$U,21,0)),"")</f>
        <v/>
      </c>
      <c r="R2159" s="8">
        <f>IFERROR(IFERROR(VLOOKUP(A2159,TRAOPE!$A:$W,23,0),VLOOKUP(B2159,TRAOPE!$A:$W,23,0)),"")</f>
        <v/>
      </c>
      <c r="S2159" s="10">
        <f>IF(AND(P2159="TN",R2159="TN"),N2159+N(O2159),IF(G2159&amp;""="1",N(K2159)*N2159,(N2159+N(O2159))*N(K2159)))</f>
        <v/>
      </c>
      <c r="T2159" s="10">
        <f>IF(Q2159="","",Q2159-S2159)</f>
        <v/>
      </c>
    </row>
    <row r="2160">
      <c r="A2160" s="7">
        <f>CONCATENATE(C2160,E2160,F2160,I2160)</f>
        <v/>
      </c>
      <c r="B2160" s="7">
        <f>CONCATENATE(C2160,E2160,I2160)</f>
        <v/>
      </c>
      <c r="C2160" s="8" t="n">
        <v>900001074</v>
      </c>
      <c r="D2160" s="7">
        <f>IFERROR(VLOOKUP(C2160,TRAOPE!$G:$H,2,0),"")</f>
        <v/>
      </c>
      <c r="E2160" s="8" t="inlineStr">
        <is>
          <t>D836</t>
        </is>
      </c>
      <c r="F2160" s="8" t="inlineStr">
        <is>
          <t>66868491</t>
        </is>
      </c>
      <c r="G2160" s="8">
        <f>IFERROR(VLOOKUP(A2160,Flete!$A:$E,5,0),"")</f>
        <v/>
      </c>
      <c r="H2160" s="7">
        <f>IFERROR(VLOOKUP(F2160,TRAOPE!$AA:$AB,2,0),"")</f>
        <v/>
      </c>
      <c r="I2160" s="7" t="n">
        <v>10000627</v>
      </c>
      <c r="J2160" s="7">
        <f>IFERROR(VLOOKUP(I2160,Materiales!$A:$H,8,0),"")</f>
        <v/>
      </c>
      <c r="K2160" s="9">
        <f>IFERROR(VLOOKUP(I2160,Materiales!$A:$G,7,0),"")</f>
        <v/>
      </c>
      <c r="L2160" s="8" t="inlineStr">
        <is>
          <t>20240619</t>
        </is>
      </c>
      <c r="M2160" s="8" t="inlineStr">
        <is>
          <t>20251031</t>
        </is>
      </c>
      <c r="N2160" s="10" t="n">
        <v>100</v>
      </c>
      <c r="O2160" s="10">
        <f>IFERROR(VLOOKUP(A2160,Flete!$A:$J,10,0),"")</f>
        <v/>
      </c>
      <c r="P2160" s="8" t="inlineStr">
        <is>
          <t>M3</t>
        </is>
      </c>
      <c r="Q2160" s="10">
        <f>IFERROR(IFERROR(VLOOKUP(A2160,TRAOPE!$A:$U,21,0),VLOOKUP(B2160,TRAOPE!$A:$U,21,0)),"")</f>
        <v/>
      </c>
      <c r="R2160" s="8">
        <f>IFERROR(IFERROR(VLOOKUP(A2160,TRAOPE!$A:$W,23,0),VLOOKUP(B2160,TRAOPE!$A:$W,23,0)),"")</f>
        <v/>
      </c>
      <c r="S2160" s="10">
        <f>IF(AND(P2160="TN",R2160="TN"),N2160+N(O2160),IF(G2160&amp;""="1",N(K2160)*N2160,(N2160+N(O2160))*N(K2160)))</f>
        <v/>
      </c>
      <c r="T2160" s="10">
        <f>IF(Q2160="","",Q2160-S2160)</f>
        <v/>
      </c>
    </row>
    <row r="2161">
      <c r="A2161" s="7">
        <f>CONCATENATE(C2161,E2161,F2161,I2161)</f>
        <v/>
      </c>
      <c r="B2161" s="7">
        <f>CONCATENATE(C2161,E2161,I2161)</f>
        <v/>
      </c>
      <c r="C2161" s="8" t="n">
        <v>900001074</v>
      </c>
      <c r="D2161" s="7">
        <f>IFERROR(VLOOKUP(C2161,TRAOPE!$G:$H,2,0),"")</f>
        <v/>
      </c>
      <c r="E2161" s="8" t="inlineStr">
        <is>
          <t>D836</t>
        </is>
      </c>
      <c r="F2161" s="8" t="inlineStr">
        <is>
          <t>66900173</t>
        </is>
      </c>
      <c r="G2161" s="8">
        <f>IFERROR(VLOOKUP(A2161,Flete!$A:$E,5,0),"")</f>
        <v/>
      </c>
      <c r="H2161" s="7">
        <f>IFERROR(VLOOKUP(F2161,TRAOPE!$AA:$AB,2,0),"")</f>
        <v/>
      </c>
      <c r="I2161" s="7" t="n">
        <v>10000627</v>
      </c>
      <c r="J2161" s="7">
        <f>IFERROR(VLOOKUP(I2161,Materiales!$A:$H,8,0),"")</f>
        <v/>
      </c>
      <c r="K2161" s="9">
        <f>IFERROR(VLOOKUP(I2161,Materiales!$A:$G,7,0),"")</f>
        <v/>
      </c>
      <c r="L2161" s="8" t="inlineStr">
        <is>
          <t>20240619</t>
        </is>
      </c>
      <c r="M2161" s="8" t="inlineStr">
        <is>
          <t>20251031</t>
        </is>
      </c>
      <c r="N2161" s="10" t="n">
        <v>110.35</v>
      </c>
      <c r="O2161" s="10">
        <f>IFERROR(VLOOKUP(A2161,Flete!$A:$J,10,0),"")</f>
        <v/>
      </c>
      <c r="P2161" s="8" t="inlineStr">
        <is>
          <t>M3</t>
        </is>
      </c>
      <c r="Q2161" s="10">
        <f>IFERROR(IFERROR(VLOOKUP(A2161,TRAOPE!$A:$U,21,0),VLOOKUP(B2161,TRAOPE!$A:$U,21,0)),"")</f>
        <v/>
      </c>
      <c r="R2161" s="8">
        <f>IFERROR(IFERROR(VLOOKUP(A2161,TRAOPE!$A:$W,23,0),VLOOKUP(B2161,TRAOPE!$A:$W,23,0)),"")</f>
        <v/>
      </c>
      <c r="S2161" s="10">
        <f>IF(AND(P2161="TN",R2161="TN"),N2161+N(O2161),IF(G2161&amp;""="1",N(K2161)*N2161,(N2161+N(O2161))*N(K2161)))</f>
        <v/>
      </c>
      <c r="T2161" s="10">
        <f>IF(Q2161="","",Q2161-S2161)</f>
        <v/>
      </c>
    </row>
    <row r="2162">
      <c r="A2162" s="7">
        <f>CONCATENATE(C2162,E2162,F2162,I2162)</f>
        <v/>
      </c>
      <c r="B2162" s="7">
        <f>CONCATENATE(C2162,E2162,I2162)</f>
        <v/>
      </c>
      <c r="C2162" s="8" t="n">
        <v>900001074</v>
      </c>
      <c r="D2162" s="7">
        <f>IFERROR(VLOOKUP(C2162,TRAOPE!$G:$H,2,0),"")</f>
        <v/>
      </c>
      <c r="E2162" s="8" t="inlineStr">
        <is>
          <t>D836</t>
        </is>
      </c>
      <c r="F2162" s="8" t="inlineStr">
        <is>
          <t>66908488</t>
        </is>
      </c>
      <c r="G2162" s="8">
        <f>IFERROR(VLOOKUP(A2162,Flete!$A:$E,5,0),"")</f>
        <v/>
      </c>
      <c r="H2162" s="7">
        <f>IFERROR(VLOOKUP(F2162,TRAOPE!$AA:$AB,2,0),"")</f>
        <v/>
      </c>
      <c r="I2162" s="7" t="n">
        <v>10175723</v>
      </c>
      <c r="J2162" s="7">
        <f>IFERROR(VLOOKUP(I2162,Materiales!$A:$H,8,0),"")</f>
        <v/>
      </c>
      <c r="K2162" s="9">
        <f>IFERROR(VLOOKUP(I2162,Materiales!$A:$G,7,0),"")</f>
        <v/>
      </c>
      <c r="L2162" s="8" t="inlineStr">
        <is>
          <t>20240619</t>
        </is>
      </c>
      <c r="M2162" s="8" t="inlineStr">
        <is>
          <t>20251031</t>
        </is>
      </c>
      <c r="N2162" s="10" t="n">
        <v>141</v>
      </c>
      <c r="O2162" s="10">
        <f>IFERROR(VLOOKUP(A2162,Flete!$A:$J,10,0),"")</f>
        <v/>
      </c>
      <c r="P2162" s="8" t="inlineStr">
        <is>
          <t>M3</t>
        </is>
      </c>
      <c r="Q2162" s="10">
        <f>IFERROR(IFERROR(VLOOKUP(A2162,TRAOPE!$A:$U,21,0),VLOOKUP(B2162,TRAOPE!$A:$U,21,0)),"")</f>
        <v/>
      </c>
      <c r="R2162" s="8">
        <f>IFERROR(IFERROR(VLOOKUP(A2162,TRAOPE!$A:$W,23,0),VLOOKUP(B2162,TRAOPE!$A:$W,23,0)),"")</f>
        <v/>
      </c>
      <c r="S2162" s="10">
        <f>IF(AND(P2162="TN",R2162="TN"),N2162+N(O2162),IF(G2162&amp;""="1",N(K2162)*N2162,(N2162+N(O2162))*N(K2162)))</f>
        <v/>
      </c>
      <c r="T2162" s="10">
        <f>IF(Q2162="","",Q2162-S2162)</f>
        <v/>
      </c>
    </row>
    <row r="2163">
      <c r="A2163" s="7">
        <f>CONCATENATE(C2163,E2163,F2163,I2163)</f>
        <v/>
      </c>
      <c r="B2163" s="7">
        <f>CONCATENATE(C2163,E2163,I2163)</f>
        <v/>
      </c>
      <c r="C2163" s="8" t="n">
        <v>900001074</v>
      </c>
      <c r="D2163" s="7">
        <f>IFERROR(VLOOKUP(C2163,TRAOPE!$G:$H,2,0),"")</f>
        <v/>
      </c>
      <c r="E2163" s="8" t="inlineStr">
        <is>
          <t>D836</t>
        </is>
      </c>
      <c r="F2163" s="8" t="inlineStr">
        <is>
          <t>66982053</t>
        </is>
      </c>
      <c r="G2163" s="8">
        <f>IFERROR(VLOOKUP(A2163,Flete!$A:$E,5,0),"")</f>
        <v/>
      </c>
      <c r="H2163" s="7">
        <f>IFERROR(VLOOKUP(F2163,TRAOPE!$AA:$AB,2,0),"")</f>
        <v/>
      </c>
      <c r="I2163" s="7" t="n">
        <v>10259792</v>
      </c>
      <c r="J2163" s="7">
        <f>IFERROR(VLOOKUP(I2163,Materiales!$A:$H,8,0),"")</f>
        <v/>
      </c>
      <c r="K2163" s="9">
        <f>IFERROR(VLOOKUP(I2163,Materiales!$A:$G,7,0),"")</f>
        <v/>
      </c>
      <c r="L2163" s="8" t="inlineStr">
        <is>
          <t>20240619</t>
        </is>
      </c>
      <c r="M2163" s="8" t="inlineStr">
        <is>
          <t>20251031</t>
        </is>
      </c>
      <c r="N2163" s="10" t="n">
        <v>116</v>
      </c>
      <c r="O2163" s="10">
        <f>IFERROR(VLOOKUP(A2163,Flete!$A:$J,10,0),"")</f>
        <v/>
      </c>
      <c r="P2163" s="8" t="inlineStr">
        <is>
          <t>M3</t>
        </is>
      </c>
      <c r="Q2163" s="10">
        <f>IFERROR(IFERROR(VLOOKUP(A2163,TRAOPE!$A:$U,21,0),VLOOKUP(B2163,TRAOPE!$A:$U,21,0)),"")</f>
        <v/>
      </c>
      <c r="R2163" s="8">
        <f>IFERROR(IFERROR(VLOOKUP(A2163,TRAOPE!$A:$W,23,0),VLOOKUP(B2163,TRAOPE!$A:$W,23,0)),"")</f>
        <v/>
      </c>
      <c r="S2163" s="10">
        <f>IF(AND(P2163="TN",R2163="TN"),N2163+N(O2163),IF(G2163&amp;""="1",N(K2163)*N2163,(N2163+N(O2163))*N(K2163)))</f>
        <v/>
      </c>
      <c r="T2163" s="10">
        <f>IF(Q2163="","",Q2163-S2163)</f>
        <v/>
      </c>
    </row>
    <row r="2164">
      <c r="A2164" s="7">
        <f>CONCATENATE(C2164,E2164,F2164,I2164)</f>
        <v/>
      </c>
      <c r="B2164" s="7">
        <f>CONCATENATE(C2164,E2164,I2164)</f>
        <v/>
      </c>
      <c r="C2164" s="8" t="n">
        <v>900001074</v>
      </c>
      <c r="D2164" s="7">
        <f>IFERROR(VLOOKUP(C2164,TRAOPE!$G:$H,2,0),"")</f>
        <v/>
      </c>
      <c r="E2164" s="8" t="inlineStr">
        <is>
          <t>D836</t>
        </is>
      </c>
      <c r="F2164" s="8" t="inlineStr">
        <is>
          <t>67019979</t>
        </is>
      </c>
      <c r="G2164" s="8">
        <f>IFERROR(VLOOKUP(A2164,Flete!$A:$E,5,0),"")</f>
        <v/>
      </c>
      <c r="H2164" s="7">
        <f>IFERROR(VLOOKUP(F2164,TRAOPE!$AA:$AB,2,0),"")</f>
        <v/>
      </c>
      <c r="I2164" s="7" t="n">
        <v>10259792</v>
      </c>
      <c r="J2164" s="7">
        <f>IFERROR(VLOOKUP(I2164,Materiales!$A:$H,8,0),"")</f>
        <v/>
      </c>
      <c r="K2164" s="9">
        <f>IFERROR(VLOOKUP(I2164,Materiales!$A:$G,7,0),"")</f>
        <v/>
      </c>
      <c r="L2164" s="8" t="inlineStr">
        <is>
          <t>20240619</t>
        </is>
      </c>
      <c r="M2164" s="8" t="inlineStr">
        <is>
          <t>20251031</t>
        </is>
      </c>
      <c r="N2164" s="10" t="n">
        <v>116</v>
      </c>
      <c r="O2164" s="10">
        <f>IFERROR(VLOOKUP(A2164,Flete!$A:$J,10,0),"")</f>
        <v/>
      </c>
      <c r="P2164" s="8" t="inlineStr">
        <is>
          <t>M3</t>
        </is>
      </c>
      <c r="Q2164" s="10">
        <f>IFERROR(IFERROR(VLOOKUP(A2164,TRAOPE!$A:$U,21,0),VLOOKUP(B2164,TRAOPE!$A:$U,21,0)),"")</f>
        <v/>
      </c>
      <c r="R2164" s="8">
        <f>IFERROR(IFERROR(VLOOKUP(A2164,TRAOPE!$A:$W,23,0),VLOOKUP(B2164,TRAOPE!$A:$W,23,0)),"")</f>
        <v/>
      </c>
      <c r="S2164" s="10">
        <f>IF(AND(P2164="TN",R2164="TN"),N2164+N(O2164),IF(G2164&amp;""="1",N(K2164)*N2164,(N2164+N(O2164))*N(K2164)))</f>
        <v/>
      </c>
      <c r="T2164" s="10">
        <f>IF(Q2164="","",Q2164-S2164)</f>
        <v/>
      </c>
    </row>
    <row r="2165">
      <c r="A2165" s="7">
        <f>CONCATENATE(C2165,E2165,F2165,I2165)</f>
        <v/>
      </c>
      <c r="B2165" s="7">
        <f>CONCATENATE(C2165,E2165,I2165)</f>
        <v/>
      </c>
      <c r="C2165" s="8" t="n">
        <v>900001074</v>
      </c>
      <c r="D2165" s="7">
        <f>IFERROR(VLOOKUP(C2165,TRAOPE!$G:$H,2,0),"")</f>
        <v/>
      </c>
      <c r="E2165" s="8" t="inlineStr">
        <is>
          <t>D836</t>
        </is>
      </c>
      <c r="F2165" s="8" t="inlineStr">
        <is>
          <t>67169695</t>
        </is>
      </c>
      <c r="G2165" s="8">
        <f>IFERROR(VLOOKUP(A2165,Flete!$A:$E,5,0),"")</f>
        <v/>
      </c>
      <c r="H2165" s="7">
        <f>IFERROR(VLOOKUP(F2165,TRAOPE!$AA:$AB,2,0),"")</f>
        <v/>
      </c>
      <c r="I2165" s="7" t="n">
        <v>10000160</v>
      </c>
      <c r="J2165" s="7">
        <f>IFERROR(VLOOKUP(I2165,Materiales!$A:$H,8,0),"")</f>
        <v/>
      </c>
      <c r="K2165" s="9">
        <f>IFERROR(VLOOKUP(I2165,Materiales!$A:$G,7,0),"")</f>
        <v/>
      </c>
      <c r="L2165" s="8" t="inlineStr">
        <is>
          <t>20240619</t>
        </is>
      </c>
      <c r="M2165" s="8" t="inlineStr">
        <is>
          <t>20251031</t>
        </is>
      </c>
      <c r="N2165" s="10" t="n">
        <v>137</v>
      </c>
      <c r="O2165" s="10">
        <f>IFERROR(VLOOKUP(A2165,Flete!$A:$J,10,0),"")</f>
        <v/>
      </c>
      <c r="P2165" s="8" t="inlineStr">
        <is>
          <t>M3</t>
        </is>
      </c>
      <c r="Q2165" s="10">
        <f>IFERROR(IFERROR(VLOOKUP(A2165,TRAOPE!$A:$U,21,0),VLOOKUP(B2165,TRAOPE!$A:$U,21,0)),"")</f>
        <v/>
      </c>
      <c r="R2165" s="8">
        <f>IFERROR(IFERROR(VLOOKUP(A2165,TRAOPE!$A:$W,23,0),VLOOKUP(B2165,TRAOPE!$A:$W,23,0)),"")</f>
        <v/>
      </c>
      <c r="S2165" s="10">
        <f>IF(AND(P2165="TN",R2165="TN"),N2165+N(O2165),IF(G2165&amp;""="1",N(K2165)*N2165,(N2165+N(O2165))*N(K2165)))</f>
        <v/>
      </c>
      <c r="T2165" s="10">
        <f>IF(Q2165="","",Q2165-S2165)</f>
        <v/>
      </c>
    </row>
    <row r="2166">
      <c r="A2166" s="7">
        <f>CONCATENATE(C2166,E2166,F2166,I2166)</f>
        <v/>
      </c>
      <c r="B2166" s="7">
        <f>CONCATENATE(C2166,E2166,I2166)</f>
        <v/>
      </c>
      <c r="C2166" s="8" t="n">
        <v>900001074</v>
      </c>
      <c r="D2166" s="7">
        <f>IFERROR(VLOOKUP(C2166,TRAOPE!$G:$H,2,0),"")</f>
        <v/>
      </c>
      <c r="E2166" s="8" t="inlineStr">
        <is>
          <t>D836</t>
        </is>
      </c>
      <c r="F2166" s="8" t="inlineStr">
        <is>
          <t>67232004</t>
        </is>
      </c>
      <c r="G2166" s="8">
        <f>IFERROR(VLOOKUP(A2166,Flete!$A:$E,5,0),"")</f>
        <v/>
      </c>
      <c r="H2166" s="7">
        <f>IFERROR(VLOOKUP(F2166,TRAOPE!$AA:$AB,2,0),"")</f>
        <v/>
      </c>
      <c r="I2166" s="7" t="n">
        <v>10000160</v>
      </c>
      <c r="J2166" s="7">
        <f>IFERROR(VLOOKUP(I2166,Materiales!$A:$H,8,0),"")</f>
        <v/>
      </c>
      <c r="K2166" s="9">
        <f>IFERROR(VLOOKUP(I2166,Materiales!$A:$G,7,0),"")</f>
        <v/>
      </c>
      <c r="L2166" s="8" t="inlineStr">
        <is>
          <t>20240619</t>
        </is>
      </c>
      <c r="M2166" s="8" t="inlineStr">
        <is>
          <t>20251031</t>
        </is>
      </c>
      <c r="N2166" s="10" t="n">
        <v>112</v>
      </c>
      <c r="O2166" s="10">
        <f>IFERROR(VLOOKUP(A2166,Flete!$A:$J,10,0),"")</f>
        <v/>
      </c>
      <c r="P2166" s="8" t="inlineStr">
        <is>
          <t>M3</t>
        </is>
      </c>
      <c r="Q2166" s="10">
        <f>IFERROR(IFERROR(VLOOKUP(A2166,TRAOPE!$A:$U,21,0),VLOOKUP(B2166,TRAOPE!$A:$U,21,0)),"")</f>
        <v/>
      </c>
      <c r="R2166" s="8">
        <f>IFERROR(IFERROR(VLOOKUP(A2166,TRAOPE!$A:$W,23,0),VLOOKUP(B2166,TRAOPE!$A:$W,23,0)),"")</f>
        <v/>
      </c>
      <c r="S2166" s="10">
        <f>IF(AND(P2166="TN",R2166="TN"),N2166+N(O2166),IF(G2166&amp;""="1",N(K2166)*N2166,(N2166+N(O2166))*N(K2166)))</f>
        <v/>
      </c>
      <c r="T2166" s="10">
        <f>IF(Q2166="","",Q2166-S2166)</f>
        <v/>
      </c>
    </row>
    <row r="2167">
      <c r="A2167" s="7">
        <f>CONCATENATE(C2167,E2167,F2167,I2167)</f>
        <v/>
      </c>
      <c r="B2167" s="7">
        <f>CONCATENATE(C2167,E2167,I2167)</f>
        <v/>
      </c>
      <c r="C2167" s="8" t="n">
        <v>900001074</v>
      </c>
      <c r="D2167" s="7">
        <f>IFERROR(VLOOKUP(C2167,TRAOPE!$G:$H,2,0),"")</f>
        <v/>
      </c>
      <c r="E2167" s="8" t="inlineStr">
        <is>
          <t>D836</t>
        </is>
      </c>
      <c r="F2167" s="8" t="inlineStr">
        <is>
          <t>67338264</t>
        </is>
      </c>
      <c r="G2167" s="8">
        <f>IFERROR(VLOOKUP(A2167,Flete!$A:$E,5,0),"")</f>
        <v/>
      </c>
      <c r="H2167" s="7">
        <f>IFERROR(VLOOKUP(F2167,TRAOPE!$AA:$AB,2,0),"")</f>
        <v/>
      </c>
      <c r="I2167" s="7" t="n">
        <v>10000160</v>
      </c>
      <c r="J2167" s="7">
        <f>IFERROR(VLOOKUP(I2167,Materiales!$A:$H,8,0),"")</f>
        <v/>
      </c>
      <c r="K2167" s="9">
        <f>IFERROR(VLOOKUP(I2167,Materiales!$A:$G,7,0),"")</f>
        <v/>
      </c>
      <c r="L2167" s="8" t="inlineStr">
        <is>
          <t>20240619</t>
        </is>
      </c>
      <c r="M2167" s="8" t="inlineStr">
        <is>
          <t>20251031</t>
        </is>
      </c>
      <c r="N2167" s="10" t="n">
        <v>116</v>
      </c>
      <c r="O2167" s="10">
        <f>IFERROR(VLOOKUP(A2167,Flete!$A:$J,10,0),"")</f>
        <v/>
      </c>
      <c r="P2167" s="8" t="inlineStr">
        <is>
          <t>M3</t>
        </is>
      </c>
      <c r="Q2167" s="10">
        <f>IFERROR(IFERROR(VLOOKUP(A2167,TRAOPE!$A:$U,21,0),VLOOKUP(B2167,TRAOPE!$A:$U,21,0)),"")</f>
        <v/>
      </c>
      <c r="R2167" s="8">
        <f>IFERROR(IFERROR(VLOOKUP(A2167,TRAOPE!$A:$W,23,0),VLOOKUP(B2167,TRAOPE!$A:$W,23,0)),"")</f>
        <v/>
      </c>
      <c r="S2167" s="10">
        <f>IF(AND(P2167="TN",R2167="TN"),N2167+N(O2167),IF(G2167&amp;""="1",N(K2167)*N2167,(N2167+N(O2167))*N(K2167)))</f>
        <v/>
      </c>
      <c r="T2167" s="10">
        <f>IF(Q2167="","",Q2167-S2167)</f>
        <v/>
      </c>
    </row>
    <row r="2168">
      <c r="A2168" s="7">
        <f>CONCATENATE(C2168,E2168,F2168,I2168)</f>
        <v/>
      </c>
      <c r="B2168" s="7">
        <f>CONCATENATE(C2168,E2168,I2168)</f>
        <v/>
      </c>
      <c r="C2168" s="8" t="n">
        <v>900001074</v>
      </c>
      <c r="D2168" s="7">
        <f>IFERROR(VLOOKUP(C2168,TRAOPE!$G:$H,2,0),"")</f>
        <v/>
      </c>
      <c r="E2168" s="8" t="inlineStr">
        <is>
          <t>D836</t>
        </is>
      </c>
      <c r="F2168" s="8" t="inlineStr">
        <is>
          <t>67338264</t>
        </is>
      </c>
      <c r="G2168" s="8">
        <f>IFERROR(VLOOKUP(A2168,Flete!$A:$E,5,0),"")</f>
        <v/>
      </c>
      <c r="H2168" s="7">
        <f>IFERROR(VLOOKUP(F2168,TRAOPE!$AA:$AB,2,0),"")</f>
        <v/>
      </c>
      <c r="I2168" s="7" t="n">
        <v>10000357</v>
      </c>
      <c r="J2168" s="7">
        <f>IFERROR(VLOOKUP(I2168,Materiales!$A:$H,8,0),"")</f>
        <v/>
      </c>
      <c r="K2168" s="9">
        <f>IFERROR(VLOOKUP(I2168,Materiales!$A:$G,7,0),"")</f>
        <v/>
      </c>
      <c r="L2168" s="8" t="inlineStr">
        <is>
          <t>20240619</t>
        </is>
      </c>
      <c r="M2168" s="8" t="inlineStr">
        <is>
          <t>20251031</t>
        </is>
      </c>
      <c r="N2168" s="10" t="n">
        <v>135</v>
      </c>
      <c r="O2168" s="10">
        <f>IFERROR(VLOOKUP(A2168,Flete!$A:$J,10,0),"")</f>
        <v/>
      </c>
      <c r="P2168" s="8" t="inlineStr">
        <is>
          <t>M3</t>
        </is>
      </c>
      <c r="Q2168" s="10">
        <f>IFERROR(IFERROR(VLOOKUP(A2168,TRAOPE!$A:$U,21,0),VLOOKUP(B2168,TRAOPE!$A:$U,21,0)),"")</f>
        <v/>
      </c>
      <c r="R2168" s="8">
        <f>IFERROR(IFERROR(VLOOKUP(A2168,TRAOPE!$A:$W,23,0),VLOOKUP(B2168,TRAOPE!$A:$W,23,0)),"")</f>
        <v/>
      </c>
      <c r="S2168" s="10">
        <f>IF(AND(P2168="TN",R2168="TN"),N2168+N(O2168),IF(G2168&amp;""="1",N(K2168)*N2168,(N2168+N(O2168))*N(K2168)))</f>
        <v/>
      </c>
      <c r="T2168" s="10">
        <f>IF(Q2168="","",Q2168-S2168)</f>
        <v/>
      </c>
    </row>
    <row r="2169">
      <c r="A2169" s="7">
        <f>CONCATENATE(C2169,E2169,F2169,I2169)</f>
        <v/>
      </c>
      <c r="B2169" s="7">
        <f>CONCATENATE(C2169,E2169,I2169)</f>
        <v/>
      </c>
      <c r="C2169" s="8" t="n">
        <v>900002267</v>
      </c>
      <c r="D2169" s="7">
        <f>IFERROR(VLOOKUP(C2169,TRAOPE!$G:$H,2,0),"")</f>
        <v/>
      </c>
      <c r="E2169" s="8" t="inlineStr">
        <is>
          <t>D836</t>
        </is>
      </c>
      <c r="F2169" s="8" t="inlineStr">
        <is>
          <t>67283035</t>
        </is>
      </c>
      <c r="G2169" s="8">
        <f>IFERROR(VLOOKUP(A2169,Flete!$A:$E,5,0),"")</f>
        <v/>
      </c>
      <c r="H2169" s="7">
        <f>IFERROR(VLOOKUP(F2169,TRAOPE!$AA:$AB,2,0),"")</f>
        <v/>
      </c>
      <c r="I2169" s="7" t="n">
        <v>10140399</v>
      </c>
      <c r="J2169" s="7">
        <f>IFERROR(VLOOKUP(I2169,Materiales!$A:$H,8,0),"")</f>
        <v/>
      </c>
      <c r="K2169" s="9">
        <f>IFERROR(VLOOKUP(I2169,Materiales!$A:$G,7,0),"")</f>
        <v/>
      </c>
      <c r="L2169" s="8" t="inlineStr">
        <is>
          <t>20240619</t>
        </is>
      </c>
      <c r="M2169" s="8" t="inlineStr">
        <is>
          <t>20251031</t>
        </is>
      </c>
      <c r="N2169" s="10" t="n">
        <v>375</v>
      </c>
      <c r="O2169" s="10">
        <f>IFERROR(VLOOKUP(A2169,Flete!$A:$J,10,0),"")</f>
        <v/>
      </c>
      <c r="P2169" s="8" t="inlineStr">
        <is>
          <t>M3</t>
        </is>
      </c>
      <c r="Q2169" s="10">
        <f>IFERROR(IFERROR(VLOOKUP(A2169,TRAOPE!$A:$U,21,0),VLOOKUP(B2169,TRAOPE!$A:$U,21,0)),"")</f>
        <v/>
      </c>
      <c r="R2169" s="8">
        <f>IFERROR(IFERROR(VLOOKUP(A2169,TRAOPE!$A:$W,23,0),VLOOKUP(B2169,TRAOPE!$A:$W,23,0)),"")</f>
        <v/>
      </c>
      <c r="S2169" s="10">
        <f>IF(AND(P2169="TN",R2169="TN"),N2169+N(O2169),IF(G2169&amp;""="1",N(K2169)*N2169,(N2169+N(O2169))*N(K2169)))</f>
        <v/>
      </c>
      <c r="T2169" s="10">
        <f>IF(Q2169="","",Q2169-S2169)</f>
        <v/>
      </c>
    </row>
    <row r="2170">
      <c r="A2170" s="7">
        <f>CONCATENATE(C2170,E2170,F2170,I2170)</f>
        <v/>
      </c>
      <c r="B2170" s="7">
        <f>CONCATENATE(C2170,E2170,I2170)</f>
        <v/>
      </c>
      <c r="C2170" s="8" t="n">
        <v>900002313</v>
      </c>
      <c r="D2170" s="7">
        <f>IFERROR(VLOOKUP(C2170,TRAOPE!$G:$H,2,0),"")</f>
        <v/>
      </c>
      <c r="E2170" s="8" t="inlineStr">
        <is>
          <t>D836</t>
        </is>
      </c>
      <c r="F2170" s="8" t="inlineStr">
        <is>
          <t>66532867</t>
        </is>
      </c>
      <c r="G2170" s="8">
        <f>IFERROR(VLOOKUP(A2170,Flete!$A:$E,5,0),"")</f>
        <v/>
      </c>
      <c r="H2170" s="7">
        <f>IFERROR(VLOOKUP(F2170,TRAOPE!$AA:$AB,2,0),"")</f>
        <v/>
      </c>
      <c r="I2170" s="7" t="n">
        <v>10001353</v>
      </c>
      <c r="J2170" s="7">
        <f>IFERROR(VLOOKUP(I2170,Materiales!$A:$H,8,0),"")</f>
        <v/>
      </c>
      <c r="K2170" s="9">
        <f>IFERROR(VLOOKUP(I2170,Materiales!$A:$G,7,0),"")</f>
        <v/>
      </c>
      <c r="L2170" s="8" t="inlineStr">
        <is>
          <t>20240619</t>
        </is>
      </c>
      <c r="M2170" s="8" t="inlineStr">
        <is>
          <t>20251031</t>
        </is>
      </c>
      <c r="N2170" s="10" t="n">
        <v>127</v>
      </c>
      <c r="O2170" s="10">
        <f>IFERROR(VLOOKUP(A2170,Flete!$A:$J,10,0),"")</f>
        <v/>
      </c>
      <c r="P2170" s="8" t="inlineStr">
        <is>
          <t>M3</t>
        </is>
      </c>
      <c r="Q2170" s="10">
        <f>IFERROR(IFERROR(VLOOKUP(A2170,TRAOPE!$A:$U,21,0),VLOOKUP(B2170,TRAOPE!$A:$U,21,0)),"")</f>
        <v/>
      </c>
      <c r="R2170" s="8">
        <f>IFERROR(IFERROR(VLOOKUP(A2170,TRAOPE!$A:$W,23,0),VLOOKUP(B2170,TRAOPE!$A:$W,23,0)),"")</f>
        <v/>
      </c>
      <c r="S2170" s="10">
        <f>IF(AND(P2170="TN",R2170="TN"),N2170+N(O2170),IF(G2170&amp;""="1",N(K2170)*N2170,(N2170+N(O2170))*N(K2170)))</f>
        <v/>
      </c>
      <c r="T2170" s="10">
        <f>IF(Q2170="","",Q2170-S2170)</f>
        <v/>
      </c>
    </row>
    <row r="2171">
      <c r="A2171" s="7">
        <f>CONCATENATE(C2171,E2171,F2171,I2171)</f>
        <v/>
      </c>
      <c r="B2171" s="7">
        <f>CONCATENATE(C2171,E2171,I2171)</f>
        <v/>
      </c>
      <c r="C2171" s="8" t="n">
        <v>900002313</v>
      </c>
      <c r="D2171" s="7">
        <f>IFERROR(VLOOKUP(C2171,TRAOPE!$G:$H,2,0),"")</f>
        <v/>
      </c>
      <c r="E2171" s="8" t="inlineStr">
        <is>
          <t>D836</t>
        </is>
      </c>
      <c r="F2171" s="8" t="inlineStr">
        <is>
          <t>66532867</t>
        </is>
      </c>
      <c r="G2171" s="8">
        <f>IFERROR(VLOOKUP(A2171,Flete!$A:$E,5,0),"")</f>
        <v/>
      </c>
      <c r="H2171" s="7">
        <f>IFERROR(VLOOKUP(F2171,TRAOPE!$AA:$AB,2,0),"")</f>
        <v/>
      </c>
      <c r="I2171" s="7" t="n">
        <v>10001354</v>
      </c>
      <c r="J2171" s="7">
        <f>IFERROR(VLOOKUP(I2171,Materiales!$A:$H,8,0),"")</f>
        <v/>
      </c>
      <c r="K2171" s="9">
        <f>IFERROR(VLOOKUP(I2171,Materiales!$A:$G,7,0),"")</f>
        <v/>
      </c>
      <c r="L2171" s="8" t="inlineStr">
        <is>
          <t>20240619</t>
        </is>
      </c>
      <c r="M2171" s="8" t="inlineStr">
        <is>
          <t>20251031</t>
        </is>
      </c>
      <c r="N2171" s="10" t="n">
        <v>103</v>
      </c>
      <c r="O2171" s="10">
        <f>IFERROR(VLOOKUP(A2171,Flete!$A:$J,10,0),"")</f>
        <v/>
      </c>
      <c r="P2171" s="8" t="inlineStr">
        <is>
          <t>M3</t>
        </is>
      </c>
      <c r="Q2171" s="10">
        <f>IFERROR(IFERROR(VLOOKUP(A2171,TRAOPE!$A:$U,21,0),VLOOKUP(B2171,TRAOPE!$A:$U,21,0)),"")</f>
        <v/>
      </c>
      <c r="R2171" s="8">
        <f>IFERROR(IFERROR(VLOOKUP(A2171,TRAOPE!$A:$W,23,0),VLOOKUP(B2171,TRAOPE!$A:$W,23,0)),"")</f>
        <v/>
      </c>
      <c r="S2171" s="10">
        <f>IF(AND(P2171="TN",R2171="TN"),N2171+N(O2171),IF(G2171&amp;""="1",N(K2171)*N2171,(N2171+N(O2171))*N(K2171)))</f>
        <v/>
      </c>
      <c r="T2171" s="10">
        <f>IF(Q2171="","",Q2171-S2171)</f>
        <v/>
      </c>
    </row>
    <row r="2172">
      <c r="A2172" s="7">
        <f>CONCATENATE(C2172,E2172,F2172,I2172)</f>
        <v/>
      </c>
      <c r="B2172" s="7">
        <f>CONCATENATE(C2172,E2172,I2172)</f>
        <v/>
      </c>
      <c r="C2172" s="8" t="n">
        <v>900002313</v>
      </c>
      <c r="D2172" s="7">
        <f>IFERROR(VLOOKUP(C2172,TRAOPE!$G:$H,2,0),"")</f>
        <v/>
      </c>
      <c r="E2172" s="8" t="inlineStr">
        <is>
          <t>D836</t>
        </is>
      </c>
      <c r="F2172" s="8" t="inlineStr">
        <is>
          <t>66576199</t>
        </is>
      </c>
      <c r="G2172" s="8">
        <f>IFERROR(VLOOKUP(A2172,Flete!$A:$E,5,0),"")</f>
        <v/>
      </c>
      <c r="H2172" s="7">
        <f>IFERROR(VLOOKUP(F2172,TRAOPE!$AA:$AB,2,0),"")</f>
        <v/>
      </c>
      <c r="I2172" s="7" t="n">
        <v>10001353</v>
      </c>
      <c r="J2172" s="7">
        <f>IFERROR(VLOOKUP(I2172,Materiales!$A:$H,8,0),"")</f>
        <v/>
      </c>
      <c r="K2172" s="9">
        <f>IFERROR(VLOOKUP(I2172,Materiales!$A:$G,7,0),"")</f>
        <v/>
      </c>
      <c r="L2172" s="8" t="inlineStr">
        <is>
          <t>20240619</t>
        </is>
      </c>
      <c r="M2172" s="8" t="inlineStr">
        <is>
          <t>20251031</t>
        </is>
      </c>
      <c r="N2172" s="10" t="n">
        <v>127</v>
      </c>
      <c r="O2172" s="10">
        <f>IFERROR(VLOOKUP(A2172,Flete!$A:$J,10,0),"")</f>
        <v/>
      </c>
      <c r="P2172" s="8" t="inlineStr">
        <is>
          <t>M3</t>
        </is>
      </c>
      <c r="Q2172" s="10">
        <f>IFERROR(IFERROR(VLOOKUP(A2172,TRAOPE!$A:$U,21,0),VLOOKUP(B2172,TRAOPE!$A:$U,21,0)),"")</f>
        <v/>
      </c>
      <c r="R2172" s="8">
        <f>IFERROR(IFERROR(VLOOKUP(A2172,TRAOPE!$A:$W,23,0),VLOOKUP(B2172,TRAOPE!$A:$W,23,0)),"")</f>
        <v/>
      </c>
      <c r="S2172" s="10">
        <f>IF(AND(P2172="TN",R2172="TN"),N2172+N(O2172),IF(G2172&amp;""="1",N(K2172)*N2172,(N2172+N(O2172))*N(K2172)))</f>
        <v/>
      </c>
      <c r="T2172" s="10">
        <f>IF(Q2172="","",Q2172-S2172)</f>
        <v/>
      </c>
    </row>
    <row r="2173">
      <c r="A2173" s="7">
        <f>CONCATENATE(C2173,E2173,F2173,I2173)</f>
        <v/>
      </c>
      <c r="B2173" s="7">
        <f>CONCATENATE(C2173,E2173,I2173)</f>
        <v/>
      </c>
      <c r="C2173" s="8" t="n">
        <v>900002313</v>
      </c>
      <c r="D2173" s="7">
        <f>IFERROR(VLOOKUP(C2173,TRAOPE!$G:$H,2,0),"")</f>
        <v/>
      </c>
      <c r="E2173" s="8" t="inlineStr">
        <is>
          <t>D836</t>
        </is>
      </c>
      <c r="F2173" s="8" t="inlineStr">
        <is>
          <t>66576199</t>
        </is>
      </c>
      <c r="G2173" s="8">
        <f>IFERROR(VLOOKUP(A2173,Flete!$A:$E,5,0),"")</f>
        <v/>
      </c>
      <c r="H2173" s="7">
        <f>IFERROR(VLOOKUP(F2173,TRAOPE!$AA:$AB,2,0),"")</f>
        <v/>
      </c>
      <c r="I2173" s="7" t="n">
        <v>10001354</v>
      </c>
      <c r="J2173" s="7">
        <f>IFERROR(VLOOKUP(I2173,Materiales!$A:$H,8,0),"")</f>
        <v/>
      </c>
      <c r="K2173" s="9">
        <f>IFERROR(VLOOKUP(I2173,Materiales!$A:$G,7,0),"")</f>
        <v/>
      </c>
      <c r="L2173" s="8" t="inlineStr">
        <is>
          <t>20240619</t>
        </is>
      </c>
      <c r="M2173" s="8" t="inlineStr">
        <is>
          <t>20251031</t>
        </is>
      </c>
      <c r="N2173" s="10" t="n">
        <v>103</v>
      </c>
      <c r="O2173" s="10">
        <f>IFERROR(VLOOKUP(A2173,Flete!$A:$J,10,0),"")</f>
        <v/>
      </c>
      <c r="P2173" s="8" t="inlineStr">
        <is>
          <t>M3</t>
        </is>
      </c>
      <c r="Q2173" s="10">
        <f>IFERROR(IFERROR(VLOOKUP(A2173,TRAOPE!$A:$U,21,0),VLOOKUP(B2173,TRAOPE!$A:$U,21,0)),"")</f>
        <v/>
      </c>
      <c r="R2173" s="8">
        <f>IFERROR(IFERROR(VLOOKUP(A2173,TRAOPE!$A:$W,23,0),VLOOKUP(B2173,TRAOPE!$A:$W,23,0)),"")</f>
        <v/>
      </c>
      <c r="S2173" s="10">
        <f>IF(AND(P2173="TN",R2173="TN"),N2173+N(O2173),IF(G2173&amp;""="1",N(K2173)*N2173,(N2173+N(O2173))*N(K2173)))</f>
        <v/>
      </c>
      <c r="T2173" s="10">
        <f>IF(Q2173="","",Q2173-S2173)</f>
        <v/>
      </c>
    </row>
    <row r="2174">
      <c r="A2174" s="7">
        <f>CONCATENATE(C2174,E2174,F2174,I2174)</f>
        <v/>
      </c>
      <c r="B2174" s="7">
        <f>CONCATENATE(C2174,E2174,I2174)</f>
        <v/>
      </c>
      <c r="C2174" s="8" t="n">
        <v>900002313</v>
      </c>
      <c r="D2174" s="7">
        <f>IFERROR(VLOOKUP(C2174,TRAOPE!$G:$H,2,0),"")</f>
        <v/>
      </c>
      <c r="E2174" s="8" t="inlineStr">
        <is>
          <t>D836</t>
        </is>
      </c>
      <c r="F2174" s="8" t="inlineStr">
        <is>
          <t>67093507</t>
        </is>
      </c>
      <c r="G2174" s="8">
        <f>IFERROR(VLOOKUP(A2174,Flete!$A:$E,5,0),"")</f>
        <v/>
      </c>
      <c r="H2174" s="7">
        <f>IFERROR(VLOOKUP(F2174,TRAOPE!$AA:$AB,2,0),"")</f>
        <v/>
      </c>
      <c r="I2174" s="7" t="n">
        <v>10001353</v>
      </c>
      <c r="J2174" s="7">
        <f>IFERROR(VLOOKUP(I2174,Materiales!$A:$H,8,0),"")</f>
        <v/>
      </c>
      <c r="K2174" s="9">
        <f>IFERROR(VLOOKUP(I2174,Materiales!$A:$G,7,0),"")</f>
        <v/>
      </c>
      <c r="L2174" s="8" t="inlineStr">
        <is>
          <t>20240619</t>
        </is>
      </c>
      <c r="M2174" s="8" t="inlineStr">
        <is>
          <t>20251031</t>
        </is>
      </c>
      <c r="N2174" s="10" t="n">
        <v>127</v>
      </c>
      <c r="O2174" s="10">
        <f>IFERROR(VLOOKUP(A2174,Flete!$A:$J,10,0),"")</f>
        <v/>
      </c>
      <c r="P2174" s="8" t="inlineStr">
        <is>
          <t>M3</t>
        </is>
      </c>
      <c r="Q2174" s="10">
        <f>IFERROR(IFERROR(VLOOKUP(A2174,TRAOPE!$A:$U,21,0),VLOOKUP(B2174,TRAOPE!$A:$U,21,0)),"")</f>
        <v/>
      </c>
      <c r="R2174" s="8">
        <f>IFERROR(IFERROR(VLOOKUP(A2174,TRAOPE!$A:$W,23,0),VLOOKUP(B2174,TRAOPE!$A:$W,23,0)),"")</f>
        <v/>
      </c>
      <c r="S2174" s="10">
        <f>IF(AND(P2174="TN",R2174="TN"),N2174+N(O2174),IF(G2174&amp;""="1",N(K2174)*N2174,(N2174+N(O2174))*N(K2174)))</f>
        <v/>
      </c>
      <c r="T2174" s="10">
        <f>IF(Q2174="","",Q2174-S2174)</f>
        <v/>
      </c>
    </row>
    <row r="2175">
      <c r="A2175" s="7">
        <f>CONCATENATE(C2175,E2175,F2175,I2175)</f>
        <v/>
      </c>
      <c r="B2175" s="7">
        <f>CONCATENATE(C2175,E2175,I2175)</f>
        <v/>
      </c>
      <c r="C2175" s="8" t="n">
        <v>900002313</v>
      </c>
      <c r="D2175" s="7">
        <f>IFERROR(VLOOKUP(C2175,TRAOPE!$G:$H,2,0),"")</f>
        <v/>
      </c>
      <c r="E2175" s="8" t="inlineStr">
        <is>
          <t>D836</t>
        </is>
      </c>
      <c r="F2175" s="8" t="inlineStr">
        <is>
          <t>67093507</t>
        </is>
      </c>
      <c r="G2175" s="8">
        <f>IFERROR(VLOOKUP(A2175,Flete!$A:$E,5,0),"")</f>
        <v/>
      </c>
      <c r="H2175" s="7">
        <f>IFERROR(VLOOKUP(F2175,TRAOPE!$AA:$AB,2,0),"")</f>
        <v/>
      </c>
      <c r="I2175" s="7" t="n">
        <v>10001354</v>
      </c>
      <c r="J2175" s="7">
        <f>IFERROR(VLOOKUP(I2175,Materiales!$A:$H,8,0),"")</f>
        <v/>
      </c>
      <c r="K2175" s="9">
        <f>IFERROR(VLOOKUP(I2175,Materiales!$A:$G,7,0),"")</f>
        <v/>
      </c>
      <c r="L2175" s="8" t="inlineStr">
        <is>
          <t>20240619</t>
        </is>
      </c>
      <c r="M2175" s="8" t="inlineStr">
        <is>
          <t>20251031</t>
        </is>
      </c>
      <c r="N2175" s="10" t="n">
        <v>103</v>
      </c>
      <c r="O2175" s="10">
        <f>IFERROR(VLOOKUP(A2175,Flete!$A:$J,10,0),"")</f>
        <v/>
      </c>
      <c r="P2175" s="8" t="inlineStr">
        <is>
          <t>M3</t>
        </is>
      </c>
      <c r="Q2175" s="10">
        <f>IFERROR(IFERROR(VLOOKUP(A2175,TRAOPE!$A:$U,21,0),VLOOKUP(B2175,TRAOPE!$A:$U,21,0)),"")</f>
        <v/>
      </c>
      <c r="R2175" s="8">
        <f>IFERROR(IFERROR(VLOOKUP(A2175,TRAOPE!$A:$W,23,0),VLOOKUP(B2175,TRAOPE!$A:$W,23,0)),"")</f>
        <v/>
      </c>
      <c r="S2175" s="10">
        <f>IF(AND(P2175="TN",R2175="TN"),N2175+N(O2175),IF(G2175&amp;""="1",N(K2175)*N2175,(N2175+N(O2175))*N(K2175)))</f>
        <v/>
      </c>
      <c r="T2175" s="10">
        <f>IF(Q2175="","",Q2175-S2175)</f>
        <v/>
      </c>
    </row>
    <row r="2176">
      <c r="A2176" s="7">
        <f>CONCATENATE(C2176,E2176,F2176,I2176)</f>
        <v/>
      </c>
      <c r="B2176" s="7">
        <f>CONCATENATE(C2176,E2176,I2176)</f>
        <v/>
      </c>
      <c r="C2176" s="8" t="n">
        <v>900002574</v>
      </c>
      <c r="D2176" s="7">
        <f>IFERROR(VLOOKUP(C2176,TRAOPE!$G:$H,2,0),"")</f>
        <v/>
      </c>
      <c r="E2176" s="8" t="inlineStr">
        <is>
          <t>D836</t>
        </is>
      </c>
      <c r="F2176" s="8" t="inlineStr">
        <is>
          <t>66581348</t>
        </is>
      </c>
      <c r="G2176" s="8">
        <f>IFERROR(VLOOKUP(A2176,Flete!$A:$E,5,0),"")</f>
        <v/>
      </c>
      <c r="H2176" s="7">
        <f>IFERROR(VLOOKUP(F2176,TRAOPE!$AA:$AB,2,0),"")</f>
        <v/>
      </c>
      <c r="I2176" s="7" t="n">
        <v>10000160</v>
      </c>
      <c r="J2176" s="7">
        <f>IFERROR(VLOOKUP(I2176,Materiales!$A:$H,8,0),"")</f>
        <v/>
      </c>
      <c r="K2176" s="9">
        <f>IFERROR(VLOOKUP(I2176,Materiales!$A:$G,7,0),"")</f>
        <v/>
      </c>
      <c r="L2176" s="8" t="inlineStr">
        <is>
          <t>20240619</t>
        </is>
      </c>
      <c r="M2176" s="8" t="inlineStr">
        <is>
          <t>20251031</t>
        </is>
      </c>
      <c r="N2176" s="10" t="n">
        <v>230</v>
      </c>
      <c r="O2176" s="10">
        <f>IFERROR(VLOOKUP(A2176,Flete!$A:$J,10,0),"")</f>
        <v/>
      </c>
      <c r="P2176" s="8" t="inlineStr">
        <is>
          <t>M3</t>
        </is>
      </c>
      <c r="Q2176" s="10">
        <f>IFERROR(IFERROR(VLOOKUP(A2176,TRAOPE!$A:$U,21,0),VLOOKUP(B2176,TRAOPE!$A:$U,21,0)),"")</f>
        <v/>
      </c>
      <c r="R2176" s="8">
        <f>IFERROR(IFERROR(VLOOKUP(A2176,TRAOPE!$A:$W,23,0),VLOOKUP(B2176,TRAOPE!$A:$W,23,0)),"")</f>
        <v/>
      </c>
      <c r="S2176" s="10">
        <f>IF(AND(P2176="TN",R2176="TN"),N2176+N(O2176),IF(G2176&amp;""="1",N(K2176)*N2176,(N2176+N(O2176))*N(K2176)))</f>
        <v/>
      </c>
      <c r="T2176" s="10">
        <f>IF(Q2176="","",Q2176-S2176)</f>
        <v/>
      </c>
    </row>
    <row r="2177">
      <c r="A2177" s="7">
        <f>CONCATENATE(C2177,E2177,F2177,I2177)</f>
        <v/>
      </c>
      <c r="B2177" s="7">
        <f>CONCATENATE(C2177,E2177,I2177)</f>
        <v/>
      </c>
      <c r="C2177" s="8" t="n">
        <v>900002574</v>
      </c>
      <c r="D2177" s="7">
        <f>IFERROR(VLOOKUP(C2177,TRAOPE!$G:$H,2,0),"")</f>
        <v/>
      </c>
      <c r="E2177" s="8" t="inlineStr">
        <is>
          <t>D836</t>
        </is>
      </c>
      <c r="F2177" s="8" t="inlineStr">
        <is>
          <t>66878462</t>
        </is>
      </c>
      <c r="G2177" s="8">
        <f>IFERROR(VLOOKUP(A2177,Flete!$A:$E,5,0),"")</f>
        <v/>
      </c>
      <c r="H2177" s="7">
        <f>IFERROR(VLOOKUP(F2177,TRAOPE!$AA:$AB,2,0),"")</f>
        <v/>
      </c>
      <c r="I2177" s="7" t="n">
        <v>10185476</v>
      </c>
      <c r="J2177" s="7">
        <f>IFERROR(VLOOKUP(I2177,Materiales!$A:$H,8,0),"")</f>
        <v/>
      </c>
      <c r="K2177" s="9">
        <f>IFERROR(VLOOKUP(I2177,Materiales!$A:$G,7,0),"")</f>
        <v/>
      </c>
      <c r="L2177" s="8" t="inlineStr">
        <is>
          <t>20240619</t>
        </is>
      </c>
      <c r="M2177" s="8" t="inlineStr">
        <is>
          <t>20251031</t>
        </is>
      </c>
      <c r="N2177" s="10" t="n">
        <v>235</v>
      </c>
      <c r="O2177" s="10">
        <f>IFERROR(VLOOKUP(A2177,Flete!$A:$J,10,0),"")</f>
        <v/>
      </c>
      <c r="P2177" s="8" t="inlineStr">
        <is>
          <t>M3</t>
        </is>
      </c>
      <c r="Q2177" s="10">
        <f>IFERROR(IFERROR(VLOOKUP(A2177,TRAOPE!$A:$U,21,0),VLOOKUP(B2177,TRAOPE!$A:$U,21,0)),"")</f>
        <v/>
      </c>
      <c r="R2177" s="8">
        <f>IFERROR(IFERROR(VLOOKUP(A2177,TRAOPE!$A:$W,23,0),VLOOKUP(B2177,TRAOPE!$A:$W,23,0)),"")</f>
        <v/>
      </c>
      <c r="S2177" s="10">
        <f>IF(AND(P2177="TN",R2177="TN"),N2177+N(O2177),IF(G2177&amp;""="1",N(K2177)*N2177,(N2177+N(O2177))*N(K2177)))</f>
        <v/>
      </c>
      <c r="T2177" s="10">
        <f>IF(Q2177="","",Q2177-S2177)</f>
        <v/>
      </c>
    </row>
    <row r="2178">
      <c r="A2178" s="7">
        <f>CONCATENATE(C2178,E2178,F2178,I2178)</f>
        <v/>
      </c>
      <c r="B2178" s="7">
        <f>CONCATENATE(C2178,E2178,I2178)</f>
        <v/>
      </c>
      <c r="C2178" s="8" t="n">
        <v>900002574</v>
      </c>
      <c r="D2178" s="7">
        <f>IFERROR(VLOOKUP(C2178,TRAOPE!$G:$H,2,0),"")</f>
        <v/>
      </c>
      <c r="E2178" s="8" t="inlineStr">
        <is>
          <t>D836</t>
        </is>
      </c>
      <c r="F2178" s="8" t="inlineStr">
        <is>
          <t>66878462</t>
        </is>
      </c>
      <c r="G2178" s="8">
        <f>IFERROR(VLOOKUP(A2178,Flete!$A:$E,5,0),"")</f>
        <v/>
      </c>
      <c r="H2178" s="7">
        <f>IFERROR(VLOOKUP(F2178,TRAOPE!$AA:$AB,2,0),"")</f>
        <v/>
      </c>
      <c r="I2178" s="7" t="n">
        <v>10185477</v>
      </c>
      <c r="J2178" s="7">
        <f>IFERROR(VLOOKUP(I2178,Materiales!$A:$H,8,0),"")</f>
        <v/>
      </c>
      <c r="K2178" s="9">
        <f>IFERROR(VLOOKUP(I2178,Materiales!$A:$G,7,0),"")</f>
        <v/>
      </c>
      <c r="L2178" s="8" t="inlineStr">
        <is>
          <t>20240619</t>
        </is>
      </c>
      <c r="M2178" s="8" t="inlineStr">
        <is>
          <t>20251031</t>
        </is>
      </c>
      <c r="N2178" s="10" t="n">
        <v>245</v>
      </c>
      <c r="O2178" s="10">
        <f>IFERROR(VLOOKUP(A2178,Flete!$A:$J,10,0),"")</f>
        <v/>
      </c>
      <c r="P2178" s="8" t="inlineStr">
        <is>
          <t>M3</t>
        </is>
      </c>
      <c r="Q2178" s="10">
        <f>IFERROR(IFERROR(VLOOKUP(A2178,TRAOPE!$A:$U,21,0),VLOOKUP(B2178,TRAOPE!$A:$U,21,0)),"")</f>
        <v/>
      </c>
      <c r="R2178" s="8">
        <f>IFERROR(IFERROR(VLOOKUP(A2178,TRAOPE!$A:$W,23,0),VLOOKUP(B2178,TRAOPE!$A:$W,23,0)),"")</f>
        <v/>
      </c>
      <c r="S2178" s="10">
        <f>IF(AND(P2178="TN",R2178="TN"),N2178+N(O2178),IF(G2178&amp;""="1",N(K2178)*N2178,(N2178+N(O2178))*N(K2178)))</f>
        <v/>
      </c>
      <c r="T2178" s="10">
        <f>IF(Q2178="","",Q2178-S2178)</f>
        <v/>
      </c>
    </row>
    <row r="2179">
      <c r="A2179" s="7">
        <f>CONCATENATE(C2179,E2179,F2179,I2179)</f>
        <v/>
      </c>
      <c r="B2179" s="7">
        <f>CONCATENATE(C2179,E2179,I2179)</f>
        <v/>
      </c>
      <c r="C2179" s="8" t="n">
        <v>900002574</v>
      </c>
      <c r="D2179" s="7">
        <f>IFERROR(VLOOKUP(C2179,TRAOPE!$G:$H,2,0),"")</f>
        <v/>
      </c>
      <c r="E2179" s="8" t="inlineStr">
        <is>
          <t>D836</t>
        </is>
      </c>
      <c r="F2179" s="8" t="inlineStr">
        <is>
          <t>66878462</t>
        </is>
      </c>
      <c r="G2179" s="8">
        <f>IFERROR(VLOOKUP(A2179,Flete!$A:$E,5,0),"")</f>
        <v/>
      </c>
      <c r="H2179" s="7">
        <f>IFERROR(VLOOKUP(F2179,TRAOPE!$AA:$AB,2,0),"")</f>
        <v/>
      </c>
      <c r="I2179" s="7" t="n">
        <v>10227598</v>
      </c>
      <c r="J2179" s="7">
        <f>IFERROR(VLOOKUP(I2179,Materiales!$A:$H,8,0),"")</f>
        <v/>
      </c>
      <c r="K2179" s="9">
        <f>IFERROR(VLOOKUP(I2179,Materiales!$A:$G,7,0),"")</f>
        <v/>
      </c>
      <c r="L2179" s="8" t="inlineStr">
        <is>
          <t>20240619</t>
        </is>
      </c>
      <c r="M2179" s="8" t="inlineStr">
        <is>
          <t>20251031</t>
        </is>
      </c>
      <c r="N2179" s="10" t="n">
        <v>175</v>
      </c>
      <c r="O2179" s="10">
        <f>IFERROR(VLOOKUP(A2179,Flete!$A:$J,10,0),"")</f>
        <v/>
      </c>
      <c r="P2179" s="8" t="inlineStr">
        <is>
          <t>M3</t>
        </is>
      </c>
      <c r="Q2179" s="10">
        <f>IFERROR(IFERROR(VLOOKUP(A2179,TRAOPE!$A:$U,21,0),VLOOKUP(B2179,TRAOPE!$A:$U,21,0)),"")</f>
        <v/>
      </c>
      <c r="R2179" s="8">
        <f>IFERROR(IFERROR(VLOOKUP(A2179,TRAOPE!$A:$W,23,0),VLOOKUP(B2179,TRAOPE!$A:$W,23,0)),"")</f>
        <v/>
      </c>
      <c r="S2179" s="10">
        <f>IF(AND(P2179="TN",R2179="TN"),N2179+N(O2179),IF(G2179&amp;""="1",N(K2179)*N2179,(N2179+N(O2179))*N(K2179)))</f>
        <v/>
      </c>
      <c r="T2179" s="10">
        <f>IF(Q2179="","",Q2179-S2179)</f>
        <v/>
      </c>
    </row>
    <row r="2180">
      <c r="A2180" s="7">
        <f>CONCATENATE(C2180,E2180,F2180,I2180)</f>
        <v/>
      </c>
      <c r="B2180" s="7">
        <f>CONCATENATE(C2180,E2180,I2180)</f>
        <v/>
      </c>
      <c r="C2180" s="8" t="n">
        <v>900002574</v>
      </c>
      <c r="D2180" s="7">
        <f>IFERROR(VLOOKUP(C2180,TRAOPE!$G:$H,2,0),"")</f>
        <v/>
      </c>
      <c r="E2180" s="8" t="inlineStr">
        <is>
          <t>D836</t>
        </is>
      </c>
      <c r="F2180" s="8" t="inlineStr">
        <is>
          <t>67126698</t>
        </is>
      </c>
      <c r="G2180" s="8">
        <f>IFERROR(VLOOKUP(A2180,Flete!$A:$E,5,0),"")</f>
        <v/>
      </c>
      <c r="H2180" s="7">
        <f>IFERROR(VLOOKUP(F2180,TRAOPE!$AA:$AB,2,0),"")</f>
        <v/>
      </c>
      <c r="I2180" s="7" t="n">
        <v>10029712</v>
      </c>
      <c r="J2180" s="7">
        <f>IFERROR(VLOOKUP(I2180,Materiales!$A:$H,8,0),"")</f>
        <v/>
      </c>
      <c r="K2180" s="9">
        <f>IFERROR(VLOOKUP(I2180,Materiales!$A:$G,7,0),"")</f>
        <v/>
      </c>
      <c r="L2180" s="8" t="inlineStr">
        <is>
          <t>20240619</t>
        </is>
      </c>
      <c r="M2180" s="8" t="inlineStr">
        <is>
          <t>20251031</t>
        </is>
      </c>
      <c r="N2180" s="10" t="n">
        <v>300</v>
      </c>
      <c r="O2180" s="10">
        <f>IFERROR(VLOOKUP(A2180,Flete!$A:$J,10,0),"")</f>
        <v/>
      </c>
      <c r="P2180" s="8" t="inlineStr">
        <is>
          <t>M3</t>
        </is>
      </c>
      <c r="Q2180" s="10">
        <f>IFERROR(IFERROR(VLOOKUP(A2180,TRAOPE!$A:$U,21,0),VLOOKUP(B2180,TRAOPE!$A:$U,21,0)),"")</f>
        <v/>
      </c>
      <c r="R2180" s="8">
        <f>IFERROR(IFERROR(VLOOKUP(A2180,TRAOPE!$A:$W,23,0),VLOOKUP(B2180,TRAOPE!$A:$W,23,0)),"")</f>
        <v/>
      </c>
      <c r="S2180" s="10">
        <f>IF(AND(P2180="TN",R2180="TN"),N2180+N(O2180),IF(G2180&amp;""="1",N(K2180)*N2180,(N2180+N(O2180))*N(K2180)))</f>
        <v/>
      </c>
      <c r="T2180" s="10">
        <f>IF(Q2180="","",Q2180-S2180)</f>
        <v/>
      </c>
    </row>
    <row r="2181">
      <c r="A2181" s="7">
        <f>CONCATENATE(C2181,E2181,F2181,I2181)</f>
        <v/>
      </c>
      <c r="B2181" s="7">
        <f>CONCATENATE(C2181,E2181,I2181)</f>
        <v/>
      </c>
      <c r="C2181" s="8" t="n">
        <v>900002574</v>
      </c>
      <c r="D2181" s="7">
        <f>IFERROR(VLOOKUP(C2181,TRAOPE!$G:$H,2,0),"")</f>
        <v/>
      </c>
      <c r="E2181" s="8" t="inlineStr">
        <is>
          <t>D836</t>
        </is>
      </c>
      <c r="F2181" s="8" t="inlineStr">
        <is>
          <t>67169734</t>
        </is>
      </c>
      <c r="G2181" s="8">
        <f>IFERROR(VLOOKUP(A2181,Flete!$A:$E,5,0),"")</f>
        <v/>
      </c>
      <c r="H2181" s="7">
        <f>IFERROR(VLOOKUP(F2181,TRAOPE!$AA:$AB,2,0),"")</f>
        <v/>
      </c>
      <c r="I2181" s="7" t="n">
        <v>10000287</v>
      </c>
      <c r="J2181" s="7">
        <f>IFERROR(VLOOKUP(I2181,Materiales!$A:$H,8,0),"")</f>
        <v/>
      </c>
      <c r="K2181" s="9">
        <f>IFERROR(VLOOKUP(I2181,Materiales!$A:$G,7,0),"")</f>
        <v/>
      </c>
      <c r="L2181" s="8" t="inlineStr">
        <is>
          <t>20240619</t>
        </is>
      </c>
      <c r="M2181" s="8" t="inlineStr">
        <is>
          <t>20251031</t>
        </is>
      </c>
      <c r="N2181" s="10" t="n">
        <v>565</v>
      </c>
      <c r="O2181" s="10">
        <f>IFERROR(VLOOKUP(A2181,Flete!$A:$J,10,0),"")</f>
        <v/>
      </c>
      <c r="P2181" s="8" t="inlineStr">
        <is>
          <t>M3</t>
        </is>
      </c>
      <c r="Q2181" s="10">
        <f>IFERROR(IFERROR(VLOOKUP(A2181,TRAOPE!$A:$U,21,0),VLOOKUP(B2181,TRAOPE!$A:$U,21,0)),"")</f>
        <v/>
      </c>
      <c r="R2181" s="8">
        <f>IFERROR(IFERROR(VLOOKUP(A2181,TRAOPE!$A:$W,23,0),VLOOKUP(B2181,TRAOPE!$A:$W,23,0)),"")</f>
        <v/>
      </c>
      <c r="S2181" s="10">
        <f>IF(AND(P2181="TN",R2181="TN"),N2181+N(O2181),IF(G2181&amp;""="1",N(K2181)*N2181,(N2181+N(O2181))*N(K2181)))</f>
        <v/>
      </c>
      <c r="T2181" s="10">
        <f>IF(Q2181="","",Q2181-S2181)</f>
        <v/>
      </c>
    </row>
    <row r="2182">
      <c r="A2182" s="7">
        <f>CONCATENATE(C2182,E2182,F2182,I2182)</f>
        <v/>
      </c>
      <c r="B2182" s="7">
        <f>CONCATENATE(C2182,E2182,I2182)</f>
        <v/>
      </c>
      <c r="C2182" s="8" t="n">
        <v>900002574</v>
      </c>
      <c r="D2182" s="7">
        <f>IFERROR(VLOOKUP(C2182,TRAOPE!$G:$H,2,0),"")</f>
        <v/>
      </c>
      <c r="E2182" s="8" t="inlineStr">
        <is>
          <t>D836</t>
        </is>
      </c>
      <c r="F2182" s="8" t="inlineStr">
        <is>
          <t>67198167</t>
        </is>
      </c>
      <c r="G2182" s="8">
        <f>IFERROR(VLOOKUP(A2182,Flete!$A:$E,5,0),"")</f>
        <v/>
      </c>
      <c r="H2182" s="7">
        <f>IFERROR(VLOOKUP(F2182,TRAOPE!$AA:$AB,2,0),"")</f>
        <v/>
      </c>
      <c r="I2182" s="7" t="n">
        <v>10000133</v>
      </c>
      <c r="J2182" s="7">
        <f>IFERROR(VLOOKUP(I2182,Materiales!$A:$H,8,0),"")</f>
        <v/>
      </c>
      <c r="K2182" s="9">
        <f>IFERROR(VLOOKUP(I2182,Materiales!$A:$G,7,0),"")</f>
        <v/>
      </c>
      <c r="L2182" s="8" t="inlineStr">
        <is>
          <t>20240619</t>
        </is>
      </c>
      <c r="M2182" s="8" t="inlineStr">
        <is>
          <t>20251031</t>
        </is>
      </c>
      <c r="N2182" s="10" t="n">
        <v>715</v>
      </c>
      <c r="O2182" s="10">
        <f>IFERROR(VLOOKUP(A2182,Flete!$A:$J,10,0),"")</f>
        <v/>
      </c>
      <c r="P2182" s="8" t="inlineStr">
        <is>
          <t>M3</t>
        </is>
      </c>
      <c r="Q2182" s="10">
        <f>IFERROR(IFERROR(VLOOKUP(A2182,TRAOPE!$A:$U,21,0),VLOOKUP(B2182,TRAOPE!$A:$U,21,0)),"")</f>
        <v/>
      </c>
      <c r="R2182" s="8">
        <f>IFERROR(IFERROR(VLOOKUP(A2182,TRAOPE!$A:$W,23,0),VLOOKUP(B2182,TRAOPE!$A:$W,23,0)),"")</f>
        <v/>
      </c>
      <c r="S2182" s="10">
        <f>IF(AND(P2182="TN",R2182="TN"),N2182+N(O2182),IF(G2182&amp;""="1",N(K2182)*N2182,(N2182+N(O2182))*N(K2182)))</f>
        <v/>
      </c>
      <c r="T2182" s="10">
        <f>IF(Q2182="","",Q2182-S2182)</f>
        <v/>
      </c>
    </row>
    <row r="2183">
      <c r="A2183" s="7">
        <f>CONCATENATE(C2183,E2183,F2183,I2183)</f>
        <v/>
      </c>
      <c r="B2183" s="7">
        <f>CONCATENATE(C2183,E2183,I2183)</f>
        <v/>
      </c>
      <c r="C2183" s="8" t="n">
        <v>900002574</v>
      </c>
      <c r="D2183" s="7">
        <f>IFERROR(VLOOKUP(C2183,TRAOPE!$G:$H,2,0),"")</f>
        <v/>
      </c>
      <c r="E2183" s="8" t="inlineStr">
        <is>
          <t>D836</t>
        </is>
      </c>
      <c r="F2183" s="8" t="inlineStr">
        <is>
          <t>67198167</t>
        </is>
      </c>
      <c r="G2183" s="8">
        <f>IFERROR(VLOOKUP(A2183,Flete!$A:$E,5,0),"")</f>
        <v/>
      </c>
      <c r="H2183" s="7">
        <f>IFERROR(VLOOKUP(F2183,TRAOPE!$AA:$AB,2,0),"")</f>
        <v/>
      </c>
      <c r="I2183" s="7" t="n">
        <v>10058345</v>
      </c>
      <c r="J2183" s="7">
        <f>IFERROR(VLOOKUP(I2183,Materiales!$A:$H,8,0),"")</f>
        <v/>
      </c>
      <c r="K2183" s="9">
        <f>IFERROR(VLOOKUP(I2183,Materiales!$A:$G,7,0),"")</f>
        <v/>
      </c>
      <c r="L2183" s="8" t="inlineStr">
        <is>
          <t>20240619</t>
        </is>
      </c>
      <c r="M2183" s="8" t="inlineStr">
        <is>
          <t>20251031</t>
        </is>
      </c>
      <c r="N2183" s="10" t="n">
        <v>625</v>
      </c>
      <c r="O2183" s="10">
        <f>IFERROR(VLOOKUP(A2183,Flete!$A:$J,10,0),"")</f>
        <v/>
      </c>
      <c r="P2183" s="8" t="inlineStr">
        <is>
          <t>M3</t>
        </is>
      </c>
      <c r="Q2183" s="10">
        <f>IFERROR(IFERROR(VLOOKUP(A2183,TRAOPE!$A:$U,21,0),VLOOKUP(B2183,TRAOPE!$A:$U,21,0)),"")</f>
        <v/>
      </c>
      <c r="R2183" s="8">
        <f>IFERROR(IFERROR(VLOOKUP(A2183,TRAOPE!$A:$W,23,0),VLOOKUP(B2183,TRAOPE!$A:$W,23,0)),"")</f>
        <v/>
      </c>
      <c r="S2183" s="10">
        <f>IF(AND(P2183="TN",R2183="TN"),N2183+N(O2183),IF(G2183&amp;""="1",N(K2183)*N2183,(N2183+N(O2183))*N(K2183)))</f>
        <v/>
      </c>
      <c r="T2183" s="10">
        <f>IF(Q2183="","",Q2183-S2183)</f>
        <v/>
      </c>
    </row>
    <row r="2184">
      <c r="A2184" s="7">
        <f>CONCATENATE(C2184,E2184,F2184,I2184)</f>
        <v/>
      </c>
      <c r="B2184" s="7">
        <f>CONCATENATE(C2184,E2184,I2184)</f>
        <v/>
      </c>
      <c r="C2184" s="8" t="n">
        <v>900002574</v>
      </c>
      <c r="D2184" s="7">
        <f>IFERROR(VLOOKUP(C2184,TRAOPE!$G:$H,2,0),"")</f>
        <v/>
      </c>
      <c r="E2184" s="8" t="inlineStr">
        <is>
          <t>D836</t>
        </is>
      </c>
      <c r="F2184" s="8" t="inlineStr">
        <is>
          <t>67208638</t>
        </is>
      </c>
      <c r="G2184" s="8">
        <f>IFERROR(VLOOKUP(A2184,Flete!$A:$E,5,0),"")</f>
        <v/>
      </c>
      <c r="H2184" s="7">
        <f>IFERROR(VLOOKUP(F2184,TRAOPE!$AA:$AB,2,0),"")</f>
        <v/>
      </c>
      <c r="I2184" s="7" t="n">
        <v>10000160</v>
      </c>
      <c r="J2184" s="7">
        <f>IFERROR(VLOOKUP(I2184,Materiales!$A:$H,8,0),"")</f>
        <v/>
      </c>
      <c r="K2184" s="9">
        <f>IFERROR(VLOOKUP(I2184,Materiales!$A:$G,7,0),"")</f>
        <v/>
      </c>
      <c r="L2184" s="8" t="inlineStr">
        <is>
          <t>20240619</t>
        </is>
      </c>
      <c r="M2184" s="8" t="inlineStr">
        <is>
          <t>20251031</t>
        </is>
      </c>
      <c r="N2184" s="10" t="n">
        <v>585</v>
      </c>
      <c r="O2184" s="10">
        <f>IFERROR(VLOOKUP(A2184,Flete!$A:$J,10,0),"")</f>
        <v/>
      </c>
      <c r="P2184" s="8" t="inlineStr">
        <is>
          <t>M3</t>
        </is>
      </c>
      <c r="Q2184" s="10">
        <f>IFERROR(IFERROR(VLOOKUP(A2184,TRAOPE!$A:$U,21,0),VLOOKUP(B2184,TRAOPE!$A:$U,21,0)),"")</f>
        <v/>
      </c>
      <c r="R2184" s="8">
        <f>IFERROR(IFERROR(VLOOKUP(A2184,TRAOPE!$A:$W,23,0),VLOOKUP(B2184,TRAOPE!$A:$W,23,0)),"")</f>
        <v/>
      </c>
      <c r="S2184" s="10">
        <f>IF(AND(P2184="TN",R2184="TN"),N2184+N(O2184),IF(G2184&amp;""="1",N(K2184)*N2184,(N2184+N(O2184))*N(K2184)))</f>
        <v/>
      </c>
      <c r="T2184" s="10">
        <f>IF(Q2184="","",Q2184-S2184)</f>
        <v/>
      </c>
    </row>
    <row r="2185">
      <c r="A2185" s="7">
        <f>CONCATENATE(C2185,E2185,F2185,I2185)</f>
        <v/>
      </c>
      <c r="B2185" s="7">
        <f>CONCATENATE(C2185,E2185,I2185)</f>
        <v/>
      </c>
      <c r="C2185" s="8" t="n">
        <v>900002574</v>
      </c>
      <c r="D2185" s="7">
        <f>IFERROR(VLOOKUP(C2185,TRAOPE!$G:$H,2,0),"")</f>
        <v/>
      </c>
      <c r="E2185" s="8" t="inlineStr">
        <is>
          <t>D836</t>
        </is>
      </c>
      <c r="F2185" s="8" t="inlineStr">
        <is>
          <t>67208638</t>
        </is>
      </c>
      <c r="G2185" s="8">
        <f>IFERROR(VLOOKUP(A2185,Flete!$A:$E,5,0),"")</f>
        <v/>
      </c>
      <c r="H2185" s="7">
        <f>IFERROR(VLOOKUP(F2185,TRAOPE!$AA:$AB,2,0),"")</f>
        <v/>
      </c>
      <c r="I2185" s="7" t="n">
        <v>10000623</v>
      </c>
      <c r="J2185" s="7">
        <f>IFERROR(VLOOKUP(I2185,Materiales!$A:$H,8,0),"")</f>
        <v/>
      </c>
      <c r="K2185" s="9">
        <f>IFERROR(VLOOKUP(I2185,Materiales!$A:$G,7,0),"")</f>
        <v/>
      </c>
      <c r="L2185" s="8" t="inlineStr">
        <is>
          <t>20240619</t>
        </is>
      </c>
      <c r="M2185" s="8" t="inlineStr">
        <is>
          <t>20251031</t>
        </is>
      </c>
      <c r="N2185" s="10" t="n">
        <v>706.6900000000001</v>
      </c>
      <c r="O2185" s="10">
        <f>IFERROR(VLOOKUP(A2185,Flete!$A:$J,10,0),"")</f>
        <v/>
      </c>
      <c r="P2185" s="8" t="inlineStr">
        <is>
          <t>M3</t>
        </is>
      </c>
      <c r="Q2185" s="10">
        <f>IFERROR(IFERROR(VLOOKUP(A2185,TRAOPE!$A:$U,21,0),VLOOKUP(B2185,TRAOPE!$A:$U,21,0)),"")</f>
        <v/>
      </c>
      <c r="R2185" s="8">
        <f>IFERROR(IFERROR(VLOOKUP(A2185,TRAOPE!$A:$W,23,0),VLOOKUP(B2185,TRAOPE!$A:$W,23,0)),"")</f>
        <v/>
      </c>
      <c r="S2185" s="10">
        <f>IF(AND(P2185="TN",R2185="TN"),N2185+N(O2185),IF(G2185&amp;""="1",N(K2185)*N2185,(N2185+N(O2185))*N(K2185)))</f>
        <v/>
      </c>
      <c r="T2185" s="10">
        <f>IF(Q2185="","",Q2185-S2185)</f>
        <v/>
      </c>
    </row>
    <row r="2186">
      <c r="A2186" s="7">
        <f>CONCATENATE(C2186,E2186,F2186,I2186)</f>
        <v/>
      </c>
      <c r="B2186" s="7">
        <f>CONCATENATE(C2186,E2186,I2186)</f>
        <v/>
      </c>
      <c r="C2186" s="8" t="n">
        <v>900002574</v>
      </c>
      <c r="D2186" s="7">
        <f>IFERROR(VLOOKUP(C2186,TRAOPE!$G:$H,2,0),"")</f>
        <v/>
      </c>
      <c r="E2186" s="8" t="inlineStr">
        <is>
          <t>D836</t>
        </is>
      </c>
      <c r="F2186" s="8" t="inlineStr">
        <is>
          <t>67208638</t>
        </is>
      </c>
      <c r="G2186" s="8">
        <f>IFERROR(VLOOKUP(A2186,Flete!$A:$E,5,0),"")</f>
        <v/>
      </c>
      <c r="H2186" s="7">
        <f>IFERROR(VLOOKUP(F2186,TRAOPE!$AA:$AB,2,0),"")</f>
        <v/>
      </c>
      <c r="I2186" s="7" t="n">
        <v>10000649</v>
      </c>
      <c r="J2186" s="7">
        <f>IFERROR(VLOOKUP(I2186,Materiales!$A:$H,8,0),"")</f>
        <v/>
      </c>
      <c r="K2186" s="9">
        <f>IFERROR(VLOOKUP(I2186,Materiales!$A:$G,7,0),"")</f>
        <v/>
      </c>
      <c r="L2186" s="8" t="inlineStr">
        <is>
          <t>20240619</t>
        </is>
      </c>
      <c r="M2186" s="8" t="inlineStr">
        <is>
          <t>20251031</t>
        </is>
      </c>
      <c r="N2186" s="10" t="n">
        <v>585</v>
      </c>
      <c r="O2186" s="10">
        <f>IFERROR(VLOOKUP(A2186,Flete!$A:$J,10,0),"")</f>
        <v/>
      </c>
      <c r="P2186" s="8" t="inlineStr">
        <is>
          <t>M3</t>
        </is>
      </c>
      <c r="Q2186" s="10">
        <f>IFERROR(IFERROR(VLOOKUP(A2186,TRAOPE!$A:$U,21,0),VLOOKUP(B2186,TRAOPE!$A:$U,21,0)),"")</f>
        <v/>
      </c>
      <c r="R2186" s="8">
        <f>IFERROR(IFERROR(VLOOKUP(A2186,TRAOPE!$A:$W,23,0),VLOOKUP(B2186,TRAOPE!$A:$W,23,0)),"")</f>
        <v/>
      </c>
      <c r="S2186" s="10">
        <f>IF(AND(P2186="TN",R2186="TN"),N2186+N(O2186),IF(G2186&amp;""="1",N(K2186)*N2186,(N2186+N(O2186))*N(K2186)))</f>
        <v/>
      </c>
      <c r="T2186" s="10">
        <f>IF(Q2186="","",Q2186-S2186)</f>
        <v/>
      </c>
    </row>
    <row r="2187">
      <c r="A2187" s="7">
        <f>CONCATENATE(C2187,E2187,F2187,I2187)</f>
        <v/>
      </c>
      <c r="B2187" s="7">
        <f>CONCATENATE(C2187,E2187,I2187)</f>
        <v/>
      </c>
      <c r="C2187" s="8" t="n">
        <v>900002574</v>
      </c>
      <c r="D2187" s="7">
        <f>IFERROR(VLOOKUP(C2187,TRAOPE!$G:$H,2,0),"")</f>
        <v/>
      </c>
      <c r="E2187" s="8" t="inlineStr">
        <is>
          <t>D836</t>
        </is>
      </c>
      <c r="F2187" s="8" t="inlineStr">
        <is>
          <t>67249416</t>
        </is>
      </c>
      <c r="G2187" s="8">
        <f>IFERROR(VLOOKUP(A2187,Flete!$A:$E,5,0),"")</f>
        <v/>
      </c>
      <c r="H2187" s="7">
        <f>IFERROR(VLOOKUP(F2187,TRAOPE!$AA:$AB,2,0),"")</f>
        <v/>
      </c>
      <c r="I2187" s="7" t="n">
        <v>10000133</v>
      </c>
      <c r="J2187" s="7">
        <f>IFERROR(VLOOKUP(I2187,Materiales!$A:$H,8,0),"")</f>
        <v/>
      </c>
      <c r="K2187" s="9">
        <f>IFERROR(VLOOKUP(I2187,Materiales!$A:$G,7,0),"")</f>
        <v/>
      </c>
      <c r="L2187" s="8" t="inlineStr">
        <is>
          <t>20240619</t>
        </is>
      </c>
      <c r="M2187" s="8" t="inlineStr">
        <is>
          <t>20251031</t>
        </is>
      </c>
      <c r="N2187" s="10" t="n">
        <v>155</v>
      </c>
      <c r="O2187" s="10">
        <f>IFERROR(VLOOKUP(A2187,Flete!$A:$J,10,0),"")</f>
        <v/>
      </c>
      <c r="P2187" s="8" t="inlineStr">
        <is>
          <t>TN</t>
        </is>
      </c>
      <c r="Q2187" s="10">
        <f>IFERROR(IFERROR(VLOOKUP(A2187,TRAOPE!$A:$U,21,0),VLOOKUP(B2187,TRAOPE!$A:$U,21,0)),"")</f>
        <v/>
      </c>
      <c r="R2187" s="8">
        <f>IFERROR(IFERROR(VLOOKUP(A2187,TRAOPE!$A:$W,23,0),VLOOKUP(B2187,TRAOPE!$A:$W,23,0)),"")</f>
        <v/>
      </c>
      <c r="S2187" s="10">
        <f>IF(AND(P2187="TN",R2187="TN"),N2187+N(O2187),IF(G2187&amp;""="1",N(K2187)*N2187,(N2187+N(O2187))*N(K2187)))</f>
        <v/>
      </c>
      <c r="T2187" s="10">
        <f>IF(Q2187="","",Q2187-S2187)</f>
        <v/>
      </c>
    </row>
    <row r="2188">
      <c r="A2188" s="7">
        <f>CONCATENATE(C2188,E2188,F2188,I2188)</f>
        <v/>
      </c>
      <c r="B2188" s="7">
        <f>CONCATENATE(C2188,E2188,I2188)</f>
        <v/>
      </c>
      <c r="C2188" s="8" t="n">
        <v>900002574</v>
      </c>
      <c r="D2188" s="7">
        <f>IFERROR(VLOOKUP(C2188,TRAOPE!$G:$H,2,0),"")</f>
        <v/>
      </c>
      <c r="E2188" s="8" t="inlineStr">
        <is>
          <t>D836</t>
        </is>
      </c>
      <c r="F2188" s="8" t="inlineStr">
        <is>
          <t>67249416</t>
        </is>
      </c>
      <c r="G2188" s="8">
        <f>IFERROR(VLOOKUP(A2188,Flete!$A:$E,5,0),"")</f>
        <v/>
      </c>
      <c r="H2188" s="7">
        <f>IFERROR(VLOOKUP(F2188,TRAOPE!$AA:$AB,2,0),"")</f>
        <v/>
      </c>
      <c r="I2188" s="7" t="n">
        <v>10000623</v>
      </c>
      <c r="J2188" s="7">
        <f>IFERROR(VLOOKUP(I2188,Materiales!$A:$H,8,0),"")</f>
        <v/>
      </c>
      <c r="K2188" s="9">
        <f>IFERROR(VLOOKUP(I2188,Materiales!$A:$G,7,0),"")</f>
        <v/>
      </c>
      <c r="L2188" s="8" t="inlineStr">
        <is>
          <t>20240619</t>
        </is>
      </c>
      <c r="M2188" s="8" t="inlineStr">
        <is>
          <t>20251031</t>
        </is>
      </c>
      <c r="N2188" s="10" t="n">
        <v>165</v>
      </c>
      <c r="O2188" s="10">
        <f>IFERROR(VLOOKUP(A2188,Flete!$A:$J,10,0),"")</f>
        <v/>
      </c>
      <c r="P2188" s="8" t="inlineStr">
        <is>
          <t>TN</t>
        </is>
      </c>
      <c r="Q2188" s="10">
        <f>IFERROR(IFERROR(VLOOKUP(A2188,TRAOPE!$A:$U,21,0),VLOOKUP(B2188,TRAOPE!$A:$U,21,0)),"")</f>
        <v/>
      </c>
      <c r="R2188" s="8">
        <f>IFERROR(IFERROR(VLOOKUP(A2188,TRAOPE!$A:$W,23,0),VLOOKUP(B2188,TRAOPE!$A:$W,23,0)),"")</f>
        <v/>
      </c>
      <c r="S2188" s="10">
        <f>IF(AND(P2188="TN",R2188="TN"),N2188+N(O2188),IF(G2188&amp;""="1",N(K2188)*N2188,(N2188+N(O2188))*N(K2188)))</f>
        <v/>
      </c>
      <c r="T2188" s="10">
        <f>IF(Q2188="","",Q2188-S2188)</f>
        <v/>
      </c>
    </row>
    <row r="2189">
      <c r="A2189" s="7">
        <f>CONCATENATE(C2189,E2189,F2189,I2189)</f>
        <v/>
      </c>
      <c r="B2189" s="7">
        <f>CONCATENATE(C2189,E2189,I2189)</f>
        <v/>
      </c>
      <c r="C2189" s="8" t="n">
        <v>900002574</v>
      </c>
      <c r="D2189" s="7">
        <f>IFERROR(VLOOKUP(C2189,TRAOPE!$G:$H,2,0),"")</f>
        <v/>
      </c>
      <c r="E2189" s="8" t="inlineStr">
        <is>
          <t>D836</t>
        </is>
      </c>
      <c r="F2189" s="8" t="inlineStr">
        <is>
          <t>67249416</t>
        </is>
      </c>
      <c r="G2189" s="8">
        <f>IFERROR(VLOOKUP(A2189,Flete!$A:$E,5,0),"")</f>
        <v/>
      </c>
      <c r="H2189" s="7">
        <f>IFERROR(VLOOKUP(F2189,TRAOPE!$AA:$AB,2,0),"")</f>
        <v/>
      </c>
      <c r="I2189" s="7" t="n">
        <v>10000624</v>
      </c>
      <c r="J2189" s="7">
        <f>IFERROR(VLOOKUP(I2189,Materiales!$A:$H,8,0),"")</f>
        <v/>
      </c>
      <c r="K2189" s="9">
        <f>IFERROR(VLOOKUP(I2189,Materiales!$A:$G,7,0),"")</f>
        <v/>
      </c>
      <c r="L2189" s="8" t="inlineStr">
        <is>
          <t>20240619</t>
        </is>
      </c>
      <c r="M2189" s="8" t="inlineStr">
        <is>
          <t>20251031</t>
        </is>
      </c>
      <c r="N2189" s="10" t="n">
        <v>168</v>
      </c>
      <c r="O2189" s="10">
        <f>IFERROR(VLOOKUP(A2189,Flete!$A:$J,10,0),"")</f>
        <v/>
      </c>
      <c r="P2189" s="8" t="inlineStr">
        <is>
          <t>TN</t>
        </is>
      </c>
      <c r="Q2189" s="10">
        <f>IFERROR(IFERROR(VLOOKUP(A2189,TRAOPE!$A:$U,21,0),VLOOKUP(B2189,TRAOPE!$A:$U,21,0)),"")</f>
        <v/>
      </c>
      <c r="R2189" s="8">
        <f>IFERROR(IFERROR(VLOOKUP(A2189,TRAOPE!$A:$W,23,0),VLOOKUP(B2189,TRAOPE!$A:$W,23,0)),"")</f>
        <v/>
      </c>
      <c r="S2189" s="10">
        <f>IF(AND(P2189="TN",R2189="TN"),N2189+N(O2189),IF(G2189&amp;""="1",N(K2189)*N2189,(N2189+N(O2189))*N(K2189)))</f>
        <v/>
      </c>
      <c r="T2189" s="10">
        <f>IF(Q2189="","",Q2189-S2189)</f>
        <v/>
      </c>
    </row>
    <row r="2190">
      <c r="A2190" s="7">
        <f>CONCATENATE(C2190,E2190,F2190,I2190)</f>
        <v/>
      </c>
      <c r="B2190" s="7">
        <f>CONCATENATE(C2190,E2190,I2190)</f>
        <v/>
      </c>
      <c r="C2190" s="8" t="n">
        <v>900002574</v>
      </c>
      <c r="D2190" s="7">
        <f>IFERROR(VLOOKUP(C2190,TRAOPE!$G:$H,2,0),"")</f>
        <v/>
      </c>
      <c r="E2190" s="8" t="inlineStr">
        <is>
          <t>D836</t>
        </is>
      </c>
      <c r="F2190" s="8" t="inlineStr">
        <is>
          <t>67249416</t>
        </is>
      </c>
      <c r="G2190" s="8">
        <f>IFERROR(VLOOKUP(A2190,Flete!$A:$E,5,0),"")</f>
        <v/>
      </c>
      <c r="H2190" s="7">
        <f>IFERROR(VLOOKUP(F2190,TRAOPE!$AA:$AB,2,0),"")</f>
        <v/>
      </c>
      <c r="I2190" s="7" t="n">
        <v>10058345</v>
      </c>
      <c r="J2190" s="7">
        <f>IFERROR(VLOOKUP(I2190,Materiales!$A:$H,8,0),"")</f>
        <v/>
      </c>
      <c r="K2190" s="9">
        <f>IFERROR(VLOOKUP(I2190,Materiales!$A:$G,7,0),"")</f>
        <v/>
      </c>
      <c r="L2190" s="8" t="inlineStr">
        <is>
          <t>20240619</t>
        </is>
      </c>
      <c r="M2190" s="8" t="inlineStr">
        <is>
          <t>20251031</t>
        </is>
      </c>
      <c r="N2190" s="10" t="n">
        <v>100</v>
      </c>
      <c r="O2190" s="10">
        <f>IFERROR(VLOOKUP(A2190,Flete!$A:$J,10,0),"")</f>
        <v/>
      </c>
      <c r="P2190" s="8" t="inlineStr">
        <is>
          <t>TN</t>
        </is>
      </c>
      <c r="Q2190" s="10">
        <f>IFERROR(IFERROR(VLOOKUP(A2190,TRAOPE!$A:$U,21,0),VLOOKUP(B2190,TRAOPE!$A:$U,21,0)),"")</f>
        <v/>
      </c>
      <c r="R2190" s="8">
        <f>IFERROR(IFERROR(VLOOKUP(A2190,TRAOPE!$A:$W,23,0),VLOOKUP(B2190,TRAOPE!$A:$W,23,0)),"")</f>
        <v/>
      </c>
      <c r="S2190" s="10">
        <f>IF(AND(P2190="TN",R2190="TN"),N2190+N(O2190),IF(G2190&amp;""="1",N(K2190)*N2190,(N2190+N(O2190))*N(K2190)))</f>
        <v/>
      </c>
      <c r="T2190" s="10">
        <f>IF(Q2190="","",Q2190-S2190)</f>
        <v/>
      </c>
    </row>
    <row r="2191">
      <c r="A2191" s="7">
        <f>CONCATENATE(C2191,E2191,F2191,I2191)</f>
        <v/>
      </c>
      <c r="B2191" s="7">
        <f>CONCATENATE(C2191,E2191,I2191)</f>
        <v/>
      </c>
      <c r="C2191" s="8" t="n">
        <v>900003496</v>
      </c>
      <c r="D2191" s="7">
        <f>IFERROR(VLOOKUP(C2191,TRAOPE!$G:$H,2,0),"")</f>
        <v/>
      </c>
      <c r="E2191" s="8" t="inlineStr">
        <is>
          <t>D836</t>
        </is>
      </c>
      <c r="F2191" s="8" t="inlineStr">
        <is>
          <t>67221674</t>
        </is>
      </c>
      <c r="G2191" s="8">
        <f>IFERROR(VLOOKUP(A2191,Flete!$A:$E,5,0),"")</f>
        <v/>
      </c>
      <c r="H2191" s="7">
        <f>IFERROR(VLOOKUP(F2191,TRAOPE!$AA:$AB,2,0),"")</f>
        <v/>
      </c>
      <c r="I2191" s="7" t="n">
        <v>10000635</v>
      </c>
      <c r="J2191" s="7">
        <f>IFERROR(VLOOKUP(I2191,Materiales!$A:$H,8,0),"")</f>
        <v/>
      </c>
      <c r="K2191" s="9">
        <f>IFERROR(VLOOKUP(I2191,Materiales!$A:$G,7,0),"")</f>
        <v/>
      </c>
      <c r="L2191" s="8" t="inlineStr">
        <is>
          <t>20240619</t>
        </is>
      </c>
      <c r="M2191" s="8" t="inlineStr">
        <is>
          <t>20251031</t>
        </is>
      </c>
      <c r="N2191" s="10" t="n">
        <v>600</v>
      </c>
      <c r="O2191" s="10">
        <f>IFERROR(VLOOKUP(A2191,Flete!$A:$J,10,0),"")</f>
        <v/>
      </c>
      <c r="P2191" s="8" t="inlineStr">
        <is>
          <t>TN</t>
        </is>
      </c>
      <c r="Q2191" s="10">
        <f>IFERROR(IFERROR(VLOOKUP(A2191,TRAOPE!$A:$U,21,0),VLOOKUP(B2191,TRAOPE!$A:$U,21,0)),"")</f>
        <v/>
      </c>
      <c r="R2191" s="8">
        <f>IFERROR(IFERROR(VLOOKUP(A2191,TRAOPE!$A:$W,23,0),VLOOKUP(B2191,TRAOPE!$A:$W,23,0)),"")</f>
        <v/>
      </c>
      <c r="S2191" s="10">
        <f>IF(AND(P2191="TN",R2191="TN"),N2191+N(O2191),IF(G2191&amp;""="1",N(K2191)*N2191,(N2191+N(O2191))*N(K2191)))</f>
        <v/>
      </c>
      <c r="T2191" s="10">
        <f>IF(Q2191="","",Q2191-S2191)</f>
        <v/>
      </c>
    </row>
    <row r="2192">
      <c r="A2192" s="7">
        <f>CONCATENATE(C2192,E2192,F2192,I2192)</f>
        <v/>
      </c>
      <c r="B2192" s="7">
        <f>CONCATENATE(C2192,E2192,I2192)</f>
        <v/>
      </c>
      <c r="C2192" s="8" t="n">
        <v>900003496</v>
      </c>
      <c r="D2192" s="7">
        <f>IFERROR(VLOOKUP(C2192,TRAOPE!$G:$H,2,0),"")</f>
        <v/>
      </c>
      <c r="E2192" s="8" t="inlineStr">
        <is>
          <t>D836</t>
        </is>
      </c>
      <c r="F2192" s="8" t="inlineStr">
        <is>
          <t>67221674</t>
        </is>
      </c>
      <c r="G2192" s="8">
        <f>IFERROR(VLOOKUP(A2192,Flete!$A:$E,5,0),"")</f>
        <v/>
      </c>
      <c r="H2192" s="7">
        <f>IFERROR(VLOOKUP(F2192,TRAOPE!$AA:$AB,2,0),"")</f>
        <v/>
      </c>
      <c r="I2192" s="7" t="n">
        <v>10000655</v>
      </c>
      <c r="J2192" s="7">
        <f>IFERROR(VLOOKUP(I2192,Materiales!$A:$H,8,0),"")</f>
        <v/>
      </c>
      <c r="K2192" s="9">
        <f>IFERROR(VLOOKUP(I2192,Materiales!$A:$G,7,0),"")</f>
        <v/>
      </c>
      <c r="L2192" s="8" t="inlineStr">
        <is>
          <t>20240619</t>
        </is>
      </c>
      <c r="M2192" s="8" t="inlineStr">
        <is>
          <t>20251031</t>
        </is>
      </c>
      <c r="N2192" s="10" t="n">
        <v>600</v>
      </c>
      <c r="O2192" s="10">
        <f>IFERROR(VLOOKUP(A2192,Flete!$A:$J,10,0),"")</f>
        <v/>
      </c>
      <c r="P2192" s="8" t="inlineStr">
        <is>
          <t>TN</t>
        </is>
      </c>
      <c r="Q2192" s="10">
        <f>IFERROR(IFERROR(VLOOKUP(A2192,TRAOPE!$A:$U,21,0),VLOOKUP(B2192,TRAOPE!$A:$U,21,0)),"")</f>
        <v/>
      </c>
      <c r="R2192" s="8">
        <f>IFERROR(IFERROR(VLOOKUP(A2192,TRAOPE!$A:$W,23,0),VLOOKUP(B2192,TRAOPE!$A:$W,23,0)),"")</f>
        <v/>
      </c>
      <c r="S2192" s="10">
        <f>IF(AND(P2192="TN",R2192="TN"),N2192+N(O2192),IF(G2192&amp;""="1",N(K2192)*N2192,(N2192+N(O2192))*N(K2192)))</f>
        <v/>
      </c>
      <c r="T2192" s="10">
        <f>IF(Q2192="","",Q2192-S2192)</f>
        <v/>
      </c>
    </row>
    <row r="2193">
      <c r="A2193" s="7">
        <f>CONCATENATE(C2193,E2193,F2193,I2193)</f>
        <v/>
      </c>
      <c r="B2193" s="7">
        <f>CONCATENATE(C2193,E2193,I2193)</f>
        <v/>
      </c>
      <c r="C2193" s="8" t="n">
        <v>900003588</v>
      </c>
      <c r="D2193" s="7">
        <f>IFERROR(VLOOKUP(C2193,TRAOPE!$G:$H,2,0),"")</f>
        <v/>
      </c>
      <c r="E2193" s="8" t="inlineStr">
        <is>
          <t>D836</t>
        </is>
      </c>
      <c r="F2193" s="8" t="inlineStr">
        <is>
          <t>66414377</t>
        </is>
      </c>
      <c r="G2193" s="8">
        <f>IFERROR(VLOOKUP(A2193,Flete!$A:$E,5,0),"")</f>
        <v/>
      </c>
      <c r="H2193" s="7">
        <f>IFERROR(VLOOKUP(F2193,TRAOPE!$AA:$AB,2,0),"")</f>
        <v/>
      </c>
      <c r="I2193" s="7" t="n">
        <v>10000625</v>
      </c>
      <c r="J2193" s="7">
        <f>IFERROR(VLOOKUP(I2193,Materiales!$A:$H,8,0),"")</f>
        <v/>
      </c>
      <c r="K2193" s="9">
        <f>IFERROR(VLOOKUP(I2193,Materiales!$A:$G,7,0),"")</f>
        <v/>
      </c>
      <c r="L2193" s="8" t="inlineStr">
        <is>
          <t>20240619</t>
        </is>
      </c>
      <c r="M2193" s="8" t="inlineStr">
        <is>
          <t>20251031</t>
        </is>
      </c>
      <c r="N2193" s="10" t="n">
        <v>60</v>
      </c>
      <c r="O2193" s="10">
        <f>IFERROR(VLOOKUP(A2193,Flete!$A:$J,10,0),"")</f>
        <v/>
      </c>
      <c r="P2193" s="8" t="inlineStr">
        <is>
          <t>TN</t>
        </is>
      </c>
      <c r="Q2193" s="10">
        <f>IFERROR(IFERROR(VLOOKUP(A2193,TRAOPE!$A:$U,21,0),VLOOKUP(B2193,TRAOPE!$A:$U,21,0)),"")</f>
        <v/>
      </c>
      <c r="R2193" s="8">
        <f>IFERROR(IFERROR(VLOOKUP(A2193,TRAOPE!$A:$W,23,0),VLOOKUP(B2193,TRAOPE!$A:$W,23,0)),"")</f>
        <v/>
      </c>
      <c r="S2193" s="10">
        <f>IF(AND(P2193="TN",R2193="TN"),N2193+N(O2193),IF(G2193&amp;""="1",N(K2193)*N2193,(N2193+N(O2193))*N(K2193)))</f>
        <v/>
      </c>
      <c r="T2193" s="10">
        <f>IF(Q2193="","",Q2193-S2193)</f>
        <v/>
      </c>
    </row>
    <row r="2194">
      <c r="A2194" s="7">
        <f>CONCATENATE(C2194,E2194,F2194,I2194)</f>
        <v/>
      </c>
      <c r="B2194" s="7">
        <f>CONCATENATE(C2194,E2194,I2194)</f>
        <v/>
      </c>
      <c r="C2194" s="8" t="n">
        <v>900003588</v>
      </c>
      <c r="D2194" s="7">
        <f>IFERROR(VLOOKUP(C2194,TRAOPE!$G:$H,2,0),"")</f>
        <v/>
      </c>
      <c r="E2194" s="8" t="inlineStr">
        <is>
          <t>D836</t>
        </is>
      </c>
      <c r="F2194" s="8" t="inlineStr">
        <is>
          <t>66414377</t>
        </is>
      </c>
      <c r="G2194" s="8">
        <f>IFERROR(VLOOKUP(A2194,Flete!$A:$E,5,0),"")</f>
        <v/>
      </c>
      <c r="H2194" s="7">
        <f>IFERROR(VLOOKUP(F2194,TRAOPE!$AA:$AB,2,0),"")</f>
        <v/>
      </c>
      <c r="I2194" s="7" t="n">
        <v>10000627</v>
      </c>
      <c r="J2194" s="7">
        <f>IFERROR(VLOOKUP(I2194,Materiales!$A:$H,8,0),"")</f>
        <v/>
      </c>
      <c r="K2194" s="9">
        <f>IFERROR(VLOOKUP(I2194,Materiales!$A:$G,7,0),"")</f>
        <v/>
      </c>
      <c r="L2194" s="8" t="inlineStr">
        <is>
          <t>20240619</t>
        </is>
      </c>
      <c r="M2194" s="8" t="inlineStr">
        <is>
          <t>20251031</t>
        </is>
      </c>
      <c r="N2194" s="10" t="n">
        <v>70</v>
      </c>
      <c r="O2194" s="10">
        <f>IFERROR(VLOOKUP(A2194,Flete!$A:$J,10,0),"")</f>
        <v/>
      </c>
      <c r="P2194" s="8" t="inlineStr">
        <is>
          <t>TN</t>
        </is>
      </c>
      <c r="Q2194" s="10">
        <f>IFERROR(IFERROR(VLOOKUP(A2194,TRAOPE!$A:$U,21,0),VLOOKUP(B2194,TRAOPE!$A:$U,21,0)),"")</f>
        <v/>
      </c>
      <c r="R2194" s="8">
        <f>IFERROR(IFERROR(VLOOKUP(A2194,TRAOPE!$A:$W,23,0),VLOOKUP(B2194,TRAOPE!$A:$W,23,0)),"")</f>
        <v/>
      </c>
      <c r="S2194" s="10">
        <f>IF(AND(P2194="TN",R2194="TN"),N2194+N(O2194),IF(G2194&amp;""="1",N(K2194)*N2194,(N2194+N(O2194))*N(K2194)))</f>
        <v/>
      </c>
      <c r="T2194" s="10">
        <f>IF(Q2194="","",Q2194-S2194)</f>
        <v/>
      </c>
    </row>
    <row r="2195">
      <c r="A2195" s="7">
        <f>CONCATENATE(C2195,E2195,F2195,I2195)</f>
        <v/>
      </c>
      <c r="B2195" s="7">
        <f>CONCATENATE(C2195,E2195,I2195)</f>
        <v/>
      </c>
      <c r="C2195" s="8" t="n">
        <v>900003588</v>
      </c>
      <c r="D2195" s="7">
        <f>IFERROR(VLOOKUP(C2195,TRAOPE!$G:$H,2,0),"")</f>
        <v/>
      </c>
      <c r="E2195" s="8" t="inlineStr">
        <is>
          <t>D836</t>
        </is>
      </c>
      <c r="F2195" s="8" t="inlineStr">
        <is>
          <t>66595909</t>
        </is>
      </c>
      <c r="G2195" s="8">
        <f>IFERROR(VLOOKUP(A2195,Flete!$A:$E,5,0),"")</f>
        <v/>
      </c>
      <c r="H2195" s="7">
        <f>IFERROR(VLOOKUP(F2195,TRAOPE!$AA:$AB,2,0),"")</f>
        <v/>
      </c>
      <c r="I2195" s="7" t="n">
        <v>10001354</v>
      </c>
      <c r="J2195" s="7">
        <f>IFERROR(VLOOKUP(I2195,Materiales!$A:$H,8,0),"")</f>
        <v/>
      </c>
      <c r="K2195" s="9">
        <f>IFERROR(VLOOKUP(I2195,Materiales!$A:$G,7,0),"")</f>
        <v/>
      </c>
      <c r="L2195" s="8" t="inlineStr">
        <is>
          <t>20240619</t>
        </is>
      </c>
      <c r="M2195" s="8" t="inlineStr">
        <is>
          <t>20251031</t>
        </is>
      </c>
      <c r="N2195" s="10" t="n">
        <v>133</v>
      </c>
      <c r="O2195" s="10">
        <f>IFERROR(VLOOKUP(A2195,Flete!$A:$J,10,0),"")</f>
        <v/>
      </c>
      <c r="P2195" s="8" t="inlineStr">
        <is>
          <t>TN</t>
        </is>
      </c>
      <c r="Q2195" s="10">
        <f>IFERROR(IFERROR(VLOOKUP(A2195,TRAOPE!$A:$U,21,0),VLOOKUP(B2195,TRAOPE!$A:$U,21,0)),"")</f>
        <v/>
      </c>
      <c r="R2195" s="8">
        <f>IFERROR(IFERROR(VLOOKUP(A2195,TRAOPE!$A:$W,23,0),VLOOKUP(B2195,TRAOPE!$A:$W,23,0)),"")</f>
        <v/>
      </c>
      <c r="S2195" s="10">
        <f>IF(AND(P2195="TN",R2195="TN"),N2195+N(O2195),IF(G2195&amp;""="1",N(K2195)*N2195,(N2195+N(O2195))*N(K2195)))</f>
        <v/>
      </c>
      <c r="T2195" s="10">
        <f>IF(Q2195="","",Q2195-S2195)</f>
        <v/>
      </c>
    </row>
    <row r="2196">
      <c r="A2196" s="7">
        <f>CONCATENATE(C2196,E2196,F2196,I2196)</f>
        <v/>
      </c>
      <c r="B2196" s="7">
        <f>CONCATENATE(C2196,E2196,I2196)</f>
        <v/>
      </c>
      <c r="C2196" s="8" t="n">
        <v>900003588</v>
      </c>
      <c r="D2196" s="7">
        <f>IFERROR(VLOOKUP(C2196,TRAOPE!$G:$H,2,0),"")</f>
        <v/>
      </c>
      <c r="E2196" s="8" t="inlineStr">
        <is>
          <t>D836</t>
        </is>
      </c>
      <c r="F2196" s="8" t="inlineStr">
        <is>
          <t>66624554</t>
        </is>
      </c>
      <c r="G2196" s="8">
        <f>IFERROR(VLOOKUP(A2196,Flete!$A:$E,5,0),"")</f>
        <v/>
      </c>
      <c r="H2196" s="7">
        <f>IFERROR(VLOOKUP(F2196,TRAOPE!$AA:$AB,2,0),"")</f>
        <v/>
      </c>
      <c r="I2196" s="7" t="n">
        <v>10000627</v>
      </c>
      <c r="J2196" s="7">
        <f>IFERROR(VLOOKUP(I2196,Materiales!$A:$H,8,0),"")</f>
        <v/>
      </c>
      <c r="K2196" s="9">
        <f>IFERROR(VLOOKUP(I2196,Materiales!$A:$G,7,0),"")</f>
        <v/>
      </c>
      <c r="L2196" s="8" t="inlineStr">
        <is>
          <t>20240619</t>
        </is>
      </c>
      <c r="M2196" s="8" t="inlineStr">
        <is>
          <t>20251031</t>
        </is>
      </c>
      <c r="N2196" s="10" t="n">
        <v>80</v>
      </c>
      <c r="O2196" s="10">
        <f>IFERROR(VLOOKUP(A2196,Flete!$A:$J,10,0),"")</f>
        <v/>
      </c>
      <c r="P2196" s="8" t="inlineStr">
        <is>
          <t>TN</t>
        </is>
      </c>
      <c r="Q2196" s="10">
        <f>IFERROR(IFERROR(VLOOKUP(A2196,TRAOPE!$A:$U,21,0),VLOOKUP(B2196,TRAOPE!$A:$U,21,0)),"")</f>
        <v/>
      </c>
      <c r="R2196" s="8">
        <f>IFERROR(IFERROR(VLOOKUP(A2196,TRAOPE!$A:$W,23,0),VLOOKUP(B2196,TRAOPE!$A:$W,23,0)),"")</f>
        <v/>
      </c>
      <c r="S2196" s="10">
        <f>IF(AND(P2196="TN",R2196="TN"),N2196+N(O2196),IF(G2196&amp;""="1",N(K2196)*N2196,(N2196+N(O2196))*N(K2196)))</f>
        <v/>
      </c>
      <c r="T2196" s="10">
        <f>IF(Q2196="","",Q2196-S2196)</f>
        <v/>
      </c>
    </row>
    <row r="2197">
      <c r="A2197" s="7">
        <f>CONCATENATE(C2197,E2197,F2197,I2197)</f>
        <v/>
      </c>
      <c r="B2197" s="7">
        <f>CONCATENATE(C2197,E2197,I2197)</f>
        <v/>
      </c>
      <c r="C2197" s="8" t="n">
        <v>900003588</v>
      </c>
      <c r="D2197" s="7">
        <f>IFERROR(VLOOKUP(C2197,TRAOPE!$G:$H,2,0),"")</f>
        <v/>
      </c>
      <c r="E2197" s="8" t="inlineStr">
        <is>
          <t>D836</t>
        </is>
      </c>
      <c r="F2197" s="8" t="inlineStr">
        <is>
          <t>66624554</t>
        </is>
      </c>
      <c r="G2197" s="8">
        <f>IFERROR(VLOOKUP(A2197,Flete!$A:$E,5,0),"")</f>
        <v/>
      </c>
      <c r="H2197" s="7">
        <f>IFERROR(VLOOKUP(F2197,TRAOPE!$AA:$AB,2,0),"")</f>
        <v/>
      </c>
      <c r="I2197" s="7" t="n">
        <v>10001354</v>
      </c>
      <c r="J2197" s="7">
        <f>IFERROR(VLOOKUP(I2197,Materiales!$A:$H,8,0),"")</f>
        <v/>
      </c>
      <c r="K2197" s="9">
        <f>IFERROR(VLOOKUP(I2197,Materiales!$A:$G,7,0),"")</f>
        <v/>
      </c>
      <c r="L2197" s="8" t="inlineStr">
        <is>
          <t>20240619</t>
        </is>
      </c>
      <c r="M2197" s="8" t="inlineStr">
        <is>
          <t>20251031</t>
        </is>
      </c>
      <c r="N2197" s="10" t="n">
        <v>127.92</v>
      </c>
      <c r="O2197" s="10">
        <f>IFERROR(VLOOKUP(A2197,Flete!$A:$J,10,0),"")</f>
        <v/>
      </c>
      <c r="P2197" s="8" t="inlineStr">
        <is>
          <t>TN</t>
        </is>
      </c>
      <c r="Q2197" s="10">
        <f>IFERROR(IFERROR(VLOOKUP(A2197,TRAOPE!$A:$U,21,0),VLOOKUP(B2197,TRAOPE!$A:$U,21,0)),"")</f>
        <v/>
      </c>
      <c r="R2197" s="8">
        <f>IFERROR(IFERROR(VLOOKUP(A2197,TRAOPE!$A:$W,23,0),VLOOKUP(B2197,TRAOPE!$A:$W,23,0)),"")</f>
        <v/>
      </c>
      <c r="S2197" s="10">
        <f>IF(AND(P2197="TN",R2197="TN"),N2197+N(O2197),IF(G2197&amp;""="1",N(K2197)*N2197,(N2197+N(O2197))*N(K2197)))</f>
        <v/>
      </c>
      <c r="T2197" s="10">
        <f>IF(Q2197="","",Q2197-S2197)</f>
        <v/>
      </c>
    </row>
    <row r="2198">
      <c r="A2198" s="7">
        <f>CONCATENATE(C2198,E2198,F2198,I2198)</f>
        <v/>
      </c>
      <c r="B2198" s="7">
        <f>CONCATENATE(C2198,E2198,I2198)</f>
        <v/>
      </c>
      <c r="C2198" s="8" t="n">
        <v>900003588</v>
      </c>
      <c r="D2198" s="7">
        <f>IFERROR(VLOOKUP(C2198,TRAOPE!$G:$H,2,0),"")</f>
        <v/>
      </c>
      <c r="E2198" s="8" t="inlineStr">
        <is>
          <t>D836</t>
        </is>
      </c>
      <c r="F2198" s="8" t="inlineStr">
        <is>
          <t>67244591</t>
        </is>
      </c>
      <c r="G2198" s="8">
        <f>IFERROR(VLOOKUP(A2198,Flete!$A:$E,5,0),"")</f>
        <v/>
      </c>
      <c r="H2198" s="7">
        <f>IFERROR(VLOOKUP(F2198,TRAOPE!$AA:$AB,2,0),"")</f>
        <v/>
      </c>
      <c r="I2198" s="7" t="n">
        <v>10001354</v>
      </c>
      <c r="J2198" s="7">
        <f>IFERROR(VLOOKUP(I2198,Materiales!$A:$H,8,0),"")</f>
        <v/>
      </c>
      <c r="K2198" s="9">
        <f>IFERROR(VLOOKUP(I2198,Materiales!$A:$G,7,0),"")</f>
        <v/>
      </c>
      <c r="L2198" s="8" t="inlineStr">
        <is>
          <t>20240619</t>
        </is>
      </c>
      <c r="M2198" s="8" t="inlineStr">
        <is>
          <t>20251031</t>
        </is>
      </c>
      <c r="N2198" s="10" t="n">
        <v>133</v>
      </c>
      <c r="O2198" s="10">
        <f>IFERROR(VLOOKUP(A2198,Flete!$A:$J,10,0),"")</f>
        <v/>
      </c>
      <c r="P2198" s="8" t="inlineStr">
        <is>
          <t>TN</t>
        </is>
      </c>
      <c r="Q2198" s="10">
        <f>IFERROR(IFERROR(VLOOKUP(A2198,TRAOPE!$A:$U,21,0),VLOOKUP(B2198,TRAOPE!$A:$U,21,0)),"")</f>
        <v/>
      </c>
      <c r="R2198" s="8">
        <f>IFERROR(IFERROR(VLOOKUP(A2198,TRAOPE!$A:$W,23,0),VLOOKUP(B2198,TRAOPE!$A:$W,23,0)),"")</f>
        <v/>
      </c>
      <c r="S2198" s="10">
        <f>IF(AND(P2198="TN",R2198="TN"),N2198+N(O2198),IF(G2198&amp;""="1",N(K2198)*N2198,(N2198+N(O2198))*N(K2198)))</f>
        <v/>
      </c>
      <c r="T2198" s="10">
        <f>IF(Q2198="","",Q2198-S2198)</f>
        <v/>
      </c>
    </row>
    <row r="2199">
      <c r="A2199" s="7">
        <f>CONCATENATE(C2199,E2199,F2199,I2199)</f>
        <v/>
      </c>
      <c r="B2199" s="7">
        <f>CONCATENATE(C2199,E2199,I2199)</f>
        <v/>
      </c>
      <c r="C2199" s="8" t="n">
        <v>900003588</v>
      </c>
      <c r="D2199" s="7">
        <f>IFERROR(VLOOKUP(C2199,TRAOPE!$G:$H,2,0),"")</f>
        <v/>
      </c>
      <c r="E2199" s="8" t="inlineStr">
        <is>
          <t>D836</t>
        </is>
      </c>
      <c r="F2199" s="8" t="inlineStr">
        <is>
          <t>67247435</t>
        </is>
      </c>
      <c r="G2199" s="8">
        <f>IFERROR(VLOOKUP(A2199,Flete!$A:$E,5,0),"")</f>
        <v/>
      </c>
      <c r="H2199" s="7">
        <f>IFERROR(VLOOKUP(F2199,TRAOPE!$AA:$AB,2,0),"")</f>
        <v/>
      </c>
      <c r="I2199" s="7" t="n">
        <v>10000625</v>
      </c>
      <c r="J2199" s="7">
        <f>IFERROR(VLOOKUP(I2199,Materiales!$A:$H,8,0),"")</f>
        <v/>
      </c>
      <c r="K2199" s="9">
        <f>IFERROR(VLOOKUP(I2199,Materiales!$A:$G,7,0),"")</f>
        <v/>
      </c>
      <c r="L2199" s="8" t="inlineStr">
        <is>
          <t>20240619</t>
        </is>
      </c>
      <c r="M2199" s="8" t="inlineStr">
        <is>
          <t>20251031</t>
        </is>
      </c>
      <c r="N2199" s="10" t="n">
        <v>55</v>
      </c>
      <c r="O2199" s="10">
        <f>IFERROR(VLOOKUP(A2199,Flete!$A:$J,10,0),"")</f>
        <v/>
      </c>
      <c r="P2199" s="8" t="inlineStr">
        <is>
          <t>TN</t>
        </is>
      </c>
      <c r="Q2199" s="10">
        <f>IFERROR(IFERROR(VLOOKUP(A2199,TRAOPE!$A:$U,21,0),VLOOKUP(B2199,TRAOPE!$A:$U,21,0)),"")</f>
        <v/>
      </c>
      <c r="R2199" s="8">
        <f>IFERROR(IFERROR(VLOOKUP(A2199,TRAOPE!$A:$W,23,0),VLOOKUP(B2199,TRAOPE!$A:$W,23,0)),"")</f>
        <v/>
      </c>
      <c r="S2199" s="10">
        <f>IF(AND(P2199="TN",R2199="TN"),N2199+N(O2199),IF(G2199&amp;""="1",N(K2199)*N2199,(N2199+N(O2199))*N(K2199)))</f>
        <v/>
      </c>
      <c r="T2199" s="10">
        <f>IF(Q2199="","",Q2199-S2199)</f>
        <v/>
      </c>
    </row>
    <row r="2200">
      <c r="A2200" s="7">
        <f>CONCATENATE(C2200,E2200,F2200,I2200)</f>
        <v/>
      </c>
      <c r="B2200" s="7">
        <f>CONCATENATE(C2200,E2200,I2200)</f>
        <v/>
      </c>
      <c r="C2200" s="8" t="n">
        <v>900003588</v>
      </c>
      <c r="D2200" s="7">
        <f>IFERROR(VLOOKUP(C2200,TRAOPE!$G:$H,2,0),"")</f>
        <v/>
      </c>
      <c r="E2200" s="8" t="inlineStr">
        <is>
          <t>D836</t>
        </is>
      </c>
      <c r="F2200" s="8" t="inlineStr">
        <is>
          <t>67247435</t>
        </is>
      </c>
      <c r="G2200" s="8">
        <f>IFERROR(VLOOKUP(A2200,Flete!$A:$E,5,0),"")</f>
        <v/>
      </c>
      <c r="H2200" s="7">
        <f>IFERROR(VLOOKUP(F2200,TRAOPE!$AA:$AB,2,0),"")</f>
        <v/>
      </c>
      <c r="I2200" s="7" t="n">
        <v>10000627</v>
      </c>
      <c r="J2200" s="7">
        <f>IFERROR(VLOOKUP(I2200,Materiales!$A:$H,8,0),"")</f>
        <v/>
      </c>
      <c r="K2200" s="9">
        <f>IFERROR(VLOOKUP(I2200,Materiales!$A:$G,7,0),"")</f>
        <v/>
      </c>
      <c r="L2200" s="8" t="inlineStr">
        <is>
          <t>20240619</t>
        </is>
      </c>
      <c r="M2200" s="8" t="inlineStr">
        <is>
          <t>20251031</t>
        </is>
      </c>
      <c r="N2200" s="10" t="n">
        <v>80</v>
      </c>
      <c r="O2200" s="10">
        <f>IFERROR(VLOOKUP(A2200,Flete!$A:$J,10,0),"")</f>
        <v/>
      </c>
      <c r="P2200" s="8" t="inlineStr">
        <is>
          <t>TN</t>
        </is>
      </c>
      <c r="Q2200" s="10">
        <f>IFERROR(IFERROR(VLOOKUP(A2200,TRAOPE!$A:$U,21,0),VLOOKUP(B2200,TRAOPE!$A:$U,21,0)),"")</f>
        <v/>
      </c>
      <c r="R2200" s="8">
        <f>IFERROR(IFERROR(VLOOKUP(A2200,TRAOPE!$A:$W,23,0),VLOOKUP(B2200,TRAOPE!$A:$W,23,0)),"")</f>
        <v/>
      </c>
      <c r="S2200" s="10">
        <f>IF(AND(P2200="TN",R2200="TN"),N2200+N(O2200),IF(G2200&amp;""="1",N(K2200)*N2200,(N2200+N(O2200))*N(K2200)))</f>
        <v/>
      </c>
      <c r="T2200" s="10">
        <f>IF(Q2200="","",Q2200-S2200)</f>
        <v/>
      </c>
    </row>
    <row r="2201">
      <c r="A2201" s="7">
        <f>CONCATENATE(C2201,E2201,F2201,I2201)</f>
        <v/>
      </c>
      <c r="B2201" s="7">
        <f>CONCATENATE(C2201,E2201,I2201)</f>
        <v/>
      </c>
      <c r="C2201" s="8" t="n">
        <v>900003588</v>
      </c>
      <c r="D2201" s="7">
        <f>IFERROR(VLOOKUP(C2201,TRAOPE!$G:$H,2,0),"")</f>
        <v/>
      </c>
      <c r="E2201" s="8" t="inlineStr">
        <is>
          <t>D836</t>
        </is>
      </c>
      <c r="F2201" s="8" t="inlineStr">
        <is>
          <t>67284713</t>
        </is>
      </c>
      <c r="G2201" s="8">
        <f>IFERROR(VLOOKUP(A2201,Flete!$A:$E,5,0),"")</f>
        <v/>
      </c>
      <c r="H2201" s="7">
        <f>IFERROR(VLOOKUP(F2201,TRAOPE!$AA:$AB,2,0),"")</f>
        <v/>
      </c>
      <c r="I2201" s="7" t="n">
        <v>10000625</v>
      </c>
      <c r="J2201" s="7">
        <f>IFERROR(VLOOKUP(I2201,Materiales!$A:$H,8,0),"")</f>
        <v/>
      </c>
      <c r="K2201" s="9">
        <f>IFERROR(VLOOKUP(I2201,Materiales!$A:$G,7,0),"")</f>
        <v/>
      </c>
      <c r="L2201" s="8" t="inlineStr">
        <is>
          <t>20240619</t>
        </is>
      </c>
      <c r="M2201" s="8" t="inlineStr">
        <is>
          <t>20251031</t>
        </is>
      </c>
      <c r="N2201" s="10" t="n">
        <v>55</v>
      </c>
      <c r="O2201" s="10">
        <f>IFERROR(VLOOKUP(A2201,Flete!$A:$J,10,0),"")</f>
        <v/>
      </c>
      <c r="P2201" s="8" t="inlineStr">
        <is>
          <t>TN</t>
        </is>
      </c>
      <c r="Q2201" s="10">
        <f>IFERROR(IFERROR(VLOOKUP(A2201,TRAOPE!$A:$U,21,0),VLOOKUP(B2201,TRAOPE!$A:$U,21,0)),"")</f>
        <v/>
      </c>
      <c r="R2201" s="8">
        <f>IFERROR(IFERROR(VLOOKUP(A2201,TRAOPE!$A:$W,23,0),VLOOKUP(B2201,TRAOPE!$A:$W,23,0)),"")</f>
        <v/>
      </c>
      <c r="S2201" s="10">
        <f>IF(AND(P2201="TN",R2201="TN"),N2201+N(O2201),IF(G2201&amp;""="1",N(K2201)*N2201,(N2201+N(O2201))*N(K2201)))</f>
        <v/>
      </c>
      <c r="T2201" s="10">
        <f>IF(Q2201="","",Q2201-S2201)</f>
        <v/>
      </c>
    </row>
    <row r="2202">
      <c r="A2202" s="7">
        <f>CONCATENATE(C2202,E2202,F2202,I2202)</f>
        <v/>
      </c>
      <c r="B2202" s="7">
        <f>CONCATENATE(C2202,E2202,I2202)</f>
        <v/>
      </c>
      <c r="C2202" s="8" t="n">
        <v>900003592</v>
      </c>
      <c r="D2202" s="7">
        <f>IFERROR(VLOOKUP(C2202,TRAOPE!$G:$H,2,0),"")</f>
        <v/>
      </c>
      <c r="E2202" s="8" t="inlineStr">
        <is>
          <t>D836</t>
        </is>
      </c>
      <c r="F2202" s="8" t="inlineStr">
        <is>
          <t>67332608</t>
        </is>
      </c>
      <c r="G2202" s="8">
        <f>IFERROR(VLOOKUP(A2202,Flete!$A:$E,5,0),"")</f>
        <v/>
      </c>
      <c r="H2202" s="7">
        <f>IFERROR(VLOOKUP(F2202,TRAOPE!$AA:$AB,2,0),"")</f>
        <v/>
      </c>
      <c r="I2202" s="7" t="n">
        <v>10000133</v>
      </c>
      <c r="J2202" s="7">
        <f>IFERROR(VLOOKUP(I2202,Materiales!$A:$H,8,0),"")</f>
        <v/>
      </c>
      <c r="K2202" s="9">
        <f>IFERROR(VLOOKUP(I2202,Materiales!$A:$G,7,0),"")</f>
        <v/>
      </c>
      <c r="L2202" s="8" t="inlineStr">
        <is>
          <t>20240619</t>
        </is>
      </c>
      <c r="M2202" s="8" t="inlineStr">
        <is>
          <t>20251031</t>
        </is>
      </c>
      <c r="N2202" s="10" t="n">
        <v>105</v>
      </c>
      <c r="O2202" s="10">
        <f>IFERROR(VLOOKUP(A2202,Flete!$A:$J,10,0),"")</f>
        <v/>
      </c>
      <c r="P2202" s="8" t="inlineStr">
        <is>
          <t>TN</t>
        </is>
      </c>
      <c r="Q2202" s="10">
        <f>IFERROR(IFERROR(VLOOKUP(A2202,TRAOPE!$A:$U,21,0),VLOOKUP(B2202,TRAOPE!$A:$U,21,0)),"")</f>
        <v/>
      </c>
      <c r="R2202" s="8">
        <f>IFERROR(IFERROR(VLOOKUP(A2202,TRAOPE!$A:$W,23,0),VLOOKUP(B2202,TRAOPE!$A:$W,23,0)),"")</f>
        <v/>
      </c>
      <c r="S2202" s="10">
        <f>IF(AND(P2202="TN",R2202="TN"),N2202+N(O2202),IF(G2202&amp;""="1",N(K2202)*N2202,(N2202+N(O2202))*N(K2202)))</f>
        <v/>
      </c>
      <c r="T2202" s="10">
        <f>IF(Q2202="","",Q2202-S2202)</f>
        <v/>
      </c>
    </row>
    <row r="2203">
      <c r="A2203" s="7">
        <f>CONCATENATE(C2203,E2203,F2203,I2203)</f>
        <v/>
      </c>
      <c r="B2203" s="7">
        <f>CONCATENATE(C2203,E2203,I2203)</f>
        <v/>
      </c>
      <c r="C2203" s="8" t="n">
        <v>900003592</v>
      </c>
      <c r="D2203" s="7">
        <f>IFERROR(VLOOKUP(C2203,TRAOPE!$G:$H,2,0),"")</f>
        <v/>
      </c>
      <c r="E2203" s="8" t="inlineStr">
        <is>
          <t>D836</t>
        </is>
      </c>
      <c r="F2203" s="8" t="inlineStr">
        <is>
          <t>67332608</t>
        </is>
      </c>
      <c r="G2203" s="8">
        <f>IFERROR(VLOOKUP(A2203,Flete!$A:$E,5,0),"")</f>
        <v/>
      </c>
      <c r="H2203" s="7">
        <f>IFERROR(VLOOKUP(F2203,TRAOPE!$AA:$AB,2,0),"")</f>
        <v/>
      </c>
      <c r="I2203" s="7" t="n">
        <v>10000623</v>
      </c>
      <c r="J2203" s="7">
        <f>IFERROR(VLOOKUP(I2203,Materiales!$A:$H,8,0),"")</f>
        <v/>
      </c>
      <c r="K2203" s="9">
        <f>IFERROR(VLOOKUP(I2203,Materiales!$A:$G,7,0),"")</f>
        <v/>
      </c>
      <c r="L2203" s="8" t="inlineStr">
        <is>
          <t>20240619</t>
        </is>
      </c>
      <c r="M2203" s="8" t="inlineStr">
        <is>
          <t>20251031</t>
        </is>
      </c>
      <c r="N2203" s="10" t="n">
        <v>115.5</v>
      </c>
      <c r="O2203" s="10">
        <f>IFERROR(VLOOKUP(A2203,Flete!$A:$J,10,0),"")</f>
        <v/>
      </c>
      <c r="P2203" s="8" t="inlineStr">
        <is>
          <t>TN</t>
        </is>
      </c>
      <c r="Q2203" s="10">
        <f>IFERROR(IFERROR(VLOOKUP(A2203,TRAOPE!$A:$U,21,0),VLOOKUP(B2203,TRAOPE!$A:$U,21,0)),"")</f>
        <v/>
      </c>
      <c r="R2203" s="8">
        <f>IFERROR(IFERROR(VLOOKUP(A2203,TRAOPE!$A:$W,23,0),VLOOKUP(B2203,TRAOPE!$A:$W,23,0)),"")</f>
        <v/>
      </c>
      <c r="S2203" s="10">
        <f>IF(AND(P2203="TN",R2203="TN"),N2203+N(O2203),IF(G2203&amp;""="1",N(K2203)*N2203,(N2203+N(O2203))*N(K2203)))</f>
        <v/>
      </c>
      <c r="T2203" s="10">
        <f>IF(Q2203="","",Q2203-S2203)</f>
        <v/>
      </c>
    </row>
    <row r="2204">
      <c r="A2204" s="7">
        <f>CONCATENATE(C2204,E2204,F2204,I2204)</f>
        <v/>
      </c>
      <c r="B2204" s="7">
        <f>CONCATENATE(C2204,E2204,I2204)</f>
        <v/>
      </c>
      <c r="C2204" s="8" t="n">
        <v>900003592</v>
      </c>
      <c r="D2204" s="7">
        <f>IFERROR(VLOOKUP(C2204,TRAOPE!$G:$H,2,0),"")</f>
        <v/>
      </c>
      <c r="E2204" s="8" t="inlineStr">
        <is>
          <t>D836</t>
        </is>
      </c>
      <c r="F2204" s="8" t="inlineStr">
        <is>
          <t>67332608</t>
        </is>
      </c>
      <c r="G2204" s="8">
        <f>IFERROR(VLOOKUP(A2204,Flete!$A:$E,5,0),"")</f>
        <v/>
      </c>
      <c r="H2204" s="7">
        <f>IFERROR(VLOOKUP(F2204,TRAOPE!$AA:$AB,2,0),"")</f>
        <v/>
      </c>
      <c r="I2204" s="7" t="n">
        <v>10257024</v>
      </c>
      <c r="J2204" s="7">
        <f>IFERROR(VLOOKUP(I2204,Materiales!$A:$H,8,0),"")</f>
        <v/>
      </c>
      <c r="K2204" s="9">
        <f>IFERROR(VLOOKUP(I2204,Materiales!$A:$G,7,0),"")</f>
        <v/>
      </c>
      <c r="L2204" s="8" t="inlineStr">
        <is>
          <t>20240619</t>
        </is>
      </c>
      <c r="M2204" s="8" t="inlineStr">
        <is>
          <t>20251031</t>
        </is>
      </c>
      <c r="N2204" s="10" t="n">
        <v>120.75</v>
      </c>
      <c r="O2204" s="10">
        <f>IFERROR(VLOOKUP(A2204,Flete!$A:$J,10,0),"")</f>
        <v/>
      </c>
      <c r="P2204" s="8" t="inlineStr">
        <is>
          <t>TN</t>
        </is>
      </c>
      <c r="Q2204" s="10">
        <f>IFERROR(IFERROR(VLOOKUP(A2204,TRAOPE!$A:$U,21,0),VLOOKUP(B2204,TRAOPE!$A:$U,21,0)),"")</f>
        <v/>
      </c>
      <c r="R2204" s="8">
        <f>IFERROR(IFERROR(VLOOKUP(A2204,TRAOPE!$A:$W,23,0),VLOOKUP(B2204,TRAOPE!$A:$W,23,0)),"")</f>
        <v/>
      </c>
      <c r="S2204" s="10">
        <f>IF(AND(P2204="TN",R2204="TN"),N2204+N(O2204),IF(G2204&amp;""="1",N(K2204)*N2204,(N2204+N(O2204))*N(K2204)))</f>
        <v/>
      </c>
      <c r="T2204" s="10">
        <f>IF(Q2204="","",Q2204-S2204)</f>
        <v/>
      </c>
    </row>
    <row r="2205">
      <c r="A2205" s="7">
        <f>CONCATENATE(C2205,E2205,F2205,I2205)</f>
        <v/>
      </c>
      <c r="B2205" s="7">
        <f>CONCATENATE(C2205,E2205,I2205)</f>
        <v/>
      </c>
      <c r="C2205" s="8" t="n">
        <v>900003593</v>
      </c>
      <c r="D2205" s="7">
        <f>IFERROR(VLOOKUP(C2205,TRAOPE!$G:$H,2,0),"")</f>
        <v/>
      </c>
      <c r="E2205" s="8" t="inlineStr">
        <is>
          <t>D836</t>
        </is>
      </c>
      <c r="F2205" s="8" t="inlineStr">
        <is>
          <t>65232687</t>
        </is>
      </c>
      <c r="G2205" s="8">
        <f>IFERROR(VLOOKUP(A2205,Flete!$A:$E,5,0),"")</f>
        <v/>
      </c>
      <c r="H2205" s="7">
        <f>IFERROR(VLOOKUP(F2205,TRAOPE!$AA:$AB,2,0),"")</f>
        <v/>
      </c>
      <c r="I2205" s="7" t="n">
        <v>10000160</v>
      </c>
      <c r="J2205" s="7">
        <f>IFERROR(VLOOKUP(I2205,Materiales!$A:$H,8,0),"")</f>
        <v/>
      </c>
      <c r="K2205" s="9">
        <f>IFERROR(VLOOKUP(I2205,Materiales!$A:$G,7,0),"")</f>
        <v/>
      </c>
      <c r="L2205" s="8" t="inlineStr">
        <is>
          <t>20240619</t>
        </is>
      </c>
      <c r="M2205" s="8" t="inlineStr">
        <is>
          <t>20251031</t>
        </is>
      </c>
      <c r="N2205" s="10" t="n">
        <v>120</v>
      </c>
      <c r="O2205" s="10">
        <f>IFERROR(VLOOKUP(A2205,Flete!$A:$J,10,0),"")</f>
        <v/>
      </c>
      <c r="P2205" s="8" t="inlineStr">
        <is>
          <t>TN</t>
        </is>
      </c>
      <c r="Q2205" s="10">
        <f>IFERROR(IFERROR(VLOOKUP(A2205,TRAOPE!$A:$U,21,0),VLOOKUP(B2205,TRAOPE!$A:$U,21,0)),"")</f>
        <v/>
      </c>
      <c r="R2205" s="8">
        <f>IFERROR(IFERROR(VLOOKUP(A2205,TRAOPE!$A:$W,23,0),VLOOKUP(B2205,TRAOPE!$A:$W,23,0)),"")</f>
        <v/>
      </c>
      <c r="S2205" s="10">
        <f>IF(AND(P2205="TN",R2205="TN"),N2205+N(O2205),IF(G2205&amp;""="1",N(K2205)*N2205,(N2205+N(O2205))*N(K2205)))</f>
        <v/>
      </c>
      <c r="T2205" s="10">
        <f>IF(Q2205="","",Q2205-S2205)</f>
        <v/>
      </c>
    </row>
    <row r="2206">
      <c r="A2206" s="7">
        <f>CONCATENATE(C2206,E2206,F2206,I2206)</f>
        <v/>
      </c>
      <c r="B2206" s="7">
        <f>CONCATENATE(C2206,E2206,I2206)</f>
        <v/>
      </c>
      <c r="C2206" s="8" t="n">
        <v>900003593</v>
      </c>
      <c r="D2206" s="7">
        <f>IFERROR(VLOOKUP(C2206,TRAOPE!$G:$H,2,0),"")</f>
        <v/>
      </c>
      <c r="E2206" s="8" t="inlineStr">
        <is>
          <t>D836</t>
        </is>
      </c>
      <c r="F2206" s="8" t="inlineStr">
        <is>
          <t>67277158</t>
        </is>
      </c>
      <c r="G2206" s="8">
        <f>IFERROR(VLOOKUP(A2206,Flete!$A:$E,5,0),"")</f>
        <v/>
      </c>
      <c r="H2206" s="7">
        <f>IFERROR(VLOOKUP(F2206,TRAOPE!$AA:$AB,2,0),"")</f>
        <v/>
      </c>
      <c r="I2206" s="7" t="n">
        <v>10000160</v>
      </c>
      <c r="J2206" s="7">
        <f>IFERROR(VLOOKUP(I2206,Materiales!$A:$H,8,0),"")</f>
        <v/>
      </c>
      <c r="K2206" s="9">
        <f>IFERROR(VLOOKUP(I2206,Materiales!$A:$G,7,0),"")</f>
        <v/>
      </c>
      <c r="L2206" s="8" t="inlineStr">
        <is>
          <t>20240619</t>
        </is>
      </c>
      <c r="M2206" s="8" t="inlineStr">
        <is>
          <t>20251031</t>
        </is>
      </c>
      <c r="N2206" s="10" t="n">
        <v>120.68</v>
      </c>
      <c r="O2206" s="10">
        <f>IFERROR(VLOOKUP(A2206,Flete!$A:$J,10,0),"")</f>
        <v/>
      </c>
      <c r="P2206" s="8" t="inlineStr">
        <is>
          <t>M3</t>
        </is>
      </c>
      <c r="Q2206" s="10">
        <f>IFERROR(IFERROR(VLOOKUP(A2206,TRAOPE!$A:$U,21,0),VLOOKUP(B2206,TRAOPE!$A:$U,21,0)),"")</f>
        <v/>
      </c>
      <c r="R2206" s="8">
        <f>IFERROR(IFERROR(VLOOKUP(A2206,TRAOPE!$A:$W,23,0),VLOOKUP(B2206,TRAOPE!$A:$W,23,0)),"")</f>
        <v/>
      </c>
      <c r="S2206" s="10">
        <f>IF(AND(P2206="TN",R2206="TN"),N2206+N(O2206),IF(G2206&amp;""="1",N(K2206)*N2206,(N2206+N(O2206))*N(K2206)))</f>
        <v/>
      </c>
      <c r="T2206" s="10">
        <f>IF(Q2206="","",Q2206-S2206)</f>
        <v/>
      </c>
    </row>
    <row r="2207">
      <c r="A2207" s="7">
        <f>CONCATENATE(C2207,E2207,F2207,I2207)</f>
        <v/>
      </c>
      <c r="B2207" s="7">
        <f>CONCATENATE(C2207,E2207,I2207)</f>
        <v/>
      </c>
      <c r="C2207" s="8" t="n">
        <v>900003601</v>
      </c>
      <c r="D2207" s="7">
        <f>IFERROR(VLOOKUP(C2207,TRAOPE!$G:$H,2,0),"")</f>
        <v/>
      </c>
      <c r="E2207" s="8" t="inlineStr">
        <is>
          <t>D836</t>
        </is>
      </c>
      <c r="F2207" s="8" t="inlineStr">
        <is>
          <t>66415270</t>
        </is>
      </c>
      <c r="G2207" s="8">
        <f>IFERROR(VLOOKUP(A2207,Flete!$A:$E,5,0),"")</f>
        <v/>
      </c>
      <c r="H2207" s="7">
        <f>IFERROR(VLOOKUP(F2207,TRAOPE!$AA:$AB,2,0),"")</f>
        <v/>
      </c>
      <c r="I2207" s="7" t="n">
        <v>10000624</v>
      </c>
      <c r="J2207" s="7">
        <f>IFERROR(VLOOKUP(I2207,Materiales!$A:$H,8,0),"")</f>
        <v/>
      </c>
      <c r="K2207" s="9">
        <f>IFERROR(VLOOKUP(I2207,Materiales!$A:$G,7,0),"")</f>
        <v/>
      </c>
      <c r="L2207" s="8" t="inlineStr">
        <is>
          <t>20240619</t>
        </is>
      </c>
      <c r="M2207" s="8" t="inlineStr">
        <is>
          <t>20251031</t>
        </is>
      </c>
      <c r="N2207" s="10" t="n">
        <v>113</v>
      </c>
      <c r="O2207" s="10">
        <f>IFERROR(VLOOKUP(A2207,Flete!$A:$J,10,0),"")</f>
        <v/>
      </c>
      <c r="P2207" s="8" t="inlineStr">
        <is>
          <t>TN</t>
        </is>
      </c>
      <c r="Q2207" s="10">
        <f>IFERROR(IFERROR(VLOOKUP(A2207,TRAOPE!$A:$U,21,0),VLOOKUP(B2207,TRAOPE!$A:$U,21,0)),"")</f>
        <v/>
      </c>
      <c r="R2207" s="8">
        <f>IFERROR(IFERROR(VLOOKUP(A2207,TRAOPE!$A:$W,23,0),VLOOKUP(B2207,TRAOPE!$A:$W,23,0)),"")</f>
        <v/>
      </c>
      <c r="S2207" s="10">
        <f>IF(AND(P2207="TN",R2207="TN"),N2207+N(O2207),IF(G2207&amp;""="1",N(K2207)*N2207,(N2207+N(O2207))*N(K2207)))</f>
        <v/>
      </c>
      <c r="T2207" s="10">
        <f>IF(Q2207="","",Q2207-S2207)</f>
        <v/>
      </c>
    </row>
    <row r="2208">
      <c r="A2208" s="7">
        <f>CONCATENATE(C2208,E2208,F2208,I2208)</f>
        <v/>
      </c>
      <c r="B2208" s="7">
        <f>CONCATENATE(C2208,E2208,I2208)</f>
        <v/>
      </c>
      <c r="C2208" s="8" t="n">
        <v>900003601</v>
      </c>
      <c r="D2208" s="7">
        <f>IFERROR(VLOOKUP(C2208,TRAOPE!$G:$H,2,0),"")</f>
        <v/>
      </c>
      <c r="E2208" s="8" t="inlineStr">
        <is>
          <t>D836</t>
        </is>
      </c>
      <c r="F2208" s="8" t="inlineStr">
        <is>
          <t>66982053</t>
        </is>
      </c>
      <c r="G2208" s="8">
        <f>IFERROR(VLOOKUP(A2208,Flete!$A:$E,5,0),"")</f>
        <v/>
      </c>
      <c r="H2208" s="7">
        <f>IFERROR(VLOOKUP(F2208,TRAOPE!$AA:$AB,2,0),"")</f>
        <v/>
      </c>
      <c r="I2208" s="7" t="n">
        <v>10000623</v>
      </c>
      <c r="J2208" s="7">
        <f>IFERROR(VLOOKUP(I2208,Materiales!$A:$H,8,0),"")</f>
        <v/>
      </c>
      <c r="K2208" s="9">
        <f>IFERROR(VLOOKUP(I2208,Materiales!$A:$G,7,0),"")</f>
        <v/>
      </c>
      <c r="L2208" s="8" t="inlineStr">
        <is>
          <t>20240619</t>
        </is>
      </c>
      <c r="M2208" s="8" t="inlineStr">
        <is>
          <t>20251031</t>
        </is>
      </c>
      <c r="N2208" s="10" t="n">
        <v>125.6</v>
      </c>
      <c r="O2208" s="10">
        <f>IFERROR(VLOOKUP(A2208,Flete!$A:$J,10,0),"")</f>
        <v/>
      </c>
      <c r="P2208" s="8" t="inlineStr">
        <is>
          <t>TN</t>
        </is>
      </c>
      <c r="Q2208" s="10">
        <f>IFERROR(IFERROR(VLOOKUP(A2208,TRAOPE!$A:$U,21,0),VLOOKUP(B2208,TRAOPE!$A:$U,21,0)),"")</f>
        <v/>
      </c>
      <c r="R2208" s="8">
        <f>IFERROR(IFERROR(VLOOKUP(A2208,TRAOPE!$A:$W,23,0),VLOOKUP(B2208,TRAOPE!$A:$W,23,0)),"")</f>
        <v/>
      </c>
      <c r="S2208" s="10">
        <f>IF(AND(P2208="TN",R2208="TN"),N2208+N(O2208),IF(G2208&amp;""="1",N(K2208)*N2208,(N2208+N(O2208))*N(K2208)))</f>
        <v/>
      </c>
      <c r="T2208" s="10">
        <f>IF(Q2208="","",Q2208-S2208)</f>
        <v/>
      </c>
    </row>
    <row r="2209">
      <c r="A2209" s="7">
        <f>CONCATENATE(C2209,E2209,F2209,I2209)</f>
        <v/>
      </c>
      <c r="B2209" s="7">
        <f>CONCATENATE(C2209,E2209,I2209)</f>
        <v/>
      </c>
      <c r="C2209" s="8" t="n">
        <v>900003601</v>
      </c>
      <c r="D2209" s="7">
        <f>IFERROR(VLOOKUP(C2209,TRAOPE!$G:$H,2,0),"")</f>
        <v/>
      </c>
      <c r="E2209" s="8" t="inlineStr">
        <is>
          <t>D836</t>
        </is>
      </c>
      <c r="F2209" s="8" t="inlineStr">
        <is>
          <t>67089577</t>
        </is>
      </c>
      <c r="G2209" s="8">
        <f>IFERROR(VLOOKUP(A2209,Flete!$A:$E,5,0),"")</f>
        <v/>
      </c>
      <c r="H2209" s="7">
        <f>IFERROR(VLOOKUP(F2209,TRAOPE!$AA:$AB,2,0),"")</f>
        <v/>
      </c>
      <c r="I2209" s="7" t="n">
        <v>10000623</v>
      </c>
      <c r="J2209" s="7">
        <f>IFERROR(VLOOKUP(I2209,Materiales!$A:$H,8,0),"")</f>
        <v/>
      </c>
      <c r="K2209" s="9">
        <f>IFERROR(VLOOKUP(I2209,Materiales!$A:$G,7,0),"")</f>
        <v/>
      </c>
      <c r="L2209" s="8" t="inlineStr">
        <is>
          <t>20240619</t>
        </is>
      </c>
      <c r="M2209" s="8" t="inlineStr">
        <is>
          <t>20251031</t>
        </is>
      </c>
      <c r="N2209" s="10" t="n">
        <v>110</v>
      </c>
      <c r="O2209" s="10">
        <f>IFERROR(VLOOKUP(A2209,Flete!$A:$J,10,0),"")</f>
        <v/>
      </c>
      <c r="P2209" s="8" t="inlineStr">
        <is>
          <t>TN</t>
        </is>
      </c>
      <c r="Q2209" s="10">
        <f>IFERROR(IFERROR(VLOOKUP(A2209,TRAOPE!$A:$U,21,0),VLOOKUP(B2209,TRAOPE!$A:$U,21,0)),"")</f>
        <v/>
      </c>
      <c r="R2209" s="8">
        <f>IFERROR(IFERROR(VLOOKUP(A2209,TRAOPE!$A:$W,23,0),VLOOKUP(B2209,TRAOPE!$A:$W,23,0)),"")</f>
        <v/>
      </c>
      <c r="S2209" s="10">
        <f>IF(AND(P2209="TN",R2209="TN"),N2209+N(O2209),IF(G2209&amp;""="1",N(K2209)*N2209,(N2209+N(O2209))*N(K2209)))</f>
        <v/>
      </c>
      <c r="T2209" s="10">
        <f>IF(Q2209="","",Q2209-S2209)</f>
        <v/>
      </c>
    </row>
    <row r="2210">
      <c r="A2210" s="7">
        <f>CONCATENATE(C2210,E2210,F2210,I2210)</f>
        <v/>
      </c>
      <c r="B2210" s="7">
        <f>CONCATENATE(C2210,E2210,I2210)</f>
        <v/>
      </c>
      <c r="C2210" s="8" t="n">
        <v>900003601</v>
      </c>
      <c r="D2210" s="7">
        <f>IFERROR(VLOOKUP(C2210,TRAOPE!$G:$H,2,0),"")</f>
        <v/>
      </c>
      <c r="E2210" s="8" t="inlineStr">
        <is>
          <t>D836</t>
        </is>
      </c>
      <c r="F2210" s="8" t="inlineStr">
        <is>
          <t>67247435</t>
        </is>
      </c>
      <c r="G2210" s="8">
        <f>IFERROR(VLOOKUP(A2210,Flete!$A:$E,5,0),"")</f>
        <v/>
      </c>
      <c r="H2210" s="7">
        <f>IFERROR(VLOOKUP(F2210,TRAOPE!$AA:$AB,2,0),"")</f>
        <v/>
      </c>
      <c r="I2210" s="7" t="n">
        <v>10000623</v>
      </c>
      <c r="J2210" s="7">
        <f>IFERROR(VLOOKUP(I2210,Materiales!$A:$H,8,0),"")</f>
        <v/>
      </c>
      <c r="K2210" s="9">
        <f>IFERROR(VLOOKUP(I2210,Materiales!$A:$G,7,0),"")</f>
        <v/>
      </c>
      <c r="L2210" s="8" t="inlineStr">
        <is>
          <t>20240619</t>
        </is>
      </c>
      <c r="M2210" s="8" t="inlineStr">
        <is>
          <t>20251031</t>
        </is>
      </c>
      <c r="N2210" s="10" t="n">
        <v>110</v>
      </c>
      <c r="O2210" s="10">
        <f>IFERROR(VLOOKUP(A2210,Flete!$A:$J,10,0),"")</f>
        <v/>
      </c>
      <c r="P2210" s="8" t="inlineStr">
        <is>
          <t>TN</t>
        </is>
      </c>
      <c r="Q2210" s="10">
        <f>IFERROR(IFERROR(VLOOKUP(A2210,TRAOPE!$A:$U,21,0),VLOOKUP(B2210,TRAOPE!$A:$U,21,0)),"")</f>
        <v/>
      </c>
      <c r="R2210" s="8">
        <f>IFERROR(IFERROR(VLOOKUP(A2210,TRAOPE!$A:$W,23,0),VLOOKUP(B2210,TRAOPE!$A:$W,23,0)),"")</f>
        <v/>
      </c>
      <c r="S2210" s="10">
        <f>IF(AND(P2210="TN",R2210="TN"),N2210+N(O2210),IF(G2210&amp;""="1",N(K2210)*N2210,(N2210+N(O2210))*N(K2210)))</f>
        <v/>
      </c>
      <c r="T2210" s="10">
        <f>IF(Q2210="","",Q2210-S2210)</f>
        <v/>
      </c>
    </row>
    <row r="2211">
      <c r="A2211" s="7">
        <f>CONCATENATE(C2211,E2211,F2211,I2211)</f>
        <v/>
      </c>
      <c r="B2211" s="7">
        <f>CONCATENATE(C2211,E2211,I2211)</f>
        <v/>
      </c>
      <c r="C2211" s="8" t="n">
        <v>900003601</v>
      </c>
      <c r="D2211" s="7">
        <f>IFERROR(VLOOKUP(C2211,TRAOPE!$G:$H,2,0),"")</f>
        <v/>
      </c>
      <c r="E2211" s="8" t="inlineStr">
        <is>
          <t>D836</t>
        </is>
      </c>
      <c r="F2211" s="8" t="inlineStr">
        <is>
          <t>67247435</t>
        </is>
      </c>
      <c r="G2211" s="8">
        <f>IFERROR(VLOOKUP(A2211,Flete!$A:$E,5,0),"")</f>
        <v/>
      </c>
      <c r="H2211" s="7">
        <f>IFERROR(VLOOKUP(F2211,TRAOPE!$AA:$AB,2,0),"")</f>
        <v/>
      </c>
      <c r="I2211" s="7" t="n">
        <v>10000811</v>
      </c>
      <c r="J2211" s="7">
        <f>IFERROR(VLOOKUP(I2211,Materiales!$A:$H,8,0),"")</f>
        <v/>
      </c>
      <c r="K2211" s="9">
        <f>IFERROR(VLOOKUP(I2211,Materiales!$A:$G,7,0),"")</f>
        <v/>
      </c>
      <c r="L2211" s="8" t="inlineStr">
        <is>
          <t>20240619</t>
        </is>
      </c>
      <c r="M2211" s="8" t="inlineStr">
        <is>
          <t>20251031</t>
        </is>
      </c>
      <c r="N2211" s="10" t="n">
        <v>121</v>
      </c>
      <c r="O2211" s="10">
        <f>IFERROR(VLOOKUP(A2211,Flete!$A:$J,10,0),"")</f>
        <v/>
      </c>
      <c r="P2211" s="8" t="inlineStr">
        <is>
          <t>TN</t>
        </is>
      </c>
      <c r="Q2211" s="10">
        <f>IFERROR(IFERROR(VLOOKUP(A2211,TRAOPE!$A:$U,21,0),VLOOKUP(B2211,TRAOPE!$A:$U,21,0)),"")</f>
        <v/>
      </c>
      <c r="R2211" s="8">
        <f>IFERROR(IFERROR(VLOOKUP(A2211,TRAOPE!$A:$W,23,0),VLOOKUP(B2211,TRAOPE!$A:$W,23,0)),"")</f>
        <v/>
      </c>
      <c r="S2211" s="10">
        <f>IF(AND(P2211="TN",R2211="TN"),N2211+N(O2211),IF(G2211&amp;""="1",N(K2211)*N2211,(N2211+N(O2211))*N(K2211)))</f>
        <v/>
      </c>
      <c r="T2211" s="10">
        <f>IF(Q2211="","",Q2211-S2211)</f>
        <v/>
      </c>
    </row>
    <row r="2212">
      <c r="A2212" s="7">
        <f>CONCATENATE(C2212,E2212,F2212,I2212)</f>
        <v/>
      </c>
      <c r="B2212" s="7">
        <f>CONCATENATE(C2212,E2212,I2212)</f>
        <v/>
      </c>
      <c r="C2212" s="8" t="n">
        <v>900003609</v>
      </c>
      <c r="D2212" s="7">
        <f>IFERROR(VLOOKUP(C2212,TRAOPE!$G:$H,2,0),"")</f>
        <v/>
      </c>
      <c r="E2212" s="8" t="inlineStr">
        <is>
          <t>D836</t>
        </is>
      </c>
      <c r="F2212" s="8" t="inlineStr">
        <is>
          <t>66233244</t>
        </is>
      </c>
      <c r="G2212" s="8">
        <f>IFERROR(VLOOKUP(A2212,Flete!$A:$E,5,0),"")</f>
        <v/>
      </c>
      <c r="H2212" s="7">
        <f>IFERROR(VLOOKUP(F2212,TRAOPE!$AA:$AB,2,0),"")</f>
        <v/>
      </c>
      <c r="I2212" s="7" t="n">
        <v>10000624</v>
      </c>
      <c r="J2212" s="7">
        <f>IFERROR(VLOOKUP(I2212,Materiales!$A:$H,8,0),"")</f>
        <v/>
      </c>
      <c r="K2212" s="9">
        <f>IFERROR(VLOOKUP(I2212,Materiales!$A:$G,7,0),"")</f>
        <v/>
      </c>
      <c r="L2212" s="8" t="inlineStr">
        <is>
          <t>20240619</t>
        </is>
      </c>
      <c r="M2212" s="8" t="inlineStr">
        <is>
          <t>20251031</t>
        </is>
      </c>
      <c r="N2212" s="10" t="n">
        <v>159.51</v>
      </c>
      <c r="O2212" s="10">
        <f>IFERROR(VLOOKUP(A2212,Flete!$A:$J,10,0),"")</f>
        <v/>
      </c>
      <c r="P2212" s="8" t="inlineStr">
        <is>
          <t>M3</t>
        </is>
      </c>
      <c r="Q2212" s="10">
        <f>IFERROR(IFERROR(VLOOKUP(A2212,TRAOPE!$A:$U,21,0),VLOOKUP(B2212,TRAOPE!$A:$U,21,0)),"")</f>
        <v/>
      </c>
      <c r="R2212" s="8">
        <f>IFERROR(IFERROR(VLOOKUP(A2212,TRAOPE!$A:$W,23,0),VLOOKUP(B2212,TRAOPE!$A:$W,23,0)),"")</f>
        <v/>
      </c>
      <c r="S2212" s="10">
        <f>IF(AND(P2212="TN",R2212="TN"),N2212+N(O2212),IF(G2212&amp;""="1",N(K2212)*N2212,(N2212+N(O2212))*N(K2212)))</f>
        <v/>
      </c>
      <c r="T2212" s="10">
        <f>IF(Q2212="","",Q2212-S2212)</f>
        <v/>
      </c>
    </row>
    <row r="2213">
      <c r="A2213" s="7">
        <f>CONCATENATE(C2213,E2213,F2213,I2213)</f>
        <v/>
      </c>
      <c r="B2213" s="7">
        <f>CONCATENATE(C2213,E2213,I2213)</f>
        <v/>
      </c>
      <c r="C2213" s="8" t="n">
        <v>900003609</v>
      </c>
      <c r="D2213" s="7">
        <f>IFERROR(VLOOKUP(C2213,TRAOPE!$G:$H,2,0),"")</f>
        <v/>
      </c>
      <c r="E2213" s="8" t="inlineStr">
        <is>
          <t>D836</t>
        </is>
      </c>
      <c r="F2213" s="8" t="inlineStr">
        <is>
          <t>66237142</t>
        </is>
      </c>
      <c r="G2213" s="8">
        <f>IFERROR(VLOOKUP(A2213,Flete!$A:$E,5,0),"")</f>
        <v/>
      </c>
      <c r="H2213" s="7">
        <f>IFERROR(VLOOKUP(F2213,TRAOPE!$AA:$AB,2,0),"")</f>
        <v/>
      </c>
      <c r="I2213" s="7" t="n">
        <v>10000722</v>
      </c>
      <c r="J2213" s="7">
        <f>IFERROR(VLOOKUP(I2213,Materiales!$A:$H,8,0),"")</f>
        <v/>
      </c>
      <c r="K2213" s="9">
        <f>IFERROR(VLOOKUP(I2213,Materiales!$A:$G,7,0),"")</f>
        <v/>
      </c>
      <c r="L2213" s="8" t="inlineStr">
        <is>
          <t>20240619</t>
        </is>
      </c>
      <c r="M2213" s="8" t="inlineStr">
        <is>
          <t>20251031</t>
        </is>
      </c>
      <c r="N2213" s="10" t="n">
        <v>170</v>
      </c>
      <c r="O2213" s="10">
        <f>IFERROR(VLOOKUP(A2213,Flete!$A:$J,10,0),"")</f>
        <v/>
      </c>
      <c r="P2213" s="8" t="inlineStr">
        <is>
          <t>M3</t>
        </is>
      </c>
      <c r="Q2213" s="10">
        <f>IFERROR(IFERROR(VLOOKUP(A2213,TRAOPE!$A:$U,21,0),VLOOKUP(B2213,TRAOPE!$A:$U,21,0)),"")</f>
        <v/>
      </c>
      <c r="R2213" s="8">
        <f>IFERROR(IFERROR(VLOOKUP(A2213,TRAOPE!$A:$W,23,0),VLOOKUP(B2213,TRAOPE!$A:$W,23,0)),"")</f>
        <v/>
      </c>
      <c r="S2213" s="10">
        <f>IF(AND(P2213="TN",R2213="TN"),N2213+N(O2213),IF(G2213&amp;""="1",N(K2213)*N2213,(N2213+N(O2213))*N(K2213)))</f>
        <v/>
      </c>
      <c r="T2213" s="10">
        <f>IF(Q2213="","",Q2213-S2213)</f>
        <v/>
      </c>
    </row>
    <row r="2214">
      <c r="A2214" s="7">
        <f>CONCATENATE(C2214,E2214,F2214,I2214)</f>
        <v/>
      </c>
      <c r="B2214" s="7">
        <f>CONCATENATE(C2214,E2214,I2214)</f>
        <v/>
      </c>
      <c r="C2214" s="8" t="n">
        <v>900003609</v>
      </c>
      <c r="D2214" s="7">
        <f>IFERROR(VLOOKUP(C2214,TRAOPE!$G:$H,2,0),"")</f>
        <v/>
      </c>
      <c r="E2214" s="8" t="inlineStr">
        <is>
          <t>D836</t>
        </is>
      </c>
      <c r="F2214" s="8" t="inlineStr">
        <is>
          <t>66532867</t>
        </is>
      </c>
      <c r="G2214" s="8">
        <f>IFERROR(VLOOKUP(A2214,Flete!$A:$E,5,0),"")</f>
        <v/>
      </c>
      <c r="H2214" s="7">
        <f>IFERROR(VLOOKUP(F2214,TRAOPE!$AA:$AB,2,0),"")</f>
        <v/>
      </c>
      <c r="I2214" s="7" t="n">
        <v>10000630</v>
      </c>
      <c r="J2214" s="7">
        <f>IFERROR(VLOOKUP(I2214,Materiales!$A:$H,8,0),"")</f>
        <v/>
      </c>
      <c r="K2214" s="9">
        <f>IFERROR(VLOOKUP(I2214,Materiales!$A:$G,7,0),"")</f>
        <v/>
      </c>
      <c r="L2214" s="8" t="inlineStr">
        <is>
          <t>20240619</t>
        </is>
      </c>
      <c r="M2214" s="8" t="inlineStr">
        <is>
          <t>20251031</t>
        </is>
      </c>
      <c r="N2214" s="10" t="n">
        <v>177</v>
      </c>
      <c r="O2214" s="10">
        <f>IFERROR(VLOOKUP(A2214,Flete!$A:$J,10,0),"")</f>
        <v/>
      </c>
      <c r="P2214" s="8" t="inlineStr">
        <is>
          <t>M3</t>
        </is>
      </c>
      <c r="Q2214" s="10">
        <f>IFERROR(IFERROR(VLOOKUP(A2214,TRAOPE!$A:$U,21,0),VLOOKUP(B2214,TRAOPE!$A:$U,21,0)),"")</f>
        <v/>
      </c>
      <c r="R2214" s="8">
        <f>IFERROR(IFERROR(VLOOKUP(A2214,TRAOPE!$A:$W,23,0),VLOOKUP(B2214,TRAOPE!$A:$W,23,0)),"")</f>
        <v/>
      </c>
      <c r="S2214" s="10">
        <f>IF(AND(P2214="TN",R2214="TN"),N2214+N(O2214),IF(G2214&amp;""="1",N(K2214)*N2214,(N2214+N(O2214))*N(K2214)))</f>
        <v/>
      </c>
      <c r="T2214" s="10">
        <f>IF(Q2214="","",Q2214-S2214)</f>
        <v/>
      </c>
    </row>
    <row r="2215">
      <c r="A2215" s="7">
        <f>CONCATENATE(C2215,E2215,F2215,I2215)</f>
        <v/>
      </c>
      <c r="B2215" s="7">
        <f>CONCATENATE(C2215,E2215,I2215)</f>
        <v/>
      </c>
      <c r="C2215" s="8" t="n">
        <v>900003609</v>
      </c>
      <c r="D2215" s="7">
        <f>IFERROR(VLOOKUP(C2215,TRAOPE!$G:$H,2,0),"")</f>
        <v/>
      </c>
      <c r="E2215" s="8" t="inlineStr">
        <is>
          <t>D836</t>
        </is>
      </c>
      <c r="F2215" s="8" t="inlineStr">
        <is>
          <t>66532867</t>
        </is>
      </c>
      <c r="G2215" s="8">
        <f>IFERROR(VLOOKUP(A2215,Flete!$A:$E,5,0),"")</f>
        <v/>
      </c>
      <c r="H2215" s="7">
        <f>IFERROR(VLOOKUP(F2215,TRAOPE!$AA:$AB,2,0),"")</f>
        <v/>
      </c>
      <c r="I2215" s="7" t="n">
        <v>10000722</v>
      </c>
      <c r="J2215" s="7">
        <f>IFERROR(VLOOKUP(I2215,Materiales!$A:$H,8,0),"")</f>
        <v/>
      </c>
      <c r="K2215" s="9">
        <f>IFERROR(VLOOKUP(I2215,Materiales!$A:$G,7,0),"")</f>
        <v/>
      </c>
      <c r="L2215" s="8" t="inlineStr">
        <is>
          <t>20240619</t>
        </is>
      </c>
      <c r="M2215" s="8" t="inlineStr">
        <is>
          <t>20251031</t>
        </is>
      </c>
      <c r="N2215" s="10" t="n">
        <v>170</v>
      </c>
      <c r="O2215" s="10">
        <f>IFERROR(VLOOKUP(A2215,Flete!$A:$J,10,0),"")</f>
        <v/>
      </c>
      <c r="P2215" s="8" t="inlineStr">
        <is>
          <t>M3</t>
        </is>
      </c>
      <c r="Q2215" s="10">
        <f>IFERROR(IFERROR(VLOOKUP(A2215,TRAOPE!$A:$U,21,0),VLOOKUP(B2215,TRAOPE!$A:$U,21,0)),"")</f>
        <v/>
      </c>
      <c r="R2215" s="8">
        <f>IFERROR(IFERROR(VLOOKUP(A2215,TRAOPE!$A:$W,23,0),VLOOKUP(B2215,TRAOPE!$A:$W,23,0)),"")</f>
        <v/>
      </c>
      <c r="S2215" s="10">
        <f>IF(AND(P2215="TN",R2215="TN"),N2215+N(O2215),IF(G2215&amp;""="1",N(K2215)*N2215,(N2215+N(O2215))*N(K2215)))</f>
        <v/>
      </c>
      <c r="T2215" s="10">
        <f>IF(Q2215="","",Q2215-S2215)</f>
        <v/>
      </c>
    </row>
    <row r="2216">
      <c r="A2216" s="7">
        <f>CONCATENATE(C2216,E2216,F2216,I2216)</f>
        <v/>
      </c>
      <c r="B2216" s="7">
        <f>CONCATENATE(C2216,E2216,I2216)</f>
        <v/>
      </c>
      <c r="C2216" s="8" t="n">
        <v>900003609</v>
      </c>
      <c r="D2216" s="7">
        <f>IFERROR(VLOOKUP(C2216,TRAOPE!$G:$H,2,0),"")</f>
        <v/>
      </c>
      <c r="E2216" s="8" t="inlineStr">
        <is>
          <t>D836</t>
        </is>
      </c>
      <c r="F2216" s="8" t="inlineStr">
        <is>
          <t>66532867</t>
        </is>
      </c>
      <c r="G2216" s="8">
        <f>IFERROR(VLOOKUP(A2216,Flete!$A:$E,5,0),"")</f>
        <v/>
      </c>
      <c r="H2216" s="7">
        <f>IFERROR(VLOOKUP(F2216,TRAOPE!$AA:$AB,2,0),"")</f>
        <v/>
      </c>
      <c r="I2216" s="7" t="n">
        <v>10058345</v>
      </c>
      <c r="J2216" s="7">
        <f>IFERROR(VLOOKUP(I2216,Materiales!$A:$H,8,0),"")</f>
        <v/>
      </c>
      <c r="K2216" s="9">
        <f>IFERROR(VLOOKUP(I2216,Materiales!$A:$G,7,0),"")</f>
        <v/>
      </c>
      <c r="L2216" s="8" t="inlineStr">
        <is>
          <t>20240619</t>
        </is>
      </c>
      <c r="M2216" s="8" t="inlineStr">
        <is>
          <t>20251031</t>
        </is>
      </c>
      <c r="N2216" s="10" t="n">
        <v>145</v>
      </c>
      <c r="O2216" s="10">
        <f>IFERROR(VLOOKUP(A2216,Flete!$A:$J,10,0),"")</f>
        <v/>
      </c>
      <c r="P2216" s="8" t="inlineStr">
        <is>
          <t>M3</t>
        </is>
      </c>
      <c r="Q2216" s="10">
        <f>IFERROR(IFERROR(VLOOKUP(A2216,TRAOPE!$A:$U,21,0),VLOOKUP(B2216,TRAOPE!$A:$U,21,0)),"")</f>
        <v/>
      </c>
      <c r="R2216" s="8">
        <f>IFERROR(IFERROR(VLOOKUP(A2216,TRAOPE!$A:$W,23,0),VLOOKUP(B2216,TRAOPE!$A:$W,23,0)),"")</f>
        <v/>
      </c>
      <c r="S2216" s="10">
        <f>IF(AND(P2216="TN",R2216="TN"),N2216+N(O2216),IF(G2216&amp;""="1",N(K2216)*N2216,(N2216+N(O2216))*N(K2216)))</f>
        <v/>
      </c>
      <c r="T2216" s="10">
        <f>IF(Q2216="","",Q2216-S2216)</f>
        <v/>
      </c>
    </row>
    <row r="2217">
      <c r="A2217" s="7">
        <f>CONCATENATE(C2217,E2217,F2217,I2217)</f>
        <v/>
      </c>
      <c r="B2217" s="7">
        <f>CONCATENATE(C2217,E2217,I2217)</f>
        <v/>
      </c>
      <c r="C2217" s="8" t="n">
        <v>900003609</v>
      </c>
      <c r="D2217" s="7">
        <f>IFERROR(VLOOKUP(C2217,TRAOPE!$G:$H,2,0),"")</f>
        <v/>
      </c>
      <c r="E2217" s="8" t="inlineStr">
        <is>
          <t>D836</t>
        </is>
      </c>
      <c r="F2217" s="8" t="inlineStr">
        <is>
          <t>66576199</t>
        </is>
      </c>
      <c r="G2217" s="8">
        <f>IFERROR(VLOOKUP(A2217,Flete!$A:$E,5,0),"")</f>
        <v/>
      </c>
      <c r="H2217" s="7">
        <f>IFERROR(VLOOKUP(F2217,TRAOPE!$AA:$AB,2,0),"")</f>
        <v/>
      </c>
      <c r="I2217" s="7" t="n">
        <v>10000630</v>
      </c>
      <c r="J2217" s="7">
        <f>IFERROR(VLOOKUP(I2217,Materiales!$A:$H,8,0),"")</f>
        <v/>
      </c>
      <c r="K2217" s="9">
        <f>IFERROR(VLOOKUP(I2217,Materiales!$A:$G,7,0),"")</f>
        <v/>
      </c>
      <c r="L2217" s="8" t="inlineStr">
        <is>
          <t>20240619</t>
        </is>
      </c>
      <c r="M2217" s="8" t="inlineStr">
        <is>
          <t>20251031</t>
        </is>
      </c>
      <c r="N2217" s="10" t="n">
        <v>177</v>
      </c>
      <c r="O2217" s="10">
        <f>IFERROR(VLOOKUP(A2217,Flete!$A:$J,10,0),"")</f>
        <v/>
      </c>
      <c r="P2217" s="8" t="inlineStr">
        <is>
          <t>M3</t>
        </is>
      </c>
      <c r="Q2217" s="10">
        <f>IFERROR(IFERROR(VLOOKUP(A2217,TRAOPE!$A:$U,21,0),VLOOKUP(B2217,TRAOPE!$A:$U,21,0)),"")</f>
        <v/>
      </c>
      <c r="R2217" s="8">
        <f>IFERROR(IFERROR(VLOOKUP(A2217,TRAOPE!$A:$W,23,0),VLOOKUP(B2217,TRAOPE!$A:$W,23,0)),"")</f>
        <v/>
      </c>
      <c r="S2217" s="10">
        <f>IF(AND(P2217="TN",R2217="TN"),N2217+N(O2217),IF(G2217&amp;""="1",N(K2217)*N2217,(N2217+N(O2217))*N(K2217)))</f>
        <v/>
      </c>
      <c r="T2217" s="10">
        <f>IF(Q2217="","",Q2217-S2217)</f>
        <v/>
      </c>
    </row>
    <row r="2218">
      <c r="A2218" s="7">
        <f>CONCATENATE(C2218,E2218,F2218,I2218)</f>
        <v/>
      </c>
      <c r="B2218" s="7">
        <f>CONCATENATE(C2218,E2218,I2218)</f>
        <v/>
      </c>
      <c r="C2218" s="8" t="n">
        <v>900003609</v>
      </c>
      <c r="D2218" s="7">
        <f>IFERROR(VLOOKUP(C2218,TRAOPE!$G:$H,2,0),"")</f>
        <v/>
      </c>
      <c r="E2218" s="8" t="inlineStr">
        <is>
          <t>D836</t>
        </is>
      </c>
      <c r="F2218" s="8" t="inlineStr">
        <is>
          <t>66576199</t>
        </is>
      </c>
      <c r="G2218" s="8">
        <f>IFERROR(VLOOKUP(A2218,Flete!$A:$E,5,0),"")</f>
        <v/>
      </c>
      <c r="H2218" s="7">
        <f>IFERROR(VLOOKUP(F2218,TRAOPE!$AA:$AB,2,0),"")</f>
        <v/>
      </c>
      <c r="I2218" s="7" t="n">
        <v>10000722</v>
      </c>
      <c r="J2218" s="7">
        <f>IFERROR(VLOOKUP(I2218,Materiales!$A:$H,8,0),"")</f>
        <v/>
      </c>
      <c r="K2218" s="9">
        <f>IFERROR(VLOOKUP(I2218,Materiales!$A:$G,7,0),"")</f>
        <v/>
      </c>
      <c r="L2218" s="8" t="inlineStr">
        <is>
          <t>20240619</t>
        </is>
      </c>
      <c r="M2218" s="8" t="inlineStr">
        <is>
          <t>20251031</t>
        </is>
      </c>
      <c r="N2218" s="10" t="n">
        <v>170</v>
      </c>
      <c r="O2218" s="10">
        <f>IFERROR(VLOOKUP(A2218,Flete!$A:$J,10,0),"")</f>
        <v/>
      </c>
      <c r="P2218" s="8" t="inlineStr">
        <is>
          <t>M3</t>
        </is>
      </c>
      <c r="Q2218" s="10">
        <f>IFERROR(IFERROR(VLOOKUP(A2218,TRAOPE!$A:$U,21,0),VLOOKUP(B2218,TRAOPE!$A:$U,21,0)),"")</f>
        <v/>
      </c>
      <c r="R2218" s="8">
        <f>IFERROR(IFERROR(VLOOKUP(A2218,TRAOPE!$A:$W,23,0),VLOOKUP(B2218,TRAOPE!$A:$W,23,0)),"")</f>
        <v/>
      </c>
      <c r="S2218" s="10">
        <f>IF(AND(P2218="TN",R2218="TN"),N2218+N(O2218),IF(G2218&amp;""="1",N(K2218)*N2218,(N2218+N(O2218))*N(K2218)))</f>
        <v/>
      </c>
      <c r="T2218" s="10">
        <f>IF(Q2218="","",Q2218-S2218)</f>
        <v/>
      </c>
    </row>
    <row r="2219">
      <c r="A2219" s="7">
        <f>CONCATENATE(C2219,E2219,F2219,I2219)</f>
        <v/>
      </c>
      <c r="B2219" s="7">
        <f>CONCATENATE(C2219,E2219,I2219)</f>
        <v/>
      </c>
      <c r="C2219" s="8" t="n">
        <v>900003609</v>
      </c>
      <c r="D2219" s="7">
        <f>IFERROR(VLOOKUP(C2219,TRAOPE!$G:$H,2,0),"")</f>
        <v/>
      </c>
      <c r="E2219" s="8" t="inlineStr">
        <is>
          <t>D836</t>
        </is>
      </c>
      <c r="F2219" s="8" t="inlineStr">
        <is>
          <t>66576199</t>
        </is>
      </c>
      <c r="G2219" s="8">
        <f>IFERROR(VLOOKUP(A2219,Flete!$A:$E,5,0),"")</f>
        <v/>
      </c>
      <c r="H2219" s="7">
        <f>IFERROR(VLOOKUP(F2219,TRAOPE!$AA:$AB,2,0),"")</f>
        <v/>
      </c>
      <c r="I2219" s="7" t="n">
        <v>10058345</v>
      </c>
      <c r="J2219" s="7">
        <f>IFERROR(VLOOKUP(I2219,Materiales!$A:$H,8,0),"")</f>
        <v/>
      </c>
      <c r="K2219" s="9">
        <f>IFERROR(VLOOKUP(I2219,Materiales!$A:$G,7,0),"")</f>
        <v/>
      </c>
      <c r="L2219" s="8" t="inlineStr">
        <is>
          <t>20240619</t>
        </is>
      </c>
      <c r="M2219" s="8" t="inlineStr">
        <is>
          <t>20251031</t>
        </is>
      </c>
      <c r="N2219" s="10" t="n">
        <v>145</v>
      </c>
      <c r="O2219" s="10">
        <f>IFERROR(VLOOKUP(A2219,Flete!$A:$J,10,0),"")</f>
        <v/>
      </c>
      <c r="P2219" s="8" t="inlineStr">
        <is>
          <t>M3</t>
        </is>
      </c>
      <c r="Q2219" s="10">
        <f>IFERROR(IFERROR(VLOOKUP(A2219,TRAOPE!$A:$U,21,0),VLOOKUP(B2219,TRAOPE!$A:$U,21,0)),"")</f>
        <v/>
      </c>
      <c r="R2219" s="8">
        <f>IFERROR(IFERROR(VLOOKUP(A2219,TRAOPE!$A:$W,23,0),VLOOKUP(B2219,TRAOPE!$A:$W,23,0)),"")</f>
        <v/>
      </c>
      <c r="S2219" s="10">
        <f>IF(AND(P2219="TN",R2219="TN"),N2219+N(O2219),IF(G2219&amp;""="1",N(K2219)*N2219,(N2219+N(O2219))*N(K2219)))</f>
        <v/>
      </c>
      <c r="T2219" s="10">
        <f>IF(Q2219="","",Q2219-S2219)</f>
        <v/>
      </c>
    </row>
    <row r="2220">
      <c r="A2220" s="7">
        <f>CONCATENATE(C2220,E2220,F2220,I2220)</f>
        <v/>
      </c>
      <c r="B2220" s="7">
        <f>CONCATENATE(C2220,E2220,I2220)</f>
        <v/>
      </c>
      <c r="C2220" s="8" t="n">
        <v>900003609</v>
      </c>
      <c r="D2220" s="7">
        <f>IFERROR(VLOOKUP(C2220,TRAOPE!$G:$H,2,0),"")</f>
        <v/>
      </c>
      <c r="E2220" s="8" t="inlineStr">
        <is>
          <t>D836</t>
        </is>
      </c>
      <c r="F2220" s="8" t="inlineStr">
        <is>
          <t>66828114</t>
        </is>
      </c>
      <c r="G2220" s="8">
        <f>IFERROR(VLOOKUP(A2220,Flete!$A:$E,5,0),"")</f>
        <v/>
      </c>
      <c r="H2220" s="7">
        <f>IFERROR(VLOOKUP(F2220,TRAOPE!$AA:$AB,2,0),"")</f>
        <v/>
      </c>
      <c r="I2220" s="7" t="n">
        <v>10000811</v>
      </c>
      <c r="J2220" s="7">
        <f>IFERROR(VLOOKUP(I2220,Materiales!$A:$H,8,0),"")</f>
        <v/>
      </c>
      <c r="K2220" s="9">
        <f>IFERROR(VLOOKUP(I2220,Materiales!$A:$G,7,0),"")</f>
        <v/>
      </c>
      <c r="L2220" s="8" t="inlineStr">
        <is>
          <t>20240619</t>
        </is>
      </c>
      <c r="M2220" s="8" t="inlineStr">
        <is>
          <t>20251031</t>
        </is>
      </c>
      <c r="N2220" s="10" t="n">
        <v>180</v>
      </c>
      <c r="O2220" s="10">
        <f>IFERROR(VLOOKUP(A2220,Flete!$A:$J,10,0),"")</f>
        <v/>
      </c>
      <c r="P2220" s="8" t="inlineStr">
        <is>
          <t>M3</t>
        </is>
      </c>
      <c r="Q2220" s="10">
        <f>IFERROR(IFERROR(VLOOKUP(A2220,TRAOPE!$A:$U,21,0),VLOOKUP(B2220,TRAOPE!$A:$U,21,0)),"")</f>
        <v/>
      </c>
      <c r="R2220" s="8">
        <f>IFERROR(IFERROR(VLOOKUP(A2220,TRAOPE!$A:$W,23,0),VLOOKUP(B2220,TRAOPE!$A:$W,23,0)),"")</f>
        <v/>
      </c>
      <c r="S2220" s="10">
        <f>IF(AND(P2220="TN",R2220="TN"),N2220+N(O2220),IF(G2220&amp;""="1",N(K2220)*N2220,(N2220+N(O2220))*N(K2220)))</f>
        <v/>
      </c>
      <c r="T2220" s="10">
        <f>IF(Q2220="","",Q2220-S2220)</f>
        <v/>
      </c>
    </row>
    <row r="2221">
      <c r="A2221" s="7">
        <f>CONCATENATE(C2221,E2221,F2221,I2221)</f>
        <v/>
      </c>
      <c r="B2221" s="7">
        <f>CONCATENATE(C2221,E2221,I2221)</f>
        <v/>
      </c>
      <c r="C2221" s="8" t="n">
        <v>900003609</v>
      </c>
      <c r="D2221" s="7">
        <f>IFERROR(VLOOKUP(C2221,TRAOPE!$G:$H,2,0),"")</f>
        <v/>
      </c>
      <c r="E2221" s="8" t="inlineStr">
        <is>
          <t>D836</t>
        </is>
      </c>
      <c r="F2221" s="8" t="inlineStr">
        <is>
          <t>66864508</t>
        </is>
      </c>
      <c r="G2221" s="8">
        <f>IFERROR(VLOOKUP(A2221,Flete!$A:$E,5,0),"")</f>
        <v/>
      </c>
      <c r="H2221" s="7">
        <f>IFERROR(VLOOKUP(F2221,TRAOPE!$AA:$AB,2,0),"")</f>
        <v/>
      </c>
      <c r="I2221" s="7" t="n">
        <v>10058345</v>
      </c>
      <c r="J2221" s="7">
        <f>IFERROR(VLOOKUP(I2221,Materiales!$A:$H,8,0),"")</f>
        <v/>
      </c>
      <c r="K2221" s="9">
        <f>IFERROR(VLOOKUP(I2221,Materiales!$A:$G,7,0),"")</f>
        <v/>
      </c>
      <c r="L2221" s="8" t="inlineStr">
        <is>
          <t>20240619</t>
        </is>
      </c>
      <c r="M2221" s="8" t="inlineStr">
        <is>
          <t>20251031</t>
        </is>
      </c>
      <c r="N2221" s="10" t="n">
        <v>150</v>
      </c>
      <c r="O2221" s="10">
        <f>IFERROR(VLOOKUP(A2221,Flete!$A:$J,10,0),"")</f>
        <v/>
      </c>
      <c r="P2221" s="8" t="inlineStr">
        <is>
          <t>M3</t>
        </is>
      </c>
      <c r="Q2221" s="10">
        <f>IFERROR(IFERROR(VLOOKUP(A2221,TRAOPE!$A:$U,21,0),VLOOKUP(B2221,TRAOPE!$A:$U,21,0)),"")</f>
        <v/>
      </c>
      <c r="R2221" s="8">
        <f>IFERROR(IFERROR(VLOOKUP(A2221,TRAOPE!$A:$W,23,0),VLOOKUP(B2221,TRAOPE!$A:$W,23,0)),"")</f>
        <v/>
      </c>
      <c r="S2221" s="10">
        <f>IF(AND(P2221="TN",R2221="TN"),N2221+N(O2221),IF(G2221&amp;""="1",N(K2221)*N2221,(N2221+N(O2221))*N(K2221)))</f>
        <v/>
      </c>
      <c r="T2221" s="10">
        <f>IF(Q2221="","",Q2221-S2221)</f>
        <v/>
      </c>
    </row>
    <row r="2222">
      <c r="A2222" s="7">
        <f>CONCATENATE(C2222,E2222,F2222,I2222)</f>
        <v/>
      </c>
      <c r="B2222" s="7">
        <f>CONCATENATE(C2222,E2222,I2222)</f>
        <v/>
      </c>
      <c r="C2222" s="8" t="n">
        <v>900003609</v>
      </c>
      <c r="D2222" s="7">
        <f>IFERROR(VLOOKUP(C2222,TRAOPE!$G:$H,2,0),"")</f>
        <v/>
      </c>
      <c r="E2222" s="8" t="inlineStr">
        <is>
          <t>D836</t>
        </is>
      </c>
      <c r="F2222" s="8" t="inlineStr">
        <is>
          <t>66864508</t>
        </is>
      </c>
      <c r="G2222" s="8">
        <f>IFERROR(VLOOKUP(A2222,Flete!$A:$E,5,0),"")</f>
        <v/>
      </c>
      <c r="H2222" s="7">
        <f>IFERROR(VLOOKUP(F2222,TRAOPE!$AA:$AB,2,0),"")</f>
        <v/>
      </c>
      <c r="I2222" s="7" t="n">
        <v>10268133</v>
      </c>
      <c r="J2222" s="7">
        <f>IFERROR(VLOOKUP(I2222,Materiales!$A:$H,8,0),"")</f>
        <v/>
      </c>
      <c r="K2222" s="9">
        <f>IFERROR(VLOOKUP(I2222,Materiales!$A:$G,7,0),"")</f>
        <v/>
      </c>
      <c r="L2222" s="8" t="inlineStr">
        <is>
          <t>20240619</t>
        </is>
      </c>
      <c r="M2222" s="8" t="inlineStr">
        <is>
          <t>20251031</t>
        </is>
      </c>
      <c r="N2222" s="10" t="n">
        <v>184</v>
      </c>
      <c r="O2222" s="10">
        <f>IFERROR(VLOOKUP(A2222,Flete!$A:$J,10,0),"")</f>
        <v/>
      </c>
      <c r="P2222" s="8" t="inlineStr">
        <is>
          <t>M3</t>
        </is>
      </c>
      <c r="Q2222" s="10">
        <f>IFERROR(IFERROR(VLOOKUP(A2222,TRAOPE!$A:$U,21,0),VLOOKUP(B2222,TRAOPE!$A:$U,21,0)),"")</f>
        <v/>
      </c>
      <c r="R2222" s="8">
        <f>IFERROR(IFERROR(VLOOKUP(A2222,TRAOPE!$A:$W,23,0),VLOOKUP(B2222,TRAOPE!$A:$W,23,0)),"")</f>
        <v/>
      </c>
      <c r="S2222" s="10">
        <f>IF(AND(P2222="TN",R2222="TN"),N2222+N(O2222),IF(G2222&amp;""="1",N(K2222)*N2222,(N2222+N(O2222))*N(K2222)))</f>
        <v/>
      </c>
      <c r="T2222" s="10">
        <f>IF(Q2222="","",Q2222-S2222)</f>
        <v/>
      </c>
    </row>
    <row r="2223">
      <c r="A2223" s="7">
        <f>CONCATENATE(C2223,E2223,F2223,I2223)</f>
        <v/>
      </c>
      <c r="B2223" s="7">
        <f>CONCATENATE(C2223,E2223,I2223)</f>
        <v/>
      </c>
      <c r="C2223" s="8" t="n">
        <v>900003609</v>
      </c>
      <c r="D2223" s="7">
        <f>IFERROR(VLOOKUP(C2223,TRAOPE!$G:$H,2,0),"")</f>
        <v/>
      </c>
      <c r="E2223" s="8" t="inlineStr">
        <is>
          <t>D836</t>
        </is>
      </c>
      <c r="F2223" s="8" t="inlineStr">
        <is>
          <t>66864508</t>
        </is>
      </c>
      <c r="G2223" s="8">
        <f>IFERROR(VLOOKUP(A2223,Flete!$A:$E,5,0),"")</f>
        <v/>
      </c>
      <c r="H2223" s="7">
        <f>IFERROR(VLOOKUP(F2223,TRAOPE!$AA:$AB,2,0),"")</f>
        <v/>
      </c>
      <c r="I2223" s="7" t="n">
        <v>10268134</v>
      </c>
      <c r="J2223" s="7">
        <f>IFERROR(VLOOKUP(I2223,Materiales!$A:$H,8,0),"")</f>
        <v/>
      </c>
      <c r="K2223" s="9">
        <f>IFERROR(VLOOKUP(I2223,Materiales!$A:$G,7,0),"")</f>
        <v/>
      </c>
      <c r="L2223" s="8" t="inlineStr">
        <is>
          <t>20240619</t>
        </is>
      </c>
      <c r="M2223" s="8" t="inlineStr">
        <is>
          <t>20251031</t>
        </is>
      </c>
      <c r="N2223" s="10" t="n">
        <v>145</v>
      </c>
      <c r="O2223" s="10">
        <f>IFERROR(VLOOKUP(A2223,Flete!$A:$J,10,0),"")</f>
        <v/>
      </c>
      <c r="P2223" s="8" t="inlineStr">
        <is>
          <t>M3</t>
        </is>
      </c>
      <c r="Q2223" s="10">
        <f>IFERROR(IFERROR(VLOOKUP(A2223,TRAOPE!$A:$U,21,0),VLOOKUP(B2223,TRAOPE!$A:$U,21,0)),"")</f>
        <v/>
      </c>
      <c r="R2223" s="8">
        <f>IFERROR(IFERROR(VLOOKUP(A2223,TRAOPE!$A:$W,23,0),VLOOKUP(B2223,TRAOPE!$A:$W,23,0)),"")</f>
        <v/>
      </c>
      <c r="S2223" s="10">
        <f>IF(AND(P2223="TN",R2223="TN"),N2223+N(O2223),IF(G2223&amp;""="1",N(K2223)*N2223,(N2223+N(O2223))*N(K2223)))</f>
        <v/>
      </c>
      <c r="T2223" s="10">
        <f>IF(Q2223="","",Q2223-S2223)</f>
        <v/>
      </c>
    </row>
    <row r="2224">
      <c r="A2224" s="7">
        <f>CONCATENATE(C2224,E2224,F2224,I2224)</f>
        <v/>
      </c>
      <c r="B2224" s="7">
        <f>CONCATENATE(C2224,E2224,I2224)</f>
        <v/>
      </c>
      <c r="C2224" s="8" t="n">
        <v>900003609</v>
      </c>
      <c r="D2224" s="7">
        <f>IFERROR(VLOOKUP(C2224,TRAOPE!$G:$H,2,0),"")</f>
        <v/>
      </c>
      <c r="E2224" s="8" t="inlineStr">
        <is>
          <t>D836</t>
        </is>
      </c>
      <c r="F2224" s="8" t="inlineStr">
        <is>
          <t>66864540</t>
        </is>
      </c>
      <c r="G2224" s="8">
        <f>IFERROR(VLOOKUP(A2224,Flete!$A:$E,5,0),"")</f>
        <v/>
      </c>
      <c r="H2224" s="7">
        <f>IFERROR(VLOOKUP(F2224,TRAOPE!$AA:$AB,2,0),"")</f>
        <v/>
      </c>
      <c r="I2224" s="7" t="n">
        <v>10058345</v>
      </c>
      <c r="J2224" s="7">
        <f>IFERROR(VLOOKUP(I2224,Materiales!$A:$H,8,0),"")</f>
        <v/>
      </c>
      <c r="K2224" s="9">
        <f>IFERROR(VLOOKUP(I2224,Materiales!$A:$G,7,0),"")</f>
        <v/>
      </c>
      <c r="L2224" s="8" t="inlineStr">
        <is>
          <t>20240619</t>
        </is>
      </c>
      <c r="M2224" s="8" t="inlineStr">
        <is>
          <t>20251031</t>
        </is>
      </c>
      <c r="N2224" s="10" t="n">
        <v>150</v>
      </c>
      <c r="O2224" s="10">
        <f>IFERROR(VLOOKUP(A2224,Flete!$A:$J,10,0),"")</f>
        <v/>
      </c>
      <c r="P2224" s="8" t="inlineStr">
        <is>
          <t>M3</t>
        </is>
      </c>
      <c r="Q2224" s="10">
        <f>IFERROR(IFERROR(VLOOKUP(A2224,TRAOPE!$A:$U,21,0),VLOOKUP(B2224,TRAOPE!$A:$U,21,0)),"")</f>
        <v/>
      </c>
      <c r="R2224" s="8">
        <f>IFERROR(IFERROR(VLOOKUP(A2224,TRAOPE!$A:$W,23,0),VLOOKUP(B2224,TRAOPE!$A:$W,23,0)),"")</f>
        <v/>
      </c>
      <c r="S2224" s="10">
        <f>IF(AND(P2224="TN",R2224="TN"),N2224+N(O2224),IF(G2224&amp;""="1",N(K2224)*N2224,(N2224+N(O2224))*N(K2224)))</f>
        <v/>
      </c>
      <c r="T2224" s="10">
        <f>IF(Q2224="","",Q2224-S2224)</f>
        <v/>
      </c>
    </row>
    <row r="2225">
      <c r="A2225" s="7">
        <f>CONCATENATE(C2225,E2225,F2225,I2225)</f>
        <v/>
      </c>
      <c r="B2225" s="7">
        <f>CONCATENATE(C2225,E2225,I2225)</f>
        <v/>
      </c>
      <c r="C2225" s="8" t="n">
        <v>900003609</v>
      </c>
      <c r="D2225" s="7">
        <f>IFERROR(VLOOKUP(C2225,TRAOPE!$G:$H,2,0),"")</f>
        <v/>
      </c>
      <c r="E2225" s="8" t="inlineStr">
        <is>
          <t>D836</t>
        </is>
      </c>
      <c r="F2225" s="8" t="inlineStr">
        <is>
          <t>66864540</t>
        </is>
      </c>
      <c r="G2225" s="8">
        <f>IFERROR(VLOOKUP(A2225,Flete!$A:$E,5,0),"")</f>
        <v/>
      </c>
      <c r="H2225" s="7">
        <f>IFERROR(VLOOKUP(F2225,TRAOPE!$AA:$AB,2,0),"")</f>
        <v/>
      </c>
      <c r="I2225" s="7" t="n">
        <v>10268133</v>
      </c>
      <c r="J2225" s="7">
        <f>IFERROR(VLOOKUP(I2225,Materiales!$A:$H,8,0),"")</f>
        <v/>
      </c>
      <c r="K2225" s="9">
        <f>IFERROR(VLOOKUP(I2225,Materiales!$A:$G,7,0),"")</f>
        <v/>
      </c>
      <c r="L2225" s="8" t="inlineStr">
        <is>
          <t>20240619</t>
        </is>
      </c>
      <c r="M2225" s="8" t="inlineStr">
        <is>
          <t>20251031</t>
        </is>
      </c>
      <c r="N2225" s="10" t="n">
        <v>184</v>
      </c>
      <c r="O2225" s="10">
        <f>IFERROR(VLOOKUP(A2225,Flete!$A:$J,10,0),"")</f>
        <v/>
      </c>
      <c r="P2225" s="8" t="inlineStr">
        <is>
          <t>M3</t>
        </is>
      </c>
      <c r="Q2225" s="10">
        <f>IFERROR(IFERROR(VLOOKUP(A2225,TRAOPE!$A:$U,21,0),VLOOKUP(B2225,TRAOPE!$A:$U,21,0)),"")</f>
        <v/>
      </c>
      <c r="R2225" s="8">
        <f>IFERROR(IFERROR(VLOOKUP(A2225,TRAOPE!$A:$W,23,0),VLOOKUP(B2225,TRAOPE!$A:$W,23,0)),"")</f>
        <v/>
      </c>
      <c r="S2225" s="10">
        <f>IF(AND(P2225="TN",R2225="TN"),N2225+N(O2225),IF(G2225&amp;""="1",N(K2225)*N2225,(N2225+N(O2225))*N(K2225)))</f>
        <v/>
      </c>
      <c r="T2225" s="10">
        <f>IF(Q2225="","",Q2225-S2225)</f>
        <v/>
      </c>
    </row>
    <row r="2226">
      <c r="A2226" s="7">
        <f>CONCATENATE(C2226,E2226,F2226,I2226)</f>
        <v/>
      </c>
      <c r="B2226" s="7">
        <f>CONCATENATE(C2226,E2226,I2226)</f>
        <v/>
      </c>
      <c r="C2226" s="8" t="n">
        <v>900003609</v>
      </c>
      <c r="D2226" s="7">
        <f>IFERROR(VLOOKUP(C2226,TRAOPE!$G:$H,2,0),"")</f>
        <v/>
      </c>
      <c r="E2226" s="8" t="inlineStr">
        <is>
          <t>D836</t>
        </is>
      </c>
      <c r="F2226" s="8" t="inlineStr">
        <is>
          <t>66864540</t>
        </is>
      </c>
      <c r="G2226" s="8">
        <f>IFERROR(VLOOKUP(A2226,Flete!$A:$E,5,0),"")</f>
        <v/>
      </c>
      <c r="H2226" s="7">
        <f>IFERROR(VLOOKUP(F2226,TRAOPE!$AA:$AB,2,0),"")</f>
        <v/>
      </c>
      <c r="I2226" s="7" t="n">
        <v>10268134</v>
      </c>
      <c r="J2226" s="7">
        <f>IFERROR(VLOOKUP(I2226,Materiales!$A:$H,8,0),"")</f>
        <v/>
      </c>
      <c r="K2226" s="9">
        <f>IFERROR(VLOOKUP(I2226,Materiales!$A:$G,7,0),"")</f>
        <v/>
      </c>
      <c r="L2226" s="8" t="inlineStr">
        <is>
          <t>20240619</t>
        </is>
      </c>
      <c r="M2226" s="8" t="inlineStr">
        <is>
          <t>20251031</t>
        </is>
      </c>
      <c r="N2226" s="10" t="n">
        <v>145</v>
      </c>
      <c r="O2226" s="10">
        <f>IFERROR(VLOOKUP(A2226,Flete!$A:$J,10,0),"")</f>
        <v/>
      </c>
      <c r="P2226" s="8" t="inlineStr">
        <is>
          <t>M3</t>
        </is>
      </c>
      <c r="Q2226" s="10">
        <f>IFERROR(IFERROR(VLOOKUP(A2226,TRAOPE!$A:$U,21,0),VLOOKUP(B2226,TRAOPE!$A:$U,21,0)),"")</f>
        <v/>
      </c>
      <c r="R2226" s="8">
        <f>IFERROR(IFERROR(VLOOKUP(A2226,TRAOPE!$A:$W,23,0),VLOOKUP(B2226,TRAOPE!$A:$W,23,0)),"")</f>
        <v/>
      </c>
      <c r="S2226" s="10">
        <f>IF(AND(P2226="TN",R2226="TN"),N2226+N(O2226),IF(G2226&amp;""="1",N(K2226)*N2226,(N2226+N(O2226))*N(K2226)))</f>
        <v/>
      </c>
      <c r="T2226" s="10">
        <f>IF(Q2226="","",Q2226-S2226)</f>
        <v/>
      </c>
    </row>
    <row r="2227">
      <c r="A2227" s="7">
        <f>CONCATENATE(C2227,E2227,F2227,I2227)</f>
        <v/>
      </c>
      <c r="B2227" s="7">
        <f>CONCATENATE(C2227,E2227,I2227)</f>
        <v/>
      </c>
      <c r="C2227" s="8" t="n">
        <v>900003609</v>
      </c>
      <c r="D2227" s="7">
        <f>IFERROR(VLOOKUP(C2227,TRAOPE!$G:$H,2,0),"")</f>
        <v/>
      </c>
      <c r="E2227" s="8" t="inlineStr">
        <is>
          <t>D836</t>
        </is>
      </c>
      <c r="F2227" s="8" t="inlineStr">
        <is>
          <t>66982053</t>
        </is>
      </c>
      <c r="G2227" s="8">
        <f>IFERROR(VLOOKUP(A2227,Flete!$A:$E,5,0),"")</f>
        <v/>
      </c>
      <c r="H2227" s="7">
        <f>IFERROR(VLOOKUP(F2227,TRAOPE!$AA:$AB,2,0),"")</f>
        <v/>
      </c>
      <c r="I2227" s="7" t="n">
        <v>10268133</v>
      </c>
      <c r="J2227" s="7">
        <f>IFERROR(VLOOKUP(I2227,Materiales!$A:$H,8,0),"")</f>
        <v/>
      </c>
      <c r="K2227" s="9">
        <f>IFERROR(VLOOKUP(I2227,Materiales!$A:$G,7,0),"")</f>
        <v/>
      </c>
      <c r="L2227" s="8" t="inlineStr">
        <is>
          <t>20240619</t>
        </is>
      </c>
      <c r="M2227" s="8" t="inlineStr">
        <is>
          <t>20251031</t>
        </is>
      </c>
      <c r="N2227" s="10" t="n">
        <v>184</v>
      </c>
      <c r="O2227" s="10">
        <f>IFERROR(VLOOKUP(A2227,Flete!$A:$J,10,0),"")</f>
        <v/>
      </c>
      <c r="P2227" s="8" t="inlineStr">
        <is>
          <t>M3</t>
        </is>
      </c>
      <c r="Q2227" s="10">
        <f>IFERROR(IFERROR(VLOOKUP(A2227,TRAOPE!$A:$U,21,0),VLOOKUP(B2227,TRAOPE!$A:$U,21,0)),"")</f>
        <v/>
      </c>
      <c r="R2227" s="8">
        <f>IFERROR(IFERROR(VLOOKUP(A2227,TRAOPE!$A:$W,23,0),VLOOKUP(B2227,TRAOPE!$A:$W,23,0)),"")</f>
        <v/>
      </c>
      <c r="S2227" s="10">
        <f>IF(AND(P2227="TN",R2227="TN"),N2227+N(O2227),IF(G2227&amp;""="1",N(K2227)*N2227,(N2227+N(O2227))*N(K2227)))</f>
        <v/>
      </c>
      <c r="T2227" s="10">
        <f>IF(Q2227="","",Q2227-S2227)</f>
        <v/>
      </c>
    </row>
    <row r="2228">
      <c r="A2228" s="7">
        <f>CONCATENATE(C2228,E2228,F2228,I2228)</f>
        <v/>
      </c>
      <c r="B2228" s="7">
        <f>CONCATENATE(C2228,E2228,I2228)</f>
        <v/>
      </c>
      <c r="C2228" s="8" t="n">
        <v>900003609</v>
      </c>
      <c r="D2228" s="7">
        <f>IFERROR(VLOOKUP(C2228,TRAOPE!$G:$H,2,0),"")</f>
        <v/>
      </c>
      <c r="E2228" s="8" t="inlineStr">
        <is>
          <t>D836</t>
        </is>
      </c>
      <c r="F2228" s="8" t="inlineStr">
        <is>
          <t>67012297</t>
        </is>
      </c>
      <c r="G2228" s="8">
        <f>IFERROR(VLOOKUP(A2228,Flete!$A:$E,5,0),"")</f>
        <v/>
      </c>
      <c r="H2228" s="7">
        <f>IFERROR(VLOOKUP(F2228,TRAOPE!$AA:$AB,2,0),"")</f>
        <v/>
      </c>
      <c r="I2228" s="7" t="n">
        <v>10221141</v>
      </c>
      <c r="J2228" s="7">
        <f>IFERROR(VLOOKUP(I2228,Materiales!$A:$H,8,0),"")</f>
        <v/>
      </c>
      <c r="K2228" s="9">
        <f>IFERROR(VLOOKUP(I2228,Materiales!$A:$G,7,0),"")</f>
        <v/>
      </c>
      <c r="L2228" s="8" t="inlineStr">
        <is>
          <t>20240619</t>
        </is>
      </c>
      <c r="M2228" s="8" t="inlineStr">
        <is>
          <t>20251031</t>
        </is>
      </c>
      <c r="N2228" s="10" t="n">
        <v>175</v>
      </c>
      <c r="O2228" s="10">
        <f>IFERROR(VLOOKUP(A2228,Flete!$A:$J,10,0),"")</f>
        <v/>
      </c>
      <c r="P2228" s="8" t="inlineStr">
        <is>
          <t>M3</t>
        </is>
      </c>
      <c r="Q2228" s="10">
        <f>IFERROR(IFERROR(VLOOKUP(A2228,TRAOPE!$A:$U,21,0),VLOOKUP(B2228,TRAOPE!$A:$U,21,0)),"")</f>
        <v/>
      </c>
      <c r="R2228" s="8">
        <f>IFERROR(IFERROR(VLOOKUP(A2228,TRAOPE!$A:$W,23,0),VLOOKUP(B2228,TRAOPE!$A:$W,23,0)),"")</f>
        <v/>
      </c>
      <c r="S2228" s="10">
        <f>IF(AND(P2228="TN",R2228="TN"),N2228+N(O2228),IF(G2228&amp;""="1",N(K2228)*N2228,(N2228+N(O2228))*N(K2228)))</f>
        <v/>
      </c>
      <c r="T2228" s="10">
        <f>IF(Q2228="","",Q2228-S2228)</f>
        <v/>
      </c>
    </row>
    <row r="2229">
      <c r="A2229" s="7">
        <f>CONCATENATE(C2229,E2229,F2229,I2229)</f>
        <v/>
      </c>
      <c r="B2229" s="7">
        <f>CONCATENATE(C2229,E2229,I2229)</f>
        <v/>
      </c>
      <c r="C2229" s="8" t="n">
        <v>900003609</v>
      </c>
      <c r="D2229" s="7">
        <f>IFERROR(VLOOKUP(C2229,TRAOPE!$G:$H,2,0),"")</f>
        <v/>
      </c>
      <c r="E2229" s="8" t="inlineStr">
        <is>
          <t>D836</t>
        </is>
      </c>
      <c r="F2229" s="8" t="inlineStr">
        <is>
          <t>67019979</t>
        </is>
      </c>
      <c r="G2229" s="8">
        <f>IFERROR(VLOOKUP(A2229,Flete!$A:$E,5,0),"")</f>
        <v/>
      </c>
      <c r="H2229" s="7">
        <f>IFERROR(VLOOKUP(F2229,TRAOPE!$AA:$AB,2,0),"")</f>
        <v/>
      </c>
      <c r="I2229" s="7" t="n">
        <v>10000811</v>
      </c>
      <c r="J2229" s="7">
        <f>IFERROR(VLOOKUP(I2229,Materiales!$A:$H,8,0),"")</f>
        <v/>
      </c>
      <c r="K2229" s="9">
        <f>IFERROR(VLOOKUP(I2229,Materiales!$A:$G,7,0),"")</f>
        <v/>
      </c>
      <c r="L2229" s="8" t="inlineStr">
        <is>
          <t>20240619</t>
        </is>
      </c>
      <c r="M2229" s="8" t="inlineStr">
        <is>
          <t>20251031</t>
        </is>
      </c>
      <c r="N2229" s="10" t="n">
        <v>180</v>
      </c>
      <c r="O2229" s="10">
        <f>IFERROR(VLOOKUP(A2229,Flete!$A:$J,10,0),"")</f>
        <v/>
      </c>
      <c r="P2229" s="8" t="inlineStr">
        <is>
          <t>M3</t>
        </is>
      </c>
      <c r="Q2229" s="10">
        <f>IFERROR(IFERROR(VLOOKUP(A2229,TRAOPE!$A:$U,21,0),VLOOKUP(B2229,TRAOPE!$A:$U,21,0)),"")</f>
        <v/>
      </c>
      <c r="R2229" s="8">
        <f>IFERROR(IFERROR(VLOOKUP(A2229,TRAOPE!$A:$W,23,0),VLOOKUP(B2229,TRAOPE!$A:$W,23,0)),"")</f>
        <v/>
      </c>
      <c r="S2229" s="10">
        <f>IF(AND(P2229="TN",R2229="TN"),N2229+N(O2229),IF(G2229&amp;""="1",N(K2229)*N2229,(N2229+N(O2229))*N(K2229)))</f>
        <v/>
      </c>
      <c r="T2229" s="10">
        <f>IF(Q2229="","",Q2229-S2229)</f>
        <v/>
      </c>
    </row>
    <row r="2230">
      <c r="A2230" s="7">
        <f>CONCATENATE(C2230,E2230,F2230,I2230)</f>
        <v/>
      </c>
      <c r="B2230" s="7">
        <f>CONCATENATE(C2230,E2230,I2230)</f>
        <v/>
      </c>
      <c r="C2230" s="8" t="n">
        <v>900003609</v>
      </c>
      <c r="D2230" s="7">
        <f>IFERROR(VLOOKUP(C2230,TRAOPE!$G:$H,2,0),"")</f>
        <v/>
      </c>
      <c r="E2230" s="8" t="inlineStr">
        <is>
          <t>D836</t>
        </is>
      </c>
      <c r="F2230" s="8" t="inlineStr">
        <is>
          <t>67019979</t>
        </is>
      </c>
      <c r="G2230" s="8">
        <f>IFERROR(VLOOKUP(A2230,Flete!$A:$E,5,0),"")</f>
        <v/>
      </c>
      <c r="H2230" s="7">
        <f>IFERROR(VLOOKUP(F2230,TRAOPE!$AA:$AB,2,0),"")</f>
        <v/>
      </c>
      <c r="I2230" s="7" t="n">
        <v>10058345</v>
      </c>
      <c r="J2230" s="7">
        <f>IFERROR(VLOOKUP(I2230,Materiales!$A:$H,8,0),"")</f>
        <v/>
      </c>
      <c r="K2230" s="9">
        <f>IFERROR(VLOOKUP(I2230,Materiales!$A:$G,7,0),"")</f>
        <v/>
      </c>
      <c r="L2230" s="8" t="inlineStr">
        <is>
          <t>20240619</t>
        </is>
      </c>
      <c r="M2230" s="8" t="inlineStr">
        <is>
          <t>20251031</t>
        </is>
      </c>
      <c r="N2230" s="10" t="n">
        <v>150</v>
      </c>
      <c r="O2230" s="10">
        <f>IFERROR(VLOOKUP(A2230,Flete!$A:$J,10,0),"")</f>
        <v/>
      </c>
      <c r="P2230" s="8" t="inlineStr">
        <is>
          <t>M3</t>
        </is>
      </c>
      <c r="Q2230" s="10">
        <f>IFERROR(IFERROR(VLOOKUP(A2230,TRAOPE!$A:$U,21,0),VLOOKUP(B2230,TRAOPE!$A:$U,21,0)),"")</f>
        <v/>
      </c>
      <c r="R2230" s="8">
        <f>IFERROR(IFERROR(VLOOKUP(A2230,TRAOPE!$A:$W,23,0),VLOOKUP(B2230,TRAOPE!$A:$W,23,0)),"")</f>
        <v/>
      </c>
      <c r="S2230" s="10">
        <f>IF(AND(P2230="TN",R2230="TN"),N2230+N(O2230),IF(G2230&amp;""="1",N(K2230)*N2230,(N2230+N(O2230))*N(K2230)))</f>
        <v/>
      </c>
      <c r="T2230" s="10">
        <f>IF(Q2230="","",Q2230-S2230)</f>
        <v/>
      </c>
    </row>
    <row r="2231">
      <c r="A2231" s="7">
        <f>CONCATENATE(C2231,E2231,F2231,I2231)</f>
        <v/>
      </c>
      <c r="B2231" s="7">
        <f>CONCATENATE(C2231,E2231,I2231)</f>
        <v/>
      </c>
      <c r="C2231" s="8" t="n">
        <v>900003609</v>
      </c>
      <c r="D2231" s="7">
        <f>IFERROR(VLOOKUP(C2231,TRAOPE!$G:$H,2,0),"")</f>
        <v/>
      </c>
      <c r="E2231" s="8" t="inlineStr">
        <is>
          <t>D836</t>
        </is>
      </c>
      <c r="F2231" s="8" t="inlineStr">
        <is>
          <t>67019979</t>
        </is>
      </c>
      <c r="G2231" s="8">
        <f>IFERROR(VLOOKUP(A2231,Flete!$A:$E,5,0),"")</f>
        <v/>
      </c>
      <c r="H2231" s="7">
        <f>IFERROR(VLOOKUP(F2231,TRAOPE!$AA:$AB,2,0),"")</f>
        <v/>
      </c>
      <c r="I2231" s="7" t="n">
        <v>10268133</v>
      </c>
      <c r="J2231" s="7">
        <f>IFERROR(VLOOKUP(I2231,Materiales!$A:$H,8,0),"")</f>
        <v/>
      </c>
      <c r="K2231" s="9">
        <f>IFERROR(VLOOKUP(I2231,Materiales!$A:$G,7,0),"")</f>
        <v/>
      </c>
      <c r="L2231" s="8" t="inlineStr">
        <is>
          <t>20240619</t>
        </is>
      </c>
      <c r="M2231" s="8" t="inlineStr">
        <is>
          <t>20251031</t>
        </is>
      </c>
      <c r="N2231" s="10" t="n">
        <v>184</v>
      </c>
      <c r="O2231" s="10">
        <f>IFERROR(VLOOKUP(A2231,Flete!$A:$J,10,0),"")</f>
        <v/>
      </c>
      <c r="P2231" s="8" t="inlineStr">
        <is>
          <t>M3</t>
        </is>
      </c>
      <c r="Q2231" s="10">
        <f>IFERROR(IFERROR(VLOOKUP(A2231,TRAOPE!$A:$U,21,0),VLOOKUP(B2231,TRAOPE!$A:$U,21,0)),"")</f>
        <v/>
      </c>
      <c r="R2231" s="8">
        <f>IFERROR(IFERROR(VLOOKUP(A2231,TRAOPE!$A:$W,23,0),VLOOKUP(B2231,TRAOPE!$A:$W,23,0)),"")</f>
        <v/>
      </c>
      <c r="S2231" s="10">
        <f>IF(AND(P2231="TN",R2231="TN"),N2231+N(O2231),IF(G2231&amp;""="1",N(K2231)*N2231,(N2231+N(O2231))*N(K2231)))</f>
        <v/>
      </c>
      <c r="T2231" s="10">
        <f>IF(Q2231="","",Q2231-S2231)</f>
        <v/>
      </c>
    </row>
    <row r="2232">
      <c r="A2232" s="7">
        <f>CONCATENATE(C2232,E2232,F2232,I2232)</f>
        <v/>
      </c>
      <c r="B2232" s="7">
        <f>CONCATENATE(C2232,E2232,I2232)</f>
        <v/>
      </c>
      <c r="C2232" s="8" t="n">
        <v>900003609</v>
      </c>
      <c r="D2232" s="7">
        <f>IFERROR(VLOOKUP(C2232,TRAOPE!$G:$H,2,0),"")</f>
        <v/>
      </c>
      <c r="E2232" s="8" t="inlineStr">
        <is>
          <t>D836</t>
        </is>
      </c>
      <c r="F2232" s="8" t="inlineStr">
        <is>
          <t>67019979</t>
        </is>
      </c>
      <c r="G2232" s="8">
        <f>IFERROR(VLOOKUP(A2232,Flete!$A:$E,5,0),"")</f>
        <v/>
      </c>
      <c r="H2232" s="7">
        <f>IFERROR(VLOOKUP(F2232,TRAOPE!$AA:$AB,2,0),"")</f>
        <v/>
      </c>
      <c r="I2232" s="7" t="n">
        <v>10268134</v>
      </c>
      <c r="J2232" s="7">
        <f>IFERROR(VLOOKUP(I2232,Materiales!$A:$H,8,0),"")</f>
        <v/>
      </c>
      <c r="K2232" s="9">
        <f>IFERROR(VLOOKUP(I2232,Materiales!$A:$G,7,0),"")</f>
        <v/>
      </c>
      <c r="L2232" s="8" t="inlineStr">
        <is>
          <t>20240619</t>
        </is>
      </c>
      <c r="M2232" s="8" t="inlineStr">
        <is>
          <t>20251031</t>
        </is>
      </c>
      <c r="N2232" s="10" t="n">
        <v>145</v>
      </c>
      <c r="O2232" s="10">
        <f>IFERROR(VLOOKUP(A2232,Flete!$A:$J,10,0),"")</f>
        <v/>
      </c>
      <c r="P2232" s="8" t="inlineStr">
        <is>
          <t>M3</t>
        </is>
      </c>
      <c r="Q2232" s="10">
        <f>IFERROR(IFERROR(VLOOKUP(A2232,TRAOPE!$A:$U,21,0),VLOOKUP(B2232,TRAOPE!$A:$U,21,0)),"")</f>
        <v/>
      </c>
      <c r="R2232" s="8">
        <f>IFERROR(IFERROR(VLOOKUP(A2232,TRAOPE!$A:$W,23,0),VLOOKUP(B2232,TRAOPE!$A:$W,23,0)),"")</f>
        <v/>
      </c>
      <c r="S2232" s="10">
        <f>IF(AND(P2232="TN",R2232="TN"),N2232+N(O2232),IF(G2232&amp;""="1",N(K2232)*N2232,(N2232+N(O2232))*N(K2232)))</f>
        <v/>
      </c>
      <c r="T2232" s="10">
        <f>IF(Q2232="","",Q2232-S2232)</f>
        <v/>
      </c>
    </row>
    <row r="2233">
      <c r="A2233" s="7">
        <f>CONCATENATE(C2233,E2233,F2233,I2233)</f>
        <v/>
      </c>
      <c r="B2233" s="7">
        <f>CONCATENATE(C2233,E2233,I2233)</f>
        <v/>
      </c>
      <c r="C2233" s="8" t="n">
        <v>900003609</v>
      </c>
      <c r="D2233" s="7">
        <f>IFERROR(VLOOKUP(C2233,TRAOPE!$G:$H,2,0),"")</f>
        <v/>
      </c>
      <c r="E2233" s="8" t="inlineStr">
        <is>
          <t>D836</t>
        </is>
      </c>
      <c r="F2233" s="8" t="inlineStr">
        <is>
          <t>67213976</t>
        </is>
      </c>
      <c r="G2233" s="8">
        <f>IFERROR(VLOOKUP(A2233,Flete!$A:$E,5,0),"")</f>
        <v/>
      </c>
      <c r="H2233" s="7">
        <f>IFERROR(VLOOKUP(F2233,TRAOPE!$AA:$AB,2,0),"")</f>
        <v/>
      </c>
      <c r="I2233" s="7" t="n">
        <v>10000722</v>
      </c>
      <c r="J2233" s="7">
        <f>IFERROR(VLOOKUP(I2233,Materiales!$A:$H,8,0),"")</f>
        <v/>
      </c>
      <c r="K2233" s="9">
        <f>IFERROR(VLOOKUP(I2233,Materiales!$A:$G,7,0),"")</f>
        <v/>
      </c>
      <c r="L2233" s="8" t="inlineStr">
        <is>
          <t>20240619</t>
        </is>
      </c>
      <c r="M2233" s="8" t="inlineStr">
        <is>
          <t>20251031</t>
        </is>
      </c>
      <c r="N2233" s="10" t="n">
        <v>170</v>
      </c>
      <c r="O2233" s="10">
        <f>IFERROR(VLOOKUP(A2233,Flete!$A:$J,10,0),"")</f>
        <v/>
      </c>
      <c r="P2233" s="8" t="inlineStr">
        <is>
          <t>M3</t>
        </is>
      </c>
      <c r="Q2233" s="10">
        <f>IFERROR(IFERROR(VLOOKUP(A2233,TRAOPE!$A:$U,21,0),VLOOKUP(B2233,TRAOPE!$A:$U,21,0)),"")</f>
        <v/>
      </c>
      <c r="R2233" s="8">
        <f>IFERROR(IFERROR(VLOOKUP(A2233,TRAOPE!$A:$W,23,0),VLOOKUP(B2233,TRAOPE!$A:$W,23,0)),"")</f>
        <v/>
      </c>
      <c r="S2233" s="10">
        <f>IF(AND(P2233="TN",R2233="TN"),N2233+N(O2233),IF(G2233&amp;""="1",N(K2233)*N2233,(N2233+N(O2233))*N(K2233)))</f>
        <v/>
      </c>
      <c r="T2233" s="10">
        <f>IF(Q2233="","",Q2233-S2233)</f>
        <v/>
      </c>
    </row>
    <row r="2234">
      <c r="A2234" s="7">
        <f>CONCATENATE(C2234,E2234,F2234,I2234)</f>
        <v/>
      </c>
      <c r="B2234" s="7">
        <f>CONCATENATE(C2234,E2234,I2234)</f>
        <v/>
      </c>
      <c r="C2234" s="8" t="n">
        <v>900003613</v>
      </c>
      <c r="D2234" s="7">
        <f>IFERROR(VLOOKUP(C2234,TRAOPE!$G:$H,2,0),"")</f>
        <v/>
      </c>
      <c r="E2234" s="8" t="inlineStr">
        <is>
          <t>D836</t>
        </is>
      </c>
      <c r="F2234" s="8" t="inlineStr">
        <is>
          <t>66868491</t>
        </is>
      </c>
      <c r="G2234" s="8">
        <f>IFERROR(VLOOKUP(A2234,Flete!$A:$E,5,0),"")</f>
        <v/>
      </c>
      <c r="H2234" s="7">
        <f>IFERROR(VLOOKUP(F2234,TRAOPE!$AA:$AB,2,0),"")</f>
        <v/>
      </c>
      <c r="I2234" s="7" t="n">
        <v>10000253</v>
      </c>
      <c r="J2234" s="7">
        <f>IFERROR(VLOOKUP(I2234,Materiales!$A:$H,8,0),"")</f>
        <v/>
      </c>
      <c r="K2234" s="9">
        <f>IFERROR(VLOOKUP(I2234,Materiales!$A:$G,7,0),"")</f>
        <v/>
      </c>
      <c r="L2234" s="8" t="inlineStr">
        <is>
          <t>20240619</t>
        </is>
      </c>
      <c r="M2234" s="8" t="inlineStr">
        <is>
          <t>20251031</t>
        </is>
      </c>
      <c r="N2234" s="10" t="n">
        <v>91.8</v>
      </c>
      <c r="O2234" s="10">
        <f>IFERROR(VLOOKUP(A2234,Flete!$A:$J,10,0),"")</f>
        <v/>
      </c>
      <c r="P2234" s="8" t="inlineStr">
        <is>
          <t>M3</t>
        </is>
      </c>
      <c r="Q2234" s="10">
        <f>IFERROR(IFERROR(VLOOKUP(A2234,TRAOPE!$A:$U,21,0),VLOOKUP(B2234,TRAOPE!$A:$U,21,0)),"")</f>
        <v/>
      </c>
      <c r="R2234" s="8">
        <f>IFERROR(IFERROR(VLOOKUP(A2234,TRAOPE!$A:$W,23,0),VLOOKUP(B2234,TRAOPE!$A:$W,23,0)),"")</f>
        <v/>
      </c>
      <c r="S2234" s="10">
        <f>IF(AND(P2234="TN",R2234="TN"),N2234+N(O2234),IF(G2234&amp;""="1",N(K2234)*N2234,(N2234+N(O2234))*N(K2234)))</f>
        <v/>
      </c>
      <c r="T2234" s="10">
        <f>IF(Q2234="","",Q2234-S2234)</f>
        <v/>
      </c>
    </row>
    <row r="2235">
      <c r="A2235" s="7">
        <f>CONCATENATE(C2235,E2235,F2235,I2235)</f>
        <v/>
      </c>
      <c r="B2235" s="7">
        <f>CONCATENATE(C2235,E2235,I2235)</f>
        <v/>
      </c>
      <c r="C2235" s="8" t="n">
        <v>900003613</v>
      </c>
      <c r="D2235" s="7">
        <f>IFERROR(VLOOKUP(C2235,TRAOPE!$G:$H,2,0),"")</f>
        <v/>
      </c>
      <c r="E2235" s="8" t="inlineStr">
        <is>
          <t>D836</t>
        </is>
      </c>
      <c r="F2235" s="8" t="inlineStr">
        <is>
          <t>66868491</t>
        </is>
      </c>
      <c r="G2235" s="8">
        <f>IFERROR(VLOOKUP(A2235,Flete!$A:$E,5,0),"")</f>
        <v/>
      </c>
      <c r="H2235" s="7">
        <f>IFERROR(VLOOKUP(F2235,TRAOPE!$AA:$AB,2,0),"")</f>
        <v/>
      </c>
      <c r="I2235" s="7" t="n">
        <v>10000627</v>
      </c>
      <c r="J2235" s="7">
        <f>IFERROR(VLOOKUP(I2235,Materiales!$A:$H,8,0),"")</f>
        <v/>
      </c>
      <c r="K2235" s="9">
        <f>IFERROR(VLOOKUP(I2235,Materiales!$A:$G,7,0),"")</f>
        <v/>
      </c>
      <c r="L2235" s="8" t="inlineStr">
        <is>
          <t>20240619</t>
        </is>
      </c>
      <c r="M2235" s="8" t="inlineStr">
        <is>
          <t>20251031</t>
        </is>
      </c>
      <c r="N2235" s="10" t="n">
        <v>81</v>
      </c>
      <c r="O2235" s="10">
        <f>IFERROR(VLOOKUP(A2235,Flete!$A:$J,10,0),"")</f>
        <v/>
      </c>
      <c r="P2235" s="8" t="inlineStr">
        <is>
          <t>M3</t>
        </is>
      </c>
      <c r="Q2235" s="10">
        <f>IFERROR(IFERROR(VLOOKUP(A2235,TRAOPE!$A:$U,21,0),VLOOKUP(B2235,TRAOPE!$A:$U,21,0)),"")</f>
        <v/>
      </c>
      <c r="R2235" s="8">
        <f>IFERROR(IFERROR(VLOOKUP(A2235,TRAOPE!$A:$W,23,0),VLOOKUP(B2235,TRAOPE!$A:$W,23,0)),"")</f>
        <v/>
      </c>
      <c r="S2235" s="10">
        <f>IF(AND(P2235="TN",R2235="TN"),N2235+N(O2235),IF(G2235&amp;""="1",N(K2235)*N2235,(N2235+N(O2235))*N(K2235)))</f>
        <v/>
      </c>
      <c r="T2235" s="10">
        <f>IF(Q2235="","",Q2235-S2235)</f>
        <v/>
      </c>
    </row>
    <row r="2236">
      <c r="A2236" s="7">
        <f>CONCATENATE(C2236,E2236,F2236,I2236)</f>
        <v/>
      </c>
      <c r="B2236" s="7">
        <f>CONCATENATE(C2236,E2236,I2236)</f>
        <v/>
      </c>
      <c r="C2236" s="8" t="n">
        <v>900003613</v>
      </c>
      <c r="D2236" s="7">
        <f>IFERROR(VLOOKUP(C2236,TRAOPE!$G:$H,2,0),"")</f>
        <v/>
      </c>
      <c r="E2236" s="8" t="inlineStr">
        <is>
          <t>D836</t>
        </is>
      </c>
      <c r="F2236" s="8" t="inlineStr">
        <is>
          <t>66868491</t>
        </is>
      </c>
      <c r="G2236" s="8">
        <f>IFERROR(VLOOKUP(A2236,Flete!$A:$E,5,0),"")</f>
        <v/>
      </c>
      <c r="H2236" s="7">
        <f>IFERROR(VLOOKUP(F2236,TRAOPE!$AA:$AB,2,0),"")</f>
        <v/>
      </c>
      <c r="I2236" s="7" t="n">
        <v>10000651</v>
      </c>
      <c r="J2236" s="7">
        <f>IFERROR(VLOOKUP(I2236,Materiales!$A:$H,8,0),"")</f>
        <v/>
      </c>
      <c r="K2236" s="9">
        <f>IFERROR(VLOOKUP(I2236,Materiales!$A:$G,7,0),"")</f>
        <v/>
      </c>
      <c r="L2236" s="8" t="inlineStr">
        <is>
          <t>20240619</t>
        </is>
      </c>
      <c r="M2236" s="8" t="inlineStr">
        <is>
          <t>20251031</t>
        </is>
      </c>
      <c r="N2236" s="10" t="n">
        <v>97.2</v>
      </c>
      <c r="O2236" s="10">
        <f>IFERROR(VLOOKUP(A2236,Flete!$A:$J,10,0),"")</f>
        <v/>
      </c>
      <c r="P2236" s="8" t="inlineStr">
        <is>
          <t>M3</t>
        </is>
      </c>
      <c r="Q2236" s="10">
        <f>IFERROR(IFERROR(VLOOKUP(A2236,TRAOPE!$A:$U,21,0),VLOOKUP(B2236,TRAOPE!$A:$U,21,0)),"")</f>
        <v/>
      </c>
      <c r="R2236" s="8">
        <f>IFERROR(IFERROR(VLOOKUP(A2236,TRAOPE!$A:$W,23,0),VLOOKUP(B2236,TRAOPE!$A:$W,23,0)),"")</f>
        <v/>
      </c>
      <c r="S2236" s="10">
        <f>IF(AND(P2236="TN",R2236="TN"),N2236+N(O2236),IF(G2236&amp;""="1",N(K2236)*N2236,(N2236+N(O2236))*N(K2236)))</f>
        <v/>
      </c>
      <c r="T2236" s="10">
        <f>IF(Q2236="","",Q2236-S2236)</f>
        <v/>
      </c>
    </row>
    <row r="2237">
      <c r="A2237" s="7">
        <f>CONCATENATE(C2237,E2237,F2237,I2237)</f>
        <v/>
      </c>
      <c r="B2237" s="7">
        <f>CONCATENATE(C2237,E2237,I2237)</f>
        <v/>
      </c>
      <c r="C2237" s="8" t="n">
        <v>900003613</v>
      </c>
      <c r="D2237" s="7">
        <f>IFERROR(VLOOKUP(C2237,TRAOPE!$G:$H,2,0),"")</f>
        <v/>
      </c>
      <c r="E2237" s="8" t="inlineStr">
        <is>
          <t>D836</t>
        </is>
      </c>
      <c r="F2237" s="8" t="inlineStr">
        <is>
          <t>66868491</t>
        </is>
      </c>
      <c r="G2237" s="8">
        <f>IFERROR(VLOOKUP(A2237,Flete!$A:$E,5,0),"")</f>
        <v/>
      </c>
      <c r="H2237" s="7">
        <f>IFERROR(VLOOKUP(F2237,TRAOPE!$AA:$AB,2,0),"")</f>
        <v/>
      </c>
      <c r="I2237" s="7" t="n">
        <v>10059181</v>
      </c>
      <c r="J2237" s="7">
        <f>IFERROR(VLOOKUP(I2237,Materiales!$A:$H,8,0),"")</f>
        <v/>
      </c>
      <c r="K2237" s="9">
        <f>IFERROR(VLOOKUP(I2237,Materiales!$A:$G,7,0),"")</f>
        <v/>
      </c>
      <c r="L2237" s="8" t="inlineStr">
        <is>
          <t>20240619</t>
        </is>
      </c>
      <c r="M2237" s="8" t="inlineStr">
        <is>
          <t>20251031</t>
        </is>
      </c>
      <c r="N2237" s="10" t="n">
        <v>81</v>
      </c>
      <c r="O2237" s="10">
        <f>IFERROR(VLOOKUP(A2237,Flete!$A:$J,10,0),"")</f>
        <v/>
      </c>
      <c r="P2237" s="8" t="inlineStr">
        <is>
          <t>M3</t>
        </is>
      </c>
      <c r="Q2237" s="10">
        <f>IFERROR(IFERROR(VLOOKUP(A2237,TRAOPE!$A:$U,21,0),VLOOKUP(B2237,TRAOPE!$A:$U,21,0)),"")</f>
        <v/>
      </c>
      <c r="R2237" s="8">
        <f>IFERROR(IFERROR(VLOOKUP(A2237,TRAOPE!$A:$W,23,0),VLOOKUP(B2237,TRAOPE!$A:$W,23,0)),"")</f>
        <v/>
      </c>
      <c r="S2237" s="10">
        <f>IF(AND(P2237="TN",R2237="TN"),N2237+N(O2237),IF(G2237&amp;""="1",N(K2237)*N2237,(N2237+N(O2237))*N(K2237)))</f>
        <v/>
      </c>
      <c r="T2237" s="10">
        <f>IF(Q2237="","",Q2237-S2237)</f>
        <v/>
      </c>
    </row>
    <row r="2238">
      <c r="A2238" s="7">
        <f>CONCATENATE(C2238,E2238,F2238,I2238)</f>
        <v/>
      </c>
      <c r="B2238" s="7">
        <f>CONCATENATE(C2238,E2238,I2238)</f>
        <v/>
      </c>
      <c r="C2238" s="8" t="n">
        <v>900003613</v>
      </c>
      <c r="D2238" s="7">
        <f>IFERROR(VLOOKUP(C2238,TRAOPE!$G:$H,2,0),"")</f>
        <v/>
      </c>
      <c r="E2238" s="8" t="inlineStr">
        <is>
          <t>D836</t>
        </is>
      </c>
      <c r="F2238" s="8" t="inlineStr">
        <is>
          <t>66982551</t>
        </is>
      </c>
      <c r="G2238" s="8">
        <f>IFERROR(VLOOKUP(A2238,Flete!$A:$E,5,0),"")</f>
        <v/>
      </c>
      <c r="H2238" s="7">
        <f>IFERROR(VLOOKUP(F2238,TRAOPE!$AA:$AB,2,0),"")</f>
        <v/>
      </c>
      <c r="I2238" s="7" t="n">
        <v>10000253</v>
      </c>
      <c r="J2238" s="7">
        <f>IFERROR(VLOOKUP(I2238,Materiales!$A:$H,8,0),"")</f>
        <v/>
      </c>
      <c r="K2238" s="9">
        <f>IFERROR(VLOOKUP(I2238,Materiales!$A:$G,7,0),"")</f>
        <v/>
      </c>
      <c r="L2238" s="8" t="inlineStr">
        <is>
          <t>20240619</t>
        </is>
      </c>
      <c r="M2238" s="8" t="inlineStr">
        <is>
          <t>20251031</t>
        </is>
      </c>
      <c r="N2238" s="10" t="n">
        <v>93</v>
      </c>
      <c r="O2238" s="10">
        <f>IFERROR(VLOOKUP(A2238,Flete!$A:$J,10,0),"")</f>
        <v/>
      </c>
      <c r="P2238" s="8" t="inlineStr">
        <is>
          <t>M3</t>
        </is>
      </c>
      <c r="Q2238" s="10">
        <f>IFERROR(IFERROR(VLOOKUP(A2238,TRAOPE!$A:$U,21,0),VLOOKUP(B2238,TRAOPE!$A:$U,21,0)),"")</f>
        <v/>
      </c>
      <c r="R2238" s="8">
        <f>IFERROR(IFERROR(VLOOKUP(A2238,TRAOPE!$A:$W,23,0),VLOOKUP(B2238,TRAOPE!$A:$W,23,0)),"")</f>
        <v/>
      </c>
      <c r="S2238" s="10">
        <f>IF(AND(P2238="TN",R2238="TN"),N2238+N(O2238),IF(G2238&amp;""="1",N(K2238)*N2238,(N2238+N(O2238))*N(K2238)))</f>
        <v/>
      </c>
      <c r="T2238" s="10">
        <f>IF(Q2238="","",Q2238-S2238)</f>
        <v/>
      </c>
    </row>
    <row r="2239">
      <c r="A2239" s="7">
        <f>CONCATENATE(C2239,E2239,F2239,I2239)</f>
        <v/>
      </c>
      <c r="B2239" s="7">
        <f>CONCATENATE(C2239,E2239,I2239)</f>
        <v/>
      </c>
      <c r="C2239" s="8" t="n">
        <v>900003613</v>
      </c>
      <c r="D2239" s="7">
        <f>IFERROR(VLOOKUP(C2239,TRAOPE!$G:$H,2,0),"")</f>
        <v/>
      </c>
      <c r="E2239" s="8" t="inlineStr">
        <is>
          <t>D836</t>
        </is>
      </c>
      <c r="F2239" s="8" t="inlineStr">
        <is>
          <t>66982551</t>
        </is>
      </c>
      <c r="G2239" s="8">
        <f>IFERROR(VLOOKUP(A2239,Flete!$A:$E,5,0),"")</f>
        <v/>
      </c>
      <c r="H2239" s="7">
        <f>IFERROR(VLOOKUP(F2239,TRAOPE!$AA:$AB,2,0),"")</f>
        <v/>
      </c>
      <c r="I2239" s="7" t="n">
        <v>10059181</v>
      </c>
      <c r="J2239" s="7">
        <f>IFERROR(VLOOKUP(I2239,Materiales!$A:$H,8,0),"")</f>
        <v/>
      </c>
      <c r="K2239" s="9">
        <f>IFERROR(VLOOKUP(I2239,Materiales!$A:$G,7,0),"")</f>
        <v/>
      </c>
      <c r="L2239" s="8" t="inlineStr">
        <is>
          <t>20240619</t>
        </is>
      </c>
      <c r="M2239" s="8" t="inlineStr">
        <is>
          <t>20251031</t>
        </is>
      </c>
      <c r="N2239" s="10" t="n">
        <v>81.90000000000001</v>
      </c>
      <c r="O2239" s="10">
        <f>IFERROR(VLOOKUP(A2239,Flete!$A:$J,10,0),"")</f>
        <v/>
      </c>
      <c r="P2239" s="8" t="inlineStr">
        <is>
          <t>M3</t>
        </is>
      </c>
      <c r="Q2239" s="10">
        <f>IFERROR(IFERROR(VLOOKUP(A2239,TRAOPE!$A:$U,21,0),VLOOKUP(B2239,TRAOPE!$A:$U,21,0)),"")</f>
        <v/>
      </c>
      <c r="R2239" s="8">
        <f>IFERROR(IFERROR(VLOOKUP(A2239,TRAOPE!$A:$W,23,0),VLOOKUP(B2239,TRAOPE!$A:$W,23,0)),"")</f>
        <v/>
      </c>
      <c r="S2239" s="10">
        <f>IF(AND(P2239="TN",R2239="TN"),N2239+N(O2239),IF(G2239&amp;""="1",N(K2239)*N2239,(N2239+N(O2239))*N(K2239)))</f>
        <v/>
      </c>
      <c r="T2239" s="10">
        <f>IF(Q2239="","",Q2239-S2239)</f>
        <v/>
      </c>
    </row>
    <row r="2240">
      <c r="A2240" s="7">
        <f>CONCATENATE(C2240,E2240,F2240,I2240)</f>
        <v/>
      </c>
      <c r="B2240" s="7">
        <f>CONCATENATE(C2240,E2240,I2240)</f>
        <v/>
      </c>
      <c r="C2240" s="8" t="n">
        <v>900003613</v>
      </c>
      <c r="D2240" s="7">
        <f>IFERROR(VLOOKUP(C2240,TRAOPE!$G:$H,2,0),"")</f>
        <v/>
      </c>
      <c r="E2240" s="8" t="inlineStr">
        <is>
          <t>D836</t>
        </is>
      </c>
      <c r="F2240" s="8" t="inlineStr">
        <is>
          <t>67288888</t>
        </is>
      </c>
      <c r="G2240" s="8">
        <f>IFERROR(VLOOKUP(A2240,Flete!$A:$E,5,0),"")</f>
        <v/>
      </c>
      <c r="H2240" s="7">
        <f>IFERROR(VLOOKUP(F2240,TRAOPE!$AA:$AB,2,0),"")</f>
        <v/>
      </c>
      <c r="I2240" s="7" t="n">
        <v>10000253</v>
      </c>
      <c r="J2240" s="7">
        <f>IFERROR(VLOOKUP(I2240,Materiales!$A:$H,8,0),"")</f>
        <v/>
      </c>
      <c r="K2240" s="9">
        <f>IFERROR(VLOOKUP(I2240,Materiales!$A:$G,7,0),"")</f>
        <v/>
      </c>
      <c r="L2240" s="8" t="inlineStr">
        <is>
          <t>20240619</t>
        </is>
      </c>
      <c r="M2240" s="8" t="inlineStr">
        <is>
          <t>20251031</t>
        </is>
      </c>
      <c r="N2240" s="10" t="n">
        <v>90.2</v>
      </c>
      <c r="O2240" s="10">
        <f>IFERROR(VLOOKUP(A2240,Flete!$A:$J,10,0),"")</f>
        <v/>
      </c>
      <c r="P2240" s="8" t="inlineStr">
        <is>
          <t>M3</t>
        </is>
      </c>
      <c r="Q2240" s="10">
        <f>IFERROR(IFERROR(VLOOKUP(A2240,TRAOPE!$A:$U,21,0),VLOOKUP(B2240,TRAOPE!$A:$U,21,0)),"")</f>
        <v/>
      </c>
      <c r="R2240" s="8">
        <f>IFERROR(IFERROR(VLOOKUP(A2240,TRAOPE!$A:$W,23,0),VLOOKUP(B2240,TRAOPE!$A:$W,23,0)),"")</f>
        <v/>
      </c>
      <c r="S2240" s="10">
        <f>IF(AND(P2240="TN",R2240="TN"),N2240+N(O2240),IF(G2240&amp;""="1",N(K2240)*N2240,(N2240+N(O2240))*N(K2240)))</f>
        <v/>
      </c>
      <c r="T2240" s="10">
        <f>IF(Q2240="","",Q2240-S2240)</f>
        <v/>
      </c>
    </row>
    <row r="2241">
      <c r="A2241" s="7">
        <f>CONCATENATE(C2241,E2241,F2241,I2241)</f>
        <v/>
      </c>
      <c r="B2241" s="7">
        <f>CONCATENATE(C2241,E2241,I2241)</f>
        <v/>
      </c>
      <c r="C2241" s="8" t="n">
        <v>900003613</v>
      </c>
      <c r="D2241" s="7">
        <f>IFERROR(VLOOKUP(C2241,TRAOPE!$G:$H,2,0),"")</f>
        <v/>
      </c>
      <c r="E2241" s="8" t="inlineStr">
        <is>
          <t>D836</t>
        </is>
      </c>
      <c r="F2241" s="8" t="inlineStr">
        <is>
          <t>67288888</t>
        </is>
      </c>
      <c r="G2241" s="8">
        <f>IFERROR(VLOOKUP(A2241,Flete!$A:$E,5,0),"")</f>
        <v/>
      </c>
      <c r="H2241" s="7">
        <f>IFERROR(VLOOKUP(F2241,TRAOPE!$AA:$AB,2,0),"")</f>
        <v/>
      </c>
      <c r="I2241" s="7" t="n">
        <v>10059181</v>
      </c>
      <c r="J2241" s="7">
        <f>IFERROR(VLOOKUP(I2241,Materiales!$A:$H,8,0),"")</f>
        <v/>
      </c>
      <c r="K2241" s="9">
        <f>IFERROR(VLOOKUP(I2241,Materiales!$A:$G,7,0),"")</f>
        <v/>
      </c>
      <c r="L2241" s="8" t="inlineStr">
        <is>
          <t>20240619</t>
        </is>
      </c>
      <c r="M2241" s="8" t="inlineStr">
        <is>
          <t>20251031</t>
        </is>
      </c>
      <c r="N2241" s="10" t="n">
        <v>81.09999999999999</v>
      </c>
      <c r="O2241" s="10">
        <f>IFERROR(VLOOKUP(A2241,Flete!$A:$J,10,0),"")</f>
        <v/>
      </c>
      <c r="P2241" s="8" t="inlineStr">
        <is>
          <t>M3</t>
        </is>
      </c>
      <c r="Q2241" s="10">
        <f>IFERROR(IFERROR(VLOOKUP(A2241,TRAOPE!$A:$U,21,0),VLOOKUP(B2241,TRAOPE!$A:$U,21,0)),"")</f>
        <v/>
      </c>
      <c r="R2241" s="8">
        <f>IFERROR(IFERROR(VLOOKUP(A2241,TRAOPE!$A:$W,23,0),VLOOKUP(B2241,TRAOPE!$A:$W,23,0)),"")</f>
        <v/>
      </c>
      <c r="S2241" s="10">
        <f>IF(AND(P2241="TN",R2241="TN"),N2241+N(O2241),IF(G2241&amp;""="1",N(K2241)*N2241,(N2241+N(O2241))*N(K2241)))</f>
        <v/>
      </c>
      <c r="T2241" s="10">
        <f>IF(Q2241="","",Q2241-S2241)</f>
        <v/>
      </c>
    </row>
    <row r="2242">
      <c r="A2242" s="7">
        <f>CONCATENATE(C2242,E2242,F2242,I2242)</f>
        <v/>
      </c>
      <c r="B2242" s="7">
        <f>CONCATENATE(C2242,E2242,I2242)</f>
        <v/>
      </c>
      <c r="C2242" s="8" t="n">
        <v>900004077</v>
      </c>
      <c r="D2242" s="7">
        <f>IFERROR(VLOOKUP(C2242,TRAOPE!$G:$H,2,0),"")</f>
        <v/>
      </c>
      <c r="E2242" s="8" t="inlineStr">
        <is>
          <t>D836</t>
        </is>
      </c>
      <c r="F2242" s="8" t="inlineStr">
        <is>
          <t>65232687</t>
        </is>
      </c>
      <c r="G2242" s="8">
        <f>IFERROR(VLOOKUP(A2242,Flete!$A:$E,5,0),"")</f>
        <v/>
      </c>
      <c r="H2242" s="7">
        <f>IFERROR(VLOOKUP(F2242,TRAOPE!$AA:$AB,2,0),"")</f>
        <v/>
      </c>
      <c r="I2242" s="7" t="n">
        <v>10215377</v>
      </c>
      <c r="J2242" s="7">
        <f>IFERROR(VLOOKUP(I2242,Materiales!$A:$H,8,0),"")</f>
        <v/>
      </c>
      <c r="K2242" s="9">
        <f>IFERROR(VLOOKUP(I2242,Materiales!$A:$G,7,0),"")</f>
        <v/>
      </c>
      <c r="L2242" s="8" t="inlineStr">
        <is>
          <t>20240619</t>
        </is>
      </c>
      <c r="M2242" s="8" t="inlineStr">
        <is>
          <t>20251031</t>
        </is>
      </c>
      <c r="N2242" s="10" t="n">
        <v>135</v>
      </c>
      <c r="O2242" s="10">
        <f>IFERROR(VLOOKUP(A2242,Flete!$A:$J,10,0),"")</f>
        <v/>
      </c>
      <c r="P2242" s="8" t="inlineStr">
        <is>
          <t>M3</t>
        </is>
      </c>
      <c r="Q2242" s="10">
        <f>IFERROR(IFERROR(VLOOKUP(A2242,TRAOPE!$A:$U,21,0),VLOOKUP(B2242,TRAOPE!$A:$U,21,0)),"")</f>
        <v/>
      </c>
      <c r="R2242" s="8">
        <f>IFERROR(IFERROR(VLOOKUP(A2242,TRAOPE!$A:$W,23,0),VLOOKUP(B2242,TRAOPE!$A:$W,23,0)),"")</f>
        <v/>
      </c>
      <c r="S2242" s="10">
        <f>IF(AND(P2242="TN",R2242="TN"),N2242+N(O2242),IF(G2242&amp;""="1",N(K2242)*N2242,(N2242+N(O2242))*N(K2242)))</f>
        <v/>
      </c>
      <c r="T2242" s="10">
        <f>IF(Q2242="","",Q2242-S2242)</f>
        <v/>
      </c>
    </row>
    <row r="2243">
      <c r="A2243" s="7">
        <f>CONCATENATE(C2243,E2243,F2243,I2243)</f>
        <v/>
      </c>
      <c r="B2243" s="7">
        <f>CONCATENATE(C2243,E2243,I2243)</f>
        <v/>
      </c>
      <c r="C2243" s="8" t="n">
        <v>900004365</v>
      </c>
      <c r="D2243" s="7">
        <f>IFERROR(VLOOKUP(C2243,TRAOPE!$G:$H,2,0),"")</f>
        <v/>
      </c>
      <c r="E2243" s="8" t="inlineStr">
        <is>
          <t>D836</t>
        </is>
      </c>
      <c r="F2243" s="8" t="inlineStr">
        <is>
          <t>65406062</t>
        </is>
      </c>
      <c r="G2243" s="8">
        <f>IFERROR(VLOOKUP(A2243,Flete!$A:$E,5,0),"")</f>
        <v/>
      </c>
      <c r="H2243" s="7">
        <f>IFERROR(VLOOKUP(F2243,TRAOPE!$AA:$AB,2,0),"")</f>
        <v/>
      </c>
      <c r="I2243" s="7" t="n">
        <v>10000357</v>
      </c>
      <c r="J2243" s="7">
        <f>IFERROR(VLOOKUP(I2243,Materiales!$A:$H,8,0),"")</f>
        <v/>
      </c>
      <c r="K2243" s="9">
        <f>IFERROR(VLOOKUP(I2243,Materiales!$A:$G,7,0),"")</f>
        <v/>
      </c>
      <c r="L2243" s="8" t="inlineStr">
        <is>
          <t>20240619</t>
        </is>
      </c>
      <c r="M2243" s="8" t="inlineStr">
        <is>
          <t>20251031</t>
        </is>
      </c>
      <c r="N2243" s="10" t="n">
        <v>166</v>
      </c>
      <c r="O2243" s="10">
        <f>IFERROR(VLOOKUP(A2243,Flete!$A:$J,10,0),"")</f>
        <v/>
      </c>
      <c r="P2243" s="8" t="inlineStr">
        <is>
          <t>M3</t>
        </is>
      </c>
      <c r="Q2243" s="10">
        <f>IFERROR(IFERROR(VLOOKUP(A2243,TRAOPE!$A:$U,21,0),VLOOKUP(B2243,TRAOPE!$A:$U,21,0)),"")</f>
        <v/>
      </c>
      <c r="R2243" s="8">
        <f>IFERROR(IFERROR(VLOOKUP(A2243,TRAOPE!$A:$W,23,0),VLOOKUP(B2243,TRAOPE!$A:$W,23,0)),"")</f>
        <v/>
      </c>
      <c r="S2243" s="10">
        <f>IF(AND(P2243="TN",R2243="TN"),N2243+N(O2243),IF(G2243&amp;""="1",N(K2243)*N2243,(N2243+N(O2243))*N(K2243)))</f>
        <v/>
      </c>
      <c r="T2243" s="10">
        <f>IF(Q2243="","",Q2243-S2243)</f>
        <v/>
      </c>
    </row>
    <row r="2244">
      <c r="A2244" s="7">
        <f>CONCATENATE(C2244,E2244,F2244,I2244)</f>
        <v/>
      </c>
      <c r="B2244" s="7">
        <f>CONCATENATE(C2244,E2244,I2244)</f>
        <v/>
      </c>
      <c r="C2244" s="8" t="n">
        <v>900004365</v>
      </c>
      <c r="D2244" s="7">
        <f>IFERROR(VLOOKUP(C2244,TRAOPE!$G:$H,2,0),"")</f>
        <v/>
      </c>
      <c r="E2244" s="8" t="inlineStr">
        <is>
          <t>D836</t>
        </is>
      </c>
      <c r="F2244" s="8" t="inlineStr">
        <is>
          <t>65406062</t>
        </is>
      </c>
      <c r="G2244" s="8">
        <f>IFERROR(VLOOKUP(A2244,Flete!$A:$E,5,0),"")</f>
        <v/>
      </c>
      <c r="H2244" s="7">
        <f>IFERROR(VLOOKUP(F2244,TRAOPE!$AA:$AB,2,0),"")</f>
        <v/>
      </c>
      <c r="I2244" s="7" t="n">
        <v>10149994</v>
      </c>
      <c r="J2244" s="7">
        <f>IFERROR(VLOOKUP(I2244,Materiales!$A:$H,8,0),"")</f>
        <v/>
      </c>
      <c r="K2244" s="9">
        <f>IFERROR(VLOOKUP(I2244,Materiales!$A:$G,7,0),"")</f>
        <v/>
      </c>
      <c r="L2244" s="8" t="inlineStr">
        <is>
          <t>20240619</t>
        </is>
      </c>
      <c r="M2244" s="8" t="inlineStr">
        <is>
          <t>20251031</t>
        </is>
      </c>
      <c r="N2244" s="10" t="n">
        <v>146</v>
      </c>
      <c r="O2244" s="10">
        <f>IFERROR(VLOOKUP(A2244,Flete!$A:$J,10,0),"")</f>
        <v/>
      </c>
      <c r="P2244" s="8" t="inlineStr">
        <is>
          <t>M3</t>
        </is>
      </c>
      <c r="Q2244" s="10">
        <f>IFERROR(IFERROR(VLOOKUP(A2244,TRAOPE!$A:$U,21,0),VLOOKUP(B2244,TRAOPE!$A:$U,21,0)),"")</f>
        <v/>
      </c>
      <c r="R2244" s="8">
        <f>IFERROR(IFERROR(VLOOKUP(A2244,TRAOPE!$A:$W,23,0),VLOOKUP(B2244,TRAOPE!$A:$W,23,0)),"")</f>
        <v/>
      </c>
      <c r="S2244" s="10">
        <f>IF(AND(P2244="TN",R2244="TN"),N2244+N(O2244),IF(G2244&amp;""="1",N(K2244)*N2244,(N2244+N(O2244))*N(K2244)))</f>
        <v/>
      </c>
      <c r="T2244" s="10">
        <f>IF(Q2244="","",Q2244-S2244)</f>
        <v/>
      </c>
    </row>
    <row r="2245">
      <c r="A2245" s="7">
        <f>CONCATENATE(C2245,E2245,F2245,I2245)</f>
        <v/>
      </c>
      <c r="B2245" s="7">
        <f>CONCATENATE(C2245,E2245,I2245)</f>
        <v/>
      </c>
      <c r="C2245" s="8" t="n">
        <v>900004365</v>
      </c>
      <c r="D2245" s="7">
        <f>IFERROR(VLOOKUP(C2245,TRAOPE!$G:$H,2,0),"")</f>
        <v/>
      </c>
      <c r="E2245" s="8" t="inlineStr">
        <is>
          <t>D836</t>
        </is>
      </c>
      <c r="F2245" s="8" t="inlineStr">
        <is>
          <t>65406064</t>
        </is>
      </c>
      <c r="G2245" s="8">
        <f>IFERROR(VLOOKUP(A2245,Flete!$A:$E,5,0),"")</f>
        <v/>
      </c>
      <c r="H2245" s="7">
        <f>IFERROR(VLOOKUP(F2245,TRAOPE!$AA:$AB,2,0),"")</f>
        <v/>
      </c>
      <c r="I2245" s="7" t="n">
        <v>10000357</v>
      </c>
      <c r="J2245" s="7">
        <f>IFERROR(VLOOKUP(I2245,Materiales!$A:$H,8,0),"")</f>
        <v/>
      </c>
      <c r="K2245" s="9">
        <f>IFERROR(VLOOKUP(I2245,Materiales!$A:$G,7,0),"")</f>
        <v/>
      </c>
      <c r="L2245" s="8" t="inlineStr">
        <is>
          <t>20240619</t>
        </is>
      </c>
      <c r="M2245" s="8" t="inlineStr">
        <is>
          <t>20251031</t>
        </is>
      </c>
      <c r="N2245" s="10" t="n">
        <v>166</v>
      </c>
      <c r="O2245" s="10">
        <f>IFERROR(VLOOKUP(A2245,Flete!$A:$J,10,0),"")</f>
        <v/>
      </c>
      <c r="P2245" s="8" t="inlineStr">
        <is>
          <t>M3</t>
        </is>
      </c>
      <c r="Q2245" s="10">
        <f>IFERROR(IFERROR(VLOOKUP(A2245,TRAOPE!$A:$U,21,0),VLOOKUP(B2245,TRAOPE!$A:$U,21,0)),"")</f>
        <v/>
      </c>
      <c r="R2245" s="8">
        <f>IFERROR(IFERROR(VLOOKUP(A2245,TRAOPE!$A:$W,23,0),VLOOKUP(B2245,TRAOPE!$A:$W,23,0)),"")</f>
        <v/>
      </c>
      <c r="S2245" s="10">
        <f>IF(AND(P2245="TN",R2245="TN"),N2245+N(O2245),IF(G2245&amp;""="1",N(K2245)*N2245,(N2245+N(O2245))*N(K2245)))</f>
        <v/>
      </c>
      <c r="T2245" s="10">
        <f>IF(Q2245="","",Q2245-S2245)</f>
        <v/>
      </c>
    </row>
    <row r="2246">
      <c r="A2246" s="7">
        <f>CONCATENATE(C2246,E2246,F2246,I2246)</f>
        <v/>
      </c>
      <c r="B2246" s="7">
        <f>CONCATENATE(C2246,E2246,I2246)</f>
        <v/>
      </c>
      <c r="C2246" s="8" t="n">
        <v>900004365</v>
      </c>
      <c r="D2246" s="7">
        <f>IFERROR(VLOOKUP(C2246,TRAOPE!$G:$H,2,0),"")</f>
        <v/>
      </c>
      <c r="E2246" s="8" t="inlineStr">
        <is>
          <t>D836</t>
        </is>
      </c>
      <c r="F2246" s="8" t="inlineStr">
        <is>
          <t>65406064</t>
        </is>
      </c>
      <c r="G2246" s="8">
        <f>IFERROR(VLOOKUP(A2246,Flete!$A:$E,5,0),"")</f>
        <v/>
      </c>
      <c r="H2246" s="7">
        <f>IFERROR(VLOOKUP(F2246,TRAOPE!$AA:$AB,2,0),"")</f>
        <v/>
      </c>
      <c r="I2246" s="7" t="n">
        <v>10149994</v>
      </c>
      <c r="J2246" s="7">
        <f>IFERROR(VLOOKUP(I2246,Materiales!$A:$H,8,0),"")</f>
        <v/>
      </c>
      <c r="K2246" s="9">
        <f>IFERROR(VLOOKUP(I2246,Materiales!$A:$G,7,0),"")</f>
        <v/>
      </c>
      <c r="L2246" s="8" t="inlineStr">
        <is>
          <t>20240619</t>
        </is>
      </c>
      <c r="M2246" s="8" t="inlineStr">
        <is>
          <t>20251031</t>
        </is>
      </c>
      <c r="N2246" s="10" t="n">
        <v>146</v>
      </c>
      <c r="O2246" s="10">
        <f>IFERROR(VLOOKUP(A2246,Flete!$A:$J,10,0),"")</f>
        <v/>
      </c>
      <c r="P2246" s="8" t="inlineStr">
        <is>
          <t>M3</t>
        </is>
      </c>
      <c r="Q2246" s="10">
        <f>IFERROR(IFERROR(VLOOKUP(A2246,TRAOPE!$A:$U,21,0),VLOOKUP(B2246,TRAOPE!$A:$U,21,0)),"")</f>
        <v/>
      </c>
      <c r="R2246" s="8">
        <f>IFERROR(IFERROR(VLOOKUP(A2246,TRAOPE!$A:$W,23,0),VLOOKUP(B2246,TRAOPE!$A:$W,23,0)),"")</f>
        <v/>
      </c>
      <c r="S2246" s="10">
        <f>IF(AND(P2246="TN",R2246="TN"),N2246+N(O2246),IF(G2246&amp;""="1",N(K2246)*N2246,(N2246+N(O2246))*N(K2246)))</f>
        <v/>
      </c>
      <c r="T2246" s="10">
        <f>IF(Q2246="","",Q2246-S2246)</f>
        <v/>
      </c>
    </row>
    <row r="2247">
      <c r="A2247" s="7">
        <f>CONCATENATE(C2247,E2247,F2247,I2247)</f>
        <v/>
      </c>
      <c r="B2247" s="7">
        <f>CONCATENATE(C2247,E2247,I2247)</f>
        <v/>
      </c>
      <c r="C2247" s="8" t="n">
        <v>900004365</v>
      </c>
      <c r="D2247" s="7">
        <f>IFERROR(VLOOKUP(C2247,TRAOPE!$G:$H,2,0),"")</f>
        <v/>
      </c>
      <c r="E2247" s="8" t="inlineStr">
        <is>
          <t>D836</t>
        </is>
      </c>
      <c r="F2247" s="8" t="inlineStr">
        <is>
          <t>65911313</t>
        </is>
      </c>
      <c r="G2247" s="8">
        <f>IFERROR(VLOOKUP(A2247,Flete!$A:$E,5,0),"")</f>
        <v/>
      </c>
      <c r="H2247" s="7">
        <f>IFERROR(VLOOKUP(F2247,TRAOPE!$AA:$AB,2,0),"")</f>
        <v/>
      </c>
      <c r="I2247" s="7" t="n">
        <v>10000357</v>
      </c>
      <c r="J2247" s="7">
        <f>IFERROR(VLOOKUP(I2247,Materiales!$A:$H,8,0),"")</f>
        <v/>
      </c>
      <c r="K2247" s="9">
        <f>IFERROR(VLOOKUP(I2247,Materiales!$A:$G,7,0),"")</f>
        <v/>
      </c>
      <c r="L2247" s="8" t="inlineStr">
        <is>
          <t>20240619</t>
        </is>
      </c>
      <c r="M2247" s="8" t="inlineStr">
        <is>
          <t>20251031</t>
        </is>
      </c>
      <c r="N2247" s="10" t="n">
        <v>166</v>
      </c>
      <c r="O2247" s="10">
        <f>IFERROR(VLOOKUP(A2247,Flete!$A:$J,10,0),"")</f>
        <v/>
      </c>
      <c r="P2247" s="8" t="inlineStr">
        <is>
          <t>M3</t>
        </is>
      </c>
      <c r="Q2247" s="10">
        <f>IFERROR(IFERROR(VLOOKUP(A2247,TRAOPE!$A:$U,21,0),VLOOKUP(B2247,TRAOPE!$A:$U,21,0)),"")</f>
        <v/>
      </c>
      <c r="R2247" s="8">
        <f>IFERROR(IFERROR(VLOOKUP(A2247,TRAOPE!$A:$W,23,0),VLOOKUP(B2247,TRAOPE!$A:$W,23,0)),"")</f>
        <v/>
      </c>
      <c r="S2247" s="10">
        <f>IF(AND(P2247="TN",R2247="TN"),N2247+N(O2247),IF(G2247&amp;""="1",N(K2247)*N2247,(N2247+N(O2247))*N(K2247)))</f>
        <v/>
      </c>
      <c r="T2247" s="10">
        <f>IF(Q2247="","",Q2247-S2247)</f>
        <v/>
      </c>
    </row>
    <row r="2248">
      <c r="A2248" s="7">
        <f>CONCATENATE(C2248,E2248,F2248,I2248)</f>
        <v/>
      </c>
      <c r="B2248" s="7">
        <f>CONCATENATE(C2248,E2248,I2248)</f>
        <v/>
      </c>
      <c r="C2248" s="8" t="n">
        <v>900004365</v>
      </c>
      <c r="D2248" s="7">
        <f>IFERROR(VLOOKUP(C2248,TRAOPE!$G:$H,2,0),"")</f>
        <v/>
      </c>
      <c r="E2248" s="8" t="inlineStr">
        <is>
          <t>D836</t>
        </is>
      </c>
      <c r="F2248" s="8" t="inlineStr">
        <is>
          <t>65911313</t>
        </is>
      </c>
      <c r="G2248" s="8">
        <f>IFERROR(VLOOKUP(A2248,Flete!$A:$E,5,0),"")</f>
        <v/>
      </c>
      <c r="H2248" s="7">
        <f>IFERROR(VLOOKUP(F2248,TRAOPE!$AA:$AB,2,0),"")</f>
        <v/>
      </c>
      <c r="I2248" s="7" t="n">
        <v>10149994</v>
      </c>
      <c r="J2248" s="7">
        <f>IFERROR(VLOOKUP(I2248,Materiales!$A:$H,8,0),"")</f>
        <v/>
      </c>
      <c r="K2248" s="9">
        <f>IFERROR(VLOOKUP(I2248,Materiales!$A:$G,7,0),"")</f>
        <v/>
      </c>
      <c r="L2248" s="8" t="inlineStr">
        <is>
          <t>20240619</t>
        </is>
      </c>
      <c r="M2248" s="8" t="inlineStr">
        <is>
          <t>20251031</t>
        </is>
      </c>
      <c r="N2248" s="10" t="n">
        <v>146</v>
      </c>
      <c r="O2248" s="10">
        <f>IFERROR(VLOOKUP(A2248,Flete!$A:$J,10,0),"")</f>
        <v/>
      </c>
      <c r="P2248" s="8" t="inlineStr">
        <is>
          <t>M3</t>
        </is>
      </c>
      <c r="Q2248" s="10">
        <f>IFERROR(IFERROR(VLOOKUP(A2248,TRAOPE!$A:$U,21,0),VLOOKUP(B2248,TRAOPE!$A:$U,21,0)),"")</f>
        <v/>
      </c>
      <c r="R2248" s="8">
        <f>IFERROR(IFERROR(VLOOKUP(A2248,TRAOPE!$A:$W,23,0),VLOOKUP(B2248,TRAOPE!$A:$W,23,0)),"")</f>
        <v/>
      </c>
      <c r="S2248" s="10">
        <f>IF(AND(P2248="TN",R2248="TN"),N2248+N(O2248),IF(G2248&amp;""="1",N(K2248)*N2248,(N2248+N(O2248))*N(K2248)))</f>
        <v/>
      </c>
      <c r="T2248" s="10">
        <f>IF(Q2248="","",Q2248-S2248)</f>
        <v/>
      </c>
    </row>
    <row r="2249">
      <c r="A2249" s="7">
        <f>CONCATENATE(C2249,E2249,F2249,I2249)</f>
        <v/>
      </c>
      <c r="B2249" s="7">
        <f>CONCATENATE(C2249,E2249,I2249)</f>
        <v/>
      </c>
      <c r="C2249" s="8" t="n">
        <v>900004365</v>
      </c>
      <c r="D2249" s="7">
        <f>IFERROR(VLOOKUP(C2249,TRAOPE!$G:$H,2,0),"")</f>
        <v/>
      </c>
      <c r="E2249" s="8" t="inlineStr">
        <is>
          <t>D836</t>
        </is>
      </c>
      <c r="F2249" s="8" t="inlineStr">
        <is>
          <t>66230098</t>
        </is>
      </c>
      <c r="G2249" s="8">
        <f>IFERROR(VLOOKUP(A2249,Flete!$A:$E,5,0),"")</f>
        <v/>
      </c>
      <c r="H2249" s="7">
        <f>IFERROR(VLOOKUP(F2249,TRAOPE!$AA:$AB,2,0),"")</f>
        <v/>
      </c>
      <c r="I2249" s="7" t="n">
        <v>10000133</v>
      </c>
      <c r="J2249" s="7">
        <f>IFERROR(VLOOKUP(I2249,Materiales!$A:$H,8,0),"")</f>
        <v/>
      </c>
      <c r="K2249" s="9">
        <f>IFERROR(VLOOKUP(I2249,Materiales!$A:$G,7,0),"")</f>
        <v/>
      </c>
      <c r="L2249" s="8" t="inlineStr">
        <is>
          <t>20240619</t>
        </is>
      </c>
      <c r="M2249" s="8" t="inlineStr">
        <is>
          <t>20251031</t>
        </is>
      </c>
      <c r="N2249" s="10" t="n">
        <v>197</v>
      </c>
      <c r="O2249" s="10">
        <f>IFERROR(VLOOKUP(A2249,Flete!$A:$J,10,0),"")</f>
        <v/>
      </c>
      <c r="P2249" s="8" t="inlineStr">
        <is>
          <t>M3</t>
        </is>
      </c>
      <c r="Q2249" s="10">
        <f>IFERROR(IFERROR(VLOOKUP(A2249,TRAOPE!$A:$U,21,0),VLOOKUP(B2249,TRAOPE!$A:$U,21,0)),"")</f>
        <v/>
      </c>
      <c r="R2249" s="8">
        <f>IFERROR(IFERROR(VLOOKUP(A2249,TRAOPE!$A:$W,23,0),VLOOKUP(B2249,TRAOPE!$A:$W,23,0)),"")</f>
        <v/>
      </c>
      <c r="S2249" s="10">
        <f>IF(AND(P2249="TN",R2249="TN"),N2249+N(O2249),IF(G2249&amp;""="1",N(K2249)*N2249,(N2249+N(O2249))*N(K2249)))</f>
        <v/>
      </c>
      <c r="T2249" s="10">
        <f>IF(Q2249="","",Q2249-S2249)</f>
        <v/>
      </c>
    </row>
    <row r="2250">
      <c r="A2250" s="7">
        <f>CONCATENATE(C2250,E2250,F2250,I2250)</f>
        <v/>
      </c>
      <c r="B2250" s="7">
        <f>CONCATENATE(C2250,E2250,I2250)</f>
        <v/>
      </c>
      <c r="C2250" s="8" t="n">
        <v>900005087</v>
      </c>
      <c r="D2250" s="7">
        <f>IFERROR(VLOOKUP(C2250,TRAOPE!$G:$H,2,0),"")</f>
        <v/>
      </c>
      <c r="E2250" s="8" t="inlineStr">
        <is>
          <t>D836</t>
        </is>
      </c>
      <c r="F2250" s="8" t="inlineStr">
        <is>
          <t>67110061</t>
        </is>
      </c>
      <c r="G2250" s="8">
        <f>IFERROR(VLOOKUP(A2250,Flete!$A:$E,5,0),"")</f>
        <v/>
      </c>
      <c r="H2250" s="7">
        <f>IFERROR(VLOOKUP(F2250,TRAOPE!$AA:$AB,2,0),"")</f>
        <v/>
      </c>
      <c r="I2250" s="7" t="n">
        <v>10139788</v>
      </c>
      <c r="J2250" s="7">
        <f>IFERROR(VLOOKUP(I2250,Materiales!$A:$H,8,0),"")</f>
        <v/>
      </c>
      <c r="K2250" s="9">
        <f>IFERROR(VLOOKUP(I2250,Materiales!$A:$G,7,0),"")</f>
        <v/>
      </c>
      <c r="L2250" s="8" t="inlineStr">
        <is>
          <t>20240619</t>
        </is>
      </c>
      <c r="M2250" s="8" t="inlineStr">
        <is>
          <t>20251031</t>
        </is>
      </c>
      <c r="N2250" s="10" t="n">
        <v>128</v>
      </c>
      <c r="O2250" s="10">
        <f>IFERROR(VLOOKUP(A2250,Flete!$A:$J,10,0),"")</f>
        <v/>
      </c>
      <c r="P2250" s="8" t="inlineStr">
        <is>
          <t>M3</t>
        </is>
      </c>
      <c r="Q2250" s="10">
        <f>IFERROR(IFERROR(VLOOKUP(A2250,TRAOPE!$A:$U,21,0),VLOOKUP(B2250,TRAOPE!$A:$U,21,0)),"")</f>
        <v/>
      </c>
      <c r="R2250" s="8">
        <f>IFERROR(IFERROR(VLOOKUP(A2250,TRAOPE!$A:$W,23,0),VLOOKUP(B2250,TRAOPE!$A:$W,23,0)),"")</f>
        <v/>
      </c>
      <c r="S2250" s="10">
        <f>IF(AND(P2250="TN",R2250="TN"),N2250+N(O2250),IF(G2250&amp;""="1",N(K2250)*N2250,(N2250+N(O2250))*N(K2250)))</f>
        <v/>
      </c>
      <c r="T2250" s="10">
        <f>IF(Q2250="","",Q2250-S2250)</f>
        <v/>
      </c>
    </row>
    <row r="2251">
      <c r="A2251" s="7">
        <f>CONCATENATE(C2251,E2251,F2251,I2251)</f>
        <v/>
      </c>
      <c r="B2251" s="7">
        <f>CONCATENATE(C2251,E2251,I2251)</f>
        <v/>
      </c>
      <c r="C2251" s="8" t="n">
        <v>900005356</v>
      </c>
      <c r="D2251" s="7">
        <f>IFERROR(VLOOKUP(C2251,TRAOPE!$G:$H,2,0),"")</f>
        <v/>
      </c>
      <c r="E2251" s="8" t="inlineStr">
        <is>
          <t>D836</t>
        </is>
      </c>
      <c r="F2251" s="8" t="inlineStr">
        <is>
          <t>65440384</t>
        </is>
      </c>
      <c r="G2251" s="8">
        <f>IFERROR(VLOOKUP(A2251,Flete!$A:$E,5,0),"")</f>
        <v/>
      </c>
      <c r="H2251" s="7">
        <f>IFERROR(VLOOKUP(F2251,TRAOPE!$AA:$AB,2,0),"")</f>
        <v/>
      </c>
      <c r="I2251" s="7" t="n">
        <v>10000160</v>
      </c>
      <c r="J2251" s="7">
        <f>IFERROR(VLOOKUP(I2251,Materiales!$A:$H,8,0),"")</f>
        <v/>
      </c>
      <c r="K2251" s="9">
        <f>IFERROR(VLOOKUP(I2251,Materiales!$A:$G,7,0),"")</f>
        <v/>
      </c>
      <c r="L2251" s="8" t="inlineStr">
        <is>
          <t>20240619</t>
        </is>
      </c>
      <c r="M2251" s="8" t="inlineStr">
        <is>
          <t>20251031</t>
        </is>
      </c>
      <c r="N2251" s="10" t="n">
        <v>112.51</v>
      </c>
      <c r="O2251" s="10">
        <f>IFERROR(VLOOKUP(A2251,Flete!$A:$J,10,0),"")</f>
        <v/>
      </c>
      <c r="P2251" s="8" t="inlineStr">
        <is>
          <t>M3</t>
        </is>
      </c>
      <c r="Q2251" s="10">
        <f>IFERROR(IFERROR(VLOOKUP(A2251,TRAOPE!$A:$U,21,0),VLOOKUP(B2251,TRAOPE!$A:$U,21,0)),"")</f>
        <v/>
      </c>
      <c r="R2251" s="8">
        <f>IFERROR(IFERROR(VLOOKUP(A2251,TRAOPE!$A:$W,23,0),VLOOKUP(B2251,TRAOPE!$A:$W,23,0)),"")</f>
        <v/>
      </c>
      <c r="S2251" s="10">
        <f>IF(AND(P2251="TN",R2251="TN"),N2251+N(O2251),IF(G2251&amp;""="1",N(K2251)*N2251,(N2251+N(O2251))*N(K2251)))</f>
        <v/>
      </c>
      <c r="T2251" s="10">
        <f>IF(Q2251="","",Q2251-S2251)</f>
        <v/>
      </c>
    </row>
    <row r="2252">
      <c r="A2252" s="7">
        <f>CONCATENATE(C2252,E2252,F2252,I2252)</f>
        <v/>
      </c>
      <c r="B2252" s="7">
        <f>CONCATENATE(C2252,E2252,I2252)</f>
        <v/>
      </c>
      <c r="C2252" s="8" t="n">
        <v>900005356</v>
      </c>
      <c r="D2252" s="7">
        <f>IFERROR(VLOOKUP(C2252,TRAOPE!$G:$H,2,0),"")</f>
        <v/>
      </c>
      <c r="E2252" s="8" t="inlineStr">
        <is>
          <t>D836</t>
        </is>
      </c>
      <c r="F2252" s="8" t="inlineStr">
        <is>
          <t>66415270</t>
        </is>
      </c>
      <c r="G2252" s="8">
        <f>IFERROR(VLOOKUP(A2252,Flete!$A:$E,5,0),"")</f>
        <v/>
      </c>
      <c r="H2252" s="7">
        <f>IFERROR(VLOOKUP(F2252,TRAOPE!$AA:$AB,2,0),"")</f>
        <v/>
      </c>
      <c r="I2252" s="7" t="n">
        <v>10000160</v>
      </c>
      <c r="J2252" s="7">
        <f>IFERROR(VLOOKUP(I2252,Materiales!$A:$H,8,0),"")</f>
        <v/>
      </c>
      <c r="K2252" s="9">
        <f>IFERROR(VLOOKUP(I2252,Materiales!$A:$G,7,0),"")</f>
        <v/>
      </c>
      <c r="L2252" s="8" t="inlineStr">
        <is>
          <t>20240619</t>
        </is>
      </c>
      <c r="M2252" s="8" t="inlineStr">
        <is>
          <t>20251031</t>
        </is>
      </c>
      <c r="N2252" s="10" t="n">
        <v>108</v>
      </c>
      <c r="O2252" s="10">
        <f>IFERROR(VLOOKUP(A2252,Flete!$A:$J,10,0),"")</f>
        <v/>
      </c>
      <c r="P2252" s="8" t="inlineStr">
        <is>
          <t>M3</t>
        </is>
      </c>
      <c r="Q2252" s="10">
        <f>IFERROR(IFERROR(VLOOKUP(A2252,TRAOPE!$A:$U,21,0),VLOOKUP(B2252,TRAOPE!$A:$U,21,0)),"")</f>
        <v/>
      </c>
      <c r="R2252" s="8">
        <f>IFERROR(IFERROR(VLOOKUP(A2252,TRAOPE!$A:$W,23,0),VLOOKUP(B2252,TRAOPE!$A:$W,23,0)),"")</f>
        <v/>
      </c>
      <c r="S2252" s="10">
        <f>IF(AND(P2252="TN",R2252="TN"),N2252+N(O2252),IF(G2252&amp;""="1",N(K2252)*N2252,(N2252+N(O2252))*N(K2252)))</f>
        <v/>
      </c>
      <c r="T2252" s="10">
        <f>IF(Q2252="","",Q2252-S2252)</f>
        <v/>
      </c>
    </row>
    <row r="2253">
      <c r="A2253" s="7">
        <f>CONCATENATE(C2253,E2253,F2253,I2253)</f>
        <v/>
      </c>
      <c r="B2253" s="7">
        <f>CONCATENATE(C2253,E2253,I2253)</f>
        <v/>
      </c>
      <c r="C2253" s="8" t="n">
        <v>900005356</v>
      </c>
      <c r="D2253" s="7">
        <f>IFERROR(VLOOKUP(C2253,TRAOPE!$G:$H,2,0),"")</f>
        <v/>
      </c>
      <c r="E2253" s="8" t="inlineStr">
        <is>
          <t>D836</t>
        </is>
      </c>
      <c r="F2253" s="8" t="inlineStr">
        <is>
          <t>66415270</t>
        </is>
      </c>
      <c r="G2253" s="8">
        <f>IFERROR(VLOOKUP(A2253,Flete!$A:$E,5,0),"")</f>
        <v/>
      </c>
      <c r="H2253" s="7">
        <f>IFERROR(VLOOKUP(F2253,TRAOPE!$AA:$AB,2,0),"")</f>
        <v/>
      </c>
      <c r="I2253" s="7" t="n">
        <v>10000357</v>
      </c>
      <c r="J2253" s="7">
        <f>IFERROR(VLOOKUP(I2253,Materiales!$A:$H,8,0),"")</f>
        <v/>
      </c>
      <c r="K2253" s="9">
        <f>IFERROR(VLOOKUP(I2253,Materiales!$A:$G,7,0),"")</f>
        <v/>
      </c>
      <c r="L2253" s="8" t="inlineStr">
        <is>
          <t>20240619</t>
        </is>
      </c>
      <c r="M2253" s="8" t="inlineStr">
        <is>
          <t>20251031</t>
        </is>
      </c>
      <c r="N2253" s="10" t="n">
        <v>125</v>
      </c>
      <c r="O2253" s="10">
        <f>IFERROR(VLOOKUP(A2253,Flete!$A:$J,10,0),"")</f>
        <v/>
      </c>
      <c r="P2253" s="8" t="inlineStr">
        <is>
          <t>M3</t>
        </is>
      </c>
      <c r="Q2253" s="10">
        <f>IFERROR(IFERROR(VLOOKUP(A2253,TRAOPE!$A:$U,21,0),VLOOKUP(B2253,TRAOPE!$A:$U,21,0)),"")</f>
        <v/>
      </c>
      <c r="R2253" s="8">
        <f>IFERROR(IFERROR(VLOOKUP(A2253,TRAOPE!$A:$W,23,0),VLOOKUP(B2253,TRAOPE!$A:$W,23,0)),"")</f>
        <v/>
      </c>
      <c r="S2253" s="10">
        <f>IF(AND(P2253="TN",R2253="TN"),N2253+N(O2253),IF(G2253&amp;""="1",N(K2253)*N2253,(N2253+N(O2253))*N(K2253)))</f>
        <v/>
      </c>
      <c r="T2253" s="10">
        <f>IF(Q2253="","",Q2253-S2253)</f>
        <v/>
      </c>
    </row>
    <row r="2254">
      <c r="A2254" s="7">
        <f>CONCATENATE(C2254,E2254,F2254,I2254)</f>
        <v/>
      </c>
      <c r="B2254" s="7">
        <f>CONCATENATE(C2254,E2254,I2254)</f>
        <v/>
      </c>
      <c r="C2254" s="8" t="n">
        <v>900005356</v>
      </c>
      <c r="D2254" s="7">
        <f>IFERROR(VLOOKUP(C2254,TRAOPE!$G:$H,2,0),"")</f>
        <v/>
      </c>
      <c r="E2254" s="8" t="inlineStr">
        <is>
          <t>D836</t>
        </is>
      </c>
      <c r="F2254" s="8" t="inlineStr">
        <is>
          <t>67019979</t>
        </is>
      </c>
      <c r="G2254" s="8">
        <f>IFERROR(VLOOKUP(A2254,Flete!$A:$E,5,0),"")</f>
        <v/>
      </c>
      <c r="H2254" s="7">
        <f>IFERROR(VLOOKUP(F2254,TRAOPE!$AA:$AB,2,0),"")</f>
        <v/>
      </c>
      <c r="I2254" s="7" t="n">
        <v>10259792</v>
      </c>
      <c r="J2254" s="7">
        <f>IFERROR(VLOOKUP(I2254,Materiales!$A:$H,8,0),"")</f>
        <v/>
      </c>
      <c r="K2254" s="9">
        <f>IFERROR(VLOOKUP(I2254,Materiales!$A:$G,7,0),"")</f>
        <v/>
      </c>
      <c r="L2254" s="8" t="inlineStr">
        <is>
          <t>20240619</t>
        </is>
      </c>
      <c r="M2254" s="8" t="inlineStr">
        <is>
          <t>20251031</t>
        </is>
      </c>
      <c r="N2254" s="10" t="n">
        <v>120</v>
      </c>
      <c r="O2254" s="10">
        <f>IFERROR(VLOOKUP(A2254,Flete!$A:$J,10,0),"")</f>
        <v/>
      </c>
      <c r="P2254" s="8" t="inlineStr">
        <is>
          <t>M3</t>
        </is>
      </c>
      <c r="Q2254" s="10">
        <f>IFERROR(IFERROR(VLOOKUP(A2254,TRAOPE!$A:$U,21,0),VLOOKUP(B2254,TRAOPE!$A:$U,21,0)),"")</f>
        <v/>
      </c>
      <c r="R2254" s="8">
        <f>IFERROR(IFERROR(VLOOKUP(A2254,TRAOPE!$A:$W,23,0),VLOOKUP(B2254,TRAOPE!$A:$W,23,0)),"")</f>
        <v/>
      </c>
      <c r="S2254" s="10">
        <f>IF(AND(P2254="TN",R2254="TN"),N2254+N(O2254),IF(G2254&amp;""="1",N(K2254)*N2254,(N2254+N(O2254))*N(K2254)))</f>
        <v/>
      </c>
      <c r="T2254" s="10">
        <f>IF(Q2254="","",Q2254-S2254)</f>
        <v/>
      </c>
    </row>
    <row r="2255">
      <c r="A2255" s="7">
        <f>CONCATENATE(C2255,E2255,F2255,I2255)</f>
        <v/>
      </c>
      <c r="B2255" s="7">
        <f>CONCATENATE(C2255,E2255,I2255)</f>
        <v/>
      </c>
      <c r="C2255" s="8" t="n">
        <v>900005356</v>
      </c>
      <c r="D2255" s="7">
        <f>IFERROR(VLOOKUP(C2255,TRAOPE!$G:$H,2,0),"")</f>
        <v/>
      </c>
      <c r="E2255" s="8" t="inlineStr">
        <is>
          <t>D836</t>
        </is>
      </c>
      <c r="F2255" s="8" t="inlineStr">
        <is>
          <t>67026364</t>
        </is>
      </c>
      <c r="G2255" s="8">
        <f>IFERROR(VLOOKUP(A2255,Flete!$A:$E,5,0),"")</f>
        <v/>
      </c>
      <c r="H2255" s="7">
        <f>IFERROR(VLOOKUP(F2255,TRAOPE!$AA:$AB,2,0),"")</f>
        <v/>
      </c>
      <c r="I2255" s="7" t="n">
        <v>10000160</v>
      </c>
      <c r="J2255" s="7">
        <f>IFERROR(VLOOKUP(I2255,Materiales!$A:$H,8,0),"")</f>
        <v/>
      </c>
      <c r="K2255" s="9">
        <f>IFERROR(VLOOKUP(I2255,Materiales!$A:$G,7,0),"")</f>
        <v/>
      </c>
      <c r="L2255" s="8" t="inlineStr">
        <is>
          <t>20240619</t>
        </is>
      </c>
      <c r="M2255" s="8" t="inlineStr">
        <is>
          <t>20251031</t>
        </is>
      </c>
      <c r="N2255" s="10" t="n">
        <v>108</v>
      </c>
      <c r="O2255" s="10">
        <f>IFERROR(VLOOKUP(A2255,Flete!$A:$J,10,0),"")</f>
        <v/>
      </c>
      <c r="P2255" s="8" t="inlineStr">
        <is>
          <t>M3</t>
        </is>
      </c>
      <c r="Q2255" s="10">
        <f>IFERROR(IFERROR(VLOOKUP(A2255,TRAOPE!$A:$U,21,0),VLOOKUP(B2255,TRAOPE!$A:$U,21,0)),"")</f>
        <v/>
      </c>
      <c r="R2255" s="8">
        <f>IFERROR(IFERROR(VLOOKUP(A2255,TRAOPE!$A:$W,23,0),VLOOKUP(B2255,TRAOPE!$A:$W,23,0)),"")</f>
        <v/>
      </c>
      <c r="S2255" s="10">
        <f>IF(AND(P2255="TN",R2255="TN"),N2255+N(O2255),IF(G2255&amp;""="1",N(K2255)*N2255,(N2255+N(O2255))*N(K2255)))</f>
        <v/>
      </c>
      <c r="T2255" s="10">
        <f>IF(Q2255="","",Q2255-S2255)</f>
        <v/>
      </c>
    </row>
    <row r="2256">
      <c r="A2256" s="7">
        <f>CONCATENATE(C2256,E2256,F2256,I2256)</f>
        <v/>
      </c>
      <c r="B2256" s="7">
        <f>CONCATENATE(C2256,E2256,I2256)</f>
        <v/>
      </c>
      <c r="C2256" s="8" t="n">
        <v>900005356</v>
      </c>
      <c r="D2256" s="7">
        <f>IFERROR(VLOOKUP(C2256,TRAOPE!$G:$H,2,0),"")</f>
        <v/>
      </c>
      <c r="E2256" s="8" t="inlineStr">
        <is>
          <t>D836</t>
        </is>
      </c>
      <c r="F2256" s="8" t="inlineStr">
        <is>
          <t>67166394</t>
        </is>
      </c>
      <c r="G2256" s="8">
        <f>IFERROR(VLOOKUP(A2256,Flete!$A:$E,5,0),"")</f>
        <v/>
      </c>
      <c r="H2256" s="7">
        <f>IFERROR(VLOOKUP(F2256,TRAOPE!$AA:$AB,2,0),"")</f>
        <v/>
      </c>
      <c r="I2256" s="7" t="n">
        <v>10000627</v>
      </c>
      <c r="J2256" s="7">
        <f>IFERROR(VLOOKUP(I2256,Materiales!$A:$H,8,0),"")</f>
        <v/>
      </c>
      <c r="K2256" s="9">
        <f>IFERROR(VLOOKUP(I2256,Materiales!$A:$G,7,0),"")</f>
        <v/>
      </c>
      <c r="L2256" s="8" t="inlineStr">
        <is>
          <t>20240619</t>
        </is>
      </c>
      <c r="M2256" s="8" t="inlineStr">
        <is>
          <t>20251031</t>
        </is>
      </c>
      <c r="N2256" s="10" t="n">
        <v>110.8</v>
      </c>
      <c r="O2256" s="10">
        <f>IFERROR(VLOOKUP(A2256,Flete!$A:$J,10,0),"")</f>
        <v/>
      </c>
      <c r="P2256" s="8" t="inlineStr">
        <is>
          <t>M3</t>
        </is>
      </c>
      <c r="Q2256" s="10">
        <f>IFERROR(IFERROR(VLOOKUP(A2256,TRAOPE!$A:$U,21,0),VLOOKUP(B2256,TRAOPE!$A:$U,21,0)),"")</f>
        <v/>
      </c>
      <c r="R2256" s="8">
        <f>IFERROR(IFERROR(VLOOKUP(A2256,TRAOPE!$A:$W,23,0),VLOOKUP(B2256,TRAOPE!$A:$W,23,0)),"")</f>
        <v/>
      </c>
      <c r="S2256" s="10">
        <f>IF(AND(P2256="TN",R2256="TN"),N2256+N(O2256),IF(G2256&amp;""="1",N(K2256)*N2256,(N2256+N(O2256))*N(K2256)))</f>
        <v/>
      </c>
      <c r="T2256" s="10">
        <f>IF(Q2256="","",Q2256-S2256)</f>
        <v/>
      </c>
    </row>
    <row r="2257">
      <c r="A2257" s="7">
        <f>CONCATENATE(C2257,E2257,F2257,I2257)</f>
        <v/>
      </c>
      <c r="B2257" s="7">
        <f>CONCATENATE(C2257,E2257,I2257)</f>
        <v/>
      </c>
      <c r="C2257" s="8" t="n">
        <v>900005401</v>
      </c>
      <c r="D2257" s="7">
        <f>IFERROR(VLOOKUP(C2257,TRAOPE!$G:$H,2,0),"")</f>
        <v/>
      </c>
      <c r="E2257" s="8" t="inlineStr">
        <is>
          <t>D836</t>
        </is>
      </c>
      <c r="F2257" s="8" t="inlineStr">
        <is>
          <t>67288888</t>
        </is>
      </c>
      <c r="G2257" s="8">
        <f>IFERROR(VLOOKUP(A2257,Flete!$A:$E,5,0),"")</f>
        <v/>
      </c>
      <c r="H2257" s="7">
        <f>IFERROR(VLOOKUP(F2257,TRAOPE!$AA:$AB,2,0),"")</f>
        <v/>
      </c>
      <c r="I2257" s="7" t="n">
        <v>10000253</v>
      </c>
      <c r="J2257" s="7">
        <f>IFERROR(VLOOKUP(I2257,Materiales!$A:$H,8,0),"")</f>
        <v/>
      </c>
      <c r="K2257" s="9">
        <f>IFERROR(VLOOKUP(I2257,Materiales!$A:$G,7,0),"")</f>
        <v/>
      </c>
      <c r="L2257" s="8" t="inlineStr">
        <is>
          <t>20240619</t>
        </is>
      </c>
      <c r="M2257" s="8" t="inlineStr">
        <is>
          <t>20251031</t>
        </is>
      </c>
      <c r="N2257" s="10" t="n">
        <v>97.2</v>
      </c>
      <c r="O2257" s="10">
        <f>IFERROR(VLOOKUP(A2257,Flete!$A:$J,10,0),"")</f>
        <v/>
      </c>
      <c r="P2257" s="8" t="inlineStr">
        <is>
          <t>M3</t>
        </is>
      </c>
      <c r="Q2257" s="10">
        <f>IFERROR(IFERROR(VLOOKUP(A2257,TRAOPE!$A:$U,21,0),VLOOKUP(B2257,TRAOPE!$A:$U,21,0)),"")</f>
        <v/>
      </c>
      <c r="R2257" s="8">
        <f>IFERROR(IFERROR(VLOOKUP(A2257,TRAOPE!$A:$W,23,0),VLOOKUP(B2257,TRAOPE!$A:$W,23,0)),"")</f>
        <v/>
      </c>
      <c r="S2257" s="10">
        <f>IF(AND(P2257="TN",R2257="TN"),N2257+N(O2257),IF(G2257&amp;""="1",N(K2257)*N2257,(N2257+N(O2257))*N(K2257)))</f>
        <v/>
      </c>
      <c r="T2257" s="10">
        <f>IF(Q2257="","",Q2257-S2257)</f>
        <v/>
      </c>
    </row>
    <row r="2258">
      <c r="A2258" s="7">
        <f>CONCATENATE(C2258,E2258,F2258,I2258)</f>
        <v/>
      </c>
      <c r="B2258" s="7">
        <f>CONCATENATE(C2258,E2258,I2258)</f>
        <v/>
      </c>
      <c r="C2258" s="8" t="n">
        <v>900005627</v>
      </c>
      <c r="D2258" s="7">
        <f>IFERROR(VLOOKUP(C2258,TRAOPE!$G:$H,2,0),"")</f>
        <v/>
      </c>
      <c r="E2258" s="8" t="inlineStr">
        <is>
          <t>D836</t>
        </is>
      </c>
      <c r="F2258" s="8" t="inlineStr">
        <is>
          <t>66799029</t>
        </is>
      </c>
      <c r="G2258" s="8">
        <f>IFERROR(VLOOKUP(A2258,Flete!$A:$E,5,0),"")</f>
        <v/>
      </c>
      <c r="H2258" s="7">
        <f>IFERROR(VLOOKUP(F2258,TRAOPE!$AA:$AB,2,0),"")</f>
        <v/>
      </c>
      <c r="I2258" s="7" t="n">
        <v>10260052</v>
      </c>
      <c r="J2258" s="7">
        <f>IFERROR(VLOOKUP(I2258,Materiales!$A:$H,8,0),"")</f>
        <v/>
      </c>
      <c r="K2258" s="9">
        <f>IFERROR(VLOOKUP(I2258,Materiales!$A:$G,7,0),"")</f>
        <v/>
      </c>
      <c r="L2258" s="8" t="inlineStr">
        <is>
          <t>20240619</t>
        </is>
      </c>
      <c r="M2258" s="8" t="inlineStr">
        <is>
          <t>20251031</t>
        </is>
      </c>
      <c r="N2258" s="10" t="n">
        <v>122</v>
      </c>
      <c r="O2258" s="10">
        <f>IFERROR(VLOOKUP(A2258,Flete!$A:$J,10,0),"")</f>
        <v/>
      </c>
      <c r="P2258" s="8" t="inlineStr">
        <is>
          <t>M3</t>
        </is>
      </c>
      <c r="Q2258" s="10">
        <f>IFERROR(IFERROR(VLOOKUP(A2258,TRAOPE!$A:$U,21,0),VLOOKUP(B2258,TRAOPE!$A:$U,21,0)),"")</f>
        <v/>
      </c>
      <c r="R2258" s="8">
        <f>IFERROR(IFERROR(VLOOKUP(A2258,TRAOPE!$A:$W,23,0),VLOOKUP(B2258,TRAOPE!$A:$W,23,0)),"")</f>
        <v/>
      </c>
      <c r="S2258" s="10">
        <f>IF(AND(P2258="TN",R2258="TN"),N2258+N(O2258),IF(G2258&amp;""="1",N(K2258)*N2258,(N2258+N(O2258))*N(K2258)))</f>
        <v/>
      </c>
      <c r="T2258" s="10">
        <f>IF(Q2258="","",Q2258-S2258)</f>
        <v/>
      </c>
    </row>
    <row r="2259">
      <c r="A2259" s="7">
        <f>CONCATENATE(C2259,E2259,F2259,I2259)</f>
        <v/>
      </c>
      <c r="B2259" s="7">
        <f>CONCATENATE(C2259,E2259,I2259)</f>
        <v/>
      </c>
      <c r="C2259" s="8" t="n">
        <v>900005627</v>
      </c>
      <c r="D2259" s="7">
        <f>IFERROR(VLOOKUP(C2259,TRAOPE!$G:$H,2,0),"")</f>
        <v/>
      </c>
      <c r="E2259" s="8" t="inlineStr">
        <is>
          <t>D836</t>
        </is>
      </c>
      <c r="F2259" s="8" t="inlineStr">
        <is>
          <t>66799029</t>
        </is>
      </c>
      <c r="G2259" s="8">
        <f>IFERROR(VLOOKUP(A2259,Flete!$A:$E,5,0),"")</f>
        <v/>
      </c>
      <c r="H2259" s="7">
        <f>IFERROR(VLOOKUP(F2259,TRAOPE!$AA:$AB,2,0),"")</f>
        <v/>
      </c>
      <c r="I2259" s="7" t="n">
        <v>10260053</v>
      </c>
      <c r="J2259" s="7">
        <f>IFERROR(VLOOKUP(I2259,Materiales!$A:$H,8,0),"")</f>
        <v/>
      </c>
      <c r="K2259" s="9">
        <f>IFERROR(VLOOKUP(I2259,Materiales!$A:$G,7,0),"")</f>
        <v/>
      </c>
      <c r="L2259" s="8" t="inlineStr">
        <is>
          <t>20240619</t>
        </is>
      </c>
      <c r="M2259" s="8" t="inlineStr">
        <is>
          <t>20251031</t>
        </is>
      </c>
      <c r="N2259" s="10" t="n">
        <v>128</v>
      </c>
      <c r="O2259" s="10">
        <f>IFERROR(VLOOKUP(A2259,Flete!$A:$J,10,0),"")</f>
        <v/>
      </c>
      <c r="P2259" s="8" t="inlineStr">
        <is>
          <t>M3</t>
        </is>
      </c>
      <c r="Q2259" s="10">
        <f>IFERROR(IFERROR(VLOOKUP(A2259,TRAOPE!$A:$U,21,0),VLOOKUP(B2259,TRAOPE!$A:$U,21,0)),"")</f>
        <v/>
      </c>
      <c r="R2259" s="8">
        <f>IFERROR(IFERROR(VLOOKUP(A2259,TRAOPE!$A:$W,23,0),VLOOKUP(B2259,TRAOPE!$A:$W,23,0)),"")</f>
        <v/>
      </c>
      <c r="S2259" s="10">
        <f>IF(AND(P2259="TN",R2259="TN"),N2259+N(O2259),IF(G2259&amp;""="1",N(K2259)*N2259,(N2259+N(O2259))*N(K2259)))</f>
        <v/>
      </c>
      <c r="T2259" s="10">
        <f>IF(Q2259="","",Q2259-S2259)</f>
        <v/>
      </c>
    </row>
    <row r="2260">
      <c r="A2260" s="7">
        <f>CONCATENATE(C2260,E2260,F2260,I2260)</f>
        <v/>
      </c>
      <c r="B2260" s="7">
        <f>CONCATENATE(C2260,E2260,I2260)</f>
        <v/>
      </c>
      <c r="C2260" s="8" t="n">
        <v>900005627</v>
      </c>
      <c r="D2260" s="7">
        <f>IFERROR(VLOOKUP(C2260,TRAOPE!$G:$H,2,0),"")</f>
        <v/>
      </c>
      <c r="E2260" s="8" t="inlineStr">
        <is>
          <t>D836</t>
        </is>
      </c>
      <c r="F2260" s="8" t="inlineStr">
        <is>
          <t>66799029</t>
        </is>
      </c>
      <c r="G2260" s="8">
        <f>IFERROR(VLOOKUP(A2260,Flete!$A:$E,5,0),"")</f>
        <v/>
      </c>
      <c r="H2260" s="7">
        <f>IFERROR(VLOOKUP(F2260,TRAOPE!$AA:$AB,2,0),"")</f>
        <v/>
      </c>
      <c r="I2260" s="7" t="n">
        <v>10260054</v>
      </c>
      <c r="J2260" s="7">
        <f>IFERROR(VLOOKUP(I2260,Materiales!$A:$H,8,0),"")</f>
        <v/>
      </c>
      <c r="K2260" s="9">
        <f>IFERROR(VLOOKUP(I2260,Materiales!$A:$G,7,0),"")</f>
        <v/>
      </c>
      <c r="L2260" s="8" t="inlineStr">
        <is>
          <t>20240619</t>
        </is>
      </c>
      <c r="M2260" s="8" t="inlineStr">
        <is>
          <t>20251031</t>
        </is>
      </c>
      <c r="N2260" s="10" t="n">
        <v>85</v>
      </c>
      <c r="O2260" s="10">
        <f>IFERROR(VLOOKUP(A2260,Flete!$A:$J,10,0),"")</f>
        <v/>
      </c>
      <c r="P2260" s="8" t="inlineStr">
        <is>
          <t>M3</t>
        </is>
      </c>
      <c r="Q2260" s="10">
        <f>IFERROR(IFERROR(VLOOKUP(A2260,TRAOPE!$A:$U,21,0),VLOOKUP(B2260,TRAOPE!$A:$U,21,0)),"")</f>
        <v/>
      </c>
      <c r="R2260" s="8">
        <f>IFERROR(IFERROR(VLOOKUP(A2260,TRAOPE!$A:$W,23,0),VLOOKUP(B2260,TRAOPE!$A:$W,23,0)),"")</f>
        <v/>
      </c>
      <c r="S2260" s="10">
        <f>IF(AND(P2260="TN",R2260="TN"),N2260+N(O2260),IF(G2260&amp;""="1",N(K2260)*N2260,(N2260+N(O2260))*N(K2260)))</f>
        <v/>
      </c>
      <c r="T2260" s="10">
        <f>IF(Q2260="","",Q2260-S2260)</f>
        <v/>
      </c>
    </row>
    <row r="2261">
      <c r="A2261" s="7">
        <f>CONCATENATE(C2261,E2261,F2261,I2261)</f>
        <v/>
      </c>
      <c r="B2261" s="7">
        <f>CONCATENATE(C2261,E2261,I2261)</f>
        <v/>
      </c>
      <c r="C2261" s="8" t="n">
        <v>900005627</v>
      </c>
      <c r="D2261" s="7">
        <f>IFERROR(VLOOKUP(C2261,TRAOPE!$G:$H,2,0),"")</f>
        <v/>
      </c>
      <c r="E2261" s="8" t="inlineStr">
        <is>
          <t>D836</t>
        </is>
      </c>
      <c r="F2261" s="8" t="inlineStr">
        <is>
          <t>66799029</t>
        </is>
      </c>
      <c r="G2261" s="8">
        <f>IFERROR(VLOOKUP(A2261,Flete!$A:$E,5,0),"")</f>
        <v/>
      </c>
      <c r="H2261" s="7">
        <f>IFERROR(VLOOKUP(F2261,TRAOPE!$AA:$AB,2,0),"")</f>
        <v/>
      </c>
      <c r="I2261" s="7" t="n">
        <v>10260055</v>
      </c>
      <c r="J2261" s="7">
        <f>IFERROR(VLOOKUP(I2261,Materiales!$A:$H,8,0),"")</f>
        <v/>
      </c>
      <c r="K2261" s="9">
        <f>IFERROR(VLOOKUP(I2261,Materiales!$A:$G,7,0),"")</f>
        <v/>
      </c>
      <c r="L2261" s="8" t="inlineStr">
        <is>
          <t>20240619</t>
        </is>
      </c>
      <c r="M2261" s="8" t="inlineStr">
        <is>
          <t>20251031</t>
        </is>
      </c>
      <c r="N2261" s="10" t="n">
        <v>75</v>
      </c>
      <c r="O2261" s="10">
        <f>IFERROR(VLOOKUP(A2261,Flete!$A:$J,10,0),"")</f>
        <v/>
      </c>
      <c r="P2261" s="8" t="inlineStr">
        <is>
          <t>M3</t>
        </is>
      </c>
      <c r="Q2261" s="10">
        <f>IFERROR(IFERROR(VLOOKUP(A2261,TRAOPE!$A:$U,21,0),VLOOKUP(B2261,TRAOPE!$A:$U,21,0)),"")</f>
        <v/>
      </c>
      <c r="R2261" s="8">
        <f>IFERROR(IFERROR(VLOOKUP(A2261,TRAOPE!$A:$W,23,0),VLOOKUP(B2261,TRAOPE!$A:$W,23,0)),"")</f>
        <v/>
      </c>
      <c r="S2261" s="10">
        <f>IF(AND(P2261="TN",R2261="TN"),N2261+N(O2261),IF(G2261&amp;""="1",N(K2261)*N2261,(N2261+N(O2261))*N(K2261)))</f>
        <v/>
      </c>
      <c r="T2261" s="10">
        <f>IF(Q2261="","",Q2261-S2261)</f>
        <v/>
      </c>
    </row>
    <row r="2262">
      <c r="A2262" s="7">
        <f>CONCATENATE(C2262,E2262,F2262,I2262)</f>
        <v/>
      </c>
      <c r="B2262" s="7">
        <f>CONCATENATE(C2262,E2262,I2262)</f>
        <v/>
      </c>
      <c r="C2262" s="8" t="n">
        <v>900005627</v>
      </c>
      <c r="D2262" s="7">
        <f>IFERROR(VLOOKUP(C2262,TRAOPE!$G:$H,2,0),"")</f>
        <v/>
      </c>
      <c r="E2262" s="8" t="inlineStr">
        <is>
          <t>D836</t>
        </is>
      </c>
      <c r="F2262" s="8" t="inlineStr">
        <is>
          <t>66799029</t>
        </is>
      </c>
      <c r="G2262" s="8">
        <f>IFERROR(VLOOKUP(A2262,Flete!$A:$E,5,0),"")</f>
        <v/>
      </c>
      <c r="H2262" s="7">
        <f>IFERROR(VLOOKUP(F2262,TRAOPE!$AA:$AB,2,0),"")</f>
        <v/>
      </c>
      <c r="I2262" s="7" t="n">
        <v>10260064</v>
      </c>
      <c r="J2262" s="7">
        <f>IFERROR(VLOOKUP(I2262,Materiales!$A:$H,8,0),"")</f>
        <v/>
      </c>
      <c r="K2262" s="9">
        <f>IFERROR(VLOOKUP(I2262,Materiales!$A:$G,7,0),"")</f>
        <v/>
      </c>
      <c r="L2262" s="8" t="inlineStr">
        <is>
          <t>20240619</t>
        </is>
      </c>
      <c r="M2262" s="8" t="inlineStr">
        <is>
          <t>20251031</t>
        </is>
      </c>
      <c r="N2262" s="10" t="n">
        <v>85</v>
      </c>
      <c r="O2262" s="10">
        <f>IFERROR(VLOOKUP(A2262,Flete!$A:$J,10,0),"")</f>
        <v/>
      </c>
      <c r="P2262" s="8" t="inlineStr">
        <is>
          <t>M3</t>
        </is>
      </c>
      <c r="Q2262" s="10">
        <f>IFERROR(IFERROR(VLOOKUP(A2262,TRAOPE!$A:$U,21,0),VLOOKUP(B2262,TRAOPE!$A:$U,21,0)),"")</f>
        <v/>
      </c>
      <c r="R2262" s="8">
        <f>IFERROR(IFERROR(VLOOKUP(A2262,TRAOPE!$A:$W,23,0),VLOOKUP(B2262,TRAOPE!$A:$W,23,0)),"")</f>
        <v/>
      </c>
      <c r="S2262" s="10">
        <f>IF(AND(P2262="TN",R2262="TN"),N2262+N(O2262),IF(G2262&amp;""="1",N(K2262)*N2262,(N2262+N(O2262))*N(K2262)))</f>
        <v/>
      </c>
      <c r="T2262" s="10">
        <f>IF(Q2262="","",Q2262-S2262)</f>
        <v/>
      </c>
    </row>
    <row r="2263">
      <c r="A2263" s="7">
        <f>CONCATENATE(C2263,E2263,F2263,I2263)</f>
        <v/>
      </c>
      <c r="B2263" s="7">
        <f>CONCATENATE(C2263,E2263,I2263)</f>
        <v/>
      </c>
      <c r="C2263" s="8" t="n">
        <v>900005627</v>
      </c>
      <c r="D2263" s="7">
        <f>IFERROR(VLOOKUP(C2263,TRAOPE!$G:$H,2,0),"")</f>
        <v/>
      </c>
      <c r="E2263" s="8" t="inlineStr">
        <is>
          <t>D836</t>
        </is>
      </c>
      <c r="F2263" s="8" t="inlineStr">
        <is>
          <t>67160653</t>
        </is>
      </c>
      <c r="G2263" s="8">
        <f>IFERROR(VLOOKUP(A2263,Flete!$A:$E,5,0),"")</f>
        <v/>
      </c>
      <c r="H2263" s="7">
        <f>IFERROR(VLOOKUP(F2263,TRAOPE!$AA:$AB,2,0),"")</f>
        <v/>
      </c>
      <c r="I2263" s="7" t="n">
        <v>10267271</v>
      </c>
      <c r="J2263" s="7">
        <f>IFERROR(VLOOKUP(I2263,Materiales!$A:$H,8,0),"")</f>
        <v/>
      </c>
      <c r="K2263" s="9">
        <f>IFERROR(VLOOKUP(I2263,Materiales!$A:$G,7,0),"")</f>
        <v/>
      </c>
      <c r="L2263" s="8" t="inlineStr">
        <is>
          <t>20240619</t>
        </is>
      </c>
      <c r="M2263" s="8" t="inlineStr">
        <is>
          <t>20251031</t>
        </is>
      </c>
      <c r="N2263" s="10" t="n">
        <v>170</v>
      </c>
      <c r="O2263" s="10">
        <f>IFERROR(VLOOKUP(A2263,Flete!$A:$J,10,0),"")</f>
        <v/>
      </c>
      <c r="P2263" s="8" t="inlineStr">
        <is>
          <t>M3</t>
        </is>
      </c>
      <c r="Q2263" s="10">
        <f>IFERROR(IFERROR(VLOOKUP(A2263,TRAOPE!$A:$U,21,0),VLOOKUP(B2263,TRAOPE!$A:$U,21,0)),"")</f>
        <v/>
      </c>
      <c r="R2263" s="8">
        <f>IFERROR(IFERROR(VLOOKUP(A2263,TRAOPE!$A:$W,23,0),VLOOKUP(B2263,TRAOPE!$A:$W,23,0)),"")</f>
        <v/>
      </c>
      <c r="S2263" s="10">
        <f>IF(AND(P2263="TN",R2263="TN"),N2263+N(O2263),IF(G2263&amp;""="1",N(K2263)*N2263,(N2263+N(O2263))*N(K2263)))</f>
        <v/>
      </c>
      <c r="T2263" s="10">
        <f>IF(Q2263="","",Q2263-S2263)</f>
        <v/>
      </c>
    </row>
    <row r="2264">
      <c r="A2264" s="7">
        <f>CONCATENATE(C2264,E2264,F2264,I2264)</f>
        <v/>
      </c>
      <c r="B2264" s="7">
        <f>CONCATENATE(C2264,E2264,I2264)</f>
        <v/>
      </c>
      <c r="C2264" s="8" t="n">
        <v>900005627</v>
      </c>
      <c r="D2264" s="7">
        <f>IFERROR(VLOOKUP(C2264,TRAOPE!$G:$H,2,0),"")</f>
        <v/>
      </c>
      <c r="E2264" s="8" t="inlineStr">
        <is>
          <t>D836</t>
        </is>
      </c>
      <c r="F2264" s="8" t="inlineStr">
        <is>
          <t>67164038</t>
        </is>
      </c>
      <c r="G2264" s="8">
        <f>IFERROR(VLOOKUP(A2264,Flete!$A:$E,5,0),"")</f>
        <v/>
      </c>
      <c r="H2264" s="7">
        <f>IFERROR(VLOOKUP(F2264,TRAOPE!$AA:$AB,2,0),"")</f>
        <v/>
      </c>
      <c r="I2264" s="7" t="n">
        <v>10000432</v>
      </c>
      <c r="J2264" s="7">
        <f>IFERROR(VLOOKUP(I2264,Materiales!$A:$H,8,0),"")</f>
        <v/>
      </c>
      <c r="K2264" s="9">
        <f>IFERROR(VLOOKUP(I2264,Materiales!$A:$G,7,0),"")</f>
        <v/>
      </c>
      <c r="L2264" s="8" t="inlineStr">
        <is>
          <t>20240619</t>
        </is>
      </c>
      <c r="M2264" s="8" t="inlineStr">
        <is>
          <t>20251031</t>
        </is>
      </c>
      <c r="N2264" s="10" t="n">
        <v>220</v>
      </c>
      <c r="O2264" s="10">
        <f>IFERROR(VLOOKUP(A2264,Flete!$A:$J,10,0),"")</f>
        <v/>
      </c>
      <c r="P2264" s="8" t="inlineStr">
        <is>
          <t>M3</t>
        </is>
      </c>
      <c r="Q2264" s="10">
        <f>IFERROR(IFERROR(VLOOKUP(A2264,TRAOPE!$A:$U,21,0),VLOOKUP(B2264,TRAOPE!$A:$U,21,0)),"")</f>
        <v/>
      </c>
      <c r="R2264" s="8">
        <f>IFERROR(IFERROR(VLOOKUP(A2264,TRAOPE!$A:$W,23,0),VLOOKUP(B2264,TRAOPE!$A:$W,23,0)),"")</f>
        <v/>
      </c>
      <c r="S2264" s="10">
        <f>IF(AND(P2264="TN",R2264="TN"),N2264+N(O2264),IF(G2264&amp;""="1",N(K2264)*N2264,(N2264+N(O2264))*N(K2264)))</f>
        <v/>
      </c>
      <c r="T2264" s="10">
        <f>IF(Q2264="","",Q2264-S2264)</f>
        <v/>
      </c>
    </row>
    <row r="2265">
      <c r="A2265" s="7">
        <f>CONCATENATE(C2265,E2265,F2265,I2265)</f>
        <v/>
      </c>
      <c r="B2265" s="7">
        <f>CONCATENATE(C2265,E2265,I2265)</f>
        <v/>
      </c>
      <c r="C2265" s="8" t="n">
        <v>900005627</v>
      </c>
      <c r="D2265" s="7">
        <f>IFERROR(VLOOKUP(C2265,TRAOPE!$G:$H,2,0),"")</f>
        <v/>
      </c>
      <c r="E2265" s="8" t="inlineStr">
        <is>
          <t>D836</t>
        </is>
      </c>
      <c r="F2265" s="8" t="inlineStr">
        <is>
          <t>67164038</t>
        </is>
      </c>
      <c r="G2265" s="8">
        <f>IFERROR(VLOOKUP(A2265,Flete!$A:$E,5,0),"")</f>
        <v/>
      </c>
      <c r="H2265" s="7">
        <f>IFERROR(VLOOKUP(F2265,TRAOPE!$AA:$AB,2,0),"")</f>
        <v/>
      </c>
      <c r="I2265" s="7" t="n">
        <v>10145835</v>
      </c>
      <c r="J2265" s="7">
        <f>IFERROR(VLOOKUP(I2265,Materiales!$A:$H,8,0),"")</f>
        <v/>
      </c>
      <c r="K2265" s="9">
        <f>IFERROR(VLOOKUP(I2265,Materiales!$A:$G,7,0),"")</f>
        <v/>
      </c>
      <c r="L2265" s="8" t="inlineStr">
        <is>
          <t>20240619</t>
        </is>
      </c>
      <c r="M2265" s="8" t="inlineStr">
        <is>
          <t>20251031</t>
        </is>
      </c>
      <c r="N2265" s="10" t="n">
        <v>145</v>
      </c>
      <c r="O2265" s="10">
        <f>IFERROR(VLOOKUP(A2265,Flete!$A:$J,10,0),"")</f>
        <v/>
      </c>
      <c r="P2265" s="8" t="inlineStr">
        <is>
          <t>M3</t>
        </is>
      </c>
      <c r="Q2265" s="10">
        <f>IFERROR(IFERROR(VLOOKUP(A2265,TRAOPE!$A:$U,21,0),VLOOKUP(B2265,TRAOPE!$A:$U,21,0)),"")</f>
        <v/>
      </c>
      <c r="R2265" s="8">
        <f>IFERROR(IFERROR(VLOOKUP(A2265,TRAOPE!$A:$W,23,0),VLOOKUP(B2265,TRAOPE!$A:$W,23,0)),"")</f>
        <v/>
      </c>
      <c r="S2265" s="10">
        <f>IF(AND(P2265="TN",R2265="TN"),N2265+N(O2265),IF(G2265&amp;""="1",N(K2265)*N2265,(N2265+N(O2265))*N(K2265)))</f>
        <v/>
      </c>
      <c r="T2265" s="10">
        <f>IF(Q2265="","",Q2265-S2265)</f>
        <v/>
      </c>
    </row>
    <row r="2266">
      <c r="A2266" s="7">
        <f>CONCATENATE(C2266,E2266,F2266,I2266)</f>
        <v/>
      </c>
      <c r="B2266" s="7">
        <f>CONCATENATE(C2266,E2266,I2266)</f>
        <v/>
      </c>
      <c r="C2266" s="8" t="n">
        <v>900005627</v>
      </c>
      <c r="D2266" s="7">
        <f>IFERROR(VLOOKUP(C2266,TRAOPE!$G:$H,2,0),"")</f>
        <v/>
      </c>
      <c r="E2266" s="8" t="inlineStr">
        <is>
          <t>D836</t>
        </is>
      </c>
      <c r="F2266" s="8" t="inlineStr">
        <is>
          <t>67164038</t>
        </is>
      </c>
      <c r="G2266" s="8">
        <f>IFERROR(VLOOKUP(A2266,Flete!$A:$E,5,0),"")</f>
        <v/>
      </c>
      <c r="H2266" s="7">
        <f>IFERROR(VLOOKUP(F2266,TRAOPE!$AA:$AB,2,0),"")</f>
        <v/>
      </c>
      <c r="I2266" s="7" t="n">
        <v>10155487</v>
      </c>
      <c r="J2266" s="7">
        <f>IFERROR(VLOOKUP(I2266,Materiales!$A:$H,8,0),"")</f>
        <v/>
      </c>
      <c r="K2266" s="9">
        <f>IFERROR(VLOOKUP(I2266,Materiales!$A:$G,7,0),"")</f>
        <v/>
      </c>
      <c r="L2266" s="8" t="inlineStr">
        <is>
          <t>20240619</t>
        </is>
      </c>
      <c r="M2266" s="8" t="inlineStr">
        <is>
          <t>20251031</t>
        </is>
      </c>
      <c r="N2266" s="10" t="n">
        <v>282</v>
      </c>
      <c r="O2266" s="10">
        <f>IFERROR(VLOOKUP(A2266,Flete!$A:$J,10,0),"")</f>
        <v/>
      </c>
      <c r="P2266" s="8" t="inlineStr">
        <is>
          <t>M3</t>
        </is>
      </c>
      <c r="Q2266" s="10">
        <f>IFERROR(IFERROR(VLOOKUP(A2266,TRAOPE!$A:$U,21,0),VLOOKUP(B2266,TRAOPE!$A:$U,21,0)),"")</f>
        <v/>
      </c>
      <c r="R2266" s="8">
        <f>IFERROR(IFERROR(VLOOKUP(A2266,TRAOPE!$A:$W,23,0),VLOOKUP(B2266,TRAOPE!$A:$W,23,0)),"")</f>
        <v/>
      </c>
      <c r="S2266" s="10">
        <f>IF(AND(P2266="TN",R2266="TN"),N2266+N(O2266),IF(G2266&amp;""="1",N(K2266)*N2266,(N2266+N(O2266))*N(K2266)))</f>
        <v/>
      </c>
      <c r="T2266" s="10">
        <f>IF(Q2266="","",Q2266-S2266)</f>
        <v/>
      </c>
    </row>
    <row r="2267">
      <c r="A2267" s="7">
        <f>CONCATENATE(C2267,E2267,F2267,I2267)</f>
        <v/>
      </c>
      <c r="B2267" s="7">
        <f>CONCATENATE(C2267,E2267,I2267)</f>
        <v/>
      </c>
      <c r="C2267" s="8" t="n">
        <v>900006371</v>
      </c>
      <c r="D2267" s="7">
        <f>IFERROR(VLOOKUP(C2267,TRAOPE!$G:$H,2,0),"")</f>
        <v/>
      </c>
      <c r="E2267" s="8" t="inlineStr">
        <is>
          <t>D836</t>
        </is>
      </c>
      <c r="F2267" s="8" t="inlineStr">
        <is>
          <t>65925194</t>
        </is>
      </c>
      <c r="G2267" s="8">
        <f>IFERROR(VLOOKUP(A2267,Flete!$A:$E,5,0),"")</f>
        <v/>
      </c>
      <c r="H2267" s="7">
        <f>IFERROR(VLOOKUP(F2267,TRAOPE!$AA:$AB,2,0),"")</f>
        <v/>
      </c>
      <c r="I2267" s="7" t="n">
        <v>10000160</v>
      </c>
      <c r="J2267" s="7">
        <f>IFERROR(VLOOKUP(I2267,Materiales!$A:$H,8,0),"")</f>
        <v/>
      </c>
      <c r="K2267" s="9">
        <f>IFERROR(VLOOKUP(I2267,Materiales!$A:$G,7,0),"")</f>
        <v/>
      </c>
      <c r="L2267" s="8" t="inlineStr">
        <is>
          <t>20240619</t>
        </is>
      </c>
      <c r="M2267" s="8" t="inlineStr">
        <is>
          <t>20251031</t>
        </is>
      </c>
      <c r="N2267" s="10" t="n">
        <v>109.86</v>
      </c>
      <c r="O2267" s="10">
        <f>IFERROR(VLOOKUP(A2267,Flete!$A:$J,10,0),"")</f>
        <v/>
      </c>
      <c r="P2267" s="8" t="inlineStr">
        <is>
          <t>M3</t>
        </is>
      </c>
      <c r="Q2267" s="10">
        <f>IFERROR(IFERROR(VLOOKUP(A2267,TRAOPE!$A:$U,21,0),VLOOKUP(B2267,TRAOPE!$A:$U,21,0)),"")</f>
        <v/>
      </c>
      <c r="R2267" s="8">
        <f>IFERROR(IFERROR(VLOOKUP(A2267,TRAOPE!$A:$W,23,0),VLOOKUP(B2267,TRAOPE!$A:$W,23,0)),"")</f>
        <v/>
      </c>
      <c r="S2267" s="10">
        <f>IF(AND(P2267="TN",R2267="TN"),N2267+N(O2267),IF(G2267&amp;""="1",N(K2267)*N2267,(N2267+N(O2267))*N(K2267)))</f>
        <v/>
      </c>
      <c r="T2267" s="10">
        <f>IF(Q2267="","",Q2267-S2267)</f>
        <v/>
      </c>
    </row>
    <row r="2268">
      <c r="A2268" s="7">
        <f>CONCATENATE(C2268,E2268,F2268,I2268)</f>
        <v/>
      </c>
      <c r="B2268" s="7">
        <f>CONCATENATE(C2268,E2268,I2268)</f>
        <v/>
      </c>
      <c r="C2268" s="8" t="n">
        <v>900006542</v>
      </c>
      <c r="D2268" s="7">
        <f>IFERROR(VLOOKUP(C2268,TRAOPE!$G:$H,2,0),"")</f>
        <v/>
      </c>
      <c r="E2268" s="8" t="inlineStr">
        <is>
          <t>D836</t>
        </is>
      </c>
      <c r="F2268" s="8" t="inlineStr">
        <is>
          <t>66864508</t>
        </is>
      </c>
      <c r="G2268" s="8">
        <f>IFERROR(VLOOKUP(A2268,Flete!$A:$E,5,0),"")</f>
        <v/>
      </c>
      <c r="H2268" s="7">
        <f>IFERROR(VLOOKUP(F2268,TRAOPE!$AA:$AB,2,0),"")</f>
        <v/>
      </c>
      <c r="I2268" s="7" t="n">
        <v>10000655</v>
      </c>
      <c r="J2268" s="7">
        <f>IFERROR(VLOOKUP(I2268,Materiales!$A:$H,8,0),"")</f>
        <v/>
      </c>
      <c r="K2268" s="9">
        <f>IFERROR(VLOOKUP(I2268,Materiales!$A:$G,7,0),"")</f>
        <v/>
      </c>
      <c r="L2268" s="8" t="inlineStr">
        <is>
          <t>20240619</t>
        </is>
      </c>
      <c r="M2268" s="8" t="inlineStr">
        <is>
          <t>20251031</t>
        </is>
      </c>
      <c r="N2268" s="10" t="n">
        <v>1118.57</v>
      </c>
      <c r="O2268" s="10">
        <f>IFERROR(VLOOKUP(A2268,Flete!$A:$J,10,0),"")</f>
        <v/>
      </c>
      <c r="P2268" s="8" t="inlineStr">
        <is>
          <t>TN</t>
        </is>
      </c>
      <c r="Q2268" s="10">
        <f>IFERROR(IFERROR(VLOOKUP(A2268,TRAOPE!$A:$U,21,0),VLOOKUP(B2268,TRAOPE!$A:$U,21,0)),"")</f>
        <v/>
      </c>
      <c r="R2268" s="8">
        <f>IFERROR(IFERROR(VLOOKUP(A2268,TRAOPE!$A:$W,23,0),VLOOKUP(B2268,TRAOPE!$A:$W,23,0)),"")</f>
        <v/>
      </c>
      <c r="S2268" s="10">
        <f>IF(AND(P2268="TN",R2268="TN"),N2268+N(O2268),IF(G2268&amp;""="1",N(K2268)*N2268,(N2268+N(O2268))*N(K2268)))</f>
        <v/>
      </c>
      <c r="T2268" s="10">
        <f>IF(Q2268="","",Q2268-S2268)</f>
        <v/>
      </c>
    </row>
    <row r="2269">
      <c r="A2269" s="7">
        <f>CONCATENATE(C2269,E2269,F2269,I2269)</f>
        <v/>
      </c>
      <c r="B2269" s="7">
        <f>CONCATENATE(C2269,E2269,I2269)</f>
        <v/>
      </c>
      <c r="C2269" s="8" t="n">
        <v>900006542</v>
      </c>
      <c r="D2269" s="7">
        <f>IFERROR(VLOOKUP(C2269,TRAOPE!$G:$H,2,0),"")</f>
        <v/>
      </c>
      <c r="E2269" s="8" t="inlineStr">
        <is>
          <t>D836</t>
        </is>
      </c>
      <c r="F2269" s="8" t="inlineStr">
        <is>
          <t>67132343</t>
        </is>
      </c>
      <c r="G2269" s="8">
        <f>IFERROR(VLOOKUP(A2269,Flete!$A:$E,5,0),"")</f>
        <v/>
      </c>
      <c r="H2269" s="7">
        <f>IFERROR(VLOOKUP(F2269,TRAOPE!$AA:$AB,2,0),"")</f>
        <v/>
      </c>
      <c r="I2269" s="7" t="n">
        <v>10227598</v>
      </c>
      <c r="J2269" s="7">
        <f>IFERROR(VLOOKUP(I2269,Materiales!$A:$H,8,0),"")</f>
        <v/>
      </c>
      <c r="K2269" s="9">
        <f>IFERROR(VLOOKUP(I2269,Materiales!$A:$G,7,0),"")</f>
        <v/>
      </c>
      <c r="L2269" s="8" t="inlineStr">
        <is>
          <t>20240619</t>
        </is>
      </c>
      <c r="M2269" s="8" t="inlineStr">
        <is>
          <t>20251031</t>
        </is>
      </c>
      <c r="N2269" s="10" t="n">
        <v>86</v>
      </c>
      <c r="O2269" s="10">
        <f>IFERROR(VLOOKUP(A2269,Flete!$A:$J,10,0),"")</f>
        <v/>
      </c>
      <c r="P2269" s="8" t="inlineStr">
        <is>
          <t>M3</t>
        </is>
      </c>
      <c r="Q2269" s="10">
        <f>IFERROR(IFERROR(VLOOKUP(A2269,TRAOPE!$A:$U,21,0),VLOOKUP(B2269,TRAOPE!$A:$U,21,0)),"")</f>
        <v/>
      </c>
      <c r="R2269" s="8">
        <f>IFERROR(IFERROR(VLOOKUP(A2269,TRAOPE!$A:$W,23,0),VLOOKUP(B2269,TRAOPE!$A:$W,23,0)),"")</f>
        <v/>
      </c>
      <c r="S2269" s="10">
        <f>IF(AND(P2269="TN",R2269="TN"),N2269+N(O2269),IF(G2269&amp;""="1",N(K2269)*N2269,(N2269+N(O2269))*N(K2269)))</f>
        <v/>
      </c>
      <c r="T2269" s="10">
        <f>IF(Q2269="","",Q2269-S2269)</f>
        <v/>
      </c>
    </row>
    <row r="2270">
      <c r="A2270" s="7">
        <f>CONCATENATE(C2270,E2270,F2270,I2270)</f>
        <v/>
      </c>
      <c r="B2270" s="7">
        <f>CONCATENATE(C2270,E2270,I2270)</f>
        <v/>
      </c>
      <c r="C2270" s="8" t="n">
        <v>900006542</v>
      </c>
      <c r="D2270" s="7">
        <f>IFERROR(VLOOKUP(C2270,TRAOPE!$G:$H,2,0),"")</f>
        <v/>
      </c>
      <c r="E2270" s="8" t="inlineStr">
        <is>
          <t>D836</t>
        </is>
      </c>
      <c r="F2270" s="8" t="inlineStr">
        <is>
          <t>67337282</t>
        </is>
      </c>
      <c r="G2270" s="8">
        <f>IFERROR(VLOOKUP(A2270,Flete!$A:$E,5,0),"")</f>
        <v/>
      </c>
      <c r="H2270" s="7">
        <f>IFERROR(VLOOKUP(F2270,TRAOPE!$AA:$AB,2,0),"")</f>
        <v/>
      </c>
      <c r="I2270" s="7" t="n">
        <v>10171624</v>
      </c>
      <c r="J2270" s="7">
        <f>IFERROR(VLOOKUP(I2270,Materiales!$A:$H,8,0),"")</f>
        <v/>
      </c>
      <c r="K2270" s="9">
        <f>IFERROR(VLOOKUP(I2270,Materiales!$A:$G,7,0),"")</f>
        <v/>
      </c>
      <c r="L2270" s="8" t="inlineStr">
        <is>
          <t>20240619</t>
        </is>
      </c>
      <c r="M2270" s="8" t="inlineStr">
        <is>
          <t>20251031</t>
        </is>
      </c>
      <c r="N2270" s="10" t="n">
        <v>88</v>
      </c>
      <c r="O2270" s="10">
        <f>IFERROR(VLOOKUP(A2270,Flete!$A:$J,10,0),"")</f>
        <v/>
      </c>
      <c r="P2270" s="8" t="inlineStr">
        <is>
          <t>TN</t>
        </is>
      </c>
      <c r="Q2270" s="10">
        <f>IFERROR(IFERROR(VLOOKUP(A2270,TRAOPE!$A:$U,21,0),VLOOKUP(B2270,TRAOPE!$A:$U,21,0)),"")</f>
        <v/>
      </c>
      <c r="R2270" s="8">
        <f>IFERROR(IFERROR(VLOOKUP(A2270,TRAOPE!$A:$W,23,0),VLOOKUP(B2270,TRAOPE!$A:$W,23,0)),"")</f>
        <v/>
      </c>
      <c r="S2270" s="10">
        <f>IF(AND(P2270="TN",R2270="TN"),N2270+N(O2270),IF(G2270&amp;""="1",N(K2270)*N2270,(N2270+N(O2270))*N(K2270)))</f>
        <v/>
      </c>
      <c r="T2270" s="10">
        <f>IF(Q2270="","",Q2270-S2270)</f>
        <v/>
      </c>
    </row>
    <row r="2271">
      <c r="A2271" s="7">
        <f>CONCATENATE(C2271,E2271,F2271,I2271)</f>
        <v/>
      </c>
      <c r="B2271" s="7">
        <f>CONCATENATE(C2271,E2271,I2271)</f>
        <v/>
      </c>
      <c r="C2271" s="8" t="n">
        <v>900006542</v>
      </c>
      <c r="D2271" s="7">
        <f>IFERROR(VLOOKUP(C2271,TRAOPE!$G:$H,2,0),"")</f>
        <v/>
      </c>
      <c r="E2271" s="8" t="inlineStr">
        <is>
          <t>D836</t>
        </is>
      </c>
      <c r="F2271" s="8" t="inlineStr">
        <is>
          <t>67337282</t>
        </is>
      </c>
      <c r="G2271" s="8">
        <f>IFERROR(VLOOKUP(A2271,Flete!$A:$E,5,0),"")</f>
        <v/>
      </c>
      <c r="H2271" s="7">
        <f>IFERROR(VLOOKUP(F2271,TRAOPE!$AA:$AB,2,0),"")</f>
        <v/>
      </c>
      <c r="I2271" s="7" t="n">
        <v>10192941</v>
      </c>
      <c r="J2271" s="7">
        <f>IFERROR(VLOOKUP(I2271,Materiales!$A:$H,8,0),"")</f>
        <v/>
      </c>
      <c r="K2271" s="9">
        <f>IFERROR(VLOOKUP(I2271,Materiales!$A:$G,7,0),"")</f>
        <v/>
      </c>
      <c r="L2271" s="8" t="inlineStr">
        <is>
          <t>20240619</t>
        </is>
      </c>
      <c r="M2271" s="8" t="inlineStr">
        <is>
          <t>20251031</t>
        </is>
      </c>
      <c r="N2271" s="10" t="n">
        <v>113.33</v>
      </c>
      <c r="O2271" s="10">
        <f>IFERROR(VLOOKUP(A2271,Flete!$A:$J,10,0),"")</f>
        <v/>
      </c>
      <c r="P2271" s="8" t="inlineStr">
        <is>
          <t>TN</t>
        </is>
      </c>
      <c r="Q2271" s="10">
        <f>IFERROR(IFERROR(VLOOKUP(A2271,TRAOPE!$A:$U,21,0),VLOOKUP(B2271,TRAOPE!$A:$U,21,0)),"")</f>
        <v/>
      </c>
      <c r="R2271" s="8">
        <f>IFERROR(IFERROR(VLOOKUP(A2271,TRAOPE!$A:$W,23,0),VLOOKUP(B2271,TRAOPE!$A:$W,23,0)),"")</f>
        <v/>
      </c>
      <c r="S2271" s="10">
        <f>IF(AND(P2271="TN",R2271="TN"),N2271+N(O2271),IF(G2271&amp;""="1",N(K2271)*N2271,(N2271+N(O2271))*N(K2271)))</f>
        <v/>
      </c>
      <c r="T2271" s="10">
        <f>IF(Q2271="","",Q2271-S2271)</f>
        <v/>
      </c>
    </row>
    <row r="2272">
      <c r="A2272" s="7">
        <f>CONCATENATE(C2272,E2272,F2272,I2272)</f>
        <v/>
      </c>
      <c r="B2272" s="7">
        <f>CONCATENATE(C2272,E2272,I2272)</f>
        <v/>
      </c>
      <c r="C2272" s="8" t="n">
        <v>900006543</v>
      </c>
      <c r="D2272" s="7">
        <f>IFERROR(VLOOKUP(C2272,TRAOPE!$G:$H,2,0),"")</f>
        <v/>
      </c>
      <c r="E2272" s="8" t="inlineStr">
        <is>
          <t>D836</t>
        </is>
      </c>
      <c r="F2272" s="8" t="inlineStr">
        <is>
          <t>65006301</t>
        </is>
      </c>
      <c r="G2272" s="8">
        <f>IFERROR(VLOOKUP(A2272,Flete!$A:$E,5,0),"")</f>
        <v/>
      </c>
      <c r="H2272" s="7">
        <f>IFERROR(VLOOKUP(F2272,TRAOPE!$AA:$AB,2,0),"")</f>
        <v/>
      </c>
      <c r="I2272" s="7" t="n">
        <v>10000206</v>
      </c>
      <c r="J2272" s="7">
        <f>IFERROR(VLOOKUP(I2272,Materiales!$A:$H,8,0),"")</f>
        <v/>
      </c>
      <c r="K2272" s="9">
        <f>IFERROR(VLOOKUP(I2272,Materiales!$A:$G,7,0),"")</f>
        <v/>
      </c>
      <c r="L2272" s="8" t="inlineStr">
        <is>
          <t>20240619</t>
        </is>
      </c>
      <c r="M2272" s="8" t="inlineStr">
        <is>
          <t>20251031</t>
        </is>
      </c>
      <c r="N2272" s="10" t="n">
        <v>20</v>
      </c>
      <c r="O2272" s="10">
        <f>IFERROR(VLOOKUP(A2272,Flete!$A:$J,10,0),"")</f>
        <v/>
      </c>
      <c r="P2272" s="8" t="inlineStr">
        <is>
          <t>M3</t>
        </is>
      </c>
      <c r="Q2272" s="10">
        <f>IFERROR(IFERROR(VLOOKUP(A2272,TRAOPE!$A:$U,21,0),VLOOKUP(B2272,TRAOPE!$A:$U,21,0)),"")</f>
        <v/>
      </c>
      <c r="R2272" s="8">
        <f>IFERROR(IFERROR(VLOOKUP(A2272,TRAOPE!$A:$W,23,0),VLOOKUP(B2272,TRAOPE!$A:$W,23,0)),"")</f>
        <v/>
      </c>
      <c r="S2272" s="10">
        <f>IF(AND(P2272="TN",R2272="TN"),N2272+N(O2272),IF(G2272&amp;""="1",N(K2272)*N2272,(N2272+N(O2272))*N(K2272)))</f>
        <v/>
      </c>
      <c r="T2272" s="10">
        <f>IF(Q2272="","",Q2272-S2272)</f>
        <v/>
      </c>
    </row>
    <row r="2273">
      <c r="A2273" s="7">
        <f>CONCATENATE(C2273,E2273,F2273,I2273)</f>
        <v/>
      </c>
      <c r="B2273" s="7">
        <f>CONCATENATE(C2273,E2273,I2273)</f>
        <v/>
      </c>
      <c r="C2273" s="8" t="n">
        <v>900006543</v>
      </c>
      <c r="D2273" s="7">
        <f>IFERROR(VLOOKUP(C2273,TRAOPE!$G:$H,2,0),"")</f>
        <v/>
      </c>
      <c r="E2273" s="8" t="inlineStr">
        <is>
          <t>D836</t>
        </is>
      </c>
      <c r="F2273" s="8" t="inlineStr">
        <is>
          <t>65006301</t>
        </is>
      </c>
      <c r="G2273" s="8">
        <f>IFERROR(VLOOKUP(A2273,Flete!$A:$E,5,0),"")</f>
        <v/>
      </c>
      <c r="H2273" s="7">
        <f>IFERROR(VLOOKUP(F2273,TRAOPE!$AA:$AB,2,0),"")</f>
        <v/>
      </c>
      <c r="I2273" s="7" t="n">
        <v>10000627</v>
      </c>
      <c r="J2273" s="7">
        <f>IFERROR(VLOOKUP(I2273,Materiales!$A:$H,8,0),"")</f>
        <v/>
      </c>
      <c r="K2273" s="9">
        <f>IFERROR(VLOOKUP(I2273,Materiales!$A:$G,7,0),"")</f>
        <v/>
      </c>
      <c r="L2273" s="8" t="inlineStr">
        <is>
          <t>20240619</t>
        </is>
      </c>
      <c r="M2273" s="8" t="inlineStr">
        <is>
          <t>20251031</t>
        </is>
      </c>
      <c r="N2273" s="10" t="n">
        <v>115</v>
      </c>
      <c r="O2273" s="10">
        <f>IFERROR(VLOOKUP(A2273,Flete!$A:$J,10,0),"")</f>
        <v/>
      </c>
      <c r="P2273" s="8" t="inlineStr">
        <is>
          <t>M3</t>
        </is>
      </c>
      <c r="Q2273" s="10">
        <f>IFERROR(IFERROR(VLOOKUP(A2273,TRAOPE!$A:$U,21,0),VLOOKUP(B2273,TRAOPE!$A:$U,21,0)),"")</f>
        <v/>
      </c>
      <c r="R2273" s="8">
        <f>IFERROR(IFERROR(VLOOKUP(A2273,TRAOPE!$A:$W,23,0),VLOOKUP(B2273,TRAOPE!$A:$W,23,0)),"")</f>
        <v/>
      </c>
      <c r="S2273" s="10">
        <f>IF(AND(P2273="TN",R2273="TN"),N2273+N(O2273),IF(G2273&amp;""="1",N(K2273)*N2273,(N2273+N(O2273))*N(K2273)))</f>
        <v/>
      </c>
      <c r="T2273" s="10">
        <f>IF(Q2273="","",Q2273-S2273)</f>
        <v/>
      </c>
    </row>
    <row r="2274">
      <c r="A2274" s="7">
        <f>CONCATENATE(C2274,E2274,F2274,I2274)</f>
        <v/>
      </c>
      <c r="B2274" s="7">
        <f>CONCATENATE(C2274,E2274,I2274)</f>
        <v/>
      </c>
      <c r="C2274" s="8" t="n">
        <v>900006543</v>
      </c>
      <c r="D2274" s="7">
        <f>IFERROR(VLOOKUP(C2274,TRAOPE!$G:$H,2,0),"")</f>
        <v/>
      </c>
      <c r="E2274" s="8" t="inlineStr">
        <is>
          <t>D836</t>
        </is>
      </c>
      <c r="F2274" s="8" t="inlineStr">
        <is>
          <t>65006301</t>
        </is>
      </c>
      <c r="G2274" s="8">
        <f>IFERROR(VLOOKUP(A2274,Flete!$A:$E,5,0),"")</f>
        <v/>
      </c>
      <c r="H2274" s="7">
        <f>IFERROR(VLOOKUP(F2274,TRAOPE!$AA:$AB,2,0),"")</f>
        <v/>
      </c>
      <c r="I2274" s="7" t="n">
        <v>10185476</v>
      </c>
      <c r="J2274" s="7">
        <f>IFERROR(VLOOKUP(I2274,Materiales!$A:$H,8,0),"")</f>
        <v/>
      </c>
      <c r="K2274" s="9">
        <f>IFERROR(VLOOKUP(I2274,Materiales!$A:$G,7,0),"")</f>
        <v/>
      </c>
      <c r="L2274" s="8" t="inlineStr">
        <is>
          <t>20240619</t>
        </is>
      </c>
      <c r="M2274" s="8" t="inlineStr">
        <is>
          <t>20251031</t>
        </is>
      </c>
      <c r="N2274" s="10" t="n">
        <v>108</v>
      </c>
      <c r="O2274" s="10">
        <f>IFERROR(VLOOKUP(A2274,Flete!$A:$J,10,0),"")</f>
        <v/>
      </c>
      <c r="P2274" s="8" t="inlineStr">
        <is>
          <t>M3</t>
        </is>
      </c>
      <c r="Q2274" s="10">
        <f>IFERROR(IFERROR(VLOOKUP(A2274,TRAOPE!$A:$U,21,0),VLOOKUP(B2274,TRAOPE!$A:$U,21,0)),"")</f>
        <v/>
      </c>
      <c r="R2274" s="8">
        <f>IFERROR(IFERROR(VLOOKUP(A2274,TRAOPE!$A:$W,23,0),VLOOKUP(B2274,TRAOPE!$A:$W,23,0)),"")</f>
        <v/>
      </c>
      <c r="S2274" s="10">
        <f>IF(AND(P2274="TN",R2274="TN"),N2274+N(O2274),IF(G2274&amp;""="1",N(K2274)*N2274,(N2274+N(O2274))*N(K2274)))</f>
        <v/>
      </c>
      <c r="T2274" s="10">
        <f>IF(Q2274="","",Q2274-S2274)</f>
        <v/>
      </c>
    </row>
    <row r="2275">
      <c r="A2275" s="7">
        <f>CONCATENATE(C2275,E2275,F2275,I2275)</f>
        <v/>
      </c>
      <c r="B2275" s="7">
        <f>CONCATENATE(C2275,E2275,I2275)</f>
        <v/>
      </c>
      <c r="C2275" s="8" t="n">
        <v>900006543</v>
      </c>
      <c r="D2275" s="7">
        <f>IFERROR(VLOOKUP(C2275,TRAOPE!$G:$H,2,0),"")</f>
        <v/>
      </c>
      <c r="E2275" s="8" t="inlineStr">
        <is>
          <t>D836</t>
        </is>
      </c>
      <c r="F2275" s="8" t="inlineStr">
        <is>
          <t>65006301</t>
        </is>
      </c>
      <c r="G2275" s="8">
        <f>IFERROR(VLOOKUP(A2275,Flete!$A:$E,5,0),"")</f>
        <v/>
      </c>
      <c r="H2275" s="7">
        <f>IFERROR(VLOOKUP(F2275,TRAOPE!$AA:$AB,2,0),"")</f>
        <v/>
      </c>
      <c r="I2275" s="7" t="n">
        <v>10185477</v>
      </c>
      <c r="J2275" s="7">
        <f>IFERROR(VLOOKUP(I2275,Materiales!$A:$H,8,0),"")</f>
        <v/>
      </c>
      <c r="K2275" s="9">
        <f>IFERROR(VLOOKUP(I2275,Materiales!$A:$G,7,0),"")</f>
        <v/>
      </c>
      <c r="L2275" s="8" t="inlineStr">
        <is>
          <t>20240619</t>
        </is>
      </c>
      <c r="M2275" s="8" t="inlineStr">
        <is>
          <t>20251031</t>
        </is>
      </c>
      <c r="N2275" s="10" t="n">
        <v>115</v>
      </c>
      <c r="O2275" s="10">
        <f>IFERROR(VLOOKUP(A2275,Flete!$A:$J,10,0),"")</f>
        <v/>
      </c>
      <c r="P2275" s="8" t="inlineStr">
        <is>
          <t>M3</t>
        </is>
      </c>
      <c r="Q2275" s="10">
        <f>IFERROR(IFERROR(VLOOKUP(A2275,TRAOPE!$A:$U,21,0),VLOOKUP(B2275,TRAOPE!$A:$U,21,0)),"")</f>
        <v/>
      </c>
      <c r="R2275" s="8">
        <f>IFERROR(IFERROR(VLOOKUP(A2275,TRAOPE!$A:$W,23,0),VLOOKUP(B2275,TRAOPE!$A:$W,23,0)),"")</f>
        <v/>
      </c>
      <c r="S2275" s="10">
        <f>IF(AND(P2275="TN",R2275="TN"),N2275+N(O2275),IF(G2275&amp;""="1",N(K2275)*N2275,(N2275+N(O2275))*N(K2275)))</f>
        <v/>
      </c>
      <c r="T2275" s="10">
        <f>IF(Q2275="","",Q2275-S2275)</f>
        <v/>
      </c>
    </row>
    <row r="2276">
      <c r="A2276" s="7">
        <f>CONCATENATE(C2276,E2276,F2276,I2276)</f>
        <v/>
      </c>
      <c r="B2276" s="7">
        <f>CONCATENATE(C2276,E2276,I2276)</f>
        <v/>
      </c>
      <c r="C2276" s="8" t="n">
        <v>900006543</v>
      </c>
      <c r="D2276" s="7">
        <f>IFERROR(VLOOKUP(C2276,TRAOPE!$G:$H,2,0),"")</f>
        <v/>
      </c>
      <c r="E2276" s="8" t="inlineStr">
        <is>
          <t>D836</t>
        </is>
      </c>
      <c r="F2276" s="8" t="inlineStr">
        <is>
          <t>65232687</t>
        </is>
      </c>
      <c r="G2276" s="8">
        <f>IFERROR(VLOOKUP(A2276,Flete!$A:$E,5,0),"")</f>
        <v/>
      </c>
      <c r="H2276" s="7">
        <f>IFERROR(VLOOKUP(F2276,TRAOPE!$AA:$AB,2,0),"")</f>
        <v/>
      </c>
      <c r="I2276" s="7" t="n">
        <v>10000627</v>
      </c>
      <c r="J2276" s="7">
        <f>IFERROR(VLOOKUP(I2276,Materiales!$A:$H,8,0),"")</f>
        <v/>
      </c>
      <c r="K2276" s="9">
        <f>IFERROR(VLOOKUP(I2276,Materiales!$A:$G,7,0),"")</f>
        <v/>
      </c>
      <c r="L2276" s="8" t="inlineStr">
        <is>
          <t>20240619</t>
        </is>
      </c>
      <c r="M2276" s="8" t="inlineStr">
        <is>
          <t>20251031</t>
        </is>
      </c>
      <c r="N2276" s="10" t="n">
        <v>132</v>
      </c>
      <c r="O2276" s="10">
        <f>IFERROR(VLOOKUP(A2276,Flete!$A:$J,10,0),"")</f>
        <v/>
      </c>
      <c r="P2276" s="8" t="inlineStr">
        <is>
          <t>M3</t>
        </is>
      </c>
      <c r="Q2276" s="10">
        <f>IFERROR(IFERROR(VLOOKUP(A2276,TRAOPE!$A:$U,21,0),VLOOKUP(B2276,TRAOPE!$A:$U,21,0)),"")</f>
        <v/>
      </c>
      <c r="R2276" s="8">
        <f>IFERROR(IFERROR(VLOOKUP(A2276,TRAOPE!$A:$W,23,0),VLOOKUP(B2276,TRAOPE!$A:$W,23,0)),"")</f>
        <v/>
      </c>
      <c r="S2276" s="10">
        <f>IF(AND(P2276="TN",R2276="TN"),N2276+N(O2276),IF(G2276&amp;""="1",N(K2276)*N2276,(N2276+N(O2276))*N(K2276)))</f>
        <v/>
      </c>
      <c r="T2276" s="10">
        <f>IF(Q2276="","",Q2276-S2276)</f>
        <v/>
      </c>
    </row>
    <row r="2277">
      <c r="A2277" s="7">
        <f>CONCATENATE(C2277,E2277,F2277,I2277)</f>
        <v/>
      </c>
      <c r="B2277" s="7">
        <f>CONCATENATE(C2277,E2277,I2277)</f>
        <v/>
      </c>
      <c r="C2277" s="8" t="n">
        <v>900006543</v>
      </c>
      <c r="D2277" s="7">
        <f>IFERROR(VLOOKUP(C2277,TRAOPE!$G:$H,2,0),"")</f>
        <v/>
      </c>
      <c r="E2277" s="8" t="inlineStr">
        <is>
          <t>D836</t>
        </is>
      </c>
      <c r="F2277" s="8" t="inlineStr">
        <is>
          <t>66878462</t>
        </is>
      </c>
      <c r="G2277" s="8">
        <f>IFERROR(VLOOKUP(A2277,Flete!$A:$E,5,0),"")</f>
        <v/>
      </c>
      <c r="H2277" s="7">
        <f>IFERROR(VLOOKUP(F2277,TRAOPE!$AA:$AB,2,0),"")</f>
        <v/>
      </c>
      <c r="I2277" s="7" t="n">
        <v>10000206</v>
      </c>
      <c r="J2277" s="7">
        <f>IFERROR(VLOOKUP(I2277,Materiales!$A:$H,8,0),"")</f>
        <v/>
      </c>
      <c r="K2277" s="9">
        <f>IFERROR(VLOOKUP(I2277,Materiales!$A:$G,7,0),"")</f>
        <v/>
      </c>
      <c r="L2277" s="8" t="inlineStr">
        <is>
          <t>20240619</t>
        </is>
      </c>
      <c r="M2277" s="8" t="inlineStr">
        <is>
          <t>20251031</t>
        </is>
      </c>
      <c r="N2277" s="10" t="n">
        <v>20</v>
      </c>
      <c r="O2277" s="10">
        <f>IFERROR(VLOOKUP(A2277,Flete!$A:$J,10,0),"")</f>
        <v/>
      </c>
      <c r="P2277" s="8" t="inlineStr">
        <is>
          <t>M3</t>
        </is>
      </c>
      <c r="Q2277" s="10">
        <f>IFERROR(IFERROR(VLOOKUP(A2277,TRAOPE!$A:$U,21,0),VLOOKUP(B2277,TRAOPE!$A:$U,21,0)),"")</f>
        <v/>
      </c>
      <c r="R2277" s="8">
        <f>IFERROR(IFERROR(VLOOKUP(A2277,TRAOPE!$A:$W,23,0),VLOOKUP(B2277,TRAOPE!$A:$W,23,0)),"")</f>
        <v/>
      </c>
      <c r="S2277" s="10">
        <f>IF(AND(P2277="TN",R2277="TN"),N2277+N(O2277),IF(G2277&amp;""="1",N(K2277)*N2277,(N2277+N(O2277))*N(K2277)))</f>
        <v/>
      </c>
      <c r="T2277" s="10">
        <f>IF(Q2277="","",Q2277-S2277)</f>
        <v/>
      </c>
    </row>
    <row r="2278">
      <c r="A2278" s="7">
        <f>CONCATENATE(C2278,E2278,F2278,I2278)</f>
        <v/>
      </c>
      <c r="B2278" s="7">
        <f>CONCATENATE(C2278,E2278,I2278)</f>
        <v/>
      </c>
      <c r="C2278" s="8" t="n">
        <v>900006543</v>
      </c>
      <c r="D2278" s="7">
        <f>IFERROR(VLOOKUP(C2278,TRAOPE!$G:$H,2,0),"")</f>
        <v/>
      </c>
      <c r="E2278" s="8" t="inlineStr">
        <is>
          <t>D836</t>
        </is>
      </c>
      <c r="F2278" s="8" t="inlineStr">
        <is>
          <t>66878462</t>
        </is>
      </c>
      <c r="G2278" s="8">
        <f>IFERROR(VLOOKUP(A2278,Flete!$A:$E,5,0),"")</f>
        <v/>
      </c>
      <c r="H2278" s="7">
        <f>IFERROR(VLOOKUP(F2278,TRAOPE!$AA:$AB,2,0),"")</f>
        <v/>
      </c>
      <c r="I2278" s="7" t="n">
        <v>10000627</v>
      </c>
      <c r="J2278" s="7">
        <f>IFERROR(VLOOKUP(I2278,Materiales!$A:$H,8,0),"")</f>
        <v/>
      </c>
      <c r="K2278" s="9">
        <f>IFERROR(VLOOKUP(I2278,Materiales!$A:$G,7,0),"")</f>
        <v/>
      </c>
      <c r="L2278" s="8" t="inlineStr">
        <is>
          <t>20240619</t>
        </is>
      </c>
      <c r="M2278" s="8" t="inlineStr">
        <is>
          <t>20251031</t>
        </is>
      </c>
      <c r="N2278" s="10" t="n">
        <v>115</v>
      </c>
      <c r="O2278" s="10">
        <f>IFERROR(VLOOKUP(A2278,Flete!$A:$J,10,0),"")</f>
        <v/>
      </c>
      <c r="P2278" s="8" t="inlineStr">
        <is>
          <t>M3</t>
        </is>
      </c>
      <c r="Q2278" s="10">
        <f>IFERROR(IFERROR(VLOOKUP(A2278,TRAOPE!$A:$U,21,0),VLOOKUP(B2278,TRAOPE!$A:$U,21,0)),"")</f>
        <v/>
      </c>
      <c r="R2278" s="8">
        <f>IFERROR(IFERROR(VLOOKUP(A2278,TRAOPE!$A:$W,23,0),VLOOKUP(B2278,TRAOPE!$A:$W,23,0)),"")</f>
        <v/>
      </c>
      <c r="S2278" s="10">
        <f>IF(AND(P2278="TN",R2278="TN"),N2278+N(O2278),IF(G2278&amp;""="1",N(K2278)*N2278,(N2278+N(O2278))*N(K2278)))</f>
        <v/>
      </c>
      <c r="T2278" s="10">
        <f>IF(Q2278="","",Q2278-S2278)</f>
        <v/>
      </c>
    </row>
    <row r="2279">
      <c r="A2279" s="7">
        <f>CONCATENATE(C2279,E2279,F2279,I2279)</f>
        <v/>
      </c>
      <c r="B2279" s="7">
        <f>CONCATENATE(C2279,E2279,I2279)</f>
        <v/>
      </c>
      <c r="C2279" s="8" t="n">
        <v>900006543</v>
      </c>
      <c r="D2279" s="7">
        <f>IFERROR(VLOOKUP(C2279,TRAOPE!$G:$H,2,0),"")</f>
        <v/>
      </c>
      <c r="E2279" s="8" t="inlineStr">
        <is>
          <t>D836</t>
        </is>
      </c>
      <c r="F2279" s="8" t="inlineStr">
        <is>
          <t>67015877</t>
        </is>
      </c>
      <c r="G2279" s="8">
        <f>IFERROR(VLOOKUP(A2279,Flete!$A:$E,5,0),"")</f>
        <v/>
      </c>
      <c r="H2279" s="7">
        <f>IFERROR(VLOOKUP(F2279,TRAOPE!$AA:$AB,2,0),"")</f>
        <v/>
      </c>
      <c r="I2279" s="7" t="n">
        <v>10000206</v>
      </c>
      <c r="J2279" s="7">
        <f>IFERROR(VLOOKUP(I2279,Materiales!$A:$H,8,0),"")</f>
        <v/>
      </c>
      <c r="K2279" s="9">
        <f>IFERROR(VLOOKUP(I2279,Materiales!$A:$G,7,0),"")</f>
        <v/>
      </c>
      <c r="L2279" s="8" t="inlineStr">
        <is>
          <t>20240619</t>
        </is>
      </c>
      <c r="M2279" s="8" t="inlineStr">
        <is>
          <t>20251031</t>
        </is>
      </c>
      <c r="N2279" s="10" t="n">
        <v>20</v>
      </c>
      <c r="O2279" s="10">
        <f>IFERROR(VLOOKUP(A2279,Flete!$A:$J,10,0),"")</f>
        <v/>
      </c>
      <c r="P2279" s="8" t="inlineStr">
        <is>
          <t>M3</t>
        </is>
      </c>
      <c r="Q2279" s="10">
        <f>IFERROR(IFERROR(VLOOKUP(A2279,TRAOPE!$A:$U,21,0),VLOOKUP(B2279,TRAOPE!$A:$U,21,0)),"")</f>
        <v/>
      </c>
      <c r="R2279" s="8">
        <f>IFERROR(IFERROR(VLOOKUP(A2279,TRAOPE!$A:$W,23,0),VLOOKUP(B2279,TRAOPE!$A:$W,23,0)),"")</f>
        <v/>
      </c>
      <c r="S2279" s="10">
        <f>IF(AND(P2279="TN",R2279="TN"),N2279+N(O2279),IF(G2279&amp;""="1",N(K2279)*N2279,(N2279+N(O2279))*N(K2279)))</f>
        <v/>
      </c>
      <c r="T2279" s="10">
        <f>IF(Q2279="","",Q2279-S2279)</f>
        <v/>
      </c>
    </row>
    <row r="2280">
      <c r="A2280" s="7">
        <f>CONCATENATE(C2280,E2280,F2280,I2280)</f>
        <v/>
      </c>
      <c r="B2280" s="7">
        <f>CONCATENATE(C2280,E2280,I2280)</f>
        <v/>
      </c>
      <c r="C2280" s="8" t="n">
        <v>900006543</v>
      </c>
      <c r="D2280" s="7">
        <f>IFERROR(VLOOKUP(C2280,TRAOPE!$G:$H,2,0),"")</f>
        <v/>
      </c>
      <c r="E2280" s="8" t="inlineStr">
        <is>
          <t>D836</t>
        </is>
      </c>
      <c r="F2280" s="8" t="inlineStr">
        <is>
          <t>67015877</t>
        </is>
      </c>
      <c r="G2280" s="8">
        <f>IFERROR(VLOOKUP(A2280,Flete!$A:$E,5,0),"")</f>
        <v/>
      </c>
      <c r="H2280" s="7">
        <f>IFERROR(VLOOKUP(F2280,TRAOPE!$AA:$AB,2,0),"")</f>
        <v/>
      </c>
      <c r="I2280" s="7" t="n">
        <v>10000627</v>
      </c>
      <c r="J2280" s="7">
        <f>IFERROR(VLOOKUP(I2280,Materiales!$A:$H,8,0),"")</f>
        <v/>
      </c>
      <c r="K2280" s="9">
        <f>IFERROR(VLOOKUP(I2280,Materiales!$A:$G,7,0),"")</f>
        <v/>
      </c>
      <c r="L2280" s="8" t="inlineStr">
        <is>
          <t>20240619</t>
        </is>
      </c>
      <c r="M2280" s="8" t="inlineStr">
        <is>
          <t>20251031</t>
        </is>
      </c>
      <c r="N2280" s="10" t="n">
        <v>115</v>
      </c>
      <c r="O2280" s="10">
        <f>IFERROR(VLOOKUP(A2280,Flete!$A:$J,10,0),"")</f>
        <v/>
      </c>
      <c r="P2280" s="8" t="inlineStr">
        <is>
          <t>M3</t>
        </is>
      </c>
      <c r="Q2280" s="10">
        <f>IFERROR(IFERROR(VLOOKUP(A2280,TRAOPE!$A:$U,21,0),VLOOKUP(B2280,TRAOPE!$A:$U,21,0)),"")</f>
        <v/>
      </c>
      <c r="R2280" s="8">
        <f>IFERROR(IFERROR(VLOOKUP(A2280,TRAOPE!$A:$W,23,0),VLOOKUP(B2280,TRAOPE!$A:$W,23,0)),"")</f>
        <v/>
      </c>
      <c r="S2280" s="10">
        <f>IF(AND(P2280="TN",R2280="TN"),N2280+N(O2280),IF(G2280&amp;""="1",N(K2280)*N2280,(N2280+N(O2280))*N(K2280)))</f>
        <v/>
      </c>
      <c r="T2280" s="10">
        <f>IF(Q2280="","",Q2280-S2280)</f>
        <v/>
      </c>
    </row>
    <row r="2281">
      <c r="A2281" s="7">
        <f>CONCATENATE(C2281,E2281,F2281,I2281)</f>
        <v/>
      </c>
      <c r="B2281" s="7">
        <f>CONCATENATE(C2281,E2281,I2281)</f>
        <v/>
      </c>
      <c r="C2281" s="8" t="n">
        <v>900006543</v>
      </c>
      <c r="D2281" s="7">
        <f>IFERROR(VLOOKUP(C2281,TRAOPE!$G:$H,2,0),"")</f>
        <v/>
      </c>
      <c r="E2281" s="8" t="inlineStr">
        <is>
          <t>D836</t>
        </is>
      </c>
      <c r="F2281" s="8" t="inlineStr">
        <is>
          <t>67015877</t>
        </is>
      </c>
      <c r="G2281" s="8">
        <f>IFERROR(VLOOKUP(A2281,Flete!$A:$E,5,0),"")</f>
        <v/>
      </c>
      <c r="H2281" s="7">
        <f>IFERROR(VLOOKUP(F2281,TRAOPE!$AA:$AB,2,0),"")</f>
        <v/>
      </c>
      <c r="I2281" s="7" t="n">
        <v>10185476</v>
      </c>
      <c r="J2281" s="7">
        <f>IFERROR(VLOOKUP(I2281,Materiales!$A:$H,8,0),"")</f>
        <v/>
      </c>
      <c r="K2281" s="9">
        <f>IFERROR(VLOOKUP(I2281,Materiales!$A:$G,7,0),"")</f>
        <v/>
      </c>
      <c r="L2281" s="8" t="inlineStr">
        <is>
          <t>20240619</t>
        </is>
      </c>
      <c r="M2281" s="8" t="inlineStr">
        <is>
          <t>20251031</t>
        </is>
      </c>
      <c r="N2281" s="10" t="n">
        <v>108</v>
      </c>
      <c r="O2281" s="10">
        <f>IFERROR(VLOOKUP(A2281,Flete!$A:$J,10,0),"")</f>
        <v/>
      </c>
      <c r="P2281" s="8" t="inlineStr">
        <is>
          <t>M3</t>
        </is>
      </c>
      <c r="Q2281" s="10">
        <f>IFERROR(IFERROR(VLOOKUP(A2281,TRAOPE!$A:$U,21,0),VLOOKUP(B2281,TRAOPE!$A:$U,21,0)),"")</f>
        <v/>
      </c>
      <c r="R2281" s="8">
        <f>IFERROR(IFERROR(VLOOKUP(A2281,TRAOPE!$A:$W,23,0),VLOOKUP(B2281,TRAOPE!$A:$W,23,0)),"")</f>
        <v/>
      </c>
      <c r="S2281" s="10">
        <f>IF(AND(P2281="TN",R2281="TN"),N2281+N(O2281),IF(G2281&amp;""="1",N(K2281)*N2281,(N2281+N(O2281))*N(K2281)))</f>
        <v/>
      </c>
      <c r="T2281" s="10">
        <f>IF(Q2281="","",Q2281-S2281)</f>
        <v/>
      </c>
    </row>
    <row r="2282">
      <c r="A2282" s="7">
        <f>CONCATENATE(C2282,E2282,F2282,I2282)</f>
        <v/>
      </c>
      <c r="B2282" s="7">
        <f>CONCATENATE(C2282,E2282,I2282)</f>
        <v/>
      </c>
      <c r="C2282" s="8" t="n">
        <v>900006543</v>
      </c>
      <c r="D2282" s="7">
        <f>IFERROR(VLOOKUP(C2282,TRAOPE!$G:$H,2,0),"")</f>
        <v/>
      </c>
      <c r="E2282" s="8" t="inlineStr">
        <is>
          <t>D836</t>
        </is>
      </c>
      <c r="F2282" s="8" t="inlineStr">
        <is>
          <t>67015877</t>
        </is>
      </c>
      <c r="G2282" s="8">
        <f>IFERROR(VLOOKUP(A2282,Flete!$A:$E,5,0),"")</f>
        <v/>
      </c>
      <c r="H2282" s="7">
        <f>IFERROR(VLOOKUP(F2282,TRAOPE!$AA:$AB,2,0),"")</f>
        <v/>
      </c>
      <c r="I2282" s="7" t="n">
        <v>10185477</v>
      </c>
      <c r="J2282" s="7">
        <f>IFERROR(VLOOKUP(I2282,Materiales!$A:$H,8,0),"")</f>
        <v/>
      </c>
      <c r="K2282" s="9">
        <f>IFERROR(VLOOKUP(I2282,Materiales!$A:$G,7,0),"")</f>
        <v/>
      </c>
      <c r="L2282" s="8" t="inlineStr">
        <is>
          <t>20240619</t>
        </is>
      </c>
      <c r="M2282" s="8" t="inlineStr">
        <is>
          <t>20251031</t>
        </is>
      </c>
      <c r="N2282" s="10" t="n">
        <v>115</v>
      </c>
      <c r="O2282" s="10">
        <f>IFERROR(VLOOKUP(A2282,Flete!$A:$J,10,0),"")</f>
        <v/>
      </c>
      <c r="P2282" s="8" t="inlineStr">
        <is>
          <t>M3</t>
        </is>
      </c>
      <c r="Q2282" s="10">
        <f>IFERROR(IFERROR(VLOOKUP(A2282,TRAOPE!$A:$U,21,0),VLOOKUP(B2282,TRAOPE!$A:$U,21,0)),"")</f>
        <v/>
      </c>
      <c r="R2282" s="8">
        <f>IFERROR(IFERROR(VLOOKUP(A2282,TRAOPE!$A:$W,23,0),VLOOKUP(B2282,TRAOPE!$A:$W,23,0)),"")</f>
        <v/>
      </c>
      <c r="S2282" s="10">
        <f>IF(AND(P2282="TN",R2282="TN"),N2282+N(O2282),IF(G2282&amp;""="1",N(K2282)*N2282,(N2282+N(O2282))*N(K2282)))</f>
        <v/>
      </c>
      <c r="T2282" s="10">
        <f>IF(Q2282="","",Q2282-S2282)</f>
        <v/>
      </c>
    </row>
    <row r="2283">
      <c r="A2283" s="7">
        <f>CONCATENATE(C2283,E2283,F2283,I2283)</f>
        <v/>
      </c>
      <c r="B2283" s="7">
        <f>CONCATENATE(C2283,E2283,I2283)</f>
        <v/>
      </c>
      <c r="C2283" s="8" t="n">
        <v>900006543</v>
      </c>
      <c r="D2283" s="7">
        <f>IFERROR(VLOOKUP(C2283,TRAOPE!$G:$H,2,0),"")</f>
        <v/>
      </c>
      <c r="E2283" s="8" t="inlineStr">
        <is>
          <t>D836</t>
        </is>
      </c>
      <c r="F2283" s="8" t="inlineStr">
        <is>
          <t>67146886</t>
        </is>
      </c>
      <c r="G2283" s="8">
        <f>IFERROR(VLOOKUP(A2283,Flete!$A:$E,5,0),"")</f>
        <v/>
      </c>
      <c r="H2283" s="7">
        <f>IFERROR(VLOOKUP(F2283,TRAOPE!$AA:$AB,2,0),"")</f>
        <v/>
      </c>
      <c r="I2283" s="7" t="n">
        <v>10216851</v>
      </c>
      <c r="J2283" s="7">
        <f>IFERROR(VLOOKUP(I2283,Materiales!$A:$H,8,0),"")</f>
        <v/>
      </c>
      <c r="K2283" s="9">
        <f>IFERROR(VLOOKUP(I2283,Materiales!$A:$G,7,0),"")</f>
        <v/>
      </c>
      <c r="L2283" s="8" t="inlineStr">
        <is>
          <t>20240619</t>
        </is>
      </c>
      <c r="M2283" s="8" t="inlineStr">
        <is>
          <t>20251031</t>
        </is>
      </c>
      <c r="N2283" s="10" t="n">
        <v>20</v>
      </c>
      <c r="O2283" s="10">
        <f>IFERROR(VLOOKUP(A2283,Flete!$A:$J,10,0),"")</f>
        <v/>
      </c>
      <c r="P2283" s="8" t="inlineStr">
        <is>
          <t>M3</t>
        </is>
      </c>
      <c r="Q2283" s="10">
        <f>IFERROR(IFERROR(VLOOKUP(A2283,TRAOPE!$A:$U,21,0),VLOOKUP(B2283,TRAOPE!$A:$U,21,0)),"")</f>
        <v/>
      </c>
      <c r="R2283" s="8">
        <f>IFERROR(IFERROR(VLOOKUP(A2283,TRAOPE!$A:$W,23,0),VLOOKUP(B2283,TRAOPE!$A:$W,23,0)),"")</f>
        <v/>
      </c>
      <c r="S2283" s="10">
        <f>IF(AND(P2283="TN",R2283="TN"),N2283+N(O2283),IF(G2283&amp;""="1",N(K2283)*N2283,(N2283+N(O2283))*N(K2283)))</f>
        <v/>
      </c>
      <c r="T2283" s="10">
        <f>IF(Q2283="","",Q2283-S2283)</f>
        <v/>
      </c>
    </row>
    <row r="2284">
      <c r="A2284" s="7">
        <f>CONCATENATE(C2284,E2284,F2284,I2284)</f>
        <v/>
      </c>
      <c r="B2284" s="7">
        <f>CONCATENATE(C2284,E2284,I2284)</f>
        <v/>
      </c>
      <c r="C2284" s="8" t="n">
        <v>900006543</v>
      </c>
      <c r="D2284" s="7">
        <f>IFERROR(VLOOKUP(C2284,TRAOPE!$G:$H,2,0),"")</f>
        <v/>
      </c>
      <c r="E2284" s="8" t="inlineStr">
        <is>
          <t>D836</t>
        </is>
      </c>
      <c r="F2284" s="8" t="inlineStr">
        <is>
          <t>67154900</t>
        </is>
      </c>
      <c r="G2284" s="8">
        <f>IFERROR(VLOOKUP(A2284,Flete!$A:$E,5,0),"")</f>
        <v/>
      </c>
      <c r="H2284" s="7">
        <f>IFERROR(VLOOKUP(F2284,TRAOPE!$AA:$AB,2,0),"")</f>
        <v/>
      </c>
      <c r="I2284" s="7" t="n">
        <v>10185476</v>
      </c>
      <c r="J2284" s="7">
        <f>IFERROR(VLOOKUP(I2284,Materiales!$A:$H,8,0),"")</f>
        <v/>
      </c>
      <c r="K2284" s="9">
        <f>IFERROR(VLOOKUP(I2284,Materiales!$A:$G,7,0),"")</f>
        <v/>
      </c>
      <c r="L2284" s="8" t="inlineStr">
        <is>
          <t>20240619</t>
        </is>
      </c>
      <c r="M2284" s="8" t="inlineStr">
        <is>
          <t>20251031</t>
        </is>
      </c>
      <c r="N2284" s="10" t="n">
        <v>115</v>
      </c>
      <c r="O2284" s="10">
        <f>IFERROR(VLOOKUP(A2284,Flete!$A:$J,10,0),"")</f>
        <v/>
      </c>
      <c r="P2284" s="8" t="inlineStr">
        <is>
          <t>M3</t>
        </is>
      </c>
      <c r="Q2284" s="10">
        <f>IFERROR(IFERROR(VLOOKUP(A2284,TRAOPE!$A:$U,21,0),VLOOKUP(B2284,TRAOPE!$A:$U,21,0)),"")</f>
        <v/>
      </c>
      <c r="R2284" s="8">
        <f>IFERROR(IFERROR(VLOOKUP(A2284,TRAOPE!$A:$W,23,0),VLOOKUP(B2284,TRAOPE!$A:$W,23,0)),"")</f>
        <v/>
      </c>
      <c r="S2284" s="10">
        <f>IF(AND(P2284="TN",R2284="TN"),N2284+N(O2284),IF(G2284&amp;""="1",N(K2284)*N2284,(N2284+N(O2284))*N(K2284)))</f>
        <v/>
      </c>
      <c r="T2284" s="10">
        <f>IF(Q2284="","",Q2284-S2284)</f>
        <v/>
      </c>
    </row>
    <row r="2285">
      <c r="A2285" s="7">
        <f>CONCATENATE(C2285,E2285,F2285,I2285)</f>
        <v/>
      </c>
      <c r="B2285" s="7">
        <f>CONCATENATE(C2285,E2285,I2285)</f>
        <v/>
      </c>
      <c r="C2285" s="8" t="n">
        <v>900006543</v>
      </c>
      <c r="D2285" s="7">
        <f>IFERROR(VLOOKUP(C2285,TRAOPE!$G:$H,2,0),"")</f>
        <v/>
      </c>
      <c r="E2285" s="8" t="inlineStr">
        <is>
          <t>D836</t>
        </is>
      </c>
      <c r="F2285" s="8" t="inlineStr">
        <is>
          <t>67155199</t>
        </is>
      </c>
      <c r="G2285" s="8">
        <f>IFERROR(VLOOKUP(A2285,Flete!$A:$E,5,0),"")</f>
        <v/>
      </c>
      <c r="H2285" s="7">
        <f>IFERROR(VLOOKUP(F2285,TRAOPE!$AA:$AB,2,0),"")</f>
        <v/>
      </c>
      <c r="I2285" s="7" t="n">
        <v>10146897</v>
      </c>
      <c r="J2285" s="7">
        <f>IFERROR(VLOOKUP(I2285,Materiales!$A:$H,8,0),"")</f>
        <v/>
      </c>
      <c r="K2285" s="9">
        <f>IFERROR(VLOOKUP(I2285,Materiales!$A:$G,7,0),"")</f>
        <v/>
      </c>
      <c r="L2285" s="8" t="inlineStr">
        <is>
          <t>20240619</t>
        </is>
      </c>
      <c r="M2285" s="8" t="inlineStr">
        <is>
          <t>20251031</t>
        </is>
      </c>
      <c r="N2285" s="10" t="n">
        <v>130</v>
      </c>
      <c r="O2285" s="10">
        <f>IFERROR(VLOOKUP(A2285,Flete!$A:$J,10,0),"")</f>
        <v/>
      </c>
      <c r="P2285" s="8" t="inlineStr">
        <is>
          <t>M3</t>
        </is>
      </c>
      <c r="Q2285" s="10">
        <f>IFERROR(IFERROR(VLOOKUP(A2285,TRAOPE!$A:$U,21,0),VLOOKUP(B2285,TRAOPE!$A:$U,21,0)),"")</f>
        <v/>
      </c>
      <c r="R2285" s="8">
        <f>IFERROR(IFERROR(VLOOKUP(A2285,TRAOPE!$A:$W,23,0),VLOOKUP(B2285,TRAOPE!$A:$W,23,0)),"")</f>
        <v/>
      </c>
      <c r="S2285" s="10">
        <f>IF(AND(P2285="TN",R2285="TN"),N2285+N(O2285),IF(G2285&amp;""="1",N(K2285)*N2285,(N2285+N(O2285))*N(K2285)))</f>
        <v/>
      </c>
      <c r="T2285" s="10">
        <f>IF(Q2285="","",Q2285-S2285)</f>
        <v/>
      </c>
    </row>
    <row r="2286">
      <c r="A2286" s="7">
        <f>CONCATENATE(C2286,E2286,F2286,I2286)</f>
        <v/>
      </c>
      <c r="B2286" s="7">
        <f>CONCATENATE(C2286,E2286,I2286)</f>
        <v/>
      </c>
      <c r="C2286" s="8" t="n">
        <v>900006543</v>
      </c>
      <c r="D2286" s="7">
        <f>IFERROR(VLOOKUP(C2286,TRAOPE!$G:$H,2,0),"")</f>
        <v/>
      </c>
      <c r="E2286" s="8" t="inlineStr">
        <is>
          <t>D836</t>
        </is>
      </c>
      <c r="F2286" s="8" t="inlineStr">
        <is>
          <t>67232004</t>
        </is>
      </c>
      <c r="G2286" s="8">
        <f>IFERROR(VLOOKUP(A2286,Flete!$A:$E,5,0),"")</f>
        <v/>
      </c>
      <c r="H2286" s="7">
        <f>IFERROR(VLOOKUP(F2286,TRAOPE!$AA:$AB,2,0),"")</f>
        <v/>
      </c>
      <c r="I2286" s="7" t="n">
        <v>10185476</v>
      </c>
      <c r="J2286" s="7">
        <f>IFERROR(VLOOKUP(I2286,Materiales!$A:$H,8,0),"")</f>
        <v/>
      </c>
      <c r="K2286" s="9">
        <f>IFERROR(VLOOKUP(I2286,Materiales!$A:$G,7,0),"")</f>
        <v/>
      </c>
      <c r="L2286" s="8" t="inlineStr">
        <is>
          <t>20240619</t>
        </is>
      </c>
      <c r="M2286" s="8" t="inlineStr">
        <is>
          <t>20251031</t>
        </is>
      </c>
      <c r="N2286" s="10" t="n">
        <v>110</v>
      </c>
      <c r="O2286" s="10">
        <f>IFERROR(VLOOKUP(A2286,Flete!$A:$J,10,0),"")</f>
        <v/>
      </c>
      <c r="P2286" s="8" t="inlineStr">
        <is>
          <t>M3</t>
        </is>
      </c>
      <c r="Q2286" s="10">
        <f>IFERROR(IFERROR(VLOOKUP(A2286,TRAOPE!$A:$U,21,0),VLOOKUP(B2286,TRAOPE!$A:$U,21,0)),"")</f>
        <v/>
      </c>
      <c r="R2286" s="8">
        <f>IFERROR(IFERROR(VLOOKUP(A2286,TRAOPE!$A:$W,23,0),VLOOKUP(B2286,TRAOPE!$A:$W,23,0)),"")</f>
        <v/>
      </c>
      <c r="S2286" s="10">
        <f>IF(AND(P2286="TN",R2286="TN"),N2286+N(O2286),IF(G2286&amp;""="1",N(K2286)*N2286,(N2286+N(O2286))*N(K2286)))</f>
        <v/>
      </c>
      <c r="T2286" s="10">
        <f>IF(Q2286="","",Q2286-S2286)</f>
        <v/>
      </c>
    </row>
    <row r="2287">
      <c r="A2287" s="7">
        <f>CONCATENATE(C2287,E2287,F2287,I2287)</f>
        <v/>
      </c>
      <c r="B2287" s="7">
        <f>CONCATENATE(C2287,E2287,I2287)</f>
        <v/>
      </c>
      <c r="C2287" s="8" t="n">
        <v>900006543</v>
      </c>
      <c r="D2287" s="7">
        <f>IFERROR(VLOOKUP(C2287,TRAOPE!$G:$H,2,0),"")</f>
        <v/>
      </c>
      <c r="E2287" s="8" t="inlineStr">
        <is>
          <t>D836</t>
        </is>
      </c>
      <c r="F2287" s="8" t="inlineStr">
        <is>
          <t>67239472</t>
        </is>
      </c>
      <c r="G2287" s="8">
        <f>IFERROR(VLOOKUP(A2287,Flete!$A:$E,5,0),"")</f>
        <v/>
      </c>
      <c r="H2287" s="7">
        <f>IFERROR(VLOOKUP(F2287,TRAOPE!$AA:$AB,2,0),"")</f>
        <v/>
      </c>
      <c r="I2287" s="7" t="n">
        <v>10000206</v>
      </c>
      <c r="J2287" s="7">
        <f>IFERROR(VLOOKUP(I2287,Materiales!$A:$H,8,0),"")</f>
        <v/>
      </c>
      <c r="K2287" s="9">
        <f>IFERROR(VLOOKUP(I2287,Materiales!$A:$G,7,0),"")</f>
        <v/>
      </c>
      <c r="L2287" s="8" t="inlineStr">
        <is>
          <t>20240619</t>
        </is>
      </c>
      <c r="M2287" s="8" t="inlineStr">
        <is>
          <t>20251031</t>
        </is>
      </c>
      <c r="N2287" s="10" t="n">
        <v>20</v>
      </c>
      <c r="O2287" s="10">
        <f>IFERROR(VLOOKUP(A2287,Flete!$A:$J,10,0),"")</f>
        <v/>
      </c>
      <c r="P2287" s="8" t="inlineStr">
        <is>
          <t>M3</t>
        </is>
      </c>
      <c r="Q2287" s="10">
        <f>IFERROR(IFERROR(VLOOKUP(A2287,TRAOPE!$A:$U,21,0),VLOOKUP(B2287,TRAOPE!$A:$U,21,0)),"")</f>
        <v/>
      </c>
      <c r="R2287" s="8">
        <f>IFERROR(IFERROR(VLOOKUP(A2287,TRAOPE!$A:$W,23,0),VLOOKUP(B2287,TRAOPE!$A:$W,23,0)),"")</f>
        <v/>
      </c>
      <c r="S2287" s="10">
        <f>IF(AND(P2287="TN",R2287="TN"),N2287+N(O2287),IF(G2287&amp;""="1",N(K2287)*N2287,(N2287+N(O2287))*N(K2287)))</f>
        <v/>
      </c>
      <c r="T2287" s="10">
        <f>IF(Q2287="","",Q2287-S2287)</f>
        <v/>
      </c>
    </row>
    <row r="2288">
      <c r="A2288" s="7">
        <f>CONCATENATE(C2288,E2288,F2288,I2288)</f>
        <v/>
      </c>
      <c r="B2288" s="7">
        <f>CONCATENATE(C2288,E2288,I2288)</f>
        <v/>
      </c>
      <c r="C2288" s="8" t="n">
        <v>900006543</v>
      </c>
      <c r="D2288" s="7">
        <f>IFERROR(VLOOKUP(C2288,TRAOPE!$G:$H,2,0),"")</f>
        <v/>
      </c>
      <c r="E2288" s="8" t="inlineStr">
        <is>
          <t>D836</t>
        </is>
      </c>
      <c r="F2288" s="8" t="inlineStr">
        <is>
          <t>67239472</t>
        </is>
      </c>
      <c r="G2288" s="8">
        <f>IFERROR(VLOOKUP(A2288,Flete!$A:$E,5,0),"")</f>
        <v/>
      </c>
      <c r="H2288" s="7">
        <f>IFERROR(VLOOKUP(F2288,TRAOPE!$AA:$AB,2,0),"")</f>
        <v/>
      </c>
      <c r="I2288" s="7" t="n">
        <v>10000627</v>
      </c>
      <c r="J2288" s="7">
        <f>IFERROR(VLOOKUP(I2288,Materiales!$A:$H,8,0),"")</f>
        <v/>
      </c>
      <c r="K2288" s="9">
        <f>IFERROR(VLOOKUP(I2288,Materiales!$A:$G,7,0),"")</f>
        <v/>
      </c>
      <c r="L2288" s="8" t="inlineStr">
        <is>
          <t>20240619</t>
        </is>
      </c>
      <c r="M2288" s="8" t="inlineStr">
        <is>
          <t>20251031</t>
        </is>
      </c>
      <c r="N2288" s="10" t="n">
        <v>115</v>
      </c>
      <c r="O2288" s="10">
        <f>IFERROR(VLOOKUP(A2288,Flete!$A:$J,10,0),"")</f>
        <v/>
      </c>
      <c r="P2288" s="8" t="inlineStr">
        <is>
          <t>M3</t>
        </is>
      </c>
      <c r="Q2288" s="10">
        <f>IFERROR(IFERROR(VLOOKUP(A2288,TRAOPE!$A:$U,21,0),VLOOKUP(B2288,TRAOPE!$A:$U,21,0)),"")</f>
        <v/>
      </c>
      <c r="R2288" s="8">
        <f>IFERROR(IFERROR(VLOOKUP(A2288,TRAOPE!$A:$W,23,0),VLOOKUP(B2288,TRAOPE!$A:$W,23,0)),"")</f>
        <v/>
      </c>
      <c r="S2288" s="10">
        <f>IF(AND(P2288="TN",R2288="TN"),N2288+N(O2288),IF(G2288&amp;""="1",N(K2288)*N2288,(N2288+N(O2288))*N(K2288)))</f>
        <v/>
      </c>
      <c r="T2288" s="10">
        <f>IF(Q2288="","",Q2288-S2288)</f>
        <v/>
      </c>
    </row>
    <row r="2289">
      <c r="A2289" s="7">
        <f>CONCATENATE(C2289,E2289,F2289,I2289)</f>
        <v/>
      </c>
      <c r="B2289" s="7">
        <f>CONCATENATE(C2289,E2289,I2289)</f>
        <v/>
      </c>
      <c r="C2289" s="8" t="n">
        <v>900006543</v>
      </c>
      <c r="D2289" s="7">
        <f>IFERROR(VLOOKUP(C2289,TRAOPE!$G:$H,2,0),"")</f>
        <v/>
      </c>
      <c r="E2289" s="8" t="inlineStr">
        <is>
          <t>D836</t>
        </is>
      </c>
      <c r="F2289" s="8" t="inlineStr">
        <is>
          <t>67239472</t>
        </is>
      </c>
      <c r="G2289" s="8">
        <f>IFERROR(VLOOKUP(A2289,Flete!$A:$E,5,0),"")</f>
        <v/>
      </c>
      <c r="H2289" s="7">
        <f>IFERROR(VLOOKUP(F2289,TRAOPE!$AA:$AB,2,0),"")</f>
        <v/>
      </c>
      <c r="I2289" s="7" t="n">
        <v>10185476</v>
      </c>
      <c r="J2289" s="7">
        <f>IFERROR(VLOOKUP(I2289,Materiales!$A:$H,8,0),"")</f>
        <v/>
      </c>
      <c r="K2289" s="9">
        <f>IFERROR(VLOOKUP(I2289,Materiales!$A:$G,7,0),"")</f>
        <v/>
      </c>
      <c r="L2289" s="8" t="inlineStr">
        <is>
          <t>20240619</t>
        </is>
      </c>
      <c r="M2289" s="8" t="inlineStr">
        <is>
          <t>20251031</t>
        </is>
      </c>
      <c r="N2289" s="10" t="n">
        <v>108</v>
      </c>
      <c r="O2289" s="10">
        <f>IFERROR(VLOOKUP(A2289,Flete!$A:$J,10,0),"")</f>
        <v/>
      </c>
      <c r="P2289" s="8" t="inlineStr">
        <is>
          <t>M3</t>
        </is>
      </c>
      <c r="Q2289" s="10">
        <f>IFERROR(IFERROR(VLOOKUP(A2289,TRAOPE!$A:$U,21,0),VLOOKUP(B2289,TRAOPE!$A:$U,21,0)),"")</f>
        <v/>
      </c>
      <c r="R2289" s="8">
        <f>IFERROR(IFERROR(VLOOKUP(A2289,TRAOPE!$A:$W,23,0),VLOOKUP(B2289,TRAOPE!$A:$W,23,0)),"")</f>
        <v/>
      </c>
      <c r="S2289" s="10">
        <f>IF(AND(P2289="TN",R2289="TN"),N2289+N(O2289),IF(G2289&amp;""="1",N(K2289)*N2289,(N2289+N(O2289))*N(K2289)))</f>
        <v/>
      </c>
      <c r="T2289" s="10">
        <f>IF(Q2289="","",Q2289-S2289)</f>
        <v/>
      </c>
    </row>
    <row r="2290">
      <c r="A2290" s="7">
        <f>CONCATENATE(C2290,E2290,F2290,I2290)</f>
        <v/>
      </c>
      <c r="B2290" s="7">
        <f>CONCATENATE(C2290,E2290,I2290)</f>
        <v/>
      </c>
      <c r="C2290" s="8" t="n">
        <v>900006543</v>
      </c>
      <c r="D2290" s="7">
        <f>IFERROR(VLOOKUP(C2290,TRAOPE!$G:$H,2,0),"")</f>
        <v/>
      </c>
      <c r="E2290" s="8" t="inlineStr">
        <is>
          <t>D836</t>
        </is>
      </c>
      <c r="F2290" s="8" t="inlineStr">
        <is>
          <t>67239472</t>
        </is>
      </c>
      <c r="G2290" s="8">
        <f>IFERROR(VLOOKUP(A2290,Flete!$A:$E,5,0),"")</f>
        <v/>
      </c>
      <c r="H2290" s="7">
        <f>IFERROR(VLOOKUP(F2290,TRAOPE!$AA:$AB,2,0),"")</f>
        <v/>
      </c>
      <c r="I2290" s="7" t="n">
        <v>10185477</v>
      </c>
      <c r="J2290" s="7">
        <f>IFERROR(VLOOKUP(I2290,Materiales!$A:$H,8,0),"")</f>
        <v/>
      </c>
      <c r="K2290" s="9">
        <f>IFERROR(VLOOKUP(I2290,Materiales!$A:$G,7,0),"")</f>
        <v/>
      </c>
      <c r="L2290" s="8" t="inlineStr">
        <is>
          <t>20240619</t>
        </is>
      </c>
      <c r="M2290" s="8" t="inlineStr">
        <is>
          <t>20251031</t>
        </is>
      </c>
      <c r="N2290" s="10" t="n">
        <v>115</v>
      </c>
      <c r="O2290" s="10">
        <f>IFERROR(VLOOKUP(A2290,Flete!$A:$J,10,0),"")</f>
        <v/>
      </c>
      <c r="P2290" s="8" t="inlineStr">
        <is>
          <t>M3</t>
        </is>
      </c>
      <c r="Q2290" s="10">
        <f>IFERROR(IFERROR(VLOOKUP(A2290,TRAOPE!$A:$U,21,0),VLOOKUP(B2290,TRAOPE!$A:$U,21,0)),"")</f>
        <v/>
      </c>
      <c r="R2290" s="8">
        <f>IFERROR(IFERROR(VLOOKUP(A2290,TRAOPE!$A:$W,23,0),VLOOKUP(B2290,TRAOPE!$A:$W,23,0)),"")</f>
        <v/>
      </c>
      <c r="S2290" s="10">
        <f>IF(AND(P2290="TN",R2290="TN"),N2290+N(O2290),IF(G2290&amp;""="1",N(K2290)*N2290,(N2290+N(O2290))*N(K2290)))</f>
        <v/>
      </c>
      <c r="T2290" s="10">
        <f>IF(Q2290="","",Q2290-S2290)</f>
        <v/>
      </c>
    </row>
    <row r="2291">
      <c r="A2291" s="7">
        <f>CONCATENATE(C2291,E2291,F2291,I2291)</f>
        <v/>
      </c>
      <c r="B2291" s="7">
        <f>CONCATENATE(C2291,E2291,I2291)</f>
        <v/>
      </c>
      <c r="C2291" s="8" t="n">
        <v>900006543</v>
      </c>
      <c r="D2291" s="7">
        <f>IFERROR(VLOOKUP(C2291,TRAOPE!$G:$H,2,0),"")</f>
        <v/>
      </c>
      <c r="E2291" s="8" t="inlineStr">
        <is>
          <t>D836</t>
        </is>
      </c>
      <c r="F2291" s="8" t="inlineStr">
        <is>
          <t>67244591</t>
        </is>
      </c>
      <c r="G2291" s="8">
        <f>IFERROR(VLOOKUP(A2291,Flete!$A:$E,5,0),"")</f>
        <v/>
      </c>
      <c r="H2291" s="7">
        <f>IFERROR(VLOOKUP(F2291,TRAOPE!$AA:$AB,2,0),"")</f>
        <v/>
      </c>
      <c r="I2291" s="7" t="n">
        <v>10185476</v>
      </c>
      <c r="J2291" s="7">
        <f>IFERROR(VLOOKUP(I2291,Materiales!$A:$H,8,0),"")</f>
        <v/>
      </c>
      <c r="K2291" s="9">
        <f>IFERROR(VLOOKUP(I2291,Materiales!$A:$G,7,0),"")</f>
        <v/>
      </c>
      <c r="L2291" s="8" t="inlineStr">
        <is>
          <t>20240619</t>
        </is>
      </c>
      <c r="M2291" s="8" t="inlineStr">
        <is>
          <t>20251031</t>
        </is>
      </c>
      <c r="N2291" s="10" t="n">
        <v>105</v>
      </c>
      <c r="O2291" s="10">
        <f>IFERROR(VLOOKUP(A2291,Flete!$A:$J,10,0),"")</f>
        <v/>
      </c>
      <c r="P2291" s="8" t="inlineStr">
        <is>
          <t>M3</t>
        </is>
      </c>
      <c r="Q2291" s="10">
        <f>IFERROR(IFERROR(VLOOKUP(A2291,TRAOPE!$A:$U,21,0),VLOOKUP(B2291,TRAOPE!$A:$U,21,0)),"")</f>
        <v/>
      </c>
      <c r="R2291" s="8">
        <f>IFERROR(IFERROR(VLOOKUP(A2291,TRAOPE!$A:$W,23,0),VLOOKUP(B2291,TRAOPE!$A:$W,23,0)),"")</f>
        <v/>
      </c>
      <c r="S2291" s="10">
        <f>IF(AND(P2291="TN",R2291="TN"),N2291+N(O2291),IF(G2291&amp;""="1",N(K2291)*N2291,(N2291+N(O2291))*N(K2291)))</f>
        <v/>
      </c>
      <c r="T2291" s="10">
        <f>IF(Q2291="","",Q2291-S2291)</f>
        <v/>
      </c>
    </row>
    <row r="2292">
      <c r="A2292" s="7">
        <f>CONCATENATE(C2292,E2292,F2292,I2292)</f>
        <v/>
      </c>
      <c r="B2292" s="7">
        <f>CONCATENATE(C2292,E2292,I2292)</f>
        <v/>
      </c>
      <c r="C2292" s="8" t="n">
        <v>900006543</v>
      </c>
      <c r="D2292" s="7">
        <f>IFERROR(VLOOKUP(C2292,TRAOPE!$G:$H,2,0),"")</f>
        <v/>
      </c>
      <c r="E2292" s="8" t="inlineStr">
        <is>
          <t>D836</t>
        </is>
      </c>
      <c r="F2292" s="8" t="inlineStr">
        <is>
          <t>67244591</t>
        </is>
      </c>
      <c r="G2292" s="8">
        <f>IFERROR(VLOOKUP(A2292,Flete!$A:$E,5,0),"")</f>
        <v/>
      </c>
      <c r="H2292" s="7">
        <f>IFERROR(VLOOKUP(F2292,TRAOPE!$AA:$AB,2,0),"")</f>
        <v/>
      </c>
      <c r="I2292" s="7" t="n">
        <v>10185477</v>
      </c>
      <c r="J2292" s="7">
        <f>IFERROR(VLOOKUP(I2292,Materiales!$A:$H,8,0),"")</f>
        <v/>
      </c>
      <c r="K2292" s="9">
        <f>IFERROR(VLOOKUP(I2292,Materiales!$A:$G,7,0),"")</f>
        <v/>
      </c>
      <c r="L2292" s="8" t="inlineStr">
        <is>
          <t>20240619</t>
        </is>
      </c>
      <c r="M2292" s="8" t="inlineStr">
        <is>
          <t>20251031</t>
        </is>
      </c>
      <c r="N2292" s="10" t="n">
        <v>118</v>
      </c>
      <c r="O2292" s="10">
        <f>IFERROR(VLOOKUP(A2292,Flete!$A:$J,10,0),"")</f>
        <v/>
      </c>
      <c r="P2292" s="8" t="inlineStr">
        <is>
          <t>M3</t>
        </is>
      </c>
      <c r="Q2292" s="10">
        <f>IFERROR(IFERROR(VLOOKUP(A2292,TRAOPE!$A:$U,21,0),VLOOKUP(B2292,TRAOPE!$A:$U,21,0)),"")</f>
        <v/>
      </c>
      <c r="R2292" s="8">
        <f>IFERROR(IFERROR(VLOOKUP(A2292,TRAOPE!$A:$W,23,0),VLOOKUP(B2292,TRAOPE!$A:$W,23,0)),"")</f>
        <v/>
      </c>
      <c r="S2292" s="10">
        <f>IF(AND(P2292="TN",R2292="TN"),N2292+N(O2292),IF(G2292&amp;""="1",N(K2292)*N2292,(N2292+N(O2292))*N(K2292)))</f>
        <v/>
      </c>
      <c r="T2292" s="10">
        <f>IF(Q2292="","",Q2292-S2292)</f>
        <v/>
      </c>
    </row>
    <row r="2293">
      <c r="A2293" s="7">
        <f>CONCATENATE(C2293,E2293,F2293,I2293)</f>
        <v/>
      </c>
      <c r="B2293" s="7">
        <f>CONCATENATE(C2293,E2293,I2293)</f>
        <v/>
      </c>
      <c r="C2293" s="8" t="n">
        <v>900006543</v>
      </c>
      <c r="D2293" s="7">
        <f>IFERROR(VLOOKUP(C2293,TRAOPE!$G:$H,2,0),"")</f>
        <v/>
      </c>
      <c r="E2293" s="8" t="inlineStr">
        <is>
          <t>D836</t>
        </is>
      </c>
      <c r="F2293" s="8" t="inlineStr">
        <is>
          <t>67247435</t>
        </is>
      </c>
      <c r="G2293" s="8">
        <f>IFERROR(VLOOKUP(A2293,Flete!$A:$E,5,0),"")</f>
        <v/>
      </c>
      <c r="H2293" s="7">
        <f>IFERROR(VLOOKUP(F2293,TRAOPE!$AA:$AB,2,0),"")</f>
        <v/>
      </c>
      <c r="I2293" s="7" t="n">
        <v>10185476</v>
      </c>
      <c r="J2293" s="7">
        <f>IFERROR(VLOOKUP(I2293,Materiales!$A:$H,8,0),"")</f>
        <v/>
      </c>
      <c r="K2293" s="9">
        <f>IFERROR(VLOOKUP(I2293,Materiales!$A:$G,7,0),"")</f>
        <v/>
      </c>
      <c r="L2293" s="8" t="inlineStr">
        <is>
          <t>20240619</t>
        </is>
      </c>
      <c r="M2293" s="8" t="inlineStr">
        <is>
          <t>20251031</t>
        </is>
      </c>
      <c r="N2293" s="10" t="n">
        <v>105</v>
      </c>
      <c r="O2293" s="10">
        <f>IFERROR(VLOOKUP(A2293,Flete!$A:$J,10,0),"")</f>
        <v/>
      </c>
      <c r="P2293" s="8" t="inlineStr">
        <is>
          <t>M3</t>
        </is>
      </c>
      <c r="Q2293" s="10">
        <f>IFERROR(IFERROR(VLOOKUP(A2293,TRAOPE!$A:$U,21,0),VLOOKUP(B2293,TRAOPE!$A:$U,21,0)),"")</f>
        <v/>
      </c>
      <c r="R2293" s="8">
        <f>IFERROR(IFERROR(VLOOKUP(A2293,TRAOPE!$A:$W,23,0),VLOOKUP(B2293,TRAOPE!$A:$W,23,0)),"")</f>
        <v/>
      </c>
      <c r="S2293" s="10">
        <f>IF(AND(P2293="TN",R2293="TN"),N2293+N(O2293),IF(G2293&amp;""="1",N(K2293)*N2293,(N2293+N(O2293))*N(K2293)))</f>
        <v/>
      </c>
      <c r="T2293" s="10">
        <f>IF(Q2293="","",Q2293-S2293)</f>
        <v/>
      </c>
    </row>
    <row r="2294">
      <c r="A2294" s="7">
        <f>CONCATENATE(C2294,E2294,F2294,I2294)</f>
        <v/>
      </c>
      <c r="B2294" s="7">
        <f>CONCATENATE(C2294,E2294,I2294)</f>
        <v/>
      </c>
      <c r="C2294" s="8" t="n">
        <v>900006543</v>
      </c>
      <c r="D2294" s="7">
        <f>IFERROR(VLOOKUP(C2294,TRAOPE!$G:$H,2,0),"")</f>
        <v/>
      </c>
      <c r="E2294" s="8" t="inlineStr">
        <is>
          <t>D836</t>
        </is>
      </c>
      <c r="F2294" s="8" t="inlineStr">
        <is>
          <t>67247435</t>
        </is>
      </c>
      <c r="G2294" s="8">
        <f>IFERROR(VLOOKUP(A2294,Flete!$A:$E,5,0),"")</f>
        <v/>
      </c>
      <c r="H2294" s="7">
        <f>IFERROR(VLOOKUP(F2294,TRAOPE!$AA:$AB,2,0),"")</f>
        <v/>
      </c>
      <c r="I2294" s="7" t="n">
        <v>10185477</v>
      </c>
      <c r="J2294" s="7">
        <f>IFERROR(VLOOKUP(I2294,Materiales!$A:$H,8,0),"")</f>
        <v/>
      </c>
      <c r="K2294" s="9">
        <f>IFERROR(VLOOKUP(I2294,Materiales!$A:$G,7,0),"")</f>
        <v/>
      </c>
      <c r="L2294" s="8" t="inlineStr">
        <is>
          <t>20240619</t>
        </is>
      </c>
      <c r="M2294" s="8" t="inlineStr">
        <is>
          <t>20251031</t>
        </is>
      </c>
      <c r="N2294" s="10" t="n">
        <v>118</v>
      </c>
      <c r="O2294" s="10">
        <f>IFERROR(VLOOKUP(A2294,Flete!$A:$J,10,0),"")</f>
        <v/>
      </c>
      <c r="P2294" s="8" t="inlineStr">
        <is>
          <t>M3</t>
        </is>
      </c>
      <c r="Q2294" s="10">
        <f>IFERROR(IFERROR(VLOOKUP(A2294,TRAOPE!$A:$U,21,0),VLOOKUP(B2294,TRAOPE!$A:$U,21,0)),"")</f>
        <v/>
      </c>
      <c r="R2294" s="8">
        <f>IFERROR(IFERROR(VLOOKUP(A2294,TRAOPE!$A:$W,23,0),VLOOKUP(B2294,TRAOPE!$A:$W,23,0)),"")</f>
        <v/>
      </c>
      <c r="S2294" s="10">
        <f>IF(AND(P2294="TN",R2294="TN"),N2294+N(O2294),IF(G2294&amp;""="1",N(K2294)*N2294,(N2294+N(O2294))*N(K2294)))</f>
        <v/>
      </c>
      <c r="T2294" s="10">
        <f>IF(Q2294="","",Q2294-S2294)</f>
        <v/>
      </c>
    </row>
    <row r="2295">
      <c r="A2295" s="7">
        <f>CONCATENATE(C2295,E2295,F2295,I2295)</f>
        <v/>
      </c>
      <c r="B2295" s="7">
        <f>CONCATENATE(C2295,E2295,I2295)</f>
        <v/>
      </c>
      <c r="C2295" s="8" t="n">
        <v>900006543</v>
      </c>
      <c r="D2295" s="7">
        <f>IFERROR(VLOOKUP(C2295,TRAOPE!$G:$H,2,0),"")</f>
        <v/>
      </c>
      <c r="E2295" s="8" t="inlineStr">
        <is>
          <t>D836</t>
        </is>
      </c>
      <c r="F2295" s="8" t="inlineStr">
        <is>
          <t>67276084</t>
        </is>
      </c>
      <c r="G2295" s="8">
        <f>IFERROR(VLOOKUP(A2295,Flete!$A:$E,5,0),"")</f>
        <v/>
      </c>
      <c r="H2295" s="7">
        <f>IFERROR(VLOOKUP(F2295,TRAOPE!$AA:$AB,2,0),"")</f>
        <v/>
      </c>
      <c r="I2295" s="7" t="n">
        <v>10185476</v>
      </c>
      <c r="J2295" s="7">
        <f>IFERROR(VLOOKUP(I2295,Materiales!$A:$H,8,0),"")</f>
        <v/>
      </c>
      <c r="K2295" s="9">
        <f>IFERROR(VLOOKUP(I2295,Materiales!$A:$G,7,0),"")</f>
        <v/>
      </c>
      <c r="L2295" s="8" t="inlineStr">
        <is>
          <t>20240619</t>
        </is>
      </c>
      <c r="M2295" s="8" t="inlineStr">
        <is>
          <t>20251031</t>
        </is>
      </c>
      <c r="N2295" s="10" t="n">
        <v>105</v>
      </c>
      <c r="O2295" s="10">
        <f>IFERROR(VLOOKUP(A2295,Flete!$A:$J,10,0),"")</f>
        <v/>
      </c>
      <c r="P2295" s="8" t="inlineStr">
        <is>
          <t>M3</t>
        </is>
      </c>
      <c r="Q2295" s="10">
        <f>IFERROR(IFERROR(VLOOKUP(A2295,TRAOPE!$A:$U,21,0),VLOOKUP(B2295,TRAOPE!$A:$U,21,0)),"")</f>
        <v/>
      </c>
      <c r="R2295" s="8">
        <f>IFERROR(IFERROR(VLOOKUP(A2295,TRAOPE!$A:$W,23,0),VLOOKUP(B2295,TRAOPE!$A:$W,23,0)),"")</f>
        <v/>
      </c>
      <c r="S2295" s="10">
        <f>IF(AND(P2295="TN",R2295="TN"),N2295+N(O2295),IF(G2295&amp;""="1",N(K2295)*N2295,(N2295+N(O2295))*N(K2295)))</f>
        <v/>
      </c>
      <c r="T2295" s="10">
        <f>IF(Q2295="","",Q2295-S2295)</f>
        <v/>
      </c>
    </row>
    <row r="2296">
      <c r="A2296" s="7">
        <f>CONCATENATE(C2296,E2296,F2296,I2296)</f>
        <v/>
      </c>
      <c r="B2296" s="7">
        <f>CONCATENATE(C2296,E2296,I2296)</f>
        <v/>
      </c>
      <c r="C2296" s="8" t="n">
        <v>900006543</v>
      </c>
      <c r="D2296" s="7">
        <f>IFERROR(VLOOKUP(C2296,TRAOPE!$G:$H,2,0),"")</f>
        <v/>
      </c>
      <c r="E2296" s="8" t="inlineStr">
        <is>
          <t>D836</t>
        </is>
      </c>
      <c r="F2296" s="8" t="inlineStr">
        <is>
          <t>67276084</t>
        </is>
      </c>
      <c r="G2296" s="8">
        <f>IFERROR(VLOOKUP(A2296,Flete!$A:$E,5,0),"")</f>
        <v/>
      </c>
      <c r="H2296" s="7">
        <f>IFERROR(VLOOKUP(F2296,TRAOPE!$AA:$AB,2,0),"")</f>
        <v/>
      </c>
      <c r="I2296" s="7" t="n">
        <v>10185477</v>
      </c>
      <c r="J2296" s="7">
        <f>IFERROR(VLOOKUP(I2296,Materiales!$A:$H,8,0),"")</f>
        <v/>
      </c>
      <c r="K2296" s="9">
        <f>IFERROR(VLOOKUP(I2296,Materiales!$A:$G,7,0),"")</f>
        <v/>
      </c>
      <c r="L2296" s="8" t="inlineStr">
        <is>
          <t>20240619</t>
        </is>
      </c>
      <c r="M2296" s="8" t="inlineStr">
        <is>
          <t>20251031</t>
        </is>
      </c>
      <c r="N2296" s="10" t="n">
        <v>118</v>
      </c>
      <c r="O2296" s="10">
        <f>IFERROR(VLOOKUP(A2296,Flete!$A:$J,10,0),"")</f>
        <v/>
      </c>
      <c r="P2296" s="8" t="inlineStr">
        <is>
          <t>M3</t>
        </is>
      </c>
      <c r="Q2296" s="10">
        <f>IFERROR(IFERROR(VLOOKUP(A2296,TRAOPE!$A:$U,21,0),VLOOKUP(B2296,TRAOPE!$A:$U,21,0)),"")</f>
        <v/>
      </c>
      <c r="R2296" s="8">
        <f>IFERROR(IFERROR(VLOOKUP(A2296,TRAOPE!$A:$W,23,0),VLOOKUP(B2296,TRAOPE!$A:$W,23,0)),"")</f>
        <v/>
      </c>
      <c r="S2296" s="10">
        <f>IF(AND(P2296="TN",R2296="TN"),N2296+N(O2296),IF(G2296&amp;""="1",N(K2296)*N2296,(N2296+N(O2296))*N(K2296)))</f>
        <v/>
      </c>
      <c r="T2296" s="10">
        <f>IF(Q2296="","",Q2296-S2296)</f>
        <v/>
      </c>
    </row>
    <row r="2297">
      <c r="A2297" s="7">
        <f>CONCATENATE(C2297,E2297,F2297,I2297)</f>
        <v/>
      </c>
      <c r="B2297" s="7">
        <f>CONCATENATE(C2297,E2297,I2297)</f>
        <v/>
      </c>
      <c r="C2297" s="8" t="n">
        <v>900006543</v>
      </c>
      <c r="D2297" s="7">
        <f>IFERROR(VLOOKUP(C2297,TRAOPE!$G:$H,2,0),"")</f>
        <v/>
      </c>
      <c r="E2297" s="8" t="inlineStr">
        <is>
          <t>D836</t>
        </is>
      </c>
      <c r="F2297" s="8" t="inlineStr">
        <is>
          <t>67279447</t>
        </is>
      </c>
      <c r="G2297" s="8">
        <f>IFERROR(VLOOKUP(A2297,Flete!$A:$E,5,0),"")</f>
        <v/>
      </c>
      <c r="H2297" s="7">
        <f>IFERROR(VLOOKUP(F2297,TRAOPE!$AA:$AB,2,0),"")</f>
        <v/>
      </c>
      <c r="I2297" s="7" t="n">
        <v>10000206</v>
      </c>
      <c r="J2297" s="7">
        <f>IFERROR(VLOOKUP(I2297,Materiales!$A:$H,8,0),"")</f>
        <v/>
      </c>
      <c r="K2297" s="9">
        <f>IFERROR(VLOOKUP(I2297,Materiales!$A:$G,7,0),"")</f>
        <v/>
      </c>
      <c r="L2297" s="8" t="inlineStr">
        <is>
          <t>20240619</t>
        </is>
      </c>
      <c r="M2297" s="8" t="inlineStr">
        <is>
          <t>20251031</t>
        </is>
      </c>
      <c r="N2297" s="10" t="n">
        <v>20</v>
      </c>
      <c r="O2297" s="10">
        <f>IFERROR(VLOOKUP(A2297,Flete!$A:$J,10,0),"")</f>
        <v/>
      </c>
      <c r="P2297" s="8" t="inlineStr">
        <is>
          <t>M3</t>
        </is>
      </c>
      <c r="Q2297" s="10">
        <f>IFERROR(IFERROR(VLOOKUP(A2297,TRAOPE!$A:$U,21,0),VLOOKUP(B2297,TRAOPE!$A:$U,21,0)),"")</f>
        <v/>
      </c>
      <c r="R2297" s="8">
        <f>IFERROR(IFERROR(VLOOKUP(A2297,TRAOPE!$A:$W,23,0),VLOOKUP(B2297,TRAOPE!$A:$W,23,0)),"")</f>
        <v/>
      </c>
      <c r="S2297" s="10">
        <f>IF(AND(P2297="TN",R2297="TN"),N2297+N(O2297),IF(G2297&amp;""="1",N(K2297)*N2297,(N2297+N(O2297))*N(K2297)))</f>
        <v/>
      </c>
      <c r="T2297" s="10">
        <f>IF(Q2297="","",Q2297-S2297)</f>
        <v/>
      </c>
    </row>
    <row r="2298">
      <c r="A2298" s="7">
        <f>CONCATENATE(C2298,E2298,F2298,I2298)</f>
        <v/>
      </c>
      <c r="B2298" s="7">
        <f>CONCATENATE(C2298,E2298,I2298)</f>
        <v/>
      </c>
      <c r="C2298" s="8" t="n">
        <v>900006543</v>
      </c>
      <c r="D2298" s="7">
        <f>IFERROR(VLOOKUP(C2298,TRAOPE!$G:$H,2,0),"")</f>
        <v/>
      </c>
      <c r="E2298" s="8" t="inlineStr">
        <is>
          <t>D836</t>
        </is>
      </c>
      <c r="F2298" s="8" t="inlineStr">
        <is>
          <t>67279447</t>
        </is>
      </c>
      <c r="G2298" s="8">
        <f>IFERROR(VLOOKUP(A2298,Flete!$A:$E,5,0),"")</f>
        <v/>
      </c>
      <c r="H2298" s="7">
        <f>IFERROR(VLOOKUP(F2298,TRAOPE!$AA:$AB,2,0),"")</f>
        <v/>
      </c>
      <c r="I2298" s="7" t="n">
        <v>10000627</v>
      </c>
      <c r="J2298" s="7">
        <f>IFERROR(VLOOKUP(I2298,Materiales!$A:$H,8,0),"")</f>
        <v/>
      </c>
      <c r="K2298" s="9">
        <f>IFERROR(VLOOKUP(I2298,Materiales!$A:$G,7,0),"")</f>
        <v/>
      </c>
      <c r="L2298" s="8" t="inlineStr">
        <is>
          <t>20240619</t>
        </is>
      </c>
      <c r="M2298" s="8" t="inlineStr">
        <is>
          <t>20251031</t>
        </is>
      </c>
      <c r="N2298" s="10" t="n">
        <v>130</v>
      </c>
      <c r="O2298" s="10">
        <f>IFERROR(VLOOKUP(A2298,Flete!$A:$J,10,0),"")</f>
        <v/>
      </c>
      <c r="P2298" s="8" t="inlineStr">
        <is>
          <t>M3</t>
        </is>
      </c>
      <c r="Q2298" s="10">
        <f>IFERROR(IFERROR(VLOOKUP(A2298,TRAOPE!$A:$U,21,0),VLOOKUP(B2298,TRAOPE!$A:$U,21,0)),"")</f>
        <v/>
      </c>
      <c r="R2298" s="8">
        <f>IFERROR(IFERROR(VLOOKUP(A2298,TRAOPE!$A:$W,23,0),VLOOKUP(B2298,TRAOPE!$A:$W,23,0)),"")</f>
        <v/>
      </c>
      <c r="S2298" s="10">
        <f>IF(AND(P2298="TN",R2298="TN"),N2298+N(O2298),IF(G2298&amp;""="1",N(K2298)*N2298,(N2298+N(O2298))*N(K2298)))</f>
        <v/>
      </c>
      <c r="T2298" s="10">
        <f>IF(Q2298="","",Q2298-S2298)</f>
        <v/>
      </c>
    </row>
    <row r="2299">
      <c r="A2299" s="7">
        <f>CONCATENATE(C2299,E2299,F2299,I2299)</f>
        <v/>
      </c>
      <c r="B2299" s="7">
        <f>CONCATENATE(C2299,E2299,I2299)</f>
        <v/>
      </c>
      <c r="C2299" s="8" t="n">
        <v>900006543</v>
      </c>
      <c r="D2299" s="7">
        <f>IFERROR(VLOOKUP(C2299,TRAOPE!$G:$H,2,0),"")</f>
        <v/>
      </c>
      <c r="E2299" s="8" t="inlineStr">
        <is>
          <t>D836</t>
        </is>
      </c>
      <c r="F2299" s="8" t="inlineStr">
        <is>
          <t>67279447</t>
        </is>
      </c>
      <c r="G2299" s="8">
        <f>IFERROR(VLOOKUP(A2299,Flete!$A:$E,5,0),"")</f>
        <v/>
      </c>
      <c r="H2299" s="7">
        <f>IFERROR(VLOOKUP(F2299,TRAOPE!$AA:$AB,2,0),"")</f>
        <v/>
      </c>
      <c r="I2299" s="7" t="n">
        <v>10185476</v>
      </c>
      <c r="J2299" s="7">
        <f>IFERROR(VLOOKUP(I2299,Materiales!$A:$H,8,0),"")</f>
        <v/>
      </c>
      <c r="K2299" s="9">
        <f>IFERROR(VLOOKUP(I2299,Materiales!$A:$G,7,0),"")</f>
        <v/>
      </c>
      <c r="L2299" s="8" t="inlineStr">
        <is>
          <t>20240619</t>
        </is>
      </c>
      <c r="M2299" s="8" t="inlineStr">
        <is>
          <t>20251031</t>
        </is>
      </c>
      <c r="N2299" s="10" t="n">
        <v>120</v>
      </c>
      <c r="O2299" s="10">
        <f>IFERROR(VLOOKUP(A2299,Flete!$A:$J,10,0),"")</f>
        <v/>
      </c>
      <c r="P2299" s="8" t="inlineStr">
        <is>
          <t>M3</t>
        </is>
      </c>
      <c r="Q2299" s="10">
        <f>IFERROR(IFERROR(VLOOKUP(A2299,TRAOPE!$A:$U,21,0),VLOOKUP(B2299,TRAOPE!$A:$U,21,0)),"")</f>
        <v/>
      </c>
      <c r="R2299" s="8">
        <f>IFERROR(IFERROR(VLOOKUP(A2299,TRAOPE!$A:$W,23,0),VLOOKUP(B2299,TRAOPE!$A:$W,23,0)),"")</f>
        <v/>
      </c>
      <c r="S2299" s="10">
        <f>IF(AND(P2299="TN",R2299="TN"),N2299+N(O2299),IF(G2299&amp;""="1",N(K2299)*N2299,(N2299+N(O2299))*N(K2299)))</f>
        <v/>
      </c>
      <c r="T2299" s="10">
        <f>IF(Q2299="","",Q2299-S2299)</f>
        <v/>
      </c>
    </row>
    <row r="2300">
      <c r="A2300" s="7">
        <f>CONCATENATE(C2300,E2300,F2300,I2300)</f>
        <v/>
      </c>
      <c r="B2300" s="7">
        <f>CONCATENATE(C2300,E2300,I2300)</f>
        <v/>
      </c>
      <c r="C2300" s="8" t="n">
        <v>900006543</v>
      </c>
      <c r="D2300" s="7">
        <f>IFERROR(VLOOKUP(C2300,TRAOPE!$G:$H,2,0),"")</f>
        <v/>
      </c>
      <c r="E2300" s="8" t="inlineStr">
        <is>
          <t>D836</t>
        </is>
      </c>
      <c r="F2300" s="8" t="inlineStr">
        <is>
          <t>67279447</t>
        </is>
      </c>
      <c r="G2300" s="8">
        <f>IFERROR(VLOOKUP(A2300,Flete!$A:$E,5,0),"")</f>
        <v/>
      </c>
      <c r="H2300" s="7">
        <f>IFERROR(VLOOKUP(F2300,TRAOPE!$AA:$AB,2,0),"")</f>
        <v/>
      </c>
      <c r="I2300" s="7" t="n">
        <v>10185477</v>
      </c>
      <c r="J2300" s="7">
        <f>IFERROR(VLOOKUP(I2300,Materiales!$A:$H,8,0),"")</f>
        <v/>
      </c>
      <c r="K2300" s="9">
        <f>IFERROR(VLOOKUP(I2300,Materiales!$A:$G,7,0),"")</f>
        <v/>
      </c>
      <c r="L2300" s="8" t="inlineStr">
        <is>
          <t>20240619</t>
        </is>
      </c>
      <c r="M2300" s="8" t="inlineStr">
        <is>
          <t>20251031</t>
        </is>
      </c>
      <c r="N2300" s="10" t="n">
        <v>130</v>
      </c>
      <c r="O2300" s="10">
        <f>IFERROR(VLOOKUP(A2300,Flete!$A:$J,10,0),"")</f>
        <v/>
      </c>
      <c r="P2300" s="8" t="inlineStr">
        <is>
          <t>M3</t>
        </is>
      </c>
      <c r="Q2300" s="10">
        <f>IFERROR(IFERROR(VLOOKUP(A2300,TRAOPE!$A:$U,21,0),VLOOKUP(B2300,TRAOPE!$A:$U,21,0)),"")</f>
        <v/>
      </c>
      <c r="R2300" s="8">
        <f>IFERROR(IFERROR(VLOOKUP(A2300,TRAOPE!$A:$W,23,0),VLOOKUP(B2300,TRAOPE!$A:$W,23,0)),"")</f>
        <v/>
      </c>
      <c r="S2300" s="10">
        <f>IF(AND(P2300="TN",R2300="TN"),N2300+N(O2300),IF(G2300&amp;""="1",N(K2300)*N2300,(N2300+N(O2300))*N(K2300)))</f>
        <v/>
      </c>
      <c r="T2300" s="10">
        <f>IF(Q2300="","",Q2300-S2300)</f>
        <v/>
      </c>
    </row>
    <row r="2301">
      <c r="A2301" s="7">
        <f>CONCATENATE(C2301,E2301,F2301,I2301)</f>
        <v/>
      </c>
      <c r="B2301" s="7">
        <f>CONCATENATE(C2301,E2301,I2301)</f>
        <v/>
      </c>
      <c r="C2301" s="8" t="n">
        <v>900006543</v>
      </c>
      <c r="D2301" s="7">
        <f>IFERROR(VLOOKUP(C2301,TRAOPE!$G:$H,2,0),"")</f>
        <v/>
      </c>
      <c r="E2301" s="8" t="inlineStr">
        <is>
          <t>D836</t>
        </is>
      </c>
      <c r="F2301" s="8" t="inlineStr">
        <is>
          <t>67283442</t>
        </is>
      </c>
      <c r="G2301" s="8">
        <f>IFERROR(VLOOKUP(A2301,Flete!$A:$E,5,0),"")</f>
        <v/>
      </c>
      <c r="H2301" s="7">
        <f>IFERROR(VLOOKUP(F2301,TRAOPE!$AA:$AB,2,0),"")</f>
        <v/>
      </c>
      <c r="I2301" s="7" t="n">
        <v>10000206</v>
      </c>
      <c r="J2301" s="7">
        <f>IFERROR(VLOOKUP(I2301,Materiales!$A:$H,8,0),"")</f>
        <v/>
      </c>
      <c r="K2301" s="9">
        <f>IFERROR(VLOOKUP(I2301,Materiales!$A:$G,7,0),"")</f>
        <v/>
      </c>
      <c r="L2301" s="8" t="inlineStr">
        <is>
          <t>20240619</t>
        </is>
      </c>
      <c r="M2301" s="8" t="inlineStr">
        <is>
          <t>20251031</t>
        </is>
      </c>
      <c r="N2301" s="10" t="n">
        <v>20</v>
      </c>
      <c r="O2301" s="10">
        <f>IFERROR(VLOOKUP(A2301,Flete!$A:$J,10,0),"")</f>
        <v/>
      </c>
      <c r="P2301" s="8" t="inlineStr">
        <is>
          <t>M3</t>
        </is>
      </c>
      <c r="Q2301" s="10">
        <f>IFERROR(IFERROR(VLOOKUP(A2301,TRAOPE!$A:$U,21,0),VLOOKUP(B2301,TRAOPE!$A:$U,21,0)),"")</f>
        <v/>
      </c>
      <c r="R2301" s="8">
        <f>IFERROR(IFERROR(VLOOKUP(A2301,TRAOPE!$A:$W,23,0),VLOOKUP(B2301,TRAOPE!$A:$W,23,0)),"")</f>
        <v/>
      </c>
      <c r="S2301" s="10">
        <f>IF(AND(P2301="TN",R2301="TN"),N2301+N(O2301),IF(G2301&amp;""="1",N(K2301)*N2301,(N2301+N(O2301))*N(K2301)))</f>
        <v/>
      </c>
      <c r="T2301" s="10">
        <f>IF(Q2301="","",Q2301-S2301)</f>
        <v/>
      </c>
    </row>
    <row r="2302">
      <c r="A2302" s="7">
        <f>CONCATENATE(C2302,E2302,F2302,I2302)</f>
        <v/>
      </c>
      <c r="B2302" s="7">
        <f>CONCATENATE(C2302,E2302,I2302)</f>
        <v/>
      </c>
      <c r="C2302" s="8" t="n">
        <v>900006543</v>
      </c>
      <c r="D2302" s="7">
        <f>IFERROR(VLOOKUP(C2302,TRAOPE!$G:$H,2,0),"")</f>
        <v/>
      </c>
      <c r="E2302" s="8" t="inlineStr">
        <is>
          <t>D836</t>
        </is>
      </c>
      <c r="F2302" s="8" t="inlineStr">
        <is>
          <t>67283442</t>
        </is>
      </c>
      <c r="G2302" s="8">
        <f>IFERROR(VLOOKUP(A2302,Flete!$A:$E,5,0),"")</f>
        <v/>
      </c>
      <c r="H2302" s="7">
        <f>IFERROR(VLOOKUP(F2302,TRAOPE!$AA:$AB,2,0),"")</f>
        <v/>
      </c>
      <c r="I2302" s="7" t="n">
        <v>10000627</v>
      </c>
      <c r="J2302" s="7">
        <f>IFERROR(VLOOKUP(I2302,Materiales!$A:$H,8,0),"")</f>
        <v/>
      </c>
      <c r="K2302" s="9">
        <f>IFERROR(VLOOKUP(I2302,Materiales!$A:$G,7,0),"")</f>
        <v/>
      </c>
      <c r="L2302" s="8" t="inlineStr">
        <is>
          <t>20240619</t>
        </is>
      </c>
      <c r="M2302" s="8" t="inlineStr">
        <is>
          <t>20251031</t>
        </is>
      </c>
      <c r="N2302" s="10" t="n">
        <v>130</v>
      </c>
      <c r="O2302" s="10">
        <f>IFERROR(VLOOKUP(A2302,Flete!$A:$J,10,0),"")</f>
        <v/>
      </c>
      <c r="P2302" s="8" t="inlineStr">
        <is>
          <t>M3</t>
        </is>
      </c>
      <c r="Q2302" s="10">
        <f>IFERROR(IFERROR(VLOOKUP(A2302,TRAOPE!$A:$U,21,0),VLOOKUP(B2302,TRAOPE!$A:$U,21,0)),"")</f>
        <v/>
      </c>
      <c r="R2302" s="8">
        <f>IFERROR(IFERROR(VLOOKUP(A2302,TRAOPE!$A:$W,23,0),VLOOKUP(B2302,TRAOPE!$A:$W,23,0)),"")</f>
        <v/>
      </c>
      <c r="S2302" s="10">
        <f>IF(AND(P2302="TN",R2302="TN"),N2302+N(O2302),IF(G2302&amp;""="1",N(K2302)*N2302,(N2302+N(O2302))*N(K2302)))</f>
        <v/>
      </c>
      <c r="T2302" s="10">
        <f>IF(Q2302="","",Q2302-S2302)</f>
        <v/>
      </c>
    </row>
    <row r="2303">
      <c r="A2303" s="7">
        <f>CONCATENATE(C2303,E2303,F2303,I2303)</f>
        <v/>
      </c>
      <c r="B2303" s="7">
        <f>CONCATENATE(C2303,E2303,I2303)</f>
        <v/>
      </c>
      <c r="C2303" s="8" t="n">
        <v>900006543</v>
      </c>
      <c r="D2303" s="7">
        <f>IFERROR(VLOOKUP(C2303,TRAOPE!$G:$H,2,0),"")</f>
        <v/>
      </c>
      <c r="E2303" s="8" t="inlineStr">
        <is>
          <t>D836</t>
        </is>
      </c>
      <c r="F2303" s="8" t="inlineStr">
        <is>
          <t>67283442</t>
        </is>
      </c>
      <c r="G2303" s="8">
        <f>IFERROR(VLOOKUP(A2303,Flete!$A:$E,5,0),"")</f>
        <v/>
      </c>
      <c r="H2303" s="7">
        <f>IFERROR(VLOOKUP(F2303,TRAOPE!$AA:$AB,2,0),"")</f>
        <v/>
      </c>
      <c r="I2303" s="7" t="n">
        <v>10185476</v>
      </c>
      <c r="J2303" s="7">
        <f>IFERROR(VLOOKUP(I2303,Materiales!$A:$H,8,0),"")</f>
        <v/>
      </c>
      <c r="K2303" s="9">
        <f>IFERROR(VLOOKUP(I2303,Materiales!$A:$G,7,0),"")</f>
        <v/>
      </c>
      <c r="L2303" s="8" t="inlineStr">
        <is>
          <t>20240619</t>
        </is>
      </c>
      <c r="M2303" s="8" t="inlineStr">
        <is>
          <t>20251031</t>
        </is>
      </c>
      <c r="N2303" s="10" t="n">
        <v>120</v>
      </c>
      <c r="O2303" s="10">
        <f>IFERROR(VLOOKUP(A2303,Flete!$A:$J,10,0),"")</f>
        <v/>
      </c>
      <c r="P2303" s="8" t="inlineStr">
        <is>
          <t>M3</t>
        </is>
      </c>
      <c r="Q2303" s="10">
        <f>IFERROR(IFERROR(VLOOKUP(A2303,TRAOPE!$A:$U,21,0),VLOOKUP(B2303,TRAOPE!$A:$U,21,0)),"")</f>
        <v/>
      </c>
      <c r="R2303" s="8">
        <f>IFERROR(IFERROR(VLOOKUP(A2303,TRAOPE!$A:$W,23,0),VLOOKUP(B2303,TRAOPE!$A:$W,23,0)),"")</f>
        <v/>
      </c>
      <c r="S2303" s="10">
        <f>IF(AND(P2303="TN",R2303="TN"),N2303+N(O2303),IF(G2303&amp;""="1",N(K2303)*N2303,(N2303+N(O2303))*N(K2303)))</f>
        <v/>
      </c>
      <c r="T2303" s="10">
        <f>IF(Q2303="","",Q2303-S2303)</f>
        <v/>
      </c>
    </row>
    <row r="2304">
      <c r="A2304" s="7">
        <f>CONCATENATE(C2304,E2304,F2304,I2304)</f>
        <v/>
      </c>
      <c r="B2304" s="7">
        <f>CONCATENATE(C2304,E2304,I2304)</f>
        <v/>
      </c>
      <c r="C2304" s="8" t="n">
        <v>900006543</v>
      </c>
      <c r="D2304" s="7">
        <f>IFERROR(VLOOKUP(C2304,TRAOPE!$G:$H,2,0),"")</f>
        <v/>
      </c>
      <c r="E2304" s="8" t="inlineStr">
        <is>
          <t>D836</t>
        </is>
      </c>
      <c r="F2304" s="8" t="inlineStr">
        <is>
          <t>67283442</t>
        </is>
      </c>
      <c r="G2304" s="8">
        <f>IFERROR(VLOOKUP(A2304,Flete!$A:$E,5,0),"")</f>
        <v/>
      </c>
      <c r="H2304" s="7">
        <f>IFERROR(VLOOKUP(F2304,TRAOPE!$AA:$AB,2,0),"")</f>
        <v/>
      </c>
      <c r="I2304" s="7" t="n">
        <v>10185477</v>
      </c>
      <c r="J2304" s="7">
        <f>IFERROR(VLOOKUP(I2304,Materiales!$A:$H,8,0),"")</f>
        <v/>
      </c>
      <c r="K2304" s="9">
        <f>IFERROR(VLOOKUP(I2304,Materiales!$A:$G,7,0),"")</f>
        <v/>
      </c>
      <c r="L2304" s="8" t="inlineStr">
        <is>
          <t>20240619</t>
        </is>
      </c>
      <c r="M2304" s="8" t="inlineStr">
        <is>
          <t>20251031</t>
        </is>
      </c>
      <c r="N2304" s="10" t="n">
        <v>130</v>
      </c>
      <c r="O2304" s="10">
        <f>IFERROR(VLOOKUP(A2304,Flete!$A:$J,10,0),"")</f>
        <v/>
      </c>
      <c r="P2304" s="8" t="inlineStr">
        <is>
          <t>M3</t>
        </is>
      </c>
      <c r="Q2304" s="10">
        <f>IFERROR(IFERROR(VLOOKUP(A2304,TRAOPE!$A:$U,21,0),VLOOKUP(B2304,TRAOPE!$A:$U,21,0)),"")</f>
        <v/>
      </c>
      <c r="R2304" s="8">
        <f>IFERROR(IFERROR(VLOOKUP(A2304,TRAOPE!$A:$W,23,0),VLOOKUP(B2304,TRAOPE!$A:$W,23,0)),"")</f>
        <v/>
      </c>
      <c r="S2304" s="10">
        <f>IF(AND(P2304="TN",R2304="TN"),N2304+N(O2304),IF(G2304&amp;""="1",N(K2304)*N2304,(N2304+N(O2304))*N(K2304)))</f>
        <v/>
      </c>
      <c r="T2304" s="10">
        <f>IF(Q2304="","",Q2304-S2304)</f>
        <v/>
      </c>
    </row>
    <row r="2305">
      <c r="A2305" s="7">
        <f>CONCATENATE(C2305,E2305,F2305,I2305)</f>
        <v/>
      </c>
      <c r="B2305" s="7">
        <f>CONCATENATE(C2305,E2305,I2305)</f>
        <v/>
      </c>
      <c r="C2305" s="8" t="n">
        <v>900006543</v>
      </c>
      <c r="D2305" s="7">
        <f>IFERROR(VLOOKUP(C2305,TRAOPE!$G:$H,2,0),"")</f>
        <v/>
      </c>
      <c r="E2305" s="8" t="inlineStr">
        <is>
          <t>D836</t>
        </is>
      </c>
      <c r="F2305" s="8" t="inlineStr">
        <is>
          <t>67285266</t>
        </is>
      </c>
      <c r="G2305" s="8">
        <f>IFERROR(VLOOKUP(A2305,Flete!$A:$E,5,0),"")</f>
        <v/>
      </c>
      <c r="H2305" s="7">
        <f>IFERROR(VLOOKUP(F2305,TRAOPE!$AA:$AB,2,0),"")</f>
        <v/>
      </c>
      <c r="I2305" s="7" t="n">
        <v>10185477</v>
      </c>
      <c r="J2305" s="7">
        <f>IFERROR(VLOOKUP(I2305,Materiales!$A:$H,8,0),"")</f>
        <v/>
      </c>
      <c r="K2305" s="9">
        <f>IFERROR(VLOOKUP(I2305,Materiales!$A:$G,7,0),"")</f>
        <v/>
      </c>
      <c r="L2305" s="8" t="inlineStr">
        <is>
          <t>20240619</t>
        </is>
      </c>
      <c r="M2305" s="8" t="inlineStr">
        <is>
          <t>20251031</t>
        </is>
      </c>
      <c r="N2305" s="10" t="n">
        <v>118</v>
      </c>
      <c r="O2305" s="10">
        <f>IFERROR(VLOOKUP(A2305,Flete!$A:$J,10,0),"")</f>
        <v/>
      </c>
      <c r="P2305" s="8" t="inlineStr">
        <is>
          <t>M3</t>
        </is>
      </c>
      <c r="Q2305" s="10">
        <f>IFERROR(IFERROR(VLOOKUP(A2305,TRAOPE!$A:$U,21,0),VLOOKUP(B2305,TRAOPE!$A:$U,21,0)),"")</f>
        <v/>
      </c>
      <c r="R2305" s="8">
        <f>IFERROR(IFERROR(VLOOKUP(A2305,TRAOPE!$A:$W,23,0),VLOOKUP(B2305,TRAOPE!$A:$W,23,0)),"")</f>
        <v/>
      </c>
      <c r="S2305" s="10">
        <f>IF(AND(P2305="TN",R2305="TN"),N2305+N(O2305),IF(G2305&amp;""="1",N(K2305)*N2305,(N2305+N(O2305))*N(K2305)))</f>
        <v/>
      </c>
      <c r="T2305" s="10">
        <f>IF(Q2305="","",Q2305-S2305)</f>
        <v/>
      </c>
    </row>
    <row r="2306">
      <c r="A2306" s="7">
        <f>CONCATENATE(C2306,E2306,F2306,I2306)</f>
        <v/>
      </c>
      <c r="B2306" s="7">
        <f>CONCATENATE(C2306,E2306,I2306)</f>
        <v/>
      </c>
      <c r="C2306" s="8" t="n">
        <v>900006551</v>
      </c>
      <c r="D2306" s="7">
        <f>IFERROR(VLOOKUP(C2306,TRAOPE!$G:$H,2,0),"")</f>
        <v/>
      </c>
      <c r="E2306" s="8" t="inlineStr">
        <is>
          <t>D836</t>
        </is>
      </c>
      <c r="F2306" s="8" t="inlineStr">
        <is>
          <t>67302274</t>
        </is>
      </c>
      <c r="G2306" s="8">
        <f>IFERROR(VLOOKUP(A2306,Flete!$A:$E,5,0),"")</f>
        <v/>
      </c>
      <c r="H2306" s="7">
        <f>IFERROR(VLOOKUP(F2306,TRAOPE!$AA:$AB,2,0),"")</f>
        <v/>
      </c>
      <c r="I2306" s="7" t="n">
        <v>10267564</v>
      </c>
      <c r="J2306" s="7">
        <f>IFERROR(VLOOKUP(I2306,Materiales!$A:$H,8,0),"")</f>
        <v/>
      </c>
      <c r="K2306" s="9">
        <f>IFERROR(VLOOKUP(I2306,Materiales!$A:$G,7,0),"")</f>
        <v/>
      </c>
      <c r="L2306" s="8" t="inlineStr">
        <is>
          <t>20240619</t>
        </is>
      </c>
      <c r="M2306" s="8" t="inlineStr">
        <is>
          <t>20251031</t>
        </is>
      </c>
      <c r="N2306" s="10" t="n">
        <v>100</v>
      </c>
      <c r="O2306" s="10">
        <f>IFERROR(VLOOKUP(A2306,Flete!$A:$J,10,0),"")</f>
        <v/>
      </c>
      <c r="P2306" s="8" t="inlineStr">
        <is>
          <t>M3</t>
        </is>
      </c>
      <c r="Q2306" s="10">
        <f>IFERROR(IFERROR(VLOOKUP(A2306,TRAOPE!$A:$U,21,0),VLOOKUP(B2306,TRAOPE!$A:$U,21,0)),"")</f>
        <v/>
      </c>
      <c r="R2306" s="8">
        <f>IFERROR(IFERROR(VLOOKUP(A2306,TRAOPE!$A:$W,23,0),VLOOKUP(B2306,TRAOPE!$A:$W,23,0)),"")</f>
        <v/>
      </c>
      <c r="S2306" s="10">
        <f>IF(AND(P2306="TN",R2306="TN"),N2306+N(O2306),IF(G2306&amp;""="1",N(K2306)*N2306,(N2306+N(O2306))*N(K2306)))</f>
        <v/>
      </c>
      <c r="T2306" s="10">
        <f>IF(Q2306="","",Q2306-S2306)</f>
        <v/>
      </c>
    </row>
    <row r="2307">
      <c r="A2307" s="7">
        <f>CONCATENATE(C2307,E2307,F2307,I2307)</f>
        <v/>
      </c>
      <c r="B2307" s="7">
        <f>CONCATENATE(C2307,E2307,I2307)</f>
        <v/>
      </c>
      <c r="C2307" s="8" t="n">
        <v>900006950</v>
      </c>
      <c r="D2307" s="7">
        <f>IFERROR(VLOOKUP(C2307,TRAOPE!$G:$H,2,0),"")</f>
        <v/>
      </c>
      <c r="E2307" s="8" t="inlineStr">
        <is>
          <t>D836</t>
        </is>
      </c>
      <c r="F2307" s="8" t="inlineStr">
        <is>
          <t>66779276</t>
        </is>
      </c>
      <c r="G2307" s="8">
        <f>IFERROR(VLOOKUP(A2307,Flete!$A:$E,5,0),"")</f>
        <v/>
      </c>
      <c r="H2307" s="7">
        <f>IFERROR(VLOOKUP(F2307,TRAOPE!$AA:$AB,2,0),"")</f>
        <v/>
      </c>
      <c r="I2307" s="7" t="n">
        <v>10000133</v>
      </c>
      <c r="J2307" s="7">
        <f>IFERROR(VLOOKUP(I2307,Materiales!$A:$H,8,0),"")</f>
        <v/>
      </c>
      <c r="K2307" s="9">
        <f>IFERROR(VLOOKUP(I2307,Materiales!$A:$G,7,0),"")</f>
        <v/>
      </c>
      <c r="L2307" s="8" t="inlineStr">
        <is>
          <t>20240619</t>
        </is>
      </c>
      <c r="M2307" s="8" t="inlineStr">
        <is>
          <t>20251031</t>
        </is>
      </c>
      <c r="N2307" s="10" t="n">
        <v>252.37</v>
      </c>
      <c r="O2307" s="10">
        <f>IFERROR(VLOOKUP(A2307,Flete!$A:$J,10,0),"")</f>
        <v/>
      </c>
      <c r="P2307" s="8" t="inlineStr">
        <is>
          <t>TN</t>
        </is>
      </c>
      <c r="Q2307" s="10">
        <f>IFERROR(IFERROR(VLOOKUP(A2307,TRAOPE!$A:$U,21,0),VLOOKUP(B2307,TRAOPE!$A:$U,21,0)),"")</f>
        <v/>
      </c>
      <c r="R2307" s="8">
        <f>IFERROR(IFERROR(VLOOKUP(A2307,TRAOPE!$A:$W,23,0),VLOOKUP(B2307,TRAOPE!$A:$W,23,0)),"")</f>
        <v/>
      </c>
      <c r="S2307" s="10">
        <f>IF(AND(P2307="TN",R2307="TN"),N2307+N(O2307),IF(G2307&amp;""="1",N(K2307)*N2307,(N2307+N(O2307))*N(K2307)))</f>
        <v/>
      </c>
      <c r="T2307" s="10">
        <f>IF(Q2307="","",Q2307-S2307)</f>
        <v/>
      </c>
    </row>
    <row r="2308">
      <c r="A2308" s="7">
        <f>CONCATENATE(C2308,E2308,F2308,I2308)</f>
        <v/>
      </c>
      <c r="B2308" s="7">
        <f>CONCATENATE(C2308,E2308,I2308)</f>
        <v/>
      </c>
      <c r="C2308" s="8" t="n">
        <v>900007320</v>
      </c>
      <c r="D2308" s="7">
        <f>IFERROR(VLOOKUP(C2308,TRAOPE!$G:$H,2,0),"")</f>
        <v/>
      </c>
      <c r="E2308" s="8" t="inlineStr">
        <is>
          <t>D836</t>
        </is>
      </c>
      <c r="F2308" s="8" t="inlineStr">
        <is>
          <t>65061687</t>
        </is>
      </c>
      <c r="G2308" s="8">
        <f>IFERROR(VLOOKUP(A2308,Flete!$A:$E,5,0),"")</f>
        <v/>
      </c>
      <c r="H2308" s="7">
        <f>IFERROR(VLOOKUP(F2308,TRAOPE!$AA:$AB,2,0),"")</f>
        <v/>
      </c>
      <c r="I2308" s="7" t="n">
        <v>10000357</v>
      </c>
      <c r="J2308" s="7">
        <f>IFERROR(VLOOKUP(I2308,Materiales!$A:$H,8,0),"")</f>
        <v/>
      </c>
      <c r="K2308" s="9">
        <f>IFERROR(VLOOKUP(I2308,Materiales!$A:$G,7,0),"")</f>
        <v/>
      </c>
      <c r="L2308" s="8" t="inlineStr">
        <is>
          <t>20240619</t>
        </is>
      </c>
      <c r="M2308" s="8" t="inlineStr">
        <is>
          <t>20251031</t>
        </is>
      </c>
      <c r="N2308" s="10" t="n">
        <v>110</v>
      </c>
      <c r="O2308" s="10">
        <f>IFERROR(VLOOKUP(A2308,Flete!$A:$J,10,0),"")</f>
        <v/>
      </c>
      <c r="P2308" s="8" t="inlineStr">
        <is>
          <t>M3</t>
        </is>
      </c>
      <c r="Q2308" s="10">
        <f>IFERROR(IFERROR(VLOOKUP(A2308,TRAOPE!$A:$U,21,0),VLOOKUP(B2308,TRAOPE!$A:$U,21,0)),"")</f>
        <v/>
      </c>
      <c r="R2308" s="8">
        <f>IFERROR(IFERROR(VLOOKUP(A2308,TRAOPE!$A:$W,23,0),VLOOKUP(B2308,TRAOPE!$A:$W,23,0)),"")</f>
        <v/>
      </c>
      <c r="S2308" s="10">
        <f>IF(AND(P2308="TN",R2308="TN"),N2308+N(O2308),IF(G2308&amp;""="1",N(K2308)*N2308,(N2308+N(O2308))*N(K2308)))</f>
        <v/>
      </c>
      <c r="T2308" s="10">
        <f>IF(Q2308="","",Q2308-S2308)</f>
        <v/>
      </c>
    </row>
    <row r="2309">
      <c r="A2309" s="7">
        <f>CONCATENATE(C2309,E2309,F2309,I2309)</f>
        <v/>
      </c>
      <c r="B2309" s="7">
        <f>CONCATENATE(C2309,E2309,I2309)</f>
        <v/>
      </c>
      <c r="C2309" s="8" t="n">
        <v>900007320</v>
      </c>
      <c r="D2309" s="7">
        <f>IFERROR(VLOOKUP(C2309,TRAOPE!$G:$H,2,0),"")</f>
        <v/>
      </c>
      <c r="E2309" s="8" t="inlineStr">
        <is>
          <t>D836</t>
        </is>
      </c>
      <c r="F2309" s="8" t="inlineStr">
        <is>
          <t>65061687</t>
        </is>
      </c>
      <c r="G2309" s="8">
        <f>IFERROR(VLOOKUP(A2309,Flete!$A:$E,5,0),"")</f>
        <v/>
      </c>
      <c r="H2309" s="7">
        <f>IFERROR(VLOOKUP(F2309,TRAOPE!$AA:$AB,2,0),"")</f>
        <v/>
      </c>
      <c r="I2309" s="7" t="n">
        <v>10218415</v>
      </c>
      <c r="J2309" s="7">
        <f>IFERROR(VLOOKUP(I2309,Materiales!$A:$H,8,0),"")</f>
        <v/>
      </c>
      <c r="K2309" s="9">
        <f>IFERROR(VLOOKUP(I2309,Materiales!$A:$G,7,0),"")</f>
        <v/>
      </c>
      <c r="L2309" s="8" t="inlineStr">
        <is>
          <t>20240619</t>
        </is>
      </c>
      <c r="M2309" s="8" t="inlineStr">
        <is>
          <t>20251031</t>
        </is>
      </c>
      <c r="N2309" s="10" t="n">
        <v>90</v>
      </c>
      <c r="O2309" s="10">
        <f>IFERROR(VLOOKUP(A2309,Flete!$A:$J,10,0),"")</f>
        <v/>
      </c>
      <c r="P2309" s="8" t="inlineStr">
        <is>
          <t>M3</t>
        </is>
      </c>
      <c r="Q2309" s="10">
        <f>IFERROR(IFERROR(VLOOKUP(A2309,TRAOPE!$A:$U,21,0),VLOOKUP(B2309,TRAOPE!$A:$U,21,0)),"")</f>
        <v/>
      </c>
      <c r="R2309" s="8">
        <f>IFERROR(IFERROR(VLOOKUP(A2309,TRAOPE!$A:$W,23,0),VLOOKUP(B2309,TRAOPE!$A:$W,23,0)),"")</f>
        <v/>
      </c>
      <c r="S2309" s="10">
        <f>IF(AND(P2309="TN",R2309="TN"),N2309+N(O2309),IF(G2309&amp;""="1",N(K2309)*N2309,(N2309+N(O2309))*N(K2309)))</f>
        <v/>
      </c>
      <c r="T2309" s="10">
        <f>IF(Q2309="","",Q2309-S2309)</f>
        <v/>
      </c>
    </row>
    <row r="2310">
      <c r="A2310" s="7">
        <f>CONCATENATE(C2310,E2310,F2310,I2310)</f>
        <v/>
      </c>
      <c r="B2310" s="7">
        <f>CONCATENATE(C2310,E2310,I2310)</f>
        <v/>
      </c>
      <c r="C2310" s="8" t="n">
        <v>900007320</v>
      </c>
      <c r="D2310" s="7">
        <f>IFERROR(VLOOKUP(C2310,TRAOPE!$G:$H,2,0),"")</f>
        <v/>
      </c>
      <c r="E2310" s="8" t="inlineStr">
        <is>
          <t>D836</t>
        </is>
      </c>
      <c r="F2310" s="8" t="inlineStr">
        <is>
          <t>65440384</t>
        </is>
      </c>
      <c r="G2310" s="8">
        <f>IFERROR(VLOOKUP(A2310,Flete!$A:$E,5,0),"")</f>
        <v/>
      </c>
      <c r="H2310" s="7">
        <f>IFERROR(VLOOKUP(F2310,TRAOPE!$AA:$AB,2,0),"")</f>
        <v/>
      </c>
      <c r="I2310" s="7" t="n">
        <v>10000160</v>
      </c>
      <c r="J2310" s="7">
        <f>IFERROR(VLOOKUP(I2310,Materiales!$A:$H,8,0),"")</f>
        <v/>
      </c>
      <c r="K2310" s="9">
        <f>IFERROR(VLOOKUP(I2310,Materiales!$A:$G,7,0),"")</f>
        <v/>
      </c>
      <c r="L2310" s="8" t="inlineStr">
        <is>
          <t>20240619</t>
        </is>
      </c>
      <c r="M2310" s="8" t="inlineStr">
        <is>
          <t>20251031</t>
        </is>
      </c>
      <c r="N2310" s="10" t="n">
        <v>112.51</v>
      </c>
      <c r="O2310" s="10">
        <f>IFERROR(VLOOKUP(A2310,Flete!$A:$J,10,0),"")</f>
        <v/>
      </c>
      <c r="P2310" s="8" t="inlineStr">
        <is>
          <t>M3</t>
        </is>
      </c>
      <c r="Q2310" s="10">
        <f>IFERROR(IFERROR(VLOOKUP(A2310,TRAOPE!$A:$U,21,0),VLOOKUP(B2310,TRAOPE!$A:$U,21,0)),"")</f>
        <v/>
      </c>
      <c r="R2310" s="8">
        <f>IFERROR(IFERROR(VLOOKUP(A2310,TRAOPE!$A:$W,23,0),VLOOKUP(B2310,TRAOPE!$A:$W,23,0)),"")</f>
        <v/>
      </c>
      <c r="S2310" s="10">
        <f>IF(AND(P2310="TN",R2310="TN"),N2310+N(O2310),IF(G2310&amp;""="1",N(K2310)*N2310,(N2310+N(O2310))*N(K2310)))</f>
        <v/>
      </c>
      <c r="T2310" s="10">
        <f>IF(Q2310="","",Q2310-S2310)</f>
        <v/>
      </c>
    </row>
    <row r="2311">
      <c r="A2311" s="7">
        <f>CONCATENATE(C2311,E2311,F2311,I2311)</f>
        <v/>
      </c>
      <c r="B2311" s="7">
        <f>CONCATENATE(C2311,E2311,I2311)</f>
        <v/>
      </c>
      <c r="C2311" s="8" t="n">
        <v>900007320</v>
      </c>
      <c r="D2311" s="7">
        <f>IFERROR(VLOOKUP(C2311,TRAOPE!$G:$H,2,0),"")</f>
        <v/>
      </c>
      <c r="E2311" s="8" t="inlineStr">
        <is>
          <t>D836</t>
        </is>
      </c>
      <c r="F2311" s="8" t="inlineStr">
        <is>
          <t>66230098</t>
        </is>
      </c>
      <c r="G2311" s="8">
        <f>IFERROR(VLOOKUP(A2311,Flete!$A:$E,5,0),"")</f>
        <v/>
      </c>
      <c r="H2311" s="7">
        <f>IFERROR(VLOOKUP(F2311,TRAOPE!$AA:$AB,2,0),"")</f>
        <v/>
      </c>
      <c r="I2311" s="7" t="n">
        <v>10000357</v>
      </c>
      <c r="J2311" s="7">
        <f>IFERROR(VLOOKUP(I2311,Materiales!$A:$H,8,0),"")</f>
        <v/>
      </c>
      <c r="K2311" s="9">
        <f>IFERROR(VLOOKUP(I2311,Materiales!$A:$G,7,0),"")</f>
        <v/>
      </c>
      <c r="L2311" s="8" t="inlineStr">
        <is>
          <t>20240619</t>
        </is>
      </c>
      <c r="M2311" s="8" t="inlineStr">
        <is>
          <t>20251031</t>
        </is>
      </c>
      <c r="N2311" s="10" t="n">
        <v>110</v>
      </c>
      <c r="O2311" s="10">
        <f>IFERROR(VLOOKUP(A2311,Flete!$A:$J,10,0),"")</f>
        <v/>
      </c>
      <c r="P2311" s="8" t="inlineStr">
        <is>
          <t>M3</t>
        </is>
      </c>
      <c r="Q2311" s="10">
        <f>IFERROR(IFERROR(VLOOKUP(A2311,TRAOPE!$A:$U,21,0),VLOOKUP(B2311,TRAOPE!$A:$U,21,0)),"")</f>
        <v/>
      </c>
      <c r="R2311" s="8">
        <f>IFERROR(IFERROR(VLOOKUP(A2311,TRAOPE!$A:$W,23,0),VLOOKUP(B2311,TRAOPE!$A:$W,23,0)),"")</f>
        <v/>
      </c>
      <c r="S2311" s="10">
        <f>IF(AND(P2311="TN",R2311="TN"),N2311+N(O2311),IF(G2311&amp;""="1",N(K2311)*N2311,(N2311+N(O2311))*N(K2311)))</f>
        <v/>
      </c>
      <c r="T2311" s="10">
        <f>IF(Q2311="","",Q2311-S2311)</f>
        <v/>
      </c>
    </row>
    <row r="2312">
      <c r="A2312" s="7">
        <f>CONCATENATE(C2312,E2312,F2312,I2312)</f>
        <v/>
      </c>
      <c r="B2312" s="7">
        <f>CONCATENATE(C2312,E2312,I2312)</f>
        <v/>
      </c>
      <c r="C2312" s="8" t="n">
        <v>900007320</v>
      </c>
      <c r="D2312" s="7">
        <f>IFERROR(VLOOKUP(C2312,TRAOPE!$G:$H,2,0),"")</f>
        <v/>
      </c>
      <c r="E2312" s="8" t="inlineStr">
        <is>
          <t>D836</t>
        </is>
      </c>
      <c r="F2312" s="8" t="inlineStr">
        <is>
          <t>66230098</t>
        </is>
      </c>
      <c r="G2312" s="8">
        <f>IFERROR(VLOOKUP(A2312,Flete!$A:$E,5,0),"")</f>
        <v/>
      </c>
      <c r="H2312" s="7">
        <f>IFERROR(VLOOKUP(F2312,TRAOPE!$AA:$AB,2,0),"")</f>
        <v/>
      </c>
      <c r="I2312" s="7" t="n">
        <v>10218415</v>
      </c>
      <c r="J2312" s="7">
        <f>IFERROR(VLOOKUP(I2312,Materiales!$A:$H,8,0),"")</f>
        <v/>
      </c>
      <c r="K2312" s="9">
        <f>IFERROR(VLOOKUP(I2312,Materiales!$A:$G,7,0),"")</f>
        <v/>
      </c>
      <c r="L2312" s="8" t="inlineStr">
        <is>
          <t>20240619</t>
        </is>
      </c>
      <c r="M2312" s="8" t="inlineStr">
        <is>
          <t>20251031</t>
        </is>
      </c>
      <c r="N2312" s="10" t="n">
        <v>90</v>
      </c>
      <c r="O2312" s="10">
        <f>IFERROR(VLOOKUP(A2312,Flete!$A:$J,10,0),"")</f>
        <v/>
      </c>
      <c r="P2312" s="8" t="inlineStr">
        <is>
          <t>M3</t>
        </is>
      </c>
      <c r="Q2312" s="10">
        <f>IFERROR(IFERROR(VLOOKUP(A2312,TRAOPE!$A:$U,21,0),VLOOKUP(B2312,TRAOPE!$A:$U,21,0)),"")</f>
        <v/>
      </c>
      <c r="R2312" s="8">
        <f>IFERROR(IFERROR(VLOOKUP(A2312,TRAOPE!$A:$W,23,0),VLOOKUP(B2312,TRAOPE!$A:$W,23,0)),"")</f>
        <v/>
      </c>
      <c r="S2312" s="10">
        <f>IF(AND(P2312="TN",R2312="TN"),N2312+N(O2312),IF(G2312&amp;""="1",N(K2312)*N2312,(N2312+N(O2312))*N(K2312)))</f>
        <v/>
      </c>
      <c r="T2312" s="10">
        <f>IF(Q2312="","",Q2312-S2312)</f>
        <v/>
      </c>
    </row>
    <row r="2313">
      <c r="A2313" s="7">
        <f>CONCATENATE(C2313,E2313,F2313,I2313)</f>
        <v/>
      </c>
      <c r="B2313" s="7">
        <f>CONCATENATE(C2313,E2313,I2313)</f>
        <v/>
      </c>
      <c r="C2313" s="8" t="n">
        <v>900007320</v>
      </c>
      <c r="D2313" s="7">
        <f>IFERROR(VLOOKUP(C2313,TRAOPE!$G:$H,2,0),"")</f>
        <v/>
      </c>
      <c r="E2313" s="8" t="inlineStr">
        <is>
          <t>D836</t>
        </is>
      </c>
      <c r="F2313" s="8" t="inlineStr">
        <is>
          <t>66450072</t>
        </is>
      </c>
      <c r="G2313" s="8">
        <f>IFERROR(VLOOKUP(A2313,Flete!$A:$E,5,0),"")</f>
        <v/>
      </c>
      <c r="H2313" s="7">
        <f>IFERROR(VLOOKUP(F2313,TRAOPE!$AA:$AB,2,0),"")</f>
        <v/>
      </c>
      <c r="I2313" s="7" t="n">
        <v>10000357</v>
      </c>
      <c r="J2313" s="7">
        <f>IFERROR(VLOOKUP(I2313,Materiales!$A:$H,8,0),"")</f>
        <v/>
      </c>
      <c r="K2313" s="9">
        <f>IFERROR(VLOOKUP(I2313,Materiales!$A:$G,7,0),"")</f>
        <v/>
      </c>
      <c r="L2313" s="8" t="inlineStr">
        <is>
          <t>20240619</t>
        </is>
      </c>
      <c r="M2313" s="8" t="inlineStr">
        <is>
          <t>20251031</t>
        </is>
      </c>
      <c r="N2313" s="10" t="n">
        <v>110</v>
      </c>
      <c r="O2313" s="10">
        <f>IFERROR(VLOOKUP(A2313,Flete!$A:$J,10,0),"")</f>
        <v/>
      </c>
      <c r="P2313" s="8" t="inlineStr">
        <is>
          <t>M3</t>
        </is>
      </c>
      <c r="Q2313" s="10">
        <f>IFERROR(IFERROR(VLOOKUP(A2313,TRAOPE!$A:$U,21,0),VLOOKUP(B2313,TRAOPE!$A:$U,21,0)),"")</f>
        <v/>
      </c>
      <c r="R2313" s="8">
        <f>IFERROR(IFERROR(VLOOKUP(A2313,TRAOPE!$A:$W,23,0),VLOOKUP(B2313,TRAOPE!$A:$W,23,0)),"")</f>
        <v/>
      </c>
      <c r="S2313" s="10">
        <f>IF(AND(P2313="TN",R2313="TN"),N2313+N(O2313),IF(G2313&amp;""="1",N(K2313)*N2313,(N2313+N(O2313))*N(K2313)))</f>
        <v/>
      </c>
      <c r="T2313" s="10">
        <f>IF(Q2313="","",Q2313-S2313)</f>
        <v/>
      </c>
    </row>
    <row r="2314">
      <c r="A2314" s="7">
        <f>CONCATENATE(C2314,E2314,F2314,I2314)</f>
        <v/>
      </c>
      <c r="B2314" s="7">
        <f>CONCATENATE(C2314,E2314,I2314)</f>
        <v/>
      </c>
      <c r="C2314" s="8" t="n">
        <v>900007320</v>
      </c>
      <c r="D2314" s="7">
        <f>IFERROR(VLOOKUP(C2314,TRAOPE!$G:$H,2,0),"")</f>
        <v/>
      </c>
      <c r="E2314" s="8" t="inlineStr">
        <is>
          <t>D836</t>
        </is>
      </c>
      <c r="F2314" s="8" t="inlineStr">
        <is>
          <t>66450072</t>
        </is>
      </c>
      <c r="G2314" s="8">
        <f>IFERROR(VLOOKUP(A2314,Flete!$A:$E,5,0),"")</f>
        <v/>
      </c>
      <c r="H2314" s="7">
        <f>IFERROR(VLOOKUP(F2314,TRAOPE!$AA:$AB,2,0),"")</f>
        <v/>
      </c>
      <c r="I2314" s="7" t="n">
        <v>10218415</v>
      </c>
      <c r="J2314" s="7">
        <f>IFERROR(VLOOKUP(I2314,Materiales!$A:$H,8,0),"")</f>
        <v/>
      </c>
      <c r="K2314" s="9">
        <f>IFERROR(VLOOKUP(I2314,Materiales!$A:$G,7,0),"")</f>
        <v/>
      </c>
      <c r="L2314" s="8" t="inlineStr">
        <is>
          <t>20240619</t>
        </is>
      </c>
      <c r="M2314" s="8" t="inlineStr">
        <is>
          <t>20251031</t>
        </is>
      </c>
      <c r="N2314" s="10" t="n">
        <v>90</v>
      </c>
      <c r="O2314" s="10">
        <f>IFERROR(VLOOKUP(A2314,Flete!$A:$J,10,0),"")</f>
        <v/>
      </c>
      <c r="P2314" s="8" t="inlineStr">
        <is>
          <t>M3</t>
        </is>
      </c>
      <c r="Q2314" s="10">
        <f>IFERROR(IFERROR(VLOOKUP(A2314,TRAOPE!$A:$U,21,0),VLOOKUP(B2314,TRAOPE!$A:$U,21,0)),"")</f>
        <v/>
      </c>
      <c r="R2314" s="8">
        <f>IFERROR(IFERROR(VLOOKUP(A2314,TRAOPE!$A:$W,23,0),VLOOKUP(B2314,TRAOPE!$A:$W,23,0)),"")</f>
        <v/>
      </c>
      <c r="S2314" s="10">
        <f>IF(AND(P2314="TN",R2314="TN"),N2314+N(O2314),IF(G2314&amp;""="1",N(K2314)*N2314,(N2314+N(O2314))*N(K2314)))</f>
        <v/>
      </c>
      <c r="T2314" s="10">
        <f>IF(Q2314="","",Q2314-S2314)</f>
        <v/>
      </c>
    </row>
    <row r="2315">
      <c r="A2315" s="7">
        <f>CONCATENATE(C2315,E2315,F2315,I2315)</f>
        <v/>
      </c>
      <c r="B2315" s="7">
        <f>CONCATENATE(C2315,E2315,I2315)</f>
        <v/>
      </c>
      <c r="C2315" s="8" t="n">
        <v>900007320</v>
      </c>
      <c r="D2315" s="7">
        <f>IFERROR(VLOOKUP(C2315,TRAOPE!$G:$H,2,0),"")</f>
        <v/>
      </c>
      <c r="E2315" s="8" t="inlineStr">
        <is>
          <t>D836</t>
        </is>
      </c>
      <c r="F2315" s="8" t="inlineStr">
        <is>
          <t>66779276</t>
        </is>
      </c>
      <c r="G2315" s="8">
        <f>IFERROR(VLOOKUP(A2315,Flete!$A:$E,5,0),"")</f>
        <v/>
      </c>
      <c r="H2315" s="7">
        <f>IFERROR(VLOOKUP(F2315,TRAOPE!$AA:$AB,2,0),"")</f>
        <v/>
      </c>
      <c r="I2315" s="7" t="n">
        <v>10000357</v>
      </c>
      <c r="J2315" s="7">
        <f>IFERROR(VLOOKUP(I2315,Materiales!$A:$H,8,0),"")</f>
        <v/>
      </c>
      <c r="K2315" s="9">
        <f>IFERROR(VLOOKUP(I2315,Materiales!$A:$G,7,0),"")</f>
        <v/>
      </c>
      <c r="L2315" s="8" t="inlineStr">
        <is>
          <t>20240619</t>
        </is>
      </c>
      <c r="M2315" s="8" t="inlineStr">
        <is>
          <t>20251031</t>
        </is>
      </c>
      <c r="N2315" s="10" t="n">
        <v>120</v>
      </c>
      <c r="O2315" s="10">
        <f>IFERROR(VLOOKUP(A2315,Flete!$A:$J,10,0),"")</f>
        <v/>
      </c>
      <c r="P2315" s="8" t="inlineStr">
        <is>
          <t>M3</t>
        </is>
      </c>
      <c r="Q2315" s="10">
        <f>IFERROR(IFERROR(VLOOKUP(A2315,TRAOPE!$A:$U,21,0),VLOOKUP(B2315,TRAOPE!$A:$U,21,0)),"")</f>
        <v/>
      </c>
      <c r="R2315" s="8">
        <f>IFERROR(IFERROR(VLOOKUP(A2315,TRAOPE!$A:$W,23,0),VLOOKUP(B2315,TRAOPE!$A:$W,23,0)),"")</f>
        <v/>
      </c>
      <c r="S2315" s="10">
        <f>IF(AND(P2315="TN",R2315="TN"),N2315+N(O2315),IF(G2315&amp;""="1",N(K2315)*N2315,(N2315+N(O2315))*N(K2315)))</f>
        <v/>
      </c>
      <c r="T2315" s="10">
        <f>IF(Q2315="","",Q2315-S2315)</f>
        <v/>
      </c>
    </row>
    <row r="2316">
      <c r="A2316" s="7">
        <f>CONCATENATE(C2316,E2316,F2316,I2316)</f>
        <v/>
      </c>
      <c r="B2316" s="7">
        <f>CONCATENATE(C2316,E2316,I2316)</f>
        <v/>
      </c>
      <c r="C2316" s="8" t="n">
        <v>900007320</v>
      </c>
      <c r="D2316" s="7">
        <f>IFERROR(VLOOKUP(C2316,TRAOPE!$G:$H,2,0),"")</f>
        <v/>
      </c>
      <c r="E2316" s="8" t="inlineStr">
        <is>
          <t>D836</t>
        </is>
      </c>
      <c r="F2316" s="8" t="inlineStr">
        <is>
          <t>66779276</t>
        </is>
      </c>
      <c r="G2316" s="8">
        <f>IFERROR(VLOOKUP(A2316,Flete!$A:$E,5,0),"")</f>
        <v/>
      </c>
      <c r="H2316" s="7">
        <f>IFERROR(VLOOKUP(F2316,TRAOPE!$AA:$AB,2,0),"")</f>
        <v/>
      </c>
      <c r="I2316" s="7" t="n">
        <v>10000627</v>
      </c>
      <c r="J2316" s="7">
        <f>IFERROR(VLOOKUP(I2316,Materiales!$A:$H,8,0),"")</f>
        <v/>
      </c>
      <c r="K2316" s="9">
        <f>IFERROR(VLOOKUP(I2316,Materiales!$A:$G,7,0),"")</f>
        <v/>
      </c>
      <c r="L2316" s="8" t="inlineStr">
        <is>
          <t>20240619</t>
        </is>
      </c>
      <c r="M2316" s="8" t="inlineStr">
        <is>
          <t>20251031</t>
        </is>
      </c>
      <c r="N2316" s="10" t="n">
        <v>90</v>
      </c>
      <c r="O2316" s="10">
        <f>IFERROR(VLOOKUP(A2316,Flete!$A:$J,10,0),"")</f>
        <v/>
      </c>
      <c r="P2316" s="8" t="inlineStr">
        <is>
          <t>M3</t>
        </is>
      </c>
      <c r="Q2316" s="10">
        <f>IFERROR(IFERROR(VLOOKUP(A2316,TRAOPE!$A:$U,21,0),VLOOKUP(B2316,TRAOPE!$A:$U,21,0)),"")</f>
        <v/>
      </c>
      <c r="R2316" s="8">
        <f>IFERROR(IFERROR(VLOOKUP(A2316,TRAOPE!$A:$W,23,0),VLOOKUP(B2316,TRAOPE!$A:$W,23,0)),"")</f>
        <v/>
      </c>
      <c r="S2316" s="10">
        <f>IF(AND(P2316="TN",R2316="TN"),N2316+N(O2316),IF(G2316&amp;""="1",N(K2316)*N2316,(N2316+N(O2316))*N(K2316)))</f>
        <v/>
      </c>
      <c r="T2316" s="10">
        <f>IF(Q2316="","",Q2316-S2316)</f>
        <v/>
      </c>
    </row>
    <row r="2317">
      <c r="A2317" s="7">
        <f>CONCATENATE(C2317,E2317,F2317,I2317)</f>
        <v/>
      </c>
      <c r="B2317" s="7">
        <f>CONCATENATE(C2317,E2317,I2317)</f>
        <v/>
      </c>
      <c r="C2317" s="8" t="n">
        <v>900007320</v>
      </c>
      <c r="D2317" s="7">
        <f>IFERROR(VLOOKUP(C2317,TRAOPE!$G:$H,2,0),"")</f>
        <v/>
      </c>
      <c r="E2317" s="8" t="inlineStr">
        <is>
          <t>D836</t>
        </is>
      </c>
      <c r="F2317" s="8" t="inlineStr">
        <is>
          <t>67143690</t>
        </is>
      </c>
      <c r="G2317" s="8">
        <f>IFERROR(VLOOKUP(A2317,Flete!$A:$E,5,0),"")</f>
        <v/>
      </c>
      <c r="H2317" s="7">
        <f>IFERROR(VLOOKUP(F2317,TRAOPE!$AA:$AB,2,0),"")</f>
        <v/>
      </c>
      <c r="I2317" s="7" t="n">
        <v>10000357</v>
      </c>
      <c r="J2317" s="7">
        <f>IFERROR(VLOOKUP(I2317,Materiales!$A:$H,8,0),"")</f>
        <v/>
      </c>
      <c r="K2317" s="9">
        <f>IFERROR(VLOOKUP(I2317,Materiales!$A:$G,7,0),"")</f>
        <v/>
      </c>
      <c r="L2317" s="8" t="inlineStr">
        <is>
          <t>20240619</t>
        </is>
      </c>
      <c r="M2317" s="8" t="inlineStr">
        <is>
          <t>20251031</t>
        </is>
      </c>
      <c r="N2317" s="10" t="n">
        <v>113</v>
      </c>
      <c r="O2317" s="10">
        <f>IFERROR(VLOOKUP(A2317,Flete!$A:$J,10,0),"")</f>
        <v/>
      </c>
      <c r="P2317" s="8" t="inlineStr">
        <is>
          <t>M3</t>
        </is>
      </c>
      <c r="Q2317" s="10">
        <f>IFERROR(IFERROR(VLOOKUP(A2317,TRAOPE!$A:$U,21,0),VLOOKUP(B2317,TRAOPE!$A:$U,21,0)),"")</f>
        <v/>
      </c>
      <c r="R2317" s="8">
        <f>IFERROR(IFERROR(VLOOKUP(A2317,TRAOPE!$A:$W,23,0),VLOOKUP(B2317,TRAOPE!$A:$W,23,0)),"")</f>
        <v/>
      </c>
      <c r="S2317" s="10">
        <f>IF(AND(P2317="TN",R2317="TN"),N2317+N(O2317),IF(G2317&amp;""="1",N(K2317)*N2317,(N2317+N(O2317))*N(K2317)))</f>
        <v/>
      </c>
      <c r="T2317" s="10">
        <f>IF(Q2317="","",Q2317-S2317)</f>
        <v/>
      </c>
    </row>
    <row r="2318">
      <c r="A2318" s="7">
        <f>CONCATENATE(C2318,E2318,F2318,I2318)</f>
        <v/>
      </c>
      <c r="B2318" s="7">
        <f>CONCATENATE(C2318,E2318,I2318)</f>
        <v/>
      </c>
      <c r="C2318" s="8" t="n">
        <v>900007321</v>
      </c>
      <c r="D2318" s="7">
        <f>IFERROR(VLOOKUP(C2318,TRAOPE!$G:$H,2,0),"")</f>
        <v/>
      </c>
      <c r="E2318" s="8" t="inlineStr">
        <is>
          <t>D836</t>
        </is>
      </c>
      <c r="F2318" s="8" t="inlineStr">
        <is>
          <t>66779276</t>
        </is>
      </c>
      <c r="G2318" s="8">
        <f>IFERROR(VLOOKUP(A2318,Flete!$A:$E,5,0),"")</f>
        <v/>
      </c>
      <c r="H2318" s="7">
        <f>IFERROR(VLOOKUP(F2318,TRAOPE!$AA:$AB,2,0),"")</f>
        <v/>
      </c>
      <c r="I2318" s="7" t="n">
        <v>10000357</v>
      </c>
      <c r="J2318" s="7">
        <f>IFERROR(VLOOKUP(I2318,Materiales!$A:$H,8,0),"")</f>
        <v/>
      </c>
      <c r="K2318" s="9">
        <f>IFERROR(VLOOKUP(I2318,Materiales!$A:$G,7,0),"")</f>
        <v/>
      </c>
      <c r="L2318" s="8" t="inlineStr">
        <is>
          <t>20240619</t>
        </is>
      </c>
      <c r="M2318" s="8" t="inlineStr">
        <is>
          <t>20251031</t>
        </is>
      </c>
      <c r="N2318" s="10" t="n">
        <v>134.43</v>
      </c>
      <c r="O2318" s="10">
        <f>IFERROR(VLOOKUP(A2318,Flete!$A:$J,10,0),"")</f>
        <v/>
      </c>
      <c r="P2318" s="8" t="inlineStr">
        <is>
          <t>M3</t>
        </is>
      </c>
      <c r="Q2318" s="10">
        <f>IFERROR(IFERROR(VLOOKUP(A2318,TRAOPE!$A:$U,21,0),VLOOKUP(B2318,TRAOPE!$A:$U,21,0)),"")</f>
        <v/>
      </c>
      <c r="R2318" s="8">
        <f>IFERROR(IFERROR(VLOOKUP(A2318,TRAOPE!$A:$W,23,0),VLOOKUP(B2318,TRAOPE!$A:$W,23,0)),"")</f>
        <v/>
      </c>
      <c r="S2318" s="10">
        <f>IF(AND(P2318="TN",R2318="TN"),N2318+N(O2318),IF(G2318&amp;""="1",N(K2318)*N2318,(N2318+N(O2318))*N(K2318)))</f>
        <v/>
      </c>
      <c r="T2318" s="10">
        <f>IF(Q2318="","",Q2318-S2318)</f>
        <v/>
      </c>
    </row>
    <row r="2319">
      <c r="A2319" s="7">
        <f>CONCATENATE(C2319,E2319,F2319,I2319)</f>
        <v/>
      </c>
      <c r="B2319" s="7">
        <f>CONCATENATE(C2319,E2319,I2319)</f>
        <v/>
      </c>
      <c r="C2319" s="8" t="n">
        <v>900007321</v>
      </c>
      <c r="D2319" s="7">
        <f>IFERROR(VLOOKUP(C2319,TRAOPE!$G:$H,2,0),"")</f>
        <v/>
      </c>
      <c r="E2319" s="8" t="inlineStr">
        <is>
          <t>D836</t>
        </is>
      </c>
      <c r="F2319" s="8" t="inlineStr">
        <is>
          <t>66779276</t>
        </is>
      </c>
      <c r="G2319" s="8">
        <f>IFERROR(VLOOKUP(A2319,Flete!$A:$E,5,0),"")</f>
        <v/>
      </c>
      <c r="H2319" s="7">
        <f>IFERROR(VLOOKUP(F2319,TRAOPE!$AA:$AB,2,0),"")</f>
        <v/>
      </c>
      <c r="I2319" s="7" t="n">
        <v>10000627</v>
      </c>
      <c r="J2319" s="7">
        <f>IFERROR(VLOOKUP(I2319,Materiales!$A:$H,8,0),"")</f>
        <v/>
      </c>
      <c r="K2319" s="9">
        <f>IFERROR(VLOOKUP(I2319,Materiales!$A:$G,7,0),"")</f>
        <v/>
      </c>
      <c r="L2319" s="8" t="inlineStr">
        <is>
          <t>20240619</t>
        </is>
      </c>
      <c r="M2319" s="8" t="inlineStr">
        <is>
          <t>20251031</t>
        </is>
      </c>
      <c r="N2319" s="10" t="n">
        <v>100.13</v>
      </c>
      <c r="O2319" s="10">
        <f>IFERROR(VLOOKUP(A2319,Flete!$A:$J,10,0),"")</f>
        <v/>
      </c>
      <c r="P2319" s="8" t="inlineStr">
        <is>
          <t>M3</t>
        </is>
      </c>
      <c r="Q2319" s="10">
        <f>IFERROR(IFERROR(VLOOKUP(A2319,TRAOPE!$A:$U,21,0),VLOOKUP(B2319,TRAOPE!$A:$U,21,0)),"")</f>
        <v/>
      </c>
      <c r="R2319" s="8">
        <f>IFERROR(IFERROR(VLOOKUP(A2319,TRAOPE!$A:$W,23,0),VLOOKUP(B2319,TRAOPE!$A:$W,23,0)),"")</f>
        <v/>
      </c>
      <c r="S2319" s="10">
        <f>IF(AND(P2319="TN",R2319="TN"),N2319+N(O2319),IF(G2319&amp;""="1",N(K2319)*N2319,(N2319+N(O2319))*N(K2319)))</f>
        <v/>
      </c>
      <c r="T2319" s="10">
        <f>IF(Q2319="","",Q2319-S2319)</f>
        <v/>
      </c>
    </row>
    <row r="2320">
      <c r="A2320" s="7">
        <f>CONCATENATE(C2320,E2320,F2320,I2320)</f>
        <v/>
      </c>
      <c r="B2320" s="7">
        <f>CONCATENATE(C2320,E2320,I2320)</f>
        <v/>
      </c>
      <c r="C2320" s="8" t="n">
        <v>900008571</v>
      </c>
      <c r="D2320" s="7">
        <f>IFERROR(VLOOKUP(C2320,TRAOPE!$G:$H,2,0),"")</f>
        <v/>
      </c>
      <c r="E2320" s="8" t="inlineStr">
        <is>
          <t>D836</t>
        </is>
      </c>
      <c r="F2320" s="8" t="inlineStr">
        <is>
          <t>65387641</t>
        </is>
      </c>
      <c r="G2320" s="8">
        <f>IFERROR(VLOOKUP(A2320,Flete!$A:$E,5,0),"")</f>
        <v/>
      </c>
      <c r="H2320" s="7">
        <f>IFERROR(VLOOKUP(F2320,TRAOPE!$AA:$AB,2,0),"")</f>
        <v/>
      </c>
      <c r="I2320" s="7" t="n">
        <v>10002802</v>
      </c>
      <c r="J2320" s="7">
        <f>IFERROR(VLOOKUP(I2320,Materiales!$A:$H,8,0),"")</f>
        <v/>
      </c>
      <c r="K2320" s="9">
        <f>IFERROR(VLOOKUP(I2320,Materiales!$A:$G,7,0),"")</f>
        <v/>
      </c>
      <c r="L2320" s="8" t="inlineStr">
        <is>
          <t>20240619</t>
        </is>
      </c>
      <c r="M2320" s="8" t="inlineStr">
        <is>
          <t>20251031</t>
        </is>
      </c>
      <c r="N2320" s="10" t="n">
        <v>145</v>
      </c>
      <c r="O2320" s="10">
        <f>IFERROR(VLOOKUP(A2320,Flete!$A:$J,10,0),"")</f>
        <v/>
      </c>
      <c r="P2320" s="8" t="inlineStr">
        <is>
          <t>M3</t>
        </is>
      </c>
      <c r="Q2320" s="10">
        <f>IFERROR(IFERROR(VLOOKUP(A2320,TRAOPE!$A:$U,21,0),VLOOKUP(B2320,TRAOPE!$A:$U,21,0)),"")</f>
        <v/>
      </c>
      <c r="R2320" s="8">
        <f>IFERROR(IFERROR(VLOOKUP(A2320,TRAOPE!$A:$W,23,0),VLOOKUP(B2320,TRAOPE!$A:$W,23,0)),"")</f>
        <v/>
      </c>
      <c r="S2320" s="10">
        <f>IF(AND(P2320="TN",R2320="TN"),N2320+N(O2320),IF(G2320&amp;""="1",N(K2320)*N2320,(N2320+N(O2320))*N(K2320)))</f>
        <v/>
      </c>
      <c r="T2320" s="10">
        <f>IF(Q2320="","",Q2320-S2320)</f>
        <v/>
      </c>
    </row>
    <row r="2321">
      <c r="A2321" s="7">
        <f>CONCATENATE(C2321,E2321,F2321,I2321)</f>
        <v/>
      </c>
      <c r="B2321" s="7">
        <f>CONCATENATE(C2321,E2321,I2321)</f>
        <v/>
      </c>
      <c r="C2321" s="8" t="n">
        <v>900008571</v>
      </c>
      <c r="D2321" s="7">
        <f>IFERROR(VLOOKUP(C2321,TRAOPE!$G:$H,2,0),"")</f>
        <v/>
      </c>
      <c r="E2321" s="8" t="inlineStr">
        <is>
          <t>D836</t>
        </is>
      </c>
      <c r="F2321" s="8" t="inlineStr">
        <is>
          <t>67279603</t>
        </is>
      </c>
      <c r="G2321" s="8">
        <f>IFERROR(VLOOKUP(A2321,Flete!$A:$E,5,0),"")</f>
        <v/>
      </c>
      <c r="H2321" s="7">
        <f>IFERROR(VLOOKUP(F2321,TRAOPE!$AA:$AB,2,0),"")</f>
        <v/>
      </c>
      <c r="I2321" s="7" t="n">
        <v>10002802</v>
      </c>
      <c r="J2321" s="7">
        <f>IFERROR(VLOOKUP(I2321,Materiales!$A:$H,8,0),"")</f>
        <v/>
      </c>
      <c r="K2321" s="9">
        <f>IFERROR(VLOOKUP(I2321,Materiales!$A:$G,7,0),"")</f>
        <v/>
      </c>
      <c r="L2321" s="8" t="inlineStr">
        <is>
          <t>20240619</t>
        </is>
      </c>
      <c r="M2321" s="8" t="inlineStr">
        <is>
          <t>20251031</t>
        </is>
      </c>
      <c r="N2321" s="10" t="n">
        <v>145</v>
      </c>
      <c r="O2321" s="10">
        <f>IFERROR(VLOOKUP(A2321,Flete!$A:$J,10,0),"")</f>
        <v/>
      </c>
      <c r="P2321" s="8" t="inlineStr">
        <is>
          <t>M3</t>
        </is>
      </c>
      <c r="Q2321" s="10">
        <f>IFERROR(IFERROR(VLOOKUP(A2321,TRAOPE!$A:$U,21,0),VLOOKUP(B2321,TRAOPE!$A:$U,21,0)),"")</f>
        <v/>
      </c>
      <c r="R2321" s="8">
        <f>IFERROR(IFERROR(VLOOKUP(A2321,TRAOPE!$A:$W,23,0),VLOOKUP(B2321,TRAOPE!$A:$W,23,0)),"")</f>
        <v/>
      </c>
      <c r="S2321" s="10">
        <f>IF(AND(P2321="TN",R2321="TN"),N2321+N(O2321),IF(G2321&amp;""="1",N(K2321)*N2321,(N2321+N(O2321))*N(K2321)))</f>
        <v/>
      </c>
      <c r="T2321" s="10">
        <f>IF(Q2321="","",Q2321-S2321)</f>
        <v/>
      </c>
    </row>
    <row r="2322">
      <c r="A2322" s="7">
        <f>CONCATENATE(C2322,E2322,F2322,I2322)</f>
        <v/>
      </c>
      <c r="B2322" s="7">
        <f>CONCATENATE(C2322,E2322,I2322)</f>
        <v/>
      </c>
      <c r="C2322" s="8" t="n">
        <v>900008845</v>
      </c>
      <c r="D2322" s="7">
        <f>IFERROR(VLOOKUP(C2322,TRAOPE!$G:$H,2,0),"")</f>
        <v/>
      </c>
      <c r="E2322" s="8" t="inlineStr">
        <is>
          <t>D836</t>
        </is>
      </c>
      <c r="F2322" s="8" t="inlineStr">
        <is>
          <t>65006301</t>
        </is>
      </c>
      <c r="G2322" s="8">
        <f>IFERROR(VLOOKUP(A2322,Flete!$A:$E,5,0),"")</f>
        <v/>
      </c>
      <c r="H2322" s="7">
        <f>IFERROR(VLOOKUP(F2322,TRAOPE!$AA:$AB,2,0),"")</f>
        <v/>
      </c>
      <c r="I2322" s="7" t="n">
        <v>10227598</v>
      </c>
      <c r="J2322" s="7">
        <f>IFERROR(VLOOKUP(I2322,Materiales!$A:$H,8,0),"")</f>
        <v/>
      </c>
      <c r="K2322" s="9">
        <f>IFERROR(VLOOKUP(I2322,Materiales!$A:$G,7,0),"")</f>
        <v/>
      </c>
      <c r="L2322" s="8" t="inlineStr">
        <is>
          <t>20240619</t>
        </is>
      </c>
      <c r="M2322" s="8" t="inlineStr">
        <is>
          <t>20251031</t>
        </is>
      </c>
      <c r="N2322" s="10" t="n">
        <v>78</v>
      </c>
      <c r="O2322" s="10">
        <f>IFERROR(VLOOKUP(A2322,Flete!$A:$J,10,0),"")</f>
        <v/>
      </c>
      <c r="P2322" s="8" t="inlineStr">
        <is>
          <t>M3</t>
        </is>
      </c>
      <c r="Q2322" s="10">
        <f>IFERROR(IFERROR(VLOOKUP(A2322,TRAOPE!$A:$U,21,0),VLOOKUP(B2322,TRAOPE!$A:$U,21,0)),"")</f>
        <v/>
      </c>
      <c r="R2322" s="8">
        <f>IFERROR(IFERROR(VLOOKUP(A2322,TRAOPE!$A:$W,23,0),VLOOKUP(B2322,TRAOPE!$A:$W,23,0)),"")</f>
        <v/>
      </c>
      <c r="S2322" s="10">
        <f>IF(AND(P2322="TN",R2322="TN"),N2322+N(O2322),IF(G2322&amp;""="1",N(K2322)*N2322,(N2322+N(O2322))*N(K2322)))</f>
        <v/>
      </c>
      <c r="T2322" s="10">
        <f>IF(Q2322="","",Q2322-S2322)</f>
        <v/>
      </c>
    </row>
    <row r="2323">
      <c r="A2323" s="7">
        <f>CONCATENATE(C2323,E2323,F2323,I2323)</f>
        <v/>
      </c>
      <c r="B2323" s="7">
        <f>CONCATENATE(C2323,E2323,I2323)</f>
        <v/>
      </c>
      <c r="C2323" s="8" t="n">
        <v>900008845</v>
      </c>
      <c r="D2323" s="7">
        <f>IFERROR(VLOOKUP(C2323,TRAOPE!$G:$H,2,0),"")</f>
        <v/>
      </c>
      <c r="E2323" s="8" t="inlineStr">
        <is>
          <t>D836</t>
        </is>
      </c>
      <c r="F2323" s="8" t="inlineStr">
        <is>
          <t>66878462</t>
        </is>
      </c>
      <c r="G2323" s="8">
        <f>IFERROR(VLOOKUP(A2323,Flete!$A:$E,5,0),"")</f>
        <v/>
      </c>
      <c r="H2323" s="7">
        <f>IFERROR(VLOOKUP(F2323,TRAOPE!$AA:$AB,2,0),"")</f>
        <v/>
      </c>
      <c r="I2323" s="7" t="n">
        <v>10227598</v>
      </c>
      <c r="J2323" s="7">
        <f>IFERROR(VLOOKUP(I2323,Materiales!$A:$H,8,0),"")</f>
        <v/>
      </c>
      <c r="K2323" s="9">
        <f>IFERROR(VLOOKUP(I2323,Materiales!$A:$G,7,0),"")</f>
        <v/>
      </c>
      <c r="L2323" s="8" t="inlineStr">
        <is>
          <t>20240619</t>
        </is>
      </c>
      <c r="M2323" s="8" t="inlineStr">
        <is>
          <t>20251031</t>
        </is>
      </c>
      <c r="N2323" s="10" t="n">
        <v>78</v>
      </c>
      <c r="O2323" s="10">
        <f>IFERROR(VLOOKUP(A2323,Flete!$A:$J,10,0),"")</f>
        <v/>
      </c>
      <c r="P2323" s="8" t="inlineStr">
        <is>
          <t>M3</t>
        </is>
      </c>
      <c r="Q2323" s="10">
        <f>IFERROR(IFERROR(VLOOKUP(A2323,TRAOPE!$A:$U,21,0),VLOOKUP(B2323,TRAOPE!$A:$U,21,0)),"")</f>
        <v/>
      </c>
      <c r="R2323" s="8">
        <f>IFERROR(IFERROR(VLOOKUP(A2323,TRAOPE!$A:$W,23,0),VLOOKUP(B2323,TRAOPE!$A:$W,23,0)),"")</f>
        <v/>
      </c>
      <c r="S2323" s="10">
        <f>IF(AND(P2323="TN",R2323="TN"),N2323+N(O2323),IF(G2323&amp;""="1",N(K2323)*N2323,(N2323+N(O2323))*N(K2323)))</f>
        <v/>
      </c>
      <c r="T2323" s="10">
        <f>IF(Q2323="","",Q2323-S2323)</f>
        <v/>
      </c>
    </row>
    <row r="2324">
      <c r="A2324" s="7">
        <f>CONCATENATE(C2324,E2324,F2324,I2324)</f>
        <v/>
      </c>
      <c r="B2324" s="7">
        <f>CONCATENATE(C2324,E2324,I2324)</f>
        <v/>
      </c>
      <c r="C2324" s="8" t="n">
        <v>900008845</v>
      </c>
      <c r="D2324" s="7">
        <f>IFERROR(VLOOKUP(C2324,TRAOPE!$G:$H,2,0),"")</f>
        <v/>
      </c>
      <c r="E2324" s="8" t="inlineStr">
        <is>
          <t>D836</t>
        </is>
      </c>
      <c r="F2324" s="8" t="inlineStr">
        <is>
          <t>67015877</t>
        </is>
      </c>
      <c r="G2324" s="8">
        <f>IFERROR(VLOOKUP(A2324,Flete!$A:$E,5,0),"")</f>
        <v/>
      </c>
      <c r="H2324" s="7">
        <f>IFERROR(VLOOKUP(F2324,TRAOPE!$AA:$AB,2,0),"")</f>
        <v/>
      </c>
      <c r="I2324" s="7" t="n">
        <v>10227598</v>
      </c>
      <c r="J2324" s="7">
        <f>IFERROR(VLOOKUP(I2324,Materiales!$A:$H,8,0),"")</f>
        <v/>
      </c>
      <c r="K2324" s="9">
        <f>IFERROR(VLOOKUP(I2324,Materiales!$A:$G,7,0),"")</f>
        <v/>
      </c>
      <c r="L2324" s="8" t="inlineStr">
        <is>
          <t>20240619</t>
        </is>
      </c>
      <c r="M2324" s="8" t="inlineStr">
        <is>
          <t>20251031</t>
        </is>
      </c>
      <c r="N2324" s="10" t="n">
        <v>78</v>
      </c>
      <c r="O2324" s="10">
        <f>IFERROR(VLOOKUP(A2324,Flete!$A:$J,10,0),"")</f>
        <v/>
      </c>
      <c r="P2324" s="8" t="inlineStr">
        <is>
          <t>M3</t>
        </is>
      </c>
      <c r="Q2324" s="10">
        <f>IFERROR(IFERROR(VLOOKUP(A2324,TRAOPE!$A:$U,21,0),VLOOKUP(B2324,TRAOPE!$A:$U,21,0)),"")</f>
        <v/>
      </c>
      <c r="R2324" s="8">
        <f>IFERROR(IFERROR(VLOOKUP(A2324,TRAOPE!$A:$W,23,0),VLOOKUP(B2324,TRAOPE!$A:$W,23,0)),"")</f>
        <v/>
      </c>
      <c r="S2324" s="10">
        <f>IF(AND(P2324="TN",R2324="TN"),N2324+N(O2324),IF(G2324&amp;""="1",N(K2324)*N2324,(N2324+N(O2324))*N(K2324)))</f>
        <v/>
      </c>
      <c r="T2324" s="10">
        <f>IF(Q2324="","",Q2324-S2324)</f>
        <v/>
      </c>
    </row>
    <row r="2325">
      <c r="A2325" s="7">
        <f>CONCATENATE(C2325,E2325,F2325,I2325)</f>
        <v/>
      </c>
      <c r="B2325" s="7">
        <f>CONCATENATE(C2325,E2325,I2325)</f>
        <v/>
      </c>
      <c r="C2325" s="8" t="n">
        <v>900008845</v>
      </c>
      <c r="D2325" s="7">
        <f>IFERROR(VLOOKUP(C2325,TRAOPE!$G:$H,2,0),"")</f>
        <v/>
      </c>
      <c r="E2325" s="8" t="inlineStr">
        <is>
          <t>D836</t>
        </is>
      </c>
      <c r="F2325" s="8" t="inlineStr">
        <is>
          <t>67132343</t>
        </is>
      </c>
      <c r="G2325" s="8">
        <f>IFERROR(VLOOKUP(A2325,Flete!$A:$E,5,0),"")</f>
        <v/>
      </c>
      <c r="H2325" s="7">
        <f>IFERROR(VLOOKUP(F2325,TRAOPE!$AA:$AB,2,0),"")</f>
        <v/>
      </c>
      <c r="I2325" s="7" t="n">
        <v>10227598</v>
      </c>
      <c r="J2325" s="7">
        <f>IFERROR(VLOOKUP(I2325,Materiales!$A:$H,8,0),"")</f>
        <v/>
      </c>
      <c r="K2325" s="9">
        <f>IFERROR(VLOOKUP(I2325,Materiales!$A:$G,7,0),"")</f>
        <v/>
      </c>
      <c r="L2325" s="8" t="inlineStr">
        <is>
          <t>20240619</t>
        </is>
      </c>
      <c r="M2325" s="8" t="inlineStr">
        <is>
          <t>20251031</t>
        </is>
      </c>
      <c r="N2325" s="10" t="n">
        <v>80</v>
      </c>
      <c r="O2325" s="10">
        <f>IFERROR(VLOOKUP(A2325,Flete!$A:$J,10,0),"")</f>
        <v/>
      </c>
      <c r="P2325" s="8" t="inlineStr">
        <is>
          <t>M3</t>
        </is>
      </c>
      <c r="Q2325" s="10">
        <f>IFERROR(IFERROR(VLOOKUP(A2325,TRAOPE!$A:$U,21,0),VLOOKUP(B2325,TRAOPE!$A:$U,21,0)),"")</f>
        <v/>
      </c>
      <c r="R2325" s="8">
        <f>IFERROR(IFERROR(VLOOKUP(A2325,TRAOPE!$A:$W,23,0),VLOOKUP(B2325,TRAOPE!$A:$W,23,0)),"")</f>
        <v/>
      </c>
      <c r="S2325" s="10">
        <f>IF(AND(P2325="TN",R2325="TN"),N2325+N(O2325),IF(G2325&amp;""="1",N(K2325)*N2325,(N2325+N(O2325))*N(K2325)))</f>
        <v/>
      </c>
      <c r="T2325" s="10">
        <f>IF(Q2325="","",Q2325-S2325)</f>
        <v/>
      </c>
    </row>
    <row r="2326">
      <c r="A2326" s="7">
        <f>CONCATENATE(C2326,E2326,F2326,I2326)</f>
        <v/>
      </c>
      <c r="B2326" s="7">
        <f>CONCATENATE(C2326,E2326,I2326)</f>
        <v/>
      </c>
      <c r="C2326" s="8" t="n">
        <v>900008845</v>
      </c>
      <c r="D2326" s="7">
        <f>IFERROR(VLOOKUP(C2326,TRAOPE!$G:$H,2,0),"")</f>
        <v/>
      </c>
      <c r="E2326" s="8" t="inlineStr">
        <is>
          <t>D836</t>
        </is>
      </c>
      <c r="F2326" s="8" t="inlineStr">
        <is>
          <t>67239472</t>
        </is>
      </c>
      <c r="G2326" s="8">
        <f>IFERROR(VLOOKUP(A2326,Flete!$A:$E,5,0),"")</f>
        <v/>
      </c>
      <c r="H2326" s="7">
        <f>IFERROR(VLOOKUP(F2326,TRAOPE!$AA:$AB,2,0),"")</f>
        <v/>
      </c>
      <c r="I2326" s="7" t="n">
        <v>10227598</v>
      </c>
      <c r="J2326" s="7">
        <f>IFERROR(VLOOKUP(I2326,Materiales!$A:$H,8,0),"")</f>
        <v/>
      </c>
      <c r="K2326" s="9">
        <f>IFERROR(VLOOKUP(I2326,Materiales!$A:$G,7,0),"")</f>
        <v/>
      </c>
      <c r="L2326" s="8" t="inlineStr">
        <is>
          <t>20240619</t>
        </is>
      </c>
      <c r="M2326" s="8" t="inlineStr">
        <is>
          <t>20251031</t>
        </is>
      </c>
      <c r="N2326" s="10" t="n">
        <v>78</v>
      </c>
      <c r="O2326" s="10">
        <f>IFERROR(VLOOKUP(A2326,Flete!$A:$J,10,0),"")</f>
        <v/>
      </c>
      <c r="P2326" s="8" t="inlineStr">
        <is>
          <t>M3</t>
        </is>
      </c>
      <c r="Q2326" s="10">
        <f>IFERROR(IFERROR(VLOOKUP(A2326,TRAOPE!$A:$U,21,0),VLOOKUP(B2326,TRAOPE!$A:$U,21,0)),"")</f>
        <v/>
      </c>
      <c r="R2326" s="8">
        <f>IFERROR(IFERROR(VLOOKUP(A2326,TRAOPE!$A:$W,23,0),VLOOKUP(B2326,TRAOPE!$A:$W,23,0)),"")</f>
        <v/>
      </c>
      <c r="S2326" s="10">
        <f>IF(AND(P2326="TN",R2326="TN"),N2326+N(O2326),IF(G2326&amp;""="1",N(K2326)*N2326,(N2326+N(O2326))*N(K2326)))</f>
        <v/>
      </c>
      <c r="T2326" s="10">
        <f>IF(Q2326="","",Q2326-S2326)</f>
        <v/>
      </c>
    </row>
    <row r="2327">
      <c r="A2327" s="7">
        <f>CONCATENATE(C2327,E2327,F2327,I2327)</f>
        <v/>
      </c>
      <c r="B2327" s="7">
        <f>CONCATENATE(C2327,E2327,I2327)</f>
        <v/>
      </c>
      <c r="C2327" s="8" t="n">
        <v>900008845</v>
      </c>
      <c r="D2327" s="7">
        <f>IFERROR(VLOOKUP(C2327,TRAOPE!$G:$H,2,0),"")</f>
        <v/>
      </c>
      <c r="E2327" s="8" t="inlineStr">
        <is>
          <t>D836</t>
        </is>
      </c>
      <c r="F2327" s="8" t="inlineStr">
        <is>
          <t>67279447</t>
        </is>
      </c>
      <c r="G2327" s="8">
        <f>IFERROR(VLOOKUP(A2327,Flete!$A:$E,5,0),"")</f>
        <v/>
      </c>
      <c r="H2327" s="7">
        <f>IFERROR(VLOOKUP(F2327,TRAOPE!$AA:$AB,2,0),"")</f>
        <v/>
      </c>
      <c r="I2327" s="7" t="n">
        <v>10227598</v>
      </c>
      <c r="J2327" s="7">
        <f>IFERROR(VLOOKUP(I2327,Materiales!$A:$H,8,0),"")</f>
        <v/>
      </c>
      <c r="K2327" s="9">
        <f>IFERROR(VLOOKUP(I2327,Materiales!$A:$G,7,0),"")</f>
        <v/>
      </c>
      <c r="L2327" s="8" t="inlineStr">
        <is>
          <t>20240619</t>
        </is>
      </c>
      <c r="M2327" s="8" t="inlineStr">
        <is>
          <t>20251031</t>
        </is>
      </c>
      <c r="N2327" s="10" t="n">
        <v>78</v>
      </c>
      <c r="O2327" s="10">
        <f>IFERROR(VLOOKUP(A2327,Flete!$A:$J,10,0),"")</f>
        <v/>
      </c>
      <c r="P2327" s="8" t="inlineStr">
        <is>
          <t>M3</t>
        </is>
      </c>
      <c r="Q2327" s="10">
        <f>IFERROR(IFERROR(VLOOKUP(A2327,TRAOPE!$A:$U,21,0),VLOOKUP(B2327,TRAOPE!$A:$U,21,0)),"")</f>
        <v/>
      </c>
      <c r="R2327" s="8">
        <f>IFERROR(IFERROR(VLOOKUP(A2327,TRAOPE!$A:$W,23,0),VLOOKUP(B2327,TRAOPE!$A:$W,23,0)),"")</f>
        <v/>
      </c>
      <c r="S2327" s="10">
        <f>IF(AND(P2327="TN",R2327="TN"),N2327+N(O2327),IF(G2327&amp;""="1",N(K2327)*N2327,(N2327+N(O2327))*N(K2327)))</f>
        <v/>
      </c>
      <c r="T2327" s="10">
        <f>IF(Q2327="","",Q2327-S2327)</f>
        <v/>
      </c>
    </row>
    <row r="2328">
      <c r="A2328" s="7">
        <f>CONCATENATE(C2328,E2328,F2328,I2328)</f>
        <v/>
      </c>
      <c r="B2328" s="7">
        <f>CONCATENATE(C2328,E2328,I2328)</f>
        <v/>
      </c>
      <c r="C2328" s="8" t="n">
        <v>900008845</v>
      </c>
      <c r="D2328" s="7">
        <f>IFERROR(VLOOKUP(C2328,TRAOPE!$G:$H,2,0),"")</f>
        <v/>
      </c>
      <c r="E2328" s="8" t="inlineStr">
        <is>
          <t>D836</t>
        </is>
      </c>
      <c r="F2328" s="8" t="inlineStr">
        <is>
          <t>67283442</t>
        </is>
      </c>
      <c r="G2328" s="8">
        <f>IFERROR(VLOOKUP(A2328,Flete!$A:$E,5,0),"")</f>
        <v/>
      </c>
      <c r="H2328" s="7">
        <f>IFERROR(VLOOKUP(F2328,TRAOPE!$AA:$AB,2,0),"")</f>
        <v/>
      </c>
      <c r="I2328" s="7" t="n">
        <v>10227598</v>
      </c>
      <c r="J2328" s="7">
        <f>IFERROR(VLOOKUP(I2328,Materiales!$A:$H,8,0),"")</f>
        <v/>
      </c>
      <c r="K2328" s="9">
        <f>IFERROR(VLOOKUP(I2328,Materiales!$A:$G,7,0),"")</f>
        <v/>
      </c>
      <c r="L2328" s="8" t="inlineStr">
        <is>
          <t>20240619</t>
        </is>
      </c>
      <c r="M2328" s="8" t="inlineStr">
        <is>
          <t>20251031</t>
        </is>
      </c>
      <c r="N2328" s="10" t="n">
        <v>78</v>
      </c>
      <c r="O2328" s="10">
        <f>IFERROR(VLOOKUP(A2328,Flete!$A:$J,10,0),"")</f>
        <v/>
      </c>
      <c r="P2328" s="8" t="inlineStr">
        <is>
          <t>M3</t>
        </is>
      </c>
      <c r="Q2328" s="10">
        <f>IFERROR(IFERROR(VLOOKUP(A2328,TRAOPE!$A:$U,21,0),VLOOKUP(B2328,TRAOPE!$A:$U,21,0)),"")</f>
        <v/>
      </c>
      <c r="R2328" s="8">
        <f>IFERROR(IFERROR(VLOOKUP(A2328,TRAOPE!$A:$W,23,0),VLOOKUP(B2328,TRAOPE!$A:$W,23,0)),"")</f>
        <v/>
      </c>
      <c r="S2328" s="10">
        <f>IF(AND(P2328="TN",R2328="TN"),N2328+N(O2328),IF(G2328&amp;""="1",N(K2328)*N2328,(N2328+N(O2328))*N(K2328)))</f>
        <v/>
      </c>
      <c r="T2328" s="10">
        <f>IF(Q2328="","",Q2328-S2328)</f>
        <v/>
      </c>
    </row>
    <row r="2329">
      <c r="A2329" s="7">
        <f>CONCATENATE(C2329,E2329,F2329,I2329)</f>
        <v/>
      </c>
      <c r="B2329" s="7">
        <f>CONCATENATE(C2329,E2329,I2329)</f>
        <v/>
      </c>
      <c r="C2329" s="8" t="n">
        <v>900009140</v>
      </c>
      <c r="D2329" s="7">
        <f>IFERROR(VLOOKUP(C2329,TRAOPE!$G:$H,2,0),"")</f>
        <v/>
      </c>
      <c r="E2329" s="8" t="inlineStr">
        <is>
          <t>D836</t>
        </is>
      </c>
      <c r="F2329" s="8" t="inlineStr">
        <is>
          <t>67242385</t>
        </is>
      </c>
      <c r="G2329" s="8">
        <f>IFERROR(VLOOKUP(A2329,Flete!$A:$E,5,0),"")</f>
        <v/>
      </c>
      <c r="H2329" s="7">
        <f>IFERROR(VLOOKUP(F2329,TRAOPE!$AA:$AB,2,0),"")</f>
        <v/>
      </c>
      <c r="I2329" s="7" t="n">
        <v>10000623</v>
      </c>
      <c r="J2329" s="7">
        <f>IFERROR(VLOOKUP(I2329,Materiales!$A:$H,8,0),"")</f>
        <v/>
      </c>
      <c r="K2329" s="9">
        <f>IFERROR(VLOOKUP(I2329,Materiales!$A:$G,7,0),"")</f>
        <v/>
      </c>
      <c r="L2329" s="8" t="inlineStr">
        <is>
          <t>20251029</t>
        </is>
      </c>
      <c r="M2329" s="8" t="inlineStr">
        <is>
          <t>20251104</t>
        </is>
      </c>
      <c r="N2329" s="10" t="n">
        <v>184.86</v>
      </c>
      <c r="O2329" s="10">
        <f>IFERROR(VLOOKUP(A2329,Flete!$A:$J,10,0),"")</f>
        <v/>
      </c>
      <c r="P2329" s="8" t="inlineStr">
        <is>
          <t>TN</t>
        </is>
      </c>
      <c r="Q2329" s="10">
        <f>IFERROR(IFERROR(VLOOKUP(A2329,TRAOPE!$A:$U,21,0),VLOOKUP(B2329,TRAOPE!$A:$U,21,0)),"")</f>
        <v/>
      </c>
      <c r="R2329" s="8">
        <f>IFERROR(IFERROR(VLOOKUP(A2329,TRAOPE!$A:$W,23,0),VLOOKUP(B2329,TRAOPE!$A:$W,23,0)),"")</f>
        <v/>
      </c>
      <c r="S2329" s="10">
        <f>IF(AND(P2329="TN",R2329="TN"),N2329+N(O2329),IF(G2329&amp;""="1",N(K2329)*N2329,(N2329+N(O2329))*N(K2329)))</f>
        <v/>
      </c>
      <c r="T2329" s="10">
        <f>IF(Q2329="","",Q2329-S2329)</f>
        <v/>
      </c>
    </row>
    <row r="2330">
      <c r="A2330" s="7">
        <f>CONCATENATE(C2330,E2330,F2330,I2330)</f>
        <v/>
      </c>
      <c r="B2330" s="7">
        <f>CONCATENATE(C2330,E2330,I2330)</f>
        <v/>
      </c>
      <c r="C2330" s="8" t="n">
        <v>900009140</v>
      </c>
      <c r="D2330" s="7">
        <f>IFERROR(VLOOKUP(C2330,TRAOPE!$G:$H,2,0),"")</f>
        <v/>
      </c>
      <c r="E2330" s="8" t="inlineStr">
        <is>
          <t>D836</t>
        </is>
      </c>
      <c r="F2330" s="8" t="inlineStr">
        <is>
          <t>67330638</t>
        </is>
      </c>
      <c r="G2330" s="8">
        <f>IFERROR(VLOOKUP(A2330,Flete!$A:$E,5,0),"")</f>
        <v/>
      </c>
      <c r="H2330" s="7">
        <f>IFERROR(VLOOKUP(F2330,TRAOPE!$AA:$AB,2,0),"")</f>
        <v/>
      </c>
      <c r="I2330" s="7" t="n">
        <v>10140399</v>
      </c>
      <c r="J2330" s="7">
        <f>IFERROR(VLOOKUP(I2330,Materiales!$A:$H,8,0),"")</f>
        <v/>
      </c>
      <c r="K2330" s="9">
        <f>IFERROR(VLOOKUP(I2330,Materiales!$A:$G,7,0),"")</f>
        <v/>
      </c>
      <c r="L2330" s="8" t="inlineStr">
        <is>
          <t>20251030</t>
        </is>
      </c>
      <c r="M2330" s="8" t="inlineStr">
        <is>
          <t>20251104</t>
        </is>
      </c>
      <c r="N2330" s="10" t="n">
        <v>220</v>
      </c>
      <c r="O2330" s="10">
        <f>IFERROR(VLOOKUP(A2330,Flete!$A:$J,10,0),"")</f>
        <v/>
      </c>
      <c r="P2330" s="8" t="inlineStr">
        <is>
          <t>TN</t>
        </is>
      </c>
      <c r="Q2330" s="10">
        <f>IFERROR(IFERROR(VLOOKUP(A2330,TRAOPE!$A:$U,21,0),VLOOKUP(B2330,TRAOPE!$A:$U,21,0)),"")</f>
        <v/>
      </c>
      <c r="R2330" s="8">
        <f>IFERROR(IFERROR(VLOOKUP(A2330,TRAOPE!$A:$W,23,0),VLOOKUP(B2330,TRAOPE!$A:$W,23,0)),"")</f>
        <v/>
      </c>
      <c r="S2330" s="10">
        <f>IF(AND(P2330="TN",R2330="TN"),N2330+N(O2330),IF(G2330&amp;""="1",N(K2330)*N2330,(N2330+N(O2330))*N(K2330)))</f>
        <v/>
      </c>
      <c r="T2330" s="10">
        <f>IF(Q2330="","",Q2330-S2330)</f>
        <v/>
      </c>
    </row>
    <row r="2331">
      <c r="A2331" s="7">
        <f>CONCATENATE(C2331,E2331,F2331,I2331)</f>
        <v/>
      </c>
      <c r="B2331" s="7">
        <f>CONCATENATE(C2331,E2331,I2331)</f>
        <v/>
      </c>
      <c r="C2331" s="8" t="n">
        <v>900009140</v>
      </c>
      <c r="D2331" s="7">
        <f>IFERROR(VLOOKUP(C2331,TRAOPE!$G:$H,2,0),"")</f>
        <v/>
      </c>
      <c r="E2331" s="8" t="inlineStr">
        <is>
          <t>D836</t>
        </is>
      </c>
      <c r="F2331" s="8" t="inlineStr">
        <is>
          <t>67330638</t>
        </is>
      </c>
      <c r="G2331" s="8">
        <f>IFERROR(VLOOKUP(A2331,Flete!$A:$E,5,0),"")</f>
        <v/>
      </c>
      <c r="H2331" s="7">
        <f>IFERROR(VLOOKUP(F2331,TRAOPE!$AA:$AB,2,0),"")</f>
        <v/>
      </c>
      <c r="I2331" s="7" t="n">
        <v>10000245</v>
      </c>
      <c r="J2331" s="7">
        <f>IFERROR(VLOOKUP(I2331,Materiales!$A:$H,8,0),"")</f>
        <v/>
      </c>
      <c r="K2331" s="9">
        <f>IFERROR(VLOOKUP(I2331,Materiales!$A:$G,7,0),"")</f>
        <v/>
      </c>
      <c r="L2331" s="8" t="inlineStr">
        <is>
          <t>20251118</t>
        </is>
      </c>
      <c r="M2331" s="8" t="inlineStr">
        <is>
          <t>20251119</t>
        </is>
      </c>
      <c r="N2331" s="10" t="n">
        <v>105</v>
      </c>
      <c r="O2331" s="10">
        <f>IFERROR(VLOOKUP(A2331,Flete!$A:$J,10,0),"")</f>
        <v/>
      </c>
      <c r="P2331" s="8" t="inlineStr">
        <is>
          <t>TN</t>
        </is>
      </c>
      <c r="Q2331" s="10">
        <f>IFERROR(IFERROR(VLOOKUP(A2331,TRAOPE!$A:$U,21,0),VLOOKUP(B2331,TRAOPE!$A:$U,21,0)),"")</f>
        <v/>
      </c>
      <c r="R2331" s="8">
        <f>IFERROR(IFERROR(VLOOKUP(A2331,TRAOPE!$A:$W,23,0),VLOOKUP(B2331,TRAOPE!$A:$W,23,0)),"")</f>
        <v/>
      </c>
      <c r="S2331" s="10">
        <f>IF(AND(P2331="TN",R2331="TN"),N2331+N(O2331),IF(G2331&amp;""="1",N(K2331)*N2331,(N2331+N(O2331))*N(K2331)))</f>
        <v/>
      </c>
      <c r="T2331" s="10">
        <f>IF(Q2331="","",Q2331-S2331)</f>
        <v/>
      </c>
    </row>
    <row r="2332">
      <c r="A2332" s="7">
        <f>CONCATENATE(C2332,E2332,F2332,I2332)</f>
        <v/>
      </c>
      <c r="B2332" s="7">
        <f>CONCATENATE(C2332,E2332,I2332)</f>
        <v/>
      </c>
      <c r="C2332" s="8" t="n">
        <v>900003609</v>
      </c>
      <c r="D2332" s="7">
        <f>IFERROR(VLOOKUP(C2332,TRAOPE!$G:$H,2,0),"")</f>
        <v/>
      </c>
      <c r="E2332" s="8" t="inlineStr">
        <is>
          <t>D836</t>
        </is>
      </c>
      <c r="F2332" s="8" t="inlineStr">
        <is>
          <t>67330388</t>
        </is>
      </c>
      <c r="G2332" s="8">
        <f>IFERROR(VLOOKUP(A2332,Flete!$A:$E,5,0),"")</f>
        <v/>
      </c>
      <c r="H2332" s="7">
        <f>IFERROR(VLOOKUP(F2332,TRAOPE!$AA:$AB,2,0),"")</f>
        <v/>
      </c>
      <c r="I2332" s="7" t="n">
        <v>10000630</v>
      </c>
      <c r="J2332" s="7">
        <f>IFERROR(VLOOKUP(I2332,Materiales!$A:$H,8,0),"")</f>
        <v/>
      </c>
      <c r="K2332" s="9">
        <f>IFERROR(VLOOKUP(I2332,Materiales!$A:$G,7,0),"")</f>
        <v/>
      </c>
      <c r="L2332" s="8" t="inlineStr">
        <is>
          <t>20170101</t>
        </is>
      </c>
      <c r="M2332" s="8" t="inlineStr">
        <is>
          <t>20260212</t>
        </is>
      </c>
      <c r="N2332" s="10" t="n">
        <v>179</v>
      </c>
      <c r="O2332" s="10">
        <f>IFERROR(VLOOKUP(A2332,Flete!$A:$J,10,0),"")</f>
        <v/>
      </c>
      <c r="P2332" s="8" t="inlineStr">
        <is>
          <t>M3</t>
        </is>
      </c>
      <c r="Q2332" s="10">
        <f>IFERROR(IFERROR(VLOOKUP(A2332,TRAOPE!$A:$U,21,0),VLOOKUP(B2332,TRAOPE!$A:$U,21,0)),"")</f>
        <v/>
      </c>
      <c r="R2332" s="8">
        <f>IFERROR(IFERROR(VLOOKUP(A2332,TRAOPE!$A:$W,23,0),VLOOKUP(B2332,TRAOPE!$A:$W,23,0)),"")</f>
        <v/>
      </c>
      <c r="S2332" s="10">
        <f>IF(AND(P2332="TN",R2332="TN"),N2332+N(O2332),IF(G2332&amp;""="1",N(K2332)*N2332,(N2332+N(O2332))*N(K2332)))</f>
        <v/>
      </c>
      <c r="T2332" s="10">
        <f>IF(Q2332="","",Q2332-S2332)</f>
        <v/>
      </c>
    </row>
    <row r="2333">
      <c r="A2333" s="7">
        <f>CONCATENATE(C2333,E2333,F2333,I2333)</f>
        <v/>
      </c>
      <c r="B2333" s="7">
        <f>CONCATENATE(C2333,E2333,I2333)</f>
        <v/>
      </c>
      <c r="C2333" s="8" t="n">
        <v>900003609</v>
      </c>
      <c r="D2333" s="7">
        <f>IFERROR(VLOOKUP(C2333,TRAOPE!$G:$H,2,0),"")</f>
        <v/>
      </c>
      <c r="E2333" s="8" t="inlineStr">
        <is>
          <t>D836</t>
        </is>
      </c>
      <c r="F2333" s="8" t="inlineStr">
        <is>
          <t>67330388</t>
        </is>
      </c>
      <c r="G2333" s="8">
        <f>IFERROR(VLOOKUP(A2333,Flete!$A:$E,5,0),"")</f>
        <v/>
      </c>
      <c r="H2333" s="7">
        <f>IFERROR(VLOOKUP(F2333,TRAOPE!$AA:$AB,2,0),"")</f>
        <v/>
      </c>
      <c r="I2333" s="7" t="n">
        <v>10000811</v>
      </c>
      <c r="J2333" s="7">
        <f>IFERROR(VLOOKUP(I2333,Materiales!$A:$H,8,0),"")</f>
        <v/>
      </c>
      <c r="K2333" s="9">
        <f>IFERROR(VLOOKUP(I2333,Materiales!$A:$G,7,0),"")</f>
        <v/>
      </c>
      <c r="L2333" s="8" t="inlineStr">
        <is>
          <t>20170101</t>
        </is>
      </c>
      <c r="M2333" s="8" t="inlineStr">
        <is>
          <t>20260212</t>
        </is>
      </c>
      <c r="N2333" s="10" t="n">
        <v>178</v>
      </c>
      <c r="O2333" s="10">
        <f>IFERROR(VLOOKUP(A2333,Flete!$A:$J,10,0),"")</f>
        <v/>
      </c>
      <c r="P2333" s="8" t="inlineStr">
        <is>
          <t>M3</t>
        </is>
      </c>
      <c r="Q2333" s="10">
        <f>IFERROR(IFERROR(VLOOKUP(A2333,TRAOPE!$A:$U,21,0),VLOOKUP(B2333,TRAOPE!$A:$U,21,0)),"")</f>
        <v/>
      </c>
      <c r="R2333" s="8">
        <f>IFERROR(IFERROR(VLOOKUP(A2333,TRAOPE!$A:$W,23,0),VLOOKUP(B2333,TRAOPE!$A:$W,23,0)),"")</f>
        <v/>
      </c>
      <c r="S2333" s="10">
        <f>IF(AND(P2333="TN",R2333="TN"),N2333+N(O2333),IF(G2333&amp;""="1",N(K2333)*N2333,(N2333+N(O2333))*N(K2333)))</f>
        <v/>
      </c>
      <c r="T2333" s="10">
        <f>IF(Q2333="","",Q2333-S2333)</f>
        <v/>
      </c>
    </row>
    <row r="2334">
      <c r="A2334" s="7">
        <f>CONCATENATE(C2334,E2334,F2334,I2334)</f>
        <v/>
      </c>
      <c r="B2334" s="7">
        <f>CONCATENATE(C2334,E2334,I2334)</f>
        <v/>
      </c>
      <c r="C2334" s="8" t="n">
        <v>900003609</v>
      </c>
      <c r="D2334" s="7">
        <f>IFERROR(VLOOKUP(C2334,TRAOPE!$G:$H,2,0),"")</f>
        <v/>
      </c>
      <c r="E2334" s="8" t="inlineStr">
        <is>
          <t>D836</t>
        </is>
      </c>
      <c r="F2334" s="8" t="inlineStr">
        <is>
          <t>67330388</t>
        </is>
      </c>
      <c r="G2334" s="8">
        <f>IFERROR(VLOOKUP(A2334,Flete!$A:$E,5,0),"")</f>
        <v/>
      </c>
      <c r="H2334" s="7">
        <f>IFERROR(VLOOKUP(F2334,TRAOPE!$AA:$AB,2,0),"")</f>
        <v/>
      </c>
      <c r="I2334" s="7" t="n">
        <v>10058345</v>
      </c>
      <c r="J2334" s="7">
        <f>IFERROR(VLOOKUP(I2334,Materiales!$A:$H,8,0),"")</f>
        <v/>
      </c>
      <c r="K2334" s="9">
        <f>IFERROR(VLOOKUP(I2334,Materiales!$A:$G,7,0),"")</f>
        <v/>
      </c>
      <c r="L2334" s="8" t="inlineStr">
        <is>
          <t>20170101</t>
        </is>
      </c>
      <c r="M2334" s="8" t="inlineStr">
        <is>
          <t>20260212</t>
        </is>
      </c>
      <c r="N2334" s="10" t="n">
        <v>150.5</v>
      </c>
      <c r="O2334" s="10">
        <f>IFERROR(VLOOKUP(A2334,Flete!$A:$J,10,0),"")</f>
        <v/>
      </c>
      <c r="P2334" s="8" t="inlineStr">
        <is>
          <t>M3</t>
        </is>
      </c>
      <c r="Q2334" s="10">
        <f>IFERROR(IFERROR(VLOOKUP(A2334,TRAOPE!$A:$U,21,0),VLOOKUP(B2334,TRAOPE!$A:$U,21,0)),"")</f>
        <v/>
      </c>
      <c r="R2334" s="8">
        <f>IFERROR(IFERROR(VLOOKUP(A2334,TRAOPE!$A:$W,23,0),VLOOKUP(B2334,TRAOPE!$A:$W,23,0)),"")</f>
        <v/>
      </c>
      <c r="S2334" s="10">
        <f>IF(AND(P2334="TN",R2334="TN"),N2334+N(O2334),IF(G2334&amp;""="1",N(K2334)*N2334,(N2334+N(O2334))*N(K2334)))</f>
        <v/>
      </c>
      <c r="T2334" s="10">
        <f>IF(Q2334="","",Q2334-S2334)</f>
        <v/>
      </c>
    </row>
    <row r="2335">
      <c r="A2335" s="7">
        <f>CONCATENATE(C2335,E2335,F2335,I2335)</f>
        <v/>
      </c>
      <c r="B2335" s="7">
        <f>CONCATENATE(C2335,E2335,I2335)</f>
        <v/>
      </c>
      <c r="C2335" s="8" t="n">
        <v>900001074</v>
      </c>
      <c r="D2335" s="7">
        <f>IFERROR(VLOOKUP(C2335,TRAOPE!$G:$H,2,0),"")</f>
        <v/>
      </c>
      <c r="E2335" s="8" t="inlineStr">
        <is>
          <t>D836</t>
        </is>
      </c>
      <c r="F2335" s="8" t="inlineStr">
        <is>
          <t>65098481</t>
        </is>
      </c>
      <c r="G2335" s="8">
        <f>IFERROR(VLOOKUP(A2335,Flete!$A:$E,5,0),"")</f>
        <v/>
      </c>
      <c r="H2335" s="7">
        <f>IFERROR(VLOOKUP(F2335,TRAOPE!$AA:$AB,2,0),"")</f>
        <v/>
      </c>
      <c r="I2335" s="7" t="n">
        <v>10000160</v>
      </c>
      <c r="J2335" s="7">
        <f>IFERROR(VLOOKUP(I2335,Materiales!$A:$H,8,0),"")</f>
        <v/>
      </c>
      <c r="K2335" s="9">
        <f>IFERROR(VLOOKUP(I2335,Materiales!$A:$G,7,0),"")</f>
        <v/>
      </c>
      <c r="L2335" s="8" t="inlineStr">
        <is>
          <t>20170101</t>
        </is>
      </c>
      <c r="M2335" s="8" t="inlineStr">
        <is>
          <t>20260215</t>
        </is>
      </c>
      <c r="N2335" s="10" t="n">
        <v>83</v>
      </c>
      <c r="O2335" s="10">
        <f>IFERROR(VLOOKUP(A2335,Flete!$A:$J,10,0),"")</f>
        <v/>
      </c>
      <c r="P2335" s="8" t="inlineStr">
        <is>
          <t>M3</t>
        </is>
      </c>
      <c r="Q2335" s="10">
        <f>IFERROR(IFERROR(VLOOKUP(A2335,TRAOPE!$A:$U,21,0),VLOOKUP(B2335,TRAOPE!$A:$U,21,0)),"")</f>
        <v/>
      </c>
      <c r="R2335" s="8">
        <f>IFERROR(IFERROR(VLOOKUP(A2335,TRAOPE!$A:$W,23,0),VLOOKUP(B2335,TRAOPE!$A:$W,23,0)),"")</f>
        <v/>
      </c>
      <c r="S2335" s="10">
        <f>IF(AND(P2335="TN",R2335="TN"),N2335+N(O2335),IF(G2335&amp;""="1",N(K2335)*N2335,(N2335+N(O2335))*N(K2335)))</f>
        <v/>
      </c>
      <c r="T2335" s="10">
        <f>IF(Q2335="","",Q2335-S2335)</f>
        <v/>
      </c>
    </row>
    <row r="2336">
      <c r="A2336" s="7">
        <f>CONCATENATE(C2336,E2336,F2336,I2336)</f>
        <v/>
      </c>
      <c r="B2336" s="7">
        <f>CONCATENATE(C2336,E2336,I2336)</f>
        <v/>
      </c>
      <c r="C2336" s="8" t="n">
        <v>900001074</v>
      </c>
      <c r="D2336" s="7">
        <f>IFERROR(VLOOKUP(C2336,TRAOPE!$G:$H,2,0),"")</f>
        <v/>
      </c>
      <c r="E2336" s="8" t="inlineStr">
        <is>
          <t>D836</t>
        </is>
      </c>
      <c r="F2336" s="8" t="inlineStr">
        <is>
          <t>65745795</t>
        </is>
      </c>
      <c r="G2336" s="8">
        <f>IFERROR(VLOOKUP(A2336,Flete!$A:$E,5,0),"")</f>
        <v/>
      </c>
      <c r="H2336" s="7">
        <f>IFERROR(VLOOKUP(F2336,TRAOPE!$AA:$AB,2,0),"")</f>
        <v/>
      </c>
      <c r="I2336" s="7" t="n">
        <v>10175723</v>
      </c>
      <c r="J2336" s="7">
        <f>IFERROR(VLOOKUP(I2336,Materiales!$A:$H,8,0),"")</f>
        <v/>
      </c>
      <c r="K2336" s="9">
        <f>IFERROR(VLOOKUP(I2336,Materiales!$A:$G,7,0),"")</f>
        <v/>
      </c>
      <c r="L2336" s="8" t="inlineStr">
        <is>
          <t>20241008</t>
        </is>
      </c>
      <c r="M2336" s="8" t="inlineStr">
        <is>
          <t>20260215</t>
        </is>
      </c>
      <c r="N2336" s="10" t="n">
        <v>141</v>
      </c>
      <c r="O2336" s="10">
        <f>IFERROR(VLOOKUP(A2336,Flete!$A:$J,10,0),"")</f>
        <v/>
      </c>
      <c r="P2336" s="8" t="inlineStr">
        <is>
          <t>M3</t>
        </is>
      </c>
      <c r="Q2336" s="10">
        <f>IFERROR(IFERROR(VLOOKUP(A2336,TRAOPE!$A:$U,21,0),VLOOKUP(B2336,TRAOPE!$A:$U,21,0)),"")</f>
        <v/>
      </c>
      <c r="R2336" s="8">
        <f>IFERROR(IFERROR(VLOOKUP(A2336,TRAOPE!$A:$W,23,0),VLOOKUP(B2336,TRAOPE!$A:$W,23,0)),"")</f>
        <v/>
      </c>
      <c r="S2336" s="10">
        <f>IF(AND(P2336="TN",R2336="TN"),N2336+N(O2336),IF(G2336&amp;""="1",N(K2336)*N2336,(N2336+N(O2336))*N(K2336)))</f>
        <v/>
      </c>
      <c r="T2336" s="10">
        <f>IF(Q2336="","",Q2336-S2336)</f>
        <v/>
      </c>
    </row>
    <row r="2337">
      <c r="A2337" s="7">
        <f>CONCATENATE(C2337,E2337,F2337,I2337)</f>
        <v/>
      </c>
      <c r="B2337" s="7">
        <f>CONCATENATE(C2337,E2337,I2337)</f>
        <v/>
      </c>
      <c r="C2337" s="8" t="n">
        <v>900001074</v>
      </c>
      <c r="D2337" s="7">
        <f>IFERROR(VLOOKUP(C2337,TRAOPE!$G:$H,2,0),"")</f>
        <v/>
      </c>
      <c r="E2337" s="8" t="inlineStr">
        <is>
          <t>D836</t>
        </is>
      </c>
      <c r="F2337" s="8" t="inlineStr">
        <is>
          <t>66868491</t>
        </is>
      </c>
      <c r="G2337" s="8">
        <f>IFERROR(VLOOKUP(A2337,Flete!$A:$E,5,0),"")</f>
        <v/>
      </c>
      <c r="H2337" s="7">
        <f>IFERROR(VLOOKUP(F2337,TRAOPE!$AA:$AB,2,0),"")</f>
        <v/>
      </c>
      <c r="I2337" s="7" t="n">
        <v>10000357</v>
      </c>
      <c r="J2337" s="7">
        <f>IFERROR(VLOOKUP(I2337,Materiales!$A:$H,8,0),"")</f>
        <v/>
      </c>
      <c r="K2337" s="9">
        <f>IFERROR(VLOOKUP(I2337,Materiales!$A:$G,7,0),"")</f>
        <v/>
      </c>
      <c r="L2337" s="8" t="inlineStr">
        <is>
          <t>20240619</t>
        </is>
      </c>
      <c r="M2337" s="8" t="inlineStr">
        <is>
          <t>20260215</t>
        </is>
      </c>
      <c r="N2337" s="10" t="n">
        <v>130</v>
      </c>
      <c r="O2337" s="10">
        <f>IFERROR(VLOOKUP(A2337,Flete!$A:$J,10,0),"")</f>
        <v/>
      </c>
      <c r="P2337" s="8" t="inlineStr">
        <is>
          <t>M3</t>
        </is>
      </c>
      <c r="Q2337" s="10">
        <f>IFERROR(IFERROR(VLOOKUP(A2337,TRAOPE!$A:$U,21,0),VLOOKUP(B2337,TRAOPE!$A:$U,21,0)),"")</f>
        <v/>
      </c>
      <c r="R2337" s="8">
        <f>IFERROR(IFERROR(VLOOKUP(A2337,TRAOPE!$A:$W,23,0),VLOOKUP(B2337,TRAOPE!$A:$W,23,0)),"")</f>
        <v/>
      </c>
      <c r="S2337" s="10">
        <f>IF(AND(P2337="TN",R2337="TN"),N2337+N(O2337),IF(G2337&amp;""="1",N(K2337)*N2337,(N2337+N(O2337))*N(K2337)))</f>
        <v/>
      </c>
      <c r="T2337" s="10">
        <f>IF(Q2337="","",Q2337-S2337)</f>
        <v/>
      </c>
    </row>
    <row r="2338">
      <c r="A2338" s="7">
        <f>CONCATENATE(C2338,E2338,F2338,I2338)</f>
        <v/>
      </c>
      <c r="B2338" s="7">
        <f>CONCATENATE(C2338,E2338,I2338)</f>
        <v/>
      </c>
      <c r="C2338" s="8" t="n">
        <v>900001074</v>
      </c>
      <c r="D2338" s="7">
        <f>IFERROR(VLOOKUP(C2338,TRAOPE!$G:$H,2,0),"")</f>
        <v/>
      </c>
      <c r="E2338" s="8" t="inlineStr">
        <is>
          <t>D836</t>
        </is>
      </c>
      <c r="F2338" s="8" t="inlineStr">
        <is>
          <t>67283191</t>
        </is>
      </c>
      <c r="G2338" s="8">
        <f>IFERROR(VLOOKUP(A2338,Flete!$A:$E,5,0),"")</f>
        <v/>
      </c>
      <c r="H2338" s="7">
        <f>IFERROR(VLOOKUP(F2338,TRAOPE!$AA:$AB,2,0),"")</f>
        <v/>
      </c>
      <c r="I2338" s="7" t="n">
        <v>10175723</v>
      </c>
      <c r="J2338" s="7">
        <f>IFERROR(VLOOKUP(I2338,Materiales!$A:$H,8,0),"")</f>
        <v/>
      </c>
      <c r="K2338" s="9">
        <f>IFERROR(VLOOKUP(I2338,Materiales!$A:$G,7,0),"")</f>
        <v/>
      </c>
      <c r="L2338" s="8" t="inlineStr">
        <is>
          <t>20240925</t>
        </is>
      </c>
      <c r="M2338" s="8" t="inlineStr">
        <is>
          <t>20260215</t>
        </is>
      </c>
      <c r="N2338" s="10" t="n">
        <v>141</v>
      </c>
      <c r="O2338" s="10">
        <f>IFERROR(VLOOKUP(A2338,Flete!$A:$J,10,0),"")</f>
        <v/>
      </c>
      <c r="P2338" s="8" t="inlineStr">
        <is>
          <t>M3</t>
        </is>
      </c>
      <c r="Q2338" s="10">
        <f>IFERROR(IFERROR(VLOOKUP(A2338,TRAOPE!$A:$U,21,0),VLOOKUP(B2338,TRAOPE!$A:$U,21,0)),"")</f>
        <v/>
      </c>
      <c r="R2338" s="8">
        <f>IFERROR(IFERROR(VLOOKUP(A2338,TRAOPE!$A:$W,23,0),VLOOKUP(B2338,TRAOPE!$A:$W,23,0)),"")</f>
        <v/>
      </c>
      <c r="S2338" s="10">
        <f>IF(AND(P2338="TN",R2338="TN"),N2338+N(O2338),IF(G2338&amp;""="1",N(K2338)*N2338,(N2338+N(O2338))*N(K2338)))</f>
        <v/>
      </c>
      <c r="T2338" s="10">
        <f>IF(Q2338="","",Q2338-S2338)</f>
        <v/>
      </c>
    </row>
    <row r="2339">
      <c r="A2339" s="7">
        <f>CONCATENATE(C2339,E2339,F2339,I2339)</f>
        <v/>
      </c>
      <c r="B2339" s="7">
        <f>CONCATENATE(C2339,E2339,I2339)</f>
        <v/>
      </c>
      <c r="C2339" s="8" t="n">
        <v>900002313</v>
      </c>
      <c r="D2339" s="7">
        <f>IFERROR(VLOOKUP(C2339,TRAOPE!$G:$H,2,0),"")</f>
        <v/>
      </c>
      <c r="E2339" s="8" t="inlineStr">
        <is>
          <t>D836</t>
        </is>
      </c>
      <c r="F2339" s="8" t="inlineStr">
        <is>
          <t>66908488</t>
        </is>
      </c>
      <c r="G2339" s="8">
        <f>IFERROR(VLOOKUP(A2339,Flete!$A:$E,5,0),"")</f>
        <v/>
      </c>
      <c r="H2339" s="7">
        <f>IFERROR(VLOOKUP(F2339,TRAOPE!$AA:$AB,2,0),"")</f>
        <v/>
      </c>
      <c r="I2339" s="7" t="n">
        <v>10000160</v>
      </c>
      <c r="J2339" s="7">
        <f>IFERROR(VLOOKUP(I2339,Materiales!$A:$H,8,0),"")</f>
        <v/>
      </c>
      <c r="K2339" s="9">
        <f>IFERROR(VLOOKUP(I2339,Materiales!$A:$G,7,0),"")</f>
        <v/>
      </c>
      <c r="L2339" s="8" t="inlineStr">
        <is>
          <t>20240619</t>
        </is>
      </c>
      <c r="M2339" s="8" t="inlineStr">
        <is>
          <t>20260215</t>
        </is>
      </c>
      <c r="N2339" s="10" t="n">
        <v>168</v>
      </c>
      <c r="O2339" s="10">
        <f>IFERROR(VLOOKUP(A2339,Flete!$A:$J,10,0),"")</f>
        <v/>
      </c>
      <c r="P2339" s="8" t="inlineStr">
        <is>
          <t>M3</t>
        </is>
      </c>
      <c r="Q2339" s="10">
        <f>IFERROR(IFERROR(VLOOKUP(A2339,TRAOPE!$A:$U,21,0),VLOOKUP(B2339,TRAOPE!$A:$U,21,0)),"")</f>
        <v/>
      </c>
      <c r="R2339" s="8">
        <f>IFERROR(IFERROR(VLOOKUP(A2339,TRAOPE!$A:$W,23,0),VLOOKUP(B2339,TRAOPE!$A:$W,23,0)),"")</f>
        <v/>
      </c>
      <c r="S2339" s="10">
        <f>IF(AND(P2339="TN",R2339="TN"),N2339+N(O2339),IF(G2339&amp;""="1",N(K2339)*N2339,(N2339+N(O2339))*N(K2339)))</f>
        <v/>
      </c>
      <c r="T2339" s="10">
        <f>IF(Q2339="","",Q2339-S2339)</f>
        <v/>
      </c>
    </row>
    <row r="2340">
      <c r="A2340" s="7">
        <f>CONCATENATE(C2340,E2340,F2340,I2340)</f>
        <v/>
      </c>
      <c r="B2340" s="7">
        <f>CONCATENATE(C2340,E2340,I2340)</f>
        <v/>
      </c>
      <c r="C2340" s="8" t="n">
        <v>900002313</v>
      </c>
      <c r="D2340" s="7">
        <f>IFERROR(VLOOKUP(C2340,TRAOPE!$G:$H,2,0),"")</f>
        <v/>
      </c>
      <c r="E2340" s="8" t="inlineStr">
        <is>
          <t>D836</t>
        </is>
      </c>
      <c r="F2340" s="8" t="inlineStr">
        <is>
          <t>66908488</t>
        </is>
      </c>
      <c r="G2340" s="8">
        <f>IFERROR(VLOOKUP(A2340,Flete!$A:$E,5,0),"")</f>
        <v/>
      </c>
      <c r="H2340" s="7">
        <f>IFERROR(VLOOKUP(F2340,TRAOPE!$AA:$AB,2,0),"")</f>
        <v/>
      </c>
      <c r="I2340" s="7" t="n">
        <v>10001353</v>
      </c>
      <c r="J2340" s="7">
        <f>IFERROR(VLOOKUP(I2340,Materiales!$A:$H,8,0),"")</f>
        <v/>
      </c>
      <c r="K2340" s="9">
        <f>IFERROR(VLOOKUP(I2340,Materiales!$A:$G,7,0),"")</f>
        <v/>
      </c>
      <c r="L2340" s="8" t="inlineStr">
        <is>
          <t>20240619</t>
        </is>
      </c>
      <c r="M2340" s="8" t="inlineStr">
        <is>
          <t>20260215</t>
        </is>
      </c>
      <c r="N2340" s="10" t="n">
        <v>144</v>
      </c>
      <c r="O2340" s="10">
        <f>IFERROR(VLOOKUP(A2340,Flete!$A:$J,10,0),"")</f>
        <v/>
      </c>
      <c r="P2340" s="8" t="inlineStr">
        <is>
          <t>M3</t>
        </is>
      </c>
      <c r="Q2340" s="10">
        <f>IFERROR(IFERROR(VLOOKUP(A2340,TRAOPE!$A:$U,21,0),VLOOKUP(B2340,TRAOPE!$A:$U,21,0)),"")</f>
        <v/>
      </c>
      <c r="R2340" s="8">
        <f>IFERROR(IFERROR(VLOOKUP(A2340,TRAOPE!$A:$W,23,0),VLOOKUP(B2340,TRAOPE!$A:$W,23,0)),"")</f>
        <v/>
      </c>
      <c r="S2340" s="10">
        <f>IF(AND(P2340="TN",R2340="TN"),N2340+N(O2340),IF(G2340&amp;""="1",N(K2340)*N2340,(N2340+N(O2340))*N(K2340)))</f>
        <v/>
      </c>
      <c r="T2340" s="10">
        <f>IF(Q2340="","",Q2340-S2340)</f>
        <v/>
      </c>
    </row>
    <row r="2341">
      <c r="A2341" s="7">
        <f>CONCATENATE(C2341,E2341,F2341,I2341)</f>
        <v/>
      </c>
      <c r="B2341" s="7">
        <f>CONCATENATE(C2341,E2341,I2341)</f>
        <v/>
      </c>
      <c r="C2341" s="8" t="n">
        <v>900002313</v>
      </c>
      <c r="D2341" s="7">
        <f>IFERROR(VLOOKUP(C2341,TRAOPE!$G:$H,2,0),"")</f>
        <v/>
      </c>
      <c r="E2341" s="8" t="inlineStr">
        <is>
          <t>D836</t>
        </is>
      </c>
      <c r="F2341" s="8" t="inlineStr">
        <is>
          <t>66908488</t>
        </is>
      </c>
      <c r="G2341" s="8">
        <f>IFERROR(VLOOKUP(A2341,Flete!$A:$E,5,0),"")</f>
        <v/>
      </c>
      <c r="H2341" s="7">
        <f>IFERROR(VLOOKUP(F2341,TRAOPE!$AA:$AB,2,0),"")</f>
        <v/>
      </c>
      <c r="I2341" s="7" t="n">
        <v>10001354</v>
      </c>
      <c r="J2341" s="7">
        <f>IFERROR(VLOOKUP(I2341,Materiales!$A:$H,8,0),"")</f>
        <v/>
      </c>
      <c r="K2341" s="9">
        <f>IFERROR(VLOOKUP(I2341,Materiales!$A:$G,7,0),"")</f>
        <v/>
      </c>
      <c r="L2341" s="8" t="inlineStr">
        <is>
          <t>20240619</t>
        </is>
      </c>
      <c r="M2341" s="8" t="inlineStr">
        <is>
          <t>20260215</t>
        </is>
      </c>
      <c r="N2341" s="10" t="n">
        <v>121</v>
      </c>
      <c r="O2341" s="10">
        <f>IFERROR(VLOOKUP(A2341,Flete!$A:$J,10,0),"")</f>
        <v/>
      </c>
      <c r="P2341" s="8" t="inlineStr">
        <is>
          <t>M3</t>
        </is>
      </c>
      <c r="Q2341" s="10">
        <f>IFERROR(IFERROR(VLOOKUP(A2341,TRAOPE!$A:$U,21,0),VLOOKUP(B2341,TRAOPE!$A:$U,21,0)),"")</f>
        <v/>
      </c>
      <c r="R2341" s="8">
        <f>IFERROR(IFERROR(VLOOKUP(A2341,TRAOPE!$A:$W,23,0),VLOOKUP(B2341,TRAOPE!$A:$W,23,0)),"")</f>
        <v/>
      </c>
      <c r="S2341" s="10">
        <f>IF(AND(P2341="TN",R2341="TN"),N2341+N(O2341),IF(G2341&amp;""="1",N(K2341)*N2341,(N2341+N(O2341))*N(K2341)))</f>
        <v/>
      </c>
      <c r="T2341" s="10">
        <f>IF(Q2341="","",Q2341-S2341)</f>
        <v/>
      </c>
    </row>
    <row r="2342">
      <c r="A2342" s="7">
        <f>CONCATENATE(C2342,E2342,F2342,I2342)</f>
        <v/>
      </c>
      <c r="B2342" s="7">
        <f>CONCATENATE(C2342,E2342,I2342)</f>
        <v/>
      </c>
      <c r="C2342" s="8" t="n">
        <v>900002574</v>
      </c>
      <c r="D2342" s="7">
        <f>IFERROR(VLOOKUP(C2342,TRAOPE!$G:$H,2,0),"")</f>
        <v/>
      </c>
      <c r="E2342" s="8" t="inlineStr">
        <is>
          <t>D836</t>
        </is>
      </c>
      <c r="F2342" s="8" t="inlineStr">
        <is>
          <t>66833362</t>
        </is>
      </c>
      <c r="G2342" s="8">
        <f>IFERROR(VLOOKUP(A2342,Flete!$A:$E,5,0),"")</f>
        <v/>
      </c>
      <c r="H2342" s="7">
        <f>IFERROR(VLOOKUP(F2342,TRAOPE!$AA:$AB,2,0),"")</f>
        <v/>
      </c>
      <c r="I2342" s="7" t="n">
        <v>10000624</v>
      </c>
      <c r="J2342" s="7">
        <f>IFERROR(VLOOKUP(I2342,Materiales!$A:$H,8,0),"")</f>
        <v/>
      </c>
      <c r="K2342" s="9">
        <f>IFERROR(VLOOKUP(I2342,Materiales!$A:$G,7,0),"")</f>
        <v/>
      </c>
      <c r="L2342" s="8" t="inlineStr">
        <is>
          <t>20170101</t>
        </is>
      </c>
      <c r="M2342" s="8" t="inlineStr">
        <is>
          <t>20260215</t>
        </is>
      </c>
      <c r="N2342" s="10" t="n">
        <v>165</v>
      </c>
      <c r="O2342" s="10">
        <f>IFERROR(VLOOKUP(A2342,Flete!$A:$J,10,0),"")</f>
        <v/>
      </c>
      <c r="P2342" s="8" t="inlineStr">
        <is>
          <t>M3</t>
        </is>
      </c>
      <c r="Q2342" s="10">
        <f>IFERROR(IFERROR(VLOOKUP(A2342,TRAOPE!$A:$U,21,0),VLOOKUP(B2342,TRAOPE!$A:$U,21,0)),"")</f>
        <v/>
      </c>
      <c r="R2342" s="8">
        <f>IFERROR(IFERROR(VLOOKUP(A2342,TRAOPE!$A:$W,23,0),VLOOKUP(B2342,TRAOPE!$A:$W,23,0)),"")</f>
        <v/>
      </c>
      <c r="S2342" s="10">
        <f>IF(AND(P2342="TN",R2342="TN"),N2342+N(O2342),IF(G2342&amp;""="1",N(K2342)*N2342,(N2342+N(O2342))*N(K2342)))</f>
        <v/>
      </c>
      <c r="T2342" s="10">
        <f>IF(Q2342="","",Q2342-S2342)</f>
        <v/>
      </c>
    </row>
    <row r="2343">
      <c r="A2343" s="7">
        <f>CONCATENATE(C2343,E2343,F2343,I2343)</f>
        <v/>
      </c>
      <c r="B2343" s="7">
        <f>CONCATENATE(C2343,E2343,I2343)</f>
        <v/>
      </c>
      <c r="C2343" s="8" t="n">
        <v>900002574</v>
      </c>
      <c r="D2343" s="7">
        <f>IFERROR(VLOOKUP(C2343,TRAOPE!$G:$H,2,0),"")</f>
        <v/>
      </c>
      <c r="E2343" s="8" t="inlineStr">
        <is>
          <t>D836</t>
        </is>
      </c>
      <c r="F2343" s="8" t="inlineStr">
        <is>
          <t>66898745</t>
        </is>
      </c>
      <c r="G2343" s="8">
        <f>IFERROR(VLOOKUP(A2343,Flete!$A:$E,5,0),"")</f>
        <v/>
      </c>
      <c r="H2343" s="7">
        <f>IFERROR(VLOOKUP(F2343,TRAOPE!$AA:$AB,2,0),"")</f>
        <v/>
      </c>
      <c r="I2343" s="7" t="n">
        <v>10000160</v>
      </c>
      <c r="J2343" s="7">
        <f>IFERROR(VLOOKUP(I2343,Materiales!$A:$H,8,0),"")</f>
        <v/>
      </c>
      <c r="K2343" s="9">
        <f>IFERROR(VLOOKUP(I2343,Materiales!$A:$G,7,0),"")</f>
        <v/>
      </c>
      <c r="L2343" s="8" t="inlineStr">
        <is>
          <t>20170101</t>
        </is>
      </c>
      <c r="M2343" s="8" t="inlineStr">
        <is>
          <t>20260215</t>
        </is>
      </c>
      <c r="N2343" s="10" t="n">
        <v>105</v>
      </c>
      <c r="O2343" s="10">
        <f>IFERROR(VLOOKUP(A2343,Flete!$A:$J,10,0),"")</f>
        <v/>
      </c>
      <c r="P2343" s="8" t="inlineStr">
        <is>
          <t>M3</t>
        </is>
      </c>
      <c r="Q2343" s="10">
        <f>IFERROR(IFERROR(VLOOKUP(A2343,TRAOPE!$A:$U,21,0),VLOOKUP(B2343,TRAOPE!$A:$U,21,0)),"")</f>
        <v/>
      </c>
      <c r="R2343" s="8">
        <f>IFERROR(IFERROR(VLOOKUP(A2343,TRAOPE!$A:$W,23,0),VLOOKUP(B2343,TRAOPE!$A:$W,23,0)),"")</f>
        <v/>
      </c>
      <c r="S2343" s="10">
        <f>IF(AND(P2343="TN",R2343="TN"),N2343+N(O2343),IF(G2343&amp;""="1",N(K2343)*N2343,(N2343+N(O2343))*N(K2343)))</f>
        <v/>
      </c>
      <c r="T2343" s="10">
        <f>IF(Q2343="","",Q2343-S2343)</f>
        <v/>
      </c>
    </row>
    <row r="2344">
      <c r="A2344" s="7">
        <f>CONCATENATE(C2344,E2344,F2344,I2344)</f>
        <v/>
      </c>
      <c r="B2344" s="7">
        <f>CONCATENATE(C2344,E2344,I2344)</f>
        <v/>
      </c>
      <c r="C2344" s="8" t="n">
        <v>900002574</v>
      </c>
      <c r="D2344" s="7">
        <f>IFERROR(VLOOKUP(C2344,TRAOPE!$G:$H,2,0),"")</f>
        <v/>
      </c>
      <c r="E2344" s="8" t="inlineStr">
        <is>
          <t>D836</t>
        </is>
      </c>
      <c r="F2344" s="8" t="inlineStr">
        <is>
          <t>66898745</t>
        </is>
      </c>
      <c r="G2344" s="8">
        <f>IFERROR(VLOOKUP(A2344,Flete!$A:$E,5,0),"")</f>
        <v/>
      </c>
      <c r="H2344" s="7">
        <f>IFERROR(VLOOKUP(F2344,TRAOPE!$AA:$AB,2,0),"")</f>
        <v/>
      </c>
      <c r="I2344" s="7" t="n">
        <v>10000357</v>
      </c>
      <c r="J2344" s="7">
        <f>IFERROR(VLOOKUP(I2344,Materiales!$A:$H,8,0),"")</f>
        <v/>
      </c>
      <c r="K2344" s="9">
        <f>IFERROR(VLOOKUP(I2344,Materiales!$A:$G,7,0),"")</f>
        <v/>
      </c>
      <c r="L2344" s="8" t="inlineStr">
        <is>
          <t>20170101</t>
        </is>
      </c>
      <c r="M2344" s="8" t="inlineStr">
        <is>
          <t>20260215</t>
        </is>
      </c>
      <c r="N2344" s="10" t="n">
        <v>125</v>
      </c>
      <c r="O2344" s="10">
        <f>IFERROR(VLOOKUP(A2344,Flete!$A:$J,10,0),"")</f>
        <v/>
      </c>
      <c r="P2344" s="8" t="inlineStr">
        <is>
          <t>M3</t>
        </is>
      </c>
      <c r="Q2344" s="10">
        <f>IFERROR(IFERROR(VLOOKUP(A2344,TRAOPE!$A:$U,21,0),VLOOKUP(B2344,TRAOPE!$A:$U,21,0)),"")</f>
        <v/>
      </c>
      <c r="R2344" s="8">
        <f>IFERROR(IFERROR(VLOOKUP(A2344,TRAOPE!$A:$W,23,0),VLOOKUP(B2344,TRAOPE!$A:$W,23,0)),"")</f>
        <v/>
      </c>
      <c r="S2344" s="10">
        <f>IF(AND(P2344="TN",R2344="TN"),N2344+N(O2344),IF(G2344&amp;""="1",N(K2344)*N2344,(N2344+N(O2344))*N(K2344)))</f>
        <v/>
      </c>
      <c r="T2344" s="10">
        <f>IF(Q2344="","",Q2344-S2344)</f>
        <v/>
      </c>
    </row>
    <row r="2345">
      <c r="A2345" s="7">
        <f>CONCATENATE(C2345,E2345,F2345,I2345)</f>
        <v/>
      </c>
      <c r="B2345" s="7">
        <f>CONCATENATE(C2345,E2345,I2345)</f>
        <v/>
      </c>
      <c r="C2345" s="8" t="n">
        <v>900002574</v>
      </c>
      <c r="D2345" s="7">
        <f>IFERROR(VLOOKUP(C2345,TRAOPE!$G:$H,2,0),"")</f>
        <v/>
      </c>
      <c r="E2345" s="8" t="inlineStr">
        <is>
          <t>D836</t>
        </is>
      </c>
      <c r="F2345" s="8" t="inlineStr">
        <is>
          <t>66940720</t>
        </is>
      </c>
      <c r="G2345" s="8">
        <f>IFERROR(VLOOKUP(A2345,Flete!$A:$E,5,0),"")</f>
        <v/>
      </c>
      <c r="H2345" s="7">
        <f>IFERROR(VLOOKUP(F2345,TRAOPE!$AA:$AB,2,0),"")</f>
        <v/>
      </c>
      <c r="I2345" s="7" t="n">
        <v>10000133</v>
      </c>
      <c r="J2345" s="7">
        <f>IFERROR(VLOOKUP(I2345,Materiales!$A:$H,8,0),"")</f>
        <v/>
      </c>
      <c r="K2345" s="9">
        <f>IFERROR(VLOOKUP(I2345,Materiales!$A:$G,7,0),"")</f>
        <v/>
      </c>
      <c r="L2345" s="8" t="inlineStr">
        <is>
          <t>20170101</t>
        </is>
      </c>
      <c r="M2345" s="8" t="inlineStr">
        <is>
          <t>20260215</t>
        </is>
      </c>
      <c r="N2345" s="10" t="n">
        <v>186</v>
      </c>
      <c r="O2345" s="10">
        <f>IFERROR(VLOOKUP(A2345,Flete!$A:$J,10,0),"")</f>
        <v/>
      </c>
      <c r="P2345" s="8" t="inlineStr">
        <is>
          <t>M3</t>
        </is>
      </c>
      <c r="Q2345" s="10">
        <f>IFERROR(IFERROR(VLOOKUP(A2345,TRAOPE!$A:$U,21,0),VLOOKUP(B2345,TRAOPE!$A:$U,21,0)),"")</f>
        <v/>
      </c>
      <c r="R2345" s="8">
        <f>IFERROR(IFERROR(VLOOKUP(A2345,TRAOPE!$A:$W,23,0),VLOOKUP(B2345,TRAOPE!$A:$W,23,0)),"")</f>
        <v/>
      </c>
      <c r="S2345" s="10">
        <f>IF(AND(P2345="TN",R2345="TN"),N2345+N(O2345),IF(G2345&amp;""="1",N(K2345)*N2345,(N2345+N(O2345))*N(K2345)))</f>
        <v/>
      </c>
      <c r="T2345" s="10">
        <f>IF(Q2345="","",Q2345-S2345)</f>
        <v/>
      </c>
    </row>
    <row r="2346">
      <c r="A2346" s="7">
        <f>CONCATENATE(C2346,E2346,F2346,I2346)</f>
        <v/>
      </c>
      <c r="B2346" s="7">
        <f>CONCATENATE(C2346,E2346,I2346)</f>
        <v/>
      </c>
      <c r="C2346" s="8" t="n">
        <v>900002574</v>
      </c>
      <c r="D2346" s="7">
        <f>IFERROR(VLOOKUP(C2346,TRAOPE!$G:$H,2,0),"")</f>
        <v/>
      </c>
      <c r="E2346" s="8" t="inlineStr">
        <is>
          <t>D836</t>
        </is>
      </c>
      <c r="F2346" s="8" t="inlineStr">
        <is>
          <t>66940720</t>
        </is>
      </c>
      <c r="G2346" s="8">
        <f>IFERROR(VLOOKUP(A2346,Flete!$A:$E,5,0),"")</f>
        <v/>
      </c>
      <c r="H2346" s="7">
        <f>IFERROR(VLOOKUP(F2346,TRAOPE!$AA:$AB,2,0),"")</f>
        <v/>
      </c>
      <c r="I2346" s="7" t="n">
        <v>10058345</v>
      </c>
      <c r="J2346" s="7">
        <f>IFERROR(VLOOKUP(I2346,Materiales!$A:$H,8,0),"")</f>
        <v/>
      </c>
      <c r="K2346" s="9">
        <f>IFERROR(VLOOKUP(I2346,Materiales!$A:$G,7,0),"")</f>
        <v/>
      </c>
      <c r="L2346" s="8" t="inlineStr">
        <is>
          <t>20170101</t>
        </is>
      </c>
      <c r="M2346" s="8" t="inlineStr">
        <is>
          <t>20260215</t>
        </is>
      </c>
      <c r="N2346" s="10" t="n">
        <v>126</v>
      </c>
      <c r="O2346" s="10">
        <f>IFERROR(VLOOKUP(A2346,Flete!$A:$J,10,0),"")</f>
        <v/>
      </c>
      <c r="P2346" s="8" t="inlineStr">
        <is>
          <t>M3</t>
        </is>
      </c>
      <c r="Q2346" s="10">
        <f>IFERROR(IFERROR(VLOOKUP(A2346,TRAOPE!$A:$U,21,0),VLOOKUP(B2346,TRAOPE!$A:$U,21,0)),"")</f>
        <v/>
      </c>
      <c r="R2346" s="8">
        <f>IFERROR(IFERROR(VLOOKUP(A2346,TRAOPE!$A:$W,23,0),VLOOKUP(B2346,TRAOPE!$A:$W,23,0)),"")</f>
        <v/>
      </c>
      <c r="S2346" s="10">
        <f>IF(AND(P2346="TN",R2346="TN"),N2346+N(O2346),IF(G2346&amp;""="1",N(K2346)*N2346,(N2346+N(O2346))*N(K2346)))</f>
        <v/>
      </c>
      <c r="T2346" s="10">
        <f>IF(Q2346="","",Q2346-S2346)</f>
        <v/>
      </c>
    </row>
    <row r="2347">
      <c r="A2347" s="7">
        <f>CONCATENATE(C2347,E2347,F2347,I2347)</f>
        <v/>
      </c>
      <c r="B2347" s="7">
        <f>CONCATENATE(C2347,E2347,I2347)</f>
        <v/>
      </c>
      <c r="C2347" s="8" t="n">
        <v>900002574</v>
      </c>
      <c r="D2347" s="7">
        <f>IFERROR(VLOOKUP(C2347,TRAOPE!$G:$H,2,0),"")</f>
        <v/>
      </c>
      <c r="E2347" s="8" t="inlineStr">
        <is>
          <t>D836</t>
        </is>
      </c>
      <c r="F2347" s="8" t="inlineStr">
        <is>
          <t>67033425</t>
        </is>
      </c>
      <c r="G2347" s="8">
        <f>IFERROR(VLOOKUP(A2347,Flete!$A:$E,5,0),"")</f>
        <v/>
      </c>
      <c r="H2347" s="7">
        <f>IFERROR(VLOOKUP(F2347,TRAOPE!$AA:$AB,2,0),"")</f>
        <v/>
      </c>
      <c r="I2347" s="7" t="n">
        <v>10000133</v>
      </c>
      <c r="J2347" s="7">
        <f>IFERROR(VLOOKUP(I2347,Materiales!$A:$H,8,0),"")</f>
        <v/>
      </c>
      <c r="K2347" s="9">
        <f>IFERROR(VLOOKUP(I2347,Materiales!$A:$G,7,0),"")</f>
        <v/>
      </c>
      <c r="L2347" s="8" t="inlineStr">
        <is>
          <t>20170101</t>
        </is>
      </c>
      <c r="M2347" s="8" t="inlineStr">
        <is>
          <t>20260215</t>
        </is>
      </c>
      <c r="N2347" s="10" t="n">
        <v>272</v>
      </c>
      <c r="O2347" s="10">
        <f>IFERROR(VLOOKUP(A2347,Flete!$A:$J,10,0),"")</f>
        <v/>
      </c>
      <c r="P2347" s="8" t="inlineStr">
        <is>
          <t>M3</t>
        </is>
      </c>
      <c r="Q2347" s="10">
        <f>IFERROR(IFERROR(VLOOKUP(A2347,TRAOPE!$A:$U,21,0),VLOOKUP(B2347,TRAOPE!$A:$U,21,0)),"")</f>
        <v/>
      </c>
      <c r="R2347" s="8">
        <f>IFERROR(IFERROR(VLOOKUP(A2347,TRAOPE!$A:$W,23,0),VLOOKUP(B2347,TRAOPE!$A:$W,23,0)),"")</f>
        <v/>
      </c>
      <c r="S2347" s="10">
        <f>IF(AND(P2347="TN",R2347="TN"),N2347+N(O2347),IF(G2347&amp;""="1",N(K2347)*N2347,(N2347+N(O2347))*N(K2347)))</f>
        <v/>
      </c>
      <c r="T2347" s="10">
        <f>IF(Q2347="","",Q2347-S2347)</f>
        <v/>
      </c>
    </row>
    <row r="2348">
      <c r="A2348" s="7">
        <f>CONCATENATE(C2348,E2348,F2348,I2348)</f>
        <v/>
      </c>
      <c r="B2348" s="7">
        <f>CONCATENATE(C2348,E2348,I2348)</f>
        <v/>
      </c>
      <c r="C2348" s="8" t="n">
        <v>900002574</v>
      </c>
      <c r="D2348" s="7">
        <f>IFERROR(VLOOKUP(C2348,TRAOPE!$G:$H,2,0),"")</f>
        <v/>
      </c>
      <c r="E2348" s="8" t="inlineStr">
        <is>
          <t>D836</t>
        </is>
      </c>
      <c r="F2348" s="8" t="inlineStr">
        <is>
          <t>67033425</t>
        </is>
      </c>
      <c r="G2348" s="8">
        <f>IFERROR(VLOOKUP(A2348,Flete!$A:$E,5,0),"")</f>
        <v/>
      </c>
      <c r="H2348" s="7">
        <f>IFERROR(VLOOKUP(F2348,TRAOPE!$AA:$AB,2,0),"")</f>
        <v/>
      </c>
      <c r="I2348" s="7" t="n">
        <v>10058345</v>
      </c>
      <c r="J2348" s="7">
        <f>IFERROR(VLOOKUP(I2348,Materiales!$A:$H,8,0),"")</f>
        <v/>
      </c>
      <c r="K2348" s="9">
        <f>IFERROR(VLOOKUP(I2348,Materiales!$A:$G,7,0),"")</f>
        <v/>
      </c>
      <c r="L2348" s="8" t="inlineStr">
        <is>
          <t>20170101</t>
        </is>
      </c>
      <c r="M2348" s="8" t="inlineStr">
        <is>
          <t>20260215</t>
        </is>
      </c>
      <c r="N2348" s="10" t="n">
        <v>195</v>
      </c>
      <c r="O2348" s="10">
        <f>IFERROR(VLOOKUP(A2348,Flete!$A:$J,10,0),"")</f>
        <v/>
      </c>
      <c r="P2348" s="8" t="inlineStr">
        <is>
          <t>M3</t>
        </is>
      </c>
      <c r="Q2348" s="10">
        <f>IFERROR(IFERROR(VLOOKUP(A2348,TRAOPE!$A:$U,21,0),VLOOKUP(B2348,TRAOPE!$A:$U,21,0)),"")</f>
        <v/>
      </c>
      <c r="R2348" s="8">
        <f>IFERROR(IFERROR(VLOOKUP(A2348,TRAOPE!$A:$W,23,0),VLOOKUP(B2348,TRAOPE!$A:$W,23,0)),"")</f>
        <v/>
      </c>
      <c r="S2348" s="10">
        <f>IF(AND(P2348="TN",R2348="TN"),N2348+N(O2348),IF(G2348&amp;""="1",N(K2348)*N2348,(N2348+N(O2348))*N(K2348)))</f>
        <v/>
      </c>
      <c r="T2348" s="10">
        <f>IF(Q2348="","",Q2348-S2348)</f>
        <v/>
      </c>
    </row>
    <row r="2349">
      <c r="A2349" s="7">
        <f>CONCATENATE(C2349,E2349,F2349,I2349)</f>
        <v/>
      </c>
      <c r="B2349" s="7">
        <f>CONCATENATE(C2349,E2349,I2349)</f>
        <v/>
      </c>
      <c r="C2349" s="8" t="n">
        <v>900002574</v>
      </c>
      <c r="D2349" s="7">
        <f>IFERROR(VLOOKUP(C2349,TRAOPE!$G:$H,2,0),"")</f>
        <v/>
      </c>
      <c r="E2349" s="8" t="inlineStr">
        <is>
          <t>D836</t>
        </is>
      </c>
      <c r="F2349" s="8" t="inlineStr">
        <is>
          <t>67148606</t>
        </is>
      </c>
      <c r="G2349" s="8">
        <f>IFERROR(VLOOKUP(A2349,Flete!$A:$E,5,0),"")</f>
        <v/>
      </c>
      <c r="H2349" s="7">
        <f>IFERROR(VLOOKUP(F2349,TRAOPE!$AA:$AB,2,0),"")</f>
        <v/>
      </c>
      <c r="I2349" s="7" t="n">
        <v>10000133</v>
      </c>
      <c r="J2349" s="7">
        <f>IFERROR(VLOOKUP(I2349,Materiales!$A:$H,8,0),"")</f>
        <v/>
      </c>
      <c r="K2349" s="9">
        <f>IFERROR(VLOOKUP(I2349,Materiales!$A:$G,7,0),"")</f>
        <v/>
      </c>
      <c r="L2349" s="8" t="inlineStr">
        <is>
          <t>20170101</t>
        </is>
      </c>
      <c r="M2349" s="8" t="inlineStr">
        <is>
          <t>20260215</t>
        </is>
      </c>
      <c r="N2349" s="10" t="n">
        <v>854</v>
      </c>
      <c r="O2349" s="10">
        <f>IFERROR(VLOOKUP(A2349,Flete!$A:$J,10,0),"")</f>
        <v/>
      </c>
      <c r="P2349" s="8" t="inlineStr">
        <is>
          <t>M3</t>
        </is>
      </c>
      <c r="Q2349" s="10">
        <f>IFERROR(IFERROR(VLOOKUP(A2349,TRAOPE!$A:$U,21,0),VLOOKUP(B2349,TRAOPE!$A:$U,21,0)),"")</f>
        <v/>
      </c>
      <c r="R2349" s="8">
        <f>IFERROR(IFERROR(VLOOKUP(A2349,TRAOPE!$A:$W,23,0),VLOOKUP(B2349,TRAOPE!$A:$W,23,0)),"")</f>
        <v/>
      </c>
      <c r="S2349" s="10">
        <f>IF(AND(P2349="TN",R2349="TN"),N2349+N(O2349),IF(G2349&amp;""="1",N(K2349)*N2349,(N2349+N(O2349))*N(K2349)))</f>
        <v/>
      </c>
      <c r="T2349" s="10">
        <f>IF(Q2349="","",Q2349-S2349)</f>
        <v/>
      </c>
    </row>
    <row r="2350">
      <c r="A2350" s="7">
        <f>CONCATENATE(C2350,E2350,F2350,I2350)</f>
        <v/>
      </c>
      <c r="B2350" s="7">
        <f>CONCATENATE(C2350,E2350,I2350)</f>
        <v/>
      </c>
      <c r="C2350" s="8" t="n">
        <v>900002574</v>
      </c>
      <c r="D2350" s="7">
        <f>IFERROR(VLOOKUP(C2350,TRAOPE!$G:$H,2,0),"")</f>
        <v/>
      </c>
      <c r="E2350" s="8" t="inlineStr">
        <is>
          <t>D836</t>
        </is>
      </c>
      <c r="F2350" s="8" t="inlineStr">
        <is>
          <t>67148606</t>
        </is>
      </c>
      <c r="G2350" s="8">
        <f>IFERROR(VLOOKUP(A2350,Flete!$A:$E,5,0),"")</f>
        <v/>
      </c>
      <c r="H2350" s="7">
        <f>IFERROR(VLOOKUP(F2350,TRAOPE!$AA:$AB,2,0),"")</f>
        <v/>
      </c>
      <c r="I2350" s="7" t="n">
        <v>10058345</v>
      </c>
      <c r="J2350" s="7">
        <f>IFERROR(VLOOKUP(I2350,Materiales!$A:$H,8,0),"")</f>
        <v/>
      </c>
      <c r="K2350" s="9">
        <f>IFERROR(VLOOKUP(I2350,Materiales!$A:$G,7,0),"")</f>
        <v/>
      </c>
      <c r="L2350" s="8" t="inlineStr">
        <is>
          <t>20170101</t>
        </is>
      </c>
      <c r="M2350" s="8" t="inlineStr">
        <is>
          <t>20260215</t>
        </is>
      </c>
      <c r="N2350" s="10" t="n">
        <v>739</v>
      </c>
      <c r="O2350" s="10">
        <f>IFERROR(VLOOKUP(A2350,Flete!$A:$J,10,0),"")</f>
        <v/>
      </c>
      <c r="P2350" s="8" t="inlineStr">
        <is>
          <t>M3</t>
        </is>
      </c>
      <c r="Q2350" s="10">
        <f>IFERROR(IFERROR(VLOOKUP(A2350,TRAOPE!$A:$U,21,0),VLOOKUP(B2350,TRAOPE!$A:$U,21,0)),"")</f>
        <v/>
      </c>
      <c r="R2350" s="8">
        <f>IFERROR(IFERROR(VLOOKUP(A2350,TRAOPE!$A:$W,23,0),VLOOKUP(B2350,TRAOPE!$A:$W,23,0)),"")</f>
        <v/>
      </c>
      <c r="S2350" s="10">
        <f>IF(AND(P2350="TN",R2350="TN"),N2350+N(O2350),IF(G2350&amp;""="1",N(K2350)*N2350,(N2350+N(O2350))*N(K2350)))</f>
        <v/>
      </c>
      <c r="T2350" s="10">
        <f>IF(Q2350="","",Q2350-S2350)</f>
        <v/>
      </c>
    </row>
    <row r="2351">
      <c r="A2351" s="7">
        <f>CONCATENATE(C2351,E2351,F2351,I2351)</f>
        <v/>
      </c>
      <c r="B2351" s="7">
        <f>CONCATENATE(C2351,E2351,I2351)</f>
        <v/>
      </c>
      <c r="C2351" s="8" t="n">
        <v>900002574</v>
      </c>
      <c r="D2351" s="7">
        <f>IFERROR(VLOOKUP(C2351,TRAOPE!$G:$H,2,0),"")</f>
        <v/>
      </c>
      <c r="E2351" s="8" t="inlineStr">
        <is>
          <t>D836</t>
        </is>
      </c>
      <c r="F2351" s="8" t="inlineStr">
        <is>
          <t>67289624</t>
        </is>
      </c>
      <c r="G2351" s="8">
        <f>IFERROR(VLOOKUP(A2351,Flete!$A:$E,5,0),"")</f>
        <v/>
      </c>
      <c r="H2351" s="7">
        <f>IFERROR(VLOOKUP(F2351,TRAOPE!$AA:$AB,2,0),"")</f>
        <v/>
      </c>
      <c r="I2351" s="7" t="n">
        <v>10000160</v>
      </c>
      <c r="J2351" s="7">
        <f>IFERROR(VLOOKUP(I2351,Materiales!$A:$H,8,0),"")</f>
        <v/>
      </c>
      <c r="K2351" s="9">
        <f>IFERROR(VLOOKUP(I2351,Materiales!$A:$G,7,0),"")</f>
        <v/>
      </c>
      <c r="L2351" s="8" t="inlineStr">
        <is>
          <t>20241023</t>
        </is>
      </c>
      <c r="M2351" s="8" t="inlineStr">
        <is>
          <t>20260215</t>
        </is>
      </c>
      <c r="N2351" s="10" t="n">
        <v>365</v>
      </c>
      <c r="O2351" s="10">
        <f>IFERROR(VLOOKUP(A2351,Flete!$A:$J,10,0),"")</f>
        <v/>
      </c>
      <c r="P2351" s="8" t="inlineStr">
        <is>
          <t>M3</t>
        </is>
      </c>
      <c r="Q2351" s="10">
        <f>IFERROR(IFERROR(VLOOKUP(A2351,TRAOPE!$A:$U,21,0),VLOOKUP(B2351,TRAOPE!$A:$U,21,0)),"")</f>
        <v/>
      </c>
      <c r="R2351" s="8">
        <f>IFERROR(IFERROR(VLOOKUP(A2351,TRAOPE!$A:$W,23,0),VLOOKUP(B2351,TRAOPE!$A:$W,23,0)),"")</f>
        <v/>
      </c>
      <c r="S2351" s="10">
        <f>IF(AND(P2351="TN",R2351="TN"),N2351+N(O2351),IF(G2351&amp;""="1",N(K2351)*N2351,(N2351+N(O2351))*N(K2351)))</f>
        <v/>
      </c>
      <c r="T2351" s="10">
        <f>IF(Q2351="","",Q2351-S2351)</f>
        <v/>
      </c>
    </row>
    <row r="2352">
      <c r="A2352" s="7">
        <f>CONCATENATE(C2352,E2352,F2352,I2352)</f>
        <v/>
      </c>
      <c r="B2352" s="7">
        <f>CONCATENATE(C2352,E2352,I2352)</f>
        <v/>
      </c>
      <c r="C2352" s="8" t="n">
        <v>900003588</v>
      </c>
      <c r="D2352" s="7">
        <f>IFERROR(VLOOKUP(C2352,TRAOPE!$G:$H,2,0),"")</f>
        <v/>
      </c>
      <c r="E2352" s="8" t="inlineStr">
        <is>
          <t>D836</t>
        </is>
      </c>
      <c r="F2352" s="8" t="inlineStr">
        <is>
          <t>66825797</t>
        </is>
      </c>
      <c r="G2352" s="8">
        <f>IFERROR(VLOOKUP(A2352,Flete!$A:$E,5,0),"")</f>
        <v/>
      </c>
      <c r="H2352" s="7">
        <f>IFERROR(VLOOKUP(F2352,TRAOPE!$AA:$AB,2,0),"")</f>
        <v/>
      </c>
      <c r="I2352" s="7" t="n">
        <v>10000140</v>
      </c>
      <c r="J2352" s="7">
        <f>IFERROR(VLOOKUP(I2352,Materiales!$A:$H,8,0),"")</f>
        <v/>
      </c>
      <c r="K2352" s="9">
        <f>IFERROR(VLOOKUP(I2352,Materiales!$A:$G,7,0),"")</f>
        <v/>
      </c>
      <c r="L2352" s="8" t="inlineStr">
        <is>
          <t>20241023</t>
        </is>
      </c>
      <c r="M2352" s="8" t="inlineStr">
        <is>
          <t>20260215</t>
        </is>
      </c>
      <c r="N2352" s="10" t="n">
        <v>150</v>
      </c>
      <c r="O2352" s="10">
        <f>IFERROR(VLOOKUP(A2352,Flete!$A:$J,10,0),"")</f>
        <v/>
      </c>
      <c r="P2352" s="8" t="inlineStr">
        <is>
          <t>TN</t>
        </is>
      </c>
      <c r="Q2352" s="10">
        <f>IFERROR(IFERROR(VLOOKUP(A2352,TRAOPE!$A:$U,21,0),VLOOKUP(B2352,TRAOPE!$A:$U,21,0)),"")</f>
        <v/>
      </c>
      <c r="R2352" s="8">
        <f>IFERROR(IFERROR(VLOOKUP(A2352,TRAOPE!$A:$W,23,0),VLOOKUP(B2352,TRAOPE!$A:$W,23,0)),"")</f>
        <v/>
      </c>
      <c r="S2352" s="10">
        <f>IF(AND(P2352="TN",R2352="TN"),N2352+N(O2352),IF(G2352&amp;""="1",N(K2352)*N2352,(N2352+N(O2352))*N(K2352)))</f>
        <v/>
      </c>
      <c r="T2352" s="10">
        <f>IF(Q2352="","",Q2352-S2352)</f>
        <v/>
      </c>
    </row>
    <row r="2353">
      <c r="A2353" s="7">
        <f>CONCATENATE(C2353,E2353,F2353,I2353)</f>
        <v/>
      </c>
      <c r="B2353" s="7">
        <f>CONCATENATE(C2353,E2353,I2353)</f>
        <v/>
      </c>
      <c r="C2353" s="8" t="n">
        <v>900003588</v>
      </c>
      <c r="D2353" s="7">
        <f>IFERROR(VLOOKUP(C2353,TRAOPE!$G:$H,2,0),"")</f>
        <v/>
      </c>
      <c r="E2353" s="8" t="inlineStr">
        <is>
          <t>D836</t>
        </is>
      </c>
      <c r="F2353" s="8" t="inlineStr">
        <is>
          <t>66825797</t>
        </is>
      </c>
      <c r="G2353" s="8">
        <f>IFERROR(VLOOKUP(A2353,Flete!$A:$E,5,0),"")</f>
        <v/>
      </c>
      <c r="H2353" s="7">
        <f>IFERROR(VLOOKUP(F2353,TRAOPE!$AA:$AB,2,0),"")</f>
        <v/>
      </c>
      <c r="I2353" s="7" t="n">
        <v>10001354</v>
      </c>
      <c r="J2353" s="7">
        <f>IFERROR(VLOOKUP(I2353,Materiales!$A:$H,8,0),"")</f>
        <v/>
      </c>
      <c r="K2353" s="9">
        <f>IFERROR(VLOOKUP(I2353,Materiales!$A:$G,7,0),"")</f>
        <v/>
      </c>
      <c r="L2353" s="8" t="inlineStr">
        <is>
          <t>20200911</t>
        </is>
      </c>
      <c r="M2353" s="8" t="inlineStr">
        <is>
          <t>20260215</t>
        </is>
      </c>
      <c r="N2353" s="10" t="n">
        <v>129</v>
      </c>
      <c r="O2353" s="10">
        <f>IFERROR(VLOOKUP(A2353,Flete!$A:$J,10,0),"")</f>
        <v/>
      </c>
      <c r="P2353" s="8" t="inlineStr">
        <is>
          <t>TN</t>
        </is>
      </c>
      <c r="Q2353" s="10">
        <f>IFERROR(IFERROR(VLOOKUP(A2353,TRAOPE!$A:$U,21,0),VLOOKUP(B2353,TRAOPE!$A:$U,21,0)),"")</f>
        <v/>
      </c>
      <c r="R2353" s="8">
        <f>IFERROR(IFERROR(VLOOKUP(A2353,TRAOPE!$A:$W,23,0),VLOOKUP(B2353,TRAOPE!$A:$W,23,0)),"")</f>
        <v/>
      </c>
      <c r="S2353" s="10">
        <f>IF(AND(P2353="TN",R2353="TN"),N2353+N(O2353),IF(G2353&amp;""="1",N(K2353)*N2353,(N2353+N(O2353))*N(K2353)))</f>
        <v/>
      </c>
      <c r="T2353" s="10">
        <f>IF(Q2353="","",Q2353-S2353)</f>
        <v/>
      </c>
    </row>
    <row r="2354">
      <c r="A2354" s="7">
        <f>CONCATENATE(C2354,E2354,F2354,I2354)</f>
        <v/>
      </c>
      <c r="B2354" s="7">
        <f>CONCATENATE(C2354,E2354,I2354)</f>
        <v/>
      </c>
      <c r="C2354" s="8" t="n">
        <v>900003588</v>
      </c>
      <c r="D2354" s="7">
        <f>IFERROR(VLOOKUP(C2354,TRAOPE!$G:$H,2,0),"")</f>
        <v/>
      </c>
      <c r="E2354" s="8" t="inlineStr">
        <is>
          <t>D836</t>
        </is>
      </c>
      <c r="F2354" s="8" t="inlineStr">
        <is>
          <t>67244591</t>
        </is>
      </c>
      <c r="G2354" s="8">
        <f>IFERROR(VLOOKUP(A2354,Flete!$A:$E,5,0),"")</f>
        <v/>
      </c>
      <c r="H2354" s="7">
        <f>IFERROR(VLOOKUP(F2354,TRAOPE!$AA:$AB,2,0),"")</f>
        <v/>
      </c>
      <c r="I2354" s="7" t="n">
        <v>10000625</v>
      </c>
      <c r="J2354" s="7">
        <f>IFERROR(VLOOKUP(I2354,Materiales!$A:$H,8,0),"")</f>
        <v/>
      </c>
      <c r="K2354" s="9">
        <f>IFERROR(VLOOKUP(I2354,Materiales!$A:$G,7,0),"")</f>
        <v/>
      </c>
      <c r="L2354" s="8" t="inlineStr">
        <is>
          <t>20240619</t>
        </is>
      </c>
      <c r="M2354" s="8" t="inlineStr">
        <is>
          <t>20260215</t>
        </is>
      </c>
      <c r="N2354" s="10" t="n">
        <v>55</v>
      </c>
      <c r="O2354" s="10">
        <f>IFERROR(VLOOKUP(A2354,Flete!$A:$J,10,0),"")</f>
        <v/>
      </c>
      <c r="P2354" s="8" t="inlineStr">
        <is>
          <t>TN</t>
        </is>
      </c>
      <c r="Q2354" s="10">
        <f>IFERROR(IFERROR(VLOOKUP(A2354,TRAOPE!$A:$U,21,0),VLOOKUP(B2354,TRAOPE!$A:$U,21,0)),"")</f>
        <v/>
      </c>
      <c r="R2354" s="8">
        <f>IFERROR(IFERROR(VLOOKUP(A2354,TRAOPE!$A:$W,23,0),VLOOKUP(B2354,TRAOPE!$A:$W,23,0)),"")</f>
        <v/>
      </c>
      <c r="S2354" s="10">
        <f>IF(AND(P2354="TN",R2354="TN"),N2354+N(O2354),IF(G2354&amp;""="1",N(K2354)*N2354,(N2354+N(O2354))*N(K2354)))</f>
        <v/>
      </c>
      <c r="T2354" s="10">
        <f>IF(Q2354="","",Q2354-S2354)</f>
        <v/>
      </c>
    </row>
    <row r="2355">
      <c r="A2355" s="7">
        <f>CONCATENATE(C2355,E2355,F2355,I2355)</f>
        <v/>
      </c>
      <c r="B2355" s="7">
        <f>CONCATENATE(C2355,E2355,I2355)</f>
        <v/>
      </c>
      <c r="C2355" s="8" t="n">
        <v>900003601</v>
      </c>
      <c r="D2355" s="7">
        <f>IFERROR(VLOOKUP(C2355,TRAOPE!$G:$H,2,0),"")</f>
        <v/>
      </c>
      <c r="E2355" s="8" t="inlineStr">
        <is>
          <t>D836</t>
        </is>
      </c>
      <c r="F2355" s="8" t="inlineStr">
        <is>
          <t>66414377</t>
        </is>
      </c>
      <c r="G2355" s="8">
        <f>IFERROR(VLOOKUP(A2355,Flete!$A:$E,5,0),"")</f>
        <v/>
      </c>
      <c r="H2355" s="7">
        <f>IFERROR(VLOOKUP(F2355,TRAOPE!$AA:$AB,2,0),"")</f>
        <v/>
      </c>
      <c r="I2355" s="7" t="n">
        <v>10000623</v>
      </c>
      <c r="J2355" s="7">
        <f>IFERROR(VLOOKUP(I2355,Materiales!$A:$H,8,0),"")</f>
        <v/>
      </c>
      <c r="K2355" s="9">
        <f>IFERROR(VLOOKUP(I2355,Materiales!$A:$G,7,0),"")</f>
        <v/>
      </c>
      <c r="L2355" s="8" t="inlineStr">
        <is>
          <t>20240619</t>
        </is>
      </c>
      <c r="M2355" s="8" t="inlineStr">
        <is>
          <t>20260215</t>
        </is>
      </c>
      <c r="N2355" s="10" t="n">
        <v>110</v>
      </c>
      <c r="O2355" s="10">
        <f>IFERROR(VLOOKUP(A2355,Flete!$A:$J,10,0),"")</f>
        <v/>
      </c>
      <c r="P2355" s="8" t="inlineStr">
        <is>
          <t>TN</t>
        </is>
      </c>
      <c r="Q2355" s="10">
        <f>IFERROR(IFERROR(VLOOKUP(A2355,TRAOPE!$A:$U,21,0),VLOOKUP(B2355,TRAOPE!$A:$U,21,0)),"")</f>
        <v/>
      </c>
      <c r="R2355" s="8">
        <f>IFERROR(IFERROR(VLOOKUP(A2355,TRAOPE!$A:$W,23,0),VLOOKUP(B2355,TRAOPE!$A:$W,23,0)),"")</f>
        <v/>
      </c>
      <c r="S2355" s="10">
        <f>IF(AND(P2355="TN",R2355="TN"),N2355+N(O2355),IF(G2355&amp;""="1",N(K2355)*N2355,(N2355+N(O2355))*N(K2355)))</f>
        <v/>
      </c>
      <c r="T2355" s="10">
        <f>IF(Q2355="","",Q2355-S2355)</f>
        <v/>
      </c>
    </row>
    <row r="2356">
      <c r="A2356" s="7">
        <f>CONCATENATE(C2356,E2356,F2356,I2356)</f>
        <v/>
      </c>
      <c r="B2356" s="7">
        <f>CONCATENATE(C2356,E2356,I2356)</f>
        <v/>
      </c>
      <c r="C2356" s="8" t="n">
        <v>900003601</v>
      </c>
      <c r="D2356" s="7">
        <f>IFERROR(VLOOKUP(C2356,TRAOPE!$G:$H,2,0),"")</f>
        <v/>
      </c>
      <c r="E2356" s="8" t="inlineStr">
        <is>
          <t>D836</t>
        </is>
      </c>
      <c r="F2356" s="8" t="inlineStr">
        <is>
          <t>67089577</t>
        </is>
      </c>
      <c r="G2356" s="8">
        <f>IFERROR(VLOOKUP(A2356,Flete!$A:$E,5,0),"")</f>
        <v/>
      </c>
      <c r="H2356" s="7">
        <f>IFERROR(VLOOKUP(F2356,TRAOPE!$AA:$AB,2,0),"")</f>
        <v/>
      </c>
      <c r="I2356" s="7" t="n">
        <v>10000811</v>
      </c>
      <c r="J2356" s="7">
        <f>IFERROR(VLOOKUP(I2356,Materiales!$A:$H,8,0),"")</f>
        <v/>
      </c>
      <c r="K2356" s="9">
        <f>IFERROR(VLOOKUP(I2356,Materiales!$A:$G,7,0),"")</f>
        <v/>
      </c>
      <c r="L2356" s="8" t="inlineStr">
        <is>
          <t>20240619</t>
        </is>
      </c>
      <c r="M2356" s="8" t="inlineStr">
        <is>
          <t>20260215</t>
        </is>
      </c>
      <c r="N2356" s="10" t="n">
        <v>124.2</v>
      </c>
      <c r="O2356" s="10">
        <f>IFERROR(VLOOKUP(A2356,Flete!$A:$J,10,0),"")</f>
        <v/>
      </c>
      <c r="P2356" s="8" t="inlineStr">
        <is>
          <t>TN</t>
        </is>
      </c>
      <c r="Q2356" s="10">
        <f>IFERROR(IFERROR(VLOOKUP(A2356,TRAOPE!$A:$U,21,0),VLOOKUP(B2356,TRAOPE!$A:$U,21,0)),"")</f>
        <v/>
      </c>
      <c r="R2356" s="8">
        <f>IFERROR(IFERROR(VLOOKUP(A2356,TRAOPE!$A:$W,23,0),VLOOKUP(B2356,TRAOPE!$A:$W,23,0)),"")</f>
        <v/>
      </c>
      <c r="S2356" s="10">
        <f>IF(AND(P2356="TN",R2356="TN"),N2356+N(O2356),IF(G2356&amp;""="1",N(K2356)*N2356,(N2356+N(O2356))*N(K2356)))</f>
        <v/>
      </c>
      <c r="T2356" s="10">
        <f>IF(Q2356="","",Q2356-S2356)</f>
        <v/>
      </c>
    </row>
    <row r="2357">
      <c r="A2357" s="7">
        <f>CONCATENATE(C2357,E2357,F2357,I2357)</f>
        <v/>
      </c>
      <c r="B2357" s="7">
        <f>CONCATENATE(C2357,E2357,I2357)</f>
        <v/>
      </c>
      <c r="C2357" s="8" t="n">
        <v>900004077</v>
      </c>
      <c r="D2357" s="7">
        <f>IFERROR(VLOOKUP(C2357,TRAOPE!$G:$H,2,0),"")</f>
        <v/>
      </c>
      <c r="E2357" s="8" t="inlineStr">
        <is>
          <t>D836</t>
        </is>
      </c>
      <c r="F2357" s="8" t="inlineStr">
        <is>
          <t>66426100</t>
        </is>
      </c>
      <c r="G2357" s="8">
        <f>IFERROR(VLOOKUP(A2357,Flete!$A:$E,5,0),"")</f>
        <v/>
      </c>
      <c r="H2357" s="7">
        <f>IFERROR(VLOOKUP(F2357,TRAOPE!$AA:$AB,2,0),"")</f>
        <v/>
      </c>
      <c r="I2357" s="7" t="n">
        <v>10002802</v>
      </c>
      <c r="J2357" s="7">
        <f>IFERROR(VLOOKUP(I2357,Materiales!$A:$H,8,0),"")</f>
        <v/>
      </c>
      <c r="K2357" s="9">
        <f>IFERROR(VLOOKUP(I2357,Materiales!$A:$G,7,0),"")</f>
        <v/>
      </c>
      <c r="L2357" s="8" t="inlineStr">
        <is>
          <t>20240619</t>
        </is>
      </c>
      <c r="M2357" s="8" t="inlineStr">
        <is>
          <t>20260215</t>
        </is>
      </c>
      <c r="N2357" s="10" t="n">
        <v>140</v>
      </c>
      <c r="O2357" s="10">
        <f>IFERROR(VLOOKUP(A2357,Flete!$A:$J,10,0),"")</f>
        <v/>
      </c>
      <c r="P2357" s="8" t="inlineStr">
        <is>
          <t>M3</t>
        </is>
      </c>
      <c r="Q2357" s="10">
        <f>IFERROR(IFERROR(VLOOKUP(A2357,TRAOPE!$A:$U,21,0),VLOOKUP(B2357,TRAOPE!$A:$U,21,0)),"")</f>
        <v/>
      </c>
      <c r="R2357" s="8">
        <f>IFERROR(IFERROR(VLOOKUP(A2357,TRAOPE!$A:$W,23,0),VLOOKUP(B2357,TRAOPE!$A:$W,23,0)),"")</f>
        <v/>
      </c>
      <c r="S2357" s="10">
        <f>IF(AND(P2357="TN",R2357="TN"),N2357+N(O2357),IF(G2357&amp;""="1",N(K2357)*N2357,(N2357+N(O2357))*N(K2357)))</f>
        <v/>
      </c>
      <c r="T2357" s="10">
        <f>IF(Q2357="","",Q2357-S2357)</f>
        <v/>
      </c>
    </row>
    <row r="2358">
      <c r="A2358" s="7">
        <f>CONCATENATE(C2358,E2358,F2358,I2358)</f>
        <v/>
      </c>
      <c r="B2358" s="7">
        <f>CONCATENATE(C2358,E2358,I2358)</f>
        <v/>
      </c>
      <c r="C2358" s="8" t="n">
        <v>900004077</v>
      </c>
      <c r="D2358" s="7">
        <f>IFERROR(VLOOKUP(C2358,TRAOPE!$G:$H,2,0),"")</f>
        <v/>
      </c>
      <c r="E2358" s="8" t="inlineStr">
        <is>
          <t>D836</t>
        </is>
      </c>
      <c r="F2358" s="8" t="inlineStr">
        <is>
          <t>66433509</t>
        </is>
      </c>
      <c r="G2358" s="8">
        <f>IFERROR(VLOOKUP(A2358,Flete!$A:$E,5,0),"")</f>
        <v/>
      </c>
      <c r="H2358" s="7">
        <f>IFERROR(VLOOKUP(F2358,TRAOPE!$AA:$AB,2,0),"")</f>
        <v/>
      </c>
      <c r="I2358" s="7" t="n">
        <v>10002802</v>
      </c>
      <c r="J2358" s="7">
        <f>IFERROR(VLOOKUP(I2358,Materiales!$A:$H,8,0),"")</f>
        <v/>
      </c>
      <c r="K2358" s="9">
        <f>IFERROR(VLOOKUP(I2358,Materiales!$A:$G,7,0),"")</f>
        <v/>
      </c>
      <c r="L2358" s="8" t="inlineStr">
        <is>
          <t>20240619</t>
        </is>
      </c>
      <c r="M2358" s="8" t="inlineStr">
        <is>
          <t>20260215</t>
        </is>
      </c>
      <c r="N2358" s="10" t="n">
        <v>140</v>
      </c>
      <c r="O2358" s="10">
        <f>IFERROR(VLOOKUP(A2358,Flete!$A:$J,10,0),"")</f>
        <v/>
      </c>
      <c r="P2358" s="8" t="inlineStr">
        <is>
          <t>M3</t>
        </is>
      </c>
      <c r="Q2358" s="10">
        <f>IFERROR(IFERROR(VLOOKUP(A2358,TRAOPE!$A:$U,21,0),VLOOKUP(B2358,TRAOPE!$A:$U,21,0)),"")</f>
        <v/>
      </c>
      <c r="R2358" s="8">
        <f>IFERROR(IFERROR(VLOOKUP(A2358,TRAOPE!$A:$W,23,0),VLOOKUP(B2358,TRAOPE!$A:$W,23,0)),"")</f>
        <v/>
      </c>
      <c r="S2358" s="10">
        <f>IF(AND(P2358="TN",R2358="TN"),N2358+N(O2358),IF(G2358&amp;""="1",N(K2358)*N2358,(N2358+N(O2358))*N(K2358)))</f>
        <v/>
      </c>
      <c r="T2358" s="10">
        <f>IF(Q2358="","",Q2358-S2358)</f>
        <v/>
      </c>
    </row>
    <row r="2359">
      <c r="A2359" s="7">
        <f>CONCATENATE(C2359,E2359,F2359,I2359)</f>
        <v/>
      </c>
      <c r="B2359" s="7">
        <f>CONCATENATE(C2359,E2359,I2359)</f>
        <v/>
      </c>
      <c r="C2359" s="8" t="n">
        <v>900004323</v>
      </c>
      <c r="D2359" s="7">
        <f>IFERROR(VLOOKUP(C2359,TRAOPE!$G:$H,2,0),"")</f>
        <v/>
      </c>
      <c r="E2359" s="8" t="inlineStr">
        <is>
          <t>D836</t>
        </is>
      </c>
      <c r="F2359" s="8" t="inlineStr">
        <is>
          <t>65098481</t>
        </is>
      </c>
      <c r="G2359" s="8">
        <f>IFERROR(VLOOKUP(A2359,Flete!$A:$E,5,0),"")</f>
        <v/>
      </c>
      <c r="H2359" s="7">
        <f>IFERROR(VLOOKUP(F2359,TRAOPE!$AA:$AB,2,0),"")</f>
        <v/>
      </c>
      <c r="I2359" s="7" t="n">
        <v>10000160</v>
      </c>
      <c r="J2359" s="7">
        <f>IFERROR(VLOOKUP(I2359,Materiales!$A:$H,8,0),"")</f>
        <v/>
      </c>
      <c r="K2359" s="9">
        <f>IFERROR(VLOOKUP(I2359,Materiales!$A:$G,7,0),"")</f>
        <v/>
      </c>
      <c r="L2359" s="8" t="inlineStr">
        <is>
          <t>20180404</t>
        </is>
      </c>
      <c r="M2359" s="8" t="inlineStr">
        <is>
          <t>20260215</t>
        </is>
      </c>
      <c r="N2359" s="10" t="n">
        <v>83</v>
      </c>
      <c r="O2359" s="10">
        <f>IFERROR(VLOOKUP(A2359,Flete!$A:$J,10,0),"")</f>
        <v/>
      </c>
      <c r="P2359" s="8" t="inlineStr">
        <is>
          <t>M3</t>
        </is>
      </c>
      <c r="Q2359" s="10">
        <f>IFERROR(IFERROR(VLOOKUP(A2359,TRAOPE!$A:$U,21,0),VLOOKUP(B2359,TRAOPE!$A:$U,21,0)),"")</f>
        <v/>
      </c>
      <c r="R2359" s="8">
        <f>IFERROR(IFERROR(VLOOKUP(A2359,TRAOPE!$A:$W,23,0),VLOOKUP(B2359,TRAOPE!$A:$W,23,0)),"")</f>
        <v/>
      </c>
      <c r="S2359" s="10">
        <f>IF(AND(P2359="TN",R2359="TN"),N2359+N(O2359),IF(G2359&amp;""="1",N(K2359)*N2359,(N2359+N(O2359))*N(K2359)))</f>
        <v/>
      </c>
      <c r="T2359" s="10">
        <f>IF(Q2359="","",Q2359-S2359)</f>
        <v/>
      </c>
    </row>
    <row r="2360">
      <c r="A2360" s="7">
        <f>CONCATENATE(C2360,E2360,F2360,I2360)</f>
        <v/>
      </c>
      <c r="B2360" s="7">
        <f>CONCATENATE(C2360,E2360,I2360)</f>
        <v/>
      </c>
      <c r="C2360" s="8" t="n">
        <v>900004365</v>
      </c>
      <c r="D2360" s="7">
        <f>IFERROR(VLOOKUP(C2360,TRAOPE!$G:$H,2,0),"")</f>
        <v/>
      </c>
      <c r="E2360" s="8" t="inlineStr">
        <is>
          <t>D836</t>
        </is>
      </c>
      <c r="F2360" s="8" t="inlineStr">
        <is>
          <t>65098481</t>
        </is>
      </c>
      <c r="G2360" s="8">
        <f>IFERROR(VLOOKUP(A2360,Flete!$A:$E,5,0),"")</f>
        <v/>
      </c>
      <c r="H2360" s="7">
        <f>IFERROR(VLOOKUP(F2360,TRAOPE!$AA:$AB,2,0),"")</f>
        <v/>
      </c>
      <c r="I2360" s="7" t="n">
        <v>10000133</v>
      </c>
      <c r="J2360" s="7">
        <f>IFERROR(VLOOKUP(I2360,Materiales!$A:$H,8,0),"")</f>
        <v/>
      </c>
      <c r="K2360" s="9">
        <f>IFERROR(VLOOKUP(I2360,Materiales!$A:$G,7,0),"")</f>
        <v/>
      </c>
      <c r="L2360" s="8" t="inlineStr">
        <is>
          <t>20170101</t>
        </is>
      </c>
      <c r="M2360" s="8" t="inlineStr">
        <is>
          <t>20260215</t>
        </is>
      </c>
      <c r="N2360" s="10" t="n">
        <v>275</v>
      </c>
      <c r="O2360" s="10">
        <f>IFERROR(VLOOKUP(A2360,Flete!$A:$J,10,0),"")</f>
        <v/>
      </c>
      <c r="P2360" s="8" t="inlineStr">
        <is>
          <t>M3</t>
        </is>
      </c>
      <c r="Q2360" s="10">
        <f>IFERROR(IFERROR(VLOOKUP(A2360,TRAOPE!$A:$U,21,0),VLOOKUP(B2360,TRAOPE!$A:$U,21,0)),"")</f>
        <v/>
      </c>
      <c r="R2360" s="8">
        <f>IFERROR(IFERROR(VLOOKUP(A2360,TRAOPE!$A:$W,23,0),VLOOKUP(B2360,TRAOPE!$A:$W,23,0)),"")</f>
        <v/>
      </c>
      <c r="S2360" s="10">
        <f>IF(AND(P2360="TN",R2360="TN"),N2360+N(O2360),IF(G2360&amp;""="1",N(K2360)*N2360,(N2360+N(O2360))*N(K2360)))</f>
        <v/>
      </c>
      <c r="T2360" s="10">
        <f>IF(Q2360="","",Q2360-S2360)</f>
        <v/>
      </c>
    </row>
    <row r="2361">
      <c r="A2361" s="7">
        <f>CONCATENATE(C2361,E2361,F2361,I2361)</f>
        <v/>
      </c>
      <c r="B2361" s="7">
        <f>CONCATENATE(C2361,E2361,I2361)</f>
        <v/>
      </c>
      <c r="C2361" s="8" t="n">
        <v>900004365</v>
      </c>
      <c r="D2361" s="7">
        <f>IFERROR(VLOOKUP(C2361,TRAOPE!$G:$H,2,0),"")</f>
        <v/>
      </c>
      <c r="E2361" s="8" t="inlineStr">
        <is>
          <t>D836</t>
        </is>
      </c>
      <c r="F2361" s="8" t="inlineStr">
        <is>
          <t>65098481</t>
        </is>
      </c>
      <c r="G2361" s="8">
        <f>IFERROR(VLOOKUP(A2361,Flete!$A:$E,5,0),"")</f>
        <v/>
      </c>
      <c r="H2361" s="7">
        <f>IFERROR(VLOOKUP(F2361,TRAOPE!$AA:$AB,2,0),"")</f>
        <v/>
      </c>
      <c r="I2361" s="7" t="n">
        <v>10000624</v>
      </c>
      <c r="J2361" s="7">
        <f>IFERROR(VLOOKUP(I2361,Materiales!$A:$H,8,0),"")</f>
        <v/>
      </c>
      <c r="K2361" s="9">
        <f>IFERROR(VLOOKUP(I2361,Materiales!$A:$G,7,0),"")</f>
        <v/>
      </c>
      <c r="L2361" s="8" t="inlineStr">
        <is>
          <t>20170101</t>
        </is>
      </c>
      <c r="M2361" s="8" t="inlineStr">
        <is>
          <t>20260215</t>
        </is>
      </c>
      <c r="N2361" s="10" t="n">
        <v>253</v>
      </c>
      <c r="O2361" s="10">
        <f>IFERROR(VLOOKUP(A2361,Flete!$A:$J,10,0),"")</f>
        <v/>
      </c>
      <c r="P2361" s="8" t="inlineStr">
        <is>
          <t>M3</t>
        </is>
      </c>
      <c r="Q2361" s="10">
        <f>IFERROR(IFERROR(VLOOKUP(A2361,TRAOPE!$A:$U,21,0),VLOOKUP(B2361,TRAOPE!$A:$U,21,0)),"")</f>
        <v/>
      </c>
      <c r="R2361" s="8">
        <f>IFERROR(IFERROR(VLOOKUP(A2361,TRAOPE!$A:$W,23,0),VLOOKUP(B2361,TRAOPE!$A:$W,23,0)),"")</f>
        <v/>
      </c>
      <c r="S2361" s="10">
        <f>IF(AND(P2361="TN",R2361="TN"),N2361+N(O2361),IF(G2361&amp;""="1",N(K2361)*N2361,(N2361+N(O2361))*N(K2361)))</f>
        <v/>
      </c>
      <c r="T2361" s="10">
        <f>IF(Q2361="","",Q2361-S2361)</f>
        <v/>
      </c>
    </row>
    <row r="2362">
      <c r="A2362" s="7">
        <f>CONCATENATE(C2362,E2362,F2362,I2362)</f>
        <v/>
      </c>
      <c r="B2362" s="7">
        <f>CONCATENATE(C2362,E2362,I2362)</f>
        <v/>
      </c>
      <c r="C2362" s="8" t="n">
        <v>900004365</v>
      </c>
      <c r="D2362" s="7">
        <f>IFERROR(VLOOKUP(C2362,TRAOPE!$G:$H,2,0),"")</f>
        <v/>
      </c>
      <c r="E2362" s="8" t="inlineStr">
        <is>
          <t>D836</t>
        </is>
      </c>
      <c r="F2362" s="8" t="inlineStr">
        <is>
          <t>65098481</t>
        </is>
      </c>
      <c r="G2362" s="8">
        <f>IFERROR(VLOOKUP(A2362,Flete!$A:$E,5,0),"")</f>
        <v/>
      </c>
      <c r="H2362" s="7">
        <f>IFERROR(VLOOKUP(F2362,TRAOPE!$AA:$AB,2,0),"")</f>
        <v/>
      </c>
      <c r="I2362" s="7" t="n">
        <v>10149994</v>
      </c>
      <c r="J2362" s="7">
        <f>IFERROR(VLOOKUP(I2362,Materiales!$A:$H,8,0),"")</f>
        <v/>
      </c>
      <c r="K2362" s="9">
        <f>IFERROR(VLOOKUP(I2362,Materiales!$A:$G,7,0),"")</f>
        <v/>
      </c>
      <c r="L2362" s="8" t="inlineStr">
        <is>
          <t>20170101</t>
        </is>
      </c>
      <c r="M2362" s="8" t="inlineStr">
        <is>
          <t>20260215</t>
        </is>
      </c>
      <c r="N2362" s="10" t="n">
        <v>220</v>
      </c>
      <c r="O2362" s="10">
        <f>IFERROR(VLOOKUP(A2362,Flete!$A:$J,10,0),"")</f>
        <v/>
      </c>
      <c r="P2362" s="8" t="inlineStr">
        <is>
          <t>M3</t>
        </is>
      </c>
      <c r="Q2362" s="10">
        <f>IFERROR(IFERROR(VLOOKUP(A2362,TRAOPE!$A:$U,21,0),VLOOKUP(B2362,TRAOPE!$A:$U,21,0)),"")</f>
        <v/>
      </c>
      <c r="R2362" s="8">
        <f>IFERROR(IFERROR(VLOOKUP(A2362,TRAOPE!$A:$W,23,0),VLOOKUP(B2362,TRAOPE!$A:$W,23,0)),"")</f>
        <v/>
      </c>
      <c r="S2362" s="10">
        <f>IF(AND(P2362="TN",R2362="TN"),N2362+N(O2362),IF(G2362&amp;""="1",N(K2362)*N2362,(N2362+N(O2362))*N(K2362)))</f>
        <v/>
      </c>
      <c r="T2362" s="10">
        <f>IF(Q2362="","",Q2362-S2362)</f>
        <v/>
      </c>
    </row>
    <row r="2363">
      <c r="A2363" s="7">
        <f>CONCATENATE(C2363,E2363,F2363,I2363)</f>
        <v/>
      </c>
      <c r="B2363" s="7">
        <f>CONCATENATE(C2363,E2363,I2363)</f>
        <v/>
      </c>
      <c r="C2363" s="8" t="n">
        <v>900005356</v>
      </c>
      <c r="D2363" s="7">
        <f>IFERROR(VLOOKUP(C2363,TRAOPE!$G:$H,2,0),"")</f>
        <v/>
      </c>
      <c r="E2363" s="8" t="inlineStr">
        <is>
          <t>D836</t>
        </is>
      </c>
      <c r="F2363" s="8" t="inlineStr">
        <is>
          <t>66864508</t>
        </is>
      </c>
      <c r="G2363" s="8">
        <f>IFERROR(VLOOKUP(A2363,Flete!$A:$E,5,0),"")</f>
        <v/>
      </c>
      <c r="H2363" s="7">
        <f>IFERROR(VLOOKUP(F2363,TRAOPE!$AA:$AB,2,0),"")</f>
        <v/>
      </c>
      <c r="I2363" s="7" t="n">
        <v>10259792</v>
      </c>
      <c r="J2363" s="7">
        <f>IFERROR(VLOOKUP(I2363,Materiales!$A:$H,8,0),"")</f>
        <v/>
      </c>
      <c r="K2363" s="9">
        <f>IFERROR(VLOOKUP(I2363,Materiales!$A:$G,7,0),"")</f>
        <v/>
      </c>
      <c r="L2363" s="8" t="inlineStr">
        <is>
          <t>20240619</t>
        </is>
      </c>
      <c r="M2363" s="8" t="inlineStr">
        <is>
          <t>20260215</t>
        </is>
      </c>
      <c r="N2363" s="10" t="n">
        <v>77.17</v>
      </c>
      <c r="O2363" s="10">
        <f>IFERROR(VLOOKUP(A2363,Flete!$A:$J,10,0),"")</f>
        <v/>
      </c>
      <c r="P2363" s="8" t="inlineStr">
        <is>
          <t>TN</t>
        </is>
      </c>
      <c r="Q2363" s="10">
        <f>IFERROR(IFERROR(VLOOKUP(A2363,TRAOPE!$A:$U,21,0),VLOOKUP(B2363,TRAOPE!$A:$U,21,0)),"")</f>
        <v/>
      </c>
      <c r="R2363" s="8">
        <f>IFERROR(IFERROR(VLOOKUP(A2363,TRAOPE!$A:$W,23,0),VLOOKUP(B2363,TRAOPE!$A:$W,23,0)),"")</f>
        <v/>
      </c>
      <c r="S2363" s="10">
        <f>IF(AND(P2363="TN",R2363="TN"),N2363+N(O2363),IF(G2363&amp;""="1",N(K2363)*N2363,(N2363+N(O2363))*N(K2363)))</f>
        <v/>
      </c>
      <c r="T2363" s="10">
        <f>IF(Q2363="","",Q2363-S2363)</f>
        <v/>
      </c>
    </row>
    <row r="2364">
      <c r="A2364" s="7">
        <f>CONCATENATE(C2364,E2364,F2364,I2364)</f>
        <v/>
      </c>
      <c r="B2364" s="7">
        <f>CONCATENATE(C2364,E2364,I2364)</f>
        <v/>
      </c>
      <c r="C2364" s="8" t="n">
        <v>900005356</v>
      </c>
      <c r="D2364" s="7">
        <f>IFERROR(VLOOKUP(C2364,TRAOPE!$G:$H,2,0),"")</f>
        <v/>
      </c>
      <c r="E2364" s="8" t="inlineStr">
        <is>
          <t>D836</t>
        </is>
      </c>
      <c r="F2364" s="8" t="inlineStr">
        <is>
          <t>66864540</t>
        </is>
      </c>
      <c r="G2364" s="8">
        <f>IFERROR(VLOOKUP(A2364,Flete!$A:$E,5,0),"")</f>
        <v/>
      </c>
      <c r="H2364" s="7">
        <f>IFERROR(VLOOKUP(F2364,TRAOPE!$AA:$AB,2,0),"")</f>
        <v/>
      </c>
      <c r="I2364" s="7" t="n">
        <v>10259792</v>
      </c>
      <c r="J2364" s="7">
        <f>IFERROR(VLOOKUP(I2364,Materiales!$A:$H,8,0),"")</f>
        <v/>
      </c>
      <c r="K2364" s="9">
        <f>IFERROR(VLOOKUP(I2364,Materiales!$A:$G,7,0),"")</f>
        <v/>
      </c>
      <c r="L2364" s="8" t="inlineStr">
        <is>
          <t>20240619</t>
        </is>
      </c>
      <c r="M2364" s="8" t="inlineStr">
        <is>
          <t>20260215</t>
        </is>
      </c>
      <c r="N2364" s="10" t="n">
        <v>120</v>
      </c>
      <c r="O2364" s="10">
        <f>IFERROR(VLOOKUP(A2364,Flete!$A:$J,10,0),"")</f>
        <v/>
      </c>
      <c r="P2364" s="8" t="inlineStr">
        <is>
          <t>M3</t>
        </is>
      </c>
      <c r="Q2364" s="10">
        <f>IFERROR(IFERROR(VLOOKUP(A2364,TRAOPE!$A:$U,21,0),VLOOKUP(B2364,TRAOPE!$A:$U,21,0)),"")</f>
        <v/>
      </c>
      <c r="R2364" s="8">
        <f>IFERROR(IFERROR(VLOOKUP(A2364,TRAOPE!$A:$W,23,0),VLOOKUP(B2364,TRAOPE!$A:$W,23,0)),"")</f>
        <v/>
      </c>
      <c r="S2364" s="10">
        <f>IF(AND(P2364="TN",R2364="TN"),N2364+N(O2364),IF(G2364&amp;""="1",N(K2364)*N2364,(N2364+N(O2364))*N(K2364)))</f>
        <v/>
      </c>
      <c r="T2364" s="10">
        <f>IF(Q2364="","",Q2364-S2364)</f>
        <v/>
      </c>
    </row>
    <row r="2365">
      <c r="A2365" s="7">
        <f>CONCATENATE(C2365,E2365,F2365,I2365)</f>
        <v/>
      </c>
      <c r="B2365" s="7">
        <f>CONCATENATE(C2365,E2365,I2365)</f>
        <v/>
      </c>
      <c r="C2365" s="8" t="n">
        <v>900005356</v>
      </c>
      <c r="D2365" s="7">
        <f>IFERROR(VLOOKUP(C2365,TRAOPE!$G:$H,2,0),"")</f>
        <v/>
      </c>
      <c r="E2365" s="8" t="inlineStr">
        <is>
          <t>D836</t>
        </is>
      </c>
      <c r="F2365" s="8" t="inlineStr">
        <is>
          <t>66982053</t>
        </is>
      </c>
      <c r="G2365" s="8">
        <f>IFERROR(VLOOKUP(A2365,Flete!$A:$E,5,0),"")</f>
        <v/>
      </c>
      <c r="H2365" s="7">
        <f>IFERROR(VLOOKUP(F2365,TRAOPE!$AA:$AB,2,0),"")</f>
        <v/>
      </c>
      <c r="I2365" s="7" t="n">
        <v>10259792</v>
      </c>
      <c r="J2365" s="7">
        <f>IFERROR(VLOOKUP(I2365,Materiales!$A:$H,8,0),"")</f>
        <v/>
      </c>
      <c r="K2365" s="9">
        <f>IFERROR(VLOOKUP(I2365,Materiales!$A:$G,7,0),"")</f>
        <v/>
      </c>
      <c r="L2365" s="8" t="inlineStr">
        <is>
          <t>20240619</t>
        </is>
      </c>
      <c r="M2365" s="8" t="inlineStr">
        <is>
          <t>20260215</t>
        </is>
      </c>
      <c r="N2365" s="10" t="n">
        <v>77.17</v>
      </c>
      <c r="O2365" s="10">
        <f>IFERROR(VLOOKUP(A2365,Flete!$A:$J,10,0),"")</f>
        <v/>
      </c>
      <c r="P2365" s="8" t="inlineStr">
        <is>
          <t>TN</t>
        </is>
      </c>
      <c r="Q2365" s="10">
        <f>IFERROR(IFERROR(VLOOKUP(A2365,TRAOPE!$A:$U,21,0),VLOOKUP(B2365,TRAOPE!$A:$U,21,0)),"")</f>
        <v/>
      </c>
      <c r="R2365" s="8">
        <f>IFERROR(IFERROR(VLOOKUP(A2365,TRAOPE!$A:$W,23,0),VLOOKUP(B2365,TRAOPE!$A:$W,23,0)),"")</f>
        <v/>
      </c>
      <c r="S2365" s="10">
        <f>IF(AND(P2365="TN",R2365="TN"),N2365+N(O2365),IF(G2365&amp;""="1",N(K2365)*N2365,(N2365+N(O2365))*N(K2365)))</f>
        <v/>
      </c>
      <c r="T2365" s="10">
        <f>IF(Q2365="","",Q2365-S2365)</f>
        <v/>
      </c>
    </row>
    <row r="2366">
      <c r="A2366" s="7">
        <f>CONCATENATE(C2366,E2366,F2366,I2366)</f>
        <v/>
      </c>
      <c r="B2366" s="7">
        <f>CONCATENATE(C2366,E2366,I2366)</f>
        <v/>
      </c>
      <c r="C2366" s="8" t="n">
        <v>900006185</v>
      </c>
      <c r="D2366" s="7">
        <f>IFERROR(VLOOKUP(C2366,TRAOPE!$G:$H,2,0),"")</f>
        <v/>
      </c>
      <c r="E2366" s="8" t="inlineStr">
        <is>
          <t>D836</t>
        </is>
      </c>
      <c r="F2366" s="8" t="inlineStr">
        <is>
          <t>66990322</t>
        </is>
      </c>
      <c r="G2366" s="8">
        <f>IFERROR(VLOOKUP(A2366,Flete!$A:$E,5,0),"")</f>
        <v/>
      </c>
      <c r="H2366" s="7">
        <f>IFERROR(VLOOKUP(F2366,TRAOPE!$AA:$AB,2,0),"")</f>
        <v/>
      </c>
      <c r="I2366" s="7" t="n">
        <v>10000357</v>
      </c>
      <c r="J2366" s="7">
        <f>IFERROR(VLOOKUP(I2366,Materiales!$A:$H,8,0),"")</f>
        <v/>
      </c>
      <c r="K2366" s="9">
        <f>IFERROR(VLOOKUP(I2366,Materiales!$A:$G,7,0),"")</f>
        <v/>
      </c>
      <c r="L2366" s="8" t="inlineStr">
        <is>
          <t>20210721</t>
        </is>
      </c>
      <c r="M2366" s="8" t="inlineStr">
        <is>
          <t>20260215</t>
        </is>
      </c>
      <c r="N2366" s="10" t="n">
        <v>1425</v>
      </c>
      <c r="O2366" s="10">
        <f>IFERROR(VLOOKUP(A2366,Flete!$A:$J,10,0),"")</f>
        <v/>
      </c>
      <c r="P2366" s="8" t="inlineStr">
        <is>
          <t>M3</t>
        </is>
      </c>
      <c r="Q2366" s="10">
        <f>IFERROR(IFERROR(VLOOKUP(A2366,TRAOPE!$A:$U,21,0),VLOOKUP(B2366,TRAOPE!$A:$U,21,0)),"")</f>
        <v/>
      </c>
      <c r="R2366" s="8">
        <f>IFERROR(IFERROR(VLOOKUP(A2366,TRAOPE!$A:$W,23,0),VLOOKUP(B2366,TRAOPE!$A:$W,23,0)),"")</f>
        <v/>
      </c>
      <c r="S2366" s="10">
        <f>IF(AND(P2366="TN",R2366="TN"),N2366+N(O2366),IF(G2366&amp;""="1",N(K2366)*N2366,(N2366+N(O2366))*N(K2366)))</f>
        <v/>
      </c>
      <c r="T2366" s="10">
        <f>IF(Q2366="","",Q2366-S2366)</f>
        <v/>
      </c>
    </row>
    <row r="2367">
      <c r="A2367" s="7">
        <f>CONCATENATE(C2367,E2367,F2367,I2367)</f>
        <v/>
      </c>
      <c r="B2367" s="7">
        <f>CONCATENATE(C2367,E2367,I2367)</f>
        <v/>
      </c>
      <c r="C2367" s="8" t="n">
        <v>900006185</v>
      </c>
      <c r="D2367" s="7">
        <f>IFERROR(VLOOKUP(C2367,TRAOPE!$G:$H,2,0),"")</f>
        <v/>
      </c>
      <c r="E2367" s="8" t="inlineStr">
        <is>
          <t>D836</t>
        </is>
      </c>
      <c r="F2367" s="8" t="inlineStr">
        <is>
          <t>66990322</t>
        </is>
      </c>
      <c r="G2367" s="8">
        <f>IFERROR(VLOOKUP(A2367,Flete!$A:$E,5,0),"")</f>
        <v/>
      </c>
      <c r="H2367" s="7">
        <f>IFERROR(VLOOKUP(F2367,TRAOPE!$AA:$AB,2,0),"")</f>
        <v/>
      </c>
      <c r="I2367" s="7" t="n">
        <v>10000651</v>
      </c>
      <c r="J2367" s="7">
        <f>IFERROR(VLOOKUP(I2367,Materiales!$A:$H,8,0),"")</f>
        <v/>
      </c>
      <c r="K2367" s="9">
        <f>IFERROR(VLOOKUP(I2367,Materiales!$A:$G,7,0),"")</f>
        <v/>
      </c>
      <c r="L2367" s="8" t="inlineStr">
        <is>
          <t>20210721</t>
        </is>
      </c>
      <c r="M2367" s="8" t="inlineStr">
        <is>
          <t>20260215</t>
        </is>
      </c>
      <c r="N2367" s="10" t="n">
        <v>1425</v>
      </c>
      <c r="O2367" s="10">
        <f>IFERROR(VLOOKUP(A2367,Flete!$A:$J,10,0),"")</f>
        <v/>
      </c>
      <c r="P2367" s="8" t="inlineStr">
        <is>
          <t>M3</t>
        </is>
      </c>
      <c r="Q2367" s="10">
        <f>IFERROR(IFERROR(VLOOKUP(A2367,TRAOPE!$A:$U,21,0),VLOOKUP(B2367,TRAOPE!$A:$U,21,0)),"")</f>
        <v/>
      </c>
      <c r="R2367" s="8">
        <f>IFERROR(IFERROR(VLOOKUP(A2367,TRAOPE!$A:$W,23,0),VLOOKUP(B2367,TRAOPE!$A:$W,23,0)),"")</f>
        <v/>
      </c>
      <c r="S2367" s="10">
        <f>IF(AND(P2367="TN",R2367="TN"),N2367+N(O2367),IF(G2367&amp;""="1",N(K2367)*N2367,(N2367+N(O2367))*N(K2367)))</f>
        <v/>
      </c>
      <c r="T2367" s="10">
        <f>IF(Q2367="","",Q2367-S2367)</f>
        <v/>
      </c>
    </row>
    <row r="2368">
      <c r="A2368" s="7">
        <f>CONCATENATE(C2368,E2368,F2368,I2368)</f>
        <v/>
      </c>
      <c r="B2368" s="7">
        <f>CONCATENATE(C2368,E2368,I2368)</f>
        <v/>
      </c>
      <c r="C2368" s="8" t="n">
        <v>900006371</v>
      </c>
      <c r="D2368" s="7">
        <f>IFERROR(VLOOKUP(C2368,TRAOPE!$G:$H,2,0),"")</f>
        <v/>
      </c>
      <c r="E2368" s="8" t="inlineStr">
        <is>
          <t>D836</t>
        </is>
      </c>
      <c r="F2368" s="8" t="inlineStr">
        <is>
          <t>67014907</t>
        </is>
      </c>
      <c r="G2368" s="8">
        <f>IFERROR(VLOOKUP(A2368,Flete!$A:$E,5,0),"")</f>
        <v/>
      </c>
      <c r="H2368" s="7">
        <f>IFERROR(VLOOKUP(F2368,TRAOPE!$AA:$AB,2,0),"")</f>
        <v/>
      </c>
      <c r="I2368" s="7" t="n">
        <v>10057633</v>
      </c>
      <c r="J2368" s="7">
        <f>IFERROR(VLOOKUP(I2368,Materiales!$A:$H,8,0),"")</f>
        <v/>
      </c>
      <c r="K2368" s="9">
        <f>IFERROR(VLOOKUP(I2368,Materiales!$A:$G,7,0),"")</f>
        <v/>
      </c>
      <c r="L2368" s="8" t="inlineStr">
        <is>
          <t>20170101</t>
        </is>
      </c>
      <c r="M2368" s="8" t="inlineStr">
        <is>
          <t>20260215</t>
        </is>
      </c>
      <c r="N2368" s="10" t="n">
        <v>445</v>
      </c>
      <c r="O2368" s="10">
        <f>IFERROR(VLOOKUP(A2368,Flete!$A:$J,10,0),"")</f>
        <v/>
      </c>
      <c r="P2368" s="8" t="inlineStr">
        <is>
          <t>M3</t>
        </is>
      </c>
      <c r="Q2368" s="10">
        <f>IFERROR(IFERROR(VLOOKUP(A2368,TRAOPE!$A:$U,21,0),VLOOKUP(B2368,TRAOPE!$A:$U,21,0)),"")</f>
        <v/>
      </c>
      <c r="R2368" s="8">
        <f>IFERROR(IFERROR(VLOOKUP(A2368,TRAOPE!$A:$W,23,0),VLOOKUP(B2368,TRAOPE!$A:$W,23,0)),"")</f>
        <v/>
      </c>
      <c r="S2368" s="10">
        <f>IF(AND(P2368="TN",R2368="TN"),N2368+N(O2368),IF(G2368&amp;""="1",N(K2368)*N2368,(N2368+N(O2368))*N(K2368)))</f>
        <v/>
      </c>
      <c r="T2368" s="10">
        <f>IF(Q2368="","",Q2368-S2368)</f>
        <v/>
      </c>
    </row>
    <row r="2369">
      <c r="A2369" s="7">
        <f>CONCATENATE(C2369,E2369,F2369,I2369)</f>
        <v/>
      </c>
      <c r="B2369" s="7">
        <f>CONCATENATE(C2369,E2369,I2369)</f>
        <v/>
      </c>
      <c r="C2369" s="8" t="n">
        <v>900006542</v>
      </c>
      <c r="D2369" s="7">
        <f>IFERROR(VLOOKUP(C2369,TRAOPE!$G:$H,2,0),"")</f>
        <v/>
      </c>
      <c r="E2369" s="8" t="inlineStr">
        <is>
          <t>D836</t>
        </is>
      </c>
      <c r="F2369" s="8" t="inlineStr">
        <is>
          <t>66898745</t>
        </is>
      </c>
      <c r="G2369" s="8">
        <f>IFERROR(VLOOKUP(A2369,Flete!$A:$E,5,0),"")</f>
        <v/>
      </c>
      <c r="H2369" s="7">
        <f>IFERROR(VLOOKUP(F2369,TRAOPE!$AA:$AB,2,0),"")</f>
        <v/>
      </c>
      <c r="I2369" s="7" t="n">
        <v>10000160</v>
      </c>
      <c r="J2369" s="7">
        <f>IFERROR(VLOOKUP(I2369,Materiales!$A:$H,8,0),"")</f>
        <v/>
      </c>
      <c r="K2369" s="9">
        <f>IFERROR(VLOOKUP(I2369,Materiales!$A:$G,7,0),"")</f>
        <v/>
      </c>
      <c r="L2369" s="8" t="inlineStr">
        <is>
          <t>20170101</t>
        </is>
      </c>
      <c r="M2369" s="8" t="inlineStr">
        <is>
          <t>20260215</t>
        </is>
      </c>
      <c r="N2369" s="10" t="n">
        <v>110</v>
      </c>
      <c r="O2369" s="10">
        <f>IFERROR(VLOOKUP(A2369,Flete!$A:$J,10,0),"")</f>
        <v/>
      </c>
      <c r="P2369" s="8" t="inlineStr">
        <is>
          <t>M3</t>
        </is>
      </c>
      <c r="Q2369" s="10">
        <f>IFERROR(IFERROR(VLOOKUP(A2369,TRAOPE!$A:$U,21,0),VLOOKUP(B2369,TRAOPE!$A:$U,21,0)),"")</f>
        <v/>
      </c>
      <c r="R2369" s="8">
        <f>IFERROR(IFERROR(VLOOKUP(A2369,TRAOPE!$A:$W,23,0),VLOOKUP(B2369,TRAOPE!$A:$W,23,0)),"")</f>
        <v/>
      </c>
      <c r="S2369" s="10">
        <f>IF(AND(P2369="TN",R2369="TN"),N2369+N(O2369),IF(G2369&amp;""="1",N(K2369)*N2369,(N2369+N(O2369))*N(K2369)))</f>
        <v/>
      </c>
      <c r="T2369" s="10">
        <f>IF(Q2369="","",Q2369-S2369)</f>
        <v/>
      </c>
    </row>
    <row r="2370">
      <c r="A2370" s="7">
        <f>CONCATENATE(C2370,E2370,F2370,I2370)</f>
        <v/>
      </c>
      <c r="B2370" s="7">
        <f>CONCATENATE(C2370,E2370,I2370)</f>
        <v/>
      </c>
      <c r="C2370" s="8" t="n">
        <v>900006542</v>
      </c>
      <c r="D2370" s="7">
        <f>IFERROR(VLOOKUP(C2370,TRAOPE!$G:$H,2,0),"")</f>
        <v/>
      </c>
      <c r="E2370" s="8" t="inlineStr">
        <is>
          <t>D836</t>
        </is>
      </c>
      <c r="F2370" s="8" t="inlineStr">
        <is>
          <t>66898745</t>
        </is>
      </c>
      <c r="G2370" s="8">
        <f>IFERROR(VLOOKUP(A2370,Flete!$A:$E,5,0),"")</f>
        <v/>
      </c>
      <c r="H2370" s="7">
        <f>IFERROR(VLOOKUP(F2370,TRAOPE!$AA:$AB,2,0),"")</f>
        <v/>
      </c>
      <c r="I2370" s="7" t="n">
        <v>10000357</v>
      </c>
      <c r="J2370" s="7">
        <f>IFERROR(VLOOKUP(I2370,Materiales!$A:$H,8,0),"")</f>
        <v/>
      </c>
      <c r="K2370" s="9">
        <f>IFERROR(VLOOKUP(I2370,Materiales!$A:$G,7,0),"")</f>
        <v/>
      </c>
      <c r="L2370" s="8" t="inlineStr">
        <is>
          <t>20170101</t>
        </is>
      </c>
      <c r="M2370" s="8" t="inlineStr">
        <is>
          <t>20260215</t>
        </is>
      </c>
      <c r="N2370" s="10" t="n">
        <v>120</v>
      </c>
      <c r="O2370" s="10">
        <f>IFERROR(VLOOKUP(A2370,Flete!$A:$J,10,0),"")</f>
        <v/>
      </c>
      <c r="P2370" s="8" t="inlineStr">
        <is>
          <t>M3</t>
        </is>
      </c>
      <c r="Q2370" s="10">
        <f>IFERROR(IFERROR(VLOOKUP(A2370,TRAOPE!$A:$U,21,0),VLOOKUP(B2370,TRAOPE!$A:$U,21,0)),"")</f>
        <v/>
      </c>
      <c r="R2370" s="8">
        <f>IFERROR(IFERROR(VLOOKUP(A2370,TRAOPE!$A:$W,23,0),VLOOKUP(B2370,TRAOPE!$A:$W,23,0)),"")</f>
        <v/>
      </c>
      <c r="S2370" s="10">
        <f>IF(AND(P2370="TN",R2370="TN"),N2370+N(O2370),IF(G2370&amp;""="1",N(K2370)*N2370,(N2370+N(O2370))*N(K2370)))</f>
        <v/>
      </c>
      <c r="T2370" s="10">
        <f>IF(Q2370="","",Q2370-S2370)</f>
        <v/>
      </c>
    </row>
    <row r="2371">
      <c r="A2371" s="7">
        <f>CONCATENATE(C2371,E2371,F2371,I2371)</f>
        <v/>
      </c>
      <c r="B2371" s="7">
        <f>CONCATENATE(C2371,E2371,I2371)</f>
        <v/>
      </c>
      <c r="C2371" s="8" t="n">
        <v>900006542</v>
      </c>
      <c r="D2371" s="7">
        <f>IFERROR(VLOOKUP(C2371,TRAOPE!$G:$H,2,0),"")</f>
        <v/>
      </c>
      <c r="E2371" s="8" t="inlineStr">
        <is>
          <t>D836</t>
        </is>
      </c>
      <c r="F2371" s="8" t="inlineStr">
        <is>
          <t>67148606</t>
        </is>
      </c>
      <c r="G2371" s="8">
        <f>IFERROR(VLOOKUP(A2371,Flete!$A:$E,5,0),"")</f>
        <v/>
      </c>
      <c r="H2371" s="7">
        <f>IFERROR(VLOOKUP(F2371,TRAOPE!$AA:$AB,2,0),"")</f>
        <v/>
      </c>
      <c r="I2371" s="7" t="n">
        <v>10000133</v>
      </c>
      <c r="J2371" s="7">
        <f>IFERROR(VLOOKUP(I2371,Materiales!$A:$H,8,0),"")</f>
        <v/>
      </c>
      <c r="K2371" s="9">
        <f>IFERROR(VLOOKUP(I2371,Materiales!$A:$G,7,0),"")</f>
        <v/>
      </c>
      <c r="L2371" s="8" t="inlineStr">
        <is>
          <t>20170101</t>
        </is>
      </c>
      <c r="M2371" s="8" t="inlineStr">
        <is>
          <t>20260215</t>
        </is>
      </c>
      <c r="N2371" s="10" t="n">
        <v>827</v>
      </c>
      <c r="O2371" s="10">
        <f>IFERROR(VLOOKUP(A2371,Flete!$A:$J,10,0),"")</f>
        <v/>
      </c>
      <c r="P2371" s="8" t="inlineStr">
        <is>
          <t>M3</t>
        </is>
      </c>
      <c r="Q2371" s="10">
        <f>IFERROR(IFERROR(VLOOKUP(A2371,TRAOPE!$A:$U,21,0),VLOOKUP(B2371,TRAOPE!$A:$U,21,0)),"")</f>
        <v/>
      </c>
      <c r="R2371" s="8">
        <f>IFERROR(IFERROR(VLOOKUP(A2371,TRAOPE!$A:$W,23,0),VLOOKUP(B2371,TRAOPE!$A:$W,23,0)),"")</f>
        <v/>
      </c>
      <c r="S2371" s="10">
        <f>IF(AND(P2371="TN",R2371="TN"),N2371+N(O2371),IF(G2371&amp;""="1",N(K2371)*N2371,(N2371+N(O2371))*N(K2371)))</f>
        <v/>
      </c>
      <c r="T2371" s="10">
        <f>IF(Q2371="","",Q2371-S2371)</f>
        <v/>
      </c>
    </row>
    <row r="2372">
      <c r="A2372" s="7">
        <f>CONCATENATE(C2372,E2372,F2372,I2372)</f>
        <v/>
      </c>
      <c r="B2372" s="7">
        <f>CONCATENATE(C2372,E2372,I2372)</f>
        <v/>
      </c>
      <c r="C2372" s="8" t="n">
        <v>900006542</v>
      </c>
      <c r="D2372" s="7">
        <f>IFERROR(VLOOKUP(C2372,TRAOPE!$G:$H,2,0),"")</f>
        <v/>
      </c>
      <c r="E2372" s="8" t="inlineStr">
        <is>
          <t>D836</t>
        </is>
      </c>
      <c r="F2372" s="8" t="inlineStr">
        <is>
          <t>67148606</t>
        </is>
      </c>
      <c r="G2372" s="8">
        <f>IFERROR(VLOOKUP(A2372,Flete!$A:$E,5,0),"")</f>
        <v/>
      </c>
      <c r="H2372" s="7">
        <f>IFERROR(VLOOKUP(F2372,TRAOPE!$AA:$AB,2,0),"")</f>
        <v/>
      </c>
      <c r="I2372" s="7" t="n">
        <v>10058345</v>
      </c>
      <c r="J2372" s="7">
        <f>IFERROR(VLOOKUP(I2372,Materiales!$A:$H,8,0),"")</f>
        <v/>
      </c>
      <c r="K2372" s="9">
        <f>IFERROR(VLOOKUP(I2372,Materiales!$A:$G,7,0),"")</f>
        <v/>
      </c>
      <c r="L2372" s="8" t="inlineStr">
        <is>
          <t>20170101</t>
        </is>
      </c>
      <c r="M2372" s="8" t="inlineStr">
        <is>
          <t>20260215</t>
        </is>
      </c>
      <c r="N2372" s="10" t="n">
        <v>717</v>
      </c>
      <c r="O2372" s="10">
        <f>IFERROR(VLOOKUP(A2372,Flete!$A:$J,10,0),"")</f>
        <v/>
      </c>
      <c r="P2372" s="8" t="inlineStr">
        <is>
          <t>M3</t>
        </is>
      </c>
      <c r="Q2372" s="10">
        <f>IFERROR(IFERROR(VLOOKUP(A2372,TRAOPE!$A:$U,21,0),VLOOKUP(B2372,TRAOPE!$A:$U,21,0)),"")</f>
        <v/>
      </c>
      <c r="R2372" s="8">
        <f>IFERROR(IFERROR(VLOOKUP(A2372,TRAOPE!$A:$W,23,0),VLOOKUP(B2372,TRAOPE!$A:$W,23,0)),"")</f>
        <v/>
      </c>
      <c r="S2372" s="10">
        <f>IF(AND(P2372="TN",R2372="TN"),N2372+N(O2372),IF(G2372&amp;""="1",N(K2372)*N2372,(N2372+N(O2372))*N(K2372)))</f>
        <v/>
      </c>
      <c r="T2372" s="10">
        <f>IF(Q2372="","",Q2372-S2372)</f>
        <v/>
      </c>
    </row>
    <row r="2373">
      <c r="A2373" s="7">
        <f>CONCATENATE(C2373,E2373,F2373,I2373)</f>
        <v/>
      </c>
      <c r="B2373" s="7">
        <f>CONCATENATE(C2373,E2373,I2373)</f>
        <v/>
      </c>
      <c r="C2373" s="8" t="n">
        <v>900006543</v>
      </c>
      <c r="D2373" s="7">
        <f>IFERROR(VLOOKUP(C2373,TRAOPE!$G:$H,2,0),"")</f>
        <v/>
      </c>
      <c r="E2373" s="8" t="inlineStr">
        <is>
          <t>D836</t>
        </is>
      </c>
      <c r="F2373" s="8" t="inlineStr">
        <is>
          <t>66486059</t>
        </is>
      </c>
      <c r="G2373" s="8">
        <f>IFERROR(VLOOKUP(A2373,Flete!$A:$E,5,0),"")</f>
        <v/>
      </c>
      <c r="H2373" s="7">
        <f>IFERROR(VLOOKUP(F2373,TRAOPE!$AA:$AB,2,0),"")</f>
        <v/>
      </c>
      <c r="I2373" s="7" t="n">
        <v>10185476</v>
      </c>
      <c r="J2373" s="7">
        <f>IFERROR(VLOOKUP(I2373,Materiales!$A:$H,8,0),"")</f>
        <v/>
      </c>
      <c r="K2373" s="9">
        <f>IFERROR(VLOOKUP(I2373,Materiales!$A:$G,7,0),"")</f>
        <v/>
      </c>
      <c r="L2373" s="8" t="inlineStr">
        <is>
          <t>20200707</t>
        </is>
      </c>
      <c r="M2373" s="8" t="inlineStr">
        <is>
          <t>20260215</t>
        </is>
      </c>
      <c r="N2373" s="10" t="n">
        <v>105</v>
      </c>
      <c r="O2373" s="10">
        <f>IFERROR(VLOOKUP(A2373,Flete!$A:$J,10,0),"")</f>
        <v/>
      </c>
      <c r="P2373" s="8" t="inlineStr">
        <is>
          <t>M3</t>
        </is>
      </c>
      <c r="Q2373" s="10">
        <f>IFERROR(IFERROR(VLOOKUP(A2373,TRAOPE!$A:$U,21,0),VLOOKUP(B2373,TRAOPE!$A:$U,21,0)),"")</f>
        <v/>
      </c>
      <c r="R2373" s="8">
        <f>IFERROR(IFERROR(VLOOKUP(A2373,TRAOPE!$A:$W,23,0),VLOOKUP(B2373,TRAOPE!$A:$W,23,0)),"")</f>
        <v/>
      </c>
      <c r="S2373" s="10">
        <f>IF(AND(P2373="TN",R2373="TN"),N2373+N(O2373),IF(G2373&amp;""="1",N(K2373)*N2373,(N2373+N(O2373))*N(K2373)))</f>
        <v/>
      </c>
      <c r="T2373" s="10">
        <f>IF(Q2373="","",Q2373-S2373)</f>
        <v/>
      </c>
    </row>
    <row r="2374">
      <c r="A2374" s="7">
        <f>CONCATENATE(C2374,E2374,F2374,I2374)</f>
        <v/>
      </c>
      <c r="B2374" s="7">
        <f>CONCATENATE(C2374,E2374,I2374)</f>
        <v/>
      </c>
      <c r="C2374" s="8" t="n">
        <v>900006543</v>
      </c>
      <c r="D2374" s="7">
        <f>IFERROR(VLOOKUP(C2374,TRAOPE!$G:$H,2,0),"")</f>
        <v/>
      </c>
      <c r="E2374" s="8" t="inlineStr">
        <is>
          <t>D836</t>
        </is>
      </c>
      <c r="F2374" s="8" t="inlineStr">
        <is>
          <t>66486059</t>
        </is>
      </c>
      <c r="G2374" s="8">
        <f>IFERROR(VLOOKUP(A2374,Flete!$A:$E,5,0),"")</f>
        <v/>
      </c>
      <c r="H2374" s="7">
        <f>IFERROR(VLOOKUP(F2374,TRAOPE!$AA:$AB,2,0),"")</f>
        <v/>
      </c>
      <c r="I2374" s="7" t="n">
        <v>10185477</v>
      </c>
      <c r="J2374" s="7">
        <f>IFERROR(VLOOKUP(I2374,Materiales!$A:$H,8,0),"")</f>
        <v/>
      </c>
      <c r="K2374" s="9">
        <f>IFERROR(VLOOKUP(I2374,Materiales!$A:$G,7,0),"")</f>
        <v/>
      </c>
      <c r="L2374" s="8" t="inlineStr">
        <is>
          <t>20200707</t>
        </is>
      </c>
      <c r="M2374" s="8" t="inlineStr">
        <is>
          <t>20260215</t>
        </is>
      </c>
      <c r="N2374" s="10" t="n">
        <v>115</v>
      </c>
      <c r="O2374" s="10">
        <f>IFERROR(VLOOKUP(A2374,Flete!$A:$J,10,0),"")</f>
        <v/>
      </c>
      <c r="P2374" s="8" t="inlineStr">
        <is>
          <t>M3</t>
        </is>
      </c>
      <c r="Q2374" s="10">
        <f>IFERROR(IFERROR(VLOOKUP(A2374,TRAOPE!$A:$U,21,0),VLOOKUP(B2374,TRAOPE!$A:$U,21,0)),"")</f>
        <v/>
      </c>
      <c r="R2374" s="8">
        <f>IFERROR(IFERROR(VLOOKUP(A2374,TRAOPE!$A:$W,23,0),VLOOKUP(B2374,TRAOPE!$A:$W,23,0)),"")</f>
        <v/>
      </c>
      <c r="S2374" s="10">
        <f>IF(AND(P2374="TN",R2374="TN"),N2374+N(O2374),IF(G2374&amp;""="1",N(K2374)*N2374,(N2374+N(O2374))*N(K2374)))</f>
        <v/>
      </c>
      <c r="T2374" s="10">
        <f>IF(Q2374="","",Q2374-S2374)</f>
        <v/>
      </c>
    </row>
    <row r="2375">
      <c r="A2375" s="7">
        <f>CONCATENATE(C2375,E2375,F2375,I2375)</f>
        <v/>
      </c>
      <c r="B2375" s="7">
        <f>CONCATENATE(C2375,E2375,I2375)</f>
        <v/>
      </c>
      <c r="C2375" s="8" t="n">
        <v>900006543</v>
      </c>
      <c r="D2375" s="7">
        <f>IFERROR(VLOOKUP(C2375,TRAOPE!$G:$H,2,0),"")</f>
        <v/>
      </c>
      <c r="E2375" s="8" t="inlineStr">
        <is>
          <t>D836</t>
        </is>
      </c>
      <c r="F2375" s="8" t="inlineStr">
        <is>
          <t>66878462</t>
        </is>
      </c>
      <c r="G2375" s="8">
        <f>IFERROR(VLOOKUP(A2375,Flete!$A:$E,5,0),"")</f>
        <v/>
      </c>
      <c r="H2375" s="7">
        <f>IFERROR(VLOOKUP(F2375,TRAOPE!$AA:$AB,2,0),"")</f>
        <v/>
      </c>
      <c r="I2375" s="7" t="n">
        <v>10185476</v>
      </c>
      <c r="J2375" s="7">
        <f>IFERROR(VLOOKUP(I2375,Materiales!$A:$H,8,0),"")</f>
        <v/>
      </c>
      <c r="K2375" s="9">
        <f>IFERROR(VLOOKUP(I2375,Materiales!$A:$G,7,0),"")</f>
        <v/>
      </c>
      <c r="L2375" s="8" t="inlineStr">
        <is>
          <t>20240619</t>
        </is>
      </c>
      <c r="M2375" s="8" t="inlineStr">
        <is>
          <t>20260215</t>
        </is>
      </c>
      <c r="N2375" s="10" t="n">
        <v>108</v>
      </c>
      <c r="O2375" s="10">
        <f>IFERROR(VLOOKUP(A2375,Flete!$A:$J,10,0),"")</f>
        <v/>
      </c>
      <c r="P2375" s="8" t="inlineStr">
        <is>
          <t>M3</t>
        </is>
      </c>
      <c r="Q2375" s="10">
        <f>IFERROR(IFERROR(VLOOKUP(A2375,TRAOPE!$A:$U,21,0),VLOOKUP(B2375,TRAOPE!$A:$U,21,0)),"")</f>
        <v/>
      </c>
      <c r="R2375" s="8">
        <f>IFERROR(IFERROR(VLOOKUP(A2375,TRAOPE!$A:$W,23,0),VLOOKUP(B2375,TRAOPE!$A:$W,23,0)),"")</f>
        <v/>
      </c>
      <c r="S2375" s="10">
        <f>IF(AND(P2375="TN",R2375="TN"),N2375+N(O2375),IF(G2375&amp;""="1",N(K2375)*N2375,(N2375+N(O2375))*N(K2375)))</f>
        <v/>
      </c>
      <c r="T2375" s="10">
        <f>IF(Q2375="","",Q2375-S2375)</f>
        <v/>
      </c>
    </row>
    <row r="2376">
      <c r="A2376" s="7">
        <f>CONCATENATE(C2376,E2376,F2376,I2376)</f>
        <v/>
      </c>
      <c r="B2376" s="7">
        <f>CONCATENATE(C2376,E2376,I2376)</f>
        <v/>
      </c>
      <c r="C2376" s="8" t="n">
        <v>900006543</v>
      </c>
      <c r="D2376" s="7">
        <f>IFERROR(VLOOKUP(C2376,TRAOPE!$G:$H,2,0),"")</f>
        <v/>
      </c>
      <c r="E2376" s="8" t="inlineStr">
        <is>
          <t>D836</t>
        </is>
      </c>
      <c r="F2376" s="8" t="inlineStr">
        <is>
          <t>66878462</t>
        </is>
      </c>
      <c r="G2376" s="8">
        <f>IFERROR(VLOOKUP(A2376,Flete!$A:$E,5,0),"")</f>
        <v/>
      </c>
      <c r="H2376" s="7">
        <f>IFERROR(VLOOKUP(F2376,TRAOPE!$AA:$AB,2,0),"")</f>
        <v/>
      </c>
      <c r="I2376" s="7" t="n">
        <v>10185477</v>
      </c>
      <c r="J2376" s="7">
        <f>IFERROR(VLOOKUP(I2376,Materiales!$A:$H,8,0),"")</f>
        <v/>
      </c>
      <c r="K2376" s="9">
        <f>IFERROR(VLOOKUP(I2376,Materiales!$A:$G,7,0),"")</f>
        <v/>
      </c>
      <c r="L2376" s="8" t="inlineStr">
        <is>
          <t>20240619</t>
        </is>
      </c>
      <c r="M2376" s="8" t="inlineStr">
        <is>
          <t>20260215</t>
        </is>
      </c>
      <c r="N2376" s="10" t="n">
        <v>115</v>
      </c>
      <c r="O2376" s="10">
        <f>IFERROR(VLOOKUP(A2376,Flete!$A:$J,10,0),"")</f>
        <v/>
      </c>
      <c r="P2376" s="8" t="inlineStr">
        <is>
          <t>M3</t>
        </is>
      </c>
      <c r="Q2376" s="10">
        <f>IFERROR(IFERROR(VLOOKUP(A2376,TRAOPE!$A:$U,21,0),VLOOKUP(B2376,TRAOPE!$A:$U,21,0)),"")</f>
        <v/>
      </c>
      <c r="R2376" s="8">
        <f>IFERROR(IFERROR(VLOOKUP(A2376,TRAOPE!$A:$W,23,0),VLOOKUP(B2376,TRAOPE!$A:$W,23,0)),"")</f>
        <v/>
      </c>
      <c r="S2376" s="10">
        <f>IF(AND(P2376="TN",R2376="TN"),N2376+N(O2376),IF(G2376&amp;""="1",N(K2376)*N2376,(N2376+N(O2376))*N(K2376)))</f>
        <v/>
      </c>
      <c r="T2376" s="10">
        <f>IF(Q2376="","",Q2376-S2376)</f>
        <v/>
      </c>
    </row>
    <row r="2377">
      <c r="A2377" s="7">
        <f>CONCATENATE(C2377,E2377,F2377,I2377)</f>
        <v/>
      </c>
      <c r="B2377" s="7">
        <f>CONCATENATE(C2377,E2377,I2377)</f>
        <v/>
      </c>
      <c r="C2377" s="8" t="n">
        <v>900006543</v>
      </c>
      <c r="D2377" s="7">
        <f>IFERROR(VLOOKUP(C2377,TRAOPE!$G:$H,2,0),"")</f>
        <v/>
      </c>
      <c r="E2377" s="8" t="inlineStr">
        <is>
          <t>D836</t>
        </is>
      </c>
      <c r="F2377" s="8" t="inlineStr">
        <is>
          <t>67285266</t>
        </is>
      </c>
      <c r="G2377" s="8">
        <f>IFERROR(VLOOKUP(A2377,Flete!$A:$E,5,0),"")</f>
        <v/>
      </c>
      <c r="H2377" s="7">
        <f>IFERROR(VLOOKUP(F2377,TRAOPE!$AA:$AB,2,0),"")</f>
        <v/>
      </c>
      <c r="I2377" s="7" t="n">
        <v>10185476</v>
      </c>
      <c r="J2377" s="7">
        <f>IFERROR(VLOOKUP(I2377,Materiales!$A:$H,8,0),"")</f>
        <v/>
      </c>
      <c r="K2377" s="9">
        <f>IFERROR(VLOOKUP(I2377,Materiales!$A:$G,7,0),"")</f>
        <v/>
      </c>
      <c r="L2377" s="8" t="inlineStr">
        <is>
          <t>20240619</t>
        </is>
      </c>
      <c r="M2377" s="8" t="inlineStr">
        <is>
          <t>20260215</t>
        </is>
      </c>
      <c r="N2377" s="10" t="n">
        <v>105</v>
      </c>
      <c r="O2377" s="10">
        <f>IFERROR(VLOOKUP(A2377,Flete!$A:$J,10,0),"")</f>
        <v/>
      </c>
      <c r="P2377" s="8" t="inlineStr">
        <is>
          <t>M3</t>
        </is>
      </c>
      <c r="Q2377" s="10">
        <f>IFERROR(IFERROR(VLOOKUP(A2377,TRAOPE!$A:$U,21,0),VLOOKUP(B2377,TRAOPE!$A:$U,21,0)),"")</f>
        <v/>
      </c>
      <c r="R2377" s="8">
        <f>IFERROR(IFERROR(VLOOKUP(A2377,TRAOPE!$A:$W,23,0),VLOOKUP(B2377,TRAOPE!$A:$W,23,0)),"")</f>
        <v/>
      </c>
      <c r="S2377" s="10">
        <f>IF(AND(P2377="TN",R2377="TN"),N2377+N(O2377),IF(G2377&amp;""="1",N(K2377)*N2377,(N2377+N(O2377))*N(K2377)))</f>
        <v/>
      </c>
      <c r="T2377" s="10">
        <f>IF(Q2377="","",Q2377-S2377)</f>
        <v/>
      </c>
    </row>
    <row r="2378">
      <c r="A2378" s="7">
        <f>CONCATENATE(C2378,E2378,F2378,I2378)</f>
        <v/>
      </c>
      <c r="B2378" s="7">
        <f>CONCATENATE(C2378,E2378,I2378)</f>
        <v/>
      </c>
      <c r="C2378" s="8" t="n">
        <v>900006950</v>
      </c>
      <c r="D2378" s="7">
        <f>IFERROR(VLOOKUP(C2378,TRAOPE!$G:$H,2,0),"")</f>
        <v/>
      </c>
      <c r="E2378" s="8" t="inlineStr">
        <is>
          <t>D836</t>
        </is>
      </c>
      <c r="F2378" s="8" t="inlineStr">
        <is>
          <t>66919244</t>
        </is>
      </c>
      <c r="G2378" s="8">
        <f>IFERROR(VLOOKUP(A2378,Flete!$A:$E,5,0),"")</f>
        <v/>
      </c>
      <c r="H2378" s="7">
        <f>IFERROR(VLOOKUP(F2378,TRAOPE!$AA:$AB,2,0),"")</f>
        <v/>
      </c>
      <c r="I2378" s="7" t="n">
        <v>10000133</v>
      </c>
      <c r="J2378" s="7">
        <f>IFERROR(VLOOKUP(I2378,Materiales!$A:$H,8,0),"")</f>
        <v/>
      </c>
      <c r="K2378" s="9">
        <f>IFERROR(VLOOKUP(I2378,Materiales!$A:$G,7,0),"")</f>
        <v/>
      </c>
      <c r="L2378" s="8" t="inlineStr">
        <is>
          <t>20170101</t>
        </is>
      </c>
      <c r="M2378" s="8" t="inlineStr">
        <is>
          <t>20260215</t>
        </is>
      </c>
      <c r="N2378" s="10" t="n">
        <v>185</v>
      </c>
      <c r="O2378" s="10">
        <f>IFERROR(VLOOKUP(A2378,Flete!$A:$J,10,0),"")</f>
        <v/>
      </c>
      <c r="P2378" s="8" t="inlineStr">
        <is>
          <t>M3</t>
        </is>
      </c>
      <c r="Q2378" s="10">
        <f>IFERROR(IFERROR(VLOOKUP(A2378,TRAOPE!$A:$U,21,0),VLOOKUP(B2378,TRAOPE!$A:$U,21,0)),"")</f>
        <v/>
      </c>
      <c r="R2378" s="8">
        <f>IFERROR(IFERROR(VLOOKUP(A2378,TRAOPE!$A:$W,23,0),VLOOKUP(B2378,TRAOPE!$A:$W,23,0)),"")</f>
        <v/>
      </c>
      <c r="S2378" s="10">
        <f>IF(AND(P2378="TN",R2378="TN"),N2378+N(O2378),IF(G2378&amp;""="1",N(K2378)*N2378,(N2378+N(O2378))*N(K2378)))</f>
        <v/>
      </c>
      <c r="T2378" s="10">
        <f>IF(Q2378="","",Q2378-S2378)</f>
        <v/>
      </c>
    </row>
    <row r="2379">
      <c r="A2379" s="7">
        <f>CONCATENATE(C2379,E2379,F2379,I2379)</f>
        <v/>
      </c>
      <c r="B2379" s="7">
        <f>CONCATENATE(C2379,E2379,I2379)</f>
        <v/>
      </c>
      <c r="C2379" s="8" t="n">
        <v>900006950</v>
      </c>
      <c r="D2379" s="7">
        <f>IFERROR(VLOOKUP(C2379,TRAOPE!$G:$H,2,0),"")</f>
        <v/>
      </c>
      <c r="E2379" s="8" t="inlineStr">
        <is>
          <t>D836</t>
        </is>
      </c>
      <c r="F2379" s="8" t="inlineStr">
        <is>
          <t>66919244</t>
        </is>
      </c>
      <c r="G2379" s="8">
        <f>IFERROR(VLOOKUP(A2379,Flete!$A:$E,5,0),"")</f>
        <v/>
      </c>
      <c r="H2379" s="7">
        <f>IFERROR(VLOOKUP(F2379,TRAOPE!$AA:$AB,2,0),"")</f>
        <v/>
      </c>
      <c r="I2379" s="7" t="n">
        <v>10058345</v>
      </c>
      <c r="J2379" s="7">
        <f>IFERROR(VLOOKUP(I2379,Materiales!$A:$H,8,0),"")</f>
        <v/>
      </c>
      <c r="K2379" s="9">
        <f>IFERROR(VLOOKUP(I2379,Materiales!$A:$G,7,0),"")</f>
        <v/>
      </c>
      <c r="L2379" s="8" t="inlineStr">
        <is>
          <t>20170101</t>
        </is>
      </c>
      <c r="M2379" s="8" t="inlineStr">
        <is>
          <t>20260215</t>
        </is>
      </c>
      <c r="N2379" s="10" t="n">
        <v>100</v>
      </c>
      <c r="O2379" s="10">
        <f>IFERROR(VLOOKUP(A2379,Flete!$A:$J,10,0),"")</f>
        <v/>
      </c>
      <c r="P2379" s="8" t="inlineStr">
        <is>
          <t>M3</t>
        </is>
      </c>
      <c r="Q2379" s="10">
        <f>IFERROR(IFERROR(VLOOKUP(A2379,TRAOPE!$A:$U,21,0),VLOOKUP(B2379,TRAOPE!$A:$U,21,0)),"")</f>
        <v/>
      </c>
      <c r="R2379" s="8">
        <f>IFERROR(IFERROR(VLOOKUP(A2379,TRAOPE!$A:$W,23,0),VLOOKUP(B2379,TRAOPE!$A:$W,23,0)),"")</f>
        <v/>
      </c>
      <c r="S2379" s="10">
        <f>IF(AND(P2379="TN",R2379="TN"),N2379+N(O2379),IF(G2379&amp;""="1",N(K2379)*N2379,(N2379+N(O2379))*N(K2379)))</f>
        <v/>
      </c>
      <c r="T2379" s="10">
        <f>IF(Q2379="","",Q2379-S2379)</f>
        <v/>
      </c>
    </row>
    <row r="2380">
      <c r="A2380" s="7">
        <f>CONCATENATE(C2380,E2380,F2380,I2380)</f>
        <v/>
      </c>
      <c r="B2380" s="7">
        <f>CONCATENATE(C2380,E2380,I2380)</f>
        <v/>
      </c>
      <c r="C2380" s="8" t="n">
        <v>900007650</v>
      </c>
      <c r="D2380" s="7">
        <f>IFERROR(VLOOKUP(C2380,TRAOPE!$G:$H,2,0),"")</f>
        <v/>
      </c>
      <c r="E2380" s="8" t="inlineStr">
        <is>
          <t>D836</t>
        </is>
      </c>
      <c r="F2380" s="8" t="inlineStr">
        <is>
          <t>67155199</t>
        </is>
      </c>
      <c r="G2380" s="8">
        <f>IFERROR(VLOOKUP(A2380,Flete!$A:$E,5,0),"")</f>
        <v/>
      </c>
      <c r="H2380" s="7">
        <f>IFERROR(VLOOKUP(F2380,TRAOPE!$AA:$AB,2,0),"")</f>
        <v/>
      </c>
      <c r="I2380" s="7" t="n">
        <v>10000432</v>
      </c>
      <c r="J2380" s="7">
        <f>IFERROR(VLOOKUP(I2380,Materiales!$A:$H,8,0),"")</f>
        <v/>
      </c>
      <c r="K2380" s="9">
        <f>IFERROR(VLOOKUP(I2380,Materiales!$A:$G,7,0),"")</f>
        <v/>
      </c>
      <c r="L2380" s="8" t="inlineStr">
        <is>
          <t>20230721</t>
        </is>
      </c>
      <c r="M2380" s="8" t="inlineStr">
        <is>
          <t>20260215</t>
        </is>
      </c>
      <c r="N2380" s="10" t="n">
        <v>370</v>
      </c>
      <c r="O2380" s="10">
        <f>IFERROR(VLOOKUP(A2380,Flete!$A:$J,10,0),"")</f>
        <v/>
      </c>
      <c r="P2380" s="8" t="inlineStr">
        <is>
          <t>M3</t>
        </is>
      </c>
      <c r="Q2380" s="10">
        <f>IFERROR(IFERROR(VLOOKUP(A2380,TRAOPE!$A:$U,21,0),VLOOKUP(B2380,TRAOPE!$A:$U,21,0)),"")</f>
        <v/>
      </c>
      <c r="R2380" s="8">
        <f>IFERROR(IFERROR(VLOOKUP(A2380,TRAOPE!$A:$W,23,0),VLOOKUP(B2380,TRAOPE!$A:$W,23,0)),"")</f>
        <v/>
      </c>
      <c r="S2380" s="10">
        <f>IF(AND(P2380="TN",R2380="TN"),N2380+N(O2380),IF(G2380&amp;""="1",N(K2380)*N2380,(N2380+N(O2380))*N(K2380)))</f>
        <v/>
      </c>
      <c r="T2380" s="10">
        <f>IF(Q2380="","",Q2380-S2380)</f>
        <v/>
      </c>
    </row>
    <row r="2381">
      <c r="A2381" s="7">
        <f>CONCATENATE(C2381,E2381,F2381,I2381)</f>
        <v/>
      </c>
      <c r="B2381" s="7">
        <f>CONCATENATE(C2381,E2381,I2381)</f>
        <v/>
      </c>
      <c r="C2381" s="8" t="n">
        <v>900006543</v>
      </c>
      <c r="D2381" s="7">
        <f>IFERROR(VLOOKUP(C2381,TRAOPE!$G:$H,2,0),"")</f>
        <v/>
      </c>
      <c r="E2381" s="8" t="inlineStr">
        <is>
          <t>D836</t>
        </is>
      </c>
      <c r="F2381" s="8" t="inlineStr">
        <is>
          <t>67243408</t>
        </is>
      </c>
      <c r="G2381" s="8">
        <f>IFERROR(VLOOKUP(A2381,Flete!$A:$E,5,0),"")</f>
        <v/>
      </c>
      <c r="H2381" s="7">
        <f>IFERROR(VLOOKUP(F2381,TRAOPE!$AA:$AB,2,0),"")</f>
        <v/>
      </c>
      <c r="I2381" s="7" t="n">
        <v>10259792</v>
      </c>
      <c r="J2381" s="7">
        <f>IFERROR(VLOOKUP(I2381,Materiales!$A:$H,8,0),"")</f>
        <v/>
      </c>
      <c r="K2381" s="9">
        <f>IFERROR(VLOOKUP(I2381,Materiales!$A:$G,7,0),"")</f>
        <v/>
      </c>
      <c r="L2381" s="8" t="inlineStr">
        <is>
          <t>20260525</t>
        </is>
      </c>
      <c r="M2381" s="8" t="inlineStr">
        <is>
          <t>20260531</t>
        </is>
      </c>
      <c r="N2381" s="10" t="n">
        <v>151.13</v>
      </c>
      <c r="O2381" s="10">
        <f>IFERROR(VLOOKUP(A2381,Flete!$A:$J,10,0),"")</f>
        <v/>
      </c>
      <c r="P2381" s="8" t="inlineStr">
        <is>
          <t>M3</t>
        </is>
      </c>
      <c r="Q2381" s="10">
        <f>IFERROR(IFERROR(VLOOKUP(A2381,TRAOPE!$A:$U,21,0),VLOOKUP(B2381,TRAOPE!$A:$U,21,0)),"")</f>
        <v/>
      </c>
      <c r="R2381" s="8">
        <f>IFERROR(IFERROR(VLOOKUP(A2381,TRAOPE!$A:$W,23,0),VLOOKUP(B2381,TRAOPE!$A:$W,23,0)),"")</f>
        <v/>
      </c>
      <c r="S2381" s="10">
        <f>IF(AND(P2381="TN",R2381="TN"),N2381+N(O2381),IF(G2381&amp;""="1",N(K2381)*N2381,(N2381+N(O2381))*N(K2381)))</f>
        <v/>
      </c>
      <c r="T2381" s="10">
        <f>IF(Q2381="","",Q2381-S2381)</f>
        <v/>
      </c>
    </row>
    <row r="2382">
      <c r="A2382" s="7">
        <f>CONCATENATE(C2382,E2382,F2382,I2382)</f>
        <v/>
      </c>
      <c r="B2382" s="7">
        <f>CONCATENATE(C2382,E2382,I2382)</f>
        <v/>
      </c>
      <c r="C2382" s="8" t="n">
        <v>900006543</v>
      </c>
      <c r="D2382" s="7">
        <f>IFERROR(VLOOKUP(C2382,TRAOPE!$G:$H,2,0),"")</f>
        <v/>
      </c>
      <c r="E2382" s="8" t="inlineStr">
        <is>
          <t>D836</t>
        </is>
      </c>
      <c r="F2382" s="8" t="inlineStr">
        <is>
          <t>67322499</t>
        </is>
      </c>
      <c r="G2382" s="8">
        <f>IFERROR(VLOOKUP(A2382,Flete!$A:$E,5,0),"")</f>
        <v/>
      </c>
      <c r="H2382" s="7">
        <f>IFERROR(VLOOKUP(F2382,TRAOPE!$AA:$AB,2,0),"")</f>
        <v/>
      </c>
      <c r="I2382" s="7" t="n">
        <v>10259792</v>
      </c>
      <c r="J2382" s="7">
        <f>IFERROR(VLOOKUP(I2382,Materiales!$A:$H,8,0),"")</f>
        <v/>
      </c>
      <c r="K2382" s="9">
        <f>IFERROR(VLOOKUP(I2382,Materiales!$A:$G,7,0),"")</f>
        <v/>
      </c>
      <c r="L2382" s="8" t="inlineStr">
        <is>
          <t>20260525</t>
        </is>
      </c>
      <c r="M2382" s="8" t="inlineStr">
        <is>
          <t>20260531</t>
        </is>
      </c>
      <c r="N2382" s="10" t="n">
        <v>151.13</v>
      </c>
      <c r="O2382" s="10">
        <f>IFERROR(VLOOKUP(A2382,Flete!$A:$J,10,0),"")</f>
        <v/>
      </c>
      <c r="P2382" s="8" t="inlineStr">
        <is>
          <t>M3</t>
        </is>
      </c>
      <c r="Q2382" s="10">
        <f>IFERROR(IFERROR(VLOOKUP(A2382,TRAOPE!$A:$U,21,0),VLOOKUP(B2382,TRAOPE!$A:$U,21,0)),"")</f>
        <v/>
      </c>
      <c r="R2382" s="8">
        <f>IFERROR(IFERROR(VLOOKUP(A2382,TRAOPE!$A:$W,23,0),VLOOKUP(B2382,TRAOPE!$A:$W,23,0)),"")</f>
        <v/>
      </c>
      <c r="S2382" s="10">
        <f>IF(AND(P2382="TN",R2382="TN"),N2382+N(O2382),IF(G2382&amp;""="1",N(K2382)*N2382,(N2382+N(O2382))*N(K2382)))</f>
        <v/>
      </c>
      <c r="T2382" s="10">
        <f>IF(Q2382="","",Q2382-S2382)</f>
        <v/>
      </c>
    </row>
    <row r="2383">
      <c r="A2383" s="7">
        <f>CONCATENATE(C2383,E2383,F2383,I2383)</f>
        <v/>
      </c>
      <c r="B2383" s="7">
        <f>CONCATENATE(C2383,E2383,I2383)</f>
        <v/>
      </c>
      <c r="C2383" s="8" t="n">
        <v>900006543</v>
      </c>
      <c r="D2383" s="7">
        <f>IFERROR(VLOOKUP(C2383,TRAOPE!$G:$H,2,0),"")</f>
        <v/>
      </c>
      <c r="E2383" s="8" t="inlineStr">
        <is>
          <t>D836</t>
        </is>
      </c>
      <c r="F2383" s="8" t="inlineStr">
        <is>
          <t>66864508</t>
        </is>
      </c>
      <c r="G2383" s="8">
        <f>IFERROR(VLOOKUP(A2383,Flete!$A:$E,5,0),"")</f>
        <v/>
      </c>
      <c r="H2383" s="7">
        <f>IFERROR(VLOOKUP(F2383,TRAOPE!$AA:$AB,2,0),"")</f>
        <v/>
      </c>
      <c r="I2383" s="7" t="n">
        <v>10259792</v>
      </c>
      <c r="J2383" s="7">
        <f>IFERROR(VLOOKUP(I2383,Materiales!$A:$H,8,0),"")</f>
        <v/>
      </c>
      <c r="K2383" s="9">
        <f>IFERROR(VLOOKUP(I2383,Materiales!$A:$G,7,0),"")</f>
        <v/>
      </c>
      <c r="L2383" s="8" t="inlineStr">
        <is>
          <t>20260629</t>
        </is>
      </c>
      <c r="M2383" s="8" t="inlineStr">
        <is>
          <t>20260701</t>
        </is>
      </c>
      <c r="N2383" s="10" t="n">
        <v>151.13</v>
      </c>
      <c r="O2383" s="10">
        <f>IFERROR(VLOOKUP(A2383,Flete!$A:$J,10,0),"")</f>
        <v/>
      </c>
      <c r="P2383" s="8" t="inlineStr">
        <is>
          <t>M3</t>
        </is>
      </c>
      <c r="Q2383" s="10">
        <f>IFERROR(IFERROR(VLOOKUP(A2383,TRAOPE!$A:$U,21,0),VLOOKUP(B2383,TRAOPE!$A:$U,21,0)),"")</f>
        <v/>
      </c>
      <c r="R2383" s="8">
        <f>IFERROR(IFERROR(VLOOKUP(A2383,TRAOPE!$A:$W,23,0),VLOOKUP(B2383,TRAOPE!$A:$W,23,0)),"")</f>
        <v/>
      </c>
      <c r="S2383" s="10">
        <f>IF(AND(P2383="TN",R2383="TN"),N2383+N(O2383),IF(G2383&amp;""="1",N(K2383)*N2383,(N2383+N(O2383))*N(K2383)))</f>
        <v/>
      </c>
      <c r="T2383" s="10">
        <f>IF(Q2383="","",Q2383-S2383)</f>
        <v/>
      </c>
    </row>
    <row r="2384">
      <c r="A2384" s="7">
        <f>CONCATENATE(C2384,E2384,F2384,I2384)</f>
        <v/>
      </c>
      <c r="B2384" s="7">
        <f>CONCATENATE(C2384,E2384,I2384)</f>
        <v/>
      </c>
      <c r="C2384" s="8" t="n">
        <v>900006543</v>
      </c>
      <c r="D2384" s="7">
        <f>IFERROR(VLOOKUP(C2384,TRAOPE!$G:$H,2,0),"")</f>
        <v/>
      </c>
      <c r="E2384" s="8" t="inlineStr">
        <is>
          <t>D836</t>
        </is>
      </c>
      <c r="F2384" s="8" t="inlineStr">
        <is>
          <t>66864540</t>
        </is>
      </c>
      <c r="G2384" s="8">
        <f>IFERROR(VLOOKUP(A2384,Flete!$A:$E,5,0),"")</f>
        <v/>
      </c>
      <c r="H2384" s="7">
        <f>IFERROR(VLOOKUP(F2384,TRAOPE!$AA:$AB,2,0),"")</f>
        <v/>
      </c>
      <c r="I2384" s="7" t="n">
        <v>10259792</v>
      </c>
      <c r="J2384" s="7">
        <f>IFERROR(VLOOKUP(I2384,Materiales!$A:$H,8,0),"")</f>
        <v/>
      </c>
      <c r="K2384" s="9">
        <f>IFERROR(VLOOKUP(I2384,Materiales!$A:$G,7,0),"")</f>
        <v/>
      </c>
      <c r="L2384" s="8" t="inlineStr">
        <is>
          <t>20260629</t>
        </is>
      </c>
      <c r="M2384" s="8" t="inlineStr">
        <is>
          <t>20260701</t>
        </is>
      </c>
      <c r="N2384" s="10" t="n">
        <v>151.13</v>
      </c>
      <c r="O2384" s="10">
        <f>IFERROR(VLOOKUP(A2384,Flete!$A:$J,10,0),"")</f>
        <v/>
      </c>
      <c r="P2384" s="8" t="inlineStr">
        <is>
          <t>M3</t>
        </is>
      </c>
      <c r="Q2384" s="10">
        <f>IFERROR(IFERROR(VLOOKUP(A2384,TRAOPE!$A:$U,21,0),VLOOKUP(B2384,TRAOPE!$A:$U,21,0)),"")</f>
        <v/>
      </c>
      <c r="R2384" s="8">
        <f>IFERROR(IFERROR(VLOOKUP(A2384,TRAOPE!$A:$W,23,0),VLOOKUP(B2384,TRAOPE!$A:$W,23,0)),"")</f>
        <v/>
      </c>
      <c r="S2384" s="10">
        <f>IF(AND(P2384="TN",R2384="TN"),N2384+N(O2384),IF(G2384&amp;""="1",N(K2384)*N2384,(N2384+N(O2384))*N(K2384)))</f>
        <v/>
      </c>
      <c r="T2384" s="10">
        <f>IF(Q2384="","",Q2384-S2384)</f>
        <v/>
      </c>
    </row>
    <row r="2385">
      <c r="A2385" s="7">
        <f>CONCATENATE(C2385,E2385,F2385,I2385)</f>
        <v/>
      </c>
      <c r="B2385" s="7">
        <f>CONCATENATE(C2385,E2385,I2385)</f>
        <v/>
      </c>
      <c r="C2385" s="8" t="n">
        <v>900006543</v>
      </c>
      <c r="D2385" s="7">
        <f>IFERROR(VLOOKUP(C2385,TRAOPE!$G:$H,2,0),"")</f>
        <v/>
      </c>
      <c r="E2385" s="8" t="inlineStr">
        <is>
          <t>D836</t>
        </is>
      </c>
      <c r="F2385" s="8" t="inlineStr">
        <is>
          <t>66982053</t>
        </is>
      </c>
      <c r="G2385" s="8">
        <f>IFERROR(VLOOKUP(A2385,Flete!$A:$E,5,0),"")</f>
        <v/>
      </c>
      <c r="H2385" s="7">
        <f>IFERROR(VLOOKUP(F2385,TRAOPE!$AA:$AB,2,0),"")</f>
        <v/>
      </c>
      <c r="I2385" s="7" t="n">
        <v>10259792</v>
      </c>
      <c r="J2385" s="7">
        <f>IFERROR(VLOOKUP(I2385,Materiales!$A:$H,8,0),"")</f>
        <v/>
      </c>
      <c r="K2385" s="9">
        <f>IFERROR(VLOOKUP(I2385,Materiales!$A:$G,7,0),"")</f>
        <v/>
      </c>
      <c r="L2385" s="8" t="inlineStr">
        <is>
          <t>20260629</t>
        </is>
      </c>
      <c r="M2385" s="8" t="inlineStr">
        <is>
          <t>20260701</t>
        </is>
      </c>
      <c r="N2385" s="10" t="n">
        <v>151.13</v>
      </c>
      <c r="O2385" s="10">
        <f>IFERROR(VLOOKUP(A2385,Flete!$A:$J,10,0),"")</f>
        <v/>
      </c>
      <c r="P2385" s="8" t="inlineStr">
        <is>
          <t>M3</t>
        </is>
      </c>
      <c r="Q2385" s="10">
        <f>IFERROR(IFERROR(VLOOKUP(A2385,TRAOPE!$A:$U,21,0),VLOOKUP(B2385,TRAOPE!$A:$U,21,0)),"")</f>
        <v/>
      </c>
      <c r="R2385" s="8">
        <f>IFERROR(IFERROR(VLOOKUP(A2385,TRAOPE!$A:$W,23,0),VLOOKUP(B2385,TRAOPE!$A:$W,23,0)),"")</f>
        <v/>
      </c>
      <c r="S2385" s="10">
        <f>IF(AND(P2385="TN",R2385="TN"),N2385+N(O2385),IF(G2385&amp;""="1",N(K2385)*N2385,(N2385+N(O2385))*N(K2385)))</f>
        <v/>
      </c>
      <c r="T2385" s="10">
        <f>IF(Q2385="","",Q2385-S2385)</f>
        <v/>
      </c>
    </row>
    <row r="2386">
      <c r="A2386" s="7">
        <f>CONCATENATE(C2386,E2386,F2386,I2386)</f>
        <v/>
      </c>
      <c r="B2386" s="7">
        <f>CONCATENATE(C2386,E2386,I2386)</f>
        <v/>
      </c>
      <c r="C2386" s="8" t="n">
        <v>900006543</v>
      </c>
      <c r="D2386" s="7">
        <f>IFERROR(VLOOKUP(C2386,TRAOPE!$G:$H,2,0),"")</f>
        <v/>
      </c>
      <c r="E2386" s="8" t="inlineStr">
        <is>
          <t>D836</t>
        </is>
      </c>
      <c r="F2386" s="8" t="inlineStr">
        <is>
          <t>67019979</t>
        </is>
      </c>
      <c r="G2386" s="8">
        <f>IFERROR(VLOOKUP(A2386,Flete!$A:$E,5,0),"")</f>
        <v/>
      </c>
      <c r="H2386" s="7">
        <f>IFERROR(VLOOKUP(F2386,TRAOPE!$AA:$AB,2,0),"")</f>
        <v/>
      </c>
      <c r="I2386" s="7" t="n">
        <v>10259792</v>
      </c>
      <c r="J2386" s="7">
        <f>IFERROR(VLOOKUP(I2386,Materiales!$A:$H,8,0),"")</f>
        <v/>
      </c>
      <c r="K2386" s="9">
        <f>IFERROR(VLOOKUP(I2386,Materiales!$A:$G,7,0),"")</f>
        <v/>
      </c>
      <c r="L2386" s="8" t="inlineStr">
        <is>
          <t>20260629</t>
        </is>
      </c>
      <c r="M2386" s="8" t="inlineStr">
        <is>
          <t>20260701</t>
        </is>
      </c>
      <c r="N2386" s="10" t="n">
        <v>151.13</v>
      </c>
      <c r="O2386" s="10">
        <f>IFERROR(VLOOKUP(A2386,Flete!$A:$J,10,0),"")</f>
        <v/>
      </c>
      <c r="P2386" s="8" t="inlineStr">
        <is>
          <t>M3</t>
        </is>
      </c>
      <c r="Q2386" s="10">
        <f>IFERROR(IFERROR(VLOOKUP(A2386,TRAOPE!$A:$U,21,0),VLOOKUP(B2386,TRAOPE!$A:$U,21,0)),"")</f>
        <v/>
      </c>
      <c r="R2386" s="8">
        <f>IFERROR(IFERROR(VLOOKUP(A2386,TRAOPE!$A:$W,23,0),VLOOKUP(B2386,TRAOPE!$A:$W,23,0)),"")</f>
        <v/>
      </c>
      <c r="S2386" s="10">
        <f>IF(AND(P2386="TN",R2386="TN"),N2386+N(O2386),IF(G2386&amp;""="1",N(K2386)*N2386,(N2386+N(O2386))*N(K2386)))</f>
        <v/>
      </c>
      <c r="T2386" s="10">
        <f>IF(Q2386="","",Q2386-S2386)</f>
        <v/>
      </c>
    </row>
    <row r="2387">
      <c r="A2387" s="7">
        <f>CONCATENATE(C2387,E2387,F2387,I2387)</f>
        <v/>
      </c>
      <c r="B2387" s="7">
        <f>CONCATENATE(C2387,E2387,I2387)</f>
        <v/>
      </c>
      <c r="C2387" s="8" t="n">
        <v>900003609</v>
      </c>
      <c r="D2387" s="7">
        <f>IFERROR(VLOOKUP(C2387,TRAOPE!$G:$H,2,0),"")</f>
        <v/>
      </c>
      <c r="E2387" s="8" t="inlineStr">
        <is>
          <t>D836</t>
        </is>
      </c>
      <c r="F2387" s="8" t="inlineStr">
        <is>
          <t>66534221</t>
        </is>
      </c>
      <c r="G2387" s="8">
        <f>IFERROR(VLOOKUP(A2387,Flete!$A:$E,5,0),"")</f>
        <v/>
      </c>
      <c r="H2387" s="7">
        <f>IFERROR(VLOOKUP(F2387,TRAOPE!$AA:$AB,2,0),"")</f>
        <v/>
      </c>
      <c r="I2387" s="7" t="n">
        <v>10058345</v>
      </c>
      <c r="J2387" s="7">
        <f>IFERROR(VLOOKUP(I2387,Materiales!$A:$H,8,0),"")</f>
        <v/>
      </c>
      <c r="K2387" s="9">
        <f>IFERROR(VLOOKUP(I2387,Materiales!$A:$G,7,0),"")</f>
        <v/>
      </c>
      <c r="L2387" s="8" t="inlineStr">
        <is>
          <t>20260707</t>
        </is>
      </c>
      <c r="M2387" s="8" t="inlineStr">
        <is>
          <t>20260707</t>
        </is>
      </c>
      <c r="N2387" s="10" t="n">
        <v>165</v>
      </c>
      <c r="O2387" s="10">
        <f>IFERROR(VLOOKUP(A2387,Flete!$A:$J,10,0),"")</f>
        <v/>
      </c>
      <c r="P2387" s="8" t="inlineStr">
        <is>
          <t>M3</t>
        </is>
      </c>
      <c r="Q2387" s="10">
        <f>IFERROR(IFERROR(VLOOKUP(A2387,TRAOPE!$A:$U,21,0),VLOOKUP(B2387,TRAOPE!$A:$U,21,0)),"")</f>
        <v/>
      </c>
      <c r="R2387" s="8">
        <f>IFERROR(IFERROR(VLOOKUP(A2387,TRAOPE!$A:$W,23,0),VLOOKUP(B2387,TRAOPE!$A:$W,23,0)),"")</f>
        <v/>
      </c>
      <c r="S2387" s="10">
        <f>IF(AND(P2387="TN",R2387="TN"),N2387+N(O2387),IF(G2387&amp;""="1",N(K2387)*N2387,(N2387+N(O2387))*N(K2387)))</f>
        <v/>
      </c>
      <c r="T2387" s="10">
        <f>IF(Q2387="","",Q2387-S2387)</f>
        <v/>
      </c>
    </row>
    <row r="2388">
      <c r="A2388" s="7">
        <f>CONCATENATE(C2388,E2388,F2388,I2388)</f>
        <v/>
      </c>
      <c r="B2388" s="7">
        <f>CONCATENATE(C2388,E2388,I2388)</f>
        <v/>
      </c>
      <c r="C2388" s="8" t="n">
        <v>900006005</v>
      </c>
      <c r="D2388" s="7">
        <f>IFERROR(VLOOKUP(C2388,TRAOPE!$G:$H,2,0),"")</f>
        <v/>
      </c>
      <c r="E2388" s="8" t="inlineStr">
        <is>
          <t>D836</t>
        </is>
      </c>
      <c r="F2388" s="8" t="inlineStr">
        <is>
          <t>67383337</t>
        </is>
      </c>
      <c r="G2388" s="8">
        <f>IFERROR(VLOOKUP(A2388,Flete!$A:$E,5,0),"")</f>
        <v/>
      </c>
      <c r="H2388" s="7">
        <f>IFERROR(VLOOKUP(F2388,TRAOPE!$AA:$AB,2,0),"")</f>
        <v/>
      </c>
      <c r="I2388" s="7" t="n">
        <v>10280049</v>
      </c>
      <c r="J2388" s="7">
        <f>IFERROR(VLOOKUP(I2388,Materiales!$A:$H,8,0),"")</f>
        <v/>
      </c>
      <c r="K2388" s="9">
        <f>IFERROR(VLOOKUP(I2388,Materiales!$A:$G,7,0),"")</f>
        <v/>
      </c>
      <c r="L2388" s="8" t="inlineStr">
        <is>
          <t>20260709</t>
        </is>
      </c>
      <c r="M2388" s="8" t="inlineStr">
        <is>
          <t>20260712</t>
        </is>
      </c>
      <c r="N2388" s="10" t="n">
        <v>125.18</v>
      </c>
      <c r="O2388" s="10">
        <f>IFERROR(VLOOKUP(A2388,Flete!$A:$J,10,0),"")</f>
        <v/>
      </c>
      <c r="P2388" s="8" t="inlineStr">
        <is>
          <t>TN</t>
        </is>
      </c>
      <c r="Q2388" s="10">
        <f>IFERROR(IFERROR(VLOOKUP(A2388,TRAOPE!$A:$U,21,0),VLOOKUP(B2388,TRAOPE!$A:$U,21,0)),"")</f>
        <v/>
      </c>
      <c r="R2388" s="8">
        <f>IFERROR(IFERROR(VLOOKUP(A2388,TRAOPE!$A:$W,23,0),VLOOKUP(B2388,TRAOPE!$A:$W,23,0)),"")</f>
        <v/>
      </c>
      <c r="S2388" s="10">
        <f>IF(AND(P2388="TN",R2388="TN"),N2388+N(O2388),IF(G2388&amp;""="1",N(K2388)*N2388,(N2388+N(O2388))*N(K2388)))</f>
        <v/>
      </c>
      <c r="T2388" s="10">
        <f>IF(Q2388="","",Q2388-S2388)</f>
        <v/>
      </c>
    </row>
    <row r="2389">
      <c r="A2389" s="7">
        <f>CONCATENATE(C2389,E2389,F2389,I2389)</f>
        <v/>
      </c>
      <c r="B2389" s="7">
        <f>CONCATENATE(C2389,E2389,I2389)</f>
        <v/>
      </c>
      <c r="C2389" s="8" t="n">
        <v>900001074</v>
      </c>
      <c r="D2389" s="7">
        <f>IFERROR(VLOOKUP(C2389,TRAOPE!$G:$H,2,0),"")</f>
        <v/>
      </c>
      <c r="E2389" s="8" t="inlineStr">
        <is>
          <t>D836</t>
        </is>
      </c>
      <c r="F2389" s="8" t="inlineStr">
        <is>
          <t>65006122</t>
        </is>
      </c>
      <c r="G2389" s="8">
        <f>IFERROR(VLOOKUP(A2389,Flete!$A:$E,5,0),"")</f>
        <v/>
      </c>
      <c r="H2389" s="7">
        <f>IFERROR(VLOOKUP(F2389,TRAOPE!$AA:$AB,2,0),"")</f>
        <v/>
      </c>
      <c r="I2389" s="7" t="n">
        <v>10000160</v>
      </c>
      <c r="J2389" s="7">
        <f>IFERROR(VLOOKUP(I2389,Materiales!$A:$H,8,0),"")</f>
        <v/>
      </c>
      <c r="K2389" s="9">
        <f>IFERROR(VLOOKUP(I2389,Materiales!$A:$G,7,0),"")</f>
        <v/>
      </c>
      <c r="L2389" s="8" t="inlineStr">
        <is>
          <t>20260518</t>
        </is>
      </c>
      <c r="M2389" s="8" t="inlineStr">
        <is>
          <t>99991231</t>
        </is>
      </c>
      <c r="N2389" s="10" t="n">
        <v>134</v>
      </c>
      <c r="O2389" s="10">
        <f>IFERROR(VLOOKUP(A2389,Flete!$A:$J,10,0),"")</f>
        <v/>
      </c>
      <c r="P2389" s="8" t="inlineStr">
        <is>
          <t>M3</t>
        </is>
      </c>
      <c r="Q2389" s="10">
        <f>IFERROR(IFERROR(VLOOKUP(A2389,TRAOPE!$A:$U,21,0),VLOOKUP(B2389,TRAOPE!$A:$U,21,0)),"")</f>
        <v/>
      </c>
      <c r="R2389" s="8">
        <f>IFERROR(IFERROR(VLOOKUP(A2389,TRAOPE!$A:$W,23,0),VLOOKUP(B2389,TRAOPE!$A:$W,23,0)),"")</f>
        <v/>
      </c>
      <c r="S2389" s="10">
        <f>IF(AND(P2389="TN",R2389="TN"),N2389+N(O2389),IF(G2389&amp;""="1",N(K2389)*N2389,(N2389+N(O2389))*N(K2389)))</f>
        <v/>
      </c>
      <c r="T2389" s="10">
        <f>IF(Q2389="","",Q2389-S2389)</f>
        <v/>
      </c>
    </row>
    <row r="2390">
      <c r="A2390" s="7">
        <f>CONCATENATE(C2390,E2390,F2390,I2390)</f>
        <v/>
      </c>
      <c r="B2390" s="7">
        <f>CONCATENATE(C2390,E2390,I2390)</f>
        <v/>
      </c>
      <c r="C2390" s="8" t="n">
        <v>900001074</v>
      </c>
      <c r="D2390" s="7">
        <f>IFERROR(VLOOKUP(C2390,TRAOPE!$G:$H,2,0),"")</f>
        <v/>
      </c>
      <c r="E2390" s="8" t="inlineStr">
        <is>
          <t>D836</t>
        </is>
      </c>
      <c r="F2390" s="8" t="inlineStr">
        <is>
          <t>65006122</t>
        </is>
      </c>
      <c r="G2390" s="8">
        <f>IFERROR(VLOOKUP(A2390,Flete!$A:$E,5,0),"")</f>
        <v/>
      </c>
      <c r="H2390" s="7">
        <f>IFERROR(VLOOKUP(F2390,TRAOPE!$AA:$AB,2,0),"")</f>
        <v/>
      </c>
      <c r="I2390" s="7" t="n">
        <v>10000627</v>
      </c>
      <c r="J2390" s="7">
        <f>IFERROR(VLOOKUP(I2390,Materiales!$A:$H,8,0),"")</f>
        <v/>
      </c>
      <c r="K2390" s="9">
        <f>IFERROR(VLOOKUP(I2390,Materiales!$A:$G,7,0),"")</f>
        <v/>
      </c>
      <c r="L2390" s="8" t="inlineStr">
        <is>
          <t>20260518</t>
        </is>
      </c>
      <c r="M2390" s="8" t="inlineStr">
        <is>
          <t>99991231</t>
        </is>
      </c>
      <c r="N2390" s="10" t="n">
        <v>120</v>
      </c>
      <c r="O2390" s="10">
        <f>IFERROR(VLOOKUP(A2390,Flete!$A:$J,10,0),"")</f>
        <v/>
      </c>
      <c r="P2390" s="8" t="inlineStr">
        <is>
          <t>M3</t>
        </is>
      </c>
      <c r="Q2390" s="10">
        <f>IFERROR(IFERROR(VLOOKUP(A2390,TRAOPE!$A:$U,21,0),VLOOKUP(B2390,TRAOPE!$A:$U,21,0)),"")</f>
        <v/>
      </c>
      <c r="R2390" s="8">
        <f>IFERROR(IFERROR(VLOOKUP(A2390,TRAOPE!$A:$W,23,0),VLOOKUP(B2390,TRAOPE!$A:$W,23,0)),"")</f>
        <v/>
      </c>
      <c r="S2390" s="10">
        <f>IF(AND(P2390="TN",R2390="TN"),N2390+N(O2390),IF(G2390&amp;""="1",N(K2390)*N2390,(N2390+N(O2390))*N(K2390)))</f>
        <v/>
      </c>
      <c r="T2390" s="10">
        <f>IF(Q2390="","",Q2390-S2390)</f>
        <v/>
      </c>
    </row>
    <row r="2391">
      <c r="A2391" s="7">
        <f>CONCATENATE(C2391,E2391,F2391,I2391)</f>
        <v/>
      </c>
      <c r="B2391" s="7">
        <f>CONCATENATE(C2391,E2391,I2391)</f>
        <v/>
      </c>
      <c r="C2391" s="8" t="n">
        <v>900001074</v>
      </c>
      <c r="D2391" s="7">
        <f>IFERROR(VLOOKUP(C2391,TRAOPE!$G:$H,2,0),"")</f>
        <v/>
      </c>
      <c r="E2391" s="8" t="inlineStr">
        <is>
          <t>D836</t>
        </is>
      </c>
      <c r="F2391" s="8" t="inlineStr">
        <is>
          <t>65007561</t>
        </is>
      </c>
      <c r="G2391" s="8">
        <f>IFERROR(VLOOKUP(A2391,Flete!$A:$E,5,0),"")</f>
        <v/>
      </c>
      <c r="H2391" s="7">
        <f>IFERROR(VLOOKUP(F2391,TRAOPE!$AA:$AB,2,0),"")</f>
        <v/>
      </c>
      <c r="I2391" s="7" t="n">
        <v>10000160</v>
      </c>
      <c r="J2391" s="7">
        <f>IFERROR(VLOOKUP(I2391,Materiales!$A:$H,8,0),"")</f>
        <v/>
      </c>
      <c r="K2391" s="9">
        <f>IFERROR(VLOOKUP(I2391,Materiales!$A:$G,7,0),"")</f>
        <v/>
      </c>
      <c r="L2391" s="8" t="inlineStr">
        <is>
          <t>20260319</t>
        </is>
      </c>
      <c r="M2391" s="8" t="inlineStr">
        <is>
          <t>99991231</t>
        </is>
      </c>
      <c r="N2391" s="10" t="n">
        <v>123</v>
      </c>
      <c r="O2391" s="10">
        <f>IFERROR(VLOOKUP(A2391,Flete!$A:$J,10,0),"")</f>
        <v/>
      </c>
      <c r="P2391" s="8" t="inlineStr">
        <is>
          <t>M3</t>
        </is>
      </c>
      <c r="Q2391" s="10">
        <f>IFERROR(IFERROR(VLOOKUP(A2391,TRAOPE!$A:$U,21,0),VLOOKUP(B2391,TRAOPE!$A:$U,21,0)),"")</f>
        <v/>
      </c>
      <c r="R2391" s="8">
        <f>IFERROR(IFERROR(VLOOKUP(A2391,TRAOPE!$A:$W,23,0),VLOOKUP(B2391,TRAOPE!$A:$W,23,0)),"")</f>
        <v/>
      </c>
      <c r="S2391" s="10">
        <f>IF(AND(P2391="TN",R2391="TN"),N2391+N(O2391),IF(G2391&amp;""="1",N(K2391)*N2391,(N2391+N(O2391))*N(K2391)))</f>
        <v/>
      </c>
      <c r="T2391" s="10">
        <f>IF(Q2391="","",Q2391-S2391)</f>
        <v/>
      </c>
    </row>
    <row r="2392">
      <c r="A2392" s="7">
        <f>CONCATENATE(C2392,E2392,F2392,I2392)</f>
        <v/>
      </c>
      <c r="B2392" s="7">
        <f>CONCATENATE(C2392,E2392,I2392)</f>
        <v/>
      </c>
      <c r="C2392" s="8" t="n">
        <v>900001074</v>
      </c>
      <c r="D2392" s="7">
        <f>IFERROR(VLOOKUP(C2392,TRAOPE!$G:$H,2,0),"")</f>
        <v/>
      </c>
      <c r="E2392" s="8" t="inlineStr">
        <is>
          <t>D836</t>
        </is>
      </c>
      <c r="F2392" s="8" t="inlineStr">
        <is>
          <t>65007561</t>
        </is>
      </c>
      <c r="G2392" s="8">
        <f>IFERROR(VLOOKUP(A2392,Flete!$A:$E,5,0),"")</f>
        <v/>
      </c>
      <c r="H2392" s="7">
        <f>IFERROR(VLOOKUP(F2392,TRAOPE!$AA:$AB,2,0),"")</f>
        <v/>
      </c>
      <c r="I2392" s="7" t="n">
        <v>10000357</v>
      </c>
      <c r="J2392" s="7">
        <f>IFERROR(VLOOKUP(I2392,Materiales!$A:$H,8,0),"")</f>
        <v/>
      </c>
      <c r="K2392" s="9">
        <f>IFERROR(VLOOKUP(I2392,Materiales!$A:$G,7,0),"")</f>
        <v/>
      </c>
      <c r="L2392" s="8" t="inlineStr">
        <is>
          <t>20260319</t>
        </is>
      </c>
      <c r="M2392" s="8" t="inlineStr">
        <is>
          <t>99991231</t>
        </is>
      </c>
      <c r="N2392" s="10" t="n">
        <v>148</v>
      </c>
      <c r="O2392" s="10">
        <f>IFERROR(VLOOKUP(A2392,Flete!$A:$J,10,0),"")</f>
        <v/>
      </c>
      <c r="P2392" s="8" t="inlineStr">
        <is>
          <t>M3</t>
        </is>
      </c>
      <c r="Q2392" s="10">
        <f>IFERROR(IFERROR(VLOOKUP(A2392,TRAOPE!$A:$U,21,0),VLOOKUP(B2392,TRAOPE!$A:$U,21,0)),"")</f>
        <v/>
      </c>
      <c r="R2392" s="8">
        <f>IFERROR(IFERROR(VLOOKUP(A2392,TRAOPE!$A:$W,23,0),VLOOKUP(B2392,TRAOPE!$A:$W,23,0)),"")</f>
        <v/>
      </c>
      <c r="S2392" s="10">
        <f>IF(AND(P2392="TN",R2392="TN"),N2392+N(O2392),IF(G2392&amp;""="1",N(K2392)*N2392,(N2392+N(O2392))*N(K2392)))</f>
        <v/>
      </c>
      <c r="T2392" s="10">
        <f>IF(Q2392="","",Q2392-S2392)</f>
        <v/>
      </c>
    </row>
    <row r="2393">
      <c r="A2393" s="7">
        <f>CONCATENATE(C2393,E2393,F2393,I2393)</f>
        <v/>
      </c>
      <c r="B2393" s="7">
        <f>CONCATENATE(C2393,E2393,I2393)</f>
        <v/>
      </c>
      <c r="C2393" s="8" t="n">
        <v>900001074</v>
      </c>
      <c r="D2393" s="7">
        <f>IFERROR(VLOOKUP(C2393,TRAOPE!$G:$H,2,0),"")</f>
        <v/>
      </c>
      <c r="E2393" s="8" t="inlineStr">
        <is>
          <t>D836</t>
        </is>
      </c>
      <c r="F2393" s="8" t="inlineStr">
        <is>
          <t>65016451</t>
        </is>
      </c>
      <c r="G2393" s="8">
        <f>IFERROR(VLOOKUP(A2393,Flete!$A:$E,5,0),"")</f>
        <v/>
      </c>
      <c r="H2393" s="7">
        <f>IFERROR(VLOOKUP(F2393,TRAOPE!$AA:$AB,2,0),"")</f>
        <v/>
      </c>
      <c r="I2393" s="7" t="n">
        <v>10000160</v>
      </c>
      <c r="J2393" s="7">
        <f>IFERROR(VLOOKUP(I2393,Materiales!$A:$H,8,0),"")</f>
        <v/>
      </c>
      <c r="K2393" s="9">
        <f>IFERROR(VLOOKUP(I2393,Materiales!$A:$G,7,0),"")</f>
        <v/>
      </c>
      <c r="L2393" s="8" t="inlineStr">
        <is>
          <t>20260319</t>
        </is>
      </c>
      <c r="M2393" s="8" t="inlineStr">
        <is>
          <t>99991231</t>
        </is>
      </c>
      <c r="N2393" s="10" t="n">
        <v>123</v>
      </c>
      <c r="O2393" s="10">
        <f>IFERROR(VLOOKUP(A2393,Flete!$A:$J,10,0),"")</f>
        <v/>
      </c>
      <c r="P2393" s="8" t="inlineStr">
        <is>
          <t>M3</t>
        </is>
      </c>
      <c r="Q2393" s="10">
        <f>IFERROR(IFERROR(VLOOKUP(A2393,TRAOPE!$A:$U,21,0),VLOOKUP(B2393,TRAOPE!$A:$U,21,0)),"")</f>
        <v/>
      </c>
      <c r="R2393" s="8">
        <f>IFERROR(IFERROR(VLOOKUP(A2393,TRAOPE!$A:$W,23,0),VLOOKUP(B2393,TRAOPE!$A:$W,23,0)),"")</f>
        <v/>
      </c>
      <c r="S2393" s="10">
        <f>IF(AND(P2393="TN",R2393="TN"),N2393+N(O2393),IF(G2393&amp;""="1",N(K2393)*N2393,(N2393+N(O2393))*N(K2393)))</f>
        <v/>
      </c>
      <c r="T2393" s="10">
        <f>IF(Q2393="","",Q2393-S2393)</f>
        <v/>
      </c>
    </row>
    <row r="2394">
      <c r="A2394" s="7">
        <f>CONCATENATE(C2394,E2394,F2394,I2394)</f>
        <v/>
      </c>
      <c r="B2394" s="7">
        <f>CONCATENATE(C2394,E2394,I2394)</f>
        <v/>
      </c>
      <c r="C2394" s="8" t="n">
        <v>900001074</v>
      </c>
      <c r="D2394" s="7">
        <f>IFERROR(VLOOKUP(C2394,TRAOPE!$G:$H,2,0),"")</f>
        <v/>
      </c>
      <c r="E2394" s="8" t="inlineStr">
        <is>
          <t>D836</t>
        </is>
      </c>
      <c r="F2394" s="8" t="inlineStr">
        <is>
          <t>65911289</t>
        </is>
      </c>
      <c r="G2394" s="8">
        <f>IFERROR(VLOOKUP(A2394,Flete!$A:$E,5,0),"")</f>
        <v/>
      </c>
      <c r="H2394" s="7">
        <f>IFERROR(VLOOKUP(F2394,TRAOPE!$AA:$AB,2,0),"")</f>
        <v/>
      </c>
      <c r="I2394" s="7" t="n">
        <v>10000160</v>
      </c>
      <c r="J2394" s="7">
        <f>IFERROR(VLOOKUP(I2394,Materiales!$A:$H,8,0),"")</f>
        <v/>
      </c>
      <c r="K2394" s="9">
        <f>IFERROR(VLOOKUP(I2394,Materiales!$A:$G,7,0),"")</f>
        <v/>
      </c>
      <c r="L2394" s="8" t="inlineStr">
        <is>
          <t>20260319</t>
        </is>
      </c>
      <c r="M2394" s="8" t="inlineStr">
        <is>
          <t>99991231</t>
        </is>
      </c>
      <c r="N2394" s="10" t="n">
        <v>130</v>
      </c>
      <c r="O2394" s="10">
        <f>IFERROR(VLOOKUP(A2394,Flete!$A:$J,10,0),"")</f>
        <v/>
      </c>
      <c r="P2394" s="8" t="inlineStr">
        <is>
          <t>M3</t>
        </is>
      </c>
      <c r="Q2394" s="10">
        <f>IFERROR(IFERROR(VLOOKUP(A2394,TRAOPE!$A:$U,21,0),VLOOKUP(B2394,TRAOPE!$A:$U,21,0)),"")</f>
        <v/>
      </c>
      <c r="R2394" s="8">
        <f>IFERROR(IFERROR(VLOOKUP(A2394,TRAOPE!$A:$W,23,0),VLOOKUP(B2394,TRAOPE!$A:$W,23,0)),"")</f>
        <v/>
      </c>
      <c r="S2394" s="10">
        <f>IF(AND(P2394="TN",R2394="TN"),N2394+N(O2394),IF(G2394&amp;""="1",N(K2394)*N2394,(N2394+N(O2394))*N(K2394)))</f>
        <v/>
      </c>
      <c r="T2394" s="10">
        <f>IF(Q2394="","",Q2394-S2394)</f>
        <v/>
      </c>
    </row>
    <row r="2395">
      <c r="A2395" s="7">
        <f>CONCATENATE(C2395,E2395,F2395,I2395)</f>
        <v/>
      </c>
      <c r="B2395" s="7">
        <f>CONCATENATE(C2395,E2395,I2395)</f>
        <v/>
      </c>
      <c r="C2395" s="8" t="n">
        <v>900001074</v>
      </c>
      <c r="D2395" s="7">
        <f>IFERROR(VLOOKUP(C2395,TRAOPE!$G:$H,2,0),"")</f>
        <v/>
      </c>
      <c r="E2395" s="8" t="inlineStr">
        <is>
          <t>D836</t>
        </is>
      </c>
      <c r="F2395" s="8" t="inlineStr">
        <is>
          <t>65911289</t>
        </is>
      </c>
      <c r="G2395" s="8">
        <f>IFERROR(VLOOKUP(A2395,Flete!$A:$E,5,0),"")</f>
        <v/>
      </c>
      <c r="H2395" s="7">
        <f>IFERROR(VLOOKUP(F2395,TRAOPE!$AA:$AB,2,0),"")</f>
        <v/>
      </c>
      <c r="I2395" s="7" t="n">
        <v>10000206</v>
      </c>
      <c r="J2395" s="7">
        <f>IFERROR(VLOOKUP(I2395,Materiales!$A:$H,8,0),"")</f>
        <v/>
      </c>
      <c r="K2395" s="9">
        <f>IFERROR(VLOOKUP(I2395,Materiales!$A:$G,7,0),"")</f>
        <v/>
      </c>
      <c r="L2395" s="8" t="inlineStr">
        <is>
          <t>20260319</t>
        </is>
      </c>
      <c r="M2395" s="8" t="inlineStr">
        <is>
          <t>99991231</t>
        </is>
      </c>
      <c r="N2395" s="10" t="n">
        <v>43</v>
      </c>
      <c r="O2395" s="10">
        <f>IFERROR(VLOOKUP(A2395,Flete!$A:$J,10,0),"")</f>
        <v/>
      </c>
      <c r="P2395" s="8" t="inlineStr">
        <is>
          <t>M3</t>
        </is>
      </c>
      <c r="Q2395" s="10">
        <f>IFERROR(IFERROR(VLOOKUP(A2395,TRAOPE!$A:$U,21,0),VLOOKUP(B2395,TRAOPE!$A:$U,21,0)),"")</f>
        <v/>
      </c>
      <c r="R2395" s="8">
        <f>IFERROR(IFERROR(VLOOKUP(A2395,TRAOPE!$A:$W,23,0),VLOOKUP(B2395,TRAOPE!$A:$W,23,0)),"")</f>
        <v/>
      </c>
      <c r="S2395" s="10">
        <f>IF(AND(P2395="TN",R2395="TN"),N2395+N(O2395),IF(G2395&amp;""="1",N(K2395)*N2395,(N2395+N(O2395))*N(K2395)))</f>
        <v/>
      </c>
      <c r="T2395" s="10">
        <f>IF(Q2395="","",Q2395-S2395)</f>
        <v/>
      </c>
    </row>
    <row r="2396">
      <c r="A2396" s="7">
        <f>CONCATENATE(C2396,E2396,F2396,I2396)</f>
        <v/>
      </c>
      <c r="B2396" s="7">
        <f>CONCATENATE(C2396,E2396,I2396)</f>
        <v/>
      </c>
      <c r="C2396" s="8" t="n">
        <v>900001074</v>
      </c>
      <c r="D2396" s="7">
        <f>IFERROR(VLOOKUP(C2396,TRAOPE!$G:$H,2,0),"")</f>
        <v/>
      </c>
      <c r="E2396" s="8" t="inlineStr">
        <is>
          <t>D836</t>
        </is>
      </c>
      <c r="F2396" s="8" t="inlineStr">
        <is>
          <t>65911289</t>
        </is>
      </c>
      <c r="G2396" s="8">
        <f>IFERROR(VLOOKUP(A2396,Flete!$A:$E,5,0),"")</f>
        <v/>
      </c>
      <c r="H2396" s="7">
        <f>IFERROR(VLOOKUP(F2396,TRAOPE!$AA:$AB,2,0),"")</f>
        <v/>
      </c>
      <c r="I2396" s="7" t="n">
        <v>10000357</v>
      </c>
      <c r="J2396" s="7">
        <f>IFERROR(VLOOKUP(I2396,Materiales!$A:$H,8,0),"")</f>
        <v/>
      </c>
      <c r="K2396" s="9">
        <f>IFERROR(VLOOKUP(I2396,Materiales!$A:$G,7,0),"")</f>
        <v/>
      </c>
      <c r="L2396" s="8" t="inlineStr">
        <is>
          <t>20260303</t>
        </is>
      </c>
      <c r="M2396" s="8" t="inlineStr">
        <is>
          <t>99991231</t>
        </is>
      </c>
      <c r="N2396" s="10" t="n">
        <v>150</v>
      </c>
      <c r="O2396" s="10">
        <f>IFERROR(VLOOKUP(A2396,Flete!$A:$J,10,0),"")</f>
        <v/>
      </c>
      <c r="P2396" s="8" t="inlineStr">
        <is>
          <t>M3</t>
        </is>
      </c>
      <c r="Q2396" s="10">
        <f>IFERROR(IFERROR(VLOOKUP(A2396,TRAOPE!$A:$U,21,0),VLOOKUP(B2396,TRAOPE!$A:$U,21,0)),"")</f>
        <v/>
      </c>
      <c r="R2396" s="8">
        <f>IFERROR(IFERROR(VLOOKUP(A2396,TRAOPE!$A:$W,23,0),VLOOKUP(B2396,TRAOPE!$A:$W,23,0)),"")</f>
        <v/>
      </c>
      <c r="S2396" s="10">
        <f>IF(AND(P2396="TN",R2396="TN"),N2396+N(O2396),IF(G2396&amp;""="1",N(K2396)*N2396,(N2396+N(O2396))*N(K2396)))</f>
        <v/>
      </c>
      <c r="T2396" s="10">
        <f>IF(Q2396="","",Q2396-S2396)</f>
        <v/>
      </c>
    </row>
    <row r="2397">
      <c r="A2397" s="7">
        <f>CONCATENATE(C2397,E2397,F2397,I2397)</f>
        <v/>
      </c>
      <c r="B2397" s="7">
        <f>CONCATENATE(C2397,E2397,I2397)</f>
        <v/>
      </c>
      <c r="C2397" s="8" t="n">
        <v>900001074</v>
      </c>
      <c r="D2397" s="7">
        <f>IFERROR(VLOOKUP(C2397,TRAOPE!$G:$H,2,0),"")</f>
        <v/>
      </c>
      <c r="E2397" s="8" t="inlineStr">
        <is>
          <t>D836</t>
        </is>
      </c>
      <c r="F2397" s="8" t="inlineStr">
        <is>
          <t>65911289</t>
        </is>
      </c>
      <c r="G2397" s="8">
        <f>IFERROR(VLOOKUP(A2397,Flete!$A:$E,5,0),"")</f>
        <v/>
      </c>
      <c r="H2397" s="7">
        <f>IFERROR(VLOOKUP(F2397,TRAOPE!$AA:$AB,2,0),"")</f>
        <v/>
      </c>
      <c r="I2397" s="7" t="n">
        <v>10000627</v>
      </c>
      <c r="J2397" s="7">
        <f>IFERROR(VLOOKUP(I2397,Materiales!$A:$H,8,0),"")</f>
        <v/>
      </c>
      <c r="K2397" s="9">
        <f>IFERROR(VLOOKUP(I2397,Materiales!$A:$G,7,0),"")</f>
        <v/>
      </c>
      <c r="L2397" s="8" t="inlineStr">
        <is>
          <t>20260319</t>
        </is>
      </c>
      <c r="M2397" s="8" t="inlineStr">
        <is>
          <t>99991231</t>
        </is>
      </c>
      <c r="N2397" s="10" t="n">
        <v>111</v>
      </c>
      <c r="O2397" s="10">
        <f>IFERROR(VLOOKUP(A2397,Flete!$A:$J,10,0),"")</f>
        <v/>
      </c>
      <c r="P2397" s="8" t="inlineStr">
        <is>
          <t>M3</t>
        </is>
      </c>
      <c r="Q2397" s="10">
        <f>IFERROR(IFERROR(VLOOKUP(A2397,TRAOPE!$A:$U,21,0),VLOOKUP(B2397,TRAOPE!$A:$U,21,0)),"")</f>
        <v/>
      </c>
      <c r="R2397" s="8">
        <f>IFERROR(IFERROR(VLOOKUP(A2397,TRAOPE!$A:$W,23,0),VLOOKUP(B2397,TRAOPE!$A:$W,23,0)),"")</f>
        <v/>
      </c>
      <c r="S2397" s="10">
        <f>IF(AND(P2397="TN",R2397="TN"),N2397+N(O2397),IF(G2397&amp;""="1",N(K2397)*N2397,(N2397+N(O2397))*N(K2397)))</f>
        <v/>
      </c>
      <c r="T2397" s="10">
        <f>IF(Q2397="","",Q2397-S2397)</f>
        <v/>
      </c>
    </row>
    <row r="2398">
      <c r="A2398" s="7">
        <f>CONCATENATE(C2398,E2398,F2398,I2398)</f>
        <v/>
      </c>
      <c r="B2398" s="7">
        <f>CONCATENATE(C2398,E2398,I2398)</f>
        <v/>
      </c>
      <c r="C2398" s="8" t="n">
        <v>900001074</v>
      </c>
      <c r="D2398" s="7">
        <f>IFERROR(VLOOKUP(C2398,TRAOPE!$G:$H,2,0),"")</f>
        <v/>
      </c>
      <c r="E2398" s="8" t="inlineStr">
        <is>
          <t>D836</t>
        </is>
      </c>
      <c r="F2398" s="8" t="inlineStr">
        <is>
          <t>65911313</t>
        </is>
      </c>
      <c r="G2398" s="8">
        <f>IFERROR(VLOOKUP(A2398,Flete!$A:$E,5,0),"")</f>
        <v/>
      </c>
      <c r="H2398" s="7">
        <f>IFERROR(VLOOKUP(F2398,TRAOPE!$AA:$AB,2,0),"")</f>
        <v/>
      </c>
      <c r="I2398" s="7" t="n">
        <v>10000160</v>
      </c>
      <c r="J2398" s="7">
        <f>IFERROR(VLOOKUP(I2398,Materiales!$A:$H,8,0),"")</f>
        <v/>
      </c>
      <c r="K2398" s="9">
        <f>IFERROR(VLOOKUP(I2398,Materiales!$A:$G,7,0),"")</f>
        <v/>
      </c>
      <c r="L2398" s="8" t="inlineStr">
        <is>
          <t>20260319</t>
        </is>
      </c>
      <c r="M2398" s="8" t="inlineStr">
        <is>
          <t>99991231</t>
        </is>
      </c>
      <c r="N2398" s="10" t="n">
        <v>125</v>
      </c>
      <c r="O2398" s="10">
        <f>IFERROR(VLOOKUP(A2398,Flete!$A:$J,10,0),"")</f>
        <v/>
      </c>
      <c r="P2398" s="8" t="inlineStr">
        <is>
          <t>M3</t>
        </is>
      </c>
      <c r="Q2398" s="10">
        <f>IFERROR(IFERROR(VLOOKUP(A2398,TRAOPE!$A:$U,21,0),VLOOKUP(B2398,TRAOPE!$A:$U,21,0)),"")</f>
        <v/>
      </c>
      <c r="R2398" s="8">
        <f>IFERROR(IFERROR(VLOOKUP(A2398,TRAOPE!$A:$W,23,0),VLOOKUP(B2398,TRAOPE!$A:$W,23,0)),"")</f>
        <v/>
      </c>
      <c r="S2398" s="10">
        <f>IF(AND(P2398="TN",R2398="TN"),N2398+N(O2398),IF(G2398&amp;""="1",N(K2398)*N2398,(N2398+N(O2398))*N(K2398)))</f>
        <v/>
      </c>
      <c r="T2398" s="10">
        <f>IF(Q2398="","",Q2398-S2398)</f>
        <v/>
      </c>
    </row>
    <row r="2399">
      <c r="A2399" s="7">
        <f>CONCATENATE(C2399,E2399,F2399,I2399)</f>
        <v/>
      </c>
      <c r="B2399" s="7">
        <f>CONCATENATE(C2399,E2399,I2399)</f>
        <v/>
      </c>
      <c r="C2399" s="8" t="n">
        <v>900001074</v>
      </c>
      <c r="D2399" s="7">
        <f>IFERROR(VLOOKUP(C2399,TRAOPE!$G:$H,2,0),"")</f>
        <v/>
      </c>
      <c r="E2399" s="8" t="inlineStr">
        <is>
          <t>D836</t>
        </is>
      </c>
      <c r="F2399" s="8" t="inlineStr">
        <is>
          <t>65911313</t>
        </is>
      </c>
      <c r="G2399" s="8">
        <f>IFERROR(VLOOKUP(A2399,Flete!$A:$E,5,0),"")</f>
        <v/>
      </c>
      <c r="H2399" s="7">
        <f>IFERROR(VLOOKUP(F2399,TRAOPE!$AA:$AB,2,0),"")</f>
        <v/>
      </c>
      <c r="I2399" s="7" t="n">
        <v>10000357</v>
      </c>
      <c r="J2399" s="7">
        <f>IFERROR(VLOOKUP(I2399,Materiales!$A:$H,8,0),"")</f>
        <v/>
      </c>
      <c r="K2399" s="9">
        <f>IFERROR(VLOOKUP(I2399,Materiales!$A:$G,7,0),"")</f>
        <v/>
      </c>
      <c r="L2399" s="8" t="inlineStr">
        <is>
          <t>20260319</t>
        </is>
      </c>
      <c r="M2399" s="8" t="inlineStr">
        <is>
          <t>99991231</t>
        </is>
      </c>
      <c r="N2399" s="10" t="n">
        <v>148</v>
      </c>
      <c r="O2399" s="10">
        <f>IFERROR(VLOOKUP(A2399,Flete!$A:$J,10,0),"")</f>
        <v/>
      </c>
      <c r="P2399" s="8" t="inlineStr">
        <is>
          <t>M3</t>
        </is>
      </c>
      <c r="Q2399" s="10">
        <f>IFERROR(IFERROR(VLOOKUP(A2399,TRAOPE!$A:$U,21,0),VLOOKUP(B2399,TRAOPE!$A:$U,21,0)),"")</f>
        <v/>
      </c>
      <c r="R2399" s="8">
        <f>IFERROR(IFERROR(VLOOKUP(A2399,TRAOPE!$A:$W,23,0),VLOOKUP(B2399,TRAOPE!$A:$W,23,0)),"")</f>
        <v/>
      </c>
      <c r="S2399" s="10">
        <f>IF(AND(P2399="TN",R2399="TN"),N2399+N(O2399),IF(G2399&amp;""="1",N(K2399)*N2399,(N2399+N(O2399))*N(K2399)))</f>
        <v/>
      </c>
      <c r="T2399" s="10">
        <f>IF(Q2399="","",Q2399-S2399)</f>
        <v/>
      </c>
    </row>
    <row r="2400">
      <c r="A2400" s="7">
        <f>CONCATENATE(C2400,E2400,F2400,I2400)</f>
        <v/>
      </c>
      <c r="B2400" s="7">
        <f>CONCATENATE(C2400,E2400,I2400)</f>
        <v/>
      </c>
      <c r="C2400" s="8" t="n">
        <v>900001074</v>
      </c>
      <c r="D2400" s="7">
        <f>IFERROR(VLOOKUP(C2400,TRAOPE!$G:$H,2,0),"")</f>
        <v/>
      </c>
      <c r="E2400" s="8" t="inlineStr">
        <is>
          <t>D836</t>
        </is>
      </c>
      <c r="F2400" s="8" t="inlineStr">
        <is>
          <t>65911313</t>
        </is>
      </c>
      <c r="G2400" s="8">
        <f>IFERROR(VLOOKUP(A2400,Flete!$A:$E,5,0),"")</f>
        <v/>
      </c>
      <c r="H2400" s="7">
        <f>IFERROR(VLOOKUP(F2400,TRAOPE!$AA:$AB,2,0),"")</f>
        <v/>
      </c>
      <c r="I2400" s="7" t="n">
        <v>10000627</v>
      </c>
      <c r="J2400" s="7">
        <f>IFERROR(VLOOKUP(I2400,Materiales!$A:$H,8,0),"")</f>
        <v/>
      </c>
      <c r="K2400" s="9">
        <f>IFERROR(VLOOKUP(I2400,Materiales!$A:$G,7,0),"")</f>
        <v/>
      </c>
      <c r="L2400" s="8" t="inlineStr">
        <is>
          <t>20260319</t>
        </is>
      </c>
      <c r="M2400" s="8" t="inlineStr">
        <is>
          <t>99991231</t>
        </is>
      </c>
      <c r="N2400" s="10" t="n">
        <v>111</v>
      </c>
      <c r="O2400" s="10">
        <f>IFERROR(VLOOKUP(A2400,Flete!$A:$J,10,0),"")</f>
        <v/>
      </c>
      <c r="P2400" s="8" t="inlineStr">
        <is>
          <t>M3</t>
        </is>
      </c>
      <c r="Q2400" s="10">
        <f>IFERROR(IFERROR(VLOOKUP(A2400,TRAOPE!$A:$U,21,0),VLOOKUP(B2400,TRAOPE!$A:$U,21,0)),"")</f>
        <v/>
      </c>
      <c r="R2400" s="8">
        <f>IFERROR(IFERROR(VLOOKUP(A2400,TRAOPE!$A:$W,23,0),VLOOKUP(B2400,TRAOPE!$A:$W,23,0)),"")</f>
        <v/>
      </c>
      <c r="S2400" s="10">
        <f>IF(AND(P2400="TN",R2400="TN"),N2400+N(O2400),IF(G2400&amp;""="1",N(K2400)*N2400,(N2400+N(O2400))*N(K2400)))</f>
        <v/>
      </c>
      <c r="T2400" s="10">
        <f>IF(Q2400="","",Q2400-S2400)</f>
        <v/>
      </c>
    </row>
    <row r="2401">
      <c r="A2401" s="7">
        <f>CONCATENATE(C2401,E2401,F2401,I2401)</f>
        <v/>
      </c>
      <c r="B2401" s="7">
        <f>CONCATENATE(C2401,E2401,I2401)</f>
        <v/>
      </c>
      <c r="C2401" s="8" t="n">
        <v>900001074</v>
      </c>
      <c r="D2401" s="7">
        <f>IFERROR(VLOOKUP(C2401,TRAOPE!$G:$H,2,0),"")</f>
        <v/>
      </c>
      <c r="E2401" s="8" t="inlineStr">
        <is>
          <t>D836</t>
        </is>
      </c>
      <c r="F2401" s="8" t="inlineStr">
        <is>
          <t>66414377</t>
        </is>
      </c>
      <c r="G2401" s="8">
        <f>IFERROR(VLOOKUP(A2401,Flete!$A:$E,5,0),"")</f>
        <v/>
      </c>
      <c r="H2401" s="7">
        <f>IFERROR(VLOOKUP(F2401,TRAOPE!$AA:$AB,2,0),"")</f>
        <v/>
      </c>
      <c r="I2401" s="7" t="n">
        <v>10000160</v>
      </c>
      <c r="J2401" s="7">
        <f>IFERROR(VLOOKUP(I2401,Materiales!$A:$H,8,0),"")</f>
        <v/>
      </c>
      <c r="K2401" s="9">
        <f>IFERROR(VLOOKUP(I2401,Materiales!$A:$G,7,0),"")</f>
        <v/>
      </c>
      <c r="L2401" s="8" t="inlineStr">
        <is>
          <t>20260618</t>
        </is>
      </c>
      <c r="M2401" s="8" t="inlineStr">
        <is>
          <t>99991231</t>
        </is>
      </c>
      <c r="N2401" s="10" t="n">
        <v>125</v>
      </c>
      <c r="O2401" s="10">
        <f>IFERROR(VLOOKUP(A2401,Flete!$A:$J,10,0),"")</f>
        <v/>
      </c>
      <c r="P2401" s="8" t="inlineStr">
        <is>
          <t>M3</t>
        </is>
      </c>
      <c r="Q2401" s="10">
        <f>IFERROR(IFERROR(VLOOKUP(A2401,TRAOPE!$A:$U,21,0),VLOOKUP(B2401,TRAOPE!$A:$U,21,0)),"")</f>
        <v/>
      </c>
      <c r="R2401" s="8">
        <f>IFERROR(IFERROR(VLOOKUP(A2401,TRAOPE!$A:$W,23,0),VLOOKUP(B2401,TRAOPE!$A:$W,23,0)),"")</f>
        <v/>
      </c>
      <c r="S2401" s="10">
        <f>IF(AND(P2401="TN",R2401="TN"),N2401+N(O2401),IF(G2401&amp;""="1",N(K2401)*N2401,(N2401+N(O2401))*N(K2401)))</f>
        <v/>
      </c>
      <c r="T2401" s="10">
        <f>IF(Q2401="","",Q2401-S2401)</f>
        <v/>
      </c>
    </row>
    <row r="2402">
      <c r="A2402" s="7">
        <f>CONCATENATE(C2402,E2402,F2402,I2402)</f>
        <v/>
      </c>
      <c r="B2402" s="7">
        <f>CONCATENATE(C2402,E2402,I2402)</f>
        <v/>
      </c>
      <c r="C2402" s="8" t="n">
        <v>900001074</v>
      </c>
      <c r="D2402" s="7">
        <f>IFERROR(VLOOKUP(C2402,TRAOPE!$G:$H,2,0),"")</f>
        <v/>
      </c>
      <c r="E2402" s="8" t="inlineStr">
        <is>
          <t>D836</t>
        </is>
      </c>
      <c r="F2402" s="8" t="inlineStr">
        <is>
          <t>66414377</t>
        </is>
      </c>
      <c r="G2402" s="8">
        <f>IFERROR(VLOOKUP(A2402,Flete!$A:$E,5,0),"")</f>
        <v/>
      </c>
      <c r="H2402" s="7">
        <f>IFERROR(VLOOKUP(F2402,TRAOPE!$AA:$AB,2,0),"")</f>
        <v/>
      </c>
      <c r="I2402" s="7" t="n">
        <v>10000627</v>
      </c>
      <c r="J2402" s="7">
        <f>IFERROR(VLOOKUP(I2402,Materiales!$A:$H,8,0),"")</f>
        <v/>
      </c>
      <c r="K2402" s="9">
        <f>IFERROR(VLOOKUP(I2402,Materiales!$A:$G,7,0),"")</f>
        <v/>
      </c>
      <c r="L2402" s="8" t="inlineStr">
        <is>
          <t>20260319</t>
        </is>
      </c>
      <c r="M2402" s="8" t="inlineStr">
        <is>
          <t>99991231</t>
        </is>
      </c>
      <c r="N2402" s="10" t="n">
        <v>116</v>
      </c>
      <c r="O2402" s="10">
        <f>IFERROR(VLOOKUP(A2402,Flete!$A:$J,10,0),"")</f>
        <v/>
      </c>
      <c r="P2402" s="8" t="inlineStr">
        <is>
          <t>M3</t>
        </is>
      </c>
      <c r="Q2402" s="10">
        <f>IFERROR(IFERROR(VLOOKUP(A2402,TRAOPE!$A:$U,21,0),VLOOKUP(B2402,TRAOPE!$A:$U,21,0)),"")</f>
        <v/>
      </c>
      <c r="R2402" s="8">
        <f>IFERROR(IFERROR(VLOOKUP(A2402,TRAOPE!$A:$W,23,0),VLOOKUP(B2402,TRAOPE!$A:$W,23,0)),"")</f>
        <v/>
      </c>
      <c r="S2402" s="10">
        <f>IF(AND(P2402="TN",R2402="TN"),N2402+N(O2402),IF(G2402&amp;""="1",N(K2402)*N2402,(N2402+N(O2402))*N(K2402)))</f>
        <v/>
      </c>
      <c r="T2402" s="10">
        <f>IF(Q2402="","",Q2402-S2402)</f>
        <v/>
      </c>
    </row>
    <row r="2403">
      <c r="A2403" s="7">
        <f>CONCATENATE(C2403,E2403,F2403,I2403)</f>
        <v/>
      </c>
      <c r="B2403" s="7">
        <f>CONCATENATE(C2403,E2403,I2403)</f>
        <v/>
      </c>
      <c r="C2403" s="8" t="n">
        <v>900001074</v>
      </c>
      <c r="D2403" s="7">
        <f>IFERROR(VLOOKUP(C2403,TRAOPE!$G:$H,2,0),"")</f>
        <v/>
      </c>
      <c r="E2403" s="8" t="inlineStr">
        <is>
          <t>D836</t>
        </is>
      </c>
      <c r="F2403" s="8" t="inlineStr">
        <is>
          <t>66433511</t>
        </is>
      </c>
      <c r="G2403" s="8">
        <f>IFERROR(VLOOKUP(A2403,Flete!$A:$E,5,0),"")</f>
        <v/>
      </c>
      <c r="H2403" s="7">
        <f>IFERROR(VLOOKUP(F2403,TRAOPE!$AA:$AB,2,0),"")</f>
        <v/>
      </c>
      <c r="I2403" s="7" t="n">
        <v>10000627</v>
      </c>
      <c r="J2403" s="7">
        <f>IFERROR(VLOOKUP(I2403,Materiales!$A:$H,8,0),"")</f>
        <v/>
      </c>
      <c r="K2403" s="9">
        <f>IFERROR(VLOOKUP(I2403,Materiales!$A:$G,7,0),"")</f>
        <v/>
      </c>
      <c r="L2403" s="8" t="inlineStr">
        <is>
          <t>20260319</t>
        </is>
      </c>
      <c r="M2403" s="8" t="inlineStr">
        <is>
          <t>99991231</t>
        </is>
      </c>
      <c r="N2403" s="10" t="n">
        <v>110</v>
      </c>
      <c r="O2403" s="10">
        <f>IFERROR(VLOOKUP(A2403,Flete!$A:$J,10,0),"")</f>
        <v/>
      </c>
      <c r="P2403" s="8" t="inlineStr">
        <is>
          <t>M3</t>
        </is>
      </c>
      <c r="Q2403" s="10">
        <f>IFERROR(IFERROR(VLOOKUP(A2403,TRAOPE!$A:$U,21,0),VLOOKUP(B2403,TRAOPE!$A:$U,21,0)),"")</f>
        <v/>
      </c>
      <c r="R2403" s="8">
        <f>IFERROR(IFERROR(VLOOKUP(A2403,TRAOPE!$A:$W,23,0),VLOOKUP(B2403,TRAOPE!$A:$W,23,0)),"")</f>
        <v/>
      </c>
      <c r="S2403" s="10">
        <f>IF(AND(P2403="TN",R2403="TN"),N2403+N(O2403),IF(G2403&amp;""="1",N(K2403)*N2403,(N2403+N(O2403))*N(K2403)))</f>
        <v/>
      </c>
      <c r="T2403" s="10">
        <f>IF(Q2403="","",Q2403-S2403)</f>
        <v/>
      </c>
    </row>
    <row r="2404">
      <c r="A2404" s="7">
        <f>CONCATENATE(C2404,E2404,F2404,I2404)</f>
        <v/>
      </c>
      <c r="B2404" s="7">
        <f>CONCATENATE(C2404,E2404,I2404)</f>
        <v/>
      </c>
      <c r="C2404" s="8" t="n">
        <v>900001074</v>
      </c>
      <c r="D2404" s="7">
        <f>IFERROR(VLOOKUP(C2404,TRAOPE!$G:$H,2,0),"")</f>
        <v/>
      </c>
      <c r="E2404" s="8" t="inlineStr">
        <is>
          <t>D836</t>
        </is>
      </c>
      <c r="F2404" s="8" t="inlineStr">
        <is>
          <t>66779276</t>
        </is>
      </c>
      <c r="G2404" s="8">
        <f>IFERROR(VLOOKUP(A2404,Flete!$A:$E,5,0),"")</f>
        <v/>
      </c>
      <c r="H2404" s="7">
        <f>IFERROR(VLOOKUP(F2404,TRAOPE!$AA:$AB,2,0),"")</f>
        <v/>
      </c>
      <c r="I2404" s="7" t="n">
        <v>10000160</v>
      </c>
      <c r="J2404" s="7">
        <f>IFERROR(VLOOKUP(I2404,Materiales!$A:$H,8,0),"")</f>
        <v/>
      </c>
      <c r="K2404" s="9">
        <f>IFERROR(VLOOKUP(I2404,Materiales!$A:$G,7,0),"")</f>
        <v/>
      </c>
      <c r="L2404" s="8" t="inlineStr">
        <is>
          <t>20260319</t>
        </is>
      </c>
      <c r="M2404" s="8" t="inlineStr">
        <is>
          <t>99991231</t>
        </is>
      </c>
      <c r="N2404" s="10" t="n">
        <v>123</v>
      </c>
      <c r="O2404" s="10">
        <f>IFERROR(VLOOKUP(A2404,Flete!$A:$J,10,0),"")</f>
        <v/>
      </c>
      <c r="P2404" s="8" t="inlineStr">
        <is>
          <t>M3</t>
        </is>
      </c>
      <c r="Q2404" s="10">
        <f>IFERROR(IFERROR(VLOOKUP(A2404,TRAOPE!$A:$U,21,0),VLOOKUP(B2404,TRAOPE!$A:$U,21,0)),"")</f>
        <v/>
      </c>
      <c r="R2404" s="8">
        <f>IFERROR(IFERROR(VLOOKUP(A2404,TRAOPE!$A:$W,23,0),VLOOKUP(B2404,TRAOPE!$A:$W,23,0)),"")</f>
        <v/>
      </c>
      <c r="S2404" s="10">
        <f>IF(AND(P2404="TN",R2404="TN"),N2404+N(O2404),IF(G2404&amp;""="1",N(K2404)*N2404,(N2404+N(O2404))*N(K2404)))</f>
        <v/>
      </c>
      <c r="T2404" s="10">
        <f>IF(Q2404="","",Q2404-S2404)</f>
        <v/>
      </c>
    </row>
    <row r="2405">
      <c r="A2405" s="7">
        <f>CONCATENATE(C2405,E2405,F2405,I2405)</f>
        <v/>
      </c>
      <c r="B2405" s="7">
        <f>CONCATENATE(C2405,E2405,I2405)</f>
        <v/>
      </c>
      <c r="C2405" s="8" t="n">
        <v>900001074</v>
      </c>
      <c r="D2405" s="7">
        <f>IFERROR(VLOOKUP(C2405,TRAOPE!$G:$H,2,0),"")</f>
        <v/>
      </c>
      <c r="E2405" s="8" t="inlineStr">
        <is>
          <t>D836</t>
        </is>
      </c>
      <c r="F2405" s="8" t="inlineStr">
        <is>
          <t>66779276</t>
        </is>
      </c>
      <c r="G2405" s="8">
        <f>IFERROR(VLOOKUP(A2405,Flete!$A:$E,5,0),"")</f>
        <v/>
      </c>
      <c r="H2405" s="7">
        <f>IFERROR(VLOOKUP(F2405,TRAOPE!$AA:$AB,2,0),"")</f>
        <v/>
      </c>
      <c r="I2405" s="7" t="n">
        <v>10000357</v>
      </c>
      <c r="J2405" s="7">
        <f>IFERROR(VLOOKUP(I2405,Materiales!$A:$H,8,0),"")</f>
        <v/>
      </c>
      <c r="K2405" s="9">
        <f>IFERROR(VLOOKUP(I2405,Materiales!$A:$G,7,0),"")</f>
        <v/>
      </c>
      <c r="L2405" s="8" t="inlineStr">
        <is>
          <t>20260319</t>
        </is>
      </c>
      <c r="M2405" s="8" t="inlineStr">
        <is>
          <t>99991231</t>
        </is>
      </c>
      <c r="N2405" s="10" t="n">
        <v>157.5</v>
      </c>
      <c r="O2405" s="10">
        <f>IFERROR(VLOOKUP(A2405,Flete!$A:$J,10,0),"")</f>
        <v/>
      </c>
      <c r="P2405" s="8" t="inlineStr">
        <is>
          <t>M3</t>
        </is>
      </c>
      <c r="Q2405" s="10">
        <f>IFERROR(IFERROR(VLOOKUP(A2405,TRAOPE!$A:$U,21,0),VLOOKUP(B2405,TRAOPE!$A:$U,21,0)),"")</f>
        <v/>
      </c>
      <c r="R2405" s="8">
        <f>IFERROR(IFERROR(VLOOKUP(A2405,TRAOPE!$A:$W,23,0),VLOOKUP(B2405,TRAOPE!$A:$W,23,0)),"")</f>
        <v/>
      </c>
      <c r="S2405" s="10">
        <f>IF(AND(P2405="TN",R2405="TN"),N2405+N(O2405),IF(G2405&amp;""="1",N(K2405)*N2405,(N2405+N(O2405))*N(K2405)))</f>
        <v/>
      </c>
      <c r="T2405" s="10">
        <f>IF(Q2405="","",Q2405-S2405)</f>
        <v/>
      </c>
    </row>
    <row r="2406">
      <c r="A2406" s="7">
        <f>CONCATENATE(C2406,E2406,F2406,I2406)</f>
        <v/>
      </c>
      <c r="B2406" s="7">
        <f>CONCATENATE(C2406,E2406,I2406)</f>
        <v/>
      </c>
      <c r="C2406" s="8" t="n">
        <v>900001074</v>
      </c>
      <c r="D2406" s="7">
        <f>IFERROR(VLOOKUP(C2406,TRAOPE!$G:$H,2,0),"")</f>
        <v/>
      </c>
      <c r="E2406" s="8" t="inlineStr">
        <is>
          <t>D836</t>
        </is>
      </c>
      <c r="F2406" s="8" t="inlineStr">
        <is>
          <t>66827157</t>
        </is>
      </c>
      <c r="G2406" s="8">
        <f>IFERROR(VLOOKUP(A2406,Flete!$A:$E,5,0),"")</f>
        <v/>
      </c>
      <c r="H2406" s="7">
        <f>IFERROR(VLOOKUP(F2406,TRAOPE!$AA:$AB,2,0),"")</f>
        <v/>
      </c>
      <c r="I2406" s="7" t="n">
        <v>10000160</v>
      </c>
      <c r="J2406" s="7">
        <f>IFERROR(VLOOKUP(I2406,Materiales!$A:$H,8,0),"")</f>
        <v/>
      </c>
      <c r="K2406" s="9">
        <f>IFERROR(VLOOKUP(I2406,Materiales!$A:$G,7,0),"")</f>
        <v/>
      </c>
      <c r="L2406" s="8" t="inlineStr">
        <is>
          <t>20260303</t>
        </is>
      </c>
      <c r="M2406" s="8" t="inlineStr">
        <is>
          <t>99991231</t>
        </is>
      </c>
      <c r="N2406" s="10" t="n">
        <v>124</v>
      </c>
      <c r="O2406" s="10">
        <f>IFERROR(VLOOKUP(A2406,Flete!$A:$J,10,0),"")</f>
        <v/>
      </c>
      <c r="P2406" s="8" t="inlineStr">
        <is>
          <t>M3</t>
        </is>
      </c>
      <c r="Q2406" s="10">
        <f>IFERROR(IFERROR(VLOOKUP(A2406,TRAOPE!$A:$U,21,0),VLOOKUP(B2406,TRAOPE!$A:$U,21,0)),"")</f>
        <v/>
      </c>
      <c r="R2406" s="8">
        <f>IFERROR(IFERROR(VLOOKUP(A2406,TRAOPE!$A:$W,23,0),VLOOKUP(B2406,TRAOPE!$A:$W,23,0)),"")</f>
        <v/>
      </c>
      <c r="S2406" s="10">
        <f>IF(AND(P2406="TN",R2406="TN"),N2406+N(O2406),IF(G2406&amp;""="1",N(K2406)*N2406,(N2406+N(O2406))*N(K2406)))</f>
        <v/>
      </c>
      <c r="T2406" s="10">
        <f>IF(Q2406="","",Q2406-S2406)</f>
        <v/>
      </c>
    </row>
    <row r="2407">
      <c r="A2407" s="7">
        <f>CONCATENATE(C2407,E2407,F2407,I2407)</f>
        <v/>
      </c>
      <c r="B2407" s="7">
        <f>CONCATENATE(C2407,E2407,I2407)</f>
        <v/>
      </c>
      <c r="C2407" s="8" t="n">
        <v>900001074</v>
      </c>
      <c r="D2407" s="7">
        <f>IFERROR(VLOOKUP(C2407,TRAOPE!$G:$H,2,0),"")</f>
        <v/>
      </c>
      <c r="E2407" s="8" t="inlineStr">
        <is>
          <t>D836</t>
        </is>
      </c>
      <c r="F2407" s="8" t="inlineStr">
        <is>
          <t>66827157</t>
        </is>
      </c>
      <c r="G2407" s="8">
        <f>IFERROR(VLOOKUP(A2407,Flete!$A:$E,5,0),"")</f>
        <v/>
      </c>
      <c r="H2407" s="7">
        <f>IFERROR(VLOOKUP(F2407,TRAOPE!$AA:$AB,2,0),"")</f>
        <v/>
      </c>
      <c r="I2407" s="7" t="n">
        <v>10000206</v>
      </c>
      <c r="J2407" s="7">
        <f>IFERROR(VLOOKUP(I2407,Materiales!$A:$H,8,0),"")</f>
        <v/>
      </c>
      <c r="K2407" s="9">
        <f>IFERROR(VLOOKUP(I2407,Materiales!$A:$G,7,0),"")</f>
        <v/>
      </c>
      <c r="L2407" s="8" t="inlineStr">
        <is>
          <t>20260319</t>
        </is>
      </c>
      <c r="M2407" s="8" t="inlineStr">
        <is>
          <t>99991231</t>
        </is>
      </c>
      <c r="N2407" s="10" t="n">
        <v>43</v>
      </c>
      <c r="O2407" s="10">
        <f>IFERROR(VLOOKUP(A2407,Flete!$A:$J,10,0),"")</f>
        <v/>
      </c>
      <c r="P2407" s="8" t="inlineStr">
        <is>
          <t>M3</t>
        </is>
      </c>
      <c r="Q2407" s="10">
        <f>IFERROR(IFERROR(VLOOKUP(A2407,TRAOPE!$A:$U,21,0),VLOOKUP(B2407,TRAOPE!$A:$U,21,0)),"")</f>
        <v/>
      </c>
      <c r="R2407" s="8">
        <f>IFERROR(IFERROR(VLOOKUP(A2407,TRAOPE!$A:$W,23,0),VLOOKUP(B2407,TRAOPE!$A:$W,23,0)),"")</f>
        <v/>
      </c>
      <c r="S2407" s="10">
        <f>IF(AND(P2407="TN",R2407="TN"),N2407+N(O2407),IF(G2407&amp;""="1",N(K2407)*N2407,(N2407+N(O2407))*N(K2407)))</f>
        <v/>
      </c>
      <c r="T2407" s="10">
        <f>IF(Q2407="","",Q2407-S2407)</f>
        <v/>
      </c>
    </row>
    <row r="2408">
      <c r="A2408" s="7">
        <f>CONCATENATE(C2408,E2408,F2408,I2408)</f>
        <v/>
      </c>
      <c r="B2408" s="7">
        <f>CONCATENATE(C2408,E2408,I2408)</f>
        <v/>
      </c>
      <c r="C2408" s="8" t="n">
        <v>900001074</v>
      </c>
      <c r="D2408" s="7">
        <f>IFERROR(VLOOKUP(C2408,TRAOPE!$G:$H,2,0),"")</f>
        <v/>
      </c>
      <c r="E2408" s="8" t="inlineStr">
        <is>
          <t>D836</t>
        </is>
      </c>
      <c r="F2408" s="8" t="inlineStr">
        <is>
          <t>66827157</t>
        </is>
      </c>
      <c r="G2408" s="8">
        <f>IFERROR(VLOOKUP(A2408,Flete!$A:$E,5,0),"")</f>
        <v/>
      </c>
      <c r="H2408" s="7">
        <f>IFERROR(VLOOKUP(F2408,TRAOPE!$AA:$AB,2,0),"")</f>
        <v/>
      </c>
      <c r="I2408" s="7" t="n">
        <v>10000357</v>
      </c>
      <c r="J2408" s="7">
        <f>IFERROR(VLOOKUP(I2408,Materiales!$A:$H,8,0),"")</f>
        <v/>
      </c>
      <c r="K2408" s="9">
        <f>IFERROR(VLOOKUP(I2408,Materiales!$A:$G,7,0),"")</f>
        <v/>
      </c>
      <c r="L2408" s="8" t="inlineStr">
        <is>
          <t>20260303</t>
        </is>
      </c>
      <c r="M2408" s="8" t="inlineStr">
        <is>
          <t>99991231</t>
        </is>
      </c>
      <c r="N2408" s="10" t="n">
        <v>150</v>
      </c>
      <c r="O2408" s="10">
        <f>IFERROR(VLOOKUP(A2408,Flete!$A:$J,10,0),"")</f>
        <v/>
      </c>
      <c r="P2408" s="8" t="inlineStr">
        <is>
          <t>M3</t>
        </is>
      </c>
      <c r="Q2408" s="10">
        <f>IFERROR(IFERROR(VLOOKUP(A2408,TRAOPE!$A:$U,21,0),VLOOKUP(B2408,TRAOPE!$A:$U,21,0)),"")</f>
        <v/>
      </c>
      <c r="R2408" s="8">
        <f>IFERROR(IFERROR(VLOOKUP(A2408,TRAOPE!$A:$W,23,0),VLOOKUP(B2408,TRAOPE!$A:$W,23,0)),"")</f>
        <v/>
      </c>
      <c r="S2408" s="10">
        <f>IF(AND(P2408="TN",R2408="TN"),N2408+N(O2408),IF(G2408&amp;""="1",N(K2408)*N2408,(N2408+N(O2408))*N(K2408)))</f>
        <v/>
      </c>
      <c r="T2408" s="10">
        <f>IF(Q2408="","",Q2408-S2408)</f>
        <v/>
      </c>
    </row>
    <row r="2409">
      <c r="A2409" s="7">
        <f>CONCATENATE(C2409,E2409,F2409,I2409)</f>
        <v/>
      </c>
      <c r="B2409" s="7">
        <f>CONCATENATE(C2409,E2409,I2409)</f>
        <v/>
      </c>
      <c r="C2409" s="8" t="n">
        <v>900001074</v>
      </c>
      <c r="D2409" s="7">
        <f>IFERROR(VLOOKUP(C2409,TRAOPE!$G:$H,2,0),"")</f>
        <v/>
      </c>
      <c r="E2409" s="8" t="inlineStr">
        <is>
          <t>D836</t>
        </is>
      </c>
      <c r="F2409" s="8" t="inlineStr">
        <is>
          <t>66827157</t>
        </is>
      </c>
      <c r="G2409" s="8">
        <f>IFERROR(VLOOKUP(A2409,Flete!$A:$E,5,0),"")</f>
        <v/>
      </c>
      <c r="H2409" s="7">
        <f>IFERROR(VLOOKUP(F2409,TRAOPE!$AA:$AB,2,0),"")</f>
        <v/>
      </c>
      <c r="I2409" s="7" t="n">
        <v>10000627</v>
      </c>
      <c r="J2409" s="7">
        <f>IFERROR(VLOOKUP(I2409,Materiales!$A:$H,8,0),"")</f>
        <v/>
      </c>
      <c r="K2409" s="9">
        <f>IFERROR(VLOOKUP(I2409,Materiales!$A:$G,7,0),"")</f>
        <v/>
      </c>
      <c r="L2409" s="8" t="inlineStr">
        <is>
          <t>20260303</t>
        </is>
      </c>
      <c r="M2409" s="8" t="inlineStr">
        <is>
          <t>99991231</t>
        </is>
      </c>
      <c r="N2409" s="10" t="n">
        <v>105</v>
      </c>
      <c r="O2409" s="10">
        <f>IFERROR(VLOOKUP(A2409,Flete!$A:$J,10,0),"")</f>
        <v/>
      </c>
      <c r="P2409" s="8" t="inlineStr">
        <is>
          <t>M3</t>
        </is>
      </c>
      <c r="Q2409" s="10">
        <f>IFERROR(IFERROR(VLOOKUP(A2409,TRAOPE!$A:$U,21,0),VLOOKUP(B2409,TRAOPE!$A:$U,21,0)),"")</f>
        <v/>
      </c>
      <c r="R2409" s="8">
        <f>IFERROR(IFERROR(VLOOKUP(A2409,TRAOPE!$A:$W,23,0),VLOOKUP(B2409,TRAOPE!$A:$W,23,0)),"")</f>
        <v/>
      </c>
      <c r="S2409" s="10">
        <f>IF(AND(P2409="TN",R2409="TN"),N2409+N(O2409),IF(G2409&amp;""="1",N(K2409)*N2409,(N2409+N(O2409))*N(K2409)))</f>
        <v/>
      </c>
      <c r="T2409" s="10">
        <f>IF(Q2409="","",Q2409-S2409)</f>
        <v/>
      </c>
    </row>
    <row r="2410">
      <c r="A2410" s="7">
        <f>CONCATENATE(C2410,E2410,F2410,I2410)</f>
        <v/>
      </c>
      <c r="B2410" s="7">
        <f>CONCATENATE(C2410,E2410,I2410)</f>
        <v/>
      </c>
      <c r="C2410" s="8" t="n">
        <v>900001074</v>
      </c>
      <c r="D2410" s="7">
        <f>IFERROR(VLOOKUP(C2410,TRAOPE!$G:$H,2,0),"")</f>
        <v/>
      </c>
      <c r="E2410" s="8" t="inlineStr">
        <is>
          <t>D836</t>
        </is>
      </c>
      <c r="F2410" s="8" t="inlineStr">
        <is>
          <t>66864508</t>
        </is>
      </c>
      <c r="G2410" s="8">
        <f>IFERROR(VLOOKUP(A2410,Flete!$A:$E,5,0),"")</f>
        <v/>
      </c>
      <c r="H2410" s="7">
        <f>IFERROR(VLOOKUP(F2410,TRAOPE!$AA:$AB,2,0),"")</f>
        <v/>
      </c>
      <c r="I2410" s="7" t="n">
        <v>10000160</v>
      </c>
      <c r="J2410" s="7">
        <f>IFERROR(VLOOKUP(I2410,Materiales!$A:$H,8,0),"")</f>
        <v/>
      </c>
      <c r="K2410" s="9">
        <f>IFERROR(VLOOKUP(I2410,Materiales!$A:$G,7,0),"")</f>
        <v/>
      </c>
      <c r="L2410" s="8" t="inlineStr">
        <is>
          <t>20260625</t>
        </is>
      </c>
      <c r="M2410" s="8" t="inlineStr">
        <is>
          <t>99991231</t>
        </is>
      </c>
      <c r="N2410" s="10" t="n">
        <v>150</v>
      </c>
      <c r="O2410" s="10">
        <f>IFERROR(VLOOKUP(A2410,Flete!$A:$J,10,0),"")</f>
        <v/>
      </c>
      <c r="P2410" s="8" t="inlineStr">
        <is>
          <t>M3</t>
        </is>
      </c>
      <c r="Q2410" s="10">
        <f>IFERROR(IFERROR(VLOOKUP(A2410,TRAOPE!$A:$U,21,0),VLOOKUP(B2410,TRAOPE!$A:$U,21,0)),"")</f>
        <v/>
      </c>
      <c r="R2410" s="8">
        <f>IFERROR(IFERROR(VLOOKUP(A2410,TRAOPE!$A:$W,23,0),VLOOKUP(B2410,TRAOPE!$A:$W,23,0)),"")</f>
        <v/>
      </c>
      <c r="S2410" s="10">
        <f>IF(AND(P2410="TN",R2410="TN"),N2410+N(O2410),IF(G2410&amp;""="1",N(K2410)*N2410,(N2410+N(O2410))*N(K2410)))</f>
        <v/>
      </c>
      <c r="T2410" s="10">
        <f>IF(Q2410="","",Q2410-S2410)</f>
        <v/>
      </c>
    </row>
    <row r="2411">
      <c r="A2411" s="7">
        <f>CONCATENATE(C2411,E2411,F2411,I2411)</f>
        <v/>
      </c>
      <c r="B2411" s="7">
        <f>CONCATENATE(C2411,E2411,I2411)</f>
        <v/>
      </c>
      <c r="C2411" s="8" t="n">
        <v>900001074</v>
      </c>
      <c r="D2411" s="7">
        <f>IFERROR(VLOOKUP(C2411,TRAOPE!$G:$H,2,0),"")</f>
        <v/>
      </c>
      <c r="E2411" s="8" t="inlineStr">
        <is>
          <t>D836</t>
        </is>
      </c>
      <c r="F2411" s="8" t="inlineStr">
        <is>
          <t>66864508</t>
        </is>
      </c>
      <c r="G2411" s="8">
        <f>IFERROR(VLOOKUP(A2411,Flete!$A:$E,5,0),"")</f>
        <v/>
      </c>
      <c r="H2411" s="7">
        <f>IFERROR(VLOOKUP(F2411,TRAOPE!$AA:$AB,2,0),"")</f>
        <v/>
      </c>
      <c r="I2411" s="7" t="n">
        <v>10000357</v>
      </c>
      <c r="J2411" s="7">
        <f>IFERROR(VLOOKUP(I2411,Materiales!$A:$H,8,0),"")</f>
        <v/>
      </c>
      <c r="K2411" s="9">
        <f>IFERROR(VLOOKUP(I2411,Materiales!$A:$G,7,0),"")</f>
        <v/>
      </c>
      <c r="L2411" s="8" t="inlineStr">
        <is>
          <t>20260625</t>
        </is>
      </c>
      <c r="M2411" s="8" t="inlineStr">
        <is>
          <t>99991231</t>
        </is>
      </c>
      <c r="N2411" s="10" t="n">
        <v>175</v>
      </c>
      <c r="O2411" s="10">
        <f>IFERROR(VLOOKUP(A2411,Flete!$A:$J,10,0),"")</f>
        <v/>
      </c>
      <c r="P2411" s="8" t="inlineStr">
        <is>
          <t>M3</t>
        </is>
      </c>
      <c r="Q2411" s="10">
        <f>IFERROR(IFERROR(VLOOKUP(A2411,TRAOPE!$A:$U,21,0),VLOOKUP(B2411,TRAOPE!$A:$U,21,0)),"")</f>
        <v/>
      </c>
      <c r="R2411" s="8">
        <f>IFERROR(IFERROR(VLOOKUP(A2411,TRAOPE!$A:$W,23,0),VLOOKUP(B2411,TRAOPE!$A:$W,23,0)),"")</f>
        <v/>
      </c>
      <c r="S2411" s="10">
        <f>IF(AND(P2411="TN",R2411="TN"),N2411+N(O2411),IF(G2411&amp;""="1",N(K2411)*N2411,(N2411+N(O2411))*N(K2411)))</f>
        <v/>
      </c>
      <c r="T2411" s="10">
        <f>IF(Q2411="","",Q2411-S2411)</f>
        <v/>
      </c>
    </row>
    <row r="2412">
      <c r="A2412" s="7">
        <f>CONCATENATE(C2412,E2412,F2412,I2412)</f>
        <v/>
      </c>
      <c r="B2412" s="7">
        <f>CONCATENATE(C2412,E2412,I2412)</f>
        <v/>
      </c>
      <c r="C2412" s="8" t="n">
        <v>900001074</v>
      </c>
      <c r="D2412" s="7">
        <f>IFERROR(VLOOKUP(C2412,TRAOPE!$G:$H,2,0),"")</f>
        <v/>
      </c>
      <c r="E2412" s="8" t="inlineStr">
        <is>
          <t>D836</t>
        </is>
      </c>
      <c r="F2412" s="8" t="inlineStr">
        <is>
          <t>66864508</t>
        </is>
      </c>
      <c r="G2412" s="8">
        <f>IFERROR(VLOOKUP(A2412,Flete!$A:$E,5,0),"")</f>
        <v/>
      </c>
      <c r="H2412" s="7">
        <f>IFERROR(VLOOKUP(F2412,TRAOPE!$AA:$AB,2,0),"")</f>
        <v/>
      </c>
      <c r="I2412" s="7" t="n">
        <v>10276711</v>
      </c>
      <c r="J2412" s="7">
        <f>IFERROR(VLOOKUP(I2412,Materiales!$A:$H,8,0),"")</f>
        <v/>
      </c>
      <c r="K2412" s="9">
        <f>IFERROR(VLOOKUP(I2412,Materiales!$A:$G,7,0),"")</f>
        <v/>
      </c>
      <c r="L2412" s="8" t="inlineStr">
        <is>
          <t>20260824</t>
        </is>
      </c>
      <c r="M2412" s="8" t="inlineStr">
        <is>
          <t>99991231</t>
        </is>
      </c>
      <c r="N2412" s="10" t="n">
        <v>160</v>
      </c>
      <c r="O2412" s="10">
        <f>IFERROR(VLOOKUP(A2412,Flete!$A:$J,10,0),"")</f>
        <v/>
      </c>
      <c r="P2412" s="8" t="inlineStr">
        <is>
          <t>M3</t>
        </is>
      </c>
      <c r="Q2412" s="10">
        <f>IFERROR(IFERROR(VLOOKUP(A2412,TRAOPE!$A:$U,21,0),VLOOKUP(B2412,TRAOPE!$A:$U,21,0)),"")</f>
        <v/>
      </c>
      <c r="R2412" s="8">
        <f>IFERROR(IFERROR(VLOOKUP(A2412,TRAOPE!$A:$W,23,0),VLOOKUP(B2412,TRAOPE!$A:$W,23,0)),"")</f>
        <v/>
      </c>
      <c r="S2412" s="10">
        <f>IF(AND(P2412="TN",R2412="TN"),N2412+N(O2412),IF(G2412&amp;""="1",N(K2412)*N2412,(N2412+N(O2412))*N(K2412)))</f>
        <v/>
      </c>
      <c r="T2412" s="10">
        <f>IF(Q2412="","",Q2412-S2412)</f>
        <v/>
      </c>
    </row>
    <row r="2413">
      <c r="A2413" s="7">
        <f>CONCATENATE(C2413,E2413,F2413,I2413)</f>
        <v/>
      </c>
      <c r="B2413" s="7">
        <f>CONCATENATE(C2413,E2413,I2413)</f>
        <v/>
      </c>
      <c r="C2413" s="8" t="n">
        <v>900001074</v>
      </c>
      <c r="D2413" s="7">
        <f>IFERROR(VLOOKUP(C2413,TRAOPE!$G:$H,2,0),"")</f>
        <v/>
      </c>
      <c r="E2413" s="8" t="inlineStr">
        <is>
          <t>D836</t>
        </is>
      </c>
      <c r="F2413" s="8" t="inlineStr">
        <is>
          <t>66864540</t>
        </is>
      </c>
      <c r="G2413" s="8">
        <f>IFERROR(VLOOKUP(A2413,Flete!$A:$E,5,0),"")</f>
        <v/>
      </c>
      <c r="H2413" s="7">
        <f>IFERROR(VLOOKUP(F2413,TRAOPE!$AA:$AB,2,0),"")</f>
        <v/>
      </c>
      <c r="I2413" s="7" t="n">
        <v>10000160</v>
      </c>
      <c r="J2413" s="7">
        <f>IFERROR(VLOOKUP(I2413,Materiales!$A:$H,8,0),"")</f>
        <v/>
      </c>
      <c r="K2413" s="9">
        <f>IFERROR(VLOOKUP(I2413,Materiales!$A:$G,7,0),"")</f>
        <v/>
      </c>
      <c r="L2413" s="8" t="inlineStr">
        <is>
          <t>20260625</t>
        </is>
      </c>
      <c r="M2413" s="8" t="inlineStr">
        <is>
          <t>99991231</t>
        </is>
      </c>
      <c r="N2413" s="10" t="n">
        <v>150</v>
      </c>
      <c r="O2413" s="10">
        <f>IFERROR(VLOOKUP(A2413,Flete!$A:$J,10,0),"")</f>
        <v/>
      </c>
      <c r="P2413" s="8" t="inlineStr">
        <is>
          <t>M3</t>
        </is>
      </c>
      <c r="Q2413" s="10">
        <f>IFERROR(IFERROR(VLOOKUP(A2413,TRAOPE!$A:$U,21,0),VLOOKUP(B2413,TRAOPE!$A:$U,21,0)),"")</f>
        <v/>
      </c>
      <c r="R2413" s="8">
        <f>IFERROR(IFERROR(VLOOKUP(A2413,TRAOPE!$A:$W,23,0),VLOOKUP(B2413,TRAOPE!$A:$W,23,0)),"")</f>
        <v/>
      </c>
      <c r="S2413" s="10">
        <f>IF(AND(P2413="TN",R2413="TN"),N2413+N(O2413),IF(G2413&amp;""="1",N(K2413)*N2413,(N2413+N(O2413))*N(K2413)))</f>
        <v/>
      </c>
      <c r="T2413" s="10">
        <f>IF(Q2413="","",Q2413-S2413)</f>
        <v/>
      </c>
    </row>
    <row r="2414">
      <c r="A2414" s="7">
        <f>CONCATENATE(C2414,E2414,F2414,I2414)</f>
        <v/>
      </c>
      <c r="B2414" s="7">
        <f>CONCATENATE(C2414,E2414,I2414)</f>
        <v/>
      </c>
      <c r="C2414" s="8" t="n">
        <v>900001074</v>
      </c>
      <c r="D2414" s="7">
        <f>IFERROR(VLOOKUP(C2414,TRAOPE!$G:$H,2,0),"")</f>
        <v/>
      </c>
      <c r="E2414" s="8" t="inlineStr">
        <is>
          <t>D836</t>
        </is>
      </c>
      <c r="F2414" s="8" t="inlineStr">
        <is>
          <t>66864540</t>
        </is>
      </c>
      <c r="G2414" s="8">
        <f>IFERROR(VLOOKUP(A2414,Flete!$A:$E,5,0),"")</f>
        <v/>
      </c>
      <c r="H2414" s="7">
        <f>IFERROR(VLOOKUP(F2414,TRAOPE!$AA:$AB,2,0),"")</f>
        <v/>
      </c>
      <c r="I2414" s="7" t="n">
        <v>10000357</v>
      </c>
      <c r="J2414" s="7">
        <f>IFERROR(VLOOKUP(I2414,Materiales!$A:$H,8,0),"")</f>
        <v/>
      </c>
      <c r="K2414" s="9">
        <f>IFERROR(VLOOKUP(I2414,Materiales!$A:$G,7,0),"")</f>
        <v/>
      </c>
      <c r="L2414" s="8" t="inlineStr">
        <is>
          <t>20260625</t>
        </is>
      </c>
      <c r="M2414" s="8" t="inlineStr">
        <is>
          <t>99991231</t>
        </is>
      </c>
      <c r="N2414" s="10" t="n">
        <v>175</v>
      </c>
      <c r="O2414" s="10">
        <f>IFERROR(VLOOKUP(A2414,Flete!$A:$J,10,0),"")</f>
        <v/>
      </c>
      <c r="P2414" s="8" t="inlineStr">
        <is>
          <t>M3</t>
        </is>
      </c>
      <c r="Q2414" s="10">
        <f>IFERROR(IFERROR(VLOOKUP(A2414,TRAOPE!$A:$U,21,0),VLOOKUP(B2414,TRAOPE!$A:$U,21,0)),"")</f>
        <v/>
      </c>
      <c r="R2414" s="8">
        <f>IFERROR(IFERROR(VLOOKUP(A2414,TRAOPE!$A:$W,23,0),VLOOKUP(B2414,TRAOPE!$A:$W,23,0)),"")</f>
        <v/>
      </c>
      <c r="S2414" s="10">
        <f>IF(AND(P2414="TN",R2414="TN"),N2414+N(O2414),IF(G2414&amp;""="1",N(K2414)*N2414,(N2414+N(O2414))*N(K2414)))</f>
        <v/>
      </c>
      <c r="T2414" s="10">
        <f>IF(Q2414="","",Q2414-S2414)</f>
        <v/>
      </c>
    </row>
    <row r="2415">
      <c r="A2415" s="7">
        <f>CONCATENATE(C2415,E2415,F2415,I2415)</f>
        <v/>
      </c>
      <c r="B2415" s="7">
        <f>CONCATENATE(C2415,E2415,I2415)</f>
        <v/>
      </c>
      <c r="C2415" s="8" t="n">
        <v>900001074</v>
      </c>
      <c r="D2415" s="7">
        <f>IFERROR(VLOOKUP(C2415,TRAOPE!$G:$H,2,0),"")</f>
        <v/>
      </c>
      <c r="E2415" s="8" t="inlineStr">
        <is>
          <t>D836</t>
        </is>
      </c>
      <c r="F2415" s="8" t="inlineStr">
        <is>
          <t>66864540</t>
        </is>
      </c>
      <c r="G2415" s="8">
        <f>IFERROR(VLOOKUP(A2415,Flete!$A:$E,5,0),"")</f>
        <v/>
      </c>
      <c r="H2415" s="7">
        <f>IFERROR(VLOOKUP(F2415,TRAOPE!$AA:$AB,2,0),"")</f>
        <v/>
      </c>
      <c r="I2415" s="7" t="n">
        <v>10276711</v>
      </c>
      <c r="J2415" s="7">
        <f>IFERROR(VLOOKUP(I2415,Materiales!$A:$H,8,0),"")</f>
        <v/>
      </c>
      <c r="K2415" s="9">
        <f>IFERROR(VLOOKUP(I2415,Materiales!$A:$G,7,0),"")</f>
        <v/>
      </c>
      <c r="L2415" s="8" t="inlineStr">
        <is>
          <t>20260824</t>
        </is>
      </c>
      <c r="M2415" s="8" t="inlineStr">
        <is>
          <t>99991231</t>
        </is>
      </c>
      <c r="N2415" s="10" t="n">
        <v>160</v>
      </c>
      <c r="O2415" s="10">
        <f>IFERROR(VLOOKUP(A2415,Flete!$A:$J,10,0),"")</f>
        <v/>
      </c>
      <c r="P2415" s="8" t="inlineStr">
        <is>
          <t>M3</t>
        </is>
      </c>
      <c r="Q2415" s="10">
        <f>IFERROR(IFERROR(VLOOKUP(A2415,TRAOPE!$A:$U,21,0),VLOOKUP(B2415,TRAOPE!$A:$U,21,0)),"")</f>
        <v/>
      </c>
      <c r="R2415" s="8">
        <f>IFERROR(IFERROR(VLOOKUP(A2415,TRAOPE!$A:$W,23,0),VLOOKUP(B2415,TRAOPE!$A:$W,23,0)),"")</f>
        <v/>
      </c>
      <c r="S2415" s="10">
        <f>IF(AND(P2415="TN",R2415="TN"),N2415+N(O2415),IF(G2415&amp;""="1",N(K2415)*N2415,(N2415+N(O2415))*N(K2415)))</f>
        <v/>
      </c>
      <c r="T2415" s="10">
        <f>IF(Q2415="","",Q2415-S2415)</f>
        <v/>
      </c>
    </row>
    <row r="2416">
      <c r="A2416" s="7">
        <f>CONCATENATE(C2416,E2416,F2416,I2416)</f>
        <v/>
      </c>
      <c r="B2416" s="7">
        <f>CONCATENATE(C2416,E2416,I2416)</f>
        <v/>
      </c>
      <c r="C2416" s="8" t="n">
        <v>900001074</v>
      </c>
      <c r="D2416" s="7">
        <f>IFERROR(VLOOKUP(C2416,TRAOPE!$G:$H,2,0),"")</f>
        <v/>
      </c>
      <c r="E2416" s="8" t="inlineStr">
        <is>
          <t>D836</t>
        </is>
      </c>
      <c r="F2416" s="8" t="inlineStr">
        <is>
          <t>66868491</t>
        </is>
      </c>
      <c r="G2416" s="8">
        <f>IFERROR(VLOOKUP(A2416,Flete!$A:$E,5,0),"")</f>
        <v/>
      </c>
      <c r="H2416" s="7">
        <f>IFERROR(VLOOKUP(F2416,TRAOPE!$AA:$AB,2,0),"")</f>
        <v/>
      </c>
      <c r="I2416" s="7" t="n">
        <v>10000160</v>
      </c>
      <c r="J2416" s="7">
        <f>IFERROR(VLOOKUP(I2416,Materiales!$A:$H,8,0),"")</f>
        <v/>
      </c>
      <c r="K2416" s="9">
        <f>IFERROR(VLOOKUP(I2416,Materiales!$A:$G,7,0),"")</f>
        <v/>
      </c>
      <c r="L2416" s="8" t="inlineStr">
        <is>
          <t>20260319</t>
        </is>
      </c>
      <c r="M2416" s="8" t="inlineStr">
        <is>
          <t>99991231</t>
        </is>
      </c>
      <c r="N2416" s="10" t="n">
        <v>123</v>
      </c>
      <c r="O2416" s="10">
        <f>IFERROR(VLOOKUP(A2416,Flete!$A:$J,10,0),"")</f>
        <v/>
      </c>
      <c r="P2416" s="8" t="inlineStr">
        <is>
          <t>M3</t>
        </is>
      </c>
      <c r="Q2416" s="10">
        <f>IFERROR(IFERROR(VLOOKUP(A2416,TRAOPE!$A:$U,21,0),VLOOKUP(B2416,TRAOPE!$A:$U,21,0)),"")</f>
        <v/>
      </c>
      <c r="R2416" s="8">
        <f>IFERROR(IFERROR(VLOOKUP(A2416,TRAOPE!$A:$W,23,0),VLOOKUP(B2416,TRAOPE!$A:$W,23,0)),"")</f>
        <v/>
      </c>
      <c r="S2416" s="10">
        <f>IF(AND(P2416="TN",R2416="TN"),N2416+N(O2416),IF(G2416&amp;""="1",N(K2416)*N2416,(N2416+N(O2416))*N(K2416)))</f>
        <v/>
      </c>
      <c r="T2416" s="10">
        <f>IF(Q2416="","",Q2416-S2416)</f>
        <v/>
      </c>
    </row>
    <row r="2417">
      <c r="A2417" s="7">
        <f>CONCATENATE(C2417,E2417,F2417,I2417)</f>
        <v/>
      </c>
      <c r="B2417" s="7">
        <f>CONCATENATE(C2417,E2417,I2417)</f>
        <v/>
      </c>
      <c r="C2417" s="8" t="n">
        <v>900001074</v>
      </c>
      <c r="D2417" s="7">
        <f>IFERROR(VLOOKUP(C2417,TRAOPE!$G:$H,2,0),"")</f>
        <v/>
      </c>
      <c r="E2417" s="8" t="inlineStr">
        <is>
          <t>D836</t>
        </is>
      </c>
      <c r="F2417" s="8" t="inlineStr">
        <is>
          <t>66900173</t>
        </is>
      </c>
      <c r="G2417" s="8">
        <f>IFERROR(VLOOKUP(A2417,Flete!$A:$E,5,0),"")</f>
        <v/>
      </c>
      <c r="H2417" s="7">
        <f>IFERROR(VLOOKUP(F2417,TRAOPE!$AA:$AB,2,0),"")</f>
        <v/>
      </c>
      <c r="I2417" s="7" t="n">
        <v>10000160</v>
      </c>
      <c r="J2417" s="7">
        <f>IFERROR(VLOOKUP(I2417,Materiales!$A:$H,8,0),"")</f>
        <v/>
      </c>
      <c r="K2417" s="9">
        <f>IFERROR(VLOOKUP(I2417,Materiales!$A:$G,7,0),"")</f>
        <v/>
      </c>
      <c r="L2417" s="8" t="inlineStr">
        <is>
          <t>20260319</t>
        </is>
      </c>
      <c r="M2417" s="8" t="inlineStr">
        <is>
          <t>99991231</t>
        </is>
      </c>
      <c r="N2417" s="10" t="n">
        <v>123</v>
      </c>
      <c r="O2417" s="10">
        <f>IFERROR(VLOOKUP(A2417,Flete!$A:$J,10,0),"")</f>
        <v/>
      </c>
      <c r="P2417" s="8" t="inlineStr">
        <is>
          <t>M3</t>
        </is>
      </c>
      <c r="Q2417" s="10">
        <f>IFERROR(IFERROR(VLOOKUP(A2417,TRAOPE!$A:$U,21,0),VLOOKUP(B2417,TRAOPE!$A:$U,21,0)),"")</f>
        <v/>
      </c>
      <c r="R2417" s="8">
        <f>IFERROR(IFERROR(VLOOKUP(A2417,TRAOPE!$A:$W,23,0),VLOOKUP(B2417,TRAOPE!$A:$W,23,0)),"")</f>
        <v/>
      </c>
      <c r="S2417" s="10">
        <f>IF(AND(P2417="TN",R2417="TN"),N2417+N(O2417),IF(G2417&amp;""="1",N(K2417)*N2417,(N2417+N(O2417))*N(K2417)))</f>
        <v/>
      </c>
      <c r="T2417" s="10">
        <f>IF(Q2417="","",Q2417-S2417)</f>
        <v/>
      </c>
    </row>
    <row r="2418">
      <c r="A2418" s="7">
        <f>CONCATENATE(C2418,E2418,F2418,I2418)</f>
        <v/>
      </c>
      <c r="B2418" s="7">
        <f>CONCATENATE(C2418,E2418,I2418)</f>
        <v/>
      </c>
      <c r="C2418" s="8" t="n">
        <v>900001074</v>
      </c>
      <c r="D2418" s="7">
        <f>IFERROR(VLOOKUP(C2418,TRAOPE!$G:$H,2,0),"")</f>
        <v/>
      </c>
      <c r="E2418" s="8" t="inlineStr">
        <is>
          <t>D836</t>
        </is>
      </c>
      <c r="F2418" s="8" t="inlineStr">
        <is>
          <t>66900173</t>
        </is>
      </c>
      <c r="G2418" s="8">
        <f>IFERROR(VLOOKUP(A2418,Flete!$A:$E,5,0),"")</f>
        <v/>
      </c>
      <c r="H2418" s="7">
        <f>IFERROR(VLOOKUP(F2418,TRAOPE!$AA:$AB,2,0),"")</f>
        <v/>
      </c>
      <c r="I2418" s="7" t="n">
        <v>10000357</v>
      </c>
      <c r="J2418" s="7">
        <f>IFERROR(VLOOKUP(I2418,Materiales!$A:$H,8,0),"")</f>
        <v/>
      </c>
      <c r="K2418" s="9">
        <f>IFERROR(VLOOKUP(I2418,Materiales!$A:$G,7,0),"")</f>
        <v/>
      </c>
      <c r="L2418" s="8" t="inlineStr">
        <is>
          <t>20260319</t>
        </is>
      </c>
      <c r="M2418" s="8" t="inlineStr">
        <is>
          <t>99991231</t>
        </is>
      </c>
      <c r="N2418" s="10" t="n">
        <v>148</v>
      </c>
      <c r="O2418" s="10">
        <f>IFERROR(VLOOKUP(A2418,Flete!$A:$J,10,0),"")</f>
        <v/>
      </c>
      <c r="P2418" s="8" t="inlineStr">
        <is>
          <t>M3</t>
        </is>
      </c>
      <c r="Q2418" s="10">
        <f>IFERROR(IFERROR(VLOOKUP(A2418,TRAOPE!$A:$U,21,0),VLOOKUP(B2418,TRAOPE!$A:$U,21,0)),"")</f>
        <v/>
      </c>
      <c r="R2418" s="8">
        <f>IFERROR(IFERROR(VLOOKUP(A2418,TRAOPE!$A:$W,23,0),VLOOKUP(B2418,TRAOPE!$A:$W,23,0)),"")</f>
        <v/>
      </c>
      <c r="S2418" s="10">
        <f>IF(AND(P2418="TN",R2418="TN"),N2418+N(O2418),IF(G2418&amp;""="1",N(K2418)*N2418,(N2418+N(O2418))*N(K2418)))</f>
        <v/>
      </c>
      <c r="T2418" s="10">
        <f>IF(Q2418="","",Q2418-S2418)</f>
        <v/>
      </c>
    </row>
    <row r="2419">
      <c r="A2419" s="7">
        <f>CONCATENATE(C2419,E2419,F2419,I2419)</f>
        <v/>
      </c>
      <c r="B2419" s="7">
        <f>CONCATENATE(C2419,E2419,I2419)</f>
        <v/>
      </c>
      <c r="C2419" s="8" t="n">
        <v>900001074</v>
      </c>
      <c r="D2419" s="7">
        <f>IFERROR(VLOOKUP(C2419,TRAOPE!$G:$H,2,0),"")</f>
        <v/>
      </c>
      <c r="E2419" s="8" t="inlineStr">
        <is>
          <t>D836</t>
        </is>
      </c>
      <c r="F2419" s="8" t="inlineStr">
        <is>
          <t>66982053</t>
        </is>
      </c>
      <c r="G2419" s="8">
        <f>IFERROR(VLOOKUP(A2419,Flete!$A:$E,5,0),"")</f>
        <v/>
      </c>
      <c r="H2419" s="7">
        <f>IFERROR(VLOOKUP(F2419,TRAOPE!$AA:$AB,2,0),"")</f>
        <v/>
      </c>
      <c r="I2419" s="7" t="n">
        <v>10000160</v>
      </c>
      <c r="J2419" s="7">
        <f>IFERROR(VLOOKUP(I2419,Materiales!$A:$H,8,0),"")</f>
        <v/>
      </c>
      <c r="K2419" s="9">
        <f>IFERROR(VLOOKUP(I2419,Materiales!$A:$G,7,0),"")</f>
        <v/>
      </c>
      <c r="L2419" s="8" t="inlineStr">
        <is>
          <t>20260625</t>
        </is>
      </c>
      <c r="M2419" s="8" t="inlineStr">
        <is>
          <t>99991231</t>
        </is>
      </c>
      <c r="N2419" s="10" t="n">
        <v>150</v>
      </c>
      <c r="O2419" s="10">
        <f>IFERROR(VLOOKUP(A2419,Flete!$A:$J,10,0),"")</f>
        <v/>
      </c>
      <c r="P2419" s="8" t="inlineStr">
        <is>
          <t>M3</t>
        </is>
      </c>
      <c r="Q2419" s="10">
        <f>IFERROR(IFERROR(VLOOKUP(A2419,TRAOPE!$A:$U,21,0),VLOOKUP(B2419,TRAOPE!$A:$U,21,0)),"")</f>
        <v/>
      </c>
      <c r="R2419" s="8">
        <f>IFERROR(IFERROR(VLOOKUP(A2419,TRAOPE!$A:$W,23,0),VLOOKUP(B2419,TRAOPE!$A:$W,23,0)),"")</f>
        <v/>
      </c>
      <c r="S2419" s="10">
        <f>IF(AND(P2419="TN",R2419="TN"),N2419+N(O2419),IF(G2419&amp;""="1",N(K2419)*N2419,(N2419+N(O2419))*N(K2419)))</f>
        <v/>
      </c>
      <c r="T2419" s="10">
        <f>IF(Q2419="","",Q2419-S2419)</f>
        <v/>
      </c>
    </row>
    <row r="2420">
      <c r="A2420" s="7">
        <f>CONCATENATE(C2420,E2420,F2420,I2420)</f>
        <v/>
      </c>
      <c r="B2420" s="7">
        <f>CONCATENATE(C2420,E2420,I2420)</f>
        <v/>
      </c>
      <c r="C2420" s="8" t="n">
        <v>900001074</v>
      </c>
      <c r="D2420" s="7">
        <f>IFERROR(VLOOKUP(C2420,TRAOPE!$G:$H,2,0),"")</f>
        <v/>
      </c>
      <c r="E2420" s="8" t="inlineStr">
        <is>
          <t>D836</t>
        </is>
      </c>
      <c r="F2420" s="8" t="inlineStr">
        <is>
          <t>66982053</t>
        </is>
      </c>
      <c r="G2420" s="8">
        <f>IFERROR(VLOOKUP(A2420,Flete!$A:$E,5,0),"")</f>
        <v/>
      </c>
      <c r="H2420" s="7">
        <f>IFERROR(VLOOKUP(F2420,TRAOPE!$AA:$AB,2,0),"")</f>
        <v/>
      </c>
      <c r="I2420" s="7" t="n">
        <v>10000357</v>
      </c>
      <c r="J2420" s="7">
        <f>IFERROR(VLOOKUP(I2420,Materiales!$A:$H,8,0),"")</f>
        <v/>
      </c>
      <c r="K2420" s="9">
        <f>IFERROR(VLOOKUP(I2420,Materiales!$A:$G,7,0),"")</f>
        <v/>
      </c>
      <c r="L2420" s="8" t="inlineStr">
        <is>
          <t>20260625</t>
        </is>
      </c>
      <c r="M2420" s="8" t="inlineStr">
        <is>
          <t>99991231</t>
        </is>
      </c>
      <c r="N2420" s="10" t="n">
        <v>175</v>
      </c>
      <c r="O2420" s="10">
        <f>IFERROR(VLOOKUP(A2420,Flete!$A:$J,10,0),"")</f>
        <v/>
      </c>
      <c r="P2420" s="8" t="inlineStr">
        <is>
          <t>M3</t>
        </is>
      </c>
      <c r="Q2420" s="10">
        <f>IFERROR(IFERROR(VLOOKUP(A2420,TRAOPE!$A:$U,21,0),VLOOKUP(B2420,TRAOPE!$A:$U,21,0)),"")</f>
        <v/>
      </c>
      <c r="R2420" s="8">
        <f>IFERROR(IFERROR(VLOOKUP(A2420,TRAOPE!$A:$W,23,0),VLOOKUP(B2420,TRAOPE!$A:$W,23,0)),"")</f>
        <v/>
      </c>
      <c r="S2420" s="10">
        <f>IF(AND(P2420="TN",R2420="TN"),N2420+N(O2420),IF(G2420&amp;""="1",N(K2420)*N2420,(N2420+N(O2420))*N(K2420)))</f>
        <v/>
      </c>
      <c r="T2420" s="10">
        <f>IF(Q2420="","",Q2420-S2420)</f>
        <v/>
      </c>
    </row>
    <row r="2421">
      <c r="A2421" s="7">
        <f>CONCATENATE(C2421,E2421,F2421,I2421)</f>
        <v/>
      </c>
      <c r="B2421" s="7">
        <f>CONCATENATE(C2421,E2421,I2421)</f>
        <v/>
      </c>
      <c r="C2421" s="8" t="n">
        <v>900001074</v>
      </c>
      <c r="D2421" s="7">
        <f>IFERROR(VLOOKUP(C2421,TRAOPE!$G:$H,2,0),"")</f>
        <v/>
      </c>
      <c r="E2421" s="8" t="inlineStr">
        <is>
          <t>D836</t>
        </is>
      </c>
      <c r="F2421" s="8" t="inlineStr">
        <is>
          <t>66982053</t>
        </is>
      </c>
      <c r="G2421" s="8">
        <f>IFERROR(VLOOKUP(A2421,Flete!$A:$E,5,0),"")</f>
        <v/>
      </c>
      <c r="H2421" s="7">
        <f>IFERROR(VLOOKUP(F2421,TRAOPE!$AA:$AB,2,0),"")</f>
        <v/>
      </c>
      <c r="I2421" s="7" t="n">
        <v>10276711</v>
      </c>
      <c r="J2421" s="7">
        <f>IFERROR(VLOOKUP(I2421,Materiales!$A:$H,8,0),"")</f>
        <v/>
      </c>
      <c r="K2421" s="9">
        <f>IFERROR(VLOOKUP(I2421,Materiales!$A:$G,7,0),"")</f>
        <v/>
      </c>
      <c r="L2421" s="8" t="inlineStr">
        <is>
          <t>20260824</t>
        </is>
      </c>
      <c r="M2421" s="8" t="inlineStr">
        <is>
          <t>99991231</t>
        </is>
      </c>
      <c r="N2421" s="10" t="n">
        <v>160</v>
      </c>
      <c r="O2421" s="10">
        <f>IFERROR(VLOOKUP(A2421,Flete!$A:$J,10,0),"")</f>
        <v/>
      </c>
      <c r="P2421" s="8" t="inlineStr">
        <is>
          <t>M3</t>
        </is>
      </c>
      <c r="Q2421" s="10">
        <f>IFERROR(IFERROR(VLOOKUP(A2421,TRAOPE!$A:$U,21,0),VLOOKUP(B2421,TRAOPE!$A:$U,21,0)),"")</f>
        <v/>
      </c>
      <c r="R2421" s="8">
        <f>IFERROR(IFERROR(VLOOKUP(A2421,TRAOPE!$A:$W,23,0),VLOOKUP(B2421,TRAOPE!$A:$W,23,0)),"")</f>
        <v/>
      </c>
      <c r="S2421" s="10">
        <f>IF(AND(P2421="TN",R2421="TN"),N2421+N(O2421),IF(G2421&amp;""="1",N(K2421)*N2421,(N2421+N(O2421))*N(K2421)))</f>
        <v/>
      </c>
      <c r="T2421" s="10">
        <f>IF(Q2421="","",Q2421-S2421)</f>
        <v/>
      </c>
    </row>
    <row r="2422">
      <c r="A2422" s="7">
        <f>CONCATENATE(C2422,E2422,F2422,I2422)</f>
        <v/>
      </c>
      <c r="B2422" s="7">
        <f>CONCATENATE(C2422,E2422,I2422)</f>
        <v/>
      </c>
      <c r="C2422" s="8" t="n">
        <v>900001074</v>
      </c>
      <c r="D2422" s="7">
        <f>IFERROR(VLOOKUP(C2422,TRAOPE!$G:$H,2,0),"")</f>
        <v/>
      </c>
      <c r="E2422" s="8" t="inlineStr">
        <is>
          <t>D836</t>
        </is>
      </c>
      <c r="F2422" s="8" t="inlineStr">
        <is>
          <t>67003746</t>
        </is>
      </c>
      <c r="G2422" s="8">
        <f>IFERROR(VLOOKUP(A2422,Flete!$A:$E,5,0),"")</f>
        <v/>
      </c>
      <c r="H2422" s="7">
        <f>IFERROR(VLOOKUP(F2422,TRAOPE!$AA:$AB,2,0),"")</f>
        <v/>
      </c>
      <c r="I2422" s="7" t="n">
        <v>10000160</v>
      </c>
      <c r="J2422" s="7">
        <f>IFERROR(VLOOKUP(I2422,Materiales!$A:$H,8,0),"")</f>
        <v/>
      </c>
      <c r="K2422" s="9">
        <f>IFERROR(VLOOKUP(I2422,Materiales!$A:$G,7,0),"")</f>
        <v/>
      </c>
      <c r="L2422" s="8" t="inlineStr">
        <is>
          <t>20260319</t>
        </is>
      </c>
      <c r="M2422" s="8" t="inlineStr">
        <is>
          <t>99991231</t>
        </is>
      </c>
      <c r="N2422" s="10" t="n">
        <v>126</v>
      </c>
      <c r="O2422" s="10">
        <f>IFERROR(VLOOKUP(A2422,Flete!$A:$J,10,0),"")</f>
        <v/>
      </c>
      <c r="P2422" s="8" t="inlineStr">
        <is>
          <t>M3</t>
        </is>
      </c>
      <c r="Q2422" s="10">
        <f>IFERROR(IFERROR(VLOOKUP(A2422,TRAOPE!$A:$U,21,0),VLOOKUP(B2422,TRAOPE!$A:$U,21,0)),"")</f>
        <v/>
      </c>
      <c r="R2422" s="8">
        <f>IFERROR(IFERROR(VLOOKUP(A2422,TRAOPE!$A:$W,23,0),VLOOKUP(B2422,TRAOPE!$A:$W,23,0)),"")</f>
        <v/>
      </c>
      <c r="S2422" s="10">
        <f>IF(AND(P2422="TN",R2422="TN"),N2422+N(O2422),IF(G2422&amp;""="1",N(K2422)*N2422,(N2422+N(O2422))*N(K2422)))</f>
        <v/>
      </c>
      <c r="T2422" s="10">
        <f>IF(Q2422="","",Q2422-S2422)</f>
        <v/>
      </c>
    </row>
    <row r="2423">
      <c r="A2423" s="7">
        <f>CONCATENATE(C2423,E2423,F2423,I2423)</f>
        <v/>
      </c>
      <c r="B2423" s="7">
        <f>CONCATENATE(C2423,E2423,I2423)</f>
        <v/>
      </c>
      <c r="C2423" s="8" t="n">
        <v>900001074</v>
      </c>
      <c r="D2423" s="7">
        <f>IFERROR(VLOOKUP(C2423,TRAOPE!$G:$H,2,0),"")</f>
        <v/>
      </c>
      <c r="E2423" s="8" t="inlineStr">
        <is>
          <t>D836</t>
        </is>
      </c>
      <c r="F2423" s="8" t="inlineStr">
        <is>
          <t>67019979</t>
        </is>
      </c>
      <c r="G2423" s="8">
        <f>IFERROR(VLOOKUP(A2423,Flete!$A:$E,5,0),"")</f>
        <v/>
      </c>
      <c r="H2423" s="7">
        <f>IFERROR(VLOOKUP(F2423,TRAOPE!$AA:$AB,2,0),"")</f>
        <v/>
      </c>
      <c r="I2423" s="7" t="n">
        <v>10000160</v>
      </c>
      <c r="J2423" s="7">
        <f>IFERROR(VLOOKUP(I2423,Materiales!$A:$H,8,0),"")</f>
        <v/>
      </c>
      <c r="K2423" s="9">
        <f>IFERROR(VLOOKUP(I2423,Materiales!$A:$G,7,0),"")</f>
        <v/>
      </c>
      <c r="L2423" s="8" t="inlineStr">
        <is>
          <t>20260625</t>
        </is>
      </c>
      <c r="M2423" s="8" t="inlineStr">
        <is>
          <t>99991231</t>
        </is>
      </c>
      <c r="N2423" s="10" t="n">
        <v>150</v>
      </c>
      <c r="O2423" s="10">
        <f>IFERROR(VLOOKUP(A2423,Flete!$A:$J,10,0),"")</f>
        <v/>
      </c>
      <c r="P2423" s="8" t="inlineStr">
        <is>
          <t>M3</t>
        </is>
      </c>
      <c r="Q2423" s="10">
        <f>IFERROR(IFERROR(VLOOKUP(A2423,TRAOPE!$A:$U,21,0),VLOOKUP(B2423,TRAOPE!$A:$U,21,0)),"")</f>
        <v/>
      </c>
      <c r="R2423" s="8">
        <f>IFERROR(IFERROR(VLOOKUP(A2423,TRAOPE!$A:$W,23,0),VLOOKUP(B2423,TRAOPE!$A:$W,23,0)),"")</f>
        <v/>
      </c>
      <c r="S2423" s="10">
        <f>IF(AND(P2423="TN",R2423="TN"),N2423+N(O2423),IF(G2423&amp;""="1",N(K2423)*N2423,(N2423+N(O2423))*N(K2423)))</f>
        <v/>
      </c>
      <c r="T2423" s="10">
        <f>IF(Q2423="","",Q2423-S2423)</f>
        <v/>
      </c>
    </row>
    <row r="2424">
      <c r="A2424" s="7">
        <f>CONCATENATE(C2424,E2424,F2424,I2424)</f>
        <v/>
      </c>
      <c r="B2424" s="7">
        <f>CONCATENATE(C2424,E2424,I2424)</f>
        <v/>
      </c>
      <c r="C2424" s="8" t="n">
        <v>900001074</v>
      </c>
      <c r="D2424" s="7">
        <f>IFERROR(VLOOKUP(C2424,TRAOPE!$G:$H,2,0),"")</f>
        <v/>
      </c>
      <c r="E2424" s="8" t="inlineStr">
        <is>
          <t>D836</t>
        </is>
      </c>
      <c r="F2424" s="8" t="inlineStr">
        <is>
          <t>67019979</t>
        </is>
      </c>
      <c r="G2424" s="8">
        <f>IFERROR(VLOOKUP(A2424,Flete!$A:$E,5,0),"")</f>
        <v/>
      </c>
      <c r="H2424" s="7">
        <f>IFERROR(VLOOKUP(F2424,TRAOPE!$AA:$AB,2,0),"")</f>
        <v/>
      </c>
      <c r="I2424" s="7" t="n">
        <v>10000357</v>
      </c>
      <c r="J2424" s="7">
        <f>IFERROR(VLOOKUP(I2424,Materiales!$A:$H,8,0),"")</f>
        <v/>
      </c>
      <c r="K2424" s="9">
        <f>IFERROR(VLOOKUP(I2424,Materiales!$A:$G,7,0),"")</f>
        <v/>
      </c>
      <c r="L2424" s="8" t="inlineStr">
        <is>
          <t>20260625</t>
        </is>
      </c>
      <c r="M2424" s="8" t="inlineStr">
        <is>
          <t>99991231</t>
        </is>
      </c>
      <c r="N2424" s="10" t="n">
        <v>175</v>
      </c>
      <c r="O2424" s="10">
        <f>IFERROR(VLOOKUP(A2424,Flete!$A:$J,10,0),"")</f>
        <v/>
      </c>
      <c r="P2424" s="8" t="inlineStr">
        <is>
          <t>M3</t>
        </is>
      </c>
      <c r="Q2424" s="10">
        <f>IFERROR(IFERROR(VLOOKUP(A2424,TRAOPE!$A:$U,21,0),VLOOKUP(B2424,TRAOPE!$A:$U,21,0)),"")</f>
        <v/>
      </c>
      <c r="R2424" s="8">
        <f>IFERROR(IFERROR(VLOOKUP(A2424,TRAOPE!$A:$W,23,0),VLOOKUP(B2424,TRAOPE!$A:$W,23,0)),"")</f>
        <v/>
      </c>
      <c r="S2424" s="10">
        <f>IF(AND(P2424="TN",R2424="TN"),N2424+N(O2424),IF(G2424&amp;""="1",N(K2424)*N2424,(N2424+N(O2424))*N(K2424)))</f>
        <v/>
      </c>
      <c r="T2424" s="10">
        <f>IF(Q2424="","",Q2424-S2424)</f>
        <v/>
      </c>
    </row>
    <row r="2425">
      <c r="A2425" s="7">
        <f>CONCATENATE(C2425,E2425,F2425,I2425)</f>
        <v/>
      </c>
      <c r="B2425" s="7">
        <f>CONCATENATE(C2425,E2425,I2425)</f>
        <v/>
      </c>
      <c r="C2425" s="8" t="n">
        <v>900001074</v>
      </c>
      <c r="D2425" s="7">
        <f>IFERROR(VLOOKUP(C2425,TRAOPE!$G:$H,2,0),"")</f>
        <v/>
      </c>
      <c r="E2425" s="8" t="inlineStr">
        <is>
          <t>D836</t>
        </is>
      </c>
      <c r="F2425" s="8" t="inlineStr">
        <is>
          <t>67019979</t>
        </is>
      </c>
      <c r="G2425" s="8">
        <f>IFERROR(VLOOKUP(A2425,Flete!$A:$E,5,0),"")</f>
        <v/>
      </c>
      <c r="H2425" s="7">
        <f>IFERROR(VLOOKUP(F2425,TRAOPE!$AA:$AB,2,0),"")</f>
        <v/>
      </c>
      <c r="I2425" s="7" t="n">
        <v>10276711</v>
      </c>
      <c r="J2425" s="7">
        <f>IFERROR(VLOOKUP(I2425,Materiales!$A:$H,8,0),"")</f>
        <v/>
      </c>
      <c r="K2425" s="9">
        <f>IFERROR(VLOOKUP(I2425,Materiales!$A:$G,7,0),"")</f>
        <v/>
      </c>
      <c r="L2425" s="8" t="inlineStr">
        <is>
          <t>20260824</t>
        </is>
      </c>
      <c r="M2425" s="8" t="inlineStr">
        <is>
          <t>99991231</t>
        </is>
      </c>
      <c r="N2425" s="10" t="n">
        <v>160</v>
      </c>
      <c r="O2425" s="10">
        <f>IFERROR(VLOOKUP(A2425,Flete!$A:$J,10,0),"")</f>
        <v/>
      </c>
      <c r="P2425" s="8" t="inlineStr">
        <is>
          <t>M3</t>
        </is>
      </c>
      <c r="Q2425" s="10">
        <f>IFERROR(IFERROR(VLOOKUP(A2425,TRAOPE!$A:$U,21,0),VLOOKUP(B2425,TRAOPE!$A:$U,21,0)),"")</f>
        <v/>
      </c>
      <c r="R2425" s="8">
        <f>IFERROR(IFERROR(VLOOKUP(A2425,TRAOPE!$A:$W,23,0),VLOOKUP(B2425,TRAOPE!$A:$W,23,0)),"")</f>
        <v/>
      </c>
      <c r="S2425" s="10">
        <f>IF(AND(P2425="TN",R2425="TN"),N2425+N(O2425),IF(G2425&amp;""="1",N(K2425)*N2425,(N2425+N(O2425))*N(K2425)))</f>
        <v/>
      </c>
      <c r="T2425" s="10">
        <f>IF(Q2425="","",Q2425-S2425)</f>
        <v/>
      </c>
    </row>
    <row r="2426">
      <c r="A2426" s="7">
        <f>CONCATENATE(C2426,E2426,F2426,I2426)</f>
        <v/>
      </c>
      <c r="B2426" s="7">
        <f>CONCATENATE(C2426,E2426,I2426)</f>
        <v/>
      </c>
      <c r="C2426" s="8" t="n">
        <v>900001074</v>
      </c>
      <c r="D2426" s="7">
        <f>IFERROR(VLOOKUP(C2426,TRAOPE!$G:$H,2,0),"")</f>
        <v/>
      </c>
      <c r="E2426" s="8" t="inlineStr">
        <is>
          <t>D836</t>
        </is>
      </c>
      <c r="F2426" s="8" t="inlineStr">
        <is>
          <t>67243408</t>
        </is>
      </c>
      <c r="G2426" s="8">
        <f>IFERROR(VLOOKUP(A2426,Flete!$A:$E,5,0),"")</f>
        <v/>
      </c>
      <c r="H2426" s="7">
        <f>IFERROR(VLOOKUP(F2426,TRAOPE!$AA:$AB,2,0),"")</f>
        <v/>
      </c>
      <c r="I2426" s="7" t="n">
        <v>10000160</v>
      </c>
      <c r="J2426" s="7">
        <f>IFERROR(VLOOKUP(I2426,Materiales!$A:$H,8,0),"")</f>
        <v/>
      </c>
      <c r="K2426" s="9">
        <f>IFERROR(VLOOKUP(I2426,Materiales!$A:$G,7,0),"")</f>
        <v/>
      </c>
      <c r="L2426" s="8" t="inlineStr">
        <is>
          <t>20260625</t>
        </is>
      </c>
      <c r="M2426" s="8" t="inlineStr">
        <is>
          <t>99991231</t>
        </is>
      </c>
      <c r="N2426" s="10" t="n">
        <v>150</v>
      </c>
      <c r="O2426" s="10">
        <f>IFERROR(VLOOKUP(A2426,Flete!$A:$J,10,0),"")</f>
        <v/>
      </c>
      <c r="P2426" s="8" t="inlineStr">
        <is>
          <t>M3</t>
        </is>
      </c>
      <c r="Q2426" s="10">
        <f>IFERROR(IFERROR(VLOOKUP(A2426,TRAOPE!$A:$U,21,0),VLOOKUP(B2426,TRAOPE!$A:$U,21,0)),"")</f>
        <v/>
      </c>
      <c r="R2426" s="8">
        <f>IFERROR(IFERROR(VLOOKUP(A2426,TRAOPE!$A:$W,23,0),VLOOKUP(B2426,TRAOPE!$A:$W,23,0)),"")</f>
        <v/>
      </c>
      <c r="S2426" s="10">
        <f>IF(AND(P2426="TN",R2426="TN"),N2426+N(O2426),IF(G2426&amp;""="1",N(K2426)*N2426,(N2426+N(O2426))*N(K2426)))</f>
        <v/>
      </c>
      <c r="T2426" s="10">
        <f>IF(Q2426="","",Q2426-S2426)</f>
        <v/>
      </c>
    </row>
    <row r="2427">
      <c r="A2427" s="7">
        <f>CONCATENATE(C2427,E2427,F2427,I2427)</f>
        <v/>
      </c>
      <c r="B2427" s="7">
        <f>CONCATENATE(C2427,E2427,I2427)</f>
        <v/>
      </c>
      <c r="C2427" s="8" t="n">
        <v>900001074</v>
      </c>
      <c r="D2427" s="7">
        <f>IFERROR(VLOOKUP(C2427,TRAOPE!$G:$H,2,0),"")</f>
        <v/>
      </c>
      <c r="E2427" s="8" t="inlineStr">
        <is>
          <t>D836</t>
        </is>
      </c>
      <c r="F2427" s="8" t="inlineStr">
        <is>
          <t>67243408</t>
        </is>
      </c>
      <c r="G2427" s="8">
        <f>IFERROR(VLOOKUP(A2427,Flete!$A:$E,5,0),"")</f>
        <v/>
      </c>
      <c r="H2427" s="7">
        <f>IFERROR(VLOOKUP(F2427,TRAOPE!$AA:$AB,2,0),"")</f>
        <v/>
      </c>
      <c r="I2427" s="7" t="n">
        <v>10000357</v>
      </c>
      <c r="J2427" s="7">
        <f>IFERROR(VLOOKUP(I2427,Materiales!$A:$H,8,0),"")</f>
        <v/>
      </c>
      <c r="K2427" s="9">
        <f>IFERROR(VLOOKUP(I2427,Materiales!$A:$G,7,0),"")</f>
        <v/>
      </c>
      <c r="L2427" s="8" t="inlineStr">
        <is>
          <t>20260625</t>
        </is>
      </c>
      <c r="M2427" s="8" t="inlineStr">
        <is>
          <t>99991231</t>
        </is>
      </c>
      <c r="N2427" s="10" t="n">
        <v>175</v>
      </c>
      <c r="O2427" s="10">
        <f>IFERROR(VLOOKUP(A2427,Flete!$A:$J,10,0),"")</f>
        <v/>
      </c>
      <c r="P2427" s="8" t="inlineStr">
        <is>
          <t>M3</t>
        </is>
      </c>
      <c r="Q2427" s="10">
        <f>IFERROR(IFERROR(VLOOKUP(A2427,TRAOPE!$A:$U,21,0),VLOOKUP(B2427,TRAOPE!$A:$U,21,0)),"")</f>
        <v/>
      </c>
      <c r="R2427" s="8">
        <f>IFERROR(IFERROR(VLOOKUP(A2427,TRAOPE!$A:$W,23,0),VLOOKUP(B2427,TRAOPE!$A:$W,23,0)),"")</f>
        <v/>
      </c>
      <c r="S2427" s="10">
        <f>IF(AND(P2427="TN",R2427="TN"),N2427+N(O2427),IF(G2427&amp;""="1",N(K2427)*N2427,(N2427+N(O2427))*N(K2427)))</f>
        <v/>
      </c>
      <c r="T2427" s="10">
        <f>IF(Q2427="","",Q2427-S2427)</f>
        <v/>
      </c>
    </row>
    <row r="2428">
      <c r="A2428" s="7">
        <f>CONCATENATE(C2428,E2428,F2428,I2428)</f>
        <v/>
      </c>
      <c r="B2428" s="7">
        <f>CONCATENATE(C2428,E2428,I2428)</f>
        <v/>
      </c>
      <c r="C2428" s="8" t="n">
        <v>900001074</v>
      </c>
      <c r="D2428" s="7">
        <f>IFERROR(VLOOKUP(C2428,TRAOPE!$G:$H,2,0),"")</f>
        <v/>
      </c>
      <c r="E2428" s="8" t="inlineStr">
        <is>
          <t>D836</t>
        </is>
      </c>
      <c r="F2428" s="8" t="inlineStr">
        <is>
          <t>67243408</t>
        </is>
      </c>
      <c r="G2428" s="8">
        <f>IFERROR(VLOOKUP(A2428,Flete!$A:$E,5,0),"")</f>
        <v/>
      </c>
      <c r="H2428" s="7">
        <f>IFERROR(VLOOKUP(F2428,TRAOPE!$AA:$AB,2,0),"")</f>
        <v/>
      </c>
      <c r="I2428" s="7" t="n">
        <v>10276711</v>
      </c>
      <c r="J2428" s="7">
        <f>IFERROR(VLOOKUP(I2428,Materiales!$A:$H,8,0),"")</f>
        <v/>
      </c>
      <c r="K2428" s="9">
        <f>IFERROR(VLOOKUP(I2428,Materiales!$A:$G,7,0),"")</f>
        <v/>
      </c>
      <c r="L2428" s="8" t="inlineStr">
        <is>
          <t>20260824</t>
        </is>
      </c>
      <c r="M2428" s="8" t="inlineStr">
        <is>
          <t>99991231</t>
        </is>
      </c>
      <c r="N2428" s="10" t="n">
        <v>160</v>
      </c>
      <c r="O2428" s="10">
        <f>IFERROR(VLOOKUP(A2428,Flete!$A:$J,10,0),"")</f>
        <v/>
      </c>
      <c r="P2428" s="8" t="inlineStr">
        <is>
          <t>M3</t>
        </is>
      </c>
      <c r="Q2428" s="10">
        <f>IFERROR(IFERROR(VLOOKUP(A2428,TRAOPE!$A:$U,21,0),VLOOKUP(B2428,TRAOPE!$A:$U,21,0)),"")</f>
        <v/>
      </c>
      <c r="R2428" s="8">
        <f>IFERROR(IFERROR(VLOOKUP(A2428,TRAOPE!$A:$W,23,0),VLOOKUP(B2428,TRAOPE!$A:$W,23,0)),"")</f>
        <v/>
      </c>
      <c r="S2428" s="10">
        <f>IF(AND(P2428="TN",R2428="TN"),N2428+N(O2428),IF(G2428&amp;""="1",N(K2428)*N2428,(N2428+N(O2428))*N(K2428)))</f>
        <v/>
      </c>
      <c r="T2428" s="10">
        <f>IF(Q2428="","",Q2428-S2428)</f>
        <v/>
      </c>
    </row>
    <row r="2429">
      <c r="A2429" s="7">
        <f>CONCATENATE(C2429,E2429,F2429,I2429)</f>
        <v/>
      </c>
      <c r="B2429" s="7">
        <f>CONCATENATE(C2429,E2429,I2429)</f>
        <v/>
      </c>
      <c r="C2429" s="8" t="n">
        <v>900001074</v>
      </c>
      <c r="D2429" s="7">
        <f>IFERROR(VLOOKUP(C2429,TRAOPE!$G:$H,2,0),"")</f>
        <v/>
      </c>
      <c r="E2429" s="8" t="inlineStr">
        <is>
          <t>D836</t>
        </is>
      </c>
      <c r="F2429" s="8" t="inlineStr">
        <is>
          <t>67275052</t>
        </is>
      </c>
      <c r="G2429" s="8">
        <f>IFERROR(VLOOKUP(A2429,Flete!$A:$E,5,0),"")</f>
        <v/>
      </c>
      <c r="H2429" s="7">
        <f>IFERROR(VLOOKUP(F2429,TRAOPE!$AA:$AB,2,0),"")</f>
        <v/>
      </c>
      <c r="I2429" s="7" t="n">
        <v>10000160</v>
      </c>
      <c r="J2429" s="7">
        <f>IFERROR(VLOOKUP(I2429,Materiales!$A:$H,8,0),"")</f>
        <v/>
      </c>
      <c r="K2429" s="9">
        <f>IFERROR(VLOOKUP(I2429,Materiales!$A:$G,7,0),"")</f>
        <v/>
      </c>
      <c r="L2429" s="8" t="inlineStr">
        <is>
          <t>20260319</t>
        </is>
      </c>
      <c r="M2429" s="8" t="inlineStr">
        <is>
          <t>99991231</t>
        </is>
      </c>
      <c r="N2429" s="10" t="n">
        <v>123</v>
      </c>
      <c r="O2429" s="10">
        <f>IFERROR(VLOOKUP(A2429,Flete!$A:$J,10,0),"")</f>
        <v/>
      </c>
      <c r="P2429" s="8" t="inlineStr">
        <is>
          <t>M3</t>
        </is>
      </c>
      <c r="Q2429" s="10">
        <f>IFERROR(IFERROR(VLOOKUP(A2429,TRAOPE!$A:$U,21,0),VLOOKUP(B2429,TRAOPE!$A:$U,21,0)),"")</f>
        <v/>
      </c>
      <c r="R2429" s="8">
        <f>IFERROR(IFERROR(VLOOKUP(A2429,TRAOPE!$A:$W,23,0),VLOOKUP(B2429,TRAOPE!$A:$W,23,0)),"")</f>
        <v/>
      </c>
      <c r="S2429" s="10">
        <f>IF(AND(P2429="TN",R2429="TN"),N2429+N(O2429),IF(G2429&amp;""="1",N(K2429)*N2429,(N2429+N(O2429))*N(K2429)))</f>
        <v/>
      </c>
      <c r="T2429" s="10">
        <f>IF(Q2429="","",Q2429-S2429)</f>
        <v/>
      </c>
    </row>
    <row r="2430">
      <c r="A2430" s="7">
        <f>CONCATENATE(C2430,E2430,F2430,I2430)</f>
        <v/>
      </c>
      <c r="B2430" s="7">
        <f>CONCATENATE(C2430,E2430,I2430)</f>
        <v/>
      </c>
      <c r="C2430" s="8" t="n">
        <v>900001074</v>
      </c>
      <c r="D2430" s="7">
        <f>IFERROR(VLOOKUP(C2430,TRAOPE!$G:$H,2,0),"")</f>
        <v/>
      </c>
      <c r="E2430" s="8" t="inlineStr">
        <is>
          <t>D836</t>
        </is>
      </c>
      <c r="F2430" s="8" t="inlineStr">
        <is>
          <t>67275052</t>
        </is>
      </c>
      <c r="G2430" s="8">
        <f>IFERROR(VLOOKUP(A2430,Flete!$A:$E,5,0),"")</f>
        <v/>
      </c>
      <c r="H2430" s="7">
        <f>IFERROR(VLOOKUP(F2430,TRAOPE!$AA:$AB,2,0),"")</f>
        <v/>
      </c>
      <c r="I2430" s="7" t="n">
        <v>10000357</v>
      </c>
      <c r="J2430" s="7">
        <f>IFERROR(VLOOKUP(I2430,Materiales!$A:$H,8,0),"")</f>
        <v/>
      </c>
      <c r="K2430" s="9">
        <f>IFERROR(VLOOKUP(I2430,Materiales!$A:$G,7,0),"")</f>
        <v/>
      </c>
      <c r="L2430" s="8" t="inlineStr">
        <is>
          <t>20260319</t>
        </is>
      </c>
      <c r="M2430" s="8" t="inlineStr">
        <is>
          <t>99991231</t>
        </is>
      </c>
      <c r="N2430" s="10" t="n">
        <v>148</v>
      </c>
      <c r="O2430" s="10">
        <f>IFERROR(VLOOKUP(A2430,Flete!$A:$J,10,0),"")</f>
        <v/>
      </c>
      <c r="P2430" s="8" t="inlineStr">
        <is>
          <t>M3</t>
        </is>
      </c>
      <c r="Q2430" s="10">
        <f>IFERROR(IFERROR(VLOOKUP(A2430,TRAOPE!$A:$U,21,0),VLOOKUP(B2430,TRAOPE!$A:$U,21,0)),"")</f>
        <v/>
      </c>
      <c r="R2430" s="8">
        <f>IFERROR(IFERROR(VLOOKUP(A2430,TRAOPE!$A:$W,23,0),VLOOKUP(B2430,TRAOPE!$A:$W,23,0)),"")</f>
        <v/>
      </c>
      <c r="S2430" s="10">
        <f>IF(AND(P2430="TN",R2430="TN"),N2430+N(O2430),IF(G2430&amp;""="1",N(K2430)*N2430,(N2430+N(O2430))*N(K2430)))</f>
        <v/>
      </c>
      <c r="T2430" s="10">
        <f>IF(Q2430="","",Q2430-S2430)</f>
        <v/>
      </c>
    </row>
    <row r="2431">
      <c r="A2431" s="7">
        <f>CONCATENATE(C2431,E2431,F2431,I2431)</f>
        <v/>
      </c>
      <c r="B2431" s="7">
        <f>CONCATENATE(C2431,E2431,I2431)</f>
        <v/>
      </c>
      <c r="C2431" s="8" t="n">
        <v>900001074</v>
      </c>
      <c r="D2431" s="7">
        <f>IFERROR(VLOOKUP(C2431,TRAOPE!$G:$H,2,0),"")</f>
        <v/>
      </c>
      <c r="E2431" s="8" t="inlineStr">
        <is>
          <t>D836</t>
        </is>
      </c>
      <c r="F2431" s="8" t="inlineStr">
        <is>
          <t>67322499</t>
        </is>
      </c>
      <c r="G2431" s="8">
        <f>IFERROR(VLOOKUP(A2431,Flete!$A:$E,5,0),"")</f>
        <v/>
      </c>
      <c r="H2431" s="7">
        <f>IFERROR(VLOOKUP(F2431,TRAOPE!$AA:$AB,2,0),"")</f>
        <v/>
      </c>
      <c r="I2431" s="7" t="n">
        <v>10000160</v>
      </c>
      <c r="J2431" s="7">
        <f>IFERROR(VLOOKUP(I2431,Materiales!$A:$H,8,0),"")</f>
        <v/>
      </c>
      <c r="K2431" s="9">
        <f>IFERROR(VLOOKUP(I2431,Materiales!$A:$G,7,0),"")</f>
        <v/>
      </c>
      <c r="L2431" s="8" t="inlineStr">
        <is>
          <t>20260625</t>
        </is>
      </c>
      <c r="M2431" s="8" t="inlineStr">
        <is>
          <t>99991231</t>
        </is>
      </c>
      <c r="N2431" s="10" t="n">
        <v>150</v>
      </c>
      <c r="O2431" s="10">
        <f>IFERROR(VLOOKUP(A2431,Flete!$A:$J,10,0),"")</f>
        <v/>
      </c>
      <c r="P2431" s="8" t="inlineStr">
        <is>
          <t>M3</t>
        </is>
      </c>
      <c r="Q2431" s="10">
        <f>IFERROR(IFERROR(VLOOKUP(A2431,TRAOPE!$A:$U,21,0),VLOOKUP(B2431,TRAOPE!$A:$U,21,0)),"")</f>
        <v/>
      </c>
      <c r="R2431" s="8">
        <f>IFERROR(IFERROR(VLOOKUP(A2431,TRAOPE!$A:$W,23,0),VLOOKUP(B2431,TRAOPE!$A:$W,23,0)),"")</f>
        <v/>
      </c>
      <c r="S2431" s="10">
        <f>IF(AND(P2431="TN",R2431="TN"),N2431+N(O2431),IF(G2431&amp;""="1",N(K2431)*N2431,(N2431+N(O2431))*N(K2431)))</f>
        <v/>
      </c>
      <c r="T2431" s="10">
        <f>IF(Q2431="","",Q2431-S2431)</f>
        <v/>
      </c>
    </row>
    <row r="2432">
      <c r="A2432" s="7">
        <f>CONCATENATE(C2432,E2432,F2432,I2432)</f>
        <v/>
      </c>
      <c r="B2432" s="7">
        <f>CONCATENATE(C2432,E2432,I2432)</f>
        <v/>
      </c>
      <c r="C2432" s="8" t="n">
        <v>900001074</v>
      </c>
      <c r="D2432" s="7">
        <f>IFERROR(VLOOKUP(C2432,TRAOPE!$G:$H,2,0),"")</f>
        <v/>
      </c>
      <c r="E2432" s="8" t="inlineStr">
        <is>
          <t>D836</t>
        </is>
      </c>
      <c r="F2432" s="8" t="inlineStr">
        <is>
          <t>67322499</t>
        </is>
      </c>
      <c r="G2432" s="8">
        <f>IFERROR(VLOOKUP(A2432,Flete!$A:$E,5,0),"")</f>
        <v/>
      </c>
      <c r="H2432" s="7">
        <f>IFERROR(VLOOKUP(F2432,TRAOPE!$AA:$AB,2,0),"")</f>
        <v/>
      </c>
      <c r="I2432" s="7" t="n">
        <v>10000357</v>
      </c>
      <c r="J2432" s="7">
        <f>IFERROR(VLOOKUP(I2432,Materiales!$A:$H,8,0),"")</f>
        <v/>
      </c>
      <c r="K2432" s="9">
        <f>IFERROR(VLOOKUP(I2432,Materiales!$A:$G,7,0),"")</f>
        <v/>
      </c>
      <c r="L2432" s="8" t="inlineStr">
        <is>
          <t>20260625</t>
        </is>
      </c>
      <c r="M2432" s="8" t="inlineStr">
        <is>
          <t>99991231</t>
        </is>
      </c>
      <c r="N2432" s="10" t="n">
        <v>175</v>
      </c>
      <c r="O2432" s="10">
        <f>IFERROR(VLOOKUP(A2432,Flete!$A:$J,10,0),"")</f>
        <v/>
      </c>
      <c r="P2432" s="8" t="inlineStr">
        <is>
          <t>M3</t>
        </is>
      </c>
      <c r="Q2432" s="10">
        <f>IFERROR(IFERROR(VLOOKUP(A2432,TRAOPE!$A:$U,21,0),VLOOKUP(B2432,TRAOPE!$A:$U,21,0)),"")</f>
        <v/>
      </c>
      <c r="R2432" s="8">
        <f>IFERROR(IFERROR(VLOOKUP(A2432,TRAOPE!$A:$W,23,0),VLOOKUP(B2432,TRAOPE!$A:$W,23,0)),"")</f>
        <v/>
      </c>
      <c r="S2432" s="10">
        <f>IF(AND(P2432="TN",R2432="TN"),N2432+N(O2432),IF(G2432&amp;""="1",N(K2432)*N2432,(N2432+N(O2432))*N(K2432)))</f>
        <v/>
      </c>
      <c r="T2432" s="10">
        <f>IF(Q2432="","",Q2432-S2432)</f>
        <v/>
      </c>
    </row>
    <row r="2433">
      <c r="A2433" s="7">
        <f>CONCATENATE(C2433,E2433,F2433,I2433)</f>
        <v/>
      </c>
      <c r="B2433" s="7">
        <f>CONCATENATE(C2433,E2433,I2433)</f>
        <v/>
      </c>
      <c r="C2433" s="8" t="n">
        <v>900001074</v>
      </c>
      <c r="D2433" s="7">
        <f>IFERROR(VLOOKUP(C2433,TRAOPE!$G:$H,2,0),"")</f>
        <v/>
      </c>
      <c r="E2433" s="8" t="inlineStr">
        <is>
          <t>D836</t>
        </is>
      </c>
      <c r="F2433" s="8" t="inlineStr">
        <is>
          <t>67322499</t>
        </is>
      </c>
      <c r="G2433" s="8">
        <f>IFERROR(VLOOKUP(A2433,Flete!$A:$E,5,0),"")</f>
        <v/>
      </c>
      <c r="H2433" s="7">
        <f>IFERROR(VLOOKUP(F2433,TRAOPE!$AA:$AB,2,0),"")</f>
        <v/>
      </c>
      <c r="I2433" s="7" t="n">
        <v>10276711</v>
      </c>
      <c r="J2433" s="7">
        <f>IFERROR(VLOOKUP(I2433,Materiales!$A:$H,8,0),"")</f>
        <v/>
      </c>
      <c r="K2433" s="9">
        <f>IFERROR(VLOOKUP(I2433,Materiales!$A:$G,7,0),"")</f>
        <v/>
      </c>
      <c r="L2433" s="8" t="inlineStr">
        <is>
          <t>20260824</t>
        </is>
      </c>
      <c r="M2433" s="8" t="inlineStr">
        <is>
          <t>99991231</t>
        </is>
      </c>
      <c r="N2433" s="10" t="n">
        <v>160</v>
      </c>
      <c r="O2433" s="10">
        <f>IFERROR(VLOOKUP(A2433,Flete!$A:$J,10,0),"")</f>
        <v/>
      </c>
      <c r="P2433" s="8" t="inlineStr">
        <is>
          <t>M3</t>
        </is>
      </c>
      <c r="Q2433" s="10">
        <f>IFERROR(IFERROR(VLOOKUP(A2433,TRAOPE!$A:$U,21,0),VLOOKUP(B2433,TRAOPE!$A:$U,21,0)),"")</f>
        <v/>
      </c>
      <c r="R2433" s="8">
        <f>IFERROR(IFERROR(VLOOKUP(A2433,TRAOPE!$A:$W,23,0),VLOOKUP(B2433,TRAOPE!$A:$W,23,0)),"")</f>
        <v/>
      </c>
      <c r="S2433" s="10">
        <f>IF(AND(P2433="TN",R2433="TN"),N2433+N(O2433),IF(G2433&amp;""="1",N(K2433)*N2433,(N2433+N(O2433))*N(K2433)))</f>
        <v/>
      </c>
      <c r="T2433" s="10">
        <f>IF(Q2433="","",Q2433-S2433)</f>
        <v/>
      </c>
    </row>
    <row r="2434">
      <c r="A2434" s="7">
        <f>CONCATENATE(C2434,E2434,F2434,I2434)</f>
        <v/>
      </c>
      <c r="B2434" s="7">
        <f>CONCATENATE(C2434,E2434,I2434)</f>
        <v/>
      </c>
      <c r="C2434" s="8" t="n">
        <v>900001074</v>
      </c>
      <c r="D2434" s="7">
        <f>IFERROR(VLOOKUP(C2434,TRAOPE!$G:$H,2,0),"")</f>
        <v/>
      </c>
      <c r="E2434" s="8" t="inlineStr">
        <is>
          <t>D836</t>
        </is>
      </c>
      <c r="F2434" s="8" t="inlineStr">
        <is>
          <t>67328420</t>
        </is>
      </c>
      <c r="G2434" s="8">
        <f>IFERROR(VLOOKUP(A2434,Flete!$A:$E,5,0),"")</f>
        <v/>
      </c>
      <c r="H2434" s="7">
        <f>IFERROR(VLOOKUP(F2434,TRAOPE!$AA:$AB,2,0),"")</f>
        <v/>
      </c>
      <c r="I2434" s="7" t="n">
        <v>10000160</v>
      </c>
      <c r="J2434" s="7">
        <f>IFERROR(VLOOKUP(I2434,Materiales!$A:$H,8,0),"")</f>
        <v/>
      </c>
      <c r="K2434" s="9">
        <f>IFERROR(VLOOKUP(I2434,Materiales!$A:$G,7,0),"")</f>
        <v/>
      </c>
      <c r="L2434" s="8" t="inlineStr">
        <is>
          <t>20260331</t>
        </is>
      </c>
      <c r="M2434" s="8" t="inlineStr">
        <is>
          <t>99991231</t>
        </is>
      </c>
      <c r="N2434" s="10" t="n">
        <v>124</v>
      </c>
      <c r="O2434" s="10">
        <f>IFERROR(VLOOKUP(A2434,Flete!$A:$J,10,0),"")</f>
        <v/>
      </c>
      <c r="P2434" s="8" t="inlineStr">
        <is>
          <t>M3</t>
        </is>
      </c>
      <c r="Q2434" s="10">
        <f>IFERROR(IFERROR(VLOOKUP(A2434,TRAOPE!$A:$U,21,0),VLOOKUP(B2434,TRAOPE!$A:$U,21,0)),"")</f>
        <v/>
      </c>
      <c r="R2434" s="8">
        <f>IFERROR(IFERROR(VLOOKUP(A2434,TRAOPE!$A:$W,23,0),VLOOKUP(B2434,TRAOPE!$A:$W,23,0)),"")</f>
        <v/>
      </c>
      <c r="S2434" s="10">
        <f>IF(AND(P2434="TN",R2434="TN"),N2434+N(O2434),IF(G2434&amp;""="1",N(K2434)*N2434,(N2434+N(O2434))*N(K2434)))</f>
        <v/>
      </c>
      <c r="T2434" s="10">
        <f>IF(Q2434="","",Q2434-S2434)</f>
        <v/>
      </c>
    </row>
    <row r="2435">
      <c r="A2435" s="7">
        <f>CONCATENATE(C2435,E2435,F2435,I2435)</f>
        <v/>
      </c>
      <c r="B2435" s="7">
        <f>CONCATENATE(C2435,E2435,I2435)</f>
        <v/>
      </c>
      <c r="C2435" s="8" t="n">
        <v>900001074</v>
      </c>
      <c r="D2435" s="7">
        <f>IFERROR(VLOOKUP(C2435,TRAOPE!$G:$H,2,0),"")</f>
        <v/>
      </c>
      <c r="E2435" s="8" t="inlineStr">
        <is>
          <t>D836</t>
        </is>
      </c>
      <c r="F2435" s="8" t="inlineStr">
        <is>
          <t>67328420</t>
        </is>
      </c>
      <c r="G2435" s="8">
        <f>IFERROR(VLOOKUP(A2435,Flete!$A:$E,5,0),"")</f>
        <v/>
      </c>
      <c r="H2435" s="7">
        <f>IFERROR(VLOOKUP(F2435,TRAOPE!$AA:$AB,2,0),"")</f>
        <v/>
      </c>
      <c r="I2435" s="7" t="n">
        <v>10000357</v>
      </c>
      <c r="J2435" s="7">
        <f>IFERROR(VLOOKUP(I2435,Materiales!$A:$H,8,0),"")</f>
        <v/>
      </c>
      <c r="K2435" s="9">
        <f>IFERROR(VLOOKUP(I2435,Materiales!$A:$G,7,0),"")</f>
        <v/>
      </c>
      <c r="L2435" s="8" t="inlineStr">
        <is>
          <t>20260331</t>
        </is>
      </c>
      <c r="M2435" s="8" t="inlineStr">
        <is>
          <t>99991231</t>
        </is>
      </c>
      <c r="N2435" s="10" t="n">
        <v>150</v>
      </c>
      <c r="O2435" s="10">
        <f>IFERROR(VLOOKUP(A2435,Flete!$A:$J,10,0),"")</f>
        <v/>
      </c>
      <c r="P2435" s="8" t="inlineStr">
        <is>
          <t>M3</t>
        </is>
      </c>
      <c r="Q2435" s="10">
        <f>IFERROR(IFERROR(VLOOKUP(A2435,TRAOPE!$A:$U,21,0),VLOOKUP(B2435,TRAOPE!$A:$U,21,0)),"")</f>
        <v/>
      </c>
      <c r="R2435" s="8">
        <f>IFERROR(IFERROR(VLOOKUP(A2435,TRAOPE!$A:$W,23,0),VLOOKUP(B2435,TRAOPE!$A:$W,23,0)),"")</f>
        <v/>
      </c>
      <c r="S2435" s="10">
        <f>IF(AND(P2435="TN",R2435="TN"),N2435+N(O2435),IF(G2435&amp;""="1",N(K2435)*N2435,(N2435+N(O2435))*N(K2435)))</f>
        <v/>
      </c>
      <c r="T2435" s="10">
        <f>IF(Q2435="","",Q2435-S2435)</f>
        <v/>
      </c>
    </row>
    <row r="2436">
      <c r="A2436" s="7">
        <f>CONCATENATE(C2436,E2436,F2436,I2436)</f>
        <v/>
      </c>
      <c r="B2436" s="7">
        <f>CONCATENATE(C2436,E2436,I2436)</f>
        <v/>
      </c>
      <c r="C2436" s="8" t="n">
        <v>900001074</v>
      </c>
      <c r="D2436" s="7">
        <f>IFERROR(VLOOKUP(C2436,TRAOPE!$G:$H,2,0),"")</f>
        <v/>
      </c>
      <c r="E2436" s="8" t="inlineStr">
        <is>
          <t>D836</t>
        </is>
      </c>
      <c r="F2436" s="8" t="inlineStr">
        <is>
          <t>67328420</t>
        </is>
      </c>
      <c r="G2436" s="8">
        <f>IFERROR(VLOOKUP(A2436,Flete!$A:$E,5,0),"")</f>
        <v/>
      </c>
      <c r="H2436" s="7">
        <f>IFERROR(VLOOKUP(F2436,TRAOPE!$AA:$AB,2,0),"")</f>
        <v/>
      </c>
      <c r="I2436" s="7" t="n">
        <v>10000627</v>
      </c>
      <c r="J2436" s="7">
        <f>IFERROR(VLOOKUP(I2436,Materiales!$A:$H,8,0),"")</f>
        <v/>
      </c>
      <c r="K2436" s="9">
        <f>IFERROR(VLOOKUP(I2436,Materiales!$A:$G,7,0),"")</f>
        <v/>
      </c>
      <c r="L2436" s="8" t="inlineStr">
        <is>
          <t>20260331</t>
        </is>
      </c>
      <c r="M2436" s="8" t="inlineStr">
        <is>
          <t>99991231</t>
        </is>
      </c>
      <c r="N2436" s="10" t="n">
        <v>105</v>
      </c>
      <c r="O2436" s="10">
        <f>IFERROR(VLOOKUP(A2436,Flete!$A:$J,10,0),"")</f>
        <v/>
      </c>
      <c r="P2436" s="8" t="inlineStr">
        <is>
          <t>M3</t>
        </is>
      </c>
      <c r="Q2436" s="10">
        <f>IFERROR(IFERROR(VLOOKUP(A2436,TRAOPE!$A:$U,21,0),VLOOKUP(B2436,TRAOPE!$A:$U,21,0)),"")</f>
        <v/>
      </c>
      <c r="R2436" s="8">
        <f>IFERROR(IFERROR(VLOOKUP(A2436,TRAOPE!$A:$W,23,0),VLOOKUP(B2436,TRAOPE!$A:$W,23,0)),"")</f>
        <v/>
      </c>
      <c r="S2436" s="10">
        <f>IF(AND(P2436="TN",R2436="TN"),N2436+N(O2436),IF(G2436&amp;""="1",N(K2436)*N2436,(N2436+N(O2436))*N(K2436)))</f>
        <v/>
      </c>
      <c r="T2436" s="10">
        <f>IF(Q2436="","",Q2436-S2436)</f>
        <v/>
      </c>
    </row>
    <row r="2437">
      <c r="A2437" s="7">
        <f>CONCATENATE(C2437,E2437,F2437,I2437)</f>
        <v/>
      </c>
      <c r="B2437" s="7">
        <f>CONCATENATE(C2437,E2437,I2437)</f>
        <v/>
      </c>
      <c r="C2437" s="8" t="n">
        <v>900001074</v>
      </c>
      <c r="D2437" s="7">
        <f>IFERROR(VLOOKUP(C2437,TRAOPE!$G:$H,2,0),"")</f>
        <v/>
      </c>
      <c r="E2437" s="8" t="inlineStr">
        <is>
          <t>D836</t>
        </is>
      </c>
      <c r="F2437" s="8" t="inlineStr">
        <is>
          <t>67347709</t>
        </is>
      </c>
      <c r="G2437" s="8">
        <f>IFERROR(VLOOKUP(A2437,Flete!$A:$E,5,0),"")</f>
        <v/>
      </c>
      <c r="H2437" s="7">
        <f>IFERROR(VLOOKUP(F2437,TRAOPE!$AA:$AB,2,0),"")</f>
        <v/>
      </c>
      <c r="I2437" s="7" t="n">
        <v>10000160</v>
      </c>
      <c r="J2437" s="7">
        <f>IFERROR(VLOOKUP(I2437,Materiales!$A:$H,8,0),"")</f>
        <v/>
      </c>
      <c r="K2437" s="9">
        <f>IFERROR(VLOOKUP(I2437,Materiales!$A:$G,7,0),"")</f>
        <v/>
      </c>
      <c r="L2437" s="8" t="inlineStr">
        <is>
          <t>20260522</t>
        </is>
      </c>
      <c r="M2437" s="8" t="inlineStr">
        <is>
          <t>99991231</t>
        </is>
      </c>
      <c r="N2437" s="10" t="n">
        <v>130</v>
      </c>
      <c r="O2437" s="10">
        <f>IFERROR(VLOOKUP(A2437,Flete!$A:$J,10,0),"")</f>
        <v/>
      </c>
      <c r="P2437" s="8" t="inlineStr">
        <is>
          <t>M3</t>
        </is>
      </c>
      <c r="Q2437" s="10">
        <f>IFERROR(IFERROR(VLOOKUP(A2437,TRAOPE!$A:$U,21,0),VLOOKUP(B2437,TRAOPE!$A:$U,21,0)),"")</f>
        <v/>
      </c>
      <c r="R2437" s="8">
        <f>IFERROR(IFERROR(VLOOKUP(A2437,TRAOPE!$A:$W,23,0),VLOOKUP(B2437,TRAOPE!$A:$W,23,0)),"")</f>
        <v/>
      </c>
      <c r="S2437" s="10">
        <f>IF(AND(P2437="TN",R2437="TN"),N2437+N(O2437),IF(G2437&amp;""="1",N(K2437)*N2437,(N2437+N(O2437))*N(K2437)))</f>
        <v/>
      </c>
      <c r="T2437" s="10">
        <f>IF(Q2437="","",Q2437-S2437)</f>
        <v/>
      </c>
    </row>
    <row r="2438">
      <c r="A2438" s="7">
        <f>CONCATENATE(C2438,E2438,F2438,I2438)</f>
        <v/>
      </c>
      <c r="B2438" s="7">
        <f>CONCATENATE(C2438,E2438,I2438)</f>
        <v/>
      </c>
      <c r="C2438" s="8" t="n">
        <v>900001074</v>
      </c>
      <c r="D2438" s="7">
        <f>IFERROR(VLOOKUP(C2438,TRAOPE!$G:$H,2,0),"")</f>
        <v/>
      </c>
      <c r="E2438" s="8" t="inlineStr">
        <is>
          <t>D836</t>
        </is>
      </c>
      <c r="F2438" s="8" t="inlineStr">
        <is>
          <t>67347709</t>
        </is>
      </c>
      <c r="G2438" s="8">
        <f>IFERROR(VLOOKUP(A2438,Flete!$A:$E,5,0),"")</f>
        <v/>
      </c>
      <c r="H2438" s="7">
        <f>IFERROR(VLOOKUP(F2438,TRAOPE!$AA:$AB,2,0),"")</f>
        <v/>
      </c>
      <c r="I2438" s="7" t="n">
        <v>10000357</v>
      </c>
      <c r="J2438" s="7">
        <f>IFERROR(VLOOKUP(I2438,Materiales!$A:$H,8,0),"")</f>
        <v/>
      </c>
      <c r="K2438" s="9">
        <f>IFERROR(VLOOKUP(I2438,Materiales!$A:$G,7,0),"")</f>
        <v/>
      </c>
      <c r="L2438" s="8" t="inlineStr">
        <is>
          <t>20260522</t>
        </is>
      </c>
      <c r="M2438" s="8" t="inlineStr">
        <is>
          <t>99991231</t>
        </is>
      </c>
      <c r="N2438" s="10" t="n">
        <v>160</v>
      </c>
      <c r="O2438" s="10">
        <f>IFERROR(VLOOKUP(A2438,Flete!$A:$J,10,0),"")</f>
        <v/>
      </c>
      <c r="P2438" s="8" t="inlineStr">
        <is>
          <t>M3</t>
        </is>
      </c>
      <c r="Q2438" s="10">
        <f>IFERROR(IFERROR(VLOOKUP(A2438,TRAOPE!$A:$U,21,0),VLOOKUP(B2438,TRAOPE!$A:$U,21,0)),"")</f>
        <v/>
      </c>
      <c r="R2438" s="8">
        <f>IFERROR(IFERROR(VLOOKUP(A2438,TRAOPE!$A:$W,23,0),VLOOKUP(B2438,TRAOPE!$A:$W,23,0)),"")</f>
        <v/>
      </c>
      <c r="S2438" s="10">
        <f>IF(AND(P2438="TN",R2438="TN"),N2438+N(O2438),IF(G2438&amp;""="1",N(K2438)*N2438,(N2438+N(O2438))*N(K2438)))</f>
        <v/>
      </c>
      <c r="T2438" s="10">
        <f>IF(Q2438="","",Q2438-S2438)</f>
        <v/>
      </c>
    </row>
    <row r="2439">
      <c r="A2439" s="7">
        <f>CONCATENATE(C2439,E2439,F2439,I2439)</f>
        <v/>
      </c>
      <c r="B2439" s="7">
        <f>CONCATENATE(C2439,E2439,I2439)</f>
        <v/>
      </c>
      <c r="C2439" s="8" t="n">
        <v>900001074</v>
      </c>
      <c r="D2439" s="7">
        <f>IFERROR(VLOOKUP(C2439,TRAOPE!$G:$H,2,0),"")</f>
        <v/>
      </c>
      <c r="E2439" s="8" t="inlineStr">
        <is>
          <t>D836</t>
        </is>
      </c>
      <c r="F2439" s="8" t="inlineStr">
        <is>
          <t>67347709</t>
        </is>
      </c>
      <c r="G2439" s="8">
        <f>IFERROR(VLOOKUP(A2439,Flete!$A:$E,5,0),"")</f>
        <v/>
      </c>
      <c r="H2439" s="7">
        <f>IFERROR(VLOOKUP(F2439,TRAOPE!$AA:$AB,2,0),"")</f>
        <v/>
      </c>
      <c r="I2439" s="7" t="n">
        <v>10000627</v>
      </c>
      <c r="J2439" s="7">
        <f>IFERROR(VLOOKUP(I2439,Materiales!$A:$H,8,0),"")</f>
        <v/>
      </c>
      <c r="K2439" s="9">
        <f>IFERROR(VLOOKUP(I2439,Materiales!$A:$G,7,0),"")</f>
        <v/>
      </c>
      <c r="L2439" s="8" t="inlineStr">
        <is>
          <t>20260522</t>
        </is>
      </c>
      <c r="M2439" s="8" t="inlineStr">
        <is>
          <t>99991231</t>
        </is>
      </c>
      <c r="N2439" s="10" t="n">
        <v>110</v>
      </c>
      <c r="O2439" s="10">
        <f>IFERROR(VLOOKUP(A2439,Flete!$A:$J,10,0),"")</f>
        <v/>
      </c>
      <c r="P2439" s="8" t="inlineStr">
        <is>
          <t>M3</t>
        </is>
      </c>
      <c r="Q2439" s="10">
        <f>IFERROR(IFERROR(VLOOKUP(A2439,TRAOPE!$A:$U,21,0),VLOOKUP(B2439,TRAOPE!$A:$U,21,0)),"")</f>
        <v/>
      </c>
      <c r="R2439" s="8">
        <f>IFERROR(IFERROR(VLOOKUP(A2439,TRAOPE!$A:$W,23,0),VLOOKUP(B2439,TRAOPE!$A:$W,23,0)),"")</f>
        <v/>
      </c>
      <c r="S2439" s="10">
        <f>IF(AND(P2439="TN",R2439="TN"),N2439+N(O2439),IF(G2439&amp;""="1",N(K2439)*N2439,(N2439+N(O2439))*N(K2439)))</f>
        <v/>
      </c>
      <c r="T2439" s="10">
        <f>IF(Q2439="","",Q2439-S2439)</f>
        <v/>
      </c>
    </row>
    <row r="2440">
      <c r="A2440" s="7">
        <f>CONCATENATE(C2440,E2440,F2440,I2440)</f>
        <v/>
      </c>
      <c r="B2440" s="7">
        <f>CONCATENATE(C2440,E2440,I2440)</f>
        <v/>
      </c>
      <c r="C2440" s="8" t="n">
        <v>900001074</v>
      </c>
      <c r="D2440" s="7">
        <f>IFERROR(VLOOKUP(C2440,TRAOPE!$G:$H,2,0),"")</f>
        <v/>
      </c>
      <c r="E2440" s="8" t="inlineStr">
        <is>
          <t>D836</t>
        </is>
      </c>
      <c r="F2440" s="8" t="inlineStr">
        <is>
          <t>67362127</t>
        </is>
      </c>
      <c r="G2440" s="8">
        <f>IFERROR(VLOOKUP(A2440,Flete!$A:$E,5,0),"")</f>
        <v/>
      </c>
      <c r="H2440" s="7">
        <f>IFERROR(VLOOKUP(F2440,TRAOPE!$AA:$AB,2,0),"")</f>
        <v/>
      </c>
      <c r="I2440" s="7" t="n">
        <v>10000160</v>
      </c>
      <c r="J2440" s="7">
        <f>IFERROR(VLOOKUP(I2440,Materiales!$A:$H,8,0),"")</f>
        <v/>
      </c>
      <c r="K2440" s="9">
        <f>IFERROR(VLOOKUP(I2440,Materiales!$A:$G,7,0),"")</f>
        <v/>
      </c>
      <c r="L2440" s="8" t="inlineStr">
        <is>
          <t>20260224</t>
        </is>
      </c>
      <c r="M2440" s="8" t="inlineStr">
        <is>
          <t>99991231</t>
        </is>
      </c>
      <c r="N2440" s="10" t="n">
        <v>136</v>
      </c>
      <c r="O2440" s="10">
        <f>IFERROR(VLOOKUP(A2440,Flete!$A:$J,10,0),"")</f>
        <v/>
      </c>
      <c r="P2440" s="8" t="inlineStr">
        <is>
          <t>M3</t>
        </is>
      </c>
      <c r="Q2440" s="10">
        <f>IFERROR(IFERROR(VLOOKUP(A2440,TRAOPE!$A:$U,21,0),VLOOKUP(B2440,TRAOPE!$A:$U,21,0)),"")</f>
        <v/>
      </c>
      <c r="R2440" s="8">
        <f>IFERROR(IFERROR(VLOOKUP(A2440,TRAOPE!$A:$W,23,0),VLOOKUP(B2440,TRAOPE!$A:$W,23,0)),"")</f>
        <v/>
      </c>
      <c r="S2440" s="10">
        <f>IF(AND(P2440="TN",R2440="TN"),N2440+N(O2440),IF(G2440&amp;""="1",N(K2440)*N2440,(N2440+N(O2440))*N(K2440)))</f>
        <v/>
      </c>
      <c r="T2440" s="10">
        <f>IF(Q2440="","",Q2440-S2440)</f>
        <v/>
      </c>
    </row>
    <row r="2441">
      <c r="A2441" s="7">
        <f>CONCATENATE(C2441,E2441,F2441,I2441)</f>
        <v/>
      </c>
      <c r="B2441" s="7">
        <f>CONCATENATE(C2441,E2441,I2441)</f>
        <v/>
      </c>
      <c r="C2441" s="8" t="n">
        <v>900001074</v>
      </c>
      <c r="D2441" s="7">
        <f>IFERROR(VLOOKUP(C2441,TRAOPE!$G:$H,2,0),"")</f>
        <v/>
      </c>
      <c r="E2441" s="8" t="inlineStr">
        <is>
          <t>D836</t>
        </is>
      </c>
      <c r="F2441" s="8" t="inlineStr">
        <is>
          <t>67362127</t>
        </is>
      </c>
      <c r="G2441" s="8">
        <f>IFERROR(VLOOKUP(A2441,Flete!$A:$E,5,0),"")</f>
        <v/>
      </c>
      <c r="H2441" s="7">
        <f>IFERROR(VLOOKUP(F2441,TRAOPE!$AA:$AB,2,0),"")</f>
        <v/>
      </c>
      <c r="I2441" s="7" t="n">
        <v>10000357</v>
      </c>
      <c r="J2441" s="7">
        <f>IFERROR(VLOOKUP(I2441,Materiales!$A:$H,8,0),"")</f>
        <v/>
      </c>
      <c r="K2441" s="9">
        <f>IFERROR(VLOOKUP(I2441,Materiales!$A:$G,7,0),"")</f>
        <v/>
      </c>
      <c r="L2441" s="8" t="inlineStr">
        <is>
          <t>20260224</t>
        </is>
      </c>
      <c r="M2441" s="8" t="inlineStr">
        <is>
          <t>99991231</t>
        </is>
      </c>
      <c r="N2441" s="10" t="n">
        <v>164</v>
      </c>
      <c r="O2441" s="10">
        <f>IFERROR(VLOOKUP(A2441,Flete!$A:$J,10,0),"")</f>
        <v/>
      </c>
      <c r="P2441" s="8" t="inlineStr">
        <is>
          <t>M3</t>
        </is>
      </c>
      <c r="Q2441" s="10">
        <f>IFERROR(IFERROR(VLOOKUP(A2441,TRAOPE!$A:$U,21,0),VLOOKUP(B2441,TRAOPE!$A:$U,21,0)),"")</f>
        <v/>
      </c>
      <c r="R2441" s="8">
        <f>IFERROR(IFERROR(VLOOKUP(A2441,TRAOPE!$A:$W,23,0),VLOOKUP(B2441,TRAOPE!$A:$W,23,0)),"")</f>
        <v/>
      </c>
      <c r="S2441" s="10">
        <f>IF(AND(P2441="TN",R2441="TN"),N2441+N(O2441),IF(G2441&amp;""="1",N(K2441)*N2441,(N2441+N(O2441))*N(K2441)))</f>
        <v/>
      </c>
      <c r="T2441" s="10">
        <f>IF(Q2441="","",Q2441-S2441)</f>
        <v/>
      </c>
    </row>
    <row r="2442">
      <c r="A2442" s="7">
        <f>CONCATENATE(C2442,E2442,F2442,I2442)</f>
        <v/>
      </c>
      <c r="B2442" s="7">
        <f>CONCATENATE(C2442,E2442,I2442)</f>
        <v/>
      </c>
      <c r="C2442" s="8" t="n">
        <v>900001074</v>
      </c>
      <c r="D2442" s="7">
        <f>IFERROR(VLOOKUP(C2442,TRAOPE!$G:$H,2,0),"")</f>
        <v/>
      </c>
      <c r="E2442" s="8" t="inlineStr">
        <is>
          <t>D836</t>
        </is>
      </c>
      <c r="F2442" s="8" t="inlineStr">
        <is>
          <t>67362127</t>
        </is>
      </c>
      <c r="G2442" s="8">
        <f>IFERROR(VLOOKUP(A2442,Flete!$A:$E,5,0),"")</f>
        <v/>
      </c>
      <c r="H2442" s="7">
        <f>IFERROR(VLOOKUP(F2442,TRAOPE!$AA:$AB,2,0),"")</f>
        <v/>
      </c>
      <c r="I2442" s="7" t="n">
        <v>10000627</v>
      </c>
      <c r="J2442" s="7">
        <f>IFERROR(VLOOKUP(I2442,Materiales!$A:$H,8,0),"")</f>
        <v/>
      </c>
      <c r="K2442" s="9">
        <f>IFERROR(VLOOKUP(I2442,Materiales!$A:$G,7,0),"")</f>
        <v/>
      </c>
      <c r="L2442" s="8" t="inlineStr">
        <is>
          <t>20260224</t>
        </is>
      </c>
      <c r="M2442" s="8" t="inlineStr">
        <is>
          <t>99991231</t>
        </is>
      </c>
      <c r="N2442" s="10" t="n">
        <v>136</v>
      </c>
      <c r="O2442" s="10">
        <f>IFERROR(VLOOKUP(A2442,Flete!$A:$J,10,0),"")</f>
        <v/>
      </c>
      <c r="P2442" s="8" t="inlineStr">
        <is>
          <t>M3</t>
        </is>
      </c>
      <c r="Q2442" s="10">
        <f>IFERROR(IFERROR(VLOOKUP(A2442,TRAOPE!$A:$U,21,0),VLOOKUP(B2442,TRAOPE!$A:$U,21,0)),"")</f>
        <v/>
      </c>
      <c r="R2442" s="8">
        <f>IFERROR(IFERROR(VLOOKUP(A2442,TRAOPE!$A:$W,23,0),VLOOKUP(B2442,TRAOPE!$A:$W,23,0)),"")</f>
        <v/>
      </c>
      <c r="S2442" s="10">
        <f>IF(AND(P2442="TN",R2442="TN"),N2442+N(O2442),IF(G2442&amp;""="1",N(K2442)*N2442,(N2442+N(O2442))*N(K2442)))</f>
        <v/>
      </c>
      <c r="T2442" s="10">
        <f>IF(Q2442="","",Q2442-S2442)</f>
        <v/>
      </c>
    </row>
    <row r="2443">
      <c r="A2443" s="7">
        <f>CONCATENATE(C2443,E2443,F2443,I2443)</f>
        <v/>
      </c>
      <c r="B2443" s="7">
        <f>CONCATENATE(C2443,E2443,I2443)</f>
        <v/>
      </c>
      <c r="C2443" s="8" t="n">
        <v>900001074</v>
      </c>
      <c r="D2443" s="7">
        <f>IFERROR(VLOOKUP(C2443,TRAOPE!$G:$H,2,0),"")</f>
        <v/>
      </c>
      <c r="E2443" s="8" t="inlineStr">
        <is>
          <t>D836</t>
        </is>
      </c>
      <c r="F2443" s="8" t="inlineStr">
        <is>
          <t>67362674</t>
        </is>
      </c>
      <c r="G2443" s="8">
        <f>IFERROR(VLOOKUP(A2443,Flete!$A:$E,5,0),"")</f>
        <v/>
      </c>
      <c r="H2443" s="7">
        <f>IFERROR(VLOOKUP(F2443,TRAOPE!$AA:$AB,2,0),"")</f>
        <v/>
      </c>
      <c r="I2443" s="7" t="n">
        <v>10000160</v>
      </c>
      <c r="J2443" s="7">
        <f>IFERROR(VLOOKUP(I2443,Materiales!$A:$H,8,0),"")</f>
        <v/>
      </c>
      <c r="K2443" s="9">
        <f>IFERROR(VLOOKUP(I2443,Materiales!$A:$G,7,0),"")</f>
        <v/>
      </c>
      <c r="L2443" s="8" t="inlineStr">
        <is>
          <t>20260224</t>
        </is>
      </c>
      <c r="M2443" s="8" t="inlineStr">
        <is>
          <t>99991231</t>
        </is>
      </c>
      <c r="N2443" s="10" t="n">
        <v>142</v>
      </c>
      <c r="O2443" s="10">
        <f>IFERROR(VLOOKUP(A2443,Flete!$A:$J,10,0),"")</f>
        <v/>
      </c>
      <c r="P2443" s="8" t="inlineStr">
        <is>
          <t>M3</t>
        </is>
      </c>
      <c r="Q2443" s="10">
        <f>IFERROR(IFERROR(VLOOKUP(A2443,TRAOPE!$A:$U,21,0),VLOOKUP(B2443,TRAOPE!$A:$U,21,0)),"")</f>
        <v/>
      </c>
      <c r="R2443" s="8">
        <f>IFERROR(IFERROR(VLOOKUP(A2443,TRAOPE!$A:$W,23,0),VLOOKUP(B2443,TRAOPE!$A:$W,23,0)),"")</f>
        <v/>
      </c>
      <c r="S2443" s="10">
        <f>IF(AND(P2443="TN",R2443="TN"),N2443+N(O2443),IF(G2443&amp;""="1",N(K2443)*N2443,(N2443+N(O2443))*N(K2443)))</f>
        <v/>
      </c>
      <c r="T2443" s="10">
        <f>IF(Q2443="","",Q2443-S2443)</f>
        <v/>
      </c>
    </row>
    <row r="2444">
      <c r="A2444" s="7">
        <f>CONCATENATE(C2444,E2444,F2444,I2444)</f>
        <v/>
      </c>
      <c r="B2444" s="7">
        <f>CONCATENATE(C2444,E2444,I2444)</f>
        <v/>
      </c>
      <c r="C2444" s="8" t="n">
        <v>900001074</v>
      </c>
      <c r="D2444" s="7">
        <f>IFERROR(VLOOKUP(C2444,TRAOPE!$G:$H,2,0),"")</f>
        <v/>
      </c>
      <c r="E2444" s="8" t="inlineStr">
        <is>
          <t>D836</t>
        </is>
      </c>
      <c r="F2444" s="8" t="inlineStr">
        <is>
          <t>67362674</t>
        </is>
      </c>
      <c r="G2444" s="8">
        <f>IFERROR(VLOOKUP(A2444,Flete!$A:$E,5,0),"")</f>
        <v/>
      </c>
      <c r="H2444" s="7">
        <f>IFERROR(VLOOKUP(F2444,TRAOPE!$AA:$AB,2,0),"")</f>
        <v/>
      </c>
      <c r="I2444" s="7" t="n">
        <v>10000357</v>
      </c>
      <c r="J2444" s="7">
        <f>IFERROR(VLOOKUP(I2444,Materiales!$A:$H,8,0),"")</f>
        <v/>
      </c>
      <c r="K2444" s="9">
        <f>IFERROR(VLOOKUP(I2444,Materiales!$A:$G,7,0),"")</f>
        <v/>
      </c>
      <c r="L2444" s="8" t="inlineStr">
        <is>
          <t>20260224</t>
        </is>
      </c>
      <c r="M2444" s="8" t="inlineStr">
        <is>
          <t>99991231</t>
        </is>
      </c>
      <c r="N2444" s="10" t="n">
        <v>170</v>
      </c>
      <c r="O2444" s="10">
        <f>IFERROR(VLOOKUP(A2444,Flete!$A:$J,10,0),"")</f>
        <v/>
      </c>
      <c r="P2444" s="8" t="inlineStr">
        <is>
          <t>M3</t>
        </is>
      </c>
      <c r="Q2444" s="10">
        <f>IFERROR(IFERROR(VLOOKUP(A2444,TRAOPE!$A:$U,21,0),VLOOKUP(B2444,TRAOPE!$A:$U,21,0)),"")</f>
        <v/>
      </c>
      <c r="R2444" s="8">
        <f>IFERROR(IFERROR(VLOOKUP(A2444,TRAOPE!$A:$W,23,0),VLOOKUP(B2444,TRAOPE!$A:$W,23,0)),"")</f>
        <v/>
      </c>
      <c r="S2444" s="10">
        <f>IF(AND(P2444="TN",R2444="TN"),N2444+N(O2444),IF(G2444&amp;""="1",N(K2444)*N2444,(N2444+N(O2444))*N(K2444)))</f>
        <v/>
      </c>
      <c r="T2444" s="10">
        <f>IF(Q2444="","",Q2444-S2444)</f>
        <v/>
      </c>
    </row>
    <row r="2445">
      <c r="A2445" s="7">
        <f>CONCATENATE(C2445,E2445,F2445,I2445)</f>
        <v/>
      </c>
      <c r="B2445" s="7">
        <f>CONCATENATE(C2445,E2445,I2445)</f>
        <v/>
      </c>
      <c r="C2445" s="8" t="n">
        <v>900001074</v>
      </c>
      <c r="D2445" s="7">
        <f>IFERROR(VLOOKUP(C2445,TRAOPE!$G:$H,2,0),"")</f>
        <v/>
      </c>
      <c r="E2445" s="8" t="inlineStr">
        <is>
          <t>D836</t>
        </is>
      </c>
      <c r="F2445" s="8" t="inlineStr">
        <is>
          <t>67362674</t>
        </is>
      </c>
      <c r="G2445" s="8">
        <f>IFERROR(VLOOKUP(A2445,Flete!$A:$E,5,0),"")</f>
        <v/>
      </c>
      <c r="H2445" s="7">
        <f>IFERROR(VLOOKUP(F2445,TRAOPE!$AA:$AB,2,0),"")</f>
        <v/>
      </c>
      <c r="I2445" s="7" t="n">
        <v>10000627</v>
      </c>
      <c r="J2445" s="7">
        <f>IFERROR(VLOOKUP(I2445,Materiales!$A:$H,8,0),"")</f>
        <v/>
      </c>
      <c r="K2445" s="9">
        <f>IFERROR(VLOOKUP(I2445,Materiales!$A:$G,7,0),"")</f>
        <v/>
      </c>
      <c r="L2445" s="8" t="inlineStr">
        <is>
          <t>20260224</t>
        </is>
      </c>
      <c r="M2445" s="8" t="inlineStr">
        <is>
          <t>99991231</t>
        </is>
      </c>
      <c r="N2445" s="10" t="n">
        <v>142</v>
      </c>
      <c r="O2445" s="10">
        <f>IFERROR(VLOOKUP(A2445,Flete!$A:$J,10,0),"")</f>
        <v/>
      </c>
      <c r="P2445" s="8" t="inlineStr">
        <is>
          <t>M3</t>
        </is>
      </c>
      <c r="Q2445" s="10">
        <f>IFERROR(IFERROR(VLOOKUP(A2445,TRAOPE!$A:$U,21,0),VLOOKUP(B2445,TRAOPE!$A:$U,21,0)),"")</f>
        <v/>
      </c>
      <c r="R2445" s="8">
        <f>IFERROR(IFERROR(VLOOKUP(A2445,TRAOPE!$A:$W,23,0),VLOOKUP(B2445,TRAOPE!$A:$W,23,0)),"")</f>
        <v/>
      </c>
      <c r="S2445" s="10">
        <f>IF(AND(P2445="TN",R2445="TN"),N2445+N(O2445),IF(G2445&amp;""="1",N(K2445)*N2445,(N2445+N(O2445))*N(K2445)))</f>
        <v/>
      </c>
      <c r="T2445" s="10">
        <f>IF(Q2445="","",Q2445-S2445)</f>
        <v/>
      </c>
    </row>
    <row r="2446">
      <c r="A2446" s="7">
        <f>CONCATENATE(C2446,E2446,F2446,I2446)</f>
        <v/>
      </c>
      <c r="B2446" s="7">
        <f>CONCATENATE(C2446,E2446,I2446)</f>
        <v/>
      </c>
      <c r="C2446" s="8" t="n">
        <v>900001074</v>
      </c>
      <c r="D2446" s="7">
        <f>IFERROR(VLOOKUP(C2446,TRAOPE!$G:$H,2,0),"")</f>
        <v/>
      </c>
      <c r="E2446" s="8" t="inlineStr">
        <is>
          <t>D836</t>
        </is>
      </c>
      <c r="F2446" s="8" t="inlineStr">
        <is>
          <t>67364131</t>
        </is>
      </c>
      <c r="G2446" s="8">
        <f>IFERROR(VLOOKUP(A2446,Flete!$A:$E,5,0),"")</f>
        <v/>
      </c>
      <c r="H2446" s="7">
        <f>IFERROR(VLOOKUP(F2446,TRAOPE!$AA:$AB,2,0),"")</f>
        <v/>
      </c>
      <c r="I2446" s="7" t="n">
        <v>10000160</v>
      </c>
      <c r="J2446" s="7">
        <f>IFERROR(VLOOKUP(I2446,Materiales!$A:$H,8,0),"")</f>
        <v/>
      </c>
      <c r="K2446" s="9">
        <f>IFERROR(VLOOKUP(I2446,Materiales!$A:$G,7,0),"")</f>
        <v/>
      </c>
      <c r="L2446" s="8" t="inlineStr">
        <is>
          <t>20260319</t>
        </is>
      </c>
      <c r="M2446" s="8" t="inlineStr">
        <is>
          <t>99991231</t>
        </is>
      </c>
      <c r="N2446" s="10" t="n">
        <v>124</v>
      </c>
      <c r="O2446" s="10">
        <f>IFERROR(VLOOKUP(A2446,Flete!$A:$J,10,0),"")</f>
        <v/>
      </c>
      <c r="P2446" s="8" t="inlineStr">
        <is>
          <t>M3</t>
        </is>
      </c>
      <c r="Q2446" s="10">
        <f>IFERROR(IFERROR(VLOOKUP(A2446,TRAOPE!$A:$U,21,0),VLOOKUP(B2446,TRAOPE!$A:$U,21,0)),"")</f>
        <v/>
      </c>
      <c r="R2446" s="8">
        <f>IFERROR(IFERROR(VLOOKUP(A2446,TRAOPE!$A:$W,23,0),VLOOKUP(B2446,TRAOPE!$A:$W,23,0)),"")</f>
        <v/>
      </c>
      <c r="S2446" s="10">
        <f>IF(AND(P2446="TN",R2446="TN"),N2446+N(O2446),IF(G2446&amp;""="1",N(K2446)*N2446,(N2446+N(O2446))*N(K2446)))</f>
        <v/>
      </c>
      <c r="T2446" s="10">
        <f>IF(Q2446="","",Q2446-S2446)</f>
        <v/>
      </c>
    </row>
    <row r="2447">
      <c r="A2447" s="7">
        <f>CONCATENATE(C2447,E2447,F2447,I2447)</f>
        <v/>
      </c>
      <c r="B2447" s="7">
        <f>CONCATENATE(C2447,E2447,I2447)</f>
        <v/>
      </c>
      <c r="C2447" s="8" t="n">
        <v>900001074</v>
      </c>
      <c r="D2447" s="7">
        <f>IFERROR(VLOOKUP(C2447,TRAOPE!$G:$H,2,0),"")</f>
        <v/>
      </c>
      <c r="E2447" s="8" t="inlineStr">
        <is>
          <t>D836</t>
        </is>
      </c>
      <c r="F2447" s="8" t="inlineStr">
        <is>
          <t>67364131</t>
        </is>
      </c>
      <c r="G2447" s="8">
        <f>IFERROR(VLOOKUP(A2447,Flete!$A:$E,5,0),"")</f>
        <v/>
      </c>
      <c r="H2447" s="7">
        <f>IFERROR(VLOOKUP(F2447,TRAOPE!$AA:$AB,2,0),"")</f>
        <v/>
      </c>
      <c r="I2447" s="7" t="n">
        <v>10000357</v>
      </c>
      <c r="J2447" s="7">
        <f>IFERROR(VLOOKUP(I2447,Materiales!$A:$H,8,0),"")</f>
        <v/>
      </c>
      <c r="K2447" s="9">
        <f>IFERROR(VLOOKUP(I2447,Materiales!$A:$G,7,0),"")</f>
        <v/>
      </c>
      <c r="L2447" s="8" t="inlineStr">
        <is>
          <t>20260319</t>
        </is>
      </c>
      <c r="M2447" s="8" t="inlineStr">
        <is>
          <t>99991231</t>
        </is>
      </c>
      <c r="N2447" s="10" t="n">
        <v>148</v>
      </c>
      <c r="O2447" s="10">
        <f>IFERROR(VLOOKUP(A2447,Flete!$A:$J,10,0),"")</f>
        <v/>
      </c>
      <c r="P2447" s="8" t="inlineStr">
        <is>
          <t>M3</t>
        </is>
      </c>
      <c r="Q2447" s="10">
        <f>IFERROR(IFERROR(VLOOKUP(A2447,TRAOPE!$A:$U,21,0),VLOOKUP(B2447,TRAOPE!$A:$U,21,0)),"")</f>
        <v/>
      </c>
      <c r="R2447" s="8">
        <f>IFERROR(IFERROR(VLOOKUP(A2447,TRAOPE!$A:$W,23,0),VLOOKUP(B2447,TRAOPE!$A:$W,23,0)),"")</f>
        <v/>
      </c>
      <c r="S2447" s="10">
        <f>IF(AND(P2447="TN",R2447="TN"),N2447+N(O2447),IF(G2447&amp;""="1",N(K2447)*N2447,(N2447+N(O2447))*N(K2447)))</f>
        <v/>
      </c>
      <c r="T2447" s="10">
        <f>IF(Q2447="","",Q2447-S2447)</f>
        <v/>
      </c>
    </row>
    <row r="2448">
      <c r="A2448" s="7">
        <f>CONCATENATE(C2448,E2448,F2448,I2448)</f>
        <v/>
      </c>
      <c r="B2448" s="7">
        <f>CONCATENATE(C2448,E2448,I2448)</f>
        <v/>
      </c>
      <c r="C2448" s="8" t="n">
        <v>900002574</v>
      </c>
      <c r="D2448" s="7">
        <f>IFERROR(VLOOKUP(C2448,TRAOPE!$G:$H,2,0),"")</f>
        <v/>
      </c>
      <c r="E2448" s="8" t="inlineStr">
        <is>
          <t>D836</t>
        </is>
      </c>
      <c r="F2448" s="8" t="inlineStr">
        <is>
          <t>67327745</t>
        </is>
      </c>
      <c r="G2448" s="8">
        <f>IFERROR(VLOOKUP(A2448,Flete!$A:$E,5,0),"")</f>
        <v/>
      </c>
      <c r="H2448" s="7">
        <f>IFERROR(VLOOKUP(F2448,TRAOPE!$AA:$AB,2,0),"")</f>
        <v/>
      </c>
      <c r="I2448" s="7" t="n">
        <v>10000133</v>
      </c>
      <c r="J2448" s="7">
        <f>IFERROR(VLOOKUP(I2448,Materiales!$A:$H,8,0),"")</f>
        <v/>
      </c>
      <c r="K2448" s="9">
        <f>IFERROR(VLOOKUP(I2448,Materiales!$A:$G,7,0),"")</f>
        <v/>
      </c>
      <c r="L2448" s="8" t="inlineStr">
        <is>
          <t>20250626</t>
        </is>
      </c>
      <c r="M2448" s="8" t="inlineStr">
        <is>
          <t>99991231</t>
        </is>
      </c>
      <c r="N2448" s="10" t="n">
        <v>566.84</v>
      </c>
      <c r="O2448" s="10">
        <f>IFERROR(VLOOKUP(A2448,Flete!$A:$J,10,0),"")</f>
        <v/>
      </c>
      <c r="P2448" s="8" t="inlineStr">
        <is>
          <t>M3</t>
        </is>
      </c>
      <c r="Q2448" s="10">
        <f>IFERROR(IFERROR(VLOOKUP(A2448,TRAOPE!$A:$U,21,0),VLOOKUP(B2448,TRAOPE!$A:$U,21,0)),"")</f>
        <v/>
      </c>
      <c r="R2448" s="8">
        <f>IFERROR(IFERROR(VLOOKUP(A2448,TRAOPE!$A:$W,23,0),VLOOKUP(B2448,TRAOPE!$A:$W,23,0)),"")</f>
        <v/>
      </c>
      <c r="S2448" s="10">
        <f>IF(AND(P2448="TN",R2448="TN"),N2448+N(O2448),IF(G2448&amp;""="1",N(K2448)*N2448,(N2448+N(O2448))*N(K2448)))</f>
        <v/>
      </c>
      <c r="T2448" s="10">
        <f>IF(Q2448="","",Q2448-S2448)</f>
        <v/>
      </c>
    </row>
    <row r="2449">
      <c r="A2449" s="7">
        <f>CONCATENATE(C2449,E2449,F2449,I2449)</f>
        <v/>
      </c>
      <c r="B2449" s="7">
        <f>CONCATENATE(C2449,E2449,I2449)</f>
        <v/>
      </c>
      <c r="C2449" s="8" t="n">
        <v>900002574</v>
      </c>
      <c r="D2449" s="7">
        <f>IFERROR(VLOOKUP(C2449,TRAOPE!$G:$H,2,0),"")</f>
        <v/>
      </c>
      <c r="E2449" s="8" t="inlineStr">
        <is>
          <t>D836</t>
        </is>
      </c>
      <c r="F2449" s="8" t="inlineStr">
        <is>
          <t>67327745</t>
        </is>
      </c>
      <c r="G2449" s="8">
        <f>IFERROR(VLOOKUP(A2449,Flete!$A:$E,5,0),"")</f>
        <v/>
      </c>
      <c r="H2449" s="7">
        <f>IFERROR(VLOOKUP(F2449,TRAOPE!$AA:$AB,2,0),"")</f>
        <v/>
      </c>
      <c r="I2449" s="7" t="n">
        <v>10000623</v>
      </c>
      <c r="J2449" s="7">
        <f>IFERROR(VLOOKUP(I2449,Materiales!$A:$H,8,0),"")</f>
        <v/>
      </c>
      <c r="K2449" s="9">
        <f>IFERROR(VLOOKUP(I2449,Materiales!$A:$G,7,0),"")</f>
        <v/>
      </c>
      <c r="L2449" s="8" t="inlineStr">
        <is>
          <t>20260401</t>
        </is>
      </c>
      <c r="M2449" s="8" t="inlineStr">
        <is>
          <t>99991231</t>
        </is>
      </c>
      <c r="N2449" s="10" t="n">
        <v>397.5</v>
      </c>
      <c r="O2449" s="10">
        <f>IFERROR(VLOOKUP(A2449,Flete!$A:$J,10,0),"")</f>
        <v/>
      </c>
      <c r="P2449" s="8" t="inlineStr">
        <is>
          <t>M3</t>
        </is>
      </c>
      <c r="Q2449" s="10">
        <f>IFERROR(IFERROR(VLOOKUP(A2449,TRAOPE!$A:$U,21,0),VLOOKUP(B2449,TRAOPE!$A:$U,21,0)),"")</f>
        <v/>
      </c>
      <c r="R2449" s="8">
        <f>IFERROR(IFERROR(VLOOKUP(A2449,TRAOPE!$A:$W,23,0),VLOOKUP(B2449,TRAOPE!$A:$W,23,0)),"")</f>
        <v/>
      </c>
      <c r="S2449" s="10">
        <f>IF(AND(P2449="TN",R2449="TN"),N2449+N(O2449),IF(G2449&amp;""="1",N(K2449)*N2449,(N2449+N(O2449))*N(K2449)))</f>
        <v/>
      </c>
      <c r="T2449" s="10">
        <f>IF(Q2449="","",Q2449-S2449)</f>
        <v/>
      </c>
    </row>
    <row r="2450">
      <c r="A2450" s="7">
        <f>CONCATENATE(C2450,E2450,F2450,I2450)</f>
        <v/>
      </c>
      <c r="B2450" s="7">
        <f>CONCATENATE(C2450,E2450,I2450)</f>
        <v/>
      </c>
      <c r="C2450" s="8" t="n">
        <v>900002574</v>
      </c>
      <c r="D2450" s="7">
        <f>IFERROR(VLOOKUP(C2450,TRAOPE!$G:$H,2,0),"")</f>
        <v/>
      </c>
      <c r="E2450" s="8" t="inlineStr">
        <is>
          <t>D836</t>
        </is>
      </c>
      <c r="F2450" s="8" t="inlineStr">
        <is>
          <t>67340392</t>
        </is>
      </c>
      <c r="G2450" s="8">
        <f>IFERROR(VLOOKUP(A2450,Flete!$A:$E,5,0),"")</f>
        <v/>
      </c>
      <c r="H2450" s="7">
        <f>IFERROR(VLOOKUP(F2450,TRAOPE!$AA:$AB,2,0),"")</f>
        <v/>
      </c>
      <c r="I2450" s="7" t="n">
        <v>10058345</v>
      </c>
      <c r="J2450" s="7">
        <f>IFERROR(VLOOKUP(I2450,Materiales!$A:$H,8,0),"")</f>
        <v/>
      </c>
      <c r="K2450" s="9">
        <f>IFERROR(VLOOKUP(I2450,Materiales!$A:$G,7,0),"")</f>
        <v/>
      </c>
      <c r="L2450" s="8" t="inlineStr">
        <is>
          <t>20250925</t>
        </is>
      </c>
      <c r="M2450" s="8" t="inlineStr">
        <is>
          <t>99991231</t>
        </is>
      </c>
      <c r="N2450" s="10" t="n">
        <v>1185.34</v>
      </c>
      <c r="O2450" s="10">
        <f>IFERROR(VLOOKUP(A2450,Flete!$A:$J,10,0),"")</f>
        <v/>
      </c>
      <c r="P2450" s="8" t="inlineStr">
        <is>
          <t>TN</t>
        </is>
      </c>
      <c r="Q2450" s="10">
        <f>IFERROR(IFERROR(VLOOKUP(A2450,TRAOPE!$A:$U,21,0),VLOOKUP(B2450,TRAOPE!$A:$U,21,0)),"")</f>
        <v/>
      </c>
      <c r="R2450" s="8">
        <f>IFERROR(IFERROR(VLOOKUP(A2450,TRAOPE!$A:$W,23,0),VLOOKUP(B2450,TRAOPE!$A:$W,23,0)),"")</f>
        <v/>
      </c>
      <c r="S2450" s="10">
        <f>IF(AND(P2450="TN",R2450="TN"),N2450+N(O2450),IF(G2450&amp;""="1",N(K2450)*N2450,(N2450+N(O2450))*N(K2450)))</f>
        <v/>
      </c>
      <c r="T2450" s="10">
        <f>IF(Q2450="","",Q2450-S2450)</f>
        <v/>
      </c>
    </row>
    <row r="2451">
      <c r="A2451" s="7">
        <f>CONCATENATE(C2451,E2451,F2451,I2451)</f>
        <v/>
      </c>
      <c r="B2451" s="7">
        <f>CONCATENATE(C2451,E2451,I2451)</f>
        <v/>
      </c>
      <c r="C2451" s="8" t="n">
        <v>900002574</v>
      </c>
      <c r="D2451" s="7">
        <f>IFERROR(VLOOKUP(C2451,TRAOPE!$G:$H,2,0),"")</f>
        <v/>
      </c>
      <c r="E2451" s="8" t="inlineStr">
        <is>
          <t>D836</t>
        </is>
      </c>
      <c r="F2451" s="8" t="inlineStr">
        <is>
          <t>67344761</t>
        </is>
      </c>
      <c r="G2451" s="8">
        <f>IFERROR(VLOOKUP(A2451,Flete!$A:$E,5,0),"")</f>
        <v/>
      </c>
      <c r="H2451" s="7">
        <f>IFERROR(VLOOKUP(F2451,TRAOPE!$AA:$AB,2,0),"")</f>
        <v/>
      </c>
      <c r="I2451" s="7" t="n">
        <v>10000623</v>
      </c>
      <c r="J2451" s="7">
        <f>IFERROR(VLOOKUP(I2451,Materiales!$A:$H,8,0),"")</f>
        <v/>
      </c>
      <c r="K2451" s="9">
        <f>IFERROR(VLOOKUP(I2451,Materiales!$A:$G,7,0),"")</f>
        <v/>
      </c>
      <c r="L2451" s="8" t="inlineStr">
        <is>
          <t>20251020</t>
        </is>
      </c>
      <c r="M2451" s="8" t="inlineStr">
        <is>
          <t>99991231</t>
        </is>
      </c>
      <c r="N2451" s="10" t="n">
        <v>500</v>
      </c>
      <c r="O2451" s="10">
        <f>IFERROR(VLOOKUP(A2451,Flete!$A:$J,10,0),"")</f>
        <v/>
      </c>
      <c r="P2451" s="8" t="inlineStr">
        <is>
          <t>M3</t>
        </is>
      </c>
      <c r="Q2451" s="10">
        <f>IFERROR(IFERROR(VLOOKUP(A2451,TRAOPE!$A:$U,21,0),VLOOKUP(B2451,TRAOPE!$A:$U,21,0)),"")</f>
        <v/>
      </c>
      <c r="R2451" s="8">
        <f>IFERROR(IFERROR(VLOOKUP(A2451,TRAOPE!$A:$W,23,0),VLOOKUP(B2451,TRAOPE!$A:$W,23,0)),"")</f>
        <v/>
      </c>
      <c r="S2451" s="10">
        <f>IF(AND(P2451="TN",R2451="TN"),N2451+N(O2451),IF(G2451&amp;""="1",N(K2451)*N2451,(N2451+N(O2451))*N(K2451)))</f>
        <v/>
      </c>
      <c r="T2451" s="10">
        <f>IF(Q2451="","",Q2451-S2451)</f>
        <v/>
      </c>
    </row>
    <row r="2452">
      <c r="A2452" s="7">
        <f>CONCATENATE(C2452,E2452,F2452,I2452)</f>
        <v/>
      </c>
      <c r="B2452" s="7">
        <f>CONCATENATE(C2452,E2452,I2452)</f>
        <v/>
      </c>
      <c r="C2452" s="8" t="n">
        <v>900002574</v>
      </c>
      <c r="D2452" s="7">
        <f>IFERROR(VLOOKUP(C2452,TRAOPE!$G:$H,2,0),"")</f>
        <v/>
      </c>
      <c r="E2452" s="8" t="inlineStr">
        <is>
          <t>D836</t>
        </is>
      </c>
      <c r="F2452" s="8" t="inlineStr">
        <is>
          <t>67364255</t>
        </is>
      </c>
      <c r="G2452" s="8">
        <f>IFERROR(VLOOKUP(A2452,Flete!$A:$E,5,0),"")</f>
        <v/>
      </c>
      <c r="H2452" s="7">
        <f>IFERROR(VLOOKUP(F2452,TRAOPE!$AA:$AB,2,0),"")</f>
        <v/>
      </c>
      <c r="I2452" s="7" t="n">
        <v>10002802</v>
      </c>
      <c r="J2452" s="7">
        <f>IFERROR(VLOOKUP(I2452,Materiales!$A:$H,8,0),"")</f>
        <v/>
      </c>
      <c r="K2452" s="9">
        <f>IFERROR(VLOOKUP(I2452,Materiales!$A:$G,7,0),"")</f>
        <v/>
      </c>
      <c r="L2452" s="8" t="inlineStr">
        <is>
          <t>20260205</t>
        </is>
      </c>
      <c r="M2452" s="8" t="inlineStr">
        <is>
          <t>99991231</t>
        </is>
      </c>
      <c r="N2452" s="10" t="n">
        <v>261.15</v>
      </c>
      <c r="O2452" s="10">
        <f>IFERROR(VLOOKUP(A2452,Flete!$A:$J,10,0),"")</f>
        <v/>
      </c>
      <c r="P2452" s="8" t="inlineStr">
        <is>
          <t>M3</t>
        </is>
      </c>
      <c r="Q2452" s="10">
        <f>IFERROR(IFERROR(VLOOKUP(A2452,TRAOPE!$A:$U,21,0),VLOOKUP(B2452,TRAOPE!$A:$U,21,0)),"")</f>
        <v/>
      </c>
      <c r="R2452" s="8">
        <f>IFERROR(IFERROR(VLOOKUP(A2452,TRAOPE!$A:$W,23,0),VLOOKUP(B2452,TRAOPE!$A:$W,23,0)),"")</f>
        <v/>
      </c>
      <c r="S2452" s="10">
        <f>IF(AND(P2452="TN",R2452="TN"),N2452+N(O2452),IF(G2452&amp;""="1",N(K2452)*N2452,(N2452+N(O2452))*N(K2452)))</f>
        <v/>
      </c>
      <c r="T2452" s="10">
        <f>IF(Q2452="","",Q2452-S2452)</f>
        <v/>
      </c>
    </row>
    <row r="2453">
      <c r="A2453" s="7">
        <f>CONCATENATE(C2453,E2453,F2453,I2453)</f>
        <v/>
      </c>
      <c r="B2453" s="7">
        <f>CONCATENATE(C2453,E2453,I2453)</f>
        <v/>
      </c>
      <c r="C2453" s="8" t="n">
        <v>900003496</v>
      </c>
      <c r="D2453" s="7">
        <f>IFERROR(VLOOKUP(C2453,TRAOPE!$G:$H,2,0),"")</f>
        <v/>
      </c>
      <c r="E2453" s="8" t="inlineStr">
        <is>
          <t>D836</t>
        </is>
      </c>
      <c r="F2453" s="8" t="inlineStr">
        <is>
          <t>67243408</t>
        </is>
      </c>
      <c r="G2453" s="8">
        <f>IFERROR(VLOOKUP(A2453,Flete!$A:$E,5,0),"")</f>
        <v/>
      </c>
      <c r="H2453" s="7">
        <f>IFERROR(VLOOKUP(F2453,TRAOPE!$AA:$AB,2,0),"")</f>
        <v/>
      </c>
      <c r="I2453" s="7" t="n">
        <v>10000635</v>
      </c>
      <c r="J2453" s="7">
        <f>IFERROR(VLOOKUP(I2453,Materiales!$A:$H,8,0),"")</f>
        <v/>
      </c>
      <c r="K2453" s="9">
        <f>IFERROR(VLOOKUP(I2453,Materiales!$A:$G,7,0),"")</f>
        <v/>
      </c>
      <c r="L2453" s="8" t="inlineStr">
        <is>
          <t>20251022</t>
        </is>
      </c>
      <c r="M2453" s="8" t="inlineStr">
        <is>
          <t>99991231</t>
        </is>
      </c>
      <c r="N2453" s="10" t="n">
        <v>628.9299999999999</v>
      </c>
      <c r="O2453" s="10">
        <f>IFERROR(VLOOKUP(A2453,Flete!$A:$J,10,0),"")</f>
        <v/>
      </c>
      <c r="P2453" s="8" t="inlineStr">
        <is>
          <t>TN</t>
        </is>
      </c>
      <c r="Q2453" s="10">
        <f>IFERROR(IFERROR(VLOOKUP(A2453,TRAOPE!$A:$U,21,0),VLOOKUP(B2453,TRAOPE!$A:$U,21,0)),"")</f>
        <v/>
      </c>
      <c r="R2453" s="8">
        <f>IFERROR(IFERROR(VLOOKUP(A2453,TRAOPE!$A:$W,23,0),VLOOKUP(B2453,TRAOPE!$A:$W,23,0)),"")</f>
        <v/>
      </c>
      <c r="S2453" s="10">
        <f>IF(AND(P2453="TN",R2453="TN"),N2453+N(O2453),IF(G2453&amp;""="1",N(K2453)*N2453,(N2453+N(O2453))*N(K2453)))</f>
        <v/>
      </c>
      <c r="T2453" s="10">
        <f>IF(Q2453="","",Q2453-S2453)</f>
        <v/>
      </c>
    </row>
    <row r="2454">
      <c r="A2454" s="7">
        <f>CONCATENATE(C2454,E2454,F2454,I2454)</f>
        <v/>
      </c>
      <c r="B2454" s="7">
        <f>CONCATENATE(C2454,E2454,I2454)</f>
        <v/>
      </c>
      <c r="C2454" s="8" t="n">
        <v>900003496</v>
      </c>
      <c r="D2454" s="7">
        <f>IFERROR(VLOOKUP(C2454,TRAOPE!$G:$H,2,0),"")</f>
        <v/>
      </c>
      <c r="E2454" s="8" t="inlineStr">
        <is>
          <t>D836</t>
        </is>
      </c>
      <c r="F2454" s="8" t="inlineStr">
        <is>
          <t>67243408</t>
        </is>
      </c>
      <c r="G2454" s="8">
        <f>IFERROR(VLOOKUP(A2454,Flete!$A:$E,5,0),"")</f>
        <v/>
      </c>
      <c r="H2454" s="7">
        <f>IFERROR(VLOOKUP(F2454,TRAOPE!$AA:$AB,2,0),"")</f>
        <v/>
      </c>
      <c r="I2454" s="7" t="n">
        <v>10000643</v>
      </c>
      <c r="J2454" s="7">
        <f>IFERROR(VLOOKUP(I2454,Materiales!$A:$H,8,0),"")</f>
        <v/>
      </c>
      <c r="K2454" s="9">
        <f>IFERROR(VLOOKUP(I2454,Materiales!$A:$G,7,0),"")</f>
        <v/>
      </c>
      <c r="L2454" s="8" t="inlineStr">
        <is>
          <t>20251022</t>
        </is>
      </c>
      <c r="M2454" s="8" t="inlineStr">
        <is>
          <t>99991231</t>
        </is>
      </c>
      <c r="N2454" s="10" t="n">
        <v>628.9299999999999</v>
      </c>
      <c r="O2454" s="10">
        <f>IFERROR(VLOOKUP(A2454,Flete!$A:$J,10,0),"")</f>
        <v/>
      </c>
      <c r="P2454" s="8" t="inlineStr">
        <is>
          <t>TN</t>
        </is>
      </c>
      <c r="Q2454" s="10">
        <f>IFERROR(IFERROR(VLOOKUP(A2454,TRAOPE!$A:$U,21,0),VLOOKUP(B2454,TRAOPE!$A:$U,21,0)),"")</f>
        <v/>
      </c>
      <c r="R2454" s="8">
        <f>IFERROR(IFERROR(VLOOKUP(A2454,TRAOPE!$A:$W,23,0),VLOOKUP(B2454,TRAOPE!$A:$W,23,0)),"")</f>
        <v/>
      </c>
      <c r="S2454" s="10">
        <f>IF(AND(P2454="TN",R2454="TN"),N2454+N(O2454),IF(G2454&amp;""="1",N(K2454)*N2454,(N2454+N(O2454))*N(K2454)))</f>
        <v/>
      </c>
      <c r="T2454" s="10">
        <f>IF(Q2454="","",Q2454-S2454)</f>
        <v/>
      </c>
    </row>
    <row r="2455">
      <c r="A2455" s="7">
        <f>CONCATENATE(C2455,E2455,F2455,I2455)</f>
        <v/>
      </c>
      <c r="B2455" s="7">
        <f>CONCATENATE(C2455,E2455,I2455)</f>
        <v/>
      </c>
      <c r="C2455" s="8" t="n">
        <v>900003496</v>
      </c>
      <c r="D2455" s="7">
        <f>IFERROR(VLOOKUP(C2455,TRAOPE!$G:$H,2,0),"")</f>
        <v/>
      </c>
      <c r="E2455" s="8" t="inlineStr">
        <is>
          <t>D836</t>
        </is>
      </c>
      <c r="F2455" s="8" t="inlineStr">
        <is>
          <t>67243408</t>
        </is>
      </c>
      <c r="G2455" s="8">
        <f>IFERROR(VLOOKUP(A2455,Flete!$A:$E,5,0),"")</f>
        <v/>
      </c>
      <c r="H2455" s="7">
        <f>IFERROR(VLOOKUP(F2455,TRAOPE!$AA:$AB,2,0),"")</f>
        <v/>
      </c>
      <c r="I2455" s="7" t="n">
        <v>10000655</v>
      </c>
      <c r="J2455" s="7">
        <f>IFERROR(VLOOKUP(I2455,Materiales!$A:$H,8,0),"")</f>
        <v/>
      </c>
      <c r="K2455" s="9">
        <f>IFERROR(VLOOKUP(I2455,Materiales!$A:$G,7,0),"")</f>
        <v/>
      </c>
      <c r="L2455" s="8" t="inlineStr">
        <is>
          <t>20250923</t>
        </is>
      </c>
      <c r="M2455" s="8" t="inlineStr">
        <is>
          <t>99991231</t>
        </is>
      </c>
      <c r="N2455" s="10" t="n">
        <v>628.9299999999999</v>
      </c>
      <c r="O2455" s="10">
        <f>IFERROR(VLOOKUP(A2455,Flete!$A:$J,10,0),"")</f>
        <v/>
      </c>
      <c r="P2455" s="8" t="inlineStr">
        <is>
          <t>TN</t>
        </is>
      </c>
      <c r="Q2455" s="10">
        <f>IFERROR(IFERROR(VLOOKUP(A2455,TRAOPE!$A:$U,21,0),VLOOKUP(B2455,TRAOPE!$A:$U,21,0)),"")</f>
        <v/>
      </c>
      <c r="R2455" s="8">
        <f>IFERROR(IFERROR(VLOOKUP(A2455,TRAOPE!$A:$W,23,0),VLOOKUP(B2455,TRAOPE!$A:$W,23,0)),"")</f>
        <v/>
      </c>
      <c r="S2455" s="10">
        <f>IF(AND(P2455="TN",R2455="TN"),N2455+N(O2455),IF(G2455&amp;""="1",N(K2455)*N2455,(N2455+N(O2455))*N(K2455)))</f>
        <v/>
      </c>
      <c r="T2455" s="10">
        <f>IF(Q2455="","",Q2455-S2455)</f>
        <v/>
      </c>
    </row>
    <row r="2456">
      <c r="A2456" s="7">
        <f>CONCATENATE(C2456,E2456,F2456,I2456)</f>
        <v/>
      </c>
      <c r="B2456" s="7">
        <f>CONCATENATE(C2456,E2456,I2456)</f>
        <v/>
      </c>
      <c r="C2456" s="8" t="n">
        <v>900003588</v>
      </c>
      <c r="D2456" s="7">
        <f>IFERROR(VLOOKUP(C2456,TRAOPE!$G:$H,2,0),"")</f>
        <v/>
      </c>
      <c r="E2456" s="8" t="inlineStr">
        <is>
          <t>D836</t>
        </is>
      </c>
      <c r="F2456" s="8" t="inlineStr">
        <is>
          <t>65908426</t>
        </is>
      </c>
      <c r="G2456" s="8">
        <f>IFERROR(VLOOKUP(A2456,Flete!$A:$E,5,0),"")</f>
        <v/>
      </c>
      <c r="H2456" s="7">
        <f>IFERROR(VLOOKUP(F2456,TRAOPE!$AA:$AB,2,0),"")</f>
        <v/>
      </c>
      <c r="I2456" s="7" t="n">
        <v>10000625</v>
      </c>
      <c r="J2456" s="7">
        <f>IFERROR(VLOOKUP(I2456,Materiales!$A:$H,8,0),"")</f>
        <v/>
      </c>
      <c r="K2456" s="9">
        <f>IFERROR(VLOOKUP(I2456,Materiales!$A:$G,7,0),"")</f>
        <v/>
      </c>
      <c r="L2456" s="8" t="inlineStr">
        <is>
          <t>20250320</t>
        </is>
      </c>
      <c r="M2456" s="8" t="inlineStr">
        <is>
          <t>99991231</t>
        </is>
      </c>
      <c r="N2456" s="10" t="n">
        <v>64</v>
      </c>
      <c r="O2456" s="10">
        <f>IFERROR(VLOOKUP(A2456,Flete!$A:$J,10,0),"")</f>
        <v/>
      </c>
      <c r="P2456" s="8" t="inlineStr">
        <is>
          <t>TN</t>
        </is>
      </c>
      <c r="Q2456" s="10">
        <f>IFERROR(IFERROR(VLOOKUP(A2456,TRAOPE!$A:$U,21,0),VLOOKUP(B2456,TRAOPE!$A:$U,21,0)),"")</f>
        <v/>
      </c>
      <c r="R2456" s="8">
        <f>IFERROR(IFERROR(VLOOKUP(A2456,TRAOPE!$A:$W,23,0),VLOOKUP(B2456,TRAOPE!$A:$W,23,0)),"")</f>
        <v/>
      </c>
      <c r="S2456" s="10">
        <f>IF(AND(P2456="TN",R2456="TN"),N2456+N(O2456),IF(G2456&amp;""="1",N(K2456)*N2456,(N2456+N(O2456))*N(K2456)))</f>
        <v/>
      </c>
      <c r="T2456" s="10">
        <f>IF(Q2456="","",Q2456-S2456)</f>
        <v/>
      </c>
    </row>
    <row r="2457">
      <c r="A2457" s="7">
        <f>CONCATENATE(C2457,E2457,F2457,I2457)</f>
        <v/>
      </c>
      <c r="B2457" s="7">
        <f>CONCATENATE(C2457,E2457,I2457)</f>
        <v/>
      </c>
      <c r="C2457" s="8" t="n">
        <v>900003588</v>
      </c>
      <c r="D2457" s="7">
        <f>IFERROR(VLOOKUP(C2457,TRAOPE!$G:$H,2,0),"")</f>
        <v/>
      </c>
      <c r="E2457" s="8" t="inlineStr">
        <is>
          <t>D836</t>
        </is>
      </c>
      <c r="F2457" s="8" t="inlineStr">
        <is>
          <t>66237142</t>
        </is>
      </c>
      <c r="G2457" s="8">
        <f>IFERROR(VLOOKUP(A2457,Flete!$A:$E,5,0),"")</f>
        <v/>
      </c>
      <c r="H2457" s="7">
        <f>IFERROR(VLOOKUP(F2457,TRAOPE!$AA:$AB,2,0),"")</f>
        <v/>
      </c>
      <c r="I2457" s="7" t="n">
        <v>10000627</v>
      </c>
      <c r="J2457" s="7">
        <f>IFERROR(VLOOKUP(I2457,Materiales!$A:$H,8,0),"")</f>
        <v/>
      </c>
      <c r="K2457" s="9">
        <f>IFERROR(VLOOKUP(I2457,Materiales!$A:$G,7,0),"")</f>
        <v/>
      </c>
      <c r="L2457" s="8" t="inlineStr">
        <is>
          <t>20240619</t>
        </is>
      </c>
      <c r="M2457" s="8" t="inlineStr">
        <is>
          <t>99991231</t>
        </is>
      </c>
      <c r="N2457" s="10" t="n">
        <v>79.98</v>
      </c>
      <c r="O2457" s="10">
        <f>IFERROR(VLOOKUP(A2457,Flete!$A:$J,10,0),"")</f>
        <v/>
      </c>
      <c r="P2457" s="8" t="inlineStr">
        <is>
          <t>TN</t>
        </is>
      </c>
      <c r="Q2457" s="10">
        <f>IFERROR(IFERROR(VLOOKUP(A2457,TRAOPE!$A:$U,21,0),VLOOKUP(B2457,TRAOPE!$A:$U,21,0)),"")</f>
        <v/>
      </c>
      <c r="R2457" s="8">
        <f>IFERROR(IFERROR(VLOOKUP(A2457,TRAOPE!$A:$W,23,0),VLOOKUP(B2457,TRAOPE!$A:$W,23,0)),"")</f>
        <v/>
      </c>
      <c r="S2457" s="10">
        <f>IF(AND(P2457="TN",R2457="TN"),N2457+N(O2457),IF(G2457&amp;""="1",N(K2457)*N2457,(N2457+N(O2457))*N(K2457)))</f>
        <v/>
      </c>
      <c r="T2457" s="10">
        <f>IF(Q2457="","",Q2457-S2457)</f>
        <v/>
      </c>
    </row>
    <row r="2458">
      <c r="A2458" s="7">
        <f>CONCATENATE(C2458,E2458,F2458,I2458)</f>
        <v/>
      </c>
      <c r="B2458" s="7">
        <f>CONCATENATE(C2458,E2458,I2458)</f>
        <v/>
      </c>
      <c r="C2458" s="8" t="n">
        <v>900003588</v>
      </c>
      <c r="D2458" s="7">
        <f>IFERROR(VLOOKUP(C2458,TRAOPE!$G:$H,2,0),"")</f>
        <v/>
      </c>
      <c r="E2458" s="8" t="inlineStr">
        <is>
          <t>D836</t>
        </is>
      </c>
      <c r="F2458" s="8" t="inlineStr">
        <is>
          <t>66243150</t>
        </is>
      </c>
      <c r="G2458" s="8">
        <f>IFERROR(VLOOKUP(A2458,Flete!$A:$E,5,0),"")</f>
        <v/>
      </c>
      <c r="H2458" s="7">
        <f>IFERROR(VLOOKUP(F2458,TRAOPE!$AA:$AB,2,0),"")</f>
        <v/>
      </c>
      <c r="I2458" s="7" t="n">
        <v>10000625</v>
      </c>
      <c r="J2458" s="7">
        <f>IFERROR(VLOOKUP(I2458,Materiales!$A:$H,8,0),"")</f>
        <v/>
      </c>
      <c r="K2458" s="9">
        <f>IFERROR(VLOOKUP(I2458,Materiales!$A:$G,7,0),"")</f>
        <v/>
      </c>
      <c r="L2458" s="8" t="inlineStr">
        <is>
          <t>20251113</t>
        </is>
      </c>
      <c r="M2458" s="8" t="inlineStr">
        <is>
          <t>99991231</t>
        </is>
      </c>
      <c r="N2458" s="10" t="n">
        <v>110</v>
      </c>
      <c r="O2458" s="10">
        <f>IFERROR(VLOOKUP(A2458,Flete!$A:$J,10,0),"")</f>
        <v/>
      </c>
      <c r="P2458" s="8" t="inlineStr">
        <is>
          <t>TN</t>
        </is>
      </c>
      <c r="Q2458" s="10">
        <f>IFERROR(IFERROR(VLOOKUP(A2458,TRAOPE!$A:$U,21,0),VLOOKUP(B2458,TRAOPE!$A:$U,21,0)),"")</f>
        <v/>
      </c>
      <c r="R2458" s="8">
        <f>IFERROR(IFERROR(VLOOKUP(A2458,TRAOPE!$A:$W,23,0),VLOOKUP(B2458,TRAOPE!$A:$W,23,0)),"")</f>
        <v/>
      </c>
      <c r="S2458" s="10">
        <f>IF(AND(P2458="TN",R2458="TN"),N2458+N(O2458),IF(G2458&amp;""="1",N(K2458)*N2458,(N2458+N(O2458))*N(K2458)))</f>
        <v/>
      </c>
      <c r="T2458" s="10">
        <f>IF(Q2458="","",Q2458-S2458)</f>
        <v/>
      </c>
    </row>
    <row r="2459">
      <c r="A2459" s="7">
        <f>CONCATENATE(C2459,E2459,F2459,I2459)</f>
        <v/>
      </c>
      <c r="B2459" s="7">
        <f>CONCATENATE(C2459,E2459,I2459)</f>
        <v/>
      </c>
      <c r="C2459" s="8" t="n">
        <v>900003588</v>
      </c>
      <c r="D2459" s="7">
        <f>IFERROR(VLOOKUP(C2459,TRAOPE!$G:$H,2,0),"")</f>
        <v/>
      </c>
      <c r="E2459" s="8" t="inlineStr">
        <is>
          <t>D836</t>
        </is>
      </c>
      <c r="F2459" s="8" t="inlineStr">
        <is>
          <t>66415270</t>
        </is>
      </c>
      <c r="G2459" s="8">
        <f>IFERROR(VLOOKUP(A2459,Flete!$A:$E,5,0),"")</f>
        <v/>
      </c>
      <c r="H2459" s="7">
        <f>IFERROR(VLOOKUP(F2459,TRAOPE!$AA:$AB,2,0),"")</f>
        <v/>
      </c>
      <c r="I2459" s="7" t="n">
        <v>10000627</v>
      </c>
      <c r="J2459" s="7">
        <f>IFERROR(VLOOKUP(I2459,Materiales!$A:$H,8,0),"")</f>
        <v/>
      </c>
      <c r="K2459" s="9">
        <f>IFERROR(VLOOKUP(I2459,Materiales!$A:$G,7,0),"")</f>
        <v/>
      </c>
      <c r="L2459" s="8" t="inlineStr">
        <is>
          <t>20240619</t>
        </is>
      </c>
      <c r="M2459" s="8" t="inlineStr">
        <is>
          <t>99991231</t>
        </is>
      </c>
      <c r="N2459" s="10" t="n">
        <v>76</v>
      </c>
      <c r="O2459" s="10">
        <f>IFERROR(VLOOKUP(A2459,Flete!$A:$J,10,0),"")</f>
        <v/>
      </c>
      <c r="P2459" s="8" t="inlineStr">
        <is>
          <t>TN</t>
        </is>
      </c>
      <c r="Q2459" s="10">
        <f>IFERROR(IFERROR(VLOOKUP(A2459,TRAOPE!$A:$U,21,0),VLOOKUP(B2459,TRAOPE!$A:$U,21,0)),"")</f>
        <v/>
      </c>
      <c r="R2459" s="8">
        <f>IFERROR(IFERROR(VLOOKUP(A2459,TRAOPE!$A:$W,23,0),VLOOKUP(B2459,TRAOPE!$A:$W,23,0)),"")</f>
        <v/>
      </c>
      <c r="S2459" s="10">
        <f>IF(AND(P2459="TN",R2459="TN"),N2459+N(O2459),IF(G2459&amp;""="1",N(K2459)*N2459,(N2459+N(O2459))*N(K2459)))</f>
        <v/>
      </c>
      <c r="T2459" s="10">
        <f>IF(Q2459="","",Q2459-S2459)</f>
        <v/>
      </c>
    </row>
    <row r="2460">
      <c r="A2460" s="7">
        <f>CONCATENATE(C2460,E2460,F2460,I2460)</f>
        <v/>
      </c>
      <c r="B2460" s="7">
        <f>CONCATENATE(C2460,E2460,I2460)</f>
        <v/>
      </c>
      <c r="C2460" s="8" t="n">
        <v>900003588</v>
      </c>
      <c r="D2460" s="7">
        <f>IFERROR(VLOOKUP(C2460,TRAOPE!$G:$H,2,0),"")</f>
        <v/>
      </c>
      <c r="E2460" s="8" t="inlineStr">
        <is>
          <t>D836</t>
        </is>
      </c>
      <c r="F2460" s="8" t="inlineStr">
        <is>
          <t>66582580</t>
        </is>
      </c>
      <c r="G2460" s="8">
        <f>IFERROR(VLOOKUP(A2460,Flete!$A:$E,5,0),"")</f>
        <v/>
      </c>
      <c r="H2460" s="7">
        <f>IFERROR(VLOOKUP(F2460,TRAOPE!$AA:$AB,2,0),"")</f>
        <v/>
      </c>
      <c r="I2460" s="7" t="n">
        <v>10000625</v>
      </c>
      <c r="J2460" s="7">
        <f>IFERROR(VLOOKUP(I2460,Materiales!$A:$H,8,0),"")</f>
        <v/>
      </c>
      <c r="K2460" s="9">
        <f>IFERROR(VLOOKUP(I2460,Materiales!$A:$G,7,0),"")</f>
        <v/>
      </c>
      <c r="L2460" s="8" t="inlineStr">
        <is>
          <t>20250320</t>
        </is>
      </c>
      <c r="M2460" s="8" t="inlineStr">
        <is>
          <t>99991231</t>
        </is>
      </c>
      <c r="N2460" s="10" t="n">
        <v>55.59</v>
      </c>
      <c r="O2460" s="10">
        <f>IFERROR(VLOOKUP(A2460,Flete!$A:$J,10,0),"")</f>
        <v/>
      </c>
      <c r="P2460" s="8" t="inlineStr">
        <is>
          <t>TN</t>
        </is>
      </c>
      <c r="Q2460" s="10">
        <f>IFERROR(IFERROR(VLOOKUP(A2460,TRAOPE!$A:$U,21,0),VLOOKUP(B2460,TRAOPE!$A:$U,21,0)),"")</f>
        <v/>
      </c>
      <c r="R2460" s="8">
        <f>IFERROR(IFERROR(VLOOKUP(A2460,TRAOPE!$A:$W,23,0),VLOOKUP(B2460,TRAOPE!$A:$W,23,0)),"")</f>
        <v/>
      </c>
      <c r="S2460" s="10">
        <f>IF(AND(P2460="TN",R2460="TN"),N2460+N(O2460),IF(G2460&amp;""="1",N(K2460)*N2460,(N2460+N(O2460))*N(K2460)))</f>
        <v/>
      </c>
      <c r="T2460" s="10">
        <f>IF(Q2460="","",Q2460-S2460)</f>
        <v/>
      </c>
    </row>
    <row r="2461">
      <c r="A2461" s="7">
        <f>CONCATENATE(C2461,E2461,F2461,I2461)</f>
        <v/>
      </c>
      <c r="B2461" s="7">
        <f>CONCATENATE(C2461,E2461,I2461)</f>
        <v/>
      </c>
      <c r="C2461" s="8" t="n">
        <v>900003588</v>
      </c>
      <c r="D2461" s="7">
        <f>IFERROR(VLOOKUP(C2461,TRAOPE!$G:$H,2,0),"")</f>
        <v/>
      </c>
      <c r="E2461" s="8" t="inlineStr">
        <is>
          <t>D836</t>
        </is>
      </c>
      <c r="F2461" s="8" t="inlineStr">
        <is>
          <t>66595909</t>
        </is>
      </c>
      <c r="G2461" s="8">
        <f>IFERROR(VLOOKUP(A2461,Flete!$A:$E,5,0),"")</f>
        <v/>
      </c>
      <c r="H2461" s="7">
        <f>IFERROR(VLOOKUP(F2461,TRAOPE!$AA:$AB,2,0),"")</f>
        <v/>
      </c>
      <c r="I2461" s="7" t="n">
        <v>10000625</v>
      </c>
      <c r="J2461" s="7">
        <f>IFERROR(VLOOKUP(I2461,Materiales!$A:$H,8,0),"")</f>
        <v/>
      </c>
      <c r="K2461" s="9">
        <f>IFERROR(VLOOKUP(I2461,Materiales!$A:$G,7,0),"")</f>
        <v/>
      </c>
      <c r="L2461" s="8" t="inlineStr">
        <is>
          <t>20240619</t>
        </is>
      </c>
      <c r="M2461" s="8" t="inlineStr">
        <is>
          <t>99991231</t>
        </is>
      </c>
      <c r="N2461" s="10" t="n">
        <v>51</v>
      </c>
      <c r="O2461" s="10">
        <f>IFERROR(VLOOKUP(A2461,Flete!$A:$J,10,0),"")</f>
        <v/>
      </c>
      <c r="P2461" s="8" t="inlineStr">
        <is>
          <t>TN</t>
        </is>
      </c>
      <c r="Q2461" s="10">
        <f>IFERROR(IFERROR(VLOOKUP(A2461,TRAOPE!$A:$U,21,0),VLOOKUP(B2461,TRAOPE!$A:$U,21,0)),"")</f>
        <v/>
      </c>
      <c r="R2461" s="8">
        <f>IFERROR(IFERROR(VLOOKUP(A2461,TRAOPE!$A:$W,23,0),VLOOKUP(B2461,TRAOPE!$A:$W,23,0)),"")</f>
        <v/>
      </c>
      <c r="S2461" s="10">
        <f>IF(AND(P2461="TN",R2461="TN"),N2461+N(O2461),IF(G2461&amp;""="1",N(K2461)*N2461,(N2461+N(O2461))*N(K2461)))</f>
        <v/>
      </c>
      <c r="T2461" s="10">
        <f>IF(Q2461="","",Q2461-S2461)</f>
        <v/>
      </c>
    </row>
    <row r="2462">
      <c r="A2462" s="7">
        <f>CONCATENATE(C2462,E2462,F2462,I2462)</f>
        <v/>
      </c>
      <c r="B2462" s="7">
        <f>CONCATENATE(C2462,E2462,I2462)</f>
        <v/>
      </c>
      <c r="C2462" s="8" t="n">
        <v>900003588</v>
      </c>
      <c r="D2462" s="7">
        <f>IFERROR(VLOOKUP(C2462,TRAOPE!$G:$H,2,0),"")</f>
        <v/>
      </c>
      <c r="E2462" s="8" t="inlineStr">
        <is>
          <t>D836</t>
        </is>
      </c>
      <c r="F2462" s="8" t="inlineStr">
        <is>
          <t>66595909</t>
        </is>
      </c>
      <c r="G2462" s="8">
        <f>IFERROR(VLOOKUP(A2462,Flete!$A:$E,5,0),"")</f>
        <v/>
      </c>
      <c r="H2462" s="7">
        <f>IFERROR(VLOOKUP(F2462,TRAOPE!$AA:$AB,2,0),"")</f>
        <v/>
      </c>
      <c r="I2462" s="7" t="n">
        <v>10000627</v>
      </c>
      <c r="J2462" s="7">
        <f>IFERROR(VLOOKUP(I2462,Materiales!$A:$H,8,0),"")</f>
        <v/>
      </c>
      <c r="K2462" s="9">
        <f>IFERROR(VLOOKUP(I2462,Materiales!$A:$G,7,0),"")</f>
        <v/>
      </c>
      <c r="L2462" s="8" t="inlineStr">
        <is>
          <t>20260417</t>
        </is>
      </c>
      <c r="M2462" s="8" t="inlineStr">
        <is>
          <t>99991231</t>
        </is>
      </c>
      <c r="N2462" s="10" t="n">
        <v>100</v>
      </c>
      <c r="O2462" s="10">
        <f>IFERROR(VLOOKUP(A2462,Flete!$A:$J,10,0),"")</f>
        <v/>
      </c>
      <c r="P2462" s="8" t="inlineStr">
        <is>
          <t>TN</t>
        </is>
      </c>
      <c r="Q2462" s="10">
        <f>IFERROR(IFERROR(VLOOKUP(A2462,TRAOPE!$A:$U,21,0),VLOOKUP(B2462,TRAOPE!$A:$U,21,0)),"")</f>
        <v/>
      </c>
      <c r="R2462" s="8">
        <f>IFERROR(IFERROR(VLOOKUP(A2462,TRAOPE!$A:$W,23,0),VLOOKUP(B2462,TRAOPE!$A:$W,23,0)),"")</f>
        <v/>
      </c>
      <c r="S2462" s="10">
        <f>IF(AND(P2462="TN",R2462="TN"),N2462+N(O2462),IF(G2462&amp;""="1",N(K2462)*N2462,(N2462+N(O2462))*N(K2462)))</f>
        <v/>
      </c>
      <c r="T2462" s="10">
        <f>IF(Q2462="","",Q2462-S2462)</f>
        <v/>
      </c>
    </row>
    <row r="2463">
      <c r="A2463" s="7">
        <f>CONCATENATE(C2463,E2463,F2463,I2463)</f>
        <v/>
      </c>
      <c r="B2463" s="7">
        <f>CONCATENATE(C2463,E2463,I2463)</f>
        <v/>
      </c>
      <c r="C2463" s="8" t="n">
        <v>900003588</v>
      </c>
      <c r="D2463" s="7">
        <f>IFERROR(VLOOKUP(C2463,TRAOPE!$G:$H,2,0),"")</f>
        <v/>
      </c>
      <c r="E2463" s="8" t="inlineStr">
        <is>
          <t>D836</t>
        </is>
      </c>
      <c r="F2463" s="8" t="inlineStr">
        <is>
          <t>66624554</t>
        </is>
      </c>
      <c r="G2463" s="8">
        <f>IFERROR(VLOOKUP(A2463,Flete!$A:$E,5,0),"")</f>
        <v/>
      </c>
      <c r="H2463" s="7">
        <f>IFERROR(VLOOKUP(F2463,TRAOPE!$AA:$AB,2,0),"")</f>
        <v/>
      </c>
      <c r="I2463" s="7" t="n">
        <v>10000625</v>
      </c>
      <c r="J2463" s="7">
        <f>IFERROR(VLOOKUP(I2463,Materiales!$A:$H,8,0),"")</f>
        <v/>
      </c>
      <c r="K2463" s="9">
        <f>IFERROR(VLOOKUP(I2463,Materiales!$A:$G,7,0),"")</f>
        <v/>
      </c>
      <c r="L2463" s="8" t="inlineStr">
        <is>
          <t>20240619</t>
        </is>
      </c>
      <c r="M2463" s="8" t="inlineStr">
        <is>
          <t>99991231</t>
        </is>
      </c>
      <c r="N2463" s="10" t="n">
        <v>50.54</v>
      </c>
      <c r="O2463" s="10">
        <f>IFERROR(VLOOKUP(A2463,Flete!$A:$J,10,0),"")</f>
        <v/>
      </c>
      <c r="P2463" s="8" t="inlineStr">
        <is>
          <t>TN</t>
        </is>
      </c>
      <c r="Q2463" s="10">
        <f>IFERROR(IFERROR(VLOOKUP(A2463,TRAOPE!$A:$U,21,0),VLOOKUP(B2463,TRAOPE!$A:$U,21,0)),"")</f>
        <v/>
      </c>
      <c r="R2463" s="8">
        <f>IFERROR(IFERROR(VLOOKUP(A2463,TRAOPE!$A:$W,23,0),VLOOKUP(B2463,TRAOPE!$A:$W,23,0)),"")</f>
        <v/>
      </c>
      <c r="S2463" s="10">
        <f>IF(AND(P2463="TN",R2463="TN"),N2463+N(O2463),IF(G2463&amp;""="1",N(K2463)*N2463,(N2463+N(O2463))*N(K2463)))</f>
        <v/>
      </c>
      <c r="T2463" s="10">
        <f>IF(Q2463="","",Q2463-S2463)</f>
        <v/>
      </c>
    </row>
    <row r="2464">
      <c r="A2464" s="7">
        <f>CONCATENATE(C2464,E2464,F2464,I2464)</f>
        <v/>
      </c>
      <c r="B2464" s="7">
        <f>CONCATENATE(C2464,E2464,I2464)</f>
        <v/>
      </c>
      <c r="C2464" s="8" t="n">
        <v>900003588</v>
      </c>
      <c r="D2464" s="7">
        <f>IFERROR(VLOOKUP(C2464,TRAOPE!$G:$H,2,0),"")</f>
        <v/>
      </c>
      <c r="E2464" s="8" t="inlineStr">
        <is>
          <t>D836</t>
        </is>
      </c>
      <c r="F2464" s="8" t="inlineStr">
        <is>
          <t>66624554</t>
        </is>
      </c>
      <c r="G2464" s="8">
        <f>IFERROR(VLOOKUP(A2464,Flete!$A:$E,5,0),"")</f>
        <v/>
      </c>
      <c r="H2464" s="7">
        <f>IFERROR(VLOOKUP(F2464,TRAOPE!$AA:$AB,2,0),"")</f>
        <v/>
      </c>
      <c r="I2464" s="7" t="n">
        <v>10000651</v>
      </c>
      <c r="J2464" s="7">
        <f>IFERROR(VLOOKUP(I2464,Materiales!$A:$H,8,0),"")</f>
        <v/>
      </c>
      <c r="K2464" s="9">
        <f>IFERROR(VLOOKUP(I2464,Materiales!$A:$G,7,0),"")</f>
        <v/>
      </c>
      <c r="L2464" s="8" t="inlineStr">
        <is>
          <t>20240619</t>
        </is>
      </c>
      <c r="M2464" s="8" t="inlineStr">
        <is>
          <t>99991231</t>
        </is>
      </c>
      <c r="N2464" s="10" t="n">
        <v>63</v>
      </c>
      <c r="O2464" s="10">
        <f>IFERROR(VLOOKUP(A2464,Flete!$A:$J,10,0),"")</f>
        <v/>
      </c>
      <c r="P2464" s="8" t="inlineStr">
        <is>
          <t>TN</t>
        </is>
      </c>
      <c r="Q2464" s="10">
        <f>IFERROR(IFERROR(VLOOKUP(A2464,TRAOPE!$A:$U,21,0),VLOOKUP(B2464,TRAOPE!$A:$U,21,0)),"")</f>
        <v/>
      </c>
      <c r="R2464" s="8">
        <f>IFERROR(IFERROR(VLOOKUP(A2464,TRAOPE!$A:$W,23,0),VLOOKUP(B2464,TRAOPE!$A:$W,23,0)),"")</f>
        <v/>
      </c>
      <c r="S2464" s="10">
        <f>IF(AND(P2464="TN",R2464="TN"),N2464+N(O2464),IF(G2464&amp;""="1",N(K2464)*N2464,(N2464+N(O2464))*N(K2464)))</f>
        <v/>
      </c>
      <c r="T2464" s="10">
        <f>IF(Q2464="","",Q2464-S2464)</f>
        <v/>
      </c>
    </row>
    <row r="2465">
      <c r="A2465" s="7">
        <f>CONCATENATE(C2465,E2465,F2465,I2465)</f>
        <v/>
      </c>
      <c r="B2465" s="7">
        <f>CONCATENATE(C2465,E2465,I2465)</f>
        <v/>
      </c>
      <c r="C2465" s="8" t="n">
        <v>900003588</v>
      </c>
      <c r="D2465" s="7">
        <f>IFERROR(VLOOKUP(C2465,TRAOPE!$G:$H,2,0),"")</f>
        <v/>
      </c>
      <c r="E2465" s="8" t="inlineStr">
        <is>
          <t>D836</t>
        </is>
      </c>
      <c r="F2465" s="8" t="inlineStr">
        <is>
          <t>67126698</t>
        </is>
      </c>
      <c r="G2465" s="8">
        <f>IFERROR(VLOOKUP(A2465,Flete!$A:$E,5,0),"")</f>
        <v/>
      </c>
      <c r="H2465" s="7">
        <f>IFERROR(VLOOKUP(F2465,TRAOPE!$AA:$AB,2,0),"")</f>
        <v/>
      </c>
      <c r="I2465" s="7" t="n">
        <v>10000625</v>
      </c>
      <c r="J2465" s="7">
        <f>IFERROR(VLOOKUP(I2465,Materiales!$A:$H,8,0),"")</f>
        <v/>
      </c>
      <c r="K2465" s="9">
        <f>IFERROR(VLOOKUP(I2465,Materiales!$A:$G,7,0),"")</f>
        <v/>
      </c>
      <c r="L2465" s="8" t="inlineStr">
        <is>
          <t>20240619</t>
        </is>
      </c>
      <c r="M2465" s="8" t="inlineStr">
        <is>
          <t>99991231</t>
        </is>
      </c>
      <c r="N2465" s="10" t="n">
        <v>55</v>
      </c>
      <c r="O2465" s="10">
        <f>IFERROR(VLOOKUP(A2465,Flete!$A:$J,10,0),"")</f>
        <v/>
      </c>
      <c r="P2465" s="8" t="inlineStr">
        <is>
          <t>TN</t>
        </is>
      </c>
      <c r="Q2465" s="10">
        <f>IFERROR(IFERROR(VLOOKUP(A2465,TRAOPE!$A:$U,21,0),VLOOKUP(B2465,TRAOPE!$A:$U,21,0)),"")</f>
        <v/>
      </c>
      <c r="R2465" s="8">
        <f>IFERROR(IFERROR(VLOOKUP(A2465,TRAOPE!$A:$W,23,0),VLOOKUP(B2465,TRAOPE!$A:$W,23,0)),"")</f>
        <v/>
      </c>
      <c r="S2465" s="10">
        <f>IF(AND(P2465="TN",R2465="TN"),N2465+N(O2465),IF(G2465&amp;""="1",N(K2465)*N2465,(N2465+N(O2465))*N(K2465)))</f>
        <v/>
      </c>
      <c r="T2465" s="10">
        <f>IF(Q2465="","",Q2465-S2465)</f>
        <v/>
      </c>
    </row>
    <row r="2466">
      <c r="A2466" s="7">
        <f>CONCATENATE(C2466,E2466,F2466,I2466)</f>
        <v/>
      </c>
      <c r="B2466" s="7">
        <f>CONCATENATE(C2466,E2466,I2466)</f>
        <v/>
      </c>
      <c r="C2466" s="8" t="n">
        <v>900003588</v>
      </c>
      <c r="D2466" s="7">
        <f>IFERROR(VLOOKUP(C2466,TRAOPE!$G:$H,2,0),"")</f>
        <v/>
      </c>
      <c r="E2466" s="8" t="inlineStr">
        <is>
          <t>D836</t>
        </is>
      </c>
      <c r="F2466" s="8" t="inlineStr">
        <is>
          <t>67126698</t>
        </is>
      </c>
      <c r="G2466" s="8">
        <f>IFERROR(VLOOKUP(A2466,Flete!$A:$E,5,0),"")</f>
        <v/>
      </c>
      <c r="H2466" s="7">
        <f>IFERROR(VLOOKUP(F2466,TRAOPE!$AA:$AB,2,0),"")</f>
        <v/>
      </c>
      <c r="I2466" s="7" t="n">
        <v>10000627</v>
      </c>
      <c r="J2466" s="7">
        <f>IFERROR(VLOOKUP(I2466,Materiales!$A:$H,8,0),"")</f>
        <v/>
      </c>
      <c r="K2466" s="9">
        <f>IFERROR(VLOOKUP(I2466,Materiales!$A:$G,7,0),"")</f>
        <v/>
      </c>
      <c r="L2466" s="8" t="inlineStr">
        <is>
          <t>20240619</t>
        </is>
      </c>
      <c r="M2466" s="8" t="inlineStr">
        <is>
          <t>99991231</t>
        </is>
      </c>
      <c r="N2466" s="10" t="n">
        <v>61</v>
      </c>
      <c r="O2466" s="10">
        <f>IFERROR(VLOOKUP(A2466,Flete!$A:$J,10,0),"")</f>
        <v/>
      </c>
      <c r="P2466" s="8" t="inlineStr">
        <is>
          <t>TN</t>
        </is>
      </c>
      <c r="Q2466" s="10">
        <f>IFERROR(IFERROR(VLOOKUP(A2466,TRAOPE!$A:$U,21,0),VLOOKUP(B2466,TRAOPE!$A:$U,21,0)),"")</f>
        <v/>
      </c>
      <c r="R2466" s="8">
        <f>IFERROR(IFERROR(VLOOKUP(A2466,TRAOPE!$A:$W,23,0),VLOOKUP(B2466,TRAOPE!$A:$W,23,0)),"")</f>
        <v/>
      </c>
      <c r="S2466" s="10">
        <f>IF(AND(P2466="TN",R2466="TN"),N2466+N(O2466),IF(G2466&amp;""="1",N(K2466)*N2466,(N2466+N(O2466))*N(K2466)))</f>
        <v/>
      </c>
      <c r="T2466" s="10">
        <f>IF(Q2466="","",Q2466-S2466)</f>
        <v/>
      </c>
    </row>
    <row r="2467">
      <c r="A2467" s="7">
        <f>CONCATENATE(C2467,E2467,F2467,I2467)</f>
        <v/>
      </c>
      <c r="B2467" s="7">
        <f>CONCATENATE(C2467,E2467,I2467)</f>
        <v/>
      </c>
      <c r="C2467" s="8" t="n">
        <v>900003588</v>
      </c>
      <c r="D2467" s="7">
        <f>IFERROR(VLOOKUP(C2467,TRAOPE!$G:$H,2,0),"")</f>
        <v/>
      </c>
      <c r="E2467" s="8" t="inlineStr">
        <is>
          <t>D836</t>
        </is>
      </c>
      <c r="F2467" s="8" t="inlineStr">
        <is>
          <t>67285266</t>
        </is>
      </c>
      <c r="G2467" s="8">
        <f>IFERROR(VLOOKUP(A2467,Flete!$A:$E,5,0),"")</f>
        <v/>
      </c>
      <c r="H2467" s="7">
        <f>IFERROR(VLOOKUP(F2467,TRAOPE!$AA:$AB,2,0),"")</f>
        <v/>
      </c>
      <c r="I2467" s="7" t="n">
        <v>10000625</v>
      </c>
      <c r="J2467" s="7">
        <f>IFERROR(VLOOKUP(I2467,Materiales!$A:$H,8,0),"")</f>
        <v/>
      </c>
      <c r="K2467" s="9">
        <f>IFERROR(VLOOKUP(I2467,Materiales!$A:$G,7,0),"")</f>
        <v/>
      </c>
      <c r="L2467" s="8" t="inlineStr">
        <is>
          <t>20240619</t>
        </is>
      </c>
      <c r="M2467" s="8" t="inlineStr">
        <is>
          <t>99991231</t>
        </is>
      </c>
      <c r="N2467" s="10" t="n">
        <v>57</v>
      </c>
      <c r="O2467" s="10">
        <f>IFERROR(VLOOKUP(A2467,Flete!$A:$J,10,0),"")</f>
        <v/>
      </c>
      <c r="P2467" s="8" t="inlineStr">
        <is>
          <t>TN</t>
        </is>
      </c>
      <c r="Q2467" s="10">
        <f>IFERROR(IFERROR(VLOOKUP(A2467,TRAOPE!$A:$U,21,0),VLOOKUP(B2467,TRAOPE!$A:$U,21,0)),"")</f>
        <v/>
      </c>
      <c r="R2467" s="8">
        <f>IFERROR(IFERROR(VLOOKUP(A2467,TRAOPE!$A:$W,23,0),VLOOKUP(B2467,TRAOPE!$A:$W,23,0)),"")</f>
        <v/>
      </c>
      <c r="S2467" s="10">
        <f>IF(AND(P2467="TN",R2467="TN"),N2467+N(O2467),IF(G2467&amp;""="1",N(K2467)*N2467,(N2467+N(O2467))*N(K2467)))</f>
        <v/>
      </c>
      <c r="T2467" s="10">
        <f>IF(Q2467="","",Q2467-S2467)</f>
        <v/>
      </c>
    </row>
    <row r="2468">
      <c r="A2468" s="7">
        <f>CONCATENATE(C2468,E2468,F2468,I2468)</f>
        <v/>
      </c>
      <c r="B2468" s="7">
        <f>CONCATENATE(C2468,E2468,I2468)</f>
        <v/>
      </c>
      <c r="C2468" s="8" t="n">
        <v>900003588</v>
      </c>
      <c r="D2468" s="7">
        <f>IFERROR(VLOOKUP(C2468,TRAOPE!$G:$H,2,0),"")</f>
        <v/>
      </c>
      <c r="E2468" s="8" t="inlineStr">
        <is>
          <t>D836</t>
        </is>
      </c>
      <c r="F2468" s="8" t="inlineStr">
        <is>
          <t>67362127</t>
        </is>
      </c>
      <c r="G2468" s="8">
        <f>IFERROR(VLOOKUP(A2468,Flete!$A:$E,5,0),"")</f>
        <v/>
      </c>
      <c r="H2468" s="7">
        <f>IFERROR(VLOOKUP(F2468,TRAOPE!$AA:$AB,2,0),"")</f>
        <v/>
      </c>
      <c r="I2468" s="7" t="n">
        <v>10000625</v>
      </c>
      <c r="J2468" s="7">
        <f>IFERROR(VLOOKUP(I2468,Materiales!$A:$H,8,0),"")</f>
        <v/>
      </c>
      <c r="K2468" s="9">
        <f>IFERROR(VLOOKUP(I2468,Materiales!$A:$G,7,0),"")</f>
        <v/>
      </c>
      <c r="L2468" s="8" t="inlineStr">
        <is>
          <t>20260116</t>
        </is>
      </c>
      <c r="M2468" s="8" t="inlineStr">
        <is>
          <t>99991231</t>
        </is>
      </c>
      <c r="N2468" s="10" t="n">
        <v>57.5</v>
      </c>
      <c r="O2468" s="10">
        <f>IFERROR(VLOOKUP(A2468,Flete!$A:$J,10,0),"")</f>
        <v/>
      </c>
      <c r="P2468" s="8" t="inlineStr">
        <is>
          <t>TN</t>
        </is>
      </c>
      <c r="Q2468" s="10">
        <f>IFERROR(IFERROR(VLOOKUP(A2468,TRAOPE!$A:$U,21,0),VLOOKUP(B2468,TRAOPE!$A:$U,21,0)),"")</f>
        <v/>
      </c>
      <c r="R2468" s="8">
        <f>IFERROR(IFERROR(VLOOKUP(A2468,TRAOPE!$A:$W,23,0),VLOOKUP(B2468,TRAOPE!$A:$W,23,0)),"")</f>
        <v/>
      </c>
      <c r="S2468" s="10">
        <f>IF(AND(P2468="TN",R2468="TN"),N2468+N(O2468),IF(G2468&amp;""="1",N(K2468)*N2468,(N2468+N(O2468))*N(K2468)))</f>
        <v/>
      </c>
      <c r="T2468" s="10">
        <f>IF(Q2468="","",Q2468-S2468)</f>
        <v/>
      </c>
    </row>
    <row r="2469">
      <c r="A2469" s="7">
        <f>CONCATENATE(C2469,E2469,F2469,I2469)</f>
        <v/>
      </c>
      <c r="B2469" s="7">
        <f>CONCATENATE(C2469,E2469,I2469)</f>
        <v/>
      </c>
      <c r="C2469" s="8" t="n">
        <v>900003588</v>
      </c>
      <c r="D2469" s="7">
        <f>IFERROR(VLOOKUP(C2469,TRAOPE!$G:$H,2,0),"")</f>
        <v/>
      </c>
      <c r="E2469" s="8" t="inlineStr">
        <is>
          <t>D836</t>
        </is>
      </c>
      <c r="F2469" s="8" t="inlineStr">
        <is>
          <t>67362127</t>
        </is>
      </c>
      <c r="G2469" s="8">
        <f>IFERROR(VLOOKUP(A2469,Flete!$A:$E,5,0),"")</f>
        <v/>
      </c>
      <c r="H2469" s="7">
        <f>IFERROR(VLOOKUP(F2469,TRAOPE!$AA:$AB,2,0),"")</f>
        <v/>
      </c>
      <c r="I2469" s="7" t="n">
        <v>10000627</v>
      </c>
      <c r="J2469" s="7">
        <f>IFERROR(VLOOKUP(I2469,Materiales!$A:$H,8,0),"")</f>
        <v/>
      </c>
      <c r="K2469" s="9">
        <f>IFERROR(VLOOKUP(I2469,Materiales!$A:$G,7,0),"")</f>
        <v/>
      </c>
      <c r="L2469" s="8" t="inlineStr">
        <is>
          <t>20260116</t>
        </is>
      </c>
      <c r="M2469" s="8" t="inlineStr">
        <is>
          <t>99991231</t>
        </is>
      </c>
      <c r="N2469" s="10" t="n">
        <v>67.5</v>
      </c>
      <c r="O2469" s="10">
        <f>IFERROR(VLOOKUP(A2469,Flete!$A:$J,10,0),"")</f>
        <v/>
      </c>
      <c r="P2469" s="8" t="inlineStr">
        <is>
          <t>TN</t>
        </is>
      </c>
      <c r="Q2469" s="10">
        <f>IFERROR(IFERROR(VLOOKUP(A2469,TRAOPE!$A:$U,21,0),VLOOKUP(B2469,TRAOPE!$A:$U,21,0)),"")</f>
        <v/>
      </c>
      <c r="R2469" s="8">
        <f>IFERROR(IFERROR(VLOOKUP(A2469,TRAOPE!$A:$W,23,0),VLOOKUP(B2469,TRAOPE!$A:$W,23,0)),"")</f>
        <v/>
      </c>
      <c r="S2469" s="10">
        <f>IF(AND(P2469="TN",R2469="TN"),N2469+N(O2469),IF(G2469&amp;""="1",N(K2469)*N2469,(N2469+N(O2469))*N(K2469)))</f>
        <v/>
      </c>
      <c r="T2469" s="10">
        <f>IF(Q2469="","",Q2469-S2469)</f>
        <v/>
      </c>
    </row>
    <row r="2470">
      <c r="A2470" s="7">
        <f>CONCATENATE(C2470,E2470,F2470,I2470)</f>
        <v/>
      </c>
      <c r="B2470" s="7">
        <f>CONCATENATE(C2470,E2470,I2470)</f>
        <v/>
      </c>
      <c r="C2470" s="8" t="n">
        <v>900003588</v>
      </c>
      <c r="D2470" s="7">
        <f>IFERROR(VLOOKUP(C2470,TRAOPE!$G:$H,2,0),"")</f>
        <v/>
      </c>
      <c r="E2470" s="8" t="inlineStr">
        <is>
          <t>D836</t>
        </is>
      </c>
      <c r="F2470" s="8" t="inlineStr">
        <is>
          <t>67362127</t>
        </is>
      </c>
      <c r="G2470" s="8">
        <f>IFERROR(VLOOKUP(A2470,Flete!$A:$E,5,0),"")</f>
        <v/>
      </c>
      <c r="H2470" s="7">
        <f>IFERROR(VLOOKUP(F2470,TRAOPE!$AA:$AB,2,0),"")</f>
        <v/>
      </c>
      <c r="I2470" s="7" t="n">
        <v>10001354</v>
      </c>
      <c r="J2470" s="7">
        <f>IFERROR(VLOOKUP(I2470,Materiales!$A:$H,8,0),"")</f>
        <v/>
      </c>
      <c r="K2470" s="9">
        <f>IFERROR(VLOOKUP(I2470,Materiales!$A:$G,7,0),"")</f>
        <v/>
      </c>
      <c r="L2470" s="8" t="inlineStr">
        <is>
          <t>20260116</t>
        </is>
      </c>
      <c r="M2470" s="8" t="inlineStr">
        <is>
          <t>99991231</t>
        </is>
      </c>
      <c r="N2470" s="10" t="n">
        <v>132.9</v>
      </c>
      <c r="O2470" s="10">
        <f>IFERROR(VLOOKUP(A2470,Flete!$A:$J,10,0),"")</f>
        <v/>
      </c>
      <c r="P2470" s="8" t="inlineStr">
        <is>
          <t>TN</t>
        </is>
      </c>
      <c r="Q2470" s="10">
        <f>IFERROR(IFERROR(VLOOKUP(A2470,TRAOPE!$A:$U,21,0),VLOOKUP(B2470,TRAOPE!$A:$U,21,0)),"")</f>
        <v/>
      </c>
      <c r="R2470" s="8">
        <f>IFERROR(IFERROR(VLOOKUP(A2470,TRAOPE!$A:$W,23,0),VLOOKUP(B2470,TRAOPE!$A:$W,23,0)),"")</f>
        <v/>
      </c>
      <c r="S2470" s="10">
        <f>IF(AND(P2470="TN",R2470="TN"),N2470+N(O2470),IF(G2470&amp;""="1",N(K2470)*N2470,(N2470+N(O2470))*N(K2470)))</f>
        <v/>
      </c>
      <c r="T2470" s="10">
        <f>IF(Q2470="","",Q2470-S2470)</f>
        <v/>
      </c>
    </row>
    <row r="2471">
      <c r="A2471" s="7">
        <f>CONCATENATE(C2471,E2471,F2471,I2471)</f>
        <v/>
      </c>
      <c r="B2471" s="7">
        <f>CONCATENATE(C2471,E2471,I2471)</f>
        <v/>
      </c>
      <c r="C2471" s="8" t="n">
        <v>900003588</v>
      </c>
      <c r="D2471" s="7">
        <f>IFERROR(VLOOKUP(C2471,TRAOPE!$G:$H,2,0),"")</f>
        <v/>
      </c>
      <c r="E2471" s="8" t="inlineStr">
        <is>
          <t>D836</t>
        </is>
      </c>
      <c r="F2471" s="8" t="inlineStr">
        <is>
          <t>67362674</t>
        </is>
      </c>
      <c r="G2471" s="8">
        <f>IFERROR(VLOOKUP(A2471,Flete!$A:$E,5,0),"")</f>
        <v/>
      </c>
      <c r="H2471" s="7">
        <f>IFERROR(VLOOKUP(F2471,TRAOPE!$AA:$AB,2,0),"")</f>
        <v/>
      </c>
      <c r="I2471" s="7" t="n">
        <v>10000625</v>
      </c>
      <c r="J2471" s="7">
        <f>IFERROR(VLOOKUP(I2471,Materiales!$A:$H,8,0),"")</f>
        <v/>
      </c>
      <c r="K2471" s="9">
        <f>IFERROR(VLOOKUP(I2471,Materiales!$A:$G,7,0),"")</f>
        <v/>
      </c>
      <c r="L2471" s="8" t="inlineStr">
        <is>
          <t>20260121</t>
        </is>
      </c>
      <c r="M2471" s="8" t="inlineStr">
        <is>
          <t>99991231</t>
        </is>
      </c>
      <c r="N2471" s="10" t="n">
        <v>57.5</v>
      </c>
      <c r="O2471" s="10">
        <f>IFERROR(VLOOKUP(A2471,Flete!$A:$J,10,0),"")</f>
        <v/>
      </c>
      <c r="P2471" s="8" t="inlineStr">
        <is>
          <t>TN</t>
        </is>
      </c>
      <c r="Q2471" s="10">
        <f>IFERROR(IFERROR(VLOOKUP(A2471,TRAOPE!$A:$U,21,0),VLOOKUP(B2471,TRAOPE!$A:$U,21,0)),"")</f>
        <v/>
      </c>
      <c r="R2471" s="8">
        <f>IFERROR(IFERROR(VLOOKUP(A2471,TRAOPE!$A:$W,23,0),VLOOKUP(B2471,TRAOPE!$A:$W,23,0)),"")</f>
        <v/>
      </c>
      <c r="S2471" s="10">
        <f>IF(AND(P2471="TN",R2471="TN"),N2471+N(O2471),IF(G2471&amp;""="1",N(K2471)*N2471,(N2471+N(O2471))*N(K2471)))</f>
        <v/>
      </c>
      <c r="T2471" s="10">
        <f>IF(Q2471="","",Q2471-S2471)</f>
        <v/>
      </c>
    </row>
    <row r="2472">
      <c r="A2472" s="7">
        <f>CONCATENATE(C2472,E2472,F2472,I2472)</f>
        <v/>
      </c>
      <c r="B2472" s="7">
        <f>CONCATENATE(C2472,E2472,I2472)</f>
        <v/>
      </c>
      <c r="C2472" s="8" t="n">
        <v>900003588</v>
      </c>
      <c r="D2472" s="7">
        <f>IFERROR(VLOOKUP(C2472,TRAOPE!$G:$H,2,0),"")</f>
        <v/>
      </c>
      <c r="E2472" s="8" t="inlineStr">
        <is>
          <t>D836</t>
        </is>
      </c>
      <c r="F2472" s="8" t="inlineStr">
        <is>
          <t>67362674</t>
        </is>
      </c>
      <c r="G2472" s="8">
        <f>IFERROR(VLOOKUP(A2472,Flete!$A:$E,5,0),"")</f>
        <v/>
      </c>
      <c r="H2472" s="7">
        <f>IFERROR(VLOOKUP(F2472,TRAOPE!$AA:$AB,2,0),"")</f>
        <v/>
      </c>
      <c r="I2472" s="7" t="n">
        <v>10000627</v>
      </c>
      <c r="J2472" s="7">
        <f>IFERROR(VLOOKUP(I2472,Materiales!$A:$H,8,0),"")</f>
        <v/>
      </c>
      <c r="K2472" s="9">
        <f>IFERROR(VLOOKUP(I2472,Materiales!$A:$G,7,0),"")</f>
        <v/>
      </c>
      <c r="L2472" s="8" t="inlineStr">
        <is>
          <t>20260121</t>
        </is>
      </c>
      <c r="M2472" s="8" t="inlineStr">
        <is>
          <t>99991231</t>
        </is>
      </c>
      <c r="N2472" s="10" t="n">
        <v>67.5</v>
      </c>
      <c r="O2472" s="10">
        <f>IFERROR(VLOOKUP(A2472,Flete!$A:$J,10,0),"")</f>
        <v/>
      </c>
      <c r="P2472" s="8" t="inlineStr">
        <is>
          <t>TN</t>
        </is>
      </c>
      <c r="Q2472" s="10">
        <f>IFERROR(IFERROR(VLOOKUP(A2472,TRAOPE!$A:$U,21,0),VLOOKUP(B2472,TRAOPE!$A:$U,21,0)),"")</f>
        <v/>
      </c>
      <c r="R2472" s="8">
        <f>IFERROR(IFERROR(VLOOKUP(A2472,TRAOPE!$A:$W,23,0),VLOOKUP(B2472,TRAOPE!$A:$W,23,0)),"")</f>
        <v/>
      </c>
      <c r="S2472" s="10">
        <f>IF(AND(P2472="TN",R2472="TN"),N2472+N(O2472),IF(G2472&amp;""="1",N(K2472)*N2472,(N2472+N(O2472))*N(K2472)))</f>
        <v/>
      </c>
      <c r="T2472" s="10">
        <f>IF(Q2472="","",Q2472-S2472)</f>
        <v/>
      </c>
    </row>
    <row r="2473">
      <c r="A2473" s="7">
        <f>CONCATENATE(C2473,E2473,F2473,I2473)</f>
        <v/>
      </c>
      <c r="B2473" s="7">
        <f>CONCATENATE(C2473,E2473,I2473)</f>
        <v/>
      </c>
      <c r="C2473" s="8" t="n">
        <v>900003588</v>
      </c>
      <c r="D2473" s="7">
        <f>IFERROR(VLOOKUP(C2473,TRAOPE!$G:$H,2,0),"")</f>
        <v/>
      </c>
      <c r="E2473" s="8" t="inlineStr">
        <is>
          <t>D836</t>
        </is>
      </c>
      <c r="F2473" s="8" t="inlineStr">
        <is>
          <t>67362674</t>
        </is>
      </c>
      <c r="G2473" s="8">
        <f>IFERROR(VLOOKUP(A2473,Flete!$A:$E,5,0),"")</f>
        <v/>
      </c>
      <c r="H2473" s="7">
        <f>IFERROR(VLOOKUP(F2473,TRAOPE!$AA:$AB,2,0),"")</f>
        <v/>
      </c>
      <c r="I2473" s="7" t="n">
        <v>10001354</v>
      </c>
      <c r="J2473" s="7">
        <f>IFERROR(VLOOKUP(I2473,Materiales!$A:$H,8,0),"")</f>
        <v/>
      </c>
      <c r="K2473" s="9">
        <f>IFERROR(VLOOKUP(I2473,Materiales!$A:$G,7,0),"")</f>
        <v/>
      </c>
      <c r="L2473" s="8" t="inlineStr">
        <is>
          <t>20260121</t>
        </is>
      </c>
      <c r="M2473" s="8" t="inlineStr">
        <is>
          <t>99991231</t>
        </is>
      </c>
      <c r="N2473" s="10" t="n">
        <v>132.9</v>
      </c>
      <c r="O2473" s="10">
        <f>IFERROR(VLOOKUP(A2473,Flete!$A:$J,10,0),"")</f>
        <v/>
      </c>
      <c r="P2473" s="8" t="inlineStr">
        <is>
          <t>TN</t>
        </is>
      </c>
      <c r="Q2473" s="10">
        <f>IFERROR(IFERROR(VLOOKUP(A2473,TRAOPE!$A:$U,21,0),VLOOKUP(B2473,TRAOPE!$A:$U,21,0)),"")</f>
        <v/>
      </c>
      <c r="R2473" s="8">
        <f>IFERROR(IFERROR(VLOOKUP(A2473,TRAOPE!$A:$W,23,0),VLOOKUP(B2473,TRAOPE!$A:$W,23,0)),"")</f>
        <v/>
      </c>
      <c r="S2473" s="10">
        <f>IF(AND(P2473="TN",R2473="TN"),N2473+N(O2473),IF(G2473&amp;""="1",N(K2473)*N2473,(N2473+N(O2473))*N(K2473)))</f>
        <v/>
      </c>
      <c r="T2473" s="10">
        <f>IF(Q2473="","",Q2473-S2473)</f>
        <v/>
      </c>
    </row>
    <row r="2474">
      <c r="A2474" s="7">
        <f>CONCATENATE(C2474,E2474,F2474,I2474)</f>
        <v/>
      </c>
      <c r="B2474" s="7">
        <f>CONCATENATE(C2474,E2474,I2474)</f>
        <v/>
      </c>
      <c r="C2474" s="8" t="n">
        <v>900003592</v>
      </c>
      <c r="D2474" s="7">
        <f>IFERROR(VLOOKUP(C2474,TRAOPE!$G:$H,2,0),"")</f>
        <v/>
      </c>
      <c r="E2474" s="8" t="inlineStr">
        <is>
          <t>D836</t>
        </is>
      </c>
      <c r="F2474" s="8" t="inlineStr">
        <is>
          <t>66243150</t>
        </is>
      </c>
      <c r="G2474" s="8">
        <f>IFERROR(VLOOKUP(A2474,Flete!$A:$E,5,0),"")</f>
        <v/>
      </c>
      <c r="H2474" s="7">
        <f>IFERROR(VLOOKUP(F2474,TRAOPE!$AA:$AB,2,0),"")</f>
        <v/>
      </c>
      <c r="I2474" s="7" t="n">
        <v>10000623</v>
      </c>
      <c r="J2474" s="7">
        <f>IFERROR(VLOOKUP(I2474,Materiales!$A:$H,8,0),"")</f>
        <v/>
      </c>
      <c r="K2474" s="9">
        <f>IFERROR(VLOOKUP(I2474,Materiales!$A:$G,7,0),"")</f>
        <v/>
      </c>
      <c r="L2474" s="8" t="inlineStr">
        <is>
          <t>20250909</t>
        </is>
      </c>
      <c r="M2474" s="8" t="inlineStr">
        <is>
          <t>99991231</t>
        </is>
      </c>
      <c r="N2474" s="10" t="n">
        <v>127</v>
      </c>
      <c r="O2474" s="10">
        <f>IFERROR(VLOOKUP(A2474,Flete!$A:$J,10,0),"")</f>
        <v/>
      </c>
      <c r="P2474" s="8" t="inlineStr">
        <is>
          <t>TN</t>
        </is>
      </c>
      <c r="Q2474" s="10">
        <f>IFERROR(IFERROR(VLOOKUP(A2474,TRAOPE!$A:$U,21,0),VLOOKUP(B2474,TRAOPE!$A:$U,21,0)),"")</f>
        <v/>
      </c>
      <c r="R2474" s="8">
        <f>IFERROR(IFERROR(VLOOKUP(A2474,TRAOPE!$A:$W,23,0),VLOOKUP(B2474,TRAOPE!$A:$W,23,0)),"")</f>
        <v/>
      </c>
      <c r="S2474" s="10">
        <f>IF(AND(P2474="TN",R2474="TN"),N2474+N(O2474),IF(G2474&amp;""="1",N(K2474)*N2474,(N2474+N(O2474))*N(K2474)))</f>
        <v/>
      </c>
      <c r="T2474" s="10">
        <f>IF(Q2474="","",Q2474-S2474)</f>
        <v/>
      </c>
    </row>
    <row r="2475">
      <c r="A2475" s="7">
        <f>CONCATENATE(C2475,E2475,F2475,I2475)</f>
        <v/>
      </c>
      <c r="B2475" s="7">
        <f>CONCATENATE(C2475,E2475,I2475)</f>
        <v/>
      </c>
      <c r="C2475" s="8" t="n">
        <v>900003593</v>
      </c>
      <c r="D2475" s="7">
        <f>IFERROR(VLOOKUP(C2475,TRAOPE!$G:$H,2,0),"")</f>
        <v/>
      </c>
      <c r="E2475" s="8" t="inlineStr">
        <is>
          <t>D836</t>
        </is>
      </c>
      <c r="F2475" s="8" t="inlineStr">
        <is>
          <t>67344396</t>
        </is>
      </c>
      <c r="G2475" s="8">
        <f>IFERROR(VLOOKUP(A2475,Flete!$A:$E,5,0),"")</f>
        <v/>
      </c>
      <c r="H2475" s="7">
        <f>IFERROR(VLOOKUP(F2475,TRAOPE!$AA:$AB,2,0),"")</f>
        <v/>
      </c>
      <c r="I2475" s="7" t="n">
        <v>10000160</v>
      </c>
      <c r="J2475" s="7">
        <f>IFERROR(VLOOKUP(I2475,Materiales!$A:$H,8,0),"")</f>
        <v/>
      </c>
      <c r="K2475" s="9">
        <f>IFERROR(VLOOKUP(I2475,Materiales!$A:$G,7,0),"")</f>
        <v/>
      </c>
      <c r="L2475" s="8" t="inlineStr">
        <is>
          <t>20251022</t>
        </is>
      </c>
      <c r="M2475" s="8" t="inlineStr">
        <is>
          <t>99991231</t>
        </is>
      </c>
      <c r="N2475" s="10" t="n">
        <v>120.68</v>
      </c>
      <c r="O2475" s="10">
        <f>IFERROR(VLOOKUP(A2475,Flete!$A:$J,10,0),"")</f>
        <v/>
      </c>
      <c r="P2475" s="8" t="inlineStr">
        <is>
          <t>M3</t>
        </is>
      </c>
      <c r="Q2475" s="10">
        <f>IFERROR(IFERROR(VLOOKUP(A2475,TRAOPE!$A:$U,21,0),VLOOKUP(B2475,TRAOPE!$A:$U,21,0)),"")</f>
        <v/>
      </c>
      <c r="R2475" s="8">
        <f>IFERROR(IFERROR(VLOOKUP(A2475,TRAOPE!$A:$W,23,0),VLOOKUP(B2475,TRAOPE!$A:$W,23,0)),"")</f>
        <v/>
      </c>
      <c r="S2475" s="10">
        <f>IF(AND(P2475="TN",R2475="TN"),N2475+N(O2475),IF(G2475&amp;""="1",N(K2475)*N2475,(N2475+N(O2475))*N(K2475)))</f>
        <v/>
      </c>
      <c r="T2475" s="10">
        <f>IF(Q2475="","",Q2475-S2475)</f>
        <v/>
      </c>
    </row>
    <row r="2476">
      <c r="A2476" s="7">
        <f>CONCATENATE(C2476,E2476,F2476,I2476)</f>
        <v/>
      </c>
      <c r="B2476" s="7">
        <f>CONCATENATE(C2476,E2476,I2476)</f>
        <v/>
      </c>
      <c r="C2476" s="8" t="n">
        <v>900003599</v>
      </c>
      <c r="D2476" s="7">
        <f>IFERROR(VLOOKUP(C2476,TRAOPE!$G:$H,2,0),"")</f>
        <v/>
      </c>
      <c r="E2476" s="8" t="inlineStr">
        <is>
          <t>D836</t>
        </is>
      </c>
      <c r="F2476" s="8" t="inlineStr">
        <is>
          <t>67383337</t>
        </is>
      </c>
      <c r="G2476" s="8">
        <f>IFERROR(VLOOKUP(A2476,Flete!$A:$E,5,0),"")</f>
        <v/>
      </c>
      <c r="H2476" s="7">
        <f>IFERROR(VLOOKUP(F2476,TRAOPE!$AA:$AB,2,0),"")</f>
        <v/>
      </c>
      <c r="I2476" s="7" t="n">
        <v>10280049</v>
      </c>
      <c r="J2476" s="7">
        <f>IFERROR(VLOOKUP(I2476,Materiales!$A:$H,8,0),"")</f>
        <v/>
      </c>
      <c r="K2476" s="9">
        <f>IFERROR(VLOOKUP(I2476,Materiales!$A:$G,7,0),"")</f>
        <v/>
      </c>
      <c r="L2476" s="8" t="inlineStr">
        <is>
          <t>20260709</t>
        </is>
      </c>
      <c r="M2476" s="8" t="inlineStr">
        <is>
          <t>99991231</t>
        </is>
      </c>
      <c r="N2476" s="10" t="n">
        <v>79.03</v>
      </c>
      <c r="O2476" s="10">
        <f>IFERROR(VLOOKUP(A2476,Flete!$A:$J,10,0),"")</f>
        <v/>
      </c>
      <c r="P2476" s="8" t="inlineStr">
        <is>
          <t>TN</t>
        </is>
      </c>
      <c r="Q2476" s="10">
        <f>IFERROR(IFERROR(VLOOKUP(A2476,TRAOPE!$A:$U,21,0),VLOOKUP(B2476,TRAOPE!$A:$U,21,0)),"")</f>
        <v/>
      </c>
      <c r="R2476" s="8">
        <f>IFERROR(IFERROR(VLOOKUP(A2476,TRAOPE!$A:$W,23,0),VLOOKUP(B2476,TRAOPE!$A:$W,23,0)),"")</f>
        <v/>
      </c>
      <c r="S2476" s="10">
        <f>IF(AND(P2476="TN",R2476="TN"),N2476+N(O2476),IF(G2476&amp;""="1",N(K2476)*N2476,(N2476+N(O2476))*N(K2476)))</f>
        <v/>
      </c>
      <c r="T2476" s="10">
        <f>IF(Q2476="","",Q2476-S2476)</f>
        <v/>
      </c>
    </row>
    <row r="2477">
      <c r="A2477" s="7">
        <f>CONCATENATE(C2477,E2477,F2477,I2477)</f>
        <v/>
      </c>
      <c r="B2477" s="7">
        <f>CONCATENATE(C2477,E2477,I2477)</f>
        <v/>
      </c>
      <c r="C2477" s="8" t="n">
        <v>900003601</v>
      </c>
      <c r="D2477" s="7">
        <f>IFERROR(VLOOKUP(C2477,TRAOPE!$G:$H,2,0),"")</f>
        <v/>
      </c>
      <c r="E2477" s="8" t="inlineStr">
        <is>
          <t>D836</t>
        </is>
      </c>
      <c r="F2477" s="8" t="inlineStr">
        <is>
          <t>65087219</t>
        </is>
      </c>
      <c r="G2477" s="8">
        <f>IFERROR(VLOOKUP(A2477,Flete!$A:$E,5,0),"")</f>
        <v/>
      </c>
      <c r="H2477" s="7">
        <f>IFERROR(VLOOKUP(F2477,TRAOPE!$AA:$AB,2,0),"")</f>
        <v/>
      </c>
      <c r="I2477" s="7" t="n">
        <v>10000623</v>
      </c>
      <c r="J2477" s="7">
        <f>IFERROR(VLOOKUP(I2477,Materiales!$A:$H,8,0),"")</f>
        <v/>
      </c>
      <c r="K2477" s="9">
        <f>IFERROR(VLOOKUP(I2477,Materiales!$A:$G,7,0),"")</f>
        <v/>
      </c>
      <c r="L2477" s="8" t="inlineStr">
        <is>
          <t>20250930</t>
        </is>
      </c>
      <c r="M2477" s="8" t="inlineStr">
        <is>
          <t>99991231</t>
        </is>
      </c>
      <c r="N2477" s="10" t="n">
        <v>119.64</v>
      </c>
      <c r="O2477" s="10">
        <f>IFERROR(VLOOKUP(A2477,Flete!$A:$J,10,0),"")</f>
        <v/>
      </c>
      <c r="P2477" s="8" t="inlineStr">
        <is>
          <t>TN</t>
        </is>
      </c>
      <c r="Q2477" s="10">
        <f>IFERROR(IFERROR(VLOOKUP(A2477,TRAOPE!$A:$U,21,0),VLOOKUP(B2477,TRAOPE!$A:$U,21,0)),"")</f>
        <v/>
      </c>
      <c r="R2477" s="8">
        <f>IFERROR(IFERROR(VLOOKUP(A2477,TRAOPE!$A:$W,23,0),VLOOKUP(B2477,TRAOPE!$A:$W,23,0)),"")</f>
        <v/>
      </c>
      <c r="S2477" s="10">
        <f>IF(AND(P2477="TN",R2477="TN"),N2477+N(O2477),IF(G2477&amp;""="1",N(K2477)*N2477,(N2477+N(O2477))*N(K2477)))</f>
        <v/>
      </c>
      <c r="T2477" s="10">
        <f>IF(Q2477="","",Q2477-S2477)</f>
        <v/>
      </c>
    </row>
    <row r="2478">
      <c r="A2478" s="7">
        <f>CONCATENATE(C2478,E2478,F2478,I2478)</f>
        <v/>
      </c>
      <c r="B2478" s="7">
        <f>CONCATENATE(C2478,E2478,I2478)</f>
        <v/>
      </c>
      <c r="C2478" s="8" t="n">
        <v>900003601</v>
      </c>
      <c r="D2478" s="7">
        <f>IFERROR(VLOOKUP(C2478,TRAOPE!$G:$H,2,0),"")</f>
        <v/>
      </c>
      <c r="E2478" s="8" t="inlineStr">
        <is>
          <t>D836</t>
        </is>
      </c>
      <c r="F2478" s="8" t="inlineStr">
        <is>
          <t>65908426</t>
        </is>
      </c>
      <c r="G2478" s="8">
        <f>IFERROR(VLOOKUP(A2478,Flete!$A:$E,5,0),"")</f>
        <v/>
      </c>
      <c r="H2478" s="7">
        <f>IFERROR(VLOOKUP(F2478,TRAOPE!$AA:$AB,2,0),"")</f>
        <v/>
      </c>
      <c r="I2478" s="7" t="n">
        <v>10000623</v>
      </c>
      <c r="J2478" s="7">
        <f>IFERROR(VLOOKUP(I2478,Materiales!$A:$H,8,0),"")</f>
        <v/>
      </c>
      <c r="K2478" s="9">
        <f>IFERROR(VLOOKUP(I2478,Materiales!$A:$G,7,0),"")</f>
        <v/>
      </c>
      <c r="L2478" s="8" t="inlineStr">
        <is>
          <t>20250721</t>
        </is>
      </c>
      <c r="M2478" s="8" t="inlineStr">
        <is>
          <t>99991231</t>
        </is>
      </c>
      <c r="N2478" s="10" t="n">
        <v>128.7</v>
      </c>
      <c r="O2478" s="10">
        <f>IFERROR(VLOOKUP(A2478,Flete!$A:$J,10,0),"")</f>
        <v/>
      </c>
      <c r="P2478" s="8" t="inlineStr">
        <is>
          <t>TN</t>
        </is>
      </c>
      <c r="Q2478" s="10">
        <f>IFERROR(IFERROR(VLOOKUP(A2478,TRAOPE!$A:$U,21,0),VLOOKUP(B2478,TRAOPE!$A:$U,21,0)),"")</f>
        <v/>
      </c>
      <c r="R2478" s="8">
        <f>IFERROR(IFERROR(VLOOKUP(A2478,TRAOPE!$A:$W,23,0),VLOOKUP(B2478,TRAOPE!$A:$W,23,0)),"")</f>
        <v/>
      </c>
      <c r="S2478" s="10">
        <f>IF(AND(P2478="TN",R2478="TN"),N2478+N(O2478),IF(G2478&amp;""="1",N(K2478)*N2478,(N2478+N(O2478))*N(K2478)))</f>
        <v/>
      </c>
      <c r="T2478" s="10">
        <f>IF(Q2478="","",Q2478-S2478)</f>
        <v/>
      </c>
    </row>
    <row r="2479">
      <c r="A2479" s="7">
        <f>CONCATENATE(C2479,E2479,F2479,I2479)</f>
        <v/>
      </c>
      <c r="B2479" s="7">
        <f>CONCATENATE(C2479,E2479,I2479)</f>
        <v/>
      </c>
      <c r="C2479" s="8" t="n">
        <v>900003601</v>
      </c>
      <c r="D2479" s="7">
        <f>IFERROR(VLOOKUP(C2479,TRAOPE!$G:$H,2,0),"")</f>
        <v/>
      </c>
      <c r="E2479" s="8" t="inlineStr">
        <is>
          <t>D836</t>
        </is>
      </c>
      <c r="F2479" s="8" t="inlineStr">
        <is>
          <t>66233244</t>
        </is>
      </c>
      <c r="G2479" s="8">
        <f>IFERROR(VLOOKUP(A2479,Flete!$A:$E,5,0),"")</f>
        <v/>
      </c>
      <c r="H2479" s="7">
        <f>IFERROR(VLOOKUP(F2479,TRAOPE!$AA:$AB,2,0),"")</f>
        <v/>
      </c>
      <c r="I2479" s="7" t="n">
        <v>10000623</v>
      </c>
      <c r="J2479" s="7">
        <f>IFERROR(VLOOKUP(I2479,Materiales!$A:$H,8,0),"")</f>
        <v/>
      </c>
      <c r="K2479" s="9">
        <f>IFERROR(VLOOKUP(I2479,Materiales!$A:$G,7,0),"")</f>
        <v/>
      </c>
      <c r="L2479" s="8" t="inlineStr">
        <is>
          <t>20240619</t>
        </is>
      </c>
      <c r="M2479" s="8" t="inlineStr">
        <is>
          <t>99991231</t>
        </is>
      </c>
      <c r="N2479" s="10" t="n">
        <v>121</v>
      </c>
      <c r="O2479" s="10">
        <f>IFERROR(VLOOKUP(A2479,Flete!$A:$J,10,0),"")</f>
        <v/>
      </c>
      <c r="P2479" s="8" t="inlineStr">
        <is>
          <t>TN</t>
        </is>
      </c>
      <c r="Q2479" s="10">
        <f>IFERROR(IFERROR(VLOOKUP(A2479,TRAOPE!$A:$U,21,0),VLOOKUP(B2479,TRAOPE!$A:$U,21,0)),"")</f>
        <v/>
      </c>
      <c r="R2479" s="8">
        <f>IFERROR(IFERROR(VLOOKUP(A2479,TRAOPE!$A:$W,23,0),VLOOKUP(B2479,TRAOPE!$A:$W,23,0)),"")</f>
        <v/>
      </c>
      <c r="S2479" s="10">
        <f>IF(AND(P2479="TN",R2479="TN"),N2479+N(O2479),IF(G2479&amp;""="1",N(K2479)*N2479,(N2479+N(O2479))*N(K2479)))</f>
        <v/>
      </c>
      <c r="T2479" s="10">
        <f>IF(Q2479="","",Q2479-S2479)</f>
        <v/>
      </c>
    </row>
    <row r="2480">
      <c r="A2480" s="7">
        <f>CONCATENATE(C2480,E2480,F2480,I2480)</f>
        <v/>
      </c>
      <c r="B2480" s="7">
        <f>CONCATENATE(C2480,E2480,I2480)</f>
        <v/>
      </c>
      <c r="C2480" s="8" t="n">
        <v>900003601</v>
      </c>
      <c r="D2480" s="7">
        <f>IFERROR(VLOOKUP(C2480,TRAOPE!$G:$H,2,0),"")</f>
        <v/>
      </c>
      <c r="E2480" s="8" t="inlineStr">
        <is>
          <t>D836</t>
        </is>
      </c>
      <c r="F2480" s="8" t="inlineStr">
        <is>
          <t>66233244</t>
        </is>
      </c>
      <c r="G2480" s="8">
        <f>IFERROR(VLOOKUP(A2480,Flete!$A:$E,5,0),"")</f>
        <v/>
      </c>
      <c r="H2480" s="7">
        <f>IFERROR(VLOOKUP(F2480,TRAOPE!$AA:$AB,2,0),"")</f>
        <v/>
      </c>
      <c r="I2480" s="7" t="n">
        <v>10000624</v>
      </c>
      <c r="J2480" s="7">
        <f>IFERROR(VLOOKUP(I2480,Materiales!$A:$H,8,0),"")</f>
        <v/>
      </c>
      <c r="K2480" s="9">
        <f>IFERROR(VLOOKUP(I2480,Materiales!$A:$G,7,0),"")</f>
        <v/>
      </c>
      <c r="L2480" s="8" t="inlineStr">
        <is>
          <t>20240619</t>
        </is>
      </c>
      <c r="M2480" s="8" t="inlineStr">
        <is>
          <t>99991231</t>
        </is>
      </c>
      <c r="N2480" s="10" t="n">
        <v>108</v>
      </c>
      <c r="O2480" s="10">
        <f>IFERROR(VLOOKUP(A2480,Flete!$A:$J,10,0),"")</f>
        <v/>
      </c>
      <c r="P2480" s="8" t="inlineStr">
        <is>
          <t>TN</t>
        </is>
      </c>
      <c r="Q2480" s="10">
        <f>IFERROR(IFERROR(VLOOKUP(A2480,TRAOPE!$A:$U,21,0),VLOOKUP(B2480,TRAOPE!$A:$U,21,0)),"")</f>
        <v/>
      </c>
      <c r="R2480" s="8">
        <f>IFERROR(IFERROR(VLOOKUP(A2480,TRAOPE!$A:$W,23,0),VLOOKUP(B2480,TRAOPE!$A:$W,23,0)),"")</f>
        <v/>
      </c>
      <c r="S2480" s="10">
        <f>IF(AND(P2480="TN",R2480="TN"),N2480+N(O2480),IF(G2480&amp;""="1",N(K2480)*N2480,(N2480+N(O2480))*N(K2480)))</f>
        <v/>
      </c>
      <c r="T2480" s="10">
        <f>IF(Q2480="","",Q2480-S2480)</f>
        <v/>
      </c>
    </row>
    <row r="2481">
      <c r="A2481" s="7">
        <f>CONCATENATE(C2481,E2481,F2481,I2481)</f>
        <v/>
      </c>
      <c r="B2481" s="7">
        <f>CONCATENATE(C2481,E2481,I2481)</f>
        <v/>
      </c>
      <c r="C2481" s="8" t="n">
        <v>900003601</v>
      </c>
      <c r="D2481" s="7">
        <f>IFERROR(VLOOKUP(C2481,TRAOPE!$G:$H,2,0),"")</f>
        <v/>
      </c>
      <c r="E2481" s="8" t="inlineStr">
        <is>
          <t>D836</t>
        </is>
      </c>
      <c r="F2481" s="8" t="inlineStr">
        <is>
          <t>66233244</t>
        </is>
      </c>
      <c r="G2481" s="8">
        <f>IFERROR(VLOOKUP(A2481,Flete!$A:$E,5,0),"")</f>
        <v/>
      </c>
      <c r="H2481" s="7">
        <f>IFERROR(VLOOKUP(F2481,TRAOPE!$AA:$AB,2,0),"")</f>
        <v/>
      </c>
      <c r="I2481" s="7" t="n">
        <v>10000811</v>
      </c>
      <c r="J2481" s="7">
        <f>IFERROR(VLOOKUP(I2481,Materiales!$A:$H,8,0),"")</f>
        <v/>
      </c>
      <c r="K2481" s="9">
        <f>IFERROR(VLOOKUP(I2481,Materiales!$A:$G,7,0),"")</f>
        <v/>
      </c>
      <c r="L2481" s="8" t="inlineStr">
        <is>
          <t>20240619</t>
        </is>
      </c>
      <c r="M2481" s="8" t="inlineStr">
        <is>
          <t>99991231</t>
        </is>
      </c>
      <c r="N2481" s="10" t="n">
        <v>122</v>
      </c>
      <c r="O2481" s="10">
        <f>IFERROR(VLOOKUP(A2481,Flete!$A:$J,10,0),"")</f>
        <v/>
      </c>
      <c r="P2481" s="8" t="inlineStr">
        <is>
          <t>TN</t>
        </is>
      </c>
      <c r="Q2481" s="10">
        <f>IFERROR(IFERROR(VLOOKUP(A2481,TRAOPE!$A:$U,21,0),VLOOKUP(B2481,TRAOPE!$A:$U,21,0)),"")</f>
        <v/>
      </c>
      <c r="R2481" s="8">
        <f>IFERROR(IFERROR(VLOOKUP(A2481,TRAOPE!$A:$W,23,0),VLOOKUP(B2481,TRAOPE!$A:$W,23,0)),"")</f>
        <v/>
      </c>
      <c r="S2481" s="10">
        <f>IF(AND(P2481="TN",R2481="TN"),N2481+N(O2481),IF(G2481&amp;""="1",N(K2481)*N2481,(N2481+N(O2481))*N(K2481)))</f>
        <v/>
      </c>
      <c r="T2481" s="10">
        <f>IF(Q2481="","",Q2481-S2481)</f>
        <v/>
      </c>
    </row>
    <row r="2482">
      <c r="A2482" s="7">
        <f>CONCATENATE(C2482,E2482,F2482,I2482)</f>
        <v/>
      </c>
      <c r="B2482" s="7">
        <f>CONCATENATE(C2482,E2482,I2482)</f>
        <v/>
      </c>
      <c r="C2482" s="8" t="n">
        <v>900003601</v>
      </c>
      <c r="D2482" s="7">
        <f>IFERROR(VLOOKUP(C2482,TRAOPE!$G:$H,2,0),"")</f>
        <v/>
      </c>
      <c r="E2482" s="8" t="inlineStr">
        <is>
          <t>D836</t>
        </is>
      </c>
      <c r="F2482" s="8" t="inlineStr">
        <is>
          <t>66237142</t>
        </is>
      </c>
      <c r="G2482" s="8">
        <f>IFERROR(VLOOKUP(A2482,Flete!$A:$E,5,0),"")</f>
        <v/>
      </c>
      <c r="H2482" s="7">
        <f>IFERROR(VLOOKUP(F2482,TRAOPE!$AA:$AB,2,0),"")</f>
        <v/>
      </c>
      <c r="I2482" s="7" t="n">
        <v>10000623</v>
      </c>
      <c r="J2482" s="7">
        <f>IFERROR(VLOOKUP(I2482,Materiales!$A:$H,8,0),"")</f>
        <v/>
      </c>
      <c r="K2482" s="9">
        <f>IFERROR(VLOOKUP(I2482,Materiales!$A:$G,7,0),"")</f>
        <v/>
      </c>
      <c r="L2482" s="8" t="inlineStr">
        <is>
          <t>20240619</t>
        </is>
      </c>
      <c r="M2482" s="8" t="inlineStr">
        <is>
          <t>99991231</t>
        </is>
      </c>
      <c r="N2482" s="10" t="n">
        <v>108.76</v>
      </c>
      <c r="O2482" s="10">
        <f>IFERROR(VLOOKUP(A2482,Flete!$A:$J,10,0),"")</f>
        <v/>
      </c>
      <c r="P2482" s="8" t="inlineStr">
        <is>
          <t>TN</t>
        </is>
      </c>
      <c r="Q2482" s="10">
        <f>IFERROR(IFERROR(VLOOKUP(A2482,TRAOPE!$A:$U,21,0),VLOOKUP(B2482,TRAOPE!$A:$U,21,0)),"")</f>
        <v/>
      </c>
      <c r="R2482" s="8">
        <f>IFERROR(IFERROR(VLOOKUP(A2482,TRAOPE!$A:$W,23,0),VLOOKUP(B2482,TRAOPE!$A:$W,23,0)),"")</f>
        <v/>
      </c>
      <c r="S2482" s="10">
        <f>IF(AND(P2482="TN",R2482="TN"),N2482+N(O2482),IF(G2482&amp;""="1",N(K2482)*N2482,(N2482+N(O2482))*N(K2482)))</f>
        <v/>
      </c>
      <c r="T2482" s="10">
        <f>IF(Q2482="","",Q2482-S2482)</f>
        <v/>
      </c>
    </row>
    <row r="2483">
      <c r="A2483" s="7">
        <f>CONCATENATE(C2483,E2483,F2483,I2483)</f>
        <v/>
      </c>
      <c r="B2483" s="7">
        <f>CONCATENATE(C2483,E2483,I2483)</f>
        <v/>
      </c>
      <c r="C2483" s="8" t="n">
        <v>900003601</v>
      </c>
      <c r="D2483" s="7">
        <f>IFERROR(VLOOKUP(C2483,TRAOPE!$G:$H,2,0),"")</f>
        <v/>
      </c>
      <c r="E2483" s="8" t="inlineStr">
        <is>
          <t>D836</t>
        </is>
      </c>
      <c r="F2483" s="8" t="inlineStr">
        <is>
          <t>66237142</t>
        </is>
      </c>
      <c r="G2483" s="8">
        <f>IFERROR(VLOOKUP(A2483,Flete!$A:$E,5,0),"")</f>
        <v/>
      </c>
      <c r="H2483" s="7">
        <f>IFERROR(VLOOKUP(F2483,TRAOPE!$AA:$AB,2,0),"")</f>
        <v/>
      </c>
      <c r="I2483" s="7" t="n">
        <v>10000811</v>
      </c>
      <c r="J2483" s="7">
        <f>IFERROR(VLOOKUP(I2483,Materiales!$A:$H,8,0),"")</f>
        <v/>
      </c>
      <c r="K2483" s="9">
        <f>IFERROR(VLOOKUP(I2483,Materiales!$A:$G,7,0),"")</f>
        <v/>
      </c>
      <c r="L2483" s="8" t="inlineStr">
        <is>
          <t>20240619</t>
        </is>
      </c>
      <c r="M2483" s="8" t="inlineStr">
        <is>
          <t>99991231</t>
        </is>
      </c>
      <c r="N2483" s="10" t="n">
        <v>116</v>
      </c>
      <c r="O2483" s="10">
        <f>IFERROR(VLOOKUP(A2483,Flete!$A:$J,10,0),"")</f>
        <v/>
      </c>
      <c r="P2483" s="8" t="inlineStr">
        <is>
          <t>TN</t>
        </is>
      </c>
      <c r="Q2483" s="10">
        <f>IFERROR(IFERROR(VLOOKUP(A2483,TRAOPE!$A:$U,21,0),VLOOKUP(B2483,TRAOPE!$A:$U,21,0)),"")</f>
        <v/>
      </c>
      <c r="R2483" s="8">
        <f>IFERROR(IFERROR(VLOOKUP(A2483,TRAOPE!$A:$W,23,0),VLOOKUP(B2483,TRAOPE!$A:$W,23,0)),"")</f>
        <v/>
      </c>
      <c r="S2483" s="10">
        <f>IF(AND(P2483="TN",R2483="TN"),N2483+N(O2483),IF(G2483&amp;""="1",N(K2483)*N2483,(N2483+N(O2483))*N(K2483)))</f>
        <v/>
      </c>
      <c r="T2483" s="10">
        <f>IF(Q2483="","",Q2483-S2483)</f>
        <v/>
      </c>
    </row>
    <row r="2484">
      <c r="A2484" s="7">
        <f>CONCATENATE(C2484,E2484,F2484,I2484)</f>
        <v/>
      </c>
      <c r="B2484" s="7">
        <f>CONCATENATE(C2484,E2484,I2484)</f>
        <v/>
      </c>
      <c r="C2484" s="8" t="n">
        <v>900003601</v>
      </c>
      <c r="D2484" s="7">
        <f>IFERROR(VLOOKUP(C2484,TRAOPE!$G:$H,2,0),"")</f>
        <v/>
      </c>
      <c r="E2484" s="8" t="inlineStr">
        <is>
          <t>D836</t>
        </is>
      </c>
      <c r="F2484" s="8" t="inlineStr">
        <is>
          <t>66415270</t>
        </is>
      </c>
      <c r="G2484" s="8">
        <f>IFERROR(VLOOKUP(A2484,Flete!$A:$E,5,0),"")</f>
        <v/>
      </c>
      <c r="H2484" s="7">
        <f>IFERROR(VLOOKUP(F2484,TRAOPE!$AA:$AB,2,0),"")</f>
        <v/>
      </c>
      <c r="I2484" s="7" t="n">
        <v>10000623</v>
      </c>
      <c r="J2484" s="7">
        <f>IFERROR(VLOOKUP(I2484,Materiales!$A:$H,8,0),"")</f>
        <v/>
      </c>
      <c r="K2484" s="9">
        <f>IFERROR(VLOOKUP(I2484,Materiales!$A:$G,7,0),"")</f>
        <v/>
      </c>
      <c r="L2484" s="8" t="inlineStr">
        <is>
          <t>20240619</t>
        </is>
      </c>
      <c r="M2484" s="8" t="inlineStr">
        <is>
          <t>99991231</t>
        </is>
      </c>
      <c r="N2484" s="10" t="n">
        <v>117.46</v>
      </c>
      <c r="O2484" s="10">
        <f>IFERROR(VLOOKUP(A2484,Flete!$A:$J,10,0),"")</f>
        <v/>
      </c>
      <c r="P2484" s="8" t="inlineStr">
        <is>
          <t>TN</t>
        </is>
      </c>
      <c r="Q2484" s="10">
        <f>IFERROR(IFERROR(VLOOKUP(A2484,TRAOPE!$A:$U,21,0),VLOOKUP(B2484,TRAOPE!$A:$U,21,0)),"")</f>
        <v/>
      </c>
      <c r="R2484" s="8">
        <f>IFERROR(IFERROR(VLOOKUP(A2484,TRAOPE!$A:$W,23,0),VLOOKUP(B2484,TRAOPE!$A:$W,23,0)),"")</f>
        <v/>
      </c>
      <c r="S2484" s="10">
        <f>IF(AND(P2484="TN",R2484="TN"),N2484+N(O2484),IF(G2484&amp;""="1",N(K2484)*N2484,(N2484+N(O2484))*N(K2484)))</f>
        <v/>
      </c>
      <c r="T2484" s="10">
        <f>IF(Q2484="","",Q2484-S2484)</f>
        <v/>
      </c>
    </row>
    <row r="2485">
      <c r="A2485" s="7">
        <f>CONCATENATE(C2485,E2485,F2485,I2485)</f>
        <v/>
      </c>
      <c r="B2485" s="7">
        <f>CONCATENATE(C2485,E2485,I2485)</f>
        <v/>
      </c>
      <c r="C2485" s="8" t="n">
        <v>900003601</v>
      </c>
      <c r="D2485" s="7">
        <f>IFERROR(VLOOKUP(C2485,TRAOPE!$G:$H,2,0),"")</f>
        <v/>
      </c>
      <c r="E2485" s="8" t="inlineStr">
        <is>
          <t>D836</t>
        </is>
      </c>
      <c r="F2485" s="8" t="inlineStr">
        <is>
          <t>66415270</t>
        </is>
      </c>
      <c r="G2485" s="8">
        <f>IFERROR(VLOOKUP(A2485,Flete!$A:$E,5,0),"")</f>
        <v/>
      </c>
      <c r="H2485" s="7">
        <f>IFERROR(VLOOKUP(F2485,TRAOPE!$AA:$AB,2,0),"")</f>
        <v/>
      </c>
      <c r="I2485" s="7" t="n">
        <v>10000811</v>
      </c>
      <c r="J2485" s="7">
        <f>IFERROR(VLOOKUP(I2485,Materiales!$A:$H,8,0),"")</f>
        <v/>
      </c>
      <c r="K2485" s="9">
        <f>IFERROR(VLOOKUP(I2485,Materiales!$A:$G,7,0),"")</f>
        <v/>
      </c>
      <c r="L2485" s="8" t="inlineStr">
        <is>
          <t>20240619</t>
        </is>
      </c>
      <c r="M2485" s="8" t="inlineStr">
        <is>
          <t>99991231</t>
        </is>
      </c>
      <c r="N2485" s="10" t="n">
        <v>124.2</v>
      </c>
      <c r="O2485" s="10">
        <f>IFERROR(VLOOKUP(A2485,Flete!$A:$J,10,0),"")</f>
        <v/>
      </c>
      <c r="P2485" s="8" t="inlineStr">
        <is>
          <t>TN</t>
        </is>
      </c>
      <c r="Q2485" s="10">
        <f>IFERROR(IFERROR(VLOOKUP(A2485,TRAOPE!$A:$U,21,0),VLOOKUP(B2485,TRAOPE!$A:$U,21,0)),"")</f>
        <v/>
      </c>
      <c r="R2485" s="8">
        <f>IFERROR(IFERROR(VLOOKUP(A2485,TRAOPE!$A:$W,23,0),VLOOKUP(B2485,TRAOPE!$A:$W,23,0)),"")</f>
        <v/>
      </c>
      <c r="S2485" s="10">
        <f>IF(AND(P2485="TN",R2485="TN"),N2485+N(O2485),IF(G2485&amp;""="1",N(K2485)*N2485,(N2485+N(O2485))*N(K2485)))</f>
        <v/>
      </c>
      <c r="T2485" s="10">
        <f>IF(Q2485="","",Q2485-S2485)</f>
        <v/>
      </c>
    </row>
    <row r="2486">
      <c r="A2486" s="7">
        <f>CONCATENATE(C2486,E2486,F2486,I2486)</f>
        <v/>
      </c>
      <c r="B2486" s="7">
        <f>CONCATENATE(C2486,E2486,I2486)</f>
        <v/>
      </c>
      <c r="C2486" s="8" t="n">
        <v>900003601</v>
      </c>
      <c r="D2486" s="7">
        <f>IFERROR(VLOOKUP(C2486,TRAOPE!$G:$H,2,0),"")</f>
        <v/>
      </c>
      <c r="E2486" s="8" t="inlineStr">
        <is>
          <t>D836</t>
        </is>
      </c>
      <c r="F2486" s="8" t="inlineStr">
        <is>
          <t>66532867</t>
        </is>
      </c>
      <c r="G2486" s="8">
        <f>IFERROR(VLOOKUP(A2486,Flete!$A:$E,5,0),"")</f>
        <v/>
      </c>
      <c r="H2486" s="7">
        <f>IFERROR(VLOOKUP(F2486,TRAOPE!$AA:$AB,2,0),"")</f>
        <v/>
      </c>
      <c r="I2486" s="7" t="n">
        <v>10000811</v>
      </c>
      <c r="J2486" s="7">
        <f>IFERROR(VLOOKUP(I2486,Materiales!$A:$H,8,0),"")</f>
        <v/>
      </c>
      <c r="K2486" s="9">
        <f>IFERROR(VLOOKUP(I2486,Materiales!$A:$G,7,0),"")</f>
        <v/>
      </c>
      <c r="L2486" s="8" t="inlineStr">
        <is>
          <t>20260819</t>
        </is>
      </c>
      <c r="M2486" s="8" t="inlineStr">
        <is>
          <t>99991231</t>
        </is>
      </c>
      <c r="N2486" s="10" t="n">
        <v>134</v>
      </c>
      <c r="O2486" s="10">
        <f>IFERROR(VLOOKUP(A2486,Flete!$A:$J,10,0),"")</f>
        <v/>
      </c>
      <c r="P2486" s="8" t="inlineStr">
        <is>
          <t>TN</t>
        </is>
      </c>
      <c r="Q2486" s="10">
        <f>IFERROR(IFERROR(VLOOKUP(A2486,TRAOPE!$A:$U,21,0),VLOOKUP(B2486,TRAOPE!$A:$U,21,0)),"")</f>
        <v/>
      </c>
      <c r="R2486" s="8">
        <f>IFERROR(IFERROR(VLOOKUP(A2486,TRAOPE!$A:$W,23,0),VLOOKUP(B2486,TRAOPE!$A:$W,23,0)),"")</f>
        <v/>
      </c>
      <c r="S2486" s="10">
        <f>IF(AND(P2486="TN",R2486="TN"),N2486+N(O2486),IF(G2486&amp;""="1",N(K2486)*N2486,(N2486+N(O2486))*N(K2486)))</f>
        <v/>
      </c>
      <c r="T2486" s="10">
        <f>IF(Q2486="","",Q2486-S2486)</f>
        <v/>
      </c>
    </row>
    <row r="2487">
      <c r="A2487" s="7">
        <f>CONCATENATE(C2487,E2487,F2487,I2487)</f>
        <v/>
      </c>
      <c r="B2487" s="7">
        <f>CONCATENATE(C2487,E2487,I2487)</f>
        <v/>
      </c>
      <c r="C2487" s="8" t="n">
        <v>900003601</v>
      </c>
      <c r="D2487" s="7">
        <f>IFERROR(VLOOKUP(C2487,TRAOPE!$G:$H,2,0),"")</f>
        <v/>
      </c>
      <c r="E2487" s="8" t="inlineStr">
        <is>
          <t>D836</t>
        </is>
      </c>
      <c r="F2487" s="8" t="inlineStr">
        <is>
          <t>66576199</t>
        </is>
      </c>
      <c r="G2487" s="8">
        <f>IFERROR(VLOOKUP(A2487,Flete!$A:$E,5,0),"")</f>
        <v/>
      </c>
      <c r="H2487" s="7">
        <f>IFERROR(VLOOKUP(F2487,TRAOPE!$AA:$AB,2,0),"")</f>
        <v/>
      </c>
      <c r="I2487" s="7" t="n">
        <v>10000811</v>
      </c>
      <c r="J2487" s="7">
        <f>IFERROR(VLOOKUP(I2487,Materiales!$A:$H,8,0),"")</f>
        <v/>
      </c>
      <c r="K2487" s="9">
        <f>IFERROR(VLOOKUP(I2487,Materiales!$A:$G,7,0),"")</f>
        <v/>
      </c>
      <c r="L2487" s="8" t="inlineStr">
        <is>
          <t>20260819</t>
        </is>
      </c>
      <c r="M2487" s="8" t="inlineStr">
        <is>
          <t>99991231</t>
        </is>
      </c>
      <c r="N2487" s="10" t="n">
        <v>134</v>
      </c>
      <c r="O2487" s="10">
        <f>IFERROR(VLOOKUP(A2487,Flete!$A:$J,10,0),"")</f>
        <v/>
      </c>
      <c r="P2487" s="8" t="inlineStr">
        <is>
          <t>TN</t>
        </is>
      </c>
      <c r="Q2487" s="10">
        <f>IFERROR(IFERROR(VLOOKUP(A2487,TRAOPE!$A:$U,21,0),VLOOKUP(B2487,TRAOPE!$A:$U,21,0)),"")</f>
        <v/>
      </c>
      <c r="R2487" s="8">
        <f>IFERROR(IFERROR(VLOOKUP(A2487,TRAOPE!$A:$W,23,0),VLOOKUP(B2487,TRAOPE!$A:$W,23,0)),"")</f>
        <v/>
      </c>
      <c r="S2487" s="10">
        <f>IF(AND(P2487="TN",R2487="TN"),N2487+N(O2487),IF(G2487&amp;""="1",N(K2487)*N2487,(N2487+N(O2487))*N(K2487)))</f>
        <v/>
      </c>
      <c r="T2487" s="10">
        <f>IF(Q2487="","",Q2487-S2487)</f>
        <v/>
      </c>
    </row>
    <row r="2488">
      <c r="A2488" s="7">
        <f>CONCATENATE(C2488,E2488,F2488,I2488)</f>
        <v/>
      </c>
      <c r="B2488" s="7">
        <f>CONCATENATE(C2488,E2488,I2488)</f>
        <v/>
      </c>
      <c r="C2488" s="8" t="n">
        <v>900003601</v>
      </c>
      <c r="D2488" s="7">
        <f>IFERROR(VLOOKUP(C2488,TRAOPE!$G:$H,2,0),"")</f>
        <v/>
      </c>
      <c r="E2488" s="8" t="inlineStr">
        <is>
          <t>D836</t>
        </is>
      </c>
      <c r="F2488" s="8" t="inlineStr">
        <is>
          <t>66828114</t>
        </is>
      </c>
      <c r="G2488" s="8">
        <f>IFERROR(VLOOKUP(A2488,Flete!$A:$E,5,0),"")</f>
        <v/>
      </c>
      <c r="H2488" s="7">
        <f>IFERROR(VLOOKUP(F2488,TRAOPE!$AA:$AB,2,0),"")</f>
        <v/>
      </c>
      <c r="I2488" s="7" t="n">
        <v>10000623</v>
      </c>
      <c r="J2488" s="7">
        <f>IFERROR(VLOOKUP(I2488,Materiales!$A:$H,8,0),"")</f>
        <v/>
      </c>
      <c r="K2488" s="9">
        <f>IFERROR(VLOOKUP(I2488,Materiales!$A:$G,7,0),"")</f>
        <v/>
      </c>
      <c r="L2488" s="8" t="inlineStr">
        <is>
          <t>20240619</t>
        </is>
      </c>
      <c r="M2488" s="8" t="inlineStr">
        <is>
          <t>99991231</t>
        </is>
      </c>
      <c r="N2488" s="10" t="n">
        <v>125.6</v>
      </c>
      <c r="O2488" s="10">
        <f>IFERROR(VLOOKUP(A2488,Flete!$A:$J,10,0),"")</f>
        <v/>
      </c>
      <c r="P2488" s="8" t="inlineStr">
        <is>
          <t>TN</t>
        </is>
      </c>
      <c r="Q2488" s="10">
        <f>IFERROR(IFERROR(VLOOKUP(A2488,TRAOPE!$A:$U,21,0),VLOOKUP(B2488,TRAOPE!$A:$U,21,0)),"")</f>
        <v/>
      </c>
      <c r="R2488" s="8">
        <f>IFERROR(IFERROR(VLOOKUP(A2488,TRAOPE!$A:$W,23,0),VLOOKUP(B2488,TRAOPE!$A:$W,23,0)),"")</f>
        <v/>
      </c>
      <c r="S2488" s="10">
        <f>IF(AND(P2488="TN",R2488="TN"),N2488+N(O2488),IF(G2488&amp;""="1",N(K2488)*N2488,(N2488+N(O2488))*N(K2488)))</f>
        <v/>
      </c>
      <c r="T2488" s="10">
        <f>IF(Q2488="","",Q2488-S2488)</f>
        <v/>
      </c>
    </row>
    <row r="2489">
      <c r="A2489" s="7">
        <f>CONCATENATE(C2489,E2489,F2489,I2489)</f>
        <v/>
      </c>
      <c r="B2489" s="7">
        <f>CONCATENATE(C2489,E2489,I2489)</f>
        <v/>
      </c>
      <c r="C2489" s="8" t="n">
        <v>900003601</v>
      </c>
      <c r="D2489" s="7">
        <f>IFERROR(VLOOKUP(C2489,TRAOPE!$G:$H,2,0),"")</f>
        <v/>
      </c>
      <c r="E2489" s="8" t="inlineStr">
        <is>
          <t>D836</t>
        </is>
      </c>
      <c r="F2489" s="8" t="inlineStr">
        <is>
          <t>67089577</t>
        </is>
      </c>
      <c r="G2489" s="8">
        <f>IFERROR(VLOOKUP(A2489,Flete!$A:$E,5,0),"")</f>
        <v/>
      </c>
      <c r="H2489" s="7">
        <f>IFERROR(VLOOKUP(F2489,TRAOPE!$AA:$AB,2,0),"")</f>
        <v/>
      </c>
      <c r="I2489" s="7" t="n">
        <v>10000624</v>
      </c>
      <c r="J2489" s="7">
        <f>IFERROR(VLOOKUP(I2489,Materiales!$A:$H,8,0),"")</f>
        <v/>
      </c>
      <c r="K2489" s="9">
        <f>IFERROR(VLOOKUP(I2489,Materiales!$A:$G,7,0),"")</f>
        <v/>
      </c>
      <c r="L2489" s="8" t="inlineStr">
        <is>
          <t>20240619</t>
        </is>
      </c>
      <c r="M2489" s="8" t="inlineStr">
        <is>
          <t>99991231</t>
        </is>
      </c>
      <c r="N2489" s="10" t="n">
        <v>116.6</v>
      </c>
      <c r="O2489" s="10">
        <f>IFERROR(VLOOKUP(A2489,Flete!$A:$J,10,0),"")</f>
        <v/>
      </c>
      <c r="P2489" s="8" t="inlineStr">
        <is>
          <t>TN</t>
        </is>
      </c>
      <c r="Q2489" s="10">
        <f>IFERROR(IFERROR(VLOOKUP(A2489,TRAOPE!$A:$U,21,0),VLOOKUP(B2489,TRAOPE!$A:$U,21,0)),"")</f>
        <v/>
      </c>
      <c r="R2489" s="8">
        <f>IFERROR(IFERROR(VLOOKUP(A2489,TRAOPE!$A:$W,23,0),VLOOKUP(B2489,TRAOPE!$A:$W,23,0)),"")</f>
        <v/>
      </c>
      <c r="S2489" s="10">
        <f>IF(AND(P2489="TN",R2489="TN"),N2489+N(O2489),IF(G2489&amp;""="1",N(K2489)*N2489,(N2489+N(O2489))*N(K2489)))</f>
        <v/>
      </c>
      <c r="T2489" s="10">
        <f>IF(Q2489="","",Q2489-S2489)</f>
        <v/>
      </c>
    </row>
    <row r="2490">
      <c r="A2490" s="7">
        <f>CONCATENATE(C2490,E2490,F2490,I2490)</f>
        <v/>
      </c>
      <c r="B2490" s="7">
        <f>CONCATENATE(C2490,E2490,I2490)</f>
        <v/>
      </c>
      <c r="C2490" s="8" t="n">
        <v>900003601</v>
      </c>
      <c r="D2490" s="7">
        <f>IFERROR(VLOOKUP(C2490,TRAOPE!$G:$H,2,0),"")</f>
        <v/>
      </c>
      <c r="E2490" s="8" t="inlineStr">
        <is>
          <t>D836</t>
        </is>
      </c>
      <c r="F2490" s="8" t="inlineStr">
        <is>
          <t>67093507</t>
        </is>
      </c>
      <c r="G2490" s="8">
        <f>IFERROR(VLOOKUP(A2490,Flete!$A:$E,5,0),"")</f>
        <v/>
      </c>
      <c r="H2490" s="7">
        <f>IFERROR(VLOOKUP(F2490,TRAOPE!$AA:$AB,2,0),"")</f>
        <v/>
      </c>
      <c r="I2490" s="7" t="n">
        <v>10000811</v>
      </c>
      <c r="J2490" s="7">
        <f>IFERROR(VLOOKUP(I2490,Materiales!$A:$H,8,0),"")</f>
        <v/>
      </c>
      <c r="K2490" s="9">
        <f>IFERROR(VLOOKUP(I2490,Materiales!$A:$G,7,0),"")</f>
        <v/>
      </c>
      <c r="L2490" s="8" t="inlineStr">
        <is>
          <t>20260819</t>
        </is>
      </c>
      <c r="M2490" s="8" t="inlineStr">
        <is>
          <t>99991231</t>
        </is>
      </c>
      <c r="N2490" s="10" t="n">
        <v>134</v>
      </c>
      <c r="O2490" s="10">
        <f>IFERROR(VLOOKUP(A2490,Flete!$A:$J,10,0),"")</f>
        <v/>
      </c>
      <c r="P2490" s="8" t="inlineStr">
        <is>
          <t>TN</t>
        </is>
      </c>
      <c r="Q2490" s="10">
        <f>IFERROR(IFERROR(VLOOKUP(A2490,TRAOPE!$A:$U,21,0),VLOOKUP(B2490,TRAOPE!$A:$U,21,0)),"")</f>
        <v/>
      </c>
      <c r="R2490" s="8">
        <f>IFERROR(IFERROR(VLOOKUP(A2490,TRAOPE!$A:$W,23,0),VLOOKUP(B2490,TRAOPE!$A:$W,23,0)),"")</f>
        <v/>
      </c>
      <c r="S2490" s="10">
        <f>IF(AND(P2490="TN",R2490="TN"),N2490+N(O2490),IF(G2490&amp;""="1",N(K2490)*N2490,(N2490+N(O2490))*N(K2490)))</f>
        <v/>
      </c>
      <c r="T2490" s="10">
        <f>IF(Q2490="","",Q2490-S2490)</f>
        <v/>
      </c>
    </row>
    <row r="2491">
      <c r="A2491" s="7">
        <f>CONCATENATE(C2491,E2491,F2491,I2491)</f>
        <v/>
      </c>
      <c r="B2491" s="7">
        <f>CONCATENATE(C2491,E2491,I2491)</f>
        <v/>
      </c>
      <c r="C2491" s="8" t="n">
        <v>900003601</v>
      </c>
      <c r="D2491" s="7">
        <f>IFERROR(VLOOKUP(C2491,TRAOPE!$G:$H,2,0),"")</f>
        <v/>
      </c>
      <c r="E2491" s="8" t="inlineStr">
        <is>
          <t>D836</t>
        </is>
      </c>
      <c r="F2491" s="8" t="inlineStr">
        <is>
          <t>67166394</t>
        </is>
      </c>
      <c r="G2491" s="8">
        <f>IFERROR(VLOOKUP(A2491,Flete!$A:$E,5,0),"")</f>
        <v/>
      </c>
      <c r="H2491" s="7">
        <f>IFERROR(VLOOKUP(F2491,TRAOPE!$AA:$AB,2,0),"")</f>
        <v/>
      </c>
      <c r="I2491" s="7" t="n">
        <v>10000623</v>
      </c>
      <c r="J2491" s="7">
        <f>IFERROR(VLOOKUP(I2491,Materiales!$A:$H,8,0),"")</f>
        <v/>
      </c>
      <c r="K2491" s="9">
        <f>IFERROR(VLOOKUP(I2491,Materiales!$A:$G,7,0),"")</f>
        <v/>
      </c>
      <c r="L2491" s="8" t="inlineStr">
        <is>
          <t>20260817</t>
        </is>
      </c>
      <c r="M2491" s="8" t="inlineStr">
        <is>
          <t>99991231</t>
        </is>
      </c>
      <c r="N2491" s="10" t="n">
        <v>129.6</v>
      </c>
      <c r="O2491" s="10">
        <f>IFERROR(VLOOKUP(A2491,Flete!$A:$J,10,0),"")</f>
        <v/>
      </c>
      <c r="P2491" s="8" t="inlineStr">
        <is>
          <t>TN</t>
        </is>
      </c>
      <c r="Q2491" s="10">
        <f>IFERROR(IFERROR(VLOOKUP(A2491,TRAOPE!$A:$U,21,0),VLOOKUP(B2491,TRAOPE!$A:$U,21,0)),"")</f>
        <v/>
      </c>
      <c r="R2491" s="8">
        <f>IFERROR(IFERROR(VLOOKUP(A2491,TRAOPE!$A:$W,23,0),VLOOKUP(B2491,TRAOPE!$A:$W,23,0)),"")</f>
        <v/>
      </c>
      <c r="S2491" s="10">
        <f>IF(AND(P2491="TN",R2491="TN"),N2491+N(O2491),IF(G2491&amp;""="1",N(K2491)*N2491,(N2491+N(O2491))*N(K2491)))</f>
        <v/>
      </c>
      <c r="T2491" s="10">
        <f>IF(Q2491="","",Q2491-S2491)</f>
        <v/>
      </c>
    </row>
    <row r="2492">
      <c r="A2492" s="7">
        <f>CONCATENATE(C2492,E2492,F2492,I2492)</f>
        <v/>
      </c>
      <c r="B2492" s="7">
        <f>CONCATENATE(C2492,E2492,I2492)</f>
        <v/>
      </c>
      <c r="C2492" s="8" t="n">
        <v>900003601</v>
      </c>
      <c r="D2492" s="7">
        <f>IFERROR(VLOOKUP(C2492,TRAOPE!$G:$H,2,0),"")</f>
        <v/>
      </c>
      <c r="E2492" s="8" t="inlineStr">
        <is>
          <t>D836</t>
        </is>
      </c>
      <c r="F2492" s="8" t="inlineStr">
        <is>
          <t>67166394</t>
        </is>
      </c>
      <c r="G2492" s="8">
        <f>IFERROR(VLOOKUP(A2492,Flete!$A:$E,5,0),"")</f>
        <v/>
      </c>
      <c r="H2492" s="7">
        <f>IFERROR(VLOOKUP(F2492,TRAOPE!$AA:$AB,2,0),"")</f>
        <v/>
      </c>
      <c r="I2492" s="7" t="n">
        <v>10000624</v>
      </c>
      <c r="J2492" s="7">
        <f>IFERROR(VLOOKUP(I2492,Materiales!$A:$H,8,0),"")</f>
        <v/>
      </c>
      <c r="K2492" s="9">
        <f>IFERROR(VLOOKUP(I2492,Materiales!$A:$G,7,0),"")</f>
        <v/>
      </c>
      <c r="L2492" s="8" t="inlineStr">
        <is>
          <t>20260807</t>
        </is>
      </c>
      <c r="M2492" s="8" t="inlineStr">
        <is>
          <t>99991231</t>
        </is>
      </c>
      <c r="N2492" s="10" t="n">
        <v>117</v>
      </c>
      <c r="O2492" s="10">
        <f>IFERROR(VLOOKUP(A2492,Flete!$A:$J,10,0),"")</f>
        <v/>
      </c>
      <c r="P2492" s="8" t="inlineStr">
        <is>
          <t>TN</t>
        </is>
      </c>
      <c r="Q2492" s="10">
        <f>IFERROR(IFERROR(VLOOKUP(A2492,TRAOPE!$A:$U,21,0),VLOOKUP(B2492,TRAOPE!$A:$U,21,0)),"")</f>
        <v/>
      </c>
      <c r="R2492" s="8">
        <f>IFERROR(IFERROR(VLOOKUP(A2492,TRAOPE!$A:$W,23,0),VLOOKUP(B2492,TRAOPE!$A:$W,23,0)),"")</f>
        <v/>
      </c>
      <c r="S2492" s="10">
        <f>IF(AND(P2492="TN",R2492="TN"),N2492+N(O2492),IF(G2492&amp;""="1",N(K2492)*N2492,(N2492+N(O2492))*N(K2492)))</f>
        <v/>
      </c>
      <c r="T2492" s="10">
        <f>IF(Q2492="","",Q2492-S2492)</f>
        <v/>
      </c>
    </row>
    <row r="2493">
      <c r="A2493" s="7">
        <f>CONCATENATE(C2493,E2493,F2493,I2493)</f>
        <v/>
      </c>
      <c r="B2493" s="7">
        <f>CONCATENATE(C2493,E2493,I2493)</f>
        <v/>
      </c>
      <c r="C2493" s="8" t="n">
        <v>900003601</v>
      </c>
      <c r="D2493" s="7">
        <f>IFERROR(VLOOKUP(C2493,TRAOPE!$G:$H,2,0),"")</f>
        <v/>
      </c>
      <c r="E2493" s="8" t="inlineStr">
        <is>
          <t>D836</t>
        </is>
      </c>
      <c r="F2493" s="8" t="inlineStr">
        <is>
          <t>67166394</t>
        </is>
      </c>
      <c r="G2493" s="8">
        <f>IFERROR(VLOOKUP(A2493,Flete!$A:$E,5,0),"")</f>
        <v/>
      </c>
      <c r="H2493" s="7">
        <f>IFERROR(VLOOKUP(F2493,TRAOPE!$AA:$AB,2,0),"")</f>
        <v/>
      </c>
      <c r="I2493" s="7" t="n">
        <v>10000811</v>
      </c>
      <c r="J2493" s="7">
        <f>IFERROR(VLOOKUP(I2493,Materiales!$A:$H,8,0),"")</f>
        <v/>
      </c>
      <c r="K2493" s="9">
        <f>IFERROR(VLOOKUP(I2493,Materiales!$A:$G,7,0),"")</f>
        <v/>
      </c>
      <c r="L2493" s="8" t="inlineStr">
        <is>
          <t>20260807</t>
        </is>
      </c>
      <c r="M2493" s="8" t="inlineStr">
        <is>
          <t>99991231</t>
        </is>
      </c>
      <c r="N2493" s="10" t="n">
        <v>127</v>
      </c>
      <c r="O2493" s="10">
        <f>IFERROR(VLOOKUP(A2493,Flete!$A:$J,10,0),"")</f>
        <v/>
      </c>
      <c r="P2493" s="8" t="inlineStr">
        <is>
          <t>TN</t>
        </is>
      </c>
      <c r="Q2493" s="10">
        <f>IFERROR(IFERROR(VLOOKUP(A2493,TRAOPE!$A:$U,21,0),VLOOKUP(B2493,TRAOPE!$A:$U,21,0)),"")</f>
        <v/>
      </c>
      <c r="R2493" s="8">
        <f>IFERROR(IFERROR(VLOOKUP(A2493,TRAOPE!$A:$W,23,0),VLOOKUP(B2493,TRAOPE!$A:$W,23,0)),"")</f>
        <v/>
      </c>
      <c r="S2493" s="10">
        <f>IF(AND(P2493="TN",R2493="TN"),N2493+N(O2493),IF(G2493&amp;""="1",N(K2493)*N2493,(N2493+N(O2493))*N(K2493)))</f>
        <v/>
      </c>
      <c r="T2493" s="10">
        <f>IF(Q2493="","",Q2493-S2493)</f>
        <v/>
      </c>
    </row>
    <row r="2494">
      <c r="A2494" s="7">
        <f>CONCATENATE(C2494,E2494,F2494,I2494)</f>
        <v/>
      </c>
      <c r="B2494" s="7">
        <f>CONCATENATE(C2494,E2494,I2494)</f>
        <v/>
      </c>
      <c r="C2494" s="8" t="n">
        <v>900003601</v>
      </c>
      <c r="D2494" s="7">
        <f>IFERROR(VLOOKUP(C2494,TRAOPE!$G:$H,2,0),"")</f>
        <v/>
      </c>
      <c r="E2494" s="8" t="inlineStr">
        <is>
          <t>D836</t>
        </is>
      </c>
      <c r="F2494" s="8" t="inlineStr">
        <is>
          <t>67328420</t>
        </is>
      </c>
      <c r="G2494" s="8">
        <f>IFERROR(VLOOKUP(A2494,Flete!$A:$E,5,0),"")</f>
        <v/>
      </c>
      <c r="H2494" s="7">
        <f>IFERROR(VLOOKUP(F2494,TRAOPE!$AA:$AB,2,0),"")</f>
        <v/>
      </c>
      <c r="I2494" s="7" t="n">
        <v>10000623</v>
      </c>
      <c r="J2494" s="7">
        <f>IFERROR(VLOOKUP(I2494,Materiales!$A:$H,8,0),"")</f>
        <v/>
      </c>
      <c r="K2494" s="9">
        <f>IFERROR(VLOOKUP(I2494,Materiales!$A:$G,7,0),"")</f>
        <v/>
      </c>
      <c r="L2494" s="8" t="inlineStr">
        <is>
          <t>20260611</t>
        </is>
      </c>
      <c r="M2494" s="8" t="inlineStr">
        <is>
          <t>99991231</t>
        </is>
      </c>
      <c r="N2494" s="10" t="n">
        <v>123.5</v>
      </c>
      <c r="O2494" s="10">
        <f>IFERROR(VLOOKUP(A2494,Flete!$A:$J,10,0),"")</f>
        <v/>
      </c>
      <c r="P2494" s="8" t="inlineStr">
        <is>
          <t>TN</t>
        </is>
      </c>
      <c r="Q2494" s="10">
        <f>IFERROR(IFERROR(VLOOKUP(A2494,TRAOPE!$A:$U,21,0),VLOOKUP(B2494,TRAOPE!$A:$U,21,0)),"")</f>
        <v/>
      </c>
      <c r="R2494" s="8">
        <f>IFERROR(IFERROR(VLOOKUP(A2494,TRAOPE!$A:$W,23,0),VLOOKUP(B2494,TRAOPE!$A:$W,23,0)),"")</f>
        <v/>
      </c>
      <c r="S2494" s="10">
        <f>IF(AND(P2494="TN",R2494="TN"),N2494+N(O2494),IF(G2494&amp;""="1",N(K2494)*N2494,(N2494+N(O2494))*N(K2494)))</f>
        <v/>
      </c>
      <c r="T2494" s="10">
        <f>IF(Q2494="","",Q2494-S2494)</f>
        <v/>
      </c>
    </row>
    <row r="2495">
      <c r="A2495" s="7">
        <f>CONCATENATE(C2495,E2495,F2495,I2495)</f>
        <v/>
      </c>
      <c r="B2495" s="7">
        <f>CONCATENATE(C2495,E2495,I2495)</f>
        <v/>
      </c>
      <c r="C2495" s="8" t="n">
        <v>900003601</v>
      </c>
      <c r="D2495" s="7">
        <f>IFERROR(VLOOKUP(C2495,TRAOPE!$G:$H,2,0),"")</f>
        <v/>
      </c>
      <c r="E2495" s="8" t="inlineStr">
        <is>
          <t>D836</t>
        </is>
      </c>
      <c r="F2495" s="8" t="inlineStr">
        <is>
          <t>67328420</t>
        </is>
      </c>
      <c r="G2495" s="8">
        <f>IFERROR(VLOOKUP(A2495,Flete!$A:$E,5,0),"")</f>
        <v/>
      </c>
      <c r="H2495" s="7">
        <f>IFERROR(VLOOKUP(F2495,TRAOPE!$AA:$AB,2,0),"")</f>
        <v/>
      </c>
      <c r="I2495" s="7" t="n">
        <v>10000624</v>
      </c>
      <c r="J2495" s="7">
        <f>IFERROR(VLOOKUP(I2495,Materiales!$A:$H,8,0),"")</f>
        <v/>
      </c>
      <c r="K2495" s="9">
        <f>IFERROR(VLOOKUP(I2495,Materiales!$A:$G,7,0),"")</f>
        <v/>
      </c>
      <c r="L2495" s="8" t="inlineStr">
        <is>
          <t>20260611</t>
        </is>
      </c>
      <c r="M2495" s="8" t="inlineStr">
        <is>
          <t>99991231</t>
        </is>
      </c>
      <c r="N2495" s="10" t="n">
        <v>123.5</v>
      </c>
      <c r="O2495" s="10">
        <f>IFERROR(VLOOKUP(A2495,Flete!$A:$J,10,0),"")</f>
        <v/>
      </c>
      <c r="P2495" s="8" t="inlineStr">
        <is>
          <t>TN</t>
        </is>
      </c>
      <c r="Q2495" s="10">
        <f>IFERROR(IFERROR(VLOOKUP(A2495,TRAOPE!$A:$U,21,0),VLOOKUP(B2495,TRAOPE!$A:$U,21,0)),"")</f>
        <v/>
      </c>
      <c r="R2495" s="8">
        <f>IFERROR(IFERROR(VLOOKUP(A2495,TRAOPE!$A:$W,23,0),VLOOKUP(B2495,TRAOPE!$A:$W,23,0)),"")</f>
        <v/>
      </c>
      <c r="S2495" s="10">
        <f>IF(AND(P2495="TN",R2495="TN"),N2495+N(O2495),IF(G2495&amp;""="1",N(K2495)*N2495,(N2495+N(O2495))*N(K2495)))</f>
        <v/>
      </c>
      <c r="T2495" s="10">
        <f>IF(Q2495="","",Q2495-S2495)</f>
        <v/>
      </c>
    </row>
    <row r="2496">
      <c r="A2496" s="7">
        <f>CONCATENATE(C2496,E2496,F2496,I2496)</f>
        <v/>
      </c>
      <c r="B2496" s="7">
        <f>CONCATENATE(C2496,E2496,I2496)</f>
        <v/>
      </c>
      <c r="C2496" s="8" t="n">
        <v>900003601</v>
      </c>
      <c r="D2496" s="7">
        <f>IFERROR(VLOOKUP(C2496,TRAOPE!$G:$H,2,0),"")</f>
        <v/>
      </c>
      <c r="E2496" s="8" t="inlineStr">
        <is>
          <t>D836</t>
        </is>
      </c>
      <c r="F2496" s="8" t="inlineStr">
        <is>
          <t>67328420</t>
        </is>
      </c>
      <c r="G2496" s="8">
        <f>IFERROR(VLOOKUP(A2496,Flete!$A:$E,5,0),"")</f>
        <v/>
      </c>
      <c r="H2496" s="7">
        <f>IFERROR(VLOOKUP(F2496,TRAOPE!$AA:$AB,2,0),"")</f>
        <v/>
      </c>
      <c r="I2496" s="7" t="n">
        <v>10000811</v>
      </c>
      <c r="J2496" s="7">
        <f>IFERROR(VLOOKUP(I2496,Materiales!$A:$H,8,0),"")</f>
        <v/>
      </c>
      <c r="K2496" s="9">
        <f>IFERROR(VLOOKUP(I2496,Materiales!$A:$G,7,0),"")</f>
        <v/>
      </c>
      <c r="L2496" s="8" t="inlineStr">
        <is>
          <t>20260611</t>
        </is>
      </c>
      <c r="M2496" s="8" t="inlineStr">
        <is>
          <t>99991231</t>
        </is>
      </c>
      <c r="N2496" s="10" t="n">
        <v>123.5</v>
      </c>
      <c r="O2496" s="10">
        <f>IFERROR(VLOOKUP(A2496,Flete!$A:$J,10,0),"")</f>
        <v/>
      </c>
      <c r="P2496" s="8" t="inlineStr">
        <is>
          <t>TN</t>
        </is>
      </c>
      <c r="Q2496" s="10">
        <f>IFERROR(IFERROR(VLOOKUP(A2496,TRAOPE!$A:$U,21,0),VLOOKUP(B2496,TRAOPE!$A:$U,21,0)),"")</f>
        <v/>
      </c>
      <c r="R2496" s="8">
        <f>IFERROR(IFERROR(VLOOKUP(A2496,TRAOPE!$A:$W,23,0),VLOOKUP(B2496,TRAOPE!$A:$W,23,0)),"")</f>
        <v/>
      </c>
      <c r="S2496" s="10">
        <f>IF(AND(P2496="TN",R2496="TN"),N2496+N(O2496),IF(G2496&amp;""="1",N(K2496)*N2496,(N2496+N(O2496))*N(K2496)))</f>
        <v/>
      </c>
      <c r="T2496" s="10">
        <f>IF(Q2496="","",Q2496-S2496)</f>
        <v/>
      </c>
    </row>
    <row r="2497">
      <c r="A2497" s="7">
        <f>CONCATENATE(C2497,E2497,F2497,I2497)</f>
        <v/>
      </c>
      <c r="B2497" s="7">
        <f>CONCATENATE(C2497,E2497,I2497)</f>
        <v/>
      </c>
      <c r="C2497" s="8" t="n">
        <v>900003601</v>
      </c>
      <c r="D2497" s="7">
        <f>IFERROR(VLOOKUP(C2497,TRAOPE!$G:$H,2,0),"")</f>
        <v/>
      </c>
      <c r="E2497" s="8" t="inlineStr">
        <is>
          <t>D836</t>
        </is>
      </c>
      <c r="F2497" s="8" t="inlineStr">
        <is>
          <t>67330388</t>
        </is>
      </c>
      <c r="G2497" s="8">
        <f>IFERROR(VLOOKUP(A2497,Flete!$A:$E,5,0),"")</f>
        <v/>
      </c>
      <c r="H2497" s="7">
        <f>IFERROR(VLOOKUP(F2497,TRAOPE!$AA:$AB,2,0),"")</f>
        <v/>
      </c>
      <c r="I2497" s="7" t="n">
        <v>10000623</v>
      </c>
      <c r="J2497" s="7">
        <f>IFERROR(VLOOKUP(I2497,Materiales!$A:$H,8,0),"")</f>
        <v/>
      </c>
      <c r="K2497" s="9">
        <f>IFERROR(VLOOKUP(I2497,Materiales!$A:$G,7,0),"")</f>
        <v/>
      </c>
      <c r="L2497" s="8" t="inlineStr">
        <is>
          <t>20170101</t>
        </is>
      </c>
      <c r="M2497" s="8" t="inlineStr">
        <is>
          <t>99991231</t>
        </is>
      </c>
      <c r="N2497" s="10" t="n">
        <v>115</v>
      </c>
      <c r="O2497" s="10">
        <f>IFERROR(VLOOKUP(A2497,Flete!$A:$J,10,0),"")</f>
        <v/>
      </c>
      <c r="P2497" s="8" t="inlineStr">
        <is>
          <t>TN</t>
        </is>
      </c>
      <c r="Q2497" s="10">
        <f>IFERROR(IFERROR(VLOOKUP(A2497,TRAOPE!$A:$U,21,0),VLOOKUP(B2497,TRAOPE!$A:$U,21,0)),"")</f>
        <v/>
      </c>
      <c r="R2497" s="8">
        <f>IFERROR(IFERROR(VLOOKUP(A2497,TRAOPE!$A:$W,23,0),VLOOKUP(B2497,TRAOPE!$A:$W,23,0)),"")</f>
        <v/>
      </c>
      <c r="S2497" s="10">
        <f>IF(AND(P2497="TN",R2497="TN"),N2497+N(O2497),IF(G2497&amp;""="1",N(K2497)*N2497,(N2497+N(O2497))*N(K2497)))</f>
        <v/>
      </c>
      <c r="T2497" s="10">
        <f>IF(Q2497="","",Q2497-S2497)</f>
        <v/>
      </c>
    </row>
    <row r="2498">
      <c r="A2498" s="7">
        <f>CONCATENATE(C2498,E2498,F2498,I2498)</f>
        <v/>
      </c>
      <c r="B2498" s="7">
        <f>CONCATENATE(C2498,E2498,I2498)</f>
        <v/>
      </c>
      <c r="C2498" s="8" t="n">
        <v>900003601</v>
      </c>
      <c r="D2498" s="7">
        <f>IFERROR(VLOOKUP(C2498,TRAOPE!$G:$H,2,0),"")</f>
        <v/>
      </c>
      <c r="E2498" s="8" t="inlineStr">
        <is>
          <t>D836</t>
        </is>
      </c>
      <c r="F2498" s="8" t="inlineStr">
        <is>
          <t>67366346</t>
        </is>
      </c>
      <c r="G2498" s="8">
        <f>IFERROR(VLOOKUP(A2498,Flete!$A:$E,5,0),"")</f>
        <v/>
      </c>
      <c r="H2498" s="7">
        <f>IFERROR(VLOOKUP(F2498,TRAOPE!$AA:$AB,2,0),"")</f>
        <v/>
      </c>
      <c r="I2498" s="7" t="n">
        <v>10000811</v>
      </c>
      <c r="J2498" s="7">
        <f>IFERROR(VLOOKUP(I2498,Materiales!$A:$H,8,0),"")</f>
        <v/>
      </c>
      <c r="K2498" s="9">
        <f>IFERROR(VLOOKUP(I2498,Materiales!$A:$G,7,0),"")</f>
        <v/>
      </c>
      <c r="L2498" s="8" t="inlineStr">
        <is>
          <t>20260819</t>
        </is>
      </c>
      <c r="M2498" s="8" t="inlineStr">
        <is>
          <t>99991231</t>
        </is>
      </c>
      <c r="N2498" s="10" t="n">
        <v>134</v>
      </c>
      <c r="O2498" s="10">
        <f>IFERROR(VLOOKUP(A2498,Flete!$A:$J,10,0),"")</f>
        <v/>
      </c>
      <c r="P2498" s="8" t="inlineStr">
        <is>
          <t>TN</t>
        </is>
      </c>
      <c r="Q2498" s="10">
        <f>IFERROR(IFERROR(VLOOKUP(A2498,TRAOPE!$A:$U,21,0),VLOOKUP(B2498,TRAOPE!$A:$U,21,0)),"")</f>
        <v/>
      </c>
      <c r="R2498" s="8">
        <f>IFERROR(IFERROR(VLOOKUP(A2498,TRAOPE!$A:$W,23,0),VLOOKUP(B2498,TRAOPE!$A:$W,23,0)),"")</f>
        <v/>
      </c>
      <c r="S2498" s="10">
        <f>IF(AND(P2498="TN",R2498="TN"),N2498+N(O2498),IF(G2498&amp;""="1",N(K2498)*N2498,(N2498+N(O2498))*N(K2498)))</f>
        <v/>
      </c>
      <c r="T2498" s="10">
        <f>IF(Q2498="","",Q2498-S2498)</f>
        <v/>
      </c>
    </row>
    <row r="2499">
      <c r="A2499" s="7">
        <f>CONCATENATE(C2499,E2499,F2499,I2499)</f>
        <v/>
      </c>
      <c r="B2499" s="7">
        <f>CONCATENATE(C2499,E2499,I2499)</f>
        <v/>
      </c>
      <c r="C2499" s="8" t="n">
        <v>900003601</v>
      </c>
      <c r="D2499" s="7">
        <f>IFERROR(VLOOKUP(C2499,TRAOPE!$G:$H,2,0),"")</f>
        <v/>
      </c>
      <c r="E2499" s="8" t="inlineStr">
        <is>
          <t>D836</t>
        </is>
      </c>
      <c r="F2499" s="8" t="inlineStr">
        <is>
          <t>67366360</t>
        </is>
      </c>
      <c r="G2499" s="8">
        <f>IFERROR(VLOOKUP(A2499,Flete!$A:$E,5,0),"")</f>
        <v/>
      </c>
      <c r="H2499" s="7">
        <f>IFERROR(VLOOKUP(F2499,TRAOPE!$AA:$AB,2,0),"")</f>
        <v/>
      </c>
      <c r="I2499" s="7" t="n">
        <v>10000811</v>
      </c>
      <c r="J2499" s="7">
        <f>IFERROR(VLOOKUP(I2499,Materiales!$A:$H,8,0),"")</f>
        <v/>
      </c>
      <c r="K2499" s="9">
        <f>IFERROR(VLOOKUP(I2499,Materiales!$A:$G,7,0),"")</f>
        <v/>
      </c>
      <c r="L2499" s="8" t="inlineStr">
        <is>
          <t>20260819</t>
        </is>
      </c>
      <c r="M2499" s="8" t="inlineStr">
        <is>
          <t>99991231</t>
        </is>
      </c>
      <c r="N2499" s="10" t="n">
        <v>134</v>
      </c>
      <c r="O2499" s="10">
        <f>IFERROR(VLOOKUP(A2499,Flete!$A:$J,10,0),"")</f>
        <v/>
      </c>
      <c r="P2499" s="8" t="inlineStr">
        <is>
          <t>TN</t>
        </is>
      </c>
      <c r="Q2499" s="10">
        <f>IFERROR(IFERROR(VLOOKUP(A2499,TRAOPE!$A:$U,21,0),VLOOKUP(B2499,TRAOPE!$A:$U,21,0)),"")</f>
        <v/>
      </c>
      <c r="R2499" s="8">
        <f>IFERROR(IFERROR(VLOOKUP(A2499,TRAOPE!$A:$W,23,0),VLOOKUP(B2499,TRAOPE!$A:$W,23,0)),"")</f>
        <v/>
      </c>
      <c r="S2499" s="10">
        <f>IF(AND(P2499="TN",R2499="TN"),N2499+N(O2499),IF(G2499&amp;""="1",N(K2499)*N2499,(N2499+N(O2499))*N(K2499)))</f>
        <v/>
      </c>
      <c r="T2499" s="10">
        <f>IF(Q2499="","",Q2499-S2499)</f>
        <v/>
      </c>
    </row>
    <row r="2500">
      <c r="A2500" s="7">
        <f>CONCATENATE(C2500,E2500,F2500,I2500)</f>
        <v/>
      </c>
      <c r="B2500" s="7">
        <f>CONCATENATE(C2500,E2500,I2500)</f>
        <v/>
      </c>
      <c r="C2500" s="8" t="n">
        <v>900003601</v>
      </c>
      <c r="D2500" s="7">
        <f>IFERROR(VLOOKUP(C2500,TRAOPE!$G:$H,2,0),"")</f>
        <v/>
      </c>
      <c r="E2500" s="8" t="inlineStr">
        <is>
          <t>D836</t>
        </is>
      </c>
      <c r="F2500" s="8" t="inlineStr">
        <is>
          <t>67366371</t>
        </is>
      </c>
      <c r="G2500" s="8">
        <f>IFERROR(VLOOKUP(A2500,Flete!$A:$E,5,0),"")</f>
        <v/>
      </c>
      <c r="H2500" s="7">
        <f>IFERROR(VLOOKUP(F2500,TRAOPE!$AA:$AB,2,0),"")</f>
        <v/>
      </c>
      <c r="I2500" s="7" t="n">
        <v>10000811</v>
      </c>
      <c r="J2500" s="7">
        <f>IFERROR(VLOOKUP(I2500,Materiales!$A:$H,8,0),"")</f>
        <v/>
      </c>
      <c r="K2500" s="9">
        <f>IFERROR(VLOOKUP(I2500,Materiales!$A:$G,7,0),"")</f>
        <v/>
      </c>
      <c r="L2500" s="8" t="inlineStr">
        <is>
          <t>20260819</t>
        </is>
      </c>
      <c r="M2500" s="8" t="inlineStr">
        <is>
          <t>99991231</t>
        </is>
      </c>
      <c r="N2500" s="10" t="n">
        <v>134</v>
      </c>
      <c r="O2500" s="10">
        <f>IFERROR(VLOOKUP(A2500,Flete!$A:$J,10,0),"")</f>
        <v/>
      </c>
      <c r="P2500" s="8" t="inlineStr">
        <is>
          <t>TN</t>
        </is>
      </c>
      <c r="Q2500" s="10">
        <f>IFERROR(IFERROR(VLOOKUP(A2500,TRAOPE!$A:$U,21,0),VLOOKUP(B2500,TRAOPE!$A:$U,21,0)),"")</f>
        <v/>
      </c>
      <c r="R2500" s="8">
        <f>IFERROR(IFERROR(VLOOKUP(A2500,TRAOPE!$A:$W,23,0),VLOOKUP(B2500,TRAOPE!$A:$W,23,0)),"")</f>
        <v/>
      </c>
      <c r="S2500" s="10">
        <f>IF(AND(P2500="TN",R2500="TN"),N2500+N(O2500),IF(G2500&amp;""="1",N(K2500)*N2500,(N2500+N(O2500))*N(K2500)))</f>
        <v/>
      </c>
      <c r="T2500" s="10">
        <f>IF(Q2500="","",Q2500-S2500)</f>
        <v/>
      </c>
    </row>
    <row r="2501">
      <c r="A2501" s="7">
        <f>CONCATENATE(C2501,E2501,F2501,I2501)</f>
        <v/>
      </c>
      <c r="B2501" s="7">
        <f>CONCATENATE(C2501,E2501,I2501)</f>
        <v/>
      </c>
      <c r="C2501" s="8" t="n">
        <v>900003601</v>
      </c>
      <c r="D2501" s="7">
        <f>IFERROR(VLOOKUP(C2501,TRAOPE!$G:$H,2,0),"")</f>
        <v/>
      </c>
      <c r="E2501" s="8" t="inlineStr">
        <is>
          <t>D836</t>
        </is>
      </c>
      <c r="F2501" s="8" t="inlineStr">
        <is>
          <t>67387748</t>
        </is>
      </c>
      <c r="G2501" s="8">
        <f>IFERROR(VLOOKUP(A2501,Flete!$A:$E,5,0),"")</f>
        <v/>
      </c>
      <c r="H2501" s="7">
        <f>IFERROR(VLOOKUP(F2501,TRAOPE!$AA:$AB,2,0),"")</f>
        <v/>
      </c>
      <c r="I2501" s="7" t="n">
        <v>10000623</v>
      </c>
      <c r="J2501" s="7">
        <f>IFERROR(VLOOKUP(I2501,Materiales!$A:$H,8,0),"")</f>
        <v/>
      </c>
      <c r="K2501" s="9">
        <f>IFERROR(VLOOKUP(I2501,Materiales!$A:$G,7,0),"")</f>
        <v/>
      </c>
      <c r="L2501" s="8" t="inlineStr">
        <is>
          <t>20260901</t>
        </is>
      </c>
      <c r="M2501" s="8" t="inlineStr">
        <is>
          <t>99991231</t>
        </is>
      </c>
      <c r="N2501" s="10" t="n">
        <v>120</v>
      </c>
      <c r="O2501" s="10">
        <f>IFERROR(VLOOKUP(A2501,Flete!$A:$J,10,0),"")</f>
        <v/>
      </c>
      <c r="P2501" s="8" t="inlineStr">
        <is>
          <t>TN</t>
        </is>
      </c>
      <c r="Q2501" s="10">
        <f>IFERROR(IFERROR(VLOOKUP(A2501,TRAOPE!$A:$U,21,0),VLOOKUP(B2501,TRAOPE!$A:$U,21,0)),"")</f>
        <v/>
      </c>
      <c r="R2501" s="8">
        <f>IFERROR(IFERROR(VLOOKUP(A2501,TRAOPE!$A:$W,23,0),VLOOKUP(B2501,TRAOPE!$A:$W,23,0)),"")</f>
        <v/>
      </c>
      <c r="S2501" s="10">
        <f>IF(AND(P2501="TN",R2501="TN"),N2501+N(O2501),IF(G2501&amp;""="1",N(K2501)*N2501,(N2501+N(O2501))*N(K2501)))</f>
        <v/>
      </c>
      <c r="T2501" s="10">
        <f>IF(Q2501="","",Q2501-S2501)</f>
        <v/>
      </c>
    </row>
    <row r="2502">
      <c r="A2502" s="7">
        <f>CONCATENATE(C2502,E2502,F2502,I2502)</f>
        <v/>
      </c>
      <c r="B2502" s="7">
        <f>CONCATENATE(C2502,E2502,I2502)</f>
        <v/>
      </c>
      <c r="C2502" s="8" t="n">
        <v>900003601</v>
      </c>
      <c r="D2502" s="7">
        <f>IFERROR(VLOOKUP(C2502,TRAOPE!$G:$H,2,0),"")</f>
        <v/>
      </c>
      <c r="E2502" s="8" t="inlineStr">
        <is>
          <t>D836</t>
        </is>
      </c>
      <c r="F2502" s="8" t="inlineStr">
        <is>
          <t>67387748</t>
        </is>
      </c>
      <c r="G2502" s="8">
        <f>IFERROR(VLOOKUP(A2502,Flete!$A:$E,5,0),"")</f>
        <v/>
      </c>
      <c r="H2502" s="7">
        <f>IFERROR(VLOOKUP(F2502,TRAOPE!$AA:$AB,2,0),"")</f>
        <v/>
      </c>
      <c r="I2502" s="7" t="n">
        <v>10000624</v>
      </c>
      <c r="J2502" s="7">
        <f>IFERROR(VLOOKUP(I2502,Materiales!$A:$H,8,0),"")</f>
        <v/>
      </c>
      <c r="K2502" s="9">
        <f>IFERROR(VLOOKUP(I2502,Materiales!$A:$G,7,0),"")</f>
        <v/>
      </c>
      <c r="L2502" s="8" t="inlineStr">
        <is>
          <t>20260820</t>
        </is>
      </c>
      <c r="M2502" s="8" t="inlineStr">
        <is>
          <t>99991231</t>
        </is>
      </c>
      <c r="N2502" s="10" t="n">
        <v>117</v>
      </c>
      <c r="O2502" s="10">
        <f>IFERROR(VLOOKUP(A2502,Flete!$A:$J,10,0),"")</f>
        <v/>
      </c>
      <c r="P2502" s="8" t="inlineStr">
        <is>
          <t>TN</t>
        </is>
      </c>
      <c r="Q2502" s="10">
        <f>IFERROR(IFERROR(VLOOKUP(A2502,TRAOPE!$A:$U,21,0),VLOOKUP(B2502,TRAOPE!$A:$U,21,0)),"")</f>
        <v/>
      </c>
      <c r="R2502" s="8">
        <f>IFERROR(IFERROR(VLOOKUP(A2502,TRAOPE!$A:$W,23,0),VLOOKUP(B2502,TRAOPE!$A:$W,23,0)),"")</f>
        <v/>
      </c>
      <c r="S2502" s="10">
        <f>IF(AND(P2502="TN",R2502="TN"),N2502+N(O2502),IF(G2502&amp;""="1",N(K2502)*N2502,(N2502+N(O2502))*N(K2502)))</f>
        <v/>
      </c>
      <c r="T2502" s="10">
        <f>IF(Q2502="","",Q2502-S2502)</f>
        <v/>
      </c>
    </row>
    <row r="2503">
      <c r="A2503" s="7">
        <f>CONCATENATE(C2503,E2503,F2503,I2503)</f>
        <v/>
      </c>
      <c r="B2503" s="7">
        <f>CONCATENATE(C2503,E2503,I2503)</f>
        <v/>
      </c>
      <c r="C2503" s="8" t="n">
        <v>900003601</v>
      </c>
      <c r="D2503" s="7">
        <f>IFERROR(VLOOKUP(C2503,TRAOPE!$G:$H,2,0),"")</f>
        <v/>
      </c>
      <c r="E2503" s="8" t="inlineStr">
        <is>
          <t>D836</t>
        </is>
      </c>
      <c r="F2503" s="8" t="inlineStr">
        <is>
          <t>67387748</t>
        </is>
      </c>
      <c r="G2503" s="8">
        <f>IFERROR(VLOOKUP(A2503,Flete!$A:$E,5,0),"")</f>
        <v/>
      </c>
      <c r="H2503" s="7">
        <f>IFERROR(VLOOKUP(F2503,TRAOPE!$AA:$AB,2,0),"")</f>
        <v/>
      </c>
      <c r="I2503" s="7" t="n">
        <v>10000811</v>
      </c>
      <c r="J2503" s="7">
        <f>IFERROR(VLOOKUP(I2503,Materiales!$A:$H,8,0),"")</f>
        <v/>
      </c>
      <c r="K2503" s="9">
        <f>IFERROR(VLOOKUP(I2503,Materiales!$A:$G,7,0),"")</f>
        <v/>
      </c>
      <c r="L2503" s="8" t="inlineStr">
        <is>
          <t>20260831</t>
        </is>
      </c>
      <c r="M2503" s="8" t="inlineStr">
        <is>
          <t>99991231</t>
        </is>
      </c>
      <c r="N2503" s="10" t="n">
        <v>127</v>
      </c>
      <c r="O2503" s="10">
        <f>IFERROR(VLOOKUP(A2503,Flete!$A:$J,10,0),"")</f>
        <v/>
      </c>
      <c r="P2503" s="8" t="inlineStr">
        <is>
          <t>TN</t>
        </is>
      </c>
      <c r="Q2503" s="10">
        <f>IFERROR(IFERROR(VLOOKUP(A2503,TRAOPE!$A:$U,21,0),VLOOKUP(B2503,TRAOPE!$A:$U,21,0)),"")</f>
        <v/>
      </c>
      <c r="R2503" s="8">
        <f>IFERROR(IFERROR(VLOOKUP(A2503,TRAOPE!$A:$W,23,0),VLOOKUP(B2503,TRAOPE!$A:$W,23,0)),"")</f>
        <v/>
      </c>
      <c r="S2503" s="10">
        <f>IF(AND(P2503="TN",R2503="TN"),N2503+N(O2503),IF(G2503&amp;""="1",N(K2503)*N2503,(N2503+N(O2503))*N(K2503)))</f>
        <v/>
      </c>
      <c r="T2503" s="10">
        <f>IF(Q2503="","",Q2503-S2503)</f>
        <v/>
      </c>
    </row>
    <row r="2504">
      <c r="A2504" s="7">
        <f>CONCATENATE(C2504,E2504,F2504,I2504)</f>
        <v/>
      </c>
      <c r="B2504" s="7">
        <f>CONCATENATE(C2504,E2504,I2504)</f>
        <v/>
      </c>
      <c r="C2504" s="8" t="n">
        <v>900003609</v>
      </c>
      <c r="D2504" s="7">
        <f>IFERROR(VLOOKUP(C2504,TRAOPE!$G:$H,2,0),"")</f>
        <v/>
      </c>
      <c r="E2504" s="8" t="inlineStr">
        <is>
          <t>D836</t>
        </is>
      </c>
      <c r="F2504" s="8" t="inlineStr">
        <is>
          <t>65016451</t>
        </is>
      </c>
      <c r="G2504" s="8">
        <f>IFERROR(VLOOKUP(A2504,Flete!$A:$E,5,0),"")</f>
        <v/>
      </c>
      <c r="H2504" s="7">
        <f>IFERROR(VLOOKUP(F2504,TRAOPE!$AA:$AB,2,0),"")</f>
        <v/>
      </c>
      <c r="I2504" s="7" t="n">
        <v>10000630</v>
      </c>
      <c r="J2504" s="7">
        <f>IFERROR(VLOOKUP(I2504,Materiales!$A:$H,8,0),"")</f>
        <v/>
      </c>
      <c r="K2504" s="9">
        <f>IFERROR(VLOOKUP(I2504,Materiales!$A:$G,7,0),"")</f>
        <v/>
      </c>
      <c r="L2504" s="8" t="inlineStr">
        <is>
          <t>20260401</t>
        </is>
      </c>
      <c r="M2504" s="8" t="inlineStr">
        <is>
          <t>99991231</t>
        </is>
      </c>
      <c r="N2504" s="10" t="n">
        <v>180</v>
      </c>
      <c r="O2504" s="10">
        <f>IFERROR(VLOOKUP(A2504,Flete!$A:$J,10,0),"")</f>
        <v/>
      </c>
      <c r="P2504" s="8" t="inlineStr">
        <is>
          <t>M3</t>
        </is>
      </c>
      <c r="Q2504" s="10">
        <f>IFERROR(IFERROR(VLOOKUP(A2504,TRAOPE!$A:$U,21,0),VLOOKUP(B2504,TRAOPE!$A:$U,21,0)),"")</f>
        <v/>
      </c>
      <c r="R2504" s="8">
        <f>IFERROR(IFERROR(VLOOKUP(A2504,TRAOPE!$A:$W,23,0),VLOOKUP(B2504,TRAOPE!$A:$W,23,0)),"")</f>
        <v/>
      </c>
      <c r="S2504" s="10">
        <f>IF(AND(P2504="TN",R2504="TN"),N2504+N(O2504),IF(G2504&amp;""="1",N(K2504)*N2504,(N2504+N(O2504))*N(K2504)))</f>
        <v/>
      </c>
      <c r="T2504" s="10">
        <f>IF(Q2504="","",Q2504-S2504)</f>
        <v/>
      </c>
    </row>
    <row r="2505">
      <c r="A2505" s="7">
        <f>CONCATENATE(C2505,E2505,F2505,I2505)</f>
        <v/>
      </c>
      <c r="B2505" s="7">
        <f>CONCATENATE(C2505,E2505,I2505)</f>
        <v/>
      </c>
      <c r="C2505" s="8" t="n">
        <v>900003609</v>
      </c>
      <c r="D2505" s="7">
        <f>IFERROR(VLOOKUP(C2505,TRAOPE!$G:$H,2,0),"")</f>
        <v/>
      </c>
      <c r="E2505" s="8" t="inlineStr">
        <is>
          <t>D836</t>
        </is>
      </c>
      <c r="F2505" s="8" t="inlineStr">
        <is>
          <t>65016451</t>
        </is>
      </c>
      <c r="G2505" s="8">
        <f>IFERROR(VLOOKUP(A2505,Flete!$A:$E,5,0),"")</f>
        <v/>
      </c>
      <c r="H2505" s="7">
        <f>IFERROR(VLOOKUP(F2505,TRAOPE!$AA:$AB,2,0),"")</f>
        <v/>
      </c>
      <c r="I2505" s="7" t="n">
        <v>10000811</v>
      </c>
      <c r="J2505" s="7">
        <f>IFERROR(VLOOKUP(I2505,Materiales!$A:$H,8,0),"")</f>
        <v/>
      </c>
      <c r="K2505" s="9">
        <f>IFERROR(VLOOKUP(I2505,Materiales!$A:$G,7,0),"")</f>
        <v/>
      </c>
      <c r="L2505" s="8" t="inlineStr">
        <is>
          <t>20260730</t>
        </is>
      </c>
      <c r="M2505" s="8" t="inlineStr">
        <is>
          <t>99991231</t>
        </is>
      </c>
      <c r="N2505" s="10" t="n">
        <v>190</v>
      </c>
      <c r="O2505" s="10">
        <f>IFERROR(VLOOKUP(A2505,Flete!$A:$J,10,0),"")</f>
        <v/>
      </c>
      <c r="P2505" s="8" t="inlineStr">
        <is>
          <t>M3</t>
        </is>
      </c>
      <c r="Q2505" s="10">
        <f>IFERROR(IFERROR(VLOOKUP(A2505,TRAOPE!$A:$U,21,0),VLOOKUP(B2505,TRAOPE!$A:$U,21,0)),"")</f>
        <v/>
      </c>
      <c r="R2505" s="8">
        <f>IFERROR(IFERROR(VLOOKUP(A2505,TRAOPE!$A:$W,23,0),VLOOKUP(B2505,TRAOPE!$A:$W,23,0)),"")</f>
        <v/>
      </c>
      <c r="S2505" s="10">
        <f>IF(AND(P2505="TN",R2505="TN"),N2505+N(O2505),IF(G2505&amp;""="1",N(K2505)*N2505,(N2505+N(O2505))*N(K2505)))</f>
        <v/>
      </c>
      <c r="T2505" s="10">
        <f>IF(Q2505="","",Q2505-S2505)</f>
        <v/>
      </c>
    </row>
    <row r="2506">
      <c r="A2506" s="7">
        <f>CONCATENATE(C2506,E2506,F2506,I2506)</f>
        <v/>
      </c>
      <c r="B2506" s="7">
        <f>CONCATENATE(C2506,E2506,I2506)</f>
        <v/>
      </c>
      <c r="C2506" s="8" t="n">
        <v>900003609</v>
      </c>
      <c r="D2506" s="7">
        <f>IFERROR(VLOOKUP(C2506,TRAOPE!$G:$H,2,0),"")</f>
        <v/>
      </c>
      <c r="E2506" s="8" t="inlineStr">
        <is>
          <t>D836</t>
        </is>
      </c>
      <c r="F2506" s="8" t="inlineStr">
        <is>
          <t>66233244</t>
        </is>
      </c>
      <c r="G2506" s="8">
        <f>IFERROR(VLOOKUP(A2506,Flete!$A:$E,5,0),"")</f>
        <v/>
      </c>
      <c r="H2506" s="7">
        <f>IFERROR(VLOOKUP(F2506,TRAOPE!$AA:$AB,2,0),"")</f>
        <v/>
      </c>
      <c r="I2506" s="7" t="n">
        <v>10000811</v>
      </c>
      <c r="J2506" s="7">
        <f>IFERROR(VLOOKUP(I2506,Materiales!$A:$H,8,0),"")</f>
        <v/>
      </c>
      <c r="K2506" s="9">
        <f>IFERROR(VLOOKUP(I2506,Materiales!$A:$G,7,0),"")</f>
        <v/>
      </c>
      <c r="L2506" s="8" t="inlineStr">
        <is>
          <t>20260213</t>
        </is>
      </c>
      <c r="M2506" s="8" t="inlineStr">
        <is>
          <t>99991231</t>
        </is>
      </c>
      <c r="N2506" s="10" t="n">
        <v>183.38</v>
      </c>
      <c r="O2506" s="10">
        <f>IFERROR(VLOOKUP(A2506,Flete!$A:$J,10,0),"")</f>
        <v/>
      </c>
      <c r="P2506" s="8" t="inlineStr">
        <is>
          <t>M3</t>
        </is>
      </c>
      <c r="Q2506" s="10">
        <f>IFERROR(IFERROR(VLOOKUP(A2506,TRAOPE!$A:$U,21,0),VLOOKUP(B2506,TRAOPE!$A:$U,21,0)),"")</f>
        <v/>
      </c>
      <c r="R2506" s="8">
        <f>IFERROR(IFERROR(VLOOKUP(A2506,TRAOPE!$A:$W,23,0),VLOOKUP(B2506,TRAOPE!$A:$W,23,0)),"")</f>
        <v/>
      </c>
      <c r="S2506" s="10">
        <f>IF(AND(P2506="TN",R2506="TN"),N2506+N(O2506),IF(G2506&amp;""="1",N(K2506)*N2506,(N2506+N(O2506))*N(K2506)))</f>
        <v/>
      </c>
      <c r="T2506" s="10">
        <f>IF(Q2506="","",Q2506-S2506)</f>
        <v/>
      </c>
    </row>
    <row r="2507">
      <c r="A2507" s="7">
        <f>CONCATENATE(C2507,E2507,F2507,I2507)</f>
        <v/>
      </c>
      <c r="B2507" s="7">
        <f>CONCATENATE(C2507,E2507,I2507)</f>
        <v/>
      </c>
      <c r="C2507" s="8" t="n">
        <v>900003609</v>
      </c>
      <c r="D2507" s="7">
        <f>IFERROR(VLOOKUP(C2507,TRAOPE!$G:$H,2,0),"")</f>
        <v/>
      </c>
      <c r="E2507" s="8" t="inlineStr">
        <is>
          <t>D836</t>
        </is>
      </c>
      <c r="F2507" s="8" t="inlineStr">
        <is>
          <t>66233244</t>
        </is>
      </c>
      <c r="G2507" s="8">
        <f>IFERROR(VLOOKUP(A2507,Flete!$A:$E,5,0),"")</f>
        <v/>
      </c>
      <c r="H2507" s="7">
        <f>IFERROR(VLOOKUP(F2507,TRAOPE!$AA:$AB,2,0),"")</f>
        <v/>
      </c>
      <c r="I2507" s="7" t="n">
        <v>10058345</v>
      </c>
      <c r="J2507" s="7">
        <f>IFERROR(VLOOKUP(I2507,Materiales!$A:$H,8,0),"")</f>
        <v/>
      </c>
      <c r="K2507" s="9">
        <f>IFERROR(VLOOKUP(I2507,Materiales!$A:$G,7,0),"")</f>
        <v/>
      </c>
      <c r="L2507" s="8" t="inlineStr">
        <is>
          <t>20260625</t>
        </is>
      </c>
      <c r="M2507" s="8" t="inlineStr">
        <is>
          <t>99991231</t>
        </is>
      </c>
      <c r="N2507" s="10" t="n">
        <v>150</v>
      </c>
      <c r="O2507" s="10">
        <f>IFERROR(VLOOKUP(A2507,Flete!$A:$J,10,0),"")</f>
        <v/>
      </c>
      <c r="P2507" s="8" t="inlineStr">
        <is>
          <t>M3</t>
        </is>
      </c>
      <c r="Q2507" s="10">
        <f>IFERROR(IFERROR(VLOOKUP(A2507,TRAOPE!$A:$U,21,0),VLOOKUP(B2507,TRAOPE!$A:$U,21,0)),"")</f>
        <v/>
      </c>
      <c r="R2507" s="8">
        <f>IFERROR(IFERROR(VLOOKUP(A2507,TRAOPE!$A:$W,23,0),VLOOKUP(B2507,TRAOPE!$A:$W,23,0)),"")</f>
        <v/>
      </c>
      <c r="S2507" s="10">
        <f>IF(AND(P2507="TN",R2507="TN"),N2507+N(O2507),IF(G2507&amp;""="1",N(K2507)*N2507,(N2507+N(O2507))*N(K2507)))</f>
        <v/>
      </c>
      <c r="T2507" s="10">
        <f>IF(Q2507="","",Q2507-S2507)</f>
        <v/>
      </c>
    </row>
    <row r="2508">
      <c r="A2508" s="7">
        <f>CONCATENATE(C2508,E2508,F2508,I2508)</f>
        <v/>
      </c>
      <c r="B2508" s="7">
        <f>CONCATENATE(C2508,E2508,I2508)</f>
        <v/>
      </c>
      <c r="C2508" s="8" t="n">
        <v>900003609</v>
      </c>
      <c r="D2508" s="7">
        <f>IFERROR(VLOOKUP(C2508,TRAOPE!$G:$H,2,0),"")</f>
        <v/>
      </c>
      <c r="E2508" s="8" t="inlineStr">
        <is>
          <t>D836</t>
        </is>
      </c>
      <c r="F2508" s="8" t="inlineStr">
        <is>
          <t>66308834</t>
        </is>
      </c>
      <c r="G2508" s="8">
        <f>IFERROR(VLOOKUP(A2508,Flete!$A:$E,5,0),"")</f>
        <v/>
      </c>
      <c r="H2508" s="7">
        <f>IFERROR(VLOOKUP(F2508,TRAOPE!$AA:$AB,2,0),"")</f>
        <v/>
      </c>
      <c r="I2508" s="7" t="n">
        <v>10058345</v>
      </c>
      <c r="J2508" s="7">
        <f>IFERROR(VLOOKUP(I2508,Materiales!$A:$H,8,0),"")</f>
        <v/>
      </c>
      <c r="K2508" s="9">
        <f>IFERROR(VLOOKUP(I2508,Materiales!$A:$G,7,0),"")</f>
        <v/>
      </c>
      <c r="L2508" s="8" t="inlineStr">
        <is>
          <t>20260707</t>
        </is>
      </c>
      <c r="M2508" s="8" t="inlineStr">
        <is>
          <t>99991231</t>
        </is>
      </c>
      <c r="N2508" s="10" t="n">
        <v>165</v>
      </c>
      <c r="O2508" s="10">
        <f>IFERROR(VLOOKUP(A2508,Flete!$A:$J,10,0),"")</f>
        <v/>
      </c>
      <c r="P2508" s="8" t="inlineStr">
        <is>
          <t>M3</t>
        </is>
      </c>
      <c r="Q2508" s="10">
        <f>IFERROR(IFERROR(VLOOKUP(A2508,TRAOPE!$A:$U,21,0),VLOOKUP(B2508,TRAOPE!$A:$U,21,0)),"")</f>
        <v/>
      </c>
      <c r="R2508" s="8">
        <f>IFERROR(IFERROR(VLOOKUP(A2508,TRAOPE!$A:$W,23,0),VLOOKUP(B2508,TRAOPE!$A:$W,23,0)),"")</f>
        <v/>
      </c>
      <c r="S2508" s="10">
        <f>IF(AND(P2508="TN",R2508="TN"),N2508+N(O2508),IF(G2508&amp;""="1",N(K2508)*N2508,(N2508+N(O2508))*N(K2508)))</f>
        <v/>
      </c>
      <c r="T2508" s="10">
        <f>IF(Q2508="","",Q2508-S2508)</f>
        <v/>
      </c>
    </row>
    <row r="2509">
      <c r="A2509" s="7">
        <f>CONCATENATE(C2509,E2509,F2509,I2509)</f>
        <v/>
      </c>
      <c r="B2509" s="7">
        <f>CONCATENATE(C2509,E2509,I2509)</f>
        <v/>
      </c>
      <c r="C2509" s="8" t="n">
        <v>900003609</v>
      </c>
      <c r="D2509" s="7">
        <f>IFERROR(VLOOKUP(C2509,TRAOPE!$G:$H,2,0),"")</f>
        <v/>
      </c>
      <c r="E2509" s="8" t="inlineStr">
        <is>
          <t>D836</t>
        </is>
      </c>
      <c r="F2509" s="8" t="inlineStr">
        <is>
          <t>66414377</t>
        </is>
      </c>
      <c r="G2509" s="8">
        <f>IFERROR(VLOOKUP(A2509,Flete!$A:$E,5,0),"")</f>
        <v/>
      </c>
      <c r="H2509" s="7">
        <f>IFERROR(VLOOKUP(F2509,TRAOPE!$AA:$AB,2,0),"")</f>
        <v/>
      </c>
      <c r="I2509" s="7" t="n">
        <v>10000811</v>
      </c>
      <c r="J2509" s="7">
        <f>IFERROR(VLOOKUP(I2509,Materiales!$A:$H,8,0),"")</f>
        <v/>
      </c>
      <c r="K2509" s="9">
        <f>IFERROR(VLOOKUP(I2509,Materiales!$A:$G,7,0),"")</f>
        <v/>
      </c>
      <c r="L2509" s="8" t="inlineStr">
        <is>
          <t>20260727</t>
        </is>
      </c>
      <c r="M2509" s="8" t="inlineStr">
        <is>
          <t>99991231</t>
        </is>
      </c>
      <c r="N2509" s="10" t="n">
        <v>190</v>
      </c>
      <c r="O2509" s="10">
        <f>IFERROR(VLOOKUP(A2509,Flete!$A:$J,10,0),"")</f>
        <v/>
      </c>
      <c r="P2509" s="8" t="inlineStr">
        <is>
          <t>M3</t>
        </is>
      </c>
      <c r="Q2509" s="10">
        <f>IFERROR(IFERROR(VLOOKUP(A2509,TRAOPE!$A:$U,21,0),VLOOKUP(B2509,TRAOPE!$A:$U,21,0)),"")</f>
        <v/>
      </c>
      <c r="R2509" s="8">
        <f>IFERROR(IFERROR(VLOOKUP(A2509,TRAOPE!$A:$W,23,0),VLOOKUP(B2509,TRAOPE!$A:$W,23,0)),"")</f>
        <v/>
      </c>
      <c r="S2509" s="10">
        <f>IF(AND(P2509="TN",R2509="TN"),N2509+N(O2509),IF(G2509&amp;""="1",N(K2509)*N2509,(N2509+N(O2509))*N(K2509)))</f>
        <v/>
      </c>
      <c r="T2509" s="10">
        <f>IF(Q2509="","",Q2509-S2509)</f>
        <v/>
      </c>
    </row>
    <row r="2510">
      <c r="A2510" s="7">
        <f>CONCATENATE(C2510,E2510,F2510,I2510)</f>
        <v/>
      </c>
      <c r="B2510" s="7">
        <f>CONCATENATE(C2510,E2510,I2510)</f>
        <v/>
      </c>
      <c r="C2510" s="8" t="n">
        <v>900003609</v>
      </c>
      <c r="D2510" s="7">
        <f>IFERROR(VLOOKUP(C2510,TRAOPE!$G:$H,2,0),"")</f>
        <v/>
      </c>
      <c r="E2510" s="8" t="inlineStr">
        <is>
          <t>D836</t>
        </is>
      </c>
      <c r="F2510" s="8" t="inlineStr">
        <is>
          <t>66433509</t>
        </is>
      </c>
      <c r="G2510" s="8">
        <f>IFERROR(VLOOKUP(A2510,Flete!$A:$E,5,0),"")</f>
        <v/>
      </c>
      <c r="H2510" s="7">
        <f>IFERROR(VLOOKUP(F2510,TRAOPE!$AA:$AB,2,0),"")</f>
        <v/>
      </c>
      <c r="I2510" s="7" t="n">
        <v>10000624</v>
      </c>
      <c r="J2510" s="7">
        <f>IFERROR(VLOOKUP(I2510,Materiales!$A:$H,8,0),"")</f>
        <v/>
      </c>
      <c r="K2510" s="9">
        <f>IFERROR(VLOOKUP(I2510,Materiales!$A:$G,7,0),"")</f>
        <v/>
      </c>
      <c r="L2510" s="8" t="inlineStr">
        <is>
          <t>20260213</t>
        </is>
      </c>
      <c r="M2510" s="8" t="inlineStr">
        <is>
          <t>99991231</t>
        </is>
      </c>
      <c r="N2510" s="10" t="n">
        <v>189</v>
      </c>
      <c r="O2510" s="10">
        <f>IFERROR(VLOOKUP(A2510,Flete!$A:$J,10,0),"")</f>
        <v/>
      </c>
      <c r="P2510" s="8" t="inlineStr">
        <is>
          <t>M3</t>
        </is>
      </c>
      <c r="Q2510" s="10">
        <f>IFERROR(IFERROR(VLOOKUP(A2510,TRAOPE!$A:$U,21,0),VLOOKUP(B2510,TRAOPE!$A:$U,21,0)),"")</f>
        <v/>
      </c>
      <c r="R2510" s="8">
        <f>IFERROR(IFERROR(VLOOKUP(A2510,TRAOPE!$A:$W,23,0),VLOOKUP(B2510,TRAOPE!$A:$W,23,0)),"")</f>
        <v/>
      </c>
      <c r="S2510" s="10">
        <f>IF(AND(P2510="TN",R2510="TN"),N2510+N(O2510),IF(G2510&amp;""="1",N(K2510)*N2510,(N2510+N(O2510))*N(K2510)))</f>
        <v/>
      </c>
      <c r="T2510" s="10">
        <f>IF(Q2510="","",Q2510-S2510)</f>
        <v/>
      </c>
    </row>
    <row r="2511">
      <c r="A2511" s="7">
        <f>CONCATENATE(C2511,E2511,F2511,I2511)</f>
        <v/>
      </c>
      <c r="B2511" s="7">
        <f>CONCATENATE(C2511,E2511,I2511)</f>
        <v/>
      </c>
      <c r="C2511" s="8" t="n">
        <v>900003609</v>
      </c>
      <c r="D2511" s="7">
        <f>IFERROR(VLOOKUP(C2511,TRAOPE!$G:$H,2,0),"")</f>
        <v/>
      </c>
      <c r="E2511" s="8" t="inlineStr">
        <is>
          <t>D836</t>
        </is>
      </c>
      <c r="F2511" s="8" t="inlineStr">
        <is>
          <t>66433509</t>
        </is>
      </c>
      <c r="G2511" s="8">
        <f>IFERROR(VLOOKUP(A2511,Flete!$A:$E,5,0),"")</f>
        <v/>
      </c>
      <c r="H2511" s="7">
        <f>IFERROR(VLOOKUP(F2511,TRAOPE!$AA:$AB,2,0),"")</f>
        <v/>
      </c>
      <c r="I2511" s="7" t="n">
        <v>10000722</v>
      </c>
      <c r="J2511" s="7">
        <f>IFERROR(VLOOKUP(I2511,Materiales!$A:$H,8,0),"")</f>
        <v/>
      </c>
      <c r="K2511" s="9">
        <f>IFERROR(VLOOKUP(I2511,Materiales!$A:$G,7,0),"")</f>
        <v/>
      </c>
      <c r="L2511" s="8" t="inlineStr">
        <is>
          <t>20260213</t>
        </is>
      </c>
      <c r="M2511" s="8" t="inlineStr">
        <is>
          <t>99991231</t>
        </is>
      </c>
      <c r="N2511" s="10" t="n">
        <v>189</v>
      </c>
      <c r="O2511" s="10">
        <f>IFERROR(VLOOKUP(A2511,Flete!$A:$J,10,0),"")</f>
        <v/>
      </c>
      <c r="P2511" s="8" t="inlineStr">
        <is>
          <t>M3</t>
        </is>
      </c>
      <c r="Q2511" s="10">
        <f>IFERROR(IFERROR(VLOOKUP(A2511,TRAOPE!$A:$U,21,0),VLOOKUP(B2511,TRAOPE!$A:$U,21,0)),"")</f>
        <v/>
      </c>
      <c r="R2511" s="8">
        <f>IFERROR(IFERROR(VLOOKUP(A2511,TRAOPE!$A:$W,23,0),VLOOKUP(B2511,TRAOPE!$A:$W,23,0)),"")</f>
        <v/>
      </c>
      <c r="S2511" s="10">
        <f>IF(AND(P2511="TN",R2511="TN"),N2511+N(O2511),IF(G2511&amp;""="1",N(K2511)*N2511,(N2511+N(O2511))*N(K2511)))</f>
        <v/>
      </c>
      <c r="T2511" s="10">
        <f>IF(Q2511="","",Q2511-S2511)</f>
        <v/>
      </c>
    </row>
    <row r="2512">
      <c r="A2512" s="7">
        <f>CONCATENATE(C2512,E2512,F2512,I2512)</f>
        <v/>
      </c>
      <c r="B2512" s="7">
        <f>CONCATENATE(C2512,E2512,I2512)</f>
        <v/>
      </c>
      <c r="C2512" s="8" t="n">
        <v>900003609</v>
      </c>
      <c r="D2512" s="7">
        <f>IFERROR(VLOOKUP(C2512,TRAOPE!$G:$H,2,0),"")</f>
        <v/>
      </c>
      <c r="E2512" s="8" t="inlineStr">
        <is>
          <t>D836</t>
        </is>
      </c>
      <c r="F2512" s="8" t="inlineStr">
        <is>
          <t>66595909</t>
        </is>
      </c>
      <c r="G2512" s="8">
        <f>IFERROR(VLOOKUP(A2512,Flete!$A:$E,5,0),"")</f>
        <v/>
      </c>
      <c r="H2512" s="7">
        <f>IFERROR(VLOOKUP(F2512,TRAOPE!$AA:$AB,2,0),"")</f>
        <v/>
      </c>
      <c r="I2512" s="7" t="n">
        <v>10000624</v>
      </c>
      <c r="J2512" s="7">
        <f>IFERROR(VLOOKUP(I2512,Materiales!$A:$H,8,0),"")</f>
        <v/>
      </c>
      <c r="K2512" s="9">
        <f>IFERROR(VLOOKUP(I2512,Materiales!$A:$G,7,0),"")</f>
        <v/>
      </c>
      <c r="L2512" s="8" t="inlineStr">
        <is>
          <t>20260213</t>
        </is>
      </c>
      <c r="M2512" s="8" t="inlineStr">
        <is>
          <t>99991231</t>
        </is>
      </c>
      <c r="N2512" s="10" t="n">
        <v>180</v>
      </c>
      <c r="O2512" s="10">
        <f>IFERROR(VLOOKUP(A2512,Flete!$A:$J,10,0),"")</f>
        <v/>
      </c>
      <c r="P2512" s="8" t="inlineStr">
        <is>
          <t>M3</t>
        </is>
      </c>
      <c r="Q2512" s="10">
        <f>IFERROR(IFERROR(VLOOKUP(A2512,TRAOPE!$A:$U,21,0),VLOOKUP(B2512,TRAOPE!$A:$U,21,0)),"")</f>
        <v/>
      </c>
      <c r="R2512" s="8">
        <f>IFERROR(IFERROR(VLOOKUP(A2512,TRAOPE!$A:$W,23,0),VLOOKUP(B2512,TRAOPE!$A:$W,23,0)),"")</f>
        <v/>
      </c>
      <c r="S2512" s="10">
        <f>IF(AND(P2512="TN",R2512="TN"),N2512+N(O2512),IF(G2512&amp;""="1",N(K2512)*N2512,(N2512+N(O2512))*N(K2512)))</f>
        <v/>
      </c>
      <c r="T2512" s="10">
        <f>IF(Q2512="","",Q2512-S2512)</f>
        <v/>
      </c>
    </row>
    <row r="2513">
      <c r="A2513" s="7">
        <f>CONCATENATE(C2513,E2513,F2513,I2513)</f>
        <v/>
      </c>
      <c r="B2513" s="7">
        <f>CONCATENATE(C2513,E2513,I2513)</f>
        <v/>
      </c>
      <c r="C2513" s="8" t="n">
        <v>900003609</v>
      </c>
      <c r="D2513" s="7">
        <f>IFERROR(VLOOKUP(C2513,TRAOPE!$G:$H,2,0),"")</f>
        <v/>
      </c>
      <c r="E2513" s="8" t="inlineStr">
        <is>
          <t>D836</t>
        </is>
      </c>
      <c r="F2513" s="8" t="inlineStr">
        <is>
          <t>66595909</t>
        </is>
      </c>
      <c r="G2513" s="8">
        <f>IFERROR(VLOOKUP(A2513,Flete!$A:$E,5,0),"")</f>
        <v/>
      </c>
      <c r="H2513" s="7">
        <f>IFERROR(VLOOKUP(F2513,TRAOPE!$AA:$AB,2,0),"")</f>
        <v/>
      </c>
      <c r="I2513" s="7" t="n">
        <v>10000811</v>
      </c>
      <c r="J2513" s="7">
        <f>IFERROR(VLOOKUP(I2513,Materiales!$A:$H,8,0),"")</f>
        <v/>
      </c>
      <c r="K2513" s="9">
        <f>IFERROR(VLOOKUP(I2513,Materiales!$A:$G,7,0),"")</f>
        <v/>
      </c>
      <c r="L2513" s="8" t="inlineStr">
        <is>
          <t>20260213</t>
        </is>
      </c>
      <c r="M2513" s="8" t="inlineStr">
        <is>
          <t>99991231</t>
        </is>
      </c>
      <c r="N2513" s="10" t="n">
        <v>181</v>
      </c>
      <c r="O2513" s="10">
        <f>IFERROR(VLOOKUP(A2513,Flete!$A:$J,10,0),"")</f>
        <v/>
      </c>
      <c r="P2513" s="8" t="inlineStr">
        <is>
          <t>M3</t>
        </is>
      </c>
      <c r="Q2513" s="10">
        <f>IFERROR(IFERROR(VLOOKUP(A2513,TRAOPE!$A:$U,21,0),VLOOKUP(B2513,TRAOPE!$A:$U,21,0)),"")</f>
        <v/>
      </c>
      <c r="R2513" s="8">
        <f>IFERROR(IFERROR(VLOOKUP(A2513,TRAOPE!$A:$W,23,0),VLOOKUP(B2513,TRAOPE!$A:$W,23,0)),"")</f>
        <v/>
      </c>
      <c r="S2513" s="10">
        <f>IF(AND(P2513="TN",R2513="TN"),N2513+N(O2513),IF(G2513&amp;""="1",N(K2513)*N2513,(N2513+N(O2513))*N(K2513)))</f>
        <v/>
      </c>
      <c r="T2513" s="10">
        <f>IF(Q2513="","",Q2513-S2513)</f>
        <v/>
      </c>
    </row>
    <row r="2514">
      <c r="A2514" s="7">
        <f>CONCATENATE(C2514,E2514,F2514,I2514)</f>
        <v/>
      </c>
      <c r="B2514" s="7">
        <f>CONCATENATE(C2514,E2514,I2514)</f>
        <v/>
      </c>
      <c r="C2514" s="8" t="n">
        <v>900003609</v>
      </c>
      <c r="D2514" s="7">
        <f>IFERROR(VLOOKUP(C2514,TRAOPE!$G:$H,2,0),"")</f>
        <v/>
      </c>
      <c r="E2514" s="8" t="inlineStr">
        <is>
          <t>D836</t>
        </is>
      </c>
      <c r="F2514" s="8" t="inlineStr">
        <is>
          <t>66793827</t>
        </is>
      </c>
      <c r="G2514" s="8">
        <f>IFERROR(VLOOKUP(A2514,Flete!$A:$E,5,0),"")</f>
        <v/>
      </c>
      <c r="H2514" s="7">
        <f>IFERROR(VLOOKUP(F2514,TRAOPE!$AA:$AB,2,0),"")</f>
        <v/>
      </c>
      <c r="I2514" s="7" t="n">
        <v>10268134</v>
      </c>
      <c r="J2514" s="7">
        <f>IFERROR(VLOOKUP(I2514,Materiales!$A:$H,8,0),"")</f>
        <v/>
      </c>
      <c r="K2514" s="9">
        <f>IFERROR(VLOOKUP(I2514,Materiales!$A:$G,7,0),"")</f>
        <v/>
      </c>
      <c r="L2514" s="8" t="inlineStr">
        <is>
          <t>20260428</t>
        </is>
      </c>
      <c r="M2514" s="8" t="inlineStr">
        <is>
          <t>99991231</t>
        </is>
      </c>
      <c r="N2514" s="10" t="n">
        <v>153.37</v>
      </c>
      <c r="O2514" s="10">
        <f>IFERROR(VLOOKUP(A2514,Flete!$A:$J,10,0),"")</f>
        <v/>
      </c>
      <c r="P2514" s="8" t="inlineStr">
        <is>
          <t>M3</t>
        </is>
      </c>
      <c r="Q2514" s="10">
        <f>IFERROR(IFERROR(VLOOKUP(A2514,TRAOPE!$A:$U,21,0),VLOOKUP(B2514,TRAOPE!$A:$U,21,0)),"")</f>
        <v/>
      </c>
      <c r="R2514" s="8">
        <f>IFERROR(IFERROR(VLOOKUP(A2514,TRAOPE!$A:$W,23,0),VLOOKUP(B2514,TRAOPE!$A:$W,23,0)),"")</f>
        <v/>
      </c>
      <c r="S2514" s="10">
        <f>IF(AND(P2514="TN",R2514="TN"),N2514+N(O2514),IF(G2514&amp;""="1",N(K2514)*N2514,(N2514+N(O2514))*N(K2514)))</f>
        <v/>
      </c>
      <c r="T2514" s="10">
        <f>IF(Q2514="","",Q2514-S2514)</f>
        <v/>
      </c>
    </row>
    <row r="2515">
      <c r="A2515" s="7">
        <f>CONCATENATE(C2515,E2515,F2515,I2515)</f>
        <v/>
      </c>
      <c r="B2515" s="7">
        <f>CONCATENATE(C2515,E2515,I2515)</f>
        <v/>
      </c>
      <c r="C2515" s="8" t="n">
        <v>900003609</v>
      </c>
      <c r="D2515" s="7">
        <f>IFERROR(VLOOKUP(C2515,TRAOPE!$G:$H,2,0),"")</f>
        <v/>
      </c>
      <c r="E2515" s="8" t="inlineStr">
        <is>
          <t>D836</t>
        </is>
      </c>
      <c r="F2515" s="8" t="inlineStr">
        <is>
          <t>66828114</t>
        </is>
      </c>
      <c r="G2515" s="8">
        <f>IFERROR(VLOOKUP(A2515,Flete!$A:$E,5,0),"")</f>
        <v/>
      </c>
      <c r="H2515" s="7">
        <f>IFERROR(VLOOKUP(F2515,TRAOPE!$AA:$AB,2,0),"")</f>
        <v/>
      </c>
      <c r="I2515" s="7" t="n">
        <v>10000630</v>
      </c>
      <c r="J2515" s="7">
        <f>IFERROR(VLOOKUP(I2515,Materiales!$A:$H,8,0),"")</f>
        <v/>
      </c>
      <c r="K2515" s="9">
        <f>IFERROR(VLOOKUP(I2515,Materiales!$A:$G,7,0),"")</f>
        <v/>
      </c>
      <c r="L2515" s="8" t="inlineStr">
        <is>
          <t>20260213</t>
        </is>
      </c>
      <c r="M2515" s="8" t="inlineStr">
        <is>
          <t>99991231</t>
        </is>
      </c>
      <c r="N2515" s="10" t="n">
        <v>179.02</v>
      </c>
      <c r="O2515" s="10">
        <f>IFERROR(VLOOKUP(A2515,Flete!$A:$J,10,0),"")</f>
        <v/>
      </c>
      <c r="P2515" s="8" t="inlineStr">
        <is>
          <t>M3</t>
        </is>
      </c>
      <c r="Q2515" s="10">
        <f>IFERROR(IFERROR(VLOOKUP(A2515,TRAOPE!$A:$U,21,0),VLOOKUP(B2515,TRAOPE!$A:$U,21,0)),"")</f>
        <v/>
      </c>
      <c r="R2515" s="8">
        <f>IFERROR(IFERROR(VLOOKUP(A2515,TRAOPE!$A:$W,23,0),VLOOKUP(B2515,TRAOPE!$A:$W,23,0)),"")</f>
        <v/>
      </c>
      <c r="S2515" s="10">
        <f>IF(AND(P2515="TN",R2515="TN"),N2515+N(O2515),IF(G2515&amp;""="1",N(K2515)*N2515,(N2515+N(O2515))*N(K2515)))</f>
        <v/>
      </c>
      <c r="T2515" s="10">
        <f>IF(Q2515="","",Q2515-S2515)</f>
        <v/>
      </c>
    </row>
    <row r="2516">
      <c r="A2516" s="7">
        <f>CONCATENATE(C2516,E2516,F2516,I2516)</f>
        <v/>
      </c>
      <c r="B2516" s="7">
        <f>CONCATENATE(C2516,E2516,I2516)</f>
        <v/>
      </c>
      <c r="C2516" s="8" t="n">
        <v>900003609</v>
      </c>
      <c r="D2516" s="7">
        <f>IFERROR(VLOOKUP(C2516,TRAOPE!$G:$H,2,0),"")</f>
        <v/>
      </c>
      <c r="E2516" s="8" t="inlineStr">
        <is>
          <t>D836</t>
        </is>
      </c>
      <c r="F2516" s="8" t="inlineStr">
        <is>
          <t>66828114</t>
        </is>
      </c>
      <c r="G2516" s="8">
        <f>IFERROR(VLOOKUP(A2516,Flete!$A:$E,5,0),"")</f>
        <v/>
      </c>
      <c r="H2516" s="7">
        <f>IFERROR(VLOOKUP(F2516,TRAOPE!$AA:$AB,2,0),"")</f>
        <v/>
      </c>
      <c r="I2516" s="7" t="n">
        <v>10000722</v>
      </c>
      <c r="J2516" s="7">
        <f>IFERROR(VLOOKUP(I2516,Materiales!$A:$H,8,0),"")</f>
        <v/>
      </c>
      <c r="K2516" s="9">
        <f>IFERROR(VLOOKUP(I2516,Materiales!$A:$G,7,0),"")</f>
        <v/>
      </c>
      <c r="L2516" s="8" t="inlineStr">
        <is>
          <t>20260504</t>
        </is>
      </c>
      <c r="M2516" s="8" t="inlineStr">
        <is>
          <t>99991231</t>
        </is>
      </c>
      <c r="N2516" s="10" t="n">
        <v>193</v>
      </c>
      <c r="O2516" s="10">
        <f>IFERROR(VLOOKUP(A2516,Flete!$A:$J,10,0),"")</f>
        <v/>
      </c>
      <c r="P2516" s="8" t="inlineStr">
        <is>
          <t>M3</t>
        </is>
      </c>
      <c r="Q2516" s="10">
        <f>IFERROR(IFERROR(VLOOKUP(A2516,TRAOPE!$A:$U,21,0),VLOOKUP(B2516,TRAOPE!$A:$U,21,0)),"")</f>
        <v/>
      </c>
      <c r="R2516" s="8">
        <f>IFERROR(IFERROR(VLOOKUP(A2516,TRAOPE!$A:$W,23,0),VLOOKUP(B2516,TRAOPE!$A:$W,23,0)),"")</f>
        <v/>
      </c>
      <c r="S2516" s="10">
        <f>IF(AND(P2516="TN",R2516="TN"),N2516+N(O2516),IF(G2516&amp;""="1",N(K2516)*N2516,(N2516+N(O2516))*N(K2516)))</f>
        <v/>
      </c>
      <c r="T2516" s="10">
        <f>IF(Q2516="","",Q2516-S2516)</f>
        <v/>
      </c>
    </row>
    <row r="2517">
      <c r="A2517" s="7">
        <f>CONCATENATE(C2517,E2517,F2517,I2517)</f>
        <v/>
      </c>
      <c r="B2517" s="7">
        <f>CONCATENATE(C2517,E2517,I2517)</f>
        <v/>
      </c>
      <c r="C2517" s="8" t="n">
        <v>900003609</v>
      </c>
      <c r="D2517" s="7">
        <f>IFERROR(VLOOKUP(C2517,TRAOPE!$G:$H,2,0),"")</f>
        <v/>
      </c>
      <c r="E2517" s="8" t="inlineStr">
        <is>
          <t>D836</t>
        </is>
      </c>
      <c r="F2517" s="8" t="inlineStr">
        <is>
          <t>66828114</t>
        </is>
      </c>
      <c r="G2517" s="8">
        <f>IFERROR(VLOOKUP(A2517,Flete!$A:$E,5,0),"")</f>
        <v/>
      </c>
      <c r="H2517" s="7">
        <f>IFERROR(VLOOKUP(F2517,TRAOPE!$AA:$AB,2,0),"")</f>
        <v/>
      </c>
      <c r="I2517" s="7" t="n">
        <v>10058345</v>
      </c>
      <c r="J2517" s="7">
        <f>IFERROR(VLOOKUP(I2517,Materiales!$A:$H,8,0),"")</f>
        <v/>
      </c>
      <c r="K2517" s="9">
        <f>IFERROR(VLOOKUP(I2517,Materiales!$A:$G,7,0),"")</f>
        <v/>
      </c>
      <c r="L2517" s="8" t="inlineStr">
        <is>
          <t>20260511</t>
        </is>
      </c>
      <c r="M2517" s="8" t="inlineStr">
        <is>
          <t>99991231</t>
        </is>
      </c>
      <c r="N2517" s="10" t="n">
        <v>150</v>
      </c>
      <c r="O2517" s="10">
        <f>IFERROR(VLOOKUP(A2517,Flete!$A:$J,10,0),"")</f>
        <v/>
      </c>
      <c r="P2517" s="8" t="inlineStr">
        <is>
          <t>M3</t>
        </is>
      </c>
      <c r="Q2517" s="10">
        <f>IFERROR(IFERROR(VLOOKUP(A2517,TRAOPE!$A:$U,21,0),VLOOKUP(B2517,TRAOPE!$A:$U,21,0)),"")</f>
        <v/>
      </c>
      <c r="R2517" s="8">
        <f>IFERROR(IFERROR(VLOOKUP(A2517,TRAOPE!$A:$W,23,0),VLOOKUP(B2517,TRAOPE!$A:$W,23,0)),"")</f>
        <v/>
      </c>
      <c r="S2517" s="10">
        <f>IF(AND(P2517="TN",R2517="TN"),N2517+N(O2517),IF(G2517&amp;""="1",N(K2517)*N2517,(N2517+N(O2517))*N(K2517)))</f>
        <v/>
      </c>
      <c r="T2517" s="10">
        <f>IF(Q2517="","",Q2517-S2517)</f>
        <v/>
      </c>
    </row>
    <row r="2518">
      <c r="A2518" s="7">
        <f>CONCATENATE(C2518,E2518,F2518,I2518)</f>
        <v/>
      </c>
      <c r="B2518" s="7">
        <f>CONCATENATE(C2518,E2518,I2518)</f>
        <v/>
      </c>
      <c r="C2518" s="8" t="n">
        <v>900003609</v>
      </c>
      <c r="D2518" s="7">
        <f>IFERROR(VLOOKUP(C2518,TRAOPE!$G:$H,2,0),"")</f>
        <v/>
      </c>
      <c r="E2518" s="8" t="inlineStr">
        <is>
          <t>D836</t>
        </is>
      </c>
      <c r="F2518" s="8" t="inlineStr">
        <is>
          <t>66828114</t>
        </is>
      </c>
      <c r="G2518" s="8">
        <f>IFERROR(VLOOKUP(A2518,Flete!$A:$E,5,0),"")</f>
        <v/>
      </c>
      <c r="H2518" s="7">
        <f>IFERROR(VLOOKUP(F2518,TRAOPE!$AA:$AB,2,0),"")</f>
        <v/>
      </c>
      <c r="I2518" s="7" t="n">
        <v>10207890</v>
      </c>
      <c r="J2518" s="7">
        <f>IFERROR(VLOOKUP(I2518,Materiales!$A:$H,8,0),"")</f>
        <v/>
      </c>
      <c r="K2518" s="9">
        <f>IFERROR(VLOOKUP(I2518,Materiales!$A:$G,7,0),"")</f>
        <v/>
      </c>
      <c r="L2518" s="8" t="inlineStr">
        <is>
          <t>20260213</t>
        </is>
      </c>
      <c r="M2518" s="8" t="inlineStr">
        <is>
          <t>99991231</t>
        </is>
      </c>
      <c r="N2518" s="10" t="n">
        <v>178.65</v>
      </c>
      <c r="O2518" s="10">
        <f>IFERROR(VLOOKUP(A2518,Flete!$A:$J,10,0),"")</f>
        <v/>
      </c>
      <c r="P2518" s="8" t="inlineStr">
        <is>
          <t>M3</t>
        </is>
      </c>
      <c r="Q2518" s="10">
        <f>IFERROR(IFERROR(VLOOKUP(A2518,TRAOPE!$A:$U,21,0),VLOOKUP(B2518,TRAOPE!$A:$U,21,0)),"")</f>
        <v/>
      </c>
      <c r="R2518" s="8">
        <f>IFERROR(IFERROR(VLOOKUP(A2518,TRAOPE!$A:$W,23,0),VLOOKUP(B2518,TRAOPE!$A:$W,23,0)),"")</f>
        <v/>
      </c>
      <c r="S2518" s="10">
        <f>IF(AND(P2518="TN",R2518="TN"),N2518+N(O2518),IF(G2518&amp;""="1",N(K2518)*N2518,(N2518+N(O2518))*N(K2518)))</f>
        <v/>
      </c>
      <c r="T2518" s="10">
        <f>IF(Q2518="","",Q2518-S2518)</f>
        <v/>
      </c>
    </row>
    <row r="2519">
      <c r="A2519" s="7">
        <f>CONCATENATE(C2519,E2519,F2519,I2519)</f>
        <v/>
      </c>
      <c r="B2519" s="7">
        <f>CONCATENATE(C2519,E2519,I2519)</f>
        <v/>
      </c>
      <c r="C2519" s="8" t="n">
        <v>900003609</v>
      </c>
      <c r="D2519" s="7">
        <f>IFERROR(VLOOKUP(C2519,TRAOPE!$G:$H,2,0),"")</f>
        <v/>
      </c>
      <c r="E2519" s="8" t="inlineStr">
        <is>
          <t>D836</t>
        </is>
      </c>
      <c r="F2519" s="8" t="inlineStr">
        <is>
          <t>66857228</t>
        </is>
      </c>
      <c r="G2519" s="8">
        <f>IFERROR(VLOOKUP(A2519,Flete!$A:$E,5,0),"")</f>
        <v/>
      </c>
      <c r="H2519" s="7">
        <f>IFERROR(VLOOKUP(F2519,TRAOPE!$AA:$AB,2,0),"")</f>
        <v/>
      </c>
      <c r="I2519" s="7" t="n">
        <v>10000630</v>
      </c>
      <c r="J2519" s="7">
        <f>IFERROR(VLOOKUP(I2519,Materiales!$A:$H,8,0),"")</f>
        <v/>
      </c>
      <c r="K2519" s="9">
        <f>IFERROR(VLOOKUP(I2519,Materiales!$A:$G,7,0),"")</f>
        <v/>
      </c>
      <c r="L2519" s="8" t="inlineStr">
        <is>
          <t>20260313</t>
        </is>
      </c>
      <c r="M2519" s="8" t="inlineStr">
        <is>
          <t>99991231</t>
        </is>
      </c>
      <c r="N2519" s="10" t="n">
        <v>182</v>
      </c>
      <c r="O2519" s="10">
        <f>IFERROR(VLOOKUP(A2519,Flete!$A:$J,10,0),"")</f>
        <v/>
      </c>
      <c r="P2519" s="8" t="inlineStr">
        <is>
          <t>M3</t>
        </is>
      </c>
      <c r="Q2519" s="10">
        <f>IFERROR(IFERROR(VLOOKUP(A2519,TRAOPE!$A:$U,21,0),VLOOKUP(B2519,TRAOPE!$A:$U,21,0)),"")</f>
        <v/>
      </c>
      <c r="R2519" s="8">
        <f>IFERROR(IFERROR(VLOOKUP(A2519,TRAOPE!$A:$W,23,0),VLOOKUP(B2519,TRAOPE!$A:$W,23,0)),"")</f>
        <v/>
      </c>
      <c r="S2519" s="10">
        <f>IF(AND(P2519="TN",R2519="TN"),N2519+N(O2519),IF(G2519&amp;""="1",N(K2519)*N2519,(N2519+N(O2519))*N(K2519)))</f>
        <v/>
      </c>
      <c r="T2519" s="10">
        <f>IF(Q2519="","",Q2519-S2519)</f>
        <v/>
      </c>
    </row>
    <row r="2520">
      <c r="A2520" s="7">
        <f>CONCATENATE(C2520,E2520,F2520,I2520)</f>
        <v/>
      </c>
      <c r="B2520" s="7">
        <f>CONCATENATE(C2520,E2520,I2520)</f>
        <v/>
      </c>
      <c r="C2520" s="8" t="n">
        <v>900003609</v>
      </c>
      <c r="D2520" s="7">
        <f>IFERROR(VLOOKUP(C2520,TRAOPE!$G:$H,2,0),"")</f>
        <v/>
      </c>
      <c r="E2520" s="8" t="inlineStr">
        <is>
          <t>D836</t>
        </is>
      </c>
      <c r="F2520" s="8" t="inlineStr">
        <is>
          <t>66864508</t>
        </is>
      </c>
      <c r="G2520" s="8">
        <f>IFERROR(VLOOKUP(A2520,Flete!$A:$E,5,0),"")</f>
        <v/>
      </c>
      <c r="H2520" s="7">
        <f>IFERROR(VLOOKUP(F2520,TRAOPE!$AA:$AB,2,0),"")</f>
        <v/>
      </c>
      <c r="I2520" s="7" t="n">
        <v>10000811</v>
      </c>
      <c r="J2520" s="7">
        <f>IFERROR(VLOOKUP(I2520,Materiales!$A:$H,8,0),"")</f>
        <v/>
      </c>
      <c r="K2520" s="9">
        <f>IFERROR(VLOOKUP(I2520,Materiales!$A:$G,7,0),"")</f>
        <v/>
      </c>
      <c r="L2520" s="8" t="inlineStr">
        <is>
          <t>20260213</t>
        </is>
      </c>
      <c r="M2520" s="8" t="inlineStr">
        <is>
          <t>99991231</t>
        </is>
      </c>
      <c r="N2520" s="10" t="n">
        <v>194.4</v>
      </c>
      <c r="O2520" s="10">
        <f>IFERROR(VLOOKUP(A2520,Flete!$A:$J,10,0),"")</f>
        <v/>
      </c>
      <c r="P2520" s="8" t="inlineStr">
        <is>
          <t>M3</t>
        </is>
      </c>
      <c r="Q2520" s="10">
        <f>IFERROR(IFERROR(VLOOKUP(A2520,TRAOPE!$A:$U,21,0),VLOOKUP(B2520,TRAOPE!$A:$U,21,0)),"")</f>
        <v/>
      </c>
      <c r="R2520" s="8">
        <f>IFERROR(IFERROR(VLOOKUP(A2520,TRAOPE!$A:$W,23,0),VLOOKUP(B2520,TRAOPE!$A:$W,23,0)),"")</f>
        <v/>
      </c>
      <c r="S2520" s="10">
        <f>IF(AND(P2520="TN",R2520="TN"),N2520+N(O2520),IF(G2520&amp;""="1",N(K2520)*N2520,(N2520+N(O2520))*N(K2520)))</f>
        <v/>
      </c>
      <c r="T2520" s="10">
        <f>IF(Q2520="","",Q2520-S2520)</f>
        <v/>
      </c>
    </row>
    <row r="2521">
      <c r="A2521" s="7">
        <f>CONCATENATE(C2521,E2521,F2521,I2521)</f>
        <v/>
      </c>
      <c r="B2521" s="7">
        <f>CONCATENATE(C2521,E2521,I2521)</f>
        <v/>
      </c>
      <c r="C2521" s="8" t="n">
        <v>900003609</v>
      </c>
      <c r="D2521" s="7">
        <f>IFERROR(VLOOKUP(C2521,TRAOPE!$G:$H,2,0),"")</f>
        <v/>
      </c>
      <c r="E2521" s="8" t="inlineStr">
        <is>
          <t>D836</t>
        </is>
      </c>
      <c r="F2521" s="8" t="inlineStr">
        <is>
          <t>66864540</t>
        </is>
      </c>
      <c r="G2521" s="8">
        <f>IFERROR(VLOOKUP(A2521,Flete!$A:$E,5,0),"")</f>
        <v/>
      </c>
      <c r="H2521" s="7">
        <f>IFERROR(VLOOKUP(F2521,TRAOPE!$AA:$AB,2,0),"")</f>
        <v/>
      </c>
      <c r="I2521" s="7" t="n">
        <v>10000811</v>
      </c>
      <c r="J2521" s="7">
        <f>IFERROR(VLOOKUP(I2521,Materiales!$A:$H,8,0),"")</f>
        <v/>
      </c>
      <c r="K2521" s="9">
        <f>IFERROR(VLOOKUP(I2521,Materiales!$A:$G,7,0),"")</f>
        <v/>
      </c>
      <c r="L2521" s="8" t="inlineStr">
        <is>
          <t>20260213</t>
        </is>
      </c>
      <c r="M2521" s="8" t="inlineStr">
        <is>
          <t>99991231</t>
        </is>
      </c>
      <c r="N2521" s="10" t="n">
        <v>194.4</v>
      </c>
      <c r="O2521" s="10">
        <f>IFERROR(VLOOKUP(A2521,Flete!$A:$J,10,0),"")</f>
        <v/>
      </c>
      <c r="P2521" s="8" t="inlineStr">
        <is>
          <t>M3</t>
        </is>
      </c>
      <c r="Q2521" s="10">
        <f>IFERROR(IFERROR(VLOOKUP(A2521,TRAOPE!$A:$U,21,0),VLOOKUP(B2521,TRAOPE!$A:$U,21,0)),"")</f>
        <v/>
      </c>
      <c r="R2521" s="8">
        <f>IFERROR(IFERROR(VLOOKUP(A2521,TRAOPE!$A:$W,23,0),VLOOKUP(B2521,TRAOPE!$A:$W,23,0)),"")</f>
        <v/>
      </c>
      <c r="S2521" s="10">
        <f>IF(AND(P2521="TN",R2521="TN"),N2521+N(O2521),IF(G2521&amp;""="1",N(K2521)*N2521,(N2521+N(O2521))*N(K2521)))</f>
        <v/>
      </c>
      <c r="T2521" s="10">
        <f>IF(Q2521="","",Q2521-S2521)</f>
        <v/>
      </c>
    </row>
    <row r="2522">
      <c r="A2522" s="7">
        <f>CONCATENATE(C2522,E2522,F2522,I2522)</f>
        <v/>
      </c>
      <c r="B2522" s="7">
        <f>CONCATENATE(C2522,E2522,I2522)</f>
        <v/>
      </c>
      <c r="C2522" s="8" t="n">
        <v>900003609</v>
      </c>
      <c r="D2522" s="7">
        <f>IFERROR(VLOOKUP(C2522,TRAOPE!$G:$H,2,0),"")</f>
        <v/>
      </c>
      <c r="E2522" s="8" t="inlineStr">
        <is>
          <t>D836</t>
        </is>
      </c>
      <c r="F2522" s="8" t="inlineStr">
        <is>
          <t>66982053</t>
        </is>
      </c>
      <c r="G2522" s="8">
        <f>IFERROR(VLOOKUP(A2522,Flete!$A:$E,5,0),"")</f>
        <v/>
      </c>
      <c r="H2522" s="7">
        <f>IFERROR(VLOOKUP(F2522,TRAOPE!$AA:$AB,2,0),"")</f>
        <v/>
      </c>
      <c r="I2522" s="7" t="n">
        <v>10000811</v>
      </c>
      <c r="J2522" s="7">
        <f>IFERROR(VLOOKUP(I2522,Materiales!$A:$H,8,0),"")</f>
        <v/>
      </c>
      <c r="K2522" s="9">
        <f>IFERROR(VLOOKUP(I2522,Materiales!$A:$G,7,0),"")</f>
        <v/>
      </c>
      <c r="L2522" s="8" t="inlineStr">
        <is>
          <t>20260213</t>
        </is>
      </c>
      <c r="M2522" s="8" t="inlineStr">
        <is>
          <t>99991231</t>
        </is>
      </c>
      <c r="N2522" s="10" t="n">
        <v>194.4</v>
      </c>
      <c r="O2522" s="10">
        <f>IFERROR(VLOOKUP(A2522,Flete!$A:$J,10,0),"")</f>
        <v/>
      </c>
      <c r="P2522" s="8" t="inlineStr">
        <is>
          <t>M3</t>
        </is>
      </c>
      <c r="Q2522" s="10">
        <f>IFERROR(IFERROR(VLOOKUP(A2522,TRAOPE!$A:$U,21,0),VLOOKUP(B2522,TRAOPE!$A:$U,21,0)),"")</f>
        <v/>
      </c>
      <c r="R2522" s="8">
        <f>IFERROR(IFERROR(VLOOKUP(A2522,TRAOPE!$A:$W,23,0),VLOOKUP(B2522,TRAOPE!$A:$W,23,0)),"")</f>
        <v/>
      </c>
      <c r="S2522" s="10">
        <f>IF(AND(P2522="TN",R2522="TN"),N2522+N(O2522),IF(G2522&amp;""="1",N(K2522)*N2522,(N2522+N(O2522))*N(K2522)))</f>
        <v/>
      </c>
      <c r="T2522" s="10">
        <f>IF(Q2522="","",Q2522-S2522)</f>
        <v/>
      </c>
    </row>
    <row r="2523">
      <c r="A2523" s="7">
        <f>CONCATENATE(C2523,E2523,F2523,I2523)</f>
        <v/>
      </c>
      <c r="B2523" s="7">
        <f>CONCATENATE(C2523,E2523,I2523)</f>
        <v/>
      </c>
      <c r="C2523" s="8" t="n">
        <v>900003609</v>
      </c>
      <c r="D2523" s="7">
        <f>IFERROR(VLOOKUP(C2523,TRAOPE!$G:$H,2,0),"")</f>
        <v/>
      </c>
      <c r="E2523" s="8" t="inlineStr">
        <is>
          <t>D836</t>
        </is>
      </c>
      <c r="F2523" s="8" t="inlineStr">
        <is>
          <t>66982053</t>
        </is>
      </c>
      <c r="G2523" s="8">
        <f>IFERROR(VLOOKUP(A2523,Flete!$A:$E,5,0),"")</f>
        <v/>
      </c>
      <c r="H2523" s="7">
        <f>IFERROR(VLOOKUP(F2523,TRAOPE!$AA:$AB,2,0),"")</f>
        <v/>
      </c>
      <c r="I2523" s="7" t="n">
        <v>10058345</v>
      </c>
      <c r="J2523" s="7">
        <f>IFERROR(VLOOKUP(I2523,Materiales!$A:$H,8,0),"")</f>
        <v/>
      </c>
      <c r="K2523" s="9">
        <f>IFERROR(VLOOKUP(I2523,Materiales!$A:$G,7,0),"")</f>
        <v/>
      </c>
      <c r="L2523" s="8" t="inlineStr">
        <is>
          <t>20260213</t>
        </is>
      </c>
      <c r="M2523" s="8" t="inlineStr">
        <is>
          <t>99991231</t>
        </is>
      </c>
      <c r="N2523" s="10" t="n">
        <v>162</v>
      </c>
      <c r="O2523" s="10">
        <f>IFERROR(VLOOKUP(A2523,Flete!$A:$J,10,0),"")</f>
        <v/>
      </c>
      <c r="P2523" s="8" t="inlineStr">
        <is>
          <t>M3</t>
        </is>
      </c>
      <c r="Q2523" s="10">
        <f>IFERROR(IFERROR(VLOOKUP(A2523,TRAOPE!$A:$U,21,0),VLOOKUP(B2523,TRAOPE!$A:$U,21,0)),"")</f>
        <v/>
      </c>
      <c r="R2523" s="8">
        <f>IFERROR(IFERROR(VLOOKUP(A2523,TRAOPE!$A:$W,23,0),VLOOKUP(B2523,TRAOPE!$A:$W,23,0)),"")</f>
        <v/>
      </c>
      <c r="S2523" s="10">
        <f>IF(AND(P2523="TN",R2523="TN"),N2523+N(O2523),IF(G2523&amp;""="1",N(K2523)*N2523,(N2523+N(O2523))*N(K2523)))</f>
        <v/>
      </c>
      <c r="T2523" s="10">
        <f>IF(Q2523="","",Q2523-S2523)</f>
        <v/>
      </c>
    </row>
    <row r="2524">
      <c r="A2524" s="7">
        <f>CONCATENATE(C2524,E2524,F2524,I2524)</f>
        <v/>
      </c>
      <c r="B2524" s="7">
        <f>CONCATENATE(C2524,E2524,I2524)</f>
        <v/>
      </c>
      <c r="C2524" s="8" t="n">
        <v>900003609</v>
      </c>
      <c r="D2524" s="7">
        <f>IFERROR(VLOOKUP(C2524,TRAOPE!$G:$H,2,0),"")</f>
        <v/>
      </c>
      <c r="E2524" s="8" t="inlineStr">
        <is>
          <t>D836</t>
        </is>
      </c>
      <c r="F2524" s="8" t="inlineStr">
        <is>
          <t>66982053</t>
        </is>
      </c>
      <c r="G2524" s="8">
        <f>IFERROR(VLOOKUP(A2524,Flete!$A:$E,5,0),"")</f>
        <v/>
      </c>
      <c r="H2524" s="7">
        <f>IFERROR(VLOOKUP(F2524,TRAOPE!$AA:$AB,2,0),"")</f>
        <v/>
      </c>
      <c r="I2524" s="7" t="n">
        <v>10268134</v>
      </c>
      <c r="J2524" s="7">
        <f>IFERROR(VLOOKUP(I2524,Materiales!$A:$H,8,0),"")</f>
        <v/>
      </c>
      <c r="K2524" s="9">
        <f>IFERROR(VLOOKUP(I2524,Materiales!$A:$G,7,0),"")</f>
        <v/>
      </c>
      <c r="L2524" s="8" t="inlineStr">
        <is>
          <t>20260213</t>
        </is>
      </c>
      <c r="M2524" s="8" t="inlineStr">
        <is>
          <t>99991231</t>
        </is>
      </c>
      <c r="N2524" s="10" t="n">
        <v>156.6</v>
      </c>
      <c r="O2524" s="10">
        <f>IFERROR(VLOOKUP(A2524,Flete!$A:$J,10,0),"")</f>
        <v/>
      </c>
      <c r="P2524" s="8" t="inlineStr">
        <is>
          <t>M3</t>
        </is>
      </c>
      <c r="Q2524" s="10">
        <f>IFERROR(IFERROR(VLOOKUP(A2524,TRAOPE!$A:$U,21,0),VLOOKUP(B2524,TRAOPE!$A:$U,21,0)),"")</f>
        <v/>
      </c>
      <c r="R2524" s="8">
        <f>IFERROR(IFERROR(VLOOKUP(A2524,TRAOPE!$A:$W,23,0),VLOOKUP(B2524,TRAOPE!$A:$W,23,0)),"")</f>
        <v/>
      </c>
      <c r="S2524" s="10">
        <f>IF(AND(P2524="TN",R2524="TN"),N2524+N(O2524),IF(G2524&amp;""="1",N(K2524)*N2524,(N2524+N(O2524))*N(K2524)))</f>
        <v/>
      </c>
      <c r="T2524" s="10">
        <f>IF(Q2524="","",Q2524-S2524)</f>
        <v/>
      </c>
    </row>
    <row r="2525">
      <c r="A2525" s="7">
        <f>CONCATENATE(C2525,E2525,F2525,I2525)</f>
        <v/>
      </c>
      <c r="B2525" s="7">
        <f>CONCATENATE(C2525,E2525,I2525)</f>
        <v/>
      </c>
      <c r="C2525" s="8" t="n">
        <v>900003609</v>
      </c>
      <c r="D2525" s="7">
        <f>IFERROR(VLOOKUP(C2525,TRAOPE!$G:$H,2,0),"")</f>
        <v/>
      </c>
      <c r="E2525" s="8" t="inlineStr">
        <is>
          <t>D836</t>
        </is>
      </c>
      <c r="F2525" s="8" t="inlineStr">
        <is>
          <t>67012297</t>
        </is>
      </c>
      <c r="G2525" s="8">
        <f>IFERROR(VLOOKUP(A2525,Flete!$A:$E,5,0),"")</f>
        <v/>
      </c>
      <c r="H2525" s="7">
        <f>IFERROR(VLOOKUP(F2525,TRAOPE!$AA:$AB,2,0),"")</f>
        <v/>
      </c>
      <c r="I2525" s="7" t="n">
        <v>10147486</v>
      </c>
      <c r="J2525" s="7">
        <f>IFERROR(VLOOKUP(I2525,Materiales!$A:$H,8,0),"")</f>
        <v/>
      </c>
      <c r="K2525" s="9">
        <f>IFERROR(VLOOKUP(I2525,Materiales!$A:$G,7,0),"")</f>
        <v/>
      </c>
      <c r="L2525" s="8" t="inlineStr">
        <is>
          <t>20260213</t>
        </is>
      </c>
      <c r="M2525" s="8" t="inlineStr">
        <is>
          <t>99991231</t>
        </is>
      </c>
      <c r="N2525" s="10" t="n">
        <v>189</v>
      </c>
      <c r="O2525" s="10">
        <f>IFERROR(VLOOKUP(A2525,Flete!$A:$J,10,0),"")</f>
        <v/>
      </c>
      <c r="P2525" s="8" t="inlineStr">
        <is>
          <t>M3</t>
        </is>
      </c>
      <c r="Q2525" s="10">
        <f>IFERROR(IFERROR(VLOOKUP(A2525,TRAOPE!$A:$U,21,0),VLOOKUP(B2525,TRAOPE!$A:$U,21,0)),"")</f>
        <v/>
      </c>
      <c r="R2525" s="8">
        <f>IFERROR(IFERROR(VLOOKUP(A2525,TRAOPE!$A:$W,23,0),VLOOKUP(B2525,TRAOPE!$A:$W,23,0)),"")</f>
        <v/>
      </c>
      <c r="S2525" s="10">
        <f>IF(AND(P2525="TN",R2525="TN"),N2525+N(O2525),IF(G2525&amp;""="1",N(K2525)*N2525,(N2525+N(O2525))*N(K2525)))</f>
        <v/>
      </c>
      <c r="T2525" s="10">
        <f>IF(Q2525="","",Q2525-S2525)</f>
        <v/>
      </c>
    </row>
    <row r="2526">
      <c r="A2526" s="7">
        <f>CONCATENATE(C2526,E2526,F2526,I2526)</f>
        <v/>
      </c>
      <c r="B2526" s="7">
        <f>CONCATENATE(C2526,E2526,I2526)</f>
        <v/>
      </c>
      <c r="C2526" s="8" t="n">
        <v>900003609</v>
      </c>
      <c r="D2526" s="7">
        <f>IFERROR(VLOOKUP(C2526,TRAOPE!$G:$H,2,0),"")</f>
        <v/>
      </c>
      <c r="E2526" s="8" t="inlineStr">
        <is>
          <t>D836</t>
        </is>
      </c>
      <c r="F2526" s="8" t="inlineStr">
        <is>
          <t>67012297</t>
        </is>
      </c>
      <c r="G2526" s="8">
        <f>IFERROR(VLOOKUP(A2526,Flete!$A:$E,5,0),"")</f>
        <v/>
      </c>
      <c r="H2526" s="7">
        <f>IFERROR(VLOOKUP(F2526,TRAOPE!$AA:$AB,2,0),"")</f>
        <v/>
      </c>
      <c r="I2526" s="7" t="n">
        <v>10226561</v>
      </c>
      <c r="J2526" s="7">
        <f>IFERROR(VLOOKUP(I2526,Materiales!$A:$H,8,0),"")</f>
        <v/>
      </c>
      <c r="K2526" s="9">
        <f>IFERROR(VLOOKUP(I2526,Materiales!$A:$G,7,0),"")</f>
        <v/>
      </c>
      <c r="L2526" s="8" t="inlineStr">
        <is>
          <t>20260213</t>
        </is>
      </c>
      <c r="M2526" s="8" t="inlineStr">
        <is>
          <t>99991231</t>
        </is>
      </c>
      <c r="N2526" s="10" t="n">
        <v>179.28</v>
      </c>
      <c r="O2526" s="10">
        <f>IFERROR(VLOOKUP(A2526,Flete!$A:$J,10,0),"")</f>
        <v/>
      </c>
      <c r="P2526" s="8" t="inlineStr">
        <is>
          <t>M3</t>
        </is>
      </c>
      <c r="Q2526" s="10">
        <f>IFERROR(IFERROR(VLOOKUP(A2526,TRAOPE!$A:$U,21,0),VLOOKUP(B2526,TRAOPE!$A:$U,21,0)),"")</f>
        <v/>
      </c>
      <c r="R2526" s="8">
        <f>IFERROR(IFERROR(VLOOKUP(A2526,TRAOPE!$A:$W,23,0),VLOOKUP(B2526,TRAOPE!$A:$W,23,0)),"")</f>
        <v/>
      </c>
      <c r="S2526" s="10">
        <f>IF(AND(P2526="TN",R2526="TN"),N2526+N(O2526),IF(G2526&amp;""="1",N(K2526)*N2526,(N2526+N(O2526))*N(K2526)))</f>
        <v/>
      </c>
      <c r="T2526" s="10">
        <f>IF(Q2526="","",Q2526-S2526)</f>
        <v/>
      </c>
    </row>
    <row r="2527">
      <c r="A2527" s="7">
        <f>CONCATENATE(C2527,E2527,F2527,I2527)</f>
        <v/>
      </c>
      <c r="B2527" s="7">
        <f>CONCATENATE(C2527,E2527,I2527)</f>
        <v/>
      </c>
      <c r="C2527" s="8" t="n">
        <v>900003609</v>
      </c>
      <c r="D2527" s="7">
        <f>IFERROR(VLOOKUP(C2527,TRAOPE!$G:$H,2,0),"")</f>
        <v/>
      </c>
      <c r="E2527" s="8" t="inlineStr">
        <is>
          <t>D836</t>
        </is>
      </c>
      <c r="F2527" s="8" t="inlineStr">
        <is>
          <t>67154900</t>
        </is>
      </c>
      <c r="G2527" s="8">
        <f>IFERROR(VLOOKUP(A2527,Flete!$A:$E,5,0),"")</f>
        <v/>
      </c>
      <c r="H2527" s="7">
        <f>IFERROR(VLOOKUP(F2527,TRAOPE!$AA:$AB,2,0),"")</f>
        <v/>
      </c>
      <c r="I2527" s="7" t="n">
        <v>10000811</v>
      </c>
      <c r="J2527" s="7">
        <f>IFERROR(VLOOKUP(I2527,Materiales!$A:$H,8,0),"")</f>
        <v/>
      </c>
      <c r="K2527" s="9">
        <f>IFERROR(VLOOKUP(I2527,Materiales!$A:$G,7,0),"")</f>
        <v/>
      </c>
      <c r="L2527" s="8" t="inlineStr">
        <is>
          <t>20260213</t>
        </is>
      </c>
      <c r="M2527" s="8" t="inlineStr">
        <is>
          <t>99991231</t>
        </is>
      </c>
      <c r="N2527" s="10" t="n">
        <v>189</v>
      </c>
      <c r="O2527" s="10">
        <f>IFERROR(VLOOKUP(A2527,Flete!$A:$J,10,0),"")</f>
        <v/>
      </c>
      <c r="P2527" s="8" t="inlineStr">
        <is>
          <t>M3</t>
        </is>
      </c>
      <c r="Q2527" s="10">
        <f>IFERROR(IFERROR(VLOOKUP(A2527,TRAOPE!$A:$U,21,0),VLOOKUP(B2527,TRAOPE!$A:$U,21,0)),"")</f>
        <v/>
      </c>
      <c r="R2527" s="8">
        <f>IFERROR(IFERROR(VLOOKUP(A2527,TRAOPE!$A:$W,23,0),VLOOKUP(B2527,TRAOPE!$A:$W,23,0)),"")</f>
        <v/>
      </c>
      <c r="S2527" s="10">
        <f>IF(AND(P2527="TN",R2527="TN"),N2527+N(O2527),IF(G2527&amp;""="1",N(K2527)*N2527,(N2527+N(O2527))*N(K2527)))</f>
        <v/>
      </c>
      <c r="T2527" s="10">
        <f>IF(Q2527="","",Q2527-S2527)</f>
        <v/>
      </c>
    </row>
    <row r="2528">
      <c r="A2528" s="7">
        <f>CONCATENATE(C2528,E2528,F2528,I2528)</f>
        <v/>
      </c>
      <c r="B2528" s="7">
        <f>CONCATENATE(C2528,E2528,I2528)</f>
        <v/>
      </c>
      <c r="C2528" s="8" t="n">
        <v>900003609</v>
      </c>
      <c r="D2528" s="7">
        <f>IFERROR(VLOOKUP(C2528,TRAOPE!$G:$H,2,0),"")</f>
        <v/>
      </c>
      <c r="E2528" s="8" t="inlineStr">
        <is>
          <t>D836</t>
        </is>
      </c>
      <c r="F2528" s="8" t="inlineStr">
        <is>
          <t>67154900</t>
        </is>
      </c>
      <c r="G2528" s="8">
        <f>IFERROR(VLOOKUP(A2528,Flete!$A:$E,5,0),"")</f>
        <v/>
      </c>
      <c r="H2528" s="7">
        <f>IFERROR(VLOOKUP(F2528,TRAOPE!$AA:$AB,2,0),"")</f>
        <v/>
      </c>
      <c r="I2528" s="7" t="n">
        <v>10058345</v>
      </c>
      <c r="J2528" s="7">
        <f>IFERROR(VLOOKUP(I2528,Materiales!$A:$H,8,0),"")</f>
        <v/>
      </c>
      <c r="K2528" s="9">
        <f>IFERROR(VLOOKUP(I2528,Materiales!$A:$G,7,0),"")</f>
        <v/>
      </c>
      <c r="L2528" s="8" t="inlineStr">
        <is>
          <t>20260213</t>
        </is>
      </c>
      <c r="M2528" s="8" t="inlineStr">
        <is>
          <t>99991231</t>
        </is>
      </c>
      <c r="N2528" s="10" t="n">
        <v>162</v>
      </c>
      <c r="O2528" s="10">
        <f>IFERROR(VLOOKUP(A2528,Flete!$A:$J,10,0),"")</f>
        <v/>
      </c>
      <c r="P2528" s="8" t="inlineStr">
        <is>
          <t>M3</t>
        </is>
      </c>
      <c r="Q2528" s="10">
        <f>IFERROR(IFERROR(VLOOKUP(A2528,TRAOPE!$A:$U,21,0),VLOOKUP(B2528,TRAOPE!$A:$U,21,0)),"")</f>
        <v/>
      </c>
      <c r="R2528" s="8">
        <f>IFERROR(IFERROR(VLOOKUP(A2528,TRAOPE!$A:$W,23,0),VLOOKUP(B2528,TRAOPE!$A:$W,23,0)),"")</f>
        <v/>
      </c>
      <c r="S2528" s="10">
        <f>IF(AND(P2528="TN",R2528="TN"),N2528+N(O2528),IF(G2528&amp;""="1",N(K2528)*N2528,(N2528+N(O2528))*N(K2528)))</f>
        <v/>
      </c>
      <c r="T2528" s="10">
        <f>IF(Q2528="","",Q2528-S2528)</f>
        <v/>
      </c>
    </row>
    <row r="2529">
      <c r="A2529" s="7">
        <f>CONCATENATE(C2529,E2529,F2529,I2529)</f>
        <v/>
      </c>
      <c r="B2529" s="7">
        <f>CONCATENATE(C2529,E2529,I2529)</f>
        <v/>
      </c>
      <c r="C2529" s="8" t="n">
        <v>900003609</v>
      </c>
      <c r="D2529" s="7">
        <f>IFERROR(VLOOKUP(C2529,TRAOPE!$G:$H,2,0),"")</f>
        <v/>
      </c>
      <c r="E2529" s="8" t="inlineStr">
        <is>
          <t>D836</t>
        </is>
      </c>
      <c r="F2529" s="8" t="inlineStr">
        <is>
          <t>67221674</t>
        </is>
      </c>
      <c r="G2529" s="8">
        <f>IFERROR(VLOOKUP(A2529,Flete!$A:$E,5,0),"")</f>
        <v/>
      </c>
      <c r="H2529" s="7">
        <f>IFERROR(VLOOKUP(F2529,TRAOPE!$AA:$AB,2,0),"")</f>
        <v/>
      </c>
      <c r="I2529" s="7" t="n">
        <v>10000630</v>
      </c>
      <c r="J2529" s="7">
        <f>IFERROR(VLOOKUP(I2529,Materiales!$A:$H,8,0),"")</f>
        <v/>
      </c>
      <c r="K2529" s="9">
        <f>IFERROR(VLOOKUP(I2529,Materiales!$A:$G,7,0),"")</f>
        <v/>
      </c>
      <c r="L2529" s="8" t="inlineStr">
        <is>
          <t>20260327</t>
        </is>
      </c>
      <c r="M2529" s="8" t="inlineStr">
        <is>
          <t>99991231</t>
        </is>
      </c>
      <c r="N2529" s="10" t="n">
        <v>189</v>
      </c>
      <c r="O2529" s="10">
        <f>IFERROR(VLOOKUP(A2529,Flete!$A:$J,10,0),"")</f>
        <v/>
      </c>
      <c r="P2529" s="8" t="inlineStr">
        <is>
          <t>M3</t>
        </is>
      </c>
      <c r="Q2529" s="10">
        <f>IFERROR(IFERROR(VLOOKUP(A2529,TRAOPE!$A:$U,21,0),VLOOKUP(B2529,TRAOPE!$A:$U,21,0)),"")</f>
        <v/>
      </c>
      <c r="R2529" s="8">
        <f>IFERROR(IFERROR(VLOOKUP(A2529,TRAOPE!$A:$W,23,0),VLOOKUP(B2529,TRAOPE!$A:$W,23,0)),"")</f>
        <v/>
      </c>
      <c r="S2529" s="10">
        <f>IF(AND(P2529="TN",R2529="TN"),N2529+N(O2529),IF(G2529&amp;""="1",N(K2529)*N2529,(N2529+N(O2529))*N(K2529)))</f>
        <v/>
      </c>
      <c r="T2529" s="10">
        <f>IF(Q2529="","",Q2529-S2529)</f>
        <v/>
      </c>
    </row>
    <row r="2530">
      <c r="A2530" s="7">
        <f>CONCATENATE(C2530,E2530,F2530,I2530)</f>
        <v/>
      </c>
      <c r="B2530" s="7">
        <f>CONCATENATE(C2530,E2530,I2530)</f>
        <v/>
      </c>
      <c r="C2530" s="8" t="n">
        <v>900003609</v>
      </c>
      <c r="D2530" s="7">
        <f>IFERROR(VLOOKUP(C2530,TRAOPE!$G:$H,2,0),"")</f>
        <v/>
      </c>
      <c r="E2530" s="8" t="inlineStr">
        <is>
          <t>D836</t>
        </is>
      </c>
      <c r="F2530" s="8" t="inlineStr">
        <is>
          <t>67221674</t>
        </is>
      </c>
      <c r="G2530" s="8">
        <f>IFERROR(VLOOKUP(A2530,Flete!$A:$E,5,0),"")</f>
        <v/>
      </c>
      <c r="H2530" s="7">
        <f>IFERROR(VLOOKUP(F2530,TRAOPE!$AA:$AB,2,0),"")</f>
        <v/>
      </c>
      <c r="I2530" s="7" t="n">
        <v>10000811</v>
      </c>
      <c r="J2530" s="7">
        <f>IFERROR(VLOOKUP(I2530,Materiales!$A:$H,8,0),"")</f>
        <v/>
      </c>
      <c r="K2530" s="9">
        <f>IFERROR(VLOOKUP(I2530,Materiales!$A:$G,7,0),"")</f>
        <v/>
      </c>
      <c r="L2530" s="8" t="inlineStr">
        <is>
          <t>20260213</t>
        </is>
      </c>
      <c r="M2530" s="8" t="inlineStr">
        <is>
          <t>99991231</t>
        </is>
      </c>
      <c r="N2530" s="10" t="n">
        <v>189</v>
      </c>
      <c r="O2530" s="10">
        <f>IFERROR(VLOOKUP(A2530,Flete!$A:$J,10,0),"")</f>
        <v/>
      </c>
      <c r="P2530" s="8" t="inlineStr">
        <is>
          <t>M3</t>
        </is>
      </c>
      <c r="Q2530" s="10">
        <f>IFERROR(IFERROR(VLOOKUP(A2530,TRAOPE!$A:$U,21,0),VLOOKUP(B2530,TRAOPE!$A:$U,21,0)),"")</f>
        <v/>
      </c>
      <c r="R2530" s="8">
        <f>IFERROR(IFERROR(VLOOKUP(A2530,TRAOPE!$A:$W,23,0),VLOOKUP(B2530,TRAOPE!$A:$W,23,0)),"")</f>
        <v/>
      </c>
      <c r="S2530" s="10">
        <f>IF(AND(P2530="TN",R2530="TN"),N2530+N(O2530),IF(G2530&amp;""="1",N(K2530)*N2530,(N2530+N(O2530))*N(K2530)))</f>
        <v/>
      </c>
      <c r="T2530" s="10">
        <f>IF(Q2530="","",Q2530-S2530)</f>
        <v/>
      </c>
    </row>
    <row r="2531">
      <c r="A2531" s="7">
        <f>CONCATENATE(C2531,E2531,F2531,I2531)</f>
        <v/>
      </c>
      <c r="B2531" s="7">
        <f>CONCATENATE(C2531,E2531,I2531)</f>
        <v/>
      </c>
      <c r="C2531" s="8" t="n">
        <v>900003609</v>
      </c>
      <c r="D2531" s="7">
        <f>IFERROR(VLOOKUP(C2531,TRAOPE!$G:$H,2,0),"")</f>
        <v/>
      </c>
      <c r="E2531" s="8" t="inlineStr">
        <is>
          <t>D836</t>
        </is>
      </c>
      <c r="F2531" s="8" t="inlineStr">
        <is>
          <t>67221674</t>
        </is>
      </c>
      <c r="G2531" s="8">
        <f>IFERROR(VLOOKUP(A2531,Flete!$A:$E,5,0),"")</f>
        <v/>
      </c>
      <c r="H2531" s="7">
        <f>IFERROR(VLOOKUP(F2531,TRAOPE!$AA:$AB,2,0),"")</f>
        <v/>
      </c>
      <c r="I2531" s="7" t="n">
        <v>10147486</v>
      </c>
      <c r="J2531" s="7">
        <f>IFERROR(VLOOKUP(I2531,Materiales!$A:$H,8,0),"")</f>
        <v/>
      </c>
      <c r="K2531" s="9">
        <f>IFERROR(VLOOKUP(I2531,Materiales!$A:$G,7,0),"")</f>
        <v/>
      </c>
      <c r="L2531" s="8" t="inlineStr">
        <is>
          <t>20260213</t>
        </is>
      </c>
      <c r="M2531" s="8" t="inlineStr">
        <is>
          <t>99991231</t>
        </is>
      </c>
      <c r="N2531" s="10" t="n">
        <v>187.92</v>
      </c>
      <c r="O2531" s="10">
        <f>IFERROR(VLOOKUP(A2531,Flete!$A:$J,10,0),"")</f>
        <v/>
      </c>
      <c r="P2531" s="8" t="inlineStr">
        <is>
          <t>M3</t>
        </is>
      </c>
      <c r="Q2531" s="10">
        <f>IFERROR(IFERROR(VLOOKUP(A2531,TRAOPE!$A:$U,21,0),VLOOKUP(B2531,TRAOPE!$A:$U,21,0)),"")</f>
        <v/>
      </c>
      <c r="R2531" s="8">
        <f>IFERROR(IFERROR(VLOOKUP(A2531,TRAOPE!$A:$W,23,0),VLOOKUP(B2531,TRAOPE!$A:$W,23,0)),"")</f>
        <v/>
      </c>
      <c r="S2531" s="10">
        <f>IF(AND(P2531="TN",R2531="TN"),N2531+N(O2531),IF(G2531&amp;""="1",N(K2531)*N2531,(N2531+N(O2531))*N(K2531)))</f>
        <v/>
      </c>
      <c r="T2531" s="10">
        <f>IF(Q2531="","",Q2531-S2531)</f>
        <v/>
      </c>
    </row>
    <row r="2532">
      <c r="A2532" s="7">
        <f>CONCATENATE(C2532,E2532,F2532,I2532)</f>
        <v/>
      </c>
      <c r="B2532" s="7">
        <f>CONCATENATE(C2532,E2532,I2532)</f>
        <v/>
      </c>
      <c r="C2532" s="8" t="n">
        <v>900003609</v>
      </c>
      <c r="D2532" s="7">
        <f>IFERROR(VLOOKUP(C2532,TRAOPE!$G:$H,2,0),"")</f>
        <v/>
      </c>
      <c r="E2532" s="8" t="inlineStr">
        <is>
          <t>D836</t>
        </is>
      </c>
      <c r="F2532" s="8" t="inlineStr">
        <is>
          <t>67243408</t>
        </is>
      </c>
      <c r="G2532" s="8">
        <f>IFERROR(VLOOKUP(A2532,Flete!$A:$E,5,0),"")</f>
        <v/>
      </c>
      <c r="H2532" s="7">
        <f>IFERROR(VLOOKUP(F2532,TRAOPE!$AA:$AB,2,0),"")</f>
        <v/>
      </c>
      <c r="I2532" s="7" t="n">
        <v>10268133</v>
      </c>
      <c r="J2532" s="7">
        <f>IFERROR(VLOOKUP(I2532,Materiales!$A:$H,8,0),"")</f>
        <v/>
      </c>
      <c r="K2532" s="9">
        <f>IFERROR(VLOOKUP(I2532,Materiales!$A:$G,7,0),"")</f>
        <v/>
      </c>
      <c r="L2532" s="8" t="inlineStr">
        <is>
          <t>20260213</t>
        </is>
      </c>
      <c r="M2532" s="8" t="inlineStr">
        <is>
          <t>99991231</t>
        </is>
      </c>
      <c r="N2532" s="10" t="n">
        <v>198.72</v>
      </c>
      <c r="O2532" s="10">
        <f>IFERROR(VLOOKUP(A2532,Flete!$A:$J,10,0),"")</f>
        <v/>
      </c>
      <c r="P2532" s="8" t="inlineStr">
        <is>
          <t>M3</t>
        </is>
      </c>
      <c r="Q2532" s="10">
        <f>IFERROR(IFERROR(VLOOKUP(A2532,TRAOPE!$A:$U,21,0),VLOOKUP(B2532,TRAOPE!$A:$U,21,0)),"")</f>
        <v/>
      </c>
      <c r="R2532" s="8">
        <f>IFERROR(IFERROR(VLOOKUP(A2532,TRAOPE!$A:$W,23,0),VLOOKUP(B2532,TRAOPE!$A:$W,23,0)),"")</f>
        <v/>
      </c>
      <c r="S2532" s="10">
        <f>IF(AND(P2532="TN",R2532="TN"),N2532+N(O2532),IF(G2532&amp;""="1",N(K2532)*N2532,(N2532+N(O2532))*N(K2532)))</f>
        <v/>
      </c>
      <c r="T2532" s="10">
        <f>IF(Q2532="","",Q2532-S2532)</f>
        <v/>
      </c>
    </row>
    <row r="2533">
      <c r="A2533" s="7">
        <f>CONCATENATE(C2533,E2533,F2533,I2533)</f>
        <v/>
      </c>
      <c r="B2533" s="7">
        <f>CONCATENATE(C2533,E2533,I2533)</f>
        <v/>
      </c>
      <c r="C2533" s="8" t="n">
        <v>900003609</v>
      </c>
      <c r="D2533" s="7">
        <f>IFERROR(VLOOKUP(C2533,TRAOPE!$G:$H,2,0),"")</f>
        <v/>
      </c>
      <c r="E2533" s="8" t="inlineStr">
        <is>
          <t>D836</t>
        </is>
      </c>
      <c r="F2533" s="8" t="inlineStr">
        <is>
          <t>67243408</t>
        </is>
      </c>
      <c r="G2533" s="8">
        <f>IFERROR(VLOOKUP(A2533,Flete!$A:$E,5,0),"")</f>
        <v/>
      </c>
      <c r="H2533" s="7">
        <f>IFERROR(VLOOKUP(F2533,TRAOPE!$AA:$AB,2,0),"")</f>
        <v/>
      </c>
      <c r="I2533" s="7" t="n">
        <v>10268134</v>
      </c>
      <c r="J2533" s="7">
        <f>IFERROR(VLOOKUP(I2533,Materiales!$A:$H,8,0),"")</f>
        <v/>
      </c>
      <c r="K2533" s="9">
        <f>IFERROR(VLOOKUP(I2533,Materiales!$A:$G,7,0),"")</f>
        <v/>
      </c>
      <c r="L2533" s="8" t="inlineStr">
        <is>
          <t>20260213</t>
        </is>
      </c>
      <c r="M2533" s="8" t="inlineStr">
        <is>
          <t>99991231</t>
        </is>
      </c>
      <c r="N2533" s="10" t="n">
        <v>156.6</v>
      </c>
      <c r="O2533" s="10">
        <f>IFERROR(VLOOKUP(A2533,Flete!$A:$J,10,0),"")</f>
        <v/>
      </c>
      <c r="P2533" s="8" t="inlineStr">
        <is>
          <t>M3</t>
        </is>
      </c>
      <c r="Q2533" s="10">
        <f>IFERROR(IFERROR(VLOOKUP(A2533,TRAOPE!$A:$U,21,0),VLOOKUP(B2533,TRAOPE!$A:$U,21,0)),"")</f>
        <v/>
      </c>
      <c r="R2533" s="8">
        <f>IFERROR(IFERROR(VLOOKUP(A2533,TRAOPE!$A:$W,23,0),VLOOKUP(B2533,TRAOPE!$A:$W,23,0)),"")</f>
        <v/>
      </c>
      <c r="S2533" s="10">
        <f>IF(AND(P2533="TN",R2533="TN"),N2533+N(O2533),IF(G2533&amp;""="1",N(K2533)*N2533,(N2533+N(O2533))*N(K2533)))</f>
        <v/>
      </c>
      <c r="T2533" s="10">
        <f>IF(Q2533="","",Q2533-S2533)</f>
        <v/>
      </c>
    </row>
    <row r="2534">
      <c r="A2534" s="7">
        <f>CONCATENATE(C2534,E2534,F2534,I2534)</f>
        <v/>
      </c>
      <c r="B2534" s="7">
        <f>CONCATENATE(C2534,E2534,I2534)</f>
        <v/>
      </c>
      <c r="C2534" s="8" t="n">
        <v>900003609</v>
      </c>
      <c r="D2534" s="7">
        <f>IFERROR(VLOOKUP(C2534,TRAOPE!$G:$H,2,0),"")</f>
        <v/>
      </c>
      <c r="E2534" s="8" t="inlineStr">
        <is>
          <t>D836</t>
        </is>
      </c>
      <c r="F2534" s="8" t="inlineStr">
        <is>
          <t>67325663</t>
        </is>
      </c>
      <c r="G2534" s="8">
        <f>IFERROR(VLOOKUP(A2534,Flete!$A:$E,5,0),"")</f>
        <v/>
      </c>
      <c r="H2534" s="7">
        <f>IFERROR(VLOOKUP(F2534,TRAOPE!$AA:$AB,2,0),"")</f>
        <v/>
      </c>
      <c r="I2534" s="7" t="n">
        <v>10000630</v>
      </c>
      <c r="J2534" s="7">
        <f>IFERROR(VLOOKUP(I2534,Materiales!$A:$H,8,0),"")</f>
        <v/>
      </c>
      <c r="K2534" s="9">
        <f>IFERROR(VLOOKUP(I2534,Materiales!$A:$G,7,0),"")</f>
        <v/>
      </c>
      <c r="L2534" s="8" t="inlineStr">
        <is>
          <t>20260220</t>
        </is>
      </c>
      <c r="M2534" s="8" t="inlineStr">
        <is>
          <t>99991231</t>
        </is>
      </c>
      <c r="N2534" s="10" t="n">
        <v>195</v>
      </c>
      <c r="O2534" s="10">
        <f>IFERROR(VLOOKUP(A2534,Flete!$A:$J,10,0),"")</f>
        <v/>
      </c>
      <c r="P2534" s="8" t="inlineStr">
        <is>
          <t>M3</t>
        </is>
      </c>
      <c r="Q2534" s="10">
        <f>IFERROR(IFERROR(VLOOKUP(A2534,TRAOPE!$A:$U,21,0),VLOOKUP(B2534,TRAOPE!$A:$U,21,0)),"")</f>
        <v/>
      </c>
      <c r="R2534" s="8">
        <f>IFERROR(IFERROR(VLOOKUP(A2534,TRAOPE!$A:$W,23,0),VLOOKUP(B2534,TRAOPE!$A:$W,23,0)),"")</f>
        <v/>
      </c>
      <c r="S2534" s="10">
        <f>IF(AND(P2534="TN",R2534="TN"),N2534+N(O2534),IF(G2534&amp;""="1",N(K2534)*N2534,(N2534+N(O2534))*N(K2534)))</f>
        <v/>
      </c>
      <c r="T2534" s="10">
        <f>IF(Q2534="","",Q2534-S2534)</f>
        <v/>
      </c>
    </row>
    <row r="2535">
      <c r="A2535" s="7">
        <f>CONCATENATE(C2535,E2535,F2535,I2535)</f>
        <v/>
      </c>
      <c r="B2535" s="7">
        <f>CONCATENATE(C2535,E2535,I2535)</f>
        <v/>
      </c>
      <c r="C2535" s="8" t="n">
        <v>900003609</v>
      </c>
      <c r="D2535" s="7">
        <f>IFERROR(VLOOKUP(C2535,TRAOPE!$G:$H,2,0),"")</f>
        <v/>
      </c>
      <c r="E2535" s="8" t="inlineStr">
        <is>
          <t>D836</t>
        </is>
      </c>
      <c r="F2535" s="8" t="inlineStr">
        <is>
          <t>67328420</t>
        </is>
      </c>
      <c r="G2535" s="8">
        <f>IFERROR(VLOOKUP(A2535,Flete!$A:$E,5,0),"")</f>
        <v/>
      </c>
      <c r="H2535" s="7">
        <f>IFERROR(VLOOKUP(F2535,TRAOPE!$AA:$AB,2,0),"")</f>
        <v/>
      </c>
      <c r="I2535" s="7" t="n">
        <v>10000624</v>
      </c>
      <c r="J2535" s="7">
        <f>IFERROR(VLOOKUP(I2535,Materiales!$A:$H,8,0),"")</f>
        <v/>
      </c>
      <c r="K2535" s="9">
        <f>IFERROR(VLOOKUP(I2535,Materiales!$A:$G,7,0),"")</f>
        <v/>
      </c>
      <c r="L2535" s="8" t="inlineStr">
        <is>
          <t>20260213</t>
        </is>
      </c>
      <c r="M2535" s="8" t="inlineStr">
        <is>
          <t>99991231</t>
        </is>
      </c>
      <c r="N2535" s="10" t="n">
        <v>172.8</v>
      </c>
      <c r="O2535" s="10">
        <f>IFERROR(VLOOKUP(A2535,Flete!$A:$J,10,0),"")</f>
        <v/>
      </c>
      <c r="P2535" s="8" t="inlineStr">
        <is>
          <t>M3</t>
        </is>
      </c>
      <c r="Q2535" s="10">
        <f>IFERROR(IFERROR(VLOOKUP(A2535,TRAOPE!$A:$U,21,0),VLOOKUP(B2535,TRAOPE!$A:$U,21,0)),"")</f>
        <v/>
      </c>
      <c r="R2535" s="8">
        <f>IFERROR(IFERROR(VLOOKUP(A2535,TRAOPE!$A:$W,23,0),VLOOKUP(B2535,TRAOPE!$A:$W,23,0)),"")</f>
        <v/>
      </c>
      <c r="S2535" s="10">
        <f>IF(AND(P2535="TN",R2535="TN"),N2535+N(O2535),IF(G2535&amp;""="1",N(K2535)*N2535,(N2535+N(O2535))*N(K2535)))</f>
        <v/>
      </c>
      <c r="T2535" s="10">
        <f>IF(Q2535="","",Q2535-S2535)</f>
        <v/>
      </c>
    </row>
    <row r="2536">
      <c r="A2536" s="7">
        <f>CONCATENATE(C2536,E2536,F2536,I2536)</f>
        <v/>
      </c>
      <c r="B2536" s="7">
        <f>CONCATENATE(C2536,E2536,I2536)</f>
        <v/>
      </c>
      <c r="C2536" s="8" t="n">
        <v>900003609</v>
      </c>
      <c r="D2536" s="7">
        <f>IFERROR(VLOOKUP(C2536,TRAOPE!$G:$H,2,0),"")</f>
        <v/>
      </c>
      <c r="E2536" s="8" t="inlineStr">
        <is>
          <t>D836</t>
        </is>
      </c>
      <c r="F2536" s="8" t="inlineStr">
        <is>
          <t>67328420</t>
        </is>
      </c>
      <c r="G2536" s="8">
        <f>IFERROR(VLOOKUP(A2536,Flete!$A:$E,5,0),"")</f>
        <v/>
      </c>
      <c r="H2536" s="7">
        <f>IFERROR(VLOOKUP(F2536,TRAOPE!$AA:$AB,2,0),"")</f>
        <v/>
      </c>
      <c r="I2536" s="7" t="n">
        <v>10000630</v>
      </c>
      <c r="J2536" s="7">
        <f>IFERROR(VLOOKUP(I2536,Materiales!$A:$H,8,0),"")</f>
        <v/>
      </c>
      <c r="K2536" s="9">
        <f>IFERROR(VLOOKUP(I2536,Materiales!$A:$G,7,0),"")</f>
        <v/>
      </c>
      <c r="L2536" s="8" t="inlineStr">
        <is>
          <t>20260213</t>
        </is>
      </c>
      <c r="M2536" s="8" t="inlineStr">
        <is>
          <t>99991231</t>
        </is>
      </c>
      <c r="N2536" s="10" t="n">
        <v>191.16</v>
      </c>
      <c r="O2536" s="10">
        <f>IFERROR(VLOOKUP(A2536,Flete!$A:$J,10,0),"")</f>
        <v/>
      </c>
      <c r="P2536" s="8" t="inlineStr">
        <is>
          <t>M3</t>
        </is>
      </c>
      <c r="Q2536" s="10">
        <f>IFERROR(IFERROR(VLOOKUP(A2536,TRAOPE!$A:$U,21,0),VLOOKUP(B2536,TRAOPE!$A:$U,21,0)),"")</f>
        <v/>
      </c>
      <c r="R2536" s="8">
        <f>IFERROR(IFERROR(VLOOKUP(A2536,TRAOPE!$A:$W,23,0),VLOOKUP(B2536,TRAOPE!$A:$W,23,0)),"")</f>
        <v/>
      </c>
      <c r="S2536" s="10">
        <f>IF(AND(P2536="TN",R2536="TN"),N2536+N(O2536),IF(G2536&amp;""="1",N(K2536)*N2536,(N2536+N(O2536))*N(K2536)))</f>
        <v/>
      </c>
      <c r="T2536" s="10">
        <f>IF(Q2536="","",Q2536-S2536)</f>
        <v/>
      </c>
    </row>
    <row r="2537">
      <c r="A2537" s="7">
        <f>CONCATENATE(C2537,E2537,F2537,I2537)</f>
        <v/>
      </c>
      <c r="B2537" s="7">
        <f>CONCATENATE(C2537,E2537,I2537)</f>
        <v/>
      </c>
      <c r="C2537" s="8" t="n">
        <v>900003609</v>
      </c>
      <c r="D2537" s="7">
        <f>IFERROR(VLOOKUP(C2537,TRAOPE!$G:$H,2,0),"")</f>
        <v/>
      </c>
      <c r="E2537" s="8" t="inlineStr">
        <is>
          <t>D836</t>
        </is>
      </c>
      <c r="F2537" s="8" t="inlineStr">
        <is>
          <t>67328420</t>
        </is>
      </c>
      <c r="G2537" s="8">
        <f>IFERROR(VLOOKUP(A2537,Flete!$A:$E,5,0),"")</f>
        <v/>
      </c>
      <c r="H2537" s="7">
        <f>IFERROR(VLOOKUP(F2537,TRAOPE!$AA:$AB,2,0),"")</f>
        <v/>
      </c>
      <c r="I2537" s="7" t="n">
        <v>10000811</v>
      </c>
      <c r="J2537" s="7">
        <f>IFERROR(VLOOKUP(I2537,Materiales!$A:$H,8,0),"")</f>
        <v/>
      </c>
      <c r="K2537" s="9">
        <f>IFERROR(VLOOKUP(I2537,Materiales!$A:$G,7,0),"")</f>
        <v/>
      </c>
      <c r="L2537" s="8" t="inlineStr">
        <is>
          <t>20260213</t>
        </is>
      </c>
      <c r="M2537" s="8" t="inlineStr">
        <is>
          <t>99991231</t>
        </is>
      </c>
      <c r="N2537" s="10" t="n">
        <v>182.52</v>
      </c>
      <c r="O2537" s="10">
        <f>IFERROR(VLOOKUP(A2537,Flete!$A:$J,10,0),"")</f>
        <v/>
      </c>
      <c r="P2537" s="8" t="inlineStr">
        <is>
          <t>M3</t>
        </is>
      </c>
      <c r="Q2537" s="10">
        <f>IFERROR(IFERROR(VLOOKUP(A2537,TRAOPE!$A:$U,21,0),VLOOKUP(B2537,TRAOPE!$A:$U,21,0)),"")</f>
        <v/>
      </c>
      <c r="R2537" s="8">
        <f>IFERROR(IFERROR(VLOOKUP(A2537,TRAOPE!$A:$W,23,0),VLOOKUP(B2537,TRAOPE!$A:$W,23,0)),"")</f>
        <v/>
      </c>
      <c r="S2537" s="10">
        <f>IF(AND(P2537="TN",R2537="TN"),N2537+N(O2537),IF(G2537&amp;""="1",N(K2537)*N2537,(N2537+N(O2537))*N(K2537)))</f>
        <v/>
      </c>
      <c r="T2537" s="10">
        <f>IF(Q2537="","",Q2537-S2537)</f>
        <v/>
      </c>
    </row>
    <row r="2538">
      <c r="A2538" s="7">
        <f>CONCATENATE(C2538,E2538,F2538,I2538)</f>
        <v/>
      </c>
      <c r="B2538" s="7">
        <f>CONCATENATE(C2538,E2538,I2538)</f>
        <v/>
      </c>
      <c r="C2538" s="8" t="n">
        <v>900003609</v>
      </c>
      <c r="D2538" s="7">
        <f>IFERROR(VLOOKUP(C2538,TRAOPE!$G:$H,2,0),"")</f>
        <v/>
      </c>
      <c r="E2538" s="8" t="inlineStr">
        <is>
          <t>D836</t>
        </is>
      </c>
      <c r="F2538" s="8" t="inlineStr">
        <is>
          <t>67328835</t>
        </is>
      </c>
      <c r="G2538" s="8">
        <f>IFERROR(VLOOKUP(A2538,Flete!$A:$E,5,0),"")</f>
        <v/>
      </c>
      <c r="H2538" s="7">
        <f>IFERROR(VLOOKUP(F2538,TRAOPE!$AA:$AB,2,0),"")</f>
        <v/>
      </c>
      <c r="I2538" s="7" t="n">
        <v>10000630</v>
      </c>
      <c r="J2538" s="7">
        <f>IFERROR(VLOOKUP(I2538,Materiales!$A:$H,8,0),"")</f>
        <v/>
      </c>
      <c r="K2538" s="9">
        <f>IFERROR(VLOOKUP(I2538,Materiales!$A:$G,7,0),"")</f>
        <v/>
      </c>
      <c r="L2538" s="8" t="inlineStr">
        <is>
          <t>20260313</t>
        </is>
      </c>
      <c r="M2538" s="8" t="inlineStr">
        <is>
          <t>99991231</t>
        </is>
      </c>
      <c r="N2538" s="10" t="n">
        <v>182</v>
      </c>
      <c r="O2538" s="10">
        <f>IFERROR(VLOOKUP(A2538,Flete!$A:$J,10,0),"")</f>
        <v/>
      </c>
      <c r="P2538" s="8" t="inlineStr">
        <is>
          <t>M3</t>
        </is>
      </c>
      <c r="Q2538" s="10">
        <f>IFERROR(IFERROR(VLOOKUP(A2538,TRAOPE!$A:$U,21,0),VLOOKUP(B2538,TRAOPE!$A:$U,21,0)),"")</f>
        <v/>
      </c>
      <c r="R2538" s="8">
        <f>IFERROR(IFERROR(VLOOKUP(A2538,TRAOPE!$A:$W,23,0),VLOOKUP(B2538,TRAOPE!$A:$W,23,0)),"")</f>
        <v/>
      </c>
      <c r="S2538" s="10">
        <f>IF(AND(P2538="TN",R2538="TN"),N2538+N(O2538),IF(G2538&amp;""="1",N(K2538)*N2538,(N2538+N(O2538))*N(K2538)))</f>
        <v/>
      </c>
      <c r="T2538" s="10">
        <f>IF(Q2538="","",Q2538-S2538)</f>
        <v/>
      </c>
    </row>
    <row r="2539">
      <c r="A2539" s="7">
        <f>CONCATENATE(C2539,E2539,F2539,I2539)</f>
        <v/>
      </c>
      <c r="B2539" s="7">
        <f>CONCATENATE(C2539,E2539,I2539)</f>
        <v/>
      </c>
      <c r="C2539" s="8" t="n">
        <v>900003609</v>
      </c>
      <c r="D2539" s="7">
        <f>IFERROR(VLOOKUP(C2539,TRAOPE!$G:$H,2,0),"")</f>
        <v/>
      </c>
      <c r="E2539" s="8" t="inlineStr">
        <is>
          <t>D836</t>
        </is>
      </c>
      <c r="F2539" s="8" t="inlineStr">
        <is>
          <t>67333612</t>
        </is>
      </c>
      <c r="G2539" s="8">
        <f>IFERROR(VLOOKUP(A2539,Flete!$A:$E,5,0),"")</f>
        <v/>
      </c>
      <c r="H2539" s="7">
        <f>IFERROR(VLOOKUP(F2539,TRAOPE!$AA:$AB,2,0),"")</f>
        <v/>
      </c>
      <c r="I2539" s="7" t="n">
        <v>10000630</v>
      </c>
      <c r="J2539" s="7">
        <f>IFERROR(VLOOKUP(I2539,Materiales!$A:$H,8,0),"")</f>
        <v/>
      </c>
      <c r="K2539" s="9">
        <f>IFERROR(VLOOKUP(I2539,Materiales!$A:$G,7,0),"")</f>
        <v/>
      </c>
      <c r="L2539" s="8" t="inlineStr">
        <is>
          <t>20260213</t>
        </is>
      </c>
      <c r="M2539" s="8" t="inlineStr">
        <is>
          <t>99991231</t>
        </is>
      </c>
      <c r="N2539" s="10" t="n">
        <v>194.4</v>
      </c>
      <c r="O2539" s="10">
        <f>IFERROR(VLOOKUP(A2539,Flete!$A:$J,10,0),"")</f>
        <v/>
      </c>
      <c r="P2539" s="8" t="inlineStr">
        <is>
          <t>M3</t>
        </is>
      </c>
      <c r="Q2539" s="10">
        <f>IFERROR(IFERROR(VLOOKUP(A2539,TRAOPE!$A:$U,21,0),VLOOKUP(B2539,TRAOPE!$A:$U,21,0)),"")</f>
        <v/>
      </c>
      <c r="R2539" s="8">
        <f>IFERROR(IFERROR(VLOOKUP(A2539,TRAOPE!$A:$W,23,0),VLOOKUP(B2539,TRAOPE!$A:$W,23,0)),"")</f>
        <v/>
      </c>
      <c r="S2539" s="10">
        <f>IF(AND(P2539="TN",R2539="TN"),N2539+N(O2539),IF(G2539&amp;""="1",N(K2539)*N2539,(N2539+N(O2539))*N(K2539)))</f>
        <v/>
      </c>
      <c r="T2539" s="10">
        <f>IF(Q2539="","",Q2539-S2539)</f>
        <v/>
      </c>
    </row>
    <row r="2540">
      <c r="A2540" s="7">
        <f>CONCATENATE(C2540,E2540,F2540,I2540)</f>
        <v/>
      </c>
      <c r="B2540" s="7">
        <f>CONCATENATE(C2540,E2540,I2540)</f>
        <v/>
      </c>
      <c r="C2540" s="8" t="n">
        <v>900003609</v>
      </c>
      <c r="D2540" s="7">
        <f>IFERROR(VLOOKUP(C2540,TRAOPE!$G:$H,2,0),"")</f>
        <v/>
      </c>
      <c r="E2540" s="8" t="inlineStr">
        <is>
          <t>D836</t>
        </is>
      </c>
      <c r="F2540" s="8" t="inlineStr">
        <is>
          <t>67345008</t>
        </is>
      </c>
      <c r="G2540" s="8">
        <f>IFERROR(VLOOKUP(A2540,Flete!$A:$E,5,0),"")</f>
        <v/>
      </c>
      <c r="H2540" s="7">
        <f>IFERROR(VLOOKUP(F2540,TRAOPE!$AA:$AB,2,0),"")</f>
        <v/>
      </c>
      <c r="I2540" s="7" t="n">
        <v>10000630</v>
      </c>
      <c r="J2540" s="7">
        <f>IFERROR(VLOOKUP(I2540,Materiales!$A:$H,8,0),"")</f>
        <v/>
      </c>
      <c r="K2540" s="9">
        <f>IFERROR(VLOOKUP(I2540,Materiales!$A:$G,7,0),"")</f>
        <v/>
      </c>
      <c r="L2540" s="8" t="inlineStr">
        <is>
          <t>20260213</t>
        </is>
      </c>
      <c r="M2540" s="8" t="inlineStr">
        <is>
          <t>99991231</t>
        </is>
      </c>
      <c r="N2540" s="10" t="n">
        <v>191.16</v>
      </c>
      <c r="O2540" s="10">
        <f>IFERROR(VLOOKUP(A2540,Flete!$A:$J,10,0),"")</f>
        <v/>
      </c>
      <c r="P2540" s="8" t="inlineStr">
        <is>
          <t>M3</t>
        </is>
      </c>
      <c r="Q2540" s="10">
        <f>IFERROR(IFERROR(VLOOKUP(A2540,TRAOPE!$A:$U,21,0),VLOOKUP(B2540,TRAOPE!$A:$U,21,0)),"")</f>
        <v/>
      </c>
      <c r="R2540" s="8">
        <f>IFERROR(IFERROR(VLOOKUP(A2540,TRAOPE!$A:$W,23,0),VLOOKUP(B2540,TRAOPE!$A:$W,23,0)),"")</f>
        <v/>
      </c>
      <c r="S2540" s="10">
        <f>IF(AND(P2540="TN",R2540="TN"),N2540+N(O2540),IF(G2540&amp;""="1",N(K2540)*N2540,(N2540+N(O2540))*N(K2540)))</f>
        <v/>
      </c>
      <c r="T2540" s="10">
        <f>IF(Q2540="","",Q2540-S2540)</f>
        <v/>
      </c>
    </row>
    <row r="2541">
      <c r="A2541" s="7">
        <f>CONCATENATE(C2541,E2541,F2541,I2541)</f>
        <v/>
      </c>
      <c r="B2541" s="7">
        <f>CONCATENATE(C2541,E2541,I2541)</f>
        <v/>
      </c>
      <c r="C2541" s="8" t="n">
        <v>900003609</v>
      </c>
      <c r="D2541" s="7">
        <f>IFERROR(VLOOKUP(C2541,TRAOPE!$G:$H,2,0),"")</f>
        <v/>
      </c>
      <c r="E2541" s="8" t="inlineStr">
        <is>
          <t>D836</t>
        </is>
      </c>
      <c r="F2541" s="8" t="inlineStr">
        <is>
          <t>67347709</t>
        </is>
      </c>
      <c r="G2541" s="8">
        <f>IFERROR(VLOOKUP(A2541,Flete!$A:$E,5,0),"")</f>
        <v/>
      </c>
      <c r="H2541" s="7">
        <f>IFERROR(VLOOKUP(F2541,TRAOPE!$AA:$AB,2,0),"")</f>
        <v/>
      </c>
      <c r="I2541" s="7" t="n">
        <v>10000630</v>
      </c>
      <c r="J2541" s="7">
        <f>IFERROR(VLOOKUP(I2541,Materiales!$A:$H,8,0),"")</f>
        <v/>
      </c>
      <c r="K2541" s="9">
        <f>IFERROR(VLOOKUP(I2541,Materiales!$A:$G,7,0),"")</f>
        <v/>
      </c>
      <c r="L2541" s="8" t="inlineStr">
        <is>
          <t>20260213</t>
        </is>
      </c>
      <c r="M2541" s="8" t="inlineStr">
        <is>
          <t>99991231</t>
        </is>
      </c>
      <c r="N2541" s="10" t="n">
        <v>189</v>
      </c>
      <c r="O2541" s="10">
        <f>IFERROR(VLOOKUP(A2541,Flete!$A:$J,10,0),"")</f>
        <v/>
      </c>
      <c r="P2541" s="8" t="inlineStr">
        <is>
          <t>M3</t>
        </is>
      </c>
      <c r="Q2541" s="10">
        <f>IFERROR(IFERROR(VLOOKUP(A2541,TRAOPE!$A:$U,21,0),VLOOKUP(B2541,TRAOPE!$A:$U,21,0)),"")</f>
        <v/>
      </c>
      <c r="R2541" s="8">
        <f>IFERROR(IFERROR(VLOOKUP(A2541,TRAOPE!$A:$W,23,0),VLOOKUP(B2541,TRAOPE!$A:$W,23,0)),"")</f>
        <v/>
      </c>
      <c r="S2541" s="10">
        <f>IF(AND(P2541="TN",R2541="TN"),N2541+N(O2541),IF(G2541&amp;""="1",N(K2541)*N2541,(N2541+N(O2541))*N(K2541)))</f>
        <v/>
      </c>
      <c r="T2541" s="10">
        <f>IF(Q2541="","",Q2541-S2541)</f>
        <v/>
      </c>
    </row>
    <row r="2542">
      <c r="A2542" s="7">
        <f>CONCATENATE(C2542,E2542,F2542,I2542)</f>
        <v/>
      </c>
      <c r="B2542" s="7">
        <f>CONCATENATE(C2542,E2542,I2542)</f>
        <v/>
      </c>
      <c r="C2542" s="8" t="n">
        <v>900003609</v>
      </c>
      <c r="D2542" s="7">
        <f>IFERROR(VLOOKUP(C2542,TRAOPE!$G:$H,2,0),"")</f>
        <v/>
      </c>
      <c r="E2542" s="8" t="inlineStr">
        <is>
          <t>D836</t>
        </is>
      </c>
      <c r="F2542" s="8" t="inlineStr">
        <is>
          <t>67347709</t>
        </is>
      </c>
      <c r="G2542" s="8">
        <f>IFERROR(VLOOKUP(A2542,Flete!$A:$E,5,0),"")</f>
        <v/>
      </c>
      <c r="H2542" s="7">
        <f>IFERROR(VLOOKUP(F2542,TRAOPE!$AA:$AB,2,0),"")</f>
        <v/>
      </c>
      <c r="I2542" s="7" t="n">
        <v>10000811</v>
      </c>
      <c r="J2542" s="7">
        <f>IFERROR(VLOOKUP(I2542,Materiales!$A:$H,8,0),"")</f>
        <v/>
      </c>
      <c r="K2542" s="9">
        <f>IFERROR(VLOOKUP(I2542,Materiales!$A:$G,7,0),"")</f>
        <v/>
      </c>
      <c r="L2542" s="8" t="inlineStr">
        <is>
          <t>20260213</t>
        </is>
      </c>
      <c r="M2542" s="8" t="inlineStr">
        <is>
          <t>99991231</t>
        </is>
      </c>
      <c r="N2542" s="10" t="n">
        <v>189</v>
      </c>
      <c r="O2542" s="10">
        <f>IFERROR(VLOOKUP(A2542,Flete!$A:$J,10,0),"")</f>
        <v/>
      </c>
      <c r="P2542" s="8" t="inlineStr">
        <is>
          <t>M3</t>
        </is>
      </c>
      <c r="Q2542" s="10">
        <f>IFERROR(IFERROR(VLOOKUP(A2542,TRAOPE!$A:$U,21,0),VLOOKUP(B2542,TRAOPE!$A:$U,21,0)),"")</f>
        <v/>
      </c>
      <c r="R2542" s="8">
        <f>IFERROR(IFERROR(VLOOKUP(A2542,TRAOPE!$A:$W,23,0),VLOOKUP(B2542,TRAOPE!$A:$W,23,0)),"")</f>
        <v/>
      </c>
      <c r="S2542" s="10">
        <f>IF(AND(P2542="TN",R2542="TN"),N2542+N(O2542),IF(G2542&amp;""="1",N(K2542)*N2542,(N2542+N(O2542))*N(K2542)))</f>
        <v/>
      </c>
      <c r="T2542" s="10">
        <f>IF(Q2542="","",Q2542-S2542)</f>
        <v/>
      </c>
    </row>
    <row r="2543">
      <c r="A2543" s="7">
        <f>CONCATENATE(C2543,E2543,F2543,I2543)</f>
        <v/>
      </c>
      <c r="B2543" s="7">
        <f>CONCATENATE(C2543,E2543,I2543)</f>
        <v/>
      </c>
      <c r="C2543" s="8" t="n">
        <v>900003609</v>
      </c>
      <c r="D2543" s="7">
        <f>IFERROR(VLOOKUP(C2543,TRAOPE!$G:$H,2,0),"")</f>
        <v/>
      </c>
      <c r="E2543" s="8" t="inlineStr">
        <is>
          <t>D836</t>
        </is>
      </c>
      <c r="F2543" s="8" t="inlineStr">
        <is>
          <t>67347709</t>
        </is>
      </c>
      <c r="G2543" s="8">
        <f>IFERROR(VLOOKUP(A2543,Flete!$A:$E,5,0),"")</f>
        <v/>
      </c>
      <c r="H2543" s="7">
        <f>IFERROR(VLOOKUP(F2543,TRAOPE!$AA:$AB,2,0),"")</f>
        <v/>
      </c>
      <c r="I2543" s="7" t="n">
        <v>10147486</v>
      </c>
      <c r="J2543" s="7">
        <f>IFERROR(VLOOKUP(I2543,Materiales!$A:$H,8,0),"")</f>
        <v/>
      </c>
      <c r="K2543" s="9">
        <f>IFERROR(VLOOKUP(I2543,Materiales!$A:$G,7,0),"")</f>
        <v/>
      </c>
      <c r="L2543" s="8" t="inlineStr">
        <is>
          <t>20260213</t>
        </is>
      </c>
      <c r="M2543" s="8" t="inlineStr">
        <is>
          <t>99991231</t>
        </is>
      </c>
      <c r="N2543" s="10" t="n">
        <v>187.92</v>
      </c>
      <c r="O2543" s="10">
        <f>IFERROR(VLOOKUP(A2543,Flete!$A:$J,10,0),"")</f>
        <v/>
      </c>
      <c r="P2543" s="8" t="inlineStr">
        <is>
          <t>M3</t>
        </is>
      </c>
      <c r="Q2543" s="10">
        <f>IFERROR(IFERROR(VLOOKUP(A2543,TRAOPE!$A:$U,21,0),VLOOKUP(B2543,TRAOPE!$A:$U,21,0)),"")</f>
        <v/>
      </c>
      <c r="R2543" s="8">
        <f>IFERROR(IFERROR(VLOOKUP(A2543,TRAOPE!$A:$W,23,0),VLOOKUP(B2543,TRAOPE!$A:$W,23,0)),"")</f>
        <v/>
      </c>
      <c r="S2543" s="10">
        <f>IF(AND(P2543="TN",R2543="TN"),N2543+N(O2543),IF(G2543&amp;""="1",N(K2543)*N2543,(N2543+N(O2543))*N(K2543)))</f>
        <v/>
      </c>
      <c r="T2543" s="10">
        <f>IF(Q2543="","",Q2543-S2543)</f>
        <v/>
      </c>
    </row>
    <row r="2544">
      <c r="A2544" s="7">
        <f>CONCATENATE(C2544,E2544,F2544,I2544)</f>
        <v/>
      </c>
      <c r="B2544" s="7">
        <f>CONCATENATE(C2544,E2544,I2544)</f>
        <v/>
      </c>
      <c r="C2544" s="8" t="n">
        <v>900003609</v>
      </c>
      <c r="D2544" s="7">
        <f>IFERROR(VLOOKUP(C2544,TRAOPE!$G:$H,2,0),"")</f>
        <v/>
      </c>
      <c r="E2544" s="8" t="inlineStr">
        <is>
          <t>D836</t>
        </is>
      </c>
      <c r="F2544" s="8" t="inlineStr">
        <is>
          <t>67362033</t>
        </is>
      </c>
      <c r="G2544" s="8">
        <f>IFERROR(VLOOKUP(A2544,Flete!$A:$E,5,0),"")</f>
        <v/>
      </c>
      <c r="H2544" s="7">
        <f>IFERROR(VLOOKUP(F2544,TRAOPE!$AA:$AB,2,0),"")</f>
        <v/>
      </c>
      <c r="I2544" s="7" t="n">
        <v>10000811</v>
      </c>
      <c r="J2544" s="7">
        <f>IFERROR(VLOOKUP(I2544,Materiales!$A:$H,8,0),"")</f>
        <v/>
      </c>
      <c r="K2544" s="9">
        <f>IFERROR(VLOOKUP(I2544,Materiales!$A:$G,7,0),"")</f>
        <v/>
      </c>
      <c r="L2544" s="8" t="inlineStr">
        <is>
          <t>20260213</t>
        </is>
      </c>
      <c r="M2544" s="8" t="inlineStr">
        <is>
          <t>99991231</t>
        </is>
      </c>
      <c r="N2544" s="10" t="n">
        <v>180.36</v>
      </c>
      <c r="O2544" s="10">
        <f>IFERROR(VLOOKUP(A2544,Flete!$A:$J,10,0),"")</f>
        <v/>
      </c>
      <c r="P2544" s="8" t="inlineStr">
        <is>
          <t>M3</t>
        </is>
      </c>
      <c r="Q2544" s="10">
        <f>IFERROR(IFERROR(VLOOKUP(A2544,TRAOPE!$A:$U,21,0),VLOOKUP(B2544,TRAOPE!$A:$U,21,0)),"")</f>
        <v/>
      </c>
      <c r="R2544" s="8">
        <f>IFERROR(IFERROR(VLOOKUP(A2544,TRAOPE!$A:$W,23,0),VLOOKUP(B2544,TRAOPE!$A:$W,23,0)),"")</f>
        <v/>
      </c>
      <c r="S2544" s="10">
        <f>IF(AND(P2544="TN",R2544="TN"),N2544+N(O2544),IF(G2544&amp;""="1",N(K2544)*N2544,(N2544+N(O2544))*N(K2544)))</f>
        <v/>
      </c>
      <c r="T2544" s="10">
        <f>IF(Q2544="","",Q2544-S2544)</f>
        <v/>
      </c>
    </row>
    <row r="2545">
      <c r="A2545" s="7">
        <f>CONCATENATE(C2545,E2545,F2545,I2545)</f>
        <v/>
      </c>
      <c r="B2545" s="7">
        <f>CONCATENATE(C2545,E2545,I2545)</f>
        <v/>
      </c>
      <c r="C2545" s="8" t="n">
        <v>900003609</v>
      </c>
      <c r="D2545" s="7">
        <f>IFERROR(VLOOKUP(C2545,TRAOPE!$G:$H,2,0),"")</f>
        <v/>
      </c>
      <c r="E2545" s="8" t="inlineStr">
        <is>
          <t>D836</t>
        </is>
      </c>
      <c r="F2545" s="8" t="inlineStr">
        <is>
          <t>67362033</t>
        </is>
      </c>
      <c r="G2545" s="8">
        <f>IFERROR(VLOOKUP(A2545,Flete!$A:$E,5,0),"")</f>
        <v/>
      </c>
      <c r="H2545" s="7">
        <f>IFERROR(VLOOKUP(F2545,TRAOPE!$AA:$AB,2,0),"")</f>
        <v/>
      </c>
      <c r="I2545" s="7" t="n">
        <v>10058345</v>
      </c>
      <c r="J2545" s="7">
        <f>IFERROR(VLOOKUP(I2545,Materiales!$A:$H,8,0),"")</f>
        <v/>
      </c>
      <c r="K2545" s="9">
        <f>IFERROR(VLOOKUP(I2545,Materiales!$A:$G,7,0),"")</f>
        <v/>
      </c>
      <c r="L2545" s="8" t="inlineStr">
        <is>
          <t>20260213</t>
        </is>
      </c>
      <c r="M2545" s="8" t="inlineStr">
        <is>
          <t>99991231</t>
        </is>
      </c>
      <c r="N2545" s="10" t="n">
        <v>147.42</v>
      </c>
      <c r="O2545" s="10">
        <f>IFERROR(VLOOKUP(A2545,Flete!$A:$J,10,0),"")</f>
        <v/>
      </c>
      <c r="P2545" s="8" t="inlineStr">
        <is>
          <t>M3</t>
        </is>
      </c>
      <c r="Q2545" s="10">
        <f>IFERROR(IFERROR(VLOOKUP(A2545,TRAOPE!$A:$U,21,0),VLOOKUP(B2545,TRAOPE!$A:$U,21,0)),"")</f>
        <v/>
      </c>
      <c r="R2545" s="8">
        <f>IFERROR(IFERROR(VLOOKUP(A2545,TRAOPE!$A:$W,23,0),VLOOKUP(B2545,TRAOPE!$A:$W,23,0)),"")</f>
        <v/>
      </c>
      <c r="S2545" s="10">
        <f>IF(AND(P2545="TN",R2545="TN"),N2545+N(O2545),IF(G2545&amp;""="1",N(K2545)*N2545,(N2545+N(O2545))*N(K2545)))</f>
        <v/>
      </c>
      <c r="T2545" s="10">
        <f>IF(Q2545="","",Q2545-S2545)</f>
        <v/>
      </c>
    </row>
    <row r="2546">
      <c r="A2546" s="7">
        <f>CONCATENATE(C2546,E2546,F2546,I2546)</f>
        <v/>
      </c>
      <c r="B2546" s="7">
        <f>CONCATENATE(C2546,E2546,I2546)</f>
        <v/>
      </c>
      <c r="C2546" s="8" t="n">
        <v>900003609</v>
      </c>
      <c r="D2546" s="7">
        <f>IFERROR(VLOOKUP(C2546,TRAOPE!$G:$H,2,0),"")</f>
        <v/>
      </c>
      <c r="E2546" s="8" t="inlineStr">
        <is>
          <t>D836</t>
        </is>
      </c>
      <c r="F2546" s="8" t="inlineStr">
        <is>
          <t>67365667</t>
        </is>
      </c>
      <c r="G2546" s="8">
        <f>IFERROR(VLOOKUP(A2546,Flete!$A:$E,5,0),"")</f>
        <v/>
      </c>
      <c r="H2546" s="7">
        <f>IFERROR(VLOOKUP(F2546,TRAOPE!$AA:$AB,2,0),"")</f>
        <v/>
      </c>
      <c r="I2546" s="7" t="n">
        <v>10000630</v>
      </c>
      <c r="J2546" s="7">
        <f>IFERROR(VLOOKUP(I2546,Materiales!$A:$H,8,0),"")</f>
        <v/>
      </c>
      <c r="K2546" s="9">
        <f>IFERROR(VLOOKUP(I2546,Materiales!$A:$G,7,0),"")</f>
        <v/>
      </c>
      <c r="L2546" s="8" t="inlineStr">
        <is>
          <t>20260714</t>
        </is>
      </c>
      <c r="M2546" s="8" t="inlineStr">
        <is>
          <t>99991231</t>
        </is>
      </c>
      <c r="N2546" s="10" t="n">
        <v>210</v>
      </c>
      <c r="O2546" s="10">
        <f>IFERROR(VLOOKUP(A2546,Flete!$A:$J,10,0),"")</f>
        <v/>
      </c>
      <c r="P2546" s="8" t="inlineStr">
        <is>
          <t>M3</t>
        </is>
      </c>
      <c r="Q2546" s="10">
        <f>IFERROR(IFERROR(VLOOKUP(A2546,TRAOPE!$A:$U,21,0),VLOOKUP(B2546,TRAOPE!$A:$U,21,0)),"")</f>
        <v/>
      </c>
      <c r="R2546" s="8">
        <f>IFERROR(IFERROR(VLOOKUP(A2546,TRAOPE!$A:$W,23,0),VLOOKUP(B2546,TRAOPE!$A:$W,23,0)),"")</f>
        <v/>
      </c>
      <c r="S2546" s="10">
        <f>IF(AND(P2546="TN",R2546="TN"),N2546+N(O2546),IF(G2546&amp;""="1",N(K2546)*N2546,(N2546+N(O2546))*N(K2546)))</f>
        <v/>
      </c>
      <c r="T2546" s="10">
        <f>IF(Q2546="","",Q2546-S2546)</f>
        <v/>
      </c>
    </row>
    <row r="2547">
      <c r="A2547" s="7">
        <f>CONCATENATE(C2547,E2547,F2547,I2547)</f>
        <v/>
      </c>
      <c r="B2547" s="7">
        <f>CONCATENATE(C2547,E2547,I2547)</f>
        <v/>
      </c>
      <c r="C2547" s="8" t="n">
        <v>900003609</v>
      </c>
      <c r="D2547" s="7">
        <f>IFERROR(VLOOKUP(C2547,TRAOPE!$G:$H,2,0),"")</f>
        <v/>
      </c>
      <c r="E2547" s="8" t="inlineStr">
        <is>
          <t>D836</t>
        </is>
      </c>
      <c r="F2547" s="8" t="inlineStr">
        <is>
          <t>67365667</t>
        </is>
      </c>
      <c r="G2547" s="8">
        <f>IFERROR(VLOOKUP(A2547,Flete!$A:$E,5,0),"")</f>
        <v/>
      </c>
      <c r="H2547" s="7">
        <f>IFERROR(VLOOKUP(F2547,TRAOPE!$AA:$AB,2,0),"")</f>
        <v/>
      </c>
      <c r="I2547" s="7" t="n">
        <v>10000811</v>
      </c>
      <c r="J2547" s="7">
        <f>IFERROR(VLOOKUP(I2547,Materiales!$A:$H,8,0),"")</f>
        <v/>
      </c>
      <c r="K2547" s="9">
        <f>IFERROR(VLOOKUP(I2547,Materiales!$A:$G,7,0),"")</f>
        <v/>
      </c>
      <c r="L2547" s="8" t="inlineStr">
        <is>
          <t>20260714</t>
        </is>
      </c>
      <c r="M2547" s="8" t="inlineStr">
        <is>
          <t>99991231</t>
        </is>
      </c>
      <c r="N2547" s="10" t="n">
        <v>196</v>
      </c>
      <c r="O2547" s="10">
        <f>IFERROR(VLOOKUP(A2547,Flete!$A:$J,10,0),"")</f>
        <v/>
      </c>
      <c r="P2547" s="8" t="inlineStr">
        <is>
          <t>M3</t>
        </is>
      </c>
      <c r="Q2547" s="10">
        <f>IFERROR(IFERROR(VLOOKUP(A2547,TRAOPE!$A:$U,21,0),VLOOKUP(B2547,TRAOPE!$A:$U,21,0)),"")</f>
        <v/>
      </c>
      <c r="R2547" s="8">
        <f>IFERROR(IFERROR(VLOOKUP(A2547,TRAOPE!$A:$W,23,0),VLOOKUP(B2547,TRAOPE!$A:$W,23,0)),"")</f>
        <v/>
      </c>
      <c r="S2547" s="10">
        <f>IF(AND(P2547="TN",R2547="TN"),N2547+N(O2547),IF(G2547&amp;""="1",N(K2547)*N2547,(N2547+N(O2547))*N(K2547)))</f>
        <v/>
      </c>
      <c r="T2547" s="10">
        <f>IF(Q2547="","",Q2547-S2547)</f>
        <v/>
      </c>
    </row>
    <row r="2548">
      <c r="A2548" s="7">
        <f>CONCATENATE(C2548,E2548,F2548,I2548)</f>
        <v/>
      </c>
      <c r="B2548" s="7">
        <f>CONCATENATE(C2548,E2548,I2548)</f>
        <v/>
      </c>
      <c r="C2548" s="8" t="n">
        <v>900003609</v>
      </c>
      <c r="D2548" s="7">
        <f>IFERROR(VLOOKUP(C2548,TRAOPE!$G:$H,2,0),"")</f>
        <v/>
      </c>
      <c r="E2548" s="8" t="inlineStr">
        <is>
          <t>D836</t>
        </is>
      </c>
      <c r="F2548" s="8" t="inlineStr">
        <is>
          <t>67365667</t>
        </is>
      </c>
      <c r="G2548" s="8">
        <f>IFERROR(VLOOKUP(A2548,Flete!$A:$E,5,0),"")</f>
        <v/>
      </c>
      <c r="H2548" s="7">
        <f>IFERROR(VLOOKUP(F2548,TRAOPE!$AA:$AB,2,0),"")</f>
        <v/>
      </c>
      <c r="I2548" s="7" t="n">
        <v>10058345</v>
      </c>
      <c r="J2548" s="7">
        <f>IFERROR(VLOOKUP(I2548,Materiales!$A:$H,8,0),"")</f>
        <v/>
      </c>
      <c r="K2548" s="9">
        <f>IFERROR(VLOOKUP(I2548,Materiales!$A:$G,7,0),"")</f>
        <v/>
      </c>
      <c r="L2548" s="8" t="inlineStr">
        <is>
          <t>20260714</t>
        </is>
      </c>
      <c r="M2548" s="8" t="inlineStr">
        <is>
          <t>99991231</t>
        </is>
      </c>
      <c r="N2548" s="10" t="n">
        <v>153</v>
      </c>
      <c r="O2548" s="10">
        <f>IFERROR(VLOOKUP(A2548,Flete!$A:$J,10,0),"")</f>
        <v/>
      </c>
      <c r="P2548" s="8" t="inlineStr">
        <is>
          <t>M3</t>
        </is>
      </c>
      <c r="Q2548" s="10">
        <f>IFERROR(IFERROR(VLOOKUP(A2548,TRAOPE!$A:$U,21,0),VLOOKUP(B2548,TRAOPE!$A:$U,21,0)),"")</f>
        <v/>
      </c>
      <c r="R2548" s="8">
        <f>IFERROR(IFERROR(VLOOKUP(A2548,TRAOPE!$A:$W,23,0),VLOOKUP(B2548,TRAOPE!$A:$W,23,0)),"")</f>
        <v/>
      </c>
      <c r="S2548" s="10">
        <f>IF(AND(P2548="TN",R2548="TN"),N2548+N(O2548),IF(G2548&amp;""="1",N(K2548)*N2548,(N2548+N(O2548))*N(K2548)))</f>
        <v/>
      </c>
      <c r="T2548" s="10">
        <f>IF(Q2548="","",Q2548-S2548)</f>
        <v/>
      </c>
    </row>
    <row r="2549">
      <c r="A2549" s="7">
        <f>CONCATENATE(C2549,E2549,F2549,I2549)</f>
        <v/>
      </c>
      <c r="B2549" s="7">
        <f>CONCATENATE(C2549,E2549,I2549)</f>
        <v/>
      </c>
      <c r="C2549" s="8" t="n">
        <v>900003609</v>
      </c>
      <c r="D2549" s="7">
        <f>IFERROR(VLOOKUP(C2549,TRAOPE!$G:$H,2,0),"")</f>
        <v/>
      </c>
      <c r="E2549" s="8" t="inlineStr">
        <is>
          <t>D836</t>
        </is>
      </c>
      <c r="F2549" s="8" t="inlineStr">
        <is>
          <t>67382539</t>
        </is>
      </c>
      <c r="G2549" s="8">
        <f>IFERROR(VLOOKUP(A2549,Flete!$A:$E,5,0),"")</f>
        <v/>
      </c>
      <c r="H2549" s="7">
        <f>IFERROR(VLOOKUP(F2549,TRAOPE!$AA:$AB,2,0),"")</f>
        <v/>
      </c>
      <c r="I2549" s="7" t="n">
        <v>10000630</v>
      </c>
      <c r="J2549" s="7">
        <f>IFERROR(VLOOKUP(I2549,Materiales!$A:$H,8,0),"")</f>
        <v/>
      </c>
      <c r="K2549" s="9">
        <f>IFERROR(VLOOKUP(I2549,Materiales!$A:$G,7,0),"")</f>
        <v/>
      </c>
      <c r="L2549" s="8" t="inlineStr">
        <is>
          <t>20260611</t>
        </is>
      </c>
      <c r="M2549" s="8" t="inlineStr">
        <is>
          <t>99991231</t>
        </is>
      </c>
      <c r="N2549" s="10" t="n">
        <v>189</v>
      </c>
      <c r="O2549" s="10">
        <f>IFERROR(VLOOKUP(A2549,Flete!$A:$J,10,0),"")</f>
        <v/>
      </c>
      <c r="P2549" s="8" t="inlineStr">
        <is>
          <t>M3</t>
        </is>
      </c>
      <c r="Q2549" s="10">
        <f>IFERROR(IFERROR(VLOOKUP(A2549,TRAOPE!$A:$U,21,0),VLOOKUP(B2549,TRAOPE!$A:$U,21,0)),"")</f>
        <v/>
      </c>
      <c r="R2549" s="8">
        <f>IFERROR(IFERROR(VLOOKUP(A2549,TRAOPE!$A:$W,23,0),VLOOKUP(B2549,TRAOPE!$A:$W,23,0)),"")</f>
        <v/>
      </c>
      <c r="S2549" s="10">
        <f>IF(AND(P2549="TN",R2549="TN"),N2549+N(O2549),IF(G2549&amp;""="1",N(K2549)*N2549,(N2549+N(O2549))*N(K2549)))</f>
        <v/>
      </c>
      <c r="T2549" s="10">
        <f>IF(Q2549="","",Q2549-S2549)</f>
        <v/>
      </c>
    </row>
    <row r="2550">
      <c r="A2550" s="7">
        <f>CONCATENATE(C2550,E2550,F2550,I2550)</f>
        <v/>
      </c>
      <c r="B2550" s="7">
        <f>CONCATENATE(C2550,E2550,I2550)</f>
        <v/>
      </c>
      <c r="C2550" s="8" t="n">
        <v>900003609</v>
      </c>
      <c r="D2550" s="7">
        <f>IFERROR(VLOOKUP(C2550,TRAOPE!$G:$H,2,0),"")</f>
        <v/>
      </c>
      <c r="E2550" s="8" t="inlineStr">
        <is>
          <t>D836</t>
        </is>
      </c>
      <c r="F2550" s="8" t="inlineStr">
        <is>
          <t>67382539</t>
        </is>
      </c>
      <c r="G2550" s="8">
        <f>IFERROR(VLOOKUP(A2550,Flete!$A:$E,5,0),"")</f>
        <v/>
      </c>
      <c r="H2550" s="7">
        <f>IFERROR(VLOOKUP(F2550,TRAOPE!$AA:$AB,2,0),"")</f>
        <v/>
      </c>
      <c r="I2550" s="7" t="n">
        <v>10000811</v>
      </c>
      <c r="J2550" s="7">
        <f>IFERROR(VLOOKUP(I2550,Materiales!$A:$H,8,0),"")</f>
        <v/>
      </c>
      <c r="K2550" s="9">
        <f>IFERROR(VLOOKUP(I2550,Materiales!$A:$G,7,0),"")</f>
        <v/>
      </c>
      <c r="L2550" s="8" t="inlineStr">
        <is>
          <t>20260611</t>
        </is>
      </c>
      <c r="M2550" s="8" t="inlineStr">
        <is>
          <t>99991231</t>
        </is>
      </c>
      <c r="N2550" s="10" t="n">
        <v>189</v>
      </c>
      <c r="O2550" s="10">
        <f>IFERROR(VLOOKUP(A2550,Flete!$A:$J,10,0),"")</f>
        <v/>
      </c>
      <c r="P2550" s="8" t="inlineStr">
        <is>
          <t>M3</t>
        </is>
      </c>
      <c r="Q2550" s="10">
        <f>IFERROR(IFERROR(VLOOKUP(A2550,TRAOPE!$A:$U,21,0),VLOOKUP(B2550,TRAOPE!$A:$U,21,0)),"")</f>
        <v/>
      </c>
      <c r="R2550" s="8">
        <f>IFERROR(IFERROR(VLOOKUP(A2550,TRAOPE!$A:$W,23,0),VLOOKUP(B2550,TRAOPE!$A:$W,23,0)),"")</f>
        <v/>
      </c>
      <c r="S2550" s="10">
        <f>IF(AND(P2550="TN",R2550="TN"),N2550+N(O2550),IF(G2550&amp;""="1",N(K2550)*N2550,(N2550+N(O2550))*N(K2550)))</f>
        <v/>
      </c>
      <c r="T2550" s="10">
        <f>IF(Q2550="","",Q2550-S2550)</f>
        <v/>
      </c>
    </row>
    <row r="2551">
      <c r="A2551" s="7">
        <f>CONCATENATE(C2551,E2551,F2551,I2551)</f>
        <v/>
      </c>
      <c r="B2551" s="7">
        <f>CONCATENATE(C2551,E2551,I2551)</f>
        <v/>
      </c>
      <c r="C2551" s="8" t="n">
        <v>900003609</v>
      </c>
      <c r="D2551" s="7">
        <f>IFERROR(VLOOKUP(C2551,TRAOPE!$G:$H,2,0),"")</f>
        <v/>
      </c>
      <c r="E2551" s="8" t="inlineStr">
        <is>
          <t>D836</t>
        </is>
      </c>
      <c r="F2551" s="8" t="inlineStr">
        <is>
          <t>67382539</t>
        </is>
      </c>
      <c r="G2551" s="8">
        <f>IFERROR(VLOOKUP(A2551,Flete!$A:$E,5,0),"")</f>
        <v/>
      </c>
      <c r="H2551" s="7">
        <f>IFERROR(VLOOKUP(F2551,TRAOPE!$AA:$AB,2,0),"")</f>
        <v/>
      </c>
      <c r="I2551" s="7" t="n">
        <v>10147486</v>
      </c>
      <c r="J2551" s="7">
        <f>IFERROR(VLOOKUP(I2551,Materiales!$A:$H,8,0),"")</f>
        <v/>
      </c>
      <c r="K2551" s="9">
        <f>IFERROR(VLOOKUP(I2551,Materiales!$A:$G,7,0),"")</f>
        <v/>
      </c>
      <c r="L2551" s="8" t="inlineStr">
        <is>
          <t>20260611</t>
        </is>
      </c>
      <c r="M2551" s="8" t="inlineStr">
        <is>
          <t>99991231</t>
        </is>
      </c>
      <c r="N2551" s="10" t="n">
        <v>187.92</v>
      </c>
      <c r="O2551" s="10">
        <f>IFERROR(VLOOKUP(A2551,Flete!$A:$J,10,0),"")</f>
        <v/>
      </c>
      <c r="P2551" s="8" t="inlineStr">
        <is>
          <t>M3</t>
        </is>
      </c>
      <c r="Q2551" s="10">
        <f>IFERROR(IFERROR(VLOOKUP(A2551,TRAOPE!$A:$U,21,0),VLOOKUP(B2551,TRAOPE!$A:$U,21,0)),"")</f>
        <v/>
      </c>
      <c r="R2551" s="8">
        <f>IFERROR(IFERROR(VLOOKUP(A2551,TRAOPE!$A:$W,23,0),VLOOKUP(B2551,TRAOPE!$A:$W,23,0)),"")</f>
        <v/>
      </c>
      <c r="S2551" s="10">
        <f>IF(AND(P2551="TN",R2551="TN"),N2551+N(O2551),IF(G2551&amp;""="1",N(K2551)*N2551,(N2551+N(O2551))*N(K2551)))</f>
        <v/>
      </c>
      <c r="T2551" s="10">
        <f>IF(Q2551="","",Q2551-S2551)</f>
        <v/>
      </c>
    </row>
    <row r="2552">
      <c r="A2552" s="7">
        <f>CONCATENATE(C2552,E2552,F2552,I2552)</f>
        <v/>
      </c>
      <c r="B2552" s="7">
        <f>CONCATENATE(C2552,E2552,I2552)</f>
        <v/>
      </c>
      <c r="C2552" s="8" t="n">
        <v>900003609</v>
      </c>
      <c r="D2552" s="7">
        <f>IFERROR(VLOOKUP(C2552,TRAOPE!$G:$H,2,0),"")</f>
        <v/>
      </c>
      <c r="E2552" s="8" t="inlineStr">
        <is>
          <t>D836</t>
        </is>
      </c>
      <c r="F2552" s="8" t="inlineStr">
        <is>
          <t>67382542</t>
        </is>
      </c>
      <c r="G2552" s="8">
        <f>IFERROR(VLOOKUP(A2552,Flete!$A:$E,5,0),"")</f>
        <v/>
      </c>
      <c r="H2552" s="7">
        <f>IFERROR(VLOOKUP(F2552,TRAOPE!$AA:$AB,2,0),"")</f>
        <v/>
      </c>
      <c r="I2552" s="7" t="n">
        <v>10000630</v>
      </c>
      <c r="J2552" s="7">
        <f>IFERROR(VLOOKUP(I2552,Materiales!$A:$H,8,0),"")</f>
        <v/>
      </c>
      <c r="K2552" s="9">
        <f>IFERROR(VLOOKUP(I2552,Materiales!$A:$G,7,0),"")</f>
        <v/>
      </c>
      <c r="L2552" s="8" t="inlineStr">
        <is>
          <t>20260611</t>
        </is>
      </c>
      <c r="M2552" s="8" t="inlineStr">
        <is>
          <t>99991231</t>
        </is>
      </c>
      <c r="N2552" s="10" t="n">
        <v>189</v>
      </c>
      <c r="O2552" s="10">
        <f>IFERROR(VLOOKUP(A2552,Flete!$A:$J,10,0),"")</f>
        <v/>
      </c>
      <c r="P2552" s="8" t="inlineStr">
        <is>
          <t>M3</t>
        </is>
      </c>
      <c r="Q2552" s="10">
        <f>IFERROR(IFERROR(VLOOKUP(A2552,TRAOPE!$A:$U,21,0),VLOOKUP(B2552,TRAOPE!$A:$U,21,0)),"")</f>
        <v/>
      </c>
      <c r="R2552" s="8">
        <f>IFERROR(IFERROR(VLOOKUP(A2552,TRAOPE!$A:$W,23,0),VLOOKUP(B2552,TRAOPE!$A:$W,23,0)),"")</f>
        <v/>
      </c>
      <c r="S2552" s="10">
        <f>IF(AND(P2552="TN",R2552="TN"),N2552+N(O2552),IF(G2552&amp;""="1",N(K2552)*N2552,(N2552+N(O2552))*N(K2552)))</f>
        <v/>
      </c>
      <c r="T2552" s="10">
        <f>IF(Q2552="","",Q2552-S2552)</f>
        <v/>
      </c>
    </row>
    <row r="2553">
      <c r="A2553" s="7">
        <f>CONCATENATE(C2553,E2553,F2553,I2553)</f>
        <v/>
      </c>
      <c r="B2553" s="7">
        <f>CONCATENATE(C2553,E2553,I2553)</f>
        <v/>
      </c>
      <c r="C2553" s="8" t="n">
        <v>900003609</v>
      </c>
      <c r="D2553" s="7">
        <f>IFERROR(VLOOKUP(C2553,TRAOPE!$G:$H,2,0),"")</f>
        <v/>
      </c>
      <c r="E2553" s="8" t="inlineStr">
        <is>
          <t>D836</t>
        </is>
      </c>
      <c r="F2553" s="8" t="inlineStr">
        <is>
          <t>67382542</t>
        </is>
      </c>
      <c r="G2553" s="8">
        <f>IFERROR(VLOOKUP(A2553,Flete!$A:$E,5,0),"")</f>
        <v/>
      </c>
      <c r="H2553" s="7">
        <f>IFERROR(VLOOKUP(F2553,TRAOPE!$AA:$AB,2,0),"")</f>
        <v/>
      </c>
      <c r="I2553" s="7" t="n">
        <v>10000811</v>
      </c>
      <c r="J2553" s="7">
        <f>IFERROR(VLOOKUP(I2553,Materiales!$A:$H,8,0),"")</f>
        <v/>
      </c>
      <c r="K2553" s="9">
        <f>IFERROR(VLOOKUP(I2553,Materiales!$A:$G,7,0),"")</f>
        <v/>
      </c>
      <c r="L2553" s="8" t="inlineStr">
        <is>
          <t>20260611</t>
        </is>
      </c>
      <c r="M2553" s="8" t="inlineStr">
        <is>
          <t>99991231</t>
        </is>
      </c>
      <c r="N2553" s="10" t="n">
        <v>189</v>
      </c>
      <c r="O2553" s="10">
        <f>IFERROR(VLOOKUP(A2553,Flete!$A:$J,10,0),"")</f>
        <v/>
      </c>
      <c r="P2553" s="8" t="inlineStr">
        <is>
          <t>M3</t>
        </is>
      </c>
      <c r="Q2553" s="10">
        <f>IFERROR(IFERROR(VLOOKUP(A2553,TRAOPE!$A:$U,21,0),VLOOKUP(B2553,TRAOPE!$A:$U,21,0)),"")</f>
        <v/>
      </c>
      <c r="R2553" s="8">
        <f>IFERROR(IFERROR(VLOOKUP(A2553,TRAOPE!$A:$W,23,0),VLOOKUP(B2553,TRAOPE!$A:$W,23,0)),"")</f>
        <v/>
      </c>
      <c r="S2553" s="10">
        <f>IF(AND(P2553="TN",R2553="TN"),N2553+N(O2553),IF(G2553&amp;""="1",N(K2553)*N2553,(N2553+N(O2553))*N(K2553)))</f>
        <v/>
      </c>
      <c r="T2553" s="10">
        <f>IF(Q2553="","",Q2553-S2553)</f>
        <v/>
      </c>
    </row>
    <row r="2554">
      <c r="A2554" s="7">
        <f>CONCATENATE(C2554,E2554,F2554,I2554)</f>
        <v/>
      </c>
      <c r="B2554" s="7">
        <f>CONCATENATE(C2554,E2554,I2554)</f>
        <v/>
      </c>
      <c r="C2554" s="8" t="n">
        <v>900003609</v>
      </c>
      <c r="D2554" s="7">
        <f>IFERROR(VLOOKUP(C2554,TRAOPE!$G:$H,2,0),"")</f>
        <v/>
      </c>
      <c r="E2554" s="8" t="inlineStr">
        <is>
          <t>D836</t>
        </is>
      </c>
      <c r="F2554" s="8" t="inlineStr">
        <is>
          <t>67382542</t>
        </is>
      </c>
      <c r="G2554" s="8">
        <f>IFERROR(VLOOKUP(A2554,Flete!$A:$E,5,0),"")</f>
        <v/>
      </c>
      <c r="H2554" s="7">
        <f>IFERROR(VLOOKUP(F2554,TRAOPE!$AA:$AB,2,0),"")</f>
        <v/>
      </c>
      <c r="I2554" s="7" t="n">
        <v>10147486</v>
      </c>
      <c r="J2554" s="7">
        <f>IFERROR(VLOOKUP(I2554,Materiales!$A:$H,8,0),"")</f>
        <v/>
      </c>
      <c r="K2554" s="9">
        <f>IFERROR(VLOOKUP(I2554,Materiales!$A:$G,7,0),"")</f>
        <v/>
      </c>
      <c r="L2554" s="8" t="inlineStr">
        <is>
          <t>20260611</t>
        </is>
      </c>
      <c r="M2554" s="8" t="inlineStr">
        <is>
          <t>99991231</t>
        </is>
      </c>
      <c r="N2554" s="10" t="n">
        <v>187.92</v>
      </c>
      <c r="O2554" s="10">
        <f>IFERROR(VLOOKUP(A2554,Flete!$A:$J,10,0),"")</f>
        <v/>
      </c>
      <c r="P2554" s="8" t="inlineStr">
        <is>
          <t>M3</t>
        </is>
      </c>
      <c r="Q2554" s="10">
        <f>IFERROR(IFERROR(VLOOKUP(A2554,TRAOPE!$A:$U,21,0),VLOOKUP(B2554,TRAOPE!$A:$U,21,0)),"")</f>
        <v/>
      </c>
      <c r="R2554" s="8">
        <f>IFERROR(IFERROR(VLOOKUP(A2554,TRAOPE!$A:$W,23,0),VLOOKUP(B2554,TRAOPE!$A:$W,23,0)),"")</f>
        <v/>
      </c>
      <c r="S2554" s="10">
        <f>IF(AND(P2554="TN",R2554="TN"),N2554+N(O2554),IF(G2554&amp;""="1",N(K2554)*N2554,(N2554+N(O2554))*N(K2554)))</f>
        <v/>
      </c>
      <c r="T2554" s="10">
        <f>IF(Q2554="","",Q2554-S2554)</f>
        <v/>
      </c>
    </row>
    <row r="2555">
      <c r="A2555" s="7">
        <f>CONCATENATE(C2555,E2555,F2555,I2555)</f>
        <v/>
      </c>
      <c r="B2555" s="7">
        <f>CONCATENATE(C2555,E2555,I2555)</f>
        <v/>
      </c>
      <c r="C2555" s="8" t="n">
        <v>900003609</v>
      </c>
      <c r="D2555" s="7">
        <f>IFERROR(VLOOKUP(C2555,TRAOPE!$G:$H,2,0),"")</f>
        <v/>
      </c>
      <c r="E2555" s="8" t="inlineStr">
        <is>
          <t>D836</t>
        </is>
      </c>
      <c r="F2555" s="8" t="inlineStr">
        <is>
          <t>67385618</t>
        </is>
      </c>
      <c r="G2555" s="8">
        <f>IFERROR(VLOOKUP(A2555,Flete!$A:$E,5,0),"")</f>
        <v/>
      </c>
      <c r="H2555" s="7">
        <f>IFERROR(VLOOKUP(F2555,TRAOPE!$AA:$AB,2,0),"")</f>
        <v/>
      </c>
      <c r="I2555" s="7" t="n">
        <v>10000630</v>
      </c>
      <c r="J2555" s="7">
        <f>IFERROR(VLOOKUP(I2555,Materiales!$A:$H,8,0),"")</f>
        <v/>
      </c>
      <c r="K2555" s="9">
        <f>IFERROR(VLOOKUP(I2555,Materiales!$A:$G,7,0),"")</f>
        <v/>
      </c>
      <c r="L2555" s="8" t="inlineStr">
        <is>
          <t>20260708</t>
        </is>
      </c>
      <c r="M2555" s="8" t="inlineStr">
        <is>
          <t>99991231</t>
        </is>
      </c>
      <c r="N2555" s="10" t="n">
        <v>189</v>
      </c>
      <c r="O2555" s="10">
        <f>IFERROR(VLOOKUP(A2555,Flete!$A:$J,10,0),"")</f>
        <v/>
      </c>
      <c r="P2555" s="8" t="inlineStr">
        <is>
          <t>M3</t>
        </is>
      </c>
      <c r="Q2555" s="10">
        <f>IFERROR(IFERROR(VLOOKUP(A2555,TRAOPE!$A:$U,21,0),VLOOKUP(B2555,TRAOPE!$A:$U,21,0)),"")</f>
        <v/>
      </c>
      <c r="R2555" s="8">
        <f>IFERROR(IFERROR(VLOOKUP(A2555,TRAOPE!$A:$W,23,0),VLOOKUP(B2555,TRAOPE!$A:$W,23,0)),"")</f>
        <v/>
      </c>
      <c r="S2555" s="10">
        <f>IF(AND(P2555="TN",R2555="TN"),N2555+N(O2555),IF(G2555&amp;""="1",N(K2555)*N2555,(N2555+N(O2555))*N(K2555)))</f>
        <v/>
      </c>
      <c r="T2555" s="10">
        <f>IF(Q2555="","",Q2555-S2555)</f>
        <v/>
      </c>
    </row>
    <row r="2556">
      <c r="A2556" s="7">
        <f>CONCATENATE(C2556,E2556,F2556,I2556)</f>
        <v/>
      </c>
      <c r="B2556" s="7">
        <f>CONCATENATE(C2556,E2556,I2556)</f>
        <v/>
      </c>
      <c r="C2556" s="8" t="n">
        <v>900003609</v>
      </c>
      <c r="D2556" s="7">
        <f>IFERROR(VLOOKUP(C2556,TRAOPE!$G:$H,2,0),"")</f>
        <v/>
      </c>
      <c r="E2556" s="8" t="inlineStr">
        <is>
          <t>D836</t>
        </is>
      </c>
      <c r="F2556" s="8" t="inlineStr">
        <is>
          <t>67385618</t>
        </is>
      </c>
      <c r="G2556" s="8">
        <f>IFERROR(VLOOKUP(A2556,Flete!$A:$E,5,0),"")</f>
        <v/>
      </c>
      <c r="H2556" s="7">
        <f>IFERROR(VLOOKUP(F2556,TRAOPE!$AA:$AB,2,0),"")</f>
        <v/>
      </c>
      <c r="I2556" s="7" t="n">
        <v>10000811</v>
      </c>
      <c r="J2556" s="7">
        <f>IFERROR(VLOOKUP(I2556,Materiales!$A:$H,8,0),"")</f>
        <v/>
      </c>
      <c r="K2556" s="9">
        <f>IFERROR(VLOOKUP(I2556,Materiales!$A:$G,7,0),"")</f>
        <v/>
      </c>
      <c r="L2556" s="8" t="inlineStr">
        <is>
          <t>20260708</t>
        </is>
      </c>
      <c r="M2556" s="8" t="inlineStr">
        <is>
          <t>99991231</t>
        </is>
      </c>
      <c r="N2556" s="10" t="n">
        <v>189</v>
      </c>
      <c r="O2556" s="10">
        <f>IFERROR(VLOOKUP(A2556,Flete!$A:$J,10,0),"")</f>
        <v/>
      </c>
      <c r="P2556" s="8" t="inlineStr">
        <is>
          <t>M3</t>
        </is>
      </c>
      <c r="Q2556" s="10">
        <f>IFERROR(IFERROR(VLOOKUP(A2556,TRAOPE!$A:$U,21,0),VLOOKUP(B2556,TRAOPE!$A:$U,21,0)),"")</f>
        <v/>
      </c>
      <c r="R2556" s="8">
        <f>IFERROR(IFERROR(VLOOKUP(A2556,TRAOPE!$A:$W,23,0),VLOOKUP(B2556,TRAOPE!$A:$W,23,0)),"")</f>
        <v/>
      </c>
      <c r="S2556" s="10">
        <f>IF(AND(P2556="TN",R2556="TN"),N2556+N(O2556),IF(G2556&amp;""="1",N(K2556)*N2556,(N2556+N(O2556))*N(K2556)))</f>
        <v/>
      </c>
      <c r="T2556" s="10">
        <f>IF(Q2556="","",Q2556-S2556)</f>
        <v/>
      </c>
    </row>
    <row r="2557">
      <c r="A2557" s="7">
        <f>CONCATENATE(C2557,E2557,F2557,I2557)</f>
        <v/>
      </c>
      <c r="B2557" s="7">
        <f>CONCATENATE(C2557,E2557,I2557)</f>
        <v/>
      </c>
      <c r="C2557" s="8" t="n">
        <v>900003609</v>
      </c>
      <c r="D2557" s="7">
        <f>IFERROR(VLOOKUP(C2557,TRAOPE!$G:$H,2,0),"")</f>
        <v/>
      </c>
      <c r="E2557" s="8" t="inlineStr">
        <is>
          <t>D836</t>
        </is>
      </c>
      <c r="F2557" s="8" t="inlineStr">
        <is>
          <t>67385618</t>
        </is>
      </c>
      <c r="G2557" s="8">
        <f>IFERROR(VLOOKUP(A2557,Flete!$A:$E,5,0),"")</f>
        <v/>
      </c>
      <c r="H2557" s="7">
        <f>IFERROR(VLOOKUP(F2557,TRAOPE!$AA:$AB,2,0),"")</f>
        <v/>
      </c>
      <c r="I2557" s="7" t="n">
        <v>10147486</v>
      </c>
      <c r="J2557" s="7">
        <f>IFERROR(VLOOKUP(I2557,Materiales!$A:$H,8,0),"")</f>
        <v/>
      </c>
      <c r="K2557" s="9">
        <f>IFERROR(VLOOKUP(I2557,Materiales!$A:$G,7,0),"")</f>
        <v/>
      </c>
      <c r="L2557" s="8" t="inlineStr">
        <is>
          <t>20260708</t>
        </is>
      </c>
      <c r="M2557" s="8" t="inlineStr">
        <is>
          <t>99991231</t>
        </is>
      </c>
      <c r="N2557" s="10" t="n">
        <v>187.92</v>
      </c>
      <c r="O2557" s="10">
        <f>IFERROR(VLOOKUP(A2557,Flete!$A:$J,10,0),"")</f>
        <v/>
      </c>
      <c r="P2557" s="8" t="inlineStr">
        <is>
          <t>M3</t>
        </is>
      </c>
      <c r="Q2557" s="10">
        <f>IFERROR(IFERROR(VLOOKUP(A2557,TRAOPE!$A:$U,21,0),VLOOKUP(B2557,TRAOPE!$A:$U,21,0)),"")</f>
        <v/>
      </c>
      <c r="R2557" s="8">
        <f>IFERROR(IFERROR(VLOOKUP(A2557,TRAOPE!$A:$W,23,0),VLOOKUP(B2557,TRAOPE!$A:$W,23,0)),"")</f>
        <v/>
      </c>
      <c r="S2557" s="10">
        <f>IF(AND(P2557="TN",R2557="TN"),N2557+N(O2557),IF(G2557&amp;""="1",N(K2557)*N2557,(N2557+N(O2557))*N(K2557)))</f>
        <v/>
      </c>
      <c r="T2557" s="10">
        <f>IF(Q2557="","",Q2557-S2557)</f>
        <v/>
      </c>
    </row>
    <row r="2558">
      <c r="A2558" s="7">
        <f>CONCATENATE(C2558,E2558,F2558,I2558)</f>
        <v/>
      </c>
      <c r="B2558" s="7">
        <f>CONCATENATE(C2558,E2558,I2558)</f>
        <v/>
      </c>
      <c r="C2558" s="8" t="n">
        <v>900003610</v>
      </c>
      <c r="D2558" s="7">
        <f>IFERROR(VLOOKUP(C2558,TRAOPE!$G:$H,2,0),"")</f>
        <v/>
      </c>
      <c r="E2558" s="8" t="inlineStr">
        <is>
          <t>D836</t>
        </is>
      </c>
      <c r="F2558" s="8" t="inlineStr">
        <is>
          <t>66828114</t>
        </is>
      </c>
      <c r="G2558" s="8">
        <f>IFERROR(VLOOKUP(A2558,Flete!$A:$E,5,0),"")</f>
        <v/>
      </c>
      <c r="H2558" s="7">
        <f>IFERROR(VLOOKUP(F2558,TRAOPE!$AA:$AB,2,0),"")</f>
        <v/>
      </c>
      <c r="I2558" s="7" t="n">
        <v>10000651</v>
      </c>
      <c r="J2558" s="7">
        <f>IFERROR(VLOOKUP(I2558,Materiales!$A:$H,8,0),"")</f>
        <v/>
      </c>
      <c r="K2558" s="9">
        <f>IFERROR(VLOOKUP(I2558,Materiales!$A:$G,7,0),"")</f>
        <v/>
      </c>
      <c r="L2558" s="8" t="inlineStr">
        <is>
          <t>20260213</t>
        </is>
      </c>
      <c r="M2558" s="8" t="inlineStr">
        <is>
          <t>99991231</t>
        </is>
      </c>
      <c r="N2558" s="10" t="n">
        <v>115</v>
      </c>
      <c r="O2558" s="10">
        <f>IFERROR(VLOOKUP(A2558,Flete!$A:$J,10,0),"")</f>
        <v/>
      </c>
      <c r="P2558" s="8" t="inlineStr">
        <is>
          <t>M3</t>
        </is>
      </c>
      <c r="Q2558" s="10">
        <f>IFERROR(IFERROR(VLOOKUP(A2558,TRAOPE!$A:$U,21,0),VLOOKUP(B2558,TRAOPE!$A:$U,21,0)),"")</f>
        <v/>
      </c>
      <c r="R2558" s="8">
        <f>IFERROR(IFERROR(VLOOKUP(A2558,TRAOPE!$A:$W,23,0),VLOOKUP(B2558,TRAOPE!$A:$W,23,0)),"")</f>
        <v/>
      </c>
      <c r="S2558" s="10">
        <f>IF(AND(P2558="TN",R2558="TN"),N2558+N(O2558),IF(G2558&amp;""="1",N(K2558)*N2558,(N2558+N(O2558))*N(K2558)))</f>
        <v/>
      </c>
      <c r="T2558" s="10">
        <f>IF(Q2558="","",Q2558-S2558)</f>
        <v/>
      </c>
    </row>
    <row r="2559">
      <c r="A2559" s="7">
        <f>CONCATENATE(C2559,E2559,F2559,I2559)</f>
        <v/>
      </c>
      <c r="B2559" s="7">
        <f>CONCATENATE(C2559,E2559,I2559)</f>
        <v/>
      </c>
      <c r="C2559" s="8" t="n">
        <v>900005356</v>
      </c>
      <c r="D2559" s="7">
        <f>IFERROR(VLOOKUP(C2559,TRAOPE!$G:$H,2,0),"")</f>
        <v/>
      </c>
      <c r="E2559" s="8" t="inlineStr">
        <is>
          <t>D836</t>
        </is>
      </c>
      <c r="F2559" s="8" t="inlineStr">
        <is>
          <t>65014664</t>
        </is>
      </c>
      <c r="G2559" s="8">
        <f>IFERROR(VLOOKUP(A2559,Flete!$A:$E,5,0),"")</f>
        <v/>
      </c>
      <c r="H2559" s="7">
        <f>IFERROR(VLOOKUP(F2559,TRAOPE!$AA:$AB,2,0),"")</f>
        <v/>
      </c>
      <c r="I2559" s="7" t="n">
        <v>10000160</v>
      </c>
      <c r="J2559" s="7">
        <f>IFERROR(VLOOKUP(I2559,Materiales!$A:$H,8,0),"")</f>
        <v/>
      </c>
      <c r="K2559" s="9">
        <f>IFERROR(VLOOKUP(I2559,Materiales!$A:$G,7,0),"")</f>
        <v/>
      </c>
      <c r="L2559" s="8" t="inlineStr">
        <is>
          <t>20260319</t>
        </is>
      </c>
      <c r="M2559" s="8" t="inlineStr">
        <is>
          <t>99991231</t>
        </is>
      </c>
      <c r="N2559" s="10" t="n">
        <v>125.4</v>
      </c>
      <c r="O2559" s="10">
        <f>IFERROR(VLOOKUP(A2559,Flete!$A:$J,10,0),"")</f>
        <v/>
      </c>
      <c r="P2559" s="8" t="inlineStr">
        <is>
          <t>M3</t>
        </is>
      </c>
      <c r="Q2559" s="10">
        <f>IFERROR(IFERROR(VLOOKUP(A2559,TRAOPE!$A:$U,21,0),VLOOKUP(B2559,TRAOPE!$A:$U,21,0)),"")</f>
        <v/>
      </c>
      <c r="R2559" s="8">
        <f>IFERROR(IFERROR(VLOOKUP(A2559,TRAOPE!$A:$W,23,0),VLOOKUP(B2559,TRAOPE!$A:$W,23,0)),"")</f>
        <v/>
      </c>
      <c r="S2559" s="10">
        <f>IF(AND(P2559="TN",R2559="TN"),N2559+N(O2559),IF(G2559&amp;""="1",N(K2559)*N2559,(N2559+N(O2559))*N(K2559)))</f>
        <v/>
      </c>
      <c r="T2559" s="10">
        <f>IF(Q2559="","",Q2559-S2559)</f>
        <v/>
      </c>
    </row>
    <row r="2560">
      <c r="A2560" s="7">
        <f>CONCATENATE(C2560,E2560,F2560,I2560)</f>
        <v/>
      </c>
      <c r="B2560" s="7">
        <f>CONCATENATE(C2560,E2560,I2560)</f>
        <v/>
      </c>
      <c r="C2560" s="8" t="n">
        <v>900005356</v>
      </c>
      <c r="D2560" s="7">
        <f>IFERROR(VLOOKUP(C2560,TRAOPE!$G:$H,2,0),"")</f>
        <v/>
      </c>
      <c r="E2560" s="8" t="inlineStr">
        <is>
          <t>D836</t>
        </is>
      </c>
      <c r="F2560" s="8" t="inlineStr">
        <is>
          <t>66828114</t>
        </is>
      </c>
      <c r="G2560" s="8">
        <f>IFERROR(VLOOKUP(A2560,Flete!$A:$E,5,0),"")</f>
        <v/>
      </c>
      <c r="H2560" s="7">
        <f>IFERROR(VLOOKUP(F2560,TRAOPE!$AA:$AB,2,0),"")</f>
        <v/>
      </c>
      <c r="I2560" s="7" t="n">
        <v>10000160</v>
      </c>
      <c r="J2560" s="7">
        <f>IFERROR(VLOOKUP(I2560,Materiales!$A:$H,8,0),"")</f>
        <v/>
      </c>
      <c r="K2560" s="9">
        <f>IFERROR(VLOOKUP(I2560,Materiales!$A:$G,7,0),"")</f>
        <v/>
      </c>
      <c r="L2560" s="8" t="inlineStr">
        <is>
          <t>20260319</t>
        </is>
      </c>
      <c r="M2560" s="8" t="inlineStr">
        <is>
          <t>99991231</t>
        </is>
      </c>
      <c r="N2560" s="10" t="n">
        <v>127</v>
      </c>
      <c r="O2560" s="10">
        <f>IFERROR(VLOOKUP(A2560,Flete!$A:$J,10,0),"")</f>
        <v/>
      </c>
      <c r="P2560" s="8" t="inlineStr">
        <is>
          <t>M3</t>
        </is>
      </c>
      <c r="Q2560" s="10">
        <f>IFERROR(IFERROR(VLOOKUP(A2560,TRAOPE!$A:$U,21,0),VLOOKUP(B2560,TRAOPE!$A:$U,21,0)),"")</f>
        <v/>
      </c>
      <c r="R2560" s="8">
        <f>IFERROR(IFERROR(VLOOKUP(A2560,TRAOPE!$A:$W,23,0),VLOOKUP(B2560,TRAOPE!$A:$W,23,0)),"")</f>
        <v/>
      </c>
      <c r="S2560" s="10">
        <f>IF(AND(P2560="TN",R2560="TN"),N2560+N(O2560),IF(G2560&amp;""="1",N(K2560)*N2560,(N2560+N(O2560))*N(K2560)))</f>
        <v/>
      </c>
      <c r="T2560" s="10">
        <f>IF(Q2560="","",Q2560-S2560)</f>
        <v/>
      </c>
    </row>
    <row r="2561">
      <c r="A2561" s="7">
        <f>CONCATENATE(C2561,E2561,F2561,I2561)</f>
        <v/>
      </c>
      <c r="B2561" s="7">
        <f>CONCATENATE(C2561,E2561,I2561)</f>
        <v/>
      </c>
      <c r="C2561" s="8" t="n">
        <v>900005356</v>
      </c>
      <c r="D2561" s="7">
        <f>IFERROR(VLOOKUP(C2561,TRAOPE!$G:$H,2,0),"")</f>
        <v/>
      </c>
      <c r="E2561" s="8" t="inlineStr">
        <is>
          <t>D836</t>
        </is>
      </c>
      <c r="F2561" s="8" t="inlineStr">
        <is>
          <t>66828114</t>
        </is>
      </c>
      <c r="G2561" s="8">
        <f>IFERROR(VLOOKUP(A2561,Flete!$A:$E,5,0),"")</f>
        <v/>
      </c>
      <c r="H2561" s="7">
        <f>IFERROR(VLOOKUP(F2561,TRAOPE!$AA:$AB,2,0),"")</f>
        <v/>
      </c>
      <c r="I2561" s="7" t="n">
        <v>10000357</v>
      </c>
      <c r="J2561" s="7">
        <f>IFERROR(VLOOKUP(I2561,Materiales!$A:$H,8,0),"")</f>
        <v/>
      </c>
      <c r="K2561" s="9">
        <f>IFERROR(VLOOKUP(I2561,Materiales!$A:$G,7,0),"")</f>
        <v/>
      </c>
      <c r="L2561" s="8" t="inlineStr">
        <is>
          <t>20260424</t>
        </is>
      </c>
      <c r="M2561" s="8" t="inlineStr">
        <is>
          <t>99991231</t>
        </is>
      </c>
      <c r="N2561" s="10" t="n">
        <v>157</v>
      </c>
      <c r="O2561" s="10">
        <f>IFERROR(VLOOKUP(A2561,Flete!$A:$J,10,0),"")</f>
        <v/>
      </c>
      <c r="P2561" s="8" t="inlineStr">
        <is>
          <t>M3</t>
        </is>
      </c>
      <c r="Q2561" s="10">
        <f>IFERROR(IFERROR(VLOOKUP(A2561,TRAOPE!$A:$U,21,0),VLOOKUP(B2561,TRAOPE!$A:$U,21,0)),"")</f>
        <v/>
      </c>
      <c r="R2561" s="8">
        <f>IFERROR(IFERROR(VLOOKUP(A2561,TRAOPE!$A:$W,23,0),VLOOKUP(B2561,TRAOPE!$A:$W,23,0)),"")</f>
        <v/>
      </c>
      <c r="S2561" s="10">
        <f>IF(AND(P2561="TN",R2561="TN"),N2561+N(O2561),IF(G2561&amp;""="1",N(K2561)*N2561,(N2561+N(O2561))*N(K2561)))</f>
        <v/>
      </c>
      <c r="T2561" s="10">
        <f>IF(Q2561="","",Q2561-S2561)</f>
        <v/>
      </c>
    </row>
    <row r="2562">
      <c r="A2562" s="7">
        <f>CONCATENATE(C2562,E2562,F2562,I2562)</f>
        <v/>
      </c>
      <c r="B2562" s="7">
        <f>CONCATENATE(C2562,E2562,I2562)</f>
        <v/>
      </c>
      <c r="C2562" s="8" t="n">
        <v>900005356</v>
      </c>
      <c r="D2562" s="7">
        <f>IFERROR(VLOOKUP(C2562,TRAOPE!$G:$H,2,0),"")</f>
        <v/>
      </c>
      <c r="E2562" s="8" t="inlineStr">
        <is>
          <t>D836</t>
        </is>
      </c>
      <c r="F2562" s="8" t="inlineStr">
        <is>
          <t>67166394</t>
        </is>
      </c>
      <c r="G2562" s="8">
        <f>IFERROR(VLOOKUP(A2562,Flete!$A:$E,5,0),"")</f>
        <v/>
      </c>
      <c r="H2562" s="7">
        <f>IFERROR(VLOOKUP(F2562,TRAOPE!$AA:$AB,2,0),"")</f>
        <v/>
      </c>
      <c r="I2562" s="7" t="n">
        <v>10000160</v>
      </c>
      <c r="J2562" s="7">
        <f>IFERROR(VLOOKUP(I2562,Materiales!$A:$H,8,0),"")</f>
        <v/>
      </c>
      <c r="K2562" s="9">
        <f>IFERROR(VLOOKUP(I2562,Materiales!$A:$G,7,0),"")</f>
        <v/>
      </c>
      <c r="L2562" s="8" t="inlineStr">
        <is>
          <t>20260427</t>
        </is>
      </c>
      <c r="M2562" s="8" t="inlineStr">
        <is>
          <t>99991231</t>
        </is>
      </c>
      <c r="N2562" s="10" t="n">
        <v>127</v>
      </c>
      <c r="O2562" s="10">
        <f>IFERROR(VLOOKUP(A2562,Flete!$A:$J,10,0),"")</f>
        <v/>
      </c>
      <c r="P2562" s="8" t="inlineStr">
        <is>
          <t>M3</t>
        </is>
      </c>
      <c r="Q2562" s="10">
        <f>IFERROR(IFERROR(VLOOKUP(A2562,TRAOPE!$A:$U,21,0),VLOOKUP(B2562,TRAOPE!$A:$U,21,0)),"")</f>
        <v/>
      </c>
      <c r="R2562" s="8">
        <f>IFERROR(IFERROR(VLOOKUP(A2562,TRAOPE!$A:$W,23,0),VLOOKUP(B2562,TRAOPE!$A:$W,23,0)),"")</f>
        <v/>
      </c>
      <c r="S2562" s="10">
        <f>IF(AND(P2562="TN",R2562="TN"),N2562+N(O2562),IF(G2562&amp;""="1",N(K2562)*N2562,(N2562+N(O2562))*N(K2562)))</f>
        <v/>
      </c>
      <c r="T2562" s="10">
        <f>IF(Q2562="","",Q2562-S2562)</f>
        <v/>
      </c>
    </row>
    <row r="2563">
      <c r="A2563" s="7">
        <f>CONCATENATE(C2563,E2563,F2563,I2563)</f>
        <v/>
      </c>
      <c r="B2563" s="7">
        <f>CONCATENATE(C2563,E2563,I2563)</f>
        <v/>
      </c>
      <c r="C2563" s="8" t="n">
        <v>900005356</v>
      </c>
      <c r="D2563" s="7">
        <f>IFERROR(VLOOKUP(C2563,TRAOPE!$G:$H,2,0),"")</f>
        <v/>
      </c>
      <c r="E2563" s="8" t="inlineStr">
        <is>
          <t>D836</t>
        </is>
      </c>
      <c r="F2563" s="8" t="inlineStr">
        <is>
          <t>67166394</t>
        </is>
      </c>
      <c r="G2563" s="8">
        <f>IFERROR(VLOOKUP(A2563,Flete!$A:$E,5,0),"")</f>
        <v/>
      </c>
      <c r="H2563" s="7">
        <f>IFERROR(VLOOKUP(F2563,TRAOPE!$AA:$AB,2,0),"")</f>
        <v/>
      </c>
      <c r="I2563" s="7" t="n">
        <v>10000357</v>
      </c>
      <c r="J2563" s="7">
        <f>IFERROR(VLOOKUP(I2563,Materiales!$A:$H,8,0),"")</f>
        <v/>
      </c>
      <c r="K2563" s="9">
        <f>IFERROR(VLOOKUP(I2563,Materiales!$A:$G,7,0),"")</f>
        <v/>
      </c>
      <c r="L2563" s="8" t="inlineStr">
        <is>
          <t>20260427</t>
        </is>
      </c>
      <c r="M2563" s="8" t="inlineStr">
        <is>
          <t>99991231</t>
        </is>
      </c>
      <c r="N2563" s="10" t="n">
        <v>150</v>
      </c>
      <c r="O2563" s="10">
        <f>IFERROR(VLOOKUP(A2563,Flete!$A:$J,10,0),"")</f>
        <v/>
      </c>
      <c r="P2563" s="8" t="inlineStr">
        <is>
          <t>M3</t>
        </is>
      </c>
      <c r="Q2563" s="10">
        <f>IFERROR(IFERROR(VLOOKUP(A2563,TRAOPE!$A:$U,21,0),VLOOKUP(B2563,TRAOPE!$A:$U,21,0)),"")</f>
        <v/>
      </c>
      <c r="R2563" s="8">
        <f>IFERROR(IFERROR(VLOOKUP(A2563,TRAOPE!$A:$W,23,0),VLOOKUP(B2563,TRAOPE!$A:$W,23,0)),"")</f>
        <v/>
      </c>
      <c r="S2563" s="10">
        <f>IF(AND(P2563="TN",R2563="TN"),N2563+N(O2563),IF(G2563&amp;""="1",N(K2563)*N2563,(N2563+N(O2563))*N(K2563)))</f>
        <v/>
      </c>
      <c r="T2563" s="10">
        <f>IF(Q2563="","",Q2563-S2563)</f>
        <v/>
      </c>
    </row>
    <row r="2564">
      <c r="A2564" s="7">
        <f>CONCATENATE(C2564,E2564,F2564,I2564)</f>
        <v/>
      </c>
      <c r="B2564" s="7">
        <f>CONCATENATE(C2564,E2564,I2564)</f>
        <v/>
      </c>
      <c r="C2564" s="8" t="n">
        <v>900005356</v>
      </c>
      <c r="D2564" s="7">
        <f>IFERROR(VLOOKUP(C2564,TRAOPE!$G:$H,2,0),"")</f>
        <v/>
      </c>
      <c r="E2564" s="8" t="inlineStr">
        <is>
          <t>D836</t>
        </is>
      </c>
      <c r="F2564" s="8" t="inlineStr">
        <is>
          <t>67330388</t>
        </is>
      </c>
      <c r="G2564" s="8">
        <f>IFERROR(VLOOKUP(A2564,Flete!$A:$E,5,0),"")</f>
        <v/>
      </c>
      <c r="H2564" s="7">
        <f>IFERROR(VLOOKUP(F2564,TRAOPE!$AA:$AB,2,0),"")</f>
        <v/>
      </c>
      <c r="I2564" s="7" t="n">
        <v>10000160</v>
      </c>
      <c r="J2564" s="7">
        <f>IFERROR(VLOOKUP(I2564,Materiales!$A:$H,8,0),"")</f>
        <v/>
      </c>
      <c r="K2564" s="9">
        <f>IFERROR(VLOOKUP(I2564,Materiales!$A:$G,7,0),"")</f>
        <v/>
      </c>
      <c r="L2564" s="8" t="inlineStr">
        <is>
          <t>20260319</t>
        </is>
      </c>
      <c r="M2564" s="8" t="inlineStr">
        <is>
          <t>99991231</t>
        </is>
      </c>
      <c r="N2564" s="10" t="n">
        <v>138</v>
      </c>
      <c r="O2564" s="10">
        <f>IFERROR(VLOOKUP(A2564,Flete!$A:$J,10,0),"")</f>
        <v/>
      </c>
      <c r="P2564" s="8" t="inlineStr">
        <is>
          <t>M3</t>
        </is>
      </c>
      <c r="Q2564" s="10">
        <f>IFERROR(IFERROR(VLOOKUP(A2564,TRAOPE!$A:$U,21,0),VLOOKUP(B2564,TRAOPE!$A:$U,21,0)),"")</f>
        <v/>
      </c>
      <c r="R2564" s="8">
        <f>IFERROR(IFERROR(VLOOKUP(A2564,TRAOPE!$A:$W,23,0),VLOOKUP(B2564,TRAOPE!$A:$W,23,0)),"")</f>
        <v/>
      </c>
      <c r="S2564" s="10">
        <f>IF(AND(P2564="TN",R2564="TN"),N2564+N(O2564),IF(G2564&amp;""="1",N(K2564)*N2564,(N2564+N(O2564))*N(K2564)))</f>
        <v/>
      </c>
      <c r="T2564" s="10">
        <f>IF(Q2564="","",Q2564-S2564)</f>
        <v/>
      </c>
    </row>
    <row r="2565">
      <c r="A2565" s="7">
        <f>CONCATENATE(C2565,E2565,F2565,I2565)</f>
        <v/>
      </c>
      <c r="B2565" s="7">
        <f>CONCATENATE(C2565,E2565,I2565)</f>
        <v/>
      </c>
      <c r="C2565" s="8" t="n">
        <v>900005401</v>
      </c>
      <c r="D2565" s="7">
        <f>IFERROR(VLOOKUP(C2565,TRAOPE!$G:$H,2,0),"")</f>
        <v/>
      </c>
      <c r="E2565" s="8" t="inlineStr">
        <is>
          <t>D836</t>
        </is>
      </c>
      <c r="F2565" s="8" t="inlineStr">
        <is>
          <t>66982551</t>
        </is>
      </c>
      <c r="G2565" s="8">
        <f>IFERROR(VLOOKUP(A2565,Flete!$A:$E,5,0),"")</f>
        <v/>
      </c>
      <c r="H2565" s="7">
        <f>IFERROR(VLOOKUP(F2565,TRAOPE!$AA:$AB,2,0),"")</f>
        <v/>
      </c>
      <c r="I2565" s="7" t="n">
        <v>10059181</v>
      </c>
      <c r="J2565" s="7">
        <f>IFERROR(VLOOKUP(I2565,Materiales!$A:$H,8,0),"")</f>
        <v/>
      </c>
      <c r="K2565" s="9">
        <f>IFERROR(VLOOKUP(I2565,Materiales!$A:$G,7,0),"")</f>
        <v/>
      </c>
      <c r="L2565" s="8" t="inlineStr">
        <is>
          <t>20240619</t>
        </is>
      </c>
      <c r="M2565" s="8" t="inlineStr">
        <is>
          <t>99991231</t>
        </is>
      </c>
      <c r="N2565" s="10" t="n">
        <v>81.90000000000001</v>
      </c>
      <c r="O2565" s="10">
        <f>IFERROR(VLOOKUP(A2565,Flete!$A:$J,10,0),"")</f>
        <v/>
      </c>
      <c r="P2565" s="8" t="inlineStr">
        <is>
          <t>M3</t>
        </is>
      </c>
      <c r="Q2565" s="10">
        <f>IFERROR(IFERROR(VLOOKUP(A2565,TRAOPE!$A:$U,21,0),VLOOKUP(B2565,TRAOPE!$A:$U,21,0)),"")</f>
        <v/>
      </c>
      <c r="R2565" s="8">
        <f>IFERROR(IFERROR(VLOOKUP(A2565,TRAOPE!$A:$W,23,0),VLOOKUP(B2565,TRAOPE!$A:$W,23,0)),"")</f>
        <v/>
      </c>
      <c r="S2565" s="10">
        <f>IF(AND(P2565="TN",R2565="TN"),N2565+N(O2565),IF(G2565&amp;""="1",N(K2565)*N2565,(N2565+N(O2565))*N(K2565)))</f>
        <v/>
      </c>
      <c r="T2565" s="10">
        <f>IF(Q2565="","",Q2565-S2565)</f>
        <v/>
      </c>
    </row>
    <row r="2566">
      <c r="A2566" s="7">
        <f>CONCATENATE(C2566,E2566,F2566,I2566)</f>
        <v/>
      </c>
      <c r="B2566" s="7">
        <f>CONCATENATE(C2566,E2566,I2566)</f>
        <v/>
      </c>
      <c r="C2566" s="8" t="n">
        <v>900005401</v>
      </c>
      <c r="D2566" s="7">
        <f>IFERROR(VLOOKUP(C2566,TRAOPE!$G:$H,2,0),"")</f>
        <v/>
      </c>
      <c r="E2566" s="8" t="inlineStr">
        <is>
          <t>D836</t>
        </is>
      </c>
      <c r="F2566" s="8" t="inlineStr">
        <is>
          <t>67288888</t>
        </is>
      </c>
      <c r="G2566" s="8">
        <f>IFERROR(VLOOKUP(A2566,Flete!$A:$E,5,0),"")</f>
        <v/>
      </c>
      <c r="H2566" s="7">
        <f>IFERROR(VLOOKUP(F2566,TRAOPE!$AA:$AB,2,0),"")</f>
        <v/>
      </c>
      <c r="I2566" s="7" t="n">
        <v>10059181</v>
      </c>
      <c r="J2566" s="7">
        <f>IFERROR(VLOOKUP(I2566,Materiales!$A:$H,8,0),"")</f>
        <v/>
      </c>
      <c r="K2566" s="9">
        <f>IFERROR(VLOOKUP(I2566,Materiales!$A:$G,7,0),"")</f>
        <v/>
      </c>
      <c r="L2566" s="8" t="inlineStr">
        <is>
          <t>20240619</t>
        </is>
      </c>
      <c r="M2566" s="8" t="inlineStr">
        <is>
          <t>99991231</t>
        </is>
      </c>
      <c r="N2566" s="10" t="n">
        <v>81.09999999999999</v>
      </c>
      <c r="O2566" s="10">
        <f>IFERROR(VLOOKUP(A2566,Flete!$A:$J,10,0),"")</f>
        <v/>
      </c>
      <c r="P2566" s="8" t="inlineStr">
        <is>
          <t>M3</t>
        </is>
      </c>
      <c r="Q2566" s="10">
        <f>IFERROR(IFERROR(VLOOKUP(A2566,TRAOPE!$A:$U,21,0),VLOOKUP(B2566,TRAOPE!$A:$U,21,0)),"")</f>
        <v/>
      </c>
      <c r="R2566" s="8">
        <f>IFERROR(IFERROR(VLOOKUP(A2566,TRAOPE!$A:$W,23,0),VLOOKUP(B2566,TRAOPE!$A:$W,23,0)),"")</f>
        <v/>
      </c>
      <c r="S2566" s="10">
        <f>IF(AND(P2566="TN",R2566="TN"),N2566+N(O2566),IF(G2566&amp;""="1",N(K2566)*N2566,(N2566+N(O2566))*N(K2566)))</f>
        <v/>
      </c>
      <c r="T2566" s="10">
        <f>IF(Q2566="","",Q2566-S2566)</f>
        <v/>
      </c>
    </row>
    <row r="2567">
      <c r="A2567" s="7">
        <f>CONCATENATE(C2567,E2567,F2567,I2567)</f>
        <v/>
      </c>
      <c r="B2567" s="7">
        <f>CONCATENATE(C2567,E2567,I2567)</f>
        <v/>
      </c>
      <c r="C2567" s="8" t="n">
        <v>900005627</v>
      </c>
      <c r="D2567" s="7">
        <f>IFERROR(VLOOKUP(C2567,TRAOPE!$G:$H,2,0),"")</f>
        <v/>
      </c>
      <c r="E2567" s="8" t="inlineStr">
        <is>
          <t>D836</t>
        </is>
      </c>
      <c r="F2567" s="8" t="inlineStr">
        <is>
          <t>66799029</t>
        </is>
      </c>
      <c r="G2567" s="8">
        <f>IFERROR(VLOOKUP(A2567,Flete!$A:$E,5,0),"")</f>
        <v/>
      </c>
      <c r="H2567" s="7">
        <f>IFERROR(VLOOKUP(F2567,TRAOPE!$AA:$AB,2,0),"")</f>
        <v/>
      </c>
      <c r="I2567" s="7" t="n">
        <v>10261589</v>
      </c>
      <c r="J2567" s="7">
        <f>IFERROR(VLOOKUP(I2567,Materiales!$A:$H,8,0),"")</f>
        <v/>
      </c>
      <c r="K2567" s="9">
        <f>IFERROR(VLOOKUP(I2567,Materiales!$A:$G,7,0),"")</f>
        <v/>
      </c>
      <c r="L2567" s="8" t="inlineStr">
        <is>
          <t>20241030</t>
        </is>
      </c>
      <c r="M2567" s="8" t="inlineStr">
        <is>
          <t>99991231</t>
        </is>
      </c>
      <c r="N2567" s="10" t="n">
        <v>59</v>
      </c>
      <c r="O2567" s="10">
        <f>IFERROR(VLOOKUP(A2567,Flete!$A:$J,10,0),"")</f>
        <v/>
      </c>
      <c r="P2567" s="8" t="inlineStr">
        <is>
          <t>M3</t>
        </is>
      </c>
      <c r="Q2567" s="10">
        <f>IFERROR(IFERROR(VLOOKUP(A2567,TRAOPE!$A:$U,21,0),VLOOKUP(B2567,TRAOPE!$A:$U,21,0)),"")</f>
        <v/>
      </c>
      <c r="R2567" s="8">
        <f>IFERROR(IFERROR(VLOOKUP(A2567,TRAOPE!$A:$W,23,0),VLOOKUP(B2567,TRAOPE!$A:$W,23,0)),"")</f>
        <v/>
      </c>
      <c r="S2567" s="10">
        <f>IF(AND(P2567="TN",R2567="TN"),N2567+N(O2567),IF(G2567&amp;""="1",N(K2567)*N2567,(N2567+N(O2567))*N(K2567)))</f>
        <v/>
      </c>
      <c r="T2567" s="10">
        <f>IF(Q2567="","",Q2567-S2567)</f>
        <v/>
      </c>
    </row>
    <row r="2568">
      <c r="A2568" s="7">
        <f>CONCATENATE(C2568,E2568,F2568,I2568)</f>
        <v/>
      </c>
      <c r="B2568" s="7">
        <f>CONCATENATE(C2568,E2568,I2568)</f>
        <v/>
      </c>
      <c r="C2568" s="8" t="n">
        <v>900005627</v>
      </c>
      <c r="D2568" s="7">
        <f>IFERROR(VLOOKUP(C2568,TRAOPE!$G:$H,2,0),"")</f>
        <v/>
      </c>
      <c r="E2568" s="8" t="inlineStr">
        <is>
          <t>D836</t>
        </is>
      </c>
      <c r="F2568" s="8" t="inlineStr">
        <is>
          <t>67160653</t>
        </is>
      </c>
      <c r="G2568" s="8">
        <f>IFERROR(VLOOKUP(A2568,Flete!$A:$E,5,0),"")</f>
        <v/>
      </c>
      <c r="H2568" s="7">
        <f>IFERROR(VLOOKUP(F2568,TRAOPE!$AA:$AB,2,0),"")</f>
        <v/>
      </c>
      <c r="I2568" s="7" t="n">
        <v>10267272</v>
      </c>
      <c r="J2568" s="7">
        <f>IFERROR(VLOOKUP(I2568,Materiales!$A:$H,8,0),"")</f>
        <v/>
      </c>
      <c r="K2568" s="9">
        <f>IFERROR(VLOOKUP(I2568,Materiales!$A:$G,7,0),"")</f>
        <v/>
      </c>
      <c r="L2568" s="8" t="inlineStr">
        <is>
          <t>20250526</t>
        </is>
      </c>
      <c r="M2568" s="8" t="inlineStr">
        <is>
          <t>99991231</t>
        </is>
      </c>
      <c r="N2568" s="10" t="n">
        <v>170</v>
      </c>
      <c r="O2568" s="10">
        <f>IFERROR(VLOOKUP(A2568,Flete!$A:$J,10,0),"")</f>
        <v/>
      </c>
      <c r="P2568" s="8" t="inlineStr">
        <is>
          <t>M3</t>
        </is>
      </c>
      <c r="Q2568" s="10">
        <f>IFERROR(IFERROR(VLOOKUP(A2568,TRAOPE!$A:$U,21,0),VLOOKUP(B2568,TRAOPE!$A:$U,21,0)),"")</f>
        <v/>
      </c>
      <c r="R2568" s="8">
        <f>IFERROR(IFERROR(VLOOKUP(A2568,TRAOPE!$A:$W,23,0),VLOOKUP(B2568,TRAOPE!$A:$W,23,0)),"")</f>
        <v/>
      </c>
      <c r="S2568" s="10">
        <f>IF(AND(P2568="TN",R2568="TN"),N2568+N(O2568),IF(G2568&amp;""="1",N(K2568)*N2568,(N2568+N(O2568))*N(K2568)))</f>
        <v/>
      </c>
      <c r="T2568" s="10">
        <f>IF(Q2568="","",Q2568-S2568)</f>
        <v/>
      </c>
    </row>
    <row r="2569">
      <c r="A2569" s="7">
        <f>CONCATENATE(C2569,E2569,F2569,I2569)</f>
        <v/>
      </c>
      <c r="B2569" s="7">
        <f>CONCATENATE(C2569,E2569,I2569)</f>
        <v/>
      </c>
      <c r="C2569" s="8" t="n">
        <v>900005627</v>
      </c>
      <c r="D2569" s="7">
        <f>IFERROR(VLOOKUP(C2569,TRAOPE!$G:$H,2,0),"")</f>
        <v/>
      </c>
      <c r="E2569" s="8" t="inlineStr">
        <is>
          <t>D836</t>
        </is>
      </c>
      <c r="F2569" s="8" t="inlineStr">
        <is>
          <t>67160653</t>
        </is>
      </c>
      <c r="G2569" s="8">
        <f>IFERROR(VLOOKUP(A2569,Flete!$A:$E,5,0),"")</f>
        <v/>
      </c>
      <c r="H2569" s="7">
        <f>IFERROR(VLOOKUP(F2569,TRAOPE!$AA:$AB,2,0),"")</f>
        <v/>
      </c>
      <c r="I2569" s="7" t="n">
        <v>10267273</v>
      </c>
      <c r="J2569" s="7">
        <f>IFERROR(VLOOKUP(I2569,Materiales!$A:$H,8,0),"")</f>
        <v/>
      </c>
      <c r="K2569" s="9">
        <f>IFERROR(VLOOKUP(I2569,Materiales!$A:$G,7,0),"")</f>
        <v/>
      </c>
      <c r="L2569" s="8" t="inlineStr">
        <is>
          <t>20250526</t>
        </is>
      </c>
      <c r="M2569" s="8" t="inlineStr">
        <is>
          <t>99991231</t>
        </is>
      </c>
      <c r="N2569" s="10" t="n">
        <v>170</v>
      </c>
      <c r="O2569" s="10">
        <f>IFERROR(VLOOKUP(A2569,Flete!$A:$J,10,0),"")</f>
        <v/>
      </c>
      <c r="P2569" s="8" t="inlineStr">
        <is>
          <t>M3</t>
        </is>
      </c>
      <c r="Q2569" s="10">
        <f>IFERROR(IFERROR(VLOOKUP(A2569,TRAOPE!$A:$U,21,0),VLOOKUP(B2569,TRAOPE!$A:$U,21,0)),"")</f>
        <v/>
      </c>
      <c r="R2569" s="8">
        <f>IFERROR(IFERROR(VLOOKUP(A2569,TRAOPE!$A:$W,23,0),VLOOKUP(B2569,TRAOPE!$A:$W,23,0)),"")</f>
        <v/>
      </c>
      <c r="S2569" s="10">
        <f>IF(AND(P2569="TN",R2569="TN"),N2569+N(O2569),IF(G2569&amp;""="1",N(K2569)*N2569,(N2569+N(O2569))*N(K2569)))</f>
        <v/>
      </c>
      <c r="T2569" s="10">
        <f>IF(Q2569="","",Q2569-S2569)</f>
        <v/>
      </c>
    </row>
    <row r="2570">
      <c r="A2570" s="7">
        <f>CONCATENATE(C2570,E2570,F2570,I2570)</f>
        <v/>
      </c>
      <c r="B2570" s="7">
        <f>CONCATENATE(C2570,E2570,I2570)</f>
        <v/>
      </c>
      <c r="C2570" s="8" t="n">
        <v>900005627</v>
      </c>
      <c r="D2570" s="7">
        <f>IFERROR(VLOOKUP(C2570,TRAOPE!$G:$H,2,0),"")</f>
        <v/>
      </c>
      <c r="E2570" s="8" t="inlineStr">
        <is>
          <t>D836</t>
        </is>
      </c>
      <c r="F2570" s="8" t="inlineStr">
        <is>
          <t>67160653</t>
        </is>
      </c>
      <c r="G2570" s="8">
        <f>IFERROR(VLOOKUP(A2570,Flete!$A:$E,5,0),"")</f>
        <v/>
      </c>
      <c r="H2570" s="7">
        <f>IFERROR(VLOOKUP(F2570,TRAOPE!$AA:$AB,2,0),"")</f>
        <v/>
      </c>
      <c r="I2570" s="7" t="n">
        <v>10267274</v>
      </c>
      <c r="J2570" s="7">
        <f>IFERROR(VLOOKUP(I2570,Materiales!$A:$H,8,0),"")</f>
        <v/>
      </c>
      <c r="K2570" s="9">
        <f>IFERROR(VLOOKUP(I2570,Materiales!$A:$G,7,0),"")</f>
        <v/>
      </c>
      <c r="L2570" s="8" t="inlineStr">
        <is>
          <t>20250526</t>
        </is>
      </c>
      <c r="M2570" s="8" t="inlineStr">
        <is>
          <t>99991231</t>
        </is>
      </c>
      <c r="N2570" s="10" t="n">
        <v>80</v>
      </c>
      <c r="O2570" s="10">
        <f>IFERROR(VLOOKUP(A2570,Flete!$A:$J,10,0),"")</f>
        <v/>
      </c>
      <c r="P2570" s="8" t="inlineStr">
        <is>
          <t>M3</t>
        </is>
      </c>
      <c r="Q2570" s="10">
        <f>IFERROR(IFERROR(VLOOKUP(A2570,TRAOPE!$A:$U,21,0),VLOOKUP(B2570,TRAOPE!$A:$U,21,0)),"")</f>
        <v/>
      </c>
      <c r="R2570" s="8">
        <f>IFERROR(IFERROR(VLOOKUP(A2570,TRAOPE!$A:$W,23,0),VLOOKUP(B2570,TRAOPE!$A:$W,23,0)),"")</f>
        <v/>
      </c>
      <c r="S2570" s="10">
        <f>IF(AND(P2570="TN",R2570="TN"),N2570+N(O2570),IF(G2570&amp;""="1",N(K2570)*N2570,(N2570+N(O2570))*N(K2570)))</f>
        <v/>
      </c>
      <c r="T2570" s="10">
        <f>IF(Q2570="","",Q2570-S2570)</f>
        <v/>
      </c>
    </row>
    <row r="2571">
      <c r="A2571" s="7">
        <f>CONCATENATE(C2571,E2571,F2571,I2571)</f>
        <v/>
      </c>
      <c r="B2571" s="7">
        <f>CONCATENATE(C2571,E2571,I2571)</f>
        <v/>
      </c>
      <c r="C2571" s="8" t="n">
        <v>900005627</v>
      </c>
      <c r="D2571" s="7">
        <f>IFERROR(VLOOKUP(C2571,TRAOPE!$G:$H,2,0),"")</f>
        <v/>
      </c>
      <c r="E2571" s="8" t="inlineStr">
        <is>
          <t>D836</t>
        </is>
      </c>
      <c r="F2571" s="8" t="inlineStr">
        <is>
          <t>67221674</t>
        </is>
      </c>
      <c r="G2571" s="8">
        <f>IFERROR(VLOOKUP(A2571,Flete!$A:$E,5,0),"")</f>
        <v/>
      </c>
      <c r="H2571" s="7">
        <f>IFERROR(VLOOKUP(F2571,TRAOPE!$AA:$AB,2,0),"")</f>
        <v/>
      </c>
      <c r="I2571" s="7" t="n">
        <v>10215074</v>
      </c>
      <c r="J2571" s="7">
        <f>IFERROR(VLOOKUP(I2571,Materiales!$A:$H,8,0),"")</f>
        <v/>
      </c>
      <c r="K2571" s="9">
        <f>IFERROR(VLOOKUP(I2571,Materiales!$A:$G,7,0),"")</f>
        <v/>
      </c>
      <c r="L2571" s="8" t="inlineStr">
        <is>
          <t>20250813</t>
        </is>
      </c>
      <c r="M2571" s="8" t="inlineStr">
        <is>
          <t>99991231</t>
        </is>
      </c>
      <c r="N2571" s="10" t="n">
        <v>111</v>
      </c>
      <c r="O2571" s="10">
        <f>IFERROR(VLOOKUP(A2571,Flete!$A:$J,10,0),"")</f>
        <v/>
      </c>
      <c r="P2571" s="8" t="inlineStr">
        <is>
          <t>M3</t>
        </is>
      </c>
      <c r="Q2571" s="10">
        <f>IFERROR(IFERROR(VLOOKUP(A2571,TRAOPE!$A:$U,21,0),VLOOKUP(B2571,TRAOPE!$A:$U,21,0)),"")</f>
        <v/>
      </c>
      <c r="R2571" s="8">
        <f>IFERROR(IFERROR(VLOOKUP(A2571,TRAOPE!$A:$W,23,0),VLOOKUP(B2571,TRAOPE!$A:$W,23,0)),"")</f>
        <v/>
      </c>
      <c r="S2571" s="10">
        <f>IF(AND(P2571="TN",R2571="TN"),N2571+N(O2571),IF(G2571&amp;""="1",N(K2571)*N2571,(N2571+N(O2571))*N(K2571)))</f>
        <v/>
      </c>
      <c r="T2571" s="10">
        <f>IF(Q2571="","",Q2571-S2571)</f>
        <v/>
      </c>
    </row>
    <row r="2572">
      <c r="A2572" s="7">
        <f>CONCATENATE(C2572,E2572,F2572,I2572)</f>
        <v/>
      </c>
      <c r="B2572" s="7">
        <f>CONCATENATE(C2572,E2572,I2572)</f>
        <v/>
      </c>
      <c r="C2572" s="8" t="n">
        <v>900005627</v>
      </c>
      <c r="D2572" s="7">
        <f>IFERROR(VLOOKUP(C2572,TRAOPE!$G:$H,2,0),"")</f>
        <v/>
      </c>
      <c r="E2572" s="8" t="inlineStr">
        <is>
          <t>D836</t>
        </is>
      </c>
      <c r="F2572" s="8" t="inlineStr">
        <is>
          <t>67221674</t>
        </is>
      </c>
      <c r="G2572" s="8">
        <f>IFERROR(VLOOKUP(A2572,Flete!$A:$E,5,0),"")</f>
        <v/>
      </c>
      <c r="H2572" s="7">
        <f>IFERROR(VLOOKUP(F2572,TRAOPE!$AA:$AB,2,0),"")</f>
        <v/>
      </c>
      <c r="I2572" s="7" t="n">
        <v>10260055</v>
      </c>
      <c r="J2572" s="7">
        <f>IFERROR(VLOOKUP(I2572,Materiales!$A:$H,8,0),"")</f>
        <v/>
      </c>
      <c r="K2572" s="9">
        <f>IFERROR(VLOOKUP(I2572,Materiales!$A:$G,7,0),"")</f>
        <v/>
      </c>
      <c r="L2572" s="8" t="inlineStr">
        <is>
          <t>20240619</t>
        </is>
      </c>
      <c r="M2572" s="8" t="inlineStr">
        <is>
          <t>99991231</t>
        </is>
      </c>
      <c r="N2572" s="10" t="n">
        <v>100</v>
      </c>
      <c r="O2572" s="10">
        <f>IFERROR(VLOOKUP(A2572,Flete!$A:$J,10,0),"")</f>
        <v/>
      </c>
      <c r="P2572" s="8" t="inlineStr">
        <is>
          <t>M3</t>
        </is>
      </c>
      <c r="Q2572" s="10">
        <f>IFERROR(IFERROR(VLOOKUP(A2572,TRAOPE!$A:$U,21,0),VLOOKUP(B2572,TRAOPE!$A:$U,21,0)),"")</f>
        <v/>
      </c>
      <c r="R2572" s="8">
        <f>IFERROR(IFERROR(VLOOKUP(A2572,TRAOPE!$A:$W,23,0),VLOOKUP(B2572,TRAOPE!$A:$W,23,0)),"")</f>
        <v/>
      </c>
      <c r="S2572" s="10">
        <f>IF(AND(P2572="TN",R2572="TN"),N2572+N(O2572),IF(G2572&amp;""="1",N(K2572)*N2572,(N2572+N(O2572))*N(K2572)))</f>
        <v/>
      </c>
      <c r="T2572" s="10">
        <f>IF(Q2572="","",Q2572-S2572)</f>
        <v/>
      </c>
    </row>
    <row r="2573">
      <c r="A2573" s="7">
        <f>CONCATENATE(C2573,E2573,F2573,I2573)</f>
        <v/>
      </c>
      <c r="B2573" s="7">
        <f>CONCATENATE(C2573,E2573,I2573)</f>
        <v/>
      </c>
      <c r="C2573" s="8" t="n">
        <v>900005627</v>
      </c>
      <c r="D2573" s="7">
        <f>IFERROR(VLOOKUP(C2573,TRAOPE!$G:$H,2,0),"")</f>
        <v/>
      </c>
      <c r="E2573" s="8" t="inlineStr">
        <is>
          <t>D836</t>
        </is>
      </c>
      <c r="F2573" s="8" t="inlineStr">
        <is>
          <t>67347709</t>
        </is>
      </c>
      <c r="G2573" s="8">
        <f>IFERROR(VLOOKUP(A2573,Flete!$A:$E,5,0),"")</f>
        <v/>
      </c>
      <c r="H2573" s="7">
        <f>IFERROR(VLOOKUP(F2573,TRAOPE!$AA:$AB,2,0),"")</f>
        <v/>
      </c>
      <c r="I2573" s="7" t="n">
        <v>10215074</v>
      </c>
      <c r="J2573" s="7">
        <f>IFERROR(VLOOKUP(I2573,Materiales!$A:$H,8,0),"")</f>
        <v/>
      </c>
      <c r="K2573" s="9">
        <f>IFERROR(VLOOKUP(I2573,Materiales!$A:$G,7,0),"")</f>
        <v/>
      </c>
      <c r="L2573" s="8" t="inlineStr">
        <is>
          <t>20251105</t>
        </is>
      </c>
      <c r="M2573" s="8" t="inlineStr">
        <is>
          <t>99991231</t>
        </is>
      </c>
      <c r="N2573" s="10" t="n">
        <v>111</v>
      </c>
      <c r="O2573" s="10">
        <f>IFERROR(VLOOKUP(A2573,Flete!$A:$J,10,0),"")</f>
        <v/>
      </c>
      <c r="P2573" s="8" t="inlineStr">
        <is>
          <t>M3</t>
        </is>
      </c>
      <c r="Q2573" s="10">
        <f>IFERROR(IFERROR(VLOOKUP(A2573,TRAOPE!$A:$U,21,0),VLOOKUP(B2573,TRAOPE!$A:$U,21,0)),"")</f>
        <v/>
      </c>
      <c r="R2573" s="8">
        <f>IFERROR(IFERROR(VLOOKUP(A2573,TRAOPE!$A:$W,23,0),VLOOKUP(B2573,TRAOPE!$A:$W,23,0)),"")</f>
        <v/>
      </c>
      <c r="S2573" s="10">
        <f>IF(AND(P2573="TN",R2573="TN"),N2573+N(O2573),IF(G2573&amp;""="1",N(K2573)*N2573,(N2573+N(O2573))*N(K2573)))</f>
        <v/>
      </c>
      <c r="T2573" s="10">
        <f>IF(Q2573="","",Q2573-S2573)</f>
        <v/>
      </c>
    </row>
    <row r="2574">
      <c r="A2574" s="7">
        <f>CONCATENATE(C2574,E2574,F2574,I2574)</f>
        <v/>
      </c>
      <c r="B2574" s="7">
        <f>CONCATENATE(C2574,E2574,I2574)</f>
        <v/>
      </c>
      <c r="C2574" s="8" t="n">
        <v>900005627</v>
      </c>
      <c r="D2574" s="7">
        <f>IFERROR(VLOOKUP(C2574,TRAOPE!$G:$H,2,0),"")</f>
        <v/>
      </c>
      <c r="E2574" s="8" t="inlineStr">
        <is>
          <t>D836</t>
        </is>
      </c>
      <c r="F2574" s="8" t="inlineStr">
        <is>
          <t>67347709</t>
        </is>
      </c>
      <c r="G2574" s="8">
        <f>IFERROR(VLOOKUP(A2574,Flete!$A:$E,5,0),"")</f>
        <v/>
      </c>
      <c r="H2574" s="7">
        <f>IFERROR(VLOOKUP(F2574,TRAOPE!$AA:$AB,2,0),"")</f>
        <v/>
      </c>
      <c r="I2574" s="7" t="n">
        <v>10260055</v>
      </c>
      <c r="J2574" s="7">
        <f>IFERROR(VLOOKUP(I2574,Materiales!$A:$H,8,0),"")</f>
        <v/>
      </c>
      <c r="K2574" s="9">
        <f>IFERROR(VLOOKUP(I2574,Materiales!$A:$G,7,0),"")</f>
        <v/>
      </c>
      <c r="L2574" s="8" t="inlineStr">
        <is>
          <t>20251105</t>
        </is>
      </c>
      <c r="M2574" s="8" t="inlineStr">
        <is>
          <t>99991231</t>
        </is>
      </c>
      <c r="N2574" s="10" t="n">
        <v>100</v>
      </c>
      <c r="O2574" s="10">
        <f>IFERROR(VLOOKUP(A2574,Flete!$A:$J,10,0),"")</f>
        <v/>
      </c>
      <c r="P2574" s="8" t="inlineStr">
        <is>
          <t>M3</t>
        </is>
      </c>
      <c r="Q2574" s="10">
        <f>IFERROR(IFERROR(VLOOKUP(A2574,TRAOPE!$A:$U,21,0),VLOOKUP(B2574,TRAOPE!$A:$U,21,0)),"")</f>
        <v/>
      </c>
      <c r="R2574" s="8">
        <f>IFERROR(IFERROR(VLOOKUP(A2574,TRAOPE!$A:$W,23,0),VLOOKUP(B2574,TRAOPE!$A:$W,23,0)),"")</f>
        <v/>
      </c>
      <c r="S2574" s="10">
        <f>IF(AND(P2574="TN",R2574="TN"),N2574+N(O2574),IF(G2574&amp;""="1",N(K2574)*N2574,(N2574+N(O2574))*N(K2574)))</f>
        <v/>
      </c>
      <c r="T2574" s="10">
        <f>IF(Q2574="","",Q2574-S2574)</f>
        <v/>
      </c>
    </row>
    <row r="2575">
      <c r="A2575" s="7">
        <f>CONCATENATE(C2575,E2575,F2575,I2575)</f>
        <v/>
      </c>
      <c r="B2575" s="7">
        <f>CONCATENATE(C2575,E2575,I2575)</f>
        <v/>
      </c>
      <c r="C2575" s="8" t="n">
        <v>900005627</v>
      </c>
      <c r="D2575" s="7">
        <f>IFERROR(VLOOKUP(C2575,TRAOPE!$G:$H,2,0),"")</f>
        <v/>
      </c>
      <c r="E2575" s="8" t="inlineStr">
        <is>
          <t>D836</t>
        </is>
      </c>
      <c r="F2575" s="8" t="inlineStr">
        <is>
          <t>67362127</t>
        </is>
      </c>
      <c r="G2575" s="8">
        <f>IFERROR(VLOOKUP(A2575,Flete!$A:$E,5,0),"")</f>
        <v/>
      </c>
      <c r="H2575" s="7">
        <f>IFERROR(VLOOKUP(F2575,TRAOPE!$AA:$AB,2,0),"")</f>
        <v/>
      </c>
      <c r="I2575" s="7" t="n">
        <v>10260055</v>
      </c>
      <c r="J2575" s="7">
        <f>IFERROR(VLOOKUP(I2575,Materiales!$A:$H,8,0),"")</f>
        <v/>
      </c>
      <c r="K2575" s="9">
        <f>IFERROR(VLOOKUP(I2575,Materiales!$A:$G,7,0),"")</f>
        <v/>
      </c>
      <c r="L2575" s="8" t="inlineStr">
        <is>
          <t>20260116</t>
        </is>
      </c>
      <c r="M2575" s="8" t="inlineStr">
        <is>
          <t>99991231</t>
        </is>
      </c>
      <c r="N2575" s="10" t="n">
        <v>99</v>
      </c>
      <c r="O2575" s="10">
        <f>IFERROR(VLOOKUP(A2575,Flete!$A:$J,10,0),"")</f>
        <v/>
      </c>
      <c r="P2575" s="8" t="inlineStr">
        <is>
          <t>M3</t>
        </is>
      </c>
      <c r="Q2575" s="10">
        <f>IFERROR(IFERROR(VLOOKUP(A2575,TRAOPE!$A:$U,21,0),VLOOKUP(B2575,TRAOPE!$A:$U,21,0)),"")</f>
        <v/>
      </c>
      <c r="R2575" s="8">
        <f>IFERROR(IFERROR(VLOOKUP(A2575,TRAOPE!$A:$W,23,0),VLOOKUP(B2575,TRAOPE!$A:$W,23,0)),"")</f>
        <v/>
      </c>
      <c r="S2575" s="10">
        <f>IF(AND(P2575="TN",R2575="TN"),N2575+N(O2575),IF(G2575&amp;""="1",N(K2575)*N2575,(N2575+N(O2575))*N(K2575)))</f>
        <v/>
      </c>
      <c r="T2575" s="10">
        <f>IF(Q2575="","",Q2575-S2575)</f>
        <v/>
      </c>
    </row>
    <row r="2576">
      <c r="A2576" s="7">
        <f>CONCATENATE(C2576,E2576,F2576,I2576)</f>
        <v/>
      </c>
      <c r="B2576" s="7">
        <f>CONCATENATE(C2576,E2576,I2576)</f>
        <v/>
      </c>
      <c r="C2576" s="8" t="n">
        <v>900005627</v>
      </c>
      <c r="D2576" s="7">
        <f>IFERROR(VLOOKUP(C2576,TRAOPE!$G:$H,2,0),"")</f>
        <v/>
      </c>
      <c r="E2576" s="8" t="inlineStr">
        <is>
          <t>D836</t>
        </is>
      </c>
      <c r="F2576" s="8" t="inlineStr">
        <is>
          <t>67362674</t>
        </is>
      </c>
      <c r="G2576" s="8">
        <f>IFERROR(VLOOKUP(A2576,Flete!$A:$E,5,0),"")</f>
        <v/>
      </c>
      <c r="H2576" s="7">
        <f>IFERROR(VLOOKUP(F2576,TRAOPE!$AA:$AB,2,0),"")</f>
        <v/>
      </c>
      <c r="I2576" s="7" t="n">
        <v>10260055</v>
      </c>
      <c r="J2576" s="7">
        <f>IFERROR(VLOOKUP(I2576,Materiales!$A:$H,8,0),"")</f>
        <v/>
      </c>
      <c r="K2576" s="9">
        <f>IFERROR(VLOOKUP(I2576,Materiales!$A:$G,7,0),"")</f>
        <v/>
      </c>
      <c r="L2576" s="8" t="inlineStr">
        <is>
          <t>20260121</t>
        </is>
      </c>
      <c r="M2576" s="8" t="inlineStr">
        <is>
          <t>99991231</t>
        </is>
      </c>
      <c r="N2576" s="10" t="n">
        <v>99</v>
      </c>
      <c r="O2576" s="10">
        <f>IFERROR(VLOOKUP(A2576,Flete!$A:$J,10,0),"")</f>
        <v/>
      </c>
      <c r="P2576" s="8" t="inlineStr">
        <is>
          <t>M3</t>
        </is>
      </c>
      <c r="Q2576" s="10">
        <f>IFERROR(IFERROR(VLOOKUP(A2576,TRAOPE!$A:$U,21,0),VLOOKUP(B2576,TRAOPE!$A:$U,21,0)),"")</f>
        <v/>
      </c>
      <c r="R2576" s="8">
        <f>IFERROR(IFERROR(VLOOKUP(A2576,TRAOPE!$A:$W,23,0),VLOOKUP(B2576,TRAOPE!$A:$W,23,0)),"")</f>
        <v/>
      </c>
      <c r="S2576" s="10">
        <f>IF(AND(P2576="TN",R2576="TN"),N2576+N(O2576),IF(G2576&amp;""="1",N(K2576)*N2576,(N2576+N(O2576))*N(K2576)))</f>
        <v/>
      </c>
      <c r="T2576" s="10">
        <f>IF(Q2576="","",Q2576-S2576)</f>
        <v/>
      </c>
    </row>
    <row r="2577">
      <c r="A2577" s="7">
        <f>CONCATENATE(C2577,E2577,F2577,I2577)</f>
        <v/>
      </c>
      <c r="B2577" s="7">
        <f>CONCATENATE(C2577,E2577,I2577)</f>
        <v/>
      </c>
      <c r="C2577" s="8" t="n">
        <v>900005627</v>
      </c>
      <c r="D2577" s="7">
        <f>IFERROR(VLOOKUP(C2577,TRAOPE!$G:$H,2,0),"")</f>
        <v/>
      </c>
      <c r="E2577" s="8" t="inlineStr">
        <is>
          <t>D836</t>
        </is>
      </c>
      <c r="F2577" s="8" t="inlineStr">
        <is>
          <t>67364131</t>
        </is>
      </c>
      <c r="G2577" s="8">
        <f>IFERROR(VLOOKUP(A2577,Flete!$A:$E,5,0),"")</f>
        <v/>
      </c>
      <c r="H2577" s="7">
        <f>IFERROR(VLOOKUP(F2577,TRAOPE!$AA:$AB,2,0),"")</f>
        <v/>
      </c>
      <c r="I2577" s="7" t="n">
        <v>10260055</v>
      </c>
      <c r="J2577" s="7">
        <f>IFERROR(VLOOKUP(I2577,Materiales!$A:$H,8,0),"")</f>
        <v/>
      </c>
      <c r="K2577" s="9">
        <f>IFERROR(VLOOKUP(I2577,Materiales!$A:$G,7,0),"")</f>
        <v/>
      </c>
      <c r="L2577" s="8" t="inlineStr">
        <is>
          <t>20260203</t>
        </is>
      </c>
      <c r="M2577" s="8" t="inlineStr">
        <is>
          <t>99991231</t>
        </is>
      </c>
      <c r="N2577" s="10" t="n">
        <v>99</v>
      </c>
      <c r="O2577" s="10">
        <f>IFERROR(VLOOKUP(A2577,Flete!$A:$J,10,0),"")</f>
        <v/>
      </c>
      <c r="P2577" s="8" t="inlineStr">
        <is>
          <t>M3</t>
        </is>
      </c>
      <c r="Q2577" s="10">
        <f>IFERROR(IFERROR(VLOOKUP(A2577,TRAOPE!$A:$U,21,0),VLOOKUP(B2577,TRAOPE!$A:$U,21,0)),"")</f>
        <v/>
      </c>
      <c r="R2577" s="8">
        <f>IFERROR(IFERROR(VLOOKUP(A2577,TRAOPE!$A:$W,23,0),VLOOKUP(B2577,TRAOPE!$A:$W,23,0)),"")</f>
        <v/>
      </c>
      <c r="S2577" s="10">
        <f>IF(AND(P2577="TN",R2577="TN"),N2577+N(O2577),IF(G2577&amp;""="1",N(K2577)*N2577,(N2577+N(O2577))*N(K2577)))</f>
        <v/>
      </c>
      <c r="T2577" s="10">
        <f>IF(Q2577="","",Q2577-S2577)</f>
        <v/>
      </c>
    </row>
    <row r="2578">
      <c r="A2578" s="7">
        <f>CONCATENATE(C2578,E2578,F2578,I2578)</f>
        <v/>
      </c>
      <c r="B2578" s="7">
        <f>CONCATENATE(C2578,E2578,I2578)</f>
        <v/>
      </c>
      <c r="C2578" s="8" t="n">
        <v>900005627</v>
      </c>
      <c r="D2578" s="7">
        <f>IFERROR(VLOOKUP(C2578,TRAOPE!$G:$H,2,0),"")</f>
        <v/>
      </c>
      <c r="E2578" s="8" t="inlineStr">
        <is>
          <t>D836</t>
        </is>
      </c>
      <c r="F2578" s="8" t="inlineStr">
        <is>
          <t>67382539</t>
        </is>
      </c>
      <c r="G2578" s="8">
        <f>IFERROR(VLOOKUP(A2578,Flete!$A:$E,5,0),"")</f>
        <v/>
      </c>
      <c r="H2578" s="7">
        <f>IFERROR(VLOOKUP(F2578,TRAOPE!$AA:$AB,2,0),"")</f>
        <v/>
      </c>
      <c r="I2578" s="7" t="n">
        <v>10215074</v>
      </c>
      <c r="J2578" s="7">
        <f>IFERROR(VLOOKUP(I2578,Materiales!$A:$H,8,0),"")</f>
        <v/>
      </c>
      <c r="K2578" s="9">
        <f>IFERROR(VLOOKUP(I2578,Materiales!$A:$G,7,0),"")</f>
        <v/>
      </c>
      <c r="L2578" s="8" t="inlineStr">
        <is>
          <t>20260611</t>
        </is>
      </c>
      <c r="M2578" s="8" t="inlineStr">
        <is>
          <t>99991231</t>
        </is>
      </c>
      <c r="N2578" s="10" t="n">
        <v>111</v>
      </c>
      <c r="O2578" s="10">
        <f>IFERROR(VLOOKUP(A2578,Flete!$A:$J,10,0),"")</f>
        <v/>
      </c>
      <c r="P2578" s="8" t="inlineStr">
        <is>
          <t>M3</t>
        </is>
      </c>
      <c r="Q2578" s="10">
        <f>IFERROR(IFERROR(VLOOKUP(A2578,TRAOPE!$A:$U,21,0),VLOOKUP(B2578,TRAOPE!$A:$U,21,0)),"")</f>
        <v/>
      </c>
      <c r="R2578" s="8">
        <f>IFERROR(IFERROR(VLOOKUP(A2578,TRAOPE!$A:$W,23,0),VLOOKUP(B2578,TRAOPE!$A:$W,23,0)),"")</f>
        <v/>
      </c>
      <c r="S2578" s="10">
        <f>IF(AND(P2578="TN",R2578="TN"),N2578+N(O2578),IF(G2578&amp;""="1",N(K2578)*N2578,(N2578+N(O2578))*N(K2578)))</f>
        <v/>
      </c>
      <c r="T2578" s="10">
        <f>IF(Q2578="","",Q2578-S2578)</f>
        <v/>
      </c>
    </row>
    <row r="2579">
      <c r="A2579" s="7">
        <f>CONCATENATE(C2579,E2579,F2579,I2579)</f>
        <v/>
      </c>
      <c r="B2579" s="7">
        <f>CONCATENATE(C2579,E2579,I2579)</f>
        <v/>
      </c>
      <c r="C2579" s="8" t="n">
        <v>900005627</v>
      </c>
      <c r="D2579" s="7">
        <f>IFERROR(VLOOKUP(C2579,TRAOPE!$G:$H,2,0),"")</f>
        <v/>
      </c>
      <c r="E2579" s="8" t="inlineStr">
        <is>
          <t>D836</t>
        </is>
      </c>
      <c r="F2579" s="8" t="inlineStr">
        <is>
          <t>67382539</t>
        </is>
      </c>
      <c r="G2579" s="8">
        <f>IFERROR(VLOOKUP(A2579,Flete!$A:$E,5,0),"")</f>
        <v/>
      </c>
      <c r="H2579" s="7">
        <f>IFERROR(VLOOKUP(F2579,TRAOPE!$AA:$AB,2,0),"")</f>
        <v/>
      </c>
      <c r="I2579" s="7" t="n">
        <v>10260055</v>
      </c>
      <c r="J2579" s="7">
        <f>IFERROR(VLOOKUP(I2579,Materiales!$A:$H,8,0),"")</f>
        <v/>
      </c>
      <c r="K2579" s="9">
        <f>IFERROR(VLOOKUP(I2579,Materiales!$A:$G,7,0),"")</f>
        <v/>
      </c>
      <c r="L2579" s="8" t="inlineStr">
        <is>
          <t>20260611</t>
        </is>
      </c>
      <c r="M2579" s="8" t="inlineStr">
        <is>
          <t>99991231</t>
        </is>
      </c>
      <c r="N2579" s="10" t="n">
        <v>100</v>
      </c>
      <c r="O2579" s="10">
        <f>IFERROR(VLOOKUP(A2579,Flete!$A:$J,10,0),"")</f>
        <v/>
      </c>
      <c r="P2579" s="8" t="inlineStr">
        <is>
          <t>M3</t>
        </is>
      </c>
      <c r="Q2579" s="10">
        <f>IFERROR(IFERROR(VLOOKUP(A2579,TRAOPE!$A:$U,21,0),VLOOKUP(B2579,TRAOPE!$A:$U,21,0)),"")</f>
        <v/>
      </c>
      <c r="R2579" s="8">
        <f>IFERROR(IFERROR(VLOOKUP(A2579,TRAOPE!$A:$W,23,0),VLOOKUP(B2579,TRAOPE!$A:$W,23,0)),"")</f>
        <v/>
      </c>
      <c r="S2579" s="10">
        <f>IF(AND(P2579="TN",R2579="TN"),N2579+N(O2579),IF(G2579&amp;""="1",N(K2579)*N2579,(N2579+N(O2579))*N(K2579)))</f>
        <v/>
      </c>
      <c r="T2579" s="10">
        <f>IF(Q2579="","",Q2579-S2579)</f>
        <v/>
      </c>
    </row>
    <row r="2580">
      <c r="A2580" s="7">
        <f>CONCATENATE(C2580,E2580,F2580,I2580)</f>
        <v/>
      </c>
      <c r="B2580" s="7">
        <f>CONCATENATE(C2580,E2580,I2580)</f>
        <v/>
      </c>
      <c r="C2580" s="8" t="n">
        <v>900005627</v>
      </c>
      <c r="D2580" s="7">
        <f>IFERROR(VLOOKUP(C2580,TRAOPE!$G:$H,2,0),"")</f>
        <v/>
      </c>
      <c r="E2580" s="8" t="inlineStr">
        <is>
          <t>D836</t>
        </is>
      </c>
      <c r="F2580" s="8" t="inlineStr">
        <is>
          <t>67382542</t>
        </is>
      </c>
      <c r="G2580" s="8">
        <f>IFERROR(VLOOKUP(A2580,Flete!$A:$E,5,0),"")</f>
        <v/>
      </c>
      <c r="H2580" s="7">
        <f>IFERROR(VLOOKUP(F2580,TRAOPE!$AA:$AB,2,0),"")</f>
        <v/>
      </c>
      <c r="I2580" s="7" t="n">
        <v>10215074</v>
      </c>
      <c r="J2580" s="7">
        <f>IFERROR(VLOOKUP(I2580,Materiales!$A:$H,8,0),"")</f>
        <v/>
      </c>
      <c r="K2580" s="9">
        <f>IFERROR(VLOOKUP(I2580,Materiales!$A:$G,7,0),"")</f>
        <v/>
      </c>
      <c r="L2580" s="8" t="inlineStr">
        <is>
          <t>20260611</t>
        </is>
      </c>
      <c r="M2580" s="8" t="inlineStr">
        <is>
          <t>99991231</t>
        </is>
      </c>
      <c r="N2580" s="10" t="n">
        <v>111</v>
      </c>
      <c r="O2580" s="10">
        <f>IFERROR(VLOOKUP(A2580,Flete!$A:$J,10,0),"")</f>
        <v/>
      </c>
      <c r="P2580" s="8" t="inlineStr">
        <is>
          <t>M3</t>
        </is>
      </c>
      <c r="Q2580" s="10">
        <f>IFERROR(IFERROR(VLOOKUP(A2580,TRAOPE!$A:$U,21,0),VLOOKUP(B2580,TRAOPE!$A:$U,21,0)),"")</f>
        <v/>
      </c>
      <c r="R2580" s="8">
        <f>IFERROR(IFERROR(VLOOKUP(A2580,TRAOPE!$A:$W,23,0),VLOOKUP(B2580,TRAOPE!$A:$W,23,0)),"")</f>
        <v/>
      </c>
      <c r="S2580" s="10">
        <f>IF(AND(P2580="TN",R2580="TN"),N2580+N(O2580),IF(G2580&amp;""="1",N(K2580)*N2580,(N2580+N(O2580))*N(K2580)))</f>
        <v/>
      </c>
      <c r="T2580" s="10">
        <f>IF(Q2580="","",Q2580-S2580)</f>
        <v/>
      </c>
    </row>
    <row r="2581">
      <c r="A2581" s="7">
        <f>CONCATENATE(C2581,E2581,F2581,I2581)</f>
        <v/>
      </c>
      <c r="B2581" s="7">
        <f>CONCATENATE(C2581,E2581,I2581)</f>
        <v/>
      </c>
      <c r="C2581" s="8" t="n">
        <v>900005627</v>
      </c>
      <c r="D2581" s="7">
        <f>IFERROR(VLOOKUP(C2581,TRAOPE!$G:$H,2,0),"")</f>
        <v/>
      </c>
      <c r="E2581" s="8" t="inlineStr">
        <is>
          <t>D836</t>
        </is>
      </c>
      <c r="F2581" s="8" t="inlineStr">
        <is>
          <t>67382542</t>
        </is>
      </c>
      <c r="G2581" s="8">
        <f>IFERROR(VLOOKUP(A2581,Flete!$A:$E,5,0),"")</f>
        <v/>
      </c>
      <c r="H2581" s="7">
        <f>IFERROR(VLOOKUP(F2581,TRAOPE!$AA:$AB,2,0),"")</f>
        <v/>
      </c>
      <c r="I2581" s="7" t="n">
        <v>10260055</v>
      </c>
      <c r="J2581" s="7">
        <f>IFERROR(VLOOKUP(I2581,Materiales!$A:$H,8,0),"")</f>
        <v/>
      </c>
      <c r="K2581" s="9">
        <f>IFERROR(VLOOKUP(I2581,Materiales!$A:$G,7,0),"")</f>
        <v/>
      </c>
      <c r="L2581" s="8" t="inlineStr">
        <is>
          <t>20260611</t>
        </is>
      </c>
      <c r="M2581" s="8" t="inlineStr">
        <is>
          <t>99991231</t>
        </is>
      </c>
      <c r="N2581" s="10" t="n">
        <v>100</v>
      </c>
      <c r="O2581" s="10">
        <f>IFERROR(VLOOKUP(A2581,Flete!$A:$J,10,0),"")</f>
        <v/>
      </c>
      <c r="P2581" s="8" t="inlineStr">
        <is>
          <t>M3</t>
        </is>
      </c>
      <c r="Q2581" s="10">
        <f>IFERROR(IFERROR(VLOOKUP(A2581,TRAOPE!$A:$U,21,0),VLOOKUP(B2581,TRAOPE!$A:$U,21,0)),"")</f>
        <v/>
      </c>
      <c r="R2581" s="8">
        <f>IFERROR(IFERROR(VLOOKUP(A2581,TRAOPE!$A:$W,23,0),VLOOKUP(B2581,TRAOPE!$A:$W,23,0)),"")</f>
        <v/>
      </c>
      <c r="S2581" s="10">
        <f>IF(AND(P2581="TN",R2581="TN"),N2581+N(O2581),IF(G2581&amp;""="1",N(K2581)*N2581,(N2581+N(O2581))*N(K2581)))</f>
        <v/>
      </c>
      <c r="T2581" s="10">
        <f>IF(Q2581="","",Q2581-S2581)</f>
        <v/>
      </c>
    </row>
    <row r="2582">
      <c r="A2582" s="7">
        <f>CONCATENATE(C2582,E2582,F2582,I2582)</f>
        <v/>
      </c>
      <c r="B2582" s="7">
        <f>CONCATENATE(C2582,E2582,I2582)</f>
        <v/>
      </c>
      <c r="C2582" s="8" t="n">
        <v>900005627</v>
      </c>
      <c r="D2582" s="7">
        <f>IFERROR(VLOOKUP(C2582,TRAOPE!$G:$H,2,0),"")</f>
        <v/>
      </c>
      <c r="E2582" s="8" t="inlineStr">
        <is>
          <t>D836</t>
        </is>
      </c>
      <c r="F2582" s="8" t="inlineStr">
        <is>
          <t>67385618</t>
        </is>
      </c>
      <c r="G2582" s="8">
        <f>IFERROR(VLOOKUP(A2582,Flete!$A:$E,5,0),"")</f>
        <v/>
      </c>
      <c r="H2582" s="7">
        <f>IFERROR(VLOOKUP(F2582,TRAOPE!$AA:$AB,2,0),"")</f>
        <v/>
      </c>
      <c r="I2582" s="7" t="n">
        <v>10215074</v>
      </c>
      <c r="J2582" s="7">
        <f>IFERROR(VLOOKUP(I2582,Materiales!$A:$H,8,0),"")</f>
        <v/>
      </c>
      <c r="K2582" s="9">
        <f>IFERROR(VLOOKUP(I2582,Materiales!$A:$G,7,0),"")</f>
        <v/>
      </c>
      <c r="L2582" s="8" t="inlineStr">
        <is>
          <t>20260708</t>
        </is>
      </c>
      <c r="M2582" s="8" t="inlineStr">
        <is>
          <t>99991231</t>
        </is>
      </c>
      <c r="N2582" s="10" t="n">
        <v>111</v>
      </c>
      <c r="O2582" s="10">
        <f>IFERROR(VLOOKUP(A2582,Flete!$A:$J,10,0),"")</f>
        <v/>
      </c>
      <c r="P2582" s="8" t="inlineStr">
        <is>
          <t>M3</t>
        </is>
      </c>
      <c r="Q2582" s="10">
        <f>IFERROR(IFERROR(VLOOKUP(A2582,TRAOPE!$A:$U,21,0),VLOOKUP(B2582,TRAOPE!$A:$U,21,0)),"")</f>
        <v/>
      </c>
      <c r="R2582" s="8">
        <f>IFERROR(IFERROR(VLOOKUP(A2582,TRAOPE!$A:$W,23,0),VLOOKUP(B2582,TRAOPE!$A:$W,23,0)),"")</f>
        <v/>
      </c>
      <c r="S2582" s="10">
        <f>IF(AND(P2582="TN",R2582="TN"),N2582+N(O2582),IF(G2582&amp;""="1",N(K2582)*N2582,(N2582+N(O2582))*N(K2582)))</f>
        <v/>
      </c>
      <c r="T2582" s="10">
        <f>IF(Q2582="","",Q2582-S2582)</f>
        <v/>
      </c>
    </row>
    <row r="2583">
      <c r="A2583" s="7">
        <f>CONCATENATE(C2583,E2583,F2583,I2583)</f>
        <v/>
      </c>
      <c r="B2583" s="7">
        <f>CONCATENATE(C2583,E2583,I2583)</f>
        <v/>
      </c>
      <c r="C2583" s="8" t="n">
        <v>900005627</v>
      </c>
      <c r="D2583" s="7">
        <f>IFERROR(VLOOKUP(C2583,TRAOPE!$G:$H,2,0),"")</f>
        <v/>
      </c>
      <c r="E2583" s="8" t="inlineStr">
        <is>
          <t>D836</t>
        </is>
      </c>
      <c r="F2583" s="8" t="inlineStr">
        <is>
          <t>67385618</t>
        </is>
      </c>
      <c r="G2583" s="8">
        <f>IFERROR(VLOOKUP(A2583,Flete!$A:$E,5,0),"")</f>
        <v/>
      </c>
      <c r="H2583" s="7">
        <f>IFERROR(VLOOKUP(F2583,TRAOPE!$AA:$AB,2,0),"")</f>
        <v/>
      </c>
      <c r="I2583" s="7" t="n">
        <v>10260055</v>
      </c>
      <c r="J2583" s="7">
        <f>IFERROR(VLOOKUP(I2583,Materiales!$A:$H,8,0),"")</f>
        <v/>
      </c>
      <c r="K2583" s="9">
        <f>IFERROR(VLOOKUP(I2583,Materiales!$A:$G,7,0),"")</f>
        <v/>
      </c>
      <c r="L2583" s="8" t="inlineStr">
        <is>
          <t>20260708</t>
        </is>
      </c>
      <c r="M2583" s="8" t="inlineStr">
        <is>
          <t>99991231</t>
        </is>
      </c>
      <c r="N2583" s="10" t="n">
        <v>100</v>
      </c>
      <c r="O2583" s="10">
        <f>IFERROR(VLOOKUP(A2583,Flete!$A:$J,10,0),"")</f>
        <v/>
      </c>
      <c r="P2583" s="8" t="inlineStr">
        <is>
          <t>M3</t>
        </is>
      </c>
      <c r="Q2583" s="10">
        <f>IFERROR(IFERROR(VLOOKUP(A2583,TRAOPE!$A:$U,21,0),VLOOKUP(B2583,TRAOPE!$A:$U,21,0)),"")</f>
        <v/>
      </c>
      <c r="R2583" s="8">
        <f>IFERROR(IFERROR(VLOOKUP(A2583,TRAOPE!$A:$W,23,0),VLOOKUP(B2583,TRAOPE!$A:$W,23,0)),"")</f>
        <v/>
      </c>
      <c r="S2583" s="10">
        <f>IF(AND(P2583="TN",R2583="TN"),N2583+N(O2583),IF(G2583&amp;""="1",N(K2583)*N2583,(N2583+N(O2583))*N(K2583)))</f>
        <v/>
      </c>
      <c r="T2583" s="10">
        <f>IF(Q2583="","",Q2583-S2583)</f>
        <v/>
      </c>
    </row>
    <row r="2584">
      <c r="A2584" s="7">
        <f>CONCATENATE(C2584,E2584,F2584,I2584)</f>
        <v/>
      </c>
      <c r="B2584" s="7">
        <f>CONCATENATE(C2584,E2584,I2584)</f>
        <v/>
      </c>
      <c r="C2584" s="8" t="n">
        <v>900006005</v>
      </c>
      <c r="D2584" s="7">
        <f>IFERROR(VLOOKUP(C2584,TRAOPE!$G:$H,2,0),"")</f>
        <v/>
      </c>
      <c r="E2584" s="8" t="inlineStr">
        <is>
          <t>D836</t>
        </is>
      </c>
      <c r="F2584" s="8" t="inlineStr">
        <is>
          <t>66844918</t>
        </is>
      </c>
      <c r="G2584" s="8">
        <f>IFERROR(VLOOKUP(A2584,Flete!$A:$E,5,0),"")</f>
        <v/>
      </c>
      <c r="H2584" s="7">
        <f>IFERROR(VLOOKUP(F2584,TRAOPE!$AA:$AB,2,0),"")</f>
        <v/>
      </c>
      <c r="I2584" s="7" t="n">
        <v>10000630</v>
      </c>
      <c r="J2584" s="7">
        <f>IFERROR(VLOOKUP(I2584,Materiales!$A:$H,8,0),"")</f>
        <v/>
      </c>
      <c r="K2584" s="9">
        <f>IFERROR(VLOOKUP(I2584,Materiales!$A:$G,7,0),"")</f>
        <v/>
      </c>
      <c r="L2584" s="8" t="inlineStr">
        <is>
          <t>20200210</t>
        </is>
      </c>
      <c r="M2584" s="8" t="inlineStr">
        <is>
          <t>99991231</t>
        </is>
      </c>
      <c r="N2584" s="10" t="n">
        <v>120</v>
      </c>
      <c r="O2584" s="10">
        <f>IFERROR(VLOOKUP(A2584,Flete!$A:$J,10,0),"")</f>
        <v/>
      </c>
      <c r="P2584" s="8" t="inlineStr">
        <is>
          <t>M3</t>
        </is>
      </c>
      <c r="Q2584" s="10">
        <f>IFERROR(IFERROR(VLOOKUP(A2584,TRAOPE!$A:$U,21,0),VLOOKUP(B2584,TRAOPE!$A:$U,21,0)),"")</f>
        <v/>
      </c>
      <c r="R2584" s="8">
        <f>IFERROR(IFERROR(VLOOKUP(A2584,TRAOPE!$A:$W,23,0),VLOOKUP(B2584,TRAOPE!$A:$W,23,0)),"")</f>
        <v/>
      </c>
      <c r="S2584" s="10">
        <f>IF(AND(P2584="TN",R2584="TN"),N2584+N(O2584),IF(G2584&amp;""="1",N(K2584)*N2584,(N2584+N(O2584))*N(K2584)))</f>
        <v/>
      </c>
      <c r="T2584" s="10">
        <f>IF(Q2584="","",Q2584-S2584)</f>
        <v/>
      </c>
    </row>
    <row r="2585">
      <c r="A2585" s="7">
        <f>CONCATENATE(C2585,E2585,F2585,I2585)</f>
        <v/>
      </c>
      <c r="B2585" s="7">
        <f>CONCATENATE(C2585,E2585,I2585)</f>
        <v/>
      </c>
      <c r="C2585" s="8" t="n">
        <v>900006351</v>
      </c>
      <c r="D2585" s="7">
        <f>IFERROR(VLOOKUP(C2585,TRAOPE!$G:$H,2,0),"")</f>
        <v/>
      </c>
      <c r="E2585" s="8" t="inlineStr">
        <is>
          <t>D836</t>
        </is>
      </c>
      <c r="F2585" s="8" t="inlineStr">
        <is>
          <t>65016451</t>
        </is>
      </c>
      <c r="G2585" s="8">
        <f>IFERROR(VLOOKUP(A2585,Flete!$A:$E,5,0),"")</f>
        <v/>
      </c>
      <c r="H2585" s="7">
        <f>IFERROR(VLOOKUP(F2585,TRAOPE!$AA:$AB,2,0),"")</f>
        <v/>
      </c>
      <c r="I2585" s="7" t="n">
        <v>10000630</v>
      </c>
      <c r="J2585" s="7">
        <f>IFERROR(VLOOKUP(I2585,Materiales!$A:$H,8,0),"")</f>
        <v/>
      </c>
      <c r="K2585" s="9">
        <f>IFERROR(VLOOKUP(I2585,Materiales!$A:$G,7,0),"")</f>
        <v/>
      </c>
      <c r="L2585" s="8" t="inlineStr">
        <is>
          <t>20260401</t>
        </is>
      </c>
      <c r="M2585" s="8" t="inlineStr">
        <is>
          <t>99991231</t>
        </is>
      </c>
      <c r="N2585" s="10" t="n">
        <v>230</v>
      </c>
      <c r="O2585" s="10">
        <f>IFERROR(VLOOKUP(A2585,Flete!$A:$J,10,0),"")</f>
        <v/>
      </c>
      <c r="P2585" s="8" t="inlineStr">
        <is>
          <t>M3</t>
        </is>
      </c>
      <c r="Q2585" s="10">
        <f>IFERROR(IFERROR(VLOOKUP(A2585,TRAOPE!$A:$U,21,0),VLOOKUP(B2585,TRAOPE!$A:$U,21,0)),"")</f>
        <v/>
      </c>
      <c r="R2585" s="8">
        <f>IFERROR(IFERROR(VLOOKUP(A2585,TRAOPE!$A:$W,23,0),VLOOKUP(B2585,TRAOPE!$A:$W,23,0)),"")</f>
        <v/>
      </c>
      <c r="S2585" s="10">
        <f>IF(AND(P2585="TN",R2585="TN"),N2585+N(O2585),IF(G2585&amp;""="1",N(K2585)*N2585,(N2585+N(O2585))*N(K2585)))</f>
        <v/>
      </c>
      <c r="T2585" s="10">
        <f>IF(Q2585="","",Q2585-S2585)</f>
        <v/>
      </c>
    </row>
    <row r="2586">
      <c r="A2586" s="7">
        <f>CONCATENATE(C2586,E2586,F2586,I2586)</f>
        <v/>
      </c>
      <c r="B2586" s="7">
        <f>CONCATENATE(C2586,E2586,I2586)</f>
        <v/>
      </c>
      <c r="C2586" s="8" t="n">
        <v>900006351</v>
      </c>
      <c r="D2586" s="7">
        <f>IFERROR(VLOOKUP(C2586,TRAOPE!$G:$H,2,0),"")</f>
        <v/>
      </c>
      <c r="E2586" s="8" t="inlineStr">
        <is>
          <t>D836</t>
        </is>
      </c>
      <c r="F2586" s="8" t="inlineStr">
        <is>
          <t>65087219</t>
        </is>
      </c>
      <c r="G2586" s="8">
        <f>IFERROR(VLOOKUP(A2586,Flete!$A:$E,5,0),"")</f>
        <v/>
      </c>
      <c r="H2586" s="7">
        <f>IFERROR(VLOOKUP(F2586,TRAOPE!$AA:$AB,2,0),"")</f>
        <v/>
      </c>
      <c r="I2586" s="7" t="n">
        <v>10000630</v>
      </c>
      <c r="J2586" s="7">
        <f>IFERROR(VLOOKUP(I2586,Materiales!$A:$H,8,0),"")</f>
        <v/>
      </c>
      <c r="K2586" s="9">
        <f>IFERROR(VLOOKUP(I2586,Materiales!$A:$G,7,0),"")</f>
        <v/>
      </c>
      <c r="L2586" s="8" t="inlineStr">
        <is>
          <t>20260327</t>
        </is>
      </c>
      <c r="M2586" s="8" t="inlineStr">
        <is>
          <t>99991231</t>
        </is>
      </c>
      <c r="N2586" s="10" t="n">
        <v>224</v>
      </c>
      <c r="O2586" s="10">
        <f>IFERROR(VLOOKUP(A2586,Flete!$A:$J,10,0),"")</f>
        <v/>
      </c>
      <c r="P2586" s="8" t="inlineStr">
        <is>
          <t>M3</t>
        </is>
      </c>
      <c r="Q2586" s="10">
        <f>IFERROR(IFERROR(VLOOKUP(A2586,TRAOPE!$A:$U,21,0),VLOOKUP(B2586,TRAOPE!$A:$U,21,0)),"")</f>
        <v/>
      </c>
      <c r="R2586" s="8">
        <f>IFERROR(IFERROR(VLOOKUP(A2586,TRAOPE!$A:$W,23,0),VLOOKUP(B2586,TRAOPE!$A:$W,23,0)),"")</f>
        <v/>
      </c>
      <c r="S2586" s="10">
        <f>IF(AND(P2586="TN",R2586="TN"),N2586+N(O2586),IF(G2586&amp;""="1",N(K2586)*N2586,(N2586+N(O2586))*N(K2586)))</f>
        <v/>
      </c>
      <c r="T2586" s="10">
        <f>IF(Q2586="","",Q2586-S2586)</f>
        <v/>
      </c>
    </row>
    <row r="2587">
      <c r="A2587" s="7">
        <f>CONCATENATE(C2587,E2587,F2587,I2587)</f>
        <v/>
      </c>
      <c r="B2587" s="7">
        <f>CONCATENATE(C2587,E2587,I2587)</f>
        <v/>
      </c>
      <c r="C2587" s="8" t="n">
        <v>900006371</v>
      </c>
      <c r="D2587" s="7">
        <f>IFERROR(VLOOKUP(C2587,TRAOPE!$G:$H,2,0),"")</f>
        <v/>
      </c>
      <c r="E2587" s="8" t="inlineStr">
        <is>
          <t>D836</t>
        </is>
      </c>
      <c r="F2587" s="8" t="inlineStr">
        <is>
          <t>65014664</t>
        </is>
      </c>
      <c r="G2587" s="8">
        <f>IFERROR(VLOOKUP(A2587,Flete!$A:$E,5,0),"")</f>
        <v/>
      </c>
      <c r="H2587" s="7">
        <f>IFERROR(VLOOKUP(F2587,TRAOPE!$AA:$AB,2,0),"")</f>
        <v/>
      </c>
      <c r="I2587" s="7" t="n">
        <v>10000160</v>
      </c>
      <c r="J2587" s="7">
        <f>IFERROR(VLOOKUP(I2587,Materiales!$A:$H,8,0),"")</f>
        <v/>
      </c>
      <c r="K2587" s="9">
        <f>IFERROR(VLOOKUP(I2587,Materiales!$A:$G,7,0),"")</f>
        <v/>
      </c>
      <c r="L2587" s="8" t="inlineStr">
        <is>
          <t>20260428</t>
        </is>
      </c>
      <c r="M2587" s="8" t="inlineStr">
        <is>
          <t>99991231</t>
        </is>
      </c>
      <c r="N2587" s="10" t="n">
        <v>119.9</v>
      </c>
      <c r="O2587" s="10">
        <f>IFERROR(VLOOKUP(A2587,Flete!$A:$J,10,0),"")</f>
        <v/>
      </c>
      <c r="P2587" s="8" t="inlineStr">
        <is>
          <t>M3</t>
        </is>
      </c>
      <c r="Q2587" s="10">
        <f>IFERROR(IFERROR(VLOOKUP(A2587,TRAOPE!$A:$U,21,0),VLOOKUP(B2587,TRAOPE!$A:$U,21,0)),"")</f>
        <v/>
      </c>
      <c r="R2587" s="8">
        <f>IFERROR(IFERROR(VLOOKUP(A2587,TRAOPE!$A:$W,23,0),VLOOKUP(B2587,TRAOPE!$A:$W,23,0)),"")</f>
        <v/>
      </c>
      <c r="S2587" s="10">
        <f>IF(AND(P2587="TN",R2587="TN"),N2587+N(O2587),IF(G2587&amp;""="1",N(K2587)*N2587,(N2587+N(O2587))*N(K2587)))</f>
        <v/>
      </c>
      <c r="T2587" s="10">
        <f>IF(Q2587="","",Q2587-S2587)</f>
        <v/>
      </c>
    </row>
    <row r="2588">
      <c r="A2588" s="7">
        <f>CONCATENATE(C2588,E2588,F2588,I2588)</f>
        <v/>
      </c>
      <c r="B2588" s="7">
        <f>CONCATENATE(C2588,E2588,I2588)</f>
        <v/>
      </c>
      <c r="C2588" s="8" t="n">
        <v>900006371</v>
      </c>
      <c r="D2588" s="7">
        <f>IFERROR(VLOOKUP(C2588,TRAOPE!$G:$H,2,0),"")</f>
        <v/>
      </c>
      <c r="E2588" s="8" t="inlineStr">
        <is>
          <t>D836</t>
        </is>
      </c>
      <c r="F2588" s="8" t="inlineStr">
        <is>
          <t>65014664</t>
        </is>
      </c>
      <c r="G2588" s="8">
        <f>IFERROR(VLOOKUP(A2588,Flete!$A:$E,5,0),"")</f>
        <v/>
      </c>
      <c r="H2588" s="7">
        <f>IFERROR(VLOOKUP(F2588,TRAOPE!$AA:$AB,2,0),"")</f>
        <v/>
      </c>
      <c r="I2588" s="7" t="n">
        <v>10000206</v>
      </c>
      <c r="J2588" s="7">
        <f>IFERROR(VLOOKUP(I2588,Materiales!$A:$H,8,0),"")</f>
        <v/>
      </c>
      <c r="K2588" s="9">
        <f>IFERROR(VLOOKUP(I2588,Materiales!$A:$G,7,0),"")</f>
        <v/>
      </c>
      <c r="L2588" s="8" t="inlineStr">
        <is>
          <t>20251111</t>
        </is>
      </c>
      <c r="M2588" s="8" t="inlineStr">
        <is>
          <t>99991231</t>
        </is>
      </c>
      <c r="N2588" s="10" t="n">
        <v>30</v>
      </c>
      <c r="O2588" s="10">
        <f>IFERROR(VLOOKUP(A2588,Flete!$A:$J,10,0),"")</f>
        <v/>
      </c>
      <c r="P2588" s="8" t="inlineStr">
        <is>
          <t>M3</t>
        </is>
      </c>
      <c r="Q2588" s="10">
        <f>IFERROR(IFERROR(VLOOKUP(A2588,TRAOPE!$A:$U,21,0),VLOOKUP(B2588,TRAOPE!$A:$U,21,0)),"")</f>
        <v/>
      </c>
      <c r="R2588" s="8">
        <f>IFERROR(IFERROR(VLOOKUP(A2588,TRAOPE!$A:$W,23,0),VLOOKUP(B2588,TRAOPE!$A:$W,23,0)),"")</f>
        <v/>
      </c>
      <c r="S2588" s="10">
        <f>IF(AND(P2588="TN",R2588="TN"),N2588+N(O2588),IF(G2588&amp;""="1",N(K2588)*N2588,(N2588+N(O2588))*N(K2588)))</f>
        <v/>
      </c>
      <c r="T2588" s="10">
        <f>IF(Q2588="","",Q2588-S2588)</f>
        <v/>
      </c>
    </row>
    <row r="2589">
      <c r="A2589" s="7">
        <f>CONCATENATE(C2589,E2589,F2589,I2589)</f>
        <v/>
      </c>
      <c r="B2589" s="7">
        <f>CONCATENATE(C2589,E2589,I2589)</f>
        <v/>
      </c>
      <c r="C2589" s="8" t="n">
        <v>900006371</v>
      </c>
      <c r="D2589" s="7">
        <f>IFERROR(VLOOKUP(C2589,TRAOPE!$G:$H,2,0),"")</f>
        <v/>
      </c>
      <c r="E2589" s="8" t="inlineStr">
        <is>
          <t>D836</t>
        </is>
      </c>
      <c r="F2589" s="8" t="inlineStr">
        <is>
          <t>65014664</t>
        </is>
      </c>
      <c r="G2589" s="8">
        <f>IFERROR(VLOOKUP(A2589,Flete!$A:$E,5,0),"")</f>
        <v/>
      </c>
      <c r="H2589" s="7">
        <f>IFERROR(VLOOKUP(F2589,TRAOPE!$AA:$AB,2,0),"")</f>
        <v/>
      </c>
      <c r="I2589" s="7" t="n">
        <v>10000627</v>
      </c>
      <c r="J2589" s="7">
        <f>IFERROR(VLOOKUP(I2589,Materiales!$A:$H,8,0),"")</f>
        <v/>
      </c>
      <c r="K2589" s="9">
        <f>IFERROR(VLOOKUP(I2589,Materiales!$A:$G,7,0),"")</f>
        <v/>
      </c>
      <c r="L2589" s="8" t="inlineStr">
        <is>
          <t>20260420</t>
        </is>
      </c>
      <c r="M2589" s="8" t="inlineStr">
        <is>
          <t>99991231</t>
        </is>
      </c>
      <c r="N2589" s="10" t="n">
        <v>125</v>
      </c>
      <c r="O2589" s="10">
        <f>IFERROR(VLOOKUP(A2589,Flete!$A:$J,10,0),"")</f>
        <v/>
      </c>
      <c r="P2589" s="8" t="inlineStr">
        <is>
          <t>M3</t>
        </is>
      </c>
      <c r="Q2589" s="10">
        <f>IFERROR(IFERROR(VLOOKUP(A2589,TRAOPE!$A:$U,21,0),VLOOKUP(B2589,TRAOPE!$A:$U,21,0)),"")</f>
        <v/>
      </c>
      <c r="R2589" s="8">
        <f>IFERROR(IFERROR(VLOOKUP(A2589,TRAOPE!$A:$W,23,0),VLOOKUP(B2589,TRAOPE!$A:$W,23,0)),"")</f>
        <v/>
      </c>
      <c r="S2589" s="10">
        <f>IF(AND(P2589="TN",R2589="TN"),N2589+N(O2589),IF(G2589&amp;""="1",N(K2589)*N2589,(N2589+N(O2589))*N(K2589)))</f>
        <v/>
      </c>
      <c r="T2589" s="10">
        <f>IF(Q2589="","",Q2589-S2589)</f>
        <v/>
      </c>
    </row>
    <row r="2590">
      <c r="A2590" s="7">
        <f>CONCATENATE(C2590,E2590,F2590,I2590)</f>
        <v/>
      </c>
      <c r="B2590" s="7">
        <f>CONCATENATE(C2590,E2590,I2590)</f>
        <v/>
      </c>
      <c r="C2590" s="8" t="n">
        <v>900006371</v>
      </c>
      <c r="D2590" s="7">
        <f>IFERROR(VLOOKUP(C2590,TRAOPE!$G:$H,2,0),"")</f>
        <v/>
      </c>
      <c r="E2590" s="8" t="inlineStr">
        <is>
          <t>D836</t>
        </is>
      </c>
      <c r="F2590" s="8" t="inlineStr">
        <is>
          <t>65440384</t>
        </is>
      </c>
      <c r="G2590" s="8">
        <f>IFERROR(VLOOKUP(A2590,Flete!$A:$E,5,0),"")</f>
        <v/>
      </c>
      <c r="H2590" s="7">
        <f>IFERROR(VLOOKUP(F2590,TRAOPE!$AA:$AB,2,0),"")</f>
        <v/>
      </c>
      <c r="I2590" s="7" t="n">
        <v>10000160</v>
      </c>
      <c r="J2590" s="7">
        <f>IFERROR(VLOOKUP(I2590,Materiales!$A:$H,8,0),"")</f>
        <v/>
      </c>
      <c r="K2590" s="9">
        <f>IFERROR(VLOOKUP(I2590,Materiales!$A:$G,7,0),"")</f>
        <v/>
      </c>
      <c r="L2590" s="8" t="inlineStr">
        <is>
          <t>20260420</t>
        </is>
      </c>
      <c r="M2590" s="8" t="inlineStr">
        <is>
          <t>99991231</t>
        </is>
      </c>
      <c r="N2590" s="10" t="n">
        <v>130</v>
      </c>
      <c r="O2590" s="10">
        <f>IFERROR(VLOOKUP(A2590,Flete!$A:$J,10,0),"")</f>
        <v/>
      </c>
      <c r="P2590" s="8" t="inlineStr">
        <is>
          <t>M3</t>
        </is>
      </c>
      <c r="Q2590" s="10">
        <f>IFERROR(IFERROR(VLOOKUP(A2590,TRAOPE!$A:$U,21,0),VLOOKUP(B2590,TRAOPE!$A:$U,21,0)),"")</f>
        <v/>
      </c>
      <c r="R2590" s="8">
        <f>IFERROR(IFERROR(VLOOKUP(A2590,TRAOPE!$A:$W,23,0),VLOOKUP(B2590,TRAOPE!$A:$W,23,0)),"")</f>
        <v/>
      </c>
      <c r="S2590" s="10">
        <f>IF(AND(P2590="TN",R2590="TN"),N2590+N(O2590),IF(G2590&amp;""="1",N(K2590)*N2590,(N2590+N(O2590))*N(K2590)))</f>
        <v/>
      </c>
      <c r="T2590" s="10">
        <f>IF(Q2590="","",Q2590-S2590)</f>
        <v/>
      </c>
    </row>
    <row r="2591">
      <c r="A2591" s="7">
        <f>CONCATENATE(C2591,E2591,F2591,I2591)</f>
        <v/>
      </c>
      <c r="B2591" s="7">
        <f>CONCATENATE(C2591,E2591,I2591)</f>
        <v/>
      </c>
      <c r="C2591" s="8" t="n">
        <v>900006371</v>
      </c>
      <c r="D2591" s="7">
        <f>IFERROR(VLOOKUP(C2591,TRAOPE!$G:$H,2,0),"")</f>
        <v/>
      </c>
      <c r="E2591" s="8" t="inlineStr">
        <is>
          <t>D836</t>
        </is>
      </c>
      <c r="F2591" s="8" t="inlineStr">
        <is>
          <t>65440384</t>
        </is>
      </c>
      <c r="G2591" s="8">
        <f>IFERROR(VLOOKUP(A2591,Flete!$A:$E,5,0),"")</f>
        <v/>
      </c>
      <c r="H2591" s="7">
        <f>IFERROR(VLOOKUP(F2591,TRAOPE!$AA:$AB,2,0),"")</f>
        <v/>
      </c>
      <c r="I2591" s="7" t="n">
        <v>10000627</v>
      </c>
      <c r="J2591" s="7">
        <f>IFERROR(VLOOKUP(I2591,Materiales!$A:$H,8,0),"")</f>
        <v/>
      </c>
      <c r="K2591" s="9">
        <f>IFERROR(VLOOKUP(I2591,Materiales!$A:$G,7,0),"")</f>
        <v/>
      </c>
      <c r="L2591" s="8" t="inlineStr">
        <is>
          <t>20260420</t>
        </is>
      </c>
      <c r="M2591" s="8" t="inlineStr">
        <is>
          <t>99991231</t>
        </is>
      </c>
      <c r="N2591" s="10" t="n">
        <v>98</v>
      </c>
      <c r="O2591" s="10">
        <f>IFERROR(VLOOKUP(A2591,Flete!$A:$J,10,0),"")</f>
        <v/>
      </c>
      <c r="P2591" s="8" t="inlineStr">
        <is>
          <t>M3</t>
        </is>
      </c>
      <c r="Q2591" s="10">
        <f>IFERROR(IFERROR(VLOOKUP(A2591,TRAOPE!$A:$U,21,0),VLOOKUP(B2591,TRAOPE!$A:$U,21,0)),"")</f>
        <v/>
      </c>
      <c r="R2591" s="8">
        <f>IFERROR(IFERROR(VLOOKUP(A2591,TRAOPE!$A:$W,23,0),VLOOKUP(B2591,TRAOPE!$A:$W,23,0)),"")</f>
        <v/>
      </c>
      <c r="S2591" s="10">
        <f>IF(AND(P2591="TN",R2591="TN"),N2591+N(O2591),IF(G2591&amp;""="1",N(K2591)*N2591,(N2591+N(O2591))*N(K2591)))</f>
        <v/>
      </c>
      <c r="T2591" s="10">
        <f>IF(Q2591="","",Q2591-S2591)</f>
        <v/>
      </c>
    </row>
    <row r="2592">
      <c r="A2592" s="7">
        <f>CONCATENATE(C2592,E2592,F2592,I2592)</f>
        <v/>
      </c>
      <c r="B2592" s="7">
        <f>CONCATENATE(C2592,E2592,I2592)</f>
        <v/>
      </c>
      <c r="C2592" s="8" t="n">
        <v>900006371</v>
      </c>
      <c r="D2592" s="7">
        <f>IFERROR(VLOOKUP(C2592,TRAOPE!$G:$H,2,0),"")</f>
        <v/>
      </c>
      <c r="E2592" s="8" t="inlineStr">
        <is>
          <t>D836</t>
        </is>
      </c>
      <c r="F2592" s="8" t="inlineStr">
        <is>
          <t>66779276</t>
        </is>
      </c>
      <c r="G2592" s="8">
        <f>IFERROR(VLOOKUP(A2592,Flete!$A:$E,5,0),"")</f>
        <v/>
      </c>
      <c r="H2592" s="7">
        <f>IFERROR(VLOOKUP(F2592,TRAOPE!$AA:$AB,2,0),"")</f>
        <v/>
      </c>
      <c r="I2592" s="7" t="n">
        <v>10000160</v>
      </c>
      <c r="J2592" s="7">
        <f>IFERROR(VLOOKUP(I2592,Materiales!$A:$H,8,0),"")</f>
        <v/>
      </c>
      <c r="K2592" s="9">
        <f>IFERROR(VLOOKUP(I2592,Materiales!$A:$G,7,0),"")</f>
        <v/>
      </c>
      <c r="L2592" s="8" t="inlineStr">
        <is>
          <t>20260420</t>
        </is>
      </c>
      <c r="M2592" s="8" t="inlineStr">
        <is>
          <t>99991231</t>
        </is>
      </c>
      <c r="N2592" s="10" t="n">
        <v>150</v>
      </c>
      <c r="O2592" s="10">
        <f>IFERROR(VLOOKUP(A2592,Flete!$A:$J,10,0),"")</f>
        <v/>
      </c>
      <c r="P2592" s="8" t="inlineStr">
        <is>
          <t>M3</t>
        </is>
      </c>
      <c r="Q2592" s="10">
        <f>IFERROR(IFERROR(VLOOKUP(A2592,TRAOPE!$A:$U,21,0),VLOOKUP(B2592,TRAOPE!$A:$U,21,0)),"")</f>
        <v/>
      </c>
      <c r="R2592" s="8">
        <f>IFERROR(IFERROR(VLOOKUP(A2592,TRAOPE!$A:$W,23,0),VLOOKUP(B2592,TRAOPE!$A:$W,23,0)),"")</f>
        <v/>
      </c>
      <c r="S2592" s="10">
        <f>IF(AND(P2592="TN",R2592="TN"),N2592+N(O2592),IF(G2592&amp;""="1",N(K2592)*N2592,(N2592+N(O2592))*N(K2592)))</f>
        <v/>
      </c>
      <c r="T2592" s="10">
        <f>IF(Q2592="","",Q2592-S2592)</f>
        <v/>
      </c>
    </row>
    <row r="2593">
      <c r="A2593" s="7">
        <f>CONCATENATE(C2593,E2593,F2593,I2593)</f>
        <v/>
      </c>
      <c r="B2593" s="7">
        <f>CONCATENATE(C2593,E2593,I2593)</f>
        <v/>
      </c>
      <c r="C2593" s="8" t="n">
        <v>900006371</v>
      </c>
      <c r="D2593" s="7">
        <f>IFERROR(VLOOKUP(C2593,TRAOPE!$G:$H,2,0),"")</f>
        <v/>
      </c>
      <c r="E2593" s="8" t="inlineStr">
        <is>
          <t>D836</t>
        </is>
      </c>
      <c r="F2593" s="8" t="inlineStr">
        <is>
          <t>66779276</t>
        </is>
      </c>
      <c r="G2593" s="8">
        <f>IFERROR(VLOOKUP(A2593,Flete!$A:$E,5,0),"")</f>
        <v/>
      </c>
      <c r="H2593" s="7">
        <f>IFERROR(VLOOKUP(F2593,TRAOPE!$AA:$AB,2,0),"")</f>
        <v/>
      </c>
      <c r="I2593" s="7" t="n">
        <v>10000357</v>
      </c>
      <c r="J2593" s="7">
        <f>IFERROR(VLOOKUP(I2593,Materiales!$A:$H,8,0),"")</f>
        <v/>
      </c>
      <c r="K2593" s="9">
        <f>IFERROR(VLOOKUP(I2593,Materiales!$A:$G,7,0),"")</f>
        <v/>
      </c>
      <c r="L2593" s="8" t="inlineStr">
        <is>
          <t>20260420</t>
        </is>
      </c>
      <c r="M2593" s="8" t="inlineStr">
        <is>
          <t>99991231</t>
        </is>
      </c>
      <c r="N2593" s="10" t="n">
        <v>170</v>
      </c>
      <c r="O2593" s="10">
        <f>IFERROR(VLOOKUP(A2593,Flete!$A:$J,10,0),"")</f>
        <v/>
      </c>
      <c r="P2593" s="8" t="inlineStr">
        <is>
          <t>M3</t>
        </is>
      </c>
      <c r="Q2593" s="10">
        <f>IFERROR(IFERROR(VLOOKUP(A2593,TRAOPE!$A:$U,21,0),VLOOKUP(B2593,TRAOPE!$A:$U,21,0)),"")</f>
        <v/>
      </c>
      <c r="R2593" s="8">
        <f>IFERROR(IFERROR(VLOOKUP(A2593,TRAOPE!$A:$W,23,0),VLOOKUP(B2593,TRAOPE!$A:$W,23,0)),"")</f>
        <v/>
      </c>
      <c r="S2593" s="10">
        <f>IF(AND(P2593="TN",R2593="TN"),N2593+N(O2593),IF(G2593&amp;""="1",N(K2593)*N2593,(N2593+N(O2593))*N(K2593)))</f>
        <v/>
      </c>
      <c r="T2593" s="10">
        <f>IF(Q2593="","",Q2593-S2593)</f>
        <v/>
      </c>
    </row>
    <row r="2594">
      <c r="A2594" s="7">
        <f>CONCATENATE(C2594,E2594,F2594,I2594)</f>
        <v/>
      </c>
      <c r="B2594" s="7">
        <f>CONCATENATE(C2594,E2594,I2594)</f>
        <v/>
      </c>
      <c r="C2594" s="8" t="n">
        <v>900006371</v>
      </c>
      <c r="D2594" s="7">
        <f>IFERROR(VLOOKUP(C2594,TRAOPE!$G:$H,2,0),"")</f>
        <v/>
      </c>
      <c r="E2594" s="8" t="inlineStr">
        <is>
          <t>D836</t>
        </is>
      </c>
      <c r="F2594" s="8" t="inlineStr">
        <is>
          <t>66779276</t>
        </is>
      </c>
      <c r="G2594" s="8">
        <f>IFERROR(VLOOKUP(A2594,Flete!$A:$E,5,0),"")</f>
        <v/>
      </c>
      <c r="H2594" s="7">
        <f>IFERROR(VLOOKUP(F2594,TRAOPE!$AA:$AB,2,0),"")</f>
        <v/>
      </c>
      <c r="I2594" s="7" t="n">
        <v>10000627</v>
      </c>
      <c r="J2594" s="7">
        <f>IFERROR(VLOOKUP(I2594,Materiales!$A:$H,8,0),"")</f>
        <v/>
      </c>
      <c r="K2594" s="9">
        <f>IFERROR(VLOOKUP(I2594,Materiales!$A:$G,7,0),"")</f>
        <v/>
      </c>
      <c r="L2594" s="8" t="inlineStr">
        <is>
          <t>20260420</t>
        </is>
      </c>
      <c r="M2594" s="8" t="inlineStr">
        <is>
          <t>99991231</t>
        </is>
      </c>
      <c r="N2594" s="10" t="n">
        <v>132</v>
      </c>
      <c r="O2594" s="10">
        <f>IFERROR(VLOOKUP(A2594,Flete!$A:$J,10,0),"")</f>
        <v/>
      </c>
      <c r="P2594" s="8" t="inlineStr">
        <is>
          <t>M3</t>
        </is>
      </c>
      <c r="Q2594" s="10">
        <f>IFERROR(IFERROR(VLOOKUP(A2594,TRAOPE!$A:$U,21,0),VLOOKUP(B2594,TRAOPE!$A:$U,21,0)),"")</f>
        <v/>
      </c>
      <c r="R2594" s="8">
        <f>IFERROR(IFERROR(VLOOKUP(A2594,TRAOPE!$A:$W,23,0),VLOOKUP(B2594,TRAOPE!$A:$W,23,0)),"")</f>
        <v/>
      </c>
      <c r="S2594" s="10">
        <f>IF(AND(P2594="TN",R2594="TN"),N2594+N(O2594),IF(G2594&amp;""="1",N(K2594)*N2594,(N2594+N(O2594))*N(K2594)))</f>
        <v/>
      </c>
      <c r="T2594" s="10">
        <f>IF(Q2594="","",Q2594-S2594)</f>
        <v/>
      </c>
    </row>
    <row r="2595">
      <c r="A2595" s="7">
        <f>CONCATENATE(C2595,E2595,F2595,I2595)</f>
        <v/>
      </c>
      <c r="B2595" s="7">
        <f>CONCATENATE(C2595,E2595,I2595)</f>
        <v/>
      </c>
      <c r="C2595" s="8" t="n">
        <v>900006542</v>
      </c>
      <c r="D2595" s="7">
        <f>IFERROR(VLOOKUP(C2595,TRAOPE!$G:$H,2,0),"")</f>
        <v/>
      </c>
      <c r="E2595" s="8" t="inlineStr">
        <is>
          <t>D836</t>
        </is>
      </c>
      <c r="F2595" s="8" t="inlineStr">
        <is>
          <t>67208638</t>
        </is>
      </c>
      <c r="G2595" s="8">
        <f>IFERROR(VLOOKUP(A2595,Flete!$A:$E,5,0),"")</f>
        <v/>
      </c>
      <c r="H2595" s="7">
        <f>IFERROR(VLOOKUP(F2595,TRAOPE!$AA:$AB,2,0),"")</f>
        <v/>
      </c>
      <c r="I2595" s="7" t="n">
        <v>10000623</v>
      </c>
      <c r="J2595" s="7">
        <f>IFERROR(VLOOKUP(I2595,Materiales!$A:$H,8,0),"")</f>
        <v/>
      </c>
      <c r="K2595" s="9">
        <f>IFERROR(VLOOKUP(I2595,Materiales!$A:$G,7,0),"")</f>
        <v/>
      </c>
      <c r="L2595" s="8" t="inlineStr">
        <is>
          <t>20260328</t>
        </is>
      </c>
      <c r="M2595" s="8" t="inlineStr">
        <is>
          <t>99991231</t>
        </is>
      </c>
      <c r="N2595" s="10" t="n">
        <v>413.58</v>
      </c>
      <c r="O2595" s="10">
        <f>IFERROR(VLOOKUP(A2595,Flete!$A:$J,10,0),"")</f>
        <v/>
      </c>
      <c r="P2595" s="8" t="inlineStr">
        <is>
          <t>M3</t>
        </is>
      </c>
      <c r="Q2595" s="10">
        <f>IFERROR(IFERROR(VLOOKUP(A2595,TRAOPE!$A:$U,21,0),VLOOKUP(B2595,TRAOPE!$A:$U,21,0)),"")</f>
        <v/>
      </c>
      <c r="R2595" s="8">
        <f>IFERROR(IFERROR(VLOOKUP(A2595,TRAOPE!$A:$W,23,0),VLOOKUP(B2595,TRAOPE!$A:$W,23,0)),"")</f>
        <v/>
      </c>
      <c r="S2595" s="10">
        <f>IF(AND(P2595="TN",R2595="TN"),N2595+N(O2595),IF(G2595&amp;""="1",N(K2595)*N2595,(N2595+N(O2595))*N(K2595)))</f>
        <v/>
      </c>
      <c r="T2595" s="10">
        <f>IF(Q2595="","",Q2595-S2595)</f>
        <v/>
      </c>
    </row>
    <row r="2596">
      <c r="A2596" s="7">
        <f>CONCATENATE(C2596,E2596,F2596,I2596)</f>
        <v/>
      </c>
      <c r="B2596" s="7">
        <f>CONCATENATE(C2596,E2596,I2596)</f>
        <v/>
      </c>
      <c r="C2596" s="8" t="n">
        <v>900006542</v>
      </c>
      <c r="D2596" s="7">
        <f>IFERROR(VLOOKUP(C2596,TRAOPE!$G:$H,2,0),"")</f>
        <v/>
      </c>
      <c r="E2596" s="8" t="inlineStr">
        <is>
          <t>D836</t>
        </is>
      </c>
      <c r="F2596" s="8" t="inlineStr">
        <is>
          <t>67340392</t>
        </is>
      </c>
      <c r="G2596" s="8">
        <f>IFERROR(VLOOKUP(A2596,Flete!$A:$E,5,0),"")</f>
        <v/>
      </c>
      <c r="H2596" s="7">
        <f>IFERROR(VLOOKUP(F2596,TRAOPE!$AA:$AB,2,0),"")</f>
        <v/>
      </c>
      <c r="I2596" s="7" t="n">
        <v>10000623</v>
      </c>
      <c r="J2596" s="7">
        <f>IFERROR(VLOOKUP(I2596,Materiales!$A:$H,8,0),"")</f>
        <v/>
      </c>
      <c r="K2596" s="9">
        <f>IFERROR(VLOOKUP(I2596,Materiales!$A:$G,7,0),"")</f>
        <v/>
      </c>
      <c r="L2596" s="8" t="inlineStr">
        <is>
          <t>20260320</t>
        </is>
      </c>
      <c r="M2596" s="8" t="inlineStr">
        <is>
          <t>99991231</t>
        </is>
      </c>
      <c r="N2596" s="10" t="n">
        <v>1740</v>
      </c>
      <c r="O2596" s="10">
        <f>IFERROR(VLOOKUP(A2596,Flete!$A:$J,10,0),"")</f>
        <v/>
      </c>
      <c r="P2596" s="8" t="inlineStr">
        <is>
          <t>M3</t>
        </is>
      </c>
      <c r="Q2596" s="10">
        <f>IFERROR(IFERROR(VLOOKUP(A2596,TRAOPE!$A:$U,21,0),VLOOKUP(B2596,TRAOPE!$A:$U,21,0)),"")</f>
        <v/>
      </c>
      <c r="R2596" s="8">
        <f>IFERROR(IFERROR(VLOOKUP(A2596,TRAOPE!$A:$W,23,0),VLOOKUP(B2596,TRAOPE!$A:$W,23,0)),"")</f>
        <v/>
      </c>
      <c r="S2596" s="10">
        <f>IF(AND(P2596="TN",R2596="TN"),N2596+N(O2596),IF(G2596&amp;""="1",N(K2596)*N2596,(N2596+N(O2596))*N(K2596)))</f>
        <v/>
      </c>
      <c r="T2596" s="10">
        <f>IF(Q2596="","",Q2596-S2596)</f>
        <v/>
      </c>
    </row>
    <row r="2597">
      <c r="A2597" s="7">
        <f>CONCATENATE(C2597,E2597,F2597,I2597)</f>
        <v/>
      </c>
      <c r="B2597" s="7">
        <f>CONCATENATE(C2597,E2597,I2597)</f>
        <v/>
      </c>
      <c r="C2597" s="8" t="n">
        <v>900006542</v>
      </c>
      <c r="D2597" s="7">
        <f>IFERROR(VLOOKUP(C2597,TRAOPE!$G:$H,2,0),"")</f>
        <v/>
      </c>
      <c r="E2597" s="8" t="inlineStr">
        <is>
          <t>D836</t>
        </is>
      </c>
      <c r="F2597" s="8" t="inlineStr">
        <is>
          <t>67340392</t>
        </is>
      </c>
      <c r="G2597" s="8">
        <f>IFERROR(VLOOKUP(A2597,Flete!$A:$E,5,0),"")</f>
        <v/>
      </c>
      <c r="H2597" s="7">
        <f>IFERROR(VLOOKUP(F2597,TRAOPE!$AA:$AB,2,0),"")</f>
        <v/>
      </c>
      <c r="I2597" s="7" t="n">
        <v>10058345</v>
      </c>
      <c r="J2597" s="7">
        <f>IFERROR(VLOOKUP(I2597,Materiales!$A:$H,8,0),"")</f>
        <v/>
      </c>
      <c r="K2597" s="9">
        <f>IFERROR(VLOOKUP(I2597,Materiales!$A:$G,7,0),"")</f>
        <v/>
      </c>
      <c r="L2597" s="8" t="inlineStr">
        <is>
          <t>20260320</t>
        </is>
      </c>
      <c r="M2597" s="8" t="inlineStr">
        <is>
          <t>99991231</t>
        </is>
      </c>
      <c r="N2597" s="10" t="n">
        <v>1440</v>
      </c>
      <c r="O2597" s="10">
        <f>IFERROR(VLOOKUP(A2597,Flete!$A:$J,10,0),"")</f>
        <v/>
      </c>
      <c r="P2597" s="8" t="inlineStr">
        <is>
          <t>M3</t>
        </is>
      </c>
      <c r="Q2597" s="10">
        <f>IFERROR(IFERROR(VLOOKUP(A2597,TRAOPE!$A:$U,21,0),VLOOKUP(B2597,TRAOPE!$A:$U,21,0)),"")</f>
        <v/>
      </c>
      <c r="R2597" s="8">
        <f>IFERROR(IFERROR(VLOOKUP(A2597,TRAOPE!$A:$W,23,0),VLOOKUP(B2597,TRAOPE!$A:$W,23,0)),"")</f>
        <v/>
      </c>
      <c r="S2597" s="10">
        <f>IF(AND(P2597="TN",R2597="TN"),N2597+N(O2597),IF(G2597&amp;""="1",N(K2597)*N2597,(N2597+N(O2597))*N(K2597)))</f>
        <v/>
      </c>
      <c r="T2597" s="10">
        <f>IF(Q2597="","",Q2597-S2597)</f>
        <v/>
      </c>
    </row>
    <row r="2598">
      <c r="A2598" s="7">
        <f>CONCATENATE(C2598,E2598,F2598,I2598)</f>
        <v/>
      </c>
      <c r="B2598" s="7">
        <f>CONCATENATE(C2598,E2598,I2598)</f>
        <v/>
      </c>
      <c r="C2598" s="8" t="n">
        <v>900006543</v>
      </c>
      <c r="D2598" s="7">
        <f>IFERROR(VLOOKUP(C2598,TRAOPE!$G:$H,2,0),"")</f>
        <v/>
      </c>
      <c r="E2598" s="8" t="inlineStr">
        <is>
          <t>D836</t>
        </is>
      </c>
      <c r="F2598" s="8" t="inlineStr">
        <is>
          <t>65003945</t>
        </is>
      </c>
      <c r="G2598" s="8">
        <f>IFERROR(VLOOKUP(A2598,Flete!$A:$E,5,0),"")</f>
        <v/>
      </c>
      <c r="H2598" s="7">
        <f>IFERROR(VLOOKUP(F2598,TRAOPE!$AA:$AB,2,0),"")</f>
        <v/>
      </c>
      <c r="I2598" s="7" t="n">
        <v>10185477</v>
      </c>
      <c r="J2598" s="7">
        <f>IFERROR(VLOOKUP(I2598,Materiales!$A:$H,8,0),"")</f>
        <v/>
      </c>
      <c r="K2598" s="9">
        <f>IFERROR(VLOOKUP(I2598,Materiales!$A:$G,7,0),"")</f>
        <v/>
      </c>
      <c r="L2598" s="8" t="inlineStr">
        <is>
          <t>20260304</t>
        </is>
      </c>
      <c r="M2598" s="8" t="inlineStr">
        <is>
          <t>99991231</t>
        </is>
      </c>
      <c r="N2598" s="10" t="n">
        <v>175</v>
      </c>
      <c r="O2598" s="10">
        <f>IFERROR(VLOOKUP(A2598,Flete!$A:$J,10,0),"")</f>
        <v/>
      </c>
      <c r="P2598" s="8" t="inlineStr">
        <is>
          <t>M3</t>
        </is>
      </c>
      <c r="Q2598" s="10">
        <f>IFERROR(IFERROR(VLOOKUP(A2598,TRAOPE!$A:$U,21,0),VLOOKUP(B2598,TRAOPE!$A:$U,21,0)),"")</f>
        <v/>
      </c>
      <c r="R2598" s="8">
        <f>IFERROR(IFERROR(VLOOKUP(A2598,TRAOPE!$A:$W,23,0),VLOOKUP(B2598,TRAOPE!$A:$W,23,0)),"")</f>
        <v/>
      </c>
      <c r="S2598" s="10">
        <f>IF(AND(P2598="TN",R2598="TN"),N2598+N(O2598),IF(G2598&amp;""="1",N(K2598)*N2598,(N2598+N(O2598))*N(K2598)))</f>
        <v/>
      </c>
      <c r="T2598" s="10">
        <f>IF(Q2598="","",Q2598-S2598)</f>
        <v/>
      </c>
    </row>
    <row r="2599">
      <c r="A2599" s="7">
        <f>CONCATENATE(C2599,E2599,F2599,I2599)</f>
        <v/>
      </c>
      <c r="B2599" s="7">
        <f>CONCATENATE(C2599,E2599,I2599)</f>
        <v/>
      </c>
      <c r="C2599" s="8" t="n">
        <v>900006543</v>
      </c>
      <c r="D2599" s="7">
        <f>IFERROR(VLOOKUP(C2599,TRAOPE!$G:$H,2,0),"")</f>
        <v/>
      </c>
      <c r="E2599" s="8" t="inlineStr">
        <is>
          <t>D836</t>
        </is>
      </c>
      <c r="F2599" s="8" t="inlineStr">
        <is>
          <t>65006122</t>
        </is>
      </c>
      <c r="G2599" s="8">
        <f>IFERROR(VLOOKUP(A2599,Flete!$A:$E,5,0),"")</f>
        <v/>
      </c>
      <c r="H2599" s="7">
        <f>IFERROR(VLOOKUP(F2599,TRAOPE!$AA:$AB,2,0),"")</f>
        <v/>
      </c>
      <c r="I2599" s="7" t="n">
        <v>10000627</v>
      </c>
      <c r="J2599" s="7">
        <f>IFERROR(VLOOKUP(I2599,Materiales!$A:$H,8,0),"")</f>
        <v/>
      </c>
      <c r="K2599" s="9">
        <f>IFERROR(VLOOKUP(I2599,Materiales!$A:$G,7,0),"")</f>
        <v/>
      </c>
      <c r="L2599" s="8" t="inlineStr">
        <is>
          <t>20251029</t>
        </is>
      </c>
      <c r="M2599" s="8" t="inlineStr">
        <is>
          <t>99991231</t>
        </is>
      </c>
      <c r="N2599" s="10" t="n">
        <v>135</v>
      </c>
      <c r="O2599" s="10">
        <f>IFERROR(VLOOKUP(A2599,Flete!$A:$J,10,0),"")</f>
        <v/>
      </c>
      <c r="P2599" s="8" t="inlineStr">
        <is>
          <t>M3</t>
        </is>
      </c>
      <c r="Q2599" s="10">
        <f>IFERROR(IFERROR(VLOOKUP(A2599,TRAOPE!$A:$U,21,0),VLOOKUP(B2599,TRAOPE!$A:$U,21,0)),"")</f>
        <v/>
      </c>
      <c r="R2599" s="8">
        <f>IFERROR(IFERROR(VLOOKUP(A2599,TRAOPE!$A:$W,23,0),VLOOKUP(B2599,TRAOPE!$A:$W,23,0)),"")</f>
        <v/>
      </c>
      <c r="S2599" s="10">
        <f>IF(AND(P2599="TN",R2599="TN"),N2599+N(O2599),IF(G2599&amp;""="1",N(K2599)*N2599,(N2599+N(O2599))*N(K2599)))</f>
        <v/>
      </c>
      <c r="T2599" s="10">
        <f>IF(Q2599="","",Q2599-S2599)</f>
        <v/>
      </c>
    </row>
    <row r="2600">
      <c r="A2600" s="7">
        <f>CONCATENATE(C2600,E2600,F2600,I2600)</f>
        <v/>
      </c>
      <c r="B2600" s="7">
        <f>CONCATENATE(C2600,E2600,I2600)</f>
        <v/>
      </c>
      <c r="C2600" s="8" t="n">
        <v>900006543</v>
      </c>
      <c r="D2600" s="7">
        <f>IFERROR(VLOOKUP(C2600,TRAOPE!$G:$H,2,0),"")</f>
        <v/>
      </c>
      <c r="E2600" s="8" t="inlineStr">
        <is>
          <t>D836</t>
        </is>
      </c>
      <c r="F2600" s="8" t="inlineStr">
        <is>
          <t>65006122</t>
        </is>
      </c>
      <c r="G2600" s="8">
        <f>IFERROR(VLOOKUP(A2600,Flete!$A:$E,5,0),"")</f>
        <v/>
      </c>
      <c r="H2600" s="7">
        <f>IFERROR(VLOOKUP(F2600,TRAOPE!$AA:$AB,2,0),"")</f>
        <v/>
      </c>
      <c r="I2600" s="7" t="n">
        <v>10146897</v>
      </c>
      <c r="J2600" s="7">
        <f>IFERROR(VLOOKUP(I2600,Materiales!$A:$H,8,0),"")</f>
        <v/>
      </c>
      <c r="K2600" s="9">
        <f>IFERROR(VLOOKUP(I2600,Materiales!$A:$G,7,0),"")</f>
        <v/>
      </c>
      <c r="L2600" s="8" t="inlineStr">
        <is>
          <t>20240619</t>
        </is>
      </c>
      <c r="M2600" s="8" t="inlineStr">
        <is>
          <t>99991231</t>
        </is>
      </c>
      <c r="N2600" s="10" t="n">
        <v>160</v>
      </c>
      <c r="O2600" s="10">
        <f>IFERROR(VLOOKUP(A2600,Flete!$A:$J,10,0),"")</f>
        <v/>
      </c>
      <c r="P2600" s="8" t="inlineStr">
        <is>
          <t>M3</t>
        </is>
      </c>
      <c r="Q2600" s="10">
        <f>IFERROR(IFERROR(VLOOKUP(A2600,TRAOPE!$A:$U,21,0),VLOOKUP(B2600,TRAOPE!$A:$U,21,0)),"")</f>
        <v/>
      </c>
      <c r="R2600" s="8">
        <f>IFERROR(IFERROR(VLOOKUP(A2600,TRAOPE!$A:$W,23,0),VLOOKUP(B2600,TRAOPE!$A:$W,23,0)),"")</f>
        <v/>
      </c>
      <c r="S2600" s="10">
        <f>IF(AND(P2600="TN",R2600="TN"),N2600+N(O2600),IF(G2600&amp;""="1",N(K2600)*N2600,(N2600+N(O2600))*N(K2600)))</f>
        <v/>
      </c>
      <c r="T2600" s="10">
        <f>IF(Q2600="","",Q2600-S2600)</f>
        <v/>
      </c>
    </row>
    <row r="2601">
      <c r="A2601" s="7">
        <f>CONCATENATE(C2601,E2601,F2601,I2601)</f>
        <v/>
      </c>
      <c r="B2601" s="7">
        <f>CONCATENATE(C2601,E2601,I2601)</f>
        <v/>
      </c>
      <c r="C2601" s="8" t="n">
        <v>900006543</v>
      </c>
      <c r="D2601" s="7">
        <f>IFERROR(VLOOKUP(C2601,TRAOPE!$G:$H,2,0),"")</f>
        <v/>
      </c>
      <c r="E2601" s="8" t="inlineStr">
        <is>
          <t>D836</t>
        </is>
      </c>
      <c r="F2601" s="8" t="inlineStr">
        <is>
          <t>65006122</t>
        </is>
      </c>
      <c r="G2601" s="8">
        <f>IFERROR(VLOOKUP(A2601,Flete!$A:$E,5,0),"")</f>
        <v/>
      </c>
      <c r="H2601" s="7">
        <f>IFERROR(VLOOKUP(F2601,TRAOPE!$AA:$AB,2,0),"")</f>
        <v/>
      </c>
      <c r="I2601" s="7" t="n">
        <v>10185476</v>
      </c>
      <c r="J2601" s="7">
        <f>IFERROR(VLOOKUP(I2601,Materiales!$A:$H,8,0),"")</f>
        <v/>
      </c>
      <c r="K2601" s="9">
        <f>IFERROR(VLOOKUP(I2601,Materiales!$A:$G,7,0),"")</f>
        <v/>
      </c>
      <c r="L2601" s="8" t="inlineStr">
        <is>
          <t>20260304</t>
        </is>
      </c>
      <c r="M2601" s="8" t="inlineStr">
        <is>
          <t>99991231</t>
        </is>
      </c>
      <c r="N2601" s="10" t="n">
        <v>170</v>
      </c>
      <c r="O2601" s="10">
        <f>IFERROR(VLOOKUP(A2601,Flete!$A:$J,10,0),"")</f>
        <v/>
      </c>
      <c r="P2601" s="8" t="inlineStr">
        <is>
          <t>M3</t>
        </is>
      </c>
      <c r="Q2601" s="10">
        <f>IFERROR(IFERROR(VLOOKUP(A2601,TRAOPE!$A:$U,21,0),VLOOKUP(B2601,TRAOPE!$A:$U,21,0)),"")</f>
        <v/>
      </c>
      <c r="R2601" s="8">
        <f>IFERROR(IFERROR(VLOOKUP(A2601,TRAOPE!$A:$W,23,0),VLOOKUP(B2601,TRAOPE!$A:$W,23,0)),"")</f>
        <v/>
      </c>
      <c r="S2601" s="10">
        <f>IF(AND(P2601="TN",R2601="TN"),N2601+N(O2601),IF(G2601&amp;""="1",N(K2601)*N2601,(N2601+N(O2601))*N(K2601)))</f>
        <v/>
      </c>
      <c r="T2601" s="10">
        <f>IF(Q2601="","",Q2601-S2601)</f>
        <v/>
      </c>
    </row>
    <row r="2602">
      <c r="A2602" s="7">
        <f>CONCATENATE(C2602,E2602,F2602,I2602)</f>
        <v/>
      </c>
      <c r="B2602" s="7">
        <f>CONCATENATE(C2602,E2602,I2602)</f>
        <v/>
      </c>
      <c r="C2602" s="8" t="n">
        <v>900006543</v>
      </c>
      <c r="D2602" s="7">
        <f>IFERROR(VLOOKUP(C2602,TRAOPE!$G:$H,2,0),"")</f>
        <v/>
      </c>
      <c r="E2602" s="8" t="inlineStr">
        <is>
          <t>D836</t>
        </is>
      </c>
      <c r="F2602" s="8" t="inlineStr">
        <is>
          <t>65006122</t>
        </is>
      </c>
      <c r="G2602" s="8">
        <f>IFERROR(VLOOKUP(A2602,Flete!$A:$E,5,0),"")</f>
        <v/>
      </c>
      <c r="H2602" s="7">
        <f>IFERROR(VLOOKUP(F2602,TRAOPE!$AA:$AB,2,0),"")</f>
        <v/>
      </c>
      <c r="I2602" s="7" t="n">
        <v>10185477</v>
      </c>
      <c r="J2602" s="7">
        <f>IFERROR(VLOOKUP(I2602,Materiales!$A:$H,8,0),"")</f>
        <v/>
      </c>
      <c r="K2602" s="9">
        <f>IFERROR(VLOOKUP(I2602,Materiales!$A:$G,7,0),"")</f>
        <v/>
      </c>
      <c r="L2602" s="8" t="inlineStr">
        <is>
          <t>20260304</t>
        </is>
      </c>
      <c r="M2602" s="8" t="inlineStr">
        <is>
          <t>99991231</t>
        </is>
      </c>
      <c r="N2602" s="10" t="n">
        <v>185</v>
      </c>
      <c r="O2602" s="10">
        <f>IFERROR(VLOOKUP(A2602,Flete!$A:$J,10,0),"")</f>
        <v/>
      </c>
      <c r="P2602" s="8" t="inlineStr">
        <is>
          <t>M3</t>
        </is>
      </c>
      <c r="Q2602" s="10">
        <f>IFERROR(IFERROR(VLOOKUP(A2602,TRAOPE!$A:$U,21,0),VLOOKUP(B2602,TRAOPE!$A:$U,21,0)),"")</f>
        <v/>
      </c>
      <c r="R2602" s="8">
        <f>IFERROR(IFERROR(VLOOKUP(A2602,TRAOPE!$A:$W,23,0),VLOOKUP(B2602,TRAOPE!$A:$W,23,0)),"")</f>
        <v/>
      </c>
      <c r="S2602" s="10">
        <f>IF(AND(P2602="TN",R2602="TN"),N2602+N(O2602),IF(G2602&amp;""="1",N(K2602)*N2602,(N2602+N(O2602))*N(K2602)))</f>
        <v/>
      </c>
      <c r="T2602" s="10">
        <f>IF(Q2602="","",Q2602-S2602)</f>
        <v/>
      </c>
    </row>
    <row r="2603">
      <c r="A2603" s="7">
        <f>CONCATENATE(C2603,E2603,F2603,I2603)</f>
        <v/>
      </c>
      <c r="B2603" s="7">
        <f>CONCATENATE(C2603,E2603,I2603)</f>
        <v/>
      </c>
      <c r="C2603" s="8" t="n">
        <v>900006543</v>
      </c>
      <c r="D2603" s="7">
        <f>IFERROR(VLOOKUP(C2603,TRAOPE!$G:$H,2,0),"")</f>
        <v/>
      </c>
      <c r="E2603" s="8" t="inlineStr">
        <is>
          <t>D836</t>
        </is>
      </c>
      <c r="F2603" s="8" t="inlineStr">
        <is>
          <t>65087219</t>
        </is>
      </c>
      <c r="G2603" s="8">
        <f>IFERROR(VLOOKUP(A2603,Flete!$A:$E,5,0),"")</f>
        <v/>
      </c>
      <c r="H2603" s="7">
        <f>IFERROR(VLOOKUP(F2603,TRAOPE!$AA:$AB,2,0),"")</f>
        <v/>
      </c>
      <c r="I2603" s="7" t="n">
        <v>10185476</v>
      </c>
      <c r="J2603" s="7">
        <f>IFERROR(VLOOKUP(I2603,Materiales!$A:$H,8,0),"")</f>
        <v/>
      </c>
      <c r="K2603" s="9">
        <f>IFERROR(VLOOKUP(I2603,Materiales!$A:$G,7,0),"")</f>
        <v/>
      </c>
      <c r="L2603" s="8" t="inlineStr">
        <is>
          <t>20260304</t>
        </is>
      </c>
      <c r="M2603" s="8" t="inlineStr">
        <is>
          <t>99991231</t>
        </is>
      </c>
      <c r="N2603" s="10" t="n">
        <v>170</v>
      </c>
      <c r="O2603" s="10">
        <f>IFERROR(VLOOKUP(A2603,Flete!$A:$J,10,0),"")</f>
        <v/>
      </c>
      <c r="P2603" s="8" t="inlineStr">
        <is>
          <t>M3</t>
        </is>
      </c>
      <c r="Q2603" s="10">
        <f>IFERROR(IFERROR(VLOOKUP(A2603,TRAOPE!$A:$U,21,0),VLOOKUP(B2603,TRAOPE!$A:$U,21,0)),"")</f>
        <v/>
      </c>
      <c r="R2603" s="8">
        <f>IFERROR(IFERROR(VLOOKUP(A2603,TRAOPE!$A:$W,23,0),VLOOKUP(B2603,TRAOPE!$A:$W,23,0)),"")</f>
        <v/>
      </c>
      <c r="S2603" s="10">
        <f>IF(AND(P2603="TN",R2603="TN"),N2603+N(O2603),IF(G2603&amp;""="1",N(K2603)*N2603,(N2603+N(O2603))*N(K2603)))</f>
        <v/>
      </c>
      <c r="T2603" s="10">
        <f>IF(Q2603="","",Q2603-S2603)</f>
        <v/>
      </c>
    </row>
    <row r="2604">
      <c r="A2604" s="7">
        <f>CONCATENATE(C2604,E2604,F2604,I2604)</f>
        <v/>
      </c>
      <c r="B2604" s="7">
        <f>CONCATENATE(C2604,E2604,I2604)</f>
        <v/>
      </c>
      <c r="C2604" s="8" t="n">
        <v>900006543</v>
      </c>
      <c r="D2604" s="7">
        <f>IFERROR(VLOOKUP(C2604,TRAOPE!$G:$H,2,0),"")</f>
        <v/>
      </c>
      <c r="E2604" s="8" t="inlineStr">
        <is>
          <t>D836</t>
        </is>
      </c>
      <c r="F2604" s="8" t="inlineStr">
        <is>
          <t>65087219</t>
        </is>
      </c>
      <c r="G2604" s="8">
        <f>IFERROR(VLOOKUP(A2604,Flete!$A:$E,5,0),"")</f>
        <v/>
      </c>
      <c r="H2604" s="7">
        <f>IFERROR(VLOOKUP(F2604,TRAOPE!$AA:$AB,2,0),"")</f>
        <v/>
      </c>
      <c r="I2604" s="7" t="n">
        <v>10185477</v>
      </c>
      <c r="J2604" s="7">
        <f>IFERROR(VLOOKUP(I2604,Materiales!$A:$H,8,0),"")</f>
        <v/>
      </c>
      <c r="K2604" s="9">
        <f>IFERROR(VLOOKUP(I2604,Materiales!$A:$G,7,0),"")</f>
        <v/>
      </c>
      <c r="L2604" s="8" t="inlineStr">
        <is>
          <t>20260325</t>
        </is>
      </c>
      <c r="M2604" s="8" t="inlineStr">
        <is>
          <t>99991231</t>
        </is>
      </c>
      <c r="N2604" s="10" t="n">
        <v>180</v>
      </c>
      <c r="O2604" s="10">
        <f>IFERROR(VLOOKUP(A2604,Flete!$A:$J,10,0),"")</f>
        <v/>
      </c>
      <c r="P2604" s="8" t="inlineStr">
        <is>
          <t>M3</t>
        </is>
      </c>
      <c r="Q2604" s="10">
        <f>IFERROR(IFERROR(VLOOKUP(A2604,TRAOPE!$A:$U,21,0),VLOOKUP(B2604,TRAOPE!$A:$U,21,0)),"")</f>
        <v/>
      </c>
      <c r="R2604" s="8">
        <f>IFERROR(IFERROR(VLOOKUP(A2604,TRAOPE!$A:$W,23,0),VLOOKUP(B2604,TRAOPE!$A:$W,23,0)),"")</f>
        <v/>
      </c>
      <c r="S2604" s="10">
        <f>IF(AND(P2604="TN",R2604="TN"),N2604+N(O2604),IF(G2604&amp;""="1",N(K2604)*N2604,(N2604+N(O2604))*N(K2604)))</f>
        <v/>
      </c>
      <c r="T2604" s="10">
        <f>IF(Q2604="","",Q2604-S2604)</f>
        <v/>
      </c>
    </row>
    <row r="2605">
      <c r="A2605" s="7">
        <f>CONCATENATE(C2605,E2605,F2605,I2605)</f>
        <v/>
      </c>
      <c r="B2605" s="7">
        <f>CONCATENATE(C2605,E2605,I2605)</f>
        <v/>
      </c>
      <c r="C2605" s="8" t="n">
        <v>900006543</v>
      </c>
      <c r="D2605" s="7">
        <f>IFERROR(VLOOKUP(C2605,TRAOPE!$G:$H,2,0),"")</f>
        <v/>
      </c>
      <c r="E2605" s="8" t="inlineStr">
        <is>
          <t>D836</t>
        </is>
      </c>
      <c r="F2605" s="8" t="inlineStr">
        <is>
          <t>65232687</t>
        </is>
      </c>
      <c r="G2605" s="8">
        <f>IFERROR(VLOOKUP(A2605,Flete!$A:$E,5,0),"")</f>
        <v/>
      </c>
      <c r="H2605" s="7">
        <f>IFERROR(VLOOKUP(F2605,TRAOPE!$AA:$AB,2,0),"")</f>
        <v/>
      </c>
      <c r="I2605" s="7" t="n">
        <v>10185476</v>
      </c>
      <c r="J2605" s="7">
        <f>IFERROR(VLOOKUP(I2605,Materiales!$A:$H,8,0),"")</f>
        <v/>
      </c>
      <c r="K2605" s="9">
        <f>IFERROR(VLOOKUP(I2605,Materiales!$A:$G,7,0),"")</f>
        <v/>
      </c>
      <c r="L2605" s="8" t="inlineStr">
        <is>
          <t>20260304</t>
        </is>
      </c>
      <c r="M2605" s="8" t="inlineStr">
        <is>
          <t>99991231</t>
        </is>
      </c>
      <c r="N2605" s="10" t="n">
        <v>170</v>
      </c>
      <c r="O2605" s="10">
        <f>IFERROR(VLOOKUP(A2605,Flete!$A:$J,10,0),"")</f>
        <v/>
      </c>
      <c r="P2605" s="8" t="inlineStr">
        <is>
          <t>M3</t>
        </is>
      </c>
      <c r="Q2605" s="10">
        <f>IFERROR(IFERROR(VLOOKUP(A2605,TRAOPE!$A:$U,21,0),VLOOKUP(B2605,TRAOPE!$A:$U,21,0)),"")</f>
        <v/>
      </c>
      <c r="R2605" s="8">
        <f>IFERROR(IFERROR(VLOOKUP(A2605,TRAOPE!$A:$W,23,0),VLOOKUP(B2605,TRAOPE!$A:$W,23,0)),"")</f>
        <v/>
      </c>
      <c r="S2605" s="10">
        <f>IF(AND(P2605="TN",R2605="TN"),N2605+N(O2605),IF(G2605&amp;""="1",N(K2605)*N2605,(N2605+N(O2605))*N(K2605)))</f>
        <v/>
      </c>
      <c r="T2605" s="10">
        <f>IF(Q2605="","",Q2605-S2605)</f>
        <v/>
      </c>
    </row>
    <row r="2606">
      <c r="A2606" s="7">
        <f>CONCATENATE(C2606,E2606,F2606,I2606)</f>
        <v/>
      </c>
      <c r="B2606" s="7">
        <f>CONCATENATE(C2606,E2606,I2606)</f>
        <v/>
      </c>
      <c r="C2606" s="8" t="n">
        <v>900006543</v>
      </c>
      <c r="D2606" s="7">
        <f>IFERROR(VLOOKUP(C2606,TRAOPE!$G:$H,2,0),"")</f>
        <v/>
      </c>
      <c r="E2606" s="8" t="inlineStr">
        <is>
          <t>D836</t>
        </is>
      </c>
      <c r="F2606" s="8" t="inlineStr">
        <is>
          <t>65232687</t>
        </is>
      </c>
      <c r="G2606" s="8">
        <f>IFERROR(VLOOKUP(A2606,Flete!$A:$E,5,0),"")</f>
        <v/>
      </c>
      <c r="H2606" s="7">
        <f>IFERROR(VLOOKUP(F2606,TRAOPE!$AA:$AB,2,0),"")</f>
        <v/>
      </c>
      <c r="I2606" s="7" t="n">
        <v>10185477</v>
      </c>
      <c r="J2606" s="7">
        <f>IFERROR(VLOOKUP(I2606,Materiales!$A:$H,8,0),"")</f>
        <v/>
      </c>
      <c r="K2606" s="9">
        <f>IFERROR(VLOOKUP(I2606,Materiales!$A:$G,7,0),"")</f>
        <v/>
      </c>
      <c r="L2606" s="8" t="inlineStr">
        <is>
          <t>20260304</t>
        </is>
      </c>
      <c r="M2606" s="8" t="inlineStr">
        <is>
          <t>99991231</t>
        </is>
      </c>
      <c r="N2606" s="10" t="n">
        <v>180</v>
      </c>
      <c r="O2606" s="10">
        <f>IFERROR(VLOOKUP(A2606,Flete!$A:$J,10,0),"")</f>
        <v/>
      </c>
      <c r="P2606" s="8" t="inlineStr">
        <is>
          <t>M3</t>
        </is>
      </c>
      <c r="Q2606" s="10">
        <f>IFERROR(IFERROR(VLOOKUP(A2606,TRAOPE!$A:$U,21,0),VLOOKUP(B2606,TRAOPE!$A:$U,21,0)),"")</f>
        <v/>
      </c>
      <c r="R2606" s="8">
        <f>IFERROR(IFERROR(VLOOKUP(A2606,TRAOPE!$A:$W,23,0),VLOOKUP(B2606,TRAOPE!$A:$W,23,0)),"")</f>
        <v/>
      </c>
      <c r="S2606" s="10">
        <f>IF(AND(P2606="TN",R2606="TN"),N2606+N(O2606),IF(G2606&amp;""="1",N(K2606)*N2606,(N2606+N(O2606))*N(K2606)))</f>
        <v/>
      </c>
      <c r="T2606" s="10">
        <f>IF(Q2606="","",Q2606-S2606)</f>
        <v/>
      </c>
    </row>
    <row r="2607">
      <c r="A2607" s="7">
        <f>CONCATENATE(C2607,E2607,F2607,I2607)</f>
        <v/>
      </c>
      <c r="B2607" s="7">
        <f>CONCATENATE(C2607,E2607,I2607)</f>
        <v/>
      </c>
      <c r="C2607" s="8" t="n">
        <v>900006543</v>
      </c>
      <c r="D2607" s="7">
        <f>IFERROR(VLOOKUP(C2607,TRAOPE!$G:$H,2,0),"")</f>
        <v/>
      </c>
      <c r="E2607" s="8" t="inlineStr">
        <is>
          <t>D836</t>
        </is>
      </c>
      <c r="F2607" s="8" t="inlineStr">
        <is>
          <t>65440384</t>
        </is>
      </c>
      <c r="G2607" s="8">
        <f>IFERROR(VLOOKUP(A2607,Flete!$A:$E,5,0),"")</f>
        <v/>
      </c>
      <c r="H2607" s="7">
        <f>IFERROR(VLOOKUP(F2607,TRAOPE!$AA:$AB,2,0),"")</f>
        <v/>
      </c>
      <c r="I2607" s="7" t="n">
        <v>10146897</v>
      </c>
      <c r="J2607" s="7">
        <f>IFERROR(VLOOKUP(I2607,Materiales!$A:$H,8,0),"")</f>
        <v/>
      </c>
      <c r="K2607" s="9">
        <f>IFERROR(VLOOKUP(I2607,Materiales!$A:$G,7,0),"")</f>
        <v/>
      </c>
      <c r="L2607" s="8" t="inlineStr">
        <is>
          <t>20260608</t>
        </is>
      </c>
      <c r="M2607" s="8" t="inlineStr">
        <is>
          <t>99991231</t>
        </is>
      </c>
      <c r="N2607" s="10" t="n">
        <v>168</v>
      </c>
      <c r="O2607" s="10">
        <f>IFERROR(VLOOKUP(A2607,Flete!$A:$J,10,0),"")</f>
        <v/>
      </c>
      <c r="P2607" s="8" t="inlineStr">
        <is>
          <t>M3</t>
        </is>
      </c>
      <c r="Q2607" s="10">
        <f>IFERROR(IFERROR(VLOOKUP(A2607,TRAOPE!$A:$U,21,0),VLOOKUP(B2607,TRAOPE!$A:$U,21,0)),"")</f>
        <v/>
      </c>
      <c r="R2607" s="8">
        <f>IFERROR(IFERROR(VLOOKUP(A2607,TRAOPE!$A:$W,23,0),VLOOKUP(B2607,TRAOPE!$A:$W,23,0)),"")</f>
        <v/>
      </c>
      <c r="S2607" s="10">
        <f>IF(AND(P2607="TN",R2607="TN"),N2607+N(O2607),IF(G2607&amp;""="1",N(K2607)*N2607,(N2607+N(O2607))*N(K2607)))</f>
        <v/>
      </c>
      <c r="T2607" s="10">
        <f>IF(Q2607="","",Q2607-S2607)</f>
        <v/>
      </c>
    </row>
    <row r="2608">
      <c r="A2608" s="7">
        <f>CONCATENATE(C2608,E2608,F2608,I2608)</f>
        <v/>
      </c>
      <c r="B2608" s="7">
        <f>CONCATENATE(C2608,E2608,I2608)</f>
        <v/>
      </c>
      <c r="C2608" s="8" t="n">
        <v>900006543</v>
      </c>
      <c r="D2608" s="7">
        <f>IFERROR(VLOOKUP(C2608,TRAOPE!$G:$H,2,0),"")</f>
        <v/>
      </c>
      <c r="E2608" s="8" t="inlineStr">
        <is>
          <t>D836</t>
        </is>
      </c>
      <c r="F2608" s="8" t="inlineStr">
        <is>
          <t>65440384</t>
        </is>
      </c>
      <c r="G2608" s="8">
        <f>IFERROR(VLOOKUP(A2608,Flete!$A:$E,5,0),"")</f>
        <v/>
      </c>
      <c r="H2608" s="7">
        <f>IFERROR(VLOOKUP(F2608,TRAOPE!$AA:$AB,2,0),"")</f>
        <v/>
      </c>
      <c r="I2608" s="7" t="n">
        <v>10185476</v>
      </c>
      <c r="J2608" s="7">
        <f>IFERROR(VLOOKUP(I2608,Materiales!$A:$H,8,0),"")</f>
        <v/>
      </c>
      <c r="K2608" s="9">
        <f>IFERROR(VLOOKUP(I2608,Materiales!$A:$G,7,0),"")</f>
        <v/>
      </c>
      <c r="L2608" s="8" t="inlineStr">
        <is>
          <t>20260331</t>
        </is>
      </c>
      <c r="M2608" s="8" t="inlineStr">
        <is>
          <t>99991231</t>
        </is>
      </c>
      <c r="N2608" s="10" t="n">
        <v>168</v>
      </c>
      <c r="O2608" s="10">
        <f>IFERROR(VLOOKUP(A2608,Flete!$A:$J,10,0),"")</f>
        <v/>
      </c>
      <c r="P2608" s="8" t="inlineStr">
        <is>
          <t>M3</t>
        </is>
      </c>
      <c r="Q2608" s="10">
        <f>IFERROR(IFERROR(VLOOKUP(A2608,TRAOPE!$A:$U,21,0),VLOOKUP(B2608,TRAOPE!$A:$U,21,0)),"")</f>
        <v/>
      </c>
      <c r="R2608" s="8">
        <f>IFERROR(IFERROR(VLOOKUP(A2608,TRAOPE!$A:$W,23,0),VLOOKUP(B2608,TRAOPE!$A:$W,23,0)),"")</f>
        <v/>
      </c>
      <c r="S2608" s="10">
        <f>IF(AND(P2608="TN",R2608="TN"),N2608+N(O2608),IF(G2608&amp;""="1",N(K2608)*N2608,(N2608+N(O2608))*N(K2608)))</f>
        <v/>
      </c>
      <c r="T2608" s="10">
        <f>IF(Q2608="","",Q2608-S2608)</f>
        <v/>
      </c>
    </row>
    <row r="2609">
      <c r="A2609" s="7">
        <f>CONCATENATE(C2609,E2609,F2609,I2609)</f>
        <v/>
      </c>
      <c r="B2609" s="7">
        <f>CONCATENATE(C2609,E2609,I2609)</f>
        <v/>
      </c>
      <c r="C2609" s="8" t="n">
        <v>900006543</v>
      </c>
      <c r="D2609" s="7">
        <f>IFERROR(VLOOKUP(C2609,TRAOPE!$G:$H,2,0),"")</f>
        <v/>
      </c>
      <c r="E2609" s="8" t="inlineStr">
        <is>
          <t>D836</t>
        </is>
      </c>
      <c r="F2609" s="8" t="inlineStr">
        <is>
          <t>65440384</t>
        </is>
      </c>
      <c r="G2609" s="8">
        <f>IFERROR(VLOOKUP(A2609,Flete!$A:$E,5,0),"")</f>
        <v/>
      </c>
      <c r="H2609" s="7">
        <f>IFERROR(VLOOKUP(F2609,TRAOPE!$AA:$AB,2,0),"")</f>
        <v/>
      </c>
      <c r="I2609" s="7" t="n">
        <v>10185477</v>
      </c>
      <c r="J2609" s="7">
        <f>IFERROR(VLOOKUP(I2609,Materiales!$A:$H,8,0),"")</f>
        <v/>
      </c>
      <c r="K2609" s="9">
        <f>IFERROR(VLOOKUP(I2609,Materiales!$A:$G,7,0),"")</f>
        <v/>
      </c>
      <c r="L2609" s="8" t="inlineStr">
        <is>
          <t>20260325</t>
        </is>
      </c>
      <c r="M2609" s="8" t="inlineStr">
        <is>
          <t>99991231</t>
        </is>
      </c>
      <c r="N2609" s="10" t="n">
        <v>180</v>
      </c>
      <c r="O2609" s="10">
        <f>IFERROR(VLOOKUP(A2609,Flete!$A:$J,10,0),"")</f>
        <v/>
      </c>
      <c r="P2609" s="8" t="inlineStr">
        <is>
          <t>M3</t>
        </is>
      </c>
      <c r="Q2609" s="10">
        <f>IFERROR(IFERROR(VLOOKUP(A2609,TRAOPE!$A:$U,21,0),VLOOKUP(B2609,TRAOPE!$A:$U,21,0)),"")</f>
        <v/>
      </c>
      <c r="R2609" s="8">
        <f>IFERROR(IFERROR(VLOOKUP(A2609,TRAOPE!$A:$W,23,0),VLOOKUP(B2609,TRAOPE!$A:$W,23,0)),"")</f>
        <v/>
      </c>
      <c r="S2609" s="10">
        <f>IF(AND(P2609="TN",R2609="TN"),N2609+N(O2609),IF(G2609&amp;""="1",N(K2609)*N2609,(N2609+N(O2609))*N(K2609)))</f>
        <v/>
      </c>
      <c r="T2609" s="10">
        <f>IF(Q2609="","",Q2609-S2609)</f>
        <v/>
      </c>
    </row>
    <row r="2610">
      <c r="A2610" s="7">
        <f>CONCATENATE(C2610,E2610,F2610,I2610)</f>
        <v/>
      </c>
      <c r="B2610" s="7">
        <f>CONCATENATE(C2610,E2610,I2610)</f>
        <v/>
      </c>
      <c r="C2610" s="8" t="n">
        <v>900006543</v>
      </c>
      <c r="D2610" s="7">
        <f>IFERROR(VLOOKUP(C2610,TRAOPE!$G:$H,2,0),"")</f>
        <v/>
      </c>
      <c r="E2610" s="8" t="inlineStr">
        <is>
          <t>D836</t>
        </is>
      </c>
      <c r="F2610" s="8" t="inlineStr">
        <is>
          <t>65911289</t>
        </is>
      </c>
      <c r="G2610" s="8">
        <f>IFERROR(VLOOKUP(A2610,Flete!$A:$E,5,0),"")</f>
        <v/>
      </c>
      <c r="H2610" s="7">
        <f>IFERROR(VLOOKUP(F2610,TRAOPE!$AA:$AB,2,0),"")</f>
        <v/>
      </c>
      <c r="I2610" s="7" t="n">
        <v>10185476</v>
      </c>
      <c r="J2610" s="7">
        <f>IFERROR(VLOOKUP(I2610,Materiales!$A:$H,8,0),"")</f>
        <v/>
      </c>
      <c r="K2610" s="9">
        <f>IFERROR(VLOOKUP(I2610,Materiales!$A:$G,7,0),"")</f>
        <v/>
      </c>
      <c r="L2610" s="8" t="inlineStr">
        <is>
          <t>20260304</t>
        </is>
      </c>
      <c r="M2610" s="8" t="inlineStr">
        <is>
          <t>99991231</t>
        </is>
      </c>
      <c r="N2610" s="10" t="n">
        <v>170</v>
      </c>
      <c r="O2610" s="10">
        <f>IFERROR(VLOOKUP(A2610,Flete!$A:$J,10,0),"")</f>
        <v/>
      </c>
      <c r="P2610" s="8" t="inlineStr">
        <is>
          <t>M3</t>
        </is>
      </c>
      <c r="Q2610" s="10">
        <f>IFERROR(IFERROR(VLOOKUP(A2610,TRAOPE!$A:$U,21,0),VLOOKUP(B2610,TRAOPE!$A:$U,21,0)),"")</f>
        <v/>
      </c>
      <c r="R2610" s="8">
        <f>IFERROR(IFERROR(VLOOKUP(A2610,TRAOPE!$A:$W,23,0),VLOOKUP(B2610,TRAOPE!$A:$W,23,0)),"")</f>
        <v/>
      </c>
      <c r="S2610" s="10">
        <f>IF(AND(P2610="TN",R2610="TN"),N2610+N(O2610),IF(G2610&amp;""="1",N(K2610)*N2610,(N2610+N(O2610))*N(K2610)))</f>
        <v/>
      </c>
      <c r="T2610" s="10">
        <f>IF(Q2610="","",Q2610-S2610)</f>
        <v/>
      </c>
    </row>
    <row r="2611">
      <c r="A2611" s="7">
        <f>CONCATENATE(C2611,E2611,F2611,I2611)</f>
        <v/>
      </c>
      <c r="B2611" s="7">
        <f>CONCATENATE(C2611,E2611,I2611)</f>
        <v/>
      </c>
      <c r="C2611" s="8" t="n">
        <v>900006543</v>
      </c>
      <c r="D2611" s="7">
        <f>IFERROR(VLOOKUP(C2611,TRAOPE!$G:$H,2,0),"")</f>
        <v/>
      </c>
      <c r="E2611" s="8" t="inlineStr">
        <is>
          <t>D836</t>
        </is>
      </c>
      <c r="F2611" s="8" t="inlineStr">
        <is>
          <t>65911289</t>
        </is>
      </c>
      <c r="G2611" s="8">
        <f>IFERROR(VLOOKUP(A2611,Flete!$A:$E,5,0),"")</f>
        <v/>
      </c>
      <c r="H2611" s="7">
        <f>IFERROR(VLOOKUP(F2611,TRAOPE!$AA:$AB,2,0),"")</f>
        <v/>
      </c>
      <c r="I2611" s="7" t="n">
        <v>10185477</v>
      </c>
      <c r="J2611" s="7">
        <f>IFERROR(VLOOKUP(I2611,Materiales!$A:$H,8,0),"")</f>
        <v/>
      </c>
      <c r="K2611" s="9">
        <f>IFERROR(VLOOKUP(I2611,Materiales!$A:$G,7,0),"")</f>
        <v/>
      </c>
      <c r="L2611" s="8" t="inlineStr">
        <is>
          <t>20260325</t>
        </is>
      </c>
      <c r="M2611" s="8" t="inlineStr">
        <is>
          <t>99991231</t>
        </is>
      </c>
      <c r="N2611" s="10" t="n">
        <v>180</v>
      </c>
      <c r="O2611" s="10">
        <f>IFERROR(VLOOKUP(A2611,Flete!$A:$J,10,0),"")</f>
        <v/>
      </c>
      <c r="P2611" s="8" t="inlineStr">
        <is>
          <t>M3</t>
        </is>
      </c>
      <c r="Q2611" s="10">
        <f>IFERROR(IFERROR(VLOOKUP(A2611,TRAOPE!$A:$U,21,0),VLOOKUP(B2611,TRAOPE!$A:$U,21,0)),"")</f>
        <v/>
      </c>
      <c r="R2611" s="8">
        <f>IFERROR(IFERROR(VLOOKUP(A2611,TRAOPE!$A:$W,23,0),VLOOKUP(B2611,TRAOPE!$A:$W,23,0)),"")</f>
        <v/>
      </c>
      <c r="S2611" s="10">
        <f>IF(AND(P2611="TN",R2611="TN"),N2611+N(O2611),IF(G2611&amp;""="1",N(K2611)*N2611,(N2611+N(O2611))*N(K2611)))</f>
        <v/>
      </c>
      <c r="T2611" s="10">
        <f>IF(Q2611="","",Q2611-S2611)</f>
        <v/>
      </c>
    </row>
    <row r="2612">
      <c r="A2612" s="7">
        <f>CONCATENATE(C2612,E2612,F2612,I2612)</f>
        <v/>
      </c>
      <c r="B2612" s="7">
        <f>CONCATENATE(C2612,E2612,I2612)</f>
        <v/>
      </c>
      <c r="C2612" s="8" t="n">
        <v>900006543</v>
      </c>
      <c r="D2612" s="7">
        <f>IFERROR(VLOOKUP(C2612,TRAOPE!$G:$H,2,0),"")</f>
        <v/>
      </c>
      <c r="E2612" s="8" t="inlineStr">
        <is>
          <t>D836</t>
        </is>
      </c>
      <c r="F2612" s="8" t="inlineStr">
        <is>
          <t>66414377</t>
        </is>
      </c>
      <c r="G2612" s="8">
        <f>IFERROR(VLOOKUP(A2612,Flete!$A:$E,5,0),"")</f>
        <v/>
      </c>
      <c r="H2612" s="7">
        <f>IFERROR(VLOOKUP(F2612,TRAOPE!$AA:$AB,2,0),"")</f>
        <v/>
      </c>
      <c r="I2612" s="7" t="n">
        <v>10185476</v>
      </c>
      <c r="J2612" s="7">
        <f>IFERROR(VLOOKUP(I2612,Materiales!$A:$H,8,0),"")</f>
        <v/>
      </c>
      <c r="K2612" s="9">
        <f>IFERROR(VLOOKUP(I2612,Materiales!$A:$G,7,0),"")</f>
        <v/>
      </c>
      <c r="L2612" s="8" t="inlineStr">
        <is>
          <t>20260325</t>
        </is>
      </c>
      <c r="M2612" s="8" t="inlineStr">
        <is>
          <t>99991231</t>
        </is>
      </c>
      <c r="N2612" s="10" t="n">
        <v>170</v>
      </c>
      <c r="O2612" s="10">
        <f>IFERROR(VLOOKUP(A2612,Flete!$A:$J,10,0),"")</f>
        <v/>
      </c>
      <c r="P2612" s="8" t="inlineStr">
        <is>
          <t>M3</t>
        </is>
      </c>
      <c r="Q2612" s="10">
        <f>IFERROR(IFERROR(VLOOKUP(A2612,TRAOPE!$A:$U,21,0),VLOOKUP(B2612,TRAOPE!$A:$U,21,0)),"")</f>
        <v/>
      </c>
      <c r="R2612" s="8">
        <f>IFERROR(IFERROR(VLOOKUP(A2612,TRAOPE!$A:$W,23,0),VLOOKUP(B2612,TRAOPE!$A:$W,23,0)),"")</f>
        <v/>
      </c>
      <c r="S2612" s="10">
        <f>IF(AND(P2612="TN",R2612="TN"),N2612+N(O2612),IF(G2612&amp;""="1",N(K2612)*N2612,(N2612+N(O2612))*N(K2612)))</f>
        <v/>
      </c>
      <c r="T2612" s="10">
        <f>IF(Q2612="","",Q2612-S2612)</f>
        <v/>
      </c>
    </row>
    <row r="2613">
      <c r="A2613" s="7">
        <f>CONCATENATE(C2613,E2613,F2613,I2613)</f>
        <v/>
      </c>
      <c r="B2613" s="7">
        <f>CONCATENATE(C2613,E2613,I2613)</f>
        <v/>
      </c>
      <c r="C2613" s="8" t="n">
        <v>900006543</v>
      </c>
      <c r="D2613" s="7">
        <f>IFERROR(VLOOKUP(C2613,TRAOPE!$G:$H,2,0),"")</f>
        <v/>
      </c>
      <c r="E2613" s="8" t="inlineStr">
        <is>
          <t>D836</t>
        </is>
      </c>
      <c r="F2613" s="8" t="inlineStr">
        <is>
          <t>66414377</t>
        </is>
      </c>
      <c r="G2613" s="8">
        <f>IFERROR(VLOOKUP(A2613,Flete!$A:$E,5,0),"")</f>
        <v/>
      </c>
      <c r="H2613" s="7">
        <f>IFERROR(VLOOKUP(F2613,TRAOPE!$AA:$AB,2,0),"")</f>
        <v/>
      </c>
      <c r="I2613" s="7" t="n">
        <v>10185477</v>
      </c>
      <c r="J2613" s="7">
        <f>IFERROR(VLOOKUP(I2613,Materiales!$A:$H,8,0),"")</f>
        <v/>
      </c>
      <c r="K2613" s="9">
        <f>IFERROR(VLOOKUP(I2613,Materiales!$A:$G,7,0),"")</f>
        <v/>
      </c>
      <c r="L2613" s="8" t="inlineStr">
        <is>
          <t>20260325</t>
        </is>
      </c>
      <c r="M2613" s="8" t="inlineStr">
        <is>
          <t>99991231</t>
        </is>
      </c>
      <c r="N2613" s="10" t="n">
        <v>180</v>
      </c>
      <c r="O2613" s="10">
        <f>IFERROR(VLOOKUP(A2613,Flete!$A:$J,10,0),"")</f>
        <v/>
      </c>
      <c r="P2613" s="8" t="inlineStr">
        <is>
          <t>M3</t>
        </is>
      </c>
      <c r="Q2613" s="10">
        <f>IFERROR(IFERROR(VLOOKUP(A2613,TRAOPE!$A:$U,21,0),VLOOKUP(B2613,TRAOPE!$A:$U,21,0)),"")</f>
        <v/>
      </c>
      <c r="R2613" s="8">
        <f>IFERROR(IFERROR(VLOOKUP(A2613,TRAOPE!$A:$W,23,0),VLOOKUP(B2613,TRAOPE!$A:$W,23,0)),"")</f>
        <v/>
      </c>
      <c r="S2613" s="10">
        <f>IF(AND(P2613="TN",R2613="TN"),N2613+N(O2613),IF(G2613&amp;""="1",N(K2613)*N2613,(N2613+N(O2613))*N(K2613)))</f>
        <v/>
      </c>
      <c r="T2613" s="10">
        <f>IF(Q2613="","",Q2613-S2613)</f>
        <v/>
      </c>
    </row>
    <row r="2614">
      <c r="A2614" s="7">
        <f>CONCATENATE(C2614,E2614,F2614,I2614)</f>
        <v/>
      </c>
      <c r="B2614" s="7">
        <f>CONCATENATE(C2614,E2614,I2614)</f>
        <v/>
      </c>
      <c r="C2614" s="8" t="n">
        <v>900006543</v>
      </c>
      <c r="D2614" s="7">
        <f>IFERROR(VLOOKUP(C2614,TRAOPE!$G:$H,2,0),"")</f>
        <v/>
      </c>
      <c r="E2614" s="8" t="inlineStr">
        <is>
          <t>D836</t>
        </is>
      </c>
      <c r="F2614" s="8" t="inlineStr">
        <is>
          <t>66415270</t>
        </is>
      </c>
      <c r="G2614" s="8">
        <f>IFERROR(VLOOKUP(A2614,Flete!$A:$E,5,0),"")</f>
        <v/>
      </c>
      <c r="H2614" s="7">
        <f>IFERROR(VLOOKUP(F2614,TRAOPE!$AA:$AB,2,0),"")</f>
        <v/>
      </c>
      <c r="I2614" s="7" t="n">
        <v>10185476</v>
      </c>
      <c r="J2614" s="7">
        <f>IFERROR(VLOOKUP(I2614,Materiales!$A:$H,8,0),"")</f>
        <v/>
      </c>
      <c r="K2614" s="9">
        <f>IFERROR(VLOOKUP(I2614,Materiales!$A:$G,7,0),"")</f>
        <v/>
      </c>
      <c r="L2614" s="8" t="inlineStr">
        <is>
          <t>20260304</t>
        </is>
      </c>
      <c r="M2614" s="8" t="inlineStr">
        <is>
          <t>99991231</t>
        </is>
      </c>
      <c r="N2614" s="10" t="n">
        <v>170</v>
      </c>
      <c r="O2614" s="10">
        <f>IFERROR(VLOOKUP(A2614,Flete!$A:$J,10,0),"")</f>
        <v/>
      </c>
      <c r="P2614" s="8" t="inlineStr">
        <is>
          <t>M3</t>
        </is>
      </c>
      <c r="Q2614" s="10">
        <f>IFERROR(IFERROR(VLOOKUP(A2614,TRAOPE!$A:$U,21,0),VLOOKUP(B2614,TRAOPE!$A:$U,21,0)),"")</f>
        <v/>
      </c>
      <c r="R2614" s="8">
        <f>IFERROR(IFERROR(VLOOKUP(A2614,TRAOPE!$A:$W,23,0),VLOOKUP(B2614,TRAOPE!$A:$W,23,0)),"")</f>
        <v/>
      </c>
      <c r="S2614" s="10">
        <f>IF(AND(P2614="TN",R2614="TN"),N2614+N(O2614),IF(G2614&amp;""="1",N(K2614)*N2614,(N2614+N(O2614))*N(K2614)))</f>
        <v/>
      </c>
      <c r="T2614" s="10">
        <f>IF(Q2614="","",Q2614-S2614)</f>
        <v/>
      </c>
    </row>
    <row r="2615">
      <c r="A2615" s="7">
        <f>CONCATENATE(C2615,E2615,F2615,I2615)</f>
        <v/>
      </c>
      <c r="B2615" s="7">
        <f>CONCATENATE(C2615,E2615,I2615)</f>
        <v/>
      </c>
      <c r="C2615" s="8" t="n">
        <v>900006543</v>
      </c>
      <c r="D2615" s="7">
        <f>IFERROR(VLOOKUP(C2615,TRAOPE!$G:$H,2,0),"")</f>
        <v/>
      </c>
      <c r="E2615" s="8" t="inlineStr">
        <is>
          <t>D836</t>
        </is>
      </c>
      <c r="F2615" s="8" t="inlineStr">
        <is>
          <t>66415270</t>
        </is>
      </c>
      <c r="G2615" s="8">
        <f>IFERROR(VLOOKUP(A2615,Flete!$A:$E,5,0),"")</f>
        <v/>
      </c>
      <c r="H2615" s="7">
        <f>IFERROR(VLOOKUP(F2615,TRAOPE!$AA:$AB,2,0),"")</f>
        <v/>
      </c>
      <c r="I2615" s="7" t="n">
        <v>10185477</v>
      </c>
      <c r="J2615" s="7">
        <f>IFERROR(VLOOKUP(I2615,Materiales!$A:$H,8,0),"")</f>
        <v/>
      </c>
      <c r="K2615" s="9">
        <f>IFERROR(VLOOKUP(I2615,Materiales!$A:$G,7,0),"")</f>
        <v/>
      </c>
      <c r="L2615" s="8" t="inlineStr">
        <is>
          <t>20260304</t>
        </is>
      </c>
      <c r="M2615" s="8" t="inlineStr">
        <is>
          <t>99991231</t>
        </is>
      </c>
      <c r="N2615" s="10" t="n">
        <v>180</v>
      </c>
      <c r="O2615" s="10">
        <f>IFERROR(VLOOKUP(A2615,Flete!$A:$J,10,0),"")</f>
        <v/>
      </c>
      <c r="P2615" s="8" t="inlineStr">
        <is>
          <t>M3</t>
        </is>
      </c>
      <c r="Q2615" s="10">
        <f>IFERROR(IFERROR(VLOOKUP(A2615,TRAOPE!$A:$U,21,0),VLOOKUP(B2615,TRAOPE!$A:$U,21,0)),"")</f>
        <v/>
      </c>
      <c r="R2615" s="8">
        <f>IFERROR(IFERROR(VLOOKUP(A2615,TRAOPE!$A:$W,23,0),VLOOKUP(B2615,TRAOPE!$A:$W,23,0)),"")</f>
        <v/>
      </c>
      <c r="S2615" s="10">
        <f>IF(AND(P2615="TN",R2615="TN"),N2615+N(O2615),IF(G2615&amp;""="1",N(K2615)*N2615,(N2615+N(O2615))*N(K2615)))</f>
        <v/>
      </c>
      <c r="T2615" s="10">
        <f>IF(Q2615="","",Q2615-S2615)</f>
        <v/>
      </c>
    </row>
    <row r="2616">
      <c r="A2616" s="7">
        <f>CONCATENATE(C2616,E2616,F2616,I2616)</f>
        <v/>
      </c>
      <c r="B2616" s="7">
        <f>CONCATENATE(C2616,E2616,I2616)</f>
        <v/>
      </c>
      <c r="C2616" s="8" t="n">
        <v>900006543</v>
      </c>
      <c r="D2616" s="7">
        <f>IFERROR(VLOOKUP(C2616,TRAOPE!$G:$H,2,0),"")</f>
        <v/>
      </c>
      <c r="E2616" s="8" t="inlineStr">
        <is>
          <t>D836</t>
        </is>
      </c>
      <c r="F2616" s="8" t="inlineStr">
        <is>
          <t>66433511</t>
        </is>
      </c>
      <c r="G2616" s="8">
        <f>IFERROR(VLOOKUP(A2616,Flete!$A:$E,5,0),"")</f>
        <v/>
      </c>
      <c r="H2616" s="7">
        <f>IFERROR(VLOOKUP(F2616,TRAOPE!$AA:$AB,2,0),"")</f>
        <v/>
      </c>
      <c r="I2616" s="7" t="n">
        <v>10185476</v>
      </c>
      <c r="J2616" s="7">
        <f>IFERROR(VLOOKUP(I2616,Materiales!$A:$H,8,0),"")</f>
        <v/>
      </c>
      <c r="K2616" s="9">
        <f>IFERROR(VLOOKUP(I2616,Materiales!$A:$G,7,0),"")</f>
        <v/>
      </c>
      <c r="L2616" s="8" t="inlineStr">
        <is>
          <t>20260325</t>
        </is>
      </c>
      <c r="M2616" s="8" t="inlineStr">
        <is>
          <t>99991231</t>
        </is>
      </c>
      <c r="N2616" s="10" t="n">
        <v>170</v>
      </c>
      <c r="O2616" s="10">
        <f>IFERROR(VLOOKUP(A2616,Flete!$A:$J,10,0),"")</f>
        <v/>
      </c>
      <c r="P2616" s="8" t="inlineStr">
        <is>
          <t>M3</t>
        </is>
      </c>
      <c r="Q2616" s="10">
        <f>IFERROR(IFERROR(VLOOKUP(A2616,TRAOPE!$A:$U,21,0),VLOOKUP(B2616,TRAOPE!$A:$U,21,0)),"")</f>
        <v/>
      </c>
      <c r="R2616" s="8">
        <f>IFERROR(IFERROR(VLOOKUP(A2616,TRAOPE!$A:$W,23,0),VLOOKUP(B2616,TRAOPE!$A:$W,23,0)),"")</f>
        <v/>
      </c>
      <c r="S2616" s="10">
        <f>IF(AND(P2616="TN",R2616="TN"),N2616+N(O2616),IF(G2616&amp;""="1",N(K2616)*N2616,(N2616+N(O2616))*N(K2616)))</f>
        <v/>
      </c>
      <c r="T2616" s="10">
        <f>IF(Q2616="","",Q2616-S2616)</f>
        <v/>
      </c>
    </row>
    <row r="2617">
      <c r="A2617" s="7">
        <f>CONCATENATE(C2617,E2617,F2617,I2617)</f>
        <v/>
      </c>
      <c r="B2617" s="7">
        <f>CONCATENATE(C2617,E2617,I2617)</f>
        <v/>
      </c>
      <c r="C2617" s="8" t="n">
        <v>900006543</v>
      </c>
      <c r="D2617" s="7">
        <f>IFERROR(VLOOKUP(C2617,TRAOPE!$G:$H,2,0),"")</f>
        <v/>
      </c>
      <c r="E2617" s="8" t="inlineStr">
        <is>
          <t>D836</t>
        </is>
      </c>
      <c r="F2617" s="8" t="inlineStr">
        <is>
          <t>66433511</t>
        </is>
      </c>
      <c r="G2617" s="8">
        <f>IFERROR(VLOOKUP(A2617,Flete!$A:$E,5,0),"")</f>
        <v/>
      </c>
      <c r="H2617" s="7">
        <f>IFERROR(VLOOKUP(F2617,TRAOPE!$AA:$AB,2,0),"")</f>
        <v/>
      </c>
      <c r="I2617" s="7" t="n">
        <v>10185477</v>
      </c>
      <c r="J2617" s="7">
        <f>IFERROR(VLOOKUP(I2617,Materiales!$A:$H,8,0),"")</f>
        <v/>
      </c>
      <c r="K2617" s="9">
        <f>IFERROR(VLOOKUP(I2617,Materiales!$A:$G,7,0),"")</f>
        <v/>
      </c>
      <c r="L2617" s="8" t="inlineStr">
        <is>
          <t>20260325</t>
        </is>
      </c>
      <c r="M2617" s="8" t="inlineStr">
        <is>
          <t>99991231</t>
        </is>
      </c>
      <c r="N2617" s="10" t="n">
        <v>180</v>
      </c>
      <c r="O2617" s="10">
        <f>IFERROR(VLOOKUP(A2617,Flete!$A:$J,10,0),"")</f>
        <v/>
      </c>
      <c r="P2617" s="8" t="inlineStr">
        <is>
          <t>M3</t>
        </is>
      </c>
      <c r="Q2617" s="10">
        <f>IFERROR(IFERROR(VLOOKUP(A2617,TRAOPE!$A:$U,21,0),VLOOKUP(B2617,TRAOPE!$A:$U,21,0)),"")</f>
        <v/>
      </c>
      <c r="R2617" s="8">
        <f>IFERROR(IFERROR(VLOOKUP(A2617,TRAOPE!$A:$W,23,0),VLOOKUP(B2617,TRAOPE!$A:$W,23,0)),"")</f>
        <v/>
      </c>
      <c r="S2617" s="10">
        <f>IF(AND(P2617="TN",R2617="TN"),N2617+N(O2617),IF(G2617&amp;""="1",N(K2617)*N2617,(N2617+N(O2617))*N(K2617)))</f>
        <v/>
      </c>
      <c r="T2617" s="10">
        <f>IF(Q2617="","",Q2617-S2617)</f>
        <v/>
      </c>
    </row>
    <row r="2618">
      <c r="A2618" s="7">
        <f>CONCATENATE(C2618,E2618,F2618,I2618)</f>
        <v/>
      </c>
      <c r="B2618" s="7">
        <f>CONCATENATE(C2618,E2618,I2618)</f>
        <v/>
      </c>
      <c r="C2618" s="8" t="n">
        <v>900006543</v>
      </c>
      <c r="D2618" s="7">
        <f>IFERROR(VLOOKUP(C2618,TRAOPE!$G:$H,2,0),"")</f>
        <v/>
      </c>
      <c r="E2618" s="8" t="inlineStr">
        <is>
          <t>D836</t>
        </is>
      </c>
      <c r="F2618" s="8" t="inlineStr">
        <is>
          <t>66440645</t>
        </is>
      </c>
      <c r="G2618" s="8">
        <f>IFERROR(VLOOKUP(A2618,Flete!$A:$E,5,0),"")</f>
        <v/>
      </c>
      <c r="H2618" s="7">
        <f>IFERROR(VLOOKUP(F2618,TRAOPE!$AA:$AB,2,0),"")</f>
        <v/>
      </c>
      <c r="I2618" s="7" t="n">
        <v>10185476</v>
      </c>
      <c r="J2618" s="7">
        <f>IFERROR(VLOOKUP(I2618,Materiales!$A:$H,8,0),"")</f>
        <v/>
      </c>
      <c r="K2618" s="9">
        <f>IFERROR(VLOOKUP(I2618,Materiales!$A:$G,7,0),"")</f>
        <v/>
      </c>
      <c r="L2618" s="8" t="inlineStr">
        <is>
          <t>20260304</t>
        </is>
      </c>
      <c r="M2618" s="8" t="inlineStr">
        <is>
          <t>99991231</t>
        </is>
      </c>
      <c r="N2618" s="10" t="n">
        <v>170</v>
      </c>
      <c r="O2618" s="10">
        <f>IFERROR(VLOOKUP(A2618,Flete!$A:$J,10,0),"")</f>
        <v/>
      </c>
      <c r="P2618" s="8" t="inlineStr">
        <is>
          <t>M3</t>
        </is>
      </c>
      <c r="Q2618" s="10">
        <f>IFERROR(IFERROR(VLOOKUP(A2618,TRAOPE!$A:$U,21,0),VLOOKUP(B2618,TRAOPE!$A:$U,21,0)),"")</f>
        <v/>
      </c>
      <c r="R2618" s="8">
        <f>IFERROR(IFERROR(VLOOKUP(A2618,TRAOPE!$A:$W,23,0),VLOOKUP(B2618,TRAOPE!$A:$W,23,0)),"")</f>
        <v/>
      </c>
      <c r="S2618" s="10">
        <f>IF(AND(P2618="TN",R2618="TN"),N2618+N(O2618),IF(G2618&amp;""="1",N(K2618)*N2618,(N2618+N(O2618))*N(K2618)))</f>
        <v/>
      </c>
      <c r="T2618" s="10">
        <f>IF(Q2618="","",Q2618-S2618)</f>
        <v/>
      </c>
    </row>
    <row r="2619">
      <c r="A2619" s="7">
        <f>CONCATENATE(C2619,E2619,F2619,I2619)</f>
        <v/>
      </c>
      <c r="B2619" s="7">
        <f>CONCATENATE(C2619,E2619,I2619)</f>
        <v/>
      </c>
      <c r="C2619" s="8" t="n">
        <v>900006543</v>
      </c>
      <c r="D2619" s="7">
        <f>IFERROR(VLOOKUP(C2619,TRAOPE!$G:$H,2,0),"")</f>
        <v/>
      </c>
      <c r="E2619" s="8" t="inlineStr">
        <is>
          <t>D836</t>
        </is>
      </c>
      <c r="F2619" s="8" t="inlineStr">
        <is>
          <t>66440645</t>
        </is>
      </c>
      <c r="G2619" s="8">
        <f>IFERROR(VLOOKUP(A2619,Flete!$A:$E,5,0),"")</f>
        <v/>
      </c>
      <c r="H2619" s="7">
        <f>IFERROR(VLOOKUP(F2619,TRAOPE!$AA:$AB,2,0),"")</f>
        <v/>
      </c>
      <c r="I2619" s="7" t="n">
        <v>10185477</v>
      </c>
      <c r="J2619" s="7">
        <f>IFERROR(VLOOKUP(I2619,Materiales!$A:$H,8,0),"")</f>
        <v/>
      </c>
      <c r="K2619" s="9">
        <f>IFERROR(VLOOKUP(I2619,Materiales!$A:$G,7,0),"")</f>
        <v/>
      </c>
      <c r="L2619" s="8" t="inlineStr">
        <is>
          <t>20260304</t>
        </is>
      </c>
      <c r="M2619" s="8" t="inlineStr">
        <is>
          <t>99991231</t>
        </is>
      </c>
      <c r="N2619" s="10" t="n">
        <v>180</v>
      </c>
      <c r="O2619" s="10">
        <f>IFERROR(VLOOKUP(A2619,Flete!$A:$J,10,0),"")</f>
        <v/>
      </c>
      <c r="P2619" s="8" t="inlineStr">
        <is>
          <t>M3</t>
        </is>
      </c>
      <c r="Q2619" s="10">
        <f>IFERROR(IFERROR(VLOOKUP(A2619,TRAOPE!$A:$U,21,0),VLOOKUP(B2619,TRAOPE!$A:$U,21,0)),"")</f>
        <v/>
      </c>
      <c r="R2619" s="8">
        <f>IFERROR(IFERROR(VLOOKUP(A2619,TRAOPE!$A:$W,23,0),VLOOKUP(B2619,TRAOPE!$A:$W,23,0)),"")</f>
        <v/>
      </c>
      <c r="S2619" s="10">
        <f>IF(AND(P2619="TN",R2619="TN"),N2619+N(O2619),IF(G2619&amp;""="1",N(K2619)*N2619,(N2619+N(O2619))*N(K2619)))</f>
        <v/>
      </c>
      <c r="T2619" s="10">
        <f>IF(Q2619="","",Q2619-S2619)</f>
        <v/>
      </c>
    </row>
    <row r="2620">
      <c r="A2620" s="7">
        <f>CONCATENATE(C2620,E2620,F2620,I2620)</f>
        <v/>
      </c>
      <c r="B2620" s="7">
        <f>CONCATENATE(C2620,E2620,I2620)</f>
        <v/>
      </c>
      <c r="C2620" s="8" t="n">
        <v>900006543</v>
      </c>
      <c r="D2620" s="7">
        <f>IFERROR(VLOOKUP(C2620,TRAOPE!$G:$H,2,0),"")</f>
        <v/>
      </c>
      <c r="E2620" s="8" t="inlineStr">
        <is>
          <t>D836</t>
        </is>
      </c>
      <c r="F2620" s="8" t="inlineStr">
        <is>
          <t>66624554</t>
        </is>
      </c>
      <c r="G2620" s="8">
        <f>IFERROR(VLOOKUP(A2620,Flete!$A:$E,5,0),"")</f>
        <v/>
      </c>
      <c r="H2620" s="7">
        <f>IFERROR(VLOOKUP(F2620,TRAOPE!$AA:$AB,2,0),"")</f>
        <v/>
      </c>
      <c r="I2620" s="7" t="n">
        <v>10185476</v>
      </c>
      <c r="J2620" s="7">
        <f>IFERROR(VLOOKUP(I2620,Materiales!$A:$H,8,0),"")</f>
        <v/>
      </c>
      <c r="K2620" s="9">
        <f>IFERROR(VLOOKUP(I2620,Materiales!$A:$G,7,0),"")</f>
        <v/>
      </c>
      <c r="L2620" s="8" t="inlineStr">
        <is>
          <t>20260325</t>
        </is>
      </c>
      <c r="M2620" s="8" t="inlineStr">
        <is>
          <t>99991231</t>
        </is>
      </c>
      <c r="N2620" s="10" t="n">
        <v>170</v>
      </c>
      <c r="O2620" s="10">
        <f>IFERROR(VLOOKUP(A2620,Flete!$A:$J,10,0),"")</f>
        <v/>
      </c>
      <c r="P2620" s="8" t="inlineStr">
        <is>
          <t>M3</t>
        </is>
      </c>
      <c r="Q2620" s="10">
        <f>IFERROR(IFERROR(VLOOKUP(A2620,TRAOPE!$A:$U,21,0),VLOOKUP(B2620,TRAOPE!$A:$U,21,0)),"")</f>
        <v/>
      </c>
      <c r="R2620" s="8">
        <f>IFERROR(IFERROR(VLOOKUP(A2620,TRAOPE!$A:$W,23,0),VLOOKUP(B2620,TRAOPE!$A:$W,23,0)),"")</f>
        <v/>
      </c>
      <c r="S2620" s="10">
        <f>IF(AND(P2620="TN",R2620="TN"),N2620+N(O2620),IF(G2620&amp;""="1",N(K2620)*N2620,(N2620+N(O2620))*N(K2620)))</f>
        <v/>
      </c>
      <c r="T2620" s="10">
        <f>IF(Q2620="","",Q2620-S2620)</f>
        <v/>
      </c>
    </row>
    <row r="2621">
      <c r="A2621" s="7">
        <f>CONCATENATE(C2621,E2621,F2621,I2621)</f>
        <v/>
      </c>
      <c r="B2621" s="7">
        <f>CONCATENATE(C2621,E2621,I2621)</f>
        <v/>
      </c>
      <c r="C2621" s="8" t="n">
        <v>900006543</v>
      </c>
      <c r="D2621" s="7">
        <f>IFERROR(VLOOKUP(C2621,TRAOPE!$G:$H,2,0),"")</f>
        <v/>
      </c>
      <c r="E2621" s="8" t="inlineStr">
        <is>
          <t>D836</t>
        </is>
      </c>
      <c r="F2621" s="8" t="inlineStr">
        <is>
          <t>66624554</t>
        </is>
      </c>
      <c r="G2621" s="8">
        <f>IFERROR(VLOOKUP(A2621,Flete!$A:$E,5,0),"")</f>
        <v/>
      </c>
      <c r="H2621" s="7">
        <f>IFERROR(VLOOKUP(F2621,TRAOPE!$AA:$AB,2,0),"")</f>
        <v/>
      </c>
      <c r="I2621" s="7" t="n">
        <v>10185477</v>
      </c>
      <c r="J2621" s="7">
        <f>IFERROR(VLOOKUP(I2621,Materiales!$A:$H,8,0),"")</f>
        <v/>
      </c>
      <c r="K2621" s="9">
        <f>IFERROR(VLOOKUP(I2621,Materiales!$A:$G,7,0),"")</f>
        <v/>
      </c>
      <c r="L2621" s="8" t="inlineStr">
        <is>
          <t>20260325</t>
        </is>
      </c>
      <c r="M2621" s="8" t="inlineStr">
        <is>
          <t>99991231</t>
        </is>
      </c>
      <c r="N2621" s="10" t="n">
        <v>180</v>
      </c>
      <c r="O2621" s="10">
        <f>IFERROR(VLOOKUP(A2621,Flete!$A:$J,10,0),"")</f>
        <v/>
      </c>
      <c r="P2621" s="8" t="inlineStr">
        <is>
          <t>M3</t>
        </is>
      </c>
      <c r="Q2621" s="10">
        <f>IFERROR(IFERROR(VLOOKUP(A2621,TRAOPE!$A:$U,21,0),VLOOKUP(B2621,TRAOPE!$A:$U,21,0)),"")</f>
        <v/>
      </c>
      <c r="R2621" s="8">
        <f>IFERROR(IFERROR(VLOOKUP(A2621,TRAOPE!$A:$W,23,0),VLOOKUP(B2621,TRAOPE!$A:$W,23,0)),"")</f>
        <v/>
      </c>
      <c r="S2621" s="10">
        <f>IF(AND(P2621="TN",R2621="TN"),N2621+N(O2621),IF(G2621&amp;""="1",N(K2621)*N2621,(N2621+N(O2621))*N(K2621)))</f>
        <v/>
      </c>
      <c r="T2621" s="10">
        <f>IF(Q2621="","",Q2621-S2621)</f>
        <v/>
      </c>
    </row>
    <row r="2622">
      <c r="A2622" s="7">
        <f>CONCATENATE(C2622,E2622,F2622,I2622)</f>
        <v/>
      </c>
      <c r="B2622" s="7">
        <f>CONCATENATE(C2622,E2622,I2622)</f>
        <v/>
      </c>
      <c r="C2622" s="8" t="n">
        <v>900006543</v>
      </c>
      <c r="D2622" s="7">
        <f>IFERROR(VLOOKUP(C2622,TRAOPE!$G:$H,2,0),"")</f>
        <v/>
      </c>
      <c r="E2622" s="8" t="inlineStr">
        <is>
          <t>D836</t>
        </is>
      </c>
      <c r="F2622" s="8" t="inlineStr">
        <is>
          <t>66827157</t>
        </is>
      </c>
      <c r="G2622" s="8">
        <f>IFERROR(VLOOKUP(A2622,Flete!$A:$E,5,0),"")</f>
        <v/>
      </c>
      <c r="H2622" s="7">
        <f>IFERROR(VLOOKUP(F2622,TRAOPE!$AA:$AB,2,0),"")</f>
        <v/>
      </c>
      <c r="I2622" s="7" t="n">
        <v>10185476</v>
      </c>
      <c r="J2622" s="7">
        <f>IFERROR(VLOOKUP(I2622,Materiales!$A:$H,8,0),"")</f>
        <v/>
      </c>
      <c r="K2622" s="9">
        <f>IFERROR(VLOOKUP(I2622,Materiales!$A:$G,7,0),"")</f>
        <v/>
      </c>
      <c r="L2622" s="8" t="inlineStr">
        <is>
          <t>20260325</t>
        </is>
      </c>
      <c r="M2622" s="8" t="inlineStr">
        <is>
          <t>99991231</t>
        </is>
      </c>
      <c r="N2622" s="10" t="n">
        <v>170</v>
      </c>
      <c r="O2622" s="10">
        <f>IFERROR(VLOOKUP(A2622,Flete!$A:$J,10,0),"")</f>
        <v/>
      </c>
      <c r="P2622" s="8" t="inlineStr">
        <is>
          <t>M3</t>
        </is>
      </c>
      <c r="Q2622" s="10">
        <f>IFERROR(IFERROR(VLOOKUP(A2622,TRAOPE!$A:$U,21,0),VLOOKUP(B2622,TRAOPE!$A:$U,21,0)),"")</f>
        <v/>
      </c>
      <c r="R2622" s="8">
        <f>IFERROR(IFERROR(VLOOKUP(A2622,TRAOPE!$A:$W,23,0),VLOOKUP(B2622,TRAOPE!$A:$W,23,0)),"")</f>
        <v/>
      </c>
      <c r="S2622" s="10">
        <f>IF(AND(P2622="TN",R2622="TN"),N2622+N(O2622),IF(G2622&amp;""="1",N(K2622)*N2622,(N2622+N(O2622))*N(K2622)))</f>
        <v/>
      </c>
      <c r="T2622" s="10">
        <f>IF(Q2622="","",Q2622-S2622)</f>
        <v/>
      </c>
    </row>
    <row r="2623">
      <c r="A2623" s="7">
        <f>CONCATENATE(C2623,E2623,F2623,I2623)</f>
        <v/>
      </c>
      <c r="B2623" s="7">
        <f>CONCATENATE(C2623,E2623,I2623)</f>
        <v/>
      </c>
      <c r="C2623" s="8" t="n">
        <v>900006543</v>
      </c>
      <c r="D2623" s="7">
        <f>IFERROR(VLOOKUP(C2623,TRAOPE!$G:$H,2,0),"")</f>
        <v/>
      </c>
      <c r="E2623" s="8" t="inlineStr">
        <is>
          <t>D836</t>
        </is>
      </c>
      <c r="F2623" s="8" t="inlineStr">
        <is>
          <t>66827157</t>
        </is>
      </c>
      <c r="G2623" s="8">
        <f>IFERROR(VLOOKUP(A2623,Flete!$A:$E,5,0),"")</f>
        <v/>
      </c>
      <c r="H2623" s="7">
        <f>IFERROR(VLOOKUP(F2623,TRAOPE!$AA:$AB,2,0),"")</f>
        <v/>
      </c>
      <c r="I2623" s="7" t="n">
        <v>10185477</v>
      </c>
      <c r="J2623" s="7">
        <f>IFERROR(VLOOKUP(I2623,Materiales!$A:$H,8,0),"")</f>
        <v/>
      </c>
      <c r="K2623" s="9">
        <f>IFERROR(VLOOKUP(I2623,Materiales!$A:$G,7,0),"")</f>
        <v/>
      </c>
      <c r="L2623" s="8" t="inlineStr">
        <is>
          <t>20260325</t>
        </is>
      </c>
      <c r="M2623" s="8" t="inlineStr">
        <is>
          <t>99991231</t>
        </is>
      </c>
      <c r="N2623" s="10" t="n">
        <v>180</v>
      </c>
      <c r="O2623" s="10">
        <f>IFERROR(VLOOKUP(A2623,Flete!$A:$J,10,0),"")</f>
        <v/>
      </c>
      <c r="P2623" s="8" t="inlineStr">
        <is>
          <t>M3</t>
        </is>
      </c>
      <c r="Q2623" s="10">
        <f>IFERROR(IFERROR(VLOOKUP(A2623,TRAOPE!$A:$U,21,0),VLOOKUP(B2623,TRAOPE!$A:$U,21,0)),"")</f>
        <v/>
      </c>
      <c r="R2623" s="8">
        <f>IFERROR(IFERROR(VLOOKUP(A2623,TRAOPE!$A:$W,23,0),VLOOKUP(B2623,TRAOPE!$A:$W,23,0)),"")</f>
        <v/>
      </c>
      <c r="S2623" s="10">
        <f>IF(AND(P2623="TN",R2623="TN"),N2623+N(O2623),IF(G2623&amp;""="1",N(K2623)*N2623,(N2623+N(O2623))*N(K2623)))</f>
        <v/>
      </c>
      <c r="T2623" s="10">
        <f>IF(Q2623="","",Q2623-S2623)</f>
        <v/>
      </c>
    </row>
    <row r="2624">
      <c r="A2624" s="7">
        <f>CONCATENATE(C2624,E2624,F2624,I2624)</f>
        <v/>
      </c>
      <c r="B2624" s="7">
        <f>CONCATENATE(C2624,E2624,I2624)</f>
        <v/>
      </c>
      <c r="C2624" s="8" t="n">
        <v>900006543</v>
      </c>
      <c r="D2624" s="7">
        <f>IFERROR(VLOOKUP(C2624,TRAOPE!$G:$H,2,0),"")</f>
        <v/>
      </c>
      <c r="E2624" s="8" t="inlineStr">
        <is>
          <t>D836</t>
        </is>
      </c>
      <c r="F2624" s="8" t="inlineStr">
        <is>
          <t>66828114</t>
        </is>
      </c>
      <c r="G2624" s="8">
        <f>IFERROR(VLOOKUP(A2624,Flete!$A:$E,5,0),"")</f>
        <v/>
      </c>
      <c r="H2624" s="7">
        <f>IFERROR(VLOOKUP(F2624,TRAOPE!$AA:$AB,2,0),"")</f>
        <v/>
      </c>
      <c r="I2624" s="7" t="n">
        <v>10185476</v>
      </c>
      <c r="J2624" s="7">
        <f>IFERROR(VLOOKUP(I2624,Materiales!$A:$H,8,0),"")</f>
        <v/>
      </c>
      <c r="K2624" s="9">
        <f>IFERROR(VLOOKUP(I2624,Materiales!$A:$G,7,0),"")</f>
        <v/>
      </c>
      <c r="L2624" s="8" t="inlineStr">
        <is>
          <t>20260325</t>
        </is>
      </c>
      <c r="M2624" s="8" t="inlineStr">
        <is>
          <t>99991231</t>
        </is>
      </c>
      <c r="N2624" s="10" t="n">
        <v>170</v>
      </c>
      <c r="O2624" s="10">
        <f>IFERROR(VLOOKUP(A2624,Flete!$A:$J,10,0),"")</f>
        <v/>
      </c>
      <c r="P2624" s="8" t="inlineStr">
        <is>
          <t>M3</t>
        </is>
      </c>
      <c r="Q2624" s="10">
        <f>IFERROR(IFERROR(VLOOKUP(A2624,TRAOPE!$A:$U,21,0),VLOOKUP(B2624,TRAOPE!$A:$U,21,0)),"")</f>
        <v/>
      </c>
      <c r="R2624" s="8">
        <f>IFERROR(IFERROR(VLOOKUP(A2624,TRAOPE!$A:$W,23,0),VLOOKUP(B2624,TRAOPE!$A:$W,23,0)),"")</f>
        <v/>
      </c>
      <c r="S2624" s="10">
        <f>IF(AND(P2624="TN",R2624="TN"),N2624+N(O2624),IF(G2624&amp;""="1",N(K2624)*N2624,(N2624+N(O2624))*N(K2624)))</f>
        <v/>
      </c>
      <c r="T2624" s="10">
        <f>IF(Q2624="","",Q2624-S2624)</f>
        <v/>
      </c>
    </row>
    <row r="2625">
      <c r="A2625" s="7">
        <f>CONCATENATE(C2625,E2625,F2625,I2625)</f>
        <v/>
      </c>
      <c r="B2625" s="7">
        <f>CONCATENATE(C2625,E2625,I2625)</f>
        <v/>
      </c>
      <c r="C2625" s="8" t="n">
        <v>900006543</v>
      </c>
      <c r="D2625" s="7">
        <f>IFERROR(VLOOKUP(C2625,TRAOPE!$G:$H,2,0),"")</f>
        <v/>
      </c>
      <c r="E2625" s="8" t="inlineStr">
        <is>
          <t>D836</t>
        </is>
      </c>
      <c r="F2625" s="8" t="inlineStr">
        <is>
          <t>66828114</t>
        </is>
      </c>
      <c r="G2625" s="8">
        <f>IFERROR(VLOOKUP(A2625,Flete!$A:$E,5,0),"")</f>
        <v/>
      </c>
      <c r="H2625" s="7">
        <f>IFERROR(VLOOKUP(F2625,TRAOPE!$AA:$AB,2,0),"")</f>
        <v/>
      </c>
      <c r="I2625" s="7" t="n">
        <v>10185477</v>
      </c>
      <c r="J2625" s="7">
        <f>IFERROR(VLOOKUP(I2625,Materiales!$A:$H,8,0),"")</f>
        <v/>
      </c>
      <c r="K2625" s="9">
        <f>IFERROR(VLOOKUP(I2625,Materiales!$A:$G,7,0),"")</f>
        <v/>
      </c>
      <c r="L2625" s="8" t="inlineStr">
        <is>
          <t>20260325</t>
        </is>
      </c>
      <c r="M2625" s="8" t="inlineStr">
        <is>
          <t>99991231</t>
        </is>
      </c>
      <c r="N2625" s="10" t="n">
        <v>180</v>
      </c>
      <c r="O2625" s="10">
        <f>IFERROR(VLOOKUP(A2625,Flete!$A:$J,10,0),"")</f>
        <v/>
      </c>
      <c r="P2625" s="8" t="inlineStr">
        <is>
          <t>M3</t>
        </is>
      </c>
      <c r="Q2625" s="10">
        <f>IFERROR(IFERROR(VLOOKUP(A2625,TRAOPE!$A:$U,21,0),VLOOKUP(B2625,TRAOPE!$A:$U,21,0)),"")</f>
        <v/>
      </c>
      <c r="R2625" s="8">
        <f>IFERROR(IFERROR(VLOOKUP(A2625,TRAOPE!$A:$W,23,0),VLOOKUP(B2625,TRAOPE!$A:$W,23,0)),"")</f>
        <v/>
      </c>
      <c r="S2625" s="10">
        <f>IF(AND(P2625="TN",R2625="TN"),N2625+N(O2625),IF(G2625&amp;""="1",N(K2625)*N2625,(N2625+N(O2625))*N(K2625)))</f>
        <v/>
      </c>
      <c r="T2625" s="10">
        <f>IF(Q2625="","",Q2625-S2625)</f>
        <v/>
      </c>
    </row>
    <row r="2626">
      <c r="A2626" s="7">
        <f>CONCATENATE(C2626,E2626,F2626,I2626)</f>
        <v/>
      </c>
      <c r="B2626" s="7">
        <f>CONCATENATE(C2626,E2626,I2626)</f>
        <v/>
      </c>
      <c r="C2626" s="8" t="n">
        <v>900006543</v>
      </c>
      <c r="D2626" s="7">
        <f>IFERROR(VLOOKUP(C2626,TRAOPE!$G:$H,2,0),"")</f>
        <v/>
      </c>
      <c r="E2626" s="8" t="inlineStr">
        <is>
          <t>D836</t>
        </is>
      </c>
      <c r="F2626" s="8" t="inlineStr">
        <is>
          <t>66864508</t>
        </is>
      </c>
      <c r="G2626" s="8">
        <f>IFERROR(VLOOKUP(A2626,Flete!$A:$E,5,0),"")</f>
        <v/>
      </c>
      <c r="H2626" s="7">
        <f>IFERROR(VLOOKUP(F2626,TRAOPE!$AA:$AB,2,0),"")</f>
        <v/>
      </c>
      <c r="I2626" s="7" t="n">
        <v>10185476</v>
      </c>
      <c r="J2626" s="7">
        <f>IFERROR(VLOOKUP(I2626,Materiales!$A:$H,8,0),"")</f>
        <v/>
      </c>
      <c r="K2626" s="9">
        <f>IFERROR(VLOOKUP(I2626,Materiales!$A:$G,7,0),"")</f>
        <v/>
      </c>
      <c r="L2626" s="8" t="inlineStr">
        <is>
          <t>20260318</t>
        </is>
      </c>
      <c r="M2626" s="8" t="inlineStr">
        <is>
          <t>99991231</t>
        </is>
      </c>
      <c r="N2626" s="10" t="n">
        <v>170</v>
      </c>
      <c r="O2626" s="10">
        <f>IFERROR(VLOOKUP(A2626,Flete!$A:$J,10,0),"")</f>
        <v/>
      </c>
      <c r="P2626" s="8" t="inlineStr">
        <is>
          <t>M3</t>
        </is>
      </c>
      <c r="Q2626" s="10">
        <f>IFERROR(IFERROR(VLOOKUP(A2626,TRAOPE!$A:$U,21,0),VLOOKUP(B2626,TRAOPE!$A:$U,21,0)),"")</f>
        <v/>
      </c>
      <c r="R2626" s="8">
        <f>IFERROR(IFERROR(VLOOKUP(A2626,TRAOPE!$A:$W,23,0),VLOOKUP(B2626,TRAOPE!$A:$W,23,0)),"")</f>
        <v/>
      </c>
      <c r="S2626" s="10">
        <f>IF(AND(P2626="TN",R2626="TN"),N2626+N(O2626),IF(G2626&amp;""="1",N(K2626)*N2626,(N2626+N(O2626))*N(K2626)))</f>
        <v/>
      </c>
      <c r="T2626" s="10">
        <f>IF(Q2626="","",Q2626-S2626)</f>
        <v/>
      </c>
    </row>
    <row r="2627">
      <c r="A2627" s="7">
        <f>CONCATENATE(C2627,E2627,F2627,I2627)</f>
        <v/>
      </c>
      <c r="B2627" s="7">
        <f>CONCATENATE(C2627,E2627,I2627)</f>
        <v/>
      </c>
      <c r="C2627" s="8" t="n">
        <v>900006543</v>
      </c>
      <c r="D2627" s="7">
        <f>IFERROR(VLOOKUP(C2627,TRAOPE!$G:$H,2,0),"")</f>
        <v/>
      </c>
      <c r="E2627" s="8" t="inlineStr">
        <is>
          <t>D836</t>
        </is>
      </c>
      <c r="F2627" s="8" t="inlineStr">
        <is>
          <t>66864508</t>
        </is>
      </c>
      <c r="G2627" s="8">
        <f>IFERROR(VLOOKUP(A2627,Flete!$A:$E,5,0),"")</f>
        <v/>
      </c>
      <c r="H2627" s="7">
        <f>IFERROR(VLOOKUP(F2627,TRAOPE!$AA:$AB,2,0),"")</f>
        <v/>
      </c>
      <c r="I2627" s="7" t="n">
        <v>10185477</v>
      </c>
      <c r="J2627" s="7">
        <f>IFERROR(VLOOKUP(I2627,Materiales!$A:$H,8,0),"")</f>
        <v/>
      </c>
      <c r="K2627" s="9">
        <f>IFERROR(VLOOKUP(I2627,Materiales!$A:$G,7,0),"")</f>
        <v/>
      </c>
      <c r="L2627" s="8" t="inlineStr">
        <is>
          <t>20260318</t>
        </is>
      </c>
      <c r="M2627" s="8" t="inlineStr">
        <is>
          <t>99991231</t>
        </is>
      </c>
      <c r="N2627" s="10" t="n">
        <v>180</v>
      </c>
      <c r="O2627" s="10">
        <f>IFERROR(VLOOKUP(A2627,Flete!$A:$J,10,0),"")</f>
        <v/>
      </c>
      <c r="P2627" s="8" t="inlineStr">
        <is>
          <t>M3</t>
        </is>
      </c>
      <c r="Q2627" s="10">
        <f>IFERROR(IFERROR(VLOOKUP(A2627,TRAOPE!$A:$U,21,0),VLOOKUP(B2627,TRAOPE!$A:$U,21,0)),"")</f>
        <v/>
      </c>
      <c r="R2627" s="8">
        <f>IFERROR(IFERROR(VLOOKUP(A2627,TRAOPE!$A:$W,23,0),VLOOKUP(B2627,TRAOPE!$A:$W,23,0)),"")</f>
        <v/>
      </c>
      <c r="S2627" s="10">
        <f>IF(AND(P2627="TN",R2627="TN"),N2627+N(O2627),IF(G2627&amp;""="1",N(K2627)*N2627,(N2627+N(O2627))*N(K2627)))</f>
        <v/>
      </c>
      <c r="T2627" s="10">
        <f>IF(Q2627="","",Q2627-S2627)</f>
        <v/>
      </c>
    </row>
    <row r="2628">
      <c r="A2628" s="7">
        <f>CONCATENATE(C2628,E2628,F2628,I2628)</f>
        <v/>
      </c>
      <c r="B2628" s="7">
        <f>CONCATENATE(C2628,E2628,I2628)</f>
        <v/>
      </c>
      <c r="C2628" s="8" t="n">
        <v>900006543</v>
      </c>
      <c r="D2628" s="7">
        <f>IFERROR(VLOOKUP(C2628,TRAOPE!$G:$H,2,0),"")</f>
        <v/>
      </c>
      <c r="E2628" s="8" t="inlineStr">
        <is>
          <t>D836</t>
        </is>
      </c>
      <c r="F2628" s="8" t="inlineStr">
        <is>
          <t>66864540</t>
        </is>
      </c>
      <c r="G2628" s="8">
        <f>IFERROR(VLOOKUP(A2628,Flete!$A:$E,5,0),"")</f>
        <v/>
      </c>
      <c r="H2628" s="7">
        <f>IFERROR(VLOOKUP(F2628,TRAOPE!$AA:$AB,2,0),"")</f>
        <v/>
      </c>
      <c r="I2628" s="7" t="n">
        <v>10185476</v>
      </c>
      <c r="J2628" s="7">
        <f>IFERROR(VLOOKUP(I2628,Materiales!$A:$H,8,0),"")</f>
        <v/>
      </c>
      <c r="K2628" s="9">
        <f>IFERROR(VLOOKUP(I2628,Materiales!$A:$G,7,0),"")</f>
        <v/>
      </c>
      <c r="L2628" s="8" t="inlineStr">
        <is>
          <t>20260318</t>
        </is>
      </c>
      <c r="M2628" s="8" t="inlineStr">
        <is>
          <t>99991231</t>
        </is>
      </c>
      <c r="N2628" s="10" t="n">
        <v>170</v>
      </c>
      <c r="O2628" s="10">
        <f>IFERROR(VLOOKUP(A2628,Flete!$A:$J,10,0),"")</f>
        <v/>
      </c>
      <c r="P2628" s="8" t="inlineStr">
        <is>
          <t>M3</t>
        </is>
      </c>
      <c r="Q2628" s="10">
        <f>IFERROR(IFERROR(VLOOKUP(A2628,TRAOPE!$A:$U,21,0),VLOOKUP(B2628,TRAOPE!$A:$U,21,0)),"")</f>
        <v/>
      </c>
      <c r="R2628" s="8">
        <f>IFERROR(IFERROR(VLOOKUP(A2628,TRAOPE!$A:$W,23,0),VLOOKUP(B2628,TRAOPE!$A:$W,23,0)),"")</f>
        <v/>
      </c>
      <c r="S2628" s="10">
        <f>IF(AND(P2628="TN",R2628="TN"),N2628+N(O2628),IF(G2628&amp;""="1",N(K2628)*N2628,(N2628+N(O2628))*N(K2628)))</f>
        <v/>
      </c>
      <c r="T2628" s="10">
        <f>IF(Q2628="","",Q2628-S2628)</f>
        <v/>
      </c>
    </row>
    <row r="2629">
      <c r="A2629" s="7">
        <f>CONCATENATE(C2629,E2629,F2629,I2629)</f>
        <v/>
      </c>
      <c r="B2629" s="7">
        <f>CONCATENATE(C2629,E2629,I2629)</f>
        <v/>
      </c>
      <c r="C2629" s="8" t="n">
        <v>900006543</v>
      </c>
      <c r="D2629" s="7">
        <f>IFERROR(VLOOKUP(C2629,TRAOPE!$G:$H,2,0),"")</f>
        <v/>
      </c>
      <c r="E2629" s="8" t="inlineStr">
        <is>
          <t>D836</t>
        </is>
      </c>
      <c r="F2629" s="8" t="inlineStr">
        <is>
          <t>66864540</t>
        </is>
      </c>
      <c r="G2629" s="8">
        <f>IFERROR(VLOOKUP(A2629,Flete!$A:$E,5,0),"")</f>
        <v/>
      </c>
      <c r="H2629" s="7">
        <f>IFERROR(VLOOKUP(F2629,TRAOPE!$AA:$AB,2,0),"")</f>
        <v/>
      </c>
      <c r="I2629" s="7" t="n">
        <v>10185477</v>
      </c>
      <c r="J2629" s="7">
        <f>IFERROR(VLOOKUP(I2629,Materiales!$A:$H,8,0),"")</f>
        <v/>
      </c>
      <c r="K2629" s="9">
        <f>IFERROR(VLOOKUP(I2629,Materiales!$A:$G,7,0),"")</f>
        <v/>
      </c>
      <c r="L2629" s="8" t="inlineStr">
        <is>
          <t>20260318</t>
        </is>
      </c>
      <c r="M2629" s="8" t="inlineStr">
        <is>
          <t>99991231</t>
        </is>
      </c>
      <c r="N2629" s="10" t="n">
        <v>180</v>
      </c>
      <c r="O2629" s="10">
        <f>IFERROR(VLOOKUP(A2629,Flete!$A:$J,10,0),"")</f>
        <v/>
      </c>
      <c r="P2629" s="8" t="inlineStr">
        <is>
          <t>M3</t>
        </is>
      </c>
      <c r="Q2629" s="10">
        <f>IFERROR(IFERROR(VLOOKUP(A2629,TRAOPE!$A:$U,21,0),VLOOKUP(B2629,TRAOPE!$A:$U,21,0)),"")</f>
        <v/>
      </c>
      <c r="R2629" s="8">
        <f>IFERROR(IFERROR(VLOOKUP(A2629,TRAOPE!$A:$W,23,0),VLOOKUP(B2629,TRAOPE!$A:$W,23,0)),"")</f>
        <v/>
      </c>
      <c r="S2629" s="10">
        <f>IF(AND(P2629="TN",R2629="TN"),N2629+N(O2629),IF(G2629&amp;""="1",N(K2629)*N2629,(N2629+N(O2629))*N(K2629)))</f>
        <v/>
      </c>
      <c r="T2629" s="10">
        <f>IF(Q2629="","",Q2629-S2629)</f>
        <v/>
      </c>
    </row>
    <row r="2630">
      <c r="A2630" s="7">
        <f>CONCATENATE(C2630,E2630,F2630,I2630)</f>
        <v/>
      </c>
      <c r="B2630" s="7">
        <f>CONCATENATE(C2630,E2630,I2630)</f>
        <v/>
      </c>
      <c r="C2630" s="8" t="n">
        <v>900006543</v>
      </c>
      <c r="D2630" s="7">
        <f>IFERROR(VLOOKUP(C2630,TRAOPE!$G:$H,2,0),"")</f>
        <v/>
      </c>
      <c r="E2630" s="8" t="inlineStr">
        <is>
          <t>D836</t>
        </is>
      </c>
      <c r="F2630" s="8" t="inlineStr">
        <is>
          <t>66922317</t>
        </is>
      </c>
      <c r="G2630" s="8">
        <f>IFERROR(VLOOKUP(A2630,Flete!$A:$E,5,0),"")</f>
        <v/>
      </c>
      <c r="H2630" s="7">
        <f>IFERROR(VLOOKUP(F2630,TRAOPE!$AA:$AB,2,0),"")</f>
        <v/>
      </c>
      <c r="I2630" s="7" t="n">
        <v>10000651</v>
      </c>
      <c r="J2630" s="7">
        <f>IFERROR(VLOOKUP(I2630,Materiales!$A:$H,8,0),"")</f>
        <v/>
      </c>
      <c r="K2630" s="9">
        <f>IFERROR(VLOOKUP(I2630,Materiales!$A:$G,7,0),"")</f>
        <v/>
      </c>
      <c r="L2630" s="8" t="inlineStr">
        <is>
          <t>20260708</t>
        </is>
      </c>
      <c r="M2630" s="8" t="inlineStr">
        <is>
          <t>99991231</t>
        </is>
      </c>
      <c r="N2630" s="10" t="n">
        <v>170</v>
      </c>
      <c r="O2630" s="10">
        <f>IFERROR(VLOOKUP(A2630,Flete!$A:$J,10,0),"")</f>
        <v/>
      </c>
      <c r="P2630" s="8" t="inlineStr">
        <is>
          <t>M3</t>
        </is>
      </c>
      <c r="Q2630" s="10">
        <f>IFERROR(IFERROR(VLOOKUP(A2630,TRAOPE!$A:$U,21,0),VLOOKUP(B2630,TRAOPE!$A:$U,21,0)),"")</f>
        <v/>
      </c>
      <c r="R2630" s="8">
        <f>IFERROR(IFERROR(VLOOKUP(A2630,TRAOPE!$A:$W,23,0),VLOOKUP(B2630,TRAOPE!$A:$W,23,0)),"")</f>
        <v/>
      </c>
      <c r="S2630" s="10">
        <f>IF(AND(P2630="TN",R2630="TN"),N2630+N(O2630),IF(G2630&amp;""="1",N(K2630)*N2630,(N2630+N(O2630))*N(K2630)))</f>
        <v/>
      </c>
      <c r="T2630" s="10">
        <f>IF(Q2630="","",Q2630-S2630)</f>
        <v/>
      </c>
    </row>
    <row r="2631">
      <c r="A2631" s="7">
        <f>CONCATENATE(C2631,E2631,F2631,I2631)</f>
        <v/>
      </c>
      <c r="B2631" s="7">
        <f>CONCATENATE(C2631,E2631,I2631)</f>
        <v/>
      </c>
      <c r="C2631" s="8" t="n">
        <v>900006543</v>
      </c>
      <c r="D2631" s="7">
        <f>IFERROR(VLOOKUP(C2631,TRAOPE!$G:$H,2,0),"")</f>
        <v/>
      </c>
      <c r="E2631" s="8" t="inlineStr">
        <is>
          <t>D836</t>
        </is>
      </c>
      <c r="F2631" s="8" t="inlineStr">
        <is>
          <t>66922317</t>
        </is>
      </c>
      <c r="G2631" s="8">
        <f>IFERROR(VLOOKUP(A2631,Flete!$A:$E,5,0),"")</f>
        <v/>
      </c>
      <c r="H2631" s="7">
        <f>IFERROR(VLOOKUP(F2631,TRAOPE!$AA:$AB,2,0),"")</f>
        <v/>
      </c>
      <c r="I2631" s="7" t="n">
        <v>10185477</v>
      </c>
      <c r="J2631" s="7">
        <f>IFERROR(VLOOKUP(I2631,Materiales!$A:$H,8,0),"")</f>
        <v/>
      </c>
      <c r="K2631" s="9">
        <f>IFERROR(VLOOKUP(I2631,Materiales!$A:$G,7,0),"")</f>
        <v/>
      </c>
      <c r="L2631" s="8" t="inlineStr">
        <is>
          <t>20260708</t>
        </is>
      </c>
      <c r="M2631" s="8" t="inlineStr">
        <is>
          <t>99991231</t>
        </is>
      </c>
      <c r="N2631" s="10" t="n">
        <v>180</v>
      </c>
      <c r="O2631" s="10">
        <f>IFERROR(VLOOKUP(A2631,Flete!$A:$J,10,0),"")</f>
        <v/>
      </c>
      <c r="P2631" s="8" t="inlineStr">
        <is>
          <t>M3</t>
        </is>
      </c>
      <c r="Q2631" s="10">
        <f>IFERROR(IFERROR(VLOOKUP(A2631,TRAOPE!$A:$U,21,0),VLOOKUP(B2631,TRAOPE!$A:$U,21,0)),"")</f>
        <v/>
      </c>
      <c r="R2631" s="8">
        <f>IFERROR(IFERROR(VLOOKUP(A2631,TRAOPE!$A:$W,23,0),VLOOKUP(B2631,TRAOPE!$A:$W,23,0)),"")</f>
        <v/>
      </c>
      <c r="S2631" s="10">
        <f>IF(AND(P2631="TN",R2631="TN"),N2631+N(O2631),IF(G2631&amp;""="1",N(K2631)*N2631,(N2631+N(O2631))*N(K2631)))</f>
        <v/>
      </c>
      <c r="T2631" s="10">
        <f>IF(Q2631="","",Q2631-S2631)</f>
        <v/>
      </c>
    </row>
    <row r="2632">
      <c r="A2632" s="7">
        <f>CONCATENATE(C2632,E2632,F2632,I2632)</f>
        <v/>
      </c>
      <c r="B2632" s="7">
        <f>CONCATENATE(C2632,E2632,I2632)</f>
        <v/>
      </c>
      <c r="C2632" s="8" t="n">
        <v>900006543</v>
      </c>
      <c r="D2632" s="7">
        <f>IFERROR(VLOOKUP(C2632,TRAOPE!$G:$H,2,0),"")</f>
        <v/>
      </c>
      <c r="E2632" s="8" t="inlineStr">
        <is>
          <t>D836</t>
        </is>
      </c>
      <c r="F2632" s="8" t="inlineStr">
        <is>
          <t>66942072</t>
        </is>
      </c>
      <c r="G2632" s="8">
        <f>IFERROR(VLOOKUP(A2632,Flete!$A:$E,5,0),"")</f>
        <v/>
      </c>
      <c r="H2632" s="7">
        <f>IFERROR(VLOOKUP(F2632,TRAOPE!$AA:$AB,2,0),"")</f>
        <v/>
      </c>
      <c r="I2632" s="7" t="n">
        <v>10000651</v>
      </c>
      <c r="J2632" s="7">
        <f>IFERROR(VLOOKUP(I2632,Materiales!$A:$H,8,0),"")</f>
        <v/>
      </c>
      <c r="K2632" s="9">
        <f>IFERROR(VLOOKUP(I2632,Materiales!$A:$G,7,0),"")</f>
        <v/>
      </c>
      <c r="L2632" s="8" t="inlineStr">
        <is>
          <t>20260708</t>
        </is>
      </c>
      <c r="M2632" s="8" t="inlineStr">
        <is>
          <t>99991231</t>
        </is>
      </c>
      <c r="N2632" s="10" t="n">
        <v>170</v>
      </c>
      <c r="O2632" s="10">
        <f>IFERROR(VLOOKUP(A2632,Flete!$A:$J,10,0),"")</f>
        <v/>
      </c>
      <c r="P2632" s="8" t="inlineStr">
        <is>
          <t>M3</t>
        </is>
      </c>
      <c r="Q2632" s="10">
        <f>IFERROR(IFERROR(VLOOKUP(A2632,TRAOPE!$A:$U,21,0),VLOOKUP(B2632,TRAOPE!$A:$U,21,0)),"")</f>
        <v/>
      </c>
      <c r="R2632" s="8">
        <f>IFERROR(IFERROR(VLOOKUP(A2632,TRAOPE!$A:$W,23,0),VLOOKUP(B2632,TRAOPE!$A:$W,23,0)),"")</f>
        <v/>
      </c>
      <c r="S2632" s="10">
        <f>IF(AND(P2632="TN",R2632="TN"),N2632+N(O2632),IF(G2632&amp;""="1",N(K2632)*N2632,(N2632+N(O2632))*N(K2632)))</f>
        <v/>
      </c>
      <c r="T2632" s="10">
        <f>IF(Q2632="","",Q2632-S2632)</f>
        <v/>
      </c>
    </row>
    <row r="2633">
      <c r="A2633" s="7">
        <f>CONCATENATE(C2633,E2633,F2633,I2633)</f>
        <v/>
      </c>
      <c r="B2633" s="7">
        <f>CONCATENATE(C2633,E2633,I2633)</f>
        <v/>
      </c>
      <c r="C2633" s="8" t="n">
        <v>900006543</v>
      </c>
      <c r="D2633" s="7">
        <f>IFERROR(VLOOKUP(C2633,TRAOPE!$G:$H,2,0),"")</f>
        <v/>
      </c>
      <c r="E2633" s="8" t="inlineStr">
        <is>
          <t>D836</t>
        </is>
      </c>
      <c r="F2633" s="8" t="inlineStr">
        <is>
          <t>66942072</t>
        </is>
      </c>
      <c r="G2633" s="8">
        <f>IFERROR(VLOOKUP(A2633,Flete!$A:$E,5,0),"")</f>
        <v/>
      </c>
      <c r="H2633" s="7">
        <f>IFERROR(VLOOKUP(F2633,TRAOPE!$AA:$AB,2,0),"")</f>
        <v/>
      </c>
      <c r="I2633" s="7" t="n">
        <v>10185476</v>
      </c>
      <c r="J2633" s="7">
        <f>IFERROR(VLOOKUP(I2633,Materiales!$A:$H,8,0),"")</f>
        <v/>
      </c>
      <c r="K2633" s="9">
        <f>IFERROR(VLOOKUP(I2633,Materiales!$A:$G,7,0),"")</f>
        <v/>
      </c>
      <c r="L2633" s="8" t="inlineStr">
        <is>
          <t>20260325</t>
        </is>
      </c>
      <c r="M2633" s="8" t="inlineStr">
        <is>
          <t>99991231</t>
        </is>
      </c>
      <c r="N2633" s="10" t="n">
        <v>170</v>
      </c>
      <c r="O2633" s="10">
        <f>IFERROR(VLOOKUP(A2633,Flete!$A:$J,10,0),"")</f>
        <v/>
      </c>
      <c r="P2633" s="8" t="inlineStr">
        <is>
          <t>M3</t>
        </is>
      </c>
      <c r="Q2633" s="10">
        <f>IFERROR(IFERROR(VLOOKUP(A2633,TRAOPE!$A:$U,21,0),VLOOKUP(B2633,TRAOPE!$A:$U,21,0)),"")</f>
        <v/>
      </c>
      <c r="R2633" s="8">
        <f>IFERROR(IFERROR(VLOOKUP(A2633,TRAOPE!$A:$W,23,0),VLOOKUP(B2633,TRAOPE!$A:$W,23,0)),"")</f>
        <v/>
      </c>
      <c r="S2633" s="10">
        <f>IF(AND(P2633="TN",R2633="TN"),N2633+N(O2633),IF(G2633&amp;""="1",N(K2633)*N2633,(N2633+N(O2633))*N(K2633)))</f>
        <v/>
      </c>
      <c r="T2633" s="10">
        <f>IF(Q2633="","",Q2633-S2633)</f>
        <v/>
      </c>
    </row>
    <row r="2634">
      <c r="A2634" s="7">
        <f>CONCATENATE(C2634,E2634,F2634,I2634)</f>
        <v/>
      </c>
      <c r="B2634" s="7">
        <f>CONCATENATE(C2634,E2634,I2634)</f>
        <v/>
      </c>
      <c r="C2634" s="8" t="n">
        <v>900006543</v>
      </c>
      <c r="D2634" s="7">
        <f>IFERROR(VLOOKUP(C2634,TRAOPE!$G:$H,2,0),"")</f>
        <v/>
      </c>
      <c r="E2634" s="8" t="inlineStr">
        <is>
          <t>D836</t>
        </is>
      </c>
      <c r="F2634" s="8" t="inlineStr">
        <is>
          <t>66942072</t>
        </is>
      </c>
      <c r="G2634" s="8">
        <f>IFERROR(VLOOKUP(A2634,Flete!$A:$E,5,0),"")</f>
        <v/>
      </c>
      <c r="H2634" s="7">
        <f>IFERROR(VLOOKUP(F2634,TRAOPE!$AA:$AB,2,0),"")</f>
        <v/>
      </c>
      <c r="I2634" s="7" t="n">
        <v>10185477</v>
      </c>
      <c r="J2634" s="7">
        <f>IFERROR(VLOOKUP(I2634,Materiales!$A:$H,8,0),"")</f>
        <v/>
      </c>
      <c r="K2634" s="9">
        <f>IFERROR(VLOOKUP(I2634,Materiales!$A:$G,7,0),"")</f>
        <v/>
      </c>
      <c r="L2634" s="8" t="inlineStr">
        <is>
          <t>20260708</t>
        </is>
      </c>
      <c r="M2634" s="8" t="inlineStr">
        <is>
          <t>99991231</t>
        </is>
      </c>
      <c r="N2634" s="10" t="n">
        <v>180</v>
      </c>
      <c r="O2634" s="10">
        <f>IFERROR(VLOOKUP(A2634,Flete!$A:$J,10,0),"")</f>
        <v/>
      </c>
      <c r="P2634" s="8" t="inlineStr">
        <is>
          <t>M3</t>
        </is>
      </c>
      <c r="Q2634" s="10">
        <f>IFERROR(IFERROR(VLOOKUP(A2634,TRAOPE!$A:$U,21,0),VLOOKUP(B2634,TRAOPE!$A:$U,21,0)),"")</f>
        <v/>
      </c>
      <c r="R2634" s="8">
        <f>IFERROR(IFERROR(VLOOKUP(A2634,TRAOPE!$A:$W,23,0),VLOOKUP(B2634,TRAOPE!$A:$W,23,0)),"")</f>
        <v/>
      </c>
      <c r="S2634" s="10">
        <f>IF(AND(P2634="TN",R2634="TN"),N2634+N(O2634),IF(G2634&amp;""="1",N(K2634)*N2634,(N2634+N(O2634))*N(K2634)))</f>
        <v/>
      </c>
      <c r="T2634" s="10">
        <f>IF(Q2634="","",Q2634-S2634)</f>
        <v/>
      </c>
    </row>
    <row r="2635">
      <c r="A2635" s="7">
        <f>CONCATENATE(C2635,E2635,F2635,I2635)</f>
        <v/>
      </c>
      <c r="B2635" s="7">
        <f>CONCATENATE(C2635,E2635,I2635)</f>
        <v/>
      </c>
      <c r="C2635" s="8" t="n">
        <v>900006543</v>
      </c>
      <c r="D2635" s="7">
        <f>IFERROR(VLOOKUP(C2635,TRAOPE!$G:$H,2,0),"")</f>
        <v/>
      </c>
      <c r="E2635" s="8" t="inlineStr">
        <is>
          <t>D836</t>
        </is>
      </c>
      <c r="F2635" s="8" t="inlineStr">
        <is>
          <t>66970213</t>
        </is>
      </c>
      <c r="G2635" s="8">
        <f>IFERROR(VLOOKUP(A2635,Flete!$A:$E,5,0),"")</f>
        <v/>
      </c>
      <c r="H2635" s="7">
        <f>IFERROR(VLOOKUP(F2635,TRAOPE!$AA:$AB,2,0),"")</f>
        <v/>
      </c>
      <c r="I2635" s="7" t="n">
        <v>10185476</v>
      </c>
      <c r="J2635" s="7">
        <f>IFERROR(VLOOKUP(I2635,Materiales!$A:$H,8,0),"")</f>
        <v/>
      </c>
      <c r="K2635" s="9">
        <f>IFERROR(VLOOKUP(I2635,Materiales!$A:$G,7,0),"")</f>
        <v/>
      </c>
      <c r="L2635" s="8" t="inlineStr">
        <is>
          <t>20260325</t>
        </is>
      </c>
      <c r="M2635" s="8" t="inlineStr">
        <is>
          <t>99991231</t>
        </is>
      </c>
      <c r="N2635" s="10" t="n">
        <v>170</v>
      </c>
      <c r="O2635" s="10">
        <f>IFERROR(VLOOKUP(A2635,Flete!$A:$J,10,0),"")</f>
        <v/>
      </c>
      <c r="P2635" s="8" t="inlineStr">
        <is>
          <t>M3</t>
        </is>
      </c>
      <c r="Q2635" s="10">
        <f>IFERROR(IFERROR(VLOOKUP(A2635,TRAOPE!$A:$U,21,0),VLOOKUP(B2635,TRAOPE!$A:$U,21,0)),"")</f>
        <v/>
      </c>
      <c r="R2635" s="8">
        <f>IFERROR(IFERROR(VLOOKUP(A2635,TRAOPE!$A:$W,23,0),VLOOKUP(B2635,TRAOPE!$A:$W,23,0)),"")</f>
        <v/>
      </c>
      <c r="S2635" s="10">
        <f>IF(AND(P2635="TN",R2635="TN"),N2635+N(O2635),IF(G2635&amp;""="1",N(K2635)*N2635,(N2635+N(O2635))*N(K2635)))</f>
        <v/>
      </c>
      <c r="T2635" s="10">
        <f>IF(Q2635="","",Q2635-S2635)</f>
        <v/>
      </c>
    </row>
    <row r="2636">
      <c r="A2636" s="7">
        <f>CONCATENATE(C2636,E2636,F2636,I2636)</f>
        <v/>
      </c>
      <c r="B2636" s="7">
        <f>CONCATENATE(C2636,E2636,I2636)</f>
        <v/>
      </c>
      <c r="C2636" s="8" t="n">
        <v>900006543</v>
      </c>
      <c r="D2636" s="7">
        <f>IFERROR(VLOOKUP(C2636,TRAOPE!$G:$H,2,0),"")</f>
        <v/>
      </c>
      <c r="E2636" s="8" t="inlineStr">
        <is>
          <t>D836</t>
        </is>
      </c>
      <c r="F2636" s="8" t="inlineStr">
        <is>
          <t>66970213</t>
        </is>
      </c>
      <c r="G2636" s="8">
        <f>IFERROR(VLOOKUP(A2636,Flete!$A:$E,5,0),"")</f>
        <v/>
      </c>
      <c r="H2636" s="7">
        <f>IFERROR(VLOOKUP(F2636,TRAOPE!$AA:$AB,2,0),"")</f>
        <v/>
      </c>
      <c r="I2636" s="7" t="n">
        <v>10185477</v>
      </c>
      <c r="J2636" s="7">
        <f>IFERROR(VLOOKUP(I2636,Materiales!$A:$H,8,0),"")</f>
        <v/>
      </c>
      <c r="K2636" s="9">
        <f>IFERROR(VLOOKUP(I2636,Materiales!$A:$G,7,0),"")</f>
        <v/>
      </c>
      <c r="L2636" s="8" t="inlineStr">
        <is>
          <t>20260325</t>
        </is>
      </c>
      <c r="M2636" s="8" t="inlineStr">
        <is>
          <t>99991231</t>
        </is>
      </c>
      <c r="N2636" s="10" t="n">
        <v>180</v>
      </c>
      <c r="O2636" s="10">
        <f>IFERROR(VLOOKUP(A2636,Flete!$A:$J,10,0),"")</f>
        <v/>
      </c>
      <c r="P2636" s="8" t="inlineStr">
        <is>
          <t>M3</t>
        </is>
      </c>
      <c r="Q2636" s="10">
        <f>IFERROR(IFERROR(VLOOKUP(A2636,TRAOPE!$A:$U,21,0),VLOOKUP(B2636,TRAOPE!$A:$U,21,0)),"")</f>
        <v/>
      </c>
      <c r="R2636" s="8">
        <f>IFERROR(IFERROR(VLOOKUP(A2636,TRAOPE!$A:$W,23,0),VLOOKUP(B2636,TRAOPE!$A:$W,23,0)),"")</f>
        <v/>
      </c>
      <c r="S2636" s="10">
        <f>IF(AND(P2636="TN",R2636="TN"),N2636+N(O2636),IF(G2636&amp;""="1",N(K2636)*N2636,(N2636+N(O2636))*N(K2636)))</f>
        <v/>
      </c>
      <c r="T2636" s="10">
        <f>IF(Q2636="","",Q2636-S2636)</f>
        <v/>
      </c>
    </row>
    <row r="2637">
      <c r="A2637" s="7">
        <f>CONCATENATE(C2637,E2637,F2637,I2637)</f>
        <v/>
      </c>
      <c r="B2637" s="7">
        <f>CONCATENATE(C2637,E2637,I2637)</f>
        <v/>
      </c>
      <c r="C2637" s="8" t="n">
        <v>900006543</v>
      </c>
      <c r="D2637" s="7">
        <f>IFERROR(VLOOKUP(C2637,TRAOPE!$G:$H,2,0),"")</f>
        <v/>
      </c>
      <c r="E2637" s="8" t="inlineStr">
        <is>
          <t>D836</t>
        </is>
      </c>
      <c r="F2637" s="8" t="inlineStr">
        <is>
          <t>66982053</t>
        </is>
      </c>
      <c r="G2637" s="8">
        <f>IFERROR(VLOOKUP(A2637,Flete!$A:$E,5,0),"")</f>
        <v/>
      </c>
      <c r="H2637" s="7">
        <f>IFERROR(VLOOKUP(F2637,TRAOPE!$AA:$AB,2,0),"")</f>
        <v/>
      </c>
      <c r="I2637" s="7" t="n">
        <v>10185476</v>
      </c>
      <c r="J2637" s="7">
        <f>IFERROR(VLOOKUP(I2637,Materiales!$A:$H,8,0),"")</f>
        <v/>
      </c>
      <c r="K2637" s="9">
        <f>IFERROR(VLOOKUP(I2637,Materiales!$A:$G,7,0),"")</f>
        <v/>
      </c>
      <c r="L2637" s="8" t="inlineStr">
        <is>
          <t>20260318</t>
        </is>
      </c>
      <c r="M2637" s="8" t="inlineStr">
        <is>
          <t>99991231</t>
        </is>
      </c>
      <c r="N2637" s="10" t="n">
        <v>170</v>
      </c>
      <c r="O2637" s="10">
        <f>IFERROR(VLOOKUP(A2637,Flete!$A:$J,10,0),"")</f>
        <v/>
      </c>
      <c r="P2637" s="8" t="inlineStr">
        <is>
          <t>M3</t>
        </is>
      </c>
      <c r="Q2637" s="10">
        <f>IFERROR(IFERROR(VLOOKUP(A2637,TRAOPE!$A:$U,21,0),VLOOKUP(B2637,TRAOPE!$A:$U,21,0)),"")</f>
        <v/>
      </c>
      <c r="R2637" s="8">
        <f>IFERROR(IFERROR(VLOOKUP(A2637,TRAOPE!$A:$W,23,0),VLOOKUP(B2637,TRAOPE!$A:$W,23,0)),"")</f>
        <v/>
      </c>
      <c r="S2637" s="10">
        <f>IF(AND(P2637="TN",R2637="TN"),N2637+N(O2637),IF(G2637&amp;""="1",N(K2637)*N2637,(N2637+N(O2637))*N(K2637)))</f>
        <v/>
      </c>
      <c r="T2637" s="10">
        <f>IF(Q2637="","",Q2637-S2637)</f>
        <v/>
      </c>
    </row>
    <row r="2638">
      <c r="A2638" s="7">
        <f>CONCATENATE(C2638,E2638,F2638,I2638)</f>
        <v/>
      </c>
      <c r="B2638" s="7">
        <f>CONCATENATE(C2638,E2638,I2638)</f>
        <v/>
      </c>
      <c r="C2638" s="8" t="n">
        <v>900006543</v>
      </c>
      <c r="D2638" s="7">
        <f>IFERROR(VLOOKUP(C2638,TRAOPE!$G:$H,2,0),"")</f>
        <v/>
      </c>
      <c r="E2638" s="8" t="inlineStr">
        <is>
          <t>D836</t>
        </is>
      </c>
      <c r="F2638" s="8" t="inlineStr">
        <is>
          <t>66982053</t>
        </is>
      </c>
      <c r="G2638" s="8">
        <f>IFERROR(VLOOKUP(A2638,Flete!$A:$E,5,0),"")</f>
        <v/>
      </c>
      <c r="H2638" s="7">
        <f>IFERROR(VLOOKUP(F2638,TRAOPE!$AA:$AB,2,0),"")</f>
        <v/>
      </c>
      <c r="I2638" s="7" t="n">
        <v>10185477</v>
      </c>
      <c r="J2638" s="7">
        <f>IFERROR(VLOOKUP(I2638,Materiales!$A:$H,8,0),"")</f>
        <v/>
      </c>
      <c r="K2638" s="9">
        <f>IFERROR(VLOOKUP(I2638,Materiales!$A:$G,7,0),"")</f>
        <v/>
      </c>
      <c r="L2638" s="8" t="inlineStr">
        <is>
          <t>20260318</t>
        </is>
      </c>
      <c r="M2638" s="8" t="inlineStr">
        <is>
          <t>99991231</t>
        </is>
      </c>
      <c r="N2638" s="10" t="n">
        <v>180</v>
      </c>
      <c r="O2638" s="10">
        <f>IFERROR(VLOOKUP(A2638,Flete!$A:$J,10,0),"")</f>
        <v/>
      </c>
      <c r="P2638" s="8" t="inlineStr">
        <is>
          <t>M3</t>
        </is>
      </c>
      <c r="Q2638" s="10">
        <f>IFERROR(IFERROR(VLOOKUP(A2638,TRAOPE!$A:$U,21,0),VLOOKUP(B2638,TRAOPE!$A:$U,21,0)),"")</f>
        <v/>
      </c>
      <c r="R2638" s="8">
        <f>IFERROR(IFERROR(VLOOKUP(A2638,TRAOPE!$A:$W,23,0),VLOOKUP(B2638,TRAOPE!$A:$W,23,0)),"")</f>
        <v/>
      </c>
      <c r="S2638" s="10">
        <f>IF(AND(P2638="TN",R2638="TN"),N2638+N(O2638),IF(G2638&amp;""="1",N(K2638)*N2638,(N2638+N(O2638))*N(K2638)))</f>
        <v/>
      </c>
      <c r="T2638" s="10">
        <f>IF(Q2638="","",Q2638-S2638)</f>
        <v/>
      </c>
    </row>
    <row r="2639">
      <c r="A2639" s="7">
        <f>CONCATENATE(C2639,E2639,F2639,I2639)</f>
        <v/>
      </c>
      <c r="B2639" s="7">
        <f>CONCATENATE(C2639,E2639,I2639)</f>
        <v/>
      </c>
      <c r="C2639" s="8" t="n">
        <v>900006543</v>
      </c>
      <c r="D2639" s="7">
        <f>IFERROR(VLOOKUP(C2639,TRAOPE!$G:$H,2,0),"")</f>
        <v/>
      </c>
      <c r="E2639" s="8" t="inlineStr">
        <is>
          <t>D836</t>
        </is>
      </c>
      <c r="F2639" s="8" t="inlineStr">
        <is>
          <t>67019979</t>
        </is>
      </c>
      <c r="G2639" s="8">
        <f>IFERROR(VLOOKUP(A2639,Flete!$A:$E,5,0),"")</f>
        <v/>
      </c>
      <c r="H2639" s="7">
        <f>IFERROR(VLOOKUP(F2639,TRAOPE!$AA:$AB,2,0),"")</f>
        <v/>
      </c>
      <c r="I2639" s="7" t="n">
        <v>10185476</v>
      </c>
      <c r="J2639" s="7">
        <f>IFERROR(VLOOKUP(I2639,Materiales!$A:$H,8,0),"")</f>
        <v/>
      </c>
      <c r="K2639" s="9">
        <f>IFERROR(VLOOKUP(I2639,Materiales!$A:$G,7,0),"")</f>
        <v/>
      </c>
      <c r="L2639" s="8" t="inlineStr">
        <is>
          <t>20260318</t>
        </is>
      </c>
      <c r="M2639" s="8" t="inlineStr">
        <is>
          <t>99991231</t>
        </is>
      </c>
      <c r="N2639" s="10" t="n">
        <v>170</v>
      </c>
      <c r="O2639" s="10">
        <f>IFERROR(VLOOKUP(A2639,Flete!$A:$J,10,0),"")</f>
        <v/>
      </c>
      <c r="P2639" s="8" t="inlineStr">
        <is>
          <t>M3</t>
        </is>
      </c>
      <c r="Q2639" s="10">
        <f>IFERROR(IFERROR(VLOOKUP(A2639,TRAOPE!$A:$U,21,0),VLOOKUP(B2639,TRAOPE!$A:$U,21,0)),"")</f>
        <v/>
      </c>
      <c r="R2639" s="8">
        <f>IFERROR(IFERROR(VLOOKUP(A2639,TRAOPE!$A:$W,23,0),VLOOKUP(B2639,TRAOPE!$A:$W,23,0)),"")</f>
        <v/>
      </c>
      <c r="S2639" s="10">
        <f>IF(AND(P2639="TN",R2639="TN"),N2639+N(O2639),IF(G2639&amp;""="1",N(K2639)*N2639,(N2639+N(O2639))*N(K2639)))</f>
        <v/>
      </c>
      <c r="T2639" s="10">
        <f>IF(Q2639="","",Q2639-S2639)</f>
        <v/>
      </c>
    </row>
    <row r="2640">
      <c r="A2640" s="7">
        <f>CONCATENATE(C2640,E2640,F2640,I2640)</f>
        <v/>
      </c>
      <c r="B2640" s="7">
        <f>CONCATENATE(C2640,E2640,I2640)</f>
        <v/>
      </c>
      <c r="C2640" s="8" t="n">
        <v>900006543</v>
      </c>
      <c r="D2640" s="7">
        <f>IFERROR(VLOOKUP(C2640,TRAOPE!$G:$H,2,0),"")</f>
        <v/>
      </c>
      <c r="E2640" s="8" t="inlineStr">
        <is>
          <t>D836</t>
        </is>
      </c>
      <c r="F2640" s="8" t="inlineStr">
        <is>
          <t>67019979</t>
        </is>
      </c>
      <c r="G2640" s="8">
        <f>IFERROR(VLOOKUP(A2640,Flete!$A:$E,5,0),"")</f>
        <v/>
      </c>
      <c r="H2640" s="7">
        <f>IFERROR(VLOOKUP(F2640,TRAOPE!$AA:$AB,2,0),"")</f>
        <v/>
      </c>
      <c r="I2640" s="7" t="n">
        <v>10185477</v>
      </c>
      <c r="J2640" s="7">
        <f>IFERROR(VLOOKUP(I2640,Materiales!$A:$H,8,0),"")</f>
        <v/>
      </c>
      <c r="K2640" s="9">
        <f>IFERROR(VLOOKUP(I2640,Materiales!$A:$G,7,0),"")</f>
        <v/>
      </c>
      <c r="L2640" s="8" t="inlineStr">
        <is>
          <t>20260318</t>
        </is>
      </c>
      <c r="M2640" s="8" t="inlineStr">
        <is>
          <t>99991231</t>
        </is>
      </c>
      <c r="N2640" s="10" t="n">
        <v>180</v>
      </c>
      <c r="O2640" s="10">
        <f>IFERROR(VLOOKUP(A2640,Flete!$A:$J,10,0),"")</f>
        <v/>
      </c>
      <c r="P2640" s="8" t="inlineStr">
        <is>
          <t>M3</t>
        </is>
      </c>
      <c r="Q2640" s="10">
        <f>IFERROR(IFERROR(VLOOKUP(A2640,TRAOPE!$A:$U,21,0),VLOOKUP(B2640,TRAOPE!$A:$U,21,0)),"")</f>
        <v/>
      </c>
      <c r="R2640" s="8">
        <f>IFERROR(IFERROR(VLOOKUP(A2640,TRAOPE!$A:$W,23,0),VLOOKUP(B2640,TRAOPE!$A:$W,23,0)),"")</f>
        <v/>
      </c>
      <c r="S2640" s="10">
        <f>IF(AND(P2640="TN",R2640="TN"),N2640+N(O2640),IF(G2640&amp;""="1",N(K2640)*N2640,(N2640+N(O2640))*N(K2640)))</f>
        <v/>
      </c>
      <c r="T2640" s="10">
        <f>IF(Q2640="","",Q2640-S2640)</f>
        <v/>
      </c>
    </row>
    <row r="2641">
      <c r="A2641" s="7">
        <f>CONCATENATE(C2641,E2641,F2641,I2641)</f>
        <v/>
      </c>
      <c r="B2641" s="7">
        <f>CONCATENATE(C2641,E2641,I2641)</f>
        <v/>
      </c>
      <c r="C2641" s="8" t="n">
        <v>900006543</v>
      </c>
      <c r="D2641" s="7">
        <f>IFERROR(VLOOKUP(C2641,TRAOPE!$G:$H,2,0),"")</f>
        <v/>
      </c>
      <c r="E2641" s="8" t="inlineStr">
        <is>
          <t>D836</t>
        </is>
      </c>
      <c r="F2641" s="8" t="inlineStr">
        <is>
          <t>67132343</t>
        </is>
      </c>
      <c r="G2641" s="8">
        <f>IFERROR(VLOOKUP(A2641,Flete!$A:$E,5,0),"")</f>
        <v/>
      </c>
      <c r="H2641" s="7">
        <f>IFERROR(VLOOKUP(F2641,TRAOPE!$AA:$AB,2,0),"")</f>
        <v/>
      </c>
      <c r="I2641" s="7" t="n">
        <v>10185476</v>
      </c>
      <c r="J2641" s="7">
        <f>IFERROR(VLOOKUP(I2641,Materiales!$A:$H,8,0),"")</f>
        <v/>
      </c>
      <c r="K2641" s="9">
        <f>IFERROR(VLOOKUP(I2641,Materiales!$A:$G,7,0),"")</f>
        <v/>
      </c>
      <c r="L2641" s="8" t="inlineStr">
        <is>
          <t>20260325</t>
        </is>
      </c>
      <c r="M2641" s="8" t="inlineStr">
        <is>
          <t>99991231</t>
        </is>
      </c>
      <c r="N2641" s="10" t="n">
        <v>170</v>
      </c>
      <c r="O2641" s="10">
        <f>IFERROR(VLOOKUP(A2641,Flete!$A:$J,10,0),"")</f>
        <v/>
      </c>
      <c r="P2641" s="8" t="inlineStr">
        <is>
          <t>M3</t>
        </is>
      </c>
      <c r="Q2641" s="10">
        <f>IFERROR(IFERROR(VLOOKUP(A2641,TRAOPE!$A:$U,21,0),VLOOKUP(B2641,TRAOPE!$A:$U,21,0)),"")</f>
        <v/>
      </c>
      <c r="R2641" s="8">
        <f>IFERROR(IFERROR(VLOOKUP(A2641,TRAOPE!$A:$W,23,0),VLOOKUP(B2641,TRAOPE!$A:$W,23,0)),"")</f>
        <v/>
      </c>
      <c r="S2641" s="10">
        <f>IF(AND(P2641="TN",R2641="TN"),N2641+N(O2641),IF(G2641&amp;""="1",N(K2641)*N2641,(N2641+N(O2641))*N(K2641)))</f>
        <v/>
      </c>
      <c r="T2641" s="10">
        <f>IF(Q2641="","",Q2641-S2641)</f>
        <v/>
      </c>
    </row>
    <row r="2642">
      <c r="A2642" s="7">
        <f>CONCATENATE(C2642,E2642,F2642,I2642)</f>
        <v/>
      </c>
      <c r="B2642" s="7">
        <f>CONCATENATE(C2642,E2642,I2642)</f>
        <v/>
      </c>
      <c r="C2642" s="8" t="n">
        <v>900006543</v>
      </c>
      <c r="D2642" s="7">
        <f>IFERROR(VLOOKUP(C2642,TRAOPE!$G:$H,2,0),"")</f>
        <v/>
      </c>
      <c r="E2642" s="8" t="inlineStr">
        <is>
          <t>D836</t>
        </is>
      </c>
      <c r="F2642" s="8" t="inlineStr">
        <is>
          <t>67132343</t>
        </is>
      </c>
      <c r="G2642" s="8">
        <f>IFERROR(VLOOKUP(A2642,Flete!$A:$E,5,0),"")</f>
        <v/>
      </c>
      <c r="H2642" s="7">
        <f>IFERROR(VLOOKUP(F2642,TRAOPE!$AA:$AB,2,0),"")</f>
        <v/>
      </c>
      <c r="I2642" s="7" t="n">
        <v>10185477</v>
      </c>
      <c r="J2642" s="7">
        <f>IFERROR(VLOOKUP(I2642,Materiales!$A:$H,8,0),"")</f>
        <v/>
      </c>
      <c r="K2642" s="9">
        <f>IFERROR(VLOOKUP(I2642,Materiales!$A:$G,7,0),"")</f>
        <v/>
      </c>
      <c r="L2642" s="8" t="inlineStr">
        <is>
          <t>20260325</t>
        </is>
      </c>
      <c r="M2642" s="8" t="inlineStr">
        <is>
          <t>99991231</t>
        </is>
      </c>
      <c r="N2642" s="10" t="n">
        <v>180</v>
      </c>
      <c r="O2642" s="10">
        <f>IFERROR(VLOOKUP(A2642,Flete!$A:$J,10,0),"")</f>
        <v/>
      </c>
      <c r="P2642" s="8" t="inlineStr">
        <is>
          <t>M3</t>
        </is>
      </c>
      <c r="Q2642" s="10">
        <f>IFERROR(IFERROR(VLOOKUP(A2642,TRAOPE!$A:$U,21,0),VLOOKUP(B2642,TRAOPE!$A:$U,21,0)),"")</f>
        <v/>
      </c>
      <c r="R2642" s="8">
        <f>IFERROR(IFERROR(VLOOKUP(A2642,TRAOPE!$A:$W,23,0),VLOOKUP(B2642,TRAOPE!$A:$W,23,0)),"")</f>
        <v/>
      </c>
      <c r="S2642" s="10">
        <f>IF(AND(P2642="TN",R2642="TN"),N2642+N(O2642),IF(G2642&amp;""="1",N(K2642)*N2642,(N2642+N(O2642))*N(K2642)))</f>
        <v/>
      </c>
      <c r="T2642" s="10">
        <f>IF(Q2642="","",Q2642-S2642)</f>
        <v/>
      </c>
    </row>
    <row r="2643">
      <c r="A2643" s="7">
        <f>CONCATENATE(C2643,E2643,F2643,I2643)</f>
        <v/>
      </c>
      <c r="B2643" s="7">
        <f>CONCATENATE(C2643,E2643,I2643)</f>
        <v/>
      </c>
      <c r="C2643" s="8" t="n">
        <v>900006543</v>
      </c>
      <c r="D2643" s="7">
        <f>IFERROR(VLOOKUP(C2643,TRAOPE!$G:$H,2,0),"")</f>
        <v/>
      </c>
      <c r="E2643" s="8" t="inlineStr">
        <is>
          <t>D836</t>
        </is>
      </c>
      <c r="F2643" s="8" t="inlineStr">
        <is>
          <t>67224043</t>
        </is>
      </c>
      <c r="G2643" s="8">
        <f>IFERROR(VLOOKUP(A2643,Flete!$A:$E,5,0),"")</f>
        <v/>
      </c>
      <c r="H2643" s="7">
        <f>IFERROR(VLOOKUP(F2643,TRAOPE!$AA:$AB,2,0),"")</f>
        <v/>
      </c>
      <c r="I2643" s="7" t="n">
        <v>10185476</v>
      </c>
      <c r="J2643" s="7">
        <f>IFERROR(VLOOKUP(I2643,Materiales!$A:$H,8,0),"")</f>
        <v/>
      </c>
      <c r="K2643" s="9">
        <f>IFERROR(VLOOKUP(I2643,Materiales!$A:$G,7,0),"")</f>
        <v/>
      </c>
      <c r="L2643" s="8" t="inlineStr">
        <is>
          <t>20260325</t>
        </is>
      </c>
      <c r="M2643" s="8" t="inlineStr">
        <is>
          <t>99991231</t>
        </is>
      </c>
      <c r="N2643" s="10" t="n">
        <v>170</v>
      </c>
      <c r="O2643" s="10">
        <f>IFERROR(VLOOKUP(A2643,Flete!$A:$J,10,0),"")</f>
        <v/>
      </c>
      <c r="P2643" s="8" t="inlineStr">
        <is>
          <t>M3</t>
        </is>
      </c>
      <c r="Q2643" s="10">
        <f>IFERROR(IFERROR(VLOOKUP(A2643,TRAOPE!$A:$U,21,0),VLOOKUP(B2643,TRAOPE!$A:$U,21,0)),"")</f>
        <v/>
      </c>
      <c r="R2643" s="8">
        <f>IFERROR(IFERROR(VLOOKUP(A2643,TRAOPE!$A:$W,23,0),VLOOKUP(B2643,TRAOPE!$A:$W,23,0)),"")</f>
        <v/>
      </c>
      <c r="S2643" s="10">
        <f>IF(AND(P2643="TN",R2643="TN"),N2643+N(O2643),IF(G2643&amp;""="1",N(K2643)*N2643,(N2643+N(O2643))*N(K2643)))</f>
        <v/>
      </c>
      <c r="T2643" s="10">
        <f>IF(Q2643="","",Q2643-S2643)</f>
        <v/>
      </c>
    </row>
    <row r="2644">
      <c r="A2644" s="7">
        <f>CONCATENATE(C2644,E2644,F2644,I2644)</f>
        <v/>
      </c>
      <c r="B2644" s="7">
        <f>CONCATENATE(C2644,E2644,I2644)</f>
        <v/>
      </c>
      <c r="C2644" s="8" t="n">
        <v>900006543</v>
      </c>
      <c r="D2644" s="7">
        <f>IFERROR(VLOOKUP(C2644,TRAOPE!$G:$H,2,0),"")</f>
        <v/>
      </c>
      <c r="E2644" s="8" t="inlineStr">
        <is>
          <t>D836</t>
        </is>
      </c>
      <c r="F2644" s="8" t="inlineStr">
        <is>
          <t>67224043</t>
        </is>
      </c>
      <c r="G2644" s="8">
        <f>IFERROR(VLOOKUP(A2644,Flete!$A:$E,5,0),"")</f>
        <v/>
      </c>
      <c r="H2644" s="7">
        <f>IFERROR(VLOOKUP(F2644,TRAOPE!$AA:$AB,2,0),"")</f>
        <v/>
      </c>
      <c r="I2644" s="7" t="n">
        <v>10185477</v>
      </c>
      <c r="J2644" s="7">
        <f>IFERROR(VLOOKUP(I2644,Materiales!$A:$H,8,0),"")</f>
        <v/>
      </c>
      <c r="K2644" s="9">
        <f>IFERROR(VLOOKUP(I2644,Materiales!$A:$G,7,0),"")</f>
        <v/>
      </c>
      <c r="L2644" s="8" t="inlineStr">
        <is>
          <t>20260304</t>
        </is>
      </c>
      <c r="M2644" s="8" t="inlineStr">
        <is>
          <t>99991231</t>
        </is>
      </c>
      <c r="N2644" s="10" t="n">
        <v>180</v>
      </c>
      <c r="O2644" s="10">
        <f>IFERROR(VLOOKUP(A2644,Flete!$A:$J,10,0),"")</f>
        <v/>
      </c>
      <c r="P2644" s="8" t="inlineStr">
        <is>
          <t>M3</t>
        </is>
      </c>
      <c r="Q2644" s="10">
        <f>IFERROR(IFERROR(VLOOKUP(A2644,TRAOPE!$A:$U,21,0),VLOOKUP(B2644,TRAOPE!$A:$U,21,0)),"")</f>
        <v/>
      </c>
      <c r="R2644" s="8">
        <f>IFERROR(IFERROR(VLOOKUP(A2644,TRAOPE!$A:$W,23,0),VLOOKUP(B2644,TRAOPE!$A:$W,23,0)),"")</f>
        <v/>
      </c>
      <c r="S2644" s="10">
        <f>IF(AND(P2644="TN",R2644="TN"),N2644+N(O2644),IF(G2644&amp;""="1",N(K2644)*N2644,(N2644+N(O2644))*N(K2644)))</f>
        <v/>
      </c>
      <c r="T2644" s="10">
        <f>IF(Q2644="","",Q2644-S2644)</f>
        <v/>
      </c>
    </row>
    <row r="2645">
      <c r="A2645" s="7">
        <f>CONCATENATE(C2645,E2645,F2645,I2645)</f>
        <v/>
      </c>
      <c r="B2645" s="7">
        <f>CONCATENATE(C2645,E2645,I2645)</f>
        <v/>
      </c>
      <c r="C2645" s="8" t="n">
        <v>900006543</v>
      </c>
      <c r="D2645" s="7">
        <f>IFERROR(VLOOKUP(C2645,TRAOPE!$G:$H,2,0),"")</f>
        <v/>
      </c>
      <c r="E2645" s="8" t="inlineStr">
        <is>
          <t>D836</t>
        </is>
      </c>
      <c r="F2645" s="8" t="inlineStr">
        <is>
          <t>67243408</t>
        </is>
      </c>
      <c r="G2645" s="8">
        <f>IFERROR(VLOOKUP(A2645,Flete!$A:$E,5,0),"")</f>
        <v/>
      </c>
      <c r="H2645" s="7">
        <f>IFERROR(VLOOKUP(F2645,TRAOPE!$AA:$AB,2,0),"")</f>
        <v/>
      </c>
      <c r="I2645" s="7" t="n">
        <v>10185476</v>
      </c>
      <c r="J2645" s="7">
        <f>IFERROR(VLOOKUP(I2645,Materiales!$A:$H,8,0),"")</f>
        <v/>
      </c>
      <c r="K2645" s="9">
        <f>IFERROR(VLOOKUP(I2645,Materiales!$A:$G,7,0),"")</f>
        <v/>
      </c>
      <c r="L2645" s="8" t="inlineStr">
        <is>
          <t>20260318</t>
        </is>
      </c>
      <c r="M2645" s="8" t="inlineStr">
        <is>
          <t>99991231</t>
        </is>
      </c>
      <c r="N2645" s="10" t="n">
        <v>170</v>
      </c>
      <c r="O2645" s="10">
        <f>IFERROR(VLOOKUP(A2645,Flete!$A:$J,10,0),"")</f>
        <v/>
      </c>
      <c r="P2645" s="8" t="inlineStr">
        <is>
          <t>M3</t>
        </is>
      </c>
      <c r="Q2645" s="10">
        <f>IFERROR(IFERROR(VLOOKUP(A2645,TRAOPE!$A:$U,21,0),VLOOKUP(B2645,TRAOPE!$A:$U,21,0)),"")</f>
        <v/>
      </c>
      <c r="R2645" s="8">
        <f>IFERROR(IFERROR(VLOOKUP(A2645,TRAOPE!$A:$W,23,0),VLOOKUP(B2645,TRAOPE!$A:$W,23,0)),"")</f>
        <v/>
      </c>
      <c r="S2645" s="10">
        <f>IF(AND(P2645="TN",R2645="TN"),N2645+N(O2645),IF(G2645&amp;""="1",N(K2645)*N2645,(N2645+N(O2645))*N(K2645)))</f>
        <v/>
      </c>
      <c r="T2645" s="10">
        <f>IF(Q2645="","",Q2645-S2645)</f>
        <v/>
      </c>
    </row>
    <row r="2646">
      <c r="A2646" s="7">
        <f>CONCATENATE(C2646,E2646,F2646,I2646)</f>
        <v/>
      </c>
      <c r="B2646" s="7">
        <f>CONCATENATE(C2646,E2646,I2646)</f>
        <v/>
      </c>
      <c r="C2646" s="8" t="n">
        <v>900006543</v>
      </c>
      <c r="D2646" s="7">
        <f>IFERROR(VLOOKUP(C2646,TRAOPE!$G:$H,2,0),"")</f>
        <v/>
      </c>
      <c r="E2646" s="8" t="inlineStr">
        <is>
          <t>D836</t>
        </is>
      </c>
      <c r="F2646" s="8" t="inlineStr">
        <is>
          <t>67243408</t>
        </is>
      </c>
      <c r="G2646" s="8">
        <f>IFERROR(VLOOKUP(A2646,Flete!$A:$E,5,0),"")</f>
        <v/>
      </c>
      <c r="H2646" s="7">
        <f>IFERROR(VLOOKUP(F2646,TRAOPE!$AA:$AB,2,0),"")</f>
        <v/>
      </c>
      <c r="I2646" s="7" t="n">
        <v>10185477</v>
      </c>
      <c r="J2646" s="7">
        <f>IFERROR(VLOOKUP(I2646,Materiales!$A:$H,8,0),"")</f>
        <v/>
      </c>
      <c r="K2646" s="9">
        <f>IFERROR(VLOOKUP(I2646,Materiales!$A:$G,7,0),"")</f>
        <v/>
      </c>
      <c r="L2646" s="8" t="inlineStr">
        <is>
          <t>20260318</t>
        </is>
      </c>
      <c r="M2646" s="8" t="inlineStr">
        <is>
          <t>99991231</t>
        </is>
      </c>
      <c r="N2646" s="10" t="n">
        <v>180</v>
      </c>
      <c r="O2646" s="10">
        <f>IFERROR(VLOOKUP(A2646,Flete!$A:$J,10,0),"")</f>
        <v/>
      </c>
      <c r="P2646" s="8" t="inlineStr">
        <is>
          <t>M3</t>
        </is>
      </c>
      <c r="Q2646" s="10">
        <f>IFERROR(IFERROR(VLOOKUP(A2646,TRAOPE!$A:$U,21,0),VLOOKUP(B2646,TRAOPE!$A:$U,21,0)),"")</f>
        <v/>
      </c>
      <c r="R2646" s="8">
        <f>IFERROR(IFERROR(VLOOKUP(A2646,TRAOPE!$A:$W,23,0),VLOOKUP(B2646,TRAOPE!$A:$W,23,0)),"")</f>
        <v/>
      </c>
      <c r="S2646" s="10">
        <f>IF(AND(P2646="TN",R2646="TN"),N2646+N(O2646),IF(G2646&amp;""="1",N(K2646)*N2646,(N2646+N(O2646))*N(K2646)))</f>
        <v/>
      </c>
      <c r="T2646" s="10">
        <f>IF(Q2646="","",Q2646-S2646)</f>
        <v/>
      </c>
    </row>
    <row r="2647">
      <c r="A2647" s="7">
        <f>CONCATENATE(C2647,E2647,F2647,I2647)</f>
        <v/>
      </c>
      <c r="B2647" s="7">
        <f>CONCATENATE(C2647,E2647,I2647)</f>
        <v/>
      </c>
      <c r="C2647" s="8" t="n">
        <v>900006543</v>
      </c>
      <c r="D2647" s="7">
        <f>IFERROR(VLOOKUP(C2647,TRAOPE!$G:$H,2,0),"")</f>
        <v/>
      </c>
      <c r="E2647" s="8" t="inlineStr">
        <is>
          <t>D836</t>
        </is>
      </c>
      <c r="F2647" s="8" t="inlineStr">
        <is>
          <t>67244113</t>
        </is>
      </c>
      <c r="G2647" s="8">
        <f>IFERROR(VLOOKUP(A2647,Flete!$A:$E,5,0),"")</f>
        <v/>
      </c>
      <c r="H2647" s="7">
        <f>IFERROR(VLOOKUP(F2647,TRAOPE!$AA:$AB,2,0),"")</f>
        <v/>
      </c>
      <c r="I2647" s="7" t="n">
        <v>10185476</v>
      </c>
      <c r="J2647" s="7">
        <f>IFERROR(VLOOKUP(I2647,Materiales!$A:$H,8,0),"")</f>
        <v/>
      </c>
      <c r="K2647" s="9">
        <f>IFERROR(VLOOKUP(I2647,Materiales!$A:$G,7,0),"")</f>
        <v/>
      </c>
      <c r="L2647" s="8" t="inlineStr">
        <is>
          <t>20260304</t>
        </is>
      </c>
      <c r="M2647" s="8" t="inlineStr">
        <is>
          <t>99991231</t>
        </is>
      </c>
      <c r="N2647" s="10" t="n">
        <v>170</v>
      </c>
      <c r="O2647" s="10">
        <f>IFERROR(VLOOKUP(A2647,Flete!$A:$J,10,0),"")</f>
        <v/>
      </c>
      <c r="P2647" s="8" t="inlineStr">
        <is>
          <t>M3</t>
        </is>
      </c>
      <c r="Q2647" s="10">
        <f>IFERROR(IFERROR(VLOOKUP(A2647,TRAOPE!$A:$U,21,0),VLOOKUP(B2647,TRAOPE!$A:$U,21,0)),"")</f>
        <v/>
      </c>
      <c r="R2647" s="8">
        <f>IFERROR(IFERROR(VLOOKUP(A2647,TRAOPE!$A:$W,23,0),VLOOKUP(B2647,TRAOPE!$A:$W,23,0)),"")</f>
        <v/>
      </c>
      <c r="S2647" s="10">
        <f>IF(AND(P2647="TN",R2647="TN"),N2647+N(O2647),IF(G2647&amp;""="1",N(K2647)*N2647,(N2647+N(O2647))*N(K2647)))</f>
        <v/>
      </c>
      <c r="T2647" s="10">
        <f>IF(Q2647="","",Q2647-S2647)</f>
        <v/>
      </c>
    </row>
    <row r="2648">
      <c r="A2648" s="7">
        <f>CONCATENATE(C2648,E2648,F2648,I2648)</f>
        <v/>
      </c>
      <c r="B2648" s="7">
        <f>CONCATENATE(C2648,E2648,I2648)</f>
        <v/>
      </c>
      <c r="C2648" s="8" t="n">
        <v>900006543</v>
      </c>
      <c r="D2648" s="7">
        <f>IFERROR(VLOOKUP(C2648,TRAOPE!$G:$H,2,0),"")</f>
        <v/>
      </c>
      <c r="E2648" s="8" t="inlineStr">
        <is>
          <t>D836</t>
        </is>
      </c>
      <c r="F2648" s="8" t="inlineStr">
        <is>
          <t>67277158</t>
        </is>
      </c>
      <c r="G2648" s="8">
        <f>IFERROR(VLOOKUP(A2648,Flete!$A:$E,5,0),"")</f>
        <v/>
      </c>
      <c r="H2648" s="7">
        <f>IFERROR(VLOOKUP(F2648,TRAOPE!$AA:$AB,2,0),"")</f>
        <v/>
      </c>
      <c r="I2648" s="7" t="n">
        <v>10185477</v>
      </c>
      <c r="J2648" s="7">
        <f>IFERROR(VLOOKUP(I2648,Materiales!$A:$H,8,0),"")</f>
        <v/>
      </c>
      <c r="K2648" s="9">
        <f>IFERROR(VLOOKUP(I2648,Materiales!$A:$G,7,0),"")</f>
        <v/>
      </c>
      <c r="L2648" s="8" t="inlineStr">
        <is>
          <t>20260304</t>
        </is>
      </c>
      <c r="M2648" s="8" t="inlineStr">
        <is>
          <t>99991231</t>
        </is>
      </c>
      <c r="N2648" s="10" t="n">
        <v>170</v>
      </c>
      <c r="O2648" s="10">
        <f>IFERROR(VLOOKUP(A2648,Flete!$A:$J,10,0),"")</f>
        <v/>
      </c>
      <c r="P2648" s="8" t="inlineStr">
        <is>
          <t>M3</t>
        </is>
      </c>
      <c r="Q2648" s="10">
        <f>IFERROR(IFERROR(VLOOKUP(A2648,TRAOPE!$A:$U,21,0),VLOOKUP(B2648,TRAOPE!$A:$U,21,0)),"")</f>
        <v/>
      </c>
      <c r="R2648" s="8">
        <f>IFERROR(IFERROR(VLOOKUP(A2648,TRAOPE!$A:$W,23,0),VLOOKUP(B2648,TRAOPE!$A:$W,23,0)),"")</f>
        <v/>
      </c>
      <c r="S2648" s="10">
        <f>IF(AND(P2648="TN",R2648="TN"),N2648+N(O2648),IF(G2648&amp;""="1",N(K2648)*N2648,(N2648+N(O2648))*N(K2648)))</f>
        <v/>
      </c>
      <c r="T2648" s="10">
        <f>IF(Q2648="","",Q2648-S2648)</f>
        <v/>
      </c>
    </row>
    <row r="2649">
      <c r="A2649" s="7">
        <f>CONCATENATE(C2649,E2649,F2649,I2649)</f>
        <v/>
      </c>
      <c r="B2649" s="7">
        <f>CONCATENATE(C2649,E2649,I2649)</f>
        <v/>
      </c>
      <c r="C2649" s="8" t="n">
        <v>900006543</v>
      </c>
      <c r="D2649" s="7">
        <f>IFERROR(VLOOKUP(C2649,TRAOPE!$G:$H,2,0),"")</f>
        <v/>
      </c>
      <c r="E2649" s="8" t="inlineStr">
        <is>
          <t>D836</t>
        </is>
      </c>
      <c r="F2649" s="8" t="inlineStr">
        <is>
          <t>67277485</t>
        </is>
      </c>
      <c r="G2649" s="8">
        <f>IFERROR(VLOOKUP(A2649,Flete!$A:$E,5,0),"")</f>
        <v/>
      </c>
      <c r="H2649" s="7">
        <f>IFERROR(VLOOKUP(F2649,TRAOPE!$AA:$AB,2,0),"")</f>
        <v/>
      </c>
      <c r="I2649" s="7" t="n">
        <v>10185476</v>
      </c>
      <c r="J2649" s="7">
        <f>IFERROR(VLOOKUP(I2649,Materiales!$A:$H,8,0),"")</f>
        <v/>
      </c>
      <c r="K2649" s="9">
        <f>IFERROR(VLOOKUP(I2649,Materiales!$A:$G,7,0),"")</f>
        <v/>
      </c>
      <c r="L2649" s="8" t="inlineStr">
        <is>
          <t>20260304</t>
        </is>
      </c>
      <c r="M2649" s="8" t="inlineStr">
        <is>
          <t>99991231</t>
        </is>
      </c>
      <c r="N2649" s="10" t="n">
        <v>170</v>
      </c>
      <c r="O2649" s="10">
        <f>IFERROR(VLOOKUP(A2649,Flete!$A:$J,10,0),"")</f>
        <v/>
      </c>
      <c r="P2649" s="8" t="inlineStr">
        <is>
          <t>M3</t>
        </is>
      </c>
      <c r="Q2649" s="10">
        <f>IFERROR(IFERROR(VLOOKUP(A2649,TRAOPE!$A:$U,21,0),VLOOKUP(B2649,TRAOPE!$A:$U,21,0)),"")</f>
        <v/>
      </c>
      <c r="R2649" s="8">
        <f>IFERROR(IFERROR(VLOOKUP(A2649,TRAOPE!$A:$W,23,0),VLOOKUP(B2649,TRAOPE!$A:$W,23,0)),"")</f>
        <v/>
      </c>
      <c r="S2649" s="10">
        <f>IF(AND(P2649="TN",R2649="TN"),N2649+N(O2649),IF(G2649&amp;""="1",N(K2649)*N2649,(N2649+N(O2649))*N(K2649)))</f>
        <v/>
      </c>
      <c r="T2649" s="10">
        <f>IF(Q2649="","",Q2649-S2649)</f>
        <v/>
      </c>
    </row>
    <row r="2650">
      <c r="A2650" s="7">
        <f>CONCATENATE(C2650,E2650,F2650,I2650)</f>
        <v/>
      </c>
      <c r="B2650" s="7">
        <f>CONCATENATE(C2650,E2650,I2650)</f>
        <v/>
      </c>
      <c r="C2650" s="8" t="n">
        <v>900006543</v>
      </c>
      <c r="D2650" s="7">
        <f>IFERROR(VLOOKUP(C2650,TRAOPE!$G:$H,2,0),"")</f>
        <v/>
      </c>
      <c r="E2650" s="8" t="inlineStr">
        <is>
          <t>D836</t>
        </is>
      </c>
      <c r="F2650" s="8" t="inlineStr">
        <is>
          <t>67277485</t>
        </is>
      </c>
      <c r="G2650" s="8">
        <f>IFERROR(VLOOKUP(A2650,Flete!$A:$E,5,0),"")</f>
        <v/>
      </c>
      <c r="H2650" s="7">
        <f>IFERROR(VLOOKUP(F2650,TRAOPE!$AA:$AB,2,0),"")</f>
        <v/>
      </c>
      <c r="I2650" s="7" t="n">
        <v>10185477</v>
      </c>
      <c r="J2650" s="7">
        <f>IFERROR(VLOOKUP(I2650,Materiales!$A:$H,8,0),"")</f>
        <v/>
      </c>
      <c r="K2650" s="9">
        <f>IFERROR(VLOOKUP(I2650,Materiales!$A:$G,7,0),"")</f>
        <v/>
      </c>
      <c r="L2650" s="8" t="inlineStr">
        <is>
          <t>20260304</t>
        </is>
      </c>
      <c r="M2650" s="8" t="inlineStr">
        <is>
          <t>99991231</t>
        </is>
      </c>
      <c r="N2650" s="10" t="n">
        <v>180</v>
      </c>
      <c r="O2650" s="10">
        <f>IFERROR(VLOOKUP(A2650,Flete!$A:$J,10,0),"")</f>
        <v/>
      </c>
      <c r="P2650" s="8" t="inlineStr">
        <is>
          <t>M3</t>
        </is>
      </c>
      <c r="Q2650" s="10">
        <f>IFERROR(IFERROR(VLOOKUP(A2650,TRAOPE!$A:$U,21,0),VLOOKUP(B2650,TRAOPE!$A:$U,21,0)),"")</f>
        <v/>
      </c>
      <c r="R2650" s="8">
        <f>IFERROR(IFERROR(VLOOKUP(A2650,TRAOPE!$A:$W,23,0),VLOOKUP(B2650,TRAOPE!$A:$W,23,0)),"")</f>
        <v/>
      </c>
      <c r="S2650" s="10">
        <f>IF(AND(P2650="TN",R2650="TN"),N2650+N(O2650),IF(G2650&amp;""="1",N(K2650)*N2650,(N2650+N(O2650))*N(K2650)))</f>
        <v/>
      </c>
      <c r="T2650" s="10">
        <f>IF(Q2650="","",Q2650-S2650)</f>
        <v/>
      </c>
    </row>
    <row r="2651">
      <c r="A2651" s="7">
        <f>CONCATENATE(C2651,E2651,F2651,I2651)</f>
        <v/>
      </c>
      <c r="B2651" s="7">
        <f>CONCATENATE(C2651,E2651,I2651)</f>
        <v/>
      </c>
      <c r="C2651" s="8" t="n">
        <v>900006543</v>
      </c>
      <c r="D2651" s="7">
        <f>IFERROR(VLOOKUP(C2651,TRAOPE!$G:$H,2,0),"")</f>
        <v/>
      </c>
      <c r="E2651" s="8" t="inlineStr">
        <is>
          <t>D836</t>
        </is>
      </c>
      <c r="F2651" s="8" t="inlineStr">
        <is>
          <t>67322499</t>
        </is>
      </c>
      <c r="G2651" s="8">
        <f>IFERROR(VLOOKUP(A2651,Flete!$A:$E,5,0),"")</f>
        <v/>
      </c>
      <c r="H2651" s="7">
        <f>IFERROR(VLOOKUP(F2651,TRAOPE!$AA:$AB,2,0),"")</f>
        <v/>
      </c>
      <c r="I2651" s="7" t="n">
        <v>10185476</v>
      </c>
      <c r="J2651" s="7">
        <f>IFERROR(VLOOKUP(I2651,Materiales!$A:$H,8,0),"")</f>
        <v/>
      </c>
      <c r="K2651" s="9">
        <f>IFERROR(VLOOKUP(I2651,Materiales!$A:$G,7,0),"")</f>
        <v/>
      </c>
      <c r="L2651" s="8" t="inlineStr">
        <is>
          <t>20260318</t>
        </is>
      </c>
      <c r="M2651" s="8" t="inlineStr">
        <is>
          <t>99991231</t>
        </is>
      </c>
      <c r="N2651" s="10" t="n">
        <v>170</v>
      </c>
      <c r="O2651" s="10">
        <f>IFERROR(VLOOKUP(A2651,Flete!$A:$J,10,0),"")</f>
        <v/>
      </c>
      <c r="P2651" s="8" t="inlineStr">
        <is>
          <t>M3</t>
        </is>
      </c>
      <c r="Q2651" s="10">
        <f>IFERROR(IFERROR(VLOOKUP(A2651,TRAOPE!$A:$U,21,0),VLOOKUP(B2651,TRAOPE!$A:$U,21,0)),"")</f>
        <v/>
      </c>
      <c r="R2651" s="8">
        <f>IFERROR(IFERROR(VLOOKUP(A2651,TRAOPE!$A:$W,23,0),VLOOKUP(B2651,TRAOPE!$A:$W,23,0)),"")</f>
        <v/>
      </c>
      <c r="S2651" s="10">
        <f>IF(AND(P2651="TN",R2651="TN"),N2651+N(O2651),IF(G2651&amp;""="1",N(K2651)*N2651,(N2651+N(O2651))*N(K2651)))</f>
        <v/>
      </c>
      <c r="T2651" s="10">
        <f>IF(Q2651="","",Q2651-S2651)</f>
        <v/>
      </c>
    </row>
    <row r="2652">
      <c r="A2652" s="7">
        <f>CONCATENATE(C2652,E2652,F2652,I2652)</f>
        <v/>
      </c>
      <c r="B2652" s="7">
        <f>CONCATENATE(C2652,E2652,I2652)</f>
        <v/>
      </c>
      <c r="C2652" s="8" t="n">
        <v>900006543</v>
      </c>
      <c r="D2652" s="7">
        <f>IFERROR(VLOOKUP(C2652,TRAOPE!$G:$H,2,0),"")</f>
        <v/>
      </c>
      <c r="E2652" s="8" t="inlineStr">
        <is>
          <t>D836</t>
        </is>
      </c>
      <c r="F2652" s="8" t="inlineStr">
        <is>
          <t>67322499</t>
        </is>
      </c>
      <c r="G2652" s="8">
        <f>IFERROR(VLOOKUP(A2652,Flete!$A:$E,5,0),"")</f>
        <v/>
      </c>
      <c r="H2652" s="7">
        <f>IFERROR(VLOOKUP(F2652,TRAOPE!$AA:$AB,2,0),"")</f>
        <v/>
      </c>
      <c r="I2652" s="7" t="n">
        <v>10185477</v>
      </c>
      <c r="J2652" s="7">
        <f>IFERROR(VLOOKUP(I2652,Materiales!$A:$H,8,0),"")</f>
        <v/>
      </c>
      <c r="K2652" s="9">
        <f>IFERROR(VLOOKUP(I2652,Materiales!$A:$G,7,0),"")</f>
        <v/>
      </c>
      <c r="L2652" s="8" t="inlineStr">
        <is>
          <t>20260318</t>
        </is>
      </c>
      <c r="M2652" s="8" t="inlineStr">
        <is>
          <t>99991231</t>
        </is>
      </c>
      <c r="N2652" s="10" t="n">
        <v>180</v>
      </c>
      <c r="O2652" s="10">
        <f>IFERROR(VLOOKUP(A2652,Flete!$A:$J,10,0),"")</f>
        <v/>
      </c>
      <c r="P2652" s="8" t="inlineStr">
        <is>
          <t>M3</t>
        </is>
      </c>
      <c r="Q2652" s="10">
        <f>IFERROR(IFERROR(VLOOKUP(A2652,TRAOPE!$A:$U,21,0),VLOOKUP(B2652,TRAOPE!$A:$U,21,0)),"")</f>
        <v/>
      </c>
      <c r="R2652" s="8">
        <f>IFERROR(IFERROR(VLOOKUP(A2652,TRAOPE!$A:$W,23,0),VLOOKUP(B2652,TRAOPE!$A:$W,23,0)),"")</f>
        <v/>
      </c>
      <c r="S2652" s="10">
        <f>IF(AND(P2652="TN",R2652="TN"),N2652+N(O2652),IF(G2652&amp;""="1",N(K2652)*N2652,(N2652+N(O2652))*N(K2652)))</f>
        <v/>
      </c>
      <c r="T2652" s="10">
        <f>IF(Q2652="","",Q2652-S2652)</f>
        <v/>
      </c>
    </row>
    <row r="2653">
      <c r="A2653" s="7">
        <f>CONCATENATE(C2653,E2653,F2653,I2653)</f>
        <v/>
      </c>
      <c r="B2653" s="7">
        <f>CONCATENATE(C2653,E2653,I2653)</f>
        <v/>
      </c>
      <c r="C2653" s="8" t="n">
        <v>900006543</v>
      </c>
      <c r="D2653" s="7">
        <f>IFERROR(VLOOKUP(C2653,TRAOPE!$G:$H,2,0),"")</f>
        <v/>
      </c>
      <c r="E2653" s="8" t="inlineStr">
        <is>
          <t>D836</t>
        </is>
      </c>
      <c r="F2653" s="8" t="inlineStr">
        <is>
          <t>67347709</t>
        </is>
      </c>
      <c r="G2653" s="8">
        <f>IFERROR(VLOOKUP(A2653,Flete!$A:$E,5,0),"")</f>
        <v/>
      </c>
      <c r="H2653" s="7">
        <f>IFERROR(VLOOKUP(F2653,TRAOPE!$AA:$AB,2,0),"")</f>
        <v/>
      </c>
      <c r="I2653" s="7" t="n">
        <v>10185476</v>
      </c>
      <c r="J2653" s="7">
        <f>IFERROR(VLOOKUP(I2653,Materiales!$A:$H,8,0),"")</f>
        <v/>
      </c>
      <c r="K2653" s="9">
        <f>IFERROR(VLOOKUP(I2653,Materiales!$A:$G,7,0),"")</f>
        <v/>
      </c>
      <c r="L2653" s="8" t="inlineStr">
        <is>
          <t>20260325</t>
        </is>
      </c>
      <c r="M2653" s="8" t="inlineStr">
        <is>
          <t>99991231</t>
        </is>
      </c>
      <c r="N2653" s="10" t="n">
        <v>170</v>
      </c>
      <c r="O2653" s="10">
        <f>IFERROR(VLOOKUP(A2653,Flete!$A:$J,10,0),"")</f>
        <v/>
      </c>
      <c r="P2653" s="8" t="inlineStr">
        <is>
          <t>M3</t>
        </is>
      </c>
      <c r="Q2653" s="10">
        <f>IFERROR(IFERROR(VLOOKUP(A2653,TRAOPE!$A:$U,21,0),VLOOKUP(B2653,TRAOPE!$A:$U,21,0)),"")</f>
        <v/>
      </c>
      <c r="R2653" s="8">
        <f>IFERROR(IFERROR(VLOOKUP(A2653,TRAOPE!$A:$W,23,0),VLOOKUP(B2653,TRAOPE!$A:$W,23,0)),"")</f>
        <v/>
      </c>
      <c r="S2653" s="10">
        <f>IF(AND(P2653="TN",R2653="TN"),N2653+N(O2653),IF(G2653&amp;""="1",N(K2653)*N2653,(N2653+N(O2653))*N(K2653)))</f>
        <v/>
      </c>
      <c r="T2653" s="10">
        <f>IF(Q2653="","",Q2653-S2653)</f>
        <v/>
      </c>
    </row>
    <row r="2654">
      <c r="A2654" s="7">
        <f>CONCATENATE(C2654,E2654,F2654,I2654)</f>
        <v/>
      </c>
      <c r="B2654" s="7">
        <f>CONCATENATE(C2654,E2654,I2654)</f>
        <v/>
      </c>
      <c r="C2654" s="8" t="n">
        <v>900006543</v>
      </c>
      <c r="D2654" s="7">
        <f>IFERROR(VLOOKUP(C2654,TRAOPE!$G:$H,2,0),"")</f>
        <v/>
      </c>
      <c r="E2654" s="8" t="inlineStr">
        <is>
          <t>D836</t>
        </is>
      </c>
      <c r="F2654" s="8" t="inlineStr">
        <is>
          <t>67347709</t>
        </is>
      </c>
      <c r="G2654" s="8">
        <f>IFERROR(VLOOKUP(A2654,Flete!$A:$E,5,0),"")</f>
        <v/>
      </c>
      <c r="H2654" s="7">
        <f>IFERROR(VLOOKUP(F2654,TRAOPE!$AA:$AB,2,0),"")</f>
        <v/>
      </c>
      <c r="I2654" s="7" t="n">
        <v>10185477</v>
      </c>
      <c r="J2654" s="7">
        <f>IFERROR(VLOOKUP(I2654,Materiales!$A:$H,8,0),"")</f>
        <v/>
      </c>
      <c r="K2654" s="9">
        <f>IFERROR(VLOOKUP(I2654,Materiales!$A:$G,7,0),"")</f>
        <v/>
      </c>
      <c r="L2654" s="8" t="inlineStr">
        <is>
          <t>20260325</t>
        </is>
      </c>
      <c r="M2654" s="8" t="inlineStr">
        <is>
          <t>99991231</t>
        </is>
      </c>
      <c r="N2654" s="10" t="n">
        <v>180</v>
      </c>
      <c r="O2654" s="10">
        <f>IFERROR(VLOOKUP(A2654,Flete!$A:$J,10,0),"")</f>
        <v/>
      </c>
      <c r="P2654" s="8" t="inlineStr">
        <is>
          <t>M3</t>
        </is>
      </c>
      <c r="Q2654" s="10">
        <f>IFERROR(IFERROR(VLOOKUP(A2654,TRAOPE!$A:$U,21,0),VLOOKUP(B2654,TRAOPE!$A:$U,21,0)),"")</f>
        <v/>
      </c>
      <c r="R2654" s="8">
        <f>IFERROR(IFERROR(VLOOKUP(A2654,TRAOPE!$A:$W,23,0),VLOOKUP(B2654,TRAOPE!$A:$W,23,0)),"")</f>
        <v/>
      </c>
      <c r="S2654" s="10">
        <f>IF(AND(P2654="TN",R2654="TN"),N2654+N(O2654),IF(G2654&amp;""="1",N(K2654)*N2654,(N2654+N(O2654))*N(K2654)))</f>
        <v/>
      </c>
      <c r="T2654" s="10">
        <f>IF(Q2654="","",Q2654-S2654)</f>
        <v/>
      </c>
    </row>
    <row r="2655">
      <c r="A2655" s="7">
        <f>CONCATENATE(C2655,E2655,F2655,I2655)</f>
        <v/>
      </c>
      <c r="B2655" s="7">
        <f>CONCATENATE(C2655,E2655,I2655)</f>
        <v/>
      </c>
      <c r="C2655" s="8" t="n">
        <v>900006543</v>
      </c>
      <c r="D2655" s="7">
        <f>IFERROR(VLOOKUP(C2655,TRAOPE!$G:$H,2,0),"")</f>
        <v/>
      </c>
      <c r="E2655" s="8" t="inlineStr">
        <is>
          <t>D836</t>
        </is>
      </c>
      <c r="F2655" s="8" t="inlineStr">
        <is>
          <t>67358631</t>
        </is>
      </c>
      <c r="G2655" s="8">
        <f>IFERROR(VLOOKUP(A2655,Flete!$A:$E,5,0),"")</f>
        <v/>
      </c>
      <c r="H2655" s="7">
        <f>IFERROR(VLOOKUP(F2655,TRAOPE!$AA:$AB,2,0),"")</f>
        <v/>
      </c>
      <c r="I2655" s="7" t="n">
        <v>10000627</v>
      </c>
      <c r="J2655" s="7">
        <f>IFERROR(VLOOKUP(I2655,Materiales!$A:$H,8,0),"")</f>
        <v/>
      </c>
      <c r="K2655" s="9">
        <f>IFERROR(VLOOKUP(I2655,Materiales!$A:$G,7,0),"")</f>
        <v/>
      </c>
      <c r="L2655" s="8" t="inlineStr">
        <is>
          <t>20251216</t>
        </is>
      </c>
      <c r="M2655" s="8" t="inlineStr">
        <is>
          <t>99991231</t>
        </is>
      </c>
      <c r="N2655" s="10" t="n">
        <v>130.79</v>
      </c>
      <c r="O2655" s="10">
        <f>IFERROR(VLOOKUP(A2655,Flete!$A:$J,10,0),"")</f>
        <v/>
      </c>
      <c r="P2655" s="8" t="inlineStr">
        <is>
          <t>M3</t>
        </is>
      </c>
      <c r="Q2655" s="10">
        <f>IFERROR(IFERROR(VLOOKUP(A2655,TRAOPE!$A:$U,21,0),VLOOKUP(B2655,TRAOPE!$A:$U,21,0)),"")</f>
        <v/>
      </c>
      <c r="R2655" s="8">
        <f>IFERROR(IFERROR(VLOOKUP(A2655,TRAOPE!$A:$W,23,0),VLOOKUP(B2655,TRAOPE!$A:$W,23,0)),"")</f>
        <v/>
      </c>
      <c r="S2655" s="10">
        <f>IF(AND(P2655="TN",R2655="TN"),N2655+N(O2655),IF(G2655&amp;""="1",N(K2655)*N2655,(N2655+N(O2655))*N(K2655)))</f>
        <v/>
      </c>
      <c r="T2655" s="10">
        <f>IF(Q2655="","",Q2655-S2655)</f>
        <v/>
      </c>
    </row>
    <row r="2656">
      <c r="A2656" s="7">
        <f>CONCATENATE(C2656,E2656,F2656,I2656)</f>
        <v/>
      </c>
      <c r="B2656" s="7">
        <f>CONCATENATE(C2656,E2656,I2656)</f>
        <v/>
      </c>
      <c r="C2656" s="8" t="n">
        <v>900006543</v>
      </c>
      <c r="D2656" s="7">
        <f>IFERROR(VLOOKUP(C2656,TRAOPE!$G:$H,2,0),"")</f>
        <v/>
      </c>
      <c r="E2656" s="8" t="inlineStr">
        <is>
          <t>D836</t>
        </is>
      </c>
      <c r="F2656" s="8" t="inlineStr">
        <is>
          <t>67358631</t>
        </is>
      </c>
      <c r="G2656" s="8">
        <f>IFERROR(VLOOKUP(A2656,Flete!$A:$E,5,0),"")</f>
        <v/>
      </c>
      <c r="H2656" s="7">
        <f>IFERROR(VLOOKUP(F2656,TRAOPE!$AA:$AB,2,0),"")</f>
        <v/>
      </c>
      <c r="I2656" s="7" t="n">
        <v>10185476</v>
      </c>
      <c r="J2656" s="7">
        <f>IFERROR(VLOOKUP(I2656,Materiales!$A:$H,8,0),"")</f>
        <v/>
      </c>
      <c r="K2656" s="9">
        <f>IFERROR(VLOOKUP(I2656,Materiales!$A:$G,7,0),"")</f>
        <v/>
      </c>
      <c r="L2656" s="8" t="inlineStr">
        <is>
          <t>20260304</t>
        </is>
      </c>
      <c r="M2656" s="8" t="inlineStr">
        <is>
          <t>99991231</t>
        </is>
      </c>
      <c r="N2656" s="10" t="n">
        <v>170</v>
      </c>
      <c r="O2656" s="10">
        <f>IFERROR(VLOOKUP(A2656,Flete!$A:$J,10,0),"")</f>
        <v/>
      </c>
      <c r="P2656" s="8" t="inlineStr">
        <is>
          <t>M3</t>
        </is>
      </c>
      <c r="Q2656" s="10">
        <f>IFERROR(IFERROR(VLOOKUP(A2656,TRAOPE!$A:$U,21,0),VLOOKUP(B2656,TRAOPE!$A:$U,21,0)),"")</f>
        <v/>
      </c>
      <c r="R2656" s="8">
        <f>IFERROR(IFERROR(VLOOKUP(A2656,TRAOPE!$A:$W,23,0),VLOOKUP(B2656,TRAOPE!$A:$W,23,0)),"")</f>
        <v/>
      </c>
      <c r="S2656" s="10">
        <f>IF(AND(P2656="TN",R2656="TN"),N2656+N(O2656),IF(G2656&amp;""="1",N(K2656)*N2656,(N2656+N(O2656))*N(K2656)))</f>
        <v/>
      </c>
      <c r="T2656" s="10">
        <f>IF(Q2656="","",Q2656-S2656)</f>
        <v/>
      </c>
    </row>
    <row r="2657">
      <c r="A2657" s="7">
        <f>CONCATENATE(C2657,E2657,F2657,I2657)</f>
        <v/>
      </c>
      <c r="B2657" s="7">
        <f>CONCATENATE(C2657,E2657,I2657)</f>
        <v/>
      </c>
      <c r="C2657" s="8" t="n">
        <v>900006543</v>
      </c>
      <c r="D2657" s="7">
        <f>IFERROR(VLOOKUP(C2657,TRAOPE!$G:$H,2,0),"")</f>
        <v/>
      </c>
      <c r="E2657" s="8" t="inlineStr">
        <is>
          <t>D836</t>
        </is>
      </c>
      <c r="F2657" s="8" t="inlineStr">
        <is>
          <t>67358631</t>
        </is>
      </c>
      <c r="G2657" s="8">
        <f>IFERROR(VLOOKUP(A2657,Flete!$A:$E,5,0),"")</f>
        <v/>
      </c>
      <c r="H2657" s="7">
        <f>IFERROR(VLOOKUP(F2657,TRAOPE!$AA:$AB,2,0),"")</f>
        <v/>
      </c>
      <c r="I2657" s="7" t="n">
        <v>10185477</v>
      </c>
      <c r="J2657" s="7">
        <f>IFERROR(VLOOKUP(I2657,Materiales!$A:$H,8,0),"")</f>
        <v/>
      </c>
      <c r="K2657" s="9">
        <f>IFERROR(VLOOKUP(I2657,Materiales!$A:$G,7,0),"")</f>
        <v/>
      </c>
      <c r="L2657" s="8" t="inlineStr">
        <is>
          <t>20260304</t>
        </is>
      </c>
      <c r="M2657" s="8" t="inlineStr">
        <is>
          <t>99991231</t>
        </is>
      </c>
      <c r="N2657" s="10" t="n">
        <v>180</v>
      </c>
      <c r="O2657" s="10">
        <f>IFERROR(VLOOKUP(A2657,Flete!$A:$J,10,0),"")</f>
        <v/>
      </c>
      <c r="P2657" s="8" t="inlineStr">
        <is>
          <t>M3</t>
        </is>
      </c>
      <c r="Q2657" s="10">
        <f>IFERROR(IFERROR(VLOOKUP(A2657,TRAOPE!$A:$U,21,0),VLOOKUP(B2657,TRAOPE!$A:$U,21,0)),"")</f>
        <v/>
      </c>
      <c r="R2657" s="8">
        <f>IFERROR(IFERROR(VLOOKUP(A2657,TRAOPE!$A:$W,23,0),VLOOKUP(B2657,TRAOPE!$A:$W,23,0)),"")</f>
        <v/>
      </c>
      <c r="S2657" s="10">
        <f>IF(AND(P2657="TN",R2657="TN"),N2657+N(O2657),IF(G2657&amp;""="1",N(K2657)*N2657,(N2657+N(O2657))*N(K2657)))</f>
        <v/>
      </c>
      <c r="T2657" s="10">
        <f>IF(Q2657="","",Q2657-S2657)</f>
        <v/>
      </c>
    </row>
    <row r="2658">
      <c r="A2658" s="7">
        <f>CONCATENATE(C2658,E2658,F2658,I2658)</f>
        <v/>
      </c>
      <c r="B2658" s="7">
        <f>CONCATENATE(C2658,E2658,I2658)</f>
        <v/>
      </c>
      <c r="C2658" s="8" t="n">
        <v>900006543</v>
      </c>
      <c r="D2658" s="7">
        <f>IFERROR(VLOOKUP(C2658,TRAOPE!$G:$H,2,0),"")</f>
        <v/>
      </c>
      <c r="E2658" s="8" t="inlineStr">
        <is>
          <t>D836</t>
        </is>
      </c>
      <c r="F2658" s="8" t="inlineStr">
        <is>
          <t>67365667</t>
        </is>
      </c>
      <c r="G2658" s="8">
        <f>IFERROR(VLOOKUP(A2658,Flete!$A:$E,5,0),"")</f>
        <v/>
      </c>
      <c r="H2658" s="7">
        <f>IFERROR(VLOOKUP(F2658,TRAOPE!$AA:$AB,2,0),"")</f>
        <v/>
      </c>
      <c r="I2658" s="7" t="n">
        <v>10185476</v>
      </c>
      <c r="J2658" s="7">
        <f>IFERROR(VLOOKUP(I2658,Materiales!$A:$H,8,0),"")</f>
        <v/>
      </c>
      <c r="K2658" s="9">
        <f>IFERROR(VLOOKUP(I2658,Materiales!$A:$G,7,0),"")</f>
        <v/>
      </c>
      <c r="L2658" s="8" t="inlineStr">
        <is>
          <t>20260629</t>
        </is>
      </c>
      <c r="M2658" s="8" t="inlineStr">
        <is>
          <t>99991231</t>
        </is>
      </c>
      <c r="N2658" s="10" t="n">
        <v>175</v>
      </c>
      <c r="O2658" s="10">
        <f>IFERROR(VLOOKUP(A2658,Flete!$A:$J,10,0),"")</f>
        <v/>
      </c>
      <c r="P2658" s="8" t="inlineStr">
        <is>
          <t>M3</t>
        </is>
      </c>
      <c r="Q2658" s="10">
        <f>IFERROR(IFERROR(VLOOKUP(A2658,TRAOPE!$A:$U,21,0),VLOOKUP(B2658,TRAOPE!$A:$U,21,0)),"")</f>
        <v/>
      </c>
      <c r="R2658" s="8">
        <f>IFERROR(IFERROR(VLOOKUP(A2658,TRAOPE!$A:$W,23,0),VLOOKUP(B2658,TRAOPE!$A:$W,23,0)),"")</f>
        <v/>
      </c>
      <c r="S2658" s="10">
        <f>IF(AND(P2658="TN",R2658="TN"),N2658+N(O2658),IF(G2658&amp;""="1",N(K2658)*N2658,(N2658+N(O2658))*N(K2658)))</f>
        <v/>
      </c>
      <c r="T2658" s="10">
        <f>IF(Q2658="","",Q2658-S2658)</f>
        <v/>
      </c>
    </row>
    <row r="2659">
      <c r="A2659" s="7">
        <f>CONCATENATE(C2659,E2659,F2659,I2659)</f>
        <v/>
      </c>
      <c r="B2659" s="7">
        <f>CONCATENATE(C2659,E2659,I2659)</f>
        <v/>
      </c>
      <c r="C2659" s="8" t="n">
        <v>900006543</v>
      </c>
      <c r="D2659" s="7">
        <f>IFERROR(VLOOKUP(C2659,TRAOPE!$G:$H,2,0),"")</f>
        <v/>
      </c>
      <c r="E2659" s="8" t="inlineStr">
        <is>
          <t>D836</t>
        </is>
      </c>
      <c r="F2659" s="8" t="inlineStr">
        <is>
          <t>67382539</t>
        </is>
      </c>
      <c r="G2659" s="8">
        <f>IFERROR(VLOOKUP(A2659,Flete!$A:$E,5,0),"")</f>
        <v/>
      </c>
      <c r="H2659" s="7">
        <f>IFERROR(VLOOKUP(F2659,TRAOPE!$AA:$AB,2,0),"")</f>
        <v/>
      </c>
      <c r="I2659" s="7" t="n">
        <v>10185476</v>
      </c>
      <c r="J2659" s="7">
        <f>IFERROR(VLOOKUP(I2659,Materiales!$A:$H,8,0),"")</f>
        <v/>
      </c>
      <c r="K2659" s="9">
        <f>IFERROR(VLOOKUP(I2659,Materiales!$A:$G,7,0),"")</f>
        <v/>
      </c>
      <c r="L2659" s="8" t="inlineStr">
        <is>
          <t>20260611</t>
        </is>
      </c>
      <c r="M2659" s="8" t="inlineStr">
        <is>
          <t>99991231</t>
        </is>
      </c>
      <c r="N2659" s="10" t="n">
        <v>170</v>
      </c>
      <c r="O2659" s="10">
        <f>IFERROR(VLOOKUP(A2659,Flete!$A:$J,10,0),"")</f>
        <v/>
      </c>
      <c r="P2659" s="8" t="inlineStr">
        <is>
          <t>M3</t>
        </is>
      </c>
      <c r="Q2659" s="10">
        <f>IFERROR(IFERROR(VLOOKUP(A2659,TRAOPE!$A:$U,21,0),VLOOKUP(B2659,TRAOPE!$A:$U,21,0)),"")</f>
        <v/>
      </c>
      <c r="R2659" s="8">
        <f>IFERROR(IFERROR(VLOOKUP(A2659,TRAOPE!$A:$W,23,0),VLOOKUP(B2659,TRAOPE!$A:$W,23,0)),"")</f>
        <v/>
      </c>
      <c r="S2659" s="10">
        <f>IF(AND(P2659="TN",R2659="TN"),N2659+N(O2659),IF(G2659&amp;""="1",N(K2659)*N2659,(N2659+N(O2659))*N(K2659)))</f>
        <v/>
      </c>
      <c r="T2659" s="10">
        <f>IF(Q2659="","",Q2659-S2659)</f>
        <v/>
      </c>
    </row>
    <row r="2660">
      <c r="A2660" s="7">
        <f>CONCATENATE(C2660,E2660,F2660,I2660)</f>
        <v/>
      </c>
      <c r="B2660" s="7">
        <f>CONCATENATE(C2660,E2660,I2660)</f>
        <v/>
      </c>
      <c r="C2660" s="8" t="n">
        <v>900006543</v>
      </c>
      <c r="D2660" s="7">
        <f>IFERROR(VLOOKUP(C2660,TRAOPE!$G:$H,2,0),"")</f>
        <v/>
      </c>
      <c r="E2660" s="8" t="inlineStr">
        <is>
          <t>D836</t>
        </is>
      </c>
      <c r="F2660" s="8" t="inlineStr">
        <is>
          <t>67382539</t>
        </is>
      </c>
      <c r="G2660" s="8">
        <f>IFERROR(VLOOKUP(A2660,Flete!$A:$E,5,0),"")</f>
        <v/>
      </c>
      <c r="H2660" s="7">
        <f>IFERROR(VLOOKUP(F2660,TRAOPE!$AA:$AB,2,0),"")</f>
        <v/>
      </c>
      <c r="I2660" s="7" t="n">
        <v>10185477</v>
      </c>
      <c r="J2660" s="7">
        <f>IFERROR(VLOOKUP(I2660,Materiales!$A:$H,8,0),"")</f>
        <v/>
      </c>
      <c r="K2660" s="9">
        <f>IFERROR(VLOOKUP(I2660,Materiales!$A:$G,7,0),"")</f>
        <v/>
      </c>
      <c r="L2660" s="8" t="inlineStr">
        <is>
          <t>20260611</t>
        </is>
      </c>
      <c r="M2660" s="8" t="inlineStr">
        <is>
          <t>99991231</t>
        </is>
      </c>
      <c r="N2660" s="10" t="n">
        <v>180</v>
      </c>
      <c r="O2660" s="10">
        <f>IFERROR(VLOOKUP(A2660,Flete!$A:$J,10,0),"")</f>
        <v/>
      </c>
      <c r="P2660" s="8" t="inlineStr">
        <is>
          <t>M3</t>
        </is>
      </c>
      <c r="Q2660" s="10">
        <f>IFERROR(IFERROR(VLOOKUP(A2660,TRAOPE!$A:$U,21,0),VLOOKUP(B2660,TRAOPE!$A:$U,21,0)),"")</f>
        <v/>
      </c>
      <c r="R2660" s="8">
        <f>IFERROR(IFERROR(VLOOKUP(A2660,TRAOPE!$A:$W,23,0),VLOOKUP(B2660,TRAOPE!$A:$W,23,0)),"")</f>
        <v/>
      </c>
      <c r="S2660" s="10">
        <f>IF(AND(P2660="TN",R2660="TN"),N2660+N(O2660),IF(G2660&amp;""="1",N(K2660)*N2660,(N2660+N(O2660))*N(K2660)))</f>
        <v/>
      </c>
      <c r="T2660" s="10">
        <f>IF(Q2660="","",Q2660-S2660)</f>
        <v/>
      </c>
    </row>
    <row r="2661">
      <c r="A2661" s="7">
        <f>CONCATENATE(C2661,E2661,F2661,I2661)</f>
        <v/>
      </c>
      <c r="B2661" s="7">
        <f>CONCATENATE(C2661,E2661,I2661)</f>
        <v/>
      </c>
      <c r="C2661" s="8" t="n">
        <v>900006543</v>
      </c>
      <c r="D2661" s="7">
        <f>IFERROR(VLOOKUP(C2661,TRAOPE!$G:$H,2,0),"")</f>
        <v/>
      </c>
      <c r="E2661" s="8" t="inlineStr">
        <is>
          <t>D836</t>
        </is>
      </c>
      <c r="F2661" s="8" t="inlineStr">
        <is>
          <t>67382542</t>
        </is>
      </c>
      <c r="G2661" s="8">
        <f>IFERROR(VLOOKUP(A2661,Flete!$A:$E,5,0),"")</f>
        <v/>
      </c>
      <c r="H2661" s="7">
        <f>IFERROR(VLOOKUP(F2661,TRAOPE!$AA:$AB,2,0),"")</f>
        <v/>
      </c>
      <c r="I2661" s="7" t="n">
        <v>10185476</v>
      </c>
      <c r="J2661" s="7">
        <f>IFERROR(VLOOKUP(I2661,Materiales!$A:$H,8,0),"")</f>
        <v/>
      </c>
      <c r="K2661" s="9">
        <f>IFERROR(VLOOKUP(I2661,Materiales!$A:$G,7,0),"")</f>
        <v/>
      </c>
      <c r="L2661" s="8" t="inlineStr">
        <is>
          <t>20260611</t>
        </is>
      </c>
      <c r="M2661" s="8" t="inlineStr">
        <is>
          <t>99991231</t>
        </is>
      </c>
      <c r="N2661" s="10" t="n">
        <v>170</v>
      </c>
      <c r="O2661" s="10">
        <f>IFERROR(VLOOKUP(A2661,Flete!$A:$J,10,0),"")</f>
        <v/>
      </c>
      <c r="P2661" s="8" t="inlineStr">
        <is>
          <t>M3</t>
        </is>
      </c>
      <c r="Q2661" s="10">
        <f>IFERROR(IFERROR(VLOOKUP(A2661,TRAOPE!$A:$U,21,0),VLOOKUP(B2661,TRAOPE!$A:$U,21,0)),"")</f>
        <v/>
      </c>
      <c r="R2661" s="8">
        <f>IFERROR(IFERROR(VLOOKUP(A2661,TRAOPE!$A:$W,23,0),VLOOKUP(B2661,TRAOPE!$A:$W,23,0)),"")</f>
        <v/>
      </c>
      <c r="S2661" s="10">
        <f>IF(AND(P2661="TN",R2661="TN"),N2661+N(O2661),IF(G2661&amp;""="1",N(K2661)*N2661,(N2661+N(O2661))*N(K2661)))</f>
        <v/>
      </c>
      <c r="T2661" s="10">
        <f>IF(Q2661="","",Q2661-S2661)</f>
        <v/>
      </c>
    </row>
    <row r="2662">
      <c r="A2662" s="7">
        <f>CONCATENATE(C2662,E2662,F2662,I2662)</f>
        <v/>
      </c>
      <c r="B2662" s="7">
        <f>CONCATENATE(C2662,E2662,I2662)</f>
        <v/>
      </c>
      <c r="C2662" s="8" t="n">
        <v>900006543</v>
      </c>
      <c r="D2662" s="7">
        <f>IFERROR(VLOOKUP(C2662,TRAOPE!$G:$H,2,0),"")</f>
        <v/>
      </c>
      <c r="E2662" s="8" t="inlineStr">
        <is>
          <t>D836</t>
        </is>
      </c>
      <c r="F2662" s="8" t="inlineStr">
        <is>
          <t>67382542</t>
        </is>
      </c>
      <c r="G2662" s="8">
        <f>IFERROR(VLOOKUP(A2662,Flete!$A:$E,5,0),"")</f>
        <v/>
      </c>
      <c r="H2662" s="7">
        <f>IFERROR(VLOOKUP(F2662,TRAOPE!$AA:$AB,2,0),"")</f>
        <v/>
      </c>
      <c r="I2662" s="7" t="n">
        <v>10185477</v>
      </c>
      <c r="J2662" s="7">
        <f>IFERROR(VLOOKUP(I2662,Materiales!$A:$H,8,0),"")</f>
        <v/>
      </c>
      <c r="K2662" s="9">
        <f>IFERROR(VLOOKUP(I2662,Materiales!$A:$G,7,0),"")</f>
        <v/>
      </c>
      <c r="L2662" s="8" t="inlineStr">
        <is>
          <t>20260611</t>
        </is>
      </c>
      <c r="M2662" s="8" t="inlineStr">
        <is>
          <t>99991231</t>
        </is>
      </c>
      <c r="N2662" s="10" t="n">
        <v>180</v>
      </c>
      <c r="O2662" s="10">
        <f>IFERROR(VLOOKUP(A2662,Flete!$A:$J,10,0),"")</f>
        <v/>
      </c>
      <c r="P2662" s="8" t="inlineStr">
        <is>
          <t>M3</t>
        </is>
      </c>
      <c r="Q2662" s="10">
        <f>IFERROR(IFERROR(VLOOKUP(A2662,TRAOPE!$A:$U,21,0),VLOOKUP(B2662,TRAOPE!$A:$U,21,0)),"")</f>
        <v/>
      </c>
      <c r="R2662" s="8">
        <f>IFERROR(IFERROR(VLOOKUP(A2662,TRAOPE!$A:$W,23,0),VLOOKUP(B2662,TRAOPE!$A:$W,23,0)),"")</f>
        <v/>
      </c>
      <c r="S2662" s="10">
        <f>IF(AND(P2662="TN",R2662="TN"),N2662+N(O2662),IF(G2662&amp;""="1",N(K2662)*N2662,(N2662+N(O2662))*N(K2662)))</f>
        <v/>
      </c>
      <c r="T2662" s="10">
        <f>IF(Q2662="","",Q2662-S2662)</f>
        <v/>
      </c>
    </row>
    <row r="2663">
      <c r="A2663" s="7">
        <f>CONCATENATE(C2663,E2663,F2663,I2663)</f>
        <v/>
      </c>
      <c r="B2663" s="7">
        <f>CONCATENATE(C2663,E2663,I2663)</f>
        <v/>
      </c>
      <c r="C2663" s="8" t="n">
        <v>900006543</v>
      </c>
      <c r="D2663" s="7">
        <f>IFERROR(VLOOKUP(C2663,TRAOPE!$G:$H,2,0),"")</f>
        <v/>
      </c>
      <c r="E2663" s="8" t="inlineStr">
        <is>
          <t>D836</t>
        </is>
      </c>
      <c r="F2663" s="8" t="inlineStr">
        <is>
          <t>67385618</t>
        </is>
      </c>
      <c r="G2663" s="8">
        <f>IFERROR(VLOOKUP(A2663,Flete!$A:$E,5,0),"")</f>
        <v/>
      </c>
      <c r="H2663" s="7">
        <f>IFERROR(VLOOKUP(F2663,TRAOPE!$AA:$AB,2,0),"")</f>
        <v/>
      </c>
      <c r="I2663" s="7" t="n">
        <v>10185476</v>
      </c>
      <c r="J2663" s="7">
        <f>IFERROR(VLOOKUP(I2663,Materiales!$A:$H,8,0),"")</f>
        <v/>
      </c>
      <c r="K2663" s="9">
        <f>IFERROR(VLOOKUP(I2663,Materiales!$A:$G,7,0),"")</f>
        <v/>
      </c>
      <c r="L2663" s="8" t="inlineStr">
        <is>
          <t>20260708</t>
        </is>
      </c>
      <c r="M2663" s="8" t="inlineStr">
        <is>
          <t>99991231</t>
        </is>
      </c>
      <c r="N2663" s="10" t="n">
        <v>170</v>
      </c>
      <c r="O2663" s="10">
        <f>IFERROR(VLOOKUP(A2663,Flete!$A:$J,10,0),"")</f>
        <v/>
      </c>
      <c r="P2663" s="8" t="inlineStr">
        <is>
          <t>M3</t>
        </is>
      </c>
      <c r="Q2663" s="10">
        <f>IFERROR(IFERROR(VLOOKUP(A2663,TRAOPE!$A:$U,21,0),VLOOKUP(B2663,TRAOPE!$A:$U,21,0)),"")</f>
        <v/>
      </c>
      <c r="R2663" s="8">
        <f>IFERROR(IFERROR(VLOOKUP(A2663,TRAOPE!$A:$W,23,0),VLOOKUP(B2663,TRAOPE!$A:$W,23,0)),"")</f>
        <v/>
      </c>
      <c r="S2663" s="10">
        <f>IF(AND(P2663="TN",R2663="TN"),N2663+N(O2663),IF(G2663&amp;""="1",N(K2663)*N2663,(N2663+N(O2663))*N(K2663)))</f>
        <v/>
      </c>
      <c r="T2663" s="10">
        <f>IF(Q2663="","",Q2663-S2663)</f>
        <v/>
      </c>
    </row>
    <row r="2664">
      <c r="A2664" s="7">
        <f>CONCATENATE(C2664,E2664,F2664,I2664)</f>
        <v/>
      </c>
      <c r="B2664" s="7">
        <f>CONCATENATE(C2664,E2664,I2664)</f>
        <v/>
      </c>
      <c r="C2664" s="8" t="n">
        <v>900006543</v>
      </c>
      <c r="D2664" s="7">
        <f>IFERROR(VLOOKUP(C2664,TRAOPE!$G:$H,2,0),"")</f>
        <v/>
      </c>
      <c r="E2664" s="8" t="inlineStr">
        <is>
          <t>D836</t>
        </is>
      </c>
      <c r="F2664" s="8" t="inlineStr">
        <is>
          <t>67385618</t>
        </is>
      </c>
      <c r="G2664" s="8">
        <f>IFERROR(VLOOKUP(A2664,Flete!$A:$E,5,0),"")</f>
        <v/>
      </c>
      <c r="H2664" s="7">
        <f>IFERROR(VLOOKUP(F2664,TRAOPE!$AA:$AB,2,0),"")</f>
        <v/>
      </c>
      <c r="I2664" s="7" t="n">
        <v>10185477</v>
      </c>
      <c r="J2664" s="7">
        <f>IFERROR(VLOOKUP(I2664,Materiales!$A:$H,8,0),"")</f>
        <v/>
      </c>
      <c r="K2664" s="9">
        <f>IFERROR(VLOOKUP(I2664,Materiales!$A:$G,7,0),"")</f>
        <v/>
      </c>
      <c r="L2664" s="8" t="inlineStr">
        <is>
          <t>20260708</t>
        </is>
      </c>
      <c r="M2664" s="8" t="inlineStr">
        <is>
          <t>99991231</t>
        </is>
      </c>
      <c r="N2664" s="10" t="n">
        <v>180</v>
      </c>
      <c r="O2664" s="10">
        <f>IFERROR(VLOOKUP(A2664,Flete!$A:$J,10,0),"")</f>
        <v/>
      </c>
      <c r="P2664" s="8" t="inlineStr">
        <is>
          <t>M3</t>
        </is>
      </c>
      <c r="Q2664" s="10">
        <f>IFERROR(IFERROR(VLOOKUP(A2664,TRAOPE!$A:$U,21,0),VLOOKUP(B2664,TRAOPE!$A:$U,21,0)),"")</f>
        <v/>
      </c>
      <c r="R2664" s="8">
        <f>IFERROR(IFERROR(VLOOKUP(A2664,TRAOPE!$A:$W,23,0),VLOOKUP(B2664,TRAOPE!$A:$W,23,0)),"")</f>
        <v/>
      </c>
      <c r="S2664" s="10">
        <f>IF(AND(P2664="TN",R2664="TN"),N2664+N(O2664),IF(G2664&amp;""="1",N(K2664)*N2664,(N2664+N(O2664))*N(K2664)))</f>
        <v/>
      </c>
      <c r="T2664" s="10">
        <f>IF(Q2664="","",Q2664-S2664)</f>
        <v/>
      </c>
    </row>
    <row r="2665">
      <c r="A2665" s="7">
        <f>CONCATENATE(C2665,E2665,F2665,I2665)</f>
        <v/>
      </c>
      <c r="B2665" s="7">
        <f>CONCATENATE(C2665,E2665,I2665)</f>
        <v/>
      </c>
      <c r="C2665" s="8" t="n">
        <v>900006824</v>
      </c>
      <c r="D2665" s="7">
        <f>IFERROR(VLOOKUP(C2665,TRAOPE!$G:$H,2,0),"")</f>
        <v/>
      </c>
      <c r="E2665" s="8" t="inlineStr">
        <is>
          <t>D836</t>
        </is>
      </c>
      <c r="F2665" s="8" t="inlineStr">
        <is>
          <t>66779276</t>
        </is>
      </c>
      <c r="G2665" s="8">
        <f>IFERROR(VLOOKUP(A2665,Flete!$A:$E,5,0),"")</f>
        <v/>
      </c>
      <c r="H2665" s="7">
        <f>IFERROR(VLOOKUP(F2665,TRAOPE!$AA:$AB,2,0),"")</f>
        <v/>
      </c>
      <c r="I2665" s="7" t="n">
        <v>10192943</v>
      </c>
      <c r="J2665" s="7">
        <f>IFERROR(VLOOKUP(I2665,Materiales!$A:$H,8,0),"")</f>
        <v/>
      </c>
      <c r="K2665" s="9">
        <f>IFERROR(VLOOKUP(I2665,Materiales!$A:$G,7,0),"")</f>
        <v/>
      </c>
      <c r="L2665" s="8" t="inlineStr">
        <is>
          <t>20240403</t>
        </is>
      </c>
      <c r="M2665" s="8" t="inlineStr">
        <is>
          <t>99991231</t>
        </is>
      </c>
      <c r="N2665" s="10" t="n">
        <v>220</v>
      </c>
      <c r="O2665" s="10">
        <f>IFERROR(VLOOKUP(A2665,Flete!$A:$J,10,0),"")</f>
        <v/>
      </c>
      <c r="P2665" s="8" t="inlineStr">
        <is>
          <t>TN</t>
        </is>
      </c>
      <c r="Q2665" s="10">
        <f>IFERROR(IFERROR(VLOOKUP(A2665,TRAOPE!$A:$U,21,0),VLOOKUP(B2665,TRAOPE!$A:$U,21,0)),"")</f>
        <v/>
      </c>
      <c r="R2665" s="8">
        <f>IFERROR(IFERROR(VLOOKUP(A2665,TRAOPE!$A:$W,23,0),VLOOKUP(B2665,TRAOPE!$A:$W,23,0)),"")</f>
        <v/>
      </c>
      <c r="S2665" s="10">
        <f>IF(AND(P2665="TN",R2665="TN"),N2665+N(O2665),IF(G2665&amp;""="1",N(K2665)*N2665,(N2665+N(O2665))*N(K2665)))</f>
        <v/>
      </c>
      <c r="T2665" s="10">
        <f>IF(Q2665="","",Q2665-S2665)</f>
        <v/>
      </c>
    </row>
    <row r="2666">
      <c r="A2666" s="7">
        <f>CONCATENATE(C2666,E2666,F2666,I2666)</f>
        <v/>
      </c>
      <c r="B2666" s="7">
        <f>CONCATENATE(C2666,E2666,I2666)</f>
        <v/>
      </c>
      <c r="C2666" s="8" t="n">
        <v>900006824</v>
      </c>
      <c r="D2666" s="7">
        <f>IFERROR(VLOOKUP(C2666,TRAOPE!$G:$H,2,0),"")</f>
        <v/>
      </c>
      <c r="E2666" s="8" t="inlineStr">
        <is>
          <t>D836</t>
        </is>
      </c>
      <c r="F2666" s="8" t="inlineStr">
        <is>
          <t>66779276</t>
        </is>
      </c>
      <c r="G2666" s="8">
        <f>IFERROR(VLOOKUP(A2666,Flete!$A:$E,5,0),"")</f>
        <v/>
      </c>
      <c r="H2666" s="7">
        <f>IFERROR(VLOOKUP(F2666,TRAOPE!$AA:$AB,2,0),"")</f>
        <v/>
      </c>
      <c r="I2666" s="7" t="n">
        <v>10192944</v>
      </c>
      <c r="J2666" s="7">
        <f>IFERROR(VLOOKUP(I2666,Materiales!$A:$H,8,0),"")</f>
        <v/>
      </c>
      <c r="K2666" s="9">
        <f>IFERROR(VLOOKUP(I2666,Materiales!$A:$G,7,0),"")</f>
        <v/>
      </c>
      <c r="L2666" s="8" t="inlineStr">
        <is>
          <t>20240403</t>
        </is>
      </c>
      <c r="M2666" s="8" t="inlineStr">
        <is>
          <t>99991231</t>
        </is>
      </c>
      <c r="N2666" s="10" t="n">
        <v>240</v>
      </c>
      <c r="O2666" s="10">
        <f>IFERROR(VLOOKUP(A2666,Flete!$A:$J,10,0),"")</f>
        <v/>
      </c>
      <c r="P2666" s="8" t="inlineStr">
        <is>
          <t>TN</t>
        </is>
      </c>
      <c r="Q2666" s="10">
        <f>IFERROR(IFERROR(VLOOKUP(A2666,TRAOPE!$A:$U,21,0),VLOOKUP(B2666,TRAOPE!$A:$U,21,0)),"")</f>
        <v/>
      </c>
      <c r="R2666" s="8">
        <f>IFERROR(IFERROR(VLOOKUP(A2666,TRAOPE!$A:$W,23,0),VLOOKUP(B2666,TRAOPE!$A:$W,23,0)),"")</f>
        <v/>
      </c>
      <c r="S2666" s="10">
        <f>IF(AND(P2666="TN",R2666="TN"),N2666+N(O2666),IF(G2666&amp;""="1",N(K2666)*N2666,(N2666+N(O2666))*N(K2666)))</f>
        <v/>
      </c>
      <c r="T2666" s="10">
        <f>IF(Q2666="","",Q2666-S2666)</f>
        <v/>
      </c>
    </row>
    <row r="2667">
      <c r="A2667" s="7">
        <f>CONCATENATE(C2667,E2667,F2667,I2667)</f>
        <v/>
      </c>
      <c r="B2667" s="7">
        <f>CONCATENATE(C2667,E2667,I2667)</f>
        <v/>
      </c>
      <c r="C2667" s="8" t="n">
        <v>900006950</v>
      </c>
      <c r="D2667" s="7">
        <f>IFERROR(VLOOKUP(C2667,TRAOPE!$G:$H,2,0),"")</f>
        <v/>
      </c>
      <c r="E2667" s="8" t="inlineStr">
        <is>
          <t>D836</t>
        </is>
      </c>
      <c r="F2667" s="8" t="inlineStr">
        <is>
          <t>65061687</t>
        </is>
      </c>
      <c r="G2667" s="8">
        <f>IFERROR(VLOOKUP(A2667,Flete!$A:$E,5,0),"")</f>
        <v/>
      </c>
      <c r="H2667" s="7">
        <f>IFERROR(VLOOKUP(F2667,TRAOPE!$AA:$AB,2,0),"")</f>
        <v/>
      </c>
      <c r="I2667" s="7" t="n">
        <v>10183920</v>
      </c>
      <c r="J2667" s="7">
        <f>IFERROR(VLOOKUP(I2667,Materiales!$A:$H,8,0),"")</f>
        <v/>
      </c>
      <c r="K2667" s="9">
        <f>IFERROR(VLOOKUP(I2667,Materiales!$A:$G,7,0),"")</f>
        <v/>
      </c>
      <c r="L2667" s="8" t="inlineStr">
        <is>
          <t>20240621</t>
        </is>
      </c>
      <c r="M2667" s="8" t="inlineStr">
        <is>
          <t>99991231</t>
        </is>
      </c>
      <c r="N2667" s="10" t="n">
        <v>330</v>
      </c>
      <c r="O2667" s="10">
        <f>IFERROR(VLOOKUP(A2667,Flete!$A:$J,10,0),"")</f>
        <v/>
      </c>
      <c r="P2667" s="8" t="inlineStr">
        <is>
          <t>M3</t>
        </is>
      </c>
      <c r="Q2667" s="10">
        <f>IFERROR(IFERROR(VLOOKUP(A2667,TRAOPE!$A:$U,21,0),VLOOKUP(B2667,TRAOPE!$A:$U,21,0)),"")</f>
        <v/>
      </c>
      <c r="R2667" s="8">
        <f>IFERROR(IFERROR(VLOOKUP(A2667,TRAOPE!$A:$W,23,0),VLOOKUP(B2667,TRAOPE!$A:$W,23,0)),"")</f>
        <v/>
      </c>
      <c r="S2667" s="10">
        <f>IF(AND(P2667="TN",R2667="TN"),N2667+N(O2667),IF(G2667&amp;""="1",N(K2667)*N2667,(N2667+N(O2667))*N(K2667)))</f>
        <v/>
      </c>
      <c r="T2667" s="10">
        <f>IF(Q2667="","",Q2667-S2667)</f>
        <v/>
      </c>
    </row>
    <row r="2668">
      <c r="A2668" s="7">
        <f>CONCATENATE(C2668,E2668,F2668,I2668)</f>
        <v/>
      </c>
      <c r="B2668" s="7">
        <f>CONCATENATE(C2668,E2668,I2668)</f>
        <v/>
      </c>
      <c r="C2668" s="8" t="n">
        <v>900007320</v>
      </c>
      <c r="D2668" s="7">
        <f>IFERROR(VLOOKUP(C2668,TRAOPE!$G:$H,2,0),"")</f>
        <v/>
      </c>
      <c r="E2668" s="8" t="inlineStr">
        <is>
          <t>D836</t>
        </is>
      </c>
      <c r="F2668" s="8" t="inlineStr">
        <is>
          <t>65006122</t>
        </is>
      </c>
      <c r="G2668" s="8">
        <f>IFERROR(VLOOKUP(A2668,Flete!$A:$E,5,0),"")</f>
        <v/>
      </c>
      <c r="H2668" s="7">
        <f>IFERROR(VLOOKUP(F2668,TRAOPE!$AA:$AB,2,0),"")</f>
        <v/>
      </c>
      <c r="I2668" s="7" t="n">
        <v>10000160</v>
      </c>
      <c r="J2668" s="7">
        <f>IFERROR(VLOOKUP(I2668,Materiales!$A:$H,8,0),"")</f>
        <v/>
      </c>
      <c r="K2668" s="9">
        <f>IFERROR(VLOOKUP(I2668,Materiales!$A:$G,7,0),"")</f>
        <v/>
      </c>
      <c r="L2668" s="8" t="inlineStr">
        <is>
          <t>20260528</t>
        </is>
      </c>
      <c r="M2668" s="8" t="inlineStr">
        <is>
          <t>99991231</t>
        </is>
      </c>
      <c r="N2668" s="10" t="n">
        <v>134</v>
      </c>
      <c r="O2668" s="10">
        <f>IFERROR(VLOOKUP(A2668,Flete!$A:$J,10,0),"")</f>
        <v/>
      </c>
      <c r="P2668" s="8" t="inlineStr">
        <is>
          <t>M3</t>
        </is>
      </c>
      <c r="Q2668" s="10">
        <f>IFERROR(IFERROR(VLOOKUP(A2668,TRAOPE!$A:$U,21,0),VLOOKUP(B2668,TRAOPE!$A:$U,21,0)),"")</f>
        <v/>
      </c>
      <c r="R2668" s="8">
        <f>IFERROR(IFERROR(VLOOKUP(A2668,TRAOPE!$A:$W,23,0),VLOOKUP(B2668,TRAOPE!$A:$W,23,0)),"")</f>
        <v/>
      </c>
      <c r="S2668" s="10">
        <f>IF(AND(P2668="TN",R2668="TN"),N2668+N(O2668),IF(G2668&amp;""="1",N(K2668)*N2668,(N2668+N(O2668))*N(K2668)))</f>
        <v/>
      </c>
      <c r="T2668" s="10">
        <f>IF(Q2668="","",Q2668-S2668)</f>
        <v/>
      </c>
    </row>
    <row r="2669">
      <c r="A2669" s="7">
        <f>CONCATENATE(C2669,E2669,F2669,I2669)</f>
        <v/>
      </c>
      <c r="B2669" s="7">
        <f>CONCATENATE(C2669,E2669,I2669)</f>
        <v/>
      </c>
      <c r="C2669" s="8" t="n">
        <v>900007320</v>
      </c>
      <c r="D2669" s="7">
        <f>IFERROR(VLOOKUP(C2669,TRAOPE!$G:$H,2,0),"")</f>
        <v/>
      </c>
      <c r="E2669" s="8" t="inlineStr">
        <is>
          <t>D836</t>
        </is>
      </c>
      <c r="F2669" s="8" t="inlineStr">
        <is>
          <t>65006122</t>
        </is>
      </c>
      <c r="G2669" s="8">
        <f>IFERROR(VLOOKUP(A2669,Flete!$A:$E,5,0),"")</f>
        <v/>
      </c>
      <c r="H2669" s="7">
        <f>IFERROR(VLOOKUP(F2669,TRAOPE!$AA:$AB,2,0),"")</f>
        <v/>
      </c>
      <c r="I2669" s="7" t="n">
        <v>10000357</v>
      </c>
      <c r="J2669" s="7">
        <f>IFERROR(VLOOKUP(I2669,Materiales!$A:$H,8,0),"")</f>
        <v/>
      </c>
      <c r="K2669" s="9">
        <f>IFERROR(VLOOKUP(I2669,Materiales!$A:$G,7,0),"")</f>
        <v/>
      </c>
      <c r="L2669" s="8" t="inlineStr">
        <is>
          <t>20260318</t>
        </is>
      </c>
      <c r="M2669" s="8" t="inlineStr">
        <is>
          <t>99991231</t>
        </is>
      </c>
      <c r="N2669" s="10" t="n">
        <v>150</v>
      </c>
      <c r="O2669" s="10">
        <f>IFERROR(VLOOKUP(A2669,Flete!$A:$J,10,0),"")</f>
        <v/>
      </c>
      <c r="P2669" s="8" t="inlineStr">
        <is>
          <t>M3</t>
        </is>
      </c>
      <c r="Q2669" s="10">
        <f>IFERROR(IFERROR(VLOOKUP(A2669,TRAOPE!$A:$U,21,0),VLOOKUP(B2669,TRAOPE!$A:$U,21,0)),"")</f>
        <v/>
      </c>
      <c r="R2669" s="8">
        <f>IFERROR(IFERROR(VLOOKUP(A2669,TRAOPE!$A:$W,23,0),VLOOKUP(B2669,TRAOPE!$A:$W,23,0)),"")</f>
        <v/>
      </c>
      <c r="S2669" s="10">
        <f>IF(AND(P2669="TN",R2669="TN"),N2669+N(O2669),IF(G2669&amp;""="1",N(K2669)*N2669,(N2669+N(O2669))*N(K2669)))</f>
        <v/>
      </c>
      <c r="T2669" s="10">
        <f>IF(Q2669="","",Q2669-S2669)</f>
        <v/>
      </c>
    </row>
    <row r="2670">
      <c r="A2670" s="7">
        <f>CONCATENATE(C2670,E2670,F2670,I2670)</f>
        <v/>
      </c>
      <c r="B2670" s="7">
        <f>CONCATENATE(C2670,E2670,I2670)</f>
        <v/>
      </c>
      <c r="C2670" s="8" t="n">
        <v>900007320</v>
      </c>
      <c r="D2670" s="7">
        <f>IFERROR(VLOOKUP(C2670,TRAOPE!$G:$H,2,0),"")</f>
        <v/>
      </c>
      <c r="E2670" s="8" t="inlineStr">
        <is>
          <t>D836</t>
        </is>
      </c>
      <c r="F2670" s="8" t="inlineStr">
        <is>
          <t>65006122</t>
        </is>
      </c>
      <c r="G2670" s="8">
        <f>IFERROR(VLOOKUP(A2670,Flete!$A:$E,5,0),"")</f>
        <v/>
      </c>
      <c r="H2670" s="7">
        <f>IFERROR(VLOOKUP(F2670,TRAOPE!$AA:$AB,2,0),"")</f>
        <v/>
      </c>
      <c r="I2670" s="7" t="n">
        <v>10000627</v>
      </c>
      <c r="J2670" s="7">
        <f>IFERROR(VLOOKUP(I2670,Materiales!$A:$H,8,0),"")</f>
        <v/>
      </c>
      <c r="K2670" s="9">
        <f>IFERROR(VLOOKUP(I2670,Materiales!$A:$G,7,0),"")</f>
        <v/>
      </c>
      <c r="L2670" s="8" t="inlineStr">
        <is>
          <t>20260528</t>
        </is>
      </c>
      <c r="M2670" s="8" t="inlineStr">
        <is>
          <t>99991231</t>
        </is>
      </c>
      <c r="N2670" s="10" t="n">
        <v>120</v>
      </c>
      <c r="O2670" s="10">
        <f>IFERROR(VLOOKUP(A2670,Flete!$A:$J,10,0),"")</f>
        <v/>
      </c>
      <c r="P2670" s="8" t="inlineStr">
        <is>
          <t>M3</t>
        </is>
      </c>
      <c r="Q2670" s="10">
        <f>IFERROR(IFERROR(VLOOKUP(A2670,TRAOPE!$A:$U,21,0),VLOOKUP(B2670,TRAOPE!$A:$U,21,0)),"")</f>
        <v/>
      </c>
      <c r="R2670" s="8">
        <f>IFERROR(IFERROR(VLOOKUP(A2670,TRAOPE!$A:$W,23,0),VLOOKUP(B2670,TRAOPE!$A:$W,23,0)),"")</f>
        <v/>
      </c>
      <c r="S2670" s="10">
        <f>IF(AND(P2670="TN",R2670="TN"),N2670+N(O2670),IF(G2670&amp;""="1",N(K2670)*N2670,(N2670+N(O2670))*N(K2670)))</f>
        <v/>
      </c>
      <c r="T2670" s="10">
        <f>IF(Q2670="","",Q2670-S2670)</f>
        <v/>
      </c>
    </row>
    <row r="2671">
      <c r="A2671" s="7">
        <f>CONCATENATE(C2671,E2671,F2671,I2671)</f>
        <v/>
      </c>
      <c r="B2671" s="7">
        <f>CONCATENATE(C2671,E2671,I2671)</f>
        <v/>
      </c>
      <c r="C2671" s="8" t="n">
        <v>900007320</v>
      </c>
      <c r="D2671" s="7">
        <f>IFERROR(VLOOKUP(C2671,TRAOPE!$G:$H,2,0),"")</f>
        <v/>
      </c>
      <c r="E2671" s="8" t="inlineStr">
        <is>
          <t>D836</t>
        </is>
      </c>
      <c r="F2671" s="8" t="inlineStr">
        <is>
          <t>65014664</t>
        </is>
      </c>
      <c r="G2671" s="8">
        <f>IFERROR(VLOOKUP(A2671,Flete!$A:$E,5,0),"")</f>
        <v/>
      </c>
      <c r="H2671" s="7">
        <f>IFERROR(VLOOKUP(F2671,TRAOPE!$AA:$AB,2,0),"")</f>
        <v/>
      </c>
      <c r="I2671" s="7" t="n">
        <v>10000160</v>
      </c>
      <c r="J2671" s="7">
        <f>IFERROR(VLOOKUP(I2671,Materiales!$A:$H,8,0),"")</f>
        <v/>
      </c>
      <c r="K2671" s="9">
        <f>IFERROR(VLOOKUP(I2671,Materiales!$A:$G,7,0),"")</f>
        <v/>
      </c>
      <c r="L2671" s="8" t="inlineStr">
        <is>
          <t>20260727</t>
        </is>
      </c>
      <c r="M2671" s="8" t="inlineStr">
        <is>
          <t>99991231</t>
        </is>
      </c>
      <c r="N2671" s="10" t="n">
        <v>125.4</v>
      </c>
      <c r="O2671" s="10">
        <f>IFERROR(VLOOKUP(A2671,Flete!$A:$J,10,0),"")</f>
        <v/>
      </c>
      <c r="P2671" s="8" t="inlineStr">
        <is>
          <t>M3</t>
        </is>
      </c>
      <c r="Q2671" s="10">
        <f>IFERROR(IFERROR(VLOOKUP(A2671,TRAOPE!$A:$U,21,0),VLOOKUP(B2671,TRAOPE!$A:$U,21,0)),"")</f>
        <v/>
      </c>
      <c r="R2671" s="8">
        <f>IFERROR(IFERROR(VLOOKUP(A2671,TRAOPE!$A:$W,23,0),VLOOKUP(B2671,TRAOPE!$A:$W,23,0)),"")</f>
        <v/>
      </c>
      <c r="S2671" s="10">
        <f>IF(AND(P2671="TN",R2671="TN"),N2671+N(O2671),IF(G2671&amp;""="1",N(K2671)*N2671,(N2671+N(O2671))*N(K2671)))</f>
        <v/>
      </c>
      <c r="T2671" s="10">
        <f>IF(Q2671="","",Q2671-S2671)</f>
        <v/>
      </c>
    </row>
    <row r="2672">
      <c r="A2672" s="7">
        <f>CONCATENATE(C2672,E2672,F2672,I2672)</f>
        <v/>
      </c>
      <c r="B2672" s="7">
        <f>CONCATENATE(C2672,E2672,I2672)</f>
        <v/>
      </c>
      <c r="C2672" s="8" t="n">
        <v>900007320</v>
      </c>
      <c r="D2672" s="7">
        <f>IFERROR(VLOOKUP(C2672,TRAOPE!$G:$H,2,0),"")</f>
        <v/>
      </c>
      <c r="E2672" s="8" t="inlineStr">
        <is>
          <t>D836</t>
        </is>
      </c>
      <c r="F2672" s="8" t="inlineStr">
        <is>
          <t>65016451</t>
        </is>
      </c>
      <c r="G2672" s="8">
        <f>IFERROR(VLOOKUP(A2672,Flete!$A:$E,5,0),"")</f>
        <v/>
      </c>
      <c r="H2672" s="7">
        <f>IFERROR(VLOOKUP(F2672,TRAOPE!$AA:$AB,2,0),"")</f>
        <v/>
      </c>
      <c r="I2672" s="7" t="n">
        <v>10000160</v>
      </c>
      <c r="J2672" s="7">
        <f>IFERROR(VLOOKUP(I2672,Materiales!$A:$H,8,0),"")</f>
        <v/>
      </c>
      <c r="K2672" s="9">
        <f>IFERROR(VLOOKUP(I2672,Materiales!$A:$G,7,0),"")</f>
        <v/>
      </c>
      <c r="L2672" s="8" t="inlineStr">
        <is>
          <t>20260727</t>
        </is>
      </c>
      <c r="M2672" s="8" t="inlineStr">
        <is>
          <t>99991231</t>
        </is>
      </c>
      <c r="N2672" s="10" t="n">
        <v>123</v>
      </c>
      <c r="O2672" s="10">
        <f>IFERROR(VLOOKUP(A2672,Flete!$A:$J,10,0),"")</f>
        <v/>
      </c>
      <c r="P2672" s="8" t="inlineStr">
        <is>
          <t>M3</t>
        </is>
      </c>
      <c r="Q2672" s="10">
        <f>IFERROR(IFERROR(VLOOKUP(A2672,TRAOPE!$A:$U,21,0),VLOOKUP(B2672,TRAOPE!$A:$U,21,0)),"")</f>
        <v/>
      </c>
      <c r="R2672" s="8">
        <f>IFERROR(IFERROR(VLOOKUP(A2672,TRAOPE!$A:$W,23,0),VLOOKUP(B2672,TRAOPE!$A:$W,23,0)),"")</f>
        <v/>
      </c>
      <c r="S2672" s="10">
        <f>IF(AND(P2672="TN",R2672="TN"),N2672+N(O2672),IF(G2672&amp;""="1",N(K2672)*N2672,(N2672+N(O2672))*N(K2672)))</f>
        <v/>
      </c>
      <c r="T2672" s="10">
        <f>IF(Q2672="","",Q2672-S2672)</f>
        <v/>
      </c>
    </row>
    <row r="2673">
      <c r="A2673" s="7">
        <f>CONCATENATE(C2673,E2673,F2673,I2673)</f>
        <v/>
      </c>
      <c r="B2673" s="7">
        <f>CONCATENATE(C2673,E2673,I2673)</f>
        <v/>
      </c>
      <c r="C2673" s="8" t="n">
        <v>900007320</v>
      </c>
      <c r="D2673" s="7">
        <f>IFERROR(VLOOKUP(C2673,TRAOPE!$G:$H,2,0),"")</f>
        <v/>
      </c>
      <c r="E2673" s="8" t="inlineStr">
        <is>
          <t>D836</t>
        </is>
      </c>
      <c r="F2673" s="8" t="inlineStr">
        <is>
          <t>65911289</t>
        </is>
      </c>
      <c r="G2673" s="8">
        <f>IFERROR(VLOOKUP(A2673,Flete!$A:$E,5,0),"")</f>
        <v/>
      </c>
      <c r="H2673" s="7">
        <f>IFERROR(VLOOKUP(F2673,TRAOPE!$AA:$AB,2,0),"")</f>
        <v/>
      </c>
      <c r="I2673" s="7" t="n">
        <v>10000160</v>
      </c>
      <c r="J2673" s="7">
        <f>IFERROR(VLOOKUP(I2673,Materiales!$A:$H,8,0),"")</f>
        <v/>
      </c>
      <c r="K2673" s="9">
        <f>IFERROR(VLOOKUP(I2673,Materiales!$A:$G,7,0),"")</f>
        <v/>
      </c>
      <c r="L2673" s="8" t="inlineStr">
        <is>
          <t>20260727</t>
        </is>
      </c>
      <c r="M2673" s="8" t="inlineStr">
        <is>
          <t>99991231</t>
        </is>
      </c>
      <c r="N2673" s="10" t="n">
        <v>130</v>
      </c>
      <c r="O2673" s="10">
        <f>IFERROR(VLOOKUP(A2673,Flete!$A:$J,10,0),"")</f>
        <v/>
      </c>
      <c r="P2673" s="8" t="inlineStr">
        <is>
          <t>M3</t>
        </is>
      </c>
      <c r="Q2673" s="10">
        <f>IFERROR(IFERROR(VLOOKUP(A2673,TRAOPE!$A:$U,21,0),VLOOKUP(B2673,TRAOPE!$A:$U,21,0)),"")</f>
        <v/>
      </c>
      <c r="R2673" s="8">
        <f>IFERROR(IFERROR(VLOOKUP(A2673,TRAOPE!$A:$W,23,0),VLOOKUP(B2673,TRAOPE!$A:$W,23,0)),"")</f>
        <v/>
      </c>
      <c r="S2673" s="10">
        <f>IF(AND(P2673="TN",R2673="TN"),N2673+N(O2673),IF(G2673&amp;""="1",N(K2673)*N2673,(N2673+N(O2673))*N(K2673)))</f>
        <v/>
      </c>
      <c r="T2673" s="10">
        <f>IF(Q2673="","",Q2673-S2673)</f>
        <v/>
      </c>
    </row>
    <row r="2674">
      <c r="A2674" s="7">
        <f>CONCATENATE(C2674,E2674,F2674,I2674)</f>
        <v/>
      </c>
      <c r="B2674" s="7">
        <f>CONCATENATE(C2674,E2674,I2674)</f>
        <v/>
      </c>
      <c r="C2674" s="8" t="n">
        <v>900007320</v>
      </c>
      <c r="D2674" s="7">
        <f>IFERROR(VLOOKUP(C2674,TRAOPE!$G:$H,2,0),"")</f>
        <v/>
      </c>
      <c r="E2674" s="8" t="inlineStr">
        <is>
          <t>D836</t>
        </is>
      </c>
      <c r="F2674" s="8" t="inlineStr">
        <is>
          <t>65911313</t>
        </is>
      </c>
      <c r="G2674" s="8">
        <f>IFERROR(VLOOKUP(A2674,Flete!$A:$E,5,0),"")</f>
        <v/>
      </c>
      <c r="H2674" s="7">
        <f>IFERROR(VLOOKUP(F2674,TRAOPE!$AA:$AB,2,0),"")</f>
        <v/>
      </c>
      <c r="I2674" s="7" t="n">
        <v>10000160</v>
      </c>
      <c r="J2674" s="7">
        <f>IFERROR(VLOOKUP(I2674,Materiales!$A:$H,8,0),"")</f>
        <v/>
      </c>
      <c r="K2674" s="9">
        <f>IFERROR(VLOOKUP(I2674,Materiales!$A:$G,7,0),"")</f>
        <v/>
      </c>
      <c r="L2674" s="8" t="inlineStr">
        <is>
          <t>20260727</t>
        </is>
      </c>
      <c r="M2674" s="8" t="inlineStr">
        <is>
          <t>99991231</t>
        </is>
      </c>
      <c r="N2674" s="10" t="n">
        <v>125</v>
      </c>
      <c r="O2674" s="10">
        <f>IFERROR(VLOOKUP(A2674,Flete!$A:$J,10,0),"")</f>
        <v/>
      </c>
      <c r="P2674" s="8" t="inlineStr">
        <is>
          <t>M3</t>
        </is>
      </c>
      <c r="Q2674" s="10">
        <f>IFERROR(IFERROR(VLOOKUP(A2674,TRAOPE!$A:$U,21,0),VLOOKUP(B2674,TRAOPE!$A:$U,21,0)),"")</f>
        <v/>
      </c>
      <c r="R2674" s="8">
        <f>IFERROR(IFERROR(VLOOKUP(A2674,TRAOPE!$A:$W,23,0),VLOOKUP(B2674,TRAOPE!$A:$W,23,0)),"")</f>
        <v/>
      </c>
      <c r="S2674" s="10">
        <f>IF(AND(P2674="TN",R2674="TN"),N2674+N(O2674),IF(G2674&amp;""="1",N(K2674)*N2674,(N2674+N(O2674))*N(K2674)))</f>
        <v/>
      </c>
      <c r="T2674" s="10">
        <f>IF(Q2674="","",Q2674-S2674)</f>
        <v/>
      </c>
    </row>
    <row r="2675">
      <c r="A2675" s="7">
        <f>CONCATENATE(C2675,E2675,F2675,I2675)</f>
        <v/>
      </c>
      <c r="B2675" s="7">
        <f>CONCATENATE(C2675,E2675,I2675)</f>
        <v/>
      </c>
      <c r="C2675" s="8" t="n">
        <v>900007320</v>
      </c>
      <c r="D2675" s="7">
        <f>IFERROR(VLOOKUP(C2675,TRAOPE!$G:$H,2,0),"")</f>
        <v/>
      </c>
      <c r="E2675" s="8" t="inlineStr">
        <is>
          <t>D836</t>
        </is>
      </c>
      <c r="F2675" s="8" t="inlineStr">
        <is>
          <t>66779276</t>
        </is>
      </c>
      <c r="G2675" s="8">
        <f>IFERROR(VLOOKUP(A2675,Flete!$A:$E,5,0),"")</f>
        <v/>
      </c>
      <c r="H2675" s="7">
        <f>IFERROR(VLOOKUP(F2675,TRAOPE!$AA:$AB,2,0),"")</f>
        <v/>
      </c>
      <c r="I2675" s="7" t="n">
        <v>10000160</v>
      </c>
      <c r="J2675" s="7">
        <f>IFERROR(VLOOKUP(I2675,Materiales!$A:$H,8,0),"")</f>
        <v/>
      </c>
      <c r="K2675" s="9">
        <f>IFERROR(VLOOKUP(I2675,Materiales!$A:$G,7,0),"")</f>
        <v/>
      </c>
      <c r="L2675" s="8" t="inlineStr">
        <is>
          <t>20260324</t>
        </is>
      </c>
      <c r="M2675" s="8" t="inlineStr">
        <is>
          <t>99991231</t>
        </is>
      </c>
      <c r="N2675" s="10" t="n">
        <v>115</v>
      </c>
      <c r="O2675" s="10">
        <f>IFERROR(VLOOKUP(A2675,Flete!$A:$J,10,0),"")</f>
        <v/>
      </c>
      <c r="P2675" s="8" t="inlineStr">
        <is>
          <t>M3</t>
        </is>
      </c>
      <c r="Q2675" s="10">
        <f>IFERROR(IFERROR(VLOOKUP(A2675,TRAOPE!$A:$U,21,0),VLOOKUP(B2675,TRAOPE!$A:$U,21,0)),"")</f>
        <v/>
      </c>
      <c r="R2675" s="8">
        <f>IFERROR(IFERROR(VLOOKUP(A2675,TRAOPE!$A:$W,23,0),VLOOKUP(B2675,TRAOPE!$A:$W,23,0)),"")</f>
        <v/>
      </c>
      <c r="S2675" s="10">
        <f>IF(AND(P2675="TN",R2675="TN"),N2675+N(O2675),IF(G2675&amp;""="1",N(K2675)*N2675,(N2675+N(O2675))*N(K2675)))</f>
        <v/>
      </c>
      <c r="T2675" s="10">
        <f>IF(Q2675="","",Q2675-S2675)</f>
        <v/>
      </c>
    </row>
    <row r="2676">
      <c r="A2676" s="7">
        <f>CONCATENATE(C2676,E2676,F2676,I2676)</f>
        <v/>
      </c>
      <c r="B2676" s="7">
        <f>CONCATENATE(C2676,E2676,I2676)</f>
        <v/>
      </c>
      <c r="C2676" s="8" t="n">
        <v>900007320</v>
      </c>
      <c r="D2676" s="7">
        <f>IFERROR(VLOOKUP(C2676,TRAOPE!$G:$H,2,0),"")</f>
        <v/>
      </c>
      <c r="E2676" s="8" t="inlineStr">
        <is>
          <t>D836</t>
        </is>
      </c>
      <c r="F2676" s="8" t="inlineStr">
        <is>
          <t>66827157</t>
        </is>
      </c>
      <c r="G2676" s="8">
        <f>IFERROR(VLOOKUP(A2676,Flete!$A:$E,5,0),"")</f>
        <v/>
      </c>
      <c r="H2676" s="7">
        <f>IFERROR(VLOOKUP(F2676,TRAOPE!$AA:$AB,2,0),"")</f>
        <v/>
      </c>
      <c r="I2676" s="7" t="n">
        <v>10000627</v>
      </c>
      <c r="J2676" s="7">
        <f>IFERROR(VLOOKUP(I2676,Materiales!$A:$H,8,0),"")</f>
        <v/>
      </c>
      <c r="K2676" s="9">
        <f>IFERROR(VLOOKUP(I2676,Materiales!$A:$G,7,0),"")</f>
        <v/>
      </c>
      <c r="L2676" s="8" t="inlineStr">
        <is>
          <t>20260803</t>
        </is>
      </c>
      <c r="M2676" s="8" t="inlineStr">
        <is>
          <t>99991231</t>
        </is>
      </c>
      <c r="N2676" s="10" t="n">
        <v>105</v>
      </c>
      <c r="O2676" s="10">
        <f>IFERROR(VLOOKUP(A2676,Flete!$A:$J,10,0),"")</f>
        <v/>
      </c>
      <c r="P2676" s="8" t="inlineStr">
        <is>
          <t>M3</t>
        </is>
      </c>
      <c r="Q2676" s="10">
        <f>IFERROR(IFERROR(VLOOKUP(A2676,TRAOPE!$A:$U,21,0),VLOOKUP(B2676,TRAOPE!$A:$U,21,0)),"")</f>
        <v/>
      </c>
      <c r="R2676" s="8">
        <f>IFERROR(IFERROR(VLOOKUP(A2676,TRAOPE!$A:$W,23,0),VLOOKUP(B2676,TRAOPE!$A:$W,23,0)),"")</f>
        <v/>
      </c>
      <c r="S2676" s="10">
        <f>IF(AND(P2676="TN",R2676="TN"),N2676+N(O2676),IF(G2676&amp;""="1",N(K2676)*N2676,(N2676+N(O2676))*N(K2676)))</f>
        <v/>
      </c>
      <c r="T2676" s="10">
        <f>IF(Q2676="","",Q2676-S2676)</f>
        <v/>
      </c>
    </row>
    <row r="2677">
      <c r="A2677" s="7">
        <f>CONCATENATE(C2677,E2677,F2677,I2677)</f>
        <v/>
      </c>
      <c r="B2677" s="7">
        <f>CONCATENATE(C2677,E2677,I2677)</f>
        <v/>
      </c>
      <c r="C2677" s="8" t="n">
        <v>900007320</v>
      </c>
      <c r="D2677" s="7">
        <f>IFERROR(VLOOKUP(C2677,TRAOPE!$G:$H,2,0),"")</f>
        <v/>
      </c>
      <c r="E2677" s="8" t="inlineStr">
        <is>
          <t>D836</t>
        </is>
      </c>
      <c r="F2677" s="8" t="inlineStr">
        <is>
          <t>66828114</t>
        </is>
      </c>
      <c r="G2677" s="8">
        <f>IFERROR(VLOOKUP(A2677,Flete!$A:$E,5,0),"")</f>
        <v/>
      </c>
      <c r="H2677" s="7">
        <f>IFERROR(VLOOKUP(F2677,TRAOPE!$AA:$AB,2,0),"")</f>
        <v/>
      </c>
      <c r="I2677" s="7" t="n">
        <v>10000160</v>
      </c>
      <c r="J2677" s="7">
        <f>IFERROR(VLOOKUP(I2677,Materiales!$A:$H,8,0),"")</f>
        <v/>
      </c>
      <c r="K2677" s="9">
        <f>IFERROR(VLOOKUP(I2677,Materiales!$A:$G,7,0),"")</f>
        <v/>
      </c>
      <c r="L2677" s="8" t="inlineStr">
        <is>
          <t>20260611</t>
        </is>
      </c>
      <c r="M2677" s="8" t="inlineStr">
        <is>
          <t>99991231</t>
        </is>
      </c>
      <c r="N2677" s="10" t="n">
        <v>127</v>
      </c>
      <c r="O2677" s="10">
        <f>IFERROR(VLOOKUP(A2677,Flete!$A:$J,10,0),"")</f>
        <v/>
      </c>
      <c r="P2677" s="8" t="inlineStr">
        <is>
          <t>M3</t>
        </is>
      </c>
      <c r="Q2677" s="10">
        <f>IFERROR(IFERROR(VLOOKUP(A2677,TRAOPE!$A:$U,21,0),VLOOKUP(B2677,TRAOPE!$A:$U,21,0)),"")</f>
        <v/>
      </c>
      <c r="R2677" s="8">
        <f>IFERROR(IFERROR(VLOOKUP(A2677,TRAOPE!$A:$W,23,0),VLOOKUP(B2677,TRAOPE!$A:$W,23,0)),"")</f>
        <v/>
      </c>
      <c r="S2677" s="10">
        <f>IF(AND(P2677="TN",R2677="TN"),N2677+N(O2677),IF(G2677&amp;""="1",N(K2677)*N2677,(N2677+N(O2677))*N(K2677)))</f>
        <v/>
      </c>
      <c r="T2677" s="10">
        <f>IF(Q2677="","",Q2677-S2677)</f>
        <v/>
      </c>
    </row>
    <row r="2678">
      <c r="A2678" s="7">
        <f>CONCATENATE(C2678,E2678,F2678,I2678)</f>
        <v/>
      </c>
      <c r="B2678" s="7">
        <f>CONCATENATE(C2678,E2678,I2678)</f>
        <v/>
      </c>
      <c r="C2678" s="8" t="n">
        <v>900007320</v>
      </c>
      <c r="D2678" s="7">
        <f>IFERROR(VLOOKUP(C2678,TRAOPE!$G:$H,2,0),"")</f>
        <v/>
      </c>
      <c r="E2678" s="8" t="inlineStr">
        <is>
          <t>D836</t>
        </is>
      </c>
      <c r="F2678" s="8" t="inlineStr">
        <is>
          <t>66828114</t>
        </is>
      </c>
      <c r="G2678" s="8">
        <f>IFERROR(VLOOKUP(A2678,Flete!$A:$E,5,0),"")</f>
        <v/>
      </c>
      <c r="H2678" s="7">
        <f>IFERROR(VLOOKUP(F2678,TRAOPE!$AA:$AB,2,0),"")</f>
        <v/>
      </c>
      <c r="I2678" s="7" t="n">
        <v>10000357</v>
      </c>
      <c r="J2678" s="7">
        <f>IFERROR(VLOOKUP(I2678,Materiales!$A:$H,8,0),"")</f>
        <v/>
      </c>
      <c r="K2678" s="9">
        <f>IFERROR(VLOOKUP(I2678,Materiales!$A:$G,7,0),"")</f>
        <v/>
      </c>
      <c r="L2678" s="8" t="inlineStr">
        <is>
          <t>20260611</t>
        </is>
      </c>
      <c r="M2678" s="8" t="inlineStr">
        <is>
          <t>99991231</t>
        </is>
      </c>
      <c r="N2678" s="10" t="n">
        <v>160</v>
      </c>
      <c r="O2678" s="10">
        <f>IFERROR(VLOOKUP(A2678,Flete!$A:$J,10,0),"")</f>
        <v/>
      </c>
      <c r="P2678" s="8" t="inlineStr">
        <is>
          <t>M3</t>
        </is>
      </c>
      <c r="Q2678" s="10">
        <f>IFERROR(IFERROR(VLOOKUP(A2678,TRAOPE!$A:$U,21,0),VLOOKUP(B2678,TRAOPE!$A:$U,21,0)),"")</f>
        <v/>
      </c>
      <c r="R2678" s="8">
        <f>IFERROR(IFERROR(VLOOKUP(A2678,TRAOPE!$A:$W,23,0),VLOOKUP(B2678,TRAOPE!$A:$W,23,0)),"")</f>
        <v/>
      </c>
      <c r="S2678" s="10">
        <f>IF(AND(P2678="TN",R2678="TN"),N2678+N(O2678),IF(G2678&amp;""="1",N(K2678)*N2678,(N2678+N(O2678))*N(K2678)))</f>
        <v/>
      </c>
      <c r="T2678" s="10">
        <f>IF(Q2678="","",Q2678-S2678)</f>
        <v/>
      </c>
    </row>
    <row r="2679">
      <c r="A2679" s="7">
        <f>CONCATENATE(C2679,E2679,F2679,I2679)</f>
        <v/>
      </c>
      <c r="B2679" s="7">
        <f>CONCATENATE(C2679,E2679,I2679)</f>
        <v/>
      </c>
      <c r="C2679" s="8" t="n">
        <v>900007320</v>
      </c>
      <c r="D2679" s="7">
        <f>IFERROR(VLOOKUP(C2679,TRAOPE!$G:$H,2,0),"")</f>
        <v/>
      </c>
      <c r="E2679" s="8" t="inlineStr">
        <is>
          <t>D836</t>
        </is>
      </c>
      <c r="F2679" s="8" t="inlineStr">
        <is>
          <t>66828114</t>
        </is>
      </c>
      <c r="G2679" s="8">
        <f>IFERROR(VLOOKUP(A2679,Flete!$A:$E,5,0),"")</f>
        <v/>
      </c>
      <c r="H2679" s="7">
        <f>IFERROR(VLOOKUP(F2679,TRAOPE!$AA:$AB,2,0),"")</f>
        <v/>
      </c>
      <c r="I2679" s="7" t="n">
        <v>10000627</v>
      </c>
      <c r="J2679" s="7">
        <f>IFERROR(VLOOKUP(I2679,Materiales!$A:$H,8,0),"")</f>
        <v/>
      </c>
      <c r="K2679" s="9">
        <f>IFERROR(VLOOKUP(I2679,Materiales!$A:$G,7,0),"")</f>
        <v/>
      </c>
      <c r="L2679" s="8" t="inlineStr">
        <is>
          <t>20260611</t>
        </is>
      </c>
      <c r="M2679" s="8" t="inlineStr">
        <is>
          <t>99991231</t>
        </is>
      </c>
      <c r="N2679" s="10" t="n">
        <v>120</v>
      </c>
      <c r="O2679" s="10">
        <f>IFERROR(VLOOKUP(A2679,Flete!$A:$J,10,0),"")</f>
        <v/>
      </c>
      <c r="P2679" s="8" t="inlineStr">
        <is>
          <t>M3</t>
        </is>
      </c>
      <c r="Q2679" s="10">
        <f>IFERROR(IFERROR(VLOOKUP(A2679,TRAOPE!$A:$U,21,0),VLOOKUP(B2679,TRAOPE!$A:$U,21,0)),"")</f>
        <v/>
      </c>
      <c r="R2679" s="8">
        <f>IFERROR(IFERROR(VLOOKUP(A2679,TRAOPE!$A:$W,23,0),VLOOKUP(B2679,TRAOPE!$A:$W,23,0)),"")</f>
        <v/>
      </c>
      <c r="S2679" s="10">
        <f>IF(AND(P2679="TN",R2679="TN"),N2679+N(O2679),IF(G2679&amp;""="1",N(K2679)*N2679,(N2679+N(O2679))*N(K2679)))</f>
        <v/>
      </c>
      <c r="T2679" s="10">
        <f>IF(Q2679="","",Q2679-S2679)</f>
        <v/>
      </c>
    </row>
    <row r="2680">
      <c r="A2680" s="7">
        <f>CONCATENATE(C2680,E2680,F2680,I2680)</f>
        <v/>
      </c>
      <c r="B2680" s="7">
        <f>CONCATENATE(C2680,E2680,I2680)</f>
        <v/>
      </c>
      <c r="C2680" s="8" t="n">
        <v>900007320</v>
      </c>
      <c r="D2680" s="7">
        <f>IFERROR(VLOOKUP(C2680,TRAOPE!$G:$H,2,0),"")</f>
        <v/>
      </c>
      <c r="E2680" s="8" t="inlineStr">
        <is>
          <t>D836</t>
        </is>
      </c>
      <c r="F2680" s="8" t="inlineStr">
        <is>
          <t>66864508</t>
        </is>
      </c>
      <c r="G2680" s="8">
        <f>IFERROR(VLOOKUP(A2680,Flete!$A:$E,5,0),"")</f>
        <v/>
      </c>
      <c r="H2680" s="7">
        <f>IFERROR(VLOOKUP(F2680,TRAOPE!$AA:$AB,2,0),"")</f>
        <v/>
      </c>
      <c r="I2680" s="7" t="n">
        <v>10000160</v>
      </c>
      <c r="J2680" s="7">
        <f>IFERROR(VLOOKUP(I2680,Materiales!$A:$H,8,0),"")</f>
        <v/>
      </c>
      <c r="K2680" s="9">
        <f>IFERROR(VLOOKUP(I2680,Materiales!$A:$G,7,0),"")</f>
        <v/>
      </c>
      <c r="L2680" s="8" t="inlineStr">
        <is>
          <t>20260625</t>
        </is>
      </c>
      <c r="M2680" s="8" t="inlineStr">
        <is>
          <t>99991231</t>
        </is>
      </c>
      <c r="N2680" s="10" t="n">
        <v>160</v>
      </c>
      <c r="O2680" s="10">
        <f>IFERROR(VLOOKUP(A2680,Flete!$A:$J,10,0),"")</f>
        <v/>
      </c>
      <c r="P2680" s="8" t="inlineStr">
        <is>
          <t>M3</t>
        </is>
      </c>
      <c r="Q2680" s="10">
        <f>IFERROR(IFERROR(VLOOKUP(A2680,TRAOPE!$A:$U,21,0),VLOOKUP(B2680,TRAOPE!$A:$U,21,0)),"")</f>
        <v/>
      </c>
      <c r="R2680" s="8">
        <f>IFERROR(IFERROR(VLOOKUP(A2680,TRAOPE!$A:$W,23,0),VLOOKUP(B2680,TRAOPE!$A:$W,23,0)),"")</f>
        <v/>
      </c>
      <c r="S2680" s="10">
        <f>IF(AND(P2680="TN",R2680="TN"),N2680+N(O2680),IF(G2680&amp;""="1",N(K2680)*N2680,(N2680+N(O2680))*N(K2680)))</f>
        <v/>
      </c>
      <c r="T2680" s="10">
        <f>IF(Q2680="","",Q2680-S2680)</f>
        <v/>
      </c>
    </row>
    <row r="2681">
      <c r="A2681" s="7">
        <f>CONCATENATE(C2681,E2681,F2681,I2681)</f>
        <v/>
      </c>
      <c r="B2681" s="7">
        <f>CONCATENATE(C2681,E2681,I2681)</f>
        <v/>
      </c>
      <c r="C2681" s="8" t="n">
        <v>900007320</v>
      </c>
      <c r="D2681" s="7">
        <f>IFERROR(VLOOKUP(C2681,TRAOPE!$G:$H,2,0),"")</f>
        <v/>
      </c>
      <c r="E2681" s="8" t="inlineStr">
        <is>
          <t>D836</t>
        </is>
      </c>
      <c r="F2681" s="8" t="inlineStr">
        <is>
          <t>66864508</t>
        </is>
      </c>
      <c r="G2681" s="8">
        <f>IFERROR(VLOOKUP(A2681,Flete!$A:$E,5,0),"")</f>
        <v/>
      </c>
      <c r="H2681" s="7">
        <f>IFERROR(VLOOKUP(F2681,TRAOPE!$AA:$AB,2,0),"")</f>
        <v/>
      </c>
      <c r="I2681" s="7" t="n">
        <v>10000357</v>
      </c>
      <c r="J2681" s="7">
        <f>IFERROR(VLOOKUP(I2681,Materiales!$A:$H,8,0),"")</f>
        <v/>
      </c>
      <c r="K2681" s="9">
        <f>IFERROR(VLOOKUP(I2681,Materiales!$A:$G,7,0),"")</f>
        <v/>
      </c>
      <c r="L2681" s="8" t="inlineStr">
        <is>
          <t>20260625</t>
        </is>
      </c>
      <c r="M2681" s="8" t="inlineStr">
        <is>
          <t>99991231</t>
        </is>
      </c>
      <c r="N2681" s="10" t="n">
        <v>185</v>
      </c>
      <c r="O2681" s="10">
        <f>IFERROR(VLOOKUP(A2681,Flete!$A:$J,10,0),"")</f>
        <v/>
      </c>
      <c r="P2681" s="8" t="inlineStr">
        <is>
          <t>M3</t>
        </is>
      </c>
      <c r="Q2681" s="10">
        <f>IFERROR(IFERROR(VLOOKUP(A2681,TRAOPE!$A:$U,21,0),VLOOKUP(B2681,TRAOPE!$A:$U,21,0)),"")</f>
        <v/>
      </c>
      <c r="R2681" s="8">
        <f>IFERROR(IFERROR(VLOOKUP(A2681,TRAOPE!$A:$W,23,0),VLOOKUP(B2681,TRAOPE!$A:$W,23,0)),"")</f>
        <v/>
      </c>
      <c r="S2681" s="10">
        <f>IF(AND(P2681="TN",R2681="TN"),N2681+N(O2681),IF(G2681&amp;""="1",N(K2681)*N2681,(N2681+N(O2681))*N(K2681)))</f>
        <v/>
      </c>
      <c r="T2681" s="10">
        <f>IF(Q2681="","",Q2681-S2681)</f>
        <v/>
      </c>
    </row>
    <row r="2682">
      <c r="A2682" s="7">
        <f>CONCATENATE(C2682,E2682,F2682,I2682)</f>
        <v/>
      </c>
      <c r="B2682" s="7">
        <f>CONCATENATE(C2682,E2682,I2682)</f>
        <v/>
      </c>
      <c r="C2682" s="8" t="n">
        <v>900007320</v>
      </c>
      <c r="D2682" s="7">
        <f>IFERROR(VLOOKUP(C2682,TRAOPE!$G:$H,2,0),"")</f>
        <v/>
      </c>
      <c r="E2682" s="8" t="inlineStr">
        <is>
          <t>D836</t>
        </is>
      </c>
      <c r="F2682" s="8" t="inlineStr">
        <is>
          <t>66864540</t>
        </is>
      </c>
      <c r="G2682" s="8">
        <f>IFERROR(VLOOKUP(A2682,Flete!$A:$E,5,0),"")</f>
        <v/>
      </c>
      <c r="H2682" s="7">
        <f>IFERROR(VLOOKUP(F2682,TRAOPE!$AA:$AB,2,0),"")</f>
        <v/>
      </c>
      <c r="I2682" s="7" t="n">
        <v>10000160</v>
      </c>
      <c r="J2682" s="7">
        <f>IFERROR(VLOOKUP(I2682,Materiales!$A:$H,8,0),"")</f>
        <v/>
      </c>
      <c r="K2682" s="9">
        <f>IFERROR(VLOOKUP(I2682,Materiales!$A:$G,7,0),"")</f>
        <v/>
      </c>
      <c r="L2682" s="8" t="inlineStr">
        <is>
          <t>20260625</t>
        </is>
      </c>
      <c r="M2682" s="8" t="inlineStr">
        <is>
          <t>99991231</t>
        </is>
      </c>
      <c r="N2682" s="10" t="n">
        <v>160</v>
      </c>
      <c r="O2682" s="10">
        <f>IFERROR(VLOOKUP(A2682,Flete!$A:$J,10,0),"")</f>
        <v/>
      </c>
      <c r="P2682" s="8" t="inlineStr">
        <is>
          <t>M3</t>
        </is>
      </c>
      <c r="Q2682" s="10">
        <f>IFERROR(IFERROR(VLOOKUP(A2682,TRAOPE!$A:$U,21,0),VLOOKUP(B2682,TRAOPE!$A:$U,21,0)),"")</f>
        <v/>
      </c>
      <c r="R2682" s="8">
        <f>IFERROR(IFERROR(VLOOKUP(A2682,TRAOPE!$A:$W,23,0),VLOOKUP(B2682,TRAOPE!$A:$W,23,0)),"")</f>
        <v/>
      </c>
      <c r="S2682" s="10">
        <f>IF(AND(P2682="TN",R2682="TN"),N2682+N(O2682),IF(G2682&amp;""="1",N(K2682)*N2682,(N2682+N(O2682))*N(K2682)))</f>
        <v/>
      </c>
      <c r="T2682" s="10">
        <f>IF(Q2682="","",Q2682-S2682)</f>
        <v/>
      </c>
    </row>
    <row r="2683">
      <c r="A2683" s="7">
        <f>CONCATENATE(C2683,E2683,F2683,I2683)</f>
        <v/>
      </c>
      <c r="B2683" s="7">
        <f>CONCATENATE(C2683,E2683,I2683)</f>
        <v/>
      </c>
      <c r="C2683" s="8" t="n">
        <v>900007320</v>
      </c>
      <c r="D2683" s="7">
        <f>IFERROR(VLOOKUP(C2683,TRAOPE!$G:$H,2,0),"")</f>
        <v/>
      </c>
      <c r="E2683" s="8" t="inlineStr">
        <is>
          <t>D836</t>
        </is>
      </c>
      <c r="F2683" s="8" t="inlineStr">
        <is>
          <t>66864540</t>
        </is>
      </c>
      <c r="G2683" s="8">
        <f>IFERROR(VLOOKUP(A2683,Flete!$A:$E,5,0),"")</f>
        <v/>
      </c>
      <c r="H2683" s="7">
        <f>IFERROR(VLOOKUP(F2683,TRAOPE!$AA:$AB,2,0),"")</f>
        <v/>
      </c>
      <c r="I2683" s="7" t="n">
        <v>10000357</v>
      </c>
      <c r="J2683" s="7">
        <f>IFERROR(VLOOKUP(I2683,Materiales!$A:$H,8,0),"")</f>
        <v/>
      </c>
      <c r="K2683" s="9">
        <f>IFERROR(VLOOKUP(I2683,Materiales!$A:$G,7,0),"")</f>
        <v/>
      </c>
      <c r="L2683" s="8" t="inlineStr">
        <is>
          <t>20260625</t>
        </is>
      </c>
      <c r="M2683" s="8" t="inlineStr">
        <is>
          <t>99991231</t>
        </is>
      </c>
      <c r="N2683" s="10" t="n">
        <v>185</v>
      </c>
      <c r="O2683" s="10">
        <f>IFERROR(VLOOKUP(A2683,Flete!$A:$J,10,0),"")</f>
        <v/>
      </c>
      <c r="P2683" s="8" t="inlineStr">
        <is>
          <t>M3</t>
        </is>
      </c>
      <c r="Q2683" s="10">
        <f>IFERROR(IFERROR(VLOOKUP(A2683,TRAOPE!$A:$U,21,0),VLOOKUP(B2683,TRAOPE!$A:$U,21,0)),"")</f>
        <v/>
      </c>
      <c r="R2683" s="8">
        <f>IFERROR(IFERROR(VLOOKUP(A2683,TRAOPE!$A:$W,23,0),VLOOKUP(B2683,TRAOPE!$A:$W,23,0)),"")</f>
        <v/>
      </c>
      <c r="S2683" s="10">
        <f>IF(AND(P2683="TN",R2683="TN"),N2683+N(O2683),IF(G2683&amp;""="1",N(K2683)*N2683,(N2683+N(O2683))*N(K2683)))</f>
        <v/>
      </c>
      <c r="T2683" s="10">
        <f>IF(Q2683="","",Q2683-S2683)</f>
        <v/>
      </c>
    </row>
    <row r="2684">
      <c r="A2684" s="7">
        <f>CONCATENATE(C2684,E2684,F2684,I2684)</f>
        <v/>
      </c>
      <c r="B2684" s="7">
        <f>CONCATENATE(C2684,E2684,I2684)</f>
        <v/>
      </c>
      <c r="C2684" s="8" t="n">
        <v>900007320</v>
      </c>
      <c r="D2684" s="7">
        <f>IFERROR(VLOOKUP(C2684,TRAOPE!$G:$H,2,0),"")</f>
        <v/>
      </c>
      <c r="E2684" s="8" t="inlineStr">
        <is>
          <t>D836</t>
        </is>
      </c>
      <c r="F2684" s="8" t="inlineStr">
        <is>
          <t>66982053</t>
        </is>
      </c>
      <c r="G2684" s="8">
        <f>IFERROR(VLOOKUP(A2684,Flete!$A:$E,5,0),"")</f>
        <v/>
      </c>
      <c r="H2684" s="7">
        <f>IFERROR(VLOOKUP(F2684,TRAOPE!$AA:$AB,2,0),"")</f>
        <v/>
      </c>
      <c r="I2684" s="7" t="n">
        <v>10000160</v>
      </c>
      <c r="J2684" s="7">
        <f>IFERROR(VLOOKUP(I2684,Materiales!$A:$H,8,0),"")</f>
        <v/>
      </c>
      <c r="K2684" s="9">
        <f>IFERROR(VLOOKUP(I2684,Materiales!$A:$G,7,0),"")</f>
        <v/>
      </c>
      <c r="L2684" s="8" t="inlineStr">
        <is>
          <t>20260625</t>
        </is>
      </c>
      <c r="M2684" s="8" t="inlineStr">
        <is>
          <t>99991231</t>
        </is>
      </c>
      <c r="N2684" s="10" t="n">
        <v>160</v>
      </c>
      <c r="O2684" s="10">
        <f>IFERROR(VLOOKUP(A2684,Flete!$A:$J,10,0),"")</f>
        <v/>
      </c>
      <c r="P2684" s="8" t="inlineStr">
        <is>
          <t>M3</t>
        </is>
      </c>
      <c r="Q2684" s="10">
        <f>IFERROR(IFERROR(VLOOKUP(A2684,TRAOPE!$A:$U,21,0),VLOOKUP(B2684,TRAOPE!$A:$U,21,0)),"")</f>
        <v/>
      </c>
      <c r="R2684" s="8">
        <f>IFERROR(IFERROR(VLOOKUP(A2684,TRAOPE!$A:$W,23,0),VLOOKUP(B2684,TRAOPE!$A:$W,23,0)),"")</f>
        <v/>
      </c>
      <c r="S2684" s="10">
        <f>IF(AND(P2684="TN",R2684="TN"),N2684+N(O2684),IF(G2684&amp;""="1",N(K2684)*N2684,(N2684+N(O2684))*N(K2684)))</f>
        <v/>
      </c>
      <c r="T2684" s="10">
        <f>IF(Q2684="","",Q2684-S2684)</f>
        <v/>
      </c>
    </row>
    <row r="2685">
      <c r="A2685" s="7">
        <f>CONCATENATE(C2685,E2685,F2685,I2685)</f>
        <v/>
      </c>
      <c r="B2685" s="7">
        <f>CONCATENATE(C2685,E2685,I2685)</f>
        <v/>
      </c>
      <c r="C2685" s="8" t="n">
        <v>900007320</v>
      </c>
      <c r="D2685" s="7">
        <f>IFERROR(VLOOKUP(C2685,TRAOPE!$G:$H,2,0),"")</f>
        <v/>
      </c>
      <c r="E2685" s="8" t="inlineStr">
        <is>
          <t>D836</t>
        </is>
      </c>
      <c r="F2685" s="8" t="inlineStr">
        <is>
          <t>66982053</t>
        </is>
      </c>
      <c r="G2685" s="8">
        <f>IFERROR(VLOOKUP(A2685,Flete!$A:$E,5,0),"")</f>
        <v/>
      </c>
      <c r="H2685" s="7">
        <f>IFERROR(VLOOKUP(F2685,TRAOPE!$AA:$AB,2,0),"")</f>
        <v/>
      </c>
      <c r="I2685" s="7" t="n">
        <v>10000357</v>
      </c>
      <c r="J2685" s="7">
        <f>IFERROR(VLOOKUP(I2685,Materiales!$A:$H,8,0),"")</f>
        <v/>
      </c>
      <c r="K2685" s="9">
        <f>IFERROR(VLOOKUP(I2685,Materiales!$A:$G,7,0),"")</f>
        <v/>
      </c>
      <c r="L2685" s="8" t="inlineStr">
        <is>
          <t>20260625</t>
        </is>
      </c>
      <c r="M2685" s="8" t="inlineStr">
        <is>
          <t>99991231</t>
        </is>
      </c>
      <c r="N2685" s="10" t="n">
        <v>185</v>
      </c>
      <c r="O2685" s="10">
        <f>IFERROR(VLOOKUP(A2685,Flete!$A:$J,10,0),"")</f>
        <v/>
      </c>
      <c r="P2685" s="8" t="inlineStr">
        <is>
          <t>M3</t>
        </is>
      </c>
      <c r="Q2685" s="10">
        <f>IFERROR(IFERROR(VLOOKUP(A2685,TRAOPE!$A:$U,21,0),VLOOKUP(B2685,TRAOPE!$A:$U,21,0)),"")</f>
        <v/>
      </c>
      <c r="R2685" s="8">
        <f>IFERROR(IFERROR(VLOOKUP(A2685,TRAOPE!$A:$W,23,0),VLOOKUP(B2685,TRAOPE!$A:$W,23,0)),"")</f>
        <v/>
      </c>
      <c r="S2685" s="10">
        <f>IF(AND(P2685="TN",R2685="TN"),N2685+N(O2685),IF(G2685&amp;""="1",N(K2685)*N2685,(N2685+N(O2685))*N(K2685)))</f>
        <v/>
      </c>
      <c r="T2685" s="10">
        <f>IF(Q2685="","",Q2685-S2685)</f>
        <v/>
      </c>
    </row>
    <row r="2686">
      <c r="A2686" s="7">
        <f>CONCATENATE(C2686,E2686,F2686,I2686)</f>
        <v/>
      </c>
      <c r="B2686" s="7">
        <f>CONCATENATE(C2686,E2686,I2686)</f>
        <v/>
      </c>
      <c r="C2686" s="8" t="n">
        <v>900007320</v>
      </c>
      <c r="D2686" s="7">
        <f>IFERROR(VLOOKUP(C2686,TRAOPE!$G:$H,2,0),"")</f>
        <v/>
      </c>
      <c r="E2686" s="8" t="inlineStr">
        <is>
          <t>D836</t>
        </is>
      </c>
      <c r="F2686" s="8" t="inlineStr">
        <is>
          <t>67019979</t>
        </is>
      </c>
      <c r="G2686" s="8">
        <f>IFERROR(VLOOKUP(A2686,Flete!$A:$E,5,0),"")</f>
        <v/>
      </c>
      <c r="H2686" s="7">
        <f>IFERROR(VLOOKUP(F2686,TRAOPE!$AA:$AB,2,0),"")</f>
        <v/>
      </c>
      <c r="I2686" s="7" t="n">
        <v>10000160</v>
      </c>
      <c r="J2686" s="7">
        <f>IFERROR(VLOOKUP(I2686,Materiales!$A:$H,8,0),"")</f>
        <v/>
      </c>
      <c r="K2686" s="9">
        <f>IFERROR(VLOOKUP(I2686,Materiales!$A:$G,7,0),"")</f>
        <v/>
      </c>
      <c r="L2686" s="8" t="inlineStr">
        <is>
          <t>20260625</t>
        </is>
      </c>
      <c r="M2686" s="8" t="inlineStr">
        <is>
          <t>99991231</t>
        </is>
      </c>
      <c r="N2686" s="10" t="n">
        <v>160</v>
      </c>
      <c r="O2686" s="10">
        <f>IFERROR(VLOOKUP(A2686,Flete!$A:$J,10,0),"")</f>
        <v/>
      </c>
      <c r="P2686" s="8" t="inlineStr">
        <is>
          <t>M3</t>
        </is>
      </c>
      <c r="Q2686" s="10">
        <f>IFERROR(IFERROR(VLOOKUP(A2686,TRAOPE!$A:$U,21,0),VLOOKUP(B2686,TRAOPE!$A:$U,21,0)),"")</f>
        <v/>
      </c>
      <c r="R2686" s="8">
        <f>IFERROR(IFERROR(VLOOKUP(A2686,TRAOPE!$A:$W,23,0),VLOOKUP(B2686,TRAOPE!$A:$W,23,0)),"")</f>
        <v/>
      </c>
      <c r="S2686" s="10">
        <f>IF(AND(P2686="TN",R2686="TN"),N2686+N(O2686),IF(G2686&amp;""="1",N(K2686)*N2686,(N2686+N(O2686))*N(K2686)))</f>
        <v/>
      </c>
      <c r="T2686" s="10">
        <f>IF(Q2686="","",Q2686-S2686)</f>
        <v/>
      </c>
    </row>
    <row r="2687">
      <c r="A2687" s="7">
        <f>CONCATENATE(C2687,E2687,F2687,I2687)</f>
        <v/>
      </c>
      <c r="B2687" s="7">
        <f>CONCATENATE(C2687,E2687,I2687)</f>
        <v/>
      </c>
      <c r="C2687" s="8" t="n">
        <v>900007320</v>
      </c>
      <c r="D2687" s="7">
        <f>IFERROR(VLOOKUP(C2687,TRAOPE!$G:$H,2,0),"")</f>
        <v/>
      </c>
      <c r="E2687" s="8" t="inlineStr">
        <is>
          <t>D836</t>
        </is>
      </c>
      <c r="F2687" s="8" t="inlineStr">
        <is>
          <t>67019979</t>
        </is>
      </c>
      <c r="G2687" s="8">
        <f>IFERROR(VLOOKUP(A2687,Flete!$A:$E,5,0),"")</f>
        <v/>
      </c>
      <c r="H2687" s="7">
        <f>IFERROR(VLOOKUP(F2687,TRAOPE!$AA:$AB,2,0),"")</f>
        <v/>
      </c>
      <c r="I2687" s="7" t="n">
        <v>10000357</v>
      </c>
      <c r="J2687" s="7">
        <f>IFERROR(VLOOKUP(I2687,Materiales!$A:$H,8,0),"")</f>
        <v/>
      </c>
      <c r="K2687" s="9">
        <f>IFERROR(VLOOKUP(I2687,Materiales!$A:$G,7,0),"")</f>
        <v/>
      </c>
      <c r="L2687" s="8" t="inlineStr">
        <is>
          <t>20260625</t>
        </is>
      </c>
      <c r="M2687" s="8" t="inlineStr">
        <is>
          <t>99991231</t>
        </is>
      </c>
      <c r="N2687" s="10" t="n">
        <v>185</v>
      </c>
      <c r="O2687" s="10">
        <f>IFERROR(VLOOKUP(A2687,Flete!$A:$J,10,0),"")</f>
        <v/>
      </c>
      <c r="P2687" s="8" t="inlineStr">
        <is>
          <t>M3</t>
        </is>
      </c>
      <c r="Q2687" s="10">
        <f>IFERROR(IFERROR(VLOOKUP(A2687,TRAOPE!$A:$U,21,0),VLOOKUP(B2687,TRAOPE!$A:$U,21,0)),"")</f>
        <v/>
      </c>
      <c r="R2687" s="8">
        <f>IFERROR(IFERROR(VLOOKUP(A2687,TRAOPE!$A:$W,23,0),VLOOKUP(B2687,TRAOPE!$A:$W,23,0)),"")</f>
        <v/>
      </c>
      <c r="S2687" s="10">
        <f>IF(AND(P2687="TN",R2687="TN"),N2687+N(O2687),IF(G2687&amp;""="1",N(K2687)*N2687,(N2687+N(O2687))*N(K2687)))</f>
        <v/>
      </c>
      <c r="T2687" s="10">
        <f>IF(Q2687="","",Q2687-S2687)</f>
        <v/>
      </c>
    </row>
    <row r="2688">
      <c r="A2688" s="7">
        <f>CONCATENATE(C2688,E2688,F2688,I2688)</f>
        <v/>
      </c>
      <c r="B2688" s="7">
        <f>CONCATENATE(C2688,E2688,I2688)</f>
        <v/>
      </c>
      <c r="C2688" s="8" t="n">
        <v>900007320</v>
      </c>
      <c r="D2688" s="7">
        <f>IFERROR(VLOOKUP(C2688,TRAOPE!$G:$H,2,0),"")</f>
        <v/>
      </c>
      <c r="E2688" s="8" t="inlineStr">
        <is>
          <t>D836</t>
        </is>
      </c>
      <c r="F2688" s="8" t="inlineStr">
        <is>
          <t>67143690</t>
        </is>
      </c>
      <c r="G2688" s="8">
        <f>IFERROR(VLOOKUP(A2688,Flete!$A:$E,5,0),"")</f>
        <v/>
      </c>
      <c r="H2688" s="7">
        <f>IFERROR(VLOOKUP(F2688,TRAOPE!$AA:$AB,2,0),"")</f>
        <v/>
      </c>
      <c r="I2688" s="7" t="n">
        <v>10000160</v>
      </c>
      <c r="J2688" s="7">
        <f>IFERROR(VLOOKUP(I2688,Materiales!$A:$H,8,0),"")</f>
        <v/>
      </c>
      <c r="K2688" s="9">
        <f>IFERROR(VLOOKUP(I2688,Materiales!$A:$G,7,0),"")</f>
        <v/>
      </c>
      <c r="L2688" s="8" t="inlineStr">
        <is>
          <t>20260324</t>
        </is>
      </c>
      <c r="M2688" s="8" t="inlineStr">
        <is>
          <t>99991231</t>
        </is>
      </c>
      <c r="N2688" s="10" t="n">
        <v>115</v>
      </c>
      <c r="O2688" s="10">
        <f>IFERROR(VLOOKUP(A2688,Flete!$A:$J,10,0),"")</f>
        <v/>
      </c>
      <c r="P2688" s="8" t="inlineStr">
        <is>
          <t>M3</t>
        </is>
      </c>
      <c r="Q2688" s="10">
        <f>IFERROR(IFERROR(VLOOKUP(A2688,TRAOPE!$A:$U,21,0),VLOOKUP(B2688,TRAOPE!$A:$U,21,0)),"")</f>
        <v/>
      </c>
      <c r="R2688" s="8">
        <f>IFERROR(IFERROR(VLOOKUP(A2688,TRAOPE!$A:$W,23,0),VLOOKUP(B2688,TRAOPE!$A:$W,23,0)),"")</f>
        <v/>
      </c>
      <c r="S2688" s="10">
        <f>IF(AND(P2688="TN",R2688="TN"),N2688+N(O2688),IF(G2688&amp;""="1",N(K2688)*N2688,(N2688+N(O2688))*N(K2688)))</f>
        <v/>
      </c>
      <c r="T2688" s="10">
        <f>IF(Q2688="","",Q2688-S2688)</f>
        <v/>
      </c>
    </row>
    <row r="2689">
      <c r="A2689" s="7">
        <f>CONCATENATE(C2689,E2689,F2689,I2689)</f>
        <v/>
      </c>
      <c r="B2689" s="7">
        <f>CONCATENATE(C2689,E2689,I2689)</f>
        <v/>
      </c>
      <c r="C2689" s="8" t="n">
        <v>900007320</v>
      </c>
      <c r="D2689" s="7">
        <f>IFERROR(VLOOKUP(C2689,TRAOPE!$G:$H,2,0),"")</f>
        <v/>
      </c>
      <c r="E2689" s="8" t="inlineStr">
        <is>
          <t>D836</t>
        </is>
      </c>
      <c r="F2689" s="8" t="inlineStr">
        <is>
          <t>67166394</t>
        </is>
      </c>
      <c r="G2689" s="8">
        <f>IFERROR(VLOOKUP(A2689,Flete!$A:$E,5,0),"")</f>
        <v/>
      </c>
      <c r="H2689" s="7">
        <f>IFERROR(VLOOKUP(F2689,TRAOPE!$AA:$AB,2,0),"")</f>
        <v/>
      </c>
      <c r="I2689" s="7" t="n">
        <v>10000160</v>
      </c>
      <c r="J2689" s="7">
        <f>IFERROR(VLOOKUP(I2689,Materiales!$A:$H,8,0),"")</f>
        <v/>
      </c>
      <c r="K2689" s="9">
        <f>IFERROR(VLOOKUP(I2689,Materiales!$A:$G,7,0),"")</f>
        <v/>
      </c>
      <c r="L2689" s="8" t="inlineStr">
        <is>
          <t>20260714</t>
        </is>
      </c>
      <c r="M2689" s="8" t="inlineStr">
        <is>
          <t>99991231</t>
        </is>
      </c>
      <c r="N2689" s="10" t="n">
        <v>127</v>
      </c>
      <c r="O2689" s="10">
        <f>IFERROR(VLOOKUP(A2689,Flete!$A:$J,10,0),"")</f>
        <v/>
      </c>
      <c r="P2689" s="8" t="inlineStr">
        <is>
          <t>M3</t>
        </is>
      </c>
      <c r="Q2689" s="10">
        <f>IFERROR(IFERROR(VLOOKUP(A2689,TRAOPE!$A:$U,21,0),VLOOKUP(B2689,TRAOPE!$A:$U,21,0)),"")</f>
        <v/>
      </c>
      <c r="R2689" s="8">
        <f>IFERROR(IFERROR(VLOOKUP(A2689,TRAOPE!$A:$W,23,0),VLOOKUP(B2689,TRAOPE!$A:$W,23,0)),"")</f>
        <v/>
      </c>
      <c r="S2689" s="10">
        <f>IF(AND(P2689="TN",R2689="TN"),N2689+N(O2689),IF(G2689&amp;""="1",N(K2689)*N2689,(N2689+N(O2689))*N(K2689)))</f>
        <v/>
      </c>
      <c r="T2689" s="10">
        <f>IF(Q2689="","",Q2689-S2689)</f>
        <v/>
      </c>
    </row>
    <row r="2690">
      <c r="A2690" s="7">
        <f>CONCATENATE(C2690,E2690,F2690,I2690)</f>
        <v/>
      </c>
      <c r="B2690" s="7">
        <f>CONCATENATE(C2690,E2690,I2690)</f>
        <v/>
      </c>
      <c r="C2690" s="8" t="n">
        <v>900007320</v>
      </c>
      <c r="D2690" s="7">
        <f>IFERROR(VLOOKUP(C2690,TRAOPE!$G:$H,2,0),"")</f>
        <v/>
      </c>
      <c r="E2690" s="8" t="inlineStr">
        <is>
          <t>D836</t>
        </is>
      </c>
      <c r="F2690" s="8" t="inlineStr">
        <is>
          <t>67166394</t>
        </is>
      </c>
      <c r="G2690" s="8">
        <f>IFERROR(VLOOKUP(A2690,Flete!$A:$E,5,0),"")</f>
        <v/>
      </c>
      <c r="H2690" s="7">
        <f>IFERROR(VLOOKUP(F2690,TRAOPE!$AA:$AB,2,0),"")</f>
        <v/>
      </c>
      <c r="I2690" s="7" t="n">
        <v>10000357</v>
      </c>
      <c r="J2690" s="7">
        <f>IFERROR(VLOOKUP(I2690,Materiales!$A:$H,8,0),"")</f>
        <v/>
      </c>
      <c r="K2690" s="9">
        <f>IFERROR(VLOOKUP(I2690,Materiales!$A:$G,7,0),"")</f>
        <v/>
      </c>
      <c r="L2690" s="8" t="inlineStr">
        <is>
          <t>20260324</t>
        </is>
      </c>
      <c r="M2690" s="8" t="inlineStr">
        <is>
          <t>99991231</t>
        </is>
      </c>
      <c r="N2690" s="10" t="n">
        <v>150</v>
      </c>
      <c r="O2690" s="10">
        <f>IFERROR(VLOOKUP(A2690,Flete!$A:$J,10,0),"")</f>
        <v/>
      </c>
      <c r="P2690" s="8" t="inlineStr">
        <is>
          <t>M3</t>
        </is>
      </c>
      <c r="Q2690" s="10">
        <f>IFERROR(IFERROR(VLOOKUP(A2690,TRAOPE!$A:$U,21,0),VLOOKUP(B2690,TRAOPE!$A:$U,21,0)),"")</f>
        <v/>
      </c>
      <c r="R2690" s="8">
        <f>IFERROR(IFERROR(VLOOKUP(A2690,TRAOPE!$A:$W,23,0),VLOOKUP(B2690,TRAOPE!$A:$W,23,0)),"")</f>
        <v/>
      </c>
      <c r="S2690" s="10">
        <f>IF(AND(P2690="TN",R2690="TN"),N2690+N(O2690),IF(G2690&amp;""="1",N(K2690)*N2690,(N2690+N(O2690))*N(K2690)))</f>
        <v/>
      </c>
      <c r="T2690" s="10">
        <f>IF(Q2690="","",Q2690-S2690)</f>
        <v/>
      </c>
    </row>
    <row r="2691">
      <c r="A2691" s="7">
        <f>CONCATENATE(C2691,E2691,F2691,I2691)</f>
        <v/>
      </c>
      <c r="B2691" s="7">
        <f>CONCATENATE(C2691,E2691,I2691)</f>
        <v/>
      </c>
      <c r="C2691" s="8" t="n">
        <v>900007320</v>
      </c>
      <c r="D2691" s="7">
        <f>IFERROR(VLOOKUP(C2691,TRAOPE!$G:$H,2,0),"")</f>
        <v/>
      </c>
      <c r="E2691" s="8" t="inlineStr">
        <is>
          <t>D836</t>
        </is>
      </c>
      <c r="F2691" s="8" t="inlineStr">
        <is>
          <t>67243408</t>
        </is>
      </c>
      <c r="G2691" s="8">
        <f>IFERROR(VLOOKUP(A2691,Flete!$A:$E,5,0),"")</f>
        <v/>
      </c>
      <c r="H2691" s="7">
        <f>IFERROR(VLOOKUP(F2691,TRAOPE!$AA:$AB,2,0),"")</f>
        <v/>
      </c>
      <c r="I2691" s="7" t="n">
        <v>10000160</v>
      </c>
      <c r="J2691" s="7">
        <f>IFERROR(VLOOKUP(I2691,Materiales!$A:$H,8,0),"")</f>
        <v/>
      </c>
      <c r="K2691" s="9">
        <f>IFERROR(VLOOKUP(I2691,Materiales!$A:$G,7,0),"")</f>
        <v/>
      </c>
      <c r="L2691" s="8" t="inlineStr">
        <is>
          <t>20260625</t>
        </is>
      </c>
      <c r="M2691" s="8" t="inlineStr">
        <is>
          <t>99991231</t>
        </is>
      </c>
      <c r="N2691" s="10" t="n">
        <v>160</v>
      </c>
      <c r="O2691" s="10">
        <f>IFERROR(VLOOKUP(A2691,Flete!$A:$J,10,0),"")</f>
        <v/>
      </c>
      <c r="P2691" s="8" t="inlineStr">
        <is>
          <t>M3</t>
        </is>
      </c>
      <c r="Q2691" s="10">
        <f>IFERROR(IFERROR(VLOOKUP(A2691,TRAOPE!$A:$U,21,0),VLOOKUP(B2691,TRAOPE!$A:$U,21,0)),"")</f>
        <v/>
      </c>
      <c r="R2691" s="8">
        <f>IFERROR(IFERROR(VLOOKUP(A2691,TRAOPE!$A:$W,23,0),VLOOKUP(B2691,TRAOPE!$A:$W,23,0)),"")</f>
        <v/>
      </c>
      <c r="S2691" s="10">
        <f>IF(AND(P2691="TN",R2691="TN"),N2691+N(O2691),IF(G2691&amp;""="1",N(K2691)*N2691,(N2691+N(O2691))*N(K2691)))</f>
        <v/>
      </c>
      <c r="T2691" s="10">
        <f>IF(Q2691="","",Q2691-S2691)</f>
        <v/>
      </c>
    </row>
    <row r="2692">
      <c r="A2692" s="7">
        <f>CONCATENATE(C2692,E2692,F2692,I2692)</f>
        <v/>
      </c>
      <c r="B2692" s="7">
        <f>CONCATENATE(C2692,E2692,I2692)</f>
        <v/>
      </c>
      <c r="C2692" s="8" t="n">
        <v>900007320</v>
      </c>
      <c r="D2692" s="7">
        <f>IFERROR(VLOOKUP(C2692,TRAOPE!$G:$H,2,0),"")</f>
        <v/>
      </c>
      <c r="E2692" s="8" t="inlineStr">
        <is>
          <t>D836</t>
        </is>
      </c>
      <c r="F2692" s="8" t="inlineStr">
        <is>
          <t>67243408</t>
        </is>
      </c>
      <c r="G2692" s="8">
        <f>IFERROR(VLOOKUP(A2692,Flete!$A:$E,5,0),"")</f>
        <v/>
      </c>
      <c r="H2692" s="7">
        <f>IFERROR(VLOOKUP(F2692,TRAOPE!$AA:$AB,2,0),"")</f>
        <v/>
      </c>
      <c r="I2692" s="7" t="n">
        <v>10000357</v>
      </c>
      <c r="J2692" s="7">
        <f>IFERROR(VLOOKUP(I2692,Materiales!$A:$H,8,0),"")</f>
        <v/>
      </c>
      <c r="K2692" s="9">
        <f>IFERROR(VLOOKUP(I2692,Materiales!$A:$G,7,0),"")</f>
        <v/>
      </c>
      <c r="L2692" s="8" t="inlineStr">
        <is>
          <t>20260625</t>
        </is>
      </c>
      <c r="M2692" s="8" t="inlineStr">
        <is>
          <t>99991231</t>
        </is>
      </c>
      <c r="N2692" s="10" t="n">
        <v>185</v>
      </c>
      <c r="O2692" s="10">
        <f>IFERROR(VLOOKUP(A2692,Flete!$A:$J,10,0),"")</f>
        <v/>
      </c>
      <c r="P2692" s="8" t="inlineStr">
        <is>
          <t>M3</t>
        </is>
      </c>
      <c r="Q2692" s="10">
        <f>IFERROR(IFERROR(VLOOKUP(A2692,TRAOPE!$A:$U,21,0),VLOOKUP(B2692,TRAOPE!$A:$U,21,0)),"")</f>
        <v/>
      </c>
      <c r="R2692" s="8">
        <f>IFERROR(IFERROR(VLOOKUP(A2692,TRAOPE!$A:$W,23,0),VLOOKUP(B2692,TRAOPE!$A:$W,23,0)),"")</f>
        <v/>
      </c>
      <c r="S2692" s="10">
        <f>IF(AND(P2692="TN",R2692="TN"),N2692+N(O2692),IF(G2692&amp;""="1",N(K2692)*N2692,(N2692+N(O2692))*N(K2692)))</f>
        <v/>
      </c>
      <c r="T2692" s="10">
        <f>IF(Q2692="","",Q2692-S2692)</f>
        <v/>
      </c>
    </row>
    <row r="2693">
      <c r="A2693" s="7">
        <f>CONCATENATE(C2693,E2693,F2693,I2693)</f>
        <v/>
      </c>
      <c r="B2693" s="7">
        <f>CONCATENATE(C2693,E2693,I2693)</f>
        <v/>
      </c>
      <c r="C2693" s="8" t="n">
        <v>900007320</v>
      </c>
      <c r="D2693" s="7">
        <f>IFERROR(VLOOKUP(C2693,TRAOPE!$G:$H,2,0),"")</f>
        <v/>
      </c>
      <c r="E2693" s="8" t="inlineStr">
        <is>
          <t>D836</t>
        </is>
      </c>
      <c r="F2693" s="8" t="inlineStr">
        <is>
          <t>67322499</t>
        </is>
      </c>
      <c r="G2693" s="8">
        <f>IFERROR(VLOOKUP(A2693,Flete!$A:$E,5,0),"")</f>
        <v/>
      </c>
      <c r="H2693" s="7">
        <f>IFERROR(VLOOKUP(F2693,TRAOPE!$AA:$AB,2,0),"")</f>
        <v/>
      </c>
      <c r="I2693" s="7" t="n">
        <v>10000160</v>
      </c>
      <c r="J2693" s="7">
        <f>IFERROR(VLOOKUP(I2693,Materiales!$A:$H,8,0),"")</f>
        <v/>
      </c>
      <c r="K2693" s="9">
        <f>IFERROR(VLOOKUP(I2693,Materiales!$A:$G,7,0),"")</f>
        <v/>
      </c>
      <c r="L2693" s="8" t="inlineStr">
        <is>
          <t>20260625</t>
        </is>
      </c>
      <c r="M2693" s="8" t="inlineStr">
        <is>
          <t>99991231</t>
        </is>
      </c>
      <c r="N2693" s="10" t="n">
        <v>160</v>
      </c>
      <c r="O2693" s="10">
        <f>IFERROR(VLOOKUP(A2693,Flete!$A:$J,10,0),"")</f>
        <v/>
      </c>
      <c r="P2693" s="8" t="inlineStr">
        <is>
          <t>M3</t>
        </is>
      </c>
      <c r="Q2693" s="10">
        <f>IFERROR(IFERROR(VLOOKUP(A2693,TRAOPE!$A:$U,21,0),VLOOKUP(B2693,TRAOPE!$A:$U,21,0)),"")</f>
        <v/>
      </c>
      <c r="R2693" s="8">
        <f>IFERROR(IFERROR(VLOOKUP(A2693,TRAOPE!$A:$W,23,0),VLOOKUP(B2693,TRAOPE!$A:$W,23,0)),"")</f>
        <v/>
      </c>
      <c r="S2693" s="10">
        <f>IF(AND(P2693="TN",R2693="TN"),N2693+N(O2693),IF(G2693&amp;""="1",N(K2693)*N2693,(N2693+N(O2693))*N(K2693)))</f>
        <v/>
      </c>
      <c r="T2693" s="10">
        <f>IF(Q2693="","",Q2693-S2693)</f>
        <v/>
      </c>
    </row>
    <row r="2694">
      <c r="A2694" s="7">
        <f>CONCATENATE(C2694,E2694,F2694,I2694)</f>
        <v/>
      </c>
      <c r="B2694" s="7">
        <f>CONCATENATE(C2694,E2694,I2694)</f>
        <v/>
      </c>
      <c r="C2694" s="8" t="n">
        <v>900007320</v>
      </c>
      <c r="D2694" s="7">
        <f>IFERROR(VLOOKUP(C2694,TRAOPE!$G:$H,2,0),"")</f>
        <v/>
      </c>
      <c r="E2694" s="8" t="inlineStr">
        <is>
          <t>D836</t>
        </is>
      </c>
      <c r="F2694" s="8" t="inlineStr">
        <is>
          <t>67322499</t>
        </is>
      </c>
      <c r="G2694" s="8">
        <f>IFERROR(VLOOKUP(A2694,Flete!$A:$E,5,0),"")</f>
        <v/>
      </c>
      <c r="H2694" s="7">
        <f>IFERROR(VLOOKUP(F2694,TRAOPE!$AA:$AB,2,0),"")</f>
        <v/>
      </c>
      <c r="I2694" s="7" t="n">
        <v>10000357</v>
      </c>
      <c r="J2694" s="7">
        <f>IFERROR(VLOOKUP(I2694,Materiales!$A:$H,8,0),"")</f>
        <v/>
      </c>
      <c r="K2694" s="9">
        <f>IFERROR(VLOOKUP(I2694,Materiales!$A:$G,7,0),"")</f>
        <v/>
      </c>
      <c r="L2694" s="8" t="inlineStr">
        <is>
          <t>20260625</t>
        </is>
      </c>
      <c r="M2694" s="8" t="inlineStr">
        <is>
          <t>99991231</t>
        </is>
      </c>
      <c r="N2694" s="10" t="n">
        <v>185</v>
      </c>
      <c r="O2694" s="10">
        <f>IFERROR(VLOOKUP(A2694,Flete!$A:$J,10,0),"")</f>
        <v/>
      </c>
      <c r="P2694" s="8" t="inlineStr">
        <is>
          <t>M3</t>
        </is>
      </c>
      <c r="Q2694" s="10">
        <f>IFERROR(IFERROR(VLOOKUP(A2694,TRAOPE!$A:$U,21,0),VLOOKUP(B2694,TRAOPE!$A:$U,21,0)),"")</f>
        <v/>
      </c>
      <c r="R2694" s="8">
        <f>IFERROR(IFERROR(VLOOKUP(A2694,TRAOPE!$A:$W,23,0),VLOOKUP(B2694,TRAOPE!$A:$W,23,0)),"")</f>
        <v/>
      </c>
      <c r="S2694" s="10">
        <f>IF(AND(P2694="TN",R2694="TN"),N2694+N(O2694),IF(G2694&amp;""="1",N(K2694)*N2694,(N2694+N(O2694))*N(K2694)))</f>
        <v/>
      </c>
      <c r="T2694" s="10">
        <f>IF(Q2694="","",Q2694-S2694)</f>
        <v/>
      </c>
    </row>
    <row r="2695">
      <c r="A2695" s="7">
        <f>CONCATENATE(C2695,E2695,F2695,I2695)</f>
        <v/>
      </c>
      <c r="B2695" s="7">
        <f>CONCATENATE(C2695,E2695,I2695)</f>
        <v/>
      </c>
      <c r="C2695" s="8" t="n">
        <v>900007320</v>
      </c>
      <c r="D2695" s="7">
        <f>IFERROR(VLOOKUP(C2695,TRAOPE!$G:$H,2,0),"")</f>
        <v/>
      </c>
      <c r="E2695" s="8" t="inlineStr">
        <is>
          <t>D836</t>
        </is>
      </c>
      <c r="F2695" s="8" t="inlineStr">
        <is>
          <t>67328420</t>
        </is>
      </c>
      <c r="G2695" s="8">
        <f>IFERROR(VLOOKUP(A2695,Flete!$A:$E,5,0),"")</f>
        <v/>
      </c>
      <c r="H2695" s="7">
        <f>IFERROR(VLOOKUP(F2695,TRAOPE!$AA:$AB,2,0),"")</f>
        <v/>
      </c>
      <c r="I2695" s="7" t="n">
        <v>10000160</v>
      </c>
      <c r="J2695" s="7">
        <f>IFERROR(VLOOKUP(I2695,Materiales!$A:$H,8,0),"")</f>
        <v/>
      </c>
      <c r="K2695" s="9">
        <f>IFERROR(VLOOKUP(I2695,Materiales!$A:$G,7,0),"")</f>
        <v/>
      </c>
      <c r="L2695" s="8" t="inlineStr">
        <is>
          <t>20260604</t>
        </is>
      </c>
      <c r="M2695" s="8" t="inlineStr">
        <is>
          <t>99991231</t>
        </is>
      </c>
      <c r="N2695" s="10" t="n">
        <v>124</v>
      </c>
      <c r="O2695" s="10">
        <f>IFERROR(VLOOKUP(A2695,Flete!$A:$J,10,0),"")</f>
        <v/>
      </c>
      <c r="P2695" s="8" t="inlineStr">
        <is>
          <t>M3</t>
        </is>
      </c>
      <c r="Q2695" s="10">
        <f>IFERROR(IFERROR(VLOOKUP(A2695,TRAOPE!$A:$U,21,0),VLOOKUP(B2695,TRAOPE!$A:$U,21,0)),"")</f>
        <v/>
      </c>
      <c r="R2695" s="8">
        <f>IFERROR(IFERROR(VLOOKUP(A2695,TRAOPE!$A:$W,23,0),VLOOKUP(B2695,TRAOPE!$A:$W,23,0)),"")</f>
        <v/>
      </c>
      <c r="S2695" s="10">
        <f>IF(AND(P2695="TN",R2695="TN"),N2695+N(O2695),IF(G2695&amp;""="1",N(K2695)*N2695,(N2695+N(O2695))*N(K2695)))</f>
        <v/>
      </c>
      <c r="T2695" s="10">
        <f>IF(Q2695="","",Q2695-S2695)</f>
        <v/>
      </c>
    </row>
    <row r="2696">
      <c r="A2696" s="7">
        <f>CONCATENATE(C2696,E2696,F2696,I2696)</f>
        <v/>
      </c>
      <c r="B2696" s="7">
        <f>CONCATENATE(C2696,E2696,I2696)</f>
        <v/>
      </c>
      <c r="C2696" s="8" t="n">
        <v>900007320</v>
      </c>
      <c r="D2696" s="7">
        <f>IFERROR(VLOOKUP(C2696,TRAOPE!$G:$H,2,0),"")</f>
        <v/>
      </c>
      <c r="E2696" s="8" t="inlineStr">
        <is>
          <t>D836</t>
        </is>
      </c>
      <c r="F2696" s="8" t="inlineStr">
        <is>
          <t>67328420</t>
        </is>
      </c>
      <c r="G2696" s="8">
        <f>IFERROR(VLOOKUP(A2696,Flete!$A:$E,5,0),"")</f>
        <v/>
      </c>
      <c r="H2696" s="7">
        <f>IFERROR(VLOOKUP(F2696,TRAOPE!$AA:$AB,2,0),"")</f>
        <v/>
      </c>
      <c r="I2696" s="7" t="n">
        <v>10000357</v>
      </c>
      <c r="J2696" s="7">
        <f>IFERROR(VLOOKUP(I2696,Materiales!$A:$H,8,0),"")</f>
        <v/>
      </c>
      <c r="K2696" s="9">
        <f>IFERROR(VLOOKUP(I2696,Materiales!$A:$G,7,0),"")</f>
        <v/>
      </c>
      <c r="L2696" s="8" t="inlineStr">
        <is>
          <t>20260622</t>
        </is>
      </c>
      <c r="M2696" s="8" t="inlineStr">
        <is>
          <t>99991231</t>
        </is>
      </c>
      <c r="N2696" s="10" t="n">
        <v>150</v>
      </c>
      <c r="O2696" s="10">
        <f>IFERROR(VLOOKUP(A2696,Flete!$A:$J,10,0),"")</f>
        <v/>
      </c>
      <c r="P2696" s="8" t="inlineStr">
        <is>
          <t>M3</t>
        </is>
      </c>
      <c r="Q2696" s="10">
        <f>IFERROR(IFERROR(VLOOKUP(A2696,TRAOPE!$A:$U,21,0),VLOOKUP(B2696,TRAOPE!$A:$U,21,0)),"")</f>
        <v/>
      </c>
      <c r="R2696" s="8">
        <f>IFERROR(IFERROR(VLOOKUP(A2696,TRAOPE!$A:$W,23,0),VLOOKUP(B2696,TRAOPE!$A:$W,23,0)),"")</f>
        <v/>
      </c>
      <c r="S2696" s="10">
        <f>IF(AND(P2696="TN",R2696="TN"),N2696+N(O2696),IF(G2696&amp;""="1",N(K2696)*N2696,(N2696+N(O2696))*N(K2696)))</f>
        <v/>
      </c>
      <c r="T2696" s="10">
        <f>IF(Q2696="","",Q2696-S2696)</f>
        <v/>
      </c>
    </row>
    <row r="2697">
      <c r="A2697" s="7">
        <f>CONCATENATE(C2697,E2697,F2697,I2697)</f>
        <v/>
      </c>
      <c r="B2697" s="7">
        <f>CONCATENATE(C2697,E2697,I2697)</f>
        <v/>
      </c>
      <c r="C2697" s="8" t="n">
        <v>900007320</v>
      </c>
      <c r="D2697" s="7">
        <f>IFERROR(VLOOKUP(C2697,TRAOPE!$G:$H,2,0),"")</f>
        <v/>
      </c>
      <c r="E2697" s="8" t="inlineStr">
        <is>
          <t>D836</t>
        </is>
      </c>
      <c r="F2697" s="8" t="inlineStr">
        <is>
          <t>67358631</t>
        </is>
      </c>
      <c r="G2697" s="8">
        <f>IFERROR(VLOOKUP(A2697,Flete!$A:$E,5,0),"")</f>
        <v/>
      </c>
      <c r="H2697" s="7">
        <f>IFERROR(VLOOKUP(F2697,TRAOPE!$AA:$AB,2,0),"")</f>
        <v/>
      </c>
      <c r="I2697" s="7" t="n">
        <v>10000160</v>
      </c>
      <c r="J2697" s="7">
        <f>IFERROR(VLOOKUP(I2697,Materiales!$A:$H,8,0),"")</f>
        <v/>
      </c>
      <c r="K2697" s="9">
        <f>IFERROR(VLOOKUP(I2697,Materiales!$A:$G,7,0),"")</f>
        <v/>
      </c>
      <c r="L2697" s="8" t="inlineStr">
        <is>
          <t>20260224</t>
        </is>
      </c>
      <c r="M2697" s="8" t="inlineStr">
        <is>
          <t>99991231</t>
        </is>
      </c>
      <c r="N2697" s="10" t="n">
        <v>104.5</v>
      </c>
      <c r="O2697" s="10">
        <f>IFERROR(VLOOKUP(A2697,Flete!$A:$J,10,0),"")</f>
        <v/>
      </c>
      <c r="P2697" s="8" t="inlineStr">
        <is>
          <t>M3</t>
        </is>
      </c>
      <c r="Q2697" s="10">
        <f>IFERROR(IFERROR(VLOOKUP(A2697,TRAOPE!$A:$U,21,0),VLOOKUP(B2697,TRAOPE!$A:$U,21,0)),"")</f>
        <v/>
      </c>
      <c r="R2697" s="8">
        <f>IFERROR(IFERROR(VLOOKUP(A2697,TRAOPE!$A:$W,23,0),VLOOKUP(B2697,TRAOPE!$A:$W,23,0)),"")</f>
        <v/>
      </c>
      <c r="S2697" s="10">
        <f>IF(AND(P2697="TN",R2697="TN"),N2697+N(O2697),IF(G2697&amp;""="1",N(K2697)*N2697,(N2697+N(O2697))*N(K2697)))</f>
        <v/>
      </c>
      <c r="T2697" s="10">
        <f>IF(Q2697="","",Q2697-S2697)</f>
        <v/>
      </c>
    </row>
    <row r="2698">
      <c r="A2698" s="7">
        <f>CONCATENATE(C2698,E2698,F2698,I2698)</f>
        <v/>
      </c>
      <c r="B2698" s="7">
        <f>CONCATENATE(C2698,E2698,I2698)</f>
        <v/>
      </c>
      <c r="C2698" s="8" t="n">
        <v>900007320</v>
      </c>
      <c r="D2698" s="7">
        <f>IFERROR(VLOOKUP(C2698,TRAOPE!$G:$H,2,0),"")</f>
        <v/>
      </c>
      <c r="E2698" s="8" t="inlineStr">
        <is>
          <t>D836</t>
        </is>
      </c>
      <c r="F2698" s="8" t="inlineStr">
        <is>
          <t>67358631</t>
        </is>
      </c>
      <c r="G2698" s="8">
        <f>IFERROR(VLOOKUP(A2698,Flete!$A:$E,5,0),"")</f>
        <v/>
      </c>
      <c r="H2698" s="7">
        <f>IFERROR(VLOOKUP(F2698,TRAOPE!$AA:$AB,2,0),"")</f>
        <v/>
      </c>
      <c r="I2698" s="7" t="n">
        <v>10000357</v>
      </c>
      <c r="J2698" s="7">
        <f>IFERROR(VLOOKUP(I2698,Materiales!$A:$H,8,0),"")</f>
        <v/>
      </c>
      <c r="K2698" s="9">
        <f>IFERROR(VLOOKUP(I2698,Materiales!$A:$G,7,0),"")</f>
        <v/>
      </c>
      <c r="L2698" s="8" t="inlineStr">
        <is>
          <t>20260224</t>
        </is>
      </c>
      <c r="M2698" s="8" t="inlineStr">
        <is>
          <t>99991231</t>
        </is>
      </c>
      <c r="N2698" s="10" t="n">
        <v>124.2</v>
      </c>
      <c r="O2698" s="10">
        <f>IFERROR(VLOOKUP(A2698,Flete!$A:$J,10,0),"")</f>
        <v/>
      </c>
      <c r="P2698" s="8" t="inlineStr">
        <is>
          <t>M3</t>
        </is>
      </c>
      <c r="Q2698" s="10">
        <f>IFERROR(IFERROR(VLOOKUP(A2698,TRAOPE!$A:$U,21,0),VLOOKUP(B2698,TRAOPE!$A:$U,21,0)),"")</f>
        <v/>
      </c>
      <c r="R2698" s="8">
        <f>IFERROR(IFERROR(VLOOKUP(A2698,TRAOPE!$A:$W,23,0),VLOOKUP(B2698,TRAOPE!$A:$W,23,0)),"")</f>
        <v/>
      </c>
      <c r="S2698" s="10">
        <f>IF(AND(P2698="TN",R2698="TN"),N2698+N(O2698),IF(G2698&amp;""="1",N(K2698)*N2698,(N2698+N(O2698))*N(K2698)))</f>
        <v/>
      </c>
      <c r="T2698" s="10">
        <f>IF(Q2698="","",Q2698-S2698)</f>
        <v/>
      </c>
    </row>
    <row r="2699">
      <c r="A2699" s="7">
        <f>CONCATENATE(C2699,E2699,F2699,I2699)</f>
        <v/>
      </c>
      <c r="B2699" s="7">
        <f>CONCATENATE(C2699,E2699,I2699)</f>
        <v/>
      </c>
      <c r="C2699" s="8" t="n">
        <v>900007320</v>
      </c>
      <c r="D2699" s="7">
        <f>IFERROR(VLOOKUP(C2699,TRAOPE!$G:$H,2,0),"")</f>
        <v/>
      </c>
      <c r="E2699" s="8" t="inlineStr">
        <is>
          <t>D836</t>
        </is>
      </c>
      <c r="F2699" s="8" t="inlineStr">
        <is>
          <t>67358631</t>
        </is>
      </c>
      <c r="G2699" s="8">
        <f>IFERROR(VLOOKUP(A2699,Flete!$A:$E,5,0),"")</f>
        <v/>
      </c>
      <c r="H2699" s="7">
        <f>IFERROR(VLOOKUP(F2699,TRAOPE!$AA:$AB,2,0),"")</f>
        <v/>
      </c>
      <c r="I2699" s="7" t="n">
        <v>10000627</v>
      </c>
      <c r="J2699" s="7">
        <f>IFERROR(VLOOKUP(I2699,Materiales!$A:$H,8,0),"")</f>
        <v/>
      </c>
      <c r="K2699" s="9">
        <f>IFERROR(VLOOKUP(I2699,Materiales!$A:$G,7,0),"")</f>
        <v/>
      </c>
      <c r="L2699" s="8" t="inlineStr">
        <is>
          <t>20260224</t>
        </is>
      </c>
      <c r="M2699" s="8" t="inlineStr">
        <is>
          <t>99991231</t>
        </is>
      </c>
      <c r="N2699" s="10" t="n">
        <v>95.5</v>
      </c>
      <c r="O2699" s="10">
        <f>IFERROR(VLOOKUP(A2699,Flete!$A:$J,10,0),"")</f>
        <v/>
      </c>
      <c r="P2699" s="8" t="inlineStr">
        <is>
          <t>M3</t>
        </is>
      </c>
      <c r="Q2699" s="10">
        <f>IFERROR(IFERROR(VLOOKUP(A2699,TRAOPE!$A:$U,21,0),VLOOKUP(B2699,TRAOPE!$A:$U,21,0)),"")</f>
        <v/>
      </c>
      <c r="R2699" s="8">
        <f>IFERROR(IFERROR(VLOOKUP(A2699,TRAOPE!$A:$W,23,0),VLOOKUP(B2699,TRAOPE!$A:$W,23,0)),"")</f>
        <v/>
      </c>
      <c r="S2699" s="10">
        <f>IF(AND(P2699="TN",R2699="TN"),N2699+N(O2699),IF(G2699&amp;""="1",N(K2699)*N2699,(N2699+N(O2699))*N(K2699)))</f>
        <v/>
      </c>
      <c r="T2699" s="10">
        <f>IF(Q2699="","",Q2699-S2699)</f>
        <v/>
      </c>
    </row>
    <row r="2700">
      <c r="A2700" s="7">
        <f>CONCATENATE(C2700,E2700,F2700,I2700)</f>
        <v/>
      </c>
      <c r="B2700" s="7">
        <f>CONCATENATE(C2700,E2700,I2700)</f>
        <v/>
      </c>
      <c r="C2700" s="8" t="n">
        <v>900007320</v>
      </c>
      <c r="D2700" s="7">
        <f>IFERROR(VLOOKUP(C2700,TRAOPE!$G:$H,2,0),"")</f>
        <v/>
      </c>
      <c r="E2700" s="8" t="inlineStr">
        <is>
          <t>D836</t>
        </is>
      </c>
      <c r="F2700" s="8" t="inlineStr">
        <is>
          <t>67362127</t>
        </is>
      </c>
      <c r="G2700" s="8">
        <f>IFERROR(VLOOKUP(A2700,Flete!$A:$E,5,0),"")</f>
        <v/>
      </c>
      <c r="H2700" s="7">
        <f>IFERROR(VLOOKUP(F2700,TRAOPE!$AA:$AB,2,0),"")</f>
        <v/>
      </c>
      <c r="I2700" s="7" t="n">
        <v>10000627</v>
      </c>
      <c r="J2700" s="7">
        <f>IFERROR(VLOOKUP(I2700,Materiales!$A:$H,8,0),"")</f>
        <v/>
      </c>
      <c r="K2700" s="9">
        <f>IFERROR(VLOOKUP(I2700,Materiales!$A:$G,7,0),"")</f>
        <v/>
      </c>
      <c r="L2700" s="8" t="inlineStr">
        <is>
          <t>20260209</t>
        </is>
      </c>
      <c r="M2700" s="8" t="inlineStr">
        <is>
          <t>99991231</t>
        </is>
      </c>
      <c r="N2700" s="10" t="n">
        <v>101</v>
      </c>
      <c r="O2700" s="10">
        <f>IFERROR(VLOOKUP(A2700,Flete!$A:$J,10,0),"")</f>
        <v/>
      </c>
      <c r="P2700" s="8" t="inlineStr">
        <is>
          <t>M3</t>
        </is>
      </c>
      <c r="Q2700" s="10">
        <f>IFERROR(IFERROR(VLOOKUP(A2700,TRAOPE!$A:$U,21,0),VLOOKUP(B2700,TRAOPE!$A:$U,21,0)),"")</f>
        <v/>
      </c>
      <c r="R2700" s="8">
        <f>IFERROR(IFERROR(VLOOKUP(A2700,TRAOPE!$A:$W,23,0),VLOOKUP(B2700,TRAOPE!$A:$W,23,0)),"")</f>
        <v/>
      </c>
      <c r="S2700" s="10">
        <f>IF(AND(P2700="TN",R2700="TN"),N2700+N(O2700),IF(G2700&amp;""="1",N(K2700)*N2700,(N2700+N(O2700))*N(K2700)))</f>
        <v/>
      </c>
      <c r="T2700" s="10">
        <f>IF(Q2700="","",Q2700-S2700)</f>
        <v/>
      </c>
    </row>
    <row r="2701">
      <c r="A2701" s="7">
        <f>CONCATENATE(C2701,E2701,F2701,I2701)</f>
        <v/>
      </c>
      <c r="B2701" s="7">
        <f>CONCATENATE(C2701,E2701,I2701)</f>
        <v/>
      </c>
      <c r="C2701" s="8" t="n">
        <v>900007320</v>
      </c>
      <c r="D2701" s="7">
        <f>IFERROR(VLOOKUP(C2701,TRAOPE!$G:$H,2,0),"")</f>
        <v/>
      </c>
      <c r="E2701" s="8" t="inlineStr">
        <is>
          <t>D836</t>
        </is>
      </c>
      <c r="F2701" s="8" t="inlineStr">
        <is>
          <t>67362674</t>
        </is>
      </c>
      <c r="G2701" s="8">
        <f>IFERROR(VLOOKUP(A2701,Flete!$A:$E,5,0),"")</f>
        <v/>
      </c>
      <c r="H2701" s="7">
        <f>IFERROR(VLOOKUP(F2701,TRAOPE!$AA:$AB,2,0),"")</f>
        <v/>
      </c>
      <c r="I2701" s="7" t="n">
        <v>10000627</v>
      </c>
      <c r="J2701" s="7">
        <f>IFERROR(VLOOKUP(I2701,Materiales!$A:$H,8,0),"")</f>
        <v/>
      </c>
      <c r="K2701" s="9">
        <f>IFERROR(VLOOKUP(I2701,Materiales!$A:$G,7,0),"")</f>
        <v/>
      </c>
      <c r="L2701" s="8" t="inlineStr">
        <is>
          <t>20260209</t>
        </is>
      </c>
      <c r="M2701" s="8" t="inlineStr">
        <is>
          <t>99991231</t>
        </is>
      </c>
      <c r="N2701" s="10" t="n">
        <v>101</v>
      </c>
      <c r="O2701" s="10">
        <f>IFERROR(VLOOKUP(A2701,Flete!$A:$J,10,0),"")</f>
        <v/>
      </c>
      <c r="P2701" s="8" t="inlineStr">
        <is>
          <t>M3</t>
        </is>
      </c>
      <c r="Q2701" s="10">
        <f>IFERROR(IFERROR(VLOOKUP(A2701,TRAOPE!$A:$U,21,0),VLOOKUP(B2701,TRAOPE!$A:$U,21,0)),"")</f>
        <v/>
      </c>
      <c r="R2701" s="8">
        <f>IFERROR(IFERROR(VLOOKUP(A2701,TRAOPE!$A:$W,23,0),VLOOKUP(B2701,TRAOPE!$A:$W,23,0)),"")</f>
        <v/>
      </c>
      <c r="S2701" s="10">
        <f>IF(AND(P2701="TN",R2701="TN"),N2701+N(O2701),IF(G2701&amp;""="1",N(K2701)*N2701,(N2701+N(O2701))*N(K2701)))</f>
        <v/>
      </c>
      <c r="T2701" s="10">
        <f>IF(Q2701="","",Q2701-S2701)</f>
        <v/>
      </c>
    </row>
    <row r="2702">
      <c r="A2702" s="7">
        <f>CONCATENATE(C2702,E2702,F2702,I2702)</f>
        <v/>
      </c>
      <c r="B2702" s="7">
        <f>CONCATENATE(C2702,E2702,I2702)</f>
        <v/>
      </c>
      <c r="C2702" s="8" t="n">
        <v>900007320</v>
      </c>
      <c r="D2702" s="7">
        <f>IFERROR(VLOOKUP(C2702,TRAOPE!$G:$H,2,0),"")</f>
        <v/>
      </c>
      <c r="E2702" s="8" t="inlineStr">
        <is>
          <t>D836</t>
        </is>
      </c>
      <c r="F2702" s="8" t="inlineStr">
        <is>
          <t>67364131</t>
        </is>
      </c>
      <c r="G2702" s="8">
        <f>IFERROR(VLOOKUP(A2702,Flete!$A:$E,5,0),"")</f>
        <v/>
      </c>
      <c r="H2702" s="7">
        <f>IFERROR(VLOOKUP(F2702,TRAOPE!$AA:$AB,2,0),"")</f>
        <v/>
      </c>
      <c r="I2702" s="7" t="n">
        <v>10000627</v>
      </c>
      <c r="J2702" s="7">
        <f>IFERROR(VLOOKUP(I2702,Materiales!$A:$H,8,0),"")</f>
        <v/>
      </c>
      <c r="K2702" s="9">
        <f>IFERROR(VLOOKUP(I2702,Materiales!$A:$G,7,0),"")</f>
        <v/>
      </c>
      <c r="L2702" s="8" t="inlineStr">
        <is>
          <t>20260209</t>
        </is>
      </c>
      <c r="M2702" s="8" t="inlineStr">
        <is>
          <t>99991231</t>
        </is>
      </c>
      <c r="N2702" s="10" t="n">
        <v>101</v>
      </c>
      <c r="O2702" s="10">
        <f>IFERROR(VLOOKUP(A2702,Flete!$A:$J,10,0),"")</f>
        <v/>
      </c>
      <c r="P2702" s="8" t="inlineStr">
        <is>
          <t>M3</t>
        </is>
      </c>
      <c r="Q2702" s="10">
        <f>IFERROR(IFERROR(VLOOKUP(A2702,TRAOPE!$A:$U,21,0),VLOOKUP(B2702,TRAOPE!$A:$U,21,0)),"")</f>
        <v/>
      </c>
      <c r="R2702" s="8">
        <f>IFERROR(IFERROR(VLOOKUP(A2702,TRAOPE!$A:$W,23,0),VLOOKUP(B2702,TRAOPE!$A:$W,23,0)),"")</f>
        <v/>
      </c>
      <c r="S2702" s="10">
        <f>IF(AND(P2702="TN",R2702="TN"),N2702+N(O2702),IF(G2702&amp;""="1",N(K2702)*N2702,(N2702+N(O2702))*N(K2702)))</f>
        <v/>
      </c>
      <c r="T2702" s="10">
        <f>IF(Q2702="","",Q2702-S2702)</f>
        <v/>
      </c>
    </row>
    <row r="2703">
      <c r="A2703" s="7">
        <f>CONCATENATE(C2703,E2703,F2703,I2703)</f>
        <v/>
      </c>
      <c r="B2703" s="7">
        <f>CONCATENATE(C2703,E2703,I2703)</f>
        <v/>
      </c>
      <c r="C2703" s="8" t="n">
        <v>900007321</v>
      </c>
      <c r="D2703" s="7">
        <f>IFERROR(VLOOKUP(C2703,TRAOPE!$G:$H,2,0),"")</f>
        <v/>
      </c>
      <c r="E2703" s="8" t="inlineStr">
        <is>
          <t>D836</t>
        </is>
      </c>
      <c r="F2703" s="8" t="inlineStr">
        <is>
          <t>65014664</t>
        </is>
      </c>
      <c r="G2703" s="8">
        <f>IFERROR(VLOOKUP(A2703,Flete!$A:$E,5,0),"")</f>
        <v/>
      </c>
      <c r="H2703" s="7">
        <f>IFERROR(VLOOKUP(F2703,TRAOPE!$AA:$AB,2,0),"")</f>
        <v/>
      </c>
      <c r="I2703" s="7" t="n">
        <v>10000160</v>
      </c>
      <c r="J2703" s="7">
        <f>IFERROR(VLOOKUP(I2703,Materiales!$A:$H,8,0),"")</f>
        <v/>
      </c>
      <c r="K2703" s="9">
        <f>IFERROR(VLOOKUP(I2703,Materiales!$A:$G,7,0),"")</f>
        <v/>
      </c>
      <c r="L2703" s="8" t="inlineStr">
        <is>
          <t>20260420</t>
        </is>
      </c>
      <c r="M2703" s="8" t="inlineStr">
        <is>
          <t>99991231</t>
        </is>
      </c>
      <c r="N2703" s="10" t="n">
        <v>125</v>
      </c>
      <c r="O2703" s="10">
        <f>IFERROR(VLOOKUP(A2703,Flete!$A:$J,10,0),"")</f>
        <v/>
      </c>
      <c r="P2703" s="8" t="inlineStr">
        <is>
          <t>M3</t>
        </is>
      </c>
      <c r="Q2703" s="10">
        <f>IFERROR(IFERROR(VLOOKUP(A2703,TRAOPE!$A:$U,21,0),VLOOKUP(B2703,TRAOPE!$A:$U,21,0)),"")</f>
        <v/>
      </c>
      <c r="R2703" s="8">
        <f>IFERROR(IFERROR(VLOOKUP(A2703,TRAOPE!$A:$W,23,0),VLOOKUP(B2703,TRAOPE!$A:$W,23,0)),"")</f>
        <v/>
      </c>
      <c r="S2703" s="10">
        <f>IF(AND(P2703="TN",R2703="TN"),N2703+N(O2703),IF(G2703&amp;""="1",N(K2703)*N2703,(N2703+N(O2703))*N(K2703)))</f>
        <v/>
      </c>
      <c r="T2703" s="10">
        <f>IF(Q2703="","",Q2703-S2703)</f>
        <v/>
      </c>
    </row>
    <row r="2704">
      <c r="A2704" s="7">
        <f>CONCATENATE(C2704,E2704,F2704,I2704)</f>
        <v/>
      </c>
      <c r="B2704" s="7">
        <f>CONCATENATE(C2704,E2704,I2704)</f>
        <v/>
      </c>
      <c r="C2704" s="8" t="n">
        <v>900007321</v>
      </c>
      <c r="D2704" s="7">
        <f>IFERROR(VLOOKUP(C2704,TRAOPE!$G:$H,2,0),"")</f>
        <v/>
      </c>
      <c r="E2704" s="8" t="inlineStr">
        <is>
          <t>D836</t>
        </is>
      </c>
      <c r="F2704" s="8" t="inlineStr">
        <is>
          <t>65014664</t>
        </is>
      </c>
      <c r="G2704" s="8">
        <f>IFERROR(VLOOKUP(A2704,Flete!$A:$E,5,0),"")</f>
        <v/>
      </c>
      <c r="H2704" s="7">
        <f>IFERROR(VLOOKUP(F2704,TRAOPE!$AA:$AB,2,0),"")</f>
        <v/>
      </c>
      <c r="I2704" s="7" t="n">
        <v>10000627</v>
      </c>
      <c r="J2704" s="7">
        <f>IFERROR(VLOOKUP(I2704,Materiales!$A:$H,8,0),"")</f>
        <v/>
      </c>
      <c r="K2704" s="9">
        <f>IFERROR(VLOOKUP(I2704,Materiales!$A:$G,7,0),"")</f>
        <v/>
      </c>
      <c r="L2704" s="8" t="inlineStr">
        <is>
          <t>20260420</t>
        </is>
      </c>
      <c r="M2704" s="8" t="inlineStr">
        <is>
          <t>99991231</t>
        </is>
      </c>
      <c r="N2704" s="10" t="n">
        <v>120</v>
      </c>
      <c r="O2704" s="10">
        <f>IFERROR(VLOOKUP(A2704,Flete!$A:$J,10,0),"")</f>
        <v/>
      </c>
      <c r="P2704" s="8" t="inlineStr">
        <is>
          <t>M3</t>
        </is>
      </c>
      <c r="Q2704" s="10">
        <f>IFERROR(IFERROR(VLOOKUP(A2704,TRAOPE!$A:$U,21,0),VLOOKUP(B2704,TRAOPE!$A:$U,21,0)),"")</f>
        <v/>
      </c>
      <c r="R2704" s="8">
        <f>IFERROR(IFERROR(VLOOKUP(A2704,TRAOPE!$A:$W,23,0),VLOOKUP(B2704,TRAOPE!$A:$W,23,0)),"")</f>
        <v/>
      </c>
      <c r="S2704" s="10">
        <f>IF(AND(P2704="TN",R2704="TN"),N2704+N(O2704),IF(G2704&amp;""="1",N(K2704)*N2704,(N2704+N(O2704))*N(K2704)))</f>
        <v/>
      </c>
      <c r="T2704" s="10">
        <f>IF(Q2704="","",Q2704-S2704)</f>
        <v/>
      </c>
    </row>
    <row r="2705">
      <c r="A2705" s="7">
        <f>CONCATENATE(C2705,E2705,F2705,I2705)</f>
        <v/>
      </c>
      <c r="B2705" s="7">
        <f>CONCATENATE(C2705,E2705,I2705)</f>
        <v/>
      </c>
      <c r="C2705" s="8" t="n">
        <v>900007321</v>
      </c>
      <c r="D2705" s="7">
        <f>IFERROR(VLOOKUP(C2705,TRAOPE!$G:$H,2,0),"")</f>
        <v/>
      </c>
      <c r="E2705" s="8" t="inlineStr">
        <is>
          <t>D836</t>
        </is>
      </c>
      <c r="F2705" s="8" t="inlineStr">
        <is>
          <t>65440384</t>
        </is>
      </c>
      <c r="G2705" s="8">
        <f>IFERROR(VLOOKUP(A2705,Flete!$A:$E,5,0),"")</f>
        <v/>
      </c>
      <c r="H2705" s="7">
        <f>IFERROR(VLOOKUP(F2705,TRAOPE!$AA:$AB,2,0),"")</f>
        <v/>
      </c>
      <c r="I2705" s="7" t="n">
        <v>10000160</v>
      </c>
      <c r="J2705" s="7">
        <f>IFERROR(VLOOKUP(I2705,Materiales!$A:$H,8,0),"")</f>
        <v/>
      </c>
      <c r="K2705" s="9">
        <f>IFERROR(VLOOKUP(I2705,Materiales!$A:$G,7,0),"")</f>
        <v/>
      </c>
      <c r="L2705" s="8" t="inlineStr">
        <is>
          <t>20260420</t>
        </is>
      </c>
      <c r="M2705" s="8" t="inlineStr">
        <is>
          <t>99991231</t>
        </is>
      </c>
      <c r="N2705" s="10" t="n">
        <v>123</v>
      </c>
      <c r="O2705" s="10">
        <f>IFERROR(VLOOKUP(A2705,Flete!$A:$J,10,0),"")</f>
        <v/>
      </c>
      <c r="P2705" s="8" t="inlineStr">
        <is>
          <t>M3</t>
        </is>
      </c>
      <c r="Q2705" s="10">
        <f>IFERROR(IFERROR(VLOOKUP(A2705,TRAOPE!$A:$U,21,0),VLOOKUP(B2705,TRAOPE!$A:$U,21,0)),"")</f>
        <v/>
      </c>
      <c r="R2705" s="8">
        <f>IFERROR(IFERROR(VLOOKUP(A2705,TRAOPE!$A:$W,23,0),VLOOKUP(B2705,TRAOPE!$A:$W,23,0)),"")</f>
        <v/>
      </c>
      <c r="S2705" s="10">
        <f>IF(AND(P2705="TN",R2705="TN"),N2705+N(O2705),IF(G2705&amp;""="1",N(K2705)*N2705,(N2705+N(O2705))*N(K2705)))</f>
        <v/>
      </c>
      <c r="T2705" s="10">
        <f>IF(Q2705="","",Q2705-S2705)</f>
        <v/>
      </c>
    </row>
    <row r="2706">
      <c r="A2706" s="7">
        <f>CONCATENATE(C2706,E2706,F2706,I2706)</f>
        <v/>
      </c>
      <c r="B2706" s="7">
        <f>CONCATENATE(C2706,E2706,I2706)</f>
        <v/>
      </c>
      <c r="C2706" s="8" t="n">
        <v>900007321</v>
      </c>
      <c r="D2706" s="7">
        <f>IFERROR(VLOOKUP(C2706,TRAOPE!$G:$H,2,0),"")</f>
        <v/>
      </c>
      <c r="E2706" s="8" t="inlineStr">
        <is>
          <t>D836</t>
        </is>
      </c>
      <c r="F2706" s="8" t="inlineStr">
        <is>
          <t>65440384</t>
        </is>
      </c>
      <c r="G2706" s="8">
        <f>IFERROR(VLOOKUP(A2706,Flete!$A:$E,5,0),"")</f>
        <v/>
      </c>
      <c r="H2706" s="7">
        <f>IFERROR(VLOOKUP(F2706,TRAOPE!$AA:$AB,2,0),"")</f>
        <v/>
      </c>
      <c r="I2706" s="7" t="n">
        <v>10000627</v>
      </c>
      <c r="J2706" s="7">
        <f>IFERROR(VLOOKUP(I2706,Materiales!$A:$H,8,0),"")</f>
        <v/>
      </c>
      <c r="K2706" s="9">
        <f>IFERROR(VLOOKUP(I2706,Materiales!$A:$G,7,0),"")</f>
        <v/>
      </c>
      <c r="L2706" s="8" t="inlineStr">
        <is>
          <t>20260420</t>
        </is>
      </c>
      <c r="M2706" s="8" t="inlineStr">
        <is>
          <t>99991231</t>
        </is>
      </c>
      <c r="N2706" s="10" t="n">
        <v>100</v>
      </c>
      <c r="O2706" s="10">
        <f>IFERROR(VLOOKUP(A2706,Flete!$A:$J,10,0),"")</f>
        <v/>
      </c>
      <c r="P2706" s="8" t="inlineStr">
        <is>
          <t>M3</t>
        </is>
      </c>
      <c r="Q2706" s="10">
        <f>IFERROR(IFERROR(VLOOKUP(A2706,TRAOPE!$A:$U,21,0),VLOOKUP(B2706,TRAOPE!$A:$U,21,0)),"")</f>
        <v/>
      </c>
      <c r="R2706" s="8">
        <f>IFERROR(IFERROR(VLOOKUP(A2706,TRAOPE!$A:$W,23,0),VLOOKUP(B2706,TRAOPE!$A:$W,23,0)),"")</f>
        <v/>
      </c>
      <c r="S2706" s="10">
        <f>IF(AND(P2706="TN",R2706="TN"),N2706+N(O2706),IF(G2706&amp;""="1",N(K2706)*N2706,(N2706+N(O2706))*N(K2706)))</f>
        <v/>
      </c>
      <c r="T2706" s="10">
        <f>IF(Q2706="","",Q2706-S2706)</f>
        <v/>
      </c>
    </row>
    <row r="2707">
      <c r="A2707" s="7">
        <f>CONCATENATE(C2707,E2707,F2707,I2707)</f>
        <v/>
      </c>
      <c r="B2707" s="7">
        <f>CONCATENATE(C2707,E2707,I2707)</f>
        <v/>
      </c>
      <c r="C2707" s="8" t="n">
        <v>900007321</v>
      </c>
      <c r="D2707" s="7">
        <f>IFERROR(VLOOKUP(C2707,TRAOPE!$G:$H,2,0),"")</f>
        <v/>
      </c>
      <c r="E2707" s="8" t="inlineStr">
        <is>
          <t>D836</t>
        </is>
      </c>
      <c r="F2707" s="8" t="inlineStr">
        <is>
          <t>66779276</t>
        </is>
      </c>
      <c r="G2707" s="8">
        <f>IFERROR(VLOOKUP(A2707,Flete!$A:$E,5,0),"")</f>
        <v/>
      </c>
      <c r="H2707" s="7">
        <f>IFERROR(VLOOKUP(F2707,TRAOPE!$AA:$AB,2,0),"")</f>
        <v/>
      </c>
      <c r="I2707" s="7" t="n">
        <v>10000160</v>
      </c>
      <c r="J2707" s="7">
        <f>IFERROR(VLOOKUP(I2707,Materiales!$A:$H,8,0),"")</f>
        <v/>
      </c>
      <c r="K2707" s="9">
        <f>IFERROR(VLOOKUP(I2707,Materiales!$A:$G,7,0),"")</f>
        <v/>
      </c>
      <c r="L2707" s="8" t="inlineStr">
        <is>
          <t>20260420</t>
        </is>
      </c>
      <c r="M2707" s="8" t="inlineStr">
        <is>
          <t>99991231</t>
        </is>
      </c>
      <c r="N2707" s="10" t="n">
        <v>122</v>
      </c>
      <c r="O2707" s="10">
        <f>IFERROR(VLOOKUP(A2707,Flete!$A:$J,10,0),"")</f>
        <v/>
      </c>
      <c r="P2707" s="8" t="inlineStr">
        <is>
          <t>M3</t>
        </is>
      </c>
      <c r="Q2707" s="10">
        <f>IFERROR(IFERROR(VLOOKUP(A2707,TRAOPE!$A:$U,21,0),VLOOKUP(B2707,TRAOPE!$A:$U,21,0)),"")</f>
        <v/>
      </c>
      <c r="R2707" s="8">
        <f>IFERROR(IFERROR(VLOOKUP(A2707,TRAOPE!$A:$W,23,0),VLOOKUP(B2707,TRAOPE!$A:$W,23,0)),"")</f>
        <v/>
      </c>
      <c r="S2707" s="10">
        <f>IF(AND(P2707="TN",R2707="TN"),N2707+N(O2707),IF(G2707&amp;""="1",N(K2707)*N2707,(N2707+N(O2707))*N(K2707)))</f>
        <v/>
      </c>
      <c r="T2707" s="10">
        <f>IF(Q2707="","",Q2707-S2707)</f>
        <v/>
      </c>
    </row>
    <row r="2708">
      <c r="A2708" s="7">
        <f>CONCATENATE(C2708,E2708,F2708,I2708)</f>
        <v/>
      </c>
      <c r="B2708" s="7">
        <f>CONCATENATE(C2708,E2708,I2708)</f>
        <v/>
      </c>
      <c r="C2708" s="8" t="n">
        <v>900007650</v>
      </c>
      <c r="D2708" s="7">
        <f>IFERROR(VLOOKUP(C2708,TRAOPE!$G:$H,2,0),"")</f>
        <v/>
      </c>
      <c r="E2708" s="8" t="inlineStr">
        <is>
          <t>D836</t>
        </is>
      </c>
      <c r="F2708" s="8" t="inlineStr">
        <is>
          <t>67221674</t>
        </is>
      </c>
      <c r="G2708" s="8">
        <f>IFERROR(VLOOKUP(A2708,Flete!$A:$E,5,0),"")</f>
        <v/>
      </c>
      <c r="H2708" s="7">
        <f>IFERROR(VLOOKUP(F2708,TRAOPE!$AA:$AB,2,0),"")</f>
        <v/>
      </c>
      <c r="I2708" s="7" t="n">
        <v>10000432</v>
      </c>
      <c r="J2708" s="7">
        <f>IFERROR(VLOOKUP(I2708,Materiales!$A:$H,8,0),"")</f>
        <v/>
      </c>
      <c r="K2708" s="9">
        <f>IFERROR(VLOOKUP(I2708,Materiales!$A:$G,7,0),"")</f>
        <v/>
      </c>
      <c r="L2708" s="8" t="inlineStr">
        <is>
          <t>20250923</t>
        </is>
      </c>
      <c r="M2708" s="8" t="inlineStr">
        <is>
          <t>99991231</t>
        </is>
      </c>
      <c r="N2708" s="10" t="n">
        <v>410</v>
      </c>
      <c r="O2708" s="10">
        <f>IFERROR(VLOOKUP(A2708,Flete!$A:$J,10,0),"")</f>
        <v/>
      </c>
      <c r="P2708" s="8" t="inlineStr">
        <is>
          <t>M3</t>
        </is>
      </c>
      <c r="Q2708" s="10">
        <f>IFERROR(IFERROR(VLOOKUP(A2708,TRAOPE!$A:$U,21,0),VLOOKUP(B2708,TRAOPE!$A:$U,21,0)),"")</f>
        <v/>
      </c>
      <c r="R2708" s="8">
        <f>IFERROR(IFERROR(VLOOKUP(A2708,TRAOPE!$A:$W,23,0),VLOOKUP(B2708,TRAOPE!$A:$W,23,0)),"")</f>
        <v/>
      </c>
      <c r="S2708" s="10">
        <f>IF(AND(P2708="TN",R2708="TN"),N2708+N(O2708),IF(G2708&amp;""="1",N(K2708)*N2708,(N2708+N(O2708))*N(K2708)))</f>
        <v/>
      </c>
      <c r="T2708" s="10">
        <f>IF(Q2708="","",Q2708-S2708)</f>
        <v/>
      </c>
    </row>
    <row r="2709">
      <c r="A2709" s="7">
        <f>CONCATENATE(C2709,E2709,F2709,I2709)</f>
        <v/>
      </c>
      <c r="B2709" s="7">
        <f>CONCATENATE(C2709,E2709,I2709)</f>
        <v/>
      </c>
      <c r="C2709" s="8" t="n">
        <v>900007650</v>
      </c>
      <c r="D2709" s="7">
        <f>IFERROR(VLOOKUP(C2709,TRAOPE!$G:$H,2,0),"")</f>
        <v/>
      </c>
      <c r="E2709" s="8" t="inlineStr">
        <is>
          <t>D836</t>
        </is>
      </c>
      <c r="F2709" s="8" t="inlineStr">
        <is>
          <t>67347709</t>
        </is>
      </c>
      <c r="G2709" s="8">
        <f>IFERROR(VLOOKUP(A2709,Flete!$A:$E,5,0),"")</f>
        <v/>
      </c>
      <c r="H2709" s="7">
        <f>IFERROR(VLOOKUP(F2709,TRAOPE!$AA:$AB,2,0),"")</f>
        <v/>
      </c>
      <c r="I2709" s="7" t="n">
        <v>10000432</v>
      </c>
      <c r="J2709" s="7">
        <f>IFERROR(VLOOKUP(I2709,Materiales!$A:$H,8,0),"")</f>
        <v/>
      </c>
      <c r="K2709" s="9">
        <f>IFERROR(VLOOKUP(I2709,Materiales!$A:$G,7,0),"")</f>
        <v/>
      </c>
      <c r="L2709" s="8" t="inlineStr">
        <is>
          <t>20251105</t>
        </is>
      </c>
      <c r="M2709" s="8" t="inlineStr">
        <is>
          <t>99991231</t>
        </is>
      </c>
      <c r="N2709" s="10" t="n">
        <v>410</v>
      </c>
      <c r="O2709" s="10">
        <f>IFERROR(VLOOKUP(A2709,Flete!$A:$J,10,0),"")</f>
        <v/>
      </c>
      <c r="P2709" s="8" t="inlineStr">
        <is>
          <t>M3</t>
        </is>
      </c>
      <c r="Q2709" s="10">
        <f>IFERROR(IFERROR(VLOOKUP(A2709,TRAOPE!$A:$U,21,0),VLOOKUP(B2709,TRAOPE!$A:$U,21,0)),"")</f>
        <v/>
      </c>
      <c r="R2709" s="8">
        <f>IFERROR(IFERROR(VLOOKUP(A2709,TRAOPE!$A:$W,23,0),VLOOKUP(B2709,TRAOPE!$A:$W,23,0)),"")</f>
        <v/>
      </c>
      <c r="S2709" s="10">
        <f>IF(AND(P2709="TN",R2709="TN"),N2709+N(O2709),IF(G2709&amp;""="1",N(K2709)*N2709,(N2709+N(O2709))*N(K2709)))</f>
        <v/>
      </c>
      <c r="T2709" s="10">
        <f>IF(Q2709="","",Q2709-S2709)</f>
        <v/>
      </c>
    </row>
    <row r="2710">
      <c r="A2710" s="7">
        <f>CONCATENATE(C2710,E2710,F2710,I2710)</f>
        <v/>
      </c>
      <c r="B2710" s="7">
        <f>CONCATENATE(C2710,E2710,I2710)</f>
        <v/>
      </c>
      <c r="C2710" s="8" t="n">
        <v>900007650</v>
      </c>
      <c r="D2710" s="7">
        <f>IFERROR(VLOOKUP(C2710,TRAOPE!$G:$H,2,0),"")</f>
        <v/>
      </c>
      <c r="E2710" s="8" t="inlineStr">
        <is>
          <t>D836</t>
        </is>
      </c>
      <c r="F2710" s="8" t="inlineStr">
        <is>
          <t>67382539</t>
        </is>
      </c>
      <c r="G2710" s="8">
        <f>IFERROR(VLOOKUP(A2710,Flete!$A:$E,5,0),"")</f>
        <v/>
      </c>
      <c r="H2710" s="7">
        <f>IFERROR(VLOOKUP(F2710,TRAOPE!$AA:$AB,2,0),"")</f>
        <v/>
      </c>
      <c r="I2710" s="7" t="n">
        <v>10000432</v>
      </c>
      <c r="J2710" s="7">
        <f>IFERROR(VLOOKUP(I2710,Materiales!$A:$H,8,0),"")</f>
        <v/>
      </c>
      <c r="K2710" s="9">
        <f>IFERROR(VLOOKUP(I2710,Materiales!$A:$G,7,0),"")</f>
        <v/>
      </c>
      <c r="L2710" s="8" t="inlineStr">
        <is>
          <t>20260611</t>
        </is>
      </c>
      <c r="M2710" s="8" t="inlineStr">
        <is>
          <t>99991231</t>
        </is>
      </c>
      <c r="N2710" s="10" t="n">
        <v>410</v>
      </c>
      <c r="O2710" s="10">
        <f>IFERROR(VLOOKUP(A2710,Flete!$A:$J,10,0),"")</f>
        <v/>
      </c>
      <c r="P2710" s="8" t="inlineStr">
        <is>
          <t>M3</t>
        </is>
      </c>
      <c r="Q2710" s="10">
        <f>IFERROR(IFERROR(VLOOKUP(A2710,TRAOPE!$A:$U,21,0),VLOOKUP(B2710,TRAOPE!$A:$U,21,0)),"")</f>
        <v/>
      </c>
      <c r="R2710" s="8">
        <f>IFERROR(IFERROR(VLOOKUP(A2710,TRAOPE!$A:$W,23,0),VLOOKUP(B2710,TRAOPE!$A:$W,23,0)),"")</f>
        <v/>
      </c>
      <c r="S2710" s="10">
        <f>IF(AND(P2710="TN",R2710="TN"),N2710+N(O2710),IF(G2710&amp;""="1",N(K2710)*N2710,(N2710+N(O2710))*N(K2710)))</f>
        <v/>
      </c>
      <c r="T2710" s="10">
        <f>IF(Q2710="","",Q2710-S2710)</f>
        <v/>
      </c>
    </row>
    <row r="2711">
      <c r="A2711" s="7">
        <f>CONCATENATE(C2711,E2711,F2711,I2711)</f>
        <v/>
      </c>
      <c r="B2711" s="7">
        <f>CONCATENATE(C2711,E2711,I2711)</f>
        <v/>
      </c>
      <c r="C2711" s="8" t="n">
        <v>900007650</v>
      </c>
      <c r="D2711" s="7">
        <f>IFERROR(VLOOKUP(C2711,TRAOPE!$G:$H,2,0),"")</f>
        <v/>
      </c>
      <c r="E2711" s="8" t="inlineStr">
        <is>
          <t>D836</t>
        </is>
      </c>
      <c r="F2711" s="8" t="inlineStr">
        <is>
          <t>67382542</t>
        </is>
      </c>
      <c r="G2711" s="8">
        <f>IFERROR(VLOOKUP(A2711,Flete!$A:$E,5,0),"")</f>
        <v/>
      </c>
      <c r="H2711" s="7">
        <f>IFERROR(VLOOKUP(F2711,TRAOPE!$AA:$AB,2,0),"")</f>
        <v/>
      </c>
      <c r="I2711" s="7" t="n">
        <v>10000432</v>
      </c>
      <c r="J2711" s="7">
        <f>IFERROR(VLOOKUP(I2711,Materiales!$A:$H,8,0),"")</f>
        <v/>
      </c>
      <c r="K2711" s="9">
        <f>IFERROR(VLOOKUP(I2711,Materiales!$A:$G,7,0),"")</f>
        <v/>
      </c>
      <c r="L2711" s="8" t="inlineStr">
        <is>
          <t>20260611</t>
        </is>
      </c>
      <c r="M2711" s="8" t="inlineStr">
        <is>
          <t>99991231</t>
        </is>
      </c>
      <c r="N2711" s="10" t="n">
        <v>410</v>
      </c>
      <c r="O2711" s="10">
        <f>IFERROR(VLOOKUP(A2711,Flete!$A:$J,10,0),"")</f>
        <v/>
      </c>
      <c r="P2711" s="8" t="inlineStr">
        <is>
          <t>M3</t>
        </is>
      </c>
      <c r="Q2711" s="10">
        <f>IFERROR(IFERROR(VLOOKUP(A2711,TRAOPE!$A:$U,21,0),VLOOKUP(B2711,TRAOPE!$A:$U,21,0)),"")</f>
        <v/>
      </c>
      <c r="R2711" s="8">
        <f>IFERROR(IFERROR(VLOOKUP(A2711,TRAOPE!$A:$W,23,0),VLOOKUP(B2711,TRAOPE!$A:$W,23,0)),"")</f>
        <v/>
      </c>
      <c r="S2711" s="10">
        <f>IF(AND(P2711="TN",R2711="TN"),N2711+N(O2711),IF(G2711&amp;""="1",N(K2711)*N2711,(N2711+N(O2711))*N(K2711)))</f>
        <v/>
      </c>
      <c r="T2711" s="10">
        <f>IF(Q2711="","",Q2711-S2711)</f>
        <v/>
      </c>
    </row>
    <row r="2712">
      <c r="A2712" s="7">
        <f>CONCATENATE(C2712,E2712,F2712,I2712)</f>
        <v/>
      </c>
      <c r="B2712" s="7">
        <f>CONCATENATE(C2712,E2712,I2712)</f>
        <v/>
      </c>
      <c r="C2712" s="8" t="n">
        <v>900007650</v>
      </c>
      <c r="D2712" s="7">
        <f>IFERROR(VLOOKUP(C2712,TRAOPE!$G:$H,2,0),"")</f>
        <v/>
      </c>
      <c r="E2712" s="8" t="inlineStr">
        <is>
          <t>D836</t>
        </is>
      </c>
      <c r="F2712" s="8" t="inlineStr">
        <is>
          <t>67385618</t>
        </is>
      </c>
      <c r="G2712" s="8">
        <f>IFERROR(VLOOKUP(A2712,Flete!$A:$E,5,0),"")</f>
        <v/>
      </c>
      <c r="H2712" s="7">
        <f>IFERROR(VLOOKUP(F2712,TRAOPE!$AA:$AB,2,0),"")</f>
        <v/>
      </c>
      <c r="I2712" s="7" t="n">
        <v>10000432</v>
      </c>
      <c r="J2712" s="7">
        <f>IFERROR(VLOOKUP(I2712,Materiales!$A:$H,8,0),"")</f>
        <v/>
      </c>
      <c r="K2712" s="9">
        <f>IFERROR(VLOOKUP(I2712,Materiales!$A:$G,7,0),"")</f>
        <v/>
      </c>
      <c r="L2712" s="8" t="inlineStr">
        <is>
          <t>20260708</t>
        </is>
      </c>
      <c r="M2712" s="8" t="inlineStr">
        <is>
          <t>99991231</t>
        </is>
      </c>
      <c r="N2712" s="10" t="n">
        <v>410</v>
      </c>
      <c r="O2712" s="10">
        <f>IFERROR(VLOOKUP(A2712,Flete!$A:$J,10,0),"")</f>
        <v/>
      </c>
      <c r="P2712" s="8" t="inlineStr">
        <is>
          <t>M3</t>
        </is>
      </c>
      <c r="Q2712" s="10">
        <f>IFERROR(IFERROR(VLOOKUP(A2712,TRAOPE!$A:$U,21,0),VLOOKUP(B2712,TRAOPE!$A:$U,21,0)),"")</f>
        <v/>
      </c>
      <c r="R2712" s="8">
        <f>IFERROR(IFERROR(VLOOKUP(A2712,TRAOPE!$A:$W,23,0),VLOOKUP(B2712,TRAOPE!$A:$W,23,0)),"")</f>
        <v/>
      </c>
      <c r="S2712" s="10">
        <f>IF(AND(P2712="TN",R2712="TN"),N2712+N(O2712),IF(G2712&amp;""="1",N(K2712)*N2712,(N2712+N(O2712))*N(K2712)))</f>
        <v/>
      </c>
      <c r="T2712" s="10">
        <f>IF(Q2712="","",Q2712-S2712)</f>
        <v/>
      </c>
    </row>
    <row r="2713">
      <c r="A2713" s="7">
        <f>CONCATENATE(C2713,E2713,F2713,I2713)</f>
        <v/>
      </c>
      <c r="B2713" s="7">
        <f>CONCATENATE(C2713,E2713,I2713)</f>
        <v/>
      </c>
      <c r="C2713" s="8" t="n">
        <v>900008571</v>
      </c>
      <c r="D2713" s="7">
        <f>IFERROR(VLOOKUP(C2713,TRAOPE!$G:$H,2,0),"")</f>
        <v/>
      </c>
      <c r="E2713" s="8" t="inlineStr">
        <is>
          <t>D836</t>
        </is>
      </c>
      <c r="F2713" s="8" t="inlineStr">
        <is>
          <t>65232687</t>
        </is>
      </c>
      <c r="G2713" s="8">
        <f>IFERROR(VLOOKUP(A2713,Flete!$A:$E,5,0),"")</f>
        <v/>
      </c>
      <c r="H2713" s="7">
        <f>IFERROR(VLOOKUP(F2713,TRAOPE!$AA:$AB,2,0),"")</f>
        <v/>
      </c>
      <c r="I2713" s="7" t="n">
        <v>10002802</v>
      </c>
      <c r="J2713" s="7">
        <f>IFERROR(VLOOKUP(I2713,Materiales!$A:$H,8,0),"")</f>
        <v/>
      </c>
      <c r="K2713" s="9">
        <f>IFERROR(VLOOKUP(I2713,Materiales!$A:$G,7,0),"")</f>
        <v/>
      </c>
      <c r="L2713" s="8" t="inlineStr">
        <is>
          <t>20251209</t>
        </is>
      </c>
      <c r="M2713" s="8" t="inlineStr">
        <is>
          <t>99991231</t>
        </is>
      </c>
      <c r="N2713" s="10" t="n">
        <v>165</v>
      </c>
      <c r="O2713" s="10">
        <f>IFERROR(VLOOKUP(A2713,Flete!$A:$J,10,0),"")</f>
        <v/>
      </c>
      <c r="P2713" s="8" t="inlineStr">
        <is>
          <t>M3</t>
        </is>
      </c>
      <c r="Q2713" s="10">
        <f>IFERROR(IFERROR(VLOOKUP(A2713,TRAOPE!$A:$U,21,0),VLOOKUP(B2713,TRAOPE!$A:$U,21,0)),"")</f>
        <v/>
      </c>
      <c r="R2713" s="8">
        <f>IFERROR(IFERROR(VLOOKUP(A2713,TRAOPE!$A:$W,23,0),VLOOKUP(B2713,TRAOPE!$A:$W,23,0)),"")</f>
        <v/>
      </c>
      <c r="S2713" s="10">
        <f>IF(AND(P2713="TN",R2713="TN"),N2713+N(O2713),IF(G2713&amp;""="1",N(K2713)*N2713,(N2713+N(O2713))*N(K2713)))</f>
        <v/>
      </c>
      <c r="T2713" s="10">
        <f>IF(Q2713="","",Q2713-S2713)</f>
        <v/>
      </c>
    </row>
    <row r="2714">
      <c r="A2714" s="7">
        <f>CONCATENATE(C2714,E2714,F2714,I2714)</f>
        <v/>
      </c>
      <c r="B2714" s="7">
        <f>CONCATENATE(C2714,E2714,I2714)</f>
        <v/>
      </c>
      <c r="C2714" s="8" t="n">
        <v>900008571</v>
      </c>
      <c r="D2714" s="7">
        <f>IFERROR(VLOOKUP(C2714,TRAOPE!$G:$H,2,0),"")</f>
        <v/>
      </c>
      <c r="E2714" s="8" t="inlineStr">
        <is>
          <t>D836</t>
        </is>
      </c>
      <c r="F2714" s="8" t="inlineStr">
        <is>
          <t>66414377</t>
        </is>
      </c>
      <c r="G2714" s="8">
        <f>IFERROR(VLOOKUP(A2714,Flete!$A:$E,5,0),"")</f>
        <v/>
      </c>
      <c r="H2714" s="7">
        <f>IFERROR(VLOOKUP(F2714,TRAOPE!$AA:$AB,2,0),"")</f>
        <v/>
      </c>
      <c r="I2714" s="7" t="n">
        <v>10002802</v>
      </c>
      <c r="J2714" s="7">
        <f>IFERROR(VLOOKUP(I2714,Materiales!$A:$H,8,0),"")</f>
        <v/>
      </c>
      <c r="K2714" s="9">
        <f>IFERROR(VLOOKUP(I2714,Materiales!$A:$G,7,0),"")</f>
        <v/>
      </c>
      <c r="L2714" s="8" t="inlineStr">
        <is>
          <t>20260205</t>
        </is>
      </c>
      <c r="M2714" s="8" t="inlineStr">
        <is>
          <t>99991231</t>
        </is>
      </c>
      <c r="N2714" s="10" t="n">
        <v>170</v>
      </c>
      <c r="O2714" s="10">
        <f>IFERROR(VLOOKUP(A2714,Flete!$A:$J,10,0),"")</f>
        <v/>
      </c>
      <c r="P2714" s="8" t="inlineStr">
        <is>
          <t>M3</t>
        </is>
      </c>
      <c r="Q2714" s="10">
        <f>IFERROR(IFERROR(VLOOKUP(A2714,TRAOPE!$A:$U,21,0),VLOOKUP(B2714,TRAOPE!$A:$U,21,0)),"")</f>
        <v/>
      </c>
      <c r="R2714" s="8">
        <f>IFERROR(IFERROR(VLOOKUP(A2714,TRAOPE!$A:$W,23,0),VLOOKUP(B2714,TRAOPE!$A:$W,23,0)),"")</f>
        <v/>
      </c>
      <c r="S2714" s="10">
        <f>IF(AND(P2714="TN",R2714="TN"),N2714+N(O2714),IF(G2714&amp;""="1",N(K2714)*N2714,(N2714+N(O2714))*N(K2714)))</f>
        <v/>
      </c>
      <c r="T2714" s="10">
        <f>IF(Q2714="","",Q2714-S2714)</f>
        <v/>
      </c>
    </row>
    <row r="2715">
      <c r="A2715" s="7">
        <f>CONCATENATE(C2715,E2715,F2715,I2715)</f>
        <v/>
      </c>
      <c r="B2715" s="7">
        <f>CONCATENATE(C2715,E2715,I2715)</f>
        <v/>
      </c>
      <c r="C2715" s="8" t="n">
        <v>900008571</v>
      </c>
      <c r="D2715" s="7">
        <f>IFERROR(VLOOKUP(C2715,TRAOPE!$G:$H,2,0),"")</f>
        <v/>
      </c>
      <c r="E2715" s="8" t="inlineStr">
        <is>
          <t>D836</t>
        </is>
      </c>
      <c r="F2715" s="8" t="inlineStr">
        <is>
          <t>66433509</t>
        </is>
      </c>
      <c r="G2715" s="8">
        <f>IFERROR(VLOOKUP(A2715,Flete!$A:$E,5,0),"")</f>
        <v/>
      </c>
      <c r="H2715" s="7">
        <f>IFERROR(VLOOKUP(F2715,TRAOPE!$AA:$AB,2,0),"")</f>
        <v/>
      </c>
      <c r="I2715" s="7" t="n">
        <v>10002802</v>
      </c>
      <c r="J2715" s="7">
        <f>IFERROR(VLOOKUP(I2715,Materiales!$A:$H,8,0),"")</f>
        <v/>
      </c>
      <c r="K2715" s="9">
        <f>IFERROR(VLOOKUP(I2715,Materiales!$A:$G,7,0),"")</f>
        <v/>
      </c>
      <c r="L2715" s="8" t="inlineStr">
        <is>
          <t>20251204</t>
        </is>
      </c>
      <c r="M2715" s="8" t="inlineStr">
        <is>
          <t>99991231</t>
        </is>
      </c>
      <c r="N2715" s="10" t="n">
        <v>156</v>
      </c>
      <c r="O2715" s="10">
        <f>IFERROR(VLOOKUP(A2715,Flete!$A:$J,10,0),"")</f>
        <v/>
      </c>
      <c r="P2715" s="8" t="inlineStr">
        <is>
          <t>M3</t>
        </is>
      </c>
      <c r="Q2715" s="10">
        <f>IFERROR(IFERROR(VLOOKUP(A2715,TRAOPE!$A:$U,21,0),VLOOKUP(B2715,TRAOPE!$A:$U,21,0)),"")</f>
        <v/>
      </c>
      <c r="R2715" s="8">
        <f>IFERROR(IFERROR(VLOOKUP(A2715,TRAOPE!$A:$W,23,0),VLOOKUP(B2715,TRAOPE!$A:$W,23,0)),"")</f>
        <v/>
      </c>
      <c r="S2715" s="10">
        <f>IF(AND(P2715="TN",R2715="TN"),N2715+N(O2715),IF(G2715&amp;""="1",N(K2715)*N2715,(N2715+N(O2715))*N(K2715)))</f>
        <v/>
      </c>
      <c r="T2715" s="10">
        <f>IF(Q2715="","",Q2715-S2715)</f>
        <v/>
      </c>
    </row>
    <row r="2716">
      <c r="A2716" s="7">
        <f>CONCATENATE(C2716,E2716,F2716,I2716)</f>
        <v/>
      </c>
      <c r="B2716" s="7">
        <f>CONCATENATE(C2716,E2716,I2716)</f>
        <v/>
      </c>
      <c r="C2716" s="8" t="n">
        <v>900008845</v>
      </c>
      <c r="D2716" s="7">
        <f>IFERROR(VLOOKUP(C2716,TRAOPE!$G:$H,2,0),"")</f>
        <v/>
      </c>
      <c r="E2716" s="8" t="inlineStr">
        <is>
          <t>D836</t>
        </is>
      </c>
      <c r="F2716" s="8" t="inlineStr">
        <is>
          <t>66900173</t>
        </is>
      </c>
      <c r="G2716" s="8">
        <f>IFERROR(VLOOKUP(A2716,Flete!$A:$E,5,0),"")</f>
        <v/>
      </c>
      <c r="H2716" s="7">
        <f>IFERROR(VLOOKUP(F2716,TRAOPE!$AA:$AB,2,0),"")</f>
        <v/>
      </c>
      <c r="I2716" s="7" t="n">
        <v>10227598</v>
      </c>
      <c r="J2716" s="7">
        <f>IFERROR(VLOOKUP(I2716,Materiales!$A:$H,8,0),"")</f>
        <v/>
      </c>
      <c r="K2716" s="9">
        <f>IFERROR(VLOOKUP(I2716,Materiales!$A:$G,7,0),"")</f>
        <v/>
      </c>
      <c r="L2716" s="8" t="inlineStr">
        <is>
          <t>20260120</t>
        </is>
      </c>
      <c r="M2716" s="8" t="inlineStr">
        <is>
          <t>99991231</t>
        </is>
      </c>
      <c r="N2716" s="10" t="n">
        <v>75.86</v>
      </c>
      <c r="O2716" s="10">
        <f>IFERROR(VLOOKUP(A2716,Flete!$A:$J,10,0),"")</f>
        <v/>
      </c>
      <c r="P2716" s="8" t="inlineStr">
        <is>
          <t>M3</t>
        </is>
      </c>
      <c r="Q2716" s="10">
        <f>IFERROR(IFERROR(VLOOKUP(A2716,TRAOPE!$A:$U,21,0),VLOOKUP(B2716,TRAOPE!$A:$U,21,0)),"")</f>
        <v/>
      </c>
      <c r="R2716" s="8">
        <f>IFERROR(IFERROR(VLOOKUP(A2716,TRAOPE!$A:$W,23,0),VLOOKUP(B2716,TRAOPE!$A:$W,23,0)),"")</f>
        <v/>
      </c>
      <c r="S2716" s="10">
        <f>IF(AND(P2716="TN",R2716="TN"),N2716+N(O2716),IF(G2716&amp;""="1",N(K2716)*N2716,(N2716+N(O2716))*N(K2716)))</f>
        <v/>
      </c>
      <c r="T2716" s="10">
        <f>IF(Q2716="","",Q2716-S2716)</f>
        <v/>
      </c>
    </row>
    <row r="2717">
      <c r="A2717" s="7">
        <f>CONCATENATE(C2717,E2717,F2717,I2717)</f>
        <v/>
      </c>
      <c r="B2717" s="7">
        <f>CONCATENATE(C2717,E2717,I2717)</f>
        <v/>
      </c>
      <c r="C2717" s="8" t="n">
        <v>900008845</v>
      </c>
      <c r="D2717" s="7">
        <f>IFERROR(VLOOKUP(C2717,TRAOPE!$G:$H,2,0),"")</f>
        <v/>
      </c>
      <c r="E2717" s="8" t="inlineStr">
        <is>
          <t>D836</t>
        </is>
      </c>
      <c r="F2717" s="8" t="inlineStr">
        <is>
          <t>66908986</t>
        </is>
      </c>
      <c r="G2717" s="8">
        <f>IFERROR(VLOOKUP(A2717,Flete!$A:$E,5,0),"")</f>
        <v/>
      </c>
      <c r="H2717" s="7">
        <f>IFERROR(VLOOKUP(F2717,TRAOPE!$AA:$AB,2,0),"")</f>
        <v/>
      </c>
      <c r="I2717" s="7" t="n">
        <v>10227598</v>
      </c>
      <c r="J2717" s="7">
        <f>IFERROR(VLOOKUP(I2717,Materiales!$A:$H,8,0),"")</f>
        <v/>
      </c>
      <c r="K2717" s="9">
        <f>IFERROR(VLOOKUP(I2717,Materiales!$A:$G,7,0),"")</f>
        <v/>
      </c>
      <c r="L2717" s="8" t="inlineStr">
        <is>
          <t>20260219</t>
        </is>
      </c>
      <c r="M2717" s="8" t="inlineStr">
        <is>
          <t>99991231</t>
        </is>
      </c>
      <c r="N2717" s="10" t="n">
        <v>75.59999999999999</v>
      </c>
      <c r="O2717" s="10">
        <f>IFERROR(VLOOKUP(A2717,Flete!$A:$J,10,0),"")</f>
        <v/>
      </c>
      <c r="P2717" s="8" t="inlineStr">
        <is>
          <t>M3</t>
        </is>
      </c>
      <c r="Q2717" s="10">
        <f>IFERROR(IFERROR(VLOOKUP(A2717,TRAOPE!$A:$U,21,0),VLOOKUP(B2717,TRAOPE!$A:$U,21,0)),"")</f>
        <v/>
      </c>
      <c r="R2717" s="8">
        <f>IFERROR(IFERROR(VLOOKUP(A2717,TRAOPE!$A:$W,23,0),VLOOKUP(B2717,TRAOPE!$A:$W,23,0)),"")</f>
        <v/>
      </c>
      <c r="S2717" s="10">
        <f>IF(AND(P2717="TN",R2717="TN"),N2717+N(O2717),IF(G2717&amp;""="1",N(K2717)*N2717,(N2717+N(O2717))*N(K2717)))</f>
        <v/>
      </c>
      <c r="T2717" s="10">
        <f>IF(Q2717="","",Q2717-S2717)</f>
        <v/>
      </c>
    </row>
    <row r="2718">
      <c r="A2718" s="7">
        <f>CONCATENATE(C2718,E2718,F2718,I2718)</f>
        <v/>
      </c>
      <c r="B2718" s="7">
        <f>CONCATENATE(C2718,E2718,I2718)</f>
        <v/>
      </c>
      <c r="C2718" s="8" t="n">
        <v>900008845</v>
      </c>
      <c r="D2718" s="7">
        <f>IFERROR(VLOOKUP(C2718,TRAOPE!$G:$H,2,0),"")</f>
        <v/>
      </c>
      <c r="E2718" s="8" t="inlineStr">
        <is>
          <t>D836</t>
        </is>
      </c>
      <c r="F2718" s="8" t="inlineStr">
        <is>
          <t>66982551</t>
        </is>
      </c>
      <c r="G2718" s="8">
        <f>IFERROR(VLOOKUP(A2718,Flete!$A:$E,5,0),"")</f>
        <v/>
      </c>
      <c r="H2718" s="7">
        <f>IFERROR(VLOOKUP(F2718,TRAOPE!$AA:$AB,2,0),"")</f>
        <v/>
      </c>
      <c r="I2718" s="7" t="n">
        <v>10227598</v>
      </c>
      <c r="J2718" s="7">
        <f>IFERROR(VLOOKUP(I2718,Materiales!$A:$H,8,0),"")</f>
        <v/>
      </c>
      <c r="K2718" s="9">
        <f>IFERROR(VLOOKUP(I2718,Materiales!$A:$G,7,0),"")</f>
        <v/>
      </c>
      <c r="L2718" s="8" t="inlineStr">
        <is>
          <t>20260120</t>
        </is>
      </c>
      <c r="M2718" s="8" t="inlineStr">
        <is>
          <t>99991231</t>
        </is>
      </c>
      <c r="N2718" s="10" t="n">
        <v>75.86</v>
      </c>
      <c r="O2718" s="10">
        <f>IFERROR(VLOOKUP(A2718,Flete!$A:$J,10,0),"")</f>
        <v/>
      </c>
      <c r="P2718" s="8" t="inlineStr">
        <is>
          <t>M3</t>
        </is>
      </c>
      <c r="Q2718" s="10">
        <f>IFERROR(IFERROR(VLOOKUP(A2718,TRAOPE!$A:$U,21,0),VLOOKUP(B2718,TRAOPE!$A:$U,21,0)),"")</f>
        <v/>
      </c>
      <c r="R2718" s="8">
        <f>IFERROR(IFERROR(VLOOKUP(A2718,TRAOPE!$A:$W,23,0),VLOOKUP(B2718,TRAOPE!$A:$W,23,0)),"")</f>
        <v/>
      </c>
      <c r="S2718" s="10">
        <f>IF(AND(P2718="TN",R2718="TN"),N2718+N(O2718),IF(G2718&amp;""="1",N(K2718)*N2718,(N2718+N(O2718))*N(K2718)))</f>
        <v/>
      </c>
      <c r="T2718" s="10">
        <f>IF(Q2718="","",Q2718-S2718)</f>
        <v/>
      </c>
    </row>
    <row r="2719">
      <c r="A2719" s="7">
        <f>CONCATENATE(C2719,E2719,F2719,I2719)</f>
        <v/>
      </c>
      <c r="B2719" s="7">
        <f>CONCATENATE(C2719,E2719,I2719)</f>
        <v/>
      </c>
      <c r="C2719" s="8" t="n">
        <v>900008845</v>
      </c>
      <c r="D2719" s="7">
        <f>IFERROR(VLOOKUP(C2719,TRAOPE!$G:$H,2,0),"")</f>
        <v/>
      </c>
      <c r="E2719" s="8" t="inlineStr">
        <is>
          <t>D836</t>
        </is>
      </c>
      <c r="F2719" s="8" t="inlineStr">
        <is>
          <t>67288888</t>
        </is>
      </c>
      <c r="G2719" s="8">
        <f>IFERROR(VLOOKUP(A2719,Flete!$A:$E,5,0),"")</f>
        <v/>
      </c>
      <c r="H2719" s="7">
        <f>IFERROR(VLOOKUP(F2719,TRAOPE!$AA:$AB,2,0),"")</f>
        <v/>
      </c>
      <c r="I2719" s="7" t="n">
        <v>10227598</v>
      </c>
      <c r="J2719" s="7">
        <f>IFERROR(VLOOKUP(I2719,Materiales!$A:$H,8,0),"")</f>
        <v/>
      </c>
      <c r="K2719" s="9">
        <f>IFERROR(VLOOKUP(I2719,Materiales!$A:$G,7,0),"")</f>
        <v/>
      </c>
      <c r="L2719" s="8" t="inlineStr">
        <is>
          <t>20260120</t>
        </is>
      </c>
      <c r="M2719" s="8" t="inlineStr">
        <is>
          <t>99991231</t>
        </is>
      </c>
      <c r="N2719" s="10" t="n">
        <v>75.86</v>
      </c>
      <c r="O2719" s="10">
        <f>IFERROR(VLOOKUP(A2719,Flete!$A:$J,10,0),"")</f>
        <v/>
      </c>
      <c r="P2719" s="8" t="inlineStr">
        <is>
          <t>M3</t>
        </is>
      </c>
      <c r="Q2719" s="10">
        <f>IFERROR(IFERROR(VLOOKUP(A2719,TRAOPE!$A:$U,21,0),VLOOKUP(B2719,TRAOPE!$A:$U,21,0)),"")</f>
        <v/>
      </c>
      <c r="R2719" s="8">
        <f>IFERROR(IFERROR(VLOOKUP(A2719,TRAOPE!$A:$W,23,0),VLOOKUP(B2719,TRAOPE!$A:$W,23,0)),"")</f>
        <v/>
      </c>
      <c r="S2719" s="10">
        <f>IF(AND(P2719="TN",R2719="TN"),N2719+N(O2719),IF(G2719&amp;""="1",N(K2719)*N2719,(N2719+N(O2719))*N(K2719)))</f>
        <v/>
      </c>
      <c r="T2719" s="10">
        <f>IF(Q2719="","",Q2719-S2719)</f>
        <v/>
      </c>
    </row>
    <row r="2720">
      <c r="A2720" s="7">
        <f>CONCATENATE(C2720,E2720,F2720,I2720)</f>
        <v/>
      </c>
      <c r="B2720" s="7">
        <f>CONCATENATE(C2720,E2720,I2720)</f>
        <v/>
      </c>
      <c r="C2720" s="8" t="n">
        <v>900008869</v>
      </c>
      <c r="D2720" s="7">
        <f>IFERROR(VLOOKUP(C2720,TRAOPE!$G:$H,2,0),"")</f>
        <v/>
      </c>
      <c r="E2720" s="8" t="inlineStr">
        <is>
          <t>D836</t>
        </is>
      </c>
      <c r="F2720" s="8" t="inlineStr">
        <is>
          <t>67240729</t>
        </is>
      </c>
      <c r="G2720" s="8">
        <f>IFERROR(VLOOKUP(A2720,Flete!$A:$E,5,0),"")</f>
        <v/>
      </c>
      <c r="H2720" s="7">
        <f>IFERROR(VLOOKUP(F2720,TRAOPE!$AA:$AB,2,0),"")</f>
        <v/>
      </c>
      <c r="I2720" s="7" t="n">
        <v>10000623</v>
      </c>
      <c r="J2720" s="7">
        <f>IFERROR(VLOOKUP(I2720,Materiales!$A:$H,8,0),"")</f>
        <v/>
      </c>
      <c r="K2720" s="9">
        <f>IFERROR(VLOOKUP(I2720,Materiales!$A:$G,7,0),"")</f>
        <v/>
      </c>
      <c r="L2720" s="8" t="inlineStr">
        <is>
          <t>20260211</t>
        </is>
      </c>
      <c r="M2720" s="8" t="inlineStr">
        <is>
          <t>99991231</t>
        </is>
      </c>
      <c r="N2720" s="10" t="n">
        <v>162.64</v>
      </c>
      <c r="O2720" s="10">
        <f>IFERROR(VLOOKUP(A2720,Flete!$A:$J,10,0),"")</f>
        <v/>
      </c>
      <c r="P2720" s="8" t="inlineStr">
        <is>
          <t>TN</t>
        </is>
      </c>
      <c r="Q2720" s="10">
        <f>IFERROR(IFERROR(VLOOKUP(A2720,TRAOPE!$A:$U,21,0),VLOOKUP(B2720,TRAOPE!$A:$U,21,0)),"")</f>
        <v/>
      </c>
      <c r="R2720" s="8">
        <f>IFERROR(IFERROR(VLOOKUP(A2720,TRAOPE!$A:$W,23,0),VLOOKUP(B2720,TRAOPE!$A:$W,23,0)),"")</f>
        <v/>
      </c>
      <c r="S2720" s="10">
        <f>IF(AND(P2720="TN",R2720="TN"),N2720+N(O2720),IF(G2720&amp;""="1",N(K2720)*N2720,(N2720+N(O2720))*N(K2720)))</f>
        <v/>
      </c>
      <c r="T2720" s="10">
        <f>IF(Q2720="","",Q2720-S2720)</f>
        <v/>
      </c>
    </row>
    <row r="2721">
      <c r="A2721" s="7">
        <f>CONCATENATE(C2721,E2721,F2721,I2721)</f>
        <v/>
      </c>
      <c r="B2721" s="7">
        <f>CONCATENATE(C2721,E2721,I2721)</f>
        <v/>
      </c>
      <c r="C2721" s="8" t="n">
        <v>900008869</v>
      </c>
      <c r="D2721" s="7">
        <f>IFERROR(VLOOKUP(C2721,TRAOPE!$G:$H,2,0),"")</f>
        <v/>
      </c>
      <c r="E2721" s="8" t="inlineStr">
        <is>
          <t>D836</t>
        </is>
      </c>
      <c r="F2721" s="8" t="inlineStr">
        <is>
          <t>67242382</t>
        </is>
      </c>
      <c r="G2721" s="8">
        <f>IFERROR(VLOOKUP(A2721,Flete!$A:$E,5,0),"")</f>
        <v/>
      </c>
      <c r="H2721" s="7">
        <f>IFERROR(VLOOKUP(F2721,TRAOPE!$AA:$AB,2,0),"")</f>
        <v/>
      </c>
      <c r="I2721" s="7" t="n">
        <v>10000623</v>
      </c>
      <c r="J2721" s="7">
        <f>IFERROR(VLOOKUP(I2721,Materiales!$A:$H,8,0),"")</f>
        <v/>
      </c>
      <c r="K2721" s="9">
        <f>IFERROR(VLOOKUP(I2721,Materiales!$A:$G,7,0),"")</f>
        <v/>
      </c>
      <c r="L2721" s="8" t="inlineStr">
        <is>
          <t>20260211</t>
        </is>
      </c>
      <c r="M2721" s="8" t="inlineStr">
        <is>
          <t>99991231</t>
        </is>
      </c>
      <c r="N2721" s="10" t="n">
        <v>224.19</v>
      </c>
      <c r="O2721" s="10">
        <f>IFERROR(VLOOKUP(A2721,Flete!$A:$J,10,0),"")</f>
        <v/>
      </c>
      <c r="P2721" s="8" t="inlineStr">
        <is>
          <t>TN</t>
        </is>
      </c>
      <c r="Q2721" s="10">
        <f>IFERROR(IFERROR(VLOOKUP(A2721,TRAOPE!$A:$U,21,0),VLOOKUP(B2721,TRAOPE!$A:$U,21,0)),"")</f>
        <v/>
      </c>
      <c r="R2721" s="8">
        <f>IFERROR(IFERROR(VLOOKUP(A2721,TRAOPE!$A:$W,23,0),VLOOKUP(B2721,TRAOPE!$A:$W,23,0)),"")</f>
        <v/>
      </c>
      <c r="S2721" s="10">
        <f>IF(AND(P2721="TN",R2721="TN"),N2721+N(O2721),IF(G2721&amp;""="1",N(K2721)*N2721,(N2721+N(O2721))*N(K2721)))</f>
        <v/>
      </c>
      <c r="T2721" s="10">
        <f>IF(Q2721="","",Q2721-S2721)</f>
        <v/>
      </c>
    </row>
    <row r="2722">
      <c r="A2722" s="7">
        <f>CONCATENATE(C2722,E2722,F2722,I2722)</f>
        <v/>
      </c>
      <c r="B2722" s="7">
        <f>CONCATENATE(C2722,E2722,I2722)</f>
        <v/>
      </c>
      <c r="C2722" s="8" t="n">
        <v>900008869</v>
      </c>
      <c r="D2722" s="7">
        <f>IFERROR(VLOOKUP(C2722,TRAOPE!$G:$H,2,0),"")</f>
        <v/>
      </c>
      <c r="E2722" s="8" t="inlineStr">
        <is>
          <t>D836</t>
        </is>
      </c>
      <c r="F2722" s="8" t="inlineStr">
        <is>
          <t>67242385</t>
        </is>
      </c>
      <c r="G2722" s="8">
        <f>IFERROR(VLOOKUP(A2722,Flete!$A:$E,5,0),"")</f>
        <v/>
      </c>
      <c r="H2722" s="7">
        <f>IFERROR(VLOOKUP(F2722,TRAOPE!$AA:$AB,2,0),"")</f>
        <v/>
      </c>
      <c r="I2722" s="7" t="n">
        <v>10000623</v>
      </c>
      <c r="J2722" s="7">
        <f>IFERROR(VLOOKUP(I2722,Materiales!$A:$H,8,0),"")</f>
        <v/>
      </c>
      <c r="K2722" s="9">
        <f>IFERROR(VLOOKUP(I2722,Materiales!$A:$G,7,0),"")</f>
        <v/>
      </c>
      <c r="L2722" s="8" t="inlineStr">
        <is>
          <t>20260211</t>
        </is>
      </c>
      <c r="M2722" s="8" t="inlineStr">
        <is>
          <t>99991231</t>
        </is>
      </c>
      <c r="N2722" s="10" t="n">
        <v>204.56</v>
      </c>
      <c r="O2722" s="10">
        <f>IFERROR(VLOOKUP(A2722,Flete!$A:$J,10,0),"")</f>
        <v/>
      </c>
      <c r="P2722" s="8" t="inlineStr">
        <is>
          <t>TN</t>
        </is>
      </c>
      <c r="Q2722" s="10">
        <f>IFERROR(IFERROR(VLOOKUP(A2722,TRAOPE!$A:$U,21,0),VLOOKUP(B2722,TRAOPE!$A:$U,21,0)),"")</f>
        <v/>
      </c>
      <c r="R2722" s="8">
        <f>IFERROR(IFERROR(VLOOKUP(A2722,TRAOPE!$A:$W,23,0),VLOOKUP(B2722,TRAOPE!$A:$W,23,0)),"")</f>
        <v/>
      </c>
      <c r="S2722" s="10">
        <f>IF(AND(P2722="TN",R2722="TN"),N2722+N(O2722),IF(G2722&amp;""="1",N(K2722)*N2722,(N2722+N(O2722))*N(K2722)))</f>
        <v/>
      </c>
      <c r="T2722" s="10">
        <f>IF(Q2722="","",Q2722-S2722)</f>
        <v/>
      </c>
    </row>
    <row r="2723">
      <c r="A2723" s="7">
        <f>CONCATENATE(C2723,E2723,F2723,I2723)</f>
        <v/>
      </c>
      <c r="B2723" s="7">
        <f>CONCATENATE(C2723,E2723,I2723)</f>
        <v/>
      </c>
      <c r="C2723" s="8" t="n">
        <v>900008869</v>
      </c>
      <c r="D2723" s="7">
        <f>IFERROR(VLOOKUP(C2723,TRAOPE!$G:$H,2,0),"")</f>
        <v/>
      </c>
      <c r="E2723" s="8" t="inlineStr">
        <is>
          <t>D836</t>
        </is>
      </c>
      <c r="F2723" s="8" t="inlineStr">
        <is>
          <t>67283503</t>
        </is>
      </c>
      <c r="G2723" s="8">
        <f>IFERROR(VLOOKUP(A2723,Flete!$A:$E,5,0),"")</f>
        <v/>
      </c>
      <c r="H2723" s="7">
        <f>IFERROR(VLOOKUP(F2723,TRAOPE!$AA:$AB,2,0),"")</f>
        <v/>
      </c>
      <c r="I2723" s="7" t="n">
        <v>10000623</v>
      </c>
      <c r="J2723" s="7">
        <f>IFERROR(VLOOKUP(I2723,Materiales!$A:$H,8,0),"")</f>
        <v/>
      </c>
      <c r="K2723" s="9">
        <f>IFERROR(VLOOKUP(I2723,Materiales!$A:$G,7,0),"")</f>
        <v/>
      </c>
      <c r="L2723" s="8" t="inlineStr">
        <is>
          <t>20260211</t>
        </is>
      </c>
      <c r="M2723" s="8" t="inlineStr">
        <is>
          <t>99991231</t>
        </is>
      </c>
      <c r="N2723" s="10" t="n">
        <v>224.19</v>
      </c>
      <c r="O2723" s="10">
        <f>IFERROR(VLOOKUP(A2723,Flete!$A:$J,10,0),"")</f>
        <v/>
      </c>
      <c r="P2723" s="8" t="inlineStr">
        <is>
          <t>TN</t>
        </is>
      </c>
      <c r="Q2723" s="10">
        <f>IFERROR(IFERROR(VLOOKUP(A2723,TRAOPE!$A:$U,21,0),VLOOKUP(B2723,TRAOPE!$A:$U,21,0)),"")</f>
        <v/>
      </c>
      <c r="R2723" s="8">
        <f>IFERROR(IFERROR(VLOOKUP(A2723,TRAOPE!$A:$W,23,0),VLOOKUP(B2723,TRAOPE!$A:$W,23,0)),"")</f>
        <v/>
      </c>
      <c r="S2723" s="10">
        <f>IF(AND(P2723="TN",R2723="TN"),N2723+N(O2723),IF(G2723&amp;""="1",N(K2723)*N2723,(N2723+N(O2723))*N(K2723)))</f>
        <v/>
      </c>
      <c r="T2723" s="10">
        <f>IF(Q2723="","",Q2723-S2723)</f>
        <v/>
      </c>
    </row>
    <row r="2724">
      <c r="A2724" s="7">
        <f>CONCATENATE(C2724,E2724,F2724,I2724)</f>
        <v/>
      </c>
      <c r="B2724" s="7">
        <f>CONCATENATE(C2724,E2724,I2724)</f>
        <v/>
      </c>
      <c r="C2724" s="8" t="n">
        <v>900009140</v>
      </c>
      <c r="D2724" s="7">
        <f>IFERROR(VLOOKUP(C2724,TRAOPE!$G:$H,2,0),"")</f>
        <v/>
      </c>
      <c r="E2724" s="8" t="inlineStr">
        <is>
          <t>D836</t>
        </is>
      </c>
      <c r="F2724" s="8" t="inlineStr">
        <is>
          <t>65016451</t>
        </is>
      </c>
      <c r="G2724" s="8">
        <f>IFERROR(VLOOKUP(A2724,Flete!$A:$E,5,0),"")</f>
        <v/>
      </c>
      <c r="H2724" s="7">
        <f>IFERROR(VLOOKUP(F2724,TRAOPE!$AA:$AB,2,0),"")</f>
        <v/>
      </c>
      <c r="I2724" s="7" t="n">
        <v>10000133</v>
      </c>
      <c r="J2724" s="7">
        <f>IFERROR(VLOOKUP(I2724,Materiales!$A:$H,8,0),"")</f>
        <v/>
      </c>
      <c r="K2724" s="9">
        <f>IFERROR(VLOOKUP(I2724,Materiales!$A:$G,7,0),"")</f>
        <v/>
      </c>
      <c r="L2724" s="8" t="inlineStr">
        <is>
          <t>20260424</t>
        </is>
      </c>
      <c r="M2724" s="8" t="inlineStr">
        <is>
          <t>99991231</t>
        </is>
      </c>
      <c r="N2724" s="10" t="n">
        <v>206</v>
      </c>
      <c r="O2724" s="10">
        <f>IFERROR(VLOOKUP(A2724,Flete!$A:$J,10,0),"")</f>
        <v/>
      </c>
      <c r="P2724" s="8" t="inlineStr">
        <is>
          <t>TN</t>
        </is>
      </c>
      <c r="Q2724" s="10">
        <f>IFERROR(IFERROR(VLOOKUP(A2724,TRAOPE!$A:$U,21,0),VLOOKUP(B2724,TRAOPE!$A:$U,21,0)),"")</f>
        <v/>
      </c>
      <c r="R2724" s="8">
        <f>IFERROR(IFERROR(VLOOKUP(A2724,TRAOPE!$A:$W,23,0),VLOOKUP(B2724,TRAOPE!$A:$W,23,0)),"")</f>
        <v/>
      </c>
      <c r="S2724" s="10">
        <f>IF(AND(P2724="TN",R2724="TN"),N2724+N(O2724),IF(G2724&amp;""="1",N(K2724)*N2724,(N2724+N(O2724))*N(K2724)))</f>
        <v/>
      </c>
      <c r="T2724" s="10">
        <f>IF(Q2724="","",Q2724-S2724)</f>
        <v/>
      </c>
    </row>
    <row r="2725">
      <c r="A2725" s="7">
        <f>CONCATENATE(C2725,E2725,F2725,I2725)</f>
        <v/>
      </c>
      <c r="B2725" s="7">
        <f>CONCATENATE(C2725,E2725,I2725)</f>
        <v/>
      </c>
      <c r="C2725" s="8" t="n">
        <v>900009140</v>
      </c>
      <c r="D2725" s="7">
        <f>IFERROR(VLOOKUP(C2725,TRAOPE!$G:$H,2,0),"")</f>
        <v/>
      </c>
      <c r="E2725" s="8" t="inlineStr">
        <is>
          <t>D836</t>
        </is>
      </c>
      <c r="F2725" s="8" t="inlineStr">
        <is>
          <t>65016451</t>
        </is>
      </c>
      <c r="G2725" s="8">
        <f>IFERROR(VLOOKUP(A2725,Flete!$A:$E,5,0),"")</f>
        <v/>
      </c>
      <c r="H2725" s="7">
        <f>IFERROR(VLOOKUP(F2725,TRAOPE!$AA:$AB,2,0),"")</f>
        <v/>
      </c>
      <c r="I2725" s="7" t="n">
        <v>10000630</v>
      </c>
      <c r="J2725" s="7">
        <f>IFERROR(VLOOKUP(I2725,Materiales!$A:$H,8,0),"")</f>
        <v/>
      </c>
      <c r="K2725" s="9">
        <f>IFERROR(VLOOKUP(I2725,Materiales!$A:$G,7,0),"")</f>
        <v/>
      </c>
      <c r="L2725" s="8" t="inlineStr">
        <is>
          <t>20260528</t>
        </is>
      </c>
      <c r="M2725" s="8" t="inlineStr">
        <is>
          <t>99991231</t>
        </is>
      </c>
      <c r="N2725" s="10" t="n">
        <v>310</v>
      </c>
      <c r="O2725" s="10">
        <f>IFERROR(VLOOKUP(A2725,Flete!$A:$J,10,0),"")</f>
        <v/>
      </c>
      <c r="P2725" s="8" t="inlineStr">
        <is>
          <t>M3</t>
        </is>
      </c>
      <c r="Q2725" s="10">
        <f>IFERROR(IFERROR(VLOOKUP(A2725,TRAOPE!$A:$U,21,0),VLOOKUP(B2725,TRAOPE!$A:$U,21,0)),"")</f>
        <v/>
      </c>
      <c r="R2725" s="8">
        <f>IFERROR(IFERROR(VLOOKUP(A2725,TRAOPE!$A:$W,23,0),VLOOKUP(B2725,TRAOPE!$A:$W,23,0)),"")</f>
        <v/>
      </c>
      <c r="S2725" s="10">
        <f>IF(AND(P2725="TN",R2725="TN"),N2725+N(O2725),IF(G2725&amp;""="1",N(K2725)*N2725,(N2725+N(O2725))*N(K2725)))</f>
        <v/>
      </c>
      <c r="T2725" s="10">
        <f>IF(Q2725="","",Q2725-S2725)</f>
        <v/>
      </c>
    </row>
    <row r="2726">
      <c r="A2726" s="7">
        <f>CONCATENATE(C2726,E2726,F2726,I2726)</f>
        <v/>
      </c>
      <c r="B2726" s="7">
        <f>CONCATENATE(C2726,E2726,I2726)</f>
        <v/>
      </c>
      <c r="C2726" s="8" t="n">
        <v>900009140</v>
      </c>
      <c r="D2726" s="7">
        <f>IFERROR(VLOOKUP(C2726,TRAOPE!$G:$H,2,0),"")</f>
        <v/>
      </c>
      <c r="E2726" s="8" t="inlineStr">
        <is>
          <t>D836</t>
        </is>
      </c>
      <c r="F2726" s="8" t="inlineStr">
        <is>
          <t>65016451</t>
        </is>
      </c>
      <c r="G2726" s="8">
        <f>IFERROR(VLOOKUP(A2726,Flete!$A:$E,5,0),"")</f>
        <v/>
      </c>
      <c r="H2726" s="7">
        <f>IFERROR(VLOOKUP(F2726,TRAOPE!$AA:$AB,2,0),"")</f>
        <v/>
      </c>
      <c r="I2726" s="7" t="n">
        <v>10140399</v>
      </c>
      <c r="J2726" s="7">
        <f>IFERROR(VLOOKUP(I2726,Materiales!$A:$H,8,0),"")</f>
        <v/>
      </c>
      <c r="K2726" s="9">
        <f>IFERROR(VLOOKUP(I2726,Materiales!$A:$G,7,0),"")</f>
        <v/>
      </c>
      <c r="L2726" s="8" t="inlineStr">
        <is>
          <t>20250304</t>
        </is>
      </c>
      <c r="M2726" s="8" t="inlineStr">
        <is>
          <t>99991231</t>
        </is>
      </c>
      <c r="N2726" s="10" t="n">
        <v>199</v>
      </c>
      <c r="O2726" s="10">
        <f>IFERROR(VLOOKUP(A2726,Flete!$A:$J,10,0),"")</f>
        <v/>
      </c>
      <c r="P2726" s="8" t="inlineStr">
        <is>
          <t>TN</t>
        </is>
      </c>
      <c r="Q2726" s="10">
        <f>IFERROR(IFERROR(VLOOKUP(A2726,TRAOPE!$A:$U,21,0),VLOOKUP(B2726,TRAOPE!$A:$U,21,0)),"")</f>
        <v/>
      </c>
      <c r="R2726" s="8">
        <f>IFERROR(IFERROR(VLOOKUP(A2726,TRAOPE!$A:$W,23,0),VLOOKUP(B2726,TRAOPE!$A:$W,23,0)),"")</f>
        <v/>
      </c>
      <c r="S2726" s="10">
        <f>IF(AND(P2726="TN",R2726="TN"),N2726+N(O2726),IF(G2726&amp;""="1",N(K2726)*N2726,(N2726+N(O2726))*N(K2726)))</f>
        <v/>
      </c>
      <c r="T2726" s="10">
        <f>IF(Q2726="","",Q2726-S2726)</f>
        <v/>
      </c>
    </row>
    <row r="2727">
      <c r="A2727" s="7">
        <f>CONCATENATE(C2727,E2727,F2727,I2727)</f>
        <v/>
      </c>
      <c r="B2727" s="7">
        <f>CONCATENATE(C2727,E2727,I2727)</f>
        <v/>
      </c>
      <c r="C2727" s="8" t="n">
        <v>900009140</v>
      </c>
      <c r="D2727" s="7">
        <f>IFERROR(VLOOKUP(C2727,TRAOPE!$G:$H,2,0),"")</f>
        <v/>
      </c>
      <c r="E2727" s="8" t="inlineStr">
        <is>
          <t>D836</t>
        </is>
      </c>
      <c r="F2727" s="8" t="inlineStr">
        <is>
          <t>65016451</t>
        </is>
      </c>
      <c r="G2727" s="8">
        <f>IFERROR(VLOOKUP(A2727,Flete!$A:$E,5,0),"")</f>
        <v/>
      </c>
      <c r="H2727" s="7">
        <f>IFERROR(VLOOKUP(F2727,TRAOPE!$AA:$AB,2,0),"")</f>
        <v/>
      </c>
      <c r="I2727" s="7" t="n">
        <v>10221480</v>
      </c>
      <c r="J2727" s="7">
        <f>IFERROR(VLOOKUP(I2727,Materiales!$A:$H,8,0),"")</f>
        <v/>
      </c>
      <c r="K2727" s="9">
        <f>IFERROR(VLOOKUP(I2727,Materiales!$A:$G,7,0),"")</f>
        <v/>
      </c>
      <c r="L2727" s="8" t="inlineStr">
        <is>
          <t>20260424</t>
        </is>
      </c>
      <c r="M2727" s="8" t="inlineStr">
        <is>
          <t>99991231</t>
        </is>
      </c>
      <c r="N2727" s="10" t="n">
        <v>212</v>
      </c>
      <c r="O2727" s="10">
        <f>IFERROR(VLOOKUP(A2727,Flete!$A:$J,10,0),"")</f>
        <v/>
      </c>
      <c r="P2727" s="8" t="inlineStr">
        <is>
          <t>TN</t>
        </is>
      </c>
      <c r="Q2727" s="10">
        <f>IFERROR(IFERROR(VLOOKUP(A2727,TRAOPE!$A:$U,21,0),VLOOKUP(B2727,TRAOPE!$A:$U,21,0)),"")</f>
        <v/>
      </c>
      <c r="R2727" s="8">
        <f>IFERROR(IFERROR(VLOOKUP(A2727,TRAOPE!$A:$W,23,0),VLOOKUP(B2727,TRAOPE!$A:$W,23,0)),"")</f>
        <v/>
      </c>
      <c r="S2727" s="10">
        <f>IF(AND(P2727="TN",R2727="TN"),N2727+N(O2727),IF(G2727&amp;""="1",N(K2727)*N2727,(N2727+N(O2727))*N(K2727)))</f>
        <v/>
      </c>
      <c r="T2727" s="10">
        <f>IF(Q2727="","",Q2727-S2727)</f>
        <v/>
      </c>
    </row>
    <row r="2728">
      <c r="A2728" s="7">
        <f>CONCATENATE(C2728,E2728,F2728,I2728)</f>
        <v/>
      </c>
      <c r="B2728" s="7">
        <f>CONCATENATE(C2728,E2728,I2728)</f>
        <v/>
      </c>
      <c r="C2728" s="8" t="n">
        <v>900009140</v>
      </c>
      <c r="D2728" s="7">
        <f>IFERROR(VLOOKUP(C2728,TRAOPE!$G:$H,2,0),"")</f>
        <v/>
      </c>
      <c r="E2728" s="8" t="inlineStr">
        <is>
          <t>D836</t>
        </is>
      </c>
      <c r="F2728" s="8" t="inlineStr">
        <is>
          <t>66779276</t>
        </is>
      </c>
      <c r="G2728" s="8">
        <f>IFERROR(VLOOKUP(A2728,Flete!$A:$E,5,0),"")</f>
        <v/>
      </c>
      <c r="H2728" s="7">
        <f>IFERROR(VLOOKUP(F2728,TRAOPE!$AA:$AB,2,0),"")</f>
        <v/>
      </c>
      <c r="I2728" s="7" t="n">
        <v>10001074</v>
      </c>
      <c r="J2728" s="7">
        <f>IFERROR(VLOOKUP(I2728,Materiales!$A:$H,8,0),"")</f>
        <v/>
      </c>
      <c r="K2728" s="9">
        <f>IFERROR(VLOOKUP(I2728,Materiales!$A:$G,7,0),"")</f>
        <v/>
      </c>
      <c r="L2728" s="8" t="inlineStr">
        <is>
          <t>20260424</t>
        </is>
      </c>
      <c r="M2728" s="8" t="inlineStr">
        <is>
          <t>99991231</t>
        </is>
      </c>
      <c r="N2728" s="10" t="n">
        <v>190</v>
      </c>
      <c r="O2728" s="10">
        <f>IFERROR(VLOOKUP(A2728,Flete!$A:$J,10,0),"")</f>
        <v/>
      </c>
      <c r="P2728" s="8" t="inlineStr">
        <is>
          <t>TN</t>
        </is>
      </c>
      <c r="Q2728" s="10">
        <f>IFERROR(IFERROR(VLOOKUP(A2728,TRAOPE!$A:$U,21,0),VLOOKUP(B2728,TRAOPE!$A:$U,21,0)),"")</f>
        <v/>
      </c>
      <c r="R2728" s="8">
        <f>IFERROR(IFERROR(VLOOKUP(A2728,TRAOPE!$A:$W,23,0),VLOOKUP(B2728,TRAOPE!$A:$W,23,0)),"")</f>
        <v/>
      </c>
      <c r="S2728" s="10">
        <f>IF(AND(P2728="TN",R2728="TN"),N2728+N(O2728),IF(G2728&amp;""="1",N(K2728)*N2728,(N2728+N(O2728))*N(K2728)))</f>
        <v/>
      </c>
      <c r="T2728" s="10">
        <f>IF(Q2728="","",Q2728-S2728)</f>
        <v/>
      </c>
    </row>
    <row r="2729">
      <c r="A2729" s="7">
        <f>CONCATENATE(C2729,E2729,F2729,I2729)</f>
        <v/>
      </c>
      <c r="B2729" s="7">
        <f>CONCATENATE(C2729,E2729,I2729)</f>
        <v/>
      </c>
      <c r="C2729" s="8" t="n">
        <v>900009140</v>
      </c>
      <c r="D2729" s="7">
        <f>IFERROR(VLOOKUP(C2729,TRAOPE!$G:$H,2,0),"")</f>
        <v/>
      </c>
      <c r="E2729" s="8" t="inlineStr">
        <is>
          <t>D836</t>
        </is>
      </c>
      <c r="F2729" s="8" t="inlineStr">
        <is>
          <t>66779276</t>
        </is>
      </c>
      <c r="G2729" s="8">
        <f>IFERROR(VLOOKUP(A2729,Flete!$A:$E,5,0),"")</f>
        <v/>
      </c>
      <c r="H2729" s="7">
        <f>IFERROR(VLOOKUP(F2729,TRAOPE!$AA:$AB,2,0),"")</f>
        <v/>
      </c>
      <c r="I2729" s="7" t="n">
        <v>10184011</v>
      </c>
      <c r="J2729" s="7">
        <f>IFERROR(VLOOKUP(I2729,Materiales!$A:$H,8,0),"")</f>
        <v/>
      </c>
      <c r="K2729" s="9">
        <f>IFERROR(VLOOKUP(I2729,Materiales!$A:$G,7,0),"")</f>
        <v/>
      </c>
      <c r="L2729" s="8" t="inlineStr">
        <is>
          <t>20260424</t>
        </is>
      </c>
      <c r="M2729" s="8" t="inlineStr">
        <is>
          <t>99991231</t>
        </is>
      </c>
      <c r="N2729" s="10" t="n">
        <v>190</v>
      </c>
      <c r="O2729" s="10">
        <f>IFERROR(VLOOKUP(A2729,Flete!$A:$J,10,0),"")</f>
        <v/>
      </c>
      <c r="P2729" s="8" t="inlineStr">
        <is>
          <t>TN</t>
        </is>
      </c>
      <c r="Q2729" s="10">
        <f>IFERROR(IFERROR(VLOOKUP(A2729,TRAOPE!$A:$U,21,0),VLOOKUP(B2729,TRAOPE!$A:$U,21,0)),"")</f>
        <v/>
      </c>
      <c r="R2729" s="8">
        <f>IFERROR(IFERROR(VLOOKUP(A2729,TRAOPE!$A:$W,23,0),VLOOKUP(B2729,TRAOPE!$A:$W,23,0)),"")</f>
        <v/>
      </c>
      <c r="S2729" s="10">
        <f>IF(AND(P2729="TN",R2729="TN"),N2729+N(O2729),IF(G2729&amp;""="1",N(K2729)*N2729,(N2729+N(O2729))*N(K2729)))</f>
        <v/>
      </c>
      <c r="T2729" s="10">
        <f>IF(Q2729="","",Q2729-S2729)</f>
        <v/>
      </c>
    </row>
    <row r="2730">
      <c r="A2730" s="7">
        <f>CONCATENATE(C2730,E2730,F2730,I2730)</f>
        <v/>
      </c>
      <c r="B2730" s="7">
        <f>CONCATENATE(C2730,E2730,I2730)</f>
        <v/>
      </c>
      <c r="C2730" s="8" t="n">
        <v>900009140</v>
      </c>
      <c r="D2730" s="7">
        <f>IFERROR(VLOOKUP(C2730,TRAOPE!$G:$H,2,0),"")</f>
        <v/>
      </c>
      <c r="E2730" s="8" t="inlineStr">
        <is>
          <t>D836</t>
        </is>
      </c>
      <c r="F2730" s="8" t="inlineStr">
        <is>
          <t>67155777</t>
        </is>
      </c>
      <c r="G2730" s="8">
        <f>IFERROR(VLOOKUP(A2730,Flete!$A:$E,5,0),"")</f>
        <v/>
      </c>
      <c r="H2730" s="7">
        <f>IFERROR(VLOOKUP(F2730,TRAOPE!$AA:$AB,2,0),"")</f>
        <v/>
      </c>
      <c r="I2730" s="7" t="n">
        <v>10140399</v>
      </c>
      <c r="J2730" s="7">
        <f>IFERROR(VLOOKUP(I2730,Materiales!$A:$H,8,0),"")</f>
        <v/>
      </c>
      <c r="K2730" s="9">
        <f>IFERROR(VLOOKUP(I2730,Materiales!$A:$G,7,0),"")</f>
        <v/>
      </c>
      <c r="L2730" s="8" t="inlineStr">
        <is>
          <t>20260622</t>
        </is>
      </c>
      <c r="M2730" s="8" t="inlineStr">
        <is>
          <t>99991231</t>
        </is>
      </c>
      <c r="N2730" s="10" t="n">
        <v>114.4</v>
      </c>
      <c r="O2730" s="10">
        <f>IFERROR(VLOOKUP(A2730,Flete!$A:$J,10,0),"")</f>
        <v/>
      </c>
      <c r="P2730" s="8" t="inlineStr">
        <is>
          <t>M3</t>
        </is>
      </c>
      <c r="Q2730" s="10">
        <f>IFERROR(IFERROR(VLOOKUP(A2730,TRAOPE!$A:$U,21,0),VLOOKUP(B2730,TRAOPE!$A:$U,21,0)),"")</f>
        <v/>
      </c>
      <c r="R2730" s="8">
        <f>IFERROR(IFERROR(VLOOKUP(A2730,TRAOPE!$A:$W,23,0),VLOOKUP(B2730,TRAOPE!$A:$W,23,0)),"")</f>
        <v/>
      </c>
      <c r="S2730" s="10">
        <f>IF(AND(P2730="TN",R2730="TN"),N2730+N(O2730),IF(G2730&amp;""="1",N(K2730)*N2730,(N2730+N(O2730))*N(K2730)))</f>
        <v/>
      </c>
      <c r="T2730" s="10">
        <f>IF(Q2730="","",Q2730-S2730)</f>
        <v/>
      </c>
    </row>
    <row r="2731">
      <c r="A2731" s="7">
        <f>CONCATENATE(C2731,E2731,F2731,I2731)</f>
        <v/>
      </c>
      <c r="B2731" s="7">
        <f>CONCATENATE(C2731,E2731,I2731)</f>
        <v/>
      </c>
      <c r="C2731" s="8" t="n">
        <v>900009140</v>
      </c>
      <c r="D2731" s="7">
        <f>IFERROR(VLOOKUP(C2731,TRAOPE!$G:$H,2,0),"")</f>
        <v/>
      </c>
      <c r="E2731" s="8" t="inlineStr">
        <is>
          <t>D836</t>
        </is>
      </c>
      <c r="F2731" s="8" t="inlineStr">
        <is>
          <t>67162746</t>
        </is>
      </c>
      <c r="G2731" s="8">
        <f>IFERROR(VLOOKUP(A2731,Flete!$A:$E,5,0),"")</f>
        <v/>
      </c>
      <c r="H2731" s="7">
        <f>IFERROR(VLOOKUP(F2731,TRAOPE!$AA:$AB,2,0),"")</f>
        <v/>
      </c>
      <c r="I2731" s="7" t="n">
        <v>10140399</v>
      </c>
      <c r="J2731" s="7">
        <f>IFERROR(VLOOKUP(I2731,Materiales!$A:$H,8,0),"")</f>
        <v/>
      </c>
      <c r="K2731" s="9">
        <f>IFERROR(VLOOKUP(I2731,Materiales!$A:$G,7,0),"")</f>
        <v/>
      </c>
      <c r="L2731" s="8" t="inlineStr">
        <is>
          <t>20260622</t>
        </is>
      </c>
      <c r="M2731" s="8" t="inlineStr">
        <is>
          <t>99991231</t>
        </is>
      </c>
      <c r="N2731" s="10" t="n">
        <v>114.4</v>
      </c>
      <c r="O2731" s="10">
        <f>IFERROR(VLOOKUP(A2731,Flete!$A:$J,10,0),"")</f>
        <v/>
      </c>
      <c r="P2731" s="8" t="inlineStr">
        <is>
          <t>M3</t>
        </is>
      </c>
      <c r="Q2731" s="10">
        <f>IFERROR(IFERROR(VLOOKUP(A2731,TRAOPE!$A:$U,21,0),VLOOKUP(B2731,TRAOPE!$A:$U,21,0)),"")</f>
        <v/>
      </c>
      <c r="R2731" s="8">
        <f>IFERROR(IFERROR(VLOOKUP(A2731,TRAOPE!$A:$W,23,0),VLOOKUP(B2731,TRAOPE!$A:$W,23,0)),"")</f>
        <v/>
      </c>
      <c r="S2731" s="10">
        <f>IF(AND(P2731="TN",R2731="TN"),N2731+N(O2731),IF(G2731&amp;""="1",N(K2731)*N2731,(N2731+N(O2731))*N(K2731)))</f>
        <v/>
      </c>
      <c r="T2731" s="10">
        <f>IF(Q2731="","",Q2731-S2731)</f>
        <v/>
      </c>
    </row>
    <row r="2732">
      <c r="A2732" s="7">
        <f>CONCATENATE(C2732,E2732,F2732,I2732)</f>
        <v/>
      </c>
      <c r="B2732" s="7">
        <f>CONCATENATE(C2732,E2732,I2732)</f>
        <v/>
      </c>
      <c r="C2732" s="8" t="n">
        <v>900009140</v>
      </c>
      <c r="D2732" s="7">
        <f>IFERROR(VLOOKUP(C2732,TRAOPE!$G:$H,2,0),"")</f>
        <v/>
      </c>
      <c r="E2732" s="8" t="inlineStr">
        <is>
          <t>D836</t>
        </is>
      </c>
      <c r="F2732" s="8" t="inlineStr">
        <is>
          <t>67208638</t>
        </is>
      </c>
      <c r="G2732" s="8">
        <f>IFERROR(VLOOKUP(A2732,Flete!$A:$E,5,0),"")</f>
        <v/>
      </c>
      <c r="H2732" s="7">
        <f>IFERROR(VLOOKUP(F2732,TRAOPE!$AA:$AB,2,0),"")</f>
        <v/>
      </c>
      <c r="I2732" s="7" t="n">
        <v>10000623</v>
      </c>
      <c r="J2732" s="7">
        <f>IFERROR(VLOOKUP(I2732,Materiales!$A:$H,8,0),"")</f>
        <v/>
      </c>
      <c r="K2732" s="9">
        <f>IFERROR(VLOOKUP(I2732,Materiales!$A:$G,7,0),"")</f>
        <v/>
      </c>
      <c r="L2732" s="8" t="inlineStr">
        <is>
          <t>20251127</t>
        </is>
      </c>
      <c r="M2732" s="8" t="inlineStr">
        <is>
          <t>99991231</t>
        </is>
      </c>
      <c r="N2732" s="10" t="n">
        <v>215</v>
      </c>
      <c r="O2732" s="10">
        <f>IFERROR(VLOOKUP(A2732,Flete!$A:$J,10,0),"")</f>
        <v/>
      </c>
      <c r="P2732" s="8" t="inlineStr">
        <is>
          <t>TN</t>
        </is>
      </c>
      <c r="Q2732" s="10">
        <f>IFERROR(IFERROR(VLOOKUP(A2732,TRAOPE!$A:$U,21,0),VLOOKUP(B2732,TRAOPE!$A:$U,21,0)),"")</f>
        <v/>
      </c>
      <c r="R2732" s="8">
        <f>IFERROR(IFERROR(VLOOKUP(A2732,TRAOPE!$A:$W,23,0),VLOOKUP(B2732,TRAOPE!$A:$W,23,0)),"")</f>
        <v/>
      </c>
      <c r="S2732" s="10">
        <f>IF(AND(P2732="TN",R2732="TN"),N2732+N(O2732),IF(G2732&amp;""="1",N(K2732)*N2732,(N2732+N(O2732))*N(K2732)))</f>
        <v/>
      </c>
      <c r="T2732" s="10">
        <f>IF(Q2732="","",Q2732-S2732)</f>
        <v/>
      </c>
    </row>
    <row r="2733">
      <c r="A2733" s="7">
        <f>CONCATENATE(C2733,E2733,F2733,I2733)</f>
        <v/>
      </c>
      <c r="B2733" s="7">
        <f>CONCATENATE(C2733,E2733,I2733)</f>
        <v/>
      </c>
      <c r="C2733" s="8" t="n">
        <v>900009140</v>
      </c>
      <c r="D2733" s="7">
        <f>IFERROR(VLOOKUP(C2733,TRAOPE!$G:$H,2,0),"")</f>
        <v/>
      </c>
      <c r="E2733" s="8" t="inlineStr">
        <is>
          <t>D836</t>
        </is>
      </c>
      <c r="F2733" s="8" t="inlineStr">
        <is>
          <t>67297259</t>
        </is>
      </c>
      <c r="G2733" s="8">
        <f>IFERROR(VLOOKUP(A2733,Flete!$A:$E,5,0),"")</f>
        <v/>
      </c>
      <c r="H2733" s="7">
        <f>IFERROR(VLOOKUP(F2733,TRAOPE!$AA:$AB,2,0),"")</f>
        <v/>
      </c>
      <c r="I2733" s="7" t="n">
        <v>10147486</v>
      </c>
      <c r="J2733" s="7">
        <f>IFERROR(VLOOKUP(I2733,Materiales!$A:$H,8,0),"")</f>
        <v/>
      </c>
      <c r="K2733" s="9">
        <f>IFERROR(VLOOKUP(I2733,Materiales!$A:$G,7,0),"")</f>
        <v/>
      </c>
      <c r="L2733" s="8" t="inlineStr">
        <is>
          <t>20250722</t>
        </is>
      </c>
      <c r="M2733" s="8" t="inlineStr">
        <is>
          <t>99991231</t>
        </is>
      </c>
      <c r="N2733" s="10" t="n">
        <v>195</v>
      </c>
      <c r="O2733" s="10">
        <f>IFERROR(VLOOKUP(A2733,Flete!$A:$J,10,0),"")</f>
        <v/>
      </c>
      <c r="P2733" s="8" t="inlineStr">
        <is>
          <t>M3</t>
        </is>
      </c>
      <c r="Q2733" s="10">
        <f>IFERROR(IFERROR(VLOOKUP(A2733,TRAOPE!$A:$U,21,0),VLOOKUP(B2733,TRAOPE!$A:$U,21,0)),"")</f>
        <v/>
      </c>
      <c r="R2733" s="8">
        <f>IFERROR(IFERROR(VLOOKUP(A2733,TRAOPE!$A:$W,23,0),VLOOKUP(B2733,TRAOPE!$A:$W,23,0)),"")</f>
        <v/>
      </c>
      <c r="S2733" s="10">
        <f>IF(AND(P2733="TN",R2733="TN"),N2733+N(O2733),IF(G2733&amp;""="1",N(K2733)*N2733,(N2733+N(O2733))*N(K2733)))</f>
        <v/>
      </c>
      <c r="T2733" s="10">
        <f>IF(Q2733="","",Q2733-S2733)</f>
        <v/>
      </c>
    </row>
    <row r="2734">
      <c r="A2734" s="7">
        <f>CONCATENATE(C2734,E2734,F2734,I2734)</f>
        <v/>
      </c>
      <c r="B2734" s="7">
        <f>CONCATENATE(C2734,E2734,I2734)</f>
        <v/>
      </c>
      <c r="C2734" s="8" t="n">
        <v>900009140</v>
      </c>
      <c r="D2734" s="7">
        <f>IFERROR(VLOOKUP(C2734,TRAOPE!$G:$H,2,0),"")</f>
        <v/>
      </c>
      <c r="E2734" s="8" t="inlineStr">
        <is>
          <t>D836</t>
        </is>
      </c>
      <c r="F2734" s="8" t="inlineStr">
        <is>
          <t>67297259</t>
        </is>
      </c>
      <c r="G2734" s="8">
        <f>IFERROR(VLOOKUP(A2734,Flete!$A:$E,5,0),"")</f>
        <v/>
      </c>
      <c r="H2734" s="7">
        <f>IFERROR(VLOOKUP(F2734,TRAOPE!$AA:$AB,2,0),"")</f>
        <v/>
      </c>
      <c r="I2734" s="7" t="n">
        <v>10269072</v>
      </c>
      <c r="J2734" s="7">
        <f>IFERROR(VLOOKUP(I2734,Materiales!$A:$H,8,0),"")</f>
        <v/>
      </c>
      <c r="K2734" s="9">
        <f>IFERROR(VLOOKUP(I2734,Materiales!$A:$G,7,0),"")</f>
        <v/>
      </c>
      <c r="L2734" s="8" t="inlineStr">
        <is>
          <t>20250723</t>
        </is>
      </c>
      <c r="M2734" s="8" t="inlineStr">
        <is>
          <t>99991231</t>
        </is>
      </c>
      <c r="N2734" s="10" t="n">
        <v>59</v>
      </c>
      <c r="O2734" s="10">
        <f>IFERROR(VLOOKUP(A2734,Flete!$A:$J,10,0),"")</f>
        <v/>
      </c>
      <c r="P2734" s="8" t="inlineStr">
        <is>
          <t>TN</t>
        </is>
      </c>
      <c r="Q2734" s="10">
        <f>IFERROR(IFERROR(VLOOKUP(A2734,TRAOPE!$A:$U,21,0),VLOOKUP(B2734,TRAOPE!$A:$U,21,0)),"")</f>
        <v/>
      </c>
      <c r="R2734" s="8">
        <f>IFERROR(IFERROR(VLOOKUP(A2734,TRAOPE!$A:$W,23,0),VLOOKUP(B2734,TRAOPE!$A:$W,23,0)),"")</f>
        <v/>
      </c>
      <c r="S2734" s="10">
        <f>IF(AND(P2734="TN",R2734="TN"),N2734+N(O2734),IF(G2734&amp;""="1",N(K2734)*N2734,(N2734+N(O2734))*N(K2734)))</f>
        <v/>
      </c>
      <c r="T2734" s="10">
        <f>IF(Q2734="","",Q2734-S2734)</f>
        <v/>
      </c>
    </row>
    <row r="2735">
      <c r="A2735" s="7">
        <f>CONCATENATE(C2735,E2735,F2735,I2735)</f>
        <v/>
      </c>
      <c r="B2735" s="7">
        <f>CONCATENATE(C2735,E2735,I2735)</f>
        <v/>
      </c>
      <c r="C2735" s="8" t="n">
        <v>900009140</v>
      </c>
      <c r="D2735" s="7">
        <f>IFERROR(VLOOKUP(C2735,TRAOPE!$G:$H,2,0),"")</f>
        <v/>
      </c>
      <c r="E2735" s="8" t="inlineStr">
        <is>
          <t>D836</t>
        </is>
      </c>
      <c r="F2735" s="8" t="inlineStr">
        <is>
          <t>67330638</t>
        </is>
      </c>
      <c r="G2735" s="8">
        <f>IFERROR(VLOOKUP(A2735,Flete!$A:$E,5,0),"")</f>
        <v/>
      </c>
      <c r="H2735" s="7">
        <f>IFERROR(VLOOKUP(F2735,TRAOPE!$AA:$AB,2,0),"")</f>
        <v/>
      </c>
      <c r="I2735" s="7" t="n">
        <v>10000403</v>
      </c>
      <c r="J2735" s="7">
        <f>IFERROR(VLOOKUP(I2735,Materiales!$A:$H,8,0),"")</f>
        <v/>
      </c>
      <c r="K2735" s="9">
        <f>IFERROR(VLOOKUP(I2735,Materiales!$A:$G,7,0),"")</f>
        <v/>
      </c>
      <c r="L2735" s="8" t="inlineStr">
        <is>
          <t>20260302</t>
        </is>
      </c>
      <c r="M2735" s="8" t="inlineStr">
        <is>
          <t>99991231</t>
        </is>
      </c>
      <c r="N2735" s="10" t="n">
        <v>112.35</v>
      </c>
      <c r="O2735" s="10">
        <f>IFERROR(VLOOKUP(A2735,Flete!$A:$J,10,0),"")</f>
        <v/>
      </c>
      <c r="P2735" s="8" t="inlineStr">
        <is>
          <t>TN</t>
        </is>
      </c>
      <c r="Q2735" s="10">
        <f>IFERROR(IFERROR(VLOOKUP(A2735,TRAOPE!$A:$U,21,0),VLOOKUP(B2735,TRAOPE!$A:$U,21,0)),"")</f>
        <v/>
      </c>
      <c r="R2735" s="8">
        <f>IFERROR(IFERROR(VLOOKUP(A2735,TRAOPE!$A:$W,23,0),VLOOKUP(B2735,TRAOPE!$A:$W,23,0)),"")</f>
        <v/>
      </c>
      <c r="S2735" s="10">
        <f>IF(AND(P2735="TN",R2735="TN"),N2735+N(O2735),IF(G2735&amp;""="1",N(K2735)*N2735,(N2735+N(O2735))*N(K2735)))</f>
        <v/>
      </c>
      <c r="T2735" s="10">
        <f>IF(Q2735="","",Q2735-S2735)</f>
        <v/>
      </c>
    </row>
    <row r="2736">
      <c r="A2736" s="7">
        <f>CONCATENATE(C2736,E2736,F2736,I2736)</f>
        <v/>
      </c>
      <c r="B2736" s="7">
        <f>CONCATENATE(C2736,E2736,I2736)</f>
        <v/>
      </c>
      <c r="C2736" s="8" t="n">
        <v>900009140</v>
      </c>
      <c r="D2736" s="7">
        <f>IFERROR(VLOOKUP(C2736,TRAOPE!$G:$H,2,0),"")</f>
        <v/>
      </c>
      <c r="E2736" s="8" t="inlineStr">
        <is>
          <t>D836</t>
        </is>
      </c>
      <c r="F2736" s="8" t="inlineStr">
        <is>
          <t>67330638</t>
        </is>
      </c>
      <c r="G2736" s="8">
        <f>IFERROR(VLOOKUP(A2736,Flete!$A:$E,5,0),"")</f>
        <v/>
      </c>
      <c r="H2736" s="7">
        <f>IFERROR(VLOOKUP(F2736,TRAOPE!$AA:$AB,2,0),"")</f>
        <v/>
      </c>
      <c r="I2736" s="7" t="n">
        <v>10000623</v>
      </c>
      <c r="J2736" s="7">
        <f>IFERROR(VLOOKUP(I2736,Materiales!$A:$H,8,0),"")</f>
        <v/>
      </c>
      <c r="K2736" s="9">
        <f>IFERROR(VLOOKUP(I2736,Materiales!$A:$G,7,0),"")</f>
        <v/>
      </c>
      <c r="L2736" s="8" t="inlineStr">
        <is>
          <t>20260302</t>
        </is>
      </c>
      <c r="M2736" s="8" t="inlineStr">
        <is>
          <t>99991231</t>
        </is>
      </c>
      <c r="N2736" s="10" t="n">
        <v>181.9</v>
      </c>
      <c r="O2736" s="10">
        <f>IFERROR(VLOOKUP(A2736,Flete!$A:$J,10,0),"")</f>
        <v/>
      </c>
      <c r="P2736" s="8" t="inlineStr">
        <is>
          <t>TN</t>
        </is>
      </c>
      <c r="Q2736" s="10">
        <f>IFERROR(IFERROR(VLOOKUP(A2736,TRAOPE!$A:$U,21,0),VLOOKUP(B2736,TRAOPE!$A:$U,21,0)),"")</f>
        <v/>
      </c>
      <c r="R2736" s="8">
        <f>IFERROR(IFERROR(VLOOKUP(A2736,TRAOPE!$A:$W,23,0),VLOOKUP(B2736,TRAOPE!$A:$W,23,0)),"")</f>
        <v/>
      </c>
      <c r="S2736" s="10">
        <f>IF(AND(P2736="TN",R2736="TN"),N2736+N(O2736),IF(G2736&amp;""="1",N(K2736)*N2736,(N2736+N(O2736))*N(K2736)))</f>
        <v/>
      </c>
      <c r="T2736" s="10">
        <f>IF(Q2736="","",Q2736-S2736)</f>
        <v/>
      </c>
    </row>
    <row r="2737">
      <c r="A2737" s="7">
        <f>CONCATENATE(C2737,E2737,F2737,I2737)</f>
        <v/>
      </c>
      <c r="B2737" s="7">
        <f>CONCATENATE(C2737,E2737,I2737)</f>
        <v/>
      </c>
      <c r="C2737" s="8" t="n">
        <v>900009140</v>
      </c>
      <c r="D2737" s="7">
        <f>IFERROR(VLOOKUP(C2737,TRAOPE!$G:$H,2,0),"")</f>
        <v/>
      </c>
      <c r="E2737" s="8" t="inlineStr">
        <is>
          <t>D836</t>
        </is>
      </c>
      <c r="F2737" s="8" t="inlineStr">
        <is>
          <t>67330638</t>
        </is>
      </c>
      <c r="G2737" s="8">
        <f>IFERROR(VLOOKUP(A2737,Flete!$A:$E,5,0),"")</f>
        <v/>
      </c>
      <c r="H2737" s="7">
        <f>IFERROR(VLOOKUP(F2737,TRAOPE!$AA:$AB,2,0),"")</f>
        <v/>
      </c>
      <c r="I2737" s="7" t="n">
        <v>10000630</v>
      </c>
      <c r="J2737" s="7">
        <f>IFERROR(VLOOKUP(I2737,Materiales!$A:$H,8,0),"")</f>
        <v/>
      </c>
      <c r="K2737" s="9">
        <f>IFERROR(VLOOKUP(I2737,Materiales!$A:$G,7,0),"")</f>
        <v/>
      </c>
      <c r="L2737" s="8" t="inlineStr">
        <is>
          <t>20260302</t>
        </is>
      </c>
      <c r="M2737" s="8" t="inlineStr">
        <is>
          <t>99991231</t>
        </is>
      </c>
      <c r="N2737" s="10" t="n">
        <v>181.9</v>
      </c>
      <c r="O2737" s="10">
        <f>IFERROR(VLOOKUP(A2737,Flete!$A:$J,10,0),"")</f>
        <v/>
      </c>
      <c r="P2737" s="8" t="inlineStr">
        <is>
          <t>TN</t>
        </is>
      </c>
      <c r="Q2737" s="10">
        <f>IFERROR(IFERROR(VLOOKUP(A2737,TRAOPE!$A:$U,21,0),VLOOKUP(B2737,TRAOPE!$A:$U,21,0)),"")</f>
        <v/>
      </c>
      <c r="R2737" s="8">
        <f>IFERROR(IFERROR(VLOOKUP(A2737,TRAOPE!$A:$W,23,0),VLOOKUP(B2737,TRAOPE!$A:$W,23,0)),"")</f>
        <v/>
      </c>
      <c r="S2737" s="10">
        <f>IF(AND(P2737="TN",R2737="TN"),N2737+N(O2737),IF(G2737&amp;""="1",N(K2737)*N2737,(N2737+N(O2737))*N(K2737)))</f>
        <v/>
      </c>
      <c r="T2737" s="10">
        <f>IF(Q2737="","",Q2737-S2737)</f>
        <v/>
      </c>
    </row>
    <row r="2738">
      <c r="A2738" s="7">
        <f>CONCATENATE(C2738,E2738,F2738,I2738)</f>
        <v/>
      </c>
      <c r="B2738" s="7">
        <f>CONCATENATE(C2738,E2738,I2738)</f>
        <v/>
      </c>
      <c r="C2738" s="8" t="n">
        <v>900009140</v>
      </c>
      <c r="D2738" s="7">
        <f>IFERROR(VLOOKUP(C2738,TRAOPE!$G:$H,2,0),"")</f>
        <v/>
      </c>
      <c r="E2738" s="8" t="inlineStr">
        <is>
          <t>D836</t>
        </is>
      </c>
      <c r="F2738" s="8" t="inlineStr">
        <is>
          <t>67330638</t>
        </is>
      </c>
      <c r="G2738" s="8">
        <f>IFERROR(VLOOKUP(A2738,Flete!$A:$E,5,0),"")</f>
        <v/>
      </c>
      <c r="H2738" s="7">
        <f>IFERROR(VLOOKUP(F2738,TRAOPE!$AA:$AB,2,0),"")</f>
        <v/>
      </c>
      <c r="I2738" s="7" t="n">
        <v>10001074</v>
      </c>
      <c r="J2738" s="7">
        <f>IFERROR(VLOOKUP(I2738,Materiales!$A:$H,8,0),"")</f>
        <v/>
      </c>
      <c r="K2738" s="9">
        <f>IFERROR(VLOOKUP(I2738,Materiales!$A:$G,7,0),"")</f>
        <v/>
      </c>
      <c r="L2738" s="8" t="inlineStr">
        <is>
          <t>20260302</t>
        </is>
      </c>
      <c r="M2738" s="8" t="inlineStr">
        <is>
          <t>99991231</t>
        </is>
      </c>
      <c r="N2738" s="10" t="n">
        <v>171.2</v>
      </c>
      <c r="O2738" s="10">
        <f>IFERROR(VLOOKUP(A2738,Flete!$A:$J,10,0),"")</f>
        <v/>
      </c>
      <c r="P2738" s="8" t="inlineStr">
        <is>
          <t>TN</t>
        </is>
      </c>
      <c r="Q2738" s="10">
        <f>IFERROR(IFERROR(VLOOKUP(A2738,TRAOPE!$A:$U,21,0),VLOOKUP(B2738,TRAOPE!$A:$U,21,0)),"")</f>
        <v/>
      </c>
      <c r="R2738" s="8">
        <f>IFERROR(IFERROR(VLOOKUP(A2738,TRAOPE!$A:$W,23,0),VLOOKUP(B2738,TRAOPE!$A:$W,23,0)),"")</f>
        <v/>
      </c>
      <c r="S2738" s="10">
        <f>IF(AND(P2738="TN",R2738="TN"),N2738+N(O2738),IF(G2738&amp;""="1",N(K2738)*N2738,(N2738+N(O2738))*N(K2738)))</f>
        <v/>
      </c>
      <c r="T2738" s="10">
        <f>IF(Q2738="","",Q2738-S2738)</f>
        <v/>
      </c>
    </row>
    <row r="2739">
      <c r="A2739" s="7">
        <f>CONCATENATE(C2739,E2739,F2739,I2739)</f>
        <v/>
      </c>
      <c r="B2739" s="7">
        <f>CONCATENATE(C2739,E2739,I2739)</f>
        <v/>
      </c>
      <c r="C2739" s="8" t="n">
        <v>900009140</v>
      </c>
      <c r="D2739" s="7">
        <f>IFERROR(VLOOKUP(C2739,TRAOPE!$G:$H,2,0),"")</f>
        <v/>
      </c>
      <c r="E2739" s="8" t="inlineStr">
        <is>
          <t>D836</t>
        </is>
      </c>
      <c r="F2739" s="8" t="inlineStr">
        <is>
          <t>67330638</t>
        </is>
      </c>
      <c r="G2739" s="8">
        <f>IFERROR(VLOOKUP(A2739,Flete!$A:$E,5,0),"")</f>
        <v/>
      </c>
      <c r="H2739" s="7">
        <f>IFERROR(VLOOKUP(F2739,TRAOPE!$AA:$AB,2,0),"")</f>
        <v/>
      </c>
      <c r="I2739" s="7" t="n">
        <v>10184011</v>
      </c>
      <c r="J2739" s="7">
        <f>IFERROR(VLOOKUP(I2739,Materiales!$A:$H,8,0),"")</f>
        <v/>
      </c>
      <c r="K2739" s="9">
        <f>IFERROR(VLOOKUP(I2739,Materiales!$A:$G,7,0),"")</f>
        <v/>
      </c>
      <c r="L2739" s="8" t="inlineStr">
        <is>
          <t>20260302</t>
        </is>
      </c>
      <c r="M2739" s="8" t="inlineStr">
        <is>
          <t>99991231</t>
        </is>
      </c>
      <c r="N2739" s="10" t="n">
        <v>171.2</v>
      </c>
      <c r="O2739" s="10">
        <f>IFERROR(VLOOKUP(A2739,Flete!$A:$J,10,0),"")</f>
        <v/>
      </c>
      <c r="P2739" s="8" t="inlineStr">
        <is>
          <t>TN</t>
        </is>
      </c>
      <c r="Q2739" s="10">
        <f>IFERROR(IFERROR(VLOOKUP(A2739,TRAOPE!$A:$U,21,0),VLOOKUP(B2739,TRAOPE!$A:$U,21,0)),"")</f>
        <v/>
      </c>
      <c r="R2739" s="8">
        <f>IFERROR(IFERROR(VLOOKUP(A2739,TRAOPE!$A:$W,23,0),VLOOKUP(B2739,TRAOPE!$A:$W,23,0)),"")</f>
        <v/>
      </c>
      <c r="S2739" s="10">
        <f>IF(AND(P2739="TN",R2739="TN"),N2739+N(O2739),IF(G2739&amp;""="1",N(K2739)*N2739,(N2739+N(O2739))*N(K2739)))</f>
        <v/>
      </c>
      <c r="T2739" s="10">
        <f>IF(Q2739="","",Q2739-S2739)</f>
        <v/>
      </c>
    </row>
    <row r="2740">
      <c r="A2740" s="7">
        <f>CONCATENATE(C2740,E2740,F2740,I2740)</f>
        <v/>
      </c>
      <c r="B2740" s="7">
        <f>CONCATENATE(C2740,E2740,I2740)</f>
        <v/>
      </c>
      <c r="C2740" s="8" t="n">
        <v>900009140</v>
      </c>
      <c r="D2740" s="7">
        <f>IFERROR(VLOOKUP(C2740,TRAOPE!$G:$H,2,0),"")</f>
        <v/>
      </c>
      <c r="E2740" s="8" t="inlineStr">
        <is>
          <t>D836</t>
        </is>
      </c>
      <c r="F2740" s="8" t="inlineStr">
        <is>
          <t>67330638</t>
        </is>
      </c>
      <c r="G2740" s="8">
        <f>IFERROR(VLOOKUP(A2740,Flete!$A:$E,5,0),"")</f>
        <v/>
      </c>
      <c r="H2740" s="7">
        <f>IFERROR(VLOOKUP(F2740,TRAOPE!$AA:$AB,2,0),"")</f>
        <v/>
      </c>
      <c r="I2740" s="7" t="n">
        <v>10221480</v>
      </c>
      <c r="J2740" s="7">
        <f>IFERROR(VLOOKUP(I2740,Materiales!$A:$H,8,0),"")</f>
        <v/>
      </c>
      <c r="K2740" s="9">
        <f>IFERROR(VLOOKUP(I2740,Materiales!$A:$G,7,0),"")</f>
        <v/>
      </c>
      <c r="L2740" s="8" t="inlineStr">
        <is>
          <t>20260302</t>
        </is>
      </c>
      <c r="M2740" s="8" t="inlineStr">
        <is>
          <t>99991231</t>
        </is>
      </c>
      <c r="N2740" s="10" t="n">
        <v>236.52</v>
      </c>
      <c r="O2740" s="10">
        <f>IFERROR(VLOOKUP(A2740,Flete!$A:$J,10,0),"")</f>
        <v/>
      </c>
      <c r="P2740" s="8" t="inlineStr">
        <is>
          <t>M3</t>
        </is>
      </c>
      <c r="Q2740" s="10">
        <f>IFERROR(IFERROR(VLOOKUP(A2740,TRAOPE!$A:$U,21,0),VLOOKUP(B2740,TRAOPE!$A:$U,21,0)),"")</f>
        <v/>
      </c>
      <c r="R2740" s="8">
        <f>IFERROR(IFERROR(VLOOKUP(A2740,TRAOPE!$A:$W,23,0),VLOOKUP(B2740,TRAOPE!$A:$W,23,0)),"")</f>
        <v/>
      </c>
      <c r="S2740" s="10">
        <f>IF(AND(P2740="TN",R2740="TN"),N2740+N(O2740),IF(G2740&amp;""="1",N(K2740)*N2740,(N2740+N(O2740))*N(K2740)))</f>
        <v/>
      </c>
      <c r="T2740" s="10">
        <f>IF(Q2740="","",Q2740-S2740)</f>
        <v/>
      </c>
    </row>
    <row r="2741">
      <c r="A2741" s="7">
        <f>CONCATENATE(C2741,E2741,F2741,I2741)</f>
        <v/>
      </c>
      <c r="B2741" s="7">
        <f>CONCATENATE(C2741,E2741,I2741)</f>
        <v/>
      </c>
      <c r="C2741" s="8" t="n">
        <v>900009460</v>
      </c>
      <c r="D2741" s="7">
        <f>IFERROR(VLOOKUP(C2741,TRAOPE!$G:$H,2,0),"")</f>
        <v/>
      </c>
      <c r="E2741" s="8" t="inlineStr">
        <is>
          <t>D836</t>
        </is>
      </c>
      <c r="F2741" s="8" t="inlineStr">
        <is>
          <t>65006122</t>
        </is>
      </c>
      <c r="G2741" s="8">
        <f>IFERROR(VLOOKUP(A2741,Flete!$A:$E,5,0),"")</f>
        <v/>
      </c>
      <c r="H2741" s="7">
        <f>IFERROR(VLOOKUP(F2741,TRAOPE!$AA:$AB,2,0),"")</f>
        <v/>
      </c>
      <c r="I2741" s="7" t="n">
        <v>10264162</v>
      </c>
      <c r="J2741" s="7">
        <f>IFERROR(VLOOKUP(I2741,Materiales!$A:$H,8,0),"")</f>
        <v/>
      </c>
      <c r="K2741" s="9">
        <f>IFERROR(VLOOKUP(I2741,Materiales!$A:$G,7,0),"")</f>
        <v/>
      </c>
      <c r="L2741" s="8" t="inlineStr">
        <is>
          <t>20260522</t>
        </is>
      </c>
      <c r="M2741" s="8" t="inlineStr">
        <is>
          <t>99991231</t>
        </is>
      </c>
      <c r="N2741" s="10" t="n">
        <v>138</v>
      </c>
      <c r="O2741" s="10">
        <f>IFERROR(VLOOKUP(A2741,Flete!$A:$J,10,0),"")</f>
        <v/>
      </c>
      <c r="P2741" s="8" t="inlineStr">
        <is>
          <t>M3</t>
        </is>
      </c>
      <c r="Q2741" s="10">
        <f>IFERROR(IFERROR(VLOOKUP(A2741,TRAOPE!$A:$U,21,0),VLOOKUP(B2741,TRAOPE!$A:$U,21,0)),"")</f>
        <v/>
      </c>
      <c r="R2741" s="8">
        <f>IFERROR(IFERROR(VLOOKUP(A2741,TRAOPE!$A:$W,23,0),VLOOKUP(B2741,TRAOPE!$A:$W,23,0)),"")</f>
        <v/>
      </c>
      <c r="S2741" s="10">
        <f>IF(AND(P2741="TN",R2741="TN"),N2741+N(O2741),IF(G2741&amp;""="1",N(K2741)*N2741,(N2741+N(O2741))*N(K2741)))</f>
        <v/>
      </c>
      <c r="T2741" s="10">
        <f>IF(Q2741="","",Q2741-S2741)</f>
        <v/>
      </c>
    </row>
    <row r="2742">
      <c r="A2742" s="7">
        <f>CONCATENATE(C2742,E2742,F2742,I2742)</f>
        <v/>
      </c>
      <c r="B2742" s="7">
        <f>CONCATENATE(C2742,E2742,I2742)</f>
        <v/>
      </c>
      <c r="C2742" s="8" t="n">
        <v>900009460</v>
      </c>
      <c r="D2742" s="7">
        <f>IFERROR(VLOOKUP(C2742,TRAOPE!$G:$H,2,0),"")</f>
        <v/>
      </c>
      <c r="E2742" s="8" t="inlineStr">
        <is>
          <t>D836</t>
        </is>
      </c>
      <c r="F2742" s="8" t="inlineStr">
        <is>
          <t>65006122</t>
        </is>
      </c>
      <c r="G2742" s="8">
        <f>IFERROR(VLOOKUP(A2742,Flete!$A:$E,5,0),"")</f>
        <v/>
      </c>
      <c r="H2742" s="7">
        <f>IFERROR(VLOOKUP(F2742,TRAOPE!$AA:$AB,2,0),"")</f>
        <v/>
      </c>
      <c r="I2742" s="7" t="n">
        <v>10274754</v>
      </c>
      <c r="J2742" s="7">
        <f>IFERROR(VLOOKUP(I2742,Materiales!$A:$H,8,0),"")</f>
        <v/>
      </c>
      <c r="K2742" s="9">
        <f>IFERROR(VLOOKUP(I2742,Materiales!$A:$G,7,0),"")</f>
        <v/>
      </c>
      <c r="L2742" s="8" t="inlineStr">
        <is>
          <t>20260325</t>
        </is>
      </c>
      <c r="M2742" s="8" t="inlineStr">
        <is>
          <t>99991231</t>
        </is>
      </c>
      <c r="N2742" s="10" t="n">
        <v>190</v>
      </c>
      <c r="O2742" s="10">
        <f>IFERROR(VLOOKUP(A2742,Flete!$A:$J,10,0),"")</f>
        <v/>
      </c>
      <c r="P2742" s="8" t="inlineStr">
        <is>
          <t>M3</t>
        </is>
      </c>
      <c r="Q2742" s="10">
        <f>IFERROR(IFERROR(VLOOKUP(A2742,TRAOPE!$A:$U,21,0),VLOOKUP(B2742,TRAOPE!$A:$U,21,0)),"")</f>
        <v/>
      </c>
      <c r="R2742" s="8">
        <f>IFERROR(IFERROR(VLOOKUP(A2742,TRAOPE!$A:$W,23,0),VLOOKUP(B2742,TRAOPE!$A:$W,23,0)),"")</f>
        <v/>
      </c>
      <c r="S2742" s="10">
        <f>IF(AND(P2742="TN",R2742="TN"),N2742+N(O2742),IF(G2742&amp;""="1",N(K2742)*N2742,(N2742+N(O2742))*N(K2742)))</f>
        <v/>
      </c>
      <c r="T2742" s="10">
        <f>IF(Q2742="","",Q2742-S2742)</f>
        <v/>
      </c>
    </row>
    <row r="2743">
      <c r="A2743" s="7">
        <f>CONCATENATE(C2743,E2743,F2743,I2743)</f>
        <v/>
      </c>
      <c r="B2743" s="7">
        <f>CONCATENATE(C2743,E2743,I2743)</f>
        <v/>
      </c>
      <c r="C2743" s="8" t="n">
        <v>900009460</v>
      </c>
      <c r="D2743" s="7">
        <f>IFERROR(VLOOKUP(C2743,TRAOPE!$G:$H,2,0),"")</f>
        <v/>
      </c>
      <c r="E2743" s="8" t="inlineStr">
        <is>
          <t>D836</t>
        </is>
      </c>
      <c r="F2743" s="8" t="inlineStr">
        <is>
          <t>65006122</t>
        </is>
      </c>
      <c r="G2743" s="8">
        <f>IFERROR(VLOOKUP(A2743,Flete!$A:$E,5,0),"")</f>
        <v/>
      </c>
      <c r="H2743" s="7">
        <f>IFERROR(VLOOKUP(F2743,TRAOPE!$AA:$AB,2,0),"")</f>
        <v/>
      </c>
      <c r="I2743" s="7" t="n">
        <v>10277346</v>
      </c>
      <c r="J2743" s="7">
        <f>IFERROR(VLOOKUP(I2743,Materiales!$A:$H,8,0),"")</f>
        <v/>
      </c>
      <c r="K2743" s="9">
        <f>IFERROR(VLOOKUP(I2743,Materiales!$A:$G,7,0),"")</f>
        <v/>
      </c>
      <c r="L2743" s="8" t="inlineStr">
        <is>
          <t>20260522</t>
        </is>
      </c>
      <c r="M2743" s="8" t="inlineStr">
        <is>
          <t>99991231</t>
        </is>
      </c>
      <c r="N2743" s="10" t="n">
        <v>120</v>
      </c>
      <c r="O2743" s="10">
        <f>IFERROR(VLOOKUP(A2743,Flete!$A:$J,10,0),"")</f>
        <v/>
      </c>
      <c r="P2743" s="8" t="inlineStr">
        <is>
          <t>M3</t>
        </is>
      </c>
      <c r="Q2743" s="10">
        <f>IFERROR(IFERROR(VLOOKUP(A2743,TRAOPE!$A:$U,21,0),VLOOKUP(B2743,TRAOPE!$A:$U,21,0)),"")</f>
        <v/>
      </c>
      <c r="R2743" s="8">
        <f>IFERROR(IFERROR(VLOOKUP(A2743,TRAOPE!$A:$W,23,0),VLOOKUP(B2743,TRAOPE!$A:$W,23,0)),"")</f>
        <v/>
      </c>
      <c r="S2743" s="10">
        <f>IF(AND(P2743="TN",R2743="TN"),N2743+N(O2743),IF(G2743&amp;""="1",N(K2743)*N2743,(N2743+N(O2743))*N(K2743)))</f>
        <v/>
      </c>
      <c r="T2743" s="10">
        <f>IF(Q2743="","",Q2743-S2743)</f>
        <v/>
      </c>
    </row>
    <row r="2744">
      <c r="A2744" s="7">
        <f>CONCATENATE(C2744,E2744,F2744,I2744)</f>
        <v/>
      </c>
      <c r="B2744" s="7">
        <f>CONCATENATE(C2744,E2744,I2744)</f>
        <v/>
      </c>
      <c r="C2744" s="8" t="n">
        <v>900009460</v>
      </c>
      <c r="D2744" s="7">
        <f>IFERROR(VLOOKUP(C2744,TRAOPE!$G:$H,2,0),"")</f>
        <v/>
      </c>
      <c r="E2744" s="8" t="inlineStr">
        <is>
          <t>D836</t>
        </is>
      </c>
      <c r="F2744" s="8" t="inlineStr">
        <is>
          <t>65014664</t>
        </is>
      </c>
      <c r="G2744" s="8">
        <f>IFERROR(VLOOKUP(A2744,Flete!$A:$E,5,0),"")</f>
        <v/>
      </c>
      <c r="H2744" s="7">
        <f>IFERROR(VLOOKUP(F2744,TRAOPE!$AA:$AB,2,0),"")</f>
        <v/>
      </c>
      <c r="I2744" s="7" t="n">
        <v>10264162</v>
      </c>
      <c r="J2744" s="7">
        <f>IFERROR(VLOOKUP(I2744,Materiales!$A:$H,8,0),"")</f>
        <v/>
      </c>
      <c r="K2744" s="9">
        <f>IFERROR(VLOOKUP(I2744,Materiales!$A:$G,7,0),"")</f>
        <v/>
      </c>
      <c r="L2744" s="8" t="inlineStr">
        <is>
          <t>20260511</t>
        </is>
      </c>
      <c r="M2744" s="8" t="inlineStr">
        <is>
          <t>99991231</t>
        </is>
      </c>
      <c r="N2744" s="10" t="n">
        <v>150</v>
      </c>
      <c r="O2744" s="10">
        <f>IFERROR(VLOOKUP(A2744,Flete!$A:$J,10,0),"")</f>
        <v/>
      </c>
      <c r="P2744" s="8" t="inlineStr">
        <is>
          <t>M3</t>
        </is>
      </c>
      <c r="Q2744" s="10">
        <f>IFERROR(IFERROR(VLOOKUP(A2744,TRAOPE!$A:$U,21,0),VLOOKUP(B2744,TRAOPE!$A:$U,21,0)),"")</f>
        <v/>
      </c>
      <c r="R2744" s="8">
        <f>IFERROR(IFERROR(VLOOKUP(A2744,TRAOPE!$A:$W,23,0),VLOOKUP(B2744,TRAOPE!$A:$W,23,0)),"")</f>
        <v/>
      </c>
      <c r="S2744" s="10">
        <f>IF(AND(P2744="TN",R2744="TN"),N2744+N(O2744),IF(G2744&amp;""="1",N(K2744)*N2744,(N2744+N(O2744))*N(K2744)))</f>
        <v/>
      </c>
      <c r="T2744" s="10">
        <f>IF(Q2744="","",Q2744-S2744)</f>
        <v/>
      </c>
    </row>
    <row r="2745">
      <c r="A2745" s="7">
        <f>CONCATENATE(C2745,E2745,F2745,I2745)</f>
        <v/>
      </c>
      <c r="B2745" s="7">
        <f>CONCATENATE(C2745,E2745,I2745)</f>
        <v/>
      </c>
      <c r="C2745" s="8" t="n">
        <v>900009460</v>
      </c>
      <c r="D2745" s="7">
        <f>IFERROR(VLOOKUP(C2745,TRAOPE!$G:$H,2,0),"")</f>
        <v/>
      </c>
      <c r="E2745" s="8" t="inlineStr">
        <is>
          <t>D836</t>
        </is>
      </c>
      <c r="F2745" s="8" t="inlineStr">
        <is>
          <t>65087219</t>
        </is>
      </c>
      <c r="G2745" s="8">
        <f>IFERROR(VLOOKUP(A2745,Flete!$A:$E,5,0),"")</f>
        <v/>
      </c>
      <c r="H2745" s="7">
        <f>IFERROR(VLOOKUP(F2745,TRAOPE!$AA:$AB,2,0),"")</f>
        <v/>
      </c>
      <c r="I2745" s="7" t="n">
        <v>10264162</v>
      </c>
      <c r="J2745" s="7">
        <f>IFERROR(VLOOKUP(I2745,Materiales!$A:$H,8,0),"")</f>
        <v/>
      </c>
      <c r="K2745" s="9">
        <f>IFERROR(VLOOKUP(I2745,Materiales!$A:$G,7,0),"")</f>
        <v/>
      </c>
      <c r="L2745" s="8" t="inlineStr">
        <is>
          <t>20260325</t>
        </is>
      </c>
      <c r="M2745" s="8" t="inlineStr">
        <is>
          <t>99991231</t>
        </is>
      </c>
      <c r="N2745" s="10" t="n">
        <v>150</v>
      </c>
      <c r="O2745" s="10">
        <f>IFERROR(VLOOKUP(A2745,Flete!$A:$J,10,0),"")</f>
        <v/>
      </c>
      <c r="P2745" s="8" t="inlineStr">
        <is>
          <t>M3</t>
        </is>
      </c>
      <c r="Q2745" s="10">
        <f>IFERROR(IFERROR(VLOOKUP(A2745,TRAOPE!$A:$U,21,0),VLOOKUP(B2745,TRAOPE!$A:$U,21,0)),"")</f>
        <v/>
      </c>
      <c r="R2745" s="8">
        <f>IFERROR(IFERROR(VLOOKUP(A2745,TRAOPE!$A:$W,23,0),VLOOKUP(B2745,TRAOPE!$A:$W,23,0)),"")</f>
        <v/>
      </c>
      <c r="S2745" s="10">
        <f>IF(AND(P2745="TN",R2745="TN"),N2745+N(O2745),IF(G2745&amp;""="1",N(K2745)*N2745,(N2745+N(O2745))*N(K2745)))</f>
        <v/>
      </c>
      <c r="T2745" s="10">
        <f>IF(Q2745="","",Q2745-S2745)</f>
        <v/>
      </c>
    </row>
    <row r="2746">
      <c r="A2746" s="7">
        <f>CONCATENATE(C2746,E2746,F2746,I2746)</f>
        <v/>
      </c>
      <c r="B2746" s="7">
        <f>CONCATENATE(C2746,E2746,I2746)</f>
        <v/>
      </c>
      <c r="C2746" s="8" t="n">
        <v>900009460</v>
      </c>
      <c r="D2746" s="7">
        <f>IFERROR(VLOOKUP(C2746,TRAOPE!$G:$H,2,0),"")</f>
        <v/>
      </c>
      <c r="E2746" s="8" t="inlineStr">
        <is>
          <t>D836</t>
        </is>
      </c>
      <c r="F2746" s="8" t="inlineStr">
        <is>
          <t>65087219</t>
        </is>
      </c>
      <c r="G2746" s="8">
        <f>IFERROR(VLOOKUP(A2746,Flete!$A:$E,5,0),"")</f>
        <v/>
      </c>
      <c r="H2746" s="7">
        <f>IFERROR(VLOOKUP(F2746,TRAOPE!$AA:$AB,2,0),"")</f>
        <v/>
      </c>
      <c r="I2746" s="7" t="n">
        <v>10274754</v>
      </c>
      <c r="J2746" s="7">
        <f>IFERROR(VLOOKUP(I2746,Materiales!$A:$H,8,0),"")</f>
        <v/>
      </c>
      <c r="K2746" s="9">
        <f>IFERROR(VLOOKUP(I2746,Materiales!$A:$G,7,0),"")</f>
        <v/>
      </c>
      <c r="L2746" s="8" t="inlineStr">
        <is>
          <t>20260325</t>
        </is>
      </c>
      <c r="M2746" s="8" t="inlineStr">
        <is>
          <t>99991231</t>
        </is>
      </c>
      <c r="N2746" s="10" t="n">
        <v>190</v>
      </c>
      <c r="O2746" s="10">
        <f>IFERROR(VLOOKUP(A2746,Flete!$A:$J,10,0),"")</f>
        <v/>
      </c>
      <c r="P2746" s="8" t="inlineStr">
        <is>
          <t>M3</t>
        </is>
      </c>
      <c r="Q2746" s="10">
        <f>IFERROR(IFERROR(VLOOKUP(A2746,TRAOPE!$A:$U,21,0),VLOOKUP(B2746,TRAOPE!$A:$U,21,0)),"")</f>
        <v/>
      </c>
      <c r="R2746" s="8">
        <f>IFERROR(IFERROR(VLOOKUP(A2746,TRAOPE!$A:$W,23,0),VLOOKUP(B2746,TRAOPE!$A:$W,23,0)),"")</f>
        <v/>
      </c>
      <c r="S2746" s="10">
        <f>IF(AND(P2746="TN",R2746="TN"),N2746+N(O2746),IF(G2746&amp;""="1",N(K2746)*N2746,(N2746+N(O2746))*N(K2746)))</f>
        <v/>
      </c>
      <c r="T2746" s="10">
        <f>IF(Q2746="","",Q2746-S2746)</f>
        <v/>
      </c>
    </row>
    <row r="2747">
      <c r="A2747" s="7">
        <f>CONCATENATE(C2747,E2747,F2747,I2747)</f>
        <v/>
      </c>
      <c r="B2747" s="7">
        <f>CONCATENATE(C2747,E2747,I2747)</f>
        <v/>
      </c>
      <c r="C2747" s="8" t="n">
        <v>900009460</v>
      </c>
      <c r="D2747" s="7">
        <f>IFERROR(VLOOKUP(C2747,TRAOPE!$G:$H,2,0),"")</f>
        <v/>
      </c>
      <c r="E2747" s="8" t="inlineStr">
        <is>
          <t>D836</t>
        </is>
      </c>
      <c r="F2747" s="8" t="inlineStr">
        <is>
          <t>65440384</t>
        </is>
      </c>
      <c r="G2747" s="8">
        <f>IFERROR(VLOOKUP(A2747,Flete!$A:$E,5,0),"")</f>
        <v/>
      </c>
      <c r="H2747" s="7">
        <f>IFERROR(VLOOKUP(F2747,TRAOPE!$AA:$AB,2,0),"")</f>
        <v/>
      </c>
      <c r="I2747" s="7" t="n">
        <v>10264162</v>
      </c>
      <c r="J2747" s="7">
        <f>IFERROR(VLOOKUP(I2747,Materiales!$A:$H,8,0),"")</f>
        <v/>
      </c>
      <c r="K2747" s="9">
        <f>IFERROR(VLOOKUP(I2747,Materiales!$A:$G,7,0),"")</f>
        <v/>
      </c>
      <c r="L2747" s="8" t="inlineStr">
        <is>
          <t>20260604</t>
        </is>
      </c>
      <c r="M2747" s="8" t="inlineStr">
        <is>
          <t>99991231</t>
        </is>
      </c>
      <c r="N2747" s="10" t="n">
        <v>134</v>
      </c>
      <c r="O2747" s="10">
        <f>IFERROR(VLOOKUP(A2747,Flete!$A:$J,10,0),"")</f>
        <v/>
      </c>
      <c r="P2747" s="8" t="inlineStr">
        <is>
          <t>M3</t>
        </is>
      </c>
      <c r="Q2747" s="10">
        <f>IFERROR(IFERROR(VLOOKUP(A2747,TRAOPE!$A:$U,21,0),VLOOKUP(B2747,TRAOPE!$A:$U,21,0)),"")</f>
        <v/>
      </c>
      <c r="R2747" s="8">
        <f>IFERROR(IFERROR(VLOOKUP(A2747,TRAOPE!$A:$W,23,0),VLOOKUP(B2747,TRAOPE!$A:$W,23,0)),"")</f>
        <v/>
      </c>
      <c r="S2747" s="10">
        <f>IF(AND(P2747="TN",R2747="TN"),N2747+N(O2747),IF(G2747&amp;""="1",N(K2747)*N2747,(N2747+N(O2747))*N(K2747)))</f>
        <v/>
      </c>
      <c r="T2747" s="10">
        <f>IF(Q2747="","",Q2747-S2747)</f>
        <v/>
      </c>
    </row>
    <row r="2748">
      <c r="A2748" s="7">
        <f>CONCATENATE(C2748,E2748,F2748,I2748)</f>
        <v/>
      </c>
      <c r="B2748" s="7">
        <f>CONCATENATE(C2748,E2748,I2748)</f>
        <v/>
      </c>
      <c r="C2748" s="8" t="n">
        <v>900009460</v>
      </c>
      <c r="D2748" s="7">
        <f>IFERROR(VLOOKUP(C2748,TRAOPE!$G:$H,2,0),"")</f>
        <v/>
      </c>
      <c r="E2748" s="8" t="inlineStr">
        <is>
          <t>D836</t>
        </is>
      </c>
      <c r="F2748" s="8" t="inlineStr">
        <is>
          <t>65440384</t>
        </is>
      </c>
      <c r="G2748" s="8">
        <f>IFERROR(VLOOKUP(A2748,Flete!$A:$E,5,0),"")</f>
        <v/>
      </c>
      <c r="H2748" s="7">
        <f>IFERROR(VLOOKUP(F2748,TRAOPE!$AA:$AB,2,0),"")</f>
        <v/>
      </c>
      <c r="I2748" s="7" t="n">
        <v>10274754</v>
      </c>
      <c r="J2748" s="7">
        <f>IFERROR(VLOOKUP(I2748,Materiales!$A:$H,8,0),"")</f>
        <v/>
      </c>
      <c r="K2748" s="9">
        <f>IFERROR(VLOOKUP(I2748,Materiales!$A:$G,7,0),"")</f>
        <v/>
      </c>
      <c r="L2748" s="8" t="inlineStr">
        <is>
          <t>20260325</t>
        </is>
      </c>
      <c r="M2748" s="8" t="inlineStr">
        <is>
          <t>99991231</t>
        </is>
      </c>
      <c r="N2748" s="10" t="n">
        <v>190</v>
      </c>
      <c r="O2748" s="10">
        <f>IFERROR(VLOOKUP(A2748,Flete!$A:$J,10,0),"")</f>
        <v/>
      </c>
      <c r="P2748" s="8" t="inlineStr">
        <is>
          <t>M3</t>
        </is>
      </c>
      <c r="Q2748" s="10">
        <f>IFERROR(IFERROR(VLOOKUP(A2748,TRAOPE!$A:$U,21,0),VLOOKUP(B2748,TRAOPE!$A:$U,21,0)),"")</f>
        <v/>
      </c>
      <c r="R2748" s="8">
        <f>IFERROR(IFERROR(VLOOKUP(A2748,TRAOPE!$A:$W,23,0),VLOOKUP(B2748,TRAOPE!$A:$W,23,0)),"")</f>
        <v/>
      </c>
      <c r="S2748" s="10">
        <f>IF(AND(P2748="TN",R2748="TN"),N2748+N(O2748),IF(G2748&amp;""="1",N(K2748)*N2748,(N2748+N(O2748))*N(K2748)))</f>
        <v/>
      </c>
      <c r="T2748" s="10">
        <f>IF(Q2748="","",Q2748-S2748)</f>
        <v/>
      </c>
    </row>
    <row r="2749">
      <c r="A2749" s="7">
        <f>CONCATENATE(C2749,E2749,F2749,I2749)</f>
        <v/>
      </c>
      <c r="B2749" s="7">
        <f>CONCATENATE(C2749,E2749,I2749)</f>
        <v/>
      </c>
      <c r="C2749" s="8" t="n">
        <v>900009460</v>
      </c>
      <c r="D2749" s="7">
        <f>IFERROR(VLOOKUP(C2749,TRAOPE!$G:$H,2,0),"")</f>
        <v/>
      </c>
      <c r="E2749" s="8" t="inlineStr">
        <is>
          <t>D836</t>
        </is>
      </c>
      <c r="F2749" s="8" t="inlineStr">
        <is>
          <t>65440384</t>
        </is>
      </c>
      <c r="G2749" s="8">
        <f>IFERROR(VLOOKUP(A2749,Flete!$A:$E,5,0),"")</f>
        <v/>
      </c>
      <c r="H2749" s="7">
        <f>IFERROR(VLOOKUP(F2749,TRAOPE!$AA:$AB,2,0),"")</f>
        <v/>
      </c>
      <c r="I2749" s="7" t="n">
        <v>10277346</v>
      </c>
      <c r="J2749" s="7">
        <f>IFERROR(VLOOKUP(I2749,Materiales!$A:$H,8,0),"")</f>
        <v/>
      </c>
      <c r="K2749" s="9">
        <f>IFERROR(VLOOKUP(I2749,Materiales!$A:$G,7,0),"")</f>
        <v/>
      </c>
      <c r="L2749" s="8" t="inlineStr">
        <is>
          <t>20260528</t>
        </is>
      </c>
      <c r="M2749" s="8" t="inlineStr">
        <is>
          <t>99991231</t>
        </is>
      </c>
      <c r="N2749" s="10" t="n">
        <v>100</v>
      </c>
      <c r="O2749" s="10">
        <f>IFERROR(VLOOKUP(A2749,Flete!$A:$J,10,0),"")</f>
        <v/>
      </c>
      <c r="P2749" s="8" t="inlineStr">
        <is>
          <t>M3</t>
        </is>
      </c>
      <c r="Q2749" s="10">
        <f>IFERROR(IFERROR(VLOOKUP(A2749,TRAOPE!$A:$U,21,0),VLOOKUP(B2749,TRAOPE!$A:$U,21,0)),"")</f>
        <v/>
      </c>
      <c r="R2749" s="8">
        <f>IFERROR(IFERROR(VLOOKUP(A2749,TRAOPE!$A:$W,23,0),VLOOKUP(B2749,TRAOPE!$A:$W,23,0)),"")</f>
        <v/>
      </c>
      <c r="S2749" s="10">
        <f>IF(AND(P2749="TN",R2749="TN"),N2749+N(O2749),IF(G2749&amp;""="1",N(K2749)*N2749,(N2749+N(O2749))*N(K2749)))</f>
        <v/>
      </c>
      <c r="T2749" s="10">
        <f>IF(Q2749="","",Q2749-S2749)</f>
        <v/>
      </c>
    </row>
    <row r="2750">
      <c r="A2750" s="7">
        <f>CONCATENATE(C2750,E2750,F2750,I2750)</f>
        <v/>
      </c>
      <c r="B2750" s="7">
        <f>CONCATENATE(C2750,E2750,I2750)</f>
        <v/>
      </c>
      <c r="C2750" s="8" t="n">
        <v>900009460</v>
      </c>
      <c r="D2750" s="7">
        <f>IFERROR(VLOOKUP(C2750,TRAOPE!$G:$H,2,0),"")</f>
        <v/>
      </c>
      <c r="E2750" s="8" t="inlineStr">
        <is>
          <t>D836</t>
        </is>
      </c>
      <c r="F2750" s="8" t="inlineStr">
        <is>
          <t>65911289</t>
        </is>
      </c>
      <c r="G2750" s="8">
        <f>IFERROR(VLOOKUP(A2750,Flete!$A:$E,5,0),"")</f>
        <v/>
      </c>
      <c r="H2750" s="7">
        <f>IFERROR(VLOOKUP(F2750,TRAOPE!$AA:$AB,2,0),"")</f>
        <v/>
      </c>
      <c r="I2750" s="7" t="n">
        <v>10264162</v>
      </c>
      <c r="J2750" s="7">
        <f>IFERROR(VLOOKUP(I2750,Materiales!$A:$H,8,0),"")</f>
        <v/>
      </c>
      <c r="K2750" s="9">
        <f>IFERROR(VLOOKUP(I2750,Materiales!$A:$G,7,0),"")</f>
        <v/>
      </c>
      <c r="L2750" s="8" t="inlineStr">
        <is>
          <t>20260325</t>
        </is>
      </c>
      <c r="M2750" s="8" t="inlineStr">
        <is>
          <t>99991231</t>
        </is>
      </c>
      <c r="N2750" s="10" t="n">
        <v>150</v>
      </c>
      <c r="O2750" s="10">
        <f>IFERROR(VLOOKUP(A2750,Flete!$A:$J,10,0),"")</f>
        <v/>
      </c>
      <c r="P2750" s="8" t="inlineStr">
        <is>
          <t>M3</t>
        </is>
      </c>
      <c r="Q2750" s="10">
        <f>IFERROR(IFERROR(VLOOKUP(A2750,TRAOPE!$A:$U,21,0),VLOOKUP(B2750,TRAOPE!$A:$U,21,0)),"")</f>
        <v/>
      </c>
      <c r="R2750" s="8">
        <f>IFERROR(IFERROR(VLOOKUP(A2750,TRAOPE!$A:$W,23,0),VLOOKUP(B2750,TRAOPE!$A:$W,23,0)),"")</f>
        <v/>
      </c>
      <c r="S2750" s="10">
        <f>IF(AND(P2750="TN",R2750="TN"),N2750+N(O2750),IF(G2750&amp;""="1",N(K2750)*N2750,(N2750+N(O2750))*N(K2750)))</f>
        <v/>
      </c>
      <c r="T2750" s="10">
        <f>IF(Q2750="","",Q2750-S2750)</f>
        <v/>
      </c>
    </row>
    <row r="2751">
      <c r="A2751" s="7">
        <f>CONCATENATE(C2751,E2751,F2751,I2751)</f>
        <v/>
      </c>
      <c r="B2751" s="7">
        <f>CONCATENATE(C2751,E2751,I2751)</f>
        <v/>
      </c>
      <c r="C2751" s="8" t="n">
        <v>900009460</v>
      </c>
      <c r="D2751" s="7">
        <f>IFERROR(VLOOKUP(C2751,TRAOPE!$G:$H,2,0),"")</f>
        <v/>
      </c>
      <c r="E2751" s="8" t="inlineStr">
        <is>
          <t>D836</t>
        </is>
      </c>
      <c r="F2751" s="8" t="inlineStr">
        <is>
          <t>65911289</t>
        </is>
      </c>
      <c r="G2751" s="8">
        <f>IFERROR(VLOOKUP(A2751,Flete!$A:$E,5,0),"")</f>
        <v/>
      </c>
      <c r="H2751" s="7">
        <f>IFERROR(VLOOKUP(F2751,TRAOPE!$AA:$AB,2,0),"")</f>
        <v/>
      </c>
      <c r="I2751" s="7" t="n">
        <v>10274754</v>
      </c>
      <c r="J2751" s="7">
        <f>IFERROR(VLOOKUP(I2751,Materiales!$A:$H,8,0),"")</f>
        <v/>
      </c>
      <c r="K2751" s="9">
        <f>IFERROR(VLOOKUP(I2751,Materiales!$A:$G,7,0),"")</f>
        <v/>
      </c>
      <c r="L2751" s="8" t="inlineStr">
        <is>
          <t>20260325</t>
        </is>
      </c>
      <c r="M2751" s="8" t="inlineStr">
        <is>
          <t>99991231</t>
        </is>
      </c>
      <c r="N2751" s="10" t="n">
        <v>190</v>
      </c>
      <c r="O2751" s="10">
        <f>IFERROR(VLOOKUP(A2751,Flete!$A:$J,10,0),"")</f>
        <v/>
      </c>
      <c r="P2751" s="8" t="inlineStr">
        <is>
          <t>M3</t>
        </is>
      </c>
      <c r="Q2751" s="10">
        <f>IFERROR(IFERROR(VLOOKUP(A2751,TRAOPE!$A:$U,21,0),VLOOKUP(B2751,TRAOPE!$A:$U,21,0)),"")</f>
        <v/>
      </c>
      <c r="R2751" s="8">
        <f>IFERROR(IFERROR(VLOOKUP(A2751,TRAOPE!$A:$W,23,0),VLOOKUP(B2751,TRAOPE!$A:$W,23,0)),"")</f>
        <v/>
      </c>
      <c r="S2751" s="10">
        <f>IF(AND(P2751="TN",R2751="TN"),N2751+N(O2751),IF(G2751&amp;""="1",N(K2751)*N2751,(N2751+N(O2751))*N(K2751)))</f>
        <v/>
      </c>
      <c r="T2751" s="10">
        <f>IF(Q2751="","",Q2751-S2751)</f>
        <v/>
      </c>
    </row>
    <row r="2752">
      <c r="A2752" s="7">
        <f>CONCATENATE(C2752,E2752,F2752,I2752)</f>
        <v/>
      </c>
      <c r="B2752" s="7">
        <f>CONCATENATE(C2752,E2752,I2752)</f>
        <v/>
      </c>
      <c r="C2752" s="8" t="n">
        <v>900009460</v>
      </c>
      <c r="D2752" s="7">
        <f>IFERROR(VLOOKUP(C2752,TRAOPE!$G:$H,2,0),"")</f>
        <v/>
      </c>
      <c r="E2752" s="8" t="inlineStr">
        <is>
          <t>D836</t>
        </is>
      </c>
      <c r="F2752" s="8" t="inlineStr">
        <is>
          <t>65911289</t>
        </is>
      </c>
      <c r="G2752" s="8">
        <f>IFERROR(VLOOKUP(A2752,Flete!$A:$E,5,0),"")</f>
        <v/>
      </c>
      <c r="H2752" s="7">
        <f>IFERROR(VLOOKUP(F2752,TRAOPE!$AA:$AB,2,0),"")</f>
        <v/>
      </c>
      <c r="I2752" s="7" t="n">
        <v>10277346</v>
      </c>
      <c r="J2752" s="7">
        <f>IFERROR(VLOOKUP(I2752,Materiales!$A:$H,8,0),"")</f>
        <v/>
      </c>
      <c r="K2752" s="9">
        <f>IFERROR(VLOOKUP(I2752,Materiales!$A:$G,7,0),"")</f>
        <v/>
      </c>
      <c r="L2752" s="8" t="inlineStr">
        <is>
          <t>20260804</t>
        </is>
      </c>
      <c r="M2752" s="8" t="inlineStr">
        <is>
          <t>99991231</t>
        </is>
      </c>
      <c r="N2752" s="10" t="n">
        <v>111</v>
      </c>
      <c r="O2752" s="10">
        <f>IFERROR(VLOOKUP(A2752,Flete!$A:$J,10,0),"")</f>
        <v/>
      </c>
      <c r="P2752" s="8" t="inlineStr">
        <is>
          <t>M3</t>
        </is>
      </c>
      <c r="Q2752" s="10">
        <f>IFERROR(IFERROR(VLOOKUP(A2752,TRAOPE!$A:$U,21,0),VLOOKUP(B2752,TRAOPE!$A:$U,21,0)),"")</f>
        <v/>
      </c>
      <c r="R2752" s="8">
        <f>IFERROR(IFERROR(VLOOKUP(A2752,TRAOPE!$A:$W,23,0),VLOOKUP(B2752,TRAOPE!$A:$W,23,0)),"")</f>
        <v/>
      </c>
      <c r="S2752" s="10">
        <f>IF(AND(P2752="TN",R2752="TN"),N2752+N(O2752),IF(G2752&amp;""="1",N(K2752)*N2752,(N2752+N(O2752))*N(K2752)))</f>
        <v/>
      </c>
      <c r="T2752" s="10">
        <f>IF(Q2752="","",Q2752-S2752)</f>
        <v/>
      </c>
    </row>
    <row r="2753">
      <c r="A2753" s="7">
        <f>CONCATENATE(C2753,E2753,F2753,I2753)</f>
        <v/>
      </c>
      <c r="B2753" s="7">
        <f>CONCATENATE(C2753,E2753,I2753)</f>
        <v/>
      </c>
      <c r="C2753" s="8" t="n">
        <v>900009460</v>
      </c>
      <c r="D2753" s="7">
        <f>IFERROR(VLOOKUP(C2753,TRAOPE!$G:$H,2,0),"")</f>
        <v/>
      </c>
      <c r="E2753" s="8" t="inlineStr">
        <is>
          <t>D836</t>
        </is>
      </c>
      <c r="F2753" s="8" t="inlineStr">
        <is>
          <t>66414377</t>
        </is>
      </c>
      <c r="G2753" s="8">
        <f>IFERROR(VLOOKUP(A2753,Flete!$A:$E,5,0),"")</f>
        <v/>
      </c>
      <c r="H2753" s="7">
        <f>IFERROR(VLOOKUP(F2753,TRAOPE!$AA:$AB,2,0),"")</f>
        <v/>
      </c>
      <c r="I2753" s="7" t="n">
        <v>10264162</v>
      </c>
      <c r="J2753" s="7">
        <f>IFERROR(VLOOKUP(I2753,Materiales!$A:$H,8,0),"")</f>
        <v/>
      </c>
      <c r="K2753" s="9">
        <f>IFERROR(VLOOKUP(I2753,Materiales!$A:$G,7,0),"")</f>
        <v/>
      </c>
      <c r="L2753" s="8" t="inlineStr">
        <is>
          <t>20260401</t>
        </is>
      </c>
      <c r="M2753" s="8" t="inlineStr">
        <is>
          <t>99991231</t>
        </is>
      </c>
      <c r="N2753" s="10" t="n">
        <v>140</v>
      </c>
      <c r="O2753" s="10">
        <f>IFERROR(VLOOKUP(A2753,Flete!$A:$J,10,0),"")</f>
        <v/>
      </c>
      <c r="P2753" s="8" t="inlineStr">
        <is>
          <t>M3</t>
        </is>
      </c>
      <c r="Q2753" s="10">
        <f>IFERROR(IFERROR(VLOOKUP(A2753,TRAOPE!$A:$U,21,0),VLOOKUP(B2753,TRAOPE!$A:$U,21,0)),"")</f>
        <v/>
      </c>
      <c r="R2753" s="8">
        <f>IFERROR(IFERROR(VLOOKUP(A2753,TRAOPE!$A:$W,23,0),VLOOKUP(B2753,TRAOPE!$A:$W,23,0)),"")</f>
        <v/>
      </c>
      <c r="S2753" s="10">
        <f>IF(AND(P2753="TN",R2753="TN"),N2753+N(O2753),IF(G2753&amp;""="1",N(K2753)*N2753,(N2753+N(O2753))*N(K2753)))</f>
        <v/>
      </c>
      <c r="T2753" s="10">
        <f>IF(Q2753="","",Q2753-S2753)</f>
        <v/>
      </c>
    </row>
    <row r="2754">
      <c r="A2754" s="7">
        <f>CONCATENATE(C2754,E2754,F2754,I2754)</f>
        <v/>
      </c>
      <c r="B2754" s="7">
        <f>CONCATENATE(C2754,E2754,I2754)</f>
        <v/>
      </c>
      <c r="C2754" s="8" t="n">
        <v>900009460</v>
      </c>
      <c r="D2754" s="7">
        <f>IFERROR(VLOOKUP(C2754,TRAOPE!$G:$H,2,0),"")</f>
        <v/>
      </c>
      <c r="E2754" s="8" t="inlineStr">
        <is>
          <t>D836</t>
        </is>
      </c>
      <c r="F2754" s="8" t="inlineStr">
        <is>
          <t>66414377</t>
        </is>
      </c>
      <c r="G2754" s="8">
        <f>IFERROR(VLOOKUP(A2754,Flete!$A:$E,5,0),"")</f>
        <v/>
      </c>
      <c r="H2754" s="7">
        <f>IFERROR(VLOOKUP(F2754,TRAOPE!$AA:$AB,2,0),"")</f>
        <v/>
      </c>
      <c r="I2754" s="7" t="n">
        <v>10274754</v>
      </c>
      <c r="J2754" s="7">
        <f>IFERROR(VLOOKUP(I2754,Materiales!$A:$H,8,0),"")</f>
        <v/>
      </c>
      <c r="K2754" s="9">
        <f>IFERROR(VLOOKUP(I2754,Materiales!$A:$G,7,0),"")</f>
        <v/>
      </c>
      <c r="L2754" s="8" t="inlineStr">
        <is>
          <t>20260401</t>
        </is>
      </c>
      <c r="M2754" s="8" t="inlineStr">
        <is>
          <t>99991231</t>
        </is>
      </c>
      <c r="N2754" s="10" t="n">
        <v>170</v>
      </c>
      <c r="O2754" s="10">
        <f>IFERROR(VLOOKUP(A2754,Flete!$A:$J,10,0),"")</f>
        <v/>
      </c>
      <c r="P2754" s="8" t="inlineStr">
        <is>
          <t>M3</t>
        </is>
      </c>
      <c r="Q2754" s="10">
        <f>IFERROR(IFERROR(VLOOKUP(A2754,TRAOPE!$A:$U,21,0),VLOOKUP(B2754,TRAOPE!$A:$U,21,0)),"")</f>
        <v/>
      </c>
      <c r="R2754" s="8">
        <f>IFERROR(IFERROR(VLOOKUP(A2754,TRAOPE!$A:$W,23,0),VLOOKUP(B2754,TRAOPE!$A:$W,23,0)),"")</f>
        <v/>
      </c>
      <c r="S2754" s="10">
        <f>IF(AND(P2754="TN",R2754="TN"),N2754+N(O2754),IF(G2754&amp;""="1",N(K2754)*N2754,(N2754+N(O2754))*N(K2754)))</f>
        <v/>
      </c>
      <c r="T2754" s="10">
        <f>IF(Q2754="","",Q2754-S2754)</f>
        <v/>
      </c>
    </row>
    <row r="2755">
      <c r="A2755" s="7">
        <f>CONCATENATE(C2755,E2755,F2755,I2755)</f>
        <v/>
      </c>
      <c r="B2755" s="7">
        <f>CONCATENATE(C2755,E2755,I2755)</f>
        <v/>
      </c>
      <c r="C2755" s="8" t="n">
        <v>900009460</v>
      </c>
      <c r="D2755" s="7">
        <f>IFERROR(VLOOKUP(C2755,TRAOPE!$G:$H,2,0),"")</f>
        <v/>
      </c>
      <c r="E2755" s="8" t="inlineStr">
        <is>
          <t>D836</t>
        </is>
      </c>
      <c r="F2755" s="8" t="inlineStr">
        <is>
          <t>66414377</t>
        </is>
      </c>
      <c r="G2755" s="8">
        <f>IFERROR(VLOOKUP(A2755,Flete!$A:$E,5,0),"")</f>
        <v/>
      </c>
      <c r="H2755" s="7">
        <f>IFERROR(VLOOKUP(F2755,TRAOPE!$AA:$AB,2,0),"")</f>
        <v/>
      </c>
      <c r="I2755" s="7" t="n">
        <v>10277346</v>
      </c>
      <c r="J2755" s="7">
        <f>IFERROR(VLOOKUP(I2755,Materiales!$A:$H,8,0),"")</f>
        <v/>
      </c>
      <c r="K2755" s="9">
        <f>IFERROR(VLOOKUP(I2755,Materiales!$A:$G,7,0),"")</f>
        <v/>
      </c>
      <c r="L2755" s="8" t="inlineStr">
        <is>
          <t>20260714</t>
        </is>
      </c>
      <c r="M2755" s="8" t="inlineStr">
        <is>
          <t>99991231</t>
        </is>
      </c>
      <c r="N2755" s="10" t="n">
        <v>120</v>
      </c>
      <c r="O2755" s="10">
        <f>IFERROR(VLOOKUP(A2755,Flete!$A:$J,10,0),"")</f>
        <v/>
      </c>
      <c r="P2755" s="8" t="inlineStr">
        <is>
          <t>M3</t>
        </is>
      </c>
      <c r="Q2755" s="10">
        <f>IFERROR(IFERROR(VLOOKUP(A2755,TRAOPE!$A:$U,21,0),VLOOKUP(B2755,TRAOPE!$A:$U,21,0)),"")</f>
        <v/>
      </c>
      <c r="R2755" s="8">
        <f>IFERROR(IFERROR(VLOOKUP(A2755,TRAOPE!$A:$W,23,0),VLOOKUP(B2755,TRAOPE!$A:$W,23,0)),"")</f>
        <v/>
      </c>
      <c r="S2755" s="10">
        <f>IF(AND(P2755="TN",R2755="TN"),N2755+N(O2755),IF(G2755&amp;""="1",N(K2755)*N2755,(N2755+N(O2755))*N(K2755)))</f>
        <v/>
      </c>
      <c r="T2755" s="10">
        <f>IF(Q2755="","",Q2755-S2755)</f>
        <v/>
      </c>
    </row>
    <row r="2756">
      <c r="A2756" s="7">
        <f>CONCATENATE(C2756,E2756,F2756,I2756)</f>
        <v/>
      </c>
      <c r="B2756" s="7">
        <f>CONCATENATE(C2756,E2756,I2756)</f>
        <v/>
      </c>
      <c r="C2756" s="8" t="n">
        <v>900009460</v>
      </c>
      <c r="D2756" s="7">
        <f>IFERROR(VLOOKUP(C2756,TRAOPE!$G:$H,2,0),"")</f>
        <v/>
      </c>
      <c r="E2756" s="8" t="inlineStr">
        <is>
          <t>D836</t>
        </is>
      </c>
      <c r="F2756" s="8" t="inlineStr">
        <is>
          <t>66415270</t>
        </is>
      </c>
      <c r="G2756" s="8">
        <f>IFERROR(VLOOKUP(A2756,Flete!$A:$E,5,0),"")</f>
        <v/>
      </c>
      <c r="H2756" s="7">
        <f>IFERROR(VLOOKUP(F2756,TRAOPE!$AA:$AB,2,0),"")</f>
        <v/>
      </c>
      <c r="I2756" s="7" t="n">
        <v>10264162</v>
      </c>
      <c r="J2756" s="7">
        <f>IFERROR(VLOOKUP(I2756,Materiales!$A:$H,8,0),"")</f>
        <v/>
      </c>
      <c r="K2756" s="9">
        <f>IFERROR(VLOOKUP(I2756,Materiales!$A:$G,7,0),"")</f>
        <v/>
      </c>
      <c r="L2756" s="8" t="inlineStr">
        <is>
          <t>20260617</t>
        </is>
      </c>
      <c r="M2756" s="8" t="inlineStr">
        <is>
          <t>99991231</t>
        </is>
      </c>
      <c r="N2756" s="10" t="n">
        <v>130</v>
      </c>
      <c r="O2756" s="10">
        <f>IFERROR(VLOOKUP(A2756,Flete!$A:$J,10,0),"")</f>
        <v/>
      </c>
      <c r="P2756" s="8" t="inlineStr">
        <is>
          <t>M3</t>
        </is>
      </c>
      <c r="Q2756" s="10">
        <f>IFERROR(IFERROR(VLOOKUP(A2756,TRAOPE!$A:$U,21,0),VLOOKUP(B2756,TRAOPE!$A:$U,21,0)),"")</f>
        <v/>
      </c>
      <c r="R2756" s="8">
        <f>IFERROR(IFERROR(VLOOKUP(A2756,TRAOPE!$A:$W,23,0),VLOOKUP(B2756,TRAOPE!$A:$W,23,0)),"")</f>
        <v/>
      </c>
      <c r="S2756" s="10">
        <f>IF(AND(P2756="TN",R2756="TN"),N2756+N(O2756),IF(G2756&amp;""="1",N(K2756)*N2756,(N2756+N(O2756))*N(K2756)))</f>
        <v/>
      </c>
      <c r="T2756" s="10">
        <f>IF(Q2756="","",Q2756-S2756)</f>
        <v/>
      </c>
    </row>
    <row r="2757">
      <c r="A2757" s="7">
        <f>CONCATENATE(C2757,E2757,F2757,I2757)</f>
        <v/>
      </c>
      <c r="B2757" s="7">
        <f>CONCATENATE(C2757,E2757,I2757)</f>
        <v/>
      </c>
      <c r="C2757" s="8" t="n">
        <v>900009460</v>
      </c>
      <c r="D2757" s="7">
        <f>IFERROR(VLOOKUP(C2757,TRAOPE!$G:$H,2,0),"")</f>
        <v/>
      </c>
      <c r="E2757" s="8" t="inlineStr">
        <is>
          <t>D836</t>
        </is>
      </c>
      <c r="F2757" s="8" t="inlineStr">
        <is>
          <t>66415270</t>
        </is>
      </c>
      <c r="G2757" s="8">
        <f>IFERROR(VLOOKUP(A2757,Flete!$A:$E,5,0),"")</f>
        <v/>
      </c>
      <c r="H2757" s="7">
        <f>IFERROR(VLOOKUP(F2757,TRAOPE!$AA:$AB,2,0),"")</f>
        <v/>
      </c>
      <c r="I2757" s="7" t="n">
        <v>10274754</v>
      </c>
      <c r="J2757" s="7">
        <f>IFERROR(VLOOKUP(I2757,Materiales!$A:$H,8,0),"")</f>
        <v/>
      </c>
      <c r="K2757" s="9">
        <f>IFERROR(VLOOKUP(I2757,Materiales!$A:$G,7,0),"")</f>
        <v/>
      </c>
      <c r="L2757" s="8" t="inlineStr">
        <is>
          <t>20260617</t>
        </is>
      </c>
      <c r="M2757" s="8" t="inlineStr">
        <is>
          <t>99991231</t>
        </is>
      </c>
      <c r="N2757" s="10" t="n">
        <v>160</v>
      </c>
      <c r="O2757" s="10">
        <f>IFERROR(VLOOKUP(A2757,Flete!$A:$J,10,0),"")</f>
        <v/>
      </c>
      <c r="P2757" s="8" t="inlineStr">
        <is>
          <t>M3</t>
        </is>
      </c>
      <c r="Q2757" s="10">
        <f>IFERROR(IFERROR(VLOOKUP(A2757,TRAOPE!$A:$U,21,0),VLOOKUP(B2757,TRAOPE!$A:$U,21,0)),"")</f>
        <v/>
      </c>
      <c r="R2757" s="8">
        <f>IFERROR(IFERROR(VLOOKUP(A2757,TRAOPE!$A:$W,23,0),VLOOKUP(B2757,TRAOPE!$A:$W,23,0)),"")</f>
        <v/>
      </c>
      <c r="S2757" s="10">
        <f>IF(AND(P2757="TN",R2757="TN"),N2757+N(O2757),IF(G2757&amp;""="1",N(K2757)*N2757,(N2757+N(O2757))*N(K2757)))</f>
        <v/>
      </c>
      <c r="T2757" s="10">
        <f>IF(Q2757="","",Q2757-S2757)</f>
        <v/>
      </c>
    </row>
    <row r="2758">
      <c r="A2758" s="7">
        <f>CONCATENATE(C2758,E2758,F2758,I2758)</f>
        <v/>
      </c>
      <c r="B2758" s="7">
        <f>CONCATENATE(C2758,E2758,I2758)</f>
        <v/>
      </c>
      <c r="C2758" s="8" t="n">
        <v>900009460</v>
      </c>
      <c r="D2758" s="7">
        <f>IFERROR(VLOOKUP(C2758,TRAOPE!$G:$H,2,0),"")</f>
        <v/>
      </c>
      <c r="E2758" s="8" t="inlineStr">
        <is>
          <t>D836</t>
        </is>
      </c>
      <c r="F2758" s="8" t="inlineStr">
        <is>
          <t>66415270</t>
        </is>
      </c>
      <c r="G2758" s="8">
        <f>IFERROR(VLOOKUP(A2758,Flete!$A:$E,5,0),"")</f>
        <v/>
      </c>
      <c r="H2758" s="7">
        <f>IFERROR(VLOOKUP(F2758,TRAOPE!$AA:$AB,2,0),"")</f>
        <v/>
      </c>
      <c r="I2758" s="7" t="n">
        <v>10277346</v>
      </c>
      <c r="J2758" s="7">
        <f>IFERROR(VLOOKUP(I2758,Materiales!$A:$H,8,0),"")</f>
        <v/>
      </c>
      <c r="K2758" s="9">
        <f>IFERROR(VLOOKUP(I2758,Materiales!$A:$G,7,0),"")</f>
        <v/>
      </c>
      <c r="L2758" s="8" t="inlineStr">
        <is>
          <t>20260827</t>
        </is>
      </c>
      <c r="M2758" s="8" t="inlineStr">
        <is>
          <t>99991231</t>
        </is>
      </c>
      <c r="N2758" s="10" t="n">
        <v>115</v>
      </c>
      <c r="O2758" s="10">
        <f>IFERROR(VLOOKUP(A2758,Flete!$A:$J,10,0),"")</f>
        <v/>
      </c>
      <c r="P2758" s="8" t="inlineStr">
        <is>
          <t>M3</t>
        </is>
      </c>
      <c r="Q2758" s="10">
        <f>IFERROR(IFERROR(VLOOKUP(A2758,TRAOPE!$A:$U,21,0),VLOOKUP(B2758,TRAOPE!$A:$U,21,0)),"")</f>
        <v/>
      </c>
      <c r="R2758" s="8">
        <f>IFERROR(IFERROR(VLOOKUP(A2758,TRAOPE!$A:$W,23,0),VLOOKUP(B2758,TRAOPE!$A:$W,23,0)),"")</f>
        <v/>
      </c>
      <c r="S2758" s="10">
        <f>IF(AND(P2758="TN",R2758="TN"),N2758+N(O2758),IF(G2758&amp;""="1",N(K2758)*N2758,(N2758+N(O2758))*N(K2758)))</f>
        <v/>
      </c>
      <c r="T2758" s="10">
        <f>IF(Q2758="","",Q2758-S2758)</f>
        <v/>
      </c>
    </row>
    <row r="2759">
      <c r="A2759" s="7">
        <f>CONCATENATE(C2759,E2759,F2759,I2759)</f>
        <v/>
      </c>
      <c r="B2759" s="7">
        <f>CONCATENATE(C2759,E2759,I2759)</f>
        <v/>
      </c>
      <c r="C2759" s="8" t="n">
        <v>900009460</v>
      </c>
      <c r="D2759" s="7">
        <f>IFERROR(VLOOKUP(C2759,TRAOPE!$G:$H,2,0),"")</f>
        <v/>
      </c>
      <c r="E2759" s="8" t="inlineStr">
        <is>
          <t>D836</t>
        </is>
      </c>
      <c r="F2759" s="8" t="inlineStr">
        <is>
          <t>66433511</t>
        </is>
      </c>
      <c r="G2759" s="8">
        <f>IFERROR(VLOOKUP(A2759,Flete!$A:$E,5,0),"")</f>
        <v/>
      </c>
      <c r="H2759" s="7">
        <f>IFERROR(VLOOKUP(F2759,TRAOPE!$AA:$AB,2,0),"")</f>
        <v/>
      </c>
      <c r="I2759" s="7" t="n">
        <v>10264162</v>
      </c>
      <c r="J2759" s="7">
        <f>IFERROR(VLOOKUP(I2759,Materiales!$A:$H,8,0),"")</f>
        <v/>
      </c>
      <c r="K2759" s="9">
        <f>IFERROR(VLOOKUP(I2759,Materiales!$A:$G,7,0),"")</f>
        <v/>
      </c>
      <c r="L2759" s="8" t="inlineStr">
        <is>
          <t>20260325</t>
        </is>
      </c>
      <c r="M2759" s="8" t="inlineStr">
        <is>
          <t>99991231</t>
        </is>
      </c>
      <c r="N2759" s="10" t="n">
        <v>150</v>
      </c>
      <c r="O2759" s="10">
        <f>IFERROR(VLOOKUP(A2759,Flete!$A:$J,10,0),"")</f>
        <v/>
      </c>
      <c r="P2759" s="8" t="inlineStr">
        <is>
          <t>M3</t>
        </is>
      </c>
      <c r="Q2759" s="10">
        <f>IFERROR(IFERROR(VLOOKUP(A2759,TRAOPE!$A:$U,21,0),VLOOKUP(B2759,TRAOPE!$A:$U,21,0)),"")</f>
        <v/>
      </c>
      <c r="R2759" s="8">
        <f>IFERROR(IFERROR(VLOOKUP(A2759,TRAOPE!$A:$W,23,0),VLOOKUP(B2759,TRAOPE!$A:$W,23,0)),"")</f>
        <v/>
      </c>
      <c r="S2759" s="10">
        <f>IF(AND(P2759="TN",R2759="TN"),N2759+N(O2759),IF(G2759&amp;""="1",N(K2759)*N2759,(N2759+N(O2759))*N(K2759)))</f>
        <v/>
      </c>
      <c r="T2759" s="10">
        <f>IF(Q2759="","",Q2759-S2759)</f>
        <v/>
      </c>
    </row>
    <row r="2760">
      <c r="A2760" s="7">
        <f>CONCATENATE(C2760,E2760,F2760,I2760)</f>
        <v/>
      </c>
      <c r="B2760" s="7">
        <f>CONCATENATE(C2760,E2760,I2760)</f>
        <v/>
      </c>
      <c r="C2760" s="8" t="n">
        <v>900009460</v>
      </c>
      <c r="D2760" s="7">
        <f>IFERROR(VLOOKUP(C2760,TRAOPE!$G:$H,2,0),"")</f>
        <v/>
      </c>
      <c r="E2760" s="8" t="inlineStr">
        <is>
          <t>D836</t>
        </is>
      </c>
      <c r="F2760" s="8" t="inlineStr">
        <is>
          <t>66433511</t>
        </is>
      </c>
      <c r="G2760" s="8">
        <f>IFERROR(VLOOKUP(A2760,Flete!$A:$E,5,0),"")</f>
        <v/>
      </c>
      <c r="H2760" s="7">
        <f>IFERROR(VLOOKUP(F2760,TRAOPE!$AA:$AB,2,0),"")</f>
        <v/>
      </c>
      <c r="I2760" s="7" t="n">
        <v>10274754</v>
      </c>
      <c r="J2760" s="7">
        <f>IFERROR(VLOOKUP(I2760,Materiales!$A:$H,8,0),"")</f>
        <v/>
      </c>
      <c r="K2760" s="9">
        <f>IFERROR(VLOOKUP(I2760,Materiales!$A:$G,7,0),"")</f>
        <v/>
      </c>
      <c r="L2760" s="8" t="inlineStr">
        <is>
          <t>20260325</t>
        </is>
      </c>
      <c r="M2760" s="8" t="inlineStr">
        <is>
          <t>99991231</t>
        </is>
      </c>
      <c r="N2760" s="10" t="n">
        <v>190</v>
      </c>
      <c r="O2760" s="10">
        <f>IFERROR(VLOOKUP(A2760,Flete!$A:$J,10,0),"")</f>
        <v/>
      </c>
      <c r="P2760" s="8" t="inlineStr">
        <is>
          <t>M3</t>
        </is>
      </c>
      <c r="Q2760" s="10">
        <f>IFERROR(IFERROR(VLOOKUP(A2760,TRAOPE!$A:$U,21,0),VLOOKUP(B2760,TRAOPE!$A:$U,21,0)),"")</f>
        <v/>
      </c>
      <c r="R2760" s="8">
        <f>IFERROR(IFERROR(VLOOKUP(A2760,TRAOPE!$A:$W,23,0),VLOOKUP(B2760,TRAOPE!$A:$W,23,0)),"")</f>
        <v/>
      </c>
      <c r="S2760" s="10">
        <f>IF(AND(P2760="TN",R2760="TN"),N2760+N(O2760),IF(G2760&amp;""="1",N(K2760)*N2760,(N2760+N(O2760))*N(K2760)))</f>
        <v/>
      </c>
      <c r="T2760" s="10">
        <f>IF(Q2760="","",Q2760-S2760)</f>
        <v/>
      </c>
    </row>
    <row r="2761">
      <c r="A2761" s="7">
        <f>CONCATENATE(C2761,E2761,F2761,I2761)</f>
        <v/>
      </c>
      <c r="B2761" s="7">
        <f>CONCATENATE(C2761,E2761,I2761)</f>
        <v/>
      </c>
      <c r="C2761" s="8" t="n">
        <v>900009460</v>
      </c>
      <c r="D2761" s="7">
        <f>IFERROR(VLOOKUP(C2761,TRAOPE!$G:$H,2,0),"")</f>
        <v/>
      </c>
      <c r="E2761" s="8" t="inlineStr">
        <is>
          <t>D836</t>
        </is>
      </c>
      <c r="F2761" s="8" t="inlineStr">
        <is>
          <t>66440645</t>
        </is>
      </c>
      <c r="G2761" s="8">
        <f>IFERROR(VLOOKUP(A2761,Flete!$A:$E,5,0),"")</f>
        <v/>
      </c>
      <c r="H2761" s="7">
        <f>IFERROR(VLOOKUP(F2761,TRAOPE!$AA:$AB,2,0),"")</f>
        <v/>
      </c>
      <c r="I2761" s="7" t="n">
        <v>10264162</v>
      </c>
      <c r="J2761" s="7">
        <f>IFERROR(VLOOKUP(I2761,Materiales!$A:$H,8,0),"")</f>
        <v/>
      </c>
      <c r="K2761" s="9">
        <f>IFERROR(VLOOKUP(I2761,Materiales!$A:$G,7,0),"")</f>
        <v/>
      </c>
      <c r="L2761" s="8" t="inlineStr">
        <is>
          <t>20260325</t>
        </is>
      </c>
      <c r="M2761" s="8" t="inlineStr">
        <is>
          <t>99991231</t>
        </is>
      </c>
      <c r="N2761" s="10" t="n">
        <v>146.5</v>
      </c>
      <c r="O2761" s="10">
        <f>IFERROR(VLOOKUP(A2761,Flete!$A:$J,10,0),"")</f>
        <v/>
      </c>
      <c r="P2761" s="8" t="inlineStr">
        <is>
          <t>M3</t>
        </is>
      </c>
      <c r="Q2761" s="10">
        <f>IFERROR(IFERROR(VLOOKUP(A2761,TRAOPE!$A:$U,21,0),VLOOKUP(B2761,TRAOPE!$A:$U,21,0)),"")</f>
        <v/>
      </c>
      <c r="R2761" s="8">
        <f>IFERROR(IFERROR(VLOOKUP(A2761,TRAOPE!$A:$W,23,0),VLOOKUP(B2761,TRAOPE!$A:$W,23,0)),"")</f>
        <v/>
      </c>
      <c r="S2761" s="10">
        <f>IF(AND(P2761="TN",R2761="TN"),N2761+N(O2761),IF(G2761&amp;""="1",N(K2761)*N2761,(N2761+N(O2761))*N(K2761)))</f>
        <v/>
      </c>
      <c r="T2761" s="10">
        <f>IF(Q2761="","",Q2761-S2761)</f>
        <v/>
      </c>
    </row>
    <row r="2762">
      <c r="A2762" s="7">
        <f>CONCATENATE(C2762,E2762,F2762,I2762)</f>
        <v/>
      </c>
      <c r="B2762" s="7">
        <f>CONCATENATE(C2762,E2762,I2762)</f>
        <v/>
      </c>
      <c r="C2762" s="8" t="n">
        <v>900009460</v>
      </c>
      <c r="D2762" s="7">
        <f>IFERROR(VLOOKUP(C2762,TRAOPE!$G:$H,2,0),"")</f>
        <v/>
      </c>
      <c r="E2762" s="8" t="inlineStr">
        <is>
          <t>D836</t>
        </is>
      </c>
      <c r="F2762" s="8" t="inlineStr">
        <is>
          <t>66440645</t>
        </is>
      </c>
      <c r="G2762" s="8">
        <f>IFERROR(VLOOKUP(A2762,Flete!$A:$E,5,0),"")</f>
        <v/>
      </c>
      <c r="H2762" s="7">
        <f>IFERROR(VLOOKUP(F2762,TRAOPE!$AA:$AB,2,0),"")</f>
        <v/>
      </c>
      <c r="I2762" s="7" t="n">
        <v>10274754</v>
      </c>
      <c r="J2762" s="7">
        <f>IFERROR(VLOOKUP(I2762,Materiales!$A:$H,8,0),"")</f>
        <v/>
      </c>
      <c r="K2762" s="9">
        <f>IFERROR(VLOOKUP(I2762,Materiales!$A:$G,7,0),"")</f>
        <v/>
      </c>
      <c r="L2762" s="8" t="inlineStr">
        <is>
          <t>20260325</t>
        </is>
      </c>
      <c r="M2762" s="8" t="inlineStr">
        <is>
          <t>99991231</t>
        </is>
      </c>
      <c r="N2762" s="10" t="n">
        <v>180</v>
      </c>
      <c r="O2762" s="10">
        <f>IFERROR(VLOOKUP(A2762,Flete!$A:$J,10,0),"")</f>
        <v/>
      </c>
      <c r="P2762" s="8" t="inlineStr">
        <is>
          <t>M3</t>
        </is>
      </c>
      <c r="Q2762" s="10">
        <f>IFERROR(IFERROR(VLOOKUP(A2762,TRAOPE!$A:$U,21,0),VLOOKUP(B2762,TRAOPE!$A:$U,21,0)),"")</f>
        <v/>
      </c>
      <c r="R2762" s="8">
        <f>IFERROR(IFERROR(VLOOKUP(A2762,TRAOPE!$A:$W,23,0),VLOOKUP(B2762,TRAOPE!$A:$W,23,0)),"")</f>
        <v/>
      </c>
      <c r="S2762" s="10">
        <f>IF(AND(P2762="TN",R2762="TN"),N2762+N(O2762),IF(G2762&amp;""="1",N(K2762)*N2762,(N2762+N(O2762))*N(K2762)))</f>
        <v/>
      </c>
      <c r="T2762" s="10">
        <f>IF(Q2762="","",Q2762-S2762)</f>
        <v/>
      </c>
    </row>
    <row r="2763">
      <c r="A2763" s="7">
        <f>CONCATENATE(C2763,E2763,F2763,I2763)</f>
        <v/>
      </c>
      <c r="B2763" s="7">
        <f>CONCATENATE(C2763,E2763,I2763)</f>
        <v/>
      </c>
      <c r="C2763" s="8" t="n">
        <v>900009460</v>
      </c>
      <c r="D2763" s="7">
        <f>IFERROR(VLOOKUP(C2763,TRAOPE!$G:$H,2,0),"")</f>
        <v/>
      </c>
      <c r="E2763" s="8" t="inlineStr">
        <is>
          <t>D836</t>
        </is>
      </c>
      <c r="F2763" s="8" t="inlineStr">
        <is>
          <t>66624554</t>
        </is>
      </c>
      <c r="G2763" s="8">
        <f>IFERROR(VLOOKUP(A2763,Flete!$A:$E,5,0),"")</f>
        <v/>
      </c>
      <c r="H2763" s="7">
        <f>IFERROR(VLOOKUP(F2763,TRAOPE!$AA:$AB,2,0),"")</f>
        <v/>
      </c>
      <c r="I2763" s="7" t="n">
        <v>10264162</v>
      </c>
      <c r="J2763" s="7">
        <f>IFERROR(VLOOKUP(I2763,Materiales!$A:$H,8,0),"")</f>
        <v/>
      </c>
      <c r="K2763" s="9">
        <f>IFERROR(VLOOKUP(I2763,Materiales!$A:$G,7,0),"")</f>
        <v/>
      </c>
      <c r="L2763" s="8" t="inlineStr">
        <is>
          <t>20260701</t>
        </is>
      </c>
      <c r="M2763" s="8" t="inlineStr">
        <is>
          <t>99991231</t>
        </is>
      </c>
      <c r="N2763" s="10" t="n">
        <v>139</v>
      </c>
      <c r="O2763" s="10">
        <f>IFERROR(VLOOKUP(A2763,Flete!$A:$J,10,0),"")</f>
        <v/>
      </c>
      <c r="P2763" s="8" t="inlineStr">
        <is>
          <t>M3</t>
        </is>
      </c>
      <c r="Q2763" s="10">
        <f>IFERROR(IFERROR(VLOOKUP(A2763,TRAOPE!$A:$U,21,0),VLOOKUP(B2763,TRAOPE!$A:$U,21,0)),"")</f>
        <v/>
      </c>
      <c r="R2763" s="8">
        <f>IFERROR(IFERROR(VLOOKUP(A2763,TRAOPE!$A:$W,23,0),VLOOKUP(B2763,TRAOPE!$A:$W,23,0)),"")</f>
        <v/>
      </c>
      <c r="S2763" s="10">
        <f>IF(AND(P2763="TN",R2763="TN"),N2763+N(O2763),IF(G2763&amp;""="1",N(K2763)*N2763,(N2763+N(O2763))*N(K2763)))</f>
        <v/>
      </c>
      <c r="T2763" s="10">
        <f>IF(Q2763="","",Q2763-S2763)</f>
        <v/>
      </c>
    </row>
    <row r="2764">
      <c r="A2764" s="7">
        <f>CONCATENATE(C2764,E2764,F2764,I2764)</f>
        <v/>
      </c>
      <c r="B2764" s="7">
        <f>CONCATENATE(C2764,E2764,I2764)</f>
        <v/>
      </c>
      <c r="C2764" s="8" t="n">
        <v>900009460</v>
      </c>
      <c r="D2764" s="7">
        <f>IFERROR(VLOOKUP(C2764,TRAOPE!$G:$H,2,0),"")</f>
        <v/>
      </c>
      <c r="E2764" s="8" t="inlineStr">
        <is>
          <t>D836</t>
        </is>
      </c>
      <c r="F2764" s="8" t="inlineStr">
        <is>
          <t>66624554</t>
        </is>
      </c>
      <c r="G2764" s="8">
        <f>IFERROR(VLOOKUP(A2764,Flete!$A:$E,5,0),"")</f>
        <v/>
      </c>
      <c r="H2764" s="7">
        <f>IFERROR(VLOOKUP(F2764,TRAOPE!$AA:$AB,2,0),"")</f>
        <v/>
      </c>
      <c r="I2764" s="7" t="n">
        <v>10274754</v>
      </c>
      <c r="J2764" s="7">
        <f>IFERROR(VLOOKUP(I2764,Materiales!$A:$H,8,0),"")</f>
        <v/>
      </c>
      <c r="K2764" s="9">
        <f>IFERROR(VLOOKUP(I2764,Materiales!$A:$G,7,0),"")</f>
        <v/>
      </c>
      <c r="L2764" s="8" t="inlineStr">
        <is>
          <t>20260325</t>
        </is>
      </c>
      <c r="M2764" s="8" t="inlineStr">
        <is>
          <t>99991231</t>
        </is>
      </c>
      <c r="N2764" s="10" t="n">
        <v>190</v>
      </c>
      <c r="O2764" s="10">
        <f>IFERROR(VLOOKUP(A2764,Flete!$A:$J,10,0),"")</f>
        <v/>
      </c>
      <c r="P2764" s="8" t="inlineStr">
        <is>
          <t>M3</t>
        </is>
      </c>
      <c r="Q2764" s="10">
        <f>IFERROR(IFERROR(VLOOKUP(A2764,TRAOPE!$A:$U,21,0),VLOOKUP(B2764,TRAOPE!$A:$U,21,0)),"")</f>
        <v/>
      </c>
      <c r="R2764" s="8">
        <f>IFERROR(IFERROR(VLOOKUP(A2764,TRAOPE!$A:$W,23,0),VLOOKUP(B2764,TRAOPE!$A:$W,23,0)),"")</f>
        <v/>
      </c>
      <c r="S2764" s="10">
        <f>IF(AND(P2764="TN",R2764="TN"),N2764+N(O2764),IF(G2764&amp;""="1",N(K2764)*N2764,(N2764+N(O2764))*N(K2764)))</f>
        <v/>
      </c>
      <c r="T2764" s="10">
        <f>IF(Q2764="","",Q2764-S2764)</f>
        <v/>
      </c>
    </row>
    <row r="2765">
      <c r="A2765" s="7">
        <f>CONCATENATE(C2765,E2765,F2765,I2765)</f>
        <v/>
      </c>
      <c r="B2765" s="7">
        <f>CONCATENATE(C2765,E2765,I2765)</f>
        <v/>
      </c>
      <c r="C2765" s="8" t="n">
        <v>900009460</v>
      </c>
      <c r="D2765" s="7">
        <f>IFERROR(VLOOKUP(C2765,TRAOPE!$G:$H,2,0),"")</f>
        <v/>
      </c>
      <c r="E2765" s="8" t="inlineStr">
        <is>
          <t>D836</t>
        </is>
      </c>
      <c r="F2765" s="8" t="inlineStr">
        <is>
          <t>66827157</t>
        </is>
      </c>
      <c r="G2765" s="8">
        <f>IFERROR(VLOOKUP(A2765,Flete!$A:$E,5,0),"")</f>
        <v/>
      </c>
      <c r="H2765" s="7">
        <f>IFERROR(VLOOKUP(F2765,TRAOPE!$AA:$AB,2,0),"")</f>
        <v/>
      </c>
      <c r="I2765" s="7" t="n">
        <v>10264162</v>
      </c>
      <c r="J2765" s="7">
        <f>IFERROR(VLOOKUP(I2765,Materiales!$A:$H,8,0),"")</f>
        <v/>
      </c>
      <c r="K2765" s="9">
        <f>IFERROR(VLOOKUP(I2765,Materiales!$A:$G,7,0),"")</f>
        <v/>
      </c>
      <c r="L2765" s="8" t="inlineStr">
        <is>
          <t>20260325</t>
        </is>
      </c>
      <c r="M2765" s="8" t="inlineStr">
        <is>
          <t>99991231</t>
        </is>
      </c>
      <c r="N2765" s="10" t="n">
        <v>136</v>
      </c>
      <c r="O2765" s="10">
        <f>IFERROR(VLOOKUP(A2765,Flete!$A:$J,10,0),"")</f>
        <v/>
      </c>
      <c r="P2765" s="8" t="inlineStr">
        <is>
          <t>M3</t>
        </is>
      </c>
      <c r="Q2765" s="10">
        <f>IFERROR(IFERROR(VLOOKUP(A2765,TRAOPE!$A:$U,21,0),VLOOKUP(B2765,TRAOPE!$A:$U,21,0)),"")</f>
        <v/>
      </c>
      <c r="R2765" s="8">
        <f>IFERROR(IFERROR(VLOOKUP(A2765,TRAOPE!$A:$W,23,0),VLOOKUP(B2765,TRAOPE!$A:$W,23,0)),"")</f>
        <v/>
      </c>
      <c r="S2765" s="10">
        <f>IF(AND(P2765="TN",R2765="TN"),N2765+N(O2765),IF(G2765&amp;""="1",N(K2765)*N2765,(N2765+N(O2765))*N(K2765)))</f>
        <v/>
      </c>
      <c r="T2765" s="10">
        <f>IF(Q2765="","",Q2765-S2765)</f>
        <v/>
      </c>
    </row>
    <row r="2766">
      <c r="A2766" s="7">
        <f>CONCATENATE(C2766,E2766,F2766,I2766)</f>
        <v/>
      </c>
      <c r="B2766" s="7">
        <f>CONCATENATE(C2766,E2766,I2766)</f>
        <v/>
      </c>
      <c r="C2766" s="8" t="n">
        <v>900009460</v>
      </c>
      <c r="D2766" s="7">
        <f>IFERROR(VLOOKUP(C2766,TRAOPE!$G:$H,2,0),"")</f>
        <v/>
      </c>
      <c r="E2766" s="8" t="inlineStr">
        <is>
          <t>D836</t>
        </is>
      </c>
      <c r="F2766" s="8" t="inlineStr">
        <is>
          <t>66827157</t>
        </is>
      </c>
      <c r="G2766" s="8">
        <f>IFERROR(VLOOKUP(A2766,Flete!$A:$E,5,0),"")</f>
        <v/>
      </c>
      <c r="H2766" s="7">
        <f>IFERROR(VLOOKUP(F2766,TRAOPE!$AA:$AB,2,0),"")</f>
        <v/>
      </c>
      <c r="I2766" s="7" t="n">
        <v>10274754</v>
      </c>
      <c r="J2766" s="7">
        <f>IFERROR(VLOOKUP(I2766,Materiales!$A:$H,8,0),"")</f>
        <v/>
      </c>
      <c r="K2766" s="9">
        <f>IFERROR(VLOOKUP(I2766,Materiales!$A:$G,7,0),"")</f>
        <v/>
      </c>
      <c r="L2766" s="8" t="inlineStr">
        <is>
          <t>20260325</t>
        </is>
      </c>
      <c r="M2766" s="8" t="inlineStr">
        <is>
          <t>99991231</t>
        </is>
      </c>
      <c r="N2766" s="10" t="n">
        <v>190</v>
      </c>
      <c r="O2766" s="10">
        <f>IFERROR(VLOOKUP(A2766,Flete!$A:$J,10,0),"")</f>
        <v/>
      </c>
      <c r="P2766" s="8" t="inlineStr">
        <is>
          <t>M3</t>
        </is>
      </c>
      <c r="Q2766" s="10">
        <f>IFERROR(IFERROR(VLOOKUP(A2766,TRAOPE!$A:$U,21,0),VLOOKUP(B2766,TRAOPE!$A:$U,21,0)),"")</f>
        <v/>
      </c>
      <c r="R2766" s="8">
        <f>IFERROR(IFERROR(VLOOKUP(A2766,TRAOPE!$A:$W,23,0),VLOOKUP(B2766,TRAOPE!$A:$W,23,0)),"")</f>
        <v/>
      </c>
      <c r="S2766" s="10">
        <f>IF(AND(P2766="TN",R2766="TN"),N2766+N(O2766),IF(G2766&amp;""="1",N(K2766)*N2766,(N2766+N(O2766))*N(K2766)))</f>
        <v/>
      </c>
      <c r="T2766" s="10">
        <f>IF(Q2766="","",Q2766-S2766)</f>
        <v/>
      </c>
    </row>
    <row r="2767">
      <c r="A2767" s="7">
        <f>CONCATENATE(C2767,E2767,F2767,I2767)</f>
        <v/>
      </c>
      <c r="B2767" s="7">
        <f>CONCATENATE(C2767,E2767,I2767)</f>
        <v/>
      </c>
      <c r="C2767" s="8" t="n">
        <v>900009460</v>
      </c>
      <c r="D2767" s="7">
        <f>IFERROR(VLOOKUP(C2767,TRAOPE!$G:$H,2,0),"")</f>
        <v/>
      </c>
      <c r="E2767" s="8" t="inlineStr">
        <is>
          <t>D836</t>
        </is>
      </c>
      <c r="F2767" s="8" t="inlineStr">
        <is>
          <t>66827157</t>
        </is>
      </c>
      <c r="G2767" s="8">
        <f>IFERROR(VLOOKUP(A2767,Flete!$A:$E,5,0),"")</f>
        <v/>
      </c>
      <c r="H2767" s="7">
        <f>IFERROR(VLOOKUP(F2767,TRAOPE!$AA:$AB,2,0),"")</f>
        <v/>
      </c>
      <c r="I2767" s="7" t="n">
        <v>10277346</v>
      </c>
      <c r="J2767" s="7">
        <f>IFERROR(VLOOKUP(I2767,Materiales!$A:$H,8,0),"")</f>
        <v/>
      </c>
      <c r="K2767" s="9">
        <f>IFERROR(VLOOKUP(I2767,Materiales!$A:$G,7,0),"")</f>
        <v/>
      </c>
      <c r="L2767" s="8" t="inlineStr">
        <is>
          <t>20260803</t>
        </is>
      </c>
      <c r="M2767" s="8" t="inlineStr">
        <is>
          <t>99991231</t>
        </is>
      </c>
      <c r="N2767" s="10" t="n">
        <v>110</v>
      </c>
      <c r="O2767" s="10">
        <f>IFERROR(VLOOKUP(A2767,Flete!$A:$J,10,0),"")</f>
        <v/>
      </c>
      <c r="P2767" s="8" t="inlineStr">
        <is>
          <t>M3</t>
        </is>
      </c>
      <c r="Q2767" s="10">
        <f>IFERROR(IFERROR(VLOOKUP(A2767,TRAOPE!$A:$U,21,0),VLOOKUP(B2767,TRAOPE!$A:$U,21,0)),"")</f>
        <v/>
      </c>
      <c r="R2767" s="8">
        <f>IFERROR(IFERROR(VLOOKUP(A2767,TRAOPE!$A:$W,23,0),VLOOKUP(B2767,TRAOPE!$A:$W,23,0)),"")</f>
        <v/>
      </c>
      <c r="S2767" s="10">
        <f>IF(AND(P2767="TN",R2767="TN"),N2767+N(O2767),IF(G2767&amp;""="1",N(K2767)*N2767,(N2767+N(O2767))*N(K2767)))</f>
        <v/>
      </c>
      <c r="T2767" s="10">
        <f>IF(Q2767="","",Q2767-S2767)</f>
        <v/>
      </c>
    </row>
    <row r="2768">
      <c r="A2768" s="7">
        <f>CONCATENATE(C2768,E2768,F2768,I2768)</f>
        <v/>
      </c>
      <c r="B2768" s="7">
        <f>CONCATENATE(C2768,E2768,I2768)</f>
        <v/>
      </c>
      <c r="C2768" s="8" t="n">
        <v>900009460</v>
      </c>
      <c r="D2768" s="7">
        <f>IFERROR(VLOOKUP(C2768,TRAOPE!$G:$H,2,0),"")</f>
        <v/>
      </c>
      <c r="E2768" s="8" t="inlineStr">
        <is>
          <t>D836</t>
        </is>
      </c>
      <c r="F2768" s="8" t="inlineStr">
        <is>
          <t>66828114</t>
        </is>
      </c>
      <c r="G2768" s="8">
        <f>IFERROR(VLOOKUP(A2768,Flete!$A:$E,5,0),"")</f>
        <v/>
      </c>
      <c r="H2768" s="7">
        <f>IFERROR(VLOOKUP(F2768,TRAOPE!$AA:$AB,2,0),"")</f>
        <v/>
      </c>
      <c r="I2768" s="7" t="n">
        <v>10264162</v>
      </c>
      <c r="J2768" s="7">
        <f>IFERROR(VLOOKUP(I2768,Materiales!$A:$H,8,0),"")</f>
        <v/>
      </c>
      <c r="K2768" s="9">
        <f>IFERROR(VLOOKUP(I2768,Materiales!$A:$G,7,0),"")</f>
        <v/>
      </c>
      <c r="L2768" s="8" t="inlineStr">
        <is>
          <t>20260325</t>
        </is>
      </c>
      <c r="M2768" s="8" t="inlineStr">
        <is>
          <t>99991231</t>
        </is>
      </c>
      <c r="N2768" s="10" t="n">
        <v>148</v>
      </c>
      <c r="O2768" s="10">
        <f>IFERROR(VLOOKUP(A2768,Flete!$A:$J,10,0),"")</f>
        <v/>
      </c>
      <c r="P2768" s="8" t="inlineStr">
        <is>
          <t>M3</t>
        </is>
      </c>
      <c r="Q2768" s="10">
        <f>IFERROR(IFERROR(VLOOKUP(A2768,TRAOPE!$A:$U,21,0),VLOOKUP(B2768,TRAOPE!$A:$U,21,0)),"")</f>
        <v/>
      </c>
      <c r="R2768" s="8">
        <f>IFERROR(IFERROR(VLOOKUP(A2768,TRAOPE!$A:$W,23,0),VLOOKUP(B2768,TRAOPE!$A:$W,23,0)),"")</f>
        <v/>
      </c>
      <c r="S2768" s="10">
        <f>IF(AND(P2768="TN",R2768="TN"),N2768+N(O2768),IF(G2768&amp;""="1",N(K2768)*N2768,(N2768+N(O2768))*N(K2768)))</f>
        <v/>
      </c>
      <c r="T2768" s="10">
        <f>IF(Q2768="","",Q2768-S2768)</f>
        <v/>
      </c>
    </row>
    <row r="2769">
      <c r="A2769" s="7">
        <f>CONCATENATE(C2769,E2769,F2769,I2769)</f>
        <v/>
      </c>
      <c r="B2769" s="7">
        <f>CONCATENATE(C2769,E2769,I2769)</f>
        <v/>
      </c>
      <c r="C2769" s="8" t="n">
        <v>900009460</v>
      </c>
      <c r="D2769" s="7">
        <f>IFERROR(VLOOKUP(C2769,TRAOPE!$G:$H,2,0),"")</f>
        <v/>
      </c>
      <c r="E2769" s="8" t="inlineStr">
        <is>
          <t>D836</t>
        </is>
      </c>
      <c r="F2769" s="8" t="inlineStr">
        <is>
          <t>66828114</t>
        </is>
      </c>
      <c r="G2769" s="8">
        <f>IFERROR(VLOOKUP(A2769,Flete!$A:$E,5,0),"")</f>
        <v/>
      </c>
      <c r="H2769" s="7">
        <f>IFERROR(VLOOKUP(F2769,TRAOPE!$AA:$AB,2,0),"")</f>
        <v/>
      </c>
      <c r="I2769" s="7" t="n">
        <v>10274754</v>
      </c>
      <c r="J2769" s="7">
        <f>IFERROR(VLOOKUP(I2769,Materiales!$A:$H,8,0),"")</f>
        <v/>
      </c>
      <c r="K2769" s="9">
        <f>IFERROR(VLOOKUP(I2769,Materiales!$A:$G,7,0),"")</f>
        <v/>
      </c>
      <c r="L2769" s="8" t="inlineStr">
        <is>
          <t>20260325</t>
        </is>
      </c>
      <c r="M2769" s="8" t="inlineStr">
        <is>
          <t>99991231</t>
        </is>
      </c>
      <c r="N2769" s="10" t="n">
        <v>180</v>
      </c>
      <c r="O2769" s="10">
        <f>IFERROR(VLOOKUP(A2769,Flete!$A:$J,10,0),"")</f>
        <v/>
      </c>
      <c r="P2769" s="8" t="inlineStr">
        <is>
          <t>M3</t>
        </is>
      </c>
      <c r="Q2769" s="10">
        <f>IFERROR(IFERROR(VLOOKUP(A2769,TRAOPE!$A:$U,21,0),VLOOKUP(B2769,TRAOPE!$A:$U,21,0)),"")</f>
        <v/>
      </c>
      <c r="R2769" s="8">
        <f>IFERROR(IFERROR(VLOOKUP(A2769,TRAOPE!$A:$W,23,0),VLOOKUP(B2769,TRAOPE!$A:$W,23,0)),"")</f>
        <v/>
      </c>
      <c r="S2769" s="10">
        <f>IF(AND(P2769="TN",R2769="TN"),N2769+N(O2769),IF(G2769&amp;""="1",N(K2769)*N2769,(N2769+N(O2769))*N(K2769)))</f>
        <v/>
      </c>
      <c r="T2769" s="10">
        <f>IF(Q2769="","",Q2769-S2769)</f>
        <v/>
      </c>
    </row>
    <row r="2770">
      <c r="A2770" s="7">
        <f>CONCATENATE(C2770,E2770,F2770,I2770)</f>
        <v/>
      </c>
      <c r="B2770" s="7">
        <f>CONCATENATE(C2770,E2770,I2770)</f>
        <v/>
      </c>
      <c r="C2770" s="8" t="n">
        <v>900009460</v>
      </c>
      <c r="D2770" s="7">
        <f>IFERROR(VLOOKUP(C2770,TRAOPE!$G:$H,2,0),"")</f>
        <v/>
      </c>
      <c r="E2770" s="8" t="inlineStr">
        <is>
          <t>D836</t>
        </is>
      </c>
      <c r="F2770" s="8" t="inlineStr">
        <is>
          <t>66828114</t>
        </is>
      </c>
      <c r="G2770" s="8">
        <f>IFERROR(VLOOKUP(A2770,Flete!$A:$E,5,0),"")</f>
        <v/>
      </c>
      <c r="H2770" s="7">
        <f>IFERROR(VLOOKUP(F2770,TRAOPE!$AA:$AB,2,0),"")</f>
        <v/>
      </c>
      <c r="I2770" s="7" t="n">
        <v>10277346</v>
      </c>
      <c r="J2770" s="7">
        <f>IFERROR(VLOOKUP(I2770,Materiales!$A:$H,8,0),"")</f>
        <v/>
      </c>
      <c r="K2770" s="9">
        <f>IFERROR(VLOOKUP(I2770,Materiales!$A:$G,7,0),"")</f>
        <v/>
      </c>
      <c r="L2770" s="8" t="inlineStr">
        <is>
          <t>20260611</t>
        </is>
      </c>
      <c r="M2770" s="8" t="inlineStr">
        <is>
          <t>99991231</t>
        </is>
      </c>
      <c r="N2770" s="10" t="n">
        <v>180</v>
      </c>
      <c r="O2770" s="10">
        <f>IFERROR(VLOOKUP(A2770,Flete!$A:$J,10,0),"")</f>
        <v/>
      </c>
      <c r="P2770" s="8" t="inlineStr">
        <is>
          <t>M3</t>
        </is>
      </c>
      <c r="Q2770" s="10">
        <f>IFERROR(IFERROR(VLOOKUP(A2770,TRAOPE!$A:$U,21,0),VLOOKUP(B2770,TRAOPE!$A:$U,21,0)),"")</f>
        <v/>
      </c>
      <c r="R2770" s="8">
        <f>IFERROR(IFERROR(VLOOKUP(A2770,TRAOPE!$A:$W,23,0),VLOOKUP(B2770,TRAOPE!$A:$W,23,0)),"")</f>
        <v/>
      </c>
      <c r="S2770" s="10">
        <f>IF(AND(P2770="TN",R2770="TN"),N2770+N(O2770),IF(G2770&amp;""="1",N(K2770)*N2770,(N2770+N(O2770))*N(K2770)))</f>
        <v/>
      </c>
      <c r="T2770" s="10">
        <f>IF(Q2770="","",Q2770-S2770)</f>
        <v/>
      </c>
    </row>
    <row r="2771">
      <c r="A2771" s="7">
        <f>CONCATENATE(C2771,E2771,F2771,I2771)</f>
        <v/>
      </c>
      <c r="B2771" s="7">
        <f>CONCATENATE(C2771,E2771,I2771)</f>
        <v/>
      </c>
      <c r="C2771" s="8" t="n">
        <v>900009460</v>
      </c>
      <c r="D2771" s="7">
        <f>IFERROR(VLOOKUP(C2771,TRAOPE!$G:$H,2,0),"")</f>
        <v/>
      </c>
      <c r="E2771" s="8" t="inlineStr">
        <is>
          <t>D836</t>
        </is>
      </c>
      <c r="F2771" s="8" t="inlineStr">
        <is>
          <t>66859565</t>
        </is>
      </c>
      <c r="G2771" s="8">
        <f>IFERROR(VLOOKUP(A2771,Flete!$A:$E,5,0),"")</f>
        <v/>
      </c>
      <c r="H2771" s="7">
        <f>IFERROR(VLOOKUP(F2771,TRAOPE!$AA:$AB,2,0),"")</f>
        <v/>
      </c>
      <c r="I2771" s="7" t="n">
        <v>10274190</v>
      </c>
      <c r="J2771" s="7">
        <f>IFERROR(VLOOKUP(I2771,Materiales!$A:$H,8,0),"")</f>
        <v/>
      </c>
      <c r="K2771" s="9">
        <f>IFERROR(VLOOKUP(I2771,Materiales!$A:$G,7,0),"")</f>
        <v/>
      </c>
      <c r="L2771" s="8" t="inlineStr">
        <is>
          <t>20260206</t>
        </is>
      </c>
      <c r="M2771" s="8" t="inlineStr">
        <is>
          <t>99991231</t>
        </is>
      </c>
      <c r="N2771" s="10" t="n">
        <v>210</v>
      </c>
      <c r="O2771" s="10">
        <f>IFERROR(VLOOKUP(A2771,Flete!$A:$J,10,0),"")</f>
        <v/>
      </c>
      <c r="P2771" s="8" t="inlineStr">
        <is>
          <t>M3</t>
        </is>
      </c>
      <c r="Q2771" s="10">
        <f>IFERROR(IFERROR(VLOOKUP(A2771,TRAOPE!$A:$U,21,0),VLOOKUP(B2771,TRAOPE!$A:$U,21,0)),"")</f>
        <v/>
      </c>
      <c r="R2771" s="8">
        <f>IFERROR(IFERROR(VLOOKUP(A2771,TRAOPE!$A:$W,23,0),VLOOKUP(B2771,TRAOPE!$A:$W,23,0)),"")</f>
        <v/>
      </c>
      <c r="S2771" s="10">
        <f>IF(AND(P2771="TN",R2771="TN"),N2771+N(O2771),IF(G2771&amp;""="1",N(K2771)*N2771,(N2771+N(O2771))*N(K2771)))</f>
        <v/>
      </c>
      <c r="T2771" s="10">
        <f>IF(Q2771="","",Q2771-S2771)</f>
        <v/>
      </c>
    </row>
    <row r="2772">
      <c r="A2772" s="7">
        <f>CONCATENATE(C2772,E2772,F2772,I2772)</f>
        <v/>
      </c>
      <c r="B2772" s="7">
        <f>CONCATENATE(C2772,E2772,I2772)</f>
        <v/>
      </c>
      <c r="C2772" s="8" t="n">
        <v>900009460</v>
      </c>
      <c r="D2772" s="7">
        <f>IFERROR(VLOOKUP(C2772,TRAOPE!$G:$H,2,0),"")</f>
        <v/>
      </c>
      <c r="E2772" s="8" t="inlineStr">
        <is>
          <t>D836</t>
        </is>
      </c>
      <c r="F2772" s="8" t="inlineStr">
        <is>
          <t>66864508</t>
        </is>
      </c>
      <c r="G2772" s="8">
        <f>IFERROR(VLOOKUP(A2772,Flete!$A:$E,5,0),"")</f>
        <v/>
      </c>
      <c r="H2772" s="7">
        <f>IFERROR(VLOOKUP(F2772,TRAOPE!$AA:$AB,2,0),"")</f>
        <v/>
      </c>
      <c r="I2772" s="7" t="n">
        <v>10264162</v>
      </c>
      <c r="J2772" s="7">
        <f>IFERROR(VLOOKUP(I2772,Materiales!$A:$H,8,0),"")</f>
        <v/>
      </c>
      <c r="K2772" s="9">
        <f>IFERROR(VLOOKUP(I2772,Materiales!$A:$G,7,0),"")</f>
        <v/>
      </c>
      <c r="L2772" s="8" t="inlineStr">
        <is>
          <t>20260417</t>
        </is>
      </c>
      <c r="M2772" s="8" t="inlineStr">
        <is>
          <t>99991231</t>
        </is>
      </c>
      <c r="N2772" s="10" t="n">
        <v>275.83</v>
      </c>
      <c r="O2772" s="10">
        <f>IFERROR(VLOOKUP(A2772,Flete!$A:$J,10,0),"")</f>
        <v/>
      </c>
      <c r="P2772" s="8" t="inlineStr">
        <is>
          <t>M3</t>
        </is>
      </c>
      <c r="Q2772" s="10">
        <f>IFERROR(IFERROR(VLOOKUP(A2772,TRAOPE!$A:$U,21,0),VLOOKUP(B2772,TRAOPE!$A:$U,21,0)),"")</f>
        <v/>
      </c>
      <c r="R2772" s="8">
        <f>IFERROR(IFERROR(VLOOKUP(A2772,TRAOPE!$A:$W,23,0),VLOOKUP(B2772,TRAOPE!$A:$W,23,0)),"")</f>
        <v/>
      </c>
      <c r="S2772" s="10">
        <f>IF(AND(P2772="TN",R2772="TN"),N2772+N(O2772),IF(G2772&amp;""="1",N(K2772)*N2772,(N2772+N(O2772))*N(K2772)))</f>
        <v/>
      </c>
      <c r="T2772" s="10">
        <f>IF(Q2772="","",Q2772-S2772)</f>
        <v/>
      </c>
    </row>
    <row r="2773">
      <c r="A2773" s="7">
        <f>CONCATENATE(C2773,E2773,F2773,I2773)</f>
        <v/>
      </c>
      <c r="B2773" s="7">
        <f>CONCATENATE(C2773,E2773,I2773)</f>
        <v/>
      </c>
      <c r="C2773" s="8" t="n">
        <v>900009460</v>
      </c>
      <c r="D2773" s="7">
        <f>IFERROR(VLOOKUP(C2773,TRAOPE!$G:$H,2,0),"")</f>
        <v/>
      </c>
      <c r="E2773" s="8" t="inlineStr">
        <is>
          <t>D836</t>
        </is>
      </c>
      <c r="F2773" s="8" t="inlineStr">
        <is>
          <t>66864508</t>
        </is>
      </c>
      <c r="G2773" s="8">
        <f>IFERROR(VLOOKUP(A2773,Flete!$A:$E,5,0),"")</f>
        <v/>
      </c>
      <c r="H2773" s="7">
        <f>IFERROR(VLOOKUP(F2773,TRAOPE!$AA:$AB,2,0),"")</f>
        <v/>
      </c>
      <c r="I2773" s="7" t="n">
        <v>10274754</v>
      </c>
      <c r="J2773" s="7">
        <f>IFERROR(VLOOKUP(I2773,Materiales!$A:$H,8,0),"")</f>
        <v/>
      </c>
      <c r="K2773" s="9">
        <f>IFERROR(VLOOKUP(I2773,Materiales!$A:$G,7,0),"")</f>
        <v/>
      </c>
      <c r="L2773" s="8" t="inlineStr">
        <is>
          <t>20260318</t>
        </is>
      </c>
      <c r="M2773" s="8" t="inlineStr">
        <is>
          <t>99991231</t>
        </is>
      </c>
      <c r="N2773" s="10" t="n">
        <v>170</v>
      </c>
      <c r="O2773" s="10">
        <f>IFERROR(VLOOKUP(A2773,Flete!$A:$J,10,0),"")</f>
        <v/>
      </c>
      <c r="P2773" s="8" t="inlineStr">
        <is>
          <t>M3</t>
        </is>
      </c>
      <c r="Q2773" s="10">
        <f>IFERROR(IFERROR(VLOOKUP(A2773,TRAOPE!$A:$U,21,0),VLOOKUP(B2773,TRAOPE!$A:$U,21,0)),"")</f>
        <v/>
      </c>
      <c r="R2773" s="8">
        <f>IFERROR(IFERROR(VLOOKUP(A2773,TRAOPE!$A:$W,23,0),VLOOKUP(B2773,TRAOPE!$A:$W,23,0)),"")</f>
        <v/>
      </c>
      <c r="S2773" s="10">
        <f>IF(AND(P2773="TN",R2773="TN"),N2773+N(O2773),IF(G2773&amp;""="1",N(K2773)*N2773,(N2773+N(O2773))*N(K2773)))</f>
        <v/>
      </c>
      <c r="T2773" s="10">
        <f>IF(Q2773="","",Q2773-S2773)</f>
        <v/>
      </c>
    </row>
    <row r="2774">
      <c r="A2774" s="7">
        <f>CONCATENATE(C2774,E2774,F2774,I2774)</f>
        <v/>
      </c>
      <c r="B2774" s="7">
        <f>CONCATENATE(C2774,E2774,I2774)</f>
        <v/>
      </c>
      <c r="C2774" s="8" t="n">
        <v>900009460</v>
      </c>
      <c r="D2774" s="7">
        <f>IFERROR(VLOOKUP(C2774,TRAOPE!$G:$H,2,0),"")</f>
        <v/>
      </c>
      <c r="E2774" s="8" t="inlineStr">
        <is>
          <t>D836</t>
        </is>
      </c>
      <c r="F2774" s="8" t="inlineStr">
        <is>
          <t>66864508</t>
        </is>
      </c>
      <c r="G2774" s="8">
        <f>IFERROR(VLOOKUP(A2774,Flete!$A:$E,5,0),"")</f>
        <v/>
      </c>
      <c r="H2774" s="7">
        <f>IFERROR(VLOOKUP(F2774,TRAOPE!$AA:$AB,2,0),"")</f>
        <v/>
      </c>
      <c r="I2774" s="7" t="n">
        <v>10276711</v>
      </c>
      <c r="J2774" s="7">
        <f>IFERROR(VLOOKUP(I2774,Materiales!$A:$H,8,0),"")</f>
        <v/>
      </c>
      <c r="K2774" s="9">
        <f>IFERROR(VLOOKUP(I2774,Materiales!$A:$G,7,0),"")</f>
        <v/>
      </c>
      <c r="L2774" s="8" t="inlineStr">
        <is>
          <t>20260427</t>
        </is>
      </c>
      <c r="M2774" s="8" t="inlineStr">
        <is>
          <t>99991231</t>
        </is>
      </c>
      <c r="N2774" s="10" t="n">
        <v>144.79</v>
      </c>
      <c r="O2774" s="10">
        <f>IFERROR(VLOOKUP(A2774,Flete!$A:$J,10,0),"")</f>
        <v/>
      </c>
      <c r="P2774" s="8" t="inlineStr">
        <is>
          <t>M3</t>
        </is>
      </c>
      <c r="Q2774" s="10">
        <f>IFERROR(IFERROR(VLOOKUP(A2774,TRAOPE!$A:$U,21,0),VLOOKUP(B2774,TRAOPE!$A:$U,21,0)),"")</f>
        <v/>
      </c>
      <c r="R2774" s="8">
        <f>IFERROR(IFERROR(VLOOKUP(A2774,TRAOPE!$A:$W,23,0),VLOOKUP(B2774,TRAOPE!$A:$W,23,0)),"")</f>
        <v/>
      </c>
      <c r="S2774" s="10">
        <f>IF(AND(P2774="TN",R2774="TN"),N2774+N(O2774),IF(G2774&amp;""="1",N(K2774)*N2774,(N2774+N(O2774))*N(K2774)))</f>
        <v/>
      </c>
      <c r="T2774" s="10">
        <f>IF(Q2774="","",Q2774-S2774)</f>
        <v/>
      </c>
    </row>
    <row r="2775">
      <c r="A2775" s="7">
        <f>CONCATENATE(C2775,E2775,F2775,I2775)</f>
        <v/>
      </c>
      <c r="B2775" s="7">
        <f>CONCATENATE(C2775,E2775,I2775)</f>
        <v/>
      </c>
      <c r="C2775" s="8" t="n">
        <v>900009460</v>
      </c>
      <c r="D2775" s="7">
        <f>IFERROR(VLOOKUP(C2775,TRAOPE!$G:$H,2,0),"")</f>
        <v/>
      </c>
      <c r="E2775" s="8" t="inlineStr">
        <is>
          <t>D836</t>
        </is>
      </c>
      <c r="F2775" s="8" t="inlineStr">
        <is>
          <t>66864508</t>
        </is>
      </c>
      <c r="G2775" s="8">
        <f>IFERROR(VLOOKUP(A2775,Flete!$A:$E,5,0),"")</f>
        <v/>
      </c>
      <c r="H2775" s="7">
        <f>IFERROR(VLOOKUP(F2775,TRAOPE!$AA:$AB,2,0),"")</f>
        <v/>
      </c>
      <c r="I2775" s="7" t="n">
        <v>10277346</v>
      </c>
      <c r="J2775" s="7">
        <f>IFERROR(VLOOKUP(I2775,Materiales!$A:$H,8,0),"")</f>
        <v/>
      </c>
      <c r="K2775" s="9">
        <f>IFERROR(VLOOKUP(I2775,Materiales!$A:$G,7,0),"")</f>
        <v/>
      </c>
      <c r="L2775" s="8" t="inlineStr">
        <is>
          <t>20260518</t>
        </is>
      </c>
      <c r="M2775" s="8" t="inlineStr">
        <is>
          <t>99991231</t>
        </is>
      </c>
      <c r="N2775" s="10" t="n">
        <v>120</v>
      </c>
      <c r="O2775" s="10">
        <f>IFERROR(VLOOKUP(A2775,Flete!$A:$J,10,0),"")</f>
        <v/>
      </c>
      <c r="P2775" s="8" t="inlineStr">
        <is>
          <t>M3</t>
        </is>
      </c>
      <c r="Q2775" s="10">
        <f>IFERROR(IFERROR(VLOOKUP(A2775,TRAOPE!$A:$U,21,0),VLOOKUP(B2775,TRAOPE!$A:$U,21,0)),"")</f>
        <v/>
      </c>
      <c r="R2775" s="8">
        <f>IFERROR(IFERROR(VLOOKUP(A2775,TRAOPE!$A:$W,23,0),VLOOKUP(B2775,TRAOPE!$A:$W,23,0)),"")</f>
        <v/>
      </c>
      <c r="S2775" s="10">
        <f>IF(AND(P2775="TN",R2775="TN"),N2775+N(O2775),IF(G2775&amp;""="1",N(K2775)*N2775,(N2775+N(O2775))*N(K2775)))</f>
        <v/>
      </c>
      <c r="T2775" s="10">
        <f>IF(Q2775="","",Q2775-S2775)</f>
        <v/>
      </c>
    </row>
    <row r="2776">
      <c r="A2776" s="7">
        <f>CONCATENATE(C2776,E2776,F2776,I2776)</f>
        <v/>
      </c>
      <c r="B2776" s="7">
        <f>CONCATENATE(C2776,E2776,I2776)</f>
        <v/>
      </c>
      <c r="C2776" s="8" t="n">
        <v>900009460</v>
      </c>
      <c r="D2776" s="7">
        <f>IFERROR(VLOOKUP(C2776,TRAOPE!$G:$H,2,0),"")</f>
        <v/>
      </c>
      <c r="E2776" s="8" t="inlineStr">
        <is>
          <t>D836</t>
        </is>
      </c>
      <c r="F2776" s="8" t="inlineStr">
        <is>
          <t>66864540</t>
        </is>
      </c>
      <c r="G2776" s="8">
        <f>IFERROR(VLOOKUP(A2776,Flete!$A:$E,5,0),"")</f>
        <v/>
      </c>
      <c r="H2776" s="7">
        <f>IFERROR(VLOOKUP(F2776,TRAOPE!$AA:$AB,2,0),"")</f>
        <v/>
      </c>
      <c r="I2776" s="7" t="n">
        <v>10264162</v>
      </c>
      <c r="J2776" s="7">
        <f>IFERROR(VLOOKUP(I2776,Materiales!$A:$H,8,0),"")</f>
        <v/>
      </c>
      <c r="K2776" s="9">
        <f>IFERROR(VLOOKUP(I2776,Materiales!$A:$G,7,0),"")</f>
        <v/>
      </c>
      <c r="L2776" s="8" t="inlineStr">
        <is>
          <t>20260417</t>
        </is>
      </c>
      <c r="M2776" s="8" t="inlineStr">
        <is>
          <t>99991231</t>
        </is>
      </c>
      <c r="N2776" s="10" t="n">
        <v>271.15</v>
      </c>
      <c r="O2776" s="10">
        <f>IFERROR(VLOOKUP(A2776,Flete!$A:$J,10,0),"")</f>
        <v/>
      </c>
      <c r="P2776" s="8" t="inlineStr">
        <is>
          <t>M3</t>
        </is>
      </c>
      <c r="Q2776" s="10">
        <f>IFERROR(IFERROR(VLOOKUP(A2776,TRAOPE!$A:$U,21,0),VLOOKUP(B2776,TRAOPE!$A:$U,21,0)),"")</f>
        <v/>
      </c>
      <c r="R2776" s="8">
        <f>IFERROR(IFERROR(VLOOKUP(A2776,TRAOPE!$A:$W,23,0),VLOOKUP(B2776,TRAOPE!$A:$W,23,0)),"")</f>
        <v/>
      </c>
      <c r="S2776" s="10">
        <f>IF(AND(P2776="TN",R2776="TN"),N2776+N(O2776),IF(G2776&amp;""="1",N(K2776)*N2776,(N2776+N(O2776))*N(K2776)))</f>
        <v/>
      </c>
      <c r="T2776" s="10">
        <f>IF(Q2776="","",Q2776-S2776)</f>
        <v/>
      </c>
    </row>
    <row r="2777">
      <c r="A2777" s="7">
        <f>CONCATENATE(C2777,E2777,F2777,I2777)</f>
        <v/>
      </c>
      <c r="B2777" s="7">
        <f>CONCATENATE(C2777,E2777,I2777)</f>
        <v/>
      </c>
      <c r="C2777" s="8" t="n">
        <v>900009460</v>
      </c>
      <c r="D2777" s="7">
        <f>IFERROR(VLOOKUP(C2777,TRAOPE!$G:$H,2,0),"")</f>
        <v/>
      </c>
      <c r="E2777" s="8" t="inlineStr">
        <is>
          <t>D836</t>
        </is>
      </c>
      <c r="F2777" s="8" t="inlineStr">
        <is>
          <t>66864540</t>
        </is>
      </c>
      <c r="G2777" s="8">
        <f>IFERROR(VLOOKUP(A2777,Flete!$A:$E,5,0),"")</f>
        <v/>
      </c>
      <c r="H2777" s="7">
        <f>IFERROR(VLOOKUP(F2777,TRAOPE!$AA:$AB,2,0),"")</f>
        <v/>
      </c>
      <c r="I2777" s="7" t="n">
        <v>10274754</v>
      </c>
      <c r="J2777" s="7">
        <f>IFERROR(VLOOKUP(I2777,Materiales!$A:$H,8,0),"")</f>
        <v/>
      </c>
      <c r="K2777" s="9">
        <f>IFERROR(VLOOKUP(I2777,Materiales!$A:$G,7,0),"")</f>
        <v/>
      </c>
      <c r="L2777" s="8" t="inlineStr">
        <is>
          <t>20260318</t>
        </is>
      </c>
      <c r="M2777" s="8" t="inlineStr">
        <is>
          <t>99991231</t>
        </is>
      </c>
      <c r="N2777" s="10" t="n">
        <v>170</v>
      </c>
      <c r="O2777" s="10">
        <f>IFERROR(VLOOKUP(A2777,Flete!$A:$J,10,0),"")</f>
        <v/>
      </c>
      <c r="P2777" s="8" t="inlineStr">
        <is>
          <t>M3</t>
        </is>
      </c>
      <c r="Q2777" s="10">
        <f>IFERROR(IFERROR(VLOOKUP(A2777,TRAOPE!$A:$U,21,0),VLOOKUP(B2777,TRAOPE!$A:$U,21,0)),"")</f>
        <v/>
      </c>
      <c r="R2777" s="8">
        <f>IFERROR(IFERROR(VLOOKUP(A2777,TRAOPE!$A:$W,23,0),VLOOKUP(B2777,TRAOPE!$A:$W,23,0)),"")</f>
        <v/>
      </c>
      <c r="S2777" s="10">
        <f>IF(AND(P2777="TN",R2777="TN"),N2777+N(O2777),IF(G2777&amp;""="1",N(K2777)*N2777,(N2777+N(O2777))*N(K2777)))</f>
        <v/>
      </c>
      <c r="T2777" s="10">
        <f>IF(Q2777="","",Q2777-S2777)</f>
        <v/>
      </c>
    </row>
    <row r="2778">
      <c r="A2778" s="7">
        <f>CONCATENATE(C2778,E2778,F2778,I2778)</f>
        <v/>
      </c>
      <c r="B2778" s="7">
        <f>CONCATENATE(C2778,E2778,I2778)</f>
        <v/>
      </c>
      <c r="C2778" s="8" t="n">
        <v>900009460</v>
      </c>
      <c r="D2778" s="7">
        <f>IFERROR(VLOOKUP(C2778,TRAOPE!$G:$H,2,0),"")</f>
        <v/>
      </c>
      <c r="E2778" s="8" t="inlineStr">
        <is>
          <t>D836</t>
        </is>
      </c>
      <c r="F2778" s="8" t="inlineStr">
        <is>
          <t>66864540</t>
        </is>
      </c>
      <c r="G2778" s="8">
        <f>IFERROR(VLOOKUP(A2778,Flete!$A:$E,5,0),"")</f>
        <v/>
      </c>
      <c r="H2778" s="7">
        <f>IFERROR(VLOOKUP(F2778,TRAOPE!$AA:$AB,2,0),"")</f>
        <v/>
      </c>
      <c r="I2778" s="7" t="n">
        <v>10276711</v>
      </c>
      <c r="J2778" s="7">
        <f>IFERROR(VLOOKUP(I2778,Materiales!$A:$H,8,0),"")</f>
        <v/>
      </c>
      <c r="K2778" s="9">
        <f>IFERROR(VLOOKUP(I2778,Materiales!$A:$G,7,0),"")</f>
        <v/>
      </c>
      <c r="L2778" s="8" t="inlineStr">
        <is>
          <t>20260427</t>
        </is>
      </c>
      <c r="M2778" s="8" t="inlineStr">
        <is>
          <t>99991231</t>
        </is>
      </c>
      <c r="N2778" s="10" t="n">
        <v>144.8</v>
      </c>
      <c r="O2778" s="10">
        <f>IFERROR(VLOOKUP(A2778,Flete!$A:$J,10,0),"")</f>
        <v/>
      </c>
      <c r="P2778" s="8" t="inlineStr">
        <is>
          <t>M3</t>
        </is>
      </c>
      <c r="Q2778" s="10">
        <f>IFERROR(IFERROR(VLOOKUP(A2778,TRAOPE!$A:$U,21,0),VLOOKUP(B2778,TRAOPE!$A:$U,21,0)),"")</f>
        <v/>
      </c>
      <c r="R2778" s="8">
        <f>IFERROR(IFERROR(VLOOKUP(A2778,TRAOPE!$A:$W,23,0),VLOOKUP(B2778,TRAOPE!$A:$W,23,0)),"")</f>
        <v/>
      </c>
      <c r="S2778" s="10">
        <f>IF(AND(P2778="TN",R2778="TN"),N2778+N(O2778),IF(G2778&amp;""="1",N(K2778)*N2778,(N2778+N(O2778))*N(K2778)))</f>
        <v/>
      </c>
      <c r="T2778" s="10">
        <f>IF(Q2778="","",Q2778-S2778)</f>
        <v/>
      </c>
    </row>
    <row r="2779">
      <c r="A2779" s="7">
        <f>CONCATENATE(C2779,E2779,F2779,I2779)</f>
        <v/>
      </c>
      <c r="B2779" s="7">
        <f>CONCATENATE(C2779,E2779,I2779)</f>
        <v/>
      </c>
      <c r="C2779" s="8" t="n">
        <v>900009460</v>
      </c>
      <c r="D2779" s="7">
        <f>IFERROR(VLOOKUP(C2779,TRAOPE!$G:$H,2,0),"")</f>
        <v/>
      </c>
      <c r="E2779" s="8" t="inlineStr">
        <is>
          <t>D836</t>
        </is>
      </c>
      <c r="F2779" s="8" t="inlineStr">
        <is>
          <t>66864540</t>
        </is>
      </c>
      <c r="G2779" s="8">
        <f>IFERROR(VLOOKUP(A2779,Flete!$A:$E,5,0),"")</f>
        <v/>
      </c>
      <c r="H2779" s="7">
        <f>IFERROR(VLOOKUP(F2779,TRAOPE!$AA:$AB,2,0),"")</f>
        <v/>
      </c>
      <c r="I2779" s="7" t="n">
        <v>10277346</v>
      </c>
      <c r="J2779" s="7">
        <f>IFERROR(VLOOKUP(I2779,Materiales!$A:$H,8,0),"")</f>
        <v/>
      </c>
      <c r="K2779" s="9">
        <f>IFERROR(VLOOKUP(I2779,Materiales!$A:$G,7,0),"")</f>
        <v/>
      </c>
      <c r="L2779" s="8" t="inlineStr">
        <is>
          <t>20260518</t>
        </is>
      </c>
      <c r="M2779" s="8" t="inlineStr">
        <is>
          <t>99991231</t>
        </is>
      </c>
      <c r="N2779" s="10" t="n">
        <v>120</v>
      </c>
      <c r="O2779" s="10">
        <f>IFERROR(VLOOKUP(A2779,Flete!$A:$J,10,0),"")</f>
        <v/>
      </c>
      <c r="P2779" s="8" t="inlineStr">
        <is>
          <t>M3</t>
        </is>
      </c>
      <c r="Q2779" s="10">
        <f>IFERROR(IFERROR(VLOOKUP(A2779,TRAOPE!$A:$U,21,0),VLOOKUP(B2779,TRAOPE!$A:$U,21,0)),"")</f>
        <v/>
      </c>
      <c r="R2779" s="8">
        <f>IFERROR(IFERROR(VLOOKUP(A2779,TRAOPE!$A:$W,23,0),VLOOKUP(B2779,TRAOPE!$A:$W,23,0)),"")</f>
        <v/>
      </c>
      <c r="S2779" s="10">
        <f>IF(AND(P2779="TN",R2779="TN"),N2779+N(O2779),IF(G2779&amp;""="1",N(K2779)*N2779,(N2779+N(O2779))*N(K2779)))</f>
        <v/>
      </c>
      <c r="T2779" s="10">
        <f>IF(Q2779="","",Q2779-S2779)</f>
        <v/>
      </c>
    </row>
    <row r="2780">
      <c r="A2780" s="7">
        <f>CONCATENATE(C2780,E2780,F2780,I2780)</f>
        <v/>
      </c>
      <c r="B2780" s="7">
        <f>CONCATENATE(C2780,E2780,I2780)</f>
        <v/>
      </c>
      <c r="C2780" s="8" t="n">
        <v>900009460</v>
      </c>
      <c r="D2780" s="7">
        <f>IFERROR(VLOOKUP(C2780,TRAOPE!$G:$H,2,0),"")</f>
        <v/>
      </c>
      <c r="E2780" s="8" t="inlineStr">
        <is>
          <t>D836</t>
        </is>
      </c>
      <c r="F2780" s="8" t="inlineStr">
        <is>
          <t>66908488</t>
        </is>
      </c>
      <c r="G2780" s="8">
        <f>IFERROR(VLOOKUP(A2780,Flete!$A:$E,5,0),"")</f>
        <v/>
      </c>
      <c r="H2780" s="7">
        <f>IFERROR(VLOOKUP(F2780,TRAOPE!$AA:$AB,2,0),"")</f>
        <v/>
      </c>
      <c r="I2780" s="7" t="n">
        <v>10274190</v>
      </c>
      <c r="J2780" s="7">
        <f>IFERROR(VLOOKUP(I2780,Materiales!$A:$H,8,0),"")</f>
        <v/>
      </c>
      <c r="K2780" s="9">
        <f>IFERROR(VLOOKUP(I2780,Materiales!$A:$G,7,0),"")</f>
        <v/>
      </c>
      <c r="L2780" s="8" t="inlineStr">
        <is>
          <t>20260123</t>
        </is>
      </c>
      <c r="M2780" s="8" t="inlineStr">
        <is>
          <t>99991231</t>
        </is>
      </c>
      <c r="N2780" s="10" t="n">
        <v>210</v>
      </c>
      <c r="O2780" s="10">
        <f>IFERROR(VLOOKUP(A2780,Flete!$A:$J,10,0),"")</f>
        <v/>
      </c>
      <c r="P2780" s="8" t="inlineStr">
        <is>
          <t>M3</t>
        </is>
      </c>
      <c r="Q2780" s="10">
        <f>IFERROR(IFERROR(VLOOKUP(A2780,TRAOPE!$A:$U,21,0),VLOOKUP(B2780,TRAOPE!$A:$U,21,0)),"")</f>
        <v/>
      </c>
      <c r="R2780" s="8">
        <f>IFERROR(IFERROR(VLOOKUP(A2780,TRAOPE!$A:$W,23,0),VLOOKUP(B2780,TRAOPE!$A:$W,23,0)),"")</f>
        <v/>
      </c>
      <c r="S2780" s="10">
        <f>IF(AND(P2780="TN",R2780="TN"),N2780+N(O2780),IF(G2780&amp;""="1",N(K2780)*N2780,(N2780+N(O2780))*N(K2780)))</f>
        <v/>
      </c>
      <c r="T2780" s="10">
        <f>IF(Q2780="","",Q2780-S2780)</f>
        <v/>
      </c>
    </row>
    <row r="2781">
      <c r="A2781" s="7">
        <f>CONCATENATE(C2781,E2781,F2781,I2781)</f>
        <v/>
      </c>
      <c r="B2781" s="7">
        <f>CONCATENATE(C2781,E2781,I2781)</f>
        <v/>
      </c>
      <c r="C2781" s="8" t="n">
        <v>900009460</v>
      </c>
      <c r="D2781" s="7">
        <f>IFERROR(VLOOKUP(C2781,TRAOPE!$G:$H,2,0),"")</f>
        <v/>
      </c>
      <c r="E2781" s="8" t="inlineStr">
        <is>
          <t>D836</t>
        </is>
      </c>
      <c r="F2781" s="8" t="inlineStr">
        <is>
          <t>66942072</t>
        </is>
      </c>
      <c r="G2781" s="8">
        <f>IFERROR(VLOOKUP(A2781,Flete!$A:$E,5,0),"")</f>
        <v/>
      </c>
      <c r="H2781" s="7">
        <f>IFERROR(VLOOKUP(F2781,TRAOPE!$AA:$AB,2,0),"")</f>
        <v/>
      </c>
      <c r="I2781" s="7" t="n">
        <v>10264162</v>
      </c>
      <c r="J2781" s="7">
        <f>IFERROR(VLOOKUP(I2781,Materiales!$A:$H,8,0),"")</f>
        <v/>
      </c>
      <c r="K2781" s="9">
        <f>IFERROR(VLOOKUP(I2781,Materiales!$A:$G,7,0),"")</f>
        <v/>
      </c>
      <c r="L2781" s="8" t="inlineStr">
        <is>
          <t>20260325</t>
        </is>
      </c>
      <c r="M2781" s="8" t="inlineStr">
        <is>
          <t>99991231</t>
        </is>
      </c>
      <c r="N2781" s="10" t="n">
        <v>150</v>
      </c>
      <c r="O2781" s="10">
        <f>IFERROR(VLOOKUP(A2781,Flete!$A:$J,10,0),"")</f>
        <v/>
      </c>
      <c r="P2781" s="8" t="inlineStr">
        <is>
          <t>M3</t>
        </is>
      </c>
      <c r="Q2781" s="10">
        <f>IFERROR(IFERROR(VLOOKUP(A2781,TRAOPE!$A:$U,21,0),VLOOKUP(B2781,TRAOPE!$A:$U,21,0)),"")</f>
        <v/>
      </c>
      <c r="R2781" s="8">
        <f>IFERROR(IFERROR(VLOOKUP(A2781,TRAOPE!$A:$W,23,0),VLOOKUP(B2781,TRAOPE!$A:$W,23,0)),"")</f>
        <v/>
      </c>
      <c r="S2781" s="10">
        <f>IF(AND(P2781="TN",R2781="TN"),N2781+N(O2781),IF(G2781&amp;""="1",N(K2781)*N2781,(N2781+N(O2781))*N(K2781)))</f>
        <v/>
      </c>
      <c r="T2781" s="10">
        <f>IF(Q2781="","",Q2781-S2781)</f>
        <v/>
      </c>
    </row>
    <row r="2782">
      <c r="A2782" s="7">
        <f>CONCATENATE(C2782,E2782,F2782,I2782)</f>
        <v/>
      </c>
      <c r="B2782" s="7">
        <f>CONCATENATE(C2782,E2782,I2782)</f>
        <v/>
      </c>
      <c r="C2782" s="8" t="n">
        <v>900009460</v>
      </c>
      <c r="D2782" s="7">
        <f>IFERROR(VLOOKUP(C2782,TRAOPE!$G:$H,2,0),"")</f>
        <v/>
      </c>
      <c r="E2782" s="8" t="inlineStr">
        <is>
          <t>D836</t>
        </is>
      </c>
      <c r="F2782" s="8" t="inlineStr">
        <is>
          <t>66942072</t>
        </is>
      </c>
      <c r="G2782" s="8">
        <f>IFERROR(VLOOKUP(A2782,Flete!$A:$E,5,0),"")</f>
        <v/>
      </c>
      <c r="H2782" s="7">
        <f>IFERROR(VLOOKUP(F2782,TRAOPE!$AA:$AB,2,0),"")</f>
        <v/>
      </c>
      <c r="I2782" s="7" t="n">
        <v>10274754</v>
      </c>
      <c r="J2782" s="7">
        <f>IFERROR(VLOOKUP(I2782,Materiales!$A:$H,8,0),"")</f>
        <v/>
      </c>
      <c r="K2782" s="9">
        <f>IFERROR(VLOOKUP(I2782,Materiales!$A:$G,7,0),"")</f>
        <v/>
      </c>
      <c r="L2782" s="8" t="inlineStr">
        <is>
          <t>20260325</t>
        </is>
      </c>
      <c r="M2782" s="8" t="inlineStr">
        <is>
          <t>99991231</t>
        </is>
      </c>
      <c r="N2782" s="10" t="n">
        <v>190</v>
      </c>
      <c r="O2782" s="10">
        <f>IFERROR(VLOOKUP(A2782,Flete!$A:$J,10,0),"")</f>
        <v/>
      </c>
      <c r="P2782" s="8" t="inlineStr">
        <is>
          <t>M3</t>
        </is>
      </c>
      <c r="Q2782" s="10">
        <f>IFERROR(IFERROR(VLOOKUP(A2782,TRAOPE!$A:$U,21,0),VLOOKUP(B2782,TRAOPE!$A:$U,21,0)),"")</f>
        <v/>
      </c>
      <c r="R2782" s="8">
        <f>IFERROR(IFERROR(VLOOKUP(A2782,TRAOPE!$A:$W,23,0),VLOOKUP(B2782,TRAOPE!$A:$W,23,0)),"")</f>
        <v/>
      </c>
      <c r="S2782" s="10">
        <f>IF(AND(P2782="TN",R2782="TN"),N2782+N(O2782),IF(G2782&amp;""="1",N(K2782)*N2782,(N2782+N(O2782))*N(K2782)))</f>
        <v/>
      </c>
      <c r="T2782" s="10">
        <f>IF(Q2782="","",Q2782-S2782)</f>
        <v/>
      </c>
    </row>
    <row r="2783">
      <c r="A2783" s="7">
        <f>CONCATENATE(C2783,E2783,F2783,I2783)</f>
        <v/>
      </c>
      <c r="B2783" s="7">
        <f>CONCATENATE(C2783,E2783,I2783)</f>
        <v/>
      </c>
      <c r="C2783" s="8" t="n">
        <v>900009460</v>
      </c>
      <c r="D2783" s="7">
        <f>IFERROR(VLOOKUP(C2783,TRAOPE!$G:$H,2,0),"")</f>
        <v/>
      </c>
      <c r="E2783" s="8" t="inlineStr">
        <is>
          <t>D836</t>
        </is>
      </c>
      <c r="F2783" s="8" t="inlineStr">
        <is>
          <t>66970213</t>
        </is>
      </c>
      <c r="G2783" s="8">
        <f>IFERROR(VLOOKUP(A2783,Flete!$A:$E,5,0),"")</f>
        <v/>
      </c>
      <c r="H2783" s="7">
        <f>IFERROR(VLOOKUP(F2783,TRAOPE!$AA:$AB,2,0),"")</f>
        <v/>
      </c>
      <c r="I2783" s="7" t="n">
        <v>10264162</v>
      </c>
      <c r="J2783" s="7">
        <f>IFERROR(VLOOKUP(I2783,Materiales!$A:$H,8,0),"")</f>
        <v/>
      </c>
      <c r="K2783" s="9">
        <f>IFERROR(VLOOKUP(I2783,Materiales!$A:$G,7,0),"")</f>
        <v/>
      </c>
      <c r="L2783" s="8" t="inlineStr">
        <is>
          <t>20260325</t>
        </is>
      </c>
      <c r="M2783" s="8" t="inlineStr">
        <is>
          <t>99991231</t>
        </is>
      </c>
      <c r="N2783" s="10" t="n">
        <v>150</v>
      </c>
      <c r="O2783" s="10">
        <f>IFERROR(VLOOKUP(A2783,Flete!$A:$J,10,0),"")</f>
        <v/>
      </c>
      <c r="P2783" s="8" t="inlineStr">
        <is>
          <t>M3</t>
        </is>
      </c>
      <c r="Q2783" s="10">
        <f>IFERROR(IFERROR(VLOOKUP(A2783,TRAOPE!$A:$U,21,0),VLOOKUP(B2783,TRAOPE!$A:$U,21,0)),"")</f>
        <v/>
      </c>
      <c r="R2783" s="8">
        <f>IFERROR(IFERROR(VLOOKUP(A2783,TRAOPE!$A:$W,23,0),VLOOKUP(B2783,TRAOPE!$A:$W,23,0)),"")</f>
        <v/>
      </c>
      <c r="S2783" s="10">
        <f>IF(AND(P2783="TN",R2783="TN"),N2783+N(O2783),IF(G2783&amp;""="1",N(K2783)*N2783,(N2783+N(O2783))*N(K2783)))</f>
        <v/>
      </c>
      <c r="T2783" s="10">
        <f>IF(Q2783="","",Q2783-S2783)</f>
        <v/>
      </c>
    </row>
    <row r="2784">
      <c r="A2784" s="7">
        <f>CONCATENATE(C2784,E2784,F2784,I2784)</f>
        <v/>
      </c>
      <c r="B2784" s="7">
        <f>CONCATENATE(C2784,E2784,I2784)</f>
        <v/>
      </c>
      <c r="C2784" s="8" t="n">
        <v>900009460</v>
      </c>
      <c r="D2784" s="7">
        <f>IFERROR(VLOOKUP(C2784,TRAOPE!$G:$H,2,0),"")</f>
        <v/>
      </c>
      <c r="E2784" s="8" t="inlineStr">
        <is>
          <t>D836</t>
        </is>
      </c>
      <c r="F2784" s="8" t="inlineStr">
        <is>
          <t>66970213</t>
        </is>
      </c>
      <c r="G2784" s="8">
        <f>IFERROR(VLOOKUP(A2784,Flete!$A:$E,5,0),"")</f>
        <v/>
      </c>
      <c r="H2784" s="7">
        <f>IFERROR(VLOOKUP(F2784,TRAOPE!$AA:$AB,2,0),"")</f>
        <v/>
      </c>
      <c r="I2784" s="7" t="n">
        <v>10274754</v>
      </c>
      <c r="J2784" s="7">
        <f>IFERROR(VLOOKUP(I2784,Materiales!$A:$H,8,0),"")</f>
        <v/>
      </c>
      <c r="K2784" s="9">
        <f>IFERROR(VLOOKUP(I2784,Materiales!$A:$G,7,0),"")</f>
        <v/>
      </c>
      <c r="L2784" s="8" t="inlineStr">
        <is>
          <t>20260325</t>
        </is>
      </c>
      <c r="M2784" s="8" t="inlineStr">
        <is>
          <t>99991231</t>
        </is>
      </c>
      <c r="N2784" s="10" t="n">
        <v>190</v>
      </c>
      <c r="O2784" s="10">
        <f>IFERROR(VLOOKUP(A2784,Flete!$A:$J,10,0),"")</f>
        <v/>
      </c>
      <c r="P2784" s="8" t="inlineStr">
        <is>
          <t>M3</t>
        </is>
      </c>
      <c r="Q2784" s="10">
        <f>IFERROR(IFERROR(VLOOKUP(A2784,TRAOPE!$A:$U,21,0),VLOOKUP(B2784,TRAOPE!$A:$U,21,0)),"")</f>
        <v/>
      </c>
      <c r="R2784" s="8">
        <f>IFERROR(IFERROR(VLOOKUP(A2784,TRAOPE!$A:$W,23,0),VLOOKUP(B2784,TRAOPE!$A:$W,23,0)),"")</f>
        <v/>
      </c>
      <c r="S2784" s="10">
        <f>IF(AND(P2784="TN",R2784="TN"),N2784+N(O2784),IF(G2784&amp;""="1",N(K2784)*N2784,(N2784+N(O2784))*N(K2784)))</f>
        <v/>
      </c>
      <c r="T2784" s="10">
        <f>IF(Q2784="","",Q2784-S2784)</f>
        <v/>
      </c>
    </row>
    <row r="2785">
      <c r="A2785" s="7">
        <f>CONCATENATE(C2785,E2785,F2785,I2785)</f>
        <v/>
      </c>
      <c r="B2785" s="7">
        <f>CONCATENATE(C2785,E2785,I2785)</f>
        <v/>
      </c>
      <c r="C2785" s="8" t="n">
        <v>900009460</v>
      </c>
      <c r="D2785" s="7">
        <f>IFERROR(VLOOKUP(C2785,TRAOPE!$G:$H,2,0),"")</f>
        <v/>
      </c>
      <c r="E2785" s="8" t="inlineStr">
        <is>
          <t>D836</t>
        </is>
      </c>
      <c r="F2785" s="8" t="inlineStr">
        <is>
          <t>66982053</t>
        </is>
      </c>
      <c r="G2785" s="8">
        <f>IFERROR(VLOOKUP(A2785,Flete!$A:$E,5,0),"")</f>
        <v/>
      </c>
      <c r="H2785" s="7">
        <f>IFERROR(VLOOKUP(F2785,TRAOPE!$AA:$AB,2,0),"")</f>
        <v/>
      </c>
      <c r="I2785" s="7" t="n">
        <v>10264162</v>
      </c>
      <c r="J2785" s="7">
        <f>IFERROR(VLOOKUP(I2785,Materiales!$A:$H,8,0),"")</f>
        <v/>
      </c>
      <c r="K2785" s="9">
        <f>IFERROR(VLOOKUP(I2785,Materiales!$A:$G,7,0),"")</f>
        <v/>
      </c>
      <c r="L2785" s="8" t="inlineStr">
        <is>
          <t>20260417</t>
        </is>
      </c>
      <c r="M2785" s="8" t="inlineStr">
        <is>
          <t>99991231</t>
        </is>
      </c>
      <c r="N2785" s="10" t="n">
        <v>303.88</v>
      </c>
      <c r="O2785" s="10">
        <f>IFERROR(VLOOKUP(A2785,Flete!$A:$J,10,0),"")</f>
        <v/>
      </c>
      <c r="P2785" s="8" t="inlineStr">
        <is>
          <t>M3</t>
        </is>
      </c>
      <c r="Q2785" s="10">
        <f>IFERROR(IFERROR(VLOOKUP(A2785,TRAOPE!$A:$U,21,0),VLOOKUP(B2785,TRAOPE!$A:$U,21,0)),"")</f>
        <v/>
      </c>
      <c r="R2785" s="8">
        <f>IFERROR(IFERROR(VLOOKUP(A2785,TRAOPE!$A:$W,23,0),VLOOKUP(B2785,TRAOPE!$A:$W,23,0)),"")</f>
        <v/>
      </c>
      <c r="S2785" s="10">
        <f>IF(AND(P2785="TN",R2785="TN"),N2785+N(O2785),IF(G2785&amp;""="1",N(K2785)*N2785,(N2785+N(O2785))*N(K2785)))</f>
        <v/>
      </c>
      <c r="T2785" s="10">
        <f>IF(Q2785="","",Q2785-S2785)</f>
        <v/>
      </c>
    </row>
    <row r="2786">
      <c r="A2786" s="7">
        <f>CONCATENATE(C2786,E2786,F2786,I2786)</f>
        <v/>
      </c>
      <c r="B2786" s="7">
        <f>CONCATENATE(C2786,E2786,I2786)</f>
        <v/>
      </c>
      <c r="C2786" s="8" t="n">
        <v>900009460</v>
      </c>
      <c r="D2786" s="7">
        <f>IFERROR(VLOOKUP(C2786,TRAOPE!$G:$H,2,0),"")</f>
        <v/>
      </c>
      <c r="E2786" s="8" t="inlineStr">
        <is>
          <t>D836</t>
        </is>
      </c>
      <c r="F2786" s="8" t="inlineStr">
        <is>
          <t>66982053</t>
        </is>
      </c>
      <c r="G2786" s="8">
        <f>IFERROR(VLOOKUP(A2786,Flete!$A:$E,5,0),"")</f>
        <v/>
      </c>
      <c r="H2786" s="7">
        <f>IFERROR(VLOOKUP(F2786,TRAOPE!$AA:$AB,2,0),"")</f>
        <v/>
      </c>
      <c r="I2786" s="7" t="n">
        <v>10274754</v>
      </c>
      <c r="J2786" s="7">
        <f>IFERROR(VLOOKUP(I2786,Materiales!$A:$H,8,0),"")</f>
        <v/>
      </c>
      <c r="K2786" s="9">
        <f>IFERROR(VLOOKUP(I2786,Materiales!$A:$G,7,0),"")</f>
        <v/>
      </c>
      <c r="L2786" s="8" t="inlineStr">
        <is>
          <t>20260318</t>
        </is>
      </c>
      <c r="M2786" s="8" t="inlineStr">
        <is>
          <t>99991231</t>
        </is>
      </c>
      <c r="N2786" s="10" t="n">
        <v>170</v>
      </c>
      <c r="O2786" s="10">
        <f>IFERROR(VLOOKUP(A2786,Flete!$A:$J,10,0),"")</f>
        <v/>
      </c>
      <c r="P2786" s="8" t="inlineStr">
        <is>
          <t>M3</t>
        </is>
      </c>
      <c r="Q2786" s="10">
        <f>IFERROR(IFERROR(VLOOKUP(A2786,TRAOPE!$A:$U,21,0),VLOOKUP(B2786,TRAOPE!$A:$U,21,0)),"")</f>
        <v/>
      </c>
      <c r="R2786" s="8">
        <f>IFERROR(IFERROR(VLOOKUP(A2786,TRAOPE!$A:$W,23,0),VLOOKUP(B2786,TRAOPE!$A:$W,23,0)),"")</f>
        <v/>
      </c>
      <c r="S2786" s="10">
        <f>IF(AND(P2786="TN",R2786="TN"),N2786+N(O2786),IF(G2786&amp;""="1",N(K2786)*N2786,(N2786+N(O2786))*N(K2786)))</f>
        <v/>
      </c>
      <c r="T2786" s="10">
        <f>IF(Q2786="","",Q2786-S2786)</f>
        <v/>
      </c>
    </row>
    <row r="2787">
      <c r="A2787" s="7">
        <f>CONCATENATE(C2787,E2787,F2787,I2787)</f>
        <v/>
      </c>
      <c r="B2787" s="7">
        <f>CONCATENATE(C2787,E2787,I2787)</f>
        <v/>
      </c>
      <c r="C2787" s="8" t="n">
        <v>900009460</v>
      </c>
      <c r="D2787" s="7">
        <f>IFERROR(VLOOKUP(C2787,TRAOPE!$G:$H,2,0),"")</f>
        <v/>
      </c>
      <c r="E2787" s="8" t="inlineStr">
        <is>
          <t>D836</t>
        </is>
      </c>
      <c r="F2787" s="8" t="inlineStr">
        <is>
          <t>66982053</t>
        </is>
      </c>
      <c r="G2787" s="8">
        <f>IFERROR(VLOOKUP(A2787,Flete!$A:$E,5,0),"")</f>
        <v/>
      </c>
      <c r="H2787" s="7">
        <f>IFERROR(VLOOKUP(F2787,TRAOPE!$AA:$AB,2,0),"")</f>
        <v/>
      </c>
      <c r="I2787" s="7" t="n">
        <v>10276711</v>
      </c>
      <c r="J2787" s="7">
        <f>IFERROR(VLOOKUP(I2787,Materiales!$A:$H,8,0),"")</f>
        <v/>
      </c>
      <c r="K2787" s="9">
        <f>IFERROR(VLOOKUP(I2787,Materiales!$A:$G,7,0),"")</f>
        <v/>
      </c>
      <c r="L2787" s="8" t="inlineStr">
        <is>
          <t>20260427</t>
        </is>
      </c>
      <c r="M2787" s="8" t="inlineStr">
        <is>
          <t>99991231</t>
        </is>
      </c>
      <c r="N2787" s="10" t="n">
        <v>144.8</v>
      </c>
      <c r="O2787" s="10">
        <f>IFERROR(VLOOKUP(A2787,Flete!$A:$J,10,0),"")</f>
        <v/>
      </c>
      <c r="P2787" s="8" t="inlineStr">
        <is>
          <t>M3</t>
        </is>
      </c>
      <c r="Q2787" s="10">
        <f>IFERROR(IFERROR(VLOOKUP(A2787,TRAOPE!$A:$U,21,0),VLOOKUP(B2787,TRAOPE!$A:$U,21,0)),"")</f>
        <v/>
      </c>
      <c r="R2787" s="8">
        <f>IFERROR(IFERROR(VLOOKUP(A2787,TRAOPE!$A:$W,23,0),VLOOKUP(B2787,TRAOPE!$A:$W,23,0)),"")</f>
        <v/>
      </c>
      <c r="S2787" s="10">
        <f>IF(AND(P2787="TN",R2787="TN"),N2787+N(O2787),IF(G2787&amp;""="1",N(K2787)*N2787,(N2787+N(O2787))*N(K2787)))</f>
        <v/>
      </c>
      <c r="T2787" s="10">
        <f>IF(Q2787="","",Q2787-S2787)</f>
        <v/>
      </c>
    </row>
    <row r="2788">
      <c r="A2788" s="7">
        <f>CONCATENATE(C2788,E2788,F2788,I2788)</f>
        <v/>
      </c>
      <c r="B2788" s="7">
        <f>CONCATENATE(C2788,E2788,I2788)</f>
        <v/>
      </c>
      <c r="C2788" s="8" t="n">
        <v>900009460</v>
      </c>
      <c r="D2788" s="7">
        <f>IFERROR(VLOOKUP(C2788,TRAOPE!$G:$H,2,0),"")</f>
        <v/>
      </c>
      <c r="E2788" s="8" t="inlineStr">
        <is>
          <t>D836</t>
        </is>
      </c>
      <c r="F2788" s="8" t="inlineStr">
        <is>
          <t>66982053</t>
        </is>
      </c>
      <c r="G2788" s="8">
        <f>IFERROR(VLOOKUP(A2788,Flete!$A:$E,5,0),"")</f>
        <v/>
      </c>
      <c r="H2788" s="7">
        <f>IFERROR(VLOOKUP(F2788,TRAOPE!$AA:$AB,2,0),"")</f>
        <v/>
      </c>
      <c r="I2788" s="7" t="n">
        <v>10277346</v>
      </c>
      <c r="J2788" s="7">
        <f>IFERROR(VLOOKUP(I2788,Materiales!$A:$H,8,0),"")</f>
        <v/>
      </c>
      <c r="K2788" s="9">
        <f>IFERROR(VLOOKUP(I2788,Materiales!$A:$G,7,0),"")</f>
        <v/>
      </c>
      <c r="L2788" s="8" t="inlineStr">
        <is>
          <t>20260518</t>
        </is>
      </c>
      <c r="M2788" s="8" t="inlineStr">
        <is>
          <t>99991231</t>
        </is>
      </c>
      <c r="N2788" s="10" t="n">
        <v>120</v>
      </c>
      <c r="O2788" s="10">
        <f>IFERROR(VLOOKUP(A2788,Flete!$A:$J,10,0),"")</f>
        <v/>
      </c>
      <c r="P2788" s="8" t="inlineStr">
        <is>
          <t>M3</t>
        </is>
      </c>
      <c r="Q2788" s="10">
        <f>IFERROR(IFERROR(VLOOKUP(A2788,TRAOPE!$A:$U,21,0),VLOOKUP(B2788,TRAOPE!$A:$U,21,0)),"")</f>
        <v/>
      </c>
      <c r="R2788" s="8">
        <f>IFERROR(IFERROR(VLOOKUP(A2788,TRAOPE!$A:$W,23,0),VLOOKUP(B2788,TRAOPE!$A:$W,23,0)),"")</f>
        <v/>
      </c>
      <c r="S2788" s="10">
        <f>IF(AND(P2788="TN",R2788="TN"),N2788+N(O2788),IF(G2788&amp;""="1",N(K2788)*N2788,(N2788+N(O2788))*N(K2788)))</f>
        <v/>
      </c>
      <c r="T2788" s="10">
        <f>IF(Q2788="","",Q2788-S2788)</f>
        <v/>
      </c>
    </row>
    <row r="2789">
      <c r="A2789" s="7">
        <f>CONCATENATE(C2789,E2789,F2789,I2789)</f>
        <v/>
      </c>
      <c r="B2789" s="7">
        <f>CONCATENATE(C2789,E2789,I2789)</f>
        <v/>
      </c>
      <c r="C2789" s="8" t="n">
        <v>900009460</v>
      </c>
      <c r="D2789" s="7">
        <f>IFERROR(VLOOKUP(C2789,TRAOPE!$G:$H,2,0),"")</f>
        <v/>
      </c>
      <c r="E2789" s="8" t="inlineStr">
        <is>
          <t>D836</t>
        </is>
      </c>
      <c r="F2789" s="8" t="inlineStr">
        <is>
          <t>67019979</t>
        </is>
      </c>
      <c r="G2789" s="8">
        <f>IFERROR(VLOOKUP(A2789,Flete!$A:$E,5,0),"")</f>
        <v/>
      </c>
      <c r="H2789" s="7">
        <f>IFERROR(VLOOKUP(F2789,TRAOPE!$AA:$AB,2,0),"")</f>
        <v/>
      </c>
      <c r="I2789" s="7" t="n">
        <v>10264162</v>
      </c>
      <c r="J2789" s="7">
        <f>IFERROR(VLOOKUP(I2789,Materiales!$A:$H,8,0),"")</f>
        <v/>
      </c>
      <c r="K2789" s="9">
        <f>IFERROR(VLOOKUP(I2789,Materiales!$A:$G,7,0),"")</f>
        <v/>
      </c>
      <c r="L2789" s="8" t="inlineStr">
        <is>
          <t>20260417</t>
        </is>
      </c>
      <c r="M2789" s="8" t="inlineStr">
        <is>
          <t>99991231</t>
        </is>
      </c>
      <c r="N2789" s="10" t="n">
        <v>318.98</v>
      </c>
      <c r="O2789" s="10">
        <f>IFERROR(VLOOKUP(A2789,Flete!$A:$J,10,0),"")</f>
        <v/>
      </c>
      <c r="P2789" s="8" t="inlineStr">
        <is>
          <t>M3</t>
        </is>
      </c>
      <c r="Q2789" s="10">
        <f>IFERROR(IFERROR(VLOOKUP(A2789,TRAOPE!$A:$U,21,0),VLOOKUP(B2789,TRAOPE!$A:$U,21,0)),"")</f>
        <v/>
      </c>
      <c r="R2789" s="8">
        <f>IFERROR(IFERROR(VLOOKUP(A2789,TRAOPE!$A:$W,23,0),VLOOKUP(B2789,TRAOPE!$A:$W,23,0)),"")</f>
        <v/>
      </c>
      <c r="S2789" s="10">
        <f>IF(AND(P2789="TN",R2789="TN"),N2789+N(O2789),IF(G2789&amp;""="1",N(K2789)*N2789,(N2789+N(O2789))*N(K2789)))</f>
        <v/>
      </c>
      <c r="T2789" s="10">
        <f>IF(Q2789="","",Q2789-S2789)</f>
        <v/>
      </c>
    </row>
    <row r="2790">
      <c r="A2790" s="7">
        <f>CONCATENATE(C2790,E2790,F2790,I2790)</f>
        <v/>
      </c>
      <c r="B2790" s="7">
        <f>CONCATENATE(C2790,E2790,I2790)</f>
        <v/>
      </c>
      <c r="C2790" s="8" t="n">
        <v>900009460</v>
      </c>
      <c r="D2790" s="7">
        <f>IFERROR(VLOOKUP(C2790,TRAOPE!$G:$H,2,0),"")</f>
        <v/>
      </c>
      <c r="E2790" s="8" t="inlineStr">
        <is>
          <t>D836</t>
        </is>
      </c>
      <c r="F2790" s="8" t="inlineStr">
        <is>
          <t>67019979</t>
        </is>
      </c>
      <c r="G2790" s="8">
        <f>IFERROR(VLOOKUP(A2790,Flete!$A:$E,5,0),"")</f>
        <v/>
      </c>
      <c r="H2790" s="7">
        <f>IFERROR(VLOOKUP(F2790,TRAOPE!$AA:$AB,2,0),"")</f>
        <v/>
      </c>
      <c r="I2790" s="7" t="n">
        <v>10274754</v>
      </c>
      <c r="J2790" s="7">
        <f>IFERROR(VLOOKUP(I2790,Materiales!$A:$H,8,0),"")</f>
        <v/>
      </c>
      <c r="K2790" s="9">
        <f>IFERROR(VLOOKUP(I2790,Materiales!$A:$G,7,0),"")</f>
        <v/>
      </c>
      <c r="L2790" s="8" t="inlineStr">
        <is>
          <t>20260318</t>
        </is>
      </c>
      <c r="M2790" s="8" t="inlineStr">
        <is>
          <t>99991231</t>
        </is>
      </c>
      <c r="N2790" s="10" t="n">
        <v>170</v>
      </c>
      <c r="O2790" s="10">
        <f>IFERROR(VLOOKUP(A2790,Flete!$A:$J,10,0),"")</f>
        <v/>
      </c>
      <c r="P2790" s="8" t="inlineStr">
        <is>
          <t>M3</t>
        </is>
      </c>
      <c r="Q2790" s="10">
        <f>IFERROR(IFERROR(VLOOKUP(A2790,TRAOPE!$A:$U,21,0),VLOOKUP(B2790,TRAOPE!$A:$U,21,0)),"")</f>
        <v/>
      </c>
      <c r="R2790" s="8">
        <f>IFERROR(IFERROR(VLOOKUP(A2790,TRAOPE!$A:$W,23,0),VLOOKUP(B2790,TRAOPE!$A:$W,23,0)),"")</f>
        <v/>
      </c>
      <c r="S2790" s="10">
        <f>IF(AND(P2790="TN",R2790="TN"),N2790+N(O2790),IF(G2790&amp;""="1",N(K2790)*N2790,(N2790+N(O2790))*N(K2790)))</f>
        <v/>
      </c>
      <c r="T2790" s="10">
        <f>IF(Q2790="","",Q2790-S2790)</f>
        <v/>
      </c>
    </row>
    <row r="2791">
      <c r="A2791" s="7">
        <f>CONCATENATE(C2791,E2791,F2791,I2791)</f>
        <v/>
      </c>
      <c r="B2791" s="7">
        <f>CONCATENATE(C2791,E2791,I2791)</f>
        <v/>
      </c>
      <c r="C2791" s="8" t="n">
        <v>900009460</v>
      </c>
      <c r="D2791" s="7">
        <f>IFERROR(VLOOKUP(C2791,TRAOPE!$G:$H,2,0),"")</f>
        <v/>
      </c>
      <c r="E2791" s="8" t="inlineStr">
        <is>
          <t>D836</t>
        </is>
      </c>
      <c r="F2791" s="8" t="inlineStr">
        <is>
          <t>67019979</t>
        </is>
      </c>
      <c r="G2791" s="8">
        <f>IFERROR(VLOOKUP(A2791,Flete!$A:$E,5,0),"")</f>
        <v/>
      </c>
      <c r="H2791" s="7">
        <f>IFERROR(VLOOKUP(F2791,TRAOPE!$AA:$AB,2,0),"")</f>
        <v/>
      </c>
      <c r="I2791" s="7" t="n">
        <v>10276711</v>
      </c>
      <c r="J2791" s="7">
        <f>IFERROR(VLOOKUP(I2791,Materiales!$A:$H,8,0),"")</f>
        <v/>
      </c>
      <c r="K2791" s="9">
        <f>IFERROR(VLOOKUP(I2791,Materiales!$A:$G,7,0),"")</f>
        <v/>
      </c>
      <c r="L2791" s="8" t="inlineStr">
        <is>
          <t>20260427</t>
        </is>
      </c>
      <c r="M2791" s="8" t="inlineStr">
        <is>
          <t>99991231</t>
        </is>
      </c>
      <c r="N2791" s="10" t="n">
        <v>144.8</v>
      </c>
      <c r="O2791" s="10">
        <f>IFERROR(VLOOKUP(A2791,Flete!$A:$J,10,0),"")</f>
        <v/>
      </c>
      <c r="P2791" s="8" t="inlineStr">
        <is>
          <t>M3</t>
        </is>
      </c>
      <c r="Q2791" s="10">
        <f>IFERROR(IFERROR(VLOOKUP(A2791,TRAOPE!$A:$U,21,0),VLOOKUP(B2791,TRAOPE!$A:$U,21,0)),"")</f>
        <v/>
      </c>
      <c r="R2791" s="8">
        <f>IFERROR(IFERROR(VLOOKUP(A2791,TRAOPE!$A:$W,23,0),VLOOKUP(B2791,TRAOPE!$A:$W,23,0)),"")</f>
        <v/>
      </c>
      <c r="S2791" s="10">
        <f>IF(AND(P2791="TN",R2791="TN"),N2791+N(O2791),IF(G2791&amp;""="1",N(K2791)*N2791,(N2791+N(O2791))*N(K2791)))</f>
        <v/>
      </c>
      <c r="T2791" s="10">
        <f>IF(Q2791="","",Q2791-S2791)</f>
        <v/>
      </c>
    </row>
    <row r="2792">
      <c r="A2792" s="7">
        <f>CONCATENATE(C2792,E2792,F2792,I2792)</f>
        <v/>
      </c>
      <c r="B2792" s="7">
        <f>CONCATENATE(C2792,E2792,I2792)</f>
        <v/>
      </c>
      <c r="C2792" s="8" t="n">
        <v>900009460</v>
      </c>
      <c r="D2792" s="7">
        <f>IFERROR(VLOOKUP(C2792,TRAOPE!$G:$H,2,0),"")</f>
        <v/>
      </c>
      <c r="E2792" s="8" t="inlineStr">
        <is>
          <t>D836</t>
        </is>
      </c>
      <c r="F2792" s="8" t="inlineStr">
        <is>
          <t>67019979</t>
        </is>
      </c>
      <c r="G2792" s="8">
        <f>IFERROR(VLOOKUP(A2792,Flete!$A:$E,5,0),"")</f>
        <v/>
      </c>
      <c r="H2792" s="7">
        <f>IFERROR(VLOOKUP(F2792,TRAOPE!$AA:$AB,2,0),"")</f>
        <v/>
      </c>
      <c r="I2792" s="7" t="n">
        <v>10277346</v>
      </c>
      <c r="J2792" s="7">
        <f>IFERROR(VLOOKUP(I2792,Materiales!$A:$H,8,0),"")</f>
        <v/>
      </c>
      <c r="K2792" s="9">
        <f>IFERROR(VLOOKUP(I2792,Materiales!$A:$G,7,0),"")</f>
        <v/>
      </c>
      <c r="L2792" s="8" t="inlineStr">
        <is>
          <t>20260518</t>
        </is>
      </c>
      <c r="M2792" s="8" t="inlineStr">
        <is>
          <t>99991231</t>
        </is>
      </c>
      <c r="N2792" s="10" t="n">
        <v>120</v>
      </c>
      <c r="O2792" s="10">
        <f>IFERROR(VLOOKUP(A2792,Flete!$A:$J,10,0),"")</f>
        <v/>
      </c>
      <c r="P2792" s="8" t="inlineStr">
        <is>
          <t>M3</t>
        </is>
      </c>
      <c r="Q2792" s="10">
        <f>IFERROR(IFERROR(VLOOKUP(A2792,TRAOPE!$A:$U,21,0),VLOOKUP(B2792,TRAOPE!$A:$U,21,0)),"")</f>
        <v/>
      </c>
      <c r="R2792" s="8">
        <f>IFERROR(IFERROR(VLOOKUP(A2792,TRAOPE!$A:$W,23,0),VLOOKUP(B2792,TRAOPE!$A:$W,23,0)),"")</f>
        <v/>
      </c>
      <c r="S2792" s="10">
        <f>IF(AND(P2792="TN",R2792="TN"),N2792+N(O2792),IF(G2792&amp;""="1",N(K2792)*N2792,(N2792+N(O2792))*N(K2792)))</f>
        <v/>
      </c>
      <c r="T2792" s="10">
        <f>IF(Q2792="","",Q2792-S2792)</f>
        <v/>
      </c>
    </row>
    <row r="2793">
      <c r="A2793" s="7">
        <f>CONCATENATE(C2793,E2793,F2793,I2793)</f>
        <v/>
      </c>
      <c r="B2793" s="7">
        <f>CONCATENATE(C2793,E2793,I2793)</f>
        <v/>
      </c>
      <c r="C2793" s="8" t="n">
        <v>900009460</v>
      </c>
      <c r="D2793" s="7">
        <f>IFERROR(VLOOKUP(C2793,TRAOPE!$G:$H,2,0),"")</f>
        <v/>
      </c>
      <c r="E2793" s="8" t="inlineStr">
        <is>
          <t>D836</t>
        </is>
      </c>
      <c r="F2793" s="8" t="inlineStr">
        <is>
          <t>67132343</t>
        </is>
      </c>
      <c r="G2793" s="8">
        <f>IFERROR(VLOOKUP(A2793,Flete!$A:$E,5,0),"")</f>
        <v/>
      </c>
      <c r="H2793" s="7">
        <f>IFERROR(VLOOKUP(F2793,TRAOPE!$AA:$AB,2,0),"")</f>
        <v/>
      </c>
      <c r="I2793" s="7" t="n">
        <v>10264162</v>
      </c>
      <c r="J2793" s="7">
        <f>IFERROR(VLOOKUP(I2793,Materiales!$A:$H,8,0),"")</f>
        <v/>
      </c>
      <c r="K2793" s="9">
        <f>IFERROR(VLOOKUP(I2793,Materiales!$A:$G,7,0),"")</f>
        <v/>
      </c>
      <c r="L2793" s="8" t="inlineStr">
        <is>
          <t>20260325</t>
        </is>
      </c>
      <c r="M2793" s="8" t="inlineStr">
        <is>
          <t>99991231</t>
        </is>
      </c>
      <c r="N2793" s="10" t="n">
        <v>150</v>
      </c>
      <c r="O2793" s="10">
        <f>IFERROR(VLOOKUP(A2793,Flete!$A:$J,10,0),"")</f>
        <v/>
      </c>
      <c r="P2793" s="8" t="inlineStr">
        <is>
          <t>M3</t>
        </is>
      </c>
      <c r="Q2793" s="10">
        <f>IFERROR(IFERROR(VLOOKUP(A2793,TRAOPE!$A:$U,21,0),VLOOKUP(B2793,TRAOPE!$A:$U,21,0)),"")</f>
        <v/>
      </c>
      <c r="R2793" s="8">
        <f>IFERROR(IFERROR(VLOOKUP(A2793,TRAOPE!$A:$W,23,0),VLOOKUP(B2793,TRAOPE!$A:$W,23,0)),"")</f>
        <v/>
      </c>
      <c r="S2793" s="10">
        <f>IF(AND(P2793="TN",R2793="TN"),N2793+N(O2793),IF(G2793&amp;""="1",N(K2793)*N2793,(N2793+N(O2793))*N(K2793)))</f>
        <v/>
      </c>
      <c r="T2793" s="10">
        <f>IF(Q2793="","",Q2793-S2793)</f>
        <v/>
      </c>
    </row>
    <row r="2794">
      <c r="A2794" s="7">
        <f>CONCATENATE(C2794,E2794,F2794,I2794)</f>
        <v/>
      </c>
      <c r="B2794" s="7">
        <f>CONCATENATE(C2794,E2794,I2794)</f>
        <v/>
      </c>
      <c r="C2794" s="8" t="n">
        <v>900009460</v>
      </c>
      <c r="D2794" s="7">
        <f>IFERROR(VLOOKUP(C2794,TRAOPE!$G:$H,2,0),"")</f>
        <v/>
      </c>
      <c r="E2794" s="8" t="inlineStr">
        <is>
          <t>D836</t>
        </is>
      </c>
      <c r="F2794" s="8" t="inlineStr">
        <is>
          <t>67132343</t>
        </is>
      </c>
      <c r="G2794" s="8">
        <f>IFERROR(VLOOKUP(A2794,Flete!$A:$E,5,0),"")</f>
        <v/>
      </c>
      <c r="H2794" s="7">
        <f>IFERROR(VLOOKUP(F2794,TRAOPE!$AA:$AB,2,0),"")</f>
        <v/>
      </c>
      <c r="I2794" s="7" t="n">
        <v>10274754</v>
      </c>
      <c r="J2794" s="7">
        <f>IFERROR(VLOOKUP(I2794,Materiales!$A:$H,8,0),"")</f>
        <v/>
      </c>
      <c r="K2794" s="9">
        <f>IFERROR(VLOOKUP(I2794,Materiales!$A:$G,7,0),"")</f>
        <v/>
      </c>
      <c r="L2794" s="8" t="inlineStr">
        <is>
          <t>20260325</t>
        </is>
      </c>
      <c r="M2794" s="8" t="inlineStr">
        <is>
          <t>99991231</t>
        </is>
      </c>
      <c r="N2794" s="10" t="n">
        <v>190</v>
      </c>
      <c r="O2794" s="10">
        <f>IFERROR(VLOOKUP(A2794,Flete!$A:$J,10,0),"")</f>
        <v/>
      </c>
      <c r="P2794" s="8" t="inlineStr">
        <is>
          <t>M3</t>
        </is>
      </c>
      <c r="Q2794" s="10">
        <f>IFERROR(IFERROR(VLOOKUP(A2794,TRAOPE!$A:$U,21,0),VLOOKUP(B2794,TRAOPE!$A:$U,21,0)),"")</f>
        <v/>
      </c>
      <c r="R2794" s="8">
        <f>IFERROR(IFERROR(VLOOKUP(A2794,TRAOPE!$A:$W,23,0),VLOOKUP(B2794,TRAOPE!$A:$W,23,0)),"")</f>
        <v/>
      </c>
      <c r="S2794" s="10">
        <f>IF(AND(P2794="TN",R2794="TN"),N2794+N(O2794),IF(G2794&amp;""="1",N(K2794)*N2794,(N2794+N(O2794))*N(K2794)))</f>
        <v/>
      </c>
      <c r="T2794" s="10">
        <f>IF(Q2794="","",Q2794-S2794)</f>
        <v/>
      </c>
    </row>
    <row r="2795">
      <c r="A2795" s="7">
        <f>CONCATENATE(C2795,E2795,F2795,I2795)</f>
        <v/>
      </c>
      <c r="B2795" s="7">
        <f>CONCATENATE(C2795,E2795,I2795)</f>
        <v/>
      </c>
      <c r="C2795" s="8" t="n">
        <v>900009460</v>
      </c>
      <c r="D2795" s="7">
        <f>IFERROR(VLOOKUP(C2795,TRAOPE!$G:$H,2,0),"")</f>
        <v/>
      </c>
      <c r="E2795" s="8" t="inlineStr">
        <is>
          <t>D836</t>
        </is>
      </c>
      <c r="F2795" s="8" t="inlineStr">
        <is>
          <t>67221674</t>
        </is>
      </c>
      <c r="G2795" s="8">
        <f>IFERROR(VLOOKUP(A2795,Flete!$A:$E,5,0),"")</f>
        <v/>
      </c>
      <c r="H2795" s="7">
        <f>IFERROR(VLOOKUP(F2795,TRAOPE!$AA:$AB,2,0),"")</f>
        <v/>
      </c>
      <c r="I2795" s="7" t="n">
        <v>10264162</v>
      </c>
      <c r="J2795" s="7">
        <f>IFERROR(VLOOKUP(I2795,Materiales!$A:$H,8,0),"")</f>
        <v/>
      </c>
      <c r="K2795" s="9">
        <f>IFERROR(VLOOKUP(I2795,Materiales!$A:$G,7,0),"")</f>
        <v/>
      </c>
      <c r="L2795" s="8" t="inlineStr">
        <is>
          <t>20260327</t>
        </is>
      </c>
      <c r="M2795" s="8" t="inlineStr">
        <is>
          <t>99991231</t>
        </is>
      </c>
      <c r="N2795" s="10" t="n">
        <v>140</v>
      </c>
      <c r="O2795" s="10">
        <f>IFERROR(VLOOKUP(A2795,Flete!$A:$J,10,0),"")</f>
        <v/>
      </c>
      <c r="P2795" s="8" t="inlineStr">
        <is>
          <t>M3</t>
        </is>
      </c>
      <c r="Q2795" s="10">
        <f>IFERROR(IFERROR(VLOOKUP(A2795,TRAOPE!$A:$U,21,0),VLOOKUP(B2795,TRAOPE!$A:$U,21,0)),"")</f>
        <v/>
      </c>
      <c r="R2795" s="8">
        <f>IFERROR(IFERROR(VLOOKUP(A2795,TRAOPE!$A:$W,23,0),VLOOKUP(B2795,TRAOPE!$A:$W,23,0)),"")</f>
        <v/>
      </c>
      <c r="S2795" s="10">
        <f>IF(AND(P2795="TN",R2795="TN"),N2795+N(O2795),IF(G2795&amp;""="1",N(K2795)*N2795,(N2795+N(O2795))*N(K2795)))</f>
        <v/>
      </c>
      <c r="T2795" s="10">
        <f>IF(Q2795="","",Q2795-S2795)</f>
        <v/>
      </c>
    </row>
    <row r="2796">
      <c r="A2796" s="7">
        <f>CONCATENATE(C2796,E2796,F2796,I2796)</f>
        <v/>
      </c>
      <c r="B2796" s="7">
        <f>CONCATENATE(C2796,E2796,I2796)</f>
        <v/>
      </c>
      <c r="C2796" s="8" t="n">
        <v>900009460</v>
      </c>
      <c r="D2796" s="7">
        <f>IFERROR(VLOOKUP(C2796,TRAOPE!$G:$H,2,0),"")</f>
        <v/>
      </c>
      <c r="E2796" s="8" t="inlineStr">
        <is>
          <t>D836</t>
        </is>
      </c>
      <c r="F2796" s="8" t="inlineStr">
        <is>
          <t>67221674</t>
        </is>
      </c>
      <c r="G2796" s="8">
        <f>IFERROR(VLOOKUP(A2796,Flete!$A:$E,5,0),"")</f>
        <v/>
      </c>
      <c r="H2796" s="7">
        <f>IFERROR(VLOOKUP(F2796,TRAOPE!$AA:$AB,2,0),"")</f>
        <v/>
      </c>
      <c r="I2796" s="7" t="n">
        <v>10274754</v>
      </c>
      <c r="J2796" s="7">
        <f>IFERROR(VLOOKUP(I2796,Materiales!$A:$H,8,0),"")</f>
        <v/>
      </c>
      <c r="K2796" s="9">
        <f>IFERROR(VLOOKUP(I2796,Materiales!$A:$G,7,0),"")</f>
        <v/>
      </c>
      <c r="L2796" s="8" t="inlineStr">
        <is>
          <t>20260327</t>
        </is>
      </c>
      <c r="M2796" s="8" t="inlineStr">
        <is>
          <t>99991231</t>
        </is>
      </c>
      <c r="N2796" s="10" t="n">
        <v>170</v>
      </c>
      <c r="O2796" s="10">
        <f>IFERROR(VLOOKUP(A2796,Flete!$A:$J,10,0),"")</f>
        <v/>
      </c>
      <c r="P2796" s="8" t="inlineStr">
        <is>
          <t>M3</t>
        </is>
      </c>
      <c r="Q2796" s="10">
        <f>IFERROR(IFERROR(VLOOKUP(A2796,TRAOPE!$A:$U,21,0),VLOOKUP(B2796,TRAOPE!$A:$U,21,0)),"")</f>
        <v/>
      </c>
      <c r="R2796" s="8">
        <f>IFERROR(IFERROR(VLOOKUP(A2796,TRAOPE!$A:$W,23,0),VLOOKUP(B2796,TRAOPE!$A:$W,23,0)),"")</f>
        <v/>
      </c>
      <c r="S2796" s="10">
        <f>IF(AND(P2796="TN",R2796="TN"),N2796+N(O2796),IF(G2796&amp;""="1",N(K2796)*N2796,(N2796+N(O2796))*N(K2796)))</f>
        <v/>
      </c>
      <c r="T2796" s="10">
        <f>IF(Q2796="","",Q2796-S2796)</f>
        <v/>
      </c>
    </row>
    <row r="2797">
      <c r="A2797" s="7">
        <f>CONCATENATE(C2797,E2797,F2797,I2797)</f>
        <v/>
      </c>
      <c r="B2797" s="7">
        <f>CONCATENATE(C2797,E2797,I2797)</f>
        <v/>
      </c>
      <c r="C2797" s="8" t="n">
        <v>900009460</v>
      </c>
      <c r="D2797" s="7">
        <f>IFERROR(VLOOKUP(C2797,TRAOPE!$G:$H,2,0),"")</f>
        <v/>
      </c>
      <c r="E2797" s="8" t="inlineStr">
        <is>
          <t>D836</t>
        </is>
      </c>
      <c r="F2797" s="8" t="inlineStr">
        <is>
          <t>67224043</t>
        </is>
      </c>
      <c r="G2797" s="8">
        <f>IFERROR(VLOOKUP(A2797,Flete!$A:$E,5,0),"")</f>
        <v/>
      </c>
      <c r="H2797" s="7">
        <f>IFERROR(VLOOKUP(F2797,TRAOPE!$AA:$AB,2,0),"")</f>
        <v/>
      </c>
      <c r="I2797" s="7" t="n">
        <v>10264162</v>
      </c>
      <c r="J2797" s="7">
        <f>IFERROR(VLOOKUP(I2797,Materiales!$A:$H,8,0),"")</f>
        <v/>
      </c>
      <c r="K2797" s="9">
        <f>IFERROR(VLOOKUP(I2797,Materiales!$A:$G,7,0),"")</f>
        <v/>
      </c>
      <c r="L2797" s="8" t="inlineStr">
        <is>
          <t>20260325</t>
        </is>
      </c>
      <c r="M2797" s="8" t="inlineStr">
        <is>
          <t>99991231</t>
        </is>
      </c>
      <c r="N2797" s="10" t="n">
        <v>140</v>
      </c>
      <c r="O2797" s="10">
        <f>IFERROR(VLOOKUP(A2797,Flete!$A:$J,10,0),"")</f>
        <v/>
      </c>
      <c r="P2797" s="8" t="inlineStr">
        <is>
          <t>M3</t>
        </is>
      </c>
      <c r="Q2797" s="10">
        <f>IFERROR(IFERROR(VLOOKUP(A2797,TRAOPE!$A:$U,21,0),VLOOKUP(B2797,TRAOPE!$A:$U,21,0)),"")</f>
        <v/>
      </c>
      <c r="R2797" s="8">
        <f>IFERROR(IFERROR(VLOOKUP(A2797,TRAOPE!$A:$W,23,0),VLOOKUP(B2797,TRAOPE!$A:$W,23,0)),"")</f>
        <v/>
      </c>
      <c r="S2797" s="10">
        <f>IF(AND(P2797="TN",R2797="TN"),N2797+N(O2797),IF(G2797&amp;""="1",N(K2797)*N2797,(N2797+N(O2797))*N(K2797)))</f>
        <v/>
      </c>
      <c r="T2797" s="10">
        <f>IF(Q2797="","",Q2797-S2797)</f>
        <v/>
      </c>
    </row>
    <row r="2798">
      <c r="A2798" s="7">
        <f>CONCATENATE(C2798,E2798,F2798,I2798)</f>
        <v/>
      </c>
      <c r="B2798" s="7">
        <f>CONCATENATE(C2798,E2798,I2798)</f>
        <v/>
      </c>
      <c r="C2798" s="8" t="n">
        <v>900009460</v>
      </c>
      <c r="D2798" s="7">
        <f>IFERROR(VLOOKUP(C2798,TRAOPE!$G:$H,2,0),"")</f>
        <v/>
      </c>
      <c r="E2798" s="8" t="inlineStr">
        <is>
          <t>D836</t>
        </is>
      </c>
      <c r="F2798" s="8" t="inlineStr">
        <is>
          <t>67224043</t>
        </is>
      </c>
      <c r="G2798" s="8">
        <f>IFERROR(VLOOKUP(A2798,Flete!$A:$E,5,0),"")</f>
        <v/>
      </c>
      <c r="H2798" s="7">
        <f>IFERROR(VLOOKUP(F2798,TRAOPE!$AA:$AB,2,0),"")</f>
        <v/>
      </c>
      <c r="I2798" s="7" t="n">
        <v>10274754</v>
      </c>
      <c r="J2798" s="7">
        <f>IFERROR(VLOOKUP(I2798,Materiales!$A:$H,8,0),"")</f>
        <v/>
      </c>
      <c r="K2798" s="9">
        <f>IFERROR(VLOOKUP(I2798,Materiales!$A:$G,7,0),"")</f>
        <v/>
      </c>
      <c r="L2798" s="8" t="inlineStr">
        <is>
          <t>20260325</t>
        </is>
      </c>
      <c r="M2798" s="8" t="inlineStr">
        <is>
          <t>99991231</t>
        </is>
      </c>
      <c r="N2798" s="10" t="n">
        <v>180</v>
      </c>
      <c r="O2798" s="10">
        <f>IFERROR(VLOOKUP(A2798,Flete!$A:$J,10,0),"")</f>
        <v/>
      </c>
      <c r="P2798" s="8" t="inlineStr">
        <is>
          <t>M3</t>
        </is>
      </c>
      <c r="Q2798" s="10">
        <f>IFERROR(IFERROR(VLOOKUP(A2798,TRAOPE!$A:$U,21,0),VLOOKUP(B2798,TRAOPE!$A:$U,21,0)),"")</f>
        <v/>
      </c>
      <c r="R2798" s="8">
        <f>IFERROR(IFERROR(VLOOKUP(A2798,TRAOPE!$A:$W,23,0),VLOOKUP(B2798,TRAOPE!$A:$W,23,0)),"")</f>
        <v/>
      </c>
      <c r="S2798" s="10">
        <f>IF(AND(P2798="TN",R2798="TN"),N2798+N(O2798),IF(G2798&amp;""="1",N(K2798)*N2798,(N2798+N(O2798))*N(K2798)))</f>
        <v/>
      </c>
      <c r="T2798" s="10">
        <f>IF(Q2798="","",Q2798-S2798)</f>
        <v/>
      </c>
    </row>
    <row r="2799">
      <c r="A2799" s="7">
        <f>CONCATENATE(C2799,E2799,F2799,I2799)</f>
        <v/>
      </c>
      <c r="B2799" s="7">
        <f>CONCATENATE(C2799,E2799,I2799)</f>
        <v/>
      </c>
      <c r="C2799" s="8" t="n">
        <v>900009460</v>
      </c>
      <c r="D2799" s="7">
        <f>IFERROR(VLOOKUP(C2799,TRAOPE!$G:$H,2,0),"")</f>
        <v/>
      </c>
      <c r="E2799" s="8" t="inlineStr">
        <is>
          <t>D836</t>
        </is>
      </c>
      <c r="F2799" s="8" t="inlineStr">
        <is>
          <t>67243408</t>
        </is>
      </c>
      <c r="G2799" s="8">
        <f>IFERROR(VLOOKUP(A2799,Flete!$A:$E,5,0),"")</f>
        <v/>
      </c>
      <c r="H2799" s="7">
        <f>IFERROR(VLOOKUP(F2799,TRAOPE!$AA:$AB,2,0),"")</f>
        <v/>
      </c>
      <c r="I2799" s="7" t="n">
        <v>10264162</v>
      </c>
      <c r="J2799" s="7">
        <f>IFERROR(VLOOKUP(I2799,Materiales!$A:$H,8,0),"")</f>
        <v/>
      </c>
      <c r="K2799" s="9">
        <f>IFERROR(VLOOKUP(I2799,Materiales!$A:$G,7,0),"")</f>
        <v/>
      </c>
      <c r="L2799" s="8" t="inlineStr">
        <is>
          <t>20260318</t>
        </is>
      </c>
      <c r="M2799" s="8" t="inlineStr">
        <is>
          <t>99991231</t>
        </is>
      </c>
      <c r="N2799" s="10" t="n">
        <v>150</v>
      </c>
      <c r="O2799" s="10">
        <f>IFERROR(VLOOKUP(A2799,Flete!$A:$J,10,0),"")</f>
        <v/>
      </c>
      <c r="P2799" s="8" t="inlineStr">
        <is>
          <t>M3</t>
        </is>
      </c>
      <c r="Q2799" s="10">
        <f>IFERROR(IFERROR(VLOOKUP(A2799,TRAOPE!$A:$U,21,0),VLOOKUP(B2799,TRAOPE!$A:$U,21,0)),"")</f>
        <v/>
      </c>
      <c r="R2799" s="8">
        <f>IFERROR(IFERROR(VLOOKUP(A2799,TRAOPE!$A:$W,23,0),VLOOKUP(B2799,TRAOPE!$A:$W,23,0)),"")</f>
        <v/>
      </c>
      <c r="S2799" s="10">
        <f>IF(AND(P2799="TN",R2799="TN"),N2799+N(O2799),IF(G2799&amp;""="1",N(K2799)*N2799,(N2799+N(O2799))*N(K2799)))</f>
        <v/>
      </c>
      <c r="T2799" s="10">
        <f>IF(Q2799="","",Q2799-S2799)</f>
        <v/>
      </c>
    </row>
    <row r="2800">
      <c r="A2800" s="7">
        <f>CONCATENATE(C2800,E2800,F2800,I2800)</f>
        <v/>
      </c>
      <c r="B2800" s="7">
        <f>CONCATENATE(C2800,E2800,I2800)</f>
        <v/>
      </c>
      <c r="C2800" s="8" t="n">
        <v>900009460</v>
      </c>
      <c r="D2800" s="7">
        <f>IFERROR(VLOOKUP(C2800,TRAOPE!$G:$H,2,0),"")</f>
        <v/>
      </c>
      <c r="E2800" s="8" t="inlineStr">
        <is>
          <t>D836</t>
        </is>
      </c>
      <c r="F2800" s="8" t="inlineStr">
        <is>
          <t>67243408</t>
        </is>
      </c>
      <c r="G2800" s="8">
        <f>IFERROR(VLOOKUP(A2800,Flete!$A:$E,5,0),"")</f>
        <v/>
      </c>
      <c r="H2800" s="7">
        <f>IFERROR(VLOOKUP(F2800,TRAOPE!$AA:$AB,2,0),"")</f>
        <v/>
      </c>
      <c r="I2800" s="7" t="n">
        <v>10274754</v>
      </c>
      <c r="J2800" s="7">
        <f>IFERROR(VLOOKUP(I2800,Materiales!$A:$H,8,0),"")</f>
        <v/>
      </c>
      <c r="K2800" s="9">
        <f>IFERROR(VLOOKUP(I2800,Materiales!$A:$G,7,0),"")</f>
        <v/>
      </c>
      <c r="L2800" s="8" t="inlineStr">
        <is>
          <t>20260318</t>
        </is>
      </c>
      <c r="M2800" s="8" t="inlineStr">
        <is>
          <t>99991231</t>
        </is>
      </c>
      <c r="N2800" s="10" t="n">
        <v>170</v>
      </c>
      <c r="O2800" s="10">
        <f>IFERROR(VLOOKUP(A2800,Flete!$A:$J,10,0),"")</f>
        <v/>
      </c>
      <c r="P2800" s="8" t="inlineStr">
        <is>
          <t>M3</t>
        </is>
      </c>
      <c r="Q2800" s="10">
        <f>IFERROR(IFERROR(VLOOKUP(A2800,TRAOPE!$A:$U,21,0),VLOOKUP(B2800,TRAOPE!$A:$U,21,0)),"")</f>
        <v/>
      </c>
      <c r="R2800" s="8">
        <f>IFERROR(IFERROR(VLOOKUP(A2800,TRAOPE!$A:$W,23,0),VLOOKUP(B2800,TRAOPE!$A:$W,23,0)),"")</f>
        <v/>
      </c>
      <c r="S2800" s="10">
        <f>IF(AND(P2800="TN",R2800="TN"),N2800+N(O2800),IF(G2800&amp;""="1",N(K2800)*N2800,(N2800+N(O2800))*N(K2800)))</f>
        <v/>
      </c>
      <c r="T2800" s="10">
        <f>IF(Q2800="","",Q2800-S2800)</f>
        <v/>
      </c>
    </row>
    <row r="2801">
      <c r="A2801" s="7">
        <f>CONCATENATE(C2801,E2801,F2801,I2801)</f>
        <v/>
      </c>
      <c r="B2801" s="7">
        <f>CONCATENATE(C2801,E2801,I2801)</f>
        <v/>
      </c>
      <c r="C2801" s="8" t="n">
        <v>900009460</v>
      </c>
      <c r="D2801" s="7">
        <f>IFERROR(VLOOKUP(C2801,TRAOPE!$G:$H,2,0),"")</f>
        <v/>
      </c>
      <c r="E2801" s="8" t="inlineStr">
        <is>
          <t>D836</t>
        </is>
      </c>
      <c r="F2801" s="8" t="inlineStr">
        <is>
          <t>67243408</t>
        </is>
      </c>
      <c r="G2801" s="8">
        <f>IFERROR(VLOOKUP(A2801,Flete!$A:$E,5,0),"")</f>
        <v/>
      </c>
      <c r="H2801" s="7">
        <f>IFERROR(VLOOKUP(F2801,TRAOPE!$AA:$AB,2,0),"")</f>
        <v/>
      </c>
      <c r="I2801" s="7" t="n">
        <v>10276711</v>
      </c>
      <c r="J2801" s="7">
        <f>IFERROR(VLOOKUP(I2801,Materiales!$A:$H,8,0),"")</f>
        <v/>
      </c>
      <c r="K2801" s="9">
        <f>IFERROR(VLOOKUP(I2801,Materiales!$A:$G,7,0),"")</f>
        <v/>
      </c>
      <c r="L2801" s="8" t="inlineStr">
        <is>
          <t>20260515</t>
        </is>
      </c>
      <c r="M2801" s="8" t="inlineStr">
        <is>
          <t>99991231</t>
        </is>
      </c>
      <c r="N2801" s="10" t="n">
        <v>144.8</v>
      </c>
      <c r="O2801" s="10">
        <f>IFERROR(VLOOKUP(A2801,Flete!$A:$J,10,0),"")</f>
        <v/>
      </c>
      <c r="P2801" s="8" t="inlineStr">
        <is>
          <t>M3</t>
        </is>
      </c>
      <c r="Q2801" s="10">
        <f>IFERROR(IFERROR(VLOOKUP(A2801,TRAOPE!$A:$U,21,0),VLOOKUP(B2801,TRAOPE!$A:$U,21,0)),"")</f>
        <v/>
      </c>
      <c r="R2801" s="8">
        <f>IFERROR(IFERROR(VLOOKUP(A2801,TRAOPE!$A:$W,23,0),VLOOKUP(B2801,TRAOPE!$A:$W,23,0)),"")</f>
        <v/>
      </c>
      <c r="S2801" s="10">
        <f>IF(AND(P2801="TN",R2801="TN"),N2801+N(O2801),IF(G2801&amp;""="1",N(K2801)*N2801,(N2801+N(O2801))*N(K2801)))</f>
        <v/>
      </c>
      <c r="T2801" s="10">
        <f>IF(Q2801="","",Q2801-S2801)</f>
        <v/>
      </c>
    </row>
    <row r="2802">
      <c r="A2802" s="7">
        <f>CONCATENATE(C2802,E2802,F2802,I2802)</f>
        <v/>
      </c>
      <c r="B2802" s="7">
        <f>CONCATENATE(C2802,E2802,I2802)</f>
        <v/>
      </c>
      <c r="C2802" s="8" t="n">
        <v>900009460</v>
      </c>
      <c r="D2802" s="7">
        <f>IFERROR(VLOOKUP(C2802,TRAOPE!$G:$H,2,0),"")</f>
        <v/>
      </c>
      <c r="E2802" s="8" t="inlineStr">
        <is>
          <t>D836</t>
        </is>
      </c>
      <c r="F2802" s="8" t="inlineStr">
        <is>
          <t>67243408</t>
        </is>
      </c>
      <c r="G2802" s="8">
        <f>IFERROR(VLOOKUP(A2802,Flete!$A:$E,5,0),"")</f>
        <v/>
      </c>
      <c r="H2802" s="7">
        <f>IFERROR(VLOOKUP(F2802,TRAOPE!$AA:$AB,2,0),"")</f>
        <v/>
      </c>
      <c r="I2802" s="7" t="n">
        <v>10277346</v>
      </c>
      <c r="J2802" s="7">
        <f>IFERROR(VLOOKUP(I2802,Materiales!$A:$H,8,0),"")</f>
        <v/>
      </c>
      <c r="K2802" s="9">
        <f>IFERROR(VLOOKUP(I2802,Materiales!$A:$G,7,0),"")</f>
        <v/>
      </c>
      <c r="L2802" s="8" t="inlineStr">
        <is>
          <t>20260518</t>
        </is>
      </c>
      <c r="M2802" s="8" t="inlineStr">
        <is>
          <t>99991231</t>
        </is>
      </c>
      <c r="N2802" s="10" t="n">
        <v>120</v>
      </c>
      <c r="O2802" s="10">
        <f>IFERROR(VLOOKUP(A2802,Flete!$A:$J,10,0),"")</f>
        <v/>
      </c>
      <c r="P2802" s="8" t="inlineStr">
        <is>
          <t>M3</t>
        </is>
      </c>
      <c r="Q2802" s="10">
        <f>IFERROR(IFERROR(VLOOKUP(A2802,TRAOPE!$A:$U,21,0),VLOOKUP(B2802,TRAOPE!$A:$U,21,0)),"")</f>
        <v/>
      </c>
      <c r="R2802" s="8">
        <f>IFERROR(IFERROR(VLOOKUP(A2802,TRAOPE!$A:$W,23,0),VLOOKUP(B2802,TRAOPE!$A:$W,23,0)),"")</f>
        <v/>
      </c>
      <c r="S2802" s="10">
        <f>IF(AND(P2802="TN",R2802="TN"),N2802+N(O2802),IF(G2802&amp;""="1",N(K2802)*N2802,(N2802+N(O2802))*N(K2802)))</f>
        <v/>
      </c>
      <c r="T2802" s="10">
        <f>IF(Q2802="","",Q2802-S2802)</f>
        <v/>
      </c>
    </row>
    <row r="2803">
      <c r="A2803" s="7">
        <f>CONCATENATE(C2803,E2803,F2803,I2803)</f>
        <v/>
      </c>
      <c r="B2803" s="7">
        <f>CONCATENATE(C2803,E2803,I2803)</f>
        <v/>
      </c>
      <c r="C2803" s="8" t="n">
        <v>900009460</v>
      </c>
      <c r="D2803" s="7">
        <f>IFERROR(VLOOKUP(C2803,TRAOPE!$G:$H,2,0),"")</f>
        <v/>
      </c>
      <c r="E2803" s="8" t="inlineStr">
        <is>
          <t>D836</t>
        </is>
      </c>
      <c r="F2803" s="8" t="inlineStr">
        <is>
          <t>67244113</t>
        </is>
      </c>
      <c r="G2803" s="8">
        <f>IFERROR(VLOOKUP(A2803,Flete!$A:$E,5,0),"")</f>
        <v/>
      </c>
      <c r="H2803" s="7">
        <f>IFERROR(VLOOKUP(F2803,TRAOPE!$AA:$AB,2,0),"")</f>
        <v/>
      </c>
      <c r="I2803" s="7" t="n">
        <v>10264162</v>
      </c>
      <c r="J2803" s="7">
        <f>IFERROR(VLOOKUP(I2803,Materiales!$A:$H,8,0),"")</f>
        <v/>
      </c>
      <c r="K2803" s="9">
        <f>IFERROR(VLOOKUP(I2803,Materiales!$A:$G,7,0),"")</f>
        <v/>
      </c>
      <c r="L2803" s="8" t="inlineStr">
        <is>
          <t>20260128</t>
        </is>
      </c>
      <c r="M2803" s="8" t="inlineStr">
        <is>
          <t>99991231</t>
        </is>
      </c>
      <c r="N2803" s="10" t="n">
        <v>125</v>
      </c>
      <c r="O2803" s="10">
        <f>IFERROR(VLOOKUP(A2803,Flete!$A:$J,10,0),"")</f>
        <v/>
      </c>
      <c r="P2803" s="8" t="inlineStr">
        <is>
          <t>M3</t>
        </is>
      </c>
      <c r="Q2803" s="10">
        <f>IFERROR(IFERROR(VLOOKUP(A2803,TRAOPE!$A:$U,21,0),VLOOKUP(B2803,TRAOPE!$A:$U,21,0)),"")</f>
        <v/>
      </c>
      <c r="R2803" s="8">
        <f>IFERROR(IFERROR(VLOOKUP(A2803,TRAOPE!$A:$W,23,0),VLOOKUP(B2803,TRAOPE!$A:$W,23,0)),"")</f>
        <v/>
      </c>
      <c r="S2803" s="10">
        <f>IF(AND(P2803="TN",R2803="TN"),N2803+N(O2803),IF(G2803&amp;""="1",N(K2803)*N2803,(N2803+N(O2803))*N(K2803)))</f>
        <v/>
      </c>
      <c r="T2803" s="10">
        <f>IF(Q2803="","",Q2803-S2803)</f>
        <v/>
      </c>
    </row>
    <row r="2804">
      <c r="A2804" s="7">
        <f>CONCATENATE(C2804,E2804,F2804,I2804)</f>
        <v/>
      </c>
      <c r="B2804" s="7">
        <f>CONCATENATE(C2804,E2804,I2804)</f>
        <v/>
      </c>
      <c r="C2804" s="8" t="n">
        <v>900009460</v>
      </c>
      <c r="D2804" s="7">
        <f>IFERROR(VLOOKUP(C2804,TRAOPE!$G:$H,2,0),"")</f>
        <v/>
      </c>
      <c r="E2804" s="8" t="inlineStr">
        <is>
          <t>D836</t>
        </is>
      </c>
      <c r="F2804" s="8" t="inlineStr">
        <is>
          <t>67277158</t>
        </is>
      </c>
      <c r="G2804" s="8">
        <f>IFERROR(VLOOKUP(A2804,Flete!$A:$E,5,0),"")</f>
        <v/>
      </c>
      <c r="H2804" s="7">
        <f>IFERROR(VLOOKUP(F2804,TRAOPE!$AA:$AB,2,0),"")</f>
        <v/>
      </c>
      <c r="I2804" s="7" t="n">
        <v>10264162</v>
      </c>
      <c r="J2804" s="7">
        <f>IFERROR(VLOOKUP(I2804,Materiales!$A:$H,8,0),"")</f>
        <v/>
      </c>
      <c r="K2804" s="9">
        <f>IFERROR(VLOOKUP(I2804,Materiales!$A:$G,7,0),"")</f>
        <v/>
      </c>
      <c r="L2804" s="8" t="inlineStr">
        <is>
          <t>20260325</t>
        </is>
      </c>
      <c r="M2804" s="8" t="inlineStr">
        <is>
          <t>99991231</t>
        </is>
      </c>
      <c r="N2804" s="10" t="n">
        <v>150</v>
      </c>
      <c r="O2804" s="10">
        <f>IFERROR(VLOOKUP(A2804,Flete!$A:$J,10,0),"")</f>
        <v/>
      </c>
      <c r="P2804" s="8" t="inlineStr">
        <is>
          <t>M3</t>
        </is>
      </c>
      <c r="Q2804" s="10">
        <f>IFERROR(IFERROR(VLOOKUP(A2804,TRAOPE!$A:$U,21,0),VLOOKUP(B2804,TRAOPE!$A:$U,21,0)),"")</f>
        <v/>
      </c>
      <c r="R2804" s="8">
        <f>IFERROR(IFERROR(VLOOKUP(A2804,TRAOPE!$A:$W,23,0),VLOOKUP(B2804,TRAOPE!$A:$W,23,0)),"")</f>
        <v/>
      </c>
      <c r="S2804" s="10">
        <f>IF(AND(P2804="TN",R2804="TN"),N2804+N(O2804),IF(G2804&amp;""="1",N(K2804)*N2804,(N2804+N(O2804))*N(K2804)))</f>
        <v/>
      </c>
      <c r="T2804" s="10">
        <f>IF(Q2804="","",Q2804-S2804)</f>
        <v/>
      </c>
    </row>
    <row r="2805">
      <c r="A2805" s="7">
        <f>CONCATENATE(C2805,E2805,F2805,I2805)</f>
        <v/>
      </c>
      <c r="B2805" s="7">
        <f>CONCATENATE(C2805,E2805,I2805)</f>
        <v/>
      </c>
      <c r="C2805" s="8" t="n">
        <v>900009460</v>
      </c>
      <c r="D2805" s="7">
        <f>IFERROR(VLOOKUP(C2805,TRAOPE!$G:$H,2,0),"")</f>
        <v/>
      </c>
      <c r="E2805" s="8" t="inlineStr">
        <is>
          <t>D836</t>
        </is>
      </c>
      <c r="F2805" s="8" t="inlineStr">
        <is>
          <t>67277158</t>
        </is>
      </c>
      <c r="G2805" s="8">
        <f>IFERROR(VLOOKUP(A2805,Flete!$A:$E,5,0),"")</f>
        <v/>
      </c>
      <c r="H2805" s="7">
        <f>IFERROR(VLOOKUP(F2805,TRAOPE!$AA:$AB,2,0),"")</f>
        <v/>
      </c>
      <c r="I2805" s="7" t="n">
        <v>10274754</v>
      </c>
      <c r="J2805" s="7">
        <f>IFERROR(VLOOKUP(I2805,Materiales!$A:$H,8,0),"")</f>
        <v/>
      </c>
      <c r="K2805" s="9">
        <f>IFERROR(VLOOKUP(I2805,Materiales!$A:$G,7,0),"")</f>
        <v/>
      </c>
      <c r="L2805" s="8" t="inlineStr">
        <is>
          <t>20260325</t>
        </is>
      </c>
      <c r="M2805" s="8" t="inlineStr">
        <is>
          <t>99991231</t>
        </is>
      </c>
      <c r="N2805" s="10" t="n">
        <v>190</v>
      </c>
      <c r="O2805" s="10">
        <f>IFERROR(VLOOKUP(A2805,Flete!$A:$J,10,0),"")</f>
        <v/>
      </c>
      <c r="P2805" s="8" t="inlineStr">
        <is>
          <t>M3</t>
        </is>
      </c>
      <c r="Q2805" s="10">
        <f>IFERROR(IFERROR(VLOOKUP(A2805,TRAOPE!$A:$U,21,0),VLOOKUP(B2805,TRAOPE!$A:$U,21,0)),"")</f>
        <v/>
      </c>
      <c r="R2805" s="8">
        <f>IFERROR(IFERROR(VLOOKUP(A2805,TRAOPE!$A:$W,23,0),VLOOKUP(B2805,TRAOPE!$A:$W,23,0)),"")</f>
        <v/>
      </c>
      <c r="S2805" s="10">
        <f>IF(AND(P2805="TN",R2805="TN"),N2805+N(O2805),IF(G2805&amp;""="1",N(K2805)*N2805,(N2805+N(O2805))*N(K2805)))</f>
        <v/>
      </c>
      <c r="T2805" s="10">
        <f>IF(Q2805="","",Q2805-S2805)</f>
        <v/>
      </c>
    </row>
    <row r="2806">
      <c r="A2806" s="7">
        <f>CONCATENATE(C2806,E2806,F2806,I2806)</f>
        <v/>
      </c>
      <c r="B2806" s="7">
        <f>CONCATENATE(C2806,E2806,I2806)</f>
        <v/>
      </c>
      <c r="C2806" s="8" t="n">
        <v>900009460</v>
      </c>
      <c r="D2806" s="7">
        <f>IFERROR(VLOOKUP(C2806,TRAOPE!$G:$H,2,0),"")</f>
        <v/>
      </c>
      <c r="E2806" s="8" t="inlineStr">
        <is>
          <t>D836</t>
        </is>
      </c>
      <c r="F2806" s="8" t="inlineStr">
        <is>
          <t>67277485</t>
        </is>
      </c>
      <c r="G2806" s="8">
        <f>IFERROR(VLOOKUP(A2806,Flete!$A:$E,5,0),"")</f>
        <v/>
      </c>
      <c r="H2806" s="7">
        <f>IFERROR(VLOOKUP(F2806,TRAOPE!$AA:$AB,2,0),"")</f>
        <v/>
      </c>
      <c r="I2806" s="7" t="n">
        <v>10264162</v>
      </c>
      <c r="J2806" s="7">
        <f>IFERROR(VLOOKUP(I2806,Materiales!$A:$H,8,0),"")</f>
        <v/>
      </c>
      <c r="K2806" s="9">
        <f>IFERROR(VLOOKUP(I2806,Materiales!$A:$G,7,0),"")</f>
        <v/>
      </c>
      <c r="L2806" s="8" t="inlineStr">
        <is>
          <t>20260325</t>
        </is>
      </c>
      <c r="M2806" s="8" t="inlineStr">
        <is>
          <t>99991231</t>
        </is>
      </c>
      <c r="N2806" s="10" t="n">
        <v>150</v>
      </c>
      <c r="O2806" s="10">
        <f>IFERROR(VLOOKUP(A2806,Flete!$A:$J,10,0),"")</f>
        <v/>
      </c>
      <c r="P2806" s="8" t="inlineStr">
        <is>
          <t>M3</t>
        </is>
      </c>
      <c r="Q2806" s="10">
        <f>IFERROR(IFERROR(VLOOKUP(A2806,TRAOPE!$A:$U,21,0),VLOOKUP(B2806,TRAOPE!$A:$U,21,0)),"")</f>
        <v/>
      </c>
      <c r="R2806" s="8">
        <f>IFERROR(IFERROR(VLOOKUP(A2806,TRAOPE!$A:$W,23,0),VLOOKUP(B2806,TRAOPE!$A:$W,23,0)),"")</f>
        <v/>
      </c>
      <c r="S2806" s="10">
        <f>IF(AND(P2806="TN",R2806="TN"),N2806+N(O2806),IF(G2806&amp;""="1",N(K2806)*N2806,(N2806+N(O2806))*N(K2806)))</f>
        <v/>
      </c>
      <c r="T2806" s="10">
        <f>IF(Q2806="","",Q2806-S2806)</f>
        <v/>
      </c>
    </row>
    <row r="2807">
      <c r="A2807" s="7">
        <f>CONCATENATE(C2807,E2807,F2807,I2807)</f>
        <v/>
      </c>
      <c r="B2807" s="7">
        <f>CONCATENATE(C2807,E2807,I2807)</f>
        <v/>
      </c>
      <c r="C2807" s="8" t="n">
        <v>900009460</v>
      </c>
      <c r="D2807" s="7">
        <f>IFERROR(VLOOKUP(C2807,TRAOPE!$G:$H,2,0),"")</f>
        <v/>
      </c>
      <c r="E2807" s="8" t="inlineStr">
        <is>
          <t>D836</t>
        </is>
      </c>
      <c r="F2807" s="8" t="inlineStr">
        <is>
          <t>67277485</t>
        </is>
      </c>
      <c r="G2807" s="8">
        <f>IFERROR(VLOOKUP(A2807,Flete!$A:$E,5,0),"")</f>
        <v/>
      </c>
      <c r="H2807" s="7">
        <f>IFERROR(VLOOKUP(F2807,TRAOPE!$AA:$AB,2,0),"")</f>
        <v/>
      </c>
      <c r="I2807" s="7" t="n">
        <v>10274754</v>
      </c>
      <c r="J2807" s="7">
        <f>IFERROR(VLOOKUP(I2807,Materiales!$A:$H,8,0),"")</f>
        <v/>
      </c>
      <c r="K2807" s="9">
        <f>IFERROR(VLOOKUP(I2807,Materiales!$A:$G,7,0),"")</f>
        <v/>
      </c>
      <c r="L2807" s="8" t="inlineStr">
        <is>
          <t>20260325</t>
        </is>
      </c>
      <c r="M2807" s="8" t="inlineStr">
        <is>
          <t>99991231</t>
        </is>
      </c>
      <c r="N2807" s="10" t="n">
        <v>190</v>
      </c>
      <c r="O2807" s="10">
        <f>IFERROR(VLOOKUP(A2807,Flete!$A:$J,10,0),"")</f>
        <v/>
      </c>
      <c r="P2807" s="8" t="inlineStr">
        <is>
          <t>M3</t>
        </is>
      </c>
      <c r="Q2807" s="10">
        <f>IFERROR(IFERROR(VLOOKUP(A2807,TRAOPE!$A:$U,21,0),VLOOKUP(B2807,TRAOPE!$A:$U,21,0)),"")</f>
        <v/>
      </c>
      <c r="R2807" s="8">
        <f>IFERROR(IFERROR(VLOOKUP(A2807,TRAOPE!$A:$W,23,0),VLOOKUP(B2807,TRAOPE!$A:$W,23,0)),"")</f>
        <v/>
      </c>
      <c r="S2807" s="10">
        <f>IF(AND(P2807="TN",R2807="TN"),N2807+N(O2807),IF(G2807&amp;""="1",N(K2807)*N2807,(N2807+N(O2807))*N(K2807)))</f>
        <v/>
      </c>
      <c r="T2807" s="10">
        <f>IF(Q2807="","",Q2807-S2807)</f>
        <v/>
      </c>
    </row>
    <row r="2808">
      <c r="A2808" s="7">
        <f>CONCATENATE(C2808,E2808,F2808,I2808)</f>
        <v/>
      </c>
      <c r="B2808" s="7">
        <f>CONCATENATE(C2808,E2808,I2808)</f>
        <v/>
      </c>
      <c r="C2808" s="8" t="n">
        <v>900009460</v>
      </c>
      <c r="D2808" s="7">
        <f>IFERROR(VLOOKUP(C2808,TRAOPE!$G:$H,2,0),"")</f>
        <v/>
      </c>
      <c r="E2808" s="8" t="inlineStr">
        <is>
          <t>D836</t>
        </is>
      </c>
      <c r="F2808" s="8" t="inlineStr">
        <is>
          <t>67322499</t>
        </is>
      </c>
      <c r="G2808" s="8">
        <f>IFERROR(VLOOKUP(A2808,Flete!$A:$E,5,0),"")</f>
        <v/>
      </c>
      <c r="H2808" s="7">
        <f>IFERROR(VLOOKUP(F2808,TRAOPE!$AA:$AB,2,0),"")</f>
        <v/>
      </c>
      <c r="I2808" s="7" t="n">
        <v>10264162</v>
      </c>
      <c r="J2808" s="7">
        <f>IFERROR(VLOOKUP(I2808,Materiales!$A:$H,8,0),"")</f>
        <v/>
      </c>
      <c r="K2808" s="9">
        <f>IFERROR(VLOOKUP(I2808,Materiales!$A:$G,7,0),"")</f>
        <v/>
      </c>
      <c r="L2808" s="8" t="inlineStr">
        <is>
          <t>20260318</t>
        </is>
      </c>
      <c r="M2808" s="8" t="inlineStr">
        <is>
          <t>99991231</t>
        </is>
      </c>
      <c r="N2808" s="10" t="n">
        <v>150</v>
      </c>
      <c r="O2808" s="10">
        <f>IFERROR(VLOOKUP(A2808,Flete!$A:$J,10,0),"")</f>
        <v/>
      </c>
      <c r="P2808" s="8" t="inlineStr">
        <is>
          <t>M3</t>
        </is>
      </c>
      <c r="Q2808" s="10">
        <f>IFERROR(IFERROR(VLOOKUP(A2808,TRAOPE!$A:$U,21,0),VLOOKUP(B2808,TRAOPE!$A:$U,21,0)),"")</f>
        <v/>
      </c>
      <c r="R2808" s="8">
        <f>IFERROR(IFERROR(VLOOKUP(A2808,TRAOPE!$A:$W,23,0),VLOOKUP(B2808,TRAOPE!$A:$W,23,0)),"")</f>
        <v/>
      </c>
      <c r="S2808" s="10">
        <f>IF(AND(P2808="TN",R2808="TN"),N2808+N(O2808),IF(G2808&amp;""="1",N(K2808)*N2808,(N2808+N(O2808))*N(K2808)))</f>
        <v/>
      </c>
      <c r="T2808" s="10">
        <f>IF(Q2808="","",Q2808-S2808)</f>
        <v/>
      </c>
    </row>
    <row r="2809">
      <c r="A2809" s="7">
        <f>CONCATENATE(C2809,E2809,F2809,I2809)</f>
        <v/>
      </c>
      <c r="B2809" s="7">
        <f>CONCATENATE(C2809,E2809,I2809)</f>
        <v/>
      </c>
      <c r="C2809" s="8" t="n">
        <v>900009460</v>
      </c>
      <c r="D2809" s="7">
        <f>IFERROR(VLOOKUP(C2809,TRAOPE!$G:$H,2,0),"")</f>
        <v/>
      </c>
      <c r="E2809" s="8" t="inlineStr">
        <is>
          <t>D836</t>
        </is>
      </c>
      <c r="F2809" s="8" t="inlineStr">
        <is>
          <t>67322499</t>
        </is>
      </c>
      <c r="G2809" s="8">
        <f>IFERROR(VLOOKUP(A2809,Flete!$A:$E,5,0),"")</f>
        <v/>
      </c>
      <c r="H2809" s="7">
        <f>IFERROR(VLOOKUP(F2809,TRAOPE!$AA:$AB,2,0),"")</f>
        <v/>
      </c>
      <c r="I2809" s="7" t="n">
        <v>10274754</v>
      </c>
      <c r="J2809" s="7">
        <f>IFERROR(VLOOKUP(I2809,Materiales!$A:$H,8,0),"")</f>
        <v/>
      </c>
      <c r="K2809" s="9">
        <f>IFERROR(VLOOKUP(I2809,Materiales!$A:$G,7,0),"")</f>
        <v/>
      </c>
      <c r="L2809" s="8" t="inlineStr">
        <is>
          <t>20260318</t>
        </is>
      </c>
      <c r="M2809" s="8" t="inlineStr">
        <is>
          <t>99991231</t>
        </is>
      </c>
      <c r="N2809" s="10" t="n">
        <v>170</v>
      </c>
      <c r="O2809" s="10">
        <f>IFERROR(VLOOKUP(A2809,Flete!$A:$J,10,0),"")</f>
        <v/>
      </c>
      <c r="P2809" s="8" t="inlineStr">
        <is>
          <t>M3</t>
        </is>
      </c>
      <c r="Q2809" s="10">
        <f>IFERROR(IFERROR(VLOOKUP(A2809,TRAOPE!$A:$U,21,0),VLOOKUP(B2809,TRAOPE!$A:$U,21,0)),"")</f>
        <v/>
      </c>
      <c r="R2809" s="8">
        <f>IFERROR(IFERROR(VLOOKUP(A2809,TRAOPE!$A:$W,23,0),VLOOKUP(B2809,TRAOPE!$A:$W,23,0)),"")</f>
        <v/>
      </c>
      <c r="S2809" s="10">
        <f>IF(AND(P2809="TN",R2809="TN"),N2809+N(O2809),IF(G2809&amp;""="1",N(K2809)*N2809,(N2809+N(O2809))*N(K2809)))</f>
        <v/>
      </c>
      <c r="T2809" s="10">
        <f>IF(Q2809="","",Q2809-S2809)</f>
        <v/>
      </c>
    </row>
    <row r="2810">
      <c r="A2810" s="7">
        <f>CONCATENATE(C2810,E2810,F2810,I2810)</f>
        <v/>
      </c>
      <c r="B2810" s="7">
        <f>CONCATENATE(C2810,E2810,I2810)</f>
        <v/>
      </c>
      <c r="C2810" s="8" t="n">
        <v>900009460</v>
      </c>
      <c r="D2810" s="7">
        <f>IFERROR(VLOOKUP(C2810,TRAOPE!$G:$H,2,0),"")</f>
        <v/>
      </c>
      <c r="E2810" s="8" t="inlineStr">
        <is>
          <t>D836</t>
        </is>
      </c>
      <c r="F2810" s="8" t="inlineStr">
        <is>
          <t>67322499</t>
        </is>
      </c>
      <c r="G2810" s="8">
        <f>IFERROR(VLOOKUP(A2810,Flete!$A:$E,5,0),"")</f>
        <v/>
      </c>
      <c r="H2810" s="7">
        <f>IFERROR(VLOOKUP(F2810,TRAOPE!$AA:$AB,2,0),"")</f>
        <v/>
      </c>
      <c r="I2810" s="7" t="n">
        <v>10276711</v>
      </c>
      <c r="J2810" s="7">
        <f>IFERROR(VLOOKUP(I2810,Materiales!$A:$H,8,0),"")</f>
        <v/>
      </c>
      <c r="K2810" s="9">
        <f>IFERROR(VLOOKUP(I2810,Materiales!$A:$G,7,0),"")</f>
        <v/>
      </c>
      <c r="L2810" s="8" t="inlineStr">
        <is>
          <t>20260515</t>
        </is>
      </c>
      <c r="M2810" s="8" t="inlineStr">
        <is>
          <t>99991231</t>
        </is>
      </c>
      <c r="N2810" s="10" t="n">
        <v>144.8</v>
      </c>
      <c r="O2810" s="10">
        <f>IFERROR(VLOOKUP(A2810,Flete!$A:$J,10,0),"")</f>
        <v/>
      </c>
      <c r="P2810" s="8" t="inlineStr">
        <is>
          <t>M3</t>
        </is>
      </c>
      <c r="Q2810" s="10">
        <f>IFERROR(IFERROR(VLOOKUP(A2810,TRAOPE!$A:$U,21,0),VLOOKUP(B2810,TRAOPE!$A:$U,21,0)),"")</f>
        <v/>
      </c>
      <c r="R2810" s="8">
        <f>IFERROR(IFERROR(VLOOKUP(A2810,TRAOPE!$A:$W,23,0),VLOOKUP(B2810,TRAOPE!$A:$W,23,0)),"")</f>
        <v/>
      </c>
      <c r="S2810" s="10">
        <f>IF(AND(P2810="TN",R2810="TN"),N2810+N(O2810),IF(G2810&amp;""="1",N(K2810)*N2810,(N2810+N(O2810))*N(K2810)))</f>
        <v/>
      </c>
      <c r="T2810" s="10">
        <f>IF(Q2810="","",Q2810-S2810)</f>
        <v/>
      </c>
    </row>
    <row r="2811">
      <c r="A2811" s="7">
        <f>CONCATENATE(C2811,E2811,F2811,I2811)</f>
        <v/>
      </c>
      <c r="B2811" s="7">
        <f>CONCATENATE(C2811,E2811,I2811)</f>
        <v/>
      </c>
      <c r="C2811" s="8" t="n">
        <v>900009460</v>
      </c>
      <c r="D2811" s="7">
        <f>IFERROR(VLOOKUP(C2811,TRAOPE!$G:$H,2,0),"")</f>
        <v/>
      </c>
      <c r="E2811" s="8" t="inlineStr">
        <is>
          <t>D836</t>
        </is>
      </c>
      <c r="F2811" s="8" t="inlineStr">
        <is>
          <t>67322499</t>
        </is>
      </c>
      <c r="G2811" s="8">
        <f>IFERROR(VLOOKUP(A2811,Flete!$A:$E,5,0),"")</f>
        <v/>
      </c>
      <c r="H2811" s="7">
        <f>IFERROR(VLOOKUP(F2811,TRAOPE!$AA:$AB,2,0),"")</f>
        <v/>
      </c>
      <c r="I2811" s="7" t="n">
        <v>10277346</v>
      </c>
      <c r="J2811" s="7">
        <f>IFERROR(VLOOKUP(I2811,Materiales!$A:$H,8,0),"")</f>
        <v/>
      </c>
      <c r="K2811" s="9">
        <f>IFERROR(VLOOKUP(I2811,Materiales!$A:$G,7,0),"")</f>
        <v/>
      </c>
      <c r="L2811" s="8" t="inlineStr">
        <is>
          <t>20260518</t>
        </is>
      </c>
      <c r="M2811" s="8" t="inlineStr">
        <is>
          <t>99991231</t>
        </is>
      </c>
      <c r="N2811" s="10" t="n">
        <v>120</v>
      </c>
      <c r="O2811" s="10">
        <f>IFERROR(VLOOKUP(A2811,Flete!$A:$J,10,0),"")</f>
        <v/>
      </c>
      <c r="P2811" s="8" t="inlineStr">
        <is>
          <t>M3</t>
        </is>
      </c>
      <c r="Q2811" s="10">
        <f>IFERROR(IFERROR(VLOOKUP(A2811,TRAOPE!$A:$U,21,0),VLOOKUP(B2811,TRAOPE!$A:$U,21,0)),"")</f>
        <v/>
      </c>
      <c r="R2811" s="8">
        <f>IFERROR(IFERROR(VLOOKUP(A2811,TRAOPE!$A:$W,23,0),VLOOKUP(B2811,TRAOPE!$A:$W,23,0)),"")</f>
        <v/>
      </c>
      <c r="S2811" s="10">
        <f>IF(AND(P2811="TN",R2811="TN"),N2811+N(O2811),IF(G2811&amp;""="1",N(K2811)*N2811,(N2811+N(O2811))*N(K2811)))</f>
        <v/>
      </c>
      <c r="T2811" s="10">
        <f>IF(Q2811="","",Q2811-S2811)</f>
        <v/>
      </c>
    </row>
    <row r="2812">
      <c r="A2812" s="7">
        <f>CONCATENATE(C2812,E2812,F2812,I2812)</f>
        <v/>
      </c>
      <c r="B2812" s="7">
        <f>CONCATENATE(C2812,E2812,I2812)</f>
        <v/>
      </c>
      <c r="C2812" s="8" t="n">
        <v>900009460</v>
      </c>
      <c r="D2812" s="7">
        <f>IFERROR(VLOOKUP(C2812,TRAOPE!$G:$H,2,0),"")</f>
        <v/>
      </c>
      <c r="E2812" s="8" t="inlineStr">
        <is>
          <t>D836</t>
        </is>
      </c>
      <c r="F2812" s="8" t="inlineStr">
        <is>
          <t>67347709</t>
        </is>
      </c>
      <c r="G2812" s="8">
        <f>IFERROR(VLOOKUP(A2812,Flete!$A:$E,5,0),"")</f>
        <v/>
      </c>
      <c r="H2812" s="7">
        <f>IFERROR(VLOOKUP(F2812,TRAOPE!$AA:$AB,2,0),"")</f>
        <v/>
      </c>
      <c r="I2812" s="7" t="n">
        <v>10264162</v>
      </c>
      <c r="J2812" s="7">
        <f>IFERROR(VLOOKUP(I2812,Materiales!$A:$H,8,0),"")</f>
        <v/>
      </c>
      <c r="K2812" s="9">
        <f>IFERROR(VLOOKUP(I2812,Materiales!$A:$G,7,0),"")</f>
        <v/>
      </c>
      <c r="L2812" s="8" t="inlineStr">
        <is>
          <t>20260327</t>
        </is>
      </c>
      <c r="M2812" s="8" t="inlineStr">
        <is>
          <t>99991231</t>
        </is>
      </c>
      <c r="N2812" s="10" t="n">
        <v>140</v>
      </c>
      <c r="O2812" s="10">
        <f>IFERROR(VLOOKUP(A2812,Flete!$A:$J,10,0),"")</f>
        <v/>
      </c>
      <c r="P2812" s="8" t="inlineStr">
        <is>
          <t>M3</t>
        </is>
      </c>
      <c r="Q2812" s="10">
        <f>IFERROR(IFERROR(VLOOKUP(A2812,TRAOPE!$A:$U,21,0),VLOOKUP(B2812,TRAOPE!$A:$U,21,0)),"")</f>
        <v/>
      </c>
      <c r="R2812" s="8">
        <f>IFERROR(IFERROR(VLOOKUP(A2812,TRAOPE!$A:$W,23,0),VLOOKUP(B2812,TRAOPE!$A:$W,23,0)),"")</f>
        <v/>
      </c>
      <c r="S2812" s="10">
        <f>IF(AND(P2812="TN",R2812="TN"),N2812+N(O2812),IF(G2812&amp;""="1",N(K2812)*N2812,(N2812+N(O2812))*N(K2812)))</f>
        <v/>
      </c>
      <c r="T2812" s="10">
        <f>IF(Q2812="","",Q2812-S2812)</f>
        <v/>
      </c>
    </row>
    <row r="2813">
      <c r="A2813" s="7">
        <f>CONCATENATE(C2813,E2813,F2813,I2813)</f>
        <v/>
      </c>
      <c r="B2813" s="7">
        <f>CONCATENATE(C2813,E2813,I2813)</f>
        <v/>
      </c>
      <c r="C2813" s="8" t="n">
        <v>900009460</v>
      </c>
      <c r="D2813" s="7">
        <f>IFERROR(VLOOKUP(C2813,TRAOPE!$G:$H,2,0),"")</f>
        <v/>
      </c>
      <c r="E2813" s="8" t="inlineStr">
        <is>
          <t>D836</t>
        </is>
      </c>
      <c r="F2813" s="8" t="inlineStr">
        <is>
          <t>67347709</t>
        </is>
      </c>
      <c r="G2813" s="8">
        <f>IFERROR(VLOOKUP(A2813,Flete!$A:$E,5,0),"")</f>
        <v/>
      </c>
      <c r="H2813" s="7">
        <f>IFERROR(VLOOKUP(F2813,TRAOPE!$AA:$AB,2,0),"")</f>
        <v/>
      </c>
      <c r="I2813" s="7" t="n">
        <v>10274754</v>
      </c>
      <c r="J2813" s="7">
        <f>IFERROR(VLOOKUP(I2813,Materiales!$A:$H,8,0),"")</f>
        <v/>
      </c>
      <c r="K2813" s="9">
        <f>IFERROR(VLOOKUP(I2813,Materiales!$A:$G,7,0),"")</f>
        <v/>
      </c>
      <c r="L2813" s="8" t="inlineStr">
        <is>
          <t>20260327</t>
        </is>
      </c>
      <c r="M2813" s="8" t="inlineStr">
        <is>
          <t>99991231</t>
        </is>
      </c>
      <c r="N2813" s="10" t="n">
        <v>170</v>
      </c>
      <c r="O2813" s="10">
        <f>IFERROR(VLOOKUP(A2813,Flete!$A:$J,10,0),"")</f>
        <v/>
      </c>
      <c r="P2813" s="8" t="inlineStr">
        <is>
          <t>M3</t>
        </is>
      </c>
      <c r="Q2813" s="10">
        <f>IFERROR(IFERROR(VLOOKUP(A2813,TRAOPE!$A:$U,21,0),VLOOKUP(B2813,TRAOPE!$A:$U,21,0)),"")</f>
        <v/>
      </c>
      <c r="R2813" s="8">
        <f>IFERROR(IFERROR(VLOOKUP(A2813,TRAOPE!$A:$W,23,0),VLOOKUP(B2813,TRAOPE!$A:$W,23,0)),"")</f>
        <v/>
      </c>
      <c r="S2813" s="10">
        <f>IF(AND(P2813="TN",R2813="TN"),N2813+N(O2813),IF(G2813&amp;""="1",N(K2813)*N2813,(N2813+N(O2813))*N(K2813)))</f>
        <v/>
      </c>
      <c r="T2813" s="10">
        <f>IF(Q2813="","",Q2813-S2813)</f>
        <v/>
      </c>
    </row>
    <row r="2814">
      <c r="A2814" s="7">
        <f>CONCATENATE(C2814,E2814,F2814,I2814)</f>
        <v/>
      </c>
      <c r="B2814" s="7">
        <f>CONCATENATE(C2814,E2814,I2814)</f>
        <v/>
      </c>
      <c r="C2814" s="8" t="n">
        <v>900009460</v>
      </c>
      <c r="D2814" s="7">
        <f>IFERROR(VLOOKUP(C2814,TRAOPE!$G:$H,2,0),"")</f>
        <v/>
      </c>
      <c r="E2814" s="8" t="inlineStr">
        <is>
          <t>D836</t>
        </is>
      </c>
      <c r="F2814" s="8" t="inlineStr">
        <is>
          <t>67365667</t>
        </is>
      </c>
      <c r="G2814" s="8">
        <f>IFERROR(VLOOKUP(A2814,Flete!$A:$E,5,0),"")</f>
        <v/>
      </c>
      <c r="H2814" s="7">
        <f>IFERROR(VLOOKUP(F2814,TRAOPE!$AA:$AB,2,0),"")</f>
        <v/>
      </c>
      <c r="I2814" s="7" t="n">
        <v>10264162</v>
      </c>
      <c r="J2814" s="7">
        <f>IFERROR(VLOOKUP(I2814,Materiales!$A:$H,8,0),"")</f>
        <v/>
      </c>
      <c r="K2814" s="9">
        <f>IFERROR(VLOOKUP(I2814,Materiales!$A:$G,7,0),"")</f>
        <v/>
      </c>
      <c r="L2814" s="8" t="inlineStr">
        <is>
          <t>20260707</t>
        </is>
      </c>
      <c r="M2814" s="8" t="inlineStr">
        <is>
          <t>99991231</t>
        </is>
      </c>
      <c r="N2814" s="10" t="n">
        <v>147</v>
      </c>
      <c r="O2814" s="10">
        <f>IFERROR(VLOOKUP(A2814,Flete!$A:$J,10,0),"")</f>
        <v/>
      </c>
      <c r="P2814" s="8" t="inlineStr">
        <is>
          <t>M3</t>
        </is>
      </c>
      <c r="Q2814" s="10">
        <f>IFERROR(IFERROR(VLOOKUP(A2814,TRAOPE!$A:$U,21,0),VLOOKUP(B2814,TRAOPE!$A:$U,21,0)),"")</f>
        <v/>
      </c>
      <c r="R2814" s="8">
        <f>IFERROR(IFERROR(VLOOKUP(A2814,TRAOPE!$A:$W,23,0),VLOOKUP(B2814,TRAOPE!$A:$W,23,0)),"")</f>
        <v/>
      </c>
      <c r="S2814" s="10">
        <f>IF(AND(P2814="TN",R2814="TN"),N2814+N(O2814),IF(G2814&amp;""="1",N(K2814)*N2814,(N2814+N(O2814))*N(K2814)))</f>
        <v/>
      </c>
      <c r="T2814" s="10">
        <f>IF(Q2814="","",Q2814-S2814)</f>
        <v/>
      </c>
    </row>
    <row r="2815">
      <c r="A2815" s="7">
        <f>CONCATENATE(C2815,E2815,F2815,I2815)</f>
        <v/>
      </c>
      <c r="B2815" s="7">
        <f>CONCATENATE(C2815,E2815,I2815)</f>
        <v/>
      </c>
      <c r="C2815" s="8" t="n">
        <v>900009460</v>
      </c>
      <c r="D2815" s="7">
        <f>IFERROR(VLOOKUP(C2815,TRAOPE!$G:$H,2,0),"")</f>
        <v/>
      </c>
      <c r="E2815" s="8" t="inlineStr">
        <is>
          <t>D836</t>
        </is>
      </c>
      <c r="F2815" s="8" t="inlineStr">
        <is>
          <t>67365667</t>
        </is>
      </c>
      <c r="G2815" s="8">
        <f>IFERROR(VLOOKUP(A2815,Flete!$A:$E,5,0),"")</f>
        <v/>
      </c>
      <c r="H2815" s="7">
        <f>IFERROR(VLOOKUP(F2815,TRAOPE!$AA:$AB,2,0),"")</f>
        <v/>
      </c>
      <c r="I2815" s="7" t="n">
        <v>10274754</v>
      </c>
      <c r="J2815" s="7">
        <f>IFERROR(VLOOKUP(I2815,Materiales!$A:$H,8,0),"")</f>
        <v/>
      </c>
      <c r="K2815" s="9">
        <f>IFERROR(VLOOKUP(I2815,Materiales!$A:$G,7,0),"")</f>
        <v/>
      </c>
      <c r="L2815" s="8" t="inlineStr">
        <is>
          <t>20260707</t>
        </is>
      </c>
      <c r="M2815" s="8" t="inlineStr">
        <is>
          <t>99991231</t>
        </is>
      </c>
      <c r="N2815" s="10" t="n">
        <v>172</v>
      </c>
      <c r="O2815" s="10">
        <f>IFERROR(VLOOKUP(A2815,Flete!$A:$J,10,0),"")</f>
        <v/>
      </c>
      <c r="P2815" s="8" t="inlineStr">
        <is>
          <t>M3</t>
        </is>
      </c>
      <c r="Q2815" s="10">
        <f>IFERROR(IFERROR(VLOOKUP(A2815,TRAOPE!$A:$U,21,0),VLOOKUP(B2815,TRAOPE!$A:$U,21,0)),"")</f>
        <v/>
      </c>
      <c r="R2815" s="8">
        <f>IFERROR(IFERROR(VLOOKUP(A2815,TRAOPE!$A:$W,23,0),VLOOKUP(B2815,TRAOPE!$A:$W,23,0)),"")</f>
        <v/>
      </c>
      <c r="S2815" s="10">
        <f>IF(AND(P2815="TN",R2815="TN"),N2815+N(O2815),IF(G2815&amp;""="1",N(K2815)*N2815,(N2815+N(O2815))*N(K2815)))</f>
        <v/>
      </c>
      <c r="T2815" s="10">
        <f>IF(Q2815="","",Q2815-S2815)</f>
        <v/>
      </c>
    </row>
    <row r="2816">
      <c r="A2816" s="7">
        <f>CONCATENATE(C2816,E2816,F2816,I2816)</f>
        <v/>
      </c>
      <c r="B2816" s="7">
        <f>CONCATENATE(C2816,E2816,I2816)</f>
        <v/>
      </c>
      <c r="C2816" s="8" t="n">
        <v>900009460</v>
      </c>
      <c r="D2816" s="7">
        <f>IFERROR(VLOOKUP(C2816,TRAOPE!$G:$H,2,0),"")</f>
        <v/>
      </c>
      <c r="E2816" s="8" t="inlineStr">
        <is>
          <t>D836</t>
        </is>
      </c>
      <c r="F2816" s="8" t="inlineStr">
        <is>
          <t>67382539</t>
        </is>
      </c>
      <c r="G2816" s="8">
        <f>IFERROR(VLOOKUP(A2816,Flete!$A:$E,5,0),"")</f>
        <v/>
      </c>
      <c r="H2816" s="7">
        <f>IFERROR(VLOOKUP(F2816,TRAOPE!$AA:$AB,2,0),"")</f>
        <v/>
      </c>
      <c r="I2816" s="7" t="n">
        <v>10264162</v>
      </c>
      <c r="J2816" s="7">
        <f>IFERROR(VLOOKUP(I2816,Materiales!$A:$H,8,0),"")</f>
        <v/>
      </c>
      <c r="K2816" s="9">
        <f>IFERROR(VLOOKUP(I2816,Materiales!$A:$G,7,0),"")</f>
        <v/>
      </c>
      <c r="L2816" s="8" t="inlineStr">
        <is>
          <t>20260611</t>
        </is>
      </c>
      <c r="M2816" s="8" t="inlineStr">
        <is>
          <t>99991231</t>
        </is>
      </c>
      <c r="N2816" s="10" t="n">
        <v>140</v>
      </c>
      <c r="O2816" s="10">
        <f>IFERROR(VLOOKUP(A2816,Flete!$A:$J,10,0),"")</f>
        <v/>
      </c>
      <c r="P2816" s="8" t="inlineStr">
        <is>
          <t>M3</t>
        </is>
      </c>
      <c r="Q2816" s="10">
        <f>IFERROR(IFERROR(VLOOKUP(A2816,TRAOPE!$A:$U,21,0),VLOOKUP(B2816,TRAOPE!$A:$U,21,0)),"")</f>
        <v/>
      </c>
      <c r="R2816" s="8">
        <f>IFERROR(IFERROR(VLOOKUP(A2816,TRAOPE!$A:$W,23,0),VLOOKUP(B2816,TRAOPE!$A:$W,23,0)),"")</f>
        <v/>
      </c>
      <c r="S2816" s="10">
        <f>IF(AND(P2816="TN",R2816="TN"),N2816+N(O2816),IF(G2816&amp;""="1",N(K2816)*N2816,(N2816+N(O2816))*N(K2816)))</f>
        <v/>
      </c>
      <c r="T2816" s="10">
        <f>IF(Q2816="","",Q2816-S2816)</f>
        <v/>
      </c>
    </row>
    <row r="2817">
      <c r="A2817" s="7">
        <f>CONCATENATE(C2817,E2817,F2817,I2817)</f>
        <v/>
      </c>
      <c r="B2817" s="7">
        <f>CONCATENATE(C2817,E2817,I2817)</f>
        <v/>
      </c>
      <c r="C2817" s="8" t="n">
        <v>900009460</v>
      </c>
      <c r="D2817" s="7">
        <f>IFERROR(VLOOKUP(C2817,TRAOPE!$G:$H,2,0),"")</f>
        <v/>
      </c>
      <c r="E2817" s="8" t="inlineStr">
        <is>
          <t>D836</t>
        </is>
      </c>
      <c r="F2817" s="8" t="inlineStr">
        <is>
          <t>67382539</t>
        </is>
      </c>
      <c r="G2817" s="8">
        <f>IFERROR(VLOOKUP(A2817,Flete!$A:$E,5,0),"")</f>
        <v/>
      </c>
      <c r="H2817" s="7">
        <f>IFERROR(VLOOKUP(F2817,TRAOPE!$AA:$AB,2,0),"")</f>
        <v/>
      </c>
      <c r="I2817" s="7" t="n">
        <v>10274754</v>
      </c>
      <c r="J2817" s="7">
        <f>IFERROR(VLOOKUP(I2817,Materiales!$A:$H,8,0),"")</f>
        <v/>
      </c>
      <c r="K2817" s="9">
        <f>IFERROR(VLOOKUP(I2817,Materiales!$A:$G,7,0),"")</f>
        <v/>
      </c>
      <c r="L2817" s="8" t="inlineStr">
        <is>
          <t>20260611</t>
        </is>
      </c>
      <c r="M2817" s="8" t="inlineStr">
        <is>
          <t>99991231</t>
        </is>
      </c>
      <c r="N2817" s="10" t="n">
        <v>170</v>
      </c>
      <c r="O2817" s="10">
        <f>IFERROR(VLOOKUP(A2817,Flete!$A:$J,10,0),"")</f>
        <v/>
      </c>
      <c r="P2817" s="8" t="inlineStr">
        <is>
          <t>M3</t>
        </is>
      </c>
      <c r="Q2817" s="10">
        <f>IFERROR(IFERROR(VLOOKUP(A2817,TRAOPE!$A:$U,21,0),VLOOKUP(B2817,TRAOPE!$A:$U,21,0)),"")</f>
        <v/>
      </c>
      <c r="R2817" s="8">
        <f>IFERROR(IFERROR(VLOOKUP(A2817,TRAOPE!$A:$W,23,0),VLOOKUP(B2817,TRAOPE!$A:$W,23,0)),"")</f>
        <v/>
      </c>
      <c r="S2817" s="10">
        <f>IF(AND(P2817="TN",R2817="TN"),N2817+N(O2817),IF(G2817&amp;""="1",N(K2817)*N2817,(N2817+N(O2817))*N(K2817)))</f>
        <v/>
      </c>
      <c r="T2817" s="10">
        <f>IF(Q2817="","",Q2817-S2817)</f>
        <v/>
      </c>
    </row>
    <row r="2818">
      <c r="A2818" s="7">
        <f>CONCATENATE(C2818,E2818,F2818,I2818)</f>
        <v/>
      </c>
      <c r="B2818" s="7">
        <f>CONCATENATE(C2818,E2818,I2818)</f>
        <v/>
      </c>
      <c r="C2818" s="8" t="n">
        <v>900009460</v>
      </c>
      <c r="D2818" s="7">
        <f>IFERROR(VLOOKUP(C2818,TRAOPE!$G:$H,2,0),"")</f>
        <v/>
      </c>
      <c r="E2818" s="8" t="inlineStr">
        <is>
          <t>D836</t>
        </is>
      </c>
      <c r="F2818" s="8" t="inlineStr">
        <is>
          <t>67382542</t>
        </is>
      </c>
      <c r="G2818" s="8">
        <f>IFERROR(VLOOKUP(A2818,Flete!$A:$E,5,0),"")</f>
        <v/>
      </c>
      <c r="H2818" s="7">
        <f>IFERROR(VLOOKUP(F2818,TRAOPE!$AA:$AB,2,0),"")</f>
        <v/>
      </c>
      <c r="I2818" s="7" t="n">
        <v>10264162</v>
      </c>
      <c r="J2818" s="7">
        <f>IFERROR(VLOOKUP(I2818,Materiales!$A:$H,8,0),"")</f>
        <v/>
      </c>
      <c r="K2818" s="9">
        <f>IFERROR(VLOOKUP(I2818,Materiales!$A:$G,7,0),"")</f>
        <v/>
      </c>
      <c r="L2818" s="8" t="inlineStr">
        <is>
          <t>20260611</t>
        </is>
      </c>
      <c r="M2818" s="8" t="inlineStr">
        <is>
          <t>99991231</t>
        </is>
      </c>
      <c r="N2818" s="10" t="n">
        <v>140</v>
      </c>
      <c r="O2818" s="10">
        <f>IFERROR(VLOOKUP(A2818,Flete!$A:$J,10,0),"")</f>
        <v/>
      </c>
      <c r="P2818" s="8" t="inlineStr">
        <is>
          <t>M3</t>
        </is>
      </c>
      <c r="Q2818" s="10">
        <f>IFERROR(IFERROR(VLOOKUP(A2818,TRAOPE!$A:$U,21,0),VLOOKUP(B2818,TRAOPE!$A:$U,21,0)),"")</f>
        <v/>
      </c>
      <c r="R2818" s="8">
        <f>IFERROR(IFERROR(VLOOKUP(A2818,TRAOPE!$A:$W,23,0),VLOOKUP(B2818,TRAOPE!$A:$W,23,0)),"")</f>
        <v/>
      </c>
      <c r="S2818" s="10">
        <f>IF(AND(P2818="TN",R2818="TN"),N2818+N(O2818),IF(G2818&amp;""="1",N(K2818)*N2818,(N2818+N(O2818))*N(K2818)))</f>
        <v/>
      </c>
      <c r="T2818" s="10">
        <f>IF(Q2818="","",Q2818-S2818)</f>
        <v/>
      </c>
    </row>
    <row r="2819">
      <c r="A2819" s="7">
        <f>CONCATENATE(C2819,E2819,F2819,I2819)</f>
        <v/>
      </c>
      <c r="B2819" s="7">
        <f>CONCATENATE(C2819,E2819,I2819)</f>
        <v/>
      </c>
      <c r="C2819" s="8" t="n">
        <v>900009460</v>
      </c>
      <c r="D2819" s="7">
        <f>IFERROR(VLOOKUP(C2819,TRAOPE!$G:$H,2,0),"")</f>
        <v/>
      </c>
      <c r="E2819" s="8" t="inlineStr">
        <is>
          <t>D836</t>
        </is>
      </c>
      <c r="F2819" s="8" t="inlineStr">
        <is>
          <t>67382542</t>
        </is>
      </c>
      <c r="G2819" s="8">
        <f>IFERROR(VLOOKUP(A2819,Flete!$A:$E,5,0),"")</f>
        <v/>
      </c>
      <c r="H2819" s="7">
        <f>IFERROR(VLOOKUP(F2819,TRAOPE!$AA:$AB,2,0),"")</f>
        <v/>
      </c>
      <c r="I2819" s="7" t="n">
        <v>10274754</v>
      </c>
      <c r="J2819" s="7">
        <f>IFERROR(VLOOKUP(I2819,Materiales!$A:$H,8,0),"")</f>
        <v/>
      </c>
      <c r="K2819" s="9">
        <f>IFERROR(VLOOKUP(I2819,Materiales!$A:$G,7,0),"")</f>
        <v/>
      </c>
      <c r="L2819" s="8" t="inlineStr">
        <is>
          <t>20260611</t>
        </is>
      </c>
      <c r="M2819" s="8" t="inlineStr">
        <is>
          <t>99991231</t>
        </is>
      </c>
      <c r="N2819" s="10" t="n">
        <v>170</v>
      </c>
      <c r="O2819" s="10">
        <f>IFERROR(VLOOKUP(A2819,Flete!$A:$J,10,0),"")</f>
        <v/>
      </c>
      <c r="P2819" s="8" t="inlineStr">
        <is>
          <t>M3</t>
        </is>
      </c>
      <c r="Q2819" s="10">
        <f>IFERROR(IFERROR(VLOOKUP(A2819,TRAOPE!$A:$U,21,0),VLOOKUP(B2819,TRAOPE!$A:$U,21,0)),"")</f>
        <v/>
      </c>
      <c r="R2819" s="8">
        <f>IFERROR(IFERROR(VLOOKUP(A2819,TRAOPE!$A:$W,23,0),VLOOKUP(B2819,TRAOPE!$A:$W,23,0)),"")</f>
        <v/>
      </c>
      <c r="S2819" s="10">
        <f>IF(AND(P2819="TN",R2819="TN"),N2819+N(O2819),IF(G2819&amp;""="1",N(K2819)*N2819,(N2819+N(O2819))*N(K2819)))</f>
        <v/>
      </c>
      <c r="T2819" s="10">
        <f>IF(Q2819="","",Q2819-S2819)</f>
        <v/>
      </c>
    </row>
    <row r="2820">
      <c r="A2820" s="7">
        <f>CONCATENATE(C2820,E2820,F2820,I2820)</f>
        <v/>
      </c>
      <c r="B2820" s="7">
        <f>CONCATENATE(C2820,E2820,I2820)</f>
        <v/>
      </c>
      <c r="C2820" s="8" t="n">
        <v>900009460</v>
      </c>
      <c r="D2820" s="7">
        <f>IFERROR(VLOOKUP(C2820,TRAOPE!$G:$H,2,0),"")</f>
        <v/>
      </c>
      <c r="E2820" s="8" t="inlineStr">
        <is>
          <t>D836</t>
        </is>
      </c>
      <c r="F2820" s="8" t="inlineStr">
        <is>
          <t>67385618</t>
        </is>
      </c>
      <c r="G2820" s="8">
        <f>IFERROR(VLOOKUP(A2820,Flete!$A:$E,5,0),"")</f>
        <v/>
      </c>
      <c r="H2820" s="7">
        <f>IFERROR(VLOOKUP(F2820,TRAOPE!$AA:$AB,2,0),"")</f>
        <v/>
      </c>
      <c r="I2820" s="7" t="n">
        <v>10264162</v>
      </c>
      <c r="J2820" s="7">
        <f>IFERROR(VLOOKUP(I2820,Materiales!$A:$H,8,0),"")</f>
        <v/>
      </c>
      <c r="K2820" s="9">
        <f>IFERROR(VLOOKUP(I2820,Materiales!$A:$G,7,0),"")</f>
        <v/>
      </c>
      <c r="L2820" s="8" t="inlineStr">
        <is>
          <t>20260708</t>
        </is>
      </c>
      <c r="M2820" s="8" t="inlineStr">
        <is>
          <t>99991231</t>
        </is>
      </c>
      <c r="N2820" s="10" t="n">
        <v>140</v>
      </c>
      <c r="O2820" s="10">
        <f>IFERROR(VLOOKUP(A2820,Flete!$A:$J,10,0),"")</f>
        <v/>
      </c>
      <c r="P2820" s="8" t="inlineStr">
        <is>
          <t>M3</t>
        </is>
      </c>
      <c r="Q2820" s="10">
        <f>IFERROR(IFERROR(VLOOKUP(A2820,TRAOPE!$A:$U,21,0),VLOOKUP(B2820,TRAOPE!$A:$U,21,0)),"")</f>
        <v/>
      </c>
      <c r="R2820" s="8">
        <f>IFERROR(IFERROR(VLOOKUP(A2820,TRAOPE!$A:$W,23,0),VLOOKUP(B2820,TRAOPE!$A:$W,23,0)),"")</f>
        <v/>
      </c>
      <c r="S2820" s="10">
        <f>IF(AND(P2820="TN",R2820="TN"),N2820+N(O2820),IF(G2820&amp;""="1",N(K2820)*N2820,(N2820+N(O2820))*N(K2820)))</f>
        <v/>
      </c>
      <c r="T2820" s="10">
        <f>IF(Q2820="","",Q2820-S2820)</f>
        <v/>
      </c>
    </row>
    <row r="2821">
      <c r="A2821" s="7">
        <f>CONCATENATE(C2821,E2821,F2821,I2821)</f>
        <v/>
      </c>
      <c r="B2821" s="7">
        <f>CONCATENATE(C2821,E2821,I2821)</f>
        <v/>
      </c>
      <c r="C2821" s="8" t="n">
        <v>900009460</v>
      </c>
      <c r="D2821" s="7">
        <f>IFERROR(VLOOKUP(C2821,TRAOPE!$G:$H,2,0),"")</f>
        <v/>
      </c>
      <c r="E2821" s="8" t="inlineStr">
        <is>
          <t>D836</t>
        </is>
      </c>
      <c r="F2821" s="8" t="inlineStr">
        <is>
          <t>67385618</t>
        </is>
      </c>
      <c r="G2821" s="8">
        <f>IFERROR(VLOOKUP(A2821,Flete!$A:$E,5,0),"")</f>
        <v/>
      </c>
      <c r="H2821" s="7">
        <f>IFERROR(VLOOKUP(F2821,TRAOPE!$AA:$AB,2,0),"")</f>
        <v/>
      </c>
      <c r="I2821" s="7" t="n">
        <v>10274754</v>
      </c>
      <c r="J2821" s="7">
        <f>IFERROR(VLOOKUP(I2821,Materiales!$A:$H,8,0),"")</f>
        <v/>
      </c>
      <c r="K2821" s="9">
        <f>IFERROR(VLOOKUP(I2821,Materiales!$A:$G,7,0),"")</f>
        <v/>
      </c>
      <c r="L2821" s="8" t="inlineStr">
        <is>
          <t>20260708</t>
        </is>
      </c>
      <c r="M2821" s="8" t="inlineStr">
        <is>
          <t>99991231</t>
        </is>
      </c>
      <c r="N2821" s="10" t="n">
        <v>170</v>
      </c>
      <c r="O2821" s="10">
        <f>IFERROR(VLOOKUP(A2821,Flete!$A:$J,10,0),"")</f>
        <v/>
      </c>
      <c r="P2821" s="8" t="inlineStr">
        <is>
          <t>M3</t>
        </is>
      </c>
      <c r="Q2821" s="10">
        <f>IFERROR(IFERROR(VLOOKUP(A2821,TRAOPE!$A:$U,21,0),VLOOKUP(B2821,TRAOPE!$A:$U,21,0)),"")</f>
        <v/>
      </c>
      <c r="R2821" s="8">
        <f>IFERROR(IFERROR(VLOOKUP(A2821,TRAOPE!$A:$W,23,0),VLOOKUP(B2821,TRAOPE!$A:$W,23,0)),"")</f>
        <v/>
      </c>
      <c r="S2821" s="10">
        <f>IF(AND(P2821="TN",R2821="TN"),N2821+N(O2821),IF(G2821&amp;""="1",N(K2821)*N2821,(N2821+N(O2821))*N(K2821)))</f>
        <v/>
      </c>
      <c r="T2821" s="10">
        <f>IF(Q2821="","",Q2821-S2821)</f>
        <v/>
      </c>
    </row>
    <row r="2822">
      <c r="A2822" s="7">
        <f>CONCATENATE(C2822,E2822,F2822,I2822)</f>
        <v/>
      </c>
      <c r="B2822" s="7">
        <f>CONCATENATE(C2822,E2822,I2822)</f>
        <v/>
      </c>
      <c r="C2822" s="8" t="n">
        <v>900001074</v>
      </c>
      <c r="D2822" s="7">
        <f>IFERROR(VLOOKUP(C2822,TRAOPE!$G:$H,2,0),"")</f>
        <v/>
      </c>
      <c r="E2822" s="8" t="inlineStr">
        <is>
          <t>D836</t>
        </is>
      </c>
      <c r="F2822" s="8" t="inlineStr">
        <is>
          <t>65003945</t>
        </is>
      </c>
      <c r="G2822" s="8">
        <f>IFERROR(VLOOKUP(A2822,Flete!$A:$E,5,0),"")</f>
        <v/>
      </c>
      <c r="H2822" s="7">
        <f>IFERROR(VLOOKUP(F2822,TRAOPE!$AA:$AB,2,0),"")</f>
        <v/>
      </c>
      <c r="I2822" s="7" t="n">
        <v>10000160</v>
      </c>
      <c r="J2822" s="7">
        <f>IFERROR(VLOOKUP(I2822,Materiales!$A:$H,8,0),"")</f>
        <v/>
      </c>
      <c r="K2822" s="9">
        <f>IFERROR(VLOOKUP(I2822,Materiales!$A:$G,7,0),"")</f>
        <v/>
      </c>
      <c r="L2822" s="8" t="inlineStr">
        <is>
          <t>20240425</t>
        </is>
      </c>
      <c r="M2822" s="8" t="inlineStr">
        <is>
          <t>20240814</t>
        </is>
      </c>
      <c r="N2822" s="10" t="n">
        <v>110</v>
      </c>
      <c r="O2822" s="10">
        <f>IFERROR(VLOOKUP(A2822,Flete!$A:$J,10,0),"")</f>
        <v/>
      </c>
      <c r="P2822" s="8" t="inlineStr">
        <is>
          <t>M3</t>
        </is>
      </c>
      <c r="Q2822" s="10">
        <f>IFERROR(IFERROR(VLOOKUP(A2822,TRAOPE!$A:$U,21,0),VLOOKUP(B2822,TRAOPE!$A:$U,21,0)),"")</f>
        <v/>
      </c>
      <c r="R2822" s="8">
        <f>IFERROR(IFERROR(VLOOKUP(A2822,TRAOPE!$A:$W,23,0),VLOOKUP(B2822,TRAOPE!$A:$W,23,0)),"")</f>
        <v/>
      </c>
      <c r="S2822" s="10">
        <f>IF(AND(P2822="TN",R2822="TN"),N2822+N(O2822),IF(G2822&amp;""="1",N(K2822)*N2822,(N2822+N(O2822))*N(K2822)))</f>
        <v/>
      </c>
      <c r="T2822" s="10">
        <f>IF(Q2822="","",Q2822-S2822)</f>
        <v/>
      </c>
    </row>
    <row r="2823">
      <c r="A2823" s="7">
        <f>CONCATENATE(C2823,E2823,F2823,I2823)</f>
        <v/>
      </c>
      <c r="B2823" s="7">
        <f>CONCATENATE(C2823,E2823,I2823)</f>
        <v/>
      </c>
      <c r="C2823" s="8" t="n">
        <v>900001074</v>
      </c>
      <c r="D2823" s="7">
        <f>IFERROR(VLOOKUP(C2823,TRAOPE!$G:$H,2,0),"")</f>
        <v/>
      </c>
      <c r="E2823" s="8" t="inlineStr">
        <is>
          <t>D836</t>
        </is>
      </c>
      <c r="F2823" s="8" t="inlineStr">
        <is>
          <t>65003945</t>
        </is>
      </c>
      <c r="G2823" s="8">
        <f>IFERROR(VLOOKUP(A2823,Flete!$A:$E,5,0),"")</f>
        <v/>
      </c>
      <c r="H2823" s="7">
        <f>IFERROR(VLOOKUP(F2823,TRAOPE!$AA:$AB,2,0),"")</f>
        <v/>
      </c>
      <c r="I2823" s="7" t="n">
        <v>10000357</v>
      </c>
      <c r="J2823" s="7">
        <f>IFERROR(VLOOKUP(I2823,Materiales!$A:$H,8,0),"")</f>
        <v/>
      </c>
      <c r="K2823" s="9">
        <f>IFERROR(VLOOKUP(I2823,Materiales!$A:$G,7,0),"")</f>
        <v/>
      </c>
      <c r="L2823" s="8" t="inlineStr">
        <is>
          <t>20240425</t>
        </is>
      </c>
      <c r="M2823" s="8" t="inlineStr">
        <is>
          <t>20240814</t>
        </is>
      </c>
      <c r="N2823" s="10" t="n">
        <v>130</v>
      </c>
      <c r="O2823" s="10">
        <f>IFERROR(VLOOKUP(A2823,Flete!$A:$J,10,0),"")</f>
        <v/>
      </c>
      <c r="P2823" s="8" t="inlineStr">
        <is>
          <t>M3</t>
        </is>
      </c>
      <c r="Q2823" s="10">
        <f>IFERROR(IFERROR(VLOOKUP(A2823,TRAOPE!$A:$U,21,0),VLOOKUP(B2823,TRAOPE!$A:$U,21,0)),"")</f>
        <v/>
      </c>
      <c r="R2823" s="8">
        <f>IFERROR(IFERROR(VLOOKUP(A2823,TRAOPE!$A:$W,23,0),VLOOKUP(B2823,TRAOPE!$A:$W,23,0)),"")</f>
        <v/>
      </c>
      <c r="S2823" s="10">
        <f>IF(AND(P2823="TN",R2823="TN"),N2823+N(O2823),IF(G2823&amp;""="1",N(K2823)*N2823,(N2823+N(O2823))*N(K2823)))</f>
        <v/>
      </c>
      <c r="T2823" s="10">
        <f>IF(Q2823="","",Q2823-S2823)</f>
        <v/>
      </c>
    </row>
    <row r="2824">
      <c r="A2824" s="7">
        <f>CONCATENATE(C2824,E2824,F2824,I2824)</f>
        <v/>
      </c>
      <c r="B2824" s="7">
        <f>CONCATENATE(C2824,E2824,I2824)</f>
        <v/>
      </c>
      <c r="C2824" s="8" t="n">
        <v>900001074</v>
      </c>
      <c r="D2824" s="7">
        <f>IFERROR(VLOOKUP(C2824,TRAOPE!$G:$H,2,0),"")</f>
        <v/>
      </c>
      <c r="E2824" s="8" t="inlineStr">
        <is>
          <t>D836</t>
        </is>
      </c>
      <c r="F2824" s="8" t="inlineStr">
        <is>
          <t>65016451</t>
        </is>
      </c>
      <c r="G2824" s="8">
        <f>IFERROR(VLOOKUP(A2824,Flete!$A:$E,5,0),"")</f>
        <v/>
      </c>
      <c r="H2824" s="7">
        <f>IFERROR(VLOOKUP(F2824,TRAOPE!$AA:$AB,2,0),"")</f>
        <v/>
      </c>
      <c r="I2824" s="7" t="n">
        <v>10000160</v>
      </c>
      <c r="J2824" s="7">
        <f>IFERROR(VLOOKUP(I2824,Materiales!$A:$H,8,0),"")</f>
        <v/>
      </c>
      <c r="K2824" s="9">
        <f>IFERROR(VLOOKUP(I2824,Materiales!$A:$G,7,0),"")</f>
        <v/>
      </c>
      <c r="L2824" s="8" t="inlineStr">
        <is>
          <t>20250505</t>
        </is>
      </c>
      <c r="M2824" s="8" t="inlineStr">
        <is>
          <t>20250507</t>
        </is>
      </c>
      <c r="N2824" s="10" t="n">
        <v>116.7</v>
      </c>
      <c r="O2824" s="10">
        <f>IFERROR(VLOOKUP(A2824,Flete!$A:$J,10,0),"")</f>
        <v/>
      </c>
      <c r="P2824" s="8" t="inlineStr">
        <is>
          <t>M3</t>
        </is>
      </c>
      <c r="Q2824" s="10">
        <f>IFERROR(IFERROR(VLOOKUP(A2824,TRAOPE!$A:$U,21,0),VLOOKUP(B2824,TRAOPE!$A:$U,21,0)),"")</f>
        <v/>
      </c>
      <c r="R2824" s="8">
        <f>IFERROR(IFERROR(VLOOKUP(A2824,TRAOPE!$A:$W,23,0),VLOOKUP(B2824,TRAOPE!$A:$W,23,0)),"")</f>
        <v/>
      </c>
      <c r="S2824" s="10">
        <f>IF(AND(P2824="TN",R2824="TN"),N2824+N(O2824),IF(G2824&amp;""="1",N(K2824)*N2824,(N2824+N(O2824))*N(K2824)))</f>
        <v/>
      </c>
      <c r="T2824" s="10">
        <f>IF(Q2824="","",Q2824-S2824)</f>
        <v/>
      </c>
    </row>
    <row r="2825">
      <c r="A2825" s="7">
        <f>CONCATENATE(C2825,E2825,F2825,I2825)</f>
        <v/>
      </c>
      <c r="B2825" s="7">
        <f>CONCATENATE(C2825,E2825,I2825)</f>
        <v/>
      </c>
      <c r="C2825" s="8" t="n">
        <v>900001074</v>
      </c>
      <c r="D2825" s="7">
        <f>IFERROR(VLOOKUP(C2825,TRAOPE!$G:$H,2,0),"")</f>
        <v/>
      </c>
      <c r="E2825" s="8" t="inlineStr">
        <is>
          <t>D836</t>
        </is>
      </c>
      <c r="F2825" s="8" t="inlineStr">
        <is>
          <t>65911313</t>
        </is>
      </c>
      <c r="G2825" s="8">
        <f>IFERROR(VLOOKUP(A2825,Flete!$A:$E,5,0),"")</f>
        <v/>
      </c>
      <c r="H2825" s="7">
        <f>IFERROR(VLOOKUP(F2825,TRAOPE!$AA:$AB,2,0),"")</f>
        <v/>
      </c>
      <c r="I2825" s="7" t="n">
        <v>10000160</v>
      </c>
      <c r="J2825" s="7">
        <f>IFERROR(VLOOKUP(I2825,Materiales!$A:$H,8,0),"")</f>
        <v/>
      </c>
      <c r="K2825" s="9">
        <f>IFERROR(VLOOKUP(I2825,Materiales!$A:$G,7,0),"")</f>
        <v/>
      </c>
      <c r="L2825" s="8" t="inlineStr">
        <is>
          <t>20250505</t>
        </is>
      </c>
      <c r="M2825" s="8" t="inlineStr">
        <is>
          <t>20250507</t>
        </is>
      </c>
      <c r="N2825" s="10" t="n">
        <v>118</v>
      </c>
      <c r="O2825" s="10">
        <f>IFERROR(VLOOKUP(A2825,Flete!$A:$J,10,0),"")</f>
        <v/>
      </c>
      <c r="P2825" s="8" t="inlineStr">
        <is>
          <t>M3</t>
        </is>
      </c>
      <c r="Q2825" s="10">
        <f>IFERROR(IFERROR(VLOOKUP(A2825,TRAOPE!$A:$U,21,0),VLOOKUP(B2825,TRAOPE!$A:$U,21,0)),"")</f>
        <v/>
      </c>
      <c r="R2825" s="8">
        <f>IFERROR(IFERROR(VLOOKUP(A2825,TRAOPE!$A:$W,23,0),VLOOKUP(B2825,TRAOPE!$A:$W,23,0)),"")</f>
        <v/>
      </c>
      <c r="S2825" s="10">
        <f>IF(AND(P2825="TN",R2825="TN"),N2825+N(O2825),IF(G2825&amp;""="1",N(K2825)*N2825,(N2825+N(O2825))*N(K2825)))</f>
        <v/>
      </c>
      <c r="T2825" s="10">
        <f>IF(Q2825="","",Q2825-S2825)</f>
        <v/>
      </c>
    </row>
    <row r="2826">
      <c r="A2826" s="7">
        <f>CONCATENATE(C2826,E2826,F2826,I2826)</f>
        <v/>
      </c>
      <c r="B2826" s="7">
        <f>CONCATENATE(C2826,E2826,I2826)</f>
        <v/>
      </c>
      <c r="C2826" s="8" t="n">
        <v>900001074</v>
      </c>
      <c r="D2826" s="7">
        <f>IFERROR(VLOOKUP(C2826,TRAOPE!$G:$H,2,0),"")</f>
        <v/>
      </c>
      <c r="E2826" s="8" t="inlineStr">
        <is>
          <t>D836</t>
        </is>
      </c>
      <c r="F2826" s="8" t="inlineStr">
        <is>
          <t>65911313</t>
        </is>
      </c>
      <c r="G2826" s="8">
        <f>IFERROR(VLOOKUP(A2826,Flete!$A:$E,5,0),"")</f>
        <v/>
      </c>
      <c r="H2826" s="7">
        <f>IFERROR(VLOOKUP(F2826,TRAOPE!$AA:$AB,2,0),"")</f>
        <v/>
      </c>
      <c r="I2826" s="7" t="n">
        <v>10000357</v>
      </c>
      <c r="J2826" s="7">
        <f>IFERROR(VLOOKUP(I2826,Materiales!$A:$H,8,0),"")</f>
        <v/>
      </c>
      <c r="K2826" s="9">
        <f>IFERROR(VLOOKUP(I2826,Materiales!$A:$G,7,0),"")</f>
        <v/>
      </c>
      <c r="L2826" s="8" t="inlineStr">
        <is>
          <t>20250505</t>
        </is>
      </c>
      <c r="M2826" s="8" t="inlineStr">
        <is>
          <t>20250507</t>
        </is>
      </c>
      <c r="N2826" s="10" t="n">
        <v>139</v>
      </c>
      <c r="O2826" s="10">
        <f>IFERROR(VLOOKUP(A2826,Flete!$A:$J,10,0),"")</f>
        <v/>
      </c>
      <c r="P2826" s="8" t="inlineStr">
        <is>
          <t>M3</t>
        </is>
      </c>
      <c r="Q2826" s="10">
        <f>IFERROR(IFERROR(VLOOKUP(A2826,TRAOPE!$A:$U,21,0),VLOOKUP(B2826,TRAOPE!$A:$U,21,0)),"")</f>
        <v/>
      </c>
      <c r="R2826" s="8">
        <f>IFERROR(IFERROR(VLOOKUP(A2826,TRAOPE!$A:$W,23,0),VLOOKUP(B2826,TRAOPE!$A:$W,23,0)),"")</f>
        <v/>
      </c>
      <c r="S2826" s="10">
        <f>IF(AND(P2826="TN",R2826="TN"),N2826+N(O2826),IF(G2826&amp;""="1",N(K2826)*N2826,(N2826+N(O2826))*N(K2826)))</f>
        <v/>
      </c>
      <c r="T2826" s="10">
        <f>IF(Q2826="","",Q2826-S2826)</f>
        <v/>
      </c>
    </row>
    <row r="2827">
      <c r="A2827" s="7">
        <f>CONCATENATE(C2827,E2827,F2827,I2827)</f>
        <v/>
      </c>
      <c r="B2827" s="7">
        <f>CONCATENATE(C2827,E2827,I2827)</f>
        <v/>
      </c>
      <c r="C2827" s="8" t="n">
        <v>900001074</v>
      </c>
      <c r="D2827" s="7">
        <f>IFERROR(VLOOKUP(C2827,TRAOPE!$G:$H,2,0),"")</f>
        <v/>
      </c>
      <c r="E2827" s="8" t="inlineStr">
        <is>
          <t>D836</t>
        </is>
      </c>
      <c r="F2827" s="8" t="inlineStr">
        <is>
          <t>66336981</t>
        </is>
      </c>
      <c r="G2827" s="8">
        <f>IFERROR(VLOOKUP(A2827,Flete!$A:$E,5,0),"")</f>
        <v/>
      </c>
      <c r="H2827" s="7">
        <f>IFERROR(VLOOKUP(F2827,TRAOPE!$AA:$AB,2,0),"")</f>
        <v/>
      </c>
      <c r="I2827" s="7" t="n">
        <v>10175723</v>
      </c>
      <c r="J2827" s="7">
        <f>IFERROR(VLOOKUP(I2827,Materiales!$A:$H,8,0),"")</f>
        <v/>
      </c>
      <c r="K2827" s="9">
        <f>IFERROR(VLOOKUP(I2827,Materiales!$A:$G,7,0),"")</f>
        <v/>
      </c>
      <c r="L2827" s="8" t="inlineStr">
        <is>
          <t>20240813</t>
        </is>
      </c>
      <c r="M2827" s="8" t="inlineStr">
        <is>
          <t>20241108</t>
        </is>
      </c>
      <c r="N2827" s="10" t="n">
        <v>141</v>
      </c>
      <c r="O2827" s="10">
        <f>IFERROR(VLOOKUP(A2827,Flete!$A:$J,10,0),"")</f>
        <v/>
      </c>
      <c r="P2827" s="8" t="inlineStr">
        <is>
          <t>M3</t>
        </is>
      </c>
      <c r="Q2827" s="10">
        <f>IFERROR(IFERROR(VLOOKUP(A2827,TRAOPE!$A:$U,21,0),VLOOKUP(B2827,TRAOPE!$A:$U,21,0)),"")</f>
        <v/>
      </c>
      <c r="R2827" s="8">
        <f>IFERROR(IFERROR(VLOOKUP(A2827,TRAOPE!$A:$W,23,0),VLOOKUP(B2827,TRAOPE!$A:$W,23,0)),"")</f>
        <v/>
      </c>
      <c r="S2827" s="10">
        <f>IF(AND(P2827="TN",R2827="TN"),N2827+N(O2827),IF(G2827&amp;""="1",N(K2827)*N2827,(N2827+N(O2827))*N(K2827)))</f>
        <v/>
      </c>
      <c r="T2827" s="10">
        <f>IF(Q2827="","",Q2827-S2827)</f>
        <v/>
      </c>
    </row>
    <row r="2828">
      <c r="A2828" s="7">
        <f>CONCATENATE(C2828,E2828,F2828,I2828)</f>
        <v/>
      </c>
      <c r="B2828" s="7">
        <f>CONCATENATE(C2828,E2828,I2828)</f>
        <v/>
      </c>
      <c r="C2828" s="8" t="n">
        <v>900001074</v>
      </c>
      <c r="D2828" s="7">
        <f>IFERROR(VLOOKUP(C2828,TRAOPE!$G:$H,2,0),"")</f>
        <v/>
      </c>
      <c r="E2828" s="8" t="inlineStr">
        <is>
          <t>D836</t>
        </is>
      </c>
      <c r="F2828" s="8" t="inlineStr">
        <is>
          <t>66426100</t>
        </is>
      </c>
      <c r="G2828" s="8">
        <f>IFERROR(VLOOKUP(A2828,Flete!$A:$E,5,0),"")</f>
        <v/>
      </c>
      <c r="H2828" s="7">
        <f>IFERROR(VLOOKUP(F2828,TRAOPE!$AA:$AB,2,0),"")</f>
        <v/>
      </c>
      <c r="I2828" s="7" t="n">
        <v>10000357</v>
      </c>
      <c r="J2828" s="7">
        <f>IFERROR(VLOOKUP(I2828,Materiales!$A:$H,8,0),"")</f>
        <v/>
      </c>
      <c r="K2828" s="9">
        <f>IFERROR(VLOOKUP(I2828,Materiales!$A:$G,7,0),"")</f>
        <v/>
      </c>
      <c r="L2828" s="8" t="inlineStr">
        <is>
          <t>20240813</t>
        </is>
      </c>
      <c r="M2828" s="8" t="inlineStr">
        <is>
          <t>20241108</t>
        </is>
      </c>
      <c r="N2828" s="10" t="n">
        <v>130</v>
      </c>
      <c r="O2828" s="10">
        <f>IFERROR(VLOOKUP(A2828,Flete!$A:$J,10,0),"")</f>
        <v/>
      </c>
      <c r="P2828" s="8" t="inlineStr">
        <is>
          <t>M3</t>
        </is>
      </c>
      <c r="Q2828" s="10">
        <f>IFERROR(IFERROR(VLOOKUP(A2828,TRAOPE!$A:$U,21,0),VLOOKUP(B2828,TRAOPE!$A:$U,21,0)),"")</f>
        <v/>
      </c>
      <c r="R2828" s="8">
        <f>IFERROR(IFERROR(VLOOKUP(A2828,TRAOPE!$A:$W,23,0),VLOOKUP(B2828,TRAOPE!$A:$W,23,0)),"")</f>
        <v/>
      </c>
      <c r="S2828" s="10">
        <f>IF(AND(P2828="TN",R2828="TN"),N2828+N(O2828),IF(G2828&amp;""="1",N(K2828)*N2828,(N2828+N(O2828))*N(K2828)))</f>
        <v/>
      </c>
      <c r="T2828" s="10">
        <f>IF(Q2828="","",Q2828-S2828)</f>
        <v/>
      </c>
    </row>
    <row r="2829">
      <c r="A2829" s="7">
        <f>CONCATENATE(C2829,E2829,F2829,I2829)</f>
        <v/>
      </c>
      <c r="B2829" s="7">
        <f>CONCATENATE(C2829,E2829,I2829)</f>
        <v/>
      </c>
      <c r="C2829" s="8" t="n">
        <v>900001074</v>
      </c>
      <c r="D2829" s="7">
        <f>IFERROR(VLOOKUP(C2829,TRAOPE!$G:$H,2,0),"")</f>
        <v/>
      </c>
      <c r="E2829" s="8" t="inlineStr">
        <is>
          <t>D836</t>
        </is>
      </c>
      <c r="F2829" s="8" t="inlineStr">
        <is>
          <t>66433509</t>
        </is>
      </c>
      <c r="G2829" s="8">
        <f>IFERROR(VLOOKUP(A2829,Flete!$A:$E,5,0),"")</f>
        <v/>
      </c>
      <c r="H2829" s="7">
        <f>IFERROR(VLOOKUP(F2829,TRAOPE!$AA:$AB,2,0),"")</f>
        <v/>
      </c>
      <c r="I2829" s="7" t="n">
        <v>10000160</v>
      </c>
      <c r="J2829" s="7">
        <f>IFERROR(VLOOKUP(I2829,Materiales!$A:$H,8,0),"")</f>
        <v/>
      </c>
      <c r="K2829" s="9">
        <f>IFERROR(VLOOKUP(I2829,Materiales!$A:$G,7,0),"")</f>
        <v/>
      </c>
      <c r="L2829" s="8" t="inlineStr">
        <is>
          <t>20250505</t>
        </is>
      </c>
      <c r="M2829" s="8" t="inlineStr">
        <is>
          <t>20250507</t>
        </is>
      </c>
      <c r="N2829" s="10" t="n">
        <v>91.3</v>
      </c>
      <c r="O2829" s="10">
        <f>IFERROR(VLOOKUP(A2829,Flete!$A:$J,10,0),"")</f>
        <v/>
      </c>
      <c r="P2829" s="8" t="inlineStr">
        <is>
          <t>M3</t>
        </is>
      </c>
      <c r="Q2829" s="10">
        <f>IFERROR(IFERROR(VLOOKUP(A2829,TRAOPE!$A:$U,21,0),VLOOKUP(B2829,TRAOPE!$A:$U,21,0)),"")</f>
        <v/>
      </c>
      <c r="R2829" s="8">
        <f>IFERROR(IFERROR(VLOOKUP(A2829,TRAOPE!$A:$W,23,0),VLOOKUP(B2829,TRAOPE!$A:$W,23,0)),"")</f>
        <v/>
      </c>
      <c r="S2829" s="10">
        <f>IF(AND(P2829="TN",R2829="TN"),N2829+N(O2829),IF(G2829&amp;""="1",N(K2829)*N2829,(N2829+N(O2829))*N(K2829)))</f>
        <v/>
      </c>
      <c r="T2829" s="10">
        <f>IF(Q2829="","",Q2829-S2829)</f>
        <v/>
      </c>
    </row>
    <row r="2830">
      <c r="A2830" s="7">
        <f>CONCATENATE(C2830,E2830,F2830,I2830)</f>
        <v/>
      </c>
      <c r="B2830" s="7">
        <f>CONCATENATE(C2830,E2830,I2830)</f>
        <v/>
      </c>
      <c r="C2830" s="8" t="n">
        <v>900001074</v>
      </c>
      <c r="D2830" s="7">
        <f>IFERROR(VLOOKUP(C2830,TRAOPE!$G:$H,2,0),"")</f>
        <v/>
      </c>
      <c r="E2830" s="8" t="inlineStr">
        <is>
          <t>D836</t>
        </is>
      </c>
      <c r="F2830" s="8" t="inlineStr">
        <is>
          <t>66433509</t>
        </is>
      </c>
      <c r="G2830" s="8">
        <f>IFERROR(VLOOKUP(A2830,Flete!$A:$E,5,0),"")</f>
        <v/>
      </c>
      <c r="H2830" s="7">
        <f>IFERROR(VLOOKUP(F2830,TRAOPE!$AA:$AB,2,0),"")</f>
        <v/>
      </c>
      <c r="I2830" s="7" t="n">
        <v>10000357</v>
      </c>
      <c r="J2830" s="7">
        <f>IFERROR(VLOOKUP(I2830,Materiales!$A:$H,8,0),"")</f>
        <v/>
      </c>
      <c r="K2830" s="9">
        <f>IFERROR(VLOOKUP(I2830,Materiales!$A:$G,7,0),"")</f>
        <v/>
      </c>
      <c r="L2830" s="8" t="inlineStr">
        <is>
          <t>20240813</t>
        </is>
      </c>
      <c r="M2830" s="8" t="inlineStr">
        <is>
          <t>20241108</t>
        </is>
      </c>
      <c r="N2830" s="10" t="n">
        <v>130</v>
      </c>
      <c r="O2830" s="10">
        <f>IFERROR(VLOOKUP(A2830,Flete!$A:$J,10,0),"")</f>
        <v/>
      </c>
      <c r="P2830" s="8" t="inlineStr">
        <is>
          <t>M3</t>
        </is>
      </c>
      <c r="Q2830" s="10">
        <f>IFERROR(IFERROR(VLOOKUP(A2830,TRAOPE!$A:$U,21,0),VLOOKUP(B2830,TRAOPE!$A:$U,21,0)),"")</f>
        <v/>
      </c>
      <c r="R2830" s="8">
        <f>IFERROR(IFERROR(VLOOKUP(A2830,TRAOPE!$A:$W,23,0),VLOOKUP(B2830,TRAOPE!$A:$W,23,0)),"")</f>
        <v/>
      </c>
      <c r="S2830" s="10">
        <f>IF(AND(P2830="TN",R2830="TN"),N2830+N(O2830),IF(G2830&amp;""="1",N(K2830)*N2830,(N2830+N(O2830))*N(K2830)))</f>
        <v/>
      </c>
      <c r="T2830" s="10">
        <f>IF(Q2830="","",Q2830-S2830)</f>
        <v/>
      </c>
    </row>
    <row r="2831">
      <c r="A2831" s="7">
        <f>CONCATENATE(C2831,E2831,F2831,I2831)</f>
        <v/>
      </c>
      <c r="B2831" s="7">
        <f>CONCATENATE(C2831,E2831,I2831)</f>
        <v/>
      </c>
      <c r="C2831" s="8" t="n">
        <v>900001074</v>
      </c>
      <c r="D2831" s="7">
        <f>IFERROR(VLOOKUP(C2831,TRAOPE!$G:$H,2,0),"")</f>
        <v/>
      </c>
      <c r="E2831" s="8" t="inlineStr">
        <is>
          <t>D836</t>
        </is>
      </c>
      <c r="F2831" s="8" t="inlineStr">
        <is>
          <t>66490694</t>
        </is>
      </c>
      <c r="G2831" s="8">
        <f>IFERROR(VLOOKUP(A2831,Flete!$A:$E,5,0),"")</f>
        <v/>
      </c>
      <c r="H2831" s="7">
        <f>IFERROR(VLOOKUP(F2831,TRAOPE!$AA:$AB,2,0),"")</f>
        <v/>
      </c>
      <c r="I2831" s="7" t="n">
        <v>10000357</v>
      </c>
      <c r="J2831" s="7">
        <f>IFERROR(VLOOKUP(I2831,Materiales!$A:$H,8,0),"")</f>
        <v/>
      </c>
      <c r="K2831" s="9">
        <f>IFERROR(VLOOKUP(I2831,Materiales!$A:$G,7,0),"")</f>
        <v/>
      </c>
      <c r="L2831" s="8" t="inlineStr">
        <is>
          <t>20250505</t>
        </is>
      </c>
      <c r="M2831" s="8" t="inlineStr">
        <is>
          <t>20250507</t>
        </is>
      </c>
      <c r="N2831" s="10" t="n">
        <v>138</v>
      </c>
      <c r="O2831" s="10">
        <f>IFERROR(VLOOKUP(A2831,Flete!$A:$J,10,0),"")</f>
        <v/>
      </c>
      <c r="P2831" s="8" t="inlineStr">
        <is>
          <t>M3</t>
        </is>
      </c>
      <c r="Q2831" s="10">
        <f>IFERROR(IFERROR(VLOOKUP(A2831,TRAOPE!$A:$U,21,0),VLOOKUP(B2831,TRAOPE!$A:$U,21,0)),"")</f>
        <v/>
      </c>
      <c r="R2831" s="8">
        <f>IFERROR(IFERROR(VLOOKUP(A2831,TRAOPE!$A:$W,23,0),VLOOKUP(B2831,TRAOPE!$A:$W,23,0)),"")</f>
        <v/>
      </c>
      <c r="S2831" s="10">
        <f>IF(AND(P2831="TN",R2831="TN"),N2831+N(O2831),IF(G2831&amp;""="1",N(K2831)*N2831,(N2831+N(O2831))*N(K2831)))</f>
        <v/>
      </c>
      <c r="T2831" s="10">
        <f>IF(Q2831="","",Q2831-S2831)</f>
        <v/>
      </c>
    </row>
    <row r="2832">
      <c r="A2832" s="7">
        <f>CONCATENATE(C2832,E2832,F2832,I2832)</f>
        <v/>
      </c>
      <c r="B2832" s="7">
        <f>CONCATENATE(C2832,E2832,I2832)</f>
        <v/>
      </c>
      <c r="C2832" s="8" t="n">
        <v>900001074</v>
      </c>
      <c r="D2832" s="7">
        <f>IFERROR(VLOOKUP(C2832,TRAOPE!$G:$H,2,0),"")</f>
        <v/>
      </c>
      <c r="E2832" s="8" t="inlineStr">
        <is>
          <t>D836</t>
        </is>
      </c>
      <c r="F2832" s="8" t="inlineStr">
        <is>
          <t>66859565</t>
        </is>
      </c>
      <c r="G2832" s="8">
        <f>IFERROR(VLOOKUP(A2832,Flete!$A:$E,5,0),"")</f>
        <v/>
      </c>
      <c r="H2832" s="7">
        <f>IFERROR(VLOOKUP(F2832,TRAOPE!$AA:$AB,2,0),"")</f>
        <v/>
      </c>
      <c r="I2832" s="7" t="n">
        <v>10175723</v>
      </c>
      <c r="J2832" s="7">
        <f>IFERROR(VLOOKUP(I2832,Materiales!$A:$H,8,0),"")</f>
        <v/>
      </c>
      <c r="K2832" s="9">
        <f>IFERROR(VLOOKUP(I2832,Materiales!$A:$G,7,0),"")</f>
        <v/>
      </c>
      <c r="L2832" s="8" t="inlineStr">
        <is>
          <t>20240813</t>
        </is>
      </c>
      <c r="M2832" s="8" t="inlineStr">
        <is>
          <t>20241108</t>
        </is>
      </c>
      <c r="N2832" s="10" t="n">
        <v>141</v>
      </c>
      <c r="O2832" s="10">
        <f>IFERROR(VLOOKUP(A2832,Flete!$A:$J,10,0),"")</f>
        <v/>
      </c>
      <c r="P2832" s="8" t="inlineStr">
        <is>
          <t>M3</t>
        </is>
      </c>
      <c r="Q2832" s="10">
        <f>IFERROR(IFERROR(VLOOKUP(A2832,TRAOPE!$A:$U,21,0),VLOOKUP(B2832,TRAOPE!$A:$U,21,0)),"")</f>
        <v/>
      </c>
      <c r="R2832" s="8">
        <f>IFERROR(IFERROR(VLOOKUP(A2832,TRAOPE!$A:$W,23,0),VLOOKUP(B2832,TRAOPE!$A:$W,23,0)),"")</f>
        <v/>
      </c>
      <c r="S2832" s="10">
        <f>IF(AND(P2832="TN",R2832="TN"),N2832+N(O2832),IF(G2832&amp;""="1",N(K2832)*N2832,(N2832+N(O2832))*N(K2832)))</f>
        <v/>
      </c>
      <c r="T2832" s="10">
        <f>IF(Q2832="","",Q2832-S2832)</f>
        <v/>
      </c>
    </row>
    <row r="2833">
      <c r="A2833" s="7">
        <f>CONCATENATE(C2833,E2833,F2833,I2833)</f>
        <v/>
      </c>
      <c r="B2833" s="7">
        <f>CONCATENATE(C2833,E2833,I2833)</f>
        <v/>
      </c>
      <c r="C2833" s="8" t="n">
        <v>900001074</v>
      </c>
      <c r="D2833" s="7">
        <f>IFERROR(VLOOKUP(C2833,TRAOPE!$G:$H,2,0),"")</f>
        <v/>
      </c>
      <c r="E2833" s="8" t="inlineStr">
        <is>
          <t>D836</t>
        </is>
      </c>
      <c r="F2833" s="8" t="inlineStr">
        <is>
          <t>66868491</t>
        </is>
      </c>
      <c r="G2833" s="8">
        <f>IFERROR(VLOOKUP(A2833,Flete!$A:$E,5,0),"")</f>
        <v/>
      </c>
      <c r="H2833" s="7">
        <f>IFERROR(VLOOKUP(F2833,TRAOPE!$AA:$AB,2,0),"")</f>
        <v/>
      </c>
      <c r="I2833" s="7" t="n">
        <v>10000160</v>
      </c>
      <c r="J2833" s="7">
        <f>IFERROR(VLOOKUP(I2833,Materiales!$A:$H,8,0),"")</f>
        <v/>
      </c>
      <c r="K2833" s="9">
        <f>IFERROR(VLOOKUP(I2833,Materiales!$A:$G,7,0),"")</f>
        <v/>
      </c>
      <c r="L2833" s="8" t="inlineStr">
        <is>
          <t>20240813</t>
        </is>
      </c>
      <c r="M2833" s="8" t="inlineStr">
        <is>
          <t>20241108</t>
        </is>
      </c>
      <c r="N2833" s="10" t="n">
        <v>110</v>
      </c>
      <c r="O2833" s="10">
        <f>IFERROR(VLOOKUP(A2833,Flete!$A:$J,10,0),"")</f>
        <v/>
      </c>
      <c r="P2833" s="8" t="inlineStr">
        <is>
          <t>M3</t>
        </is>
      </c>
      <c r="Q2833" s="10">
        <f>IFERROR(IFERROR(VLOOKUP(A2833,TRAOPE!$A:$U,21,0),VLOOKUP(B2833,TRAOPE!$A:$U,21,0)),"")</f>
        <v/>
      </c>
      <c r="R2833" s="8">
        <f>IFERROR(IFERROR(VLOOKUP(A2833,TRAOPE!$A:$W,23,0),VLOOKUP(B2833,TRAOPE!$A:$W,23,0)),"")</f>
        <v/>
      </c>
      <c r="S2833" s="10">
        <f>IF(AND(P2833="TN",R2833="TN"),N2833+N(O2833),IF(G2833&amp;""="1",N(K2833)*N2833,(N2833+N(O2833))*N(K2833)))</f>
        <v/>
      </c>
      <c r="T2833" s="10">
        <f>IF(Q2833="","",Q2833-S2833)</f>
        <v/>
      </c>
    </row>
    <row r="2834">
      <c r="A2834" s="7">
        <f>CONCATENATE(C2834,E2834,F2834,I2834)</f>
        <v/>
      </c>
      <c r="B2834" s="7">
        <f>CONCATENATE(C2834,E2834,I2834)</f>
        <v/>
      </c>
      <c r="C2834" s="8" t="n">
        <v>900001074</v>
      </c>
      <c r="D2834" s="7">
        <f>IFERROR(VLOOKUP(C2834,TRAOPE!$G:$H,2,0),"")</f>
        <v/>
      </c>
      <c r="E2834" s="8" t="inlineStr">
        <is>
          <t>D836</t>
        </is>
      </c>
      <c r="F2834" s="8" t="inlineStr">
        <is>
          <t>66868491</t>
        </is>
      </c>
      <c r="G2834" s="8">
        <f>IFERROR(VLOOKUP(A2834,Flete!$A:$E,5,0),"")</f>
        <v/>
      </c>
      <c r="H2834" s="7">
        <f>IFERROR(VLOOKUP(F2834,TRAOPE!$AA:$AB,2,0),"")</f>
        <v/>
      </c>
      <c r="I2834" s="7" t="n">
        <v>10000357</v>
      </c>
      <c r="J2834" s="7">
        <f>IFERROR(VLOOKUP(I2834,Materiales!$A:$H,8,0),"")</f>
        <v/>
      </c>
      <c r="K2834" s="9">
        <f>IFERROR(VLOOKUP(I2834,Materiales!$A:$G,7,0),"")</f>
        <v/>
      </c>
      <c r="L2834" s="8" t="inlineStr">
        <is>
          <t>20240813</t>
        </is>
      </c>
      <c r="M2834" s="8" t="inlineStr">
        <is>
          <t>20241108</t>
        </is>
      </c>
      <c r="N2834" s="10" t="n">
        <v>130</v>
      </c>
      <c r="O2834" s="10">
        <f>IFERROR(VLOOKUP(A2834,Flete!$A:$J,10,0),"")</f>
        <v/>
      </c>
      <c r="P2834" s="8" t="inlineStr">
        <is>
          <t>M3</t>
        </is>
      </c>
      <c r="Q2834" s="10">
        <f>IFERROR(IFERROR(VLOOKUP(A2834,TRAOPE!$A:$U,21,0),VLOOKUP(B2834,TRAOPE!$A:$U,21,0)),"")</f>
        <v/>
      </c>
      <c r="R2834" s="8">
        <f>IFERROR(IFERROR(VLOOKUP(A2834,TRAOPE!$A:$W,23,0),VLOOKUP(B2834,TRAOPE!$A:$W,23,0)),"")</f>
        <v/>
      </c>
      <c r="S2834" s="10">
        <f>IF(AND(P2834="TN",R2834="TN"),N2834+N(O2834),IF(G2834&amp;""="1",N(K2834)*N2834,(N2834+N(O2834))*N(K2834)))</f>
        <v/>
      </c>
      <c r="T2834" s="10">
        <f>IF(Q2834="","",Q2834-S2834)</f>
        <v/>
      </c>
    </row>
    <row r="2835">
      <c r="A2835" s="7">
        <f>CONCATENATE(C2835,E2835,F2835,I2835)</f>
        <v/>
      </c>
      <c r="B2835" s="7">
        <f>CONCATENATE(C2835,E2835,I2835)</f>
        <v/>
      </c>
      <c r="C2835" s="8" t="n">
        <v>900001074</v>
      </c>
      <c r="D2835" s="7">
        <f>IFERROR(VLOOKUP(C2835,TRAOPE!$G:$H,2,0),"")</f>
        <v/>
      </c>
      <c r="E2835" s="8" t="inlineStr">
        <is>
          <t>D836</t>
        </is>
      </c>
      <c r="F2835" s="8" t="inlineStr">
        <is>
          <t>66868491</t>
        </is>
      </c>
      <c r="G2835" s="8">
        <f>IFERROR(VLOOKUP(A2835,Flete!$A:$E,5,0),"")</f>
        <v/>
      </c>
      <c r="H2835" s="7">
        <f>IFERROR(VLOOKUP(F2835,TRAOPE!$AA:$AB,2,0),"")</f>
        <v/>
      </c>
      <c r="I2835" s="7" t="n">
        <v>10000627</v>
      </c>
      <c r="J2835" s="7">
        <f>IFERROR(VLOOKUP(I2835,Materiales!$A:$H,8,0),"")</f>
        <v/>
      </c>
      <c r="K2835" s="9">
        <f>IFERROR(VLOOKUP(I2835,Materiales!$A:$G,7,0),"")</f>
        <v/>
      </c>
      <c r="L2835" s="8" t="inlineStr">
        <is>
          <t>20240813</t>
        </is>
      </c>
      <c r="M2835" s="8" t="inlineStr">
        <is>
          <t>20241108</t>
        </is>
      </c>
      <c r="N2835" s="10" t="n">
        <v>100</v>
      </c>
      <c r="O2835" s="10">
        <f>IFERROR(VLOOKUP(A2835,Flete!$A:$J,10,0),"")</f>
        <v/>
      </c>
      <c r="P2835" s="8" t="inlineStr">
        <is>
          <t>M3</t>
        </is>
      </c>
      <c r="Q2835" s="10">
        <f>IFERROR(IFERROR(VLOOKUP(A2835,TRAOPE!$A:$U,21,0),VLOOKUP(B2835,TRAOPE!$A:$U,21,0)),"")</f>
        <v/>
      </c>
      <c r="R2835" s="8">
        <f>IFERROR(IFERROR(VLOOKUP(A2835,TRAOPE!$A:$W,23,0),VLOOKUP(B2835,TRAOPE!$A:$W,23,0)),"")</f>
        <v/>
      </c>
      <c r="S2835" s="10">
        <f>IF(AND(P2835="TN",R2835="TN"),N2835+N(O2835),IF(G2835&amp;""="1",N(K2835)*N2835,(N2835+N(O2835))*N(K2835)))</f>
        <v/>
      </c>
      <c r="T2835" s="10">
        <f>IF(Q2835="","",Q2835-S2835)</f>
        <v/>
      </c>
    </row>
    <row r="2836">
      <c r="A2836" s="7">
        <f>CONCATENATE(C2836,E2836,F2836,I2836)</f>
        <v/>
      </c>
      <c r="B2836" s="7">
        <f>CONCATENATE(C2836,E2836,I2836)</f>
        <v/>
      </c>
      <c r="C2836" s="8" t="n">
        <v>900001074</v>
      </c>
      <c r="D2836" s="7">
        <f>IFERROR(VLOOKUP(C2836,TRAOPE!$G:$H,2,0),"")</f>
        <v/>
      </c>
      <c r="E2836" s="8" t="inlineStr">
        <is>
          <t>D836</t>
        </is>
      </c>
      <c r="F2836" s="8" t="inlineStr">
        <is>
          <t>66900173</t>
        </is>
      </c>
      <c r="G2836" s="8">
        <f>IFERROR(VLOOKUP(A2836,Flete!$A:$E,5,0),"")</f>
        <v/>
      </c>
      <c r="H2836" s="7">
        <f>IFERROR(VLOOKUP(F2836,TRAOPE!$AA:$AB,2,0),"")</f>
        <v/>
      </c>
      <c r="I2836" s="7" t="n">
        <v>10000160</v>
      </c>
      <c r="J2836" s="7">
        <f>IFERROR(VLOOKUP(I2836,Materiales!$A:$H,8,0),"")</f>
        <v/>
      </c>
      <c r="K2836" s="9">
        <f>IFERROR(VLOOKUP(I2836,Materiales!$A:$G,7,0),"")</f>
        <v/>
      </c>
      <c r="L2836" s="8" t="inlineStr">
        <is>
          <t>20250505</t>
        </is>
      </c>
      <c r="M2836" s="8" t="inlineStr">
        <is>
          <t>20250507</t>
        </is>
      </c>
      <c r="N2836" s="10" t="n">
        <v>112.94</v>
      </c>
      <c r="O2836" s="10">
        <f>IFERROR(VLOOKUP(A2836,Flete!$A:$J,10,0),"")</f>
        <v/>
      </c>
      <c r="P2836" s="8" t="inlineStr">
        <is>
          <t>M3</t>
        </is>
      </c>
      <c r="Q2836" s="10">
        <f>IFERROR(IFERROR(VLOOKUP(A2836,TRAOPE!$A:$U,21,0),VLOOKUP(B2836,TRAOPE!$A:$U,21,0)),"")</f>
        <v/>
      </c>
      <c r="R2836" s="8">
        <f>IFERROR(IFERROR(VLOOKUP(A2836,TRAOPE!$A:$W,23,0),VLOOKUP(B2836,TRAOPE!$A:$W,23,0)),"")</f>
        <v/>
      </c>
      <c r="S2836" s="10">
        <f>IF(AND(P2836="TN",R2836="TN"),N2836+N(O2836),IF(G2836&amp;""="1",N(K2836)*N2836,(N2836+N(O2836))*N(K2836)))</f>
        <v/>
      </c>
      <c r="T2836" s="10">
        <f>IF(Q2836="","",Q2836-S2836)</f>
        <v/>
      </c>
    </row>
    <row r="2837">
      <c r="A2837" s="7">
        <f>CONCATENATE(C2837,E2837,F2837,I2837)</f>
        <v/>
      </c>
      <c r="B2837" s="7">
        <f>CONCATENATE(C2837,E2837,I2837)</f>
        <v/>
      </c>
      <c r="C2837" s="8" t="n">
        <v>900001074</v>
      </c>
      <c r="D2837" s="7">
        <f>IFERROR(VLOOKUP(C2837,TRAOPE!$G:$H,2,0),"")</f>
        <v/>
      </c>
      <c r="E2837" s="8" t="inlineStr">
        <is>
          <t>D836</t>
        </is>
      </c>
      <c r="F2837" s="8" t="inlineStr">
        <is>
          <t>66900173</t>
        </is>
      </c>
      <c r="G2837" s="8">
        <f>IFERROR(VLOOKUP(A2837,Flete!$A:$E,5,0),"")</f>
        <v/>
      </c>
      <c r="H2837" s="7">
        <f>IFERROR(VLOOKUP(F2837,TRAOPE!$AA:$AB,2,0),"")</f>
        <v/>
      </c>
      <c r="I2837" s="7" t="n">
        <v>10000627</v>
      </c>
      <c r="J2837" s="7">
        <f>IFERROR(VLOOKUP(I2837,Materiales!$A:$H,8,0),"")</f>
        <v/>
      </c>
      <c r="K2837" s="9">
        <f>IFERROR(VLOOKUP(I2837,Materiales!$A:$G,7,0),"")</f>
        <v/>
      </c>
      <c r="L2837" s="8" t="inlineStr">
        <is>
          <t>20250505</t>
        </is>
      </c>
      <c r="M2837" s="8" t="inlineStr">
        <is>
          <t>20250507</t>
        </is>
      </c>
      <c r="N2837" s="10" t="n">
        <v>110.35</v>
      </c>
      <c r="O2837" s="10">
        <f>IFERROR(VLOOKUP(A2837,Flete!$A:$J,10,0),"")</f>
        <v/>
      </c>
      <c r="P2837" s="8" t="inlineStr">
        <is>
          <t>M3</t>
        </is>
      </c>
      <c r="Q2837" s="10">
        <f>IFERROR(IFERROR(VLOOKUP(A2837,TRAOPE!$A:$U,21,0),VLOOKUP(B2837,TRAOPE!$A:$U,21,0)),"")</f>
        <v/>
      </c>
      <c r="R2837" s="8">
        <f>IFERROR(IFERROR(VLOOKUP(A2837,TRAOPE!$A:$W,23,0),VLOOKUP(B2837,TRAOPE!$A:$W,23,0)),"")</f>
        <v/>
      </c>
      <c r="S2837" s="10">
        <f>IF(AND(P2837="TN",R2837="TN"),N2837+N(O2837),IF(G2837&amp;""="1",N(K2837)*N2837,(N2837+N(O2837))*N(K2837)))</f>
        <v/>
      </c>
      <c r="T2837" s="10">
        <f>IF(Q2837="","",Q2837-S2837)</f>
        <v/>
      </c>
    </row>
    <row r="2838">
      <c r="A2838" s="7">
        <f>CONCATENATE(C2838,E2838,F2838,I2838)</f>
        <v/>
      </c>
      <c r="B2838" s="7">
        <f>CONCATENATE(C2838,E2838,I2838)</f>
        <v/>
      </c>
      <c r="C2838" s="8" t="n">
        <v>900001074</v>
      </c>
      <c r="D2838" s="7">
        <f>IFERROR(VLOOKUP(C2838,TRAOPE!$G:$H,2,0),"")</f>
        <v/>
      </c>
      <c r="E2838" s="8" t="inlineStr">
        <is>
          <t>D836</t>
        </is>
      </c>
      <c r="F2838" s="8" t="inlineStr">
        <is>
          <t>66908488</t>
        </is>
      </c>
      <c r="G2838" s="8">
        <f>IFERROR(VLOOKUP(A2838,Flete!$A:$E,5,0),"")</f>
        <v/>
      </c>
      <c r="H2838" s="7">
        <f>IFERROR(VLOOKUP(F2838,TRAOPE!$AA:$AB,2,0),"")</f>
        <v/>
      </c>
      <c r="I2838" s="7" t="n">
        <v>10000357</v>
      </c>
      <c r="J2838" s="7">
        <f>IFERROR(VLOOKUP(I2838,Materiales!$A:$H,8,0),"")</f>
        <v/>
      </c>
      <c r="K2838" s="9">
        <f>IFERROR(VLOOKUP(I2838,Materiales!$A:$G,7,0),"")</f>
        <v/>
      </c>
      <c r="L2838" s="8" t="inlineStr">
        <is>
          <t>20250505</t>
        </is>
      </c>
      <c r="M2838" s="8" t="inlineStr">
        <is>
          <t>20250507</t>
        </is>
      </c>
      <c r="N2838" s="10" t="n">
        <v>123</v>
      </c>
      <c r="O2838" s="10">
        <f>IFERROR(VLOOKUP(A2838,Flete!$A:$J,10,0),"")</f>
        <v/>
      </c>
      <c r="P2838" s="8" t="inlineStr">
        <is>
          <t>M3</t>
        </is>
      </c>
      <c r="Q2838" s="10">
        <f>IFERROR(IFERROR(VLOOKUP(A2838,TRAOPE!$A:$U,21,0),VLOOKUP(B2838,TRAOPE!$A:$U,21,0)),"")</f>
        <v/>
      </c>
      <c r="R2838" s="8">
        <f>IFERROR(IFERROR(VLOOKUP(A2838,TRAOPE!$A:$W,23,0),VLOOKUP(B2838,TRAOPE!$A:$W,23,0)),"")</f>
        <v/>
      </c>
      <c r="S2838" s="10">
        <f>IF(AND(P2838="TN",R2838="TN"),N2838+N(O2838),IF(G2838&amp;""="1",N(K2838)*N2838,(N2838+N(O2838))*N(K2838)))</f>
        <v/>
      </c>
      <c r="T2838" s="10">
        <f>IF(Q2838="","",Q2838-S2838)</f>
        <v/>
      </c>
    </row>
    <row r="2839">
      <c r="A2839" s="7">
        <f>CONCATENATE(C2839,E2839,F2839,I2839)</f>
        <v/>
      </c>
      <c r="B2839" s="7">
        <f>CONCATENATE(C2839,E2839,I2839)</f>
        <v/>
      </c>
      <c r="C2839" s="8" t="n">
        <v>900001074</v>
      </c>
      <c r="D2839" s="7">
        <f>IFERROR(VLOOKUP(C2839,TRAOPE!$G:$H,2,0),"")</f>
        <v/>
      </c>
      <c r="E2839" s="8" t="inlineStr">
        <is>
          <t>D836</t>
        </is>
      </c>
      <c r="F2839" s="8" t="inlineStr">
        <is>
          <t>66908488</t>
        </is>
      </c>
      <c r="G2839" s="8">
        <f>IFERROR(VLOOKUP(A2839,Flete!$A:$E,5,0),"")</f>
        <v/>
      </c>
      <c r="H2839" s="7">
        <f>IFERROR(VLOOKUP(F2839,TRAOPE!$AA:$AB,2,0),"")</f>
        <v/>
      </c>
      <c r="I2839" s="7" t="n">
        <v>10175723</v>
      </c>
      <c r="J2839" s="7">
        <f>IFERROR(VLOOKUP(I2839,Materiales!$A:$H,8,0),"")</f>
        <v/>
      </c>
      <c r="K2839" s="9">
        <f>IFERROR(VLOOKUP(I2839,Materiales!$A:$G,7,0),"")</f>
        <v/>
      </c>
      <c r="L2839" s="8" t="inlineStr">
        <is>
          <t>20240813</t>
        </is>
      </c>
      <c r="M2839" s="8" t="inlineStr">
        <is>
          <t>20241108</t>
        </is>
      </c>
      <c r="N2839" s="10" t="n">
        <v>141</v>
      </c>
      <c r="O2839" s="10">
        <f>IFERROR(VLOOKUP(A2839,Flete!$A:$J,10,0),"")</f>
        <v/>
      </c>
      <c r="P2839" s="8" t="inlineStr">
        <is>
          <t>M3</t>
        </is>
      </c>
      <c r="Q2839" s="10">
        <f>IFERROR(IFERROR(VLOOKUP(A2839,TRAOPE!$A:$U,21,0),VLOOKUP(B2839,TRAOPE!$A:$U,21,0)),"")</f>
        <v/>
      </c>
      <c r="R2839" s="8">
        <f>IFERROR(IFERROR(VLOOKUP(A2839,TRAOPE!$A:$W,23,0),VLOOKUP(B2839,TRAOPE!$A:$W,23,0)),"")</f>
        <v/>
      </c>
      <c r="S2839" s="10">
        <f>IF(AND(P2839="TN",R2839="TN"),N2839+N(O2839),IF(G2839&amp;""="1",N(K2839)*N2839,(N2839+N(O2839))*N(K2839)))</f>
        <v/>
      </c>
      <c r="T2839" s="10">
        <f>IF(Q2839="","",Q2839-S2839)</f>
        <v/>
      </c>
    </row>
    <row r="2840">
      <c r="A2840" s="7">
        <f>CONCATENATE(C2840,E2840,F2840,I2840)</f>
        <v/>
      </c>
      <c r="B2840" s="7">
        <f>CONCATENATE(C2840,E2840,I2840)</f>
        <v/>
      </c>
      <c r="C2840" s="8" t="n">
        <v>900001074</v>
      </c>
      <c r="D2840" s="7">
        <f>IFERROR(VLOOKUP(C2840,TRAOPE!$G:$H,2,0),"")</f>
        <v/>
      </c>
      <c r="E2840" s="8" t="inlineStr">
        <is>
          <t>D836</t>
        </is>
      </c>
      <c r="F2840" s="8" t="inlineStr">
        <is>
          <t>67003746</t>
        </is>
      </c>
      <c r="G2840" s="8">
        <f>IFERROR(VLOOKUP(A2840,Flete!$A:$E,5,0),"")</f>
        <v/>
      </c>
      <c r="H2840" s="7">
        <f>IFERROR(VLOOKUP(F2840,TRAOPE!$AA:$AB,2,0),"")</f>
        <v/>
      </c>
      <c r="I2840" s="7" t="n">
        <v>10000160</v>
      </c>
      <c r="J2840" s="7">
        <f>IFERROR(VLOOKUP(I2840,Materiales!$A:$H,8,0),"")</f>
        <v/>
      </c>
      <c r="K2840" s="9">
        <f>IFERROR(VLOOKUP(I2840,Materiales!$A:$G,7,0),"")</f>
        <v/>
      </c>
      <c r="L2840" s="8" t="inlineStr">
        <is>
          <t>20250505</t>
        </is>
      </c>
      <c r="M2840" s="8" t="inlineStr">
        <is>
          <t>20250507</t>
        </is>
      </c>
      <c r="N2840" s="10" t="n">
        <v>120</v>
      </c>
      <c r="O2840" s="10">
        <f>IFERROR(VLOOKUP(A2840,Flete!$A:$J,10,0),"")</f>
        <v/>
      </c>
      <c r="P2840" s="8" t="inlineStr">
        <is>
          <t>M3</t>
        </is>
      </c>
      <c r="Q2840" s="10">
        <f>IFERROR(IFERROR(VLOOKUP(A2840,TRAOPE!$A:$U,21,0),VLOOKUP(B2840,TRAOPE!$A:$U,21,0)),"")</f>
        <v/>
      </c>
      <c r="R2840" s="8">
        <f>IFERROR(IFERROR(VLOOKUP(A2840,TRAOPE!$A:$W,23,0),VLOOKUP(B2840,TRAOPE!$A:$W,23,0)),"")</f>
        <v/>
      </c>
      <c r="S2840" s="10">
        <f>IF(AND(P2840="TN",R2840="TN"),N2840+N(O2840),IF(G2840&amp;""="1",N(K2840)*N2840,(N2840+N(O2840))*N(K2840)))</f>
        <v/>
      </c>
      <c r="T2840" s="10">
        <f>IF(Q2840="","",Q2840-S2840)</f>
        <v/>
      </c>
    </row>
    <row r="2841">
      <c r="A2841" s="7">
        <f>CONCATENATE(C2841,E2841,F2841,I2841)</f>
        <v/>
      </c>
      <c r="B2841" s="7">
        <f>CONCATENATE(C2841,E2841,I2841)</f>
        <v/>
      </c>
      <c r="C2841" s="8" t="n">
        <v>900001074</v>
      </c>
      <c r="D2841" s="7">
        <f>IFERROR(VLOOKUP(C2841,TRAOPE!$G:$H,2,0),"")</f>
        <v/>
      </c>
      <c r="E2841" s="8" t="inlineStr">
        <is>
          <t>D836</t>
        </is>
      </c>
      <c r="F2841" s="8" t="inlineStr">
        <is>
          <t>67019979</t>
        </is>
      </c>
      <c r="G2841" s="8">
        <f>IFERROR(VLOOKUP(A2841,Flete!$A:$E,5,0),"")</f>
        <v/>
      </c>
      <c r="H2841" s="7">
        <f>IFERROR(VLOOKUP(F2841,TRAOPE!$AA:$AB,2,0),"")</f>
        <v/>
      </c>
      <c r="I2841" s="7" t="n">
        <v>10000357</v>
      </c>
      <c r="J2841" s="7">
        <f>IFERROR(VLOOKUP(I2841,Materiales!$A:$H,8,0),"")</f>
        <v/>
      </c>
      <c r="K2841" s="9">
        <f>IFERROR(VLOOKUP(I2841,Materiales!$A:$G,7,0),"")</f>
        <v/>
      </c>
      <c r="L2841" s="8" t="inlineStr">
        <is>
          <t>20250505</t>
        </is>
      </c>
      <c r="M2841" s="8" t="inlineStr">
        <is>
          <t>20250507</t>
        </is>
      </c>
      <c r="N2841" s="10" t="n">
        <v>138</v>
      </c>
      <c r="O2841" s="10">
        <f>IFERROR(VLOOKUP(A2841,Flete!$A:$J,10,0),"")</f>
        <v/>
      </c>
      <c r="P2841" s="8" t="inlineStr">
        <is>
          <t>M3</t>
        </is>
      </c>
      <c r="Q2841" s="10">
        <f>IFERROR(IFERROR(VLOOKUP(A2841,TRAOPE!$A:$U,21,0),VLOOKUP(B2841,TRAOPE!$A:$U,21,0)),"")</f>
        <v/>
      </c>
      <c r="R2841" s="8">
        <f>IFERROR(IFERROR(VLOOKUP(A2841,TRAOPE!$A:$W,23,0),VLOOKUP(B2841,TRAOPE!$A:$W,23,0)),"")</f>
        <v/>
      </c>
      <c r="S2841" s="10">
        <f>IF(AND(P2841="TN",R2841="TN"),N2841+N(O2841),IF(G2841&amp;""="1",N(K2841)*N2841,(N2841+N(O2841))*N(K2841)))</f>
        <v/>
      </c>
      <c r="T2841" s="10">
        <f>IF(Q2841="","",Q2841-S2841)</f>
        <v/>
      </c>
    </row>
    <row r="2842">
      <c r="A2842" s="7">
        <f>CONCATENATE(C2842,E2842,F2842,I2842)</f>
        <v/>
      </c>
      <c r="B2842" s="7">
        <f>CONCATENATE(C2842,E2842,I2842)</f>
        <v/>
      </c>
      <c r="C2842" s="8" t="n">
        <v>900001074</v>
      </c>
      <c r="D2842" s="7">
        <f>IFERROR(VLOOKUP(C2842,TRAOPE!$G:$H,2,0),"")</f>
        <v/>
      </c>
      <c r="E2842" s="8" t="inlineStr">
        <is>
          <t>D836</t>
        </is>
      </c>
      <c r="F2842" s="8" t="inlineStr">
        <is>
          <t>67275052</t>
        </is>
      </c>
      <c r="G2842" s="8">
        <f>IFERROR(VLOOKUP(A2842,Flete!$A:$E,5,0),"")</f>
        <v/>
      </c>
      <c r="H2842" s="7">
        <f>IFERROR(VLOOKUP(F2842,TRAOPE!$AA:$AB,2,0),"")</f>
        <v/>
      </c>
      <c r="I2842" s="7" t="n">
        <v>10000160</v>
      </c>
      <c r="J2842" s="7">
        <f>IFERROR(VLOOKUP(I2842,Materiales!$A:$H,8,0),"")</f>
        <v/>
      </c>
      <c r="K2842" s="9">
        <f>IFERROR(VLOOKUP(I2842,Materiales!$A:$G,7,0),"")</f>
        <v/>
      </c>
      <c r="L2842" s="8" t="inlineStr">
        <is>
          <t>20240425</t>
        </is>
      </c>
      <c r="M2842" s="8" t="inlineStr">
        <is>
          <t>20240814</t>
        </is>
      </c>
      <c r="N2842" s="10" t="n">
        <v>116</v>
      </c>
      <c r="O2842" s="10">
        <f>IFERROR(VLOOKUP(A2842,Flete!$A:$J,10,0),"")</f>
        <v/>
      </c>
      <c r="P2842" s="8" t="inlineStr">
        <is>
          <t>M3</t>
        </is>
      </c>
      <c r="Q2842" s="10">
        <f>IFERROR(IFERROR(VLOOKUP(A2842,TRAOPE!$A:$U,21,0),VLOOKUP(B2842,TRAOPE!$A:$U,21,0)),"")</f>
        <v/>
      </c>
      <c r="R2842" s="8">
        <f>IFERROR(IFERROR(VLOOKUP(A2842,TRAOPE!$A:$W,23,0),VLOOKUP(B2842,TRAOPE!$A:$W,23,0)),"")</f>
        <v/>
      </c>
      <c r="S2842" s="10">
        <f>IF(AND(P2842="TN",R2842="TN"),N2842+N(O2842),IF(G2842&amp;""="1",N(K2842)*N2842,(N2842+N(O2842))*N(K2842)))</f>
        <v/>
      </c>
      <c r="T2842" s="10">
        <f>IF(Q2842="","",Q2842-S2842)</f>
        <v/>
      </c>
    </row>
    <row r="2843">
      <c r="A2843" s="7">
        <f>CONCATENATE(C2843,E2843,F2843,I2843)</f>
        <v/>
      </c>
      <c r="B2843" s="7">
        <f>CONCATENATE(C2843,E2843,I2843)</f>
        <v/>
      </c>
      <c r="C2843" s="8" t="n">
        <v>900001074</v>
      </c>
      <c r="D2843" s="7">
        <f>IFERROR(VLOOKUP(C2843,TRAOPE!$G:$H,2,0),"")</f>
        <v/>
      </c>
      <c r="E2843" s="8" t="inlineStr">
        <is>
          <t>D836</t>
        </is>
      </c>
      <c r="F2843" s="8" t="inlineStr">
        <is>
          <t>67275052</t>
        </is>
      </c>
      <c r="G2843" s="8">
        <f>IFERROR(VLOOKUP(A2843,Flete!$A:$E,5,0),"")</f>
        <v/>
      </c>
      <c r="H2843" s="7">
        <f>IFERROR(VLOOKUP(F2843,TRAOPE!$AA:$AB,2,0),"")</f>
        <v/>
      </c>
      <c r="I2843" s="7" t="n">
        <v>10000357</v>
      </c>
      <c r="J2843" s="7">
        <f>IFERROR(VLOOKUP(I2843,Materiales!$A:$H,8,0),"")</f>
        <v/>
      </c>
      <c r="K2843" s="9">
        <f>IFERROR(VLOOKUP(I2843,Materiales!$A:$G,7,0),"")</f>
        <v/>
      </c>
      <c r="L2843" s="8" t="inlineStr">
        <is>
          <t>20240425</t>
        </is>
      </c>
      <c r="M2843" s="8" t="inlineStr">
        <is>
          <t>20240814</t>
        </is>
      </c>
      <c r="N2843" s="10" t="n">
        <v>135</v>
      </c>
      <c r="O2843" s="10">
        <f>IFERROR(VLOOKUP(A2843,Flete!$A:$J,10,0),"")</f>
        <v/>
      </c>
      <c r="P2843" s="8" t="inlineStr">
        <is>
          <t>M3</t>
        </is>
      </c>
      <c r="Q2843" s="10">
        <f>IFERROR(IFERROR(VLOOKUP(A2843,TRAOPE!$A:$U,21,0),VLOOKUP(B2843,TRAOPE!$A:$U,21,0)),"")</f>
        <v/>
      </c>
      <c r="R2843" s="8">
        <f>IFERROR(IFERROR(VLOOKUP(A2843,TRAOPE!$A:$W,23,0),VLOOKUP(B2843,TRAOPE!$A:$W,23,0)),"")</f>
        <v/>
      </c>
      <c r="S2843" s="10">
        <f>IF(AND(P2843="TN",R2843="TN"),N2843+N(O2843),IF(G2843&amp;""="1",N(K2843)*N2843,(N2843+N(O2843))*N(K2843)))</f>
        <v/>
      </c>
      <c r="T2843" s="10">
        <f>IF(Q2843="","",Q2843-S2843)</f>
        <v/>
      </c>
    </row>
    <row r="2844">
      <c r="A2844" s="7">
        <f>CONCATENATE(C2844,E2844,F2844,I2844)</f>
        <v/>
      </c>
      <c r="B2844" s="7">
        <f>CONCATENATE(C2844,E2844,I2844)</f>
        <v/>
      </c>
      <c r="C2844" s="8" t="n">
        <v>900001074</v>
      </c>
      <c r="D2844" s="7">
        <f>IFERROR(VLOOKUP(C2844,TRAOPE!$G:$H,2,0),"")</f>
        <v/>
      </c>
      <c r="E2844" s="8" t="inlineStr">
        <is>
          <t>D836</t>
        </is>
      </c>
      <c r="F2844" s="8" t="inlineStr">
        <is>
          <t>67283191</t>
        </is>
      </c>
      <c r="G2844" s="8">
        <f>IFERROR(VLOOKUP(A2844,Flete!$A:$E,5,0),"")</f>
        <v/>
      </c>
      <c r="H2844" s="7">
        <f>IFERROR(VLOOKUP(F2844,TRAOPE!$AA:$AB,2,0),"")</f>
        <v/>
      </c>
      <c r="I2844" s="7" t="n">
        <v>10175723</v>
      </c>
      <c r="J2844" s="7">
        <f>IFERROR(VLOOKUP(I2844,Materiales!$A:$H,8,0),"")</f>
        <v/>
      </c>
      <c r="K2844" s="9">
        <f>IFERROR(VLOOKUP(I2844,Materiales!$A:$G,7,0),"")</f>
        <v/>
      </c>
      <c r="L2844" s="8" t="inlineStr">
        <is>
          <t>20240813</t>
        </is>
      </c>
      <c r="M2844" s="8" t="inlineStr">
        <is>
          <t>20241108</t>
        </is>
      </c>
      <c r="N2844" s="10" t="n">
        <v>141</v>
      </c>
      <c r="O2844" s="10">
        <f>IFERROR(VLOOKUP(A2844,Flete!$A:$J,10,0),"")</f>
        <v/>
      </c>
      <c r="P2844" s="8" t="inlineStr">
        <is>
          <t>M3</t>
        </is>
      </c>
      <c r="Q2844" s="10">
        <f>IFERROR(IFERROR(VLOOKUP(A2844,TRAOPE!$A:$U,21,0),VLOOKUP(B2844,TRAOPE!$A:$U,21,0)),"")</f>
        <v/>
      </c>
      <c r="R2844" s="8">
        <f>IFERROR(IFERROR(VLOOKUP(A2844,TRAOPE!$A:$W,23,0),VLOOKUP(B2844,TRAOPE!$A:$W,23,0)),"")</f>
        <v/>
      </c>
      <c r="S2844" s="10">
        <f>IF(AND(P2844="TN",R2844="TN"),N2844+N(O2844),IF(G2844&amp;""="1",N(K2844)*N2844,(N2844+N(O2844))*N(K2844)))</f>
        <v/>
      </c>
      <c r="T2844" s="10">
        <f>IF(Q2844="","",Q2844-S2844)</f>
        <v/>
      </c>
    </row>
    <row r="2845">
      <c r="A2845" s="7">
        <f>CONCATENATE(C2845,E2845,F2845,I2845)</f>
        <v/>
      </c>
      <c r="B2845" s="7">
        <f>CONCATENATE(C2845,E2845,I2845)</f>
        <v/>
      </c>
      <c r="C2845" s="8" t="n">
        <v>900002267</v>
      </c>
      <c r="D2845" s="7">
        <f>IFERROR(VLOOKUP(C2845,TRAOPE!$G:$H,2,0),"")</f>
        <v/>
      </c>
      <c r="E2845" s="8" t="inlineStr">
        <is>
          <t>D836</t>
        </is>
      </c>
      <c r="F2845" s="8" t="inlineStr">
        <is>
          <t>67283035</t>
        </is>
      </c>
      <c r="G2845" s="8">
        <f>IFERROR(VLOOKUP(A2845,Flete!$A:$E,5,0),"")</f>
        <v/>
      </c>
      <c r="H2845" s="7">
        <f>IFERROR(VLOOKUP(F2845,TRAOPE!$AA:$AB,2,0),"")</f>
        <v/>
      </c>
      <c r="I2845" s="7" t="n">
        <v>10140399</v>
      </c>
      <c r="J2845" s="7">
        <f>IFERROR(VLOOKUP(I2845,Materiales!$A:$H,8,0),"")</f>
        <v/>
      </c>
      <c r="K2845" s="9">
        <f>IFERROR(VLOOKUP(I2845,Materiales!$A:$G,7,0),"")</f>
        <v/>
      </c>
      <c r="L2845" s="8" t="inlineStr">
        <is>
          <t>20240813</t>
        </is>
      </c>
      <c r="M2845" s="8" t="inlineStr">
        <is>
          <t>20241108</t>
        </is>
      </c>
      <c r="N2845" s="10" t="n">
        <v>375</v>
      </c>
      <c r="O2845" s="10">
        <f>IFERROR(VLOOKUP(A2845,Flete!$A:$J,10,0),"")</f>
        <v/>
      </c>
      <c r="P2845" s="8" t="inlineStr">
        <is>
          <t>M3</t>
        </is>
      </c>
      <c r="Q2845" s="10">
        <f>IFERROR(IFERROR(VLOOKUP(A2845,TRAOPE!$A:$U,21,0),VLOOKUP(B2845,TRAOPE!$A:$U,21,0)),"")</f>
        <v/>
      </c>
      <c r="R2845" s="8">
        <f>IFERROR(IFERROR(VLOOKUP(A2845,TRAOPE!$A:$W,23,0),VLOOKUP(B2845,TRAOPE!$A:$W,23,0)),"")</f>
        <v/>
      </c>
      <c r="S2845" s="10">
        <f>IF(AND(P2845="TN",R2845="TN"),N2845+N(O2845),IF(G2845&amp;""="1",N(K2845)*N2845,(N2845+N(O2845))*N(K2845)))</f>
        <v/>
      </c>
      <c r="T2845" s="10">
        <f>IF(Q2845="","",Q2845-S2845)</f>
        <v/>
      </c>
    </row>
    <row r="2846">
      <c r="A2846" s="7">
        <f>CONCATENATE(C2846,E2846,F2846,I2846)</f>
        <v/>
      </c>
      <c r="B2846" s="7">
        <f>CONCATENATE(C2846,E2846,I2846)</f>
        <v/>
      </c>
      <c r="C2846" s="8" t="n">
        <v>900002574</v>
      </c>
      <c r="D2846" s="7">
        <f>IFERROR(VLOOKUP(C2846,TRAOPE!$G:$H,2,0),"")</f>
        <v/>
      </c>
      <c r="E2846" s="8" t="inlineStr">
        <is>
          <t>D836</t>
        </is>
      </c>
      <c r="F2846" s="8" t="inlineStr">
        <is>
          <t>66581348</t>
        </is>
      </c>
      <c r="G2846" s="8">
        <f>IFERROR(VLOOKUP(A2846,Flete!$A:$E,5,0),"")</f>
        <v/>
      </c>
      <c r="H2846" s="7">
        <f>IFERROR(VLOOKUP(F2846,TRAOPE!$AA:$AB,2,0),"")</f>
        <v/>
      </c>
      <c r="I2846" s="7" t="n">
        <v>10000160</v>
      </c>
      <c r="J2846" s="7">
        <f>IFERROR(VLOOKUP(I2846,Materiales!$A:$H,8,0),"")</f>
        <v/>
      </c>
      <c r="K2846" s="9">
        <f>IFERROR(VLOOKUP(I2846,Materiales!$A:$G,7,0),"")</f>
        <v/>
      </c>
      <c r="L2846" s="8" t="inlineStr">
        <is>
          <t>20240425</t>
        </is>
      </c>
      <c r="M2846" s="8" t="inlineStr">
        <is>
          <t>20240814</t>
        </is>
      </c>
      <c r="N2846" s="10" t="n">
        <v>230</v>
      </c>
      <c r="O2846" s="10">
        <f>IFERROR(VLOOKUP(A2846,Flete!$A:$J,10,0),"")</f>
        <v/>
      </c>
      <c r="P2846" s="8" t="inlineStr">
        <is>
          <t>M3</t>
        </is>
      </c>
      <c r="Q2846" s="10">
        <f>IFERROR(IFERROR(VLOOKUP(A2846,TRAOPE!$A:$U,21,0),VLOOKUP(B2846,TRAOPE!$A:$U,21,0)),"")</f>
        <v/>
      </c>
      <c r="R2846" s="8">
        <f>IFERROR(IFERROR(VLOOKUP(A2846,TRAOPE!$A:$W,23,0),VLOOKUP(B2846,TRAOPE!$A:$W,23,0)),"")</f>
        <v/>
      </c>
      <c r="S2846" s="10">
        <f>IF(AND(P2846="TN",R2846="TN"),N2846+N(O2846),IF(G2846&amp;""="1",N(K2846)*N2846,(N2846+N(O2846))*N(K2846)))</f>
        <v/>
      </c>
      <c r="T2846" s="10">
        <f>IF(Q2846="","",Q2846-S2846)</f>
        <v/>
      </c>
    </row>
    <row r="2847">
      <c r="A2847" s="7">
        <f>CONCATENATE(C2847,E2847,F2847,I2847)</f>
        <v/>
      </c>
      <c r="B2847" s="7">
        <f>CONCATENATE(C2847,E2847,I2847)</f>
        <v/>
      </c>
      <c r="C2847" s="8" t="n">
        <v>900002574</v>
      </c>
      <c r="D2847" s="7">
        <f>IFERROR(VLOOKUP(C2847,TRAOPE!$G:$H,2,0),"")</f>
        <v/>
      </c>
      <c r="E2847" s="8" t="inlineStr">
        <is>
          <t>D836</t>
        </is>
      </c>
      <c r="F2847" s="8" t="inlineStr">
        <is>
          <t>66878462</t>
        </is>
      </c>
      <c r="G2847" s="8">
        <f>IFERROR(VLOOKUP(A2847,Flete!$A:$E,5,0),"")</f>
        <v/>
      </c>
      <c r="H2847" s="7">
        <f>IFERROR(VLOOKUP(F2847,TRAOPE!$AA:$AB,2,0),"")</f>
        <v/>
      </c>
      <c r="I2847" s="7" t="n">
        <v>10185476</v>
      </c>
      <c r="J2847" s="7">
        <f>IFERROR(VLOOKUP(I2847,Materiales!$A:$H,8,0),"")</f>
        <v/>
      </c>
      <c r="K2847" s="9">
        <f>IFERROR(VLOOKUP(I2847,Materiales!$A:$G,7,0),"")</f>
        <v/>
      </c>
      <c r="L2847" s="8" t="inlineStr">
        <is>
          <t>20240813</t>
        </is>
      </c>
      <c r="M2847" s="8" t="inlineStr">
        <is>
          <t>20241108</t>
        </is>
      </c>
      <c r="N2847" s="10" t="n">
        <v>235</v>
      </c>
      <c r="O2847" s="10">
        <f>IFERROR(VLOOKUP(A2847,Flete!$A:$J,10,0),"")</f>
        <v/>
      </c>
      <c r="P2847" s="8" t="inlineStr">
        <is>
          <t>M3</t>
        </is>
      </c>
      <c r="Q2847" s="10">
        <f>IFERROR(IFERROR(VLOOKUP(A2847,TRAOPE!$A:$U,21,0),VLOOKUP(B2847,TRAOPE!$A:$U,21,0)),"")</f>
        <v/>
      </c>
      <c r="R2847" s="8">
        <f>IFERROR(IFERROR(VLOOKUP(A2847,TRAOPE!$A:$W,23,0),VLOOKUP(B2847,TRAOPE!$A:$W,23,0)),"")</f>
        <v/>
      </c>
      <c r="S2847" s="10">
        <f>IF(AND(P2847="TN",R2847="TN"),N2847+N(O2847),IF(G2847&amp;""="1",N(K2847)*N2847,(N2847+N(O2847))*N(K2847)))</f>
        <v/>
      </c>
      <c r="T2847" s="10">
        <f>IF(Q2847="","",Q2847-S2847)</f>
        <v/>
      </c>
    </row>
    <row r="2848">
      <c r="A2848" s="7">
        <f>CONCATENATE(C2848,E2848,F2848,I2848)</f>
        <v/>
      </c>
      <c r="B2848" s="7">
        <f>CONCATENATE(C2848,E2848,I2848)</f>
        <v/>
      </c>
      <c r="C2848" s="8" t="n">
        <v>900002574</v>
      </c>
      <c r="D2848" s="7">
        <f>IFERROR(VLOOKUP(C2848,TRAOPE!$G:$H,2,0),"")</f>
        <v/>
      </c>
      <c r="E2848" s="8" t="inlineStr">
        <is>
          <t>D836</t>
        </is>
      </c>
      <c r="F2848" s="8" t="inlineStr">
        <is>
          <t>66878462</t>
        </is>
      </c>
      <c r="G2848" s="8">
        <f>IFERROR(VLOOKUP(A2848,Flete!$A:$E,5,0),"")</f>
        <v/>
      </c>
      <c r="H2848" s="7">
        <f>IFERROR(VLOOKUP(F2848,TRAOPE!$AA:$AB,2,0),"")</f>
        <v/>
      </c>
      <c r="I2848" s="7" t="n">
        <v>10185477</v>
      </c>
      <c r="J2848" s="7">
        <f>IFERROR(VLOOKUP(I2848,Materiales!$A:$H,8,0),"")</f>
        <v/>
      </c>
      <c r="K2848" s="9">
        <f>IFERROR(VLOOKUP(I2848,Materiales!$A:$G,7,0),"")</f>
        <v/>
      </c>
      <c r="L2848" s="8" t="inlineStr">
        <is>
          <t>20240813</t>
        </is>
      </c>
      <c r="M2848" s="8" t="inlineStr">
        <is>
          <t>20241108</t>
        </is>
      </c>
      <c r="N2848" s="10" t="n">
        <v>245</v>
      </c>
      <c r="O2848" s="10">
        <f>IFERROR(VLOOKUP(A2848,Flete!$A:$J,10,0),"")</f>
        <v/>
      </c>
      <c r="P2848" s="8" t="inlineStr">
        <is>
          <t>M3</t>
        </is>
      </c>
      <c r="Q2848" s="10">
        <f>IFERROR(IFERROR(VLOOKUP(A2848,TRAOPE!$A:$U,21,0),VLOOKUP(B2848,TRAOPE!$A:$U,21,0)),"")</f>
        <v/>
      </c>
      <c r="R2848" s="8">
        <f>IFERROR(IFERROR(VLOOKUP(A2848,TRAOPE!$A:$W,23,0),VLOOKUP(B2848,TRAOPE!$A:$W,23,0)),"")</f>
        <v/>
      </c>
      <c r="S2848" s="10">
        <f>IF(AND(P2848="TN",R2848="TN"),N2848+N(O2848),IF(G2848&amp;""="1",N(K2848)*N2848,(N2848+N(O2848))*N(K2848)))</f>
        <v/>
      </c>
      <c r="T2848" s="10">
        <f>IF(Q2848="","",Q2848-S2848)</f>
        <v/>
      </c>
    </row>
    <row r="2849">
      <c r="A2849" s="7">
        <f>CONCATENATE(C2849,E2849,F2849,I2849)</f>
        <v/>
      </c>
      <c r="B2849" s="7">
        <f>CONCATENATE(C2849,E2849,I2849)</f>
        <v/>
      </c>
      <c r="C2849" s="8" t="n">
        <v>900002574</v>
      </c>
      <c r="D2849" s="7">
        <f>IFERROR(VLOOKUP(C2849,TRAOPE!$G:$H,2,0),"")</f>
        <v/>
      </c>
      <c r="E2849" s="8" t="inlineStr">
        <is>
          <t>D836</t>
        </is>
      </c>
      <c r="F2849" s="8" t="inlineStr">
        <is>
          <t>66878462</t>
        </is>
      </c>
      <c r="G2849" s="8">
        <f>IFERROR(VLOOKUP(A2849,Flete!$A:$E,5,0),"")</f>
        <v/>
      </c>
      <c r="H2849" s="7">
        <f>IFERROR(VLOOKUP(F2849,TRAOPE!$AA:$AB,2,0),"")</f>
        <v/>
      </c>
      <c r="I2849" s="7" t="n">
        <v>10227598</v>
      </c>
      <c r="J2849" s="7">
        <f>IFERROR(VLOOKUP(I2849,Materiales!$A:$H,8,0),"")</f>
        <v/>
      </c>
      <c r="K2849" s="9">
        <f>IFERROR(VLOOKUP(I2849,Materiales!$A:$G,7,0),"")</f>
        <v/>
      </c>
      <c r="L2849" s="8" t="inlineStr">
        <is>
          <t>20240813</t>
        </is>
      </c>
      <c r="M2849" s="8" t="inlineStr">
        <is>
          <t>20241108</t>
        </is>
      </c>
      <c r="N2849" s="10" t="n">
        <v>175</v>
      </c>
      <c r="O2849" s="10">
        <f>IFERROR(VLOOKUP(A2849,Flete!$A:$J,10,0),"")</f>
        <v/>
      </c>
      <c r="P2849" s="8" t="inlineStr">
        <is>
          <t>M3</t>
        </is>
      </c>
      <c r="Q2849" s="10">
        <f>IFERROR(IFERROR(VLOOKUP(A2849,TRAOPE!$A:$U,21,0),VLOOKUP(B2849,TRAOPE!$A:$U,21,0)),"")</f>
        <v/>
      </c>
      <c r="R2849" s="8">
        <f>IFERROR(IFERROR(VLOOKUP(A2849,TRAOPE!$A:$W,23,0),VLOOKUP(B2849,TRAOPE!$A:$W,23,0)),"")</f>
        <v/>
      </c>
      <c r="S2849" s="10">
        <f>IF(AND(P2849="TN",R2849="TN"),N2849+N(O2849),IF(G2849&amp;""="1",N(K2849)*N2849,(N2849+N(O2849))*N(K2849)))</f>
        <v/>
      </c>
      <c r="T2849" s="10">
        <f>IF(Q2849="","",Q2849-S2849)</f>
        <v/>
      </c>
    </row>
    <row r="2850">
      <c r="A2850" s="7">
        <f>CONCATENATE(C2850,E2850,F2850,I2850)</f>
        <v/>
      </c>
      <c r="B2850" s="7">
        <f>CONCATENATE(C2850,E2850,I2850)</f>
        <v/>
      </c>
      <c r="C2850" s="8" t="n">
        <v>900002574</v>
      </c>
      <c r="D2850" s="7">
        <f>IFERROR(VLOOKUP(C2850,TRAOPE!$G:$H,2,0),"")</f>
        <v/>
      </c>
      <c r="E2850" s="8" t="inlineStr">
        <is>
          <t>D836</t>
        </is>
      </c>
      <c r="F2850" s="8" t="inlineStr">
        <is>
          <t>67126698</t>
        </is>
      </c>
      <c r="G2850" s="8">
        <f>IFERROR(VLOOKUP(A2850,Flete!$A:$E,5,0),"")</f>
        <v/>
      </c>
      <c r="H2850" s="7">
        <f>IFERROR(VLOOKUP(F2850,TRAOPE!$AA:$AB,2,0),"")</f>
        <v/>
      </c>
      <c r="I2850" s="7" t="n">
        <v>10029712</v>
      </c>
      <c r="J2850" s="7">
        <f>IFERROR(VLOOKUP(I2850,Materiales!$A:$H,8,0),"")</f>
        <v/>
      </c>
      <c r="K2850" s="9">
        <f>IFERROR(VLOOKUP(I2850,Materiales!$A:$G,7,0),"")</f>
        <v/>
      </c>
      <c r="L2850" s="8" t="inlineStr">
        <is>
          <t>20250505</t>
        </is>
      </c>
      <c r="M2850" s="8" t="inlineStr">
        <is>
          <t>20250507</t>
        </is>
      </c>
      <c r="N2850" s="10" t="n">
        <v>300</v>
      </c>
      <c r="O2850" s="10">
        <f>IFERROR(VLOOKUP(A2850,Flete!$A:$J,10,0),"")</f>
        <v/>
      </c>
      <c r="P2850" s="8" t="inlineStr">
        <is>
          <t>M3</t>
        </is>
      </c>
      <c r="Q2850" s="10">
        <f>IFERROR(IFERROR(VLOOKUP(A2850,TRAOPE!$A:$U,21,0),VLOOKUP(B2850,TRAOPE!$A:$U,21,0)),"")</f>
        <v/>
      </c>
      <c r="R2850" s="8">
        <f>IFERROR(IFERROR(VLOOKUP(A2850,TRAOPE!$A:$W,23,0),VLOOKUP(B2850,TRAOPE!$A:$W,23,0)),"")</f>
        <v/>
      </c>
      <c r="S2850" s="10">
        <f>IF(AND(P2850="TN",R2850="TN"),N2850+N(O2850),IF(G2850&amp;""="1",N(K2850)*N2850,(N2850+N(O2850))*N(K2850)))</f>
        <v/>
      </c>
      <c r="T2850" s="10">
        <f>IF(Q2850="","",Q2850-S2850)</f>
        <v/>
      </c>
    </row>
    <row r="2851">
      <c r="A2851" s="7">
        <f>CONCATENATE(C2851,E2851,F2851,I2851)</f>
        <v/>
      </c>
      <c r="B2851" s="7">
        <f>CONCATENATE(C2851,E2851,I2851)</f>
        <v/>
      </c>
      <c r="C2851" s="8" t="n">
        <v>900002574</v>
      </c>
      <c r="D2851" s="7">
        <f>IFERROR(VLOOKUP(C2851,TRAOPE!$G:$H,2,0),"")</f>
        <v/>
      </c>
      <c r="E2851" s="8" t="inlineStr">
        <is>
          <t>D836</t>
        </is>
      </c>
      <c r="F2851" s="8" t="inlineStr">
        <is>
          <t>67208638</t>
        </is>
      </c>
      <c r="G2851" s="8">
        <f>IFERROR(VLOOKUP(A2851,Flete!$A:$E,5,0),"")</f>
        <v/>
      </c>
      <c r="H2851" s="7">
        <f>IFERROR(VLOOKUP(F2851,TRAOPE!$AA:$AB,2,0),"")</f>
        <v/>
      </c>
      <c r="I2851" s="7" t="n">
        <v>10000623</v>
      </c>
      <c r="J2851" s="7">
        <f>IFERROR(VLOOKUP(I2851,Materiales!$A:$H,8,0),"")</f>
        <v/>
      </c>
      <c r="K2851" s="9">
        <f>IFERROR(VLOOKUP(I2851,Materiales!$A:$G,7,0),"")</f>
        <v/>
      </c>
      <c r="L2851" s="8" t="inlineStr">
        <is>
          <t>20240425</t>
        </is>
      </c>
      <c r="M2851" s="8" t="inlineStr">
        <is>
          <t>20240814</t>
        </is>
      </c>
      <c r="N2851" s="10" t="n">
        <v>706.6900000000001</v>
      </c>
      <c r="O2851" s="10">
        <f>IFERROR(VLOOKUP(A2851,Flete!$A:$J,10,0),"")</f>
        <v/>
      </c>
      <c r="P2851" s="8" t="inlineStr">
        <is>
          <t>M3</t>
        </is>
      </c>
      <c r="Q2851" s="10">
        <f>IFERROR(IFERROR(VLOOKUP(A2851,TRAOPE!$A:$U,21,0),VLOOKUP(B2851,TRAOPE!$A:$U,21,0)),"")</f>
        <v/>
      </c>
      <c r="R2851" s="8">
        <f>IFERROR(IFERROR(VLOOKUP(A2851,TRAOPE!$A:$W,23,0),VLOOKUP(B2851,TRAOPE!$A:$W,23,0)),"")</f>
        <v/>
      </c>
      <c r="S2851" s="10">
        <f>IF(AND(P2851="TN",R2851="TN"),N2851+N(O2851),IF(G2851&amp;""="1",N(K2851)*N2851,(N2851+N(O2851))*N(K2851)))</f>
        <v/>
      </c>
      <c r="T2851" s="10">
        <f>IF(Q2851="","",Q2851-S2851)</f>
        <v/>
      </c>
    </row>
    <row r="2852">
      <c r="A2852" s="7">
        <f>CONCATENATE(C2852,E2852,F2852,I2852)</f>
        <v/>
      </c>
      <c r="B2852" s="7">
        <f>CONCATENATE(C2852,E2852,I2852)</f>
        <v/>
      </c>
      <c r="C2852" s="8" t="n">
        <v>900002574</v>
      </c>
      <c r="D2852" s="7">
        <f>IFERROR(VLOOKUP(C2852,TRAOPE!$G:$H,2,0),"")</f>
        <v/>
      </c>
      <c r="E2852" s="8" t="inlineStr">
        <is>
          <t>D836</t>
        </is>
      </c>
      <c r="F2852" s="8" t="inlineStr">
        <is>
          <t>67249416</t>
        </is>
      </c>
      <c r="G2852" s="8">
        <f>IFERROR(VLOOKUP(A2852,Flete!$A:$E,5,0),"")</f>
        <v/>
      </c>
      <c r="H2852" s="7">
        <f>IFERROR(VLOOKUP(F2852,TRAOPE!$AA:$AB,2,0),"")</f>
        <v/>
      </c>
      <c r="I2852" s="7" t="n">
        <v>10000133</v>
      </c>
      <c r="J2852" s="7">
        <f>IFERROR(VLOOKUP(I2852,Materiales!$A:$H,8,0),"")</f>
        <v/>
      </c>
      <c r="K2852" s="9">
        <f>IFERROR(VLOOKUP(I2852,Materiales!$A:$G,7,0),"")</f>
        <v/>
      </c>
      <c r="L2852" s="8" t="inlineStr">
        <is>
          <t>20240425</t>
        </is>
      </c>
      <c r="M2852" s="8" t="inlineStr">
        <is>
          <t>20240814</t>
        </is>
      </c>
      <c r="N2852" s="10" t="n">
        <v>155</v>
      </c>
      <c r="O2852" s="10">
        <f>IFERROR(VLOOKUP(A2852,Flete!$A:$J,10,0),"")</f>
        <v/>
      </c>
      <c r="P2852" s="8" t="inlineStr">
        <is>
          <t>TN</t>
        </is>
      </c>
      <c r="Q2852" s="10">
        <f>IFERROR(IFERROR(VLOOKUP(A2852,TRAOPE!$A:$U,21,0),VLOOKUP(B2852,TRAOPE!$A:$U,21,0)),"")</f>
        <v/>
      </c>
      <c r="R2852" s="8">
        <f>IFERROR(IFERROR(VLOOKUP(A2852,TRAOPE!$A:$W,23,0),VLOOKUP(B2852,TRAOPE!$A:$W,23,0)),"")</f>
        <v/>
      </c>
      <c r="S2852" s="10">
        <f>IF(AND(P2852="TN",R2852="TN"),N2852+N(O2852),IF(G2852&amp;""="1",N(K2852)*N2852,(N2852+N(O2852))*N(K2852)))</f>
        <v/>
      </c>
      <c r="T2852" s="10">
        <f>IF(Q2852="","",Q2852-S2852)</f>
        <v/>
      </c>
    </row>
    <row r="2853">
      <c r="A2853" s="7">
        <f>CONCATENATE(C2853,E2853,F2853,I2853)</f>
        <v/>
      </c>
      <c r="B2853" s="7">
        <f>CONCATENATE(C2853,E2853,I2853)</f>
        <v/>
      </c>
      <c r="C2853" s="8" t="n">
        <v>900002574</v>
      </c>
      <c r="D2853" s="7">
        <f>IFERROR(VLOOKUP(C2853,TRAOPE!$G:$H,2,0),"")</f>
        <v/>
      </c>
      <c r="E2853" s="8" t="inlineStr">
        <is>
          <t>D836</t>
        </is>
      </c>
      <c r="F2853" s="8" t="inlineStr">
        <is>
          <t>67249416</t>
        </is>
      </c>
      <c r="G2853" s="8">
        <f>IFERROR(VLOOKUP(A2853,Flete!$A:$E,5,0),"")</f>
        <v/>
      </c>
      <c r="H2853" s="7">
        <f>IFERROR(VLOOKUP(F2853,TRAOPE!$AA:$AB,2,0),"")</f>
        <v/>
      </c>
      <c r="I2853" s="7" t="n">
        <v>10000623</v>
      </c>
      <c r="J2853" s="7">
        <f>IFERROR(VLOOKUP(I2853,Materiales!$A:$H,8,0),"")</f>
        <v/>
      </c>
      <c r="K2853" s="9">
        <f>IFERROR(VLOOKUP(I2853,Materiales!$A:$G,7,0),"")</f>
        <v/>
      </c>
      <c r="L2853" s="8" t="inlineStr">
        <is>
          <t>20240425</t>
        </is>
      </c>
      <c r="M2853" s="8" t="inlineStr">
        <is>
          <t>20240814</t>
        </is>
      </c>
      <c r="N2853" s="10" t="n">
        <v>165</v>
      </c>
      <c r="O2853" s="10">
        <f>IFERROR(VLOOKUP(A2853,Flete!$A:$J,10,0),"")</f>
        <v/>
      </c>
      <c r="P2853" s="8" t="inlineStr">
        <is>
          <t>TN</t>
        </is>
      </c>
      <c r="Q2853" s="10">
        <f>IFERROR(IFERROR(VLOOKUP(A2853,TRAOPE!$A:$U,21,0),VLOOKUP(B2853,TRAOPE!$A:$U,21,0)),"")</f>
        <v/>
      </c>
      <c r="R2853" s="8">
        <f>IFERROR(IFERROR(VLOOKUP(A2853,TRAOPE!$A:$W,23,0),VLOOKUP(B2853,TRAOPE!$A:$W,23,0)),"")</f>
        <v/>
      </c>
      <c r="S2853" s="10">
        <f>IF(AND(P2853="TN",R2853="TN"),N2853+N(O2853),IF(G2853&amp;""="1",N(K2853)*N2853,(N2853+N(O2853))*N(K2853)))</f>
        <v/>
      </c>
      <c r="T2853" s="10">
        <f>IF(Q2853="","",Q2853-S2853)</f>
        <v/>
      </c>
    </row>
    <row r="2854">
      <c r="A2854" s="7">
        <f>CONCATENATE(C2854,E2854,F2854,I2854)</f>
        <v/>
      </c>
      <c r="B2854" s="7">
        <f>CONCATENATE(C2854,E2854,I2854)</f>
        <v/>
      </c>
      <c r="C2854" s="8" t="n">
        <v>900002574</v>
      </c>
      <c r="D2854" s="7">
        <f>IFERROR(VLOOKUP(C2854,TRAOPE!$G:$H,2,0),"")</f>
        <v/>
      </c>
      <c r="E2854" s="8" t="inlineStr">
        <is>
          <t>D836</t>
        </is>
      </c>
      <c r="F2854" s="8" t="inlineStr">
        <is>
          <t>67249416</t>
        </is>
      </c>
      <c r="G2854" s="8">
        <f>IFERROR(VLOOKUP(A2854,Flete!$A:$E,5,0),"")</f>
        <v/>
      </c>
      <c r="H2854" s="7">
        <f>IFERROR(VLOOKUP(F2854,TRAOPE!$AA:$AB,2,0),"")</f>
        <v/>
      </c>
      <c r="I2854" s="7" t="n">
        <v>10000624</v>
      </c>
      <c r="J2854" s="7">
        <f>IFERROR(VLOOKUP(I2854,Materiales!$A:$H,8,0),"")</f>
        <v/>
      </c>
      <c r="K2854" s="9">
        <f>IFERROR(VLOOKUP(I2854,Materiales!$A:$G,7,0),"")</f>
        <v/>
      </c>
      <c r="L2854" s="8" t="inlineStr">
        <is>
          <t>20240425</t>
        </is>
      </c>
      <c r="M2854" s="8" t="inlineStr">
        <is>
          <t>20240814</t>
        </is>
      </c>
      <c r="N2854" s="10" t="n">
        <v>168</v>
      </c>
      <c r="O2854" s="10">
        <f>IFERROR(VLOOKUP(A2854,Flete!$A:$J,10,0),"")</f>
        <v/>
      </c>
      <c r="P2854" s="8" t="inlineStr">
        <is>
          <t>TN</t>
        </is>
      </c>
      <c r="Q2854" s="10">
        <f>IFERROR(IFERROR(VLOOKUP(A2854,TRAOPE!$A:$U,21,0),VLOOKUP(B2854,TRAOPE!$A:$U,21,0)),"")</f>
        <v/>
      </c>
      <c r="R2854" s="8">
        <f>IFERROR(IFERROR(VLOOKUP(A2854,TRAOPE!$A:$W,23,0),VLOOKUP(B2854,TRAOPE!$A:$W,23,0)),"")</f>
        <v/>
      </c>
      <c r="S2854" s="10">
        <f>IF(AND(P2854="TN",R2854="TN"),N2854+N(O2854),IF(G2854&amp;""="1",N(K2854)*N2854,(N2854+N(O2854))*N(K2854)))</f>
        <v/>
      </c>
      <c r="T2854" s="10">
        <f>IF(Q2854="","",Q2854-S2854)</f>
        <v/>
      </c>
    </row>
    <row r="2855">
      <c r="A2855" s="7">
        <f>CONCATENATE(C2855,E2855,F2855,I2855)</f>
        <v/>
      </c>
      <c r="B2855" s="7">
        <f>CONCATENATE(C2855,E2855,I2855)</f>
        <v/>
      </c>
      <c r="C2855" s="8" t="n">
        <v>900002574</v>
      </c>
      <c r="D2855" s="7">
        <f>IFERROR(VLOOKUP(C2855,TRAOPE!$G:$H,2,0),"")</f>
        <v/>
      </c>
      <c r="E2855" s="8" t="inlineStr">
        <is>
          <t>D836</t>
        </is>
      </c>
      <c r="F2855" s="8" t="inlineStr">
        <is>
          <t>67249416</t>
        </is>
      </c>
      <c r="G2855" s="8">
        <f>IFERROR(VLOOKUP(A2855,Flete!$A:$E,5,0),"")</f>
        <v/>
      </c>
      <c r="H2855" s="7">
        <f>IFERROR(VLOOKUP(F2855,TRAOPE!$AA:$AB,2,0),"")</f>
        <v/>
      </c>
      <c r="I2855" s="7" t="n">
        <v>10058345</v>
      </c>
      <c r="J2855" s="7">
        <f>IFERROR(VLOOKUP(I2855,Materiales!$A:$H,8,0),"")</f>
        <v/>
      </c>
      <c r="K2855" s="9">
        <f>IFERROR(VLOOKUP(I2855,Materiales!$A:$G,7,0),"")</f>
        <v/>
      </c>
      <c r="L2855" s="8" t="inlineStr">
        <is>
          <t>20240425</t>
        </is>
      </c>
      <c r="M2855" s="8" t="inlineStr">
        <is>
          <t>20240814</t>
        </is>
      </c>
      <c r="N2855" s="10" t="n">
        <v>100</v>
      </c>
      <c r="O2855" s="10">
        <f>IFERROR(VLOOKUP(A2855,Flete!$A:$J,10,0),"")</f>
        <v/>
      </c>
      <c r="P2855" s="8" t="inlineStr">
        <is>
          <t>TN</t>
        </is>
      </c>
      <c r="Q2855" s="10">
        <f>IFERROR(IFERROR(VLOOKUP(A2855,TRAOPE!$A:$U,21,0),VLOOKUP(B2855,TRAOPE!$A:$U,21,0)),"")</f>
        <v/>
      </c>
      <c r="R2855" s="8">
        <f>IFERROR(IFERROR(VLOOKUP(A2855,TRAOPE!$A:$W,23,0),VLOOKUP(B2855,TRAOPE!$A:$W,23,0)),"")</f>
        <v/>
      </c>
      <c r="S2855" s="10">
        <f>IF(AND(P2855="TN",R2855="TN"),N2855+N(O2855),IF(G2855&amp;""="1",N(K2855)*N2855,(N2855+N(O2855))*N(K2855)))</f>
        <v/>
      </c>
      <c r="T2855" s="10">
        <f>IF(Q2855="","",Q2855-S2855)</f>
        <v/>
      </c>
    </row>
    <row r="2856">
      <c r="A2856" s="7">
        <f>CONCATENATE(C2856,E2856,F2856,I2856)</f>
        <v/>
      </c>
      <c r="B2856" s="7">
        <f>CONCATENATE(C2856,E2856,I2856)</f>
        <v/>
      </c>
      <c r="C2856" s="8" t="n">
        <v>900003496</v>
      </c>
      <c r="D2856" s="7">
        <f>IFERROR(VLOOKUP(C2856,TRAOPE!$G:$H,2,0),"")</f>
        <v/>
      </c>
      <c r="E2856" s="8" t="inlineStr">
        <is>
          <t>D836</t>
        </is>
      </c>
      <c r="F2856" s="8" t="inlineStr">
        <is>
          <t>67221674</t>
        </is>
      </c>
      <c r="G2856" s="8">
        <f>IFERROR(VLOOKUP(A2856,Flete!$A:$E,5,0),"")</f>
        <v/>
      </c>
      <c r="H2856" s="7">
        <f>IFERROR(VLOOKUP(F2856,TRAOPE!$AA:$AB,2,0),"")</f>
        <v/>
      </c>
      <c r="I2856" s="7" t="n">
        <v>10000635</v>
      </c>
      <c r="J2856" s="7">
        <f>IFERROR(VLOOKUP(I2856,Materiales!$A:$H,8,0),"")</f>
        <v/>
      </c>
      <c r="K2856" s="9">
        <f>IFERROR(VLOOKUP(I2856,Materiales!$A:$G,7,0),"")</f>
        <v/>
      </c>
      <c r="L2856" s="8" t="inlineStr">
        <is>
          <t>20240425</t>
        </is>
      </c>
      <c r="M2856" s="8" t="inlineStr">
        <is>
          <t>20240814</t>
        </is>
      </c>
      <c r="N2856" s="10" t="n">
        <v>600</v>
      </c>
      <c r="O2856" s="10">
        <f>IFERROR(VLOOKUP(A2856,Flete!$A:$J,10,0),"")</f>
        <v/>
      </c>
      <c r="P2856" s="8" t="inlineStr">
        <is>
          <t>TN</t>
        </is>
      </c>
      <c r="Q2856" s="10">
        <f>IFERROR(IFERROR(VLOOKUP(A2856,TRAOPE!$A:$U,21,0),VLOOKUP(B2856,TRAOPE!$A:$U,21,0)),"")</f>
        <v/>
      </c>
      <c r="R2856" s="8">
        <f>IFERROR(IFERROR(VLOOKUP(A2856,TRAOPE!$A:$W,23,0),VLOOKUP(B2856,TRAOPE!$A:$W,23,0)),"")</f>
        <v/>
      </c>
      <c r="S2856" s="10">
        <f>IF(AND(P2856="TN",R2856="TN"),N2856+N(O2856),IF(G2856&amp;""="1",N(K2856)*N2856,(N2856+N(O2856))*N(K2856)))</f>
        <v/>
      </c>
      <c r="T2856" s="10">
        <f>IF(Q2856="","",Q2856-S2856)</f>
        <v/>
      </c>
    </row>
    <row r="2857">
      <c r="A2857" s="7">
        <f>CONCATENATE(C2857,E2857,F2857,I2857)</f>
        <v/>
      </c>
      <c r="B2857" s="7">
        <f>CONCATENATE(C2857,E2857,I2857)</f>
        <v/>
      </c>
      <c r="C2857" s="8" t="n">
        <v>900003496</v>
      </c>
      <c r="D2857" s="7">
        <f>IFERROR(VLOOKUP(C2857,TRAOPE!$G:$H,2,0),"")</f>
        <v/>
      </c>
      <c r="E2857" s="8" t="inlineStr">
        <is>
          <t>D836</t>
        </is>
      </c>
      <c r="F2857" s="8" t="inlineStr">
        <is>
          <t>67221674</t>
        </is>
      </c>
      <c r="G2857" s="8">
        <f>IFERROR(VLOOKUP(A2857,Flete!$A:$E,5,0),"")</f>
        <v/>
      </c>
      <c r="H2857" s="7">
        <f>IFERROR(VLOOKUP(F2857,TRAOPE!$AA:$AB,2,0),"")</f>
        <v/>
      </c>
      <c r="I2857" s="7" t="n">
        <v>10000655</v>
      </c>
      <c r="J2857" s="7">
        <f>IFERROR(VLOOKUP(I2857,Materiales!$A:$H,8,0),"")</f>
        <v/>
      </c>
      <c r="K2857" s="9">
        <f>IFERROR(VLOOKUP(I2857,Materiales!$A:$G,7,0),"")</f>
        <v/>
      </c>
      <c r="L2857" s="8" t="inlineStr">
        <is>
          <t>20240425</t>
        </is>
      </c>
      <c r="M2857" s="8" t="inlineStr">
        <is>
          <t>20240814</t>
        </is>
      </c>
      <c r="N2857" s="10" t="n">
        <v>600</v>
      </c>
      <c r="O2857" s="10">
        <f>IFERROR(VLOOKUP(A2857,Flete!$A:$J,10,0),"")</f>
        <v/>
      </c>
      <c r="P2857" s="8" t="inlineStr">
        <is>
          <t>TN</t>
        </is>
      </c>
      <c r="Q2857" s="10">
        <f>IFERROR(IFERROR(VLOOKUP(A2857,TRAOPE!$A:$U,21,0),VLOOKUP(B2857,TRAOPE!$A:$U,21,0)),"")</f>
        <v/>
      </c>
      <c r="R2857" s="8">
        <f>IFERROR(IFERROR(VLOOKUP(A2857,TRAOPE!$A:$W,23,0),VLOOKUP(B2857,TRAOPE!$A:$W,23,0)),"")</f>
        <v/>
      </c>
      <c r="S2857" s="10">
        <f>IF(AND(P2857="TN",R2857="TN"),N2857+N(O2857),IF(G2857&amp;""="1",N(K2857)*N2857,(N2857+N(O2857))*N(K2857)))</f>
        <v/>
      </c>
      <c r="T2857" s="10">
        <f>IF(Q2857="","",Q2857-S2857)</f>
        <v/>
      </c>
    </row>
    <row r="2858">
      <c r="A2858" s="7">
        <f>CONCATENATE(C2858,E2858,F2858,I2858)</f>
        <v/>
      </c>
      <c r="B2858" s="7">
        <f>CONCATENATE(C2858,E2858,I2858)</f>
        <v/>
      </c>
      <c r="C2858" s="8" t="n">
        <v>900003588</v>
      </c>
      <c r="D2858" s="7">
        <f>IFERROR(VLOOKUP(C2858,TRAOPE!$G:$H,2,0),"")</f>
        <v/>
      </c>
      <c r="E2858" s="8" t="inlineStr">
        <is>
          <t>D836</t>
        </is>
      </c>
      <c r="F2858" s="8" t="inlineStr">
        <is>
          <t>66433509</t>
        </is>
      </c>
      <c r="G2858" s="8">
        <f>IFERROR(VLOOKUP(A2858,Flete!$A:$E,5,0),"")</f>
        <v/>
      </c>
      <c r="H2858" s="7">
        <f>IFERROR(VLOOKUP(F2858,TRAOPE!$AA:$AB,2,0),"")</f>
        <v/>
      </c>
      <c r="I2858" s="7" t="n">
        <v>10000357</v>
      </c>
      <c r="J2858" s="7">
        <f>IFERROR(VLOOKUP(I2858,Materiales!$A:$H,8,0),"")</f>
        <v/>
      </c>
      <c r="K2858" s="9">
        <f>IFERROR(VLOOKUP(I2858,Materiales!$A:$G,7,0),"")</f>
        <v/>
      </c>
      <c r="L2858" s="8" t="inlineStr">
        <is>
          <t>20250505</t>
        </is>
      </c>
      <c r="M2858" s="8" t="inlineStr">
        <is>
          <t>20250507</t>
        </is>
      </c>
      <c r="N2858" s="10" t="n">
        <v>85.93000000000001</v>
      </c>
      <c r="O2858" s="10">
        <f>IFERROR(VLOOKUP(A2858,Flete!$A:$J,10,0),"")</f>
        <v/>
      </c>
      <c r="P2858" s="8" t="inlineStr">
        <is>
          <t>TN</t>
        </is>
      </c>
      <c r="Q2858" s="10">
        <f>IFERROR(IFERROR(VLOOKUP(A2858,TRAOPE!$A:$U,21,0),VLOOKUP(B2858,TRAOPE!$A:$U,21,0)),"")</f>
        <v/>
      </c>
      <c r="R2858" s="8">
        <f>IFERROR(IFERROR(VLOOKUP(A2858,TRAOPE!$A:$W,23,0),VLOOKUP(B2858,TRAOPE!$A:$W,23,0)),"")</f>
        <v/>
      </c>
      <c r="S2858" s="10">
        <f>IF(AND(P2858="TN",R2858="TN"),N2858+N(O2858),IF(G2858&amp;""="1",N(K2858)*N2858,(N2858+N(O2858))*N(K2858)))</f>
        <v/>
      </c>
      <c r="T2858" s="10">
        <f>IF(Q2858="","",Q2858-S2858)</f>
        <v/>
      </c>
    </row>
    <row r="2859">
      <c r="A2859" s="7">
        <f>CONCATENATE(C2859,E2859,F2859,I2859)</f>
        <v/>
      </c>
      <c r="B2859" s="7">
        <f>CONCATENATE(C2859,E2859,I2859)</f>
        <v/>
      </c>
      <c r="C2859" s="8" t="n">
        <v>900003588</v>
      </c>
      <c r="D2859" s="7">
        <f>IFERROR(VLOOKUP(C2859,TRAOPE!$G:$H,2,0),"")</f>
        <v/>
      </c>
      <c r="E2859" s="8" t="inlineStr">
        <is>
          <t>D836</t>
        </is>
      </c>
      <c r="F2859" s="8" t="inlineStr">
        <is>
          <t>66433509</t>
        </is>
      </c>
      <c r="G2859" s="8">
        <f>IFERROR(VLOOKUP(A2859,Flete!$A:$E,5,0),"")</f>
        <v/>
      </c>
      <c r="H2859" s="7">
        <f>IFERROR(VLOOKUP(F2859,TRAOPE!$AA:$AB,2,0),"")</f>
        <v/>
      </c>
      <c r="I2859" s="7" t="n">
        <v>10000625</v>
      </c>
      <c r="J2859" s="7">
        <f>IFERROR(VLOOKUP(I2859,Materiales!$A:$H,8,0),"")</f>
        <v/>
      </c>
      <c r="K2859" s="9">
        <f>IFERROR(VLOOKUP(I2859,Materiales!$A:$G,7,0),"")</f>
        <v/>
      </c>
      <c r="L2859" s="8" t="inlineStr">
        <is>
          <t>20250505</t>
        </is>
      </c>
      <c r="M2859" s="8" t="inlineStr">
        <is>
          <t>20250507</t>
        </is>
      </c>
      <c r="N2859" s="10" t="n">
        <v>55.86</v>
      </c>
      <c r="O2859" s="10">
        <f>IFERROR(VLOOKUP(A2859,Flete!$A:$J,10,0),"")</f>
        <v/>
      </c>
      <c r="P2859" s="8" t="inlineStr">
        <is>
          <t>TN</t>
        </is>
      </c>
      <c r="Q2859" s="10">
        <f>IFERROR(IFERROR(VLOOKUP(A2859,TRAOPE!$A:$U,21,0),VLOOKUP(B2859,TRAOPE!$A:$U,21,0)),"")</f>
        <v/>
      </c>
      <c r="R2859" s="8">
        <f>IFERROR(IFERROR(VLOOKUP(A2859,TRAOPE!$A:$W,23,0),VLOOKUP(B2859,TRAOPE!$A:$W,23,0)),"")</f>
        <v/>
      </c>
      <c r="S2859" s="10">
        <f>IF(AND(P2859="TN",R2859="TN"),N2859+N(O2859),IF(G2859&amp;""="1",N(K2859)*N2859,(N2859+N(O2859))*N(K2859)))</f>
        <v/>
      </c>
      <c r="T2859" s="10">
        <f>IF(Q2859="","",Q2859-S2859)</f>
        <v/>
      </c>
    </row>
    <row r="2860">
      <c r="A2860" s="7">
        <f>CONCATENATE(C2860,E2860,F2860,I2860)</f>
        <v/>
      </c>
      <c r="B2860" s="7">
        <f>CONCATENATE(C2860,E2860,I2860)</f>
        <v/>
      </c>
      <c r="C2860" s="8" t="n">
        <v>900003588</v>
      </c>
      <c r="D2860" s="7">
        <f>IFERROR(VLOOKUP(C2860,TRAOPE!$G:$H,2,0),"")</f>
        <v/>
      </c>
      <c r="E2860" s="8" t="inlineStr">
        <is>
          <t>D836</t>
        </is>
      </c>
      <c r="F2860" s="8" t="inlineStr">
        <is>
          <t>66433509</t>
        </is>
      </c>
      <c r="G2860" s="8">
        <f>IFERROR(VLOOKUP(A2860,Flete!$A:$E,5,0),"")</f>
        <v/>
      </c>
      <c r="H2860" s="7">
        <f>IFERROR(VLOOKUP(F2860,TRAOPE!$AA:$AB,2,0),"")</f>
        <v/>
      </c>
      <c r="I2860" s="7" t="n">
        <v>10000627</v>
      </c>
      <c r="J2860" s="7">
        <f>IFERROR(VLOOKUP(I2860,Materiales!$A:$H,8,0),"")</f>
        <v/>
      </c>
      <c r="K2860" s="9">
        <f>IFERROR(VLOOKUP(I2860,Materiales!$A:$G,7,0),"")</f>
        <v/>
      </c>
      <c r="L2860" s="8" t="inlineStr">
        <is>
          <t>20250505</t>
        </is>
      </c>
      <c r="M2860" s="8" t="inlineStr">
        <is>
          <t>20250507</t>
        </is>
      </c>
      <c r="N2860" s="10" t="n">
        <v>60.89</v>
      </c>
      <c r="O2860" s="10">
        <f>IFERROR(VLOOKUP(A2860,Flete!$A:$J,10,0),"")</f>
        <v/>
      </c>
      <c r="P2860" s="8" t="inlineStr">
        <is>
          <t>TN</t>
        </is>
      </c>
      <c r="Q2860" s="10">
        <f>IFERROR(IFERROR(VLOOKUP(A2860,TRAOPE!$A:$U,21,0),VLOOKUP(B2860,TRAOPE!$A:$U,21,0)),"")</f>
        <v/>
      </c>
      <c r="R2860" s="8">
        <f>IFERROR(IFERROR(VLOOKUP(A2860,TRAOPE!$A:$W,23,0),VLOOKUP(B2860,TRAOPE!$A:$W,23,0)),"")</f>
        <v/>
      </c>
      <c r="S2860" s="10">
        <f>IF(AND(P2860="TN",R2860="TN"),N2860+N(O2860),IF(G2860&amp;""="1",N(K2860)*N2860,(N2860+N(O2860))*N(K2860)))</f>
        <v/>
      </c>
      <c r="T2860" s="10">
        <f>IF(Q2860="","",Q2860-S2860)</f>
        <v/>
      </c>
    </row>
    <row r="2861">
      <c r="A2861" s="7">
        <f>CONCATENATE(C2861,E2861,F2861,I2861)</f>
        <v/>
      </c>
      <c r="B2861" s="7">
        <f>CONCATENATE(C2861,E2861,I2861)</f>
        <v/>
      </c>
      <c r="C2861" s="8" t="n">
        <v>900003588</v>
      </c>
      <c r="D2861" s="7">
        <f>IFERROR(VLOOKUP(C2861,TRAOPE!$G:$H,2,0),"")</f>
        <v/>
      </c>
      <c r="E2861" s="8" t="inlineStr">
        <is>
          <t>D836</t>
        </is>
      </c>
      <c r="F2861" s="8" t="inlineStr">
        <is>
          <t>66433509</t>
        </is>
      </c>
      <c r="G2861" s="8">
        <f>IFERROR(VLOOKUP(A2861,Flete!$A:$E,5,0),"")</f>
        <v/>
      </c>
      <c r="H2861" s="7">
        <f>IFERROR(VLOOKUP(F2861,TRAOPE!$AA:$AB,2,0),"")</f>
        <v/>
      </c>
      <c r="I2861" s="7" t="n">
        <v>10001354</v>
      </c>
      <c r="J2861" s="7">
        <f>IFERROR(VLOOKUP(I2861,Materiales!$A:$H,8,0),"")</f>
        <v/>
      </c>
      <c r="K2861" s="9">
        <f>IFERROR(VLOOKUP(I2861,Materiales!$A:$G,7,0),"")</f>
        <v/>
      </c>
      <c r="L2861" s="8" t="inlineStr">
        <is>
          <t>20250505</t>
        </is>
      </c>
      <c r="M2861" s="8" t="inlineStr">
        <is>
          <t>20250507</t>
        </is>
      </c>
      <c r="N2861" s="10" t="n">
        <v>129</v>
      </c>
      <c r="O2861" s="10">
        <f>IFERROR(VLOOKUP(A2861,Flete!$A:$J,10,0),"")</f>
        <v/>
      </c>
      <c r="P2861" s="8" t="inlineStr">
        <is>
          <t>TN</t>
        </is>
      </c>
      <c r="Q2861" s="10">
        <f>IFERROR(IFERROR(VLOOKUP(A2861,TRAOPE!$A:$U,21,0),VLOOKUP(B2861,TRAOPE!$A:$U,21,0)),"")</f>
        <v/>
      </c>
      <c r="R2861" s="8">
        <f>IFERROR(IFERROR(VLOOKUP(A2861,TRAOPE!$A:$W,23,0),VLOOKUP(B2861,TRAOPE!$A:$W,23,0)),"")</f>
        <v/>
      </c>
      <c r="S2861" s="10">
        <f>IF(AND(P2861="TN",R2861="TN"),N2861+N(O2861),IF(G2861&amp;""="1",N(K2861)*N2861,(N2861+N(O2861))*N(K2861)))</f>
        <v/>
      </c>
      <c r="T2861" s="10">
        <f>IF(Q2861="","",Q2861-S2861)</f>
        <v/>
      </c>
    </row>
    <row r="2862">
      <c r="A2862" s="7">
        <f>CONCATENATE(C2862,E2862,F2862,I2862)</f>
        <v/>
      </c>
      <c r="B2862" s="7">
        <f>CONCATENATE(C2862,E2862,I2862)</f>
        <v/>
      </c>
      <c r="C2862" s="8" t="n">
        <v>900003588</v>
      </c>
      <c r="D2862" s="7">
        <f>IFERROR(VLOOKUP(C2862,TRAOPE!$G:$H,2,0),"")</f>
        <v/>
      </c>
      <c r="E2862" s="8" t="inlineStr">
        <is>
          <t>D836</t>
        </is>
      </c>
      <c r="F2862" s="8" t="inlineStr">
        <is>
          <t>66825797</t>
        </is>
      </c>
      <c r="G2862" s="8">
        <f>IFERROR(VLOOKUP(A2862,Flete!$A:$E,5,0),"")</f>
        <v/>
      </c>
      <c r="H2862" s="7">
        <f>IFERROR(VLOOKUP(F2862,TRAOPE!$AA:$AB,2,0),"")</f>
        <v/>
      </c>
      <c r="I2862" s="7" t="n">
        <v>10000140</v>
      </c>
      <c r="J2862" s="7">
        <f>IFERROR(VLOOKUP(I2862,Materiales!$A:$H,8,0),"")</f>
        <v/>
      </c>
      <c r="K2862" s="9">
        <f>IFERROR(VLOOKUP(I2862,Materiales!$A:$G,7,0),"")</f>
        <v/>
      </c>
      <c r="L2862" s="8" t="inlineStr">
        <is>
          <t>20240813</t>
        </is>
      </c>
      <c r="M2862" s="8" t="inlineStr">
        <is>
          <t>20241108</t>
        </is>
      </c>
      <c r="N2862" s="10" t="n">
        <v>150</v>
      </c>
      <c r="O2862" s="10">
        <f>IFERROR(VLOOKUP(A2862,Flete!$A:$J,10,0),"")</f>
        <v/>
      </c>
      <c r="P2862" s="8" t="inlineStr">
        <is>
          <t>TN</t>
        </is>
      </c>
      <c r="Q2862" s="10">
        <f>IFERROR(IFERROR(VLOOKUP(A2862,TRAOPE!$A:$U,21,0),VLOOKUP(B2862,TRAOPE!$A:$U,21,0)),"")</f>
        <v/>
      </c>
      <c r="R2862" s="8">
        <f>IFERROR(IFERROR(VLOOKUP(A2862,TRAOPE!$A:$W,23,0),VLOOKUP(B2862,TRAOPE!$A:$W,23,0)),"")</f>
        <v/>
      </c>
      <c r="S2862" s="10">
        <f>IF(AND(P2862="TN",R2862="TN"),N2862+N(O2862),IF(G2862&amp;""="1",N(K2862)*N2862,(N2862+N(O2862))*N(K2862)))</f>
        <v/>
      </c>
      <c r="T2862" s="10">
        <f>IF(Q2862="","",Q2862-S2862)</f>
        <v/>
      </c>
    </row>
    <row r="2863">
      <c r="A2863" s="7">
        <f>CONCATENATE(C2863,E2863,F2863,I2863)</f>
        <v/>
      </c>
      <c r="B2863" s="7">
        <f>CONCATENATE(C2863,E2863,I2863)</f>
        <v/>
      </c>
      <c r="C2863" s="8" t="n">
        <v>900003588</v>
      </c>
      <c r="D2863" s="7">
        <f>IFERROR(VLOOKUP(C2863,TRAOPE!$G:$H,2,0),"")</f>
        <v/>
      </c>
      <c r="E2863" s="8" t="inlineStr">
        <is>
          <t>D836</t>
        </is>
      </c>
      <c r="F2863" s="8" t="inlineStr">
        <is>
          <t>66825797</t>
        </is>
      </c>
      <c r="G2863" s="8">
        <f>IFERROR(VLOOKUP(A2863,Flete!$A:$E,5,0),"")</f>
        <v/>
      </c>
      <c r="H2863" s="7">
        <f>IFERROR(VLOOKUP(F2863,TRAOPE!$AA:$AB,2,0),"")</f>
        <v/>
      </c>
      <c r="I2863" s="7" t="n">
        <v>10000357</v>
      </c>
      <c r="J2863" s="7">
        <f>IFERROR(VLOOKUP(I2863,Materiales!$A:$H,8,0),"")</f>
        <v/>
      </c>
      <c r="K2863" s="9">
        <f>IFERROR(VLOOKUP(I2863,Materiales!$A:$G,7,0),"")</f>
        <v/>
      </c>
      <c r="L2863" s="8" t="inlineStr">
        <is>
          <t>20250505</t>
        </is>
      </c>
      <c r="M2863" s="8" t="inlineStr">
        <is>
          <t>20250507</t>
        </is>
      </c>
      <c r="N2863" s="10" t="n">
        <v>90</v>
      </c>
      <c r="O2863" s="10">
        <f>IFERROR(VLOOKUP(A2863,Flete!$A:$J,10,0),"")</f>
        <v/>
      </c>
      <c r="P2863" s="8" t="inlineStr">
        <is>
          <t>TN</t>
        </is>
      </c>
      <c r="Q2863" s="10">
        <f>IFERROR(IFERROR(VLOOKUP(A2863,TRAOPE!$A:$U,21,0),VLOOKUP(B2863,TRAOPE!$A:$U,21,0)),"")</f>
        <v/>
      </c>
      <c r="R2863" s="8">
        <f>IFERROR(IFERROR(VLOOKUP(A2863,TRAOPE!$A:$W,23,0),VLOOKUP(B2863,TRAOPE!$A:$W,23,0)),"")</f>
        <v/>
      </c>
      <c r="S2863" s="10">
        <f>IF(AND(P2863="TN",R2863="TN"),N2863+N(O2863),IF(G2863&amp;""="1",N(K2863)*N2863,(N2863+N(O2863))*N(K2863)))</f>
        <v/>
      </c>
      <c r="T2863" s="10">
        <f>IF(Q2863="","",Q2863-S2863)</f>
        <v/>
      </c>
    </row>
    <row r="2864">
      <c r="A2864" s="7">
        <f>CONCATENATE(C2864,E2864,F2864,I2864)</f>
        <v/>
      </c>
      <c r="B2864" s="7">
        <f>CONCATENATE(C2864,E2864,I2864)</f>
        <v/>
      </c>
      <c r="C2864" s="8" t="n">
        <v>900003588</v>
      </c>
      <c r="D2864" s="7">
        <f>IFERROR(VLOOKUP(C2864,TRAOPE!$G:$H,2,0),"")</f>
        <v/>
      </c>
      <c r="E2864" s="8" t="inlineStr">
        <is>
          <t>D836</t>
        </is>
      </c>
      <c r="F2864" s="8" t="inlineStr">
        <is>
          <t>66825797</t>
        </is>
      </c>
      <c r="G2864" s="8">
        <f>IFERROR(VLOOKUP(A2864,Flete!$A:$E,5,0),"")</f>
        <v/>
      </c>
      <c r="H2864" s="7">
        <f>IFERROR(VLOOKUP(F2864,TRAOPE!$AA:$AB,2,0),"")</f>
        <v/>
      </c>
      <c r="I2864" s="7" t="n">
        <v>10000625</v>
      </c>
      <c r="J2864" s="7">
        <f>IFERROR(VLOOKUP(I2864,Materiales!$A:$H,8,0),"")</f>
        <v/>
      </c>
      <c r="K2864" s="9">
        <f>IFERROR(VLOOKUP(I2864,Materiales!$A:$G,7,0),"")</f>
        <v/>
      </c>
      <c r="L2864" s="8" t="inlineStr">
        <is>
          <t>20250505</t>
        </is>
      </c>
      <c r="M2864" s="8" t="inlineStr">
        <is>
          <t>20250507</t>
        </is>
      </c>
      <c r="N2864" s="10" t="n">
        <v>55</v>
      </c>
      <c r="O2864" s="10">
        <f>IFERROR(VLOOKUP(A2864,Flete!$A:$J,10,0),"")</f>
        <v/>
      </c>
      <c r="P2864" s="8" t="inlineStr">
        <is>
          <t>TN</t>
        </is>
      </c>
      <c r="Q2864" s="10">
        <f>IFERROR(IFERROR(VLOOKUP(A2864,TRAOPE!$A:$U,21,0),VLOOKUP(B2864,TRAOPE!$A:$U,21,0)),"")</f>
        <v/>
      </c>
      <c r="R2864" s="8">
        <f>IFERROR(IFERROR(VLOOKUP(A2864,TRAOPE!$A:$W,23,0),VLOOKUP(B2864,TRAOPE!$A:$W,23,0)),"")</f>
        <v/>
      </c>
      <c r="S2864" s="10">
        <f>IF(AND(P2864="TN",R2864="TN"),N2864+N(O2864),IF(G2864&amp;""="1",N(K2864)*N2864,(N2864+N(O2864))*N(K2864)))</f>
        <v/>
      </c>
      <c r="T2864" s="10">
        <f>IF(Q2864="","",Q2864-S2864)</f>
        <v/>
      </c>
    </row>
    <row r="2865">
      <c r="A2865" s="7">
        <f>CONCATENATE(C2865,E2865,F2865,I2865)</f>
        <v/>
      </c>
      <c r="B2865" s="7">
        <f>CONCATENATE(C2865,E2865,I2865)</f>
        <v/>
      </c>
      <c r="C2865" s="8" t="n">
        <v>900003588</v>
      </c>
      <c r="D2865" s="7">
        <f>IFERROR(VLOOKUP(C2865,TRAOPE!$G:$H,2,0),"")</f>
        <v/>
      </c>
      <c r="E2865" s="8" t="inlineStr">
        <is>
          <t>D836</t>
        </is>
      </c>
      <c r="F2865" s="8" t="inlineStr">
        <is>
          <t>66825797</t>
        </is>
      </c>
      <c r="G2865" s="8">
        <f>IFERROR(VLOOKUP(A2865,Flete!$A:$E,5,0),"")</f>
        <v/>
      </c>
      <c r="H2865" s="7">
        <f>IFERROR(VLOOKUP(F2865,TRAOPE!$AA:$AB,2,0),"")</f>
        <v/>
      </c>
      <c r="I2865" s="7" t="n">
        <v>10000627</v>
      </c>
      <c r="J2865" s="7">
        <f>IFERROR(VLOOKUP(I2865,Materiales!$A:$H,8,0),"")</f>
        <v/>
      </c>
      <c r="K2865" s="9">
        <f>IFERROR(VLOOKUP(I2865,Materiales!$A:$G,7,0),"")</f>
        <v/>
      </c>
      <c r="L2865" s="8" t="inlineStr">
        <is>
          <t>20250505</t>
        </is>
      </c>
      <c r="M2865" s="8" t="inlineStr">
        <is>
          <t>20250507</t>
        </is>
      </c>
      <c r="N2865" s="10" t="n">
        <v>65</v>
      </c>
      <c r="O2865" s="10">
        <f>IFERROR(VLOOKUP(A2865,Flete!$A:$J,10,0),"")</f>
        <v/>
      </c>
      <c r="P2865" s="8" t="inlineStr">
        <is>
          <t>TN</t>
        </is>
      </c>
      <c r="Q2865" s="10">
        <f>IFERROR(IFERROR(VLOOKUP(A2865,TRAOPE!$A:$U,21,0),VLOOKUP(B2865,TRAOPE!$A:$U,21,0)),"")</f>
        <v/>
      </c>
      <c r="R2865" s="8">
        <f>IFERROR(IFERROR(VLOOKUP(A2865,TRAOPE!$A:$W,23,0),VLOOKUP(B2865,TRAOPE!$A:$W,23,0)),"")</f>
        <v/>
      </c>
      <c r="S2865" s="10">
        <f>IF(AND(P2865="TN",R2865="TN"),N2865+N(O2865),IF(G2865&amp;""="1",N(K2865)*N2865,(N2865+N(O2865))*N(K2865)))</f>
        <v/>
      </c>
      <c r="T2865" s="10">
        <f>IF(Q2865="","",Q2865-S2865)</f>
        <v/>
      </c>
    </row>
    <row r="2866">
      <c r="A2866" s="7">
        <f>CONCATENATE(C2866,E2866,F2866,I2866)</f>
        <v/>
      </c>
      <c r="B2866" s="7">
        <f>CONCATENATE(C2866,E2866,I2866)</f>
        <v/>
      </c>
      <c r="C2866" s="8" t="n">
        <v>900003588</v>
      </c>
      <c r="D2866" s="7">
        <f>IFERROR(VLOOKUP(C2866,TRAOPE!$G:$H,2,0),"")</f>
        <v/>
      </c>
      <c r="E2866" s="8" t="inlineStr">
        <is>
          <t>D836</t>
        </is>
      </c>
      <c r="F2866" s="8" t="inlineStr">
        <is>
          <t>66825797</t>
        </is>
      </c>
      <c r="G2866" s="8">
        <f>IFERROR(VLOOKUP(A2866,Flete!$A:$E,5,0),"")</f>
        <v/>
      </c>
      <c r="H2866" s="7">
        <f>IFERROR(VLOOKUP(F2866,TRAOPE!$AA:$AB,2,0),"")</f>
        <v/>
      </c>
      <c r="I2866" s="7" t="n">
        <v>10001354</v>
      </c>
      <c r="J2866" s="7">
        <f>IFERROR(VLOOKUP(I2866,Materiales!$A:$H,8,0),"")</f>
        <v/>
      </c>
      <c r="K2866" s="9">
        <f>IFERROR(VLOOKUP(I2866,Materiales!$A:$G,7,0),"")</f>
        <v/>
      </c>
      <c r="L2866" s="8" t="inlineStr">
        <is>
          <t>20250505</t>
        </is>
      </c>
      <c r="M2866" s="8" t="inlineStr">
        <is>
          <t>20250507</t>
        </is>
      </c>
      <c r="N2866" s="10" t="n">
        <v>129</v>
      </c>
      <c r="O2866" s="10">
        <f>IFERROR(VLOOKUP(A2866,Flete!$A:$J,10,0),"")</f>
        <v/>
      </c>
      <c r="P2866" s="8" t="inlineStr">
        <is>
          <t>TN</t>
        </is>
      </c>
      <c r="Q2866" s="10">
        <f>IFERROR(IFERROR(VLOOKUP(A2866,TRAOPE!$A:$U,21,0),VLOOKUP(B2866,TRAOPE!$A:$U,21,0)),"")</f>
        <v/>
      </c>
      <c r="R2866" s="8">
        <f>IFERROR(IFERROR(VLOOKUP(A2866,TRAOPE!$A:$W,23,0),VLOOKUP(B2866,TRAOPE!$A:$W,23,0)),"")</f>
        <v/>
      </c>
      <c r="S2866" s="10">
        <f>IF(AND(P2866="TN",R2866="TN"),N2866+N(O2866),IF(G2866&amp;""="1",N(K2866)*N2866,(N2866+N(O2866))*N(K2866)))</f>
        <v/>
      </c>
      <c r="T2866" s="10">
        <f>IF(Q2866="","",Q2866-S2866)</f>
        <v/>
      </c>
    </row>
    <row r="2867">
      <c r="A2867" s="7">
        <f>CONCATENATE(C2867,E2867,F2867,I2867)</f>
        <v/>
      </c>
      <c r="B2867" s="7">
        <f>CONCATENATE(C2867,E2867,I2867)</f>
        <v/>
      </c>
      <c r="C2867" s="8" t="n">
        <v>900003588</v>
      </c>
      <c r="D2867" s="7">
        <f>IFERROR(VLOOKUP(C2867,TRAOPE!$G:$H,2,0),"")</f>
        <v/>
      </c>
      <c r="E2867" s="8" t="inlineStr">
        <is>
          <t>D836</t>
        </is>
      </c>
      <c r="F2867" s="8" t="inlineStr">
        <is>
          <t>66825797</t>
        </is>
      </c>
      <c r="G2867" s="8">
        <f>IFERROR(VLOOKUP(A2867,Flete!$A:$E,5,0),"")</f>
        <v/>
      </c>
      <c r="H2867" s="7">
        <f>IFERROR(VLOOKUP(F2867,TRAOPE!$AA:$AB,2,0),"")</f>
        <v/>
      </c>
      <c r="I2867" s="7" t="n">
        <v>10003132</v>
      </c>
      <c r="J2867" s="7">
        <f>IFERROR(VLOOKUP(I2867,Materiales!$A:$H,8,0),"")</f>
        <v/>
      </c>
      <c r="K2867" s="9">
        <f>IFERROR(VLOOKUP(I2867,Materiales!$A:$G,7,0),"")</f>
        <v/>
      </c>
      <c r="L2867" s="8" t="inlineStr">
        <is>
          <t>20250505</t>
        </is>
      </c>
      <c r="M2867" s="8" t="inlineStr">
        <is>
          <t>20250507</t>
        </is>
      </c>
      <c r="N2867" s="10" t="n">
        <v>145</v>
      </c>
      <c r="O2867" s="10">
        <f>IFERROR(VLOOKUP(A2867,Flete!$A:$J,10,0),"")</f>
        <v/>
      </c>
      <c r="P2867" s="8" t="inlineStr">
        <is>
          <t>TN</t>
        </is>
      </c>
      <c r="Q2867" s="10">
        <f>IFERROR(IFERROR(VLOOKUP(A2867,TRAOPE!$A:$U,21,0),VLOOKUP(B2867,TRAOPE!$A:$U,21,0)),"")</f>
        <v/>
      </c>
      <c r="R2867" s="8">
        <f>IFERROR(IFERROR(VLOOKUP(A2867,TRAOPE!$A:$W,23,0),VLOOKUP(B2867,TRAOPE!$A:$W,23,0)),"")</f>
        <v/>
      </c>
      <c r="S2867" s="10">
        <f>IF(AND(P2867="TN",R2867="TN"),N2867+N(O2867),IF(G2867&amp;""="1",N(K2867)*N2867,(N2867+N(O2867))*N(K2867)))</f>
        <v/>
      </c>
      <c r="T2867" s="10">
        <f>IF(Q2867="","",Q2867-S2867)</f>
        <v/>
      </c>
    </row>
    <row r="2868">
      <c r="A2868" s="7">
        <f>CONCATENATE(C2868,E2868,F2868,I2868)</f>
        <v/>
      </c>
      <c r="B2868" s="7">
        <f>CONCATENATE(C2868,E2868,I2868)</f>
        <v/>
      </c>
      <c r="C2868" s="8" t="n">
        <v>900003588</v>
      </c>
      <c r="D2868" s="7">
        <f>IFERROR(VLOOKUP(C2868,TRAOPE!$G:$H,2,0),"")</f>
        <v/>
      </c>
      <c r="E2868" s="8" t="inlineStr">
        <is>
          <t>D836</t>
        </is>
      </c>
      <c r="F2868" s="8" t="inlineStr">
        <is>
          <t>67244591</t>
        </is>
      </c>
      <c r="G2868" s="8">
        <f>IFERROR(VLOOKUP(A2868,Flete!$A:$E,5,0),"")</f>
        <v/>
      </c>
      <c r="H2868" s="7">
        <f>IFERROR(VLOOKUP(F2868,TRAOPE!$AA:$AB,2,0),"")</f>
        <v/>
      </c>
      <c r="I2868" s="7" t="n">
        <v>10000625</v>
      </c>
      <c r="J2868" s="7">
        <f>IFERROR(VLOOKUP(I2868,Materiales!$A:$H,8,0),"")</f>
        <v/>
      </c>
      <c r="K2868" s="9">
        <f>IFERROR(VLOOKUP(I2868,Materiales!$A:$G,7,0),"")</f>
        <v/>
      </c>
      <c r="L2868" s="8" t="inlineStr">
        <is>
          <t>20240813</t>
        </is>
      </c>
      <c r="M2868" s="8" t="inlineStr">
        <is>
          <t>20241108</t>
        </is>
      </c>
      <c r="N2868" s="10" t="n">
        <v>55</v>
      </c>
      <c r="O2868" s="10">
        <f>IFERROR(VLOOKUP(A2868,Flete!$A:$J,10,0),"")</f>
        <v/>
      </c>
      <c r="P2868" s="8" t="inlineStr">
        <is>
          <t>TN</t>
        </is>
      </c>
      <c r="Q2868" s="10">
        <f>IFERROR(IFERROR(VLOOKUP(A2868,TRAOPE!$A:$U,21,0),VLOOKUP(B2868,TRAOPE!$A:$U,21,0)),"")</f>
        <v/>
      </c>
      <c r="R2868" s="8">
        <f>IFERROR(IFERROR(VLOOKUP(A2868,TRAOPE!$A:$W,23,0),VLOOKUP(B2868,TRAOPE!$A:$W,23,0)),"")</f>
        <v/>
      </c>
      <c r="S2868" s="10">
        <f>IF(AND(P2868="TN",R2868="TN"),N2868+N(O2868),IF(G2868&amp;""="1",N(K2868)*N2868,(N2868+N(O2868))*N(K2868)))</f>
        <v/>
      </c>
      <c r="T2868" s="10">
        <f>IF(Q2868="","",Q2868-S2868)</f>
        <v/>
      </c>
    </row>
    <row r="2869">
      <c r="A2869" s="7">
        <f>CONCATENATE(C2869,E2869,F2869,I2869)</f>
        <v/>
      </c>
      <c r="B2869" s="7">
        <f>CONCATENATE(C2869,E2869,I2869)</f>
        <v/>
      </c>
      <c r="C2869" s="8" t="n">
        <v>900003588</v>
      </c>
      <c r="D2869" s="7">
        <f>IFERROR(VLOOKUP(C2869,TRAOPE!$G:$H,2,0),"")</f>
        <v/>
      </c>
      <c r="E2869" s="8" t="inlineStr">
        <is>
          <t>D836</t>
        </is>
      </c>
      <c r="F2869" s="8" t="inlineStr">
        <is>
          <t>67244591</t>
        </is>
      </c>
      <c r="G2869" s="8">
        <f>IFERROR(VLOOKUP(A2869,Flete!$A:$E,5,0),"")</f>
        <v/>
      </c>
      <c r="H2869" s="7">
        <f>IFERROR(VLOOKUP(F2869,TRAOPE!$AA:$AB,2,0),"")</f>
        <v/>
      </c>
      <c r="I2869" s="7" t="n">
        <v>10001354</v>
      </c>
      <c r="J2869" s="7">
        <f>IFERROR(VLOOKUP(I2869,Materiales!$A:$H,8,0),"")</f>
        <v/>
      </c>
      <c r="K2869" s="9">
        <f>IFERROR(VLOOKUP(I2869,Materiales!$A:$G,7,0),"")</f>
        <v/>
      </c>
      <c r="L2869" s="8" t="inlineStr">
        <is>
          <t>20240813</t>
        </is>
      </c>
      <c r="M2869" s="8" t="inlineStr">
        <is>
          <t>20241108</t>
        </is>
      </c>
      <c r="N2869" s="10" t="n">
        <v>133</v>
      </c>
      <c r="O2869" s="10">
        <f>IFERROR(VLOOKUP(A2869,Flete!$A:$J,10,0),"")</f>
        <v/>
      </c>
      <c r="P2869" s="8" t="inlineStr">
        <is>
          <t>TN</t>
        </is>
      </c>
      <c r="Q2869" s="10">
        <f>IFERROR(IFERROR(VLOOKUP(A2869,TRAOPE!$A:$U,21,0),VLOOKUP(B2869,TRAOPE!$A:$U,21,0)),"")</f>
        <v/>
      </c>
      <c r="R2869" s="8">
        <f>IFERROR(IFERROR(VLOOKUP(A2869,TRAOPE!$A:$W,23,0),VLOOKUP(B2869,TRAOPE!$A:$W,23,0)),"")</f>
        <v/>
      </c>
      <c r="S2869" s="10">
        <f>IF(AND(P2869="TN",R2869="TN"),N2869+N(O2869),IF(G2869&amp;""="1",N(K2869)*N2869,(N2869+N(O2869))*N(K2869)))</f>
        <v/>
      </c>
      <c r="T2869" s="10">
        <f>IF(Q2869="","",Q2869-S2869)</f>
        <v/>
      </c>
    </row>
    <row r="2870">
      <c r="A2870" s="7">
        <f>CONCATENATE(C2870,E2870,F2870,I2870)</f>
        <v/>
      </c>
      <c r="B2870" s="7">
        <f>CONCATENATE(C2870,E2870,I2870)</f>
        <v/>
      </c>
      <c r="C2870" s="8" t="n">
        <v>900003588</v>
      </c>
      <c r="D2870" s="7">
        <f>IFERROR(VLOOKUP(C2870,TRAOPE!$G:$H,2,0),"")</f>
        <v/>
      </c>
      <c r="E2870" s="8" t="inlineStr">
        <is>
          <t>D836</t>
        </is>
      </c>
      <c r="F2870" s="8" t="inlineStr">
        <is>
          <t>67247435</t>
        </is>
      </c>
      <c r="G2870" s="8">
        <f>IFERROR(VLOOKUP(A2870,Flete!$A:$E,5,0),"")</f>
        <v/>
      </c>
      <c r="H2870" s="7">
        <f>IFERROR(VLOOKUP(F2870,TRAOPE!$AA:$AB,2,0),"")</f>
        <v/>
      </c>
      <c r="I2870" s="7" t="n">
        <v>10000625</v>
      </c>
      <c r="J2870" s="7">
        <f>IFERROR(VLOOKUP(I2870,Materiales!$A:$H,8,0),"")</f>
        <v/>
      </c>
      <c r="K2870" s="9">
        <f>IFERROR(VLOOKUP(I2870,Materiales!$A:$G,7,0),"")</f>
        <v/>
      </c>
      <c r="L2870" s="8" t="inlineStr">
        <is>
          <t>20240425</t>
        </is>
      </c>
      <c r="M2870" s="8" t="inlineStr">
        <is>
          <t>20240814</t>
        </is>
      </c>
      <c r="N2870" s="10" t="n">
        <v>55</v>
      </c>
      <c r="O2870" s="10">
        <f>IFERROR(VLOOKUP(A2870,Flete!$A:$J,10,0),"")</f>
        <v/>
      </c>
      <c r="P2870" s="8" t="inlineStr">
        <is>
          <t>TN</t>
        </is>
      </c>
      <c r="Q2870" s="10">
        <f>IFERROR(IFERROR(VLOOKUP(A2870,TRAOPE!$A:$U,21,0),VLOOKUP(B2870,TRAOPE!$A:$U,21,0)),"")</f>
        <v/>
      </c>
      <c r="R2870" s="8">
        <f>IFERROR(IFERROR(VLOOKUP(A2870,TRAOPE!$A:$W,23,0),VLOOKUP(B2870,TRAOPE!$A:$W,23,0)),"")</f>
        <v/>
      </c>
      <c r="S2870" s="10">
        <f>IF(AND(P2870="TN",R2870="TN"),N2870+N(O2870),IF(G2870&amp;""="1",N(K2870)*N2870,(N2870+N(O2870))*N(K2870)))</f>
        <v/>
      </c>
      <c r="T2870" s="10">
        <f>IF(Q2870="","",Q2870-S2870)</f>
        <v/>
      </c>
    </row>
    <row r="2871">
      <c r="A2871" s="7">
        <f>CONCATENATE(C2871,E2871,F2871,I2871)</f>
        <v/>
      </c>
      <c r="B2871" s="7">
        <f>CONCATENATE(C2871,E2871,I2871)</f>
        <v/>
      </c>
      <c r="C2871" s="8" t="n">
        <v>900003588</v>
      </c>
      <c r="D2871" s="7">
        <f>IFERROR(VLOOKUP(C2871,TRAOPE!$G:$H,2,0),"")</f>
        <v/>
      </c>
      <c r="E2871" s="8" t="inlineStr">
        <is>
          <t>D836</t>
        </is>
      </c>
      <c r="F2871" s="8" t="inlineStr">
        <is>
          <t>67247435</t>
        </is>
      </c>
      <c r="G2871" s="8">
        <f>IFERROR(VLOOKUP(A2871,Flete!$A:$E,5,0),"")</f>
        <v/>
      </c>
      <c r="H2871" s="7">
        <f>IFERROR(VLOOKUP(F2871,TRAOPE!$AA:$AB,2,0),"")</f>
        <v/>
      </c>
      <c r="I2871" s="7" t="n">
        <v>10000627</v>
      </c>
      <c r="J2871" s="7">
        <f>IFERROR(VLOOKUP(I2871,Materiales!$A:$H,8,0),"")</f>
        <v/>
      </c>
      <c r="K2871" s="9">
        <f>IFERROR(VLOOKUP(I2871,Materiales!$A:$G,7,0),"")</f>
        <v/>
      </c>
      <c r="L2871" s="8" t="inlineStr">
        <is>
          <t>20240425</t>
        </is>
      </c>
      <c r="M2871" s="8" t="inlineStr">
        <is>
          <t>20240814</t>
        </is>
      </c>
      <c r="N2871" s="10" t="n">
        <v>80</v>
      </c>
      <c r="O2871" s="10">
        <f>IFERROR(VLOOKUP(A2871,Flete!$A:$J,10,0),"")</f>
        <v/>
      </c>
      <c r="P2871" s="8" t="inlineStr">
        <is>
          <t>TN</t>
        </is>
      </c>
      <c r="Q2871" s="10">
        <f>IFERROR(IFERROR(VLOOKUP(A2871,TRAOPE!$A:$U,21,0),VLOOKUP(B2871,TRAOPE!$A:$U,21,0)),"")</f>
        <v/>
      </c>
      <c r="R2871" s="8">
        <f>IFERROR(IFERROR(VLOOKUP(A2871,TRAOPE!$A:$W,23,0),VLOOKUP(B2871,TRAOPE!$A:$W,23,0)),"")</f>
        <v/>
      </c>
      <c r="S2871" s="10">
        <f>IF(AND(P2871="TN",R2871="TN"),N2871+N(O2871),IF(G2871&amp;""="1",N(K2871)*N2871,(N2871+N(O2871))*N(K2871)))</f>
        <v/>
      </c>
      <c r="T2871" s="10">
        <f>IF(Q2871="","",Q2871-S2871)</f>
        <v/>
      </c>
    </row>
    <row r="2872">
      <c r="A2872" s="7">
        <f>CONCATENATE(C2872,E2872,F2872,I2872)</f>
        <v/>
      </c>
      <c r="B2872" s="7">
        <f>CONCATENATE(C2872,E2872,I2872)</f>
        <v/>
      </c>
      <c r="C2872" s="8" t="n">
        <v>900003588</v>
      </c>
      <c r="D2872" s="7">
        <f>IFERROR(VLOOKUP(C2872,TRAOPE!$G:$H,2,0),"")</f>
        <v/>
      </c>
      <c r="E2872" s="8" t="inlineStr">
        <is>
          <t>D836</t>
        </is>
      </c>
      <c r="F2872" s="8" t="inlineStr">
        <is>
          <t>67284713</t>
        </is>
      </c>
      <c r="G2872" s="8">
        <f>IFERROR(VLOOKUP(A2872,Flete!$A:$E,5,0),"")</f>
        <v/>
      </c>
      <c r="H2872" s="7">
        <f>IFERROR(VLOOKUP(F2872,TRAOPE!$AA:$AB,2,0),"")</f>
        <v/>
      </c>
      <c r="I2872" s="7" t="n">
        <v>10000625</v>
      </c>
      <c r="J2872" s="7">
        <f>IFERROR(VLOOKUP(I2872,Materiales!$A:$H,8,0),"")</f>
        <v/>
      </c>
      <c r="K2872" s="9">
        <f>IFERROR(VLOOKUP(I2872,Materiales!$A:$G,7,0),"")</f>
        <v/>
      </c>
      <c r="L2872" s="8" t="inlineStr">
        <is>
          <t>20240813</t>
        </is>
      </c>
      <c r="M2872" s="8" t="inlineStr">
        <is>
          <t>20241108</t>
        </is>
      </c>
      <c r="N2872" s="10" t="n">
        <v>55</v>
      </c>
      <c r="O2872" s="10">
        <f>IFERROR(VLOOKUP(A2872,Flete!$A:$J,10,0),"")</f>
        <v/>
      </c>
      <c r="P2872" s="8" t="inlineStr">
        <is>
          <t>TN</t>
        </is>
      </c>
      <c r="Q2872" s="10">
        <f>IFERROR(IFERROR(VLOOKUP(A2872,TRAOPE!$A:$U,21,0),VLOOKUP(B2872,TRAOPE!$A:$U,21,0)),"")</f>
        <v/>
      </c>
      <c r="R2872" s="8">
        <f>IFERROR(IFERROR(VLOOKUP(A2872,TRAOPE!$A:$W,23,0),VLOOKUP(B2872,TRAOPE!$A:$W,23,0)),"")</f>
        <v/>
      </c>
      <c r="S2872" s="10">
        <f>IF(AND(P2872="TN",R2872="TN"),N2872+N(O2872),IF(G2872&amp;""="1",N(K2872)*N2872,(N2872+N(O2872))*N(K2872)))</f>
        <v/>
      </c>
      <c r="T2872" s="10">
        <f>IF(Q2872="","",Q2872-S2872)</f>
        <v/>
      </c>
    </row>
    <row r="2873">
      <c r="A2873" s="7">
        <f>CONCATENATE(C2873,E2873,F2873,I2873)</f>
        <v/>
      </c>
      <c r="B2873" s="7">
        <f>CONCATENATE(C2873,E2873,I2873)</f>
        <v/>
      </c>
      <c r="C2873" s="8" t="n">
        <v>900003593</v>
      </c>
      <c r="D2873" s="7">
        <f>IFERROR(VLOOKUP(C2873,TRAOPE!$G:$H,2,0),"")</f>
        <v/>
      </c>
      <c r="E2873" s="8" t="inlineStr">
        <is>
          <t>D836</t>
        </is>
      </c>
      <c r="F2873" s="8" t="inlineStr">
        <is>
          <t>65232687</t>
        </is>
      </c>
      <c r="G2873" s="8">
        <f>IFERROR(VLOOKUP(A2873,Flete!$A:$E,5,0),"")</f>
        <v/>
      </c>
      <c r="H2873" s="7">
        <f>IFERROR(VLOOKUP(F2873,TRAOPE!$AA:$AB,2,0),"")</f>
        <v/>
      </c>
      <c r="I2873" s="7" t="n">
        <v>10000160</v>
      </c>
      <c r="J2873" s="7">
        <f>IFERROR(VLOOKUP(I2873,Materiales!$A:$H,8,0),"")</f>
        <v/>
      </c>
      <c r="K2873" s="9">
        <f>IFERROR(VLOOKUP(I2873,Materiales!$A:$G,7,0),"")</f>
        <v/>
      </c>
      <c r="L2873" s="8" t="inlineStr">
        <is>
          <t>20250505</t>
        </is>
      </c>
      <c r="M2873" s="8" t="inlineStr">
        <is>
          <t>20250507</t>
        </is>
      </c>
      <c r="N2873" s="10" t="n">
        <v>120</v>
      </c>
      <c r="O2873" s="10">
        <f>IFERROR(VLOOKUP(A2873,Flete!$A:$J,10,0),"")</f>
        <v/>
      </c>
      <c r="P2873" s="8" t="inlineStr">
        <is>
          <t>TN</t>
        </is>
      </c>
      <c r="Q2873" s="10">
        <f>IFERROR(IFERROR(VLOOKUP(A2873,TRAOPE!$A:$U,21,0),VLOOKUP(B2873,TRAOPE!$A:$U,21,0)),"")</f>
        <v/>
      </c>
      <c r="R2873" s="8">
        <f>IFERROR(IFERROR(VLOOKUP(A2873,TRAOPE!$A:$W,23,0),VLOOKUP(B2873,TRAOPE!$A:$W,23,0)),"")</f>
        <v/>
      </c>
      <c r="S2873" s="10">
        <f>IF(AND(P2873="TN",R2873="TN"),N2873+N(O2873),IF(G2873&amp;""="1",N(K2873)*N2873,(N2873+N(O2873))*N(K2873)))</f>
        <v/>
      </c>
      <c r="T2873" s="10">
        <f>IF(Q2873="","",Q2873-S2873)</f>
        <v/>
      </c>
    </row>
    <row r="2874">
      <c r="A2874" s="7">
        <f>CONCATENATE(C2874,E2874,F2874,I2874)</f>
        <v/>
      </c>
      <c r="B2874" s="7">
        <f>CONCATENATE(C2874,E2874,I2874)</f>
        <v/>
      </c>
      <c r="C2874" s="8" t="n">
        <v>900003593</v>
      </c>
      <c r="D2874" s="7">
        <f>IFERROR(VLOOKUP(C2874,TRAOPE!$G:$H,2,0),"")</f>
        <v/>
      </c>
      <c r="E2874" s="8" t="inlineStr">
        <is>
          <t>D836</t>
        </is>
      </c>
      <c r="F2874" s="8" t="inlineStr">
        <is>
          <t>67277158</t>
        </is>
      </c>
      <c r="G2874" s="8">
        <f>IFERROR(VLOOKUP(A2874,Flete!$A:$E,5,0),"")</f>
        <v/>
      </c>
      <c r="H2874" s="7">
        <f>IFERROR(VLOOKUP(F2874,TRAOPE!$AA:$AB,2,0),"")</f>
        <v/>
      </c>
      <c r="I2874" s="7" t="n">
        <v>10000160</v>
      </c>
      <c r="J2874" s="7">
        <f>IFERROR(VLOOKUP(I2874,Materiales!$A:$H,8,0),"")</f>
        <v/>
      </c>
      <c r="K2874" s="9">
        <f>IFERROR(VLOOKUP(I2874,Materiales!$A:$G,7,0),"")</f>
        <v/>
      </c>
      <c r="L2874" s="8" t="inlineStr">
        <is>
          <t>20250505</t>
        </is>
      </c>
      <c r="M2874" s="8" t="inlineStr">
        <is>
          <t>20250507</t>
        </is>
      </c>
      <c r="N2874" s="10" t="n">
        <v>120.68</v>
      </c>
      <c r="O2874" s="10">
        <f>IFERROR(VLOOKUP(A2874,Flete!$A:$J,10,0),"")</f>
        <v/>
      </c>
      <c r="P2874" s="8" t="inlineStr">
        <is>
          <t>M3</t>
        </is>
      </c>
      <c r="Q2874" s="10">
        <f>IFERROR(IFERROR(VLOOKUP(A2874,TRAOPE!$A:$U,21,0),VLOOKUP(B2874,TRAOPE!$A:$U,21,0)),"")</f>
        <v/>
      </c>
      <c r="R2874" s="8">
        <f>IFERROR(IFERROR(VLOOKUP(A2874,TRAOPE!$A:$W,23,0),VLOOKUP(B2874,TRAOPE!$A:$W,23,0)),"")</f>
        <v/>
      </c>
      <c r="S2874" s="10">
        <f>IF(AND(P2874="TN",R2874="TN"),N2874+N(O2874),IF(G2874&amp;""="1",N(K2874)*N2874,(N2874+N(O2874))*N(K2874)))</f>
        <v/>
      </c>
      <c r="T2874" s="10">
        <f>IF(Q2874="","",Q2874-S2874)</f>
        <v/>
      </c>
    </row>
    <row r="2875">
      <c r="A2875" s="7">
        <f>CONCATENATE(C2875,E2875,F2875,I2875)</f>
        <v/>
      </c>
      <c r="B2875" s="7">
        <f>CONCATENATE(C2875,E2875,I2875)</f>
        <v/>
      </c>
      <c r="C2875" s="8" t="n">
        <v>900003601</v>
      </c>
      <c r="D2875" s="7">
        <f>IFERROR(VLOOKUP(C2875,TRAOPE!$G:$H,2,0),"")</f>
        <v/>
      </c>
      <c r="E2875" s="8" t="inlineStr">
        <is>
          <t>D836</t>
        </is>
      </c>
      <c r="F2875" s="8" t="inlineStr">
        <is>
          <t>66233244</t>
        </is>
      </c>
      <c r="G2875" s="8">
        <f>IFERROR(VLOOKUP(A2875,Flete!$A:$E,5,0),"")</f>
        <v/>
      </c>
      <c r="H2875" s="7">
        <f>IFERROR(VLOOKUP(F2875,TRAOPE!$AA:$AB,2,0),"")</f>
        <v/>
      </c>
      <c r="I2875" s="7" t="n">
        <v>10000811</v>
      </c>
      <c r="J2875" s="7">
        <f>IFERROR(VLOOKUP(I2875,Materiales!$A:$H,8,0),"")</f>
        <v/>
      </c>
      <c r="K2875" s="9">
        <f>IFERROR(VLOOKUP(I2875,Materiales!$A:$G,7,0),"")</f>
        <v/>
      </c>
      <c r="L2875" s="8" t="inlineStr">
        <is>
          <t>20240425</t>
        </is>
      </c>
      <c r="M2875" s="8" t="inlineStr">
        <is>
          <t>20240814</t>
        </is>
      </c>
      <c r="N2875" s="10" t="n">
        <v>113.34</v>
      </c>
      <c r="O2875" s="10">
        <f>IFERROR(VLOOKUP(A2875,Flete!$A:$J,10,0),"")</f>
        <v/>
      </c>
      <c r="P2875" s="8" t="inlineStr">
        <is>
          <t>TN</t>
        </is>
      </c>
      <c r="Q2875" s="10">
        <f>IFERROR(IFERROR(VLOOKUP(A2875,TRAOPE!$A:$U,21,0),VLOOKUP(B2875,TRAOPE!$A:$U,21,0)),"")</f>
        <v/>
      </c>
      <c r="R2875" s="8">
        <f>IFERROR(IFERROR(VLOOKUP(A2875,TRAOPE!$A:$W,23,0),VLOOKUP(B2875,TRAOPE!$A:$W,23,0)),"")</f>
        <v/>
      </c>
      <c r="S2875" s="10">
        <f>IF(AND(P2875="TN",R2875="TN"),N2875+N(O2875),IF(G2875&amp;""="1",N(K2875)*N2875,(N2875+N(O2875))*N(K2875)))</f>
        <v/>
      </c>
      <c r="T2875" s="10">
        <f>IF(Q2875="","",Q2875-S2875)</f>
        <v/>
      </c>
    </row>
    <row r="2876">
      <c r="A2876" s="7">
        <f>CONCATENATE(C2876,E2876,F2876,I2876)</f>
        <v/>
      </c>
      <c r="B2876" s="7">
        <f>CONCATENATE(C2876,E2876,I2876)</f>
        <v/>
      </c>
      <c r="C2876" s="8" t="n">
        <v>900003601</v>
      </c>
      <c r="D2876" s="7">
        <f>IFERROR(VLOOKUP(C2876,TRAOPE!$G:$H,2,0),"")</f>
        <v/>
      </c>
      <c r="E2876" s="8" t="inlineStr">
        <is>
          <t>D836</t>
        </is>
      </c>
      <c r="F2876" s="8" t="inlineStr">
        <is>
          <t>66237142</t>
        </is>
      </c>
      <c r="G2876" s="8">
        <f>IFERROR(VLOOKUP(A2876,Flete!$A:$E,5,0),"")</f>
        <v/>
      </c>
      <c r="H2876" s="7">
        <f>IFERROR(VLOOKUP(F2876,TRAOPE!$AA:$AB,2,0),"")</f>
        <v/>
      </c>
      <c r="I2876" s="7" t="n">
        <v>10000811</v>
      </c>
      <c r="J2876" s="7">
        <f>IFERROR(VLOOKUP(I2876,Materiales!$A:$H,8,0),"")</f>
        <v/>
      </c>
      <c r="K2876" s="9">
        <f>IFERROR(VLOOKUP(I2876,Materiales!$A:$G,7,0),"")</f>
        <v/>
      </c>
      <c r="L2876" s="8" t="inlineStr">
        <is>
          <t>20240425</t>
        </is>
      </c>
      <c r="M2876" s="8" t="inlineStr">
        <is>
          <t>20240814</t>
        </is>
      </c>
      <c r="N2876" s="10" t="n">
        <v>116</v>
      </c>
      <c r="O2876" s="10">
        <f>IFERROR(VLOOKUP(A2876,Flete!$A:$J,10,0),"")</f>
        <v/>
      </c>
      <c r="P2876" s="8" t="inlineStr">
        <is>
          <t>TN</t>
        </is>
      </c>
      <c r="Q2876" s="10">
        <f>IFERROR(IFERROR(VLOOKUP(A2876,TRAOPE!$A:$U,21,0),VLOOKUP(B2876,TRAOPE!$A:$U,21,0)),"")</f>
        <v/>
      </c>
      <c r="R2876" s="8">
        <f>IFERROR(IFERROR(VLOOKUP(A2876,TRAOPE!$A:$W,23,0),VLOOKUP(B2876,TRAOPE!$A:$W,23,0)),"")</f>
        <v/>
      </c>
      <c r="S2876" s="10">
        <f>IF(AND(P2876="TN",R2876="TN"),N2876+N(O2876),IF(G2876&amp;""="1",N(K2876)*N2876,(N2876+N(O2876))*N(K2876)))</f>
        <v/>
      </c>
      <c r="T2876" s="10">
        <f>IF(Q2876="","",Q2876-S2876)</f>
        <v/>
      </c>
    </row>
    <row r="2877">
      <c r="A2877" s="7">
        <f>CONCATENATE(C2877,E2877,F2877,I2877)</f>
        <v/>
      </c>
      <c r="B2877" s="7">
        <f>CONCATENATE(C2877,E2877,I2877)</f>
        <v/>
      </c>
      <c r="C2877" s="8" t="n">
        <v>900003601</v>
      </c>
      <c r="D2877" s="7">
        <f>IFERROR(VLOOKUP(C2877,TRAOPE!$G:$H,2,0),"")</f>
        <v/>
      </c>
      <c r="E2877" s="8" t="inlineStr">
        <is>
          <t>D836</t>
        </is>
      </c>
      <c r="F2877" s="8" t="inlineStr">
        <is>
          <t>66415270</t>
        </is>
      </c>
      <c r="G2877" s="8">
        <f>IFERROR(VLOOKUP(A2877,Flete!$A:$E,5,0),"")</f>
        <v/>
      </c>
      <c r="H2877" s="7">
        <f>IFERROR(VLOOKUP(F2877,TRAOPE!$AA:$AB,2,0),"")</f>
        <v/>
      </c>
      <c r="I2877" s="7" t="n">
        <v>10000623</v>
      </c>
      <c r="J2877" s="7">
        <f>IFERROR(VLOOKUP(I2877,Materiales!$A:$H,8,0),"")</f>
        <v/>
      </c>
      <c r="K2877" s="9">
        <f>IFERROR(VLOOKUP(I2877,Materiales!$A:$G,7,0),"")</f>
        <v/>
      </c>
      <c r="L2877" s="8" t="inlineStr">
        <is>
          <t>20250528</t>
        </is>
      </c>
      <c r="M2877" s="8" t="inlineStr">
        <is>
          <t>20250710</t>
        </is>
      </c>
      <c r="N2877" s="10" t="n">
        <v>108.76</v>
      </c>
      <c r="O2877" s="10">
        <f>IFERROR(VLOOKUP(A2877,Flete!$A:$J,10,0),"")</f>
        <v/>
      </c>
      <c r="P2877" s="8" t="inlineStr">
        <is>
          <t>TN</t>
        </is>
      </c>
      <c r="Q2877" s="10">
        <f>IFERROR(IFERROR(VLOOKUP(A2877,TRAOPE!$A:$U,21,0),VLOOKUP(B2877,TRAOPE!$A:$U,21,0)),"")</f>
        <v/>
      </c>
      <c r="R2877" s="8">
        <f>IFERROR(IFERROR(VLOOKUP(A2877,TRAOPE!$A:$W,23,0),VLOOKUP(B2877,TRAOPE!$A:$W,23,0)),"")</f>
        <v/>
      </c>
      <c r="S2877" s="10">
        <f>IF(AND(P2877="TN",R2877="TN"),N2877+N(O2877),IF(G2877&amp;""="1",N(K2877)*N2877,(N2877+N(O2877))*N(K2877)))</f>
        <v/>
      </c>
      <c r="T2877" s="10">
        <f>IF(Q2877="","",Q2877-S2877)</f>
        <v/>
      </c>
    </row>
    <row r="2878">
      <c r="A2878" s="7">
        <f>CONCATENATE(C2878,E2878,F2878,I2878)</f>
        <v/>
      </c>
      <c r="B2878" s="7">
        <f>CONCATENATE(C2878,E2878,I2878)</f>
        <v/>
      </c>
      <c r="C2878" s="8" t="n">
        <v>900003601</v>
      </c>
      <c r="D2878" s="7">
        <f>IFERROR(VLOOKUP(C2878,TRAOPE!$G:$H,2,0),"")</f>
        <v/>
      </c>
      <c r="E2878" s="8" t="inlineStr">
        <is>
          <t>D836</t>
        </is>
      </c>
      <c r="F2878" s="8" t="inlineStr">
        <is>
          <t>66415270</t>
        </is>
      </c>
      <c r="G2878" s="8">
        <f>IFERROR(VLOOKUP(A2878,Flete!$A:$E,5,0),"")</f>
        <v/>
      </c>
      <c r="H2878" s="7">
        <f>IFERROR(VLOOKUP(F2878,TRAOPE!$AA:$AB,2,0),"")</f>
        <v/>
      </c>
      <c r="I2878" s="7" t="n">
        <v>10000624</v>
      </c>
      <c r="J2878" s="7">
        <f>IFERROR(VLOOKUP(I2878,Materiales!$A:$H,8,0),"")</f>
        <v/>
      </c>
      <c r="K2878" s="9">
        <f>IFERROR(VLOOKUP(I2878,Materiales!$A:$G,7,0),"")</f>
        <v/>
      </c>
      <c r="L2878" s="8" t="inlineStr">
        <is>
          <t>20250505</t>
        </is>
      </c>
      <c r="M2878" s="8" t="inlineStr">
        <is>
          <t>20250507</t>
        </is>
      </c>
      <c r="N2878" s="10" t="n">
        <v>113</v>
      </c>
      <c r="O2878" s="10">
        <f>IFERROR(VLOOKUP(A2878,Flete!$A:$J,10,0),"")</f>
        <v/>
      </c>
      <c r="P2878" s="8" t="inlineStr">
        <is>
          <t>TN</t>
        </is>
      </c>
      <c r="Q2878" s="10">
        <f>IFERROR(IFERROR(VLOOKUP(A2878,TRAOPE!$A:$U,21,0),VLOOKUP(B2878,TRAOPE!$A:$U,21,0)),"")</f>
        <v/>
      </c>
      <c r="R2878" s="8">
        <f>IFERROR(IFERROR(VLOOKUP(A2878,TRAOPE!$A:$W,23,0),VLOOKUP(B2878,TRAOPE!$A:$W,23,0)),"")</f>
        <v/>
      </c>
      <c r="S2878" s="10">
        <f>IF(AND(P2878="TN",R2878="TN"),N2878+N(O2878),IF(G2878&amp;""="1",N(K2878)*N2878,(N2878+N(O2878))*N(K2878)))</f>
        <v/>
      </c>
      <c r="T2878" s="10">
        <f>IF(Q2878="","",Q2878-S2878)</f>
        <v/>
      </c>
    </row>
    <row r="2879">
      <c r="A2879" s="7">
        <f>CONCATENATE(C2879,E2879,F2879,I2879)</f>
        <v/>
      </c>
      <c r="B2879" s="7">
        <f>CONCATENATE(C2879,E2879,I2879)</f>
        <v/>
      </c>
      <c r="C2879" s="8" t="n">
        <v>900003601</v>
      </c>
      <c r="D2879" s="7">
        <f>IFERROR(VLOOKUP(C2879,TRAOPE!$G:$H,2,0),"")</f>
        <v/>
      </c>
      <c r="E2879" s="8" t="inlineStr">
        <is>
          <t>D836</t>
        </is>
      </c>
      <c r="F2879" s="8" t="inlineStr">
        <is>
          <t>66415270</t>
        </is>
      </c>
      <c r="G2879" s="8">
        <f>IFERROR(VLOOKUP(A2879,Flete!$A:$E,5,0),"")</f>
        <v/>
      </c>
      <c r="H2879" s="7">
        <f>IFERROR(VLOOKUP(F2879,TRAOPE!$AA:$AB,2,0),"")</f>
        <v/>
      </c>
      <c r="I2879" s="7" t="n">
        <v>10000722</v>
      </c>
      <c r="J2879" s="7">
        <f>IFERROR(VLOOKUP(I2879,Materiales!$A:$H,8,0),"")</f>
        <v/>
      </c>
      <c r="K2879" s="9">
        <f>IFERROR(VLOOKUP(I2879,Materiales!$A:$G,7,0),"")</f>
        <v/>
      </c>
      <c r="L2879" s="8" t="inlineStr">
        <is>
          <t>20250505</t>
        </is>
      </c>
      <c r="M2879" s="8" t="inlineStr">
        <is>
          <t>20250507</t>
        </is>
      </c>
      <c r="N2879" s="10" t="n">
        <v>115</v>
      </c>
      <c r="O2879" s="10">
        <f>IFERROR(VLOOKUP(A2879,Flete!$A:$J,10,0),"")</f>
        <v/>
      </c>
      <c r="P2879" s="8" t="inlineStr">
        <is>
          <t>TN</t>
        </is>
      </c>
      <c r="Q2879" s="10">
        <f>IFERROR(IFERROR(VLOOKUP(A2879,TRAOPE!$A:$U,21,0),VLOOKUP(B2879,TRAOPE!$A:$U,21,0)),"")</f>
        <v/>
      </c>
      <c r="R2879" s="8">
        <f>IFERROR(IFERROR(VLOOKUP(A2879,TRAOPE!$A:$W,23,0),VLOOKUP(B2879,TRAOPE!$A:$W,23,0)),"")</f>
        <v/>
      </c>
      <c r="S2879" s="10">
        <f>IF(AND(P2879="TN",R2879="TN"),N2879+N(O2879),IF(G2879&amp;""="1",N(K2879)*N2879,(N2879+N(O2879))*N(K2879)))</f>
        <v/>
      </c>
      <c r="T2879" s="10">
        <f>IF(Q2879="","",Q2879-S2879)</f>
        <v/>
      </c>
    </row>
    <row r="2880">
      <c r="A2880" s="7">
        <f>CONCATENATE(C2880,E2880,F2880,I2880)</f>
        <v/>
      </c>
      <c r="B2880" s="7">
        <f>CONCATENATE(C2880,E2880,I2880)</f>
        <v/>
      </c>
      <c r="C2880" s="8" t="n">
        <v>900003601</v>
      </c>
      <c r="D2880" s="7">
        <f>IFERROR(VLOOKUP(C2880,TRAOPE!$G:$H,2,0),"")</f>
        <v/>
      </c>
      <c r="E2880" s="8" t="inlineStr">
        <is>
          <t>D836</t>
        </is>
      </c>
      <c r="F2880" s="8" t="inlineStr">
        <is>
          <t>66415270</t>
        </is>
      </c>
      <c r="G2880" s="8">
        <f>IFERROR(VLOOKUP(A2880,Flete!$A:$E,5,0),"")</f>
        <v/>
      </c>
      <c r="H2880" s="7">
        <f>IFERROR(VLOOKUP(F2880,TRAOPE!$AA:$AB,2,0),"")</f>
        <v/>
      </c>
      <c r="I2880" s="7" t="n">
        <v>10000811</v>
      </c>
      <c r="J2880" s="7">
        <f>IFERROR(VLOOKUP(I2880,Materiales!$A:$H,8,0),"")</f>
        <v/>
      </c>
      <c r="K2880" s="9">
        <f>IFERROR(VLOOKUP(I2880,Materiales!$A:$G,7,0),"")</f>
        <v/>
      </c>
      <c r="L2880" s="8" t="inlineStr">
        <is>
          <t>20250505</t>
        </is>
      </c>
      <c r="M2880" s="8" t="inlineStr">
        <is>
          <t>20250507</t>
        </is>
      </c>
      <c r="N2880" s="10" t="n">
        <v>115</v>
      </c>
      <c r="O2880" s="10">
        <f>IFERROR(VLOOKUP(A2880,Flete!$A:$J,10,0),"")</f>
        <v/>
      </c>
      <c r="P2880" s="8" t="inlineStr">
        <is>
          <t>TN</t>
        </is>
      </c>
      <c r="Q2880" s="10">
        <f>IFERROR(IFERROR(VLOOKUP(A2880,TRAOPE!$A:$U,21,0),VLOOKUP(B2880,TRAOPE!$A:$U,21,0)),"")</f>
        <v/>
      </c>
      <c r="R2880" s="8">
        <f>IFERROR(IFERROR(VLOOKUP(A2880,TRAOPE!$A:$W,23,0),VLOOKUP(B2880,TRAOPE!$A:$W,23,0)),"")</f>
        <v/>
      </c>
      <c r="S2880" s="10">
        <f>IF(AND(P2880="TN",R2880="TN"),N2880+N(O2880),IF(G2880&amp;""="1",N(K2880)*N2880,(N2880+N(O2880))*N(K2880)))</f>
        <v/>
      </c>
      <c r="T2880" s="10">
        <f>IF(Q2880="","",Q2880-S2880)</f>
        <v/>
      </c>
    </row>
    <row r="2881">
      <c r="A2881" s="7">
        <f>CONCATENATE(C2881,E2881,F2881,I2881)</f>
        <v/>
      </c>
      <c r="B2881" s="7">
        <f>CONCATENATE(C2881,E2881,I2881)</f>
        <v/>
      </c>
      <c r="C2881" s="8" t="n">
        <v>900003601</v>
      </c>
      <c r="D2881" s="7">
        <f>IFERROR(VLOOKUP(C2881,TRAOPE!$G:$H,2,0),"")</f>
        <v/>
      </c>
      <c r="E2881" s="8" t="inlineStr">
        <is>
          <t>D836</t>
        </is>
      </c>
      <c r="F2881" s="8" t="inlineStr">
        <is>
          <t>67166394</t>
        </is>
      </c>
      <c r="G2881" s="8">
        <f>IFERROR(VLOOKUP(A2881,Flete!$A:$E,5,0),"")</f>
        <v/>
      </c>
      <c r="H2881" s="7">
        <f>IFERROR(VLOOKUP(F2881,TRAOPE!$AA:$AB,2,0),"")</f>
        <v/>
      </c>
      <c r="I2881" s="7" t="n">
        <v>10000623</v>
      </c>
      <c r="J2881" s="7">
        <f>IFERROR(VLOOKUP(I2881,Materiales!$A:$H,8,0),"")</f>
        <v/>
      </c>
      <c r="K2881" s="9">
        <f>IFERROR(VLOOKUP(I2881,Materiales!$A:$G,7,0),"")</f>
        <v/>
      </c>
      <c r="L2881" s="8" t="inlineStr">
        <is>
          <t>20250505</t>
        </is>
      </c>
      <c r="M2881" s="8" t="inlineStr">
        <is>
          <t>20250507</t>
        </is>
      </c>
      <c r="N2881" s="10" t="n">
        <v>120</v>
      </c>
      <c r="O2881" s="10">
        <f>IFERROR(VLOOKUP(A2881,Flete!$A:$J,10,0),"")</f>
        <v/>
      </c>
      <c r="P2881" s="8" t="inlineStr">
        <is>
          <t>TN</t>
        </is>
      </c>
      <c r="Q2881" s="10">
        <f>IFERROR(IFERROR(VLOOKUP(A2881,TRAOPE!$A:$U,21,0),VLOOKUP(B2881,TRAOPE!$A:$U,21,0)),"")</f>
        <v/>
      </c>
      <c r="R2881" s="8">
        <f>IFERROR(IFERROR(VLOOKUP(A2881,TRAOPE!$A:$W,23,0),VLOOKUP(B2881,TRAOPE!$A:$W,23,0)),"")</f>
        <v/>
      </c>
      <c r="S2881" s="10">
        <f>IF(AND(P2881="TN",R2881="TN"),N2881+N(O2881),IF(G2881&amp;""="1",N(K2881)*N2881,(N2881+N(O2881))*N(K2881)))</f>
        <v/>
      </c>
      <c r="T2881" s="10">
        <f>IF(Q2881="","",Q2881-S2881)</f>
        <v/>
      </c>
    </row>
    <row r="2882">
      <c r="A2882" s="7">
        <f>CONCATENATE(C2882,E2882,F2882,I2882)</f>
        <v/>
      </c>
      <c r="B2882" s="7">
        <f>CONCATENATE(C2882,E2882,I2882)</f>
        <v/>
      </c>
      <c r="C2882" s="8" t="n">
        <v>900003601</v>
      </c>
      <c r="D2882" s="7">
        <f>IFERROR(VLOOKUP(C2882,TRAOPE!$G:$H,2,0),"")</f>
        <v/>
      </c>
      <c r="E2882" s="8" t="inlineStr">
        <is>
          <t>D836</t>
        </is>
      </c>
      <c r="F2882" s="8" t="inlineStr">
        <is>
          <t>67166394</t>
        </is>
      </c>
      <c r="G2882" s="8">
        <f>IFERROR(VLOOKUP(A2882,Flete!$A:$E,5,0),"")</f>
        <v/>
      </c>
      <c r="H2882" s="7">
        <f>IFERROR(VLOOKUP(F2882,TRAOPE!$AA:$AB,2,0),"")</f>
        <v/>
      </c>
      <c r="I2882" s="7" t="n">
        <v>10000624</v>
      </c>
      <c r="J2882" s="7">
        <f>IFERROR(VLOOKUP(I2882,Materiales!$A:$H,8,0),"")</f>
        <v/>
      </c>
      <c r="K2882" s="9">
        <f>IFERROR(VLOOKUP(I2882,Materiales!$A:$G,7,0),"")</f>
        <v/>
      </c>
      <c r="L2882" s="8" t="inlineStr">
        <is>
          <t>20250505</t>
        </is>
      </c>
      <c r="M2882" s="8" t="inlineStr">
        <is>
          <t>20250507</t>
        </is>
      </c>
      <c r="N2882" s="10" t="n">
        <v>109</v>
      </c>
      <c r="O2882" s="10">
        <f>IFERROR(VLOOKUP(A2882,Flete!$A:$J,10,0),"")</f>
        <v/>
      </c>
      <c r="P2882" s="8" t="inlineStr">
        <is>
          <t>TN</t>
        </is>
      </c>
      <c r="Q2882" s="10">
        <f>IFERROR(IFERROR(VLOOKUP(A2882,TRAOPE!$A:$U,21,0),VLOOKUP(B2882,TRAOPE!$A:$U,21,0)),"")</f>
        <v/>
      </c>
      <c r="R2882" s="8">
        <f>IFERROR(IFERROR(VLOOKUP(A2882,TRAOPE!$A:$W,23,0),VLOOKUP(B2882,TRAOPE!$A:$W,23,0)),"")</f>
        <v/>
      </c>
      <c r="S2882" s="10">
        <f>IF(AND(P2882="TN",R2882="TN"),N2882+N(O2882),IF(G2882&amp;""="1",N(K2882)*N2882,(N2882+N(O2882))*N(K2882)))</f>
        <v/>
      </c>
      <c r="T2882" s="10">
        <f>IF(Q2882="","",Q2882-S2882)</f>
        <v/>
      </c>
    </row>
    <row r="2883">
      <c r="A2883" s="7">
        <f>CONCATENATE(C2883,E2883,F2883,I2883)</f>
        <v/>
      </c>
      <c r="B2883" s="7">
        <f>CONCATENATE(C2883,E2883,I2883)</f>
        <v/>
      </c>
      <c r="C2883" s="8" t="n">
        <v>900003601</v>
      </c>
      <c r="D2883" s="7">
        <f>IFERROR(VLOOKUP(C2883,TRAOPE!$G:$H,2,0),"")</f>
        <v/>
      </c>
      <c r="E2883" s="8" t="inlineStr">
        <is>
          <t>D836</t>
        </is>
      </c>
      <c r="F2883" s="8" t="inlineStr">
        <is>
          <t>67247435</t>
        </is>
      </c>
      <c r="G2883" s="8">
        <f>IFERROR(VLOOKUP(A2883,Flete!$A:$E,5,0),"")</f>
        <v/>
      </c>
      <c r="H2883" s="7">
        <f>IFERROR(VLOOKUP(F2883,TRAOPE!$AA:$AB,2,0),"")</f>
        <v/>
      </c>
      <c r="I2883" s="7" t="n">
        <v>10000623</v>
      </c>
      <c r="J2883" s="7">
        <f>IFERROR(VLOOKUP(I2883,Materiales!$A:$H,8,0),"")</f>
        <v/>
      </c>
      <c r="K2883" s="9">
        <f>IFERROR(VLOOKUP(I2883,Materiales!$A:$G,7,0),"")</f>
        <v/>
      </c>
      <c r="L2883" s="8" t="inlineStr">
        <is>
          <t>20240425</t>
        </is>
      </c>
      <c r="M2883" s="8" t="inlineStr">
        <is>
          <t>20240814</t>
        </is>
      </c>
      <c r="N2883" s="10" t="n">
        <v>87</v>
      </c>
      <c r="O2883" s="10">
        <f>IFERROR(VLOOKUP(A2883,Flete!$A:$J,10,0),"")</f>
        <v/>
      </c>
      <c r="P2883" s="8" t="inlineStr">
        <is>
          <t>TN</t>
        </is>
      </c>
      <c r="Q2883" s="10">
        <f>IFERROR(IFERROR(VLOOKUP(A2883,TRAOPE!$A:$U,21,0),VLOOKUP(B2883,TRAOPE!$A:$U,21,0)),"")</f>
        <v/>
      </c>
      <c r="R2883" s="8">
        <f>IFERROR(IFERROR(VLOOKUP(A2883,TRAOPE!$A:$W,23,0),VLOOKUP(B2883,TRAOPE!$A:$W,23,0)),"")</f>
        <v/>
      </c>
      <c r="S2883" s="10">
        <f>IF(AND(P2883="TN",R2883="TN"),N2883+N(O2883),IF(G2883&amp;""="1",N(K2883)*N2883,(N2883+N(O2883))*N(K2883)))</f>
        <v/>
      </c>
      <c r="T2883" s="10">
        <f>IF(Q2883="","",Q2883-S2883)</f>
        <v/>
      </c>
    </row>
    <row r="2884">
      <c r="A2884" s="7">
        <f>CONCATENATE(C2884,E2884,F2884,I2884)</f>
        <v/>
      </c>
      <c r="B2884" s="7">
        <f>CONCATENATE(C2884,E2884,I2884)</f>
        <v/>
      </c>
      <c r="C2884" s="8" t="n">
        <v>900003601</v>
      </c>
      <c r="D2884" s="7">
        <f>IFERROR(VLOOKUP(C2884,TRAOPE!$G:$H,2,0),"")</f>
        <v/>
      </c>
      <c r="E2884" s="8" t="inlineStr">
        <is>
          <t>D836</t>
        </is>
      </c>
      <c r="F2884" s="8" t="inlineStr">
        <is>
          <t>67247435</t>
        </is>
      </c>
      <c r="G2884" s="8">
        <f>IFERROR(VLOOKUP(A2884,Flete!$A:$E,5,0),"")</f>
        <v/>
      </c>
      <c r="H2884" s="7">
        <f>IFERROR(VLOOKUP(F2884,TRAOPE!$AA:$AB,2,0),"")</f>
        <v/>
      </c>
      <c r="I2884" s="7" t="n">
        <v>10000811</v>
      </c>
      <c r="J2884" s="7">
        <f>IFERROR(VLOOKUP(I2884,Materiales!$A:$H,8,0),"")</f>
        <v/>
      </c>
      <c r="K2884" s="9">
        <f>IFERROR(VLOOKUP(I2884,Materiales!$A:$G,7,0),"")</f>
        <v/>
      </c>
      <c r="L2884" s="8" t="inlineStr">
        <is>
          <t>20240425</t>
        </is>
      </c>
      <c r="M2884" s="8" t="inlineStr">
        <is>
          <t>20240814</t>
        </is>
      </c>
      <c r="N2884" s="10" t="n">
        <v>114</v>
      </c>
      <c r="O2884" s="10">
        <f>IFERROR(VLOOKUP(A2884,Flete!$A:$J,10,0),"")</f>
        <v/>
      </c>
      <c r="P2884" s="8" t="inlineStr">
        <is>
          <t>TN</t>
        </is>
      </c>
      <c r="Q2884" s="10">
        <f>IFERROR(IFERROR(VLOOKUP(A2884,TRAOPE!$A:$U,21,0),VLOOKUP(B2884,TRAOPE!$A:$U,21,0)),"")</f>
        <v/>
      </c>
      <c r="R2884" s="8">
        <f>IFERROR(IFERROR(VLOOKUP(A2884,TRAOPE!$A:$W,23,0),VLOOKUP(B2884,TRAOPE!$A:$W,23,0)),"")</f>
        <v/>
      </c>
      <c r="S2884" s="10">
        <f>IF(AND(P2884="TN",R2884="TN"),N2884+N(O2884),IF(G2884&amp;""="1",N(K2884)*N2884,(N2884+N(O2884))*N(K2884)))</f>
        <v/>
      </c>
      <c r="T2884" s="10">
        <f>IF(Q2884="","",Q2884-S2884)</f>
        <v/>
      </c>
    </row>
    <row r="2885">
      <c r="A2885" s="7">
        <f>CONCATENATE(C2885,E2885,F2885,I2885)</f>
        <v/>
      </c>
      <c r="B2885" s="7">
        <f>CONCATENATE(C2885,E2885,I2885)</f>
        <v/>
      </c>
      <c r="C2885" s="8" t="n">
        <v>900003609</v>
      </c>
      <c r="D2885" s="7">
        <f>IFERROR(VLOOKUP(C2885,TRAOPE!$G:$H,2,0),"")</f>
        <v/>
      </c>
      <c r="E2885" s="8" t="inlineStr">
        <is>
          <t>D836</t>
        </is>
      </c>
      <c r="F2885" s="8" t="inlineStr">
        <is>
          <t>66233244</t>
        </is>
      </c>
      <c r="G2885" s="8">
        <f>IFERROR(VLOOKUP(A2885,Flete!$A:$E,5,0),"")</f>
        <v/>
      </c>
      <c r="H2885" s="7">
        <f>IFERROR(VLOOKUP(F2885,TRAOPE!$AA:$AB,2,0),"")</f>
        <v/>
      </c>
      <c r="I2885" s="7" t="n">
        <v>10207890</v>
      </c>
      <c r="J2885" s="7">
        <f>IFERROR(VLOOKUP(I2885,Materiales!$A:$H,8,0),"")</f>
        <v/>
      </c>
      <c r="K2885" s="9">
        <f>IFERROR(VLOOKUP(I2885,Materiales!$A:$G,7,0),"")</f>
        <v/>
      </c>
      <c r="L2885" s="8" t="inlineStr">
        <is>
          <t>20250505</t>
        </is>
      </c>
      <c r="M2885" s="8" t="inlineStr">
        <is>
          <t>20250507</t>
        </is>
      </c>
      <c r="N2885" s="10" t="n">
        <v>150</v>
      </c>
      <c r="O2885" s="10">
        <f>IFERROR(VLOOKUP(A2885,Flete!$A:$J,10,0),"")</f>
        <v/>
      </c>
      <c r="P2885" s="8" t="inlineStr">
        <is>
          <t>TN</t>
        </is>
      </c>
      <c r="Q2885" s="10">
        <f>IFERROR(IFERROR(VLOOKUP(A2885,TRAOPE!$A:$U,21,0),VLOOKUP(B2885,TRAOPE!$A:$U,21,0)),"")</f>
        <v/>
      </c>
      <c r="R2885" s="8">
        <f>IFERROR(IFERROR(VLOOKUP(A2885,TRAOPE!$A:$W,23,0),VLOOKUP(B2885,TRAOPE!$A:$W,23,0)),"")</f>
        <v/>
      </c>
      <c r="S2885" s="10">
        <f>IF(AND(P2885="TN",R2885="TN"),N2885+N(O2885),IF(G2885&amp;""="1",N(K2885)*N2885,(N2885+N(O2885))*N(K2885)))</f>
        <v/>
      </c>
      <c r="T2885" s="10">
        <f>IF(Q2885="","",Q2885-S2885)</f>
        <v/>
      </c>
    </row>
    <row r="2886">
      <c r="A2886" s="7">
        <f>CONCATENATE(C2886,E2886,F2886,I2886)</f>
        <v/>
      </c>
      <c r="B2886" s="7">
        <f>CONCATENATE(C2886,E2886,I2886)</f>
        <v/>
      </c>
      <c r="C2886" s="8" t="n">
        <v>900003609</v>
      </c>
      <c r="D2886" s="7">
        <f>IFERROR(VLOOKUP(C2886,TRAOPE!$G:$H,2,0),"")</f>
        <v/>
      </c>
      <c r="E2886" s="8" t="inlineStr">
        <is>
          <t>D836</t>
        </is>
      </c>
      <c r="F2886" s="8" t="inlineStr">
        <is>
          <t>66237142</t>
        </is>
      </c>
      <c r="G2886" s="8">
        <f>IFERROR(VLOOKUP(A2886,Flete!$A:$E,5,0),"")</f>
        <v/>
      </c>
      <c r="H2886" s="7">
        <f>IFERROR(VLOOKUP(F2886,TRAOPE!$AA:$AB,2,0),"")</f>
        <v/>
      </c>
      <c r="I2886" s="7" t="n">
        <v>10000722</v>
      </c>
      <c r="J2886" s="7">
        <f>IFERROR(VLOOKUP(I2886,Materiales!$A:$H,8,0),"")</f>
        <v/>
      </c>
      <c r="K2886" s="9">
        <f>IFERROR(VLOOKUP(I2886,Materiales!$A:$G,7,0),"")</f>
        <v/>
      </c>
      <c r="L2886" s="8" t="inlineStr">
        <is>
          <t>20240425</t>
        </is>
      </c>
      <c r="M2886" s="8" t="inlineStr">
        <is>
          <t>20240814</t>
        </is>
      </c>
      <c r="N2886" s="10" t="n">
        <v>170</v>
      </c>
      <c r="O2886" s="10">
        <f>IFERROR(VLOOKUP(A2886,Flete!$A:$J,10,0),"")</f>
        <v/>
      </c>
      <c r="P2886" s="8" t="inlineStr">
        <is>
          <t>M3</t>
        </is>
      </c>
      <c r="Q2886" s="10">
        <f>IFERROR(IFERROR(VLOOKUP(A2886,TRAOPE!$A:$U,21,0),VLOOKUP(B2886,TRAOPE!$A:$U,21,0)),"")</f>
        <v/>
      </c>
      <c r="R2886" s="8">
        <f>IFERROR(IFERROR(VLOOKUP(A2886,TRAOPE!$A:$W,23,0),VLOOKUP(B2886,TRAOPE!$A:$W,23,0)),"")</f>
        <v/>
      </c>
      <c r="S2886" s="10">
        <f>IF(AND(P2886="TN",R2886="TN"),N2886+N(O2886),IF(G2886&amp;""="1",N(K2886)*N2886,(N2886+N(O2886))*N(K2886)))</f>
        <v/>
      </c>
      <c r="T2886" s="10">
        <f>IF(Q2886="","",Q2886-S2886)</f>
        <v/>
      </c>
    </row>
    <row r="2887">
      <c r="A2887" s="7">
        <f>CONCATENATE(C2887,E2887,F2887,I2887)</f>
        <v/>
      </c>
      <c r="B2887" s="7">
        <f>CONCATENATE(C2887,E2887,I2887)</f>
        <v/>
      </c>
      <c r="C2887" s="8" t="n">
        <v>900003609</v>
      </c>
      <c r="D2887" s="7">
        <f>IFERROR(VLOOKUP(C2887,TRAOPE!$G:$H,2,0),"")</f>
        <v/>
      </c>
      <c r="E2887" s="8" t="inlineStr">
        <is>
          <t>D836</t>
        </is>
      </c>
      <c r="F2887" s="8" t="inlineStr">
        <is>
          <t>66825797</t>
        </is>
      </c>
      <c r="G2887" s="8">
        <f>IFERROR(VLOOKUP(A2887,Flete!$A:$E,5,0),"")</f>
        <v/>
      </c>
      <c r="H2887" s="7">
        <f>IFERROR(VLOOKUP(F2887,TRAOPE!$AA:$AB,2,0),"")</f>
        <v/>
      </c>
      <c r="I2887" s="7" t="n">
        <v>10000624</v>
      </c>
      <c r="J2887" s="7">
        <f>IFERROR(VLOOKUP(I2887,Materiales!$A:$H,8,0),"")</f>
        <v/>
      </c>
      <c r="K2887" s="9">
        <f>IFERROR(VLOOKUP(I2887,Materiales!$A:$G,7,0),"")</f>
        <v/>
      </c>
      <c r="L2887" s="8" t="inlineStr">
        <is>
          <t>20250505</t>
        </is>
      </c>
      <c r="M2887" s="8" t="inlineStr">
        <is>
          <t>20250507</t>
        </is>
      </c>
      <c r="N2887" s="10" t="n">
        <v>140</v>
      </c>
      <c r="O2887" s="10">
        <f>IFERROR(VLOOKUP(A2887,Flete!$A:$J,10,0),"")</f>
        <v/>
      </c>
      <c r="P2887" s="8" t="inlineStr">
        <is>
          <t>M3</t>
        </is>
      </c>
      <c r="Q2887" s="10">
        <f>IFERROR(IFERROR(VLOOKUP(A2887,TRAOPE!$A:$U,21,0),VLOOKUP(B2887,TRAOPE!$A:$U,21,0)),"")</f>
        <v/>
      </c>
      <c r="R2887" s="8">
        <f>IFERROR(IFERROR(VLOOKUP(A2887,TRAOPE!$A:$W,23,0),VLOOKUP(B2887,TRAOPE!$A:$W,23,0)),"")</f>
        <v/>
      </c>
      <c r="S2887" s="10">
        <f>IF(AND(P2887="TN",R2887="TN"),N2887+N(O2887),IF(G2887&amp;""="1",N(K2887)*N2887,(N2887+N(O2887))*N(K2887)))</f>
        <v/>
      </c>
      <c r="T2887" s="10">
        <f>IF(Q2887="","",Q2887-S2887)</f>
        <v/>
      </c>
    </row>
    <row r="2888">
      <c r="A2888" s="7">
        <f>CONCATENATE(C2888,E2888,F2888,I2888)</f>
        <v/>
      </c>
      <c r="B2888" s="7">
        <f>CONCATENATE(C2888,E2888,I2888)</f>
        <v/>
      </c>
      <c r="C2888" s="8" t="n">
        <v>900003609</v>
      </c>
      <c r="D2888" s="7">
        <f>IFERROR(VLOOKUP(C2888,TRAOPE!$G:$H,2,0),"")</f>
        <v/>
      </c>
      <c r="E2888" s="8" t="inlineStr">
        <is>
          <t>D836</t>
        </is>
      </c>
      <c r="F2888" s="8" t="inlineStr">
        <is>
          <t>66825797</t>
        </is>
      </c>
      <c r="G2888" s="8">
        <f>IFERROR(VLOOKUP(A2888,Flete!$A:$E,5,0),"")</f>
        <v/>
      </c>
      <c r="H2888" s="7">
        <f>IFERROR(VLOOKUP(F2888,TRAOPE!$AA:$AB,2,0),"")</f>
        <v/>
      </c>
      <c r="I2888" s="7" t="n">
        <v>10000811</v>
      </c>
      <c r="J2888" s="7">
        <f>IFERROR(VLOOKUP(I2888,Materiales!$A:$H,8,0),"")</f>
        <v/>
      </c>
      <c r="K2888" s="9">
        <f>IFERROR(VLOOKUP(I2888,Materiales!$A:$G,7,0),"")</f>
        <v/>
      </c>
      <c r="L2888" s="8" t="inlineStr">
        <is>
          <t>20250505</t>
        </is>
      </c>
      <c r="M2888" s="8" t="inlineStr">
        <is>
          <t>20250507</t>
        </is>
      </c>
      <c r="N2888" s="10" t="n">
        <v>145</v>
      </c>
      <c r="O2888" s="10">
        <f>IFERROR(VLOOKUP(A2888,Flete!$A:$J,10,0),"")</f>
        <v/>
      </c>
      <c r="P2888" s="8" t="inlineStr">
        <is>
          <t>M3</t>
        </is>
      </c>
      <c r="Q2888" s="10">
        <f>IFERROR(IFERROR(VLOOKUP(A2888,TRAOPE!$A:$U,21,0),VLOOKUP(B2888,TRAOPE!$A:$U,21,0)),"")</f>
        <v/>
      </c>
      <c r="R2888" s="8">
        <f>IFERROR(IFERROR(VLOOKUP(A2888,TRAOPE!$A:$W,23,0),VLOOKUP(B2888,TRAOPE!$A:$W,23,0)),"")</f>
        <v/>
      </c>
      <c r="S2888" s="10">
        <f>IF(AND(P2888="TN",R2888="TN"),N2888+N(O2888),IF(G2888&amp;""="1",N(K2888)*N2888,(N2888+N(O2888))*N(K2888)))</f>
        <v/>
      </c>
      <c r="T2888" s="10">
        <f>IF(Q2888="","",Q2888-S2888)</f>
        <v/>
      </c>
    </row>
    <row r="2889">
      <c r="A2889" s="7">
        <f>CONCATENATE(C2889,E2889,F2889,I2889)</f>
        <v/>
      </c>
      <c r="B2889" s="7">
        <f>CONCATENATE(C2889,E2889,I2889)</f>
        <v/>
      </c>
      <c r="C2889" s="8" t="n">
        <v>900003609</v>
      </c>
      <c r="D2889" s="7">
        <f>IFERROR(VLOOKUP(C2889,TRAOPE!$G:$H,2,0),"")</f>
        <v/>
      </c>
      <c r="E2889" s="8" t="inlineStr">
        <is>
          <t>D836</t>
        </is>
      </c>
      <c r="F2889" s="8" t="inlineStr">
        <is>
          <t>66828114</t>
        </is>
      </c>
      <c r="G2889" s="8">
        <f>IFERROR(VLOOKUP(A2889,Flete!$A:$E,5,0),"")</f>
        <v/>
      </c>
      <c r="H2889" s="7">
        <f>IFERROR(VLOOKUP(F2889,TRAOPE!$AA:$AB,2,0),"")</f>
        <v/>
      </c>
      <c r="I2889" s="7" t="n">
        <v>10000811</v>
      </c>
      <c r="J2889" s="7">
        <f>IFERROR(VLOOKUP(I2889,Materiales!$A:$H,8,0),"")</f>
        <v/>
      </c>
      <c r="K2889" s="9">
        <f>IFERROR(VLOOKUP(I2889,Materiales!$A:$G,7,0),"")</f>
        <v/>
      </c>
      <c r="L2889" s="8" t="inlineStr">
        <is>
          <t>20250505</t>
        </is>
      </c>
      <c r="M2889" s="8" t="inlineStr">
        <is>
          <t>20250507</t>
        </is>
      </c>
      <c r="N2889" s="10" t="n">
        <v>180</v>
      </c>
      <c r="O2889" s="10">
        <f>IFERROR(VLOOKUP(A2889,Flete!$A:$J,10,0),"")</f>
        <v/>
      </c>
      <c r="P2889" s="8" t="inlineStr">
        <is>
          <t>M3</t>
        </is>
      </c>
      <c r="Q2889" s="10">
        <f>IFERROR(IFERROR(VLOOKUP(A2889,TRAOPE!$A:$U,21,0),VLOOKUP(B2889,TRAOPE!$A:$U,21,0)),"")</f>
        <v/>
      </c>
      <c r="R2889" s="8">
        <f>IFERROR(IFERROR(VLOOKUP(A2889,TRAOPE!$A:$W,23,0),VLOOKUP(B2889,TRAOPE!$A:$W,23,0)),"")</f>
        <v/>
      </c>
      <c r="S2889" s="10">
        <f>IF(AND(P2889="TN",R2889="TN"),N2889+N(O2889),IF(G2889&amp;""="1",N(K2889)*N2889,(N2889+N(O2889))*N(K2889)))</f>
        <v/>
      </c>
      <c r="T2889" s="10">
        <f>IF(Q2889="","",Q2889-S2889)</f>
        <v/>
      </c>
    </row>
    <row r="2890">
      <c r="A2890" s="7">
        <f>CONCATENATE(C2890,E2890,F2890,I2890)</f>
        <v/>
      </c>
      <c r="B2890" s="7">
        <f>CONCATENATE(C2890,E2890,I2890)</f>
        <v/>
      </c>
      <c r="C2890" s="8" t="n">
        <v>900003609</v>
      </c>
      <c r="D2890" s="7">
        <f>IFERROR(VLOOKUP(C2890,TRAOPE!$G:$H,2,0),"")</f>
        <v/>
      </c>
      <c r="E2890" s="8" t="inlineStr">
        <is>
          <t>D836</t>
        </is>
      </c>
      <c r="F2890" s="8" t="inlineStr">
        <is>
          <t>66828114</t>
        </is>
      </c>
      <c r="G2890" s="8">
        <f>IFERROR(VLOOKUP(A2890,Flete!$A:$E,5,0),"")</f>
        <v/>
      </c>
      <c r="H2890" s="7">
        <f>IFERROR(VLOOKUP(F2890,TRAOPE!$AA:$AB,2,0),"")</f>
        <v/>
      </c>
      <c r="I2890" s="7" t="n">
        <v>10207890</v>
      </c>
      <c r="J2890" s="7">
        <f>IFERROR(VLOOKUP(I2890,Materiales!$A:$H,8,0),"")</f>
        <v/>
      </c>
      <c r="K2890" s="9">
        <f>IFERROR(VLOOKUP(I2890,Materiales!$A:$G,7,0),"")</f>
        <v/>
      </c>
      <c r="L2890" s="8" t="inlineStr">
        <is>
          <t>20240813</t>
        </is>
      </c>
      <c r="M2890" s="8" t="inlineStr">
        <is>
          <t>20241108</t>
        </is>
      </c>
      <c r="N2890" s="10" t="n">
        <v>165.42</v>
      </c>
      <c r="O2890" s="10">
        <f>IFERROR(VLOOKUP(A2890,Flete!$A:$J,10,0),"")</f>
        <v/>
      </c>
      <c r="P2890" s="8" t="inlineStr">
        <is>
          <t>M3</t>
        </is>
      </c>
      <c r="Q2890" s="10">
        <f>IFERROR(IFERROR(VLOOKUP(A2890,TRAOPE!$A:$U,21,0),VLOOKUP(B2890,TRAOPE!$A:$U,21,0)),"")</f>
        <v/>
      </c>
      <c r="R2890" s="8">
        <f>IFERROR(IFERROR(VLOOKUP(A2890,TRAOPE!$A:$W,23,0),VLOOKUP(B2890,TRAOPE!$A:$W,23,0)),"")</f>
        <v/>
      </c>
      <c r="S2890" s="10">
        <f>IF(AND(P2890="TN",R2890="TN"),N2890+N(O2890),IF(G2890&amp;""="1",N(K2890)*N2890,(N2890+N(O2890))*N(K2890)))</f>
        <v/>
      </c>
      <c r="T2890" s="10">
        <f>IF(Q2890="","",Q2890-S2890)</f>
        <v/>
      </c>
    </row>
    <row r="2891">
      <c r="A2891" s="7">
        <f>CONCATENATE(C2891,E2891,F2891,I2891)</f>
        <v/>
      </c>
      <c r="B2891" s="7">
        <f>CONCATENATE(C2891,E2891,I2891)</f>
        <v/>
      </c>
      <c r="C2891" s="8" t="n">
        <v>900003609</v>
      </c>
      <c r="D2891" s="7">
        <f>IFERROR(VLOOKUP(C2891,TRAOPE!$G:$H,2,0),"")</f>
        <v/>
      </c>
      <c r="E2891" s="8" t="inlineStr">
        <is>
          <t>D836</t>
        </is>
      </c>
      <c r="F2891" s="8" t="inlineStr">
        <is>
          <t>67012297</t>
        </is>
      </c>
      <c r="G2891" s="8">
        <f>IFERROR(VLOOKUP(A2891,Flete!$A:$E,5,0),"")</f>
        <v/>
      </c>
      <c r="H2891" s="7">
        <f>IFERROR(VLOOKUP(F2891,TRAOPE!$AA:$AB,2,0),"")</f>
        <v/>
      </c>
      <c r="I2891" s="7" t="n">
        <v>10147486</v>
      </c>
      <c r="J2891" s="7">
        <f>IFERROR(VLOOKUP(I2891,Materiales!$A:$H,8,0),"")</f>
        <v/>
      </c>
      <c r="K2891" s="9">
        <f>IFERROR(VLOOKUP(I2891,Materiales!$A:$G,7,0),"")</f>
        <v/>
      </c>
      <c r="L2891" s="8" t="inlineStr">
        <is>
          <t>20250528</t>
        </is>
      </c>
      <c r="M2891" s="8" t="inlineStr">
        <is>
          <t>20250710</t>
        </is>
      </c>
      <c r="N2891" s="10" t="n">
        <v>175</v>
      </c>
      <c r="O2891" s="10">
        <f>IFERROR(VLOOKUP(A2891,Flete!$A:$J,10,0),"")</f>
        <v/>
      </c>
      <c r="P2891" s="8" t="inlineStr">
        <is>
          <t>M3</t>
        </is>
      </c>
      <c r="Q2891" s="10">
        <f>IFERROR(IFERROR(VLOOKUP(A2891,TRAOPE!$A:$U,21,0),VLOOKUP(B2891,TRAOPE!$A:$U,21,0)),"")</f>
        <v/>
      </c>
      <c r="R2891" s="8">
        <f>IFERROR(IFERROR(VLOOKUP(A2891,TRAOPE!$A:$W,23,0),VLOOKUP(B2891,TRAOPE!$A:$W,23,0)),"")</f>
        <v/>
      </c>
      <c r="S2891" s="10">
        <f>IF(AND(P2891="TN",R2891="TN"),N2891+N(O2891),IF(G2891&amp;""="1",N(K2891)*N2891,(N2891+N(O2891))*N(K2891)))</f>
        <v/>
      </c>
      <c r="T2891" s="10">
        <f>IF(Q2891="","",Q2891-S2891)</f>
        <v/>
      </c>
    </row>
    <row r="2892">
      <c r="A2892" s="7">
        <f>CONCATENATE(C2892,E2892,F2892,I2892)</f>
        <v/>
      </c>
      <c r="B2892" s="7">
        <f>CONCATENATE(C2892,E2892,I2892)</f>
        <v/>
      </c>
      <c r="C2892" s="8" t="n">
        <v>900003609</v>
      </c>
      <c r="D2892" s="7">
        <f>IFERROR(VLOOKUP(C2892,TRAOPE!$G:$H,2,0),"")</f>
        <v/>
      </c>
      <c r="E2892" s="8" t="inlineStr">
        <is>
          <t>D836</t>
        </is>
      </c>
      <c r="F2892" s="8" t="inlineStr">
        <is>
          <t>67012297</t>
        </is>
      </c>
      <c r="G2892" s="8">
        <f>IFERROR(VLOOKUP(A2892,Flete!$A:$E,5,0),"")</f>
        <v/>
      </c>
      <c r="H2892" s="7">
        <f>IFERROR(VLOOKUP(F2892,TRAOPE!$AA:$AB,2,0),"")</f>
        <v/>
      </c>
      <c r="I2892" s="7" t="n">
        <v>10226561</v>
      </c>
      <c r="J2892" s="7">
        <f>IFERROR(VLOOKUP(I2892,Materiales!$A:$H,8,0),"")</f>
        <v/>
      </c>
      <c r="K2892" s="9">
        <f>IFERROR(VLOOKUP(I2892,Materiales!$A:$G,7,0),"")</f>
        <v/>
      </c>
      <c r="L2892" s="8" t="inlineStr">
        <is>
          <t>20250528</t>
        </is>
      </c>
      <c r="M2892" s="8" t="inlineStr">
        <is>
          <t>20250710</t>
        </is>
      </c>
      <c r="N2892" s="10" t="n">
        <v>166</v>
      </c>
      <c r="O2892" s="10">
        <f>IFERROR(VLOOKUP(A2892,Flete!$A:$J,10,0),"")</f>
        <v/>
      </c>
      <c r="P2892" s="8" t="inlineStr">
        <is>
          <t>M3</t>
        </is>
      </c>
      <c r="Q2892" s="10">
        <f>IFERROR(IFERROR(VLOOKUP(A2892,TRAOPE!$A:$U,21,0),VLOOKUP(B2892,TRAOPE!$A:$U,21,0)),"")</f>
        <v/>
      </c>
      <c r="R2892" s="8">
        <f>IFERROR(IFERROR(VLOOKUP(A2892,TRAOPE!$A:$W,23,0),VLOOKUP(B2892,TRAOPE!$A:$W,23,0)),"")</f>
        <v/>
      </c>
      <c r="S2892" s="10">
        <f>IF(AND(P2892="TN",R2892="TN"),N2892+N(O2892),IF(G2892&amp;""="1",N(K2892)*N2892,(N2892+N(O2892))*N(K2892)))</f>
        <v/>
      </c>
      <c r="T2892" s="10">
        <f>IF(Q2892="","",Q2892-S2892)</f>
        <v/>
      </c>
    </row>
    <row r="2893">
      <c r="A2893" s="7">
        <f>CONCATENATE(C2893,E2893,F2893,I2893)</f>
        <v/>
      </c>
      <c r="B2893" s="7">
        <f>CONCATENATE(C2893,E2893,I2893)</f>
        <v/>
      </c>
      <c r="C2893" s="8" t="n">
        <v>900003613</v>
      </c>
      <c r="D2893" s="7">
        <f>IFERROR(VLOOKUP(C2893,TRAOPE!$G:$H,2,0),"")</f>
        <v/>
      </c>
      <c r="E2893" s="8" t="inlineStr">
        <is>
          <t>D836</t>
        </is>
      </c>
      <c r="F2893" s="8" t="inlineStr">
        <is>
          <t>66868491</t>
        </is>
      </c>
      <c r="G2893" s="8">
        <f>IFERROR(VLOOKUP(A2893,Flete!$A:$E,5,0),"")</f>
        <v/>
      </c>
      <c r="H2893" s="7">
        <f>IFERROR(VLOOKUP(F2893,TRAOPE!$AA:$AB,2,0),"")</f>
        <v/>
      </c>
      <c r="I2893" s="7" t="n">
        <v>10000253</v>
      </c>
      <c r="J2893" s="7">
        <f>IFERROR(VLOOKUP(I2893,Materiales!$A:$H,8,0),"")</f>
        <v/>
      </c>
      <c r="K2893" s="9">
        <f>IFERROR(VLOOKUP(I2893,Materiales!$A:$G,7,0),"")</f>
        <v/>
      </c>
      <c r="L2893" s="8" t="inlineStr">
        <is>
          <t>20240425</t>
        </is>
      </c>
      <c r="M2893" s="8" t="inlineStr">
        <is>
          <t>20240814</t>
        </is>
      </c>
      <c r="N2893" s="10" t="n">
        <v>91.8</v>
      </c>
      <c r="O2893" s="10">
        <f>IFERROR(VLOOKUP(A2893,Flete!$A:$J,10,0),"")</f>
        <v/>
      </c>
      <c r="P2893" s="8" t="inlineStr">
        <is>
          <t>M3</t>
        </is>
      </c>
      <c r="Q2893" s="10">
        <f>IFERROR(IFERROR(VLOOKUP(A2893,TRAOPE!$A:$U,21,0),VLOOKUP(B2893,TRAOPE!$A:$U,21,0)),"")</f>
        <v/>
      </c>
      <c r="R2893" s="8">
        <f>IFERROR(IFERROR(VLOOKUP(A2893,TRAOPE!$A:$W,23,0),VLOOKUP(B2893,TRAOPE!$A:$W,23,0)),"")</f>
        <v/>
      </c>
      <c r="S2893" s="10">
        <f>IF(AND(P2893="TN",R2893="TN"),N2893+N(O2893),IF(G2893&amp;""="1",N(K2893)*N2893,(N2893+N(O2893))*N(K2893)))</f>
        <v/>
      </c>
      <c r="T2893" s="10">
        <f>IF(Q2893="","",Q2893-S2893)</f>
        <v/>
      </c>
    </row>
    <row r="2894">
      <c r="A2894" s="7">
        <f>CONCATENATE(C2894,E2894,F2894,I2894)</f>
        <v/>
      </c>
      <c r="B2894" s="7">
        <f>CONCATENATE(C2894,E2894,I2894)</f>
        <v/>
      </c>
      <c r="C2894" s="8" t="n">
        <v>900003613</v>
      </c>
      <c r="D2894" s="7">
        <f>IFERROR(VLOOKUP(C2894,TRAOPE!$G:$H,2,0),"")</f>
        <v/>
      </c>
      <c r="E2894" s="8" t="inlineStr">
        <is>
          <t>D836</t>
        </is>
      </c>
      <c r="F2894" s="8" t="inlineStr">
        <is>
          <t>66868491</t>
        </is>
      </c>
      <c r="G2894" s="8">
        <f>IFERROR(VLOOKUP(A2894,Flete!$A:$E,5,0),"")</f>
        <v/>
      </c>
      <c r="H2894" s="7">
        <f>IFERROR(VLOOKUP(F2894,TRAOPE!$AA:$AB,2,0),"")</f>
        <v/>
      </c>
      <c r="I2894" s="7" t="n">
        <v>10000627</v>
      </c>
      <c r="J2894" s="7">
        <f>IFERROR(VLOOKUP(I2894,Materiales!$A:$H,8,0),"")</f>
        <v/>
      </c>
      <c r="K2894" s="9">
        <f>IFERROR(VLOOKUP(I2894,Materiales!$A:$G,7,0),"")</f>
        <v/>
      </c>
      <c r="L2894" s="8" t="inlineStr">
        <is>
          <t>20240425</t>
        </is>
      </c>
      <c r="M2894" s="8" t="inlineStr">
        <is>
          <t>20240814</t>
        </is>
      </c>
      <c r="N2894" s="10" t="n">
        <v>81</v>
      </c>
      <c r="O2894" s="10">
        <f>IFERROR(VLOOKUP(A2894,Flete!$A:$J,10,0),"")</f>
        <v/>
      </c>
      <c r="P2894" s="8" t="inlineStr">
        <is>
          <t>M3</t>
        </is>
      </c>
      <c r="Q2894" s="10">
        <f>IFERROR(IFERROR(VLOOKUP(A2894,TRAOPE!$A:$U,21,0),VLOOKUP(B2894,TRAOPE!$A:$U,21,0)),"")</f>
        <v/>
      </c>
      <c r="R2894" s="8">
        <f>IFERROR(IFERROR(VLOOKUP(A2894,TRAOPE!$A:$W,23,0),VLOOKUP(B2894,TRAOPE!$A:$W,23,0)),"")</f>
        <v/>
      </c>
      <c r="S2894" s="10">
        <f>IF(AND(P2894="TN",R2894="TN"),N2894+N(O2894),IF(G2894&amp;""="1",N(K2894)*N2894,(N2894+N(O2894))*N(K2894)))</f>
        <v/>
      </c>
      <c r="T2894" s="10">
        <f>IF(Q2894="","",Q2894-S2894)</f>
        <v/>
      </c>
    </row>
    <row r="2895">
      <c r="A2895" s="7">
        <f>CONCATENATE(C2895,E2895,F2895,I2895)</f>
        <v/>
      </c>
      <c r="B2895" s="7">
        <f>CONCATENATE(C2895,E2895,I2895)</f>
        <v/>
      </c>
      <c r="C2895" s="8" t="n">
        <v>900003613</v>
      </c>
      <c r="D2895" s="7">
        <f>IFERROR(VLOOKUP(C2895,TRAOPE!$G:$H,2,0),"")</f>
        <v/>
      </c>
      <c r="E2895" s="8" t="inlineStr">
        <is>
          <t>D836</t>
        </is>
      </c>
      <c r="F2895" s="8" t="inlineStr">
        <is>
          <t>66868491</t>
        </is>
      </c>
      <c r="G2895" s="8">
        <f>IFERROR(VLOOKUP(A2895,Flete!$A:$E,5,0),"")</f>
        <v/>
      </c>
      <c r="H2895" s="7">
        <f>IFERROR(VLOOKUP(F2895,TRAOPE!$AA:$AB,2,0),"")</f>
        <v/>
      </c>
      <c r="I2895" s="7" t="n">
        <v>10000651</v>
      </c>
      <c r="J2895" s="7">
        <f>IFERROR(VLOOKUP(I2895,Materiales!$A:$H,8,0),"")</f>
        <v/>
      </c>
      <c r="K2895" s="9">
        <f>IFERROR(VLOOKUP(I2895,Materiales!$A:$G,7,0),"")</f>
        <v/>
      </c>
      <c r="L2895" s="8" t="inlineStr">
        <is>
          <t>20240425</t>
        </is>
      </c>
      <c r="M2895" s="8" t="inlineStr">
        <is>
          <t>20240814</t>
        </is>
      </c>
      <c r="N2895" s="10" t="n">
        <v>97.2</v>
      </c>
      <c r="O2895" s="10">
        <f>IFERROR(VLOOKUP(A2895,Flete!$A:$J,10,0),"")</f>
        <v/>
      </c>
      <c r="P2895" s="8" t="inlineStr">
        <is>
          <t>M3</t>
        </is>
      </c>
      <c r="Q2895" s="10">
        <f>IFERROR(IFERROR(VLOOKUP(A2895,TRAOPE!$A:$U,21,0),VLOOKUP(B2895,TRAOPE!$A:$U,21,0)),"")</f>
        <v/>
      </c>
      <c r="R2895" s="8">
        <f>IFERROR(IFERROR(VLOOKUP(A2895,TRAOPE!$A:$W,23,0),VLOOKUP(B2895,TRAOPE!$A:$W,23,0)),"")</f>
        <v/>
      </c>
      <c r="S2895" s="10">
        <f>IF(AND(P2895="TN",R2895="TN"),N2895+N(O2895),IF(G2895&amp;""="1",N(K2895)*N2895,(N2895+N(O2895))*N(K2895)))</f>
        <v/>
      </c>
      <c r="T2895" s="10">
        <f>IF(Q2895="","",Q2895-S2895)</f>
        <v/>
      </c>
    </row>
    <row r="2896">
      <c r="A2896" s="7">
        <f>CONCATENATE(C2896,E2896,F2896,I2896)</f>
        <v/>
      </c>
      <c r="B2896" s="7">
        <f>CONCATENATE(C2896,E2896,I2896)</f>
        <v/>
      </c>
      <c r="C2896" s="8" t="n">
        <v>900003613</v>
      </c>
      <c r="D2896" s="7">
        <f>IFERROR(VLOOKUP(C2896,TRAOPE!$G:$H,2,0),"")</f>
        <v/>
      </c>
      <c r="E2896" s="8" t="inlineStr">
        <is>
          <t>D836</t>
        </is>
      </c>
      <c r="F2896" s="8" t="inlineStr">
        <is>
          <t>66868491</t>
        </is>
      </c>
      <c r="G2896" s="8">
        <f>IFERROR(VLOOKUP(A2896,Flete!$A:$E,5,0),"")</f>
        <v/>
      </c>
      <c r="H2896" s="7">
        <f>IFERROR(VLOOKUP(F2896,TRAOPE!$AA:$AB,2,0),"")</f>
        <v/>
      </c>
      <c r="I2896" s="7" t="n">
        <v>10059181</v>
      </c>
      <c r="J2896" s="7">
        <f>IFERROR(VLOOKUP(I2896,Materiales!$A:$H,8,0),"")</f>
        <v/>
      </c>
      <c r="K2896" s="9">
        <f>IFERROR(VLOOKUP(I2896,Materiales!$A:$G,7,0),"")</f>
        <v/>
      </c>
      <c r="L2896" s="8" t="inlineStr">
        <is>
          <t>20240425</t>
        </is>
      </c>
      <c r="M2896" s="8" t="inlineStr">
        <is>
          <t>20240814</t>
        </is>
      </c>
      <c r="N2896" s="10" t="n">
        <v>81</v>
      </c>
      <c r="O2896" s="10">
        <f>IFERROR(VLOOKUP(A2896,Flete!$A:$J,10,0),"")</f>
        <v/>
      </c>
      <c r="P2896" s="8" t="inlineStr">
        <is>
          <t>M3</t>
        </is>
      </c>
      <c r="Q2896" s="10">
        <f>IFERROR(IFERROR(VLOOKUP(A2896,TRAOPE!$A:$U,21,0),VLOOKUP(B2896,TRAOPE!$A:$U,21,0)),"")</f>
        <v/>
      </c>
      <c r="R2896" s="8">
        <f>IFERROR(IFERROR(VLOOKUP(A2896,TRAOPE!$A:$W,23,0),VLOOKUP(B2896,TRAOPE!$A:$W,23,0)),"")</f>
        <v/>
      </c>
      <c r="S2896" s="10">
        <f>IF(AND(P2896="TN",R2896="TN"),N2896+N(O2896),IF(G2896&amp;""="1",N(K2896)*N2896,(N2896+N(O2896))*N(K2896)))</f>
        <v/>
      </c>
      <c r="T2896" s="10">
        <f>IF(Q2896="","",Q2896-S2896)</f>
        <v/>
      </c>
    </row>
    <row r="2897">
      <c r="A2897" s="7">
        <f>CONCATENATE(C2897,E2897,F2897,I2897)</f>
        <v/>
      </c>
      <c r="B2897" s="7">
        <f>CONCATENATE(C2897,E2897,I2897)</f>
        <v/>
      </c>
      <c r="C2897" s="8" t="n">
        <v>900003613</v>
      </c>
      <c r="D2897" s="7">
        <f>IFERROR(VLOOKUP(C2897,TRAOPE!$G:$H,2,0),"")</f>
        <v/>
      </c>
      <c r="E2897" s="8" t="inlineStr">
        <is>
          <t>D836</t>
        </is>
      </c>
      <c r="F2897" s="8" t="inlineStr">
        <is>
          <t>66982551</t>
        </is>
      </c>
      <c r="G2897" s="8">
        <f>IFERROR(VLOOKUP(A2897,Flete!$A:$E,5,0),"")</f>
        <v/>
      </c>
      <c r="H2897" s="7">
        <f>IFERROR(VLOOKUP(F2897,TRAOPE!$AA:$AB,2,0),"")</f>
        <v/>
      </c>
      <c r="I2897" s="7" t="n">
        <v>10000253</v>
      </c>
      <c r="J2897" s="7">
        <f>IFERROR(VLOOKUP(I2897,Materiales!$A:$H,8,0),"")</f>
        <v/>
      </c>
      <c r="K2897" s="9">
        <f>IFERROR(VLOOKUP(I2897,Materiales!$A:$G,7,0),"")</f>
        <v/>
      </c>
      <c r="L2897" s="8" t="inlineStr">
        <is>
          <t>20250528</t>
        </is>
      </c>
      <c r="M2897" s="8" t="inlineStr">
        <is>
          <t>20250710</t>
        </is>
      </c>
      <c r="N2897" s="10" t="n">
        <v>93</v>
      </c>
      <c r="O2897" s="10">
        <f>IFERROR(VLOOKUP(A2897,Flete!$A:$J,10,0),"")</f>
        <v/>
      </c>
      <c r="P2897" s="8" t="inlineStr">
        <is>
          <t>M3</t>
        </is>
      </c>
      <c r="Q2897" s="10">
        <f>IFERROR(IFERROR(VLOOKUP(A2897,TRAOPE!$A:$U,21,0),VLOOKUP(B2897,TRAOPE!$A:$U,21,0)),"")</f>
        <v/>
      </c>
      <c r="R2897" s="8">
        <f>IFERROR(IFERROR(VLOOKUP(A2897,TRAOPE!$A:$W,23,0),VLOOKUP(B2897,TRAOPE!$A:$W,23,0)),"")</f>
        <v/>
      </c>
      <c r="S2897" s="10">
        <f>IF(AND(P2897="TN",R2897="TN"),N2897+N(O2897),IF(G2897&amp;""="1",N(K2897)*N2897,(N2897+N(O2897))*N(K2897)))</f>
        <v/>
      </c>
      <c r="T2897" s="10">
        <f>IF(Q2897="","",Q2897-S2897)</f>
        <v/>
      </c>
    </row>
    <row r="2898">
      <c r="A2898" s="7">
        <f>CONCATENATE(C2898,E2898,F2898,I2898)</f>
        <v/>
      </c>
      <c r="B2898" s="7">
        <f>CONCATENATE(C2898,E2898,I2898)</f>
        <v/>
      </c>
      <c r="C2898" s="8" t="n">
        <v>900003613</v>
      </c>
      <c r="D2898" s="7">
        <f>IFERROR(VLOOKUP(C2898,TRAOPE!$G:$H,2,0),"")</f>
        <v/>
      </c>
      <c r="E2898" s="8" t="inlineStr">
        <is>
          <t>D836</t>
        </is>
      </c>
      <c r="F2898" s="8" t="inlineStr">
        <is>
          <t>66982551</t>
        </is>
      </c>
      <c r="G2898" s="8">
        <f>IFERROR(VLOOKUP(A2898,Flete!$A:$E,5,0),"")</f>
        <v/>
      </c>
      <c r="H2898" s="7">
        <f>IFERROR(VLOOKUP(F2898,TRAOPE!$AA:$AB,2,0),"")</f>
        <v/>
      </c>
      <c r="I2898" s="7" t="n">
        <v>10059181</v>
      </c>
      <c r="J2898" s="7">
        <f>IFERROR(VLOOKUP(I2898,Materiales!$A:$H,8,0),"")</f>
        <v/>
      </c>
      <c r="K2898" s="9">
        <f>IFERROR(VLOOKUP(I2898,Materiales!$A:$G,7,0),"")</f>
        <v/>
      </c>
      <c r="L2898" s="8" t="inlineStr">
        <is>
          <t>20250528</t>
        </is>
      </c>
      <c r="M2898" s="8" t="inlineStr">
        <is>
          <t>20250710</t>
        </is>
      </c>
      <c r="N2898" s="10" t="n">
        <v>83</v>
      </c>
      <c r="O2898" s="10">
        <f>IFERROR(VLOOKUP(A2898,Flete!$A:$J,10,0),"")</f>
        <v/>
      </c>
      <c r="P2898" s="8" t="inlineStr">
        <is>
          <t>M3</t>
        </is>
      </c>
      <c r="Q2898" s="10">
        <f>IFERROR(IFERROR(VLOOKUP(A2898,TRAOPE!$A:$U,21,0),VLOOKUP(B2898,TRAOPE!$A:$U,21,0)),"")</f>
        <v/>
      </c>
      <c r="R2898" s="8">
        <f>IFERROR(IFERROR(VLOOKUP(A2898,TRAOPE!$A:$W,23,0),VLOOKUP(B2898,TRAOPE!$A:$W,23,0)),"")</f>
        <v/>
      </c>
      <c r="S2898" s="10">
        <f>IF(AND(P2898="TN",R2898="TN"),N2898+N(O2898),IF(G2898&amp;""="1",N(K2898)*N2898,(N2898+N(O2898))*N(K2898)))</f>
        <v/>
      </c>
      <c r="T2898" s="10">
        <f>IF(Q2898="","",Q2898-S2898)</f>
        <v/>
      </c>
    </row>
    <row r="2899">
      <c r="A2899" s="7">
        <f>CONCATENATE(C2899,E2899,F2899,I2899)</f>
        <v/>
      </c>
      <c r="B2899" s="7">
        <f>CONCATENATE(C2899,E2899,I2899)</f>
        <v/>
      </c>
      <c r="C2899" s="8" t="n">
        <v>900003613</v>
      </c>
      <c r="D2899" s="7">
        <f>IFERROR(VLOOKUP(C2899,TRAOPE!$G:$H,2,0),"")</f>
        <v/>
      </c>
      <c r="E2899" s="8" t="inlineStr">
        <is>
          <t>D836</t>
        </is>
      </c>
      <c r="F2899" s="8" t="inlineStr">
        <is>
          <t>67288888</t>
        </is>
      </c>
      <c r="G2899" s="8">
        <f>IFERROR(VLOOKUP(A2899,Flete!$A:$E,5,0),"")</f>
        <v/>
      </c>
      <c r="H2899" s="7">
        <f>IFERROR(VLOOKUP(F2899,TRAOPE!$AA:$AB,2,0),"")</f>
        <v/>
      </c>
      <c r="I2899" s="7" t="n">
        <v>10000253</v>
      </c>
      <c r="J2899" s="7">
        <f>IFERROR(VLOOKUP(I2899,Materiales!$A:$H,8,0),"")</f>
        <v/>
      </c>
      <c r="K2899" s="9">
        <f>IFERROR(VLOOKUP(I2899,Materiales!$A:$G,7,0),"")</f>
        <v/>
      </c>
      <c r="L2899" s="8" t="inlineStr">
        <is>
          <t>20250528</t>
        </is>
      </c>
      <c r="M2899" s="8" t="inlineStr">
        <is>
          <t>20250710</t>
        </is>
      </c>
      <c r="N2899" s="10" t="n">
        <v>90.2</v>
      </c>
      <c r="O2899" s="10">
        <f>IFERROR(VLOOKUP(A2899,Flete!$A:$J,10,0),"")</f>
        <v/>
      </c>
      <c r="P2899" s="8" t="inlineStr">
        <is>
          <t>M3</t>
        </is>
      </c>
      <c r="Q2899" s="10">
        <f>IFERROR(IFERROR(VLOOKUP(A2899,TRAOPE!$A:$U,21,0),VLOOKUP(B2899,TRAOPE!$A:$U,21,0)),"")</f>
        <v/>
      </c>
      <c r="R2899" s="8">
        <f>IFERROR(IFERROR(VLOOKUP(A2899,TRAOPE!$A:$W,23,0),VLOOKUP(B2899,TRAOPE!$A:$W,23,0)),"")</f>
        <v/>
      </c>
      <c r="S2899" s="10">
        <f>IF(AND(P2899="TN",R2899="TN"),N2899+N(O2899),IF(G2899&amp;""="1",N(K2899)*N2899,(N2899+N(O2899))*N(K2899)))</f>
        <v/>
      </c>
      <c r="T2899" s="10">
        <f>IF(Q2899="","",Q2899-S2899)</f>
        <v/>
      </c>
    </row>
    <row r="2900">
      <c r="A2900" s="7">
        <f>CONCATENATE(C2900,E2900,F2900,I2900)</f>
        <v/>
      </c>
      <c r="B2900" s="7">
        <f>CONCATENATE(C2900,E2900,I2900)</f>
        <v/>
      </c>
      <c r="C2900" s="8" t="n">
        <v>900003613</v>
      </c>
      <c r="D2900" s="7">
        <f>IFERROR(VLOOKUP(C2900,TRAOPE!$G:$H,2,0),"")</f>
        <v/>
      </c>
      <c r="E2900" s="8" t="inlineStr">
        <is>
          <t>D836</t>
        </is>
      </c>
      <c r="F2900" s="8" t="inlineStr">
        <is>
          <t>67288888</t>
        </is>
      </c>
      <c r="G2900" s="8">
        <f>IFERROR(VLOOKUP(A2900,Flete!$A:$E,5,0),"")</f>
        <v/>
      </c>
      <c r="H2900" s="7">
        <f>IFERROR(VLOOKUP(F2900,TRAOPE!$AA:$AB,2,0),"")</f>
        <v/>
      </c>
      <c r="I2900" s="7" t="n">
        <v>10059181</v>
      </c>
      <c r="J2900" s="7">
        <f>IFERROR(VLOOKUP(I2900,Materiales!$A:$H,8,0),"")</f>
        <v/>
      </c>
      <c r="K2900" s="9">
        <f>IFERROR(VLOOKUP(I2900,Materiales!$A:$G,7,0),"")</f>
        <v/>
      </c>
      <c r="L2900" s="8" t="inlineStr">
        <is>
          <t>20250528</t>
        </is>
      </c>
      <c r="M2900" s="8" t="inlineStr">
        <is>
          <t>20250710</t>
        </is>
      </c>
      <c r="N2900" s="10" t="n">
        <v>81.09999999999999</v>
      </c>
      <c r="O2900" s="10">
        <f>IFERROR(VLOOKUP(A2900,Flete!$A:$J,10,0),"")</f>
        <v/>
      </c>
      <c r="P2900" s="8" t="inlineStr">
        <is>
          <t>M3</t>
        </is>
      </c>
      <c r="Q2900" s="10">
        <f>IFERROR(IFERROR(VLOOKUP(A2900,TRAOPE!$A:$U,21,0),VLOOKUP(B2900,TRAOPE!$A:$U,21,0)),"")</f>
        <v/>
      </c>
      <c r="R2900" s="8">
        <f>IFERROR(IFERROR(VLOOKUP(A2900,TRAOPE!$A:$W,23,0),VLOOKUP(B2900,TRAOPE!$A:$W,23,0)),"")</f>
        <v/>
      </c>
      <c r="S2900" s="10">
        <f>IF(AND(P2900="TN",R2900="TN"),N2900+N(O2900),IF(G2900&amp;""="1",N(K2900)*N2900,(N2900+N(O2900))*N(K2900)))</f>
        <v/>
      </c>
      <c r="T2900" s="10">
        <f>IF(Q2900="","",Q2900-S2900)</f>
        <v/>
      </c>
    </row>
    <row r="2901">
      <c r="A2901" s="7">
        <f>CONCATENATE(C2901,E2901,F2901,I2901)</f>
        <v/>
      </c>
      <c r="B2901" s="7">
        <f>CONCATENATE(C2901,E2901,I2901)</f>
        <v/>
      </c>
      <c r="C2901" s="8" t="n">
        <v>900004077</v>
      </c>
      <c r="D2901" s="7">
        <f>IFERROR(VLOOKUP(C2901,TRAOPE!$G:$H,2,0),"")</f>
        <v/>
      </c>
      <c r="E2901" s="8" t="inlineStr">
        <is>
          <t>D836</t>
        </is>
      </c>
      <c r="F2901" s="8" t="inlineStr">
        <is>
          <t>65232687</t>
        </is>
      </c>
      <c r="G2901" s="8">
        <f>IFERROR(VLOOKUP(A2901,Flete!$A:$E,5,0),"")</f>
        <v/>
      </c>
      <c r="H2901" s="7">
        <f>IFERROR(VLOOKUP(F2901,TRAOPE!$AA:$AB,2,0),"")</f>
        <v/>
      </c>
      <c r="I2901" s="7" t="n">
        <v>10002802</v>
      </c>
      <c r="J2901" s="7">
        <f>IFERROR(VLOOKUP(I2901,Materiales!$A:$H,8,0),"")</f>
        <v/>
      </c>
      <c r="K2901" s="9">
        <f>IFERROR(VLOOKUP(I2901,Materiales!$A:$G,7,0),"")</f>
        <v/>
      </c>
      <c r="L2901" s="8" t="inlineStr">
        <is>
          <t>20240423</t>
        </is>
      </c>
      <c r="M2901" s="8" t="inlineStr">
        <is>
          <t>20240612</t>
        </is>
      </c>
      <c r="N2901" s="10" t="n">
        <v>160</v>
      </c>
      <c r="O2901" s="10">
        <f>IFERROR(VLOOKUP(A2901,Flete!$A:$J,10,0),"")</f>
        <v/>
      </c>
      <c r="P2901" s="8" t="inlineStr">
        <is>
          <t>M3</t>
        </is>
      </c>
      <c r="Q2901" s="10">
        <f>IFERROR(IFERROR(VLOOKUP(A2901,TRAOPE!$A:$U,21,0),VLOOKUP(B2901,TRAOPE!$A:$U,21,0)),"")</f>
        <v/>
      </c>
      <c r="R2901" s="8">
        <f>IFERROR(IFERROR(VLOOKUP(A2901,TRAOPE!$A:$W,23,0),VLOOKUP(B2901,TRAOPE!$A:$W,23,0)),"")</f>
        <v/>
      </c>
      <c r="S2901" s="10">
        <f>IF(AND(P2901="TN",R2901="TN"),N2901+N(O2901),IF(G2901&amp;""="1",N(K2901)*N2901,(N2901+N(O2901))*N(K2901)))</f>
        <v/>
      </c>
      <c r="T2901" s="10">
        <f>IF(Q2901="","",Q2901-S2901)</f>
        <v/>
      </c>
    </row>
    <row r="2902">
      <c r="A2902" s="7">
        <f>CONCATENATE(C2902,E2902,F2902,I2902)</f>
        <v/>
      </c>
      <c r="B2902" s="7">
        <f>CONCATENATE(C2902,E2902,I2902)</f>
        <v/>
      </c>
      <c r="C2902" s="8" t="n">
        <v>900004077</v>
      </c>
      <c r="D2902" s="7">
        <f>IFERROR(VLOOKUP(C2902,TRAOPE!$G:$H,2,0),"")</f>
        <v/>
      </c>
      <c r="E2902" s="8" t="inlineStr">
        <is>
          <t>D836</t>
        </is>
      </c>
      <c r="F2902" s="8" t="inlineStr">
        <is>
          <t>65387641</t>
        </is>
      </c>
      <c r="G2902" s="8">
        <f>IFERROR(VLOOKUP(A2902,Flete!$A:$E,5,0),"")</f>
        <v/>
      </c>
      <c r="H2902" s="7">
        <f>IFERROR(VLOOKUP(F2902,TRAOPE!$AA:$AB,2,0),"")</f>
        <v/>
      </c>
      <c r="I2902" s="7" t="n">
        <v>10002802</v>
      </c>
      <c r="J2902" s="7">
        <f>IFERROR(VLOOKUP(I2902,Materiales!$A:$H,8,0),"")</f>
        <v/>
      </c>
      <c r="K2902" s="9">
        <f>IFERROR(VLOOKUP(I2902,Materiales!$A:$G,7,0),"")</f>
        <v/>
      </c>
      <c r="L2902" s="8" t="inlineStr">
        <is>
          <t>20240423</t>
        </is>
      </c>
      <c r="M2902" s="8" t="inlineStr">
        <is>
          <t>20240612</t>
        </is>
      </c>
      <c r="N2902" s="10" t="n">
        <v>160</v>
      </c>
      <c r="O2902" s="10">
        <f>IFERROR(VLOOKUP(A2902,Flete!$A:$J,10,0),"")</f>
        <v/>
      </c>
      <c r="P2902" s="8" t="inlineStr">
        <is>
          <t>M3</t>
        </is>
      </c>
      <c r="Q2902" s="10">
        <f>IFERROR(IFERROR(VLOOKUP(A2902,TRAOPE!$A:$U,21,0),VLOOKUP(B2902,TRAOPE!$A:$U,21,0)),"")</f>
        <v/>
      </c>
      <c r="R2902" s="8">
        <f>IFERROR(IFERROR(VLOOKUP(A2902,TRAOPE!$A:$W,23,0),VLOOKUP(B2902,TRAOPE!$A:$W,23,0)),"")</f>
        <v/>
      </c>
      <c r="S2902" s="10">
        <f>IF(AND(P2902="TN",R2902="TN"),N2902+N(O2902),IF(G2902&amp;""="1",N(K2902)*N2902,(N2902+N(O2902))*N(K2902)))</f>
        <v/>
      </c>
      <c r="T2902" s="10">
        <f>IF(Q2902="","",Q2902-S2902)</f>
        <v/>
      </c>
    </row>
    <row r="2903">
      <c r="A2903" s="7">
        <f>CONCATENATE(C2903,E2903,F2903,I2903)</f>
        <v/>
      </c>
      <c r="B2903" s="7">
        <f>CONCATENATE(C2903,E2903,I2903)</f>
        <v/>
      </c>
      <c r="C2903" s="8" t="n">
        <v>900004077</v>
      </c>
      <c r="D2903" s="7">
        <f>IFERROR(VLOOKUP(C2903,TRAOPE!$G:$H,2,0),"")</f>
        <v/>
      </c>
      <c r="E2903" s="8" t="inlineStr">
        <is>
          <t>D836</t>
        </is>
      </c>
      <c r="F2903" s="8" t="inlineStr">
        <is>
          <t>66426100</t>
        </is>
      </c>
      <c r="G2903" s="8">
        <f>IFERROR(VLOOKUP(A2903,Flete!$A:$E,5,0),"")</f>
        <v/>
      </c>
      <c r="H2903" s="7">
        <f>IFERROR(VLOOKUP(F2903,TRAOPE!$AA:$AB,2,0),"")</f>
        <v/>
      </c>
      <c r="I2903" s="7" t="n">
        <v>10002802</v>
      </c>
      <c r="J2903" s="7">
        <f>IFERROR(VLOOKUP(I2903,Materiales!$A:$H,8,0),"")</f>
        <v/>
      </c>
      <c r="K2903" s="9">
        <f>IFERROR(VLOOKUP(I2903,Materiales!$A:$G,7,0),"")</f>
        <v/>
      </c>
      <c r="L2903" s="8" t="inlineStr">
        <is>
          <t>20240425</t>
        </is>
      </c>
      <c r="M2903" s="8" t="inlineStr">
        <is>
          <t>20240814</t>
        </is>
      </c>
      <c r="N2903" s="10" t="n">
        <v>141</v>
      </c>
      <c r="O2903" s="10">
        <f>IFERROR(VLOOKUP(A2903,Flete!$A:$J,10,0),"")</f>
        <v/>
      </c>
      <c r="P2903" s="8" t="inlineStr">
        <is>
          <t>M3</t>
        </is>
      </c>
      <c r="Q2903" s="10">
        <f>IFERROR(IFERROR(VLOOKUP(A2903,TRAOPE!$A:$U,21,0),VLOOKUP(B2903,TRAOPE!$A:$U,21,0)),"")</f>
        <v/>
      </c>
      <c r="R2903" s="8">
        <f>IFERROR(IFERROR(VLOOKUP(A2903,TRAOPE!$A:$W,23,0),VLOOKUP(B2903,TRAOPE!$A:$W,23,0)),"")</f>
        <v/>
      </c>
      <c r="S2903" s="10">
        <f>IF(AND(P2903="TN",R2903="TN"),N2903+N(O2903),IF(G2903&amp;""="1",N(K2903)*N2903,(N2903+N(O2903))*N(K2903)))</f>
        <v/>
      </c>
      <c r="T2903" s="10">
        <f>IF(Q2903="","",Q2903-S2903)</f>
        <v/>
      </c>
    </row>
    <row r="2904">
      <c r="A2904" s="7">
        <f>CONCATENATE(C2904,E2904,F2904,I2904)</f>
        <v/>
      </c>
      <c r="B2904" s="7">
        <f>CONCATENATE(C2904,E2904,I2904)</f>
        <v/>
      </c>
      <c r="C2904" s="8" t="n">
        <v>900004077</v>
      </c>
      <c r="D2904" s="7">
        <f>IFERROR(VLOOKUP(C2904,TRAOPE!$G:$H,2,0),"")</f>
        <v/>
      </c>
      <c r="E2904" s="8" t="inlineStr">
        <is>
          <t>D836</t>
        </is>
      </c>
      <c r="F2904" s="8" t="inlineStr">
        <is>
          <t>66433509</t>
        </is>
      </c>
      <c r="G2904" s="8">
        <f>IFERROR(VLOOKUP(A2904,Flete!$A:$E,5,0),"")</f>
        <v/>
      </c>
      <c r="H2904" s="7">
        <f>IFERROR(VLOOKUP(F2904,TRAOPE!$AA:$AB,2,0),"")</f>
        <v/>
      </c>
      <c r="I2904" s="7" t="n">
        <v>10002802</v>
      </c>
      <c r="J2904" s="7">
        <f>IFERROR(VLOOKUP(I2904,Materiales!$A:$H,8,0),"")</f>
        <v/>
      </c>
      <c r="K2904" s="9">
        <f>IFERROR(VLOOKUP(I2904,Materiales!$A:$G,7,0),"")</f>
        <v/>
      </c>
      <c r="L2904" s="8" t="inlineStr">
        <is>
          <t>20240425</t>
        </is>
      </c>
      <c r="M2904" s="8" t="inlineStr">
        <is>
          <t>20240814</t>
        </is>
      </c>
      <c r="N2904" s="10" t="n">
        <v>141</v>
      </c>
      <c r="O2904" s="10">
        <f>IFERROR(VLOOKUP(A2904,Flete!$A:$J,10,0),"")</f>
        <v/>
      </c>
      <c r="P2904" s="8" t="inlineStr">
        <is>
          <t>M3</t>
        </is>
      </c>
      <c r="Q2904" s="10">
        <f>IFERROR(IFERROR(VLOOKUP(A2904,TRAOPE!$A:$U,21,0),VLOOKUP(B2904,TRAOPE!$A:$U,21,0)),"")</f>
        <v/>
      </c>
      <c r="R2904" s="8">
        <f>IFERROR(IFERROR(VLOOKUP(A2904,TRAOPE!$A:$W,23,0),VLOOKUP(B2904,TRAOPE!$A:$W,23,0)),"")</f>
        <v/>
      </c>
      <c r="S2904" s="10">
        <f>IF(AND(P2904="TN",R2904="TN"),N2904+N(O2904),IF(G2904&amp;""="1",N(K2904)*N2904,(N2904+N(O2904))*N(K2904)))</f>
        <v/>
      </c>
      <c r="T2904" s="10">
        <f>IF(Q2904="","",Q2904-S2904)</f>
        <v/>
      </c>
    </row>
    <row r="2905">
      <c r="A2905" s="7">
        <f>CONCATENATE(C2905,E2905,F2905,I2905)</f>
        <v/>
      </c>
      <c r="B2905" s="7">
        <f>CONCATENATE(C2905,E2905,I2905)</f>
        <v/>
      </c>
      <c r="C2905" s="8" t="n">
        <v>900004077</v>
      </c>
      <c r="D2905" s="7">
        <f>IFERROR(VLOOKUP(C2905,TRAOPE!$G:$H,2,0),"")</f>
        <v/>
      </c>
      <c r="E2905" s="8" t="inlineStr">
        <is>
          <t>D836</t>
        </is>
      </c>
      <c r="F2905" s="8" t="inlineStr">
        <is>
          <t>66463792</t>
        </is>
      </c>
      <c r="G2905" s="8">
        <f>IFERROR(VLOOKUP(A2905,Flete!$A:$E,5,0),"")</f>
        <v/>
      </c>
      <c r="H2905" s="7">
        <f>IFERROR(VLOOKUP(F2905,TRAOPE!$AA:$AB,2,0),"")</f>
        <v/>
      </c>
      <c r="I2905" s="7" t="n">
        <v>10002802</v>
      </c>
      <c r="J2905" s="7">
        <f>IFERROR(VLOOKUP(I2905,Materiales!$A:$H,8,0),"")</f>
        <v/>
      </c>
      <c r="K2905" s="9">
        <f>IFERROR(VLOOKUP(I2905,Materiales!$A:$G,7,0),"")</f>
        <v/>
      </c>
      <c r="L2905" s="8" t="inlineStr">
        <is>
          <t>20180620</t>
        </is>
      </c>
      <c r="M2905" s="8" t="inlineStr">
        <is>
          <t>20240612</t>
        </is>
      </c>
      <c r="N2905" s="10" t="n">
        <v>140</v>
      </c>
      <c r="O2905" s="10">
        <f>IFERROR(VLOOKUP(A2905,Flete!$A:$J,10,0),"")</f>
        <v/>
      </c>
      <c r="P2905" s="8" t="inlineStr">
        <is>
          <t>TN</t>
        </is>
      </c>
      <c r="Q2905" s="10">
        <f>IFERROR(IFERROR(VLOOKUP(A2905,TRAOPE!$A:$U,21,0),VLOOKUP(B2905,TRAOPE!$A:$U,21,0)),"")</f>
        <v/>
      </c>
      <c r="R2905" s="8">
        <f>IFERROR(IFERROR(VLOOKUP(A2905,TRAOPE!$A:$W,23,0),VLOOKUP(B2905,TRAOPE!$A:$W,23,0)),"")</f>
        <v/>
      </c>
      <c r="S2905" s="10">
        <f>IF(AND(P2905="TN",R2905="TN"),N2905+N(O2905),IF(G2905&amp;""="1",N(K2905)*N2905,(N2905+N(O2905))*N(K2905)))</f>
        <v/>
      </c>
      <c r="T2905" s="10">
        <f>IF(Q2905="","",Q2905-S2905)</f>
        <v/>
      </c>
    </row>
    <row r="2906">
      <c r="A2906" s="7">
        <f>CONCATENATE(C2906,E2906,F2906,I2906)</f>
        <v/>
      </c>
      <c r="B2906" s="7">
        <f>CONCATENATE(C2906,E2906,I2906)</f>
        <v/>
      </c>
      <c r="C2906" s="8" t="n">
        <v>900004077</v>
      </c>
      <c r="D2906" s="7">
        <f>IFERROR(VLOOKUP(C2906,TRAOPE!$G:$H,2,0),"")</f>
        <v/>
      </c>
      <c r="E2906" s="8" t="inlineStr">
        <is>
          <t>D836</t>
        </is>
      </c>
      <c r="F2906" s="8" t="inlineStr">
        <is>
          <t>66838326</t>
        </is>
      </c>
      <c r="G2906" s="8">
        <f>IFERROR(VLOOKUP(A2906,Flete!$A:$E,5,0),"")</f>
        <v/>
      </c>
      <c r="H2906" s="7">
        <f>IFERROR(VLOOKUP(F2906,TRAOPE!$AA:$AB,2,0),"")</f>
        <v/>
      </c>
      <c r="I2906" s="7" t="n">
        <v>10002802</v>
      </c>
      <c r="J2906" s="7">
        <f>IFERROR(VLOOKUP(I2906,Materiales!$A:$H,8,0),"")</f>
        <v/>
      </c>
      <c r="K2906" s="9">
        <f>IFERROR(VLOOKUP(I2906,Materiales!$A:$G,7,0),"")</f>
        <v/>
      </c>
      <c r="L2906" s="8" t="inlineStr">
        <is>
          <t>20240425</t>
        </is>
      </c>
      <c r="M2906" s="8" t="inlineStr">
        <is>
          <t>20240814</t>
        </is>
      </c>
      <c r="N2906" s="10" t="n">
        <v>145</v>
      </c>
      <c r="O2906" s="10">
        <f>IFERROR(VLOOKUP(A2906,Flete!$A:$J,10,0),"")</f>
        <v/>
      </c>
      <c r="P2906" s="8" t="inlineStr">
        <is>
          <t>M3</t>
        </is>
      </c>
      <c r="Q2906" s="10">
        <f>IFERROR(IFERROR(VLOOKUP(A2906,TRAOPE!$A:$U,21,0),VLOOKUP(B2906,TRAOPE!$A:$U,21,0)),"")</f>
        <v/>
      </c>
      <c r="R2906" s="8">
        <f>IFERROR(IFERROR(VLOOKUP(A2906,TRAOPE!$A:$W,23,0),VLOOKUP(B2906,TRAOPE!$A:$W,23,0)),"")</f>
        <v/>
      </c>
      <c r="S2906" s="10">
        <f>IF(AND(P2906="TN",R2906="TN"),N2906+N(O2906),IF(G2906&amp;""="1",N(K2906)*N2906,(N2906+N(O2906))*N(K2906)))</f>
        <v/>
      </c>
      <c r="T2906" s="10">
        <f>IF(Q2906="","",Q2906-S2906)</f>
        <v/>
      </c>
    </row>
    <row r="2907">
      <c r="A2907" s="7">
        <f>CONCATENATE(C2907,E2907,F2907,I2907)</f>
        <v/>
      </c>
      <c r="B2907" s="7">
        <f>CONCATENATE(C2907,E2907,I2907)</f>
        <v/>
      </c>
      <c r="C2907" s="8" t="n">
        <v>900004077</v>
      </c>
      <c r="D2907" s="7">
        <f>IFERROR(VLOOKUP(C2907,TRAOPE!$G:$H,2,0),"")</f>
        <v/>
      </c>
      <c r="E2907" s="8" t="inlineStr">
        <is>
          <t>D836</t>
        </is>
      </c>
      <c r="F2907" s="8" t="inlineStr">
        <is>
          <t>66838326</t>
        </is>
      </c>
      <c r="G2907" s="8">
        <f>IFERROR(VLOOKUP(A2907,Flete!$A:$E,5,0),"")</f>
        <v/>
      </c>
      <c r="H2907" s="7">
        <f>IFERROR(VLOOKUP(F2907,TRAOPE!$AA:$AB,2,0),"")</f>
        <v/>
      </c>
      <c r="I2907" s="7" t="n">
        <v>10192909</v>
      </c>
      <c r="J2907" s="7">
        <f>IFERROR(VLOOKUP(I2907,Materiales!$A:$H,8,0),"")</f>
        <v/>
      </c>
      <c r="K2907" s="9">
        <f>IFERROR(VLOOKUP(I2907,Materiales!$A:$G,7,0),"")</f>
        <v/>
      </c>
      <c r="L2907" s="8" t="inlineStr">
        <is>
          <t>20240425</t>
        </is>
      </c>
      <c r="M2907" s="8" t="inlineStr">
        <is>
          <t>20240814</t>
        </is>
      </c>
      <c r="N2907" s="10" t="n">
        <v>110</v>
      </c>
      <c r="O2907" s="10">
        <f>IFERROR(VLOOKUP(A2907,Flete!$A:$J,10,0),"")</f>
        <v/>
      </c>
      <c r="P2907" s="8" t="inlineStr">
        <is>
          <t>TN</t>
        </is>
      </c>
      <c r="Q2907" s="10">
        <f>IFERROR(IFERROR(VLOOKUP(A2907,TRAOPE!$A:$U,21,0),VLOOKUP(B2907,TRAOPE!$A:$U,21,0)),"")</f>
        <v/>
      </c>
      <c r="R2907" s="8">
        <f>IFERROR(IFERROR(VLOOKUP(A2907,TRAOPE!$A:$W,23,0),VLOOKUP(B2907,TRAOPE!$A:$W,23,0)),"")</f>
        <v/>
      </c>
      <c r="S2907" s="10">
        <f>IF(AND(P2907="TN",R2907="TN"),N2907+N(O2907),IF(G2907&amp;""="1",N(K2907)*N2907,(N2907+N(O2907))*N(K2907)))</f>
        <v/>
      </c>
      <c r="T2907" s="10">
        <f>IF(Q2907="","",Q2907-S2907)</f>
        <v/>
      </c>
    </row>
    <row r="2908">
      <c r="A2908" s="7">
        <f>CONCATENATE(C2908,E2908,F2908,I2908)</f>
        <v/>
      </c>
      <c r="B2908" s="7">
        <f>CONCATENATE(C2908,E2908,I2908)</f>
        <v/>
      </c>
      <c r="C2908" s="8" t="n">
        <v>900004077</v>
      </c>
      <c r="D2908" s="7">
        <f>IFERROR(VLOOKUP(C2908,TRAOPE!$G:$H,2,0),"")</f>
        <v/>
      </c>
      <c r="E2908" s="8" t="inlineStr">
        <is>
          <t>D836</t>
        </is>
      </c>
      <c r="F2908" s="8" t="inlineStr">
        <is>
          <t>66838326</t>
        </is>
      </c>
      <c r="G2908" s="8">
        <f>IFERROR(VLOOKUP(A2908,Flete!$A:$E,5,0),"")</f>
        <v/>
      </c>
      <c r="H2908" s="7">
        <f>IFERROR(VLOOKUP(F2908,TRAOPE!$AA:$AB,2,0),"")</f>
        <v/>
      </c>
      <c r="I2908" s="7" t="n">
        <v>10192940</v>
      </c>
      <c r="J2908" s="7">
        <f>IFERROR(VLOOKUP(I2908,Materiales!$A:$H,8,0),"")</f>
        <v/>
      </c>
      <c r="K2908" s="9">
        <f>IFERROR(VLOOKUP(I2908,Materiales!$A:$G,7,0),"")</f>
        <v/>
      </c>
      <c r="L2908" s="8" t="inlineStr">
        <is>
          <t>20240425</t>
        </is>
      </c>
      <c r="M2908" s="8" t="inlineStr">
        <is>
          <t>20240814</t>
        </is>
      </c>
      <c r="N2908" s="10" t="n">
        <v>100</v>
      </c>
      <c r="O2908" s="10">
        <f>IFERROR(VLOOKUP(A2908,Flete!$A:$J,10,0),"")</f>
        <v/>
      </c>
      <c r="P2908" s="8" t="inlineStr">
        <is>
          <t>TN</t>
        </is>
      </c>
      <c r="Q2908" s="10">
        <f>IFERROR(IFERROR(VLOOKUP(A2908,TRAOPE!$A:$U,21,0),VLOOKUP(B2908,TRAOPE!$A:$U,21,0)),"")</f>
        <v/>
      </c>
      <c r="R2908" s="8">
        <f>IFERROR(IFERROR(VLOOKUP(A2908,TRAOPE!$A:$W,23,0),VLOOKUP(B2908,TRAOPE!$A:$W,23,0)),"")</f>
        <v/>
      </c>
      <c r="S2908" s="10">
        <f>IF(AND(P2908="TN",R2908="TN"),N2908+N(O2908),IF(G2908&amp;""="1",N(K2908)*N2908,(N2908+N(O2908))*N(K2908)))</f>
        <v/>
      </c>
      <c r="T2908" s="10">
        <f>IF(Q2908="","",Q2908-S2908)</f>
        <v/>
      </c>
    </row>
    <row r="2909">
      <c r="A2909" s="7">
        <f>CONCATENATE(C2909,E2909,F2909,I2909)</f>
        <v/>
      </c>
      <c r="B2909" s="7">
        <f>CONCATENATE(C2909,E2909,I2909)</f>
        <v/>
      </c>
      <c r="C2909" s="8" t="n">
        <v>900004077</v>
      </c>
      <c r="D2909" s="7">
        <f>IFERROR(VLOOKUP(C2909,TRAOPE!$G:$H,2,0),"")</f>
        <v/>
      </c>
      <c r="E2909" s="8" t="inlineStr">
        <is>
          <t>D836</t>
        </is>
      </c>
      <c r="F2909" s="8" t="inlineStr">
        <is>
          <t>66838326</t>
        </is>
      </c>
      <c r="G2909" s="8">
        <f>IFERROR(VLOOKUP(A2909,Flete!$A:$E,5,0),"")</f>
        <v/>
      </c>
      <c r="H2909" s="7">
        <f>IFERROR(VLOOKUP(F2909,TRAOPE!$AA:$AB,2,0),"")</f>
        <v/>
      </c>
      <c r="I2909" s="7" t="n">
        <v>10192941</v>
      </c>
      <c r="J2909" s="7">
        <f>IFERROR(VLOOKUP(I2909,Materiales!$A:$H,8,0),"")</f>
        <v/>
      </c>
      <c r="K2909" s="9">
        <f>IFERROR(VLOOKUP(I2909,Materiales!$A:$G,7,0),"")</f>
        <v/>
      </c>
      <c r="L2909" s="8" t="inlineStr">
        <is>
          <t>20240425</t>
        </is>
      </c>
      <c r="M2909" s="8" t="inlineStr">
        <is>
          <t>20240814</t>
        </is>
      </c>
      <c r="N2909" s="10" t="n">
        <v>130</v>
      </c>
      <c r="O2909" s="10">
        <f>IFERROR(VLOOKUP(A2909,Flete!$A:$J,10,0),"")</f>
        <v/>
      </c>
      <c r="P2909" s="8" t="inlineStr">
        <is>
          <t>TN</t>
        </is>
      </c>
      <c r="Q2909" s="10">
        <f>IFERROR(IFERROR(VLOOKUP(A2909,TRAOPE!$A:$U,21,0),VLOOKUP(B2909,TRAOPE!$A:$U,21,0)),"")</f>
        <v/>
      </c>
      <c r="R2909" s="8">
        <f>IFERROR(IFERROR(VLOOKUP(A2909,TRAOPE!$A:$W,23,0),VLOOKUP(B2909,TRAOPE!$A:$W,23,0)),"")</f>
        <v/>
      </c>
      <c r="S2909" s="10">
        <f>IF(AND(P2909="TN",R2909="TN"),N2909+N(O2909),IF(G2909&amp;""="1",N(K2909)*N2909,(N2909+N(O2909))*N(K2909)))</f>
        <v/>
      </c>
      <c r="T2909" s="10">
        <f>IF(Q2909="","",Q2909-S2909)</f>
        <v/>
      </c>
    </row>
    <row r="2910">
      <c r="A2910" s="7">
        <f>CONCATENATE(C2910,E2910,F2910,I2910)</f>
        <v/>
      </c>
      <c r="B2910" s="7">
        <f>CONCATENATE(C2910,E2910,I2910)</f>
        <v/>
      </c>
      <c r="C2910" s="8" t="n">
        <v>900004077</v>
      </c>
      <c r="D2910" s="7">
        <f>IFERROR(VLOOKUP(C2910,TRAOPE!$G:$H,2,0),"")</f>
        <v/>
      </c>
      <c r="E2910" s="8" t="inlineStr">
        <is>
          <t>D836</t>
        </is>
      </c>
      <c r="F2910" s="8" t="inlineStr">
        <is>
          <t>66838326</t>
        </is>
      </c>
      <c r="G2910" s="8">
        <f>IFERROR(VLOOKUP(A2910,Flete!$A:$E,5,0),"")</f>
        <v/>
      </c>
      <c r="H2910" s="7">
        <f>IFERROR(VLOOKUP(F2910,TRAOPE!$AA:$AB,2,0),"")</f>
        <v/>
      </c>
      <c r="I2910" s="7" t="n">
        <v>10192942</v>
      </c>
      <c r="J2910" s="7">
        <f>IFERROR(VLOOKUP(I2910,Materiales!$A:$H,8,0),"")</f>
        <v/>
      </c>
      <c r="K2910" s="9">
        <f>IFERROR(VLOOKUP(I2910,Materiales!$A:$G,7,0),"")</f>
        <v/>
      </c>
      <c r="L2910" s="8" t="inlineStr">
        <is>
          <t>20240425</t>
        </is>
      </c>
      <c r="M2910" s="8" t="inlineStr">
        <is>
          <t>20240814</t>
        </is>
      </c>
      <c r="N2910" s="10" t="n">
        <v>102</v>
      </c>
      <c r="O2910" s="10">
        <f>IFERROR(VLOOKUP(A2910,Flete!$A:$J,10,0),"")</f>
        <v/>
      </c>
      <c r="P2910" s="8" t="inlineStr">
        <is>
          <t>TN</t>
        </is>
      </c>
      <c r="Q2910" s="10">
        <f>IFERROR(IFERROR(VLOOKUP(A2910,TRAOPE!$A:$U,21,0),VLOOKUP(B2910,TRAOPE!$A:$U,21,0)),"")</f>
        <v/>
      </c>
      <c r="R2910" s="8">
        <f>IFERROR(IFERROR(VLOOKUP(A2910,TRAOPE!$A:$W,23,0),VLOOKUP(B2910,TRAOPE!$A:$W,23,0)),"")</f>
        <v/>
      </c>
      <c r="S2910" s="10">
        <f>IF(AND(P2910="TN",R2910="TN"),N2910+N(O2910),IF(G2910&amp;""="1",N(K2910)*N2910,(N2910+N(O2910))*N(K2910)))</f>
        <v/>
      </c>
      <c r="T2910" s="10">
        <f>IF(Q2910="","",Q2910-S2910)</f>
        <v/>
      </c>
    </row>
    <row r="2911">
      <c r="A2911" s="7">
        <f>CONCATENATE(C2911,E2911,F2911,I2911)</f>
        <v/>
      </c>
      <c r="B2911" s="7">
        <f>CONCATENATE(C2911,E2911,I2911)</f>
        <v/>
      </c>
      <c r="C2911" s="8" t="n">
        <v>900004077</v>
      </c>
      <c r="D2911" s="7">
        <f>IFERROR(VLOOKUP(C2911,TRAOPE!$G:$H,2,0),"")</f>
        <v/>
      </c>
      <c r="E2911" s="8" t="inlineStr">
        <is>
          <t>D836</t>
        </is>
      </c>
      <c r="F2911" s="8" t="inlineStr">
        <is>
          <t>66838326</t>
        </is>
      </c>
      <c r="G2911" s="8">
        <f>IFERROR(VLOOKUP(A2911,Flete!$A:$E,5,0),"")</f>
        <v/>
      </c>
      <c r="H2911" s="7">
        <f>IFERROR(VLOOKUP(F2911,TRAOPE!$AA:$AB,2,0),"")</f>
        <v/>
      </c>
      <c r="I2911" s="7" t="n">
        <v>10192943</v>
      </c>
      <c r="J2911" s="7">
        <f>IFERROR(VLOOKUP(I2911,Materiales!$A:$H,8,0),"")</f>
        <v/>
      </c>
      <c r="K2911" s="9">
        <f>IFERROR(VLOOKUP(I2911,Materiales!$A:$G,7,0),"")</f>
        <v/>
      </c>
      <c r="L2911" s="8" t="inlineStr">
        <is>
          <t>20240425</t>
        </is>
      </c>
      <c r="M2911" s="8" t="inlineStr">
        <is>
          <t>20240814</t>
        </is>
      </c>
      <c r="N2911" s="10" t="n">
        <v>126</v>
      </c>
      <c r="O2911" s="10">
        <f>IFERROR(VLOOKUP(A2911,Flete!$A:$J,10,0),"")</f>
        <v/>
      </c>
      <c r="P2911" s="8" t="inlineStr">
        <is>
          <t>TN</t>
        </is>
      </c>
      <c r="Q2911" s="10">
        <f>IFERROR(IFERROR(VLOOKUP(A2911,TRAOPE!$A:$U,21,0),VLOOKUP(B2911,TRAOPE!$A:$U,21,0)),"")</f>
        <v/>
      </c>
      <c r="R2911" s="8">
        <f>IFERROR(IFERROR(VLOOKUP(A2911,TRAOPE!$A:$W,23,0),VLOOKUP(B2911,TRAOPE!$A:$W,23,0)),"")</f>
        <v/>
      </c>
      <c r="S2911" s="10">
        <f>IF(AND(P2911="TN",R2911="TN"),N2911+N(O2911),IF(G2911&amp;""="1",N(K2911)*N2911,(N2911+N(O2911))*N(K2911)))</f>
        <v/>
      </c>
      <c r="T2911" s="10">
        <f>IF(Q2911="","",Q2911-S2911)</f>
        <v/>
      </c>
    </row>
    <row r="2912">
      <c r="A2912" s="7">
        <f>CONCATENATE(C2912,E2912,F2912,I2912)</f>
        <v/>
      </c>
      <c r="B2912" s="7">
        <f>CONCATENATE(C2912,E2912,I2912)</f>
        <v/>
      </c>
      <c r="C2912" s="8" t="n">
        <v>900004077</v>
      </c>
      <c r="D2912" s="7">
        <f>IFERROR(VLOOKUP(C2912,TRAOPE!$G:$H,2,0),"")</f>
        <v/>
      </c>
      <c r="E2912" s="8" t="inlineStr">
        <is>
          <t>D836</t>
        </is>
      </c>
      <c r="F2912" s="8" t="inlineStr">
        <is>
          <t>66838326</t>
        </is>
      </c>
      <c r="G2912" s="8">
        <f>IFERROR(VLOOKUP(A2912,Flete!$A:$E,5,0),"")</f>
        <v/>
      </c>
      <c r="H2912" s="7">
        <f>IFERROR(VLOOKUP(F2912,TRAOPE!$AA:$AB,2,0),"")</f>
        <v/>
      </c>
      <c r="I2912" s="7" t="n">
        <v>10192944</v>
      </c>
      <c r="J2912" s="7">
        <f>IFERROR(VLOOKUP(I2912,Materiales!$A:$H,8,0),"")</f>
        <v/>
      </c>
      <c r="K2912" s="9">
        <f>IFERROR(VLOOKUP(I2912,Materiales!$A:$G,7,0),"")</f>
        <v/>
      </c>
      <c r="L2912" s="8" t="inlineStr">
        <is>
          <t>20240425</t>
        </is>
      </c>
      <c r="M2912" s="8" t="inlineStr">
        <is>
          <t>20240814</t>
        </is>
      </c>
      <c r="N2912" s="10" t="n">
        <v>126</v>
      </c>
      <c r="O2912" s="10">
        <f>IFERROR(VLOOKUP(A2912,Flete!$A:$J,10,0),"")</f>
        <v/>
      </c>
      <c r="P2912" s="8" t="inlineStr">
        <is>
          <t>TN</t>
        </is>
      </c>
      <c r="Q2912" s="10">
        <f>IFERROR(IFERROR(VLOOKUP(A2912,TRAOPE!$A:$U,21,0),VLOOKUP(B2912,TRAOPE!$A:$U,21,0)),"")</f>
        <v/>
      </c>
      <c r="R2912" s="8">
        <f>IFERROR(IFERROR(VLOOKUP(A2912,TRAOPE!$A:$W,23,0),VLOOKUP(B2912,TRAOPE!$A:$W,23,0)),"")</f>
        <v/>
      </c>
      <c r="S2912" s="10">
        <f>IF(AND(P2912="TN",R2912="TN"),N2912+N(O2912),IF(G2912&amp;""="1",N(K2912)*N2912,(N2912+N(O2912))*N(K2912)))</f>
        <v/>
      </c>
      <c r="T2912" s="10">
        <f>IF(Q2912="","",Q2912-S2912)</f>
        <v/>
      </c>
    </row>
    <row r="2913">
      <c r="A2913" s="7">
        <f>CONCATENATE(C2913,E2913,F2913,I2913)</f>
        <v/>
      </c>
      <c r="B2913" s="7">
        <f>CONCATENATE(C2913,E2913,I2913)</f>
        <v/>
      </c>
      <c r="C2913" s="8" t="n">
        <v>900004077</v>
      </c>
      <c r="D2913" s="7">
        <f>IFERROR(VLOOKUP(C2913,TRAOPE!$G:$H,2,0),"")</f>
        <v/>
      </c>
      <c r="E2913" s="8" t="inlineStr">
        <is>
          <t>D836</t>
        </is>
      </c>
      <c r="F2913" s="8" t="inlineStr">
        <is>
          <t>66838326</t>
        </is>
      </c>
      <c r="G2913" s="8">
        <f>IFERROR(VLOOKUP(A2913,Flete!$A:$E,5,0),"")</f>
        <v/>
      </c>
      <c r="H2913" s="7">
        <f>IFERROR(VLOOKUP(F2913,TRAOPE!$AA:$AB,2,0),"")</f>
        <v/>
      </c>
      <c r="I2913" s="7" t="n">
        <v>10192945</v>
      </c>
      <c r="J2913" s="7">
        <f>IFERROR(VLOOKUP(I2913,Materiales!$A:$H,8,0),"")</f>
        <v/>
      </c>
      <c r="K2913" s="9">
        <f>IFERROR(VLOOKUP(I2913,Materiales!$A:$G,7,0),"")</f>
        <v/>
      </c>
      <c r="L2913" s="8" t="inlineStr">
        <is>
          <t>20240425</t>
        </is>
      </c>
      <c r="M2913" s="8" t="inlineStr">
        <is>
          <t>20240814</t>
        </is>
      </c>
      <c r="N2913" s="10" t="n">
        <v>126</v>
      </c>
      <c r="O2913" s="10">
        <f>IFERROR(VLOOKUP(A2913,Flete!$A:$J,10,0),"")</f>
        <v/>
      </c>
      <c r="P2913" s="8" t="inlineStr">
        <is>
          <t>TN</t>
        </is>
      </c>
      <c r="Q2913" s="10">
        <f>IFERROR(IFERROR(VLOOKUP(A2913,TRAOPE!$A:$U,21,0),VLOOKUP(B2913,TRAOPE!$A:$U,21,0)),"")</f>
        <v/>
      </c>
      <c r="R2913" s="8">
        <f>IFERROR(IFERROR(VLOOKUP(A2913,TRAOPE!$A:$W,23,0),VLOOKUP(B2913,TRAOPE!$A:$W,23,0)),"")</f>
        <v/>
      </c>
      <c r="S2913" s="10">
        <f>IF(AND(P2913="TN",R2913="TN"),N2913+N(O2913),IF(G2913&amp;""="1",N(K2913)*N2913,(N2913+N(O2913))*N(K2913)))</f>
        <v/>
      </c>
      <c r="T2913" s="10">
        <f>IF(Q2913="","",Q2913-S2913)</f>
        <v/>
      </c>
    </row>
    <row r="2914">
      <c r="A2914" s="7">
        <f>CONCATENATE(C2914,E2914,F2914,I2914)</f>
        <v/>
      </c>
      <c r="B2914" s="7">
        <f>CONCATENATE(C2914,E2914,I2914)</f>
        <v/>
      </c>
      <c r="C2914" s="8" t="n">
        <v>900004077</v>
      </c>
      <c r="D2914" s="7">
        <f>IFERROR(VLOOKUP(C2914,TRAOPE!$G:$H,2,0),"")</f>
        <v/>
      </c>
      <c r="E2914" s="8" t="inlineStr">
        <is>
          <t>D836</t>
        </is>
      </c>
      <c r="F2914" s="8" t="inlineStr">
        <is>
          <t>66874616</t>
        </is>
      </c>
      <c r="G2914" s="8">
        <f>IFERROR(VLOOKUP(A2914,Flete!$A:$E,5,0),"")</f>
        <v/>
      </c>
      <c r="H2914" s="7">
        <f>IFERROR(VLOOKUP(F2914,TRAOPE!$AA:$AB,2,0),"")</f>
        <v/>
      </c>
      <c r="I2914" s="7" t="n">
        <v>10002802</v>
      </c>
      <c r="J2914" s="7">
        <f>IFERROR(VLOOKUP(I2914,Materiales!$A:$H,8,0),"")</f>
        <v/>
      </c>
      <c r="K2914" s="9">
        <f>IFERROR(VLOOKUP(I2914,Materiales!$A:$G,7,0),"")</f>
        <v/>
      </c>
      <c r="L2914" s="8" t="inlineStr">
        <is>
          <t>20220420</t>
        </is>
      </c>
      <c r="M2914" s="8" t="inlineStr">
        <is>
          <t>20240612</t>
        </is>
      </c>
      <c r="N2914" s="10" t="n">
        <v>145</v>
      </c>
      <c r="O2914" s="10">
        <f>IFERROR(VLOOKUP(A2914,Flete!$A:$J,10,0),"")</f>
        <v/>
      </c>
      <c r="P2914" s="8" t="inlineStr">
        <is>
          <t>TN</t>
        </is>
      </c>
      <c r="Q2914" s="10">
        <f>IFERROR(IFERROR(VLOOKUP(A2914,TRAOPE!$A:$U,21,0),VLOOKUP(B2914,TRAOPE!$A:$U,21,0)),"")</f>
        <v/>
      </c>
      <c r="R2914" s="8">
        <f>IFERROR(IFERROR(VLOOKUP(A2914,TRAOPE!$A:$W,23,0),VLOOKUP(B2914,TRAOPE!$A:$W,23,0)),"")</f>
        <v/>
      </c>
      <c r="S2914" s="10">
        <f>IF(AND(P2914="TN",R2914="TN"),N2914+N(O2914),IF(G2914&amp;""="1",N(K2914)*N2914,(N2914+N(O2914))*N(K2914)))</f>
        <v/>
      </c>
      <c r="T2914" s="10">
        <f>IF(Q2914="","",Q2914-S2914)</f>
        <v/>
      </c>
    </row>
    <row r="2915">
      <c r="A2915" s="7">
        <f>CONCATENATE(C2915,E2915,F2915,I2915)</f>
        <v/>
      </c>
      <c r="B2915" s="7">
        <f>CONCATENATE(C2915,E2915,I2915)</f>
        <v/>
      </c>
      <c r="C2915" s="8" t="n">
        <v>900004077</v>
      </c>
      <c r="D2915" s="7">
        <f>IFERROR(VLOOKUP(C2915,TRAOPE!$G:$H,2,0),"")</f>
        <v/>
      </c>
      <c r="E2915" s="8" t="inlineStr">
        <is>
          <t>D836</t>
        </is>
      </c>
      <c r="F2915" s="8" t="inlineStr">
        <is>
          <t>66874616</t>
        </is>
      </c>
      <c r="G2915" s="8">
        <f>IFERROR(VLOOKUP(A2915,Flete!$A:$E,5,0),"")</f>
        <v/>
      </c>
      <c r="H2915" s="7">
        <f>IFERROR(VLOOKUP(F2915,TRAOPE!$AA:$AB,2,0),"")</f>
        <v/>
      </c>
      <c r="I2915" s="7" t="n">
        <v>10192909</v>
      </c>
      <c r="J2915" s="7">
        <f>IFERROR(VLOOKUP(I2915,Materiales!$A:$H,8,0),"")</f>
        <v/>
      </c>
      <c r="K2915" s="9">
        <f>IFERROR(VLOOKUP(I2915,Materiales!$A:$G,7,0),"")</f>
        <v/>
      </c>
      <c r="L2915" s="8" t="inlineStr">
        <is>
          <t>20240425</t>
        </is>
      </c>
      <c r="M2915" s="8" t="inlineStr">
        <is>
          <t>20240814</t>
        </is>
      </c>
      <c r="N2915" s="10" t="n">
        <v>110</v>
      </c>
      <c r="O2915" s="10">
        <f>IFERROR(VLOOKUP(A2915,Flete!$A:$J,10,0),"")</f>
        <v/>
      </c>
      <c r="P2915" s="8" t="inlineStr">
        <is>
          <t>TN</t>
        </is>
      </c>
      <c r="Q2915" s="10">
        <f>IFERROR(IFERROR(VLOOKUP(A2915,TRAOPE!$A:$U,21,0),VLOOKUP(B2915,TRAOPE!$A:$U,21,0)),"")</f>
        <v/>
      </c>
      <c r="R2915" s="8">
        <f>IFERROR(IFERROR(VLOOKUP(A2915,TRAOPE!$A:$W,23,0),VLOOKUP(B2915,TRAOPE!$A:$W,23,0)),"")</f>
        <v/>
      </c>
      <c r="S2915" s="10">
        <f>IF(AND(P2915="TN",R2915="TN"),N2915+N(O2915),IF(G2915&amp;""="1",N(K2915)*N2915,(N2915+N(O2915))*N(K2915)))</f>
        <v/>
      </c>
      <c r="T2915" s="10">
        <f>IF(Q2915="","",Q2915-S2915)</f>
        <v/>
      </c>
    </row>
    <row r="2916">
      <c r="A2916" s="7">
        <f>CONCATENATE(C2916,E2916,F2916,I2916)</f>
        <v/>
      </c>
      <c r="B2916" s="7">
        <f>CONCATENATE(C2916,E2916,I2916)</f>
        <v/>
      </c>
      <c r="C2916" s="8" t="n">
        <v>900004077</v>
      </c>
      <c r="D2916" s="7">
        <f>IFERROR(VLOOKUP(C2916,TRAOPE!$G:$H,2,0),"")</f>
        <v/>
      </c>
      <c r="E2916" s="8" t="inlineStr">
        <is>
          <t>D836</t>
        </is>
      </c>
      <c r="F2916" s="8" t="inlineStr">
        <is>
          <t>66874616</t>
        </is>
      </c>
      <c r="G2916" s="8">
        <f>IFERROR(VLOOKUP(A2916,Flete!$A:$E,5,0),"")</f>
        <v/>
      </c>
      <c r="H2916" s="7">
        <f>IFERROR(VLOOKUP(F2916,TRAOPE!$AA:$AB,2,0),"")</f>
        <v/>
      </c>
      <c r="I2916" s="7" t="n">
        <v>10192941</v>
      </c>
      <c r="J2916" s="7">
        <f>IFERROR(VLOOKUP(I2916,Materiales!$A:$H,8,0),"")</f>
        <v/>
      </c>
      <c r="K2916" s="9">
        <f>IFERROR(VLOOKUP(I2916,Materiales!$A:$G,7,0),"")</f>
        <v/>
      </c>
      <c r="L2916" s="8" t="inlineStr">
        <is>
          <t>20240425</t>
        </is>
      </c>
      <c r="M2916" s="8" t="inlineStr">
        <is>
          <t>20240814</t>
        </is>
      </c>
      <c r="N2916" s="10" t="n">
        <v>130</v>
      </c>
      <c r="O2916" s="10">
        <f>IFERROR(VLOOKUP(A2916,Flete!$A:$J,10,0),"")</f>
        <v/>
      </c>
      <c r="P2916" s="8" t="inlineStr">
        <is>
          <t>TN</t>
        </is>
      </c>
      <c r="Q2916" s="10">
        <f>IFERROR(IFERROR(VLOOKUP(A2916,TRAOPE!$A:$U,21,0),VLOOKUP(B2916,TRAOPE!$A:$U,21,0)),"")</f>
        <v/>
      </c>
      <c r="R2916" s="8">
        <f>IFERROR(IFERROR(VLOOKUP(A2916,TRAOPE!$A:$W,23,0),VLOOKUP(B2916,TRAOPE!$A:$W,23,0)),"")</f>
        <v/>
      </c>
      <c r="S2916" s="10">
        <f>IF(AND(P2916="TN",R2916="TN"),N2916+N(O2916),IF(G2916&amp;""="1",N(K2916)*N2916,(N2916+N(O2916))*N(K2916)))</f>
        <v/>
      </c>
      <c r="T2916" s="10">
        <f>IF(Q2916="","",Q2916-S2916)</f>
        <v/>
      </c>
    </row>
    <row r="2917">
      <c r="A2917" s="7">
        <f>CONCATENATE(C2917,E2917,F2917,I2917)</f>
        <v/>
      </c>
      <c r="B2917" s="7">
        <f>CONCATENATE(C2917,E2917,I2917)</f>
        <v/>
      </c>
      <c r="C2917" s="8" t="n">
        <v>900004077</v>
      </c>
      <c r="D2917" s="7">
        <f>IFERROR(VLOOKUP(C2917,TRAOPE!$G:$H,2,0),"")</f>
        <v/>
      </c>
      <c r="E2917" s="8" t="inlineStr">
        <is>
          <t>D836</t>
        </is>
      </c>
      <c r="F2917" s="8" t="inlineStr">
        <is>
          <t>67007016</t>
        </is>
      </c>
      <c r="G2917" s="8">
        <f>IFERROR(VLOOKUP(A2917,Flete!$A:$E,5,0),"")</f>
        <v/>
      </c>
      <c r="H2917" s="7">
        <f>IFERROR(VLOOKUP(F2917,TRAOPE!$AA:$AB,2,0),"")</f>
        <v/>
      </c>
      <c r="I2917" s="7" t="n">
        <v>10002802</v>
      </c>
      <c r="J2917" s="7">
        <f>IFERROR(VLOOKUP(I2917,Materiales!$A:$H,8,0),"")</f>
        <v/>
      </c>
      <c r="K2917" s="9">
        <f>IFERROR(VLOOKUP(I2917,Materiales!$A:$G,7,0),"")</f>
        <v/>
      </c>
      <c r="L2917" s="8" t="inlineStr">
        <is>
          <t>20220816</t>
        </is>
      </c>
      <c r="M2917" s="8" t="inlineStr">
        <is>
          <t>20240612</t>
        </is>
      </c>
      <c r="N2917" s="10" t="n">
        <v>135</v>
      </c>
      <c r="O2917" s="10">
        <f>IFERROR(VLOOKUP(A2917,Flete!$A:$J,10,0),"")</f>
        <v/>
      </c>
      <c r="P2917" s="8" t="inlineStr">
        <is>
          <t>TN</t>
        </is>
      </c>
      <c r="Q2917" s="10">
        <f>IFERROR(IFERROR(VLOOKUP(A2917,TRAOPE!$A:$U,21,0),VLOOKUP(B2917,TRAOPE!$A:$U,21,0)),"")</f>
        <v/>
      </c>
      <c r="R2917" s="8">
        <f>IFERROR(IFERROR(VLOOKUP(A2917,TRAOPE!$A:$W,23,0),VLOOKUP(B2917,TRAOPE!$A:$W,23,0)),"")</f>
        <v/>
      </c>
      <c r="S2917" s="10">
        <f>IF(AND(P2917="TN",R2917="TN"),N2917+N(O2917),IF(G2917&amp;""="1",N(K2917)*N2917,(N2917+N(O2917))*N(K2917)))</f>
        <v/>
      </c>
      <c r="T2917" s="10">
        <f>IF(Q2917="","",Q2917-S2917)</f>
        <v/>
      </c>
    </row>
    <row r="2918">
      <c r="A2918" s="7">
        <f>CONCATENATE(C2918,E2918,F2918,I2918)</f>
        <v/>
      </c>
      <c r="B2918" s="7">
        <f>CONCATENATE(C2918,E2918,I2918)</f>
        <v/>
      </c>
      <c r="C2918" s="8" t="n">
        <v>900004365</v>
      </c>
      <c r="D2918" s="7">
        <f>IFERROR(VLOOKUP(C2918,TRAOPE!$G:$H,2,0),"")</f>
        <v/>
      </c>
      <c r="E2918" s="8" t="inlineStr">
        <is>
          <t>D836</t>
        </is>
      </c>
      <c r="F2918" s="8" t="inlineStr">
        <is>
          <t>65406062</t>
        </is>
      </c>
      <c r="G2918" s="8">
        <f>IFERROR(VLOOKUP(A2918,Flete!$A:$E,5,0),"")</f>
        <v/>
      </c>
      <c r="H2918" s="7">
        <f>IFERROR(VLOOKUP(F2918,TRAOPE!$AA:$AB,2,0),"")</f>
        <v/>
      </c>
      <c r="I2918" s="7" t="n">
        <v>10000357</v>
      </c>
      <c r="J2918" s="7">
        <f>IFERROR(VLOOKUP(I2918,Materiales!$A:$H,8,0),"")</f>
        <v/>
      </c>
      <c r="K2918" s="9">
        <f>IFERROR(VLOOKUP(I2918,Materiales!$A:$G,7,0),"")</f>
        <v/>
      </c>
      <c r="L2918" s="8" t="inlineStr">
        <is>
          <t>20240425</t>
        </is>
      </c>
      <c r="M2918" s="8" t="inlineStr">
        <is>
          <t>20240814</t>
        </is>
      </c>
      <c r="N2918" s="10" t="n">
        <v>166</v>
      </c>
      <c r="O2918" s="10">
        <f>IFERROR(VLOOKUP(A2918,Flete!$A:$J,10,0),"")</f>
        <v/>
      </c>
      <c r="P2918" s="8" t="inlineStr">
        <is>
          <t>M3</t>
        </is>
      </c>
      <c r="Q2918" s="10">
        <f>IFERROR(IFERROR(VLOOKUP(A2918,TRAOPE!$A:$U,21,0),VLOOKUP(B2918,TRAOPE!$A:$U,21,0)),"")</f>
        <v/>
      </c>
      <c r="R2918" s="8">
        <f>IFERROR(IFERROR(VLOOKUP(A2918,TRAOPE!$A:$W,23,0),VLOOKUP(B2918,TRAOPE!$A:$W,23,0)),"")</f>
        <v/>
      </c>
      <c r="S2918" s="10">
        <f>IF(AND(P2918="TN",R2918="TN"),N2918+N(O2918),IF(G2918&amp;""="1",N(K2918)*N2918,(N2918+N(O2918))*N(K2918)))</f>
        <v/>
      </c>
      <c r="T2918" s="10">
        <f>IF(Q2918="","",Q2918-S2918)</f>
        <v/>
      </c>
    </row>
    <row r="2919">
      <c r="A2919" s="7">
        <f>CONCATENATE(C2919,E2919,F2919,I2919)</f>
        <v/>
      </c>
      <c r="B2919" s="7">
        <f>CONCATENATE(C2919,E2919,I2919)</f>
        <v/>
      </c>
      <c r="C2919" s="8" t="n">
        <v>900004365</v>
      </c>
      <c r="D2919" s="7">
        <f>IFERROR(VLOOKUP(C2919,TRAOPE!$G:$H,2,0),"")</f>
        <v/>
      </c>
      <c r="E2919" s="8" t="inlineStr">
        <is>
          <t>D836</t>
        </is>
      </c>
      <c r="F2919" s="8" t="inlineStr">
        <is>
          <t>65406062</t>
        </is>
      </c>
      <c r="G2919" s="8">
        <f>IFERROR(VLOOKUP(A2919,Flete!$A:$E,5,0),"")</f>
        <v/>
      </c>
      <c r="H2919" s="7">
        <f>IFERROR(VLOOKUP(F2919,TRAOPE!$AA:$AB,2,0),"")</f>
        <v/>
      </c>
      <c r="I2919" s="7" t="n">
        <v>10149994</v>
      </c>
      <c r="J2919" s="7">
        <f>IFERROR(VLOOKUP(I2919,Materiales!$A:$H,8,0),"")</f>
        <v/>
      </c>
      <c r="K2919" s="9">
        <f>IFERROR(VLOOKUP(I2919,Materiales!$A:$G,7,0),"")</f>
        <v/>
      </c>
      <c r="L2919" s="8" t="inlineStr">
        <is>
          <t>20240425</t>
        </is>
      </c>
      <c r="M2919" s="8" t="inlineStr">
        <is>
          <t>20240814</t>
        </is>
      </c>
      <c r="N2919" s="10" t="n">
        <v>146</v>
      </c>
      <c r="O2919" s="10">
        <f>IFERROR(VLOOKUP(A2919,Flete!$A:$J,10,0),"")</f>
        <v/>
      </c>
      <c r="P2919" s="8" t="inlineStr">
        <is>
          <t>M3</t>
        </is>
      </c>
      <c r="Q2919" s="10">
        <f>IFERROR(IFERROR(VLOOKUP(A2919,TRAOPE!$A:$U,21,0),VLOOKUP(B2919,TRAOPE!$A:$U,21,0)),"")</f>
        <v/>
      </c>
      <c r="R2919" s="8">
        <f>IFERROR(IFERROR(VLOOKUP(A2919,TRAOPE!$A:$W,23,0),VLOOKUP(B2919,TRAOPE!$A:$W,23,0)),"")</f>
        <v/>
      </c>
      <c r="S2919" s="10">
        <f>IF(AND(P2919="TN",R2919="TN"),N2919+N(O2919),IF(G2919&amp;""="1",N(K2919)*N2919,(N2919+N(O2919))*N(K2919)))</f>
        <v/>
      </c>
      <c r="T2919" s="10">
        <f>IF(Q2919="","",Q2919-S2919)</f>
        <v/>
      </c>
    </row>
    <row r="2920">
      <c r="A2920" s="7">
        <f>CONCATENATE(C2920,E2920,F2920,I2920)</f>
        <v/>
      </c>
      <c r="B2920" s="7">
        <f>CONCATENATE(C2920,E2920,I2920)</f>
        <v/>
      </c>
      <c r="C2920" s="8" t="n">
        <v>900004365</v>
      </c>
      <c r="D2920" s="7">
        <f>IFERROR(VLOOKUP(C2920,TRAOPE!$G:$H,2,0),"")</f>
        <v/>
      </c>
      <c r="E2920" s="8" t="inlineStr">
        <is>
          <t>D836</t>
        </is>
      </c>
      <c r="F2920" s="8" t="inlineStr">
        <is>
          <t>65406064</t>
        </is>
      </c>
      <c r="G2920" s="8">
        <f>IFERROR(VLOOKUP(A2920,Flete!$A:$E,5,0),"")</f>
        <v/>
      </c>
      <c r="H2920" s="7">
        <f>IFERROR(VLOOKUP(F2920,TRAOPE!$AA:$AB,2,0),"")</f>
        <v/>
      </c>
      <c r="I2920" s="7" t="n">
        <v>10000357</v>
      </c>
      <c r="J2920" s="7">
        <f>IFERROR(VLOOKUP(I2920,Materiales!$A:$H,8,0),"")</f>
        <v/>
      </c>
      <c r="K2920" s="9">
        <f>IFERROR(VLOOKUP(I2920,Materiales!$A:$G,7,0),"")</f>
        <v/>
      </c>
      <c r="L2920" s="8" t="inlineStr">
        <is>
          <t>20240425</t>
        </is>
      </c>
      <c r="M2920" s="8" t="inlineStr">
        <is>
          <t>20240814</t>
        </is>
      </c>
      <c r="N2920" s="10" t="n">
        <v>166</v>
      </c>
      <c r="O2920" s="10">
        <f>IFERROR(VLOOKUP(A2920,Flete!$A:$J,10,0),"")</f>
        <v/>
      </c>
      <c r="P2920" s="8" t="inlineStr">
        <is>
          <t>M3</t>
        </is>
      </c>
      <c r="Q2920" s="10">
        <f>IFERROR(IFERROR(VLOOKUP(A2920,TRAOPE!$A:$U,21,0),VLOOKUP(B2920,TRAOPE!$A:$U,21,0)),"")</f>
        <v/>
      </c>
      <c r="R2920" s="8">
        <f>IFERROR(IFERROR(VLOOKUP(A2920,TRAOPE!$A:$W,23,0),VLOOKUP(B2920,TRAOPE!$A:$W,23,0)),"")</f>
        <v/>
      </c>
      <c r="S2920" s="10">
        <f>IF(AND(P2920="TN",R2920="TN"),N2920+N(O2920),IF(G2920&amp;""="1",N(K2920)*N2920,(N2920+N(O2920))*N(K2920)))</f>
        <v/>
      </c>
      <c r="T2920" s="10">
        <f>IF(Q2920="","",Q2920-S2920)</f>
        <v/>
      </c>
    </row>
    <row r="2921">
      <c r="A2921" s="7">
        <f>CONCATENATE(C2921,E2921,F2921,I2921)</f>
        <v/>
      </c>
      <c r="B2921" s="7">
        <f>CONCATENATE(C2921,E2921,I2921)</f>
        <v/>
      </c>
      <c r="C2921" s="8" t="n">
        <v>900004365</v>
      </c>
      <c r="D2921" s="7">
        <f>IFERROR(VLOOKUP(C2921,TRAOPE!$G:$H,2,0),"")</f>
        <v/>
      </c>
      <c r="E2921" s="8" t="inlineStr">
        <is>
          <t>D836</t>
        </is>
      </c>
      <c r="F2921" s="8" t="inlineStr">
        <is>
          <t>65406064</t>
        </is>
      </c>
      <c r="G2921" s="8">
        <f>IFERROR(VLOOKUP(A2921,Flete!$A:$E,5,0),"")</f>
        <v/>
      </c>
      <c r="H2921" s="7">
        <f>IFERROR(VLOOKUP(F2921,TRAOPE!$AA:$AB,2,0),"")</f>
        <v/>
      </c>
      <c r="I2921" s="7" t="n">
        <v>10149994</v>
      </c>
      <c r="J2921" s="7">
        <f>IFERROR(VLOOKUP(I2921,Materiales!$A:$H,8,0),"")</f>
        <v/>
      </c>
      <c r="K2921" s="9">
        <f>IFERROR(VLOOKUP(I2921,Materiales!$A:$G,7,0),"")</f>
        <v/>
      </c>
      <c r="L2921" s="8" t="inlineStr">
        <is>
          <t>20240425</t>
        </is>
      </c>
      <c r="M2921" s="8" t="inlineStr">
        <is>
          <t>20240814</t>
        </is>
      </c>
      <c r="N2921" s="10" t="n">
        <v>146</v>
      </c>
      <c r="O2921" s="10">
        <f>IFERROR(VLOOKUP(A2921,Flete!$A:$J,10,0),"")</f>
        <v/>
      </c>
      <c r="P2921" s="8" t="inlineStr">
        <is>
          <t>M3</t>
        </is>
      </c>
      <c r="Q2921" s="10">
        <f>IFERROR(IFERROR(VLOOKUP(A2921,TRAOPE!$A:$U,21,0),VLOOKUP(B2921,TRAOPE!$A:$U,21,0)),"")</f>
        <v/>
      </c>
      <c r="R2921" s="8">
        <f>IFERROR(IFERROR(VLOOKUP(A2921,TRAOPE!$A:$W,23,0),VLOOKUP(B2921,TRAOPE!$A:$W,23,0)),"")</f>
        <v/>
      </c>
      <c r="S2921" s="10">
        <f>IF(AND(P2921="TN",R2921="TN"),N2921+N(O2921),IF(G2921&amp;""="1",N(K2921)*N2921,(N2921+N(O2921))*N(K2921)))</f>
        <v/>
      </c>
      <c r="T2921" s="10">
        <f>IF(Q2921="","",Q2921-S2921)</f>
        <v/>
      </c>
    </row>
    <row r="2922">
      <c r="A2922" s="7">
        <f>CONCATENATE(C2922,E2922,F2922,I2922)</f>
        <v/>
      </c>
      <c r="B2922" s="7">
        <f>CONCATENATE(C2922,E2922,I2922)</f>
        <v/>
      </c>
      <c r="C2922" s="8" t="n">
        <v>900004365</v>
      </c>
      <c r="D2922" s="7">
        <f>IFERROR(VLOOKUP(C2922,TRAOPE!$G:$H,2,0),"")</f>
        <v/>
      </c>
      <c r="E2922" s="8" t="inlineStr">
        <is>
          <t>D836</t>
        </is>
      </c>
      <c r="F2922" s="8" t="inlineStr">
        <is>
          <t>65911313</t>
        </is>
      </c>
      <c r="G2922" s="8">
        <f>IFERROR(VLOOKUP(A2922,Flete!$A:$E,5,0),"")</f>
        <v/>
      </c>
      <c r="H2922" s="7">
        <f>IFERROR(VLOOKUP(F2922,TRAOPE!$AA:$AB,2,0),"")</f>
        <v/>
      </c>
      <c r="I2922" s="7" t="n">
        <v>10000357</v>
      </c>
      <c r="J2922" s="7">
        <f>IFERROR(VLOOKUP(I2922,Materiales!$A:$H,8,0),"")</f>
        <v/>
      </c>
      <c r="K2922" s="9">
        <f>IFERROR(VLOOKUP(I2922,Materiales!$A:$G,7,0),"")</f>
        <v/>
      </c>
      <c r="L2922" s="8" t="inlineStr">
        <is>
          <t>20240425</t>
        </is>
      </c>
      <c r="M2922" s="8" t="inlineStr">
        <is>
          <t>20240814</t>
        </is>
      </c>
      <c r="N2922" s="10" t="n">
        <v>166</v>
      </c>
      <c r="O2922" s="10">
        <f>IFERROR(VLOOKUP(A2922,Flete!$A:$J,10,0),"")</f>
        <v/>
      </c>
      <c r="P2922" s="8" t="inlineStr">
        <is>
          <t>M3</t>
        </is>
      </c>
      <c r="Q2922" s="10">
        <f>IFERROR(IFERROR(VLOOKUP(A2922,TRAOPE!$A:$U,21,0),VLOOKUP(B2922,TRAOPE!$A:$U,21,0)),"")</f>
        <v/>
      </c>
      <c r="R2922" s="8">
        <f>IFERROR(IFERROR(VLOOKUP(A2922,TRAOPE!$A:$W,23,0),VLOOKUP(B2922,TRAOPE!$A:$W,23,0)),"")</f>
        <v/>
      </c>
      <c r="S2922" s="10">
        <f>IF(AND(P2922="TN",R2922="TN"),N2922+N(O2922),IF(G2922&amp;""="1",N(K2922)*N2922,(N2922+N(O2922))*N(K2922)))</f>
        <v/>
      </c>
      <c r="T2922" s="10">
        <f>IF(Q2922="","",Q2922-S2922)</f>
        <v/>
      </c>
    </row>
    <row r="2923">
      <c r="A2923" s="7">
        <f>CONCATENATE(C2923,E2923,F2923,I2923)</f>
        <v/>
      </c>
      <c r="B2923" s="7">
        <f>CONCATENATE(C2923,E2923,I2923)</f>
        <v/>
      </c>
      <c r="C2923" s="8" t="n">
        <v>900004365</v>
      </c>
      <c r="D2923" s="7">
        <f>IFERROR(VLOOKUP(C2923,TRAOPE!$G:$H,2,0),"")</f>
        <v/>
      </c>
      <c r="E2923" s="8" t="inlineStr">
        <is>
          <t>D836</t>
        </is>
      </c>
      <c r="F2923" s="8" t="inlineStr">
        <is>
          <t>65911313</t>
        </is>
      </c>
      <c r="G2923" s="8">
        <f>IFERROR(VLOOKUP(A2923,Flete!$A:$E,5,0),"")</f>
        <v/>
      </c>
      <c r="H2923" s="7">
        <f>IFERROR(VLOOKUP(F2923,TRAOPE!$AA:$AB,2,0),"")</f>
        <v/>
      </c>
      <c r="I2923" s="7" t="n">
        <v>10149994</v>
      </c>
      <c r="J2923" s="7">
        <f>IFERROR(VLOOKUP(I2923,Materiales!$A:$H,8,0),"")</f>
        <v/>
      </c>
      <c r="K2923" s="9">
        <f>IFERROR(VLOOKUP(I2923,Materiales!$A:$G,7,0),"")</f>
        <v/>
      </c>
      <c r="L2923" s="8" t="inlineStr">
        <is>
          <t>20240425</t>
        </is>
      </c>
      <c r="M2923" s="8" t="inlineStr">
        <is>
          <t>20240814</t>
        </is>
      </c>
      <c r="N2923" s="10" t="n">
        <v>146</v>
      </c>
      <c r="O2923" s="10">
        <f>IFERROR(VLOOKUP(A2923,Flete!$A:$J,10,0),"")</f>
        <v/>
      </c>
      <c r="P2923" s="8" t="inlineStr">
        <is>
          <t>M3</t>
        </is>
      </c>
      <c r="Q2923" s="10">
        <f>IFERROR(IFERROR(VLOOKUP(A2923,TRAOPE!$A:$U,21,0),VLOOKUP(B2923,TRAOPE!$A:$U,21,0)),"")</f>
        <v/>
      </c>
      <c r="R2923" s="8">
        <f>IFERROR(IFERROR(VLOOKUP(A2923,TRAOPE!$A:$W,23,0),VLOOKUP(B2923,TRAOPE!$A:$W,23,0)),"")</f>
        <v/>
      </c>
      <c r="S2923" s="10">
        <f>IF(AND(P2923="TN",R2923="TN"),N2923+N(O2923),IF(G2923&amp;""="1",N(K2923)*N2923,(N2923+N(O2923))*N(K2923)))</f>
        <v/>
      </c>
      <c r="T2923" s="10">
        <f>IF(Q2923="","",Q2923-S2923)</f>
        <v/>
      </c>
    </row>
    <row r="2924">
      <c r="A2924" s="7">
        <f>CONCATENATE(C2924,E2924,F2924,I2924)</f>
        <v/>
      </c>
      <c r="B2924" s="7">
        <f>CONCATENATE(C2924,E2924,I2924)</f>
        <v/>
      </c>
      <c r="C2924" s="8" t="n">
        <v>900004598</v>
      </c>
      <c r="D2924" s="7">
        <f>IFERROR(VLOOKUP(C2924,TRAOPE!$G:$H,2,0),"")</f>
        <v/>
      </c>
      <c r="E2924" s="8" t="inlineStr">
        <is>
          <t>D836</t>
        </is>
      </c>
      <c r="F2924" s="8" t="inlineStr">
        <is>
          <t>67098138</t>
        </is>
      </c>
      <c r="G2924" s="8">
        <f>IFERROR(VLOOKUP(A2924,Flete!$A:$E,5,0),"")</f>
        <v/>
      </c>
      <c r="H2924" s="7">
        <f>IFERROR(VLOOKUP(F2924,TRAOPE!$AA:$AB,2,0),"")</f>
        <v/>
      </c>
      <c r="I2924" s="7" t="n">
        <v>10006150</v>
      </c>
      <c r="J2924" s="7">
        <f>IFERROR(VLOOKUP(I2924,Materiales!$A:$H,8,0),"")</f>
        <v/>
      </c>
      <c r="K2924" s="9">
        <f>IFERROR(VLOOKUP(I2924,Materiales!$A:$G,7,0),"")</f>
        <v/>
      </c>
      <c r="L2924" s="8" t="inlineStr">
        <is>
          <t>20241022</t>
        </is>
      </c>
      <c r="M2924" s="8" t="inlineStr">
        <is>
          <t>20241025</t>
        </is>
      </c>
      <c r="N2924" s="10" t="n">
        <v>310</v>
      </c>
      <c r="O2924" s="10">
        <f>IFERROR(VLOOKUP(A2924,Flete!$A:$J,10,0),"")</f>
        <v/>
      </c>
      <c r="P2924" s="8" t="inlineStr">
        <is>
          <t>M3</t>
        </is>
      </c>
      <c r="Q2924" s="10">
        <f>IFERROR(IFERROR(VLOOKUP(A2924,TRAOPE!$A:$U,21,0),VLOOKUP(B2924,TRAOPE!$A:$U,21,0)),"")</f>
        <v/>
      </c>
      <c r="R2924" s="8">
        <f>IFERROR(IFERROR(VLOOKUP(A2924,TRAOPE!$A:$W,23,0),VLOOKUP(B2924,TRAOPE!$A:$W,23,0)),"")</f>
        <v/>
      </c>
      <c r="S2924" s="10">
        <f>IF(AND(P2924="TN",R2924="TN"),N2924+N(O2924),IF(G2924&amp;""="1",N(K2924)*N2924,(N2924+N(O2924))*N(K2924)))</f>
        <v/>
      </c>
      <c r="T2924" s="10">
        <f>IF(Q2924="","",Q2924-S2924)</f>
        <v/>
      </c>
    </row>
    <row r="2925">
      <c r="A2925" s="7">
        <f>CONCATENATE(C2925,E2925,F2925,I2925)</f>
        <v/>
      </c>
      <c r="B2925" s="7">
        <f>CONCATENATE(C2925,E2925,I2925)</f>
        <v/>
      </c>
      <c r="C2925" s="8" t="n">
        <v>900004598</v>
      </c>
      <c r="D2925" s="7">
        <f>IFERROR(VLOOKUP(C2925,TRAOPE!$G:$H,2,0),"")</f>
        <v/>
      </c>
      <c r="E2925" s="8" t="inlineStr">
        <is>
          <t>D836</t>
        </is>
      </c>
      <c r="F2925" s="8" t="inlineStr">
        <is>
          <t>67098138</t>
        </is>
      </c>
      <c r="G2925" s="8">
        <f>IFERROR(VLOOKUP(A2925,Flete!$A:$E,5,0),"")</f>
        <v/>
      </c>
      <c r="H2925" s="7">
        <f>IFERROR(VLOOKUP(F2925,TRAOPE!$AA:$AB,2,0),"")</f>
        <v/>
      </c>
      <c r="I2925" s="7" t="n">
        <v>10047573</v>
      </c>
      <c r="J2925" s="7">
        <f>IFERROR(VLOOKUP(I2925,Materiales!$A:$H,8,0),"")</f>
        <v/>
      </c>
      <c r="K2925" s="9">
        <f>IFERROR(VLOOKUP(I2925,Materiales!$A:$G,7,0),"")</f>
        <v/>
      </c>
      <c r="L2925" s="8" t="inlineStr">
        <is>
          <t>20241022</t>
        </is>
      </c>
      <c r="M2925" s="8" t="inlineStr">
        <is>
          <t>20241025</t>
        </is>
      </c>
      <c r="N2925" s="10" t="n">
        <v>58</v>
      </c>
      <c r="O2925" s="10">
        <f>IFERROR(VLOOKUP(A2925,Flete!$A:$J,10,0),"")</f>
        <v/>
      </c>
      <c r="P2925" s="8" t="inlineStr">
        <is>
          <t>M3</t>
        </is>
      </c>
      <c r="Q2925" s="10">
        <f>IFERROR(IFERROR(VLOOKUP(A2925,TRAOPE!$A:$U,21,0),VLOOKUP(B2925,TRAOPE!$A:$U,21,0)),"")</f>
        <v/>
      </c>
      <c r="R2925" s="8">
        <f>IFERROR(IFERROR(VLOOKUP(A2925,TRAOPE!$A:$W,23,0),VLOOKUP(B2925,TRAOPE!$A:$W,23,0)),"")</f>
        <v/>
      </c>
      <c r="S2925" s="10">
        <f>IF(AND(P2925="TN",R2925="TN"),N2925+N(O2925),IF(G2925&amp;""="1",N(K2925)*N2925,(N2925+N(O2925))*N(K2925)))</f>
        <v/>
      </c>
      <c r="T2925" s="10">
        <f>IF(Q2925="","",Q2925-S2925)</f>
        <v/>
      </c>
    </row>
    <row r="2926">
      <c r="A2926" s="7">
        <f>CONCATENATE(C2926,E2926,F2926,I2926)</f>
        <v/>
      </c>
      <c r="B2926" s="7">
        <f>CONCATENATE(C2926,E2926,I2926)</f>
        <v/>
      </c>
      <c r="C2926" s="8" t="n">
        <v>900005356</v>
      </c>
      <c r="D2926" s="7">
        <f>IFERROR(VLOOKUP(C2926,TRAOPE!$G:$H,2,0),"")</f>
        <v/>
      </c>
      <c r="E2926" s="8" t="inlineStr">
        <is>
          <t>D836</t>
        </is>
      </c>
      <c r="F2926" s="8" t="inlineStr">
        <is>
          <t>65014664</t>
        </is>
      </c>
      <c r="G2926" s="8">
        <f>IFERROR(VLOOKUP(A2926,Flete!$A:$E,5,0),"")</f>
        <v/>
      </c>
      <c r="H2926" s="7">
        <f>IFERROR(VLOOKUP(F2926,TRAOPE!$AA:$AB,2,0),"")</f>
        <v/>
      </c>
      <c r="I2926" s="7" t="n">
        <v>10000160</v>
      </c>
      <c r="J2926" s="7">
        <f>IFERROR(VLOOKUP(I2926,Materiales!$A:$H,8,0),"")</f>
        <v/>
      </c>
      <c r="K2926" s="9">
        <f>IFERROR(VLOOKUP(I2926,Materiales!$A:$G,7,0),"")</f>
        <v/>
      </c>
      <c r="L2926" s="8" t="inlineStr">
        <is>
          <t>20250528</t>
        </is>
      </c>
      <c r="M2926" s="8" t="inlineStr">
        <is>
          <t>20250710</t>
        </is>
      </c>
      <c r="N2926" s="10" t="n">
        <v>120.4</v>
      </c>
      <c r="O2926" s="10">
        <f>IFERROR(VLOOKUP(A2926,Flete!$A:$J,10,0),"")</f>
        <v/>
      </c>
      <c r="P2926" s="8" t="inlineStr">
        <is>
          <t>M3</t>
        </is>
      </c>
      <c r="Q2926" s="10">
        <f>IFERROR(IFERROR(VLOOKUP(A2926,TRAOPE!$A:$U,21,0),VLOOKUP(B2926,TRAOPE!$A:$U,21,0)),"")</f>
        <v/>
      </c>
      <c r="R2926" s="8">
        <f>IFERROR(IFERROR(VLOOKUP(A2926,TRAOPE!$A:$W,23,0),VLOOKUP(B2926,TRAOPE!$A:$W,23,0)),"")</f>
        <v/>
      </c>
      <c r="S2926" s="10">
        <f>IF(AND(P2926="TN",R2926="TN"),N2926+N(O2926),IF(G2926&amp;""="1",N(K2926)*N2926,(N2926+N(O2926))*N(K2926)))</f>
        <v/>
      </c>
      <c r="T2926" s="10">
        <f>IF(Q2926="","",Q2926-S2926)</f>
        <v/>
      </c>
    </row>
    <row r="2927">
      <c r="A2927" s="7">
        <f>CONCATENATE(C2927,E2927,F2927,I2927)</f>
        <v/>
      </c>
      <c r="B2927" s="7">
        <f>CONCATENATE(C2927,E2927,I2927)</f>
        <v/>
      </c>
      <c r="C2927" s="8" t="n">
        <v>900005356</v>
      </c>
      <c r="D2927" s="7">
        <f>IFERROR(VLOOKUP(C2927,TRAOPE!$G:$H,2,0),"")</f>
        <v/>
      </c>
      <c r="E2927" s="8" t="inlineStr">
        <is>
          <t>D836</t>
        </is>
      </c>
      <c r="F2927" s="8" t="inlineStr">
        <is>
          <t>66828114</t>
        </is>
      </c>
      <c r="G2927" s="8">
        <f>IFERROR(VLOOKUP(A2927,Flete!$A:$E,5,0),"")</f>
        <v/>
      </c>
      <c r="H2927" s="7">
        <f>IFERROR(VLOOKUP(F2927,TRAOPE!$AA:$AB,2,0),"")</f>
        <v/>
      </c>
      <c r="I2927" s="7" t="n">
        <v>10000160</v>
      </c>
      <c r="J2927" s="7">
        <f>IFERROR(VLOOKUP(I2927,Materiales!$A:$H,8,0),"")</f>
        <v/>
      </c>
      <c r="K2927" s="9">
        <f>IFERROR(VLOOKUP(I2927,Materiales!$A:$G,7,0),"")</f>
        <v/>
      </c>
      <c r="L2927" s="8" t="inlineStr">
        <is>
          <t>20250505</t>
        </is>
      </c>
      <c r="M2927" s="8" t="inlineStr">
        <is>
          <t>20250507</t>
        </is>
      </c>
      <c r="N2927" s="10" t="n">
        <v>111</v>
      </c>
      <c r="O2927" s="10">
        <f>IFERROR(VLOOKUP(A2927,Flete!$A:$J,10,0),"")</f>
        <v/>
      </c>
      <c r="P2927" s="8" t="inlineStr">
        <is>
          <t>M3</t>
        </is>
      </c>
      <c r="Q2927" s="10">
        <f>IFERROR(IFERROR(VLOOKUP(A2927,TRAOPE!$A:$U,21,0),VLOOKUP(B2927,TRAOPE!$A:$U,21,0)),"")</f>
        <v/>
      </c>
      <c r="R2927" s="8">
        <f>IFERROR(IFERROR(VLOOKUP(A2927,TRAOPE!$A:$W,23,0),VLOOKUP(B2927,TRAOPE!$A:$W,23,0)),"")</f>
        <v/>
      </c>
      <c r="S2927" s="10">
        <f>IF(AND(P2927="TN",R2927="TN"),N2927+N(O2927),IF(G2927&amp;""="1",N(K2927)*N2927,(N2927+N(O2927))*N(K2927)))</f>
        <v/>
      </c>
      <c r="T2927" s="10">
        <f>IF(Q2927="","",Q2927-S2927)</f>
        <v/>
      </c>
    </row>
    <row r="2928">
      <c r="A2928" s="7">
        <f>CONCATENATE(C2928,E2928,F2928,I2928)</f>
        <v/>
      </c>
      <c r="B2928" s="7">
        <f>CONCATENATE(C2928,E2928,I2928)</f>
        <v/>
      </c>
      <c r="C2928" s="8" t="n">
        <v>900005627</v>
      </c>
      <c r="D2928" s="7">
        <f>IFERROR(VLOOKUP(C2928,TRAOPE!$G:$H,2,0),"")</f>
        <v/>
      </c>
      <c r="E2928" s="8" t="inlineStr">
        <is>
          <t>D836</t>
        </is>
      </c>
      <c r="F2928" s="8" t="inlineStr">
        <is>
          <t>67160653</t>
        </is>
      </c>
      <c r="G2928" s="8">
        <f>IFERROR(VLOOKUP(A2928,Flete!$A:$E,5,0),"")</f>
        <v/>
      </c>
      <c r="H2928" s="7">
        <f>IFERROR(VLOOKUP(F2928,TRAOPE!$AA:$AB,2,0),"")</f>
        <v/>
      </c>
      <c r="I2928" s="7" t="n">
        <v>10267271</v>
      </c>
      <c r="J2928" s="7">
        <f>IFERROR(VLOOKUP(I2928,Materiales!$A:$H,8,0),"")</f>
        <v/>
      </c>
      <c r="K2928" s="9">
        <f>IFERROR(VLOOKUP(I2928,Materiales!$A:$G,7,0),"")</f>
        <v/>
      </c>
      <c r="L2928" s="8" t="inlineStr">
        <is>
          <t>20250528</t>
        </is>
      </c>
      <c r="M2928" s="8" t="inlineStr">
        <is>
          <t>20250710</t>
        </is>
      </c>
      <c r="N2928" s="10" t="n">
        <v>170</v>
      </c>
      <c r="O2928" s="10">
        <f>IFERROR(VLOOKUP(A2928,Flete!$A:$J,10,0),"")</f>
        <v/>
      </c>
      <c r="P2928" s="8" t="inlineStr">
        <is>
          <t>M3</t>
        </is>
      </c>
      <c r="Q2928" s="10">
        <f>IFERROR(IFERROR(VLOOKUP(A2928,TRAOPE!$A:$U,21,0),VLOOKUP(B2928,TRAOPE!$A:$U,21,0)),"")</f>
        <v/>
      </c>
      <c r="R2928" s="8">
        <f>IFERROR(IFERROR(VLOOKUP(A2928,TRAOPE!$A:$W,23,0),VLOOKUP(B2928,TRAOPE!$A:$W,23,0)),"")</f>
        <v/>
      </c>
      <c r="S2928" s="10">
        <f>IF(AND(P2928="TN",R2928="TN"),N2928+N(O2928),IF(G2928&amp;""="1",N(K2928)*N2928,(N2928+N(O2928))*N(K2928)))</f>
        <v/>
      </c>
      <c r="T2928" s="10">
        <f>IF(Q2928="","",Q2928-S2928)</f>
        <v/>
      </c>
    </row>
    <row r="2929">
      <c r="A2929" s="7">
        <f>CONCATENATE(C2929,E2929,F2929,I2929)</f>
        <v/>
      </c>
      <c r="B2929" s="7">
        <f>CONCATENATE(C2929,E2929,I2929)</f>
        <v/>
      </c>
      <c r="C2929" s="8" t="n">
        <v>900005627</v>
      </c>
      <c r="D2929" s="7">
        <f>IFERROR(VLOOKUP(C2929,TRAOPE!$G:$H,2,0),"")</f>
        <v/>
      </c>
      <c r="E2929" s="8" t="inlineStr">
        <is>
          <t>D836</t>
        </is>
      </c>
      <c r="F2929" s="8" t="inlineStr">
        <is>
          <t>67160653</t>
        </is>
      </c>
      <c r="G2929" s="8">
        <f>IFERROR(VLOOKUP(A2929,Flete!$A:$E,5,0),"")</f>
        <v/>
      </c>
      <c r="H2929" s="7">
        <f>IFERROR(VLOOKUP(F2929,TRAOPE!$AA:$AB,2,0),"")</f>
        <v/>
      </c>
      <c r="I2929" s="7" t="n">
        <v>10267272</v>
      </c>
      <c r="J2929" s="7">
        <f>IFERROR(VLOOKUP(I2929,Materiales!$A:$H,8,0),"")</f>
        <v/>
      </c>
      <c r="K2929" s="9">
        <f>IFERROR(VLOOKUP(I2929,Materiales!$A:$G,7,0),"")</f>
        <v/>
      </c>
      <c r="L2929" s="8" t="inlineStr">
        <is>
          <t>20250528</t>
        </is>
      </c>
      <c r="M2929" s="8" t="inlineStr">
        <is>
          <t>20250710</t>
        </is>
      </c>
      <c r="N2929" s="10" t="n">
        <v>170</v>
      </c>
      <c r="O2929" s="10">
        <f>IFERROR(VLOOKUP(A2929,Flete!$A:$J,10,0),"")</f>
        <v/>
      </c>
      <c r="P2929" s="8" t="inlineStr">
        <is>
          <t>M3</t>
        </is>
      </c>
      <c r="Q2929" s="10">
        <f>IFERROR(IFERROR(VLOOKUP(A2929,TRAOPE!$A:$U,21,0),VLOOKUP(B2929,TRAOPE!$A:$U,21,0)),"")</f>
        <v/>
      </c>
      <c r="R2929" s="8">
        <f>IFERROR(IFERROR(VLOOKUP(A2929,TRAOPE!$A:$W,23,0),VLOOKUP(B2929,TRAOPE!$A:$W,23,0)),"")</f>
        <v/>
      </c>
      <c r="S2929" s="10">
        <f>IF(AND(P2929="TN",R2929="TN"),N2929+N(O2929),IF(G2929&amp;""="1",N(K2929)*N2929,(N2929+N(O2929))*N(K2929)))</f>
        <v/>
      </c>
      <c r="T2929" s="10">
        <f>IF(Q2929="","",Q2929-S2929)</f>
        <v/>
      </c>
    </row>
    <row r="2930">
      <c r="A2930" s="7">
        <f>CONCATENATE(C2930,E2930,F2930,I2930)</f>
        <v/>
      </c>
      <c r="B2930" s="7">
        <f>CONCATENATE(C2930,E2930,I2930)</f>
        <v/>
      </c>
      <c r="C2930" s="8" t="n">
        <v>900005627</v>
      </c>
      <c r="D2930" s="7">
        <f>IFERROR(VLOOKUP(C2930,TRAOPE!$G:$H,2,0),"")</f>
        <v/>
      </c>
      <c r="E2930" s="8" t="inlineStr">
        <is>
          <t>D836</t>
        </is>
      </c>
      <c r="F2930" s="8" t="inlineStr">
        <is>
          <t>67160653</t>
        </is>
      </c>
      <c r="G2930" s="8">
        <f>IFERROR(VLOOKUP(A2930,Flete!$A:$E,5,0),"")</f>
        <v/>
      </c>
      <c r="H2930" s="7">
        <f>IFERROR(VLOOKUP(F2930,TRAOPE!$AA:$AB,2,0),"")</f>
        <v/>
      </c>
      <c r="I2930" s="7" t="n">
        <v>10267273</v>
      </c>
      <c r="J2930" s="7">
        <f>IFERROR(VLOOKUP(I2930,Materiales!$A:$H,8,0),"")</f>
        <v/>
      </c>
      <c r="K2930" s="9">
        <f>IFERROR(VLOOKUP(I2930,Materiales!$A:$G,7,0),"")</f>
        <v/>
      </c>
      <c r="L2930" s="8" t="inlineStr">
        <is>
          <t>20250528</t>
        </is>
      </c>
      <c r="M2930" s="8" t="inlineStr">
        <is>
          <t>20250710</t>
        </is>
      </c>
      <c r="N2930" s="10" t="n">
        <v>170</v>
      </c>
      <c r="O2930" s="10">
        <f>IFERROR(VLOOKUP(A2930,Flete!$A:$J,10,0),"")</f>
        <v/>
      </c>
      <c r="P2930" s="8" t="inlineStr">
        <is>
          <t>M3</t>
        </is>
      </c>
      <c r="Q2930" s="10">
        <f>IFERROR(IFERROR(VLOOKUP(A2930,TRAOPE!$A:$U,21,0),VLOOKUP(B2930,TRAOPE!$A:$U,21,0)),"")</f>
        <v/>
      </c>
      <c r="R2930" s="8">
        <f>IFERROR(IFERROR(VLOOKUP(A2930,TRAOPE!$A:$W,23,0),VLOOKUP(B2930,TRAOPE!$A:$W,23,0)),"")</f>
        <v/>
      </c>
      <c r="S2930" s="10">
        <f>IF(AND(P2930="TN",R2930="TN"),N2930+N(O2930),IF(G2930&amp;""="1",N(K2930)*N2930,(N2930+N(O2930))*N(K2930)))</f>
        <v/>
      </c>
      <c r="T2930" s="10">
        <f>IF(Q2930="","",Q2930-S2930)</f>
        <v/>
      </c>
    </row>
    <row r="2931">
      <c r="A2931" s="7">
        <f>CONCATENATE(C2931,E2931,F2931,I2931)</f>
        <v/>
      </c>
      <c r="B2931" s="7">
        <f>CONCATENATE(C2931,E2931,I2931)</f>
        <v/>
      </c>
      <c r="C2931" s="8" t="n">
        <v>900005627</v>
      </c>
      <c r="D2931" s="7">
        <f>IFERROR(VLOOKUP(C2931,TRAOPE!$G:$H,2,0),"")</f>
        <v/>
      </c>
      <c r="E2931" s="8" t="inlineStr">
        <is>
          <t>D836</t>
        </is>
      </c>
      <c r="F2931" s="8" t="inlineStr">
        <is>
          <t>67160653</t>
        </is>
      </c>
      <c r="G2931" s="8">
        <f>IFERROR(VLOOKUP(A2931,Flete!$A:$E,5,0),"")</f>
        <v/>
      </c>
      <c r="H2931" s="7">
        <f>IFERROR(VLOOKUP(F2931,TRAOPE!$AA:$AB,2,0),"")</f>
        <v/>
      </c>
      <c r="I2931" s="7" t="n">
        <v>10267274</v>
      </c>
      <c r="J2931" s="7">
        <f>IFERROR(VLOOKUP(I2931,Materiales!$A:$H,8,0),"")</f>
        <v/>
      </c>
      <c r="K2931" s="9">
        <f>IFERROR(VLOOKUP(I2931,Materiales!$A:$G,7,0),"")</f>
        <v/>
      </c>
      <c r="L2931" s="8" t="inlineStr">
        <is>
          <t>20250528</t>
        </is>
      </c>
      <c r="M2931" s="8" t="inlineStr">
        <is>
          <t>20250710</t>
        </is>
      </c>
      <c r="N2931" s="10" t="n">
        <v>80</v>
      </c>
      <c r="O2931" s="10">
        <f>IFERROR(VLOOKUP(A2931,Flete!$A:$J,10,0),"")</f>
        <v/>
      </c>
      <c r="P2931" s="8" t="inlineStr">
        <is>
          <t>M3</t>
        </is>
      </c>
      <c r="Q2931" s="10">
        <f>IFERROR(IFERROR(VLOOKUP(A2931,TRAOPE!$A:$U,21,0),VLOOKUP(B2931,TRAOPE!$A:$U,21,0)),"")</f>
        <v/>
      </c>
      <c r="R2931" s="8">
        <f>IFERROR(IFERROR(VLOOKUP(A2931,TRAOPE!$A:$W,23,0),VLOOKUP(B2931,TRAOPE!$A:$W,23,0)),"")</f>
        <v/>
      </c>
      <c r="S2931" s="10">
        <f>IF(AND(P2931="TN",R2931="TN"),N2931+N(O2931),IF(G2931&amp;""="1",N(K2931)*N2931,(N2931+N(O2931))*N(K2931)))</f>
        <v/>
      </c>
      <c r="T2931" s="10">
        <f>IF(Q2931="","",Q2931-S2931)</f>
        <v/>
      </c>
    </row>
    <row r="2932">
      <c r="A2932" s="7">
        <f>CONCATENATE(C2932,E2932,F2932,I2932)</f>
        <v/>
      </c>
      <c r="B2932" s="7">
        <f>CONCATENATE(C2932,E2932,I2932)</f>
        <v/>
      </c>
      <c r="C2932" s="8" t="n">
        <v>900006371</v>
      </c>
      <c r="D2932" s="7">
        <f>IFERROR(VLOOKUP(C2932,TRAOPE!$G:$H,2,0),"")</f>
        <v/>
      </c>
      <c r="E2932" s="8" t="inlineStr">
        <is>
          <t>D836</t>
        </is>
      </c>
      <c r="F2932" s="8" t="inlineStr">
        <is>
          <t>65014664</t>
        </is>
      </c>
      <c r="G2932" s="8">
        <f>IFERROR(VLOOKUP(A2932,Flete!$A:$E,5,0),"")</f>
        <v/>
      </c>
      <c r="H2932" s="7">
        <f>IFERROR(VLOOKUP(F2932,TRAOPE!$AA:$AB,2,0),"")</f>
        <v/>
      </c>
      <c r="I2932" s="7" t="n">
        <v>10000160</v>
      </c>
      <c r="J2932" s="7">
        <f>IFERROR(VLOOKUP(I2932,Materiales!$A:$H,8,0),"")</f>
        <v/>
      </c>
      <c r="K2932" s="9">
        <f>IFERROR(VLOOKUP(I2932,Materiales!$A:$G,7,0),"")</f>
        <v/>
      </c>
      <c r="L2932" s="8" t="inlineStr">
        <is>
          <t>20250528</t>
        </is>
      </c>
      <c r="M2932" s="8" t="inlineStr">
        <is>
          <t>20250710</t>
        </is>
      </c>
      <c r="N2932" s="10" t="n">
        <v>109.86</v>
      </c>
      <c r="O2932" s="10">
        <f>IFERROR(VLOOKUP(A2932,Flete!$A:$J,10,0),"")</f>
        <v/>
      </c>
      <c r="P2932" s="8" t="inlineStr">
        <is>
          <t>M3</t>
        </is>
      </c>
      <c r="Q2932" s="10">
        <f>IFERROR(IFERROR(VLOOKUP(A2932,TRAOPE!$A:$U,21,0),VLOOKUP(B2932,TRAOPE!$A:$U,21,0)),"")</f>
        <v/>
      </c>
      <c r="R2932" s="8">
        <f>IFERROR(IFERROR(VLOOKUP(A2932,TRAOPE!$A:$W,23,0),VLOOKUP(B2932,TRAOPE!$A:$W,23,0)),"")</f>
        <v/>
      </c>
      <c r="S2932" s="10">
        <f>IF(AND(P2932="TN",R2932="TN"),N2932+N(O2932),IF(G2932&amp;""="1",N(K2932)*N2932,(N2932+N(O2932))*N(K2932)))</f>
        <v/>
      </c>
      <c r="T2932" s="10">
        <f>IF(Q2932="","",Q2932-S2932)</f>
        <v/>
      </c>
    </row>
    <row r="2933">
      <c r="A2933" s="7">
        <f>CONCATENATE(C2933,E2933,F2933,I2933)</f>
        <v/>
      </c>
      <c r="B2933" s="7">
        <f>CONCATENATE(C2933,E2933,I2933)</f>
        <v/>
      </c>
      <c r="C2933" s="8" t="n">
        <v>900006371</v>
      </c>
      <c r="D2933" s="7">
        <f>IFERROR(VLOOKUP(C2933,TRAOPE!$G:$H,2,0),"")</f>
        <v/>
      </c>
      <c r="E2933" s="8" t="inlineStr">
        <is>
          <t>D836</t>
        </is>
      </c>
      <c r="F2933" s="8" t="inlineStr">
        <is>
          <t>65440384</t>
        </is>
      </c>
      <c r="G2933" s="8">
        <f>IFERROR(VLOOKUP(A2933,Flete!$A:$E,5,0),"")</f>
        <v/>
      </c>
      <c r="H2933" s="7">
        <f>IFERROR(VLOOKUP(F2933,TRAOPE!$AA:$AB,2,0),"")</f>
        <v/>
      </c>
      <c r="I2933" s="7" t="n">
        <v>10000160</v>
      </c>
      <c r="J2933" s="7">
        <f>IFERROR(VLOOKUP(I2933,Materiales!$A:$H,8,0),"")</f>
        <v/>
      </c>
      <c r="K2933" s="9">
        <f>IFERROR(VLOOKUP(I2933,Materiales!$A:$G,7,0),"")</f>
        <v/>
      </c>
      <c r="L2933" s="8" t="inlineStr">
        <is>
          <t>20250528</t>
        </is>
      </c>
      <c r="M2933" s="8" t="inlineStr">
        <is>
          <t>20250710</t>
        </is>
      </c>
      <c r="N2933" s="10" t="n">
        <v>126.59</v>
      </c>
      <c r="O2933" s="10">
        <f>IFERROR(VLOOKUP(A2933,Flete!$A:$J,10,0),"")</f>
        <v/>
      </c>
      <c r="P2933" s="8" t="inlineStr">
        <is>
          <t>M3</t>
        </is>
      </c>
      <c r="Q2933" s="10">
        <f>IFERROR(IFERROR(VLOOKUP(A2933,TRAOPE!$A:$U,21,0),VLOOKUP(B2933,TRAOPE!$A:$U,21,0)),"")</f>
        <v/>
      </c>
      <c r="R2933" s="8">
        <f>IFERROR(IFERROR(VLOOKUP(A2933,TRAOPE!$A:$W,23,0),VLOOKUP(B2933,TRAOPE!$A:$W,23,0)),"")</f>
        <v/>
      </c>
      <c r="S2933" s="10">
        <f>IF(AND(P2933="TN",R2933="TN"),N2933+N(O2933),IF(G2933&amp;""="1",N(K2933)*N2933,(N2933+N(O2933))*N(K2933)))</f>
        <v/>
      </c>
      <c r="T2933" s="10">
        <f>IF(Q2933="","",Q2933-S2933)</f>
        <v/>
      </c>
    </row>
    <row r="2934">
      <c r="A2934" s="7">
        <f>CONCATENATE(C2934,E2934,F2934,I2934)</f>
        <v/>
      </c>
      <c r="B2934" s="7">
        <f>CONCATENATE(C2934,E2934,I2934)</f>
        <v/>
      </c>
      <c r="C2934" s="8" t="n">
        <v>900006371</v>
      </c>
      <c r="D2934" s="7">
        <f>IFERROR(VLOOKUP(C2934,TRAOPE!$G:$H,2,0),"")</f>
        <v/>
      </c>
      <c r="E2934" s="8" t="inlineStr">
        <is>
          <t>D836</t>
        </is>
      </c>
      <c r="F2934" s="8" t="inlineStr">
        <is>
          <t>66779276</t>
        </is>
      </c>
      <c r="G2934" s="8">
        <f>IFERROR(VLOOKUP(A2934,Flete!$A:$E,5,0),"")</f>
        <v/>
      </c>
      <c r="H2934" s="7">
        <f>IFERROR(VLOOKUP(F2934,TRAOPE!$AA:$AB,2,0),"")</f>
        <v/>
      </c>
      <c r="I2934" s="7" t="n">
        <v>10000160</v>
      </c>
      <c r="J2934" s="7">
        <f>IFERROR(VLOOKUP(I2934,Materiales!$A:$H,8,0),"")</f>
        <v/>
      </c>
      <c r="K2934" s="9">
        <f>IFERROR(VLOOKUP(I2934,Materiales!$A:$G,7,0),"")</f>
        <v/>
      </c>
      <c r="L2934" s="8" t="inlineStr">
        <is>
          <t>20250505</t>
        </is>
      </c>
      <c r="M2934" s="8" t="inlineStr">
        <is>
          <t>20250507</t>
        </is>
      </c>
      <c r="N2934" s="10" t="n">
        <v>142</v>
      </c>
      <c r="O2934" s="10">
        <f>IFERROR(VLOOKUP(A2934,Flete!$A:$J,10,0),"")</f>
        <v/>
      </c>
      <c r="P2934" s="8" t="inlineStr">
        <is>
          <t>M3</t>
        </is>
      </c>
      <c r="Q2934" s="10">
        <f>IFERROR(IFERROR(VLOOKUP(A2934,TRAOPE!$A:$U,21,0),VLOOKUP(B2934,TRAOPE!$A:$U,21,0)),"")</f>
        <v/>
      </c>
      <c r="R2934" s="8">
        <f>IFERROR(IFERROR(VLOOKUP(A2934,TRAOPE!$A:$W,23,0),VLOOKUP(B2934,TRAOPE!$A:$W,23,0)),"")</f>
        <v/>
      </c>
      <c r="S2934" s="10">
        <f>IF(AND(P2934="TN",R2934="TN"),N2934+N(O2934),IF(G2934&amp;""="1",N(K2934)*N2934,(N2934+N(O2934))*N(K2934)))</f>
        <v/>
      </c>
      <c r="T2934" s="10">
        <f>IF(Q2934="","",Q2934-S2934)</f>
        <v/>
      </c>
    </row>
    <row r="2935">
      <c r="A2935" s="7">
        <f>CONCATENATE(C2935,E2935,F2935,I2935)</f>
        <v/>
      </c>
      <c r="B2935" s="7">
        <f>CONCATENATE(C2935,E2935,I2935)</f>
        <v/>
      </c>
      <c r="C2935" s="8" t="n">
        <v>900006371</v>
      </c>
      <c r="D2935" s="7">
        <f>IFERROR(VLOOKUP(C2935,TRAOPE!$G:$H,2,0),"")</f>
        <v/>
      </c>
      <c r="E2935" s="8" t="inlineStr">
        <is>
          <t>D836</t>
        </is>
      </c>
      <c r="F2935" s="8" t="inlineStr">
        <is>
          <t>66779276</t>
        </is>
      </c>
      <c r="G2935" s="8">
        <f>IFERROR(VLOOKUP(A2935,Flete!$A:$E,5,0),"")</f>
        <v/>
      </c>
      <c r="H2935" s="7">
        <f>IFERROR(VLOOKUP(F2935,TRAOPE!$AA:$AB,2,0),"")</f>
        <v/>
      </c>
      <c r="I2935" s="7" t="n">
        <v>10000357</v>
      </c>
      <c r="J2935" s="7">
        <f>IFERROR(VLOOKUP(I2935,Materiales!$A:$H,8,0),"")</f>
        <v/>
      </c>
      <c r="K2935" s="9">
        <f>IFERROR(VLOOKUP(I2935,Materiales!$A:$G,7,0),"")</f>
        <v/>
      </c>
      <c r="L2935" s="8" t="inlineStr">
        <is>
          <t>20250505</t>
        </is>
      </c>
      <c r="M2935" s="8" t="inlineStr">
        <is>
          <t>20250507</t>
        </is>
      </c>
      <c r="N2935" s="10" t="n">
        <v>162</v>
      </c>
      <c r="O2935" s="10">
        <f>IFERROR(VLOOKUP(A2935,Flete!$A:$J,10,0),"")</f>
        <v/>
      </c>
      <c r="P2935" s="8" t="inlineStr">
        <is>
          <t>M3</t>
        </is>
      </c>
      <c r="Q2935" s="10">
        <f>IFERROR(IFERROR(VLOOKUP(A2935,TRAOPE!$A:$U,21,0),VLOOKUP(B2935,TRAOPE!$A:$U,21,0)),"")</f>
        <v/>
      </c>
      <c r="R2935" s="8">
        <f>IFERROR(IFERROR(VLOOKUP(A2935,TRAOPE!$A:$W,23,0),VLOOKUP(B2935,TRAOPE!$A:$W,23,0)),"")</f>
        <v/>
      </c>
      <c r="S2935" s="10">
        <f>IF(AND(P2935="TN",R2935="TN"),N2935+N(O2935),IF(G2935&amp;""="1",N(K2935)*N2935,(N2935+N(O2935))*N(K2935)))</f>
        <v/>
      </c>
      <c r="T2935" s="10">
        <f>IF(Q2935="","",Q2935-S2935)</f>
        <v/>
      </c>
    </row>
    <row r="2936">
      <c r="A2936" s="7">
        <f>CONCATENATE(C2936,E2936,F2936,I2936)</f>
        <v/>
      </c>
      <c r="B2936" s="7">
        <f>CONCATENATE(C2936,E2936,I2936)</f>
        <v/>
      </c>
      <c r="C2936" s="8" t="n">
        <v>900006371</v>
      </c>
      <c r="D2936" s="7">
        <f>IFERROR(VLOOKUP(C2936,TRAOPE!$G:$H,2,0),"")</f>
        <v/>
      </c>
      <c r="E2936" s="8" t="inlineStr">
        <is>
          <t>D836</t>
        </is>
      </c>
      <c r="F2936" s="8" t="inlineStr">
        <is>
          <t>66779276</t>
        </is>
      </c>
      <c r="G2936" s="8">
        <f>IFERROR(VLOOKUP(A2936,Flete!$A:$E,5,0),"")</f>
        <v/>
      </c>
      <c r="H2936" s="7">
        <f>IFERROR(VLOOKUP(F2936,TRAOPE!$AA:$AB,2,0),"")</f>
        <v/>
      </c>
      <c r="I2936" s="7" t="n">
        <v>10000627</v>
      </c>
      <c r="J2936" s="7">
        <f>IFERROR(VLOOKUP(I2936,Materiales!$A:$H,8,0),"")</f>
        <v/>
      </c>
      <c r="K2936" s="9">
        <f>IFERROR(VLOOKUP(I2936,Materiales!$A:$G,7,0),"")</f>
        <v/>
      </c>
      <c r="L2936" s="8" t="inlineStr">
        <is>
          <t>20250505</t>
        </is>
      </c>
      <c r="M2936" s="8" t="inlineStr">
        <is>
          <t>20250507</t>
        </is>
      </c>
      <c r="N2936" s="10" t="n">
        <v>125</v>
      </c>
      <c r="O2936" s="10">
        <f>IFERROR(VLOOKUP(A2936,Flete!$A:$J,10,0),"")</f>
        <v/>
      </c>
      <c r="P2936" s="8" t="inlineStr">
        <is>
          <t>M3</t>
        </is>
      </c>
      <c r="Q2936" s="10">
        <f>IFERROR(IFERROR(VLOOKUP(A2936,TRAOPE!$A:$U,21,0),VLOOKUP(B2936,TRAOPE!$A:$U,21,0)),"")</f>
        <v/>
      </c>
      <c r="R2936" s="8">
        <f>IFERROR(IFERROR(VLOOKUP(A2936,TRAOPE!$A:$W,23,0),VLOOKUP(B2936,TRAOPE!$A:$W,23,0)),"")</f>
        <v/>
      </c>
      <c r="S2936" s="10">
        <f>IF(AND(P2936="TN",R2936="TN"),N2936+N(O2936),IF(G2936&amp;""="1",N(K2936)*N2936,(N2936+N(O2936))*N(K2936)))</f>
        <v/>
      </c>
      <c r="T2936" s="10">
        <f>IF(Q2936="","",Q2936-S2936)</f>
        <v/>
      </c>
    </row>
    <row r="2937">
      <c r="A2937" s="7">
        <f>CONCATENATE(C2937,E2937,F2937,I2937)</f>
        <v/>
      </c>
      <c r="B2937" s="7">
        <f>CONCATENATE(C2937,E2937,I2937)</f>
        <v/>
      </c>
      <c r="C2937" s="8" t="n">
        <v>900006543</v>
      </c>
      <c r="D2937" s="7">
        <f>IFERROR(VLOOKUP(C2937,TRAOPE!$G:$H,2,0),"")</f>
        <v/>
      </c>
      <c r="E2937" s="8" t="inlineStr">
        <is>
          <t>D836</t>
        </is>
      </c>
      <c r="F2937" s="8" t="inlineStr">
        <is>
          <t>65006301</t>
        </is>
      </c>
      <c r="G2937" s="8">
        <f>IFERROR(VLOOKUP(A2937,Flete!$A:$E,5,0),"")</f>
        <v/>
      </c>
      <c r="H2937" s="7">
        <f>IFERROR(VLOOKUP(F2937,TRAOPE!$AA:$AB,2,0),"")</f>
        <v/>
      </c>
      <c r="I2937" s="7" t="n">
        <v>10000206</v>
      </c>
      <c r="J2937" s="7">
        <f>IFERROR(VLOOKUP(I2937,Materiales!$A:$H,8,0),"")</f>
        <v/>
      </c>
      <c r="K2937" s="9">
        <f>IFERROR(VLOOKUP(I2937,Materiales!$A:$G,7,0),"")</f>
        <v/>
      </c>
      <c r="L2937" s="8" t="inlineStr">
        <is>
          <t>20240425</t>
        </is>
      </c>
      <c r="M2937" s="8" t="inlineStr">
        <is>
          <t>20240814</t>
        </is>
      </c>
      <c r="N2937" s="10" t="n">
        <v>20</v>
      </c>
      <c r="O2937" s="10">
        <f>IFERROR(VLOOKUP(A2937,Flete!$A:$J,10,0),"")</f>
        <v/>
      </c>
      <c r="P2937" s="8" t="inlineStr">
        <is>
          <t>M3</t>
        </is>
      </c>
      <c r="Q2937" s="10">
        <f>IFERROR(IFERROR(VLOOKUP(A2937,TRAOPE!$A:$U,21,0),VLOOKUP(B2937,TRAOPE!$A:$U,21,0)),"")</f>
        <v/>
      </c>
      <c r="R2937" s="8">
        <f>IFERROR(IFERROR(VLOOKUP(A2937,TRAOPE!$A:$W,23,0),VLOOKUP(B2937,TRAOPE!$A:$W,23,0)),"")</f>
        <v/>
      </c>
      <c r="S2937" s="10">
        <f>IF(AND(P2937="TN",R2937="TN"),N2937+N(O2937),IF(G2937&amp;""="1",N(K2937)*N2937,(N2937+N(O2937))*N(K2937)))</f>
        <v/>
      </c>
      <c r="T2937" s="10">
        <f>IF(Q2937="","",Q2937-S2937)</f>
        <v/>
      </c>
    </row>
    <row r="2938">
      <c r="A2938" s="7">
        <f>CONCATENATE(C2938,E2938,F2938,I2938)</f>
        <v/>
      </c>
      <c r="B2938" s="7">
        <f>CONCATENATE(C2938,E2938,I2938)</f>
        <v/>
      </c>
      <c r="C2938" s="8" t="n">
        <v>900006543</v>
      </c>
      <c r="D2938" s="7">
        <f>IFERROR(VLOOKUP(C2938,TRAOPE!$G:$H,2,0),"")</f>
        <v/>
      </c>
      <c r="E2938" s="8" t="inlineStr">
        <is>
          <t>D836</t>
        </is>
      </c>
      <c r="F2938" s="8" t="inlineStr">
        <is>
          <t>65006301</t>
        </is>
      </c>
      <c r="G2938" s="8">
        <f>IFERROR(VLOOKUP(A2938,Flete!$A:$E,5,0),"")</f>
        <v/>
      </c>
      <c r="H2938" s="7">
        <f>IFERROR(VLOOKUP(F2938,TRAOPE!$AA:$AB,2,0),"")</f>
        <v/>
      </c>
      <c r="I2938" s="7" t="n">
        <v>10000627</v>
      </c>
      <c r="J2938" s="7">
        <f>IFERROR(VLOOKUP(I2938,Materiales!$A:$H,8,0),"")</f>
        <v/>
      </c>
      <c r="K2938" s="9">
        <f>IFERROR(VLOOKUP(I2938,Materiales!$A:$G,7,0),"")</f>
        <v/>
      </c>
      <c r="L2938" s="8" t="inlineStr">
        <is>
          <t>20240425</t>
        </is>
      </c>
      <c r="M2938" s="8" t="inlineStr">
        <is>
          <t>20240814</t>
        </is>
      </c>
      <c r="N2938" s="10" t="n">
        <v>115</v>
      </c>
      <c r="O2938" s="10">
        <f>IFERROR(VLOOKUP(A2938,Flete!$A:$J,10,0),"")</f>
        <v/>
      </c>
      <c r="P2938" s="8" t="inlineStr">
        <is>
          <t>M3</t>
        </is>
      </c>
      <c r="Q2938" s="10">
        <f>IFERROR(IFERROR(VLOOKUP(A2938,TRAOPE!$A:$U,21,0),VLOOKUP(B2938,TRAOPE!$A:$U,21,0)),"")</f>
        <v/>
      </c>
      <c r="R2938" s="8">
        <f>IFERROR(IFERROR(VLOOKUP(A2938,TRAOPE!$A:$W,23,0),VLOOKUP(B2938,TRAOPE!$A:$W,23,0)),"")</f>
        <v/>
      </c>
      <c r="S2938" s="10">
        <f>IF(AND(P2938="TN",R2938="TN"),N2938+N(O2938),IF(G2938&amp;""="1",N(K2938)*N2938,(N2938+N(O2938))*N(K2938)))</f>
        <v/>
      </c>
      <c r="T2938" s="10">
        <f>IF(Q2938="","",Q2938-S2938)</f>
        <v/>
      </c>
    </row>
    <row r="2939">
      <c r="A2939" s="7">
        <f>CONCATENATE(C2939,E2939,F2939,I2939)</f>
        <v/>
      </c>
      <c r="B2939" s="7">
        <f>CONCATENATE(C2939,E2939,I2939)</f>
        <v/>
      </c>
      <c r="C2939" s="8" t="n">
        <v>900006543</v>
      </c>
      <c r="D2939" s="7">
        <f>IFERROR(VLOOKUP(C2939,TRAOPE!$G:$H,2,0),"")</f>
        <v/>
      </c>
      <c r="E2939" s="8" t="inlineStr">
        <is>
          <t>D836</t>
        </is>
      </c>
      <c r="F2939" s="8" t="inlineStr">
        <is>
          <t>65006301</t>
        </is>
      </c>
      <c r="G2939" s="8">
        <f>IFERROR(VLOOKUP(A2939,Flete!$A:$E,5,0),"")</f>
        <v/>
      </c>
      <c r="H2939" s="7">
        <f>IFERROR(VLOOKUP(F2939,TRAOPE!$AA:$AB,2,0),"")</f>
        <v/>
      </c>
      <c r="I2939" s="7" t="n">
        <v>10185476</v>
      </c>
      <c r="J2939" s="7">
        <f>IFERROR(VLOOKUP(I2939,Materiales!$A:$H,8,0),"")</f>
        <v/>
      </c>
      <c r="K2939" s="9">
        <f>IFERROR(VLOOKUP(I2939,Materiales!$A:$G,7,0),"")</f>
        <v/>
      </c>
      <c r="L2939" s="8" t="inlineStr">
        <is>
          <t>20240425</t>
        </is>
      </c>
      <c r="M2939" s="8" t="inlineStr">
        <is>
          <t>20240814</t>
        </is>
      </c>
      <c r="N2939" s="10" t="n">
        <v>108</v>
      </c>
      <c r="O2939" s="10">
        <f>IFERROR(VLOOKUP(A2939,Flete!$A:$J,10,0),"")</f>
        <v/>
      </c>
      <c r="P2939" s="8" t="inlineStr">
        <is>
          <t>M3</t>
        </is>
      </c>
      <c r="Q2939" s="10">
        <f>IFERROR(IFERROR(VLOOKUP(A2939,TRAOPE!$A:$U,21,0),VLOOKUP(B2939,TRAOPE!$A:$U,21,0)),"")</f>
        <v/>
      </c>
      <c r="R2939" s="8">
        <f>IFERROR(IFERROR(VLOOKUP(A2939,TRAOPE!$A:$W,23,0),VLOOKUP(B2939,TRAOPE!$A:$W,23,0)),"")</f>
        <v/>
      </c>
      <c r="S2939" s="10">
        <f>IF(AND(P2939="TN",R2939="TN"),N2939+N(O2939),IF(G2939&amp;""="1",N(K2939)*N2939,(N2939+N(O2939))*N(K2939)))</f>
        <v/>
      </c>
      <c r="T2939" s="10">
        <f>IF(Q2939="","",Q2939-S2939)</f>
        <v/>
      </c>
    </row>
    <row r="2940">
      <c r="A2940" s="7">
        <f>CONCATENATE(C2940,E2940,F2940,I2940)</f>
        <v/>
      </c>
      <c r="B2940" s="7">
        <f>CONCATENATE(C2940,E2940,I2940)</f>
        <v/>
      </c>
      <c r="C2940" s="8" t="n">
        <v>900006543</v>
      </c>
      <c r="D2940" s="7">
        <f>IFERROR(VLOOKUP(C2940,TRAOPE!$G:$H,2,0),"")</f>
        <v/>
      </c>
      <c r="E2940" s="8" t="inlineStr">
        <is>
          <t>D836</t>
        </is>
      </c>
      <c r="F2940" s="8" t="inlineStr">
        <is>
          <t>65006301</t>
        </is>
      </c>
      <c r="G2940" s="8">
        <f>IFERROR(VLOOKUP(A2940,Flete!$A:$E,5,0),"")</f>
        <v/>
      </c>
      <c r="H2940" s="7">
        <f>IFERROR(VLOOKUP(F2940,TRAOPE!$AA:$AB,2,0),"")</f>
        <v/>
      </c>
      <c r="I2940" s="7" t="n">
        <v>10185477</v>
      </c>
      <c r="J2940" s="7">
        <f>IFERROR(VLOOKUP(I2940,Materiales!$A:$H,8,0),"")</f>
        <v/>
      </c>
      <c r="K2940" s="9">
        <f>IFERROR(VLOOKUP(I2940,Materiales!$A:$G,7,0),"")</f>
        <v/>
      </c>
      <c r="L2940" s="8" t="inlineStr">
        <is>
          <t>20240425</t>
        </is>
      </c>
      <c r="M2940" s="8" t="inlineStr">
        <is>
          <t>20240814</t>
        </is>
      </c>
      <c r="N2940" s="10" t="n">
        <v>115</v>
      </c>
      <c r="O2940" s="10">
        <f>IFERROR(VLOOKUP(A2940,Flete!$A:$J,10,0),"")</f>
        <v/>
      </c>
      <c r="P2940" s="8" t="inlineStr">
        <is>
          <t>M3</t>
        </is>
      </c>
      <c r="Q2940" s="10">
        <f>IFERROR(IFERROR(VLOOKUP(A2940,TRAOPE!$A:$U,21,0),VLOOKUP(B2940,TRAOPE!$A:$U,21,0)),"")</f>
        <v/>
      </c>
      <c r="R2940" s="8">
        <f>IFERROR(IFERROR(VLOOKUP(A2940,TRAOPE!$A:$W,23,0),VLOOKUP(B2940,TRAOPE!$A:$W,23,0)),"")</f>
        <v/>
      </c>
      <c r="S2940" s="10">
        <f>IF(AND(P2940="TN",R2940="TN"),N2940+N(O2940),IF(G2940&amp;""="1",N(K2940)*N2940,(N2940+N(O2940))*N(K2940)))</f>
        <v/>
      </c>
      <c r="T2940" s="10">
        <f>IF(Q2940="","",Q2940-S2940)</f>
        <v/>
      </c>
    </row>
    <row r="2941">
      <c r="A2941" s="7">
        <f>CONCATENATE(C2941,E2941,F2941,I2941)</f>
        <v/>
      </c>
      <c r="B2941" s="7">
        <f>CONCATENATE(C2941,E2941,I2941)</f>
        <v/>
      </c>
      <c r="C2941" s="8" t="n">
        <v>900006543</v>
      </c>
      <c r="D2941" s="7">
        <f>IFERROR(VLOOKUP(C2941,TRAOPE!$G:$H,2,0),"")</f>
        <v/>
      </c>
      <c r="E2941" s="8" t="inlineStr">
        <is>
          <t>D836</t>
        </is>
      </c>
      <c r="F2941" s="8" t="inlineStr">
        <is>
          <t>65232687</t>
        </is>
      </c>
      <c r="G2941" s="8">
        <f>IFERROR(VLOOKUP(A2941,Flete!$A:$E,5,0),"")</f>
        <v/>
      </c>
      <c r="H2941" s="7">
        <f>IFERROR(VLOOKUP(F2941,TRAOPE!$AA:$AB,2,0),"")</f>
        <v/>
      </c>
      <c r="I2941" s="7" t="n">
        <v>10185476</v>
      </c>
      <c r="J2941" s="7">
        <f>IFERROR(VLOOKUP(I2941,Materiales!$A:$H,8,0),"")</f>
        <v/>
      </c>
      <c r="K2941" s="9">
        <f>IFERROR(VLOOKUP(I2941,Materiales!$A:$G,7,0),"")</f>
        <v/>
      </c>
      <c r="L2941" s="8" t="inlineStr">
        <is>
          <t>20250505</t>
        </is>
      </c>
      <c r="M2941" s="8" t="inlineStr">
        <is>
          <t>20250507</t>
        </is>
      </c>
      <c r="N2941" s="10" t="n">
        <v>130</v>
      </c>
      <c r="O2941" s="10">
        <f>IFERROR(VLOOKUP(A2941,Flete!$A:$J,10,0),"")</f>
        <v/>
      </c>
      <c r="P2941" s="8" t="inlineStr">
        <is>
          <t>M3</t>
        </is>
      </c>
      <c r="Q2941" s="10">
        <f>IFERROR(IFERROR(VLOOKUP(A2941,TRAOPE!$A:$U,21,0),VLOOKUP(B2941,TRAOPE!$A:$U,21,0)),"")</f>
        <v/>
      </c>
      <c r="R2941" s="8">
        <f>IFERROR(IFERROR(VLOOKUP(A2941,TRAOPE!$A:$W,23,0),VLOOKUP(B2941,TRAOPE!$A:$W,23,0)),"")</f>
        <v/>
      </c>
      <c r="S2941" s="10">
        <f>IF(AND(P2941="TN",R2941="TN"),N2941+N(O2941),IF(G2941&amp;""="1",N(K2941)*N2941,(N2941+N(O2941))*N(K2941)))</f>
        <v/>
      </c>
      <c r="T2941" s="10">
        <f>IF(Q2941="","",Q2941-S2941)</f>
        <v/>
      </c>
    </row>
    <row r="2942">
      <c r="A2942" s="7">
        <f>CONCATENATE(C2942,E2942,F2942,I2942)</f>
        <v/>
      </c>
      <c r="B2942" s="7">
        <f>CONCATENATE(C2942,E2942,I2942)</f>
        <v/>
      </c>
      <c r="C2942" s="8" t="n">
        <v>900006543</v>
      </c>
      <c r="D2942" s="7">
        <f>IFERROR(VLOOKUP(C2942,TRAOPE!$G:$H,2,0),"")</f>
        <v/>
      </c>
      <c r="E2942" s="8" t="inlineStr">
        <is>
          <t>D836</t>
        </is>
      </c>
      <c r="F2942" s="8" t="inlineStr">
        <is>
          <t>65232687</t>
        </is>
      </c>
      <c r="G2942" s="8">
        <f>IFERROR(VLOOKUP(A2942,Flete!$A:$E,5,0),"")</f>
        <v/>
      </c>
      <c r="H2942" s="7">
        <f>IFERROR(VLOOKUP(F2942,TRAOPE!$AA:$AB,2,0),"")</f>
        <v/>
      </c>
      <c r="I2942" s="7" t="n">
        <v>10185477</v>
      </c>
      <c r="J2942" s="7">
        <f>IFERROR(VLOOKUP(I2942,Materiales!$A:$H,8,0),"")</f>
        <v/>
      </c>
      <c r="K2942" s="9">
        <f>IFERROR(VLOOKUP(I2942,Materiales!$A:$G,7,0),"")</f>
        <v/>
      </c>
      <c r="L2942" s="8" t="inlineStr">
        <is>
          <t>20250505</t>
        </is>
      </c>
      <c r="M2942" s="8" t="inlineStr">
        <is>
          <t>20250507</t>
        </is>
      </c>
      <c r="N2942" s="10" t="n">
        <v>180</v>
      </c>
      <c r="O2942" s="10">
        <f>IFERROR(VLOOKUP(A2942,Flete!$A:$J,10,0),"")</f>
        <v/>
      </c>
      <c r="P2942" s="8" t="inlineStr">
        <is>
          <t>M3</t>
        </is>
      </c>
      <c r="Q2942" s="10">
        <f>IFERROR(IFERROR(VLOOKUP(A2942,TRAOPE!$A:$U,21,0),VLOOKUP(B2942,TRAOPE!$A:$U,21,0)),"")</f>
        <v/>
      </c>
      <c r="R2942" s="8">
        <f>IFERROR(IFERROR(VLOOKUP(A2942,TRAOPE!$A:$W,23,0),VLOOKUP(B2942,TRAOPE!$A:$W,23,0)),"")</f>
        <v/>
      </c>
      <c r="S2942" s="10">
        <f>IF(AND(P2942="TN",R2942="TN"),N2942+N(O2942),IF(G2942&amp;""="1",N(K2942)*N2942,(N2942+N(O2942))*N(K2942)))</f>
        <v/>
      </c>
      <c r="T2942" s="10">
        <f>IF(Q2942="","",Q2942-S2942)</f>
        <v/>
      </c>
    </row>
    <row r="2943">
      <c r="A2943" s="7">
        <f>CONCATENATE(C2943,E2943,F2943,I2943)</f>
        <v/>
      </c>
      <c r="B2943" s="7">
        <f>CONCATENATE(C2943,E2943,I2943)</f>
        <v/>
      </c>
      <c r="C2943" s="8" t="n">
        <v>900006543</v>
      </c>
      <c r="D2943" s="7">
        <f>IFERROR(VLOOKUP(C2943,TRAOPE!$G:$H,2,0),"")</f>
        <v/>
      </c>
      <c r="E2943" s="8" t="inlineStr">
        <is>
          <t>D836</t>
        </is>
      </c>
      <c r="F2943" s="8" t="inlineStr">
        <is>
          <t>66426100</t>
        </is>
      </c>
      <c r="G2943" s="8">
        <f>IFERROR(VLOOKUP(A2943,Flete!$A:$E,5,0),"")</f>
        <v/>
      </c>
      <c r="H2943" s="7">
        <f>IFERROR(VLOOKUP(F2943,TRAOPE!$AA:$AB,2,0),"")</f>
        <v/>
      </c>
      <c r="I2943" s="7" t="n">
        <v>10185476</v>
      </c>
      <c r="J2943" s="7">
        <f>IFERROR(VLOOKUP(I2943,Materiales!$A:$H,8,0),"")</f>
        <v/>
      </c>
      <c r="K2943" s="9">
        <f>IFERROR(VLOOKUP(I2943,Materiales!$A:$G,7,0),"")</f>
        <v/>
      </c>
      <c r="L2943" s="8" t="inlineStr">
        <is>
          <t>20250505</t>
        </is>
      </c>
      <c r="M2943" s="8" t="inlineStr">
        <is>
          <t>20250507</t>
        </is>
      </c>
      <c r="N2943" s="10" t="n">
        <v>115</v>
      </c>
      <c r="O2943" s="10">
        <f>IFERROR(VLOOKUP(A2943,Flete!$A:$J,10,0),"")</f>
        <v/>
      </c>
      <c r="P2943" s="8" t="inlineStr">
        <is>
          <t>M3</t>
        </is>
      </c>
      <c r="Q2943" s="10">
        <f>IFERROR(IFERROR(VLOOKUP(A2943,TRAOPE!$A:$U,21,0),VLOOKUP(B2943,TRAOPE!$A:$U,21,0)),"")</f>
        <v/>
      </c>
      <c r="R2943" s="8">
        <f>IFERROR(IFERROR(VLOOKUP(A2943,TRAOPE!$A:$W,23,0),VLOOKUP(B2943,TRAOPE!$A:$W,23,0)),"")</f>
        <v/>
      </c>
      <c r="S2943" s="10">
        <f>IF(AND(P2943="TN",R2943="TN"),N2943+N(O2943),IF(G2943&amp;""="1",N(K2943)*N2943,(N2943+N(O2943))*N(K2943)))</f>
        <v/>
      </c>
      <c r="T2943" s="10">
        <f>IF(Q2943="","",Q2943-S2943)</f>
        <v/>
      </c>
    </row>
    <row r="2944">
      <c r="A2944" s="7">
        <f>CONCATENATE(C2944,E2944,F2944,I2944)</f>
        <v/>
      </c>
      <c r="B2944" s="7">
        <f>CONCATENATE(C2944,E2944,I2944)</f>
        <v/>
      </c>
      <c r="C2944" s="8" t="n">
        <v>900006543</v>
      </c>
      <c r="D2944" s="7">
        <f>IFERROR(VLOOKUP(C2944,TRAOPE!$G:$H,2,0),"")</f>
        <v/>
      </c>
      <c r="E2944" s="8" t="inlineStr">
        <is>
          <t>D836</t>
        </is>
      </c>
      <c r="F2944" s="8" t="inlineStr">
        <is>
          <t>66426100</t>
        </is>
      </c>
      <c r="G2944" s="8">
        <f>IFERROR(VLOOKUP(A2944,Flete!$A:$E,5,0),"")</f>
        <v/>
      </c>
      <c r="H2944" s="7">
        <f>IFERROR(VLOOKUP(F2944,TRAOPE!$AA:$AB,2,0),"")</f>
        <v/>
      </c>
      <c r="I2944" s="7" t="n">
        <v>10185477</v>
      </c>
      <c r="J2944" s="7">
        <f>IFERROR(VLOOKUP(I2944,Materiales!$A:$H,8,0),"")</f>
        <v/>
      </c>
      <c r="K2944" s="9">
        <f>IFERROR(VLOOKUP(I2944,Materiales!$A:$G,7,0),"")</f>
        <v/>
      </c>
      <c r="L2944" s="8" t="inlineStr">
        <is>
          <t>20250505</t>
        </is>
      </c>
      <c r="M2944" s="8" t="inlineStr">
        <is>
          <t>20250507</t>
        </is>
      </c>
      <c r="N2944" s="10" t="n">
        <v>120</v>
      </c>
      <c r="O2944" s="10">
        <f>IFERROR(VLOOKUP(A2944,Flete!$A:$J,10,0),"")</f>
        <v/>
      </c>
      <c r="P2944" s="8" t="inlineStr">
        <is>
          <t>M3</t>
        </is>
      </c>
      <c r="Q2944" s="10">
        <f>IFERROR(IFERROR(VLOOKUP(A2944,TRAOPE!$A:$U,21,0),VLOOKUP(B2944,TRAOPE!$A:$U,21,0)),"")</f>
        <v/>
      </c>
      <c r="R2944" s="8">
        <f>IFERROR(IFERROR(VLOOKUP(A2944,TRAOPE!$A:$W,23,0),VLOOKUP(B2944,TRAOPE!$A:$W,23,0)),"")</f>
        <v/>
      </c>
      <c r="S2944" s="10">
        <f>IF(AND(P2944="TN",R2944="TN"),N2944+N(O2944),IF(G2944&amp;""="1",N(K2944)*N2944,(N2944+N(O2944))*N(K2944)))</f>
        <v/>
      </c>
      <c r="T2944" s="10">
        <f>IF(Q2944="","",Q2944-S2944)</f>
        <v/>
      </c>
    </row>
    <row r="2945">
      <c r="A2945" s="7">
        <f>CONCATENATE(C2945,E2945,F2945,I2945)</f>
        <v/>
      </c>
      <c r="B2945" s="7">
        <f>CONCATENATE(C2945,E2945,I2945)</f>
        <v/>
      </c>
      <c r="C2945" s="8" t="n">
        <v>900006543</v>
      </c>
      <c r="D2945" s="7">
        <f>IFERROR(VLOOKUP(C2945,TRAOPE!$G:$H,2,0),"")</f>
        <v/>
      </c>
      <c r="E2945" s="8" t="inlineStr">
        <is>
          <t>D836</t>
        </is>
      </c>
      <c r="F2945" s="8" t="inlineStr">
        <is>
          <t>66433509</t>
        </is>
      </c>
      <c r="G2945" s="8">
        <f>IFERROR(VLOOKUP(A2945,Flete!$A:$E,5,0),"")</f>
        <v/>
      </c>
      <c r="H2945" s="7">
        <f>IFERROR(VLOOKUP(F2945,TRAOPE!$AA:$AB,2,0),"")</f>
        <v/>
      </c>
      <c r="I2945" s="7" t="n">
        <v>10185476</v>
      </c>
      <c r="J2945" s="7">
        <f>IFERROR(VLOOKUP(I2945,Materiales!$A:$H,8,0),"")</f>
        <v/>
      </c>
      <c r="K2945" s="9">
        <f>IFERROR(VLOOKUP(I2945,Materiales!$A:$G,7,0),"")</f>
        <v/>
      </c>
      <c r="L2945" s="8" t="inlineStr">
        <is>
          <t>20250505</t>
        </is>
      </c>
      <c r="M2945" s="8" t="inlineStr">
        <is>
          <t>20250507</t>
        </is>
      </c>
      <c r="N2945" s="10" t="n">
        <v>115</v>
      </c>
      <c r="O2945" s="10">
        <f>IFERROR(VLOOKUP(A2945,Flete!$A:$J,10,0),"")</f>
        <v/>
      </c>
      <c r="P2945" s="8" t="inlineStr">
        <is>
          <t>M3</t>
        </is>
      </c>
      <c r="Q2945" s="10">
        <f>IFERROR(IFERROR(VLOOKUP(A2945,TRAOPE!$A:$U,21,0),VLOOKUP(B2945,TRAOPE!$A:$U,21,0)),"")</f>
        <v/>
      </c>
      <c r="R2945" s="8">
        <f>IFERROR(IFERROR(VLOOKUP(A2945,TRAOPE!$A:$W,23,0),VLOOKUP(B2945,TRAOPE!$A:$W,23,0)),"")</f>
        <v/>
      </c>
      <c r="S2945" s="10">
        <f>IF(AND(P2945="TN",R2945="TN"),N2945+N(O2945),IF(G2945&amp;""="1",N(K2945)*N2945,(N2945+N(O2945))*N(K2945)))</f>
        <v/>
      </c>
      <c r="T2945" s="10">
        <f>IF(Q2945="","",Q2945-S2945)</f>
        <v/>
      </c>
    </row>
    <row r="2946">
      <c r="A2946" s="7">
        <f>CONCATENATE(C2946,E2946,F2946,I2946)</f>
        <v/>
      </c>
      <c r="B2946" s="7">
        <f>CONCATENATE(C2946,E2946,I2946)</f>
        <v/>
      </c>
      <c r="C2946" s="8" t="n">
        <v>900006543</v>
      </c>
      <c r="D2946" s="7">
        <f>IFERROR(VLOOKUP(C2946,TRAOPE!$G:$H,2,0),"")</f>
        <v/>
      </c>
      <c r="E2946" s="8" t="inlineStr">
        <is>
          <t>D836</t>
        </is>
      </c>
      <c r="F2946" s="8" t="inlineStr">
        <is>
          <t>66433509</t>
        </is>
      </c>
      <c r="G2946" s="8">
        <f>IFERROR(VLOOKUP(A2946,Flete!$A:$E,5,0),"")</f>
        <v/>
      </c>
      <c r="H2946" s="7">
        <f>IFERROR(VLOOKUP(F2946,TRAOPE!$AA:$AB,2,0),"")</f>
        <v/>
      </c>
      <c r="I2946" s="7" t="n">
        <v>10185477</v>
      </c>
      <c r="J2946" s="7">
        <f>IFERROR(VLOOKUP(I2946,Materiales!$A:$H,8,0),"")</f>
        <v/>
      </c>
      <c r="K2946" s="9">
        <f>IFERROR(VLOOKUP(I2946,Materiales!$A:$G,7,0),"")</f>
        <v/>
      </c>
      <c r="L2946" s="8" t="inlineStr">
        <is>
          <t>20250505</t>
        </is>
      </c>
      <c r="M2946" s="8" t="inlineStr">
        <is>
          <t>20250507</t>
        </is>
      </c>
      <c r="N2946" s="10" t="n">
        <v>120</v>
      </c>
      <c r="O2946" s="10">
        <f>IFERROR(VLOOKUP(A2946,Flete!$A:$J,10,0),"")</f>
        <v/>
      </c>
      <c r="P2946" s="8" t="inlineStr">
        <is>
          <t>M3</t>
        </is>
      </c>
      <c r="Q2946" s="10">
        <f>IFERROR(IFERROR(VLOOKUP(A2946,TRAOPE!$A:$U,21,0),VLOOKUP(B2946,TRAOPE!$A:$U,21,0)),"")</f>
        <v/>
      </c>
      <c r="R2946" s="8">
        <f>IFERROR(IFERROR(VLOOKUP(A2946,TRAOPE!$A:$W,23,0),VLOOKUP(B2946,TRAOPE!$A:$W,23,0)),"")</f>
        <v/>
      </c>
      <c r="S2946" s="10">
        <f>IF(AND(P2946="TN",R2946="TN"),N2946+N(O2946),IF(G2946&amp;""="1",N(K2946)*N2946,(N2946+N(O2946))*N(K2946)))</f>
        <v/>
      </c>
      <c r="T2946" s="10">
        <f>IF(Q2946="","",Q2946-S2946)</f>
        <v/>
      </c>
    </row>
    <row r="2947">
      <c r="A2947" s="7">
        <f>CONCATENATE(C2947,E2947,F2947,I2947)</f>
        <v/>
      </c>
      <c r="B2947" s="7">
        <f>CONCATENATE(C2947,E2947,I2947)</f>
        <v/>
      </c>
      <c r="C2947" s="8" t="n">
        <v>900006543</v>
      </c>
      <c r="D2947" s="7">
        <f>IFERROR(VLOOKUP(C2947,TRAOPE!$G:$H,2,0),"")</f>
        <v/>
      </c>
      <c r="E2947" s="8" t="inlineStr">
        <is>
          <t>D836</t>
        </is>
      </c>
      <c r="F2947" s="8" t="inlineStr">
        <is>
          <t>66828114</t>
        </is>
      </c>
      <c r="G2947" s="8">
        <f>IFERROR(VLOOKUP(A2947,Flete!$A:$E,5,0),"")</f>
        <v/>
      </c>
      <c r="H2947" s="7">
        <f>IFERROR(VLOOKUP(F2947,TRAOPE!$AA:$AB,2,0),"")</f>
        <v/>
      </c>
      <c r="I2947" s="7" t="n">
        <v>10185476</v>
      </c>
      <c r="J2947" s="7">
        <f>IFERROR(VLOOKUP(I2947,Materiales!$A:$H,8,0),"")</f>
        <v/>
      </c>
      <c r="K2947" s="9">
        <f>IFERROR(VLOOKUP(I2947,Materiales!$A:$G,7,0),"")</f>
        <v/>
      </c>
      <c r="L2947" s="8" t="inlineStr">
        <is>
          <t>20250505</t>
        </is>
      </c>
      <c r="M2947" s="8" t="inlineStr">
        <is>
          <t>20250507</t>
        </is>
      </c>
      <c r="N2947" s="10" t="n">
        <v>110</v>
      </c>
      <c r="O2947" s="10">
        <f>IFERROR(VLOOKUP(A2947,Flete!$A:$J,10,0),"")</f>
        <v/>
      </c>
      <c r="P2947" s="8" t="inlineStr">
        <is>
          <t>M3</t>
        </is>
      </c>
      <c r="Q2947" s="10">
        <f>IFERROR(IFERROR(VLOOKUP(A2947,TRAOPE!$A:$U,21,0),VLOOKUP(B2947,TRAOPE!$A:$U,21,0)),"")</f>
        <v/>
      </c>
      <c r="R2947" s="8">
        <f>IFERROR(IFERROR(VLOOKUP(A2947,TRAOPE!$A:$W,23,0),VLOOKUP(B2947,TRAOPE!$A:$W,23,0)),"")</f>
        <v/>
      </c>
      <c r="S2947" s="10">
        <f>IF(AND(P2947="TN",R2947="TN"),N2947+N(O2947),IF(G2947&amp;""="1",N(K2947)*N2947,(N2947+N(O2947))*N(K2947)))</f>
        <v/>
      </c>
      <c r="T2947" s="10">
        <f>IF(Q2947="","",Q2947-S2947)</f>
        <v/>
      </c>
    </row>
    <row r="2948">
      <c r="A2948" s="7">
        <f>CONCATENATE(C2948,E2948,F2948,I2948)</f>
        <v/>
      </c>
      <c r="B2948" s="7">
        <f>CONCATENATE(C2948,E2948,I2948)</f>
        <v/>
      </c>
      <c r="C2948" s="8" t="n">
        <v>900006543</v>
      </c>
      <c r="D2948" s="7">
        <f>IFERROR(VLOOKUP(C2948,TRAOPE!$G:$H,2,0),"")</f>
        <v/>
      </c>
      <c r="E2948" s="8" t="inlineStr">
        <is>
          <t>D836</t>
        </is>
      </c>
      <c r="F2948" s="8" t="inlineStr">
        <is>
          <t>66828114</t>
        </is>
      </c>
      <c r="G2948" s="8">
        <f>IFERROR(VLOOKUP(A2948,Flete!$A:$E,5,0),"")</f>
        <v/>
      </c>
      <c r="H2948" s="7">
        <f>IFERROR(VLOOKUP(F2948,TRAOPE!$AA:$AB,2,0),"")</f>
        <v/>
      </c>
      <c r="I2948" s="7" t="n">
        <v>10185477</v>
      </c>
      <c r="J2948" s="7">
        <f>IFERROR(VLOOKUP(I2948,Materiales!$A:$H,8,0),"")</f>
        <v/>
      </c>
      <c r="K2948" s="9">
        <f>IFERROR(VLOOKUP(I2948,Materiales!$A:$G,7,0),"")</f>
        <v/>
      </c>
      <c r="L2948" s="8" t="inlineStr">
        <is>
          <t>20250505</t>
        </is>
      </c>
      <c r="M2948" s="8" t="inlineStr">
        <is>
          <t>20250507</t>
        </is>
      </c>
      <c r="N2948" s="10" t="n">
        <v>125</v>
      </c>
      <c r="O2948" s="10">
        <f>IFERROR(VLOOKUP(A2948,Flete!$A:$J,10,0),"")</f>
        <v/>
      </c>
      <c r="P2948" s="8" t="inlineStr">
        <is>
          <t>M3</t>
        </is>
      </c>
      <c r="Q2948" s="10">
        <f>IFERROR(IFERROR(VLOOKUP(A2948,TRAOPE!$A:$U,21,0),VLOOKUP(B2948,TRAOPE!$A:$U,21,0)),"")</f>
        <v/>
      </c>
      <c r="R2948" s="8">
        <f>IFERROR(IFERROR(VLOOKUP(A2948,TRAOPE!$A:$W,23,0),VLOOKUP(B2948,TRAOPE!$A:$W,23,0)),"")</f>
        <v/>
      </c>
      <c r="S2948" s="10">
        <f>IF(AND(P2948="TN",R2948="TN"),N2948+N(O2948),IF(G2948&amp;""="1",N(K2948)*N2948,(N2948+N(O2948))*N(K2948)))</f>
        <v/>
      </c>
      <c r="T2948" s="10">
        <f>IF(Q2948="","",Q2948-S2948)</f>
        <v/>
      </c>
    </row>
    <row r="2949">
      <c r="A2949" s="7">
        <f>CONCATENATE(C2949,E2949,F2949,I2949)</f>
        <v/>
      </c>
      <c r="B2949" s="7">
        <f>CONCATENATE(C2949,E2949,I2949)</f>
        <v/>
      </c>
      <c r="C2949" s="8" t="n">
        <v>900006543</v>
      </c>
      <c r="D2949" s="7">
        <f>IFERROR(VLOOKUP(C2949,TRAOPE!$G:$H,2,0),"")</f>
        <v/>
      </c>
      <c r="E2949" s="8" t="inlineStr">
        <is>
          <t>D836</t>
        </is>
      </c>
      <c r="F2949" s="8" t="inlineStr">
        <is>
          <t>66878462</t>
        </is>
      </c>
      <c r="G2949" s="8">
        <f>IFERROR(VLOOKUP(A2949,Flete!$A:$E,5,0),"")</f>
        <v/>
      </c>
      <c r="H2949" s="7">
        <f>IFERROR(VLOOKUP(F2949,TRAOPE!$AA:$AB,2,0),"")</f>
        <v/>
      </c>
      <c r="I2949" s="7" t="n">
        <v>10000627</v>
      </c>
      <c r="J2949" s="7">
        <f>IFERROR(VLOOKUP(I2949,Materiales!$A:$H,8,0),"")</f>
        <v/>
      </c>
      <c r="K2949" s="9">
        <f>IFERROR(VLOOKUP(I2949,Materiales!$A:$G,7,0),"")</f>
        <v/>
      </c>
      <c r="L2949" s="8" t="inlineStr">
        <is>
          <t>20250505</t>
        </is>
      </c>
      <c r="M2949" s="8" t="inlineStr">
        <is>
          <t>20250507</t>
        </is>
      </c>
      <c r="N2949" s="10" t="n">
        <v>115</v>
      </c>
      <c r="O2949" s="10">
        <f>IFERROR(VLOOKUP(A2949,Flete!$A:$J,10,0),"")</f>
        <v/>
      </c>
      <c r="P2949" s="8" t="inlineStr">
        <is>
          <t>M3</t>
        </is>
      </c>
      <c r="Q2949" s="10">
        <f>IFERROR(IFERROR(VLOOKUP(A2949,TRAOPE!$A:$U,21,0),VLOOKUP(B2949,TRAOPE!$A:$U,21,0)),"")</f>
        <v/>
      </c>
      <c r="R2949" s="8">
        <f>IFERROR(IFERROR(VLOOKUP(A2949,TRAOPE!$A:$W,23,0),VLOOKUP(B2949,TRAOPE!$A:$W,23,0)),"")</f>
        <v/>
      </c>
      <c r="S2949" s="10">
        <f>IF(AND(P2949="TN",R2949="TN"),N2949+N(O2949),IF(G2949&amp;""="1",N(K2949)*N2949,(N2949+N(O2949))*N(K2949)))</f>
        <v/>
      </c>
      <c r="T2949" s="10">
        <f>IF(Q2949="","",Q2949-S2949)</f>
        <v/>
      </c>
    </row>
    <row r="2950">
      <c r="A2950" s="7">
        <f>CONCATENATE(C2950,E2950,F2950,I2950)</f>
        <v/>
      </c>
      <c r="B2950" s="7">
        <f>CONCATENATE(C2950,E2950,I2950)</f>
        <v/>
      </c>
      <c r="C2950" s="8" t="n">
        <v>900006543</v>
      </c>
      <c r="D2950" s="7">
        <f>IFERROR(VLOOKUP(C2950,TRAOPE!$G:$H,2,0),"")</f>
        <v/>
      </c>
      <c r="E2950" s="8" t="inlineStr">
        <is>
          <t>D836</t>
        </is>
      </c>
      <c r="F2950" s="8" t="inlineStr">
        <is>
          <t>66878462</t>
        </is>
      </c>
      <c r="G2950" s="8">
        <f>IFERROR(VLOOKUP(A2950,Flete!$A:$E,5,0),"")</f>
        <v/>
      </c>
      <c r="H2950" s="7">
        <f>IFERROR(VLOOKUP(F2950,TRAOPE!$AA:$AB,2,0),"")</f>
        <v/>
      </c>
      <c r="I2950" s="7" t="n">
        <v>10185476</v>
      </c>
      <c r="J2950" s="7">
        <f>IFERROR(VLOOKUP(I2950,Materiales!$A:$H,8,0),"")</f>
        <v/>
      </c>
      <c r="K2950" s="9">
        <f>IFERROR(VLOOKUP(I2950,Materiales!$A:$G,7,0),"")</f>
        <v/>
      </c>
      <c r="L2950" s="8" t="inlineStr">
        <is>
          <t>20250505</t>
        </is>
      </c>
      <c r="M2950" s="8" t="inlineStr">
        <is>
          <t>20250507</t>
        </is>
      </c>
      <c r="N2950" s="10" t="n">
        <v>108</v>
      </c>
      <c r="O2950" s="10">
        <f>IFERROR(VLOOKUP(A2950,Flete!$A:$J,10,0),"")</f>
        <v/>
      </c>
      <c r="P2950" s="8" t="inlineStr">
        <is>
          <t>M3</t>
        </is>
      </c>
      <c r="Q2950" s="10">
        <f>IFERROR(IFERROR(VLOOKUP(A2950,TRAOPE!$A:$U,21,0),VLOOKUP(B2950,TRAOPE!$A:$U,21,0)),"")</f>
        <v/>
      </c>
      <c r="R2950" s="8">
        <f>IFERROR(IFERROR(VLOOKUP(A2950,TRAOPE!$A:$W,23,0),VLOOKUP(B2950,TRAOPE!$A:$W,23,0)),"")</f>
        <v/>
      </c>
      <c r="S2950" s="10">
        <f>IF(AND(P2950="TN",R2950="TN"),N2950+N(O2950),IF(G2950&amp;""="1",N(K2950)*N2950,(N2950+N(O2950))*N(K2950)))</f>
        <v/>
      </c>
      <c r="T2950" s="10">
        <f>IF(Q2950="","",Q2950-S2950)</f>
        <v/>
      </c>
    </row>
    <row r="2951">
      <c r="A2951" s="7">
        <f>CONCATENATE(C2951,E2951,F2951,I2951)</f>
        <v/>
      </c>
      <c r="B2951" s="7">
        <f>CONCATENATE(C2951,E2951,I2951)</f>
        <v/>
      </c>
      <c r="C2951" s="8" t="n">
        <v>900006543</v>
      </c>
      <c r="D2951" s="7">
        <f>IFERROR(VLOOKUP(C2951,TRAOPE!$G:$H,2,0),"")</f>
        <v/>
      </c>
      <c r="E2951" s="8" t="inlineStr">
        <is>
          <t>D836</t>
        </is>
      </c>
      <c r="F2951" s="8" t="inlineStr">
        <is>
          <t>66878462</t>
        </is>
      </c>
      <c r="G2951" s="8">
        <f>IFERROR(VLOOKUP(A2951,Flete!$A:$E,5,0),"")</f>
        <v/>
      </c>
      <c r="H2951" s="7">
        <f>IFERROR(VLOOKUP(F2951,TRAOPE!$AA:$AB,2,0),"")</f>
        <v/>
      </c>
      <c r="I2951" s="7" t="n">
        <v>10185477</v>
      </c>
      <c r="J2951" s="7">
        <f>IFERROR(VLOOKUP(I2951,Materiales!$A:$H,8,0),"")</f>
        <v/>
      </c>
      <c r="K2951" s="9">
        <f>IFERROR(VLOOKUP(I2951,Materiales!$A:$G,7,0),"")</f>
        <v/>
      </c>
      <c r="L2951" s="8" t="inlineStr">
        <is>
          <t>20250505</t>
        </is>
      </c>
      <c r="M2951" s="8" t="inlineStr">
        <is>
          <t>20250507</t>
        </is>
      </c>
      <c r="N2951" s="10" t="n">
        <v>115</v>
      </c>
      <c r="O2951" s="10">
        <f>IFERROR(VLOOKUP(A2951,Flete!$A:$J,10,0),"")</f>
        <v/>
      </c>
      <c r="P2951" s="8" t="inlineStr">
        <is>
          <t>M3</t>
        </is>
      </c>
      <c r="Q2951" s="10">
        <f>IFERROR(IFERROR(VLOOKUP(A2951,TRAOPE!$A:$U,21,0),VLOOKUP(B2951,TRAOPE!$A:$U,21,0)),"")</f>
        <v/>
      </c>
      <c r="R2951" s="8">
        <f>IFERROR(IFERROR(VLOOKUP(A2951,TRAOPE!$A:$W,23,0),VLOOKUP(B2951,TRAOPE!$A:$W,23,0)),"")</f>
        <v/>
      </c>
      <c r="S2951" s="10">
        <f>IF(AND(P2951="TN",R2951="TN"),N2951+N(O2951),IF(G2951&amp;""="1",N(K2951)*N2951,(N2951+N(O2951))*N(K2951)))</f>
        <v/>
      </c>
      <c r="T2951" s="10">
        <f>IF(Q2951="","",Q2951-S2951)</f>
        <v/>
      </c>
    </row>
    <row r="2952">
      <c r="A2952" s="7">
        <f>CONCATENATE(C2952,E2952,F2952,I2952)</f>
        <v/>
      </c>
      <c r="B2952" s="7">
        <f>CONCATENATE(C2952,E2952,I2952)</f>
        <v/>
      </c>
      <c r="C2952" s="8" t="n">
        <v>900006543</v>
      </c>
      <c r="D2952" s="7">
        <f>IFERROR(VLOOKUP(C2952,TRAOPE!$G:$H,2,0),"")</f>
        <v/>
      </c>
      <c r="E2952" s="8" t="inlineStr">
        <is>
          <t>D836</t>
        </is>
      </c>
      <c r="F2952" s="8" t="inlineStr">
        <is>
          <t>66922317</t>
        </is>
      </c>
      <c r="G2952" s="8">
        <f>IFERROR(VLOOKUP(A2952,Flete!$A:$E,5,0),"")</f>
        <v/>
      </c>
      <c r="H2952" s="7">
        <f>IFERROR(VLOOKUP(F2952,TRAOPE!$AA:$AB,2,0),"")</f>
        <v/>
      </c>
      <c r="I2952" s="7" t="n">
        <v>10000651</v>
      </c>
      <c r="J2952" s="7">
        <f>IFERROR(VLOOKUP(I2952,Materiales!$A:$H,8,0),"")</f>
        <v/>
      </c>
      <c r="K2952" s="9">
        <f>IFERROR(VLOOKUP(I2952,Materiales!$A:$G,7,0),"")</f>
        <v/>
      </c>
      <c r="L2952" s="8" t="inlineStr">
        <is>
          <t>20250528</t>
        </is>
      </c>
      <c r="M2952" s="8" t="inlineStr">
        <is>
          <t>20250710</t>
        </is>
      </c>
      <c r="N2952" s="10" t="n">
        <v>135</v>
      </c>
      <c r="O2952" s="10">
        <f>IFERROR(VLOOKUP(A2952,Flete!$A:$J,10,0),"")</f>
        <v/>
      </c>
      <c r="P2952" s="8" t="inlineStr">
        <is>
          <t>M3</t>
        </is>
      </c>
      <c r="Q2952" s="10">
        <f>IFERROR(IFERROR(VLOOKUP(A2952,TRAOPE!$A:$U,21,0),VLOOKUP(B2952,TRAOPE!$A:$U,21,0)),"")</f>
        <v/>
      </c>
      <c r="R2952" s="8">
        <f>IFERROR(IFERROR(VLOOKUP(A2952,TRAOPE!$A:$W,23,0),VLOOKUP(B2952,TRAOPE!$A:$W,23,0)),"")</f>
        <v/>
      </c>
      <c r="S2952" s="10">
        <f>IF(AND(P2952="TN",R2952="TN"),N2952+N(O2952),IF(G2952&amp;""="1",N(K2952)*N2952,(N2952+N(O2952))*N(K2952)))</f>
        <v/>
      </c>
      <c r="T2952" s="10">
        <f>IF(Q2952="","",Q2952-S2952)</f>
        <v/>
      </c>
    </row>
    <row r="2953">
      <c r="A2953" s="7">
        <f>CONCATENATE(C2953,E2953,F2953,I2953)</f>
        <v/>
      </c>
      <c r="B2953" s="7">
        <f>CONCATENATE(C2953,E2953,I2953)</f>
        <v/>
      </c>
      <c r="C2953" s="8" t="n">
        <v>900006543</v>
      </c>
      <c r="D2953" s="7">
        <f>IFERROR(VLOOKUP(C2953,TRAOPE!$G:$H,2,0),"")</f>
        <v/>
      </c>
      <c r="E2953" s="8" t="inlineStr">
        <is>
          <t>D836</t>
        </is>
      </c>
      <c r="F2953" s="8" t="inlineStr">
        <is>
          <t>67015877</t>
        </is>
      </c>
      <c r="G2953" s="8">
        <f>IFERROR(VLOOKUP(A2953,Flete!$A:$E,5,0),"")</f>
        <v/>
      </c>
      <c r="H2953" s="7">
        <f>IFERROR(VLOOKUP(F2953,TRAOPE!$AA:$AB,2,0),"")</f>
        <v/>
      </c>
      <c r="I2953" s="7" t="n">
        <v>10000206</v>
      </c>
      <c r="J2953" s="7">
        <f>IFERROR(VLOOKUP(I2953,Materiales!$A:$H,8,0),"")</f>
        <v/>
      </c>
      <c r="K2953" s="9">
        <f>IFERROR(VLOOKUP(I2953,Materiales!$A:$G,7,0),"")</f>
        <v/>
      </c>
      <c r="L2953" s="8" t="inlineStr">
        <is>
          <t>20240425</t>
        </is>
      </c>
      <c r="M2953" s="8" t="inlineStr">
        <is>
          <t>20240814</t>
        </is>
      </c>
      <c r="N2953" s="10" t="n">
        <v>20</v>
      </c>
      <c r="O2953" s="10">
        <f>IFERROR(VLOOKUP(A2953,Flete!$A:$J,10,0),"")</f>
        <v/>
      </c>
      <c r="P2953" s="8" t="inlineStr">
        <is>
          <t>M3</t>
        </is>
      </c>
      <c r="Q2953" s="10">
        <f>IFERROR(IFERROR(VLOOKUP(A2953,TRAOPE!$A:$U,21,0),VLOOKUP(B2953,TRAOPE!$A:$U,21,0)),"")</f>
        <v/>
      </c>
      <c r="R2953" s="8">
        <f>IFERROR(IFERROR(VLOOKUP(A2953,TRAOPE!$A:$W,23,0),VLOOKUP(B2953,TRAOPE!$A:$W,23,0)),"")</f>
        <v/>
      </c>
      <c r="S2953" s="10">
        <f>IF(AND(P2953="TN",R2953="TN"),N2953+N(O2953),IF(G2953&amp;""="1",N(K2953)*N2953,(N2953+N(O2953))*N(K2953)))</f>
        <v/>
      </c>
      <c r="T2953" s="10">
        <f>IF(Q2953="","",Q2953-S2953)</f>
        <v/>
      </c>
    </row>
    <row r="2954">
      <c r="A2954" s="7">
        <f>CONCATENATE(C2954,E2954,F2954,I2954)</f>
        <v/>
      </c>
      <c r="B2954" s="7">
        <f>CONCATENATE(C2954,E2954,I2954)</f>
        <v/>
      </c>
      <c r="C2954" s="8" t="n">
        <v>900006543</v>
      </c>
      <c r="D2954" s="7">
        <f>IFERROR(VLOOKUP(C2954,TRAOPE!$G:$H,2,0),"")</f>
        <v/>
      </c>
      <c r="E2954" s="8" t="inlineStr">
        <is>
          <t>D836</t>
        </is>
      </c>
      <c r="F2954" s="8" t="inlineStr">
        <is>
          <t>67015877</t>
        </is>
      </c>
      <c r="G2954" s="8">
        <f>IFERROR(VLOOKUP(A2954,Flete!$A:$E,5,0),"")</f>
        <v/>
      </c>
      <c r="H2954" s="7">
        <f>IFERROR(VLOOKUP(F2954,TRAOPE!$AA:$AB,2,0),"")</f>
        <v/>
      </c>
      <c r="I2954" s="7" t="n">
        <v>10000627</v>
      </c>
      <c r="J2954" s="7">
        <f>IFERROR(VLOOKUP(I2954,Materiales!$A:$H,8,0),"")</f>
        <v/>
      </c>
      <c r="K2954" s="9">
        <f>IFERROR(VLOOKUP(I2954,Materiales!$A:$G,7,0),"")</f>
        <v/>
      </c>
      <c r="L2954" s="8" t="inlineStr">
        <is>
          <t>20240425</t>
        </is>
      </c>
      <c r="M2954" s="8" t="inlineStr">
        <is>
          <t>20240814</t>
        </is>
      </c>
      <c r="N2954" s="10" t="n">
        <v>115</v>
      </c>
      <c r="O2954" s="10">
        <f>IFERROR(VLOOKUP(A2954,Flete!$A:$J,10,0),"")</f>
        <v/>
      </c>
      <c r="P2954" s="8" t="inlineStr">
        <is>
          <t>M3</t>
        </is>
      </c>
      <c r="Q2954" s="10">
        <f>IFERROR(IFERROR(VLOOKUP(A2954,TRAOPE!$A:$U,21,0),VLOOKUP(B2954,TRAOPE!$A:$U,21,0)),"")</f>
        <v/>
      </c>
      <c r="R2954" s="8">
        <f>IFERROR(IFERROR(VLOOKUP(A2954,TRAOPE!$A:$W,23,0),VLOOKUP(B2954,TRAOPE!$A:$W,23,0)),"")</f>
        <v/>
      </c>
      <c r="S2954" s="10">
        <f>IF(AND(P2954="TN",R2954="TN"),N2954+N(O2954),IF(G2954&amp;""="1",N(K2954)*N2954,(N2954+N(O2954))*N(K2954)))</f>
        <v/>
      </c>
      <c r="T2954" s="10">
        <f>IF(Q2954="","",Q2954-S2954)</f>
        <v/>
      </c>
    </row>
    <row r="2955">
      <c r="A2955" s="7">
        <f>CONCATENATE(C2955,E2955,F2955,I2955)</f>
        <v/>
      </c>
      <c r="B2955" s="7">
        <f>CONCATENATE(C2955,E2955,I2955)</f>
        <v/>
      </c>
      <c r="C2955" s="8" t="n">
        <v>900006543</v>
      </c>
      <c r="D2955" s="7">
        <f>IFERROR(VLOOKUP(C2955,TRAOPE!$G:$H,2,0),"")</f>
        <v/>
      </c>
      <c r="E2955" s="8" t="inlineStr">
        <is>
          <t>D836</t>
        </is>
      </c>
      <c r="F2955" s="8" t="inlineStr">
        <is>
          <t>67015877</t>
        </is>
      </c>
      <c r="G2955" s="8">
        <f>IFERROR(VLOOKUP(A2955,Flete!$A:$E,5,0),"")</f>
        <v/>
      </c>
      <c r="H2955" s="7">
        <f>IFERROR(VLOOKUP(F2955,TRAOPE!$AA:$AB,2,0),"")</f>
        <v/>
      </c>
      <c r="I2955" s="7" t="n">
        <v>10185476</v>
      </c>
      <c r="J2955" s="7">
        <f>IFERROR(VLOOKUP(I2955,Materiales!$A:$H,8,0),"")</f>
        <v/>
      </c>
      <c r="K2955" s="9">
        <f>IFERROR(VLOOKUP(I2955,Materiales!$A:$G,7,0),"")</f>
        <v/>
      </c>
      <c r="L2955" s="8" t="inlineStr">
        <is>
          <t>20240425</t>
        </is>
      </c>
      <c r="M2955" s="8" t="inlineStr">
        <is>
          <t>20240814</t>
        </is>
      </c>
      <c r="N2955" s="10" t="n">
        <v>108</v>
      </c>
      <c r="O2955" s="10">
        <f>IFERROR(VLOOKUP(A2955,Flete!$A:$J,10,0),"")</f>
        <v/>
      </c>
      <c r="P2955" s="8" t="inlineStr">
        <is>
          <t>M3</t>
        </is>
      </c>
      <c r="Q2955" s="10">
        <f>IFERROR(IFERROR(VLOOKUP(A2955,TRAOPE!$A:$U,21,0),VLOOKUP(B2955,TRAOPE!$A:$U,21,0)),"")</f>
        <v/>
      </c>
      <c r="R2955" s="8">
        <f>IFERROR(IFERROR(VLOOKUP(A2955,TRAOPE!$A:$W,23,0),VLOOKUP(B2955,TRAOPE!$A:$W,23,0)),"")</f>
        <v/>
      </c>
      <c r="S2955" s="10">
        <f>IF(AND(P2955="TN",R2955="TN"),N2955+N(O2955),IF(G2955&amp;""="1",N(K2955)*N2955,(N2955+N(O2955))*N(K2955)))</f>
        <v/>
      </c>
      <c r="T2955" s="10">
        <f>IF(Q2955="","",Q2955-S2955)</f>
        <v/>
      </c>
    </row>
    <row r="2956">
      <c r="A2956" s="7">
        <f>CONCATENATE(C2956,E2956,F2956,I2956)</f>
        <v/>
      </c>
      <c r="B2956" s="7">
        <f>CONCATENATE(C2956,E2956,I2956)</f>
        <v/>
      </c>
      <c r="C2956" s="8" t="n">
        <v>900006543</v>
      </c>
      <c r="D2956" s="7">
        <f>IFERROR(VLOOKUP(C2956,TRAOPE!$G:$H,2,0),"")</f>
        <v/>
      </c>
      <c r="E2956" s="8" t="inlineStr">
        <is>
          <t>D836</t>
        </is>
      </c>
      <c r="F2956" s="8" t="inlineStr">
        <is>
          <t>67015877</t>
        </is>
      </c>
      <c r="G2956" s="8">
        <f>IFERROR(VLOOKUP(A2956,Flete!$A:$E,5,0),"")</f>
        <v/>
      </c>
      <c r="H2956" s="7">
        <f>IFERROR(VLOOKUP(F2956,TRAOPE!$AA:$AB,2,0),"")</f>
        <v/>
      </c>
      <c r="I2956" s="7" t="n">
        <v>10185477</v>
      </c>
      <c r="J2956" s="7">
        <f>IFERROR(VLOOKUP(I2956,Materiales!$A:$H,8,0),"")</f>
        <v/>
      </c>
      <c r="K2956" s="9">
        <f>IFERROR(VLOOKUP(I2956,Materiales!$A:$G,7,0),"")</f>
        <v/>
      </c>
      <c r="L2956" s="8" t="inlineStr">
        <is>
          <t>20240425</t>
        </is>
      </c>
      <c r="M2956" s="8" t="inlineStr">
        <is>
          <t>20240814</t>
        </is>
      </c>
      <c r="N2956" s="10" t="n">
        <v>115</v>
      </c>
      <c r="O2956" s="10">
        <f>IFERROR(VLOOKUP(A2956,Flete!$A:$J,10,0),"")</f>
        <v/>
      </c>
      <c r="P2956" s="8" t="inlineStr">
        <is>
          <t>M3</t>
        </is>
      </c>
      <c r="Q2956" s="10">
        <f>IFERROR(IFERROR(VLOOKUP(A2956,TRAOPE!$A:$U,21,0),VLOOKUP(B2956,TRAOPE!$A:$U,21,0)),"")</f>
        <v/>
      </c>
      <c r="R2956" s="8">
        <f>IFERROR(IFERROR(VLOOKUP(A2956,TRAOPE!$A:$W,23,0),VLOOKUP(B2956,TRAOPE!$A:$W,23,0)),"")</f>
        <v/>
      </c>
      <c r="S2956" s="10">
        <f>IF(AND(P2956="TN",R2956="TN"),N2956+N(O2956),IF(G2956&amp;""="1",N(K2956)*N2956,(N2956+N(O2956))*N(K2956)))</f>
        <v/>
      </c>
      <c r="T2956" s="10">
        <f>IF(Q2956="","",Q2956-S2956)</f>
        <v/>
      </c>
    </row>
    <row r="2957">
      <c r="A2957" s="7">
        <f>CONCATENATE(C2957,E2957,F2957,I2957)</f>
        <v/>
      </c>
      <c r="B2957" s="7">
        <f>CONCATENATE(C2957,E2957,I2957)</f>
        <v/>
      </c>
      <c r="C2957" s="8" t="n">
        <v>900006543</v>
      </c>
      <c r="D2957" s="7">
        <f>IFERROR(VLOOKUP(C2957,TRAOPE!$G:$H,2,0),"")</f>
        <v/>
      </c>
      <c r="E2957" s="8" t="inlineStr">
        <is>
          <t>D836</t>
        </is>
      </c>
      <c r="F2957" s="8" t="inlineStr">
        <is>
          <t>67239472</t>
        </is>
      </c>
      <c r="G2957" s="8">
        <f>IFERROR(VLOOKUP(A2957,Flete!$A:$E,5,0),"")</f>
        <v/>
      </c>
      <c r="H2957" s="7">
        <f>IFERROR(VLOOKUP(F2957,TRAOPE!$AA:$AB,2,0),"")</f>
        <v/>
      </c>
      <c r="I2957" s="7" t="n">
        <v>10000206</v>
      </c>
      <c r="J2957" s="7">
        <f>IFERROR(VLOOKUP(I2957,Materiales!$A:$H,8,0),"")</f>
        <v/>
      </c>
      <c r="K2957" s="9">
        <f>IFERROR(VLOOKUP(I2957,Materiales!$A:$G,7,0),"")</f>
        <v/>
      </c>
      <c r="L2957" s="8" t="inlineStr">
        <is>
          <t>20240425</t>
        </is>
      </c>
      <c r="M2957" s="8" t="inlineStr">
        <is>
          <t>20240814</t>
        </is>
      </c>
      <c r="N2957" s="10" t="n">
        <v>20</v>
      </c>
      <c r="O2957" s="10">
        <f>IFERROR(VLOOKUP(A2957,Flete!$A:$J,10,0),"")</f>
        <v/>
      </c>
      <c r="P2957" s="8" t="inlineStr">
        <is>
          <t>M3</t>
        </is>
      </c>
      <c r="Q2957" s="10">
        <f>IFERROR(IFERROR(VLOOKUP(A2957,TRAOPE!$A:$U,21,0),VLOOKUP(B2957,TRAOPE!$A:$U,21,0)),"")</f>
        <v/>
      </c>
      <c r="R2957" s="8">
        <f>IFERROR(IFERROR(VLOOKUP(A2957,TRAOPE!$A:$W,23,0),VLOOKUP(B2957,TRAOPE!$A:$W,23,0)),"")</f>
        <v/>
      </c>
      <c r="S2957" s="10">
        <f>IF(AND(P2957="TN",R2957="TN"),N2957+N(O2957),IF(G2957&amp;""="1",N(K2957)*N2957,(N2957+N(O2957))*N(K2957)))</f>
        <v/>
      </c>
      <c r="T2957" s="10">
        <f>IF(Q2957="","",Q2957-S2957)</f>
        <v/>
      </c>
    </row>
    <row r="2958">
      <c r="A2958" s="7">
        <f>CONCATENATE(C2958,E2958,F2958,I2958)</f>
        <v/>
      </c>
      <c r="B2958" s="7">
        <f>CONCATENATE(C2958,E2958,I2958)</f>
        <v/>
      </c>
      <c r="C2958" s="8" t="n">
        <v>900006543</v>
      </c>
      <c r="D2958" s="7">
        <f>IFERROR(VLOOKUP(C2958,TRAOPE!$G:$H,2,0),"")</f>
        <v/>
      </c>
      <c r="E2958" s="8" t="inlineStr">
        <is>
          <t>D836</t>
        </is>
      </c>
      <c r="F2958" s="8" t="inlineStr">
        <is>
          <t>67239472</t>
        </is>
      </c>
      <c r="G2958" s="8">
        <f>IFERROR(VLOOKUP(A2958,Flete!$A:$E,5,0),"")</f>
        <v/>
      </c>
      <c r="H2958" s="7">
        <f>IFERROR(VLOOKUP(F2958,TRAOPE!$AA:$AB,2,0),"")</f>
        <v/>
      </c>
      <c r="I2958" s="7" t="n">
        <v>10000627</v>
      </c>
      <c r="J2958" s="7">
        <f>IFERROR(VLOOKUP(I2958,Materiales!$A:$H,8,0),"")</f>
        <v/>
      </c>
      <c r="K2958" s="9">
        <f>IFERROR(VLOOKUP(I2958,Materiales!$A:$G,7,0),"")</f>
        <v/>
      </c>
      <c r="L2958" s="8" t="inlineStr">
        <is>
          <t>20240425</t>
        </is>
      </c>
      <c r="M2958" s="8" t="inlineStr">
        <is>
          <t>20240814</t>
        </is>
      </c>
      <c r="N2958" s="10" t="n">
        <v>115</v>
      </c>
      <c r="O2958" s="10">
        <f>IFERROR(VLOOKUP(A2958,Flete!$A:$J,10,0),"")</f>
        <v/>
      </c>
      <c r="P2958" s="8" t="inlineStr">
        <is>
          <t>M3</t>
        </is>
      </c>
      <c r="Q2958" s="10">
        <f>IFERROR(IFERROR(VLOOKUP(A2958,TRAOPE!$A:$U,21,0),VLOOKUP(B2958,TRAOPE!$A:$U,21,0)),"")</f>
        <v/>
      </c>
      <c r="R2958" s="8">
        <f>IFERROR(IFERROR(VLOOKUP(A2958,TRAOPE!$A:$W,23,0),VLOOKUP(B2958,TRAOPE!$A:$W,23,0)),"")</f>
        <v/>
      </c>
      <c r="S2958" s="10">
        <f>IF(AND(P2958="TN",R2958="TN"),N2958+N(O2958),IF(G2958&amp;""="1",N(K2958)*N2958,(N2958+N(O2958))*N(K2958)))</f>
        <v/>
      </c>
      <c r="T2958" s="10">
        <f>IF(Q2958="","",Q2958-S2958)</f>
        <v/>
      </c>
    </row>
    <row r="2959">
      <c r="A2959" s="7">
        <f>CONCATENATE(C2959,E2959,F2959,I2959)</f>
        <v/>
      </c>
      <c r="B2959" s="7">
        <f>CONCATENATE(C2959,E2959,I2959)</f>
        <v/>
      </c>
      <c r="C2959" s="8" t="n">
        <v>900006543</v>
      </c>
      <c r="D2959" s="7">
        <f>IFERROR(VLOOKUP(C2959,TRAOPE!$G:$H,2,0),"")</f>
        <v/>
      </c>
      <c r="E2959" s="8" t="inlineStr">
        <is>
          <t>D836</t>
        </is>
      </c>
      <c r="F2959" s="8" t="inlineStr">
        <is>
          <t>67239472</t>
        </is>
      </c>
      <c r="G2959" s="8">
        <f>IFERROR(VLOOKUP(A2959,Flete!$A:$E,5,0),"")</f>
        <v/>
      </c>
      <c r="H2959" s="7">
        <f>IFERROR(VLOOKUP(F2959,TRAOPE!$AA:$AB,2,0),"")</f>
        <v/>
      </c>
      <c r="I2959" s="7" t="n">
        <v>10185476</v>
      </c>
      <c r="J2959" s="7">
        <f>IFERROR(VLOOKUP(I2959,Materiales!$A:$H,8,0),"")</f>
        <v/>
      </c>
      <c r="K2959" s="9">
        <f>IFERROR(VLOOKUP(I2959,Materiales!$A:$G,7,0),"")</f>
        <v/>
      </c>
      <c r="L2959" s="8" t="inlineStr">
        <is>
          <t>20240425</t>
        </is>
      </c>
      <c r="M2959" s="8" t="inlineStr">
        <is>
          <t>20240814</t>
        </is>
      </c>
      <c r="N2959" s="10" t="n">
        <v>108</v>
      </c>
      <c r="O2959" s="10">
        <f>IFERROR(VLOOKUP(A2959,Flete!$A:$J,10,0),"")</f>
        <v/>
      </c>
      <c r="P2959" s="8" t="inlineStr">
        <is>
          <t>M3</t>
        </is>
      </c>
      <c r="Q2959" s="10">
        <f>IFERROR(IFERROR(VLOOKUP(A2959,TRAOPE!$A:$U,21,0),VLOOKUP(B2959,TRAOPE!$A:$U,21,0)),"")</f>
        <v/>
      </c>
      <c r="R2959" s="8">
        <f>IFERROR(IFERROR(VLOOKUP(A2959,TRAOPE!$A:$W,23,0),VLOOKUP(B2959,TRAOPE!$A:$W,23,0)),"")</f>
        <v/>
      </c>
      <c r="S2959" s="10">
        <f>IF(AND(P2959="TN",R2959="TN"),N2959+N(O2959),IF(G2959&amp;""="1",N(K2959)*N2959,(N2959+N(O2959))*N(K2959)))</f>
        <v/>
      </c>
      <c r="T2959" s="10">
        <f>IF(Q2959="","",Q2959-S2959)</f>
        <v/>
      </c>
    </row>
    <row r="2960">
      <c r="A2960" s="7">
        <f>CONCATENATE(C2960,E2960,F2960,I2960)</f>
        <v/>
      </c>
      <c r="B2960" s="7">
        <f>CONCATENATE(C2960,E2960,I2960)</f>
        <v/>
      </c>
      <c r="C2960" s="8" t="n">
        <v>900006543</v>
      </c>
      <c r="D2960" s="7">
        <f>IFERROR(VLOOKUP(C2960,TRAOPE!$G:$H,2,0),"")</f>
        <v/>
      </c>
      <c r="E2960" s="8" t="inlineStr">
        <is>
          <t>D836</t>
        </is>
      </c>
      <c r="F2960" s="8" t="inlineStr">
        <is>
          <t>67239472</t>
        </is>
      </c>
      <c r="G2960" s="8">
        <f>IFERROR(VLOOKUP(A2960,Flete!$A:$E,5,0),"")</f>
        <v/>
      </c>
      <c r="H2960" s="7">
        <f>IFERROR(VLOOKUP(F2960,TRAOPE!$AA:$AB,2,0),"")</f>
        <v/>
      </c>
      <c r="I2960" s="7" t="n">
        <v>10185477</v>
      </c>
      <c r="J2960" s="7">
        <f>IFERROR(VLOOKUP(I2960,Materiales!$A:$H,8,0),"")</f>
        <v/>
      </c>
      <c r="K2960" s="9">
        <f>IFERROR(VLOOKUP(I2960,Materiales!$A:$G,7,0),"")</f>
        <v/>
      </c>
      <c r="L2960" s="8" t="inlineStr">
        <is>
          <t>20240425</t>
        </is>
      </c>
      <c r="M2960" s="8" t="inlineStr">
        <is>
          <t>20240814</t>
        </is>
      </c>
      <c r="N2960" s="10" t="n">
        <v>115</v>
      </c>
      <c r="O2960" s="10">
        <f>IFERROR(VLOOKUP(A2960,Flete!$A:$J,10,0),"")</f>
        <v/>
      </c>
      <c r="P2960" s="8" t="inlineStr">
        <is>
          <t>M3</t>
        </is>
      </c>
      <c r="Q2960" s="10">
        <f>IFERROR(IFERROR(VLOOKUP(A2960,TRAOPE!$A:$U,21,0),VLOOKUP(B2960,TRAOPE!$A:$U,21,0)),"")</f>
        <v/>
      </c>
      <c r="R2960" s="8">
        <f>IFERROR(IFERROR(VLOOKUP(A2960,TRAOPE!$A:$W,23,0),VLOOKUP(B2960,TRAOPE!$A:$W,23,0)),"")</f>
        <v/>
      </c>
      <c r="S2960" s="10">
        <f>IF(AND(P2960="TN",R2960="TN"),N2960+N(O2960),IF(G2960&amp;""="1",N(K2960)*N2960,(N2960+N(O2960))*N(K2960)))</f>
        <v/>
      </c>
      <c r="T2960" s="10">
        <f>IF(Q2960="","",Q2960-S2960)</f>
        <v/>
      </c>
    </row>
    <row r="2961">
      <c r="A2961" s="7">
        <f>CONCATENATE(C2961,E2961,F2961,I2961)</f>
        <v/>
      </c>
      <c r="B2961" s="7">
        <f>CONCATENATE(C2961,E2961,I2961)</f>
        <v/>
      </c>
      <c r="C2961" s="8" t="n">
        <v>900006543</v>
      </c>
      <c r="D2961" s="7">
        <f>IFERROR(VLOOKUP(C2961,TRAOPE!$G:$H,2,0),"")</f>
        <v/>
      </c>
      <c r="E2961" s="8" t="inlineStr">
        <is>
          <t>D836</t>
        </is>
      </c>
      <c r="F2961" s="8" t="inlineStr">
        <is>
          <t>67244591</t>
        </is>
      </c>
      <c r="G2961" s="8">
        <f>IFERROR(VLOOKUP(A2961,Flete!$A:$E,5,0),"")</f>
        <v/>
      </c>
      <c r="H2961" s="7">
        <f>IFERROR(VLOOKUP(F2961,TRAOPE!$AA:$AB,2,0),"")</f>
        <v/>
      </c>
      <c r="I2961" s="7" t="n">
        <v>10185476</v>
      </c>
      <c r="J2961" s="7">
        <f>IFERROR(VLOOKUP(I2961,Materiales!$A:$H,8,0),"")</f>
        <v/>
      </c>
      <c r="K2961" s="9">
        <f>IFERROR(VLOOKUP(I2961,Materiales!$A:$G,7,0),"")</f>
        <v/>
      </c>
      <c r="L2961" s="8" t="inlineStr">
        <is>
          <t>20250505</t>
        </is>
      </c>
      <c r="M2961" s="8" t="inlineStr">
        <is>
          <t>20250507</t>
        </is>
      </c>
      <c r="N2961" s="10" t="n">
        <v>105</v>
      </c>
      <c r="O2961" s="10">
        <f>IFERROR(VLOOKUP(A2961,Flete!$A:$J,10,0),"")</f>
        <v/>
      </c>
      <c r="P2961" s="8" t="inlineStr">
        <is>
          <t>M3</t>
        </is>
      </c>
      <c r="Q2961" s="10">
        <f>IFERROR(IFERROR(VLOOKUP(A2961,TRAOPE!$A:$U,21,0),VLOOKUP(B2961,TRAOPE!$A:$U,21,0)),"")</f>
        <v/>
      </c>
      <c r="R2961" s="8">
        <f>IFERROR(IFERROR(VLOOKUP(A2961,TRAOPE!$A:$W,23,0),VLOOKUP(B2961,TRAOPE!$A:$W,23,0)),"")</f>
        <v/>
      </c>
      <c r="S2961" s="10">
        <f>IF(AND(P2961="TN",R2961="TN"),N2961+N(O2961),IF(G2961&amp;""="1",N(K2961)*N2961,(N2961+N(O2961))*N(K2961)))</f>
        <v/>
      </c>
      <c r="T2961" s="10">
        <f>IF(Q2961="","",Q2961-S2961)</f>
        <v/>
      </c>
    </row>
    <row r="2962">
      <c r="A2962" s="7">
        <f>CONCATENATE(C2962,E2962,F2962,I2962)</f>
        <v/>
      </c>
      <c r="B2962" s="7">
        <f>CONCATENATE(C2962,E2962,I2962)</f>
        <v/>
      </c>
      <c r="C2962" s="8" t="n">
        <v>900006543</v>
      </c>
      <c r="D2962" s="7">
        <f>IFERROR(VLOOKUP(C2962,TRAOPE!$G:$H,2,0),"")</f>
        <v/>
      </c>
      <c r="E2962" s="8" t="inlineStr">
        <is>
          <t>D836</t>
        </is>
      </c>
      <c r="F2962" s="8" t="inlineStr">
        <is>
          <t>67244591</t>
        </is>
      </c>
      <c r="G2962" s="8">
        <f>IFERROR(VLOOKUP(A2962,Flete!$A:$E,5,0),"")</f>
        <v/>
      </c>
      <c r="H2962" s="7">
        <f>IFERROR(VLOOKUP(F2962,TRAOPE!$AA:$AB,2,0),"")</f>
        <v/>
      </c>
      <c r="I2962" s="7" t="n">
        <v>10185477</v>
      </c>
      <c r="J2962" s="7">
        <f>IFERROR(VLOOKUP(I2962,Materiales!$A:$H,8,0),"")</f>
        <v/>
      </c>
      <c r="K2962" s="9">
        <f>IFERROR(VLOOKUP(I2962,Materiales!$A:$G,7,0),"")</f>
        <v/>
      </c>
      <c r="L2962" s="8" t="inlineStr">
        <is>
          <t>20250505</t>
        </is>
      </c>
      <c r="M2962" s="8" t="inlineStr">
        <is>
          <t>20250507</t>
        </is>
      </c>
      <c r="N2962" s="10" t="n">
        <v>118</v>
      </c>
      <c r="O2962" s="10">
        <f>IFERROR(VLOOKUP(A2962,Flete!$A:$J,10,0),"")</f>
        <v/>
      </c>
      <c r="P2962" s="8" t="inlineStr">
        <is>
          <t>M3</t>
        </is>
      </c>
      <c r="Q2962" s="10">
        <f>IFERROR(IFERROR(VLOOKUP(A2962,TRAOPE!$A:$U,21,0),VLOOKUP(B2962,TRAOPE!$A:$U,21,0)),"")</f>
        <v/>
      </c>
      <c r="R2962" s="8">
        <f>IFERROR(IFERROR(VLOOKUP(A2962,TRAOPE!$A:$W,23,0),VLOOKUP(B2962,TRAOPE!$A:$W,23,0)),"")</f>
        <v/>
      </c>
      <c r="S2962" s="10">
        <f>IF(AND(P2962="TN",R2962="TN"),N2962+N(O2962),IF(G2962&amp;""="1",N(K2962)*N2962,(N2962+N(O2962))*N(K2962)))</f>
        <v/>
      </c>
      <c r="T2962" s="10">
        <f>IF(Q2962="","",Q2962-S2962)</f>
        <v/>
      </c>
    </row>
    <row r="2963">
      <c r="A2963" s="7">
        <f>CONCATENATE(C2963,E2963,F2963,I2963)</f>
        <v/>
      </c>
      <c r="B2963" s="7">
        <f>CONCATENATE(C2963,E2963,I2963)</f>
        <v/>
      </c>
      <c r="C2963" s="8" t="n">
        <v>900006543</v>
      </c>
      <c r="D2963" s="7">
        <f>IFERROR(VLOOKUP(C2963,TRAOPE!$G:$H,2,0),"")</f>
        <v/>
      </c>
      <c r="E2963" s="8" t="inlineStr">
        <is>
          <t>D836</t>
        </is>
      </c>
      <c r="F2963" s="8" t="inlineStr">
        <is>
          <t>67247435</t>
        </is>
      </c>
      <c r="G2963" s="8">
        <f>IFERROR(VLOOKUP(A2963,Flete!$A:$E,5,0),"")</f>
        <v/>
      </c>
      <c r="H2963" s="7">
        <f>IFERROR(VLOOKUP(F2963,TRAOPE!$AA:$AB,2,0),"")</f>
        <v/>
      </c>
      <c r="I2963" s="7" t="n">
        <v>10185476</v>
      </c>
      <c r="J2963" s="7">
        <f>IFERROR(VLOOKUP(I2963,Materiales!$A:$H,8,0),"")</f>
        <v/>
      </c>
      <c r="K2963" s="9">
        <f>IFERROR(VLOOKUP(I2963,Materiales!$A:$G,7,0),"")</f>
        <v/>
      </c>
      <c r="L2963" s="8" t="inlineStr">
        <is>
          <t>20240425</t>
        </is>
      </c>
      <c r="M2963" s="8" t="inlineStr">
        <is>
          <t>20240814</t>
        </is>
      </c>
      <c r="N2963" s="10" t="n">
        <v>105</v>
      </c>
      <c r="O2963" s="10">
        <f>IFERROR(VLOOKUP(A2963,Flete!$A:$J,10,0),"")</f>
        <v/>
      </c>
      <c r="P2963" s="8" t="inlineStr">
        <is>
          <t>M3</t>
        </is>
      </c>
      <c r="Q2963" s="10">
        <f>IFERROR(IFERROR(VLOOKUP(A2963,TRAOPE!$A:$U,21,0),VLOOKUP(B2963,TRAOPE!$A:$U,21,0)),"")</f>
        <v/>
      </c>
      <c r="R2963" s="8">
        <f>IFERROR(IFERROR(VLOOKUP(A2963,TRAOPE!$A:$W,23,0),VLOOKUP(B2963,TRAOPE!$A:$W,23,0)),"")</f>
        <v/>
      </c>
      <c r="S2963" s="10">
        <f>IF(AND(P2963="TN",R2963="TN"),N2963+N(O2963),IF(G2963&amp;""="1",N(K2963)*N2963,(N2963+N(O2963))*N(K2963)))</f>
        <v/>
      </c>
      <c r="T2963" s="10">
        <f>IF(Q2963="","",Q2963-S2963)</f>
        <v/>
      </c>
    </row>
    <row r="2964">
      <c r="A2964" s="7">
        <f>CONCATENATE(C2964,E2964,F2964,I2964)</f>
        <v/>
      </c>
      <c r="B2964" s="7">
        <f>CONCATENATE(C2964,E2964,I2964)</f>
        <v/>
      </c>
      <c r="C2964" s="8" t="n">
        <v>900006543</v>
      </c>
      <c r="D2964" s="7">
        <f>IFERROR(VLOOKUP(C2964,TRAOPE!$G:$H,2,0),"")</f>
        <v/>
      </c>
      <c r="E2964" s="8" t="inlineStr">
        <is>
          <t>D836</t>
        </is>
      </c>
      <c r="F2964" s="8" t="inlineStr">
        <is>
          <t>67247435</t>
        </is>
      </c>
      <c r="G2964" s="8">
        <f>IFERROR(VLOOKUP(A2964,Flete!$A:$E,5,0),"")</f>
        <v/>
      </c>
      <c r="H2964" s="7">
        <f>IFERROR(VLOOKUP(F2964,TRAOPE!$AA:$AB,2,0),"")</f>
        <v/>
      </c>
      <c r="I2964" s="7" t="n">
        <v>10185477</v>
      </c>
      <c r="J2964" s="7">
        <f>IFERROR(VLOOKUP(I2964,Materiales!$A:$H,8,0),"")</f>
        <v/>
      </c>
      <c r="K2964" s="9">
        <f>IFERROR(VLOOKUP(I2964,Materiales!$A:$G,7,0),"")</f>
        <v/>
      </c>
      <c r="L2964" s="8" t="inlineStr">
        <is>
          <t>20240425</t>
        </is>
      </c>
      <c r="M2964" s="8" t="inlineStr">
        <is>
          <t>20240814</t>
        </is>
      </c>
      <c r="N2964" s="10" t="n">
        <v>118</v>
      </c>
      <c r="O2964" s="10">
        <f>IFERROR(VLOOKUP(A2964,Flete!$A:$J,10,0),"")</f>
        <v/>
      </c>
      <c r="P2964" s="8" t="inlineStr">
        <is>
          <t>M3</t>
        </is>
      </c>
      <c r="Q2964" s="10">
        <f>IFERROR(IFERROR(VLOOKUP(A2964,TRAOPE!$A:$U,21,0),VLOOKUP(B2964,TRAOPE!$A:$U,21,0)),"")</f>
        <v/>
      </c>
      <c r="R2964" s="8">
        <f>IFERROR(IFERROR(VLOOKUP(A2964,TRAOPE!$A:$W,23,0),VLOOKUP(B2964,TRAOPE!$A:$W,23,0)),"")</f>
        <v/>
      </c>
      <c r="S2964" s="10">
        <f>IF(AND(P2964="TN",R2964="TN"),N2964+N(O2964),IF(G2964&amp;""="1",N(K2964)*N2964,(N2964+N(O2964))*N(K2964)))</f>
        <v/>
      </c>
      <c r="T2964" s="10">
        <f>IF(Q2964="","",Q2964-S2964)</f>
        <v/>
      </c>
    </row>
    <row r="2965">
      <c r="A2965" s="7">
        <f>CONCATENATE(C2965,E2965,F2965,I2965)</f>
        <v/>
      </c>
      <c r="B2965" s="7">
        <f>CONCATENATE(C2965,E2965,I2965)</f>
        <v/>
      </c>
      <c r="C2965" s="8" t="n">
        <v>900006543</v>
      </c>
      <c r="D2965" s="7">
        <f>IFERROR(VLOOKUP(C2965,TRAOPE!$G:$H,2,0),"")</f>
        <v/>
      </c>
      <c r="E2965" s="8" t="inlineStr">
        <is>
          <t>D836</t>
        </is>
      </c>
      <c r="F2965" s="8" t="inlineStr">
        <is>
          <t>67285266</t>
        </is>
      </c>
      <c r="G2965" s="8">
        <f>IFERROR(VLOOKUP(A2965,Flete!$A:$E,5,0),"")</f>
        <v/>
      </c>
      <c r="H2965" s="7">
        <f>IFERROR(VLOOKUP(F2965,TRAOPE!$AA:$AB,2,0),"")</f>
        <v/>
      </c>
      <c r="I2965" s="7" t="n">
        <v>10185476</v>
      </c>
      <c r="J2965" s="7">
        <f>IFERROR(VLOOKUP(I2965,Materiales!$A:$H,8,0),"")</f>
        <v/>
      </c>
      <c r="K2965" s="9">
        <f>IFERROR(VLOOKUP(I2965,Materiales!$A:$G,7,0),"")</f>
        <v/>
      </c>
      <c r="L2965" s="8" t="inlineStr">
        <is>
          <t>20240813</t>
        </is>
      </c>
      <c r="M2965" s="8" t="inlineStr">
        <is>
          <t>20241108</t>
        </is>
      </c>
      <c r="N2965" s="10" t="n">
        <v>105</v>
      </c>
      <c r="O2965" s="10">
        <f>IFERROR(VLOOKUP(A2965,Flete!$A:$J,10,0),"")</f>
        <v/>
      </c>
      <c r="P2965" s="8" t="inlineStr">
        <is>
          <t>M3</t>
        </is>
      </c>
      <c r="Q2965" s="10">
        <f>IFERROR(IFERROR(VLOOKUP(A2965,TRAOPE!$A:$U,21,0),VLOOKUP(B2965,TRAOPE!$A:$U,21,0)),"")</f>
        <v/>
      </c>
      <c r="R2965" s="8">
        <f>IFERROR(IFERROR(VLOOKUP(A2965,TRAOPE!$A:$W,23,0),VLOOKUP(B2965,TRAOPE!$A:$W,23,0)),"")</f>
        <v/>
      </c>
      <c r="S2965" s="10">
        <f>IF(AND(P2965="TN",R2965="TN"),N2965+N(O2965),IF(G2965&amp;""="1",N(K2965)*N2965,(N2965+N(O2965))*N(K2965)))</f>
        <v/>
      </c>
      <c r="T2965" s="10">
        <f>IF(Q2965="","",Q2965-S2965)</f>
        <v/>
      </c>
    </row>
    <row r="2966">
      <c r="A2966" s="7">
        <f>CONCATENATE(C2966,E2966,F2966,I2966)</f>
        <v/>
      </c>
      <c r="B2966" s="7">
        <f>CONCATENATE(C2966,E2966,I2966)</f>
        <v/>
      </c>
      <c r="C2966" s="8" t="n">
        <v>900006543</v>
      </c>
      <c r="D2966" s="7">
        <f>IFERROR(VLOOKUP(C2966,TRAOPE!$G:$H,2,0),"")</f>
        <v/>
      </c>
      <c r="E2966" s="8" t="inlineStr">
        <is>
          <t>D836</t>
        </is>
      </c>
      <c r="F2966" s="8" t="inlineStr">
        <is>
          <t>67285266</t>
        </is>
      </c>
      <c r="G2966" s="8">
        <f>IFERROR(VLOOKUP(A2966,Flete!$A:$E,5,0),"")</f>
        <v/>
      </c>
      <c r="H2966" s="7">
        <f>IFERROR(VLOOKUP(F2966,TRAOPE!$AA:$AB,2,0),"")</f>
        <v/>
      </c>
      <c r="I2966" s="7" t="n">
        <v>10185477</v>
      </c>
      <c r="J2966" s="7">
        <f>IFERROR(VLOOKUP(I2966,Materiales!$A:$H,8,0),"")</f>
        <v/>
      </c>
      <c r="K2966" s="9">
        <f>IFERROR(VLOOKUP(I2966,Materiales!$A:$G,7,0),"")</f>
        <v/>
      </c>
      <c r="L2966" s="8" t="inlineStr">
        <is>
          <t>20240813</t>
        </is>
      </c>
      <c r="M2966" s="8" t="inlineStr">
        <is>
          <t>20241108</t>
        </is>
      </c>
      <c r="N2966" s="10" t="n">
        <v>118</v>
      </c>
      <c r="O2966" s="10">
        <f>IFERROR(VLOOKUP(A2966,Flete!$A:$J,10,0),"")</f>
        <v/>
      </c>
      <c r="P2966" s="8" t="inlineStr">
        <is>
          <t>M3</t>
        </is>
      </c>
      <c r="Q2966" s="10">
        <f>IFERROR(IFERROR(VLOOKUP(A2966,TRAOPE!$A:$U,21,0),VLOOKUP(B2966,TRAOPE!$A:$U,21,0)),"")</f>
        <v/>
      </c>
      <c r="R2966" s="8">
        <f>IFERROR(IFERROR(VLOOKUP(A2966,TRAOPE!$A:$W,23,0),VLOOKUP(B2966,TRAOPE!$A:$W,23,0)),"")</f>
        <v/>
      </c>
      <c r="S2966" s="10">
        <f>IF(AND(P2966="TN",R2966="TN"),N2966+N(O2966),IF(G2966&amp;""="1",N(K2966)*N2966,(N2966+N(O2966))*N(K2966)))</f>
        <v/>
      </c>
      <c r="T2966" s="10">
        <f>IF(Q2966="","",Q2966-S2966)</f>
        <v/>
      </c>
    </row>
    <row r="2967">
      <c r="A2967" s="7">
        <f>CONCATENATE(C2967,E2967,F2967,I2967)</f>
        <v/>
      </c>
      <c r="B2967" s="7">
        <f>CONCATENATE(C2967,E2967,I2967)</f>
        <v/>
      </c>
      <c r="C2967" s="8" t="n">
        <v>900006950</v>
      </c>
      <c r="D2967" s="7">
        <f>IFERROR(VLOOKUP(C2967,TRAOPE!$G:$H,2,0),"")</f>
        <v/>
      </c>
      <c r="E2967" s="8" t="inlineStr">
        <is>
          <t>D836</t>
        </is>
      </c>
      <c r="F2967" s="8" t="inlineStr">
        <is>
          <t>65061687</t>
        </is>
      </c>
      <c r="G2967" s="8">
        <f>IFERROR(VLOOKUP(A2967,Flete!$A:$E,5,0),"")</f>
        <v/>
      </c>
      <c r="H2967" s="7">
        <f>IFERROR(VLOOKUP(F2967,TRAOPE!$AA:$AB,2,0),"")</f>
        <v/>
      </c>
      <c r="I2967" s="7" t="n">
        <v>10183920</v>
      </c>
      <c r="J2967" s="7">
        <f>IFERROR(VLOOKUP(I2967,Materiales!$A:$H,8,0),"")</f>
        <v/>
      </c>
      <c r="K2967" s="9">
        <f>IFERROR(VLOOKUP(I2967,Materiales!$A:$G,7,0),"")</f>
        <v/>
      </c>
      <c r="L2967" s="8" t="inlineStr">
        <is>
          <t>20240425</t>
        </is>
      </c>
      <c r="M2967" s="8" t="inlineStr">
        <is>
          <t>20240814</t>
        </is>
      </c>
      <c r="N2967" s="10" t="n">
        <v>330</v>
      </c>
      <c r="O2967" s="10">
        <f>IFERROR(VLOOKUP(A2967,Flete!$A:$J,10,0),"")</f>
        <v/>
      </c>
      <c r="P2967" s="8" t="inlineStr">
        <is>
          <t>M3</t>
        </is>
      </c>
      <c r="Q2967" s="10">
        <f>IFERROR(IFERROR(VLOOKUP(A2967,TRAOPE!$A:$U,21,0),VLOOKUP(B2967,TRAOPE!$A:$U,21,0)),"")</f>
        <v/>
      </c>
      <c r="R2967" s="8">
        <f>IFERROR(IFERROR(VLOOKUP(A2967,TRAOPE!$A:$W,23,0),VLOOKUP(B2967,TRAOPE!$A:$W,23,0)),"")</f>
        <v/>
      </c>
      <c r="S2967" s="10">
        <f>IF(AND(P2967="TN",R2967="TN"),N2967+N(O2967),IF(G2967&amp;""="1",N(K2967)*N2967,(N2967+N(O2967))*N(K2967)))</f>
        <v/>
      </c>
      <c r="T2967" s="10">
        <f>IF(Q2967="","",Q2967-S2967)</f>
        <v/>
      </c>
    </row>
    <row r="2968">
      <c r="A2968" s="7">
        <f>CONCATENATE(C2968,E2968,F2968,I2968)</f>
        <v/>
      </c>
      <c r="B2968" s="7">
        <f>CONCATENATE(C2968,E2968,I2968)</f>
        <v/>
      </c>
      <c r="C2968" s="8" t="n">
        <v>900007320</v>
      </c>
      <c r="D2968" s="7">
        <f>IFERROR(VLOOKUP(C2968,TRAOPE!$G:$H,2,0),"")</f>
        <v/>
      </c>
      <c r="E2968" s="8" t="inlineStr">
        <is>
          <t>D836</t>
        </is>
      </c>
      <c r="F2968" s="8" t="inlineStr">
        <is>
          <t>65006122</t>
        </is>
      </c>
      <c r="G2968" s="8">
        <f>IFERROR(VLOOKUP(A2968,Flete!$A:$E,5,0),"")</f>
        <v/>
      </c>
      <c r="H2968" s="7">
        <f>IFERROR(VLOOKUP(F2968,TRAOPE!$AA:$AB,2,0),"")</f>
        <v/>
      </c>
      <c r="I2968" s="7" t="n">
        <v>10000357</v>
      </c>
      <c r="J2968" s="7">
        <f>IFERROR(VLOOKUP(I2968,Materiales!$A:$H,8,0),"")</f>
        <v/>
      </c>
      <c r="K2968" s="9">
        <f>IFERROR(VLOOKUP(I2968,Materiales!$A:$G,7,0),"")</f>
        <v/>
      </c>
      <c r="L2968" s="8" t="inlineStr">
        <is>
          <t>20260318</t>
        </is>
      </c>
      <c r="M2968" s="8" t="inlineStr">
        <is>
          <t>20260318</t>
        </is>
      </c>
      <c r="N2968" s="10" t="n">
        <v>150</v>
      </c>
      <c r="O2968" s="10">
        <f>IFERROR(VLOOKUP(A2968,Flete!$A:$J,10,0),"")</f>
        <v/>
      </c>
      <c r="P2968" s="8" t="inlineStr">
        <is>
          <t>M3</t>
        </is>
      </c>
      <c r="Q2968" s="10">
        <f>IFERROR(IFERROR(VLOOKUP(A2968,TRAOPE!$A:$U,21,0),VLOOKUP(B2968,TRAOPE!$A:$U,21,0)),"")</f>
        <v/>
      </c>
      <c r="R2968" s="8">
        <f>IFERROR(IFERROR(VLOOKUP(A2968,TRAOPE!$A:$W,23,0),VLOOKUP(B2968,TRAOPE!$A:$W,23,0)),"")</f>
        <v/>
      </c>
      <c r="S2968" s="10">
        <f>IF(AND(P2968="TN",R2968="TN"),N2968+N(O2968),IF(G2968&amp;""="1",N(K2968)*N2968,(N2968+N(O2968))*N(K2968)))</f>
        <v/>
      </c>
      <c r="T2968" s="10">
        <f>IF(Q2968="","",Q2968-S2968)</f>
        <v/>
      </c>
    </row>
    <row r="2969">
      <c r="A2969" s="7">
        <f>CONCATENATE(C2969,E2969,F2969,I2969)</f>
        <v/>
      </c>
      <c r="B2969" s="7">
        <f>CONCATENATE(C2969,E2969,I2969)</f>
        <v/>
      </c>
      <c r="C2969" s="8" t="n">
        <v>900007321</v>
      </c>
      <c r="D2969" s="7">
        <f>IFERROR(VLOOKUP(C2969,TRAOPE!$G:$H,2,0),"")</f>
        <v/>
      </c>
      <c r="E2969" s="8" t="inlineStr">
        <is>
          <t>D836</t>
        </is>
      </c>
      <c r="F2969" s="8" t="inlineStr">
        <is>
          <t>65014664</t>
        </is>
      </c>
      <c r="G2969" s="8">
        <f>IFERROR(VLOOKUP(A2969,Flete!$A:$E,5,0),"")</f>
        <v/>
      </c>
      <c r="H2969" s="7">
        <f>IFERROR(VLOOKUP(F2969,TRAOPE!$AA:$AB,2,0),"")</f>
        <v/>
      </c>
      <c r="I2969" s="7" t="n">
        <v>10000160</v>
      </c>
      <c r="J2969" s="7">
        <f>IFERROR(VLOOKUP(I2969,Materiales!$A:$H,8,0),"")</f>
        <v/>
      </c>
      <c r="K2969" s="9">
        <f>IFERROR(VLOOKUP(I2969,Materiales!$A:$G,7,0),"")</f>
        <v/>
      </c>
      <c r="L2969" s="8" t="inlineStr">
        <is>
          <t>20250528</t>
        </is>
      </c>
      <c r="M2969" s="8" t="inlineStr">
        <is>
          <t>20250710</t>
        </is>
      </c>
      <c r="N2969" s="10" t="n">
        <v>119.4</v>
      </c>
      <c r="O2969" s="10">
        <f>IFERROR(VLOOKUP(A2969,Flete!$A:$J,10,0),"")</f>
        <v/>
      </c>
      <c r="P2969" s="8" t="inlineStr">
        <is>
          <t>M3</t>
        </is>
      </c>
      <c r="Q2969" s="10">
        <f>IFERROR(IFERROR(VLOOKUP(A2969,TRAOPE!$A:$U,21,0),VLOOKUP(B2969,TRAOPE!$A:$U,21,0)),"")</f>
        <v/>
      </c>
      <c r="R2969" s="8">
        <f>IFERROR(IFERROR(VLOOKUP(A2969,TRAOPE!$A:$W,23,0),VLOOKUP(B2969,TRAOPE!$A:$W,23,0)),"")</f>
        <v/>
      </c>
      <c r="S2969" s="10">
        <f>IF(AND(P2969="TN",R2969="TN"),N2969+N(O2969),IF(G2969&amp;""="1",N(K2969)*N2969,(N2969+N(O2969))*N(K2969)))</f>
        <v/>
      </c>
      <c r="T2969" s="10">
        <f>IF(Q2969="","",Q2969-S2969)</f>
        <v/>
      </c>
    </row>
    <row r="2970">
      <c r="A2970" s="7">
        <f>CONCATENATE(C2970,E2970,F2970,I2970)</f>
        <v/>
      </c>
      <c r="B2970" s="7">
        <f>CONCATENATE(C2970,E2970,I2970)</f>
        <v/>
      </c>
      <c r="C2970" s="8" t="n">
        <v>900007321</v>
      </c>
      <c r="D2970" s="7">
        <f>IFERROR(VLOOKUP(C2970,TRAOPE!$G:$H,2,0),"")</f>
        <v/>
      </c>
      <c r="E2970" s="8" t="inlineStr">
        <is>
          <t>D836</t>
        </is>
      </c>
      <c r="F2970" s="8" t="inlineStr">
        <is>
          <t>65440384</t>
        </is>
      </c>
      <c r="G2970" s="8">
        <f>IFERROR(VLOOKUP(A2970,Flete!$A:$E,5,0),"")</f>
        <v/>
      </c>
      <c r="H2970" s="7">
        <f>IFERROR(VLOOKUP(F2970,TRAOPE!$AA:$AB,2,0),"")</f>
        <v/>
      </c>
      <c r="I2970" s="7" t="n">
        <v>10000160</v>
      </c>
      <c r="J2970" s="7">
        <f>IFERROR(VLOOKUP(I2970,Materiales!$A:$H,8,0),"")</f>
        <v/>
      </c>
      <c r="K2970" s="9">
        <f>IFERROR(VLOOKUP(I2970,Materiales!$A:$G,7,0),"")</f>
        <v/>
      </c>
      <c r="L2970" s="8" t="inlineStr">
        <is>
          <t>20250528</t>
        </is>
      </c>
      <c r="M2970" s="8" t="inlineStr">
        <is>
          <t>20250710</t>
        </is>
      </c>
      <c r="N2970" s="10" t="n">
        <v>111.4</v>
      </c>
      <c r="O2970" s="10">
        <f>IFERROR(VLOOKUP(A2970,Flete!$A:$J,10,0),"")</f>
        <v/>
      </c>
      <c r="P2970" s="8" t="inlineStr">
        <is>
          <t>M3</t>
        </is>
      </c>
      <c r="Q2970" s="10">
        <f>IFERROR(IFERROR(VLOOKUP(A2970,TRAOPE!$A:$U,21,0),VLOOKUP(B2970,TRAOPE!$A:$U,21,0)),"")</f>
        <v/>
      </c>
      <c r="R2970" s="8">
        <f>IFERROR(IFERROR(VLOOKUP(A2970,TRAOPE!$A:$W,23,0),VLOOKUP(B2970,TRAOPE!$A:$W,23,0)),"")</f>
        <v/>
      </c>
      <c r="S2970" s="10">
        <f>IF(AND(P2970="TN",R2970="TN"),N2970+N(O2970),IF(G2970&amp;""="1",N(K2970)*N2970,(N2970+N(O2970))*N(K2970)))</f>
        <v/>
      </c>
      <c r="T2970" s="10">
        <f>IF(Q2970="","",Q2970-S2970)</f>
        <v/>
      </c>
    </row>
    <row r="2971">
      <c r="A2971" s="7">
        <f>CONCATENATE(C2971,E2971,F2971,I2971)</f>
        <v/>
      </c>
      <c r="B2971" s="7">
        <f>CONCATENATE(C2971,E2971,I2971)</f>
        <v/>
      </c>
      <c r="C2971" s="8" t="n">
        <v>900007321</v>
      </c>
      <c r="D2971" s="7">
        <f>IFERROR(VLOOKUP(C2971,TRAOPE!$G:$H,2,0),"")</f>
        <v/>
      </c>
      <c r="E2971" s="8" t="inlineStr">
        <is>
          <t>D836</t>
        </is>
      </c>
      <c r="F2971" s="8" t="inlineStr">
        <is>
          <t>66779276</t>
        </is>
      </c>
      <c r="G2971" s="8">
        <f>IFERROR(VLOOKUP(A2971,Flete!$A:$E,5,0),"")</f>
        <v/>
      </c>
      <c r="H2971" s="7">
        <f>IFERROR(VLOOKUP(F2971,TRAOPE!$AA:$AB,2,0),"")</f>
        <v/>
      </c>
      <c r="I2971" s="7" t="n">
        <v>10000160</v>
      </c>
      <c r="J2971" s="7">
        <f>IFERROR(VLOOKUP(I2971,Materiales!$A:$H,8,0),"")</f>
        <v/>
      </c>
      <c r="K2971" s="9">
        <f>IFERROR(VLOOKUP(I2971,Materiales!$A:$G,7,0),"")</f>
        <v/>
      </c>
      <c r="L2971" s="8" t="inlineStr">
        <is>
          <t>20250505</t>
        </is>
      </c>
      <c r="M2971" s="8" t="inlineStr">
        <is>
          <t>20250507</t>
        </is>
      </c>
      <c r="N2971" s="10" t="n">
        <v>115.95</v>
      </c>
      <c r="O2971" s="10">
        <f>IFERROR(VLOOKUP(A2971,Flete!$A:$J,10,0),"")</f>
        <v/>
      </c>
      <c r="P2971" s="8" t="inlineStr">
        <is>
          <t>M3</t>
        </is>
      </c>
      <c r="Q2971" s="10">
        <f>IFERROR(IFERROR(VLOOKUP(A2971,TRAOPE!$A:$U,21,0),VLOOKUP(B2971,TRAOPE!$A:$U,21,0)),"")</f>
        <v/>
      </c>
      <c r="R2971" s="8">
        <f>IFERROR(IFERROR(VLOOKUP(A2971,TRAOPE!$A:$W,23,0),VLOOKUP(B2971,TRAOPE!$A:$W,23,0)),"")</f>
        <v/>
      </c>
      <c r="S2971" s="10">
        <f>IF(AND(P2971="TN",R2971="TN"),N2971+N(O2971),IF(G2971&amp;""="1",N(K2971)*N2971,(N2971+N(O2971))*N(K2971)))</f>
        <v/>
      </c>
      <c r="T2971" s="10">
        <f>IF(Q2971="","",Q2971-S2971)</f>
        <v/>
      </c>
    </row>
    <row r="2972">
      <c r="A2972" s="7">
        <f>CONCATENATE(C2972,E2972,F2972,I2972)</f>
        <v/>
      </c>
      <c r="B2972" s="7">
        <f>CONCATENATE(C2972,E2972,I2972)</f>
        <v/>
      </c>
      <c r="C2972" s="8" t="n">
        <v>900007321</v>
      </c>
      <c r="D2972" s="7">
        <f>IFERROR(VLOOKUP(C2972,TRAOPE!$G:$H,2,0),"")</f>
        <v/>
      </c>
      <c r="E2972" s="8" t="inlineStr">
        <is>
          <t>D836</t>
        </is>
      </c>
      <c r="F2972" s="8" t="inlineStr">
        <is>
          <t>66779276</t>
        </is>
      </c>
      <c r="G2972" s="8">
        <f>IFERROR(VLOOKUP(A2972,Flete!$A:$E,5,0),"")</f>
        <v/>
      </c>
      <c r="H2972" s="7">
        <f>IFERROR(VLOOKUP(F2972,TRAOPE!$AA:$AB,2,0),"")</f>
        <v/>
      </c>
      <c r="I2972" s="7" t="n">
        <v>10000357</v>
      </c>
      <c r="J2972" s="7">
        <f>IFERROR(VLOOKUP(I2972,Materiales!$A:$H,8,0),"")</f>
        <v/>
      </c>
      <c r="K2972" s="9">
        <f>IFERROR(VLOOKUP(I2972,Materiales!$A:$G,7,0),"")</f>
        <v/>
      </c>
      <c r="L2972" s="8" t="inlineStr">
        <is>
          <t>20250505</t>
        </is>
      </c>
      <c r="M2972" s="8" t="inlineStr">
        <is>
          <t>20250507</t>
        </is>
      </c>
      <c r="N2972" s="10" t="n">
        <v>134.43</v>
      </c>
      <c r="O2972" s="10">
        <f>IFERROR(VLOOKUP(A2972,Flete!$A:$J,10,0),"")</f>
        <v/>
      </c>
      <c r="P2972" s="8" t="inlineStr">
        <is>
          <t>M3</t>
        </is>
      </c>
      <c r="Q2972" s="10">
        <f>IFERROR(IFERROR(VLOOKUP(A2972,TRAOPE!$A:$U,21,0),VLOOKUP(B2972,TRAOPE!$A:$U,21,0)),"")</f>
        <v/>
      </c>
      <c r="R2972" s="8">
        <f>IFERROR(IFERROR(VLOOKUP(A2972,TRAOPE!$A:$W,23,0),VLOOKUP(B2972,TRAOPE!$A:$W,23,0)),"")</f>
        <v/>
      </c>
      <c r="S2972" s="10">
        <f>IF(AND(P2972="TN",R2972="TN"),N2972+N(O2972),IF(G2972&amp;""="1",N(K2972)*N2972,(N2972+N(O2972))*N(K2972)))</f>
        <v/>
      </c>
      <c r="T2972" s="10">
        <f>IF(Q2972="","",Q2972-S2972)</f>
        <v/>
      </c>
    </row>
    <row r="2973">
      <c r="A2973" s="7">
        <f>CONCATENATE(C2973,E2973,F2973,I2973)</f>
        <v/>
      </c>
      <c r="B2973" s="7">
        <f>CONCATENATE(C2973,E2973,I2973)</f>
        <v/>
      </c>
      <c r="C2973" s="8" t="n">
        <v>900007321</v>
      </c>
      <c r="D2973" s="7">
        <f>IFERROR(VLOOKUP(C2973,TRAOPE!$G:$H,2,0),"")</f>
        <v/>
      </c>
      <c r="E2973" s="8" t="inlineStr">
        <is>
          <t>D836</t>
        </is>
      </c>
      <c r="F2973" s="8" t="inlineStr">
        <is>
          <t>66779276</t>
        </is>
      </c>
      <c r="G2973" s="8">
        <f>IFERROR(VLOOKUP(A2973,Flete!$A:$E,5,0),"")</f>
        <v/>
      </c>
      <c r="H2973" s="7">
        <f>IFERROR(VLOOKUP(F2973,TRAOPE!$AA:$AB,2,0),"")</f>
        <v/>
      </c>
      <c r="I2973" s="7" t="n">
        <v>10000627</v>
      </c>
      <c r="J2973" s="7">
        <f>IFERROR(VLOOKUP(I2973,Materiales!$A:$H,8,0),"")</f>
        <v/>
      </c>
      <c r="K2973" s="9">
        <f>IFERROR(VLOOKUP(I2973,Materiales!$A:$G,7,0),"")</f>
        <v/>
      </c>
      <c r="L2973" s="8" t="inlineStr">
        <is>
          <t>20250505</t>
        </is>
      </c>
      <c r="M2973" s="8" t="inlineStr">
        <is>
          <t>20250507</t>
        </is>
      </c>
      <c r="N2973" s="10" t="n">
        <v>100.13</v>
      </c>
      <c r="O2973" s="10">
        <f>IFERROR(VLOOKUP(A2973,Flete!$A:$J,10,0),"")</f>
        <v/>
      </c>
      <c r="P2973" s="8" t="inlineStr">
        <is>
          <t>M3</t>
        </is>
      </c>
      <c r="Q2973" s="10">
        <f>IFERROR(IFERROR(VLOOKUP(A2973,TRAOPE!$A:$U,21,0),VLOOKUP(B2973,TRAOPE!$A:$U,21,0)),"")</f>
        <v/>
      </c>
      <c r="R2973" s="8">
        <f>IFERROR(IFERROR(VLOOKUP(A2973,TRAOPE!$A:$W,23,0),VLOOKUP(B2973,TRAOPE!$A:$W,23,0)),"")</f>
        <v/>
      </c>
      <c r="S2973" s="10">
        <f>IF(AND(P2973="TN",R2973="TN"),N2973+N(O2973),IF(G2973&amp;""="1",N(K2973)*N2973,(N2973+N(O2973))*N(K2973)))</f>
        <v/>
      </c>
      <c r="T2973" s="10">
        <f>IF(Q2973="","",Q2973-S2973)</f>
        <v/>
      </c>
    </row>
    <row r="2974">
      <c r="A2974" s="7">
        <f>CONCATENATE(C2974,E2974,F2974,I2974)</f>
        <v/>
      </c>
      <c r="B2974" s="7">
        <f>CONCATENATE(C2974,E2974,I2974)</f>
        <v/>
      </c>
      <c r="C2974" s="8" t="n">
        <v>900008571</v>
      </c>
      <c r="D2974" s="7">
        <f>IFERROR(VLOOKUP(C2974,TRAOPE!$G:$H,2,0),"")</f>
        <v/>
      </c>
      <c r="E2974" s="8" t="inlineStr">
        <is>
          <t>D836</t>
        </is>
      </c>
      <c r="F2974" s="8" t="inlineStr">
        <is>
          <t>65232687</t>
        </is>
      </c>
      <c r="G2974" s="8">
        <f>IFERROR(VLOOKUP(A2974,Flete!$A:$E,5,0),"")</f>
        <v/>
      </c>
      <c r="H2974" s="7">
        <f>IFERROR(VLOOKUP(F2974,TRAOPE!$AA:$AB,2,0),"")</f>
        <v/>
      </c>
      <c r="I2974" s="7" t="n">
        <v>10002802</v>
      </c>
      <c r="J2974" s="7">
        <f>IFERROR(VLOOKUP(I2974,Materiales!$A:$H,8,0),"")</f>
        <v/>
      </c>
      <c r="K2974" s="9">
        <f>IFERROR(VLOOKUP(I2974,Materiales!$A:$G,7,0),"")</f>
        <v/>
      </c>
      <c r="L2974" s="8" t="inlineStr">
        <is>
          <t>20240425</t>
        </is>
      </c>
      <c r="M2974" s="8" t="inlineStr">
        <is>
          <t>20240814</t>
        </is>
      </c>
      <c r="N2974" s="10" t="n">
        <v>145</v>
      </c>
      <c r="O2974" s="10">
        <f>IFERROR(VLOOKUP(A2974,Flete!$A:$J,10,0),"")</f>
        <v/>
      </c>
      <c r="P2974" s="8" t="inlineStr">
        <is>
          <t>M3</t>
        </is>
      </c>
      <c r="Q2974" s="10">
        <f>IFERROR(IFERROR(VLOOKUP(A2974,TRAOPE!$A:$U,21,0),VLOOKUP(B2974,TRAOPE!$A:$U,21,0)),"")</f>
        <v/>
      </c>
      <c r="R2974" s="8">
        <f>IFERROR(IFERROR(VLOOKUP(A2974,TRAOPE!$A:$W,23,0),VLOOKUP(B2974,TRAOPE!$A:$W,23,0)),"")</f>
        <v/>
      </c>
      <c r="S2974" s="10">
        <f>IF(AND(P2974="TN",R2974="TN"),N2974+N(O2974),IF(G2974&amp;""="1",N(K2974)*N2974,(N2974+N(O2974))*N(K2974)))</f>
        <v/>
      </c>
      <c r="T2974" s="10">
        <f>IF(Q2974="","",Q2974-S2974)</f>
        <v/>
      </c>
    </row>
    <row r="2975">
      <c r="A2975" s="7">
        <f>CONCATENATE(C2975,E2975,F2975,I2975)</f>
        <v/>
      </c>
      <c r="B2975" s="7">
        <f>CONCATENATE(C2975,E2975,I2975)</f>
        <v/>
      </c>
      <c r="C2975" s="8" t="n">
        <v>900008571</v>
      </c>
      <c r="D2975" s="7">
        <f>IFERROR(VLOOKUP(C2975,TRAOPE!$G:$H,2,0),"")</f>
        <v/>
      </c>
      <c r="E2975" s="8" t="inlineStr">
        <is>
          <t>D836</t>
        </is>
      </c>
      <c r="F2975" s="8" t="inlineStr">
        <is>
          <t>65387641</t>
        </is>
      </c>
      <c r="G2975" s="8">
        <f>IFERROR(VLOOKUP(A2975,Flete!$A:$E,5,0),"")</f>
        <v/>
      </c>
      <c r="H2975" s="7">
        <f>IFERROR(VLOOKUP(F2975,TRAOPE!$AA:$AB,2,0),"")</f>
        <v/>
      </c>
      <c r="I2975" s="7" t="n">
        <v>10002802</v>
      </c>
      <c r="J2975" s="7">
        <f>IFERROR(VLOOKUP(I2975,Materiales!$A:$H,8,0),"")</f>
        <v/>
      </c>
      <c r="K2975" s="9">
        <f>IFERROR(VLOOKUP(I2975,Materiales!$A:$G,7,0),"")</f>
        <v/>
      </c>
      <c r="L2975" s="8" t="inlineStr">
        <is>
          <t>20240425</t>
        </is>
      </c>
      <c r="M2975" s="8" t="inlineStr">
        <is>
          <t>20240814</t>
        </is>
      </c>
      <c r="N2975" s="10" t="n">
        <v>145</v>
      </c>
      <c r="O2975" s="10">
        <f>IFERROR(VLOOKUP(A2975,Flete!$A:$J,10,0),"")</f>
        <v/>
      </c>
      <c r="P2975" s="8" t="inlineStr">
        <is>
          <t>M3</t>
        </is>
      </c>
      <c r="Q2975" s="10">
        <f>IFERROR(IFERROR(VLOOKUP(A2975,TRAOPE!$A:$U,21,0),VLOOKUP(B2975,TRAOPE!$A:$U,21,0)),"")</f>
        <v/>
      </c>
      <c r="R2975" s="8">
        <f>IFERROR(IFERROR(VLOOKUP(A2975,TRAOPE!$A:$W,23,0),VLOOKUP(B2975,TRAOPE!$A:$W,23,0)),"")</f>
        <v/>
      </c>
      <c r="S2975" s="10">
        <f>IF(AND(P2975="TN",R2975="TN"),N2975+N(O2975),IF(G2975&amp;""="1",N(K2975)*N2975,(N2975+N(O2975))*N(K2975)))</f>
        <v/>
      </c>
      <c r="T2975" s="10">
        <f>IF(Q2975="","",Q2975-S2975)</f>
        <v/>
      </c>
    </row>
    <row r="2976">
      <c r="A2976" s="7">
        <f>CONCATENATE(C2976,E2976,F2976,I2976)</f>
        <v/>
      </c>
      <c r="B2976" s="7">
        <f>CONCATENATE(C2976,E2976,I2976)</f>
        <v/>
      </c>
      <c r="C2976" s="8" t="n">
        <v>900008571</v>
      </c>
      <c r="D2976" s="7">
        <f>IFERROR(VLOOKUP(C2976,TRAOPE!$G:$H,2,0),"")</f>
        <v/>
      </c>
      <c r="E2976" s="8" t="inlineStr">
        <is>
          <t>D836</t>
        </is>
      </c>
      <c r="F2976" s="8" t="inlineStr">
        <is>
          <t>67279603</t>
        </is>
      </c>
      <c r="G2976" s="8">
        <f>IFERROR(VLOOKUP(A2976,Flete!$A:$E,5,0),"")</f>
        <v/>
      </c>
      <c r="H2976" s="7">
        <f>IFERROR(VLOOKUP(F2976,TRAOPE!$AA:$AB,2,0),"")</f>
        <v/>
      </c>
      <c r="I2976" s="7" t="n">
        <v>10002802</v>
      </c>
      <c r="J2976" s="7">
        <f>IFERROR(VLOOKUP(I2976,Materiales!$A:$H,8,0),"")</f>
        <v/>
      </c>
      <c r="K2976" s="9">
        <f>IFERROR(VLOOKUP(I2976,Materiales!$A:$G,7,0),"")</f>
        <v/>
      </c>
      <c r="L2976" s="8" t="inlineStr">
        <is>
          <t>20240813</t>
        </is>
      </c>
      <c r="M2976" s="8" t="inlineStr">
        <is>
          <t>20241108</t>
        </is>
      </c>
      <c r="N2976" s="10" t="n">
        <v>145</v>
      </c>
      <c r="O2976" s="10">
        <f>IFERROR(VLOOKUP(A2976,Flete!$A:$J,10,0),"")</f>
        <v/>
      </c>
      <c r="P2976" s="8" t="inlineStr">
        <is>
          <t>M3</t>
        </is>
      </c>
      <c r="Q2976" s="10">
        <f>IFERROR(IFERROR(VLOOKUP(A2976,TRAOPE!$A:$U,21,0),VLOOKUP(B2976,TRAOPE!$A:$U,21,0)),"")</f>
        <v/>
      </c>
      <c r="R2976" s="8">
        <f>IFERROR(IFERROR(VLOOKUP(A2976,TRAOPE!$A:$W,23,0),VLOOKUP(B2976,TRAOPE!$A:$W,23,0)),"")</f>
        <v/>
      </c>
      <c r="S2976" s="10">
        <f>IF(AND(P2976="TN",R2976="TN"),N2976+N(O2976),IF(G2976&amp;""="1",N(K2976)*N2976,(N2976+N(O2976))*N(K2976)))</f>
        <v/>
      </c>
      <c r="T2976" s="10">
        <f>IF(Q2976="","",Q2976-S2976)</f>
        <v/>
      </c>
    </row>
    <row r="2977">
      <c r="A2977" s="7">
        <f>CONCATENATE(C2977,E2977,F2977,I2977)</f>
        <v/>
      </c>
      <c r="B2977" s="7">
        <f>CONCATENATE(C2977,E2977,I2977)</f>
        <v/>
      </c>
      <c r="C2977" s="8" t="n">
        <v>900008845</v>
      </c>
      <c r="D2977" s="7">
        <f>IFERROR(VLOOKUP(C2977,TRAOPE!$G:$H,2,0),"")</f>
        <v/>
      </c>
      <c r="E2977" s="8" t="inlineStr">
        <is>
          <t>D836</t>
        </is>
      </c>
      <c r="F2977" s="8" t="inlineStr">
        <is>
          <t>65006301</t>
        </is>
      </c>
      <c r="G2977" s="8">
        <f>IFERROR(VLOOKUP(A2977,Flete!$A:$E,5,0),"")</f>
        <v/>
      </c>
      <c r="H2977" s="7">
        <f>IFERROR(VLOOKUP(F2977,TRAOPE!$AA:$AB,2,0),"")</f>
        <v/>
      </c>
      <c r="I2977" s="7" t="n">
        <v>10227598</v>
      </c>
      <c r="J2977" s="7">
        <f>IFERROR(VLOOKUP(I2977,Materiales!$A:$H,8,0),"")</f>
        <v/>
      </c>
      <c r="K2977" s="9">
        <f>IFERROR(VLOOKUP(I2977,Materiales!$A:$G,7,0),"")</f>
        <v/>
      </c>
      <c r="L2977" s="8" t="inlineStr">
        <is>
          <t>20240425</t>
        </is>
      </c>
      <c r="M2977" s="8" t="inlineStr">
        <is>
          <t>20240814</t>
        </is>
      </c>
      <c r="N2977" s="10" t="n">
        <v>78</v>
      </c>
      <c r="O2977" s="10">
        <f>IFERROR(VLOOKUP(A2977,Flete!$A:$J,10,0),"")</f>
        <v/>
      </c>
      <c r="P2977" s="8" t="inlineStr">
        <is>
          <t>M3</t>
        </is>
      </c>
      <c r="Q2977" s="10">
        <f>IFERROR(IFERROR(VLOOKUP(A2977,TRAOPE!$A:$U,21,0),VLOOKUP(B2977,TRAOPE!$A:$U,21,0)),"")</f>
        <v/>
      </c>
      <c r="R2977" s="8">
        <f>IFERROR(IFERROR(VLOOKUP(A2977,TRAOPE!$A:$W,23,0),VLOOKUP(B2977,TRAOPE!$A:$W,23,0)),"")</f>
        <v/>
      </c>
      <c r="S2977" s="10">
        <f>IF(AND(P2977="TN",R2977="TN"),N2977+N(O2977),IF(G2977&amp;""="1",N(K2977)*N2977,(N2977+N(O2977))*N(K2977)))</f>
        <v/>
      </c>
      <c r="T2977" s="10">
        <f>IF(Q2977="","",Q2977-S2977)</f>
        <v/>
      </c>
    </row>
    <row r="2978">
      <c r="A2978" s="7">
        <f>CONCATENATE(C2978,E2978,F2978,I2978)</f>
        <v/>
      </c>
      <c r="B2978" s="7">
        <f>CONCATENATE(C2978,E2978,I2978)</f>
        <v/>
      </c>
      <c r="C2978" s="8" t="n">
        <v>900008845</v>
      </c>
      <c r="D2978" s="7">
        <f>IFERROR(VLOOKUP(C2978,TRAOPE!$G:$H,2,0),"")</f>
        <v/>
      </c>
      <c r="E2978" s="8" t="inlineStr">
        <is>
          <t>D836</t>
        </is>
      </c>
      <c r="F2978" s="8" t="inlineStr">
        <is>
          <t>66878462</t>
        </is>
      </c>
      <c r="G2978" s="8">
        <f>IFERROR(VLOOKUP(A2978,Flete!$A:$E,5,0),"")</f>
        <v/>
      </c>
      <c r="H2978" s="7">
        <f>IFERROR(VLOOKUP(F2978,TRAOPE!$AA:$AB,2,0),"")</f>
        <v/>
      </c>
      <c r="I2978" s="7" t="n">
        <v>10227598</v>
      </c>
      <c r="J2978" s="7">
        <f>IFERROR(VLOOKUP(I2978,Materiales!$A:$H,8,0),"")</f>
        <v/>
      </c>
      <c r="K2978" s="9">
        <f>IFERROR(VLOOKUP(I2978,Materiales!$A:$G,7,0),"")</f>
        <v/>
      </c>
      <c r="L2978" s="8" t="inlineStr">
        <is>
          <t>20250505</t>
        </is>
      </c>
      <c r="M2978" s="8" t="inlineStr">
        <is>
          <t>20250507</t>
        </is>
      </c>
      <c r="N2978" s="10" t="n">
        <v>78</v>
      </c>
      <c r="O2978" s="10">
        <f>IFERROR(VLOOKUP(A2978,Flete!$A:$J,10,0),"")</f>
        <v/>
      </c>
      <c r="P2978" s="8" t="inlineStr">
        <is>
          <t>M3</t>
        </is>
      </c>
      <c r="Q2978" s="10">
        <f>IFERROR(IFERROR(VLOOKUP(A2978,TRAOPE!$A:$U,21,0),VLOOKUP(B2978,TRAOPE!$A:$U,21,0)),"")</f>
        <v/>
      </c>
      <c r="R2978" s="8">
        <f>IFERROR(IFERROR(VLOOKUP(A2978,TRAOPE!$A:$W,23,0),VLOOKUP(B2978,TRAOPE!$A:$W,23,0)),"")</f>
        <v/>
      </c>
      <c r="S2978" s="10">
        <f>IF(AND(P2978="TN",R2978="TN"),N2978+N(O2978),IF(G2978&amp;""="1",N(K2978)*N2978,(N2978+N(O2978))*N(K2978)))</f>
        <v/>
      </c>
      <c r="T2978" s="10">
        <f>IF(Q2978="","",Q2978-S2978)</f>
        <v/>
      </c>
    </row>
    <row r="2979">
      <c r="A2979" s="7">
        <f>CONCATENATE(C2979,E2979,F2979,I2979)</f>
        <v/>
      </c>
      <c r="B2979" s="7">
        <f>CONCATENATE(C2979,E2979,I2979)</f>
        <v/>
      </c>
      <c r="C2979" s="8" t="n">
        <v>900008845</v>
      </c>
      <c r="D2979" s="7">
        <f>IFERROR(VLOOKUP(C2979,TRAOPE!$G:$H,2,0),"")</f>
        <v/>
      </c>
      <c r="E2979" s="8" t="inlineStr">
        <is>
          <t>D836</t>
        </is>
      </c>
      <c r="F2979" s="8" t="inlineStr">
        <is>
          <t>67015877</t>
        </is>
      </c>
      <c r="G2979" s="8">
        <f>IFERROR(VLOOKUP(A2979,Flete!$A:$E,5,0),"")</f>
        <v/>
      </c>
      <c r="H2979" s="7">
        <f>IFERROR(VLOOKUP(F2979,TRAOPE!$AA:$AB,2,0),"")</f>
        <v/>
      </c>
      <c r="I2979" s="7" t="n">
        <v>10227598</v>
      </c>
      <c r="J2979" s="7">
        <f>IFERROR(VLOOKUP(I2979,Materiales!$A:$H,8,0),"")</f>
        <v/>
      </c>
      <c r="K2979" s="9">
        <f>IFERROR(VLOOKUP(I2979,Materiales!$A:$G,7,0),"")</f>
        <v/>
      </c>
      <c r="L2979" s="8" t="inlineStr">
        <is>
          <t>20240425</t>
        </is>
      </c>
      <c r="M2979" s="8" t="inlineStr">
        <is>
          <t>20240814</t>
        </is>
      </c>
      <c r="N2979" s="10" t="n">
        <v>78</v>
      </c>
      <c r="O2979" s="10">
        <f>IFERROR(VLOOKUP(A2979,Flete!$A:$J,10,0),"")</f>
        <v/>
      </c>
      <c r="P2979" s="8" t="inlineStr">
        <is>
          <t>M3</t>
        </is>
      </c>
      <c r="Q2979" s="10">
        <f>IFERROR(IFERROR(VLOOKUP(A2979,TRAOPE!$A:$U,21,0),VLOOKUP(B2979,TRAOPE!$A:$U,21,0)),"")</f>
        <v/>
      </c>
      <c r="R2979" s="8">
        <f>IFERROR(IFERROR(VLOOKUP(A2979,TRAOPE!$A:$W,23,0),VLOOKUP(B2979,TRAOPE!$A:$W,23,0)),"")</f>
        <v/>
      </c>
      <c r="S2979" s="10">
        <f>IF(AND(P2979="TN",R2979="TN"),N2979+N(O2979),IF(G2979&amp;""="1",N(K2979)*N2979,(N2979+N(O2979))*N(K2979)))</f>
        <v/>
      </c>
      <c r="T2979" s="10">
        <f>IF(Q2979="","",Q2979-S2979)</f>
        <v/>
      </c>
    </row>
    <row r="2980">
      <c r="A2980" s="7">
        <f>CONCATENATE(C2980,E2980,F2980,I2980)</f>
        <v/>
      </c>
      <c r="B2980" s="7">
        <f>CONCATENATE(C2980,E2980,I2980)</f>
        <v/>
      </c>
      <c r="C2980" s="8" t="n">
        <v>900008845</v>
      </c>
      <c r="D2980" s="7">
        <f>IFERROR(VLOOKUP(C2980,TRAOPE!$G:$H,2,0),"")</f>
        <v/>
      </c>
      <c r="E2980" s="8" t="inlineStr">
        <is>
          <t>D836</t>
        </is>
      </c>
      <c r="F2980" s="8" t="inlineStr">
        <is>
          <t>67132343</t>
        </is>
      </c>
      <c r="G2980" s="8">
        <f>IFERROR(VLOOKUP(A2980,Flete!$A:$E,5,0),"")</f>
        <v/>
      </c>
      <c r="H2980" s="7">
        <f>IFERROR(VLOOKUP(F2980,TRAOPE!$AA:$AB,2,0),"")</f>
        <v/>
      </c>
      <c r="I2980" s="7" t="n">
        <v>10227598</v>
      </c>
      <c r="J2980" s="7">
        <f>IFERROR(VLOOKUP(I2980,Materiales!$A:$H,8,0),"")</f>
        <v/>
      </c>
      <c r="K2980" s="9">
        <f>IFERROR(VLOOKUP(I2980,Materiales!$A:$G,7,0),"")</f>
        <v/>
      </c>
      <c r="L2980" s="8" t="inlineStr">
        <is>
          <t>20240813</t>
        </is>
      </c>
      <c r="M2980" s="8" t="inlineStr">
        <is>
          <t>20241108</t>
        </is>
      </c>
      <c r="N2980" s="10" t="n">
        <v>80</v>
      </c>
      <c r="O2980" s="10">
        <f>IFERROR(VLOOKUP(A2980,Flete!$A:$J,10,0),"")</f>
        <v/>
      </c>
      <c r="P2980" s="8" t="inlineStr">
        <is>
          <t>M3</t>
        </is>
      </c>
      <c r="Q2980" s="10">
        <f>IFERROR(IFERROR(VLOOKUP(A2980,TRAOPE!$A:$U,21,0),VLOOKUP(B2980,TRAOPE!$A:$U,21,0)),"")</f>
        <v/>
      </c>
      <c r="R2980" s="8">
        <f>IFERROR(IFERROR(VLOOKUP(A2980,TRAOPE!$A:$W,23,0),VLOOKUP(B2980,TRAOPE!$A:$W,23,0)),"")</f>
        <v/>
      </c>
      <c r="S2980" s="10">
        <f>IF(AND(P2980="TN",R2980="TN"),N2980+N(O2980),IF(G2980&amp;""="1",N(K2980)*N2980,(N2980+N(O2980))*N(K2980)))</f>
        <v/>
      </c>
      <c r="T2980" s="10">
        <f>IF(Q2980="","",Q2980-S2980)</f>
        <v/>
      </c>
    </row>
    <row r="2981">
      <c r="A2981" s="7">
        <f>CONCATENATE(C2981,E2981,F2981,I2981)</f>
        <v/>
      </c>
      <c r="B2981" s="7">
        <f>CONCATENATE(C2981,E2981,I2981)</f>
        <v/>
      </c>
      <c r="C2981" s="8" t="n">
        <v>900008845</v>
      </c>
      <c r="D2981" s="7">
        <f>IFERROR(VLOOKUP(C2981,TRAOPE!$G:$H,2,0),"")</f>
        <v/>
      </c>
      <c r="E2981" s="8" t="inlineStr">
        <is>
          <t>D836</t>
        </is>
      </c>
      <c r="F2981" s="8" t="inlineStr">
        <is>
          <t>67239472</t>
        </is>
      </c>
      <c r="G2981" s="8">
        <f>IFERROR(VLOOKUP(A2981,Flete!$A:$E,5,0),"")</f>
        <v/>
      </c>
      <c r="H2981" s="7">
        <f>IFERROR(VLOOKUP(F2981,TRAOPE!$AA:$AB,2,0),"")</f>
        <v/>
      </c>
      <c r="I2981" s="7" t="n">
        <v>10227598</v>
      </c>
      <c r="J2981" s="7">
        <f>IFERROR(VLOOKUP(I2981,Materiales!$A:$H,8,0),"")</f>
        <v/>
      </c>
      <c r="K2981" s="9">
        <f>IFERROR(VLOOKUP(I2981,Materiales!$A:$G,7,0),"")</f>
        <v/>
      </c>
      <c r="L2981" s="8" t="inlineStr">
        <is>
          <t>20240425</t>
        </is>
      </c>
      <c r="M2981" s="8" t="inlineStr">
        <is>
          <t>20240814</t>
        </is>
      </c>
      <c r="N2981" s="10" t="n">
        <v>78</v>
      </c>
      <c r="O2981" s="10">
        <f>IFERROR(VLOOKUP(A2981,Flete!$A:$J,10,0),"")</f>
        <v/>
      </c>
      <c r="P2981" s="8" t="inlineStr">
        <is>
          <t>M3</t>
        </is>
      </c>
      <c r="Q2981" s="10">
        <f>IFERROR(IFERROR(VLOOKUP(A2981,TRAOPE!$A:$U,21,0),VLOOKUP(B2981,TRAOPE!$A:$U,21,0)),"")</f>
        <v/>
      </c>
      <c r="R2981" s="8">
        <f>IFERROR(IFERROR(VLOOKUP(A2981,TRAOPE!$A:$W,23,0),VLOOKUP(B2981,TRAOPE!$A:$W,23,0)),"")</f>
        <v/>
      </c>
      <c r="S2981" s="10">
        <f>IF(AND(P2981="TN",R2981="TN"),N2981+N(O2981),IF(G2981&amp;""="1",N(K2981)*N2981,(N2981+N(O2981))*N(K2981)))</f>
        <v/>
      </c>
      <c r="T2981" s="10">
        <f>IF(Q2981="","",Q2981-S2981)</f>
        <v/>
      </c>
    </row>
    <row r="2982">
      <c r="A2982" s="7">
        <f>CONCATENATE(C2982,E2982,F2982,I2982)</f>
        <v/>
      </c>
      <c r="B2982" s="7">
        <f>CONCATENATE(C2982,E2982,I2982)</f>
        <v/>
      </c>
      <c r="C2982" s="8" t="n">
        <v>900009140</v>
      </c>
      <c r="D2982" s="7">
        <f>IFERROR(VLOOKUP(C2982,TRAOPE!$G:$H,2,0),"")</f>
        <v/>
      </c>
      <c r="E2982" s="8" t="inlineStr">
        <is>
          <t>D836</t>
        </is>
      </c>
      <c r="F2982" s="8" t="inlineStr">
        <is>
          <t>65016451</t>
        </is>
      </c>
      <c r="G2982" s="8">
        <f>IFERROR(VLOOKUP(A2982,Flete!$A:$E,5,0),"")</f>
        <v/>
      </c>
      <c r="H2982" s="7">
        <f>IFERROR(VLOOKUP(F2982,TRAOPE!$AA:$AB,2,0),"")</f>
        <v/>
      </c>
      <c r="I2982" s="7" t="n">
        <v>10140399</v>
      </c>
      <c r="J2982" s="7">
        <f>IFERROR(VLOOKUP(I2982,Materiales!$A:$H,8,0),"")</f>
        <v/>
      </c>
      <c r="K2982" s="9">
        <f>IFERROR(VLOOKUP(I2982,Materiales!$A:$G,7,0),"")</f>
        <v/>
      </c>
      <c r="L2982" s="8" t="inlineStr">
        <is>
          <t>20250505</t>
        </is>
      </c>
      <c r="M2982" s="8" t="inlineStr">
        <is>
          <t>20250507</t>
        </is>
      </c>
      <c r="N2982" s="10" t="n">
        <v>199</v>
      </c>
      <c r="O2982" s="10">
        <f>IFERROR(VLOOKUP(A2982,Flete!$A:$J,10,0),"")</f>
        <v/>
      </c>
      <c r="P2982" s="8" t="inlineStr">
        <is>
          <t>TN</t>
        </is>
      </c>
      <c r="Q2982" s="10">
        <f>IFERROR(IFERROR(VLOOKUP(A2982,TRAOPE!$A:$U,21,0),VLOOKUP(B2982,TRAOPE!$A:$U,21,0)),"")</f>
        <v/>
      </c>
      <c r="R2982" s="8">
        <f>IFERROR(IFERROR(VLOOKUP(A2982,TRAOPE!$A:$W,23,0),VLOOKUP(B2982,TRAOPE!$A:$W,23,0)),"")</f>
        <v/>
      </c>
      <c r="S2982" s="10">
        <f>IF(AND(P2982="TN",R2982="TN"),N2982+N(O2982),IF(G2982&amp;""="1",N(K2982)*N2982,(N2982+N(O2982))*N(K2982)))</f>
        <v/>
      </c>
      <c r="T2982" s="10">
        <f>IF(Q2982="","",Q2982-S2982)</f>
        <v/>
      </c>
    </row>
    <row r="2983">
      <c r="A2983" s="7">
        <f>CONCATENATE(C2983,E2983,F2983,I2983)</f>
        <v/>
      </c>
      <c r="B2983" s="7">
        <f>CONCATENATE(C2983,E2983,I2983)</f>
        <v/>
      </c>
      <c r="C2983" s="8" t="n">
        <v>900009140</v>
      </c>
      <c r="D2983" s="7">
        <f>IFERROR(VLOOKUP(C2983,TRAOPE!$G:$H,2,0),"")</f>
        <v/>
      </c>
      <c r="E2983" s="8" t="inlineStr">
        <is>
          <t>D836</t>
        </is>
      </c>
      <c r="F2983" s="8" t="inlineStr">
        <is>
          <t>65016451</t>
        </is>
      </c>
      <c r="G2983" s="8">
        <f>IFERROR(VLOOKUP(A2983,Flete!$A:$E,5,0),"")</f>
        <v/>
      </c>
      <c r="H2983" s="7">
        <f>IFERROR(VLOOKUP(F2983,TRAOPE!$AA:$AB,2,0),"")</f>
        <v/>
      </c>
      <c r="I2983" s="7" t="n">
        <v>10221480</v>
      </c>
      <c r="J2983" s="7">
        <f>IFERROR(VLOOKUP(I2983,Materiales!$A:$H,8,0),"")</f>
        <v/>
      </c>
      <c r="K2983" s="9">
        <f>IFERROR(VLOOKUP(I2983,Materiales!$A:$G,7,0),"")</f>
        <v/>
      </c>
      <c r="L2983" s="8" t="inlineStr">
        <is>
          <t>20250505</t>
        </is>
      </c>
      <c r="M2983" s="8" t="inlineStr">
        <is>
          <t>20250507</t>
        </is>
      </c>
      <c r="N2983" s="10" t="n">
        <v>150</v>
      </c>
      <c r="O2983" s="10">
        <f>IFERROR(VLOOKUP(A2983,Flete!$A:$J,10,0),"")</f>
        <v/>
      </c>
      <c r="P2983" s="8" t="inlineStr">
        <is>
          <t>TN</t>
        </is>
      </c>
      <c r="Q2983" s="10">
        <f>IFERROR(IFERROR(VLOOKUP(A2983,TRAOPE!$A:$U,21,0),VLOOKUP(B2983,TRAOPE!$A:$U,21,0)),"")</f>
        <v/>
      </c>
      <c r="R2983" s="8">
        <f>IFERROR(IFERROR(VLOOKUP(A2983,TRAOPE!$A:$W,23,0),VLOOKUP(B2983,TRAOPE!$A:$W,23,0)),"")</f>
        <v/>
      </c>
      <c r="S2983" s="10">
        <f>IF(AND(P2983="TN",R2983="TN"),N2983+N(O2983),IF(G2983&amp;""="1",N(K2983)*N2983,(N2983+N(O2983))*N(K2983)))</f>
        <v/>
      </c>
      <c r="T2983" s="10">
        <f>IF(Q2983="","",Q2983-S2983)</f>
        <v/>
      </c>
    </row>
    <row r="2984">
      <c r="A2984" s="7">
        <f>CONCATENATE(C2984,E2984,F2984,I2984)</f>
        <v/>
      </c>
      <c r="B2984" s="7">
        <f>CONCATENATE(C2984,E2984,I2984)</f>
        <v/>
      </c>
      <c r="C2984" s="8" t="n">
        <v>900009140</v>
      </c>
      <c r="D2984" s="7">
        <f>IFERROR(VLOOKUP(C2984,TRAOPE!$G:$H,2,0),"")</f>
        <v/>
      </c>
      <c r="E2984" s="8" t="inlineStr">
        <is>
          <t>D836</t>
        </is>
      </c>
      <c r="F2984" s="8" t="inlineStr">
        <is>
          <t>66779276</t>
        </is>
      </c>
      <c r="G2984" s="8">
        <f>IFERROR(VLOOKUP(A2984,Flete!$A:$E,5,0),"")</f>
        <v/>
      </c>
      <c r="H2984" s="7">
        <f>IFERROR(VLOOKUP(F2984,TRAOPE!$AA:$AB,2,0),"")</f>
        <v/>
      </c>
      <c r="I2984" s="7" t="n">
        <v>10184011</v>
      </c>
      <c r="J2984" s="7">
        <f>IFERROR(VLOOKUP(I2984,Materiales!$A:$H,8,0),"")</f>
        <v/>
      </c>
      <c r="K2984" s="9">
        <f>IFERROR(VLOOKUP(I2984,Materiales!$A:$G,7,0),"")</f>
        <v/>
      </c>
      <c r="L2984" s="8" t="inlineStr">
        <is>
          <t>20250505</t>
        </is>
      </c>
      <c r="M2984" s="8" t="inlineStr">
        <is>
          <t>20250507</t>
        </is>
      </c>
      <c r="N2984" s="10" t="n">
        <v>160</v>
      </c>
      <c r="O2984" s="10">
        <f>IFERROR(VLOOKUP(A2984,Flete!$A:$J,10,0),"")</f>
        <v/>
      </c>
      <c r="P2984" s="8" t="inlineStr">
        <is>
          <t>TN</t>
        </is>
      </c>
      <c r="Q2984" s="10">
        <f>IFERROR(IFERROR(VLOOKUP(A2984,TRAOPE!$A:$U,21,0),VLOOKUP(B2984,TRAOPE!$A:$U,21,0)),"")</f>
        <v/>
      </c>
      <c r="R2984" s="8">
        <f>IFERROR(IFERROR(VLOOKUP(A2984,TRAOPE!$A:$W,23,0),VLOOKUP(B2984,TRAOPE!$A:$W,23,0)),"")</f>
        <v/>
      </c>
      <c r="S2984" s="10">
        <f>IF(AND(P2984="TN",R2984="TN"),N2984+N(O2984),IF(G2984&amp;""="1",N(K2984)*N2984,(N2984+N(O2984))*N(K2984)))</f>
        <v/>
      </c>
      <c r="T2984" s="10">
        <f>IF(Q2984="","",Q2984-S2984)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900004323</t>
        </is>
      </c>
      <c r="B2" t="inlineStr">
        <is>
          <t>D836</t>
        </is>
      </c>
      <c r="C2" t="inlineStr">
        <is>
          <t>65292088</t>
        </is>
      </c>
      <c r="D2" t="inlineStr">
        <is>
          <t>10003132</t>
        </is>
      </c>
      <c r="E2" t="inlineStr"/>
      <c r="F2" s="11" t="n">
        <v>130</v>
      </c>
      <c r="G2" t="inlineStr"/>
      <c r="I2" t="inlineStr">
        <is>
          <t>M3</t>
        </is>
      </c>
      <c r="J2" t="inlineStr"/>
      <c r="K2" t="inlineStr">
        <is>
          <t>20230323</t>
        </is>
      </c>
      <c r="L2" t="inlineStr">
        <is>
          <t>20230329</t>
        </is>
      </c>
    </row>
    <row r="3">
      <c r="A3" t="inlineStr">
        <is>
          <t>900004077</t>
        </is>
      </c>
      <c r="B3" t="inlineStr">
        <is>
          <t>D836</t>
        </is>
      </c>
      <c r="C3" t="inlineStr">
        <is>
          <t>65002610</t>
        </is>
      </c>
      <c r="D3" t="inlineStr">
        <is>
          <t>10002802</t>
        </is>
      </c>
      <c r="E3" t="inlineStr"/>
      <c r="F3" s="11" t="n">
        <v>140</v>
      </c>
      <c r="G3" t="inlineStr"/>
      <c r="I3" t="inlineStr">
        <is>
          <t>M3</t>
        </is>
      </c>
      <c r="J3" t="inlineStr"/>
      <c r="K3" t="inlineStr">
        <is>
          <t>20180910</t>
        </is>
      </c>
      <c r="L3" t="inlineStr">
        <is>
          <t>20240612</t>
        </is>
      </c>
    </row>
    <row r="4">
      <c r="A4" t="inlineStr">
        <is>
          <t>900004077</t>
        </is>
      </c>
      <c r="B4" t="inlineStr">
        <is>
          <t>D836</t>
        </is>
      </c>
      <c r="C4" t="inlineStr">
        <is>
          <t>65016451</t>
        </is>
      </c>
      <c r="D4" t="inlineStr">
        <is>
          <t>10002802</t>
        </is>
      </c>
      <c r="E4" t="inlineStr"/>
      <c r="F4" s="11" t="n">
        <v>147</v>
      </c>
      <c r="G4" t="inlineStr"/>
      <c r="I4" t="inlineStr">
        <is>
          <t>M3</t>
        </is>
      </c>
      <c r="J4" t="inlineStr"/>
      <c r="K4" t="inlineStr">
        <is>
          <t>20200117</t>
        </is>
      </c>
      <c r="L4" t="inlineStr">
        <is>
          <t>20240612</t>
        </is>
      </c>
    </row>
    <row r="5">
      <c r="A5" t="inlineStr">
        <is>
          <t>900004077</t>
        </is>
      </c>
      <c r="B5" t="inlineStr">
        <is>
          <t>D836</t>
        </is>
      </c>
      <c r="C5" t="inlineStr">
        <is>
          <t>65094369</t>
        </is>
      </c>
      <c r="D5" t="inlineStr">
        <is>
          <t>10002802</t>
        </is>
      </c>
      <c r="E5" t="inlineStr"/>
      <c r="F5" s="11" t="n">
        <v>140</v>
      </c>
      <c r="G5" t="inlineStr"/>
      <c r="I5" t="inlineStr">
        <is>
          <t>M3</t>
        </is>
      </c>
      <c r="J5" t="inlineStr"/>
      <c r="K5" t="inlineStr">
        <is>
          <t>20180910</t>
        </is>
      </c>
      <c r="L5" t="inlineStr">
        <is>
          <t>20240612</t>
        </is>
      </c>
    </row>
    <row r="6">
      <c r="A6" t="inlineStr">
        <is>
          <t>900004077</t>
        </is>
      </c>
      <c r="B6" t="inlineStr">
        <is>
          <t>D836</t>
        </is>
      </c>
      <c r="C6" t="inlineStr">
        <is>
          <t>65232687</t>
        </is>
      </c>
      <c r="D6" t="inlineStr">
        <is>
          <t>10002802</t>
        </is>
      </c>
      <c r="E6" t="inlineStr"/>
      <c r="F6" s="11" t="n">
        <v>160</v>
      </c>
      <c r="G6" t="inlineStr"/>
      <c r="I6" t="inlineStr">
        <is>
          <t>M3</t>
        </is>
      </c>
      <c r="J6" t="inlineStr"/>
      <c r="K6" t="inlineStr">
        <is>
          <t>20240423</t>
        </is>
      </c>
      <c r="L6" t="inlineStr">
        <is>
          <t>20240612</t>
        </is>
      </c>
    </row>
    <row r="7">
      <c r="A7" t="inlineStr">
        <is>
          <t>900004077</t>
        </is>
      </c>
      <c r="B7" t="inlineStr">
        <is>
          <t>D836</t>
        </is>
      </c>
      <c r="C7" t="inlineStr">
        <is>
          <t>65246763</t>
        </is>
      </c>
      <c r="D7" t="inlineStr">
        <is>
          <t>10002802</t>
        </is>
      </c>
      <c r="E7" t="inlineStr"/>
      <c r="F7" s="11" t="n">
        <v>128.8</v>
      </c>
      <c r="G7" t="inlineStr"/>
      <c r="I7" t="inlineStr">
        <is>
          <t>M3</t>
        </is>
      </c>
      <c r="J7" t="inlineStr"/>
      <c r="K7" t="inlineStr">
        <is>
          <t>20170101</t>
        </is>
      </c>
      <c r="L7" t="inlineStr">
        <is>
          <t>20240612</t>
        </is>
      </c>
    </row>
    <row r="8">
      <c r="A8" t="inlineStr">
        <is>
          <t>900004077</t>
        </is>
      </c>
      <c r="B8" t="inlineStr">
        <is>
          <t>D836</t>
        </is>
      </c>
      <c r="C8" t="inlineStr">
        <is>
          <t>65251399</t>
        </is>
      </c>
      <c r="D8" t="inlineStr">
        <is>
          <t>10002802</t>
        </is>
      </c>
      <c r="E8" t="inlineStr"/>
      <c r="F8" s="11" t="n">
        <v>140</v>
      </c>
      <c r="G8" t="inlineStr"/>
      <c r="I8" t="inlineStr">
        <is>
          <t>M3</t>
        </is>
      </c>
      <c r="J8" t="inlineStr"/>
      <c r="K8" t="inlineStr">
        <is>
          <t>20181116</t>
        </is>
      </c>
      <c r="L8" t="inlineStr">
        <is>
          <t>20240612</t>
        </is>
      </c>
    </row>
    <row r="9">
      <c r="A9" t="inlineStr">
        <is>
          <t>900004077</t>
        </is>
      </c>
      <c r="B9" t="inlineStr">
        <is>
          <t>D836</t>
        </is>
      </c>
      <c r="C9" t="inlineStr">
        <is>
          <t>65346224</t>
        </is>
      </c>
      <c r="D9" t="inlineStr">
        <is>
          <t>10002802</t>
        </is>
      </c>
      <c r="E9" t="inlineStr"/>
      <c r="F9" s="11" t="n">
        <v>140</v>
      </c>
      <c r="G9" t="inlineStr"/>
      <c r="I9" t="inlineStr">
        <is>
          <t>M3</t>
        </is>
      </c>
      <c r="J9" t="inlineStr"/>
      <c r="K9" t="inlineStr">
        <is>
          <t>20180206</t>
        </is>
      </c>
      <c r="L9" t="inlineStr">
        <is>
          <t>20240612</t>
        </is>
      </c>
    </row>
    <row r="10">
      <c r="A10" t="inlineStr">
        <is>
          <t>900004077</t>
        </is>
      </c>
      <c r="B10" t="inlineStr">
        <is>
          <t>D836</t>
        </is>
      </c>
      <c r="C10" t="inlineStr">
        <is>
          <t>65387641</t>
        </is>
      </c>
      <c r="D10" t="inlineStr">
        <is>
          <t>10002802</t>
        </is>
      </c>
      <c r="E10" t="inlineStr"/>
      <c r="F10" s="11" t="n">
        <v>160</v>
      </c>
      <c r="G10" t="inlineStr"/>
      <c r="I10" t="inlineStr">
        <is>
          <t>M3</t>
        </is>
      </c>
      <c r="J10" t="inlineStr"/>
      <c r="K10" t="inlineStr">
        <is>
          <t>20240423</t>
        </is>
      </c>
      <c r="L10" t="inlineStr">
        <is>
          <t>20240612</t>
        </is>
      </c>
    </row>
    <row r="11">
      <c r="A11" t="inlineStr">
        <is>
          <t>900004077</t>
        </is>
      </c>
      <c r="B11" t="inlineStr">
        <is>
          <t>D836</t>
        </is>
      </c>
      <c r="C11" t="inlineStr">
        <is>
          <t>65565826</t>
        </is>
      </c>
      <c r="D11" t="inlineStr">
        <is>
          <t>10002802</t>
        </is>
      </c>
      <c r="E11" t="inlineStr"/>
      <c r="F11" s="11" t="n">
        <v>132.25</v>
      </c>
      <c r="G11" t="inlineStr"/>
      <c r="I11" t="inlineStr">
        <is>
          <t>M3</t>
        </is>
      </c>
      <c r="J11" t="inlineStr"/>
      <c r="K11" t="inlineStr">
        <is>
          <t>20170101</t>
        </is>
      </c>
      <c r="L11" t="inlineStr">
        <is>
          <t>20240612</t>
        </is>
      </c>
    </row>
    <row r="12">
      <c r="A12" t="inlineStr">
        <is>
          <t>900004077</t>
        </is>
      </c>
      <c r="B12" t="inlineStr">
        <is>
          <t>D836</t>
        </is>
      </c>
      <c r="C12" t="inlineStr">
        <is>
          <t>65729122</t>
        </is>
      </c>
      <c r="D12" t="inlineStr">
        <is>
          <t>10002802</t>
        </is>
      </c>
      <c r="E12" t="inlineStr"/>
      <c r="F12" s="11" t="n">
        <v>132.25</v>
      </c>
      <c r="G12" t="inlineStr"/>
      <c r="I12" t="inlineStr">
        <is>
          <t>M3</t>
        </is>
      </c>
      <c r="J12" t="inlineStr"/>
      <c r="K12" t="inlineStr">
        <is>
          <t>20170101</t>
        </is>
      </c>
      <c r="L12" t="inlineStr">
        <is>
          <t>20240612</t>
        </is>
      </c>
    </row>
    <row r="13">
      <c r="A13" t="inlineStr">
        <is>
          <t>900004077</t>
        </is>
      </c>
      <c r="B13" t="inlineStr">
        <is>
          <t>D836</t>
        </is>
      </c>
      <c r="C13" t="inlineStr">
        <is>
          <t>65908426</t>
        </is>
      </c>
      <c r="D13" t="inlineStr">
        <is>
          <t>10002802</t>
        </is>
      </c>
      <c r="E13" t="inlineStr"/>
      <c r="F13" s="11" t="n">
        <v>140</v>
      </c>
      <c r="G13" t="inlineStr"/>
      <c r="I13" t="inlineStr">
        <is>
          <t>M3</t>
        </is>
      </c>
      <c r="J13" t="inlineStr"/>
      <c r="K13" t="inlineStr">
        <is>
          <t>20180206</t>
        </is>
      </c>
      <c r="L13" t="inlineStr">
        <is>
          <t>20240612</t>
        </is>
      </c>
    </row>
    <row r="14">
      <c r="A14" t="inlineStr">
        <is>
          <t>900004077</t>
        </is>
      </c>
      <c r="B14" t="inlineStr">
        <is>
          <t>D836</t>
        </is>
      </c>
      <c r="C14" t="inlineStr">
        <is>
          <t>66024400</t>
        </is>
      </c>
      <c r="D14" t="inlineStr">
        <is>
          <t>10002802</t>
        </is>
      </c>
      <c r="E14" t="inlineStr"/>
      <c r="F14" s="11" t="n">
        <v>128.8</v>
      </c>
      <c r="G14" t="inlineStr"/>
      <c r="I14" t="inlineStr">
        <is>
          <t>M3</t>
        </is>
      </c>
      <c r="J14" t="inlineStr"/>
      <c r="K14" t="inlineStr">
        <is>
          <t>20170101</t>
        </is>
      </c>
      <c r="L14" t="inlineStr">
        <is>
          <t>20240612</t>
        </is>
      </c>
    </row>
    <row r="15">
      <c r="A15" t="inlineStr">
        <is>
          <t>900004077</t>
        </is>
      </c>
      <c r="B15" t="inlineStr">
        <is>
          <t>D836</t>
        </is>
      </c>
      <c r="C15" t="inlineStr">
        <is>
          <t>66181113</t>
        </is>
      </c>
      <c r="D15" t="inlineStr">
        <is>
          <t>10002802</t>
        </is>
      </c>
      <c r="E15" t="inlineStr"/>
      <c r="F15" s="11" t="n">
        <v>128.8</v>
      </c>
      <c r="G15" t="inlineStr"/>
      <c r="I15" t="inlineStr">
        <is>
          <t>M3</t>
        </is>
      </c>
      <c r="J15" t="inlineStr"/>
      <c r="K15" t="inlineStr">
        <is>
          <t>20170101</t>
        </is>
      </c>
      <c r="L15" t="inlineStr">
        <is>
          <t>20240612</t>
        </is>
      </c>
    </row>
    <row r="16">
      <c r="A16" t="inlineStr">
        <is>
          <t>900004077</t>
        </is>
      </c>
      <c r="B16" t="inlineStr">
        <is>
          <t>D836</t>
        </is>
      </c>
      <c r="C16" t="inlineStr">
        <is>
          <t>66181114</t>
        </is>
      </c>
      <c r="D16" t="inlineStr">
        <is>
          <t>10002802</t>
        </is>
      </c>
      <c r="E16" t="inlineStr"/>
      <c r="F16" s="11" t="n">
        <v>128.8</v>
      </c>
      <c r="G16" t="inlineStr"/>
      <c r="I16" t="inlineStr">
        <is>
          <t>M3</t>
        </is>
      </c>
      <c r="J16" t="inlineStr"/>
      <c r="K16" t="inlineStr">
        <is>
          <t>20170101</t>
        </is>
      </c>
      <c r="L16" t="inlineStr">
        <is>
          <t>20240612</t>
        </is>
      </c>
    </row>
    <row r="17">
      <c r="A17" t="inlineStr">
        <is>
          <t>900004077</t>
        </is>
      </c>
      <c r="B17" t="inlineStr">
        <is>
          <t>D836</t>
        </is>
      </c>
      <c r="C17" t="inlineStr">
        <is>
          <t>66233244</t>
        </is>
      </c>
      <c r="D17" t="inlineStr">
        <is>
          <t>10002802</t>
        </is>
      </c>
      <c r="E17" t="inlineStr"/>
      <c r="F17" s="11" t="n">
        <v>140</v>
      </c>
      <c r="G17" t="inlineStr"/>
      <c r="I17" t="inlineStr">
        <is>
          <t>M3</t>
        </is>
      </c>
      <c r="J17" t="inlineStr"/>
      <c r="K17" t="inlineStr">
        <is>
          <t>20180613</t>
        </is>
      </c>
      <c r="L17" t="inlineStr">
        <is>
          <t>20240612</t>
        </is>
      </c>
    </row>
    <row r="18">
      <c r="A18" t="inlineStr">
        <is>
          <t>900004077</t>
        </is>
      </c>
      <c r="B18" t="inlineStr">
        <is>
          <t>D836</t>
        </is>
      </c>
      <c r="C18" t="inlineStr">
        <is>
          <t>66243150</t>
        </is>
      </c>
      <c r="D18" t="inlineStr">
        <is>
          <t>10002802</t>
        </is>
      </c>
      <c r="E18" t="inlineStr"/>
      <c r="F18" s="11" t="n">
        <v>153.12</v>
      </c>
      <c r="G18" t="inlineStr"/>
      <c r="I18" t="inlineStr">
        <is>
          <t>M3</t>
        </is>
      </c>
      <c r="J18" t="inlineStr"/>
      <c r="K18" t="inlineStr">
        <is>
          <t>20171213</t>
        </is>
      </c>
      <c r="L18" t="inlineStr">
        <is>
          <t>20240612</t>
        </is>
      </c>
    </row>
    <row r="19">
      <c r="A19" t="inlineStr">
        <is>
          <t>900004077</t>
        </is>
      </c>
      <c r="B19" t="inlineStr">
        <is>
          <t>D836</t>
        </is>
      </c>
      <c r="C19" t="inlineStr">
        <is>
          <t>66260760</t>
        </is>
      </c>
      <c r="D19" t="inlineStr">
        <is>
          <t>10002802</t>
        </is>
      </c>
      <c r="E19" t="inlineStr"/>
      <c r="F19" s="11" t="n">
        <v>140</v>
      </c>
      <c r="G19" t="inlineStr"/>
      <c r="I19" t="inlineStr">
        <is>
          <t>M3</t>
        </is>
      </c>
      <c r="J19" t="inlineStr"/>
      <c r="K19" t="inlineStr">
        <is>
          <t>20180206</t>
        </is>
      </c>
      <c r="L19" t="inlineStr">
        <is>
          <t>20240612</t>
        </is>
      </c>
    </row>
    <row r="20">
      <c r="A20" t="inlineStr">
        <is>
          <t>900004077</t>
        </is>
      </c>
      <c r="B20" t="inlineStr">
        <is>
          <t>D836</t>
        </is>
      </c>
      <c r="C20" t="inlineStr">
        <is>
          <t>66265943</t>
        </is>
      </c>
      <c r="D20" t="inlineStr">
        <is>
          <t>10002802</t>
        </is>
      </c>
      <c r="E20" t="inlineStr"/>
      <c r="F20" s="11" t="n">
        <v>128.8</v>
      </c>
      <c r="G20" t="inlineStr"/>
      <c r="I20" t="inlineStr">
        <is>
          <t>M3</t>
        </is>
      </c>
      <c r="J20" t="inlineStr"/>
      <c r="K20" t="inlineStr">
        <is>
          <t>20170101</t>
        </is>
      </c>
      <c r="L20" t="inlineStr">
        <is>
          <t>20240612</t>
        </is>
      </c>
    </row>
    <row r="21">
      <c r="A21" t="inlineStr">
        <is>
          <t>900004077</t>
        </is>
      </c>
      <c r="B21" t="inlineStr">
        <is>
          <t>D836</t>
        </is>
      </c>
      <c r="C21" t="inlineStr">
        <is>
          <t>66265944</t>
        </is>
      </c>
      <c r="D21" t="inlineStr">
        <is>
          <t>10002802</t>
        </is>
      </c>
      <c r="E21" t="inlineStr"/>
      <c r="F21" s="11" t="n">
        <v>128.8</v>
      </c>
      <c r="G21" t="inlineStr"/>
      <c r="I21" t="inlineStr">
        <is>
          <t>M3</t>
        </is>
      </c>
      <c r="J21" t="inlineStr"/>
      <c r="K21" t="inlineStr">
        <is>
          <t>20170101</t>
        </is>
      </c>
      <c r="L21" t="inlineStr">
        <is>
          <t>20240612</t>
        </is>
      </c>
    </row>
    <row r="22">
      <c r="A22" t="inlineStr">
        <is>
          <t>900004077</t>
        </is>
      </c>
      <c r="B22" t="inlineStr">
        <is>
          <t>D836</t>
        </is>
      </c>
      <c r="C22" t="inlineStr">
        <is>
          <t>66279408</t>
        </is>
      </c>
      <c r="D22" t="inlineStr">
        <is>
          <t>10002802</t>
        </is>
      </c>
      <c r="E22" t="inlineStr"/>
      <c r="F22" s="11" t="n">
        <v>128.8</v>
      </c>
      <c r="G22" t="inlineStr"/>
      <c r="I22" t="inlineStr">
        <is>
          <t>M3</t>
        </is>
      </c>
      <c r="J22" t="inlineStr"/>
      <c r="K22" t="inlineStr">
        <is>
          <t>20170101</t>
        </is>
      </c>
      <c r="L22" t="inlineStr">
        <is>
          <t>20240612</t>
        </is>
      </c>
    </row>
    <row r="23">
      <c r="A23" t="inlineStr">
        <is>
          <t>900004077</t>
        </is>
      </c>
      <c r="B23" t="inlineStr">
        <is>
          <t>D836</t>
        </is>
      </c>
      <c r="C23" t="inlineStr">
        <is>
          <t>66279410</t>
        </is>
      </c>
      <c r="D23" t="inlineStr">
        <is>
          <t>10002802</t>
        </is>
      </c>
      <c r="E23" t="inlineStr"/>
      <c r="F23" s="11" t="n">
        <v>128.8</v>
      </c>
      <c r="G23" t="inlineStr"/>
      <c r="I23" t="inlineStr">
        <is>
          <t>M3</t>
        </is>
      </c>
      <c r="J23" t="inlineStr"/>
      <c r="K23" t="inlineStr">
        <is>
          <t>20170101</t>
        </is>
      </c>
      <c r="L23" t="inlineStr">
        <is>
          <t>20240612</t>
        </is>
      </c>
    </row>
    <row r="24">
      <c r="A24" t="inlineStr">
        <is>
          <t>900004077</t>
        </is>
      </c>
      <c r="B24" t="inlineStr">
        <is>
          <t>D836</t>
        </is>
      </c>
      <c r="C24" t="inlineStr">
        <is>
          <t>66338952</t>
        </is>
      </c>
      <c r="D24" t="inlineStr">
        <is>
          <t>10002802</t>
        </is>
      </c>
      <c r="E24" t="inlineStr"/>
      <c r="F24" s="11" t="n">
        <v>145</v>
      </c>
      <c r="G24" t="inlineStr"/>
      <c r="I24" t="inlineStr">
        <is>
          <t>M3</t>
        </is>
      </c>
      <c r="J24" t="inlineStr"/>
      <c r="K24" t="inlineStr">
        <is>
          <t>20170213</t>
        </is>
      </c>
      <c r="L24" t="inlineStr">
        <is>
          <t>20240612</t>
        </is>
      </c>
    </row>
    <row r="25">
      <c r="A25" t="inlineStr">
        <is>
          <t>900004077</t>
        </is>
      </c>
      <c r="B25" t="inlineStr">
        <is>
          <t>D836</t>
        </is>
      </c>
      <c r="C25" t="inlineStr">
        <is>
          <t>66450072</t>
        </is>
      </c>
      <c r="D25" t="inlineStr">
        <is>
          <t>10002802</t>
        </is>
      </c>
      <c r="E25" t="inlineStr"/>
      <c r="F25" s="11" t="n">
        <v>140</v>
      </c>
      <c r="G25" t="inlineStr"/>
      <c r="I25" t="inlineStr">
        <is>
          <t>M3</t>
        </is>
      </c>
      <c r="J25" t="inlineStr"/>
      <c r="K25" t="inlineStr">
        <is>
          <t>20181116</t>
        </is>
      </c>
      <c r="L25" t="inlineStr">
        <is>
          <t>20240612</t>
        </is>
      </c>
    </row>
    <row r="26">
      <c r="A26" t="inlineStr">
        <is>
          <t>900004077</t>
        </is>
      </c>
      <c r="B26" t="inlineStr">
        <is>
          <t>D836</t>
        </is>
      </c>
      <c r="C26" t="inlineStr">
        <is>
          <t>66463792</t>
        </is>
      </c>
      <c r="D26" t="inlineStr">
        <is>
          <t>10002802</t>
        </is>
      </c>
      <c r="E26" t="inlineStr"/>
      <c r="F26" s="11" t="n">
        <v>140</v>
      </c>
      <c r="G26" t="inlineStr"/>
      <c r="I26" t="inlineStr">
        <is>
          <t>M3</t>
        </is>
      </c>
      <c r="J26" t="inlineStr"/>
      <c r="K26" t="inlineStr">
        <is>
          <t>20240612</t>
        </is>
      </c>
      <c r="L26" t="inlineStr">
        <is>
          <t>20240612</t>
        </is>
      </c>
    </row>
    <row r="27">
      <c r="A27" t="inlineStr">
        <is>
          <t>900004077</t>
        </is>
      </c>
      <c r="B27" t="inlineStr">
        <is>
          <t>D836</t>
        </is>
      </c>
      <c r="C27" t="inlineStr">
        <is>
          <t>66779276</t>
        </is>
      </c>
      <c r="D27" t="inlineStr">
        <is>
          <t>10002802</t>
        </is>
      </c>
      <c r="E27" t="inlineStr"/>
      <c r="F27" s="11" t="n">
        <v>136</v>
      </c>
      <c r="G27" t="inlineStr"/>
      <c r="I27" t="inlineStr">
        <is>
          <t>M3</t>
        </is>
      </c>
      <c r="J27" t="inlineStr"/>
      <c r="K27" t="inlineStr">
        <is>
          <t>20201216</t>
        </is>
      </c>
      <c r="L27" t="inlineStr">
        <is>
          <t>20240612</t>
        </is>
      </c>
    </row>
    <row r="28">
      <c r="A28" t="inlineStr">
        <is>
          <t>900004077</t>
        </is>
      </c>
      <c r="B28" t="inlineStr">
        <is>
          <t>D836</t>
        </is>
      </c>
      <c r="C28" t="inlineStr">
        <is>
          <t>66793827</t>
        </is>
      </c>
      <c r="D28" t="inlineStr">
        <is>
          <t>10002802</t>
        </is>
      </c>
      <c r="E28" t="inlineStr"/>
      <c r="F28" s="11" t="n">
        <v>155</v>
      </c>
      <c r="G28" t="inlineStr"/>
      <c r="I28" t="inlineStr">
        <is>
          <t>M3</t>
        </is>
      </c>
      <c r="J28" t="inlineStr"/>
      <c r="K28" t="inlineStr">
        <is>
          <t>20231030</t>
        </is>
      </c>
      <c r="L28" t="inlineStr">
        <is>
          <t>20240612</t>
        </is>
      </c>
    </row>
    <row r="29">
      <c r="A29" t="inlineStr">
        <is>
          <t>900004077</t>
        </is>
      </c>
      <c r="B29" t="inlineStr">
        <is>
          <t>D836</t>
        </is>
      </c>
      <c r="C29" t="inlineStr">
        <is>
          <t>66798315</t>
        </is>
      </c>
      <c r="D29" t="inlineStr">
        <is>
          <t>10002802</t>
        </is>
      </c>
      <c r="E29" t="inlineStr"/>
      <c r="F29" s="11" t="n">
        <v>135</v>
      </c>
      <c r="G29" t="inlineStr"/>
      <c r="I29" t="inlineStr">
        <is>
          <t>M3</t>
        </is>
      </c>
      <c r="J29" t="inlineStr"/>
      <c r="K29" t="inlineStr">
        <is>
          <t>20201016</t>
        </is>
      </c>
      <c r="L29" t="inlineStr">
        <is>
          <t>20240612</t>
        </is>
      </c>
    </row>
    <row r="30">
      <c r="A30" t="inlineStr">
        <is>
          <t>900004077</t>
        </is>
      </c>
      <c r="B30" t="inlineStr">
        <is>
          <t>D836</t>
        </is>
      </c>
      <c r="C30" t="inlineStr">
        <is>
          <t>66825797</t>
        </is>
      </c>
      <c r="D30" t="inlineStr">
        <is>
          <t>10002802</t>
        </is>
      </c>
      <c r="E30" t="inlineStr"/>
      <c r="F30" s="11" t="n">
        <v>140.81</v>
      </c>
      <c r="G30" t="inlineStr"/>
      <c r="I30" t="inlineStr">
        <is>
          <t>M3</t>
        </is>
      </c>
      <c r="J30" t="inlineStr"/>
      <c r="K30" t="inlineStr">
        <is>
          <t>20200911</t>
        </is>
      </c>
      <c r="L30" t="inlineStr">
        <is>
          <t>20240612</t>
        </is>
      </c>
    </row>
    <row r="31">
      <c r="A31" t="inlineStr">
        <is>
          <t>900004077</t>
        </is>
      </c>
      <c r="B31" t="inlineStr">
        <is>
          <t>D836</t>
        </is>
      </c>
      <c r="C31" t="inlineStr">
        <is>
          <t>66838326</t>
        </is>
      </c>
      <c r="D31" t="inlineStr">
        <is>
          <t>10002802</t>
        </is>
      </c>
      <c r="E31" t="inlineStr"/>
      <c r="F31" s="11" t="n">
        <v>145</v>
      </c>
      <c r="G31" t="inlineStr"/>
      <c r="I31" t="inlineStr">
        <is>
          <t>M3</t>
        </is>
      </c>
      <c r="J31" t="inlineStr"/>
      <c r="K31" t="inlineStr">
        <is>
          <t>20240612</t>
        </is>
      </c>
      <c r="L31" t="inlineStr">
        <is>
          <t>20240612</t>
        </is>
      </c>
    </row>
    <row r="32">
      <c r="A32" t="inlineStr">
        <is>
          <t>900004077</t>
        </is>
      </c>
      <c r="B32" t="inlineStr">
        <is>
          <t>D836</t>
        </is>
      </c>
      <c r="C32" t="inlineStr">
        <is>
          <t>66853813</t>
        </is>
      </c>
      <c r="D32" t="inlineStr">
        <is>
          <t>10002802</t>
        </is>
      </c>
      <c r="E32" t="inlineStr"/>
      <c r="F32" s="11" t="n">
        <v>134</v>
      </c>
      <c r="G32" t="inlineStr"/>
      <c r="I32" t="inlineStr">
        <is>
          <t>M3</t>
        </is>
      </c>
      <c r="J32" t="inlineStr"/>
      <c r="K32" t="inlineStr">
        <is>
          <t>20220223</t>
        </is>
      </c>
      <c r="L32" t="inlineStr">
        <is>
          <t>20240612</t>
        </is>
      </c>
    </row>
    <row r="33">
      <c r="A33" t="inlineStr">
        <is>
          <t>900004077</t>
        </is>
      </c>
      <c r="B33" t="inlineStr">
        <is>
          <t>D836</t>
        </is>
      </c>
      <c r="C33" t="inlineStr">
        <is>
          <t>66865547</t>
        </is>
      </c>
      <c r="D33" t="inlineStr">
        <is>
          <t>10002802</t>
        </is>
      </c>
      <c r="E33" t="inlineStr"/>
      <c r="F33" s="11" t="n">
        <v>129</v>
      </c>
      <c r="G33" t="inlineStr"/>
      <c r="I33" t="inlineStr">
        <is>
          <t>M3</t>
        </is>
      </c>
      <c r="J33" t="inlineStr"/>
      <c r="K33" t="inlineStr">
        <is>
          <t>20200922</t>
        </is>
      </c>
      <c r="L33" t="inlineStr">
        <is>
          <t>20240612</t>
        </is>
      </c>
    </row>
    <row r="34">
      <c r="A34" t="inlineStr">
        <is>
          <t>900004077</t>
        </is>
      </c>
      <c r="B34" t="inlineStr">
        <is>
          <t>D836</t>
        </is>
      </c>
      <c r="C34" t="inlineStr">
        <is>
          <t>66874616</t>
        </is>
      </c>
      <c r="D34" t="inlineStr">
        <is>
          <t>10002802</t>
        </is>
      </c>
      <c r="E34" t="inlineStr"/>
      <c r="F34" s="11" t="n">
        <v>145</v>
      </c>
      <c r="G34" t="inlineStr"/>
      <c r="I34" t="inlineStr">
        <is>
          <t>M3</t>
        </is>
      </c>
      <c r="J34" t="inlineStr"/>
      <c r="K34" t="inlineStr">
        <is>
          <t>20240612</t>
        </is>
      </c>
      <c r="L34" t="inlineStr">
        <is>
          <t>20240612</t>
        </is>
      </c>
    </row>
    <row r="35">
      <c r="A35" t="inlineStr">
        <is>
          <t>900004077</t>
        </is>
      </c>
      <c r="B35" t="inlineStr">
        <is>
          <t>D836</t>
        </is>
      </c>
      <c r="C35" t="inlineStr">
        <is>
          <t>66898280</t>
        </is>
      </c>
      <c r="D35" t="inlineStr">
        <is>
          <t>10002802</t>
        </is>
      </c>
      <c r="E35" t="inlineStr"/>
      <c r="F35" s="11" t="n">
        <v>140.81</v>
      </c>
      <c r="G35" t="inlineStr"/>
      <c r="I35" t="inlineStr">
        <is>
          <t>M3</t>
        </is>
      </c>
      <c r="J35" t="inlineStr"/>
      <c r="K35" t="inlineStr">
        <is>
          <t>20200911</t>
        </is>
      </c>
      <c r="L35" t="inlineStr">
        <is>
          <t>20240612</t>
        </is>
      </c>
    </row>
    <row r="36">
      <c r="A36" t="inlineStr">
        <is>
          <t>900004077</t>
        </is>
      </c>
      <c r="B36" t="inlineStr">
        <is>
          <t>D836</t>
        </is>
      </c>
      <c r="C36" t="inlineStr">
        <is>
          <t>66898281</t>
        </is>
      </c>
      <c r="D36" t="inlineStr">
        <is>
          <t>10002802</t>
        </is>
      </c>
      <c r="E36" t="inlineStr"/>
      <c r="F36" s="11" t="n">
        <v>140.81</v>
      </c>
      <c r="G36" t="inlineStr"/>
      <c r="I36" t="inlineStr">
        <is>
          <t>M3</t>
        </is>
      </c>
      <c r="J36" t="inlineStr"/>
      <c r="K36" t="inlineStr">
        <is>
          <t>20200911</t>
        </is>
      </c>
      <c r="L36" t="inlineStr">
        <is>
          <t>20240612</t>
        </is>
      </c>
    </row>
    <row r="37">
      <c r="A37" t="inlineStr">
        <is>
          <t>900004077</t>
        </is>
      </c>
      <c r="B37" t="inlineStr">
        <is>
          <t>D836</t>
        </is>
      </c>
      <c r="C37" t="inlineStr">
        <is>
          <t>66928379</t>
        </is>
      </c>
      <c r="D37" t="inlineStr">
        <is>
          <t>10002802</t>
        </is>
      </c>
      <c r="E37" t="inlineStr"/>
      <c r="F37" s="11" t="n">
        <v>129</v>
      </c>
      <c r="G37" t="inlineStr"/>
      <c r="I37" t="inlineStr">
        <is>
          <t>M3</t>
        </is>
      </c>
      <c r="J37" t="inlineStr"/>
      <c r="K37" t="inlineStr">
        <is>
          <t>20210121</t>
        </is>
      </c>
      <c r="L37" t="inlineStr">
        <is>
          <t>20240612</t>
        </is>
      </c>
    </row>
    <row r="38">
      <c r="A38" t="inlineStr">
        <is>
          <t>900004077</t>
        </is>
      </c>
      <c r="B38" t="inlineStr">
        <is>
          <t>D836</t>
        </is>
      </c>
      <c r="C38" t="inlineStr">
        <is>
          <t>67007016</t>
        </is>
      </c>
      <c r="D38" t="inlineStr">
        <is>
          <t>10002802</t>
        </is>
      </c>
      <c r="E38" t="inlineStr"/>
      <c r="F38" s="11" t="n">
        <v>135</v>
      </c>
      <c r="G38" t="inlineStr"/>
      <c r="I38" t="inlineStr">
        <is>
          <t>M3</t>
        </is>
      </c>
      <c r="J38" t="inlineStr"/>
      <c r="K38" t="inlineStr">
        <is>
          <t>20240612</t>
        </is>
      </c>
      <c r="L38" t="inlineStr">
        <is>
          <t>20240612</t>
        </is>
      </c>
    </row>
    <row r="39">
      <c r="A39" t="inlineStr">
        <is>
          <t>900005356</t>
        </is>
      </c>
      <c r="B39" t="inlineStr">
        <is>
          <t>D836</t>
        </is>
      </c>
      <c r="C39" t="inlineStr">
        <is>
          <t>66864508</t>
        </is>
      </c>
      <c r="D39" t="inlineStr">
        <is>
          <t>10000160</t>
        </is>
      </c>
      <c r="E39" t="inlineStr"/>
      <c r="F39" s="11" t="n">
        <v>120</v>
      </c>
      <c r="G39" t="inlineStr"/>
      <c r="I39" t="inlineStr">
        <is>
          <t>M3</t>
        </is>
      </c>
      <c r="J39" t="inlineStr"/>
      <c r="K39" t="inlineStr">
        <is>
          <t>20231011</t>
        </is>
      </c>
      <c r="L39" t="inlineStr">
        <is>
          <t>20240820</t>
        </is>
      </c>
    </row>
    <row r="40">
      <c r="A40" t="inlineStr">
        <is>
          <t>900005356</t>
        </is>
      </c>
      <c r="B40" t="inlineStr">
        <is>
          <t>D836</t>
        </is>
      </c>
      <c r="C40" t="inlineStr">
        <is>
          <t>66864540</t>
        </is>
      </c>
      <c r="D40" t="inlineStr">
        <is>
          <t>10000160</t>
        </is>
      </c>
      <c r="E40" t="inlineStr"/>
      <c r="F40" s="11" t="n">
        <v>120</v>
      </c>
      <c r="G40" t="inlineStr"/>
      <c r="I40" t="inlineStr">
        <is>
          <t>M3</t>
        </is>
      </c>
      <c r="J40" t="inlineStr"/>
      <c r="K40" t="inlineStr">
        <is>
          <t>20231011</t>
        </is>
      </c>
      <c r="L40" t="inlineStr">
        <is>
          <t>20240820</t>
        </is>
      </c>
    </row>
    <row r="41">
      <c r="A41" t="inlineStr">
        <is>
          <t>900005356</t>
        </is>
      </c>
      <c r="B41" t="inlineStr">
        <is>
          <t>D836</t>
        </is>
      </c>
      <c r="C41" t="inlineStr">
        <is>
          <t>66982053</t>
        </is>
      </c>
      <c r="D41" t="inlineStr">
        <is>
          <t>10000160</t>
        </is>
      </c>
      <c r="E41" t="inlineStr"/>
      <c r="F41" s="11" t="n">
        <v>120</v>
      </c>
      <c r="G41" t="inlineStr"/>
      <c r="I41" t="inlineStr">
        <is>
          <t>M3</t>
        </is>
      </c>
      <c r="J41" t="inlineStr"/>
      <c r="K41" t="inlineStr">
        <is>
          <t>20231011</t>
        </is>
      </c>
      <c r="L41" t="inlineStr">
        <is>
          <t>20240820</t>
        </is>
      </c>
    </row>
    <row r="42">
      <c r="A42" t="inlineStr">
        <is>
          <t>900005356</t>
        </is>
      </c>
      <c r="B42" t="inlineStr">
        <is>
          <t>D836</t>
        </is>
      </c>
      <c r="C42" t="inlineStr">
        <is>
          <t>67019979</t>
        </is>
      </c>
      <c r="D42" t="inlineStr">
        <is>
          <t>10000160</t>
        </is>
      </c>
      <c r="E42" t="inlineStr"/>
      <c r="F42" s="11" t="n">
        <v>120</v>
      </c>
      <c r="G42" t="inlineStr"/>
      <c r="I42" t="inlineStr">
        <is>
          <t>M3</t>
        </is>
      </c>
      <c r="J42" t="inlineStr"/>
      <c r="K42" t="inlineStr">
        <is>
          <t>20231011</t>
        </is>
      </c>
      <c r="L42" t="inlineStr">
        <is>
          <t>20240820</t>
        </is>
      </c>
    </row>
    <row r="43">
      <c r="A43" t="inlineStr">
        <is>
          <t>900003609</t>
        </is>
      </c>
      <c r="B43" t="inlineStr">
        <is>
          <t>D836</t>
        </is>
      </c>
      <c r="C43" t="inlineStr">
        <is>
          <t>65015067</t>
        </is>
      </c>
      <c r="D43" t="inlineStr">
        <is>
          <t>10058345</t>
        </is>
      </c>
      <c r="E43" t="inlineStr"/>
      <c r="F43" s="11" t="n">
        <v>133</v>
      </c>
      <c r="G43" t="inlineStr"/>
      <c r="I43" t="inlineStr">
        <is>
          <t>M3</t>
        </is>
      </c>
      <c r="J43" t="inlineStr"/>
      <c r="K43" t="inlineStr">
        <is>
          <t>20220324</t>
        </is>
      </c>
      <c r="L43" t="inlineStr">
        <is>
          <t>20240822</t>
        </is>
      </c>
    </row>
    <row r="44">
      <c r="A44" t="inlineStr">
        <is>
          <t>900003609</t>
        </is>
      </c>
      <c r="B44" t="inlineStr">
        <is>
          <t>D836</t>
        </is>
      </c>
      <c r="C44" t="inlineStr">
        <is>
          <t>65712814</t>
        </is>
      </c>
      <c r="D44" t="inlineStr">
        <is>
          <t>10058345</t>
        </is>
      </c>
      <c r="E44" t="inlineStr"/>
      <c r="F44" s="11" t="n">
        <v>110</v>
      </c>
      <c r="G44" t="inlineStr"/>
      <c r="I44" t="inlineStr">
        <is>
          <t>M3</t>
        </is>
      </c>
      <c r="J44" t="inlineStr"/>
      <c r="K44" t="inlineStr">
        <is>
          <t>20220324</t>
        </is>
      </c>
      <c r="L44" t="inlineStr">
        <is>
          <t>20240822</t>
        </is>
      </c>
    </row>
    <row r="45">
      <c r="A45" t="inlineStr">
        <is>
          <t>900003609</t>
        </is>
      </c>
      <c r="B45" t="inlineStr">
        <is>
          <t>D836</t>
        </is>
      </c>
      <c r="C45" t="inlineStr">
        <is>
          <t>65713808</t>
        </is>
      </c>
      <c r="D45" t="inlineStr">
        <is>
          <t>10058345</t>
        </is>
      </c>
      <c r="E45" t="inlineStr"/>
      <c r="F45" s="11" t="n">
        <v>110</v>
      </c>
      <c r="G45" t="inlineStr"/>
      <c r="I45" t="inlineStr">
        <is>
          <t>M3</t>
        </is>
      </c>
      <c r="J45" t="inlineStr"/>
      <c r="K45" t="inlineStr">
        <is>
          <t>20220324</t>
        </is>
      </c>
      <c r="L45" t="inlineStr">
        <is>
          <t>20240822</t>
        </is>
      </c>
    </row>
    <row r="46">
      <c r="A46" t="inlineStr">
        <is>
          <t>900003609</t>
        </is>
      </c>
      <c r="B46" t="inlineStr">
        <is>
          <t>D836</t>
        </is>
      </c>
      <c r="C46" t="inlineStr">
        <is>
          <t>66243150</t>
        </is>
      </c>
      <c r="D46" t="inlineStr">
        <is>
          <t>10058345</t>
        </is>
      </c>
      <c r="E46" t="inlineStr"/>
      <c r="F46" s="11" t="n">
        <v>131.58</v>
      </c>
      <c r="G46" t="inlineStr"/>
      <c r="I46" t="inlineStr">
        <is>
          <t>M3</t>
        </is>
      </c>
      <c r="J46" t="inlineStr"/>
      <c r="K46" t="inlineStr">
        <is>
          <t>20220324</t>
        </is>
      </c>
      <c r="L46" t="inlineStr">
        <is>
          <t>20240822</t>
        </is>
      </c>
    </row>
    <row r="47">
      <c r="A47" t="inlineStr">
        <is>
          <t>900003609</t>
        </is>
      </c>
      <c r="B47" t="inlineStr">
        <is>
          <t>D836</t>
        </is>
      </c>
      <c r="C47" t="inlineStr">
        <is>
          <t>66338102</t>
        </is>
      </c>
      <c r="D47" t="inlineStr">
        <is>
          <t>10058345</t>
        </is>
      </c>
      <c r="E47" t="inlineStr"/>
      <c r="F47" s="11" t="n">
        <v>104.44</v>
      </c>
      <c r="G47" t="inlineStr"/>
      <c r="I47" t="inlineStr">
        <is>
          <t>M3</t>
        </is>
      </c>
      <c r="J47" t="inlineStr"/>
      <c r="K47" t="inlineStr">
        <is>
          <t>20220324</t>
        </is>
      </c>
      <c r="L47" t="inlineStr">
        <is>
          <t>20240822</t>
        </is>
      </c>
    </row>
    <row r="48">
      <c r="A48" t="inlineStr">
        <is>
          <t>900003609</t>
        </is>
      </c>
      <c r="B48" t="inlineStr">
        <is>
          <t>D836</t>
        </is>
      </c>
      <c r="C48" t="inlineStr">
        <is>
          <t>66857228</t>
        </is>
      </c>
      <c r="D48" t="inlineStr">
        <is>
          <t>10058345</t>
        </is>
      </c>
      <c r="E48" t="inlineStr"/>
      <c r="F48" s="11" t="n">
        <v>133</v>
      </c>
      <c r="G48" t="inlineStr"/>
      <c r="I48" t="inlineStr">
        <is>
          <t>M3</t>
        </is>
      </c>
      <c r="J48" t="inlineStr"/>
      <c r="K48" t="inlineStr">
        <is>
          <t>20220324</t>
        </is>
      </c>
      <c r="L48" t="inlineStr">
        <is>
          <t>20240822</t>
        </is>
      </c>
    </row>
    <row r="49">
      <c r="A49" t="inlineStr">
        <is>
          <t>900003609</t>
        </is>
      </c>
      <c r="B49" t="inlineStr">
        <is>
          <t>D836</t>
        </is>
      </c>
      <c r="C49" t="inlineStr">
        <is>
          <t>67007619</t>
        </is>
      </c>
      <c r="D49" t="inlineStr">
        <is>
          <t>10058345</t>
        </is>
      </c>
      <c r="E49" t="inlineStr"/>
      <c r="F49" s="11" t="n">
        <v>105</v>
      </c>
      <c r="G49" t="inlineStr"/>
      <c r="I49" t="inlineStr">
        <is>
          <t>M3</t>
        </is>
      </c>
      <c r="J49" t="inlineStr"/>
      <c r="K49" t="inlineStr">
        <is>
          <t>20220324</t>
        </is>
      </c>
      <c r="L49" t="inlineStr">
        <is>
          <t>20240822</t>
        </is>
      </c>
    </row>
    <row r="50">
      <c r="A50" t="inlineStr">
        <is>
          <t>900003609</t>
        </is>
      </c>
      <c r="B50" t="inlineStr">
        <is>
          <t>D836</t>
        </is>
      </c>
      <c r="C50" t="inlineStr">
        <is>
          <t>67032666</t>
        </is>
      </c>
      <c r="D50" t="inlineStr">
        <is>
          <t>10058345</t>
        </is>
      </c>
      <c r="E50" t="inlineStr"/>
      <c r="F50" s="11" t="n">
        <v>120</v>
      </c>
      <c r="G50" t="inlineStr"/>
      <c r="I50" t="inlineStr">
        <is>
          <t>M3</t>
        </is>
      </c>
      <c r="J50" t="inlineStr"/>
      <c r="K50" t="inlineStr">
        <is>
          <t>20220324</t>
        </is>
      </c>
      <c r="L50" t="inlineStr">
        <is>
          <t>20240822</t>
        </is>
      </c>
    </row>
    <row r="51">
      <c r="A51" t="inlineStr">
        <is>
          <t>900003609</t>
        </is>
      </c>
      <c r="B51" t="inlineStr">
        <is>
          <t>D836</t>
        </is>
      </c>
      <c r="C51" t="inlineStr">
        <is>
          <t>67213976</t>
        </is>
      </c>
      <c r="D51" t="inlineStr">
        <is>
          <t>10058345</t>
        </is>
      </c>
      <c r="E51" t="inlineStr"/>
      <c r="F51" s="11" t="n">
        <v>170</v>
      </c>
      <c r="G51" t="inlineStr"/>
      <c r="I51" t="inlineStr">
        <is>
          <t>M3</t>
        </is>
      </c>
      <c r="J51" t="inlineStr"/>
      <c r="K51" t="inlineStr">
        <is>
          <t>20220324</t>
        </is>
      </c>
      <c r="L51" t="inlineStr">
        <is>
          <t>20240822</t>
        </is>
      </c>
    </row>
    <row r="52">
      <c r="A52" t="inlineStr">
        <is>
          <t>900004598</t>
        </is>
      </c>
      <c r="B52" t="inlineStr">
        <is>
          <t>D836</t>
        </is>
      </c>
      <c r="C52" t="inlineStr">
        <is>
          <t>67098138</t>
        </is>
      </c>
      <c r="D52" t="inlineStr">
        <is>
          <t>10006150</t>
        </is>
      </c>
      <c r="E52" t="inlineStr"/>
      <c r="F52" s="11" t="n">
        <v>310</v>
      </c>
      <c r="G52" t="inlineStr"/>
      <c r="I52" t="inlineStr">
        <is>
          <t>M3</t>
        </is>
      </c>
      <c r="J52" t="inlineStr"/>
      <c r="K52" t="inlineStr">
        <is>
          <t>20241022</t>
        </is>
      </c>
      <c r="L52" t="inlineStr">
        <is>
          <t>20241025</t>
        </is>
      </c>
    </row>
    <row r="53">
      <c r="A53" t="inlineStr">
        <is>
          <t>900004598</t>
        </is>
      </c>
      <c r="B53" t="inlineStr">
        <is>
          <t>D836</t>
        </is>
      </c>
      <c r="C53" t="inlineStr">
        <is>
          <t>67098138</t>
        </is>
      </c>
      <c r="D53" t="inlineStr">
        <is>
          <t>10047573</t>
        </is>
      </c>
      <c r="E53" t="inlineStr"/>
      <c r="F53" s="11" t="n">
        <v>58</v>
      </c>
      <c r="G53" t="inlineStr"/>
      <c r="I53" t="inlineStr">
        <is>
          <t>M3</t>
        </is>
      </c>
      <c r="J53" t="inlineStr"/>
      <c r="K53" t="inlineStr">
        <is>
          <t>20241022</t>
        </is>
      </c>
      <c r="L53" t="inlineStr">
        <is>
          <t>20241025</t>
        </is>
      </c>
    </row>
    <row r="54">
      <c r="A54" t="inlineStr">
        <is>
          <t>900000034</t>
        </is>
      </c>
      <c r="B54" t="inlineStr">
        <is>
          <t>D836</t>
        </is>
      </c>
      <c r="C54" t="inlineStr">
        <is>
          <t>65002173</t>
        </is>
      </c>
      <c r="D54" t="inlineStr">
        <is>
          <t>10000624</t>
        </is>
      </c>
      <c r="E54" t="inlineStr"/>
      <c r="F54" s="11" t="n">
        <v>93.40000000000001</v>
      </c>
      <c r="G54" t="inlineStr"/>
      <c r="I54" t="inlineStr">
        <is>
          <t>TN</t>
        </is>
      </c>
      <c r="J54" t="inlineStr"/>
      <c r="K54" t="inlineStr">
        <is>
          <t>20190426</t>
        </is>
      </c>
      <c r="L54" t="inlineStr">
        <is>
          <t>20250127</t>
        </is>
      </c>
    </row>
    <row r="55">
      <c r="A55" t="inlineStr">
        <is>
          <t>900000034</t>
        </is>
      </c>
      <c r="B55" t="inlineStr">
        <is>
          <t>D836</t>
        </is>
      </c>
      <c r="C55" t="inlineStr">
        <is>
          <t>65050507</t>
        </is>
      </c>
      <c r="D55" t="inlineStr">
        <is>
          <t>10000757</t>
        </is>
      </c>
      <c r="E55" t="inlineStr"/>
      <c r="F55" s="11" t="n">
        <v>91.08</v>
      </c>
      <c r="G55" t="inlineStr"/>
      <c r="I55" t="inlineStr">
        <is>
          <t>TN</t>
        </is>
      </c>
      <c r="J55" t="inlineStr"/>
      <c r="K55" t="inlineStr">
        <is>
          <t>20190426</t>
        </is>
      </c>
      <c r="L55" t="inlineStr">
        <is>
          <t>20250127</t>
        </is>
      </c>
    </row>
    <row r="56">
      <c r="A56" t="inlineStr">
        <is>
          <t>900000034</t>
        </is>
      </c>
      <c r="B56" t="inlineStr">
        <is>
          <t>D836</t>
        </is>
      </c>
      <c r="C56" t="inlineStr">
        <is>
          <t>65077509</t>
        </is>
      </c>
      <c r="D56" t="inlineStr">
        <is>
          <t>10000624</t>
        </is>
      </c>
      <c r="E56" t="inlineStr"/>
      <c r="F56" s="11" t="n">
        <v>102.57</v>
      </c>
      <c r="G56" t="inlineStr"/>
      <c r="I56" t="inlineStr">
        <is>
          <t>TN</t>
        </is>
      </c>
      <c r="J56" t="inlineStr"/>
      <c r="K56" t="inlineStr">
        <is>
          <t>20190426</t>
        </is>
      </c>
      <c r="L56" t="inlineStr">
        <is>
          <t>20250127</t>
        </is>
      </c>
    </row>
    <row r="57">
      <c r="A57" t="inlineStr">
        <is>
          <t>900000034</t>
        </is>
      </c>
      <c r="B57" t="inlineStr">
        <is>
          <t>D836</t>
        </is>
      </c>
      <c r="C57" t="inlineStr">
        <is>
          <t>65077509</t>
        </is>
      </c>
      <c r="D57" t="inlineStr">
        <is>
          <t>10000722</t>
        </is>
      </c>
      <c r="E57" t="inlineStr"/>
      <c r="F57" s="11" t="n">
        <v>93.29000000000001</v>
      </c>
      <c r="G57" t="inlineStr"/>
      <c r="I57" t="inlineStr">
        <is>
          <t>TN</t>
        </is>
      </c>
      <c r="J57" t="inlineStr"/>
      <c r="K57" t="inlineStr">
        <is>
          <t>20190426</t>
        </is>
      </c>
      <c r="L57" t="inlineStr">
        <is>
          <t>20250127</t>
        </is>
      </c>
    </row>
    <row r="58">
      <c r="A58" t="inlineStr">
        <is>
          <t>900000034</t>
        </is>
      </c>
      <c r="B58" t="inlineStr">
        <is>
          <t>D836</t>
        </is>
      </c>
      <c r="C58" t="inlineStr">
        <is>
          <t>65077518</t>
        </is>
      </c>
      <c r="D58" t="inlineStr">
        <is>
          <t>10000624</t>
        </is>
      </c>
      <c r="E58" t="inlineStr"/>
      <c r="F58" s="11" t="n">
        <v>102.57</v>
      </c>
      <c r="G58" t="inlineStr"/>
      <c r="I58" t="inlineStr">
        <is>
          <t>TN</t>
        </is>
      </c>
      <c r="J58" t="inlineStr"/>
      <c r="K58" t="inlineStr">
        <is>
          <t>20190426</t>
        </is>
      </c>
      <c r="L58" t="inlineStr">
        <is>
          <t>20250127</t>
        </is>
      </c>
    </row>
    <row r="59">
      <c r="A59" t="inlineStr">
        <is>
          <t>900000034</t>
        </is>
      </c>
      <c r="B59" t="inlineStr">
        <is>
          <t>D836</t>
        </is>
      </c>
      <c r="C59" t="inlineStr">
        <is>
          <t>65077518</t>
        </is>
      </c>
      <c r="D59" t="inlineStr">
        <is>
          <t>10000722</t>
        </is>
      </c>
      <c r="E59" t="inlineStr"/>
      <c r="F59" s="11" t="n">
        <v>93.29000000000001</v>
      </c>
      <c r="G59" t="inlineStr"/>
      <c r="I59" t="inlineStr">
        <is>
          <t>TN</t>
        </is>
      </c>
      <c r="J59" t="inlineStr"/>
      <c r="K59" t="inlineStr">
        <is>
          <t>20190426</t>
        </is>
      </c>
      <c r="L59" t="inlineStr">
        <is>
          <t>20250127</t>
        </is>
      </c>
    </row>
    <row r="60">
      <c r="A60" t="inlineStr">
        <is>
          <t>900000034</t>
        </is>
      </c>
      <c r="B60" t="inlineStr">
        <is>
          <t>D836</t>
        </is>
      </c>
      <c r="C60" t="inlineStr">
        <is>
          <t>65077582</t>
        </is>
      </c>
      <c r="D60" t="inlineStr">
        <is>
          <t>10000624</t>
        </is>
      </c>
      <c r="E60" t="inlineStr"/>
      <c r="F60" s="11" t="n">
        <v>102.57</v>
      </c>
      <c r="G60" t="inlineStr"/>
      <c r="I60" t="inlineStr">
        <is>
          <t>TN</t>
        </is>
      </c>
      <c r="J60" t="inlineStr"/>
      <c r="K60" t="inlineStr">
        <is>
          <t>20190426</t>
        </is>
      </c>
      <c r="L60" t="inlineStr">
        <is>
          <t>20250127</t>
        </is>
      </c>
    </row>
    <row r="61">
      <c r="A61" t="inlineStr">
        <is>
          <t>900000034</t>
        </is>
      </c>
      <c r="B61" t="inlineStr">
        <is>
          <t>D836</t>
        </is>
      </c>
      <c r="C61" t="inlineStr">
        <is>
          <t>65077582</t>
        </is>
      </c>
      <c r="D61" t="inlineStr">
        <is>
          <t>10000722</t>
        </is>
      </c>
      <c r="E61" t="inlineStr"/>
      <c r="F61" s="11" t="n">
        <v>93.29000000000001</v>
      </c>
      <c r="G61" t="inlineStr"/>
      <c r="I61" t="inlineStr">
        <is>
          <t>TN</t>
        </is>
      </c>
      <c r="J61" t="inlineStr"/>
      <c r="K61" t="inlineStr">
        <is>
          <t>20190426</t>
        </is>
      </c>
      <c r="L61" t="inlineStr">
        <is>
          <t>20250127</t>
        </is>
      </c>
    </row>
    <row r="62">
      <c r="A62" t="inlineStr">
        <is>
          <t>900000034</t>
        </is>
      </c>
      <c r="B62" t="inlineStr">
        <is>
          <t>D836</t>
        </is>
      </c>
      <c r="C62" t="inlineStr">
        <is>
          <t>65210427</t>
        </is>
      </c>
      <c r="D62" t="inlineStr">
        <is>
          <t>10000624</t>
        </is>
      </c>
      <c r="E62" t="inlineStr"/>
      <c r="F62" s="11" t="n">
        <v>86.11</v>
      </c>
      <c r="G62" t="inlineStr"/>
      <c r="I62" t="inlineStr">
        <is>
          <t>TN</t>
        </is>
      </c>
      <c r="J62" t="inlineStr"/>
      <c r="K62" t="inlineStr">
        <is>
          <t>20190426</t>
        </is>
      </c>
      <c r="L62" t="inlineStr">
        <is>
          <t>20250127</t>
        </is>
      </c>
    </row>
    <row r="63">
      <c r="A63" t="inlineStr">
        <is>
          <t>900000034</t>
        </is>
      </c>
      <c r="B63" t="inlineStr">
        <is>
          <t>D836</t>
        </is>
      </c>
      <c r="C63" t="inlineStr">
        <is>
          <t>65210427</t>
        </is>
      </c>
      <c r="D63" t="inlineStr">
        <is>
          <t>10000722</t>
        </is>
      </c>
      <c r="E63" t="inlineStr"/>
      <c r="F63" s="11" t="n">
        <v>93.29000000000001</v>
      </c>
      <c r="G63" t="inlineStr"/>
      <c r="I63" t="inlineStr">
        <is>
          <t>TN</t>
        </is>
      </c>
      <c r="J63" t="inlineStr"/>
      <c r="K63" t="inlineStr">
        <is>
          <t>20190426</t>
        </is>
      </c>
      <c r="L63" t="inlineStr">
        <is>
          <t>20250127</t>
        </is>
      </c>
    </row>
    <row r="64">
      <c r="A64" t="inlineStr">
        <is>
          <t>900000034</t>
        </is>
      </c>
      <c r="B64" t="inlineStr">
        <is>
          <t>D836</t>
        </is>
      </c>
      <c r="C64" t="inlineStr">
        <is>
          <t>65565803</t>
        </is>
      </c>
      <c r="D64" t="inlineStr">
        <is>
          <t>10000722</t>
        </is>
      </c>
      <c r="E64" t="inlineStr"/>
      <c r="F64" s="11" t="n">
        <v>102.86</v>
      </c>
      <c r="G64" t="inlineStr"/>
      <c r="I64" t="inlineStr">
        <is>
          <t>TN</t>
        </is>
      </c>
      <c r="J64" t="inlineStr"/>
      <c r="K64" t="inlineStr">
        <is>
          <t>20190426</t>
        </is>
      </c>
      <c r="L64" t="inlineStr">
        <is>
          <t>20250127</t>
        </is>
      </c>
    </row>
    <row r="65">
      <c r="A65" t="inlineStr">
        <is>
          <t>900000034</t>
        </is>
      </c>
      <c r="B65" t="inlineStr">
        <is>
          <t>D836</t>
        </is>
      </c>
      <c r="C65" t="inlineStr">
        <is>
          <t>65774826</t>
        </is>
      </c>
      <c r="D65" t="inlineStr">
        <is>
          <t>10000623</t>
        </is>
      </c>
      <c r="E65" t="inlineStr"/>
      <c r="F65" s="11" t="n">
        <v>112.88</v>
      </c>
      <c r="G65" t="inlineStr"/>
      <c r="I65" t="inlineStr">
        <is>
          <t>TN</t>
        </is>
      </c>
      <c r="J65" t="inlineStr"/>
      <c r="K65" t="inlineStr">
        <is>
          <t>20190426</t>
        </is>
      </c>
      <c r="L65" t="inlineStr">
        <is>
          <t>20250127</t>
        </is>
      </c>
    </row>
    <row r="66">
      <c r="A66" t="inlineStr">
        <is>
          <t>900000034</t>
        </is>
      </c>
      <c r="B66" t="inlineStr">
        <is>
          <t>D836</t>
        </is>
      </c>
      <c r="C66" t="inlineStr">
        <is>
          <t>65921764</t>
        </is>
      </c>
      <c r="D66" t="inlineStr">
        <is>
          <t>10000623</t>
        </is>
      </c>
      <c r="E66" t="inlineStr"/>
      <c r="F66" s="11" t="n">
        <v>119.3</v>
      </c>
      <c r="G66" t="inlineStr"/>
      <c r="I66" t="inlineStr">
        <is>
          <t>TN</t>
        </is>
      </c>
      <c r="J66" t="inlineStr"/>
      <c r="K66" t="inlineStr">
        <is>
          <t>20190426</t>
        </is>
      </c>
      <c r="L66" t="inlineStr">
        <is>
          <t>20250127</t>
        </is>
      </c>
    </row>
    <row r="67">
      <c r="A67" t="inlineStr">
        <is>
          <t>900000080</t>
        </is>
      </c>
      <c r="B67" t="inlineStr">
        <is>
          <t>D836</t>
        </is>
      </c>
      <c r="C67" t="inlineStr">
        <is>
          <t>65061685</t>
        </is>
      </c>
      <c r="D67" t="inlineStr">
        <is>
          <t>10003015</t>
        </is>
      </c>
      <c r="E67" t="inlineStr"/>
      <c r="F67" s="11" t="n">
        <v>71.3</v>
      </c>
      <c r="G67" t="inlineStr"/>
      <c r="I67" t="inlineStr">
        <is>
          <t>TN</t>
        </is>
      </c>
      <c r="J67" t="inlineStr"/>
      <c r="K67" t="inlineStr">
        <is>
          <t>20190426</t>
        </is>
      </c>
      <c r="L67" t="inlineStr">
        <is>
          <t>20250127</t>
        </is>
      </c>
    </row>
    <row r="68">
      <c r="A68" t="inlineStr">
        <is>
          <t>900000080</t>
        </is>
      </c>
      <c r="B68" t="inlineStr">
        <is>
          <t>D836</t>
        </is>
      </c>
      <c r="C68" t="inlineStr">
        <is>
          <t>65200522</t>
        </is>
      </c>
      <c r="D68" t="inlineStr">
        <is>
          <t>10000357</t>
        </is>
      </c>
      <c r="E68" t="inlineStr"/>
      <c r="F68" s="11" t="n">
        <v>90.28</v>
      </c>
      <c r="G68" t="inlineStr"/>
      <c r="I68" t="inlineStr">
        <is>
          <t>TN</t>
        </is>
      </c>
      <c r="J68" t="inlineStr"/>
      <c r="K68" t="inlineStr">
        <is>
          <t>20190426</t>
        </is>
      </c>
      <c r="L68" t="inlineStr">
        <is>
          <t>20250127</t>
        </is>
      </c>
    </row>
    <row r="69">
      <c r="A69" t="inlineStr">
        <is>
          <t>900000080</t>
        </is>
      </c>
      <c r="B69" t="inlineStr">
        <is>
          <t>D836</t>
        </is>
      </c>
      <c r="C69" t="inlineStr">
        <is>
          <t>65200522</t>
        </is>
      </c>
      <c r="D69" t="inlineStr">
        <is>
          <t>10000625</t>
        </is>
      </c>
      <c r="E69" t="inlineStr"/>
      <c r="F69" s="11" t="n">
        <v>64.94</v>
      </c>
      <c r="G69" t="inlineStr"/>
      <c r="I69" t="inlineStr">
        <is>
          <t>TN</t>
        </is>
      </c>
      <c r="J69" t="inlineStr"/>
      <c r="K69" t="inlineStr">
        <is>
          <t>20190426</t>
        </is>
      </c>
      <c r="L69" t="inlineStr">
        <is>
          <t>20250127</t>
        </is>
      </c>
    </row>
    <row r="70">
      <c r="A70" t="inlineStr">
        <is>
          <t>900000080</t>
        </is>
      </c>
      <c r="B70" t="inlineStr">
        <is>
          <t>D836</t>
        </is>
      </c>
      <c r="C70" t="inlineStr">
        <is>
          <t>65796882</t>
        </is>
      </c>
      <c r="D70" t="inlineStr">
        <is>
          <t>10000357</t>
        </is>
      </c>
      <c r="E70" t="inlineStr"/>
      <c r="F70" s="11" t="n">
        <v>93.29000000000001</v>
      </c>
      <c r="G70" t="inlineStr"/>
      <c r="I70" t="inlineStr">
        <is>
          <t>TN</t>
        </is>
      </c>
      <c r="J70" t="inlineStr"/>
      <c r="K70" t="inlineStr">
        <is>
          <t>20190426</t>
        </is>
      </c>
      <c r="L70" t="inlineStr">
        <is>
          <t>20250127</t>
        </is>
      </c>
    </row>
    <row r="71">
      <c r="A71" t="inlineStr">
        <is>
          <t>900000080</t>
        </is>
      </c>
      <c r="B71" t="inlineStr">
        <is>
          <t>D836</t>
        </is>
      </c>
      <c r="C71" t="inlineStr">
        <is>
          <t>65796882</t>
        </is>
      </c>
      <c r="D71" t="inlineStr">
        <is>
          <t>10000625</t>
        </is>
      </c>
      <c r="E71" t="inlineStr"/>
      <c r="F71" s="11" t="n">
        <v>62.78</v>
      </c>
      <c r="G71" t="inlineStr"/>
      <c r="I71" t="inlineStr">
        <is>
          <t>TN</t>
        </is>
      </c>
      <c r="J71" t="inlineStr"/>
      <c r="K71" t="inlineStr">
        <is>
          <t>20190426</t>
        </is>
      </c>
      <c r="L71" t="inlineStr">
        <is>
          <t>20250127</t>
        </is>
      </c>
    </row>
    <row r="72">
      <c r="A72" t="inlineStr">
        <is>
          <t>900000080</t>
        </is>
      </c>
      <c r="B72" t="inlineStr">
        <is>
          <t>D836</t>
        </is>
      </c>
      <c r="C72" t="inlineStr">
        <is>
          <t>65796882</t>
        </is>
      </c>
      <c r="D72" t="inlineStr">
        <is>
          <t>10000627</t>
        </is>
      </c>
      <c r="E72" t="inlineStr"/>
      <c r="F72" s="11" t="n">
        <v>75.06</v>
      </c>
      <c r="G72" t="inlineStr"/>
      <c r="I72" t="inlineStr">
        <is>
          <t>TN</t>
        </is>
      </c>
      <c r="J72" t="inlineStr"/>
      <c r="K72" t="inlineStr">
        <is>
          <t>20190426</t>
        </is>
      </c>
      <c r="L72" t="inlineStr">
        <is>
          <t>20250127</t>
        </is>
      </c>
    </row>
    <row r="73">
      <c r="A73" t="inlineStr">
        <is>
          <t>900000137</t>
        </is>
      </c>
      <c r="B73" t="inlineStr">
        <is>
          <t>D836</t>
        </is>
      </c>
      <c r="C73" t="inlineStr">
        <is>
          <t>65015153</t>
        </is>
      </c>
      <c r="D73" t="inlineStr">
        <is>
          <t>10000722</t>
        </is>
      </c>
      <c r="E73" t="inlineStr"/>
      <c r="F73" s="11" t="n">
        <v>95.08</v>
      </c>
      <c r="G73" t="inlineStr"/>
      <c r="I73" t="inlineStr">
        <is>
          <t>TN</t>
        </is>
      </c>
      <c r="J73" t="inlineStr"/>
      <c r="K73" t="inlineStr">
        <is>
          <t>20190426</t>
        </is>
      </c>
      <c r="L73" t="inlineStr">
        <is>
          <t>20250127</t>
        </is>
      </c>
    </row>
    <row r="74">
      <c r="A74" t="inlineStr">
        <is>
          <t>900000137</t>
        </is>
      </c>
      <c r="B74" t="inlineStr">
        <is>
          <t>D836</t>
        </is>
      </c>
      <c r="C74" t="inlineStr">
        <is>
          <t>65061685</t>
        </is>
      </c>
      <c r="D74" t="inlineStr">
        <is>
          <t>10000624</t>
        </is>
      </c>
      <c r="E74" t="inlineStr"/>
      <c r="F74" s="11" t="n">
        <v>127.35</v>
      </c>
      <c r="G74" t="inlineStr"/>
      <c r="I74" t="inlineStr">
        <is>
          <t>M3</t>
        </is>
      </c>
      <c r="J74" t="inlineStr"/>
      <c r="K74" t="inlineStr">
        <is>
          <t>20190426</t>
        </is>
      </c>
      <c r="L74" t="inlineStr">
        <is>
          <t>20250127</t>
        </is>
      </c>
    </row>
    <row r="75">
      <c r="A75" t="inlineStr">
        <is>
          <t>900000137</t>
        </is>
      </c>
      <c r="B75" t="inlineStr">
        <is>
          <t>D836</t>
        </is>
      </c>
      <c r="C75" t="inlineStr">
        <is>
          <t>65061685</t>
        </is>
      </c>
      <c r="D75" t="inlineStr">
        <is>
          <t>10000722</t>
        </is>
      </c>
      <c r="E75" t="inlineStr"/>
      <c r="F75" s="11" t="n">
        <v>125.58</v>
      </c>
      <c r="G75" t="inlineStr"/>
      <c r="I75" t="inlineStr">
        <is>
          <t>M3</t>
        </is>
      </c>
      <c r="J75" t="inlineStr"/>
      <c r="K75" t="inlineStr">
        <is>
          <t>20190426</t>
        </is>
      </c>
      <c r="L75" t="inlineStr">
        <is>
          <t>20250127</t>
        </is>
      </c>
    </row>
    <row r="76">
      <c r="A76" t="inlineStr">
        <is>
          <t>900000137</t>
        </is>
      </c>
      <c r="B76" t="inlineStr">
        <is>
          <t>D836</t>
        </is>
      </c>
      <c r="C76" t="inlineStr">
        <is>
          <t>65077509</t>
        </is>
      </c>
      <c r="D76" t="inlineStr">
        <is>
          <t>10000624</t>
        </is>
      </c>
      <c r="E76" t="inlineStr"/>
      <c r="F76" s="11" t="n">
        <v>99.03</v>
      </c>
      <c r="G76" t="inlineStr"/>
      <c r="I76" t="inlineStr">
        <is>
          <t>TN</t>
        </is>
      </c>
      <c r="J76" t="inlineStr"/>
      <c r="K76" t="inlineStr">
        <is>
          <t>20190426</t>
        </is>
      </c>
      <c r="L76" t="inlineStr">
        <is>
          <t>20250127</t>
        </is>
      </c>
    </row>
    <row r="77">
      <c r="A77" t="inlineStr">
        <is>
          <t>900000137</t>
        </is>
      </c>
      <c r="B77" t="inlineStr">
        <is>
          <t>D836</t>
        </is>
      </c>
      <c r="C77" t="inlineStr">
        <is>
          <t>65077509</t>
        </is>
      </c>
      <c r="D77" t="inlineStr">
        <is>
          <t>10000722</t>
        </is>
      </c>
      <c r="E77" t="inlineStr"/>
      <c r="F77" s="11" t="n">
        <v>107.28</v>
      </c>
      <c r="G77" t="inlineStr"/>
      <c r="I77" t="inlineStr">
        <is>
          <t>TN</t>
        </is>
      </c>
      <c r="J77" t="inlineStr"/>
      <c r="K77" t="inlineStr">
        <is>
          <t>20190426</t>
        </is>
      </c>
      <c r="L77" t="inlineStr">
        <is>
          <t>20250127</t>
        </is>
      </c>
    </row>
    <row r="78">
      <c r="A78" t="inlineStr">
        <is>
          <t>900000137</t>
        </is>
      </c>
      <c r="B78" t="inlineStr">
        <is>
          <t>D836</t>
        </is>
      </c>
      <c r="C78" t="inlineStr">
        <is>
          <t>65077518</t>
        </is>
      </c>
      <c r="D78" t="inlineStr">
        <is>
          <t>10000624</t>
        </is>
      </c>
      <c r="E78" t="inlineStr"/>
      <c r="F78" s="11" t="n">
        <v>99.03</v>
      </c>
      <c r="G78" t="inlineStr"/>
      <c r="I78" t="inlineStr">
        <is>
          <t>TN</t>
        </is>
      </c>
      <c r="J78" t="inlineStr"/>
      <c r="K78" t="inlineStr">
        <is>
          <t>20190426</t>
        </is>
      </c>
      <c r="L78" t="inlineStr">
        <is>
          <t>20250127</t>
        </is>
      </c>
    </row>
    <row r="79">
      <c r="A79" t="inlineStr">
        <is>
          <t>900000137</t>
        </is>
      </c>
      <c r="B79" t="inlineStr">
        <is>
          <t>D836</t>
        </is>
      </c>
      <c r="C79" t="inlineStr">
        <is>
          <t>65077518</t>
        </is>
      </c>
      <c r="D79" t="inlineStr">
        <is>
          <t>10000722</t>
        </is>
      </c>
      <c r="E79" t="inlineStr"/>
      <c r="F79" s="11" t="n">
        <v>107.28</v>
      </c>
      <c r="G79" t="inlineStr"/>
      <c r="I79" t="inlineStr">
        <is>
          <t>TN</t>
        </is>
      </c>
      <c r="J79" t="inlineStr"/>
      <c r="K79" t="inlineStr">
        <is>
          <t>20190426</t>
        </is>
      </c>
      <c r="L79" t="inlineStr">
        <is>
          <t>20250127</t>
        </is>
      </c>
    </row>
    <row r="80">
      <c r="A80" t="inlineStr">
        <is>
          <t>900000137</t>
        </is>
      </c>
      <c r="B80" t="inlineStr">
        <is>
          <t>D836</t>
        </is>
      </c>
      <c r="C80" t="inlineStr">
        <is>
          <t>65077582</t>
        </is>
      </c>
      <c r="D80" t="inlineStr">
        <is>
          <t>10000624</t>
        </is>
      </c>
      <c r="E80" t="inlineStr"/>
      <c r="F80" s="11" t="n">
        <v>99.03</v>
      </c>
      <c r="G80" t="inlineStr"/>
      <c r="I80" t="inlineStr">
        <is>
          <t>TN</t>
        </is>
      </c>
      <c r="J80" t="inlineStr"/>
      <c r="K80" t="inlineStr">
        <is>
          <t>20190426</t>
        </is>
      </c>
      <c r="L80" t="inlineStr">
        <is>
          <t>20250127</t>
        </is>
      </c>
    </row>
    <row r="81">
      <c r="A81" t="inlineStr">
        <is>
          <t>900000137</t>
        </is>
      </c>
      <c r="B81" t="inlineStr">
        <is>
          <t>D836</t>
        </is>
      </c>
      <c r="C81" t="inlineStr">
        <is>
          <t>65077582</t>
        </is>
      </c>
      <c r="D81" t="inlineStr">
        <is>
          <t>10000722</t>
        </is>
      </c>
      <c r="E81" t="inlineStr"/>
      <c r="F81" s="11" t="n">
        <v>107.28</v>
      </c>
      <c r="G81" t="inlineStr"/>
      <c r="I81" t="inlineStr">
        <is>
          <t>TN</t>
        </is>
      </c>
      <c r="J81" t="inlineStr"/>
      <c r="K81" t="inlineStr">
        <is>
          <t>20190426</t>
        </is>
      </c>
      <c r="L81" t="inlineStr">
        <is>
          <t>20250127</t>
        </is>
      </c>
    </row>
    <row r="82">
      <c r="A82" t="inlineStr">
        <is>
          <t>900000137</t>
        </is>
      </c>
      <c r="B82" t="inlineStr">
        <is>
          <t>D836</t>
        </is>
      </c>
      <c r="C82" t="inlineStr">
        <is>
          <t>65081426</t>
        </is>
      </c>
      <c r="D82" t="inlineStr">
        <is>
          <t>10000630</t>
        </is>
      </c>
      <c r="E82" t="inlineStr"/>
      <c r="F82" s="11" t="n">
        <v>101.66</v>
      </c>
      <c r="G82" t="inlineStr"/>
      <c r="I82" t="inlineStr">
        <is>
          <t>TN</t>
        </is>
      </c>
      <c r="J82" t="inlineStr"/>
      <c r="K82" t="inlineStr">
        <is>
          <t>20190426</t>
        </is>
      </c>
      <c r="L82" t="inlineStr">
        <is>
          <t>20250127</t>
        </is>
      </c>
    </row>
    <row r="83">
      <c r="A83" t="inlineStr">
        <is>
          <t>900000137</t>
        </is>
      </c>
      <c r="B83" t="inlineStr">
        <is>
          <t>D836</t>
        </is>
      </c>
      <c r="C83" t="inlineStr">
        <is>
          <t>65084091</t>
        </is>
      </c>
      <c r="D83" t="inlineStr">
        <is>
          <t>10000630</t>
        </is>
      </c>
      <c r="E83" t="inlineStr"/>
      <c r="F83" s="11" t="n">
        <v>104.05</v>
      </c>
      <c r="G83" t="inlineStr"/>
      <c r="I83" t="inlineStr">
        <is>
          <t>TN</t>
        </is>
      </c>
      <c r="J83" t="inlineStr"/>
      <c r="K83" t="inlineStr">
        <is>
          <t>20190426</t>
        </is>
      </c>
      <c r="L83" t="inlineStr">
        <is>
          <t>20250127</t>
        </is>
      </c>
    </row>
    <row r="84">
      <c r="A84" t="inlineStr">
        <is>
          <t>900000137</t>
        </is>
      </c>
      <c r="B84" t="inlineStr">
        <is>
          <t>D836</t>
        </is>
      </c>
      <c r="C84" t="inlineStr">
        <is>
          <t>65084190</t>
        </is>
      </c>
      <c r="D84" t="inlineStr">
        <is>
          <t>10000811</t>
        </is>
      </c>
      <c r="E84" t="inlineStr"/>
      <c r="F84" s="11" t="n">
        <v>107.64</v>
      </c>
      <c r="G84" t="inlineStr"/>
      <c r="I84" t="inlineStr">
        <is>
          <t>TN</t>
        </is>
      </c>
      <c r="J84" t="inlineStr"/>
      <c r="K84" t="inlineStr">
        <is>
          <t>20190426</t>
        </is>
      </c>
      <c r="L84" t="inlineStr">
        <is>
          <t>20250127</t>
        </is>
      </c>
    </row>
    <row r="85">
      <c r="A85" t="inlineStr">
        <is>
          <t>900000137</t>
        </is>
      </c>
      <c r="B85" t="inlineStr">
        <is>
          <t>D836</t>
        </is>
      </c>
      <c r="C85" t="inlineStr">
        <is>
          <t>65087219</t>
        </is>
      </c>
      <c r="D85" t="inlineStr">
        <is>
          <t>10000630</t>
        </is>
      </c>
      <c r="E85" t="inlineStr"/>
      <c r="F85" s="11" t="n">
        <v>101.66</v>
      </c>
      <c r="G85" t="inlineStr"/>
      <c r="I85" t="inlineStr">
        <is>
          <t>TN</t>
        </is>
      </c>
      <c r="J85" t="inlineStr"/>
      <c r="K85" t="inlineStr">
        <is>
          <t>20190426</t>
        </is>
      </c>
      <c r="L85" t="inlineStr">
        <is>
          <t>20250127</t>
        </is>
      </c>
    </row>
    <row r="86">
      <c r="A86" t="inlineStr">
        <is>
          <t>900000137</t>
        </is>
      </c>
      <c r="B86" t="inlineStr">
        <is>
          <t>D836</t>
        </is>
      </c>
      <c r="C86" t="inlineStr">
        <is>
          <t>65134617</t>
        </is>
      </c>
      <c r="D86" t="inlineStr">
        <is>
          <t>10000630</t>
        </is>
      </c>
      <c r="E86" t="inlineStr"/>
      <c r="F86" s="11" t="n">
        <v>101.66</v>
      </c>
      <c r="G86" t="inlineStr"/>
      <c r="I86" t="inlineStr">
        <is>
          <t>TN</t>
        </is>
      </c>
      <c r="J86" t="inlineStr"/>
      <c r="K86" t="inlineStr">
        <is>
          <t>20190426</t>
        </is>
      </c>
      <c r="L86" t="inlineStr">
        <is>
          <t>20250127</t>
        </is>
      </c>
    </row>
    <row r="87">
      <c r="A87" t="inlineStr">
        <is>
          <t>900000137</t>
        </is>
      </c>
      <c r="B87" t="inlineStr">
        <is>
          <t>D836</t>
        </is>
      </c>
      <c r="C87" t="inlineStr">
        <is>
          <t>65210427</t>
        </is>
      </c>
      <c r="D87" t="inlineStr">
        <is>
          <t>10000624</t>
        </is>
      </c>
      <c r="E87" t="inlineStr"/>
      <c r="F87" s="11" t="n">
        <v>86.11</v>
      </c>
      <c r="G87" t="inlineStr"/>
      <c r="I87" t="inlineStr">
        <is>
          <t>TN</t>
        </is>
      </c>
      <c r="J87" t="inlineStr"/>
      <c r="K87" t="inlineStr">
        <is>
          <t>20190426</t>
        </is>
      </c>
      <c r="L87" t="inlineStr">
        <is>
          <t>20250127</t>
        </is>
      </c>
    </row>
    <row r="88">
      <c r="A88" t="inlineStr">
        <is>
          <t>900000137</t>
        </is>
      </c>
      <c r="B88" t="inlineStr">
        <is>
          <t>D836</t>
        </is>
      </c>
      <c r="C88" t="inlineStr">
        <is>
          <t>65210427</t>
        </is>
      </c>
      <c r="D88" t="inlineStr">
        <is>
          <t>10000722</t>
        </is>
      </c>
      <c r="E88" t="inlineStr"/>
      <c r="F88" s="11" t="n">
        <v>93.29000000000001</v>
      </c>
      <c r="G88" t="inlineStr"/>
      <c r="I88" t="inlineStr">
        <is>
          <t>TN</t>
        </is>
      </c>
      <c r="J88" t="inlineStr"/>
      <c r="K88" t="inlineStr">
        <is>
          <t>20190426</t>
        </is>
      </c>
      <c r="L88" t="inlineStr">
        <is>
          <t>20250127</t>
        </is>
      </c>
    </row>
    <row r="89">
      <c r="A89" t="inlineStr">
        <is>
          <t>900000137</t>
        </is>
      </c>
      <c r="B89" t="inlineStr">
        <is>
          <t>D836</t>
        </is>
      </c>
      <c r="C89" t="inlineStr">
        <is>
          <t>65221521</t>
        </is>
      </c>
      <c r="D89" t="inlineStr">
        <is>
          <t>10000811</t>
        </is>
      </c>
      <c r="E89" t="inlineStr"/>
      <c r="F89" s="11" t="n">
        <v>87.2</v>
      </c>
      <c r="G89" t="inlineStr"/>
      <c r="I89" t="inlineStr">
        <is>
          <t>TN</t>
        </is>
      </c>
      <c r="J89" t="inlineStr"/>
      <c r="K89" t="inlineStr">
        <is>
          <t>20190426</t>
        </is>
      </c>
      <c r="L89" t="inlineStr">
        <is>
          <t>20250127</t>
        </is>
      </c>
    </row>
    <row r="90">
      <c r="A90" t="inlineStr">
        <is>
          <t>900000137</t>
        </is>
      </c>
      <c r="B90" t="inlineStr">
        <is>
          <t>D836</t>
        </is>
      </c>
      <c r="C90" t="inlineStr">
        <is>
          <t>65246763</t>
        </is>
      </c>
      <c r="D90" t="inlineStr">
        <is>
          <t>10000624</t>
        </is>
      </c>
      <c r="E90" t="inlineStr"/>
      <c r="F90" s="11" t="n">
        <v>129.17</v>
      </c>
      <c r="G90" t="inlineStr"/>
      <c r="I90" t="inlineStr">
        <is>
          <t>M3</t>
        </is>
      </c>
      <c r="J90" t="inlineStr"/>
      <c r="K90" t="inlineStr">
        <is>
          <t>20190426</t>
        </is>
      </c>
      <c r="L90" t="inlineStr">
        <is>
          <t>20250127</t>
        </is>
      </c>
    </row>
    <row r="91">
      <c r="A91" t="inlineStr">
        <is>
          <t>900000137</t>
        </is>
      </c>
      <c r="B91" t="inlineStr">
        <is>
          <t>D836</t>
        </is>
      </c>
      <c r="C91" t="inlineStr">
        <is>
          <t>65246763</t>
        </is>
      </c>
      <c r="D91" t="inlineStr">
        <is>
          <t>10000722</t>
        </is>
      </c>
      <c r="E91" t="inlineStr"/>
      <c r="F91" s="11" t="n">
        <v>129.17</v>
      </c>
      <c r="G91" t="inlineStr"/>
      <c r="I91" t="inlineStr">
        <is>
          <t>M3</t>
        </is>
      </c>
      <c r="J91" t="inlineStr"/>
      <c r="K91" t="inlineStr">
        <is>
          <t>20190426</t>
        </is>
      </c>
      <c r="L91" t="inlineStr">
        <is>
          <t>20250127</t>
        </is>
      </c>
    </row>
    <row r="92">
      <c r="A92" t="inlineStr">
        <is>
          <t>900000137</t>
        </is>
      </c>
      <c r="B92" t="inlineStr">
        <is>
          <t>D836</t>
        </is>
      </c>
      <c r="C92" t="inlineStr">
        <is>
          <t>65251399</t>
        </is>
      </c>
      <c r="D92" t="inlineStr">
        <is>
          <t>10000624</t>
        </is>
      </c>
      <c r="E92" t="inlineStr"/>
      <c r="F92" s="11" t="n">
        <v>127.37</v>
      </c>
      <c r="G92" t="inlineStr"/>
      <c r="I92" t="inlineStr">
        <is>
          <t>M3</t>
        </is>
      </c>
      <c r="J92" t="inlineStr"/>
      <c r="K92" t="inlineStr">
        <is>
          <t>20190426</t>
        </is>
      </c>
      <c r="L92" t="inlineStr">
        <is>
          <t>20250127</t>
        </is>
      </c>
    </row>
    <row r="93">
      <c r="A93" t="inlineStr">
        <is>
          <t>900000137</t>
        </is>
      </c>
      <c r="B93" t="inlineStr">
        <is>
          <t>D836</t>
        </is>
      </c>
      <c r="C93" t="inlineStr">
        <is>
          <t>65251399</t>
        </is>
      </c>
      <c r="D93" t="inlineStr">
        <is>
          <t>10000722</t>
        </is>
      </c>
      <c r="E93" t="inlineStr"/>
      <c r="F93" s="11" t="n">
        <v>95.68000000000001</v>
      </c>
      <c r="G93" t="inlineStr"/>
      <c r="I93" t="inlineStr">
        <is>
          <t>TN</t>
        </is>
      </c>
      <c r="J93" t="inlineStr"/>
      <c r="K93" t="inlineStr">
        <is>
          <t>20190426</t>
        </is>
      </c>
      <c r="L93" t="inlineStr">
        <is>
          <t>20250127</t>
        </is>
      </c>
    </row>
    <row r="94">
      <c r="A94" t="inlineStr">
        <is>
          <t>900000137</t>
        </is>
      </c>
      <c r="B94" t="inlineStr">
        <is>
          <t>D836</t>
        </is>
      </c>
      <c r="C94" t="inlineStr">
        <is>
          <t>65296485</t>
        </is>
      </c>
      <c r="D94" t="inlineStr">
        <is>
          <t>10000722</t>
        </is>
      </c>
      <c r="E94" t="inlineStr"/>
      <c r="F94" s="11" t="n">
        <v>95.68000000000001</v>
      </c>
      <c r="G94" t="inlineStr"/>
      <c r="I94" t="inlineStr">
        <is>
          <t>TN</t>
        </is>
      </c>
      <c r="J94" t="inlineStr"/>
      <c r="K94" t="inlineStr">
        <is>
          <t>20190426</t>
        </is>
      </c>
      <c r="L94" t="inlineStr">
        <is>
          <t>20250127</t>
        </is>
      </c>
    </row>
    <row r="95">
      <c r="A95" t="inlineStr">
        <is>
          <t>900000137</t>
        </is>
      </c>
      <c r="B95" t="inlineStr">
        <is>
          <t>D836</t>
        </is>
      </c>
      <c r="C95" t="inlineStr">
        <is>
          <t>65370785</t>
        </is>
      </c>
      <c r="D95" t="inlineStr">
        <is>
          <t>10000722</t>
        </is>
      </c>
      <c r="E95" t="inlineStr"/>
      <c r="F95" s="11" t="n">
        <v>129.17</v>
      </c>
      <c r="G95" t="inlineStr"/>
      <c r="I95" t="inlineStr">
        <is>
          <t>M3</t>
        </is>
      </c>
      <c r="J95" t="inlineStr"/>
      <c r="K95" t="inlineStr">
        <is>
          <t>20190426</t>
        </is>
      </c>
      <c r="L95" t="inlineStr">
        <is>
          <t>20250127</t>
        </is>
      </c>
    </row>
    <row r="96">
      <c r="A96" t="inlineStr">
        <is>
          <t>900000137</t>
        </is>
      </c>
      <c r="B96" t="inlineStr">
        <is>
          <t>D836</t>
        </is>
      </c>
      <c r="C96" t="inlineStr">
        <is>
          <t>65442270</t>
        </is>
      </c>
      <c r="D96" t="inlineStr">
        <is>
          <t>10000624</t>
        </is>
      </c>
      <c r="E96" t="inlineStr"/>
      <c r="F96" s="11" t="n">
        <v>129.17</v>
      </c>
      <c r="G96" t="inlineStr"/>
      <c r="I96" t="inlineStr">
        <is>
          <t>M3</t>
        </is>
      </c>
      <c r="J96" t="inlineStr"/>
      <c r="K96" t="inlineStr">
        <is>
          <t>20190426</t>
        </is>
      </c>
      <c r="L96" t="inlineStr">
        <is>
          <t>20250127</t>
        </is>
      </c>
    </row>
    <row r="97">
      <c r="A97" t="inlineStr">
        <is>
          <t>900000137</t>
        </is>
      </c>
      <c r="B97" t="inlineStr">
        <is>
          <t>D836</t>
        </is>
      </c>
      <c r="C97" t="inlineStr">
        <is>
          <t>65442270</t>
        </is>
      </c>
      <c r="D97" t="inlineStr">
        <is>
          <t>10000722</t>
        </is>
      </c>
      <c r="E97" t="inlineStr"/>
      <c r="F97" s="11" t="n">
        <v>129.17</v>
      </c>
      <c r="G97" t="inlineStr"/>
      <c r="I97" t="inlineStr">
        <is>
          <t>M3</t>
        </is>
      </c>
      <c r="J97" t="inlineStr"/>
      <c r="K97" t="inlineStr">
        <is>
          <t>20190426</t>
        </is>
      </c>
      <c r="L97" t="inlineStr">
        <is>
          <t>20250127</t>
        </is>
      </c>
    </row>
    <row r="98">
      <c r="A98" t="inlineStr">
        <is>
          <t>900000137</t>
        </is>
      </c>
      <c r="B98" t="inlineStr">
        <is>
          <t>D836</t>
        </is>
      </c>
      <c r="C98" t="inlineStr">
        <is>
          <t>65570346</t>
        </is>
      </c>
      <c r="D98" t="inlineStr">
        <is>
          <t>10000624</t>
        </is>
      </c>
      <c r="E98" t="inlineStr"/>
      <c r="F98" s="11" t="n">
        <v>127.35</v>
      </c>
      <c r="G98" t="inlineStr"/>
      <c r="I98" t="inlineStr">
        <is>
          <t>M3</t>
        </is>
      </c>
      <c r="J98" t="inlineStr"/>
      <c r="K98" t="inlineStr">
        <is>
          <t>20190426</t>
        </is>
      </c>
      <c r="L98" t="inlineStr">
        <is>
          <t>20250127</t>
        </is>
      </c>
    </row>
    <row r="99">
      <c r="A99" t="inlineStr">
        <is>
          <t>900000137</t>
        </is>
      </c>
      <c r="B99" t="inlineStr">
        <is>
          <t>D836</t>
        </is>
      </c>
      <c r="C99" t="inlineStr">
        <is>
          <t>65570346</t>
        </is>
      </c>
      <c r="D99" t="inlineStr">
        <is>
          <t>10000722</t>
        </is>
      </c>
      <c r="E99" t="inlineStr"/>
      <c r="F99" s="11" t="n">
        <v>125.58</v>
      </c>
      <c r="G99" t="inlineStr"/>
      <c r="I99" t="inlineStr">
        <is>
          <t>M3</t>
        </is>
      </c>
      <c r="J99" t="inlineStr"/>
      <c r="K99" t="inlineStr">
        <is>
          <t>20190426</t>
        </is>
      </c>
      <c r="L99" t="inlineStr">
        <is>
          <t>20250127</t>
        </is>
      </c>
    </row>
    <row r="100">
      <c r="A100" t="inlineStr">
        <is>
          <t>900000154</t>
        </is>
      </c>
      <c r="B100" t="inlineStr">
        <is>
          <t>D836</t>
        </is>
      </c>
      <c r="C100" t="inlineStr">
        <is>
          <t>65002173</t>
        </is>
      </c>
      <c r="D100" t="inlineStr">
        <is>
          <t>10000160</t>
        </is>
      </c>
      <c r="E100" t="inlineStr"/>
      <c r="F100" s="11" t="n">
        <v>50.95</v>
      </c>
      <c r="G100" t="inlineStr"/>
      <c r="I100" t="inlineStr">
        <is>
          <t>TN</t>
        </is>
      </c>
      <c r="J100" t="inlineStr"/>
      <c r="K100" t="inlineStr">
        <is>
          <t>20190426</t>
        </is>
      </c>
      <c r="L100" t="inlineStr">
        <is>
          <t>20250127</t>
        </is>
      </c>
    </row>
    <row r="101">
      <c r="A101" t="inlineStr">
        <is>
          <t>900000154</t>
        </is>
      </c>
      <c r="B101" t="inlineStr">
        <is>
          <t>D836</t>
        </is>
      </c>
      <c r="C101" t="inlineStr">
        <is>
          <t>65002173</t>
        </is>
      </c>
      <c r="D101" t="inlineStr">
        <is>
          <t>10000357</t>
        </is>
      </c>
      <c r="E101" t="inlineStr"/>
      <c r="F101" s="11" t="n">
        <v>54.57</v>
      </c>
      <c r="G101" t="inlineStr"/>
      <c r="I101" t="inlineStr">
        <is>
          <t>TN</t>
        </is>
      </c>
      <c r="J101" t="inlineStr"/>
      <c r="K101" t="inlineStr">
        <is>
          <t>20190426</t>
        </is>
      </c>
      <c r="L101" t="inlineStr">
        <is>
          <t>20250127</t>
        </is>
      </c>
    </row>
    <row r="102">
      <c r="A102" t="inlineStr">
        <is>
          <t>900000295</t>
        </is>
      </c>
      <c r="B102" t="inlineStr">
        <is>
          <t>D836</t>
        </is>
      </c>
      <c r="C102" t="inlineStr">
        <is>
          <t>65006122</t>
        </is>
      </c>
      <c r="D102" t="inlineStr">
        <is>
          <t>10000357</t>
        </is>
      </c>
      <c r="E102" t="inlineStr"/>
      <c r="F102" s="11" t="n">
        <v>86.11</v>
      </c>
      <c r="G102" t="inlineStr"/>
      <c r="I102" t="inlineStr">
        <is>
          <t>M3</t>
        </is>
      </c>
      <c r="J102" t="inlineStr"/>
      <c r="K102" t="inlineStr">
        <is>
          <t>20190426</t>
        </is>
      </c>
      <c r="L102" t="inlineStr">
        <is>
          <t>20250127</t>
        </is>
      </c>
    </row>
    <row r="103">
      <c r="A103" t="inlineStr">
        <is>
          <t>900000295</t>
        </is>
      </c>
      <c r="B103" t="inlineStr">
        <is>
          <t>D836</t>
        </is>
      </c>
      <c r="C103" t="inlineStr">
        <is>
          <t>65011573</t>
        </is>
      </c>
      <c r="D103" t="inlineStr">
        <is>
          <t>10000252</t>
        </is>
      </c>
      <c r="E103" t="inlineStr"/>
      <c r="F103" s="11" t="n">
        <v>71.37</v>
      </c>
      <c r="G103" t="inlineStr"/>
      <c r="I103" t="inlineStr">
        <is>
          <t>TN</t>
        </is>
      </c>
      <c r="J103" t="inlineStr"/>
      <c r="K103" t="inlineStr">
        <is>
          <t>20190426</t>
        </is>
      </c>
      <c r="L103" t="inlineStr">
        <is>
          <t>20250127</t>
        </is>
      </c>
    </row>
    <row r="104">
      <c r="A104" t="inlineStr">
        <is>
          <t>900000295</t>
        </is>
      </c>
      <c r="B104" t="inlineStr">
        <is>
          <t>D836</t>
        </is>
      </c>
      <c r="C104" t="inlineStr">
        <is>
          <t>65916616</t>
        </is>
      </c>
      <c r="D104" t="inlineStr">
        <is>
          <t>10000160</t>
        </is>
      </c>
      <c r="E104" t="inlineStr"/>
      <c r="F104" s="11" t="n">
        <v>79.23999999999999</v>
      </c>
      <c r="G104" t="inlineStr"/>
      <c r="I104" t="inlineStr">
        <is>
          <t>M3</t>
        </is>
      </c>
      <c r="J104" t="inlineStr"/>
      <c r="K104" t="inlineStr">
        <is>
          <t>20190426</t>
        </is>
      </c>
      <c r="L104" t="inlineStr">
        <is>
          <t>20250127</t>
        </is>
      </c>
    </row>
    <row r="105">
      <c r="A105" t="inlineStr">
        <is>
          <t>900001001</t>
        </is>
      </c>
      <c r="B105" t="inlineStr">
        <is>
          <t>D836</t>
        </is>
      </c>
      <c r="C105" t="inlineStr">
        <is>
          <t>65003945</t>
        </is>
      </c>
      <c r="D105" t="inlineStr">
        <is>
          <t>10000160</t>
        </is>
      </c>
      <c r="E105" t="inlineStr"/>
      <c r="F105" s="11" t="n">
        <v>45.32</v>
      </c>
      <c r="G105" t="inlineStr"/>
      <c r="I105" t="inlineStr">
        <is>
          <t>TN</t>
        </is>
      </c>
      <c r="J105" t="inlineStr"/>
      <c r="K105" t="inlineStr">
        <is>
          <t>20190426</t>
        </is>
      </c>
      <c r="L105" t="inlineStr">
        <is>
          <t>20250127</t>
        </is>
      </c>
    </row>
    <row r="106">
      <c r="A106" t="inlineStr">
        <is>
          <t>900001001</t>
        </is>
      </c>
      <c r="B106" t="inlineStr">
        <is>
          <t>D836</t>
        </is>
      </c>
      <c r="C106" t="inlineStr">
        <is>
          <t>65003945</t>
        </is>
      </c>
      <c r="D106" t="inlineStr">
        <is>
          <t>10000253</t>
        </is>
      </c>
      <c r="E106" t="inlineStr"/>
      <c r="F106" s="11" t="n">
        <v>44.46</v>
      </c>
      <c r="G106" t="inlineStr"/>
      <c r="I106" t="inlineStr">
        <is>
          <t>TN</t>
        </is>
      </c>
      <c r="J106" t="inlineStr"/>
      <c r="K106" t="inlineStr">
        <is>
          <t>20190426</t>
        </is>
      </c>
      <c r="L106" t="inlineStr">
        <is>
          <t>20250127</t>
        </is>
      </c>
    </row>
    <row r="107">
      <c r="A107" t="inlineStr">
        <is>
          <t>900001069</t>
        </is>
      </c>
      <c r="B107" t="inlineStr">
        <is>
          <t>D836</t>
        </is>
      </c>
      <c r="C107" t="inlineStr">
        <is>
          <t>66203478</t>
        </is>
      </c>
      <c r="D107" t="inlineStr">
        <is>
          <t>10000229</t>
        </is>
      </c>
      <c r="E107" t="inlineStr"/>
      <c r="F107" s="11" t="n">
        <v>392</v>
      </c>
      <c r="G107" t="inlineStr"/>
      <c r="I107" t="inlineStr">
        <is>
          <t>M3</t>
        </is>
      </c>
      <c r="J107" t="inlineStr"/>
      <c r="K107" t="inlineStr">
        <is>
          <t>20190426</t>
        </is>
      </c>
      <c r="L107" t="inlineStr">
        <is>
          <t>20250127</t>
        </is>
      </c>
    </row>
    <row r="108">
      <c r="A108" t="inlineStr">
        <is>
          <t>900001069</t>
        </is>
      </c>
      <c r="B108" t="inlineStr">
        <is>
          <t>D836</t>
        </is>
      </c>
      <c r="C108" t="inlineStr">
        <is>
          <t>66397958</t>
        </is>
      </c>
      <c r="D108" t="inlineStr">
        <is>
          <t>10000229</t>
        </is>
      </c>
      <c r="E108" t="inlineStr"/>
      <c r="F108" s="11" t="n">
        <v>610.37</v>
      </c>
      <c r="G108" t="inlineStr"/>
      <c r="I108" t="inlineStr">
        <is>
          <t>M3</t>
        </is>
      </c>
      <c r="J108" t="inlineStr"/>
      <c r="K108" t="inlineStr">
        <is>
          <t>20190426</t>
        </is>
      </c>
      <c r="L108" t="inlineStr">
        <is>
          <t>20250127</t>
        </is>
      </c>
    </row>
    <row r="109">
      <c r="A109" t="inlineStr">
        <is>
          <t>900001069</t>
        </is>
      </c>
      <c r="B109" t="inlineStr">
        <is>
          <t>D836</t>
        </is>
      </c>
      <c r="C109" t="inlineStr">
        <is>
          <t>66865536</t>
        </is>
      </c>
      <c r="D109" t="inlineStr">
        <is>
          <t>10159061</t>
        </is>
      </c>
      <c r="E109" t="inlineStr"/>
      <c r="F109" s="11" t="n">
        <v>325</v>
      </c>
      <c r="G109" t="inlineStr"/>
      <c r="I109" t="inlineStr">
        <is>
          <t>M3</t>
        </is>
      </c>
      <c r="J109" t="inlineStr"/>
      <c r="K109" t="inlineStr">
        <is>
          <t>20190426</t>
        </is>
      </c>
      <c r="L109" t="inlineStr">
        <is>
          <t>20250127</t>
        </is>
      </c>
    </row>
    <row r="110">
      <c r="A110" t="inlineStr">
        <is>
          <t>900001069</t>
        </is>
      </c>
      <c r="B110" t="inlineStr">
        <is>
          <t>D836</t>
        </is>
      </c>
      <c r="C110" t="inlineStr">
        <is>
          <t>66865536</t>
        </is>
      </c>
      <c r="D110" t="inlineStr">
        <is>
          <t>10183535</t>
        </is>
      </c>
      <c r="E110" t="inlineStr"/>
      <c r="F110" s="11" t="n">
        <v>225</v>
      </c>
      <c r="G110" t="inlineStr"/>
      <c r="I110" t="inlineStr">
        <is>
          <t>M3</t>
        </is>
      </c>
      <c r="J110" t="inlineStr"/>
      <c r="K110" t="inlineStr">
        <is>
          <t>20190426</t>
        </is>
      </c>
      <c r="L110" t="inlineStr">
        <is>
          <t>20250127</t>
        </is>
      </c>
    </row>
    <row r="111">
      <c r="A111" t="inlineStr">
        <is>
          <t>900001074</t>
        </is>
      </c>
      <c r="B111" t="inlineStr">
        <is>
          <t>D836</t>
        </is>
      </c>
      <c r="C111" t="inlineStr">
        <is>
          <t>65002459</t>
        </is>
      </c>
      <c r="D111" t="inlineStr">
        <is>
          <t>10000160</t>
        </is>
      </c>
      <c r="E111" t="inlineStr"/>
      <c r="F111" s="11" t="n">
        <v>87</v>
      </c>
      <c r="G111" t="inlineStr"/>
      <c r="I111" t="inlineStr">
        <is>
          <t>M3</t>
        </is>
      </c>
      <c r="J111" t="inlineStr"/>
      <c r="K111" t="inlineStr">
        <is>
          <t>20190426</t>
        </is>
      </c>
      <c r="L111" t="inlineStr">
        <is>
          <t>20250127</t>
        </is>
      </c>
    </row>
    <row r="112">
      <c r="A112" t="inlineStr">
        <is>
          <t>900001074</t>
        </is>
      </c>
      <c r="B112" t="inlineStr">
        <is>
          <t>D836</t>
        </is>
      </c>
      <c r="C112" t="inlineStr">
        <is>
          <t>65002459</t>
        </is>
      </c>
      <c r="D112" t="inlineStr">
        <is>
          <t>10000357</t>
        </is>
      </c>
      <c r="E112" t="inlineStr"/>
      <c r="F112" s="11" t="n">
        <v>95</v>
      </c>
      <c r="G112" t="inlineStr"/>
      <c r="I112" t="inlineStr">
        <is>
          <t>M3</t>
        </is>
      </c>
      <c r="J112" t="inlineStr"/>
      <c r="K112" t="inlineStr">
        <is>
          <t>20190426</t>
        </is>
      </c>
      <c r="L112" t="inlineStr">
        <is>
          <t>20250127</t>
        </is>
      </c>
    </row>
    <row r="113">
      <c r="A113" t="inlineStr">
        <is>
          <t>900001074</t>
        </is>
      </c>
      <c r="B113" t="inlineStr">
        <is>
          <t>D836</t>
        </is>
      </c>
      <c r="C113" t="inlineStr">
        <is>
          <t>65002622</t>
        </is>
      </c>
      <c r="D113" t="inlineStr">
        <is>
          <t>10000160</t>
        </is>
      </c>
      <c r="E113" t="inlineStr"/>
      <c r="F113" s="11" t="n">
        <v>89.7</v>
      </c>
      <c r="G113" t="inlineStr"/>
      <c r="I113" t="inlineStr">
        <is>
          <t>M3</t>
        </is>
      </c>
      <c r="J113" t="inlineStr"/>
      <c r="K113" t="inlineStr">
        <is>
          <t>20190426</t>
        </is>
      </c>
      <c r="L113" t="inlineStr">
        <is>
          <t>20250127</t>
        </is>
      </c>
    </row>
    <row r="114">
      <c r="A114" t="inlineStr">
        <is>
          <t>900001074</t>
        </is>
      </c>
      <c r="B114" t="inlineStr">
        <is>
          <t>D836</t>
        </is>
      </c>
      <c r="C114" t="inlineStr">
        <is>
          <t>65003945</t>
        </is>
      </c>
      <c r="D114" t="inlineStr">
        <is>
          <t>10000627</t>
        </is>
      </c>
      <c r="E114" t="inlineStr"/>
      <c r="F114" s="11" t="n">
        <v>92</v>
      </c>
      <c r="G114" t="inlineStr"/>
      <c r="I114" t="inlineStr">
        <is>
          <t>M3</t>
        </is>
      </c>
      <c r="J114" t="inlineStr"/>
      <c r="K114" t="inlineStr">
        <is>
          <t>20190426</t>
        </is>
      </c>
      <c r="L114" t="inlineStr">
        <is>
          <t>20250127</t>
        </is>
      </c>
    </row>
    <row r="115">
      <c r="A115" t="inlineStr">
        <is>
          <t>900001074</t>
        </is>
      </c>
      <c r="B115" t="inlineStr">
        <is>
          <t>D836</t>
        </is>
      </c>
      <c r="C115" t="inlineStr">
        <is>
          <t>65005713</t>
        </is>
      </c>
      <c r="D115" t="inlineStr">
        <is>
          <t>10000160</t>
        </is>
      </c>
      <c r="E115" t="inlineStr"/>
      <c r="F115" s="11" t="n">
        <v>84.11</v>
      </c>
      <c r="G115" t="inlineStr"/>
      <c r="I115" t="inlineStr">
        <is>
          <t>M3</t>
        </is>
      </c>
      <c r="J115" t="inlineStr"/>
      <c r="K115" t="inlineStr">
        <is>
          <t>20190426</t>
        </is>
      </c>
      <c r="L115" t="inlineStr">
        <is>
          <t>20250127</t>
        </is>
      </c>
    </row>
    <row r="116">
      <c r="A116" t="inlineStr">
        <is>
          <t>900001074</t>
        </is>
      </c>
      <c r="B116" t="inlineStr">
        <is>
          <t>D836</t>
        </is>
      </c>
      <c r="C116" t="inlineStr">
        <is>
          <t>65005713</t>
        </is>
      </c>
      <c r="D116" t="inlineStr">
        <is>
          <t>10000357</t>
        </is>
      </c>
      <c r="E116" t="inlineStr"/>
      <c r="F116" s="11" t="n">
        <v>89.7</v>
      </c>
      <c r="G116" t="inlineStr"/>
      <c r="I116" t="inlineStr">
        <is>
          <t>M3</t>
        </is>
      </c>
      <c r="J116" t="inlineStr"/>
      <c r="K116" t="inlineStr">
        <is>
          <t>20190426</t>
        </is>
      </c>
      <c r="L116" t="inlineStr">
        <is>
          <t>20250127</t>
        </is>
      </c>
    </row>
    <row r="117">
      <c r="A117" t="inlineStr">
        <is>
          <t>900001074</t>
        </is>
      </c>
      <c r="B117" t="inlineStr">
        <is>
          <t>D836</t>
        </is>
      </c>
      <c r="C117" t="inlineStr">
        <is>
          <t>65006122</t>
        </is>
      </c>
      <c r="D117" t="inlineStr">
        <is>
          <t>10043251</t>
        </is>
      </c>
      <c r="E117" t="inlineStr"/>
      <c r="F117" s="11" t="n">
        <v>110</v>
      </c>
      <c r="G117" t="inlineStr"/>
      <c r="I117" t="inlineStr">
        <is>
          <t>M3</t>
        </is>
      </c>
      <c r="J117" t="inlineStr"/>
      <c r="K117" t="inlineStr">
        <is>
          <t>20190426</t>
        </is>
      </c>
      <c r="L117" t="inlineStr">
        <is>
          <t>20250127</t>
        </is>
      </c>
    </row>
    <row r="118">
      <c r="A118" t="inlineStr">
        <is>
          <t>900001074</t>
        </is>
      </c>
      <c r="B118" t="inlineStr">
        <is>
          <t>D836</t>
        </is>
      </c>
      <c r="C118" t="inlineStr">
        <is>
          <t>65006122</t>
        </is>
      </c>
      <c r="D118" t="inlineStr">
        <is>
          <t>10215074</t>
        </is>
      </c>
      <c r="E118" t="inlineStr"/>
      <c r="F118" s="11" t="n">
        <v>140</v>
      </c>
      <c r="G118" t="inlineStr"/>
      <c r="I118" t="inlineStr">
        <is>
          <t>M3</t>
        </is>
      </c>
      <c r="J118" t="inlineStr"/>
      <c r="K118" t="inlineStr">
        <is>
          <t>20190426</t>
        </is>
      </c>
      <c r="L118" t="inlineStr">
        <is>
          <t>20250127</t>
        </is>
      </c>
    </row>
    <row r="119">
      <c r="A119" t="inlineStr">
        <is>
          <t>900001074</t>
        </is>
      </c>
      <c r="B119" t="inlineStr">
        <is>
          <t>D836</t>
        </is>
      </c>
      <c r="C119" t="inlineStr">
        <is>
          <t>65014784</t>
        </is>
      </c>
      <c r="D119" t="inlineStr">
        <is>
          <t>10000160</t>
        </is>
      </c>
      <c r="E119" t="inlineStr"/>
      <c r="F119" s="11" t="n">
        <v>66.56</v>
      </c>
      <c r="G119" t="inlineStr"/>
      <c r="I119" t="inlineStr">
        <is>
          <t>TN</t>
        </is>
      </c>
      <c r="J119" t="inlineStr"/>
      <c r="K119" t="inlineStr">
        <is>
          <t>20190426</t>
        </is>
      </c>
      <c r="L119" t="inlineStr">
        <is>
          <t>20250127</t>
        </is>
      </c>
    </row>
    <row r="120">
      <c r="A120" t="inlineStr">
        <is>
          <t>900001074</t>
        </is>
      </c>
      <c r="B120" t="inlineStr">
        <is>
          <t>D836</t>
        </is>
      </c>
      <c r="C120" t="inlineStr">
        <is>
          <t>65030275</t>
        </is>
      </c>
      <c r="D120" t="inlineStr">
        <is>
          <t>10000160</t>
        </is>
      </c>
      <c r="E120" t="inlineStr"/>
      <c r="F120" s="11" t="n">
        <v>83</v>
      </c>
      <c r="G120" t="inlineStr"/>
      <c r="I120" t="inlineStr">
        <is>
          <t>M3</t>
        </is>
      </c>
      <c r="J120" t="inlineStr"/>
      <c r="K120" t="inlineStr">
        <is>
          <t>20190426</t>
        </is>
      </c>
      <c r="L120" t="inlineStr">
        <is>
          <t>20250127</t>
        </is>
      </c>
    </row>
    <row r="121">
      <c r="A121" t="inlineStr">
        <is>
          <t>900001074</t>
        </is>
      </c>
      <c r="B121" t="inlineStr">
        <is>
          <t>D836</t>
        </is>
      </c>
      <c r="C121" t="inlineStr">
        <is>
          <t>65061685</t>
        </is>
      </c>
      <c r="D121" t="inlineStr">
        <is>
          <t>10000160</t>
        </is>
      </c>
      <c r="E121" t="inlineStr"/>
      <c r="F121" s="11" t="n">
        <v>88</v>
      </c>
      <c r="G121" t="inlineStr"/>
      <c r="I121" t="inlineStr">
        <is>
          <t>M3</t>
        </is>
      </c>
      <c r="J121" t="inlineStr"/>
      <c r="K121" t="inlineStr">
        <is>
          <t>20190426</t>
        </is>
      </c>
      <c r="L121" t="inlineStr">
        <is>
          <t>20250127</t>
        </is>
      </c>
    </row>
    <row r="122">
      <c r="A122" t="inlineStr">
        <is>
          <t>900001074</t>
        </is>
      </c>
      <c r="B122" t="inlineStr">
        <is>
          <t>D836</t>
        </is>
      </c>
      <c r="C122" t="inlineStr">
        <is>
          <t>65061685</t>
        </is>
      </c>
      <c r="D122" t="inlineStr">
        <is>
          <t>10000357</t>
        </is>
      </c>
      <c r="E122" t="inlineStr"/>
      <c r="F122" s="11" t="n">
        <v>100</v>
      </c>
      <c r="G122" t="inlineStr"/>
      <c r="I122" t="inlineStr">
        <is>
          <t>M3</t>
        </is>
      </c>
      <c r="J122" t="inlineStr"/>
      <c r="K122" t="inlineStr">
        <is>
          <t>20190426</t>
        </is>
      </c>
      <c r="L122" t="inlineStr">
        <is>
          <t>20250127</t>
        </is>
      </c>
    </row>
    <row r="123">
      <c r="A123" t="inlineStr">
        <is>
          <t>900001074</t>
        </is>
      </c>
      <c r="B123" t="inlineStr">
        <is>
          <t>D836</t>
        </is>
      </c>
      <c r="C123" t="inlineStr">
        <is>
          <t>65061687</t>
        </is>
      </c>
      <c r="D123" t="inlineStr">
        <is>
          <t>10000160</t>
        </is>
      </c>
      <c r="E123" t="inlineStr"/>
      <c r="F123" s="11" t="n">
        <v>99.98</v>
      </c>
      <c r="G123" t="inlineStr"/>
      <c r="I123" t="inlineStr">
        <is>
          <t>M3</t>
        </is>
      </c>
      <c r="J123" t="inlineStr"/>
      <c r="K123" t="inlineStr">
        <is>
          <t>20190426</t>
        </is>
      </c>
      <c r="L123" t="inlineStr">
        <is>
          <t>20250127</t>
        </is>
      </c>
    </row>
    <row r="124">
      <c r="A124" t="inlineStr">
        <is>
          <t>900001074</t>
        </is>
      </c>
      <c r="B124" t="inlineStr">
        <is>
          <t>D836</t>
        </is>
      </c>
      <c r="C124" t="inlineStr">
        <is>
          <t>65061687</t>
        </is>
      </c>
      <c r="D124" t="inlineStr">
        <is>
          <t>10000357</t>
        </is>
      </c>
      <c r="E124" t="inlineStr"/>
      <c r="F124" s="11" t="n">
        <v>121</v>
      </c>
      <c r="G124" t="inlineStr"/>
      <c r="I124" t="inlineStr">
        <is>
          <t>M3</t>
        </is>
      </c>
      <c r="J124" t="inlineStr"/>
      <c r="K124" t="inlineStr">
        <is>
          <t>20190426</t>
        </is>
      </c>
      <c r="L124" t="inlineStr">
        <is>
          <t>20250127</t>
        </is>
      </c>
    </row>
    <row r="125">
      <c r="A125" t="inlineStr">
        <is>
          <t>900001074</t>
        </is>
      </c>
      <c r="B125" t="inlineStr">
        <is>
          <t>D836</t>
        </is>
      </c>
      <c r="C125" t="inlineStr">
        <is>
          <t>65127339</t>
        </is>
      </c>
      <c r="D125" t="inlineStr">
        <is>
          <t>10000160</t>
        </is>
      </c>
      <c r="E125" t="inlineStr"/>
      <c r="F125" s="11" t="n">
        <v>83</v>
      </c>
      <c r="G125" t="inlineStr"/>
      <c r="I125" t="inlineStr">
        <is>
          <t>M3</t>
        </is>
      </c>
      <c r="J125" t="inlineStr"/>
      <c r="K125" t="inlineStr">
        <is>
          <t>20190426</t>
        </is>
      </c>
      <c r="L125" t="inlineStr">
        <is>
          <t>20250127</t>
        </is>
      </c>
    </row>
    <row r="126">
      <c r="A126" t="inlineStr">
        <is>
          <t>900001074</t>
        </is>
      </c>
      <c r="B126" t="inlineStr">
        <is>
          <t>D836</t>
        </is>
      </c>
      <c r="C126" t="inlineStr">
        <is>
          <t>65127339</t>
        </is>
      </c>
      <c r="D126" t="inlineStr">
        <is>
          <t>10000357</t>
        </is>
      </c>
      <c r="E126" t="inlineStr"/>
      <c r="F126" s="11" t="n">
        <v>95</v>
      </c>
      <c r="G126" t="inlineStr"/>
      <c r="I126" t="inlineStr">
        <is>
          <t>M3</t>
        </is>
      </c>
      <c r="J126" t="inlineStr"/>
      <c r="K126" t="inlineStr">
        <is>
          <t>20190426</t>
        </is>
      </c>
      <c r="L126" t="inlineStr">
        <is>
          <t>20250127</t>
        </is>
      </c>
    </row>
    <row r="127">
      <c r="A127" t="inlineStr">
        <is>
          <t>900001074</t>
        </is>
      </c>
      <c r="B127" t="inlineStr">
        <is>
          <t>D836</t>
        </is>
      </c>
      <c r="C127" t="inlineStr">
        <is>
          <t>65129997</t>
        </is>
      </c>
      <c r="D127" t="inlineStr">
        <is>
          <t>10000160</t>
        </is>
      </c>
      <c r="E127" t="inlineStr"/>
      <c r="F127" s="11" t="n">
        <v>84.11</v>
      </c>
      <c r="G127" t="inlineStr"/>
      <c r="I127" t="inlineStr">
        <is>
          <t>M3</t>
        </is>
      </c>
      <c r="J127" t="inlineStr"/>
      <c r="K127" t="inlineStr">
        <is>
          <t>20190426</t>
        </is>
      </c>
      <c r="L127" t="inlineStr">
        <is>
          <t>20250127</t>
        </is>
      </c>
    </row>
    <row r="128">
      <c r="A128" t="inlineStr">
        <is>
          <t>900001074</t>
        </is>
      </c>
      <c r="B128" t="inlineStr">
        <is>
          <t>D836</t>
        </is>
      </c>
      <c r="C128" t="inlineStr">
        <is>
          <t>65129997</t>
        </is>
      </c>
      <c r="D128" t="inlineStr">
        <is>
          <t>10000357</t>
        </is>
      </c>
      <c r="E128" t="inlineStr"/>
      <c r="F128" s="11" t="n">
        <v>86.11</v>
      </c>
      <c r="G128" t="inlineStr"/>
      <c r="I128" t="inlineStr">
        <is>
          <t>M3</t>
        </is>
      </c>
      <c r="J128" t="inlineStr"/>
      <c r="K128" t="inlineStr">
        <is>
          <t>20190426</t>
        </is>
      </c>
      <c r="L128" t="inlineStr">
        <is>
          <t>20250127</t>
        </is>
      </c>
    </row>
    <row r="129">
      <c r="A129" t="inlineStr">
        <is>
          <t>900001074</t>
        </is>
      </c>
      <c r="B129" t="inlineStr">
        <is>
          <t>D836</t>
        </is>
      </c>
      <c r="C129" t="inlineStr">
        <is>
          <t>65129997</t>
        </is>
      </c>
      <c r="D129" t="inlineStr">
        <is>
          <t>10000627</t>
        </is>
      </c>
      <c r="E129" t="inlineStr"/>
      <c r="F129" s="11" t="n">
        <v>103.36</v>
      </c>
      <c r="G129" t="inlineStr"/>
      <c r="I129" t="inlineStr">
        <is>
          <t>M3</t>
        </is>
      </c>
      <c r="J129" t="inlineStr"/>
      <c r="K129" t="inlineStr">
        <is>
          <t>20190426</t>
        </is>
      </c>
      <c r="L129" t="inlineStr">
        <is>
          <t>20250127</t>
        </is>
      </c>
    </row>
    <row r="130">
      <c r="A130" t="inlineStr">
        <is>
          <t>900001074</t>
        </is>
      </c>
      <c r="B130" t="inlineStr">
        <is>
          <t>D836</t>
        </is>
      </c>
      <c r="C130" t="inlineStr">
        <is>
          <t>65148238</t>
        </is>
      </c>
      <c r="D130" t="inlineStr">
        <is>
          <t>10000160</t>
        </is>
      </c>
      <c r="E130" t="inlineStr"/>
      <c r="F130" s="11" t="n">
        <v>57.68</v>
      </c>
      <c r="G130" t="inlineStr"/>
      <c r="I130" t="inlineStr">
        <is>
          <t>TN</t>
        </is>
      </c>
      <c r="J130" t="inlineStr"/>
      <c r="K130" t="inlineStr">
        <is>
          <t>20190426</t>
        </is>
      </c>
      <c r="L130" t="inlineStr">
        <is>
          <t>20250127</t>
        </is>
      </c>
    </row>
    <row r="131">
      <c r="A131" t="inlineStr">
        <is>
          <t>900001074</t>
        </is>
      </c>
      <c r="B131" t="inlineStr">
        <is>
          <t>D836</t>
        </is>
      </c>
      <c r="C131" t="inlineStr">
        <is>
          <t>65155820</t>
        </is>
      </c>
      <c r="D131" t="inlineStr">
        <is>
          <t>10000160</t>
        </is>
      </c>
      <c r="E131" t="inlineStr"/>
      <c r="F131" s="11" t="n">
        <v>92</v>
      </c>
      <c r="G131" t="inlineStr"/>
      <c r="I131" t="inlineStr">
        <is>
          <t>M3</t>
        </is>
      </c>
      <c r="J131" t="inlineStr"/>
      <c r="K131" t="inlineStr">
        <is>
          <t>20190426</t>
        </is>
      </c>
      <c r="L131" t="inlineStr">
        <is>
          <t>20250127</t>
        </is>
      </c>
    </row>
    <row r="132">
      <c r="A132" t="inlineStr">
        <is>
          <t>900001074</t>
        </is>
      </c>
      <c r="B132" t="inlineStr">
        <is>
          <t>D836</t>
        </is>
      </c>
      <c r="C132" t="inlineStr">
        <is>
          <t>65155820</t>
        </is>
      </c>
      <c r="D132" t="inlineStr">
        <is>
          <t>10000357</t>
        </is>
      </c>
      <c r="E132" t="inlineStr"/>
      <c r="F132" s="11" t="n">
        <v>96.95</v>
      </c>
      <c r="G132" t="inlineStr"/>
      <c r="I132" t="inlineStr">
        <is>
          <t>M3</t>
        </is>
      </c>
      <c r="J132" t="inlineStr"/>
      <c r="K132" t="inlineStr">
        <is>
          <t>20190426</t>
        </is>
      </c>
      <c r="L132" t="inlineStr">
        <is>
          <t>20250127</t>
        </is>
      </c>
    </row>
    <row r="133">
      <c r="A133" t="inlineStr">
        <is>
          <t>900001074</t>
        </is>
      </c>
      <c r="B133" t="inlineStr">
        <is>
          <t>D836</t>
        </is>
      </c>
      <c r="C133" t="inlineStr">
        <is>
          <t>65232687</t>
        </is>
      </c>
      <c r="D133" t="inlineStr">
        <is>
          <t>10000160</t>
        </is>
      </c>
      <c r="E133" t="inlineStr"/>
      <c r="F133" s="11" t="n">
        <v>85</v>
      </c>
      <c r="G133" t="inlineStr"/>
      <c r="I133" t="inlineStr">
        <is>
          <t>M3</t>
        </is>
      </c>
      <c r="J133" t="inlineStr"/>
      <c r="K133" t="inlineStr">
        <is>
          <t>20190426</t>
        </is>
      </c>
      <c r="L133" t="inlineStr">
        <is>
          <t>20250127</t>
        </is>
      </c>
    </row>
    <row r="134">
      <c r="A134" t="inlineStr">
        <is>
          <t>900001074</t>
        </is>
      </c>
      <c r="B134" t="inlineStr">
        <is>
          <t>D836</t>
        </is>
      </c>
      <c r="C134" t="inlineStr">
        <is>
          <t>65251399</t>
        </is>
      </c>
      <c r="D134" t="inlineStr">
        <is>
          <t>10000160</t>
        </is>
      </c>
      <c r="E134" t="inlineStr"/>
      <c r="F134" s="11" t="n">
        <v>88</v>
      </c>
      <c r="G134" t="inlineStr"/>
      <c r="I134" t="inlineStr">
        <is>
          <t>M3</t>
        </is>
      </c>
      <c r="J134" t="inlineStr"/>
      <c r="K134" t="inlineStr">
        <is>
          <t>20190426</t>
        </is>
      </c>
      <c r="L134" t="inlineStr">
        <is>
          <t>20250127</t>
        </is>
      </c>
    </row>
    <row r="135">
      <c r="A135" t="inlineStr">
        <is>
          <t>900001074</t>
        </is>
      </c>
      <c r="B135" t="inlineStr">
        <is>
          <t>D836</t>
        </is>
      </c>
      <c r="C135" t="inlineStr">
        <is>
          <t>65251399</t>
        </is>
      </c>
      <c r="D135" t="inlineStr">
        <is>
          <t>10000357</t>
        </is>
      </c>
      <c r="E135" t="inlineStr"/>
      <c r="F135" s="11" t="n">
        <v>100</v>
      </c>
      <c r="G135" t="inlineStr"/>
      <c r="I135" t="inlineStr">
        <is>
          <t>M3</t>
        </is>
      </c>
      <c r="J135" t="inlineStr"/>
      <c r="K135" t="inlineStr">
        <is>
          <t>20190426</t>
        </is>
      </c>
      <c r="L135" t="inlineStr">
        <is>
          <t>20250127</t>
        </is>
      </c>
    </row>
    <row r="136">
      <c r="A136" t="inlineStr">
        <is>
          <t>900001074</t>
        </is>
      </c>
      <c r="B136" t="inlineStr">
        <is>
          <t>D836</t>
        </is>
      </c>
      <c r="C136" t="inlineStr">
        <is>
          <t>65292088</t>
        </is>
      </c>
      <c r="D136" t="inlineStr">
        <is>
          <t>10000357</t>
        </is>
      </c>
      <c r="E136" t="inlineStr"/>
      <c r="F136" s="11" t="n">
        <v>123</v>
      </c>
      <c r="G136" t="inlineStr"/>
      <c r="I136" t="inlineStr">
        <is>
          <t>M3</t>
        </is>
      </c>
      <c r="J136" t="inlineStr"/>
      <c r="K136" t="inlineStr">
        <is>
          <t>20190426</t>
        </is>
      </c>
      <c r="L136" t="inlineStr">
        <is>
          <t>20250127</t>
        </is>
      </c>
    </row>
    <row r="137">
      <c r="A137" t="inlineStr">
        <is>
          <t>900001074</t>
        </is>
      </c>
      <c r="B137" t="inlineStr">
        <is>
          <t>D836</t>
        </is>
      </c>
      <c r="C137" t="inlineStr">
        <is>
          <t>65292088</t>
        </is>
      </c>
      <c r="D137" t="inlineStr">
        <is>
          <t>10175723</t>
        </is>
      </c>
      <c r="E137" t="inlineStr"/>
      <c r="F137" s="11" t="n">
        <v>130</v>
      </c>
      <c r="G137" t="inlineStr"/>
      <c r="I137" t="inlineStr">
        <is>
          <t>M3</t>
        </is>
      </c>
      <c r="J137" t="inlineStr"/>
      <c r="K137" t="inlineStr">
        <is>
          <t>20190426</t>
        </is>
      </c>
      <c r="L137" t="inlineStr">
        <is>
          <t>20250127</t>
        </is>
      </c>
    </row>
    <row r="138">
      <c r="A138" t="inlineStr">
        <is>
          <t>900001074</t>
        </is>
      </c>
      <c r="B138" t="inlineStr">
        <is>
          <t>D836</t>
        </is>
      </c>
      <c r="C138" t="inlineStr">
        <is>
          <t>65345243</t>
        </is>
      </c>
      <c r="D138" t="inlineStr">
        <is>
          <t>10000160</t>
        </is>
      </c>
      <c r="E138" t="inlineStr"/>
      <c r="F138" s="11" t="n">
        <v>84</v>
      </c>
      <c r="G138" t="inlineStr"/>
      <c r="I138" t="inlineStr">
        <is>
          <t>M3</t>
        </is>
      </c>
      <c r="J138" t="inlineStr"/>
      <c r="K138" t="inlineStr">
        <is>
          <t>20190426</t>
        </is>
      </c>
      <c r="L138" t="inlineStr">
        <is>
          <t>20250127</t>
        </is>
      </c>
    </row>
    <row r="139">
      <c r="A139" t="inlineStr">
        <is>
          <t>900001074</t>
        </is>
      </c>
      <c r="B139" t="inlineStr">
        <is>
          <t>D836</t>
        </is>
      </c>
      <c r="C139" t="inlineStr">
        <is>
          <t>65345243</t>
        </is>
      </c>
      <c r="D139" t="inlineStr">
        <is>
          <t>10000357</t>
        </is>
      </c>
      <c r="E139" t="inlineStr"/>
      <c r="F139" s="11" t="n">
        <v>95.5</v>
      </c>
      <c r="G139" t="inlineStr"/>
      <c r="I139" t="inlineStr">
        <is>
          <t>M3</t>
        </is>
      </c>
      <c r="J139" t="inlineStr"/>
      <c r="K139" t="inlineStr">
        <is>
          <t>20190426</t>
        </is>
      </c>
      <c r="L139" t="inlineStr">
        <is>
          <t>20250127</t>
        </is>
      </c>
    </row>
    <row r="140">
      <c r="A140" t="inlineStr">
        <is>
          <t>900001074</t>
        </is>
      </c>
      <c r="B140" t="inlineStr">
        <is>
          <t>D836</t>
        </is>
      </c>
      <c r="C140" t="inlineStr">
        <is>
          <t>65345243</t>
        </is>
      </c>
      <c r="D140" t="inlineStr">
        <is>
          <t>10000627</t>
        </is>
      </c>
      <c r="E140" t="inlineStr"/>
      <c r="F140" s="11" t="n">
        <v>84</v>
      </c>
      <c r="G140" t="inlineStr"/>
      <c r="I140" t="inlineStr">
        <is>
          <t>M3</t>
        </is>
      </c>
      <c r="J140" t="inlineStr"/>
      <c r="K140" t="inlineStr">
        <is>
          <t>20190426</t>
        </is>
      </c>
      <c r="L140" t="inlineStr">
        <is>
          <t>20250127</t>
        </is>
      </c>
    </row>
    <row r="141">
      <c r="A141" t="inlineStr">
        <is>
          <t>900001074</t>
        </is>
      </c>
      <c r="B141" t="inlineStr">
        <is>
          <t>D836</t>
        </is>
      </c>
      <c r="C141" t="inlineStr">
        <is>
          <t>65350956</t>
        </is>
      </c>
      <c r="D141" t="inlineStr">
        <is>
          <t>10019515</t>
        </is>
      </c>
      <c r="E141" t="inlineStr"/>
      <c r="F141" s="11" t="n">
        <v>77.84</v>
      </c>
      <c r="G141" t="inlineStr"/>
      <c r="I141" t="inlineStr">
        <is>
          <t>TN</t>
        </is>
      </c>
      <c r="J141" t="inlineStr"/>
      <c r="K141" t="inlineStr">
        <is>
          <t>20190426</t>
        </is>
      </c>
      <c r="L141" t="inlineStr">
        <is>
          <t>20250127</t>
        </is>
      </c>
    </row>
    <row r="142">
      <c r="A142" t="inlineStr">
        <is>
          <t>900001074</t>
        </is>
      </c>
      <c r="B142" t="inlineStr">
        <is>
          <t>D836</t>
        </is>
      </c>
      <c r="C142" t="inlineStr">
        <is>
          <t>65350956</t>
        </is>
      </c>
      <c r="D142" t="inlineStr">
        <is>
          <t>10019516</t>
        </is>
      </c>
      <c r="E142" t="inlineStr"/>
      <c r="F142" s="11" t="n">
        <v>69</v>
      </c>
      <c r="G142" t="inlineStr"/>
      <c r="I142" t="inlineStr">
        <is>
          <t>TN</t>
        </is>
      </c>
      <c r="J142" t="inlineStr"/>
      <c r="K142" t="inlineStr">
        <is>
          <t>20190426</t>
        </is>
      </c>
      <c r="L142" t="inlineStr">
        <is>
          <t>20250127</t>
        </is>
      </c>
    </row>
    <row r="143">
      <c r="A143" t="inlineStr">
        <is>
          <t>900001074</t>
        </is>
      </c>
      <c r="B143" t="inlineStr">
        <is>
          <t>D836</t>
        </is>
      </c>
      <c r="C143" t="inlineStr">
        <is>
          <t>65366156</t>
        </is>
      </c>
      <c r="D143" t="inlineStr">
        <is>
          <t>10000160</t>
        </is>
      </c>
      <c r="E143" t="inlineStr"/>
      <c r="F143" s="11" t="n">
        <v>84</v>
      </c>
      <c r="G143" t="inlineStr"/>
      <c r="I143" t="inlineStr">
        <is>
          <t>M3</t>
        </is>
      </c>
      <c r="J143" t="inlineStr"/>
      <c r="K143" t="inlineStr">
        <is>
          <t>20190426</t>
        </is>
      </c>
      <c r="L143" t="inlineStr">
        <is>
          <t>20250127</t>
        </is>
      </c>
    </row>
    <row r="144">
      <c r="A144" t="inlineStr">
        <is>
          <t>900001074</t>
        </is>
      </c>
      <c r="B144" t="inlineStr">
        <is>
          <t>D836</t>
        </is>
      </c>
      <c r="C144" t="inlineStr">
        <is>
          <t>65366156</t>
        </is>
      </c>
      <c r="D144" t="inlineStr">
        <is>
          <t>10000357</t>
        </is>
      </c>
      <c r="E144" t="inlineStr"/>
      <c r="F144" s="11" t="n">
        <v>95.5</v>
      </c>
      <c r="G144" t="inlineStr"/>
      <c r="I144" t="inlineStr">
        <is>
          <t>M3</t>
        </is>
      </c>
      <c r="J144" t="inlineStr"/>
      <c r="K144" t="inlineStr">
        <is>
          <t>20190426</t>
        </is>
      </c>
      <c r="L144" t="inlineStr">
        <is>
          <t>20250127</t>
        </is>
      </c>
    </row>
    <row r="145">
      <c r="A145" t="inlineStr">
        <is>
          <t>900001074</t>
        </is>
      </c>
      <c r="B145" t="inlineStr">
        <is>
          <t>D836</t>
        </is>
      </c>
      <c r="C145" t="inlineStr">
        <is>
          <t>65366156</t>
        </is>
      </c>
      <c r="D145" t="inlineStr">
        <is>
          <t>10000627</t>
        </is>
      </c>
      <c r="E145" t="inlineStr"/>
      <c r="F145" s="11" t="n">
        <v>84</v>
      </c>
      <c r="G145" t="inlineStr"/>
      <c r="I145" t="inlineStr">
        <is>
          <t>M3</t>
        </is>
      </c>
      <c r="J145" t="inlineStr"/>
      <c r="K145" t="inlineStr">
        <is>
          <t>20190426</t>
        </is>
      </c>
      <c r="L145" t="inlineStr">
        <is>
          <t>20250127</t>
        </is>
      </c>
    </row>
    <row r="146">
      <c r="A146" t="inlineStr">
        <is>
          <t>900001074</t>
        </is>
      </c>
      <c r="B146" t="inlineStr">
        <is>
          <t>D836</t>
        </is>
      </c>
      <c r="C146" t="inlineStr">
        <is>
          <t>65366167</t>
        </is>
      </c>
      <c r="D146" t="inlineStr">
        <is>
          <t>10000160</t>
        </is>
      </c>
      <c r="E146" t="inlineStr"/>
      <c r="F146" s="11" t="n">
        <v>84</v>
      </c>
      <c r="G146" t="inlineStr"/>
      <c r="I146" t="inlineStr">
        <is>
          <t>M3</t>
        </is>
      </c>
      <c r="J146" t="inlineStr"/>
      <c r="K146" t="inlineStr">
        <is>
          <t>20190426</t>
        </is>
      </c>
      <c r="L146" t="inlineStr">
        <is>
          <t>20250127</t>
        </is>
      </c>
    </row>
    <row r="147">
      <c r="A147" t="inlineStr">
        <is>
          <t>900001074</t>
        </is>
      </c>
      <c r="B147" t="inlineStr">
        <is>
          <t>D836</t>
        </is>
      </c>
      <c r="C147" t="inlineStr">
        <is>
          <t>65366167</t>
        </is>
      </c>
      <c r="D147" t="inlineStr">
        <is>
          <t>10000357</t>
        </is>
      </c>
      <c r="E147" t="inlineStr"/>
      <c r="F147" s="11" t="n">
        <v>95.5</v>
      </c>
      <c r="G147" t="inlineStr"/>
      <c r="I147" t="inlineStr">
        <is>
          <t>M3</t>
        </is>
      </c>
      <c r="J147" t="inlineStr"/>
      <c r="K147" t="inlineStr">
        <is>
          <t>20190426</t>
        </is>
      </c>
      <c r="L147" t="inlineStr">
        <is>
          <t>20250127</t>
        </is>
      </c>
    </row>
    <row r="148">
      <c r="A148" t="inlineStr">
        <is>
          <t>900001074</t>
        </is>
      </c>
      <c r="B148" t="inlineStr">
        <is>
          <t>D836</t>
        </is>
      </c>
      <c r="C148" t="inlineStr">
        <is>
          <t>65366167</t>
        </is>
      </c>
      <c r="D148" t="inlineStr">
        <is>
          <t>10000627</t>
        </is>
      </c>
      <c r="E148" t="inlineStr"/>
      <c r="F148" s="11" t="n">
        <v>84</v>
      </c>
      <c r="G148" t="inlineStr"/>
      <c r="I148" t="inlineStr">
        <is>
          <t>M3</t>
        </is>
      </c>
      <c r="J148" t="inlineStr"/>
      <c r="K148" t="inlineStr">
        <is>
          <t>20190426</t>
        </is>
      </c>
      <c r="L148" t="inlineStr">
        <is>
          <t>20250127</t>
        </is>
      </c>
    </row>
    <row r="149">
      <c r="A149" t="inlineStr">
        <is>
          <t>900001074</t>
        </is>
      </c>
      <c r="B149" t="inlineStr">
        <is>
          <t>D836</t>
        </is>
      </c>
      <c r="C149" t="inlineStr">
        <is>
          <t>65366169</t>
        </is>
      </c>
      <c r="D149" t="inlineStr">
        <is>
          <t>10000160</t>
        </is>
      </c>
      <c r="E149" t="inlineStr"/>
      <c r="F149" s="11" t="n">
        <v>84</v>
      </c>
      <c r="G149" t="inlineStr"/>
      <c r="I149" t="inlineStr">
        <is>
          <t>M3</t>
        </is>
      </c>
      <c r="J149" t="inlineStr"/>
      <c r="K149" t="inlineStr">
        <is>
          <t>20190426</t>
        </is>
      </c>
      <c r="L149" t="inlineStr">
        <is>
          <t>20250127</t>
        </is>
      </c>
    </row>
    <row r="150">
      <c r="A150" t="inlineStr">
        <is>
          <t>900001074</t>
        </is>
      </c>
      <c r="B150" t="inlineStr">
        <is>
          <t>D836</t>
        </is>
      </c>
      <c r="C150" t="inlineStr">
        <is>
          <t>65366169</t>
        </is>
      </c>
      <c r="D150" t="inlineStr">
        <is>
          <t>10000357</t>
        </is>
      </c>
      <c r="E150" t="inlineStr"/>
      <c r="F150" s="11" t="n">
        <v>95.5</v>
      </c>
      <c r="G150" t="inlineStr"/>
      <c r="I150" t="inlineStr">
        <is>
          <t>M3</t>
        </is>
      </c>
      <c r="J150" t="inlineStr"/>
      <c r="K150" t="inlineStr">
        <is>
          <t>20190426</t>
        </is>
      </c>
      <c r="L150" t="inlineStr">
        <is>
          <t>20250127</t>
        </is>
      </c>
    </row>
    <row r="151">
      <c r="A151" t="inlineStr">
        <is>
          <t>900001074</t>
        </is>
      </c>
      <c r="B151" t="inlineStr">
        <is>
          <t>D836</t>
        </is>
      </c>
      <c r="C151" t="inlineStr">
        <is>
          <t>65366169</t>
        </is>
      </c>
      <c r="D151" t="inlineStr">
        <is>
          <t>10000627</t>
        </is>
      </c>
      <c r="E151" t="inlineStr"/>
      <c r="F151" s="11" t="n">
        <v>84</v>
      </c>
      <c r="G151" t="inlineStr"/>
      <c r="I151" t="inlineStr">
        <is>
          <t>M3</t>
        </is>
      </c>
      <c r="J151" t="inlineStr"/>
      <c r="K151" t="inlineStr">
        <is>
          <t>20190426</t>
        </is>
      </c>
      <c r="L151" t="inlineStr">
        <is>
          <t>20250127</t>
        </is>
      </c>
    </row>
    <row r="152">
      <c r="A152" t="inlineStr">
        <is>
          <t>900001074</t>
        </is>
      </c>
      <c r="B152" t="inlineStr">
        <is>
          <t>D836</t>
        </is>
      </c>
      <c r="C152" t="inlineStr">
        <is>
          <t>65368150</t>
        </is>
      </c>
      <c r="D152" t="inlineStr">
        <is>
          <t>10000206</t>
        </is>
      </c>
      <c r="E152" t="inlineStr"/>
      <c r="F152" s="11" t="n">
        <v>24.15</v>
      </c>
      <c r="G152" t="inlineStr"/>
      <c r="I152" t="inlineStr">
        <is>
          <t>M3</t>
        </is>
      </c>
      <c r="J152" t="inlineStr"/>
      <c r="K152" t="inlineStr">
        <is>
          <t>20190426</t>
        </is>
      </c>
      <c r="L152" t="inlineStr">
        <is>
          <t>20250127</t>
        </is>
      </c>
    </row>
    <row r="153">
      <c r="A153" t="inlineStr">
        <is>
          <t>900001074</t>
        </is>
      </c>
      <c r="B153" t="inlineStr">
        <is>
          <t>D836</t>
        </is>
      </c>
      <c r="C153" t="inlineStr">
        <is>
          <t>65370785</t>
        </is>
      </c>
      <c r="D153" t="inlineStr">
        <is>
          <t>10000160</t>
        </is>
      </c>
      <c r="E153" t="inlineStr"/>
      <c r="F153" s="11" t="n">
        <v>75</v>
      </c>
      <c r="G153" t="inlineStr"/>
      <c r="I153" t="inlineStr">
        <is>
          <t>M3</t>
        </is>
      </c>
      <c r="J153" t="inlineStr"/>
      <c r="K153" t="inlineStr">
        <is>
          <t>20190426</t>
        </is>
      </c>
      <c r="L153" t="inlineStr">
        <is>
          <t>20250127</t>
        </is>
      </c>
    </row>
    <row r="154">
      <c r="A154" t="inlineStr">
        <is>
          <t>900001074</t>
        </is>
      </c>
      <c r="B154" t="inlineStr">
        <is>
          <t>D836</t>
        </is>
      </c>
      <c r="C154" t="inlineStr">
        <is>
          <t>65370785</t>
        </is>
      </c>
      <c r="D154" t="inlineStr">
        <is>
          <t>10000357</t>
        </is>
      </c>
      <c r="E154" t="inlineStr"/>
      <c r="F154" s="11" t="n">
        <v>87</v>
      </c>
      <c r="G154" t="inlineStr"/>
      <c r="I154" t="inlineStr">
        <is>
          <t>M3</t>
        </is>
      </c>
      <c r="J154" t="inlineStr"/>
      <c r="K154" t="inlineStr">
        <is>
          <t>20190426</t>
        </is>
      </c>
      <c r="L154" t="inlineStr">
        <is>
          <t>20250127</t>
        </is>
      </c>
    </row>
    <row r="155">
      <c r="A155" t="inlineStr">
        <is>
          <t>900001074</t>
        </is>
      </c>
      <c r="B155" t="inlineStr">
        <is>
          <t>D836</t>
        </is>
      </c>
      <c r="C155" t="inlineStr">
        <is>
          <t>65370785</t>
        </is>
      </c>
      <c r="D155" t="inlineStr">
        <is>
          <t>10019515</t>
        </is>
      </c>
      <c r="E155" t="inlineStr"/>
      <c r="F155" s="11" t="n">
        <v>73.59999999999999</v>
      </c>
      <c r="G155" t="inlineStr"/>
      <c r="I155" t="inlineStr">
        <is>
          <t>TN</t>
        </is>
      </c>
      <c r="J155" t="inlineStr"/>
      <c r="K155" t="inlineStr">
        <is>
          <t>20190426</t>
        </is>
      </c>
      <c r="L155" t="inlineStr">
        <is>
          <t>20250127</t>
        </is>
      </c>
    </row>
    <row r="156">
      <c r="A156" t="inlineStr">
        <is>
          <t>900001074</t>
        </is>
      </c>
      <c r="B156" t="inlineStr">
        <is>
          <t>D836</t>
        </is>
      </c>
      <c r="C156" t="inlineStr">
        <is>
          <t>65406062</t>
        </is>
      </c>
      <c r="D156" t="inlineStr">
        <is>
          <t>10000160</t>
        </is>
      </c>
      <c r="E156" t="inlineStr"/>
      <c r="F156" s="11" t="n">
        <v>86.5</v>
      </c>
      <c r="G156" t="inlineStr"/>
      <c r="I156" t="inlineStr">
        <is>
          <t>M3</t>
        </is>
      </c>
      <c r="J156" t="inlineStr"/>
      <c r="K156" t="inlineStr">
        <is>
          <t>20190426</t>
        </is>
      </c>
      <c r="L156" t="inlineStr">
        <is>
          <t>20250127</t>
        </is>
      </c>
    </row>
    <row r="157">
      <c r="A157" t="inlineStr">
        <is>
          <t>900001074</t>
        </is>
      </c>
      <c r="B157" t="inlineStr">
        <is>
          <t>D836</t>
        </is>
      </c>
      <c r="C157" t="inlineStr">
        <is>
          <t>65406062</t>
        </is>
      </c>
      <c r="D157" t="inlineStr">
        <is>
          <t>10000206</t>
        </is>
      </c>
      <c r="E157" t="inlineStr"/>
      <c r="F157" s="11" t="n">
        <v>28.75</v>
      </c>
      <c r="G157" t="inlineStr"/>
      <c r="I157" t="inlineStr">
        <is>
          <t>M3</t>
        </is>
      </c>
      <c r="J157" t="inlineStr"/>
      <c r="K157" t="inlineStr">
        <is>
          <t>20190426</t>
        </is>
      </c>
      <c r="L157" t="inlineStr">
        <is>
          <t>20250127</t>
        </is>
      </c>
    </row>
    <row r="158">
      <c r="A158" t="inlineStr">
        <is>
          <t>900001074</t>
        </is>
      </c>
      <c r="B158" t="inlineStr">
        <is>
          <t>D836</t>
        </is>
      </c>
      <c r="C158" t="inlineStr">
        <is>
          <t>65406062</t>
        </is>
      </c>
      <c r="D158" t="inlineStr">
        <is>
          <t>10000357</t>
        </is>
      </c>
      <c r="E158" t="inlineStr"/>
      <c r="F158" s="11" t="n">
        <v>100.8</v>
      </c>
      <c r="G158" t="inlineStr"/>
      <c r="I158" t="inlineStr">
        <is>
          <t>M3</t>
        </is>
      </c>
      <c r="J158" t="inlineStr"/>
      <c r="K158" t="inlineStr">
        <is>
          <t>20190426</t>
        </is>
      </c>
      <c r="L158" t="inlineStr">
        <is>
          <t>20250127</t>
        </is>
      </c>
    </row>
    <row r="159">
      <c r="A159" t="inlineStr">
        <is>
          <t>900001074</t>
        </is>
      </c>
      <c r="B159" t="inlineStr">
        <is>
          <t>D836</t>
        </is>
      </c>
      <c r="C159" t="inlineStr">
        <is>
          <t>65406062</t>
        </is>
      </c>
      <c r="D159" t="inlineStr">
        <is>
          <t>10000627</t>
        </is>
      </c>
      <c r="E159" t="inlineStr"/>
      <c r="F159" s="11" t="n">
        <v>85</v>
      </c>
      <c r="G159" t="inlineStr"/>
      <c r="I159" t="inlineStr">
        <is>
          <t>M3</t>
        </is>
      </c>
      <c r="J159" t="inlineStr"/>
      <c r="K159" t="inlineStr">
        <is>
          <t>20190426</t>
        </is>
      </c>
      <c r="L159" t="inlineStr">
        <is>
          <t>20250127</t>
        </is>
      </c>
    </row>
    <row r="160">
      <c r="A160" t="inlineStr">
        <is>
          <t>900001074</t>
        </is>
      </c>
      <c r="B160" t="inlineStr">
        <is>
          <t>D836</t>
        </is>
      </c>
      <c r="C160" t="inlineStr">
        <is>
          <t>65406064</t>
        </is>
      </c>
      <c r="D160" t="inlineStr">
        <is>
          <t>10000160</t>
        </is>
      </c>
      <c r="E160" t="inlineStr"/>
      <c r="F160" s="11" t="n">
        <v>86.5</v>
      </c>
      <c r="G160" t="inlineStr"/>
      <c r="I160" t="inlineStr">
        <is>
          <t>M3</t>
        </is>
      </c>
      <c r="J160" t="inlineStr"/>
      <c r="K160" t="inlineStr">
        <is>
          <t>20190426</t>
        </is>
      </c>
      <c r="L160" t="inlineStr">
        <is>
          <t>20250127</t>
        </is>
      </c>
    </row>
    <row r="161">
      <c r="A161" t="inlineStr">
        <is>
          <t>900001074</t>
        </is>
      </c>
      <c r="B161" t="inlineStr">
        <is>
          <t>D836</t>
        </is>
      </c>
      <c r="C161" t="inlineStr">
        <is>
          <t>65406064</t>
        </is>
      </c>
      <c r="D161" t="inlineStr">
        <is>
          <t>10000206</t>
        </is>
      </c>
      <c r="E161" t="inlineStr"/>
      <c r="F161" s="11" t="n">
        <v>28.75</v>
      </c>
      <c r="G161" t="inlineStr"/>
      <c r="I161" t="inlineStr">
        <is>
          <t>M3</t>
        </is>
      </c>
      <c r="J161" t="inlineStr"/>
      <c r="K161" t="inlineStr">
        <is>
          <t>20190426</t>
        </is>
      </c>
      <c r="L161" t="inlineStr">
        <is>
          <t>20250127</t>
        </is>
      </c>
    </row>
    <row r="162">
      <c r="A162" t="inlineStr">
        <is>
          <t>900001074</t>
        </is>
      </c>
      <c r="B162" t="inlineStr">
        <is>
          <t>D836</t>
        </is>
      </c>
      <c r="C162" t="inlineStr">
        <is>
          <t>65406064</t>
        </is>
      </c>
      <c r="D162" t="inlineStr">
        <is>
          <t>10000357</t>
        </is>
      </c>
      <c r="E162" t="inlineStr"/>
      <c r="F162" s="11" t="n">
        <v>100.8</v>
      </c>
      <c r="G162" t="inlineStr"/>
      <c r="I162" t="inlineStr">
        <is>
          <t>M3</t>
        </is>
      </c>
      <c r="J162" t="inlineStr"/>
      <c r="K162" t="inlineStr">
        <is>
          <t>20190426</t>
        </is>
      </c>
      <c r="L162" t="inlineStr">
        <is>
          <t>20250127</t>
        </is>
      </c>
    </row>
    <row r="163">
      <c r="A163" t="inlineStr">
        <is>
          <t>900001074</t>
        </is>
      </c>
      <c r="B163" t="inlineStr">
        <is>
          <t>D836</t>
        </is>
      </c>
      <c r="C163" t="inlineStr">
        <is>
          <t>65406064</t>
        </is>
      </c>
      <c r="D163" t="inlineStr">
        <is>
          <t>10000627</t>
        </is>
      </c>
      <c r="E163" t="inlineStr"/>
      <c r="F163" s="11" t="n">
        <v>85</v>
      </c>
      <c r="G163" t="inlineStr"/>
      <c r="I163" t="inlineStr">
        <is>
          <t>M3</t>
        </is>
      </c>
      <c r="J163" t="inlineStr"/>
      <c r="K163" t="inlineStr">
        <is>
          <t>20190426</t>
        </is>
      </c>
      <c r="L163" t="inlineStr">
        <is>
          <t>20250127</t>
        </is>
      </c>
    </row>
    <row r="164">
      <c r="A164" t="inlineStr">
        <is>
          <t>900001074</t>
        </is>
      </c>
      <c r="B164" t="inlineStr">
        <is>
          <t>D836</t>
        </is>
      </c>
      <c r="C164" t="inlineStr">
        <is>
          <t>65437651</t>
        </is>
      </c>
      <c r="D164" t="inlineStr">
        <is>
          <t>10000206</t>
        </is>
      </c>
      <c r="E164" t="inlineStr"/>
      <c r="F164" s="11" t="n">
        <v>26</v>
      </c>
      <c r="G164" t="inlineStr"/>
      <c r="I164" t="inlineStr">
        <is>
          <t>M3</t>
        </is>
      </c>
      <c r="J164" t="inlineStr"/>
      <c r="K164" t="inlineStr">
        <is>
          <t>20190426</t>
        </is>
      </c>
      <c r="L164" t="inlineStr">
        <is>
          <t>20250127</t>
        </is>
      </c>
    </row>
    <row r="165">
      <c r="A165" t="inlineStr">
        <is>
          <t>900001074</t>
        </is>
      </c>
      <c r="B165" t="inlineStr">
        <is>
          <t>D836</t>
        </is>
      </c>
      <c r="C165" t="inlineStr">
        <is>
          <t>65439405</t>
        </is>
      </c>
      <c r="D165" t="inlineStr">
        <is>
          <t>10000160</t>
        </is>
      </c>
      <c r="E165" t="inlineStr"/>
      <c r="F165" s="11" t="n">
        <v>53.64</v>
      </c>
      <c r="G165" t="inlineStr"/>
      <c r="I165" t="inlineStr">
        <is>
          <t>TN</t>
        </is>
      </c>
      <c r="J165" t="inlineStr"/>
      <c r="K165" t="inlineStr">
        <is>
          <t>20190426</t>
        </is>
      </c>
      <c r="L165" t="inlineStr">
        <is>
          <t>20250127</t>
        </is>
      </c>
    </row>
    <row r="166">
      <c r="A166" t="inlineStr">
        <is>
          <t>900001074</t>
        </is>
      </c>
      <c r="B166" t="inlineStr">
        <is>
          <t>D836</t>
        </is>
      </c>
      <c r="C166" t="inlineStr">
        <is>
          <t>65439405</t>
        </is>
      </c>
      <c r="D166" t="inlineStr">
        <is>
          <t>10000253</t>
        </is>
      </c>
      <c r="E166" t="inlineStr"/>
      <c r="F166" s="11" t="n">
        <v>57.87</v>
      </c>
      <c r="G166" t="inlineStr"/>
      <c r="I166" t="inlineStr">
        <is>
          <t>TN</t>
        </is>
      </c>
      <c r="J166" t="inlineStr"/>
      <c r="K166" t="inlineStr">
        <is>
          <t>20190426</t>
        </is>
      </c>
      <c r="L166" t="inlineStr">
        <is>
          <t>20250127</t>
        </is>
      </c>
    </row>
    <row r="167">
      <c r="A167" t="inlineStr">
        <is>
          <t>900001074</t>
        </is>
      </c>
      <c r="B167" t="inlineStr">
        <is>
          <t>D836</t>
        </is>
      </c>
      <c r="C167" t="inlineStr">
        <is>
          <t>65439405</t>
        </is>
      </c>
      <c r="D167" t="inlineStr">
        <is>
          <t>10000357</t>
        </is>
      </c>
      <c r="E167" t="inlineStr"/>
      <c r="F167" s="11" t="n">
        <v>60.43</v>
      </c>
      <c r="G167" t="inlineStr"/>
      <c r="I167" t="inlineStr">
        <is>
          <t>TN</t>
        </is>
      </c>
      <c r="J167" t="inlineStr"/>
      <c r="K167" t="inlineStr">
        <is>
          <t>20190426</t>
        </is>
      </c>
      <c r="L167" t="inlineStr">
        <is>
          <t>20250127</t>
        </is>
      </c>
    </row>
    <row r="168">
      <c r="A168" t="inlineStr">
        <is>
          <t>900001074</t>
        </is>
      </c>
      <c r="B168" t="inlineStr">
        <is>
          <t>D836</t>
        </is>
      </c>
      <c r="C168" t="inlineStr">
        <is>
          <t>65442270</t>
        </is>
      </c>
      <c r="D168" t="inlineStr">
        <is>
          <t>10019515</t>
        </is>
      </c>
      <c r="E168" t="inlineStr"/>
      <c r="F168" s="11" t="n">
        <v>115</v>
      </c>
      <c r="G168" t="inlineStr"/>
      <c r="I168" t="inlineStr">
        <is>
          <t>M3</t>
        </is>
      </c>
      <c r="J168" t="inlineStr"/>
      <c r="K168" t="inlineStr">
        <is>
          <t>20190426</t>
        </is>
      </c>
      <c r="L168" t="inlineStr">
        <is>
          <t>20250127</t>
        </is>
      </c>
    </row>
    <row r="169">
      <c r="A169" t="inlineStr">
        <is>
          <t>900001074</t>
        </is>
      </c>
      <c r="B169" t="inlineStr">
        <is>
          <t>D836</t>
        </is>
      </c>
      <c r="C169" t="inlineStr">
        <is>
          <t>65442710</t>
        </is>
      </c>
      <c r="D169" t="inlineStr">
        <is>
          <t>10000160</t>
        </is>
      </c>
      <c r="E169" t="inlineStr"/>
      <c r="F169" s="11" t="n">
        <v>150</v>
      </c>
      <c r="G169" t="inlineStr"/>
      <c r="I169" t="inlineStr">
        <is>
          <t>M3</t>
        </is>
      </c>
      <c r="J169" t="inlineStr"/>
      <c r="K169" t="inlineStr">
        <is>
          <t>20190426</t>
        </is>
      </c>
      <c r="L169" t="inlineStr">
        <is>
          <t>20250127</t>
        </is>
      </c>
    </row>
    <row r="170">
      <c r="A170" t="inlineStr">
        <is>
          <t>900001074</t>
        </is>
      </c>
      <c r="B170" t="inlineStr">
        <is>
          <t>D836</t>
        </is>
      </c>
      <c r="C170" t="inlineStr">
        <is>
          <t>65442710</t>
        </is>
      </c>
      <c r="D170" t="inlineStr">
        <is>
          <t>10000357</t>
        </is>
      </c>
      <c r="E170" t="inlineStr"/>
      <c r="F170" s="11" t="n">
        <v>86.11</v>
      </c>
      <c r="G170" t="inlineStr"/>
      <c r="I170" t="inlineStr">
        <is>
          <t>M3</t>
        </is>
      </c>
      <c r="J170" t="inlineStr"/>
      <c r="K170" t="inlineStr">
        <is>
          <t>20190426</t>
        </is>
      </c>
      <c r="L170" t="inlineStr">
        <is>
          <t>20250127</t>
        </is>
      </c>
    </row>
    <row r="171">
      <c r="A171" t="inlineStr">
        <is>
          <t>900001074</t>
        </is>
      </c>
      <c r="B171" t="inlineStr">
        <is>
          <t>D836</t>
        </is>
      </c>
      <c r="C171" t="inlineStr">
        <is>
          <t>65442710</t>
        </is>
      </c>
      <c r="D171" t="inlineStr">
        <is>
          <t>10000627</t>
        </is>
      </c>
      <c r="E171" t="inlineStr"/>
      <c r="F171" s="11" t="n">
        <v>103.36</v>
      </c>
      <c r="G171" t="inlineStr"/>
      <c r="I171" t="inlineStr">
        <is>
          <t>M3</t>
        </is>
      </c>
      <c r="J171" t="inlineStr"/>
      <c r="K171" t="inlineStr">
        <is>
          <t>20190426</t>
        </is>
      </c>
      <c r="L171" t="inlineStr">
        <is>
          <t>20250127</t>
        </is>
      </c>
    </row>
    <row r="172">
      <c r="A172" t="inlineStr">
        <is>
          <t>900001074</t>
        </is>
      </c>
      <c r="B172" t="inlineStr">
        <is>
          <t>D836</t>
        </is>
      </c>
      <c r="C172" t="inlineStr">
        <is>
          <t>65445261</t>
        </is>
      </c>
      <c r="D172" t="inlineStr">
        <is>
          <t>10000160</t>
        </is>
      </c>
      <c r="E172" t="inlineStr"/>
      <c r="F172" s="11" t="n">
        <v>94.98999999999999</v>
      </c>
      <c r="G172" t="inlineStr"/>
      <c r="I172" t="inlineStr">
        <is>
          <t>M3</t>
        </is>
      </c>
      <c r="J172" t="inlineStr"/>
      <c r="K172" t="inlineStr">
        <is>
          <t>20190426</t>
        </is>
      </c>
      <c r="L172" t="inlineStr">
        <is>
          <t>20250127</t>
        </is>
      </c>
    </row>
    <row r="173">
      <c r="A173" t="inlineStr">
        <is>
          <t>900001074</t>
        </is>
      </c>
      <c r="B173" t="inlineStr">
        <is>
          <t>D836</t>
        </is>
      </c>
      <c r="C173" t="inlineStr">
        <is>
          <t>65565826</t>
        </is>
      </c>
      <c r="D173" t="inlineStr">
        <is>
          <t>10000160</t>
        </is>
      </c>
      <c r="E173" t="inlineStr"/>
      <c r="F173" s="11" t="n">
        <v>59.73</v>
      </c>
      <c r="G173" t="inlineStr"/>
      <c r="I173" t="inlineStr">
        <is>
          <t>TN</t>
        </is>
      </c>
      <c r="J173" t="inlineStr"/>
      <c r="K173" t="inlineStr">
        <is>
          <t>20190426</t>
        </is>
      </c>
      <c r="L173" t="inlineStr">
        <is>
          <t>20250127</t>
        </is>
      </c>
    </row>
    <row r="174">
      <c r="A174" t="inlineStr">
        <is>
          <t>900001074</t>
        </is>
      </c>
      <c r="B174" t="inlineStr">
        <is>
          <t>D836</t>
        </is>
      </c>
      <c r="C174" t="inlineStr">
        <is>
          <t>65625331</t>
        </is>
      </c>
      <c r="D174" t="inlineStr">
        <is>
          <t>10000160</t>
        </is>
      </c>
      <c r="E174" t="inlineStr"/>
      <c r="F174" s="11" t="n">
        <v>115.13</v>
      </c>
      <c r="G174" t="inlineStr"/>
      <c r="I174" t="inlineStr">
        <is>
          <t>M3</t>
        </is>
      </c>
      <c r="J174" t="inlineStr"/>
      <c r="K174" t="inlineStr">
        <is>
          <t>20190426</t>
        </is>
      </c>
      <c r="L174" t="inlineStr">
        <is>
          <t>20250127</t>
        </is>
      </c>
    </row>
    <row r="175">
      <c r="A175" t="inlineStr">
        <is>
          <t>900001074</t>
        </is>
      </c>
      <c r="B175" t="inlineStr">
        <is>
          <t>D836</t>
        </is>
      </c>
      <c r="C175" t="inlineStr">
        <is>
          <t>65625331</t>
        </is>
      </c>
      <c r="D175" t="inlineStr">
        <is>
          <t>10000357</t>
        </is>
      </c>
      <c r="E175" t="inlineStr"/>
      <c r="F175" s="11" t="n">
        <v>101.91</v>
      </c>
      <c r="G175" t="inlineStr"/>
      <c r="I175" t="inlineStr">
        <is>
          <t>M3</t>
        </is>
      </c>
      <c r="J175" t="inlineStr"/>
      <c r="K175" t="inlineStr">
        <is>
          <t>20190426</t>
        </is>
      </c>
      <c r="L175" t="inlineStr">
        <is>
          <t>20250127</t>
        </is>
      </c>
    </row>
    <row r="176">
      <c r="A176" t="inlineStr">
        <is>
          <t>900001074</t>
        </is>
      </c>
      <c r="B176" t="inlineStr">
        <is>
          <t>D836</t>
        </is>
      </c>
      <c r="C176" t="inlineStr">
        <is>
          <t>65671247</t>
        </is>
      </c>
      <c r="D176" t="inlineStr">
        <is>
          <t>10000160</t>
        </is>
      </c>
      <c r="E176" t="inlineStr"/>
      <c r="F176" s="11" t="n">
        <v>85.33</v>
      </c>
      <c r="G176" t="inlineStr"/>
      <c r="I176" t="inlineStr">
        <is>
          <t>M3</t>
        </is>
      </c>
      <c r="J176" t="inlineStr"/>
      <c r="K176" t="inlineStr">
        <is>
          <t>20190426</t>
        </is>
      </c>
      <c r="L176" t="inlineStr">
        <is>
          <t>20250127</t>
        </is>
      </c>
    </row>
    <row r="177">
      <c r="A177" t="inlineStr">
        <is>
          <t>900001074</t>
        </is>
      </c>
      <c r="B177" t="inlineStr">
        <is>
          <t>D836</t>
        </is>
      </c>
      <c r="C177" t="inlineStr">
        <is>
          <t>65671247</t>
        </is>
      </c>
      <c r="D177" t="inlineStr">
        <is>
          <t>10000357</t>
        </is>
      </c>
      <c r="E177" t="inlineStr"/>
      <c r="F177" s="11" t="n">
        <v>89.7</v>
      </c>
      <c r="G177" t="inlineStr"/>
      <c r="I177" t="inlineStr">
        <is>
          <t>M3</t>
        </is>
      </c>
      <c r="J177" t="inlineStr"/>
      <c r="K177" t="inlineStr">
        <is>
          <t>20190426</t>
        </is>
      </c>
      <c r="L177" t="inlineStr">
        <is>
          <t>20250127</t>
        </is>
      </c>
    </row>
    <row r="178">
      <c r="A178" t="inlineStr">
        <is>
          <t>900001074</t>
        </is>
      </c>
      <c r="B178" t="inlineStr">
        <is>
          <t>D836</t>
        </is>
      </c>
      <c r="C178" t="inlineStr">
        <is>
          <t>65674132</t>
        </is>
      </c>
      <c r="D178" t="inlineStr">
        <is>
          <t>10000140</t>
        </is>
      </c>
      <c r="E178" t="inlineStr"/>
      <c r="F178" s="11" t="n">
        <v>97</v>
      </c>
      <c r="G178" t="inlineStr"/>
      <c r="I178" t="inlineStr">
        <is>
          <t>M3</t>
        </is>
      </c>
      <c r="J178" t="inlineStr"/>
      <c r="K178" t="inlineStr">
        <is>
          <t>20190426</t>
        </is>
      </c>
      <c r="L178" t="inlineStr">
        <is>
          <t>20250127</t>
        </is>
      </c>
    </row>
    <row r="179">
      <c r="A179" t="inlineStr">
        <is>
          <t>900001074</t>
        </is>
      </c>
      <c r="B179" t="inlineStr">
        <is>
          <t>D836</t>
        </is>
      </c>
      <c r="C179" t="inlineStr">
        <is>
          <t>65706147</t>
        </is>
      </c>
      <c r="D179" t="inlineStr">
        <is>
          <t>10000160</t>
        </is>
      </c>
      <c r="E179" t="inlineStr"/>
      <c r="F179" s="11" t="n">
        <v>87.15000000000001</v>
      </c>
      <c r="G179" t="inlineStr"/>
      <c r="I179" t="inlineStr">
        <is>
          <t>M3</t>
        </is>
      </c>
      <c r="J179" t="inlineStr"/>
      <c r="K179" t="inlineStr">
        <is>
          <t>20190426</t>
        </is>
      </c>
      <c r="L179" t="inlineStr">
        <is>
          <t>20250127</t>
        </is>
      </c>
    </row>
    <row r="180">
      <c r="A180" t="inlineStr">
        <is>
          <t>900001074</t>
        </is>
      </c>
      <c r="B180" t="inlineStr">
        <is>
          <t>D836</t>
        </is>
      </c>
      <c r="C180" t="inlineStr">
        <is>
          <t>65706147</t>
        </is>
      </c>
      <c r="D180" t="inlineStr">
        <is>
          <t>10000357</t>
        </is>
      </c>
      <c r="E180" t="inlineStr"/>
      <c r="F180" s="11" t="n">
        <v>100.8</v>
      </c>
      <c r="G180" t="inlineStr"/>
      <c r="I180" t="inlineStr">
        <is>
          <t>M3</t>
        </is>
      </c>
      <c r="J180" t="inlineStr"/>
      <c r="K180" t="inlineStr">
        <is>
          <t>20190426</t>
        </is>
      </c>
      <c r="L180" t="inlineStr">
        <is>
          <t>20250127</t>
        </is>
      </c>
    </row>
    <row r="181">
      <c r="A181" t="inlineStr">
        <is>
          <t>900001074</t>
        </is>
      </c>
      <c r="B181" t="inlineStr">
        <is>
          <t>D836</t>
        </is>
      </c>
      <c r="C181" t="inlineStr">
        <is>
          <t>65706147</t>
        </is>
      </c>
      <c r="D181" t="inlineStr">
        <is>
          <t>10000627</t>
        </is>
      </c>
      <c r="E181" t="inlineStr"/>
      <c r="F181" s="11" t="n">
        <v>88</v>
      </c>
      <c r="G181" t="inlineStr"/>
      <c r="I181" t="inlineStr">
        <is>
          <t>M3</t>
        </is>
      </c>
      <c r="J181" t="inlineStr"/>
      <c r="K181" t="inlineStr">
        <is>
          <t>20190426</t>
        </is>
      </c>
      <c r="L181" t="inlineStr">
        <is>
          <t>20250127</t>
        </is>
      </c>
    </row>
    <row r="182">
      <c r="A182" t="inlineStr">
        <is>
          <t>900001074</t>
        </is>
      </c>
      <c r="B182" t="inlineStr">
        <is>
          <t>D836</t>
        </is>
      </c>
      <c r="C182" t="inlineStr">
        <is>
          <t>65728668</t>
        </is>
      </c>
      <c r="D182" t="inlineStr">
        <is>
          <t>10000160</t>
        </is>
      </c>
      <c r="E182" t="inlineStr"/>
      <c r="F182" s="11" t="n">
        <v>69.43000000000001</v>
      </c>
      <c r="G182" t="inlineStr"/>
      <c r="I182" t="inlineStr">
        <is>
          <t>M3</t>
        </is>
      </c>
      <c r="J182" t="inlineStr"/>
      <c r="K182" t="inlineStr">
        <is>
          <t>20190426</t>
        </is>
      </c>
      <c r="L182" t="inlineStr">
        <is>
          <t>20250127</t>
        </is>
      </c>
    </row>
    <row r="183">
      <c r="A183" t="inlineStr">
        <is>
          <t>900001074</t>
        </is>
      </c>
      <c r="B183" t="inlineStr">
        <is>
          <t>D836</t>
        </is>
      </c>
      <c r="C183" t="inlineStr">
        <is>
          <t>65728668</t>
        </is>
      </c>
      <c r="D183" t="inlineStr">
        <is>
          <t>10000357</t>
        </is>
      </c>
      <c r="E183" t="inlineStr"/>
      <c r="F183" s="11" t="n">
        <v>76.44</v>
      </c>
      <c r="G183" t="inlineStr"/>
      <c r="I183" t="inlineStr">
        <is>
          <t>M3</t>
        </is>
      </c>
      <c r="J183" t="inlineStr"/>
      <c r="K183" t="inlineStr">
        <is>
          <t>20190426</t>
        </is>
      </c>
      <c r="L183" t="inlineStr">
        <is>
          <t>20250127</t>
        </is>
      </c>
    </row>
    <row r="184">
      <c r="A184" t="inlineStr">
        <is>
          <t>900001074</t>
        </is>
      </c>
      <c r="B184" t="inlineStr">
        <is>
          <t>D836</t>
        </is>
      </c>
      <c r="C184" t="inlineStr">
        <is>
          <t>65751297</t>
        </is>
      </c>
      <c r="D184" t="inlineStr">
        <is>
          <t>10000160</t>
        </is>
      </c>
      <c r="E184" t="inlineStr"/>
      <c r="F184" s="11" t="n">
        <v>84</v>
      </c>
      <c r="G184" t="inlineStr"/>
      <c r="I184" t="inlineStr">
        <is>
          <t>M3</t>
        </is>
      </c>
      <c r="J184" t="inlineStr"/>
      <c r="K184" t="inlineStr">
        <is>
          <t>20190426</t>
        </is>
      </c>
      <c r="L184" t="inlineStr">
        <is>
          <t>20250127</t>
        </is>
      </c>
    </row>
    <row r="185">
      <c r="A185" t="inlineStr">
        <is>
          <t>900001074</t>
        </is>
      </c>
      <c r="B185" t="inlineStr">
        <is>
          <t>D836</t>
        </is>
      </c>
      <c r="C185" t="inlineStr">
        <is>
          <t>65751297</t>
        </is>
      </c>
      <c r="D185" t="inlineStr">
        <is>
          <t>10000357</t>
        </is>
      </c>
      <c r="E185" t="inlineStr"/>
      <c r="F185" s="11" t="n">
        <v>95.5</v>
      </c>
      <c r="G185" t="inlineStr"/>
      <c r="I185" t="inlineStr">
        <is>
          <t>M3</t>
        </is>
      </c>
      <c r="J185" t="inlineStr"/>
      <c r="K185" t="inlineStr">
        <is>
          <t>20190426</t>
        </is>
      </c>
      <c r="L185" t="inlineStr">
        <is>
          <t>20250127</t>
        </is>
      </c>
    </row>
    <row r="186">
      <c r="A186" t="inlineStr">
        <is>
          <t>900001074</t>
        </is>
      </c>
      <c r="B186" t="inlineStr">
        <is>
          <t>D836</t>
        </is>
      </c>
      <c r="C186" t="inlineStr">
        <is>
          <t>65751297</t>
        </is>
      </c>
      <c r="D186" t="inlineStr">
        <is>
          <t>10000627</t>
        </is>
      </c>
      <c r="E186" t="inlineStr"/>
      <c r="F186" s="11" t="n">
        <v>84</v>
      </c>
      <c r="G186" t="inlineStr"/>
      <c r="I186" t="inlineStr">
        <is>
          <t>M3</t>
        </is>
      </c>
      <c r="J186" t="inlineStr"/>
      <c r="K186" t="inlineStr">
        <is>
          <t>20190426</t>
        </is>
      </c>
      <c r="L186" t="inlineStr">
        <is>
          <t>20250127</t>
        </is>
      </c>
    </row>
    <row r="187">
      <c r="A187" t="inlineStr">
        <is>
          <t>900001074</t>
        </is>
      </c>
      <c r="B187" t="inlineStr">
        <is>
          <t>D836</t>
        </is>
      </c>
      <c r="C187" t="inlineStr">
        <is>
          <t>65751298</t>
        </is>
      </c>
      <c r="D187" t="inlineStr">
        <is>
          <t>10000160</t>
        </is>
      </c>
      <c r="E187" t="inlineStr"/>
      <c r="F187" s="11" t="n">
        <v>84</v>
      </c>
      <c r="G187" t="inlineStr"/>
      <c r="I187" t="inlineStr">
        <is>
          <t>M3</t>
        </is>
      </c>
      <c r="J187" t="inlineStr"/>
      <c r="K187" t="inlineStr">
        <is>
          <t>20190426</t>
        </is>
      </c>
      <c r="L187" t="inlineStr">
        <is>
          <t>20250127</t>
        </is>
      </c>
    </row>
    <row r="188">
      <c r="A188" t="inlineStr">
        <is>
          <t>900001074</t>
        </is>
      </c>
      <c r="B188" t="inlineStr">
        <is>
          <t>D836</t>
        </is>
      </c>
      <c r="C188" t="inlineStr">
        <is>
          <t>65751298</t>
        </is>
      </c>
      <c r="D188" t="inlineStr">
        <is>
          <t>10000357</t>
        </is>
      </c>
      <c r="E188" t="inlineStr"/>
      <c r="F188" s="11" t="n">
        <v>95.5</v>
      </c>
      <c r="G188" t="inlineStr"/>
      <c r="I188" t="inlineStr">
        <is>
          <t>M3</t>
        </is>
      </c>
      <c r="J188" t="inlineStr"/>
      <c r="K188" t="inlineStr">
        <is>
          <t>20190426</t>
        </is>
      </c>
      <c r="L188" t="inlineStr">
        <is>
          <t>20250127</t>
        </is>
      </c>
    </row>
    <row r="189">
      <c r="A189" t="inlineStr">
        <is>
          <t>900001074</t>
        </is>
      </c>
      <c r="B189" t="inlineStr">
        <is>
          <t>D836</t>
        </is>
      </c>
      <c r="C189" t="inlineStr">
        <is>
          <t>65751298</t>
        </is>
      </c>
      <c r="D189" t="inlineStr">
        <is>
          <t>10000627</t>
        </is>
      </c>
      <c r="E189" t="inlineStr"/>
      <c r="F189" s="11" t="n">
        <v>84</v>
      </c>
      <c r="G189" t="inlineStr"/>
      <c r="I189" t="inlineStr">
        <is>
          <t>M3</t>
        </is>
      </c>
      <c r="J189" t="inlineStr"/>
      <c r="K189" t="inlineStr">
        <is>
          <t>20190426</t>
        </is>
      </c>
      <c r="L189" t="inlineStr">
        <is>
          <t>20250127</t>
        </is>
      </c>
    </row>
    <row r="190">
      <c r="A190" t="inlineStr">
        <is>
          <t>900001074</t>
        </is>
      </c>
      <c r="B190" t="inlineStr">
        <is>
          <t>D836</t>
        </is>
      </c>
      <c r="C190" t="inlineStr">
        <is>
          <t>65751299</t>
        </is>
      </c>
      <c r="D190" t="inlineStr">
        <is>
          <t>10000160</t>
        </is>
      </c>
      <c r="E190" t="inlineStr"/>
      <c r="F190" s="11" t="n">
        <v>84</v>
      </c>
      <c r="G190" t="inlineStr"/>
      <c r="I190" t="inlineStr">
        <is>
          <t>M3</t>
        </is>
      </c>
      <c r="J190" t="inlineStr"/>
      <c r="K190" t="inlineStr">
        <is>
          <t>20190426</t>
        </is>
      </c>
      <c r="L190" t="inlineStr">
        <is>
          <t>20250127</t>
        </is>
      </c>
    </row>
    <row r="191">
      <c r="A191" t="inlineStr">
        <is>
          <t>900001074</t>
        </is>
      </c>
      <c r="B191" t="inlineStr">
        <is>
          <t>D836</t>
        </is>
      </c>
      <c r="C191" t="inlineStr">
        <is>
          <t>65751299</t>
        </is>
      </c>
      <c r="D191" t="inlineStr">
        <is>
          <t>10000357</t>
        </is>
      </c>
      <c r="E191" t="inlineStr"/>
      <c r="F191" s="11" t="n">
        <v>95.5</v>
      </c>
      <c r="G191" t="inlineStr"/>
      <c r="I191" t="inlineStr">
        <is>
          <t>M3</t>
        </is>
      </c>
      <c r="J191" t="inlineStr"/>
      <c r="K191" t="inlineStr">
        <is>
          <t>20190426</t>
        </is>
      </c>
      <c r="L191" t="inlineStr">
        <is>
          <t>20250127</t>
        </is>
      </c>
    </row>
    <row r="192">
      <c r="A192" t="inlineStr">
        <is>
          <t>900001074</t>
        </is>
      </c>
      <c r="B192" t="inlineStr">
        <is>
          <t>D836</t>
        </is>
      </c>
      <c r="C192" t="inlineStr">
        <is>
          <t>65751299</t>
        </is>
      </c>
      <c r="D192" t="inlineStr">
        <is>
          <t>10000627</t>
        </is>
      </c>
      <c r="E192" t="inlineStr"/>
      <c r="F192" s="11" t="n">
        <v>84</v>
      </c>
      <c r="G192" t="inlineStr"/>
      <c r="I192" t="inlineStr">
        <is>
          <t>M3</t>
        </is>
      </c>
      <c r="J192" t="inlineStr"/>
      <c r="K192" t="inlineStr">
        <is>
          <t>20190426</t>
        </is>
      </c>
      <c r="L192" t="inlineStr">
        <is>
          <t>20250127</t>
        </is>
      </c>
    </row>
    <row r="193">
      <c r="A193" t="inlineStr">
        <is>
          <t>900001074</t>
        </is>
      </c>
      <c r="B193" t="inlineStr">
        <is>
          <t>D836</t>
        </is>
      </c>
      <c r="C193" t="inlineStr">
        <is>
          <t>65751300</t>
        </is>
      </c>
      <c r="D193" t="inlineStr">
        <is>
          <t>10000160</t>
        </is>
      </c>
      <c r="E193" t="inlineStr"/>
      <c r="F193" s="11" t="n">
        <v>84</v>
      </c>
      <c r="G193" t="inlineStr"/>
      <c r="I193" t="inlineStr">
        <is>
          <t>M3</t>
        </is>
      </c>
      <c r="J193" t="inlineStr"/>
      <c r="K193" t="inlineStr">
        <is>
          <t>20190426</t>
        </is>
      </c>
      <c r="L193" t="inlineStr">
        <is>
          <t>20250127</t>
        </is>
      </c>
    </row>
    <row r="194">
      <c r="A194" t="inlineStr">
        <is>
          <t>900001074</t>
        </is>
      </c>
      <c r="B194" t="inlineStr">
        <is>
          <t>D836</t>
        </is>
      </c>
      <c r="C194" t="inlineStr">
        <is>
          <t>65751300</t>
        </is>
      </c>
      <c r="D194" t="inlineStr">
        <is>
          <t>10000357</t>
        </is>
      </c>
      <c r="E194" t="inlineStr"/>
      <c r="F194" s="11" t="n">
        <v>95.5</v>
      </c>
      <c r="G194" t="inlineStr"/>
      <c r="I194" t="inlineStr">
        <is>
          <t>M3</t>
        </is>
      </c>
      <c r="J194" t="inlineStr"/>
      <c r="K194" t="inlineStr">
        <is>
          <t>20190426</t>
        </is>
      </c>
      <c r="L194" t="inlineStr">
        <is>
          <t>20250127</t>
        </is>
      </c>
    </row>
    <row r="195">
      <c r="A195" t="inlineStr">
        <is>
          <t>900001074</t>
        </is>
      </c>
      <c r="B195" t="inlineStr">
        <is>
          <t>D836</t>
        </is>
      </c>
      <c r="C195" t="inlineStr">
        <is>
          <t>65751300</t>
        </is>
      </c>
      <c r="D195" t="inlineStr">
        <is>
          <t>10000627</t>
        </is>
      </c>
      <c r="E195" t="inlineStr"/>
      <c r="F195" s="11" t="n">
        <v>84</v>
      </c>
      <c r="G195" t="inlineStr"/>
      <c r="I195" t="inlineStr">
        <is>
          <t>M3</t>
        </is>
      </c>
      <c r="J195" t="inlineStr"/>
      <c r="K195" t="inlineStr">
        <is>
          <t>20190426</t>
        </is>
      </c>
      <c r="L195" t="inlineStr">
        <is>
          <t>20250127</t>
        </is>
      </c>
    </row>
    <row r="196">
      <c r="A196" t="inlineStr">
        <is>
          <t>900001074</t>
        </is>
      </c>
      <c r="B196" t="inlineStr">
        <is>
          <t>D836</t>
        </is>
      </c>
      <c r="C196" t="inlineStr">
        <is>
          <t>65764474</t>
        </is>
      </c>
      <c r="D196" t="inlineStr">
        <is>
          <t>10000160</t>
        </is>
      </c>
      <c r="E196" t="inlineStr"/>
      <c r="F196" s="11" t="n">
        <v>82.28</v>
      </c>
      <c r="G196" t="inlineStr"/>
      <c r="I196" t="inlineStr">
        <is>
          <t>M3</t>
        </is>
      </c>
      <c r="J196" t="inlineStr"/>
      <c r="K196" t="inlineStr">
        <is>
          <t>20190426</t>
        </is>
      </c>
      <c r="L196" t="inlineStr">
        <is>
          <t>20250127</t>
        </is>
      </c>
    </row>
    <row r="197">
      <c r="A197" t="inlineStr">
        <is>
          <t>900001074</t>
        </is>
      </c>
      <c r="B197" t="inlineStr">
        <is>
          <t>D836</t>
        </is>
      </c>
      <c r="C197" t="inlineStr">
        <is>
          <t>65764474</t>
        </is>
      </c>
      <c r="D197" t="inlineStr">
        <is>
          <t>10000357</t>
        </is>
      </c>
      <c r="E197" t="inlineStr"/>
      <c r="F197" s="11" t="n">
        <v>87.31</v>
      </c>
      <c r="G197" t="inlineStr"/>
      <c r="I197" t="inlineStr">
        <is>
          <t>M3</t>
        </is>
      </c>
      <c r="J197" t="inlineStr"/>
      <c r="K197" t="inlineStr">
        <is>
          <t>20190426</t>
        </is>
      </c>
      <c r="L197" t="inlineStr">
        <is>
          <t>20250127</t>
        </is>
      </c>
    </row>
    <row r="198">
      <c r="A198" t="inlineStr">
        <is>
          <t>900001074</t>
        </is>
      </c>
      <c r="B198" t="inlineStr">
        <is>
          <t>D836</t>
        </is>
      </c>
      <c r="C198" t="inlineStr">
        <is>
          <t>65764475</t>
        </is>
      </c>
      <c r="D198" t="inlineStr">
        <is>
          <t>10000160</t>
        </is>
      </c>
      <c r="E198" t="inlineStr"/>
      <c r="F198" s="11" t="n">
        <v>82.28</v>
      </c>
      <c r="G198" t="inlineStr"/>
      <c r="I198" t="inlineStr">
        <is>
          <t>M3</t>
        </is>
      </c>
      <c r="J198" t="inlineStr"/>
      <c r="K198" t="inlineStr">
        <is>
          <t>20190426</t>
        </is>
      </c>
      <c r="L198" t="inlineStr">
        <is>
          <t>20250127</t>
        </is>
      </c>
    </row>
    <row r="199">
      <c r="A199" t="inlineStr">
        <is>
          <t>900001074</t>
        </is>
      </c>
      <c r="B199" t="inlineStr">
        <is>
          <t>D836</t>
        </is>
      </c>
      <c r="C199" t="inlineStr">
        <is>
          <t>65764475</t>
        </is>
      </c>
      <c r="D199" t="inlineStr">
        <is>
          <t>10000357</t>
        </is>
      </c>
      <c r="E199" t="inlineStr"/>
      <c r="F199" s="11" t="n">
        <v>87.31</v>
      </c>
      <c r="G199" t="inlineStr"/>
      <c r="I199" t="inlineStr">
        <is>
          <t>M3</t>
        </is>
      </c>
      <c r="J199" t="inlineStr"/>
      <c r="K199" t="inlineStr">
        <is>
          <t>20190426</t>
        </is>
      </c>
      <c r="L199" t="inlineStr">
        <is>
          <t>20250127</t>
        </is>
      </c>
    </row>
    <row r="200">
      <c r="A200" t="inlineStr">
        <is>
          <t>900001074</t>
        </is>
      </c>
      <c r="B200" t="inlineStr">
        <is>
          <t>D836</t>
        </is>
      </c>
      <c r="C200" t="inlineStr">
        <is>
          <t>65791154</t>
        </is>
      </c>
      <c r="D200" t="inlineStr">
        <is>
          <t>10000160</t>
        </is>
      </c>
      <c r="E200" t="inlineStr"/>
      <c r="F200" s="11" t="n">
        <v>74.36</v>
      </c>
      <c r="G200" t="inlineStr"/>
      <c r="I200" t="inlineStr">
        <is>
          <t>TN</t>
        </is>
      </c>
      <c r="J200" t="inlineStr"/>
      <c r="K200" t="inlineStr">
        <is>
          <t>20190426</t>
        </is>
      </c>
      <c r="L200" t="inlineStr">
        <is>
          <t>20250127</t>
        </is>
      </c>
    </row>
    <row r="201">
      <c r="A201" t="inlineStr">
        <is>
          <t>900001074</t>
        </is>
      </c>
      <c r="B201" t="inlineStr">
        <is>
          <t>D836</t>
        </is>
      </c>
      <c r="C201" t="inlineStr">
        <is>
          <t>65796882</t>
        </is>
      </c>
      <c r="D201" t="inlineStr">
        <is>
          <t>10000160</t>
        </is>
      </c>
      <c r="E201" t="inlineStr"/>
      <c r="F201" s="11" t="n">
        <v>88</v>
      </c>
      <c r="G201" t="inlineStr"/>
      <c r="I201" t="inlineStr">
        <is>
          <t>M3</t>
        </is>
      </c>
      <c r="J201" t="inlineStr"/>
      <c r="K201" t="inlineStr">
        <is>
          <t>20190426</t>
        </is>
      </c>
      <c r="L201" t="inlineStr">
        <is>
          <t>20250127</t>
        </is>
      </c>
    </row>
    <row r="202">
      <c r="A202" t="inlineStr">
        <is>
          <t>900001074</t>
        </is>
      </c>
      <c r="B202" t="inlineStr">
        <is>
          <t>D836</t>
        </is>
      </c>
      <c r="C202" t="inlineStr">
        <is>
          <t>65796882</t>
        </is>
      </c>
      <c r="D202" t="inlineStr">
        <is>
          <t>10000357</t>
        </is>
      </c>
      <c r="E202" t="inlineStr"/>
      <c r="F202" s="11" t="n">
        <v>100</v>
      </c>
      <c r="G202" t="inlineStr"/>
      <c r="I202" t="inlineStr">
        <is>
          <t>M3</t>
        </is>
      </c>
      <c r="J202" t="inlineStr"/>
      <c r="K202" t="inlineStr">
        <is>
          <t>20190426</t>
        </is>
      </c>
      <c r="L202" t="inlineStr">
        <is>
          <t>20250127</t>
        </is>
      </c>
    </row>
    <row r="203">
      <c r="A203" t="inlineStr">
        <is>
          <t>900001074</t>
        </is>
      </c>
      <c r="B203" t="inlineStr">
        <is>
          <t>D836</t>
        </is>
      </c>
      <c r="C203" t="inlineStr">
        <is>
          <t>65886028</t>
        </is>
      </c>
      <c r="D203" t="inlineStr">
        <is>
          <t>10000160</t>
        </is>
      </c>
      <c r="E203" t="inlineStr"/>
      <c r="F203" s="11" t="n">
        <v>90.20999999999999</v>
      </c>
      <c r="G203" t="inlineStr"/>
      <c r="I203" t="inlineStr">
        <is>
          <t>M3</t>
        </is>
      </c>
      <c r="J203" t="inlineStr"/>
      <c r="K203" t="inlineStr">
        <is>
          <t>20190426</t>
        </is>
      </c>
      <c r="L203" t="inlineStr">
        <is>
          <t>20250127</t>
        </is>
      </c>
    </row>
    <row r="204">
      <c r="A204" t="inlineStr">
        <is>
          <t>900001074</t>
        </is>
      </c>
      <c r="B204" t="inlineStr">
        <is>
          <t>D836</t>
        </is>
      </c>
      <c r="C204" t="inlineStr">
        <is>
          <t>65908426</t>
        </is>
      </c>
      <c r="D204" t="inlineStr">
        <is>
          <t>10000160</t>
        </is>
      </c>
      <c r="E204" t="inlineStr"/>
      <c r="F204" s="11" t="n">
        <v>85.59999999999999</v>
      </c>
      <c r="G204" t="inlineStr"/>
      <c r="I204" t="inlineStr">
        <is>
          <t>M3</t>
        </is>
      </c>
      <c r="J204" t="inlineStr"/>
      <c r="K204" t="inlineStr">
        <is>
          <t>20190426</t>
        </is>
      </c>
      <c r="L204" t="inlineStr">
        <is>
          <t>20250127</t>
        </is>
      </c>
    </row>
    <row r="205">
      <c r="A205" t="inlineStr">
        <is>
          <t>900001074</t>
        </is>
      </c>
      <c r="B205" t="inlineStr">
        <is>
          <t>D836</t>
        </is>
      </c>
      <c r="C205" t="inlineStr">
        <is>
          <t>65911313</t>
        </is>
      </c>
      <c r="D205" t="inlineStr">
        <is>
          <t>10000206</t>
        </is>
      </c>
      <c r="E205" t="inlineStr"/>
      <c r="F205" s="11" t="n">
        <v>28.75</v>
      </c>
      <c r="G205" t="inlineStr"/>
      <c r="I205" t="inlineStr">
        <is>
          <t>M3</t>
        </is>
      </c>
      <c r="J205" t="inlineStr"/>
      <c r="K205" t="inlineStr">
        <is>
          <t>20190426</t>
        </is>
      </c>
      <c r="L205" t="inlineStr">
        <is>
          <t>20250127</t>
        </is>
      </c>
    </row>
    <row r="206">
      <c r="A206" t="inlineStr">
        <is>
          <t>900001074</t>
        </is>
      </c>
      <c r="B206" t="inlineStr">
        <is>
          <t>D836</t>
        </is>
      </c>
      <c r="C206" t="inlineStr">
        <is>
          <t>65916616</t>
        </is>
      </c>
      <c r="D206" t="inlineStr">
        <is>
          <t>10000160</t>
        </is>
      </c>
      <c r="E206" t="inlineStr"/>
      <c r="F206" s="11" t="n">
        <v>88</v>
      </c>
      <c r="G206" t="inlineStr"/>
      <c r="I206" t="inlineStr">
        <is>
          <t>M3</t>
        </is>
      </c>
      <c r="J206" t="inlineStr"/>
      <c r="K206" t="inlineStr">
        <is>
          <t>20190426</t>
        </is>
      </c>
      <c r="L206" t="inlineStr">
        <is>
          <t>20250127</t>
        </is>
      </c>
    </row>
    <row r="207">
      <c r="A207" t="inlineStr">
        <is>
          <t>900001074</t>
        </is>
      </c>
      <c r="B207" t="inlineStr">
        <is>
          <t>D836</t>
        </is>
      </c>
      <c r="C207" t="inlineStr">
        <is>
          <t>65916616</t>
        </is>
      </c>
      <c r="D207" t="inlineStr">
        <is>
          <t>10000357</t>
        </is>
      </c>
      <c r="E207" t="inlineStr"/>
      <c r="F207" s="11" t="n">
        <v>110</v>
      </c>
      <c r="G207" t="inlineStr"/>
      <c r="I207" t="inlineStr">
        <is>
          <t>M3</t>
        </is>
      </c>
      <c r="J207" t="inlineStr"/>
      <c r="K207" t="inlineStr">
        <is>
          <t>20190426</t>
        </is>
      </c>
      <c r="L207" t="inlineStr">
        <is>
          <t>20250127</t>
        </is>
      </c>
    </row>
    <row r="208">
      <c r="A208" t="inlineStr">
        <is>
          <t>900001074</t>
        </is>
      </c>
      <c r="B208" t="inlineStr">
        <is>
          <t>D836</t>
        </is>
      </c>
      <c r="C208" t="inlineStr">
        <is>
          <t>65920750</t>
        </is>
      </c>
      <c r="D208" t="inlineStr">
        <is>
          <t>10000357</t>
        </is>
      </c>
      <c r="E208" t="inlineStr"/>
      <c r="F208" s="11" t="n">
        <v>84.92</v>
      </c>
      <c r="G208" t="inlineStr"/>
      <c r="I208" t="inlineStr">
        <is>
          <t>M3</t>
        </is>
      </c>
      <c r="J208" t="inlineStr"/>
      <c r="K208" t="inlineStr">
        <is>
          <t>20190426</t>
        </is>
      </c>
      <c r="L208" t="inlineStr">
        <is>
          <t>20250127</t>
        </is>
      </c>
    </row>
    <row r="209">
      <c r="A209" t="inlineStr">
        <is>
          <t>900001074</t>
        </is>
      </c>
      <c r="B209" t="inlineStr">
        <is>
          <t>D836</t>
        </is>
      </c>
      <c r="C209" t="inlineStr">
        <is>
          <t>65952991</t>
        </is>
      </c>
      <c r="D209" t="inlineStr">
        <is>
          <t>10000160</t>
        </is>
      </c>
      <c r="E209" t="inlineStr"/>
      <c r="F209" s="11" t="n">
        <v>82.89</v>
      </c>
      <c r="G209" t="inlineStr"/>
      <c r="I209" t="inlineStr">
        <is>
          <t>M3</t>
        </is>
      </c>
      <c r="J209" t="inlineStr"/>
      <c r="K209" t="inlineStr">
        <is>
          <t>20190426</t>
        </is>
      </c>
      <c r="L209" t="inlineStr">
        <is>
          <t>20250127</t>
        </is>
      </c>
    </row>
    <row r="210">
      <c r="A210" t="inlineStr">
        <is>
          <t>900001074</t>
        </is>
      </c>
      <c r="B210" t="inlineStr">
        <is>
          <t>D836</t>
        </is>
      </c>
      <c r="C210" t="inlineStr">
        <is>
          <t>66167552</t>
        </is>
      </c>
      <c r="D210" t="inlineStr">
        <is>
          <t>10000160</t>
        </is>
      </c>
      <c r="E210" t="inlineStr"/>
      <c r="F210" s="11" t="n">
        <v>74.98999999999999</v>
      </c>
      <c r="G210" t="inlineStr"/>
      <c r="I210" t="inlineStr">
        <is>
          <t>TN</t>
        </is>
      </c>
      <c r="J210" t="inlineStr"/>
      <c r="K210" t="inlineStr">
        <is>
          <t>20190426</t>
        </is>
      </c>
      <c r="L210" t="inlineStr">
        <is>
          <t>20250127</t>
        </is>
      </c>
    </row>
    <row r="211">
      <c r="A211" t="inlineStr">
        <is>
          <t>900001074</t>
        </is>
      </c>
      <c r="B211" t="inlineStr">
        <is>
          <t>D836</t>
        </is>
      </c>
      <c r="C211" t="inlineStr">
        <is>
          <t>66167552</t>
        </is>
      </c>
      <c r="D211" t="inlineStr">
        <is>
          <t>10000357</t>
        </is>
      </c>
      <c r="E211" t="inlineStr"/>
      <c r="F211" s="11" t="n">
        <v>73.83</v>
      </c>
      <c r="G211" t="inlineStr"/>
      <c r="I211" t="inlineStr">
        <is>
          <t>TN</t>
        </is>
      </c>
      <c r="J211" t="inlineStr"/>
      <c r="K211" t="inlineStr">
        <is>
          <t>20190426</t>
        </is>
      </c>
      <c r="L211" t="inlineStr">
        <is>
          <t>20250127</t>
        </is>
      </c>
    </row>
    <row r="212">
      <c r="A212" t="inlineStr">
        <is>
          <t>900001074</t>
        </is>
      </c>
      <c r="B212" t="inlineStr">
        <is>
          <t>D836</t>
        </is>
      </c>
      <c r="C212" t="inlineStr">
        <is>
          <t>66212637</t>
        </is>
      </c>
      <c r="D212" t="inlineStr">
        <is>
          <t>10019515</t>
        </is>
      </c>
      <c r="E212" t="inlineStr"/>
      <c r="F212" s="11" t="n">
        <v>120.18</v>
      </c>
      <c r="G212" t="inlineStr"/>
      <c r="I212" t="inlineStr">
        <is>
          <t>M3</t>
        </is>
      </c>
      <c r="J212" t="inlineStr"/>
      <c r="K212" t="inlineStr">
        <is>
          <t>20190426</t>
        </is>
      </c>
      <c r="L212" t="inlineStr">
        <is>
          <t>20250127</t>
        </is>
      </c>
    </row>
    <row r="213">
      <c r="A213" t="inlineStr">
        <is>
          <t>900001074</t>
        </is>
      </c>
      <c r="B213" t="inlineStr">
        <is>
          <t>D836</t>
        </is>
      </c>
      <c r="C213" t="inlineStr">
        <is>
          <t>66230098</t>
        </is>
      </c>
      <c r="D213" t="inlineStr">
        <is>
          <t>10000160</t>
        </is>
      </c>
      <c r="E213" t="inlineStr"/>
      <c r="F213" s="11" t="n">
        <v>99.98</v>
      </c>
      <c r="G213" t="inlineStr"/>
      <c r="I213" t="inlineStr">
        <is>
          <t>M3</t>
        </is>
      </c>
      <c r="J213" t="inlineStr"/>
      <c r="K213" t="inlineStr">
        <is>
          <t>20190426</t>
        </is>
      </c>
      <c r="L213" t="inlineStr">
        <is>
          <t>20250127</t>
        </is>
      </c>
    </row>
    <row r="214">
      <c r="A214" t="inlineStr">
        <is>
          <t>900001074</t>
        </is>
      </c>
      <c r="B214" t="inlineStr">
        <is>
          <t>D836</t>
        </is>
      </c>
      <c r="C214" t="inlineStr">
        <is>
          <t>66230098</t>
        </is>
      </c>
      <c r="D214" t="inlineStr">
        <is>
          <t>10000357</t>
        </is>
      </c>
      <c r="E214" t="inlineStr"/>
      <c r="F214" s="11" t="n">
        <v>121</v>
      </c>
      <c r="G214" t="inlineStr"/>
      <c r="I214" t="inlineStr">
        <is>
          <t>M3</t>
        </is>
      </c>
      <c r="J214" t="inlineStr"/>
      <c r="K214" t="inlineStr">
        <is>
          <t>20190426</t>
        </is>
      </c>
      <c r="L214" t="inlineStr">
        <is>
          <t>20250127</t>
        </is>
      </c>
    </row>
    <row r="215">
      <c r="A215" t="inlineStr">
        <is>
          <t>900001074</t>
        </is>
      </c>
      <c r="B215" t="inlineStr">
        <is>
          <t>D836</t>
        </is>
      </c>
      <c r="C215" t="inlineStr">
        <is>
          <t>66230524</t>
        </is>
      </c>
      <c r="D215" t="inlineStr">
        <is>
          <t>10000357</t>
        </is>
      </c>
      <c r="E215" t="inlineStr"/>
      <c r="F215" s="11" t="n">
        <v>105</v>
      </c>
      <c r="G215" t="inlineStr"/>
      <c r="I215" t="inlineStr">
        <is>
          <t>M3</t>
        </is>
      </c>
      <c r="J215" t="inlineStr"/>
      <c r="K215" t="inlineStr">
        <is>
          <t>20190426</t>
        </is>
      </c>
      <c r="L215" t="inlineStr">
        <is>
          <t>20250127</t>
        </is>
      </c>
    </row>
    <row r="216">
      <c r="A216" t="inlineStr">
        <is>
          <t>900001074</t>
        </is>
      </c>
      <c r="B216" t="inlineStr">
        <is>
          <t>D836</t>
        </is>
      </c>
      <c r="C216" t="inlineStr">
        <is>
          <t>66233244</t>
        </is>
      </c>
      <c r="D216" t="inlineStr">
        <is>
          <t>10000160</t>
        </is>
      </c>
      <c r="E216" t="inlineStr"/>
      <c r="F216" s="11" t="n">
        <v>89.25</v>
      </c>
      <c r="G216" t="inlineStr"/>
      <c r="I216" t="inlineStr">
        <is>
          <t>M3</t>
        </is>
      </c>
      <c r="J216" t="inlineStr"/>
      <c r="K216" t="inlineStr">
        <is>
          <t>20190426</t>
        </is>
      </c>
      <c r="L216" t="inlineStr">
        <is>
          <t>20250127</t>
        </is>
      </c>
    </row>
    <row r="217">
      <c r="A217" t="inlineStr">
        <is>
          <t>900001074</t>
        </is>
      </c>
      <c r="B217" t="inlineStr">
        <is>
          <t>D836</t>
        </is>
      </c>
      <c r="C217" t="inlineStr">
        <is>
          <t>66233244</t>
        </is>
      </c>
      <c r="D217" t="inlineStr">
        <is>
          <t>10000357</t>
        </is>
      </c>
      <c r="E217" t="inlineStr"/>
      <c r="F217" s="11" t="n">
        <v>100.8</v>
      </c>
      <c r="G217" t="inlineStr"/>
      <c r="I217" t="inlineStr">
        <is>
          <t>M3</t>
        </is>
      </c>
      <c r="J217" t="inlineStr"/>
      <c r="K217" t="inlineStr">
        <is>
          <t>20190426</t>
        </is>
      </c>
      <c r="L217" t="inlineStr">
        <is>
          <t>20250127</t>
        </is>
      </c>
    </row>
    <row r="218">
      <c r="A218" t="inlineStr">
        <is>
          <t>900001074</t>
        </is>
      </c>
      <c r="B218" t="inlineStr">
        <is>
          <t>D836</t>
        </is>
      </c>
      <c r="C218" t="inlineStr">
        <is>
          <t>66233244</t>
        </is>
      </c>
      <c r="D218" t="inlineStr">
        <is>
          <t>10000627</t>
        </is>
      </c>
      <c r="E218" t="inlineStr"/>
      <c r="F218" s="11" t="n">
        <v>87</v>
      </c>
      <c r="G218" t="inlineStr"/>
      <c r="I218" t="inlineStr">
        <is>
          <t>M3</t>
        </is>
      </c>
      <c r="J218" t="inlineStr"/>
      <c r="K218" t="inlineStr">
        <is>
          <t>20190426</t>
        </is>
      </c>
      <c r="L218" t="inlineStr">
        <is>
          <t>20250127</t>
        </is>
      </c>
    </row>
    <row r="219">
      <c r="A219" t="inlineStr">
        <is>
          <t>900001074</t>
        </is>
      </c>
      <c r="B219" t="inlineStr">
        <is>
          <t>D836</t>
        </is>
      </c>
      <c r="C219" t="inlineStr">
        <is>
          <t>66239560</t>
        </is>
      </c>
      <c r="D219" t="inlineStr">
        <is>
          <t>10000160</t>
        </is>
      </c>
      <c r="E219" t="inlineStr"/>
      <c r="F219" s="11" t="n">
        <v>84</v>
      </c>
      <c r="G219" t="inlineStr"/>
      <c r="I219" t="inlineStr">
        <is>
          <t>M3</t>
        </is>
      </c>
      <c r="J219" t="inlineStr"/>
      <c r="K219" t="inlineStr">
        <is>
          <t>20190426</t>
        </is>
      </c>
      <c r="L219" t="inlineStr">
        <is>
          <t>20250127</t>
        </is>
      </c>
    </row>
    <row r="220">
      <c r="A220" t="inlineStr">
        <is>
          <t>900001074</t>
        </is>
      </c>
      <c r="B220" t="inlineStr">
        <is>
          <t>D836</t>
        </is>
      </c>
      <c r="C220" t="inlineStr">
        <is>
          <t>66239560</t>
        </is>
      </c>
      <c r="D220" t="inlineStr">
        <is>
          <t>10000357</t>
        </is>
      </c>
      <c r="E220" t="inlineStr"/>
      <c r="F220" s="11" t="n">
        <v>95.5</v>
      </c>
      <c r="G220" t="inlineStr"/>
      <c r="I220" t="inlineStr">
        <is>
          <t>M3</t>
        </is>
      </c>
      <c r="J220" t="inlineStr"/>
      <c r="K220" t="inlineStr">
        <is>
          <t>20190426</t>
        </is>
      </c>
      <c r="L220" t="inlineStr">
        <is>
          <t>20250127</t>
        </is>
      </c>
    </row>
    <row r="221">
      <c r="A221" t="inlineStr">
        <is>
          <t>900001074</t>
        </is>
      </c>
      <c r="B221" t="inlineStr">
        <is>
          <t>D836</t>
        </is>
      </c>
      <c r="C221" t="inlineStr">
        <is>
          <t>66239560</t>
        </is>
      </c>
      <c r="D221" t="inlineStr">
        <is>
          <t>10000627</t>
        </is>
      </c>
      <c r="E221" t="inlineStr"/>
      <c r="F221" s="11" t="n">
        <v>84</v>
      </c>
      <c r="G221" t="inlineStr"/>
      <c r="I221" t="inlineStr">
        <is>
          <t>M3</t>
        </is>
      </c>
      <c r="J221" t="inlineStr"/>
      <c r="K221" t="inlineStr">
        <is>
          <t>20190426</t>
        </is>
      </c>
      <c r="L221" t="inlineStr">
        <is>
          <t>20250127</t>
        </is>
      </c>
    </row>
    <row r="222">
      <c r="A222" t="inlineStr">
        <is>
          <t>900001074</t>
        </is>
      </c>
      <c r="B222" t="inlineStr">
        <is>
          <t>D836</t>
        </is>
      </c>
      <c r="C222" t="inlineStr">
        <is>
          <t>66239561</t>
        </is>
      </c>
      <c r="D222" t="inlineStr">
        <is>
          <t>10000160</t>
        </is>
      </c>
      <c r="E222" t="inlineStr"/>
      <c r="F222" s="11" t="n">
        <v>84</v>
      </c>
      <c r="G222" t="inlineStr"/>
      <c r="I222" t="inlineStr">
        <is>
          <t>M3</t>
        </is>
      </c>
      <c r="J222" t="inlineStr"/>
      <c r="K222" t="inlineStr">
        <is>
          <t>20190426</t>
        </is>
      </c>
      <c r="L222" t="inlineStr">
        <is>
          <t>20250127</t>
        </is>
      </c>
    </row>
    <row r="223">
      <c r="A223" t="inlineStr">
        <is>
          <t>900001074</t>
        </is>
      </c>
      <c r="B223" t="inlineStr">
        <is>
          <t>D836</t>
        </is>
      </c>
      <c r="C223" t="inlineStr">
        <is>
          <t>66239561</t>
        </is>
      </c>
      <c r="D223" t="inlineStr">
        <is>
          <t>10000357</t>
        </is>
      </c>
      <c r="E223" t="inlineStr"/>
      <c r="F223" s="11" t="n">
        <v>95.5</v>
      </c>
      <c r="G223" t="inlineStr"/>
      <c r="I223" t="inlineStr">
        <is>
          <t>M3</t>
        </is>
      </c>
      <c r="J223" t="inlineStr"/>
      <c r="K223" t="inlineStr">
        <is>
          <t>20190426</t>
        </is>
      </c>
      <c r="L223" t="inlineStr">
        <is>
          <t>20250127</t>
        </is>
      </c>
    </row>
    <row r="224">
      <c r="A224" t="inlineStr">
        <is>
          <t>900001074</t>
        </is>
      </c>
      <c r="B224" t="inlineStr">
        <is>
          <t>D836</t>
        </is>
      </c>
      <c r="C224" t="inlineStr">
        <is>
          <t>66239561</t>
        </is>
      </c>
      <c r="D224" t="inlineStr">
        <is>
          <t>10000627</t>
        </is>
      </c>
      <c r="E224" t="inlineStr"/>
      <c r="F224" s="11" t="n">
        <v>84</v>
      </c>
      <c r="G224" t="inlineStr"/>
      <c r="I224" t="inlineStr">
        <is>
          <t>M3</t>
        </is>
      </c>
      <c r="J224" t="inlineStr"/>
      <c r="K224" t="inlineStr">
        <is>
          <t>20190426</t>
        </is>
      </c>
      <c r="L224" t="inlineStr">
        <is>
          <t>20250127</t>
        </is>
      </c>
    </row>
    <row r="225">
      <c r="A225" t="inlineStr">
        <is>
          <t>900001074</t>
        </is>
      </c>
      <c r="B225" t="inlineStr">
        <is>
          <t>D836</t>
        </is>
      </c>
      <c r="C225" t="inlineStr">
        <is>
          <t>66239598</t>
        </is>
      </c>
      <c r="D225" t="inlineStr">
        <is>
          <t>10000160</t>
        </is>
      </c>
      <c r="E225" t="inlineStr"/>
      <c r="F225" s="11" t="n">
        <v>84</v>
      </c>
      <c r="G225" t="inlineStr"/>
      <c r="I225" t="inlineStr">
        <is>
          <t>M3</t>
        </is>
      </c>
      <c r="J225" t="inlineStr"/>
      <c r="K225" t="inlineStr">
        <is>
          <t>20190426</t>
        </is>
      </c>
      <c r="L225" t="inlineStr">
        <is>
          <t>20250127</t>
        </is>
      </c>
    </row>
    <row r="226">
      <c r="A226" t="inlineStr">
        <is>
          <t>900001074</t>
        </is>
      </c>
      <c r="B226" t="inlineStr">
        <is>
          <t>D836</t>
        </is>
      </c>
      <c r="C226" t="inlineStr">
        <is>
          <t>66239598</t>
        </is>
      </c>
      <c r="D226" t="inlineStr">
        <is>
          <t>10000357</t>
        </is>
      </c>
      <c r="E226" t="inlineStr"/>
      <c r="F226" s="11" t="n">
        <v>95.5</v>
      </c>
      <c r="G226" t="inlineStr"/>
      <c r="I226" t="inlineStr">
        <is>
          <t>M3</t>
        </is>
      </c>
      <c r="J226" t="inlineStr"/>
      <c r="K226" t="inlineStr">
        <is>
          <t>20190426</t>
        </is>
      </c>
      <c r="L226" t="inlineStr">
        <is>
          <t>20250127</t>
        </is>
      </c>
    </row>
    <row r="227">
      <c r="A227" t="inlineStr">
        <is>
          <t>900001074</t>
        </is>
      </c>
      <c r="B227" t="inlineStr">
        <is>
          <t>D836</t>
        </is>
      </c>
      <c r="C227" t="inlineStr">
        <is>
          <t>66239598</t>
        </is>
      </c>
      <c r="D227" t="inlineStr">
        <is>
          <t>10000627</t>
        </is>
      </c>
      <c r="E227" t="inlineStr"/>
      <c r="F227" s="11" t="n">
        <v>84</v>
      </c>
      <c r="G227" t="inlineStr"/>
      <c r="I227" t="inlineStr">
        <is>
          <t>M3</t>
        </is>
      </c>
      <c r="J227" t="inlineStr"/>
      <c r="K227" t="inlineStr">
        <is>
          <t>20190426</t>
        </is>
      </c>
      <c r="L227" t="inlineStr">
        <is>
          <t>20250127</t>
        </is>
      </c>
    </row>
    <row r="228">
      <c r="A228" t="inlineStr">
        <is>
          <t>900001074</t>
        </is>
      </c>
      <c r="B228" t="inlineStr">
        <is>
          <t>D836</t>
        </is>
      </c>
      <c r="C228" t="inlineStr">
        <is>
          <t>66239599</t>
        </is>
      </c>
      <c r="D228" t="inlineStr">
        <is>
          <t>10000160</t>
        </is>
      </c>
      <c r="E228" t="inlineStr"/>
      <c r="F228" s="11" t="n">
        <v>84</v>
      </c>
      <c r="G228" t="inlineStr"/>
      <c r="I228" t="inlineStr">
        <is>
          <t>M3</t>
        </is>
      </c>
      <c r="J228" t="inlineStr"/>
      <c r="K228" t="inlineStr">
        <is>
          <t>20190426</t>
        </is>
      </c>
      <c r="L228" t="inlineStr">
        <is>
          <t>20250127</t>
        </is>
      </c>
    </row>
    <row r="229">
      <c r="A229" t="inlineStr">
        <is>
          <t>900001074</t>
        </is>
      </c>
      <c r="B229" t="inlineStr">
        <is>
          <t>D836</t>
        </is>
      </c>
      <c r="C229" t="inlineStr">
        <is>
          <t>66239599</t>
        </is>
      </c>
      <c r="D229" t="inlineStr">
        <is>
          <t>10000357</t>
        </is>
      </c>
      <c r="E229" t="inlineStr"/>
      <c r="F229" s="11" t="n">
        <v>95.5</v>
      </c>
      <c r="G229" t="inlineStr"/>
      <c r="I229" t="inlineStr">
        <is>
          <t>M3</t>
        </is>
      </c>
      <c r="J229" t="inlineStr"/>
      <c r="K229" t="inlineStr">
        <is>
          <t>20190426</t>
        </is>
      </c>
      <c r="L229" t="inlineStr">
        <is>
          <t>20250127</t>
        </is>
      </c>
    </row>
    <row r="230">
      <c r="A230" t="inlineStr">
        <is>
          <t>900001074</t>
        </is>
      </c>
      <c r="B230" t="inlineStr">
        <is>
          <t>D836</t>
        </is>
      </c>
      <c r="C230" t="inlineStr">
        <is>
          <t>66239599</t>
        </is>
      </c>
      <c r="D230" t="inlineStr">
        <is>
          <t>10000627</t>
        </is>
      </c>
      <c r="E230" t="inlineStr"/>
      <c r="F230" s="11" t="n">
        <v>84</v>
      </c>
      <c r="G230" t="inlineStr"/>
      <c r="I230" t="inlineStr">
        <is>
          <t>M3</t>
        </is>
      </c>
      <c r="J230" t="inlineStr"/>
      <c r="K230" t="inlineStr">
        <is>
          <t>20190426</t>
        </is>
      </c>
      <c r="L230" t="inlineStr">
        <is>
          <t>20250127</t>
        </is>
      </c>
    </row>
    <row r="231">
      <c r="A231" t="inlineStr">
        <is>
          <t>900001074</t>
        </is>
      </c>
      <c r="B231" t="inlineStr">
        <is>
          <t>D836</t>
        </is>
      </c>
      <c r="C231" t="inlineStr">
        <is>
          <t>66239600</t>
        </is>
      </c>
      <c r="D231" t="inlineStr">
        <is>
          <t>10000160</t>
        </is>
      </c>
      <c r="E231" t="inlineStr"/>
      <c r="F231" s="11" t="n">
        <v>84</v>
      </c>
      <c r="G231" t="inlineStr"/>
      <c r="I231" t="inlineStr">
        <is>
          <t>M3</t>
        </is>
      </c>
      <c r="J231" t="inlineStr"/>
      <c r="K231" t="inlineStr">
        <is>
          <t>20190426</t>
        </is>
      </c>
      <c r="L231" t="inlineStr">
        <is>
          <t>20250127</t>
        </is>
      </c>
    </row>
    <row r="232">
      <c r="A232" t="inlineStr">
        <is>
          <t>900001074</t>
        </is>
      </c>
      <c r="B232" t="inlineStr">
        <is>
          <t>D836</t>
        </is>
      </c>
      <c r="C232" t="inlineStr">
        <is>
          <t>66239600</t>
        </is>
      </c>
      <c r="D232" t="inlineStr">
        <is>
          <t>10000357</t>
        </is>
      </c>
      <c r="E232" t="inlineStr"/>
      <c r="F232" s="11" t="n">
        <v>95.5</v>
      </c>
      <c r="G232" t="inlineStr"/>
      <c r="I232" t="inlineStr">
        <is>
          <t>M3</t>
        </is>
      </c>
      <c r="J232" t="inlineStr"/>
      <c r="K232" t="inlineStr">
        <is>
          <t>20190426</t>
        </is>
      </c>
      <c r="L232" t="inlineStr">
        <is>
          <t>20250127</t>
        </is>
      </c>
    </row>
    <row r="233">
      <c r="A233" t="inlineStr">
        <is>
          <t>900001074</t>
        </is>
      </c>
      <c r="B233" t="inlineStr">
        <is>
          <t>D836</t>
        </is>
      </c>
      <c r="C233" t="inlineStr">
        <is>
          <t>66239600</t>
        </is>
      </c>
      <c r="D233" t="inlineStr">
        <is>
          <t>10000627</t>
        </is>
      </c>
      <c r="E233" t="inlineStr"/>
      <c r="F233" s="11" t="n">
        <v>84</v>
      </c>
      <c r="G233" t="inlineStr"/>
      <c r="I233" t="inlineStr">
        <is>
          <t>M3</t>
        </is>
      </c>
      <c r="J233" t="inlineStr"/>
      <c r="K233" t="inlineStr">
        <is>
          <t>20190426</t>
        </is>
      </c>
      <c r="L233" t="inlineStr">
        <is>
          <t>20250127</t>
        </is>
      </c>
    </row>
    <row r="234">
      <c r="A234" t="inlineStr">
        <is>
          <t>900001074</t>
        </is>
      </c>
      <c r="B234" t="inlineStr">
        <is>
          <t>D836</t>
        </is>
      </c>
      <c r="C234" t="inlineStr">
        <is>
          <t>66239601</t>
        </is>
      </c>
      <c r="D234" t="inlineStr">
        <is>
          <t>10000160</t>
        </is>
      </c>
      <c r="E234" t="inlineStr"/>
      <c r="F234" s="11" t="n">
        <v>84</v>
      </c>
      <c r="G234" t="inlineStr"/>
      <c r="I234" t="inlineStr">
        <is>
          <t>M3</t>
        </is>
      </c>
      <c r="J234" t="inlineStr"/>
      <c r="K234" t="inlineStr">
        <is>
          <t>20190426</t>
        </is>
      </c>
      <c r="L234" t="inlineStr">
        <is>
          <t>20250127</t>
        </is>
      </c>
    </row>
    <row r="235">
      <c r="A235" t="inlineStr">
        <is>
          <t>900001074</t>
        </is>
      </c>
      <c r="B235" t="inlineStr">
        <is>
          <t>D836</t>
        </is>
      </c>
      <c r="C235" t="inlineStr">
        <is>
          <t>66239601</t>
        </is>
      </c>
      <c r="D235" t="inlineStr">
        <is>
          <t>10000357</t>
        </is>
      </c>
      <c r="E235" t="inlineStr"/>
      <c r="F235" s="11" t="n">
        <v>95.5</v>
      </c>
      <c r="G235" t="inlineStr"/>
      <c r="I235" t="inlineStr">
        <is>
          <t>M3</t>
        </is>
      </c>
      <c r="J235" t="inlineStr"/>
      <c r="K235" t="inlineStr">
        <is>
          <t>20190426</t>
        </is>
      </c>
      <c r="L235" t="inlineStr">
        <is>
          <t>20250127</t>
        </is>
      </c>
    </row>
    <row r="236">
      <c r="A236" t="inlineStr">
        <is>
          <t>900001074</t>
        </is>
      </c>
      <c r="B236" t="inlineStr">
        <is>
          <t>D836</t>
        </is>
      </c>
      <c r="C236" t="inlineStr">
        <is>
          <t>66239601</t>
        </is>
      </c>
      <c r="D236" t="inlineStr">
        <is>
          <t>10000627</t>
        </is>
      </c>
      <c r="E236" t="inlineStr"/>
      <c r="F236" s="11" t="n">
        <v>84</v>
      </c>
      <c r="G236" t="inlineStr"/>
      <c r="I236" t="inlineStr">
        <is>
          <t>M3</t>
        </is>
      </c>
      <c r="J236" t="inlineStr"/>
      <c r="K236" t="inlineStr">
        <is>
          <t>20190426</t>
        </is>
      </c>
      <c r="L236" t="inlineStr">
        <is>
          <t>20250127</t>
        </is>
      </c>
    </row>
    <row r="237">
      <c r="A237" t="inlineStr">
        <is>
          <t>900001074</t>
        </is>
      </c>
      <c r="B237" t="inlineStr">
        <is>
          <t>D836</t>
        </is>
      </c>
      <c r="C237" t="inlineStr">
        <is>
          <t>66239617</t>
        </is>
      </c>
      <c r="D237" t="inlineStr">
        <is>
          <t>10000160</t>
        </is>
      </c>
      <c r="E237" t="inlineStr"/>
      <c r="F237" s="11" t="n">
        <v>84</v>
      </c>
      <c r="G237" t="inlineStr"/>
      <c r="I237" t="inlineStr">
        <is>
          <t>M3</t>
        </is>
      </c>
      <c r="J237" t="inlineStr"/>
      <c r="K237" t="inlineStr">
        <is>
          <t>20190426</t>
        </is>
      </c>
      <c r="L237" t="inlineStr">
        <is>
          <t>20250127</t>
        </is>
      </c>
    </row>
    <row r="238">
      <c r="A238" t="inlineStr">
        <is>
          <t>900001074</t>
        </is>
      </c>
      <c r="B238" t="inlineStr">
        <is>
          <t>D836</t>
        </is>
      </c>
      <c r="C238" t="inlineStr">
        <is>
          <t>66239617</t>
        </is>
      </c>
      <c r="D238" t="inlineStr">
        <is>
          <t>10000357</t>
        </is>
      </c>
      <c r="E238" t="inlineStr"/>
      <c r="F238" s="11" t="n">
        <v>95.5</v>
      </c>
      <c r="G238" t="inlineStr"/>
      <c r="I238" t="inlineStr">
        <is>
          <t>M3</t>
        </is>
      </c>
      <c r="J238" t="inlineStr"/>
      <c r="K238" t="inlineStr">
        <is>
          <t>20190426</t>
        </is>
      </c>
      <c r="L238" t="inlineStr">
        <is>
          <t>20250127</t>
        </is>
      </c>
    </row>
    <row r="239">
      <c r="A239" t="inlineStr">
        <is>
          <t>900001074</t>
        </is>
      </c>
      <c r="B239" t="inlineStr">
        <is>
          <t>D836</t>
        </is>
      </c>
      <c r="C239" t="inlineStr">
        <is>
          <t>66239617</t>
        </is>
      </c>
      <c r="D239" t="inlineStr">
        <is>
          <t>10000627</t>
        </is>
      </c>
      <c r="E239" t="inlineStr"/>
      <c r="F239" s="11" t="n">
        <v>84</v>
      </c>
      <c r="G239" t="inlineStr"/>
      <c r="I239" t="inlineStr">
        <is>
          <t>M3</t>
        </is>
      </c>
      <c r="J239" t="inlineStr"/>
      <c r="K239" t="inlineStr">
        <is>
          <t>20190426</t>
        </is>
      </c>
      <c r="L239" t="inlineStr">
        <is>
          <t>20250127</t>
        </is>
      </c>
    </row>
    <row r="240">
      <c r="A240" t="inlineStr">
        <is>
          <t>900001074</t>
        </is>
      </c>
      <c r="B240" t="inlineStr">
        <is>
          <t>D836</t>
        </is>
      </c>
      <c r="C240" t="inlineStr">
        <is>
          <t>66239618</t>
        </is>
      </c>
      <c r="D240" t="inlineStr">
        <is>
          <t>10000160</t>
        </is>
      </c>
      <c r="E240" t="inlineStr"/>
      <c r="F240" s="11" t="n">
        <v>84</v>
      </c>
      <c r="G240" t="inlineStr"/>
      <c r="I240" t="inlineStr">
        <is>
          <t>M3</t>
        </is>
      </c>
      <c r="J240" t="inlineStr"/>
      <c r="K240" t="inlineStr">
        <is>
          <t>20190426</t>
        </is>
      </c>
      <c r="L240" t="inlineStr">
        <is>
          <t>20250127</t>
        </is>
      </c>
    </row>
    <row r="241">
      <c r="A241" t="inlineStr">
        <is>
          <t>900001074</t>
        </is>
      </c>
      <c r="B241" t="inlineStr">
        <is>
          <t>D836</t>
        </is>
      </c>
      <c r="C241" t="inlineStr">
        <is>
          <t>66239618</t>
        </is>
      </c>
      <c r="D241" t="inlineStr">
        <is>
          <t>10000357</t>
        </is>
      </c>
      <c r="E241" t="inlineStr"/>
      <c r="F241" s="11" t="n">
        <v>95.5</v>
      </c>
      <c r="G241" t="inlineStr"/>
      <c r="I241" t="inlineStr">
        <is>
          <t>M3</t>
        </is>
      </c>
      <c r="J241" t="inlineStr"/>
      <c r="K241" t="inlineStr">
        <is>
          <t>20190426</t>
        </is>
      </c>
      <c r="L241" t="inlineStr">
        <is>
          <t>20250127</t>
        </is>
      </c>
    </row>
    <row r="242">
      <c r="A242" t="inlineStr">
        <is>
          <t>900001074</t>
        </is>
      </c>
      <c r="B242" t="inlineStr">
        <is>
          <t>D836</t>
        </is>
      </c>
      <c r="C242" t="inlineStr">
        <is>
          <t>66239618</t>
        </is>
      </c>
      <c r="D242" t="inlineStr">
        <is>
          <t>10000627</t>
        </is>
      </c>
      <c r="E242" t="inlineStr"/>
      <c r="F242" s="11" t="n">
        <v>84</v>
      </c>
      <c r="G242" t="inlineStr"/>
      <c r="I242" t="inlineStr">
        <is>
          <t>M3</t>
        </is>
      </c>
      <c r="J242" t="inlineStr"/>
      <c r="K242" t="inlineStr">
        <is>
          <t>20190426</t>
        </is>
      </c>
      <c r="L242" t="inlineStr">
        <is>
          <t>20250127</t>
        </is>
      </c>
    </row>
    <row r="243">
      <c r="A243" t="inlineStr">
        <is>
          <t>900001074</t>
        </is>
      </c>
      <c r="B243" t="inlineStr">
        <is>
          <t>D836</t>
        </is>
      </c>
      <c r="C243" t="inlineStr">
        <is>
          <t>66239621</t>
        </is>
      </c>
      <c r="D243" t="inlineStr">
        <is>
          <t>10000160</t>
        </is>
      </c>
      <c r="E243" t="inlineStr"/>
      <c r="F243" s="11" t="n">
        <v>84</v>
      </c>
      <c r="G243" t="inlineStr"/>
      <c r="I243" t="inlineStr">
        <is>
          <t>M3</t>
        </is>
      </c>
      <c r="J243" t="inlineStr"/>
      <c r="K243" t="inlineStr">
        <is>
          <t>20190426</t>
        </is>
      </c>
      <c r="L243" t="inlineStr">
        <is>
          <t>20250127</t>
        </is>
      </c>
    </row>
    <row r="244">
      <c r="A244" t="inlineStr">
        <is>
          <t>900001074</t>
        </is>
      </c>
      <c r="B244" t="inlineStr">
        <is>
          <t>D836</t>
        </is>
      </c>
      <c r="C244" t="inlineStr">
        <is>
          <t>66239621</t>
        </is>
      </c>
      <c r="D244" t="inlineStr">
        <is>
          <t>10000357</t>
        </is>
      </c>
      <c r="E244" t="inlineStr"/>
      <c r="F244" s="11" t="n">
        <v>95.5</v>
      </c>
      <c r="G244" t="inlineStr"/>
      <c r="I244" t="inlineStr">
        <is>
          <t>M3</t>
        </is>
      </c>
      <c r="J244" t="inlineStr"/>
      <c r="K244" t="inlineStr">
        <is>
          <t>20190426</t>
        </is>
      </c>
      <c r="L244" t="inlineStr">
        <is>
          <t>20250127</t>
        </is>
      </c>
    </row>
    <row r="245">
      <c r="A245" t="inlineStr">
        <is>
          <t>900001074</t>
        </is>
      </c>
      <c r="B245" t="inlineStr">
        <is>
          <t>D836</t>
        </is>
      </c>
      <c r="C245" t="inlineStr">
        <is>
          <t>66239621</t>
        </is>
      </c>
      <c r="D245" t="inlineStr">
        <is>
          <t>10000627</t>
        </is>
      </c>
      <c r="E245" t="inlineStr"/>
      <c r="F245" s="11" t="n">
        <v>84</v>
      </c>
      <c r="G245" t="inlineStr"/>
      <c r="I245" t="inlineStr">
        <is>
          <t>M3</t>
        </is>
      </c>
      <c r="J245" t="inlineStr"/>
      <c r="K245" t="inlineStr">
        <is>
          <t>20190426</t>
        </is>
      </c>
      <c r="L245" t="inlineStr">
        <is>
          <t>20250127</t>
        </is>
      </c>
    </row>
    <row r="246">
      <c r="A246" t="inlineStr">
        <is>
          <t>900001074</t>
        </is>
      </c>
      <c r="B246" t="inlineStr">
        <is>
          <t>D836</t>
        </is>
      </c>
      <c r="C246" t="inlineStr">
        <is>
          <t>66239627</t>
        </is>
      </c>
      <c r="D246" t="inlineStr">
        <is>
          <t>10000160</t>
        </is>
      </c>
      <c r="E246" t="inlineStr"/>
      <c r="F246" s="11" t="n">
        <v>84</v>
      </c>
      <c r="G246" t="inlineStr"/>
      <c r="I246" t="inlineStr">
        <is>
          <t>M3</t>
        </is>
      </c>
      <c r="J246" t="inlineStr"/>
      <c r="K246" t="inlineStr">
        <is>
          <t>20190426</t>
        </is>
      </c>
      <c r="L246" t="inlineStr">
        <is>
          <t>20250127</t>
        </is>
      </c>
    </row>
    <row r="247">
      <c r="A247" t="inlineStr">
        <is>
          <t>900001074</t>
        </is>
      </c>
      <c r="B247" t="inlineStr">
        <is>
          <t>D836</t>
        </is>
      </c>
      <c r="C247" t="inlineStr">
        <is>
          <t>66239627</t>
        </is>
      </c>
      <c r="D247" t="inlineStr">
        <is>
          <t>10000357</t>
        </is>
      </c>
      <c r="E247" t="inlineStr"/>
      <c r="F247" s="11" t="n">
        <v>95.5</v>
      </c>
      <c r="G247" t="inlineStr"/>
      <c r="I247" t="inlineStr">
        <is>
          <t>M3</t>
        </is>
      </c>
      <c r="J247" t="inlineStr"/>
      <c r="K247" t="inlineStr">
        <is>
          <t>20190426</t>
        </is>
      </c>
      <c r="L247" t="inlineStr">
        <is>
          <t>20250127</t>
        </is>
      </c>
    </row>
    <row r="248">
      <c r="A248" t="inlineStr">
        <is>
          <t>900001074</t>
        </is>
      </c>
      <c r="B248" t="inlineStr">
        <is>
          <t>D836</t>
        </is>
      </c>
      <c r="C248" t="inlineStr">
        <is>
          <t>66239627</t>
        </is>
      </c>
      <c r="D248" t="inlineStr">
        <is>
          <t>10000627</t>
        </is>
      </c>
      <c r="E248" t="inlineStr"/>
      <c r="F248" s="11" t="n">
        <v>84</v>
      </c>
      <c r="G248" t="inlineStr"/>
      <c r="I248" t="inlineStr">
        <is>
          <t>M3</t>
        </is>
      </c>
      <c r="J248" t="inlineStr"/>
      <c r="K248" t="inlineStr">
        <is>
          <t>20190426</t>
        </is>
      </c>
      <c r="L248" t="inlineStr">
        <is>
          <t>20250127</t>
        </is>
      </c>
    </row>
    <row r="249">
      <c r="A249" t="inlineStr">
        <is>
          <t>900001074</t>
        </is>
      </c>
      <c r="B249" t="inlineStr">
        <is>
          <t>D836</t>
        </is>
      </c>
      <c r="C249" t="inlineStr">
        <is>
          <t>66239628</t>
        </is>
      </c>
      <c r="D249" t="inlineStr">
        <is>
          <t>10000160</t>
        </is>
      </c>
      <c r="E249" t="inlineStr"/>
      <c r="F249" s="11" t="n">
        <v>84</v>
      </c>
      <c r="G249" t="inlineStr"/>
      <c r="I249" t="inlineStr">
        <is>
          <t>M3</t>
        </is>
      </c>
      <c r="J249" t="inlineStr"/>
      <c r="K249" t="inlineStr">
        <is>
          <t>20190426</t>
        </is>
      </c>
      <c r="L249" t="inlineStr">
        <is>
          <t>20250127</t>
        </is>
      </c>
    </row>
    <row r="250">
      <c r="A250" t="inlineStr">
        <is>
          <t>900001074</t>
        </is>
      </c>
      <c r="B250" t="inlineStr">
        <is>
          <t>D836</t>
        </is>
      </c>
      <c r="C250" t="inlineStr">
        <is>
          <t>66239628</t>
        </is>
      </c>
      <c r="D250" t="inlineStr">
        <is>
          <t>10000357</t>
        </is>
      </c>
      <c r="E250" t="inlineStr"/>
      <c r="F250" s="11" t="n">
        <v>95.5</v>
      </c>
      <c r="G250" t="inlineStr"/>
      <c r="I250" t="inlineStr">
        <is>
          <t>M3</t>
        </is>
      </c>
      <c r="J250" t="inlineStr"/>
      <c r="K250" t="inlineStr">
        <is>
          <t>20190426</t>
        </is>
      </c>
      <c r="L250" t="inlineStr">
        <is>
          <t>20250127</t>
        </is>
      </c>
    </row>
    <row r="251">
      <c r="A251" t="inlineStr">
        <is>
          <t>900001074</t>
        </is>
      </c>
      <c r="B251" t="inlineStr">
        <is>
          <t>D836</t>
        </is>
      </c>
      <c r="C251" t="inlineStr">
        <is>
          <t>66239628</t>
        </is>
      </c>
      <c r="D251" t="inlineStr">
        <is>
          <t>10000627</t>
        </is>
      </c>
      <c r="E251" t="inlineStr"/>
      <c r="F251" s="11" t="n">
        <v>84</v>
      </c>
      <c r="G251" t="inlineStr"/>
      <c r="I251" t="inlineStr">
        <is>
          <t>M3</t>
        </is>
      </c>
      <c r="J251" t="inlineStr"/>
      <c r="K251" t="inlineStr">
        <is>
          <t>20190426</t>
        </is>
      </c>
      <c r="L251" t="inlineStr">
        <is>
          <t>20250127</t>
        </is>
      </c>
    </row>
    <row r="252">
      <c r="A252" t="inlineStr">
        <is>
          <t>900001074</t>
        </is>
      </c>
      <c r="B252" t="inlineStr">
        <is>
          <t>D836</t>
        </is>
      </c>
      <c r="C252" t="inlineStr">
        <is>
          <t>66260760</t>
        </is>
      </c>
      <c r="D252" t="inlineStr">
        <is>
          <t>10000160</t>
        </is>
      </c>
      <c r="E252" t="inlineStr"/>
      <c r="F252" s="11" t="n">
        <v>110</v>
      </c>
      <c r="G252" t="inlineStr"/>
      <c r="I252" t="inlineStr">
        <is>
          <t>M3</t>
        </is>
      </c>
      <c r="J252" t="inlineStr"/>
      <c r="K252" t="inlineStr">
        <is>
          <t>20190426</t>
        </is>
      </c>
      <c r="L252" t="inlineStr">
        <is>
          <t>20250127</t>
        </is>
      </c>
    </row>
    <row r="253">
      <c r="A253" t="inlineStr">
        <is>
          <t>900001074</t>
        </is>
      </c>
      <c r="B253" t="inlineStr">
        <is>
          <t>D836</t>
        </is>
      </c>
      <c r="C253" t="inlineStr">
        <is>
          <t>66260760</t>
        </is>
      </c>
      <c r="D253" t="inlineStr">
        <is>
          <t>10000357</t>
        </is>
      </c>
      <c r="E253" t="inlineStr"/>
      <c r="F253" s="11" t="n">
        <v>86</v>
      </c>
      <c r="G253" t="inlineStr"/>
      <c r="I253" t="inlineStr">
        <is>
          <t>M3</t>
        </is>
      </c>
      <c r="J253" t="inlineStr"/>
      <c r="K253" t="inlineStr">
        <is>
          <t>20190426</t>
        </is>
      </c>
      <c r="L253" t="inlineStr">
        <is>
          <t>20250127</t>
        </is>
      </c>
    </row>
    <row r="254">
      <c r="A254" t="inlineStr">
        <is>
          <t>900001074</t>
        </is>
      </c>
      <c r="B254" t="inlineStr">
        <is>
          <t>D836</t>
        </is>
      </c>
      <c r="C254" t="inlineStr">
        <is>
          <t>66260760</t>
        </is>
      </c>
      <c r="D254" t="inlineStr">
        <is>
          <t>10000627</t>
        </is>
      </c>
      <c r="E254" t="inlineStr"/>
      <c r="F254" s="11" t="n">
        <v>86</v>
      </c>
      <c r="G254" t="inlineStr"/>
      <c r="I254" t="inlineStr">
        <is>
          <t>M3</t>
        </is>
      </c>
      <c r="J254" t="inlineStr"/>
      <c r="K254" t="inlineStr">
        <is>
          <t>20190426</t>
        </is>
      </c>
      <c r="L254" t="inlineStr">
        <is>
          <t>20250127</t>
        </is>
      </c>
    </row>
    <row r="255">
      <c r="A255" t="inlineStr">
        <is>
          <t>900001074</t>
        </is>
      </c>
      <c r="B255" t="inlineStr">
        <is>
          <t>D836</t>
        </is>
      </c>
      <c r="C255" t="inlineStr">
        <is>
          <t>66272739</t>
        </is>
      </c>
      <c r="D255" t="inlineStr">
        <is>
          <t>10000160</t>
        </is>
      </c>
      <c r="E255" t="inlineStr"/>
      <c r="F255" s="11" t="n">
        <v>86.25</v>
      </c>
      <c r="G255" t="inlineStr"/>
      <c r="I255" t="inlineStr">
        <is>
          <t>M3</t>
        </is>
      </c>
      <c r="J255" t="inlineStr"/>
      <c r="K255" t="inlineStr">
        <is>
          <t>20190426</t>
        </is>
      </c>
      <c r="L255" t="inlineStr">
        <is>
          <t>20250127</t>
        </is>
      </c>
    </row>
    <row r="256">
      <c r="A256" t="inlineStr">
        <is>
          <t>900001074</t>
        </is>
      </c>
      <c r="B256" t="inlineStr">
        <is>
          <t>D836</t>
        </is>
      </c>
      <c r="C256" t="inlineStr">
        <is>
          <t>66272739</t>
        </is>
      </c>
      <c r="D256" t="inlineStr">
        <is>
          <t>10000357</t>
        </is>
      </c>
      <c r="E256" t="inlineStr"/>
      <c r="F256" s="11" t="n">
        <v>92</v>
      </c>
      <c r="G256" t="inlineStr"/>
      <c r="I256" t="inlineStr">
        <is>
          <t>M3</t>
        </is>
      </c>
      <c r="J256" t="inlineStr"/>
      <c r="K256" t="inlineStr">
        <is>
          <t>20190426</t>
        </is>
      </c>
      <c r="L256" t="inlineStr">
        <is>
          <t>20250127</t>
        </is>
      </c>
    </row>
    <row r="257">
      <c r="A257" t="inlineStr">
        <is>
          <t>900001074</t>
        </is>
      </c>
      <c r="B257" t="inlineStr">
        <is>
          <t>D836</t>
        </is>
      </c>
      <c r="C257" t="inlineStr">
        <is>
          <t>66289412</t>
        </is>
      </c>
      <c r="D257" t="inlineStr">
        <is>
          <t>10000160</t>
        </is>
      </c>
      <c r="E257" t="inlineStr"/>
      <c r="F257" s="11" t="n">
        <v>84</v>
      </c>
      <c r="G257" t="inlineStr"/>
      <c r="I257" t="inlineStr">
        <is>
          <t>M3</t>
        </is>
      </c>
      <c r="J257" t="inlineStr"/>
      <c r="K257" t="inlineStr">
        <is>
          <t>20190426</t>
        </is>
      </c>
      <c r="L257" t="inlineStr">
        <is>
          <t>20250127</t>
        </is>
      </c>
    </row>
    <row r="258">
      <c r="A258" t="inlineStr">
        <is>
          <t>900001074</t>
        </is>
      </c>
      <c r="B258" t="inlineStr">
        <is>
          <t>D836</t>
        </is>
      </c>
      <c r="C258" t="inlineStr">
        <is>
          <t>66289412</t>
        </is>
      </c>
      <c r="D258" t="inlineStr">
        <is>
          <t>10000357</t>
        </is>
      </c>
      <c r="E258" t="inlineStr"/>
      <c r="F258" s="11" t="n">
        <v>95.5</v>
      </c>
      <c r="G258" t="inlineStr"/>
      <c r="I258" t="inlineStr">
        <is>
          <t>M3</t>
        </is>
      </c>
      <c r="J258" t="inlineStr"/>
      <c r="K258" t="inlineStr">
        <is>
          <t>20190426</t>
        </is>
      </c>
      <c r="L258" t="inlineStr">
        <is>
          <t>20250127</t>
        </is>
      </c>
    </row>
    <row r="259">
      <c r="A259" t="inlineStr">
        <is>
          <t>900001074</t>
        </is>
      </c>
      <c r="B259" t="inlineStr">
        <is>
          <t>D836</t>
        </is>
      </c>
      <c r="C259" t="inlineStr">
        <is>
          <t>66289412</t>
        </is>
      </c>
      <c r="D259" t="inlineStr">
        <is>
          <t>10000627</t>
        </is>
      </c>
      <c r="E259" t="inlineStr"/>
      <c r="F259" s="11" t="n">
        <v>84</v>
      </c>
      <c r="G259" t="inlineStr"/>
      <c r="I259" t="inlineStr">
        <is>
          <t>M3</t>
        </is>
      </c>
      <c r="J259" t="inlineStr"/>
      <c r="K259" t="inlineStr">
        <is>
          <t>20190426</t>
        </is>
      </c>
      <c r="L259" t="inlineStr">
        <is>
          <t>20250127</t>
        </is>
      </c>
    </row>
    <row r="260">
      <c r="A260" t="inlineStr">
        <is>
          <t>900001074</t>
        </is>
      </c>
      <c r="B260" t="inlineStr">
        <is>
          <t>D836</t>
        </is>
      </c>
      <c r="C260" t="inlineStr">
        <is>
          <t>66289413</t>
        </is>
      </c>
      <c r="D260" t="inlineStr">
        <is>
          <t>10000160</t>
        </is>
      </c>
      <c r="E260" t="inlineStr"/>
      <c r="F260" s="11" t="n">
        <v>84</v>
      </c>
      <c r="G260" t="inlineStr"/>
      <c r="I260" t="inlineStr">
        <is>
          <t>M3</t>
        </is>
      </c>
      <c r="J260" t="inlineStr"/>
      <c r="K260" t="inlineStr">
        <is>
          <t>20190426</t>
        </is>
      </c>
      <c r="L260" t="inlineStr">
        <is>
          <t>20250127</t>
        </is>
      </c>
    </row>
    <row r="261">
      <c r="A261" t="inlineStr">
        <is>
          <t>900001074</t>
        </is>
      </c>
      <c r="B261" t="inlineStr">
        <is>
          <t>D836</t>
        </is>
      </c>
      <c r="C261" t="inlineStr">
        <is>
          <t>66289413</t>
        </is>
      </c>
      <c r="D261" t="inlineStr">
        <is>
          <t>10000357</t>
        </is>
      </c>
      <c r="E261" t="inlineStr"/>
      <c r="F261" s="11" t="n">
        <v>95.5</v>
      </c>
      <c r="G261" t="inlineStr"/>
      <c r="I261" t="inlineStr">
        <is>
          <t>M3</t>
        </is>
      </c>
      <c r="J261" t="inlineStr"/>
      <c r="K261" t="inlineStr">
        <is>
          <t>20190426</t>
        </is>
      </c>
      <c r="L261" t="inlineStr">
        <is>
          <t>20250127</t>
        </is>
      </c>
    </row>
    <row r="262">
      <c r="A262" t="inlineStr">
        <is>
          <t>900001074</t>
        </is>
      </c>
      <c r="B262" t="inlineStr">
        <is>
          <t>D836</t>
        </is>
      </c>
      <c r="C262" t="inlineStr">
        <is>
          <t>66289413</t>
        </is>
      </c>
      <c r="D262" t="inlineStr">
        <is>
          <t>10000627</t>
        </is>
      </c>
      <c r="E262" t="inlineStr"/>
      <c r="F262" s="11" t="n">
        <v>84</v>
      </c>
      <c r="G262" t="inlineStr"/>
      <c r="I262" t="inlineStr">
        <is>
          <t>M3</t>
        </is>
      </c>
      <c r="J262" t="inlineStr"/>
      <c r="K262" t="inlineStr">
        <is>
          <t>20190426</t>
        </is>
      </c>
      <c r="L262" t="inlineStr">
        <is>
          <t>20250127</t>
        </is>
      </c>
    </row>
    <row r="263">
      <c r="A263" t="inlineStr">
        <is>
          <t>900001074</t>
        </is>
      </c>
      <c r="B263" t="inlineStr">
        <is>
          <t>D836</t>
        </is>
      </c>
      <c r="C263" t="inlineStr">
        <is>
          <t>66310610</t>
        </is>
      </c>
      <c r="D263" t="inlineStr">
        <is>
          <t>10000160</t>
        </is>
      </c>
      <c r="E263" t="inlineStr"/>
      <c r="F263" s="11" t="n">
        <v>86.25</v>
      </c>
      <c r="G263" t="inlineStr"/>
      <c r="I263" t="inlineStr">
        <is>
          <t>M3</t>
        </is>
      </c>
      <c r="J263" t="inlineStr"/>
      <c r="K263" t="inlineStr">
        <is>
          <t>20190426</t>
        </is>
      </c>
      <c r="L263" t="inlineStr">
        <is>
          <t>20250127</t>
        </is>
      </c>
    </row>
    <row r="264">
      <c r="A264" t="inlineStr">
        <is>
          <t>900001074</t>
        </is>
      </c>
      <c r="B264" t="inlineStr">
        <is>
          <t>D836</t>
        </is>
      </c>
      <c r="C264" t="inlineStr">
        <is>
          <t>66310610</t>
        </is>
      </c>
      <c r="D264" t="inlineStr">
        <is>
          <t>10000357</t>
        </is>
      </c>
      <c r="E264" t="inlineStr"/>
      <c r="F264" s="11" t="n">
        <v>92</v>
      </c>
      <c r="G264" t="inlineStr"/>
      <c r="I264" t="inlineStr">
        <is>
          <t>M3</t>
        </is>
      </c>
      <c r="J264" t="inlineStr"/>
      <c r="K264" t="inlineStr">
        <is>
          <t>20190426</t>
        </is>
      </c>
      <c r="L264" t="inlineStr">
        <is>
          <t>20250127</t>
        </is>
      </c>
    </row>
    <row r="265">
      <c r="A265" t="inlineStr">
        <is>
          <t>900001074</t>
        </is>
      </c>
      <c r="B265" t="inlineStr">
        <is>
          <t>D836</t>
        </is>
      </c>
      <c r="C265" t="inlineStr">
        <is>
          <t>66310610</t>
        </is>
      </c>
      <c r="D265" t="inlineStr">
        <is>
          <t>10000627</t>
        </is>
      </c>
      <c r="E265" t="inlineStr"/>
      <c r="F265" s="11" t="n">
        <v>97.75</v>
      </c>
      <c r="G265" t="inlineStr"/>
      <c r="I265" t="inlineStr">
        <is>
          <t>M3</t>
        </is>
      </c>
      <c r="J265" t="inlineStr"/>
      <c r="K265" t="inlineStr">
        <is>
          <t>20190426</t>
        </is>
      </c>
      <c r="L265" t="inlineStr">
        <is>
          <t>20250127</t>
        </is>
      </c>
    </row>
    <row r="266">
      <c r="A266" t="inlineStr">
        <is>
          <t>900001074</t>
        </is>
      </c>
      <c r="B266" t="inlineStr">
        <is>
          <t>D836</t>
        </is>
      </c>
      <c r="C266" t="inlineStr">
        <is>
          <t>66313323</t>
        </is>
      </c>
      <c r="D266" t="inlineStr">
        <is>
          <t>10000160</t>
        </is>
      </c>
      <c r="E266" t="inlineStr"/>
      <c r="F266" s="11" t="n">
        <v>88</v>
      </c>
      <c r="G266" t="inlineStr"/>
      <c r="I266" t="inlineStr">
        <is>
          <t>M3</t>
        </is>
      </c>
      <c r="J266" t="inlineStr"/>
      <c r="K266" t="inlineStr">
        <is>
          <t>20190426</t>
        </is>
      </c>
      <c r="L266" t="inlineStr">
        <is>
          <t>20250127</t>
        </is>
      </c>
    </row>
    <row r="267">
      <c r="A267" t="inlineStr">
        <is>
          <t>900001074</t>
        </is>
      </c>
      <c r="B267" t="inlineStr">
        <is>
          <t>D836</t>
        </is>
      </c>
      <c r="C267" t="inlineStr">
        <is>
          <t>66338102</t>
        </is>
      </c>
      <c r="D267" t="inlineStr">
        <is>
          <t>10000357</t>
        </is>
      </c>
      <c r="E267" t="inlineStr"/>
      <c r="F267" s="11" t="n">
        <v>100.8</v>
      </c>
      <c r="G267" t="inlineStr"/>
      <c r="I267" t="inlineStr">
        <is>
          <t>M3</t>
        </is>
      </c>
      <c r="J267" t="inlineStr"/>
      <c r="K267" t="inlineStr">
        <is>
          <t>20190426</t>
        </is>
      </c>
      <c r="L267" t="inlineStr">
        <is>
          <t>20250127</t>
        </is>
      </c>
    </row>
    <row r="268">
      <c r="A268" t="inlineStr">
        <is>
          <t>900001074</t>
        </is>
      </c>
      <c r="B268" t="inlineStr">
        <is>
          <t>D836</t>
        </is>
      </c>
      <c r="C268" t="inlineStr">
        <is>
          <t>66372475</t>
        </is>
      </c>
      <c r="D268" t="inlineStr">
        <is>
          <t>10000160</t>
        </is>
      </c>
      <c r="E268" t="inlineStr"/>
      <c r="F268" s="11" t="n">
        <v>98</v>
      </c>
      <c r="G268" t="inlineStr"/>
      <c r="I268" t="inlineStr">
        <is>
          <t>M3</t>
        </is>
      </c>
      <c r="J268" t="inlineStr"/>
      <c r="K268" t="inlineStr">
        <is>
          <t>20190426</t>
        </is>
      </c>
      <c r="L268" t="inlineStr">
        <is>
          <t>20250127</t>
        </is>
      </c>
    </row>
    <row r="269">
      <c r="A269" t="inlineStr">
        <is>
          <t>900001074</t>
        </is>
      </c>
      <c r="B269" t="inlineStr">
        <is>
          <t>D836</t>
        </is>
      </c>
      <c r="C269" t="inlineStr">
        <is>
          <t>66372475</t>
        </is>
      </c>
      <c r="D269" t="inlineStr">
        <is>
          <t>10000206</t>
        </is>
      </c>
      <c r="E269" t="inlineStr"/>
      <c r="F269" s="11" t="n">
        <v>30</v>
      </c>
      <c r="G269" t="inlineStr"/>
      <c r="I269" t="inlineStr">
        <is>
          <t>M3</t>
        </is>
      </c>
      <c r="J269" t="inlineStr"/>
      <c r="K269" t="inlineStr">
        <is>
          <t>20190426</t>
        </is>
      </c>
      <c r="L269" t="inlineStr">
        <is>
          <t>20250127</t>
        </is>
      </c>
    </row>
    <row r="270">
      <c r="A270" t="inlineStr">
        <is>
          <t>900001074</t>
        </is>
      </c>
      <c r="B270" t="inlineStr">
        <is>
          <t>D836</t>
        </is>
      </c>
      <c r="C270" t="inlineStr">
        <is>
          <t>66372475</t>
        </is>
      </c>
      <c r="D270" t="inlineStr">
        <is>
          <t>10000357</t>
        </is>
      </c>
      <c r="E270" t="inlineStr"/>
      <c r="F270" s="11" t="n">
        <v>105</v>
      </c>
      <c r="G270" t="inlineStr"/>
      <c r="I270" t="inlineStr">
        <is>
          <t>M3</t>
        </is>
      </c>
      <c r="J270" t="inlineStr"/>
      <c r="K270" t="inlineStr">
        <is>
          <t>20190426</t>
        </is>
      </c>
      <c r="L270" t="inlineStr">
        <is>
          <t>20250127</t>
        </is>
      </c>
    </row>
    <row r="271">
      <c r="A271" t="inlineStr">
        <is>
          <t>900001074</t>
        </is>
      </c>
      <c r="B271" t="inlineStr">
        <is>
          <t>D836</t>
        </is>
      </c>
      <c r="C271" t="inlineStr">
        <is>
          <t>66372475</t>
        </is>
      </c>
      <c r="D271" t="inlineStr">
        <is>
          <t>10019515</t>
        </is>
      </c>
      <c r="E271" t="inlineStr"/>
      <c r="F271" s="11" t="n">
        <v>110</v>
      </c>
      <c r="G271" t="inlineStr"/>
      <c r="I271" t="inlineStr">
        <is>
          <t>M3</t>
        </is>
      </c>
      <c r="J271" t="inlineStr"/>
      <c r="K271" t="inlineStr">
        <is>
          <t>20190426</t>
        </is>
      </c>
      <c r="L271" t="inlineStr">
        <is>
          <t>20250127</t>
        </is>
      </c>
    </row>
    <row r="272">
      <c r="A272" t="inlineStr">
        <is>
          <t>900001074</t>
        </is>
      </c>
      <c r="B272" t="inlineStr">
        <is>
          <t>D836</t>
        </is>
      </c>
      <c r="C272" t="inlineStr">
        <is>
          <t>66400667</t>
        </is>
      </c>
      <c r="D272" t="inlineStr">
        <is>
          <t>10000160</t>
        </is>
      </c>
      <c r="E272" t="inlineStr"/>
      <c r="F272" s="11" t="n">
        <v>87.15000000000001</v>
      </c>
      <c r="G272" t="inlineStr"/>
      <c r="I272" t="inlineStr">
        <is>
          <t>M3</t>
        </is>
      </c>
      <c r="J272" t="inlineStr"/>
      <c r="K272" t="inlineStr">
        <is>
          <t>20190426</t>
        </is>
      </c>
      <c r="L272" t="inlineStr">
        <is>
          <t>20250127</t>
        </is>
      </c>
    </row>
    <row r="273">
      <c r="A273" t="inlineStr">
        <is>
          <t>900001074</t>
        </is>
      </c>
      <c r="B273" t="inlineStr">
        <is>
          <t>D836</t>
        </is>
      </c>
      <c r="C273" t="inlineStr">
        <is>
          <t>66403063</t>
        </is>
      </c>
      <c r="D273" t="inlineStr">
        <is>
          <t>10000160</t>
        </is>
      </c>
      <c r="E273" t="inlineStr"/>
      <c r="F273" s="11" t="n">
        <v>84</v>
      </c>
      <c r="G273" t="inlineStr"/>
      <c r="I273" t="inlineStr">
        <is>
          <t>M3</t>
        </is>
      </c>
      <c r="J273" t="inlineStr"/>
      <c r="K273" t="inlineStr">
        <is>
          <t>20190426</t>
        </is>
      </c>
      <c r="L273" t="inlineStr">
        <is>
          <t>20250127</t>
        </is>
      </c>
    </row>
    <row r="274">
      <c r="A274" t="inlineStr">
        <is>
          <t>900001074</t>
        </is>
      </c>
      <c r="B274" t="inlineStr">
        <is>
          <t>D836</t>
        </is>
      </c>
      <c r="C274" t="inlineStr">
        <is>
          <t>66403063</t>
        </is>
      </c>
      <c r="D274" t="inlineStr">
        <is>
          <t>10000357</t>
        </is>
      </c>
      <c r="E274" t="inlineStr"/>
      <c r="F274" s="11" t="n">
        <v>98</v>
      </c>
      <c r="G274" t="inlineStr"/>
      <c r="I274" t="inlineStr">
        <is>
          <t>M3</t>
        </is>
      </c>
      <c r="J274" t="inlineStr"/>
      <c r="K274" t="inlineStr">
        <is>
          <t>20190426</t>
        </is>
      </c>
      <c r="L274" t="inlineStr">
        <is>
          <t>20250127</t>
        </is>
      </c>
    </row>
    <row r="275">
      <c r="A275" t="inlineStr">
        <is>
          <t>900001074</t>
        </is>
      </c>
      <c r="B275" t="inlineStr">
        <is>
          <t>D836</t>
        </is>
      </c>
      <c r="C275" t="inlineStr">
        <is>
          <t>66414377</t>
        </is>
      </c>
      <c r="D275" t="inlineStr">
        <is>
          <t>10000357</t>
        </is>
      </c>
      <c r="E275" t="inlineStr"/>
      <c r="F275" s="11" t="n">
        <v>115</v>
      </c>
      <c r="G275" t="inlineStr"/>
      <c r="I275" t="inlineStr">
        <is>
          <t>M3</t>
        </is>
      </c>
      <c r="J275" t="inlineStr"/>
      <c r="K275" t="inlineStr">
        <is>
          <t>20190426</t>
        </is>
      </c>
      <c r="L275" t="inlineStr">
        <is>
          <t>20250127</t>
        </is>
      </c>
    </row>
    <row r="276">
      <c r="A276" t="inlineStr">
        <is>
          <t>900001074</t>
        </is>
      </c>
      <c r="B276" t="inlineStr">
        <is>
          <t>D836</t>
        </is>
      </c>
      <c r="C276" t="inlineStr">
        <is>
          <t>66414377</t>
        </is>
      </c>
      <c r="D276" t="inlineStr">
        <is>
          <t>10019515</t>
        </is>
      </c>
      <c r="E276" t="inlineStr"/>
      <c r="F276" s="11" t="n">
        <v>139</v>
      </c>
      <c r="G276" t="inlineStr"/>
      <c r="I276" t="inlineStr">
        <is>
          <t>M3</t>
        </is>
      </c>
      <c r="J276" t="inlineStr"/>
      <c r="K276" t="inlineStr">
        <is>
          <t>20190426</t>
        </is>
      </c>
      <c r="L276" t="inlineStr">
        <is>
          <t>20250127</t>
        </is>
      </c>
    </row>
    <row r="277">
      <c r="A277" t="inlineStr">
        <is>
          <t>900001074</t>
        </is>
      </c>
      <c r="B277" t="inlineStr">
        <is>
          <t>D836</t>
        </is>
      </c>
      <c r="C277" t="inlineStr">
        <is>
          <t>66420831</t>
        </is>
      </c>
      <c r="D277" t="inlineStr">
        <is>
          <t>10000160</t>
        </is>
      </c>
      <c r="E277" t="inlineStr"/>
      <c r="F277" s="11" t="n">
        <v>88</v>
      </c>
      <c r="G277" t="inlineStr"/>
      <c r="I277" t="inlineStr">
        <is>
          <t>M3</t>
        </is>
      </c>
      <c r="J277" t="inlineStr"/>
      <c r="K277" t="inlineStr">
        <is>
          <t>20190426</t>
        </is>
      </c>
      <c r="L277" t="inlineStr">
        <is>
          <t>20250127</t>
        </is>
      </c>
    </row>
    <row r="278">
      <c r="A278" t="inlineStr">
        <is>
          <t>900001074</t>
        </is>
      </c>
      <c r="B278" t="inlineStr">
        <is>
          <t>D836</t>
        </is>
      </c>
      <c r="C278" t="inlineStr">
        <is>
          <t>66433509</t>
        </is>
      </c>
      <c r="D278" t="inlineStr">
        <is>
          <t>10000160</t>
        </is>
      </c>
      <c r="E278" t="inlineStr"/>
      <c r="F278" s="11" t="n">
        <v>91.3</v>
      </c>
      <c r="G278" t="inlineStr"/>
      <c r="I278" t="inlineStr">
        <is>
          <t>M3</t>
        </is>
      </c>
      <c r="J278" t="inlineStr"/>
      <c r="K278" t="inlineStr">
        <is>
          <t>20190426</t>
        </is>
      </c>
      <c r="L278" t="inlineStr">
        <is>
          <t>20250127</t>
        </is>
      </c>
    </row>
    <row r="279">
      <c r="A279" t="inlineStr">
        <is>
          <t>900001074</t>
        </is>
      </c>
      <c r="B279" t="inlineStr">
        <is>
          <t>D836</t>
        </is>
      </c>
      <c r="C279" t="inlineStr">
        <is>
          <t>66433511</t>
        </is>
      </c>
      <c r="D279" t="inlineStr">
        <is>
          <t>10000160</t>
        </is>
      </c>
      <c r="E279" t="inlineStr"/>
      <c r="F279" s="11" t="n">
        <v>100.43</v>
      </c>
      <c r="G279" t="inlineStr"/>
      <c r="I279" t="inlineStr">
        <is>
          <t>M3</t>
        </is>
      </c>
      <c r="J279" t="inlineStr"/>
      <c r="K279" t="inlineStr">
        <is>
          <t>20190426</t>
        </is>
      </c>
      <c r="L279" t="inlineStr">
        <is>
          <t>20250127</t>
        </is>
      </c>
    </row>
    <row r="280">
      <c r="A280" t="inlineStr">
        <is>
          <t>900001074</t>
        </is>
      </c>
      <c r="B280" t="inlineStr">
        <is>
          <t>D836</t>
        </is>
      </c>
      <c r="C280" t="inlineStr">
        <is>
          <t>66433511</t>
        </is>
      </c>
      <c r="D280" t="inlineStr">
        <is>
          <t>10000357</t>
        </is>
      </c>
      <c r="E280" t="inlineStr"/>
      <c r="F280" s="11" t="n">
        <v>106.7</v>
      </c>
      <c r="G280" t="inlineStr"/>
      <c r="I280" t="inlineStr">
        <is>
          <t>M3</t>
        </is>
      </c>
      <c r="J280" t="inlineStr"/>
      <c r="K280" t="inlineStr">
        <is>
          <t>20190426</t>
        </is>
      </c>
      <c r="L280" t="inlineStr">
        <is>
          <t>20250127</t>
        </is>
      </c>
    </row>
    <row r="281">
      <c r="A281" t="inlineStr">
        <is>
          <t>900001074</t>
        </is>
      </c>
      <c r="B281" t="inlineStr">
        <is>
          <t>D836</t>
        </is>
      </c>
      <c r="C281" t="inlineStr">
        <is>
          <t>66442116</t>
        </is>
      </c>
      <c r="D281" t="inlineStr">
        <is>
          <t>10000160</t>
        </is>
      </c>
      <c r="E281" t="inlineStr"/>
      <c r="F281" s="11" t="n">
        <v>99.98</v>
      </c>
      <c r="G281" t="inlineStr"/>
      <c r="I281" t="inlineStr">
        <is>
          <t>M3</t>
        </is>
      </c>
      <c r="J281" t="inlineStr"/>
      <c r="K281" t="inlineStr">
        <is>
          <t>20190426</t>
        </is>
      </c>
      <c r="L281" t="inlineStr">
        <is>
          <t>20250127</t>
        </is>
      </c>
    </row>
    <row r="282">
      <c r="A282" t="inlineStr">
        <is>
          <t>900001074</t>
        </is>
      </c>
      <c r="B282" t="inlineStr">
        <is>
          <t>D836</t>
        </is>
      </c>
      <c r="C282" t="inlineStr">
        <is>
          <t>66442116</t>
        </is>
      </c>
      <c r="D282" t="inlineStr">
        <is>
          <t>10000357</t>
        </is>
      </c>
      <c r="E282" t="inlineStr"/>
      <c r="F282" s="11" t="n">
        <v>121</v>
      </c>
      <c r="G282" t="inlineStr"/>
      <c r="I282" t="inlineStr">
        <is>
          <t>M3</t>
        </is>
      </c>
      <c r="J282" t="inlineStr"/>
      <c r="K282" t="inlineStr">
        <is>
          <t>20190426</t>
        </is>
      </c>
      <c r="L282" t="inlineStr">
        <is>
          <t>20250127</t>
        </is>
      </c>
    </row>
    <row r="283">
      <c r="A283" t="inlineStr">
        <is>
          <t>900001074</t>
        </is>
      </c>
      <c r="B283" t="inlineStr">
        <is>
          <t>D836</t>
        </is>
      </c>
      <c r="C283" t="inlineStr">
        <is>
          <t>66450072</t>
        </is>
      </c>
      <c r="D283" t="inlineStr">
        <is>
          <t>10000160</t>
        </is>
      </c>
      <c r="E283" t="inlineStr"/>
      <c r="F283" s="11" t="n">
        <v>99.98</v>
      </c>
      <c r="G283" t="inlineStr"/>
      <c r="I283" t="inlineStr">
        <is>
          <t>M3</t>
        </is>
      </c>
      <c r="J283" t="inlineStr"/>
      <c r="K283" t="inlineStr">
        <is>
          <t>20190426</t>
        </is>
      </c>
      <c r="L283" t="inlineStr">
        <is>
          <t>20250127</t>
        </is>
      </c>
    </row>
    <row r="284">
      <c r="A284" t="inlineStr">
        <is>
          <t>900001074</t>
        </is>
      </c>
      <c r="B284" t="inlineStr">
        <is>
          <t>D836</t>
        </is>
      </c>
      <c r="C284" t="inlineStr">
        <is>
          <t>66450072</t>
        </is>
      </c>
      <c r="D284" t="inlineStr">
        <is>
          <t>10000357</t>
        </is>
      </c>
      <c r="E284" t="inlineStr"/>
      <c r="F284" s="11" t="n">
        <v>121</v>
      </c>
      <c r="G284" t="inlineStr"/>
      <c r="I284" t="inlineStr">
        <is>
          <t>M3</t>
        </is>
      </c>
      <c r="J284" t="inlineStr"/>
      <c r="K284" t="inlineStr">
        <is>
          <t>20190426</t>
        </is>
      </c>
      <c r="L284" t="inlineStr">
        <is>
          <t>20250127</t>
        </is>
      </c>
    </row>
    <row r="285">
      <c r="A285" t="inlineStr">
        <is>
          <t>900001074</t>
        </is>
      </c>
      <c r="B285" t="inlineStr">
        <is>
          <t>D836</t>
        </is>
      </c>
      <c r="C285" t="inlineStr">
        <is>
          <t>66465268</t>
        </is>
      </c>
      <c r="D285" t="inlineStr">
        <is>
          <t>10000160</t>
        </is>
      </c>
      <c r="E285" t="inlineStr"/>
      <c r="F285" s="11" t="n">
        <v>76</v>
      </c>
      <c r="G285" t="inlineStr"/>
      <c r="I285" t="inlineStr">
        <is>
          <t>M3</t>
        </is>
      </c>
      <c r="J285" t="inlineStr"/>
      <c r="K285" t="inlineStr">
        <is>
          <t>20190426</t>
        </is>
      </c>
      <c r="L285" t="inlineStr">
        <is>
          <t>20250127</t>
        </is>
      </c>
    </row>
    <row r="286">
      <c r="A286" t="inlineStr">
        <is>
          <t>900001074</t>
        </is>
      </c>
      <c r="B286" t="inlineStr">
        <is>
          <t>D836</t>
        </is>
      </c>
      <c r="C286" t="inlineStr">
        <is>
          <t>66465268</t>
        </is>
      </c>
      <c r="D286" t="inlineStr">
        <is>
          <t>10000357</t>
        </is>
      </c>
      <c r="E286" t="inlineStr"/>
      <c r="F286" s="11" t="n">
        <v>87</v>
      </c>
      <c r="G286" t="inlineStr"/>
      <c r="I286" t="inlineStr">
        <is>
          <t>M3</t>
        </is>
      </c>
      <c r="J286" t="inlineStr"/>
      <c r="K286" t="inlineStr">
        <is>
          <t>20190426</t>
        </is>
      </c>
      <c r="L286" t="inlineStr">
        <is>
          <t>20250127</t>
        </is>
      </c>
    </row>
    <row r="287">
      <c r="A287" t="inlineStr">
        <is>
          <t>900001074</t>
        </is>
      </c>
      <c r="B287" t="inlineStr">
        <is>
          <t>D836</t>
        </is>
      </c>
      <c r="C287" t="inlineStr">
        <is>
          <t>66475158</t>
        </is>
      </c>
      <c r="D287" t="inlineStr">
        <is>
          <t>10000160</t>
        </is>
      </c>
      <c r="E287" t="inlineStr"/>
      <c r="F287" s="11" t="n">
        <v>84</v>
      </c>
      <c r="G287" t="inlineStr"/>
      <c r="I287" t="inlineStr">
        <is>
          <t>M3</t>
        </is>
      </c>
      <c r="J287" t="inlineStr"/>
      <c r="K287" t="inlineStr">
        <is>
          <t>20190426</t>
        </is>
      </c>
      <c r="L287" t="inlineStr">
        <is>
          <t>20250127</t>
        </is>
      </c>
    </row>
    <row r="288">
      <c r="A288" t="inlineStr">
        <is>
          <t>900001074</t>
        </is>
      </c>
      <c r="B288" t="inlineStr">
        <is>
          <t>D836</t>
        </is>
      </c>
      <c r="C288" t="inlineStr">
        <is>
          <t>66475158</t>
        </is>
      </c>
      <c r="D288" t="inlineStr">
        <is>
          <t>10000357</t>
        </is>
      </c>
      <c r="E288" t="inlineStr"/>
      <c r="F288" s="11" t="n">
        <v>95.5</v>
      </c>
      <c r="G288" t="inlineStr"/>
      <c r="I288" t="inlineStr">
        <is>
          <t>M3</t>
        </is>
      </c>
      <c r="J288" t="inlineStr"/>
      <c r="K288" t="inlineStr">
        <is>
          <t>20190426</t>
        </is>
      </c>
      <c r="L288" t="inlineStr">
        <is>
          <t>20250127</t>
        </is>
      </c>
    </row>
    <row r="289">
      <c r="A289" t="inlineStr">
        <is>
          <t>900001074</t>
        </is>
      </c>
      <c r="B289" t="inlineStr">
        <is>
          <t>D836</t>
        </is>
      </c>
      <c r="C289" t="inlineStr">
        <is>
          <t>66475158</t>
        </is>
      </c>
      <c r="D289" t="inlineStr">
        <is>
          <t>10000627</t>
        </is>
      </c>
      <c r="E289" t="inlineStr"/>
      <c r="F289" s="11" t="n">
        <v>84</v>
      </c>
      <c r="G289" t="inlineStr"/>
      <c r="I289" t="inlineStr">
        <is>
          <t>M3</t>
        </is>
      </c>
      <c r="J289" t="inlineStr"/>
      <c r="K289" t="inlineStr">
        <is>
          <t>20190426</t>
        </is>
      </c>
      <c r="L289" t="inlineStr">
        <is>
          <t>20250127</t>
        </is>
      </c>
    </row>
    <row r="290">
      <c r="A290" t="inlineStr">
        <is>
          <t>900001074</t>
        </is>
      </c>
      <c r="B290" t="inlineStr">
        <is>
          <t>D836</t>
        </is>
      </c>
      <c r="C290" t="inlineStr">
        <is>
          <t>66482104</t>
        </is>
      </c>
      <c r="D290" t="inlineStr">
        <is>
          <t>10000160</t>
        </is>
      </c>
      <c r="E290" t="inlineStr"/>
      <c r="F290" s="11" t="n">
        <v>84</v>
      </c>
      <c r="G290" t="inlineStr"/>
      <c r="I290" t="inlineStr">
        <is>
          <t>M3</t>
        </is>
      </c>
      <c r="J290" t="inlineStr"/>
      <c r="K290" t="inlineStr">
        <is>
          <t>20190426</t>
        </is>
      </c>
      <c r="L290" t="inlineStr">
        <is>
          <t>20250127</t>
        </is>
      </c>
    </row>
    <row r="291">
      <c r="A291" t="inlineStr">
        <is>
          <t>900001074</t>
        </is>
      </c>
      <c r="B291" t="inlineStr">
        <is>
          <t>D836</t>
        </is>
      </c>
      <c r="C291" t="inlineStr">
        <is>
          <t>66482104</t>
        </is>
      </c>
      <c r="D291" t="inlineStr">
        <is>
          <t>10000357</t>
        </is>
      </c>
      <c r="E291" t="inlineStr"/>
      <c r="F291" s="11" t="n">
        <v>95.5</v>
      </c>
      <c r="G291" t="inlineStr"/>
      <c r="I291" t="inlineStr">
        <is>
          <t>M3</t>
        </is>
      </c>
      <c r="J291" t="inlineStr"/>
      <c r="K291" t="inlineStr">
        <is>
          <t>20190426</t>
        </is>
      </c>
      <c r="L291" t="inlineStr">
        <is>
          <t>20250127</t>
        </is>
      </c>
    </row>
    <row r="292">
      <c r="A292" t="inlineStr">
        <is>
          <t>900001074</t>
        </is>
      </c>
      <c r="B292" t="inlineStr">
        <is>
          <t>D836</t>
        </is>
      </c>
      <c r="C292" t="inlineStr">
        <is>
          <t>66482104</t>
        </is>
      </c>
      <c r="D292" t="inlineStr">
        <is>
          <t>10000627</t>
        </is>
      </c>
      <c r="E292" t="inlineStr"/>
      <c r="F292" s="11" t="n">
        <v>84</v>
      </c>
      <c r="G292" t="inlineStr"/>
      <c r="I292" t="inlineStr">
        <is>
          <t>M3</t>
        </is>
      </c>
      <c r="J292" t="inlineStr"/>
      <c r="K292" t="inlineStr">
        <is>
          <t>20190426</t>
        </is>
      </c>
      <c r="L292" t="inlineStr">
        <is>
          <t>20250127</t>
        </is>
      </c>
    </row>
    <row r="293">
      <c r="A293" t="inlineStr">
        <is>
          <t>900001074</t>
        </is>
      </c>
      <c r="B293" t="inlineStr">
        <is>
          <t>D836</t>
        </is>
      </c>
      <c r="C293" t="inlineStr">
        <is>
          <t>66482288</t>
        </is>
      </c>
      <c r="D293" t="inlineStr">
        <is>
          <t>10000160</t>
        </is>
      </c>
      <c r="E293" t="inlineStr"/>
      <c r="F293" s="11" t="n">
        <v>84</v>
      </c>
      <c r="G293" t="inlineStr"/>
      <c r="I293" t="inlineStr">
        <is>
          <t>M3</t>
        </is>
      </c>
      <c r="J293" t="inlineStr"/>
      <c r="K293" t="inlineStr">
        <is>
          <t>20190426</t>
        </is>
      </c>
      <c r="L293" t="inlineStr">
        <is>
          <t>20250127</t>
        </is>
      </c>
    </row>
    <row r="294">
      <c r="A294" t="inlineStr">
        <is>
          <t>900001074</t>
        </is>
      </c>
      <c r="B294" t="inlineStr">
        <is>
          <t>D836</t>
        </is>
      </c>
      <c r="C294" t="inlineStr">
        <is>
          <t>66482288</t>
        </is>
      </c>
      <c r="D294" t="inlineStr">
        <is>
          <t>10000357</t>
        </is>
      </c>
      <c r="E294" t="inlineStr"/>
      <c r="F294" s="11" t="n">
        <v>95.5</v>
      </c>
      <c r="G294" t="inlineStr"/>
      <c r="I294" t="inlineStr">
        <is>
          <t>M3</t>
        </is>
      </c>
      <c r="J294" t="inlineStr"/>
      <c r="K294" t="inlineStr">
        <is>
          <t>20190426</t>
        </is>
      </c>
      <c r="L294" t="inlineStr">
        <is>
          <t>20250127</t>
        </is>
      </c>
    </row>
    <row r="295">
      <c r="A295" t="inlineStr">
        <is>
          <t>900001074</t>
        </is>
      </c>
      <c r="B295" t="inlineStr">
        <is>
          <t>D836</t>
        </is>
      </c>
      <c r="C295" t="inlineStr">
        <is>
          <t>66482288</t>
        </is>
      </c>
      <c r="D295" t="inlineStr">
        <is>
          <t>10000627</t>
        </is>
      </c>
      <c r="E295" t="inlineStr"/>
      <c r="F295" s="11" t="n">
        <v>84</v>
      </c>
      <c r="G295" t="inlineStr"/>
      <c r="I295" t="inlineStr">
        <is>
          <t>M3</t>
        </is>
      </c>
      <c r="J295" t="inlineStr"/>
      <c r="K295" t="inlineStr">
        <is>
          <t>20190426</t>
        </is>
      </c>
      <c r="L295" t="inlineStr">
        <is>
          <t>20250127</t>
        </is>
      </c>
    </row>
    <row r="296">
      <c r="A296" t="inlineStr">
        <is>
          <t>900001074</t>
        </is>
      </c>
      <c r="B296" t="inlineStr">
        <is>
          <t>D836</t>
        </is>
      </c>
      <c r="C296" t="inlineStr">
        <is>
          <t>66482289</t>
        </is>
      </c>
      <c r="D296" t="inlineStr">
        <is>
          <t>10000160</t>
        </is>
      </c>
      <c r="E296" t="inlineStr"/>
      <c r="F296" s="11" t="n">
        <v>84</v>
      </c>
      <c r="G296" t="inlineStr"/>
      <c r="I296" t="inlineStr">
        <is>
          <t>M3</t>
        </is>
      </c>
      <c r="J296" t="inlineStr"/>
      <c r="K296" t="inlineStr">
        <is>
          <t>20190426</t>
        </is>
      </c>
      <c r="L296" t="inlineStr">
        <is>
          <t>20250127</t>
        </is>
      </c>
    </row>
    <row r="297">
      <c r="A297" t="inlineStr">
        <is>
          <t>900001074</t>
        </is>
      </c>
      <c r="B297" t="inlineStr">
        <is>
          <t>D836</t>
        </is>
      </c>
      <c r="C297" t="inlineStr">
        <is>
          <t>66482289</t>
        </is>
      </c>
      <c r="D297" t="inlineStr">
        <is>
          <t>10000357</t>
        </is>
      </c>
      <c r="E297" t="inlineStr"/>
      <c r="F297" s="11" t="n">
        <v>95.5</v>
      </c>
      <c r="G297" t="inlineStr"/>
      <c r="I297" t="inlineStr">
        <is>
          <t>M3</t>
        </is>
      </c>
      <c r="J297" t="inlineStr"/>
      <c r="K297" t="inlineStr">
        <is>
          <t>20190426</t>
        </is>
      </c>
      <c r="L297" t="inlineStr">
        <is>
          <t>20250127</t>
        </is>
      </c>
    </row>
    <row r="298">
      <c r="A298" t="inlineStr">
        <is>
          <t>900001074</t>
        </is>
      </c>
      <c r="B298" t="inlineStr">
        <is>
          <t>D836</t>
        </is>
      </c>
      <c r="C298" t="inlineStr">
        <is>
          <t>66482289</t>
        </is>
      </c>
      <c r="D298" t="inlineStr">
        <is>
          <t>10000627</t>
        </is>
      </c>
      <c r="E298" t="inlineStr"/>
      <c r="F298" s="11" t="n">
        <v>84</v>
      </c>
      <c r="G298" t="inlineStr"/>
      <c r="I298" t="inlineStr">
        <is>
          <t>M3</t>
        </is>
      </c>
      <c r="J298" t="inlineStr"/>
      <c r="K298" t="inlineStr">
        <is>
          <t>20190426</t>
        </is>
      </c>
      <c r="L298" t="inlineStr">
        <is>
          <t>20250127</t>
        </is>
      </c>
    </row>
    <row r="299">
      <c r="A299" t="inlineStr">
        <is>
          <t>900001074</t>
        </is>
      </c>
      <c r="B299" t="inlineStr">
        <is>
          <t>D836</t>
        </is>
      </c>
      <c r="C299" t="inlineStr">
        <is>
          <t>66490694</t>
        </is>
      </c>
      <c r="D299" t="inlineStr">
        <is>
          <t>10000160</t>
        </is>
      </c>
      <c r="E299" t="inlineStr"/>
      <c r="F299" s="11" t="n">
        <v>83</v>
      </c>
      <c r="G299" t="inlineStr"/>
      <c r="I299" t="inlineStr">
        <is>
          <t>M3</t>
        </is>
      </c>
      <c r="J299" t="inlineStr"/>
      <c r="K299" t="inlineStr">
        <is>
          <t>20190426</t>
        </is>
      </c>
      <c r="L299" t="inlineStr">
        <is>
          <t>20250127</t>
        </is>
      </c>
    </row>
    <row r="300">
      <c r="A300" t="inlineStr">
        <is>
          <t>900001074</t>
        </is>
      </c>
      <c r="B300" t="inlineStr">
        <is>
          <t>D836</t>
        </is>
      </c>
      <c r="C300" t="inlineStr">
        <is>
          <t>66490694</t>
        </is>
      </c>
      <c r="D300" t="inlineStr">
        <is>
          <t>10000627</t>
        </is>
      </c>
      <c r="E300" t="inlineStr"/>
      <c r="F300" s="11" t="n">
        <v>88</v>
      </c>
      <c r="G300" t="inlineStr"/>
      <c r="I300" t="inlineStr">
        <is>
          <t>M3</t>
        </is>
      </c>
      <c r="J300" t="inlineStr"/>
      <c r="K300" t="inlineStr">
        <is>
          <t>20190426</t>
        </is>
      </c>
      <c r="L300" t="inlineStr">
        <is>
          <t>20250127</t>
        </is>
      </c>
    </row>
    <row r="301">
      <c r="A301" t="inlineStr">
        <is>
          <t>900001074</t>
        </is>
      </c>
      <c r="B301" t="inlineStr">
        <is>
          <t>D836</t>
        </is>
      </c>
      <c r="C301" t="inlineStr">
        <is>
          <t>66490957</t>
        </is>
      </c>
      <c r="D301" t="inlineStr">
        <is>
          <t>10000160</t>
        </is>
      </c>
      <c r="E301" t="inlineStr"/>
      <c r="F301" s="11" t="n">
        <v>87.15000000000001</v>
      </c>
      <c r="G301" t="inlineStr"/>
      <c r="I301" t="inlineStr">
        <is>
          <t>M3</t>
        </is>
      </c>
      <c r="J301" t="inlineStr"/>
      <c r="K301" t="inlineStr">
        <is>
          <t>20190426</t>
        </is>
      </c>
      <c r="L301" t="inlineStr">
        <is>
          <t>20250127</t>
        </is>
      </c>
    </row>
    <row r="302">
      <c r="A302" t="inlineStr">
        <is>
          <t>900001074</t>
        </is>
      </c>
      <c r="B302" t="inlineStr">
        <is>
          <t>D836</t>
        </is>
      </c>
      <c r="C302" t="inlineStr">
        <is>
          <t>66490957</t>
        </is>
      </c>
      <c r="D302" t="inlineStr">
        <is>
          <t>10000627</t>
        </is>
      </c>
      <c r="E302" t="inlineStr"/>
      <c r="F302" s="11" t="n">
        <v>85</v>
      </c>
      <c r="G302" t="inlineStr"/>
      <c r="I302" t="inlineStr">
        <is>
          <t>M3</t>
        </is>
      </c>
      <c r="J302" t="inlineStr"/>
      <c r="K302" t="inlineStr">
        <is>
          <t>20190426</t>
        </is>
      </c>
      <c r="L302" t="inlineStr">
        <is>
          <t>20250127</t>
        </is>
      </c>
    </row>
    <row r="303">
      <c r="A303" t="inlineStr">
        <is>
          <t>900001074</t>
        </is>
      </c>
      <c r="B303" t="inlineStr">
        <is>
          <t>D836</t>
        </is>
      </c>
      <c r="C303" t="inlineStr">
        <is>
          <t>66516656</t>
        </is>
      </c>
      <c r="D303" t="inlineStr">
        <is>
          <t>10000160</t>
        </is>
      </c>
      <c r="E303" t="inlineStr"/>
      <c r="F303" s="11" t="n">
        <v>88</v>
      </c>
      <c r="G303" t="inlineStr"/>
      <c r="I303" t="inlineStr">
        <is>
          <t>M3</t>
        </is>
      </c>
      <c r="J303" t="inlineStr"/>
      <c r="K303" t="inlineStr">
        <is>
          <t>20190426</t>
        </is>
      </c>
      <c r="L303" t="inlineStr">
        <is>
          <t>20250127</t>
        </is>
      </c>
    </row>
    <row r="304">
      <c r="A304" t="inlineStr">
        <is>
          <t>900001074</t>
        </is>
      </c>
      <c r="B304" t="inlineStr">
        <is>
          <t>D836</t>
        </is>
      </c>
      <c r="C304" t="inlineStr">
        <is>
          <t>66518013</t>
        </is>
      </c>
      <c r="D304" t="inlineStr">
        <is>
          <t>10000160</t>
        </is>
      </c>
      <c r="E304" t="inlineStr"/>
      <c r="F304" s="11" t="n">
        <v>87.15000000000001</v>
      </c>
      <c r="G304" t="inlineStr"/>
      <c r="I304" t="inlineStr">
        <is>
          <t>M3</t>
        </is>
      </c>
      <c r="J304" t="inlineStr"/>
      <c r="K304" t="inlineStr">
        <is>
          <t>20190426</t>
        </is>
      </c>
      <c r="L304" t="inlineStr">
        <is>
          <t>20250127</t>
        </is>
      </c>
    </row>
    <row r="305">
      <c r="A305" t="inlineStr">
        <is>
          <t>900001074</t>
        </is>
      </c>
      <c r="B305" t="inlineStr">
        <is>
          <t>D836</t>
        </is>
      </c>
      <c r="C305" t="inlineStr">
        <is>
          <t>66518013</t>
        </is>
      </c>
      <c r="D305" t="inlineStr">
        <is>
          <t>10000357</t>
        </is>
      </c>
      <c r="E305" t="inlineStr"/>
      <c r="F305" s="11" t="n">
        <v>100.8</v>
      </c>
      <c r="G305" t="inlineStr"/>
      <c r="I305" t="inlineStr">
        <is>
          <t>M3</t>
        </is>
      </c>
      <c r="J305" t="inlineStr"/>
      <c r="K305" t="inlineStr">
        <is>
          <t>20190426</t>
        </is>
      </c>
      <c r="L305" t="inlineStr">
        <is>
          <t>20250127</t>
        </is>
      </c>
    </row>
    <row r="306">
      <c r="A306" t="inlineStr">
        <is>
          <t>900001074</t>
        </is>
      </c>
      <c r="B306" t="inlineStr">
        <is>
          <t>D836</t>
        </is>
      </c>
      <c r="C306" t="inlineStr">
        <is>
          <t>66518013</t>
        </is>
      </c>
      <c r="D306" t="inlineStr">
        <is>
          <t>10000627</t>
        </is>
      </c>
      <c r="E306" t="inlineStr"/>
      <c r="F306" s="11" t="n">
        <v>88</v>
      </c>
      <c r="G306" t="inlineStr"/>
      <c r="I306" t="inlineStr">
        <is>
          <t>M3</t>
        </is>
      </c>
      <c r="J306" t="inlineStr"/>
      <c r="K306" t="inlineStr">
        <is>
          <t>20190426</t>
        </is>
      </c>
      <c r="L306" t="inlineStr">
        <is>
          <t>20250127</t>
        </is>
      </c>
    </row>
    <row r="307">
      <c r="A307" t="inlineStr">
        <is>
          <t>900001074</t>
        </is>
      </c>
      <c r="B307" t="inlineStr">
        <is>
          <t>D836</t>
        </is>
      </c>
      <c r="C307" t="inlineStr">
        <is>
          <t>66526341</t>
        </is>
      </c>
      <c r="D307" t="inlineStr">
        <is>
          <t>10000627</t>
        </is>
      </c>
      <c r="E307" t="inlineStr"/>
      <c r="F307" s="11" t="n">
        <v>95</v>
      </c>
      <c r="G307" t="inlineStr"/>
      <c r="I307" t="inlineStr">
        <is>
          <t>M3</t>
        </is>
      </c>
      <c r="J307" t="inlineStr"/>
      <c r="K307" t="inlineStr">
        <is>
          <t>20190426</t>
        </is>
      </c>
      <c r="L307" t="inlineStr">
        <is>
          <t>20250127</t>
        </is>
      </c>
    </row>
    <row r="308">
      <c r="A308" t="inlineStr">
        <is>
          <t>900001074</t>
        </is>
      </c>
      <c r="B308" t="inlineStr">
        <is>
          <t>D836</t>
        </is>
      </c>
      <c r="C308" t="inlineStr">
        <is>
          <t>66526341</t>
        </is>
      </c>
      <c r="D308" t="inlineStr">
        <is>
          <t>10155487</t>
        </is>
      </c>
      <c r="E308" t="inlineStr"/>
      <c r="F308" s="11" t="n">
        <v>150</v>
      </c>
      <c r="G308" t="inlineStr"/>
      <c r="I308" t="inlineStr">
        <is>
          <t>M3</t>
        </is>
      </c>
      <c r="J308" t="inlineStr"/>
      <c r="K308" t="inlineStr">
        <is>
          <t>20190426</t>
        </is>
      </c>
      <c r="L308" t="inlineStr">
        <is>
          <t>20250127</t>
        </is>
      </c>
    </row>
    <row r="309">
      <c r="A309" t="inlineStr">
        <is>
          <t>900001074</t>
        </is>
      </c>
      <c r="B309" t="inlineStr">
        <is>
          <t>D836</t>
        </is>
      </c>
      <c r="C309" t="inlineStr">
        <is>
          <t>66526343</t>
        </is>
      </c>
      <c r="D309" t="inlineStr">
        <is>
          <t>10000627</t>
        </is>
      </c>
      <c r="E309" t="inlineStr"/>
      <c r="F309" s="11" t="n">
        <v>95</v>
      </c>
      <c r="G309" t="inlineStr"/>
      <c r="I309" t="inlineStr">
        <is>
          <t>M3</t>
        </is>
      </c>
      <c r="J309" t="inlineStr"/>
      <c r="K309" t="inlineStr">
        <is>
          <t>20190426</t>
        </is>
      </c>
      <c r="L309" t="inlineStr">
        <is>
          <t>20250127</t>
        </is>
      </c>
    </row>
    <row r="310">
      <c r="A310" t="inlineStr">
        <is>
          <t>900001074</t>
        </is>
      </c>
      <c r="B310" t="inlineStr">
        <is>
          <t>D836</t>
        </is>
      </c>
      <c r="C310" t="inlineStr">
        <is>
          <t>66526343</t>
        </is>
      </c>
      <c r="D310" t="inlineStr">
        <is>
          <t>10155487</t>
        </is>
      </c>
      <c r="E310" t="inlineStr"/>
      <c r="F310" s="11" t="n">
        <v>150</v>
      </c>
      <c r="G310" t="inlineStr"/>
      <c r="I310" t="inlineStr">
        <is>
          <t>M3</t>
        </is>
      </c>
      <c r="J310" t="inlineStr"/>
      <c r="K310" t="inlineStr">
        <is>
          <t>20190426</t>
        </is>
      </c>
      <c r="L310" t="inlineStr">
        <is>
          <t>20250127</t>
        </is>
      </c>
    </row>
    <row r="311">
      <c r="A311" t="inlineStr">
        <is>
          <t>900001074</t>
        </is>
      </c>
      <c r="B311" t="inlineStr">
        <is>
          <t>D836</t>
        </is>
      </c>
      <c r="C311" t="inlineStr">
        <is>
          <t>66538213</t>
        </is>
      </c>
      <c r="D311" t="inlineStr">
        <is>
          <t>10000627</t>
        </is>
      </c>
      <c r="E311" t="inlineStr"/>
      <c r="F311" s="11" t="n">
        <v>95</v>
      </c>
      <c r="G311" t="inlineStr"/>
      <c r="I311" t="inlineStr">
        <is>
          <t>M3</t>
        </is>
      </c>
      <c r="J311" t="inlineStr"/>
      <c r="K311" t="inlineStr">
        <is>
          <t>20190426</t>
        </is>
      </c>
      <c r="L311" t="inlineStr">
        <is>
          <t>20250127</t>
        </is>
      </c>
    </row>
    <row r="312">
      <c r="A312" t="inlineStr">
        <is>
          <t>900001074</t>
        </is>
      </c>
      <c r="B312" t="inlineStr">
        <is>
          <t>D836</t>
        </is>
      </c>
      <c r="C312" t="inlineStr">
        <is>
          <t>66538213</t>
        </is>
      </c>
      <c r="D312" t="inlineStr">
        <is>
          <t>10155487</t>
        </is>
      </c>
      <c r="E312" t="inlineStr"/>
      <c r="F312" s="11" t="n">
        <v>150</v>
      </c>
      <c r="G312" t="inlineStr"/>
      <c r="I312" t="inlineStr">
        <is>
          <t>M3</t>
        </is>
      </c>
      <c r="J312" t="inlineStr"/>
      <c r="K312" t="inlineStr">
        <is>
          <t>20190426</t>
        </is>
      </c>
      <c r="L312" t="inlineStr">
        <is>
          <t>20250127</t>
        </is>
      </c>
    </row>
    <row r="313">
      <c r="A313" t="inlineStr">
        <is>
          <t>900001074</t>
        </is>
      </c>
      <c r="B313" t="inlineStr">
        <is>
          <t>D836</t>
        </is>
      </c>
      <c r="C313" t="inlineStr">
        <is>
          <t>66543921</t>
        </is>
      </c>
      <c r="D313" t="inlineStr">
        <is>
          <t>10000160</t>
        </is>
      </c>
      <c r="E313" t="inlineStr"/>
      <c r="F313" s="11" t="n">
        <v>83</v>
      </c>
      <c r="G313" t="inlineStr"/>
      <c r="I313" t="inlineStr">
        <is>
          <t>M3</t>
        </is>
      </c>
      <c r="J313" t="inlineStr"/>
      <c r="K313" t="inlineStr">
        <is>
          <t>20190426</t>
        </is>
      </c>
      <c r="L313" t="inlineStr">
        <is>
          <t>20250127</t>
        </is>
      </c>
    </row>
    <row r="314">
      <c r="A314" t="inlineStr">
        <is>
          <t>900001074</t>
        </is>
      </c>
      <c r="B314" t="inlineStr">
        <is>
          <t>D836</t>
        </is>
      </c>
      <c r="C314" t="inlineStr">
        <is>
          <t>66543921</t>
        </is>
      </c>
      <c r="D314" t="inlineStr">
        <is>
          <t>10000357</t>
        </is>
      </c>
      <c r="E314" t="inlineStr"/>
      <c r="F314" s="11" t="n">
        <v>95</v>
      </c>
      <c r="G314" t="inlineStr"/>
      <c r="I314" t="inlineStr">
        <is>
          <t>M3</t>
        </is>
      </c>
      <c r="J314" t="inlineStr"/>
      <c r="K314" t="inlineStr">
        <is>
          <t>20190426</t>
        </is>
      </c>
      <c r="L314" t="inlineStr">
        <is>
          <t>20250127</t>
        </is>
      </c>
    </row>
    <row r="315">
      <c r="A315" t="inlineStr">
        <is>
          <t>900001074</t>
        </is>
      </c>
      <c r="B315" t="inlineStr">
        <is>
          <t>D836</t>
        </is>
      </c>
      <c r="C315" t="inlineStr">
        <is>
          <t>66543921</t>
        </is>
      </c>
      <c r="D315" t="inlineStr">
        <is>
          <t>10000627</t>
        </is>
      </c>
      <c r="E315" t="inlineStr"/>
      <c r="F315" s="11" t="n">
        <v>88</v>
      </c>
      <c r="G315" t="inlineStr"/>
      <c r="I315" t="inlineStr">
        <is>
          <t>M3</t>
        </is>
      </c>
      <c r="J315" t="inlineStr"/>
      <c r="K315" t="inlineStr">
        <is>
          <t>20190426</t>
        </is>
      </c>
      <c r="L315" t="inlineStr">
        <is>
          <t>20250127</t>
        </is>
      </c>
    </row>
    <row r="316">
      <c r="A316" t="inlineStr">
        <is>
          <t>900001074</t>
        </is>
      </c>
      <c r="B316" t="inlineStr">
        <is>
          <t>D836</t>
        </is>
      </c>
      <c r="C316" t="inlineStr">
        <is>
          <t>66550843</t>
        </is>
      </c>
      <c r="D316" t="inlineStr">
        <is>
          <t>10000160</t>
        </is>
      </c>
      <c r="E316" t="inlineStr"/>
      <c r="F316" s="11" t="n">
        <v>88</v>
      </c>
      <c r="G316" t="inlineStr"/>
      <c r="I316" t="inlineStr">
        <is>
          <t>M3</t>
        </is>
      </c>
      <c r="J316" t="inlineStr"/>
      <c r="K316" t="inlineStr">
        <is>
          <t>20190426</t>
        </is>
      </c>
      <c r="L316" t="inlineStr">
        <is>
          <t>20250127</t>
        </is>
      </c>
    </row>
    <row r="317">
      <c r="A317" t="inlineStr">
        <is>
          <t>900001074</t>
        </is>
      </c>
      <c r="B317" t="inlineStr">
        <is>
          <t>D836</t>
        </is>
      </c>
      <c r="C317" t="inlineStr">
        <is>
          <t>66550843</t>
        </is>
      </c>
      <c r="D317" t="inlineStr">
        <is>
          <t>10000357</t>
        </is>
      </c>
      <c r="E317" t="inlineStr"/>
      <c r="F317" s="11" t="n">
        <v>100</v>
      </c>
      <c r="G317" t="inlineStr"/>
      <c r="I317" t="inlineStr">
        <is>
          <t>M3</t>
        </is>
      </c>
      <c r="J317" t="inlineStr"/>
      <c r="K317" t="inlineStr">
        <is>
          <t>20190426</t>
        </is>
      </c>
      <c r="L317" t="inlineStr">
        <is>
          <t>20250127</t>
        </is>
      </c>
    </row>
    <row r="318">
      <c r="A318" t="inlineStr">
        <is>
          <t>900001074</t>
        </is>
      </c>
      <c r="B318" t="inlineStr">
        <is>
          <t>D836</t>
        </is>
      </c>
      <c r="C318" t="inlineStr">
        <is>
          <t>66553548</t>
        </is>
      </c>
      <c r="D318" t="inlineStr">
        <is>
          <t>10000160</t>
        </is>
      </c>
      <c r="E318" t="inlineStr"/>
      <c r="F318" s="11" t="n">
        <v>90</v>
      </c>
      <c r="G318" t="inlineStr"/>
      <c r="I318" t="inlineStr">
        <is>
          <t>M3</t>
        </is>
      </c>
      <c r="J318" t="inlineStr"/>
      <c r="K318" t="inlineStr">
        <is>
          <t>20190426</t>
        </is>
      </c>
      <c r="L318" t="inlineStr">
        <is>
          <t>20250127</t>
        </is>
      </c>
    </row>
    <row r="319">
      <c r="A319" t="inlineStr">
        <is>
          <t>900001074</t>
        </is>
      </c>
      <c r="B319" t="inlineStr">
        <is>
          <t>D836</t>
        </is>
      </c>
      <c r="C319" t="inlineStr">
        <is>
          <t>66553548</t>
        </is>
      </c>
      <c r="D319" t="inlineStr">
        <is>
          <t>10000357</t>
        </is>
      </c>
      <c r="E319" t="inlineStr"/>
      <c r="F319" s="11" t="n">
        <v>100</v>
      </c>
      <c r="G319" t="inlineStr"/>
      <c r="I319" t="inlineStr">
        <is>
          <t>M3</t>
        </is>
      </c>
      <c r="J319" t="inlineStr"/>
      <c r="K319" t="inlineStr">
        <is>
          <t>20190426</t>
        </is>
      </c>
      <c r="L319" t="inlineStr">
        <is>
          <t>20250127</t>
        </is>
      </c>
    </row>
    <row r="320">
      <c r="A320" t="inlineStr">
        <is>
          <t>900001074</t>
        </is>
      </c>
      <c r="B320" t="inlineStr">
        <is>
          <t>D836</t>
        </is>
      </c>
      <c r="C320" t="inlineStr">
        <is>
          <t>66555135</t>
        </is>
      </c>
      <c r="D320" t="inlineStr">
        <is>
          <t>10000160</t>
        </is>
      </c>
      <c r="E320" t="inlineStr"/>
      <c r="F320" s="11" t="n">
        <v>88</v>
      </c>
      <c r="G320" t="inlineStr"/>
      <c r="I320" t="inlineStr">
        <is>
          <t>M3</t>
        </is>
      </c>
      <c r="J320" t="inlineStr"/>
      <c r="K320" t="inlineStr">
        <is>
          <t>20190426</t>
        </is>
      </c>
      <c r="L320" t="inlineStr">
        <is>
          <t>20250127</t>
        </is>
      </c>
    </row>
    <row r="321">
      <c r="A321" t="inlineStr">
        <is>
          <t>900001074</t>
        </is>
      </c>
      <c r="B321" t="inlineStr">
        <is>
          <t>D836</t>
        </is>
      </c>
      <c r="C321" t="inlineStr">
        <is>
          <t>66555135</t>
        </is>
      </c>
      <c r="D321" t="inlineStr">
        <is>
          <t>10000357</t>
        </is>
      </c>
      <c r="E321" t="inlineStr"/>
      <c r="F321" s="11" t="n">
        <v>100</v>
      </c>
      <c r="G321" t="inlineStr"/>
      <c r="I321" t="inlineStr">
        <is>
          <t>M3</t>
        </is>
      </c>
      <c r="J321" t="inlineStr"/>
      <c r="K321" t="inlineStr">
        <is>
          <t>20190426</t>
        </is>
      </c>
      <c r="L321" t="inlineStr">
        <is>
          <t>20250127</t>
        </is>
      </c>
    </row>
    <row r="322">
      <c r="A322" t="inlineStr">
        <is>
          <t>900001074</t>
        </is>
      </c>
      <c r="B322" t="inlineStr">
        <is>
          <t>D836</t>
        </is>
      </c>
      <c r="C322" t="inlineStr">
        <is>
          <t>66573526</t>
        </is>
      </c>
      <c r="D322" t="inlineStr">
        <is>
          <t>10000160</t>
        </is>
      </c>
      <c r="E322" t="inlineStr"/>
      <c r="F322" s="11" t="n">
        <v>81.5</v>
      </c>
      <c r="G322" t="inlineStr"/>
      <c r="I322" t="inlineStr">
        <is>
          <t>M3</t>
        </is>
      </c>
      <c r="J322" t="inlineStr"/>
      <c r="K322" t="inlineStr">
        <is>
          <t>20190426</t>
        </is>
      </c>
      <c r="L322" t="inlineStr">
        <is>
          <t>20250127</t>
        </is>
      </c>
    </row>
    <row r="323">
      <c r="A323" t="inlineStr">
        <is>
          <t>900001074</t>
        </is>
      </c>
      <c r="B323" t="inlineStr">
        <is>
          <t>D836</t>
        </is>
      </c>
      <c r="C323" t="inlineStr">
        <is>
          <t>66573526</t>
        </is>
      </c>
      <c r="D323" t="inlineStr">
        <is>
          <t>10000357</t>
        </is>
      </c>
      <c r="E323" t="inlineStr"/>
      <c r="F323" s="11" t="n">
        <v>95</v>
      </c>
      <c r="G323" t="inlineStr"/>
      <c r="I323" t="inlineStr">
        <is>
          <t>M3</t>
        </is>
      </c>
      <c r="J323" t="inlineStr"/>
      <c r="K323" t="inlineStr">
        <is>
          <t>20190426</t>
        </is>
      </c>
      <c r="L323" t="inlineStr">
        <is>
          <t>20250127</t>
        </is>
      </c>
    </row>
    <row r="324">
      <c r="A324" t="inlineStr">
        <is>
          <t>900001074</t>
        </is>
      </c>
      <c r="B324" t="inlineStr">
        <is>
          <t>D836</t>
        </is>
      </c>
      <c r="C324" t="inlineStr">
        <is>
          <t>66591199</t>
        </is>
      </c>
      <c r="D324" t="inlineStr">
        <is>
          <t>10000160</t>
        </is>
      </c>
      <c r="E324" t="inlineStr"/>
      <c r="F324" s="11" t="n">
        <v>102</v>
      </c>
      <c r="G324" t="inlineStr"/>
      <c r="I324" t="inlineStr">
        <is>
          <t>M3</t>
        </is>
      </c>
      <c r="J324" t="inlineStr"/>
      <c r="K324" t="inlineStr">
        <is>
          <t>20190426</t>
        </is>
      </c>
      <c r="L324" t="inlineStr">
        <is>
          <t>20250127</t>
        </is>
      </c>
    </row>
    <row r="325">
      <c r="A325" t="inlineStr">
        <is>
          <t>900001074</t>
        </is>
      </c>
      <c r="B325" t="inlineStr">
        <is>
          <t>D836</t>
        </is>
      </c>
      <c r="C325" t="inlineStr">
        <is>
          <t>66591199</t>
        </is>
      </c>
      <c r="D325" t="inlineStr">
        <is>
          <t>10000357</t>
        </is>
      </c>
      <c r="E325" t="inlineStr"/>
      <c r="F325" s="11" t="n">
        <v>113</v>
      </c>
      <c r="G325" t="inlineStr"/>
      <c r="I325" t="inlineStr">
        <is>
          <t>M3</t>
        </is>
      </c>
      <c r="J325" t="inlineStr"/>
      <c r="K325" t="inlineStr">
        <is>
          <t>20190426</t>
        </is>
      </c>
      <c r="L325" t="inlineStr">
        <is>
          <t>20250127</t>
        </is>
      </c>
    </row>
    <row r="326">
      <c r="A326" t="inlineStr">
        <is>
          <t>900001074</t>
        </is>
      </c>
      <c r="B326" t="inlineStr">
        <is>
          <t>D836</t>
        </is>
      </c>
      <c r="C326" t="inlineStr">
        <is>
          <t>66591199</t>
        </is>
      </c>
      <c r="D326" t="inlineStr">
        <is>
          <t>10019515</t>
        </is>
      </c>
      <c r="E326" t="inlineStr"/>
      <c r="F326" s="11" t="n">
        <v>114</v>
      </c>
      <c r="G326" t="inlineStr"/>
      <c r="I326" t="inlineStr">
        <is>
          <t>M3</t>
        </is>
      </c>
      <c r="J326" t="inlineStr"/>
      <c r="K326" t="inlineStr">
        <is>
          <t>20190426</t>
        </is>
      </c>
      <c r="L326" t="inlineStr">
        <is>
          <t>20250127</t>
        </is>
      </c>
    </row>
    <row r="327">
      <c r="A327" t="inlineStr">
        <is>
          <t>900001074</t>
        </is>
      </c>
      <c r="B327" t="inlineStr">
        <is>
          <t>D836</t>
        </is>
      </c>
      <c r="C327" t="inlineStr">
        <is>
          <t>66605859</t>
        </is>
      </c>
      <c r="D327" t="inlineStr">
        <is>
          <t>10019515</t>
        </is>
      </c>
      <c r="E327" t="inlineStr"/>
      <c r="F327" s="11" t="n">
        <v>84.62</v>
      </c>
      <c r="G327" t="inlineStr"/>
      <c r="I327" t="inlineStr">
        <is>
          <t>TN</t>
        </is>
      </c>
      <c r="J327" t="inlineStr"/>
      <c r="K327" t="inlineStr">
        <is>
          <t>20190426</t>
        </is>
      </c>
      <c r="L327" t="inlineStr">
        <is>
          <t>20250127</t>
        </is>
      </c>
    </row>
    <row r="328">
      <c r="A328" t="inlineStr">
        <is>
          <t>900001074</t>
        </is>
      </c>
      <c r="B328" t="inlineStr">
        <is>
          <t>D836</t>
        </is>
      </c>
      <c r="C328" t="inlineStr">
        <is>
          <t>66605859</t>
        </is>
      </c>
      <c r="D328" t="inlineStr">
        <is>
          <t>10172240</t>
        </is>
      </c>
      <c r="E328" t="inlineStr"/>
      <c r="F328" s="11" t="n">
        <v>130</v>
      </c>
      <c r="G328" t="inlineStr"/>
      <c r="I328" t="inlineStr">
        <is>
          <t>M3</t>
        </is>
      </c>
      <c r="J328" t="inlineStr"/>
      <c r="K328" t="inlineStr">
        <is>
          <t>20190426</t>
        </is>
      </c>
      <c r="L328" t="inlineStr">
        <is>
          <t>20250127</t>
        </is>
      </c>
    </row>
    <row r="329">
      <c r="A329" t="inlineStr">
        <is>
          <t>900001074</t>
        </is>
      </c>
      <c r="B329" t="inlineStr">
        <is>
          <t>D836</t>
        </is>
      </c>
      <c r="C329" t="inlineStr">
        <is>
          <t>66611315</t>
        </is>
      </c>
      <c r="D329" t="inlineStr">
        <is>
          <t>10000160</t>
        </is>
      </c>
      <c r="E329" t="inlineStr"/>
      <c r="F329" s="11" t="n">
        <v>85</v>
      </c>
      <c r="G329" t="inlineStr"/>
      <c r="I329" t="inlineStr">
        <is>
          <t>M3</t>
        </is>
      </c>
      <c r="J329" t="inlineStr"/>
      <c r="K329" t="inlineStr">
        <is>
          <t>20190426</t>
        </is>
      </c>
      <c r="L329" t="inlineStr">
        <is>
          <t>20250127</t>
        </is>
      </c>
    </row>
    <row r="330">
      <c r="A330" t="inlineStr">
        <is>
          <t>900001074</t>
        </is>
      </c>
      <c r="B330" t="inlineStr">
        <is>
          <t>D836</t>
        </is>
      </c>
      <c r="C330" t="inlineStr">
        <is>
          <t>66611315</t>
        </is>
      </c>
      <c r="D330" t="inlineStr">
        <is>
          <t>10000357</t>
        </is>
      </c>
      <c r="E330" t="inlineStr"/>
      <c r="F330" s="11" t="n">
        <v>100</v>
      </c>
      <c r="G330" t="inlineStr"/>
      <c r="I330" t="inlineStr">
        <is>
          <t>M3</t>
        </is>
      </c>
      <c r="J330" t="inlineStr"/>
      <c r="K330" t="inlineStr">
        <is>
          <t>20190426</t>
        </is>
      </c>
      <c r="L330" t="inlineStr">
        <is>
          <t>20250127</t>
        </is>
      </c>
    </row>
    <row r="331">
      <c r="A331" t="inlineStr">
        <is>
          <t>900001074</t>
        </is>
      </c>
      <c r="B331" t="inlineStr">
        <is>
          <t>D836</t>
        </is>
      </c>
      <c r="C331" t="inlineStr">
        <is>
          <t>66611315</t>
        </is>
      </c>
      <c r="D331" t="inlineStr">
        <is>
          <t>10000627</t>
        </is>
      </c>
      <c r="E331" t="inlineStr"/>
      <c r="F331" s="11" t="n">
        <v>84</v>
      </c>
      <c r="G331" t="inlineStr"/>
      <c r="I331" t="inlineStr">
        <is>
          <t>M3</t>
        </is>
      </c>
      <c r="J331" t="inlineStr"/>
      <c r="K331" t="inlineStr">
        <is>
          <t>20190426</t>
        </is>
      </c>
      <c r="L331" t="inlineStr">
        <is>
          <t>20250127</t>
        </is>
      </c>
    </row>
    <row r="332">
      <c r="A332" t="inlineStr">
        <is>
          <t>900001074</t>
        </is>
      </c>
      <c r="B332" t="inlineStr">
        <is>
          <t>D836</t>
        </is>
      </c>
      <c r="C332" t="inlineStr">
        <is>
          <t>66618135</t>
        </is>
      </c>
      <c r="D332" t="inlineStr">
        <is>
          <t>10000160</t>
        </is>
      </c>
      <c r="E332" t="inlineStr"/>
      <c r="F332" s="11" t="n">
        <v>102</v>
      </c>
      <c r="G332" t="inlineStr"/>
      <c r="I332" t="inlineStr">
        <is>
          <t>M3</t>
        </is>
      </c>
      <c r="J332" t="inlineStr"/>
      <c r="K332" t="inlineStr">
        <is>
          <t>20190426</t>
        </is>
      </c>
      <c r="L332" t="inlineStr">
        <is>
          <t>20250127</t>
        </is>
      </c>
    </row>
    <row r="333">
      <c r="A333" t="inlineStr">
        <is>
          <t>900001074</t>
        </is>
      </c>
      <c r="B333" t="inlineStr">
        <is>
          <t>D836</t>
        </is>
      </c>
      <c r="C333" t="inlineStr">
        <is>
          <t>66618135</t>
        </is>
      </c>
      <c r="D333" t="inlineStr">
        <is>
          <t>10000357</t>
        </is>
      </c>
      <c r="E333" t="inlineStr"/>
      <c r="F333" s="11" t="n">
        <v>113</v>
      </c>
      <c r="G333" t="inlineStr"/>
      <c r="I333" t="inlineStr">
        <is>
          <t>M3</t>
        </is>
      </c>
      <c r="J333" t="inlineStr"/>
      <c r="K333" t="inlineStr">
        <is>
          <t>20190426</t>
        </is>
      </c>
      <c r="L333" t="inlineStr">
        <is>
          <t>20250127</t>
        </is>
      </c>
    </row>
    <row r="334">
      <c r="A334" t="inlineStr">
        <is>
          <t>900001074</t>
        </is>
      </c>
      <c r="B334" t="inlineStr">
        <is>
          <t>D836</t>
        </is>
      </c>
      <c r="C334" t="inlineStr">
        <is>
          <t>66618135</t>
        </is>
      </c>
      <c r="D334" t="inlineStr">
        <is>
          <t>10019515</t>
        </is>
      </c>
      <c r="E334" t="inlineStr"/>
      <c r="F334" s="11" t="n">
        <v>114</v>
      </c>
      <c r="G334" t="inlineStr"/>
      <c r="I334" t="inlineStr">
        <is>
          <t>M3</t>
        </is>
      </c>
      <c r="J334" t="inlineStr"/>
      <c r="K334" t="inlineStr">
        <is>
          <t>20190426</t>
        </is>
      </c>
      <c r="L334" t="inlineStr">
        <is>
          <t>20250127</t>
        </is>
      </c>
    </row>
    <row r="335">
      <c r="A335" t="inlineStr">
        <is>
          <t>900001074</t>
        </is>
      </c>
      <c r="B335" t="inlineStr">
        <is>
          <t>D836</t>
        </is>
      </c>
      <c r="C335" t="inlineStr">
        <is>
          <t>66624554</t>
        </is>
      </c>
      <c r="D335" t="inlineStr">
        <is>
          <t>10000160</t>
        </is>
      </c>
      <c r="E335" t="inlineStr"/>
      <c r="F335" s="11" t="n">
        <v>104.49</v>
      </c>
      <c r="G335" t="inlineStr"/>
      <c r="I335" t="inlineStr">
        <is>
          <t>M3</t>
        </is>
      </c>
      <c r="J335" t="inlineStr"/>
      <c r="K335" t="inlineStr">
        <is>
          <t>20190426</t>
        </is>
      </c>
      <c r="L335" t="inlineStr">
        <is>
          <t>20250127</t>
        </is>
      </c>
    </row>
    <row r="336">
      <c r="A336" t="inlineStr">
        <is>
          <t>900001074</t>
        </is>
      </c>
      <c r="B336" t="inlineStr">
        <is>
          <t>D836</t>
        </is>
      </c>
      <c r="C336" t="inlineStr">
        <is>
          <t>66624554</t>
        </is>
      </c>
      <c r="D336" t="inlineStr">
        <is>
          <t>10000357</t>
        </is>
      </c>
      <c r="E336" t="inlineStr"/>
      <c r="F336" s="11" t="n">
        <v>120.86</v>
      </c>
      <c r="G336" t="inlineStr"/>
      <c r="I336" t="inlineStr">
        <is>
          <t>M3</t>
        </is>
      </c>
      <c r="J336" t="inlineStr"/>
      <c r="K336" t="inlineStr">
        <is>
          <t>20190426</t>
        </is>
      </c>
      <c r="L336" t="inlineStr">
        <is>
          <t>20250127</t>
        </is>
      </c>
    </row>
    <row r="337">
      <c r="A337" t="inlineStr">
        <is>
          <t>900001074</t>
        </is>
      </c>
      <c r="B337" t="inlineStr">
        <is>
          <t>D836</t>
        </is>
      </c>
      <c r="C337" t="inlineStr">
        <is>
          <t>66624554</t>
        </is>
      </c>
      <c r="D337" t="inlineStr">
        <is>
          <t>10000627</t>
        </is>
      </c>
      <c r="E337" t="inlineStr"/>
      <c r="F337" s="11" t="n">
        <v>95.92</v>
      </c>
      <c r="G337" t="inlineStr"/>
      <c r="I337" t="inlineStr">
        <is>
          <t>M3</t>
        </is>
      </c>
      <c r="J337" t="inlineStr"/>
      <c r="K337" t="inlineStr">
        <is>
          <t>20190426</t>
        </is>
      </c>
      <c r="L337" t="inlineStr">
        <is>
          <t>20250127</t>
        </is>
      </c>
    </row>
    <row r="338">
      <c r="A338" t="inlineStr">
        <is>
          <t>900001074</t>
        </is>
      </c>
      <c r="B338" t="inlineStr">
        <is>
          <t>D836</t>
        </is>
      </c>
      <c r="C338" t="inlineStr">
        <is>
          <t>66779276</t>
        </is>
      </c>
      <c r="D338" t="inlineStr">
        <is>
          <t>10000140</t>
        </is>
      </c>
      <c r="E338" t="inlineStr"/>
      <c r="F338" s="11" t="n">
        <v>96</v>
      </c>
      <c r="G338" t="inlineStr"/>
      <c r="I338" t="inlineStr">
        <is>
          <t>M3</t>
        </is>
      </c>
      <c r="J338" t="inlineStr"/>
      <c r="K338" t="inlineStr">
        <is>
          <t>20190426</t>
        </is>
      </c>
      <c r="L338" t="inlineStr">
        <is>
          <t>20250127</t>
        </is>
      </c>
    </row>
    <row r="339">
      <c r="A339" t="inlineStr">
        <is>
          <t>900001074</t>
        </is>
      </c>
      <c r="B339" t="inlineStr">
        <is>
          <t>D836</t>
        </is>
      </c>
      <c r="C339" t="inlineStr">
        <is>
          <t>66779276</t>
        </is>
      </c>
      <c r="D339" t="inlineStr">
        <is>
          <t>10175723</t>
        </is>
      </c>
      <c r="E339" t="inlineStr"/>
      <c r="F339" s="11" t="n">
        <v>126.5</v>
      </c>
      <c r="G339" t="inlineStr"/>
      <c r="I339" t="inlineStr">
        <is>
          <t>M3</t>
        </is>
      </c>
      <c r="J339" t="inlineStr"/>
      <c r="K339" t="inlineStr">
        <is>
          <t>20190426</t>
        </is>
      </c>
      <c r="L339" t="inlineStr">
        <is>
          <t>20250127</t>
        </is>
      </c>
    </row>
    <row r="340">
      <c r="A340" t="inlineStr">
        <is>
          <t>900001074</t>
        </is>
      </c>
      <c r="B340" t="inlineStr">
        <is>
          <t>D836</t>
        </is>
      </c>
      <c r="C340" t="inlineStr">
        <is>
          <t>66799029</t>
        </is>
      </c>
      <c r="D340" t="inlineStr">
        <is>
          <t>10000160</t>
        </is>
      </c>
      <c r="E340" t="inlineStr"/>
      <c r="F340" s="11" t="n">
        <v>85</v>
      </c>
      <c r="G340" t="inlineStr"/>
      <c r="I340" t="inlineStr">
        <is>
          <t>M3</t>
        </is>
      </c>
      <c r="J340" t="inlineStr"/>
      <c r="K340" t="inlineStr">
        <is>
          <t>20190426</t>
        </is>
      </c>
      <c r="L340" t="inlineStr">
        <is>
          <t>20250127</t>
        </is>
      </c>
    </row>
    <row r="341">
      <c r="A341" t="inlineStr">
        <is>
          <t>900001074</t>
        </is>
      </c>
      <c r="B341" t="inlineStr">
        <is>
          <t>D836</t>
        </is>
      </c>
      <c r="C341" t="inlineStr">
        <is>
          <t>66799029</t>
        </is>
      </c>
      <c r="D341" t="inlineStr">
        <is>
          <t>10000357</t>
        </is>
      </c>
      <c r="E341" t="inlineStr"/>
      <c r="F341" s="11" t="n">
        <v>98</v>
      </c>
      <c r="G341" t="inlineStr"/>
      <c r="I341" t="inlineStr">
        <is>
          <t>M3</t>
        </is>
      </c>
      <c r="J341" t="inlineStr"/>
      <c r="K341" t="inlineStr">
        <is>
          <t>20190426</t>
        </is>
      </c>
      <c r="L341" t="inlineStr">
        <is>
          <t>20250127</t>
        </is>
      </c>
    </row>
    <row r="342">
      <c r="A342" t="inlineStr">
        <is>
          <t>900001074</t>
        </is>
      </c>
      <c r="B342" t="inlineStr">
        <is>
          <t>D836</t>
        </is>
      </c>
      <c r="C342" t="inlineStr">
        <is>
          <t>66819150</t>
        </is>
      </c>
      <c r="D342" t="inlineStr">
        <is>
          <t>10000160</t>
        </is>
      </c>
      <c r="E342" t="inlineStr"/>
      <c r="F342" s="11" t="n">
        <v>89.25</v>
      </c>
      <c r="G342" t="inlineStr"/>
      <c r="I342" t="inlineStr">
        <is>
          <t>M3</t>
        </is>
      </c>
      <c r="J342" t="inlineStr"/>
      <c r="K342" t="inlineStr">
        <is>
          <t>20190426</t>
        </is>
      </c>
      <c r="L342" t="inlineStr">
        <is>
          <t>20250127</t>
        </is>
      </c>
    </row>
    <row r="343">
      <c r="A343" t="inlineStr">
        <is>
          <t>900001074</t>
        </is>
      </c>
      <c r="B343" t="inlineStr">
        <is>
          <t>D836</t>
        </is>
      </c>
      <c r="C343" t="inlineStr">
        <is>
          <t>66819150</t>
        </is>
      </c>
      <c r="D343" t="inlineStr">
        <is>
          <t>10000357</t>
        </is>
      </c>
      <c r="E343" t="inlineStr"/>
      <c r="F343" s="11" t="n">
        <v>100.8</v>
      </c>
      <c r="G343" t="inlineStr"/>
      <c r="I343" t="inlineStr">
        <is>
          <t>M3</t>
        </is>
      </c>
      <c r="J343" t="inlineStr"/>
      <c r="K343" t="inlineStr">
        <is>
          <t>20190426</t>
        </is>
      </c>
      <c r="L343" t="inlineStr">
        <is>
          <t>20250127</t>
        </is>
      </c>
    </row>
    <row r="344">
      <c r="A344" t="inlineStr">
        <is>
          <t>900001074</t>
        </is>
      </c>
      <c r="B344" t="inlineStr">
        <is>
          <t>D836</t>
        </is>
      </c>
      <c r="C344" t="inlineStr">
        <is>
          <t>66820551</t>
        </is>
      </c>
      <c r="D344" t="inlineStr">
        <is>
          <t>10000160</t>
        </is>
      </c>
      <c r="E344" t="inlineStr"/>
      <c r="F344" s="11" t="n">
        <v>90</v>
      </c>
      <c r="G344" t="inlineStr"/>
      <c r="I344" t="inlineStr">
        <is>
          <t>M3</t>
        </is>
      </c>
      <c r="J344" t="inlineStr"/>
      <c r="K344" t="inlineStr">
        <is>
          <t>20190426</t>
        </is>
      </c>
      <c r="L344" t="inlineStr">
        <is>
          <t>20250127</t>
        </is>
      </c>
    </row>
    <row r="345">
      <c r="A345" t="inlineStr">
        <is>
          <t>900001074</t>
        </is>
      </c>
      <c r="B345" t="inlineStr">
        <is>
          <t>D836</t>
        </is>
      </c>
      <c r="C345" t="inlineStr">
        <is>
          <t>66820551</t>
        </is>
      </c>
      <c r="D345" t="inlineStr">
        <is>
          <t>10000357</t>
        </is>
      </c>
      <c r="E345" t="inlineStr"/>
      <c r="F345" s="11" t="n">
        <v>103</v>
      </c>
      <c r="G345" t="inlineStr"/>
      <c r="I345" t="inlineStr">
        <is>
          <t>M3</t>
        </is>
      </c>
      <c r="J345" t="inlineStr"/>
      <c r="K345" t="inlineStr">
        <is>
          <t>20190426</t>
        </is>
      </c>
      <c r="L345" t="inlineStr">
        <is>
          <t>20250127</t>
        </is>
      </c>
    </row>
    <row r="346">
      <c r="A346" t="inlineStr">
        <is>
          <t>900001074</t>
        </is>
      </c>
      <c r="B346" t="inlineStr">
        <is>
          <t>D836</t>
        </is>
      </c>
      <c r="C346" t="inlineStr">
        <is>
          <t>66840672</t>
        </is>
      </c>
      <c r="D346" t="inlineStr">
        <is>
          <t>10172240</t>
        </is>
      </c>
      <c r="E346" t="inlineStr"/>
      <c r="F346" s="11" t="n">
        <v>138</v>
      </c>
      <c r="G346" t="inlineStr"/>
      <c r="I346" t="inlineStr">
        <is>
          <t>M3</t>
        </is>
      </c>
      <c r="J346" t="inlineStr"/>
      <c r="K346" t="inlineStr">
        <is>
          <t>20190426</t>
        </is>
      </c>
      <c r="L346" t="inlineStr">
        <is>
          <t>20250127</t>
        </is>
      </c>
    </row>
    <row r="347">
      <c r="A347" t="inlineStr">
        <is>
          <t>900001074</t>
        </is>
      </c>
      <c r="B347" t="inlineStr">
        <is>
          <t>D836</t>
        </is>
      </c>
      <c r="C347" t="inlineStr">
        <is>
          <t>66853858</t>
        </is>
      </c>
      <c r="D347" t="inlineStr">
        <is>
          <t>10000160</t>
        </is>
      </c>
      <c r="E347" t="inlineStr"/>
      <c r="F347" s="11" t="n">
        <v>84</v>
      </c>
      <c r="G347" t="inlineStr"/>
      <c r="I347" t="inlineStr">
        <is>
          <t>M3</t>
        </is>
      </c>
      <c r="J347" t="inlineStr"/>
      <c r="K347" t="inlineStr">
        <is>
          <t>20190426</t>
        </is>
      </c>
      <c r="L347" t="inlineStr">
        <is>
          <t>20250127</t>
        </is>
      </c>
    </row>
    <row r="348">
      <c r="A348" t="inlineStr">
        <is>
          <t>900001074</t>
        </is>
      </c>
      <c r="B348" t="inlineStr">
        <is>
          <t>D836</t>
        </is>
      </c>
      <c r="C348" t="inlineStr">
        <is>
          <t>66853858</t>
        </is>
      </c>
      <c r="D348" t="inlineStr">
        <is>
          <t>10000357</t>
        </is>
      </c>
      <c r="E348" t="inlineStr"/>
      <c r="F348" s="11" t="n">
        <v>95.5</v>
      </c>
      <c r="G348" t="inlineStr"/>
      <c r="I348" t="inlineStr">
        <is>
          <t>M3</t>
        </is>
      </c>
      <c r="J348" t="inlineStr"/>
      <c r="K348" t="inlineStr">
        <is>
          <t>20190426</t>
        </is>
      </c>
      <c r="L348" t="inlineStr">
        <is>
          <t>20250127</t>
        </is>
      </c>
    </row>
    <row r="349">
      <c r="A349" t="inlineStr">
        <is>
          <t>900001074</t>
        </is>
      </c>
      <c r="B349" t="inlineStr">
        <is>
          <t>D836</t>
        </is>
      </c>
      <c r="C349" t="inlineStr">
        <is>
          <t>66853858</t>
        </is>
      </c>
      <c r="D349" t="inlineStr">
        <is>
          <t>10000627</t>
        </is>
      </c>
      <c r="E349" t="inlineStr"/>
      <c r="F349" s="11" t="n">
        <v>84</v>
      </c>
      <c r="G349" t="inlineStr"/>
      <c r="I349" t="inlineStr">
        <is>
          <t>M3</t>
        </is>
      </c>
      <c r="J349" t="inlineStr"/>
      <c r="K349" t="inlineStr">
        <is>
          <t>20190426</t>
        </is>
      </c>
      <c r="L349" t="inlineStr">
        <is>
          <t>20250127</t>
        </is>
      </c>
    </row>
    <row r="350">
      <c r="A350" t="inlineStr">
        <is>
          <t>900001074</t>
        </is>
      </c>
      <c r="B350" t="inlineStr">
        <is>
          <t>D836</t>
        </is>
      </c>
      <c r="C350" t="inlineStr">
        <is>
          <t>66864508</t>
        </is>
      </c>
      <c r="D350" t="inlineStr">
        <is>
          <t>10000627</t>
        </is>
      </c>
      <c r="E350" t="inlineStr"/>
      <c r="F350" s="11" t="n">
        <v>110</v>
      </c>
      <c r="G350" t="inlineStr"/>
      <c r="I350" t="inlineStr">
        <is>
          <t>M3</t>
        </is>
      </c>
      <c r="J350" t="inlineStr"/>
      <c r="K350" t="inlineStr">
        <is>
          <t>20190426</t>
        </is>
      </c>
      <c r="L350" t="inlineStr">
        <is>
          <t>20250127</t>
        </is>
      </c>
    </row>
    <row r="351">
      <c r="A351" t="inlineStr">
        <is>
          <t>900001074</t>
        </is>
      </c>
      <c r="B351" t="inlineStr">
        <is>
          <t>D836</t>
        </is>
      </c>
      <c r="C351" t="inlineStr">
        <is>
          <t>66864540</t>
        </is>
      </c>
      <c r="D351" t="inlineStr">
        <is>
          <t>10000627</t>
        </is>
      </c>
      <c r="E351" t="inlineStr"/>
      <c r="F351" s="11" t="n">
        <v>110</v>
      </c>
      <c r="G351" t="inlineStr"/>
      <c r="I351" t="inlineStr">
        <is>
          <t>M3</t>
        </is>
      </c>
      <c r="J351" t="inlineStr"/>
      <c r="K351" t="inlineStr">
        <is>
          <t>20190426</t>
        </is>
      </c>
      <c r="L351" t="inlineStr">
        <is>
          <t>20250127</t>
        </is>
      </c>
    </row>
    <row r="352">
      <c r="A352" t="inlineStr">
        <is>
          <t>900001074</t>
        </is>
      </c>
      <c r="B352" t="inlineStr">
        <is>
          <t>D836</t>
        </is>
      </c>
      <c r="C352" t="inlineStr">
        <is>
          <t>66874768</t>
        </is>
      </c>
      <c r="D352" t="inlineStr">
        <is>
          <t>10000160</t>
        </is>
      </c>
      <c r="E352" t="inlineStr"/>
      <c r="F352" s="11" t="n">
        <v>256.28</v>
      </c>
      <c r="G352" t="inlineStr"/>
      <c r="I352" t="inlineStr">
        <is>
          <t>M3</t>
        </is>
      </c>
      <c r="J352" t="inlineStr"/>
      <c r="K352" t="inlineStr">
        <is>
          <t>20190426</t>
        </is>
      </c>
      <c r="L352" t="inlineStr">
        <is>
          <t>20250127</t>
        </is>
      </c>
    </row>
    <row r="353">
      <c r="A353" t="inlineStr">
        <is>
          <t>900001074</t>
        </is>
      </c>
      <c r="B353" t="inlineStr">
        <is>
          <t>D836</t>
        </is>
      </c>
      <c r="C353" t="inlineStr">
        <is>
          <t>66884146</t>
        </is>
      </c>
      <c r="D353" t="inlineStr">
        <is>
          <t>10000160</t>
        </is>
      </c>
      <c r="E353" t="inlineStr"/>
      <c r="F353" s="11" t="n">
        <v>94.59999999999999</v>
      </c>
      <c r="G353" t="inlineStr"/>
      <c r="I353" t="inlineStr">
        <is>
          <t>M3</t>
        </is>
      </c>
      <c r="J353" t="inlineStr"/>
      <c r="K353" t="inlineStr">
        <is>
          <t>20190426</t>
        </is>
      </c>
      <c r="L353" t="inlineStr">
        <is>
          <t>20250127</t>
        </is>
      </c>
    </row>
    <row r="354">
      <c r="A354" t="inlineStr">
        <is>
          <t>900001074</t>
        </is>
      </c>
      <c r="B354" t="inlineStr">
        <is>
          <t>D836</t>
        </is>
      </c>
      <c r="C354" t="inlineStr">
        <is>
          <t>66884146</t>
        </is>
      </c>
      <c r="D354" t="inlineStr">
        <is>
          <t>10000357</t>
        </is>
      </c>
      <c r="E354" t="inlineStr"/>
      <c r="F354" s="11" t="n">
        <v>125</v>
      </c>
      <c r="G354" t="inlineStr"/>
      <c r="I354" t="inlineStr">
        <is>
          <t>M3</t>
        </is>
      </c>
      <c r="J354" t="inlineStr"/>
      <c r="K354" t="inlineStr">
        <is>
          <t>20190426</t>
        </is>
      </c>
      <c r="L354" t="inlineStr">
        <is>
          <t>20250127</t>
        </is>
      </c>
    </row>
    <row r="355">
      <c r="A355" t="inlineStr">
        <is>
          <t>900001074</t>
        </is>
      </c>
      <c r="B355" t="inlineStr">
        <is>
          <t>D836</t>
        </is>
      </c>
      <c r="C355" t="inlineStr">
        <is>
          <t>66890781</t>
        </is>
      </c>
      <c r="D355" t="inlineStr">
        <is>
          <t>10000160</t>
        </is>
      </c>
      <c r="E355" t="inlineStr"/>
      <c r="F355" s="11" t="n">
        <v>90</v>
      </c>
      <c r="G355" t="inlineStr"/>
      <c r="I355" t="inlineStr">
        <is>
          <t>M3</t>
        </is>
      </c>
      <c r="J355" t="inlineStr"/>
      <c r="K355" t="inlineStr">
        <is>
          <t>20190426</t>
        </is>
      </c>
      <c r="L355" t="inlineStr">
        <is>
          <t>20250127</t>
        </is>
      </c>
    </row>
    <row r="356">
      <c r="A356" t="inlineStr">
        <is>
          <t>900001074</t>
        </is>
      </c>
      <c r="B356" t="inlineStr">
        <is>
          <t>D836</t>
        </is>
      </c>
      <c r="C356" t="inlineStr">
        <is>
          <t>66890781</t>
        </is>
      </c>
      <c r="D356" t="inlineStr">
        <is>
          <t>10000357</t>
        </is>
      </c>
      <c r="E356" t="inlineStr"/>
      <c r="F356" s="11" t="n">
        <v>100</v>
      </c>
      <c r="G356" t="inlineStr"/>
      <c r="I356" t="inlineStr">
        <is>
          <t>M3</t>
        </is>
      </c>
      <c r="J356" t="inlineStr"/>
      <c r="K356" t="inlineStr">
        <is>
          <t>20190426</t>
        </is>
      </c>
      <c r="L356" t="inlineStr">
        <is>
          <t>20250127</t>
        </is>
      </c>
    </row>
    <row r="357">
      <c r="A357" t="inlineStr">
        <is>
          <t>900001074</t>
        </is>
      </c>
      <c r="B357" t="inlineStr">
        <is>
          <t>D836</t>
        </is>
      </c>
      <c r="C357" t="inlineStr">
        <is>
          <t>66905251</t>
        </is>
      </c>
      <c r="D357" t="inlineStr">
        <is>
          <t>10000160</t>
        </is>
      </c>
      <c r="E357" t="inlineStr"/>
      <c r="F357" s="11" t="n">
        <v>84</v>
      </c>
      <c r="G357" t="inlineStr"/>
      <c r="I357" t="inlineStr">
        <is>
          <t>M3</t>
        </is>
      </c>
      <c r="J357" t="inlineStr"/>
      <c r="K357" t="inlineStr">
        <is>
          <t>20190426</t>
        </is>
      </c>
      <c r="L357" t="inlineStr">
        <is>
          <t>20250127</t>
        </is>
      </c>
    </row>
    <row r="358">
      <c r="A358" t="inlineStr">
        <is>
          <t>900001074</t>
        </is>
      </c>
      <c r="B358" t="inlineStr">
        <is>
          <t>D836</t>
        </is>
      </c>
      <c r="C358" t="inlineStr">
        <is>
          <t>66905251</t>
        </is>
      </c>
      <c r="D358" t="inlineStr">
        <is>
          <t>10000357</t>
        </is>
      </c>
      <c r="E358" t="inlineStr"/>
      <c r="F358" s="11" t="n">
        <v>95.5</v>
      </c>
      <c r="G358" t="inlineStr"/>
      <c r="I358" t="inlineStr">
        <is>
          <t>M3</t>
        </is>
      </c>
      <c r="J358" t="inlineStr"/>
      <c r="K358" t="inlineStr">
        <is>
          <t>20190426</t>
        </is>
      </c>
      <c r="L358" t="inlineStr">
        <is>
          <t>20250127</t>
        </is>
      </c>
    </row>
    <row r="359">
      <c r="A359" t="inlineStr">
        <is>
          <t>900001074</t>
        </is>
      </c>
      <c r="B359" t="inlineStr">
        <is>
          <t>D836</t>
        </is>
      </c>
      <c r="C359" t="inlineStr">
        <is>
          <t>66905251</t>
        </is>
      </c>
      <c r="D359" t="inlineStr">
        <is>
          <t>10000627</t>
        </is>
      </c>
      <c r="E359" t="inlineStr"/>
      <c r="F359" s="11" t="n">
        <v>84</v>
      </c>
      <c r="G359" t="inlineStr"/>
      <c r="I359" t="inlineStr">
        <is>
          <t>M3</t>
        </is>
      </c>
      <c r="J359" t="inlineStr"/>
      <c r="K359" t="inlineStr">
        <is>
          <t>20190426</t>
        </is>
      </c>
      <c r="L359" t="inlineStr">
        <is>
          <t>20250127</t>
        </is>
      </c>
    </row>
    <row r="360">
      <c r="A360" t="inlineStr">
        <is>
          <t>900001074</t>
        </is>
      </c>
      <c r="B360" t="inlineStr">
        <is>
          <t>D836</t>
        </is>
      </c>
      <c r="C360" t="inlineStr">
        <is>
          <t>66908488</t>
        </is>
      </c>
      <c r="D360" t="inlineStr">
        <is>
          <t>10000357</t>
        </is>
      </c>
      <c r="E360" t="inlineStr"/>
      <c r="F360" s="11" t="n">
        <v>123</v>
      </c>
      <c r="G360" t="inlineStr"/>
      <c r="I360" t="inlineStr">
        <is>
          <t>M3</t>
        </is>
      </c>
      <c r="J360" t="inlineStr"/>
      <c r="K360" t="inlineStr">
        <is>
          <t>20190426</t>
        </is>
      </c>
      <c r="L360" t="inlineStr">
        <is>
          <t>20250127</t>
        </is>
      </c>
    </row>
    <row r="361">
      <c r="A361" t="inlineStr">
        <is>
          <t>900001074</t>
        </is>
      </c>
      <c r="B361" t="inlineStr">
        <is>
          <t>D836</t>
        </is>
      </c>
      <c r="C361" t="inlineStr">
        <is>
          <t>66933313</t>
        </is>
      </c>
      <c r="D361" t="inlineStr">
        <is>
          <t>10000160</t>
        </is>
      </c>
      <c r="E361" t="inlineStr"/>
      <c r="F361" s="11" t="n">
        <v>90</v>
      </c>
      <c r="G361" t="inlineStr"/>
      <c r="I361" t="inlineStr">
        <is>
          <t>M3</t>
        </is>
      </c>
      <c r="J361" t="inlineStr"/>
      <c r="K361" t="inlineStr">
        <is>
          <t>20190426</t>
        </is>
      </c>
      <c r="L361" t="inlineStr">
        <is>
          <t>20250127</t>
        </is>
      </c>
    </row>
    <row r="362">
      <c r="A362" t="inlineStr">
        <is>
          <t>900001074</t>
        </is>
      </c>
      <c r="B362" t="inlineStr">
        <is>
          <t>D836</t>
        </is>
      </c>
      <c r="C362" t="inlineStr">
        <is>
          <t>66982053</t>
        </is>
      </c>
      <c r="D362" t="inlineStr">
        <is>
          <t>10000627</t>
        </is>
      </c>
      <c r="E362" t="inlineStr"/>
      <c r="F362" s="11" t="n">
        <v>110</v>
      </c>
      <c r="G362" t="inlineStr"/>
      <c r="I362" t="inlineStr">
        <is>
          <t>M3</t>
        </is>
      </c>
      <c r="J362" t="inlineStr"/>
      <c r="K362" t="inlineStr">
        <is>
          <t>20190426</t>
        </is>
      </c>
      <c r="L362" t="inlineStr">
        <is>
          <t>20250127</t>
        </is>
      </c>
    </row>
    <row r="363">
      <c r="A363" t="inlineStr">
        <is>
          <t>900001074</t>
        </is>
      </c>
      <c r="B363" t="inlineStr">
        <is>
          <t>D836</t>
        </is>
      </c>
      <c r="C363" t="inlineStr">
        <is>
          <t>66982551</t>
        </is>
      </c>
      <c r="D363" t="inlineStr">
        <is>
          <t>10000160</t>
        </is>
      </c>
      <c r="E363" t="inlineStr"/>
      <c r="F363" s="11" t="n">
        <v>86</v>
      </c>
      <c r="G363" t="inlineStr"/>
      <c r="I363" t="inlineStr">
        <is>
          <t>M3</t>
        </is>
      </c>
      <c r="J363" t="inlineStr"/>
      <c r="K363" t="inlineStr">
        <is>
          <t>20190426</t>
        </is>
      </c>
      <c r="L363" t="inlineStr">
        <is>
          <t>20250127</t>
        </is>
      </c>
    </row>
    <row r="364">
      <c r="A364" t="inlineStr">
        <is>
          <t>900001074</t>
        </is>
      </c>
      <c r="B364" t="inlineStr">
        <is>
          <t>D836</t>
        </is>
      </c>
      <c r="C364" t="inlineStr">
        <is>
          <t>66982551</t>
        </is>
      </c>
      <c r="D364" t="inlineStr">
        <is>
          <t>10000357</t>
        </is>
      </c>
      <c r="E364" t="inlineStr"/>
      <c r="F364" s="11" t="n">
        <v>125</v>
      </c>
      <c r="G364" t="inlineStr"/>
      <c r="I364" t="inlineStr">
        <is>
          <t>M3</t>
        </is>
      </c>
      <c r="J364" t="inlineStr"/>
      <c r="K364" t="inlineStr">
        <is>
          <t>20190426</t>
        </is>
      </c>
      <c r="L364" t="inlineStr">
        <is>
          <t>20250127</t>
        </is>
      </c>
    </row>
    <row r="365">
      <c r="A365" t="inlineStr">
        <is>
          <t>900001074</t>
        </is>
      </c>
      <c r="B365" t="inlineStr">
        <is>
          <t>D836</t>
        </is>
      </c>
      <c r="C365" t="inlineStr">
        <is>
          <t>67003746</t>
        </is>
      </c>
      <c r="D365" t="inlineStr">
        <is>
          <t>10000357</t>
        </is>
      </c>
      <c r="E365" t="inlineStr"/>
      <c r="F365" s="11" t="n">
        <v>125.95</v>
      </c>
      <c r="G365" t="inlineStr"/>
      <c r="I365" t="inlineStr">
        <is>
          <t>M3</t>
        </is>
      </c>
      <c r="J365" t="inlineStr"/>
      <c r="K365" t="inlineStr">
        <is>
          <t>20190426</t>
        </is>
      </c>
      <c r="L365" t="inlineStr">
        <is>
          <t>20250127</t>
        </is>
      </c>
    </row>
    <row r="366">
      <c r="A366" t="inlineStr">
        <is>
          <t>900001074</t>
        </is>
      </c>
      <c r="B366" t="inlineStr">
        <is>
          <t>D836</t>
        </is>
      </c>
      <c r="C366" t="inlineStr">
        <is>
          <t>67003746</t>
        </is>
      </c>
      <c r="D366" t="inlineStr">
        <is>
          <t>10000627</t>
        </is>
      </c>
      <c r="E366" t="inlineStr"/>
      <c r="F366" s="11" t="n">
        <v>114.5</v>
      </c>
      <c r="G366" t="inlineStr"/>
      <c r="I366" t="inlineStr">
        <is>
          <t>M3</t>
        </is>
      </c>
      <c r="J366" t="inlineStr"/>
      <c r="K366" t="inlineStr">
        <is>
          <t>20190426</t>
        </is>
      </c>
      <c r="L366" t="inlineStr">
        <is>
          <t>20250127</t>
        </is>
      </c>
    </row>
    <row r="367">
      <c r="A367" t="inlineStr">
        <is>
          <t>900001074</t>
        </is>
      </c>
      <c r="B367" t="inlineStr">
        <is>
          <t>D836</t>
        </is>
      </c>
      <c r="C367" t="inlineStr">
        <is>
          <t>67007608</t>
        </is>
      </c>
      <c r="D367" t="inlineStr">
        <is>
          <t>10000357</t>
        </is>
      </c>
      <c r="E367" t="inlineStr"/>
      <c r="F367" s="11" t="n">
        <v>125</v>
      </c>
      <c r="G367" t="inlineStr"/>
      <c r="I367" t="inlineStr">
        <is>
          <t>M3</t>
        </is>
      </c>
      <c r="J367" t="inlineStr"/>
      <c r="K367" t="inlineStr">
        <is>
          <t>20190426</t>
        </is>
      </c>
      <c r="L367" t="inlineStr">
        <is>
          <t>20250127</t>
        </is>
      </c>
    </row>
    <row r="368">
      <c r="A368" t="inlineStr">
        <is>
          <t>900001074</t>
        </is>
      </c>
      <c r="B368" t="inlineStr">
        <is>
          <t>D836</t>
        </is>
      </c>
      <c r="C368" t="inlineStr">
        <is>
          <t>67019979</t>
        </is>
      </c>
      <c r="D368" t="inlineStr">
        <is>
          <t>10000627</t>
        </is>
      </c>
      <c r="E368" t="inlineStr"/>
      <c r="F368" s="11" t="n">
        <v>110</v>
      </c>
      <c r="G368" t="inlineStr"/>
      <c r="I368" t="inlineStr">
        <is>
          <t>M3</t>
        </is>
      </c>
      <c r="J368" t="inlineStr"/>
      <c r="K368" t="inlineStr">
        <is>
          <t>20190426</t>
        </is>
      </c>
      <c r="L368" t="inlineStr">
        <is>
          <t>20250127</t>
        </is>
      </c>
    </row>
    <row r="369">
      <c r="A369" t="inlineStr">
        <is>
          <t>900001074</t>
        </is>
      </c>
      <c r="B369" t="inlineStr">
        <is>
          <t>D836</t>
        </is>
      </c>
      <c r="C369" t="inlineStr">
        <is>
          <t>67036341</t>
        </is>
      </c>
      <c r="D369" t="inlineStr">
        <is>
          <t>10000160</t>
        </is>
      </c>
      <c r="E369" t="inlineStr"/>
      <c r="F369" s="11" t="n">
        <v>105.68</v>
      </c>
      <c r="G369" t="inlineStr"/>
      <c r="I369" t="inlineStr">
        <is>
          <t>M3</t>
        </is>
      </c>
      <c r="J369" t="inlineStr"/>
      <c r="K369" t="inlineStr">
        <is>
          <t>20190426</t>
        </is>
      </c>
      <c r="L369" t="inlineStr">
        <is>
          <t>20250127</t>
        </is>
      </c>
    </row>
    <row r="370">
      <c r="A370" t="inlineStr">
        <is>
          <t>900001074</t>
        </is>
      </c>
      <c r="B370" t="inlineStr">
        <is>
          <t>D836</t>
        </is>
      </c>
      <c r="C370" t="inlineStr">
        <is>
          <t>67065105</t>
        </is>
      </c>
      <c r="D370" t="inlineStr">
        <is>
          <t>10000206</t>
        </is>
      </c>
      <c r="E370" t="inlineStr"/>
      <c r="F370" s="11" t="n">
        <v>115</v>
      </c>
      <c r="G370" t="inlineStr"/>
      <c r="I370" t="inlineStr">
        <is>
          <t>M3</t>
        </is>
      </c>
      <c r="J370" t="inlineStr"/>
      <c r="K370" t="inlineStr">
        <is>
          <t>20190426</t>
        </is>
      </c>
      <c r="L370" t="inlineStr">
        <is>
          <t>20250127</t>
        </is>
      </c>
    </row>
    <row r="371">
      <c r="A371" t="inlineStr">
        <is>
          <t>900001074</t>
        </is>
      </c>
      <c r="B371" t="inlineStr">
        <is>
          <t>D836</t>
        </is>
      </c>
      <c r="C371" t="inlineStr">
        <is>
          <t>67065105</t>
        </is>
      </c>
      <c r="D371" t="inlineStr">
        <is>
          <t>10220797</t>
        </is>
      </c>
      <c r="E371" t="inlineStr"/>
      <c r="F371" s="11" t="n">
        <v>30</v>
      </c>
      <c r="G371" t="inlineStr"/>
      <c r="I371" t="inlineStr">
        <is>
          <t>M3</t>
        </is>
      </c>
      <c r="J371" t="inlineStr"/>
      <c r="K371" t="inlineStr">
        <is>
          <t>20190426</t>
        </is>
      </c>
      <c r="L371" t="inlineStr">
        <is>
          <t>20250127</t>
        </is>
      </c>
    </row>
    <row r="372">
      <c r="A372" t="inlineStr">
        <is>
          <t>900001074</t>
        </is>
      </c>
      <c r="B372" t="inlineStr">
        <is>
          <t>D836</t>
        </is>
      </c>
      <c r="C372" t="inlineStr">
        <is>
          <t>67070498</t>
        </is>
      </c>
      <c r="D372" t="inlineStr">
        <is>
          <t>10215074</t>
        </is>
      </c>
      <c r="E372" t="inlineStr"/>
      <c r="F372" s="11" t="n">
        <v>145</v>
      </c>
      <c r="G372" t="inlineStr"/>
      <c r="I372" t="inlineStr">
        <is>
          <t>M3</t>
        </is>
      </c>
      <c r="J372" t="inlineStr"/>
      <c r="K372" t="inlineStr">
        <is>
          <t>20190426</t>
        </is>
      </c>
      <c r="L372" t="inlineStr">
        <is>
          <t>20250127</t>
        </is>
      </c>
    </row>
    <row r="373">
      <c r="A373" t="inlineStr">
        <is>
          <t>900001074</t>
        </is>
      </c>
      <c r="B373" t="inlineStr">
        <is>
          <t>D836</t>
        </is>
      </c>
      <c r="C373" t="inlineStr">
        <is>
          <t>67134629</t>
        </is>
      </c>
      <c r="D373" t="inlineStr">
        <is>
          <t>10000357</t>
        </is>
      </c>
      <c r="E373" t="inlineStr"/>
      <c r="F373" s="11" t="n">
        <v>125</v>
      </c>
      <c r="G373" t="inlineStr"/>
      <c r="I373" t="inlineStr">
        <is>
          <t>M3</t>
        </is>
      </c>
      <c r="J373" t="inlineStr"/>
      <c r="K373" t="inlineStr">
        <is>
          <t>20190426</t>
        </is>
      </c>
      <c r="L373" t="inlineStr">
        <is>
          <t>20250127</t>
        </is>
      </c>
    </row>
    <row r="374">
      <c r="A374" t="inlineStr">
        <is>
          <t>900001074</t>
        </is>
      </c>
      <c r="B374" t="inlineStr">
        <is>
          <t>D836</t>
        </is>
      </c>
      <c r="C374" t="inlineStr">
        <is>
          <t>67162316</t>
        </is>
      </c>
      <c r="D374" t="inlineStr">
        <is>
          <t>10220797</t>
        </is>
      </c>
      <c r="E374" t="inlineStr"/>
      <c r="F374" s="11" t="n">
        <v>30</v>
      </c>
      <c r="G374" t="inlineStr"/>
      <c r="I374" t="inlineStr">
        <is>
          <t>M3</t>
        </is>
      </c>
      <c r="J374" t="inlineStr"/>
      <c r="K374" t="inlineStr">
        <is>
          <t>20190426</t>
        </is>
      </c>
      <c r="L374" t="inlineStr">
        <is>
          <t>20250127</t>
        </is>
      </c>
    </row>
    <row r="375">
      <c r="A375" t="inlineStr">
        <is>
          <t>900001200</t>
        </is>
      </c>
      <c r="B375" t="inlineStr">
        <is>
          <t>D836</t>
        </is>
      </c>
      <c r="C375" t="inlineStr">
        <is>
          <t>65061685</t>
        </is>
      </c>
      <c r="D375" t="inlineStr">
        <is>
          <t>10000624</t>
        </is>
      </c>
      <c r="E375" t="inlineStr"/>
      <c r="F375" s="11" t="n">
        <v>110.74</v>
      </c>
      <c r="G375" t="inlineStr"/>
      <c r="I375" t="inlineStr">
        <is>
          <t>M3</t>
        </is>
      </c>
      <c r="J375" t="inlineStr"/>
      <c r="K375" t="inlineStr">
        <is>
          <t>20190426</t>
        </is>
      </c>
      <c r="L375" t="inlineStr">
        <is>
          <t>20250127</t>
        </is>
      </c>
    </row>
    <row r="376">
      <c r="A376" t="inlineStr">
        <is>
          <t>900001200</t>
        </is>
      </c>
      <c r="B376" t="inlineStr">
        <is>
          <t>D836</t>
        </is>
      </c>
      <c r="C376" t="inlineStr">
        <is>
          <t>65061685</t>
        </is>
      </c>
      <c r="D376" t="inlineStr">
        <is>
          <t>10000722</t>
        </is>
      </c>
      <c r="E376" t="inlineStr"/>
      <c r="F376" s="11" t="n">
        <v>109.2</v>
      </c>
      <c r="G376" t="inlineStr"/>
      <c r="I376" t="inlineStr">
        <is>
          <t>M3</t>
        </is>
      </c>
      <c r="J376" t="inlineStr"/>
      <c r="K376" t="inlineStr">
        <is>
          <t>20190426</t>
        </is>
      </c>
      <c r="L376" t="inlineStr">
        <is>
          <t>20250127</t>
        </is>
      </c>
    </row>
    <row r="377">
      <c r="A377" t="inlineStr">
        <is>
          <t>900001200</t>
        </is>
      </c>
      <c r="B377" t="inlineStr">
        <is>
          <t>D836</t>
        </is>
      </c>
      <c r="C377" t="inlineStr">
        <is>
          <t>65251399</t>
        </is>
      </c>
      <c r="D377" t="inlineStr">
        <is>
          <t>10000722</t>
        </is>
      </c>
      <c r="E377" t="inlineStr"/>
      <c r="F377" s="11" t="n">
        <v>83.2</v>
      </c>
      <c r="G377" t="inlineStr"/>
      <c r="I377" t="inlineStr">
        <is>
          <t>TN</t>
        </is>
      </c>
      <c r="J377" t="inlineStr"/>
      <c r="K377" t="inlineStr">
        <is>
          <t>20190426</t>
        </is>
      </c>
      <c r="L377" t="inlineStr">
        <is>
          <t>20250127</t>
        </is>
      </c>
    </row>
    <row r="378">
      <c r="A378" t="inlineStr">
        <is>
          <t>900001200</t>
        </is>
      </c>
      <c r="B378" t="inlineStr">
        <is>
          <t>D836</t>
        </is>
      </c>
      <c r="C378" t="inlineStr">
        <is>
          <t>65296485</t>
        </is>
      </c>
      <c r="D378" t="inlineStr">
        <is>
          <t>10000722</t>
        </is>
      </c>
      <c r="E378" t="inlineStr"/>
      <c r="F378" s="11" t="n">
        <v>87.44</v>
      </c>
      <c r="G378" t="inlineStr"/>
      <c r="I378" t="inlineStr">
        <is>
          <t>TN</t>
        </is>
      </c>
      <c r="J378" t="inlineStr"/>
      <c r="K378" t="inlineStr">
        <is>
          <t>20190426</t>
        </is>
      </c>
      <c r="L378" t="inlineStr">
        <is>
          <t>20250127</t>
        </is>
      </c>
    </row>
    <row r="379">
      <c r="A379" t="inlineStr">
        <is>
          <t>900001200</t>
        </is>
      </c>
      <c r="B379" t="inlineStr">
        <is>
          <t>D836</t>
        </is>
      </c>
      <c r="C379" t="inlineStr">
        <is>
          <t>65442270</t>
        </is>
      </c>
      <c r="D379" t="inlineStr">
        <is>
          <t>10000624</t>
        </is>
      </c>
      <c r="E379" t="inlineStr"/>
      <c r="F379" s="11" t="n">
        <v>112.32</v>
      </c>
      <c r="G379" t="inlineStr"/>
      <c r="I379" t="inlineStr">
        <is>
          <t>M3</t>
        </is>
      </c>
      <c r="J379" t="inlineStr"/>
      <c r="K379" t="inlineStr">
        <is>
          <t>20190426</t>
        </is>
      </c>
      <c r="L379" t="inlineStr">
        <is>
          <t>20250127</t>
        </is>
      </c>
    </row>
    <row r="380">
      <c r="A380" t="inlineStr">
        <is>
          <t>900001200</t>
        </is>
      </c>
      <c r="B380" t="inlineStr">
        <is>
          <t>D836</t>
        </is>
      </c>
      <c r="C380" t="inlineStr">
        <is>
          <t>65442270</t>
        </is>
      </c>
      <c r="D380" t="inlineStr">
        <is>
          <t>10000625</t>
        </is>
      </c>
      <c r="E380" t="inlineStr"/>
      <c r="F380" s="11" t="n">
        <v>51.94</v>
      </c>
      <c r="G380" t="inlineStr"/>
      <c r="I380" t="inlineStr">
        <is>
          <t>TN</t>
        </is>
      </c>
      <c r="J380" t="inlineStr"/>
      <c r="K380" t="inlineStr">
        <is>
          <t>20190426</t>
        </is>
      </c>
      <c r="L380" t="inlineStr">
        <is>
          <t>20250127</t>
        </is>
      </c>
    </row>
    <row r="381">
      <c r="A381" t="inlineStr">
        <is>
          <t>900001200</t>
        </is>
      </c>
      <c r="B381" t="inlineStr">
        <is>
          <t>D836</t>
        </is>
      </c>
      <c r="C381" t="inlineStr">
        <is>
          <t>65442270</t>
        </is>
      </c>
      <c r="D381" t="inlineStr">
        <is>
          <t>10000722</t>
        </is>
      </c>
      <c r="E381" t="inlineStr"/>
      <c r="F381" s="11" t="n">
        <v>112.32</v>
      </c>
      <c r="G381" t="inlineStr"/>
      <c r="I381" t="inlineStr">
        <is>
          <t>M3</t>
        </is>
      </c>
      <c r="J381" t="inlineStr"/>
      <c r="K381" t="inlineStr">
        <is>
          <t>20190426</t>
        </is>
      </c>
      <c r="L381" t="inlineStr">
        <is>
          <t>20250127</t>
        </is>
      </c>
    </row>
    <row r="382">
      <c r="A382" t="inlineStr">
        <is>
          <t>900001200</t>
        </is>
      </c>
      <c r="B382" t="inlineStr">
        <is>
          <t>D836</t>
        </is>
      </c>
      <c r="C382" t="inlineStr">
        <is>
          <t>65570346</t>
        </is>
      </c>
      <c r="D382" t="inlineStr">
        <is>
          <t>10000624</t>
        </is>
      </c>
      <c r="E382" t="inlineStr"/>
      <c r="F382" s="11" t="n">
        <v>110.74</v>
      </c>
      <c r="G382" t="inlineStr"/>
      <c r="I382" t="inlineStr">
        <is>
          <t>M3</t>
        </is>
      </c>
      <c r="J382" t="inlineStr"/>
      <c r="K382" t="inlineStr">
        <is>
          <t>20190426</t>
        </is>
      </c>
      <c r="L382" t="inlineStr">
        <is>
          <t>20250127</t>
        </is>
      </c>
    </row>
    <row r="383">
      <c r="A383" t="inlineStr">
        <is>
          <t>900001200</t>
        </is>
      </c>
      <c r="B383" t="inlineStr">
        <is>
          <t>D836</t>
        </is>
      </c>
      <c r="C383" t="inlineStr">
        <is>
          <t>65570346</t>
        </is>
      </c>
      <c r="D383" t="inlineStr">
        <is>
          <t>10000722</t>
        </is>
      </c>
      <c r="E383" t="inlineStr"/>
      <c r="F383" s="11" t="n">
        <v>109.2</v>
      </c>
      <c r="G383" t="inlineStr"/>
      <c r="I383" t="inlineStr">
        <is>
          <t>M3</t>
        </is>
      </c>
      <c r="J383" t="inlineStr"/>
      <c r="K383" t="inlineStr">
        <is>
          <t>20190426</t>
        </is>
      </c>
      <c r="L383" t="inlineStr">
        <is>
          <t>20250127</t>
        </is>
      </c>
    </row>
    <row r="384">
      <c r="A384" t="inlineStr">
        <is>
          <t>900001200</t>
        </is>
      </c>
      <c r="B384" t="inlineStr">
        <is>
          <t>D836</t>
        </is>
      </c>
      <c r="C384" t="inlineStr">
        <is>
          <t>66463792</t>
        </is>
      </c>
      <c r="D384" t="inlineStr">
        <is>
          <t>10000624</t>
        </is>
      </c>
      <c r="E384" t="inlineStr"/>
      <c r="F384" s="11" t="n">
        <v>214</v>
      </c>
      <c r="G384" t="inlineStr"/>
      <c r="I384" t="inlineStr">
        <is>
          <t>M3</t>
        </is>
      </c>
      <c r="J384" t="inlineStr"/>
      <c r="K384" t="inlineStr">
        <is>
          <t>20190426</t>
        </is>
      </c>
      <c r="L384" t="inlineStr">
        <is>
          <t>20250127</t>
        </is>
      </c>
    </row>
    <row r="385">
      <c r="A385" t="inlineStr">
        <is>
          <t>900001200</t>
        </is>
      </c>
      <c r="B385" t="inlineStr">
        <is>
          <t>D836</t>
        </is>
      </c>
      <c r="C385" t="inlineStr">
        <is>
          <t>66463792</t>
        </is>
      </c>
      <c r="D385" t="inlineStr">
        <is>
          <t>10000630</t>
        </is>
      </c>
      <c r="E385" t="inlineStr"/>
      <c r="F385" s="11" t="n">
        <v>214</v>
      </c>
      <c r="G385" t="inlineStr"/>
      <c r="I385" t="inlineStr">
        <is>
          <t>M3</t>
        </is>
      </c>
      <c r="J385" t="inlineStr"/>
      <c r="K385" t="inlineStr">
        <is>
          <t>20190426</t>
        </is>
      </c>
      <c r="L385" t="inlineStr">
        <is>
          <t>20250127</t>
        </is>
      </c>
    </row>
    <row r="386">
      <c r="A386" t="inlineStr">
        <is>
          <t>900001200</t>
        </is>
      </c>
      <c r="B386" t="inlineStr">
        <is>
          <t>D836</t>
        </is>
      </c>
      <c r="C386" t="inlineStr">
        <is>
          <t>66463792</t>
        </is>
      </c>
      <c r="D386" t="inlineStr">
        <is>
          <t>10000811</t>
        </is>
      </c>
      <c r="E386" t="inlineStr"/>
      <c r="F386" s="11" t="n">
        <v>214</v>
      </c>
      <c r="G386" t="inlineStr"/>
      <c r="I386" t="inlineStr">
        <is>
          <t>M3</t>
        </is>
      </c>
      <c r="J386" t="inlineStr"/>
      <c r="K386" t="inlineStr">
        <is>
          <t>20190426</t>
        </is>
      </c>
      <c r="L386" t="inlineStr">
        <is>
          <t>20250127</t>
        </is>
      </c>
    </row>
    <row r="387">
      <c r="A387" t="inlineStr">
        <is>
          <t>900001200</t>
        </is>
      </c>
      <c r="B387" t="inlineStr">
        <is>
          <t>D836</t>
        </is>
      </c>
      <c r="C387" t="inlineStr">
        <is>
          <t>66861303</t>
        </is>
      </c>
      <c r="D387" t="inlineStr">
        <is>
          <t>10000624</t>
        </is>
      </c>
      <c r="E387" t="inlineStr"/>
      <c r="F387" s="11" t="n">
        <v>214</v>
      </c>
      <c r="G387" t="inlineStr"/>
      <c r="I387" t="inlineStr">
        <is>
          <t>M3</t>
        </is>
      </c>
      <c r="J387" t="inlineStr"/>
      <c r="K387" t="inlineStr">
        <is>
          <t>20190426</t>
        </is>
      </c>
      <c r="L387" t="inlineStr">
        <is>
          <t>20250127</t>
        </is>
      </c>
    </row>
    <row r="388">
      <c r="A388" t="inlineStr">
        <is>
          <t>900001200</t>
        </is>
      </c>
      <c r="B388" t="inlineStr">
        <is>
          <t>D836</t>
        </is>
      </c>
      <c r="C388" t="inlineStr">
        <is>
          <t>66861303</t>
        </is>
      </c>
      <c r="D388" t="inlineStr">
        <is>
          <t>10000630</t>
        </is>
      </c>
      <c r="E388" t="inlineStr"/>
      <c r="F388" s="11" t="n">
        <v>214</v>
      </c>
      <c r="G388" t="inlineStr"/>
      <c r="I388" t="inlineStr">
        <is>
          <t>M3</t>
        </is>
      </c>
      <c r="J388" t="inlineStr"/>
      <c r="K388" t="inlineStr">
        <is>
          <t>20190426</t>
        </is>
      </c>
      <c r="L388" t="inlineStr">
        <is>
          <t>20250127</t>
        </is>
      </c>
    </row>
    <row r="389">
      <c r="A389" t="inlineStr">
        <is>
          <t>900001200</t>
        </is>
      </c>
      <c r="B389" t="inlineStr">
        <is>
          <t>D836</t>
        </is>
      </c>
      <c r="C389" t="inlineStr">
        <is>
          <t>66861303</t>
        </is>
      </c>
      <c r="D389" t="inlineStr">
        <is>
          <t>10000811</t>
        </is>
      </c>
      <c r="E389" t="inlineStr"/>
      <c r="F389" s="11" t="n">
        <v>214</v>
      </c>
      <c r="G389" t="inlineStr"/>
      <c r="I389" t="inlineStr">
        <is>
          <t>M3</t>
        </is>
      </c>
      <c r="J389" t="inlineStr"/>
      <c r="K389" t="inlineStr">
        <is>
          <t>20190426</t>
        </is>
      </c>
      <c r="L389" t="inlineStr">
        <is>
          <t>20250127</t>
        </is>
      </c>
    </row>
    <row r="390">
      <c r="A390" t="inlineStr">
        <is>
          <t>900001810</t>
        </is>
      </c>
      <c r="B390" t="inlineStr">
        <is>
          <t>D836</t>
        </is>
      </c>
      <c r="C390" t="inlineStr">
        <is>
          <t>65442710</t>
        </is>
      </c>
      <c r="D390" t="inlineStr">
        <is>
          <t>10000160</t>
        </is>
      </c>
      <c r="E390" t="inlineStr"/>
      <c r="F390" s="11" t="n">
        <v>84.11</v>
      </c>
      <c r="G390" t="inlineStr"/>
      <c r="I390" t="inlineStr">
        <is>
          <t>M3</t>
        </is>
      </c>
      <c r="J390" t="inlineStr"/>
      <c r="K390" t="inlineStr">
        <is>
          <t>20190426</t>
        </is>
      </c>
      <c r="L390" t="inlineStr">
        <is>
          <t>20250127</t>
        </is>
      </c>
    </row>
    <row r="391">
      <c r="A391" t="inlineStr">
        <is>
          <t>900001810</t>
        </is>
      </c>
      <c r="B391" t="inlineStr">
        <is>
          <t>D836</t>
        </is>
      </c>
      <c r="C391" t="inlineStr">
        <is>
          <t>65442710</t>
        </is>
      </c>
      <c r="D391" t="inlineStr">
        <is>
          <t>10000357</t>
        </is>
      </c>
      <c r="E391" t="inlineStr"/>
      <c r="F391" s="11" t="n">
        <v>86.11</v>
      </c>
      <c r="G391" t="inlineStr"/>
      <c r="I391" t="inlineStr">
        <is>
          <t>M3</t>
        </is>
      </c>
      <c r="J391" t="inlineStr"/>
      <c r="K391" t="inlineStr">
        <is>
          <t>20190426</t>
        </is>
      </c>
      <c r="L391" t="inlineStr">
        <is>
          <t>20250127</t>
        </is>
      </c>
    </row>
    <row r="392">
      <c r="A392" t="inlineStr">
        <is>
          <t>900001810</t>
        </is>
      </c>
      <c r="B392" t="inlineStr">
        <is>
          <t>D836</t>
        </is>
      </c>
      <c r="C392" t="inlineStr">
        <is>
          <t>65442710</t>
        </is>
      </c>
      <c r="D392" t="inlineStr">
        <is>
          <t>10000627</t>
        </is>
      </c>
      <c r="E392" t="inlineStr"/>
      <c r="F392" s="11" t="n">
        <v>103.36</v>
      </c>
      <c r="G392" t="inlineStr"/>
      <c r="I392" t="inlineStr">
        <is>
          <t>M3</t>
        </is>
      </c>
      <c r="J392" t="inlineStr"/>
      <c r="K392" t="inlineStr">
        <is>
          <t>20190426</t>
        </is>
      </c>
      <c r="L392" t="inlineStr">
        <is>
          <t>20250127</t>
        </is>
      </c>
    </row>
    <row r="393">
      <c r="A393" t="inlineStr">
        <is>
          <t>900001810</t>
        </is>
      </c>
      <c r="B393" t="inlineStr">
        <is>
          <t>D836</t>
        </is>
      </c>
      <c r="C393" t="inlineStr">
        <is>
          <t>65662100</t>
        </is>
      </c>
      <c r="D393" t="inlineStr">
        <is>
          <t>10000357</t>
        </is>
      </c>
      <c r="E393" t="inlineStr"/>
      <c r="F393" s="11" t="n">
        <v>77.79000000000001</v>
      </c>
      <c r="G393" t="inlineStr"/>
      <c r="I393" t="inlineStr">
        <is>
          <t>M3</t>
        </is>
      </c>
      <c r="J393" t="inlineStr"/>
      <c r="K393" t="inlineStr">
        <is>
          <t>20190426</t>
        </is>
      </c>
      <c r="L393" t="inlineStr">
        <is>
          <t>20250127</t>
        </is>
      </c>
    </row>
    <row r="394">
      <c r="A394" t="inlineStr">
        <is>
          <t>900001810</t>
        </is>
      </c>
      <c r="B394" t="inlineStr">
        <is>
          <t>D836</t>
        </is>
      </c>
      <c r="C394" t="inlineStr">
        <is>
          <t>65920750</t>
        </is>
      </c>
      <c r="D394" t="inlineStr">
        <is>
          <t>10000357</t>
        </is>
      </c>
      <c r="E394" t="inlineStr"/>
      <c r="F394" s="11" t="n">
        <v>84.92</v>
      </c>
      <c r="G394" t="inlineStr"/>
      <c r="I394" t="inlineStr">
        <is>
          <t>M3</t>
        </is>
      </c>
      <c r="J394" t="inlineStr"/>
      <c r="K394" t="inlineStr">
        <is>
          <t>20190426</t>
        </is>
      </c>
      <c r="L394" t="inlineStr">
        <is>
          <t>20250127</t>
        </is>
      </c>
    </row>
    <row r="395">
      <c r="A395" t="inlineStr">
        <is>
          <t>900002313</t>
        </is>
      </c>
      <c r="B395" t="inlineStr">
        <is>
          <t>D836</t>
        </is>
      </c>
      <c r="C395" t="inlineStr">
        <is>
          <t>65232687</t>
        </is>
      </c>
      <c r="D395" t="inlineStr">
        <is>
          <t>10000441</t>
        </is>
      </c>
      <c r="E395" t="inlineStr"/>
      <c r="F395" s="11" t="n">
        <v>74.75</v>
      </c>
      <c r="G395" t="inlineStr"/>
      <c r="I395" t="inlineStr">
        <is>
          <t>M3</t>
        </is>
      </c>
      <c r="J395" t="inlineStr"/>
      <c r="K395" t="inlineStr">
        <is>
          <t>20190426</t>
        </is>
      </c>
      <c r="L395" t="inlineStr">
        <is>
          <t>20250127</t>
        </is>
      </c>
    </row>
    <row r="396">
      <c r="A396" t="inlineStr">
        <is>
          <t>900002313</t>
        </is>
      </c>
      <c r="B396" t="inlineStr">
        <is>
          <t>D836</t>
        </is>
      </c>
      <c r="C396" t="inlineStr">
        <is>
          <t>65232687</t>
        </is>
      </c>
      <c r="D396" t="inlineStr">
        <is>
          <t>10001353</t>
        </is>
      </c>
      <c r="E396" t="inlineStr"/>
      <c r="F396" s="11" t="n">
        <v>89.7</v>
      </c>
      <c r="G396" t="inlineStr"/>
      <c r="I396" t="inlineStr">
        <is>
          <t>M3</t>
        </is>
      </c>
      <c r="J396" t="inlineStr"/>
      <c r="K396" t="inlineStr">
        <is>
          <t>20190426</t>
        </is>
      </c>
      <c r="L396" t="inlineStr">
        <is>
          <t>20250127</t>
        </is>
      </c>
    </row>
    <row r="397">
      <c r="A397" t="inlineStr">
        <is>
          <t>900002313</t>
        </is>
      </c>
      <c r="B397" t="inlineStr">
        <is>
          <t>D836</t>
        </is>
      </c>
      <c r="C397" t="inlineStr">
        <is>
          <t>65232687</t>
        </is>
      </c>
      <c r="D397" t="inlineStr">
        <is>
          <t>10001354</t>
        </is>
      </c>
      <c r="E397" t="inlineStr"/>
      <c r="F397" s="11" t="n">
        <v>74.75</v>
      </c>
      <c r="G397" t="inlineStr"/>
      <c r="I397" t="inlineStr">
        <is>
          <t>M3</t>
        </is>
      </c>
      <c r="J397" t="inlineStr"/>
      <c r="K397" t="inlineStr">
        <is>
          <t>20190426</t>
        </is>
      </c>
      <c r="L397" t="inlineStr">
        <is>
          <t>20250127</t>
        </is>
      </c>
    </row>
    <row r="398">
      <c r="A398" t="inlineStr">
        <is>
          <t>900002313</t>
        </is>
      </c>
      <c r="B398" t="inlineStr">
        <is>
          <t>D836</t>
        </is>
      </c>
      <c r="C398" t="inlineStr">
        <is>
          <t>65232687</t>
        </is>
      </c>
      <c r="D398" t="inlineStr">
        <is>
          <t>10001436</t>
        </is>
      </c>
      <c r="E398" t="inlineStr"/>
      <c r="F398" s="11" t="n">
        <v>54.05</v>
      </c>
      <c r="G398" t="inlineStr"/>
      <c r="I398" t="inlineStr">
        <is>
          <t>M3</t>
        </is>
      </c>
      <c r="J398" t="inlineStr"/>
      <c r="K398" t="inlineStr">
        <is>
          <t>20190426</t>
        </is>
      </c>
      <c r="L398" t="inlineStr">
        <is>
          <t>20250127</t>
        </is>
      </c>
    </row>
    <row r="399">
      <c r="A399" t="inlineStr">
        <is>
          <t>900002313</t>
        </is>
      </c>
      <c r="B399" t="inlineStr">
        <is>
          <t>D836</t>
        </is>
      </c>
      <c r="C399" t="inlineStr">
        <is>
          <t>65232687</t>
        </is>
      </c>
      <c r="D399" t="inlineStr">
        <is>
          <t>10037590</t>
        </is>
      </c>
      <c r="E399" t="inlineStr"/>
      <c r="F399" s="11" t="n">
        <v>51.75</v>
      </c>
      <c r="G399" t="inlineStr"/>
      <c r="I399" t="inlineStr">
        <is>
          <t>M3</t>
        </is>
      </c>
      <c r="J399" t="inlineStr"/>
      <c r="K399" t="inlineStr">
        <is>
          <t>20190426</t>
        </is>
      </c>
      <c r="L399" t="inlineStr">
        <is>
          <t>20250127</t>
        </is>
      </c>
    </row>
    <row r="400">
      <c r="A400" t="inlineStr">
        <is>
          <t>900002313</t>
        </is>
      </c>
      <c r="B400" t="inlineStr">
        <is>
          <t>D836</t>
        </is>
      </c>
      <c r="C400" t="inlineStr">
        <is>
          <t>65387641</t>
        </is>
      </c>
      <c r="D400" t="inlineStr">
        <is>
          <t>10000441</t>
        </is>
      </c>
      <c r="E400" t="inlineStr"/>
      <c r="F400" s="11" t="n">
        <v>74.75</v>
      </c>
      <c r="G400" t="inlineStr"/>
      <c r="I400" t="inlineStr">
        <is>
          <t>M3</t>
        </is>
      </c>
      <c r="J400" t="inlineStr"/>
      <c r="K400" t="inlineStr">
        <is>
          <t>20190426</t>
        </is>
      </c>
      <c r="L400" t="inlineStr">
        <is>
          <t>20250127</t>
        </is>
      </c>
    </row>
    <row r="401">
      <c r="A401" t="inlineStr">
        <is>
          <t>900002313</t>
        </is>
      </c>
      <c r="B401" t="inlineStr">
        <is>
          <t>D836</t>
        </is>
      </c>
      <c r="C401" t="inlineStr">
        <is>
          <t>65387641</t>
        </is>
      </c>
      <c r="D401" t="inlineStr">
        <is>
          <t>10001353</t>
        </is>
      </c>
      <c r="E401" t="inlineStr"/>
      <c r="F401" s="11" t="n">
        <v>89.7</v>
      </c>
      <c r="G401" t="inlineStr"/>
      <c r="I401" t="inlineStr">
        <is>
          <t>M3</t>
        </is>
      </c>
      <c r="J401" t="inlineStr"/>
      <c r="K401" t="inlineStr">
        <is>
          <t>20190426</t>
        </is>
      </c>
      <c r="L401" t="inlineStr">
        <is>
          <t>20250127</t>
        </is>
      </c>
    </row>
    <row r="402">
      <c r="A402" t="inlineStr">
        <is>
          <t>900002313</t>
        </is>
      </c>
      <c r="B402" t="inlineStr">
        <is>
          <t>D836</t>
        </is>
      </c>
      <c r="C402" t="inlineStr">
        <is>
          <t>65387641</t>
        </is>
      </c>
      <c r="D402" t="inlineStr">
        <is>
          <t>10001354</t>
        </is>
      </c>
      <c r="E402" t="inlineStr"/>
      <c r="F402" s="11" t="n">
        <v>74.75</v>
      </c>
      <c r="G402" t="inlineStr"/>
      <c r="I402" t="inlineStr">
        <is>
          <t>M3</t>
        </is>
      </c>
      <c r="J402" t="inlineStr"/>
      <c r="K402" t="inlineStr">
        <is>
          <t>20190426</t>
        </is>
      </c>
      <c r="L402" t="inlineStr">
        <is>
          <t>20250127</t>
        </is>
      </c>
    </row>
    <row r="403">
      <c r="A403" t="inlineStr">
        <is>
          <t>900002313</t>
        </is>
      </c>
      <c r="B403" t="inlineStr">
        <is>
          <t>D836</t>
        </is>
      </c>
      <c r="C403" t="inlineStr">
        <is>
          <t>65387641</t>
        </is>
      </c>
      <c r="D403" t="inlineStr">
        <is>
          <t>10001436</t>
        </is>
      </c>
      <c r="E403" t="inlineStr"/>
      <c r="F403" s="11" t="n">
        <v>54.05</v>
      </c>
      <c r="G403" t="inlineStr"/>
      <c r="I403" t="inlineStr">
        <is>
          <t>M3</t>
        </is>
      </c>
      <c r="J403" t="inlineStr"/>
      <c r="K403" t="inlineStr">
        <is>
          <t>20190426</t>
        </is>
      </c>
      <c r="L403" t="inlineStr">
        <is>
          <t>20250127</t>
        </is>
      </c>
    </row>
    <row r="404">
      <c r="A404" t="inlineStr">
        <is>
          <t>900002313</t>
        </is>
      </c>
      <c r="B404" t="inlineStr">
        <is>
          <t>D836</t>
        </is>
      </c>
      <c r="C404" t="inlineStr">
        <is>
          <t>65387641</t>
        </is>
      </c>
      <c r="D404" t="inlineStr">
        <is>
          <t>10037590</t>
        </is>
      </c>
      <c r="E404" t="inlineStr"/>
      <c r="F404" s="11" t="n">
        <v>51.75</v>
      </c>
      <c r="G404" t="inlineStr"/>
      <c r="I404" t="inlineStr">
        <is>
          <t>M3</t>
        </is>
      </c>
      <c r="J404" t="inlineStr"/>
      <c r="K404" t="inlineStr">
        <is>
          <t>20190426</t>
        </is>
      </c>
      <c r="L404" t="inlineStr">
        <is>
          <t>20250127</t>
        </is>
      </c>
    </row>
    <row r="405">
      <c r="A405" t="inlineStr">
        <is>
          <t>900002313</t>
        </is>
      </c>
      <c r="B405" t="inlineStr">
        <is>
          <t>D836</t>
        </is>
      </c>
      <c r="C405" t="inlineStr">
        <is>
          <t>65714167</t>
        </is>
      </c>
      <c r="D405" t="inlineStr">
        <is>
          <t>10000441</t>
        </is>
      </c>
      <c r="E405" t="inlineStr"/>
      <c r="F405" s="11" t="n">
        <v>74.15000000000001</v>
      </c>
      <c r="G405" t="inlineStr"/>
      <c r="I405" t="inlineStr">
        <is>
          <t>M3</t>
        </is>
      </c>
      <c r="J405" t="inlineStr"/>
      <c r="K405" t="inlineStr">
        <is>
          <t>20190426</t>
        </is>
      </c>
      <c r="L405" t="inlineStr">
        <is>
          <t>20250127</t>
        </is>
      </c>
    </row>
    <row r="406">
      <c r="A406" t="inlineStr">
        <is>
          <t>900002313</t>
        </is>
      </c>
      <c r="B406" t="inlineStr">
        <is>
          <t>D836</t>
        </is>
      </c>
      <c r="C406" t="inlineStr">
        <is>
          <t>65714167</t>
        </is>
      </c>
      <c r="D406" t="inlineStr">
        <is>
          <t>10001354</t>
        </is>
      </c>
      <c r="E406" t="inlineStr"/>
      <c r="F406" s="11" t="n">
        <v>74.15000000000001</v>
      </c>
      <c r="G406" t="inlineStr"/>
      <c r="I406" t="inlineStr">
        <is>
          <t>M3</t>
        </is>
      </c>
      <c r="J406" t="inlineStr"/>
      <c r="K406" t="inlineStr">
        <is>
          <t>20190426</t>
        </is>
      </c>
      <c r="L406" t="inlineStr">
        <is>
          <t>20250127</t>
        </is>
      </c>
    </row>
    <row r="407">
      <c r="A407" t="inlineStr">
        <is>
          <t>900002313</t>
        </is>
      </c>
      <c r="B407" t="inlineStr">
        <is>
          <t>D836</t>
        </is>
      </c>
      <c r="C407" t="inlineStr">
        <is>
          <t>65714167</t>
        </is>
      </c>
      <c r="D407" t="inlineStr">
        <is>
          <t>10037590</t>
        </is>
      </c>
      <c r="E407" t="inlineStr"/>
      <c r="F407" s="11" t="n">
        <v>63.38</v>
      </c>
      <c r="G407" t="inlineStr"/>
      <c r="I407" t="inlineStr">
        <is>
          <t>M3</t>
        </is>
      </c>
      <c r="J407" t="inlineStr"/>
      <c r="K407" t="inlineStr">
        <is>
          <t>20190426</t>
        </is>
      </c>
      <c r="L407" t="inlineStr">
        <is>
          <t>20250127</t>
        </is>
      </c>
    </row>
    <row r="408">
      <c r="A408" t="inlineStr">
        <is>
          <t>900002313</t>
        </is>
      </c>
      <c r="B408" t="inlineStr">
        <is>
          <t>D836</t>
        </is>
      </c>
      <c r="C408" t="inlineStr">
        <is>
          <t>65714168</t>
        </is>
      </c>
      <c r="D408" t="inlineStr">
        <is>
          <t>10000441</t>
        </is>
      </c>
      <c r="E408" t="inlineStr"/>
      <c r="F408" s="11" t="n">
        <v>74.15000000000001</v>
      </c>
      <c r="G408" t="inlineStr"/>
      <c r="I408" t="inlineStr">
        <is>
          <t>M3</t>
        </is>
      </c>
      <c r="J408" t="inlineStr"/>
      <c r="K408" t="inlineStr">
        <is>
          <t>20190426</t>
        </is>
      </c>
      <c r="L408" t="inlineStr">
        <is>
          <t>20250127</t>
        </is>
      </c>
    </row>
    <row r="409">
      <c r="A409" t="inlineStr">
        <is>
          <t>900002313</t>
        </is>
      </c>
      <c r="B409" t="inlineStr">
        <is>
          <t>D836</t>
        </is>
      </c>
      <c r="C409" t="inlineStr">
        <is>
          <t>65714168</t>
        </is>
      </c>
      <c r="D409" t="inlineStr">
        <is>
          <t>10001354</t>
        </is>
      </c>
      <c r="E409" t="inlineStr"/>
      <c r="F409" s="11" t="n">
        <v>74.15000000000001</v>
      </c>
      <c r="G409" t="inlineStr"/>
      <c r="I409" t="inlineStr">
        <is>
          <t>M3</t>
        </is>
      </c>
      <c r="J409" t="inlineStr"/>
      <c r="K409" t="inlineStr">
        <is>
          <t>20190426</t>
        </is>
      </c>
      <c r="L409" t="inlineStr">
        <is>
          <t>20250127</t>
        </is>
      </c>
    </row>
    <row r="410">
      <c r="A410" t="inlineStr">
        <is>
          <t>900002313</t>
        </is>
      </c>
      <c r="B410" t="inlineStr">
        <is>
          <t>D836</t>
        </is>
      </c>
      <c r="C410" t="inlineStr">
        <is>
          <t>65714168</t>
        </is>
      </c>
      <c r="D410" t="inlineStr">
        <is>
          <t>10037590</t>
        </is>
      </c>
      <c r="E410" t="inlineStr"/>
      <c r="F410" s="11" t="n">
        <v>63.38</v>
      </c>
      <c r="G410" t="inlineStr"/>
      <c r="I410" t="inlineStr">
        <is>
          <t>M3</t>
        </is>
      </c>
      <c r="J410" t="inlineStr"/>
      <c r="K410" t="inlineStr">
        <is>
          <t>20190426</t>
        </is>
      </c>
      <c r="L410" t="inlineStr">
        <is>
          <t>20250127</t>
        </is>
      </c>
    </row>
    <row r="411">
      <c r="A411" t="inlineStr">
        <is>
          <t>900002313</t>
        </is>
      </c>
      <c r="B411" t="inlineStr">
        <is>
          <t>D836</t>
        </is>
      </c>
      <c r="C411" t="inlineStr">
        <is>
          <t>65722662</t>
        </is>
      </c>
      <c r="D411" t="inlineStr">
        <is>
          <t>10000441</t>
        </is>
      </c>
      <c r="E411" t="inlineStr"/>
      <c r="F411" s="11" t="n">
        <v>74.15000000000001</v>
      </c>
      <c r="G411" t="inlineStr"/>
      <c r="I411" t="inlineStr">
        <is>
          <t>M3</t>
        </is>
      </c>
      <c r="J411" t="inlineStr"/>
      <c r="K411" t="inlineStr">
        <is>
          <t>20190426</t>
        </is>
      </c>
      <c r="L411" t="inlineStr">
        <is>
          <t>20250127</t>
        </is>
      </c>
    </row>
    <row r="412">
      <c r="A412" t="inlineStr">
        <is>
          <t>900002313</t>
        </is>
      </c>
      <c r="B412" t="inlineStr">
        <is>
          <t>D836</t>
        </is>
      </c>
      <c r="C412" t="inlineStr">
        <is>
          <t>65722662</t>
        </is>
      </c>
      <c r="D412" t="inlineStr">
        <is>
          <t>10001354</t>
        </is>
      </c>
      <c r="E412" t="inlineStr"/>
      <c r="F412" s="11" t="n">
        <v>74.15000000000001</v>
      </c>
      <c r="G412" t="inlineStr"/>
      <c r="I412" t="inlineStr">
        <is>
          <t>M3</t>
        </is>
      </c>
      <c r="J412" t="inlineStr"/>
      <c r="K412" t="inlineStr">
        <is>
          <t>20190426</t>
        </is>
      </c>
      <c r="L412" t="inlineStr">
        <is>
          <t>20250127</t>
        </is>
      </c>
    </row>
    <row r="413">
      <c r="A413" t="inlineStr">
        <is>
          <t>900002313</t>
        </is>
      </c>
      <c r="B413" t="inlineStr">
        <is>
          <t>D836</t>
        </is>
      </c>
      <c r="C413" t="inlineStr">
        <is>
          <t>65722662</t>
        </is>
      </c>
      <c r="D413" t="inlineStr">
        <is>
          <t>10037590</t>
        </is>
      </c>
      <c r="E413" t="inlineStr"/>
      <c r="F413" s="11" t="n">
        <v>63.38</v>
      </c>
      <c r="G413" t="inlineStr"/>
      <c r="I413" t="inlineStr">
        <is>
          <t>M3</t>
        </is>
      </c>
      <c r="J413" t="inlineStr"/>
      <c r="K413" t="inlineStr">
        <is>
          <t>20190426</t>
        </is>
      </c>
      <c r="L413" t="inlineStr">
        <is>
          <t>20250127</t>
        </is>
      </c>
    </row>
    <row r="414">
      <c r="A414" t="inlineStr">
        <is>
          <t>900002313</t>
        </is>
      </c>
      <c r="B414" t="inlineStr">
        <is>
          <t>D836</t>
        </is>
      </c>
      <c r="C414" t="inlineStr">
        <is>
          <t>65799535</t>
        </is>
      </c>
      <c r="D414" t="inlineStr">
        <is>
          <t>10000441</t>
        </is>
      </c>
      <c r="E414" t="inlineStr"/>
      <c r="F414" s="11" t="n">
        <v>74.15000000000001</v>
      </c>
      <c r="G414" t="inlineStr"/>
      <c r="I414" t="inlineStr">
        <is>
          <t>M3</t>
        </is>
      </c>
      <c r="J414" t="inlineStr"/>
      <c r="K414" t="inlineStr">
        <is>
          <t>20190426</t>
        </is>
      </c>
      <c r="L414" t="inlineStr">
        <is>
          <t>20250127</t>
        </is>
      </c>
    </row>
    <row r="415">
      <c r="A415" t="inlineStr">
        <is>
          <t>900002313</t>
        </is>
      </c>
      <c r="B415" t="inlineStr">
        <is>
          <t>D836</t>
        </is>
      </c>
      <c r="C415" t="inlineStr">
        <is>
          <t>65799535</t>
        </is>
      </c>
      <c r="D415" t="inlineStr">
        <is>
          <t>10037590</t>
        </is>
      </c>
      <c r="E415" t="inlineStr"/>
      <c r="F415" s="11" t="n">
        <v>63.38</v>
      </c>
      <c r="G415" t="inlineStr"/>
      <c r="I415" t="inlineStr">
        <is>
          <t>M3</t>
        </is>
      </c>
      <c r="J415" t="inlineStr"/>
      <c r="K415" t="inlineStr">
        <is>
          <t>20190426</t>
        </is>
      </c>
      <c r="L415" t="inlineStr">
        <is>
          <t>20250127</t>
        </is>
      </c>
    </row>
    <row r="416">
      <c r="A416" t="inlineStr">
        <is>
          <t>900002313</t>
        </is>
      </c>
      <c r="B416" t="inlineStr">
        <is>
          <t>D836</t>
        </is>
      </c>
      <c r="C416" t="inlineStr">
        <is>
          <t>66438172</t>
        </is>
      </c>
      <c r="D416" t="inlineStr">
        <is>
          <t>10001353</t>
        </is>
      </c>
      <c r="E416" t="inlineStr"/>
      <c r="F416" s="11" t="n">
        <v>97.5</v>
      </c>
      <c r="G416" t="inlineStr"/>
      <c r="I416" t="inlineStr">
        <is>
          <t>M3</t>
        </is>
      </c>
      <c r="J416" t="inlineStr"/>
      <c r="K416" t="inlineStr">
        <is>
          <t>20190426</t>
        </is>
      </c>
      <c r="L416" t="inlineStr">
        <is>
          <t>20250127</t>
        </is>
      </c>
    </row>
    <row r="417">
      <c r="A417" t="inlineStr">
        <is>
          <t>900002313</t>
        </is>
      </c>
      <c r="B417" t="inlineStr">
        <is>
          <t>D836</t>
        </is>
      </c>
      <c r="C417" t="inlineStr">
        <is>
          <t>66438172</t>
        </is>
      </c>
      <c r="D417" t="inlineStr">
        <is>
          <t>10001354</t>
        </is>
      </c>
      <c r="E417" t="inlineStr"/>
      <c r="F417" s="11" t="n">
        <v>79.5</v>
      </c>
      <c r="G417" t="inlineStr"/>
      <c r="I417" t="inlineStr">
        <is>
          <t>M3</t>
        </is>
      </c>
      <c r="J417" t="inlineStr"/>
      <c r="K417" t="inlineStr">
        <is>
          <t>20190426</t>
        </is>
      </c>
      <c r="L417" t="inlineStr">
        <is>
          <t>20250127</t>
        </is>
      </c>
    </row>
    <row r="418">
      <c r="A418" t="inlineStr">
        <is>
          <t>900002313</t>
        </is>
      </c>
      <c r="B418" t="inlineStr">
        <is>
          <t>D836</t>
        </is>
      </c>
      <c r="C418" t="inlineStr">
        <is>
          <t>66438172</t>
        </is>
      </c>
      <c r="D418" t="inlineStr">
        <is>
          <t>10001436</t>
        </is>
      </c>
      <c r="E418" t="inlineStr"/>
      <c r="F418" s="11" t="n">
        <v>58.3</v>
      </c>
      <c r="G418" t="inlineStr"/>
      <c r="I418" t="inlineStr">
        <is>
          <t>M3</t>
        </is>
      </c>
      <c r="J418" t="inlineStr"/>
      <c r="K418" t="inlineStr">
        <is>
          <t>20190426</t>
        </is>
      </c>
      <c r="L418" t="inlineStr">
        <is>
          <t>20250127</t>
        </is>
      </c>
    </row>
    <row r="419">
      <c r="A419" t="inlineStr">
        <is>
          <t>900002313</t>
        </is>
      </c>
      <c r="B419" t="inlineStr">
        <is>
          <t>D836</t>
        </is>
      </c>
      <c r="C419" t="inlineStr">
        <is>
          <t>66577024</t>
        </is>
      </c>
      <c r="D419" t="inlineStr">
        <is>
          <t>10001353</t>
        </is>
      </c>
      <c r="E419" t="inlineStr"/>
      <c r="F419" s="11" t="n">
        <v>92</v>
      </c>
      <c r="G419" t="inlineStr"/>
      <c r="I419" t="inlineStr">
        <is>
          <t>M3</t>
        </is>
      </c>
      <c r="J419" t="inlineStr"/>
      <c r="K419" t="inlineStr">
        <is>
          <t>20190426</t>
        </is>
      </c>
      <c r="L419" t="inlineStr">
        <is>
          <t>20250127</t>
        </is>
      </c>
    </row>
    <row r="420">
      <c r="A420" t="inlineStr">
        <is>
          <t>900002313</t>
        </is>
      </c>
      <c r="B420" t="inlineStr">
        <is>
          <t>D836</t>
        </is>
      </c>
      <c r="C420" t="inlineStr">
        <is>
          <t>66577024</t>
        </is>
      </c>
      <c r="D420" t="inlineStr">
        <is>
          <t>10001354</t>
        </is>
      </c>
      <c r="E420" t="inlineStr"/>
      <c r="F420" s="11" t="n">
        <v>75</v>
      </c>
      <c r="G420" t="inlineStr"/>
      <c r="I420" t="inlineStr">
        <is>
          <t>M3</t>
        </is>
      </c>
      <c r="J420" t="inlineStr"/>
      <c r="K420" t="inlineStr">
        <is>
          <t>20190426</t>
        </is>
      </c>
      <c r="L420" t="inlineStr">
        <is>
          <t>20250127</t>
        </is>
      </c>
    </row>
    <row r="421">
      <c r="A421" t="inlineStr">
        <is>
          <t>900002313</t>
        </is>
      </c>
      <c r="B421" t="inlineStr">
        <is>
          <t>D836</t>
        </is>
      </c>
      <c r="C421" t="inlineStr">
        <is>
          <t>66597345</t>
        </is>
      </c>
      <c r="D421" t="inlineStr">
        <is>
          <t>10001353</t>
        </is>
      </c>
      <c r="E421" t="inlineStr"/>
      <c r="F421" s="11" t="n">
        <v>97</v>
      </c>
      <c r="G421" t="inlineStr"/>
      <c r="I421" t="inlineStr">
        <is>
          <t>M3</t>
        </is>
      </c>
      <c r="J421" t="inlineStr"/>
      <c r="K421" t="inlineStr">
        <is>
          <t>20190426</t>
        </is>
      </c>
      <c r="L421" t="inlineStr">
        <is>
          <t>20250127</t>
        </is>
      </c>
    </row>
    <row r="422">
      <c r="A422" t="inlineStr">
        <is>
          <t>900002313</t>
        </is>
      </c>
      <c r="B422" t="inlineStr">
        <is>
          <t>D836</t>
        </is>
      </c>
      <c r="C422" t="inlineStr">
        <is>
          <t>66597345</t>
        </is>
      </c>
      <c r="D422" t="inlineStr">
        <is>
          <t>10001354</t>
        </is>
      </c>
      <c r="E422" t="inlineStr"/>
      <c r="F422" s="11" t="n">
        <v>78.5</v>
      </c>
      <c r="G422" t="inlineStr"/>
      <c r="I422" t="inlineStr">
        <is>
          <t>M3</t>
        </is>
      </c>
      <c r="J422" t="inlineStr"/>
      <c r="K422" t="inlineStr">
        <is>
          <t>20190426</t>
        </is>
      </c>
      <c r="L422" t="inlineStr">
        <is>
          <t>20250127</t>
        </is>
      </c>
    </row>
    <row r="423">
      <c r="A423" t="inlineStr">
        <is>
          <t>900002313</t>
        </is>
      </c>
      <c r="B423" t="inlineStr">
        <is>
          <t>D836</t>
        </is>
      </c>
      <c r="C423" t="inlineStr">
        <is>
          <t>66597345</t>
        </is>
      </c>
      <c r="D423" t="inlineStr">
        <is>
          <t>10001436</t>
        </is>
      </c>
      <c r="E423" t="inlineStr"/>
      <c r="F423" s="11" t="n">
        <v>57</v>
      </c>
      <c r="G423" t="inlineStr"/>
      <c r="I423" t="inlineStr">
        <is>
          <t>M3</t>
        </is>
      </c>
      <c r="J423" t="inlineStr"/>
      <c r="K423" t="inlineStr">
        <is>
          <t>20190426</t>
        </is>
      </c>
      <c r="L423" t="inlineStr">
        <is>
          <t>20250127</t>
        </is>
      </c>
    </row>
    <row r="424">
      <c r="A424" t="inlineStr">
        <is>
          <t>900002313</t>
        </is>
      </c>
      <c r="B424" t="inlineStr">
        <is>
          <t>D836</t>
        </is>
      </c>
      <c r="C424" t="inlineStr">
        <is>
          <t>66783558</t>
        </is>
      </c>
      <c r="D424" t="inlineStr">
        <is>
          <t>10001353</t>
        </is>
      </c>
      <c r="E424" t="inlineStr"/>
      <c r="F424" s="11" t="n">
        <v>65.09999999999999</v>
      </c>
      <c r="G424" t="inlineStr"/>
      <c r="I424" t="inlineStr">
        <is>
          <t>M3</t>
        </is>
      </c>
      <c r="J424" t="inlineStr"/>
      <c r="K424" t="inlineStr">
        <is>
          <t>20190426</t>
        </is>
      </c>
      <c r="L424" t="inlineStr">
        <is>
          <t>20250127</t>
        </is>
      </c>
    </row>
    <row r="425">
      <c r="A425" t="inlineStr">
        <is>
          <t>900002313</t>
        </is>
      </c>
      <c r="B425" t="inlineStr">
        <is>
          <t>D836</t>
        </is>
      </c>
      <c r="C425" t="inlineStr">
        <is>
          <t>66783558</t>
        </is>
      </c>
      <c r="D425" t="inlineStr">
        <is>
          <t>10001354</t>
        </is>
      </c>
      <c r="E425" t="inlineStr"/>
      <c r="F425" s="11" t="n">
        <v>61.24</v>
      </c>
      <c r="G425" t="inlineStr"/>
      <c r="I425" t="inlineStr">
        <is>
          <t>M3</t>
        </is>
      </c>
      <c r="J425" t="inlineStr"/>
      <c r="K425" t="inlineStr">
        <is>
          <t>20190426</t>
        </is>
      </c>
      <c r="L425" t="inlineStr">
        <is>
          <t>20250127</t>
        </is>
      </c>
    </row>
    <row r="426">
      <c r="A426" t="inlineStr">
        <is>
          <t>900002313</t>
        </is>
      </c>
      <c r="B426" t="inlineStr">
        <is>
          <t>D836</t>
        </is>
      </c>
      <c r="C426" t="inlineStr">
        <is>
          <t>66783558</t>
        </is>
      </c>
      <c r="D426" t="inlineStr">
        <is>
          <t>10001436</t>
        </is>
      </c>
      <c r="E426" t="inlineStr"/>
      <c r="F426" s="11" t="n">
        <v>45.17</v>
      </c>
      <c r="G426" t="inlineStr"/>
      <c r="I426" t="inlineStr">
        <is>
          <t>M3</t>
        </is>
      </c>
      <c r="J426" t="inlineStr"/>
      <c r="K426" t="inlineStr">
        <is>
          <t>20190426</t>
        </is>
      </c>
      <c r="L426" t="inlineStr">
        <is>
          <t>20250127</t>
        </is>
      </c>
    </row>
    <row r="427">
      <c r="A427" t="inlineStr">
        <is>
          <t>900002313</t>
        </is>
      </c>
      <c r="B427" t="inlineStr">
        <is>
          <t>D836</t>
        </is>
      </c>
      <c r="C427" t="inlineStr">
        <is>
          <t>66793342</t>
        </is>
      </c>
      <c r="D427" t="inlineStr">
        <is>
          <t>10001353</t>
        </is>
      </c>
      <c r="E427" t="inlineStr"/>
      <c r="F427" s="11" t="n">
        <v>97</v>
      </c>
      <c r="G427" t="inlineStr"/>
      <c r="I427" t="inlineStr">
        <is>
          <t>M3</t>
        </is>
      </c>
      <c r="J427" t="inlineStr"/>
      <c r="K427" t="inlineStr">
        <is>
          <t>20190426</t>
        </is>
      </c>
      <c r="L427" t="inlineStr">
        <is>
          <t>20250127</t>
        </is>
      </c>
    </row>
    <row r="428">
      <c r="A428" t="inlineStr">
        <is>
          <t>900002313</t>
        </is>
      </c>
      <c r="B428" t="inlineStr">
        <is>
          <t>D836</t>
        </is>
      </c>
      <c r="C428" t="inlineStr">
        <is>
          <t>66793342</t>
        </is>
      </c>
      <c r="D428" t="inlineStr">
        <is>
          <t>10001354</t>
        </is>
      </c>
      <c r="E428" t="inlineStr"/>
      <c r="F428" s="11" t="n">
        <v>78.5</v>
      </c>
      <c r="G428" t="inlineStr"/>
      <c r="I428" t="inlineStr">
        <is>
          <t>M3</t>
        </is>
      </c>
      <c r="J428" t="inlineStr"/>
      <c r="K428" t="inlineStr">
        <is>
          <t>20190426</t>
        </is>
      </c>
      <c r="L428" t="inlineStr">
        <is>
          <t>20250127</t>
        </is>
      </c>
    </row>
    <row r="429">
      <c r="A429" t="inlineStr">
        <is>
          <t>900002313</t>
        </is>
      </c>
      <c r="B429" t="inlineStr">
        <is>
          <t>D836</t>
        </is>
      </c>
      <c r="C429" t="inlineStr">
        <is>
          <t>66793342</t>
        </is>
      </c>
      <c r="D429" t="inlineStr">
        <is>
          <t>10001436</t>
        </is>
      </c>
      <c r="E429" t="inlineStr"/>
      <c r="F429" s="11" t="n">
        <v>57</v>
      </c>
      <c r="G429" t="inlineStr"/>
      <c r="I429" t="inlineStr">
        <is>
          <t>M3</t>
        </is>
      </c>
      <c r="J429" t="inlineStr"/>
      <c r="K429" t="inlineStr">
        <is>
          <t>20190426</t>
        </is>
      </c>
      <c r="L429" t="inlineStr">
        <is>
          <t>20250127</t>
        </is>
      </c>
    </row>
    <row r="430">
      <c r="A430" t="inlineStr">
        <is>
          <t>900002574</t>
        </is>
      </c>
      <c r="B430" t="inlineStr">
        <is>
          <t>D836</t>
        </is>
      </c>
      <c r="C430" t="inlineStr">
        <is>
          <t>65001905</t>
        </is>
      </c>
      <c r="D430" t="inlineStr">
        <is>
          <t>10000133</t>
        </is>
      </c>
      <c r="E430" t="inlineStr"/>
      <c r="F430" s="11" t="n">
        <v>180</v>
      </c>
      <c r="G430" t="inlineStr"/>
      <c r="I430" t="inlineStr">
        <is>
          <t>M3</t>
        </is>
      </c>
      <c r="J430" t="inlineStr"/>
      <c r="K430" t="inlineStr">
        <is>
          <t>20190426</t>
        </is>
      </c>
      <c r="L430" t="inlineStr">
        <is>
          <t>20250127</t>
        </is>
      </c>
    </row>
    <row r="431">
      <c r="A431" t="inlineStr">
        <is>
          <t>900002574</t>
        </is>
      </c>
      <c r="B431" t="inlineStr">
        <is>
          <t>D836</t>
        </is>
      </c>
      <c r="C431" t="inlineStr">
        <is>
          <t>65001905</t>
        </is>
      </c>
      <c r="D431" t="inlineStr">
        <is>
          <t>10000160</t>
        </is>
      </c>
      <c r="E431" t="inlineStr"/>
      <c r="F431" s="11" t="n">
        <v>105</v>
      </c>
      <c r="G431" t="inlineStr"/>
      <c r="I431" t="inlineStr">
        <is>
          <t>M3</t>
        </is>
      </c>
      <c r="J431" t="inlineStr"/>
      <c r="K431" t="inlineStr">
        <is>
          <t>20190426</t>
        </is>
      </c>
      <c r="L431" t="inlineStr">
        <is>
          <t>20250127</t>
        </is>
      </c>
    </row>
    <row r="432">
      <c r="A432" t="inlineStr">
        <is>
          <t>900002574</t>
        </is>
      </c>
      <c r="B432" t="inlineStr">
        <is>
          <t>D836</t>
        </is>
      </c>
      <c r="C432" t="inlineStr">
        <is>
          <t>65001905</t>
        </is>
      </c>
      <c r="D432" t="inlineStr">
        <is>
          <t>10000357</t>
        </is>
      </c>
      <c r="E432" t="inlineStr"/>
      <c r="F432" s="11" t="n">
        <v>120</v>
      </c>
      <c r="G432" t="inlineStr"/>
      <c r="I432" t="inlineStr">
        <is>
          <t>M3</t>
        </is>
      </c>
      <c r="J432" t="inlineStr"/>
      <c r="K432" t="inlineStr">
        <is>
          <t>20190426</t>
        </is>
      </c>
      <c r="L432" t="inlineStr">
        <is>
          <t>20250127</t>
        </is>
      </c>
    </row>
    <row r="433">
      <c r="A433" t="inlineStr">
        <is>
          <t>900002574</t>
        </is>
      </c>
      <c r="B433" t="inlineStr">
        <is>
          <t>D836</t>
        </is>
      </c>
      <c r="C433" t="inlineStr">
        <is>
          <t>65001905</t>
        </is>
      </c>
      <c r="D433" t="inlineStr">
        <is>
          <t>10000630</t>
        </is>
      </c>
      <c r="E433" t="inlineStr"/>
      <c r="F433" s="11" t="n">
        <v>200</v>
      </c>
      <c r="G433" t="inlineStr"/>
      <c r="I433" t="inlineStr">
        <is>
          <t>M3</t>
        </is>
      </c>
      <c r="J433" t="inlineStr"/>
      <c r="K433" t="inlineStr">
        <is>
          <t>20190426</t>
        </is>
      </c>
      <c r="L433" t="inlineStr">
        <is>
          <t>20250127</t>
        </is>
      </c>
    </row>
    <row r="434">
      <c r="A434" t="inlineStr">
        <is>
          <t>900002574</t>
        </is>
      </c>
      <c r="B434" t="inlineStr">
        <is>
          <t>D836</t>
        </is>
      </c>
      <c r="C434" t="inlineStr">
        <is>
          <t>65001905</t>
        </is>
      </c>
      <c r="D434" t="inlineStr">
        <is>
          <t>10058345</t>
        </is>
      </c>
      <c r="E434" t="inlineStr"/>
      <c r="F434" s="11" t="n">
        <v>95</v>
      </c>
      <c r="G434" t="inlineStr"/>
      <c r="I434" t="inlineStr">
        <is>
          <t>M3</t>
        </is>
      </c>
      <c r="J434" t="inlineStr"/>
      <c r="K434" t="inlineStr">
        <is>
          <t>20190426</t>
        </is>
      </c>
      <c r="L434" t="inlineStr">
        <is>
          <t>20250127</t>
        </is>
      </c>
    </row>
    <row r="435">
      <c r="A435" t="inlineStr">
        <is>
          <t>900002574</t>
        </is>
      </c>
      <c r="B435" t="inlineStr">
        <is>
          <t>D836</t>
        </is>
      </c>
      <c r="C435" t="inlineStr">
        <is>
          <t>65061685</t>
        </is>
      </c>
      <c r="D435" t="inlineStr">
        <is>
          <t>10000160</t>
        </is>
      </c>
      <c r="E435" t="inlineStr"/>
      <c r="F435" s="11" t="n">
        <v>95</v>
      </c>
      <c r="G435" t="inlineStr"/>
      <c r="I435" t="inlineStr">
        <is>
          <t>M3</t>
        </is>
      </c>
      <c r="J435" t="inlineStr"/>
      <c r="K435" t="inlineStr">
        <is>
          <t>20190426</t>
        </is>
      </c>
      <c r="L435" t="inlineStr">
        <is>
          <t>20250127</t>
        </is>
      </c>
    </row>
    <row r="436">
      <c r="A436" t="inlineStr">
        <is>
          <t>900002574</t>
        </is>
      </c>
      <c r="B436" t="inlineStr">
        <is>
          <t>D836</t>
        </is>
      </c>
      <c r="C436" t="inlineStr">
        <is>
          <t>65150563</t>
        </is>
      </c>
      <c r="D436" t="inlineStr">
        <is>
          <t>10000160</t>
        </is>
      </c>
      <c r="E436" t="inlineStr"/>
      <c r="F436" s="11" t="n">
        <v>470</v>
      </c>
      <c r="G436" t="inlineStr"/>
      <c r="I436" t="inlineStr">
        <is>
          <t>M3</t>
        </is>
      </c>
      <c r="J436" t="inlineStr"/>
      <c r="K436" t="inlineStr">
        <is>
          <t>20190426</t>
        </is>
      </c>
      <c r="L436" t="inlineStr">
        <is>
          <t>20250127</t>
        </is>
      </c>
    </row>
    <row r="437">
      <c r="A437" t="inlineStr">
        <is>
          <t>900002574</t>
        </is>
      </c>
      <c r="B437" t="inlineStr">
        <is>
          <t>D836</t>
        </is>
      </c>
      <c r="C437" t="inlineStr">
        <is>
          <t>65150563</t>
        </is>
      </c>
      <c r="D437" t="inlineStr">
        <is>
          <t>10000206</t>
        </is>
      </c>
      <c r="E437" t="inlineStr"/>
      <c r="F437" s="11" t="n">
        <v>99</v>
      </c>
      <c r="G437" t="inlineStr"/>
      <c r="I437" t="inlineStr">
        <is>
          <t>M3</t>
        </is>
      </c>
      <c r="J437" t="inlineStr"/>
      <c r="K437" t="inlineStr">
        <is>
          <t>20190426</t>
        </is>
      </c>
      <c r="L437" t="inlineStr">
        <is>
          <t>20250127</t>
        </is>
      </c>
    </row>
    <row r="438">
      <c r="A438" t="inlineStr">
        <is>
          <t>900002574</t>
        </is>
      </c>
      <c r="B438" t="inlineStr">
        <is>
          <t>D836</t>
        </is>
      </c>
      <c r="C438" t="inlineStr">
        <is>
          <t>65150563</t>
        </is>
      </c>
      <c r="D438" t="inlineStr">
        <is>
          <t>10000357</t>
        </is>
      </c>
      <c r="E438" t="inlineStr"/>
      <c r="F438" s="11" t="n">
        <v>400</v>
      </c>
      <c r="G438" t="inlineStr"/>
      <c r="I438" t="inlineStr">
        <is>
          <t>M3</t>
        </is>
      </c>
      <c r="J438" t="inlineStr"/>
      <c r="K438" t="inlineStr">
        <is>
          <t>20190426</t>
        </is>
      </c>
      <c r="L438" t="inlineStr">
        <is>
          <t>20250127</t>
        </is>
      </c>
    </row>
    <row r="439">
      <c r="A439" t="inlineStr">
        <is>
          <t>900002574</t>
        </is>
      </c>
      <c r="B439" t="inlineStr">
        <is>
          <t>D836</t>
        </is>
      </c>
      <c r="C439" t="inlineStr">
        <is>
          <t>65150563</t>
        </is>
      </c>
      <c r="D439" t="inlineStr">
        <is>
          <t>10000651</t>
        </is>
      </c>
      <c r="E439" t="inlineStr"/>
      <c r="F439" s="11" t="n">
        <v>460</v>
      </c>
      <c r="G439" t="inlineStr"/>
      <c r="I439" t="inlineStr">
        <is>
          <t>M3</t>
        </is>
      </c>
      <c r="J439" t="inlineStr"/>
      <c r="K439" t="inlineStr">
        <is>
          <t>20190426</t>
        </is>
      </c>
      <c r="L439" t="inlineStr">
        <is>
          <t>20250127</t>
        </is>
      </c>
    </row>
    <row r="440">
      <c r="A440" t="inlineStr">
        <is>
          <t>900002574</t>
        </is>
      </c>
      <c r="B440" t="inlineStr">
        <is>
          <t>D836</t>
        </is>
      </c>
      <c r="C440" t="inlineStr">
        <is>
          <t>65155820</t>
        </is>
      </c>
      <c r="D440" t="inlineStr">
        <is>
          <t>10000160</t>
        </is>
      </c>
      <c r="E440" t="inlineStr"/>
      <c r="F440" s="11" t="n">
        <v>139</v>
      </c>
      <c r="G440" t="inlineStr"/>
      <c r="I440" t="inlineStr">
        <is>
          <t>M3</t>
        </is>
      </c>
      <c r="J440" t="inlineStr"/>
      <c r="K440" t="inlineStr">
        <is>
          <t>20190426</t>
        </is>
      </c>
      <c r="L440" t="inlineStr">
        <is>
          <t>20250127</t>
        </is>
      </c>
    </row>
    <row r="441">
      <c r="A441" t="inlineStr">
        <is>
          <t>900002574</t>
        </is>
      </c>
      <c r="B441" t="inlineStr">
        <is>
          <t>D836</t>
        </is>
      </c>
      <c r="C441" t="inlineStr">
        <is>
          <t>65155820</t>
        </is>
      </c>
      <c r="D441" t="inlineStr">
        <is>
          <t>10000357</t>
        </is>
      </c>
      <c r="E441" t="inlineStr"/>
      <c r="F441" s="11" t="n">
        <v>144</v>
      </c>
      <c r="G441" t="inlineStr"/>
      <c r="I441" t="inlineStr">
        <is>
          <t>M3</t>
        </is>
      </c>
      <c r="J441" t="inlineStr"/>
      <c r="K441" t="inlineStr">
        <is>
          <t>20190426</t>
        </is>
      </c>
      <c r="L441" t="inlineStr">
        <is>
          <t>20250127</t>
        </is>
      </c>
    </row>
    <row r="442">
      <c r="A442" t="inlineStr">
        <is>
          <t>900002574</t>
        </is>
      </c>
      <c r="B442" t="inlineStr">
        <is>
          <t>D836</t>
        </is>
      </c>
      <c r="C442" t="inlineStr">
        <is>
          <t>65251399</t>
        </is>
      </c>
      <c r="D442" t="inlineStr">
        <is>
          <t>10029712</t>
        </is>
      </c>
      <c r="E442" t="inlineStr"/>
      <c r="F442" s="11" t="n">
        <v>40</v>
      </c>
      <c r="G442" t="inlineStr"/>
      <c r="I442" t="inlineStr">
        <is>
          <t>TN</t>
        </is>
      </c>
      <c r="J442" t="inlineStr"/>
      <c r="K442" t="inlineStr">
        <is>
          <t>20190426</t>
        </is>
      </c>
      <c r="L442" t="inlineStr">
        <is>
          <t>20250127</t>
        </is>
      </c>
    </row>
    <row r="443">
      <c r="A443" t="inlineStr">
        <is>
          <t>900002574</t>
        </is>
      </c>
      <c r="B443" t="inlineStr">
        <is>
          <t>D836</t>
        </is>
      </c>
      <c r="C443" t="inlineStr">
        <is>
          <t>65674132</t>
        </is>
      </c>
      <c r="D443" t="inlineStr">
        <is>
          <t>10000624</t>
        </is>
      </c>
      <c r="E443" t="inlineStr"/>
      <c r="F443" s="11" t="n">
        <v>210</v>
      </c>
      <c r="G443" t="inlineStr"/>
      <c r="I443" t="inlineStr">
        <is>
          <t>M3</t>
        </is>
      </c>
      <c r="J443" t="inlineStr"/>
      <c r="K443" t="inlineStr">
        <is>
          <t>20190426</t>
        </is>
      </c>
      <c r="L443" t="inlineStr">
        <is>
          <t>20250127</t>
        </is>
      </c>
    </row>
    <row r="444">
      <c r="A444" t="inlineStr">
        <is>
          <t>900002574</t>
        </is>
      </c>
      <c r="B444" t="inlineStr">
        <is>
          <t>D836</t>
        </is>
      </c>
      <c r="C444" t="inlineStr">
        <is>
          <t>65911313</t>
        </is>
      </c>
      <c r="D444" t="inlineStr">
        <is>
          <t>10000160</t>
        </is>
      </c>
      <c r="E444" t="inlineStr"/>
      <c r="F444" s="11" t="n">
        <v>95</v>
      </c>
      <c r="G444" t="inlineStr"/>
      <c r="I444" t="inlineStr">
        <is>
          <t>M3</t>
        </is>
      </c>
      <c r="J444" t="inlineStr"/>
      <c r="K444" t="inlineStr">
        <is>
          <t>20190426</t>
        </is>
      </c>
      <c r="L444" t="inlineStr">
        <is>
          <t>20250127</t>
        </is>
      </c>
    </row>
    <row r="445">
      <c r="A445" t="inlineStr">
        <is>
          <t>900002574</t>
        </is>
      </c>
      <c r="B445" t="inlineStr">
        <is>
          <t>D836</t>
        </is>
      </c>
      <c r="C445" t="inlineStr">
        <is>
          <t>65911313</t>
        </is>
      </c>
      <c r="D445" t="inlineStr">
        <is>
          <t>10000357</t>
        </is>
      </c>
      <c r="E445" t="inlineStr"/>
      <c r="F445" s="11" t="n">
        <v>110</v>
      </c>
      <c r="G445" t="inlineStr"/>
      <c r="I445" t="inlineStr">
        <is>
          <t>M3</t>
        </is>
      </c>
      <c r="J445" t="inlineStr"/>
      <c r="K445" t="inlineStr">
        <is>
          <t>20190426</t>
        </is>
      </c>
      <c r="L445" t="inlineStr">
        <is>
          <t>20250127</t>
        </is>
      </c>
    </row>
    <row r="446">
      <c r="A446" t="inlineStr">
        <is>
          <t>900002574</t>
        </is>
      </c>
      <c r="B446" t="inlineStr">
        <is>
          <t>D836</t>
        </is>
      </c>
      <c r="C446" t="inlineStr">
        <is>
          <t>66024400</t>
        </is>
      </c>
      <c r="D446" t="inlineStr">
        <is>
          <t>10000623</t>
        </is>
      </c>
      <c r="E446" t="inlineStr"/>
      <c r="F446" s="11" t="n">
        <v>138</v>
      </c>
      <c r="G446" t="inlineStr"/>
      <c r="I446" t="inlineStr">
        <is>
          <t>M3</t>
        </is>
      </c>
      <c r="J446" t="inlineStr"/>
      <c r="K446" t="inlineStr">
        <is>
          <t>20190426</t>
        </is>
      </c>
      <c r="L446" t="inlineStr">
        <is>
          <t>20250127</t>
        </is>
      </c>
    </row>
    <row r="447">
      <c r="A447" t="inlineStr">
        <is>
          <t>900002574</t>
        </is>
      </c>
      <c r="B447" t="inlineStr">
        <is>
          <t>D836</t>
        </is>
      </c>
      <c r="C447" t="inlineStr">
        <is>
          <t>66230098</t>
        </is>
      </c>
      <c r="D447" t="inlineStr">
        <is>
          <t>10000627</t>
        </is>
      </c>
      <c r="E447" t="inlineStr"/>
      <c r="F447" s="11" t="n">
        <v>95</v>
      </c>
      <c r="G447" t="inlineStr"/>
      <c r="I447" t="inlineStr">
        <is>
          <t>M3</t>
        </is>
      </c>
      <c r="J447" t="inlineStr"/>
      <c r="K447" t="inlineStr">
        <is>
          <t>20190426</t>
        </is>
      </c>
      <c r="L447" t="inlineStr">
        <is>
          <t>20250127</t>
        </is>
      </c>
    </row>
    <row r="448">
      <c r="A448" t="inlineStr">
        <is>
          <t>900002574</t>
        </is>
      </c>
      <c r="B448" t="inlineStr">
        <is>
          <t>D836</t>
        </is>
      </c>
      <c r="C448" t="inlineStr">
        <is>
          <t>66265944</t>
        </is>
      </c>
      <c r="D448" t="inlineStr">
        <is>
          <t>10000623</t>
        </is>
      </c>
      <c r="E448" t="inlineStr"/>
      <c r="F448" s="11" t="n">
        <v>138</v>
      </c>
      <c r="G448" t="inlineStr"/>
      <c r="I448" t="inlineStr">
        <is>
          <t>M3</t>
        </is>
      </c>
      <c r="J448" t="inlineStr"/>
      <c r="K448" t="inlineStr">
        <is>
          <t>20190426</t>
        </is>
      </c>
      <c r="L448" t="inlineStr">
        <is>
          <t>20250127</t>
        </is>
      </c>
    </row>
    <row r="449">
      <c r="A449" t="inlineStr">
        <is>
          <t>900002574</t>
        </is>
      </c>
      <c r="B449" t="inlineStr">
        <is>
          <t>D836</t>
        </is>
      </c>
      <c r="C449" t="inlineStr">
        <is>
          <t>66272739</t>
        </is>
      </c>
      <c r="D449" t="inlineStr">
        <is>
          <t>10000160</t>
        </is>
      </c>
      <c r="E449" t="inlineStr"/>
      <c r="F449" s="11" t="n">
        <v>85</v>
      </c>
      <c r="G449" t="inlineStr"/>
      <c r="I449" t="inlineStr">
        <is>
          <t>M3</t>
        </is>
      </c>
      <c r="J449" t="inlineStr"/>
      <c r="K449" t="inlineStr">
        <is>
          <t>20190426</t>
        </is>
      </c>
      <c r="L449" t="inlineStr">
        <is>
          <t>20250127</t>
        </is>
      </c>
    </row>
    <row r="450">
      <c r="A450" t="inlineStr">
        <is>
          <t>900002574</t>
        </is>
      </c>
      <c r="B450" t="inlineStr">
        <is>
          <t>D836</t>
        </is>
      </c>
      <c r="C450" t="inlineStr">
        <is>
          <t>66279410</t>
        </is>
      </c>
      <c r="D450" t="inlineStr">
        <is>
          <t>10000623</t>
        </is>
      </c>
      <c r="E450" t="inlineStr"/>
      <c r="F450" s="11" t="n">
        <v>138</v>
      </c>
      <c r="G450" t="inlineStr"/>
      <c r="I450" t="inlineStr">
        <is>
          <t>M3</t>
        </is>
      </c>
      <c r="J450" t="inlineStr"/>
      <c r="K450" t="inlineStr">
        <is>
          <t>20190426</t>
        </is>
      </c>
      <c r="L450" t="inlineStr">
        <is>
          <t>20250127</t>
        </is>
      </c>
    </row>
    <row r="451">
      <c r="A451" t="inlineStr">
        <is>
          <t>900002574</t>
        </is>
      </c>
      <c r="B451" t="inlineStr">
        <is>
          <t>D836</t>
        </is>
      </c>
      <c r="C451" t="inlineStr">
        <is>
          <t>66297168</t>
        </is>
      </c>
      <c r="D451" t="inlineStr">
        <is>
          <t>10000624</t>
        </is>
      </c>
      <c r="E451" t="inlineStr"/>
      <c r="F451" s="11" t="n">
        <v>210</v>
      </c>
      <c r="G451" t="inlineStr"/>
      <c r="I451" t="inlineStr">
        <is>
          <t>M3</t>
        </is>
      </c>
      <c r="J451" t="inlineStr"/>
      <c r="K451" t="inlineStr">
        <is>
          <t>20190426</t>
        </is>
      </c>
      <c r="L451" t="inlineStr">
        <is>
          <t>20250127</t>
        </is>
      </c>
    </row>
    <row r="452">
      <c r="A452" t="inlineStr">
        <is>
          <t>900002574</t>
        </is>
      </c>
      <c r="B452" t="inlineStr">
        <is>
          <t>D836</t>
        </is>
      </c>
      <c r="C452" t="inlineStr">
        <is>
          <t>66433511</t>
        </is>
      </c>
      <c r="D452" t="inlineStr">
        <is>
          <t>10000133</t>
        </is>
      </c>
      <c r="E452" t="inlineStr"/>
      <c r="F452" s="11" t="n">
        <v>825</v>
      </c>
      <c r="G452" t="inlineStr"/>
      <c r="I452" t="inlineStr">
        <is>
          <t>M3</t>
        </is>
      </c>
      <c r="J452" t="inlineStr"/>
      <c r="K452" t="inlineStr">
        <is>
          <t>20190426</t>
        </is>
      </c>
      <c r="L452" t="inlineStr">
        <is>
          <t>20250127</t>
        </is>
      </c>
    </row>
    <row r="453">
      <c r="A453" t="inlineStr">
        <is>
          <t>900002574</t>
        </is>
      </c>
      <c r="B453" t="inlineStr">
        <is>
          <t>D836</t>
        </is>
      </c>
      <c r="C453" t="inlineStr">
        <is>
          <t>66433511</t>
        </is>
      </c>
      <c r="D453" t="inlineStr">
        <is>
          <t>10058345</t>
        </is>
      </c>
      <c r="E453" t="inlineStr"/>
      <c r="F453" s="11" t="n">
        <v>750</v>
      </c>
      <c r="G453" t="inlineStr"/>
      <c r="I453" t="inlineStr">
        <is>
          <t>M3</t>
        </is>
      </c>
      <c r="J453" t="inlineStr"/>
      <c r="K453" t="inlineStr">
        <is>
          <t>20190426</t>
        </is>
      </c>
      <c r="L453" t="inlineStr">
        <is>
          <t>20250127</t>
        </is>
      </c>
    </row>
    <row r="454">
      <c r="A454" t="inlineStr">
        <is>
          <t>900002574</t>
        </is>
      </c>
      <c r="B454" t="inlineStr">
        <is>
          <t>D836</t>
        </is>
      </c>
      <c r="C454" t="inlineStr">
        <is>
          <t>66485981</t>
        </is>
      </c>
      <c r="D454" t="inlineStr">
        <is>
          <t>10000160</t>
        </is>
      </c>
      <c r="E454" t="inlineStr"/>
      <c r="F454" s="11" t="n">
        <v>200</v>
      </c>
      <c r="G454" t="inlineStr"/>
      <c r="I454" t="inlineStr">
        <is>
          <t>M3</t>
        </is>
      </c>
      <c r="J454" t="inlineStr"/>
      <c r="K454" t="inlineStr">
        <is>
          <t>20190426</t>
        </is>
      </c>
      <c r="L454" t="inlineStr">
        <is>
          <t>20250127</t>
        </is>
      </c>
    </row>
    <row r="455">
      <c r="A455" t="inlineStr">
        <is>
          <t>900002574</t>
        </is>
      </c>
      <c r="B455" t="inlineStr">
        <is>
          <t>D836</t>
        </is>
      </c>
      <c r="C455" t="inlineStr">
        <is>
          <t>66485981</t>
        </is>
      </c>
      <c r="D455" t="inlineStr">
        <is>
          <t>10000357</t>
        </is>
      </c>
      <c r="E455" t="inlineStr"/>
      <c r="F455" s="11" t="n">
        <v>205</v>
      </c>
      <c r="G455" t="inlineStr"/>
      <c r="I455" t="inlineStr">
        <is>
          <t>M3</t>
        </is>
      </c>
      <c r="J455" t="inlineStr"/>
      <c r="K455" t="inlineStr">
        <is>
          <t>20190426</t>
        </is>
      </c>
      <c r="L455" t="inlineStr">
        <is>
          <t>20250127</t>
        </is>
      </c>
    </row>
    <row r="456">
      <c r="A456" t="inlineStr">
        <is>
          <t>900002574</t>
        </is>
      </c>
      <c r="B456" t="inlineStr">
        <is>
          <t>D836</t>
        </is>
      </c>
      <c r="C456" t="inlineStr">
        <is>
          <t>66486059</t>
        </is>
      </c>
      <c r="D456" t="inlineStr">
        <is>
          <t>10000160</t>
        </is>
      </c>
      <c r="E456" t="inlineStr"/>
      <c r="F456" s="11" t="n">
        <v>112.41</v>
      </c>
      <c r="G456" t="inlineStr"/>
      <c r="I456" t="inlineStr">
        <is>
          <t>M3</t>
        </is>
      </c>
      <c r="J456" t="inlineStr"/>
      <c r="K456" t="inlineStr">
        <is>
          <t>20190426</t>
        </is>
      </c>
      <c r="L456" t="inlineStr">
        <is>
          <t>20250127</t>
        </is>
      </c>
    </row>
    <row r="457">
      <c r="A457" t="inlineStr">
        <is>
          <t>900002574</t>
        </is>
      </c>
      <c r="B457" t="inlineStr">
        <is>
          <t>D836</t>
        </is>
      </c>
      <c r="C457" t="inlineStr">
        <is>
          <t>66486059</t>
        </is>
      </c>
      <c r="D457" t="inlineStr">
        <is>
          <t>10000206</t>
        </is>
      </c>
      <c r="E457" t="inlineStr"/>
      <c r="F457" s="11" t="n">
        <v>22.41</v>
      </c>
      <c r="G457" t="inlineStr"/>
      <c r="I457" t="inlineStr">
        <is>
          <t>M3</t>
        </is>
      </c>
      <c r="J457" t="inlineStr"/>
      <c r="K457" t="inlineStr">
        <is>
          <t>20190426</t>
        </is>
      </c>
      <c r="L457" t="inlineStr">
        <is>
          <t>20250127</t>
        </is>
      </c>
    </row>
    <row r="458">
      <c r="A458" t="inlineStr">
        <is>
          <t>900002574</t>
        </is>
      </c>
      <c r="B458" t="inlineStr">
        <is>
          <t>D836</t>
        </is>
      </c>
      <c r="C458" t="inlineStr">
        <is>
          <t>66486059</t>
        </is>
      </c>
      <c r="D458" t="inlineStr">
        <is>
          <t>10000357</t>
        </is>
      </c>
      <c r="E458" t="inlineStr"/>
      <c r="F458" s="11" t="n">
        <v>127.41</v>
      </c>
      <c r="G458" t="inlineStr"/>
      <c r="I458" t="inlineStr">
        <is>
          <t>M3</t>
        </is>
      </c>
      <c r="J458" t="inlineStr"/>
      <c r="K458" t="inlineStr">
        <is>
          <t>20190426</t>
        </is>
      </c>
      <c r="L458" t="inlineStr">
        <is>
          <t>20250127</t>
        </is>
      </c>
    </row>
    <row r="459">
      <c r="A459" t="inlineStr">
        <is>
          <t>900002574</t>
        </is>
      </c>
      <c r="B459" t="inlineStr">
        <is>
          <t>D836</t>
        </is>
      </c>
      <c r="C459" t="inlineStr">
        <is>
          <t>66490957</t>
        </is>
      </c>
      <c r="D459" t="inlineStr">
        <is>
          <t>10000651</t>
        </is>
      </c>
      <c r="E459" t="inlineStr"/>
      <c r="F459" s="11" t="n">
        <v>110</v>
      </c>
      <c r="G459" t="inlineStr"/>
      <c r="I459" t="inlineStr">
        <is>
          <t>M3</t>
        </is>
      </c>
      <c r="J459" t="inlineStr"/>
      <c r="K459" t="inlineStr">
        <is>
          <t>20190426</t>
        </is>
      </c>
      <c r="L459" t="inlineStr">
        <is>
          <t>20250127</t>
        </is>
      </c>
    </row>
    <row r="460">
      <c r="A460" t="inlineStr">
        <is>
          <t>900002574</t>
        </is>
      </c>
      <c r="B460" t="inlineStr">
        <is>
          <t>D836</t>
        </is>
      </c>
      <c r="C460" t="inlineStr">
        <is>
          <t>66526341</t>
        </is>
      </c>
      <c r="D460" t="inlineStr">
        <is>
          <t>10000206</t>
        </is>
      </c>
      <c r="E460" t="inlineStr"/>
      <c r="F460" s="11" t="n">
        <v>26.23</v>
      </c>
      <c r="G460" t="inlineStr"/>
      <c r="I460" t="inlineStr">
        <is>
          <t>M3</t>
        </is>
      </c>
      <c r="J460" t="inlineStr"/>
      <c r="K460" t="inlineStr">
        <is>
          <t>20190426</t>
        </is>
      </c>
      <c r="L460" t="inlineStr">
        <is>
          <t>20250127</t>
        </is>
      </c>
    </row>
    <row r="461">
      <c r="A461" t="inlineStr">
        <is>
          <t>900002574</t>
        </is>
      </c>
      <c r="B461" t="inlineStr">
        <is>
          <t>D836</t>
        </is>
      </c>
      <c r="C461" t="inlineStr">
        <is>
          <t>66526343</t>
        </is>
      </c>
      <c r="D461" t="inlineStr">
        <is>
          <t>10000206</t>
        </is>
      </c>
      <c r="E461" t="inlineStr"/>
      <c r="F461" s="11" t="n">
        <v>26.23</v>
      </c>
      <c r="G461" t="inlineStr"/>
      <c r="I461" t="inlineStr">
        <is>
          <t>M3</t>
        </is>
      </c>
      <c r="J461" t="inlineStr"/>
      <c r="K461" t="inlineStr">
        <is>
          <t>20190426</t>
        </is>
      </c>
      <c r="L461" t="inlineStr">
        <is>
          <t>20250127</t>
        </is>
      </c>
    </row>
    <row r="462">
      <c r="A462" t="inlineStr">
        <is>
          <t>900002574</t>
        </is>
      </c>
      <c r="B462" t="inlineStr">
        <is>
          <t>D836</t>
        </is>
      </c>
      <c r="C462" t="inlineStr">
        <is>
          <t>66538213</t>
        </is>
      </c>
      <c r="D462" t="inlineStr">
        <is>
          <t>10000206</t>
        </is>
      </c>
      <c r="E462" t="inlineStr"/>
      <c r="F462" s="11" t="n">
        <v>26.23</v>
      </c>
      <c r="G462" t="inlineStr"/>
      <c r="I462" t="inlineStr">
        <is>
          <t>M3</t>
        </is>
      </c>
      <c r="J462" t="inlineStr"/>
      <c r="K462" t="inlineStr">
        <is>
          <t>20190426</t>
        </is>
      </c>
      <c r="L462" t="inlineStr">
        <is>
          <t>20250127</t>
        </is>
      </c>
    </row>
    <row r="463">
      <c r="A463" t="inlineStr">
        <is>
          <t>900002574</t>
        </is>
      </c>
      <c r="B463" t="inlineStr">
        <is>
          <t>D836</t>
        </is>
      </c>
      <c r="C463" t="inlineStr">
        <is>
          <t>66567384</t>
        </is>
      </c>
      <c r="D463" t="inlineStr">
        <is>
          <t>10000160</t>
        </is>
      </c>
      <c r="E463" t="inlineStr"/>
      <c r="F463" s="11" t="n">
        <v>185</v>
      </c>
      <c r="G463" t="inlineStr"/>
      <c r="I463" t="inlineStr">
        <is>
          <t>M3</t>
        </is>
      </c>
      <c r="J463" t="inlineStr"/>
      <c r="K463" t="inlineStr">
        <is>
          <t>20190426</t>
        </is>
      </c>
      <c r="L463" t="inlineStr">
        <is>
          <t>20250127</t>
        </is>
      </c>
    </row>
    <row r="464">
      <c r="A464" t="inlineStr">
        <is>
          <t>900002574</t>
        </is>
      </c>
      <c r="B464" t="inlineStr">
        <is>
          <t>D836</t>
        </is>
      </c>
      <c r="C464" t="inlineStr">
        <is>
          <t>66567384</t>
        </is>
      </c>
      <c r="D464" t="inlineStr">
        <is>
          <t>10000357</t>
        </is>
      </c>
      <c r="E464" t="inlineStr"/>
      <c r="F464" s="11" t="n">
        <v>175</v>
      </c>
      <c r="G464" t="inlineStr"/>
      <c r="I464" t="inlineStr">
        <is>
          <t>M3</t>
        </is>
      </c>
      <c r="J464" t="inlineStr"/>
      <c r="K464" t="inlineStr">
        <is>
          <t>20190426</t>
        </is>
      </c>
      <c r="L464" t="inlineStr">
        <is>
          <t>20250127</t>
        </is>
      </c>
    </row>
    <row r="465">
      <c r="A465" t="inlineStr">
        <is>
          <t>900002574</t>
        </is>
      </c>
      <c r="B465" t="inlineStr">
        <is>
          <t>D836</t>
        </is>
      </c>
      <c r="C465" t="inlineStr">
        <is>
          <t>66567384</t>
        </is>
      </c>
      <c r="D465" t="inlineStr">
        <is>
          <t>10178773</t>
        </is>
      </c>
      <c r="E465" t="inlineStr"/>
      <c r="F465" s="11" t="n">
        <v>297.5</v>
      </c>
      <c r="G465" t="inlineStr"/>
      <c r="I465" t="inlineStr">
        <is>
          <t>M3</t>
        </is>
      </c>
      <c r="J465" t="inlineStr"/>
      <c r="K465" t="inlineStr">
        <is>
          <t>20190426</t>
        </is>
      </c>
      <c r="L465" t="inlineStr">
        <is>
          <t>20250127</t>
        </is>
      </c>
    </row>
    <row r="466">
      <c r="A466" t="inlineStr">
        <is>
          <t>900002574</t>
        </is>
      </c>
      <c r="B466" t="inlineStr">
        <is>
          <t>D836</t>
        </is>
      </c>
      <c r="C466" t="inlineStr">
        <is>
          <t>66600422</t>
        </is>
      </c>
      <c r="D466" t="inlineStr">
        <is>
          <t>10000133</t>
        </is>
      </c>
      <c r="E466" t="inlineStr"/>
      <c r="F466" s="11" t="n">
        <v>170</v>
      </c>
      <c r="G466" t="inlineStr"/>
      <c r="I466" t="inlineStr">
        <is>
          <t>M3</t>
        </is>
      </c>
      <c r="J466" t="inlineStr"/>
      <c r="K466" t="inlineStr">
        <is>
          <t>20190426</t>
        </is>
      </c>
      <c r="L466" t="inlineStr">
        <is>
          <t>20250127</t>
        </is>
      </c>
    </row>
    <row r="467">
      <c r="A467" t="inlineStr">
        <is>
          <t>900002574</t>
        </is>
      </c>
      <c r="B467" t="inlineStr">
        <is>
          <t>D836</t>
        </is>
      </c>
      <c r="C467" t="inlineStr">
        <is>
          <t>66600422</t>
        </is>
      </c>
      <c r="D467" t="inlineStr">
        <is>
          <t>10000160</t>
        </is>
      </c>
      <c r="E467" t="inlineStr"/>
      <c r="F467" s="11" t="n">
        <v>167</v>
      </c>
      <c r="G467" t="inlineStr"/>
      <c r="I467" t="inlineStr">
        <is>
          <t>M3</t>
        </is>
      </c>
      <c r="J467" t="inlineStr"/>
      <c r="K467" t="inlineStr">
        <is>
          <t>20190426</t>
        </is>
      </c>
      <c r="L467" t="inlineStr">
        <is>
          <t>20250127</t>
        </is>
      </c>
    </row>
    <row r="468">
      <c r="A468" t="inlineStr">
        <is>
          <t>900002574</t>
        </is>
      </c>
      <c r="B468" t="inlineStr">
        <is>
          <t>D836</t>
        </is>
      </c>
      <c r="C468" t="inlineStr">
        <is>
          <t>66600422</t>
        </is>
      </c>
      <c r="D468" t="inlineStr">
        <is>
          <t>10000357</t>
        </is>
      </c>
      <c r="E468" t="inlineStr"/>
      <c r="F468" s="11" t="n">
        <v>158.5</v>
      </c>
      <c r="G468" t="inlineStr"/>
      <c r="I468" t="inlineStr">
        <is>
          <t>M3</t>
        </is>
      </c>
      <c r="J468" t="inlineStr"/>
      <c r="K468" t="inlineStr">
        <is>
          <t>20190426</t>
        </is>
      </c>
      <c r="L468" t="inlineStr">
        <is>
          <t>20250127</t>
        </is>
      </c>
    </row>
    <row r="469">
      <c r="A469" t="inlineStr">
        <is>
          <t>900002574</t>
        </is>
      </c>
      <c r="B469" t="inlineStr">
        <is>
          <t>D836</t>
        </is>
      </c>
      <c r="C469" t="inlineStr">
        <is>
          <t>66608012</t>
        </is>
      </c>
      <c r="D469" t="inlineStr">
        <is>
          <t>10000206</t>
        </is>
      </c>
      <c r="E469" t="inlineStr"/>
      <c r="F469" s="11" t="n">
        <v>162.5</v>
      </c>
      <c r="G469" t="inlineStr"/>
      <c r="I469" t="inlineStr">
        <is>
          <t>M3</t>
        </is>
      </c>
      <c r="J469" t="inlineStr"/>
      <c r="K469" t="inlineStr">
        <is>
          <t>20190426</t>
        </is>
      </c>
      <c r="L469" t="inlineStr">
        <is>
          <t>20250127</t>
        </is>
      </c>
    </row>
    <row r="470">
      <c r="A470" t="inlineStr">
        <is>
          <t>900002574</t>
        </is>
      </c>
      <c r="B470" t="inlineStr">
        <is>
          <t>D836</t>
        </is>
      </c>
      <c r="C470" t="inlineStr">
        <is>
          <t>66609556</t>
        </is>
      </c>
      <c r="D470" t="inlineStr">
        <is>
          <t>10000133</t>
        </is>
      </c>
      <c r="E470" t="inlineStr"/>
      <c r="F470" s="11" t="n">
        <v>199.66</v>
      </c>
      <c r="G470" t="inlineStr"/>
      <c r="I470" t="inlineStr">
        <is>
          <t>M3</t>
        </is>
      </c>
      <c r="J470" t="inlineStr"/>
      <c r="K470" t="inlineStr">
        <is>
          <t>20190426</t>
        </is>
      </c>
      <c r="L470" t="inlineStr">
        <is>
          <t>20250127</t>
        </is>
      </c>
    </row>
    <row r="471">
      <c r="A471" t="inlineStr">
        <is>
          <t>900002574</t>
        </is>
      </c>
      <c r="B471" t="inlineStr">
        <is>
          <t>D836</t>
        </is>
      </c>
      <c r="C471" t="inlineStr">
        <is>
          <t>66609556</t>
        </is>
      </c>
      <c r="D471" t="inlineStr">
        <is>
          <t>10000160</t>
        </is>
      </c>
      <c r="E471" t="inlineStr"/>
      <c r="F471" s="11" t="n">
        <v>115.87</v>
      </c>
      <c r="G471" t="inlineStr"/>
      <c r="I471" t="inlineStr">
        <is>
          <t>M3</t>
        </is>
      </c>
      <c r="J471" t="inlineStr"/>
      <c r="K471" t="inlineStr">
        <is>
          <t>20190426</t>
        </is>
      </c>
      <c r="L471" t="inlineStr">
        <is>
          <t>20250127</t>
        </is>
      </c>
    </row>
    <row r="472">
      <c r="A472" t="inlineStr">
        <is>
          <t>900002574</t>
        </is>
      </c>
      <c r="B472" t="inlineStr">
        <is>
          <t>D836</t>
        </is>
      </c>
      <c r="C472" t="inlineStr">
        <is>
          <t>66609556</t>
        </is>
      </c>
      <c r="D472" t="inlineStr">
        <is>
          <t>10000357</t>
        </is>
      </c>
      <c r="E472" t="inlineStr"/>
      <c r="F472" s="11" t="n">
        <v>125.87</v>
      </c>
      <c r="G472" t="inlineStr"/>
      <c r="I472" t="inlineStr">
        <is>
          <t>M3</t>
        </is>
      </c>
      <c r="J472" t="inlineStr"/>
      <c r="K472" t="inlineStr">
        <is>
          <t>20190426</t>
        </is>
      </c>
      <c r="L472" t="inlineStr">
        <is>
          <t>20250127</t>
        </is>
      </c>
    </row>
    <row r="473">
      <c r="A473" t="inlineStr">
        <is>
          <t>900002574</t>
        </is>
      </c>
      <c r="B473" t="inlineStr">
        <is>
          <t>D836</t>
        </is>
      </c>
      <c r="C473" t="inlineStr">
        <is>
          <t>66609556</t>
        </is>
      </c>
      <c r="D473" t="inlineStr">
        <is>
          <t>10058345</t>
        </is>
      </c>
      <c r="E473" t="inlineStr"/>
      <c r="F473" s="11" t="n">
        <v>159.66</v>
      </c>
      <c r="G473" t="inlineStr"/>
      <c r="I473" t="inlineStr">
        <is>
          <t>M3</t>
        </is>
      </c>
      <c r="J473" t="inlineStr"/>
      <c r="K473" t="inlineStr">
        <is>
          <t>20190426</t>
        </is>
      </c>
      <c r="L473" t="inlineStr">
        <is>
          <t>20250127</t>
        </is>
      </c>
    </row>
    <row r="474">
      <c r="A474" t="inlineStr">
        <is>
          <t>900002574</t>
        </is>
      </c>
      <c r="B474" t="inlineStr">
        <is>
          <t>D836</t>
        </is>
      </c>
      <c r="C474" t="inlineStr">
        <is>
          <t>66704556</t>
        </is>
      </c>
      <c r="D474" t="inlineStr">
        <is>
          <t>10000206</t>
        </is>
      </c>
      <c r="E474" t="inlineStr"/>
      <c r="F474" s="11" t="n">
        <v>26.23</v>
      </c>
      <c r="G474" t="inlineStr"/>
      <c r="I474" t="inlineStr">
        <is>
          <t>M3</t>
        </is>
      </c>
      <c r="J474" t="inlineStr"/>
      <c r="K474" t="inlineStr">
        <is>
          <t>20190426</t>
        </is>
      </c>
      <c r="L474" t="inlineStr">
        <is>
          <t>20250127</t>
        </is>
      </c>
    </row>
    <row r="475">
      <c r="A475" t="inlineStr">
        <is>
          <t>900002574</t>
        </is>
      </c>
      <c r="B475" t="inlineStr">
        <is>
          <t>D836</t>
        </is>
      </c>
      <c r="C475" t="inlineStr">
        <is>
          <t>66779276</t>
        </is>
      </c>
      <c r="D475" t="inlineStr">
        <is>
          <t>10000655</t>
        </is>
      </c>
      <c r="E475" t="inlineStr"/>
      <c r="F475" s="11" t="n">
        <v>1400</v>
      </c>
      <c r="G475" t="inlineStr"/>
      <c r="I475" t="inlineStr">
        <is>
          <t>TN</t>
        </is>
      </c>
      <c r="J475" t="inlineStr"/>
      <c r="K475" t="inlineStr">
        <is>
          <t>20190426</t>
        </is>
      </c>
      <c r="L475" t="inlineStr">
        <is>
          <t>20250127</t>
        </is>
      </c>
    </row>
    <row r="476">
      <c r="A476" t="inlineStr">
        <is>
          <t>900002574</t>
        </is>
      </c>
      <c r="B476" t="inlineStr">
        <is>
          <t>D836</t>
        </is>
      </c>
      <c r="C476" t="inlineStr">
        <is>
          <t>66794474</t>
        </is>
      </c>
      <c r="D476" t="inlineStr">
        <is>
          <t>10000160</t>
        </is>
      </c>
      <c r="E476" t="inlineStr"/>
      <c r="F476" s="11" t="n">
        <v>205</v>
      </c>
      <c r="G476" t="inlineStr"/>
      <c r="I476" t="inlineStr">
        <is>
          <t>M3</t>
        </is>
      </c>
      <c r="J476" t="inlineStr"/>
      <c r="K476" t="inlineStr">
        <is>
          <t>20190426</t>
        </is>
      </c>
      <c r="L476" t="inlineStr">
        <is>
          <t>20250127</t>
        </is>
      </c>
    </row>
    <row r="477">
      <c r="A477" t="inlineStr">
        <is>
          <t>900002574</t>
        </is>
      </c>
      <c r="B477" t="inlineStr">
        <is>
          <t>D836</t>
        </is>
      </c>
      <c r="C477" t="inlineStr">
        <is>
          <t>66794474</t>
        </is>
      </c>
      <c r="D477" t="inlineStr">
        <is>
          <t>10000357</t>
        </is>
      </c>
      <c r="E477" t="inlineStr"/>
      <c r="F477" s="11" t="n">
        <v>220</v>
      </c>
      <c r="G477" t="inlineStr"/>
      <c r="I477" t="inlineStr">
        <is>
          <t>M3</t>
        </is>
      </c>
      <c r="J477" t="inlineStr"/>
      <c r="K477" t="inlineStr">
        <is>
          <t>20190426</t>
        </is>
      </c>
      <c r="L477" t="inlineStr">
        <is>
          <t>20250127</t>
        </is>
      </c>
    </row>
    <row r="478">
      <c r="A478" t="inlineStr">
        <is>
          <t>900002574</t>
        </is>
      </c>
      <c r="B478" t="inlineStr">
        <is>
          <t>D836</t>
        </is>
      </c>
      <c r="C478" t="inlineStr">
        <is>
          <t>66805657</t>
        </is>
      </c>
      <c r="D478" t="inlineStr">
        <is>
          <t>10000160</t>
        </is>
      </c>
      <c r="E478" t="inlineStr"/>
      <c r="F478" s="11" t="n">
        <v>85</v>
      </c>
      <c r="G478" t="inlineStr"/>
      <c r="I478" t="inlineStr">
        <is>
          <t>M3</t>
        </is>
      </c>
      <c r="J478" t="inlineStr"/>
      <c r="K478" t="inlineStr">
        <is>
          <t>20190426</t>
        </is>
      </c>
      <c r="L478" t="inlineStr">
        <is>
          <t>20250127</t>
        </is>
      </c>
    </row>
    <row r="479">
      <c r="A479" t="inlineStr">
        <is>
          <t>900002574</t>
        </is>
      </c>
      <c r="B479" t="inlineStr">
        <is>
          <t>D836</t>
        </is>
      </c>
      <c r="C479" t="inlineStr">
        <is>
          <t>66805657</t>
        </is>
      </c>
      <c r="D479" t="inlineStr">
        <is>
          <t>10000357</t>
        </is>
      </c>
      <c r="E479" t="inlineStr"/>
      <c r="F479" s="11" t="n">
        <v>90</v>
      </c>
      <c r="G479" t="inlineStr"/>
      <c r="I479" t="inlineStr">
        <is>
          <t>M3</t>
        </is>
      </c>
      <c r="J479" t="inlineStr"/>
      <c r="K479" t="inlineStr">
        <is>
          <t>20190426</t>
        </is>
      </c>
      <c r="L479" t="inlineStr">
        <is>
          <t>20250127</t>
        </is>
      </c>
    </row>
    <row r="480">
      <c r="A480" t="inlineStr">
        <is>
          <t>900002574</t>
        </is>
      </c>
      <c r="B480" t="inlineStr">
        <is>
          <t>D836</t>
        </is>
      </c>
      <c r="C480" t="inlineStr">
        <is>
          <t>66805670</t>
        </is>
      </c>
      <c r="D480" t="inlineStr">
        <is>
          <t>10000160</t>
        </is>
      </c>
      <c r="E480" t="inlineStr"/>
      <c r="F480" s="11" t="n">
        <v>85</v>
      </c>
      <c r="G480" t="inlineStr"/>
      <c r="I480" t="inlineStr">
        <is>
          <t>M3</t>
        </is>
      </c>
      <c r="J480" t="inlineStr"/>
      <c r="K480" t="inlineStr">
        <is>
          <t>20190426</t>
        </is>
      </c>
      <c r="L480" t="inlineStr">
        <is>
          <t>20250127</t>
        </is>
      </c>
    </row>
    <row r="481">
      <c r="A481" t="inlineStr">
        <is>
          <t>900002574</t>
        </is>
      </c>
      <c r="B481" t="inlineStr">
        <is>
          <t>D836</t>
        </is>
      </c>
      <c r="C481" t="inlineStr">
        <is>
          <t>66805670</t>
        </is>
      </c>
      <c r="D481" t="inlineStr">
        <is>
          <t>10000357</t>
        </is>
      </c>
      <c r="E481" t="inlineStr"/>
      <c r="F481" s="11" t="n">
        <v>90</v>
      </c>
      <c r="G481" t="inlineStr"/>
      <c r="I481" t="inlineStr">
        <is>
          <t>M3</t>
        </is>
      </c>
      <c r="J481" t="inlineStr"/>
      <c r="K481" t="inlineStr">
        <is>
          <t>20190426</t>
        </is>
      </c>
      <c r="L481" t="inlineStr">
        <is>
          <t>20250127</t>
        </is>
      </c>
    </row>
    <row r="482">
      <c r="A482" t="inlineStr">
        <is>
          <t>900002574</t>
        </is>
      </c>
      <c r="B482" t="inlineStr">
        <is>
          <t>D836</t>
        </is>
      </c>
      <c r="C482" t="inlineStr">
        <is>
          <t>66805889</t>
        </is>
      </c>
      <c r="D482" t="inlineStr">
        <is>
          <t>10000160</t>
        </is>
      </c>
      <c r="E482" t="inlineStr"/>
      <c r="F482" s="11" t="n">
        <v>227.17</v>
      </c>
      <c r="G482" t="inlineStr"/>
      <c r="I482" t="inlineStr">
        <is>
          <t>M3</t>
        </is>
      </c>
      <c r="J482" t="inlineStr"/>
      <c r="K482" t="inlineStr">
        <is>
          <t>20190426</t>
        </is>
      </c>
      <c r="L482" t="inlineStr">
        <is>
          <t>20250127</t>
        </is>
      </c>
    </row>
    <row r="483">
      <c r="A483" t="inlineStr">
        <is>
          <t>900002574</t>
        </is>
      </c>
      <c r="B483" t="inlineStr">
        <is>
          <t>D836</t>
        </is>
      </c>
      <c r="C483" t="inlineStr">
        <is>
          <t>66805889</t>
        </is>
      </c>
      <c r="D483" t="inlineStr">
        <is>
          <t>10000357</t>
        </is>
      </c>
      <c r="E483" t="inlineStr"/>
      <c r="F483" s="11" t="n">
        <v>265.93</v>
      </c>
      <c r="G483" t="inlineStr"/>
      <c r="I483" t="inlineStr">
        <is>
          <t>M3</t>
        </is>
      </c>
      <c r="J483" t="inlineStr"/>
      <c r="K483" t="inlineStr">
        <is>
          <t>20190426</t>
        </is>
      </c>
      <c r="L483" t="inlineStr">
        <is>
          <t>20250127</t>
        </is>
      </c>
    </row>
    <row r="484">
      <c r="A484" t="inlineStr">
        <is>
          <t>900002574</t>
        </is>
      </c>
      <c r="B484" t="inlineStr">
        <is>
          <t>D836</t>
        </is>
      </c>
      <c r="C484" t="inlineStr">
        <is>
          <t>66808006</t>
        </is>
      </c>
      <c r="D484" t="inlineStr">
        <is>
          <t>10000133</t>
        </is>
      </c>
      <c r="E484" t="inlineStr"/>
      <c r="F484" s="11" t="n">
        <v>262.5</v>
      </c>
      <c r="G484" t="inlineStr"/>
      <c r="I484" t="inlineStr">
        <is>
          <t>M3</t>
        </is>
      </c>
      <c r="J484" t="inlineStr"/>
      <c r="K484" t="inlineStr">
        <is>
          <t>20190426</t>
        </is>
      </c>
      <c r="L484" t="inlineStr">
        <is>
          <t>20250127</t>
        </is>
      </c>
    </row>
    <row r="485">
      <c r="A485" t="inlineStr">
        <is>
          <t>900002574</t>
        </is>
      </c>
      <c r="B485" t="inlineStr">
        <is>
          <t>D836</t>
        </is>
      </c>
      <c r="C485" t="inlineStr">
        <is>
          <t>66808006</t>
        </is>
      </c>
      <c r="D485" t="inlineStr">
        <is>
          <t>10000160</t>
        </is>
      </c>
      <c r="E485" t="inlineStr"/>
      <c r="F485" s="11" t="n">
        <v>100</v>
      </c>
      <c r="G485" t="inlineStr"/>
      <c r="I485" t="inlineStr">
        <is>
          <t>M3</t>
        </is>
      </c>
      <c r="J485" t="inlineStr"/>
      <c r="K485" t="inlineStr">
        <is>
          <t>20190426</t>
        </is>
      </c>
      <c r="L485" t="inlineStr">
        <is>
          <t>20250127</t>
        </is>
      </c>
    </row>
    <row r="486">
      <c r="A486" t="inlineStr">
        <is>
          <t>900002574</t>
        </is>
      </c>
      <c r="B486" t="inlineStr">
        <is>
          <t>D836</t>
        </is>
      </c>
      <c r="C486" t="inlineStr">
        <is>
          <t>66808006</t>
        </is>
      </c>
      <c r="D486" t="inlineStr">
        <is>
          <t>10000357</t>
        </is>
      </c>
      <c r="E486" t="inlineStr"/>
      <c r="F486" s="11" t="n">
        <v>102.5</v>
      </c>
      <c r="G486" t="inlineStr"/>
      <c r="I486" t="inlineStr">
        <is>
          <t>M3</t>
        </is>
      </c>
      <c r="J486" t="inlineStr"/>
      <c r="K486" t="inlineStr">
        <is>
          <t>20190426</t>
        </is>
      </c>
      <c r="L486" t="inlineStr">
        <is>
          <t>20250127</t>
        </is>
      </c>
    </row>
    <row r="487">
      <c r="A487" t="inlineStr">
        <is>
          <t>900002574</t>
        </is>
      </c>
      <c r="B487" t="inlineStr">
        <is>
          <t>D836</t>
        </is>
      </c>
      <c r="C487" t="inlineStr">
        <is>
          <t>66808006</t>
        </is>
      </c>
      <c r="D487" t="inlineStr">
        <is>
          <t>10058345</t>
        </is>
      </c>
      <c r="E487" t="inlineStr"/>
      <c r="F487" s="11" t="n">
        <v>227.5</v>
      </c>
      <c r="G487" t="inlineStr"/>
      <c r="I487" t="inlineStr">
        <is>
          <t>M3</t>
        </is>
      </c>
      <c r="J487" t="inlineStr"/>
      <c r="K487" t="inlineStr">
        <is>
          <t>20190426</t>
        </is>
      </c>
      <c r="L487" t="inlineStr">
        <is>
          <t>20250127</t>
        </is>
      </c>
    </row>
    <row r="488">
      <c r="A488" t="inlineStr">
        <is>
          <t>900002574</t>
        </is>
      </c>
      <c r="B488" t="inlineStr">
        <is>
          <t>D836</t>
        </is>
      </c>
      <c r="C488" t="inlineStr">
        <is>
          <t>66808556</t>
        </is>
      </c>
      <c r="D488" t="inlineStr">
        <is>
          <t>10000133</t>
        </is>
      </c>
      <c r="E488" t="inlineStr"/>
      <c r="F488" s="11" t="n">
        <v>175.97</v>
      </c>
      <c r="G488" t="inlineStr"/>
      <c r="I488" t="inlineStr">
        <is>
          <t>M3</t>
        </is>
      </c>
      <c r="J488" t="inlineStr"/>
      <c r="K488" t="inlineStr">
        <is>
          <t>20190426</t>
        </is>
      </c>
      <c r="L488" t="inlineStr">
        <is>
          <t>20250127</t>
        </is>
      </c>
    </row>
    <row r="489">
      <c r="A489" t="inlineStr">
        <is>
          <t>900002574</t>
        </is>
      </c>
      <c r="B489" t="inlineStr">
        <is>
          <t>D836</t>
        </is>
      </c>
      <c r="C489" t="inlineStr">
        <is>
          <t>66808556</t>
        </is>
      </c>
      <c r="D489" t="inlineStr">
        <is>
          <t>10000160</t>
        </is>
      </c>
      <c r="E489" t="inlineStr"/>
      <c r="F489" s="11" t="n">
        <v>116.97</v>
      </c>
      <c r="G489" t="inlineStr"/>
      <c r="I489" t="inlineStr">
        <is>
          <t>M3</t>
        </is>
      </c>
      <c r="J489" t="inlineStr"/>
      <c r="K489" t="inlineStr">
        <is>
          <t>20190426</t>
        </is>
      </c>
      <c r="L489" t="inlineStr">
        <is>
          <t>20250127</t>
        </is>
      </c>
    </row>
    <row r="490">
      <c r="A490" t="inlineStr">
        <is>
          <t>900002574</t>
        </is>
      </c>
      <c r="B490" t="inlineStr">
        <is>
          <t>D836</t>
        </is>
      </c>
      <c r="C490" t="inlineStr">
        <is>
          <t>66808556</t>
        </is>
      </c>
      <c r="D490" t="inlineStr">
        <is>
          <t>10000357</t>
        </is>
      </c>
      <c r="E490" t="inlineStr"/>
      <c r="F490" s="11" t="n">
        <v>131.97</v>
      </c>
      <c r="G490" t="inlineStr"/>
      <c r="I490" t="inlineStr">
        <is>
          <t>M3</t>
        </is>
      </c>
      <c r="J490" t="inlineStr"/>
      <c r="K490" t="inlineStr">
        <is>
          <t>20190426</t>
        </is>
      </c>
      <c r="L490" t="inlineStr">
        <is>
          <t>20250127</t>
        </is>
      </c>
    </row>
    <row r="491">
      <c r="A491" t="inlineStr">
        <is>
          <t>900002574</t>
        </is>
      </c>
      <c r="B491" t="inlineStr">
        <is>
          <t>D836</t>
        </is>
      </c>
      <c r="C491" t="inlineStr">
        <is>
          <t>66808556</t>
        </is>
      </c>
      <c r="D491" t="inlineStr">
        <is>
          <t>10000623</t>
        </is>
      </c>
      <c r="E491" t="inlineStr"/>
      <c r="F491" s="11" t="n">
        <v>205.97</v>
      </c>
      <c r="G491" t="inlineStr"/>
      <c r="I491" t="inlineStr">
        <is>
          <t>M3</t>
        </is>
      </c>
      <c r="J491" t="inlineStr"/>
      <c r="K491" t="inlineStr">
        <is>
          <t>20190426</t>
        </is>
      </c>
      <c r="L491" t="inlineStr">
        <is>
          <t>20250127</t>
        </is>
      </c>
    </row>
    <row r="492">
      <c r="A492" t="inlineStr">
        <is>
          <t>900002574</t>
        </is>
      </c>
      <c r="B492" t="inlineStr">
        <is>
          <t>D836</t>
        </is>
      </c>
      <c r="C492" t="inlineStr">
        <is>
          <t>66808556</t>
        </is>
      </c>
      <c r="D492" t="inlineStr">
        <is>
          <t>10000649</t>
        </is>
      </c>
      <c r="E492" t="inlineStr"/>
      <c r="F492" s="11" t="n">
        <v>156.97</v>
      </c>
      <c r="G492" t="inlineStr"/>
      <c r="I492" t="inlineStr">
        <is>
          <t>M3</t>
        </is>
      </c>
      <c r="J492" t="inlineStr"/>
      <c r="K492" t="inlineStr">
        <is>
          <t>20190426</t>
        </is>
      </c>
      <c r="L492" t="inlineStr">
        <is>
          <t>20250127</t>
        </is>
      </c>
    </row>
    <row r="493">
      <c r="A493" t="inlineStr">
        <is>
          <t>900002574</t>
        </is>
      </c>
      <c r="B493" t="inlineStr">
        <is>
          <t>D836</t>
        </is>
      </c>
      <c r="C493" t="inlineStr">
        <is>
          <t>66808556</t>
        </is>
      </c>
      <c r="D493" t="inlineStr">
        <is>
          <t>10058345</t>
        </is>
      </c>
      <c r="E493" t="inlineStr"/>
      <c r="F493" s="11" t="n">
        <v>140.97</v>
      </c>
      <c r="G493" t="inlineStr"/>
      <c r="I493" t="inlineStr">
        <is>
          <t>M3</t>
        </is>
      </c>
      <c r="J493" t="inlineStr"/>
      <c r="K493" t="inlineStr">
        <is>
          <t>20190426</t>
        </is>
      </c>
      <c r="L493" t="inlineStr">
        <is>
          <t>20250127</t>
        </is>
      </c>
    </row>
    <row r="494">
      <c r="A494" t="inlineStr">
        <is>
          <t>900002574</t>
        </is>
      </c>
      <c r="B494" t="inlineStr">
        <is>
          <t>D836</t>
        </is>
      </c>
      <c r="C494" t="inlineStr">
        <is>
          <t>66808566</t>
        </is>
      </c>
      <c r="D494" t="inlineStr">
        <is>
          <t>10000160</t>
        </is>
      </c>
      <c r="E494" t="inlineStr"/>
      <c r="F494" s="11" t="n">
        <v>220</v>
      </c>
      <c r="G494" t="inlineStr"/>
      <c r="I494" t="inlineStr">
        <is>
          <t>M3</t>
        </is>
      </c>
      <c r="J494" t="inlineStr"/>
      <c r="K494" t="inlineStr">
        <is>
          <t>20190426</t>
        </is>
      </c>
      <c r="L494" t="inlineStr">
        <is>
          <t>20250127</t>
        </is>
      </c>
    </row>
    <row r="495">
      <c r="A495" t="inlineStr">
        <is>
          <t>900002574</t>
        </is>
      </c>
      <c r="B495" t="inlineStr">
        <is>
          <t>D836</t>
        </is>
      </c>
      <c r="C495" t="inlineStr">
        <is>
          <t>66808566</t>
        </is>
      </c>
      <c r="D495" t="inlineStr">
        <is>
          <t>10000357</t>
        </is>
      </c>
      <c r="E495" t="inlineStr"/>
      <c r="F495" s="11" t="n">
        <v>227.5</v>
      </c>
      <c r="G495" t="inlineStr"/>
      <c r="I495" t="inlineStr">
        <is>
          <t>M3</t>
        </is>
      </c>
      <c r="J495" t="inlineStr"/>
      <c r="K495" t="inlineStr">
        <is>
          <t>20190426</t>
        </is>
      </c>
      <c r="L495" t="inlineStr">
        <is>
          <t>20250127</t>
        </is>
      </c>
    </row>
    <row r="496">
      <c r="A496" t="inlineStr">
        <is>
          <t>900002574</t>
        </is>
      </c>
      <c r="B496" t="inlineStr">
        <is>
          <t>D836</t>
        </is>
      </c>
      <c r="C496" t="inlineStr">
        <is>
          <t>66811189</t>
        </is>
      </c>
      <c r="D496" t="inlineStr">
        <is>
          <t>10000133</t>
        </is>
      </c>
      <c r="E496" t="inlineStr"/>
      <c r="F496" s="11" t="n">
        <v>290</v>
      </c>
      <c r="G496" t="inlineStr"/>
      <c r="I496" t="inlineStr">
        <is>
          <t>M3</t>
        </is>
      </c>
      <c r="J496" t="inlineStr"/>
      <c r="K496" t="inlineStr">
        <is>
          <t>20190426</t>
        </is>
      </c>
      <c r="L496" t="inlineStr">
        <is>
          <t>20250127</t>
        </is>
      </c>
    </row>
    <row r="497">
      <c r="A497" t="inlineStr">
        <is>
          <t>900002574</t>
        </is>
      </c>
      <c r="B497" t="inlineStr">
        <is>
          <t>D836</t>
        </is>
      </c>
      <c r="C497" t="inlineStr">
        <is>
          <t>66811189</t>
        </is>
      </c>
      <c r="D497" t="inlineStr">
        <is>
          <t>10000160</t>
        </is>
      </c>
      <c r="E497" t="inlineStr"/>
      <c r="F497" s="11" t="n">
        <v>219</v>
      </c>
      <c r="G497" t="inlineStr"/>
      <c r="I497" t="inlineStr">
        <is>
          <t>M3</t>
        </is>
      </c>
      <c r="J497" t="inlineStr"/>
      <c r="K497" t="inlineStr">
        <is>
          <t>20190426</t>
        </is>
      </c>
      <c r="L497" t="inlineStr">
        <is>
          <t>20250127</t>
        </is>
      </c>
    </row>
    <row r="498">
      <c r="A498" t="inlineStr">
        <is>
          <t>900002574</t>
        </is>
      </c>
      <c r="B498" t="inlineStr">
        <is>
          <t>D836</t>
        </is>
      </c>
      <c r="C498" t="inlineStr">
        <is>
          <t>66811189</t>
        </is>
      </c>
      <c r="D498" t="inlineStr">
        <is>
          <t>10000357</t>
        </is>
      </c>
      <c r="E498" t="inlineStr"/>
      <c r="F498" s="11" t="n">
        <v>226</v>
      </c>
      <c r="G498" t="inlineStr"/>
      <c r="I498" t="inlineStr">
        <is>
          <t>M3</t>
        </is>
      </c>
      <c r="J498" t="inlineStr"/>
      <c r="K498" t="inlineStr">
        <is>
          <t>20190426</t>
        </is>
      </c>
      <c r="L498" t="inlineStr">
        <is>
          <t>20250127</t>
        </is>
      </c>
    </row>
    <row r="499">
      <c r="A499" t="inlineStr">
        <is>
          <t>900002574</t>
        </is>
      </c>
      <c r="B499" t="inlineStr">
        <is>
          <t>D836</t>
        </is>
      </c>
      <c r="C499" t="inlineStr">
        <is>
          <t>66812327</t>
        </is>
      </c>
      <c r="D499" t="inlineStr">
        <is>
          <t>10000160</t>
        </is>
      </c>
      <c r="E499" t="inlineStr"/>
      <c r="F499" s="11" t="n">
        <v>262.5</v>
      </c>
      <c r="G499" t="inlineStr"/>
      <c r="I499" t="inlineStr">
        <is>
          <t>M3</t>
        </is>
      </c>
      <c r="J499" t="inlineStr"/>
      <c r="K499" t="inlineStr">
        <is>
          <t>20190426</t>
        </is>
      </c>
      <c r="L499" t="inlineStr">
        <is>
          <t>20250127</t>
        </is>
      </c>
    </row>
    <row r="500">
      <c r="A500" t="inlineStr">
        <is>
          <t>900002574</t>
        </is>
      </c>
      <c r="B500" t="inlineStr">
        <is>
          <t>D836</t>
        </is>
      </c>
      <c r="C500" t="inlineStr">
        <is>
          <t>66812327</t>
        </is>
      </c>
      <c r="D500" t="inlineStr">
        <is>
          <t>10000357</t>
        </is>
      </c>
      <c r="E500" t="inlineStr"/>
      <c r="F500" s="11" t="n">
        <v>267.5</v>
      </c>
      <c r="G500" t="inlineStr"/>
      <c r="I500" t="inlineStr">
        <is>
          <t>M3</t>
        </is>
      </c>
      <c r="J500" t="inlineStr"/>
      <c r="K500" t="inlineStr">
        <is>
          <t>20190426</t>
        </is>
      </c>
      <c r="L500" t="inlineStr">
        <is>
          <t>20250127</t>
        </is>
      </c>
    </row>
    <row r="501">
      <c r="A501" t="inlineStr">
        <is>
          <t>900002574</t>
        </is>
      </c>
      <c r="B501" t="inlineStr">
        <is>
          <t>D836</t>
        </is>
      </c>
      <c r="C501" t="inlineStr">
        <is>
          <t>66812363</t>
        </is>
      </c>
      <c r="D501" t="inlineStr">
        <is>
          <t>10000160</t>
        </is>
      </c>
      <c r="E501" t="inlineStr"/>
      <c r="F501" s="11" t="n">
        <v>362.5</v>
      </c>
      <c r="G501" t="inlineStr"/>
      <c r="I501" t="inlineStr">
        <is>
          <t>M3</t>
        </is>
      </c>
      <c r="J501" t="inlineStr"/>
      <c r="K501" t="inlineStr">
        <is>
          <t>20190426</t>
        </is>
      </c>
      <c r="L501" t="inlineStr">
        <is>
          <t>20250127</t>
        </is>
      </c>
    </row>
    <row r="502">
      <c r="A502" t="inlineStr">
        <is>
          <t>900002574</t>
        </is>
      </c>
      <c r="B502" t="inlineStr">
        <is>
          <t>D836</t>
        </is>
      </c>
      <c r="C502" t="inlineStr">
        <is>
          <t>66812363</t>
        </is>
      </c>
      <c r="D502" t="inlineStr">
        <is>
          <t>10000357</t>
        </is>
      </c>
      <c r="E502" t="inlineStr"/>
      <c r="F502" s="11" t="n">
        <v>267.5</v>
      </c>
      <c r="G502" t="inlineStr"/>
      <c r="I502" t="inlineStr">
        <is>
          <t>M3</t>
        </is>
      </c>
      <c r="J502" t="inlineStr"/>
      <c r="K502" t="inlineStr">
        <is>
          <t>20190426</t>
        </is>
      </c>
      <c r="L502" t="inlineStr">
        <is>
          <t>20250127</t>
        </is>
      </c>
    </row>
    <row r="503">
      <c r="A503" t="inlineStr">
        <is>
          <t>900002574</t>
        </is>
      </c>
      <c r="B503" t="inlineStr">
        <is>
          <t>D836</t>
        </is>
      </c>
      <c r="C503" t="inlineStr">
        <is>
          <t>66815444</t>
        </is>
      </c>
      <c r="D503" t="inlineStr">
        <is>
          <t>10000160</t>
        </is>
      </c>
      <c r="E503" t="inlineStr"/>
      <c r="F503" s="11" t="n">
        <v>165</v>
      </c>
      <c r="G503" t="inlineStr"/>
      <c r="I503" t="inlineStr">
        <is>
          <t>M3</t>
        </is>
      </c>
      <c r="J503" t="inlineStr"/>
      <c r="K503" t="inlineStr">
        <is>
          <t>20190426</t>
        </is>
      </c>
      <c r="L503" t="inlineStr">
        <is>
          <t>20250127</t>
        </is>
      </c>
    </row>
    <row r="504">
      <c r="A504" t="inlineStr">
        <is>
          <t>900002574</t>
        </is>
      </c>
      <c r="B504" t="inlineStr">
        <is>
          <t>D836</t>
        </is>
      </c>
      <c r="C504" t="inlineStr">
        <is>
          <t>66815444</t>
        </is>
      </c>
      <c r="D504" t="inlineStr">
        <is>
          <t>10000357</t>
        </is>
      </c>
      <c r="E504" t="inlineStr"/>
      <c r="F504" s="11" t="n">
        <v>170</v>
      </c>
      <c r="G504" t="inlineStr"/>
      <c r="I504" t="inlineStr">
        <is>
          <t>M3</t>
        </is>
      </c>
      <c r="J504" t="inlineStr"/>
      <c r="K504" t="inlineStr">
        <is>
          <t>20190426</t>
        </is>
      </c>
      <c r="L504" t="inlineStr">
        <is>
          <t>20250127</t>
        </is>
      </c>
    </row>
    <row r="505">
      <c r="A505" t="inlineStr">
        <is>
          <t>900002574</t>
        </is>
      </c>
      <c r="B505" t="inlineStr">
        <is>
          <t>D836</t>
        </is>
      </c>
      <c r="C505" t="inlineStr">
        <is>
          <t>66815750</t>
        </is>
      </c>
      <c r="D505" t="inlineStr">
        <is>
          <t>10000160</t>
        </is>
      </c>
      <c r="E505" t="inlineStr"/>
      <c r="F505" s="11" t="n">
        <v>190</v>
      </c>
      <c r="G505" t="inlineStr"/>
      <c r="I505" t="inlineStr">
        <is>
          <t>M3</t>
        </is>
      </c>
      <c r="J505" t="inlineStr"/>
      <c r="K505" t="inlineStr">
        <is>
          <t>20190426</t>
        </is>
      </c>
      <c r="L505" t="inlineStr">
        <is>
          <t>20250127</t>
        </is>
      </c>
    </row>
    <row r="506">
      <c r="A506" t="inlineStr">
        <is>
          <t>900002574</t>
        </is>
      </c>
      <c r="B506" t="inlineStr">
        <is>
          <t>D836</t>
        </is>
      </c>
      <c r="C506" t="inlineStr">
        <is>
          <t>66815750</t>
        </is>
      </c>
      <c r="D506" t="inlineStr">
        <is>
          <t>10000357</t>
        </is>
      </c>
      <c r="E506" t="inlineStr"/>
      <c r="F506" s="11" t="n">
        <v>175</v>
      </c>
      <c r="G506" t="inlineStr"/>
      <c r="I506" t="inlineStr">
        <is>
          <t>M3</t>
        </is>
      </c>
      <c r="J506" t="inlineStr"/>
      <c r="K506" t="inlineStr">
        <is>
          <t>20190426</t>
        </is>
      </c>
      <c r="L506" t="inlineStr">
        <is>
          <t>20250127</t>
        </is>
      </c>
    </row>
    <row r="507">
      <c r="A507" t="inlineStr">
        <is>
          <t>900002574</t>
        </is>
      </c>
      <c r="B507" t="inlineStr">
        <is>
          <t>D836</t>
        </is>
      </c>
      <c r="C507" t="inlineStr">
        <is>
          <t>66816468</t>
        </is>
      </c>
      <c r="D507" t="inlineStr">
        <is>
          <t>10000160</t>
        </is>
      </c>
      <c r="E507" t="inlineStr"/>
      <c r="F507" s="11" t="n">
        <v>407</v>
      </c>
      <c r="G507" t="inlineStr"/>
      <c r="I507" t="inlineStr">
        <is>
          <t>M3</t>
        </is>
      </c>
      <c r="J507" t="inlineStr"/>
      <c r="K507" t="inlineStr">
        <is>
          <t>20190426</t>
        </is>
      </c>
      <c r="L507" t="inlineStr">
        <is>
          <t>20250127</t>
        </is>
      </c>
    </row>
    <row r="508">
      <c r="A508" t="inlineStr">
        <is>
          <t>900002574</t>
        </is>
      </c>
      <c r="B508" t="inlineStr">
        <is>
          <t>D836</t>
        </is>
      </c>
      <c r="C508" t="inlineStr">
        <is>
          <t>66816468</t>
        </is>
      </c>
      <c r="D508" t="inlineStr">
        <is>
          <t>10000357</t>
        </is>
      </c>
      <c r="E508" t="inlineStr"/>
      <c r="F508" s="11" t="n">
        <v>308.5</v>
      </c>
      <c r="G508" t="inlineStr"/>
      <c r="I508" t="inlineStr">
        <is>
          <t>M3</t>
        </is>
      </c>
      <c r="J508" t="inlineStr"/>
      <c r="K508" t="inlineStr">
        <is>
          <t>20190426</t>
        </is>
      </c>
      <c r="L508" t="inlineStr">
        <is>
          <t>20250127</t>
        </is>
      </c>
    </row>
    <row r="509">
      <c r="A509" t="inlineStr">
        <is>
          <t>900002574</t>
        </is>
      </c>
      <c r="B509" t="inlineStr">
        <is>
          <t>D836</t>
        </is>
      </c>
      <c r="C509" t="inlineStr">
        <is>
          <t>66817997</t>
        </is>
      </c>
      <c r="D509" t="inlineStr">
        <is>
          <t>10000160</t>
        </is>
      </c>
      <c r="E509" t="inlineStr"/>
      <c r="F509" s="11" t="n">
        <v>177.5</v>
      </c>
      <c r="G509" t="inlineStr"/>
      <c r="I509" t="inlineStr">
        <is>
          <t>M3</t>
        </is>
      </c>
      <c r="J509" t="inlineStr"/>
      <c r="K509" t="inlineStr">
        <is>
          <t>20190426</t>
        </is>
      </c>
      <c r="L509" t="inlineStr">
        <is>
          <t>20250127</t>
        </is>
      </c>
    </row>
    <row r="510">
      <c r="A510" t="inlineStr">
        <is>
          <t>900002574</t>
        </is>
      </c>
      <c r="B510" t="inlineStr">
        <is>
          <t>D836</t>
        </is>
      </c>
      <c r="C510" t="inlineStr">
        <is>
          <t>66817997</t>
        </is>
      </c>
      <c r="D510" t="inlineStr">
        <is>
          <t>10000357</t>
        </is>
      </c>
      <c r="E510" t="inlineStr"/>
      <c r="F510" s="11" t="n">
        <v>186</v>
      </c>
      <c r="G510" t="inlineStr"/>
      <c r="I510" t="inlineStr">
        <is>
          <t>M3</t>
        </is>
      </c>
      <c r="J510" t="inlineStr"/>
      <c r="K510" t="inlineStr">
        <is>
          <t>20190426</t>
        </is>
      </c>
      <c r="L510" t="inlineStr">
        <is>
          <t>20250127</t>
        </is>
      </c>
    </row>
    <row r="511">
      <c r="A511" t="inlineStr">
        <is>
          <t>900002574</t>
        </is>
      </c>
      <c r="B511" t="inlineStr">
        <is>
          <t>D836</t>
        </is>
      </c>
      <c r="C511" t="inlineStr">
        <is>
          <t>66817997</t>
        </is>
      </c>
      <c r="D511" t="inlineStr">
        <is>
          <t>10000630</t>
        </is>
      </c>
      <c r="E511" t="inlineStr"/>
      <c r="F511" s="11" t="n">
        <v>187.5</v>
      </c>
      <c r="G511" t="inlineStr"/>
      <c r="I511" t="inlineStr">
        <is>
          <t>M3</t>
        </is>
      </c>
      <c r="J511" t="inlineStr"/>
      <c r="K511" t="inlineStr">
        <is>
          <t>20190426</t>
        </is>
      </c>
      <c r="L511" t="inlineStr">
        <is>
          <t>20250127</t>
        </is>
      </c>
    </row>
    <row r="512">
      <c r="A512" t="inlineStr">
        <is>
          <t>900002574</t>
        </is>
      </c>
      <c r="B512" t="inlineStr">
        <is>
          <t>D836</t>
        </is>
      </c>
      <c r="C512" t="inlineStr">
        <is>
          <t>66817997</t>
        </is>
      </c>
      <c r="D512" t="inlineStr">
        <is>
          <t>10000651</t>
        </is>
      </c>
      <c r="E512" t="inlineStr"/>
      <c r="F512" s="11" t="n">
        <v>185</v>
      </c>
      <c r="G512" t="inlineStr"/>
      <c r="I512" t="inlineStr">
        <is>
          <t>M3</t>
        </is>
      </c>
      <c r="J512" t="inlineStr"/>
      <c r="K512" t="inlineStr">
        <is>
          <t>20190426</t>
        </is>
      </c>
      <c r="L512" t="inlineStr">
        <is>
          <t>20250127</t>
        </is>
      </c>
    </row>
    <row r="513">
      <c r="A513" t="inlineStr">
        <is>
          <t>900002574</t>
        </is>
      </c>
      <c r="B513" t="inlineStr">
        <is>
          <t>D836</t>
        </is>
      </c>
      <c r="C513" t="inlineStr">
        <is>
          <t>66822961</t>
        </is>
      </c>
      <c r="D513" t="inlineStr">
        <is>
          <t>10000160</t>
        </is>
      </c>
      <c r="E513" t="inlineStr"/>
      <c r="F513" s="11" t="n">
        <v>240</v>
      </c>
      <c r="G513" t="inlineStr"/>
      <c r="I513" t="inlineStr">
        <is>
          <t>M3</t>
        </is>
      </c>
      <c r="J513" t="inlineStr"/>
      <c r="K513" t="inlineStr">
        <is>
          <t>20190426</t>
        </is>
      </c>
      <c r="L513" t="inlineStr">
        <is>
          <t>20250127</t>
        </is>
      </c>
    </row>
    <row r="514">
      <c r="A514" t="inlineStr">
        <is>
          <t>900002574</t>
        </is>
      </c>
      <c r="B514" t="inlineStr">
        <is>
          <t>D836</t>
        </is>
      </c>
      <c r="C514" t="inlineStr">
        <is>
          <t>66822961</t>
        </is>
      </c>
      <c r="D514" t="inlineStr">
        <is>
          <t>10000357</t>
        </is>
      </c>
      <c r="E514" t="inlineStr"/>
      <c r="F514" s="11" t="n">
        <v>250</v>
      </c>
      <c r="G514" t="inlineStr"/>
      <c r="I514" t="inlineStr">
        <is>
          <t>M3</t>
        </is>
      </c>
      <c r="J514" t="inlineStr"/>
      <c r="K514" t="inlineStr">
        <is>
          <t>20190426</t>
        </is>
      </c>
      <c r="L514" t="inlineStr">
        <is>
          <t>20250127</t>
        </is>
      </c>
    </row>
    <row r="515">
      <c r="A515" t="inlineStr">
        <is>
          <t>900002574</t>
        </is>
      </c>
      <c r="B515" t="inlineStr">
        <is>
          <t>D836</t>
        </is>
      </c>
      <c r="C515" t="inlineStr">
        <is>
          <t>66822961</t>
        </is>
      </c>
      <c r="D515" t="inlineStr">
        <is>
          <t>10000651</t>
        </is>
      </c>
      <c r="E515" t="inlineStr"/>
      <c r="F515" s="11" t="n">
        <v>227.5</v>
      </c>
      <c r="G515" t="inlineStr"/>
      <c r="I515" t="inlineStr">
        <is>
          <t>M3</t>
        </is>
      </c>
      <c r="J515" t="inlineStr"/>
      <c r="K515" t="inlineStr">
        <is>
          <t>20190426</t>
        </is>
      </c>
      <c r="L515" t="inlineStr">
        <is>
          <t>20250127</t>
        </is>
      </c>
    </row>
    <row r="516">
      <c r="A516" t="inlineStr">
        <is>
          <t>900002574</t>
        </is>
      </c>
      <c r="B516" t="inlineStr">
        <is>
          <t>D836</t>
        </is>
      </c>
      <c r="C516" t="inlineStr">
        <is>
          <t>66823352</t>
        </is>
      </c>
      <c r="D516" t="inlineStr">
        <is>
          <t>10145835</t>
        </is>
      </c>
      <c r="E516" t="inlineStr"/>
      <c r="F516" s="11" t="n">
        <v>380</v>
      </c>
      <c r="G516" t="inlineStr"/>
      <c r="I516" t="inlineStr">
        <is>
          <t>M3</t>
        </is>
      </c>
      <c r="J516" t="inlineStr"/>
      <c r="K516" t="inlineStr">
        <is>
          <t>20190426</t>
        </is>
      </c>
      <c r="L516" t="inlineStr">
        <is>
          <t>20250127</t>
        </is>
      </c>
    </row>
    <row r="517">
      <c r="A517" t="inlineStr">
        <is>
          <t>900002574</t>
        </is>
      </c>
      <c r="B517" t="inlineStr">
        <is>
          <t>D836</t>
        </is>
      </c>
      <c r="C517" t="inlineStr">
        <is>
          <t>66828646</t>
        </is>
      </c>
      <c r="D517" t="inlineStr">
        <is>
          <t>10000160</t>
        </is>
      </c>
      <c r="E517" t="inlineStr"/>
      <c r="F517" s="11" t="n">
        <v>152.5</v>
      </c>
      <c r="G517" t="inlineStr"/>
      <c r="I517" t="inlineStr">
        <is>
          <t>M3</t>
        </is>
      </c>
      <c r="J517" t="inlineStr"/>
      <c r="K517" t="inlineStr">
        <is>
          <t>20190426</t>
        </is>
      </c>
      <c r="L517" t="inlineStr">
        <is>
          <t>20250127</t>
        </is>
      </c>
    </row>
    <row r="518">
      <c r="A518" t="inlineStr">
        <is>
          <t>900002574</t>
        </is>
      </c>
      <c r="B518" t="inlineStr">
        <is>
          <t>D836</t>
        </is>
      </c>
      <c r="C518" t="inlineStr">
        <is>
          <t>66828646</t>
        </is>
      </c>
      <c r="D518" t="inlineStr">
        <is>
          <t>10000357</t>
        </is>
      </c>
      <c r="E518" t="inlineStr"/>
      <c r="F518" s="11" t="n">
        <v>157.5</v>
      </c>
      <c r="G518" t="inlineStr"/>
      <c r="I518" t="inlineStr">
        <is>
          <t>M3</t>
        </is>
      </c>
      <c r="J518" t="inlineStr"/>
      <c r="K518" t="inlineStr">
        <is>
          <t>20190426</t>
        </is>
      </c>
      <c r="L518" t="inlineStr">
        <is>
          <t>20250127</t>
        </is>
      </c>
    </row>
    <row r="519">
      <c r="A519" t="inlineStr">
        <is>
          <t>900002574</t>
        </is>
      </c>
      <c r="B519" t="inlineStr">
        <is>
          <t>D836</t>
        </is>
      </c>
      <c r="C519" t="inlineStr">
        <is>
          <t>66828646</t>
        </is>
      </c>
      <c r="D519" t="inlineStr">
        <is>
          <t>10000623</t>
        </is>
      </c>
      <c r="E519" t="inlineStr"/>
      <c r="F519" s="11" t="n">
        <v>265</v>
      </c>
      <c r="G519" t="inlineStr"/>
      <c r="I519" t="inlineStr">
        <is>
          <t>M3</t>
        </is>
      </c>
      <c r="J519" t="inlineStr"/>
      <c r="K519" t="inlineStr">
        <is>
          <t>20190426</t>
        </is>
      </c>
      <c r="L519" t="inlineStr">
        <is>
          <t>20250127</t>
        </is>
      </c>
    </row>
    <row r="520">
      <c r="A520" t="inlineStr">
        <is>
          <t>900002574</t>
        </is>
      </c>
      <c r="B520" t="inlineStr">
        <is>
          <t>D836</t>
        </is>
      </c>
      <c r="C520" t="inlineStr">
        <is>
          <t>66828646</t>
        </is>
      </c>
      <c r="D520" t="inlineStr">
        <is>
          <t>10000630</t>
        </is>
      </c>
      <c r="E520" t="inlineStr"/>
      <c r="F520" s="11" t="n">
        <v>265</v>
      </c>
      <c r="G520" t="inlineStr"/>
      <c r="I520" t="inlineStr">
        <is>
          <t>M3</t>
        </is>
      </c>
      <c r="J520" t="inlineStr"/>
      <c r="K520" t="inlineStr">
        <is>
          <t>20190426</t>
        </is>
      </c>
      <c r="L520" t="inlineStr">
        <is>
          <t>20250127</t>
        </is>
      </c>
    </row>
    <row r="521">
      <c r="A521" t="inlineStr">
        <is>
          <t>900002574</t>
        </is>
      </c>
      <c r="B521" t="inlineStr">
        <is>
          <t>D836</t>
        </is>
      </c>
      <c r="C521" t="inlineStr">
        <is>
          <t>66830683</t>
        </is>
      </c>
      <c r="D521" t="inlineStr">
        <is>
          <t>10000160</t>
        </is>
      </c>
      <c r="E521" t="inlineStr"/>
      <c r="F521" s="11" t="n">
        <v>188</v>
      </c>
      <c r="G521" t="inlineStr"/>
      <c r="I521" t="inlineStr">
        <is>
          <t>M3</t>
        </is>
      </c>
      <c r="J521" t="inlineStr"/>
      <c r="K521" t="inlineStr">
        <is>
          <t>20190426</t>
        </is>
      </c>
      <c r="L521" t="inlineStr">
        <is>
          <t>20250127</t>
        </is>
      </c>
    </row>
    <row r="522">
      <c r="A522" t="inlineStr">
        <is>
          <t>900002574</t>
        </is>
      </c>
      <c r="B522" t="inlineStr">
        <is>
          <t>D836</t>
        </is>
      </c>
      <c r="C522" t="inlineStr">
        <is>
          <t>66830683</t>
        </is>
      </c>
      <c r="D522" t="inlineStr">
        <is>
          <t>10000357</t>
        </is>
      </c>
      <c r="E522" t="inlineStr"/>
      <c r="F522" s="11" t="n">
        <v>191</v>
      </c>
      <c r="G522" t="inlineStr"/>
      <c r="I522" t="inlineStr">
        <is>
          <t>M3</t>
        </is>
      </c>
      <c r="J522" t="inlineStr"/>
      <c r="K522" t="inlineStr">
        <is>
          <t>20190426</t>
        </is>
      </c>
      <c r="L522" t="inlineStr">
        <is>
          <t>20250127</t>
        </is>
      </c>
    </row>
    <row r="523">
      <c r="A523" t="inlineStr">
        <is>
          <t>900002574</t>
        </is>
      </c>
      <c r="B523" t="inlineStr">
        <is>
          <t>D836</t>
        </is>
      </c>
      <c r="C523" t="inlineStr">
        <is>
          <t>66830683</t>
        </is>
      </c>
      <c r="D523" t="inlineStr">
        <is>
          <t>10000651</t>
        </is>
      </c>
      <c r="E523" t="inlineStr"/>
      <c r="F523" s="11" t="n">
        <v>174</v>
      </c>
      <c r="G523" t="inlineStr"/>
      <c r="I523" t="inlineStr">
        <is>
          <t>M3</t>
        </is>
      </c>
      <c r="J523" t="inlineStr"/>
      <c r="K523" t="inlineStr">
        <is>
          <t>20190426</t>
        </is>
      </c>
      <c r="L523" t="inlineStr">
        <is>
          <t>20250127</t>
        </is>
      </c>
    </row>
    <row r="524">
      <c r="A524" t="inlineStr">
        <is>
          <t>900002574</t>
        </is>
      </c>
      <c r="B524" t="inlineStr">
        <is>
          <t>D836</t>
        </is>
      </c>
      <c r="C524" t="inlineStr">
        <is>
          <t>66837659</t>
        </is>
      </c>
      <c r="D524" t="inlineStr">
        <is>
          <t>10000160</t>
        </is>
      </c>
      <c r="E524" t="inlineStr"/>
      <c r="F524" s="11" t="n">
        <v>127.5</v>
      </c>
      <c r="G524" t="inlineStr"/>
      <c r="I524" t="inlineStr">
        <is>
          <t>M3</t>
        </is>
      </c>
      <c r="J524" t="inlineStr"/>
      <c r="K524" t="inlineStr">
        <is>
          <t>20190426</t>
        </is>
      </c>
      <c r="L524" t="inlineStr">
        <is>
          <t>20250127</t>
        </is>
      </c>
    </row>
    <row r="525">
      <c r="A525" t="inlineStr">
        <is>
          <t>900002574</t>
        </is>
      </c>
      <c r="B525" t="inlineStr">
        <is>
          <t>D836</t>
        </is>
      </c>
      <c r="C525" t="inlineStr">
        <is>
          <t>66837659</t>
        </is>
      </c>
      <c r="D525" t="inlineStr">
        <is>
          <t>10000623</t>
        </is>
      </c>
      <c r="E525" t="inlineStr"/>
      <c r="F525" s="11" t="n">
        <v>212.5</v>
      </c>
      <c r="G525" t="inlineStr"/>
      <c r="I525" t="inlineStr">
        <is>
          <t>M3</t>
        </is>
      </c>
      <c r="J525" t="inlineStr"/>
      <c r="K525" t="inlineStr">
        <is>
          <t>20190426</t>
        </is>
      </c>
      <c r="L525" t="inlineStr">
        <is>
          <t>20250127</t>
        </is>
      </c>
    </row>
    <row r="526">
      <c r="A526" t="inlineStr">
        <is>
          <t>900002574</t>
        </is>
      </c>
      <c r="B526" t="inlineStr">
        <is>
          <t>D836</t>
        </is>
      </c>
      <c r="C526" t="inlineStr">
        <is>
          <t>66837659</t>
        </is>
      </c>
      <c r="D526" t="inlineStr">
        <is>
          <t>10000649</t>
        </is>
      </c>
      <c r="E526" t="inlineStr"/>
      <c r="F526" s="11" t="n">
        <v>142.5</v>
      </c>
      <c r="G526" t="inlineStr"/>
      <c r="I526" t="inlineStr">
        <is>
          <t>M3</t>
        </is>
      </c>
      <c r="J526" t="inlineStr"/>
      <c r="K526" t="inlineStr">
        <is>
          <t>20190426</t>
        </is>
      </c>
      <c r="L526" t="inlineStr">
        <is>
          <t>20250127</t>
        </is>
      </c>
    </row>
    <row r="527">
      <c r="A527" t="inlineStr">
        <is>
          <t>900002574</t>
        </is>
      </c>
      <c r="B527" t="inlineStr">
        <is>
          <t>D836</t>
        </is>
      </c>
      <c r="C527" t="inlineStr">
        <is>
          <t>66837659</t>
        </is>
      </c>
      <c r="D527" t="inlineStr">
        <is>
          <t>10058345</t>
        </is>
      </c>
      <c r="E527" t="inlineStr"/>
      <c r="F527" s="11" t="n">
        <v>157.5</v>
      </c>
      <c r="G527" t="inlineStr"/>
      <c r="I527" t="inlineStr">
        <is>
          <t>M3</t>
        </is>
      </c>
      <c r="J527" t="inlineStr"/>
      <c r="K527" t="inlineStr">
        <is>
          <t>20190426</t>
        </is>
      </c>
      <c r="L527" t="inlineStr">
        <is>
          <t>20250127</t>
        </is>
      </c>
    </row>
    <row r="528">
      <c r="A528" t="inlineStr">
        <is>
          <t>900002574</t>
        </is>
      </c>
      <c r="B528" t="inlineStr">
        <is>
          <t>D836</t>
        </is>
      </c>
      <c r="C528" t="inlineStr">
        <is>
          <t>66837964</t>
        </is>
      </c>
      <c r="D528" t="inlineStr">
        <is>
          <t>10000160</t>
        </is>
      </c>
      <c r="E528" t="inlineStr"/>
      <c r="F528" s="11" t="n">
        <v>175</v>
      </c>
      <c r="G528" t="inlineStr"/>
      <c r="I528" t="inlineStr">
        <is>
          <t>M3</t>
        </is>
      </c>
      <c r="J528" t="inlineStr"/>
      <c r="K528" t="inlineStr">
        <is>
          <t>20190426</t>
        </is>
      </c>
      <c r="L528" t="inlineStr">
        <is>
          <t>20250127</t>
        </is>
      </c>
    </row>
    <row r="529">
      <c r="A529" t="inlineStr">
        <is>
          <t>900002574</t>
        </is>
      </c>
      <c r="B529" t="inlineStr">
        <is>
          <t>D836</t>
        </is>
      </c>
      <c r="C529" t="inlineStr">
        <is>
          <t>66837964</t>
        </is>
      </c>
      <c r="D529" t="inlineStr">
        <is>
          <t>10000357</t>
        </is>
      </c>
      <c r="E529" t="inlineStr"/>
      <c r="F529" s="11" t="n">
        <v>185</v>
      </c>
      <c r="G529" t="inlineStr"/>
      <c r="I529" t="inlineStr">
        <is>
          <t>M3</t>
        </is>
      </c>
      <c r="J529" t="inlineStr"/>
      <c r="K529" t="inlineStr">
        <is>
          <t>20190426</t>
        </is>
      </c>
      <c r="L529" t="inlineStr">
        <is>
          <t>20250127</t>
        </is>
      </c>
    </row>
    <row r="530">
      <c r="A530" t="inlineStr">
        <is>
          <t>900002574</t>
        </is>
      </c>
      <c r="B530" t="inlineStr">
        <is>
          <t>D836</t>
        </is>
      </c>
      <c r="C530" t="inlineStr">
        <is>
          <t>66837964</t>
        </is>
      </c>
      <c r="D530" t="inlineStr">
        <is>
          <t>10000649</t>
        </is>
      </c>
      <c r="E530" t="inlineStr"/>
      <c r="F530" s="11" t="n">
        <v>200</v>
      </c>
      <c r="G530" t="inlineStr"/>
      <c r="I530" t="inlineStr">
        <is>
          <t>M3</t>
        </is>
      </c>
      <c r="J530" t="inlineStr"/>
      <c r="K530" t="inlineStr">
        <is>
          <t>20190426</t>
        </is>
      </c>
      <c r="L530" t="inlineStr">
        <is>
          <t>20250127</t>
        </is>
      </c>
    </row>
    <row r="531">
      <c r="A531" t="inlineStr">
        <is>
          <t>900002574</t>
        </is>
      </c>
      <c r="B531" t="inlineStr">
        <is>
          <t>D836</t>
        </is>
      </c>
      <c r="C531" t="inlineStr">
        <is>
          <t>66838561</t>
        </is>
      </c>
      <c r="D531" t="inlineStr">
        <is>
          <t>10000160</t>
        </is>
      </c>
      <c r="E531" t="inlineStr"/>
      <c r="F531" s="11" t="n">
        <v>110</v>
      </c>
      <c r="G531" t="inlineStr"/>
      <c r="I531" t="inlineStr">
        <is>
          <t>M3</t>
        </is>
      </c>
      <c r="J531" t="inlineStr"/>
      <c r="K531" t="inlineStr">
        <is>
          <t>20190426</t>
        </is>
      </c>
      <c r="L531" t="inlineStr">
        <is>
          <t>20250127</t>
        </is>
      </c>
    </row>
    <row r="532">
      <c r="A532" t="inlineStr">
        <is>
          <t>900002574</t>
        </is>
      </c>
      <c r="B532" t="inlineStr">
        <is>
          <t>D836</t>
        </is>
      </c>
      <c r="C532" t="inlineStr">
        <is>
          <t>66838561</t>
        </is>
      </c>
      <c r="D532" t="inlineStr">
        <is>
          <t>10000206</t>
        </is>
      </c>
      <c r="E532" t="inlineStr"/>
      <c r="F532" s="11" t="n">
        <v>40</v>
      </c>
      <c r="G532" t="inlineStr"/>
      <c r="I532" t="inlineStr">
        <is>
          <t>M3</t>
        </is>
      </c>
      <c r="J532" t="inlineStr"/>
      <c r="K532" t="inlineStr">
        <is>
          <t>20190426</t>
        </is>
      </c>
      <c r="L532" t="inlineStr">
        <is>
          <t>20250127</t>
        </is>
      </c>
    </row>
    <row r="533">
      <c r="A533" t="inlineStr">
        <is>
          <t>900002574</t>
        </is>
      </c>
      <c r="B533" t="inlineStr">
        <is>
          <t>D836</t>
        </is>
      </c>
      <c r="C533" t="inlineStr">
        <is>
          <t>66838561</t>
        </is>
      </c>
      <c r="D533" t="inlineStr">
        <is>
          <t>10000357</t>
        </is>
      </c>
      <c r="E533" t="inlineStr"/>
      <c r="F533" s="11" t="n">
        <v>120</v>
      </c>
      <c r="G533" t="inlineStr"/>
      <c r="I533" t="inlineStr">
        <is>
          <t>M3</t>
        </is>
      </c>
      <c r="J533" t="inlineStr"/>
      <c r="K533" t="inlineStr">
        <is>
          <t>20190426</t>
        </is>
      </c>
      <c r="L533" t="inlineStr">
        <is>
          <t>20250127</t>
        </is>
      </c>
    </row>
    <row r="534">
      <c r="A534" t="inlineStr">
        <is>
          <t>900002574</t>
        </is>
      </c>
      <c r="B534" t="inlineStr">
        <is>
          <t>D836</t>
        </is>
      </c>
      <c r="C534" t="inlineStr">
        <is>
          <t>66847144</t>
        </is>
      </c>
      <c r="D534" t="inlineStr">
        <is>
          <t>10000160</t>
        </is>
      </c>
      <c r="E534" t="inlineStr"/>
      <c r="F534" s="11" t="n">
        <v>188</v>
      </c>
      <c r="G534" t="inlineStr"/>
      <c r="I534" t="inlineStr">
        <is>
          <t>M3</t>
        </is>
      </c>
      <c r="J534" t="inlineStr"/>
      <c r="K534" t="inlineStr">
        <is>
          <t>20190426</t>
        </is>
      </c>
      <c r="L534" t="inlineStr">
        <is>
          <t>20250127</t>
        </is>
      </c>
    </row>
    <row r="535">
      <c r="A535" t="inlineStr">
        <is>
          <t>900002574</t>
        </is>
      </c>
      <c r="B535" t="inlineStr">
        <is>
          <t>D836</t>
        </is>
      </c>
      <c r="C535" t="inlineStr">
        <is>
          <t>66847144</t>
        </is>
      </c>
      <c r="D535" t="inlineStr">
        <is>
          <t>10000357</t>
        </is>
      </c>
      <c r="E535" t="inlineStr"/>
      <c r="F535" s="11" t="n">
        <v>191</v>
      </c>
      <c r="G535" t="inlineStr"/>
      <c r="I535" t="inlineStr">
        <is>
          <t>M3</t>
        </is>
      </c>
      <c r="J535" t="inlineStr"/>
      <c r="K535" t="inlineStr">
        <is>
          <t>20190426</t>
        </is>
      </c>
      <c r="L535" t="inlineStr">
        <is>
          <t>20250127</t>
        </is>
      </c>
    </row>
    <row r="536">
      <c r="A536" t="inlineStr">
        <is>
          <t>900002574</t>
        </is>
      </c>
      <c r="B536" t="inlineStr">
        <is>
          <t>D836</t>
        </is>
      </c>
      <c r="C536" t="inlineStr">
        <is>
          <t>66847144</t>
        </is>
      </c>
      <c r="D536" t="inlineStr">
        <is>
          <t>10000651</t>
        </is>
      </c>
      <c r="E536" t="inlineStr"/>
      <c r="F536" s="11" t="n">
        <v>174</v>
      </c>
      <c r="G536" t="inlineStr"/>
      <c r="I536" t="inlineStr">
        <is>
          <t>M3</t>
        </is>
      </c>
      <c r="J536" t="inlineStr"/>
      <c r="K536" t="inlineStr">
        <is>
          <t>20190426</t>
        </is>
      </c>
      <c r="L536" t="inlineStr">
        <is>
          <t>20250127</t>
        </is>
      </c>
    </row>
    <row r="537">
      <c r="A537" t="inlineStr">
        <is>
          <t>900002574</t>
        </is>
      </c>
      <c r="B537" t="inlineStr">
        <is>
          <t>D836</t>
        </is>
      </c>
      <c r="C537" t="inlineStr">
        <is>
          <t>66847626</t>
        </is>
      </c>
      <c r="D537" t="inlineStr">
        <is>
          <t>10000160</t>
        </is>
      </c>
      <c r="E537" t="inlineStr"/>
      <c r="F537" s="11" t="n">
        <v>259</v>
      </c>
      <c r="G537" t="inlineStr"/>
      <c r="I537" t="inlineStr">
        <is>
          <t>M3</t>
        </is>
      </c>
      <c r="J537" t="inlineStr"/>
      <c r="K537" t="inlineStr">
        <is>
          <t>20190426</t>
        </is>
      </c>
      <c r="L537" t="inlineStr">
        <is>
          <t>20250127</t>
        </is>
      </c>
    </row>
    <row r="538">
      <c r="A538" t="inlineStr">
        <is>
          <t>900002574</t>
        </is>
      </c>
      <c r="B538" t="inlineStr">
        <is>
          <t>D836</t>
        </is>
      </c>
      <c r="C538" t="inlineStr">
        <is>
          <t>66847626</t>
        </is>
      </c>
      <c r="D538" t="inlineStr">
        <is>
          <t>10000357</t>
        </is>
      </c>
      <c r="E538" t="inlineStr"/>
      <c r="F538" s="11" t="n">
        <v>267.5</v>
      </c>
      <c r="G538" t="inlineStr"/>
      <c r="I538" t="inlineStr">
        <is>
          <t>M3</t>
        </is>
      </c>
      <c r="J538" t="inlineStr"/>
      <c r="K538" t="inlineStr">
        <is>
          <t>20190426</t>
        </is>
      </c>
      <c r="L538" t="inlineStr">
        <is>
          <t>20250127</t>
        </is>
      </c>
    </row>
    <row r="539">
      <c r="A539" t="inlineStr">
        <is>
          <t>900002574</t>
        </is>
      </c>
      <c r="B539" t="inlineStr">
        <is>
          <t>D836</t>
        </is>
      </c>
      <c r="C539" t="inlineStr">
        <is>
          <t>66852206</t>
        </is>
      </c>
      <c r="D539" t="inlineStr">
        <is>
          <t>10000160</t>
        </is>
      </c>
      <c r="E539" t="inlineStr"/>
      <c r="F539" s="11" t="n">
        <v>110</v>
      </c>
      <c r="G539" t="inlineStr"/>
      <c r="I539" t="inlineStr">
        <is>
          <t>M3</t>
        </is>
      </c>
      <c r="J539" t="inlineStr"/>
      <c r="K539" t="inlineStr">
        <is>
          <t>20190426</t>
        </is>
      </c>
      <c r="L539" t="inlineStr">
        <is>
          <t>20250127</t>
        </is>
      </c>
    </row>
    <row r="540">
      <c r="A540" t="inlineStr">
        <is>
          <t>900002574</t>
        </is>
      </c>
      <c r="B540" t="inlineStr">
        <is>
          <t>D836</t>
        </is>
      </c>
      <c r="C540" t="inlineStr">
        <is>
          <t>66852206</t>
        </is>
      </c>
      <c r="D540" t="inlineStr">
        <is>
          <t>10000357</t>
        </is>
      </c>
      <c r="E540" t="inlineStr"/>
      <c r="F540" s="11" t="n">
        <v>127</v>
      </c>
      <c r="G540" t="inlineStr"/>
      <c r="I540" t="inlineStr">
        <is>
          <t>M3</t>
        </is>
      </c>
      <c r="J540" t="inlineStr"/>
      <c r="K540" t="inlineStr">
        <is>
          <t>20190426</t>
        </is>
      </c>
      <c r="L540" t="inlineStr">
        <is>
          <t>20250127</t>
        </is>
      </c>
    </row>
    <row r="541">
      <c r="A541" t="inlineStr">
        <is>
          <t>900002574</t>
        </is>
      </c>
      <c r="B541" t="inlineStr">
        <is>
          <t>D836</t>
        </is>
      </c>
      <c r="C541" t="inlineStr">
        <is>
          <t>66852206</t>
        </is>
      </c>
      <c r="D541" t="inlineStr">
        <is>
          <t>10000649</t>
        </is>
      </c>
      <c r="E541" t="inlineStr"/>
      <c r="F541" s="11" t="n">
        <v>132</v>
      </c>
      <c r="G541" t="inlineStr"/>
      <c r="I541" t="inlineStr">
        <is>
          <t>M3</t>
        </is>
      </c>
      <c r="J541" t="inlineStr"/>
      <c r="K541" t="inlineStr">
        <is>
          <t>20190426</t>
        </is>
      </c>
      <c r="L541" t="inlineStr">
        <is>
          <t>20250127</t>
        </is>
      </c>
    </row>
    <row r="542">
      <c r="A542" t="inlineStr">
        <is>
          <t>900002574</t>
        </is>
      </c>
      <c r="B542" t="inlineStr">
        <is>
          <t>D836</t>
        </is>
      </c>
      <c r="C542" t="inlineStr">
        <is>
          <t>66856415</t>
        </is>
      </c>
      <c r="D542" t="inlineStr">
        <is>
          <t>10000160</t>
        </is>
      </c>
      <c r="E542" t="inlineStr"/>
      <c r="F542" s="11" t="n">
        <v>110</v>
      </c>
      <c r="G542" t="inlineStr"/>
      <c r="I542" t="inlineStr">
        <is>
          <t>M3</t>
        </is>
      </c>
      <c r="J542" t="inlineStr"/>
      <c r="K542" t="inlineStr">
        <is>
          <t>20190426</t>
        </is>
      </c>
      <c r="L542" t="inlineStr">
        <is>
          <t>20250127</t>
        </is>
      </c>
    </row>
    <row r="543">
      <c r="A543" t="inlineStr">
        <is>
          <t>900002574</t>
        </is>
      </c>
      <c r="B543" t="inlineStr">
        <is>
          <t>D836</t>
        </is>
      </c>
      <c r="C543" t="inlineStr">
        <is>
          <t>66856415</t>
        </is>
      </c>
      <c r="D543" t="inlineStr">
        <is>
          <t>10000357</t>
        </is>
      </c>
      <c r="E543" t="inlineStr"/>
      <c r="F543" s="11" t="n">
        <v>130</v>
      </c>
      <c r="G543" t="inlineStr"/>
      <c r="I543" t="inlineStr">
        <is>
          <t>M3</t>
        </is>
      </c>
      <c r="J543" t="inlineStr"/>
      <c r="K543" t="inlineStr">
        <is>
          <t>20190426</t>
        </is>
      </c>
      <c r="L543" t="inlineStr">
        <is>
          <t>20250127</t>
        </is>
      </c>
    </row>
    <row r="544">
      <c r="A544" t="inlineStr">
        <is>
          <t>900002574</t>
        </is>
      </c>
      <c r="B544" t="inlineStr">
        <is>
          <t>D836</t>
        </is>
      </c>
      <c r="C544" t="inlineStr">
        <is>
          <t>66856415</t>
        </is>
      </c>
      <c r="D544" t="inlineStr">
        <is>
          <t>10019515</t>
        </is>
      </c>
      <c r="E544" t="inlineStr"/>
      <c r="F544" s="11" t="n">
        <v>230</v>
      </c>
      <c r="G544" t="inlineStr"/>
      <c r="I544" t="inlineStr">
        <is>
          <t>M3</t>
        </is>
      </c>
      <c r="J544" t="inlineStr"/>
      <c r="K544" t="inlineStr">
        <is>
          <t>20190426</t>
        </is>
      </c>
      <c r="L544" t="inlineStr">
        <is>
          <t>20250127</t>
        </is>
      </c>
    </row>
    <row r="545">
      <c r="A545" t="inlineStr">
        <is>
          <t>900002574</t>
        </is>
      </c>
      <c r="B545" t="inlineStr">
        <is>
          <t>D836</t>
        </is>
      </c>
      <c r="C545" t="inlineStr">
        <is>
          <t>66858629</t>
        </is>
      </c>
      <c r="D545" t="inlineStr">
        <is>
          <t>10000160</t>
        </is>
      </c>
      <c r="E545" t="inlineStr"/>
      <c r="F545" s="11" t="n">
        <v>125</v>
      </c>
      <c r="G545" t="inlineStr"/>
      <c r="I545" t="inlineStr">
        <is>
          <t>M3</t>
        </is>
      </c>
      <c r="J545" t="inlineStr"/>
      <c r="K545" t="inlineStr">
        <is>
          <t>20190426</t>
        </is>
      </c>
      <c r="L545" t="inlineStr">
        <is>
          <t>20250127</t>
        </is>
      </c>
    </row>
    <row r="546">
      <c r="A546" t="inlineStr">
        <is>
          <t>900002574</t>
        </is>
      </c>
      <c r="B546" t="inlineStr">
        <is>
          <t>D836</t>
        </is>
      </c>
      <c r="C546" t="inlineStr">
        <is>
          <t>66858629</t>
        </is>
      </c>
      <c r="D546" t="inlineStr">
        <is>
          <t>10000357</t>
        </is>
      </c>
      <c r="E546" t="inlineStr"/>
      <c r="F546" s="11" t="n">
        <v>130</v>
      </c>
      <c r="G546" t="inlineStr"/>
      <c r="I546" t="inlineStr">
        <is>
          <t>M3</t>
        </is>
      </c>
      <c r="J546" t="inlineStr"/>
      <c r="K546" t="inlineStr">
        <is>
          <t>20190426</t>
        </is>
      </c>
      <c r="L546" t="inlineStr">
        <is>
          <t>20250127</t>
        </is>
      </c>
    </row>
    <row r="547">
      <c r="A547" t="inlineStr">
        <is>
          <t>900002574</t>
        </is>
      </c>
      <c r="B547" t="inlineStr">
        <is>
          <t>D836</t>
        </is>
      </c>
      <c r="C547" t="inlineStr">
        <is>
          <t>66858629</t>
        </is>
      </c>
      <c r="D547" t="inlineStr">
        <is>
          <t>10000649</t>
        </is>
      </c>
      <c r="E547" t="inlineStr"/>
      <c r="F547" s="11" t="n">
        <v>145</v>
      </c>
      <c r="G547" t="inlineStr"/>
      <c r="I547" t="inlineStr">
        <is>
          <t>M3</t>
        </is>
      </c>
      <c r="J547" t="inlineStr"/>
      <c r="K547" t="inlineStr">
        <is>
          <t>20190426</t>
        </is>
      </c>
      <c r="L547" t="inlineStr">
        <is>
          <t>20250127</t>
        </is>
      </c>
    </row>
    <row r="548">
      <c r="A548" t="inlineStr">
        <is>
          <t>900002574</t>
        </is>
      </c>
      <c r="B548" t="inlineStr">
        <is>
          <t>D836</t>
        </is>
      </c>
      <c r="C548" t="inlineStr">
        <is>
          <t>66860479</t>
        </is>
      </c>
      <c r="D548" t="inlineStr">
        <is>
          <t>10000133</t>
        </is>
      </c>
      <c r="E548" t="inlineStr"/>
      <c r="F548" s="11" t="n">
        <v>180</v>
      </c>
      <c r="G548" t="inlineStr"/>
      <c r="I548" t="inlineStr">
        <is>
          <t>M3</t>
        </is>
      </c>
      <c r="J548" t="inlineStr"/>
      <c r="K548" t="inlineStr">
        <is>
          <t>20190426</t>
        </is>
      </c>
      <c r="L548" t="inlineStr">
        <is>
          <t>20250127</t>
        </is>
      </c>
    </row>
    <row r="549">
      <c r="A549" t="inlineStr">
        <is>
          <t>900002574</t>
        </is>
      </c>
      <c r="B549" t="inlineStr">
        <is>
          <t>D836</t>
        </is>
      </c>
      <c r="C549" t="inlineStr">
        <is>
          <t>66860479</t>
        </is>
      </c>
      <c r="D549" t="inlineStr">
        <is>
          <t>10000160</t>
        </is>
      </c>
      <c r="E549" t="inlineStr"/>
      <c r="F549" s="11" t="n">
        <v>105</v>
      </c>
      <c r="G549" t="inlineStr"/>
      <c r="I549" t="inlineStr">
        <is>
          <t>M3</t>
        </is>
      </c>
      <c r="J549" t="inlineStr"/>
      <c r="K549" t="inlineStr">
        <is>
          <t>20190426</t>
        </is>
      </c>
      <c r="L549" t="inlineStr">
        <is>
          <t>20250127</t>
        </is>
      </c>
    </row>
    <row r="550">
      <c r="A550" t="inlineStr">
        <is>
          <t>900002574</t>
        </is>
      </c>
      <c r="B550" t="inlineStr">
        <is>
          <t>D836</t>
        </is>
      </c>
      <c r="C550" t="inlineStr">
        <is>
          <t>66860479</t>
        </is>
      </c>
      <c r="D550" t="inlineStr">
        <is>
          <t>10000357</t>
        </is>
      </c>
      <c r="E550" t="inlineStr"/>
      <c r="F550" s="11" t="n">
        <v>125</v>
      </c>
      <c r="G550" t="inlineStr"/>
      <c r="I550" t="inlineStr">
        <is>
          <t>M3</t>
        </is>
      </c>
      <c r="J550" t="inlineStr"/>
      <c r="K550" t="inlineStr">
        <is>
          <t>20190426</t>
        </is>
      </c>
      <c r="L550" t="inlineStr">
        <is>
          <t>20250127</t>
        </is>
      </c>
    </row>
    <row r="551">
      <c r="A551" t="inlineStr">
        <is>
          <t>900002574</t>
        </is>
      </c>
      <c r="B551" t="inlineStr">
        <is>
          <t>D836</t>
        </is>
      </c>
      <c r="C551" t="inlineStr">
        <is>
          <t>66860479</t>
        </is>
      </c>
      <c r="D551" t="inlineStr">
        <is>
          <t>10058345</t>
        </is>
      </c>
      <c r="E551" t="inlineStr"/>
      <c r="F551" s="11" t="n">
        <v>130</v>
      </c>
      <c r="G551" t="inlineStr"/>
      <c r="I551" t="inlineStr">
        <is>
          <t>M3</t>
        </is>
      </c>
      <c r="J551" t="inlineStr"/>
      <c r="K551" t="inlineStr">
        <is>
          <t>20190426</t>
        </is>
      </c>
      <c r="L551" t="inlineStr">
        <is>
          <t>20250127</t>
        </is>
      </c>
    </row>
    <row r="552">
      <c r="A552" t="inlineStr">
        <is>
          <t>900002574</t>
        </is>
      </c>
      <c r="B552" t="inlineStr">
        <is>
          <t>D836</t>
        </is>
      </c>
      <c r="C552" t="inlineStr">
        <is>
          <t>66869655</t>
        </is>
      </c>
      <c r="D552" t="inlineStr">
        <is>
          <t>10000160</t>
        </is>
      </c>
      <c r="E552" t="inlineStr"/>
      <c r="F552" s="11" t="n">
        <v>130</v>
      </c>
      <c r="G552" t="inlineStr"/>
      <c r="I552" t="inlineStr">
        <is>
          <t>M3</t>
        </is>
      </c>
      <c r="J552" t="inlineStr"/>
      <c r="K552" t="inlineStr">
        <is>
          <t>20190426</t>
        </is>
      </c>
      <c r="L552" t="inlineStr">
        <is>
          <t>20250127</t>
        </is>
      </c>
    </row>
    <row r="553">
      <c r="A553" t="inlineStr">
        <is>
          <t>900002574</t>
        </is>
      </c>
      <c r="B553" t="inlineStr">
        <is>
          <t>D836</t>
        </is>
      </c>
      <c r="C553" t="inlineStr">
        <is>
          <t>66869655</t>
        </is>
      </c>
      <c r="D553" t="inlineStr">
        <is>
          <t>10000357</t>
        </is>
      </c>
      <c r="E553" t="inlineStr"/>
      <c r="F553" s="11" t="n">
        <v>140</v>
      </c>
      <c r="G553" t="inlineStr"/>
      <c r="I553" t="inlineStr">
        <is>
          <t>M3</t>
        </is>
      </c>
      <c r="J553" t="inlineStr"/>
      <c r="K553" t="inlineStr">
        <is>
          <t>20190426</t>
        </is>
      </c>
      <c r="L553" t="inlineStr">
        <is>
          <t>20250127</t>
        </is>
      </c>
    </row>
    <row r="554">
      <c r="A554" t="inlineStr">
        <is>
          <t>900002574</t>
        </is>
      </c>
      <c r="B554" t="inlineStr">
        <is>
          <t>D836</t>
        </is>
      </c>
      <c r="C554" t="inlineStr">
        <is>
          <t>66873390</t>
        </is>
      </c>
      <c r="D554" t="inlineStr">
        <is>
          <t>10000133</t>
        </is>
      </c>
      <c r="E554" t="inlineStr"/>
      <c r="F554" s="11" t="n">
        <v>285</v>
      </c>
      <c r="G554" t="inlineStr"/>
      <c r="I554" t="inlineStr">
        <is>
          <t>M3</t>
        </is>
      </c>
      <c r="J554" t="inlineStr"/>
      <c r="K554" t="inlineStr">
        <is>
          <t>20190426</t>
        </is>
      </c>
      <c r="L554" t="inlineStr">
        <is>
          <t>20250127</t>
        </is>
      </c>
    </row>
    <row r="555">
      <c r="A555" t="inlineStr">
        <is>
          <t>900002574</t>
        </is>
      </c>
      <c r="B555" t="inlineStr">
        <is>
          <t>D836</t>
        </is>
      </c>
      <c r="C555" t="inlineStr">
        <is>
          <t>66873390</t>
        </is>
      </c>
      <c r="D555" t="inlineStr">
        <is>
          <t>10000160</t>
        </is>
      </c>
      <c r="E555" t="inlineStr"/>
      <c r="F555" s="11" t="n">
        <v>114</v>
      </c>
      <c r="G555" t="inlineStr"/>
      <c r="I555" t="inlineStr">
        <is>
          <t>M3</t>
        </is>
      </c>
      <c r="J555" t="inlineStr"/>
      <c r="K555" t="inlineStr">
        <is>
          <t>20190426</t>
        </is>
      </c>
      <c r="L555" t="inlineStr">
        <is>
          <t>20250127</t>
        </is>
      </c>
    </row>
    <row r="556">
      <c r="A556" t="inlineStr">
        <is>
          <t>900002574</t>
        </is>
      </c>
      <c r="B556" t="inlineStr">
        <is>
          <t>D836</t>
        </is>
      </c>
      <c r="C556" t="inlineStr">
        <is>
          <t>66873390</t>
        </is>
      </c>
      <c r="D556" t="inlineStr">
        <is>
          <t>10000357</t>
        </is>
      </c>
      <c r="E556" t="inlineStr"/>
      <c r="F556" s="11" t="n">
        <v>139</v>
      </c>
      <c r="G556" t="inlineStr"/>
      <c r="I556" t="inlineStr">
        <is>
          <t>M3</t>
        </is>
      </c>
      <c r="J556" t="inlineStr"/>
      <c r="K556" t="inlineStr">
        <is>
          <t>20190426</t>
        </is>
      </c>
      <c r="L556" t="inlineStr">
        <is>
          <t>20250127</t>
        </is>
      </c>
    </row>
    <row r="557">
      <c r="A557" t="inlineStr">
        <is>
          <t>900002574</t>
        </is>
      </c>
      <c r="B557" t="inlineStr">
        <is>
          <t>D836</t>
        </is>
      </c>
      <c r="C557" t="inlineStr">
        <is>
          <t>66873390</t>
        </is>
      </c>
      <c r="D557" t="inlineStr">
        <is>
          <t>10000649</t>
        </is>
      </c>
      <c r="E557" t="inlineStr"/>
      <c r="F557" s="11" t="n">
        <v>156</v>
      </c>
      <c r="G557" t="inlineStr"/>
      <c r="I557" t="inlineStr">
        <is>
          <t>M3</t>
        </is>
      </c>
      <c r="J557" t="inlineStr"/>
      <c r="K557" t="inlineStr">
        <is>
          <t>20190426</t>
        </is>
      </c>
      <c r="L557" t="inlineStr">
        <is>
          <t>20250127</t>
        </is>
      </c>
    </row>
    <row r="558">
      <c r="A558" t="inlineStr">
        <is>
          <t>900002574</t>
        </is>
      </c>
      <c r="B558" t="inlineStr">
        <is>
          <t>D836</t>
        </is>
      </c>
      <c r="C558" t="inlineStr">
        <is>
          <t>66873390</t>
        </is>
      </c>
      <c r="D558" t="inlineStr">
        <is>
          <t>10058345</t>
        </is>
      </c>
      <c r="E558" t="inlineStr"/>
      <c r="F558" s="11" t="n">
        <v>207</v>
      </c>
      <c r="G558" t="inlineStr"/>
      <c r="I558" t="inlineStr">
        <is>
          <t>M3</t>
        </is>
      </c>
      <c r="J558" t="inlineStr"/>
      <c r="K558" t="inlineStr">
        <is>
          <t>20190426</t>
        </is>
      </c>
      <c r="L558" t="inlineStr">
        <is>
          <t>20250127</t>
        </is>
      </c>
    </row>
    <row r="559">
      <c r="A559" t="inlineStr">
        <is>
          <t>900002574</t>
        </is>
      </c>
      <c r="B559" t="inlineStr">
        <is>
          <t>D836</t>
        </is>
      </c>
      <c r="C559" t="inlineStr">
        <is>
          <t>66875501</t>
        </is>
      </c>
      <c r="D559" t="inlineStr">
        <is>
          <t>10000133</t>
        </is>
      </c>
      <c r="E559" t="inlineStr"/>
      <c r="F559" s="11" t="n">
        <v>794</v>
      </c>
      <c r="G559" t="inlineStr"/>
      <c r="I559" t="inlineStr">
        <is>
          <t>M3</t>
        </is>
      </c>
      <c r="J559" t="inlineStr"/>
      <c r="K559" t="inlineStr">
        <is>
          <t>20190426</t>
        </is>
      </c>
      <c r="L559" t="inlineStr">
        <is>
          <t>20250127</t>
        </is>
      </c>
    </row>
    <row r="560">
      <c r="A560" t="inlineStr">
        <is>
          <t>900002574</t>
        </is>
      </c>
      <c r="B560" t="inlineStr">
        <is>
          <t>D836</t>
        </is>
      </c>
      <c r="C560" t="inlineStr">
        <is>
          <t>66875501</t>
        </is>
      </c>
      <c r="D560" t="inlineStr">
        <is>
          <t>10000623</t>
        </is>
      </c>
      <c r="E560" t="inlineStr"/>
      <c r="F560" s="11" t="n">
        <v>794</v>
      </c>
      <c r="G560" t="inlineStr"/>
      <c r="I560" t="inlineStr">
        <is>
          <t>M3</t>
        </is>
      </c>
      <c r="J560" t="inlineStr"/>
      <c r="K560" t="inlineStr">
        <is>
          <t>20190426</t>
        </is>
      </c>
      <c r="L560" t="inlineStr">
        <is>
          <t>20250127</t>
        </is>
      </c>
    </row>
    <row r="561">
      <c r="A561" t="inlineStr">
        <is>
          <t>900002574</t>
        </is>
      </c>
      <c r="B561" t="inlineStr">
        <is>
          <t>D836</t>
        </is>
      </c>
      <c r="C561" t="inlineStr">
        <is>
          <t>66875501</t>
        </is>
      </c>
      <c r="D561" t="inlineStr">
        <is>
          <t>10000630</t>
        </is>
      </c>
      <c r="E561" t="inlineStr"/>
      <c r="F561" s="11" t="n">
        <v>804</v>
      </c>
      <c r="G561" t="inlineStr"/>
      <c r="I561" t="inlineStr">
        <is>
          <t>M3</t>
        </is>
      </c>
      <c r="J561" t="inlineStr"/>
      <c r="K561" t="inlineStr">
        <is>
          <t>20190426</t>
        </is>
      </c>
      <c r="L561" t="inlineStr">
        <is>
          <t>20250127</t>
        </is>
      </c>
    </row>
    <row r="562">
      <c r="A562" t="inlineStr">
        <is>
          <t>900002574</t>
        </is>
      </c>
      <c r="B562" t="inlineStr">
        <is>
          <t>D836</t>
        </is>
      </c>
      <c r="C562" t="inlineStr">
        <is>
          <t>66875501</t>
        </is>
      </c>
      <c r="D562" t="inlineStr">
        <is>
          <t>10058345</t>
        </is>
      </c>
      <c r="E562" t="inlineStr"/>
      <c r="F562" s="11" t="n">
        <v>644</v>
      </c>
      <c r="G562" t="inlineStr"/>
      <c r="I562" t="inlineStr">
        <is>
          <t>M3</t>
        </is>
      </c>
      <c r="J562" t="inlineStr"/>
      <c r="K562" t="inlineStr">
        <is>
          <t>20190426</t>
        </is>
      </c>
      <c r="L562" t="inlineStr">
        <is>
          <t>20250127</t>
        </is>
      </c>
    </row>
    <row r="563">
      <c r="A563" t="inlineStr">
        <is>
          <t>900002574</t>
        </is>
      </c>
      <c r="B563" t="inlineStr">
        <is>
          <t>D836</t>
        </is>
      </c>
      <c r="C563" t="inlineStr">
        <is>
          <t>66878071</t>
        </is>
      </c>
      <c r="D563" t="inlineStr">
        <is>
          <t>10000133</t>
        </is>
      </c>
      <c r="E563" t="inlineStr"/>
      <c r="F563" s="11" t="n">
        <v>271.56</v>
      </c>
      <c r="G563" t="inlineStr"/>
      <c r="I563" t="inlineStr">
        <is>
          <t>M3</t>
        </is>
      </c>
      <c r="J563" t="inlineStr"/>
      <c r="K563" t="inlineStr">
        <is>
          <t>20190426</t>
        </is>
      </c>
      <c r="L563" t="inlineStr">
        <is>
          <t>20250127</t>
        </is>
      </c>
    </row>
    <row r="564">
      <c r="A564" t="inlineStr">
        <is>
          <t>900002574</t>
        </is>
      </c>
      <c r="B564" t="inlineStr">
        <is>
          <t>D836</t>
        </is>
      </c>
      <c r="C564" t="inlineStr">
        <is>
          <t>66881539</t>
        </is>
      </c>
      <c r="D564" t="inlineStr">
        <is>
          <t>10000160</t>
        </is>
      </c>
      <c r="E564" t="inlineStr"/>
      <c r="F564" s="11" t="n">
        <v>110.18</v>
      </c>
      <c r="G564" t="inlineStr"/>
      <c r="I564" t="inlineStr">
        <is>
          <t>M3</t>
        </is>
      </c>
      <c r="J564" t="inlineStr"/>
      <c r="K564" t="inlineStr">
        <is>
          <t>20190426</t>
        </is>
      </c>
      <c r="L564" t="inlineStr">
        <is>
          <t>20250127</t>
        </is>
      </c>
    </row>
    <row r="565">
      <c r="A565" t="inlineStr">
        <is>
          <t>900002574</t>
        </is>
      </c>
      <c r="B565" t="inlineStr">
        <is>
          <t>D836</t>
        </is>
      </c>
      <c r="C565" t="inlineStr">
        <is>
          <t>66881539</t>
        </is>
      </c>
      <c r="D565" t="inlineStr">
        <is>
          <t>10000357</t>
        </is>
      </c>
      <c r="E565" t="inlineStr"/>
      <c r="F565" s="11" t="n">
        <v>122.93</v>
      </c>
      <c r="G565" t="inlineStr"/>
      <c r="I565" t="inlineStr">
        <is>
          <t>M3</t>
        </is>
      </c>
      <c r="J565" t="inlineStr"/>
      <c r="K565" t="inlineStr">
        <is>
          <t>20190426</t>
        </is>
      </c>
      <c r="L565" t="inlineStr">
        <is>
          <t>20250127</t>
        </is>
      </c>
    </row>
    <row r="566">
      <c r="A566" t="inlineStr">
        <is>
          <t>900002574</t>
        </is>
      </c>
      <c r="B566" t="inlineStr">
        <is>
          <t>D836</t>
        </is>
      </c>
      <c r="C566" t="inlineStr">
        <is>
          <t>66885144</t>
        </is>
      </c>
      <c r="D566" t="inlineStr">
        <is>
          <t>10000441</t>
        </is>
      </c>
      <c r="E566" t="inlineStr"/>
      <c r="F566" s="11" t="n">
        <v>135.87</v>
      </c>
      <c r="G566" t="inlineStr"/>
      <c r="I566" t="inlineStr">
        <is>
          <t>M3</t>
        </is>
      </c>
      <c r="J566" t="inlineStr"/>
      <c r="K566" t="inlineStr">
        <is>
          <t>20190426</t>
        </is>
      </c>
      <c r="L566" t="inlineStr">
        <is>
          <t>20250127</t>
        </is>
      </c>
    </row>
    <row r="567">
      <c r="A567" t="inlineStr">
        <is>
          <t>900002574</t>
        </is>
      </c>
      <c r="B567" t="inlineStr">
        <is>
          <t>D836</t>
        </is>
      </c>
      <c r="C567" t="inlineStr">
        <is>
          <t>66885144</t>
        </is>
      </c>
      <c r="D567" t="inlineStr">
        <is>
          <t>10183535</t>
        </is>
      </c>
      <c r="E567" t="inlineStr"/>
      <c r="F567" s="11" t="n">
        <v>145</v>
      </c>
      <c r="G567" t="inlineStr"/>
      <c r="I567" t="inlineStr">
        <is>
          <t>M3</t>
        </is>
      </c>
      <c r="J567" t="inlineStr"/>
      <c r="K567" t="inlineStr">
        <is>
          <t>20190426</t>
        </is>
      </c>
      <c r="L567" t="inlineStr">
        <is>
          <t>20250127</t>
        </is>
      </c>
    </row>
    <row r="568">
      <c r="A568" t="inlineStr">
        <is>
          <t>900002574</t>
        </is>
      </c>
      <c r="B568" t="inlineStr">
        <is>
          <t>D836</t>
        </is>
      </c>
      <c r="C568" t="inlineStr">
        <is>
          <t>66886969</t>
        </is>
      </c>
      <c r="D568" t="inlineStr">
        <is>
          <t>10000160</t>
        </is>
      </c>
      <c r="E568" t="inlineStr"/>
      <c r="F568" s="11" t="n">
        <v>108.97</v>
      </c>
      <c r="G568" t="inlineStr"/>
      <c r="I568" t="inlineStr">
        <is>
          <t>M3</t>
        </is>
      </c>
      <c r="J568" t="inlineStr"/>
      <c r="K568" t="inlineStr">
        <is>
          <t>20190426</t>
        </is>
      </c>
      <c r="L568" t="inlineStr">
        <is>
          <t>20250127</t>
        </is>
      </c>
    </row>
    <row r="569">
      <c r="A569" t="inlineStr">
        <is>
          <t>900002574</t>
        </is>
      </c>
      <c r="B569" t="inlineStr">
        <is>
          <t>D836</t>
        </is>
      </c>
      <c r="C569" t="inlineStr">
        <is>
          <t>66886969</t>
        </is>
      </c>
      <c r="D569" t="inlineStr">
        <is>
          <t>10000357</t>
        </is>
      </c>
      <c r="E569" t="inlineStr"/>
      <c r="F569" s="11" t="n">
        <v>140</v>
      </c>
      <c r="G569" t="inlineStr"/>
      <c r="I569" t="inlineStr">
        <is>
          <t>M3</t>
        </is>
      </c>
      <c r="J569" t="inlineStr"/>
      <c r="K569" t="inlineStr">
        <is>
          <t>20190426</t>
        </is>
      </c>
      <c r="L569" t="inlineStr">
        <is>
          <t>20250127</t>
        </is>
      </c>
    </row>
    <row r="570">
      <c r="A570" t="inlineStr">
        <is>
          <t>900002574</t>
        </is>
      </c>
      <c r="B570" t="inlineStr">
        <is>
          <t>D836</t>
        </is>
      </c>
      <c r="C570" t="inlineStr">
        <is>
          <t>66886969</t>
        </is>
      </c>
      <c r="D570" t="inlineStr">
        <is>
          <t>10000649</t>
        </is>
      </c>
      <c r="E570" t="inlineStr"/>
      <c r="F570" s="11" t="n">
        <v>155.87</v>
      </c>
      <c r="G570" t="inlineStr"/>
      <c r="I570" t="inlineStr">
        <is>
          <t>M3</t>
        </is>
      </c>
      <c r="J570" t="inlineStr"/>
      <c r="K570" t="inlineStr">
        <is>
          <t>20190426</t>
        </is>
      </c>
      <c r="L570" t="inlineStr">
        <is>
          <t>20250127</t>
        </is>
      </c>
    </row>
    <row r="571">
      <c r="A571" t="inlineStr">
        <is>
          <t>900002574</t>
        </is>
      </c>
      <c r="B571" t="inlineStr">
        <is>
          <t>D836</t>
        </is>
      </c>
      <c r="C571" t="inlineStr">
        <is>
          <t>66894711</t>
        </is>
      </c>
      <c r="D571" t="inlineStr">
        <is>
          <t>10000160</t>
        </is>
      </c>
      <c r="E571" t="inlineStr"/>
      <c r="F571" s="11" t="n">
        <v>115</v>
      </c>
      <c r="G571" t="inlineStr"/>
      <c r="I571" t="inlineStr">
        <is>
          <t>M3</t>
        </is>
      </c>
      <c r="J571" t="inlineStr"/>
      <c r="K571" t="inlineStr">
        <is>
          <t>20190426</t>
        </is>
      </c>
      <c r="L571" t="inlineStr">
        <is>
          <t>20250127</t>
        </is>
      </c>
    </row>
    <row r="572">
      <c r="A572" t="inlineStr">
        <is>
          <t>900002574</t>
        </is>
      </c>
      <c r="B572" t="inlineStr">
        <is>
          <t>D836</t>
        </is>
      </c>
      <c r="C572" t="inlineStr">
        <is>
          <t>66894711</t>
        </is>
      </c>
      <c r="D572" t="inlineStr">
        <is>
          <t>10000206</t>
        </is>
      </c>
      <c r="E572" t="inlineStr"/>
      <c r="F572" s="11" t="n">
        <v>70</v>
      </c>
      <c r="G572" t="inlineStr"/>
      <c r="I572" t="inlineStr">
        <is>
          <t>M3</t>
        </is>
      </c>
      <c r="J572" t="inlineStr"/>
      <c r="K572" t="inlineStr">
        <is>
          <t>20190426</t>
        </is>
      </c>
      <c r="L572" t="inlineStr">
        <is>
          <t>20250127</t>
        </is>
      </c>
    </row>
    <row r="573">
      <c r="A573" t="inlineStr">
        <is>
          <t>900002574</t>
        </is>
      </c>
      <c r="B573" t="inlineStr">
        <is>
          <t>D836</t>
        </is>
      </c>
      <c r="C573" t="inlineStr">
        <is>
          <t>66894711</t>
        </is>
      </c>
      <c r="D573" t="inlineStr">
        <is>
          <t>10000357</t>
        </is>
      </c>
      <c r="E573" t="inlineStr"/>
      <c r="F573" s="11" t="n">
        <v>125</v>
      </c>
      <c r="G573" t="inlineStr"/>
      <c r="I573" t="inlineStr">
        <is>
          <t>M3</t>
        </is>
      </c>
      <c r="J573" t="inlineStr"/>
      <c r="K573" t="inlineStr">
        <is>
          <t>20190426</t>
        </is>
      </c>
      <c r="L573" t="inlineStr">
        <is>
          <t>20250127</t>
        </is>
      </c>
    </row>
    <row r="574">
      <c r="A574" t="inlineStr">
        <is>
          <t>900002574</t>
        </is>
      </c>
      <c r="B574" t="inlineStr">
        <is>
          <t>D836</t>
        </is>
      </c>
      <c r="C574" t="inlineStr">
        <is>
          <t>66894711</t>
        </is>
      </c>
      <c r="D574" t="inlineStr">
        <is>
          <t>10189325</t>
        </is>
      </c>
      <c r="E574" t="inlineStr"/>
      <c r="F574" s="11" t="n">
        <v>160</v>
      </c>
      <c r="G574" t="inlineStr"/>
      <c r="I574" t="inlineStr">
        <is>
          <t>M3</t>
        </is>
      </c>
      <c r="J574" t="inlineStr"/>
      <c r="K574" t="inlineStr">
        <is>
          <t>20190426</t>
        </is>
      </c>
      <c r="L574" t="inlineStr">
        <is>
          <t>20250127</t>
        </is>
      </c>
    </row>
    <row r="575">
      <c r="A575" t="inlineStr">
        <is>
          <t>900002574</t>
        </is>
      </c>
      <c r="B575" t="inlineStr">
        <is>
          <t>D836</t>
        </is>
      </c>
      <c r="C575" t="inlineStr">
        <is>
          <t>66897460</t>
        </is>
      </c>
      <c r="D575" t="inlineStr">
        <is>
          <t>10000651</t>
        </is>
      </c>
      <c r="E575" t="inlineStr"/>
      <c r="F575" s="11" t="n">
        <v>116.21</v>
      </c>
      <c r="G575" t="inlineStr"/>
      <c r="I575" t="inlineStr">
        <is>
          <t>M3</t>
        </is>
      </c>
      <c r="J575" t="inlineStr"/>
      <c r="K575" t="inlineStr">
        <is>
          <t>20190426</t>
        </is>
      </c>
      <c r="L575" t="inlineStr">
        <is>
          <t>20250127</t>
        </is>
      </c>
    </row>
    <row r="576">
      <c r="A576" t="inlineStr">
        <is>
          <t>900002574</t>
        </is>
      </c>
      <c r="B576" t="inlineStr">
        <is>
          <t>D836</t>
        </is>
      </c>
      <c r="C576" t="inlineStr">
        <is>
          <t>66897460</t>
        </is>
      </c>
      <c r="D576" t="inlineStr">
        <is>
          <t>10154416</t>
        </is>
      </c>
      <c r="E576" t="inlineStr"/>
      <c r="F576" s="11" t="n">
        <v>125</v>
      </c>
      <c r="G576" t="inlineStr"/>
      <c r="I576" t="inlineStr">
        <is>
          <t>M3</t>
        </is>
      </c>
      <c r="J576" t="inlineStr"/>
      <c r="K576" t="inlineStr">
        <is>
          <t>20190426</t>
        </is>
      </c>
      <c r="L576" t="inlineStr">
        <is>
          <t>20250127</t>
        </is>
      </c>
    </row>
    <row r="577">
      <c r="A577" t="inlineStr">
        <is>
          <t>900002574</t>
        </is>
      </c>
      <c r="B577" t="inlineStr">
        <is>
          <t>D836</t>
        </is>
      </c>
      <c r="C577" t="inlineStr">
        <is>
          <t>66897460</t>
        </is>
      </c>
      <c r="D577" t="inlineStr">
        <is>
          <t>10183535</t>
        </is>
      </c>
      <c r="E577" t="inlineStr"/>
      <c r="F577" s="11" t="n">
        <v>200</v>
      </c>
      <c r="G577" t="inlineStr"/>
      <c r="I577" t="inlineStr">
        <is>
          <t>M3</t>
        </is>
      </c>
      <c r="J577" t="inlineStr"/>
      <c r="K577" t="inlineStr">
        <is>
          <t>20190426</t>
        </is>
      </c>
      <c r="L577" t="inlineStr">
        <is>
          <t>20250127</t>
        </is>
      </c>
    </row>
    <row r="578">
      <c r="A578" t="inlineStr">
        <is>
          <t>900002574</t>
        </is>
      </c>
      <c r="B578" t="inlineStr">
        <is>
          <t>D836</t>
        </is>
      </c>
      <c r="C578" t="inlineStr">
        <is>
          <t>66897867</t>
        </is>
      </c>
      <c r="D578" t="inlineStr">
        <is>
          <t>10000160</t>
        </is>
      </c>
      <c r="E578" t="inlineStr"/>
      <c r="F578" s="11" t="n">
        <v>127.08</v>
      </c>
      <c r="G578" t="inlineStr"/>
      <c r="I578" t="inlineStr">
        <is>
          <t>M3</t>
        </is>
      </c>
      <c r="J578" t="inlineStr"/>
      <c r="K578" t="inlineStr">
        <is>
          <t>20190426</t>
        </is>
      </c>
      <c r="L578" t="inlineStr">
        <is>
          <t>20250127</t>
        </is>
      </c>
    </row>
    <row r="579">
      <c r="A579" t="inlineStr">
        <is>
          <t>900002574</t>
        </is>
      </c>
      <c r="B579" t="inlineStr">
        <is>
          <t>D836</t>
        </is>
      </c>
      <c r="C579" t="inlineStr">
        <is>
          <t>66897867</t>
        </is>
      </c>
      <c r="D579" t="inlineStr">
        <is>
          <t>10000357</t>
        </is>
      </c>
      <c r="E579" t="inlineStr"/>
      <c r="F579" s="11" t="n">
        <v>147.08</v>
      </c>
      <c r="G579" t="inlineStr"/>
      <c r="I579" t="inlineStr">
        <is>
          <t>M3</t>
        </is>
      </c>
      <c r="J579" t="inlineStr"/>
      <c r="K579" t="inlineStr">
        <is>
          <t>20190426</t>
        </is>
      </c>
      <c r="L579" t="inlineStr">
        <is>
          <t>20250127</t>
        </is>
      </c>
    </row>
    <row r="580">
      <c r="A580" t="inlineStr">
        <is>
          <t>900002574</t>
        </is>
      </c>
      <c r="B580" t="inlineStr">
        <is>
          <t>D836</t>
        </is>
      </c>
      <c r="C580" t="inlineStr">
        <is>
          <t>66906558</t>
        </is>
      </c>
      <c r="D580" t="inlineStr">
        <is>
          <t>10000133</t>
        </is>
      </c>
      <c r="E580" t="inlineStr"/>
      <c r="F580" s="11" t="n">
        <v>186</v>
      </c>
      <c r="G580" t="inlineStr"/>
      <c r="I580" t="inlineStr">
        <is>
          <t>M3</t>
        </is>
      </c>
      <c r="J580" t="inlineStr"/>
      <c r="K580" t="inlineStr">
        <is>
          <t>20190426</t>
        </is>
      </c>
      <c r="L580" t="inlineStr">
        <is>
          <t>20250127</t>
        </is>
      </c>
    </row>
    <row r="581">
      <c r="A581" t="inlineStr">
        <is>
          <t>900002574</t>
        </is>
      </c>
      <c r="B581" t="inlineStr">
        <is>
          <t>D836</t>
        </is>
      </c>
      <c r="C581" t="inlineStr">
        <is>
          <t>66906558</t>
        </is>
      </c>
      <c r="D581" t="inlineStr">
        <is>
          <t>10000160</t>
        </is>
      </c>
      <c r="E581" t="inlineStr"/>
      <c r="F581" s="11" t="n">
        <v>105</v>
      </c>
      <c r="G581" t="inlineStr"/>
      <c r="I581" t="inlineStr">
        <is>
          <t>M3</t>
        </is>
      </c>
      <c r="J581" t="inlineStr"/>
      <c r="K581" t="inlineStr">
        <is>
          <t>20190426</t>
        </is>
      </c>
      <c r="L581" t="inlineStr">
        <is>
          <t>20250127</t>
        </is>
      </c>
    </row>
    <row r="582">
      <c r="A582" t="inlineStr">
        <is>
          <t>900002574</t>
        </is>
      </c>
      <c r="B582" t="inlineStr">
        <is>
          <t>D836</t>
        </is>
      </c>
      <c r="C582" t="inlineStr">
        <is>
          <t>66906558</t>
        </is>
      </c>
      <c r="D582" t="inlineStr">
        <is>
          <t>10000357</t>
        </is>
      </c>
      <c r="E582" t="inlineStr"/>
      <c r="F582" s="11" t="n">
        <v>120</v>
      </c>
      <c r="G582" t="inlineStr"/>
      <c r="I582" t="inlineStr">
        <is>
          <t>M3</t>
        </is>
      </c>
      <c r="J582" t="inlineStr"/>
      <c r="K582" t="inlineStr">
        <is>
          <t>20190426</t>
        </is>
      </c>
      <c r="L582" t="inlineStr">
        <is>
          <t>20250127</t>
        </is>
      </c>
    </row>
    <row r="583">
      <c r="A583" t="inlineStr">
        <is>
          <t>900002574</t>
        </is>
      </c>
      <c r="B583" t="inlineStr">
        <is>
          <t>D836</t>
        </is>
      </c>
      <c r="C583" t="inlineStr">
        <is>
          <t>66906558</t>
        </is>
      </c>
      <c r="D583" t="inlineStr">
        <is>
          <t>10000630</t>
        </is>
      </c>
      <c r="E583" t="inlineStr"/>
      <c r="F583" s="11" t="n">
        <v>200</v>
      </c>
      <c r="G583" t="inlineStr"/>
      <c r="I583" t="inlineStr">
        <is>
          <t>M3</t>
        </is>
      </c>
      <c r="J583" t="inlineStr"/>
      <c r="K583" t="inlineStr">
        <is>
          <t>20190426</t>
        </is>
      </c>
      <c r="L583" t="inlineStr">
        <is>
          <t>20250127</t>
        </is>
      </c>
    </row>
    <row r="584">
      <c r="A584" t="inlineStr">
        <is>
          <t>900002574</t>
        </is>
      </c>
      <c r="B584" t="inlineStr">
        <is>
          <t>D836</t>
        </is>
      </c>
      <c r="C584" t="inlineStr">
        <is>
          <t>66906558</t>
        </is>
      </c>
      <c r="D584" t="inlineStr">
        <is>
          <t>10058345</t>
        </is>
      </c>
      <c r="E584" t="inlineStr"/>
      <c r="F584" s="11" t="n">
        <v>126</v>
      </c>
      <c r="G584" t="inlineStr"/>
      <c r="I584" t="inlineStr">
        <is>
          <t>M3</t>
        </is>
      </c>
      <c r="J584" t="inlineStr"/>
      <c r="K584" t="inlineStr">
        <is>
          <t>20190426</t>
        </is>
      </c>
      <c r="L584" t="inlineStr">
        <is>
          <t>20250127</t>
        </is>
      </c>
    </row>
    <row r="585">
      <c r="A585" t="inlineStr">
        <is>
          <t>900002574</t>
        </is>
      </c>
      <c r="B585" t="inlineStr">
        <is>
          <t>D836</t>
        </is>
      </c>
      <c r="C585" t="inlineStr">
        <is>
          <t>66908082</t>
        </is>
      </c>
      <c r="D585" t="inlineStr">
        <is>
          <t>10000160</t>
        </is>
      </c>
      <c r="E585" t="inlineStr"/>
      <c r="F585" s="11" t="n">
        <v>115</v>
      </c>
      <c r="G585" t="inlineStr"/>
      <c r="I585" t="inlineStr">
        <is>
          <t>M3</t>
        </is>
      </c>
      <c r="J585" t="inlineStr"/>
      <c r="K585" t="inlineStr">
        <is>
          <t>20190426</t>
        </is>
      </c>
      <c r="L585" t="inlineStr">
        <is>
          <t>20250127</t>
        </is>
      </c>
    </row>
    <row r="586">
      <c r="A586" t="inlineStr">
        <is>
          <t>900002574</t>
        </is>
      </c>
      <c r="B586" t="inlineStr">
        <is>
          <t>D836</t>
        </is>
      </c>
      <c r="C586" t="inlineStr">
        <is>
          <t>66908082</t>
        </is>
      </c>
      <c r="D586" t="inlineStr">
        <is>
          <t>10000357</t>
        </is>
      </c>
      <c r="E586" t="inlineStr"/>
      <c r="F586" s="11" t="n">
        <v>125</v>
      </c>
      <c r="G586" t="inlineStr"/>
      <c r="I586" t="inlineStr">
        <is>
          <t>M3</t>
        </is>
      </c>
      <c r="J586" t="inlineStr"/>
      <c r="K586" t="inlineStr">
        <is>
          <t>20190426</t>
        </is>
      </c>
      <c r="L586" t="inlineStr">
        <is>
          <t>20250127</t>
        </is>
      </c>
    </row>
    <row r="587">
      <c r="A587" t="inlineStr">
        <is>
          <t>900002574</t>
        </is>
      </c>
      <c r="B587" t="inlineStr">
        <is>
          <t>D836</t>
        </is>
      </c>
      <c r="C587" t="inlineStr">
        <is>
          <t>66912090</t>
        </is>
      </c>
      <c r="D587" t="inlineStr">
        <is>
          <t>10000160</t>
        </is>
      </c>
      <c r="E587" t="inlineStr"/>
      <c r="F587" s="11" t="n">
        <v>110</v>
      </c>
      <c r="G587" t="inlineStr"/>
      <c r="I587" t="inlineStr">
        <is>
          <t>M3</t>
        </is>
      </c>
      <c r="J587" t="inlineStr"/>
      <c r="K587" t="inlineStr">
        <is>
          <t>20190426</t>
        </is>
      </c>
      <c r="L587" t="inlineStr">
        <is>
          <t>20250127</t>
        </is>
      </c>
    </row>
    <row r="588">
      <c r="A588" t="inlineStr">
        <is>
          <t>900002574</t>
        </is>
      </c>
      <c r="B588" t="inlineStr">
        <is>
          <t>D836</t>
        </is>
      </c>
      <c r="C588" t="inlineStr">
        <is>
          <t>66912090</t>
        </is>
      </c>
      <c r="D588" t="inlineStr">
        <is>
          <t>10000206</t>
        </is>
      </c>
      <c r="E588" t="inlineStr"/>
      <c r="F588" s="11" t="n">
        <v>40</v>
      </c>
      <c r="G588" t="inlineStr"/>
      <c r="I588" t="inlineStr">
        <is>
          <t>M3</t>
        </is>
      </c>
      <c r="J588" t="inlineStr"/>
      <c r="K588" t="inlineStr">
        <is>
          <t>20190426</t>
        </is>
      </c>
      <c r="L588" t="inlineStr">
        <is>
          <t>20250127</t>
        </is>
      </c>
    </row>
    <row r="589">
      <c r="A589" t="inlineStr">
        <is>
          <t>900002574</t>
        </is>
      </c>
      <c r="B589" t="inlineStr">
        <is>
          <t>D836</t>
        </is>
      </c>
      <c r="C589" t="inlineStr">
        <is>
          <t>66912090</t>
        </is>
      </c>
      <c r="D589" t="inlineStr">
        <is>
          <t>10000357</t>
        </is>
      </c>
      <c r="E589" t="inlineStr"/>
      <c r="F589" s="11" t="n">
        <v>120</v>
      </c>
      <c r="G589" t="inlineStr"/>
      <c r="I589" t="inlineStr">
        <is>
          <t>M3</t>
        </is>
      </c>
      <c r="J589" t="inlineStr"/>
      <c r="K589" t="inlineStr">
        <is>
          <t>20190426</t>
        </is>
      </c>
      <c r="L589" t="inlineStr">
        <is>
          <t>20250127</t>
        </is>
      </c>
    </row>
    <row r="590">
      <c r="A590" t="inlineStr">
        <is>
          <t>900002574</t>
        </is>
      </c>
      <c r="B590" t="inlineStr">
        <is>
          <t>D836</t>
        </is>
      </c>
      <c r="C590" t="inlineStr">
        <is>
          <t>66916190</t>
        </is>
      </c>
      <c r="D590" t="inlineStr">
        <is>
          <t>10000160</t>
        </is>
      </c>
      <c r="E590" t="inlineStr"/>
      <c r="F590" s="11" t="n">
        <v>106</v>
      </c>
      <c r="G590" t="inlineStr"/>
      <c r="I590" t="inlineStr">
        <is>
          <t>M3</t>
        </is>
      </c>
      <c r="J590" t="inlineStr"/>
      <c r="K590" t="inlineStr">
        <is>
          <t>20190426</t>
        </is>
      </c>
      <c r="L590" t="inlineStr">
        <is>
          <t>20250127</t>
        </is>
      </c>
    </row>
    <row r="591">
      <c r="A591" t="inlineStr">
        <is>
          <t>900002574</t>
        </is>
      </c>
      <c r="B591" t="inlineStr">
        <is>
          <t>D836</t>
        </is>
      </c>
      <c r="C591" t="inlineStr">
        <is>
          <t>66916190</t>
        </is>
      </c>
      <c r="D591" t="inlineStr">
        <is>
          <t>10000206</t>
        </is>
      </c>
      <c r="E591" t="inlineStr"/>
      <c r="F591" s="11" t="n">
        <v>61</v>
      </c>
      <c r="G591" t="inlineStr"/>
      <c r="I591" t="inlineStr">
        <is>
          <t>M3</t>
        </is>
      </c>
      <c r="J591" t="inlineStr"/>
      <c r="K591" t="inlineStr">
        <is>
          <t>20190426</t>
        </is>
      </c>
      <c r="L591" t="inlineStr">
        <is>
          <t>20250127</t>
        </is>
      </c>
    </row>
    <row r="592">
      <c r="A592" t="inlineStr">
        <is>
          <t>900002574</t>
        </is>
      </c>
      <c r="B592" t="inlineStr">
        <is>
          <t>D836</t>
        </is>
      </c>
      <c r="C592" t="inlineStr">
        <is>
          <t>66916190</t>
        </is>
      </c>
      <c r="D592" t="inlineStr">
        <is>
          <t>10000357</t>
        </is>
      </c>
      <c r="E592" t="inlineStr"/>
      <c r="F592" s="11" t="n">
        <v>121</v>
      </c>
      <c r="G592" t="inlineStr"/>
      <c r="I592" t="inlineStr">
        <is>
          <t>M3</t>
        </is>
      </c>
      <c r="J592" t="inlineStr"/>
      <c r="K592" t="inlineStr">
        <is>
          <t>20190426</t>
        </is>
      </c>
      <c r="L592" t="inlineStr">
        <is>
          <t>20250127</t>
        </is>
      </c>
    </row>
    <row r="593">
      <c r="A593" t="inlineStr">
        <is>
          <t>900002574</t>
        </is>
      </c>
      <c r="B593" t="inlineStr">
        <is>
          <t>D836</t>
        </is>
      </c>
      <c r="C593" t="inlineStr">
        <is>
          <t>66916279</t>
        </is>
      </c>
      <c r="D593" t="inlineStr">
        <is>
          <t>10000133</t>
        </is>
      </c>
      <c r="E593" t="inlineStr"/>
      <c r="F593" s="11" t="n">
        <v>169.31</v>
      </c>
      <c r="G593" t="inlineStr"/>
      <c r="I593" t="inlineStr">
        <is>
          <t>M3</t>
        </is>
      </c>
      <c r="J593" t="inlineStr"/>
      <c r="K593" t="inlineStr">
        <is>
          <t>20190426</t>
        </is>
      </c>
      <c r="L593" t="inlineStr">
        <is>
          <t>20250127</t>
        </is>
      </c>
    </row>
    <row r="594">
      <c r="A594" t="inlineStr">
        <is>
          <t>900002574</t>
        </is>
      </c>
      <c r="B594" t="inlineStr">
        <is>
          <t>D836</t>
        </is>
      </c>
      <c r="C594" t="inlineStr">
        <is>
          <t>66916279</t>
        </is>
      </c>
      <c r="D594" t="inlineStr">
        <is>
          <t>10000160</t>
        </is>
      </c>
      <c r="E594" t="inlineStr"/>
      <c r="F594" s="11" t="n">
        <v>112.76</v>
      </c>
      <c r="G594" t="inlineStr"/>
      <c r="I594" t="inlineStr">
        <is>
          <t>M3</t>
        </is>
      </c>
      <c r="J594" t="inlineStr"/>
      <c r="K594" t="inlineStr">
        <is>
          <t>20190426</t>
        </is>
      </c>
      <c r="L594" t="inlineStr">
        <is>
          <t>20250127</t>
        </is>
      </c>
    </row>
    <row r="595">
      <c r="A595" t="inlineStr">
        <is>
          <t>900002574</t>
        </is>
      </c>
      <c r="B595" t="inlineStr">
        <is>
          <t>D836</t>
        </is>
      </c>
      <c r="C595" t="inlineStr">
        <is>
          <t>66916279</t>
        </is>
      </c>
      <c r="D595" t="inlineStr">
        <is>
          <t>10000284</t>
        </is>
      </c>
      <c r="E595" t="inlineStr"/>
      <c r="F595" s="11" t="n">
        <v>180</v>
      </c>
      <c r="G595" t="inlineStr"/>
      <c r="I595" t="inlineStr">
        <is>
          <t>M3</t>
        </is>
      </c>
      <c r="J595" t="inlineStr"/>
      <c r="K595" t="inlineStr">
        <is>
          <t>20190426</t>
        </is>
      </c>
      <c r="L595" t="inlineStr">
        <is>
          <t>20250127</t>
        </is>
      </c>
    </row>
    <row r="596">
      <c r="A596" t="inlineStr">
        <is>
          <t>900002574</t>
        </is>
      </c>
      <c r="B596" t="inlineStr">
        <is>
          <t>D836</t>
        </is>
      </c>
      <c r="C596" t="inlineStr">
        <is>
          <t>66916279</t>
        </is>
      </c>
      <c r="D596" t="inlineStr">
        <is>
          <t>10000357</t>
        </is>
      </c>
      <c r="E596" t="inlineStr"/>
      <c r="F596" s="11" t="n">
        <v>132.76</v>
      </c>
      <c r="G596" t="inlineStr"/>
      <c r="I596" t="inlineStr">
        <is>
          <t>M3</t>
        </is>
      </c>
      <c r="J596" t="inlineStr"/>
      <c r="K596" t="inlineStr">
        <is>
          <t>20190426</t>
        </is>
      </c>
      <c r="L596" t="inlineStr">
        <is>
          <t>20250127</t>
        </is>
      </c>
    </row>
    <row r="597">
      <c r="A597" t="inlineStr">
        <is>
          <t>900002574</t>
        </is>
      </c>
      <c r="B597" t="inlineStr">
        <is>
          <t>D836</t>
        </is>
      </c>
      <c r="C597" t="inlineStr">
        <is>
          <t>66916279</t>
        </is>
      </c>
      <c r="D597" t="inlineStr">
        <is>
          <t>10058345</t>
        </is>
      </c>
      <c r="E597" t="inlineStr"/>
      <c r="F597" s="11" t="n">
        <v>129.31</v>
      </c>
      <c r="G597" t="inlineStr"/>
      <c r="I597" t="inlineStr">
        <is>
          <t>M3</t>
        </is>
      </c>
      <c r="J597" t="inlineStr"/>
      <c r="K597" t="inlineStr">
        <is>
          <t>20190426</t>
        </is>
      </c>
      <c r="L597" t="inlineStr">
        <is>
          <t>20250127</t>
        </is>
      </c>
    </row>
    <row r="598">
      <c r="A598" t="inlineStr">
        <is>
          <t>900002574</t>
        </is>
      </c>
      <c r="B598" t="inlineStr">
        <is>
          <t>D836</t>
        </is>
      </c>
      <c r="C598" t="inlineStr">
        <is>
          <t>66933313</t>
        </is>
      </c>
      <c r="D598" t="inlineStr">
        <is>
          <t>10000133</t>
        </is>
      </c>
      <c r="E598" t="inlineStr"/>
      <c r="F598" s="11" t="n">
        <v>125.11</v>
      </c>
      <c r="G598" t="inlineStr"/>
      <c r="I598" t="inlineStr">
        <is>
          <t>TN</t>
        </is>
      </c>
      <c r="J598" t="inlineStr"/>
      <c r="K598" t="inlineStr">
        <is>
          <t>20190426</t>
        </is>
      </c>
      <c r="L598" t="inlineStr">
        <is>
          <t>20250127</t>
        </is>
      </c>
    </row>
    <row r="599">
      <c r="A599" t="inlineStr">
        <is>
          <t>900002574</t>
        </is>
      </c>
      <c r="B599" t="inlineStr">
        <is>
          <t>D836</t>
        </is>
      </c>
      <c r="C599" t="inlineStr">
        <is>
          <t>66933313</t>
        </is>
      </c>
      <c r="D599" t="inlineStr">
        <is>
          <t>10000160</t>
        </is>
      </c>
      <c r="E599" t="inlineStr"/>
      <c r="F599" s="11" t="n">
        <v>94.51000000000001</v>
      </c>
      <c r="G599" t="inlineStr"/>
      <c r="I599" t="inlineStr">
        <is>
          <t>TN</t>
        </is>
      </c>
      <c r="J599" t="inlineStr"/>
      <c r="K599" t="inlineStr">
        <is>
          <t>20190426</t>
        </is>
      </c>
      <c r="L599" t="inlineStr">
        <is>
          <t>20250127</t>
        </is>
      </c>
    </row>
    <row r="600">
      <c r="A600" t="inlineStr">
        <is>
          <t>900002574</t>
        </is>
      </c>
      <c r="B600" t="inlineStr">
        <is>
          <t>D836</t>
        </is>
      </c>
      <c r="C600" t="inlineStr">
        <is>
          <t>66933313</t>
        </is>
      </c>
      <c r="D600" t="inlineStr">
        <is>
          <t>10000357</t>
        </is>
      </c>
      <c r="E600" t="inlineStr"/>
      <c r="F600" s="11" t="n">
        <v>112.87</v>
      </c>
      <c r="G600" t="inlineStr"/>
      <c r="I600" t="inlineStr">
        <is>
          <t>TN</t>
        </is>
      </c>
      <c r="J600" t="inlineStr"/>
      <c r="K600" t="inlineStr">
        <is>
          <t>20190426</t>
        </is>
      </c>
      <c r="L600" t="inlineStr">
        <is>
          <t>20250127</t>
        </is>
      </c>
    </row>
    <row r="601">
      <c r="A601" t="inlineStr">
        <is>
          <t>900002574</t>
        </is>
      </c>
      <c r="B601" t="inlineStr">
        <is>
          <t>D836</t>
        </is>
      </c>
      <c r="C601" t="inlineStr">
        <is>
          <t>66933313</t>
        </is>
      </c>
      <c r="D601" t="inlineStr">
        <is>
          <t>10000623</t>
        </is>
      </c>
      <c r="E601" t="inlineStr"/>
      <c r="F601" s="11" t="n">
        <v>125.11</v>
      </c>
      <c r="G601" t="inlineStr"/>
      <c r="I601" t="inlineStr">
        <is>
          <t>TN</t>
        </is>
      </c>
      <c r="J601" t="inlineStr"/>
      <c r="K601" t="inlineStr">
        <is>
          <t>20190426</t>
        </is>
      </c>
      <c r="L601" t="inlineStr">
        <is>
          <t>20250127</t>
        </is>
      </c>
    </row>
    <row r="602">
      <c r="A602" t="inlineStr">
        <is>
          <t>900002574</t>
        </is>
      </c>
      <c r="B602" t="inlineStr">
        <is>
          <t>D836</t>
        </is>
      </c>
      <c r="C602" t="inlineStr">
        <is>
          <t>66949071</t>
        </is>
      </c>
      <c r="D602" t="inlineStr">
        <is>
          <t>10000133</t>
        </is>
      </c>
      <c r="E602" t="inlineStr"/>
      <c r="F602" s="11" t="n">
        <v>205</v>
      </c>
      <c r="G602" t="inlineStr"/>
      <c r="I602" t="inlineStr">
        <is>
          <t>M3</t>
        </is>
      </c>
      <c r="J602" t="inlineStr"/>
      <c r="K602" t="inlineStr">
        <is>
          <t>20190426</t>
        </is>
      </c>
      <c r="L602" t="inlineStr">
        <is>
          <t>20250127</t>
        </is>
      </c>
    </row>
    <row r="603">
      <c r="A603" t="inlineStr">
        <is>
          <t>900002574</t>
        </is>
      </c>
      <c r="B603" t="inlineStr">
        <is>
          <t>D836</t>
        </is>
      </c>
      <c r="C603" t="inlineStr">
        <is>
          <t>66949071</t>
        </is>
      </c>
      <c r="D603" t="inlineStr">
        <is>
          <t>10000160</t>
        </is>
      </c>
      <c r="E603" t="inlineStr"/>
      <c r="F603" s="11" t="n">
        <v>100</v>
      </c>
      <c r="G603" t="inlineStr"/>
      <c r="I603" t="inlineStr">
        <is>
          <t>M3</t>
        </is>
      </c>
      <c r="J603" t="inlineStr"/>
      <c r="K603" t="inlineStr">
        <is>
          <t>20190426</t>
        </is>
      </c>
      <c r="L603" t="inlineStr">
        <is>
          <t>20250127</t>
        </is>
      </c>
    </row>
    <row r="604">
      <c r="A604" t="inlineStr">
        <is>
          <t>900002574</t>
        </is>
      </c>
      <c r="B604" t="inlineStr">
        <is>
          <t>D836</t>
        </is>
      </c>
      <c r="C604" t="inlineStr">
        <is>
          <t>66949186</t>
        </is>
      </c>
      <c r="D604" t="inlineStr">
        <is>
          <t>10000133</t>
        </is>
      </c>
      <c r="E604" t="inlineStr"/>
      <c r="F604" s="11" t="n">
        <v>160</v>
      </c>
      <c r="G604" t="inlineStr"/>
      <c r="I604" t="inlineStr">
        <is>
          <t>M3</t>
        </is>
      </c>
      <c r="J604" t="inlineStr"/>
      <c r="K604" t="inlineStr">
        <is>
          <t>20190426</t>
        </is>
      </c>
      <c r="L604" t="inlineStr">
        <is>
          <t>20250127</t>
        </is>
      </c>
    </row>
    <row r="605">
      <c r="A605" t="inlineStr">
        <is>
          <t>900002574</t>
        </is>
      </c>
      <c r="B605" t="inlineStr">
        <is>
          <t>D836</t>
        </is>
      </c>
      <c r="C605" t="inlineStr">
        <is>
          <t>66949186</t>
        </is>
      </c>
      <c r="D605" t="inlineStr">
        <is>
          <t>10000160</t>
        </is>
      </c>
      <c r="E605" t="inlineStr"/>
      <c r="F605" s="11" t="n">
        <v>130</v>
      </c>
      <c r="G605" t="inlineStr"/>
      <c r="I605" t="inlineStr">
        <is>
          <t>M3</t>
        </is>
      </c>
      <c r="J605" t="inlineStr"/>
      <c r="K605" t="inlineStr">
        <is>
          <t>20190426</t>
        </is>
      </c>
      <c r="L605" t="inlineStr">
        <is>
          <t>20250127</t>
        </is>
      </c>
    </row>
    <row r="606">
      <c r="A606" t="inlineStr">
        <is>
          <t>900002574</t>
        </is>
      </c>
      <c r="B606" t="inlineStr">
        <is>
          <t>D836</t>
        </is>
      </c>
      <c r="C606" t="inlineStr">
        <is>
          <t>66949186</t>
        </is>
      </c>
      <c r="D606" t="inlineStr">
        <is>
          <t>10000357</t>
        </is>
      </c>
      <c r="E606" t="inlineStr"/>
      <c r="F606" s="11" t="n">
        <v>150</v>
      </c>
      <c r="G606" t="inlineStr"/>
      <c r="I606" t="inlineStr">
        <is>
          <t>M3</t>
        </is>
      </c>
      <c r="J606" t="inlineStr"/>
      <c r="K606" t="inlineStr">
        <is>
          <t>20190426</t>
        </is>
      </c>
      <c r="L606" t="inlineStr">
        <is>
          <t>20250127</t>
        </is>
      </c>
    </row>
    <row r="607">
      <c r="A607" t="inlineStr">
        <is>
          <t>900002574</t>
        </is>
      </c>
      <c r="B607" t="inlineStr">
        <is>
          <t>D836</t>
        </is>
      </c>
      <c r="C607" t="inlineStr">
        <is>
          <t>66949186</t>
        </is>
      </c>
      <c r="D607" t="inlineStr">
        <is>
          <t>10000623</t>
        </is>
      </c>
      <c r="E607" t="inlineStr"/>
      <c r="F607" s="11" t="n">
        <v>210</v>
      </c>
      <c r="G607" t="inlineStr"/>
      <c r="I607" t="inlineStr">
        <is>
          <t>M3</t>
        </is>
      </c>
      <c r="J607" t="inlineStr"/>
      <c r="K607" t="inlineStr">
        <is>
          <t>20190426</t>
        </is>
      </c>
      <c r="L607" t="inlineStr">
        <is>
          <t>20250127</t>
        </is>
      </c>
    </row>
    <row r="608">
      <c r="A608" t="inlineStr">
        <is>
          <t>900002574</t>
        </is>
      </c>
      <c r="B608" t="inlineStr">
        <is>
          <t>D836</t>
        </is>
      </c>
      <c r="C608" t="inlineStr">
        <is>
          <t>66951255</t>
        </is>
      </c>
      <c r="D608" t="inlineStr">
        <is>
          <t>10000160</t>
        </is>
      </c>
      <c r="E608" t="inlineStr"/>
      <c r="F608" s="11" t="n">
        <v>117.66</v>
      </c>
      <c r="G608" t="inlineStr"/>
      <c r="I608" t="inlineStr">
        <is>
          <t>M3</t>
        </is>
      </c>
      <c r="J608" t="inlineStr"/>
      <c r="K608" t="inlineStr">
        <is>
          <t>20190426</t>
        </is>
      </c>
      <c r="L608" t="inlineStr">
        <is>
          <t>20250127</t>
        </is>
      </c>
    </row>
    <row r="609">
      <c r="A609" t="inlineStr">
        <is>
          <t>900002574</t>
        </is>
      </c>
      <c r="B609" t="inlineStr">
        <is>
          <t>D836</t>
        </is>
      </c>
      <c r="C609" t="inlineStr">
        <is>
          <t>66951255</t>
        </is>
      </c>
      <c r="D609" t="inlineStr">
        <is>
          <t>10000357</t>
        </is>
      </c>
      <c r="E609" t="inlineStr"/>
      <c r="F609" s="11" t="n">
        <v>137.66</v>
      </c>
      <c r="G609" t="inlineStr"/>
      <c r="I609" t="inlineStr">
        <is>
          <t>M3</t>
        </is>
      </c>
      <c r="J609" t="inlineStr"/>
      <c r="K609" t="inlineStr">
        <is>
          <t>20190426</t>
        </is>
      </c>
      <c r="L609" t="inlineStr">
        <is>
          <t>20250127</t>
        </is>
      </c>
    </row>
    <row r="610">
      <c r="A610" t="inlineStr">
        <is>
          <t>900002574</t>
        </is>
      </c>
      <c r="B610" t="inlineStr">
        <is>
          <t>D836</t>
        </is>
      </c>
      <c r="C610" t="inlineStr">
        <is>
          <t>66976140</t>
        </is>
      </c>
      <c r="D610" t="inlineStr">
        <is>
          <t>10000133</t>
        </is>
      </c>
      <c r="E610" t="inlineStr"/>
      <c r="F610" s="11" t="n">
        <v>220</v>
      </c>
      <c r="G610" t="inlineStr"/>
      <c r="I610" t="inlineStr">
        <is>
          <t>M3</t>
        </is>
      </c>
      <c r="J610" t="inlineStr"/>
      <c r="K610" t="inlineStr">
        <is>
          <t>20190426</t>
        </is>
      </c>
      <c r="L610" t="inlineStr">
        <is>
          <t>20250127</t>
        </is>
      </c>
    </row>
    <row r="611">
      <c r="A611" t="inlineStr">
        <is>
          <t>900002574</t>
        </is>
      </c>
      <c r="B611" t="inlineStr">
        <is>
          <t>D836</t>
        </is>
      </c>
      <c r="C611" t="inlineStr">
        <is>
          <t>66987749</t>
        </is>
      </c>
      <c r="D611" t="inlineStr">
        <is>
          <t>10000623</t>
        </is>
      </c>
      <c r="E611" t="inlineStr"/>
      <c r="F611" s="11" t="n">
        <v>125</v>
      </c>
      <c r="G611" t="inlineStr"/>
      <c r="I611" t="inlineStr">
        <is>
          <t>M3</t>
        </is>
      </c>
      <c r="J611" t="inlineStr"/>
      <c r="K611" t="inlineStr">
        <is>
          <t>20190426</t>
        </is>
      </c>
      <c r="L611" t="inlineStr">
        <is>
          <t>20250127</t>
        </is>
      </c>
    </row>
    <row r="612">
      <c r="A612" t="inlineStr">
        <is>
          <t>900002574</t>
        </is>
      </c>
      <c r="B612" t="inlineStr">
        <is>
          <t>D836</t>
        </is>
      </c>
      <c r="C612" t="inlineStr">
        <is>
          <t>67007917</t>
        </is>
      </c>
      <c r="D612" t="inlineStr">
        <is>
          <t>10189325</t>
        </is>
      </c>
      <c r="E612" t="inlineStr"/>
      <c r="F612" s="11" t="n">
        <v>450</v>
      </c>
      <c r="G612" t="inlineStr"/>
      <c r="I612" t="inlineStr">
        <is>
          <t>M3</t>
        </is>
      </c>
      <c r="J612" t="inlineStr"/>
      <c r="K612" t="inlineStr">
        <is>
          <t>20190426</t>
        </is>
      </c>
      <c r="L612" t="inlineStr">
        <is>
          <t>20250127</t>
        </is>
      </c>
    </row>
    <row r="613">
      <c r="A613" t="inlineStr">
        <is>
          <t>900002574</t>
        </is>
      </c>
      <c r="B613" t="inlineStr">
        <is>
          <t>D836</t>
        </is>
      </c>
      <c r="C613" t="inlineStr">
        <is>
          <t>67018621</t>
        </is>
      </c>
      <c r="D613" t="inlineStr">
        <is>
          <t>10000160</t>
        </is>
      </c>
      <c r="E613" t="inlineStr"/>
      <c r="F613" s="11" t="n">
        <v>110</v>
      </c>
      <c r="G613" t="inlineStr"/>
      <c r="I613" t="inlineStr">
        <is>
          <t>M3</t>
        </is>
      </c>
      <c r="J613" t="inlineStr"/>
      <c r="K613" t="inlineStr">
        <is>
          <t>20190426</t>
        </is>
      </c>
      <c r="L613" t="inlineStr">
        <is>
          <t>20250127</t>
        </is>
      </c>
    </row>
    <row r="614">
      <c r="A614" t="inlineStr">
        <is>
          <t>900002574</t>
        </is>
      </c>
      <c r="B614" t="inlineStr">
        <is>
          <t>D836</t>
        </is>
      </c>
      <c r="C614" t="inlineStr">
        <is>
          <t>67018621</t>
        </is>
      </c>
      <c r="D614" t="inlineStr">
        <is>
          <t>10000357</t>
        </is>
      </c>
      <c r="E614" t="inlineStr"/>
      <c r="F614" s="11" t="n">
        <v>127</v>
      </c>
      <c r="G614" t="inlineStr"/>
      <c r="I614" t="inlineStr">
        <is>
          <t>M3</t>
        </is>
      </c>
      <c r="J614" t="inlineStr"/>
      <c r="K614" t="inlineStr">
        <is>
          <t>20190426</t>
        </is>
      </c>
      <c r="L614" t="inlineStr">
        <is>
          <t>20250127</t>
        </is>
      </c>
    </row>
    <row r="615">
      <c r="A615" t="inlineStr">
        <is>
          <t>900002574</t>
        </is>
      </c>
      <c r="B615" t="inlineStr">
        <is>
          <t>D836</t>
        </is>
      </c>
      <c r="C615" t="inlineStr">
        <is>
          <t>67018621</t>
        </is>
      </c>
      <c r="D615" t="inlineStr">
        <is>
          <t>10000649</t>
        </is>
      </c>
      <c r="E615" t="inlineStr"/>
      <c r="F615" s="11" t="n">
        <v>132</v>
      </c>
      <c r="G615" t="inlineStr"/>
      <c r="I615" t="inlineStr">
        <is>
          <t>M3</t>
        </is>
      </c>
      <c r="J615" t="inlineStr"/>
      <c r="K615" t="inlineStr">
        <is>
          <t>20190426</t>
        </is>
      </c>
      <c r="L615" t="inlineStr">
        <is>
          <t>20250127</t>
        </is>
      </c>
    </row>
    <row r="616">
      <c r="A616" t="inlineStr">
        <is>
          <t>900002574</t>
        </is>
      </c>
      <c r="B616" t="inlineStr">
        <is>
          <t>D836</t>
        </is>
      </c>
      <c r="C616" t="inlineStr">
        <is>
          <t>67019802</t>
        </is>
      </c>
      <c r="D616" t="inlineStr">
        <is>
          <t>10000623</t>
        </is>
      </c>
      <c r="E616" t="inlineStr"/>
      <c r="F616" s="11" t="n">
        <v>125</v>
      </c>
      <c r="G616" t="inlineStr"/>
      <c r="I616" t="inlineStr">
        <is>
          <t>M3</t>
        </is>
      </c>
      <c r="J616" t="inlineStr"/>
      <c r="K616" t="inlineStr">
        <is>
          <t>20190426</t>
        </is>
      </c>
      <c r="L616" t="inlineStr">
        <is>
          <t>20250127</t>
        </is>
      </c>
    </row>
    <row r="617">
      <c r="A617" t="inlineStr">
        <is>
          <t>900002574</t>
        </is>
      </c>
      <c r="B617" t="inlineStr">
        <is>
          <t>D836</t>
        </is>
      </c>
      <c r="C617" t="inlineStr">
        <is>
          <t>67040133</t>
        </is>
      </c>
      <c r="D617" t="inlineStr">
        <is>
          <t>10000623</t>
        </is>
      </c>
      <c r="E617" t="inlineStr"/>
      <c r="F617" s="11" t="n">
        <v>517</v>
      </c>
      <c r="G617" t="inlineStr"/>
      <c r="I617" t="inlineStr">
        <is>
          <t>M3</t>
        </is>
      </c>
      <c r="J617" t="inlineStr"/>
      <c r="K617" t="inlineStr">
        <is>
          <t>20190426</t>
        </is>
      </c>
      <c r="L617" t="inlineStr">
        <is>
          <t>20250127</t>
        </is>
      </c>
    </row>
    <row r="618">
      <c r="A618" t="inlineStr">
        <is>
          <t>900002574</t>
        </is>
      </c>
      <c r="B618" t="inlineStr">
        <is>
          <t>D836</t>
        </is>
      </c>
      <c r="C618" t="inlineStr">
        <is>
          <t>67040133</t>
        </is>
      </c>
      <c r="D618" t="inlineStr">
        <is>
          <t>10000649</t>
        </is>
      </c>
      <c r="E618" t="inlineStr"/>
      <c r="F618" s="11" t="n">
        <v>400</v>
      </c>
      <c r="G618" t="inlineStr"/>
      <c r="I618" t="inlineStr">
        <is>
          <t>M3</t>
        </is>
      </c>
      <c r="J618" t="inlineStr"/>
      <c r="K618" t="inlineStr">
        <is>
          <t>20190426</t>
        </is>
      </c>
      <c r="L618" t="inlineStr">
        <is>
          <t>20250127</t>
        </is>
      </c>
    </row>
    <row r="619">
      <c r="A619" t="inlineStr">
        <is>
          <t>900002574</t>
        </is>
      </c>
      <c r="B619" t="inlineStr">
        <is>
          <t>D836</t>
        </is>
      </c>
      <c r="C619" t="inlineStr">
        <is>
          <t>67073185</t>
        </is>
      </c>
      <c r="D619" t="inlineStr">
        <is>
          <t>10000133</t>
        </is>
      </c>
      <c r="E619" t="inlineStr"/>
      <c r="F619" s="11" t="n">
        <v>543.5</v>
      </c>
      <c r="G619" t="inlineStr"/>
      <c r="I619" t="inlineStr">
        <is>
          <t>M3</t>
        </is>
      </c>
      <c r="J619" t="inlineStr"/>
      <c r="K619" t="inlineStr">
        <is>
          <t>20190426</t>
        </is>
      </c>
      <c r="L619" t="inlineStr">
        <is>
          <t>20250127</t>
        </is>
      </c>
    </row>
    <row r="620">
      <c r="A620" t="inlineStr">
        <is>
          <t>900002574</t>
        </is>
      </c>
      <c r="B620" t="inlineStr">
        <is>
          <t>D836</t>
        </is>
      </c>
      <c r="C620" t="inlineStr">
        <is>
          <t>67073185</t>
        </is>
      </c>
      <c r="D620" t="inlineStr">
        <is>
          <t>10058345</t>
        </is>
      </c>
      <c r="E620" t="inlineStr"/>
      <c r="F620" s="11" t="n">
        <v>96.67</v>
      </c>
      <c r="G620" t="inlineStr"/>
      <c r="I620" t="inlineStr">
        <is>
          <t>TN</t>
        </is>
      </c>
      <c r="J620" t="inlineStr"/>
      <c r="K620" t="inlineStr">
        <is>
          <t>20190426</t>
        </is>
      </c>
      <c r="L620" t="inlineStr">
        <is>
          <t>20250127</t>
        </is>
      </c>
    </row>
    <row r="621">
      <c r="A621" t="inlineStr">
        <is>
          <t>900002574</t>
        </is>
      </c>
      <c r="B621" t="inlineStr">
        <is>
          <t>D836</t>
        </is>
      </c>
      <c r="C621" t="inlineStr">
        <is>
          <t>67079060</t>
        </is>
      </c>
      <c r="D621" t="inlineStr">
        <is>
          <t>10000133</t>
        </is>
      </c>
      <c r="E621" t="inlineStr"/>
      <c r="F621" s="11" t="n">
        <v>543.5</v>
      </c>
      <c r="G621" t="inlineStr"/>
      <c r="I621" t="inlineStr">
        <is>
          <t>M3</t>
        </is>
      </c>
      <c r="J621" t="inlineStr"/>
      <c r="K621" t="inlineStr">
        <is>
          <t>20190426</t>
        </is>
      </c>
      <c r="L621" t="inlineStr">
        <is>
          <t>20250127</t>
        </is>
      </c>
    </row>
    <row r="622">
      <c r="A622" t="inlineStr">
        <is>
          <t>900002574</t>
        </is>
      </c>
      <c r="B622" t="inlineStr">
        <is>
          <t>D836</t>
        </is>
      </c>
      <c r="C622" t="inlineStr">
        <is>
          <t>67104946</t>
        </is>
      </c>
      <c r="D622" t="inlineStr">
        <is>
          <t>10000630</t>
        </is>
      </c>
      <c r="E622" t="inlineStr"/>
      <c r="F622" s="11" t="n">
        <v>570</v>
      </c>
      <c r="G622" t="inlineStr"/>
      <c r="I622" t="inlineStr">
        <is>
          <t>M3</t>
        </is>
      </c>
      <c r="J622" t="inlineStr"/>
      <c r="K622" t="inlineStr">
        <is>
          <t>20190426</t>
        </is>
      </c>
      <c r="L622" t="inlineStr">
        <is>
          <t>20250127</t>
        </is>
      </c>
    </row>
    <row r="623">
      <c r="A623" t="inlineStr">
        <is>
          <t>900002574</t>
        </is>
      </c>
      <c r="B623" t="inlineStr">
        <is>
          <t>D836</t>
        </is>
      </c>
      <c r="C623" t="inlineStr">
        <is>
          <t>67121213</t>
        </is>
      </c>
      <c r="D623" t="inlineStr">
        <is>
          <t>10000160</t>
        </is>
      </c>
      <c r="E623" t="inlineStr"/>
      <c r="F623" s="11" t="n">
        <v>440</v>
      </c>
      <c r="G623" t="inlineStr"/>
      <c r="I623" t="inlineStr">
        <is>
          <t>M3</t>
        </is>
      </c>
      <c r="J623" t="inlineStr"/>
      <c r="K623" t="inlineStr">
        <is>
          <t>20190426</t>
        </is>
      </c>
      <c r="L623" t="inlineStr">
        <is>
          <t>20250127</t>
        </is>
      </c>
    </row>
    <row r="624">
      <c r="A624" t="inlineStr">
        <is>
          <t>900002574</t>
        </is>
      </c>
      <c r="B624" t="inlineStr">
        <is>
          <t>D836</t>
        </is>
      </c>
      <c r="C624" t="inlineStr">
        <is>
          <t>67121213</t>
        </is>
      </c>
      <c r="D624" t="inlineStr">
        <is>
          <t>10000649</t>
        </is>
      </c>
      <c r="E624" t="inlineStr"/>
      <c r="F624" s="11" t="n">
        <v>430</v>
      </c>
      <c r="G624" t="inlineStr"/>
      <c r="I624" t="inlineStr">
        <is>
          <t>M3</t>
        </is>
      </c>
      <c r="J624" t="inlineStr"/>
      <c r="K624" t="inlineStr">
        <is>
          <t>20190426</t>
        </is>
      </c>
      <c r="L624" t="inlineStr">
        <is>
          <t>20250127</t>
        </is>
      </c>
    </row>
    <row r="625">
      <c r="A625" t="inlineStr">
        <is>
          <t>900002574</t>
        </is>
      </c>
      <c r="B625" t="inlineStr">
        <is>
          <t>D836</t>
        </is>
      </c>
      <c r="C625" t="inlineStr">
        <is>
          <t>67169734</t>
        </is>
      </c>
      <c r="D625" t="inlineStr">
        <is>
          <t>10000160</t>
        </is>
      </c>
      <c r="E625" t="inlineStr"/>
      <c r="F625" s="11" t="n">
        <v>386</v>
      </c>
      <c r="G625" t="inlineStr"/>
      <c r="I625" t="inlineStr">
        <is>
          <t>M3</t>
        </is>
      </c>
      <c r="J625" t="inlineStr"/>
      <c r="K625" t="inlineStr">
        <is>
          <t>20190426</t>
        </is>
      </c>
      <c r="L625" t="inlineStr">
        <is>
          <t>20250127</t>
        </is>
      </c>
    </row>
    <row r="626">
      <c r="A626" t="inlineStr">
        <is>
          <t>900002574</t>
        </is>
      </c>
      <c r="B626" t="inlineStr">
        <is>
          <t>D836</t>
        </is>
      </c>
      <c r="C626" t="inlineStr">
        <is>
          <t>67169734</t>
        </is>
      </c>
      <c r="D626" t="inlineStr">
        <is>
          <t>10000357</t>
        </is>
      </c>
      <c r="E626" t="inlineStr"/>
      <c r="F626" s="11" t="n">
        <v>416</v>
      </c>
      <c r="G626" t="inlineStr"/>
      <c r="I626" t="inlineStr">
        <is>
          <t>M3</t>
        </is>
      </c>
      <c r="J626" t="inlineStr"/>
      <c r="K626" t="inlineStr">
        <is>
          <t>20190426</t>
        </is>
      </c>
      <c r="L626" t="inlineStr">
        <is>
          <t>20250127</t>
        </is>
      </c>
    </row>
    <row r="627">
      <c r="A627" t="inlineStr">
        <is>
          <t>900002574</t>
        </is>
      </c>
      <c r="B627" t="inlineStr">
        <is>
          <t>D836</t>
        </is>
      </c>
      <c r="C627" t="inlineStr">
        <is>
          <t>E492</t>
        </is>
      </c>
      <c r="D627" t="inlineStr">
        <is>
          <t>10000357</t>
        </is>
      </c>
      <c r="E627" t="inlineStr"/>
      <c r="F627" s="11" t="n">
        <v>125</v>
      </c>
      <c r="G627" t="inlineStr"/>
      <c r="I627" t="inlineStr">
        <is>
          <t>M3</t>
        </is>
      </c>
      <c r="J627" t="inlineStr"/>
      <c r="K627" t="inlineStr">
        <is>
          <t>20210223</t>
        </is>
      </c>
      <c r="L627" t="inlineStr">
        <is>
          <t>20250127</t>
        </is>
      </c>
    </row>
    <row r="628">
      <c r="A628" t="inlineStr">
        <is>
          <t>900002737</t>
        </is>
      </c>
      <c r="B628" t="inlineStr">
        <is>
          <t>D836</t>
        </is>
      </c>
      <c r="C628" t="inlineStr">
        <is>
          <t>65061685</t>
        </is>
      </c>
      <c r="D628" t="inlineStr">
        <is>
          <t>10000160</t>
        </is>
      </c>
      <c r="E628" t="inlineStr"/>
      <c r="F628" s="11" t="n">
        <v>73.14</v>
      </c>
      <c r="G628" t="inlineStr"/>
      <c r="I628" t="inlineStr">
        <is>
          <t>M3</t>
        </is>
      </c>
      <c r="J628" t="inlineStr"/>
      <c r="K628" t="inlineStr">
        <is>
          <t>20190426</t>
        </is>
      </c>
      <c r="L628" t="inlineStr">
        <is>
          <t>20250127</t>
        </is>
      </c>
    </row>
    <row r="629">
      <c r="A629" t="inlineStr">
        <is>
          <t>900002737</t>
        </is>
      </c>
      <c r="B629" t="inlineStr">
        <is>
          <t>D836</t>
        </is>
      </c>
      <c r="C629" t="inlineStr">
        <is>
          <t>65570346</t>
        </is>
      </c>
      <c r="D629" t="inlineStr">
        <is>
          <t>10000160</t>
        </is>
      </c>
      <c r="E629" t="inlineStr"/>
      <c r="F629" s="11" t="n">
        <v>73.14</v>
      </c>
      <c r="G629" t="inlineStr"/>
      <c r="I629" t="inlineStr">
        <is>
          <t>M3</t>
        </is>
      </c>
      <c r="J629" t="inlineStr"/>
      <c r="K629" t="inlineStr">
        <is>
          <t>20190426</t>
        </is>
      </c>
      <c r="L629" t="inlineStr">
        <is>
          <t>20250127</t>
        </is>
      </c>
    </row>
    <row r="630">
      <c r="A630" t="inlineStr">
        <is>
          <t>900002813</t>
        </is>
      </c>
      <c r="B630" t="inlineStr">
        <is>
          <t>D836</t>
        </is>
      </c>
      <c r="C630" t="inlineStr">
        <is>
          <t>65442270</t>
        </is>
      </c>
      <c r="D630" t="inlineStr">
        <is>
          <t>10000630</t>
        </is>
      </c>
      <c r="E630" t="inlineStr"/>
      <c r="F630" s="11" t="n">
        <v>97.47</v>
      </c>
      <c r="G630" t="inlineStr"/>
      <c r="I630" t="inlineStr">
        <is>
          <t>TN</t>
        </is>
      </c>
      <c r="J630" t="inlineStr"/>
      <c r="K630" t="inlineStr">
        <is>
          <t>20190426</t>
        </is>
      </c>
      <c r="L630" t="inlineStr">
        <is>
          <t>20250127</t>
        </is>
      </c>
    </row>
    <row r="631">
      <c r="A631" t="inlineStr">
        <is>
          <t>900002813</t>
        </is>
      </c>
      <c r="B631" t="inlineStr">
        <is>
          <t>D836</t>
        </is>
      </c>
      <c r="C631" t="inlineStr">
        <is>
          <t>65442270</t>
        </is>
      </c>
      <c r="D631" t="inlineStr">
        <is>
          <t>10000722</t>
        </is>
      </c>
      <c r="E631" t="inlineStr"/>
      <c r="F631" s="11" t="n">
        <v>97.47</v>
      </c>
      <c r="G631" t="inlineStr"/>
      <c r="I631" t="inlineStr">
        <is>
          <t>TN</t>
        </is>
      </c>
      <c r="J631" t="inlineStr"/>
      <c r="K631" t="inlineStr">
        <is>
          <t>20190426</t>
        </is>
      </c>
      <c r="L631" t="inlineStr">
        <is>
          <t>20250127</t>
        </is>
      </c>
    </row>
    <row r="632">
      <c r="A632" t="inlineStr">
        <is>
          <t>900002813</t>
        </is>
      </c>
      <c r="B632" t="inlineStr">
        <is>
          <t>D836</t>
        </is>
      </c>
      <c r="C632" t="inlineStr">
        <is>
          <t>65763944</t>
        </is>
      </c>
      <c r="D632" t="inlineStr">
        <is>
          <t>10000722</t>
        </is>
      </c>
      <c r="E632" t="inlineStr"/>
      <c r="F632" s="11" t="n">
        <v>89.7</v>
      </c>
      <c r="G632" t="inlineStr"/>
      <c r="I632" t="inlineStr">
        <is>
          <t>TN</t>
        </is>
      </c>
      <c r="J632" t="inlineStr"/>
      <c r="K632" t="inlineStr">
        <is>
          <t>20190426</t>
        </is>
      </c>
      <c r="L632" t="inlineStr">
        <is>
          <t>20250127</t>
        </is>
      </c>
    </row>
    <row r="633">
      <c r="A633" t="inlineStr">
        <is>
          <t>900002813</t>
        </is>
      </c>
      <c r="B633" t="inlineStr">
        <is>
          <t>D836</t>
        </is>
      </c>
      <c r="C633" t="inlineStr">
        <is>
          <t>65916616</t>
        </is>
      </c>
      <c r="D633" t="inlineStr">
        <is>
          <t>10000630</t>
        </is>
      </c>
      <c r="E633" t="inlineStr"/>
      <c r="F633" s="11" t="n">
        <v>102.86</v>
      </c>
      <c r="G633" t="inlineStr"/>
      <c r="I633" t="inlineStr">
        <is>
          <t>TN</t>
        </is>
      </c>
      <c r="J633" t="inlineStr"/>
      <c r="K633" t="inlineStr">
        <is>
          <t>20190426</t>
        </is>
      </c>
      <c r="L633" t="inlineStr">
        <is>
          <t>20250127</t>
        </is>
      </c>
    </row>
    <row r="634">
      <c r="A634" t="inlineStr">
        <is>
          <t>900003192</t>
        </is>
      </c>
      <c r="B634" t="inlineStr">
        <is>
          <t>D836</t>
        </is>
      </c>
      <c r="C634" t="inlineStr">
        <is>
          <t>65003945</t>
        </is>
      </c>
      <c r="D634" t="inlineStr">
        <is>
          <t>10000624</t>
        </is>
      </c>
      <c r="E634" t="inlineStr"/>
      <c r="F634" s="11" t="n">
        <v>80</v>
      </c>
      <c r="G634" t="inlineStr"/>
      <c r="I634" t="inlineStr">
        <is>
          <t>TN</t>
        </is>
      </c>
      <c r="J634" t="inlineStr"/>
      <c r="K634" t="inlineStr">
        <is>
          <t>20190426</t>
        </is>
      </c>
      <c r="L634" t="inlineStr">
        <is>
          <t>20250127</t>
        </is>
      </c>
    </row>
    <row r="635">
      <c r="A635" t="inlineStr">
        <is>
          <t>900003192</t>
        </is>
      </c>
      <c r="B635" t="inlineStr">
        <is>
          <t>D836</t>
        </is>
      </c>
      <c r="C635" t="inlineStr">
        <is>
          <t>65003945</t>
        </is>
      </c>
      <c r="D635" t="inlineStr">
        <is>
          <t>10000630</t>
        </is>
      </c>
      <c r="E635" t="inlineStr"/>
      <c r="F635" s="11" t="n">
        <v>85</v>
      </c>
      <c r="G635" t="inlineStr"/>
      <c r="I635" t="inlineStr">
        <is>
          <t>TN</t>
        </is>
      </c>
      <c r="J635" t="inlineStr"/>
      <c r="K635" t="inlineStr">
        <is>
          <t>20190426</t>
        </is>
      </c>
      <c r="L635" t="inlineStr">
        <is>
          <t>20250127</t>
        </is>
      </c>
    </row>
    <row r="636">
      <c r="A636" t="inlineStr">
        <is>
          <t>900003192</t>
        </is>
      </c>
      <c r="B636" t="inlineStr">
        <is>
          <t>D836</t>
        </is>
      </c>
      <c r="C636" t="inlineStr">
        <is>
          <t>65003945</t>
        </is>
      </c>
      <c r="D636" t="inlineStr">
        <is>
          <t>10000722</t>
        </is>
      </c>
      <c r="E636" t="inlineStr"/>
      <c r="F636" s="11" t="n">
        <v>83</v>
      </c>
      <c r="G636" t="inlineStr"/>
      <c r="I636" t="inlineStr">
        <is>
          <t>TN</t>
        </is>
      </c>
      <c r="J636" t="inlineStr"/>
      <c r="K636" t="inlineStr">
        <is>
          <t>20190426</t>
        </is>
      </c>
      <c r="L636" t="inlineStr">
        <is>
          <t>20250127</t>
        </is>
      </c>
    </row>
    <row r="637">
      <c r="A637" t="inlineStr">
        <is>
          <t>900003580</t>
        </is>
      </c>
      <c r="B637" t="inlineStr">
        <is>
          <t>D836</t>
        </is>
      </c>
      <c r="C637" t="inlineStr">
        <is>
          <t>65932994</t>
        </is>
      </c>
      <c r="D637" t="inlineStr">
        <is>
          <t>10000357</t>
        </is>
      </c>
      <c r="E637" t="inlineStr"/>
      <c r="F637" s="11" t="n">
        <v>85</v>
      </c>
      <c r="G637" t="inlineStr"/>
      <c r="I637" t="inlineStr">
        <is>
          <t>TN</t>
        </is>
      </c>
      <c r="J637" t="inlineStr"/>
      <c r="K637" t="inlineStr">
        <is>
          <t>20190426</t>
        </is>
      </c>
      <c r="L637" t="inlineStr">
        <is>
          <t>20250127</t>
        </is>
      </c>
    </row>
    <row r="638">
      <c r="A638" t="inlineStr">
        <is>
          <t>900003580</t>
        </is>
      </c>
      <c r="B638" t="inlineStr">
        <is>
          <t>D836</t>
        </is>
      </c>
      <c r="C638" t="inlineStr">
        <is>
          <t>65932994</t>
        </is>
      </c>
      <c r="D638" t="inlineStr">
        <is>
          <t>10000625</t>
        </is>
      </c>
      <c r="E638" t="inlineStr"/>
      <c r="F638" s="11" t="n">
        <v>52</v>
      </c>
      <c r="G638" t="inlineStr"/>
      <c r="I638" t="inlineStr">
        <is>
          <t>TN</t>
        </is>
      </c>
      <c r="J638" t="inlineStr"/>
      <c r="K638" t="inlineStr">
        <is>
          <t>20190426</t>
        </is>
      </c>
      <c r="L638" t="inlineStr">
        <is>
          <t>20250127</t>
        </is>
      </c>
    </row>
    <row r="639">
      <c r="A639" t="inlineStr">
        <is>
          <t>900003580</t>
        </is>
      </c>
      <c r="B639" t="inlineStr">
        <is>
          <t>D836</t>
        </is>
      </c>
      <c r="C639" t="inlineStr">
        <is>
          <t>65932994</t>
        </is>
      </c>
      <c r="D639" t="inlineStr">
        <is>
          <t>10000627</t>
        </is>
      </c>
      <c r="E639" t="inlineStr"/>
      <c r="F639" s="11" t="n">
        <v>62</v>
      </c>
      <c r="G639" t="inlineStr"/>
      <c r="I639" t="inlineStr">
        <is>
          <t>TN</t>
        </is>
      </c>
      <c r="J639" t="inlineStr"/>
      <c r="K639" t="inlineStr">
        <is>
          <t>20190426</t>
        </is>
      </c>
      <c r="L639" t="inlineStr">
        <is>
          <t>20250127</t>
        </is>
      </c>
    </row>
    <row r="640">
      <c r="A640" t="inlineStr">
        <is>
          <t>900003580</t>
        </is>
      </c>
      <c r="B640" t="inlineStr">
        <is>
          <t>D836</t>
        </is>
      </c>
      <c r="C640" t="inlineStr">
        <is>
          <t>65932994</t>
        </is>
      </c>
      <c r="D640" t="inlineStr">
        <is>
          <t>10000651</t>
        </is>
      </c>
      <c r="E640" t="inlineStr"/>
      <c r="F640" s="11" t="n">
        <v>65</v>
      </c>
      <c r="G640" t="inlineStr"/>
      <c r="I640" t="inlineStr">
        <is>
          <t>TN</t>
        </is>
      </c>
      <c r="J640" t="inlineStr"/>
      <c r="K640" t="inlineStr">
        <is>
          <t>20190426</t>
        </is>
      </c>
      <c r="L640" t="inlineStr">
        <is>
          <t>20250127</t>
        </is>
      </c>
    </row>
    <row r="641">
      <c r="A641" t="inlineStr">
        <is>
          <t>900003588</t>
        </is>
      </c>
      <c r="B641" t="inlineStr">
        <is>
          <t>D836</t>
        </is>
      </c>
      <c r="C641" t="inlineStr">
        <is>
          <t>65016451</t>
        </is>
      </c>
      <c r="D641" t="inlineStr">
        <is>
          <t>10000625</t>
        </is>
      </c>
      <c r="E641" t="inlineStr"/>
      <c r="F641" s="11" t="n">
        <v>60</v>
      </c>
      <c r="G641" t="inlineStr"/>
      <c r="I641" t="inlineStr">
        <is>
          <t>TN</t>
        </is>
      </c>
      <c r="J641" t="inlineStr"/>
      <c r="K641" t="inlineStr">
        <is>
          <t>20190426</t>
        </is>
      </c>
      <c r="L641" t="inlineStr">
        <is>
          <t>20250127</t>
        </is>
      </c>
    </row>
    <row r="642">
      <c r="A642" t="inlineStr">
        <is>
          <t>900003588</t>
        </is>
      </c>
      <c r="B642" t="inlineStr">
        <is>
          <t>D836</t>
        </is>
      </c>
      <c r="C642" t="inlineStr">
        <is>
          <t>65061685</t>
        </is>
      </c>
      <c r="D642" t="inlineStr">
        <is>
          <t>10000357</t>
        </is>
      </c>
      <c r="E642" t="inlineStr"/>
      <c r="F642" s="11" t="n">
        <v>91</v>
      </c>
      <c r="G642" t="inlineStr"/>
      <c r="I642" t="inlineStr">
        <is>
          <t>TN</t>
        </is>
      </c>
      <c r="J642" t="inlineStr"/>
      <c r="K642" t="inlineStr">
        <is>
          <t>20190426</t>
        </is>
      </c>
      <c r="L642" t="inlineStr">
        <is>
          <t>20250127</t>
        </is>
      </c>
    </row>
    <row r="643">
      <c r="A643" t="inlineStr">
        <is>
          <t>900003588</t>
        </is>
      </c>
      <c r="B643" t="inlineStr">
        <is>
          <t>D836</t>
        </is>
      </c>
      <c r="C643" t="inlineStr">
        <is>
          <t>65061685</t>
        </is>
      </c>
      <c r="D643" t="inlineStr">
        <is>
          <t>10000625</t>
        </is>
      </c>
      <c r="E643" t="inlineStr"/>
      <c r="F643" s="11" t="n">
        <v>59.5</v>
      </c>
      <c r="G643" t="inlineStr"/>
      <c r="I643" t="inlineStr">
        <is>
          <t>TN</t>
        </is>
      </c>
      <c r="J643" t="inlineStr"/>
      <c r="K643" t="inlineStr">
        <is>
          <t>20190426</t>
        </is>
      </c>
      <c r="L643" t="inlineStr">
        <is>
          <t>20250127</t>
        </is>
      </c>
    </row>
    <row r="644">
      <c r="A644" t="inlineStr">
        <is>
          <t>900003588</t>
        </is>
      </c>
      <c r="B644" t="inlineStr">
        <is>
          <t>D836</t>
        </is>
      </c>
      <c r="C644" t="inlineStr">
        <is>
          <t>65061685</t>
        </is>
      </c>
      <c r="D644" t="inlineStr">
        <is>
          <t>10000627</t>
        </is>
      </c>
      <c r="E644" t="inlineStr"/>
      <c r="F644" s="11" t="n">
        <v>76</v>
      </c>
      <c r="G644" t="inlineStr"/>
      <c r="I644" t="inlineStr">
        <is>
          <t>TN</t>
        </is>
      </c>
      <c r="J644" t="inlineStr"/>
      <c r="K644" t="inlineStr">
        <is>
          <t>20190426</t>
        </is>
      </c>
      <c r="L644" t="inlineStr">
        <is>
          <t>20250127</t>
        </is>
      </c>
    </row>
    <row r="645">
      <c r="A645" t="inlineStr">
        <is>
          <t>900003588</t>
        </is>
      </c>
      <c r="B645" t="inlineStr">
        <is>
          <t>D836</t>
        </is>
      </c>
      <c r="C645" t="inlineStr">
        <is>
          <t>65061685</t>
        </is>
      </c>
      <c r="D645" t="inlineStr">
        <is>
          <t>10001354</t>
        </is>
      </c>
      <c r="E645" t="inlineStr"/>
      <c r="F645" s="11" t="n">
        <v>129</v>
      </c>
      <c r="G645" t="inlineStr"/>
      <c r="I645" t="inlineStr">
        <is>
          <t>TN</t>
        </is>
      </c>
      <c r="J645" t="inlineStr"/>
      <c r="K645" t="inlineStr">
        <is>
          <t>20190426</t>
        </is>
      </c>
      <c r="L645" t="inlineStr">
        <is>
          <t>20250127</t>
        </is>
      </c>
    </row>
    <row r="646">
      <c r="A646" t="inlineStr">
        <is>
          <t>900003588</t>
        </is>
      </c>
      <c r="B646" t="inlineStr">
        <is>
          <t>D836</t>
        </is>
      </c>
      <c r="C646" t="inlineStr">
        <is>
          <t>65061685</t>
        </is>
      </c>
      <c r="D646" t="inlineStr">
        <is>
          <t>10003015</t>
        </is>
      </c>
      <c r="E646" t="inlineStr"/>
      <c r="F646" s="11" t="n">
        <v>71.3</v>
      </c>
      <c r="G646" t="inlineStr"/>
      <c r="I646" t="inlineStr">
        <is>
          <t>TN</t>
        </is>
      </c>
      <c r="J646" t="inlineStr"/>
      <c r="K646" t="inlineStr">
        <is>
          <t>20190426</t>
        </is>
      </c>
      <c r="L646" t="inlineStr">
        <is>
          <t>20250127</t>
        </is>
      </c>
    </row>
    <row r="647">
      <c r="A647" t="inlineStr">
        <is>
          <t>900003588</t>
        </is>
      </c>
      <c r="B647" t="inlineStr">
        <is>
          <t>D836</t>
        </is>
      </c>
      <c r="C647" t="inlineStr">
        <is>
          <t>65065480</t>
        </is>
      </c>
      <c r="D647" t="inlineStr">
        <is>
          <t>10000625</t>
        </is>
      </c>
      <c r="E647" t="inlineStr"/>
      <c r="F647" s="11" t="n">
        <v>73.14</v>
      </c>
      <c r="G647" t="inlineStr"/>
      <c r="I647" t="inlineStr">
        <is>
          <t>TN</t>
        </is>
      </c>
      <c r="J647" t="inlineStr"/>
      <c r="K647" t="inlineStr">
        <is>
          <t>20190426</t>
        </is>
      </c>
      <c r="L647" t="inlineStr">
        <is>
          <t>20250127</t>
        </is>
      </c>
    </row>
    <row r="648">
      <c r="A648" t="inlineStr">
        <is>
          <t>900003588</t>
        </is>
      </c>
      <c r="B648" t="inlineStr">
        <is>
          <t>D836</t>
        </is>
      </c>
      <c r="C648" t="inlineStr">
        <is>
          <t>65082424</t>
        </is>
      </c>
      <c r="D648" t="inlineStr">
        <is>
          <t>10000357</t>
        </is>
      </c>
      <c r="E648" t="inlineStr"/>
      <c r="F648" s="11" t="n">
        <v>59.8</v>
      </c>
      <c r="G648" t="inlineStr"/>
      <c r="I648" t="inlineStr">
        <is>
          <t>TN</t>
        </is>
      </c>
      <c r="J648" t="inlineStr"/>
      <c r="K648" t="inlineStr">
        <is>
          <t>20190426</t>
        </is>
      </c>
      <c r="L648" t="inlineStr">
        <is>
          <t>20250127</t>
        </is>
      </c>
    </row>
    <row r="649">
      <c r="A649" t="inlineStr">
        <is>
          <t>900003588</t>
        </is>
      </c>
      <c r="B649" t="inlineStr">
        <is>
          <t>D836</t>
        </is>
      </c>
      <c r="C649" t="inlineStr">
        <is>
          <t>65082424</t>
        </is>
      </c>
      <c r="D649" t="inlineStr">
        <is>
          <t>10000625</t>
        </is>
      </c>
      <c r="E649" t="inlineStr"/>
      <c r="F649" s="11" t="n">
        <v>60.95</v>
      </c>
      <c r="G649" t="inlineStr"/>
      <c r="I649" t="inlineStr">
        <is>
          <t>TN</t>
        </is>
      </c>
      <c r="J649" t="inlineStr"/>
      <c r="K649" t="inlineStr">
        <is>
          <t>20190426</t>
        </is>
      </c>
      <c r="L649" t="inlineStr">
        <is>
          <t>20250127</t>
        </is>
      </c>
    </row>
    <row r="650">
      <c r="A650" t="inlineStr">
        <is>
          <t>900003588</t>
        </is>
      </c>
      <c r="B650" t="inlineStr">
        <is>
          <t>D836</t>
        </is>
      </c>
      <c r="C650" t="inlineStr">
        <is>
          <t>65129997</t>
        </is>
      </c>
      <c r="D650" t="inlineStr">
        <is>
          <t>10000357</t>
        </is>
      </c>
      <c r="E650" t="inlineStr"/>
      <c r="F650" s="11" t="n">
        <v>72.95999999999999</v>
      </c>
      <c r="G650" t="inlineStr"/>
      <c r="I650" t="inlineStr">
        <is>
          <t>TN</t>
        </is>
      </c>
      <c r="J650" t="inlineStr"/>
      <c r="K650" t="inlineStr">
        <is>
          <t>20190426</t>
        </is>
      </c>
      <c r="L650" t="inlineStr">
        <is>
          <t>20250127</t>
        </is>
      </c>
    </row>
    <row r="651">
      <c r="A651" t="inlineStr">
        <is>
          <t>900003588</t>
        </is>
      </c>
      <c r="B651" t="inlineStr">
        <is>
          <t>D836</t>
        </is>
      </c>
      <c r="C651" t="inlineStr">
        <is>
          <t>65129997</t>
        </is>
      </c>
      <c r="D651" t="inlineStr">
        <is>
          <t>10000625</t>
        </is>
      </c>
      <c r="E651" t="inlineStr"/>
      <c r="F651" s="11" t="n">
        <v>59.73</v>
      </c>
      <c r="G651" t="inlineStr"/>
      <c r="I651" t="inlineStr">
        <is>
          <t>TN</t>
        </is>
      </c>
      <c r="J651" t="inlineStr"/>
      <c r="K651" t="inlineStr">
        <is>
          <t>20190426</t>
        </is>
      </c>
      <c r="L651" t="inlineStr">
        <is>
          <t>20250127</t>
        </is>
      </c>
    </row>
    <row r="652">
      <c r="A652" t="inlineStr">
        <is>
          <t>900003588</t>
        </is>
      </c>
      <c r="B652" t="inlineStr">
        <is>
          <t>D836</t>
        </is>
      </c>
      <c r="C652" t="inlineStr">
        <is>
          <t>65129997</t>
        </is>
      </c>
      <c r="D652" t="inlineStr">
        <is>
          <t>10000627</t>
        </is>
      </c>
      <c r="E652" t="inlineStr"/>
      <c r="F652" s="11" t="n">
        <v>79.98</v>
      </c>
      <c r="G652" t="inlineStr"/>
      <c r="I652" t="inlineStr">
        <is>
          <t>TN</t>
        </is>
      </c>
      <c r="J652" t="inlineStr"/>
      <c r="K652" t="inlineStr">
        <is>
          <t>20190426</t>
        </is>
      </c>
      <c r="L652" t="inlineStr">
        <is>
          <t>20250127</t>
        </is>
      </c>
    </row>
    <row r="653">
      <c r="A653" t="inlineStr">
        <is>
          <t>900003588</t>
        </is>
      </c>
      <c r="B653" t="inlineStr">
        <is>
          <t>D836</t>
        </is>
      </c>
      <c r="C653" t="inlineStr">
        <is>
          <t>65205669</t>
        </is>
      </c>
      <c r="D653" t="inlineStr">
        <is>
          <t>10000357</t>
        </is>
      </c>
      <c r="E653" t="inlineStr"/>
      <c r="F653" s="11" t="n">
        <v>74.15000000000001</v>
      </c>
      <c r="G653" t="inlineStr"/>
      <c r="I653" t="inlineStr">
        <is>
          <t>TN</t>
        </is>
      </c>
      <c r="J653" t="inlineStr"/>
      <c r="K653" t="inlineStr">
        <is>
          <t>20190426</t>
        </is>
      </c>
      <c r="L653" t="inlineStr">
        <is>
          <t>20250127</t>
        </is>
      </c>
    </row>
    <row r="654">
      <c r="A654" t="inlineStr">
        <is>
          <t>900003588</t>
        </is>
      </c>
      <c r="B654" t="inlineStr">
        <is>
          <t>D836</t>
        </is>
      </c>
      <c r="C654" t="inlineStr">
        <is>
          <t>65205669</t>
        </is>
      </c>
      <c r="D654" t="inlineStr">
        <is>
          <t>10000625</t>
        </is>
      </c>
      <c r="E654" t="inlineStr"/>
      <c r="F654" s="11" t="n">
        <v>53.64</v>
      </c>
      <c r="G654" t="inlineStr"/>
      <c r="I654" t="inlineStr">
        <is>
          <t>TN</t>
        </is>
      </c>
      <c r="J654" t="inlineStr"/>
      <c r="K654" t="inlineStr">
        <is>
          <t>20190426</t>
        </is>
      </c>
      <c r="L654" t="inlineStr">
        <is>
          <t>20250127</t>
        </is>
      </c>
    </row>
    <row r="655">
      <c r="A655" t="inlineStr">
        <is>
          <t>900003588</t>
        </is>
      </c>
      <c r="B655" t="inlineStr">
        <is>
          <t>D836</t>
        </is>
      </c>
      <c r="C655" t="inlineStr">
        <is>
          <t>65205669</t>
        </is>
      </c>
      <c r="D655" t="inlineStr">
        <is>
          <t>10000627</t>
        </is>
      </c>
      <c r="E655" t="inlineStr"/>
      <c r="F655" s="11" t="n">
        <v>75.06</v>
      </c>
      <c r="G655" t="inlineStr"/>
      <c r="I655" t="inlineStr">
        <is>
          <t>TN</t>
        </is>
      </c>
      <c r="J655" t="inlineStr"/>
      <c r="K655" t="inlineStr">
        <is>
          <t>20190426</t>
        </is>
      </c>
      <c r="L655" t="inlineStr">
        <is>
          <t>20250127</t>
        </is>
      </c>
    </row>
    <row r="656">
      <c r="A656" t="inlineStr">
        <is>
          <t>900003588</t>
        </is>
      </c>
      <c r="B656" t="inlineStr">
        <is>
          <t>D836</t>
        </is>
      </c>
      <c r="C656" t="inlineStr">
        <is>
          <t>65246763</t>
        </is>
      </c>
      <c r="D656" t="inlineStr">
        <is>
          <t>10000357</t>
        </is>
      </c>
      <c r="E656" t="inlineStr"/>
      <c r="F656" s="11" t="n">
        <v>98.06999999999999</v>
      </c>
      <c r="G656" t="inlineStr"/>
      <c r="I656" t="inlineStr">
        <is>
          <t>TN</t>
        </is>
      </c>
      <c r="J656" t="inlineStr"/>
      <c r="K656" t="inlineStr">
        <is>
          <t>20190426</t>
        </is>
      </c>
      <c r="L656" t="inlineStr">
        <is>
          <t>20250127</t>
        </is>
      </c>
    </row>
    <row r="657">
      <c r="A657" t="inlineStr">
        <is>
          <t>900003588</t>
        </is>
      </c>
      <c r="B657" t="inlineStr">
        <is>
          <t>D836</t>
        </is>
      </c>
      <c r="C657" t="inlineStr">
        <is>
          <t>65246763</t>
        </is>
      </c>
      <c r="D657" t="inlineStr">
        <is>
          <t>10000625</t>
        </is>
      </c>
      <c r="E657" t="inlineStr"/>
      <c r="F657" s="11" t="n">
        <v>63.39</v>
      </c>
      <c r="G657" t="inlineStr"/>
      <c r="I657" t="inlineStr">
        <is>
          <t>TN</t>
        </is>
      </c>
      <c r="J657" t="inlineStr"/>
      <c r="K657" t="inlineStr">
        <is>
          <t>20190426</t>
        </is>
      </c>
      <c r="L657" t="inlineStr">
        <is>
          <t>20250127</t>
        </is>
      </c>
    </row>
    <row r="658">
      <c r="A658" t="inlineStr">
        <is>
          <t>900003588</t>
        </is>
      </c>
      <c r="B658" t="inlineStr">
        <is>
          <t>D836</t>
        </is>
      </c>
      <c r="C658" t="inlineStr">
        <is>
          <t>65246763</t>
        </is>
      </c>
      <c r="D658" t="inlineStr">
        <is>
          <t>10000627</t>
        </is>
      </c>
      <c r="E658" t="inlineStr"/>
      <c r="F658" s="11" t="n">
        <v>79.98</v>
      </c>
      <c r="G658" t="inlineStr"/>
      <c r="I658" t="inlineStr">
        <is>
          <t>TN</t>
        </is>
      </c>
      <c r="J658" t="inlineStr"/>
      <c r="K658" t="inlineStr">
        <is>
          <t>20190426</t>
        </is>
      </c>
      <c r="L658" t="inlineStr">
        <is>
          <t>20250127</t>
        </is>
      </c>
    </row>
    <row r="659">
      <c r="A659" t="inlineStr">
        <is>
          <t>900003588</t>
        </is>
      </c>
      <c r="B659" t="inlineStr">
        <is>
          <t>D836</t>
        </is>
      </c>
      <c r="C659" t="inlineStr">
        <is>
          <t>65251399</t>
        </is>
      </c>
      <c r="D659" t="inlineStr">
        <is>
          <t>10000357</t>
        </is>
      </c>
      <c r="E659" t="inlineStr"/>
      <c r="F659" s="11" t="n">
        <v>95</v>
      </c>
      <c r="G659" t="inlineStr"/>
      <c r="I659" t="inlineStr">
        <is>
          <t>TN</t>
        </is>
      </c>
      <c r="J659" t="inlineStr"/>
      <c r="K659" t="inlineStr">
        <is>
          <t>20190426</t>
        </is>
      </c>
      <c r="L659" t="inlineStr">
        <is>
          <t>20250127</t>
        </is>
      </c>
    </row>
    <row r="660">
      <c r="A660" t="inlineStr">
        <is>
          <t>900003588</t>
        </is>
      </c>
      <c r="B660" t="inlineStr">
        <is>
          <t>D836</t>
        </is>
      </c>
      <c r="C660" t="inlineStr">
        <is>
          <t>65251399</t>
        </is>
      </c>
      <c r="D660" t="inlineStr">
        <is>
          <t>10000625</t>
        </is>
      </c>
      <c r="E660" t="inlineStr"/>
      <c r="F660" s="11" t="n">
        <v>60</v>
      </c>
      <c r="G660" t="inlineStr"/>
      <c r="I660" t="inlineStr">
        <is>
          <t>TN</t>
        </is>
      </c>
      <c r="J660" t="inlineStr"/>
      <c r="K660" t="inlineStr">
        <is>
          <t>20190426</t>
        </is>
      </c>
      <c r="L660" t="inlineStr">
        <is>
          <t>20250127</t>
        </is>
      </c>
    </row>
    <row r="661">
      <c r="A661" t="inlineStr">
        <is>
          <t>900003588</t>
        </is>
      </c>
      <c r="B661" t="inlineStr">
        <is>
          <t>D836</t>
        </is>
      </c>
      <c r="C661" t="inlineStr">
        <is>
          <t>65251399</t>
        </is>
      </c>
      <c r="D661" t="inlineStr">
        <is>
          <t>10000627</t>
        </is>
      </c>
      <c r="E661" t="inlineStr"/>
      <c r="F661" s="11" t="n">
        <v>80</v>
      </c>
      <c r="G661" t="inlineStr"/>
      <c r="I661" t="inlineStr">
        <is>
          <t>TN</t>
        </is>
      </c>
      <c r="J661" t="inlineStr"/>
      <c r="K661" t="inlineStr">
        <is>
          <t>20190426</t>
        </is>
      </c>
      <c r="L661" t="inlineStr">
        <is>
          <t>20250127</t>
        </is>
      </c>
    </row>
    <row r="662">
      <c r="A662" t="inlineStr">
        <is>
          <t>900003588</t>
        </is>
      </c>
      <c r="B662" t="inlineStr">
        <is>
          <t>D836</t>
        </is>
      </c>
      <c r="C662" t="inlineStr">
        <is>
          <t>65251399</t>
        </is>
      </c>
      <c r="D662" t="inlineStr">
        <is>
          <t>10001354</t>
        </is>
      </c>
      <c r="E662" t="inlineStr"/>
      <c r="F662" s="11" t="n">
        <v>129</v>
      </c>
      <c r="G662" t="inlineStr"/>
      <c r="I662" t="inlineStr">
        <is>
          <t>TN</t>
        </is>
      </c>
      <c r="J662" t="inlineStr"/>
      <c r="K662" t="inlineStr">
        <is>
          <t>20190426</t>
        </is>
      </c>
      <c r="L662" t="inlineStr">
        <is>
          <t>20250127</t>
        </is>
      </c>
    </row>
    <row r="663">
      <c r="A663" t="inlineStr">
        <is>
          <t>900003588</t>
        </is>
      </c>
      <c r="B663" t="inlineStr">
        <is>
          <t>D836</t>
        </is>
      </c>
      <c r="C663" t="inlineStr">
        <is>
          <t>65290965</t>
        </is>
      </c>
      <c r="D663" t="inlineStr">
        <is>
          <t>10000357</t>
        </is>
      </c>
      <c r="E663" t="inlineStr"/>
      <c r="F663" s="11" t="n">
        <v>74.15000000000001</v>
      </c>
      <c r="G663" t="inlineStr"/>
      <c r="I663" t="inlineStr">
        <is>
          <t>TN</t>
        </is>
      </c>
      <c r="J663" t="inlineStr"/>
      <c r="K663" t="inlineStr">
        <is>
          <t>20190426</t>
        </is>
      </c>
      <c r="L663" t="inlineStr">
        <is>
          <t>20250127</t>
        </is>
      </c>
    </row>
    <row r="664">
      <c r="A664" t="inlineStr">
        <is>
          <t>900003588</t>
        </is>
      </c>
      <c r="B664" t="inlineStr">
        <is>
          <t>D836</t>
        </is>
      </c>
      <c r="C664" t="inlineStr">
        <is>
          <t>65290965</t>
        </is>
      </c>
      <c r="D664" t="inlineStr">
        <is>
          <t>10000627</t>
        </is>
      </c>
      <c r="E664" t="inlineStr"/>
      <c r="F664" s="11" t="n">
        <v>70.14</v>
      </c>
      <c r="G664" t="inlineStr"/>
      <c r="I664" t="inlineStr">
        <is>
          <t>TN</t>
        </is>
      </c>
      <c r="J664" t="inlineStr"/>
      <c r="K664" t="inlineStr">
        <is>
          <t>20190426</t>
        </is>
      </c>
      <c r="L664" t="inlineStr">
        <is>
          <t>20250127</t>
        </is>
      </c>
    </row>
    <row r="665">
      <c r="A665" t="inlineStr">
        <is>
          <t>900003588</t>
        </is>
      </c>
      <c r="B665" t="inlineStr">
        <is>
          <t>D836</t>
        </is>
      </c>
      <c r="C665" t="inlineStr">
        <is>
          <t>65296493</t>
        </is>
      </c>
      <c r="D665" t="inlineStr">
        <is>
          <t>10000357</t>
        </is>
      </c>
      <c r="E665" t="inlineStr"/>
      <c r="F665" s="11" t="n">
        <v>76.54000000000001</v>
      </c>
      <c r="G665" t="inlineStr"/>
      <c r="I665" t="inlineStr">
        <is>
          <t>TN</t>
        </is>
      </c>
      <c r="J665" t="inlineStr"/>
      <c r="K665" t="inlineStr">
        <is>
          <t>20190426</t>
        </is>
      </c>
      <c r="L665" t="inlineStr">
        <is>
          <t>20250127</t>
        </is>
      </c>
    </row>
    <row r="666">
      <c r="A666" t="inlineStr">
        <is>
          <t>900003588</t>
        </is>
      </c>
      <c r="B666" t="inlineStr">
        <is>
          <t>D836</t>
        </is>
      </c>
      <c r="C666" t="inlineStr">
        <is>
          <t>65296493</t>
        </is>
      </c>
      <c r="D666" t="inlineStr">
        <is>
          <t>10000627</t>
        </is>
      </c>
      <c r="E666" t="inlineStr"/>
      <c r="F666" s="11" t="n">
        <v>72.59999999999999</v>
      </c>
      <c r="G666" t="inlineStr"/>
      <c r="I666" t="inlineStr">
        <is>
          <t>TN</t>
        </is>
      </c>
      <c r="J666" t="inlineStr"/>
      <c r="K666" t="inlineStr">
        <is>
          <t>20190426</t>
        </is>
      </c>
      <c r="L666" t="inlineStr">
        <is>
          <t>20250127</t>
        </is>
      </c>
    </row>
    <row r="667">
      <c r="A667" t="inlineStr">
        <is>
          <t>900003588</t>
        </is>
      </c>
      <c r="B667" t="inlineStr">
        <is>
          <t>D836</t>
        </is>
      </c>
      <c r="C667" t="inlineStr">
        <is>
          <t>65301775</t>
        </is>
      </c>
      <c r="D667" t="inlineStr">
        <is>
          <t>10000357</t>
        </is>
      </c>
      <c r="E667" t="inlineStr"/>
      <c r="F667" s="11" t="n">
        <v>93.29000000000001</v>
      </c>
      <c r="G667" t="inlineStr"/>
      <c r="I667" t="inlineStr">
        <is>
          <t>TN</t>
        </is>
      </c>
      <c r="J667" t="inlineStr"/>
      <c r="K667" t="inlineStr">
        <is>
          <t>20190426</t>
        </is>
      </c>
      <c r="L667" t="inlineStr">
        <is>
          <t>20250127</t>
        </is>
      </c>
    </row>
    <row r="668">
      <c r="A668" t="inlineStr">
        <is>
          <t>900003588</t>
        </is>
      </c>
      <c r="B668" t="inlineStr">
        <is>
          <t>D836</t>
        </is>
      </c>
      <c r="C668" t="inlineStr">
        <is>
          <t>65301775</t>
        </is>
      </c>
      <c r="D668" t="inlineStr">
        <is>
          <t>10000625</t>
        </is>
      </c>
      <c r="E668" t="inlineStr"/>
      <c r="F668" s="11" t="n">
        <v>56.68</v>
      </c>
      <c r="G668" t="inlineStr"/>
      <c r="I668" t="inlineStr">
        <is>
          <t>TN</t>
        </is>
      </c>
      <c r="J668" t="inlineStr"/>
      <c r="K668" t="inlineStr">
        <is>
          <t>20190426</t>
        </is>
      </c>
      <c r="L668" t="inlineStr">
        <is>
          <t>20250127</t>
        </is>
      </c>
    </row>
    <row r="669">
      <c r="A669" t="inlineStr">
        <is>
          <t>900003588</t>
        </is>
      </c>
      <c r="B669" t="inlineStr">
        <is>
          <t>D836</t>
        </is>
      </c>
      <c r="C669" t="inlineStr">
        <is>
          <t>65301775</t>
        </is>
      </c>
      <c r="D669" t="inlineStr">
        <is>
          <t>10000627</t>
        </is>
      </c>
      <c r="E669" t="inlineStr"/>
      <c r="F669" s="11" t="n">
        <v>77.52</v>
      </c>
      <c r="G669" t="inlineStr"/>
      <c r="I669" t="inlineStr">
        <is>
          <t>TN</t>
        </is>
      </c>
      <c r="J669" t="inlineStr"/>
      <c r="K669" t="inlineStr">
        <is>
          <t>20190426</t>
        </is>
      </c>
      <c r="L669" t="inlineStr">
        <is>
          <t>20250127</t>
        </is>
      </c>
    </row>
    <row r="670">
      <c r="A670" t="inlineStr">
        <is>
          <t>900003588</t>
        </is>
      </c>
      <c r="B670" t="inlineStr">
        <is>
          <t>D836</t>
        </is>
      </c>
      <c r="C670" t="inlineStr">
        <is>
          <t>65370785</t>
        </is>
      </c>
      <c r="D670" t="inlineStr">
        <is>
          <t>10000625</t>
        </is>
      </c>
      <c r="E670" t="inlineStr"/>
      <c r="F670" s="11" t="n">
        <v>60.95</v>
      </c>
      <c r="G670" t="inlineStr"/>
      <c r="I670" t="inlineStr">
        <is>
          <t>TN</t>
        </is>
      </c>
      <c r="J670" t="inlineStr"/>
      <c r="K670" t="inlineStr">
        <is>
          <t>20190426</t>
        </is>
      </c>
      <c r="L670" t="inlineStr">
        <is>
          <t>20250127</t>
        </is>
      </c>
    </row>
    <row r="671">
      <c r="A671" t="inlineStr">
        <is>
          <t>900003588</t>
        </is>
      </c>
      <c r="B671" t="inlineStr">
        <is>
          <t>D836</t>
        </is>
      </c>
      <c r="C671" t="inlineStr">
        <is>
          <t>65400067</t>
        </is>
      </c>
      <c r="D671" t="inlineStr">
        <is>
          <t>10000625</t>
        </is>
      </c>
      <c r="E671" t="inlineStr"/>
      <c r="F671" s="11" t="n">
        <v>56.68</v>
      </c>
      <c r="G671" t="inlineStr"/>
      <c r="I671" t="inlineStr">
        <is>
          <t>TN</t>
        </is>
      </c>
      <c r="J671" t="inlineStr"/>
      <c r="K671" t="inlineStr">
        <is>
          <t>20190426</t>
        </is>
      </c>
      <c r="L671" t="inlineStr">
        <is>
          <t>20250127</t>
        </is>
      </c>
    </row>
    <row r="672">
      <c r="A672" t="inlineStr">
        <is>
          <t>900003588</t>
        </is>
      </c>
      <c r="B672" t="inlineStr">
        <is>
          <t>D836</t>
        </is>
      </c>
      <c r="C672" t="inlineStr">
        <is>
          <t>65442270</t>
        </is>
      </c>
      <c r="D672" t="inlineStr">
        <is>
          <t>10000357</t>
        </is>
      </c>
      <c r="E672" t="inlineStr"/>
      <c r="F672" s="11" t="n">
        <v>98.06999999999999</v>
      </c>
      <c r="G672" t="inlineStr"/>
      <c r="I672" t="inlineStr">
        <is>
          <t>TN</t>
        </is>
      </c>
      <c r="J672" t="inlineStr"/>
      <c r="K672" t="inlineStr">
        <is>
          <t>20190426</t>
        </is>
      </c>
      <c r="L672" t="inlineStr">
        <is>
          <t>20250127</t>
        </is>
      </c>
    </row>
    <row r="673">
      <c r="A673" t="inlineStr">
        <is>
          <t>900003588</t>
        </is>
      </c>
      <c r="B673" t="inlineStr">
        <is>
          <t>D836</t>
        </is>
      </c>
      <c r="C673" t="inlineStr">
        <is>
          <t>65442270</t>
        </is>
      </c>
      <c r="D673" t="inlineStr">
        <is>
          <t>10000625</t>
        </is>
      </c>
      <c r="E673" t="inlineStr"/>
      <c r="F673" s="11" t="n">
        <v>63.39</v>
      </c>
      <c r="G673" t="inlineStr"/>
      <c r="I673" t="inlineStr">
        <is>
          <t>TN</t>
        </is>
      </c>
      <c r="J673" t="inlineStr"/>
      <c r="K673" t="inlineStr">
        <is>
          <t>20190426</t>
        </is>
      </c>
      <c r="L673" t="inlineStr">
        <is>
          <t>20250127</t>
        </is>
      </c>
    </row>
    <row r="674">
      <c r="A674" t="inlineStr">
        <is>
          <t>900003588</t>
        </is>
      </c>
      <c r="B674" t="inlineStr">
        <is>
          <t>D836</t>
        </is>
      </c>
      <c r="C674" t="inlineStr">
        <is>
          <t>65442270</t>
        </is>
      </c>
      <c r="D674" t="inlineStr">
        <is>
          <t>10000627</t>
        </is>
      </c>
      <c r="E674" t="inlineStr"/>
      <c r="F674" s="11" t="n">
        <v>79.98</v>
      </c>
      <c r="G674" t="inlineStr"/>
      <c r="I674" t="inlineStr">
        <is>
          <t>TN</t>
        </is>
      </c>
      <c r="J674" t="inlineStr"/>
      <c r="K674" t="inlineStr">
        <is>
          <t>20190426</t>
        </is>
      </c>
      <c r="L674" t="inlineStr">
        <is>
          <t>20250127</t>
        </is>
      </c>
    </row>
    <row r="675">
      <c r="A675" t="inlineStr">
        <is>
          <t>900003588</t>
        </is>
      </c>
      <c r="B675" t="inlineStr">
        <is>
          <t>D836</t>
        </is>
      </c>
      <c r="C675" t="inlineStr">
        <is>
          <t>65570346</t>
        </is>
      </c>
      <c r="D675" t="inlineStr">
        <is>
          <t>10000140</t>
        </is>
      </c>
      <c r="E675" t="inlineStr"/>
      <c r="F675" s="11" t="n">
        <v>72.95999999999999</v>
      </c>
      <c r="G675" t="inlineStr"/>
      <c r="I675" t="inlineStr">
        <is>
          <t>TN</t>
        </is>
      </c>
      <c r="J675" t="inlineStr"/>
      <c r="K675" t="inlineStr">
        <is>
          <t>20190426</t>
        </is>
      </c>
      <c r="L675" t="inlineStr">
        <is>
          <t>20250127</t>
        </is>
      </c>
    </row>
    <row r="676">
      <c r="A676" t="inlineStr">
        <is>
          <t>900003588</t>
        </is>
      </c>
      <c r="B676" t="inlineStr">
        <is>
          <t>D836</t>
        </is>
      </c>
      <c r="C676" t="inlineStr">
        <is>
          <t>65570346</t>
        </is>
      </c>
      <c r="D676" t="inlineStr">
        <is>
          <t>10000357</t>
        </is>
      </c>
      <c r="E676" t="inlineStr"/>
      <c r="F676" s="11" t="n">
        <v>95</v>
      </c>
      <c r="G676" t="inlineStr"/>
      <c r="I676" t="inlineStr">
        <is>
          <t>TN</t>
        </is>
      </c>
      <c r="J676" t="inlineStr"/>
      <c r="K676" t="inlineStr">
        <is>
          <t>20190426</t>
        </is>
      </c>
      <c r="L676" t="inlineStr">
        <is>
          <t>20250127</t>
        </is>
      </c>
    </row>
    <row r="677">
      <c r="A677" t="inlineStr">
        <is>
          <t>900003588</t>
        </is>
      </c>
      <c r="B677" t="inlineStr">
        <is>
          <t>D836</t>
        </is>
      </c>
      <c r="C677" t="inlineStr">
        <is>
          <t>65570346</t>
        </is>
      </c>
      <c r="D677" t="inlineStr">
        <is>
          <t>10000625</t>
        </is>
      </c>
      <c r="E677" t="inlineStr"/>
      <c r="F677" s="11" t="n">
        <v>60</v>
      </c>
      <c r="G677" t="inlineStr"/>
      <c r="I677" t="inlineStr">
        <is>
          <t>TN</t>
        </is>
      </c>
      <c r="J677" t="inlineStr"/>
      <c r="K677" t="inlineStr">
        <is>
          <t>20190426</t>
        </is>
      </c>
      <c r="L677" t="inlineStr">
        <is>
          <t>20250127</t>
        </is>
      </c>
    </row>
    <row r="678">
      <c r="A678" t="inlineStr">
        <is>
          <t>900003588</t>
        </is>
      </c>
      <c r="B678" t="inlineStr">
        <is>
          <t>D836</t>
        </is>
      </c>
      <c r="C678" t="inlineStr">
        <is>
          <t>65570346</t>
        </is>
      </c>
      <c r="D678" t="inlineStr">
        <is>
          <t>10000627</t>
        </is>
      </c>
      <c r="E678" t="inlineStr"/>
      <c r="F678" s="11" t="n">
        <v>80</v>
      </c>
      <c r="G678" t="inlineStr"/>
      <c r="I678" t="inlineStr">
        <is>
          <t>TN</t>
        </is>
      </c>
      <c r="J678" t="inlineStr"/>
      <c r="K678" t="inlineStr">
        <is>
          <t>20190426</t>
        </is>
      </c>
      <c r="L678" t="inlineStr">
        <is>
          <t>20250127</t>
        </is>
      </c>
    </row>
    <row r="679">
      <c r="A679" t="inlineStr">
        <is>
          <t>900003588</t>
        </is>
      </c>
      <c r="B679" t="inlineStr">
        <is>
          <t>D836</t>
        </is>
      </c>
      <c r="C679" t="inlineStr">
        <is>
          <t>65701702</t>
        </is>
      </c>
      <c r="D679" t="inlineStr">
        <is>
          <t>10000625</t>
        </is>
      </c>
      <c r="E679" t="inlineStr"/>
      <c r="F679" s="11" t="n">
        <v>70.40000000000001</v>
      </c>
      <c r="G679" t="inlineStr"/>
      <c r="I679" t="inlineStr">
        <is>
          <t>TN</t>
        </is>
      </c>
      <c r="J679" t="inlineStr"/>
      <c r="K679" t="inlineStr">
        <is>
          <t>20190426</t>
        </is>
      </c>
      <c r="L679" t="inlineStr">
        <is>
          <t>20250127</t>
        </is>
      </c>
    </row>
    <row r="680">
      <c r="A680" t="inlineStr">
        <is>
          <t>900003588</t>
        </is>
      </c>
      <c r="B680" t="inlineStr">
        <is>
          <t>D836</t>
        </is>
      </c>
      <c r="C680" t="inlineStr">
        <is>
          <t>65706147</t>
        </is>
      </c>
      <c r="D680" t="inlineStr">
        <is>
          <t>10000357</t>
        </is>
      </c>
      <c r="E680" t="inlineStr"/>
      <c r="F680" s="11" t="n">
        <v>120</v>
      </c>
      <c r="G680" t="inlineStr"/>
      <c r="I680" t="inlineStr">
        <is>
          <t>TN</t>
        </is>
      </c>
      <c r="J680" t="inlineStr"/>
      <c r="K680" t="inlineStr">
        <is>
          <t>20190426</t>
        </is>
      </c>
      <c r="L680" t="inlineStr">
        <is>
          <t>20250127</t>
        </is>
      </c>
    </row>
    <row r="681">
      <c r="A681" t="inlineStr">
        <is>
          <t>900003588</t>
        </is>
      </c>
      <c r="B681" t="inlineStr">
        <is>
          <t>D836</t>
        </is>
      </c>
      <c r="C681" t="inlineStr">
        <is>
          <t>65706147</t>
        </is>
      </c>
      <c r="D681" t="inlineStr">
        <is>
          <t>10000625</t>
        </is>
      </c>
      <c r="E681" t="inlineStr"/>
      <c r="F681" s="11" t="n">
        <v>55</v>
      </c>
      <c r="G681" t="inlineStr"/>
      <c r="I681" t="inlineStr">
        <is>
          <t>TN</t>
        </is>
      </c>
      <c r="J681" t="inlineStr"/>
      <c r="K681" t="inlineStr">
        <is>
          <t>20190426</t>
        </is>
      </c>
      <c r="L681" t="inlineStr">
        <is>
          <t>20250127</t>
        </is>
      </c>
    </row>
    <row r="682">
      <c r="A682" t="inlineStr">
        <is>
          <t>900003588</t>
        </is>
      </c>
      <c r="B682" t="inlineStr">
        <is>
          <t>D836</t>
        </is>
      </c>
      <c r="C682" t="inlineStr">
        <is>
          <t>65714168</t>
        </is>
      </c>
      <c r="D682" t="inlineStr">
        <is>
          <t>10000625</t>
        </is>
      </c>
      <c r="E682" t="inlineStr"/>
      <c r="F682" s="11" t="n">
        <v>58.51</v>
      </c>
      <c r="G682" t="inlineStr"/>
      <c r="I682" t="inlineStr">
        <is>
          <t>TN</t>
        </is>
      </c>
      <c r="J682" t="inlineStr"/>
      <c r="K682" t="inlineStr">
        <is>
          <t>20190426</t>
        </is>
      </c>
      <c r="L682" t="inlineStr">
        <is>
          <t>20250127</t>
        </is>
      </c>
    </row>
    <row r="683">
      <c r="A683" t="inlineStr">
        <is>
          <t>900003588</t>
        </is>
      </c>
      <c r="B683" t="inlineStr">
        <is>
          <t>D836</t>
        </is>
      </c>
      <c r="C683" t="inlineStr">
        <is>
          <t>65729122</t>
        </is>
      </c>
      <c r="D683" t="inlineStr">
        <is>
          <t>10000357</t>
        </is>
      </c>
      <c r="E683" t="inlineStr"/>
      <c r="F683" s="11" t="n">
        <v>98.06999999999999</v>
      </c>
      <c r="G683" t="inlineStr"/>
      <c r="I683" t="inlineStr">
        <is>
          <t>TN</t>
        </is>
      </c>
      <c r="J683" t="inlineStr"/>
      <c r="K683" t="inlineStr">
        <is>
          <t>20190426</t>
        </is>
      </c>
      <c r="L683" t="inlineStr">
        <is>
          <t>20250127</t>
        </is>
      </c>
    </row>
    <row r="684">
      <c r="A684" t="inlineStr">
        <is>
          <t>900003588</t>
        </is>
      </c>
      <c r="B684" t="inlineStr">
        <is>
          <t>D836</t>
        </is>
      </c>
      <c r="C684" t="inlineStr">
        <is>
          <t>65729122</t>
        </is>
      </c>
      <c r="D684" t="inlineStr">
        <is>
          <t>10000625</t>
        </is>
      </c>
      <c r="E684" t="inlineStr"/>
      <c r="F684" s="11" t="n">
        <v>62.78</v>
      </c>
      <c r="G684" t="inlineStr"/>
      <c r="I684" t="inlineStr">
        <is>
          <t>TN</t>
        </is>
      </c>
      <c r="J684" t="inlineStr"/>
      <c r="K684" t="inlineStr">
        <is>
          <t>20190426</t>
        </is>
      </c>
      <c r="L684" t="inlineStr">
        <is>
          <t>20250127</t>
        </is>
      </c>
    </row>
    <row r="685">
      <c r="A685" t="inlineStr">
        <is>
          <t>900003588</t>
        </is>
      </c>
      <c r="B685" t="inlineStr">
        <is>
          <t>D836</t>
        </is>
      </c>
      <c r="C685" t="inlineStr">
        <is>
          <t>65729122</t>
        </is>
      </c>
      <c r="D685" t="inlineStr">
        <is>
          <t>10000627</t>
        </is>
      </c>
      <c r="E685" t="inlineStr"/>
      <c r="F685" s="11" t="n">
        <v>79.98</v>
      </c>
      <c r="G685" t="inlineStr"/>
      <c r="I685" t="inlineStr">
        <is>
          <t>TN</t>
        </is>
      </c>
      <c r="J685" t="inlineStr"/>
      <c r="K685" t="inlineStr">
        <is>
          <t>20190426</t>
        </is>
      </c>
      <c r="L685" t="inlineStr">
        <is>
          <t>20250127</t>
        </is>
      </c>
    </row>
    <row r="686">
      <c r="A686" t="inlineStr">
        <is>
          <t>900003588</t>
        </is>
      </c>
      <c r="B686" t="inlineStr">
        <is>
          <t>D836</t>
        </is>
      </c>
      <c r="C686" t="inlineStr">
        <is>
          <t>65767510</t>
        </is>
      </c>
      <c r="D686" t="inlineStr">
        <is>
          <t>10000625</t>
        </is>
      </c>
      <c r="E686" t="inlineStr"/>
      <c r="F686" s="11" t="n">
        <v>49.2</v>
      </c>
      <c r="G686" t="inlineStr"/>
      <c r="I686" t="inlineStr">
        <is>
          <t>TN</t>
        </is>
      </c>
      <c r="J686" t="inlineStr"/>
      <c r="K686" t="inlineStr">
        <is>
          <t>20190426</t>
        </is>
      </c>
      <c r="L686" t="inlineStr">
        <is>
          <t>20250127</t>
        </is>
      </c>
    </row>
    <row r="687">
      <c r="A687" t="inlineStr">
        <is>
          <t>900003588</t>
        </is>
      </c>
      <c r="B687" t="inlineStr">
        <is>
          <t>D836</t>
        </is>
      </c>
      <c r="C687" t="inlineStr">
        <is>
          <t>65796882</t>
        </is>
      </c>
      <c r="D687" t="inlineStr">
        <is>
          <t>10000357</t>
        </is>
      </c>
      <c r="E687" t="inlineStr"/>
      <c r="F687" s="11" t="n">
        <v>98.06999999999999</v>
      </c>
      <c r="G687" t="inlineStr"/>
      <c r="I687" t="inlineStr">
        <is>
          <t>TN</t>
        </is>
      </c>
      <c r="J687" t="inlineStr"/>
      <c r="K687" t="inlineStr">
        <is>
          <t>20190426</t>
        </is>
      </c>
      <c r="L687" t="inlineStr">
        <is>
          <t>20250127</t>
        </is>
      </c>
    </row>
    <row r="688">
      <c r="A688" t="inlineStr">
        <is>
          <t>900003588</t>
        </is>
      </c>
      <c r="B688" t="inlineStr">
        <is>
          <t>D836</t>
        </is>
      </c>
      <c r="C688" t="inlineStr">
        <is>
          <t>65796882</t>
        </is>
      </c>
      <c r="D688" t="inlineStr">
        <is>
          <t>10000625</t>
        </is>
      </c>
      <c r="E688" t="inlineStr"/>
      <c r="F688" s="11" t="n">
        <v>63.39</v>
      </c>
      <c r="G688" t="inlineStr"/>
      <c r="I688" t="inlineStr">
        <is>
          <t>TN</t>
        </is>
      </c>
      <c r="J688" t="inlineStr"/>
      <c r="K688" t="inlineStr">
        <is>
          <t>20190426</t>
        </is>
      </c>
      <c r="L688" t="inlineStr">
        <is>
          <t>20250127</t>
        </is>
      </c>
    </row>
    <row r="689">
      <c r="A689" t="inlineStr">
        <is>
          <t>900003588</t>
        </is>
      </c>
      <c r="B689" t="inlineStr">
        <is>
          <t>D836</t>
        </is>
      </c>
      <c r="C689" t="inlineStr">
        <is>
          <t>65796882</t>
        </is>
      </c>
      <c r="D689" t="inlineStr">
        <is>
          <t>10000627</t>
        </is>
      </c>
      <c r="E689" t="inlineStr"/>
      <c r="F689" s="11" t="n">
        <v>79.98</v>
      </c>
      <c r="G689" t="inlineStr"/>
      <c r="I689" t="inlineStr">
        <is>
          <t>TN</t>
        </is>
      </c>
      <c r="J689" t="inlineStr"/>
      <c r="K689" t="inlineStr">
        <is>
          <t>20190426</t>
        </is>
      </c>
      <c r="L689" t="inlineStr">
        <is>
          <t>20250127</t>
        </is>
      </c>
    </row>
    <row r="690">
      <c r="A690" t="inlineStr">
        <is>
          <t>900003588</t>
        </is>
      </c>
      <c r="B690" t="inlineStr">
        <is>
          <t>D836</t>
        </is>
      </c>
      <c r="C690" t="inlineStr">
        <is>
          <t>65909241</t>
        </is>
      </c>
      <c r="D690" t="inlineStr">
        <is>
          <t>10000625</t>
        </is>
      </c>
      <c r="E690" t="inlineStr"/>
      <c r="F690" s="11" t="n">
        <v>49.72</v>
      </c>
      <c r="G690" t="inlineStr"/>
      <c r="I690" t="inlineStr">
        <is>
          <t>TN</t>
        </is>
      </c>
      <c r="J690" t="inlineStr"/>
      <c r="K690" t="inlineStr">
        <is>
          <t>20190426</t>
        </is>
      </c>
      <c r="L690" t="inlineStr">
        <is>
          <t>20250127</t>
        </is>
      </c>
    </row>
    <row r="691">
      <c r="A691" t="inlineStr">
        <is>
          <t>900003588</t>
        </is>
      </c>
      <c r="B691" t="inlineStr">
        <is>
          <t>D836</t>
        </is>
      </c>
      <c r="C691" t="inlineStr">
        <is>
          <t>66167552</t>
        </is>
      </c>
      <c r="D691" t="inlineStr">
        <is>
          <t>10000357</t>
        </is>
      </c>
      <c r="E691" t="inlineStr"/>
      <c r="F691" s="11" t="n">
        <v>98.90000000000001</v>
      </c>
      <c r="G691" t="inlineStr"/>
      <c r="I691" t="inlineStr">
        <is>
          <t>TN</t>
        </is>
      </c>
      <c r="J691" t="inlineStr"/>
      <c r="K691" t="inlineStr">
        <is>
          <t>20190426</t>
        </is>
      </c>
      <c r="L691" t="inlineStr">
        <is>
          <t>20250127</t>
        </is>
      </c>
    </row>
    <row r="692">
      <c r="A692" t="inlineStr">
        <is>
          <t>900003588</t>
        </is>
      </c>
      <c r="B692" t="inlineStr">
        <is>
          <t>D836</t>
        </is>
      </c>
      <c r="C692" t="inlineStr">
        <is>
          <t>66167552</t>
        </is>
      </c>
      <c r="D692" t="inlineStr">
        <is>
          <t>10000625</t>
        </is>
      </c>
      <c r="E692" t="inlineStr"/>
      <c r="F692" s="11" t="n">
        <v>58.65</v>
      </c>
      <c r="G692" t="inlineStr"/>
      <c r="I692" t="inlineStr">
        <is>
          <t>TN</t>
        </is>
      </c>
      <c r="J692" t="inlineStr"/>
      <c r="K692" t="inlineStr">
        <is>
          <t>20190426</t>
        </is>
      </c>
      <c r="L692" t="inlineStr">
        <is>
          <t>20250127</t>
        </is>
      </c>
    </row>
    <row r="693">
      <c r="A693" t="inlineStr">
        <is>
          <t>900003588</t>
        </is>
      </c>
      <c r="B693" t="inlineStr">
        <is>
          <t>D836</t>
        </is>
      </c>
      <c r="C693" t="inlineStr">
        <is>
          <t>66181113</t>
        </is>
      </c>
      <c r="D693" t="inlineStr">
        <is>
          <t>10000357</t>
        </is>
      </c>
      <c r="E693" t="inlineStr"/>
      <c r="F693" s="11" t="n">
        <v>98.06999999999999</v>
      </c>
      <c r="G693" t="inlineStr"/>
      <c r="I693" t="inlineStr">
        <is>
          <t>TN</t>
        </is>
      </c>
      <c r="J693" t="inlineStr"/>
      <c r="K693" t="inlineStr">
        <is>
          <t>20190426</t>
        </is>
      </c>
      <c r="L693" t="inlineStr">
        <is>
          <t>20250127</t>
        </is>
      </c>
    </row>
    <row r="694">
      <c r="A694" t="inlineStr">
        <is>
          <t>900003588</t>
        </is>
      </c>
      <c r="B694" t="inlineStr">
        <is>
          <t>D836</t>
        </is>
      </c>
      <c r="C694" t="inlineStr">
        <is>
          <t>66181113</t>
        </is>
      </c>
      <c r="D694" t="inlineStr">
        <is>
          <t>10000625</t>
        </is>
      </c>
      <c r="E694" t="inlineStr"/>
      <c r="F694" s="11" t="n">
        <v>63.39</v>
      </c>
      <c r="G694" t="inlineStr"/>
      <c r="I694" t="inlineStr">
        <is>
          <t>TN</t>
        </is>
      </c>
      <c r="J694" t="inlineStr"/>
      <c r="K694" t="inlineStr">
        <is>
          <t>20190426</t>
        </is>
      </c>
      <c r="L694" t="inlineStr">
        <is>
          <t>20250127</t>
        </is>
      </c>
    </row>
    <row r="695">
      <c r="A695" t="inlineStr">
        <is>
          <t>900003588</t>
        </is>
      </c>
      <c r="B695" t="inlineStr">
        <is>
          <t>D836</t>
        </is>
      </c>
      <c r="C695" t="inlineStr">
        <is>
          <t>66181113</t>
        </is>
      </c>
      <c r="D695" t="inlineStr">
        <is>
          <t>10000627</t>
        </is>
      </c>
      <c r="E695" t="inlineStr"/>
      <c r="F695" s="11" t="n">
        <v>79.98</v>
      </c>
      <c r="G695" t="inlineStr"/>
      <c r="I695" t="inlineStr">
        <is>
          <t>TN</t>
        </is>
      </c>
      <c r="J695" t="inlineStr"/>
      <c r="K695" t="inlineStr">
        <is>
          <t>20190426</t>
        </is>
      </c>
      <c r="L695" t="inlineStr">
        <is>
          <t>20250127</t>
        </is>
      </c>
    </row>
    <row r="696">
      <c r="A696" t="inlineStr">
        <is>
          <t>900003588</t>
        </is>
      </c>
      <c r="B696" t="inlineStr">
        <is>
          <t>D836</t>
        </is>
      </c>
      <c r="C696" t="inlineStr">
        <is>
          <t>66181114</t>
        </is>
      </c>
      <c r="D696" t="inlineStr">
        <is>
          <t>10000357</t>
        </is>
      </c>
      <c r="E696" t="inlineStr"/>
      <c r="F696" s="11" t="n">
        <v>98.06999999999999</v>
      </c>
      <c r="G696" t="inlineStr"/>
      <c r="I696" t="inlineStr">
        <is>
          <t>TN</t>
        </is>
      </c>
      <c r="J696" t="inlineStr"/>
      <c r="K696" t="inlineStr">
        <is>
          <t>20190426</t>
        </is>
      </c>
      <c r="L696" t="inlineStr">
        <is>
          <t>20250127</t>
        </is>
      </c>
    </row>
    <row r="697">
      <c r="A697" t="inlineStr">
        <is>
          <t>900003588</t>
        </is>
      </c>
      <c r="B697" t="inlineStr">
        <is>
          <t>D836</t>
        </is>
      </c>
      <c r="C697" t="inlineStr">
        <is>
          <t>66230098</t>
        </is>
      </c>
      <c r="D697" t="inlineStr">
        <is>
          <t>10001354</t>
        </is>
      </c>
      <c r="E697" t="inlineStr"/>
      <c r="F697" s="11" t="n">
        <v>129</v>
      </c>
      <c r="G697" t="inlineStr"/>
      <c r="I697" t="inlineStr">
        <is>
          <t>TN</t>
        </is>
      </c>
      <c r="J697" t="inlineStr"/>
      <c r="K697" t="inlineStr">
        <is>
          <t>20190426</t>
        </is>
      </c>
      <c r="L697" t="inlineStr">
        <is>
          <t>20250127</t>
        </is>
      </c>
    </row>
    <row r="698">
      <c r="A698" t="inlineStr">
        <is>
          <t>900003588</t>
        </is>
      </c>
      <c r="B698" t="inlineStr">
        <is>
          <t>D836</t>
        </is>
      </c>
      <c r="C698" t="inlineStr">
        <is>
          <t>66237142</t>
        </is>
      </c>
      <c r="D698" t="inlineStr">
        <is>
          <t>10000357</t>
        </is>
      </c>
      <c r="E698" t="inlineStr"/>
      <c r="F698" s="11" t="n">
        <v>98.06999999999999</v>
      </c>
      <c r="G698" t="inlineStr"/>
      <c r="I698" t="inlineStr">
        <is>
          <t>TN</t>
        </is>
      </c>
      <c r="J698" t="inlineStr"/>
      <c r="K698" t="inlineStr">
        <is>
          <t>20190426</t>
        </is>
      </c>
      <c r="L698" t="inlineStr">
        <is>
          <t>20250127</t>
        </is>
      </c>
    </row>
    <row r="699">
      <c r="A699" t="inlineStr">
        <is>
          <t>900003588</t>
        </is>
      </c>
      <c r="B699" t="inlineStr">
        <is>
          <t>D836</t>
        </is>
      </c>
      <c r="C699" t="inlineStr">
        <is>
          <t>66237142</t>
        </is>
      </c>
      <c r="D699" t="inlineStr">
        <is>
          <t>10000625</t>
        </is>
      </c>
      <c r="E699" t="inlineStr"/>
      <c r="F699" s="11" t="n">
        <v>63.39</v>
      </c>
      <c r="G699" t="inlineStr"/>
      <c r="I699" t="inlineStr">
        <is>
          <t>TN</t>
        </is>
      </c>
      <c r="J699" t="inlineStr"/>
      <c r="K699" t="inlineStr">
        <is>
          <t>20190426</t>
        </is>
      </c>
      <c r="L699" t="inlineStr">
        <is>
          <t>20250127</t>
        </is>
      </c>
    </row>
    <row r="700">
      <c r="A700" t="inlineStr">
        <is>
          <t>900003588</t>
        </is>
      </c>
      <c r="B700" t="inlineStr">
        <is>
          <t>D836</t>
        </is>
      </c>
      <c r="C700" t="inlineStr">
        <is>
          <t>66265943</t>
        </is>
      </c>
      <c r="D700" t="inlineStr">
        <is>
          <t>10000357</t>
        </is>
      </c>
      <c r="E700" t="inlineStr"/>
      <c r="F700" s="11" t="n">
        <v>90</v>
      </c>
      <c r="G700" t="inlineStr"/>
      <c r="I700" t="inlineStr">
        <is>
          <t>TN</t>
        </is>
      </c>
      <c r="J700" t="inlineStr"/>
      <c r="K700" t="inlineStr">
        <is>
          <t>20190426</t>
        </is>
      </c>
      <c r="L700" t="inlineStr">
        <is>
          <t>20250127</t>
        </is>
      </c>
    </row>
    <row r="701">
      <c r="A701" t="inlineStr">
        <is>
          <t>900003588</t>
        </is>
      </c>
      <c r="B701" t="inlineStr">
        <is>
          <t>D836</t>
        </is>
      </c>
      <c r="C701" t="inlineStr">
        <is>
          <t>66265943</t>
        </is>
      </c>
      <c r="D701" t="inlineStr">
        <is>
          <t>10000625</t>
        </is>
      </c>
      <c r="E701" t="inlineStr"/>
      <c r="F701" s="11" t="n">
        <v>60</v>
      </c>
      <c r="G701" t="inlineStr"/>
      <c r="I701" t="inlineStr">
        <is>
          <t>TN</t>
        </is>
      </c>
      <c r="J701" t="inlineStr"/>
      <c r="K701" t="inlineStr">
        <is>
          <t>20190426</t>
        </is>
      </c>
      <c r="L701" t="inlineStr">
        <is>
          <t>20250127</t>
        </is>
      </c>
    </row>
    <row r="702">
      <c r="A702" t="inlineStr">
        <is>
          <t>900003588</t>
        </is>
      </c>
      <c r="B702" t="inlineStr">
        <is>
          <t>D836</t>
        </is>
      </c>
      <c r="C702" t="inlineStr">
        <is>
          <t>66265943</t>
        </is>
      </c>
      <c r="D702" t="inlineStr">
        <is>
          <t>10000627</t>
        </is>
      </c>
      <c r="E702" t="inlineStr"/>
      <c r="F702" s="11" t="n">
        <v>70.5</v>
      </c>
      <c r="G702" t="inlineStr"/>
      <c r="I702" t="inlineStr">
        <is>
          <t>TN</t>
        </is>
      </c>
      <c r="J702" t="inlineStr"/>
      <c r="K702" t="inlineStr">
        <is>
          <t>20190426</t>
        </is>
      </c>
      <c r="L702" t="inlineStr">
        <is>
          <t>20250127</t>
        </is>
      </c>
    </row>
    <row r="703">
      <c r="A703" t="inlineStr">
        <is>
          <t>900003588</t>
        </is>
      </c>
      <c r="B703" t="inlineStr">
        <is>
          <t>D836</t>
        </is>
      </c>
      <c r="C703" t="inlineStr">
        <is>
          <t>66265943</t>
        </is>
      </c>
      <c r="D703" t="inlineStr">
        <is>
          <t>10001354</t>
        </is>
      </c>
      <c r="E703" t="inlineStr"/>
      <c r="F703" s="11" t="n">
        <v>129</v>
      </c>
      <c r="G703" t="inlineStr"/>
      <c r="I703" t="inlineStr">
        <is>
          <t>TN</t>
        </is>
      </c>
      <c r="J703" t="inlineStr"/>
      <c r="K703" t="inlineStr">
        <is>
          <t>20190426</t>
        </is>
      </c>
      <c r="L703" t="inlineStr">
        <is>
          <t>20250127</t>
        </is>
      </c>
    </row>
    <row r="704">
      <c r="A704" t="inlineStr">
        <is>
          <t>900003588</t>
        </is>
      </c>
      <c r="B704" t="inlineStr">
        <is>
          <t>D836</t>
        </is>
      </c>
      <c r="C704" t="inlineStr">
        <is>
          <t>66265944</t>
        </is>
      </c>
      <c r="D704" t="inlineStr">
        <is>
          <t>10000357</t>
        </is>
      </c>
      <c r="E704" t="inlineStr"/>
      <c r="F704" s="11" t="n">
        <v>98.06999999999999</v>
      </c>
      <c r="G704" t="inlineStr"/>
      <c r="I704" t="inlineStr">
        <is>
          <t>TN</t>
        </is>
      </c>
      <c r="J704" t="inlineStr"/>
      <c r="K704" t="inlineStr">
        <is>
          <t>20190426</t>
        </is>
      </c>
      <c r="L704" t="inlineStr">
        <is>
          <t>20250127</t>
        </is>
      </c>
    </row>
    <row r="705">
      <c r="A705" t="inlineStr">
        <is>
          <t>900003588</t>
        </is>
      </c>
      <c r="B705" t="inlineStr">
        <is>
          <t>D836</t>
        </is>
      </c>
      <c r="C705" t="inlineStr">
        <is>
          <t>66279408</t>
        </is>
      </c>
      <c r="D705" t="inlineStr">
        <is>
          <t>10000357</t>
        </is>
      </c>
      <c r="E705" t="inlineStr"/>
      <c r="F705" s="11" t="n">
        <v>98.06999999999999</v>
      </c>
      <c r="G705" t="inlineStr"/>
      <c r="I705" t="inlineStr">
        <is>
          <t>TN</t>
        </is>
      </c>
      <c r="J705" t="inlineStr"/>
      <c r="K705" t="inlineStr">
        <is>
          <t>20190426</t>
        </is>
      </c>
      <c r="L705" t="inlineStr">
        <is>
          <t>20250127</t>
        </is>
      </c>
    </row>
    <row r="706">
      <c r="A706" t="inlineStr">
        <is>
          <t>900003588</t>
        </is>
      </c>
      <c r="B706" t="inlineStr">
        <is>
          <t>D836</t>
        </is>
      </c>
      <c r="C706" t="inlineStr">
        <is>
          <t>66279408</t>
        </is>
      </c>
      <c r="D706" t="inlineStr">
        <is>
          <t>10000625</t>
        </is>
      </c>
      <c r="E706" t="inlineStr"/>
      <c r="F706" s="11" t="n">
        <v>63.39</v>
      </c>
      <c r="G706" t="inlineStr"/>
      <c r="I706" t="inlineStr">
        <is>
          <t>TN</t>
        </is>
      </c>
      <c r="J706" t="inlineStr"/>
      <c r="K706" t="inlineStr">
        <is>
          <t>20190426</t>
        </is>
      </c>
      <c r="L706" t="inlineStr">
        <is>
          <t>20250127</t>
        </is>
      </c>
    </row>
    <row r="707">
      <c r="A707" t="inlineStr">
        <is>
          <t>900003588</t>
        </is>
      </c>
      <c r="B707" t="inlineStr">
        <is>
          <t>D836</t>
        </is>
      </c>
      <c r="C707" t="inlineStr">
        <is>
          <t>66279408</t>
        </is>
      </c>
      <c r="D707" t="inlineStr">
        <is>
          <t>10000627</t>
        </is>
      </c>
      <c r="E707" t="inlineStr"/>
      <c r="F707" s="11" t="n">
        <v>79.98</v>
      </c>
      <c r="G707" t="inlineStr"/>
      <c r="I707" t="inlineStr">
        <is>
          <t>TN</t>
        </is>
      </c>
      <c r="J707" t="inlineStr"/>
      <c r="K707" t="inlineStr">
        <is>
          <t>20190426</t>
        </is>
      </c>
      <c r="L707" t="inlineStr">
        <is>
          <t>20250127</t>
        </is>
      </c>
    </row>
    <row r="708">
      <c r="A708" t="inlineStr">
        <is>
          <t>900003588</t>
        </is>
      </c>
      <c r="B708" t="inlineStr">
        <is>
          <t>D836</t>
        </is>
      </c>
      <c r="C708" t="inlineStr">
        <is>
          <t>66279408</t>
        </is>
      </c>
      <c r="D708" t="inlineStr">
        <is>
          <t>10001354</t>
        </is>
      </c>
      <c r="E708" t="inlineStr"/>
      <c r="F708" s="11" t="n">
        <v>129</v>
      </c>
      <c r="G708" t="inlineStr"/>
      <c r="I708" t="inlineStr">
        <is>
          <t>TN</t>
        </is>
      </c>
      <c r="J708" t="inlineStr"/>
      <c r="K708" t="inlineStr">
        <is>
          <t>20190426</t>
        </is>
      </c>
      <c r="L708" t="inlineStr">
        <is>
          <t>20250127</t>
        </is>
      </c>
    </row>
    <row r="709">
      <c r="A709" t="inlineStr">
        <is>
          <t>900003588</t>
        </is>
      </c>
      <c r="B709" t="inlineStr">
        <is>
          <t>D836</t>
        </is>
      </c>
      <c r="C709" t="inlineStr">
        <is>
          <t>66279410</t>
        </is>
      </c>
      <c r="D709" t="inlineStr">
        <is>
          <t>10000357</t>
        </is>
      </c>
      <c r="E709" t="inlineStr"/>
      <c r="F709" s="11" t="n">
        <v>98.06999999999999</v>
      </c>
      <c r="G709" t="inlineStr"/>
      <c r="I709" t="inlineStr">
        <is>
          <t>TN</t>
        </is>
      </c>
      <c r="J709" t="inlineStr"/>
      <c r="K709" t="inlineStr">
        <is>
          <t>20190426</t>
        </is>
      </c>
      <c r="L709" t="inlineStr">
        <is>
          <t>20250127</t>
        </is>
      </c>
    </row>
    <row r="710">
      <c r="A710" t="inlineStr">
        <is>
          <t>900003588</t>
        </is>
      </c>
      <c r="B710" t="inlineStr">
        <is>
          <t>D836</t>
        </is>
      </c>
      <c r="C710" t="inlineStr">
        <is>
          <t>66283803</t>
        </is>
      </c>
      <c r="D710" t="inlineStr">
        <is>
          <t>10000357</t>
        </is>
      </c>
      <c r="E710" t="inlineStr"/>
      <c r="F710" s="11" t="n">
        <v>92</v>
      </c>
      <c r="G710" t="inlineStr"/>
      <c r="I710" t="inlineStr">
        <is>
          <t>TN</t>
        </is>
      </c>
      <c r="J710" t="inlineStr"/>
      <c r="K710" t="inlineStr">
        <is>
          <t>20190426</t>
        </is>
      </c>
      <c r="L710" t="inlineStr">
        <is>
          <t>20250127</t>
        </is>
      </c>
    </row>
    <row r="711">
      <c r="A711" t="inlineStr">
        <is>
          <t>900003588</t>
        </is>
      </c>
      <c r="B711" t="inlineStr">
        <is>
          <t>D836</t>
        </is>
      </c>
      <c r="C711" t="inlineStr">
        <is>
          <t>66283803</t>
        </is>
      </c>
      <c r="D711" t="inlineStr">
        <is>
          <t>10000625</t>
        </is>
      </c>
      <c r="E711" t="inlineStr"/>
      <c r="F711" s="11" t="n">
        <v>57.5</v>
      </c>
      <c r="G711" t="inlineStr"/>
      <c r="I711" t="inlineStr">
        <is>
          <t>TN</t>
        </is>
      </c>
      <c r="J711" t="inlineStr"/>
      <c r="K711" t="inlineStr">
        <is>
          <t>20190426</t>
        </is>
      </c>
      <c r="L711" t="inlineStr">
        <is>
          <t>20250127</t>
        </is>
      </c>
    </row>
    <row r="712">
      <c r="A712" t="inlineStr">
        <is>
          <t>900003588</t>
        </is>
      </c>
      <c r="B712" t="inlineStr">
        <is>
          <t>D836</t>
        </is>
      </c>
      <c r="C712" t="inlineStr">
        <is>
          <t>66283803</t>
        </is>
      </c>
      <c r="D712" t="inlineStr">
        <is>
          <t>10000627</t>
        </is>
      </c>
      <c r="E712" t="inlineStr"/>
      <c r="F712" s="11" t="n">
        <v>95.45</v>
      </c>
      <c r="G712" t="inlineStr"/>
      <c r="I712" t="inlineStr">
        <is>
          <t>TN</t>
        </is>
      </c>
      <c r="J712" t="inlineStr"/>
      <c r="K712" t="inlineStr">
        <is>
          <t>20190426</t>
        </is>
      </c>
      <c r="L712" t="inlineStr">
        <is>
          <t>20250127</t>
        </is>
      </c>
    </row>
    <row r="713">
      <c r="A713" t="inlineStr">
        <is>
          <t>900003588</t>
        </is>
      </c>
      <c r="B713" t="inlineStr">
        <is>
          <t>D836</t>
        </is>
      </c>
      <c r="C713" t="inlineStr">
        <is>
          <t>66308834</t>
        </is>
      </c>
      <c r="D713" t="inlineStr">
        <is>
          <t>10000357</t>
        </is>
      </c>
      <c r="E713" t="inlineStr"/>
      <c r="F713" s="11" t="n">
        <v>89.22</v>
      </c>
      <c r="G713" t="inlineStr"/>
      <c r="I713" t="inlineStr">
        <is>
          <t>TN</t>
        </is>
      </c>
      <c r="J713" t="inlineStr"/>
      <c r="K713" t="inlineStr">
        <is>
          <t>20190426</t>
        </is>
      </c>
      <c r="L713" t="inlineStr">
        <is>
          <t>20250127</t>
        </is>
      </c>
    </row>
    <row r="714">
      <c r="A714" t="inlineStr">
        <is>
          <t>900003588</t>
        </is>
      </c>
      <c r="B714" t="inlineStr">
        <is>
          <t>D836</t>
        </is>
      </c>
      <c r="C714" t="inlineStr">
        <is>
          <t>66308834</t>
        </is>
      </c>
      <c r="D714" t="inlineStr">
        <is>
          <t>10000625</t>
        </is>
      </c>
      <c r="E714" t="inlineStr"/>
      <c r="F714" s="11" t="n">
        <v>52.48</v>
      </c>
      <c r="G714" t="inlineStr"/>
      <c r="I714" t="inlineStr">
        <is>
          <t>TN</t>
        </is>
      </c>
      <c r="J714" t="inlineStr"/>
      <c r="K714" t="inlineStr">
        <is>
          <t>20190426</t>
        </is>
      </c>
      <c r="L714" t="inlineStr">
        <is>
          <t>20250127</t>
        </is>
      </c>
    </row>
    <row r="715">
      <c r="A715" t="inlineStr">
        <is>
          <t>900003588</t>
        </is>
      </c>
      <c r="B715" t="inlineStr">
        <is>
          <t>D836</t>
        </is>
      </c>
      <c r="C715" t="inlineStr">
        <is>
          <t>66308834</t>
        </is>
      </c>
      <c r="D715" t="inlineStr">
        <is>
          <t>10000627</t>
        </is>
      </c>
      <c r="E715" t="inlineStr"/>
      <c r="F715" s="11" t="n">
        <v>62.28</v>
      </c>
      <c r="G715" t="inlineStr"/>
      <c r="I715" t="inlineStr">
        <is>
          <t>TN</t>
        </is>
      </c>
      <c r="J715" t="inlineStr"/>
      <c r="K715" t="inlineStr">
        <is>
          <t>20190426</t>
        </is>
      </c>
      <c r="L715" t="inlineStr">
        <is>
          <t>20250127</t>
        </is>
      </c>
    </row>
    <row r="716">
      <c r="A716" t="inlineStr">
        <is>
          <t>900003588</t>
        </is>
      </c>
      <c r="B716" t="inlineStr">
        <is>
          <t>D836</t>
        </is>
      </c>
      <c r="C716" t="inlineStr">
        <is>
          <t>66318366</t>
        </is>
      </c>
      <c r="D716" t="inlineStr">
        <is>
          <t>10000357</t>
        </is>
      </c>
      <c r="E716" t="inlineStr"/>
      <c r="F716" s="11" t="n">
        <v>90</v>
      </c>
      <c r="G716" t="inlineStr"/>
      <c r="I716" t="inlineStr">
        <is>
          <t>TN</t>
        </is>
      </c>
      <c r="J716" t="inlineStr"/>
      <c r="K716" t="inlineStr">
        <is>
          <t>20190426</t>
        </is>
      </c>
      <c r="L716" t="inlineStr">
        <is>
          <t>20250127</t>
        </is>
      </c>
    </row>
    <row r="717">
      <c r="A717" t="inlineStr">
        <is>
          <t>900003588</t>
        </is>
      </c>
      <c r="B717" t="inlineStr">
        <is>
          <t>D836</t>
        </is>
      </c>
      <c r="C717" t="inlineStr">
        <is>
          <t>66318366</t>
        </is>
      </c>
      <c r="D717" t="inlineStr">
        <is>
          <t>10000625</t>
        </is>
      </c>
      <c r="E717" t="inlineStr"/>
      <c r="F717" s="11" t="n">
        <v>60</v>
      </c>
      <c r="G717" t="inlineStr"/>
      <c r="I717" t="inlineStr">
        <is>
          <t>TN</t>
        </is>
      </c>
      <c r="J717" t="inlineStr"/>
      <c r="K717" t="inlineStr">
        <is>
          <t>20190426</t>
        </is>
      </c>
      <c r="L717" t="inlineStr">
        <is>
          <t>20250127</t>
        </is>
      </c>
    </row>
    <row r="718">
      <c r="A718" t="inlineStr">
        <is>
          <t>900003588</t>
        </is>
      </c>
      <c r="B718" t="inlineStr">
        <is>
          <t>D836</t>
        </is>
      </c>
      <c r="C718" t="inlineStr">
        <is>
          <t>66318366</t>
        </is>
      </c>
      <c r="D718" t="inlineStr">
        <is>
          <t>10000627</t>
        </is>
      </c>
      <c r="E718" t="inlineStr"/>
      <c r="F718" s="11" t="n">
        <v>70.5</v>
      </c>
      <c r="G718" t="inlineStr"/>
      <c r="I718" t="inlineStr">
        <is>
          <t>TN</t>
        </is>
      </c>
      <c r="J718" t="inlineStr"/>
      <c r="K718" t="inlineStr">
        <is>
          <t>20190426</t>
        </is>
      </c>
      <c r="L718" t="inlineStr">
        <is>
          <t>20250127</t>
        </is>
      </c>
    </row>
    <row r="719">
      <c r="A719" t="inlineStr">
        <is>
          <t>900003588</t>
        </is>
      </c>
      <c r="B719" t="inlineStr">
        <is>
          <t>D836</t>
        </is>
      </c>
      <c r="C719" t="inlineStr">
        <is>
          <t>66394060</t>
        </is>
      </c>
      <c r="D719" t="inlineStr">
        <is>
          <t>10000357</t>
        </is>
      </c>
      <c r="E719" t="inlineStr"/>
      <c r="F719" s="11" t="n">
        <v>94</v>
      </c>
      <c r="G719" t="inlineStr"/>
      <c r="I719" t="inlineStr">
        <is>
          <t>TN</t>
        </is>
      </c>
      <c r="J719" t="inlineStr"/>
      <c r="K719" t="inlineStr">
        <is>
          <t>20190426</t>
        </is>
      </c>
      <c r="L719" t="inlineStr">
        <is>
          <t>20250127</t>
        </is>
      </c>
    </row>
    <row r="720">
      <c r="A720" t="inlineStr">
        <is>
          <t>900003588</t>
        </is>
      </c>
      <c r="B720" t="inlineStr">
        <is>
          <t>D836</t>
        </is>
      </c>
      <c r="C720" t="inlineStr">
        <is>
          <t>66394060</t>
        </is>
      </c>
      <c r="D720" t="inlineStr">
        <is>
          <t>10000625</t>
        </is>
      </c>
      <c r="E720" t="inlineStr"/>
      <c r="F720" s="11" t="n">
        <v>60</v>
      </c>
      <c r="G720" t="inlineStr"/>
      <c r="I720" t="inlineStr">
        <is>
          <t>TN</t>
        </is>
      </c>
      <c r="J720" t="inlineStr"/>
      <c r="K720" t="inlineStr">
        <is>
          <t>20190426</t>
        </is>
      </c>
      <c r="L720" t="inlineStr">
        <is>
          <t>20250127</t>
        </is>
      </c>
    </row>
    <row r="721">
      <c r="A721" t="inlineStr">
        <is>
          <t>900003588</t>
        </is>
      </c>
      <c r="B721" t="inlineStr">
        <is>
          <t>D836</t>
        </is>
      </c>
      <c r="C721" t="inlineStr">
        <is>
          <t>66394060</t>
        </is>
      </c>
      <c r="D721" t="inlineStr">
        <is>
          <t>10000627</t>
        </is>
      </c>
      <c r="E721" t="inlineStr"/>
      <c r="F721" s="11" t="n">
        <v>80</v>
      </c>
      <c r="G721" t="inlineStr"/>
      <c r="I721" t="inlineStr">
        <is>
          <t>TN</t>
        </is>
      </c>
      <c r="J721" t="inlineStr"/>
      <c r="K721" t="inlineStr">
        <is>
          <t>20190426</t>
        </is>
      </c>
      <c r="L721" t="inlineStr">
        <is>
          <t>20250127</t>
        </is>
      </c>
    </row>
    <row r="722">
      <c r="A722" t="inlineStr">
        <is>
          <t>900003588</t>
        </is>
      </c>
      <c r="B722" t="inlineStr">
        <is>
          <t>D836</t>
        </is>
      </c>
      <c r="C722" t="inlineStr">
        <is>
          <t>66414377</t>
        </is>
      </c>
      <c r="D722" t="inlineStr">
        <is>
          <t>10000357</t>
        </is>
      </c>
      <c r="E722" t="inlineStr"/>
      <c r="F722" s="11" t="n">
        <v>86.5</v>
      </c>
      <c r="G722" t="inlineStr"/>
      <c r="I722" t="inlineStr">
        <is>
          <t>TN</t>
        </is>
      </c>
      <c r="J722" t="inlineStr"/>
      <c r="K722" t="inlineStr">
        <is>
          <t>20190426</t>
        </is>
      </c>
      <c r="L722" t="inlineStr">
        <is>
          <t>20250127</t>
        </is>
      </c>
    </row>
    <row r="723">
      <c r="A723" t="inlineStr">
        <is>
          <t>900003588</t>
        </is>
      </c>
      <c r="B723" t="inlineStr">
        <is>
          <t>D836</t>
        </is>
      </c>
      <c r="C723" t="inlineStr">
        <is>
          <t>66414377</t>
        </is>
      </c>
      <c r="D723" t="inlineStr">
        <is>
          <t>10001354</t>
        </is>
      </c>
      <c r="E723" t="inlineStr"/>
      <c r="F723" s="11" t="n">
        <v>129</v>
      </c>
      <c r="G723" t="inlineStr"/>
      <c r="I723" t="inlineStr">
        <is>
          <t>TN</t>
        </is>
      </c>
      <c r="J723" t="inlineStr"/>
      <c r="K723" t="inlineStr">
        <is>
          <t>20190426</t>
        </is>
      </c>
      <c r="L723" t="inlineStr">
        <is>
          <t>20250127</t>
        </is>
      </c>
    </row>
    <row r="724">
      <c r="A724" t="inlineStr">
        <is>
          <t>900003588</t>
        </is>
      </c>
      <c r="B724" t="inlineStr">
        <is>
          <t>D836</t>
        </is>
      </c>
      <c r="C724" t="inlineStr">
        <is>
          <t>66415270</t>
        </is>
      </c>
      <c r="D724" t="inlineStr">
        <is>
          <t>10000357</t>
        </is>
      </c>
      <c r="E724" t="inlineStr"/>
      <c r="F724" s="11" t="n">
        <v>86.5</v>
      </c>
      <c r="G724" t="inlineStr"/>
      <c r="I724" t="inlineStr">
        <is>
          <t>TN</t>
        </is>
      </c>
      <c r="J724" t="inlineStr"/>
      <c r="K724" t="inlineStr">
        <is>
          <t>20190426</t>
        </is>
      </c>
      <c r="L724" t="inlineStr">
        <is>
          <t>20250127</t>
        </is>
      </c>
    </row>
    <row r="725">
      <c r="A725" t="inlineStr">
        <is>
          <t>900003588</t>
        </is>
      </c>
      <c r="B725" t="inlineStr">
        <is>
          <t>D836</t>
        </is>
      </c>
      <c r="C725" t="inlineStr">
        <is>
          <t>66415270</t>
        </is>
      </c>
      <c r="D725" t="inlineStr">
        <is>
          <t>10000625</t>
        </is>
      </c>
      <c r="E725" t="inlineStr"/>
      <c r="F725" s="11" t="n">
        <v>51</v>
      </c>
      <c r="G725" t="inlineStr"/>
      <c r="I725" t="inlineStr">
        <is>
          <t>TN</t>
        </is>
      </c>
      <c r="J725" t="inlineStr"/>
      <c r="K725" t="inlineStr">
        <is>
          <t>20190426</t>
        </is>
      </c>
      <c r="L725" t="inlineStr">
        <is>
          <t>20250127</t>
        </is>
      </c>
    </row>
    <row r="726">
      <c r="A726" t="inlineStr">
        <is>
          <t>900003588</t>
        </is>
      </c>
      <c r="B726" t="inlineStr">
        <is>
          <t>D836</t>
        </is>
      </c>
      <c r="C726" t="inlineStr">
        <is>
          <t>66415270</t>
        </is>
      </c>
      <c r="D726" t="inlineStr">
        <is>
          <t>10001354</t>
        </is>
      </c>
      <c r="E726" t="inlineStr"/>
      <c r="F726" s="11" t="n">
        <v>129</v>
      </c>
      <c r="G726" t="inlineStr"/>
      <c r="I726" t="inlineStr">
        <is>
          <t>TN</t>
        </is>
      </c>
      <c r="J726" t="inlineStr"/>
      <c r="K726" t="inlineStr">
        <is>
          <t>20190426</t>
        </is>
      </c>
      <c r="L726" t="inlineStr">
        <is>
          <t>20250127</t>
        </is>
      </c>
    </row>
    <row r="727">
      <c r="A727" t="inlineStr">
        <is>
          <t>900003588</t>
        </is>
      </c>
      <c r="B727" t="inlineStr">
        <is>
          <t>D836</t>
        </is>
      </c>
      <c r="C727" t="inlineStr">
        <is>
          <t>66416982</t>
        </is>
      </c>
      <c r="D727" t="inlineStr">
        <is>
          <t>10000625</t>
        </is>
      </c>
      <c r="E727" t="inlineStr"/>
      <c r="F727" s="11" t="n">
        <v>53</v>
      </c>
      <c r="G727" t="inlineStr"/>
      <c r="I727" t="inlineStr">
        <is>
          <t>TN</t>
        </is>
      </c>
      <c r="J727" t="inlineStr"/>
      <c r="K727" t="inlineStr">
        <is>
          <t>20190426</t>
        </is>
      </c>
      <c r="L727" t="inlineStr">
        <is>
          <t>20250127</t>
        </is>
      </c>
    </row>
    <row r="728">
      <c r="A728" t="inlineStr">
        <is>
          <t>900003588</t>
        </is>
      </c>
      <c r="B728" t="inlineStr">
        <is>
          <t>D836</t>
        </is>
      </c>
      <c r="C728" t="inlineStr">
        <is>
          <t>66423916</t>
        </is>
      </c>
      <c r="D728" t="inlineStr">
        <is>
          <t>10000140</t>
        </is>
      </c>
      <c r="E728" t="inlineStr"/>
      <c r="F728" s="11" t="n">
        <v>56</v>
      </c>
      <c r="G728" t="inlineStr"/>
      <c r="I728" t="inlineStr">
        <is>
          <t>TN</t>
        </is>
      </c>
      <c r="J728" t="inlineStr"/>
      <c r="K728" t="inlineStr">
        <is>
          <t>20190426</t>
        </is>
      </c>
      <c r="L728" t="inlineStr">
        <is>
          <t>20250127</t>
        </is>
      </c>
    </row>
    <row r="729">
      <c r="A729" t="inlineStr">
        <is>
          <t>900003588</t>
        </is>
      </c>
      <c r="B729" t="inlineStr">
        <is>
          <t>D836</t>
        </is>
      </c>
      <c r="C729" t="inlineStr">
        <is>
          <t>66423916</t>
        </is>
      </c>
      <c r="D729" t="inlineStr">
        <is>
          <t>10000357</t>
        </is>
      </c>
      <c r="E729" t="inlineStr"/>
      <c r="F729" s="11" t="n">
        <v>98.06999999999999</v>
      </c>
      <c r="G729" t="inlineStr"/>
      <c r="I729" t="inlineStr">
        <is>
          <t>TN</t>
        </is>
      </c>
      <c r="J729" t="inlineStr"/>
      <c r="K729" t="inlineStr">
        <is>
          <t>20190426</t>
        </is>
      </c>
      <c r="L729" t="inlineStr">
        <is>
          <t>20250127</t>
        </is>
      </c>
    </row>
    <row r="730">
      <c r="A730" t="inlineStr">
        <is>
          <t>900003588</t>
        </is>
      </c>
      <c r="B730" t="inlineStr">
        <is>
          <t>D836</t>
        </is>
      </c>
      <c r="C730" t="inlineStr">
        <is>
          <t>66423916</t>
        </is>
      </c>
      <c r="D730" t="inlineStr">
        <is>
          <t>10000625</t>
        </is>
      </c>
      <c r="E730" t="inlineStr"/>
      <c r="F730" s="11" t="n">
        <v>50</v>
      </c>
      <c r="G730" t="inlineStr"/>
      <c r="I730" t="inlineStr">
        <is>
          <t>TN</t>
        </is>
      </c>
      <c r="J730" t="inlineStr"/>
      <c r="K730" t="inlineStr">
        <is>
          <t>20190426</t>
        </is>
      </c>
      <c r="L730" t="inlineStr">
        <is>
          <t>20250127</t>
        </is>
      </c>
    </row>
    <row r="731">
      <c r="A731" t="inlineStr">
        <is>
          <t>900003588</t>
        </is>
      </c>
      <c r="B731" t="inlineStr">
        <is>
          <t>D836</t>
        </is>
      </c>
      <c r="C731" t="inlineStr">
        <is>
          <t>66423916</t>
        </is>
      </c>
      <c r="D731" t="inlineStr">
        <is>
          <t>10000627</t>
        </is>
      </c>
      <c r="E731" t="inlineStr"/>
      <c r="F731" s="11" t="n">
        <v>60</v>
      </c>
      <c r="G731" t="inlineStr"/>
      <c r="I731" t="inlineStr">
        <is>
          <t>TN</t>
        </is>
      </c>
      <c r="J731" t="inlineStr"/>
      <c r="K731" t="inlineStr">
        <is>
          <t>20190426</t>
        </is>
      </c>
      <c r="L731" t="inlineStr">
        <is>
          <t>20250127</t>
        </is>
      </c>
    </row>
    <row r="732">
      <c r="A732" t="inlineStr">
        <is>
          <t>900003588</t>
        </is>
      </c>
      <c r="B732" t="inlineStr">
        <is>
          <t>D836</t>
        </is>
      </c>
      <c r="C732" t="inlineStr">
        <is>
          <t>66423916</t>
        </is>
      </c>
      <c r="D732" t="inlineStr">
        <is>
          <t>10001354</t>
        </is>
      </c>
      <c r="E732" t="inlineStr"/>
      <c r="F732" s="11" t="n">
        <v>130</v>
      </c>
      <c r="G732" t="inlineStr"/>
      <c r="I732" t="inlineStr">
        <is>
          <t>TN</t>
        </is>
      </c>
      <c r="J732" t="inlineStr"/>
      <c r="K732" t="inlineStr">
        <is>
          <t>20190426</t>
        </is>
      </c>
      <c r="L732" t="inlineStr">
        <is>
          <t>20250127</t>
        </is>
      </c>
    </row>
    <row r="733">
      <c r="A733" t="inlineStr">
        <is>
          <t>900003588</t>
        </is>
      </c>
      <c r="B733" t="inlineStr">
        <is>
          <t>D836</t>
        </is>
      </c>
      <c r="C733" t="inlineStr">
        <is>
          <t>66428265</t>
        </is>
      </c>
      <c r="D733" t="inlineStr">
        <is>
          <t>10000357</t>
        </is>
      </c>
      <c r="E733" t="inlineStr"/>
      <c r="F733" s="11" t="n">
        <v>90</v>
      </c>
      <c r="G733" t="inlineStr"/>
      <c r="I733" t="inlineStr">
        <is>
          <t>TN</t>
        </is>
      </c>
      <c r="J733" t="inlineStr"/>
      <c r="K733" t="inlineStr">
        <is>
          <t>20190426</t>
        </is>
      </c>
      <c r="L733" t="inlineStr">
        <is>
          <t>20250127</t>
        </is>
      </c>
    </row>
    <row r="734">
      <c r="A734" t="inlineStr">
        <is>
          <t>900003588</t>
        </is>
      </c>
      <c r="B734" t="inlineStr">
        <is>
          <t>D836</t>
        </is>
      </c>
      <c r="C734" t="inlineStr">
        <is>
          <t>66428265</t>
        </is>
      </c>
      <c r="D734" t="inlineStr">
        <is>
          <t>10000625</t>
        </is>
      </c>
      <c r="E734" t="inlineStr"/>
      <c r="F734" s="11" t="n">
        <v>55</v>
      </c>
      <c r="G734" t="inlineStr"/>
      <c r="I734" t="inlineStr">
        <is>
          <t>TN</t>
        </is>
      </c>
      <c r="J734" t="inlineStr"/>
      <c r="K734" t="inlineStr">
        <is>
          <t>20190426</t>
        </is>
      </c>
      <c r="L734" t="inlineStr">
        <is>
          <t>20250127</t>
        </is>
      </c>
    </row>
    <row r="735">
      <c r="A735" t="inlineStr">
        <is>
          <t>900003588</t>
        </is>
      </c>
      <c r="B735" t="inlineStr">
        <is>
          <t>D836</t>
        </is>
      </c>
      <c r="C735" t="inlineStr">
        <is>
          <t>66428265</t>
        </is>
      </c>
      <c r="D735" t="inlineStr">
        <is>
          <t>10000627</t>
        </is>
      </c>
      <c r="E735" t="inlineStr"/>
      <c r="F735" s="11" t="n">
        <v>65</v>
      </c>
      <c r="G735" t="inlineStr"/>
      <c r="I735" t="inlineStr">
        <is>
          <t>TN</t>
        </is>
      </c>
      <c r="J735" t="inlineStr"/>
      <c r="K735" t="inlineStr">
        <is>
          <t>20190426</t>
        </is>
      </c>
      <c r="L735" t="inlineStr">
        <is>
          <t>20250127</t>
        </is>
      </c>
    </row>
    <row r="736">
      <c r="A736" t="inlineStr">
        <is>
          <t>900003588</t>
        </is>
      </c>
      <c r="B736" t="inlineStr">
        <is>
          <t>D836</t>
        </is>
      </c>
      <c r="C736" t="inlineStr">
        <is>
          <t>66428265</t>
        </is>
      </c>
      <c r="D736" t="inlineStr">
        <is>
          <t>10001354</t>
        </is>
      </c>
      <c r="E736" t="inlineStr"/>
      <c r="F736" s="11" t="n">
        <v>129</v>
      </c>
      <c r="G736" t="inlineStr"/>
      <c r="I736" t="inlineStr">
        <is>
          <t>TN</t>
        </is>
      </c>
      <c r="J736" t="inlineStr"/>
      <c r="K736" t="inlineStr">
        <is>
          <t>20190426</t>
        </is>
      </c>
      <c r="L736" t="inlineStr">
        <is>
          <t>20250127</t>
        </is>
      </c>
    </row>
    <row r="737">
      <c r="A737" t="inlineStr">
        <is>
          <t>900003588</t>
        </is>
      </c>
      <c r="B737" t="inlineStr">
        <is>
          <t>D836</t>
        </is>
      </c>
      <c r="C737" t="inlineStr">
        <is>
          <t>66433509</t>
        </is>
      </c>
      <c r="D737" t="inlineStr">
        <is>
          <t>10000357</t>
        </is>
      </c>
      <c r="E737" t="inlineStr"/>
      <c r="F737" s="11" t="n">
        <v>85.93000000000001</v>
      </c>
      <c r="G737" t="inlineStr"/>
      <c r="I737" t="inlineStr">
        <is>
          <t>TN</t>
        </is>
      </c>
      <c r="J737" t="inlineStr"/>
      <c r="K737" t="inlineStr">
        <is>
          <t>20190426</t>
        </is>
      </c>
      <c r="L737" t="inlineStr">
        <is>
          <t>20250127</t>
        </is>
      </c>
    </row>
    <row r="738">
      <c r="A738" t="inlineStr">
        <is>
          <t>900003588</t>
        </is>
      </c>
      <c r="B738" t="inlineStr">
        <is>
          <t>D836</t>
        </is>
      </c>
      <c r="C738" t="inlineStr">
        <is>
          <t>66433509</t>
        </is>
      </c>
      <c r="D738" t="inlineStr">
        <is>
          <t>10000625</t>
        </is>
      </c>
      <c r="E738" t="inlineStr"/>
      <c r="F738" s="11" t="n">
        <v>55.86</v>
      </c>
      <c r="G738" t="inlineStr"/>
      <c r="I738" t="inlineStr">
        <is>
          <t>TN</t>
        </is>
      </c>
      <c r="J738" t="inlineStr"/>
      <c r="K738" t="inlineStr">
        <is>
          <t>20190426</t>
        </is>
      </c>
      <c r="L738" t="inlineStr">
        <is>
          <t>20250127</t>
        </is>
      </c>
    </row>
    <row r="739">
      <c r="A739" t="inlineStr">
        <is>
          <t>900003588</t>
        </is>
      </c>
      <c r="B739" t="inlineStr">
        <is>
          <t>D836</t>
        </is>
      </c>
      <c r="C739" t="inlineStr">
        <is>
          <t>66433509</t>
        </is>
      </c>
      <c r="D739" t="inlineStr">
        <is>
          <t>10000627</t>
        </is>
      </c>
      <c r="E739" t="inlineStr"/>
      <c r="F739" s="11" t="n">
        <v>60.89</v>
      </c>
      <c r="G739" t="inlineStr"/>
      <c r="I739" t="inlineStr">
        <is>
          <t>TN</t>
        </is>
      </c>
      <c r="J739" t="inlineStr"/>
      <c r="K739" t="inlineStr">
        <is>
          <t>20190426</t>
        </is>
      </c>
      <c r="L739" t="inlineStr">
        <is>
          <t>20250127</t>
        </is>
      </c>
    </row>
    <row r="740">
      <c r="A740" t="inlineStr">
        <is>
          <t>900003588</t>
        </is>
      </c>
      <c r="B740" t="inlineStr">
        <is>
          <t>D836</t>
        </is>
      </c>
      <c r="C740" t="inlineStr">
        <is>
          <t>66433509</t>
        </is>
      </c>
      <c r="D740" t="inlineStr">
        <is>
          <t>10001354</t>
        </is>
      </c>
      <c r="E740" t="inlineStr"/>
      <c r="F740" s="11" t="n">
        <v>129</v>
      </c>
      <c r="G740" t="inlineStr"/>
      <c r="I740" t="inlineStr">
        <is>
          <t>TN</t>
        </is>
      </c>
      <c r="J740" t="inlineStr"/>
      <c r="K740" t="inlineStr">
        <is>
          <t>20190426</t>
        </is>
      </c>
      <c r="L740" t="inlineStr">
        <is>
          <t>20250127</t>
        </is>
      </c>
    </row>
    <row r="741">
      <c r="A741" t="inlineStr">
        <is>
          <t>900003588</t>
        </is>
      </c>
      <c r="B741" t="inlineStr">
        <is>
          <t>D836</t>
        </is>
      </c>
      <c r="C741" t="inlineStr">
        <is>
          <t>66447492</t>
        </is>
      </c>
      <c r="D741" t="inlineStr">
        <is>
          <t>10000625</t>
        </is>
      </c>
      <c r="E741" t="inlineStr"/>
      <c r="F741" s="11" t="n">
        <v>56.5</v>
      </c>
      <c r="G741" t="inlineStr"/>
      <c r="I741" t="inlineStr">
        <is>
          <t>TN</t>
        </is>
      </c>
      <c r="J741" t="inlineStr"/>
      <c r="K741" t="inlineStr">
        <is>
          <t>20190426</t>
        </is>
      </c>
      <c r="L741" t="inlineStr">
        <is>
          <t>20250127</t>
        </is>
      </c>
    </row>
    <row r="742">
      <c r="A742" t="inlineStr">
        <is>
          <t>900003588</t>
        </is>
      </c>
      <c r="B742" t="inlineStr">
        <is>
          <t>D836</t>
        </is>
      </c>
      <c r="C742" t="inlineStr">
        <is>
          <t>66450072</t>
        </is>
      </c>
      <c r="D742" t="inlineStr">
        <is>
          <t>10000357</t>
        </is>
      </c>
      <c r="E742" t="inlineStr"/>
      <c r="F742" s="11" t="n">
        <v>95</v>
      </c>
      <c r="G742" t="inlineStr"/>
      <c r="I742" t="inlineStr">
        <is>
          <t>TN</t>
        </is>
      </c>
      <c r="J742" t="inlineStr"/>
      <c r="K742" t="inlineStr">
        <is>
          <t>20190426</t>
        </is>
      </c>
      <c r="L742" t="inlineStr">
        <is>
          <t>20250127</t>
        </is>
      </c>
    </row>
    <row r="743">
      <c r="A743" t="inlineStr">
        <is>
          <t>900003588</t>
        </is>
      </c>
      <c r="B743" t="inlineStr">
        <is>
          <t>D836</t>
        </is>
      </c>
      <c r="C743" t="inlineStr">
        <is>
          <t>66490960</t>
        </is>
      </c>
      <c r="D743" t="inlineStr">
        <is>
          <t>10000625</t>
        </is>
      </c>
      <c r="E743" t="inlineStr"/>
      <c r="F743" s="11" t="n">
        <v>65</v>
      </c>
      <c r="G743" t="inlineStr"/>
      <c r="I743" t="inlineStr">
        <is>
          <t>TN</t>
        </is>
      </c>
      <c r="J743" t="inlineStr"/>
      <c r="K743" t="inlineStr">
        <is>
          <t>20190426</t>
        </is>
      </c>
      <c r="L743" t="inlineStr">
        <is>
          <t>20250127</t>
        </is>
      </c>
    </row>
    <row r="744">
      <c r="A744" t="inlineStr">
        <is>
          <t>900003588</t>
        </is>
      </c>
      <c r="B744" t="inlineStr">
        <is>
          <t>D836</t>
        </is>
      </c>
      <c r="C744" t="inlineStr">
        <is>
          <t>66518013</t>
        </is>
      </c>
      <c r="D744" t="inlineStr">
        <is>
          <t>10000357</t>
        </is>
      </c>
      <c r="E744" t="inlineStr"/>
      <c r="F744" s="11" t="n">
        <v>129</v>
      </c>
      <c r="G744" t="inlineStr"/>
      <c r="I744" t="inlineStr">
        <is>
          <t>TN</t>
        </is>
      </c>
      <c r="J744" t="inlineStr"/>
      <c r="K744" t="inlineStr">
        <is>
          <t>20190426</t>
        </is>
      </c>
      <c r="L744" t="inlineStr">
        <is>
          <t>20250127</t>
        </is>
      </c>
    </row>
    <row r="745">
      <c r="A745" t="inlineStr">
        <is>
          <t>900003588</t>
        </is>
      </c>
      <c r="B745" t="inlineStr">
        <is>
          <t>D836</t>
        </is>
      </c>
      <c r="C745" t="inlineStr">
        <is>
          <t>66518013</t>
        </is>
      </c>
      <c r="D745" t="inlineStr">
        <is>
          <t>10000625</t>
        </is>
      </c>
      <c r="E745" t="inlineStr"/>
      <c r="F745" s="11" t="n">
        <v>55</v>
      </c>
      <c r="G745" t="inlineStr"/>
      <c r="I745" t="inlineStr">
        <is>
          <t>TN</t>
        </is>
      </c>
      <c r="J745" t="inlineStr"/>
      <c r="K745" t="inlineStr">
        <is>
          <t>20190426</t>
        </is>
      </c>
      <c r="L745" t="inlineStr">
        <is>
          <t>20250127</t>
        </is>
      </c>
    </row>
    <row r="746">
      <c r="A746" t="inlineStr">
        <is>
          <t>900003588</t>
        </is>
      </c>
      <c r="B746" t="inlineStr">
        <is>
          <t>D836</t>
        </is>
      </c>
      <c r="C746" t="inlineStr">
        <is>
          <t>66543921</t>
        </is>
      </c>
      <c r="D746" t="inlineStr">
        <is>
          <t>10000625</t>
        </is>
      </c>
      <c r="E746" t="inlineStr"/>
      <c r="F746" s="11" t="n">
        <v>55</v>
      </c>
      <c r="G746" t="inlineStr"/>
      <c r="I746" t="inlineStr">
        <is>
          <t>TN</t>
        </is>
      </c>
      <c r="J746" t="inlineStr"/>
      <c r="K746" t="inlineStr">
        <is>
          <t>20190426</t>
        </is>
      </c>
      <c r="L746" t="inlineStr">
        <is>
          <t>20250127</t>
        </is>
      </c>
    </row>
    <row r="747">
      <c r="A747" t="inlineStr">
        <is>
          <t>900003588</t>
        </is>
      </c>
      <c r="B747" t="inlineStr">
        <is>
          <t>D836</t>
        </is>
      </c>
      <c r="C747" t="inlineStr">
        <is>
          <t>66543921</t>
        </is>
      </c>
      <c r="D747" t="inlineStr">
        <is>
          <t>10000627</t>
        </is>
      </c>
      <c r="E747" t="inlineStr"/>
      <c r="F747" s="11" t="n">
        <v>63</v>
      </c>
      <c r="G747" t="inlineStr"/>
      <c r="I747" t="inlineStr">
        <is>
          <t>TN</t>
        </is>
      </c>
      <c r="J747" t="inlineStr"/>
      <c r="K747" t="inlineStr">
        <is>
          <t>20190426</t>
        </is>
      </c>
      <c r="L747" t="inlineStr">
        <is>
          <t>20250127</t>
        </is>
      </c>
    </row>
    <row r="748">
      <c r="A748" t="inlineStr">
        <is>
          <t>900003588</t>
        </is>
      </c>
      <c r="B748" t="inlineStr">
        <is>
          <t>D836</t>
        </is>
      </c>
      <c r="C748" t="inlineStr">
        <is>
          <t>66543921</t>
        </is>
      </c>
      <c r="D748" t="inlineStr">
        <is>
          <t>10001354</t>
        </is>
      </c>
      <c r="E748" t="inlineStr"/>
      <c r="F748" s="11" t="n">
        <v>130</v>
      </c>
      <c r="G748" t="inlineStr"/>
      <c r="I748" t="inlineStr">
        <is>
          <t>TN</t>
        </is>
      </c>
      <c r="J748" t="inlineStr"/>
      <c r="K748" t="inlineStr">
        <is>
          <t>20190426</t>
        </is>
      </c>
      <c r="L748" t="inlineStr">
        <is>
          <t>20250127</t>
        </is>
      </c>
    </row>
    <row r="749">
      <c r="A749" t="inlineStr">
        <is>
          <t>900003588</t>
        </is>
      </c>
      <c r="B749" t="inlineStr">
        <is>
          <t>D836</t>
        </is>
      </c>
      <c r="C749" t="inlineStr">
        <is>
          <t>66552322</t>
        </is>
      </c>
      <c r="D749" t="inlineStr">
        <is>
          <t>10000625</t>
        </is>
      </c>
      <c r="E749" t="inlineStr"/>
      <c r="F749" s="11" t="n">
        <v>55</v>
      </c>
      <c r="G749" t="inlineStr"/>
      <c r="I749" t="inlineStr">
        <is>
          <t>TN</t>
        </is>
      </c>
      <c r="J749" t="inlineStr"/>
      <c r="K749" t="inlineStr">
        <is>
          <t>20190426</t>
        </is>
      </c>
      <c r="L749" t="inlineStr">
        <is>
          <t>20250127</t>
        </is>
      </c>
    </row>
    <row r="750">
      <c r="A750" t="inlineStr">
        <is>
          <t>900003588</t>
        </is>
      </c>
      <c r="B750" t="inlineStr">
        <is>
          <t>D836</t>
        </is>
      </c>
      <c r="C750" t="inlineStr">
        <is>
          <t>66552322</t>
        </is>
      </c>
      <c r="D750" t="inlineStr">
        <is>
          <t>10000627</t>
        </is>
      </c>
      <c r="E750" t="inlineStr"/>
      <c r="F750" s="11" t="n">
        <v>61</v>
      </c>
      <c r="G750" t="inlineStr"/>
      <c r="I750" t="inlineStr">
        <is>
          <t>TN</t>
        </is>
      </c>
      <c r="J750" t="inlineStr"/>
      <c r="K750" t="inlineStr">
        <is>
          <t>20190426</t>
        </is>
      </c>
      <c r="L750" t="inlineStr">
        <is>
          <t>20250127</t>
        </is>
      </c>
    </row>
    <row r="751">
      <c r="A751" t="inlineStr">
        <is>
          <t>900003588</t>
        </is>
      </c>
      <c r="B751" t="inlineStr">
        <is>
          <t>D836</t>
        </is>
      </c>
      <c r="C751" t="inlineStr">
        <is>
          <t>66552322</t>
        </is>
      </c>
      <c r="D751" t="inlineStr">
        <is>
          <t>10001354</t>
        </is>
      </c>
      <c r="E751" t="inlineStr"/>
      <c r="F751" s="11" t="n">
        <v>130</v>
      </c>
      <c r="G751" t="inlineStr"/>
      <c r="I751" t="inlineStr">
        <is>
          <t>TN</t>
        </is>
      </c>
      <c r="J751" t="inlineStr"/>
      <c r="K751" t="inlineStr">
        <is>
          <t>20190426</t>
        </is>
      </c>
      <c r="L751" t="inlineStr">
        <is>
          <t>20250127</t>
        </is>
      </c>
    </row>
    <row r="752">
      <c r="A752" t="inlineStr">
        <is>
          <t>900003588</t>
        </is>
      </c>
      <c r="B752" t="inlineStr">
        <is>
          <t>D836</t>
        </is>
      </c>
      <c r="C752" t="inlineStr">
        <is>
          <t>66565867</t>
        </is>
      </c>
      <c r="D752" t="inlineStr">
        <is>
          <t>10000625</t>
        </is>
      </c>
      <c r="E752" t="inlineStr"/>
      <c r="F752" s="11" t="n">
        <v>57.41</v>
      </c>
      <c r="G752" t="inlineStr"/>
      <c r="I752" t="inlineStr">
        <is>
          <t>TN</t>
        </is>
      </c>
      <c r="J752" t="inlineStr"/>
      <c r="K752" t="inlineStr">
        <is>
          <t>20190426</t>
        </is>
      </c>
      <c r="L752" t="inlineStr">
        <is>
          <t>20250127</t>
        </is>
      </c>
    </row>
    <row r="753">
      <c r="A753" t="inlineStr">
        <is>
          <t>900003588</t>
        </is>
      </c>
      <c r="B753" t="inlineStr">
        <is>
          <t>D836</t>
        </is>
      </c>
      <c r="C753" t="inlineStr">
        <is>
          <t>66565867</t>
        </is>
      </c>
      <c r="D753" t="inlineStr">
        <is>
          <t>10001354</t>
        </is>
      </c>
      <c r="E753" t="inlineStr"/>
      <c r="F753" s="11" t="n">
        <v>132.52</v>
      </c>
      <c r="G753" t="inlineStr"/>
      <c r="I753" t="inlineStr">
        <is>
          <t>TN</t>
        </is>
      </c>
      <c r="J753" t="inlineStr"/>
      <c r="K753" t="inlineStr">
        <is>
          <t>20190426</t>
        </is>
      </c>
      <c r="L753" t="inlineStr">
        <is>
          <t>20250127</t>
        </is>
      </c>
    </row>
    <row r="754">
      <c r="A754" t="inlineStr">
        <is>
          <t>900003588</t>
        </is>
      </c>
      <c r="B754" t="inlineStr">
        <is>
          <t>D836</t>
        </is>
      </c>
      <c r="C754" t="inlineStr">
        <is>
          <t>66580730</t>
        </is>
      </c>
      <c r="D754" t="inlineStr">
        <is>
          <t>10000625</t>
        </is>
      </c>
      <c r="E754" t="inlineStr"/>
      <c r="F754" s="11" t="n">
        <v>87</v>
      </c>
      <c r="G754" t="inlineStr"/>
      <c r="I754" t="inlineStr">
        <is>
          <t>TN</t>
        </is>
      </c>
      <c r="J754" t="inlineStr"/>
      <c r="K754" t="inlineStr">
        <is>
          <t>20190426</t>
        </is>
      </c>
      <c r="L754" t="inlineStr">
        <is>
          <t>20250127</t>
        </is>
      </c>
    </row>
    <row r="755">
      <c r="A755" t="inlineStr">
        <is>
          <t>900003588</t>
        </is>
      </c>
      <c r="B755" t="inlineStr">
        <is>
          <t>D836</t>
        </is>
      </c>
      <c r="C755" t="inlineStr">
        <is>
          <t>66582580</t>
        </is>
      </c>
      <c r="D755" t="inlineStr">
        <is>
          <t>10001354</t>
        </is>
      </c>
      <c r="E755" t="inlineStr"/>
      <c r="F755" s="11" t="n">
        <v>132.52</v>
      </c>
      <c r="G755" t="inlineStr"/>
      <c r="I755" t="inlineStr">
        <is>
          <t>TN</t>
        </is>
      </c>
      <c r="J755" t="inlineStr"/>
      <c r="K755" t="inlineStr">
        <is>
          <t>20190426</t>
        </is>
      </c>
      <c r="L755" t="inlineStr">
        <is>
          <t>20250127</t>
        </is>
      </c>
    </row>
    <row r="756">
      <c r="A756" t="inlineStr">
        <is>
          <t>900003588</t>
        </is>
      </c>
      <c r="B756" t="inlineStr">
        <is>
          <t>D836</t>
        </is>
      </c>
      <c r="C756" t="inlineStr">
        <is>
          <t>66624554</t>
        </is>
      </c>
      <c r="D756" t="inlineStr">
        <is>
          <t>10000357</t>
        </is>
      </c>
      <c r="E756" t="inlineStr"/>
      <c r="F756" s="11" t="n">
        <v>129</v>
      </c>
      <c r="G756" t="inlineStr"/>
      <c r="I756" t="inlineStr">
        <is>
          <t>TN</t>
        </is>
      </c>
      <c r="J756" t="inlineStr"/>
      <c r="K756" t="inlineStr">
        <is>
          <t>20190426</t>
        </is>
      </c>
      <c r="L756" t="inlineStr">
        <is>
          <t>20250127</t>
        </is>
      </c>
    </row>
    <row r="757">
      <c r="A757" t="inlineStr">
        <is>
          <t>900003588</t>
        </is>
      </c>
      <c r="B757" t="inlineStr">
        <is>
          <t>D836</t>
        </is>
      </c>
      <c r="C757" t="inlineStr">
        <is>
          <t>66641156</t>
        </is>
      </c>
      <c r="D757" t="inlineStr">
        <is>
          <t>10000625</t>
        </is>
      </c>
      <c r="E757" t="inlineStr"/>
      <c r="F757" s="11" t="n">
        <v>49.6</v>
      </c>
      <c r="G757" t="inlineStr"/>
      <c r="I757" t="inlineStr">
        <is>
          <t>TN</t>
        </is>
      </c>
      <c r="J757" t="inlineStr"/>
      <c r="K757" t="inlineStr">
        <is>
          <t>20190426</t>
        </is>
      </c>
      <c r="L757" t="inlineStr">
        <is>
          <t>20250127</t>
        </is>
      </c>
    </row>
    <row r="758">
      <c r="A758" t="inlineStr">
        <is>
          <t>900003588</t>
        </is>
      </c>
      <c r="B758" t="inlineStr">
        <is>
          <t>D836</t>
        </is>
      </c>
      <c r="C758" t="inlineStr">
        <is>
          <t>66641156</t>
        </is>
      </c>
      <c r="D758" t="inlineStr">
        <is>
          <t>10001354</t>
        </is>
      </c>
      <c r="E758" t="inlineStr"/>
      <c r="F758" s="11" t="n">
        <v>129.23</v>
      </c>
      <c r="G758" t="inlineStr"/>
      <c r="I758" t="inlineStr">
        <is>
          <t>TN</t>
        </is>
      </c>
      <c r="J758" t="inlineStr"/>
      <c r="K758" t="inlineStr">
        <is>
          <t>20190426</t>
        </is>
      </c>
      <c r="L758" t="inlineStr">
        <is>
          <t>20250127</t>
        </is>
      </c>
    </row>
    <row r="759">
      <c r="A759" t="inlineStr">
        <is>
          <t>900003588</t>
        </is>
      </c>
      <c r="B759" t="inlineStr">
        <is>
          <t>D836</t>
        </is>
      </c>
      <c r="C759" t="inlineStr">
        <is>
          <t>66825797</t>
        </is>
      </c>
      <c r="D759" t="inlineStr">
        <is>
          <t>10000357</t>
        </is>
      </c>
      <c r="E759" t="inlineStr"/>
      <c r="F759" s="11" t="n">
        <v>90</v>
      </c>
      <c r="G759" t="inlineStr"/>
      <c r="I759" t="inlineStr">
        <is>
          <t>TN</t>
        </is>
      </c>
      <c r="J759" t="inlineStr"/>
      <c r="K759" t="inlineStr">
        <is>
          <t>20190426</t>
        </is>
      </c>
      <c r="L759" t="inlineStr">
        <is>
          <t>20250127</t>
        </is>
      </c>
    </row>
    <row r="760">
      <c r="A760" t="inlineStr">
        <is>
          <t>900003588</t>
        </is>
      </c>
      <c r="B760" t="inlineStr">
        <is>
          <t>D836</t>
        </is>
      </c>
      <c r="C760" t="inlineStr">
        <is>
          <t>66825797</t>
        </is>
      </c>
      <c r="D760" t="inlineStr">
        <is>
          <t>10000625</t>
        </is>
      </c>
      <c r="E760" t="inlineStr"/>
      <c r="F760" s="11" t="n">
        <v>55</v>
      </c>
      <c r="G760" t="inlineStr"/>
      <c r="I760" t="inlineStr">
        <is>
          <t>TN</t>
        </is>
      </c>
      <c r="J760" t="inlineStr"/>
      <c r="K760" t="inlineStr">
        <is>
          <t>20190426</t>
        </is>
      </c>
      <c r="L760" t="inlineStr">
        <is>
          <t>20250127</t>
        </is>
      </c>
    </row>
    <row r="761">
      <c r="A761" t="inlineStr">
        <is>
          <t>900003588</t>
        </is>
      </c>
      <c r="B761" t="inlineStr">
        <is>
          <t>D836</t>
        </is>
      </c>
      <c r="C761" t="inlineStr">
        <is>
          <t>66825797</t>
        </is>
      </c>
      <c r="D761" t="inlineStr">
        <is>
          <t>10000627</t>
        </is>
      </c>
      <c r="E761" t="inlineStr"/>
      <c r="F761" s="11" t="n">
        <v>65</v>
      </c>
      <c r="G761" t="inlineStr"/>
      <c r="I761" t="inlineStr">
        <is>
          <t>TN</t>
        </is>
      </c>
      <c r="J761" t="inlineStr"/>
      <c r="K761" t="inlineStr">
        <is>
          <t>20190426</t>
        </is>
      </c>
      <c r="L761" t="inlineStr">
        <is>
          <t>20250127</t>
        </is>
      </c>
    </row>
    <row r="762">
      <c r="A762" t="inlineStr">
        <is>
          <t>900003588</t>
        </is>
      </c>
      <c r="B762" t="inlineStr">
        <is>
          <t>D836</t>
        </is>
      </c>
      <c r="C762" t="inlineStr">
        <is>
          <t>66825797</t>
        </is>
      </c>
      <c r="D762" t="inlineStr">
        <is>
          <t>10003132</t>
        </is>
      </c>
      <c r="E762" t="inlineStr"/>
      <c r="F762" s="11" t="n">
        <v>145</v>
      </c>
      <c r="G762" t="inlineStr"/>
      <c r="I762" t="inlineStr">
        <is>
          <t>TN</t>
        </is>
      </c>
      <c r="J762" t="inlineStr"/>
      <c r="K762" t="inlineStr">
        <is>
          <t>20190426</t>
        </is>
      </c>
      <c r="L762" t="inlineStr">
        <is>
          <t>20250127</t>
        </is>
      </c>
    </row>
    <row r="763">
      <c r="A763" t="inlineStr">
        <is>
          <t>900003588</t>
        </is>
      </c>
      <c r="B763" t="inlineStr">
        <is>
          <t>D836</t>
        </is>
      </c>
      <c r="C763" t="inlineStr">
        <is>
          <t>66898280</t>
        </is>
      </c>
      <c r="D763" t="inlineStr">
        <is>
          <t>10000625</t>
        </is>
      </c>
      <c r="E763" t="inlineStr"/>
      <c r="F763" s="11" t="n">
        <v>55</v>
      </c>
      <c r="G763" t="inlineStr"/>
      <c r="I763" t="inlineStr">
        <is>
          <t>TN</t>
        </is>
      </c>
      <c r="J763" t="inlineStr"/>
      <c r="K763" t="inlineStr">
        <is>
          <t>20190426</t>
        </is>
      </c>
      <c r="L763" t="inlineStr">
        <is>
          <t>20250127</t>
        </is>
      </c>
    </row>
    <row r="764">
      <c r="A764" t="inlineStr">
        <is>
          <t>900003588</t>
        </is>
      </c>
      <c r="B764" t="inlineStr">
        <is>
          <t>D836</t>
        </is>
      </c>
      <c r="C764" t="inlineStr">
        <is>
          <t>66898280</t>
        </is>
      </c>
      <c r="D764" t="inlineStr">
        <is>
          <t>10001354</t>
        </is>
      </c>
      <c r="E764" t="inlineStr"/>
      <c r="F764" s="11" t="n">
        <v>129</v>
      </c>
      <c r="G764" t="inlineStr"/>
      <c r="I764" t="inlineStr">
        <is>
          <t>TN</t>
        </is>
      </c>
      <c r="J764" t="inlineStr"/>
      <c r="K764" t="inlineStr">
        <is>
          <t>20190426</t>
        </is>
      </c>
      <c r="L764" t="inlineStr">
        <is>
          <t>20250127</t>
        </is>
      </c>
    </row>
    <row r="765">
      <c r="A765" t="inlineStr">
        <is>
          <t>900003588</t>
        </is>
      </c>
      <c r="B765" t="inlineStr">
        <is>
          <t>D836</t>
        </is>
      </c>
      <c r="C765" t="inlineStr">
        <is>
          <t>66898281</t>
        </is>
      </c>
      <c r="D765" t="inlineStr">
        <is>
          <t>10000625</t>
        </is>
      </c>
      <c r="E765" t="inlineStr"/>
      <c r="F765" s="11" t="n">
        <v>55</v>
      </c>
      <c r="G765" t="inlineStr"/>
      <c r="I765" t="inlineStr">
        <is>
          <t>TN</t>
        </is>
      </c>
      <c r="J765" t="inlineStr"/>
      <c r="K765" t="inlineStr">
        <is>
          <t>20190426</t>
        </is>
      </c>
      <c r="L765" t="inlineStr">
        <is>
          <t>20250127</t>
        </is>
      </c>
    </row>
    <row r="766">
      <c r="A766" t="inlineStr">
        <is>
          <t>900003588</t>
        </is>
      </c>
      <c r="B766" t="inlineStr">
        <is>
          <t>D836</t>
        </is>
      </c>
      <c r="C766" t="inlineStr">
        <is>
          <t>66898281</t>
        </is>
      </c>
      <c r="D766" t="inlineStr">
        <is>
          <t>10001354</t>
        </is>
      </c>
      <c r="E766" t="inlineStr"/>
      <c r="F766" s="11" t="n">
        <v>129</v>
      </c>
      <c r="G766" t="inlineStr"/>
      <c r="I766" t="inlineStr">
        <is>
          <t>TN</t>
        </is>
      </c>
      <c r="J766" t="inlineStr"/>
      <c r="K766" t="inlineStr">
        <is>
          <t>20190426</t>
        </is>
      </c>
      <c r="L766" t="inlineStr">
        <is>
          <t>20250127</t>
        </is>
      </c>
    </row>
    <row r="767">
      <c r="A767" t="inlineStr">
        <is>
          <t>900003588</t>
        </is>
      </c>
      <c r="B767" t="inlineStr">
        <is>
          <t>D836</t>
        </is>
      </c>
      <c r="C767" t="inlineStr">
        <is>
          <t>66970684</t>
        </is>
      </c>
      <c r="D767" t="inlineStr">
        <is>
          <t>10000625</t>
        </is>
      </c>
      <c r="E767" t="inlineStr"/>
      <c r="F767" s="11" t="n">
        <v>141.25</v>
      </c>
      <c r="G767" t="inlineStr"/>
      <c r="I767" t="inlineStr">
        <is>
          <t>TN</t>
        </is>
      </c>
      <c r="J767" t="inlineStr"/>
      <c r="K767" t="inlineStr">
        <is>
          <t>20190426</t>
        </is>
      </c>
      <c r="L767" t="inlineStr">
        <is>
          <t>20250127</t>
        </is>
      </c>
    </row>
    <row r="768">
      <c r="A768" t="inlineStr">
        <is>
          <t>900003588</t>
        </is>
      </c>
      <c r="B768" t="inlineStr">
        <is>
          <t>D836</t>
        </is>
      </c>
      <c r="C768" t="inlineStr">
        <is>
          <t>67032666</t>
        </is>
      </c>
      <c r="D768" t="inlineStr">
        <is>
          <t>10000625</t>
        </is>
      </c>
      <c r="E768" t="inlineStr"/>
      <c r="F768" s="11" t="n">
        <v>65</v>
      </c>
      <c r="G768" t="inlineStr"/>
      <c r="I768" t="inlineStr">
        <is>
          <t>TN</t>
        </is>
      </c>
      <c r="J768" t="inlineStr"/>
      <c r="K768" t="inlineStr">
        <is>
          <t>20190426</t>
        </is>
      </c>
      <c r="L768" t="inlineStr">
        <is>
          <t>20250127</t>
        </is>
      </c>
    </row>
    <row r="769">
      <c r="A769" t="inlineStr">
        <is>
          <t>900003588</t>
        </is>
      </c>
      <c r="B769" t="inlineStr">
        <is>
          <t>D836</t>
        </is>
      </c>
      <c r="C769" t="inlineStr">
        <is>
          <t>67032666</t>
        </is>
      </c>
      <c r="D769" t="inlineStr">
        <is>
          <t>10000627</t>
        </is>
      </c>
      <c r="E769" t="inlineStr"/>
      <c r="F769" s="11" t="n">
        <v>80</v>
      </c>
      <c r="G769" t="inlineStr"/>
      <c r="I769" t="inlineStr">
        <is>
          <t>TN</t>
        </is>
      </c>
      <c r="J769" t="inlineStr"/>
      <c r="K769" t="inlineStr">
        <is>
          <t>20190426</t>
        </is>
      </c>
      <c r="L769" t="inlineStr">
        <is>
          <t>20250127</t>
        </is>
      </c>
    </row>
    <row r="770">
      <c r="A770" t="inlineStr">
        <is>
          <t>900003588</t>
        </is>
      </c>
      <c r="B770" t="inlineStr">
        <is>
          <t>D836</t>
        </is>
      </c>
      <c r="C770" t="inlineStr">
        <is>
          <t>67077727</t>
        </is>
      </c>
      <c r="D770" t="inlineStr">
        <is>
          <t>10000625</t>
        </is>
      </c>
      <c r="E770" t="inlineStr"/>
      <c r="F770" s="11" t="n">
        <v>50.54</v>
      </c>
      <c r="G770" t="inlineStr"/>
      <c r="I770" t="inlineStr">
        <is>
          <t>TN</t>
        </is>
      </c>
      <c r="J770" t="inlineStr"/>
      <c r="K770" t="inlineStr">
        <is>
          <t>20190426</t>
        </is>
      </c>
      <c r="L770" t="inlineStr">
        <is>
          <t>20250127</t>
        </is>
      </c>
    </row>
    <row r="771">
      <c r="A771" t="inlineStr">
        <is>
          <t>900003588</t>
        </is>
      </c>
      <c r="B771" t="inlineStr">
        <is>
          <t>D836</t>
        </is>
      </c>
      <c r="C771" t="inlineStr">
        <is>
          <t>67077727</t>
        </is>
      </c>
      <c r="D771" t="inlineStr">
        <is>
          <t>10000627</t>
        </is>
      </c>
      <c r="E771" t="inlineStr"/>
      <c r="F771" s="11" t="n">
        <v>59.97</v>
      </c>
      <c r="G771" t="inlineStr"/>
      <c r="I771" t="inlineStr">
        <is>
          <t>TN</t>
        </is>
      </c>
      <c r="J771" t="inlineStr"/>
      <c r="K771" t="inlineStr">
        <is>
          <t>20190426</t>
        </is>
      </c>
      <c r="L771" t="inlineStr">
        <is>
          <t>20250127</t>
        </is>
      </c>
    </row>
    <row r="772">
      <c r="A772" t="inlineStr">
        <is>
          <t>900003588</t>
        </is>
      </c>
      <c r="B772" t="inlineStr">
        <is>
          <t>D836</t>
        </is>
      </c>
      <c r="C772" t="inlineStr">
        <is>
          <t>67077727</t>
        </is>
      </c>
      <c r="D772" t="inlineStr">
        <is>
          <t>10001354</t>
        </is>
      </c>
      <c r="E772" t="inlineStr"/>
      <c r="F772" s="11" t="n">
        <v>127.92</v>
      </c>
      <c r="G772" t="inlineStr"/>
      <c r="I772" t="inlineStr">
        <is>
          <t>TN</t>
        </is>
      </c>
      <c r="J772" t="inlineStr"/>
      <c r="K772" t="inlineStr">
        <is>
          <t>20190426</t>
        </is>
      </c>
      <c r="L772" t="inlineStr">
        <is>
          <t>20250127</t>
        </is>
      </c>
    </row>
    <row r="773">
      <c r="A773" t="inlineStr">
        <is>
          <t>900003588</t>
        </is>
      </c>
      <c r="B773" t="inlineStr">
        <is>
          <t>D836</t>
        </is>
      </c>
      <c r="C773" t="inlineStr">
        <is>
          <t>67089150</t>
        </is>
      </c>
      <c r="D773" t="inlineStr">
        <is>
          <t>10000625</t>
        </is>
      </c>
      <c r="E773" t="inlineStr"/>
      <c r="F773" s="11" t="n">
        <v>50.54</v>
      </c>
      <c r="G773" t="inlineStr"/>
      <c r="I773" t="inlineStr">
        <is>
          <t>TN</t>
        </is>
      </c>
      <c r="J773" t="inlineStr"/>
      <c r="K773" t="inlineStr">
        <is>
          <t>20190426</t>
        </is>
      </c>
      <c r="L773" t="inlineStr">
        <is>
          <t>20250127</t>
        </is>
      </c>
    </row>
    <row r="774">
      <c r="A774" t="inlineStr">
        <is>
          <t>900003588</t>
        </is>
      </c>
      <c r="B774" t="inlineStr">
        <is>
          <t>D836</t>
        </is>
      </c>
      <c r="C774" t="inlineStr">
        <is>
          <t>67089150</t>
        </is>
      </c>
      <c r="D774" t="inlineStr">
        <is>
          <t>10000627</t>
        </is>
      </c>
      <c r="E774" t="inlineStr"/>
      <c r="F774" s="11" t="n">
        <v>59.97</v>
      </c>
      <c r="G774" t="inlineStr"/>
      <c r="I774" t="inlineStr">
        <is>
          <t>TN</t>
        </is>
      </c>
      <c r="J774" t="inlineStr"/>
      <c r="K774" t="inlineStr">
        <is>
          <t>20190426</t>
        </is>
      </c>
      <c r="L774" t="inlineStr">
        <is>
          <t>20250127</t>
        </is>
      </c>
    </row>
    <row r="775">
      <c r="A775" t="inlineStr">
        <is>
          <t>900003588</t>
        </is>
      </c>
      <c r="B775" t="inlineStr">
        <is>
          <t>D836</t>
        </is>
      </c>
      <c r="C775" t="inlineStr">
        <is>
          <t>67090525</t>
        </is>
      </c>
      <c r="D775" t="inlineStr">
        <is>
          <t>10000625</t>
        </is>
      </c>
      <c r="E775" t="inlineStr"/>
      <c r="F775" s="11" t="n">
        <v>50.54</v>
      </c>
      <c r="G775" t="inlineStr"/>
      <c r="I775" t="inlineStr">
        <is>
          <t>TN</t>
        </is>
      </c>
      <c r="J775" t="inlineStr"/>
      <c r="K775" t="inlineStr">
        <is>
          <t>20190426</t>
        </is>
      </c>
      <c r="L775" t="inlineStr">
        <is>
          <t>20250127</t>
        </is>
      </c>
    </row>
    <row r="776">
      <c r="A776" t="inlineStr">
        <is>
          <t>900003588</t>
        </is>
      </c>
      <c r="B776" t="inlineStr">
        <is>
          <t>D836</t>
        </is>
      </c>
      <c r="C776" t="inlineStr">
        <is>
          <t>67090525</t>
        </is>
      </c>
      <c r="D776" t="inlineStr">
        <is>
          <t>10000627</t>
        </is>
      </c>
      <c r="E776" t="inlineStr"/>
      <c r="F776" s="11" t="n">
        <v>59.97</v>
      </c>
      <c r="G776" t="inlineStr"/>
      <c r="I776" t="inlineStr">
        <is>
          <t>TN</t>
        </is>
      </c>
      <c r="J776" t="inlineStr"/>
      <c r="K776" t="inlineStr">
        <is>
          <t>20190426</t>
        </is>
      </c>
      <c r="L776" t="inlineStr">
        <is>
          <t>20250127</t>
        </is>
      </c>
    </row>
    <row r="777">
      <c r="A777" t="inlineStr">
        <is>
          <t>900003588</t>
        </is>
      </c>
      <c r="B777" t="inlineStr">
        <is>
          <t>D836</t>
        </is>
      </c>
      <c r="C777" t="inlineStr">
        <is>
          <t>67090525</t>
        </is>
      </c>
      <c r="D777" t="inlineStr">
        <is>
          <t>10001354</t>
        </is>
      </c>
      <c r="E777" t="inlineStr"/>
      <c r="F777" s="11" t="n">
        <v>127.92</v>
      </c>
      <c r="G777" t="inlineStr"/>
      <c r="I777" t="inlineStr">
        <is>
          <t>TN</t>
        </is>
      </c>
      <c r="J777" t="inlineStr"/>
      <c r="K777" t="inlineStr">
        <is>
          <t>20190426</t>
        </is>
      </c>
      <c r="L777" t="inlineStr">
        <is>
          <t>20250127</t>
        </is>
      </c>
    </row>
    <row r="778">
      <c r="A778" t="inlineStr">
        <is>
          <t>900003588</t>
        </is>
      </c>
      <c r="B778" t="inlineStr">
        <is>
          <t>D836</t>
        </is>
      </c>
      <c r="C778" t="inlineStr">
        <is>
          <t>67126698</t>
        </is>
      </c>
      <c r="D778" t="inlineStr">
        <is>
          <t>10001354</t>
        </is>
      </c>
      <c r="E778" t="inlineStr"/>
      <c r="F778" s="11" t="n">
        <v>130</v>
      </c>
      <c r="G778" t="inlineStr"/>
      <c r="I778" t="inlineStr">
        <is>
          <t>TN</t>
        </is>
      </c>
      <c r="J778" t="inlineStr"/>
      <c r="K778" t="inlineStr">
        <is>
          <t>20190426</t>
        </is>
      </c>
      <c r="L778" t="inlineStr">
        <is>
          <t>20250127</t>
        </is>
      </c>
    </row>
    <row r="779">
      <c r="A779" t="inlineStr">
        <is>
          <t>900003590</t>
        </is>
      </c>
      <c r="B779" t="inlineStr">
        <is>
          <t>D836</t>
        </is>
      </c>
      <c r="C779" t="inlineStr">
        <is>
          <t>65014664</t>
        </is>
      </c>
      <c r="D779" t="inlineStr">
        <is>
          <t>10000829</t>
        </is>
      </c>
      <c r="E779" t="inlineStr"/>
      <c r="F779" s="11" t="n">
        <v>60</v>
      </c>
      <c r="G779" t="inlineStr"/>
      <c r="I779" t="inlineStr">
        <is>
          <t>M3</t>
        </is>
      </c>
      <c r="J779" t="inlineStr"/>
      <c r="K779" t="inlineStr">
        <is>
          <t>20190426</t>
        </is>
      </c>
      <c r="L779" t="inlineStr">
        <is>
          <t>20250127</t>
        </is>
      </c>
    </row>
    <row r="780">
      <c r="A780" t="inlineStr">
        <is>
          <t>900003592</t>
        </is>
      </c>
      <c r="B780" t="inlineStr">
        <is>
          <t>D836</t>
        </is>
      </c>
      <c r="C780" t="inlineStr">
        <is>
          <t>65003945</t>
        </is>
      </c>
      <c r="D780" t="inlineStr">
        <is>
          <t>10000624</t>
        </is>
      </c>
      <c r="E780" t="inlineStr"/>
      <c r="F780" s="11" t="n">
        <v>80</v>
      </c>
      <c r="G780" t="inlineStr"/>
      <c r="I780" t="inlineStr">
        <is>
          <t>TN</t>
        </is>
      </c>
      <c r="J780" t="inlineStr"/>
      <c r="K780" t="inlineStr">
        <is>
          <t>20190426</t>
        </is>
      </c>
      <c r="L780" t="inlineStr">
        <is>
          <t>20250127</t>
        </is>
      </c>
    </row>
    <row r="781">
      <c r="A781" t="inlineStr">
        <is>
          <t>900003592</t>
        </is>
      </c>
      <c r="B781" t="inlineStr">
        <is>
          <t>D836</t>
        </is>
      </c>
      <c r="C781" t="inlineStr">
        <is>
          <t>65003945</t>
        </is>
      </c>
      <c r="D781" t="inlineStr">
        <is>
          <t>10000630</t>
        </is>
      </c>
      <c r="E781" t="inlineStr"/>
      <c r="F781" s="11" t="n">
        <v>85</v>
      </c>
      <c r="G781" t="inlineStr"/>
      <c r="I781" t="inlineStr">
        <is>
          <t>TN</t>
        </is>
      </c>
      <c r="J781" t="inlineStr"/>
      <c r="K781" t="inlineStr">
        <is>
          <t>20190426</t>
        </is>
      </c>
      <c r="L781" t="inlineStr">
        <is>
          <t>20250127</t>
        </is>
      </c>
    </row>
    <row r="782">
      <c r="A782" t="inlineStr">
        <is>
          <t>900003592</t>
        </is>
      </c>
      <c r="B782" t="inlineStr">
        <is>
          <t>D836</t>
        </is>
      </c>
      <c r="C782" t="inlineStr">
        <is>
          <t>65003945</t>
        </is>
      </c>
      <c r="D782" t="inlineStr">
        <is>
          <t>10000722</t>
        </is>
      </c>
      <c r="E782" t="inlineStr"/>
      <c r="F782" s="11" t="n">
        <v>83</v>
      </c>
      <c r="G782" t="inlineStr"/>
      <c r="I782" t="inlineStr">
        <is>
          <t>TN</t>
        </is>
      </c>
      <c r="J782" t="inlineStr"/>
      <c r="K782" t="inlineStr">
        <is>
          <t>20190426</t>
        </is>
      </c>
      <c r="L782" t="inlineStr">
        <is>
          <t>20250127</t>
        </is>
      </c>
    </row>
    <row r="783">
      <c r="A783" t="inlineStr">
        <is>
          <t>900003592</t>
        </is>
      </c>
      <c r="B783" t="inlineStr">
        <is>
          <t>D836</t>
        </is>
      </c>
      <c r="C783" t="inlineStr">
        <is>
          <t>65087219</t>
        </is>
      </c>
      <c r="D783" t="inlineStr">
        <is>
          <t>10000623</t>
        </is>
      </c>
      <c r="E783" t="inlineStr"/>
      <c r="F783" s="11" t="n">
        <v>84</v>
      </c>
      <c r="G783" t="inlineStr"/>
      <c r="I783" t="inlineStr">
        <is>
          <t>TN</t>
        </is>
      </c>
      <c r="J783" t="inlineStr"/>
      <c r="K783" t="inlineStr">
        <is>
          <t>20190426</t>
        </is>
      </c>
      <c r="L783" t="inlineStr">
        <is>
          <t>20250127</t>
        </is>
      </c>
    </row>
    <row r="784">
      <c r="A784" t="inlineStr">
        <is>
          <t>900003592</t>
        </is>
      </c>
      <c r="B784" t="inlineStr">
        <is>
          <t>D836</t>
        </is>
      </c>
      <c r="C784" t="inlineStr">
        <is>
          <t>65087219</t>
        </is>
      </c>
      <c r="D784" t="inlineStr">
        <is>
          <t>10000630</t>
        </is>
      </c>
      <c r="E784" t="inlineStr"/>
      <c r="F784" s="11" t="n">
        <v>102.26</v>
      </c>
      <c r="G784" t="inlineStr"/>
      <c r="I784" t="inlineStr">
        <is>
          <t>TN</t>
        </is>
      </c>
      <c r="J784" t="inlineStr"/>
      <c r="K784" t="inlineStr">
        <is>
          <t>20190426</t>
        </is>
      </c>
      <c r="L784" t="inlineStr">
        <is>
          <t>20250127</t>
        </is>
      </c>
    </row>
    <row r="785">
      <c r="A785" t="inlineStr">
        <is>
          <t>900003592</t>
        </is>
      </c>
      <c r="B785" t="inlineStr">
        <is>
          <t>D836</t>
        </is>
      </c>
      <c r="C785" t="inlineStr">
        <is>
          <t>65087219</t>
        </is>
      </c>
      <c r="D785" t="inlineStr">
        <is>
          <t>10000722</t>
        </is>
      </c>
      <c r="E785" t="inlineStr"/>
      <c r="F785" s="11" t="n">
        <v>102.26</v>
      </c>
      <c r="G785" t="inlineStr"/>
      <c r="I785" t="inlineStr">
        <is>
          <t>TN</t>
        </is>
      </c>
      <c r="J785" t="inlineStr"/>
      <c r="K785" t="inlineStr">
        <is>
          <t>20190426</t>
        </is>
      </c>
      <c r="L785" t="inlineStr">
        <is>
          <t>20250127</t>
        </is>
      </c>
    </row>
    <row r="786">
      <c r="A786" t="inlineStr">
        <is>
          <t>900003592</t>
        </is>
      </c>
      <c r="B786" t="inlineStr">
        <is>
          <t>D836</t>
        </is>
      </c>
      <c r="C786" t="inlineStr">
        <is>
          <t>65232687</t>
        </is>
      </c>
      <c r="D786" t="inlineStr">
        <is>
          <t>10000623</t>
        </is>
      </c>
      <c r="E786" t="inlineStr"/>
      <c r="F786" s="11" t="n">
        <v>87.40000000000001</v>
      </c>
      <c r="G786" t="inlineStr"/>
      <c r="I786" t="inlineStr">
        <is>
          <t>TN</t>
        </is>
      </c>
      <c r="J786" t="inlineStr"/>
      <c r="K786" t="inlineStr">
        <is>
          <t>20190426</t>
        </is>
      </c>
      <c r="L786" t="inlineStr">
        <is>
          <t>20250127</t>
        </is>
      </c>
    </row>
    <row r="787">
      <c r="A787" t="inlineStr">
        <is>
          <t>900003592</t>
        </is>
      </c>
      <c r="B787" t="inlineStr">
        <is>
          <t>D836</t>
        </is>
      </c>
      <c r="C787" t="inlineStr">
        <is>
          <t>65232687</t>
        </is>
      </c>
      <c r="D787" t="inlineStr">
        <is>
          <t>10000624</t>
        </is>
      </c>
      <c r="E787" t="inlineStr"/>
      <c r="F787" s="11" t="n">
        <v>91</v>
      </c>
      <c r="G787" t="inlineStr"/>
      <c r="I787" t="inlineStr">
        <is>
          <t>TN</t>
        </is>
      </c>
      <c r="J787" t="inlineStr"/>
      <c r="K787" t="inlineStr">
        <is>
          <t>20190426</t>
        </is>
      </c>
      <c r="L787" t="inlineStr">
        <is>
          <t>20250127</t>
        </is>
      </c>
    </row>
    <row r="788">
      <c r="A788" t="inlineStr">
        <is>
          <t>900003592</t>
        </is>
      </c>
      <c r="B788" t="inlineStr">
        <is>
          <t>D836</t>
        </is>
      </c>
      <c r="C788" t="inlineStr">
        <is>
          <t>65232687</t>
        </is>
      </c>
      <c r="D788" t="inlineStr">
        <is>
          <t>10000630</t>
        </is>
      </c>
      <c r="E788" t="inlineStr"/>
      <c r="F788" s="11" t="n">
        <v>87.40000000000001</v>
      </c>
      <c r="G788" t="inlineStr"/>
      <c r="I788" t="inlineStr">
        <is>
          <t>TN</t>
        </is>
      </c>
      <c r="J788" t="inlineStr"/>
      <c r="K788" t="inlineStr">
        <is>
          <t>20190426</t>
        </is>
      </c>
      <c r="L788" t="inlineStr">
        <is>
          <t>20250127</t>
        </is>
      </c>
    </row>
    <row r="789">
      <c r="A789" t="inlineStr">
        <is>
          <t>900003592</t>
        </is>
      </c>
      <c r="B789" t="inlineStr">
        <is>
          <t>D836</t>
        </is>
      </c>
      <c r="C789" t="inlineStr">
        <is>
          <t>65232687</t>
        </is>
      </c>
      <c r="D789" t="inlineStr">
        <is>
          <t>10000722</t>
        </is>
      </c>
      <c r="E789" t="inlineStr"/>
      <c r="F789" s="11" t="n">
        <v>91</v>
      </c>
      <c r="G789" t="inlineStr"/>
      <c r="I789" t="inlineStr">
        <is>
          <t>TN</t>
        </is>
      </c>
      <c r="J789" t="inlineStr"/>
      <c r="K789" t="inlineStr">
        <is>
          <t>20190426</t>
        </is>
      </c>
      <c r="L789" t="inlineStr">
        <is>
          <t>20250127</t>
        </is>
      </c>
    </row>
    <row r="790">
      <c r="A790" t="inlineStr">
        <is>
          <t>900003592</t>
        </is>
      </c>
      <c r="B790" t="inlineStr">
        <is>
          <t>D836</t>
        </is>
      </c>
      <c r="C790" t="inlineStr">
        <is>
          <t>65251399</t>
        </is>
      </c>
      <c r="D790" t="inlineStr">
        <is>
          <t>10000624</t>
        </is>
      </c>
      <c r="E790" t="inlineStr"/>
      <c r="F790" s="11" t="n">
        <v>85</v>
      </c>
      <c r="G790" t="inlineStr"/>
      <c r="I790" t="inlineStr">
        <is>
          <t>TN</t>
        </is>
      </c>
      <c r="J790" t="inlineStr"/>
      <c r="K790" t="inlineStr">
        <is>
          <t>20190426</t>
        </is>
      </c>
      <c r="L790" t="inlineStr">
        <is>
          <t>20250127</t>
        </is>
      </c>
    </row>
    <row r="791">
      <c r="A791" t="inlineStr">
        <is>
          <t>900003592</t>
        </is>
      </c>
      <c r="B791" t="inlineStr">
        <is>
          <t>D836</t>
        </is>
      </c>
      <c r="C791" t="inlineStr">
        <is>
          <t>65251399</t>
        </is>
      </c>
      <c r="D791" t="inlineStr">
        <is>
          <t>10000722</t>
        </is>
      </c>
      <c r="E791" t="inlineStr"/>
      <c r="F791" s="11" t="n">
        <v>80</v>
      </c>
      <c r="G791" t="inlineStr"/>
      <c r="I791" t="inlineStr">
        <is>
          <t>TN</t>
        </is>
      </c>
      <c r="J791" t="inlineStr"/>
      <c r="K791" t="inlineStr">
        <is>
          <t>20190426</t>
        </is>
      </c>
      <c r="L791" t="inlineStr">
        <is>
          <t>20250127</t>
        </is>
      </c>
    </row>
    <row r="792">
      <c r="A792" t="inlineStr">
        <is>
          <t>900003592</t>
        </is>
      </c>
      <c r="B792" t="inlineStr">
        <is>
          <t>D836</t>
        </is>
      </c>
      <c r="C792" t="inlineStr">
        <is>
          <t>65251399</t>
        </is>
      </c>
      <c r="D792" t="inlineStr">
        <is>
          <t>10053281</t>
        </is>
      </c>
      <c r="E792" t="inlineStr"/>
      <c r="F792" s="11" t="n">
        <v>80</v>
      </c>
      <c r="G792" t="inlineStr"/>
      <c r="I792" t="inlineStr">
        <is>
          <t>TN</t>
        </is>
      </c>
      <c r="J792" t="inlineStr"/>
      <c r="K792" t="inlineStr">
        <is>
          <t>20190426</t>
        </is>
      </c>
      <c r="L792" t="inlineStr">
        <is>
          <t>20250127</t>
        </is>
      </c>
    </row>
    <row r="793">
      <c r="A793" t="inlineStr">
        <is>
          <t>900003592</t>
        </is>
      </c>
      <c r="B793" t="inlineStr">
        <is>
          <t>D836</t>
        </is>
      </c>
      <c r="C793" t="inlineStr">
        <is>
          <t>65272437</t>
        </is>
      </c>
      <c r="D793" t="inlineStr">
        <is>
          <t>10000630</t>
        </is>
      </c>
      <c r="E793" t="inlineStr"/>
      <c r="F793" s="11" t="n">
        <v>95</v>
      </c>
      <c r="G793" t="inlineStr"/>
      <c r="I793" t="inlineStr">
        <is>
          <t>TN</t>
        </is>
      </c>
      <c r="J793" t="inlineStr"/>
      <c r="K793" t="inlineStr">
        <is>
          <t>20190426</t>
        </is>
      </c>
      <c r="L793" t="inlineStr">
        <is>
          <t>20250127</t>
        </is>
      </c>
    </row>
    <row r="794">
      <c r="A794" t="inlineStr">
        <is>
          <t>900003592</t>
        </is>
      </c>
      <c r="B794" t="inlineStr">
        <is>
          <t>D836</t>
        </is>
      </c>
      <c r="C794" t="inlineStr">
        <is>
          <t>65272437</t>
        </is>
      </c>
      <c r="D794" t="inlineStr">
        <is>
          <t>10000722</t>
        </is>
      </c>
      <c r="E794" t="inlineStr"/>
      <c r="F794" s="11" t="n">
        <v>95</v>
      </c>
      <c r="G794" t="inlineStr"/>
      <c r="I794" t="inlineStr">
        <is>
          <t>TN</t>
        </is>
      </c>
      <c r="J794" t="inlineStr"/>
      <c r="K794" t="inlineStr">
        <is>
          <t>20190426</t>
        </is>
      </c>
      <c r="L794" t="inlineStr">
        <is>
          <t>20250127</t>
        </is>
      </c>
    </row>
    <row r="795">
      <c r="A795" t="inlineStr">
        <is>
          <t>900003592</t>
        </is>
      </c>
      <c r="B795" t="inlineStr">
        <is>
          <t>D836</t>
        </is>
      </c>
      <c r="C795" t="inlineStr">
        <is>
          <t>65300906</t>
        </is>
      </c>
      <c r="D795" t="inlineStr">
        <is>
          <t>10000624</t>
        </is>
      </c>
      <c r="E795" t="inlineStr"/>
      <c r="F795" s="11" t="n">
        <v>85</v>
      </c>
      <c r="G795" t="inlineStr"/>
      <c r="I795" t="inlineStr">
        <is>
          <t>TN</t>
        </is>
      </c>
      <c r="J795" t="inlineStr"/>
      <c r="K795" t="inlineStr">
        <is>
          <t>20190426</t>
        </is>
      </c>
      <c r="L795" t="inlineStr">
        <is>
          <t>20250127</t>
        </is>
      </c>
    </row>
    <row r="796">
      <c r="A796" t="inlineStr">
        <is>
          <t>900003592</t>
        </is>
      </c>
      <c r="B796" t="inlineStr">
        <is>
          <t>D836</t>
        </is>
      </c>
      <c r="C796" t="inlineStr">
        <is>
          <t>65300906</t>
        </is>
      </c>
      <c r="D796" t="inlineStr">
        <is>
          <t>10000722</t>
        </is>
      </c>
      <c r="E796" t="inlineStr"/>
      <c r="F796" s="11" t="n">
        <v>85</v>
      </c>
      <c r="G796" t="inlineStr"/>
      <c r="I796" t="inlineStr">
        <is>
          <t>TN</t>
        </is>
      </c>
      <c r="J796" t="inlineStr"/>
      <c r="K796" t="inlineStr">
        <is>
          <t>20190426</t>
        </is>
      </c>
      <c r="L796" t="inlineStr">
        <is>
          <t>20250127</t>
        </is>
      </c>
    </row>
    <row r="797">
      <c r="A797" t="inlineStr">
        <is>
          <t>900003592</t>
        </is>
      </c>
      <c r="B797" t="inlineStr">
        <is>
          <t>D836</t>
        </is>
      </c>
      <c r="C797" t="inlineStr">
        <is>
          <t>65346224</t>
        </is>
      </c>
      <c r="D797" t="inlineStr">
        <is>
          <t>10000623</t>
        </is>
      </c>
      <c r="E797" t="inlineStr"/>
      <c r="F797" s="11" t="n">
        <v>96.39</v>
      </c>
      <c r="G797" t="inlineStr"/>
      <c r="I797" t="inlineStr">
        <is>
          <t>TN</t>
        </is>
      </c>
      <c r="J797" t="inlineStr"/>
      <c r="K797" t="inlineStr">
        <is>
          <t>20190426</t>
        </is>
      </c>
      <c r="L797" t="inlineStr">
        <is>
          <t>20250127</t>
        </is>
      </c>
    </row>
    <row r="798">
      <c r="A798" t="inlineStr">
        <is>
          <t>900003592</t>
        </is>
      </c>
      <c r="B798" t="inlineStr">
        <is>
          <t>D836</t>
        </is>
      </c>
      <c r="C798" t="inlineStr">
        <is>
          <t>65361550</t>
        </is>
      </c>
      <c r="D798" t="inlineStr">
        <is>
          <t>10000623</t>
        </is>
      </c>
      <c r="E798" t="inlineStr"/>
      <c r="F798" s="11" t="n">
        <v>100.46</v>
      </c>
      <c r="G798" t="inlineStr"/>
      <c r="I798" t="inlineStr">
        <is>
          <t>TN</t>
        </is>
      </c>
      <c r="J798" t="inlineStr"/>
      <c r="K798" t="inlineStr">
        <is>
          <t>20190426</t>
        </is>
      </c>
      <c r="L798" t="inlineStr">
        <is>
          <t>20250127</t>
        </is>
      </c>
    </row>
    <row r="799">
      <c r="A799" t="inlineStr">
        <is>
          <t>900003592</t>
        </is>
      </c>
      <c r="B799" t="inlineStr">
        <is>
          <t>D836</t>
        </is>
      </c>
      <c r="C799" t="inlineStr">
        <is>
          <t>65361550</t>
        </is>
      </c>
      <c r="D799" t="inlineStr">
        <is>
          <t>10000630</t>
        </is>
      </c>
      <c r="E799" t="inlineStr"/>
      <c r="F799" s="11" t="n">
        <v>100.46</v>
      </c>
      <c r="G799" t="inlineStr"/>
      <c r="I799" t="inlineStr">
        <is>
          <t>TN</t>
        </is>
      </c>
      <c r="J799" t="inlineStr"/>
      <c r="K799" t="inlineStr">
        <is>
          <t>20190426</t>
        </is>
      </c>
      <c r="L799" t="inlineStr">
        <is>
          <t>20250127</t>
        </is>
      </c>
    </row>
    <row r="800">
      <c r="A800" t="inlineStr">
        <is>
          <t>900003592</t>
        </is>
      </c>
      <c r="B800" t="inlineStr">
        <is>
          <t>D836</t>
        </is>
      </c>
      <c r="C800" t="inlineStr">
        <is>
          <t>65370785</t>
        </is>
      </c>
      <c r="D800" t="inlineStr">
        <is>
          <t>10000630</t>
        </is>
      </c>
      <c r="E800" t="inlineStr"/>
      <c r="F800" s="11" t="n">
        <v>99.27</v>
      </c>
      <c r="G800" t="inlineStr"/>
      <c r="I800" t="inlineStr">
        <is>
          <t>TN</t>
        </is>
      </c>
      <c r="J800" t="inlineStr"/>
      <c r="K800" t="inlineStr">
        <is>
          <t>20190426</t>
        </is>
      </c>
      <c r="L800" t="inlineStr">
        <is>
          <t>20250127</t>
        </is>
      </c>
    </row>
    <row r="801">
      <c r="A801" t="inlineStr">
        <is>
          <t>900003592</t>
        </is>
      </c>
      <c r="B801" t="inlineStr">
        <is>
          <t>D836</t>
        </is>
      </c>
      <c r="C801" t="inlineStr">
        <is>
          <t>65370785</t>
        </is>
      </c>
      <c r="D801" t="inlineStr">
        <is>
          <t>10000722</t>
        </is>
      </c>
      <c r="E801" t="inlineStr"/>
      <c r="F801" s="11" t="n">
        <v>99.27</v>
      </c>
      <c r="G801" t="inlineStr"/>
      <c r="I801" t="inlineStr">
        <is>
          <t>TN</t>
        </is>
      </c>
      <c r="J801" t="inlineStr"/>
      <c r="K801" t="inlineStr">
        <is>
          <t>20190426</t>
        </is>
      </c>
      <c r="L801" t="inlineStr">
        <is>
          <t>20250127</t>
        </is>
      </c>
    </row>
    <row r="802">
      <c r="A802" t="inlineStr">
        <is>
          <t>900003592</t>
        </is>
      </c>
      <c r="B802" t="inlineStr">
        <is>
          <t>D836</t>
        </is>
      </c>
      <c r="C802" t="inlineStr">
        <is>
          <t>65387641</t>
        </is>
      </c>
      <c r="D802" t="inlineStr">
        <is>
          <t>10000623</t>
        </is>
      </c>
      <c r="E802" t="inlineStr"/>
      <c r="F802" s="11" t="n">
        <v>87.40000000000001</v>
      </c>
      <c r="G802" t="inlineStr"/>
      <c r="I802" t="inlineStr">
        <is>
          <t>TN</t>
        </is>
      </c>
      <c r="J802" t="inlineStr"/>
      <c r="K802" t="inlineStr">
        <is>
          <t>20190426</t>
        </is>
      </c>
      <c r="L802" t="inlineStr">
        <is>
          <t>20250127</t>
        </is>
      </c>
    </row>
    <row r="803">
      <c r="A803" t="inlineStr">
        <is>
          <t>900003592</t>
        </is>
      </c>
      <c r="B803" t="inlineStr">
        <is>
          <t>D836</t>
        </is>
      </c>
      <c r="C803" t="inlineStr">
        <is>
          <t>65387641</t>
        </is>
      </c>
      <c r="D803" t="inlineStr">
        <is>
          <t>10000624</t>
        </is>
      </c>
      <c r="E803" t="inlineStr"/>
      <c r="F803" s="11" t="n">
        <v>91</v>
      </c>
      <c r="G803" t="inlineStr"/>
      <c r="I803" t="inlineStr">
        <is>
          <t>TN</t>
        </is>
      </c>
      <c r="J803" t="inlineStr"/>
      <c r="K803" t="inlineStr">
        <is>
          <t>20190426</t>
        </is>
      </c>
      <c r="L803" t="inlineStr">
        <is>
          <t>20250127</t>
        </is>
      </c>
    </row>
    <row r="804">
      <c r="A804" t="inlineStr">
        <is>
          <t>900003592</t>
        </is>
      </c>
      <c r="B804" t="inlineStr">
        <is>
          <t>D836</t>
        </is>
      </c>
      <c r="C804" t="inlineStr">
        <is>
          <t>65387641</t>
        </is>
      </c>
      <c r="D804" t="inlineStr">
        <is>
          <t>10000630</t>
        </is>
      </c>
      <c r="E804" t="inlineStr"/>
      <c r="F804" s="11" t="n">
        <v>87.40000000000001</v>
      </c>
      <c r="G804" t="inlineStr"/>
      <c r="I804" t="inlineStr">
        <is>
          <t>TN</t>
        </is>
      </c>
      <c r="J804" t="inlineStr"/>
      <c r="K804" t="inlineStr">
        <is>
          <t>20190426</t>
        </is>
      </c>
      <c r="L804" t="inlineStr">
        <is>
          <t>20250127</t>
        </is>
      </c>
    </row>
    <row r="805">
      <c r="A805" t="inlineStr">
        <is>
          <t>900003592</t>
        </is>
      </c>
      <c r="B805" t="inlineStr">
        <is>
          <t>D836</t>
        </is>
      </c>
      <c r="C805" t="inlineStr">
        <is>
          <t>65387641</t>
        </is>
      </c>
      <c r="D805" t="inlineStr">
        <is>
          <t>10000722</t>
        </is>
      </c>
      <c r="E805" t="inlineStr"/>
      <c r="F805" s="11" t="n">
        <v>91</v>
      </c>
      <c r="G805" t="inlineStr"/>
      <c r="I805" t="inlineStr">
        <is>
          <t>TN</t>
        </is>
      </c>
      <c r="J805" t="inlineStr"/>
      <c r="K805" t="inlineStr">
        <is>
          <t>20190426</t>
        </is>
      </c>
      <c r="L805" t="inlineStr">
        <is>
          <t>20250127</t>
        </is>
      </c>
    </row>
    <row r="806">
      <c r="A806" t="inlineStr">
        <is>
          <t>900003592</t>
        </is>
      </c>
      <c r="B806" t="inlineStr">
        <is>
          <t>D836</t>
        </is>
      </c>
      <c r="C806" t="inlineStr">
        <is>
          <t>65442270</t>
        </is>
      </c>
      <c r="D806" t="inlineStr">
        <is>
          <t>10000630</t>
        </is>
      </c>
      <c r="E806" t="inlineStr"/>
      <c r="F806" s="11" t="n">
        <v>101.66</v>
      </c>
      <c r="G806" t="inlineStr"/>
      <c r="I806" t="inlineStr">
        <is>
          <t>TN</t>
        </is>
      </c>
      <c r="J806" t="inlineStr"/>
      <c r="K806" t="inlineStr">
        <is>
          <t>20190426</t>
        </is>
      </c>
      <c r="L806" t="inlineStr">
        <is>
          <t>20250127</t>
        </is>
      </c>
    </row>
    <row r="807">
      <c r="A807" t="inlineStr">
        <is>
          <t>900003592</t>
        </is>
      </c>
      <c r="B807" t="inlineStr">
        <is>
          <t>D836</t>
        </is>
      </c>
      <c r="C807" t="inlineStr">
        <is>
          <t>65442270</t>
        </is>
      </c>
      <c r="D807" t="inlineStr">
        <is>
          <t>10000722</t>
        </is>
      </c>
      <c r="E807" t="inlineStr"/>
      <c r="F807" s="11" t="n">
        <v>82</v>
      </c>
      <c r="G807" t="inlineStr"/>
      <c r="I807" t="inlineStr">
        <is>
          <t>TN</t>
        </is>
      </c>
      <c r="J807" t="inlineStr"/>
      <c r="K807" t="inlineStr">
        <is>
          <t>20190426</t>
        </is>
      </c>
      <c r="L807" t="inlineStr">
        <is>
          <t>20250127</t>
        </is>
      </c>
    </row>
    <row r="808">
      <c r="A808" t="inlineStr">
        <is>
          <t>900003592</t>
        </is>
      </c>
      <c r="B808" t="inlineStr">
        <is>
          <t>D836</t>
        </is>
      </c>
      <c r="C808" t="inlineStr">
        <is>
          <t>65565826</t>
        </is>
      </c>
      <c r="D808" t="inlineStr">
        <is>
          <t>10000623</t>
        </is>
      </c>
      <c r="E808" t="inlineStr"/>
      <c r="F808" s="11" t="n">
        <v>126.5</v>
      </c>
      <c r="G808" t="inlineStr"/>
      <c r="I808" t="inlineStr">
        <is>
          <t>M3</t>
        </is>
      </c>
      <c r="J808" t="inlineStr"/>
      <c r="K808" t="inlineStr">
        <is>
          <t>20190426</t>
        </is>
      </c>
      <c r="L808" t="inlineStr">
        <is>
          <t>20250127</t>
        </is>
      </c>
    </row>
    <row r="809">
      <c r="A809" t="inlineStr">
        <is>
          <t>900003592</t>
        </is>
      </c>
      <c r="B809" t="inlineStr">
        <is>
          <t>D836</t>
        </is>
      </c>
      <c r="C809" t="inlineStr">
        <is>
          <t>65565826</t>
        </is>
      </c>
      <c r="D809" t="inlineStr">
        <is>
          <t>10000722</t>
        </is>
      </c>
      <c r="E809" t="inlineStr"/>
      <c r="F809" s="11" t="n">
        <v>95.68000000000001</v>
      </c>
      <c r="G809" t="inlineStr"/>
      <c r="I809" t="inlineStr">
        <is>
          <t>TN</t>
        </is>
      </c>
      <c r="J809" t="inlineStr"/>
      <c r="K809" t="inlineStr">
        <is>
          <t>20190426</t>
        </is>
      </c>
      <c r="L809" t="inlineStr">
        <is>
          <t>20250127</t>
        </is>
      </c>
    </row>
    <row r="810">
      <c r="A810" t="inlineStr">
        <is>
          <t>900003592</t>
        </is>
      </c>
      <c r="B810" t="inlineStr">
        <is>
          <t>D836</t>
        </is>
      </c>
      <c r="C810" t="inlineStr">
        <is>
          <t>65570346</t>
        </is>
      </c>
      <c r="D810" t="inlineStr">
        <is>
          <t>10000630</t>
        </is>
      </c>
      <c r="E810" t="inlineStr"/>
      <c r="F810" s="11" t="n">
        <v>102.86</v>
      </c>
      <c r="G810" t="inlineStr"/>
      <c r="I810" t="inlineStr">
        <is>
          <t>TN</t>
        </is>
      </c>
      <c r="J810" t="inlineStr"/>
      <c r="K810" t="inlineStr">
        <is>
          <t>20190426</t>
        </is>
      </c>
      <c r="L810" t="inlineStr">
        <is>
          <t>20250127</t>
        </is>
      </c>
    </row>
    <row r="811">
      <c r="A811" t="inlineStr">
        <is>
          <t>900003592</t>
        </is>
      </c>
      <c r="B811" t="inlineStr">
        <is>
          <t>D836</t>
        </is>
      </c>
      <c r="C811" t="inlineStr">
        <is>
          <t>65570346</t>
        </is>
      </c>
      <c r="D811" t="inlineStr">
        <is>
          <t>10000722</t>
        </is>
      </c>
      <c r="E811" t="inlineStr"/>
      <c r="F811" s="11" t="n">
        <v>78</v>
      </c>
      <c r="G811" t="inlineStr"/>
      <c r="I811" t="inlineStr">
        <is>
          <t>TN</t>
        </is>
      </c>
      <c r="J811" t="inlineStr"/>
      <c r="K811" t="inlineStr">
        <is>
          <t>20190426</t>
        </is>
      </c>
      <c r="L811" t="inlineStr">
        <is>
          <t>20250127</t>
        </is>
      </c>
    </row>
    <row r="812">
      <c r="A812" t="inlineStr">
        <is>
          <t>900003592</t>
        </is>
      </c>
      <c r="B812" t="inlineStr">
        <is>
          <t>D836</t>
        </is>
      </c>
      <c r="C812" t="inlineStr">
        <is>
          <t>65633365</t>
        </is>
      </c>
      <c r="D812" t="inlineStr">
        <is>
          <t>10000722</t>
        </is>
      </c>
      <c r="E812" t="inlineStr"/>
      <c r="F812" s="11" t="n">
        <v>85</v>
      </c>
      <c r="G812" t="inlineStr"/>
      <c r="I812" t="inlineStr">
        <is>
          <t>TN</t>
        </is>
      </c>
      <c r="J812" t="inlineStr"/>
      <c r="K812" t="inlineStr">
        <is>
          <t>20190426</t>
        </is>
      </c>
      <c r="L812" t="inlineStr">
        <is>
          <t>20250127</t>
        </is>
      </c>
    </row>
    <row r="813">
      <c r="A813" t="inlineStr">
        <is>
          <t>900003592</t>
        </is>
      </c>
      <c r="B813" t="inlineStr">
        <is>
          <t>D836</t>
        </is>
      </c>
      <c r="C813" t="inlineStr">
        <is>
          <t>65685819</t>
        </is>
      </c>
      <c r="D813" t="inlineStr">
        <is>
          <t>10000630</t>
        </is>
      </c>
      <c r="E813" t="inlineStr"/>
      <c r="F813" s="11" t="n">
        <v>102.26</v>
      </c>
      <c r="G813" t="inlineStr"/>
      <c r="I813" t="inlineStr">
        <is>
          <t>TN</t>
        </is>
      </c>
      <c r="J813" t="inlineStr"/>
      <c r="K813" t="inlineStr">
        <is>
          <t>20190426</t>
        </is>
      </c>
      <c r="L813" t="inlineStr">
        <is>
          <t>20250127</t>
        </is>
      </c>
    </row>
    <row r="814">
      <c r="A814" t="inlineStr">
        <is>
          <t>900003592</t>
        </is>
      </c>
      <c r="B814" t="inlineStr">
        <is>
          <t>D836</t>
        </is>
      </c>
      <c r="C814" t="inlineStr">
        <is>
          <t>65685819</t>
        </is>
      </c>
      <c r="D814" t="inlineStr">
        <is>
          <t>10000722</t>
        </is>
      </c>
      <c r="E814" t="inlineStr"/>
      <c r="F814" s="11" t="n">
        <v>102.26</v>
      </c>
      <c r="G814" t="inlineStr"/>
      <c r="I814" t="inlineStr">
        <is>
          <t>TN</t>
        </is>
      </c>
      <c r="J814" t="inlineStr"/>
      <c r="K814" t="inlineStr">
        <is>
          <t>20190426</t>
        </is>
      </c>
      <c r="L814" t="inlineStr">
        <is>
          <t>20250127</t>
        </is>
      </c>
    </row>
    <row r="815">
      <c r="A815" t="inlineStr">
        <is>
          <t>900003592</t>
        </is>
      </c>
      <c r="B815" t="inlineStr">
        <is>
          <t>D836</t>
        </is>
      </c>
      <c r="C815" t="inlineStr">
        <is>
          <t>65706147</t>
        </is>
      </c>
      <c r="D815" t="inlineStr">
        <is>
          <t>10000624</t>
        </is>
      </c>
      <c r="E815" t="inlineStr"/>
      <c r="F815" s="11" t="n">
        <v>85</v>
      </c>
      <c r="G815" t="inlineStr"/>
      <c r="I815" t="inlineStr">
        <is>
          <t>TN</t>
        </is>
      </c>
      <c r="J815" t="inlineStr"/>
      <c r="K815" t="inlineStr">
        <is>
          <t>20190426</t>
        </is>
      </c>
      <c r="L815" t="inlineStr">
        <is>
          <t>20250127</t>
        </is>
      </c>
    </row>
    <row r="816">
      <c r="A816" t="inlineStr">
        <is>
          <t>900003592</t>
        </is>
      </c>
      <c r="B816" t="inlineStr">
        <is>
          <t>D836</t>
        </is>
      </c>
      <c r="C816" t="inlineStr">
        <is>
          <t>65706147</t>
        </is>
      </c>
      <c r="D816" t="inlineStr">
        <is>
          <t>10000722</t>
        </is>
      </c>
      <c r="E816" t="inlineStr"/>
      <c r="F816" s="11" t="n">
        <v>95</v>
      </c>
      <c r="G816" t="inlineStr"/>
      <c r="I816" t="inlineStr">
        <is>
          <t>TN</t>
        </is>
      </c>
      <c r="J816" t="inlineStr"/>
      <c r="K816" t="inlineStr">
        <is>
          <t>20190426</t>
        </is>
      </c>
      <c r="L816" t="inlineStr">
        <is>
          <t>20250127</t>
        </is>
      </c>
    </row>
    <row r="817">
      <c r="A817" t="inlineStr">
        <is>
          <t>900003592</t>
        </is>
      </c>
      <c r="B817" t="inlineStr">
        <is>
          <t>D836</t>
        </is>
      </c>
      <c r="C817" t="inlineStr">
        <is>
          <t>65763944</t>
        </is>
      </c>
      <c r="D817" t="inlineStr">
        <is>
          <t>10000722</t>
        </is>
      </c>
      <c r="E817" t="inlineStr"/>
      <c r="F817" s="11" t="n">
        <v>89.7</v>
      </c>
      <c r="G817" t="inlineStr"/>
      <c r="I817" t="inlineStr">
        <is>
          <t>TN</t>
        </is>
      </c>
      <c r="J817" t="inlineStr"/>
      <c r="K817" t="inlineStr">
        <is>
          <t>20190426</t>
        </is>
      </c>
      <c r="L817" t="inlineStr">
        <is>
          <t>20250127</t>
        </is>
      </c>
    </row>
    <row r="818">
      <c r="A818" t="inlineStr">
        <is>
          <t>900003592</t>
        </is>
      </c>
      <c r="B818" t="inlineStr">
        <is>
          <t>D836</t>
        </is>
      </c>
      <c r="C818" t="inlineStr">
        <is>
          <t>65781482</t>
        </is>
      </c>
      <c r="D818" t="inlineStr">
        <is>
          <t>10000722</t>
        </is>
      </c>
      <c r="E818" t="inlineStr"/>
      <c r="F818" s="11" t="n">
        <v>106.44</v>
      </c>
      <c r="G818" t="inlineStr"/>
      <c r="I818" t="inlineStr">
        <is>
          <t>TN</t>
        </is>
      </c>
      <c r="J818" t="inlineStr"/>
      <c r="K818" t="inlineStr">
        <is>
          <t>20190426</t>
        </is>
      </c>
      <c r="L818" t="inlineStr">
        <is>
          <t>20250127</t>
        </is>
      </c>
    </row>
    <row r="819">
      <c r="A819" t="inlineStr">
        <is>
          <t>900003592</t>
        </is>
      </c>
      <c r="B819" t="inlineStr">
        <is>
          <t>D836</t>
        </is>
      </c>
      <c r="C819" t="inlineStr">
        <is>
          <t>65796882</t>
        </is>
      </c>
      <c r="D819" t="inlineStr">
        <is>
          <t>10000722</t>
        </is>
      </c>
      <c r="E819" t="inlineStr"/>
      <c r="F819" s="11" t="n">
        <v>80</v>
      </c>
      <c r="G819" t="inlineStr"/>
      <c r="I819" t="inlineStr">
        <is>
          <t>TN</t>
        </is>
      </c>
      <c r="J819" t="inlineStr"/>
      <c r="K819" t="inlineStr">
        <is>
          <t>20190426</t>
        </is>
      </c>
      <c r="L819" t="inlineStr">
        <is>
          <t>20250127</t>
        </is>
      </c>
    </row>
    <row r="820">
      <c r="A820" t="inlineStr">
        <is>
          <t>900003592</t>
        </is>
      </c>
      <c r="B820" t="inlineStr">
        <is>
          <t>D836</t>
        </is>
      </c>
      <c r="C820" t="inlineStr">
        <is>
          <t>65796882</t>
        </is>
      </c>
      <c r="D820" t="inlineStr">
        <is>
          <t>10053281</t>
        </is>
      </c>
      <c r="E820" t="inlineStr"/>
      <c r="F820" s="11" t="n">
        <v>80</v>
      </c>
      <c r="G820" t="inlineStr"/>
      <c r="I820" t="inlineStr">
        <is>
          <t>TN</t>
        </is>
      </c>
      <c r="J820" t="inlineStr"/>
      <c r="K820" t="inlineStr">
        <is>
          <t>20190426</t>
        </is>
      </c>
      <c r="L820" t="inlineStr">
        <is>
          <t>20250127</t>
        </is>
      </c>
    </row>
    <row r="821">
      <c r="A821" t="inlineStr">
        <is>
          <t>900003592</t>
        </is>
      </c>
      <c r="B821" t="inlineStr">
        <is>
          <t>D836</t>
        </is>
      </c>
      <c r="C821" t="inlineStr">
        <is>
          <t>65916616</t>
        </is>
      </c>
      <c r="D821" t="inlineStr">
        <is>
          <t>10000630</t>
        </is>
      </c>
      <c r="E821" t="inlineStr"/>
      <c r="F821" s="11" t="n">
        <v>102.86</v>
      </c>
      <c r="G821" t="inlineStr"/>
      <c r="I821" t="inlineStr">
        <is>
          <t>TN</t>
        </is>
      </c>
      <c r="J821" t="inlineStr"/>
      <c r="K821" t="inlineStr">
        <is>
          <t>20190426</t>
        </is>
      </c>
      <c r="L821" t="inlineStr">
        <is>
          <t>20250127</t>
        </is>
      </c>
    </row>
    <row r="822">
      <c r="A822" t="inlineStr">
        <is>
          <t>900003592</t>
        </is>
      </c>
      <c r="B822" t="inlineStr">
        <is>
          <t>D836</t>
        </is>
      </c>
      <c r="C822" t="inlineStr">
        <is>
          <t>65916616</t>
        </is>
      </c>
      <c r="D822" t="inlineStr">
        <is>
          <t>10000722</t>
        </is>
      </c>
      <c r="E822" t="inlineStr"/>
      <c r="F822" s="11" t="n">
        <v>80</v>
      </c>
      <c r="G822" t="inlineStr"/>
      <c r="I822" t="inlineStr">
        <is>
          <t>TN</t>
        </is>
      </c>
      <c r="J822" t="inlineStr"/>
      <c r="K822" t="inlineStr">
        <is>
          <t>20190426</t>
        </is>
      </c>
      <c r="L822" t="inlineStr">
        <is>
          <t>20250127</t>
        </is>
      </c>
    </row>
    <row r="823">
      <c r="A823" t="inlineStr">
        <is>
          <t>900003592</t>
        </is>
      </c>
      <c r="B823" t="inlineStr">
        <is>
          <t>D836</t>
        </is>
      </c>
      <c r="C823" t="inlineStr">
        <is>
          <t>65970998</t>
        </is>
      </c>
      <c r="D823" t="inlineStr">
        <is>
          <t>10000722</t>
        </is>
      </c>
      <c r="E823" t="inlineStr"/>
      <c r="F823" s="11" t="n">
        <v>102.26</v>
      </c>
      <c r="G823" t="inlineStr"/>
      <c r="I823" t="inlineStr">
        <is>
          <t>TN</t>
        </is>
      </c>
      <c r="J823" t="inlineStr"/>
      <c r="K823" t="inlineStr">
        <is>
          <t>20190426</t>
        </is>
      </c>
      <c r="L823" t="inlineStr">
        <is>
          <t>20250127</t>
        </is>
      </c>
    </row>
    <row r="824">
      <c r="A824" t="inlineStr">
        <is>
          <t>900003592</t>
        </is>
      </c>
      <c r="B824" t="inlineStr">
        <is>
          <t>D836</t>
        </is>
      </c>
      <c r="C824" t="inlineStr">
        <is>
          <t>65992053</t>
        </is>
      </c>
      <c r="D824" t="inlineStr">
        <is>
          <t>10000623</t>
        </is>
      </c>
      <c r="E824" t="inlineStr"/>
      <c r="F824" s="11" t="n">
        <v>100.05</v>
      </c>
      <c r="G824" t="inlineStr"/>
      <c r="I824" t="inlineStr">
        <is>
          <t>TN</t>
        </is>
      </c>
      <c r="J824" t="inlineStr"/>
      <c r="K824" t="inlineStr">
        <is>
          <t>20190426</t>
        </is>
      </c>
      <c r="L824" t="inlineStr">
        <is>
          <t>20250127</t>
        </is>
      </c>
    </row>
    <row r="825">
      <c r="A825" t="inlineStr">
        <is>
          <t>900003592</t>
        </is>
      </c>
      <c r="B825" t="inlineStr">
        <is>
          <t>D836</t>
        </is>
      </c>
      <c r="C825" t="inlineStr">
        <is>
          <t>65992219</t>
        </is>
      </c>
      <c r="D825" t="inlineStr">
        <is>
          <t>10000630</t>
        </is>
      </c>
      <c r="E825" t="inlineStr"/>
      <c r="F825" s="11" t="n">
        <v>102.26</v>
      </c>
      <c r="G825" t="inlineStr"/>
      <c r="I825" t="inlineStr">
        <is>
          <t>TN</t>
        </is>
      </c>
      <c r="J825" t="inlineStr"/>
      <c r="K825" t="inlineStr">
        <is>
          <t>20190426</t>
        </is>
      </c>
      <c r="L825" t="inlineStr">
        <is>
          <t>20250127</t>
        </is>
      </c>
    </row>
    <row r="826">
      <c r="A826" t="inlineStr">
        <is>
          <t>900003592</t>
        </is>
      </c>
      <c r="B826" t="inlineStr">
        <is>
          <t>D836</t>
        </is>
      </c>
      <c r="C826" t="inlineStr">
        <is>
          <t>65992219</t>
        </is>
      </c>
      <c r="D826" t="inlineStr">
        <is>
          <t>10000722</t>
        </is>
      </c>
      <c r="E826" t="inlineStr"/>
      <c r="F826" s="11" t="n">
        <v>102.26</v>
      </c>
      <c r="G826" t="inlineStr"/>
      <c r="I826" t="inlineStr">
        <is>
          <t>TN</t>
        </is>
      </c>
      <c r="J826" t="inlineStr"/>
      <c r="K826" t="inlineStr">
        <is>
          <t>20190426</t>
        </is>
      </c>
      <c r="L826" t="inlineStr">
        <is>
          <t>20250127</t>
        </is>
      </c>
    </row>
    <row r="827">
      <c r="A827" t="inlineStr">
        <is>
          <t>900003592</t>
        </is>
      </c>
      <c r="B827" t="inlineStr">
        <is>
          <t>D836</t>
        </is>
      </c>
      <c r="C827" t="inlineStr">
        <is>
          <t>66167552</t>
        </is>
      </c>
      <c r="D827" t="inlineStr">
        <is>
          <t>10000624</t>
        </is>
      </c>
      <c r="E827" t="inlineStr"/>
      <c r="F827" s="11" t="n">
        <v>92</v>
      </c>
      <c r="G827" t="inlineStr"/>
      <c r="I827" t="inlineStr">
        <is>
          <t>TN</t>
        </is>
      </c>
      <c r="J827" t="inlineStr"/>
      <c r="K827" t="inlineStr">
        <is>
          <t>20190426</t>
        </is>
      </c>
      <c r="L827" t="inlineStr">
        <is>
          <t>20250127</t>
        </is>
      </c>
    </row>
    <row r="828">
      <c r="A828" t="inlineStr">
        <is>
          <t>900003592</t>
        </is>
      </c>
      <c r="B828" t="inlineStr">
        <is>
          <t>D836</t>
        </is>
      </c>
      <c r="C828" t="inlineStr">
        <is>
          <t>66167552</t>
        </is>
      </c>
      <c r="D828" t="inlineStr">
        <is>
          <t>10000722</t>
        </is>
      </c>
      <c r="E828" t="inlineStr"/>
      <c r="F828" s="11" t="n">
        <v>92</v>
      </c>
      <c r="G828" t="inlineStr"/>
      <c r="I828" t="inlineStr">
        <is>
          <t>TN</t>
        </is>
      </c>
      <c r="J828" t="inlineStr"/>
      <c r="K828" t="inlineStr">
        <is>
          <t>20190426</t>
        </is>
      </c>
      <c r="L828" t="inlineStr">
        <is>
          <t>20250127</t>
        </is>
      </c>
    </row>
    <row r="829">
      <c r="A829" t="inlineStr">
        <is>
          <t>900003592</t>
        </is>
      </c>
      <c r="B829" t="inlineStr">
        <is>
          <t>D836</t>
        </is>
      </c>
      <c r="C829" t="inlineStr">
        <is>
          <t>66230098</t>
        </is>
      </c>
      <c r="D829" t="inlineStr">
        <is>
          <t>10000722</t>
        </is>
      </c>
      <c r="E829" t="inlineStr"/>
      <c r="F829" s="11" t="n">
        <v>80</v>
      </c>
      <c r="G829" t="inlineStr"/>
      <c r="I829" t="inlineStr">
        <is>
          <t>TN</t>
        </is>
      </c>
      <c r="J829" t="inlineStr"/>
      <c r="K829" t="inlineStr">
        <is>
          <t>20190426</t>
        </is>
      </c>
      <c r="L829" t="inlineStr">
        <is>
          <t>20250127</t>
        </is>
      </c>
    </row>
    <row r="830">
      <c r="A830" t="inlineStr">
        <is>
          <t>900003592</t>
        </is>
      </c>
      <c r="B830" t="inlineStr">
        <is>
          <t>D836</t>
        </is>
      </c>
      <c r="C830" t="inlineStr">
        <is>
          <t>66230098</t>
        </is>
      </c>
      <c r="D830" t="inlineStr">
        <is>
          <t>10053281</t>
        </is>
      </c>
      <c r="E830" t="inlineStr"/>
      <c r="F830" s="11" t="n">
        <v>80</v>
      </c>
      <c r="G830" t="inlineStr"/>
      <c r="I830" t="inlineStr">
        <is>
          <t>TN</t>
        </is>
      </c>
      <c r="J830" t="inlineStr"/>
      <c r="K830" t="inlineStr">
        <is>
          <t>20190426</t>
        </is>
      </c>
      <c r="L830" t="inlineStr">
        <is>
          <t>20250127</t>
        </is>
      </c>
    </row>
    <row r="831">
      <c r="A831" t="inlineStr">
        <is>
          <t>900003592</t>
        </is>
      </c>
      <c r="B831" t="inlineStr">
        <is>
          <t>D836</t>
        </is>
      </c>
      <c r="C831" t="inlineStr">
        <is>
          <t>66237142</t>
        </is>
      </c>
      <c r="D831" t="inlineStr">
        <is>
          <t>10000630</t>
        </is>
      </c>
      <c r="E831" t="inlineStr"/>
      <c r="F831" s="11" t="n">
        <v>101.66</v>
      </c>
      <c r="G831" t="inlineStr"/>
      <c r="I831" t="inlineStr">
        <is>
          <t>TN</t>
        </is>
      </c>
      <c r="J831" t="inlineStr"/>
      <c r="K831" t="inlineStr">
        <is>
          <t>20190426</t>
        </is>
      </c>
      <c r="L831" t="inlineStr">
        <is>
          <t>20250127</t>
        </is>
      </c>
    </row>
    <row r="832">
      <c r="A832" t="inlineStr">
        <is>
          <t>900003592</t>
        </is>
      </c>
      <c r="B832" t="inlineStr">
        <is>
          <t>D836</t>
        </is>
      </c>
      <c r="C832" t="inlineStr">
        <is>
          <t>66237142</t>
        </is>
      </c>
      <c r="D832" t="inlineStr">
        <is>
          <t>10000722</t>
        </is>
      </c>
      <c r="E832" t="inlineStr"/>
      <c r="F832" s="11" t="n">
        <v>101.66</v>
      </c>
      <c r="G832" t="inlineStr"/>
      <c r="I832" t="inlineStr">
        <is>
          <t>TN</t>
        </is>
      </c>
      <c r="J832" t="inlineStr"/>
      <c r="K832" t="inlineStr">
        <is>
          <t>20190426</t>
        </is>
      </c>
      <c r="L832" t="inlineStr">
        <is>
          <t>20250127</t>
        </is>
      </c>
    </row>
    <row r="833">
      <c r="A833" t="inlineStr">
        <is>
          <t>900003592</t>
        </is>
      </c>
      <c r="B833" t="inlineStr">
        <is>
          <t>D836</t>
        </is>
      </c>
      <c r="C833" t="inlineStr">
        <is>
          <t>66239560</t>
        </is>
      </c>
      <c r="D833" t="inlineStr">
        <is>
          <t>10000722</t>
        </is>
      </c>
      <c r="E833" t="inlineStr"/>
      <c r="F833" s="11" t="n">
        <v>136.8</v>
      </c>
      <c r="G833" t="inlineStr"/>
      <c r="I833" t="inlineStr">
        <is>
          <t>M3</t>
        </is>
      </c>
      <c r="J833" t="inlineStr"/>
      <c r="K833" t="inlineStr">
        <is>
          <t>20190426</t>
        </is>
      </c>
      <c r="L833" t="inlineStr">
        <is>
          <t>20250127</t>
        </is>
      </c>
    </row>
    <row r="834">
      <c r="A834" t="inlineStr">
        <is>
          <t>900003592</t>
        </is>
      </c>
      <c r="B834" t="inlineStr">
        <is>
          <t>D836</t>
        </is>
      </c>
      <c r="C834" t="inlineStr">
        <is>
          <t>66239561</t>
        </is>
      </c>
      <c r="D834" t="inlineStr">
        <is>
          <t>10000722</t>
        </is>
      </c>
      <c r="E834" t="inlineStr"/>
      <c r="F834" s="11" t="n">
        <v>95</v>
      </c>
      <c r="G834" t="inlineStr"/>
      <c r="I834" t="inlineStr">
        <is>
          <t>TN</t>
        </is>
      </c>
      <c r="J834" t="inlineStr"/>
      <c r="K834" t="inlineStr">
        <is>
          <t>20190426</t>
        </is>
      </c>
      <c r="L834" t="inlineStr">
        <is>
          <t>20250127</t>
        </is>
      </c>
    </row>
    <row r="835">
      <c r="A835" t="inlineStr">
        <is>
          <t>900003592</t>
        </is>
      </c>
      <c r="B835" t="inlineStr">
        <is>
          <t>D836</t>
        </is>
      </c>
      <c r="C835" t="inlineStr">
        <is>
          <t>66239598</t>
        </is>
      </c>
      <c r="D835" t="inlineStr">
        <is>
          <t>10000722</t>
        </is>
      </c>
      <c r="E835" t="inlineStr"/>
      <c r="F835" s="11" t="n">
        <v>95</v>
      </c>
      <c r="G835" t="inlineStr"/>
      <c r="I835" t="inlineStr">
        <is>
          <t>TN</t>
        </is>
      </c>
      <c r="J835" t="inlineStr"/>
      <c r="K835" t="inlineStr">
        <is>
          <t>20190426</t>
        </is>
      </c>
      <c r="L835" t="inlineStr">
        <is>
          <t>20250127</t>
        </is>
      </c>
    </row>
    <row r="836">
      <c r="A836" t="inlineStr">
        <is>
          <t>900003592</t>
        </is>
      </c>
      <c r="B836" t="inlineStr">
        <is>
          <t>D836</t>
        </is>
      </c>
      <c r="C836" t="inlineStr">
        <is>
          <t>66239599</t>
        </is>
      </c>
      <c r="D836" t="inlineStr">
        <is>
          <t>10000722</t>
        </is>
      </c>
      <c r="E836" t="inlineStr"/>
      <c r="F836" s="11" t="n">
        <v>95</v>
      </c>
      <c r="G836" t="inlineStr"/>
      <c r="I836" t="inlineStr">
        <is>
          <t>TN</t>
        </is>
      </c>
      <c r="J836" t="inlineStr"/>
      <c r="K836" t="inlineStr">
        <is>
          <t>20190426</t>
        </is>
      </c>
      <c r="L836" t="inlineStr">
        <is>
          <t>20250127</t>
        </is>
      </c>
    </row>
    <row r="837">
      <c r="A837" t="inlineStr">
        <is>
          <t>900003592</t>
        </is>
      </c>
      <c r="B837" t="inlineStr">
        <is>
          <t>D836</t>
        </is>
      </c>
      <c r="C837" t="inlineStr">
        <is>
          <t>66239600</t>
        </is>
      </c>
      <c r="D837" t="inlineStr">
        <is>
          <t>10000722</t>
        </is>
      </c>
      <c r="E837" t="inlineStr"/>
      <c r="F837" s="11" t="n">
        <v>95</v>
      </c>
      <c r="G837" t="inlineStr"/>
      <c r="I837" t="inlineStr">
        <is>
          <t>TN</t>
        </is>
      </c>
      <c r="J837" t="inlineStr"/>
      <c r="K837" t="inlineStr">
        <is>
          <t>20190426</t>
        </is>
      </c>
      <c r="L837" t="inlineStr">
        <is>
          <t>20250127</t>
        </is>
      </c>
    </row>
    <row r="838">
      <c r="A838" t="inlineStr">
        <is>
          <t>900003592</t>
        </is>
      </c>
      <c r="B838" t="inlineStr">
        <is>
          <t>D836</t>
        </is>
      </c>
      <c r="C838" t="inlineStr">
        <is>
          <t>66239601</t>
        </is>
      </c>
      <c r="D838" t="inlineStr">
        <is>
          <t>10000722</t>
        </is>
      </c>
      <c r="E838" t="inlineStr"/>
      <c r="F838" s="11" t="n">
        <v>95</v>
      </c>
      <c r="G838" t="inlineStr"/>
      <c r="I838" t="inlineStr">
        <is>
          <t>TN</t>
        </is>
      </c>
      <c r="J838" t="inlineStr"/>
      <c r="K838" t="inlineStr">
        <is>
          <t>20190426</t>
        </is>
      </c>
      <c r="L838" t="inlineStr">
        <is>
          <t>20250127</t>
        </is>
      </c>
    </row>
    <row r="839">
      <c r="A839" t="inlineStr">
        <is>
          <t>900003592</t>
        </is>
      </c>
      <c r="B839" t="inlineStr">
        <is>
          <t>D836</t>
        </is>
      </c>
      <c r="C839" t="inlineStr">
        <is>
          <t>66239617</t>
        </is>
      </c>
      <c r="D839" t="inlineStr">
        <is>
          <t>10000722</t>
        </is>
      </c>
      <c r="E839" t="inlineStr"/>
      <c r="F839" s="11" t="n">
        <v>95</v>
      </c>
      <c r="G839" t="inlineStr"/>
      <c r="I839" t="inlineStr">
        <is>
          <t>TN</t>
        </is>
      </c>
      <c r="J839" t="inlineStr"/>
      <c r="K839" t="inlineStr">
        <is>
          <t>20190426</t>
        </is>
      </c>
      <c r="L839" t="inlineStr">
        <is>
          <t>20250127</t>
        </is>
      </c>
    </row>
    <row r="840">
      <c r="A840" t="inlineStr">
        <is>
          <t>900003592</t>
        </is>
      </c>
      <c r="B840" t="inlineStr">
        <is>
          <t>D836</t>
        </is>
      </c>
      <c r="C840" t="inlineStr">
        <is>
          <t>66239621</t>
        </is>
      </c>
      <c r="D840" t="inlineStr">
        <is>
          <t>10000722</t>
        </is>
      </c>
      <c r="E840" t="inlineStr"/>
      <c r="F840" s="11" t="n">
        <v>95</v>
      </c>
      <c r="G840" t="inlineStr"/>
      <c r="I840" t="inlineStr">
        <is>
          <t>TN</t>
        </is>
      </c>
      <c r="J840" t="inlineStr"/>
      <c r="K840" t="inlineStr">
        <is>
          <t>20190426</t>
        </is>
      </c>
      <c r="L840" t="inlineStr">
        <is>
          <t>20250127</t>
        </is>
      </c>
    </row>
    <row r="841">
      <c r="A841" t="inlineStr">
        <is>
          <t>900003592</t>
        </is>
      </c>
      <c r="B841" t="inlineStr">
        <is>
          <t>D836</t>
        </is>
      </c>
      <c r="C841" t="inlineStr">
        <is>
          <t>66239627</t>
        </is>
      </c>
      <c r="D841" t="inlineStr">
        <is>
          <t>10000722</t>
        </is>
      </c>
      <c r="E841" t="inlineStr"/>
      <c r="F841" s="11" t="n">
        <v>95</v>
      </c>
      <c r="G841" t="inlineStr"/>
      <c r="I841" t="inlineStr">
        <is>
          <t>TN</t>
        </is>
      </c>
      <c r="J841" t="inlineStr"/>
      <c r="K841" t="inlineStr">
        <is>
          <t>20190426</t>
        </is>
      </c>
      <c r="L841" t="inlineStr">
        <is>
          <t>20250127</t>
        </is>
      </c>
    </row>
    <row r="842">
      <c r="A842" t="inlineStr">
        <is>
          <t>900003592</t>
        </is>
      </c>
      <c r="B842" t="inlineStr">
        <is>
          <t>D836</t>
        </is>
      </c>
      <c r="C842" t="inlineStr">
        <is>
          <t>66239628</t>
        </is>
      </c>
      <c r="D842" t="inlineStr">
        <is>
          <t>10000722</t>
        </is>
      </c>
      <c r="E842" t="inlineStr"/>
      <c r="F842" s="11" t="n">
        <v>95</v>
      </c>
      <c r="G842" t="inlineStr"/>
      <c r="I842" t="inlineStr">
        <is>
          <t>TN</t>
        </is>
      </c>
      <c r="J842" t="inlineStr"/>
      <c r="K842" t="inlineStr">
        <is>
          <t>20190426</t>
        </is>
      </c>
      <c r="L842" t="inlineStr">
        <is>
          <t>20250127</t>
        </is>
      </c>
    </row>
    <row r="843">
      <c r="A843" t="inlineStr">
        <is>
          <t>900003592</t>
        </is>
      </c>
      <c r="B843" t="inlineStr">
        <is>
          <t>D836</t>
        </is>
      </c>
      <c r="C843" t="inlineStr">
        <is>
          <t>66243150</t>
        </is>
      </c>
      <c r="D843" t="inlineStr">
        <is>
          <t>10000722</t>
        </is>
      </c>
      <c r="E843" t="inlineStr"/>
      <c r="F843" s="11" t="n">
        <v>95</v>
      </c>
      <c r="G843" t="inlineStr"/>
      <c r="I843" t="inlineStr">
        <is>
          <t>TN</t>
        </is>
      </c>
      <c r="J843" t="inlineStr"/>
      <c r="K843" t="inlineStr">
        <is>
          <t>20190426</t>
        </is>
      </c>
      <c r="L843" t="inlineStr">
        <is>
          <t>20250127</t>
        </is>
      </c>
    </row>
    <row r="844">
      <c r="A844" t="inlineStr">
        <is>
          <t>900003592</t>
        </is>
      </c>
      <c r="B844" t="inlineStr">
        <is>
          <t>D836</t>
        </is>
      </c>
      <c r="C844" t="inlineStr">
        <is>
          <t>66272739</t>
        </is>
      </c>
      <c r="D844" t="inlineStr">
        <is>
          <t>10000623</t>
        </is>
      </c>
      <c r="E844" t="inlineStr"/>
      <c r="F844" s="11" t="n">
        <v>108.1</v>
      </c>
      <c r="G844" t="inlineStr"/>
      <c r="I844" t="inlineStr">
        <is>
          <t>TN</t>
        </is>
      </c>
      <c r="J844" t="inlineStr"/>
      <c r="K844" t="inlineStr">
        <is>
          <t>20190426</t>
        </is>
      </c>
      <c r="L844" t="inlineStr">
        <is>
          <t>20250127</t>
        </is>
      </c>
    </row>
    <row r="845">
      <c r="A845" t="inlineStr">
        <is>
          <t>900003592</t>
        </is>
      </c>
      <c r="B845" t="inlineStr">
        <is>
          <t>D836</t>
        </is>
      </c>
      <c r="C845" t="inlineStr">
        <is>
          <t>66272739</t>
        </is>
      </c>
      <c r="D845" t="inlineStr">
        <is>
          <t>10000624</t>
        </is>
      </c>
      <c r="E845" t="inlineStr"/>
      <c r="F845" s="11" t="n">
        <v>85</v>
      </c>
      <c r="G845" t="inlineStr"/>
      <c r="I845" t="inlineStr">
        <is>
          <t>TN</t>
        </is>
      </c>
      <c r="J845" t="inlineStr"/>
      <c r="K845" t="inlineStr">
        <is>
          <t>20190426</t>
        </is>
      </c>
      <c r="L845" t="inlineStr">
        <is>
          <t>20250127</t>
        </is>
      </c>
    </row>
    <row r="846">
      <c r="A846" t="inlineStr">
        <is>
          <t>900003592</t>
        </is>
      </c>
      <c r="B846" t="inlineStr">
        <is>
          <t>D836</t>
        </is>
      </c>
      <c r="C846" t="inlineStr">
        <is>
          <t>66272739</t>
        </is>
      </c>
      <c r="D846" t="inlineStr">
        <is>
          <t>10000722</t>
        </is>
      </c>
      <c r="E846" t="inlineStr"/>
      <c r="F846" s="11" t="n">
        <v>85</v>
      </c>
      <c r="G846" t="inlineStr"/>
      <c r="I846" t="inlineStr">
        <is>
          <t>TN</t>
        </is>
      </c>
      <c r="J846" t="inlineStr"/>
      <c r="K846" t="inlineStr">
        <is>
          <t>20190426</t>
        </is>
      </c>
      <c r="L846" t="inlineStr">
        <is>
          <t>20250127</t>
        </is>
      </c>
    </row>
    <row r="847">
      <c r="A847" t="inlineStr">
        <is>
          <t>900003592</t>
        </is>
      </c>
      <c r="B847" t="inlineStr">
        <is>
          <t>D836</t>
        </is>
      </c>
      <c r="C847" t="inlineStr">
        <is>
          <t>66289412</t>
        </is>
      </c>
      <c r="D847" t="inlineStr">
        <is>
          <t>10000722</t>
        </is>
      </c>
      <c r="E847" t="inlineStr"/>
      <c r="F847" s="11" t="n">
        <v>95</v>
      </c>
      <c r="G847" t="inlineStr"/>
      <c r="I847" t="inlineStr">
        <is>
          <t>TN</t>
        </is>
      </c>
      <c r="J847" t="inlineStr"/>
      <c r="K847" t="inlineStr">
        <is>
          <t>20190426</t>
        </is>
      </c>
      <c r="L847" t="inlineStr">
        <is>
          <t>20250127</t>
        </is>
      </c>
    </row>
    <row r="848">
      <c r="A848" t="inlineStr">
        <is>
          <t>900003592</t>
        </is>
      </c>
      <c r="B848" t="inlineStr">
        <is>
          <t>D836</t>
        </is>
      </c>
      <c r="C848" t="inlineStr">
        <is>
          <t>66289413</t>
        </is>
      </c>
      <c r="D848" t="inlineStr">
        <is>
          <t>10000722</t>
        </is>
      </c>
      <c r="E848" t="inlineStr"/>
      <c r="F848" s="11" t="n">
        <v>95</v>
      </c>
      <c r="G848" t="inlineStr"/>
      <c r="I848" t="inlineStr">
        <is>
          <t>TN</t>
        </is>
      </c>
      <c r="J848" t="inlineStr"/>
      <c r="K848" t="inlineStr">
        <is>
          <t>20190426</t>
        </is>
      </c>
      <c r="L848" t="inlineStr">
        <is>
          <t>20250127</t>
        </is>
      </c>
    </row>
    <row r="849">
      <c r="A849" t="inlineStr">
        <is>
          <t>900003592</t>
        </is>
      </c>
      <c r="B849" t="inlineStr">
        <is>
          <t>D836</t>
        </is>
      </c>
      <c r="C849" t="inlineStr">
        <is>
          <t>66310610</t>
        </is>
      </c>
      <c r="D849" t="inlineStr">
        <is>
          <t>10000623</t>
        </is>
      </c>
      <c r="E849" t="inlineStr"/>
      <c r="F849" s="11" t="n">
        <v>108.1</v>
      </c>
      <c r="G849" t="inlineStr"/>
      <c r="I849" t="inlineStr">
        <is>
          <t>TN</t>
        </is>
      </c>
      <c r="J849" t="inlineStr"/>
      <c r="K849" t="inlineStr">
        <is>
          <t>20190426</t>
        </is>
      </c>
      <c r="L849" t="inlineStr">
        <is>
          <t>20250127</t>
        </is>
      </c>
    </row>
    <row r="850">
      <c r="A850" t="inlineStr">
        <is>
          <t>900003592</t>
        </is>
      </c>
      <c r="B850" t="inlineStr">
        <is>
          <t>D836</t>
        </is>
      </c>
      <c r="C850" t="inlineStr">
        <is>
          <t>66310610</t>
        </is>
      </c>
      <c r="D850" t="inlineStr">
        <is>
          <t>10000722</t>
        </is>
      </c>
      <c r="E850" t="inlineStr"/>
      <c r="F850" s="11" t="n">
        <v>108.1</v>
      </c>
      <c r="G850" t="inlineStr"/>
      <c r="I850" t="inlineStr">
        <is>
          <t>TN</t>
        </is>
      </c>
      <c r="J850" t="inlineStr"/>
      <c r="K850" t="inlineStr">
        <is>
          <t>20190426</t>
        </is>
      </c>
      <c r="L850" t="inlineStr">
        <is>
          <t>20250127</t>
        </is>
      </c>
    </row>
    <row r="851">
      <c r="A851" t="inlineStr">
        <is>
          <t>900003592</t>
        </is>
      </c>
      <c r="B851" t="inlineStr">
        <is>
          <t>D836</t>
        </is>
      </c>
      <c r="C851" t="inlineStr">
        <is>
          <t>66338102</t>
        </is>
      </c>
      <c r="D851" t="inlineStr">
        <is>
          <t>10000630</t>
        </is>
      </c>
      <c r="E851" t="inlineStr"/>
      <c r="F851" s="11" t="n">
        <v>80</v>
      </c>
      <c r="G851" t="inlineStr"/>
      <c r="I851" t="inlineStr">
        <is>
          <t>TN</t>
        </is>
      </c>
      <c r="J851" t="inlineStr"/>
      <c r="K851" t="inlineStr">
        <is>
          <t>20190426</t>
        </is>
      </c>
      <c r="L851" t="inlineStr">
        <is>
          <t>20250127</t>
        </is>
      </c>
    </row>
    <row r="852">
      <c r="A852" t="inlineStr">
        <is>
          <t>900003592</t>
        </is>
      </c>
      <c r="B852" t="inlineStr">
        <is>
          <t>D836</t>
        </is>
      </c>
      <c r="C852" t="inlineStr">
        <is>
          <t>66351481</t>
        </is>
      </c>
      <c r="D852" t="inlineStr">
        <is>
          <t>10000722</t>
        </is>
      </c>
      <c r="E852" t="inlineStr"/>
      <c r="F852" s="11" t="n">
        <v>83.95</v>
      </c>
      <c r="G852" t="inlineStr"/>
      <c r="I852" t="inlineStr">
        <is>
          <t>TN</t>
        </is>
      </c>
      <c r="J852" t="inlineStr"/>
      <c r="K852" t="inlineStr">
        <is>
          <t>20190426</t>
        </is>
      </c>
      <c r="L852" t="inlineStr">
        <is>
          <t>20250127</t>
        </is>
      </c>
    </row>
    <row r="853">
      <c r="A853" t="inlineStr">
        <is>
          <t>900003592</t>
        </is>
      </c>
      <c r="B853" t="inlineStr">
        <is>
          <t>D836</t>
        </is>
      </c>
      <c r="C853" t="inlineStr">
        <is>
          <t>66352072</t>
        </is>
      </c>
      <c r="D853" t="inlineStr">
        <is>
          <t>10000624</t>
        </is>
      </c>
      <c r="E853" t="inlineStr"/>
      <c r="F853" s="11" t="n">
        <v>128.19</v>
      </c>
      <c r="G853" t="inlineStr"/>
      <c r="I853" t="inlineStr">
        <is>
          <t>TN</t>
        </is>
      </c>
      <c r="J853" t="inlineStr"/>
      <c r="K853" t="inlineStr">
        <is>
          <t>20190426</t>
        </is>
      </c>
      <c r="L853" t="inlineStr">
        <is>
          <t>20250127</t>
        </is>
      </c>
    </row>
    <row r="854">
      <c r="A854" t="inlineStr">
        <is>
          <t>900003592</t>
        </is>
      </c>
      <c r="B854" t="inlineStr">
        <is>
          <t>D836</t>
        </is>
      </c>
      <c r="C854" t="inlineStr">
        <is>
          <t>66352072</t>
        </is>
      </c>
      <c r="D854" t="inlineStr">
        <is>
          <t>10000722</t>
        </is>
      </c>
      <c r="E854" t="inlineStr"/>
      <c r="F854" s="11" t="n">
        <v>127.71</v>
      </c>
      <c r="G854" t="inlineStr"/>
      <c r="I854" t="inlineStr">
        <is>
          <t>TN</t>
        </is>
      </c>
      <c r="J854" t="inlineStr"/>
      <c r="K854" t="inlineStr">
        <is>
          <t>20190426</t>
        </is>
      </c>
      <c r="L854" t="inlineStr">
        <is>
          <t>20250127</t>
        </is>
      </c>
    </row>
    <row r="855">
      <c r="A855" t="inlineStr">
        <is>
          <t>900003592</t>
        </is>
      </c>
      <c r="B855" t="inlineStr">
        <is>
          <t>D836</t>
        </is>
      </c>
      <c r="C855" t="inlineStr">
        <is>
          <t>66394060</t>
        </is>
      </c>
      <c r="D855" t="inlineStr">
        <is>
          <t>10000722</t>
        </is>
      </c>
      <c r="E855" t="inlineStr"/>
      <c r="F855" s="11" t="n">
        <v>87</v>
      </c>
      <c r="G855" t="inlineStr"/>
      <c r="I855" t="inlineStr">
        <is>
          <t>TN</t>
        </is>
      </c>
      <c r="J855" t="inlineStr"/>
      <c r="K855" t="inlineStr">
        <is>
          <t>20190426</t>
        </is>
      </c>
      <c r="L855" t="inlineStr">
        <is>
          <t>20250127</t>
        </is>
      </c>
    </row>
    <row r="856">
      <c r="A856" t="inlineStr">
        <is>
          <t>900003592</t>
        </is>
      </c>
      <c r="B856" t="inlineStr">
        <is>
          <t>D836</t>
        </is>
      </c>
      <c r="C856" t="inlineStr">
        <is>
          <t>66399551</t>
        </is>
      </c>
      <c r="D856" t="inlineStr">
        <is>
          <t>10000623</t>
        </is>
      </c>
      <c r="E856" t="inlineStr"/>
      <c r="F856" s="11" t="n">
        <v>93</v>
      </c>
      <c r="G856" t="inlineStr"/>
      <c r="I856" t="inlineStr">
        <is>
          <t>TN</t>
        </is>
      </c>
      <c r="J856" t="inlineStr"/>
      <c r="K856" t="inlineStr">
        <is>
          <t>20190426</t>
        </is>
      </c>
      <c r="L856" t="inlineStr">
        <is>
          <t>20250127</t>
        </is>
      </c>
    </row>
    <row r="857">
      <c r="A857" t="inlineStr">
        <is>
          <t>900003592</t>
        </is>
      </c>
      <c r="B857" t="inlineStr">
        <is>
          <t>D836</t>
        </is>
      </c>
      <c r="C857" t="inlineStr">
        <is>
          <t>66399551</t>
        </is>
      </c>
      <c r="D857" t="inlineStr">
        <is>
          <t>10000624</t>
        </is>
      </c>
      <c r="E857" t="inlineStr"/>
      <c r="F857" s="11" t="n">
        <v>93</v>
      </c>
      <c r="G857" t="inlineStr"/>
      <c r="I857" t="inlineStr">
        <is>
          <t>TN</t>
        </is>
      </c>
      <c r="J857" t="inlineStr"/>
      <c r="K857" t="inlineStr">
        <is>
          <t>20190426</t>
        </is>
      </c>
      <c r="L857" t="inlineStr">
        <is>
          <t>20250127</t>
        </is>
      </c>
    </row>
    <row r="858">
      <c r="A858" t="inlineStr">
        <is>
          <t>900003592</t>
        </is>
      </c>
      <c r="B858" t="inlineStr">
        <is>
          <t>D836</t>
        </is>
      </c>
      <c r="C858" t="inlineStr">
        <is>
          <t>66399551</t>
        </is>
      </c>
      <c r="D858" t="inlineStr">
        <is>
          <t>10000722</t>
        </is>
      </c>
      <c r="E858" t="inlineStr"/>
      <c r="F858" s="11" t="n">
        <v>93</v>
      </c>
      <c r="G858" t="inlineStr"/>
      <c r="I858" t="inlineStr">
        <is>
          <t>TN</t>
        </is>
      </c>
      <c r="J858" t="inlineStr"/>
      <c r="K858" t="inlineStr">
        <is>
          <t>20190426</t>
        </is>
      </c>
      <c r="L858" t="inlineStr">
        <is>
          <t>20250127</t>
        </is>
      </c>
    </row>
    <row r="859">
      <c r="A859" t="inlineStr">
        <is>
          <t>900003592</t>
        </is>
      </c>
      <c r="B859" t="inlineStr">
        <is>
          <t>D836</t>
        </is>
      </c>
      <c r="C859" t="inlineStr">
        <is>
          <t>66399586</t>
        </is>
      </c>
      <c r="D859" t="inlineStr">
        <is>
          <t>10000722</t>
        </is>
      </c>
      <c r="E859" t="inlineStr"/>
      <c r="F859" s="11" t="n">
        <v>83</v>
      </c>
      <c r="G859" t="inlineStr"/>
      <c r="I859" t="inlineStr">
        <is>
          <t>TN</t>
        </is>
      </c>
      <c r="J859" t="inlineStr"/>
      <c r="K859" t="inlineStr">
        <is>
          <t>20190426</t>
        </is>
      </c>
      <c r="L859" t="inlineStr">
        <is>
          <t>20250127</t>
        </is>
      </c>
    </row>
    <row r="860">
      <c r="A860" t="inlineStr">
        <is>
          <t>900003592</t>
        </is>
      </c>
      <c r="B860" t="inlineStr">
        <is>
          <t>D836</t>
        </is>
      </c>
      <c r="C860" t="inlineStr">
        <is>
          <t>66400651</t>
        </is>
      </c>
      <c r="D860" t="inlineStr">
        <is>
          <t>10000624</t>
        </is>
      </c>
      <c r="E860" t="inlineStr"/>
      <c r="F860" s="11" t="n">
        <v>97</v>
      </c>
      <c r="G860" t="inlineStr"/>
      <c r="I860" t="inlineStr">
        <is>
          <t>TN</t>
        </is>
      </c>
      <c r="J860" t="inlineStr"/>
      <c r="K860" t="inlineStr">
        <is>
          <t>20190426</t>
        </is>
      </c>
      <c r="L860" t="inlineStr">
        <is>
          <t>20250127</t>
        </is>
      </c>
    </row>
    <row r="861">
      <c r="A861" t="inlineStr">
        <is>
          <t>900003592</t>
        </is>
      </c>
      <c r="B861" t="inlineStr">
        <is>
          <t>D836</t>
        </is>
      </c>
      <c r="C861" t="inlineStr">
        <is>
          <t>66400667</t>
        </is>
      </c>
      <c r="D861" t="inlineStr">
        <is>
          <t>10000722</t>
        </is>
      </c>
      <c r="E861" t="inlineStr"/>
      <c r="F861" s="11" t="n">
        <v>97</v>
      </c>
      <c r="G861" t="inlineStr"/>
      <c r="I861" t="inlineStr">
        <is>
          <t>TN</t>
        </is>
      </c>
      <c r="J861" t="inlineStr"/>
      <c r="K861" t="inlineStr">
        <is>
          <t>20190426</t>
        </is>
      </c>
      <c r="L861" t="inlineStr">
        <is>
          <t>20250127</t>
        </is>
      </c>
    </row>
    <row r="862">
      <c r="A862" t="inlineStr">
        <is>
          <t>900003592</t>
        </is>
      </c>
      <c r="B862" t="inlineStr">
        <is>
          <t>D836</t>
        </is>
      </c>
      <c r="C862" t="inlineStr">
        <is>
          <t>66403188</t>
        </is>
      </c>
      <c r="D862" t="inlineStr">
        <is>
          <t>10000630</t>
        </is>
      </c>
      <c r="E862" t="inlineStr"/>
      <c r="F862" s="11" t="n">
        <v>80</v>
      </c>
      <c r="G862" t="inlineStr"/>
      <c r="I862" t="inlineStr">
        <is>
          <t>TN</t>
        </is>
      </c>
      <c r="J862" t="inlineStr"/>
      <c r="K862" t="inlineStr">
        <is>
          <t>20190426</t>
        </is>
      </c>
      <c r="L862" t="inlineStr">
        <is>
          <t>20250127</t>
        </is>
      </c>
    </row>
    <row r="863">
      <c r="A863" t="inlineStr">
        <is>
          <t>900003592</t>
        </is>
      </c>
      <c r="B863" t="inlineStr">
        <is>
          <t>D836</t>
        </is>
      </c>
      <c r="C863" t="inlineStr">
        <is>
          <t>66403188</t>
        </is>
      </c>
      <c r="D863" t="inlineStr">
        <is>
          <t>10000722</t>
        </is>
      </c>
      <c r="E863" t="inlineStr"/>
      <c r="F863" s="11" t="n">
        <v>80</v>
      </c>
      <c r="G863" t="inlineStr"/>
      <c r="I863" t="inlineStr">
        <is>
          <t>TN</t>
        </is>
      </c>
      <c r="J863" t="inlineStr"/>
      <c r="K863" t="inlineStr">
        <is>
          <t>20190426</t>
        </is>
      </c>
      <c r="L863" t="inlineStr">
        <is>
          <t>20250127</t>
        </is>
      </c>
    </row>
    <row r="864">
      <c r="A864" t="inlineStr">
        <is>
          <t>900003592</t>
        </is>
      </c>
      <c r="B864" t="inlineStr">
        <is>
          <t>D836</t>
        </is>
      </c>
      <c r="C864" t="inlineStr">
        <is>
          <t>66414377</t>
        </is>
      </c>
      <c r="D864" t="inlineStr">
        <is>
          <t>10000630</t>
        </is>
      </c>
      <c r="E864" t="inlineStr"/>
      <c r="F864" s="11" t="n">
        <v>77</v>
      </c>
      <c r="G864" t="inlineStr"/>
      <c r="I864" t="inlineStr">
        <is>
          <t>TN</t>
        </is>
      </c>
      <c r="J864" t="inlineStr"/>
      <c r="K864" t="inlineStr">
        <is>
          <t>20190426</t>
        </is>
      </c>
      <c r="L864" t="inlineStr">
        <is>
          <t>20250127</t>
        </is>
      </c>
    </row>
    <row r="865">
      <c r="A865" t="inlineStr">
        <is>
          <t>900003592</t>
        </is>
      </c>
      <c r="B865" t="inlineStr">
        <is>
          <t>D836</t>
        </is>
      </c>
      <c r="C865" t="inlineStr">
        <is>
          <t>66414377</t>
        </is>
      </c>
      <c r="D865" t="inlineStr">
        <is>
          <t>10000722</t>
        </is>
      </c>
      <c r="E865" t="inlineStr"/>
      <c r="F865" s="11" t="n">
        <v>77</v>
      </c>
      <c r="G865" t="inlineStr"/>
      <c r="I865" t="inlineStr">
        <is>
          <t>TN</t>
        </is>
      </c>
      <c r="J865" t="inlineStr"/>
      <c r="K865" t="inlineStr">
        <is>
          <t>20190426</t>
        </is>
      </c>
      <c r="L865" t="inlineStr">
        <is>
          <t>20250127</t>
        </is>
      </c>
    </row>
    <row r="866">
      <c r="A866" t="inlineStr">
        <is>
          <t>900003592</t>
        </is>
      </c>
      <c r="B866" t="inlineStr">
        <is>
          <t>D836</t>
        </is>
      </c>
      <c r="C866" t="inlineStr">
        <is>
          <t>66415270</t>
        </is>
      </c>
      <c r="D866" t="inlineStr">
        <is>
          <t>10000630</t>
        </is>
      </c>
      <c r="E866" t="inlineStr"/>
      <c r="F866" s="11" t="n">
        <v>77</v>
      </c>
      <c r="G866" t="inlineStr"/>
      <c r="I866" t="inlineStr">
        <is>
          <t>TN</t>
        </is>
      </c>
      <c r="J866" t="inlineStr"/>
      <c r="K866" t="inlineStr">
        <is>
          <t>20190426</t>
        </is>
      </c>
      <c r="L866" t="inlineStr">
        <is>
          <t>20250127</t>
        </is>
      </c>
    </row>
    <row r="867">
      <c r="A867" t="inlineStr">
        <is>
          <t>900003592</t>
        </is>
      </c>
      <c r="B867" t="inlineStr">
        <is>
          <t>D836</t>
        </is>
      </c>
      <c r="C867" t="inlineStr">
        <is>
          <t>66415270</t>
        </is>
      </c>
      <c r="D867" t="inlineStr">
        <is>
          <t>10000722</t>
        </is>
      </c>
      <c r="E867" t="inlineStr"/>
      <c r="F867" s="11" t="n">
        <v>77</v>
      </c>
      <c r="G867" t="inlineStr"/>
      <c r="I867" t="inlineStr">
        <is>
          <t>TN</t>
        </is>
      </c>
      <c r="J867" t="inlineStr"/>
      <c r="K867" t="inlineStr">
        <is>
          <t>20190426</t>
        </is>
      </c>
      <c r="L867" t="inlineStr">
        <is>
          <t>20250127</t>
        </is>
      </c>
    </row>
    <row r="868">
      <c r="A868" t="inlineStr">
        <is>
          <t>900003592</t>
        </is>
      </c>
      <c r="B868" t="inlineStr">
        <is>
          <t>D836</t>
        </is>
      </c>
      <c r="C868" t="inlineStr">
        <is>
          <t>66433509</t>
        </is>
      </c>
      <c r="D868" t="inlineStr">
        <is>
          <t>10000722</t>
        </is>
      </c>
      <c r="E868" t="inlineStr"/>
      <c r="F868" s="11" t="n">
        <v>77</v>
      </c>
      <c r="G868" t="inlineStr"/>
      <c r="I868" t="inlineStr">
        <is>
          <t>TN</t>
        </is>
      </c>
      <c r="J868" t="inlineStr"/>
      <c r="K868" t="inlineStr">
        <is>
          <t>20190426</t>
        </is>
      </c>
      <c r="L868" t="inlineStr">
        <is>
          <t>20250127</t>
        </is>
      </c>
    </row>
    <row r="869">
      <c r="A869" t="inlineStr">
        <is>
          <t>900003592</t>
        </is>
      </c>
      <c r="B869" t="inlineStr">
        <is>
          <t>D836</t>
        </is>
      </c>
      <c r="C869" t="inlineStr">
        <is>
          <t>66440645</t>
        </is>
      </c>
      <c r="D869" t="inlineStr">
        <is>
          <t>10000722</t>
        </is>
      </c>
      <c r="E869" t="inlineStr"/>
      <c r="F869" s="11" t="n">
        <v>95</v>
      </c>
      <c r="G869" t="inlineStr"/>
      <c r="I869" t="inlineStr">
        <is>
          <t>TN</t>
        </is>
      </c>
      <c r="J869" t="inlineStr"/>
      <c r="K869" t="inlineStr">
        <is>
          <t>20190426</t>
        </is>
      </c>
      <c r="L869" t="inlineStr">
        <is>
          <t>20250127</t>
        </is>
      </c>
    </row>
    <row r="870">
      <c r="A870" t="inlineStr">
        <is>
          <t>900003592</t>
        </is>
      </c>
      <c r="B870" t="inlineStr">
        <is>
          <t>D836</t>
        </is>
      </c>
      <c r="C870" t="inlineStr">
        <is>
          <t>66442116</t>
        </is>
      </c>
      <c r="D870" t="inlineStr">
        <is>
          <t>10000624</t>
        </is>
      </c>
      <c r="E870" t="inlineStr"/>
      <c r="F870" s="11" t="n">
        <v>85</v>
      </c>
      <c r="G870" t="inlineStr"/>
      <c r="I870" t="inlineStr">
        <is>
          <t>TN</t>
        </is>
      </c>
      <c r="J870" t="inlineStr"/>
      <c r="K870" t="inlineStr">
        <is>
          <t>20190426</t>
        </is>
      </c>
      <c r="L870" t="inlineStr">
        <is>
          <t>20250127</t>
        </is>
      </c>
    </row>
    <row r="871">
      <c r="A871" t="inlineStr">
        <is>
          <t>900003592</t>
        </is>
      </c>
      <c r="B871" t="inlineStr">
        <is>
          <t>D836</t>
        </is>
      </c>
      <c r="C871" t="inlineStr">
        <is>
          <t>66442116</t>
        </is>
      </c>
      <c r="D871" t="inlineStr">
        <is>
          <t>10000722</t>
        </is>
      </c>
      <c r="E871" t="inlineStr"/>
      <c r="F871" s="11" t="n">
        <v>85</v>
      </c>
      <c r="G871" t="inlineStr"/>
      <c r="I871" t="inlineStr">
        <is>
          <t>TN</t>
        </is>
      </c>
      <c r="J871" t="inlineStr"/>
      <c r="K871" t="inlineStr">
        <is>
          <t>20190426</t>
        </is>
      </c>
      <c r="L871" t="inlineStr">
        <is>
          <t>20250127</t>
        </is>
      </c>
    </row>
    <row r="872">
      <c r="A872" t="inlineStr">
        <is>
          <t>900003592</t>
        </is>
      </c>
      <c r="B872" t="inlineStr">
        <is>
          <t>D836</t>
        </is>
      </c>
      <c r="C872" t="inlineStr">
        <is>
          <t>66442244</t>
        </is>
      </c>
      <c r="D872" t="inlineStr">
        <is>
          <t>10000722</t>
        </is>
      </c>
      <c r="E872" t="inlineStr"/>
      <c r="F872" s="11" t="n">
        <v>108.12</v>
      </c>
      <c r="G872" t="inlineStr"/>
      <c r="I872" t="inlineStr">
        <is>
          <t>TN</t>
        </is>
      </c>
      <c r="J872" t="inlineStr"/>
      <c r="K872" t="inlineStr">
        <is>
          <t>20190426</t>
        </is>
      </c>
      <c r="L872" t="inlineStr">
        <is>
          <t>20250127</t>
        </is>
      </c>
    </row>
    <row r="873">
      <c r="A873" t="inlineStr">
        <is>
          <t>900003592</t>
        </is>
      </c>
      <c r="B873" t="inlineStr">
        <is>
          <t>D836</t>
        </is>
      </c>
      <c r="C873" t="inlineStr">
        <is>
          <t>66450072</t>
        </is>
      </c>
      <c r="D873" t="inlineStr">
        <is>
          <t>10000722</t>
        </is>
      </c>
      <c r="E873" t="inlineStr"/>
      <c r="F873" s="11" t="n">
        <v>78</v>
      </c>
      <c r="G873" t="inlineStr"/>
      <c r="I873" t="inlineStr">
        <is>
          <t>TN</t>
        </is>
      </c>
      <c r="J873" t="inlineStr"/>
      <c r="K873" t="inlineStr">
        <is>
          <t>20190426</t>
        </is>
      </c>
      <c r="L873" t="inlineStr">
        <is>
          <t>20250127</t>
        </is>
      </c>
    </row>
    <row r="874">
      <c r="A874" t="inlineStr">
        <is>
          <t>900003592</t>
        </is>
      </c>
      <c r="B874" t="inlineStr">
        <is>
          <t>D836</t>
        </is>
      </c>
      <c r="C874" t="inlineStr">
        <is>
          <t>66465268</t>
        </is>
      </c>
      <c r="D874" t="inlineStr">
        <is>
          <t>10000722</t>
        </is>
      </c>
      <c r="E874" t="inlineStr"/>
      <c r="F874" s="11" t="n">
        <v>93.3</v>
      </c>
      <c r="G874" t="inlineStr"/>
      <c r="I874" t="inlineStr">
        <is>
          <t>TN</t>
        </is>
      </c>
      <c r="J874" t="inlineStr"/>
      <c r="K874" t="inlineStr">
        <is>
          <t>20190426</t>
        </is>
      </c>
      <c r="L874" t="inlineStr">
        <is>
          <t>20250127</t>
        </is>
      </c>
    </row>
    <row r="875">
      <c r="A875" t="inlineStr">
        <is>
          <t>900003592</t>
        </is>
      </c>
      <c r="B875" t="inlineStr">
        <is>
          <t>D836</t>
        </is>
      </c>
      <c r="C875" t="inlineStr">
        <is>
          <t>66475158</t>
        </is>
      </c>
      <c r="D875" t="inlineStr">
        <is>
          <t>10000722</t>
        </is>
      </c>
      <c r="E875" t="inlineStr"/>
      <c r="F875" s="11" t="n">
        <v>95</v>
      </c>
      <c r="G875" t="inlineStr"/>
      <c r="I875" t="inlineStr">
        <is>
          <t>TN</t>
        </is>
      </c>
      <c r="J875" t="inlineStr"/>
      <c r="K875" t="inlineStr">
        <is>
          <t>20190426</t>
        </is>
      </c>
      <c r="L875" t="inlineStr">
        <is>
          <t>20250127</t>
        </is>
      </c>
    </row>
    <row r="876">
      <c r="A876" t="inlineStr">
        <is>
          <t>900003592</t>
        </is>
      </c>
      <c r="B876" t="inlineStr">
        <is>
          <t>D836</t>
        </is>
      </c>
      <c r="C876" t="inlineStr">
        <is>
          <t>66482104</t>
        </is>
      </c>
      <c r="D876" t="inlineStr">
        <is>
          <t>10000722</t>
        </is>
      </c>
      <c r="E876" t="inlineStr"/>
      <c r="F876" s="11" t="n">
        <v>95</v>
      </c>
      <c r="G876" t="inlineStr"/>
      <c r="I876" t="inlineStr">
        <is>
          <t>TN</t>
        </is>
      </c>
      <c r="J876" t="inlineStr"/>
      <c r="K876" t="inlineStr">
        <is>
          <t>20190426</t>
        </is>
      </c>
      <c r="L876" t="inlineStr">
        <is>
          <t>20250127</t>
        </is>
      </c>
    </row>
    <row r="877">
      <c r="A877" t="inlineStr">
        <is>
          <t>900003592</t>
        </is>
      </c>
      <c r="B877" t="inlineStr">
        <is>
          <t>D836</t>
        </is>
      </c>
      <c r="C877" t="inlineStr">
        <is>
          <t>66482288</t>
        </is>
      </c>
      <c r="D877" t="inlineStr">
        <is>
          <t>10000722</t>
        </is>
      </c>
      <c r="E877" t="inlineStr"/>
      <c r="F877" s="11" t="n">
        <v>95</v>
      </c>
      <c r="G877" t="inlineStr"/>
      <c r="I877" t="inlineStr">
        <is>
          <t>TN</t>
        </is>
      </c>
      <c r="J877" t="inlineStr"/>
      <c r="K877" t="inlineStr">
        <is>
          <t>20190426</t>
        </is>
      </c>
      <c r="L877" t="inlineStr">
        <is>
          <t>20250127</t>
        </is>
      </c>
    </row>
    <row r="878">
      <c r="A878" t="inlineStr">
        <is>
          <t>900003592</t>
        </is>
      </c>
      <c r="B878" t="inlineStr">
        <is>
          <t>D836</t>
        </is>
      </c>
      <c r="C878" t="inlineStr">
        <is>
          <t>66482289</t>
        </is>
      </c>
      <c r="D878" t="inlineStr">
        <is>
          <t>10000722</t>
        </is>
      </c>
      <c r="E878" t="inlineStr"/>
      <c r="F878" s="11" t="n">
        <v>95</v>
      </c>
      <c r="G878" t="inlineStr"/>
      <c r="I878" t="inlineStr">
        <is>
          <t>TN</t>
        </is>
      </c>
      <c r="J878" t="inlineStr"/>
      <c r="K878" t="inlineStr">
        <is>
          <t>20190426</t>
        </is>
      </c>
      <c r="L878" t="inlineStr">
        <is>
          <t>20250127</t>
        </is>
      </c>
    </row>
    <row r="879">
      <c r="A879" t="inlineStr">
        <is>
          <t>900003592</t>
        </is>
      </c>
      <c r="B879" t="inlineStr">
        <is>
          <t>D836</t>
        </is>
      </c>
      <c r="C879" t="inlineStr">
        <is>
          <t>66518013</t>
        </is>
      </c>
      <c r="D879" t="inlineStr">
        <is>
          <t>10000624</t>
        </is>
      </c>
      <c r="E879" t="inlineStr"/>
      <c r="F879" s="11" t="n">
        <v>95</v>
      </c>
      <c r="G879" t="inlineStr"/>
      <c r="I879" t="inlineStr">
        <is>
          <t>TN</t>
        </is>
      </c>
      <c r="J879" t="inlineStr"/>
      <c r="K879" t="inlineStr">
        <is>
          <t>20190426</t>
        </is>
      </c>
      <c r="L879" t="inlineStr">
        <is>
          <t>20250127</t>
        </is>
      </c>
    </row>
    <row r="880">
      <c r="A880" t="inlineStr">
        <is>
          <t>900003592</t>
        </is>
      </c>
      <c r="B880" t="inlineStr">
        <is>
          <t>D836</t>
        </is>
      </c>
      <c r="C880" t="inlineStr">
        <is>
          <t>66518013</t>
        </is>
      </c>
      <c r="D880" t="inlineStr">
        <is>
          <t>10000722</t>
        </is>
      </c>
      <c r="E880" t="inlineStr"/>
      <c r="F880" s="11" t="n">
        <v>95</v>
      </c>
      <c r="G880" t="inlineStr"/>
      <c r="I880" t="inlineStr">
        <is>
          <t>TN</t>
        </is>
      </c>
      <c r="J880" t="inlineStr"/>
      <c r="K880" t="inlineStr">
        <is>
          <t>20190426</t>
        </is>
      </c>
      <c r="L880" t="inlineStr">
        <is>
          <t>20250127</t>
        </is>
      </c>
    </row>
    <row r="881">
      <c r="A881" t="inlineStr">
        <is>
          <t>900003592</t>
        </is>
      </c>
      <c r="B881" t="inlineStr">
        <is>
          <t>D836</t>
        </is>
      </c>
      <c r="C881" t="inlineStr">
        <is>
          <t>66520007</t>
        </is>
      </c>
      <c r="D881" t="inlineStr">
        <is>
          <t>10000624</t>
        </is>
      </c>
      <c r="E881" t="inlineStr"/>
      <c r="F881" s="11" t="n">
        <v>110</v>
      </c>
      <c r="G881" t="inlineStr"/>
      <c r="I881" t="inlineStr">
        <is>
          <t>TN</t>
        </is>
      </c>
      <c r="J881" t="inlineStr"/>
      <c r="K881" t="inlineStr">
        <is>
          <t>20190426</t>
        </is>
      </c>
      <c r="L881" t="inlineStr">
        <is>
          <t>20250127</t>
        </is>
      </c>
    </row>
    <row r="882">
      <c r="A882" t="inlineStr">
        <is>
          <t>900003592</t>
        </is>
      </c>
      <c r="B882" t="inlineStr">
        <is>
          <t>D836</t>
        </is>
      </c>
      <c r="C882" t="inlineStr">
        <is>
          <t>66520007</t>
        </is>
      </c>
      <c r="D882" t="inlineStr">
        <is>
          <t>10000722</t>
        </is>
      </c>
      <c r="E882" t="inlineStr"/>
      <c r="F882" s="11" t="n">
        <v>110</v>
      </c>
      <c r="G882" t="inlineStr"/>
      <c r="I882" t="inlineStr">
        <is>
          <t>TN</t>
        </is>
      </c>
      <c r="J882" t="inlineStr"/>
      <c r="K882" t="inlineStr">
        <is>
          <t>20190426</t>
        </is>
      </c>
      <c r="L882" t="inlineStr">
        <is>
          <t>20250127</t>
        </is>
      </c>
    </row>
    <row r="883">
      <c r="A883" t="inlineStr">
        <is>
          <t>900003592</t>
        </is>
      </c>
      <c r="B883" t="inlineStr">
        <is>
          <t>D836</t>
        </is>
      </c>
      <c r="C883" t="inlineStr">
        <is>
          <t>66624554</t>
        </is>
      </c>
      <c r="D883" t="inlineStr">
        <is>
          <t>10000624</t>
        </is>
      </c>
      <c r="E883" t="inlineStr"/>
      <c r="F883" s="11" t="n">
        <v>95</v>
      </c>
      <c r="G883" t="inlineStr"/>
      <c r="I883" t="inlineStr">
        <is>
          <t>TN</t>
        </is>
      </c>
      <c r="J883" t="inlineStr"/>
      <c r="K883" t="inlineStr">
        <is>
          <t>20190426</t>
        </is>
      </c>
      <c r="L883" t="inlineStr">
        <is>
          <t>20250127</t>
        </is>
      </c>
    </row>
    <row r="884">
      <c r="A884" t="inlineStr">
        <is>
          <t>900003592</t>
        </is>
      </c>
      <c r="B884" t="inlineStr">
        <is>
          <t>D836</t>
        </is>
      </c>
      <c r="C884" t="inlineStr">
        <is>
          <t>66624554</t>
        </is>
      </c>
      <c r="D884" t="inlineStr">
        <is>
          <t>10000722</t>
        </is>
      </c>
      <c r="E884" t="inlineStr"/>
      <c r="F884" s="11" t="n">
        <v>95</v>
      </c>
      <c r="G884" t="inlineStr"/>
      <c r="I884" t="inlineStr">
        <is>
          <t>TN</t>
        </is>
      </c>
      <c r="J884" t="inlineStr"/>
      <c r="K884" t="inlineStr">
        <is>
          <t>20190426</t>
        </is>
      </c>
      <c r="L884" t="inlineStr">
        <is>
          <t>20250127</t>
        </is>
      </c>
    </row>
    <row r="885">
      <c r="A885" t="inlineStr">
        <is>
          <t>900003592</t>
        </is>
      </c>
      <c r="B885" t="inlineStr">
        <is>
          <t>D836</t>
        </is>
      </c>
      <c r="C885" t="inlineStr">
        <is>
          <t>67036341</t>
        </is>
      </c>
      <c r="D885" t="inlineStr">
        <is>
          <t>10000133</t>
        </is>
      </c>
      <c r="E885" t="inlineStr"/>
      <c r="F885" s="11" t="n">
        <v>79</v>
      </c>
      <c r="G885" t="inlineStr"/>
      <c r="I885" t="inlineStr">
        <is>
          <t>TN</t>
        </is>
      </c>
      <c r="J885" t="inlineStr"/>
      <c r="K885" t="inlineStr">
        <is>
          <t>20190426</t>
        </is>
      </c>
      <c r="L885" t="inlineStr">
        <is>
          <t>20250127</t>
        </is>
      </c>
    </row>
    <row r="886">
      <c r="A886" t="inlineStr">
        <is>
          <t>900003592</t>
        </is>
      </c>
      <c r="B886" t="inlineStr">
        <is>
          <t>D836</t>
        </is>
      </c>
      <c r="C886" t="inlineStr">
        <is>
          <t>67036341</t>
        </is>
      </c>
      <c r="D886" t="inlineStr">
        <is>
          <t>10184010</t>
        </is>
      </c>
      <c r="E886" t="inlineStr"/>
      <c r="F886" s="11" t="n">
        <v>81</v>
      </c>
      <c r="G886" t="inlineStr"/>
      <c r="I886" t="inlineStr">
        <is>
          <t>TN</t>
        </is>
      </c>
      <c r="J886" t="inlineStr"/>
      <c r="K886" t="inlineStr">
        <is>
          <t>20190426</t>
        </is>
      </c>
      <c r="L886" t="inlineStr">
        <is>
          <t>20250127</t>
        </is>
      </c>
    </row>
    <row r="887">
      <c r="A887" t="inlineStr">
        <is>
          <t>900003592</t>
        </is>
      </c>
      <c r="B887" t="inlineStr">
        <is>
          <t>D836</t>
        </is>
      </c>
      <c r="C887" t="inlineStr">
        <is>
          <t>67089577</t>
        </is>
      </c>
      <c r="D887" t="inlineStr">
        <is>
          <t>10000133</t>
        </is>
      </c>
      <c r="E887" t="inlineStr"/>
      <c r="F887" s="11" t="n">
        <v>73.5</v>
      </c>
      <c r="G887" t="inlineStr"/>
      <c r="I887" t="inlineStr">
        <is>
          <t>TN</t>
        </is>
      </c>
      <c r="J887" t="inlineStr"/>
      <c r="K887" t="inlineStr">
        <is>
          <t>20190426</t>
        </is>
      </c>
      <c r="L887" t="inlineStr">
        <is>
          <t>20250127</t>
        </is>
      </c>
    </row>
    <row r="888">
      <c r="A888" t="inlineStr">
        <is>
          <t>900003592</t>
        </is>
      </c>
      <c r="B888" t="inlineStr">
        <is>
          <t>D836</t>
        </is>
      </c>
      <c r="C888" t="inlineStr">
        <is>
          <t>67090525</t>
        </is>
      </c>
      <c r="D888" t="inlineStr">
        <is>
          <t>10000133</t>
        </is>
      </c>
      <c r="E888" t="inlineStr"/>
      <c r="F888" s="11" t="n">
        <v>77</v>
      </c>
      <c r="G888" t="inlineStr"/>
      <c r="I888" t="inlineStr">
        <is>
          <t>TN</t>
        </is>
      </c>
      <c r="J888" t="inlineStr"/>
      <c r="K888" t="inlineStr">
        <is>
          <t>20190426</t>
        </is>
      </c>
      <c r="L888" t="inlineStr">
        <is>
          <t>20250127</t>
        </is>
      </c>
    </row>
    <row r="889">
      <c r="A889" t="inlineStr">
        <is>
          <t>900003593</t>
        </is>
      </c>
      <c r="B889" t="inlineStr">
        <is>
          <t>D836</t>
        </is>
      </c>
      <c r="C889" t="inlineStr">
        <is>
          <t>65006122</t>
        </is>
      </c>
      <c r="D889" t="inlineStr">
        <is>
          <t>10000160</t>
        </is>
      </c>
      <c r="E889" t="inlineStr"/>
      <c r="F889" s="11" t="n">
        <v>82.89</v>
      </c>
      <c r="G889" t="inlineStr"/>
      <c r="I889" t="inlineStr">
        <is>
          <t>M3</t>
        </is>
      </c>
      <c r="J889" t="inlineStr"/>
      <c r="K889" t="inlineStr">
        <is>
          <t>20190426</t>
        </is>
      </c>
      <c r="L889" t="inlineStr">
        <is>
          <t>20250127</t>
        </is>
      </c>
    </row>
    <row r="890">
      <c r="A890" t="inlineStr">
        <is>
          <t>900003593</t>
        </is>
      </c>
      <c r="B890" t="inlineStr">
        <is>
          <t>D836</t>
        </is>
      </c>
      <c r="C890" t="inlineStr">
        <is>
          <t>65006122</t>
        </is>
      </c>
      <c r="D890" t="inlineStr">
        <is>
          <t>10000252</t>
        </is>
      </c>
      <c r="E890" t="inlineStr"/>
      <c r="F890" s="11" t="n">
        <v>83.67</v>
      </c>
      <c r="G890" t="inlineStr"/>
      <c r="I890" t="inlineStr">
        <is>
          <t>M3</t>
        </is>
      </c>
      <c r="J890" t="inlineStr"/>
      <c r="K890" t="inlineStr">
        <is>
          <t>20190426</t>
        </is>
      </c>
      <c r="L890" t="inlineStr">
        <is>
          <t>20250127</t>
        </is>
      </c>
    </row>
    <row r="891">
      <c r="A891" t="inlineStr">
        <is>
          <t>900003593</t>
        </is>
      </c>
      <c r="B891" t="inlineStr">
        <is>
          <t>D836</t>
        </is>
      </c>
      <c r="C891" t="inlineStr">
        <is>
          <t>65006122</t>
        </is>
      </c>
      <c r="D891" t="inlineStr">
        <is>
          <t>10000322</t>
        </is>
      </c>
      <c r="E891" t="inlineStr"/>
      <c r="F891" s="11" t="n">
        <v>20.83</v>
      </c>
      <c r="G891" t="inlineStr"/>
      <c r="I891" t="inlineStr">
        <is>
          <t>M3</t>
        </is>
      </c>
      <c r="J891" t="inlineStr"/>
      <c r="K891" t="inlineStr">
        <is>
          <t>20190426</t>
        </is>
      </c>
      <c r="L891" t="inlineStr">
        <is>
          <t>20250127</t>
        </is>
      </c>
    </row>
    <row r="892">
      <c r="A892" t="inlineStr">
        <is>
          <t>900003593</t>
        </is>
      </c>
      <c r="B892" t="inlineStr">
        <is>
          <t>D836</t>
        </is>
      </c>
      <c r="C892" t="inlineStr">
        <is>
          <t>65006122</t>
        </is>
      </c>
      <c r="D892" t="inlineStr">
        <is>
          <t>10000357</t>
        </is>
      </c>
      <c r="E892" t="inlineStr"/>
      <c r="F892" s="11" t="n">
        <v>87.31</v>
      </c>
      <c r="G892" t="inlineStr"/>
      <c r="I892" t="inlineStr">
        <is>
          <t>M3</t>
        </is>
      </c>
      <c r="J892" t="inlineStr"/>
      <c r="K892" t="inlineStr">
        <is>
          <t>20190426</t>
        </is>
      </c>
      <c r="L892" t="inlineStr">
        <is>
          <t>20250127</t>
        </is>
      </c>
    </row>
    <row r="893">
      <c r="A893" t="inlineStr">
        <is>
          <t>900003593</t>
        </is>
      </c>
      <c r="B893" t="inlineStr">
        <is>
          <t>D836</t>
        </is>
      </c>
      <c r="C893" t="inlineStr">
        <is>
          <t>65006122</t>
        </is>
      </c>
      <c r="D893" t="inlineStr">
        <is>
          <t>10000651</t>
        </is>
      </c>
      <c r="E893" t="inlineStr"/>
      <c r="F893" s="11" t="n">
        <v>86.25</v>
      </c>
      <c r="G893" t="inlineStr"/>
      <c r="I893" t="inlineStr">
        <is>
          <t>M3</t>
        </is>
      </c>
      <c r="J893" t="inlineStr"/>
      <c r="K893" t="inlineStr">
        <is>
          <t>20190426</t>
        </is>
      </c>
      <c r="L893" t="inlineStr">
        <is>
          <t>20250127</t>
        </is>
      </c>
    </row>
    <row r="894">
      <c r="A894" t="inlineStr">
        <is>
          <t>900003593</t>
        </is>
      </c>
      <c r="B894" t="inlineStr">
        <is>
          <t>D836</t>
        </is>
      </c>
      <c r="C894" t="inlineStr">
        <is>
          <t>65006122</t>
        </is>
      </c>
      <c r="D894" t="inlineStr">
        <is>
          <t>10003132</t>
        </is>
      </c>
      <c r="E894" t="inlineStr"/>
      <c r="F894" s="11" t="n">
        <v>79.34999999999999</v>
      </c>
      <c r="G894" t="inlineStr"/>
      <c r="I894" t="inlineStr">
        <is>
          <t>M3</t>
        </is>
      </c>
      <c r="J894" t="inlineStr"/>
      <c r="K894" t="inlineStr">
        <is>
          <t>20190426</t>
        </is>
      </c>
      <c r="L894" t="inlineStr">
        <is>
          <t>20250127</t>
        </is>
      </c>
    </row>
    <row r="895">
      <c r="A895" t="inlineStr">
        <is>
          <t>900003593</t>
        </is>
      </c>
      <c r="B895" t="inlineStr">
        <is>
          <t>D836</t>
        </is>
      </c>
      <c r="C895" t="inlineStr">
        <is>
          <t>65011573</t>
        </is>
      </c>
      <c r="D895" t="inlineStr">
        <is>
          <t>10000252</t>
        </is>
      </c>
      <c r="E895" t="inlineStr"/>
      <c r="F895" s="11" t="n">
        <v>71.37</v>
      </c>
      <c r="G895" t="inlineStr"/>
      <c r="I895" t="inlineStr">
        <is>
          <t>TN</t>
        </is>
      </c>
      <c r="J895" t="inlineStr"/>
      <c r="K895" t="inlineStr">
        <is>
          <t>20190426</t>
        </is>
      </c>
      <c r="L895" t="inlineStr">
        <is>
          <t>20250127</t>
        </is>
      </c>
    </row>
    <row r="896">
      <c r="A896" t="inlineStr">
        <is>
          <t>900003593</t>
        </is>
      </c>
      <c r="B896" t="inlineStr">
        <is>
          <t>D836</t>
        </is>
      </c>
      <c r="C896" t="inlineStr">
        <is>
          <t>65061685</t>
        </is>
      </c>
      <c r="D896" t="inlineStr">
        <is>
          <t>10000160</t>
        </is>
      </c>
      <c r="E896" t="inlineStr"/>
      <c r="F896" s="11" t="n">
        <v>79.23999999999999</v>
      </c>
      <c r="G896" t="inlineStr"/>
      <c r="I896" t="inlineStr">
        <is>
          <t>M3</t>
        </is>
      </c>
      <c r="J896" t="inlineStr"/>
      <c r="K896" t="inlineStr">
        <is>
          <t>20190426</t>
        </is>
      </c>
      <c r="L896" t="inlineStr">
        <is>
          <t>20250127</t>
        </is>
      </c>
    </row>
    <row r="897">
      <c r="A897" t="inlineStr">
        <is>
          <t>900003593</t>
        </is>
      </c>
      <c r="B897" t="inlineStr">
        <is>
          <t>D836</t>
        </is>
      </c>
      <c r="C897" t="inlineStr">
        <is>
          <t>65062941</t>
        </is>
      </c>
      <c r="D897" t="inlineStr">
        <is>
          <t>10000160</t>
        </is>
      </c>
      <c r="E897" t="inlineStr"/>
      <c r="F897" s="11" t="n">
        <v>66.44</v>
      </c>
      <c r="G897" t="inlineStr"/>
      <c r="I897" t="inlineStr">
        <is>
          <t>TN</t>
        </is>
      </c>
      <c r="J897" t="inlineStr"/>
      <c r="K897" t="inlineStr">
        <is>
          <t>20190426</t>
        </is>
      </c>
      <c r="L897" t="inlineStr">
        <is>
          <t>20250127</t>
        </is>
      </c>
    </row>
    <row r="898">
      <c r="A898" t="inlineStr">
        <is>
          <t>900003593</t>
        </is>
      </c>
      <c r="B898" t="inlineStr">
        <is>
          <t>D836</t>
        </is>
      </c>
      <c r="C898" t="inlineStr">
        <is>
          <t>65062941</t>
        </is>
      </c>
      <c r="D898" t="inlineStr">
        <is>
          <t>10000252</t>
        </is>
      </c>
      <c r="E898" t="inlineStr"/>
      <c r="F898" s="11" t="n">
        <v>76.29000000000001</v>
      </c>
      <c r="G898" t="inlineStr"/>
      <c r="I898" t="inlineStr">
        <is>
          <t>TN</t>
        </is>
      </c>
      <c r="J898" t="inlineStr"/>
      <c r="K898" t="inlineStr">
        <is>
          <t>20190426</t>
        </is>
      </c>
      <c r="L898" t="inlineStr">
        <is>
          <t>20250127</t>
        </is>
      </c>
    </row>
    <row r="899">
      <c r="A899" t="inlineStr">
        <is>
          <t>900003593</t>
        </is>
      </c>
      <c r="B899" t="inlineStr">
        <is>
          <t>D836</t>
        </is>
      </c>
      <c r="C899" t="inlineStr">
        <is>
          <t>65084091</t>
        </is>
      </c>
      <c r="D899" t="inlineStr">
        <is>
          <t>10000160</t>
        </is>
      </c>
      <c r="E899" t="inlineStr"/>
      <c r="F899" s="11" t="n">
        <v>66.44</v>
      </c>
      <c r="G899" t="inlineStr"/>
      <c r="I899" t="inlineStr">
        <is>
          <t>TN</t>
        </is>
      </c>
      <c r="J899" t="inlineStr"/>
      <c r="K899" t="inlineStr">
        <is>
          <t>20190426</t>
        </is>
      </c>
      <c r="L899" t="inlineStr">
        <is>
          <t>20250127</t>
        </is>
      </c>
    </row>
    <row r="900">
      <c r="A900" t="inlineStr">
        <is>
          <t>900003593</t>
        </is>
      </c>
      <c r="B900" t="inlineStr">
        <is>
          <t>D836</t>
        </is>
      </c>
      <c r="C900" t="inlineStr">
        <is>
          <t>65087219</t>
        </is>
      </c>
      <c r="D900" t="inlineStr">
        <is>
          <t>10000657</t>
        </is>
      </c>
      <c r="E900" t="inlineStr"/>
      <c r="F900" s="11" t="n">
        <v>75.53</v>
      </c>
      <c r="G900" t="inlineStr"/>
      <c r="I900" t="inlineStr">
        <is>
          <t>TN</t>
        </is>
      </c>
      <c r="J900" t="inlineStr"/>
      <c r="K900" t="inlineStr">
        <is>
          <t>20190426</t>
        </is>
      </c>
      <c r="L900" t="inlineStr">
        <is>
          <t>20250127</t>
        </is>
      </c>
    </row>
    <row r="901">
      <c r="A901" t="inlineStr">
        <is>
          <t>900003593</t>
        </is>
      </c>
      <c r="B901" t="inlineStr">
        <is>
          <t>D836</t>
        </is>
      </c>
      <c r="C901" t="inlineStr">
        <is>
          <t>65087219</t>
        </is>
      </c>
      <c r="D901" t="inlineStr">
        <is>
          <t>10002802</t>
        </is>
      </c>
      <c r="E901" t="inlineStr"/>
      <c r="F901" s="11" t="n">
        <v>74.67</v>
      </c>
      <c r="G901" t="inlineStr"/>
      <c r="I901" t="inlineStr">
        <is>
          <t>TN</t>
        </is>
      </c>
      <c r="J901" t="inlineStr"/>
      <c r="K901" t="inlineStr">
        <is>
          <t>20190426</t>
        </is>
      </c>
      <c r="L901" t="inlineStr">
        <is>
          <t>20250127</t>
        </is>
      </c>
    </row>
    <row r="902">
      <c r="A902" t="inlineStr">
        <is>
          <t>900003593</t>
        </is>
      </c>
      <c r="B902" t="inlineStr">
        <is>
          <t>D836</t>
        </is>
      </c>
      <c r="C902" t="inlineStr">
        <is>
          <t>65087219</t>
        </is>
      </c>
      <c r="D902" t="inlineStr">
        <is>
          <t>10002975</t>
        </is>
      </c>
      <c r="E902" t="inlineStr"/>
      <c r="F902" s="11" t="n">
        <v>79.23999999999999</v>
      </c>
      <c r="G902" t="inlineStr"/>
      <c r="I902" t="inlineStr">
        <is>
          <t>TN</t>
        </is>
      </c>
      <c r="J902" t="inlineStr"/>
      <c r="K902" t="inlineStr">
        <is>
          <t>20190426</t>
        </is>
      </c>
      <c r="L902" t="inlineStr">
        <is>
          <t>20250127</t>
        </is>
      </c>
    </row>
    <row r="903">
      <c r="A903" t="inlineStr">
        <is>
          <t>900003593</t>
        </is>
      </c>
      <c r="B903" t="inlineStr">
        <is>
          <t>D836</t>
        </is>
      </c>
      <c r="C903" t="inlineStr">
        <is>
          <t>65087219</t>
        </is>
      </c>
      <c r="D903" t="inlineStr">
        <is>
          <t>10003131</t>
        </is>
      </c>
      <c r="E903" t="inlineStr"/>
      <c r="F903" s="11" t="n">
        <v>68.87</v>
      </c>
      <c r="G903" t="inlineStr"/>
      <c r="I903" t="inlineStr">
        <is>
          <t>TN</t>
        </is>
      </c>
      <c r="J903" t="inlineStr"/>
      <c r="K903" t="inlineStr">
        <is>
          <t>20190426</t>
        </is>
      </c>
      <c r="L903" t="inlineStr">
        <is>
          <t>20250127</t>
        </is>
      </c>
    </row>
    <row r="904">
      <c r="A904" t="inlineStr">
        <is>
          <t>900003593</t>
        </is>
      </c>
      <c r="B904" t="inlineStr">
        <is>
          <t>D836</t>
        </is>
      </c>
      <c r="C904" t="inlineStr">
        <is>
          <t>65129997</t>
        </is>
      </c>
      <c r="D904" t="inlineStr">
        <is>
          <t>10000160</t>
        </is>
      </c>
      <c r="E904" t="inlineStr"/>
      <c r="F904" s="11" t="n">
        <v>86.55</v>
      </c>
      <c r="G904" t="inlineStr"/>
      <c r="I904" t="inlineStr">
        <is>
          <t>M3</t>
        </is>
      </c>
      <c r="J904" t="inlineStr"/>
      <c r="K904" t="inlineStr">
        <is>
          <t>20190426</t>
        </is>
      </c>
      <c r="L904" t="inlineStr">
        <is>
          <t>20250127</t>
        </is>
      </c>
    </row>
    <row r="905">
      <c r="A905" t="inlineStr">
        <is>
          <t>900003593</t>
        </is>
      </c>
      <c r="B905" t="inlineStr">
        <is>
          <t>D836</t>
        </is>
      </c>
      <c r="C905" t="inlineStr">
        <is>
          <t>65129997</t>
        </is>
      </c>
      <c r="D905" t="inlineStr">
        <is>
          <t>10000252</t>
        </is>
      </c>
      <c r="E905" t="inlineStr"/>
      <c r="F905" s="11" t="n">
        <v>87.37</v>
      </c>
      <c r="G905" t="inlineStr"/>
      <c r="I905" t="inlineStr">
        <is>
          <t>M3</t>
        </is>
      </c>
      <c r="J905" t="inlineStr"/>
      <c r="K905" t="inlineStr">
        <is>
          <t>20190426</t>
        </is>
      </c>
      <c r="L905" t="inlineStr">
        <is>
          <t>20250127</t>
        </is>
      </c>
    </row>
    <row r="906">
      <c r="A906" t="inlineStr">
        <is>
          <t>900003593</t>
        </is>
      </c>
      <c r="B906" t="inlineStr">
        <is>
          <t>D836</t>
        </is>
      </c>
      <c r="C906" t="inlineStr">
        <is>
          <t>65129997</t>
        </is>
      </c>
      <c r="D906" t="inlineStr">
        <is>
          <t>10000357</t>
        </is>
      </c>
      <c r="E906" t="inlineStr"/>
      <c r="F906" s="11" t="n">
        <v>84.92</v>
      </c>
      <c r="G906" t="inlineStr"/>
      <c r="I906" t="inlineStr">
        <is>
          <t>M3</t>
        </is>
      </c>
      <c r="J906" t="inlineStr"/>
      <c r="K906" t="inlineStr">
        <is>
          <t>20190426</t>
        </is>
      </c>
      <c r="L906" t="inlineStr">
        <is>
          <t>20250127</t>
        </is>
      </c>
    </row>
    <row r="907">
      <c r="A907" t="inlineStr">
        <is>
          <t>900003593</t>
        </is>
      </c>
      <c r="B907" t="inlineStr">
        <is>
          <t>D836</t>
        </is>
      </c>
      <c r="C907" t="inlineStr">
        <is>
          <t>65220475</t>
        </is>
      </c>
      <c r="D907" t="inlineStr">
        <is>
          <t>10003132</t>
        </is>
      </c>
      <c r="E907" t="inlineStr"/>
      <c r="F907" s="11" t="n">
        <v>71.92</v>
      </c>
      <c r="G907" t="inlineStr"/>
      <c r="I907" t="inlineStr">
        <is>
          <t>TN</t>
        </is>
      </c>
      <c r="J907" t="inlineStr"/>
      <c r="K907" t="inlineStr">
        <is>
          <t>20190426</t>
        </is>
      </c>
      <c r="L907" t="inlineStr">
        <is>
          <t>20250127</t>
        </is>
      </c>
    </row>
    <row r="908">
      <c r="A908" t="inlineStr">
        <is>
          <t>900003593</t>
        </is>
      </c>
      <c r="B908" t="inlineStr">
        <is>
          <t>D836</t>
        </is>
      </c>
      <c r="C908" t="inlineStr">
        <is>
          <t>65246763</t>
        </is>
      </c>
      <c r="D908" t="inlineStr">
        <is>
          <t>10000160</t>
        </is>
      </c>
      <c r="E908" t="inlineStr"/>
      <c r="F908" s="11" t="n">
        <v>85.33</v>
      </c>
      <c r="G908" t="inlineStr"/>
      <c r="I908" t="inlineStr">
        <is>
          <t>M3</t>
        </is>
      </c>
      <c r="J908" t="inlineStr"/>
      <c r="K908" t="inlineStr">
        <is>
          <t>20190426</t>
        </is>
      </c>
      <c r="L908" t="inlineStr">
        <is>
          <t>20250127</t>
        </is>
      </c>
    </row>
    <row r="909">
      <c r="A909" t="inlineStr">
        <is>
          <t>900003593</t>
        </is>
      </c>
      <c r="B909" t="inlineStr">
        <is>
          <t>D836</t>
        </is>
      </c>
      <c r="C909" t="inlineStr">
        <is>
          <t>65251399</t>
        </is>
      </c>
      <c r="D909" t="inlineStr">
        <is>
          <t>10000160</t>
        </is>
      </c>
      <c r="E909" t="inlineStr"/>
      <c r="F909" s="11" t="n">
        <v>82.8</v>
      </c>
      <c r="G909" t="inlineStr"/>
      <c r="I909" t="inlineStr">
        <is>
          <t>M3</t>
        </is>
      </c>
      <c r="J909" t="inlineStr"/>
      <c r="K909" t="inlineStr">
        <is>
          <t>20190426</t>
        </is>
      </c>
      <c r="L909" t="inlineStr">
        <is>
          <t>20250127</t>
        </is>
      </c>
    </row>
    <row r="910">
      <c r="A910" t="inlineStr">
        <is>
          <t>900003593</t>
        </is>
      </c>
      <c r="B910" t="inlineStr">
        <is>
          <t>D836</t>
        </is>
      </c>
      <c r="C910" t="inlineStr">
        <is>
          <t>65296485</t>
        </is>
      </c>
      <c r="D910" t="inlineStr">
        <is>
          <t>10000252</t>
        </is>
      </c>
      <c r="E910" t="inlineStr"/>
      <c r="F910" s="11" t="n">
        <v>72.59999999999999</v>
      </c>
      <c r="G910" t="inlineStr"/>
      <c r="I910" t="inlineStr">
        <is>
          <t>TN</t>
        </is>
      </c>
      <c r="J910" t="inlineStr"/>
      <c r="K910" t="inlineStr">
        <is>
          <t>20190426</t>
        </is>
      </c>
      <c r="L910" t="inlineStr">
        <is>
          <t>20250127</t>
        </is>
      </c>
    </row>
    <row r="911">
      <c r="A911" t="inlineStr">
        <is>
          <t>900003593</t>
        </is>
      </c>
      <c r="B911" t="inlineStr">
        <is>
          <t>D836</t>
        </is>
      </c>
      <c r="C911" t="inlineStr">
        <is>
          <t>65345243</t>
        </is>
      </c>
      <c r="D911" t="inlineStr">
        <is>
          <t>10000160</t>
        </is>
      </c>
      <c r="E911" t="inlineStr"/>
      <c r="F911" s="11" t="n">
        <v>59.43</v>
      </c>
      <c r="G911" t="inlineStr"/>
      <c r="I911" t="inlineStr">
        <is>
          <t>TN</t>
        </is>
      </c>
      <c r="J911" t="inlineStr"/>
      <c r="K911" t="inlineStr">
        <is>
          <t>20190426</t>
        </is>
      </c>
      <c r="L911" t="inlineStr">
        <is>
          <t>20250127</t>
        </is>
      </c>
    </row>
    <row r="912">
      <c r="A912" t="inlineStr">
        <is>
          <t>900003593</t>
        </is>
      </c>
      <c r="B912" t="inlineStr">
        <is>
          <t>D836</t>
        </is>
      </c>
      <c r="C912" t="inlineStr">
        <is>
          <t>65345243</t>
        </is>
      </c>
      <c r="D912" t="inlineStr">
        <is>
          <t>10002976</t>
        </is>
      </c>
      <c r="E912" t="inlineStr"/>
      <c r="F912" s="11" t="n">
        <v>55.64</v>
      </c>
      <c r="G912" t="inlineStr"/>
      <c r="I912" t="inlineStr">
        <is>
          <t>TN</t>
        </is>
      </c>
      <c r="J912" t="inlineStr"/>
      <c r="K912" t="inlineStr">
        <is>
          <t>20190426</t>
        </is>
      </c>
      <c r="L912" t="inlineStr">
        <is>
          <t>20250127</t>
        </is>
      </c>
    </row>
    <row r="913">
      <c r="A913" t="inlineStr">
        <is>
          <t>900003593</t>
        </is>
      </c>
      <c r="B913" t="inlineStr">
        <is>
          <t>D836</t>
        </is>
      </c>
      <c r="C913" t="inlineStr">
        <is>
          <t>65350956</t>
        </is>
      </c>
      <c r="D913" t="inlineStr">
        <is>
          <t>10000252</t>
        </is>
      </c>
      <c r="E913" t="inlineStr"/>
      <c r="F913" s="11" t="n">
        <v>75.3</v>
      </c>
      <c r="G913" t="inlineStr"/>
      <c r="I913" t="inlineStr">
        <is>
          <t>TN</t>
        </is>
      </c>
      <c r="J913" t="inlineStr"/>
      <c r="K913" t="inlineStr">
        <is>
          <t>20190426</t>
        </is>
      </c>
      <c r="L913" t="inlineStr">
        <is>
          <t>20250127</t>
        </is>
      </c>
    </row>
    <row r="914">
      <c r="A914" t="inlineStr">
        <is>
          <t>900003593</t>
        </is>
      </c>
      <c r="B914" t="inlineStr">
        <is>
          <t>D836</t>
        </is>
      </c>
      <c r="C914" t="inlineStr">
        <is>
          <t>65350956</t>
        </is>
      </c>
      <c r="D914" t="inlineStr">
        <is>
          <t>10003132</t>
        </is>
      </c>
      <c r="E914" t="inlineStr"/>
      <c r="F914" s="11" t="n">
        <v>61.51</v>
      </c>
      <c r="G914" t="inlineStr"/>
      <c r="I914" t="inlineStr">
        <is>
          <t>TN</t>
        </is>
      </c>
      <c r="J914" t="inlineStr"/>
      <c r="K914" t="inlineStr">
        <is>
          <t>20190426</t>
        </is>
      </c>
      <c r="L914" t="inlineStr">
        <is>
          <t>20250127</t>
        </is>
      </c>
    </row>
    <row r="915">
      <c r="A915" t="inlineStr">
        <is>
          <t>900003593</t>
        </is>
      </c>
      <c r="B915" t="inlineStr">
        <is>
          <t>D836</t>
        </is>
      </c>
      <c r="C915" t="inlineStr">
        <is>
          <t>65360507</t>
        </is>
      </c>
      <c r="D915" t="inlineStr">
        <is>
          <t>10000160</t>
        </is>
      </c>
      <c r="E915" t="inlineStr"/>
      <c r="F915" s="11" t="n">
        <v>79.23999999999999</v>
      </c>
      <c r="G915" t="inlineStr"/>
      <c r="I915" t="inlineStr">
        <is>
          <t>M3</t>
        </is>
      </c>
      <c r="J915" t="inlineStr"/>
      <c r="K915" t="inlineStr">
        <is>
          <t>20190426</t>
        </is>
      </c>
      <c r="L915" t="inlineStr">
        <is>
          <t>20250127</t>
        </is>
      </c>
    </row>
    <row r="916">
      <c r="A916" t="inlineStr">
        <is>
          <t>900003593</t>
        </is>
      </c>
      <c r="B916" t="inlineStr">
        <is>
          <t>D836</t>
        </is>
      </c>
      <c r="C916" t="inlineStr">
        <is>
          <t>65439405</t>
        </is>
      </c>
      <c r="D916" t="inlineStr">
        <is>
          <t>10002976</t>
        </is>
      </c>
      <c r="E916" t="inlineStr"/>
      <c r="F916" s="11" t="n">
        <v>61.97</v>
      </c>
      <c r="G916" t="inlineStr"/>
      <c r="I916" t="inlineStr">
        <is>
          <t>TN</t>
        </is>
      </c>
      <c r="J916" t="inlineStr"/>
      <c r="K916" t="inlineStr">
        <is>
          <t>20190426</t>
        </is>
      </c>
      <c r="L916" t="inlineStr">
        <is>
          <t>20250127</t>
        </is>
      </c>
    </row>
    <row r="917">
      <c r="A917" t="inlineStr">
        <is>
          <t>900003593</t>
        </is>
      </c>
      <c r="B917" t="inlineStr">
        <is>
          <t>D836</t>
        </is>
      </c>
      <c r="C917" t="inlineStr">
        <is>
          <t>65442270</t>
        </is>
      </c>
      <c r="D917" t="inlineStr">
        <is>
          <t>10000357</t>
        </is>
      </c>
      <c r="E917" t="inlineStr"/>
      <c r="F917" s="11" t="n">
        <v>83.72</v>
      </c>
      <c r="G917" t="inlineStr"/>
      <c r="I917" t="inlineStr">
        <is>
          <t>M3</t>
        </is>
      </c>
      <c r="J917" t="inlineStr"/>
      <c r="K917" t="inlineStr">
        <is>
          <t>20190426</t>
        </is>
      </c>
      <c r="L917" t="inlineStr">
        <is>
          <t>20250127</t>
        </is>
      </c>
    </row>
    <row r="918">
      <c r="A918" t="inlineStr">
        <is>
          <t>900003593</t>
        </is>
      </c>
      <c r="B918" t="inlineStr">
        <is>
          <t>D836</t>
        </is>
      </c>
      <c r="C918" t="inlineStr">
        <is>
          <t>65445259</t>
        </is>
      </c>
      <c r="D918" t="inlineStr">
        <is>
          <t>10000160</t>
        </is>
      </c>
      <c r="E918" t="inlineStr"/>
      <c r="F918" s="11" t="n">
        <v>66.44</v>
      </c>
      <c r="G918" t="inlineStr"/>
      <c r="I918" t="inlineStr">
        <is>
          <t>TN</t>
        </is>
      </c>
      <c r="J918" t="inlineStr"/>
      <c r="K918" t="inlineStr">
        <is>
          <t>20190426</t>
        </is>
      </c>
      <c r="L918" t="inlineStr">
        <is>
          <t>20250127</t>
        </is>
      </c>
    </row>
    <row r="919">
      <c r="A919" t="inlineStr">
        <is>
          <t>900003593</t>
        </is>
      </c>
      <c r="B919" t="inlineStr">
        <is>
          <t>D836</t>
        </is>
      </c>
      <c r="C919" t="inlineStr">
        <is>
          <t>65445261</t>
        </is>
      </c>
      <c r="D919" t="inlineStr">
        <is>
          <t>10000160</t>
        </is>
      </c>
      <c r="E919" t="inlineStr"/>
      <c r="F919" s="11" t="n">
        <v>79.23999999999999</v>
      </c>
      <c r="G919" t="inlineStr"/>
      <c r="I919" t="inlineStr">
        <is>
          <t>M3</t>
        </is>
      </c>
      <c r="J919" t="inlineStr"/>
      <c r="K919" t="inlineStr">
        <is>
          <t>20190426</t>
        </is>
      </c>
      <c r="L919" t="inlineStr">
        <is>
          <t>20250127</t>
        </is>
      </c>
    </row>
    <row r="920">
      <c r="A920" t="inlineStr">
        <is>
          <t>900003593</t>
        </is>
      </c>
      <c r="B920" t="inlineStr">
        <is>
          <t>D836</t>
        </is>
      </c>
      <c r="C920" t="inlineStr">
        <is>
          <t>65570346</t>
        </is>
      </c>
      <c r="D920" t="inlineStr">
        <is>
          <t>10000160</t>
        </is>
      </c>
      <c r="E920" t="inlineStr"/>
      <c r="F920" s="11" t="n">
        <v>82.8</v>
      </c>
      <c r="G920" t="inlineStr"/>
      <c r="I920" t="inlineStr">
        <is>
          <t>M3</t>
        </is>
      </c>
      <c r="J920" t="inlineStr"/>
      <c r="K920" t="inlineStr">
        <is>
          <t>20190426</t>
        </is>
      </c>
      <c r="L920" t="inlineStr">
        <is>
          <t>20250127</t>
        </is>
      </c>
    </row>
    <row r="921">
      <c r="A921" t="inlineStr">
        <is>
          <t>900003593</t>
        </is>
      </c>
      <c r="B921" t="inlineStr">
        <is>
          <t>D836</t>
        </is>
      </c>
      <c r="C921" t="inlineStr">
        <is>
          <t>65729122</t>
        </is>
      </c>
      <c r="D921" t="inlineStr">
        <is>
          <t>10000160</t>
        </is>
      </c>
      <c r="E921" t="inlineStr"/>
      <c r="F921" s="11" t="n">
        <v>85.33</v>
      </c>
      <c r="G921" t="inlineStr"/>
      <c r="I921" t="inlineStr">
        <is>
          <t>M3</t>
        </is>
      </c>
      <c r="J921" t="inlineStr"/>
      <c r="K921" t="inlineStr">
        <is>
          <t>20190426</t>
        </is>
      </c>
      <c r="L921" t="inlineStr">
        <is>
          <t>20250127</t>
        </is>
      </c>
    </row>
    <row r="922">
      <c r="A922" t="inlineStr">
        <is>
          <t>900003593</t>
        </is>
      </c>
      <c r="B922" t="inlineStr">
        <is>
          <t>D836</t>
        </is>
      </c>
      <c r="C922" t="inlineStr">
        <is>
          <t>65751297</t>
        </is>
      </c>
      <c r="D922" t="inlineStr">
        <is>
          <t>10000160</t>
        </is>
      </c>
      <c r="E922" t="inlineStr"/>
      <c r="F922" s="11" t="n">
        <v>62.4</v>
      </c>
      <c r="G922" t="inlineStr"/>
      <c r="I922" t="inlineStr">
        <is>
          <t>TN</t>
        </is>
      </c>
      <c r="J922" t="inlineStr"/>
      <c r="K922" t="inlineStr">
        <is>
          <t>20190426</t>
        </is>
      </c>
      <c r="L922" t="inlineStr">
        <is>
          <t>20250127</t>
        </is>
      </c>
    </row>
    <row r="923">
      <c r="A923" t="inlineStr">
        <is>
          <t>900003593</t>
        </is>
      </c>
      <c r="B923" t="inlineStr">
        <is>
          <t>D836</t>
        </is>
      </c>
      <c r="C923" t="inlineStr">
        <is>
          <t>65751297</t>
        </is>
      </c>
      <c r="D923" t="inlineStr">
        <is>
          <t>10002976</t>
        </is>
      </c>
      <c r="E923" t="inlineStr"/>
      <c r="F923" s="11" t="n">
        <v>55.64</v>
      </c>
      <c r="G923" t="inlineStr"/>
      <c r="I923" t="inlineStr">
        <is>
          <t>TN</t>
        </is>
      </c>
      <c r="J923" t="inlineStr"/>
      <c r="K923" t="inlineStr">
        <is>
          <t>20190426</t>
        </is>
      </c>
      <c r="L923" t="inlineStr">
        <is>
          <t>20250127</t>
        </is>
      </c>
    </row>
    <row r="924">
      <c r="A924" t="inlineStr">
        <is>
          <t>900003593</t>
        </is>
      </c>
      <c r="B924" t="inlineStr">
        <is>
          <t>D836</t>
        </is>
      </c>
      <c r="C924" t="inlineStr">
        <is>
          <t>65796882</t>
        </is>
      </c>
      <c r="D924" t="inlineStr">
        <is>
          <t>10000160</t>
        </is>
      </c>
      <c r="E924" t="inlineStr"/>
      <c r="F924" s="11" t="n">
        <v>82.8</v>
      </c>
      <c r="G924" t="inlineStr"/>
      <c r="I924" t="inlineStr">
        <is>
          <t>M3</t>
        </is>
      </c>
      <c r="J924" t="inlineStr"/>
      <c r="K924" t="inlineStr">
        <is>
          <t>20190426</t>
        </is>
      </c>
      <c r="L924" t="inlineStr">
        <is>
          <t>20250127</t>
        </is>
      </c>
    </row>
    <row r="925">
      <c r="A925" t="inlineStr">
        <is>
          <t>900003593</t>
        </is>
      </c>
      <c r="B925" t="inlineStr">
        <is>
          <t>D836</t>
        </is>
      </c>
      <c r="C925" t="inlineStr">
        <is>
          <t>65916616</t>
        </is>
      </c>
      <c r="D925" t="inlineStr">
        <is>
          <t>10000160</t>
        </is>
      </c>
      <c r="E925" t="inlineStr"/>
      <c r="F925" s="11" t="n">
        <v>82.8</v>
      </c>
      <c r="G925" t="inlineStr"/>
      <c r="I925" t="inlineStr">
        <is>
          <t>M3</t>
        </is>
      </c>
      <c r="J925" t="inlineStr"/>
      <c r="K925" t="inlineStr">
        <is>
          <t>20190426</t>
        </is>
      </c>
      <c r="L925" t="inlineStr">
        <is>
          <t>20250127</t>
        </is>
      </c>
    </row>
    <row r="926">
      <c r="A926" t="inlineStr">
        <is>
          <t>900003593</t>
        </is>
      </c>
      <c r="B926" t="inlineStr">
        <is>
          <t>D836</t>
        </is>
      </c>
      <c r="C926" t="inlineStr">
        <is>
          <t>65916616</t>
        </is>
      </c>
      <c r="D926" t="inlineStr">
        <is>
          <t>10000252</t>
        </is>
      </c>
      <c r="E926" t="inlineStr"/>
      <c r="F926" s="11" t="n">
        <v>80</v>
      </c>
      <c r="G926" t="inlineStr"/>
      <c r="I926" t="inlineStr">
        <is>
          <t>M3</t>
        </is>
      </c>
      <c r="J926" t="inlineStr"/>
      <c r="K926" t="inlineStr">
        <is>
          <t>20190426</t>
        </is>
      </c>
      <c r="L926" t="inlineStr">
        <is>
          <t>20250127</t>
        </is>
      </c>
    </row>
    <row r="927">
      <c r="A927" t="inlineStr">
        <is>
          <t>900003593</t>
        </is>
      </c>
      <c r="B927" t="inlineStr">
        <is>
          <t>D836</t>
        </is>
      </c>
      <c r="C927" t="inlineStr">
        <is>
          <t>66230098</t>
        </is>
      </c>
      <c r="D927" t="inlineStr">
        <is>
          <t>10000160</t>
        </is>
      </c>
      <c r="E927" t="inlineStr"/>
      <c r="F927" s="11" t="n">
        <v>82.8</v>
      </c>
      <c r="G927" t="inlineStr"/>
      <c r="I927" t="inlineStr">
        <is>
          <t>M3</t>
        </is>
      </c>
      <c r="J927" t="inlineStr"/>
      <c r="K927" t="inlineStr">
        <is>
          <t>20190426</t>
        </is>
      </c>
      <c r="L927" t="inlineStr">
        <is>
          <t>20250127</t>
        </is>
      </c>
    </row>
    <row r="928">
      <c r="A928" t="inlineStr">
        <is>
          <t>900003593</t>
        </is>
      </c>
      <c r="B928" t="inlineStr">
        <is>
          <t>D836</t>
        </is>
      </c>
      <c r="C928" t="inlineStr">
        <is>
          <t>66250932</t>
        </is>
      </c>
      <c r="D928" t="inlineStr">
        <is>
          <t>10000160</t>
        </is>
      </c>
      <c r="E928" t="inlineStr"/>
      <c r="F928" s="11" t="n">
        <v>86.25</v>
      </c>
      <c r="G928" t="inlineStr"/>
      <c r="I928" t="inlineStr">
        <is>
          <t>M3</t>
        </is>
      </c>
      <c r="J928" t="inlineStr"/>
      <c r="K928" t="inlineStr">
        <is>
          <t>20190426</t>
        </is>
      </c>
      <c r="L928" t="inlineStr">
        <is>
          <t>20250127</t>
        </is>
      </c>
    </row>
    <row r="929">
      <c r="A929" t="inlineStr">
        <is>
          <t>900003593</t>
        </is>
      </c>
      <c r="B929" t="inlineStr">
        <is>
          <t>D836</t>
        </is>
      </c>
      <c r="C929" t="inlineStr">
        <is>
          <t>66272739</t>
        </is>
      </c>
      <c r="D929" t="inlineStr">
        <is>
          <t>10000160</t>
        </is>
      </c>
      <c r="E929" t="inlineStr"/>
      <c r="F929" s="11" t="n">
        <v>86.25</v>
      </c>
      <c r="G929" t="inlineStr"/>
      <c r="I929" t="inlineStr">
        <is>
          <t>M3</t>
        </is>
      </c>
      <c r="J929" t="inlineStr"/>
      <c r="K929" t="inlineStr">
        <is>
          <t>20190426</t>
        </is>
      </c>
      <c r="L929" t="inlineStr">
        <is>
          <t>20250127</t>
        </is>
      </c>
    </row>
    <row r="930">
      <c r="A930" t="inlineStr">
        <is>
          <t>900003593</t>
        </is>
      </c>
      <c r="B930" t="inlineStr">
        <is>
          <t>D836</t>
        </is>
      </c>
      <c r="C930" t="inlineStr">
        <is>
          <t>66272739</t>
        </is>
      </c>
      <c r="D930" t="inlineStr">
        <is>
          <t>10000252</t>
        </is>
      </c>
      <c r="E930" t="inlineStr"/>
      <c r="F930" s="11" t="n">
        <v>86.25</v>
      </c>
      <c r="G930" t="inlineStr"/>
      <c r="I930" t="inlineStr">
        <is>
          <t>M3</t>
        </is>
      </c>
      <c r="J930" t="inlineStr"/>
      <c r="K930" t="inlineStr">
        <is>
          <t>20190426</t>
        </is>
      </c>
      <c r="L930" t="inlineStr">
        <is>
          <t>20250127</t>
        </is>
      </c>
    </row>
    <row r="931">
      <c r="A931" t="inlineStr">
        <is>
          <t>900003593</t>
        </is>
      </c>
      <c r="B931" t="inlineStr">
        <is>
          <t>D836</t>
        </is>
      </c>
      <c r="C931" t="inlineStr">
        <is>
          <t>66272739</t>
        </is>
      </c>
      <c r="D931" t="inlineStr">
        <is>
          <t>10000357</t>
        </is>
      </c>
      <c r="E931" t="inlineStr"/>
      <c r="F931" s="11" t="n">
        <v>86.25</v>
      </c>
      <c r="G931" t="inlineStr"/>
      <c r="I931" t="inlineStr">
        <is>
          <t>M3</t>
        </is>
      </c>
      <c r="J931" t="inlineStr"/>
      <c r="K931" t="inlineStr">
        <is>
          <t>20190426</t>
        </is>
      </c>
      <c r="L931" t="inlineStr">
        <is>
          <t>20250127</t>
        </is>
      </c>
    </row>
    <row r="932">
      <c r="A932" t="inlineStr">
        <is>
          <t>900003593</t>
        </is>
      </c>
      <c r="B932" t="inlineStr">
        <is>
          <t>D836</t>
        </is>
      </c>
      <c r="C932" t="inlineStr">
        <is>
          <t>66310610</t>
        </is>
      </c>
      <c r="D932" t="inlineStr">
        <is>
          <t>10000160</t>
        </is>
      </c>
      <c r="E932" t="inlineStr"/>
      <c r="F932" s="11" t="n">
        <v>86.25</v>
      </c>
      <c r="G932" t="inlineStr"/>
      <c r="I932" t="inlineStr">
        <is>
          <t>M3</t>
        </is>
      </c>
      <c r="J932" t="inlineStr"/>
      <c r="K932" t="inlineStr">
        <is>
          <t>20190426</t>
        </is>
      </c>
      <c r="L932" t="inlineStr">
        <is>
          <t>20250127</t>
        </is>
      </c>
    </row>
    <row r="933">
      <c r="A933" t="inlineStr">
        <is>
          <t>900003593</t>
        </is>
      </c>
      <c r="B933" t="inlineStr">
        <is>
          <t>D836</t>
        </is>
      </c>
      <c r="C933" t="inlineStr">
        <is>
          <t>66310610</t>
        </is>
      </c>
      <c r="D933" t="inlineStr">
        <is>
          <t>10000252</t>
        </is>
      </c>
      <c r="E933" t="inlineStr"/>
      <c r="F933" s="11" t="n">
        <v>86.25</v>
      </c>
      <c r="G933" t="inlineStr"/>
      <c r="I933" t="inlineStr">
        <is>
          <t>M3</t>
        </is>
      </c>
      <c r="J933" t="inlineStr"/>
      <c r="K933" t="inlineStr">
        <is>
          <t>20190426</t>
        </is>
      </c>
      <c r="L933" t="inlineStr">
        <is>
          <t>20250127</t>
        </is>
      </c>
    </row>
    <row r="934">
      <c r="A934" t="inlineStr">
        <is>
          <t>900003597</t>
        </is>
      </c>
      <c r="B934" t="inlineStr">
        <is>
          <t>D836</t>
        </is>
      </c>
      <c r="C934" t="inlineStr">
        <is>
          <t>65625331</t>
        </is>
      </c>
      <c r="D934" t="inlineStr">
        <is>
          <t>10000811</t>
        </is>
      </c>
      <c r="E934" t="inlineStr"/>
      <c r="F934" s="11" t="n">
        <v>139.95</v>
      </c>
      <c r="G934" t="inlineStr"/>
      <c r="I934" t="inlineStr">
        <is>
          <t>M3</t>
        </is>
      </c>
      <c r="J934" t="inlineStr"/>
      <c r="K934" t="inlineStr">
        <is>
          <t>20190426</t>
        </is>
      </c>
      <c r="L934" t="inlineStr">
        <is>
          <t>20250127</t>
        </is>
      </c>
    </row>
    <row r="935">
      <c r="A935" t="inlineStr">
        <is>
          <t>900003599</t>
        </is>
      </c>
      <c r="B935" t="inlineStr">
        <is>
          <t>D836</t>
        </is>
      </c>
      <c r="C935" t="inlineStr">
        <is>
          <t>65003945</t>
        </is>
      </c>
      <c r="D935" t="inlineStr">
        <is>
          <t>10000623</t>
        </is>
      </c>
      <c r="E935" t="inlineStr"/>
      <c r="F935" s="11" t="n">
        <v>120</v>
      </c>
      <c r="G935" t="inlineStr"/>
      <c r="I935" t="inlineStr">
        <is>
          <t>M3</t>
        </is>
      </c>
      <c r="J935" t="inlineStr"/>
      <c r="K935" t="inlineStr">
        <is>
          <t>20190426</t>
        </is>
      </c>
      <c r="L935" t="inlineStr">
        <is>
          <t>20250127</t>
        </is>
      </c>
    </row>
    <row r="936">
      <c r="A936" t="inlineStr">
        <is>
          <t>900003599</t>
        </is>
      </c>
      <c r="B936" t="inlineStr">
        <is>
          <t>D836</t>
        </is>
      </c>
      <c r="C936" t="inlineStr">
        <is>
          <t>66212637</t>
        </is>
      </c>
      <c r="D936" t="inlineStr">
        <is>
          <t>10019515</t>
        </is>
      </c>
      <c r="E936" t="inlineStr"/>
      <c r="F936" s="11" t="n">
        <v>140</v>
      </c>
      <c r="G936" t="inlineStr"/>
      <c r="I936" t="inlineStr">
        <is>
          <t>M3</t>
        </is>
      </c>
      <c r="J936" t="inlineStr"/>
      <c r="K936" t="inlineStr">
        <is>
          <t>20190426</t>
        </is>
      </c>
      <c r="L936" t="inlineStr">
        <is>
          <t>20250127</t>
        </is>
      </c>
    </row>
    <row r="937">
      <c r="A937" t="inlineStr">
        <is>
          <t>900003599</t>
        </is>
      </c>
      <c r="B937" t="inlineStr">
        <is>
          <t>D836</t>
        </is>
      </c>
      <c r="C937" t="inlineStr">
        <is>
          <t>66212637</t>
        </is>
      </c>
      <c r="D937" t="inlineStr">
        <is>
          <t>10153352</t>
        </is>
      </c>
      <c r="E937" t="inlineStr"/>
      <c r="F937" s="11" t="n">
        <v>195</v>
      </c>
      <c r="G937" t="inlineStr"/>
      <c r="I937" t="inlineStr">
        <is>
          <t>M3</t>
        </is>
      </c>
      <c r="J937" t="inlineStr"/>
      <c r="K937" t="inlineStr">
        <is>
          <t>20190426</t>
        </is>
      </c>
      <c r="L937" t="inlineStr">
        <is>
          <t>20250127</t>
        </is>
      </c>
    </row>
    <row r="938">
      <c r="A938" t="inlineStr">
        <is>
          <t>900003599</t>
        </is>
      </c>
      <c r="B938" t="inlineStr">
        <is>
          <t>D836</t>
        </is>
      </c>
      <c r="C938" t="inlineStr">
        <is>
          <t>66450072</t>
        </is>
      </c>
      <c r="D938" t="inlineStr">
        <is>
          <t>10000623</t>
        </is>
      </c>
      <c r="E938" t="inlineStr"/>
      <c r="F938" s="11" t="n">
        <v>165.5</v>
      </c>
      <c r="G938" t="inlineStr"/>
      <c r="I938" t="inlineStr">
        <is>
          <t>M3</t>
        </is>
      </c>
      <c r="J938" t="inlineStr"/>
      <c r="K938" t="inlineStr">
        <is>
          <t>20190426</t>
        </is>
      </c>
      <c r="L938" t="inlineStr">
        <is>
          <t>20250127</t>
        </is>
      </c>
    </row>
    <row r="939">
      <c r="A939" t="inlineStr">
        <is>
          <t>900003599</t>
        </is>
      </c>
      <c r="B939" t="inlineStr">
        <is>
          <t>D836</t>
        </is>
      </c>
      <c r="C939" t="inlineStr">
        <is>
          <t>66571963</t>
        </is>
      </c>
      <c r="D939" t="inlineStr">
        <is>
          <t>10000360</t>
        </is>
      </c>
      <c r="E939" t="inlineStr"/>
      <c r="F939" s="11" t="n">
        <v>72</v>
      </c>
      <c r="G939" t="inlineStr"/>
      <c r="I939" t="inlineStr">
        <is>
          <t>M3</t>
        </is>
      </c>
      <c r="J939" t="inlineStr"/>
      <c r="K939" t="inlineStr">
        <is>
          <t>20190426</t>
        </is>
      </c>
      <c r="L939" t="inlineStr">
        <is>
          <t>20250127</t>
        </is>
      </c>
    </row>
    <row r="940">
      <c r="A940" t="inlineStr">
        <is>
          <t>900003599</t>
        </is>
      </c>
      <c r="B940" t="inlineStr">
        <is>
          <t>D836</t>
        </is>
      </c>
      <c r="C940" t="inlineStr">
        <is>
          <t>66582580</t>
        </is>
      </c>
      <c r="D940" t="inlineStr">
        <is>
          <t>10000630</t>
        </is>
      </c>
      <c r="E940" t="inlineStr"/>
      <c r="F940" s="11" t="n">
        <v>140</v>
      </c>
      <c r="G940" t="inlineStr"/>
      <c r="I940" t="inlineStr">
        <is>
          <t>M3</t>
        </is>
      </c>
      <c r="J940" t="inlineStr"/>
      <c r="K940" t="inlineStr">
        <is>
          <t>20190426</t>
        </is>
      </c>
      <c r="L940" t="inlineStr">
        <is>
          <t>20250127</t>
        </is>
      </c>
    </row>
    <row r="941">
      <c r="A941" t="inlineStr">
        <is>
          <t>900003599</t>
        </is>
      </c>
      <c r="B941" t="inlineStr">
        <is>
          <t>D836</t>
        </is>
      </c>
      <c r="C941" t="inlineStr">
        <is>
          <t>66815444</t>
        </is>
      </c>
      <c r="D941" t="inlineStr">
        <is>
          <t>10000160</t>
        </is>
      </c>
      <c r="E941" t="inlineStr"/>
      <c r="F941" s="11" t="n">
        <v>65</v>
      </c>
      <c r="G941" t="inlineStr"/>
      <c r="I941" t="inlineStr">
        <is>
          <t>M3</t>
        </is>
      </c>
      <c r="J941" t="inlineStr"/>
      <c r="K941" t="inlineStr">
        <is>
          <t>20190426</t>
        </is>
      </c>
      <c r="L941" t="inlineStr">
        <is>
          <t>20250127</t>
        </is>
      </c>
    </row>
    <row r="942">
      <c r="A942" t="inlineStr">
        <is>
          <t>900003601</t>
        </is>
      </c>
      <c r="B942" t="inlineStr">
        <is>
          <t>D836</t>
        </is>
      </c>
      <c r="C942" t="inlineStr">
        <is>
          <t>65002173</t>
        </is>
      </c>
      <c r="D942" t="inlineStr">
        <is>
          <t>10000624</t>
        </is>
      </c>
      <c r="E942" t="inlineStr"/>
      <c r="F942" s="11" t="n">
        <v>102.74</v>
      </c>
      <c r="G942" t="inlineStr"/>
      <c r="I942" t="inlineStr">
        <is>
          <t>TN</t>
        </is>
      </c>
      <c r="J942" t="inlineStr"/>
      <c r="K942" t="inlineStr">
        <is>
          <t>20190426</t>
        </is>
      </c>
      <c r="L942" t="inlineStr">
        <is>
          <t>20250127</t>
        </is>
      </c>
    </row>
    <row r="943">
      <c r="A943" t="inlineStr">
        <is>
          <t>900003601</t>
        </is>
      </c>
      <c r="B943" t="inlineStr">
        <is>
          <t>D836</t>
        </is>
      </c>
      <c r="C943" t="inlineStr">
        <is>
          <t>65002610</t>
        </is>
      </c>
      <c r="D943" t="inlineStr">
        <is>
          <t>10000623</t>
        </is>
      </c>
      <c r="E943" t="inlineStr"/>
      <c r="F943" s="11" t="n">
        <v>104.5</v>
      </c>
      <c r="G943" t="inlineStr"/>
      <c r="I943" t="inlineStr">
        <is>
          <t>TN</t>
        </is>
      </c>
      <c r="J943" t="inlineStr"/>
      <c r="K943" t="inlineStr">
        <is>
          <t>20190426</t>
        </is>
      </c>
      <c r="L943" t="inlineStr">
        <is>
          <t>20250127</t>
        </is>
      </c>
    </row>
    <row r="944">
      <c r="A944" t="inlineStr">
        <is>
          <t>900003601</t>
        </is>
      </c>
      <c r="B944" t="inlineStr">
        <is>
          <t>D836</t>
        </is>
      </c>
      <c r="C944" t="inlineStr">
        <is>
          <t>65003945</t>
        </is>
      </c>
      <c r="D944" t="inlineStr">
        <is>
          <t>10000722</t>
        </is>
      </c>
      <c r="E944" t="inlineStr"/>
      <c r="F944" s="11" t="n">
        <v>102.47</v>
      </c>
      <c r="G944" t="inlineStr"/>
      <c r="I944" t="inlineStr">
        <is>
          <t>TN</t>
        </is>
      </c>
      <c r="J944" t="inlineStr"/>
      <c r="K944" t="inlineStr">
        <is>
          <t>20190426</t>
        </is>
      </c>
      <c r="L944" t="inlineStr">
        <is>
          <t>20250127</t>
        </is>
      </c>
    </row>
    <row r="945">
      <c r="A945" t="inlineStr">
        <is>
          <t>900003601</t>
        </is>
      </c>
      <c r="B945" t="inlineStr">
        <is>
          <t>D836</t>
        </is>
      </c>
      <c r="C945" t="inlineStr">
        <is>
          <t>65003945</t>
        </is>
      </c>
      <c r="D945" t="inlineStr">
        <is>
          <t>10000811</t>
        </is>
      </c>
      <c r="E945" t="inlineStr"/>
      <c r="F945" s="11" t="n">
        <v>351.33</v>
      </c>
      <c r="G945" t="inlineStr"/>
      <c r="I945" t="inlineStr">
        <is>
          <t>TN</t>
        </is>
      </c>
      <c r="J945" t="inlineStr"/>
      <c r="K945" t="inlineStr">
        <is>
          <t>20190426</t>
        </is>
      </c>
      <c r="L945" t="inlineStr">
        <is>
          <t>20250127</t>
        </is>
      </c>
    </row>
    <row r="946">
      <c r="A946" t="inlineStr">
        <is>
          <t>900003601</t>
        </is>
      </c>
      <c r="B946" t="inlineStr">
        <is>
          <t>D836</t>
        </is>
      </c>
      <c r="C946" t="inlineStr">
        <is>
          <t>65015153</t>
        </is>
      </c>
      <c r="D946" t="inlineStr">
        <is>
          <t>10000722</t>
        </is>
      </c>
      <c r="E946" t="inlineStr"/>
      <c r="F946" s="11" t="n">
        <v>87.31</v>
      </c>
      <c r="G946" t="inlineStr"/>
      <c r="I946" t="inlineStr">
        <is>
          <t>TN</t>
        </is>
      </c>
      <c r="J946" t="inlineStr"/>
      <c r="K946" t="inlineStr">
        <is>
          <t>20190426</t>
        </is>
      </c>
      <c r="L946" t="inlineStr">
        <is>
          <t>20250127</t>
        </is>
      </c>
    </row>
    <row r="947">
      <c r="A947" t="inlineStr">
        <is>
          <t>900003601</t>
        </is>
      </c>
      <c r="B947" t="inlineStr">
        <is>
          <t>D836</t>
        </is>
      </c>
      <c r="C947" t="inlineStr">
        <is>
          <t>65016451</t>
        </is>
      </c>
      <c r="D947" t="inlineStr">
        <is>
          <t>10000623</t>
        </is>
      </c>
      <c r="E947" t="inlineStr"/>
      <c r="F947" s="11" t="n">
        <v>102.6</v>
      </c>
      <c r="G947" t="inlineStr"/>
      <c r="I947" t="inlineStr">
        <is>
          <t>TN</t>
        </is>
      </c>
      <c r="J947" t="inlineStr"/>
      <c r="K947" t="inlineStr">
        <is>
          <t>20190426</t>
        </is>
      </c>
      <c r="L947" t="inlineStr">
        <is>
          <t>20250127</t>
        </is>
      </c>
    </row>
    <row r="948">
      <c r="A948" t="inlineStr">
        <is>
          <t>900003601</t>
        </is>
      </c>
      <c r="B948" t="inlineStr">
        <is>
          <t>D836</t>
        </is>
      </c>
      <c r="C948" t="inlineStr">
        <is>
          <t>65031531</t>
        </is>
      </c>
      <c r="D948" t="inlineStr">
        <is>
          <t>10000811</t>
        </is>
      </c>
      <c r="E948" t="inlineStr"/>
      <c r="F948" s="11" t="n">
        <v>86.11</v>
      </c>
      <c r="G948" t="inlineStr"/>
      <c r="I948" t="inlineStr">
        <is>
          <t>TN</t>
        </is>
      </c>
      <c r="J948" t="inlineStr"/>
      <c r="K948" t="inlineStr">
        <is>
          <t>20190426</t>
        </is>
      </c>
      <c r="L948" t="inlineStr">
        <is>
          <t>20250127</t>
        </is>
      </c>
    </row>
    <row r="949">
      <c r="A949" t="inlineStr">
        <is>
          <t>900003601</t>
        </is>
      </c>
      <c r="B949" t="inlineStr">
        <is>
          <t>D836</t>
        </is>
      </c>
      <c r="C949" t="inlineStr">
        <is>
          <t>65050507</t>
        </is>
      </c>
      <c r="D949" t="inlineStr">
        <is>
          <t>10000757</t>
        </is>
      </c>
      <c r="E949" t="inlineStr"/>
      <c r="F949" s="11" t="n">
        <v>91.08</v>
      </c>
      <c r="G949" t="inlineStr"/>
      <c r="I949" t="inlineStr">
        <is>
          <t>TN</t>
        </is>
      </c>
      <c r="J949" t="inlineStr"/>
      <c r="K949" t="inlineStr">
        <is>
          <t>20190426</t>
        </is>
      </c>
      <c r="L949" t="inlineStr">
        <is>
          <t>20250127</t>
        </is>
      </c>
    </row>
    <row r="950">
      <c r="A950" t="inlineStr">
        <is>
          <t>900003601</t>
        </is>
      </c>
      <c r="B950" t="inlineStr">
        <is>
          <t>D836</t>
        </is>
      </c>
      <c r="C950" t="inlineStr">
        <is>
          <t>65061685</t>
        </is>
      </c>
      <c r="D950" t="inlineStr">
        <is>
          <t>10000624</t>
        </is>
      </c>
      <c r="E950" t="inlineStr"/>
      <c r="F950" s="11" t="n">
        <v>107.76</v>
      </c>
      <c r="G950" t="inlineStr"/>
      <c r="I950" t="inlineStr">
        <is>
          <t>TN</t>
        </is>
      </c>
      <c r="J950" t="inlineStr"/>
      <c r="K950" t="inlineStr">
        <is>
          <t>20190426</t>
        </is>
      </c>
      <c r="L950" t="inlineStr">
        <is>
          <t>20250127</t>
        </is>
      </c>
    </row>
    <row r="951">
      <c r="A951" t="inlineStr">
        <is>
          <t>900003601</t>
        </is>
      </c>
      <c r="B951" t="inlineStr">
        <is>
          <t>D836</t>
        </is>
      </c>
      <c r="C951" t="inlineStr">
        <is>
          <t>65061685</t>
        </is>
      </c>
      <c r="D951" t="inlineStr">
        <is>
          <t>10000722</t>
        </is>
      </c>
      <c r="E951" t="inlineStr"/>
      <c r="F951" s="11" t="n">
        <v>109.03</v>
      </c>
      <c r="G951" t="inlineStr"/>
      <c r="I951" t="inlineStr">
        <is>
          <t>TN</t>
        </is>
      </c>
      <c r="J951" t="inlineStr"/>
      <c r="K951" t="inlineStr">
        <is>
          <t>20190426</t>
        </is>
      </c>
      <c r="L951" t="inlineStr">
        <is>
          <t>20250127</t>
        </is>
      </c>
    </row>
    <row r="952">
      <c r="A952" t="inlineStr">
        <is>
          <t>900003601</t>
        </is>
      </c>
      <c r="B952" t="inlineStr">
        <is>
          <t>D836</t>
        </is>
      </c>
      <c r="C952" t="inlineStr">
        <is>
          <t>65077509</t>
        </is>
      </c>
      <c r="D952" t="inlineStr">
        <is>
          <t>10000624</t>
        </is>
      </c>
      <c r="E952" t="inlineStr"/>
      <c r="F952" s="11" t="n">
        <v>99.03</v>
      </c>
      <c r="G952" t="inlineStr"/>
      <c r="I952" t="inlineStr">
        <is>
          <t>TN</t>
        </is>
      </c>
      <c r="J952" t="inlineStr"/>
      <c r="K952" t="inlineStr">
        <is>
          <t>20190426</t>
        </is>
      </c>
      <c r="L952" t="inlineStr">
        <is>
          <t>20250127</t>
        </is>
      </c>
    </row>
    <row r="953">
      <c r="A953" t="inlineStr">
        <is>
          <t>900003601</t>
        </is>
      </c>
      <c r="B953" t="inlineStr">
        <is>
          <t>D836</t>
        </is>
      </c>
      <c r="C953" t="inlineStr">
        <is>
          <t>65077509</t>
        </is>
      </c>
      <c r="D953" t="inlineStr">
        <is>
          <t>10000722</t>
        </is>
      </c>
      <c r="E953" t="inlineStr"/>
      <c r="F953" s="11" t="n">
        <v>107.28</v>
      </c>
      <c r="G953" t="inlineStr"/>
      <c r="I953" t="inlineStr">
        <is>
          <t>TN</t>
        </is>
      </c>
      <c r="J953" t="inlineStr"/>
      <c r="K953" t="inlineStr">
        <is>
          <t>20190426</t>
        </is>
      </c>
      <c r="L953" t="inlineStr">
        <is>
          <t>20250127</t>
        </is>
      </c>
    </row>
    <row r="954">
      <c r="A954" t="inlineStr">
        <is>
          <t>900003601</t>
        </is>
      </c>
      <c r="B954" t="inlineStr">
        <is>
          <t>D836</t>
        </is>
      </c>
      <c r="C954" t="inlineStr">
        <is>
          <t>65077518</t>
        </is>
      </c>
      <c r="D954" t="inlineStr">
        <is>
          <t>10000624</t>
        </is>
      </c>
      <c r="E954" t="inlineStr"/>
      <c r="F954" s="11" t="n">
        <v>99.03</v>
      </c>
      <c r="G954" t="inlineStr"/>
      <c r="I954" t="inlineStr">
        <is>
          <t>TN</t>
        </is>
      </c>
      <c r="J954" t="inlineStr"/>
      <c r="K954" t="inlineStr">
        <is>
          <t>20190426</t>
        </is>
      </c>
      <c r="L954" t="inlineStr">
        <is>
          <t>20250127</t>
        </is>
      </c>
    </row>
    <row r="955">
      <c r="A955" t="inlineStr">
        <is>
          <t>900003601</t>
        </is>
      </c>
      <c r="B955" t="inlineStr">
        <is>
          <t>D836</t>
        </is>
      </c>
      <c r="C955" t="inlineStr">
        <is>
          <t>65077518</t>
        </is>
      </c>
      <c r="D955" t="inlineStr">
        <is>
          <t>10000722</t>
        </is>
      </c>
      <c r="E955" t="inlineStr"/>
      <c r="F955" s="11" t="n">
        <v>107.28</v>
      </c>
      <c r="G955" t="inlineStr"/>
      <c r="I955" t="inlineStr">
        <is>
          <t>TN</t>
        </is>
      </c>
      <c r="J955" t="inlineStr"/>
      <c r="K955" t="inlineStr">
        <is>
          <t>20190426</t>
        </is>
      </c>
      <c r="L955" t="inlineStr">
        <is>
          <t>20250127</t>
        </is>
      </c>
    </row>
    <row r="956">
      <c r="A956" t="inlineStr">
        <is>
          <t>900003601</t>
        </is>
      </c>
      <c r="B956" t="inlineStr">
        <is>
          <t>D836</t>
        </is>
      </c>
      <c r="C956" t="inlineStr">
        <is>
          <t>65077582</t>
        </is>
      </c>
      <c r="D956" t="inlineStr">
        <is>
          <t>10000624</t>
        </is>
      </c>
      <c r="E956" t="inlineStr"/>
      <c r="F956" s="11" t="n">
        <v>99.03</v>
      </c>
      <c r="G956" t="inlineStr"/>
      <c r="I956" t="inlineStr">
        <is>
          <t>TN</t>
        </is>
      </c>
      <c r="J956" t="inlineStr"/>
      <c r="K956" t="inlineStr">
        <is>
          <t>20190426</t>
        </is>
      </c>
      <c r="L956" t="inlineStr">
        <is>
          <t>20250127</t>
        </is>
      </c>
    </row>
    <row r="957">
      <c r="A957" t="inlineStr">
        <is>
          <t>900003601</t>
        </is>
      </c>
      <c r="B957" t="inlineStr">
        <is>
          <t>D836</t>
        </is>
      </c>
      <c r="C957" t="inlineStr">
        <is>
          <t>65077582</t>
        </is>
      </c>
      <c r="D957" t="inlineStr">
        <is>
          <t>10000722</t>
        </is>
      </c>
      <c r="E957" t="inlineStr"/>
      <c r="F957" s="11" t="n">
        <v>107.28</v>
      </c>
      <c r="G957" t="inlineStr"/>
      <c r="I957" t="inlineStr">
        <is>
          <t>TN</t>
        </is>
      </c>
      <c r="J957" t="inlineStr"/>
      <c r="K957" t="inlineStr">
        <is>
          <t>20190426</t>
        </is>
      </c>
      <c r="L957" t="inlineStr">
        <is>
          <t>20250127</t>
        </is>
      </c>
    </row>
    <row r="958">
      <c r="A958" t="inlineStr">
        <is>
          <t>900003601</t>
        </is>
      </c>
      <c r="B958" t="inlineStr">
        <is>
          <t>D836</t>
        </is>
      </c>
      <c r="C958" t="inlineStr">
        <is>
          <t>65246763</t>
        </is>
      </c>
      <c r="D958" t="inlineStr">
        <is>
          <t>10000624</t>
        </is>
      </c>
      <c r="E958" t="inlineStr"/>
      <c r="F958" s="11" t="n">
        <v>109.79</v>
      </c>
      <c r="G958" t="inlineStr"/>
      <c r="I958" t="inlineStr">
        <is>
          <t>TN</t>
        </is>
      </c>
      <c r="J958" t="inlineStr"/>
      <c r="K958" t="inlineStr">
        <is>
          <t>20190426</t>
        </is>
      </c>
      <c r="L958" t="inlineStr">
        <is>
          <t>20250127</t>
        </is>
      </c>
    </row>
    <row r="959">
      <c r="A959" t="inlineStr">
        <is>
          <t>900003601</t>
        </is>
      </c>
      <c r="B959" t="inlineStr">
        <is>
          <t>D836</t>
        </is>
      </c>
      <c r="C959" t="inlineStr">
        <is>
          <t>65246763</t>
        </is>
      </c>
      <c r="D959" t="inlineStr">
        <is>
          <t>10000722</t>
        </is>
      </c>
      <c r="E959" t="inlineStr"/>
      <c r="F959" s="11" t="n">
        <v>109.79</v>
      </c>
      <c r="G959" t="inlineStr"/>
      <c r="I959" t="inlineStr">
        <is>
          <t>TN</t>
        </is>
      </c>
      <c r="J959" t="inlineStr"/>
      <c r="K959" t="inlineStr">
        <is>
          <t>20190426</t>
        </is>
      </c>
      <c r="L959" t="inlineStr">
        <is>
          <t>20250127</t>
        </is>
      </c>
    </row>
    <row r="960">
      <c r="A960" t="inlineStr">
        <is>
          <t>900003601</t>
        </is>
      </c>
      <c r="B960" t="inlineStr">
        <is>
          <t>D836</t>
        </is>
      </c>
      <c r="C960" t="inlineStr">
        <is>
          <t>65251399</t>
        </is>
      </c>
      <c r="D960" t="inlineStr">
        <is>
          <t>10000624</t>
        </is>
      </c>
      <c r="E960" t="inlineStr"/>
      <c r="F960" s="11" t="n">
        <v>116.25</v>
      </c>
      <c r="G960" t="inlineStr"/>
      <c r="I960" t="inlineStr">
        <is>
          <t>TN</t>
        </is>
      </c>
      <c r="J960" t="inlineStr"/>
      <c r="K960" t="inlineStr">
        <is>
          <t>20190426</t>
        </is>
      </c>
      <c r="L960" t="inlineStr">
        <is>
          <t>20250127</t>
        </is>
      </c>
    </row>
    <row r="961">
      <c r="A961" t="inlineStr">
        <is>
          <t>900003601</t>
        </is>
      </c>
      <c r="B961" t="inlineStr">
        <is>
          <t>D836</t>
        </is>
      </c>
      <c r="C961" t="inlineStr">
        <is>
          <t>65251399</t>
        </is>
      </c>
      <c r="D961" t="inlineStr">
        <is>
          <t>10000722</t>
        </is>
      </c>
      <c r="E961" t="inlineStr"/>
      <c r="F961" s="11" t="n">
        <v>116.25</v>
      </c>
      <c r="G961" t="inlineStr"/>
      <c r="I961" t="inlineStr">
        <is>
          <t>TN</t>
        </is>
      </c>
      <c r="J961" t="inlineStr"/>
      <c r="K961" t="inlineStr">
        <is>
          <t>20190426</t>
        </is>
      </c>
      <c r="L961" t="inlineStr">
        <is>
          <t>20250127</t>
        </is>
      </c>
    </row>
    <row r="962">
      <c r="A962" t="inlineStr">
        <is>
          <t>900003601</t>
        </is>
      </c>
      <c r="B962" t="inlineStr">
        <is>
          <t>D836</t>
        </is>
      </c>
      <c r="C962" t="inlineStr">
        <is>
          <t>65296485</t>
        </is>
      </c>
      <c r="D962" t="inlineStr">
        <is>
          <t>10000722</t>
        </is>
      </c>
      <c r="E962" t="inlineStr"/>
      <c r="F962" s="11" t="n">
        <v>106.56</v>
      </c>
      <c r="G962" t="inlineStr"/>
      <c r="I962" t="inlineStr">
        <is>
          <t>TN</t>
        </is>
      </c>
      <c r="J962" t="inlineStr"/>
      <c r="K962" t="inlineStr">
        <is>
          <t>20190426</t>
        </is>
      </c>
      <c r="L962" t="inlineStr">
        <is>
          <t>20250127</t>
        </is>
      </c>
    </row>
    <row r="963">
      <c r="A963" t="inlineStr">
        <is>
          <t>900003601</t>
        </is>
      </c>
      <c r="B963" t="inlineStr">
        <is>
          <t>D836</t>
        </is>
      </c>
      <c r="C963" t="inlineStr">
        <is>
          <t>65345243</t>
        </is>
      </c>
      <c r="D963" t="inlineStr">
        <is>
          <t>10000623</t>
        </is>
      </c>
      <c r="E963" t="inlineStr"/>
      <c r="F963" s="11" t="n">
        <v>102.6</v>
      </c>
      <c r="G963" t="inlineStr"/>
      <c r="I963" t="inlineStr">
        <is>
          <t>TN</t>
        </is>
      </c>
      <c r="J963" t="inlineStr"/>
      <c r="K963" t="inlineStr">
        <is>
          <t>20190426</t>
        </is>
      </c>
      <c r="L963" t="inlineStr">
        <is>
          <t>20250127</t>
        </is>
      </c>
    </row>
    <row r="964">
      <c r="A964" t="inlineStr">
        <is>
          <t>900003601</t>
        </is>
      </c>
      <c r="B964" t="inlineStr">
        <is>
          <t>D836</t>
        </is>
      </c>
      <c r="C964" t="inlineStr">
        <is>
          <t>65346224</t>
        </is>
      </c>
      <c r="D964" t="inlineStr">
        <is>
          <t>10000623</t>
        </is>
      </c>
      <c r="E964" t="inlineStr"/>
      <c r="F964" s="11" t="n">
        <v>106.92</v>
      </c>
      <c r="G964" t="inlineStr"/>
      <c r="I964" t="inlineStr">
        <is>
          <t>TN</t>
        </is>
      </c>
      <c r="J964" t="inlineStr"/>
      <c r="K964" t="inlineStr">
        <is>
          <t>20190426</t>
        </is>
      </c>
      <c r="L964" t="inlineStr">
        <is>
          <t>20250127</t>
        </is>
      </c>
    </row>
    <row r="965">
      <c r="A965" t="inlineStr">
        <is>
          <t>900003601</t>
        </is>
      </c>
      <c r="B965" t="inlineStr">
        <is>
          <t>D836</t>
        </is>
      </c>
      <c r="C965" t="inlineStr">
        <is>
          <t>65360507</t>
        </is>
      </c>
      <c r="D965" t="inlineStr">
        <is>
          <t>10000623</t>
        </is>
      </c>
      <c r="E965" t="inlineStr"/>
      <c r="F965" s="11" t="n">
        <v>110.44</v>
      </c>
      <c r="G965" t="inlineStr"/>
      <c r="I965" t="inlineStr">
        <is>
          <t>TN</t>
        </is>
      </c>
      <c r="J965" t="inlineStr"/>
      <c r="K965" t="inlineStr">
        <is>
          <t>20190426</t>
        </is>
      </c>
      <c r="L965" t="inlineStr">
        <is>
          <t>20250127</t>
        </is>
      </c>
    </row>
    <row r="966">
      <c r="A966" t="inlineStr">
        <is>
          <t>900003601</t>
        </is>
      </c>
      <c r="B966" t="inlineStr">
        <is>
          <t>D836</t>
        </is>
      </c>
      <c r="C966" t="inlineStr">
        <is>
          <t>65360507</t>
        </is>
      </c>
      <c r="D966" t="inlineStr">
        <is>
          <t>10000722</t>
        </is>
      </c>
      <c r="E966" t="inlineStr"/>
      <c r="F966" s="11" t="n">
        <v>110.44</v>
      </c>
      <c r="G966" t="inlineStr"/>
      <c r="I966" t="inlineStr">
        <is>
          <t>TN</t>
        </is>
      </c>
      <c r="J966" t="inlineStr"/>
      <c r="K966" t="inlineStr">
        <is>
          <t>20190426</t>
        </is>
      </c>
      <c r="L966" t="inlineStr">
        <is>
          <t>20250127</t>
        </is>
      </c>
    </row>
    <row r="967">
      <c r="A967" t="inlineStr">
        <is>
          <t>900003601</t>
        </is>
      </c>
      <c r="B967" t="inlineStr">
        <is>
          <t>D836</t>
        </is>
      </c>
      <c r="C967" t="inlineStr">
        <is>
          <t>65370785</t>
        </is>
      </c>
      <c r="D967" t="inlineStr">
        <is>
          <t>10000722</t>
        </is>
      </c>
      <c r="E967" t="inlineStr"/>
      <c r="F967" s="11" t="n">
        <v>111.09</v>
      </c>
      <c r="G967" t="inlineStr"/>
      <c r="I967" t="inlineStr">
        <is>
          <t>TN</t>
        </is>
      </c>
      <c r="J967" t="inlineStr"/>
      <c r="K967" t="inlineStr">
        <is>
          <t>20190426</t>
        </is>
      </c>
      <c r="L967" t="inlineStr">
        <is>
          <t>20250127</t>
        </is>
      </c>
    </row>
    <row r="968">
      <c r="A968" t="inlineStr">
        <is>
          <t>900003601</t>
        </is>
      </c>
      <c r="B968" t="inlineStr">
        <is>
          <t>D836</t>
        </is>
      </c>
      <c r="C968" t="inlineStr">
        <is>
          <t>65442270</t>
        </is>
      </c>
      <c r="D968" t="inlineStr">
        <is>
          <t>10000624</t>
        </is>
      </c>
      <c r="E968" t="inlineStr"/>
      <c r="F968" s="11" t="n">
        <v>107.64</v>
      </c>
      <c r="G968" t="inlineStr"/>
      <c r="I968" t="inlineStr">
        <is>
          <t>TN</t>
        </is>
      </c>
      <c r="J968" t="inlineStr"/>
      <c r="K968" t="inlineStr">
        <is>
          <t>20190426</t>
        </is>
      </c>
      <c r="L968" t="inlineStr">
        <is>
          <t>20250127</t>
        </is>
      </c>
    </row>
    <row r="969">
      <c r="A969" t="inlineStr">
        <is>
          <t>900003601</t>
        </is>
      </c>
      <c r="B969" t="inlineStr">
        <is>
          <t>D836</t>
        </is>
      </c>
      <c r="C969" t="inlineStr">
        <is>
          <t>65442270</t>
        </is>
      </c>
      <c r="D969" t="inlineStr">
        <is>
          <t>10000722</t>
        </is>
      </c>
      <c r="E969" t="inlineStr"/>
      <c r="F969" s="11" t="n">
        <v>107.64</v>
      </c>
      <c r="G969" t="inlineStr"/>
      <c r="I969" t="inlineStr">
        <is>
          <t>TN</t>
        </is>
      </c>
      <c r="J969" t="inlineStr"/>
      <c r="K969" t="inlineStr">
        <is>
          <t>20190426</t>
        </is>
      </c>
      <c r="L969" t="inlineStr">
        <is>
          <t>20250127</t>
        </is>
      </c>
    </row>
    <row r="970">
      <c r="A970" t="inlineStr">
        <is>
          <t>900003601</t>
        </is>
      </c>
      <c r="B970" t="inlineStr">
        <is>
          <t>D836</t>
        </is>
      </c>
      <c r="C970" t="inlineStr">
        <is>
          <t>65445261</t>
        </is>
      </c>
      <c r="D970" t="inlineStr">
        <is>
          <t>10000623</t>
        </is>
      </c>
      <c r="E970" t="inlineStr"/>
      <c r="F970" s="11" t="n">
        <v>116.25</v>
      </c>
      <c r="G970" t="inlineStr"/>
      <c r="I970" t="inlineStr">
        <is>
          <t>TN</t>
        </is>
      </c>
      <c r="J970" t="inlineStr"/>
      <c r="K970" t="inlineStr">
        <is>
          <t>20190426</t>
        </is>
      </c>
      <c r="L970" t="inlineStr">
        <is>
          <t>20250127</t>
        </is>
      </c>
    </row>
    <row r="971">
      <c r="A971" t="inlineStr">
        <is>
          <t>900003601</t>
        </is>
      </c>
      <c r="B971" t="inlineStr">
        <is>
          <t>D836</t>
        </is>
      </c>
      <c r="C971" t="inlineStr">
        <is>
          <t>65445261</t>
        </is>
      </c>
      <c r="D971" t="inlineStr">
        <is>
          <t>10000722</t>
        </is>
      </c>
      <c r="E971" t="inlineStr"/>
      <c r="F971" s="11" t="n">
        <v>116.25</v>
      </c>
      <c r="G971" t="inlineStr"/>
      <c r="I971" t="inlineStr">
        <is>
          <t>TN</t>
        </is>
      </c>
      <c r="J971" t="inlineStr"/>
      <c r="K971" t="inlineStr">
        <is>
          <t>20190426</t>
        </is>
      </c>
      <c r="L971" t="inlineStr">
        <is>
          <t>20250127</t>
        </is>
      </c>
    </row>
    <row r="972">
      <c r="A972" t="inlineStr">
        <is>
          <t>900003601</t>
        </is>
      </c>
      <c r="B972" t="inlineStr">
        <is>
          <t>D836</t>
        </is>
      </c>
      <c r="C972" t="inlineStr">
        <is>
          <t>65565826</t>
        </is>
      </c>
      <c r="D972" t="inlineStr">
        <is>
          <t>10000623</t>
        </is>
      </c>
      <c r="E972" t="inlineStr"/>
      <c r="F972" s="11" t="n">
        <v>102.86</v>
      </c>
      <c r="G972" t="inlineStr"/>
      <c r="I972" t="inlineStr">
        <is>
          <t>TN</t>
        </is>
      </c>
      <c r="J972" t="inlineStr"/>
      <c r="K972" t="inlineStr">
        <is>
          <t>20190426</t>
        </is>
      </c>
      <c r="L972" t="inlineStr">
        <is>
          <t>20250127</t>
        </is>
      </c>
    </row>
    <row r="973">
      <c r="A973" t="inlineStr">
        <is>
          <t>900003601</t>
        </is>
      </c>
      <c r="B973" t="inlineStr">
        <is>
          <t>D836</t>
        </is>
      </c>
      <c r="C973" t="inlineStr">
        <is>
          <t>65565826</t>
        </is>
      </c>
      <c r="D973" t="inlineStr">
        <is>
          <t>10000722</t>
        </is>
      </c>
      <c r="E973" t="inlineStr"/>
      <c r="F973" s="11" t="n">
        <v>102.86</v>
      </c>
      <c r="G973" t="inlineStr"/>
      <c r="I973" t="inlineStr">
        <is>
          <t>TN</t>
        </is>
      </c>
      <c r="J973" t="inlineStr"/>
      <c r="K973" t="inlineStr">
        <is>
          <t>20190426</t>
        </is>
      </c>
      <c r="L973" t="inlineStr">
        <is>
          <t>20250127</t>
        </is>
      </c>
    </row>
    <row r="974">
      <c r="A974" t="inlineStr">
        <is>
          <t>900003601</t>
        </is>
      </c>
      <c r="B974" t="inlineStr">
        <is>
          <t>D836</t>
        </is>
      </c>
      <c r="C974" t="inlineStr">
        <is>
          <t>65570346</t>
        </is>
      </c>
      <c r="D974" t="inlineStr">
        <is>
          <t>10000624</t>
        </is>
      </c>
      <c r="E974" t="inlineStr"/>
      <c r="F974" s="11" t="n">
        <v>90.72</v>
      </c>
      <c r="G974" t="inlineStr"/>
      <c r="I974" t="inlineStr">
        <is>
          <t>TN</t>
        </is>
      </c>
      <c r="J974" t="inlineStr"/>
      <c r="K974" t="inlineStr">
        <is>
          <t>20190426</t>
        </is>
      </c>
      <c r="L974" t="inlineStr">
        <is>
          <t>20250127</t>
        </is>
      </c>
    </row>
    <row r="975">
      <c r="A975" t="inlineStr">
        <is>
          <t>900003601</t>
        </is>
      </c>
      <c r="B975" t="inlineStr">
        <is>
          <t>D836</t>
        </is>
      </c>
      <c r="C975" t="inlineStr">
        <is>
          <t>65570346</t>
        </is>
      </c>
      <c r="D975" t="inlineStr">
        <is>
          <t>10000722</t>
        </is>
      </c>
      <c r="E975" t="inlineStr"/>
      <c r="F975" s="11" t="n">
        <v>116.25</v>
      </c>
      <c r="G975" t="inlineStr"/>
      <c r="I975" t="inlineStr">
        <is>
          <t>TN</t>
        </is>
      </c>
      <c r="J975" t="inlineStr"/>
      <c r="K975" t="inlineStr">
        <is>
          <t>20190426</t>
        </is>
      </c>
      <c r="L975" t="inlineStr">
        <is>
          <t>20250127</t>
        </is>
      </c>
    </row>
    <row r="976">
      <c r="A976" t="inlineStr">
        <is>
          <t>900003601</t>
        </is>
      </c>
      <c r="B976" t="inlineStr">
        <is>
          <t>D836</t>
        </is>
      </c>
      <c r="C976" t="inlineStr">
        <is>
          <t>65612966</t>
        </is>
      </c>
      <c r="D976" t="inlineStr">
        <is>
          <t>10000624</t>
        </is>
      </c>
      <c r="E976" t="inlineStr"/>
      <c r="F976" s="11" t="n">
        <v>93.5</v>
      </c>
      <c r="G976" t="inlineStr"/>
      <c r="I976" t="inlineStr">
        <is>
          <t>TN</t>
        </is>
      </c>
      <c r="J976" t="inlineStr"/>
      <c r="K976" t="inlineStr">
        <is>
          <t>20190426</t>
        </is>
      </c>
      <c r="L976" t="inlineStr">
        <is>
          <t>20250127</t>
        </is>
      </c>
    </row>
    <row r="977">
      <c r="A977" t="inlineStr">
        <is>
          <t>900003601</t>
        </is>
      </c>
      <c r="B977" t="inlineStr">
        <is>
          <t>D836</t>
        </is>
      </c>
      <c r="C977" t="inlineStr">
        <is>
          <t>65612966</t>
        </is>
      </c>
      <c r="D977" t="inlineStr">
        <is>
          <t>10000722</t>
        </is>
      </c>
      <c r="E977" t="inlineStr"/>
      <c r="F977" s="11" t="n">
        <v>86.56999999999999</v>
      </c>
      <c r="G977" t="inlineStr"/>
      <c r="I977" t="inlineStr">
        <is>
          <t>TN</t>
        </is>
      </c>
      <c r="J977" t="inlineStr"/>
      <c r="K977" t="inlineStr">
        <is>
          <t>20190426</t>
        </is>
      </c>
      <c r="L977" t="inlineStr">
        <is>
          <t>20250127</t>
        </is>
      </c>
    </row>
    <row r="978">
      <c r="A978" t="inlineStr">
        <is>
          <t>900003601</t>
        </is>
      </c>
      <c r="B978" t="inlineStr">
        <is>
          <t>D836</t>
        </is>
      </c>
      <c r="C978" t="inlineStr">
        <is>
          <t>65625331</t>
        </is>
      </c>
      <c r="D978" t="inlineStr">
        <is>
          <t>10000623</t>
        </is>
      </c>
      <c r="E978" t="inlineStr"/>
      <c r="F978" s="11" t="n">
        <v>122.06</v>
      </c>
      <c r="G978" t="inlineStr"/>
      <c r="I978" t="inlineStr">
        <is>
          <t>TN</t>
        </is>
      </c>
      <c r="J978" t="inlineStr"/>
      <c r="K978" t="inlineStr">
        <is>
          <t>20190426</t>
        </is>
      </c>
      <c r="L978" t="inlineStr">
        <is>
          <t>20250127</t>
        </is>
      </c>
    </row>
    <row r="979">
      <c r="A979" t="inlineStr">
        <is>
          <t>900003601</t>
        </is>
      </c>
      <c r="B979" t="inlineStr">
        <is>
          <t>D836</t>
        </is>
      </c>
      <c r="C979" t="inlineStr">
        <is>
          <t>65625331</t>
        </is>
      </c>
      <c r="D979" t="inlineStr">
        <is>
          <t>10000624</t>
        </is>
      </c>
      <c r="E979" t="inlineStr"/>
      <c r="F979" s="11" t="n">
        <v>112.58</v>
      </c>
      <c r="G979" t="inlineStr"/>
      <c r="I979" t="inlineStr">
        <is>
          <t>TN</t>
        </is>
      </c>
      <c r="J979" t="inlineStr"/>
      <c r="K979" t="inlineStr">
        <is>
          <t>20190426</t>
        </is>
      </c>
      <c r="L979" t="inlineStr">
        <is>
          <t>20250127</t>
        </is>
      </c>
    </row>
    <row r="980">
      <c r="A980" t="inlineStr">
        <is>
          <t>900003601</t>
        </is>
      </c>
      <c r="B980" t="inlineStr">
        <is>
          <t>D836</t>
        </is>
      </c>
      <c r="C980" t="inlineStr">
        <is>
          <t>65625331</t>
        </is>
      </c>
      <c r="D980" t="inlineStr">
        <is>
          <t>10000811</t>
        </is>
      </c>
      <c r="E980" t="inlineStr"/>
      <c r="F980" s="11" t="n">
        <v>111.21</v>
      </c>
      <c r="G980" t="inlineStr"/>
      <c r="I980" t="inlineStr">
        <is>
          <t>TN</t>
        </is>
      </c>
      <c r="J980" t="inlineStr"/>
      <c r="K980" t="inlineStr">
        <is>
          <t>20190426</t>
        </is>
      </c>
      <c r="L980" t="inlineStr">
        <is>
          <t>20250127</t>
        </is>
      </c>
    </row>
    <row r="981">
      <c r="A981" t="inlineStr">
        <is>
          <t>900003601</t>
        </is>
      </c>
      <c r="B981" t="inlineStr">
        <is>
          <t>D836</t>
        </is>
      </c>
      <c r="C981" t="inlineStr">
        <is>
          <t>65674132</t>
        </is>
      </c>
      <c r="D981" t="inlineStr">
        <is>
          <t>10000624</t>
        </is>
      </c>
      <c r="E981" t="inlineStr"/>
      <c r="F981" s="11" t="n">
        <v>97.2</v>
      </c>
      <c r="G981" t="inlineStr"/>
      <c r="I981" t="inlineStr">
        <is>
          <t>TN</t>
        </is>
      </c>
      <c r="J981" t="inlineStr"/>
      <c r="K981" t="inlineStr">
        <is>
          <t>20190426</t>
        </is>
      </c>
      <c r="L981" t="inlineStr">
        <is>
          <t>20250127</t>
        </is>
      </c>
    </row>
    <row r="982">
      <c r="A982" t="inlineStr">
        <is>
          <t>900003601</t>
        </is>
      </c>
      <c r="B982" t="inlineStr">
        <is>
          <t>D836</t>
        </is>
      </c>
      <c r="C982" t="inlineStr">
        <is>
          <t>65685819</t>
        </is>
      </c>
      <c r="D982" t="inlineStr">
        <is>
          <t>10000624</t>
        </is>
      </c>
      <c r="E982" t="inlineStr"/>
      <c r="F982" s="11" t="n">
        <v>107.64</v>
      </c>
      <c r="G982" t="inlineStr"/>
      <c r="I982" t="inlineStr">
        <is>
          <t>TN</t>
        </is>
      </c>
      <c r="J982" t="inlineStr"/>
      <c r="K982" t="inlineStr">
        <is>
          <t>20190426</t>
        </is>
      </c>
      <c r="L982" t="inlineStr">
        <is>
          <t>20250127</t>
        </is>
      </c>
    </row>
    <row r="983">
      <c r="A983" t="inlineStr">
        <is>
          <t>900003601</t>
        </is>
      </c>
      <c r="B983" t="inlineStr">
        <is>
          <t>D836</t>
        </is>
      </c>
      <c r="C983" t="inlineStr">
        <is>
          <t>65685819</t>
        </is>
      </c>
      <c r="D983" t="inlineStr">
        <is>
          <t>10000722</t>
        </is>
      </c>
      <c r="E983" t="inlineStr"/>
      <c r="F983" s="11" t="n">
        <v>107.64</v>
      </c>
      <c r="G983" t="inlineStr"/>
      <c r="I983" t="inlineStr">
        <is>
          <t>TN</t>
        </is>
      </c>
      <c r="J983" t="inlineStr"/>
      <c r="K983" t="inlineStr">
        <is>
          <t>20190426</t>
        </is>
      </c>
      <c r="L983" t="inlineStr">
        <is>
          <t>20250127</t>
        </is>
      </c>
    </row>
    <row r="984">
      <c r="A984" t="inlineStr">
        <is>
          <t>900003601</t>
        </is>
      </c>
      <c r="B984" t="inlineStr">
        <is>
          <t>D836</t>
        </is>
      </c>
      <c r="C984" t="inlineStr">
        <is>
          <t>65729122</t>
        </is>
      </c>
      <c r="D984" t="inlineStr">
        <is>
          <t>10000623</t>
        </is>
      </c>
      <c r="E984" t="inlineStr"/>
      <c r="F984" s="11" t="n">
        <v>107.64</v>
      </c>
      <c r="G984" t="inlineStr"/>
      <c r="I984" t="inlineStr">
        <is>
          <t>TN</t>
        </is>
      </c>
      <c r="J984" t="inlineStr"/>
      <c r="K984" t="inlineStr">
        <is>
          <t>20190426</t>
        </is>
      </c>
      <c r="L984" t="inlineStr">
        <is>
          <t>20250127</t>
        </is>
      </c>
    </row>
    <row r="985">
      <c r="A985" t="inlineStr">
        <is>
          <t>900003601</t>
        </is>
      </c>
      <c r="B985" t="inlineStr">
        <is>
          <t>D836</t>
        </is>
      </c>
      <c r="C985" t="inlineStr">
        <is>
          <t>65729122</t>
        </is>
      </c>
      <c r="D985" t="inlineStr">
        <is>
          <t>10000624</t>
        </is>
      </c>
      <c r="E985" t="inlineStr"/>
      <c r="F985" s="11" t="n">
        <v>107.64</v>
      </c>
      <c r="G985" t="inlineStr"/>
      <c r="I985" t="inlineStr">
        <is>
          <t>TN</t>
        </is>
      </c>
      <c r="J985" t="inlineStr"/>
      <c r="K985" t="inlineStr">
        <is>
          <t>20190426</t>
        </is>
      </c>
      <c r="L985" t="inlineStr">
        <is>
          <t>20250127</t>
        </is>
      </c>
    </row>
    <row r="986">
      <c r="A986" t="inlineStr">
        <is>
          <t>900003601</t>
        </is>
      </c>
      <c r="B986" t="inlineStr">
        <is>
          <t>D836</t>
        </is>
      </c>
      <c r="C986" t="inlineStr">
        <is>
          <t>65729122</t>
        </is>
      </c>
      <c r="D986" t="inlineStr">
        <is>
          <t>10000722</t>
        </is>
      </c>
      <c r="E986" t="inlineStr"/>
      <c r="F986" s="11" t="n">
        <v>107.64</v>
      </c>
      <c r="G986" t="inlineStr"/>
      <c r="I986" t="inlineStr">
        <is>
          <t>TN</t>
        </is>
      </c>
      <c r="J986" t="inlineStr"/>
      <c r="K986" t="inlineStr">
        <is>
          <t>20190426</t>
        </is>
      </c>
      <c r="L986" t="inlineStr">
        <is>
          <t>20250127</t>
        </is>
      </c>
    </row>
    <row r="987">
      <c r="A987" t="inlineStr">
        <is>
          <t>900003601</t>
        </is>
      </c>
      <c r="B987" t="inlineStr">
        <is>
          <t>D836</t>
        </is>
      </c>
      <c r="C987" t="inlineStr">
        <is>
          <t>65751297</t>
        </is>
      </c>
      <c r="D987" t="inlineStr">
        <is>
          <t>10000623</t>
        </is>
      </c>
      <c r="E987" t="inlineStr"/>
      <c r="F987" s="11" t="n">
        <v>102.6</v>
      </c>
      <c r="G987" t="inlineStr"/>
      <c r="I987" t="inlineStr">
        <is>
          <t>TN</t>
        </is>
      </c>
      <c r="J987" t="inlineStr"/>
      <c r="K987" t="inlineStr">
        <is>
          <t>20190426</t>
        </is>
      </c>
      <c r="L987" t="inlineStr">
        <is>
          <t>20250127</t>
        </is>
      </c>
    </row>
    <row r="988">
      <c r="A988" t="inlineStr">
        <is>
          <t>900003601</t>
        </is>
      </c>
      <c r="B988" t="inlineStr">
        <is>
          <t>D836</t>
        </is>
      </c>
      <c r="C988" t="inlineStr">
        <is>
          <t>65751299</t>
        </is>
      </c>
      <c r="D988" t="inlineStr">
        <is>
          <t>10000623</t>
        </is>
      </c>
      <c r="E988" t="inlineStr"/>
      <c r="F988" s="11" t="n">
        <v>102.6</v>
      </c>
      <c r="G988" t="inlineStr"/>
      <c r="I988" t="inlineStr">
        <is>
          <t>TN</t>
        </is>
      </c>
      <c r="J988" t="inlineStr"/>
      <c r="K988" t="inlineStr">
        <is>
          <t>20190426</t>
        </is>
      </c>
      <c r="L988" t="inlineStr">
        <is>
          <t>20250127</t>
        </is>
      </c>
    </row>
    <row r="989">
      <c r="A989" t="inlineStr">
        <is>
          <t>900003601</t>
        </is>
      </c>
      <c r="B989" t="inlineStr">
        <is>
          <t>D836</t>
        </is>
      </c>
      <c r="C989" t="inlineStr">
        <is>
          <t>65751300</t>
        </is>
      </c>
      <c r="D989" t="inlineStr">
        <is>
          <t>10000623</t>
        </is>
      </c>
      <c r="E989" t="inlineStr"/>
      <c r="F989" s="11" t="n">
        <v>102.6</v>
      </c>
      <c r="G989" t="inlineStr"/>
      <c r="I989" t="inlineStr">
        <is>
          <t>TN</t>
        </is>
      </c>
      <c r="J989" t="inlineStr"/>
      <c r="K989" t="inlineStr">
        <is>
          <t>20190426</t>
        </is>
      </c>
      <c r="L989" t="inlineStr">
        <is>
          <t>20250127</t>
        </is>
      </c>
    </row>
    <row r="990">
      <c r="A990" t="inlineStr">
        <is>
          <t>900003601</t>
        </is>
      </c>
      <c r="B990" t="inlineStr">
        <is>
          <t>D836</t>
        </is>
      </c>
      <c r="C990" t="inlineStr">
        <is>
          <t>65781482</t>
        </is>
      </c>
      <c r="D990" t="inlineStr">
        <is>
          <t>10000624</t>
        </is>
      </c>
      <c r="E990" t="inlineStr"/>
      <c r="F990" s="11" t="n">
        <v>116.25</v>
      </c>
      <c r="G990" t="inlineStr"/>
      <c r="I990" t="inlineStr">
        <is>
          <t>TN</t>
        </is>
      </c>
      <c r="J990" t="inlineStr"/>
      <c r="K990" t="inlineStr">
        <is>
          <t>20190426</t>
        </is>
      </c>
      <c r="L990" t="inlineStr">
        <is>
          <t>20250127</t>
        </is>
      </c>
    </row>
    <row r="991">
      <c r="A991" t="inlineStr">
        <is>
          <t>900003601</t>
        </is>
      </c>
      <c r="B991" t="inlineStr">
        <is>
          <t>D836</t>
        </is>
      </c>
      <c r="C991" t="inlineStr">
        <is>
          <t>65781482</t>
        </is>
      </c>
      <c r="D991" t="inlineStr">
        <is>
          <t>10000722</t>
        </is>
      </c>
      <c r="E991" t="inlineStr"/>
      <c r="F991" s="11" t="n">
        <v>116.25</v>
      </c>
      <c r="G991" t="inlineStr"/>
      <c r="I991" t="inlineStr">
        <is>
          <t>TN</t>
        </is>
      </c>
      <c r="J991" t="inlineStr"/>
      <c r="K991" t="inlineStr">
        <is>
          <t>20190426</t>
        </is>
      </c>
      <c r="L991" t="inlineStr">
        <is>
          <t>20250127</t>
        </is>
      </c>
    </row>
    <row r="992">
      <c r="A992" t="inlineStr">
        <is>
          <t>900003601</t>
        </is>
      </c>
      <c r="B992" t="inlineStr">
        <is>
          <t>D836</t>
        </is>
      </c>
      <c r="C992" t="inlineStr">
        <is>
          <t>65796882</t>
        </is>
      </c>
      <c r="D992" t="inlineStr">
        <is>
          <t>10000624</t>
        </is>
      </c>
      <c r="E992" t="inlineStr"/>
      <c r="F992" s="11" t="n">
        <v>114.1</v>
      </c>
      <c r="G992" t="inlineStr"/>
      <c r="I992" t="inlineStr">
        <is>
          <t>TN</t>
        </is>
      </c>
      <c r="J992" t="inlineStr"/>
      <c r="K992" t="inlineStr">
        <is>
          <t>20190426</t>
        </is>
      </c>
      <c r="L992" t="inlineStr">
        <is>
          <t>20250127</t>
        </is>
      </c>
    </row>
    <row r="993">
      <c r="A993" t="inlineStr">
        <is>
          <t>900003601</t>
        </is>
      </c>
      <c r="B993" t="inlineStr">
        <is>
          <t>D836</t>
        </is>
      </c>
      <c r="C993" t="inlineStr">
        <is>
          <t>65796882</t>
        </is>
      </c>
      <c r="D993" t="inlineStr">
        <is>
          <t>10000722</t>
        </is>
      </c>
      <c r="E993" t="inlineStr"/>
      <c r="F993" s="11" t="n">
        <v>114.1</v>
      </c>
      <c r="G993" t="inlineStr"/>
      <c r="I993" t="inlineStr">
        <is>
          <t>TN</t>
        </is>
      </c>
      <c r="J993" t="inlineStr"/>
      <c r="K993" t="inlineStr">
        <is>
          <t>20190426</t>
        </is>
      </c>
      <c r="L993" t="inlineStr">
        <is>
          <t>20250127</t>
        </is>
      </c>
    </row>
    <row r="994">
      <c r="A994" t="inlineStr">
        <is>
          <t>900003601</t>
        </is>
      </c>
      <c r="B994" t="inlineStr">
        <is>
          <t>D836</t>
        </is>
      </c>
      <c r="C994" t="inlineStr">
        <is>
          <t>65799535</t>
        </is>
      </c>
      <c r="D994" t="inlineStr">
        <is>
          <t>10000623</t>
        </is>
      </c>
      <c r="E994" t="inlineStr"/>
      <c r="F994" s="11" t="n">
        <v>106.44</v>
      </c>
      <c r="G994" t="inlineStr"/>
      <c r="I994" t="inlineStr">
        <is>
          <t>TN</t>
        </is>
      </c>
      <c r="J994" t="inlineStr"/>
      <c r="K994" t="inlineStr">
        <is>
          <t>20190426</t>
        </is>
      </c>
      <c r="L994" t="inlineStr">
        <is>
          <t>20250127</t>
        </is>
      </c>
    </row>
    <row r="995">
      <c r="A995" t="inlineStr">
        <is>
          <t>900003601</t>
        </is>
      </c>
      <c r="B995" t="inlineStr">
        <is>
          <t>D836</t>
        </is>
      </c>
      <c r="C995" t="inlineStr">
        <is>
          <t>65799535</t>
        </is>
      </c>
      <c r="D995" t="inlineStr">
        <is>
          <t>10000624</t>
        </is>
      </c>
      <c r="E995" t="inlineStr"/>
      <c r="F995" s="11" t="n">
        <v>97.78</v>
      </c>
      <c r="G995" t="inlineStr"/>
      <c r="I995" t="inlineStr">
        <is>
          <t>TN</t>
        </is>
      </c>
      <c r="J995" t="inlineStr"/>
      <c r="K995" t="inlineStr">
        <is>
          <t>20190426</t>
        </is>
      </c>
      <c r="L995" t="inlineStr">
        <is>
          <t>20250127</t>
        </is>
      </c>
    </row>
    <row r="996">
      <c r="A996" t="inlineStr">
        <is>
          <t>900003601</t>
        </is>
      </c>
      <c r="B996" t="inlineStr">
        <is>
          <t>D836</t>
        </is>
      </c>
      <c r="C996" t="inlineStr">
        <is>
          <t>65799535</t>
        </is>
      </c>
      <c r="D996" t="inlineStr">
        <is>
          <t>10000811</t>
        </is>
      </c>
      <c r="E996" t="inlineStr"/>
      <c r="F996" s="11" t="n">
        <v>106.7</v>
      </c>
      <c r="G996" t="inlineStr"/>
      <c r="I996" t="inlineStr">
        <is>
          <t>TN</t>
        </is>
      </c>
      <c r="J996" t="inlineStr"/>
      <c r="K996" t="inlineStr">
        <is>
          <t>20190426</t>
        </is>
      </c>
      <c r="L996" t="inlineStr">
        <is>
          <t>20250127</t>
        </is>
      </c>
    </row>
    <row r="997">
      <c r="A997" t="inlineStr">
        <is>
          <t>900003601</t>
        </is>
      </c>
      <c r="B997" t="inlineStr">
        <is>
          <t>D836</t>
        </is>
      </c>
      <c r="C997" t="inlineStr">
        <is>
          <t>65897546</t>
        </is>
      </c>
      <c r="D997" t="inlineStr">
        <is>
          <t>10000623</t>
        </is>
      </c>
      <c r="E997" t="inlineStr"/>
      <c r="F997" s="11" t="n">
        <v>113.62</v>
      </c>
      <c r="G997" t="inlineStr"/>
      <c r="I997" t="inlineStr">
        <is>
          <t>TN</t>
        </is>
      </c>
      <c r="J997" t="inlineStr"/>
      <c r="K997" t="inlineStr">
        <is>
          <t>20190426</t>
        </is>
      </c>
      <c r="L997" t="inlineStr">
        <is>
          <t>20250127</t>
        </is>
      </c>
    </row>
    <row r="998">
      <c r="A998" t="inlineStr">
        <is>
          <t>900003601</t>
        </is>
      </c>
      <c r="B998" t="inlineStr">
        <is>
          <t>D836</t>
        </is>
      </c>
      <c r="C998" t="inlineStr">
        <is>
          <t>65921764</t>
        </is>
      </c>
      <c r="D998" t="inlineStr">
        <is>
          <t>10000623</t>
        </is>
      </c>
      <c r="E998" t="inlineStr"/>
      <c r="F998" s="11" t="n">
        <v>119.3</v>
      </c>
      <c r="G998" t="inlineStr"/>
      <c r="I998" t="inlineStr">
        <is>
          <t>TN</t>
        </is>
      </c>
      <c r="J998" t="inlineStr"/>
      <c r="K998" t="inlineStr">
        <is>
          <t>20190426</t>
        </is>
      </c>
      <c r="L998" t="inlineStr">
        <is>
          <t>20250127</t>
        </is>
      </c>
    </row>
    <row r="999">
      <c r="A999" t="inlineStr">
        <is>
          <t>900003601</t>
        </is>
      </c>
      <c r="B999" t="inlineStr">
        <is>
          <t>D836</t>
        </is>
      </c>
      <c r="C999" t="inlineStr">
        <is>
          <t>66230098</t>
        </is>
      </c>
      <c r="D999" t="inlineStr">
        <is>
          <t>10000624</t>
        </is>
      </c>
      <c r="E999" t="inlineStr"/>
      <c r="F999" s="11" t="n">
        <v>111.78</v>
      </c>
      <c r="G999" t="inlineStr"/>
      <c r="I999" t="inlineStr">
        <is>
          <t>TN</t>
        </is>
      </c>
      <c r="J999" t="inlineStr"/>
      <c r="K999" t="inlineStr">
        <is>
          <t>20190426</t>
        </is>
      </c>
      <c r="L999" t="inlineStr">
        <is>
          <t>20250127</t>
        </is>
      </c>
    </row>
    <row r="1000">
      <c r="A1000" t="inlineStr">
        <is>
          <t>900003601</t>
        </is>
      </c>
      <c r="B1000" t="inlineStr">
        <is>
          <t>D836</t>
        </is>
      </c>
      <c r="C1000" t="inlineStr">
        <is>
          <t>66230098</t>
        </is>
      </c>
      <c r="D1000" t="inlineStr">
        <is>
          <t>10000722</t>
        </is>
      </c>
      <c r="E1000" t="inlineStr"/>
      <c r="F1000" s="11" t="n">
        <v>111.78</v>
      </c>
      <c r="G1000" t="inlineStr"/>
      <c r="I1000" t="inlineStr">
        <is>
          <t>TN</t>
        </is>
      </c>
      <c r="J1000" t="inlineStr"/>
      <c r="K1000" t="inlineStr">
        <is>
          <t>20190426</t>
        </is>
      </c>
      <c r="L1000" t="inlineStr">
        <is>
          <t>20250127</t>
        </is>
      </c>
    </row>
    <row r="1001">
      <c r="A1001" t="inlineStr">
        <is>
          <t>900003601</t>
        </is>
      </c>
      <c r="B1001" t="inlineStr">
        <is>
          <t>D836</t>
        </is>
      </c>
      <c r="C1001" t="inlineStr">
        <is>
          <t>66237142</t>
        </is>
      </c>
      <c r="D1001" t="inlineStr">
        <is>
          <t>10000624</t>
        </is>
      </c>
      <c r="E1001" t="inlineStr"/>
      <c r="F1001" s="11" t="n">
        <v>99.59999999999999</v>
      </c>
      <c r="G1001" t="inlineStr"/>
      <c r="I1001" t="inlineStr">
        <is>
          <t>TN</t>
        </is>
      </c>
      <c r="J1001" t="inlineStr"/>
      <c r="K1001" t="inlineStr">
        <is>
          <t>20190426</t>
        </is>
      </c>
      <c r="L1001" t="inlineStr">
        <is>
          <t>20250127</t>
        </is>
      </c>
    </row>
    <row r="1002">
      <c r="A1002" t="inlineStr">
        <is>
          <t>900003601</t>
        </is>
      </c>
      <c r="B1002" t="inlineStr">
        <is>
          <t>D836</t>
        </is>
      </c>
      <c r="C1002" t="inlineStr">
        <is>
          <t>66237142</t>
        </is>
      </c>
      <c r="D1002" t="inlineStr">
        <is>
          <t>10000722</t>
        </is>
      </c>
      <c r="E1002" t="inlineStr"/>
      <c r="F1002" s="11" t="n">
        <v>116.25</v>
      </c>
      <c r="G1002" t="inlineStr"/>
      <c r="I1002" t="inlineStr">
        <is>
          <t>TN</t>
        </is>
      </c>
      <c r="J1002" t="inlineStr"/>
      <c r="K1002" t="inlineStr">
        <is>
          <t>20190426</t>
        </is>
      </c>
      <c r="L1002" t="inlineStr">
        <is>
          <t>20250127</t>
        </is>
      </c>
    </row>
    <row r="1003">
      <c r="A1003" t="inlineStr">
        <is>
          <t>900003601</t>
        </is>
      </c>
      <c r="B1003" t="inlineStr">
        <is>
          <t>D836</t>
        </is>
      </c>
      <c r="C1003" t="inlineStr">
        <is>
          <t>66239560</t>
        </is>
      </c>
      <c r="D1003" t="inlineStr">
        <is>
          <t>10000623</t>
        </is>
      </c>
      <c r="E1003" t="inlineStr"/>
      <c r="F1003" s="11" t="n">
        <v>102.6</v>
      </c>
      <c r="G1003" t="inlineStr"/>
      <c r="I1003" t="inlineStr">
        <is>
          <t>TN</t>
        </is>
      </c>
      <c r="J1003" t="inlineStr"/>
      <c r="K1003" t="inlineStr">
        <is>
          <t>20190426</t>
        </is>
      </c>
      <c r="L1003" t="inlineStr">
        <is>
          <t>20250127</t>
        </is>
      </c>
    </row>
    <row r="1004">
      <c r="A1004" t="inlineStr">
        <is>
          <t>900003601</t>
        </is>
      </c>
      <c r="B1004" t="inlineStr">
        <is>
          <t>D836</t>
        </is>
      </c>
      <c r="C1004" t="inlineStr">
        <is>
          <t>66239561</t>
        </is>
      </c>
      <c r="D1004" t="inlineStr">
        <is>
          <t>10000623</t>
        </is>
      </c>
      <c r="E1004" t="inlineStr"/>
      <c r="F1004" s="11" t="n">
        <v>102.6</v>
      </c>
      <c r="G1004" t="inlineStr"/>
      <c r="I1004" t="inlineStr">
        <is>
          <t>TN</t>
        </is>
      </c>
      <c r="J1004" t="inlineStr"/>
      <c r="K1004" t="inlineStr">
        <is>
          <t>20190426</t>
        </is>
      </c>
      <c r="L1004" t="inlineStr">
        <is>
          <t>20250127</t>
        </is>
      </c>
    </row>
    <row r="1005">
      <c r="A1005" t="inlineStr">
        <is>
          <t>900003601</t>
        </is>
      </c>
      <c r="B1005" t="inlineStr">
        <is>
          <t>D836</t>
        </is>
      </c>
      <c r="C1005" t="inlineStr">
        <is>
          <t>66239598</t>
        </is>
      </c>
      <c r="D1005" t="inlineStr">
        <is>
          <t>10000623</t>
        </is>
      </c>
      <c r="E1005" t="inlineStr"/>
      <c r="F1005" s="11" t="n">
        <v>102.6</v>
      </c>
      <c r="G1005" t="inlineStr"/>
      <c r="I1005" t="inlineStr">
        <is>
          <t>TN</t>
        </is>
      </c>
      <c r="J1005" t="inlineStr"/>
      <c r="K1005" t="inlineStr">
        <is>
          <t>20190426</t>
        </is>
      </c>
      <c r="L1005" t="inlineStr">
        <is>
          <t>20250127</t>
        </is>
      </c>
    </row>
    <row r="1006">
      <c r="A1006" t="inlineStr">
        <is>
          <t>900003601</t>
        </is>
      </c>
      <c r="B1006" t="inlineStr">
        <is>
          <t>D836</t>
        </is>
      </c>
      <c r="C1006" t="inlineStr">
        <is>
          <t>66239599</t>
        </is>
      </c>
      <c r="D1006" t="inlineStr">
        <is>
          <t>10000623</t>
        </is>
      </c>
      <c r="E1006" t="inlineStr"/>
      <c r="F1006" s="11" t="n">
        <v>102.6</v>
      </c>
      <c r="G1006" t="inlineStr"/>
      <c r="I1006" t="inlineStr">
        <is>
          <t>TN</t>
        </is>
      </c>
      <c r="J1006" t="inlineStr"/>
      <c r="K1006" t="inlineStr">
        <is>
          <t>20190426</t>
        </is>
      </c>
      <c r="L1006" t="inlineStr">
        <is>
          <t>20250127</t>
        </is>
      </c>
    </row>
    <row r="1007">
      <c r="A1007" t="inlineStr">
        <is>
          <t>900003601</t>
        </is>
      </c>
      <c r="B1007" t="inlineStr">
        <is>
          <t>D836</t>
        </is>
      </c>
      <c r="C1007" t="inlineStr">
        <is>
          <t>66239601</t>
        </is>
      </c>
      <c r="D1007" t="inlineStr">
        <is>
          <t>10000623</t>
        </is>
      </c>
      <c r="E1007" t="inlineStr"/>
      <c r="F1007" s="11" t="n">
        <v>102.6</v>
      </c>
      <c r="G1007" t="inlineStr"/>
      <c r="I1007" t="inlineStr">
        <is>
          <t>TN</t>
        </is>
      </c>
      <c r="J1007" t="inlineStr"/>
      <c r="K1007" t="inlineStr">
        <is>
          <t>20190426</t>
        </is>
      </c>
      <c r="L1007" t="inlineStr">
        <is>
          <t>20250127</t>
        </is>
      </c>
    </row>
    <row r="1008">
      <c r="A1008" t="inlineStr">
        <is>
          <t>900003601</t>
        </is>
      </c>
      <c r="B1008" t="inlineStr">
        <is>
          <t>D836</t>
        </is>
      </c>
      <c r="C1008" t="inlineStr">
        <is>
          <t>66239617</t>
        </is>
      </c>
      <c r="D1008" t="inlineStr">
        <is>
          <t>10000623</t>
        </is>
      </c>
      <c r="E1008" t="inlineStr"/>
      <c r="F1008" s="11" t="n">
        <v>102.6</v>
      </c>
      <c r="G1008" t="inlineStr"/>
      <c r="I1008" t="inlineStr">
        <is>
          <t>TN</t>
        </is>
      </c>
      <c r="J1008" t="inlineStr"/>
      <c r="K1008" t="inlineStr">
        <is>
          <t>20190426</t>
        </is>
      </c>
      <c r="L1008" t="inlineStr">
        <is>
          <t>20250127</t>
        </is>
      </c>
    </row>
    <row r="1009">
      <c r="A1009" t="inlineStr">
        <is>
          <t>900003601</t>
        </is>
      </c>
      <c r="B1009" t="inlineStr">
        <is>
          <t>D836</t>
        </is>
      </c>
      <c r="C1009" t="inlineStr">
        <is>
          <t>66239621</t>
        </is>
      </c>
      <c r="D1009" t="inlineStr">
        <is>
          <t>10000623</t>
        </is>
      </c>
      <c r="E1009" t="inlineStr"/>
      <c r="F1009" s="11" t="n">
        <v>102.6</v>
      </c>
      <c r="G1009" t="inlineStr"/>
      <c r="I1009" t="inlineStr">
        <is>
          <t>TN</t>
        </is>
      </c>
      <c r="J1009" t="inlineStr"/>
      <c r="K1009" t="inlineStr">
        <is>
          <t>20190426</t>
        </is>
      </c>
      <c r="L1009" t="inlineStr">
        <is>
          <t>20250127</t>
        </is>
      </c>
    </row>
    <row r="1010">
      <c r="A1010" t="inlineStr">
        <is>
          <t>900003601</t>
        </is>
      </c>
      <c r="B1010" t="inlineStr">
        <is>
          <t>D836</t>
        </is>
      </c>
      <c r="C1010" t="inlineStr">
        <is>
          <t>66239627</t>
        </is>
      </c>
      <c r="D1010" t="inlineStr">
        <is>
          <t>10000623</t>
        </is>
      </c>
      <c r="E1010" t="inlineStr"/>
      <c r="F1010" s="11" t="n">
        <v>102.6</v>
      </c>
      <c r="G1010" t="inlineStr"/>
      <c r="I1010" t="inlineStr">
        <is>
          <t>TN</t>
        </is>
      </c>
      <c r="J1010" t="inlineStr"/>
      <c r="K1010" t="inlineStr">
        <is>
          <t>20190426</t>
        </is>
      </c>
      <c r="L1010" t="inlineStr">
        <is>
          <t>20250127</t>
        </is>
      </c>
    </row>
    <row r="1011">
      <c r="A1011" t="inlineStr">
        <is>
          <t>900003601</t>
        </is>
      </c>
      <c r="B1011" t="inlineStr">
        <is>
          <t>D836</t>
        </is>
      </c>
      <c r="C1011" t="inlineStr">
        <is>
          <t>66239628</t>
        </is>
      </c>
      <c r="D1011" t="inlineStr">
        <is>
          <t>10000623</t>
        </is>
      </c>
      <c r="E1011" t="inlineStr"/>
      <c r="F1011" s="11" t="n">
        <v>102.6</v>
      </c>
      <c r="G1011" t="inlineStr"/>
      <c r="I1011" t="inlineStr">
        <is>
          <t>TN</t>
        </is>
      </c>
      <c r="J1011" t="inlineStr"/>
      <c r="K1011" t="inlineStr">
        <is>
          <t>20190426</t>
        </is>
      </c>
      <c r="L1011" t="inlineStr">
        <is>
          <t>20250127</t>
        </is>
      </c>
    </row>
    <row r="1012">
      <c r="A1012" t="inlineStr">
        <is>
          <t>900003601</t>
        </is>
      </c>
      <c r="B1012" t="inlineStr">
        <is>
          <t>D836</t>
        </is>
      </c>
      <c r="C1012" t="inlineStr">
        <is>
          <t>66243150</t>
        </is>
      </c>
      <c r="D1012" t="inlineStr">
        <is>
          <t>10000623</t>
        </is>
      </c>
      <c r="E1012" t="inlineStr"/>
      <c r="F1012" s="11" t="n">
        <v>136.63</v>
      </c>
      <c r="G1012" t="inlineStr"/>
      <c r="I1012" t="inlineStr">
        <is>
          <t>TN</t>
        </is>
      </c>
      <c r="J1012" t="inlineStr"/>
      <c r="K1012" t="inlineStr">
        <is>
          <t>20190426</t>
        </is>
      </c>
      <c r="L1012" t="inlineStr">
        <is>
          <t>20250127</t>
        </is>
      </c>
    </row>
    <row r="1013">
      <c r="A1013" t="inlineStr">
        <is>
          <t>900003601</t>
        </is>
      </c>
      <c r="B1013" t="inlineStr">
        <is>
          <t>D836</t>
        </is>
      </c>
      <c r="C1013" t="inlineStr">
        <is>
          <t>66243150</t>
        </is>
      </c>
      <c r="D1013" t="inlineStr">
        <is>
          <t>10000624</t>
        </is>
      </c>
      <c r="E1013" t="inlineStr"/>
      <c r="F1013" s="11" t="n">
        <v>149.46</v>
      </c>
      <c r="G1013" t="inlineStr"/>
      <c r="I1013" t="inlineStr">
        <is>
          <t>TN</t>
        </is>
      </c>
      <c r="J1013" t="inlineStr"/>
      <c r="K1013" t="inlineStr">
        <is>
          <t>20190426</t>
        </is>
      </c>
      <c r="L1013" t="inlineStr">
        <is>
          <t>20250127</t>
        </is>
      </c>
    </row>
    <row r="1014">
      <c r="A1014" t="inlineStr">
        <is>
          <t>900003601</t>
        </is>
      </c>
      <c r="B1014" t="inlineStr">
        <is>
          <t>D836</t>
        </is>
      </c>
      <c r="C1014" t="inlineStr">
        <is>
          <t>66243150</t>
        </is>
      </c>
      <c r="D1014" t="inlineStr">
        <is>
          <t>10000722</t>
        </is>
      </c>
      <c r="E1014" t="inlineStr"/>
      <c r="F1014" s="11" t="n">
        <v>125.39</v>
      </c>
      <c r="G1014" t="inlineStr"/>
      <c r="I1014" t="inlineStr">
        <is>
          <t>TN</t>
        </is>
      </c>
      <c r="J1014" t="inlineStr"/>
      <c r="K1014" t="inlineStr">
        <is>
          <t>20190426</t>
        </is>
      </c>
      <c r="L1014" t="inlineStr">
        <is>
          <t>20250127</t>
        </is>
      </c>
    </row>
    <row r="1015">
      <c r="A1015" t="inlineStr">
        <is>
          <t>900003601</t>
        </is>
      </c>
      <c r="B1015" t="inlineStr">
        <is>
          <t>D836</t>
        </is>
      </c>
      <c r="C1015" t="inlineStr">
        <is>
          <t>66243150</t>
        </is>
      </c>
      <c r="D1015" t="inlineStr">
        <is>
          <t>10000811</t>
        </is>
      </c>
      <c r="E1015" t="inlineStr"/>
      <c r="F1015" s="11" t="n">
        <v>317.67</v>
      </c>
      <c r="G1015" t="inlineStr"/>
      <c r="I1015" t="inlineStr">
        <is>
          <t>M3</t>
        </is>
      </c>
      <c r="J1015" t="inlineStr"/>
      <c r="K1015" t="inlineStr">
        <is>
          <t>20190426</t>
        </is>
      </c>
      <c r="L1015" t="inlineStr">
        <is>
          <t>20250127</t>
        </is>
      </c>
    </row>
    <row r="1016">
      <c r="A1016" t="inlineStr">
        <is>
          <t>900003601</t>
        </is>
      </c>
      <c r="B1016" t="inlineStr">
        <is>
          <t>D836</t>
        </is>
      </c>
      <c r="C1016" t="inlineStr">
        <is>
          <t>66250932</t>
        </is>
      </c>
      <c r="D1016" t="inlineStr">
        <is>
          <t>10000623</t>
        </is>
      </c>
      <c r="E1016" t="inlineStr"/>
      <c r="F1016" s="11" t="n">
        <v>116.75</v>
      </c>
      <c r="G1016" t="inlineStr"/>
      <c r="I1016" t="inlineStr">
        <is>
          <t>TN</t>
        </is>
      </c>
      <c r="J1016" t="inlineStr"/>
      <c r="K1016" t="inlineStr">
        <is>
          <t>20190426</t>
        </is>
      </c>
      <c r="L1016" t="inlineStr">
        <is>
          <t>20250127</t>
        </is>
      </c>
    </row>
    <row r="1017">
      <c r="A1017" t="inlineStr">
        <is>
          <t>900003601</t>
        </is>
      </c>
      <c r="B1017" t="inlineStr">
        <is>
          <t>D836</t>
        </is>
      </c>
      <c r="C1017" t="inlineStr">
        <is>
          <t>66250932</t>
        </is>
      </c>
      <c r="D1017" t="inlineStr">
        <is>
          <t>10000624</t>
        </is>
      </c>
      <c r="E1017" t="inlineStr"/>
      <c r="F1017" s="11" t="n">
        <v>116.75</v>
      </c>
      <c r="G1017" t="inlineStr"/>
      <c r="I1017" t="inlineStr">
        <is>
          <t>TN</t>
        </is>
      </c>
      <c r="J1017" t="inlineStr"/>
      <c r="K1017" t="inlineStr">
        <is>
          <t>20190426</t>
        </is>
      </c>
      <c r="L1017" t="inlineStr">
        <is>
          <t>20250127</t>
        </is>
      </c>
    </row>
    <row r="1018">
      <c r="A1018" t="inlineStr">
        <is>
          <t>900003601</t>
        </is>
      </c>
      <c r="B1018" t="inlineStr">
        <is>
          <t>D836</t>
        </is>
      </c>
      <c r="C1018" t="inlineStr">
        <is>
          <t>66250932</t>
        </is>
      </c>
      <c r="D1018" t="inlineStr">
        <is>
          <t>10000722</t>
        </is>
      </c>
      <c r="E1018" t="inlineStr"/>
      <c r="F1018" s="11" t="n">
        <v>116.75</v>
      </c>
      <c r="G1018" t="inlineStr"/>
      <c r="I1018" t="inlineStr">
        <is>
          <t>TN</t>
        </is>
      </c>
      <c r="J1018" t="inlineStr"/>
      <c r="K1018" t="inlineStr">
        <is>
          <t>20190426</t>
        </is>
      </c>
      <c r="L1018" t="inlineStr">
        <is>
          <t>20250127</t>
        </is>
      </c>
    </row>
    <row r="1019">
      <c r="A1019" t="inlineStr">
        <is>
          <t>900003601</t>
        </is>
      </c>
      <c r="B1019" t="inlineStr">
        <is>
          <t>D836</t>
        </is>
      </c>
      <c r="C1019" t="inlineStr">
        <is>
          <t>66260137</t>
        </is>
      </c>
      <c r="D1019" t="inlineStr">
        <is>
          <t>10000624</t>
        </is>
      </c>
      <c r="E1019" t="inlineStr"/>
      <c r="F1019" s="11" t="n">
        <v>108.1</v>
      </c>
      <c r="G1019" t="inlineStr"/>
      <c r="I1019" t="inlineStr">
        <is>
          <t>TN</t>
        </is>
      </c>
      <c r="J1019" t="inlineStr"/>
      <c r="K1019" t="inlineStr">
        <is>
          <t>20190426</t>
        </is>
      </c>
      <c r="L1019" t="inlineStr">
        <is>
          <t>20250127</t>
        </is>
      </c>
    </row>
    <row r="1020">
      <c r="A1020" t="inlineStr">
        <is>
          <t>900003601</t>
        </is>
      </c>
      <c r="B1020" t="inlineStr">
        <is>
          <t>D836</t>
        </is>
      </c>
      <c r="C1020" t="inlineStr">
        <is>
          <t>66260137</t>
        </is>
      </c>
      <c r="D1020" t="inlineStr">
        <is>
          <t>10000722</t>
        </is>
      </c>
      <c r="E1020" t="inlineStr"/>
      <c r="F1020" s="11" t="n">
        <v>108.1</v>
      </c>
      <c r="G1020" t="inlineStr"/>
      <c r="I1020" t="inlineStr">
        <is>
          <t>TN</t>
        </is>
      </c>
      <c r="J1020" t="inlineStr"/>
      <c r="K1020" t="inlineStr">
        <is>
          <t>20190426</t>
        </is>
      </c>
      <c r="L1020" t="inlineStr">
        <is>
          <t>20250127</t>
        </is>
      </c>
    </row>
    <row r="1021">
      <c r="A1021" t="inlineStr">
        <is>
          <t>900003601</t>
        </is>
      </c>
      <c r="B1021" t="inlineStr">
        <is>
          <t>D836</t>
        </is>
      </c>
      <c r="C1021" t="inlineStr">
        <is>
          <t>66260139</t>
        </is>
      </c>
      <c r="D1021" t="inlineStr">
        <is>
          <t>10000624</t>
        </is>
      </c>
      <c r="E1021" t="inlineStr"/>
      <c r="F1021" s="11" t="n">
        <v>108.1</v>
      </c>
      <c r="G1021" t="inlineStr"/>
      <c r="I1021" t="inlineStr">
        <is>
          <t>TN</t>
        </is>
      </c>
      <c r="J1021" t="inlineStr"/>
      <c r="K1021" t="inlineStr">
        <is>
          <t>20190426</t>
        </is>
      </c>
      <c r="L1021" t="inlineStr">
        <is>
          <t>20250127</t>
        </is>
      </c>
    </row>
    <row r="1022">
      <c r="A1022" t="inlineStr">
        <is>
          <t>900003601</t>
        </is>
      </c>
      <c r="B1022" t="inlineStr">
        <is>
          <t>D836</t>
        </is>
      </c>
      <c r="C1022" t="inlineStr">
        <is>
          <t>66260139</t>
        </is>
      </c>
      <c r="D1022" t="inlineStr">
        <is>
          <t>10000722</t>
        </is>
      </c>
      <c r="E1022" t="inlineStr"/>
      <c r="F1022" s="11" t="n">
        <v>108.1</v>
      </c>
      <c r="G1022" t="inlineStr"/>
      <c r="I1022" t="inlineStr">
        <is>
          <t>TN</t>
        </is>
      </c>
      <c r="J1022" t="inlineStr"/>
      <c r="K1022" t="inlineStr">
        <is>
          <t>20190426</t>
        </is>
      </c>
      <c r="L1022" t="inlineStr">
        <is>
          <t>20250127</t>
        </is>
      </c>
    </row>
    <row r="1023">
      <c r="A1023" t="inlineStr">
        <is>
          <t>900003601</t>
        </is>
      </c>
      <c r="B1023" t="inlineStr">
        <is>
          <t>D836</t>
        </is>
      </c>
      <c r="C1023" t="inlineStr">
        <is>
          <t>66272739</t>
        </is>
      </c>
      <c r="D1023" t="inlineStr">
        <is>
          <t>10000623</t>
        </is>
      </c>
      <c r="E1023" t="inlineStr"/>
      <c r="F1023" s="11" t="n">
        <v>116.75</v>
      </c>
      <c r="G1023" t="inlineStr"/>
      <c r="I1023" t="inlineStr">
        <is>
          <t>TN</t>
        </is>
      </c>
      <c r="J1023" t="inlineStr"/>
      <c r="K1023" t="inlineStr">
        <is>
          <t>20190426</t>
        </is>
      </c>
      <c r="L1023" t="inlineStr">
        <is>
          <t>20250127</t>
        </is>
      </c>
    </row>
    <row r="1024">
      <c r="A1024" t="inlineStr">
        <is>
          <t>900003601</t>
        </is>
      </c>
      <c r="B1024" t="inlineStr">
        <is>
          <t>D836</t>
        </is>
      </c>
      <c r="C1024" t="inlineStr">
        <is>
          <t>66272739</t>
        </is>
      </c>
      <c r="D1024" t="inlineStr">
        <is>
          <t>10000624</t>
        </is>
      </c>
      <c r="E1024" t="inlineStr"/>
      <c r="F1024" s="11" t="n">
        <v>116.75</v>
      </c>
      <c r="G1024" t="inlineStr"/>
      <c r="I1024" t="inlineStr">
        <is>
          <t>TN</t>
        </is>
      </c>
      <c r="J1024" t="inlineStr"/>
      <c r="K1024" t="inlineStr">
        <is>
          <t>20190426</t>
        </is>
      </c>
      <c r="L1024" t="inlineStr">
        <is>
          <t>20250127</t>
        </is>
      </c>
    </row>
    <row r="1025">
      <c r="A1025" t="inlineStr">
        <is>
          <t>900003601</t>
        </is>
      </c>
      <c r="B1025" t="inlineStr">
        <is>
          <t>D836</t>
        </is>
      </c>
      <c r="C1025" t="inlineStr">
        <is>
          <t>66272739</t>
        </is>
      </c>
      <c r="D1025" t="inlineStr">
        <is>
          <t>10000722</t>
        </is>
      </c>
      <c r="E1025" t="inlineStr"/>
      <c r="F1025" s="11" t="n">
        <v>116.75</v>
      </c>
      <c r="G1025" t="inlineStr"/>
      <c r="I1025" t="inlineStr">
        <is>
          <t>TN</t>
        </is>
      </c>
      <c r="J1025" t="inlineStr"/>
      <c r="K1025" t="inlineStr">
        <is>
          <t>20190426</t>
        </is>
      </c>
      <c r="L1025" t="inlineStr">
        <is>
          <t>20250127</t>
        </is>
      </c>
    </row>
    <row r="1026">
      <c r="A1026" t="inlineStr">
        <is>
          <t>900003601</t>
        </is>
      </c>
      <c r="B1026" t="inlineStr">
        <is>
          <t>D836</t>
        </is>
      </c>
      <c r="C1026" t="inlineStr">
        <is>
          <t>66289413</t>
        </is>
      </c>
      <c r="D1026" t="inlineStr">
        <is>
          <t>10000623</t>
        </is>
      </c>
      <c r="E1026" t="inlineStr"/>
      <c r="F1026" s="11" t="n">
        <v>102.6</v>
      </c>
      <c r="G1026" t="inlineStr"/>
      <c r="I1026" t="inlineStr">
        <is>
          <t>TN</t>
        </is>
      </c>
      <c r="J1026" t="inlineStr"/>
      <c r="K1026" t="inlineStr">
        <is>
          <t>20190426</t>
        </is>
      </c>
      <c r="L1026" t="inlineStr">
        <is>
          <t>20250127</t>
        </is>
      </c>
    </row>
    <row r="1027">
      <c r="A1027" t="inlineStr">
        <is>
          <t>900003601</t>
        </is>
      </c>
      <c r="B1027" t="inlineStr">
        <is>
          <t>D836</t>
        </is>
      </c>
      <c r="C1027" t="inlineStr">
        <is>
          <t>66293203</t>
        </is>
      </c>
      <c r="D1027" t="inlineStr">
        <is>
          <t>10000757</t>
        </is>
      </c>
      <c r="E1027" t="inlineStr"/>
      <c r="F1027" s="11" t="n">
        <v>65.19</v>
      </c>
      <c r="G1027" t="inlineStr"/>
      <c r="I1027" t="inlineStr">
        <is>
          <t>TN</t>
        </is>
      </c>
      <c r="J1027" t="inlineStr"/>
      <c r="K1027" t="inlineStr">
        <is>
          <t>20190426</t>
        </is>
      </c>
      <c r="L1027" t="inlineStr">
        <is>
          <t>20250127</t>
        </is>
      </c>
    </row>
    <row r="1028">
      <c r="A1028" t="inlineStr">
        <is>
          <t>900003601</t>
        </is>
      </c>
      <c r="B1028" t="inlineStr">
        <is>
          <t>D836</t>
        </is>
      </c>
      <c r="C1028" t="inlineStr">
        <is>
          <t>66310610</t>
        </is>
      </c>
      <c r="D1028" t="inlineStr">
        <is>
          <t>10000623</t>
        </is>
      </c>
      <c r="E1028" t="inlineStr"/>
      <c r="F1028" s="11" t="n">
        <v>116.75</v>
      </c>
      <c r="G1028" t="inlineStr"/>
      <c r="I1028" t="inlineStr">
        <is>
          <t>TN</t>
        </is>
      </c>
      <c r="J1028" t="inlineStr"/>
      <c r="K1028" t="inlineStr">
        <is>
          <t>20190426</t>
        </is>
      </c>
      <c r="L1028" t="inlineStr">
        <is>
          <t>20250127</t>
        </is>
      </c>
    </row>
    <row r="1029">
      <c r="A1029" t="inlineStr">
        <is>
          <t>900003601</t>
        </is>
      </c>
      <c r="B1029" t="inlineStr">
        <is>
          <t>D836</t>
        </is>
      </c>
      <c r="C1029" t="inlineStr">
        <is>
          <t>66310610</t>
        </is>
      </c>
      <c r="D1029" t="inlineStr">
        <is>
          <t>10000624</t>
        </is>
      </c>
      <c r="E1029" t="inlineStr"/>
      <c r="F1029" s="11" t="n">
        <v>116.75</v>
      </c>
      <c r="G1029" t="inlineStr"/>
      <c r="I1029" t="inlineStr">
        <is>
          <t>TN</t>
        </is>
      </c>
      <c r="J1029" t="inlineStr"/>
      <c r="K1029" t="inlineStr">
        <is>
          <t>20190426</t>
        </is>
      </c>
      <c r="L1029" t="inlineStr">
        <is>
          <t>20250127</t>
        </is>
      </c>
    </row>
    <row r="1030">
      <c r="A1030" t="inlineStr">
        <is>
          <t>900003601</t>
        </is>
      </c>
      <c r="B1030" t="inlineStr">
        <is>
          <t>D836</t>
        </is>
      </c>
      <c r="C1030" t="inlineStr">
        <is>
          <t>66310610</t>
        </is>
      </c>
      <c r="D1030" t="inlineStr">
        <is>
          <t>10000722</t>
        </is>
      </c>
      <c r="E1030" t="inlineStr"/>
      <c r="F1030" s="11" t="n">
        <v>116.75</v>
      </c>
      <c r="G1030" t="inlineStr"/>
      <c r="I1030" t="inlineStr">
        <is>
          <t>TN</t>
        </is>
      </c>
      <c r="J1030" t="inlineStr"/>
      <c r="K1030" t="inlineStr">
        <is>
          <t>20190426</t>
        </is>
      </c>
      <c r="L1030" t="inlineStr">
        <is>
          <t>20250127</t>
        </is>
      </c>
    </row>
    <row r="1031">
      <c r="A1031" t="inlineStr">
        <is>
          <t>900003601</t>
        </is>
      </c>
      <c r="B1031" t="inlineStr">
        <is>
          <t>D836</t>
        </is>
      </c>
      <c r="C1031" t="inlineStr">
        <is>
          <t>66338102</t>
        </is>
      </c>
      <c r="D1031" t="inlineStr">
        <is>
          <t>10000623</t>
        </is>
      </c>
      <c r="E1031" t="inlineStr"/>
      <c r="F1031" s="11" t="n">
        <v>102.6</v>
      </c>
      <c r="G1031" t="inlineStr"/>
      <c r="I1031" t="inlineStr">
        <is>
          <t>TN</t>
        </is>
      </c>
      <c r="J1031" t="inlineStr"/>
      <c r="K1031" t="inlineStr">
        <is>
          <t>20190426</t>
        </is>
      </c>
      <c r="L1031" t="inlineStr">
        <is>
          <t>20250127</t>
        </is>
      </c>
    </row>
    <row r="1032">
      <c r="A1032" t="inlineStr">
        <is>
          <t>900003601</t>
        </is>
      </c>
      <c r="B1032" t="inlineStr">
        <is>
          <t>D836</t>
        </is>
      </c>
      <c r="C1032" t="inlineStr">
        <is>
          <t>66399551</t>
        </is>
      </c>
      <c r="D1032" t="inlineStr">
        <is>
          <t>10000811</t>
        </is>
      </c>
      <c r="E1032" t="inlineStr"/>
      <c r="F1032" s="11" t="n">
        <v>103.68</v>
      </c>
      <c r="G1032" t="inlineStr"/>
      <c r="I1032" t="inlineStr">
        <is>
          <t>TN</t>
        </is>
      </c>
      <c r="J1032" t="inlineStr"/>
      <c r="K1032" t="inlineStr">
        <is>
          <t>20190426</t>
        </is>
      </c>
      <c r="L1032" t="inlineStr">
        <is>
          <t>20250127</t>
        </is>
      </c>
    </row>
    <row r="1033">
      <c r="A1033" t="inlineStr">
        <is>
          <t>900003601</t>
        </is>
      </c>
      <c r="B1033" t="inlineStr">
        <is>
          <t>D836</t>
        </is>
      </c>
      <c r="C1033" t="inlineStr">
        <is>
          <t>66403063</t>
        </is>
      </c>
      <c r="D1033" t="inlineStr">
        <is>
          <t>10000623</t>
        </is>
      </c>
      <c r="E1033" t="inlineStr"/>
      <c r="F1033" s="11" t="n">
        <v>102.6</v>
      </c>
      <c r="G1033" t="inlineStr"/>
      <c r="I1033" t="inlineStr">
        <is>
          <t>TN</t>
        </is>
      </c>
      <c r="J1033" t="inlineStr"/>
      <c r="K1033" t="inlineStr">
        <is>
          <t>20190426</t>
        </is>
      </c>
      <c r="L1033" t="inlineStr">
        <is>
          <t>20250127</t>
        </is>
      </c>
    </row>
    <row r="1034">
      <c r="A1034" t="inlineStr">
        <is>
          <t>900003601</t>
        </is>
      </c>
      <c r="B1034" t="inlineStr">
        <is>
          <t>D836</t>
        </is>
      </c>
      <c r="C1034" t="inlineStr">
        <is>
          <t>66408593</t>
        </is>
      </c>
      <c r="D1034" t="inlineStr">
        <is>
          <t>10000623</t>
        </is>
      </c>
      <c r="E1034" t="inlineStr"/>
      <c r="F1034" s="11" t="n">
        <v>95</v>
      </c>
      <c r="G1034" t="inlineStr"/>
      <c r="I1034" t="inlineStr">
        <is>
          <t>TN</t>
        </is>
      </c>
      <c r="J1034" t="inlineStr"/>
      <c r="K1034" t="inlineStr">
        <is>
          <t>20190426</t>
        </is>
      </c>
      <c r="L1034" t="inlineStr">
        <is>
          <t>20250127</t>
        </is>
      </c>
    </row>
    <row r="1035">
      <c r="A1035" t="inlineStr">
        <is>
          <t>900003601</t>
        </is>
      </c>
      <c r="B1035" t="inlineStr">
        <is>
          <t>D836</t>
        </is>
      </c>
      <c r="C1035" t="inlineStr">
        <is>
          <t>66414377</t>
        </is>
      </c>
      <c r="D1035" t="inlineStr">
        <is>
          <t>10000811</t>
        </is>
      </c>
      <c r="E1035" t="inlineStr"/>
      <c r="F1035" s="11" t="n">
        <v>105</v>
      </c>
      <c r="G1035" t="inlineStr"/>
      <c r="I1035" t="inlineStr">
        <is>
          <t>TN</t>
        </is>
      </c>
      <c r="J1035" t="inlineStr"/>
      <c r="K1035" t="inlineStr">
        <is>
          <t>20190426</t>
        </is>
      </c>
      <c r="L1035" t="inlineStr">
        <is>
          <t>20250127</t>
        </is>
      </c>
    </row>
    <row r="1036">
      <c r="A1036" t="inlineStr">
        <is>
          <t>900003601</t>
        </is>
      </c>
      <c r="B1036" t="inlineStr">
        <is>
          <t>D836</t>
        </is>
      </c>
      <c r="C1036" t="inlineStr">
        <is>
          <t>66423916</t>
        </is>
      </c>
      <c r="D1036" t="inlineStr">
        <is>
          <t>10000623</t>
        </is>
      </c>
      <c r="E1036" t="inlineStr"/>
      <c r="F1036" s="11" t="n">
        <v>108.18</v>
      </c>
      <c r="G1036" t="inlineStr"/>
      <c r="I1036" t="inlineStr">
        <is>
          <t>TN</t>
        </is>
      </c>
      <c r="J1036" t="inlineStr"/>
      <c r="K1036" t="inlineStr">
        <is>
          <t>20190426</t>
        </is>
      </c>
      <c r="L1036" t="inlineStr">
        <is>
          <t>20250127</t>
        </is>
      </c>
    </row>
    <row r="1037">
      <c r="A1037" t="inlineStr">
        <is>
          <t>900003601</t>
        </is>
      </c>
      <c r="B1037" t="inlineStr">
        <is>
          <t>D836</t>
        </is>
      </c>
      <c r="C1037" t="inlineStr">
        <is>
          <t>66423916</t>
        </is>
      </c>
      <c r="D1037" t="inlineStr">
        <is>
          <t>10000811</t>
        </is>
      </c>
      <c r="E1037" t="inlineStr"/>
      <c r="F1037" s="11" t="n">
        <v>108.18</v>
      </c>
      <c r="G1037" t="inlineStr"/>
      <c r="I1037" t="inlineStr">
        <is>
          <t>TN</t>
        </is>
      </c>
      <c r="J1037" t="inlineStr"/>
      <c r="K1037" t="inlineStr">
        <is>
          <t>20190426</t>
        </is>
      </c>
      <c r="L1037" t="inlineStr">
        <is>
          <t>20250127</t>
        </is>
      </c>
    </row>
    <row r="1038">
      <c r="A1038" t="inlineStr">
        <is>
          <t>900003601</t>
        </is>
      </c>
      <c r="B1038" t="inlineStr">
        <is>
          <t>D836</t>
        </is>
      </c>
      <c r="C1038" t="inlineStr">
        <is>
          <t>66428265</t>
        </is>
      </c>
      <c r="D1038" t="inlineStr">
        <is>
          <t>10000624</t>
        </is>
      </c>
      <c r="E1038" t="inlineStr"/>
      <c r="F1038" s="11" t="n">
        <v>96</v>
      </c>
      <c r="G1038" t="inlineStr"/>
      <c r="I1038" t="inlineStr">
        <is>
          <t>TN</t>
        </is>
      </c>
      <c r="J1038" t="inlineStr"/>
      <c r="K1038" t="inlineStr">
        <is>
          <t>20190426</t>
        </is>
      </c>
      <c r="L1038" t="inlineStr">
        <is>
          <t>20250127</t>
        </is>
      </c>
    </row>
    <row r="1039">
      <c r="A1039" t="inlineStr">
        <is>
          <t>900003601</t>
        </is>
      </c>
      <c r="B1039" t="inlineStr">
        <is>
          <t>D836</t>
        </is>
      </c>
      <c r="C1039" t="inlineStr">
        <is>
          <t>66428265</t>
        </is>
      </c>
      <c r="D1039" t="inlineStr">
        <is>
          <t>10000811</t>
        </is>
      </c>
      <c r="E1039" t="inlineStr"/>
      <c r="F1039" s="11" t="n">
        <v>100</v>
      </c>
      <c r="G1039" t="inlineStr"/>
      <c r="I1039" t="inlineStr">
        <is>
          <t>TN</t>
        </is>
      </c>
      <c r="J1039" t="inlineStr"/>
      <c r="K1039" t="inlineStr">
        <is>
          <t>20190426</t>
        </is>
      </c>
      <c r="L1039" t="inlineStr">
        <is>
          <t>20250127</t>
        </is>
      </c>
    </row>
    <row r="1040">
      <c r="A1040" t="inlineStr">
        <is>
          <t>900003601</t>
        </is>
      </c>
      <c r="B1040" t="inlineStr">
        <is>
          <t>D836</t>
        </is>
      </c>
      <c r="C1040" t="inlineStr">
        <is>
          <t>66428265</t>
        </is>
      </c>
      <c r="D1040" t="inlineStr">
        <is>
          <t>10159432</t>
        </is>
      </c>
      <c r="E1040" t="inlineStr"/>
      <c r="F1040" s="11" t="n">
        <v>90</v>
      </c>
      <c r="G1040" t="inlineStr"/>
      <c r="I1040" t="inlineStr">
        <is>
          <t>TN</t>
        </is>
      </c>
      <c r="J1040" t="inlineStr"/>
      <c r="K1040" t="inlineStr">
        <is>
          <t>20190426</t>
        </is>
      </c>
      <c r="L1040" t="inlineStr">
        <is>
          <t>20250127</t>
        </is>
      </c>
    </row>
    <row r="1041">
      <c r="A1041" t="inlineStr">
        <is>
          <t>900003601</t>
        </is>
      </c>
      <c r="B1041" t="inlineStr">
        <is>
          <t>D836</t>
        </is>
      </c>
      <c r="C1041" t="inlineStr">
        <is>
          <t>66433511</t>
        </is>
      </c>
      <c r="D1041" t="inlineStr">
        <is>
          <t>10000623</t>
        </is>
      </c>
      <c r="E1041" t="inlineStr"/>
      <c r="F1041" s="11" t="n">
        <v>108</v>
      </c>
      <c r="G1041" t="inlineStr"/>
      <c r="I1041" t="inlineStr">
        <is>
          <t>TN</t>
        </is>
      </c>
      <c r="J1041" t="inlineStr"/>
      <c r="K1041" t="inlineStr">
        <is>
          <t>20190426</t>
        </is>
      </c>
      <c r="L1041" t="inlineStr">
        <is>
          <t>20250127</t>
        </is>
      </c>
    </row>
    <row r="1042">
      <c r="A1042" t="inlineStr">
        <is>
          <t>900003601</t>
        </is>
      </c>
      <c r="B1042" t="inlineStr">
        <is>
          <t>D836</t>
        </is>
      </c>
      <c r="C1042" t="inlineStr">
        <is>
          <t>66465268</t>
        </is>
      </c>
      <c r="D1042" t="inlineStr">
        <is>
          <t>10000811</t>
        </is>
      </c>
      <c r="E1042" t="inlineStr"/>
      <c r="F1042" s="11" t="n">
        <v>104.76</v>
      </c>
      <c r="G1042" t="inlineStr"/>
      <c r="I1042" t="inlineStr">
        <is>
          <t>TN</t>
        </is>
      </c>
      <c r="J1042" t="inlineStr"/>
      <c r="K1042" t="inlineStr">
        <is>
          <t>20190426</t>
        </is>
      </c>
      <c r="L1042" t="inlineStr">
        <is>
          <t>20250127</t>
        </is>
      </c>
    </row>
    <row r="1043">
      <c r="A1043" t="inlineStr">
        <is>
          <t>900003601</t>
        </is>
      </c>
      <c r="B1043" t="inlineStr">
        <is>
          <t>D836</t>
        </is>
      </c>
      <c r="C1043" t="inlineStr">
        <is>
          <t>66475158</t>
        </is>
      </c>
      <c r="D1043" t="inlineStr">
        <is>
          <t>10000623</t>
        </is>
      </c>
      <c r="E1043" t="inlineStr"/>
      <c r="F1043" s="11" t="n">
        <v>102.6</v>
      </c>
      <c r="G1043" t="inlineStr"/>
      <c r="I1043" t="inlineStr">
        <is>
          <t>TN</t>
        </is>
      </c>
      <c r="J1043" t="inlineStr"/>
      <c r="K1043" t="inlineStr">
        <is>
          <t>20190426</t>
        </is>
      </c>
      <c r="L1043" t="inlineStr">
        <is>
          <t>20250127</t>
        </is>
      </c>
    </row>
    <row r="1044">
      <c r="A1044" t="inlineStr">
        <is>
          <t>900003601</t>
        </is>
      </c>
      <c r="B1044" t="inlineStr">
        <is>
          <t>D836</t>
        </is>
      </c>
      <c r="C1044" t="inlineStr">
        <is>
          <t>66482104</t>
        </is>
      </c>
      <c r="D1044" t="inlineStr">
        <is>
          <t>10000623</t>
        </is>
      </c>
      <c r="E1044" t="inlineStr"/>
      <c r="F1044" s="11" t="n">
        <v>102.6</v>
      </c>
      <c r="G1044" t="inlineStr"/>
      <c r="I1044" t="inlineStr">
        <is>
          <t>TN</t>
        </is>
      </c>
      <c r="J1044" t="inlineStr"/>
      <c r="K1044" t="inlineStr">
        <is>
          <t>20190426</t>
        </is>
      </c>
      <c r="L1044" t="inlineStr">
        <is>
          <t>20250127</t>
        </is>
      </c>
    </row>
    <row r="1045">
      <c r="A1045" t="inlineStr">
        <is>
          <t>900003601</t>
        </is>
      </c>
      <c r="B1045" t="inlineStr">
        <is>
          <t>D836</t>
        </is>
      </c>
      <c r="C1045" t="inlineStr">
        <is>
          <t>66482288</t>
        </is>
      </c>
      <c r="D1045" t="inlineStr">
        <is>
          <t>10000623</t>
        </is>
      </c>
      <c r="E1045" t="inlineStr"/>
      <c r="F1045" s="11" t="n">
        <v>102.6</v>
      </c>
      <c r="G1045" t="inlineStr"/>
      <c r="I1045" t="inlineStr">
        <is>
          <t>TN</t>
        </is>
      </c>
      <c r="J1045" t="inlineStr"/>
      <c r="K1045" t="inlineStr">
        <is>
          <t>20190426</t>
        </is>
      </c>
      <c r="L1045" t="inlineStr">
        <is>
          <t>20250127</t>
        </is>
      </c>
    </row>
    <row r="1046">
      <c r="A1046" t="inlineStr">
        <is>
          <t>900003601</t>
        </is>
      </c>
      <c r="B1046" t="inlineStr">
        <is>
          <t>D836</t>
        </is>
      </c>
      <c r="C1046" t="inlineStr">
        <is>
          <t>66482289</t>
        </is>
      </c>
      <c r="D1046" t="inlineStr">
        <is>
          <t>10000623</t>
        </is>
      </c>
      <c r="E1046" t="inlineStr"/>
      <c r="F1046" s="11" t="n">
        <v>102.6</v>
      </c>
      <c r="G1046" t="inlineStr"/>
      <c r="I1046" t="inlineStr">
        <is>
          <t>TN</t>
        </is>
      </c>
      <c r="J1046" t="inlineStr"/>
      <c r="K1046" t="inlineStr">
        <is>
          <t>20190426</t>
        </is>
      </c>
      <c r="L1046" t="inlineStr">
        <is>
          <t>20250127</t>
        </is>
      </c>
    </row>
    <row r="1047">
      <c r="A1047" t="inlineStr">
        <is>
          <t>900003601</t>
        </is>
      </c>
      <c r="B1047" t="inlineStr">
        <is>
          <t>D836</t>
        </is>
      </c>
      <c r="C1047" t="inlineStr">
        <is>
          <t>66519073</t>
        </is>
      </c>
      <c r="D1047" t="inlineStr">
        <is>
          <t>10000623</t>
        </is>
      </c>
      <c r="E1047" t="inlineStr"/>
      <c r="F1047" s="11" t="n">
        <v>102.6</v>
      </c>
      <c r="G1047" t="inlineStr"/>
      <c r="I1047" t="inlineStr">
        <is>
          <t>TN</t>
        </is>
      </c>
      <c r="J1047" t="inlineStr"/>
      <c r="K1047" t="inlineStr">
        <is>
          <t>20190426</t>
        </is>
      </c>
      <c r="L1047" t="inlineStr">
        <is>
          <t>20250127</t>
        </is>
      </c>
    </row>
    <row r="1048">
      <c r="A1048" t="inlineStr">
        <is>
          <t>900003601</t>
        </is>
      </c>
      <c r="B1048" t="inlineStr">
        <is>
          <t>D836</t>
        </is>
      </c>
      <c r="C1048" t="inlineStr">
        <is>
          <t>66532867</t>
        </is>
      </c>
      <c r="D1048" t="inlineStr">
        <is>
          <t>10000623</t>
        </is>
      </c>
      <c r="E1048" t="inlineStr"/>
      <c r="F1048" s="11" t="n">
        <v>102.6</v>
      </c>
      <c r="G1048" t="inlineStr"/>
      <c r="I1048" t="inlineStr">
        <is>
          <t>TN</t>
        </is>
      </c>
      <c r="J1048" t="inlineStr"/>
      <c r="K1048" t="inlineStr">
        <is>
          <t>20190426</t>
        </is>
      </c>
      <c r="L1048" t="inlineStr">
        <is>
          <t>20250127</t>
        </is>
      </c>
    </row>
    <row r="1049">
      <c r="A1049" t="inlineStr">
        <is>
          <t>900003601</t>
        </is>
      </c>
      <c r="B1049" t="inlineStr">
        <is>
          <t>D836</t>
        </is>
      </c>
      <c r="C1049" t="inlineStr">
        <is>
          <t>66568155</t>
        </is>
      </c>
      <c r="D1049" t="inlineStr">
        <is>
          <t>10000811</t>
        </is>
      </c>
      <c r="E1049" t="inlineStr"/>
      <c r="F1049" s="11" t="n">
        <v>103.68</v>
      </c>
      <c r="G1049" t="inlineStr"/>
      <c r="I1049" t="inlineStr">
        <is>
          <t>TN</t>
        </is>
      </c>
      <c r="J1049" t="inlineStr"/>
      <c r="K1049" t="inlineStr">
        <is>
          <t>20190426</t>
        </is>
      </c>
      <c r="L1049" t="inlineStr">
        <is>
          <t>20250127</t>
        </is>
      </c>
    </row>
    <row r="1050">
      <c r="A1050" t="inlineStr">
        <is>
          <t>900003601</t>
        </is>
      </c>
      <c r="B1050" t="inlineStr">
        <is>
          <t>D836</t>
        </is>
      </c>
      <c r="C1050" t="inlineStr">
        <is>
          <t>66574596</t>
        </is>
      </c>
      <c r="D1050" t="inlineStr">
        <is>
          <t>10000623</t>
        </is>
      </c>
      <c r="E1050" t="inlineStr"/>
      <c r="F1050" s="11" t="n">
        <v>102.6</v>
      </c>
      <c r="G1050" t="inlineStr"/>
      <c r="I1050" t="inlineStr">
        <is>
          <t>TN</t>
        </is>
      </c>
      <c r="J1050" t="inlineStr"/>
      <c r="K1050" t="inlineStr">
        <is>
          <t>20190426</t>
        </is>
      </c>
      <c r="L1050" t="inlineStr">
        <is>
          <t>20250127</t>
        </is>
      </c>
    </row>
    <row r="1051">
      <c r="A1051" t="inlineStr">
        <is>
          <t>900003601</t>
        </is>
      </c>
      <c r="B1051" t="inlineStr">
        <is>
          <t>D836</t>
        </is>
      </c>
      <c r="C1051" t="inlineStr">
        <is>
          <t>66580730</t>
        </is>
      </c>
      <c r="D1051" t="inlineStr">
        <is>
          <t>10000623</t>
        </is>
      </c>
      <c r="E1051" t="inlineStr"/>
      <c r="F1051" s="11" t="n">
        <v>155.1</v>
      </c>
      <c r="G1051" t="inlineStr"/>
      <c r="I1051" t="inlineStr">
        <is>
          <t>TN</t>
        </is>
      </c>
      <c r="J1051" t="inlineStr"/>
      <c r="K1051" t="inlineStr">
        <is>
          <t>20190426</t>
        </is>
      </c>
      <c r="L1051" t="inlineStr">
        <is>
          <t>20250127</t>
        </is>
      </c>
    </row>
    <row r="1052">
      <c r="A1052" t="inlineStr">
        <is>
          <t>900003601</t>
        </is>
      </c>
      <c r="B1052" t="inlineStr">
        <is>
          <t>D836</t>
        </is>
      </c>
      <c r="C1052" t="inlineStr">
        <is>
          <t>66580730</t>
        </is>
      </c>
      <c r="D1052" t="inlineStr">
        <is>
          <t>10000624</t>
        </is>
      </c>
      <c r="E1052" t="inlineStr"/>
      <c r="F1052" s="11" t="n">
        <v>153.7</v>
      </c>
      <c r="G1052" t="inlineStr"/>
      <c r="I1052" t="inlineStr">
        <is>
          <t>TN</t>
        </is>
      </c>
      <c r="J1052" t="inlineStr"/>
      <c r="K1052" t="inlineStr">
        <is>
          <t>20190426</t>
        </is>
      </c>
      <c r="L1052" t="inlineStr">
        <is>
          <t>20250127</t>
        </is>
      </c>
    </row>
    <row r="1053">
      <c r="A1053" t="inlineStr">
        <is>
          <t>900003601</t>
        </is>
      </c>
      <c r="B1053" t="inlineStr">
        <is>
          <t>D836</t>
        </is>
      </c>
      <c r="C1053" t="inlineStr">
        <is>
          <t>66580730</t>
        </is>
      </c>
      <c r="D1053" t="inlineStr">
        <is>
          <t>10000722</t>
        </is>
      </c>
      <c r="E1053" t="inlineStr"/>
      <c r="F1053" s="11" t="n">
        <v>159.04</v>
      </c>
      <c r="G1053" t="inlineStr"/>
      <c r="I1053" t="inlineStr">
        <is>
          <t>TN</t>
        </is>
      </c>
      <c r="J1053" t="inlineStr"/>
      <c r="K1053" t="inlineStr">
        <is>
          <t>20190426</t>
        </is>
      </c>
      <c r="L1053" t="inlineStr">
        <is>
          <t>20250127</t>
        </is>
      </c>
    </row>
    <row r="1054">
      <c r="A1054" t="inlineStr">
        <is>
          <t>900003601</t>
        </is>
      </c>
      <c r="B1054" t="inlineStr">
        <is>
          <t>D836</t>
        </is>
      </c>
      <c r="C1054" t="inlineStr">
        <is>
          <t>66580730</t>
        </is>
      </c>
      <c r="D1054" t="inlineStr">
        <is>
          <t>10000811</t>
        </is>
      </c>
      <c r="E1054" t="inlineStr"/>
      <c r="F1054" s="11" t="n">
        <v>159.04</v>
      </c>
      <c r="G1054" t="inlineStr"/>
      <c r="I1054" t="inlineStr">
        <is>
          <t>TN</t>
        </is>
      </c>
      <c r="J1054" t="inlineStr"/>
      <c r="K1054" t="inlineStr">
        <is>
          <t>20190426</t>
        </is>
      </c>
      <c r="L1054" t="inlineStr">
        <is>
          <t>20250127</t>
        </is>
      </c>
    </row>
    <row r="1055">
      <c r="A1055" t="inlineStr">
        <is>
          <t>900003601</t>
        </is>
      </c>
      <c r="B1055" t="inlineStr">
        <is>
          <t>D836</t>
        </is>
      </c>
      <c r="C1055" t="inlineStr">
        <is>
          <t>66582580</t>
        </is>
      </c>
      <c r="D1055" t="inlineStr">
        <is>
          <t>10000623</t>
        </is>
      </c>
      <c r="E1055" t="inlineStr"/>
      <c r="F1055" s="11" t="n">
        <v>102.6</v>
      </c>
      <c r="G1055" t="inlineStr"/>
      <c r="I1055" t="inlineStr">
        <is>
          <t>TN</t>
        </is>
      </c>
      <c r="J1055" t="inlineStr"/>
      <c r="K1055" t="inlineStr">
        <is>
          <t>20190426</t>
        </is>
      </c>
      <c r="L1055" t="inlineStr">
        <is>
          <t>20250127</t>
        </is>
      </c>
    </row>
    <row r="1056">
      <c r="A1056" t="inlineStr">
        <is>
          <t>900003601</t>
        </is>
      </c>
      <c r="B1056" t="inlineStr">
        <is>
          <t>D836</t>
        </is>
      </c>
      <c r="C1056" t="inlineStr">
        <is>
          <t>66605859</t>
        </is>
      </c>
      <c r="D1056" t="inlineStr">
        <is>
          <t>10000623</t>
        </is>
      </c>
      <c r="E1056" t="inlineStr"/>
      <c r="F1056" s="11" t="n">
        <v>103.68</v>
      </c>
      <c r="G1056" t="inlineStr"/>
      <c r="I1056" t="inlineStr">
        <is>
          <t>TN</t>
        </is>
      </c>
      <c r="J1056" t="inlineStr"/>
      <c r="K1056" t="inlineStr">
        <is>
          <t>20190426</t>
        </is>
      </c>
      <c r="L1056" t="inlineStr">
        <is>
          <t>20250127</t>
        </is>
      </c>
    </row>
    <row r="1057">
      <c r="A1057" t="inlineStr">
        <is>
          <t>900003601</t>
        </is>
      </c>
      <c r="B1057" t="inlineStr">
        <is>
          <t>D836</t>
        </is>
      </c>
      <c r="C1057" t="inlineStr">
        <is>
          <t>66624554</t>
        </is>
      </c>
      <c r="D1057" t="inlineStr">
        <is>
          <t>10000623</t>
        </is>
      </c>
      <c r="E1057" t="inlineStr"/>
      <c r="F1057" s="11" t="n">
        <v>102.6</v>
      </c>
      <c r="G1057" t="inlineStr"/>
      <c r="I1057" t="inlineStr">
        <is>
          <t>TN</t>
        </is>
      </c>
      <c r="J1057" t="inlineStr"/>
      <c r="K1057" t="inlineStr">
        <is>
          <t>20190426</t>
        </is>
      </c>
      <c r="L1057" t="inlineStr">
        <is>
          <t>20250127</t>
        </is>
      </c>
    </row>
    <row r="1058">
      <c r="A1058" t="inlineStr">
        <is>
          <t>900003601</t>
        </is>
      </c>
      <c r="B1058" t="inlineStr">
        <is>
          <t>D836</t>
        </is>
      </c>
      <c r="C1058" t="inlineStr">
        <is>
          <t>66654027</t>
        </is>
      </c>
      <c r="D1058" t="inlineStr">
        <is>
          <t>10000623</t>
        </is>
      </c>
      <c r="E1058" t="inlineStr"/>
      <c r="F1058" s="11" t="n">
        <v>102.6</v>
      </c>
      <c r="G1058" t="inlineStr"/>
      <c r="I1058" t="inlineStr">
        <is>
          <t>TN</t>
        </is>
      </c>
      <c r="J1058" t="inlineStr"/>
      <c r="K1058" t="inlineStr">
        <is>
          <t>20190426</t>
        </is>
      </c>
      <c r="L1058" t="inlineStr">
        <is>
          <t>20250127</t>
        </is>
      </c>
    </row>
    <row r="1059">
      <c r="A1059" t="inlineStr">
        <is>
          <t>900003601</t>
        </is>
      </c>
      <c r="B1059" t="inlineStr">
        <is>
          <t>D836</t>
        </is>
      </c>
      <c r="C1059" t="inlineStr">
        <is>
          <t>66779276</t>
        </is>
      </c>
      <c r="D1059" t="inlineStr">
        <is>
          <t>10000623</t>
        </is>
      </c>
      <c r="E1059" t="inlineStr"/>
      <c r="F1059" s="11" t="n">
        <v>103.68</v>
      </c>
      <c r="G1059" t="inlineStr"/>
      <c r="I1059" t="inlineStr">
        <is>
          <t>TN</t>
        </is>
      </c>
      <c r="J1059" t="inlineStr"/>
      <c r="K1059" t="inlineStr">
        <is>
          <t>20190426</t>
        </is>
      </c>
      <c r="L1059" t="inlineStr">
        <is>
          <t>20250127</t>
        </is>
      </c>
    </row>
    <row r="1060">
      <c r="A1060" t="inlineStr">
        <is>
          <t>900003601</t>
        </is>
      </c>
      <c r="B1060" t="inlineStr">
        <is>
          <t>D836</t>
        </is>
      </c>
      <c r="C1060" t="inlineStr">
        <is>
          <t>66819150</t>
        </is>
      </c>
      <c r="D1060" t="inlineStr">
        <is>
          <t>10000811</t>
        </is>
      </c>
      <c r="E1060" t="inlineStr"/>
      <c r="F1060" s="11" t="n">
        <v>97</v>
      </c>
      <c r="G1060" t="inlineStr"/>
      <c r="I1060" t="inlineStr">
        <is>
          <t>TN</t>
        </is>
      </c>
      <c r="J1060" t="inlineStr"/>
      <c r="K1060" t="inlineStr">
        <is>
          <t>20190426</t>
        </is>
      </c>
      <c r="L1060" t="inlineStr">
        <is>
          <t>20250127</t>
        </is>
      </c>
    </row>
    <row r="1061">
      <c r="A1061" t="inlineStr">
        <is>
          <t>900003601</t>
        </is>
      </c>
      <c r="B1061" t="inlineStr">
        <is>
          <t>D836</t>
        </is>
      </c>
      <c r="C1061" t="inlineStr">
        <is>
          <t>66825797</t>
        </is>
      </c>
      <c r="D1061" t="inlineStr">
        <is>
          <t>10000623</t>
        </is>
      </c>
      <c r="E1061" t="inlineStr"/>
      <c r="F1061" s="11" t="n">
        <v>108</v>
      </c>
      <c r="G1061" t="inlineStr"/>
      <c r="I1061" t="inlineStr">
        <is>
          <t>TN</t>
        </is>
      </c>
      <c r="J1061" t="inlineStr"/>
      <c r="K1061" t="inlineStr">
        <is>
          <t>20190426</t>
        </is>
      </c>
      <c r="L1061" t="inlineStr">
        <is>
          <t>20250127</t>
        </is>
      </c>
    </row>
    <row r="1062">
      <c r="A1062" t="inlineStr">
        <is>
          <t>900003601</t>
        </is>
      </c>
      <c r="B1062" t="inlineStr">
        <is>
          <t>D836</t>
        </is>
      </c>
      <c r="C1062" t="inlineStr">
        <is>
          <t>66825797</t>
        </is>
      </c>
      <c r="D1062" t="inlineStr">
        <is>
          <t>10000624</t>
        </is>
      </c>
      <c r="E1062" t="inlineStr"/>
      <c r="F1062" s="11" t="n">
        <v>103.68</v>
      </c>
      <c r="G1062" t="inlineStr"/>
      <c r="I1062" t="inlineStr">
        <is>
          <t>TN</t>
        </is>
      </c>
      <c r="J1062" t="inlineStr"/>
      <c r="K1062" t="inlineStr">
        <is>
          <t>20190426</t>
        </is>
      </c>
      <c r="L1062" t="inlineStr">
        <is>
          <t>20250127</t>
        </is>
      </c>
    </row>
    <row r="1063">
      <c r="A1063" t="inlineStr">
        <is>
          <t>900003601</t>
        </is>
      </c>
      <c r="B1063" t="inlineStr">
        <is>
          <t>D836</t>
        </is>
      </c>
      <c r="C1063" t="inlineStr">
        <is>
          <t>66825797</t>
        </is>
      </c>
      <c r="D1063" t="inlineStr">
        <is>
          <t>10000722</t>
        </is>
      </c>
      <c r="E1063" t="inlineStr"/>
      <c r="F1063" s="11" t="n">
        <v>108</v>
      </c>
      <c r="G1063" t="inlineStr"/>
      <c r="I1063" t="inlineStr">
        <is>
          <t>TN</t>
        </is>
      </c>
      <c r="J1063" t="inlineStr"/>
      <c r="K1063" t="inlineStr">
        <is>
          <t>20190426</t>
        </is>
      </c>
      <c r="L1063" t="inlineStr">
        <is>
          <t>20250127</t>
        </is>
      </c>
    </row>
    <row r="1064">
      <c r="A1064" t="inlineStr">
        <is>
          <t>900003601</t>
        </is>
      </c>
      <c r="B1064" t="inlineStr">
        <is>
          <t>D836</t>
        </is>
      </c>
      <c r="C1064" t="inlineStr">
        <is>
          <t>66825797</t>
        </is>
      </c>
      <c r="D1064" t="inlineStr">
        <is>
          <t>10000811</t>
        </is>
      </c>
      <c r="E1064" t="inlineStr"/>
      <c r="F1064" s="11" t="n">
        <v>108</v>
      </c>
      <c r="G1064" t="inlineStr"/>
      <c r="I1064" t="inlineStr">
        <is>
          <t>TN</t>
        </is>
      </c>
      <c r="J1064" t="inlineStr"/>
      <c r="K1064" t="inlineStr">
        <is>
          <t>20190426</t>
        </is>
      </c>
      <c r="L1064" t="inlineStr">
        <is>
          <t>20250127</t>
        </is>
      </c>
    </row>
    <row r="1065">
      <c r="A1065" t="inlineStr">
        <is>
          <t>900003601</t>
        </is>
      </c>
      <c r="B1065" t="inlineStr">
        <is>
          <t>D836</t>
        </is>
      </c>
      <c r="C1065" t="inlineStr">
        <is>
          <t>66825797</t>
        </is>
      </c>
      <c r="D1065" t="inlineStr">
        <is>
          <t>10159432</t>
        </is>
      </c>
      <c r="E1065" t="inlineStr"/>
      <c r="F1065" s="11" t="n">
        <v>90</v>
      </c>
      <c r="G1065" t="inlineStr"/>
      <c r="I1065" t="inlineStr">
        <is>
          <t>TN</t>
        </is>
      </c>
      <c r="J1065" t="inlineStr"/>
      <c r="K1065" t="inlineStr">
        <is>
          <t>20190426</t>
        </is>
      </c>
      <c r="L1065" t="inlineStr">
        <is>
          <t>20250127</t>
        </is>
      </c>
    </row>
    <row r="1066">
      <c r="A1066" t="inlineStr">
        <is>
          <t>900003601</t>
        </is>
      </c>
      <c r="B1066" t="inlineStr">
        <is>
          <t>D836</t>
        </is>
      </c>
      <c r="C1066" t="inlineStr">
        <is>
          <t>66827157</t>
        </is>
      </c>
      <c r="D1066" t="inlineStr">
        <is>
          <t>10000623</t>
        </is>
      </c>
      <c r="E1066" t="inlineStr"/>
      <c r="F1066" s="11" t="n">
        <v>105.84</v>
      </c>
      <c r="G1066" t="inlineStr"/>
      <c r="I1066" t="inlineStr">
        <is>
          <t>TN</t>
        </is>
      </c>
      <c r="J1066" t="inlineStr"/>
      <c r="K1066" t="inlineStr">
        <is>
          <t>20190426</t>
        </is>
      </c>
      <c r="L1066" t="inlineStr">
        <is>
          <t>20250127</t>
        </is>
      </c>
    </row>
    <row r="1067">
      <c r="A1067" t="inlineStr">
        <is>
          <t>900003601</t>
        </is>
      </c>
      <c r="B1067" t="inlineStr">
        <is>
          <t>D836</t>
        </is>
      </c>
      <c r="C1067" t="inlineStr">
        <is>
          <t>66827157</t>
        </is>
      </c>
      <c r="D1067" t="inlineStr">
        <is>
          <t>10000624</t>
        </is>
      </c>
      <c r="E1067" t="inlineStr"/>
      <c r="F1067" s="11" t="n">
        <v>97.2</v>
      </c>
      <c r="G1067" t="inlineStr"/>
      <c r="I1067" t="inlineStr">
        <is>
          <t>TN</t>
        </is>
      </c>
      <c r="J1067" t="inlineStr"/>
      <c r="K1067" t="inlineStr">
        <is>
          <t>20190426</t>
        </is>
      </c>
      <c r="L1067" t="inlineStr">
        <is>
          <t>20250127</t>
        </is>
      </c>
    </row>
    <row r="1068">
      <c r="A1068" t="inlineStr">
        <is>
          <t>900003601</t>
        </is>
      </c>
      <c r="B1068" t="inlineStr">
        <is>
          <t>D836</t>
        </is>
      </c>
      <c r="C1068" t="inlineStr">
        <is>
          <t>66827157</t>
        </is>
      </c>
      <c r="D1068" t="inlineStr">
        <is>
          <t>10000811</t>
        </is>
      </c>
      <c r="E1068" t="inlineStr"/>
      <c r="F1068" s="11" t="n">
        <v>102.6</v>
      </c>
      <c r="G1068" t="inlineStr"/>
      <c r="I1068" t="inlineStr">
        <is>
          <t>TN</t>
        </is>
      </c>
      <c r="J1068" t="inlineStr"/>
      <c r="K1068" t="inlineStr">
        <is>
          <t>20190426</t>
        </is>
      </c>
      <c r="L1068" t="inlineStr">
        <is>
          <t>20250127</t>
        </is>
      </c>
    </row>
    <row r="1069">
      <c r="A1069" t="inlineStr">
        <is>
          <t>900003601</t>
        </is>
      </c>
      <c r="B1069" t="inlineStr">
        <is>
          <t>D836</t>
        </is>
      </c>
      <c r="C1069" t="inlineStr">
        <is>
          <t>66828114</t>
        </is>
      </c>
      <c r="D1069" t="inlineStr">
        <is>
          <t>10159432</t>
        </is>
      </c>
      <c r="E1069" t="inlineStr"/>
      <c r="F1069" s="11" t="n">
        <v>90</v>
      </c>
      <c r="G1069" t="inlineStr"/>
      <c r="I1069" t="inlineStr">
        <is>
          <t>TN</t>
        </is>
      </c>
      <c r="J1069" t="inlineStr"/>
      <c r="K1069" t="inlineStr">
        <is>
          <t>20190426</t>
        </is>
      </c>
      <c r="L1069" t="inlineStr">
        <is>
          <t>20250127</t>
        </is>
      </c>
    </row>
    <row r="1070">
      <c r="A1070" t="inlineStr">
        <is>
          <t>900003601</t>
        </is>
      </c>
      <c r="B1070" t="inlineStr">
        <is>
          <t>D836</t>
        </is>
      </c>
      <c r="C1070" t="inlineStr">
        <is>
          <t>66838326</t>
        </is>
      </c>
      <c r="D1070" t="inlineStr">
        <is>
          <t>10000623</t>
        </is>
      </c>
      <c r="E1070" t="inlineStr"/>
      <c r="F1070" s="11" t="n">
        <v>127.44</v>
      </c>
      <c r="G1070" t="inlineStr"/>
      <c r="I1070" t="inlineStr">
        <is>
          <t>TN</t>
        </is>
      </c>
      <c r="J1070" t="inlineStr"/>
      <c r="K1070" t="inlineStr">
        <is>
          <t>20190426</t>
        </is>
      </c>
      <c r="L1070" t="inlineStr">
        <is>
          <t>20250127</t>
        </is>
      </c>
    </row>
    <row r="1071">
      <c r="A1071" t="inlineStr">
        <is>
          <t>900003601</t>
        </is>
      </c>
      <c r="B1071" t="inlineStr">
        <is>
          <t>D836</t>
        </is>
      </c>
      <c r="C1071" t="inlineStr">
        <is>
          <t>66875513</t>
        </is>
      </c>
      <c r="D1071" t="inlineStr">
        <is>
          <t>10000623</t>
        </is>
      </c>
      <c r="E1071" t="inlineStr"/>
      <c r="F1071" s="11" t="n">
        <v>102.6</v>
      </c>
      <c r="G1071" t="inlineStr"/>
      <c r="I1071" t="inlineStr">
        <is>
          <t>TN</t>
        </is>
      </c>
      <c r="J1071" t="inlineStr"/>
      <c r="K1071" t="inlineStr">
        <is>
          <t>20190426</t>
        </is>
      </c>
      <c r="L1071" t="inlineStr">
        <is>
          <t>20250127</t>
        </is>
      </c>
    </row>
    <row r="1072">
      <c r="A1072" t="inlineStr">
        <is>
          <t>900003601</t>
        </is>
      </c>
      <c r="B1072" t="inlineStr">
        <is>
          <t>D836</t>
        </is>
      </c>
      <c r="C1072" t="inlineStr">
        <is>
          <t>66898280</t>
        </is>
      </c>
      <c r="D1072" t="inlineStr">
        <is>
          <t>10000623</t>
        </is>
      </c>
      <c r="E1072" t="inlineStr"/>
      <c r="F1072" s="11" t="n">
        <v>108</v>
      </c>
      <c r="G1072" t="inlineStr"/>
      <c r="I1072" t="inlineStr">
        <is>
          <t>TN</t>
        </is>
      </c>
      <c r="J1072" t="inlineStr"/>
      <c r="K1072" t="inlineStr">
        <is>
          <t>20190426</t>
        </is>
      </c>
      <c r="L1072" t="inlineStr">
        <is>
          <t>20250127</t>
        </is>
      </c>
    </row>
    <row r="1073">
      <c r="A1073" t="inlineStr">
        <is>
          <t>900003601</t>
        </is>
      </c>
      <c r="B1073" t="inlineStr">
        <is>
          <t>D836</t>
        </is>
      </c>
      <c r="C1073" t="inlineStr">
        <is>
          <t>66898280</t>
        </is>
      </c>
      <c r="D1073" t="inlineStr">
        <is>
          <t>10000722</t>
        </is>
      </c>
      <c r="E1073" t="inlineStr"/>
      <c r="F1073" s="11" t="n">
        <v>108</v>
      </c>
      <c r="G1073" t="inlineStr"/>
      <c r="I1073" t="inlineStr">
        <is>
          <t>TN</t>
        </is>
      </c>
      <c r="J1073" t="inlineStr"/>
      <c r="K1073" t="inlineStr">
        <is>
          <t>20190426</t>
        </is>
      </c>
      <c r="L1073" t="inlineStr">
        <is>
          <t>20250127</t>
        </is>
      </c>
    </row>
    <row r="1074">
      <c r="A1074" t="inlineStr">
        <is>
          <t>900003601</t>
        </is>
      </c>
      <c r="B1074" t="inlineStr">
        <is>
          <t>D836</t>
        </is>
      </c>
      <c r="C1074" t="inlineStr">
        <is>
          <t>66898281</t>
        </is>
      </c>
      <c r="D1074" t="inlineStr">
        <is>
          <t>10000623</t>
        </is>
      </c>
      <c r="E1074" t="inlineStr"/>
      <c r="F1074" s="11" t="n">
        <v>108</v>
      </c>
      <c r="G1074" t="inlineStr"/>
      <c r="I1074" t="inlineStr">
        <is>
          <t>TN</t>
        </is>
      </c>
      <c r="J1074" t="inlineStr"/>
      <c r="K1074" t="inlineStr">
        <is>
          <t>20190426</t>
        </is>
      </c>
      <c r="L1074" t="inlineStr">
        <is>
          <t>20250127</t>
        </is>
      </c>
    </row>
    <row r="1075">
      <c r="A1075" t="inlineStr">
        <is>
          <t>900003601</t>
        </is>
      </c>
      <c r="B1075" t="inlineStr">
        <is>
          <t>D836</t>
        </is>
      </c>
      <c r="C1075" t="inlineStr">
        <is>
          <t>66898281</t>
        </is>
      </c>
      <c r="D1075" t="inlineStr">
        <is>
          <t>10000722</t>
        </is>
      </c>
      <c r="E1075" t="inlineStr"/>
      <c r="F1075" s="11" t="n">
        <v>108</v>
      </c>
      <c r="G1075" t="inlineStr"/>
      <c r="I1075" t="inlineStr">
        <is>
          <t>TN</t>
        </is>
      </c>
      <c r="J1075" t="inlineStr"/>
      <c r="K1075" t="inlineStr">
        <is>
          <t>20190426</t>
        </is>
      </c>
      <c r="L1075" t="inlineStr">
        <is>
          <t>20250127</t>
        </is>
      </c>
    </row>
    <row r="1076">
      <c r="A1076" t="inlineStr">
        <is>
          <t>900003601</t>
        </is>
      </c>
      <c r="B1076" t="inlineStr">
        <is>
          <t>D836</t>
        </is>
      </c>
      <c r="C1076" t="inlineStr">
        <is>
          <t>66905251</t>
        </is>
      </c>
      <c r="D1076" t="inlineStr">
        <is>
          <t>10000623</t>
        </is>
      </c>
      <c r="E1076" t="inlineStr"/>
      <c r="F1076" s="11" t="n">
        <v>102.6</v>
      </c>
      <c r="G1076" t="inlineStr"/>
      <c r="I1076" t="inlineStr">
        <is>
          <t>TN</t>
        </is>
      </c>
      <c r="J1076" t="inlineStr"/>
      <c r="K1076" t="inlineStr">
        <is>
          <t>20190426</t>
        </is>
      </c>
      <c r="L1076" t="inlineStr">
        <is>
          <t>20250127</t>
        </is>
      </c>
    </row>
    <row r="1077">
      <c r="A1077" t="inlineStr">
        <is>
          <t>900003601</t>
        </is>
      </c>
      <c r="B1077" t="inlineStr">
        <is>
          <t>D836</t>
        </is>
      </c>
      <c r="C1077" t="inlineStr">
        <is>
          <t>66933313</t>
        </is>
      </c>
      <c r="D1077" t="inlineStr">
        <is>
          <t>10000623</t>
        </is>
      </c>
      <c r="E1077" t="inlineStr"/>
      <c r="F1077" s="11" t="n">
        <v>110</v>
      </c>
      <c r="G1077" t="inlineStr"/>
      <c r="I1077" t="inlineStr">
        <is>
          <t>TN</t>
        </is>
      </c>
      <c r="J1077" t="inlineStr"/>
      <c r="K1077" t="inlineStr">
        <is>
          <t>20190426</t>
        </is>
      </c>
      <c r="L1077" t="inlineStr">
        <is>
          <t>20250127</t>
        </is>
      </c>
    </row>
    <row r="1078">
      <c r="A1078" t="inlineStr">
        <is>
          <t>900003601</t>
        </is>
      </c>
      <c r="B1078" t="inlineStr">
        <is>
          <t>D836</t>
        </is>
      </c>
      <c r="C1078" t="inlineStr">
        <is>
          <t>66933313</t>
        </is>
      </c>
      <c r="D1078" t="inlineStr">
        <is>
          <t>10000811</t>
        </is>
      </c>
      <c r="E1078" t="inlineStr"/>
      <c r="F1078" s="11" t="n">
        <v>110</v>
      </c>
      <c r="G1078" t="inlineStr"/>
      <c r="I1078" t="inlineStr">
        <is>
          <t>TN</t>
        </is>
      </c>
      <c r="J1078" t="inlineStr"/>
      <c r="K1078" t="inlineStr">
        <is>
          <t>20190426</t>
        </is>
      </c>
      <c r="L1078" t="inlineStr">
        <is>
          <t>20250127</t>
        </is>
      </c>
    </row>
    <row r="1079">
      <c r="A1079" t="inlineStr">
        <is>
          <t>900003601</t>
        </is>
      </c>
      <c r="B1079" t="inlineStr">
        <is>
          <t>D836</t>
        </is>
      </c>
      <c r="C1079" t="inlineStr">
        <is>
          <t>66977443</t>
        </is>
      </c>
      <c r="D1079" t="inlineStr">
        <is>
          <t>10159432</t>
        </is>
      </c>
      <c r="E1079" t="inlineStr"/>
      <c r="F1079" s="11" t="n">
        <v>90</v>
      </c>
      <c r="G1079" t="inlineStr"/>
      <c r="I1079" t="inlineStr">
        <is>
          <t>TN</t>
        </is>
      </c>
      <c r="J1079" t="inlineStr"/>
      <c r="K1079" t="inlineStr">
        <is>
          <t>20190426</t>
        </is>
      </c>
      <c r="L1079" t="inlineStr">
        <is>
          <t>20250127</t>
        </is>
      </c>
    </row>
    <row r="1080">
      <c r="A1080" t="inlineStr">
        <is>
          <t>900003601</t>
        </is>
      </c>
      <c r="B1080" t="inlineStr">
        <is>
          <t>D836</t>
        </is>
      </c>
      <c r="C1080" t="inlineStr">
        <is>
          <t>67007608</t>
        </is>
      </c>
      <c r="D1080" t="inlineStr">
        <is>
          <t>10000722</t>
        </is>
      </c>
      <c r="E1080" t="inlineStr"/>
      <c r="F1080" s="11" t="n">
        <v>100</v>
      </c>
      <c r="G1080" t="inlineStr"/>
      <c r="I1080" t="inlineStr">
        <is>
          <t>TN</t>
        </is>
      </c>
      <c r="J1080" t="inlineStr"/>
      <c r="K1080" t="inlineStr">
        <is>
          <t>20190426</t>
        </is>
      </c>
      <c r="L1080" t="inlineStr">
        <is>
          <t>20250127</t>
        </is>
      </c>
    </row>
    <row r="1081">
      <c r="A1081" t="inlineStr">
        <is>
          <t>900003601</t>
        </is>
      </c>
      <c r="B1081" t="inlineStr">
        <is>
          <t>D836</t>
        </is>
      </c>
      <c r="C1081" t="inlineStr">
        <is>
          <t>67011332</t>
        </is>
      </c>
      <c r="D1081" t="inlineStr">
        <is>
          <t>10000623</t>
        </is>
      </c>
      <c r="E1081" t="inlineStr"/>
      <c r="F1081" s="11" t="n">
        <v>110</v>
      </c>
      <c r="G1081" t="inlineStr"/>
      <c r="I1081" t="inlineStr">
        <is>
          <t>TN</t>
        </is>
      </c>
      <c r="J1081" t="inlineStr"/>
      <c r="K1081" t="inlineStr">
        <is>
          <t>20190426</t>
        </is>
      </c>
      <c r="L1081" t="inlineStr">
        <is>
          <t>20250127</t>
        </is>
      </c>
    </row>
    <row r="1082">
      <c r="A1082" t="inlineStr">
        <is>
          <t>900003601</t>
        </is>
      </c>
      <c r="B1082" t="inlineStr">
        <is>
          <t>D836</t>
        </is>
      </c>
      <c r="C1082" t="inlineStr">
        <is>
          <t>67011332</t>
        </is>
      </c>
      <c r="D1082" t="inlineStr">
        <is>
          <t>10000624</t>
        </is>
      </c>
      <c r="E1082" t="inlineStr"/>
      <c r="F1082" s="11" t="n">
        <v>105</v>
      </c>
      <c r="G1082" t="inlineStr"/>
      <c r="I1082" t="inlineStr">
        <is>
          <t>TN</t>
        </is>
      </c>
      <c r="J1082" t="inlineStr"/>
      <c r="K1082" t="inlineStr">
        <is>
          <t>20190426</t>
        </is>
      </c>
      <c r="L1082" t="inlineStr">
        <is>
          <t>20250127</t>
        </is>
      </c>
    </row>
    <row r="1083">
      <c r="A1083" t="inlineStr">
        <is>
          <t>900003601</t>
        </is>
      </c>
      <c r="B1083" t="inlineStr">
        <is>
          <t>D836</t>
        </is>
      </c>
      <c r="C1083" t="inlineStr">
        <is>
          <t>67011332</t>
        </is>
      </c>
      <c r="D1083" t="inlineStr">
        <is>
          <t>10000722</t>
        </is>
      </c>
      <c r="E1083" t="inlineStr"/>
      <c r="F1083" s="11" t="n">
        <v>110</v>
      </c>
      <c r="G1083" t="inlineStr"/>
      <c r="I1083" t="inlineStr">
        <is>
          <t>TN</t>
        </is>
      </c>
      <c r="J1083" t="inlineStr"/>
      <c r="K1083" t="inlineStr">
        <is>
          <t>20190426</t>
        </is>
      </c>
      <c r="L1083" t="inlineStr">
        <is>
          <t>20250127</t>
        </is>
      </c>
    </row>
    <row r="1084">
      <c r="A1084" t="inlineStr">
        <is>
          <t>900003601</t>
        </is>
      </c>
      <c r="B1084" t="inlineStr">
        <is>
          <t>D836</t>
        </is>
      </c>
      <c r="C1084" t="inlineStr">
        <is>
          <t>67012780</t>
        </is>
      </c>
      <c r="D1084" t="inlineStr">
        <is>
          <t>10000722</t>
        </is>
      </c>
      <c r="E1084" t="inlineStr"/>
      <c r="F1084" s="11" t="n">
        <v>106</v>
      </c>
      <c r="G1084" t="inlineStr"/>
      <c r="I1084" t="inlineStr">
        <is>
          <t>TN</t>
        </is>
      </c>
      <c r="J1084" t="inlineStr"/>
      <c r="K1084" t="inlineStr">
        <is>
          <t>20190426</t>
        </is>
      </c>
      <c r="L1084" t="inlineStr">
        <is>
          <t>20250127</t>
        </is>
      </c>
    </row>
    <row r="1085">
      <c r="A1085" t="inlineStr">
        <is>
          <t>900003601</t>
        </is>
      </c>
      <c r="B1085" t="inlineStr">
        <is>
          <t>D836</t>
        </is>
      </c>
      <c r="C1085" t="inlineStr">
        <is>
          <t>67032666</t>
        </is>
      </c>
      <c r="D1085" t="inlineStr">
        <is>
          <t>10000623</t>
        </is>
      </c>
      <c r="E1085" t="inlineStr"/>
      <c r="F1085" s="11" t="n">
        <v>115</v>
      </c>
      <c r="G1085" t="inlineStr"/>
      <c r="I1085" t="inlineStr">
        <is>
          <t>TN</t>
        </is>
      </c>
      <c r="J1085" t="inlineStr"/>
      <c r="K1085" t="inlineStr">
        <is>
          <t>20190426</t>
        </is>
      </c>
      <c r="L1085" t="inlineStr">
        <is>
          <t>20250127</t>
        </is>
      </c>
    </row>
    <row r="1086">
      <c r="A1086" t="inlineStr">
        <is>
          <t>900003601</t>
        </is>
      </c>
      <c r="B1086" t="inlineStr">
        <is>
          <t>D836</t>
        </is>
      </c>
      <c r="C1086" t="inlineStr">
        <is>
          <t>67036341</t>
        </is>
      </c>
      <c r="D1086" t="inlineStr">
        <is>
          <t>10000623</t>
        </is>
      </c>
      <c r="E1086" t="inlineStr"/>
      <c r="F1086" s="11" t="n">
        <v>98</v>
      </c>
      <c r="G1086" t="inlineStr"/>
      <c r="I1086" t="inlineStr">
        <is>
          <t>TN</t>
        </is>
      </c>
      <c r="J1086" t="inlineStr"/>
      <c r="K1086" t="inlineStr">
        <is>
          <t>20190426</t>
        </is>
      </c>
      <c r="L1086" t="inlineStr">
        <is>
          <t>20250127</t>
        </is>
      </c>
    </row>
    <row r="1087">
      <c r="A1087" t="inlineStr">
        <is>
          <t>900003601</t>
        </is>
      </c>
      <c r="B1087" t="inlineStr">
        <is>
          <t>D836</t>
        </is>
      </c>
      <c r="C1087" t="inlineStr">
        <is>
          <t>67036341</t>
        </is>
      </c>
      <c r="D1087" t="inlineStr">
        <is>
          <t>10000811</t>
        </is>
      </c>
      <c r="E1087" t="inlineStr"/>
      <c r="F1087" s="11" t="n">
        <v>100</v>
      </c>
      <c r="G1087" t="inlineStr"/>
      <c r="I1087" t="inlineStr">
        <is>
          <t>TN</t>
        </is>
      </c>
      <c r="J1087" t="inlineStr"/>
      <c r="K1087" t="inlineStr">
        <is>
          <t>20190426</t>
        </is>
      </c>
      <c r="L1087" t="inlineStr">
        <is>
          <t>20250127</t>
        </is>
      </c>
    </row>
    <row r="1088">
      <c r="A1088" t="inlineStr">
        <is>
          <t>900003601</t>
        </is>
      </c>
      <c r="B1088" t="inlineStr">
        <is>
          <t>D836</t>
        </is>
      </c>
      <c r="C1088" t="inlineStr">
        <is>
          <t>67036341</t>
        </is>
      </c>
      <c r="D1088" t="inlineStr">
        <is>
          <t>10058345</t>
        </is>
      </c>
      <c r="E1088" t="inlineStr"/>
      <c r="F1088" s="11" t="n">
        <v>55</v>
      </c>
      <c r="G1088" t="inlineStr"/>
      <c r="I1088" t="inlineStr">
        <is>
          <t>TN</t>
        </is>
      </c>
      <c r="J1088" t="inlineStr"/>
      <c r="K1088" t="inlineStr">
        <is>
          <t>20190426</t>
        </is>
      </c>
      <c r="L1088" t="inlineStr">
        <is>
          <t>20250127</t>
        </is>
      </c>
    </row>
    <row r="1089">
      <c r="A1089" t="inlineStr">
        <is>
          <t>900003601</t>
        </is>
      </c>
      <c r="B1089" t="inlineStr">
        <is>
          <t>D836</t>
        </is>
      </c>
      <c r="C1089" t="inlineStr">
        <is>
          <t>67036769</t>
        </is>
      </c>
      <c r="D1089" t="inlineStr">
        <is>
          <t>10000722</t>
        </is>
      </c>
      <c r="E1089" t="inlineStr"/>
      <c r="F1089" s="11" t="n">
        <v>100</v>
      </c>
      <c r="G1089" t="inlineStr"/>
      <c r="I1089" t="inlineStr">
        <is>
          <t>TN</t>
        </is>
      </c>
      <c r="J1089" t="inlineStr"/>
      <c r="K1089" t="inlineStr">
        <is>
          <t>20190426</t>
        </is>
      </c>
      <c r="L1089" t="inlineStr">
        <is>
          <t>20250127</t>
        </is>
      </c>
    </row>
    <row r="1090">
      <c r="A1090" t="inlineStr">
        <is>
          <t>900003601</t>
        </is>
      </c>
      <c r="B1090" t="inlineStr">
        <is>
          <t>D836</t>
        </is>
      </c>
      <c r="C1090" t="inlineStr">
        <is>
          <t>67089397</t>
        </is>
      </c>
      <c r="D1090" t="inlineStr">
        <is>
          <t>10000811</t>
        </is>
      </c>
      <c r="E1090" t="inlineStr"/>
      <c r="F1090" s="11" t="n">
        <v>153.37</v>
      </c>
      <c r="G1090" t="inlineStr"/>
      <c r="I1090" t="inlineStr">
        <is>
          <t>M3</t>
        </is>
      </c>
      <c r="J1090" t="inlineStr"/>
      <c r="K1090" t="inlineStr">
        <is>
          <t>20190426</t>
        </is>
      </c>
      <c r="L1090" t="inlineStr">
        <is>
          <t>20250127</t>
        </is>
      </c>
    </row>
    <row r="1091">
      <c r="A1091" t="inlineStr">
        <is>
          <t>900003601</t>
        </is>
      </c>
      <c r="B1091" t="inlineStr">
        <is>
          <t>D836</t>
        </is>
      </c>
      <c r="C1091" t="inlineStr">
        <is>
          <t>67160490</t>
        </is>
      </c>
      <c r="D1091" t="inlineStr">
        <is>
          <t>10058345</t>
        </is>
      </c>
      <c r="E1091" t="inlineStr"/>
      <c r="F1091" s="11" t="n">
        <v>43</v>
      </c>
      <c r="G1091" t="inlineStr"/>
      <c r="I1091" t="inlineStr">
        <is>
          <t>TN</t>
        </is>
      </c>
      <c r="J1091" t="inlineStr"/>
      <c r="K1091" t="inlineStr">
        <is>
          <t>20190426</t>
        </is>
      </c>
      <c r="L1091" t="inlineStr">
        <is>
          <t>20250127</t>
        </is>
      </c>
    </row>
    <row r="1092">
      <c r="A1092" t="inlineStr">
        <is>
          <t>900003601</t>
        </is>
      </c>
      <c r="B1092" t="inlineStr">
        <is>
          <t>D836</t>
        </is>
      </c>
      <c r="C1092" t="inlineStr">
        <is>
          <t>67169096</t>
        </is>
      </c>
      <c r="D1092" t="inlineStr">
        <is>
          <t>10000811</t>
        </is>
      </c>
      <c r="E1092" t="inlineStr"/>
      <c r="F1092" s="11" t="n">
        <v>110</v>
      </c>
      <c r="G1092" t="inlineStr"/>
      <c r="I1092" t="inlineStr">
        <is>
          <t>TN</t>
        </is>
      </c>
      <c r="J1092" t="inlineStr"/>
      <c r="K1092" t="inlineStr">
        <is>
          <t>20190426</t>
        </is>
      </c>
      <c r="L1092" t="inlineStr">
        <is>
          <t>20250127</t>
        </is>
      </c>
    </row>
    <row r="1093">
      <c r="A1093" t="inlineStr">
        <is>
          <t>900003601</t>
        </is>
      </c>
      <c r="B1093" t="inlineStr">
        <is>
          <t>D836</t>
        </is>
      </c>
      <c r="C1093" t="inlineStr">
        <is>
          <t>67169096</t>
        </is>
      </c>
      <c r="D1093" t="inlineStr">
        <is>
          <t>10161492</t>
        </is>
      </c>
      <c r="E1093" t="inlineStr"/>
      <c r="F1093" s="11" t="n">
        <v>38</v>
      </c>
      <c r="G1093" t="inlineStr"/>
      <c r="I1093" t="inlineStr">
        <is>
          <t>TN</t>
        </is>
      </c>
      <c r="J1093" t="inlineStr"/>
      <c r="K1093" t="inlineStr">
        <is>
          <t>20190426</t>
        </is>
      </c>
      <c r="L1093" t="inlineStr">
        <is>
          <t>20250127</t>
        </is>
      </c>
    </row>
    <row r="1094">
      <c r="A1094" t="inlineStr">
        <is>
          <t>900003605</t>
        </is>
      </c>
      <c r="B1094" t="inlineStr">
        <is>
          <t>D836</t>
        </is>
      </c>
      <c r="C1094" t="inlineStr">
        <is>
          <t>65002610</t>
        </is>
      </c>
      <c r="D1094" t="inlineStr">
        <is>
          <t>10000630</t>
        </is>
      </c>
      <c r="E1094" t="inlineStr"/>
      <c r="F1094" s="11" t="n">
        <v>150</v>
      </c>
      <c r="G1094" t="inlineStr"/>
      <c r="I1094" t="inlineStr">
        <is>
          <t>M3</t>
        </is>
      </c>
      <c r="J1094" t="inlineStr"/>
      <c r="K1094" t="inlineStr">
        <is>
          <t>20190426</t>
        </is>
      </c>
      <c r="L1094" t="inlineStr">
        <is>
          <t>20250127</t>
        </is>
      </c>
    </row>
    <row r="1095">
      <c r="A1095" t="inlineStr">
        <is>
          <t>900003605</t>
        </is>
      </c>
      <c r="B1095" t="inlineStr">
        <is>
          <t>D836</t>
        </is>
      </c>
      <c r="C1095" t="inlineStr">
        <is>
          <t>65016451</t>
        </is>
      </c>
      <c r="D1095" t="inlineStr">
        <is>
          <t>10000630</t>
        </is>
      </c>
      <c r="E1095" t="inlineStr"/>
      <c r="F1095" s="11" t="n">
        <v>150</v>
      </c>
      <c r="G1095" t="inlineStr"/>
      <c r="I1095" t="inlineStr">
        <is>
          <t>M3</t>
        </is>
      </c>
      <c r="J1095" t="inlineStr"/>
      <c r="K1095" t="inlineStr">
        <is>
          <t>20190426</t>
        </is>
      </c>
      <c r="L1095" t="inlineStr">
        <is>
          <t>20250127</t>
        </is>
      </c>
    </row>
    <row r="1096">
      <c r="A1096" t="inlineStr">
        <is>
          <t>900003605</t>
        </is>
      </c>
      <c r="B1096" t="inlineStr">
        <is>
          <t>D836</t>
        </is>
      </c>
      <c r="C1096" t="inlineStr">
        <is>
          <t>65087219</t>
        </is>
      </c>
      <c r="D1096" t="inlineStr">
        <is>
          <t>10000630</t>
        </is>
      </c>
      <c r="E1096" t="inlineStr"/>
      <c r="F1096" s="11" t="n">
        <v>150</v>
      </c>
      <c r="G1096" t="inlineStr"/>
      <c r="I1096" t="inlineStr">
        <is>
          <t>M3</t>
        </is>
      </c>
      <c r="J1096" t="inlineStr"/>
      <c r="K1096" t="inlineStr">
        <is>
          <t>20190426</t>
        </is>
      </c>
      <c r="L1096" t="inlineStr">
        <is>
          <t>20250127</t>
        </is>
      </c>
    </row>
    <row r="1097">
      <c r="A1097" t="inlineStr">
        <is>
          <t>900003605</t>
        </is>
      </c>
      <c r="B1097" t="inlineStr">
        <is>
          <t>D836</t>
        </is>
      </c>
      <c r="C1097" t="inlineStr">
        <is>
          <t>66239599</t>
        </is>
      </c>
      <c r="D1097" t="inlineStr">
        <is>
          <t>10000630</t>
        </is>
      </c>
      <c r="E1097" t="inlineStr"/>
      <c r="F1097" s="11" t="n">
        <v>150</v>
      </c>
      <c r="G1097" t="inlineStr"/>
      <c r="I1097" t="inlineStr">
        <is>
          <t>M3</t>
        </is>
      </c>
      <c r="J1097" t="inlineStr"/>
      <c r="K1097" t="inlineStr">
        <is>
          <t>20190426</t>
        </is>
      </c>
      <c r="L1097" t="inlineStr">
        <is>
          <t>20250127</t>
        </is>
      </c>
    </row>
    <row r="1098">
      <c r="A1098" t="inlineStr">
        <is>
          <t>900003605</t>
        </is>
      </c>
      <c r="B1098" t="inlineStr">
        <is>
          <t>D836</t>
        </is>
      </c>
      <c r="C1098" t="inlineStr">
        <is>
          <t>66239617</t>
        </is>
      </c>
      <c r="D1098" t="inlineStr">
        <is>
          <t>10000630</t>
        </is>
      </c>
      <c r="E1098" t="inlineStr"/>
      <c r="F1098" s="11" t="n">
        <v>150</v>
      </c>
      <c r="G1098" t="inlineStr"/>
      <c r="I1098" t="inlineStr">
        <is>
          <t>M3</t>
        </is>
      </c>
      <c r="J1098" t="inlineStr"/>
      <c r="K1098" t="inlineStr">
        <is>
          <t>20190426</t>
        </is>
      </c>
      <c r="L1098" t="inlineStr">
        <is>
          <t>20250127</t>
        </is>
      </c>
    </row>
    <row r="1099">
      <c r="A1099" t="inlineStr">
        <is>
          <t>900003605</t>
        </is>
      </c>
      <c r="B1099" t="inlineStr">
        <is>
          <t>D836</t>
        </is>
      </c>
      <c r="C1099" t="inlineStr">
        <is>
          <t>66239621</t>
        </is>
      </c>
      <c r="D1099" t="inlineStr">
        <is>
          <t>10000630</t>
        </is>
      </c>
      <c r="E1099" t="inlineStr"/>
      <c r="F1099" s="11" t="n">
        <v>150</v>
      </c>
      <c r="G1099" t="inlineStr"/>
      <c r="I1099" t="inlineStr">
        <is>
          <t>M3</t>
        </is>
      </c>
      <c r="J1099" t="inlineStr"/>
      <c r="K1099" t="inlineStr">
        <is>
          <t>20190426</t>
        </is>
      </c>
      <c r="L1099" t="inlineStr">
        <is>
          <t>20250127</t>
        </is>
      </c>
    </row>
    <row r="1100">
      <c r="A1100" t="inlineStr">
        <is>
          <t>900003605</t>
        </is>
      </c>
      <c r="B1100" t="inlineStr">
        <is>
          <t>D836</t>
        </is>
      </c>
      <c r="C1100" t="inlineStr">
        <is>
          <t>66239628</t>
        </is>
      </c>
      <c r="D1100" t="inlineStr">
        <is>
          <t>10000630</t>
        </is>
      </c>
      <c r="E1100" t="inlineStr"/>
      <c r="F1100" s="11" t="n">
        <v>150</v>
      </c>
      <c r="G1100" t="inlineStr"/>
      <c r="I1100" t="inlineStr">
        <is>
          <t>M3</t>
        </is>
      </c>
      <c r="J1100" t="inlineStr"/>
      <c r="K1100" t="inlineStr">
        <is>
          <t>20190426</t>
        </is>
      </c>
      <c r="L1100" t="inlineStr">
        <is>
          <t>20250127</t>
        </is>
      </c>
    </row>
    <row r="1101">
      <c r="A1101" t="inlineStr">
        <is>
          <t>900003605</t>
        </is>
      </c>
      <c r="B1101" t="inlineStr">
        <is>
          <t>D836</t>
        </is>
      </c>
      <c r="C1101" t="inlineStr">
        <is>
          <t>66289413</t>
        </is>
      </c>
      <c r="D1101" t="inlineStr">
        <is>
          <t>10000630</t>
        </is>
      </c>
      <c r="E1101" t="inlineStr"/>
      <c r="F1101" s="11" t="n">
        <v>150</v>
      </c>
      <c r="G1101" t="inlineStr"/>
      <c r="I1101" t="inlineStr">
        <is>
          <t>M3</t>
        </is>
      </c>
      <c r="J1101" t="inlineStr"/>
      <c r="K1101" t="inlineStr">
        <is>
          <t>20190426</t>
        </is>
      </c>
      <c r="L1101" t="inlineStr">
        <is>
          <t>20250127</t>
        </is>
      </c>
    </row>
    <row r="1102">
      <c r="A1102" t="inlineStr">
        <is>
          <t>900003605</t>
        </is>
      </c>
      <c r="B1102" t="inlineStr">
        <is>
          <t>D836</t>
        </is>
      </c>
      <c r="C1102" t="inlineStr">
        <is>
          <t>66338102</t>
        </is>
      </c>
      <c r="D1102" t="inlineStr">
        <is>
          <t>10000630</t>
        </is>
      </c>
      <c r="E1102" t="inlineStr"/>
      <c r="F1102" s="11" t="n">
        <v>150</v>
      </c>
      <c r="G1102" t="inlineStr"/>
      <c r="I1102" t="inlineStr">
        <is>
          <t>M3</t>
        </is>
      </c>
      <c r="J1102" t="inlineStr"/>
      <c r="K1102" t="inlineStr">
        <is>
          <t>20190426</t>
        </is>
      </c>
      <c r="L1102" t="inlineStr">
        <is>
          <t>20250127</t>
        </is>
      </c>
    </row>
    <row r="1103">
      <c r="A1103" t="inlineStr">
        <is>
          <t>900003605</t>
        </is>
      </c>
      <c r="B1103" t="inlineStr">
        <is>
          <t>D836</t>
        </is>
      </c>
      <c r="C1103" t="inlineStr">
        <is>
          <t>66403063</t>
        </is>
      </c>
      <c r="D1103" t="inlineStr">
        <is>
          <t>10000630</t>
        </is>
      </c>
      <c r="E1103" t="inlineStr"/>
      <c r="F1103" s="11" t="n">
        <v>150</v>
      </c>
      <c r="G1103" t="inlineStr"/>
      <c r="I1103" t="inlineStr">
        <is>
          <t>M3</t>
        </is>
      </c>
      <c r="J1103" t="inlineStr"/>
      <c r="K1103" t="inlineStr">
        <is>
          <t>20190426</t>
        </is>
      </c>
      <c r="L1103" t="inlineStr">
        <is>
          <t>20250127</t>
        </is>
      </c>
    </row>
    <row r="1104">
      <c r="A1104" t="inlineStr">
        <is>
          <t>900003605</t>
        </is>
      </c>
      <c r="B1104" t="inlineStr">
        <is>
          <t>D836</t>
        </is>
      </c>
      <c r="C1104" t="inlineStr">
        <is>
          <t>66408593</t>
        </is>
      </c>
      <c r="D1104" t="inlineStr">
        <is>
          <t>10000630</t>
        </is>
      </c>
      <c r="E1104" t="inlineStr"/>
      <c r="F1104" s="11" t="n">
        <v>150</v>
      </c>
      <c r="G1104" t="inlineStr"/>
      <c r="I1104" t="inlineStr">
        <is>
          <t>M3</t>
        </is>
      </c>
      <c r="J1104" t="inlineStr"/>
      <c r="K1104" t="inlineStr">
        <is>
          <t>20190426</t>
        </is>
      </c>
      <c r="L1104" t="inlineStr">
        <is>
          <t>20250127</t>
        </is>
      </c>
    </row>
    <row r="1105">
      <c r="A1105" t="inlineStr">
        <is>
          <t>900003605</t>
        </is>
      </c>
      <c r="B1105" t="inlineStr">
        <is>
          <t>D836</t>
        </is>
      </c>
      <c r="C1105" t="inlineStr">
        <is>
          <t>66433511</t>
        </is>
      </c>
      <c r="D1105" t="inlineStr">
        <is>
          <t>10000630</t>
        </is>
      </c>
      <c r="E1105" t="inlineStr"/>
      <c r="F1105" s="11" t="n">
        <v>138</v>
      </c>
      <c r="G1105" t="inlineStr"/>
      <c r="I1105" t="inlineStr">
        <is>
          <t>M3</t>
        </is>
      </c>
      <c r="J1105" t="inlineStr"/>
      <c r="K1105" t="inlineStr">
        <is>
          <t>20190426</t>
        </is>
      </c>
      <c r="L1105" t="inlineStr">
        <is>
          <t>20250127</t>
        </is>
      </c>
    </row>
    <row r="1106">
      <c r="A1106" t="inlineStr">
        <is>
          <t>900003605</t>
        </is>
      </c>
      <c r="B1106" t="inlineStr">
        <is>
          <t>D836</t>
        </is>
      </c>
      <c r="C1106" t="inlineStr">
        <is>
          <t>66433511</t>
        </is>
      </c>
      <c r="D1106" t="inlineStr">
        <is>
          <t>10000811</t>
        </is>
      </c>
      <c r="E1106" t="inlineStr"/>
      <c r="F1106" s="11" t="n">
        <v>138</v>
      </c>
      <c r="G1106" t="inlineStr"/>
      <c r="I1106" t="inlineStr">
        <is>
          <t>M3</t>
        </is>
      </c>
      <c r="J1106" t="inlineStr"/>
      <c r="K1106" t="inlineStr">
        <is>
          <t>20190426</t>
        </is>
      </c>
      <c r="L1106" t="inlineStr">
        <is>
          <t>20250127</t>
        </is>
      </c>
    </row>
    <row r="1107">
      <c r="A1107" t="inlineStr">
        <is>
          <t>900003605</t>
        </is>
      </c>
      <c r="B1107" t="inlineStr">
        <is>
          <t>D836</t>
        </is>
      </c>
      <c r="C1107" t="inlineStr">
        <is>
          <t>66532867</t>
        </is>
      </c>
      <c r="D1107" t="inlineStr">
        <is>
          <t>10000630</t>
        </is>
      </c>
      <c r="E1107" t="inlineStr"/>
      <c r="F1107" s="11" t="n">
        <v>150</v>
      </c>
      <c r="G1107" t="inlineStr"/>
      <c r="I1107" t="inlineStr">
        <is>
          <t>M3</t>
        </is>
      </c>
      <c r="J1107" t="inlineStr"/>
      <c r="K1107" t="inlineStr">
        <is>
          <t>20190426</t>
        </is>
      </c>
      <c r="L1107" t="inlineStr">
        <is>
          <t>20250127</t>
        </is>
      </c>
    </row>
    <row r="1108">
      <c r="A1108" t="inlineStr">
        <is>
          <t>900003605</t>
        </is>
      </c>
      <c r="B1108" t="inlineStr">
        <is>
          <t>D836</t>
        </is>
      </c>
      <c r="C1108" t="inlineStr">
        <is>
          <t>66574596</t>
        </is>
      </c>
      <c r="D1108" t="inlineStr">
        <is>
          <t>10000630</t>
        </is>
      </c>
      <c r="E1108" t="inlineStr"/>
      <c r="F1108" s="11" t="n">
        <v>150</v>
      </c>
      <c r="G1108" t="inlineStr"/>
      <c r="I1108" t="inlineStr">
        <is>
          <t>M3</t>
        </is>
      </c>
      <c r="J1108" t="inlineStr"/>
      <c r="K1108" t="inlineStr">
        <is>
          <t>20190426</t>
        </is>
      </c>
      <c r="L1108" t="inlineStr">
        <is>
          <t>20250127</t>
        </is>
      </c>
    </row>
    <row r="1109">
      <c r="A1109" t="inlineStr">
        <is>
          <t>900003605</t>
        </is>
      </c>
      <c r="B1109" t="inlineStr">
        <is>
          <t>D836</t>
        </is>
      </c>
      <c r="C1109" t="inlineStr">
        <is>
          <t>66582580</t>
        </is>
      </c>
      <c r="D1109" t="inlineStr">
        <is>
          <t>10000630</t>
        </is>
      </c>
      <c r="E1109" t="inlineStr"/>
      <c r="F1109" s="11" t="n">
        <v>150</v>
      </c>
      <c r="G1109" t="inlineStr"/>
      <c r="I1109" t="inlineStr">
        <is>
          <t>M3</t>
        </is>
      </c>
      <c r="J1109" t="inlineStr"/>
      <c r="K1109" t="inlineStr">
        <is>
          <t>20190426</t>
        </is>
      </c>
      <c r="L1109" t="inlineStr">
        <is>
          <t>20250127</t>
        </is>
      </c>
    </row>
    <row r="1110">
      <c r="A1110" t="inlineStr">
        <is>
          <t>900003605</t>
        </is>
      </c>
      <c r="B1110" t="inlineStr">
        <is>
          <t>D836</t>
        </is>
      </c>
      <c r="C1110" t="inlineStr">
        <is>
          <t>66624554</t>
        </is>
      </c>
      <c r="D1110" t="inlineStr">
        <is>
          <t>10000630</t>
        </is>
      </c>
      <c r="E1110" t="inlineStr"/>
      <c r="F1110" s="11" t="n">
        <v>150</v>
      </c>
      <c r="G1110" t="inlineStr"/>
      <c r="I1110" t="inlineStr">
        <is>
          <t>M3</t>
        </is>
      </c>
      <c r="J1110" t="inlineStr"/>
      <c r="K1110" t="inlineStr">
        <is>
          <t>20190426</t>
        </is>
      </c>
      <c r="L1110" t="inlineStr">
        <is>
          <t>20250127</t>
        </is>
      </c>
    </row>
    <row r="1111">
      <c r="A1111" t="inlineStr">
        <is>
          <t>900003605</t>
        </is>
      </c>
      <c r="B1111" t="inlineStr">
        <is>
          <t>D836</t>
        </is>
      </c>
      <c r="C1111" t="inlineStr">
        <is>
          <t>66819025</t>
        </is>
      </c>
      <c r="D1111" t="inlineStr">
        <is>
          <t>10000630</t>
        </is>
      </c>
      <c r="E1111" t="inlineStr"/>
      <c r="F1111" s="11" t="n">
        <v>143</v>
      </c>
      <c r="G1111" t="inlineStr"/>
      <c r="I1111" t="inlineStr">
        <is>
          <t>M3</t>
        </is>
      </c>
      <c r="J1111" t="inlineStr"/>
      <c r="K1111" t="inlineStr">
        <is>
          <t>20190426</t>
        </is>
      </c>
      <c r="L1111" t="inlineStr">
        <is>
          <t>20250127</t>
        </is>
      </c>
    </row>
    <row r="1112">
      <c r="A1112" t="inlineStr">
        <is>
          <t>900003605</t>
        </is>
      </c>
      <c r="B1112" t="inlineStr">
        <is>
          <t>D836</t>
        </is>
      </c>
      <c r="C1112" t="inlineStr">
        <is>
          <t>66828114</t>
        </is>
      </c>
      <c r="D1112" t="inlineStr">
        <is>
          <t>10000630</t>
        </is>
      </c>
      <c r="E1112" t="inlineStr"/>
      <c r="F1112" s="11" t="n">
        <v>150</v>
      </c>
      <c r="G1112" t="inlineStr"/>
      <c r="I1112" t="inlineStr">
        <is>
          <t>M3</t>
        </is>
      </c>
      <c r="J1112" t="inlineStr"/>
      <c r="K1112" t="inlineStr">
        <is>
          <t>20190426</t>
        </is>
      </c>
      <c r="L1112" t="inlineStr">
        <is>
          <t>20250127</t>
        </is>
      </c>
    </row>
    <row r="1113">
      <c r="A1113" t="inlineStr">
        <is>
          <t>900003605</t>
        </is>
      </c>
      <c r="B1113" t="inlineStr">
        <is>
          <t>D836</t>
        </is>
      </c>
      <c r="C1113" t="inlineStr">
        <is>
          <t>66875513</t>
        </is>
      </c>
      <c r="D1113" t="inlineStr">
        <is>
          <t>10000630</t>
        </is>
      </c>
      <c r="E1113" t="inlineStr"/>
      <c r="F1113" s="11" t="n">
        <v>150</v>
      </c>
      <c r="G1113" t="inlineStr"/>
      <c r="I1113" t="inlineStr">
        <is>
          <t>M3</t>
        </is>
      </c>
      <c r="J1113" t="inlineStr"/>
      <c r="K1113" t="inlineStr">
        <is>
          <t>20190426</t>
        </is>
      </c>
      <c r="L1113" t="inlineStr">
        <is>
          <t>20250127</t>
        </is>
      </c>
    </row>
    <row r="1114">
      <c r="A1114" t="inlineStr">
        <is>
          <t>900003606</t>
        </is>
      </c>
      <c r="B1114" t="inlineStr">
        <is>
          <t>D836</t>
        </is>
      </c>
      <c r="C1114" t="inlineStr">
        <is>
          <t>65565826</t>
        </is>
      </c>
      <c r="D1114" t="inlineStr">
        <is>
          <t>10000593</t>
        </is>
      </c>
      <c r="E1114" t="inlineStr"/>
      <c r="F1114" s="11" t="n">
        <v>91.43000000000001</v>
      </c>
      <c r="G1114" t="inlineStr"/>
      <c r="I1114" t="inlineStr">
        <is>
          <t>M3</t>
        </is>
      </c>
      <c r="J1114" t="inlineStr"/>
      <c r="K1114" t="inlineStr">
        <is>
          <t>20190426</t>
        </is>
      </c>
      <c r="L1114" t="inlineStr">
        <is>
          <t>20250127</t>
        </is>
      </c>
    </row>
    <row r="1115">
      <c r="A1115" t="inlineStr">
        <is>
          <t>900003606</t>
        </is>
      </c>
      <c r="B1115" t="inlineStr">
        <is>
          <t>D836</t>
        </is>
      </c>
      <c r="C1115" t="inlineStr">
        <is>
          <t>65565826</t>
        </is>
      </c>
      <c r="D1115" t="inlineStr">
        <is>
          <t>10000650</t>
        </is>
      </c>
      <c r="E1115" t="inlineStr"/>
      <c r="F1115" s="11" t="n">
        <v>89.7</v>
      </c>
      <c r="G1115" t="inlineStr"/>
      <c r="I1115" t="inlineStr">
        <is>
          <t>M3</t>
        </is>
      </c>
      <c r="J1115" t="inlineStr"/>
      <c r="K1115" t="inlineStr">
        <is>
          <t>20190426</t>
        </is>
      </c>
      <c r="L1115" t="inlineStr">
        <is>
          <t>20250127</t>
        </is>
      </c>
    </row>
    <row r="1116">
      <c r="A1116" t="inlineStr">
        <is>
          <t>900003608</t>
        </is>
      </c>
      <c r="B1116" t="inlineStr">
        <is>
          <t>D836</t>
        </is>
      </c>
      <c r="C1116" t="inlineStr">
        <is>
          <t>66424107</t>
        </is>
      </c>
      <c r="D1116" t="inlineStr">
        <is>
          <t>10000649</t>
        </is>
      </c>
      <c r="E1116" t="inlineStr"/>
      <c r="F1116" s="11" t="n">
        <v>110</v>
      </c>
      <c r="G1116" t="inlineStr"/>
      <c r="I1116" t="inlineStr">
        <is>
          <t>M3</t>
        </is>
      </c>
      <c r="J1116" t="inlineStr"/>
      <c r="K1116" t="inlineStr">
        <is>
          <t>20190426</t>
        </is>
      </c>
      <c r="L1116" t="inlineStr">
        <is>
          <t>20250127</t>
        </is>
      </c>
    </row>
    <row r="1117">
      <c r="A1117" t="inlineStr">
        <is>
          <t>900003608</t>
        </is>
      </c>
      <c r="B1117" t="inlineStr">
        <is>
          <t>D836</t>
        </is>
      </c>
      <c r="C1117" t="inlineStr">
        <is>
          <t>66424107</t>
        </is>
      </c>
      <c r="D1117" t="inlineStr">
        <is>
          <t>10146801</t>
        </is>
      </c>
      <c r="E1117" t="inlineStr"/>
      <c r="F1117" s="11" t="n">
        <v>110</v>
      </c>
      <c r="G1117" t="inlineStr"/>
      <c r="I1117" t="inlineStr">
        <is>
          <t>M3</t>
        </is>
      </c>
      <c r="J1117" t="inlineStr"/>
      <c r="K1117" t="inlineStr">
        <is>
          <t>20190426</t>
        </is>
      </c>
      <c r="L1117" t="inlineStr">
        <is>
          <t>20250127</t>
        </is>
      </c>
    </row>
    <row r="1118">
      <c r="A1118" t="inlineStr">
        <is>
          <t>900003608</t>
        </is>
      </c>
      <c r="B1118" t="inlineStr">
        <is>
          <t>D836</t>
        </is>
      </c>
      <c r="C1118" t="inlineStr">
        <is>
          <t>66424107</t>
        </is>
      </c>
      <c r="D1118" t="inlineStr">
        <is>
          <t>10146897</t>
        </is>
      </c>
      <c r="E1118" t="inlineStr"/>
      <c r="F1118" s="11" t="n">
        <v>110</v>
      </c>
      <c r="G1118" t="inlineStr"/>
      <c r="I1118" t="inlineStr">
        <is>
          <t>M3</t>
        </is>
      </c>
      <c r="J1118" t="inlineStr"/>
      <c r="K1118" t="inlineStr">
        <is>
          <t>20190426</t>
        </is>
      </c>
      <c r="L1118" t="inlineStr">
        <is>
          <t>20250127</t>
        </is>
      </c>
    </row>
    <row r="1119">
      <c r="A1119" t="inlineStr">
        <is>
          <t>900003609</t>
        </is>
      </c>
      <c r="B1119" t="inlineStr">
        <is>
          <t>D836</t>
        </is>
      </c>
      <c r="C1119" t="inlineStr">
        <is>
          <t>65002610</t>
        </is>
      </c>
      <c r="D1119" t="inlineStr">
        <is>
          <t>10000630</t>
        </is>
      </c>
      <c r="E1119" t="inlineStr"/>
      <c r="F1119" s="11" t="n">
        <v>155</v>
      </c>
      <c r="G1119" t="inlineStr"/>
      <c r="I1119" t="inlineStr">
        <is>
          <t>M3</t>
        </is>
      </c>
      <c r="J1119" t="inlineStr"/>
      <c r="K1119" t="inlineStr">
        <is>
          <t>20190426</t>
        </is>
      </c>
      <c r="L1119" t="inlineStr">
        <is>
          <t>20250127</t>
        </is>
      </c>
    </row>
    <row r="1120">
      <c r="A1120" t="inlineStr">
        <is>
          <t>900003609</t>
        </is>
      </c>
      <c r="B1120" t="inlineStr">
        <is>
          <t>D836</t>
        </is>
      </c>
      <c r="C1120" t="inlineStr">
        <is>
          <t>65008384</t>
        </is>
      </c>
      <c r="D1120" t="inlineStr">
        <is>
          <t>10000624</t>
        </is>
      </c>
      <c r="E1120" t="inlineStr"/>
      <c r="F1120" s="11" t="n">
        <v>140</v>
      </c>
      <c r="G1120" t="inlineStr"/>
      <c r="I1120" t="inlineStr">
        <is>
          <t>M3</t>
        </is>
      </c>
      <c r="J1120" t="inlineStr"/>
      <c r="K1120" t="inlineStr">
        <is>
          <t>20190426</t>
        </is>
      </c>
      <c r="L1120" t="inlineStr">
        <is>
          <t>20250127</t>
        </is>
      </c>
    </row>
    <row r="1121">
      <c r="A1121" t="inlineStr">
        <is>
          <t>900003609</t>
        </is>
      </c>
      <c r="B1121" t="inlineStr">
        <is>
          <t>D836</t>
        </is>
      </c>
      <c r="C1121" t="inlineStr">
        <is>
          <t>65015067</t>
        </is>
      </c>
      <c r="D1121" t="inlineStr">
        <is>
          <t>10198730</t>
        </is>
      </c>
      <c r="E1121" t="inlineStr"/>
      <c r="F1121" s="11" t="n">
        <v>97.41</v>
      </c>
      <c r="G1121" t="inlineStr"/>
      <c r="I1121" t="inlineStr">
        <is>
          <t>M3</t>
        </is>
      </c>
      <c r="J1121" t="inlineStr"/>
      <c r="K1121" t="inlineStr">
        <is>
          <t>20190426</t>
        </is>
      </c>
      <c r="L1121" t="inlineStr">
        <is>
          <t>20250127</t>
        </is>
      </c>
    </row>
    <row r="1122">
      <c r="A1122" t="inlineStr">
        <is>
          <t>900003609</t>
        </is>
      </c>
      <c r="B1122" t="inlineStr">
        <is>
          <t>D836</t>
        </is>
      </c>
      <c r="C1122" t="inlineStr">
        <is>
          <t>65015153</t>
        </is>
      </c>
      <c r="D1122" t="inlineStr">
        <is>
          <t>10000722</t>
        </is>
      </c>
      <c r="E1122" t="inlineStr"/>
      <c r="F1122" s="11" t="n">
        <v>95.08</v>
      </c>
      <c r="G1122" t="inlineStr"/>
      <c r="I1122" t="inlineStr">
        <is>
          <t>TN</t>
        </is>
      </c>
      <c r="J1122" t="inlineStr"/>
      <c r="K1122" t="inlineStr">
        <is>
          <t>20190426</t>
        </is>
      </c>
      <c r="L1122" t="inlineStr">
        <is>
          <t>20250127</t>
        </is>
      </c>
    </row>
    <row r="1123">
      <c r="A1123" t="inlineStr">
        <is>
          <t>900003609</t>
        </is>
      </c>
      <c r="B1123" t="inlineStr">
        <is>
          <t>D836</t>
        </is>
      </c>
      <c r="C1123" t="inlineStr">
        <is>
          <t>65061685</t>
        </is>
      </c>
      <c r="D1123" t="inlineStr">
        <is>
          <t>10000624</t>
        </is>
      </c>
      <c r="E1123" t="inlineStr"/>
      <c r="F1123" s="11" t="n">
        <v>145</v>
      </c>
      <c r="G1123" t="inlineStr"/>
      <c r="I1123" t="inlineStr">
        <is>
          <t>M3</t>
        </is>
      </c>
      <c r="J1123" t="inlineStr"/>
      <c r="K1123" t="inlineStr">
        <is>
          <t>20190426</t>
        </is>
      </c>
      <c r="L1123" t="inlineStr">
        <is>
          <t>20250127</t>
        </is>
      </c>
    </row>
    <row r="1124">
      <c r="A1124" t="inlineStr">
        <is>
          <t>900003609</t>
        </is>
      </c>
      <c r="B1124" t="inlineStr">
        <is>
          <t>D836</t>
        </is>
      </c>
      <c r="C1124" t="inlineStr">
        <is>
          <t>65061685</t>
        </is>
      </c>
      <c r="D1124" t="inlineStr">
        <is>
          <t>10000722</t>
        </is>
      </c>
      <c r="E1124" t="inlineStr"/>
      <c r="F1124" s="11" t="n">
        <v>150</v>
      </c>
      <c r="G1124" t="inlineStr"/>
      <c r="I1124" t="inlineStr">
        <is>
          <t>M3</t>
        </is>
      </c>
      <c r="J1124" t="inlineStr"/>
      <c r="K1124" t="inlineStr">
        <is>
          <t>20190426</t>
        </is>
      </c>
      <c r="L1124" t="inlineStr">
        <is>
          <t>20250127</t>
        </is>
      </c>
    </row>
    <row r="1125">
      <c r="A1125" t="inlineStr">
        <is>
          <t>900003609</t>
        </is>
      </c>
      <c r="B1125" t="inlineStr">
        <is>
          <t>D836</t>
        </is>
      </c>
      <c r="C1125" t="inlineStr">
        <is>
          <t>65081426</t>
        </is>
      </c>
      <c r="D1125" t="inlineStr">
        <is>
          <t>10000630</t>
        </is>
      </c>
      <c r="E1125" t="inlineStr"/>
      <c r="F1125" s="11" t="n">
        <v>101.66</v>
      </c>
      <c r="G1125" t="inlineStr"/>
      <c r="I1125" t="inlineStr">
        <is>
          <t>TN</t>
        </is>
      </c>
      <c r="J1125" t="inlineStr"/>
      <c r="K1125" t="inlineStr">
        <is>
          <t>20190426</t>
        </is>
      </c>
      <c r="L1125" t="inlineStr">
        <is>
          <t>20250127</t>
        </is>
      </c>
    </row>
    <row r="1126">
      <c r="A1126" t="inlineStr">
        <is>
          <t>900003609</t>
        </is>
      </c>
      <c r="B1126" t="inlineStr">
        <is>
          <t>D836</t>
        </is>
      </c>
      <c r="C1126" t="inlineStr">
        <is>
          <t>65084091</t>
        </is>
      </c>
      <c r="D1126" t="inlineStr">
        <is>
          <t>10000630</t>
        </is>
      </c>
      <c r="E1126" t="inlineStr"/>
      <c r="F1126" s="11" t="n">
        <v>104.05</v>
      </c>
      <c r="G1126" t="inlineStr"/>
      <c r="I1126" t="inlineStr">
        <is>
          <t>TN</t>
        </is>
      </c>
      <c r="J1126" t="inlineStr"/>
      <c r="K1126" t="inlineStr">
        <is>
          <t>20190426</t>
        </is>
      </c>
      <c r="L1126" t="inlineStr">
        <is>
          <t>20250127</t>
        </is>
      </c>
    </row>
    <row r="1127">
      <c r="A1127" t="inlineStr">
        <is>
          <t>900003609</t>
        </is>
      </c>
      <c r="B1127" t="inlineStr">
        <is>
          <t>D836</t>
        </is>
      </c>
      <c r="C1127" t="inlineStr">
        <is>
          <t>65084190</t>
        </is>
      </c>
      <c r="D1127" t="inlineStr">
        <is>
          <t>10000811</t>
        </is>
      </c>
      <c r="E1127" t="inlineStr"/>
      <c r="F1127" s="11" t="n">
        <v>107.64</v>
      </c>
      <c r="G1127" t="inlineStr"/>
      <c r="I1127" t="inlineStr">
        <is>
          <t>TN</t>
        </is>
      </c>
      <c r="J1127" t="inlineStr"/>
      <c r="K1127" t="inlineStr">
        <is>
          <t>20190426</t>
        </is>
      </c>
      <c r="L1127" t="inlineStr">
        <is>
          <t>20250127</t>
        </is>
      </c>
    </row>
    <row r="1128">
      <c r="A1128" t="inlineStr">
        <is>
          <t>900003609</t>
        </is>
      </c>
      <c r="B1128" t="inlineStr">
        <is>
          <t>D836</t>
        </is>
      </c>
      <c r="C1128" t="inlineStr">
        <is>
          <t>65087219</t>
        </is>
      </c>
      <c r="D1128" t="inlineStr">
        <is>
          <t>10000630</t>
        </is>
      </c>
      <c r="E1128" t="inlineStr"/>
      <c r="F1128" s="11" t="n">
        <v>163</v>
      </c>
      <c r="G1128" t="inlineStr"/>
      <c r="I1128" t="inlineStr">
        <is>
          <t>M3</t>
        </is>
      </c>
      <c r="J1128" t="inlineStr"/>
      <c r="K1128" t="inlineStr">
        <is>
          <t>20190426</t>
        </is>
      </c>
      <c r="L1128" t="inlineStr">
        <is>
          <t>20250127</t>
        </is>
      </c>
    </row>
    <row r="1129">
      <c r="A1129" t="inlineStr">
        <is>
          <t>900003609</t>
        </is>
      </c>
      <c r="B1129" t="inlineStr">
        <is>
          <t>D836</t>
        </is>
      </c>
      <c r="C1129" t="inlineStr">
        <is>
          <t>65087219</t>
        </is>
      </c>
      <c r="D1129" t="inlineStr">
        <is>
          <t>10233033</t>
        </is>
      </c>
      <c r="E1129" t="inlineStr"/>
      <c r="F1129" s="11" t="n">
        <v>155</v>
      </c>
      <c r="G1129" t="inlineStr"/>
      <c r="I1129" t="inlineStr">
        <is>
          <t>M3</t>
        </is>
      </c>
      <c r="J1129" t="inlineStr"/>
      <c r="K1129" t="inlineStr">
        <is>
          <t>20190426</t>
        </is>
      </c>
      <c r="L1129" t="inlineStr">
        <is>
          <t>20250127</t>
        </is>
      </c>
    </row>
    <row r="1130">
      <c r="A1130" t="inlineStr">
        <is>
          <t>900003609</t>
        </is>
      </c>
      <c r="B1130" t="inlineStr">
        <is>
          <t>D836</t>
        </is>
      </c>
      <c r="C1130" t="inlineStr">
        <is>
          <t>65134617</t>
        </is>
      </c>
      <c r="D1130" t="inlineStr">
        <is>
          <t>10000630</t>
        </is>
      </c>
      <c r="E1130" t="inlineStr"/>
      <c r="F1130" s="11" t="n">
        <v>101.66</v>
      </c>
      <c r="G1130" t="inlineStr"/>
      <c r="I1130" t="inlineStr">
        <is>
          <t>TN</t>
        </is>
      </c>
      <c r="J1130" t="inlineStr"/>
      <c r="K1130" t="inlineStr">
        <is>
          <t>20190426</t>
        </is>
      </c>
      <c r="L1130" t="inlineStr">
        <is>
          <t>20250127</t>
        </is>
      </c>
    </row>
    <row r="1131">
      <c r="A1131" t="inlineStr">
        <is>
          <t>900003609</t>
        </is>
      </c>
      <c r="B1131" t="inlineStr">
        <is>
          <t>D836</t>
        </is>
      </c>
      <c r="C1131" t="inlineStr">
        <is>
          <t>65210427</t>
        </is>
      </c>
      <c r="D1131" t="inlineStr">
        <is>
          <t>10000624</t>
        </is>
      </c>
      <c r="E1131" t="inlineStr"/>
      <c r="F1131" s="11" t="n">
        <v>86.11</v>
      </c>
      <c r="G1131" t="inlineStr"/>
      <c r="I1131" t="inlineStr">
        <is>
          <t>TN</t>
        </is>
      </c>
      <c r="J1131" t="inlineStr"/>
      <c r="K1131" t="inlineStr">
        <is>
          <t>20190426</t>
        </is>
      </c>
      <c r="L1131" t="inlineStr">
        <is>
          <t>20250127</t>
        </is>
      </c>
    </row>
    <row r="1132">
      <c r="A1132" t="inlineStr">
        <is>
          <t>900003609</t>
        </is>
      </c>
      <c r="B1132" t="inlineStr">
        <is>
          <t>D836</t>
        </is>
      </c>
      <c r="C1132" t="inlineStr">
        <is>
          <t>65210427</t>
        </is>
      </c>
      <c r="D1132" t="inlineStr">
        <is>
          <t>10000722</t>
        </is>
      </c>
      <c r="E1132" t="inlineStr"/>
      <c r="F1132" s="11" t="n">
        <v>93.29000000000001</v>
      </c>
      <c r="G1132" t="inlineStr"/>
      <c r="I1132" t="inlineStr">
        <is>
          <t>TN</t>
        </is>
      </c>
      <c r="J1132" t="inlineStr"/>
      <c r="K1132" t="inlineStr">
        <is>
          <t>20190426</t>
        </is>
      </c>
      <c r="L1132" t="inlineStr">
        <is>
          <t>20250127</t>
        </is>
      </c>
    </row>
    <row r="1133">
      <c r="A1133" t="inlineStr">
        <is>
          <t>900003609</t>
        </is>
      </c>
      <c r="B1133" t="inlineStr">
        <is>
          <t>D836</t>
        </is>
      </c>
      <c r="C1133" t="inlineStr">
        <is>
          <t>65221521</t>
        </is>
      </c>
      <c r="D1133" t="inlineStr">
        <is>
          <t>10000811</t>
        </is>
      </c>
      <c r="E1133" t="inlineStr"/>
      <c r="F1133" s="11" t="n">
        <v>87.2</v>
      </c>
      <c r="G1133" t="inlineStr"/>
      <c r="I1133" t="inlineStr">
        <is>
          <t>TN</t>
        </is>
      </c>
      <c r="J1133" t="inlineStr"/>
      <c r="K1133" t="inlineStr">
        <is>
          <t>20190426</t>
        </is>
      </c>
      <c r="L1133" t="inlineStr">
        <is>
          <t>20250127</t>
        </is>
      </c>
    </row>
    <row r="1134">
      <c r="A1134" t="inlineStr">
        <is>
          <t>900003609</t>
        </is>
      </c>
      <c r="B1134" t="inlineStr">
        <is>
          <t>D836</t>
        </is>
      </c>
      <c r="C1134" t="inlineStr">
        <is>
          <t>65246763</t>
        </is>
      </c>
      <c r="D1134" t="inlineStr">
        <is>
          <t>10000624</t>
        </is>
      </c>
      <c r="E1134" t="inlineStr"/>
      <c r="F1134" s="11" t="n">
        <v>129.17</v>
      </c>
      <c r="G1134" t="inlineStr"/>
      <c r="I1134" t="inlineStr">
        <is>
          <t>M3</t>
        </is>
      </c>
      <c r="J1134" t="inlineStr"/>
      <c r="K1134" t="inlineStr">
        <is>
          <t>20190426</t>
        </is>
      </c>
      <c r="L1134" t="inlineStr">
        <is>
          <t>20250127</t>
        </is>
      </c>
    </row>
    <row r="1135">
      <c r="A1135" t="inlineStr">
        <is>
          <t>900003609</t>
        </is>
      </c>
      <c r="B1135" t="inlineStr">
        <is>
          <t>D836</t>
        </is>
      </c>
      <c r="C1135" t="inlineStr">
        <is>
          <t>65246763</t>
        </is>
      </c>
      <c r="D1135" t="inlineStr">
        <is>
          <t>10000722</t>
        </is>
      </c>
      <c r="E1135" t="inlineStr"/>
      <c r="F1135" s="11" t="n">
        <v>129.17</v>
      </c>
      <c r="G1135" t="inlineStr"/>
      <c r="I1135" t="inlineStr">
        <is>
          <t>M3</t>
        </is>
      </c>
      <c r="J1135" t="inlineStr"/>
      <c r="K1135" t="inlineStr">
        <is>
          <t>20190426</t>
        </is>
      </c>
      <c r="L1135" t="inlineStr">
        <is>
          <t>20250127</t>
        </is>
      </c>
    </row>
    <row r="1136">
      <c r="A1136" t="inlineStr">
        <is>
          <t>900003609</t>
        </is>
      </c>
      <c r="B1136" t="inlineStr">
        <is>
          <t>D836</t>
        </is>
      </c>
      <c r="C1136" t="inlineStr">
        <is>
          <t>65251399</t>
        </is>
      </c>
      <c r="D1136" t="inlineStr">
        <is>
          <t>10000624</t>
        </is>
      </c>
      <c r="E1136" t="inlineStr"/>
      <c r="F1136" s="11" t="n">
        <v>145</v>
      </c>
      <c r="G1136" t="inlineStr"/>
      <c r="I1136" t="inlineStr">
        <is>
          <t>M3</t>
        </is>
      </c>
      <c r="J1136" t="inlineStr"/>
      <c r="K1136" t="inlineStr">
        <is>
          <t>20190426</t>
        </is>
      </c>
      <c r="L1136" t="inlineStr">
        <is>
          <t>20250127</t>
        </is>
      </c>
    </row>
    <row r="1137">
      <c r="A1137" t="inlineStr">
        <is>
          <t>900003609</t>
        </is>
      </c>
      <c r="B1137" t="inlineStr">
        <is>
          <t>D836</t>
        </is>
      </c>
      <c r="C1137" t="inlineStr">
        <is>
          <t>65251399</t>
        </is>
      </c>
      <c r="D1137" t="inlineStr">
        <is>
          <t>10000722</t>
        </is>
      </c>
      <c r="E1137" t="inlineStr"/>
      <c r="F1137" s="11" t="n">
        <v>150</v>
      </c>
      <c r="G1137" t="inlineStr"/>
      <c r="I1137" t="inlineStr">
        <is>
          <t>M3</t>
        </is>
      </c>
      <c r="J1137" t="inlineStr"/>
      <c r="K1137" t="inlineStr">
        <is>
          <t>20190426</t>
        </is>
      </c>
      <c r="L1137" t="inlineStr">
        <is>
          <t>20250127</t>
        </is>
      </c>
    </row>
    <row r="1138">
      <c r="A1138" t="inlineStr">
        <is>
          <t>900003609</t>
        </is>
      </c>
      <c r="B1138" t="inlineStr">
        <is>
          <t>D836</t>
        </is>
      </c>
      <c r="C1138" t="inlineStr">
        <is>
          <t>65251399</t>
        </is>
      </c>
      <c r="D1138" t="inlineStr">
        <is>
          <t>10053281</t>
        </is>
      </c>
      <c r="E1138" t="inlineStr"/>
      <c r="F1138" s="11" t="n">
        <v>120</v>
      </c>
      <c r="G1138" t="inlineStr"/>
      <c r="I1138" t="inlineStr">
        <is>
          <t>M3</t>
        </is>
      </c>
      <c r="J1138" t="inlineStr"/>
      <c r="K1138" t="inlineStr">
        <is>
          <t>20190426</t>
        </is>
      </c>
      <c r="L1138" t="inlineStr">
        <is>
          <t>20250127</t>
        </is>
      </c>
    </row>
    <row r="1139">
      <c r="A1139" t="inlineStr">
        <is>
          <t>900003609</t>
        </is>
      </c>
      <c r="B1139" t="inlineStr">
        <is>
          <t>D836</t>
        </is>
      </c>
      <c r="C1139" t="inlineStr">
        <is>
          <t>65296485</t>
        </is>
      </c>
      <c r="D1139" t="inlineStr">
        <is>
          <t>10000722</t>
        </is>
      </c>
      <c r="E1139" t="inlineStr"/>
      <c r="F1139" s="11" t="n">
        <v>95.68000000000001</v>
      </c>
      <c r="G1139" t="inlineStr"/>
      <c r="I1139" t="inlineStr">
        <is>
          <t>TN</t>
        </is>
      </c>
      <c r="J1139" t="inlineStr"/>
      <c r="K1139" t="inlineStr">
        <is>
          <t>20190426</t>
        </is>
      </c>
      <c r="L1139" t="inlineStr">
        <is>
          <t>20250127</t>
        </is>
      </c>
    </row>
    <row r="1140">
      <c r="A1140" t="inlineStr">
        <is>
          <t>900003609</t>
        </is>
      </c>
      <c r="B1140" t="inlineStr">
        <is>
          <t>D836</t>
        </is>
      </c>
      <c r="C1140" t="inlineStr">
        <is>
          <t>65300906</t>
        </is>
      </c>
      <c r="D1140" t="inlineStr">
        <is>
          <t>10053281</t>
        </is>
      </c>
      <c r="E1140" t="inlineStr"/>
      <c r="F1140" s="11" t="n">
        <v>127.65</v>
      </c>
      <c r="G1140" t="inlineStr"/>
      <c r="I1140" t="inlineStr">
        <is>
          <t>M3</t>
        </is>
      </c>
      <c r="J1140" t="inlineStr"/>
      <c r="K1140" t="inlineStr">
        <is>
          <t>20190426</t>
        </is>
      </c>
      <c r="L1140" t="inlineStr">
        <is>
          <t>20250127</t>
        </is>
      </c>
    </row>
    <row r="1141">
      <c r="A1141" t="inlineStr">
        <is>
          <t>900003609</t>
        </is>
      </c>
      <c r="B1141" t="inlineStr">
        <is>
          <t>D836</t>
        </is>
      </c>
      <c r="C1141" t="inlineStr">
        <is>
          <t>65345243</t>
        </is>
      </c>
      <c r="D1141" t="inlineStr">
        <is>
          <t>10000624</t>
        </is>
      </c>
      <c r="E1141" t="inlineStr"/>
      <c r="F1141" s="11" t="n">
        <v>142</v>
      </c>
      <c r="G1141" t="inlineStr"/>
      <c r="I1141" t="inlineStr">
        <is>
          <t>M3</t>
        </is>
      </c>
      <c r="J1141" t="inlineStr"/>
      <c r="K1141" t="inlineStr">
        <is>
          <t>20190426</t>
        </is>
      </c>
      <c r="L1141" t="inlineStr">
        <is>
          <t>20250127</t>
        </is>
      </c>
    </row>
    <row r="1142">
      <c r="A1142" t="inlineStr">
        <is>
          <t>900003609</t>
        </is>
      </c>
      <c r="B1142" t="inlineStr">
        <is>
          <t>D836</t>
        </is>
      </c>
      <c r="C1142" t="inlineStr">
        <is>
          <t>65345243</t>
        </is>
      </c>
      <c r="D1142" t="inlineStr">
        <is>
          <t>10000811</t>
        </is>
      </c>
      <c r="E1142" t="inlineStr"/>
      <c r="F1142" s="11" t="n">
        <v>146</v>
      </c>
      <c r="G1142" t="inlineStr"/>
      <c r="I1142" t="inlineStr">
        <is>
          <t>M3</t>
        </is>
      </c>
      <c r="J1142" t="inlineStr"/>
      <c r="K1142" t="inlineStr">
        <is>
          <t>20190426</t>
        </is>
      </c>
      <c r="L1142" t="inlineStr">
        <is>
          <t>20250127</t>
        </is>
      </c>
    </row>
    <row r="1143">
      <c r="A1143" t="inlineStr">
        <is>
          <t>900003609</t>
        </is>
      </c>
      <c r="B1143" t="inlineStr">
        <is>
          <t>D836</t>
        </is>
      </c>
      <c r="C1143" t="inlineStr">
        <is>
          <t>65370785</t>
        </is>
      </c>
      <c r="D1143" t="inlineStr">
        <is>
          <t>10000722</t>
        </is>
      </c>
      <c r="E1143" t="inlineStr"/>
      <c r="F1143" s="11" t="n">
        <v>137.54</v>
      </c>
      <c r="G1143" t="inlineStr"/>
      <c r="I1143" t="inlineStr">
        <is>
          <t>M3</t>
        </is>
      </c>
      <c r="J1143" t="inlineStr"/>
      <c r="K1143" t="inlineStr">
        <is>
          <t>20190426</t>
        </is>
      </c>
      <c r="L1143" t="inlineStr">
        <is>
          <t>20250127</t>
        </is>
      </c>
    </row>
    <row r="1144">
      <c r="A1144" t="inlineStr">
        <is>
          <t>900003609</t>
        </is>
      </c>
      <c r="B1144" t="inlineStr">
        <is>
          <t>D836</t>
        </is>
      </c>
      <c r="C1144" t="inlineStr">
        <is>
          <t>65442270</t>
        </is>
      </c>
      <c r="D1144" t="inlineStr">
        <is>
          <t>10000624</t>
        </is>
      </c>
      <c r="E1144" t="inlineStr"/>
      <c r="F1144" s="11" t="n">
        <v>143.52</v>
      </c>
      <c r="G1144" t="inlineStr"/>
      <c r="I1144" t="inlineStr">
        <is>
          <t>M3</t>
        </is>
      </c>
      <c r="J1144" t="inlineStr"/>
      <c r="K1144" t="inlineStr">
        <is>
          <t>20190426</t>
        </is>
      </c>
      <c r="L1144" t="inlineStr">
        <is>
          <t>20250127</t>
        </is>
      </c>
    </row>
    <row r="1145">
      <c r="A1145" t="inlineStr">
        <is>
          <t>900003609</t>
        </is>
      </c>
      <c r="B1145" t="inlineStr">
        <is>
          <t>D836</t>
        </is>
      </c>
      <c r="C1145" t="inlineStr">
        <is>
          <t>65442270</t>
        </is>
      </c>
      <c r="D1145" t="inlineStr">
        <is>
          <t>10000625</t>
        </is>
      </c>
      <c r="E1145" t="inlineStr"/>
      <c r="F1145" s="11" t="n">
        <v>59.73</v>
      </c>
      <c r="G1145" t="inlineStr"/>
      <c r="I1145" t="inlineStr">
        <is>
          <t>TN</t>
        </is>
      </c>
      <c r="J1145" t="inlineStr"/>
      <c r="K1145" t="inlineStr">
        <is>
          <t>20190426</t>
        </is>
      </c>
      <c r="L1145" t="inlineStr">
        <is>
          <t>20250127</t>
        </is>
      </c>
    </row>
    <row r="1146">
      <c r="A1146" t="inlineStr">
        <is>
          <t>900003609</t>
        </is>
      </c>
      <c r="B1146" t="inlineStr">
        <is>
          <t>D836</t>
        </is>
      </c>
      <c r="C1146" t="inlineStr">
        <is>
          <t>65442270</t>
        </is>
      </c>
      <c r="D1146" t="inlineStr">
        <is>
          <t>10000722</t>
        </is>
      </c>
      <c r="E1146" t="inlineStr"/>
      <c r="F1146" s="11" t="n">
        <v>143.52</v>
      </c>
      <c r="G1146" t="inlineStr"/>
      <c r="I1146" t="inlineStr">
        <is>
          <t>M3</t>
        </is>
      </c>
      <c r="J1146" t="inlineStr"/>
      <c r="K1146" t="inlineStr">
        <is>
          <t>20190426</t>
        </is>
      </c>
      <c r="L1146" t="inlineStr">
        <is>
          <t>20250127</t>
        </is>
      </c>
    </row>
    <row r="1147">
      <c r="A1147" t="inlineStr">
        <is>
          <t>900003609</t>
        </is>
      </c>
      <c r="B1147" t="inlineStr">
        <is>
          <t>D836</t>
        </is>
      </c>
      <c r="C1147" t="inlineStr">
        <is>
          <t>65442710</t>
        </is>
      </c>
      <c r="D1147" t="inlineStr">
        <is>
          <t>10053281</t>
        </is>
      </c>
      <c r="E1147" t="inlineStr"/>
      <c r="F1147" s="11" t="n">
        <v>150</v>
      </c>
      <c r="G1147" t="inlineStr"/>
      <c r="I1147" t="inlineStr">
        <is>
          <t>M3</t>
        </is>
      </c>
      <c r="J1147" t="inlineStr"/>
      <c r="K1147" t="inlineStr">
        <is>
          <t>20190426</t>
        </is>
      </c>
      <c r="L1147" t="inlineStr">
        <is>
          <t>20250127</t>
        </is>
      </c>
    </row>
    <row r="1148">
      <c r="A1148" t="inlineStr">
        <is>
          <t>900003609</t>
        </is>
      </c>
      <c r="B1148" t="inlineStr">
        <is>
          <t>D836</t>
        </is>
      </c>
      <c r="C1148" t="inlineStr">
        <is>
          <t>65565826</t>
        </is>
      </c>
      <c r="D1148" t="inlineStr">
        <is>
          <t>10000722</t>
        </is>
      </c>
      <c r="E1148" t="inlineStr"/>
      <c r="F1148" s="11" t="n">
        <v>143.52</v>
      </c>
      <c r="G1148" t="inlineStr"/>
      <c r="I1148" t="inlineStr">
        <is>
          <t>M3</t>
        </is>
      </c>
      <c r="J1148" t="inlineStr"/>
      <c r="K1148" t="inlineStr">
        <is>
          <t>20190426</t>
        </is>
      </c>
      <c r="L1148" t="inlineStr">
        <is>
          <t>20250127</t>
        </is>
      </c>
    </row>
    <row r="1149">
      <c r="A1149" t="inlineStr">
        <is>
          <t>900003609</t>
        </is>
      </c>
      <c r="B1149" t="inlineStr">
        <is>
          <t>D836</t>
        </is>
      </c>
      <c r="C1149" t="inlineStr">
        <is>
          <t>65570346</t>
        </is>
      </c>
      <c r="D1149" t="inlineStr">
        <is>
          <t>10000624</t>
        </is>
      </c>
      <c r="E1149" t="inlineStr"/>
      <c r="F1149" s="11" t="n">
        <v>126</v>
      </c>
      <c r="G1149" t="inlineStr"/>
      <c r="I1149" t="inlineStr">
        <is>
          <t>M3</t>
        </is>
      </c>
      <c r="J1149" t="inlineStr"/>
      <c r="K1149" t="inlineStr">
        <is>
          <t>20190426</t>
        </is>
      </c>
      <c r="L1149" t="inlineStr">
        <is>
          <t>20250127</t>
        </is>
      </c>
    </row>
    <row r="1150">
      <c r="A1150" t="inlineStr">
        <is>
          <t>900003609</t>
        </is>
      </c>
      <c r="B1150" t="inlineStr">
        <is>
          <t>D836</t>
        </is>
      </c>
      <c r="C1150" t="inlineStr">
        <is>
          <t>65570346</t>
        </is>
      </c>
      <c r="D1150" t="inlineStr">
        <is>
          <t>10000722</t>
        </is>
      </c>
      <c r="E1150" t="inlineStr"/>
      <c r="F1150" s="11" t="n">
        <v>143.52</v>
      </c>
      <c r="G1150" t="inlineStr"/>
      <c r="I1150" t="inlineStr">
        <is>
          <t>M3</t>
        </is>
      </c>
      <c r="J1150" t="inlineStr"/>
      <c r="K1150" t="inlineStr">
        <is>
          <t>20190426</t>
        </is>
      </c>
      <c r="L1150" t="inlineStr">
        <is>
          <t>20250127</t>
        </is>
      </c>
    </row>
    <row r="1151">
      <c r="A1151" t="inlineStr">
        <is>
          <t>900003609</t>
        </is>
      </c>
      <c r="B1151" t="inlineStr">
        <is>
          <t>D836</t>
        </is>
      </c>
      <c r="C1151" t="inlineStr">
        <is>
          <t>65570346</t>
        </is>
      </c>
      <c r="D1151" t="inlineStr">
        <is>
          <t>10053281</t>
        </is>
      </c>
      <c r="E1151" t="inlineStr"/>
      <c r="F1151" s="11" t="n">
        <v>126</v>
      </c>
      <c r="G1151" t="inlineStr"/>
      <c r="I1151" t="inlineStr">
        <is>
          <t>M3</t>
        </is>
      </c>
      <c r="J1151" t="inlineStr"/>
      <c r="K1151" t="inlineStr">
        <is>
          <t>20190426</t>
        </is>
      </c>
      <c r="L1151" t="inlineStr">
        <is>
          <t>20250127</t>
        </is>
      </c>
    </row>
    <row r="1152">
      <c r="A1152" t="inlineStr">
        <is>
          <t>900003609</t>
        </is>
      </c>
      <c r="B1152" t="inlineStr">
        <is>
          <t>D836</t>
        </is>
      </c>
      <c r="C1152" t="inlineStr">
        <is>
          <t>65633365</t>
        </is>
      </c>
      <c r="D1152" t="inlineStr">
        <is>
          <t>10053281</t>
        </is>
      </c>
      <c r="E1152" t="inlineStr"/>
      <c r="F1152" s="11" t="n">
        <v>128</v>
      </c>
      <c r="G1152" t="inlineStr"/>
      <c r="I1152" t="inlineStr">
        <is>
          <t>M3</t>
        </is>
      </c>
      <c r="J1152" t="inlineStr"/>
      <c r="K1152" t="inlineStr">
        <is>
          <t>20190426</t>
        </is>
      </c>
      <c r="L1152" t="inlineStr">
        <is>
          <t>20250127</t>
        </is>
      </c>
    </row>
    <row r="1153">
      <c r="A1153" t="inlineStr">
        <is>
          <t>900003609</t>
        </is>
      </c>
      <c r="B1153" t="inlineStr">
        <is>
          <t>D836</t>
        </is>
      </c>
      <c r="C1153" t="inlineStr">
        <is>
          <t>65685819</t>
        </is>
      </c>
      <c r="D1153" t="inlineStr">
        <is>
          <t>10000624</t>
        </is>
      </c>
      <c r="E1153" t="inlineStr"/>
      <c r="F1153" s="11" t="n">
        <v>143.52</v>
      </c>
      <c r="G1153" t="inlineStr"/>
      <c r="I1153" t="inlineStr">
        <is>
          <t>M3</t>
        </is>
      </c>
      <c r="J1153" t="inlineStr"/>
      <c r="K1153" t="inlineStr">
        <is>
          <t>20190426</t>
        </is>
      </c>
      <c r="L1153" t="inlineStr">
        <is>
          <t>20250127</t>
        </is>
      </c>
    </row>
    <row r="1154">
      <c r="A1154" t="inlineStr">
        <is>
          <t>900003609</t>
        </is>
      </c>
      <c r="B1154" t="inlineStr">
        <is>
          <t>D836</t>
        </is>
      </c>
      <c r="C1154" t="inlineStr">
        <is>
          <t>65685819</t>
        </is>
      </c>
      <c r="D1154" t="inlineStr">
        <is>
          <t>10000630</t>
        </is>
      </c>
      <c r="E1154" t="inlineStr"/>
      <c r="F1154" s="11" t="n">
        <v>155.48</v>
      </c>
      <c r="G1154" t="inlineStr"/>
      <c r="I1154" t="inlineStr">
        <is>
          <t>M3</t>
        </is>
      </c>
      <c r="J1154" t="inlineStr"/>
      <c r="K1154" t="inlineStr">
        <is>
          <t>20190426</t>
        </is>
      </c>
      <c r="L1154" t="inlineStr">
        <is>
          <t>20250127</t>
        </is>
      </c>
    </row>
    <row r="1155">
      <c r="A1155" t="inlineStr">
        <is>
          <t>900003609</t>
        </is>
      </c>
      <c r="B1155" t="inlineStr">
        <is>
          <t>D836</t>
        </is>
      </c>
      <c r="C1155" t="inlineStr">
        <is>
          <t>65685819</t>
        </is>
      </c>
      <c r="D1155" t="inlineStr">
        <is>
          <t>10000722</t>
        </is>
      </c>
      <c r="E1155" t="inlineStr"/>
      <c r="F1155" s="11" t="n">
        <v>143.52</v>
      </c>
      <c r="G1155" t="inlineStr"/>
      <c r="I1155" t="inlineStr">
        <is>
          <t>M3</t>
        </is>
      </c>
      <c r="J1155" t="inlineStr"/>
      <c r="K1155" t="inlineStr">
        <is>
          <t>20190426</t>
        </is>
      </c>
      <c r="L1155" t="inlineStr">
        <is>
          <t>20250127</t>
        </is>
      </c>
    </row>
    <row r="1156">
      <c r="A1156" t="inlineStr">
        <is>
          <t>900003609</t>
        </is>
      </c>
      <c r="B1156" t="inlineStr">
        <is>
          <t>D836</t>
        </is>
      </c>
      <c r="C1156" t="inlineStr">
        <is>
          <t>65706147</t>
        </is>
      </c>
      <c r="D1156" t="inlineStr">
        <is>
          <t>10000160</t>
        </is>
      </c>
      <c r="E1156" t="inlineStr"/>
      <c r="F1156" s="11" t="n">
        <v>124</v>
      </c>
      <c r="G1156" t="inlineStr"/>
      <c r="I1156" t="inlineStr">
        <is>
          <t>M3</t>
        </is>
      </c>
      <c r="J1156" t="inlineStr"/>
      <c r="K1156" t="inlineStr">
        <is>
          <t>20190426</t>
        </is>
      </c>
      <c r="L1156" t="inlineStr">
        <is>
          <t>20250127</t>
        </is>
      </c>
    </row>
    <row r="1157">
      <c r="A1157" t="inlineStr">
        <is>
          <t>900003609</t>
        </is>
      </c>
      <c r="B1157" t="inlineStr">
        <is>
          <t>D836</t>
        </is>
      </c>
      <c r="C1157" t="inlineStr">
        <is>
          <t>65706147</t>
        </is>
      </c>
      <c r="D1157" t="inlineStr">
        <is>
          <t>10000625</t>
        </is>
      </c>
      <c r="E1157" t="inlineStr"/>
      <c r="F1157" s="11" t="n">
        <v>110</v>
      </c>
      <c r="G1157" t="inlineStr"/>
      <c r="I1157" t="inlineStr">
        <is>
          <t>M3</t>
        </is>
      </c>
      <c r="J1157" t="inlineStr"/>
      <c r="K1157" t="inlineStr">
        <is>
          <t>20190426</t>
        </is>
      </c>
      <c r="L1157" t="inlineStr">
        <is>
          <t>20250127</t>
        </is>
      </c>
    </row>
    <row r="1158">
      <c r="A1158" t="inlineStr">
        <is>
          <t>900003609</t>
        </is>
      </c>
      <c r="B1158" t="inlineStr">
        <is>
          <t>D836</t>
        </is>
      </c>
      <c r="C1158" t="inlineStr">
        <is>
          <t>65706147</t>
        </is>
      </c>
      <c r="D1158" t="inlineStr">
        <is>
          <t>10000630</t>
        </is>
      </c>
      <c r="E1158" t="inlineStr"/>
      <c r="F1158" s="11" t="n">
        <v>145</v>
      </c>
      <c r="G1158" t="inlineStr"/>
      <c r="I1158" t="inlineStr">
        <is>
          <t>M3</t>
        </is>
      </c>
      <c r="J1158" t="inlineStr"/>
      <c r="K1158" t="inlineStr">
        <is>
          <t>20190426</t>
        </is>
      </c>
      <c r="L1158" t="inlineStr">
        <is>
          <t>20250127</t>
        </is>
      </c>
    </row>
    <row r="1159">
      <c r="A1159" t="inlineStr">
        <is>
          <t>900003609</t>
        </is>
      </c>
      <c r="B1159" t="inlineStr">
        <is>
          <t>D836</t>
        </is>
      </c>
      <c r="C1159" t="inlineStr">
        <is>
          <t>65706147</t>
        </is>
      </c>
      <c r="D1159" t="inlineStr">
        <is>
          <t>10053281</t>
        </is>
      </c>
      <c r="E1159" t="inlineStr"/>
      <c r="F1159" s="11" t="n">
        <v>129.5</v>
      </c>
      <c r="G1159" t="inlineStr"/>
      <c r="I1159" t="inlineStr">
        <is>
          <t>M3</t>
        </is>
      </c>
      <c r="J1159" t="inlineStr"/>
      <c r="K1159" t="inlineStr">
        <is>
          <t>20190426</t>
        </is>
      </c>
      <c r="L1159" t="inlineStr">
        <is>
          <t>20250127</t>
        </is>
      </c>
    </row>
    <row r="1160">
      <c r="A1160" t="inlineStr">
        <is>
          <t>900003609</t>
        </is>
      </c>
      <c r="B1160" t="inlineStr">
        <is>
          <t>D836</t>
        </is>
      </c>
      <c r="C1160" t="inlineStr">
        <is>
          <t>65728668</t>
        </is>
      </c>
      <c r="D1160" t="inlineStr">
        <is>
          <t>10000624</t>
        </is>
      </c>
      <c r="E1160" t="inlineStr"/>
      <c r="F1160" s="11" t="n">
        <v>142</v>
      </c>
      <c r="G1160" t="inlineStr"/>
      <c r="I1160" t="inlineStr">
        <is>
          <t>M3</t>
        </is>
      </c>
      <c r="J1160" t="inlineStr"/>
      <c r="K1160" t="inlineStr">
        <is>
          <t>20190426</t>
        </is>
      </c>
      <c r="L1160" t="inlineStr">
        <is>
          <t>20250127</t>
        </is>
      </c>
    </row>
    <row r="1161">
      <c r="A1161" t="inlineStr">
        <is>
          <t>900003609</t>
        </is>
      </c>
      <c r="B1161" t="inlineStr">
        <is>
          <t>D836</t>
        </is>
      </c>
      <c r="C1161" t="inlineStr">
        <is>
          <t>65728668</t>
        </is>
      </c>
      <c r="D1161" t="inlineStr">
        <is>
          <t>10000811</t>
        </is>
      </c>
      <c r="E1161" t="inlineStr"/>
      <c r="F1161" s="11" t="n">
        <v>146</v>
      </c>
      <c r="G1161" t="inlineStr"/>
      <c r="I1161" t="inlineStr">
        <is>
          <t>M3</t>
        </is>
      </c>
      <c r="J1161" t="inlineStr"/>
      <c r="K1161" t="inlineStr">
        <is>
          <t>20190426</t>
        </is>
      </c>
      <c r="L1161" t="inlineStr">
        <is>
          <t>20250127</t>
        </is>
      </c>
    </row>
    <row r="1162">
      <c r="A1162" t="inlineStr">
        <is>
          <t>900003609</t>
        </is>
      </c>
      <c r="B1162" t="inlineStr">
        <is>
          <t>D836</t>
        </is>
      </c>
      <c r="C1162" t="inlineStr">
        <is>
          <t>65729122</t>
        </is>
      </c>
      <c r="D1162" t="inlineStr">
        <is>
          <t>10000624</t>
        </is>
      </c>
      <c r="E1162" t="inlineStr"/>
      <c r="F1162" s="11" t="n">
        <v>143.52</v>
      </c>
      <c r="G1162" t="inlineStr"/>
      <c r="I1162" t="inlineStr">
        <is>
          <t>M3</t>
        </is>
      </c>
      <c r="J1162" t="inlineStr"/>
      <c r="K1162" t="inlineStr">
        <is>
          <t>20190426</t>
        </is>
      </c>
      <c r="L1162" t="inlineStr">
        <is>
          <t>20250127</t>
        </is>
      </c>
    </row>
    <row r="1163">
      <c r="A1163" t="inlineStr">
        <is>
          <t>900003609</t>
        </is>
      </c>
      <c r="B1163" t="inlineStr">
        <is>
          <t>D836</t>
        </is>
      </c>
      <c r="C1163" t="inlineStr">
        <is>
          <t>65729122</t>
        </is>
      </c>
      <c r="D1163" t="inlineStr">
        <is>
          <t>10000722</t>
        </is>
      </c>
      <c r="E1163" t="inlineStr"/>
      <c r="F1163" s="11" t="n">
        <v>143.52</v>
      </c>
      <c r="G1163" t="inlineStr"/>
      <c r="I1163" t="inlineStr">
        <is>
          <t>M3</t>
        </is>
      </c>
      <c r="J1163" t="inlineStr"/>
      <c r="K1163" t="inlineStr">
        <is>
          <t>20190426</t>
        </is>
      </c>
      <c r="L1163" t="inlineStr">
        <is>
          <t>20250127</t>
        </is>
      </c>
    </row>
    <row r="1164">
      <c r="A1164" t="inlineStr">
        <is>
          <t>900003609</t>
        </is>
      </c>
      <c r="B1164" t="inlineStr">
        <is>
          <t>D836</t>
        </is>
      </c>
      <c r="C1164" t="inlineStr">
        <is>
          <t>65751297</t>
        </is>
      </c>
      <c r="D1164" t="inlineStr">
        <is>
          <t>10000624</t>
        </is>
      </c>
      <c r="E1164" t="inlineStr"/>
      <c r="F1164" s="11" t="n">
        <v>142</v>
      </c>
      <c r="G1164" t="inlineStr"/>
      <c r="I1164" t="inlineStr">
        <is>
          <t>M3</t>
        </is>
      </c>
      <c r="J1164" t="inlineStr"/>
      <c r="K1164" t="inlineStr">
        <is>
          <t>20190426</t>
        </is>
      </c>
      <c r="L1164" t="inlineStr">
        <is>
          <t>20250127</t>
        </is>
      </c>
    </row>
    <row r="1165">
      <c r="A1165" t="inlineStr">
        <is>
          <t>900003609</t>
        </is>
      </c>
      <c r="B1165" t="inlineStr">
        <is>
          <t>D836</t>
        </is>
      </c>
      <c r="C1165" t="inlineStr">
        <is>
          <t>65751297</t>
        </is>
      </c>
      <c r="D1165" t="inlineStr">
        <is>
          <t>10000811</t>
        </is>
      </c>
      <c r="E1165" t="inlineStr"/>
      <c r="F1165" s="11" t="n">
        <v>146</v>
      </c>
      <c r="G1165" t="inlineStr"/>
      <c r="I1165" t="inlineStr">
        <is>
          <t>M3</t>
        </is>
      </c>
      <c r="J1165" t="inlineStr"/>
      <c r="K1165" t="inlineStr">
        <is>
          <t>20190426</t>
        </is>
      </c>
      <c r="L1165" t="inlineStr">
        <is>
          <t>20250127</t>
        </is>
      </c>
    </row>
    <row r="1166">
      <c r="A1166" t="inlineStr">
        <is>
          <t>900003609</t>
        </is>
      </c>
      <c r="B1166" t="inlineStr">
        <is>
          <t>D836</t>
        </is>
      </c>
      <c r="C1166" t="inlineStr">
        <is>
          <t>65751298</t>
        </is>
      </c>
      <c r="D1166" t="inlineStr">
        <is>
          <t>10000624</t>
        </is>
      </c>
      <c r="E1166" t="inlineStr"/>
      <c r="F1166" s="11" t="n">
        <v>142</v>
      </c>
      <c r="G1166" t="inlineStr"/>
      <c r="I1166" t="inlineStr">
        <is>
          <t>M3</t>
        </is>
      </c>
      <c r="J1166" t="inlineStr"/>
      <c r="K1166" t="inlineStr">
        <is>
          <t>20190426</t>
        </is>
      </c>
      <c r="L1166" t="inlineStr">
        <is>
          <t>20250127</t>
        </is>
      </c>
    </row>
    <row r="1167">
      <c r="A1167" t="inlineStr">
        <is>
          <t>900003609</t>
        </is>
      </c>
      <c r="B1167" t="inlineStr">
        <is>
          <t>D836</t>
        </is>
      </c>
      <c r="C1167" t="inlineStr">
        <is>
          <t>65751298</t>
        </is>
      </c>
      <c r="D1167" t="inlineStr">
        <is>
          <t>10000811</t>
        </is>
      </c>
      <c r="E1167" t="inlineStr"/>
      <c r="F1167" s="11" t="n">
        <v>146</v>
      </c>
      <c r="G1167" t="inlineStr"/>
      <c r="I1167" t="inlineStr">
        <is>
          <t>M3</t>
        </is>
      </c>
      <c r="J1167" t="inlineStr"/>
      <c r="K1167" t="inlineStr">
        <is>
          <t>20190426</t>
        </is>
      </c>
      <c r="L1167" t="inlineStr">
        <is>
          <t>20250127</t>
        </is>
      </c>
    </row>
    <row r="1168">
      <c r="A1168" t="inlineStr">
        <is>
          <t>900003609</t>
        </is>
      </c>
      <c r="B1168" t="inlineStr">
        <is>
          <t>D836</t>
        </is>
      </c>
      <c r="C1168" t="inlineStr">
        <is>
          <t>65751299</t>
        </is>
      </c>
      <c r="D1168" t="inlineStr">
        <is>
          <t>10000624</t>
        </is>
      </c>
      <c r="E1168" t="inlineStr"/>
      <c r="F1168" s="11" t="n">
        <v>142</v>
      </c>
      <c r="G1168" t="inlineStr"/>
      <c r="I1168" t="inlineStr">
        <is>
          <t>M3</t>
        </is>
      </c>
      <c r="J1168" t="inlineStr"/>
      <c r="K1168" t="inlineStr">
        <is>
          <t>20190426</t>
        </is>
      </c>
      <c r="L1168" t="inlineStr">
        <is>
          <t>20250127</t>
        </is>
      </c>
    </row>
    <row r="1169">
      <c r="A1169" t="inlineStr">
        <is>
          <t>900003609</t>
        </is>
      </c>
      <c r="B1169" t="inlineStr">
        <is>
          <t>D836</t>
        </is>
      </c>
      <c r="C1169" t="inlineStr">
        <is>
          <t>65751299</t>
        </is>
      </c>
      <c r="D1169" t="inlineStr">
        <is>
          <t>10000811</t>
        </is>
      </c>
      <c r="E1169" t="inlineStr"/>
      <c r="F1169" s="11" t="n">
        <v>146</v>
      </c>
      <c r="G1169" t="inlineStr"/>
      <c r="I1169" t="inlineStr">
        <is>
          <t>M3</t>
        </is>
      </c>
      <c r="J1169" t="inlineStr"/>
      <c r="K1169" t="inlineStr">
        <is>
          <t>20190426</t>
        </is>
      </c>
      <c r="L1169" t="inlineStr">
        <is>
          <t>20250127</t>
        </is>
      </c>
    </row>
    <row r="1170">
      <c r="A1170" t="inlineStr">
        <is>
          <t>900003609</t>
        </is>
      </c>
      <c r="B1170" t="inlineStr">
        <is>
          <t>D836</t>
        </is>
      </c>
      <c r="C1170" t="inlineStr">
        <is>
          <t>65751300</t>
        </is>
      </c>
      <c r="D1170" t="inlineStr">
        <is>
          <t>10000624</t>
        </is>
      </c>
      <c r="E1170" t="inlineStr"/>
      <c r="F1170" s="11" t="n">
        <v>142</v>
      </c>
      <c r="G1170" t="inlineStr"/>
      <c r="I1170" t="inlineStr">
        <is>
          <t>M3</t>
        </is>
      </c>
      <c r="J1170" t="inlineStr"/>
      <c r="K1170" t="inlineStr">
        <is>
          <t>20190426</t>
        </is>
      </c>
      <c r="L1170" t="inlineStr">
        <is>
          <t>20250127</t>
        </is>
      </c>
    </row>
    <row r="1171">
      <c r="A1171" t="inlineStr">
        <is>
          <t>900003609</t>
        </is>
      </c>
      <c r="B1171" t="inlineStr">
        <is>
          <t>D836</t>
        </is>
      </c>
      <c r="C1171" t="inlineStr">
        <is>
          <t>65751300</t>
        </is>
      </c>
      <c r="D1171" t="inlineStr">
        <is>
          <t>10000811</t>
        </is>
      </c>
      <c r="E1171" t="inlineStr"/>
      <c r="F1171" s="11" t="n">
        <v>146</v>
      </c>
      <c r="G1171" t="inlineStr"/>
      <c r="I1171" t="inlineStr">
        <is>
          <t>M3</t>
        </is>
      </c>
      <c r="J1171" t="inlineStr"/>
      <c r="K1171" t="inlineStr">
        <is>
          <t>20190426</t>
        </is>
      </c>
      <c r="L1171" t="inlineStr">
        <is>
          <t>20250127</t>
        </is>
      </c>
    </row>
    <row r="1172">
      <c r="A1172" t="inlineStr">
        <is>
          <t>900003609</t>
        </is>
      </c>
      <c r="B1172" t="inlineStr">
        <is>
          <t>D836</t>
        </is>
      </c>
      <c r="C1172" t="inlineStr">
        <is>
          <t>65781482</t>
        </is>
      </c>
      <c r="D1172" t="inlineStr">
        <is>
          <t>10000624</t>
        </is>
      </c>
      <c r="E1172" t="inlineStr"/>
      <c r="F1172" s="11" t="n">
        <v>137.54</v>
      </c>
      <c r="G1172" t="inlineStr"/>
      <c r="I1172" t="inlineStr">
        <is>
          <t>M3</t>
        </is>
      </c>
      <c r="J1172" t="inlineStr"/>
      <c r="K1172" t="inlineStr">
        <is>
          <t>20190426</t>
        </is>
      </c>
      <c r="L1172" t="inlineStr">
        <is>
          <t>20250127</t>
        </is>
      </c>
    </row>
    <row r="1173">
      <c r="A1173" t="inlineStr">
        <is>
          <t>900003609</t>
        </is>
      </c>
      <c r="B1173" t="inlineStr">
        <is>
          <t>D836</t>
        </is>
      </c>
      <c r="C1173" t="inlineStr">
        <is>
          <t>65781482</t>
        </is>
      </c>
      <c r="D1173" t="inlineStr">
        <is>
          <t>10000722</t>
        </is>
      </c>
      <c r="E1173" t="inlineStr"/>
      <c r="F1173" s="11" t="n">
        <v>137.54</v>
      </c>
      <c r="G1173" t="inlineStr"/>
      <c r="I1173" t="inlineStr">
        <is>
          <t>M3</t>
        </is>
      </c>
      <c r="J1173" t="inlineStr"/>
      <c r="K1173" t="inlineStr">
        <is>
          <t>20190426</t>
        </is>
      </c>
      <c r="L1173" t="inlineStr">
        <is>
          <t>20250127</t>
        </is>
      </c>
    </row>
    <row r="1174">
      <c r="A1174" t="inlineStr">
        <is>
          <t>900003609</t>
        </is>
      </c>
      <c r="B1174" t="inlineStr">
        <is>
          <t>D836</t>
        </is>
      </c>
      <c r="C1174" t="inlineStr">
        <is>
          <t>65796882</t>
        </is>
      </c>
      <c r="D1174" t="inlineStr">
        <is>
          <t>10000624</t>
        </is>
      </c>
      <c r="E1174" t="inlineStr"/>
      <c r="F1174" s="11" t="n">
        <v>145</v>
      </c>
      <c r="G1174" t="inlineStr"/>
      <c r="I1174" t="inlineStr">
        <is>
          <t>M3</t>
        </is>
      </c>
      <c r="J1174" t="inlineStr"/>
      <c r="K1174" t="inlineStr">
        <is>
          <t>20190426</t>
        </is>
      </c>
      <c r="L1174" t="inlineStr">
        <is>
          <t>20250127</t>
        </is>
      </c>
    </row>
    <row r="1175">
      <c r="A1175" t="inlineStr">
        <is>
          <t>900003609</t>
        </is>
      </c>
      <c r="B1175" t="inlineStr">
        <is>
          <t>D836</t>
        </is>
      </c>
      <c r="C1175" t="inlineStr">
        <is>
          <t>65796882</t>
        </is>
      </c>
      <c r="D1175" t="inlineStr">
        <is>
          <t>10000722</t>
        </is>
      </c>
      <c r="E1175" t="inlineStr"/>
      <c r="F1175" s="11" t="n">
        <v>150</v>
      </c>
      <c r="G1175" t="inlineStr"/>
      <c r="I1175" t="inlineStr">
        <is>
          <t>M3</t>
        </is>
      </c>
      <c r="J1175" t="inlineStr"/>
      <c r="K1175" t="inlineStr">
        <is>
          <t>20190426</t>
        </is>
      </c>
      <c r="L1175" t="inlineStr">
        <is>
          <t>20250127</t>
        </is>
      </c>
    </row>
    <row r="1176">
      <c r="A1176" t="inlineStr">
        <is>
          <t>900003609</t>
        </is>
      </c>
      <c r="B1176" t="inlineStr">
        <is>
          <t>D836</t>
        </is>
      </c>
      <c r="C1176" t="inlineStr">
        <is>
          <t>65796882</t>
        </is>
      </c>
      <c r="D1176" t="inlineStr">
        <is>
          <t>10053281</t>
        </is>
      </c>
      <c r="E1176" t="inlineStr"/>
      <c r="F1176" s="11" t="n">
        <v>120</v>
      </c>
      <c r="G1176" t="inlineStr"/>
      <c r="I1176" t="inlineStr">
        <is>
          <t>M3</t>
        </is>
      </c>
      <c r="J1176" t="inlineStr"/>
      <c r="K1176" t="inlineStr">
        <is>
          <t>20190426</t>
        </is>
      </c>
      <c r="L1176" t="inlineStr">
        <is>
          <t>20250127</t>
        </is>
      </c>
    </row>
    <row r="1177">
      <c r="A1177" t="inlineStr">
        <is>
          <t>900003609</t>
        </is>
      </c>
      <c r="B1177" t="inlineStr">
        <is>
          <t>D836</t>
        </is>
      </c>
      <c r="C1177" t="inlineStr">
        <is>
          <t>65916616</t>
        </is>
      </c>
      <c r="D1177" t="inlineStr">
        <is>
          <t>10000624</t>
        </is>
      </c>
      <c r="E1177" t="inlineStr"/>
      <c r="F1177" s="11" t="n">
        <v>145</v>
      </c>
      <c r="G1177" t="inlineStr"/>
      <c r="I1177" t="inlineStr">
        <is>
          <t>M3</t>
        </is>
      </c>
      <c r="J1177" t="inlineStr"/>
      <c r="K1177" t="inlineStr">
        <is>
          <t>20190426</t>
        </is>
      </c>
      <c r="L1177" t="inlineStr">
        <is>
          <t>20250127</t>
        </is>
      </c>
    </row>
    <row r="1178">
      <c r="A1178" t="inlineStr">
        <is>
          <t>900003609</t>
        </is>
      </c>
      <c r="B1178" t="inlineStr">
        <is>
          <t>D836</t>
        </is>
      </c>
      <c r="C1178" t="inlineStr">
        <is>
          <t>65916616</t>
        </is>
      </c>
      <c r="D1178" t="inlineStr">
        <is>
          <t>10000722</t>
        </is>
      </c>
      <c r="E1178" t="inlineStr"/>
      <c r="F1178" s="11" t="n">
        <v>150</v>
      </c>
      <c r="G1178" t="inlineStr"/>
      <c r="I1178" t="inlineStr">
        <is>
          <t>M3</t>
        </is>
      </c>
      <c r="J1178" t="inlineStr"/>
      <c r="K1178" t="inlineStr">
        <is>
          <t>20190426</t>
        </is>
      </c>
      <c r="L1178" t="inlineStr">
        <is>
          <t>20250127</t>
        </is>
      </c>
    </row>
    <row r="1179">
      <c r="A1179" t="inlineStr">
        <is>
          <t>900003609</t>
        </is>
      </c>
      <c r="B1179" t="inlineStr">
        <is>
          <t>D836</t>
        </is>
      </c>
      <c r="C1179" t="inlineStr">
        <is>
          <t>66167552</t>
        </is>
      </c>
      <c r="D1179" t="inlineStr">
        <is>
          <t>10053281</t>
        </is>
      </c>
      <c r="E1179" t="inlineStr"/>
      <c r="F1179" s="11" t="n">
        <v>134.55</v>
      </c>
      <c r="G1179" t="inlineStr"/>
      <c r="I1179" t="inlineStr">
        <is>
          <t>M3</t>
        </is>
      </c>
      <c r="J1179" t="inlineStr"/>
      <c r="K1179" t="inlineStr">
        <is>
          <t>20190426</t>
        </is>
      </c>
      <c r="L1179" t="inlineStr">
        <is>
          <t>20250127</t>
        </is>
      </c>
    </row>
    <row r="1180">
      <c r="A1180" t="inlineStr">
        <is>
          <t>900003609</t>
        </is>
      </c>
      <c r="B1180" t="inlineStr">
        <is>
          <t>D836</t>
        </is>
      </c>
      <c r="C1180" t="inlineStr">
        <is>
          <t>66230098</t>
        </is>
      </c>
      <c r="D1180" t="inlineStr">
        <is>
          <t>10000624</t>
        </is>
      </c>
      <c r="E1180" t="inlineStr"/>
      <c r="F1180" s="11" t="n">
        <v>145</v>
      </c>
      <c r="G1180" t="inlineStr"/>
      <c r="I1180" t="inlineStr">
        <is>
          <t>M3</t>
        </is>
      </c>
      <c r="J1180" t="inlineStr"/>
      <c r="K1180" t="inlineStr">
        <is>
          <t>20190426</t>
        </is>
      </c>
      <c r="L1180" t="inlineStr">
        <is>
          <t>20250127</t>
        </is>
      </c>
    </row>
    <row r="1181">
      <c r="A1181" t="inlineStr">
        <is>
          <t>900003609</t>
        </is>
      </c>
      <c r="B1181" t="inlineStr">
        <is>
          <t>D836</t>
        </is>
      </c>
      <c r="C1181" t="inlineStr">
        <is>
          <t>66230098</t>
        </is>
      </c>
      <c r="D1181" t="inlineStr">
        <is>
          <t>10000722</t>
        </is>
      </c>
      <c r="E1181" t="inlineStr"/>
      <c r="F1181" s="11" t="n">
        <v>150</v>
      </c>
      <c r="G1181" t="inlineStr"/>
      <c r="I1181" t="inlineStr">
        <is>
          <t>M3</t>
        </is>
      </c>
      <c r="J1181" t="inlineStr"/>
      <c r="K1181" t="inlineStr">
        <is>
          <t>20190426</t>
        </is>
      </c>
      <c r="L1181" t="inlineStr">
        <is>
          <t>20250127</t>
        </is>
      </c>
    </row>
    <row r="1182">
      <c r="A1182" t="inlineStr">
        <is>
          <t>900003609</t>
        </is>
      </c>
      <c r="B1182" t="inlineStr">
        <is>
          <t>D836</t>
        </is>
      </c>
      <c r="C1182" t="inlineStr">
        <is>
          <t>66230098</t>
        </is>
      </c>
      <c r="D1182" t="inlineStr">
        <is>
          <t>10053281</t>
        </is>
      </c>
      <c r="E1182" t="inlineStr"/>
      <c r="F1182" s="11" t="n">
        <v>120</v>
      </c>
      <c r="G1182" t="inlineStr"/>
      <c r="I1182" t="inlineStr">
        <is>
          <t>M3</t>
        </is>
      </c>
      <c r="J1182" t="inlineStr"/>
      <c r="K1182" t="inlineStr">
        <is>
          <t>20190426</t>
        </is>
      </c>
      <c r="L1182" t="inlineStr">
        <is>
          <t>20250127</t>
        </is>
      </c>
    </row>
    <row r="1183">
      <c r="A1183" t="inlineStr">
        <is>
          <t>900003609</t>
        </is>
      </c>
      <c r="B1183" t="inlineStr">
        <is>
          <t>D836</t>
        </is>
      </c>
      <c r="C1183" t="inlineStr">
        <is>
          <t>66233244</t>
        </is>
      </c>
      <c r="D1183" t="inlineStr">
        <is>
          <t>10053281</t>
        </is>
      </c>
      <c r="E1183" t="inlineStr"/>
      <c r="F1183" s="11" t="n">
        <v>142.8</v>
      </c>
      <c r="G1183" t="inlineStr"/>
      <c r="I1183" t="inlineStr">
        <is>
          <t>M3</t>
        </is>
      </c>
      <c r="J1183" t="inlineStr"/>
      <c r="K1183" t="inlineStr">
        <is>
          <t>20190426</t>
        </is>
      </c>
      <c r="L1183" t="inlineStr">
        <is>
          <t>20250127</t>
        </is>
      </c>
    </row>
    <row r="1184">
      <c r="A1184" t="inlineStr">
        <is>
          <t>900003609</t>
        </is>
      </c>
      <c r="B1184" t="inlineStr">
        <is>
          <t>D836</t>
        </is>
      </c>
      <c r="C1184" t="inlineStr">
        <is>
          <t>66237142</t>
        </is>
      </c>
      <c r="D1184" t="inlineStr">
        <is>
          <t>10000811</t>
        </is>
      </c>
      <c r="E1184" t="inlineStr"/>
      <c r="F1184" s="11" t="n">
        <v>138</v>
      </c>
      <c r="G1184" t="inlineStr"/>
      <c r="I1184" t="inlineStr">
        <is>
          <t>M3</t>
        </is>
      </c>
      <c r="J1184" t="inlineStr"/>
      <c r="K1184" t="inlineStr">
        <is>
          <t>20190426</t>
        </is>
      </c>
      <c r="L1184" t="inlineStr">
        <is>
          <t>20250127</t>
        </is>
      </c>
    </row>
    <row r="1185">
      <c r="A1185" t="inlineStr">
        <is>
          <t>900003609</t>
        </is>
      </c>
      <c r="B1185" t="inlineStr">
        <is>
          <t>D836</t>
        </is>
      </c>
      <c r="C1185" t="inlineStr">
        <is>
          <t>66239560</t>
        </is>
      </c>
      <c r="D1185" t="inlineStr">
        <is>
          <t>10000624</t>
        </is>
      </c>
      <c r="E1185" t="inlineStr"/>
      <c r="F1185" s="11" t="n">
        <v>142</v>
      </c>
      <c r="G1185" t="inlineStr"/>
      <c r="I1185" t="inlineStr">
        <is>
          <t>M3</t>
        </is>
      </c>
      <c r="J1185" t="inlineStr"/>
      <c r="K1185" t="inlineStr">
        <is>
          <t>20190426</t>
        </is>
      </c>
      <c r="L1185" t="inlineStr">
        <is>
          <t>20250127</t>
        </is>
      </c>
    </row>
    <row r="1186">
      <c r="A1186" t="inlineStr">
        <is>
          <t>900003609</t>
        </is>
      </c>
      <c r="B1186" t="inlineStr">
        <is>
          <t>D836</t>
        </is>
      </c>
      <c r="C1186" t="inlineStr">
        <is>
          <t>66239560</t>
        </is>
      </c>
      <c r="D1186" t="inlineStr">
        <is>
          <t>10000625</t>
        </is>
      </c>
      <c r="E1186" t="inlineStr"/>
      <c r="F1186" s="11" t="n">
        <v>102</v>
      </c>
      <c r="G1186" t="inlineStr"/>
      <c r="I1186" t="inlineStr">
        <is>
          <t>M3</t>
        </is>
      </c>
      <c r="J1186" t="inlineStr"/>
      <c r="K1186" t="inlineStr">
        <is>
          <t>20190426</t>
        </is>
      </c>
      <c r="L1186" t="inlineStr">
        <is>
          <t>20250127</t>
        </is>
      </c>
    </row>
    <row r="1187">
      <c r="A1187" t="inlineStr">
        <is>
          <t>900003609</t>
        </is>
      </c>
      <c r="B1187" t="inlineStr">
        <is>
          <t>D836</t>
        </is>
      </c>
      <c r="C1187" t="inlineStr">
        <is>
          <t>66239560</t>
        </is>
      </c>
      <c r="D1187" t="inlineStr">
        <is>
          <t>10000811</t>
        </is>
      </c>
      <c r="E1187" t="inlineStr"/>
      <c r="F1187" s="11" t="n">
        <v>146</v>
      </c>
      <c r="G1187" t="inlineStr"/>
      <c r="I1187" t="inlineStr">
        <is>
          <t>M3</t>
        </is>
      </c>
      <c r="J1187" t="inlineStr"/>
      <c r="K1187" t="inlineStr">
        <is>
          <t>20190426</t>
        </is>
      </c>
      <c r="L1187" t="inlineStr">
        <is>
          <t>20250127</t>
        </is>
      </c>
    </row>
    <row r="1188">
      <c r="A1188" t="inlineStr">
        <is>
          <t>900003609</t>
        </is>
      </c>
      <c r="B1188" t="inlineStr">
        <is>
          <t>D836</t>
        </is>
      </c>
      <c r="C1188" t="inlineStr">
        <is>
          <t>66239561</t>
        </is>
      </c>
      <c r="D1188" t="inlineStr">
        <is>
          <t>10000624</t>
        </is>
      </c>
      <c r="E1188" t="inlineStr"/>
      <c r="F1188" s="11" t="n">
        <v>142</v>
      </c>
      <c r="G1188" t="inlineStr"/>
      <c r="I1188" t="inlineStr">
        <is>
          <t>M3</t>
        </is>
      </c>
      <c r="J1188" t="inlineStr"/>
      <c r="K1188" t="inlineStr">
        <is>
          <t>20190426</t>
        </is>
      </c>
      <c r="L1188" t="inlineStr">
        <is>
          <t>20250127</t>
        </is>
      </c>
    </row>
    <row r="1189">
      <c r="A1189" t="inlineStr">
        <is>
          <t>900003609</t>
        </is>
      </c>
      <c r="B1189" t="inlineStr">
        <is>
          <t>D836</t>
        </is>
      </c>
      <c r="C1189" t="inlineStr">
        <is>
          <t>66239561</t>
        </is>
      </c>
      <c r="D1189" t="inlineStr">
        <is>
          <t>10000811</t>
        </is>
      </c>
      <c r="E1189" t="inlineStr"/>
      <c r="F1189" s="11" t="n">
        <v>146</v>
      </c>
      <c r="G1189" t="inlineStr"/>
      <c r="I1189" t="inlineStr">
        <is>
          <t>M3</t>
        </is>
      </c>
      <c r="J1189" t="inlineStr"/>
      <c r="K1189" t="inlineStr">
        <is>
          <t>20190426</t>
        </is>
      </c>
      <c r="L1189" t="inlineStr">
        <is>
          <t>20250127</t>
        </is>
      </c>
    </row>
    <row r="1190">
      <c r="A1190" t="inlineStr">
        <is>
          <t>900003609</t>
        </is>
      </c>
      <c r="B1190" t="inlineStr">
        <is>
          <t>D836</t>
        </is>
      </c>
      <c r="C1190" t="inlineStr">
        <is>
          <t>66239598</t>
        </is>
      </c>
      <c r="D1190" t="inlineStr">
        <is>
          <t>10000624</t>
        </is>
      </c>
      <c r="E1190" t="inlineStr"/>
      <c r="F1190" s="11" t="n">
        <v>142</v>
      </c>
      <c r="G1190" t="inlineStr"/>
      <c r="I1190" t="inlineStr">
        <is>
          <t>M3</t>
        </is>
      </c>
      <c r="J1190" t="inlineStr"/>
      <c r="K1190" t="inlineStr">
        <is>
          <t>20190426</t>
        </is>
      </c>
      <c r="L1190" t="inlineStr">
        <is>
          <t>20250127</t>
        </is>
      </c>
    </row>
    <row r="1191">
      <c r="A1191" t="inlineStr">
        <is>
          <t>900003609</t>
        </is>
      </c>
      <c r="B1191" t="inlineStr">
        <is>
          <t>D836</t>
        </is>
      </c>
      <c r="C1191" t="inlineStr">
        <is>
          <t>66239598</t>
        </is>
      </c>
      <c r="D1191" t="inlineStr">
        <is>
          <t>10000811</t>
        </is>
      </c>
      <c r="E1191" t="inlineStr"/>
      <c r="F1191" s="11" t="n">
        <v>146</v>
      </c>
      <c r="G1191" t="inlineStr"/>
      <c r="I1191" t="inlineStr">
        <is>
          <t>M3</t>
        </is>
      </c>
      <c r="J1191" t="inlineStr"/>
      <c r="K1191" t="inlineStr">
        <is>
          <t>20190426</t>
        </is>
      </c>
      <c r="L1191" t="inlineStr">
        <is>
          <t>20250127</t>
        </is>
      </c>
    </row>
    <row r="1192">
      <c r="A1192" t="inlineStr">
        <is>
          <t>900003609</t>
        </is>
      </c>
      <c r="B1192" t="inlineStr">
        <is>
          <t>D836</t>
        </is>
      </c>
      <c r="C1192" t="inlineStr">
        <is>
          <t>66239599</t>
        </is>
      </c>
      <c r="D1192" t="inlineStr">
        <is>
          <t>10000624</t>
        </is>
      </c>
      <c r="E1192" t="inlineStr"/>
      <c r="F1192" s="11" t="n">
        <v>142</v>
      </c>
      <c r="G1192" t="inlineStr"/>
      <c r="I1192" t="inlineStr">
        <is>
          <t>M3</t>
        </is>
      </c>
      <c r="J1192" t="inlineStr"/>
      <c r="K1192" t="inlineStr">
        <is>
          <t>20190426</t>
        </is>
      </c>
      <c r="L1192" t="inlineStr">
        <is>
          <t>20250127</t>
        </is>
      </c>
    </row>
    <row r="1193">
      <c r="A1193" t="inlineStr">
        <is>
          <t>900003609</t>
        </is>
      </c>
      <c r="B1193" t="inlineStr">
        <is>
          <t>D836</t>
        </is>
      </c>
      <c r="C1193" t="inlineStr">
        <is>
          <t>66239599</t>
        </is>
      </c>
      <c r="D1193" t="inlineStr">
        <is>
          <t>10000630</t>
        </is>
      </c>
      <c r="E1193" t="inlineStr"/>
      <c r="F1193" s="11" t="n">
        <v>155</v>
      </c>
      <c r="G1193" t="inlineStr"/>
      <c r="I1193" t="inlineStr">
        <is>
          <t>M3</t>
        </is>
      </c>
      <c r="J1193" t="inlineStr"/>
      <c r="K1193" t="inlineStr">
        <is>
          <t>20190426</t>
        </is>
      </c>
      <c r="L1193" t="inlineStr">
        <is>
          <t>20250127</t>
        </is>
      </c>
    </row>
    <row r="1194">
      <c r="A1194" t="inlineStr">
        <is>
          <t>900003609</t>
        </is>
      </c>
      <c r="B1194" t="inlineStr">
        <is>
          <t>D836</t>
        </is>
      </c>
      <c r="C1194" t="inlineStr">
        <is>
          <t>66239599</t>
        </is>
      </c>
      <c r="D1194" t="inlineStr">
        <is>
          <t>10000811</t>
        </is>
      </c>
      <c r="E1194" t="inlineStr"/>
      <c r="F1194" s="11" t="n">
        <v>146</v>
      </c>
      <c r="G1194" t="inlineStr"/>
      <c r="I1194" t="inlineStr">
        <is>
          <t>M3</t>
        </is>
      </c>
      <c r="J1194" t="inlineStr"/>
      <c r="K1194" t="inlineStr">
        <is>
          <t>20190426</t>
        </is>
      </c>
      <c r="L1194" t="inlineStr">
        <is>
          <t>20250127</t>
        </is>
      </c>
    </row>
    <row r="1195">
      <c r="A1195" t="inlineStr">
        <is>
          <t>900003609</t>
        </is>
      </c>
      <c r="B1195" t="inlineStr">
        <is>
          <t>D836</t>
        </is>
      </c>
      <c r="C1195" t="inlineStr">
        <is>
          <t>66239600</t>
        </is>
      </c>
      <c r="D1195" t="inlineStr">
        <is>
          <t>10000624</t>
        </is>
      </c>
      <c r="E1195" t="inlineStr"/>
      <c r="F1195" s="11" t="n">
        <v>142</v>
      </c>
      <c r="G1195" t="inlineStr"/>
      <c r="I1195" t="inlineStr">
        <is>
          <t>M3</t>
        </is>
      </c>
      <c r="J1195" t="inlineStr"/>
      <c r="K1195" t="inlineStr">
        <is>
          <t>20190426</t>
        </is>
      </c>
      <c r="L1195" t="inlineStr">
        <is>
          <t>20250127</t>
        </is>
      </c>
    </row>
    <row r="1196">
      <c r="A1196" t="inlineStr">
        <is>
          <t>900003609</t>
        </is>
      </c>
      <c r="B1196" t="inlineStr">
        <is>
          <t>D836</t>
        </is>
      </c>
      <c r="C1196" t="inlineStr">
        <is>
          <t>66239600</t>
        </is>
      </c>
      <c r="D1196" t="inlineStr">
        <is>
          <t>10000811</t>
        </is>
      </c>
      <c r="E1196" t="inlineStr"/>
      <c r="F1196" s="11" t="n">
        <v>146</v>
      </c>
      <c r="G1196" t="inlineStr"/>
      <c r="I1196" t="inlineStr">
        <is>
          <t>M3</t>
        </is>
      </c>
      <c r="J1196" t="inlineStr"/>
      <c r="K1196" t="inlineStr">
        <is>
          <t>20190426</t>
        </is>
      </c>
      <c r="L1196" t="inlineStr">
        <is>
          <t>20250127</t>
        </is>
      </c>
    </row>
    <row r="1197">
      <c r="A1197" t="inlineStr">
        <is>
          <t>900003609</t>
        </is>
      </c>
      <c r="B1197" t="inlineStr">
        <is>
          <t>D836</t>
        </is>
      </c>
      <c r="C1197" t="inlineStr">
        <is>
          <t>66239601</t>
        </is>
      </c>
      <c r="D1197" t="inlineStr">
        <is>
          <t>10000624</t>
        </is>
      </c>
      <c r="E1197" t="inlineStr"/>
      <c r="F1197" s="11" t="n">
        <v>142</v>
      </c>
      <c r="G1197" t="inlineStr"/>
      <c r="I1197" t="inlineStr">
        <is>
          <t>M3</t>
        </is>
      </c>
      <c r="J1197" t="inlineStr"/>
      <c r="K1197" t="inlineStr">
        <is>
          <t>20190426</t>
        </is>
      </c>
      <c r="L1197" t="inlineStr">
        <is>
          <t>20250127</t>
        </is>
      </c>
    </row>
    <row r="1198">
      <c r="A1198" t="inlineStr">
        <is>
          <t>900003609</t>
        </is>
      </c>
      <c r="B1198" t="inlineStr">
        <is>
          <t>D836</t>
        </is>
      </c>
      <c r="C1198" t="inlineStr">
        <is>
          <t>66239601</t>
        </is>
      </c>
      <c r="D1198" t="inlineStr">
        <is>
          <t>10000811</t>
        </is>
      </c>
      <c r="E1198" t="inlineStr"/>
      <c r="F1198" s="11" t="n">
        <v>146</v>
      </c>
      <c r="G1198" t="inlineStr"/>
      <c r="I1198" t="inlineStr">
        <is>
          <t>M3</t>
        </is>
      </c>
      <c r="J1198" t="inlineStr"/>
      <c r="K1198" t="inlineStr">
        <is>
          <t>20190426</t>
        </is>
      </c>
      <c r="L1198" t="inlineStr">
        <is>
          <t>20250127</t>
        </is>
      </c>
    </row>
    <row r="1199">
      <c r="A1199" t="inlineStr">
        <is>
          <t>900003609</t>
        </is>
      </c>
      <c r="B1199" t="inlineStr">
        <is>
          <t>D836</t>
        </is>
      </c>
      <c r="C1199" t="inlineStr">
        <is>
          <t>66239617</t>
        </is>
      </c>
      <c r="D1199" t="inlineStr">
        <is>
          <t>10000624</t>
        </is>
      </c>
      <c r="E1199" t="inlineStr"/>
      <c r="F1199" s="11" t="n">
        <v>142</v>
      </c>
      <c r="G1199" t="inlineStr"/>
      <c r="I1199" t="inlineStr">
        <is>
          <t>M3</t>
        </is>
      </c>
      <c r="J1199" t="inlineStr"/>
      <c r="K1199" t="inlineStr">
        <is>
          <t>20190426</t>
        </is>
      </c>
      <c r="L1199" t="inlineStr">
        <is>
          <t>20250127</t>
        </is>
      </c>
    </row>
    <row r="1200">
      <c r="A1200" t="inlineStr">
        <is>
          <t>900003609</t>
        </is>
      </c>
      <c r="B1200" t="inlineStr">
        <is>
          <t>D836</t>
        </is>
      </c>
      <c r="C1200" t="inlineStr">
        <is>
          <t>66239617</t>
        </is>
      </c>
      <c r="D1200" t="inlineStr">
        <is>
          <t>10000630</t>
        </is>
      </c>
      <c r="E1200" t="inlineStr"/>
      <c r="F1200" s="11" t="n">
        <v>155</v>
      </c>
      <c r="G1200" t="inlineStr"/>
      <c r="I1200" t="inlineStr">
        <is>
          <t>M3</t>
        </is>
      </c>
      <c r="J1200" t="inlineStr"/>
      <c r="K1200" t="inlineStr">
        <is>
          <t>20190426</t>
        </is>
      </c>
      <c r="L1200" t="inlineStr">
        <is>
          <t>20250127</t>
        </is>
      </c>
    </row>
    <row r="1201">
      <c r="A1201" t="inlineStr">
        <is>
          <t>900003609</t>
        </is>
      </c>
      <c r="B1201" t="inlineStr">
        <is>
          <t>D836</t>
        </is>
      </c>
      <c r="C1201" t="inlineStr">
        <is>
          <t>66239617</t>
        </is>
      </c>
      <c r="D1201" t="inlineStr">
        <is>
          <t>10000811</t>
        </is>
      </c>
      <c r="E1201" t="inlineStr"/>
      <c r="F1201" s="11" t="n">
        <v>146</v>
      </c>
      <c r="G1201" t="inlineStr"/>
      <c r="I1201" t="inlineStr">
        <is>
          <t>M3</t>
        </is>
      </c>
      <c r="J1201" t="inlineStr"/>
      <c r="K1201" t="inlineStr">
        <is>
          <t>20190426</t>
        </is>
      </c>
      <c r="L1201" t="inlineStr">
        <is>
          <t>20250127</t>
        </is>
      </c>
    </row>
    <row r="1202">
      <c r="A1202" t="inlineStr">
        <is>
          <t>900003609</t>
        </is>
      </c>
      <c r="B1202" t="inlineStr">
        <is>
          <t>D836</t>
        </is>
      </c>
      <c r="C1202" t="inlineStr">
        <is>
          <t>66239618</t>
        </is>
      </c>
      <c r="D1202" t="inlineStr">
        <is>
          <t>10000624</t>
        </is>
      </c>
      <c r="E1202" t="inlineStr"/>
      <c r="F1202" s="11" t="n">
        <v>142</v>
      </c>
      <c r="G1202" t="inlineStr"/>
      <c r="I1202" t="inlineStr">
        <is>
          <t>M3</t>
        </is>
      </c>
      <c r="J1202" t="inlineStr"/>
      <c r="K1202" t="inlineStr">
        <is>
          <t>20190426</t>
        </is>
      </c>
      <c r="L1202" t="inlineStr">
        <is>
          <t>20250127</t>
        </is>
      </c>
    </row>
    <row r="1203">
      <c r="A1203" t="inlineStr">
        <is>
          <t>900003609</t>
        </is>
      </c>
      <c r="B1203" t="inlineStr">
        <is>
          <t>D836</t>
        </is>
      </c>
      <c r="C1203" t="inlineStr">
        <is>
          <t>66239618</t>
        </is>
      </c>
      <c r="D1203" t="inlineStr">
        <is>
          <t>10000811</t>
        </is>
      </c>
      <c r="E1203" t="inlineStr"/>
      <c r="F1203" s="11" t="n">
        <v>146</v>
      </c>
      <c r="G1203" t="inlineStr"/>
      <c r="I1203" t="inlineStr">
        <is>
          <t>M3</t>
        </is>
      </c>
      <c r="J1203" t="inlineStr"/>
      <c r="K1203" t="inlineStr">
        <is>
          <t>20190426</t>
        </is>
      </c>
      <c r="L1203" t="inlineStr">
        <is>
          <t>20250127</t>
        </is>
      </c>
    </row>
    <row r="1204">
      <c r="A1204" t="inlineStr">
        <is>
          <t>900003609</t>
        </is>
      </c>
      <c r="B1204" t="inlineStr">
        <is>
          <t>D836</t>
        </is>
      </c>
      <c r="C1204" t="inlineStr">
        <is>
          <t>66239621</t>
        </is>
      </c>
      <c r="D1204" t="inlineStr">
        <is>
          <t>10000624</t>
        </is>
      </c>
      <c r="E1204" t="inlineStr"/>
      <c r="F1204" s="11" t="n">
        <v>142</v>
      </c>
      <c r="G1204" t="inlineStr"/>
      <c r="I1204" t="inlineStr">
        <is>
          <t>M3</t>
        </is>
      </c>
      <c r="J1204" t="inlineStr"/>
      <c r="K1204" t="inlineStr">
        <is>
          <t>20190426</t>
        </is>
      </c>
      <c r="L1204" t="inlineStr">
        <is>
          <t>20250127</t>
        </is>
      </c>
    </row>
    <row r="1205">
      <c r="A1205" t="inlineStr">
        <is>
          <t>900003609</t>
        </is>
      </c>
      <c r="B1205" t="inlineStr">
        <is>
          <t>D836</t>
        </is>
      </c>
      <c r="C1205" t="inlineStr">
        <is>
          <t>66239621</t>
        </is>
      </c>
      <c r="D1205" t="inlineStr">
        <is>
          <t>10000630</t>
        </is>
      </c>
      <c r="E1205" t="inlineStr"/>
      <c r="F1205" s="11" t="n">
        <v>155</v>
      </c>
      <c r="G1205" t="inlineStr"/>
      <c r="I1205" t="inlineStr">
        <is>
          <t>M3</t>
        </is>
      </c>
      <c r="J1205" t="inlineStr"/>
      <c r="K1205" t="inlineStr">
        <is>
          <t>20190426</t>
        </is>
      </c>
      <c r="L1205" t="inlineStr">
        <is>
          <t>20250127</t>
        </is>
      </c>
    </row>
    <row r="1206">
      <c r="A1206" t="inlineStr">
        <is>
          <t>900003609</t>
        </is>
      </c>
      <c r="B1206" t="inlineStr">
        <is>
          <t>D836</t>
        </is>
      </c>
      <c r="C1206" t="inlineStr">
        <is>
          <t>66239621</t>
        </is>
      </c>
      <c r="D1206" t="inlineStr">
        <is>
          <t>10000811</t>
        </is>
      </c>
      <c r="E1206" t="inlineStr"/>
      <c r="F1206" s="11" t="n">
        <v>146</v>
      </c>
      <c r="G1206" t="inlineStr"/>
      <c r="I1206" t="inlineStr">
        <is>
          <t>M3</t>
        </is>
      </c>
      <c r="J1206" t="inlineStr"/>
      <c r="K1206" t="inlineStr">
        <is>
          <t>20190426</t>
        </is>
      </c>
      <c r="L1206" t="inlineStr">
        <is>
          <t>20250127</t>
        </is>
      </c>
    </row>
    <row r="1207">
      <c r="A1207" t="inlineStr">
        <is>
          <t>900003609</t>
        </is>
      </c>
      <c r="B1207" t="inlineStr">
        <is>
          <t>D836</t>
        </is>
      </c>
      <c r="C1207" t="inlineStr">
        <is>
          <t>66239627</t>
        </is>
      </c>
      <c r="D1207" t="inlineStr">
        <is>
          <t>10000624</t>
        </is>
      </c>
      <c r="E1207" t="inlineStr"/>
      <c r="F1207" s="11" t="n">
        <v>142</v>
      </c>
      <c r="G1207" t="inlineStr"/>
      <c r="I1207" t="inlineStr">
        <is>
          <t>M3</t>
        </is>
      </c>
      <c r="J1207" t="inlineStr"/>
      <c r="K1207" t="inlineStr">
        <is>
          <t>20190426</t>
        </is>
      </c>
      <c r="L1207" t="inlineStr">
        <is>
          <t>20250127</t>
        </is>
      </c>
    </row>
    <row r="1208">
      <c r="A1208" t="inlineStr">
        <is>
          <t>900003609</t>
        </is>
      </c>
      <c r="B1208" t="inlineStr">
        <is>
          <t>D836</t>
        </is>
      </c>
      <c r="C1208" t="inlineStr">
        <is>
          <t>66239627</t>
        </is>
      </c>
      <c r="D1208" t="inlineStr">
        <is>
          <t>10000811</t>
        </is>
      </c>
      <c r="E1208" t="inlineStr"/>
      <c r="F1208" s="11" t="n">
        <v>146</v>
      </c>
      <c r="G1208" t="inlineStr"/>
      <c r="I1208" t="inlineStr">
        <is>
          <t>M3</t>
        </is>
      </c>
      <c r="J1208" t="inlineStr"/>
      <c r="K1208" t="inlineStr">
        <is>
          <t>20190426</t>
        </is>
      </c>
      <c r="L1208" t="inlineStr">
        <is>
          <t>20250127</t>
        </is>
      </c>
    </row>
    <row r="1209">
      <c r="A1209" t="inlineStr">
        <is>
          <t>900003609</t>
        </is>
      </c>
      <c r="B1209" t="inlineStr">
        <is>
          <t>D836</t>
        </is>
      </c>
      <c r="C1209" t="inlineStr">
        <is>
          <t>66239628</t>
        </is>
      </c>
      <c r="D1209" t="inlineStr">
        <is>
          <t>10000624</t>
        </is>
      </c>
      <c r="E1209" t="inlineStr"/>
      <c r="F1209" s="11" t="n">
        <v>142</v>
      </c>
      <c r="G1209" t="inlineStr"/>
      <c r="I1209" t="inlineStr">
        <is>
          <t>M3</t>
        </is>
      </c>
      <c r="J1209" t="inlineStr"/>
      <c r="K1209" t="inlineStr">
        <is>
          <t>20190426</t>
        </is>
      </c>
      <c r="L1209" t="inlineStr">
        <is>
          <t>20250127</t>
        </is>
      </c>
    </row>
    <row r="1210">
      <c r="A1210" t="inlineStr">
        <is>
          <t>900003609</t>
        </is>
      </c>
      <c r="B1210" t="inlineStr">
        <is>
          <t>D836</t>
        </is>
      </c>
      <c r="C1210" t="inlineStr">
        <is>
          <t>66239628</t>
        </is>
      </c>
      <c r="D1210" t="inlineStr">
        <is>
          <t>10000625</t>
        </is>
      </c>
      <c r="E1210" t="inlineStr"/>
      <c r="F1210" s="11" t="n">
        <v>134</v>
      </c>
      <c r="G1210" t="inlineStr"/>
      <c r="I1210" t="inlineStr">
        <is>
          <t>M3</t>
        </is>
      </c>
      <c r="J1210" t="inlineStr"/>
      <c r="K1210" t="inlineStr">
        <is>
          <t>20190426</t>
        </is>
      </c>
      <c r="L1210" t="inlineStr">
        <is>
          <t>20250127</t>
        </is>
      </c>
    </row>
    <row r="1211">
      <c r="A1211" t="inlineStr">
        <is>
          <t>900003609</t>
        </is>
      </c>
      <c r="B1211" t="inlineStr">
        <is>
          <t>D836</t>
        </is>
      </c>
      <c r="C1211" t="inlineStr">
        <is>
          <t>66239628</t>
        </is>
      </c>
      <c r="D1211" t="inlineStr">
        <is>
          <t>10000630</t>
        </is>
      </c>
      <c r="E1211" t="inlineStr"/>
      <c r="F1211" s="11" t="n">
        <v>155</v>
      </c>
      <c r="G1211" t="inlineStr"/>
      <c r="I1211" t="inlineStr">
        <is>
          <t>M3</t>
        </is>
      </c>
      <c r="J1211" t="inlineStr"/>
      <c r="K1211" t="inlineStr">
        <is>
          <t>20190426</t>
        </is>
      </c>
      <c r="L1211" t="inlineStr">
        <is>
          <t>20250127</t>
        </is>
      </c>
    </row>
    <row r="1212">
      <c r="A1212" t="inlineStr">
        <is>
          <t>900003609</t>
        </is>
      </c>
      <c r="B1212" t="inlineStr">
        <is>
          <t>D836</t>
        </is>
      </c>
      <c r="C1212" t="inlineStr">
        <is>
          <t>66239628</t>
        </is>
      </c>
      <c r="D1212" t="inlineStr">
        <is>
          <t>10000811</t>
        </is>
      </c>
      <c r="E1212" t="inlineStr"/>
      <c r="F1212" s="11" t="n">
        <v>146</v>
      </c>
      <c r="G1212" t="inlineStr"/>
      <c r="I1212" t="inlineStr">
        <is>
          <t>M3</t>
        </is>
      </c>
      <c r="J1212" t="inlineStr"/>
      <c r="K1212" t="inlineStr">
        <is>
          <t>20190426</t>
        </is>
      </c>
      <c r="L1212" t="inlineStr">
        <is>
          <t>20250127</t>
        </is>
      </c>
    </row>
    <row r="1213">
      <c r="A1213" t="inlineStr">
        <is>
          <t>900003609</t>
        </is>
      </c>
      <c r="B1213" t="inlineStr">
        <is>
          <t>D836</t>
        </is>
      </c>
      <c r="C1213" t="inlineStr">
        <is>
          <t>66260760</t>
        </is>
      </c>
      <c r="D1213" t="inlineStr">
        <is>
          <t>10000630</t>
        </is>
      </c>
      <c r="E1213" t="inlineStr"/>
      <c r="F1213" s="11" t="n">
        <v>170</v>
      </c>
      <c r="G1213" t="inlineStr"/>
      <c r="I1213" t="inlineStr">
        <is>
          <t>M3</t>
        </is>
      </c>
      <c r="J1213" t="inlineStr"/>
      <c r="K1213" t="inlineStr">
        <is>
          <t>20190426</t>
        </is>
      </c>
      <c r="L1213" t="inlineStr">
        <is>
          <t>20250127</t>
        </is>
      </c>
    </row>
    <row r="1214">
      <c r="A1214" t="inlineStr">
        <is>
          <t>900003609</t>
        </is>
      </c>
      <c r="B1214" t="inlineStr">
        <is>
          <t>D836</t>
        </is>
      </c>
      <c r="C1214" t="inlineStr">
        <is>
          <t>66260760</t>
        </is>
      </c>
      <c r="D1214" t="inlineStr">
        <is>
          <t>10000811</t>
        </is>
      </c>
      <c r="E1214" t="inlineStr"/>
      <c r="F1214" s="11" t="n">
        <v>133</v>
      </c>
      <c r="G1214" t="inlineStr"/>
      <c r="I1214" t="inlineStr">
        <is>
          <t>M3</t>
        </is>
      </c>
      <c r="J1214" t="inlineStr"/>
      <c r="K1214" t="inlineStr">
        <is>
          <t>20190426</t>
        </is>
      </c>
      <c r="L1214" t="inlineStr">
        <is>
          <t>20250127</t>
        </is>
      </c>
    </row>
    <row r="1215">
      <c r="A1215" t="inlineStr">
        <is>
          <t>900003609</t>
        </is>
      </c>
      <c r="B1215" t="inlineStr">
        <is>
          <t>D836</t>
        </is>
      </c>
      <c r="C1215" t="inlineStr">
        <is>
          <t>66272739</t>
        </is>
      </c>
      <c r="D1215" t="inlineStr">
        <is>
          <t>10053281</t>
        </is>
      </c>
      <c r="E1215" t="inlineStr"/>
      <c r="F1215" s="11" t="n">
        <v>126</v>
      </c>
      <c r="G1215" t="inlineStr"/>
      <c r="I1215" t="inlineStr">
        <is>
          <t>M3</t>
        </is>
      </c>
      <c r="J1215" t="inlineStr"/>
      <c r="K1215" t="inlineStr">
        <is>
          <t>20190426</t>
        </is>
      </c>
      <c r="L1215" t="inlineStr">
        <is>
          <t>20250127</t>
        </is>
      </c>
    </row>
    <row r="1216">
      <c r="A1216" t="inlineStr">
        <is>
          <t>900003609</t>
        </is>
      </c>
      <c r="B1216" t="inlineStr">
        <is>
          <t>D836</t>
        </is>
      </c>
      <c r="C1216" t="inlineStr">
        <is>
          <t>66289412</t>
        </is>
      </c>
      <c r="D1216" t="inlineStr">
        <is>
          <t>10000624</t>
        </is>
      </c>
      <c r="E1216" t="inlineStr"/>
      <c r="F1216" s="11" t="n">
        <v>142</v>
      </c>
      <c r="G1216" t="inlineStr"/>
      <c r="I1216" t="inlineStr">
        <is>
          <t>M3</t>
        </is>
      </c>
      <c r="J1216" t="inlineStr"/>
      <c r="K1216" t="inlineStr">
        <is>
          <t>20190426</t>
        </is>
      </c>
      <c r="L1216" t="inlineStr">
        <is>
          <t>20250127</t>
        </is>
      </c>
    </row>
    <row r="1217">
      <c r="A1217" t="inlineStr">
        <is>
          <t>900003609</t>
        </is>
      </c>
      <c r="B1217" t="inlineStr">
        <is>
          <t>D836</t>
        </is>
      </c>
      <c r="C1217" t="inlineStr">
        <is>
          <t>66289412</t>
        </is>
      </c>
      <c r="D1217" t="inlineStr">
        <is>
          <t>10000811</t>
        </is>
      </c>
      <c r="E1217" t="inlineStr"/>
      <c r="F1217" s="11" t="n">
        <v>146</v>
      </c>
      <c r="G1217" t="inlineStr"/>
      <c r="I1217" t="inlineStr">
        <is>
          <t>M3</t>
        </is>
      </c>
      <c r="J1217" t="inlineStr"/>
      <c r="K1217" t="inlineStr">
        <is>
          <t>20190426</t>
        </is>
      </c>
      <c r="L1217" t="inlineStr">
        <is>
          <t>20250127</t>
        </is>
      </c>
    </row>
    <row r="1218">
      <c r="A1218" t="inlineStr">
        <is>
          <t>900003609</t>
        </is>
      </c>
      <c r="B1218" t="inlineStr">
        <is>
          <t>D836</t>
        </is>
      </c>
      <c r="C1218" t="inlineStr">
        <is>
          <t>66289413</t>
        </is>
      </c>
      <c r="D1218" t="inlineStr">
        <is>
          <t>10000624</t>
        </is>
      </c>
      <c r="E1218" t="inlineStr"/>
      <c r="F1218" s="11" t="n">
        <v>142</v>
      </c>
      <c r="G1218" t="inlineStr"/>
      <c r="I1218" t="inlineStr">
        <is>
          <t>M3</t>
        </is>
      </c>
      <c r="J1218" t="inlineStr"/>
      <c r="K1218" t="inlineStr">
        <is>
          <t>20190426</t>
        </is>
      </c>
      <c r="L1218" t="inlineStr">
        <is>
          <t>20250127</t>
        </is>
      </c>
    </row>
    <row r="1219">
      <c r="A1219" t="inlineStr">
        <is>
          <t>900003609</t>
        </is>
      </c>
      <c r="B1219" t="inlineStr">
        <is>
          <t>D836</t>
        </is>
      </c>
      <c r="C1219" t="inlineStr">
        <is>
          <t>66289413</t>
        </is>
      </c>
      <c r="D1219" t="inlineStr">
        <is>
          <t>10000630</t>
        </is>
      </c>
      <c r="E1219" t="inlineStr"/>
      <c r="F1219" s="11" t="n">
        <v>155</v>
      </c>
      <c r="G1219" t="inlineStr"/>
      <c r="I1219" t="inlineStr">
        <is>
          <t>M3</t>
        </is>
      </c>
      <c r="J1219" t="inlineStr"/>
      <c r="K1219" t="inlineStr">
        <is>
          <t>20190426</t>
        </is>
      </c>
      <c r="L1219" t="inlineStr">
        <is>
          <t>20250127</t>
        </is>
      </c>
    </row>
    <row r="1220">
      <c r="A1220" t="inlineStr">
        <is>
          <t>900003609</t>
        </is>
      </c>
      <c r="B1220" t="inlineStr">
        <is>
          <t>D836</t>
        </is>
      </c>
      <c r="C1220" t="inlineStr">
        <is>
          <t>66289413</t>
        </is>
      </c>
      <c r="D1220" t="inlineStr">
        <is>
          <t>10000811</t>
        </is>
      </c>
      <c r="E1220" t="inlineStr"/>
      <c r="F1220" s="11" t="n">
        <v>146</v>
      </c>
      <c r="G1220" t="inlineStr"/>
      <c r="I1220" t="inlineStr">
        <is>
          <t>M3</t>
        </is>
      </c>
      <c r="J1220" t="inlineStr"/>
      <c r="K1220" t="inlineStr">
        <is>
          <t>20190426</t>
        </is>
      </c>
      <c r="L1220" t="inlineStr">
        <is>
          <t>20250127</t>
        </is>
      </c>
    </row>
    <row r="1221">
      <c r="A1221" t="inlineStr">
        <is>
          <t>900003609</t>
        </is>
      </c>
      <c r="B1221" t="inlineStr">
        <is>
          <t>D836</t>
        </is>
      </c>
      <c r="C1221" t="inlineStr">
        <is>
          <t>66308834</t>
        </is>
      </c>
      <c r="D1221" t="inlineStr">
        <is>
          <t>10000625</t>
        </is>
      </c>
      <c r="E1221" t="inlineStr"/>
      <c r="F1221" s="11" t="n">
        <v>105.56</v>
      </c>
      <c r="G1221" t="inlineStr"/>
      <c r="I1221" t="inlineStr">
        <is>
          <t>M3</t>
        </is>
      </c>
      <c r="J1221" t="inlineStr"/>
      <c r="K1221" t="inlineStr">
        <is>
          <t>20190426</t>
        </is>
      </c>
      <c r="L1221" t="inlineStr">
        <is>
          <t>20250127</t>
        </is>
      </c>
    </row>
    <row r="1222">
      <c r="A1222" t="inlineStr">
        <is>
          <t>900003609</t>
        </is>
      </c>
      <c r="B1222" t="inlineStr">
        <is>
          <t>D836</t>
        </is>
      </c>
      <c r="C1222" t="inlineStr">
        <is>
          <t>66308834</t>
        </is>
      </c>
      <c r="D1222" t="inlineStr">
        <is>
          <t>10000630</t>
        </is>
      </c>
      <c r="E1222" t="inlineStr"/>
      <c r="F1222" s="11" t="n">
        <v>148.89</v>
      </c>
      <c r="G1222" t="inlineStr"/>
      <c r="I1222" t="inlineStr">
        <is>
          <t>M3</t>
        </is>
      </c>
      <c r="J1222" t="inlineStr"/>
      <c r="K1222" t="inlineStr">
        <is>
          <t>20190426</t>
        </is>
      </c>
      <c r="L1222" t="inlineStr">
        <is>
          <t>20250127</t>
        </is>
      </c>
    </row>
    <row r="1223">
      <c r="A1223" t="inlineStr">
        <is>
          <t>900003609</t>
        </is>
      </c>
      <c r="B1223" t="inlineStr">
        <is>
          <t>D836</t>
        </is>
      </c>
      <c r="C1223" t="inlineStr">
        <is>
          <t>66308834</t>
        </is>
      </c>
      <c r="D1223" t="inlineStr">
        <is>
          <t>10000722</t>
        </is>
      </c>
      <c r="E1223" t="inlineStr"/>
      <c r="F1223" s="11" t="n">
        <v>131.11</v>
      </c>
      <c r="G1223" t="inlineStr"/>
      <c r="I1223" t="inlineStr">
        <is>
          <t>M3</t>
        </is>
      </c>
      <c r="J1223" t="inlineStr"/>
      <c r="K1223" t="inlineStr">
        <is>
          <t>20190426</t>
        </is>
      </c>
      <c r="L1223" t="inlineStr">
        <is>
          <t>20250127</t>
        </is>
      </c>
    </row>
    <row r="1224">
      <c r="A1224" t="inlineStr">
        <is>
          <t>900003609</t>
        </is>
      </c>
      <c r="B1224" t="inlineStr">
        <is>
          <t>D836</t>
        </is>
      </c>
      <c r="C1224" t="inlineStr">
        <is>
          <t>66313307</t>
        </is>
      </c>
      <c r="D1224" t="inlineStr">
        <is>
          <t>10000630</t>
        </is>
      </c>
      <c r="E1224" t="inlineStr"/>
      <c r="F1224" s="11" t="n">
        <v>145</v>
      </c>
      <c r="G1224" t="inlineStr"/>
      <c r="I1224" t="inlineStr">
        <is>
          <t>M3</t>
        </is>
      </c>
      <c r="J1224" t="inlineStr"/>
      <c r="K1224" t="inlineStr">
        <is>
          <t>20190426</t>
        </is>
      </c>
      <c r="L1224" t="inlineStr">
        <is>
          <t>20250127</t>
        </is>
      </c>
    </row>
    <row r="1225">
      <c r="A1225" t="inlineStr">
        <is>
          <t>900003609</t>
        </is>
      </c>
      <c r="B1225" t="inlineStr">
        <is>
          <t>D836</t>
        </is>
      </c>
      <c r="C1225" t="inlineStr">
        <is>
          <t>66313323</t>
        </is>
      </c>
      <c r="D1225" t="inlineStr">
        <is>
          <t>10000630</t>
        </is>
      </c>
      <c r="E1225" t="inlineStr"/>
      <c r="F1225" s="11" t="n">
        <v>145</v>
      </c>
      <c r="G1225" t="inlineStr"/>
      <c r="I1225" t="inlineStr">
        <is>
          <t>M3</t>
        </is>
      </c>
      <c r="J1225" t="inlineStr"/>
      <c r="K1225" t="inlineStr">
        <is>
          <t>20190426</t>
        </is>
      </c>
      <c r="L1225" t="inlineStr">
        <is>
          <t>20250127</t>
        </is>
      </c>
    </row>
    <row r="1226">
      <c r="A1226" t="inlineStr">
        <is>
          <t>900003609</t>
        </is>
      </c>
      <c r="B1226" t="inlineStr">
        <is>
          <t>D836</t>
        </is>
      </c>
      <c r="C1226" t="inlineStr">
        <is>
          <t>66313323</t>
        </is>
      </c>
      <c r="D1226" t="inlineStr">
        <is>
          <t>10053281</t>
        </is>
      </c>
      <c r="E1226" t="inlineStr"/>
      <c r="F1226" s="11" t="n">
        <v>126</v>
      </c>
      <c r="G1226" t="inlineStr"/>
      <c r="I1226" t="inlineStr">
        <is>
          <t>M3</t>
        </is>
      </c>
      <c r="J1226" t="inlineStr"/>
      <c r="K1226" t="inlineStr">
        <is>
          <t>20190426</t>
        </is>
      </c>
      <c r="L1226" t="inlineStr">
        <is>
          <t>20250127</t>
        </is>
      </c>
    </row>
    <row r="1227">
      <c r="A1227" t="inlineStr">
        <is>
          <t>900003609</t>
        </is>
      </c>
      <c r="B1227" t="inlineStr">
        <is>
          <t>D836</t>
        </is>
      </c>
      <c r="C1227" t="inlineStr">
        <is>
          <t>66338102</t>
        </is>
      </c>
      <c r="D1227" t="inlineStr">
        <is>
          <t>10000624</t>
        </is>
      </c>
      <c r="E1227" t="inlineStr"/>
      <c r="F1227" s="11" t="n">
        <v>143</v>
      </c>
      <c r="G1227" t="inlineStr"/>
      <c r="I1227" t="inlineStr">
        <is>
          <t>M3</t>
        </is>
      </c>
      <c r="J1227" t="inlineStr"/>
      <c r="K1227" t="inlineStr">
        <is>
          <t>20190426</t>
        </is>
      </c>
      <c r="L1227" t="inlineStr">
        <is>
          <t>20250127</t>
        </is>
      </c>
    </row>
    <row r="1228">
      <c r="A1228" t="inlineStr">
        <is>
          <t>900003609</t>
        </is>
      </c>
      <c r="B1228" t="inlineStr">
        <is>
          <t>D836</t>
        </is>
      </c>
      <c r="C1228" t="inlineStr">
        <is>
          <t>66338102</t>
        </is>
      </c>
      <c r="D1228" t="inlineStr">
        <is>
          <t>10000630</t>
        </is>
      </c>
      <c r="E1228" t="inlineStr"/>
      <c r="F1228" s="11" t="n">
        <v>155</v>
      </c>
      <c r="G1228" t="inlineStr"/>
      <c r="I1228" t="inlineStr">
        <is>
          <t>M3</t>
        </is>
      </c>
      <c r="J1228" t="inlineStr"/>
      <c r="K1228" t="inlineStr">
        <is>
          <t>20190426</t>
        </is>
      </c>
      <c r="L1228" t="inlineStr">
        <is>
          <t>20250127</t>
        </is>
      </c>
    </row>
    <row r="1229">
      <c r="A1229" t="inlineStr">
        <is>
          <t>900003609</t>
        </is>
      </c>
      <c r="B1229" t="inlineStr">
        <is>
          <t>D836</t>
        </is>
      </c>
      <c r="C1229" t="inlineStr">
        <is>
          <t>66338102</t>
        </is>
      </c>
      <c r="D1229" t="inlineStr">
        <is>
          <t>10000722</t>
        </is>
      </c>
      <c r="E1229" t="inlineStr"/>
      <c r="F1229" s="11" t="n">
        <v>142</v>
      </c>
      <c r="G1229" t="inlineStr"/>
      <c r="I1229" t="inlineStr">
        <is>
          <t>M3</t>
        </is>
      </c>
      <c r="J1229" t="inlineStr"/>
      <c r="K1229" t="inlineStr">
        <is>
          <t>20190426</t>
        </is>
      </c>
      <c r="L1229" t="inlineStr">
        <is>
          <t>20250127</t>
        </is>
      </c>
    </row>
    <row r="1230">
      <c r="A1230" t="inlineStr">
        <is>
          <t>900003609</t>
        </is>
      </c>
      <c r="B1230" t="inlineStr">
        <is>
          <t>D836</t>
        </is>
      </c>
      <c r="C1230" t="inlineStr">
        <is>
          <t>66338102</t>
        </is>
      </c>
      <c r="D1230" t="inlineStr">
        <is>
          <t>10053281</t>
        </is>
      </c>
      <c r="E1230" t="inlineStr"/>
      <c r="F1230" s="11" t="n">
        <v>130</v>
      </c>
      <c r="G1230" t="inlineStr"/>
      <c r="I1230" t="inlineStr">
        <is>
          <t>M3</t>
        </is>
      </c>
      <c r="J1230" t="inlineStr"/>
      <c r="K1230" t="inlineStr">
        <is>
          <t>20190426</t>
        </is>
      </c>
      <c r="L1230" t="inlineStr">
        <is>
          <t>20250127</t>
        </is>
      </c>
    </row>
    <row r="1231">
      <c r="A1231" t="inlineStr">
        <is>
          <t>900003609</t>
        </is>
      </c>
      <c r="B1231" t="inlineStr">
        <is>
          <t>D836</t>
        </is>
      </c>
      <c r="C1231" t="inlineStr">
        <is>
          <t>66394060</t>
        </is>
      </c>
      <c r="D1231" t="inlineStr">
        <is>
          <t>10053281</t>
        </is>
      </c>
      <c r="E1231" t="inlineStr"/>
      <c r="F1231" s="11" t="n">
        <v>132</v>
      </c>
      <c r="G1231" t="inlineStr"/>
      <c r="I1231" t="inlineStr">
        <is>
          <t>M3</t>
        </is>
      </c>
      <c r="J1231" t="inlineStr"/>
      <c r="K1231" t="inlineStr">
        <is>
          <t>20190426</t>
        </is>
      </c>
      <c r="L1231" t="inlineStr">
        <is>
          <t>20250127</t>
        </is>
      </c>
    </row>
    <row r="1232">
      <c r="A1232" t="inlineStr">
        <is>
          <t>900003609</t>
        </is>
      </c>
      <c r="B1232" t="inlineStr">
        <is>
          <t>D836</t>
        </is>
      </c>
      <c r="C1232" t="inlineStr">
        <is>
          <t>66399551</t>
        </is>
      </c>
      <c r="D1232" t="inlineStr">
        <is>
          <t>10053281</t>
        </is>
      </c>
      <c r="E1232" t="inlineStr"/>
      <c r="F1232" s="11" t="n">
        <v>128</v>
      </c>
      <c r="G1232" t="inlineStr"/>
      <c r="I1232" t="inlineStr">
        <is>
          <t>M3</t>
        </is>
      </c>
      <c r="J1232" t="inlineStr"/>
      <c r="K1232" t="inlineStr">
        <is>
          <t>20190426</t>
        </is>
      </c>
      <c r="L1232" t="inlineStr">
        <is>
          <t>20250127</t>
        </is>
      </c>
    </row>
    <row r="1233">
      <c r="A1233" t="inlineStr">
        <is>
          <t>900003609</t>
        </is>
      </c>
      <c r="B1233" t="inlineStr">
        <is>
          <t>D836</t>
        </is>
      </c>
      <c r="C1233" t="inlineStr">
        <is>
          <t>66399586</t>
        </is>
      </c>
      <c r="D1233" t="inlineStr">
        <is>
          <t>10053281</t>
        </is>
      </c>
      <c r="E1233" t="inlineStr"/>
      <c r="F1233" s="11" t="n">
        <v>128</v>
      </c>
      <c r="G1233" t="inlineStr"/>
      <c r="I1233" t="inlineStr">
        <is>
          <t>M3</t>
        </is>
      </c>
      <c r="J1233" t="inlineStr"/>
      <c r="K1233" t="inlineStr">
        <is>
          <t>20190426</t>
        </is>
      </c>
      <c r="L1233" t="inlineStr">
        <is>
          <t>20250127</t>
        </is>
      </c>
    </row>
    <row r="1234">
      <c r="A1234" t="inlineStr">
        <is>
          <t>900003609</t>
        </is>
      </c>
      <c r="B1234" t="inlineStr">
        <is>
          <t>D836</t>
        </is>
      </c>
      <c r="C1234" t="inlineStr">
        <is>
          <t>66400651</t>
        </is>
      </c>
      <c r="D1234" t="inlineStr">
        <is>
          <t>10000722</t>
        </is>
      </c>
      <c r="E1234" t="inlineStr"/>
      <c r="F1234" s="11" t="n">
        <v>131.04</v>
      </c>
      <c r="G1234" t="inlineStr"/>
      <c r="I1234" t="inlineStr">
        <is>
          <t>M3</t>
        </is>
      </c>
      <c r="J1234" t="inlineStr"/>
      <c r="K1234" t="inlineStr">
        <is>
          <t>20190426</t>
        </is>
      </c>
      <c r="L1234" t="inlineStr">
        <is>
          <t>20250127</t>
        </is>
      </c>
    </row>
    <row r="1235">
      <c r="A1235" t="inlineStr">
        <is>
          <t>900003609</t>
        </is>
      </c>
      <c r="B1235" t="inlineStr">
        <is>
          <t>D836</t>
        </is>
      </c>
      <c r="C1235" t="inlineStr">
        <is>
          <t>66400667</t>
        </is>
      </c>
      <c r="D1235" t="inlineStr">
        <is>
          <t>10000722</t>
        </is>
      </c>
      <c r="E1235" t="inlineStr"/>
      <c r="F1235" s="11" t="n">
        <v>129.9</v>
      </c>
      <c r="G1235" t="inlineStr"/>
      <c r="I1235" t="inlineStr">
        <is>
          <t>M3</t>
        </is>
      </c>
      <c r="J1235" t="inlineStr"/>
      <c r="K1235" t="inlineStr">
        <is>
          <t>20190426</t>
        </is>
      </c>
      <c r="L1235" t="inlineStr">
        <is>
          <t>20250127</t>
        </is>
      </c>
    </row>
    <row r="1236">
      <c r="A1236" t="inlineStr">
        <is>
          <t>900003609</t>
        </is>
      </c>
      <c r="B1236" t="inlineStr">
        <is>
          <t>D836</t>
        </is>
      </c>
      <c r="C1236" t="inlineStr">
        <is>
          <t>66403063</t>
        </is>
      </c>
      <c r="D1236" t="inlineStr">
        <is>
          <t>10000630</t>
        </is>
      </c>
      <c r="E1236" t="inlineStr"/>
      <c r="F1236" s="11" t="n">
        <v>155</v>
      </c>
      <c r="G1236" t="inlineStr"/>
      <c r="I1236" t="inlineStr">
        <is>
          <t>M3</t>
        </is>
      </c>
      <c r="J1236" t="inlineStr"/>
      <c r="K1236" t="inlineStr">
        <is>
          <t>20190426</t>
        </is>
      </c>
      <c r="L1236" t="inlineStr">
        <is>
          <t>20250127</t>
        </is>
      </c>
    </row>
    <row r="1237">
      <c r="A1237" t="inlineStr">
        <is>
          <t>900003609</t>
        </is>
      </c>
      <c r="B1237" t="inlineStr">
        <is>
          <t>D836</t>
        </is>
      </c>
      <c r="C1237" t="inlineStr">
        <is>
          <t>66404526</t>
        </is>
      </c>
      <c r="D1237" t="inlineStr">
        <is>
          <t>10000722</t>
        </is>
      </c>
      <c r="E1237" t="inlineStr"/>
      <c r="F1237" s="11" t="n">
        <v>129.91</v>
      </c>
      <c r="G1237" t="inlineStr"/>
      <c r="I1237" t="inlineStr">
        <is>
          <t>M3</t>
        </is>
      </c>
      <c r="J1237" t="inlineStr"/>
      <c r="K1237" t="inlineStr">
        <is>
          <t>20190426</t>
        </is>
      </c>
      <c r="L1237" t="inlineStr">
        <is>
          <t>20250127</t>
        </is>
      </c>
    </row>
    <row r="1238">
      <c r="A1238" t="inlineStr">
        <is>
          <t>900003609</t>
        </is>
      </c>
      <c r="B1238" t="inlineStr">
        <is>
          <t>D836</t>
        </is>
      </c>
      <c r="C1238" t="inlineStr">
        <is>
          <t>66404577</t>
        </is>
      </c>
      <c r="D1238" t="inlineStr">
        <is>
          <t>10000722</t>
        </is>
      </c>
      <c r="E1238" t="inlineStr"/>
      <c r="F1238" s="11" t="n">
        <v>130.35</v>
      </c>
      <c r="G1238" t="inlineStr"/>
      <c r="I1238" t="inlineStr">
        <is>
          <t>M3</t>
        </is>
      </c>
      <c r="J1238" t="inlineStr"/>
      <c r="K1238" t="inlineStr">
        <is>
          <t>20190426</t>
        </is>
      </c>
      <c r="L1238" t="inlineStr">
        <is>
          <t>20250127</t>
        </is>
      </c>
    </row>
    <row r="1239">
      <c r="A1239" t="inlineStr">
        <is>
          <t>900003609</t>
        </is>
      </c>
      <c r="B1239" t="inlineStr">
        <is>
          <t>D836</t>
        </is>
      </c>
      <c r="C1239" t="inlineStr">
        <is>
          <t>66408593</t>
        </is>
      </c>
      <c r="D1239" t="inlineStr">
        <is>
          <t>10000630</t>
        </is>
      </c>
      <c r="E1239" t="inlineStr"/>
      <c r="F1239" s="11" t="n">
        <v>155</v>
      </c>
      <c r="G1239" t="inlineStr"/>
      <c r="I1239" t="inlineStr">
        <is>
          <t>M3</t>
        </is>
      </c>
      <c r="J1239" t="inlineStr"/>
      <c r="K1239" t="inlineStr">
        <is>
          <t>20190426</t>
        </is>
      </c>
      <c r="L1239" t="inlineStr">
        <is>
          <t>20250127</t>
        </is>
      </c>
    </row>
    <row r="1240">
      <c r="A1240" t="inlineStr">
        <is>
          <t>900003609</t>
        </is>
      </c>
      <c r="B1240" t="inlineStr">
        <is>
          <t>D836</t>
        </is>
      </c>
      <c r="C1240" t="inlineStr">
        <is>
          <t>66414377</t>
        </is>
      </c>
      <c r="D1240" t="inlineStr">
        <is>
          <t>10000624</t>
        </is>
      </c>
      <c r="E1240" t="inlineStr"/>
      <c r="F1240" s="11" t="n">
        <v>126</v>
      </c>
      <c r="G1240" t="inlineStr"/>
      <c r="I1240" t="inlineStr">
        <is>
          <t>M3</t>
        </is>
      </c>
      <c r="J1240" t="inlineStr"/>
      <c r="K1240" t="inlineStr">
        <is>
          <t>20190426</t>
        </is>
      </c>
      <c r="L1240" t="inlineStr">
        <is>
          <t>20250127</t>
        </is>
      </c>
    </row>
    <row r="1241">
      <c r="A1241" t="inlineStr">
        <is>
          <t>900003609</t>
        </is>
      </c>
      <c r="B1241" t="inlineStr">
        <is>
          <t>D836</t>
        </is>
      </c>
      <c r="C1241" t="inlineStr">
        <is>
          <t>66414377</t>
        </is>
      </c>
      <c r="D1241" t="inlineStr">
        <is>
          <t>10053281</t>
        </is>
      </c>
      <c r="E1241" t="inlineStr"/>
      <c r="F1241" s="11" t="n">
        <v>126</v>
      </c>
      <c r="G1241" t="inlineStr"/>
      <c r="I1241" t="inlineStr">
        <is>
          <t>M3</t>
        </is>
      </c>
      <c r="J1241" t="inlineStr"/>
      <c r="K1241" t="inlineStr">
        <is>
          <t>20190426</t>
        </is>
      </c>
      <c r="L1241" t="inlineStr">
        <is>
          <t>20250127</t>
        </is>
      </c>
    </row>
    <row r="1242">
      <c r="A1242" t="inlineStr">
        <is>
          <t>900003609</t>
        </is>
      </c>
      <c r="B1242" t="inlineStr">
        <is>
          <t>D836</t>
        </is>
      </c>
      <c r="C1242" t="inlineStr">
        <is>
          <t>66415270</t>
        </is>
      </c>
      <c r="D1242" t="inlineStr">
        <is>
          <t>10000624</t>
        </is>
      </c>
      <c r="E1242" t="inlineStr"/>
      <c r="F1242" s="11" t="n">
        <v>126</v>
      </c>
      <c r="G1242" t="inlineStr"/>
      <c r="I1242" t="inlineStr">
        <is>
          <t>M3</t>
        </is>
      </c>
      <c r="J1242" t="inlineStr"/>
      <c r="K1242" t="inlineStr">
        <is>
          <t>20190426</t>
        </is>
      </c>
      <c r="L1242" t="inlineStr">
        <is>
          <t>20250127</t>
        </is>
      </c>
    </row>
    <row r="1243">
      <c r="A1243" t="inlineStr">
        <is>
          <t>900003609</t>
        </is>
      </c>
      <c r="B1243" t="inlineStr">
        <is>
          <t>D836</t>
        </is>
      </c>
      <c r="C1243" t="inlineStr">
        <is>
          <t>66415270</t>
        </is>
      </c>
      <c r="D1243" t="inlineStr">
        <is>
          <t>10053281</t>
        </is>
      </c>
      <c r="E1243" t="inlineStr"/>
      <c r="F1243" s="11" t="n">
        <v>126</v>
      </c>
      <c r="G1243" t="inlineStr"/>
      <c r="I1243" t="inlineStr">
        <is>
          <t>M3</t>
        </is>
      </c>
      <c r="J1243" t="inlineStr"/>
      <c r="K1243" t="inlineStr">
        <is>
          <t>20190426</t>
        </is>
      </c>
      <c r="L1243" t="inlineStr">
        <is>
          <t>20250127</t>
        </is>
      </c>
    </row>
    <row r="1244">
      <c r="A1244" t="inlineStr">
        <is>
          <t>900003609</t>
        </is>
      </c>
      <c r="B1244" t="inlineStr">
        <is>
          <t>D836</t>
        </is>
      </c>
      <c r="C1244" t="inlineStr">
        <is>
          <t>66420108</t>
        </is>
      </c>
      <c r="D1244" t="inlineStr">
        <is>
          <t>10000722</t>
        </is>
      </c>
      <c r="E1244" t="inlineStr"/>
      <c r="F1244" s="11" t="n">
        <v>142</v>
      </c>
      <c r="G1244" t="inlineStr"/>
      <c r="I1244" t="inlineStr">
        <is>
          <t>M3</t>
        </is>
      </c>
      <c r="J1244" t="inlineStr"/>
      <c r="K1244" t="inlineStr">
        <is>
          <t>20190426</t>
        </is>
      </c>
      <c r="L1244" t="inlineStr">
        <is>
          <t>20250127</t>
        </is>
      </c>
    </row>
    <row r="1245">
      <c r="A1245" t="inlineStr">
        <is>
          <t>900003609</t>
        </is>
      </c>
      <c r="B1245" t="inlineStr">
        <is>
          <t>D836</t>
        </is>
      </c>
      <c r="C1245" t="inlineStr">
        <is>
          <t>66420831</t>
        </is>
      </c>
      <c r="D1245" t="inlineStr">
        <is>
          <t>10000630</t>
        </is>
      </c>
      <c r="E1245" t="inlineStr"/>
      <c r="F1245" s="11" t="n">
        <v>145</v>
      </c>
      <c r="G1245" t="inlineStr"/>
      <c r="I1245" t="inlineStr">
        <is>
          <t>M3</t>
        </is>
      </c>
      <c r="J1245" t="inlineStr"/>
      <c r="K1245" t="inlineStr">
        <is>
          <t>20190426</t>
        </is>
      </c>
      <c r="L1245" t="inlineStr">
        <is>
          <t>20250127</t>
        </is>
      </c>
    </row>
    <row r="1246">
      <c r="A1246" t="inlineStr">
        <is>
          <t>900003609</t>
        </is>
      </c>
      <c r="B1246" t="inlineStr">
        <is>
          <t>D836</t>
        </is>
      </c>
      <c r="C1246" t="inlineStr">
        <is>
          <t>66420831</t>
        </is>
      </c>
      <c r="D1246" t="inlineStr">
        <is>
          <t>10053281</t>
        </is>
      </c>
      <c r="E1246" t="inlineStr"/>
      <c r="F1246" s="11" t="n">
        <v>129.5</v>
      </c>
      <c r="G1246" t="inlineStr"/>
      <c r="I1246" t="inlineStr">
        <is>
          <t>M3</t>
        </is>
      </c>
      <c r="J1246" t="inlineStr"/>
      <c r="K1246" t="inlineStr">
        <is>
          <t>20190426</t>
        </is>
      </c>
      <c r="L1246" t="inlineStr">
        <is>
          <t>20250127</t>
        </is>
      </c>
    </row>
    <row r="1247">
      <c r="A1247" t="inlineStr">
        <is>
          <t>900003609</t>
        </is>
      </c>
      <c r="B1247" t="inlineStr">
        <is>
          <t>D836</t>
        </is>
      </c>
      <c r="C1247" t="inlineStr">
        <is>
          <t>66433410</t>
        </is>
      </c>
      <c r="D1247" t="inlineStr">
        <is>
          <t>10000722</t>
        </is>
      </c>
      <c r="E1247" t="inlineStr"/>
      <c r="F1247" s="11" t="n">
        <v>129.78</v>
      </c>
      <c r="G1247" t="inlineStr"/>
      <c r="I1247" t="inlineStr">
        <is>
          <t>M3</t>
        </is>
      </c>
      <c r="J1247" t="inlineStr"/>
      <c r="K1247" t="inlineStr">
        <is>
          <t>20190426</t>
        </is>
      </c>
      <c r="L1247" t="inlineStr">
        <is>
          <t>20250127</t>
        </is>
      </c>
    </row>
    <row r="1248">
      <c r="A1248" t="inlineStr">
        <is>
          <t>900003609</t>
        </is>
      </c>
      <c r="B1248" t="inlineStr">
        <is>
          <t>D836</t>
        </is>
      </c>
      <c r="C1248" t="inlineStr">
        <is>
          <t>66433511</t>
        </is>
      </c>
      <c r="D1248" t="inlineStr">
        <is>
          <t>10000360</t>
        </is>
      </c>
      <c r="E1248" t="inlineStr"/>
      <c r="F1248" s="11" t="n">
        <v>127</v>
      </c>
      <c r="G1248" t="inlineStr"/>
      <c r="I1248" t="inlineStr">
        <is>
          <t>M3</t>
        </is>
      </c>
      <c r="J1248" t="inlineStr"/>
      <c r="K1248" t="inlineStr">
        <is>
          <t>20190426</t>
        </is>
      </c>
      <c r="L1248" t="inlineStr">
        <is>
          <t>20250127</t>
        </is>
      </c>
    </row>
    <row r="1249">
      <c r="A1249" t="inlineStr">
        <is>
          <t>900003609</t>
        </is>
      </c>
      <c r="B1249" t="inlineStr">
        <is>
          <t>D836</t>
        </is>
      </c>
      <c r="C1249" t="inlineStr">
        <is>
          <t>66438172</t>
        </is>
      </c>
      <c r="D1249" t="inlineStr">
        <is>
          <t>10053281</t>
        </is>
      </c>
      <c r="E1249" t="inlineStr"/>
      <c r="F1249" s="11" t="n">
        <v>130</v>
      </c>
      <c r="G1249" t="inlineStr"/>
      <c r="I1249" t="inlineStr">
        <is>
          <t>M3</t>
        </is>
      </c>
      <c r="J1249" t="inlineStr"/>
      <c r="K1249" t="inlineStr">
        <is>
          <t>20190426</t>
        </is>
      </c>
      <c r="L1249" t="inlineStr">
        <is>
          <t>20250127</t>
        </is>
      </c>
    </row>
    <row r="1250">
      <c r="A1250" t="inlineStr">
        <is>
          <t>900003609</t>
        </is>
      </c>
      <c r="B1250" t="inlineStr">
        <is>
          <t>D836</t>
        </is>
      </c>
      <c r="C1250" t="inlineStr">
        <is>
          <t>66442116</t>
        </is>
      </c>
      <c r="D1250" t="inlineStr">
        <is>
          <t>10000624</t>
        </is>
      </c>
      <c r="E1250" t="inlineStr"/>
      <c r="F1250" s="11" t="n">
        <v>145</v>
      </c>
      <c r="G1250" t="inlineStr"/>
      <c r="I1250" t="inlineStr">
        <is>
          <t>M3</t>
        </is>
      </c>
      <c r="J1250" t="inlineStr"/>
      <c r="K1250" t="inlineStr">
        <is>
          <t>20190426</t>
        </is>
      </c>
      <c r="L1250" t="inlineStr">
        <is>
          <t>20250127</t>
        </is>
      </c>
    </row>
    <row r="1251">
      <c r="A1251" t="inlineStr">
        <is>
          <t>900003609</t>
        </is>
      </c>
      <c r="B1251" t="inlineStr">
        <is>
          <t>D836</t>
        </is>
      </c>
      <c r="C1251" t="inlineStr">
        <is>
          <t>66442116</t>
        </is>
      </c>
      <c r="D1251" t="inlineStr">
        <is>
          <t>10000722</t>
        </is>
      </c>
      <c r="E1251" t="inlineStr"/>
      <c r="F1251" s="11" t="n">
        <v>150</v>
      </c>
      <c r="G1251" t="inlineStr"/>
      <c r="I1251" t="inlineStr">
        <is>
          <t>M3</t>
        </is>
      </c>
      <c r="J1251" t="inlineStr"/>
      <c r="K1251" t="inlineStr">
        <is>
          <t>20190426</t>
        </is>
      </c>
      <c r="L1251" t="inlineStr">
        <is>
          <t>20250127</t>
        </is>
      </c>
    </row>
    <row r="1252">
      <c r="A1252" t="inlineStr">
        <is>
          <t>900003609</t>
        </is>
      </c>
      <c r="B1252" t="inlineStr">
        <is>
          <t>D836</t>
        </is>
      </c>
      <c r="C1252" t="inlineStr">
        <is>
          <t>66442116</t>
        </is>
      </c>
      <c r="D1252" t="inlineStr">
        <is>
          <t>10053281</t>
        </is>
      </c>
      <c r="E1252" t="inlineStr"/>
      <c r="F1252" s="11" t="n">
        <v>150</v>
      </c>
      <c r="G1252" t="inlineStr"/>
      <c r="I1252" t="inlineStr">
        <is>
          <t>M3</t>
        </is>
      </c>
      <c r="J1252" t="inlineStr"/>
      <c r="K1252" t="inlineStr">
        <is>
          <t>20190426</t>
        </is>
      </c>
      <c r="L1252" t="inlineStr">
        <is>
          <t>20250127</t>
        </is>
      </c>
    </row>
    <row r="1253">
      <c r="A1253" t="inlineStr">
        <is>
          <t>900003609</t>
        </is>
      </c>
      <c r="B1253" t="inlineStr">
        <is>
          <t>D836</t>
        </is>
      </c>
      <c r="C1253" t="inlineStr">
        <is>
          <t>66450072</t>
        </is>
      </c>
      <c r="D1253" t="inlineStr">
        <is>
          <t>10000624</t>
        </is>
      </c>
      <c r="E1253" t="inlineStr"/>
      <c r="F1253" s="11" t="n">
        <v>145</v>
      </c>
      <c r="G1253" t="inlineStr"/>
      <c r="I1253" t="inlineStr">
        <is>
          <t>M3</t>
        </is>
      </c>
      <c r="J1253" t="inlineStr"/>
      <c r="K1253" t="inlineStr">
        <is>
          <t>20190426</t>
        </is>
      </c>
      <c r="L1253" t="inlineStr">
        <is>
          <t>20250127</t>
        </is>
      </c>
    </row>
    <row r="1254">
      <c r="A1254" t="inlineStr">
        <is>
          <t>900003609</t>
        </is>
      </c>
      <c r="B1254" t="inlineStr">
        <is>
          <t>D836</t>
        </is>
      </c>
      <c r="C1254" t="inlineStr">
        <is>
          <t>66450072</t>
        </is>
      </c>
      <c r="D1254" t="inlineStr">
        <is>
          <t>10000722</t>
        </is>
      </c>
      <c r="E1254" t="inlineStr"/>
      <c r="F1254" s="11" t="n">
        <v>150</v>
      </c>
      <c r="G1254" t="inlineStr"/>
      <c r="I1254" t="inlineStr">
        <is>
          <t>M3</t>
        </is>
      </c>
      <c r="J1254" t="inlineStr"/>
      <c r="K1254" t="inlineStr">
        <is>
          <t>20190426</t>
        </is>
      </c>
      <c r="L1254" t="inlineStr">
        <is>
          <t>20250127</t>
        </is>
      </c>
    </row>
    <row r="1255">
      <c r="A1255" t="inlineStr">
        <is>
          <t>900003609</t>
        </is>
      </c>
      <c r="B1255" t="inlineStr">
        <is>
          <t>D836</t>
        </is>
      </c>
      <c r="C1255" t="inlineStr">
        <is>
          <t>66458593</t>
        </is>
      </c>
      <c r="D1255" t="inlineStr">
        <is>
          <t>10000811</t>
        </is>
      </c>
      <c r="E1255" t="inlineStr"/>
      <c r="F1255" s="11" t="n">
        <v>166</v>
      </c>
      <c r="G1255" t="inlineStr"/>
      <c r="I1255" t="inlineStr">
        <is>
          <t>M3</t>
        </is>
      </c>
      <c r="J1255" t="inlineStr"/>
      <c r="K1255" t="inlineStr">
        <is>
          <t>20190426</t>
        </is>
      </c>
      <c r="L1255" t="inlineStr">
        <is>
          <t>20250127</t>
        </is>
      </c>
    </row>
    <row r="1256">
      <c r="A1256" t="inlineStr">
        <is>
          <t>900003609</t>
        </is>
      </c>
      <c r="B1256" t="inlineStr">
        <is>
          <t>D836</t>
        </is>
      </c>
      <c r="C1256" t="inlineStr">
        <is>
          <t>66463792</t>
        </is>
      </c>
      <c r="D1256" t="inlineStr">
        <is>
          <t>10000624</t>
        </is>
      </c>
      <c r="E1256" t="inlineStr"/>
      <c r="F1256" s="11" t="n">
        <v>214</v>
      </c>
      <c r="G1256" t="inlineStr"/>
      <c r="I1256" t="inlineStr">
        <is>
          <t>M3</t>
        </is>
      </c>
      <c r="J1256" t="inlineStr"/>
      <c r="K1256" t="inlineStr">
        <is>
          <t>20190426</t>
        </is>
      </c>
      <c r="L1256" t="inlineStr">
        <is>
          <t>20250127</t>
        </is>
      </c>
    </row>
    <row r="1257">
      <c r="A1257" t="inlineStr">
        <is>
          <t>900003609</t>
        </is>
      </c>
      <c r="B1257" t="inlineStr">
        <is>
          <t>D836</t>
        </is>
      </c>
      <c r="C1257" t="inlineStr">
        <is>
          <t>66463792</t>
        </is>
      </c>
      <c r="D1257" t="inlineStr">
        <is>
          <t>10000630</t>
        </is>
      </c>
      <c r="E1257" t="inlineStr"/>
      <c r="F1257" s="11" t="n">
        <v>214</v>
      </c>
      <c r="G1257" t="inlineStr"/>
      <c r="I1257" t="inlineStr">
        <is>
          <t>M3</t>
        </is>
      </c>
      <c r="J1257" t="inlineStr"/>
      <c r="K1257" t="inlineStr">
        <is>
          <t>20190426</t>
        </is>
      </c>
      <c r="L1257" t="inlineStr">
        <is>
          <t>20250127</t>
        </is>
      </c>
    </row>
    <row r="1258">
      <c r="A1258" t="inlineStr">
        <is>
          <t>900003609</t>
        </is>
      </c>
      <c r="B1258" t="inlineStr">
        <is>
          <t>D836</t>
        </is>
      </c>
      <c r="C1258" t="inlineStr">
        <is>
          <t>66463792</t>
        </is>
      </c>
      <c r="D1258" t="inlineStr">
        <is>
          <t>10000811</t>
        </is>
      </c>
      <c r="E1258" t="inlineStr"/>
      <c r="F1258" s="11" t="n">
        <v>150</v>
      </c>
      <c r="G1258" t="inlineStr"/>
      <c r="I1258" t="inlineStr">
        <is>
          <t>M3</t>
        </is>
      </c>
      <c r="J1258" t="inlineStr"/>
      <c r="K1258" t="inlineStr">
        <is>
          <t>20190426</t>
        </is>
      </c>
      <c r="L1258" t="inlineStr">
        <is>
          <t>20250127</t>
        </is>
      </c>
    </row>
    <row r="1259">
      <c r="A1259" t="inlineStr">
        <is>
          <t>900003609</t>
        </is>
      </c>
      <c r="B1259" t="inlineStr">
        <is>
          <t>D836</t>
        </is>
      </c>
      <c r="C1259" t="inlineStr">
        <is>
          <t>66466079</t>
        </is>
      </c>
      <c r="D1259" t="inlineStr">
        <is>
          <t>10000722</t>
        </is>
      </c>
      <c r="E1259" t="inlineStr"/>
      <c r="F1259" s="11" t="n">
        <v>138.24</v>
      </c>
      <c r="G1259" t="inlineStr"/>
      <c r="I1259" t="inlineStr">
        <is>
          <t>M3</t>
        </is>
      </c>
      <c r="J1259" t="inlineStr"/>
      <c r="K1259" t="inlineStr">
        <is>
          <t>20190426</t>
        </is>
      </c>
      <c r="L1259" t="inlineStr">
        <is>
          <t>20250127</t>
        </is>
      </c>
    </row>
    <row r="1260">
      <c r="A1260" t="inlineStr">
        <is>
          <t>900003609</t>
        </is>
      </c>
      <c r="B1260" t="inlineStr">
        <is>
          <t>D836</t>
        </is>
      </c>
      <c r="C1260" t="inlineStr">
        <is>
          <t>66475158</t>
        </is>
      </c>
      <c r="D1260" t="inlineStr">
        <is>
          <t>10000624</t>
        </is>
      </c>
      <c r="E1260" t="inlineStr"/>
      <c r="F1260" s="11" t="n">
        <v>140</v>
      </c>
      <c r="G1260" t="inlineStr"/>
      <c r="I1260" t="inlineStr">
        <is>
          <t>M3</t>
        </is>
      </c>
      <c r="J1260" t="inlineStr"/>
      <c r="K1260" t="inlineStr">
        <is>
          <t>20190426</t>
        </is>
      </c>
      <c r="L1260" t="inlineStr">
        <is>
          <t>20250127</t>
        </is>
      </c>
    </row>
    <row r="1261">
      <c r="A1261" t="inlineStr">
        <is>
          <t>900003609</t>
        </is>
      </c>
      <c r="B1261" t="inlineStr">
        <is>
          <t>D836</t>
        </is>
      </c>
      <c r="C1261" t="inlineStr">
        <is>
          <t>66475158</t>
        </is>
      </c>
      <c r="D1261" t="inlineStr">
        <is>
          <t>10000811</t>
        </is>
      </c>
      <c r="E1261" t="inlineStr"/>
      <c r="F1261" s="11" t="n">
        <v>133</v>
      </c>
      <c r="G1261" t="inlineStr"/>
      <c r="I1261" t="inlineStr">
        <is>
          <t>M3</t>
        </is>
      </c>
      <c r="J1261" t="inlineStr"/>
      <c r="K1261" t="inlineStr">
        <is>
          <t>20190426</t>
        </is>
      </c>
      <c r="L1261" t="inlineStr">
        <is>
          <t>20250127</t>
        </is>
      </c>
    </row>
    <row r="1262">
      <c r="A1262" t="inlineStr">
        <is>
          <t>900003609</t>
        </is>
      </c>
      <c r="B1262" t="inlineStr">
        <is>
          <t>D836</t>
        </is>
      </c>
      <c r="C1262" t="inlineStr">
        <is>
          <t>66482104</t>
        </is>
      </c>
      <c r="D1262" t="inlineStr">
        <is>
          <t>10000624</t>
        </is>
      </c>
      <c r="E1262" t="inlineStr"/>
      <c r="F1262" s="11" t="n">
        <v>140</v>
      </c>
      <c r="G1262" t="inlineStr"/>
      <c r="I1262" t="inlineStr">
        <is>
          <t>M3</t>
        </is>
      </c>
      <c r="J1262" t="inlineStr"/>
      <c r="K1262" t="inlineStr">
        <is>
          <t>20190426</t>
        </is>
      </c>
      <c r="L1262" t="inlineStr">
        <is>
          <t>20250127</t>
        </is>
      </c>
    </row>
    <row r="1263">
      <c r="A1263" t="inlineStr">
        <is>
          <t>900003609</t>
        </is>
      </c>
      <c r="B1263" t="inlineStr">
        <is>
          <t>D836</t>
        </is>
      </c>
      <c r="C1263" t="inlineStr">
        <is>
          <t>66482104</t>
        </is>
      </c>
      <c r="D1263" t="inlineStr">
        <is>
          <t>10000811</t>
        </is>
      </c>
      <c r="E1263" t="inlineStr"/>
      <c r="F1263" s="11" t="n">
        <v>133</v>
      </c>
      <c r="G1263" t="inlineStr"/>
      <c r="I1263" t="inlineStr">
        <is>
          <t>M3</t>
        </is>
      </c>
      <c r="J1263" t="inlineStr"/>
      <c r="K1263" t="inlineStr">
        <is>
          <t>20190426</t>
        </is>
      </c>
      <c r="L1263" t="inlineStr">
        <is>
          <t>20250127</t>
        </is>
      </c>
    </row>
    <row r="1264">
      <c r="A1264" t="inlineStr">
        <is>
          <t>900003609</t>
        </is>
      </c>
      <c r="B1264" t="inlineStr">
        <is>
          <t>D836</t>
        </is>
      </c>
      <c r="C1264" t="inlineStr">
        <is>
          <t>66482288</t>
        </is>
      </c>
      <c r="D1264" t="inlineStr">
        <is>
          <t>10000624</t>
        </is>
      </c>
      <c r="E1264" t="inlineStr"/>
      <c r="F1264" s="11" t="n">
        <v>140</v>
      </c>
      <c r="G1264" t="inlineStr"/>
      <c r="I1264" t="inlineStr">
        <is>
          <t>M3</t>
        </is>
      </c>
      <c r="J1264" t="inlineStr"/>
      <c r="K1264" t="inlineStr">
        <is>
          <t>20190426</t>
        </is>
      </c>
      <c r="L1264" t="inlineStr">
        <is>
          <t>20250127</t>
        </is>
      </c>
    </row>
    <row r="1265">
      <c r="A1265" t="inlineStr">
        <is>
          <t>900003609</t>
        </is>
      </c>
      <c r="B1265" t="inlineStr">
        <is>
          <t>D836</t>
        </is>
      </c>
      <c r="C1265" t="inlineStr">
        <is>
          <t>66482288</t>
        </is>
      </c>
      <c r="D1265" t="inlineStr">
        <is>
          <t>10000811</t>
        </is>
      </c>
      <c r="E1265" t="inlineStr"/>
      <c r="F1265" s="11" t="n">
        <v>133</v>
      </c>
      <c r="G1265" t="inlineStr"/>
      <c r="I1265" t="inlineStr">
        <is>
          <t>M3</t>
        </is>
      </c>
      <c r="J1265" t="inlineStr"/>
      <c r="K1265" t="inlineStr">
        <is>
          <t>20190426</t>
        </is>
      </c>
      <c r="L1265" t="inlineStr">
        <is>
          <t>20250127</t>
        </is>
      </c>
    </row>
    <row r="1266">
      <c r="A1266" t="inlineStr">
        <is>
          <t>900003609</t>
        </is>
      </c>
      <c r="B1266" t="inlineStr">
        <is>
          <t>D836</t>
        </is>
      </c>
      <c r="C1266" t="inlineStr">
        <is>
          <t>66482289</t>
        </is>
      </c>
      <c r="D1266" t="inlineStr">
        <is>
          <t>10000624</t>
        </is>
      </c>
      <c r="E1266" t="inlineStr"/>
      <c r="F1266" s="11" t="n">
        <v>140</v>
      </c>
      <c r="G1266" t="inlineStr"/>
      <c r="I1266" t="inlineStr">
        <is>
          <t>M3</t>
        </is>
      </c>
      <c r="J1266" t="inlineStr"/>
      <c r="K1266" t="inlineStr">
        <is>
          <t>20190426</t>
        </is>
      </c>
      <c r="L1266" t="inlineStr">
        <is>
          <t>20250127</t>
        </is>
      </c>
    </row>
    <row r="1267">
      <c r="A1267" t="inlineStr">
        <is>
          <t>900003609</t>
        </is>
      </c>
      <c r="B1267" t="inlineStr">
        <is>
          <t>D836</t>
        </is>
      </c>
      <c r="C1267" t="inlineStr">
        <is>
          <t>66482289</t>
        </is>
      </c>
      <c r="D1267" t="inlineStr">
        <is>
          <t>10000811</t>
        </is>
      </c>
      <c r="E1267" t="inlineStr"/>
      <c r="F1267" s="11" t="n">
        <v>133</v>
      </c>
      <c r="G1267" t="inlineStr"/>
      <c r="I1267" t="inlineStr">
        <is>
          <t>M3</t>
        </is>
      </c>
      <c r="J1267" t="inlineStr"/>
      <c r="K1267" t="inlineStr">
        <is>
          <t>20190426</t>
        </is>
      </c>
      <c r="L1267" t="inlineStr">
        <is>
          <t>20250127</t>
        </is>
      </c>
    </row>
    <row r="1268">
      <c r="A1268" t="inlineStr">
        <is>
          <t>900003609</t>
        </is>
      </c>
      <c r="B1268" t="inlineStr">
        <is>
          <t>D836</t>
        </is>
      </c>
      <c r="C1268" t="inlineStr">
        <is>
          <t>66516656</t>
        </is>
      </c>
      <c r="D1268" t="inlineStr">
        <is>
          <t>10000630</t>
        </is>
      </c>
      <c r="E1268" t="inlineStr"/>
      <c r="F1268" s="11" t="n">
        <v>145</v>
      </c>
      <c r="G1268" t="inlineStr"/>
      <c r="I1268" t="inlineStr">
        <is>
          <t>M3</t>
        </is>
      </c>
      <c r="J1268" t="inlineStr"/>
      <c r="K1268" t="inlineStr">
        <is>
          <t>20190426</t>
        </is>
      </c>
      <c r="L1268" t="inlineStr">
        <is>
          <t>20250127</t>
        </is>
      </c>
    </row>
    <row r="1269">
      <c r="A1269" t="inlineStr">
        <is>
          <t>900003609</t>
        </is>
      </c>
      <c r="B1269" t="inlineStr">
        <is>
          <t>D836</t>
        </is>
      </c>
      <c r="C1269" t="inlineStr">
        <is>
          <t>66518013</t>
        </is>
      </c>
      <c r="D1269" t="inlineStr">
        <is>
          <t>10000630</t>
        </is>
      </c>
      <c r="E1269" t="inlineStr"/>
      <c r="F1269" s="11" t="n">
        <v>145</v>
      </c>
      <c r="G1269" t="inlineStr"/>
      <c r="I1269" t="inlineStr">
        <is>
          <t>M3</t>
        </is>
      </c>
      <c r="J1269" t="inlineStr"/>
      <c r="K1269" t="inlineStr">
        <is>
          <t>20190426</t>
        </is>
      </c>
      <c r="L1269" t="inlineStr">
        <is>
          <t>20250127</t>
        </is>
      </c>
    </row>
    <row r="1270">
      <c r="A1270" t="inlineStr">
        <is>
          <t>900003609</t>
        </is>
      </c>
      <c r="B1270" t="inlineStr">
        <is>
          <t>D836</t>
        </is>
      </c>
      <c r="C1270" t="inlineStr">
        <is>
          <t>66518013</t>
        </is>
      </c>
      <c r="D1270" t="inlineStr">
        <is>
          <t>10053281</t>
        </is>
      </c>
      <c r="E1270" t="inlineStr"/>
      <c r="F1270" s="11" t="n">
        <v>142</v>
      </c>
      <c r="G1270" t="inlineStr"/>
      <c r="I1270" t="inlineStr">
        <is>
          <t>M3</t>
        </is>
      </c>
      <c r="J1270" t="inlineStr"/>
      <c r="K1270" t="inlineStr">
        <is>
          <t>20190426</t>
        </is>
      </c>
      <c r="L1270" t="inlineStr">
        <is>
          <t>20250127</t>
        </is>
      </c>
    </row>
    <row r="1271">
      <c r="A1271" t="inlineStr">
        <is>
          <t>900003609</t>
        </is>
      </c>
      <c r="B1271" t="inlineStr">
        <is>
          <t>D836</t>
        </is>
      </c>
      <c r="C1271" t="inlineStr">
        <is>
          <t>66526341</t>
        </is>
      </c>
      <c r="D1271" t="inlineStr">
        <is>
          <t>10000624</t>
        </is>
      </c>
      <c r="E1271" t="inlineStr"/>
      <c r="F1271" s="11" t="n">
        <v>140</v>
      </c>
      <c r="G1271" t="inlineStr"/>
      <c r="I1271" t="inlineStr">
        <is>
          <t>M3</t>
        </is>
      </c>
      <c r="J1271" t="inlineStr"/>
      <c r="K1271" t="inlineStr">
        <is>
          <t>20190426</t>
        </is>
      </c>
      <c r="L1271" t="inlineStr">
        <is>
          <t>20250127</t>
        </is>
      </c>
    </row>
    <row r="1272">
      <c r="A1272" t="inlineStr">
        <is>
          <t>900003609</t>
        </is>
      </c>
      <c r="B1272" t="inlineStr">
        <is>
          <t>D836</t>
        </is>
      </c>
      <c r="C1272" t="inlineStr">
        <is>
          <t>66526343</t>
        </is>
      </c>
      <c r="D1272" t="inlineStr">
        <is>
          <t>10000624</t>
        </is>
      </c>
      <c r="E1272" t="inlineStr"/>
      <c r="F1272" s="11" t="n">
        <v>140</v>
      </c>
      <c r="G1272" t="inlineStr"/>
      <c r="I1272" t="inlineStr">
        <is>
          <t>M3</t>
        </is>
      </c>
      <c r="J1272" t="inlineStr"/>
      <c r="K1272" t="inlineStr">
        <is>
          <t>20190426</t>
        </is>
      </c>
      <c r="L1272" t="inlineStr">
        <is>
          <t>20250127</t>
        </is>
      </c>
    </row>
    <row r="1273">
      <c r="A1273" t="inlineStr">
        <is>
          <t>900003609</t>
        </is>
      </c>
      <c r="B1273" t="inlineStr">
        <is>
          <t>D836</t>
        </is>
      </c>
      <c r="C1273" t="inlineStr">
        <is>
          <t>66538213</t>
        </is>
      </c>
      <c r="D1273" t="inlineStr">
        <is>
          <t>10000624</t>
        </is>
      </c>
      <c r="E1273" t="inlineStr"/>
      <c r="F1273" s="11" t="n">
        <v>140</v>
      </c>
      <c r="G1273" t="inlineStr"/>
      <c r="I1273" t="inlineStr">
        <is>
          <t>M3</t>
        </is>
      </c>
      <c r="J1273" t="inlineStr"/>
      <c r="K1273" t="inlineStr">
        <is>
          <t>20190426</t>
        </is>
      </c>
      <c r="L1273" t="inlineStr">
        <is>
          <t>20250127</t>
        </is>
      </c>
    </row>
    <row r="1274">
      <c r="A1274" t="inlineStr">
        <is>
          <t>900003609</t>
        </is>
      </c>
      <c r="B1274" t="inlineStr">
        <is>
          <t>D836</t>
        </is>
      </c>
      <c r="C1274" t="inlineStr">
        <is>
          <t>66550843</t>
        </is>
      </c>
      <c r="D1274" t="inlineStr">
        <is>
          <t>10000624</t>
        </is>
      </c>
      <c r="E1274" t="inlineStr"/>
      <c r="F1274" s="11" t="n">
        <v>145</v>
      </c>
      <c r="G1274" t="inlineStr"/>
      <c r="I1274" t="inlineStr">
        <is>
          <t>M3</t>
        </is>
      </c>
      <c r="J1274" t="inlineStr"/>
      <c r="K1274" t="inlineStr">
        <is>
          <t>20190426</t>
        </is>
      </c>
      <c r="L1274" t="inlineStr">
        <is>
          <t>20250127</t>
        </is>
      </c>
    </row>
    <row r="1275">
      <c r="A1275" t="inlineStr">
        <is>
          <t>900003609</t>
        </is>
      </c>
      <c r="B1275" t="inlineStr">
        <is>
          <t>D836</t>
        </is>
      </c>
      <c r="C1275" t="inlineStr">
        <is>
          <t>66550843</t>
        </is>
      </c>
      <c r="D1275" t="inlineStr">
        <is>
          <t>10000722</t>
        </is>
      </c>
      <c r="E1275" t="inlineStr"/>
      <c r="F1275" s="11" t="n">
        <v>150</v>
      </c>
      <c r="G1275" t="inlineStr"/>
      <c r="I1275" t="inlineStr">
        <is>
          <t>M3</t>
        </is>
      </c>
      <c r="J1275" t="inlineStr"/>
      <c r="K1275" t="inlineStr">
        <is>
          <t>20190426</t>
        </is>
      </c>
      <c r="L1275" t="inlineStr">
        <is>
          <t>20250127</t>
        </is>
      </c>
    </row>
    <row r="1276">
      <c r="A1276" t="inlineStr">
        <is>
          <t>900003609</t>
        </is>
      </c>
      <c r="B1276" t="inlineStr">
        <is>
          <t>D836</t>
        </is>
      </c>
      <c r="C1276" t="inlineStr">
        <is>
          <t>66555135</t>
        </is>
      </c>
      <c r="D1276" t="inlineStr">
        <is>
          <t>10000624</t>
        </is>
      </c>
      <c r="E1276" t="inlineStr"/>
      <c r="F1276" s="11" t="n">
        <v>145</v>
      </c>
      <c r="G1276" t="inlineStr"/>
      <c r="I1276" t="inlineStr">
        <is>
          <t>M3</t>
        </is>
      </c>
      <c r="J1276" t="inlineStr"/>
      <c r="K1276" t="inlineStr">
        <is>
          <t>20190426</t>
        </is>
      </c>
      <c r="L1276" t="inlineStr">
        <is>
          <t>20250127</t>
        </is>
      </c>
    </row>
    <row r="1277">
      <c r="A1277" t="inlineStr">
        <is>
          <t>900003609</t>
        </is>
      </c>
      <c r="B1277" t="inlineStr">
        <is>
          <t>D836</t>
        </is>
      </c>
      <c r="C1277" t="inlineStr">
        <is>
          <t>66555135</t>
        </is>
      </c>
      <c r="D1277" t="inlineStr">
        <is>
          <t>10000722</t>
        </is>
      </c>
      <c r="E1277" t="inlineStr"/>
      <c r="F1277" s="11" t="n">
        <v>150</v>
      </c>
      <c r="G1277" t="inlineStr"/>
      <c r="I1277" t="inlineStr">
        <is>
          <t>M3</t>
        </is>
      </c>
      <c r="J1277" t="inlineStr"/>
      <c r="K1277" t="inlineStr">
        <is>
          <t>20190426</t>
        </is>
      </c>
      <c r="L1277" t="inlineStr">
        <is>
          <t>20250127</t>
        </is>
      </c>
    </row>
    <row r="1278">
      <c r="A1278" t="inlineStr">
        <is>
          <t>900003609</t>
        </is>
      </c>
      <c r="B1278" t="inlineStr">
        <is>
          <t>D836</t>
        </is>
      </c>
      <c r="C1278" t="inlineStr">
        <is>
          <t>66574596</t>
        </is>
      </c>
      <c r="D1278" t="inlineStr">
        <is>
          <t>10000630</t>
        </is>
      </c>
      <c r="E1278" t="inlineStr"/>
      <c r="F1278" s="11" t="n">
        <v>155</v>
      </c>
      <c r="G1278" t="inlineStr"/>
      <c r="I1278" t="inlineStr">
        <is>
          <t>M3</t>
        </is>
      </c>
      <c r="J1278" t="inlineStr"/>
      <c r="K1278" t="inlineStr">
        <is>
          <t>20190426</t>
        </is>
      </c>
      <c r="L1278" t="inlineStr">
        <is>
          <t>20250127</t>
        </is>
      </c>
    </row>
    <row r="1279">
      <c r="A1279" t="inlineStr">
        <is>
          <t>900003609</t>
        </is>
      </c>
      <c r="B1279" t="inlineStr">
        <is>
          <t>D836</t>
        </is>
      </c>
      <c r="C1279" t="inlineStr">
        <is>
          <t>66582580</t>
        </is>
      </c>
      <c r="D1279" t="inlineStr">
        <is>
          <t>10000630</t>
        </is>
      </c>
      <c r="E1279" t="inlineStr"/>
      <c r="F1279" s="11" t="n">
        <v>155</v>
      </c>
      <c r="G1279" t="inlineStr"/>
      <c r="I1279" t="inlineStr">
        <is>
          <t>M3</t>
        </is>
      </c>
      <c r="J1279" t="inlineStr"/>
      <c r="K1279" t="inlineStr">
        <is>
          <t>20190426</t>
        </is>
      </c>
      <c r="L1279" t="inlineStr">
        <is>
          <t>20250127</t>
        </is>
      </c>
    </row>
    <row r="1280">
      <c r="A1280" t="inlineStr">
        <is>
          <t>900003609</t>
        </is>
      </c>
      <c r="B1280" t="inlineStr">
        <is>
          <t>D836</t>
        </is>
      </c>
      <c r="C1280" t="inlineStr">
        <is>
          <t>66595909</t>
        </is>
      </c>
      <c r="D1280" t="inlineStr">
        <is>
          <t>10000133</t>
        </is>
      </c>
      <c r="E1280" t="inlineStr"/>
      <c r="F1280" s="11" t="n">
        <v>146</v>
      </c>
      <c r="G1280" t="inlineStr"/>
      <c r="I1280" t="inlineStr">
        <is>
          <t>M3</t>
        </is>
      </c>
      <c r="J1280" t="inlineStr"/>
      <c r="K1280" t="inlineStr">
        <is>
          <t>20190426</t>
        </is>
      </c>
      <c r="L1280" t="inlineStr">
        <is>
          <t>20250127</t>
        </is>
      </c>
    </row>
    <row r="1281">
      <c r="A1281" t="inlineStr">
        <is>
          <t>900003609</t>
        </is>
      </c>
      <c r="B1281" t="inlineStr">
        <is>
          <t>D836</t>
        </is>
      </c>
      <c r="C1281" t="inlineStr">
        <is>
          <t>66595909</t>
        </is>
      </c>
      <c r="D1281" t="inlineStr">
        <is>
          <t>10207890</t>
        </is>
      </c>
      <c r="E1281" t="inlineStr"/>
      <c r="F1281" s="11" t="n">
        <v>145</v>
      </c>
      <c r="G1281" t="inlineStr"/>
      <c r="I1281" t="inlineStr">
        <is>
          <t>M3</t>
        </is>
      </c>
      <c r="J1281" t="inlineStr"/>
      <c r="K1281" t="inlineStr">
        <is>
          <t>20190426</t>
        </is>
      </c>
      <c r="L1281" t="inlineStr">
        <is>
          <t>20250127</t>
        </is>
      </c>
    </row>
    <row r="1282">
      <c r="A1282" t="inlineStr">
        <is>
          <t>900003609</t>
        </is>
      </c>
      <c r="B1282" t="inlineStr">
        <is>
          <t>D836</t>
        </is>
      </c>
      <c r="C1282" t="inlineStr">
        <is>
          <t>66624554</t>
        </is>
      </c>
      <c r="D1282" t="inlineStr">
        <is>
          <t>10000630</t>
        </is>
      </c>
      <c r="E1282" t="inlineStr"/>
      <c r="F1282" s="11" t="n">
        <v>155</v>
      </c>
      <c r="G1282" t="inlineStr"/>
      <c r="I1282" t="inlineStr">
        <is>
          <t>M3</t>
        </is>
      </c>
      <c r="J1282" t="inlineStr"/>
      <c r="K1282" t="inlineStr">
        <is>
          <t>20190426</t>
        </is>
      </c>
      <c r="L1282" t="inlineStr">
        <is>
          <t>20250127</t>
        </is>
      </c>
    </row>
    <row r="1283">
      <c r="A1283" t="inlineStr">
        <is>
          <t>900003609</t>
        </is>
      </c>
      <c r="B1283" t="inlineStr">
        <is>
          <t>D836</t>
        </is>
      </c>
      <c r="C1283" t="inlineStr">
        <is>
          <t>66624554</t>
        </is>
      </c>
      <c r="D1283" t="inlineStr">
        <is>
          <t>10053281</t>
        </is>
      </c>
      <c r="E1283" t="inlineStr"/>
      <c r="F1283" s="11" t="n">
        <v>142</v>
      </c>
      <c r="G1283" t="inlineStr"/>
      <c r="I1283" t="inlineStr">
        <is>
          <t>M3</t>
        </is>
      </c>
      <c r="J1283" t="inlineStr"/>
      <c r="K1283" t="inlineStr">
        <is>
          <t>20190426</t>
        </is>
      </c>
      <c r="L1283" t="inlineStr">
        <is>
          <t>20250127</t>
        </is>
      </c>
    </row>
    <row r="1284">
      <c r="A1284" t="inlineStr">
        <is>
          <t>900003609</t>
        </is>
      </c>
      <c r="B1284" t="inlineStr">
        <is>
          <t>D836</t>
        </is>
      </c>
      <c r="C1284" t="inlineStr">
        <is>
          <t>66701118</t>
        </is>
      </c>
      <c r="D1284" t="inlineStr">
        <is>
          <t>10000624</t>
        </is>
      </c>
      <c r="E1284" t="inlineStr"/>
      <c r="F1284" s="11" t="n">
        <v>140</v>
      </c>
      <c r="G1284" t="inlineStr"/>
      <c r="I1284" t="inlineStr">
        <is>
          <t>M3</t>
        </is>
      </c>
      <c r="J1284" t="inlineStr"/>
      <c r="K1284" t="inlineStr">
        <is>
          <t>20190426</t>
        </is>
      </c>
      <c r="L1284" t="inlineStr">
        <is>
          <t>20250127</t>
        </is>
      </c>
    </row>
    <row r="1285">
      <c r="A1285" t="inlineStr">
        <is>
          <t>900003609</t>
        </is>
      </c>
      <c r="B1285" t="inlineStr">
        <is>
          <t>D836</t>
        </is>
      </c>
      <c r="C1285" t="inlineStr">
        <is>
          <t>66779276</t>
        </is>
      </c>
      <c r="D1285" t="inlineStr">
        <is>
          <t>10000624</t>
        </is>
      </c>
      <c r="E1285" t="inlineStr"/>
      <c r="F1285" s="11" t="n">
        <v>140</v>
      </c>
      <c r="G1285" t="inlineStr"/>
      <c r="I1285" t="inlineStr">
        <is>
          <t>M3</t>
        </is>
      </c>
      <c r="J1285" t="inlineStr"/>
      <c r="K1285" t="inlineStr">
        <is>
          <t>20190426</t>
        </is>
      </c>
      <c r="L1285" t="inlineStr">
        <is>
          <t>20250127</t>
        </is>
      </c>
    </row>
    <row r="1286">
      <c r="A1286" t="inlineStr">
        <is>
          <t>900003609</t>
        </is>
      </c>
      <c r="B1286" t="inlineStr">
        <is>
          <t>D836</t>
        </is>
      </c>
      <c r="C1286" t="inlineStr">
        <is>
          <t>66779276</t>
        </is>
      </c>
      <c r="D1286" t="inlineStr">
        <is>
          <t>10000625</t>
        </is>
      </c>
      <c r="E1286" t="inlineStr"/>
      <c r="F1286" s="11" t="n">
        <v>132.5</v>
      </c>
      <c r="G1286" t="inlineStr"/>
      <c r="I1286" t="inlineStr">
        <is>
          <t>M3</t>
        </is>
      </c>
      <c r="J1286" t="inlineStr"/>
      <c r="K1286" t="inlineStr">
        <is>
          <t>20190426</t>
        </is>
      </c>
      <c r="L1286" t="inlineStr">
        <is>
          <t>20250127</t>
        </is>
      </c>
    </row>
    <row r="1287">
      <c r="A1287" t="inlineStr">
        <is>
          <t>900003609</t>
        </is>
      </c>
      <c r="B1287" t="inlineStr">
        <is>
          <t>D836</t>
        </is>
      </c>
      <c r="C1287" t="inlineStr">
        <is>
          <t>66779276</t>
        </is>
      </c>
      <c r="D1287" t="inlineStr">
        <is>
          <t>10000811</t>
        </is>
      </c>
      <c r="E1287" t="inlineStr"/>
      <c r="F1287" s="11" t="n">
        <v>144.5</v>
      </c>
      <c r="G1287" t="inlineStr"/>
      <c r="I1287" t="inlineStr">
        <is>
          <t>M3</t>
        </is>
      </c>
      <c r="J1287" t="inlineStr"/>
      <c r="K1287" t="inlineStr">
        <is>
          <t>20190426</t>
        </is>
      </c>
      <c r="L1287" t="inlineStr">
        <is>
          <t>20250127</t>
        </is>
      </c>
    </row>
    <row r="1288">
      <c r="A1288" t="inlineStr">
        <is>
          <t>900003609</t>
        </is>
      </c>
      <c r="B1288" t="inlineStr">
        <is>
          <t>D836</t>
        </is>
      </c>
      <c r="C1288" t="inlineStr">
        <is>
          <t>66798315</t>
        </is>
      </c>
      <c r="D1288" t="inlineStr">
        <is>
          <t>10000630</t>
        </is>
      </c>
      <c r="E1288" t="inlineStr"/>
      <c r="F1288" s="11" t="n">
        <v>150</v>
      </c>
      <c r="G1288" t="inlineStr"/>
      <c r="I1288" t="inlineStr">
        <is>
          <t>M3</t>
        </is>
      </c>
      <c r="J1288" t="inlineStr"/>
      <c r="K1288" t="inlineStr">
        <is>
          <t>20190426</t>
        </is>
      </c>
      <c r="L1288" t="inlineStr">
        <is>
          <t>20250127</t>
        </is>
      </c>
    </row>
    <row r="1289">
      <c r="A1289" t="inlineStr">
        <is>
          <t>900003609</t>
        </is>
      </c>
      <c r="B1289" t="inlineStr">
        <is>
          <t>D836</t>
        </is>
      </c>
      <c r="C1289" t="inlineStr">
        <is>
          <t>66825797</t>
        </is>
      </c>
      <c r="D1289" t="inlineStr">
        <is>
          <t>10000624</t>
        </is>
      </c>
      <c r="E1289" t="inlineStr"/>
      <c r="F1289" s="11" t="n">
        <v>140</v>
      </c>
      <c r="G1289" t="inlineStr"/>
      <c r="I1289" t="inlineStr">
        <is>
          <t>M3</t>
        </is>
      </c>
      <c r="J1289" t="inlineStr"/>
      <c r="K1289" t="inlineStr">
        <is>
          <t>20190426</t>
        </is>
      </c>
      <c r="L1289" t="inlineStr">
        <is>
          <t>20250127</t>
        </is>
      </c>
    </row>
    <row r="1290">
      <c r="A1290" t="inlineStr">
        <is>
          <t>900003609</t>
        </is>
      </c>
      <c r="B1290" t="inlineStr">
        <is>
          <t>D836</t>
        </is>
      </c>
      <c r="C1290" t="inlineStr">
        <is>
          <t>66825797</t>
        </is>
      </c>
      <c r="D1290" t="inlineStr">
        <is>
          <t>10000811</t>
        </is>
      </c>
      <c r="E1290" t="inlineStr"/>
      <c r="F1290" s="11" t="n">
        <v>145</v>
      </c>
      <c r="G1290" t="inlineStr"/>
      <c r="I1290" t="inlineStr">
        <is>
          <t>M3</t>
        </is>
      </c>
      <c r="J1290" t="inlineStr"/>
      <c r="K1290" t="inlineStr">
        <is>
          <t>20190426</t>
        </is>
      </c>
      <c r="L1290" t="inlineStr">
        <is>
          <t>20250127</t>
        </is>
      </c>
    </row>
    <row r="1291">
      <c r="A1291" t="inlineStr">
        <is>
          <t>900003609</t>
        </is>
      </c>
      <c r="B1291" t="inlineStr">
        <is>
          <t>D836</t>
        </is>
      </c>
      <c r="C1291" t="inlineStr">
        <is>
          <t>66834820</t>
        </is>
      </c>
      <c r="D1291" t="inlineStr">
        <is>
          <t>10000624</t>
        </is>
      </c>
      <c r="E1291" t="inlineStr"/>
      <c r="F1291" s="11" t="n">
        <v>144</v>
      </c>
      <c r="G1291" t="inlineStr"/>
      <c r="I1291" t="inlineStr">
        <is>
          <t>M3</t>
        </is>
      </c>
      <c r="J1291" t="inlineStr"/>
      <c r="K1291" t="inlineStr">
        <is>
          <t>20190426</t>
        </is>
      </c>
      <c r="L1291" t="inlineStr">
        <is>
          <t>20250127</t>
        </is>
      </c>
    </row>
    <row r="1292">
      <c r="A1292" t="inlineStr">
        <is>
          <t>900003609</t>
        </is>
      </c>
      <c r="B1292" t="inlineStr">
        <is>
          <t>D836</t>
        </is>
      </c>
      <c r="C1292" t="inlineStr">
        <is>
          <t>66855922</t>
        </is>
      </c>
      <c r="D1292" t="inlineStr">
        <is>
          <t>10000624</t>
        </is>
      </c>
      <c r="E1292" t="inlineStr"/>
      <c r="F1292" s="11" t="n">
        <v>145</v>
      </c>
      <c r="G1292" t="inlineStr"/>
      <c r="I1292" t="inlineStr">
        <is>
          <t>M3</t>
        </is>
      </c>
      <c r="J1292" t="inlineStr"/>
      <c r="K1292" t="inlineStr">
        <is>
          <t>20190426</t>
        </is>
      </c>
      <c r="L1292" t="inlineStr">
        <is>
          <t>20250127</t>
        </is>
      </c>
    </row>
    <row r="1293">
      <c r="A1293" t="inlineStr">
        <is>
          <t>900003609</t>
        </is>
      </c>
      <c r="B1293" t="inlineStr">
        <is>
          <t>D836</t>
        </is>
      </c>
      <c r="C1293" t="inlineStr">
        <is>
          <t>66857228</t>
        </is>
      </c>
      <c r="D1293" t="inlineStr">
        <is>
          <t>10198730</t>
        </is>
      </c>
      <c r="E1293" t="inlineStr"/>
      <c r="F1293" s="11" t="n">
        <v>97.41</v>
      </c>
      <c r="G1293" t="inlineStr"/>
      <c r="I1293" t="inlineStr">
        <is>
          <t>M3</t>
        </is>
      </c>
      <c r="J1293" t="inlineStr"/>
      <c r="K1293" t="inlineStr">
        <is>
          <t>20190426</t>
        </is>
      </c>
      <c r="L1293" t="inlineStr">
        <is>
          <t>20250127</t>
        </is>
      </c>
    </row>
    <row r="1294">
      <c r="A1294" t="inlineStr">
        <is>
          <t>900003609</t>
        </is>
      </c>
      <c r="B1294" t="inlineStr">
        <is>
          <t>D836</t>
        </is>
      </c>
      <c r="C1294" t="inlineStr">
        <is>
          <t>66861303</t>
        </is>
      </c>
      <c r="D1294" t="inlineStr">
        <is>
          <t>10000624</t>
        </is>
      </c>
      <c r="E1294" t="inlineStr"/>
      <c r="F1294" s="11" t="n">
        <v>214</v>
      </c>
      <c r="G1294" t="inlineStr"/>
      <c r="I1294" t="inlineStr">
        <is>
          <t>M3</t>
        </is>
      </c>
      <c r="J1294" t="inlineStr"/>
      <c r="K1294" t="inlineStr">
        <is>
          <t>20190426</t>
        </is>
      </c>
      <c r="L1294" t="inlineStr">
        <is>
          <t>20250127</t>
        </is>
      </c>
    </row>
    <row r="1295">
      <c r="A1295" t="inlineStr">
        <is>
          <t>900003609</t>
        </is>
      </c>
      <c r="B1295" t="inlineStr">
        <is>
          <t>D836</t>
        </is>
      </c>
      <c r="C1295" t="inlineStr">
        <is>
          <t>66861303</t>
        </is>
      </c>
      <c r="D1295" t="inlineStr">
        <is>
          <t>10000630</t>
        </is>
      </c>
      <c r="E1295" t="inlineStr"/>
      <c r="F1295" s="11" t="n">
        <v>214</v>
      </c>
      <c r="G1295" t="inlineStr"/>
      <c r="I1295" t="inlineStr">
        <is>
          <t>M3</t>
        </is>
      </c>
      <c r="J1295" t="inlineStr"/>
      <c r="K1295" t="inlineStr">
        <is>
          <t>20190426</t>
        </is>
      </c>
      <c r="L1295" t="inlineStr">
        <is>
          <t>20250127</t>
        </is>
      </c>
    </row>
    <row r="1296">
      <c r="A1296" t="inlineStr">
        <is>
          <t>900003609</t>
        </is>
      </c>
      <c r="B1296" t="inlineStr">
        <is>
          <t>D836</t>
        </is>
      </c>
      <c r="C1296" t="inlineStr">
        <is>
          <t>66861303</t>
        </is>
      </c>
      <c r="D1296" t="inlineStr">
        <is>
          <t>10000811</t>
        </is>
      </c>
      <c r="E1296" t="inlineStr"/>
      <c r="F1296" s="11" t="n">
        <v>150</v>
      </c>
      <c r="G1296" t="inlineStr"/>
      <c r="I1296" t="inlineStr">
        <is>
          <t>M3</t>
        </is>
      </c>
      <c r="J1296" t="inlineStr"/>
      <c r="K1296" t="inlineStr">
        <is>
          <t>20190426</t>
        </is>
      </c>
      <c r="L1296" t="inlineStr">
        <is>
          <t>20250127</t>
        </is>
      </c>
    </row>
    <row r="1297">
      <c r="A1297" t="inlineStr">
        <is>
          <t>900003609</t>
        </is>
      </c>
      <c r="B1297" t="inlineStr">
        <is>
          <t>D836</t>
        </is>
      </c>
      <c r="C1297" t="inlineStr">
        <is>
          <t>66874292</t>
        </is>
      </c>
      <c r="D1297" t="inlineStr">
        <is>
          <t>10000624</t>
        </is>
      </c>
      <c r="E1297" t="inlineStr"/>
      <c r="F1297" s="11" t="n">
        <v>144</v>
      </c>
      <c r="G1297" t="inlineStr"/>
      <c r="I1297" t="inlineStr">
        <is>
          <t>M3</t>
        </is>
      </c>
      <c r="J1297" t="inlineStr"/>
      <c r="K1297" t="inlineStr">
        <is>
          <t>20190426</t>
        </is>
      </c>
      <c r="L1297" t="inlineStr">
        <is>
          <t>20250127</t>
        </is>
      </c>
    </row>
    <row r="1298">
      <c r="A1298" t="inlineStr">
        <is>
          <t>900003609</t>
        </is>
      </c>
      <c r="B1298" t="inlineStr">
        <is>
          <t>D836</t>
        </is>
      </c>
      <c r="C1298" t="inlineStr">
        <is>
          <t>66875513</t>
        </is>
      </c>
      <c r="D1298" t="inlineStr">
        <is>
          <t>10000624</t>
        </is>
      </c>
      <c r="E1298" t="inlineStr"/>
      <c r="F1298" s="11" t="n">
        <v>142</v>
      </c>
      <c r="G1298" t="inlineStr"/>
      <c r="I1298" t="inlineStr">
        <is>
          <t>M3</t>
        </is>
      </c>
      <c r="J1298" t="inlineStr"/>
      <c r="K1298" t="inlineStr">
        <is>
          <t>20190426</t>
        </is>
      </c>
      <c r="L1298" t="inlineStr">
        <is>
          <t>20250127</t>
        </is>
      </c>
    </row>
    <row r="1299">
      <c r="A1299" t="inlineStr">
        <is>
          <t>900003609</t>
        </is>
      </c>
      <c r="B1299" t="inlineStr">
        <is>
          <t>D836</t>
        </is>
      </c>
      <c r="C1299" t="inlineStr">
        <is>
          <t>66875513</t>
        </is>
      </c>
      <c r="D1299" t="inlineStr">
        <is>
          <t>10000630</t>
        </is>
      </c>
      <c r="E1299" t="inlineStr"/>
      <c r="F1299" s="11" t="n">
        <v>155</v>
      </c>
      <c r="G1299" t="inlineStr"/>
      <c r="I1299" t="inlineStr">
        <is>
          <t>M3</t>
        </is>
      </c>
      <c r="J1299" t="inlineStr"/>
      <c r="K1299" t="inlineStr">
        <is>
          <t>20190426</t>
        </is>
      </c>
      <c r="L1299" t="inlineStr">
        <is>
          <t>20250127</t>
        </is>
      </c>
    </row>
    <row r="1300">
      <c r="A1300" t="inlineStr">
        <is>
          <t>900003609</t>
        </is>
      </c>
      <c r="B1300" t="inlineStr">
        <is>
          <t>D836</t>
        </is>
      </c>
      <c r="C1300" t="inlineStr">
        <is>
          <t>66875513</t>
        </is>
      </c>
      <c r="D1300" t="inlineStr">
        <is>
          <t>10000811</t>
        </is>
      </c>
      <c r="E1300" t="inlineStr"/>
      <c r="F1300" s="11" t="n">
        <v>146</v>
      </c>
      <c r="G1300" t="inlineStr"/>
      <c r="I1300" t="inlineStr">
        <is>
          <t>M3</t>
        </is>
      </c>
      <c r="J1300" t="inlineStr"/>
      <c r="K1300" t="inlineStr">
        <is>
          <t>20190426</t>
        </is>
      </c>
      <c r="L1300" t="inlineStr">
        <is>
          <t>20250127</t>
        </is>
      </c>
    </row>
    <row r="1301">
      <c r="A1301" t="inlineStr">
        <is>
          <t>900003609</t>
        </is>
      </c>
      <c r="B1301" t="inlineStr">
        <is>
          <t>D836</t>
        </is>
      </c>
      <c r="C1301" t="inlineStr">
        <is>
          <t>66898280</t>
        </is>
      </c>
      <c r="D1301" t="inlineStr">
        <is>
          <t>10000624</t>
        </is>
      </c>
      <c r="E1301" t="inlineStr"/>
      <c r="F1301" s="11" t="n">
        <v>140</v>
      </c>
      <c r="G1301" t="inlineStr"/>
      <c r="I1301" t="inlineStr">
        <is>
          <t>M3</t>
        </is>
      </c>
      <c r="J1301" t="inlineStr"/>
      <c r="K1301" t="inlineStr">
        <is>
          <t>20190426</t>
        </is>
      </c>
      <c r="L1301" t="inlineStr">
        <is>
          <t>20250127</t>
        </is>
      </c>
    </row>
    <row r="1302">
      <c r="A1302" t="inlineStr">
        <is>
          <t>900003609</t>
        </is>
      </c>
      <c r="B1302" t="inlineStr">
        <is>
          <t>D836</t>
        </is>
      </c>
      <c r="C1302" t="inlineStr">
        <is>
          <t>66898280</t>
        </is>
      </c>
      <c r="D1302" t="inlineStr">
        <is>
          <t>10000811</t>
        </is>
      </c>
      <c r="E1302" t="inlineStr"/>
      <c r="F1302" s="11" t="n">
        <v>145</v>
      </c>
      <c r="G1302" t="inlineStr"/>
      <c r="I1302" t="inlineStr">
        <is>
          <t>M3</t>
        </is>
      </c>
      <c r="J1302" t="inlineStr"/>
      <c r="K1302" t="inlineStr">
        <is>
          <t>20190426</t>
        </is>
      </c>
      <c r="L1302" t="inlineStr">
        <is>
          <t>20250127</t>
        </is>
      </c>
    </row>
    <row r="1303">
      <c r="A1303" t="inlineStr">
        <is>
          <t>900003609</t>
        </is>
      </c>
      <c r="B1303" t="inlineStr">
        <is>
          <t>D836</t>
        </is>
      </c>
      <c r="C1303" t="inlineStr">
        <is>
          <t>66898281</t>
        </is>
      </c>
      <c r="D1303" t="inlineStr">
        <is>
          <t>10000624</t>
        </is>
      </c>
      <c r="E1303" t="inlineStr"/>
      <c r="F1303" s="11" t="n">
        <v>140</v>
      </c>
      <c r="G1303" t="inlineStr"/>
      <c r="I1303" t="inlineStr">
        <is>
          <t>M3</t>
        </is>
      </c>
      <c r="J1303" t="inlineStr"/>
      <c r="K1303" t="inlineStr">
        <is>
          <t>20190426</t>
        </is>
      </c>
      <c r="L1303" t="inlineStr">
        <is>
          <t>20250127</t>
        </is>
      </c>
    </row>
    <row r="1304">
      <c r="A1304" t="inlineStr">
        <is>
          <t>900003609</t>
        </is>
      </c>
      <c r="B1304" t="inlineStr">
        <is>
          <t>D836</t>
        </is>
      </c>
      <c r="C1304" t="inlineStr">
        <is>
          <t>66898281</t>
        </is>
      </c>
      <c r="D1304" t="inlineStr">
        <is>
          <t>10000811</t>
        </is>
      </c>
      <c r="E1304" t="inlineStr"/>
      <c r="F1304" s="11" t="n">
        <v>145</v>
      </c>
      <c r="G1304" t="inlineStr"/>
      <c r="I1304" t="inlineStr">
        <is>
          <t>M3</t>
        </is>
      </c>
      <c r="J1304" t="inlineStr"/>
      <c r="K1304" t="inlineStr">
        <is>
          <t>20190426</t>
        </is>
      </c>
      <c r="L1304" t="inlineStr">
        <is>
          <t>20250127</t>
        </is>
      </c>
    </row>
    <row r="1305">
      <c r="A1305" t="inlineStr">
        <is>
          <t>900003609</t>
        </is>
      </c>
      <c r="B1305" t="inlineStr">
        <is>
          <t>D836</t>
        </is>
      </c>
      <c r="C1305" t="inlineStr">
        <is>
          <t>66933313</t>
        </is>
      </c>
      <c r="D1305" t="inlineStr">
        <is>
          <t>10000811</t>
        </is>
      </c>
      <c r="E1305" t="inlineStr"/>
      <c r="F1305" s="11" t="n">
        <v>155</v>
      </c>
      <c r="G1305" t="inlineStr"/>
      <c r="I1305" t="inlineStr">
        <is>
          <t>M3</t>
        </is>
      </c>
      <c r="J1305" t="inlineStr"/>
      <c r="K1305" t="inlineStr">
        <is>
          <t>20190426</t>
        </is>
      </c>
      <c r="L1305" t="inlineStr">
        <is>
          <t>20250127</t>
        </is>
      </c>
    </row>
    <row r="1306">
      <c r="A1306" t="inlineStr">
        <is>
          <t>900003609</t>
        </is>
      </c>
      <c r="B1306" t="inlineStr">
        <is>
          <t>D836</t>
        </is>
      </c>
      <c r="C1306" t="inlineStr">
        <is>
          <t>66970213</t>
        </is>
      </c>
      <c r="D1306" t="inlineStr">
        <is>
          <t>10198730</t>
        </is>
      </c>
      <c r="E1306" t="inlineStr"/>
      <c r="F1306" s="11" t="n">
        <v>103</v>
      </c>
      <c r="G1306" t="inlineStr"/>
      <c r="I1306" t="inlineStr">
        <is>
          <t>M3</t>
        </is>
      </c>
      <c r="J1306" t="inlineStr"/>
      <c r="K1306" t="inlineStr">
        <is>
          <t>20190426</t>
        </is>
      </c>
      <c r="L1306" t="inlineStr">
        <is>
          <t>20250127</t>
        </is>
      </c>
    </row>
    <row r="1307">
      <c r="A1307" t="inlineStr">
        <is>
          <t>900003609</t>
        </is>
      </c>
      <c r="B1307" t="inlineStr">
        <is>
          <t>D836</t>
        </is>
      </c>
      <c r="C1307" t="inlineStr">
        <is>
          <t>66970684</t>
        </is>
      </c>
      <c r="D1307" t="inlineStr">
        <is>
          <t>10198730</t>
        </is>
      </c>
      <c r="E1307" t="inlineStr"/>
      <c r="F1307" s="11" t="n">
        <v>103</v>
      </c>
      <c r="G1307" t="inlineStr"/>
      <c r="I1307" t="inlineStr">
        <is>
          <t>M3</t>
        </is>
      </c>
      <c r="J1307" t="inlineStr"/>
      <c r="K1307" t="inlineStr">
        <is>
          <t>20190426</t>
        </is>
      </c>
      <c r="L1307" t="inlineStr">
        <is>
          <t>20250127</t>
        </is>
      </c>
    </row>
    <row r="1308">
      <c r="A1308" t="inlineStr">
        <is>
          <t>900003609</t>
        </is>
      </c>
      <c r="B1308" t="inlineStr">
        <is>
          <t>D836</t>
        </is>
      </c>
      <c r="C1308" t="inlineStr">
        <is>
          <t>67000712</t>
        </is>
      </c>
      <c r="D1308" t="inlineStr">
        <is>
          <t>10000630</t>
        </is>
      </c>
      <c r="E1308" t="inlineStr"/>
      <c r="F1308" s="11" t="n">
        <v>145</v>
      </c>
      <c r="G1308" t="inlineStr"/>
      <c r="I1308" t="inlineStr">
        <is>
          <t>M3</t>
        </is>
      </c>
      <c r="J1308" t="inlineStr"/>
      <c r="K1308" t="inlineStr">
        <is>
          <t>20190426</t>
        </is>
      </c>
      <c r="L1308" t="inlineStr">
        <is>
          <t>20250127</t>
        </is>
      </c>
    </row>
    <row r="1309">
      <c r="A1309" t="inlineStr">
        <is>
          <t>900003609</t>
        </is>
      </c>
      <c r="B1309" t="inlineStr">
        <is>
          <t>D836</t>
        </is>
      </c>
      <c r="C1309" t="inlineStr">
        <is>
          <t>67007016</t>
        </is>
      </c>
      <c r="D1309" t="inlineStr">
        <is>
          <t>10000624</t>
        </is>
      </c>
      <c r="E1309" t="inlineStr"/>
      <c r="F1309" s="11" t="n">
        <v>170</v>
      </c>
      <c r="G1309" t="inlineStr"/>
      <c r="I1309" t="inlineStr">
        <is>
          <t>M3</t>
        </is>
      </c>
      <c r="J1309" t="inlineStr"/>
      <c r="K1309" t="inlineStr">
        <is>
          <t>20190426</t>
        </is>
      </c>
      <c r="L1309" t="inlineStr">
        <is>
          <t>20250127</t>
        </is>
      </c>
    </row>
    <row r="1310">
      <c r="A1310" t="inlineStr">
        <is>
          <t>900003609</t>
        </is>
      </c>
      <c r="B1310" t="inlineStr">
        <is>
          <t>D836</t>
        </is>
      </c>
      <c r="C1310" t="inlineStr">
        <is>
          <t>67007016</t>
        </is>
      </c>
      <c r="D1310" t="inlineStr">
        <is>
          <t>10221141</t>
        </is>
      </c>
      <c r="E1310" t="inlineStr"/>
      <c r="F1310" s="11" t="n">
        <v>170</v>
      </c>
      <c r="G1310" t="inlineStr"/>
      <c r="I1310" t="inlineStr">
        <is>
          <t>M3</t>
        </is>
      </c>
      <c r="J1310" t="inlineStr"/>
      <c r="K1310" t="inlineStr">
        <is>
          <t>20190426</t>
        </is>
      </c>
      <c r="L1310" t="inlineStr">
        <is>
          <t>20250127</t>
        </is>
      </c>
    </row>
    <row r="1311">
      <c r="A1311" t="inlineStr">
        <is>
          <t>900003609</t>
        </is>
      </c>
      <c r="B1311" t="inlineStr">
        <is>
          <t>D836</t>
        </is>
      </c>
      <c r="C1311" t="inlineStr">
        <is>
          <t>67011332</t>
        </is>
      </c>
      <c r="D1311" t="inlineStr">
        <is>
          <t>10226561</t>
        </is>
      </c>
      <c r="E1311" t="inlineStr"/>
      <c r="F1311" s="11" t="n">
        <v>145</v>
      </c>
      <c r="G1311" t="inlineStr"/>
      <c r="I1311" t="inlineStr">
        <is>
          <t>M3</t>
        </is>
      </c>
      <c r="J1311" t="inlineStr"/>
      <c r="K1311" t="inlineStr">
        <is>
          <t>20190426</t>
        </is>
      </c>
      <c r="L1311" t="inlineStr">
        <is>
          <t>20250127</t>
        </is>
      </c>
    </row>
    <row r="1312">
      <c r="A1312" t="inlineStr">
        <is>
          <t>900003609</t>
        </is>
      </c>
      <c r="B1312" t="inlineStr">
        <is>
          <t>D836</t>
        </is>
      </c>
      <c r="C1312" t="inlineStr">
        <is>
          <t>67016001</t>
        </is>
      </c>
      <c r="D1312" t="inlineStr">
        <is>
          <t>10000630</t>
        </is>
      </c>
      <c r="E1312" t="inlineStr"/>
      <c r="F1312" s="11" t="n">
        <v>110.71</v>
      </c>
      <c r="G1312" t="inlineStr"/>
      <c r="I1312" t="inlineStr">
        <is>
          <t>TN</t>
        </is>
      </c>
      <c r="J1312" t="inlineStr"/>
      <c r="K1312" t="inlineStr">
        <is>
          <t>20190426</t>
        </is>
      </c>
      <c r="L1312" t="inlineStr">
        <is>
          <t>20250127</t>
        </is>
      </c>
    </row>
    <row r="1313">
      <c r="A1313" t="inlineStr">
        <is>
          <t>900003609</t>
        </is>
      </c>
      <c r="B1313" t="inlineStr">
        <is>
          <t>D836</t>
        </is>
      </c>
      <c r="C1313" t="inlineStr">
        <is>
          <t>67089397</t>
        </is>
      </c>
      <c r="D1313" t="inlineStr">
        <is>
          <t>10000811</t>
        </is>
      </c>
      <c r="E1313" t="inlineStr"/>
      <c r="F1313" s="11" t="n">
        <v>162</v>
      </c>
      <c r="G1313" t="inlineStr"/>
      <c r="I1313" t="inlineStr">
        <is>
          <t>M3</t>
        </is>
      </c>
      <c r="J1313" t="inlineStr"/>
      <c r="K1313" t="inlineStr">
        <is>
          <t>20190426</t>
        </is>
      </c>
      <c r="L1313" t="inlineStr">
        <is>
          <t>20250127</t>
        </is>
      </c>
    </row>
    <row r="1314">
      <c r="A1314" t="inlineStr">
        <is>
          <t>900003609</t>
        </is>
      </c>
      <c r="B1314" t="inlineStr">
        <is>
          <t>D836</t>
        </is>
      </c>
      <c r="C1314" t="inlineStr">
        <is>
          <t>67213976</t>
        </is>
      </c>
      <c r="D1314" t="inlineStr">
        <is>
          <t>10000360</t>
        </is>
      </c>
      <c r="E1314" t="inlineStr"/>
      <c r="F1314" s="11" t="n">
        <v>170</v>
      </c>
      <c r="G1314" t="inlineStr"/>
      <c r="I1314" t="inlineStr">
        <is>
          <t>M3</t>
        </is>
      </c>
      <c r="J1314" t="inlineStr"/>
      <c r="K1314" t="inlineStr">
        <is>
          <t>20190426</t>
        </is>
      </c>
      <c r="L1314" t="inlineStr">
        <is>
          <t>20250127</t>
        </is>
      </c>
    </row>
    <row r="1315">
      <c r="A1315" t="inlineStr">
        <is>
          <t>900003609</t>
        </is>
      </c>
      <c r="B1315" t="inlineStr">
        <is>
          <t>D836</t>
        </is>
      </c>
      <c r="C1315" t="inlineStr">
        <is>
          <t>67213976</t>
        </is>
      </c>
      <c r="D1315" t="inlineStr">
        <is>
          <t>10000624</t>
        </is>
      </c>
      <c r="E1315" t="inlineStr"/>
      <c r="F1315" s="11" t="n">
        <v>170</v>
      </c>
      <c r="G1315" t="inlineStr"/>
      <c r="I1315" t="inlineStr">
        <is>
          <t>M3</t>
        </is>
      </c>
      <c r="J1315" t="inlineStr"/>
      <c r="K1315" t="inlineStr">
        <is>
          <t>20190426</t>
        </is>
      </c>
      <c r="L1315" t="inlineStr">
        <is>
          <t>20250127</t>
        </is>
      </c>
    </row>
    <row r="1316">
      <c r="A1316" t="inlineStr">
        <is>
          <t>900003609</t>
        </is>
      </c>
      <c r="B1316" t="inlineStr">
        <is>
          <t>D836</t>
        </is>
      </c>
      <c r="C1316" t="inlineStr">
        <is>
          <t>67213976</t>
        </is>
      </c>
      <c r="D1316" t="inlineStr">
        <is>
          <t>10000630</t>
        </is>
      </c>
      <c r="E1316" t="inlineStr"/>
      <c r="F1316" s="11" t="n">
        <v>170</v>
      </c>
      <c r="G1316" t="inlineStr"/>
      <c r="I1316" t="inlineStr">
        <is>
          <t>M3</t>
        </is>
      </c>
      <c r="J1316" t="inlineStr"/>
      <c r="K1316" t="inlineStr">
        <is>
          <t>20190426</t>
        </is>
      </c>
      <c r="L1316" t="inlineStr">
        <is>
          <t>20250127</t>
        </is>
      </c>
    </row>
    <row r="1317">
      <c r="A1317" t="inlineStr">
        <is>
          <t>900003613</t>
        </is>
      </c>
      <c r="B1317" t="inlineStr">
        <is>
          <t>D836</t>
        </is>
      </c>
      <c r="C1317" t="inlineStr">
        <is>
          <t>65002182</t>
        </is>
      </c>
      <c r="D1317" t="inlineStr">
        <is>
          <t>10000253</t>
        </is>
      </c>
      <c r="E1317" t="inlineStr"/>
      <c r="F1317" s="11" t="n">
        <v>90</v>
      </c>
      <c r="G1317" t="inlineStr"/>
      <c r="I1317" t="inlineStr">
        <is>
          <t>M3</t>
        </is>
      </c>
      <c r="J1317" t="inlineStr"/>
      <c r="K1317" t="inlineStr">
        <is>
          <t>20190426</t>
        </is>
      </c>
      <c r="L1317" t="inlineStr">
        <is>
          <t>20250127</t>
        </is>
      </c>
    </row>
    <row r="1318">
      <c r="A1318" t="inlineStr">
        <is>
          <t>900003613</t>
        </is>
      </c>
      <c r="B1318" t="inlineStr">
        <is>
          <t>D836</t>
        </is>
      </c>
      <c r="C1318" t="inlineStr">
        <is>
          <t>65002182</t>
        </is>
      </c>
      <c r="D1318" t="inlineStr">
        <is>
          <t>10059181</t>
        </is>
      </c>
      <c r="E1318" t="inlineStr"/>
      <c r="F1318" s="11" t="n">
        <v>80</v>
      </c>
      <c r="G1318" t="inlineStr"/>
      <c r="I1318" t="inlineStr">
        <is>
          <t>M3</t>
        </is>
      </c>
      <c r="J1318" t="inlineStr"/>
      <c r="K1318" t="inlineStr">
        <is>
          <t>20190426</t>
        </is>
      </c>
      <c r="L1318" t="inlineStr">
        <is>
          <t>20250127</t>
        </is>
      </c>
    </row>
    <row r="1319">
      <c r="A1319" t="inlineStr">
        <is>
          <t>900003613</t>
        </is>
      </c>
      <c r="B1319" t="inlineStr">
        <is>
          <t>D836</t>
        </is>
      </c>
      <c r="C1319" t="inlineStr">
        <is>
          <t>65003945</t>
        </is>
      </c>
      <c r="D1319" t="inlineStr">
        <is>
          <t>10000253</t>
        </is>
      </c>
      <c r="E1319" t="inlineStr"/>
      <c r="F1319" s="11" t="n">
        <v>95</v>
      </c>
      <c r="G1319" t="inlineStr"/>
      <c r="I1319" t="inlineStr">
        <is>
          <t>M3</t>
        </is>
      </c>
      <c r="J1319" t="inlineStr"/>
      <c r="K1319" t="inlineStr">
        <is>
          <t>20190426</t>
        </is>
      </c>
      <c r="L1319" t="inlineStr">
        <is>
          <t>20250127</t>
        </is>
      </c>
    </row>
    <row r="1320">
      <c r="A1320" t="inlineStr">
        <is>
          <t>900003613</t>
        </is>
      </c>
      <c r="B1320" t="inlineStr">
        <is>
          <t>D836</t>
        </is>
      </c>
      <c r="C1320" t="inlineStr">
        <is>
          <t>65003945</t>
        </is>
      </c>
      <c r="D1320" t="inlineStr">
        <is>
          <t>10059181</t>
        </is>
      </c>
      <c r="E1320" t="inlineStr"/>
      <c r="F1320" s="11" t="n">
        <v>81</v>
      </c>
      <c r="G1320" t="inlineStr"/>
      <c r="I1320" t="inlineStr">
        <is>
          <t>M3</t>
        </is>
      </c>
      <c r="J1320" t="inlineStr"/>
      <c r="K1320" t="inlineStr">
        <is>
          <t>20190426</t>
        </is>
      </c>
      <c r="L1320" t="inlineStr">
        <is>
          <t>20250127</t>
        </is>
      </c>
    </row>
    <row r="1321">
      <c r="A1321" t="inlineStr">
        <is>
          <t>900003613</t>
        </is>
      </c>
      <c r="B1321" t="inlineStr">
        <is>
          <t>D836</t>
        </is>
      </c>
      <c r="C1321" t="inlineStr">
        <is>
          <t>65251399</t>
        </is>
      </c>
      <c r="D1321" t="inlineStr">
        <is>
          <t>10059181</t>
        </is>
      </c>
      <c r="E1321" t="inlineStr"/>
      <c r="F1321" s="11" t="n">
        <v>80.65000000000001</v>
      </c>
      <c r="G1321" t="inlineStr"/>
      <c r="I1321" t="inlineStr">
        <is>
          <t>M3</t>
        </is>
      </c>
      <c r="J1321" t="inlineStr"/>
      <c r="K1321" t="inlineStr">
        <is>
          <t>20190426</t>
        </is>
      </c>
      <c r="L1321" t="inlineStr">
        <is>
          <t>20250127</t>
        </is>
      </c>
    </row>
    <row r="1322">
      <c r="A1322" t="inlineStr">
        <is>
          <t>900003613</t>
        </is>
      </c>
      <c r="B1322" t="inlineStr">
        <is>
          <t>D836</t>
        </is>
      </c>
      <c r="C1322" t="inlineStr">
        <is>
          <t>65445261</t>
        </is>
      </c>
      <c r="D1322" t="inlineStr">
        <is>
          <t>10000253</t>
        </is>
      </c>
      <c r="E1322" t="inlineStr"/>
      <c r="F1322" s="11" t="n">
        <v>78.5</v>
      </c>
      <c r="G1322" t="inlineStr"/>
      <c r="I1322" t="inlineStr">
        <is>
          <t>M3</t>
        </is>
      </c>
      <c r="J1322" t="inlineStr"/>
      <c r="K1322" t="inlineStr">
        <is>
          <t>20190426</t>
        </is>
      </c>
      <c r="L1322" t="inlineStr">
        <is>
          <t>20250127</t>
        </is>
      </c>
    </row>
    <row r="1323">
      <c r="A1323" t="inlineStr">
        <is>
          <t>900003613</t>
        </is>
      </c>
      <c r="B1323" t="inlineStr">
        <is>
          <t>D836</t>
        </is>
      </c>
      <c r="C1323" t="inlineStr">
        <is>
          <t>65445261</t>
        </is>
      </c>
      <c r="D1323" t="inlineStr">
        <is>
          <t>10000627</t>
        </is>
      </c>
      <c r="E1323" t="inlineStr"/>
      <c r="F1323" s="11" t="n">
        <v>84.09</v>
      </c>
      <c r="G1323" t="inlineStr"/>
      <c r="I1323" t="inlineStr">
        <is>
          <t>M3</t>
        </is>
      </c>
      <c r="J1323" t="inlineStr"/>
      <c r="K1323" t="inlineStr">
        <is>
          <t>20190426</t>
        </is>
      </c>
      <c r="L1323" t="inlineStr">
        <is>
          <t>20250127</t>
        </is>
      </c>
    </row>
    <row r="1324">
      <c r="A1324" t="inlineStr">
        <is>
          <t>900003613</t>
        </is>
      </c>
      <c r="B1324" t="inlineStr">
        <is>
          <t>D836</t>
        </is>
      </c>
      <c r="C1324" t="inlineStr">
        <is>
          <t>65445261</t>
        </is>
      </c>
      <c r="D1324" t="inlineStr">
        <is>
          <t>10000651</t>
        </is>
      </c>
      <c r="E1324" t="inlineStr"/>
      <c r="F1324" s="11" t="n">
        <v>105</v>
      </c>
      <c r="G1324" t="inlineStr"/>
      <c r="I1324" t="inlineStr">
        <is>
          <t>M3</t>
        </is>
      </c>
      <c r="J1324" t="inlineStr"/>
      <c r="K1324" t="inlineStr">
        <is>
          <t>20190426</t>
        </is>
      </c>
      <c r="L1324" t="inlineStr">
        <is>
          <t>20250127</t>
        </is>
      </c>
    </row>
    <row r="1325">
      <c r="A1325" t="inlineStr">
        <is>
          <t>900003613</t>
        </is>
      </c>
      <c r="B1325" t="inlineStr">
        <is>
          <t>D836</t>
        </is>
      </c>
      <c r="C1325" t="inlineStr">
        <is>
          <t>65445261</t>
        </is>
      </c>
      <c r="D1325" t="inlineStr">
        <is>
          <t>10059181</t>
        </is>
      </c>
      <c r="E1325" t="inlineStr"/>
      <c r="F1325" s="11" t="n">
        <v>80.59</v>
      </c>
      <c r="G1325" t="inlineStr"/>
      <c r="I1325" t="inlineStr">
        <is>
          <t>M3</t>
        </is>
      </c>
      <c r="J1325" t="inlineStr"/>
      <c r="K1325" t="inlineStr">
        <is>
          <t>20190426</t>
        </is>
      </c>
      <c r="L1325" t="inlineStr">
        <is>
          <t>20250127</t>
        </is>
      </c>
    </row>
    <row r="1326">
      <c r="A1326" t="inlineStr">
        <is>
          <t>900003613</t>
        </is>
      </c>
      <c r="B1326" t="inlineStr">
        <is>
          <t>D836</t>
        </is>
      </c>
      <c r="C1326" t="inlineStr">
        <is>
          <t>65751297</t>
        </is>
      </c>
      <c r="D1326" t="inlineStr">
        <is>
          <t>10000253</t>
        </is>
      </c>
      <c r="E1326" t="inlineStr"/>
      <c r="F1326" s="11" t="n">
        <v>75.92</v>
      </c>
      <c r="G1326" t="inlineStr"/>
      <c r="I1326" t="inlineStr">
        <is>
          <t>M3</t>
        </is>
      </c>
      <c r="J1326" t="inlineStr"/>
      <c r="K1326" t="inlineStr">
        <is>
          <t>20190426</t>
        </is>
      </c>
      <c r="L1326" t="inlineStr">
        <is>
          <t>20250127</t>
        </is>
      </c>
    </row>
    <row r="1327">
      <c r="A1327" t="inlineStr">
        <is>
          <t>900003613</t>
        </is>
      </c>
      <c r="B1327" t="inlineStr">
        <is>
          <t>D836</t>
        </is>
      </c>
      <c r="C1327" t="inlineStr">
        <is>
          <t>65751297</t>
        </is>
      </c>
      <c r="D1327" t="inlineStr">
        <is>
          <t>10059181</t>
        </is>
      </c>
      <c r="E1327" t="inlineStr"/>
      <c r="F1327" s="11" t="n">
        <v>77.38</v>
      </c>
      <c r="G1327" t="inlineStr"/>
      <c r="I1327" t="inlineStr">
        <is>
          <t>M3</t>
        </is>
      </c>
      <c r="J1327" t="inlineStr"/>
      <c r="K1327" t="inlineStr">
        <is>
          <t>20190426</t>
        </is>
      </c>
      <c r="L1327" t="inlineStr">
        <is>
          <t>20250127</t>
        </is>
      </c>
    </row>
    <row r="1328">
      <c r="A1328" t="inlineStr">
        <is>
          <t>900003613</t>
        </is>
      </c>
      <c r="B1328" t="inlineStr">
        <is>
          <t>D836</t>
        </is>
      </c>
      <c r="C1328" t="inlineStr">
        <is>
          <t>65909241</t>
        </is>
      </c>
      <c r="D1328" t="inlineStr">
        <is>
          <t>10139280</t>
        </is>
      </c>
      <c r="E1328" t="inlineStr"/>
      <c r="F1328" s="11" t="n">
        <v>55</v>
      </c>
      <c r="G1328" t="inlineStr"/>
      <c r="I1328" t="inlineStr">
        <is>
          <t>M3</t>
        </is>
      </c>
      <c r="J1328" t="inlineStr"/>
      <c r="K1328" t="inlineStr">
        <is>
          <t>20190426</t>
        </is>
      </c>
      <c r="L1328" t="inlineStr">
        <is>
          <t>20250127</t>
        </is>
      </c>
    </row>
    <row r="1329">
      <c r="A1329" t="inlineStr">
        <is>
          <t>900003613</t>
        </is>
      </c>
      <c r="B1329" t="inlineStr">
        <is>
          <t>D836</t>
        </is>
      </c>
      <c r="C1329" t="inlineStr">
        <is>
          <t>66212637</t>
        </is>
      </c>
      <c r="D1329" t="inlineStr">
        <is>
          <t>10000651</t>
        </is>
      </c>
      <c r="E1329" t="inlineStr"/>
      <c r="F1329" s="11" t="n">
        <v>115</v>
      </c>
      <c r="G1329" t="inlineStr"/>
      <c r="I1329" t="inlineStr">
        <is>
          <t>M3</t>
        </is>
      </c>
      <c r="J1329" t="inlineStr"/>
      <c r="K1329" t="inlineStr">
        <is>
          <t>20190426</t>
        </is>
      </c>
      <c r="L1329" t="inlineStr">
        <is>
          <t>20250127</t>
        </is>
      </c>
    </row>
    <row r="1330">
      <c r="A1330" t="inlineStr">
        <is>
          <t>900003613</t>
        </is>
      </c>
      <c r="B1330" t="inlineStr">
        <is>
          <t>D836</t>
        </is>
      </c>
      <c r="C1330" t="inlineStr">
        <is>
          <t>66233244</t>
        </is>
      </c>
      <c r="D1330" t="inlineStr">
        <is>
          <t>10000160</t>
        </is>
      </c>
      <c r="E1330" t="inlineStr"/>
      <c r="F1330" s="11" t="n">
        <v>75</v>
      </c>
      <c r="G1330" t="inlineStr"/>
      <c r="I1330" t="inlineStr">
        <is>
          <t>M3</t>
        </is>
      </c>
      <c r="J1330" t="inlineStr"/>
      <c r="K1330" t="inlineStr">
        <is>
          <t>20190426</t>
        </is>
      </c>
      <c r="L1330" t="inlineStr">
        <is>
          <t>20250127</t>
        </is>
      </c>
    </row>
    <row r="1331">
      <c r="A1331" t="inlineStr">
        <is>
          <t>900003613</t>
        </is>
      </c>
      <c r="B1331" t="inlineStr">
        <is>
          <t>D836</t>
        </is>
      </c>
      <c r="C1331" t="inlineStr">
        <is>
          <t>66233244</t>
        </is>
      </c>
      <c r="D1331" t="inlineStr">
        <is>
          <t>10000253</t>
        </is>
      </c>
      <c r="E1331" t="inlineStr"/>
      <c r="F1331" s="11" t="n">
        <v>84</v>
      </c>
      <c r="G1331" t="inlineStr"/>
      <c r="I1331" t="inlineStr">
        <is>
          <t>M3</t>
        </is>
      </c>
      <c r="J1331" t="inlineStr"/>
      <c r="K1331" t="inlineStr">
        <is>
          <t>20190426</t>
        </is>
      </c>
      <c r="L1331" t="inlineStr">
        <is>
          <t>20250127</t>
        </is>
      </c>
    </row>
    <row r="1332">
      <c r="A1332" t="inlineStr">
        <is>
          <t>900003613</t>
        </is>
      </c>
      <c r="B1332" t="inlineStr">
        <is>
          <t>D836</t>
        </is>
      </c>
      <c r="C1332" t="inlineStr">
        <is>
          <t>66233244</t>
        </is>
      </c>
      <c r="D1332" t="inlineStr">
        <is>
          <t>10059181</t>
        </is>
      </c>
      <c r="E1332" t="inlineStr"/>
      <c r="F1332" s="11" t="n">
        <v>75</v>
      </c>
      <c r="G1332" t="inlineStr"/>
      <c r="I1332" t="inlineStr">
        <is>
          <t>M3</t>
        </is>
      </c>
      <c r="J1332" t="inlineStr"/>
      <c r="K1332" t="inlineStr">
        <is>
          <t>20190426</t>
        </is>
      </c>
      <c r="L1332" t="inlineStr">
        <is>
          <t>20250127</t>
        </is>
      </c>
    </row>
    <row r="1333">
      <c r="A1333" t="inlineStr">
        <is>
          <t>900003613</t>
        </is>
      </c>
      <c r="B1333" t="inlineStr">
        <is>
          <t>D836</t>
        </is>
      </c>
      <c r="C1333" t="inlineStr">
        <is>
          <t>66239560</t>
        </is>
      </c>
      <c r="D1333" t="inlineStr">
        <is>
          <t>10000253</t>
        </is>
      </c>
      <c r="E1333" t="inlineStr"/>
      <c r="F1333" s="11" t="n">
        <v>79</v>
      </c>
      <c r="G1333" t="inlineStr"/>
      <c r="I1333" t="inlineStr">
        <is>
          <t>M3</t>
        </is>
      </c>
      <c r="J1333" t="inlineStr"/>
      <c r="K1333" t="inlineStr">
        <is>
          <t>20190426</t>
        </is>
      </c>
      <c r="L1333" t="inlineStr">
        <is>
          <t>20250127</t>
        </is>
      </c>
    </row>
    <row r="1334">
      <c r="A1334" t="inlineStr">
        <is>
          <t>900003613</t>
        </is>
      </c>
      <c r="B1334" t="inlineStr">
        <is>
          <t>D836</t>
        </is>
      </c>
      <c r="C1334" t="inlineStr">
        <is>
          <t>66239560</t>
        </is>
      </c>
      <c r="D1334" t="inlineStr">
        <is>
          <t>10000627</t>
        </is>
      </c>
      <c r="E1334" t="inlineStr"/>
      <c r="F1334" s="11" t="n">
        <v>76</v>
      </c>
      <c r="G1334" t="inlineStr"/>
      <c r="I1334" t="inlineStr">
        <is>
          <t>M3</t>
        </is>
      </c>
      <c r="J1334" t="inlineStr"/>
      <c r="K1334" t="inlineStr">
        <is>
          <t>20190426</t>
        </is>
      </c>
      <c r="L1334" t="inlineStr">
        <is>
          <t>20250127</t>
        </is>
      </c>
    </row>
    <row r="1335">
      <c r="A1335" t="inlineStr">
        <is>
          <t>900003613</t>
        </is>
      </c>
      <c r="B1335" t="inlineStr">
        <is>
          <t>D836</t>
        </is>
      </c>
      <c r="C1335" t="inlineStr">
        <is>
          <t>66239560</t>
        </is>
      </c>
      <c r="D1335" t="inlineStr">
        <is>
          <t>10059181</t>
        </is>
      </c>
      <c r="E1335" t="inlineStr"/>
      <c r="F1335" s="11" t="n">
        <v>74</v>
      </c>
      <c r="G1335" t="inlineStr"/>
      <c r="I1335" t="inlineStr">
        <is>
          <t>M3</t>
        </is>
      </c>
      <c r="J1335" t="inlineStr"/>
      <c r="K1335" t="inlineStr">
        <is>
          <t>20190426</t>
        </is>
      </c>
      <c r="L1335" t="inlineStr">
        <is>
          <t>20250127</t>
        </is>
      </c>
    </row>
    <row r="1336">
      <c r="A1336" t="inlineStr">
        <is>
          <t>900003613</t>
        </is>
      </c>
      <c r="B1336" t="inlineStr">
        <is>
          <t>D836</t>
        </is>
      </c>
      <c r="C1336" t="inlineStr">
        <is>
          <t>66239561</t>
        </is>
      </c>
      <c r="D1336" t="inlineStr">
        <is>
          <t>10000253</t>
        </is>
      </c>
      <c r="E1336" t="inlineStr"/>
      <c r="F1336" s="11" t="n">
        <v>79</v>
      </c>
      <c r="G1336" t="inlineStr"/>
      <c r="I1336" t="inlineStr">
        <is>
          <t>M3</t>
        </is>
      </c>
      <c r="J1336" t="inlineStr"/>
      <c r="K1336" t="inlineStr">
        <is>
          <t>20190426</t>
        </is>
      </c>
      <c r="L1336" t="inlineStr">
        <is>
          <t>20250127</t>
        </is>
      </c>
    </row>
    <row r="1337">
      <c r="A1337" t="inlineStr">
        <is>
          <t>900003613</t>
        </is>
      </c>
      <c r="B1337" t="inlineStr">
        <is>
          <t>D836</t>
        </is>
      </c>
      <c r="C1337" t="inlineStr">
        <is>
          <t>66239561</t>
        </is>
      </c>
      <c r="D1337" t="inlineStr">
        <is>
          <t>10000627</t>
        </is>
      </c>
      <c r="E1337" t="inlineStr"/>
      <c r="F1337" s="11" t="n">
        <v>76</v>
      </c>
      <c r="G1337" t="inlineStr"/>
      <c r="I1337" t="inlineStr">
        <is>
          <t>M3</t>
        </is>
      </c>
      <c r="J1337" t="inlineStr"/>
      <c r="K1337" t="inlineStr">
        <is>
          <t>20190426</t>
        </is>
      </c>
      <c r="L1337" t="inlineStr">
        <is>
          <t>20250127</t>
        </is>
      </c>
    </row>
    <row r="1338">
      <c r="A1338" t="inlineStr">
        <is>
          <t>900003613</t>
        </is>
      </c>
      <c r="B1338" t="inlineStr">
        <is>
          <t>D836</t>
        </is>
      </c>
      <c r="C1338" t="inlineStr">
        <is>
          <t>66239561</t>
        </is>
      </c>
      <c r="D1338" t="inlineStr">
        <is>
          <t>10059181</t>
        </is>
      </c>
      <c r="E1338" t="inlineStr"/>
      <c r="F1338" s="11" t="n">
        <v>74</v>
      </c>
      <c r="G1338" t="inlineStr"/>
      <c r="I1338" t="inlineStr">
        <is>
          <t>M3</t>
        </is>
      </c>
      <c r="J1338" t="inlineStr"/>
      <c r="K1338" t="inlineStr">
        <is>
          <t>20190426</t>
        </is>
      </c>
      <c r="L1338" t="inlineStr">
        <is>
          <t>20250127</t>
        </is>
      </c>
    </row>
    <row r="1339">
      <c r="A1339" t="inlineStr">
        <is>
          <t>900003613</t>
        </is>
      </c>
      <c r="B1339" t="inlineStr">
        <is>
          <t>D836</t>
        </is>
      </c>
      <c r="C1339" t="inlineStr">
        <is>
          <t>66239598</t>
        </is>
      </c>
      <c r="D1339" t="inlineStr">
        <is>
          <t>10000253</t>
        </is>
      </c>
      <c r="E1339" t="inlineStr"/>
      <c r="F1339" s="11" t="n">
        <v>79</v>
      </c>
      <c r="G1339" t="inlineStr"/>
      <c r="I1339" t="inlineStr">
        <is>
          <t>M3</t>
        </is>
      </c>
      <c r="J1339" t="inlineStr"/>
      <c r="K1339" t="inlineStr">
        <is>
          <t>20190426</t>
        </is>
      </c>
      <c r="L1339" t="inlineStr">
        <is>
          <t>20250127</t>
        </is>
      </c>
    </row>
    <row r="1340">
      <c r="A1340" t="inlineStr">
        <is>
          <t>900003613</t>
        </is>
      </c>
      <c r="B1340" t="inlineStr">
        <is>
          <t>D836</t>
        </is>
      </c>
      <c r="C1340" t="inlineStr">
        <is>
          <t>66239598</t>
        </is>
      </c>
      <c r="D1340" t="inlineStr">
        <is>
          <t>10000627</t>
        </is>
      </c>
      <c r="E1340" t="inlineStr"/>
      <c r="F1340" s="11" t="n">
        <v>76</v>
      </c>
      <c r="G1340" t="inlineStr"/>
      <c r="I1340" t="inlineStr">
        <is>
          <t>M3</t>
        </is>
      </c>
      <c r="J1340" t="inlineStr"/>
      <c r="K1340" t="inlineStr">
        <is>
          <t>20190426</t>
        </is>
      </c>
      <c r="L1340" t="inlineStr">
        <is>
          <t>20250127</t>
        </is>
      </c>
    </row>
    <row r="1341">
      <c r="A1341" t="inlineStr">
        <is>
          <t>900003613</t>
        </is>
      </c>
      <c r="B1341" t="inlineStr">
        <is>
          <t>D836</t>
        </is>
      </c>
      <c r="C1341" t="inlineStr">
        <is>
          <t>66239598</t>
        </is>
      </c>
      <c r="D1341" t="inlineStr">
        <is>
          <t>10059181</t>
        </is>
      </c>
      <c r="E1341" t="inlineStr"/>
      <c r="F1341" s="11" t="n">
        <v>74</v>
      </c>
      <c r="G1341" t="inlineStr"/>
      <c r="I1341" t="inlineStr">
        <is>
          <t>M3</t>
        </is>
      </c>
      <c r="J1341" t="inlineStr"/>
      <c r="K1341" t="inlineStr">
        <is>
          <t>20190426</t>
        </is>
      </c>
      <c r="L1341" t="inlineStr">
        <is>
          <t>20250127</t>
        </is>
      </c>
    </row>
    <row r="1342">
      <c r="A1342" t="inlineStr">
        <is>
          <t>900003613</t>
        </is>
      </c>
      <c r="B1342" t="inlineStr">
        <is>
          <t>D836</t>
        </is>
      </c>
      <c r="C1342" t="inlineStr">
        <is>
          <t>66239599</t>
        </is>
      </c>
      <c r="D1342" t="inlineStr">
        <is>
          <t>10000253</t>
        </is>
      </c>
      <c r="E1342" t="inlineStr"/>
      <c r="F1342" s="11" t="n">
        <v>79</v>
      </c>
      <c r="G1342" t="inlineStr"/>
      <c r="I1342" t="inlineStr">
        <is>
          <t>M3</t>
        </is>
      </c>
      <c r="J1342" t="inlineStr"/>
      <c r="K1342" t="inlineStr">
        <is>
          <t>20190426</t>
        </is>
      </c>
      <c r="L1342" t="inlineStr">
        <is>
          <t>20250127</t>
        </is>
      </c>
    </row>
    <row r="1343">
      <c r="A1343" t="inlineStr">
        <is>
          <t>900003613</t>
        </is>
      </c>
      <c r="B1343" t="inlineStr">
        <is>
          <t>D836</t>
        </is>
      </c>
      <c r="C1343" t="inlineStr">
        <is>
          <t>66239599</t>
        </is>
      </c>
      <c r="D1343" t="inlineStr">
        <is>
          <t>10000627</t>
        </is>
      </c>
      <c r="E1343" t="inlineStr"/>
      <c r="F1343" s="11" t="n">
        <v>76</v>
      </c>
      <c r="G1343" t="inlineStr"/>
      <c r="I1343" t="inlineStr">
        <is>
          <t>M3</t>
        </is>
      </c>
      <c r="J1343" t="inlineStr"/>
      <c r="K1343" t="inlineStr">
        <is>
          <t>20190426</t>
        </is>
      </c>
      <c r="L1343" t="inlineStr">
        <is>
          <t>20250127</t>
        </is>
      </c>
    </row>
    <row r="1344">
      <c r="A1344" t="inlineStr">
        <is>
          <t>900003613</t>
        </is>
      </c>
      <c r="B1344" t="inlineStr">
        <is>
          <t>D836</t>
        </is>
      </c>
      <c r="C1344" t="inlineStr">
        <is>
          <t>66239599</t>
        </is>
      </c>
      <c r="D1344" t="inlineStr">
        <is>
          <t>10059181</t>
        </is>
      </c>
      <c r="E1344" t="inlineStr"/>
      <c r="F1344" s="11" t="n">
        <v>74</v>
      </c>
      <c r="G1344" t="inlineStr"/>
      <c r="I1344" t="inlineStr">
        <is>
          <t>M3</t>
        </is>
      </c>
      <c r="J1344" t="inlineStr"/>
      <c r="K1344" t="inlineStr">
        <is>
          <t>20190426</t>
        </is>
      </c>
      <c r="L1344" t="inlineStr">
        <is>
          <t>20250127</t>
        </is>
      </c>
    </row>
    <row r="1345">
      <c r="A1345" t="inlineStr">
        <is>
          <t>900003613</t>
        </is>
      </c>
      <c r="B1345" t="inlineStr">
        <is>
          <t>D836</t>
        </is>
      </c>
      <c r="C1345" t="inlineStr">
        <is>
          <t>66239600</t>
        </is>
      </c>
      <c r="D1345" t="inlineStr">
        <is>
          <t>10000253</t>
        </is>
      </c>
      <c r="E1345" t="inlineStr"/>
      <c r="F1345" s="11" t="n">
        <v>79</v>
      </c>
      <c r="G1345" t="inlineStr"/>
      <c r="I1345" t="inlineStr">
        <is>
          <t>M3</t>
        </is>
      </c>
      <c r="J1345" t="inlineStr"/>
      <c r="K1345" t="inlineStr">
        <is>
          <t>20190426</t>
        </is>
      </c>
      <c r="L1345" t="inlineStr">
        <is>
          <t>20250127</t>
        </is>
      </c>
    </row>
    <row r="1346">
      <c r="A1346" t="inlineStr">
        <is>
          <t>900003613</t>
        </is>
      </c>
      <c r="B1346" t="inlineStr">
        <is>
          <t>D836</t>
        </is>
      </c>
      <c r="C1346" t="inlineStr">
        <is>
          <t>66239600</t>
        </is>
      </c>
      <c r="D1346" t="inlineStr">
        <is>
          <t>10000627</t>
        </is>
      </c>
      <c r="E1346" t="inlineStr"/>
      <c r="F1346" s="11" t="n">
        <v>76</v>
      </c>
      <c r="G1346" t="inlineStr"/>
      <c r="I1346" t="inlineStr">
        <is>
          <t>M3</t>
        </is>
      </c>
      <c r="J1346" t="inlineStr"/>
      <c r="K1346" t="inlineStr">
        <is>
          <t>20190426</t>
        </is>
      </c>
      <c r="L1346" t="inlineStr">
        <is>
          <t>20250127</t>
        </is>
      </c>
    </row>
    <row r="1347">
      <c r="A1347" t="inlineStr">
        <is>
          <t>900003613</t>
        </is>
      </c>
      <c r="B1347" t="inlineStr">
        <is>
          <t>D836</t>
        </is>
      </c>
      <c r="C1347" t="inlineStr">
        <is>
          <t>66239600</t>
        </is>
      </c>
      <c r="D1347" t="inlineStr">
        <is>
          <t>10059181</t>
        </is>
      </c>
      <c r="E1347" t="inlineStr"/>
      <c r="F1347" s="11" t="n">
        <v>74</v>
      </c>
      <c r="G1347" t="inlineStr"/>
      <c r="I1347" t="inlineStr">
        <is>
          <t>M3</t>
        </is>
      </c>
      <c r="J1347" t="inlineStr"/>
      <c r="K1347" t="inlineStr">
        <is>
          <t>20190426</t>
        </is>
      </c>
      <c r="L1347" t="inlineStr">
        <is>
          <t>20250127</t>
        </is>
      </c>
    </row>
    <row r="1348">
      <c r="A1348" t="inlineStr">
        <is>
          <t>900003613</t>
        </is>
      </c>
      <c r="B1348" t="inlineStr">
        <is>
          <t>D836</t>
        </is>
      </c>
      <c r="C1348" t="inlineStr">
        <is>
          <t>66239601</t>
        </is>
      </c>
      <c r="D1348" t="inlineStr">
        <is>
          <t>10000253</t>
        </is>
      </c>
      <c r="E1348" t="inlineStr"/>
      <c r="F1348" s="11" t="n">
        <v>79</v>
      </c>
      <c r="G1348" t="inlineStr"/>
      <c r="I1348" t="inlineStr">
        <is>
          <t>M3</t>
        </is>
      </c>
      <c r="J1348" t="inlineStr"/>
      <c r="K1348" t="inlineStr">
        <is>
          <t>20190426</t>
        </is>
      </c>
      <c r="L1348" t="inlineStr">
        <is>
          <t>20250127</t>
        </is>
      </c>
    </row>
    <row r="1349">
      <c r="A1349" t="inlineStr">
        <is>
          <t>900003613</t>
        </is>
      </c>
      <c r="B1349" t="inlineStr">
        <is>
          <t>D836</t>
        </is>
      </c>
      <c r="C1349" t="inlineStr">
        <is>
          <t>66239601</t>
        </is>
      </c>
      <c r="D1349" t="inlineStr">
        <is>
          <t>10000627</t>
        </is>
      </c>
      <c r="E1349" t="inlineStr"/>
      <c r="F1349" s="11" t="n">
        <v>76</v>
      </c>
      <c r="G1349" t="inlineStr"/>
      <c r="I1349" t="inlineStr">
        <is>
          <t>M3</t>
        </is>
      </c>
      <c r="J1349" t="inlineStr"/>
      <c r="K1349" t="inlineStr">
        <is>
          <t>20190426</t>
        </is>
      </c>
      <c r="L1349" t="inlineStr">
        <is>
          <t>20250127</t>
        </is>
      </c>
    </row>
    <row r="1350">
      <c r="A1350" t="inlineStr">
        <is>
          <t>900003613</t>
        </is>
      </c>
      <c r="B1350" t="inlineStr">
        <is>
          <t>D836</t>
        </is>
      </c>
      <c r="C1350" t="inlineStr">
        <is>
          <t>66239601</t>
        </is>
      </c>
      <c r="D1350" t="inlineStr">
        <is>
          <t>10059181</t>
        </is>
      </c>
      <c r="E1350" t="inlineStr"/>
      <c r="F1350" s="11" t="n">
        <v>74</v>
      </c>
      <c r="G1350" t="inlineStr"/>
      <c r="I1350" t="inlineStr">
        <is>
          <t>M3</t>
        </is>
      </c>
      <c r="J1350" t="inlineStr"/>
      <c r="K1350" t="inlineStr">
        <is>
          <t>20190426</t>
        </is>
      </c>
      <c r="L1350" t="inlineStr">
        <is>
          <t>20250127</t>
        </is>
      </c>
    </row>
    <row r="1351">
      <c r="A1351" t="inlineStr">
        <is>
          <t>900003613</t>
        </is>
      </c>
      <c r="B1351" t="inlineStr">
        <is>
          <t>D836</t>
        </is>
      </c>
      <c r="C1351" t="inlineStr">
        <is>
          <t>66239617</t>
        </is>
      </c>
      <c r="D1351" t="inlineStr">
        <is>
          <t>10000253</t>
        </is>
      </c>
      <c r="E1351" t="inlineStr"/>
      <c r="F1351" s="11" t="n">
        <v>79</v>
      </c>
      <c r="G1351" t="inlineStr"/>
      <c r="I1351" t="inlineStr">
        <is>
          <t>M3</t>
        </is>
      </c>
      <c r="J1351" t="inlineStr"/>
      <c r="K1351" t="inlineStr">
        <is>
          <t>20190426</t>
        </is>
      </c>
      <c r="L1351" t="inlineStr">
        <is>
          <t>20250127</t>
        </is>
      </c>
    </row>
    <row r="1352">
      <c r="A1352" t="inlineStr">
        <is>
          <t>900003613</t>
        </is>
      </c>
      <c r="B1352" t="inlineStr">
        <is>
          <t>D836</t>
        </is>
      </c>
      <c r="C1352" t="inlineStr">
        <is>
          <t>66239617</t>
        </is>
      </c>
      <c r="D1352" t="inlineStr">
        <is>
          <t>10000627</t>
        </is>
      </c>
      <c r="E1352" t="inlineStr"/>
      <c r="F1352" s="11" t="n">
        <v>76</v>
      </c>
      <c r="G1352" t="inlineStr"/>
      <c r="I1352" t="inlineStr">
        <is>
          <t>M3</t>
        </is>
      </c>
      <c r="J1352" t="inlineStr"/>
      <c r="K1352" t="inlineStr">
        <is>
          <t>20190426</t>
        </is>
      </c>
      <c r="L1352" t="inlineStr">
        <is>
          <t>20250127</t>
        </is>
      </c>
    </row>
    <row r="1353">
      <c r="A1353" t="inlineStr">
        <is>
          <t>900003613</t>
        </is>
      </c>
      <c r="B1353" t="inlineStr">
        <is>
          <t>D836</t>
        </is>
      </c>
      <c r="C1353" t="inlineStr">
        <is>
          <t>66239617</t>
        </is>
      </c>
      <c r="D1353" t="inlineStr">
        <is>
          <t>10059181</t>
        </is>
      </c>
      <c r="E1353" t="inlineStr"/>
      <c r="F1353" s="11" t="n">
        <v>74</v>
      </c>
      <c r="G1353" t="inlineStr"/>
      <c r="I1353" t="inlineStr">
        <is>
          <t>M3</t>
        </is>
      </c>
      <c r="J1353" t="inlineStr"/>
      <c r="K1353" t="inlineStr">
        <is>
          <t>20190426</t>
        </is>
      </c>
      <c r="L1353" t="inlineStr">
        <is>
          <t>20250127</t>
        </is>
      </c>
    </row>
    <row r="1354">
      <c r="A1354" t="inlineStr">
        <is>
          <t>900003613</t>
        </is>
      </c>
      <c r="B1354" t="inlineStr">
        <is>
          <t>D836</t>
        </is>
      </c>
      <c r="C1354" t="inlineStr">
        <is>
          <t>66239618</t>
        </is>
      </c>
      <c r="D1354" t="inlineStr">
        <is>
          <t>10000253</t>
        </is>
      </c>
      <c r="E1354" t="inlineStr"/>
      <c r="F1354" s="11" t="n">
        <v>80</v>
      </c>
      <c r="G1354" t="inlineStr"/>
      <c r="I1354" t="inlineStr">
        <is>
          <t>M3</t>
        </is>
      </c>
      <c r="J1354" t="inlineStr"/>
      <c r="K1354" t="inlineStr">
        <is>
          <t>20190426</t>
        </is>
      </c>
      <c r="L1354" t="inlineStr">
        <is>
          <t>20250127</t>
        </is>
      </c>
    </row>
    <row r="1355">
      <c r="A1355" t="inlineStr">
        <is>
          <t>900003613</t>
        </is>
      </c>
      <c r="B1355" t="inlineStr">
        <is>
          <t>D836</t>
        </is>
      </c>
      <c r="C1355" t="inlineStr">
        <is>
          <t>66239618</t>
        </is>
      </c>
      <c r="D1355" t="inlineStr">
        <is>
          <t>10059181</t>
        </is>
      </c>
      <c r="E1355" t="inlineStr"/>
      <c r="F1355" s="11" t="n">
        <v>80</v>
      </c>
      <c r="G1355" t="inlineStr"/>
      <c r="I1355" t="inlineStr">
        <is>
          <t>M3</t>
        </is>
      </c>
      <c r="J1355" t="inlineStr"/>
      <c r="K1355" t="inlineStr">
        <is>
          <t>20190426</t>
        </is>
      </c>
      <c r="L1355" t="inlineStr">
        <is>
          <t>20250127</t>
        </is>
      </c>
    </row>
    <row r="1356">
      <c r="A1356" t="inlineStr">
        <is>
          <t>900003613</t>
        </is>
      </c>
      <c r="B1356" t="inlineStr">
        <is>
          <t>D836</t>
        </is>
      </c>
      <c r="C1356" t="inlineStr">
        <is>
          <t>66239621</t>
        </is>
      </c>
      <c r="D1356" t="inlineStr">
        <is>
          <t>10000253</t>
        </is>
      </c>
      <c r="E1356" t="inlineStr"/>
      <c r="F1356" s="11" t="n">
        <v>79</v>
      </c>
      <c r="G1356" t="inlineStr"/>
      <c r="I1356" t="inlineStr">
        <is>
          <t>M3</t>
        </is>
      </c>
      <c r="J1356" t="inlineStr"/>
      <c r="K1356" t="inlineStr">
        <is>
          <t>20190426</t>
        </is>
      </c>
      <c r="L1356" t="inlineStr">
        <is>
          <t>20250127</t>
        </is>
      </c>
    </row>
    <row r="1357">
      <c r="A1357" t="inlineStr">
        <is>
          <t>900003613</t>
        </is>
      </c>
      <c r="B1357" t="inlineStr">
        <is>
          <t>D836</t>
        </is>
      </c>
      <c r="C1357" t="inlineStr">
        <is>
          <t>66239621</t>
        </is>
      </c>
      <c r="D1357" t="inlineStr">
        <is>
          <t>10000627</t>
        </is>
      </c>
      <c r="E1357" t="inlineStr"/>
      <c r="F1357" s="11" t="n">
        <v>76</v>
      </c>
      <c r="G1357" t="inlineStr"/>
      <c r="I1357" t="inlineStr">
        <is>
          <t>M3</t>
        </is>
      </c>
      <c r="J1357" t="inlineStr"/>
      <c r="K1357" t="inlineStr">
        <is>
          <t>20190426</t>
        </is>
      </c>
      <c r="L1357" t="inlineStr">
        <is>
          <t>20250127</t>
        </is>
      </c>
    </row>
    <row r="1358">
      <c r="A1358" t="inlineStr">
        <is>
          <t>900003613</t>
        </is>
      </c>
      <c r="B1358" t="inlineStr">
        <is>
          <t>D836</t>
        </is>
      </c>
      <c r="C1358" t="inlineStr">
        <is>
          <t>66239621</t>
        </is>
      </c>
      <c r="D1358" t="inlineStr">
        <is>
          <t>10059181</t>
        </is>
      </c>
      <c r="E1358" t="inlineStr"/>
      <c r="F1358" s="11" t="n">
        <v>74</v>
      </c>
      <c r="G1358" t="inlineStr"/>
      <c r="I1358" t="inlineStr">
        <is>
          <t>M3</t>
        </is>
      </c>
      <c r="J1358" t="inlineStr"/>
      <c r="K1358" t="inlineStr">
        <is>
          <t>20190426</t>
        </is>
      </c>
      <c r="L1358" t="inlineStr">
        <is>
          <t>20250127</t>
        </is>
      </c>
    </row>
    <row r="1359">
      <c r="A1359" t="inlineStr">
        <is>
          <t>900003613</t>
        </is>
      </c>
      <c r="B1359" t="inlineStr">
        <is>
          <t>D836</t>
        </is>
      </c>
      <c r="C1359" t="inlineStr">
        <is>
          <t>66239627</t>
        </is>
      </c>
      <c r="D1359" t="inlineStr">
        <is>
          <t>10000253</t>
        </is>
      </c>
      <c r="E1359" t="inlineStr"/>
      <c r="F1359" s="11" t="n">
        <v>79</v>
      </c>
      <c r="G1359" t="inlineStr"/>
      <c r="I1359" t="inlineStr">
        <is>
          <t>M3</t>
        </is>
      </c>
      <c r="J1359" t="inlineStr"/>
      <c r="K1359" t="inlineStr">
        <is>
          <t>20190426</t>
        </is>
      </c>
      <c r="L1359" t="inlineStr">
        <is>
          <t>20250127</t>
        </is>
      </c>
    </row>
    <row r="1360">
      <c r="A1360" t="inlineStr">
        <is>
          <t>900003613</t>
        </is>
      </c>
      <c r="B1360" t="inlineStr">
        <is>
          <t>D836</t>
        </is>
      </c>
      <c r="C1360" t="inlineStr">
        <is>
          <t>66239627</t>
        </is>
      </c>
      <c r="D1360" t="inlineStr">
        <is>
          <t>10000627</t>
        </is>
      </c>
      <c r="E1360" t="inlineStr"/>
      <c r="F1360" s="11" t="n">
        <v>76</v>
      </c>
      <c r="G1360" t="inlineStr"/>
      <c r="I1360" t="inlineStr">
        <is>
          <t>M3</t>
        </is>
      </c>
      <c r="J1360" t="inlineStr"/>
      <c r="K1360" t="inlineStr">
        <is>
          <t>20190426</t>
        </is>
      </c>
      <c r="L1360" t="inlineStr">
        <is>
          <t>20250127</t>
        </is>
      </c>
    </row>
    <row r="1361">
      <c r="A1361" t="inlineStr">
        <is>
          <t>900003613</t>
        </is>
      </c>
      <c r="B1361" t="inlineStr">
        <is>
          <t>D836</t>
        </is>
      </c>
      <c r="C1361" t="inlineStr">
        <is>
          <t>66239627</t>
        </is>
      </c>
      <c r="D1361" t="inlineStr">
        <is>
          <t>10059181</t>
        </is>
      </c>
      <c r="E1361" t="inlineStr"/>
      <c r="F1361" s="11" t="n">
        <v>74</v>
      </c>
      <c r="G1361" t="inlineStr"/>
      <c r="I1361" t="inlineStr">
        <is>
          <t>M3</t>
        </is>
      </c>
      <c r="J1361" t="inlineStr"/>
      <c r="K1361" t="inlineStr">
        <is>
          <t>20190426</t>
        </is>
      </c>
      <c r="L1361" t="inlineStr">
        <is>
          <t>20250127</t>
        </is>
      </c>
    </row>
    <row r="1362">
      <c r="A1362" t="inlineStr">
        <is>
          <t>900003613</t>
        </is>
      </c>
      <c r="B1362" t="inlineStr">
        <is>
          <t>D836</t>
        </is>
      </c>
      <c r="C1362" t="inlineStr">
        <is>
          <t>66239628</t>
        </is>
      </c>
      <c r="D1362" t="inlineStr">
        <is>
          <t>10000253</t>
        </is>
      </c>
      <c r="E1362" t="inlineStr"/>
      <c r="F1362" s="11" t="n">
        <v>79</v>
      </c>
      <c r="G1362" t="inlineStr"/>
      <c r="I1362" t="inlineStr">
        <is>
          <t>M3</t>
        </is>
      </c>
      <c r="J1362" t="inlineStr"/>
      <c r="K1362" t="inlineStr">
        <is>
          <t>20190426</t>
        </is>
      </c>
      <c r="L1362" t="inlineStr">
        <is>
          <t>20250127</t>
        </is>
      </c>
    </row>
    <row r="1363">
      <c r="A1363" t="inlineStr">
        <is>
          <t>900003613</t>
        </is>
      </c>
      <c r="B1363" t="inlineStr">
        <is>
          <t>D836</t>
        </is>
      </c>
      <c r="C1363" t="inlineStr">
        <is>
          <t>66239628</t>
        </is>
      </c>
      <c r="D1363" t="inlineStr">
        <is>
          <t>10000627</t>
        </is>
      </c>
      <c r="E1363" t="inlineStr"/>
      <c r="F1363" s="11" t="n">
        <v>76</v>
      </c>
      <c r="G1363" t="inlineStr"/>
      <c r="I1363" t="inlineStr">
        <is>
          <t>M3</t>
        </is>
      </c>
      <c r="J1363" t="inlineStr"/>
      <c r="K1363" t="inlineStr">
        <is>
          <t>20190426</t>
        </is>
      </c>
      <c r="L1363" t="inlineStr">
        <is>
          <t>20250127</t>
        </is>
      </c>
    </row>
    <row r="1364">
      <c r="A1364" t="inlineStr">
        <is>
          <t>900003613</t>
        </is>
      </c>
      <c r="B1364" t="inlineStr">
        <is>
          <t>D836</t>
        </is>
      </c>
      <c r="C1364" t="inlineStr">
        <is>
          <t>66239628</t>
        </is>
      </c>
      <c r="D1364" t="inlineStr">
        <is>
          <t>10059181</t>
        </is>
      </c>
      <c r="E1364" t="inlineStr"/>
      <c r="F1364" s="11" t="n">
        <v>74</v>
      </c>
      <c r="G1364" t="inlineStr"/>
      <c r="I1364" t="inlineStr">
        <is>
          <t>M3</t>
        </is>
      </c>
      <c r="J1364" t="inlineStr"/>
      <c r="K1364" t="inlineStr">
        <is>
          <t>20190426</t>
        </is>
      </c>
      <c r="L1364" t="inlineStr">
        <is>
          <t>20250127</t>
        </is>
      </c>
    </row>
    <row r="1365">
      <c r="A1365" t="inlineStr">
        <is>
          <t>900003613</t>
        </is>
      </c>
      <c r="B1365" t="inlineStr">
        <is>
          <t>D836</t>
        </is>
      </c>
      <c r="C1365" t="inlineStr">
        <is>
          <t>66289412</t>
        </is>
      </c>
      <c r="D1365" t="inlineStr">
        <is>
          <t>10000253</t>
        </is>
      </c>
      <c r="E1365" t="inlineStr"/>
      <c r="F1365" s="11" t="n">
        <v>79</v>
      </c>
      <c r="G1365" t="inlineStr"/>
      <c r="I1365" t="inlineStr">
        <is>
          <t>M3</t>
        </is>
      </c>
      <c r="J1365" t="inlineStr"/>
      <c r="K1365" t="inlineStr">
        <is>
          <t>20190426</t>
        </is>
      </c>
      <c r="L1365" t="inlineStr">
        <is>
          <t>20250127</t>
        </is>
      </c>
    </row>
    <row r="1366">
      <c r="A1366" t="inlineStr">
        <is>
          <t>900003613</t>
        </is>
      </c>
      <c r="B1366" t="inlineStr">
        <is>
          <t>D836</t>
        </is>
      </c>
      <c r="C1366" t="inlineStr">
        <is>
          <t>66289412</t>
        </is>
      </c>
      <c r="D1366" t="inlineStr">
        <is>
          <t>10000627</t>
        </is>
      </c>
      <c r="E1366" t="inlineStr"/>
      <c r="F1366" s="11" t="n">
        <v>76</v>
      </c>
      <c r="G1366" t="inlineStr"/>
      <c r="I1366" t="inlineStr">
        <is>
          <t>M3</t>
        </is>
      </c>
      <c r="J1366" t="inlineStr"/>
      <c r="K1366" t="inlineStr">
        <is>
          <t>20190426</t>
        </is>
      </c>
      <c r="L1366" t="inlineStr">
        <is>
          <t>20250127</t>
        </is>
      </c>
    </row>
    <row r="1367">
      <c r="A1367" t="inlineStr">
        <is>
          <t>900003613</t>
        </is>
      </c>
      <c r="B1367" t="inlineStr">
        <is>
          <t>D836</t>
        </is>
      </c>
      <c r="C1367" t="inlineStr">
        <is>
          <t>66289412</t>
        </is>
      </c>
      <c r="D1367" t="inlineStr">
        <is>
          <t>10059181</t>
        </is>
      </c>
      <c r="E1367" t="inlineStr"/>
      <c r="F1367" s="11" t="n">
        <v>74</v>
      </c>
      <c r="G1367" t="inlineStr"/>
      <c r="I1367" t="inlineStr">
        <is>
          <t>M3</t>
        </is>
      </c>
      <c r="J1367" t="inlineStr"/>
      <c r="K1367" t="inlineStr">
        <is>
          <t>20190426</t>
        </is>
      </c>
      <c r="L1367" t="inlineStr">
        <is>
          <t>20250127</t>
        </is>
      </c>
    </row>
    <row r="1368">
      <c r="A1368" t="inlineStr">
        <is>
          <t>900003613</t>
        </is>
      </c>
      <c r="B1368" t="inlineStr">
        <is>
          <t>D836</t>
        </is>
      </c>
      <c r="C1368" t="inlineStr">
        <is>
          <t>66289413</t>
        </is>
      </c>
      <c r="D1368" t="inlineStr">
        <is>
          <t>10000253</t>
        </is>
      </c>
      <c r="E1368" t="inlineStr"/>
      <c r="F1368" s="11" t="n">
        <v>79</v>
      </c>
      <c r="G1368" t="inlineStr"/>
      <c r="I1368" t="inlineStr">
        <is>
          <t>M3</t>
        </is>
      </c>
      <c r="J1368" t="inlineStr"/>
      <c r="K1368" t="inlineStr">
        <is>
          <t>20190426</t>
        </is>
      </c>
      <c r="L1368" t="inlineStr">
        <is>
          <t>20250127</t>
        </is>
      </c>
    </row>
    <row r="1369">
      <c r="A1369" t="inlineStr">
        <is>
          <t>900003613</t>
        </is>
      </c>
      <c r="B1369" t="inlineStr">
        <is>
          <t>D836</t>
        </is>
      </c>
      <c r="C1369" t="inlineStr">
        <is>
          <t>66289413</t>
        </is>
      </c>
      <c r="D1369" t="inlineStr">
        <is>
          <t>10000627</t>
        </is>
      </c>
      <c r="E1369" t="inlineStr"/>
      <c r="F1369" s="11" t="n">
        <v>76</v>
      </c>
      <c r="G1369" t="inlineStr"/>
      <c r="I1369" t="inlineStr">
        <is>
          <t>M3</t>
        </is>
      </c>
      <c r="J1369" t="inlineStr"/>
      <c r="K1369" t="inlineStr">
        <is>
          <t>20190426</t>
        </is>
      </c>
      <c r="L1369" t="inlineStr">
        <is>
          <t>20250127</t>
        </is>
      </c>
    </row>
    <row r="1370">
      <c r="A1370" t="inlineStr">
        <is>
          <t>900003613</t>
        </is>
      </c>
      <c r="B1370" t="inlineStr">
        <is>
          <t>D836</t>
        </is>
      </c>
      <c r="C1370" t="inlineStr">
        <is>
          <t>66289413</t>
        </is>
      </c>
      <c r="D1370" t="inlineStr">
        <is>
          <t>10059181</t>
        </is>
      </c>
      <c r="E1370" t="inlineStr"/>
      <c r="F1370" s="11" t="n">
        <v>74</v>
      </c>
      <c r="G1370" t="inlineStr"/>
      <c r="I1370" t="inlineStr">
        <is>
          <t>M3</t>
        </is>
      </c>
      <c r="J1370" t="inlineStr"/>
      <c r="K1370" t="inlineStr">
        <is>
          <t>20190426</t>
        </is>
      </c>
      <c r="L1370" t="inlineStr">
        <is>
          <t>20250127</t>
        </is>
      </c>
    </row>
    <row r="1371">
      <c r="A1371" t="inlineStr">
        <is>
          <t>900003613</t>
        </is>
      </c>
      <c r="B1371" t="inlineStr">
        <is>
          <t>D836</t>
        </is>
      </c>
      <c r="C1371" t="inlineStr">
        <is>
          <t>66313323</t>
        </is>
      </c>
      <c r="D1371" t="inlineStr">
        <is>
          <t>10000160</t>
        </is>
      </c>
      <c r="E1371" t="inlineStr"/>
      <c r="F1371" s="11" t="n">
        <v>77</v>
      </c>
      <c r="G1371" t="inlineStr"/>
      <c r="I1371" t="inlineStr">
        <is>
          <t>M3</t>
        </is>
      </c>
      <c r="J1371" t="inlineStr"/>
      <c r="K1371" t="inlineStr">
        <is>
          <t>20190426</t>
        </is>
      </c>
      <c r="L1371" t="inlineStr">
        <is>
          <t>20250127</t>
        </is>
      </c>
    </row>
    <row r="1372">
      <c r="A1372" t="inlineStr">
        <is>
          <t>900003613</t>
        </is>
      </c>
      <c r="B1372" t="inlineStr">
        <is>
          <t>D836</t>
        </is>
      </c>
      <c r="C1372" t="inlineStr">
        <is>
          <t>66313323</t>
        </is>
      </c>
      <c r="D1372" t="inlineStr">
        <is>
          <t>10059181</t>
        </is>
      </c>
      <c r="E1372" t="inlineStr"/>
      <c r="F1372" s="11" t="n">
        <v>77</v>
      </c>
      <c r="G1372" t="inlineStr"/>
      <c r="I1372" t="inlineStr">
        <is>
          <t>M3</t>
        </is>
      </c>
      <c r="J1372" t="inlineStr"/>
      <c r="K1372" t="inlineStr">
        <is>
          <t>20190426</t>
        </is>
      </c>
      <c r="L1372" t="inlineStr">
        <is>
          <t>20250127</t>
        </is>
      </c>
    </row>
    <row r="1373">
      <c r="A1373" t="inlineStr">
        <is>
          <t>900003613</t>
        </is>
      </c>
      <c r="B1373" t="inlineStr">
        <is>
          <t>D836</t>
        </is>
      </c>
      <c r="C1373" t="inlineStr">
        <is>
          <t>66395728</t>
        </is>
      </c>
      <c r="D1373" t="inlineStr">
        <is>
          <t>10000160</t>
        </is>
      </c>
      <c r="E1373" t="inlineStr"/>
      <c r="F1373" s="11" t="n">
        <v>77</v>
      </c>
      <c r="G1373" t="inlineStr"/>
      <c r="I1373" t="inlineStr">
        <is>
          <t>M3</t>
        </is>
      </c>
      <c r="J1373" t="inlineStr"/>
      <c r="K1373" t="inlineStr">
        <is>
          <t>20190426</t>
        </is>
      </c>
      <c r="L1373" t="inlineStr">
        <is>
          <t>20250127</t>
        </is>
      </c>
    </row>
    <row r="1374">
      <c r="A1374" t="inlineStr">
        <is>
          <t>900003613</t>
        </is>
      </c>
      <c r="B1374" t="inlineStr">
        <is>
          <t>D836</t>
        </is>
      </c>
      <c r="C1374" t="inlineStr">
        <is>
          <t>66395728</t>
        </is>
      </c>
      <c r="D1374" t="inlineStr">
        <is>
          <t>10059181</t>
        </is>
      </c>
      <c r="E1374" t="inlineStr"/>
      <c r="F1374" s="11" t="n">
        <v>77</v>
      </c>
      <c r="G1374" t="inlineStr"/>
      <c r="I1374" t="inlineStr">
        <is>
          <t>M3</t>
        </is>
      </c>
      <c r="J1374" t="inlineStr"/>
      <c r="K1374" t="inlineStr">
        <is>
          <t>20190426</t>
        </is>
      </c>
      <c r="L1374" t="inlineStr">
        <is>
          <t>20250127</t>
        </is>
      </c>
    </row>
    <row r="1375">
      <c r="A1375" t="inlineStr">
        <is>
          <t>900003613</t>
        </is>
      </c>
      <c r="B1375" t="inlineStr">
        <is>
          <t>D836</t>
        </is>
      </c>
      <c r="C1375" t="inlineStr">
        <is>
          <t>66420831</t>
        </is>
      </c>
      <c r="D1375" t="inlineStr">
        <is>
          <t>10059181</t>
        </is>
      </c>
      <c r="E1375" t="inlineStr"/>
      <c r="F1375" s="11" t="n">
        <v>77</v>
      </c>
      <c r="G1375" t="inlineStr"/>
      <c r="I1375" t="inlineStr">
        <is>
          <t>M3</t>
        </is>
      </c>
      <c r="J1375" t="inlineStr"/>
      <c r="K1375" t="inlineStr">
        <is>
          <t>20190426</t>
        </is>
      </c>
      <c r="L1375" t="inlineStr">
        <is>
          <t>20250127</t>
        </is>
      </c>
    </row>
    <row r="1376">
      <c r="A1376" t="inlineStr">
        <is>
          <t>900003613</t>
        </is>
      </c>
      <c r="B1376" t="inlineStr">
        <is>
          <t>D836</t>
        </is>
      </c>
      <c r="C1376" t="inlineStr">
        <is>
          <t>66458593</t>
        </is>
      </c>
      <c r="D1376" t="inlineStr">
        <is>
          <t>10059181</t>
        </is>
      </c>
      <c r="E1376" t="inlineStr"/>
      <c r="F1376" s="11" t="n">
        <v>92</v>
      </c>
      <c r="G1376" t="inlineStr"/>
      <c r="I1376" t="inlineStr">
        <is>
          <t>M3</t>
        </is>
      </c>
      <c r="J1376" t="inlineStr"/>
      <c r="K1376" t="inlineStr">
        <is>
          <t>20190426</t>
        </is>
      </c>
      <c r="L1376" t="inlineStr">
        <is>
          <t>20250127</t>
        </is>
      </c>
    </row>
    <row r="1377">
      <c r="A1377" t="inlineStr">
        <is>
          <t>900003613</t>
        </is>
      </c>
      <c r="B1377" t="inlineStr">
        <is>
          <t>D836</t>
        </is>
      </c>
      <c r="C1377" t="inlineStr">
        <is>
          <t>66475158</t>
        </is>
      </c>
      <c r="D1377" t="inlineStr">
        <is>
          <t>10000253</t>
        </is>
      </c>
      <c r="E1377" t="inlineStr"/>
      <c r="F1377" s="11" t="n">
        <v>79</v>
      </c>
      <c r="G1377" t="inlineStr"/>
      <c r="I1377" t="inlineStr">
        <is>
          <t>M3</t>
        </is>
      </c>
      <c r="J1377" t="inlineStr"/>
      <c r="K1377" t="inlineStr">
        <is>
          <t>20190426</t>
        </is>
      </c>
      <c r="L1377" t="inlineStr">
        <is>
          <t>20250127</t>
        </is>
      </c>
    </row>
    <row r="1378">
      <c r="A1378" t="inlineStr">
        <is>
          <t>900003613</t>
        </is>
      </c>
      <c r="B1378" t="inlineStr">
        <is>
          <t>D836</t>
        </is>
      </c>
      <c r="C1378" t="inlineStr">
        <is>
          <t>66475158</t>
        </is>
      </c>
      <c r="D1378" t="inlineStr">
        <is>
          <t>10000627</t>
        </is>
      </c>
      <c r="E1378" t="inlineStr"/>
      <c r="F1378" s="11" t="n">
        <v>76</v>
      </c>
      <c r="G1378" t="inlineStr"/>
      <c r="I1378" t="inlineStr">
        <is>
          <t>M3</t>
        </is>
      </c>
      <c r="J1378" t="inlineStr"/>
      <c r="K1378" t="inlineStr">
        <is>
          <t>20190426</t>
        </is>
      </c>
      <c r="L1378" t="inlineStr">
        <is>
          <t>20250127</t>
        </is>
      </c>
    </row>
    <row r="1379">
      <c r="A1379" t="inlineStr">
        <is>
          <t>900003613</t>
        </is>
      </c>
      <c r="B1379" t="inlineStr">
        <is>
          <t>D836</t>
        </is>
      </c>
      <c r="C1379" t="inlineStr">
        <is>
          <t>66475158</t>
        </is>
      </c>
      <c r="D1379" t="inlineStr">
        <is>
          <t>10059181</t>
        </is>
      </c>
      <c r="E1379" t="inlineStr"/>
      <c r="F1379" s="11" t="n">
        <v>74</v>
      </c>
      <c r="G1379" t="inlineStr"/>
      <c r="I1379" t="inlineStr">
        <is>
          <t>M3</t>
        </is>
      </c>
      <c r="J1379" t="inlineStr"/>
      <c r="K1379" t="inlineStr">
        <is>
          <t>20190426</t>
        </is>
      </c>
      <c r="L1379" t="inlineStr">
        <is>
          <t>20250127</t>
        </is>
      </c>
    </row>
    <row r="1380">
      <c r="A1380" t="inlineStr">
        <is>
          <t>900003613</t>
        </is>
      </c>
      <c r="B1380" t="inlineStr">
        <is>
          <t>D836</t>
        </is>
      </c>
      <c r="C1380" t="inlineStr">
        <is>
          <t>66482104</t>
        </is>
      </c>
      <c r="D1380" t="inlineStr">
        <is>
          <t>10000253</t>
        </is>
      </c>
      <c r="E1380" t="inlineStr"/>
      <c r="F1380" s="11" t="n">
        <v>79</v>
      </c>
      <c r="G1380" t="inlineStr"/>
      <c r="I1380" t="inlineStr">
        <is>
          <t>M3</t>
        </is>
      </c>
      <c r="J1380" t="inlineStr"/>
      <c r="K1380" t="inlineStr">
        <is>
          <t>20190426</t>
        </is>
      </c>
      <c r="L1380" t="inlineStr">
        <is>
          <t>20250127</t>
        </is>
      </c>
    </row>
    <row r="1381">
      <c r="A1381" t="inlineStr">
        <is>
          <t>900003613</t>
        </is>
      </c>
      <c r="B1381" t="inlineStr">
        <is>
          <t>D836</t>
        </is>
      </c>
      <c r="C1381" t="inlineStr">
        <is>
          <t>66482104</t>
        </is>
      </c>
      <c r="D1381" t="inlineStr">
        <is>
          <t>10000627</t>
        </is>
      </c>
      <c r="E1381" t="inlineStr"/>
      <c r="F1381" s="11" t="n">
        <v>76</v>
      </c>
      <c r="G1381" t="inlineStr"/>
      <c r="I1381" t="inlineStr">
        <is>
          <t>M3</t>
        </is>
      </c>
      <c r="J1381" t="inlineStr"/>
      <c r="K1381" t="inlineStr">
        <is>
          <t>20190426</t>
        </is>
      </c>
      <c r="L1381" t="inlineStr">
        <is>
          <t>20250127</t>
        </is>
      </c>
    </row>
    <row r="1382">
      <c r="A1382" t="inlineStr">
        <is>
          <t>900003613</t>
        </is>
      </c>
      <c r="B1382" t="inlineStr">
        <is>
          <t>D836</t>
        </is>
      </c>
      <c r="C1382" t="inlineStr">
        <is>
          <t>66482104</t>
        </is>
      </c>
      <c r="D1382" t="inlineStr">
        <is>
          <t>10059181</t>
        </is>
      </c>
      <c r="E1382" t="inlineStr"/>
      <c r="F1382" s="11" t="n">
        <v>74</v>
      </c>
      <c r="G1382" t="inlineStr"/>
      <c r="I1382" t="inlineStr">
        <is>
          <t>M3</t>
        </is>
      </c>
      <c r="J1382" t="inlineStr"/>
      <c r="K1382" t="inlineStr">
        <is>
          <t>20190426</t>
        </is>
      </c>
      <c r="L1382" t="inlineStr">
        <is>
          <t>20250127</t>
        </is>
      </c>
    </row>
    <row r="1383">
      <c r="A1383" t="inlineStr">
        <is>
          <t>900003613</t>
        </is>
      </c>
      <c r="B1383" t="inlineStr">
        <is>
          <t>D836</t>
        </is>
      </c>
      <c r="C1383" t="inlineStr">
        <is>
          <t>66482288</t>
        </is>
      </c>
      <c r="D1383" t="inlineStr">
        <is>
          <t>10000253</t>
        </is>
      </c>
      <c r="E1383" t="inlineStr"/>
      <c r="F1383" s="11" t="n">
        <v>79</v>
      </c>
      <c r="G1383" t="inlineStr"/>
      <c r="I1383" t="inlineStr">
        <is>
          <t>M3</t>
        </is>
      </c>
      <c r="J1383" t="inlineStr"/>
      <c r="K1383" t="inlineStr">
        <is>
          <t>20190426</t>
        </is>
      </c>
      <c r="L1383" t="inlineStr">
        <is>
          <t>20250127</t>
        </is>
      </c>
    </row>
    <row r="1384">
      <c r="A1384" t="inlineStr">
        <is>
          <t>900003613</t>
        </is>
      </c>
      <c r="B1384" t="inlineStr">
        <is>
          <t>D836</t>
        </is>
      </c>
      <c r="C1384" t="inlineStr">
        <is>
          <t>66482288</t>
        </is>
      </c>
      <c r="D1384" t="inlineStr">
        <is>
          <t>10000627</t>
        </is>
      </c>
      <c r="E1384" t="inlineStr"/>
      <c r="F1384" s="11" t="n">
        <v>76</v>
      </c>
      <c r="G1384" t="inlineStr"/>
      <c r="I1384" t="inlineStr">
        <is>
          <t>M3</t>
        </is>
      </c>
      <c r="J1384" t="inlineStr"/>
      <c r="K1384" t="inlineStr">
        <is>
          <t>20190426</t>
        </is>
      </c>
      <c r="L1384" t="inlineStr">
        <is>
          <t>20250127</t>
        </is>
      </c>
    </row>
    <row r="1385">
      <c r="A1385" t="inlineStr">
        <is>
          <t>900003613</t>
        </is>
      </c>
      <c r="B1385" t="inlineStr">
        <is>
          <t>D836</t>
        </is>
      </c>
      <c r="C1385" t="inlineStr">
        <is>
          <t>66482288</t>
        </is>
      </c>
      <c r="D1385" t="inlineStr">
        <is>
          <t>10059181</t>
        </is>
      </c>
      <c r="E1385" t="inlineStr"/>
      <c r="F1385" s="11" t="n">
        <v>74</v>
      </c>
      <c r="G1385" t="inlineStr"/>
      <c r="I1385" t="inlineStr">
        <is>
          <t>M3</t>
        </is>
      </c>
      <c r="J1385" t="inlineStr"/>
      <c r="K1385" t="inlineStr">
        <is>
          <t>20190426</t>
        </is>
      </c>
      <c r="L1385" t="inlineStr">
        <is>
          <t>20250127</t>
        </is>
      </c>
    </row>
    <row r="1386">
      <c r="A1386" t="inlineStr">
        <is>
          <t>900003613</t>
        </is>
      </c>
      <c r="B1386" t="inlineStr">
        <is>
          <t>D836</t>
        </is>
      </c>
      <c r="C1386" t="inlineStr">
        <is>
          <t>66482289</t>
        </is>
      </c>
      <c r="D1386" t="inlineStr">
        <is>
          <t>10000253</t>
        </is>
      </c>
      <c r="E1386" t="inlineStr"/>
      <c r="F1386" s="11" t="n">
        <v>79</v>
      </c>
      <c r="G1386" t="inlineStr"/>
      <c r="I1386" t="inlineStr">
        <is>
          <t>M3</t>
        </is>
      </c>
      <c r="J1386" t="inlineStr"/>
      <c r="K1386" t="inlineStr">
        <is>
          <t>20190426</t>
        </is>
      </c>
      <c r="L1386" t="inlineStr">
        <is>
          <t>20250127</t>
        </is>
      </c>
    </row>
    <row r="1387">
      <c r="A1387" t="inlineStr">
        <is>
          <t>900003613</t>
        </is>
      </c>
      <c r="B1387" t="inlineStr">
        <is>
          <t>D836</t>
        </is>
      </c>
      <c r="C1387" t="inlineStr">
        <is>
          <t>66482289</t>
        </is>
      </c>
      <c r="D1387" t="inlineStr">
        <is>
          <t>10000627</t>
        </is>
      </c>
      <c r="E1387" t="inlineStr"/>
      <c r="F1387" s="11" t="n">
        <v>76</v>
      </c>
      <c r="G1387" t="inlineStr"/>
      <c r="I1387" t="inlineStr">
        <is>
          <t>M3</t>
        </is>
      </c>
      <c r="J1387" t="inlineStr"/>
      <c r="K1387" t="inlineStr">
        <is>
          <t>20190426</t>
        </is>
      </c>
      <c r="L1387" t="inlineStr">
        <is>
          <t>20250127</t>
        </is>
      </c>
    </row>
    <row r="1388">
      <c r="A1388" t="inlineStr">
        <is>
          <t>900003613</t>
        </is>
      </c>
      <c r="B1388" t="inlineStr">
        <is>
          <t>D836</t>
        </is>
      </c>
      <c r="C1388" t="inlineStr">
        <is>
          <t>66482289</t>
        </is>
      </c>
      <c r="D1388" t="inlineStr">
        <is>
          <t>10059181</t>
        </is>
      </c>
      <c r="E1388" t="inlineStr"/>
      <c r="F1388" s="11" t="n">
        <v>74</v>
      </c>
      <c r="G1388" t="inlineStr"/>
      <c r="I1388" t="inlineStr">
        <is>
          <t>M3</t>
        </is>
      </c>
      <c r="J1388" t="inlineStr"/>
      <c r="K1388" t="inlineStr">
        <is>
          <t>20190426</t>
        </is>
      </c>
      <c r="L1388" t="inlineStr">
        <is>
          <t>20250127</t>
        </is>
      </c>
    </row>
    <row r="1389">
      <c r="A1389" t="inlineStr">
        <is>
          <t>900003613</t>
        </is>
      </c>
      <c r="B1389" t="inlineStr">
        <is>
          <t>D836</t>
        </is>
      </c>
      <c r="C1389" t="inlineStr">
        <is>
          <t>66490957</t>
        </is>
      </c>
      <c r="D1389" t="inlineStr">
        <is>
          <t>10000627</t>
        </is>
      </c>
      <c r="E1389" t="inlineStr"/>
      <c r="F1389" s="11" t="n">
        <v>84.09</v>
      </c>
      <c r="G1389" t="inlineStr"/>
      <c r="I1389" t="inlineStr">
        <is>
          <t>M3</t>
        </is>
      </c>
      <c r="J1389" t="inlineStr"/>
      <c r="K1389" t="inlineStr">
        <is>
          <t>20190426</t>
        </is>
      </c>
      <c r="L1389" t="inlineStr">
        <is>
          <t>20250127</t>
        </is>
      </c>
    </row>
    <row r="1390">
      <c r="A1390" t="inlineStr">
        <is>
          <t>900003613</t>
        </is>
      </c>
      <c r="B1390" t="inlineStr">
        <is>
          <t>D836</t>
        </is>
      </c>
      <c r="C1390" t="inlineStr">
        <is>
          <t>66490957</t>
        </is>
      </c>
      <c r="D1390" t="inlineStr">
        <is>
          <t>10000651</t>
        </is>
      </c>
      <c r="E1390" t="inlineStr"/>
      <c r="F1390" s="11" t="n">
        <v>105</v>
      </c>
      <c r="G1390" t="inlineStr"/>
      <c r="I1390" t="inlineStr">
        <is>
          <t>M3</t>
        </is>
      </c>
      <c r="J1390" t="inlineStr"/>
      <c r="K1390" t="inlineStr">
        <is>
          <t>20190426</t>
        </is>
      </c>
      <c r="L1390" t="inlineStr">
        <is>
          <t>20250127</t>
        </is>
      </c>
    </row>
    <row r="1391">
      <c r="A1391" t="inlineStr">
        <is>
          <t>900003668</t>
        </is>
      </c>
      <c r="B1391" t="inlineStr">
        <is>
          <t>D836</t>
        </is>
      </c>
      <c r="C1391" t="inlineStr">
        <is>
          <t>66422539</t>
        </is>
      </c>
      <c r="D1391" t="inlineStr">
        <is>
          <t>10143807</t>
        </is>
      </c>
      <c r="E1391" t="inlineStr"/>
      <c r="F1391" s="11" t="n">
        <v>435</v>
      </c>
      <c r="G1391" t="inlineStr"/>
      <c r="I1391" t="inlineStr">
        <is>
          <t>TN</t>
        </is>
      </c>
      <c r="J1391" t="inlineStr"/>
      <c r="K1391" t="inlineStr">
        <is>
          <t>20190426</t>
        </is>
      </c>
      <c r="L1391" t="inlineStr">
        <is>
          <t>20250127</t>
        </is>
      </c>
    </row>
    <row r="1392">
      <c r="A1392" t="inlineStr">
        <is>
          <t>900003670</t>
        </is>
      </c>
      <c r="B1392" t="inlineStr">
        <is>
          <t>D836</t>
        </is>
      </c>
      <c r="C1392" t="inlineStr">
        <is>
          <t>65016041</t>
        </is>
      </c>
      <c r="D1392" t="inlineStr">
        <is>
          <t>10135829</t>
        </is>
      </c>
      <c r="E1392" t="inlineStr"/>
      <c r="F1392" s="11" t="n">
        <v>400</v>
      </c>
      <c r="G1392" t="inlineStr"/>
      <c r="I1392" t="inlineStr">
        <is>
          <t>TN</t>
        </is>
      </c>
      <c r="J1392" t="inlineStr"/>
      <c r="K1392" t="inlineStr">
        <is>
          <t>20190426</t>
        </is>
      </c>
      <c r="L1392" t="inlineStr">
        <is>
          <t>20250127</t>
        </is>
      </c>
    </row>
    <row r="1393">
      <c r="A1393" t="inlineStr">
        <is>
          <t>900003845</t>
        </is>
      </c>
      <c r="B1393" t="inlineStr">
        <is>
          <t>D836</t>
        </is>
      </c>
      <c r="C1393" t="inlineStr">
        <is>
          <t>65729122</t>
        </is>
      </c>
      <c r="D1393" t="inlineStr">
        <is>
          <t>10002802</t>
        </is>
      </c>
      <c r="E1393" t="inlineStr"/>
      <c r="F1393" s="11" t="n">
        <v>138</v>
      </c>
      <c r="G1393" t="inlineStr"/>
      <c r="I1393" t="inlineStr">
        <is>
          <t>M3</t>
        </is>
      </c>
      <c r="J1393" t="inlineStr"/>
      <c r="K1393" t="inlineStr">
        <is>
          <t>20190426</t>
        </is>
      </c>
      <c r="L1393" t="inlineStr">
        <is>
          <t>20250127</t>
        </is>
      </c>
    </row>
    <row r="1394">
      <c r="A1394" t="inlineStr">
        <is>
          <t>900003845</t>
        </is>
      </c>
      <c r="B1394" t="inlineStr">
        <is>
          <t>D836</t>
        </is>
      </c>
      <c r="C1394" t="inlineStr">
        <is>
          <t>65908426</t>
        </is>
      </c>
      <c r="D1394" t="inlineStr">
        <is>
          <t>10002802</t>
        </is>
      </c>
      <c r="E1394" t="inlineStr"/>
      <c r="F1394" s="11" t="n">
        <v>133.4</v>
      </c>
      <c r="G1394" t="inlineStr"/>
      <c r="I1394" t="inlineStr">
        <is>
          <t>M3</t>
        </is>
      </c>
      <c r="J1394" t="inlineStr"/>
      <c r="K1394" t="inlineStr">
        <is>
          <t>20190426</t>
        </is>
      </c>
      <c r="L1394" t="inlineStr">
        <is>
          <t>20250127</t>
        </is>
      </c>
    </row>
    <row r="1395">
      <c r="A1395" t="inlineStr">
        <is>
          <t>900003877</t>
        </is>
      </c>
      <c r="B1395" t="inlineStr">
        <is>
          <t>D836</t>
        </is>
      </c>
      <c r="C1395" t="inlineStr">
        <is>
          <t>66779276</t>
        </is>
      </c>
      <c r="D1395" t="inlineStr">
        <is>
          <t>10000632</t>
        </is>
      </c>
      <c r="E1395" t="inlineStr"/>
      <c r="F1395" s="11" t="n">
        <v>158</v>
      </c>
      <c r="G1395" t="inlineStr"/>
      <c r="I1395" t="inlineStr">
        <is>
          <t>M3</t>
        </is>
      </c>
      <c r="J1395" t="inlineStr"/>
      <c r="K1395" t="inlineStr">
        <is>
          <t>20190426</t>
        </is>
      </c>
      <c r="L1395" t="inlineStr">
        <is>
          <t>20250127</t>
        </is>
      </c>
    </row>
    <row r="1396">
      <c r="A1396" t="inlineStr">
        <is>
          <t>900003877</t>
        </is>
      </c>
      <c r="B1396" t="inlineStr">
        <is>
          <t>D836</t>
        </is>
      </c>
      <c r="C1396" t="inlineStr">
        <is>
          <t>66779276</t>
        </is>
      </c>
      <c r="D1396" t="inlineStr">
        <is>
          <t>10000735</t>
        </is>
      </c>
      <c r="E1396" t="inlineStr"/>
      <c r="F1396" s="11" t="n">
        <v>183</v>
      </c>
      <c r="G1396" t="inlineStr"/>
      <c r="I1396" t="inlineStr">
        <is>
          <t>M3</t>
        </is>
      </c>
      <c r="J1396" t="inlineStr"/>
      <c r="K1396" t="inlineStr">
        <is>
          <t>20190426</t>
        </is>
      </c>
      <c r="L1396" t="inlineStr">
        <is>
          <t>20250127</t>
        </is>
      </c>
    </row>
    <row r="1397">
      <c r="A1397" t="inlineStr">
        <is>
          <t>900004077</t>
        </is>
      </c>
      <c r="B1397" t="inlineStr">
        <is>
          <t>D836</t>
        </is>
      </c>
      <c r="C1397" t="inlineStr">
        <is>
          <t>65003945</t>
        </is>
      </c>
      <c r="D1397" t="inlineStr">
        <is>
          <t>10000357</t>
        </is>
      </c>
      <c r="E1397" t="inlineStr"/>
      <c r="F1397" s="11" t="n">
        <v>126</v>
      </c>
      <c r="G1397" t="inlineStr"/>
      <c r="I1397" t="inlineStr">
        <is>
          <t>M3</t>
        </is>
      </c>
      <c r="J1397" t="inlineStr"/>
      <c r="K1397" t="inlineStr">
        <is>
          <t>20190426</t>
        </is>
      </c>
      <c r="L1397" t="inlineStr">
        <is>
          <t>20250127</t>
        </is>
      </c>
    </row>
    <row r="1398">
      <c r="A1398" t="inlineStr">
        <is>
          <t>900004077</t>
        </is>
      </c>
      <c r="B1398" t="inlineStr">
        <is>
          <t>D836</t>
        </is>
      </c>
      <c r="C1398" t="inlineStr">
        <is>
          <t>65003945</t>
        </is>
      </c>
      <c r="D1398" t="inlineStr">
        <is>
          <t>10184011</t>
        </is>
      </c>
      <c r="E1398" t="inlineStr"/>
      <c r="F1398" s="11" t="n">
        <v>126</v>
      </c>
      <c r="G1398" t="inlineStr"/>
      <c r="I1398" t="inlineStr">
        <is>
          <t>M3</t>
        </is>
      </c>
      <c r="J1398" t="inlineStr"/>
      <c r="K1398" t="inlineStr">
        <is>
          <t>20190426</t>
        </is>
      </c>
      <c r="L1398" t="inlineStr">
        <is>
          <t>20250127</t>
        </is>
      </c>
    </row>
    <row r="1399">
      <c r="A1399" t="inlineStr">
        <is>
          <t>900004077</t>
        </is>
      </c>
      <c r="B1399" t="inlineStr">
        <is>
          <t>D836</t>
        </is>
      </c>
      <c r="C1399" t="inlineStr">
        <is>
          <t>65003945</t>
        </is>
      </c>
      <c r="D1399" t="inlineStr">
        <is>
          <t>10184142</t>
        </is>
      </c>
      <c r="E1399" t="inlineStr"/>
      <c r="F1399" s="11" t="n">
        <v>126</v>
      </c>
      <c r="G1399" t="inlineStr"/>
      <c r="I1399" t="inlineStr">
        <is>
          <t>M3</t>
        </is>
      </c>
      <c r="J1399" t="inlineStr"/>
      <c r="K1399" t="inlineStr">
        <is>
          <t>20190426</t>
        </is>
      </c>
      <c r="L1399" t="inlineStr">
        <is>
          <t>20250127</t>
        </is>
      </c>
    </row>
    <row r="1400">
      <c r="A1400" t="inlineStr">
        <is>
          <t>900004077</t>
        </is>
      </c>
      <c r="B1400" t="inlineStr">
        <is>
          <t>D836</t>
        </is>
      </c>
      <c r="C1400" t="inlineStr">
        <is>
          <t>65016451</t>
        </is>
      </c>
      <c r="D1400" t="inlineStr">
        <is>
          <t>10000630</t>
        </is>
      </c>
      <c r="E1400" t="inlineStr"/>
      <c r="F1400" s="11" t="n">
        <v>125</v>
      </c>
      <c r="G1400" t="inlineStr"/>
      <c r="I1400" t="inlineStr">
        <is>
          <t>M3</t>
        </is>
      </c>
      <c r="J1400" t="inlineStr"/>
      <c r="K1400" t="inlineStr">
        <is>
          <t>20190426</t>
        </is>
      </c>
      <c r="L1400" t="inlineStr">
        <is>
          <t>20250127</t>
        </is>
      </c>
    </row>
    <row r="1401">
      <c r="A1401" t="inlineStr">
        <is>
          <t>900004077</t>
        </is>
      </c>
      <c r="B1401" t="inlineStr">
        <is>
          <t>D836</t>
        </is>
      </c>
      <c r="C1401" t="inlineStr">
        <is>
          <t>65713808</t>
        </is>
      </c>
      <c r="D1401" t="inlineStr">
        <is>
          <t>10058345</t>
        </is>
      </c>
      <c r="E1401" t="inlineStr"/>
      <c r="F1401" s="11" t="n">
        <v>140</v>
      </c>
      <c r="G1401" t="inlineStr"/>
      <c r="I1401" t="inlineStr">
        <is>
          <t>M3</t>
        </is>
      </c>
      <c r="J1401" t="inlineStr"/>
      <c r="K1401" t="inlineStr">
        <is>
          <t>20190426</t>
        </is>
      </c>
      <c r="L1401" t="inlineStr">
        <is>
          <t>20250127</t>
        </is>
      </c>
    </row>
    <row r="1402">
      <c r="A1402" t="inlineStr">
        <is>
          <t>900004077</t>
        </is>
      </c>
      <c r="B1402" t="inlineStr">
        <is>
          <t>D836</t>
        </is>
      </c>
      <c r="C1402" t="inlineStr">
        <is>
          <t>65713808</t>
        </is>
      </c>
      <c r="D1402" t="inlineStr">
        <is>
          <t>10184010</t>
        </is>
      </c>
      <c r="E1402" t="inlineStr"/>
      <c r="F1402" s="11" t="n">
        <v>140</v>
      </c>
      <c r="G1402" t="inlineStr"/>
      <c r="I1402" t="inlineStr">
        <is>
          <t>M3</t>
        </is>
      </c>
      <c r="J1402" t="inlineStr"/>
      <c r="K1402" t="inlineStr">
        <is>
          <t>20190426</t>
        </is>
      </c>
      <c r="L1402" t="inlineStr">
        <is>
          <t>20250127</t>
        </is>
      </c>
    </row>
    <row r="1403">
      <c r="A1403" t="inlineStr">
        <is>
          <t>900004077</t>
        </is>
      </c>
      <c r="B1403" t="inlineStr">
        <is>
          <t>D836</t>
        </is>
      </c>
      <c r="C1403" t="inlineStr">
        <is>
          <t>65713808</t>
        </is>
      </c>
      <c r="D1403" t="inlineStr">
        <is>
          <t>10184011</t>
        </is>
      </c>
      <c r="E1403" t="inlineStr"/>
      <c r="F1403" s="11" t="n">
        <v>150</v>
      </c>
      <c r="G1403" t="inlineStr"/>
      <c r="I1403" t="inlineStr">
        <is>
          <t>M3</t>
        </is>
      </c>
      <c r="J1403" t="inlineStr"/>
      <c r="K1403" t="inlineStr">
        <is>
          <t>20190426</t>
        </is>
      </c>
      <c r="L1403" t="inlineStr">
        <is>
          <t>20250127</t>
        </is>
      </c>
    </row>
    <row r="1404">
      <c r="A1404" t="inlineStr">
        <is>
          <t>900004077</t>
        </is>
      </c>
      <c r="B1404" t="inlineStr">
        <is>
          <t>D836</t>
        </is>
      </c>
      <c r="C1404" t="inlineStr">
        <is>
          <t>66260760</t>
        </is>
      </c>
      <c r="D1404" t="inlineStr">
        <is>
          <t>10215377</t>
        </is>
      </c>
      <c r="E1404" t="inlineStr"/>
      <c r="F1404" s="11" t="n">
        <v>135</v>
      </c>
      <c r="G1404" t="inlineStr"/>
      <c r="I1404" t="inlineStr">
        <is>
          <t>M3</t>
        </is>
      </c>
      <c r="J1404" t="inlineStr"/>
      <c r="K1404" t="inlineStr">
        <is>
          <t>20190426</t>
        </is>
      </c>
      <c r="L1404" t="inlineStr">
        <is>
          <t>20250127</t>
        </is>
      </c>
    </row>
    <row r="1405">
      <c r="A1405" t="inlineStr">
        <is>
          <t>900004077</t>
        </is>
      </c>
      <c r="B1405" t="inlineStr">
        <is>
          <t>D836</t>
        </is>
      </c>
      <c r="C1405" t="inlineStr">
        <is>
          <t>66420831</t>
        </is>
      </c>
      <c r="D1405" t="inlineStr">
        <is>
          <t>10000630</t>
        </is>
      </c>
      <c r="E1405" t="inlineStr"/>
      <c r="F1405" s="11" t="n">
        <v>147</v>
      </c>
      <c r="G1405" t="inlineStr"/>
      <c r="I1405" t="inlineStr">
        <is>
          <t>M3</t>
        </is>
      </c>
      <c r="J1405" t="inlineStr"/>
      <c r="K1405" t="inlineStr">
        <is>
          <t>20190426</t>
        </is>
      </c>
      <c r="L1405" t="inlineStr">
        <is>
          <t>20250127</t>
        </is>
      </c>
    </row>
    <row r="1406">
      <c r="A1406" t="inlineStr">
        <is>
          <t>900004077</t>
        </is>
      </c>
      <c r="B1406" t="inlineStr">
        <is>
          <t>D836</t>
        </is>
      </c>
      <c r="C1406" t="inlineStr">
        <is>
          <t>66426100</t>
        </is>
      </c>
      <c r="D1406" t="inlineStr">
        <is>
          <t>10215377</t>
        </is>
      </c>
      <c r="E1406" t="inlineStr"/>
      <c r="F1406" s="11" t="n">
        <v>126</v>
      </c>
      <c r="G1406" t="inlineStr"/>
      <c r="I1406" t="inlineStr">
        <is>
          <t>M3</t>
        </is>
      </c>
      <c r="J1406" t="inlineStr"/>
      <c r="K1406" t="inlineStr">
        <is>
          <t>20190426</t>
        </is>
      </c>
      <c r="L1406" t="inlineStr">
        <is>
          <t>20250127</t>
        </is>
      </c>
    </row>
    <row r="1407">
      <c r="A1407" t="inlineStr">
        <is>
          <t>900004077</t>
        </is>
      </c>
      <c r="B1407" t="inlineStr">
        <is>
          <t>D836</t>
        </is>
      </c>
      <c r="C1407" t="inlineStr">
        <is>
          <t>66433509</t>
        </is>
      </c>
      <c r="D1407" t="inlineStr">
        <is>
          <t>10215377</t>
        </is>
      </c>
      <c r="E1407" t="inlineStr"/>
      <c r="F1407" s="11" t="n">
        <v>126</v>
      </c>
      <c r="G1407" t="inlineStr"/>
      <c r="I1407" t="inlineStr">
        <is>
          <t>M3</t>
        </is>
      </c>
      <c r="J1407" t="inlineStr"/>
      <c r="K1407" t="inlineStr">
        <is>
          <t>20190426</t>
        </is>
      </c>
      <c r="L1407" t="inlineStr">
        <is>
          <t>20250127</t>
        </is>
      </c>
    </row>
    <row r="1408">
      <c r="A1408" t="inlineStr">
        <is>
          <t>900004077</t>
        </is>
      </c>
      <c r="B1408" t="inlineStr">
        <is>
          <t>D836</t>
        </is>
      </c>
      <c r="C1408" t="inlineStr">
        <is>
          <t>66486059</t>
        </is>
      </c>
      <c r="D1408" t="inlineStr">
        <is>
          <t>10215377</t>
        </is>
      </c>
      <c r="E1408" t="inlineStr"/>
      <c r="F1408" s="11" t="n">
        <v>120</v>
      </c>
      <c r="G1408" t="inlineStr"/>
      <c r="I1408" t="inlineStr">
        <is>
          <t>M3</t>
        </is>
      </c>
      <c r="J1408" t="inlineStr"/>
      <c r="K1408" t="inlineStr">
        <is>
          <t>20190426</t>
        </is>
      </c>
      <c r="L1408" t="inlineStr">
        <is>
          <t>20250127</t>
        </is>
      </c>
    </row>
    <row r="1409">
      <c r="A1409" t="inlineStr">
        <is>
          <t>900004077</t>
        </is>
      </c>
      <c r="B1409" t="inlineStr">
        <is>
          <t>D836</t>
        </is>
      </c>
      <c r="C1409" t="inlineStr">
        <is>
          <t>66516656</t>
        </is>
      </c>
      <c r="D1409" t="inlineStr">
        <is>
          <t>10000630</t>
        </is>
      </c>
      <c r="E1409" t="inlineStr"/>
      <c r="F1409" s="11" t="n">
        <v>147</v>
      </c>
      <c r="G1409" t="inlineStr"/>
      <c r="I1409" t="inlineStr">
        <is>
          <t>M3</t>
        </is>
      </c>
      <c r="J1409" t="inlineStr"/>
      <c r="K1409" t="inlineStr">
        <is>
          <t>20190426</t>
        </is>
      </c>
      <c r="L1409" t="inlineStr">
        <is>
          <t>20250127</t>
        </is>
      </c>
    </row>
    <row r="1410">
      <c r="A1410" t="inlineStr">
        <is>
          <t>900004077</t>
        </is>
      </c>
      <c r="B1410" t="inlineStr">
        <is>
          <t>D836</t>
        </is>
      </c>
      <c r="C1410" t="inlineStr">
        <is>
          <t>66825797</t>
        </is>
      </c>
      <c r="D1410" t="inlineStr">
        <is>
          <t>10000623</t>
        </is>
      </c>
      <c r="E1410" t="inlineStr"/>
      <c r="F1410" s="11" t="n">
        <v>150</v>
      </c>
      <c r="G1410" t="inlineStr"/>
      <c r="I1410" t="inlineStr">
        <is>
          <t>M3</t>
        </is>
      </c>
      <c r="J1410" t="inlineStr"/>
      <c r="K1410" t="inlineStr">
        <is>
          <t>20190426</t>
        </is>
      </c>
      <c r="L1410" t="inlineStr">
        <is>
          <t>20250127</t>
        </is>
      </c>
    </row>
    <row r="1411">
      <c r="A1411" t="inlineStr">
        <is>
          <t>900004077</t>
        </is>
      </c>
      <c r="B1411" t="inlineStr">
        <is>
          <t>D836</t>
        </is>
      </c>
      <c r="C1411" t="inlineStr">
        <is>
          <t>66825797</t>
        </is>
      </c>
      <c r="D1411" t="inlineStr">
        <is>
          <t>10184010</t>
        </is>
      </c>
      <c r="E1411" t="inlineStr"/>
      <c r="F1411" s="11" t="n">
        <v>147.5</v>
      </c>
      <c r="G1411" t="inlineStr"/>
      <c r="I1411" t="inlineStr">
        <is>
          <t>M3</t>
        </is>
      </c>
      <c r="J1411" t="inlineStr"/>
      <c r="K1411" t="inlineStr">
        <is>
          <t>20190426</t>
        </is>
      </c>
      <c r="L1411" t="inlineStr">
        <is>
          <t>20250127</t>
        </is>
      </c>
    </row>
    <row r="1412">
      <c r="A1412" t="inlineStr">
        <is>
          <t>900004077</t>
        </is>
      </c>
      <c r="B1412" t="inlineStr">
        <is>
          <t>D836</t>
        </is>
      </c>
      <c r="C1412" t="inlineStr">
        <is>
          <t>66825797</t>
        </is>
      </c>
      <c r="D1412" t="inlineStr">
        <is>
          <t>10184011</t>
        </is>
      </c>
      <c r="E1412" t="inlineStr"/>
      <c r="F1412" s="11" t="n">
        <v>147.5</v>
      </c>
      <c r="G1412" t="inlineStr"/>
      <c r="I1412" t="inlineStr">
        <is>
          <t>M3</t>
        </is>
      </c>
      <c r="J1412" t="inlineStr"/>
      <c r="K1412" t="inlineStr">
        <is>
          <t>20190426</t>
        </is>
      </c>
      <c r="L1412" t="inlineStr">
        <is>
          <t>20250127</t>
        </is>
      </c>
    </row>
    <row r="1413">
      <c r="A1413" t="inlineStr">
        <is>
          <t>900004077</t>
        </is>
      </c>
      <c r="B1413" t="inlineStr">
        <is>
          <t>D836</t>
        </is>
      </c>
      <c r="C1413" t="inlineStr">
        <is>
          <t>66825797</t>
        </is>
      </c>
      <c r="D1413" t="inlineStr">
        <is>
          <t>10184142</t>
        </is>
      </c>
      <c r="E1413" t="inlineStr"/>
      <c r="F1413" s="11" t="n">
        <v>147.5</v>
      </c>
      <c r="G1413" t="inlineStr"/>
      <c r="I1413" t="inlineStr">
        <is>
          <t>M3</t>
        </is>
      </c>
      <c r="J1413" t="inlineStr"/>
      <c r="K1413" t="inlineStr">
        <is>
          <t>20190426</t>
        </is>
      </c>
      <c r="L1413" t="inlineStr">
        <is>
          <t>20250127</t>
        </is>
      </c>
    </row>
    <row r="1414">
      <c r="A1414" t="inlineStr">
        <is>
          <t>900004077</t>
        </is>
      </c>
      <c r="B1414" t="inlineStr">
        <is>
          <t>D836</t>
        </is>
      </c>
      <c r="C1414" t="inlineStr">
        <is>
          <t>66838326</t>
        </is>
      </c>
      <c r="D1414" t="inlineStr">
        <is>
          <t>10000357</t>
        </is>
      </c>
      <c r="E1414" t="inlineStr"/>
      <c r="F1414" s="11" t="n">
        <v>84</v>
      </c>
      <c r="G1414" t="inlineStr"/>
      <c r="I1414" t="inlineStr">
        <is>
          <t>TN</t>
        </is>
      </c>
      <c r="J1414" t="inlineStr"/>
      <c r="K1414" t="inlineStr">
        <is>
          <t>20190426</t>
        </is>
      </c>
      <c r="L1414" t="inlineStr">
        <is>
          <t>20250127</t>
        </is>
      </c>
    </row>
    <row r="1415">
      <c r="A1415" t="inlineStr">
        <is>
          <t>900004077</t>
        </is>
      </c>
      <c r="B1415" t="inlineStr">
        <is>
          <t>D836</t>
        </is>
      </c>
      <c r="C1415" t="inlineStr">
        <is>
          <t>66838326</t>
        </is>
      </c>
      <c r="D1415" t="inlineStr">
        <is>
          <t>10000623</t>
        </is>
      </c>
      <c r="E1415" t="inlineStr"/>
      <c r="F1415" s="11" t="n">
        <v>118</v>
      </c>
      <c r="G1415" t="inlineStr"/>
      <c r="I1415" t="inlineStr">
        <is>
          <t>TN</t>
        </is>
      </c>
      <c r="J1415" t="inlineStr"/>
      <c r="K1415" t="inlineStr">
        <is>
          <t>20190426</t>
        </is>
      </c>
      <c r="L1415" t="inlineStr">
        <is>
          <t>20250127</t>
        </is>
      </c>
    </row>
    <row r="1416">
      <c r="A1416" t="inlineStr">
        <is>
          <t>900004077</t>
        </is>
      </c>
      <c r="B1416" t="inlineStr">
        <is>
          <t>D836</t>
        </is>
      </c>
      <c r="C1416" t="inlineStr">
        <is>
          <t>66838326</t>
        </is>
      </c>
      <c r="D1416" t="inlineStr">
        <is>
          <t>10000627</t>
        </is>
      </c>
      <c r="E1416" t="inlineStr"/>
      <c r="F1416" s="11" t="n">
        <v>105</v>
      </c>
      <c r="G1416" t="inlineStr"/>
      <c r="I1416" t="inlineStr">
        <is>
          <t>M3</t>
        </is>
      </c>
      <c r="J1416" t="inlineStr"/>
      <c r="K1416" t="inlineStr">
        <is>
          <t>20190426</t>
        </is>
      </c>
      <c r="L1416" t="inlineStr">
        <is>
          <t>20250127</t>
        </is>
      </c>
    </row>
    <row r="1417">
      <c r="A1417" t="inlineStr">
        <is>
          <t>900004077</t>
        </is>
      </c>
      <c r="B1417" t="inlineStr">
        <is>
          <t>D836</t>
        </is>
      </c>
      <c r="C1417" t="inlineStr">
        <is>
          <t>66838326</t>
        </is>
      </c>
      <c r="D1417" t="inlineStr">
        <is>
          <t>10184010</t>
        </is>
      </c>
      <c r="E1417" t="inlineStr"/>
      <c r="F1417" s="11" t="n">
        <v>118</v>
      </c>
      <c r="G1417" t="inlineStr"/>
      <c r="I1417" t="inlineStr">
        <is>
          <t>TN</t>
        </is>
      </c>
      <c r="J1417" t="inlineStr"/>
      <c r="K1417" t="inlineStr">
        <is>
          <t>20190426</t>
        </is>
      </c>
      <c r="L1417" t="inlineStr">
        <is>
          <t>20250127</t>
        </is>
      </c>
    </row>
    <row r="1418">
      <c r="A1418" t="inlineStr">
        <is>
          <t>900004077</t>
        </is>
      </c>
      <c r="B1418" t="inlineStr">
        <is>
          <t>D836</t>
        </is>
      </c>
      <c r="C1418" t="inlineStr">
        <is>
          <t>66838326</t>
        </is>
      </c>
      <c r="D1418" t="inlineStr">
        <is>
          <t>10184011</t>
        </is>
      </c>
      <c r="E1418" t="inlineStr"/>
      <c r="F1418" s="11" t="n">
        <v>118</v>
      </c>
      <c r="G1418" t="inlineStr"/>
      <c r="I1418" t="inlineStr">
        <is>
          <t>TN</t>
        </is>
      </c>
      <c r="J1418" t="inlineStr"/>
      <c r="K1418" t="inlineStr">
        <is>
          <t>20190426</t>
        </is>
      </c>
      <c r="L1418" t="inlineStr">
        <is>
          <t>20250127</t>
        </is>
      </c>
    </row>
    <row r="1419">
      <c r="A1419" t="inlineStr">
        <is>
          <t>900004077</t>
        </is>
      </c>
      <c r="B1419" t="inlineStr">
        <is>
          <t>D836</t>
        </is>
      </c>
      <c r="C1419" t="inlineStr">
        <is>
          <t>66838326</t>
        </is>
      </c>
      <c r="D1419" t="inlineStr">
        <is>
          <t>10184142</t>
        </is>
      </c>
      <c r="E1419" t="inlineStr"/>
      <c r="F1419" s="11" t="n">
        <v>118</v>
      </c>
      <c r="G1419" t="inlineStr"/>
      <c r="I1419" t="inlineStr">
        <is>
          <t>TN</t>
        </is>
      </c>
      <c r="J1419" t="inlineStr"/>
      <c r="K1419" t="inlineStr">
        <is>
          <t>20190426</t>
        </is>
      </c>
      <c r="L1419" t="inlineStr">
        <is>
          <t>20250127</t>
        </is>
      </c>
    </row>
    <row r="1420">
      <c r="A1420" t="inlineStr">
        <is>
          <t>900004077</t>
        </is>
      </c>
      <c r="B1420" t="inlineStr">
        <is>
          <t>D836</t>
        </is>
      </c>
      <c r="C1420" t="inlineStr">
        <is>
          <t>66838326</t>
        </is>
      </c>
      <c r="D1420" t="inlineStr">
        <is>
          <t>10192909</t>
        </is>
      </c>
      <c r="E1420" t="inlineStr"/>
      <c r="F1420" s="11" t="n">
        <v>110</v>
      </c>
      <c r="G1420" t="inlineStr"/>
      <c r="I1420" t="inlineStr">
        <is>
          <t>TN</t>
        </is>
      </c>
      <c r="J1420" t="inlineStr"/>
      <c r="K1420" t="inlineStr">
        <is>
          <t>20190426</t>
        </is>
      </c>
      <c r="L1420" t="inlineStr">
        <is>
          <t>20250127</t>
        </is>
      </c>
    </row>
    <row r="1421">
      <c r="A1421" t="inlineStr">
        <is>
          <t>900004077</t>
        </is>
      </c>
      <c r="B1421" t="inlineStr">
        <is>
          <t>D836</t>
        </is>
      </c>
      <c r="C1421" t="inlineStr">
        <is>
          <t>66838326</t>
        </is>
      </c>
      <c r="D1421" t="inlineStr">
        <is>
          <t>10192940</t>
        </is>
      </c>
      <c r="E1421" t="inlineStr"/>
      <c r="F1421" s="11" t="n">
        <v>100</v>
      </c>
      <c r="G1421" t="inlineStr"/>
      <c r="I1421" t="inlineStr">
        <is>
          <t>TN</t>
        </is>
      </c>
      <c r="J1421" t="inlineStr"/>
      <c r="K1421" t="inlineStr">
        <is>
          <t>20190426</t>
        </is>
      </c>
      <c r="L1421" t="inlineStr">
        <is>
          <t>20250127</t>
        </is>
      </c>
    </row>
    <row r="1422">
      <c r="A1422" t="inlineStr">
        <is>
          <t>900004077</t>
        </is>
      </c>
      <c r="B1422" t="inlineStr">
        <is>
          <t>D836</t>
        </is>
      </c>
      <c r="C1422" t="inlineStr">
        <is>
          <t>66838326</t>
        </is>
      </c>
      <c r="D1422" t="inlineStr">
        <is>
          <t>10192941</t>
        </is>
      </c>
      <c r="E1422" t="inlineStr"/>
      <c r="F1422" s="11" t="n">
        <v>130</v>
      </c>
      <c r="G1422" t="inlineStr"/>
      <c r="I1422" t="inlineStr">
        <is>
          <t>TN</t>
        </is>
      </c>
      <c r="J1422" t="inlineStr"/>
      <c r="K1422" t="inlineStr">
        <is>
          <t>20190426</t>
        </is>
      </c>
      <c r="L1422" t="inlineStr">
        <is>
          <t>20250127</t>
        </is>
      </c>
    </row>
    <row r="1423">
      <c r="A1423" t="inlineStr">
        <is>
          <t>900004077</t>
        </is>
      </c>
      <c r="B1423" t="inlineStr">
        <is>
          <t>D836</t>
        </is>
      </c>
      <c r="C1423" t="inlineStr">
        <is>
          <t>66838326</t>
        </is>
      </c>
      <c r="D1423" t="inlineStr">
        <is>
          <t>10192942</t>
        </is>
      </c>
      <c r="E1423" t="inlineStr"/>
      <c r="F1423" s="11" t="n">
        <v>102</v>
      </c>
      <c r="G1423" t="inlineStr"/>
      <c r="I1423" t="inlineStr">
        <is>
          <t>TN</t>
        </is>
      </c>
      <c r="J1423" t="inlineStr"/>
      <c r="K1423" t="inlineStr">
        <is>
          <t>20190426</t>
        </is>
      </c>
      <c r="L1423" t="inlineStr">
        <is>
          <t>20250127</t>
        </is>
      </c>
    </row>
    <row r="1424">
      <c r="A1424" t="inlineStr">
        <is>
          <t>900004077</t>
        </is>
      </c>
      <c r="B1424" t="inlineStr">
        <is>
          <t>D836</t>
        </is>
      </c>
      <c r="C1424" t="inlineStr">
        <is>
          <t>66838326</t>
        </is>
      </c>
      <c r="D1424" t="inlineStr">
        <is>
          <t>10192943</t>
        </is>
      </c>
      <c r="E1424" t="inlineStr"/>
      <c r="F1424" s="11" t="n">
        <v>126</v>
      </c>
      <c r="G1424" t="inlineStr"/>
      <c r="I1424" t="inlineStr">
        <is>
          <t>TN</t>
        </is>
      </c>
      <c r="J1424" t="inlineStr"/>
      <c r="K1424" t="inlineStr">
        <is>
          <t>20190426</t>
        </is>
      </c>
      <c r="L1424" t="inlineStr">
        <is>
          <t>20250127</t>
        </is>
      </c>
    </row>
    <row r="1425">
      <c r="A1425" t="inlineStr">
        <is>
          <t>900004077</t>
        </is>
      </c>
      <c r="B1425" t="inlineStr">
        <is>
          <t>D836</t>
        </is>
      </c>
      <c r="C1425" t="inlineStr">
        <is>
          <t>66838326</t>
        </is>
      </c>
      <c r="D1425" t="inlineStr">
        <is>
          <t>10192944</t>
        </is>
      </c>
      <c r="E1425" t="inlineStr"/>
      <c r="F1425" s="11" t="n">
        <v>126</v>
      </c>
      <c r="G1425" t="inlineStr"/>
      <c r="I1425" t="inlineStr">
        <is>
          <t>TN</t>
        </is>
      </c>
      <c r="J1425" t="inlineStr"/>
      <c r="K1425" t="inlineStr">
        <is>
          <t>20190426</t>
        </is>
      </c>
      <c r="L1425" t="inlineStr">
        <is>
          <t>20250127</t>
        </is>
      </c>
    </row>
    <row r="1426">
      <c r="A1426" t="inlineStr">
        <is>
          <t>900004077</t>
        </is>
      </c>
      <c r="B1426" t="inlineStr">
        <is>
          <t>D836</t>
        </is>
      </c>
      <c r="C1426" t="inlineStr">
        <is>
          <t>66838326</t>
        </is>
      </c>
      <c r="D1426" t="inlineStr">
        <is>
          <t>10192945</t>
        </is>
      </c>
      <c r="E1426" t="inlineStr"/>
      <c r="F1426" s="11" t="n">
        <v>126</v>
      </c>
      <c r="G1426" t="inlineStr"/>
      <c r="I1426" t="inlineStr">
        <is>
          <t>TN</t>
        </is>
      </c>
      <c r="J1426" t="inlineStr"/>
      <c r="K1426" t="inlineStr">
        <is>
          <t>20190426</t>
        </is>
      </c>
      <c r="L1426" t="inlineStr">
        <is>
          <t>20250127</t>
        </is>
      </c>
    </row>
    <row r="1427">
      <c r="A1427" t="inlineStr">
        <is>
          <t>900004077</t>
        </is>
      </c>
      <c r="B1427" t="inlineStr">
        <is>
          <t>D836</t>
        </is>
      </c>
      <c r="C1427" t="inlineStr">
        <is>
          <t>66853813</t>
        </is>
      </c>
      <c r="D1427" t="inlineStr">
        <is>
          <t>10215377</t>
        </is>
      </c>
      <c r="E1427" t="inlineStr"/>
      <c r="F1427" s="11" t="n">
        <v>134</v>
      </c>
      <c r="G1427" t="inlineStr"/>
      <c r="I1427" t="inlineStr">
        <is>
          <t>M3</t>
        </is>
      </c>
      <c r="J1427" t="inlineStr"/>
      <c r="K1427" t="inlineStr">
        <is>
          <t>20190426</t>
        </is>
      </c>
      <c r="L1427" t="inlineStr">
        <is>
          <t>20250127</t>
        </is>
      </c>
    </row>
    <row r="1428">
      <c r="A1428" t="inlineStr">
        <is>
          <t>900004077</t>
        </is>
      </c>
      <c r="B1428" t="inlineStr">
        <is>
          <t>D836</t>
        </is>
      </c>
      <c r="C1428" t="inlineStr">
        <is>
          <t>66865547</t>
        </is>
      </c>
      <c r="D1428" t="inlineStr">
        <is>
          <t>10000357</t>
        </is>
      </c>
      <c r="E1428" t="inlineStr"/>
      <c r="F1428" s="11" t="n">
        <v>84</v>
      </c>
      <c r="G1428" t="inlineStr"/>
      <c r="I1428" t="inlineStr">
        <is>
          <t>TN</t>
        </is>
      </c>
      <c r="J1428" t="inlineStr"/>
      <c r="K1428" t="inlineStr">
        <is>
          <t>20190426</t>
        </is>
      </c>
      <c r="L1428" t="inlineStr">
        <is>
          <t>20250127</t>
        </is>
      </c>
    </row>
    <row r="1429">
      <c r="A1429" t="inlineStr">
        <is>
          <t>900004077</t>
        </is>
      </c>
      <c r="B1429" t="inlineStr">
        <is>
          <t>D836</t>
        </is>
      </c>
      <c r="C1429" t="inlineStr">
        <is>
          <t>66865547</t>
        </is>
      </c>
      <c r="D1429" t="inlineStr">
        <is>
          <t>10000623</t>
        </is>
      </c>
      <c r="E1429" t="inlineStr"/>
      <c r="F1429" s="11" t="n">
        <v>118</v>
      </c>
      <c r="G1429" t="inlineStr"/>
      <c r="I1429" t="inlineStr">
        <is>
          <t>TN</t>
        </is>
      </c>
      <c r="J1429" t="inlineStr"/>
      <c r="K1429" t="inlineStr">
        <is>
          <t>20190426</t>
        </is>
      </c>
      <c r="L1429" t="inlineStr">
        <is>
          <t>20250127</t>
        </is>
      </c>
    </row>
    <row r="1430">
      <c r="A1430" t="inlineStr">
        <is>
          <t>900004077</t>
        </is>
      </c>
      <c r="B1430" t="inlineStr">
        <is>
          <t>D836</t>
        </is>
      </c>
      <c r="C1430" t="inlineStr">
        <is>
          <t>66865547</t>
        </is>
      </c>
      <c r="D1430" t="inlineStr">
        <is>
          <t>10000627</t>
        </is>
      </c>
      <c r="E1430" t="inlineStr"/>
      <c r="F1430" s="11" t="n">
        <v>110</v>
      </c>
      <c r="G1430" t="inlineStr"/>
      <c r="I1430" t="inlineStr">
        <is>
          <t>M3</t>
        </is>
      </c>
      <c r="J1430" t="inlineStr"/>
      <c r="K1430" t="inlineStr">
        <is>
          <t>20190426</t>
        </is>
      </c>
      <c r="L1430" t="inlineStr">
        <is>
          <t>20250127</t>
        </is>
      </c>
    </row>
    <row r="1431">
      <c r="A1431" t="inlineStr">
        <is>
          <t>900004077</t>
        </is>
      </c>
      <c r="B1431" t="inlineStr">
        <is>
          <t>D836</t>
        </is>
      </c>
      <c r="C1431" t="inlineStr">
        <is>
          <t>66865547</t>
        </is>
      </c>
      <c r="D1431" t="inlineStr">
        <is>
          <t>10184010</t>
        </is>
      </c>
      <c r="E1431" t="inlineStr"/>
      <c r="F1431" s="11" t="n">
        <v>118</v>
      </c>
      <c r="G1431" t="inlineStr"/>
      <c r="I1431" t="inlineStr">
        <is>
          <t>TN</t>
        </is>
      </c>
      <c r="J1431" t="inlineStr"/>
      <c r="K1431" t="inlineStr">
        <is>
          <t>20190426</t>
        </is>
      </c>
      <c r="L1431" t="inlineStr">
        <is>
          <t>20250127</t>
        </is>
      </c>
    </row>
    <row r="1432">
      <c r="A1432" t="inlineStr">
        <is>
          <t>900004077</t>
        </is>
      </c>
      <c r="B1432" t="inlineStr">
        <is>
          <t>D836</t>
        </is>
      </c>
      <c r="C1432" t="inlineStr">
        <is>
          <t>66865547</t>
        </is>
      </c>
      <c r="D1432" t="inlineStr">
        <is>
          <t>10184011</t>
        </is>
      </c>
      <c r="E1432" t="inlineStr"/>
      <c r="F1432" s="11" t="n">
        <v>118</v>
      </c>
      <c r="G1432" t="inlineStr"/>
      <c r="I1432" t="inlineStr">
        <is>
          <t>TN</t>
        </is>
      </c>
      <c r="J1432" t="inlineStr"/>
      <c r="K1432" t="inlineStr">
        <is>
          <t>20190426</t>
        </is>
      </c>
      <c r="L1432" t="inlineStr">
        <is>
          <t>20250127</t>
        </is>
      </c>
    </row>
    <row r="1433">
      <c r="A1433" t="inlineStr">
        <is>
          <t>900004077</t>
        </is>
      </c>
      <c r="B1433" t="inlineStr">
        <is>
          <t>D836</t>
        </is>
      </c>
      <c r="C1433" t="inlineStr">
        <is>
          <t>66865547</t>
        </is>
      </c>
      <c r="D1433" t="inlineStr">
        <is>
          <t>10184142</t>
        </is>
      </c>
      <c r="E1433" t="inlineStr"/>
      <c r="F1433" s="11" t="n">
        <v>118</v>
      </c>
      <c r="G1433" t="inlineStr"/>
      <c r="I1433" t="inlineStr">
        <is>
          <t>TN</t>
        </is>
      </c>
      <c r="J1433" t="inlineStr"/>
      <c r="K1433" t="inlineStr">
        <is>
          <t>20190426</t>
        </is>
      </c>
      <c r="L1433" t="inlineStr">
        <is>
          <t>20250127</t>
        </is>
      </c>
    </row>
    <row r="1434">
      <c r="A1434" t="inlineStr">
        <is>
          <t>900004077</t>
        </is>
      </c>
      <c r="B1434" t="inlineStr">
        <is>
          <t>D836</t>
        </is>
      </c>
      <c r="C1434" t="inlineStr">
        <is>
          <t>66874616</t>
        </is>
      </c>
      <c r="D1434" t="inlineStr">
        <is>
          <t>10192909</t>
        </is>
      </c>
      <c r="E1434" t="inlineStr"/>
      <c r="F1434" s="11" t="n">
        <v>110</v>
      </c>
      <c r="G1434" t="inlineStr"/>
      <c r="I1434" t="inlineStr">
        <is>
          <t>TN</t>
        </is>
      </c>
      <c r="J1434" t="inlineStr"/>
      <c r="K1434" t="inlineStr">
        <is>
          <t>20190426</t>
        </is>
      </c>
      <c r="L1434" t="inlineStr">
        <is>
          <t>20250127</t>
        </is>
      </c>
    </row>
    <row r="1435">
      <c r="A1435" t="inlineStr">
        <is>
          <t>900004077</t>
        </is>
      </c>
      <c r="B1435" t="inlineStr">
        <is>
          <t>D836</t>
        </is>
      </c>
      <c r="C1435" t="inlineStr">
        <is>
          <t>66874616</t>
        </is>
      </c>
      <c r="D1435" t="inlineStr">
        <is>
          <t>10192940</t>
        </is>
      </c>
      <c r="E1435" t="inlineStr"/>
      <c r="F1435" s="11" t="n">
        <v>100</v>
      </c>
      <c r="G1435" t="inlineStr"/>
      <c r="I1435" t="inlineStr">
        <is>
          <t>TN</t>
        </is>
      </c>
      <c r="J1435" t="inlineStr"/>
      <c r="K1435" t="inlineStr">
        <is>
          <t>20190426</t>
        </is>
      </c>
      <c r="L1435" t="inlineStr">
        <is>
          <t>20250127</t>
        </is>
      </c>
    </row>
    <row r="1436">
      <c r="A1436" t="inlineStr">
        <is>
          <t>900004077</t>
        </is>
      </c>
      <c r="B1436" t="inlineStr">
        <is>
          <t>D836</t>
        </is>
      </c>
      <c r="C1436" t="inlineStr">
        <is>
          <t>66874616</t>
        </is>
      </c>
      <c r="D1436" t="inlineStr">
        <is>
          <t>10192941</t>
        </is>
      </c>
      <c r="E1436" t="inlineStr"/>
      <c r="F1436" s="11" t="n">
        <v>130</v>
      </c>
      <c r="G1436" t="inlineStr"/>
      <c r="I1436" t="inlineStr">
        <is>
          <t>TN</t>
        </is>
      </c>
      <c r="J1436" t="inlineStr"/>
      <c r="K1436" t="inlineStr">
        <is>
          <t>20190426</t>
        </is>
      </c>
      <c r="L1436" t="inlineStr">
        <is>
          <t>20250127</t>
        </is>
      </c>
    </row>
    <row r="1437">
      <c r="A1437" t="inlineStr">
        <is>
          <t>900004077</t>
        </is>
      </c>
      <c r="B1437" t="inlineStr">
        <is>
          <t>D836</t>
        </is>
      </c>
      <c r="C1437" t="inlineStr">
        <is>
          <t>66874616</t>
        </is>
      </c>
      <c r="D1437" t="inlineStr">
        <is>
          <t>10192942</t>
        </is>
      </c>
      <c r="E1437" t="inlineStr"/>
      <c r="F1437" s="11" t="n">
        <v>102</v>
      </c>
      <c r="G1437" t="inlineStr"/>
      <c r="I1437" t="inlineStr">
        <is>
          <t>TN</t>
        </is>
      </c>
      <c r="J1437" t="inlineStr"/>
      <c r="K1437" t="inlineStr">
        <is>
          <t>20190426</t>
        </is>
      </c>
      <c r="L1437" t="inlineStr">
        <is>
          <t>20250127</t>
        </is>
      </c>
    </row>
    <row r="1438">
      <c r="A1438" t="inlineStr">
        <is>
          <t>900004077</t>
        </is>
      </c>
      <c r="B1438" t="inlineStr">
        <is>
          <t>D836</t>
        </is>
      </c>
      <c r="C1438" t="inlineStr">
        <is>
          <t>66874616</t>
        </is>
      </c>
      <c r="D1438" t="inlineStr">
        <is>
          <t>10192943</t>
        </is>
      </c>
      <c r="E1438" t="inlineStr"/>
      <c r="F1438" s="11" t="n">
        <v>126</v>
      </c>
      <c r="G1438" t="inlineStr"/>
      <c r="I1438" t="inlineStr">
        <is>
          <t>TN</t>
        </is>
      </c>
      <c r="J1438" t="inlineStr"/>
      <c r="K1438" t="inlineStr">
        <is>
          <t>20190426</t>
        </is>
      </c>
      <c r="L1438" t="inlineStr">
        <is>
          <t>20250127</t>
        </is>
      </c>
    </row>
    <row r="1439">
      <c r="A1439" t="inlineStr">
        <is>
          <t>900004077</t>
        </is>
      </c>
      <c r="B1439" t="inlineStr">
        <is>
          <t>D836</t>
        </is>
      </c>
      <c r="C1439" t="inlineStr">
        <is>
          <t>66874616</t>
        </is>
      </c>
      <c r="D1439" t="inlineStr">
        <is>
          <t>10192944</t>
        </is>
      </c>
      <c r="E1439" t="inlineStr"/>
      <c r="F1439" s="11" t="n">
        <v>126</v>
      </c>
      <c r="G1439" t="inlineStr"/>
      <c r="I1439" t="inlineStr">
        <is>
          <t>TN</t>
        </is>
      </c>
      <c r="J1439" t="inlineStr"/>
      <c r="K1439" t="inlineStr">
        <is>
          <t>20190426</t>
        </is>
      </c>
      <c r="L1439" t="inlineStr">
        <is>
          <t>20250127</t>
        </is>
      </c>
    </row>
    <row r="1440">
      <c r="A1440" t="inlineStr">
        <is>
          <t>900004077</t>
        </is>
      </c>
      <c r="B1440" t="inlineStr">
        <is>
          <t>D836</t>
        </is>
      </c>
      <c r="C1440" t="inlineStr">
        <is>
          <t>66874616</t>
        </is>
      </c>
      <c r="D1440" t="inlineStr">
        <is>
          <t>10192945</t>
        </is>
      </c>
      <c r="E1440" t="inlineStr"/>
      <c r="F1440" s="11" t="n">
        <v>126</v>
      </c>
      <c r="G1440" t="inlineStr"/>
      <c r="I1440" t="inlineStr">
        <is>
          <t>TN</t>
        </is>
      </c>
      <c r="J1440" t="inlineStr"/>
      <c r="K1440" t="inlineStr">
        <is>
          <t>20190426</t>
        </is>
      </c>
      <c r="L1440" t="inlineStr">
        <is>
          <t>20250127</t>
        </is>
      </c>
    </row>
    <row r="1441">
      <c r="A1441" t="inlineStr">
        <is>
          <t>900004077</t>
        </is>
      </c>
      <c r="B1441" t="inlineStr">
        <is>
          <t>D836</t>
        </is>
      </c>
      <c r="C1441" t="inlineStr">
        <is>
          <t>66874616</t>
        </is>
      </c>
      <c r="D1441" t="inlineStr">
        <is>
          <t>10215377</t>
        </is>
      </c>
      <c r="E1441" t="inlineStr"/>
      <c r="F1441" s="11" t="n">
        <v>126</v>
      </c>
      <c r="G1441" t="inlineStr"/>
      <c r="I1441" t="inlineStr">
        <is>
          <t>M3</t>
        </is>
      </c>
      <c r="J1441" t="inlineStr"/>
      <c r="K1441" t="inlineStr">
        <is>
          <t>20190426</t>
        </is>
      </c>
      <c r="L1441" t="inlineStr">
        <is>
          <t>20250127</t>
        </is>
      </c>
    </row>
    <row r="1442">
      <c r="A1442" t="inlineStr">
        <is>
          <t>900004077</t>
        </is>
      </c>
      <c r="B1442" t="inlineStr">
        <is>
          <t>D836</t>
        </is>
      </c>
      <c r="C1442" t="inlineStr">
        <is>
          <t>66898280</t>
        </is>
      </c>
      <c r="D1442" t="inlineStr">
        <is>
          <t>10000623</t>
        </is>
      </c>
      <c r="E1442" t="inlineStr"/>
      <c r="F1442" s="11" t="n">
        <v>150</v>
      </c>
      <c r="G1442" t="inlineStr"/>
      <c r="I1442" t="inlineStr">
        <is>
          <t>M3</t>
        </is>
      </c>
      <c r="J1442" t="inlineStr"/>
      <c r="K1442" t="inlineStr">
        <is>
          <t>20190426</t>
        </is>
      </c>
      <c r="L1442" t="inlineStr">
        <is>
          <t>20250127</t>
        </is>
      </c>
    </row>
    <row r="1443">
      <c r="A1443" t="inlineStr">
        <is>
          <t>900004077</t>
        </is>
      </c>
      <c r="B1443" t="inlineStr">
        <is>
          <t>D836</t>
        </is>
      </c>
      <c r="C1443" t="inlineStr">
        <is>
          <t>66898280</t>
        </is>
      </c>
      <c r="D1443" t="inlineStr">
        <is>
          <t>10184010</t>
        </is>
      </c>
      <c r="E1443" t="inlineStr"/>
      <c r="F1443" s="11" t="n">
        <v>147.5</v>
      </c>
      <c r="G1443" t="inlineStr"/>
      <c r="I1443" t="inlineStr">
        <is>
          <t>M3</t>
        </is>
      </c>
      <c r="J1443" t="inlineStr"/>
      <c r="K1443" t="inlineStr">
        <is>
          <t>20190426</t>
        </is>
      </c>
      <c r="L1443" t="inlineStr">
        <is>
          <t>20250127</t>
        </is>
      </c>
    </row>
    <row r="1444">
      <c r="A1444" t="inlineStr">
        <is>
          <t>900004077</t>
        </is>
      </c>
      <c r="B1444" t="inlineStr">
        <is>
          <t>D836</t>
        </is>
      </c>
      <c r="C1444" t="inlineStr">
        <is>
          <t>66898280</t>
        </is>
      </c>
      <c r="D1444" t="inlineStr">
        <is>
          <t>10184011</t>
        </is>
      </c>
      <c r="E1444" t="inlineStr"/>
      <c r="F1444" s="11" t="n">
        <v>147.5</v>
      </c>
      <c r="G1444" t="inlineStr"/>
      <c r="I1444" t="inlineStr">
        <is>
          <t>M3</t>
        </is>
      </c>
      <c r="J1444" t="inlineStr"/>
      <c r="K1444" t="inlineStr">
        <is>
          <t>20190426</t>
        </is>
      </c>
      <c r="L1444" t="inlineStr">
        <is>
          <t>20250127</t>
        </is>
      </c>
    </row>
    <row r="1445">
      <c r="A1445" t="inlineStr">
        <is>
          <t>900004077</t>
        </is>
      </c>
      <c r="B1445" t="inlineStr">
        <is>
          <t>D836</t>
        </is>
      </c>
      <c r="C1445" t="inlineStr">
        <is>
          <t>66898280</t>
        </is>
      </c>
      <c r="D1445" t="inlineStr">
        <is>
          <t>10184142</t>
        </is>
      </c>
      <c r="E1445" t="inlineStr"/>
      <c r="F1445" s="11" t="n">
        <v>147.5</v>
      </c>
      <c r="G1445" t="inlineStr"/>
      <c r="I1445" t="inlineStr">
        <is>
          <t>M3</t>
        </is>
      </c>
      <c r="J1445" t="inlineStr"/>
      <c r="K1445" t="inlineStr">
        <is>
          <t>20190426</t>
        </is>
      </c>
      <c r="L1445" t="inlineStr">
        <is>
          <t>20250127</t>
        </is>
      </c>
    </row>
    <row r="1446">
      <c r="A1446" t="inlineStr">
        <is>
          <t>900004077</t>
        </is>
      </c>
      <c r="B1446" t="inlineStr">
        <is>
          <t>D836</t>
        </is>
      </c>
      <c r="C1446" t="inlineStr">
        <is>
          <t>66898281</t>
        </is>
      </c>
      <c r="D1446" t="inlineStr">
        <is>
          <t>10000623</t>
        </is>
      </c>
      <c r="E1446" t="inlineStr"/>
      <c r="F1446" s="11" t="n">
        <v>150</v>
      </c>
      <c r="G1446" t="inlineStr"/>
      <c r="I1446" t="inlineStr">
        <is>
          <t>M3</t>
        </is>
      </c>
      <c r="J1446" t="inlineStr"/>
      <c r="K1446" t="inlineStr">
        <is>
          <t>20190426</t>
        </is>
      </c>
      <c r="L1446" t="inlineStr">
        <is>
          <t>20250127</t>
        </is>
      </c>
    </row>
    <row r="1447">
      <c r="A1447" t="inlineStr">
        <is>
          <t>900004077</t>
        </is>
      </c>
      <c r="B1447" t="inlineStr">
        <is>
          <t>D836</t>
        </is>
      </c>
      <c r="C1447" t="inlineStr">
        <is>
          <t>66898281</t>
        </is>
      </c>
      <c r="D1447" t="inlineStr">
        <is>
          <t>10184010</t>
        </is>
      </c>
      <c r="E1447" t="inlineStr"/>
      <c r="F1447" s="11" t="n">
        <v>147.5</v>
      </c>
      <c r="G1447" t="inlineStr"/>
      <c r="I1447" t="inlineStr">
        <is>
          <t>M3</t>
        </is>
      </c>
      <c r="J1447" t="inlineStr"/>
      <c r="K1447" t="inlineStr">
        <is>
          <t>20190426</t>
        </is>
      </c>
      <c r="L1447" t="inlineStr">
        <is>
          <t>20250127</t>
        </is>
      </c>
    </row>
    <row r="1448">
      <c r="A1448" t="inlineStr">
        <is>
          <t>900004077</t>
        </is>
      </c>
      <c r="B1448" t="inlineStr">
        <is>
          <t>D836</t>
        </is>
      </c>
      <c r="C1448" t="inlineStr">
        <is>
          <t>66898281</t>
        </is>
      </c>
      <c r="D1448" t="inlineStr">
        <is>
          <t>10184011</t>
        </is>
      </c>
      <c r="E1448" t="inlineStr"/>
      <c r="F1448" s="11" t="n">
        <v>147.5</v>
      </c>
      <c r="G1448" t="inlineStr"/>
      <c r="I1448" t="inlineStr">
        <is>
          <t>M3</t>
        </is>
      </c>
      <c r="J1448" t="inlineStr"/>
      <c r="K1448" t="inlineStr">
        <is>
          <t>20190426</t>
        </is>
      </c>
      <c r="L1448" t="inlineStr">
        <is>
          <t>20250127</t>
        </is>
      </c>
    </row>
    <row r="1449">
      <c r="A1449" t="inlineStr">
        <is>
          <t>900004077</t>
        </is>
      </c>
      <c r="B1449" t="inlineStr">
        <is>
          <t>D836</t>
        </is>
      </c>
      <c r="C1449" t="inlineStr">
        <is>
          <t>66898281</t>
        </is>
      </c>
      <c r="D1449" t="inlineStr">
        <is>
          <t>10184142</t>
        </is>
      </c>
      <c r="E1449" t="inlineStr"/>
      <c r="F1449" s="11" t="n">
        <v>147.5</v>
      </c>
      <c r="G1449" t="inlineStr"/>
      <c r="I1449" t="inlineStr">
        <is>
          <t>M3</t>
        </is>
      </c>
      <c r="J1449" t="inlineStr"/>
      <c r="K1449" t="inlineStr">
        <is>
          <t>20190426</t>
        </is>
      </c>
      <c r="L1449" t="inlineStr">
        <is>
          <t>20250127</t>
        </is>
      </c>
    </row>
    <row r="1450">
      <c r="A1450" t="inlineStr">
        <is>
          <t>900004077</t>
        </is>
      </c>
      <c r="B1450" t="inlineStr">
        <is>
          <t>D836</t>
        </is>
      </c>
      <c r="C1450" t="inlineStr">
        <is>
          <t>66898281</t>
        </is>
      </c>
      <c r="D1450" t="inlineStr">
        <is>
          <t>10192944</t>
        </is>
      </c>
      <c r="E1450" t="inlineStr"/>
      <c r="F1450" s="11" t="n">
        <v>147.5</v>
      </c>
      <c r="G1450" t="inlineStr"/>
      <c r="I1450" t="inlineStr">
        <is>
          <t>M3</t>
        </is>
      </c>
      <c r="J1450" t="inlineStr"/>
      <c r="K1450" t="inlineStr">
        <is>
          <t>20190426</t>
        </is>
      </c>
      <c r="L1450" t="inlineStr">
        <is>
          <t>20250127</t>
        </is>
      </c>
    </row>
    <row r="1451">
      <c r="A1451" t="inlineStr">
        <is>
          <t>900004077</t>
        </is>
      </c>
      <c r="B1451" t="inlineStr">
        <is>
          <t>D836</t>
        </is>
      </c>
      <c r="C1451" t="inlineStr">
        <is>
          <t>66928379</t>
        </is>
      </c>
      <c r="D1451" t="inlineStr">
        <is>
          <t>10000357</t>
        </is>
      </c>
      <c r="E1451" t="inlineStr"/>
      <c r="F1451" s="11" t="n">
        <v>84</v>
      </c>
      <c r="G1451" t="inlineStr"/>
      <c r="I1451" t="inlineStr">
        <is>
          <t>TN</t>
        </is>
      </c>
      <c r="J1451" t="inlineStr"/>
      <c r="K1451" t="inlineStr">
        <is>
          <t>20190426</t>
        </is>
      </c>
      <c r="L1451" t="inlineStr">
        <is>
          <t>20250127</t>
        </is>
      </c>
    </row>
    <row r="1452">
      <c r="A1452" t="inlineStr">
        <is>
          <t>900004077</t>
        </is>
      </c>
      <c r="B1452" t="inlineStr">
        <is>
          <t>D836</t>
        </is>
      </c>
      <c r="C1452" t="inlineStr">
        <is>
          <t>66928379</t>
        </is>
      </c>
      <c r="D1452" t="inlineStr">
        <is>
          <t>10000623</t>
        </is>
      </c>
      <c r="E1452" t="inlineStr"/>
      <c r="F1452" s="11" t="n">
        <v>118</v>
      </c>
      <c r="G1452" t="inlineStr"/>
      <c r="I1452" t="inlineStr">
        <is>
          <t>TN</t>
        </is>
      </c>
      <c r="J1452" t="inlineStr"/>
      <c r="K1452" t="inlineStr">
        <is>
          <t>20190426</t>
        </is>
      </c>
      <c r="L1452" t="inlineStr">
        <is>
          <t>20250127</t>
        </is>
      </c>
    </row>
    <row r="1453">
      <c r="A1453" t="inlineStr">
        <is>
          <t>900004077</t>
        </is>
      </c>
      <c r="B1453" t="inlineStr">
        <is>
          <t>D836</t>
        </is>
      </c>
      <c r="C1453" t="inlineStr">
        <is>
          <t>66928379</t>
        </is>
      </c>
      <c r="D1453" t="inlineStr">
        <is>
          <t>10000627</t>
        </is>
      </c>
      <c r="E1453" t="inlineStr"/>
      <c r="F1453" s="11" t="n">
        <v>110</v>
      </c>
      <c r="G1453" t="inlineStr"/>
      <c r="I1453" t="inlineStr">
        <is>
          <t>M3</t>
        </is>
      </c>
      <c r="J1453" t="inlineStr"/>
      <c r="K1453" t="inlineStr">
        <is>
          <t>20190426</t>
        </is>
      </c>
      <c r="L1453" t="inlineStr">
        <is>
          <t>20250127</t>
        </is>
      </c>
    </row>
    <row r="1454">
      <c r="A1454" t="inlineStr">
        <is>
          <t>900004077</t>
        </is>
      </c>
      <c r="B1454" t="inlineStr">
        <is>
          <t>D836</t>
        </is>
      </c>
      <c r="C1454" t="inlineStr">
        <is>
          <t>66928379</t>
        </is>
      </c>
      <c r="D1454" t="inlineStr">
        <is>
          <t>10184010</t>
        </is>
      </c>
      <c r="E1454" t="inlineStr"/>
      <c r="F1454" s="11" t="n">
        <v>118</v>
      </c>
      <c r="G1454" t="inlineStr"/>
      <c r="I1454" t="inlineStr">
        <is>
          <t>TN</t>
        </is>
      </c>
      <c r="J1454" t="inlineStr"/>
      <c r="K1454" t="inlineStr">
        <is>
          <t>20190426</t>
        </is>
      </c>
      <c r="L1454" t="inlineStr">
        <is>
          <t>20250127</t>
        </is>
      </c>
    </row>
    <row r="1455">
      <c r="A1455" t="inlineStr">
        <is>
          <t>900004077</t>
        </is>
      </c>
      <c r="B1455" t="inlineStr">
        <is>
          <t>D836</t>
        </is>
      </c>
      <c r="C1455" t="inlineStr">
        <is>
          <t>66928379</t>
        </is>
      </c>
      <c r="D1455" t="inlineStr">
        <is>
          <t>10184011</t>
        </is>
      </c>
      <c r="E1455" t="inlineStr"/>
      <c r="F1455" s="11" t="n">
        <v>118</v>
      </c>
      <c r="G1455" t="inlineStr"/>
      <c r="I1455" t="inlineStr">
        <is>
          <t>TN</t>
        </is>
      </c>
      <c r="J1455" t="inlineStr"/>
      <c r="K1455" t="inlineStr">
        <is>
          <t>20190426</t>
        </is>
      </c>
      <c r="L1455" t="inlineStr">
        <is>
          <t>20250127</t>
        </is>
      </c>
    </row>
    <row r="1456">
      <c r="A1456" t="inlineStr">
        <is>
          <t>900004077</t>
        </is>
      </c>
      <c r="B1456" t="inlineStr">
        <is>
          <t>D836</t>
        </is>
      </c>
      <c r="C1456" t="inlineStr">
        <is>
          <t>66928379</t>
        </is>
      </c>
      <c r="D1456" t="inlineStr">
        <is>
          <t>10184142</t>
        </is>
      </c>
      <c r="E1456" t="inlineStr"/>
      <c r="F1456" s="11" t="n">
        <v>118</v>
      </c>
      <c r="G1456" t="inlineStr"/>
      <c r="I1456" t="inlineStr">
        <is>
          <t>TN</t>
        </is>
      </c>
      <c r="J1456" t="inlineStr"/>
      <c r="K1456" t="inlineStr">
        <is>
          <t>20190426</t>
        </is>
      </c>
      <c r="L1456" t="inlineStr">
        <is>
          <t>20250127</t>
        </is>
      </c>
    </row>
    <row r="1457">
      <c r="A1457" t="inlineStr">
        <is>
          <t>900004077</t>
        </is>
      </c>
      <c r="B1457" t="inlineStr">
        <is>
          <t>D836</t>
        </is>
      </c>
      <c r="C1457" t="inlineStr">
        <is>
          <t>66928379</t>
        </is>
      </c>
      <c r="D1457" t="inlineStr">
        <is>
          <t>10192909</t>
        </is>
      </c>
      <c r="E1457" t="inlineStr"/>
      <c r="F1457" s="11" t="n">
        <v>110</v>
      </c>
      <c r="G1457" t="inlineStr"/>
      <c r="I1457" t="inlineStr">
        <is>
          <t>M3</t>
        </is>
      </c>
      <c r="J1457" t="inlineStr"/>
      <c r="K1457" t="inlineStr">
        <is>
          <t>20190426</t>
        </is>
      </c>
      <c r="L1457" t="inlineStr">
        <is>
          <t>20250127</t>
        </is>
      </c>
    </row>
    <row r="1458">
      <c r="A1458" t="inlineStr">
        <is>
          <t>900004077</t>
        </is>
      </c>
      <c r="B1458" t="inlineStr">
        <is>
          <t>D836</t>
        </is>
      </c>
      <c r="C1458" t="inlineStr">
        <is>
          <t>66928379</t>
        </is>
      </c>
      <c r="D1458" t="inlineStr">
        <is>
          <t>10192940</t>
        </is>
      </c>
      <c r="E1458" t="inlineStr"/>
      <c r="F1458" s="11" t="n">
        <v>84</v>
      </c>
      <c r="G1458" t="inlineStr"/>
      <c r="I1458" t="inlineStr">
        <is>
          <t>TN</t>
        </is>
      </c>
      <c r="J1458" t="inlineStr"/>
      <c r="K1458" t="inlineStr">
        <is>
          <t>20190426</t>
        </is>
      </c>
      <c r="L1458" t="inlineStr">
        <is>
          <t>20250127</t>
        </is>
      </c>
    </row>
    <row r="1459">
      <c r="A1459" t="inlineStr">
        <is>
          <t>900004077</t>
        </is>
      </c>
      <c r="B1459" t="inlineStr">
        <is>
          <t>D836</t>
        </is>
      </c>
      <c r="C1459" t="inlineStr">
        <is>
          <t>66928379</t>
        </is>
      </c>
      <c r="D1459" t="inlineStr">
        <is>
          <t>10192941</t>
        </is>
      </c>
      <c r="E1459" t="inlineStr"/>
      <c r="F1459" s="11" t="n">
        <v>118</v>
      </c>
      <c r="G1459" t="inlineStr"/>
      <c r="I1459" t="inlineStr">
        <is>
          <t>TN</t>
        </is>
      </c>
      <c r="J1459" t="inlineStr"/>
      <c r="K1459" t="inlineStr">
        <is>
          <t>20190426</t>
        </is>
      </c>
      <c r="L1459" t="inlineStr">
        <is>
          <t>20250127</t>
        </is>
      </c>
    </row>
    <row r="1460">
      <c r="A1460" t="inlineStr">
        <is>
          <t>900004077</t>
        </is>
      </c>
      <c r="B1460" t="inlineStr">
        <is>
          <t>D836</t>
        </is>
      </c>
      <c r="C1460" t="inlineStr">
        <is>
          <t>66928379</t>
        </is>
      </c>
      <c r="D1460" t="inlineStr">
        <is>
          <t>10192942</t>
        </is>
      </c>
      <c r="E1460" t="inlineStr"/>
      <c r="F1460" s="11" t="n">
        <v>129</v>
      </c>
      <c r="G1460" t="inlineStr"/>
      <c r="I1460" t="inlineStr">
        <is>
          <t>M3</t>
        </is>
      </c>
      <c r="J1460" t="inlineStr"/>
      <c r="K1460" t="inlineStr">
        <is>
          <t>20190426</t>
        </is>
      </c>
      <c r="L1460" t="inlineStr">
        <is>
          <t>20250127</t>
        </is>
      </c>
    </row>
    <row r="1461">
      <c r="A1461" t="inlineStr">
        <is>
          <t>900004077</t>
        </is>
      </c>
      <c r="B1461" t="inlineStr">
        <is>
          <t>D836</t>
        </is>
      </c>
      <c r="C1461" t="inlineStr">
        <is>
          <t>66928379</t>
        </is>
      </c>
      <c r="D1461" t="inlineStr">
        <is>
          <t>10192943</t>
        </is>
      </c>
      <c r="E1461" t="inlineStr"/>
      <c r="F1461" s="11" t="n">
        <v>118</v>
      </c>
      <c r="G1461" t="inlineStr"/>
      <c r="I1461" t="inlineStr">
        <is>
          <t>TN</t>
        </is>
      </c>
      <c r="J1461" t="inlineStr"/>
      <c r="K1461" t="inlineStr">
        <is>
          <t>20190426</t>
        </is>
      </c>
      <c r="L1461" t="inlineStr">
        <is>
          <t>20250127</t>
        </is>
      </c>
    </row>
    <row r="1462">
      <c r="A1462" t="inlineStr">
        <is>
          <t>900004077</t>
        </is>
      </c>
      <c r="B1462" t="inlineStr">
        <is>
          <t>D836</t>
        </is>
      </c>
      <c r="C1462" t="inlineStr">
        <is>
          <t>66928379</t>
        </is>
      </c>
      <c r="D1462" t="inlineStr">
        <is>
          <t>10192944</t>
        </is>
      </c>
      <c r="E1462" t="inlineStr"/>
      <c r="F1462" s="11" t="n">
        <v>118</v>
      </c>
      <c r="G1462" t="inlineStr"/>
      <c r="I1462" t="inlineStr">
        <is>
          <t>TN</t>
        </is>
      </c>
      <c r="J1462" t="inlineStr"/>
      <c r="K1462" t="inlineStr">
        <is>
          <t>20190426</t>
        </is>
      </c>
      <c r="L1462" t="inlineStr">
        <is>
          <t>20250127</t>
        </is>
      </c>
    </row>
    <row r="1463">
      <c r="A1463" t="inlineStr">
        <is>
          <t>900004077</t>
        </is>
      </c>
      <c r="B1463" t="inlineStr">
        <is>
          <t>D836</t>
        </is>
      </c>
      <c r="C1463" t="inlineStr">
        <is>
          <t>66928379</t>
        </is>
      </c>
      <c r="D1463" t="inlineStr">
        <is>
          <t>10192945</t>
        </is>
      </c>
      <c r="E1463" t="inlineStr"/>
      <c r="F1463" s="11" t="n">
        <v>118</v>
      </c>
      <c r="G1463" t="inlineStr"/>
      <c r="I1463" t="inlineStr">
        <is>
          <t>TN</t>
        </is>
      </c>
      <c r="J1463" t="inlineStr"/>
      <c r="K1463" t="inlineStr">
        <is>
          <t>20190426</t>
        </is>
      </c>
      <c r="L1463" t="inlineStr">
        <is>
          <t>20250127</t>
        </is>
      </c>
    </row>
    <row r="1464">
      <c r="A1464" t="inlineStr">
        <is>
          <t>900004077</t>
        </is>
      </c>
      <c r="B1464" t="inlineStr">
        <is>
          <t>D836</t>
        </is>
      </c>
      <c r="C1464" t="inlineStr">
        <is>
          <t>66970684</t>
        </is>
      </c>
      <c r="D1464" t="inlineStr">
        <is>
          <t>10215377</t>
        </is>
      </c>
      <c r="E1464" t="inlineStr"/>
      <c r="F1464" s="11" t="n">
        <v>123</v>
      </c>
      <c r="G1464" t="inlineStr"/>
      <c r="I1464" t="inlineStr">
        <is>
          <t>M3</t>
        </is>
      </c>
      <c r="J1464" t="inlineStr"/>
      <c r="K1464" t="inlineStr">
        <is>
          <t>20190426</t>
        </is>
      </c>
      <c r="L1464" t="inlineStr">
        <is>
          <t>20250127</t>
        </is>
      </c>
    </row>
    <row r="1465">
      <c r="A1465" t="inlineStr">
        <is>
          <t>900004077</t>
        </is>
      </c>
      <c r="B1465" t="inlineStr">
        <is>
          <t>D836</t>
        </is>
      </c>
      <c r="C1465" t="inlineStr">
        <is>
          <t>67089397</t>
        </is>
      </c>
      <c r="D1465" t="inlineStr">
        <is>
          <t>10215377</t>
        </is>
      </c>
      <c r="E1465" t="inlineStr"/>
      <c r="F1465" s="11" t="n">
        <v>130</v>
      </c>
      <c r="G1465" t="inlineStr"/>
      <c r="I1465" t="inlineStr">
        <is>
          <t>M3</t>
        </is>
      </c>
      <c r="J1465" t="inlineStr"/>
      <c r="K1465" t="inlineStr">
        <is>
          <t>20190426</t>
        </is>
      </c>
      <c r="L1465" t="inlineStr">
        <is>
          <t>20250127</t>
        </is>
      </c>
    </row>
    <row r="1466">
      <c r="A1466" t="inlineStr">
        <is>
          <t>900004323</t>
        </is>
      </c>
      <c r="B1466" t="inlineStr">
        <is>
          <t>D836</t>
        </is>
      </c>
      <c r="C1466" t="inlineStr">
        <is>
          <t>65002459</t>
        </is>
      </c>
      <c r="D1466" t="inlineStr">
        <is>
          <t>10000160</t>
        </is>
      </c>
      <c r="E1466" t="inlineStr"/>
      <c r="F1466" s="11" t="n">
        <v>87</v>
      </c>
      <c r="G1466" t="inlineStr"/>
      <c r="I1466" t="inlineStr">
        <is>
          <t>M3</t>
        </is>
      </c>
      <c r="J1466" t="inlineStr"/>
      <c r="K1466" t="inlineStr">
        <is>
          <t>20190426</t>
        </is>
      </c>
      <c r="L1466" t="inlineStr">
        <is>
          <t>20250127</t>
        </is>
      </c>
    </row>
    <row r="1467">
      <c r="A1467" t="inlineStr">
        <is>
          <t>900004323</t>
        </is>
      </c>
      <c r="B1467" t="inlineStr">
        <is>
          <t>D836</t>
        </is>
      </c>
      <c r="C1467" t="inlineStr">
        <is>
          <t>65002459</t>
        </is>
      </c>
      <c r="D1467" t="inlineStr">
        <is>
          <t>10000357</t>
        </is>
      </c>
      <c r="E1467" t="inlineStr"/>
      <c r="F1467" s="11" t="n">
        <v>95</v>
      </c>
      <c r="G1467" t="inlineStr"/>
      <c r="I1467" t="inlineStr">
        <is>
          <t>M3</t>
        </is>
      </c>
      <c r="J1467" t="inlineStr"/>
      <c r="K1467" t="inlineStr">
        <is>
          <t>20190426</t>
        </is>
      </c>
      <c r="L1467" t="inlineStr">
        <is>
          <t>20250127</t>
        </is>
      </c>
    </row>
    <row r="1468">
      <c r="A1468" t="inlineStr">
        <is>
          <t>900004323</t>
        </is>
      </c>
      <c r="B1468" t="inlineStr">
        <is>
          <t>D836</t>
        </is>
      </c>
      <c r="C1468" t="inlineStr">
        <is>
          <t>65003945</t>
        </is>
      </c>
      <c r="D1468" t="inlineStr">
        <is>
          <t>10000160</t>
        </is>
      </c>
      <c r="E1468" t="inlineStr"/>
      <c r="F1468" s="11" t="n">
        <v>87.15000000000001</v>
      </c>
      <c r="G1468" t="inlineStr"/>
      <c r="I1468" t="inlineStr">
        <is>
          <t>M3</t>
        </is>
      </c>
      <c r="J1468" t="inlineStr"/>
      <c r="K1468" t="inlineStr">
        <is>
          <t>20190426</t>
        </is>
      </c>
      <c r="L1468" t="inlineStr">
        <is>
          <t>20250127</t>
        </is>
      </c>
    </row>
    <row r="1469">
      <c r="A1469" t="inlineStr">
        <is>
          <t>900004323</t>
        </is>
      </c>
      <c r="B1469" t="inlineStr">
        <is>
          <t>D836</t>
        </is>
      </c>
      <c r="C1469" t="inlineStr">
        <is>
          <t>65003945</t>
        </is>
      </c>
      <c r="D1469" t="inlineStr">
        <is>
          <t>10000357</t>
        </is>
      </c>
      <c r="E1469" t="inlineStr"/>
      <c r="F1469" s="11" t="n">
        <v>100.8</v>
      </c>
      <c r="G1469" t="inlineStr"/>
      <c r="I1469" t="inlineStr">
        <is>
          <t>M3</t>
        </is>
      </c>
      <c r="J1469" t="inlineStr"/>
      <c r="K1469" t="inlineStr">
        <is>
          <t>20190426</t>
        </is>
      </c>
      <c r="L1469" t="inlineStr">
        <is>
          <t>20250127</t>
        </is>
      </c>
    </row>
    <row r="1470">
      <c r="A1470" t="inlineStr">
        <is>
          <t>900004323</t>
        </is>
      </c>
      <c r="B1470" t="inlineStr">
        <is>
          <t>D836</t>
        </is>
      </c>
      <c r="C1470" t="inlineStr">
        <is>
          <t>65006122</t>
        </is>
      </c>
      <c r="D1470" t="inlineStr">
        <is>
          <t>10003132</t>
        </is>
      </c>
      <c r="E1470" t="inlineStr"/>
      <c r="F1470" s="11" t="n">
        <v>120</v>
      </c>
      <c r="G1470" t="inlineStr"/>
      <c r="I1470" t="inlineStr">
        <is>
          <t>M3</t>
        </is>
      </c>
      <c r="J1470" t="inlineStr"/>
      <c r="K1470" t="inlineStr">
        <is>
          <t>20190426</t>
        </is>
      </c>
      <c r="L1470" t="inlineStr">
        <is>
          <t>20250127</t>
        </is>
      </c>
    </row>
    <row r="1471">
      <c r="A1471" t="inlineStr">
        <is>
          <t>900004323</t>
        </is>
      </c>
      <c r="B1471" t="inlineStr">
        <is>
          <t>D836</t>
        </is>
      </c>
      <c r="C1471" t="inlineStr">
        <is>
          <t>65014664</t>
        </is>
      </c>
      <c r="D1471" t="inlineStr">
        <is>
          <t>10000160</t>
        </is>
      </c>
      <c r="E1471" t="inlineStr"/>
      <c r="F1471" s="11" t="n">
        <v>86</v>
      </c>
      <c r="G1471" t="inlineStr"/>
      <c r="I1471" t="inlineStr">
        <is>
          <t>M3</t>
        </is>
      </c>
      <c r="J1471" t="inlineStr"/>
      <c r="K1471" t="inlineStr">
        <is>
          <t>20190426</t>
        </is>
      </c>
      <c r="L1471" t="inlineStr">
        <is>
          <t>20250127</t>
        </is>
      </c>
    </row>
    <row r="1472">
      <c r="A1472" t="inlineStr">
        <is>
          <t>900004323</t>
        </is>
      </c>
      <c r="B1472" t="inlineStr">
        <is>
          <t>D836</t>
        </is>
      </c>
      <c r="C1472" t="inlineStr">
        <is>
          <t>65014664</t>
        </is>
      </c>
      <c r="D1472" t="inlineStr">
        <is>
          <t>10000627</t>
        </is>
      </c>
      <c r="E1472" t="inlineStr"/>
      <c r="F1472" s="11" t="n">
        <v>94</v>
      </c>
      <c r="G1472" t="inlineStr"/>
      <c r="I1472" t="inlineStr">
        <is>
          <t>M3</t>
        </is>
      </c>
      <c r="J1472" t="inlineStr"/>
      <c r="K1472" t="inlineStr">
        <is>
          <t>20190426</t>
        </is>
      </c>
      <c r="L1472" t="inlineStr">
        <is>
          <t>20250127</t>
        </is>
      </c>
    </row>
    <row r="1473">
      <c r="A1473" t="inlineStr">
        <is>
          <t>900004323</t>
        </is>
      </c>
      <c r="B1473" t="inlineStr">
        <is>
          <t>D836</t>
        </is>
      </c>
      <c r="C1473" t="inlineStr">
        <is>
          <t>65016451</t>
        </is>
      </c>
      <c r="D1473" t="inlineStr">
        <is>
          <t>10000160</t>
        </is>
      </c>
      <c r="E1473" t="inlineStr"/>
      <c r="F1473" s="11" t="n">
        <v>87.15000000000001</v>
      </c>
      <c r="G1473" t="inlineStr"/>
      <c r="I1473" t="inlineStr">
        <is>
          <t>M3</t>
        </is>
      </c>
      <c r="J1473" t="inlineStr"/>
      <c r="K1473" t="inlineStr">
        <is>
          <t>20190426</t>
        </is>
      </c>
      <c r="L1473" t="inlineStr">
        <is>
          <t>20250127</t>
        </is>
      </c>
    </row>
    <row r="1474">
      <c r="A1474" t="inlineStr">
        <is>
          <t>900004323</t>
        </is>
      </c>
      <c r="B1474" t="inlineStr">
        <is>
          <t>D836</t>
        </is>
      </c>
      <c r="C1474" t="inlineStr">
        <is>
          <t>65030275</t>
        </is>
      </c>
      <c r="D1474" t="inlineStr">
        <is>
          <t>10000160</t>
        </is>
      </c>
      <c r="E1474" t="inlineStr"/>
      <c r="F1474" s="11" t="n">
        <v>83</v>
      </c>
      <c r="G1474" t="inlineStr"/>
      <c r="I1474" t="inlineStr">
        <is>
          <t>M3</t>
        </is>
      </c>
      <c r="J1474" t="inlineStr"/>
      <c r="K1474" t="inlineStr">
        <is>
          <t>20190426</t>
        </is>
      </c>
      <c r="L1474" t="inlineStr">
        <is>
          <t>20250127</t>
        </is>
      </c>
    </row>
    <row r="1475">
      <c r="A1475" t="inlineStr">
        <is>
          <t>900004323</t>
        </is>
      </c>
      <c r="B1475" t="inlineStr">
        <is>
          <t>D836</t>
        </is>
      </c>
      <c r="C1475" t="inlineStr">
        <is>
          <t>65155820</t>
        </is>
      </c>
      <c r="D1475" t="inlineStr">
        <is>
          <t>10000160</t>
        </is>
      </c>
      <c r="E1475" t="inlineStr"/>
      <c r="F1475" s="11" t="n">
        <v>92</v>
      </c>
      <c r="G1475" t="inlineStr"/>
      <c r="I1475" t="inlineStr">
        <is>
          <t>M3</t>
        </is>
      </c>
      <c r="J1475" t="inlineStr"/>
      <c r="K1475" t="inlineStr">
        <is>
          <t>20190426</t>
        </is>
      </c>
      <c r="L1475" t="inlineStr">
        <is>
          <t>20250127</t>
        </is>
      </c>
    </row>
    <row r="1476">
      <c r="A1476" t="inlineStr">
        <is>
          <t>900004323</t>
        </is>
      </c>
      <c r="B1476" t="inlineStr">
        <is>
          <t>D836</t>
        </is>
      </c>
      <c r="C1476" t="inlineStr">
        <is>
          <t>65155820</t>
        </is>
      </c>
      <c r="D1476" t="inlineStr">
        <is>
          <t>10000357</t>
        </is>
      </c>
      <c r="E1476" t="inlineStr"/>
      <c r="F1476" s="11" t="n">
        <v>96.95</v>
      </c>
      <c r="G1476" t="inlineStr"/>
      <c r="I1476" t="inlineStr">
        <is>
          <t>M3</t>
        </is>
      </c>
      <c r="J1476" t="inlineStr"/>
      <c r="K1476" t="inlineStr">
        <is>
          <t>20190426</t>
        </is>
      </c>
      <c r="L1476" t="inlineStr">
        <is>
          <t>20250127</t>
        </is>
      </c>
    </row>
    <row r="1477">
      <c r="A1477" t="inlineStr">
        <is>
          <t>900004323</t>
        </is>
      </c>
      <c r="B1477" t="inlineStr">
        <is>
          <t>D836</t>
        </is>
      </c>
      <c r="C1477" t="inlineStr">
        <is>
          <t>65292088</t>
        </is>
      </c>
      <c r="D1477" t="inlineStr">
        <is>
          <t>10215930</t>
        </is>
      </c>
      <c r="E1477" t="inlineStr"/>
      <c r="F1477" s="11" t="n">
        <v>130</v>
      </c>
      <c r="G1477" t="inlineStr"/>
      <c r="I1477" t="inlineStr">
        <is>
          <t>M3</t>
        </is>
      </c>
      <c r="J1477" t="inlineStr"/>
      <c r="K1477" t="inlineStr">
        <is>
          <t>20190426</t>
        </is>
      </c>
      <c r="L1477" t="inlineStr">
        <is>
          <t>20250127</t>
        </is>
      </c>
    </row>
    <row r="1478">
      <c r="A1478" t="inlineStr">
        <is>
          <t>900004323</t>
        </is>
      </c>
      <c r="B1478" t="inlineStr">
        <is>
          <t>D836</t>
        </is>
      </c>
      <c r="C1478" t="inlineStr">
        <is>
          <t>65345243</t>
        </is>
      </c>
      <c r="D1478" t="inlineStr">
        <is>
          <t>10000160</t>
        </is>
      </c>
      <c r="E1478" t="inlineStr"/>
      <c r="F1478" s="11" t="n">
        <v>84</v>
      </c>
      <c r="G1478" t="inlineStr"/>
      <c r="I1478" t="inlineStr">
        <is>
          <t>M3</t>
        </is>
      </c>
      <c r="J1478" t="inlineStr"/>
      <c r="K1478" t="inlineStr">
        <is>
          <t>20190426</t>
        </is>
      </c>
      <c r="L1478" t="inlineStr">
        <is>
          <t>20250127</t>
        </is>
      </c>
    </row>
    <row r="1479">
      <c r="A1479" t="inlineStr">
        <is>
          <t>900004323</t>
        </is>
      </c>
      <c r="B1479" t="inlineStr">
        <is>
          <t>D836</t>
        </is>
      </c>
      <c r="C1479" t="inlineStr">
        <is>
          <t>65345243</t>
        </is>
      </c>
      <c r="D1479" t="inlineStr">
        <is>
          <t>10000357</t>
        </is>
      </c>
      <c r="E1479" t="inlineStr"/>
      <c r="F1479" s="11" t="n">
        <v>95.5</v>
      </c>
      <c r="G1479" t="inlineStr"/>
      <c r="I1479" t="inlineStr">
        <is>
          <t>M3</t>
        </is>
      </c>
      <c r="J1479" t="inlineStr"/>
      <c r="K1479" t="inlineStr">
        <is>
          <t>20190426</t>
        </is>
      </c>
      <c r="L1479" t="inlineStr">
        <is>
          <t>20250127</t>
        </is>
      </c>
    </row>
    <row r="1480">
      <c r="A1480" t="inlineStr">
        <is>
          <t>900004323</t>
        </is>
      </c>
      <c r="B1480" t="inlineStr">
        <is>
          <t>D836</t>
        </is>
      </c>
      <c r="C1480" t="inlineStr">
        <is>
          <t>65345243</t>
        </is>
      </c>
      <c r="D1480" t="inlineStr">
        <is>
          <t>10000627</t>
        </is>
      </c>
      <c r="E1480" t="inlineStr"/>
      <c r="F1480" s="11" t="n">
        <v>84</v>
      </c>
      <c r="G1480" t="inlineStr"/>
      <c r="I1480" t="inlineStr">
        <is>
          <t>M3</t>
        </is>
      </c>
      <c r="J1480" t="inlineStr"/>
      <c r="K1480" t="inlineStr">
        <is>
          <t>20190426</t>
        </is>
      </c>
      <c r="L1480" t="inlineStr">
        <is>
          <t>20250127</t>
        </is>
      </c>
    </row>
    <row r="1481">
      <c r="A1481" t="inlineStr">
        <is>
          <t>900004323</t>
        </is>
      </c>
      <c r="B1481" t="inlineStr">
        <is>
          <t>D836</t>
        </is>
      </c>
      <c r="C1481" t="inlineStr">
        <is>
          <t>65366156</t>
        </is>
      </c>
      <c r="D1481" t="inlineStr">
        <is>
          <t>10000160</t>
        </is>
      </c>
      <c r="E1481" t="inlineStr"/>
      <c r="F1481" s="11" t="n">
        <v>84</v>
      </c>
      <c r="G1481" t="inlineStr"/>
      <c r="I1481" t="inlineStr">
        <is>
          <t>M3</t>
        </is>
      </c>
      <c r="J1481" t="inlineStr"/>
      <c r="K1481" t="inlineStr">
        <is>
          <t>20190426</t>
        </is>
      </c>
      <c r="L1481" t="inlineStr">
        <is>
          <t>20250127</t>
        </is>
      </c>
    </row>
    <row r="1482">
      <c r="A1482" t="inlineStr">
        <is>
          <t>900004323</t>
        </is>
      </c>
      <c r="B1482" t="inlineStr">
        <is>
          <t>D836</t>
        </is>
      </c>
      <c r="C1482" t="inlineStr">
        <is>
          <t>65366156</t>
        </is>
      </c>
      <c r="D1482" t="inlineStr">
        <is>
          <t>10000357</t>
        </is>
      </c>
      <c r="E1482" t="inlineStr"/>
      <c r="F1482" s="11" t="n">
        <v>95.5</v>
      </c>
      <c r="G1482" t="inlineStr"/>
      <c r="I1482" t="inlineStr">
        <is>
          <t>M3</t>
        </is>
      </c>
      <c r="J1482" t="inlineStr"/>
      <c r="K1482" t="inlineStr">
        <is>
          <t>20190426</t>
        </is>
      </c>
      <c r="L1482" t="inlineStr">
        <is>
          <t>20250127</t>
        </is>
      </c>
    </row>
    <row r="1483">
      <c r="A1483" t="inlineStr">
        <is>
          <t>900004323</t>
        </is>
      </c>
      <c r="B1483" t="inlineStr">
        <is>
          <t>D836</t>
        </is>
      </c>
      <c r="C1483" t="inlineStr">
        <is>
          <t>65366156</t>
        </is>
      </c>
      <c r="D1483" t="inlineStr">
        <is>
          <t>10000627</t>
        </is>
      </c>
      <c r="E1483" t="inlineStr"/>
      <c r="F1483" s="11" t="n">
        <v>84</v>
      </c>
      <c r="G1483" t="inlineStr"/>
      <c r="I1483" t="inlineStr">
        <is>
          <t>M3</t>
        </is>
      </c>
      <c r="J1483" t="inlineStr"/>
      <c r="K1483" t="inlineStr">
        <is>
          <t>20190426</t>
        </is>
      </c>
      <c r="L1483" t="inlineStr">
        <is>
          <t>20250127</t>
        </is>
      </c>
    </row>
    <row r="1484">
      <c r="A1484" t="inlineStr">
        <is>
          <t>900004323</t>
        </is>
      </c>
      <c r="B1484" t="inlineStr">
        <is>
          <t>D836</t>
        </is>
      </c>
      <c r="C1484" t="inlineStr">
        <is>
          <t>65366167</t>
        </is>
      </c>
      <c r="D1484" t="inlineStr">
        <is>
          <t>10000160</t>
        </is>
      </c>
      <c r="E1484" t="inlineStr"/>
      <c r="F1484" s="11" t="n">
        <v>84</v>
      </c>
      <c r="G1484" t="inlineStr"/>
      <c r="I1484" t="inlineStr">
        <is>
          <t>M3</t>
        </is>
      </c>
      <c r="J1484" t="inlineStr"/>
      <c r="K1484" t="inlineStr">
        <is>
          <t>20190426</t>
        </is>
      </c>
      <c r="L1484" t="inlineStr">
        <is>
          <t>20250127</t>
        </is>
      </c>
    </row>
    <row r="1485">
      <c r="A1485" t="inlineStr">
        <is>
          <t>900004323</t>
        </is>
      </c>
      <c r="B1485" t="inlineStr">
        <is>
          <t>D836</t>
        </is>
      </c>
      <c r="C1485" t="inlineStr">
        <is>
          <t>65366167</t>
        </is>
      </c>
      <c r="D1485" t="inlineStr">
        <is>
          <t>10000357</t>
        </is>
      </c>
      <c r="E1485" t="inlineStr"/>
      <c r="F1485" s="11" t="n">
        <v>95.5</v>
      </c>
      <c r="G1485" t="inlineStr"/>
      <c r="I1485" t="inlineStr">
        <is>
          <t>M3</t>
        </is>
      </c>
      <c r="J1485" t="inlineStr"/>
      <c r="K1485" t="inlineStr">
        <is>
          <t>20190426</t>
        </is>
      </c>
      <c r="L1485" t="inlineStr">
        <is>
          <t>20250127</t>
        </is>
      </c>
    </row>
    <row r="1486">
      <c r="A1486" t="inlineStr">
        <is>
          <t>900004323</t>
        </is>
      </c>
      <c r="B1486" t="inlineStr">
        <is>
          <t>D836</t>
        </is>
      </c>
      <c r="C1486" t="inlineStr">
        <is>
          <t>65366167</t>
        </is>
      </c>
      <c r="D1486" t="inlineStr">
        <is>
          <t>10000627</t>
        </is>
      </c>
      <c r="E1486" t="inlineStr"/>
      <c r="F1486" s="11" t="n">
        <v>84</v>
      </c>
      <c r="G1486" t="inlineStr"/>
      <c r="I1486" t="inlineStr">
        <is>
          <t>M3</t>
        </is>
      </c>
      <c r="J1486" t="inlineStr"/>
      <c r="K1486" t="inlineStr">
        <is>
          <t>20190426</t>
        </is>
      </c>
      <c r="L1486" t="inlineStr">
        <is>
          <t>20250127</t>
        </is>
      </c>
    </row>
    <row r="1487">
      <c r="A1487" t="inlineStr">
        <is>
          <t>900004323</t>
        </is>
      </c>
      <c r="B1487" t="inlineStr">
        <is>
          <t>D836</t>
        </is>
      </c>
      <c r="C1487" t="inlineStr">
        <is>
          <t>65366169</t>
        </is>
      </c>
      <c r="D1487" t="inlineStr">
        <is>
          <t>10000160</t>
        </is>
      </c>
      <c r="E1487" t="inlineStr"/>
      <c r="F1487" s="11" t="n">
        <v>84</v>
      </c>
      <c r="G1487" t="inlineStr"/>
      <c r="I1487" t="inlineStr">
        <is>
          <t>M3</t>
        </is>
      </c>
      <c r="J1487" t="inlineStr"/>
      <c r="K1487" t="inlineStr">
        <is>
          <t>20190426</t>
        </is>
      </c>
      <c r="L1487" t="inlineStr">
        <is>
          <t>20250127</t>
        </is>
      </c>
    </row>
    <row r="1488">
      <c r="A1488" t="inlineStr">
        <is>
          <t>900004323</t>
        </is>
      </c>
      <c r="B1488" t="inlineStr">
        <is>
          <t>D836</t>
        </is>
      </c>
      <c r="C1488" t="inlineStr">
        <is>
          <t>65366169</t>
        </is>
      </c>
      <c r="D1488" t="inlineStr">
        <is>
          <t>10000357</t>
        </is>
      </c>
      <c r="E1488" t="inlineStr"/>
      <c r="F1488" s="11" t="n">
        <v>95.5</v>
      </c>
      <c r="G1488" t="inlineStr"/>
      <c r="I1488" t="inlineStr">
        <is>
          <t>M3</t>
        </is>
      </c>
      <c r="J1488" t="inlineStr"/>
      <c r="K1488" t="inlineStr">
        <is>
          <t>20190426</t>
        </is>
      </c>
      <c r="L1488" t="inlineStr">
        <is>
          <t>20250127</t>
        </is>
      </c>
    </row>
    <row r="1489">
      <c r="A1489" t="inlineStr">
        <is>
          <t>900004323</t>
        </is>
      </c>
      <c r="B1489" t="inlineStr">
        <is>
          <t>D836</t>
        </is>
      </c>
      <c r="C1489" t="inlineStr">
        <is>
          <t>65366169</t>
        </is>
      </c>
      <c r="D1489" t="inlineStr">
        <is>
          <t>10000627</t>
        </is>
      </c>
      <c r="E1489" t="inlineStr"/>
      <c r="F1489" s="11" t="n">
        <v>84</v>
      </c>
      <c r="G1489" t="inlineStr"/>
      <c r="I1489" t="inlineStr">
        <is>
          <t>M3</t>
        </is>
      </c>
      <c r="J1489" t="inlineStr"/>
      <c r="K1489" t="inlineStr">
        <is>
          <t>20190426</t>
        </is>
      </c>
      <c r="L1489" t="inlineStr">
        <is>
          <t>20250127</t>
        </is>
      </c>
    </row>
    <row r="1490">
      <c r="A1490" t="inlineStr">
        <is>
          <t>900004323</t>
        </is>
      </c>
      <c r="B1490" t="inlineStr">
        <is>
          <t>D836</t>
        </is>
      </c>
      <c r="C1490" t="inlineStr">
        <is>
          <t>65406062</t>
        </is>
      </c>
      <c r="D1490" t="inlineStr">
        <is>
          <t>10000160</t>
        </is>
      </c>
      <c r="E1490" t="inlineStr"/>
      <c r="F1490" s="11" t="n">
        <v>89.25</v>
      </c>
      <c r="G1490" t="inlineStr"/>
      <c r="I1490" t="inlineStr">
        <is>
          <t>M3</t>
        </is>
      </c>
      <c r="J1490" t="inlineStr"/>
      <c r="K1490" t="inlineStr">
        <is>
          <t>20190426</t>
        </is>
      </c>
      <c r="L1490" t="inlineStr">
        <is>
          <t>20250127</t>
        </is>
      </c>
    </row>
    <row r="1491">
      <c r="A1491" t="inlineStr">
        <is>
          <t>900004323</t>
        </is>
      </c>
      <c r="B1491" t="inlineStr">
        <is>
          <t>D836</t>
        </is>
      </c>
      <c r="C1491" t="inlineStr">
        <is>
          <t>65406062</t>
        </is>
      </c>
      <c r="D1491" t="inlineStr">
        <is>
          <t>10000357</t>
        </is>
      </c>
      <c r="E1491" t="inlineStr"/>
      <c r="F1491" s="11" t="n">
        <v>100.8</v>
      </c>
      <c r="G1491" t="inlineStr"/>
      <c r="I1491" t="inlineStr">
        <is>
          <t>M3</t>
        </is>
      </c>
      <c r="J1491" t="inlineStr"/>
      <c r="K1491" t="inlineStr">
        <is>
          <t>20190426</t>
        </is>
      </c>
      <c r="L1491" t="inlineStr">
        <is>
          <t>20250127</t>
        </is>
      </c>
    </row>
    <row r="1492">
      <c r="A1492" t="inlineStr">
        <is>
          <t>900004323</t>
        </is>
      </c>
      <c r="B1492" t="inlineStr">
        <is>
          <t>D836</t>
        </is>
      </c>
      <c r="C1492" t="inlineStr">
        <is>
          <t>65406064</t>
        </is>
      </c>
      <c r="D1492" t="inlineStr">
        <is>
          <t>10000160</t>
        </is>
      </c>
      <c r="E1492" t="inlineStr"/>
      <c r="F1492" s="11" t="n">
        <v>87.15000000000001</v>
      </c>
      <c r="G1492" t="inlineStr"/>
      <c r="I1492" t="inlineStr">
        <is>
          <t>M3</t>
        </is>
      </c>
      <c r="J1492" t="inlineStr"/>
      <c r="K1492" t="inlineStr">
        <is>
          <t>20190426</t>
        </is>
      </c>
      <c r="L1492" t="inlineStr">
        <is>
          <t>20250127</t>
        </is>
      </c>
    </row>
    <row r="1493">
      <c r="A1493" t="inlineStr">
        <is>
          <t>900004323</t>
        </is>
      </c>
      <c r="B1493" t="inlineStr">
        <is>
          <t>D836</t>
        </is>
      </c>
      <c r="C1493" t="inlineStr">
        <is>
          <t>65406064</t>
        </is>
      </c>
      <c r="D1493" t="inlineStr">
        <is>
          <t>10000357</t>
        </is>
      </c>
      <c r="E1493" t="inlineStr"/>
      <c r="F1493" s="11" t="n">
        <v>100.8</v>
      </c>
      <c r="G1493" t="inlineStr"/>
      <c r="I1493" t="inlineStr">
        <is>
          <t>M3</t>
        </is>
      </c>
      <c r="J1493" t="inlineStr"/>
      <c r="K1493" t="inlineStr">
        <is>
          <t>20190426</t>
        </is>
      </c>
      <c r="L1493" t="inlineStr">
        <is>
          <t>20250127</t>
        </is>
      </c>
    </row>
    <row r="1494">
      <c r="A1494" t="inlineStr">
        <is>
          <t>900004323</t>
        </is>
      </c>
      <c r="B1494" t="inlineStr">
        <is>
          <t>D836</t>
        </is>
      </c>
      <c r="C1494" t="inlineStr">
        <is>
          <t>65440384</t>
        </is>
      </c>
      <c r="D1494" t="inlineStr">
        <is>
          <t>10000160</t>
        </is>
      </c>
      <c r="E1494" t="inlineStr"/>
      <c r="F1494" s="11" t="n">
        <v>85</v>
      </c>
      <c r="G1494" t="inlineStr"/>
      <c r="I1494" t="inlineStr">
        <is>
          <t>M3</t>
        </is>
      </c>
      <c r="J1494" t="inlineStr"/>
      <c r="K1494" t="inlineStr">
        <is>
          <t>20190426</t>
        </is>
      </c>
      <c r="L1494" t="inlineStr">
        <is>
          <t>20250127</t>
        </is>
      </c>
    </row>
    <row r="1495">
      <c r="A1495" t="inlineStr">
        <is>
          <t>900004323</t>
        </is>
      </c>
      <c r="B1495" t="inlineStr">
        <is>
          <t>D836</t>
        </is>
      </c>
      <c r="C1495" t="inlineStr">
        <is>
          <t>65445261</t>
        </is>
      </c>
      <c r="D1495" t="inlineStr">
        <is>
          <t>10000160</t>
        </is>
      </c>
      <c r="E1495" t="inlineStr"/>
      <c r="F1495" s="11" t="n">
        <v>87.15000000000001</v>
      </c>
      <c r="G1495" t="inlineStr"/>
      <c r="I1495" t="inlineStr">
        <is>
          <t>M3</t>
        </is>
      </c>
      <c r="J1495" t="inlineStr"/>
      <c r="K1495" t="inlineStr">
        <is>
          <t>20190426</t>
        </is>
      </c>
      <c r="L1495" t="inlineStr">
        <is>
          <t>20250127</t>
        </is>
      </c>
    </row>
    <row r="1496">
      <c r="A1496" t="inlineStr">
        <is>
          <t>900004323</t>
        </is>
      </c>
      <c r="B1496" t="inlineStr">
        <is>
          <t>D836</t>
        </is>
      </c>
      <c r="C1496" t="inlineStr">
        <is>
          <t>65674132</t>
        </is>
      </c>
      <c r="D1496" t="inlineStr">
        <is>
          <t>10000140</t>
        </is>
      </c>
      <c r="E1496" t="inlineStr"/>
      <c r="F1496" s="11" t="n">
        <v>97</v>
      </c>
      <c r="G1496" t="inlineStr"/>
      <c r="I1496" t="inlineStr">
        <is>
          <t>M3</t>
        </is>
      </c>
      <c r="J1496" t="inlineStr"/>
      <c r="K1496" t="inlineStr">
        <is>
          <t>20190426</t>
        </is>
      </c>
      <c r="L1496" t="inlineStr">
        <is>
          <t>20250127</t>
        </is>
      </c>
    </row>
    <row r="1497">
      <c r="A1497" t="inlineStr">
        <is>
          <t>900004323</t>
        </is>
      </c>
      <c r="B1497" t="inlineStr">
        <is>
          <t>D836</t>
        </is>
      </c>
      <c r="C1497" t="inlineStr">
        <is>
          <t>65706147</t>
        </is>
      </c>
      <c r="D1497" t="inlineStr">
        <is>
          <t>10000160</t>
        </is>
      </c>
      <c r="E1497" t="inlineStr"/>
      <c r="F1497" s="11" t="n">
        <v>87.15000000000001</v>
      </c>
      <c r="G1497" t="inlineStr"/>
      <c r="I1497" t="inlineStr">
        <is>
          <t>M3</t>
        </is>
      </c>
      <c r="J1497" t="inlineStr"/>
      <c r="K1497" t="inlineStr">
        <is>
          <t>20190426</t>
        </is>
      </c>
      <c r="L1497" t="inlineStr">
        <is>
          <t>20250127</t>
        </is>
      </c>
    </row>
    <row r="1498">
      <c r="A1498" t="inlineStr">
        <is>
          <t>900004323</t>
        </is>
      </c>
      <c r="B1498" t="inlineStr">
        <is>
          <t>D836</t>
        </is>
      </c>
      <c r="C1498" t="inlineStr">
        <is>
          <t>65706147</t>
        </is>
      </c>
      <c r="D1498" t="inlineStr">
        <is>
          <t>10000357</t>
        </is>
      </c>
      <c r="E1498" t="inlineStr"/>
      <c r="F1498" s="11" t="n">
        <v>100.8</v>
      </c>
      <c r="G1498" t="inlineStr"/>
      <c r="I1498" t="inlineStr">
        <is>
          <t>M3</t>
        </is>
      </c>
      <c r="J1498" t="inlineStr"/>
      <c r="K1498" t="inlineStr">
        <is>
          <t>20190426</t>
        </is>
      </c>
      <c r="L1498" t="inlineStr">
        <is>
          <t>20250127</t>
        </is>
      </c>
    </row>
    <row r="1499">
      <c r="A1499" t="inlineStr">
        <is>
          <t>900004323</t>
        </is>
      </c>
      <c r="B1499" t="inlineStr">
        <is>
          <t>D836</t>
        </is>
      </c>
      <c r="C1499" t="inlineStr">
        <is>
          <t>65706147</t>
        </is>
      </c>
      <c r="D1499" t="inlineStr">
        <is>
          <t>10000627</t>
        </is>
      </c>
      <c r="E1499" t="inlineStr"/>
      <c r="F1499" s="11" t="n">
        <v>88</v>
      </c>
      <c r="G1499" t="inlineStr"/>
      <c r="I1499" t="inlineStr">
        <is>
          <t>M3</t>
        </is>
      </c>
      <c r="J1499" t="inlineStr"/>
      <c r="K1499" t="inlineStr">
        <is>
          <t>20190426</t>
        </is>
      </c>
      <c r="L1499" t="inlineStr">
        <is>
          <t>20250127</t>
        </is>
      </c>
    </row>
    <row r="1500">
      <c r="A1500" t="inlineStr">
        <is>
          <t>900004323</t>
        </is>
      </c>
      <c r="B1500" t="inlineStr">
        <is>
          <t>D836</t>
        </is>
      </c>
      <c r="C1500" t="inlineStr">
        <is>
          <t>65751297</t>
        </is>
      </c>
      <c r="D1500" t="inlineStr">
        <is>
          <t>10000160</t>
        </is>
      </c>
      <c r="E1500" t="inlineStr"/>
      <c r="F1500" s="11" t="n">
        <v>84</v>
      </c>
      <c r="G1500" t="inlineStr"/>
      <c r="I1500" t="inlineStr">
        <is>
          <t>M3</t>
        </is>
      </c>
      <c r="J1500" t="inlineStr"/>
      <c r="K1500" t="inlineStr">
        <is>
          <t>20190426</t>
        </is>
      </c>
      <c r="L1500" t="inlineStr">
        <is>
          <t>20250127</t>
        </is>
      </c>
    </row>
    <row r="1501">
      <c r="A1501" t="inlineStr">
        <is>
          <t>900004323</t>
        </is>
      </c>
      <c r="B1501" t="inlineStr">
        <is>
          <t>D836</t>
        </is>
      </c>
      <c r="C1501" t="inlineStr">
        <is>
          <t>65751297</t>
        </is>
      </c>
      <c r="D1501" t="inlineStr">
        <is>
          <t>10000357</t>
        </is>
      </c>
      <c r="E1501" t="inlineStr"/>
      <c r="F1501" s="11" t="n">
        <v>95.5</v>
      </c>
      <c r="G1501" t="inlineStr"/>
      <c r="I1501" t="inlineStr">
        <is>
          <t>M3</t>
        </is>
      </c>
      <c r="J1501" t="inlineStr"/>
      <c r="K1501" t="inlineStr">
        <is>
          <t>20190426</t>
        </is>
      </c>
      <c r="L1501" t="inlineStr">
        <is>
          <t>20250127</t>
        </is>
      </c>
    </row>
    <row r="1502">
      <c r="A1502" t="inlineStr">
        <is>
          <t>900004323</t>
        </is>
      </c>
      <c r="B1502" t="inlineStr">
        <is>
          <t>D836</t>
        </is>
      </c>
      <c r="C1502" t="inlineStr">
        <is>
          <t>65751297</t>
        </is>
      </c>
      <c r="D1502" t="inlineStr">
        <is>
          <t>10000627</t>
        </is>
      </c>
      <c r="E1502" t="inlineStr"/>
      <c r="F1502" s="11" t="n">
        <v>84</v>
      </c>
      <c r="G1502" t="inlineStr"/>
      <c r="I1502" t="inlineStr">
        <is>
          <t>M3</t>
        </is>
      </c>
      <c r="J1502" t="inlineStr"/>
      <c r="K1502" t="inlineStr">
        <is>
          <t>20190426</t>
        </is>
      </c>
      <c r="L1502" t="inlineStr">
        <is>
          <t>20250127</t>
        </is>
      </c>
    </row>
    <row r="1503">
      <c r="A1503" t="inlineStr">
        <is>
          <t>900004323</t>
        </is>
      </c>
      <c r="B1503" t="inlineStr">
        <is>
          <t>D836</t>
        </is>
      </c>
      <c r="C1503" t="inlineStr">
        <is>
          <t>65751298</t>
        </is>
      </c>
      <c r="D1503" t="inlineStr">
        <is>
          <t>10000160</t>
        </is>
      </c>
      <c r="E1503" t="inlineStr"/>
      <c r="F1503" s="11" t="n">
        <v>84</v>
      </c>
      <c r="G1503" t="inlineStr"/>
      <c r="I1503" t="inlineStr">
        <is>
          <t>M3</t>
        </is>
      </c>
      <c r="J1503" t="inlineStr"/>
      <c r="K1503" t="inlineStr">
        <is>
          <t>20190426</t>
        </is>
      </c>
      <c r="L1503" t="inlineStr">
        <is>
          <t>20250127</t>
        </is>
      </c>
    </row>
    <row r="1504">
      <c r="A1504" t="inlineStr">
        <is>
          <t>900004323</t>
        </is>
      </c>
      <c r="B1504" t="inlineStr">
        <is>
          <t>D836</t>
        </is>
      </c>
      <c r="C1504" t="inlineStr">
        <is>
          <t>65751298</t>
        </is>
      </c>
      <c r="D1504" t="inlineStr">
        <is>
          <t>10000357</t>
        </is>
      </c>
      <c r="E1504" t="inlineStr"/>
      <c r="F1504" s="11" t="n">
        <v>95.5</v>
      </c>
      <c r="G1504" t="inlineStr"/>
      <c r="I1504" t="inlineStr">
        <is>
          <t>M3</t>
        </is>
      </c>
      <c r="J1504" t="inlineStr"/>
      <c r="K1504" t="inlineStr">
        <is>
          <t>20190426</t>
        </is>
      </c>
      <c r="L1504" t="inlineStr">
        <is>
          <t>20250127</t>
        </is>
      </c>
    </row>
    <row r="1505">
      <c r="A1505" t="inlineStr">
        <is>
          <t>900004323</t>
        </is>
      </c>
      <c r="B1505" t="inlineStr">
        <is>
          <t>D836</t>
        </is>
      </c>
      <c r="C1505" t="inlineStr">
        <is>
          <t>65751298</t>
        </is>
      </c>
      <c r="D1505" t="inlineStr">
        <is>
          <t>10000627</t>
        </is>
      </c>
      <c r="E1505" t="inlineStr"/>
      <c r="F1505" s="11" t="n">
        <v>84</v>
      </c>
      <c r="G1505" t="inlineStr"/>
      <c r="I1505" t="inlineStr">
        <is>
          <t>M3</t>
        </is>
      </c>
      <c r="J1505" t="inlineStr"/>
      <c r="K1505" t="inlineStr">
        <is>
          <t>20190426</t>
        </is>
      </c>
      <c r="L1505" t="inlineStr">
        <is>
          <t>20250127</t>
        </is>
      </c>
    </row>
    <row r="1506">
      <c r="A1506" t="inlineStr">
        <is>
          <t>900004323</t>
        </is>
      </c>
      <c r="B1506" t="inlineStr">
        <is>
          <t>D836</t>
        </is>
      </c>
      <c r="C1506" t="inlineStr">
        <is>
          <t>65751299</t>
        </is>
      </c>
      <c r="D1506" t="inlineStr">
        <is>
          <t>10000160</t>
        </is>
      </c>
      <c r="E1506" t="inlineStr"/>
      <c r="F1506" s="11" t="n">
        <v>84</v>
      </c>
      <c r="G1506" t="inlineStr"/>
      <c r="I1506" t="inlineStr">
        <is>
          <t>M3</t>
        </is>
      </c>
      <c r="J1506" t="inlineStr"/>
      <c r="K1506" t="inlineStr">
        <is>
          <t>20190426</t>
        </is>
      </c>
      <c r="L1506" t="inlineStr">
        <is>
          <t>20250127</t>
        </is>
      </c>
    </row>
    <row r="1507">
      <c r="A1507" t="inlineStr">
        <is>
          <t>900004323</t>
        </is>
      </c>
      <c r="B1507" t="inlineStr">
        <is>
          <t>D836</t>
        </is>
      </c>
      <c r="C1507" t="inlineStr">
        <is>
          <t>65751299</t>
        </is>
      </c>
      <c r="D1507" t="inlineStr">
        <is>
          <t>10000357</t>
        </is>
      </c>
      <c r="E1507" t="inlineStr"/>
      <c r="F1507" s="11" t="n">
        <v>95.5</v>
      </c>
      <c r="G1507" t="inlineStr"/>
      <c r="I1507" t="inlineStr">
        <is>
          <t>M3</t>
        </is>
      </c>
      <c r="J1507" t="inlineStr"/>
      <c r="K1507" t="inlineStr">
        <is>
          <t>20190426</t>
        </is>
      </c>
      <c r="L1507" t="inlineStr">
        <is>
          <t>20250127</t>
        </is>
      </c>
    </row>
    <row r="1508">
      <c r="A1508" t="inlineStr">
        <is>
          <t>900004323</t>
        </is>
      </c>
      <c r="B1508" t="inlineStr">
        <is>
          <t>D836</t>
        </is>
      </c>
      <c r="C1508" t="inlineStr">
        <is>
          <t>65751299</t>
        </is>
      </c>
      <c r="D1508" t="inlineStr">
        <is>
          <t>10000627</t>
        </is>
      </c>
      <c r="E1508" t="inlineStr"/>
      <c r="F1508" s="11" t="n">
        <v>84</v>
      </c>
      <c r="G1508" t="inlineStr"/>
      <c r="I1508" t="inlineStr">
        <is>
          <t>M3</t>
        </is>
      </c>
      <c r="J1508" t="inlineStr"/>
      <c r="K1508" t="inlineStr">
        <is>
          <t>20190426</t>
        </is>
      </c>
      <c r="L1508" t="inlineStr">
        <is>
          <t>20250127</t>
        </is>
      </c>
    </row>
    <row r="1509">
      <c r="A1509" t="inlineStr">
        <is>
          <t>900004323</t>
        </is>
      </c>
      <c r="B1509" t="inlineStr">
        <is>
          <t>D836</t>
        </is>
      </c>
      <c r="C1509" t="inlineStr">
        <is>
          <t>65751300</t>
        </is>
      </c>
      <c r="D1509" t="inlineStr">
        <is>
          <t>10000160</t>
        </is>
      </c>
      <c r="E1509" t="inlineStr"/>
      <c r="F1509" s="11" t="n">
        <v>84</v>
      </c>
      <c r="G1509" t="inlineStr"/>
      <c r="I1509" t="inlineStr">
        <is>
          <t>M3</t>
        </is>
      </c>
      <c r="J1509" t="inlineStr"/>
      <c r="K1509" t="inlineStr">
        <is>
          <t>20190426</t>
        </is>
      </c>
      <c r="L1509" t="inlineStr">
        <is>
          <t>20250127</t>
        </is>
      </c>
    </row>
    <row r="1510">
      <c r="A1510" t="inlineStr">
        <is>
          <t>900004323</t>
        </is>
      </c>
      <c r="B1510" t="inlineStr">
        <is>
          <t>D836</t>
        </is>
      </c>
      <c r="C1510" t="inlineStr">
        <is>
          <t>65751300</t>
        </is>
      </c>
      <c r="D1510" t="inlineStr">
        <is>
          <t>10000357</t>
        </is>
      </c>
      <c r="E1510" t="inlineStr"/>
      <c r="F1510" s="11" t="n">
        <v>95.5</v>
      </c>
      <c r="G1510" t="inlineStr"/>
      <c r="I1510" t="inlineStr">
        <is>
          <t>M3</t>
        </is>
      </c>
      <c r="J1510" t="inlineStr"/>
      <c r="K1510" t="inlineStr">
        <is>
          <t>20190426</t>
        </is>
      </c>
      <c r="L1510" t="inlineStr">
        <is>
          <t>20250127</t>
        </is>
      </c>
    </row>
    <row r="1511">
      <c r="A1511" t="inlineStr">
        <is>
          <t>900004323</t>
        </is>
      </c>
      <c r="B1511" t="inlineStr">
        <is>
          <t>D836</t>
        </is>
      </c>
      <c r="C1511" t="inlineStr">
        <is>
          <t>65751300</t>
        </is>
      </c>
      <c r="D1511" t="inlineStr">
        <is>
          <t>10000627</t>
        </is>
      </c>
      <c r="E1511" t="inlineStr"/>
      <c r="F1511" s="11" t="n">
        <v>84</v>
      </c>
      <c r="G1511" t="inlineStr"/>
      <c r="I1511" t="inlineStr">
        <is>
          <t>M3</t>
        </is>
      </c>
      <c r="J1511" t="inlineStr"/>
      <c r="K1511" t="inlineStr">
        <is>
          <t>20190426</t>
        </is>
      </c>
      <c r="L1511" t="inlineStr">
        <is>
          <t>20250127</t>
        </is>
      </c>
    </row>
    <row r="1512">
      <c r="A1512" t="inlineStr">
        <is>
          <t>900004323</t>
        </is>
      </c>
      <c r="B1512" t="inlineStr">
        <is>
          <t>D836</t>
        </is>
      </c>
      <c r="C1512" t="inlineStr">
        <is>
          <t>65911289</t>
        </is>
      </c>
      <c r="D1512" t="inlineStr">
        <is>
          <t>10000160</t>
        </is>
      </c>
      <c r="E1512" t="inlineStr"/>
      <c r="F1512" s="11" t="n">
        <v>89.25</v>
      </c>
      <c r="G1512" t="inlineStr"/>
      <c r="I1512" t="inlineStr">
        <is>
          <t>M3</t>
        </is>
      </c>
      <c r="J1512" t="inlineStr"/>
      <c r="K1512" t="inlineStr">
        <is>
          <t>20190426</t>
        </is>
      </c>
      <c r="L1512" t="inlineStr">
        <is>
          <t>20250127</t>
        </is>
      </c>
    </row>
    <row r="1513">
      <c r="A1513" t="inlineStr">
        <is>
          <t>900004323</t>
        </is>
      </c>
      <c r="B1513" t="inlineStr">
        <is>
          <t>D836</t>
        </is>
      </c>
      <c r="C1513" t="inlineStr">
        <is>
          <t>65911313</t>
        </is>
      </c>
      <c r="D1513" t="inlineStr">
        <is>
          <t>10000160</t>
        </is>
      </c>
      <c r="E1513" t="inlineStr"/>
      <c r="F1513" s="11" t="n">
        <v>89.25</v>
      </c>
      <c r="G1513" t="inlineStr"/>
      <c r="I1513" t="inlineStr">
        <is>
          <t>M3</t>
        </is>
      </c>
      <c r="J1513" t="inlineStr"/>
      <c r="K1513" t="inlineStr">
        <is>
          <t>20190426</t>
        </is>
      </c>
      <c r="L1513" t="inlineStr">
        <is>
          <t>20250127</t>
        </is>
      </c>
    </row>
    <row r="1514">
      <c r="A1514" t="inlineStr">
        <is>
          <t>900004323</t>
        </is>
      </c>
      <c r="B1514" t="inlineStr">
        <is>
          <t>D836</t>
        </is>
      </c>
      <c r="C1514" t="inlineStr">
        <is>
          <t>65911313</t>
        </is>
      </c>
      <c r="D1514" t="inlineStr">
        <is>
          <t>10000357</t>
        </is>
      </c>
      <c r="E1514" t="inlineStr"/>
      <c r="F1514" s="11" t="n">
        <v>100.8</v>
      </c>
      <c r="G1514" t="inlineStr"/>
      <c r="I1514" t="inlineStr">
        <is>
          <t>M3</t>
        </is>
      </c>
      <c r="J1514" t="inlineStr"/>
      <c r="K1514" t="inlineStr">
        <is>
          <t>20190426</t>
        </is>
      </c>
      <c r="L1514" t="inlineStr">
        <is>
          <t>20250127</t>
        </is>
      </c>
    </row>
    <row r="1515">
      <c r="A1515" t="inlineStr">
        <is>
          <t>900004323</t>
        </is>
      </c>
      <c r="B1515" t="inlineStr">
        <is>
          <t>D836</t>
        </is>
      </c>
      <c r="C1515" t="inlineStr">
        <is>
          <t>65911313</t>
        </is>
      </c>
      <c r="D1515" t="inlineStr">
        <is>
          <t>10000627</t>
        </is>
      </c>
      <c r="E1515" t="inlineStr"/>
      <c r="F1515" s="11" t="n">
        <v>88</v>
      </c>
      <c r="G1515" t="inlineStr"/>
      <c r="I1515" t="inlineStr">
        <is>
          <t>M3</t>
        </is>
      </c>
      <c r="J1515" t="inlineStr"/>
      <c r="K1515" t="inlineStr">
        <is>
          <t>20190426</t>
        </is>
      </c>
      <c r="L1515" t="inlineStr">
        <is>
          <t>20250127</t>
        </is>
      </c>
    </row>
    <row r="1516">
      <c r="A1516" t="inlineStr">
        <is>
          <t>900004323</t>
        </is>
      </c>
      <c r="B1516" t="inlineStr">
        <is>
          <t>D836</t>
        </is>
      </c>
      <c r="C1516" t="inlineStr">
        <is>
          <t>66233244</t>
        </is>
      </c>
      <c r="D1516" t="inlineStr">
        <is>
          <t>10000160</t>
        </is>
      </c>
      <c r="E1516" t="inlineStr"/>
      <c r="F1516" s="11" t="n">
        <v>89.25</v>
      </c>
      <c r="G1516" t="inlineStr"/>
      <c r="I1516" t="inlineStr">
        <is>
          <t>M3</t>
        </is>
      </c>
      <c r="J1516" t="inlineStr"/>
      <c r="K1516" t="inlineStr">
        <is>
          <t>20190426</t>
        </is>
      </c>
      <c r="L1516" t="inlineStr">
        <is>
          <t>20250127</t>
        </is>
      </c>
    </row>
    <row r="1517">
      <c r="A1517" t="inlineStr">
        <is>
          <t>900004323</t>
        </is>
      </c>
      <c r="B1517" t="inlineStr">
        <is>
          <t>D836</t>
        </is>
      </c>
      <c r="C1517" t="inlineStr">
        <is>
          <t>66233244</t>
        </is>
      </c>
      <c r="D1517" t="inlineStr">
        <is>
          <t>10000357</t>
        </is>
      </c>
      <c r="E1517" t="inlineStr"/>
      <c r="F1517" s="11" t="n">
        <v>100.8</v>
      </c>
      <c r="G1517" t="inlineStr"/>
      <c r="I1517" t="inlineStr">
        <is>
          <t>M3</t>
        </is>
      </c>
      <c r="J1517" t="inlineStr"/>
      <c r="K1517" t="inlineStr">
        <is>
          <t>20190426</t>
        </is>
      </c>
      <c r="L1517" t="inlineStr">
        <is>
          <t>20250127</t>
        </is>
      </c>
    </row>
    <row r="1518">
      <c r="A1518" t="inlineStr">
        <is>
          <t>900004323</t>
        </is>
      </c>
      <c r="B1518" t="inlineStr">
        <is>
          <t>D836</t>
        </is>
      </c>
      <c r="C1518" t="inlineStr">
        <is>
          <t>66239560</t>
        </is>
      </c>
      <c r="D1518" t="inlineStr">
        <is>
          <t>10000160</t>
        </is>
      </c>
      <c r="E1518" t="inlineStr"/>
      <c r="F1518" s="11" t="n">
        <v>84</v>
      </c>
      <c r="G1518" t="inlineStr"/>
      <c r="I1518" t="inlineStr">
        <is>
          <t>M3</t>
        </is>
      </c>
      <c r="J1518" t="inlineStr"/>
      <c r="K1518" t="inlineStr">
        <is>
          <t>20190426</t>
        </is>
      </c>
      <c r="L1518" t="inlineStr">
        <is>
          <t>20250127</t>
        </is>
      </c>
    </row>
    <row r="1519">
      <c r="A1519" t="inlineStr">
        <is>
          <t>900004323</t>
        </is>
      </c>
      <c r="B1519" t="inlineStr">
        <is>
          <t>D836</t>
        </is>
      </c>
      <c r="C1519" t="inlineStr">
        <is>
          <t>66239560</t>
        </is>
      </c>
      <c r="D1519" t="inlineStr">
        <is>
          <t>10000357</t>
        </is>
      </c>
      <c r="E1519" t="inlineStr"/>
      <c r="F1519" s="11" t="n">
        <v>95.5</v>
      </c>
      <c r="G1519" t="inlineStr"/>
      <c r="I1519" t="inlineStr">
        <is>
          <t>M3</t>
        </is>
      </c>
      <c r="J1519" t="inlineStr"/>
      <c r="K1519" t="inlineStr">
        <is>
          <t>20190426</t>
        </is>
      </c>
      <c r="L1519" t="inlineStr">
        <is>
          <t>20250127</t>
        </is>
      </c>
    </row>
    <row r="1520">
      <c r="A1520" t="inlineStr">
        <is>
          <t>900004323</t>
        </is>
      </c>
      <c r="B1520" t="inlineStr">
        <is>
          <t>D836</t>
        </is>
      </c>
      <c r="C1520" t="inlineStr">
        <is>
          <t>66239560</t>
        </is>
      </c>
      <c r="D1520" t="inlineStr">
        <is>
          <t>10000627</t>
        </is>
      </c>
      <c r="E1520" t="inlineStr"/>
      <c r="F1520" s="11" t="n">
        <v>84</v>
      </c>
      <c r="G1520" t="inlineStr"/>
      <c r="I1520" t="inlineStr">
        <is>
          <t>M3</t>
        </is>
      </c>
      <c r="J1520" t="inlineStr"/>
      <c r="K1520" t="inlineStr">
        <is>
          <t>20190426</t>
        </is>
      </c>
      <c r="L1520" t="inlineStr">
        <is>
          <t>20250127</t>
        </is>
      </c>
    </row>
    <row r="1521">
      <c r="A1521" t="inlineStr">
        <is>
          <t>900004323</t>
        </is>
      </c>
      <c r="B1521" t="inlineStr">
        <is>
          <t>D836</t>
        </is>
      </c>
      <c r="C1521" t="inlineStr">
        <is>
          <t>66239561</t>
        </is>
      </c>
      <c r="D1521" t="inlineStr">
        <is>
          <t>10000160</t>
        </is>
      </c>
      <c r="E1521" t="inlineStr"/>
      <c r="F1521" s="11" t="n">
        <v>84</v>
      </c>
      <c r="G1521" t="inlineStr"/>
      <c r="I1521" t="inlineStr">
        <is>
          <t>M3</t>
        </is>
      </c>
      <c r="J1521" t="inlineStr"/>
      <c r="K1521" t="inlineStr">
        <is>
          <t>20190426</t>
        </is>
      </c>
      <c r="L1521" t="inlineStr">
        <is>
          <t>20250127</t>
        </is>
      </c>
    </row>
    <row r="1522">
      <c r="A1522" t="inlineStr">
        <is>
          <t>900004323</t>
        </is>
      </c>
      <c r="B1522" t="inlineStr">
        <is>
          <t>D836</t>
        </is>
      </c>
      <c r="C1522" t="inlineStr">
        <is>
          <t>66239561</t>
        </is>
      </c>
      <c r="D1522" t="inlineStr">
        <is>
          <t>10000357</t>
        </is>
      </c>
      <c r="E1522" t="inlineStr"/>
      <c r="F1522" s="11" t="n">
        <v>95.5</v>
      </c>
      <c r="G1522" t="inlineStr"/>
      <c r="I1522" t="inlineStr">
        <is>
          <t>M3</t>
        </is>
      </c>
      <c r="J1522" t="inlineStr"/>
      <c r="K1522" t="inlineStr">
        <is>
          <t>20190426</t>
        </is>
      </c>
      <c r="L1522" t="inlineStr">
        <is>
          <t>20250127</t>
        </is>
      </c>
    </row>
    <row r="1523">
      <c r="A1523" t="inlineStr">
        <is>
          <t>900004323</t>
        </is>
      </c>
      <c r="B1523" t="inlineStr">
        <is>
          <t>D836</t>
        </is>
      </c>
      <c r="C1523" t="inlineStr">
        <is>
          <t>66239561</t>
        </is>
      </c>
      <c r="D1523" t="inlineStr">
        <is>
          <t>10000627</t>
        </is>
      </c>
      <c r="E1523" t="inlineStr"/>
      <c r="F1523" s="11" t="n">
        <v>84</v>
      </c>
      <c r="G1523" t="inlineStr"/>
      <c r="I1523" t="inlineStr">
        <is>
          <t>M3</t>
        </is>
      </c>
      <c r="J1523" t="inlineStr"/>
      <c r="K1523" t="inlineStr">
        <is>
          <t>20190426</t>
        </is>
      </c>
      <c r="L1523" t="inlineStr">
        <is>
          <t>20250127</t>
        </is>
      </c>
    </row>
    <row r="1524">
      <c r="A1524" t="inlineStr">
        <is>
          <t>900004323</t>
        </is>
      </c>
      <c r="B1524" t="inlineStr">
        <is>
          <t>D836</t>
        </is>
      </c>
      <c r="C1524" t="inlineStr">
        <is>
          <t>66239598</t>
        </is>
      </c>
      <c r="D1524" t="inlineStr">
        <is>
          <t>10000160</t>
        </is>
      </c>
      <c r="E1524" t="inlineStr"/>
      <c r="F1524" s="11" t="n">
        <v>84</v>
      </c>
      <c r="G1524" t="inlineStr"/>
      <c r="I1524" t="inlineStr">
        <is>
          <t>M3</t>
        </is>
      </c>
      <c r="J1524" t="inlineStr"/>
      <c r="K1524" t="inlineStr">
        <is>
          <t>20190426</t>
        </is>
      </c>
      <c r="L1524" t="inlineStr">
        <is>
          <t>20250127</t>
        </is>
      </c>
    </row>
    <row r="1525">
      <c r="A1525" t="inlineStr">
        <is>
          <t>900004323</t>
        </is>
      </c>
      <c r="B1525" t="inlineStr">
        <is>
          <t>D836</t>
        </is>
      </c>
      <c r="C1525" t="inlineStr">
        <is>
          <t>66239598</t>
        </is>
      </c>
      <c r="D1525" t="inlineStr">
        <is>
          <t>10000357</t>
        </is>
      </c>
      <c r="E1525" t="inlineStr"/>
      <c r="F1525" s="11" t="n">
        <v>95.5</v>
      </c>
      <c r="G1525" t="inlineStr"/>
      <c r="I1525" t="inlineStr">
        <is>
          <t>M3</t>
        </is>
      </c>
      <c r="J1525" t="inlineStr"/>
      <c r="K1525" t="inlineStr">
        <is>
          <t>20190426</t>
        </is>
      </c>
      <c r="L1525" t="inlineStr">
        <is>
          <t>20250127</t>
        </is>
      </c>
    </row>
    <row r="1526">
      <c r="A1526" t="inlineStr">
        <is>
          <t>900004323</t>
        </is>
      </c>
      <c r="B1526" t="inlineStr">
        <is>
          <t>D836</t>
        </is>
      </c>
      <c r="C1526" t="inlineStr">
        <is>
          <t>66239598</t>
        </is>
      </c>
      <c r="D1526" t="inlineStr">
        <is>
          <t>10000627</t>
        </is>
      </c>
      <c r="E1526" t="inlineStr"/>
      <c r="F1526" s="11" t="n">
        <v>84</v>
      </c>
      <c r="G1526" t="inlineStr"/>
      <c r="I1526" t="inlineStr">
        <is>
          <t>M3</t>
        </is>
      </c>
      <c r="J1526" t="inlineStr"/>
      <c r="K1526" t="inlineStr">
        <is>
          <t>20190426</t>
        </is>
      </c>
      <c r="L1526" t="inlineStr">
        <is>
          <t>20250127</t>
        </is>
      </c>
    </row>
    <row r="1527">
      <c r="A1527" t="inlineStr">
        <is>
          <t>900004323</t>
        </is>
      </c>
      <c r="B1527" t="inlineStr">
        <is>
          <t>D836</t>
        </is>
      </c>
      <c r="C1527" t="inlineStr">
        <is>
          <t>66239599</t>
        </is>
      </c>
      <c r="D1527" t="inlineStr">
        <is>
          <t>10000160</t>
        </is>
      </c>
      <c r="E1527" t="inlineStr"/>
      <c r="F1527" s="11" t="n">
        <v>84</v>
      </c>
      <c r="G1527" t="inlineStr"/>
      <c r="I1527" t="inlineStr">
        <is>
          <t>M3</t>
        </is>
      </c>
      <c r="J1527" t="inlineStr"/>
      <c r="K1527" t="inlineStr">
        <is>
          <t>20190426</t>
        </is>
      </c>
      <c r="L1527" t="inlineStr">
        <is>
          <t>20250127</t>
        </is>
      </c>
    </row>
    <row r="1528">
      <c r="A1528" t="inlineStr">
        <is>
          <t>900004323</t>
        </is>
      </c>
      <c r="B1528" t="inlineStr">
        <is>
          <t>D836</t>
        </is>
      </c>
      <c r="C1528" t="inlineStr">
        <is>
          <t>66239599</t>
        </is>
      </c>
      <c r="D1528" t="inlineStr">
        <is>
          <t>10000357</t>
        </is>
      </c>
      <c r="E1528" t="inlineStr"/>
      <c r="F1528" s="11" t="n">
        <v>95.5</v>
      </c>
      <c r="G1528" t="inlineStr"/>
      <c r="I1528" t="inlineStr">
        <is>
          <t>M3</t>
        </is>
      </c>
      <c r="J1528" t="inlineStr"/>
      <c r="K1528" t="inlineStr">
        <is>
          <t>20190426</t>
        </is>
      </c>
      <c r="L1528" t="inlineStr">
        <is>
          <t>20250127</t>
        </is>
      </c>
    </row>
    <row r="1529">
      <c r="A1529" t="inlineStr">
        <is>
          <t>900004323</t>
        </is>
      </c>
      <c r="B1529" t="inlineStr">
        <is>
          <t>D836</t>
        </is>
      </c>
      <c r="C1529" t="inlineStr">
        <is>
          <t>66239599</t>
        </is>
      </c>
      <c r="D1529" t="inlineStr">
        <is>
          <t>10000627</t>
        </is>
      </c>
      <c r="E1529" t="inlineStr"/>
      <c r="F1529" s="11" t="n">
        <v>84</v>
      </c>
      <c r="G1529" t="inlineStr"/>
      <c r="I1529" t="inlineStr">
        <is>
          <t>M3</t>
        </is>
      </c>
      <c r="J1529" t="inlineStr"/>
      <c r="K1529" t="inlineStr">
        <is>
          <t>20190426</t>
        </is>
      </c>
      <c r="L1529" t="inlineStr">
        <is>
          <t>20250127</t>
        </is>
      </c>
    </row>
    <row r="1530">
      <c r="A1530" t="inlineStr">
        <is>
          <t>900004323</t>
        </is>
      </c>
      <c r="B1530" t="inlineStr">
        <is>
          <t>D836</t>
        </is>
      </c>
      <c r="C1530" t="inlineStr">
        <is>
          <t>66239600</t>
        </is>
      </c>
      <c r="D1530" t="inlineStr">
        <is>
          <t>10000160</t>
        </is>
      </c>
      <c r="E1530" t="inlineStr"/>
      <c r="F1530" s="11" t="n">
        <v>84</v>
      </c>
      <c r="G1530" t="inlineStr"/>
      <c r="I1530" t="inlineStr">
        <is>
          <t>M3</t>
        </is>
      </c>
      <c r="J1530" t="inlineStr"/>
      <c r="K1530" t="inlineStr">
        <is>
          <t>20190426</t>
        </is>
      </c>
      <c r="L1530" t="inlineStr">
        <is>
          <t>20250127</t>
        </is>
      </c>
    </row>
    <row r="1531">
      <c r="A1531" t="inlineStr">
        <is>
          <t>900004323</t>
        </is>
      </c>
      <c r="B1531" t="inlineStr">
        <is>
          <t>D836</t>
        </is>
      </c>
      <c r="C1531" t="inlineStr">
        <is>
          <t>66239600</t>
        </is>
      </c>
      <c r="D1531" t="inlineStr">
        <is>
          <t>10000357</t>
        </is>
      </c>
      <c r="E1531" t="inlineStr"/>
      <c r="F1531" s="11" t="n">
        <v>95.5</v>
      </c>
      <c r="G1531" t="inlineStr"/>
      <c r="I1531" t="inlineStr">
        <is>
          <t>M3</t>
        </is>
      </c>
      <c r="J1531" t="inlineStr"/>
      <c r="K1531" t="inlineStr">
        <is>
          <t>20190426</t>
        </is>
      </c>
      <c r="L1531" t="inlineStr">
        <is>
          <t>20250127</t>
        </is>
      </c>
    </row>
    <row r="1532">
      <c r="A1532" t="inlineStr">
        <is>
          <t>900004323</t>
        </is>
      </c>
      <c r="B1532" t="inlineStr">
        <is>
          <t>D836</t>
        </is>
      </c>
      <c r="C1532" t="inlineStr">
        <is>
          <t>66239600</t>
        </is>
      </c>
      <c r="D1532" t="inlineStr">
        <is>
          <t>10000627</t>
        </is>
      </c>
      <c r="E1532" t="inlineStr"/>
      <c r="F1532" s="11" t="n">
        <v>84</v>
      </c>
      <c r="G1532" t="inlineStr"/>
      <c r="I1532" t="inlineStr">
        <is>
          <t>M3</t>
        </is>
      </c>
      <c r="J1532" t="inlineStr"/>
      <c r="K1532" t="inlineStr">
        <is>
          <t>20190426</t>
        </is>
      </c>
      <c r="L1532" t="inlineStr">
        <is>
          <t>20250127</t>
        </is>
      </c>
    </row>
    <row r="1533">
      <c r="A1533" t="inlineStr">
        <is>
          <t>900004323</t>
        </is>
      </c>
      <c r="B1533" t="inlineStr">
        <is>
          <t>D836</t>
        </is>
      </c>
      <c r="C1533" t="inlineStr">
        <is>
          <t>66239601</t>
        </is>
      </c>
      <c r="D1533" t="inlineStr">
        <is>
          <t>10000160</t>
        </is>
      </c>
      <c r="E1533" t="inlineStr"/>
      <c r="F1533" s="11" t="n">
        <v>84</v>
      </c>
      <c r="G1533" t="inlineStr"/>
      <c r="I1533" t="inlineStr">
        <is>
          <t>M3</t>
        </is>
      </c>
      <c r="J1533" t="inlineStr"/>
      <c r="K1533" t="inlineStr">
        <is>
          <t>20190426</t>
        </is>
      </c>
      <c r="L1533" t="inlineStr">
        <is>
          <t>20250127</t>
        </is>
      </c>
    </row>
    <row r="1534">
      <c r="A1534" t="inlineStr">
        <is>
          <t>900004323</t>
        </is>
      </c>
      <c r="B1534" t="inlineStr">
        <is>
          <t>D836</t>
        </is>
      </c>
      <c r="C1534" t="inlineStr">
        <is>
          <t>66239601</t>
        </is>
      </c>
      <c r="D1534" t="inlineStr">
        <is>
          <t>10000357</t>
        </is>
      </c>
      <c r="E1534" t="inlineStr"/>
      <c r="F1534" s="11" t="n">
        <v>95.5</v>
      </c>
      <c r="G1534" t="inlineStr"/>
      <c r="I1534" t="inlineStr">
        <is>
          <t>M3</t>
        </is>
      </c>
      <c r="J1534" t="inlineStr"/>
      <c r="K1534" t="inlineStr">
        <is>
          <t>20190426</t>
        </is>
      </c>
      <c r="L1534" t="inlineStr">
        <is>
          <t>20250127</t>
        </is>
      </c>
    </row>
    <row r="1535">
      <c r="A1535" t="inlineStr">
        <is>
          <t>900004323</t>
        </is>
      </c>
      <c r="B1535" t="inlineStr">
        <is>
          <t>D836</t>
        </is>
      </c>
      <c r="C1535" t="inlineStr">
        <is>
          <t>66239601</t>
        </is>
      </c>
      <c r="D1535" t="inlineStr">
        <is>
          <t>10000627</t>
        </is>
      </c>
      <c r="E1535" t="inlineStr"/>
      <c r="F1535" s="11" t="n">
        <v>84</v>
      </c>
      <c r="G1535" t="inlineStr"/>
      <c r="I1535" t="inlineStr">
        <is>
          <t>M3</t>
        </is>
      </c>
      <c r="J1535" t="inlineStr"/>
      <c r="K1535" t="inlineStr">
        <is>
          <t>20190426</t>
        </is>
      </c>
      <c r="L1535" t="inlineStr">
        <is>
          <t>20250127</t>
        </is>
      </c>
    </row>
    <row r="1536">
      <c r="A1536" t="inlineStr">
        <is>
          <t>900004323</t>
        </is>
      </c>
      <c r="B1536" t="inlineStr">
        <is>
          <t>D836</t>
        </is>
      </c>
      <c r="C1536" t="inlineStr">
        <is>
          <t>66239617</t>
        </is>
      </c>
      <c r="D1536" t="inlineStr">
        <is>
          <t>10000160</t>
        </is>
      </c>
      <c r="E1536" t="inlineStr"/>
      <c r="F1536" s="11" t="n">
        <v>84</v>
      </c>
      <c r="G1536" t="inlineStr"/>
      <c r="I1536" t="inlineStr">
        <is>
          <t>M3</t>
        </is>
      </c>
      <c r="J1536" t="inlineStr"/>
      <c r="K1536" t="inlineStr">
        <is>
          <t>20190426</t>
        </is>
      </c>
      <c r="L1536" t="inlineStr">
        <is>
          <t>20250127</t>
        </is>
      </c>
    </row>
    <row r="1537">
      <c r="A1537" t="inlineStr">
        <is>
          <t>900004323</t>
        </is>
      </c>
      <c r="B1537" t="inlineStr">
        <is>
          <t>D836</t>
        </is>
      </c>
      <c r="C1537" t="inlineStr">
        <is>
          <t>66239617</t>
        </is>
      </c>
      <c r="D1537" t="inlineStr">
        <is>
          <t>10000357</t>
        </is>
      </c>
      <c r="E1537" t="inlineStr"/>
      <c r="F1537" s="11" t="n">
        <v>95.5</v>
      </c>
      <c r="G1537" t="inlineStr"/>
      <c r="I1537" t="inlineStr">
        <is>
          <t>M3</t>
        </is>
      </c>
      <c r="J1537" t="inlineStr"/>
      <c r="K1537" t="inlineStr">
        <is>
          <t>20190426</t>
        </is>
      </c>
      <c r="L1537" t="inlineStr">
        <is>
          <t>20250127</t>
        </is>
      </c>
    </row>
    <row r="1538">
      <c r="A1538" t="inlineStr">
        <is>
          <t>900004323</t>
        </is>
      </c>
      <c r="B1538" t="inlineStr">
        <is>
          <t>D836</t>
        </is>
      </c>
      <c r="C1538" t="inlineStr">
        <is>
          <t>66239617</t>
        </is>
      </c>
      <c r="D1538" t="inlineStr">
        <is>
          <t>10000627</t>
        </is>
      </c>
      <c r="E1538" t="inlineStr"/>
      <c r="F1538" s="11" t="n">
        <v>84</v>
      </c>
      <c r="G1538" t="inlineStr"/>
      <c r="I1538" t="inlineStr">
        <is>
          <t>M3</t>
        </is>
      </c>
      <c r="J1538" t="inlineStr"/>
      <c r="K1538" t="inlineStr">
        <is>
          <t>20190426</t>
        </is>
      </c>
      <c r="L1538" t="inlineStr">
        <is>
          <t>20250127</t>
        </is>
      </c>
    </row>
    <row r="1539">
      <c r="A1539" t="inlineStr">
        <is>
          <t>900004323</t>
        </is>
      </c>
      <c r="B1539" t="inlineStr">
        <is>
          <t>D836</t>
        </is>
      </c>
      <c r="C1539" t="inlineStr">
        <is>
          <t>66239618</t>
        </is>
      </c>
      <c r="D1539" t="inlineStr">
        <is>
          <t>10000160</t>
        </is>
      </c>
      <c r="E1539" t="inlineStr"/>
      <c r="F1539" s="11" t="n">
        <v>84</v>
      </c>
      <c r="G1539" t="inlineStr"/>
      <c r="I1539" t="inlineStr">
        <is>
          <t>M3</t>
        </is>
      </c>
      <c r="J1539" t="inlineStr"/>
      <c r="K1539" t="inlineStr">
        <is>
          <t>20190426</t>
        </is>
      </c>
      <c r="L1539" t="inlineStr">
        <is>
          <t>20250127</t>
        </is>
      </c>
    </row>
    <row r="1540">
      <c r="A1540" t="inlineStr">
        <is>
          <t>900004323</t>
        </is>
      </c>
      <c r="B1540" t="inlineStr">
        <is>
          <t>D836</t>
        </is>
      </c>
      <c r="C1540" t="inlineStr">
        <is>
          <t>66239618</t>
        </is>
      </c>
      <c r="D1540" t="inlineStr">
        <is>
          <t>10000357</t>
        </is>
      </c>
      <c r="E1540" t="inlineStr"/>
      <c r="F1540" s="11" t="n">
        <v>95.5</v>
      </c>
      <c r="G1540" t="inlineStr"/>
      <c r="I1540" t="inlineStr">
        <is>
          <t>M3</t>
        </is>
      </c>
      <c r="J1540" t="inlineStr"/>
      <c r="K1540" t="inlineStr">
        <is>
          <t>20190426</t>
        </is>
      </c>
      <c r="L1540" t="inlineStr">
        <is>
          <t>20250127</t>
        </is>
      </c>
    </row>
    <row r="1541">
      <c r="A1541" t="inlineStr">
        <is>
          <t>900004323</t>
        </is>
      </c>
      <c r="B1541" t="inlineStr">
        <is>
          <t>D836</t>
        </is>
      </c>
      <c r="C1541" t="inlineStr">
        <is>
          <t>66239618</t>
        </is>
      </c>
      <c r="D1541" t="inlineStr">
        <is>
          <t>10000627</t>
        </is>
      </c>
      <c r="E1541" t="inlineStr"/>
      <c r="F1541" s="11" t="n">
        <v>84</v>
      </c>
      <c r="G1541" t="inlineStr"/>
      <c r="I1541" t="inlineStr">
        <is>
          <t>M3</t>
        </is>
      </c>
      <c r="J1541" t="inlineStr"/>
      <c r="K1541" t="inlineStr">
        <is>
          <t>20190426</t>
        </is>
      </c>
      <c r="L1541" t="inlineStr">
        <is>
          <t>20250127</t>
        </is>
      </c>
    </row>
    <row r="1542">
      <c r="A1542" t="inlineStr">
        <is>
          <t>900004323</t>
        </is>
      </c>
      <c r="B1542" t="inlineStr">
        <is>
          <t>D836</t>
        </is>
      </c>
      <c r="C1542" t="inlineStr">
        <is>
          <t>66239621</t>
        </is>
      </c>
      <c r="D1542" t="inlineStr">
        <is>
          <t>10000160</t>
        </is>
      </c>
      <c r="E1542" t="inlineStr"/>
      <c r="F1542" s="11" t="n">
        <v>84</v>
      </c>
      <c r="G1542" t="inlineStr"/>
      <c r="I1542" t="inlineStr">
        <is>
          <t>M3</t>
        </is>
      </c>
      <c r="J1542" t="inlineStr"/>
      <c r="K1542" t="inlineStr">
        <is>
          <t>20190426</t>
        </is>
      </c>
      <c r="L1542" t="inlineStr">
        <is>
          <t>20250127</t>
        </is>
      </c>
    </row>
    <row r="1543">
      <c r="A1543" t="inlineStr">
        <is>
          <t>900004323</t>
        </is>
      </c>
      <c r="B1543" t="inlineStr">
        <is>
          <t>D836</t>
        </is>
      </c>
      <c r="C1543" t="inlineStr">
        <is>
          <t>66239621</t>
        </is>
      </c>
      <c r="D1543" t="inlineStr">
        <is>
          <t>10000357</t>
        </is>
      </c>
      <c r="E1543" t="inlineStr"/>
      <c r="F1543" s="11" t="n">
        <v>95.5</v>
      </c>
      <c r="G1543" t="inlineStr"/>
      <c r="I1543" t="inlineStr">
        <is>
          <t>M3</t>
        </is>
      </c>
      <c r="J1543" t="inlineStr"/>
      <c r="K1543" t="inlineStr">
        <is>
          <t>20190426</t>
        </is>
      </c>
      <c r="L1543" t="inlineStr">
        <is>
          <t>20250127</t>
        </is>
      </c>
    </row>
    <row r="1544">
      <c r="A1544" t="inlineStr">
        <is>
          <t>900004323</t>
        </is>
      </c>
      <c r="B1544" t="inlineStr">
        <is>
          <t>D836</t>
        </is>
      </c>
      <c r="C1544" t="inlineStr">
        <is>
          <t>66239621</t>
        </is>
      </c>
      <c r="D1544" t="inlineStr">
        <is>
          <t>10000627</t>
        </is>
      </c>
      <c r="E1544" t="inlineStr"/>
      <c r="F1544" s="11" t="n">
        <v>84</v>
      </c>
      <c r="G1544" t="inlineStr"/>
      <c r="I1544" t="inlineStr">
        <is>
          <t>M3</t>
        </is>
      </c>
      <c r="J1544" t="inlineStr"/>
      <c r="K1544" t="inlineStr">
        <is>
          <t>20190426</t>
        </is>
      </c>
      <c r="L1544" t="inlineStr">
        <is>
          <t>20250127</t>
        </is>
      </c>
    </row>
    <row r="1545">
      <c r="A1545" t="inlineStr">
        <is>
          <t>900004323</t>
        </is>
      </c>
      <c r="B1545" t="inlineStr">
        <is>
          <t>D836</t>
        </is>
      </c>
      <c r="C1545" t="inlineStr">
        <is>
          <t>66239627</t>
        </is>
      </c>
      <c r="D1545" t="inlineStr">
        <is>
          <t>10000160</t>
        </is>
      </c>
      <c r="E1545" t="inlineStr"/>
      <c r="F1545" s="11" t="n">
        <v>84</v>
      </c>
      <c r="G1545" t="inlineStr"/>
      <c r="I1545" t="inlineStr">
        <is>
          <t>M3</t>
        </is>
      </c>
      <c r="J1545" t="inlineStr"/>
      <c r="K1545" t="inlineStr">
        <is>
          <t>20190426</t>
        </is>
      </c>
      <c r="L1545" t="inlineStr">
        <is>
          <t>20250127</t>
        </is>
      </c>
    </row>
    <row r="1546">
      <c r="A1546" t="inlineStr">
        <is>
          <t>900004323</t>
        </is>
      </c>
      <c r="B1546" t="inlineStr">
        <is>
          <t>D836</t>
        </is>
      </c>
      <c r="C1546" t="inlineStr">
        <is>
          <t>66239627</t>
        </is>
      </c>
      <c r="D1546" t="inlineStr">
        <is>
          <t>10000357</t>
        </is>
      </c>
      <c r="E1546" t="inlineStr"/>
      <c r="F1546" s="11" t="n">
        <v>95.5</v>
      </c>
      <c r="G1546" t="inlineStr"/>
      <c r="I1546" t="inlineStr">
        <is>
          <t>M3</t>
        </is>
      </c>
      <c r="J1546" t="inlineStr"/>
      <c r="K1546" t="inlineStr">
        <is>
          <t>20190426</t>
        </is>
      </c>
      <c r="L1546" t="inlineStr">
        <is>
          <t>20250127</t>
        </is>
      </c>
    </row>
    <row r="1547">
      <c r="A1547" t="inlineStr">
        <is>
          <t>900004323</t>
        </is>
      </c>
      <c r="B1547" t="inlineStr">
        <is>
          <t>D836</t>
        </is>
      </c>
      <c r="C1547" t="inlineStr">
        <is>
          <t>66239627</t>
        </is>
      </c>
      <c r="D1547" t="inlineStr">
        <is>
          <t>10000627</t>
        </is>
      </c>
      <c r="E1547" t="inlineStr"/>
      <c r="F1547" s="11" t="n">
        <v>84</v>
      </c>
      <c r="G1547" t="inlineStr"/>
      <c r="I1547" t="inlineStr">
        <is>
          <t>M3</t>
        </is>
      </c>
      <c r="J1547" t="inlineStr"/>
      <c r="K1547" t="inlineStr">
        <is>
          <t>20190426</t>
        </is>
      </c>
      <c r="L1547" t="inlineStr">
        <is>
          <t>20250127</t>
        </is>
      </c>
    </row>
    <row r="1548">
      <c r="A1548" t="inlineStr">
        <is>
          <t>900004323</t>
        </is>
      </c>
      <c r="B1548" t="inlineStr">
        <is>
          <t>D836</t>
        </is>
      </c>
      <c r="C1548" t="inlineStr">
        <is>
          <t>66239628</t>
        </is>
      </c>
      <c r="D1548" t="inlineStr">
        <is>
          <t>10000160</t>
        </is>
      </c>
      <c r="E1548" t="inlineStr"/>
      <c r="F1548" s="11" t="n">
        <v>84</v>
      </c>
      <c r="G1548" t="inlineStr"/>
      <c r="I1548" t="inlineStr">
        <is>
          <t>M3</t>
        </is>
      </c>
      <c r="J1548" t="inlineStr"/>
      <c r="K1548" t="inlineStr">
        <is>
          <t>20190426</t>
        </is>
      </c>
      <c r="L1548" t="inlineStr">
        <is>
          <t>20250127</t>
        </is>
      </c>
    </row>
    <row r="1549">
      <c r="A1549" t="inlineStr">
        <is>
          <t>900004323</t>
        </is>
      </c>
      <c r="B1549" t="inlineStr">
        <is>
          <t>D836</t>
        </is>
      </c>
      <c r="C1549" t="inlineStr">
        <is>
          <t>66239628</t>
        </is>
      </c>
      <c r="D1549" t="inlineStr">
        <is>
          <t>10000357</t>
        </is>
      </c>
      <c r="E1549" t="inlineStr"/>
      <c r="F1549" s="11" t="n">
        <v>95.5</v>
      </c>
      <c r="G1549" t="inlineStr"/>
      <c r="I1549" t="inlineStr">
        <is>
          <t>M3</t>
        </is>
      </c>
      <c r="J1549" t="inlineStr"/>
      <c r="K1549" t="inlineStr">
        <is>
          <t>20190426</t>
        </is>
      </c>
      <c r="L1549" t="inlineStr">
        <is>
          <t>20250127</t>
        </is>
      </c>
    </row>
    <row r="1550">
      <c r="A1550" t="inlineStr">
        <is>
          <t>900004323</t>
        </is>
      </c>
      <c r="B1550" t="inlineStr">
        <is>
          <t>D836</t>
        </is>
      </c>
      <c r="C1550" t="inlineStr">
        <is>
          <t>66239628</t>
        </is>
      </c>
      <c r="D1550" t="inlineStr">
        <is>
          <t>10000627</t>
        </is>
      </c>
      <c r="E1550" t="inlineStr"/>
      <c r="F1550" s="11" t="n">
        <v>84</v>
      </c>
      <c r="G1550" t="inlineStr"/>
      <c r="I1550" t="inlineStr">
        <is>
          <t>M3</t>
        </is>
      </c>
      <c r="J1550" t="inlineStr"/>
      <c r="K1550" t="inlineStr">
        <is>
          <t>20190426</t>
        </is>
      </c>
      <c r="L1550" t="inlineStr">
        <is>
          <t>20250127</t>
        </is>
      </c>
    </row>
    <row r="1551">
      <c r="A1551" t="inlineStr">
        <is>
          <t>900004323</t>
        </is>
      </c>
      <c r="B1551" t="inlineStr">
        <is>
          <t>D836</t>
        </is>
      </c>
      <c r="C1551" t="inlineStr">
        <is>
          <t>66260760</t>
        </is>
      </c>
      <c r="D1551" t="inlineStr">
        <is>
          <t>10000357</t>
        </is>
      </c>
      <c r="E1551" t="inlineStr"/>
      <c r="F1551" s="11" t="n">
        <v>86</v>
      </c>
      <c r="G1551" t="inlineStr"/>
      <c r="I1551" t="inlineStr">
        <is>
          <t>M3</t>
        </is>
      </c>
      <c r="J1551" t="inlineStr"/>
      <c r="K1551" t="inlineStr">
        <is>
          <t>20190426</t>
        </is>
      </c>
      <c r="L1551" t="inlineStr">
        <is>
          <t>20250127</t>
        </is>
      </c>
    </row>
    <row r="1552">
      <c r="A1552" t="inlineStr">
        <is>
          <t>900004323</t>
        </is>
      </c>
      <c r="B1552" t="inlineStr">
        <is>
          <t>D836</t>
        </is>
      </c>
      <c r="C1552" t="inlineStr">
        <is>
          <t>66260760</t>
        </is>
      </c>
      <c r="D1552" t="inlineStr">
        <is>
          <t>10000627</t>
        </is>
      </c>
      <c r="E1552" t="inlineStr"/>
      <c r="F1552" s="11" t="n">
        <v>86</v>
      </c>
      <c r="G1552" t="inlineStr"/>
      <c r="I1552" t="inlineStr">
        <is>
          <t>M3</t>
        </is>
      </c>
      <c r="J1552" t="inlineStr"/>
      <c r="K1552" t="inlineStr">
        <is>
          <t>20190426</t>
        </is>
      </c>
      <c r="L1552" t="inlineStr">
        <is>
          <t>20250127</t>
        </is>
      </c>
    </row>
    <row r="1553">
      <c r="A1553" t="inlineStr">
        <is>
          <t>900004323</t>
        </is>
      </c>
      <c r="B1553" t="inlineStr">
        <is>
          <t>D836</t>
        </is>
      </c>
      <c r="C1553" t="inlineStr">
        <is>
          <t>66289412</t>
        </is>
      </c>
      <c r="D1553" t="inlineStr">
        <is>
          <t>10000160</t>
        </is>
      </c>
      <c r="E1553" t="inlineStr"/>
      <c r="F1553" s="11" t="n">
        <v>84</v>
      </c>
      <c r="G1553" t="inlineStr"/>
      <c r="I1553" t="inlineStr">
        <is>
          <t>M3</t>
        </is>
      </c>
      <c r="J1553" t="inlineStr"/>
      <c r="K1553" t="inlineStr">
        <is>
          <t>20190426</t>
        </is>
      </c>
      <c r="L1553" t="inlineStr">
        <is>
          <t>20250127</t>
        </is>
      </c>
    </row>
    <row r="1554">
      <c r="A1554" t="inlineStr">
        <is>
          <t>900004323</t>
        </is>
      </c>
      <c r="B1554" t="inlineStr">
        <is>
          <t>D836</t>
        </is>
      </c>
      <c r="C1554" t="inlineStr">
        <is>
          <t>66289412</t>
        </is>
      </c>
      <c r="D1554" t="inlineStr">
        <is>
          <t>10000357</t>
        </is>
      </c>
      <c r="E1554" t="inlineStr"/>
      <c r="F1554" s="11" t="n">
        <v>95.5</v>
      </c>
      <c r="G1554" t="inlineStr"/>
      <c r="I1554" t="inlineStr">
        <is>
          <t>M3</t>
        </is>
      </c>
      <c r="J1554" t="inlineStr"/>
      <c r="K1554" t="inlineStr">
        <is>
          <t>20190426</t>
        </is>
      </c>
      <c r="L1554" t="inlineStr">
        <is>
          <t>20250127</t>
        </is>
      </c>
    </row>
    <row r="1555">
      <c r="A1555" t="inlineStr">
        <is>
          <t>900004323</t>
        </is>
      </c>
      <c r="B1555" t="inlineStr">
        <is>
          <t>D836</t>
        </is>
      </c>
      <c r="C1555" t="inlineStr">
        <is>
          <t>66289412</t>
        </is>
      </c>
      <c r="D1555" t="inlineStr">
        <is>
          <t>10000627</t>
        </is>
      </c>
      <c r="E1555" t="inlineStr"/>
      <c r="F1555" s="11" t="n">
        <v>84</v>
      </c>
      <c r="G1555" t="inlineStr"/>
      <c r="I1555" t="inlineStr">
        <is>
          <t>M3</t>
        </is>
      </c>
      <c r="J1555" t="inlineStr"/>
      <c r="K1555" t="inlineStr">
        <is>
          <t>20190426</t>
        </is>
      </c>
      <c r="L1555" t="inlineStr">
        <is>
          <t>20250127</t>
        </is>
      </c>
    </row>
    <row r="1556">
      <c r="A1556" t="inlineStr">
        <is>
          <t>900004323</t>
        </is>
      </c>
      <c r="B1556" t="inlineStr">
        <is>
          <t>D836</t>
        </is>
      </c>
      <c r="C1556" t="inlineStr">
        <is>
          <t>66289413</t>
        </is>
      </c>
      <c r="D1556" t="inlineStr">
        <is>
          <t>10000160</t>
        </is>
      </c>
      <c r="E1556" t="inlineStr"/>
      <c r="F1556" s="11" t="n">
        <v>84</v>
      </c>
      <c r="G1556" t="inlineStr"/>
      <c r="I1556" t="inlineStr">
        <is>
          <t>M3</t>
        </is>
      </c>
      <c r="J1556" t="inlineStr"/>
      <c r="K1556" t="inlineStr">
        <is>
          <t>20190426</t>
        </is>
      </c>
      <c r="L1556" t="inlineStr">
        <is>
          <t>20250127</t>
        </is>
      </c>
    </row>
    <row r="1557">
      <c r="A1557" t="inlineStr">
        <is>
          <t>900004323</t>
        </is>
      </c>
      <c r="B1557" t="inlineStr">
        <is>
          <t>D836</t>
        </is>
      </c>
      <c r="C1557" t="inlineStr">
        <is>
          <t>66289413</t>
        </is>
      </c>
      <c r="D1557" t="inlineStr">
        <is>
          <t>10000357</t>
        </is>
      </c>
      <c r="E1557" t="inlineStr"/>
      <c r="F1557" s="11" t="n">
        <v>95.5</v>
      </c>
      <c r="G1557" t="inlineStr"/>
      <c r="I1557" t="inlineStr">
        <is>
          <t>M3</t>
        </is>
      </c>
      <c r="J1557" t="inlineStr"/>
      <c r="K1557" t="inlineStr">
        <is>
          <t>20190426</t>
        </is>
      </c>
      <c r="L1557" t="inlineStr">
        <is>
          <t>20250127</t>
        </is>
      </c>
    </row>
    <row r="1558">
      <c r="A1558" t="inlineStr">
        <is>
          <t>900004323</t>
        </is>
      </c>
      <c r="B1558" t="inlineStr">
        <is>
          <t>D836</t>
        </is>
      </c>
      <c r="C1558" t="inlineStr">
        <is>
          <t>66289413</t>
        </is>
      </c>
      <c r="D1558" t="inlineStr">
        <is>
          <t>10000627</t>
        </is>
      </c>
      <c r="E1558" t="inlineStr"/>
      <c r="F1558" s="11" t="n">
        <v>84</v>
      </c>
      <c r="G1558" t="inlineStr"/>
      <c r="I1558" t="inlineStr">
        <is>
          <t>M3</t>
        </is>
      </c>
      <c r="J1558" t="inlineStr"/>
      <c r="K1558" t="inlineStr">
        <is>
          <t>20190426</t>
        </is>
      </c>
      <c r="L1558" t="inlineStr">
        <is>
          <t>20250127</t>
        </is>
      </c>
    </row>
    <row r="1559">
      <c r="A1559" t="inlineStr">
        <is>
          <t>900004323</t>
        </is>
      </c>
      <c r="B1559" t="inlineStr">
        <is>
          <t>D836</t>
        </is>
      </c>
      <c r="C1559" t="inlineStr">
        <is>
          <t>66313323</t>
        </is>
      </c>
      <c r="D1559" t="inlineStr">
        <is>
          <t>10000160</t>
        </is>
      </c>
      <c r="E1559" t="inlineStr"/>
      <c r="F1559" s="11" t="n">
        <v>88</v>
      </c>
      <c r="G1559" t="inlineStr"/>
      <c r="I1559" t="inlineStr">
        <is>
          <t>M3</t>
        </is>
      </c>
      <c r="J1559" t="inlineStr"/>
      <c r="K1559" t="inlineStr">
        <is>
          <t>20190426</t>
        </is>
      </c>
      <c r="L1559" t="inlineStr">
        <is>
          <t>20250127</t>
        </is>
      </c>
    </row>
    <row r="1560">
      <c r="A1560" t="inlineStr">
        <is>
          <t>900004323</t>
        </is>
      </c>
      <c r="B1560" t="inlineStr">
        <is>
          <t>D836</t>
        </is>
      </c>
      <c r="C1560" t="inlineStr">
        <is>
          <t>66318945</t>
        </is>
      </c>
      <c r="D1560" t="inlineStr">
        <is>
          <t>10019516</t>
        </is>
      </c>
      <c r="E1560" t="inlineStr"/>
      <c r="F1560" s="11" t="n">
        <v>83.95</v>
      </c>
      <c r="G1560" t="inlineStr"/>
      <c r="I1560" t="inlineStr">
        <is>
          <t>M3</t>
        </is>
      </c>
      <c r="J1560" t="inlineStr"/>
      <c r="K1560" t="inlineStr">
        <is>
          <t>20190426</t>
        </is>
      </c>
      <c r="L1560" t="inlineStr">
        <is>
          <t>20250127</t>
        </is>
      </c>
    </row>
    <row r="1561">
      <c r="A1561" t="inlineStr">
        <is>
          <t>900004323</t>
        </is>
      </c>
      <c r="B1561" t="inlineStr">
        <is>
          <t>D836</t>
        </is>
      </c>
      <c r="C1561" t="inlineStr">
        <is>
          <t>66338102</t>
        </is>
      </c>
      <c r="D1561" t="inlineStr">
        <is>
          <t>10000357</t>
        </is>
      </c>
      <c r="E1561" t="inlineStr"/>
      <c r="F1561" s="11" t="n">
        <v>100.8</v>
      </c>
      <c r="G1561" t="inlineStr"/>
      <c r="I1561" t="inlineStr">
        <is>
          <t>M3</t>
        </is>
      </c>
      <c r="J1561" t="inlineStr"/>
      <c r="K1561" t="inlineStr">
        <is>
          <t>20190426</t>
        </is>
      </c>
      <c r="L1561" t="inlineStr">
        <is>
          <t>20250127</t>
        </is>
      </c>
    </row>
    <row r="1562">
      <c r="A1562" t="inlineStr">
        <is>
          <t>900004323</t>
        </is>
      </c>
      <c r="B1562" t="inlineStr">
        <is>
          <t>D836</t>
        </is>
      </c>
      <c r="C1562" t="inlineStr">
        <is>
          <t>66372475</t>
        </is>
      </c>
      <c r="D1562" t="inlineStr">
        <is>
          <t>10000160</t>
        </is>
      </c>
      <c r="E1562" t="inlineStr"/>
      <c r="F1562" s="11" t="n">
        <v>92.40000000000001</v>
      </c>
      <c r="G1562" t="inlineStr"/>
      <c r="I1562" t="inlineStr">
        <is>
          <t>M3</t>
        </is>
      </c>
      <c r="J1562" t="inlineStr"/>
      <c r="K1562" t="inlineStr">
        <is>
          <t>20190426</t>
        </is>
      </c>
      <c r="L1562" t="inlineStr">
        <is>
          <t>20250127</t>
        </is>
      </c>
    </row>
    <row r="1563">
      <c r="A1563" t="inlineStr">
        <is>
          <t>900004323</t>
        </is>
      </c>
      <c r="B1563" t="inlineStr">
        <is>
          <t>D836</t>
        </is>
      </c>
      <c r="C1563" t="inlineStr">
        <is>
          <t>66372475</t>
        </is>
      </c>
      <c r="D1563" t="inlineStr">
        <is>
          <t>10000206</t>
        </is>
      </c>
      <c r="E1563" t="inlineStr"/>
      <c r="F1563" s="11" t="n">
        <v>37.22</v>
      </c>
      <c r="G1563" t="inlineStr"/>
      <c r="I1563" t="inlineStr">
        <is>
          <t>M3</t>
        </is>
      </c>
      <c r="J1563" t="inlineStr"/>
      <c r="K1563" t="inlineStr">
        <is>
          <t>20190426</t>
        </is>
      </c>
      <c r="L1563" t="inlineStr">
        <is>
          <t>20250127</t>
        </is>
      </c>
    </row>
    <row r="1564">
      <c r="A1564" t="inlineStr">
        <is>
          <t>900004323</t>
        </is>
      </c>
      <c r="B1564" t="inlineStr">
        <is>
          <t>D836</t>
        </is>
      </c>
      <c r="C1564" t="inlineStr">
        <is>
          <t>66372475</t>
        </is>
      </c>
      <c r="D1564" t="inlineStr">
        <is>
          <t>10000357</t>
        </is>
      </c>
      <c r="E1564" t="inlineStr"/>
      <c r="F1564" s="11" t="n">
        <v>100.8</v>
      </c>
      <c r="G1564" t="inlineStr"/>
      <c r="I1564" t="inlineStr">
        <is>
          <t>M3</t>
        </is>
      </c>
      <c r="J1564" t="inlineStr"/>
      <c r="K1564" t="inlineStr">
        <is>
          <t>20190426</t>
        </is>
      </c>
      <c r="L1564" t="inlineStr">
        <is>
          <t>20250127</t>
        </is>
      </c>
    </row>
    <row r="1565">
      <c r="A1565" t="inlineStr">
        <is>
          <t>900004323</t>
        </is>
      </c>
      <c r="B1565" t="inlineStr">
        <is>
          <t>D836</t>
        </is>
      </c>
      <c r="C1565" t="inlineStr">
        <is>
          <t>66372475</t>
        </is>
      </c>
      <c r="D1565" t="inlineStr">
        <is>
          <t>10019515</t>
        </is>
      </c>
      <c r="E1565" t="inlineStr"/>
      <c r="F1565" s="11" t="n">
        <v>110</v>
      </c>
      <c r="G1565" t="inlineStr"/>
      <c r="I1565" t="inlineStr">
        <is>
          <t>M3</t>
        </is>
      </c>
      <c r="J1565" t="inlineStr"/>
      <c r="K1565" t="inlineStr">
        <is>
          <t>20190426</t>
        </is>
      </c>
      <c r="L1565" t="inlineStr">
        <is>
          <t>20250127</t>
        </is>
      </c>
    </row>
    <row r="1566">
      <c r="A1566" t="inlineStr">
        <is>
          <t>900004323</t>
        </is>
      </c>
      <c r="B1566" t="inlineStr">
        <is>
          <t>D836</t>
        </is>
      </c>
      <c r="C1566" t="inlineStr">
        <is>
          <t>66400667</t>
        </is>
      </c>
      <c r="D1566" t="inlineStr">
        <is>
          <t>10000160</t>
        </is>
      </c>
      <c r="E1566" t="inlineStr"/>
      <c r="F1566" s="11" t="n">
        <v>87.15000000000001</v>
      </c>
      <c r="G1566" t="inlineStr"/>
      <c r="I1566" t="inlineStr">
        <is>
          <t>M3</t>
        </is>
      </c>
      <c r="J1566" t="inlineStr"/>
      <c r="K1566" t="inlineStr">
        <is>
          <t>20190426</t>
        </is>
      </c>
      <c r="L1566" t="inlineStr">
        <is>
          <t>20250127</t>
        </is>
      </c>
    </row>
    <row r="1567">
      <c r="A1567" t="inlineStr">
        <is>
          <t>900004323</t>
        </is>
      </c>
      <c r="B1567" t="inlineStr">
        <is>
          <t>D836</t>
        </is>
      </c>
      <c r="C1567" t="inlineStr">
        <is>
          <t>66414377</t>
        </is>
      </c>
      <c r="D1567" t="inlineStr">
        <is>
          <t>10000160</t>
        </is>
      </c>
      <c r="E1567" t="inlineStr"/>
      <c r="F1567" s="11" t="n">
        <v>87.15000000000001</v>
      </c>
      <c r="G1567" t="inlineStr"/>
      <c r="I1567" t="inlineStr">
        <is>
          <t>M3</t>
        </is>
      </c>
      <c r="J1567" t="inlineStr"/>
      <c r="K1567" t="inlineStr">
        <is>
          <t>20190426</t>
        </is>
      </c>
      <c r="L1567" t="inlineStr">
        <is>
          <t>20250127</t>
        </is>
      </c>
    </row>
    <row r="1568">
      <c r="A1568" t="inlineStr">
        <is>
          <t>900004323</t>
        </is>
      </c>
      <c r="B1568" t="inlineStr">
        <is>
          <t>D836</t>
        </is>
      </c>
      <c r="C1568" t="inlineStr">
        <is>
          <t>66414377</t>
        </is>
      </c>
      <c r="D1568" t="inlineStr">
        <is>
          <t>10003132</t>
        </is>
      </c>
      <c r="E1568" t="inlineStr"/>
      <c r="F1568" s="11" t="n">
        <v>115</v>
      </c>
      <c r="G1568" t="inlineStr"/>
      <c r="I1568" t="inlineStr">
        <is>
          <t>M3</t>
        </is>
      </c>
      <c r="J1568" t="inlineStr"/>
      <c r="K1568" t="inlineStr">
        <is>
          <t>20190426</t>
        </is>
      </c>
      <c r="L1568" t="inlineStr">
        <is>
          <t>20250127</t>
        </is>
      </c>
    </row>
    <row r="1569">
      <c r="A1569" t="inlineStr">
        <is>
          <t>900004323</t>
        </is>
      </c>
      <c r="B1569" t="inlineStr">
        <is>
          <t>D836</t>
        </is>
      </c>
      <c r="C1569" t="inlineStr">
        <is>
          <t>66420831</t>
        </is>
      </c>
      <c r="D1569" t="inlineStr">
        <is>
          <t>10000160</t>
        </is>
      </c>
      <c r="E1569" t="inlineStr"/>
      <c r="F1569" s="11" t="n">
        <v>88</v>
      </c>
      <c r="G1569" t="inlineStr"/>
      <c r="I1569" t="inlineStr">
        <is>
          <t>M3</t>
        </is>
      </c>
      <c r="J1569" t="inlineStr"/>
      <c r="K1569" t="inlineStr">
        <is>
          <t>20190426</t>
        </is>
      </c>
      <c r="L1569" t="inlineStr">
        <is>
          <t>20250127</t>
        </is>
      </c>
    </row>
    <row r="1570">
      <c r="A1570" t="inlineStr">
        <is>
          <t>900004323</t>
        </is>
      </c>
      <c r="B1570" t="inlineStr">
        <is>
          <t>D836</t>
        </is>
      </c>
      <c r="C1570" t="inlineStr">
        <is>
          <t>66433511</t>
        </is>
      </c>
      <c r="D1570" t="inlineStr">
        <is>
          <t>10003132</t>
        </is>
      </c>
      <c r="E1570" t="inlineStr"/>
      <c r="F1570" s="11" t="n">
        <v>125</v>
      </c>
      <c r="G1570" t="inlineStr"/>
      <c r="I1570" t="inlineStr">
        <is>
          <t>M3</t>
        </is>
      </c>
      <c r="J1570" t="inlineStr"/>
      <c r="K1570" t="inlineStr">
        <is>
          <t>20190426</t>
        </is>
      </c>
      <c r="L1570" t="inlineStr">
        <is>
          <t>20250127</t>
        </is>
      </c>
    </row>
    <row r="1571">
      <c r="A1571" t="inlineStr">
        <is>
          <t>900004323</t>
        </is>
      </c>
      <c r="B1571" t="inlineStr">
        <is>
          <t>D836</t>
        </is>
      </c>
      <c r="C1571" t="inlineStr">
        <is>
          <t>66458217</t>
        </is>
      </c>
      <c r="D1571" t="inlineStr">
        <is>
          <t>10000594</t>
        </is>
      </c>
      <c r="E1571" t="inlineStr"/>
      <c r="F1571" s="11" t="n">
        <v>270</v>
      </c>
      <c r="G1571" t="inlineStr"/>
      <c r="I1571" t="inlineStr">
        <is>
          <t>M3</t>
        </is>
      </c>
      <c r="J1571" t="inlineStr"/>
      <c r="K1571" t="inlineStr">
        <is>
          <t>20190426</t>
        </is>
      </c>
      <c r="L1571" t="inlineStr">
        <is>
          <t>20250127</t>
        </is>
      </c>
    </row>
    <row r="1572">
      <c r="A1572" t="inlineStr">
        <is>
          <t>900004323</t>
        </is>
      </c>
      <c r="B1572" t="inlineStr">
        <is>
          <t>D836</t>
        </is>
      </c>
      <c r="C1572" t="inlineStr">
        <is>
          <t>66458217</t>
        </is>
      </c>
      <c r="D1572" t="inlineStr">
        <is>
          <t>10000598</t>
        </is>
      </c>
      <c r="E1572" t="inlineStr"/>
      <c r="F1572" s="11" t="n">
        <v>300</v>
      </c>
      <c r="G1572" t="inlineStr"/>
      <c r="I1572" t="inlineStr">
        <is>
          <t>M3</t>
        </is>
      </c>
      <c r="J1572" t="inlineStr"/>
      <c r="K1572" t="inlineStr">
        <is>
          <t>20190426</t>
        </is>
      </c>
      <c r="L1572" t="inlineStr">
        <is>
          <t>20250127</t>
        </is>
      </c>
    </row>
    <row r="1573">
      <c r="A1573" t="inlineStr">
        <is>
          <t>900004323</t>
        </is>
      </c>
      <c r="B1573" t="inlineStr">
        <is>
          <t>D836</t>
        </is>
      </c>
      <c r="C1573" t="inlineStr">
        <is>
          <t>66458217</t>
        </is>
      </c>
      <c r="D1573" t="inlineStr">
        <is>
          <t>10154187</t>
        </is>
      </c>
      <c r="E1573" t="inlineStr"/>
      <c r="F1573" s="11" t="n">
        <v>290</v>
      </c>
      <c r="G1573" t="inlineStr"/>
      <c r="I1573" t="inlineStr">
        <is>
          <t>M3</t>
        </is>
      </c>
      <c r="J1573" t="inlineStr"/>
      <c r="K1573" t="inlineStr">
        <is>
          <t>20190426</t>
        </is>
      </c>
      <c r="L1573" t="inlineStr">
        <is>
          <t>20250127</t>
        </is>
      </c>
    </row>
    <row r="1574">
      <c r="A1574" t="inlineStr">
        <is>
          <t>900004323</t>
        </is>
      </c>
      <c r="B1574" t="inlineStr">
        <is>
          <t>D836</t>
        </is>
      </c>
      <c r="C1574" t="inlineStr">
        <is>
          <t>66475158</t>
        </is>
      </c>
      <c r="D1574" t="inlineStr">
        <is>
          <t>10000160</t>
        </is>
      </c>
      <c r="E1574" t="inlineStr"/>
      <c r="F1574" s="11" t="n">
        <v>84</v>
      </c>
      <c r="G1574" t="inlineStr"/>
      <c r="I1574" t="inlineStr">
        <is>
          <t>M3</t>
        </is>
      </c>
      <c r="J1574" t="inlineStr"/>
      <c r="K1574" t="inlineStr">
        <is>
          <t>20190426</t>
        </is>
      </c>
      <c r="L1574" t="inlineStr">
        <is>
          <t>20250127</t>
        </is>
      </c>
    </row>
    <row r="1575">
      <c r="A1575" t="inlineStr">
        <is>
          <t>900004323</t>
        </is>
      </c>
      <c r="B1575" t="inlineStr">
        <is>
          <t>D836</t>
        </is>
      </c>
      <c r="C1575" t="inlineStr">
        <is>
          <t>66475158</t>
        </is>
      </c>
      <c r="D1575" t="inlineStr">
        <is>
          <t>10000357</t>
        </is>
      </c>
      <c r="E1575" t="inlineStr"/>
      <c r="F1575" s="11" t="n">
        <v>95.5</v>
      </c>
      <c r="G1575" t="inlineStr"/>
      <c r="I1575" t="inlineStr">
        <is>
          <t>M3</t>
        </is>
      </c>
      <c r="J1575" t="inlineStr"/>
      <c r="K1575" t="inlineStr">
        <is>
          <t>20190426</t>
        </is>
      </c>
      <c r="L1575" t="inlineStr">
        <is>
          <t>20250127</t>
        </is>
      </c>
    </row>
    <row r="1576">
      <c r="A1576" t="inlineStr">
        <is>
          <t>900004323</t>
        </is>
      </c>
      <c r="B1576" t="inlineStr">
        <is>
          <t>D836</t>
        </is>
      </c>
      <c r="C1576" t="inlineStr">
        <is>
          <t>66475158</t>
        </is>
      </c>
      <c r="D1576" t="inlineStr">
        <is>
          <t>10000627</t>
        </is>
      </c>
      <c r="E1576" t="inlineStr"/>
      <c r="F1576" s="11" t="n">
        <v>84</v>
      </c>
      <c r="G1576" t="inlineStr"/>
      <c r="I1576" t="inlineStr">
        <is>
          <t>M3</t>
        </is>
      </c>
      <c r="J1576" t="inlineStr"/>
      <c r="K1576" t="inlineStr">
        <is>
          <t>20190426</t>
        </is>
      </c>
      <c r="L1576" t="inlineStr">
        <is>
          <t>20250127</t>
        </is>
      </c>
    </row>
    <row r="1577">
      <c r="A1577" t="inlineStr">
        <is>
          <t>900004323</t>
        </is>
      </c>
      <c r="B1577" t="inlineStr">
        <is>
          <t>D836</t>
        </is>
      </c>
      <c r="C1577" t="inlineStr">
        <is>
          <t>66482104</t>
        </is>
      </c>
      <c r="D1577" t="inlineStr">
        <is>
          <t>10000160</t>
        </is>
      </c>
      <c r="E1577" t="inlineStr"/>
      <c r="F1577" s="11" t="n">
        <v>84</v>
      </c>
      <c r="G1577" t="inlineStr"/>
      <c r="I1577" t="inlineStr">
        <is>
          <t>M3</t>
        </is>
      </c>
      <c r="J1577" t="inlineStr"/>
      <c r="K1577" t="inlineStr">
        <is>
          <t>20190426</t>
        </is>
      </c>
      <c r="L1577" t="inlineStr">
        <is>
          <t>20250127</t>
        </is>
      </c>
    </row>
    <row r="1578">
      <c r="A1578" t="inlineStr">
        <is>
          <t>900004323</t>
        </is>
      </c>
      <c r="B1578" t="inlineStr">
        <is>
          <t>D836</t>
        </is>
      </c>
      <c r="C1578" t="inlineStr">
        <is>
          <t>66482104</t>
        </is>
      </c>
      <c r="D1578" t="inlineStr">
        <is>
          <t>10000357</t>
        </is>
      </c>
      <c r="E1578" t="inlineStr"/>
      <c r="F1578" s="11" t="n">
        <v>95.5</v>
      </c>
      <c r="G1578" t="inlineStr"/>
      <c r="I1578" t="inlineStr">
        <is>
          <t>M3</t>
        </is>
      </c>
      <c r="J1578" t="inlineStr"/>
      <c r="K1578" t="inlineStr">
        <is>
          <t>20190426</t>
        </is>
      </c>
      <c r="L1578" t="inlineStr">
        <is>
          <t>20250127</t>
        </is>
      </c>
    </row>
    <row r="1579">
      <c r="A1579" t="inlineStr">
        <is>
          <t>900004323</t>
        </is>
      </c>
      <c r="B1579" t="inlineStr">
        <is>
          <t>D836</t>
        </is>
      </c>
      <c r="C1579" t="inlineStr">
        <is>
          <t>66482104</t>
        </is>
      </c>
      <c r="D1579" t="inlineStr">
        <is>
          <t>10000627</t>
        </is>
      </c>
      <c r="E1579" t="inlineStr"/>
      <c r="F1579" s="11" t="n">
        <v>84</v>
      </c>
      <c r="G1579" t="inlineStr"/>
      <c r="I1579" t="inlineStr">
        <is>
          <t>M3</t>
        </is>
      </c>
      <c r="J1579" t="inlineStr"/>
      <c r="K1579" t="inlineStr">
        <is>
          <t>20190426</t>
        </is>
      </c>
      <c r="L1579" t="inlineStr">
        <is>
          <t>20250127</t>
        </is>
      </c>
    </row>
    <row r="1580">
      <c r="A1580" t="inlineStr">
        <is>
          <t>900004323</t>
        </is>
      </c>
      <c r="B1580" t="inlineStr">
        <is>
          <t>D836</t>
        </is>
      </c>
      <c r="C1580" t="inlineStr">
        <is>
          <t>66482288</t>
        </is>
      </c>
      <c r="D1580" t="inlineStr">
        <is>
          <t>10000160</t>
        </is>
      </c>
      <c r="E1580" t="inlineStr"/>
      <c r="F1580" s="11" t="n">
        <v>84</v>
      </c>
      <c r="G1580" t="inlineStr"/>
      <c r="I1580" t="inlineStr">
        <is>
          <t>M3</t>
        </is>
      </c>
      <c r="J1580" t="inlineStr"/>
      <c r="K1580" t="inlineStr">
        <is>
          <t>20190426</t>
        </is>
      </c>
      <c r="L1580" t="inlineStr">
        <is>
          <t>20250127</t>
        </is>
      </c>
    </row>
    <row r="1581">
      <c r="A1581" t="inlineStr">
        <is>
          <t>900004323</t>
        </is>
      </c>
      <c r="B1581" t="inlineStr">
        <is>
          <t>D836</t>
        </is>
      </c>
      <c r="C1581" t="inlineStr">
        <is>
          <t>66482288</t>
        </is>
      </c>
      <c r="D1581" t="inlineStr">
        <is>
          <t>10000357</t>
        </is>
      </c>
      <c r="E1581" t="inlineStr"/>
      <c r="F1581" s="11" t="n">
        <v>95.5</v>
      </c>
      <c r="G1581" t="inlineStr"/>
      <c r="I1581" t="inlineStr">
        <is>
          <t>M3</t>
        </is>
      </c>
      <c r="J1581" t="inlineStr"/>
      <c r="K1581" t="inlineStr">
        <is>
          <t>20190426</t>
        </is>
      </c>
      <c r="L1581" t="inlineStr">
        <is>
          <t>20250127</t>
        </is>
      </c>
    </row>
    <row r="1582">
      <c r="A1582" t="inlineStr">
        <is>
          <t>900004323</t>
        </is>
      </c>
      <c r="B1582" t="inlineStr">
        <is>
          <t>D836</t>
        </is>
      </c>
      <c r="C1582" t="inlineStr">
        <is>
          <t>66482288</t>
        </is>
      </c>
      <c r="D1582" t="inlineStr">
        <is>
          <t>10000627</t>
        </is>
      </c>
      <c r="E1582" t="inlineStr"/>
      <c r="F1582" s="11" t="n">
        <v>84</v>
      </c>
      <c r="G1582" t="inlineStr"/>
      <c r="I1582" t="inlineStr">
        <is>
          <t>M3</t>
        </is>
      </c>
      <c r="J1582" t="inlineStr"/>
      <c r="K1582" t="inlineStr">
        <is>
          <t>20190426</t>
        </is>
      </c>
      <c r="L1582" t="inlineStr">
        <is>
          <t>20250127</t>
        </is>
      </c>
    </row>
    <row r="1583">
      <c r="A1583" t="inlineStr">
        <is>
          <t>900004323</t>
        </is>
      </c>
      <c r="B1583" t="inlineStr">
        <is>
          <t>D836</t>
        </is>
      </c>
      <c r="C1583" t="inlineStr">
        <is>
          <t>66482289</t>
        </is>
      </c>
      <c r="D1583" t="inlineStr">
        <is>
          <t>10000160</t>
        </is>
      </c>
      <c r="E1583" t="inlineStr"/>
      <c r="F1583" s="11" t="n">
        <v>84</v>
      </c>
      <c r="G1583" t="inlineStr"/>
      <c r="I1583" t="inlineStr">
        <is>
          <t>M3</t>
        </is>
      </c>
      <c r="J1583" t="inlineStr"/>
      <c r="K1583" t="inlineStr">
        <is>
          <t>20190426</t>
        </is>
      </c>
      <c r="L1583" t="inlineStr">
        <is>
          <t>20250127</t>
        </is>
      </c>
    </row>
    <row r="1584">
      <c r="A1584" t="inlineStr">
        <is>
          <t>900004323</t>
        </is>
      </c>
      <c r="B1584" t="inlineStr">
        <is>
          <t>D836</t>
        </is>
      </c>
      <c r="C1584" t="inlineStr">
        <is>
          <t>66482289</t>
        </is>
      </c>
      <c r="D1584" t="inlineStr">
        <is>
          <t>10000357</t>
        </is>
      </c>
      <c r="E1584" t="inlineStr"/>
      <c r="F1584" s="11" t="n">
        <v>95.5</v>
      </c>
      <c r="G1584" t="inlineStr"/>
      <c r="I1584" t="inlineStr">
        <is>
          <t>M3</t>
        </is>
      </c>
      <c r="J1584" t="inlineStr"/>
      <c r="K1584" t="inlineStr">
        <is>
          <t>20190426</t>
        </is>
      </c>
      <c r="L1584" t="inlineStr">
        <is>
          <t>20250127</t>
        </is>
      </c>
    </row>
    <row r="1585">
      <c r="A1585" t="inlineStr">
        <is>
          <t>900004323</t>
        </is>
      </c>
      <c r="B1585" t="inlineStr">
        <is>
          <t>D836</t>
        </is>
      </c>
      <c r="C1585" t="inlineStr">
        <is>
          <t>66482289</t>
        </is>
      </c>
      <c r="D1585" t="inlineStr">
        <is>
          <t>10000627</t>
        </is>
      </c>
      <c r="E1585" t="inlineStr"/>
      <c r="F1585" s="11" t="n">
        <v>84</v>
      </c>
      <c r="G1585" t="inlineStr"/>
      <c r="I1585" t="inlineStr">
        <is>
          <t>M3</t>
        </is>
      </c>
      <c r="J1585" t="inlineStr"/>
      <c r="K1585" t="inlineStr">
        <is>
          <t>20190426</t>
        </is>
      </c>
      <c r="L1585" t="inlineStr">
        <is>
          <t>20250127</t>
        </is>
      </c>
    </row>
    <row r="1586">
      <c r="A1586" t="inlineStr">
        <is>
          <t>900004323</t>
        </is>
      </c>
      <c r="B1586" t="inlineStr">
        <is>
          <t>D836</t>
        </is>
      </c>
      <c r="C1586" t="inlineStr">
        <is>
          <t>66490957</t>
        </is>
      </c>
      <c r="D1586" t="inlineStr">
        <is>
          <t>10000160</t>
        </is>
      </c>
      <c r="E1586" t="inlineStr"/>
      <c r="F1586" s="11" t="n">
        <v>87.15000000000001</v>
      </c>
      <c r="G1586" t="inlineStr"/>
      <c r="I1586" t="inlineStr">
        <is>
          <t>M3</t>
        </is>
      </c>
      <c r="J1586" t="inlineStr"/>
      <c r="K1586" t="inlineStr">
        <is>
          <t>20190426</t>
        </is>
      </c>
      <c r="L1586" t="inlineStr">
        <is>
          <t>20250127</t>
        </is>
      </c>
    </row>
    <row r="1587">
      <c r="A1587" t="inlineStr">
        <is>
          <t>900004323</t>
        </is>
      </c>
      <c r="B1587" t="inlineStr">
        <is>
          <t>D836</t>
        </is>
      </c>
      <c r="C1587" t="inlineStr">
        <is>
          <t>66490957</t>
        </is>
      </c>
      <c r="D1587" t="inlineStr">
        <is>
          <t>10000627</t>
        </is>
      </c>
      <c r="E1587" t="inlineStr"/>
      <c r="F1587" s="11" t="n">
        <v>85</v>
      </c>
      <c r="G1587" t="inlineStr"/>
      <c r="I1587" t="inlineStr">
        <is>
          <t>M3</t>
        </is>
      </c>
      <c r="J1587" t="inlineStr"/>
      <c r="K1587" t="inlineStr">
        <is>
          <t>20190426</t>
        </is>
      </c>
      <c r="L1587" t="inlineStr">
        <is>
          <t>20250127</t>
        </is>
      </c>
    </row>
    <row r="1588">
      <c r="A1588" t="inlineStr">
        <is>
          <t>900004323</t>
        </is>
      </c>
      <c r="B1588" t="inlineStr">
        <is>
          <t>D836</t>
        </is>
      </c>
      <c r="C1588" t="inlineStr">
        <is>
          <t>66512346</t>
        </is>
      </c>
      <c r="D1588" t="inlineStr">
        <is>
          <t>10000206</t>
        </is>
      </c>
      <c r="E1588" t="inlineStr"/>
      <c r="F1588" s="11" t="n">
        <v>140</v>
      </c>
      <c r="G1588" t="inlineStr"/>
      <c r="I1588" t="inlineStr">
        <is>
          <t>M3</t>
        </is>
      </c>
      <c r="J1588" t="inlineStr"/>
      <c r="K1588" t="inlineStr">
        <is>
          <t>20190426</t>
        </is>
      </c>
      <c r="L1588" t="inlineStr">
        <is>
          <t>20250127</t>
        </is>
      </c>
    </row>
    <row r="1589">
      <c r="A1589" t="inlineStr">
        <is>
          <t>900004323</t>
        </is>
      </c>
      <c r="B1589" t="inlineStr">
        <is>
          <t>D836</t>
        </is>
      </c>
      <c r="C1589" t="inlineStr">
        <is>
          <t>66512346</t>
        </is>
      </c>
      <c r="D1589" t="inlineStr">
        <is>
          <t>10000357</t>
        </is>
      </c>
      <c r="E1589" t="inlineStr"/>
      <c r="F1589" s="11" t="n">
        <v>222</v>
      </c>
      <c r="G1589" t="inlineStr"/>
      <c r="I1589" t="inlineStr">
        <is>
          <t>M3</t>
        </is>
      </c>
      <c r="J1589" t="inlineStr"/>
      <c r="K1589" t="inlineStr">
        <is>
          <t>20190426</t>
        </is>
      </c>
      <c r="L1589" t="inlineStr">
        <is>
          <t>20250127</t>
        </is>
      </c>
    </row>
    <row r="1590">
      <c r="A1590" t="inlineStr">
        <is>
          <t>900004323</t>
        </is>
      </c>
      <c r="B1590" t="inlineStr">
        <is>
          <t>D836</t>
        </is>
      </c>
      <c r="C1590" t="inlineStr">
        <is>
          <t>66516656</t>
        </is>
      </c>
      <c r="D1590" t="inlineStr">
        <is>
          <t>10000160</t>
        </is>
      </c>
      <c r="E1590" t="inlineStr"/>
      <c r="F1590" s="11" t="n">
        <v>88</v>
      </c>
      <c r="G1590" t="inlineStr"/>
      <c r="I1590" t="inlineStr">
        <is>
          <t>M3</t>
        </is>
      </c>
      <c r="J1590" t="inlineStr"/>
      <c r="K1590" t="inlineStr">
        <is>
          <t>20190426</t>
        </is>
      </c>
      <c r="L1590" t="inlineStr">
        <is>
          <t>20250127</t>
        </is>
      </c>
    </row>
    <row r="1591">
      <c r="A1591" t="inlineStr">
        <is>
          <t>900004323</t>
        </is>
      </c>
      <c r="B1591" t="inlineStr">
        <is>
          <t>D836</t>
        </is>
      </c>
      <c r="C1591" t="inlineStr">
        <is>
          <t>66518013</t>
        </is>
      </c>
      <c r="D1591" t="inlineStr">
        <is>
          <t>10000160</t>
        </is>
      </c>
      <c r="E1591" t="inlineStr"/>
      <c r="F1591" s="11" t="n">
        <v>87.15000000000001</v>
      </c>
      <c r="G1591" t="inlineStr"/>
      <c r="I1591" t="inlineStr">
        <is>
          <t>M3</t>
        </is>
      </c>
      <c r="J1591" t="inlineStr"/>
      <c r="K1591" t="inlineStr">
        <is>
          <t>20190426</t>
        </is>
      </c>
      <c r="L1591" t="inlineStr">
        <is>
          <t>20250127</t>
        </is>
      </c>
    </row>
    <row r="1592">
      <c r="A1592" t="inlineStr">
        <is>
          <t>900004323</t>
        </is>
      </c>
      <c r="B1592" t="inlineStr">
        <is>
          <t>D836</t>
        </is>
      </c>
      <c r="C1592" t="inlineStr">
        <is>
          <t>66518013</t>
        </is>
      </c>
      <c r="D1592" t="inlineStr">
        <is>
          <t>10000357</t>
        </is>
      </c>
      <c r="E1592" t="inlineStr"/>
      <c r="F1592" s="11" t="n">
        <v>100.8</v>
      </c>
      <c r="G1592" t="inlineStr"/>
      <c r="I1592" t="inlineStr">
        <is>
          <t>M3</t>
        </is>
      </c>
      <c r="J1592" t="inlineStr"/>
      <c r="K1592" t="inlineStr">
        <is>
          <t>20190426</t>
        </is>
      </c>
      <c r="L1592" t="inlineStr">
        <is>
          <t>20250127</t>
        </is>
      </c>
    </row>
    <row r="1593">
      <c r="A1593" t="inlineStr">
        <is>
          <t>900004323</t>
        </is>
      </c>
      <c r="B1593" t="inlineStr">
        <is>
          <t>D836</t>
        </is>
      </c>
      <c r="C1593" t="inlineStr">
        <is>
          <t>66518013</t>
        </is>
      </c>
      <c r="D1593" t="inlineStr">
        <is>
          <t>10000627</t>
        </is>
      </c>
      <c r="E1593" t="inlineStr"/>
      <c r="F1593" s="11" t="n">
        <v>88</v>
      </c>
      <c r="G1593" t="inlineStr"/>
      <c r="I1593" t="inlineStr">
        <is>
          <t>M3</t>
        </is>
      </c>
      <c r="J1593" t="inlineStr"/>
      <c r="K1593" t="inlineStr">
        <is>
          <t>20190426</t>
        </is>
      </c>
      <c r="L1593" t="inlineStr">
        <is>
          <t>20250127</t>
        </is>
      </c>
    </row>
    <row r="1594">
      <c r="A1594" t="inlineStr">
        <is>
          <t>900004323</t>
        </is>
      </c>
      <c r="B1594" t="inlineStr">
        <is>
          <t>D836</t>
        </is>
      </c>
      <c r="C1594" t="inlineStr">
        <is>
          <t>66526341</t>
        </is>
      </c>
      <c r="D1594" t="inlineStr">
        <is>
          <t>10000627</t>
        </is>
      </c>
      <c r="E1594" t="inlineStr"/>
      <c r="F1594" s="11" t="n">
        <v>95</v>
      </c>
      <c r="G1594" t="inlineStr"/>
      <c r="I1594" t="inlineStr">
        <is>
          <t>M3</t>
        </is>
      </c>
      <c r="J1594" t="inlineStr"/>
      <c r="K1594" t="inlineStr">
        <is>
          <t>20190426</t>
        </is>
      </c>
      <c r="L1594" t="inlineStr">
        <is>
          <t>20250127</t>
        </is>
      </c>
    </row>
    <row r="1595">
      <c r="A1595" t="inlineStr">
        <is>
          <t>900004323</t>
        </is>
      </c>
      <c r="B1595" t="inlineStr">
        <is>
          <t>D836</t>
        </is>
      </c>
      <c r="C1595" t="inlineStr">
        <is>
          <t>66526343</t>
        </is>
      </c>
      <c r="D1595" t="inlineStr">
        <is>
          <t>10000627</t>
        </is>
      </c>
      <c r="E1595" t="inlineStr"/>
      <c r="F1595" s="11" t="n">
        <v>95</v>
      </c>
      <c r="G1595" t="inlineStr"/>
      <c r="I1595" t="inlineStr">
        <is>
          <t>M3</t>
        </is>
      </c>
      <c r="J1595" t="inlineStr"/>
      <c r="K1595" t="inlineStr">
        <is>
          <t>20190426</t>
        </is>
      </c>
      <c r="L1595" t="inlineStr">
        <is>
          <t>20250127</t>
        </is>
      </c>
    </row>
    <row r="1596">
      <c r="A1596" t="inlineStr">
        <is>
          <t>900004323</t>
        </is>
      </c>
      <c r="B1596" t="inlineStr">
        <is>
          <t>D836</t>
        </is>
      </c>
      <c r="C1596" t="inlineStr">
        <is>
          <t>66535266</t>
        </is>
      </c>
      <c r="D1596" t="inlineStr">
        <is>
          <t>10000357</t>
        </is>
      </c>
      <c r="E1596" t="inlineStr"/>
      <c r="F1596" s="11" t="n">
        <v>153</v>
      </c>
      <c r="G1596" t="inlineStr"/>
      <c r="I1596" t="inlineStr">
        <is>
          <t>M3</t>
        </is>
      </c>
      <c r="J1596" t="inlineStr"/>
      <c r="K1596" t="inlineStr">
        <is>
          <t>20190426</t>
        </is>
      </c>
      <c r="L1596" t="inlineStr">
        <is>
          <t>20250127</t>
        </is>
      </c>
    </row>
    <row r="1597">
      <c r="A1597" t="inlineStr">
        <is>
          <t>900004323</t>
        </is>
      </c>
      <c r="B1597" t="inlineStr">
        <is>
          <t>D836</t>
        </is>
      </c>
      <c r="C1597" t="inlineStr">
        <is>
          <t>66538213</t>
        </is>
      </c>
      <c r="D1597" t="inlineStr">
        <is>
          <t>10000627</t>
        </is>
      </c>
      <c r="E1597" t="inlineStr"/>
      <c r="F1597" s="11" t="n">
        <v>95</v>
      </c>
      <c r="G1597" t="inlineStr"/>
      <c r="I1597" t="inlineStr">
        <is>
          <t>M3</t>
        </is>
      </c>
      <c r="J1597" t="inlineStr"/>
      <c r="K1597" t="inlineStr">
        <is>
          <t>20190426</t>
        </is>
      </c>
      <c r="L1597" t="inlineStr">
        <is>
          <t>20250127</t>
        </is>
      </c>
    </row>
    <row r="1598">
      <c r="A1598" t="inlineStr">
        <is>
          <t>900004323</t>
        </is>
      </c>
      <c r="B1598" t="inlineStr">
        <is>
          <t>D836</t>
        </is>
      </c>
      <c r="C1598" t="inlineStr">
        <is>
          <t>66573526</t>
        </is>
      </c>
      <c r="D1598" t="inlineStr">
        <is>
          <t>10000160</t>
        </is>
      </c>
      <c r="E1598" t="inlineStr"/>
      <c r="F1598" s="11" t="n">
        <v>81.5</v>
      </c>
      <c r="G1598" t="inlineStr"/>
      <c r="I1598" t="inlineStr">
        <is>
          <t>M3</t>
        </is>
      </c>
      <c r="J1598" t="inlineStr"/>
      <c r="K1598" t="inlineStr">
        <is>
          <t>20190426</t>
        </is>
      </c>
      <c r="L1598" t="inlineStr">
        <is>
          <t>20250127</t>
        </is>
      </c>
    </row>
    <row r="1599">
      <c r="A1599" t="inlineStr">
        <is>
          <t>900004323</t>
        </is>
      </c>
      <c r="B1599" t="inlineStr">
        <is>
          <t>D836</t>
        </is>
      </c>
      <c r="C1599" t="inlineStr">
        <is>
          <t>66573526</t>
        </is>
      </c>
      <c r="D1599" t="inlineStr">
        <is>
          <t>10000357</t>
        </is>
      </c>
      <c r="E1599" t="inlineStr"/>
      <c r="F1599" s="11" t="n">
        <v>95</v>
      </c>
      <c r="G1599" t="inlineStr"/>
      <c r="I1599" t="inlineStr">
        <is>
          <t>M3</t>
        </is>
      </c>
      <c r="J1599" t="inlineStr"/>
      <c r="K1599" t="inlineStr">
        <is>
          <t>20190426</t>
        </is>
      </c>
      <c r="L1599" t="inlineStr">
        <is>
          <t>20250127</t>
        </is>
      </c>
    </row>
    <row r="1600">
      <c r="A1600" t="inlineStr">
        <is>
          <t>900004323</t>
        </is>
      </c>
      <c r="B1600" t="inlineStr">
        <is>
          <t>D836</t>
        </is>
      </c>
      <c r="C1600" t="inlineStr">
        <is>
          <t>66591199</t>
        </is>
      </c>
      <c r="D1600" t="inlineStr">
        <is>
          <t>10000160</t>
        </is>
      </c>
      <c r="E1600" t="inlineStr"/>
      <c r="F1600" s="11" t="n">
        <v>102</v>
      </c>
      <c r="G1600" t="inlineStr"/>
      <c r="I1600" t="inlineStr">
        <is>
          <t>M3</t>
        </is>
      </c>
      <c r="J1600" t="inlineStr"/>
      <c r="K1600" t="inlineStr">
        <is>
          <t>20190426</t>
        </is>
      </c>
      <c r="L1600" t="inlineStr">
        <is>
          <t>20250127</t>
        </is>
      </c>
    </row>
    <row r="1601">
      <c r="A1601" t="inlineStr">
        <is>
          <t>900004323</t>
        </is>
      </c>
      <c r="B1601" t="inlineStr">
        <is>
          <t>D836</t>
        </is>
      </c>
      <c r="C1601" t="inlineStr">
        <is>
          <t>66591199</t>
        </is>
      </c>
      <c r="D1601" t="inlineStr">
        <is>
          <t>10000357</t>
        </is>
      </c>
      <c r="E1601" t="inlineStr"/>
      <c r="F1601" s="11" t="n">
        <v>113</v>
      </c>
      <c r="G1601" t="inlineStr"/>
      <c r="I1601" t="inlineStr">
        <is>
          <t>M3</t>
        </is>
      </c>
      <c r="J1601" t="inlineStr"/>
      <c r="K1601" t="inlineStr">
        <is>
          <t>20190426</t>
        </is>
      </c>
      <c r="L1601" t="inlineStr">
        <is>
          <t>20250127</t>
        </is>
      </c>
    </row>
    <row r="1602">
      <c r="A1602" t="inlineStr">
        <is>
          <t>900004323</t>
        </is>
      </c>
      <c r="B1602" t="inlineStr">
        <is>
          <t>D836</t>
        </is>
      </c>
      <c r="C1602" t="inlineStr">
        <is>
          <t>66608012</t>
        </is>
      </c>
      <c r="D1602" t="inlineStr">
        <is>
          <t>10000160</t>
        </is>
      </c>
      <c r="E1602" t="inlineStr"/>
      <c r="F1602" s="11" t="n">
        <v>90</v>
      </c>
      <c r="G1602" t="inlineStr"/>
      <c r="I1602" t="inlineStr">
        <is>
          <t>M3</t>
        </is>
      </c>
      <c r="J1602" t="inlineStr"/>
      <c r="K1602" t="inlineStr">
        <is>
          <t>20190426</t>
        </is>
      </c>
      <c r="L1602" t="inlineStr">
        <is>
          <t>20250127</t>
        </is>
      </c>
    </row>
    <row r="1603">
      <c r="A1603" t="inlineStr">
        <is>
          <t>900004323</t>
        </is>
      </c>
      <c r="B1603" t="inlineStr">
        <is>
          <t>D836</t>
        </is>
      </c>
      <c r="C1603" t="inlineStr">
        <is>
          <t>66608012</t>
        </is>
      </c>
      <c r="D1603" t="inlineStr">
        <is>
          <t>10000357</t>
        </is>
      </c>
      <c r="E1603" t="inlineStr"/>
      <c r="F1603" s="11" t="n">
        <v>103</v>
      </c>
      <c r="G1603" t="inlineStr"/>
      <c r="I1603" t="inlineStr">
        <is>
          <t>M3</t>
        </is>
      </c>
      <c r="J1603" t="inlineStr"/>
      <c r="K1603" t="inlineStr">
        <is>
          <t>20190426</t>
        </is>
      </c>
      <c r="L1603" t="inlineStr">
        <is>
          <t>20250127</t>
        </is>
      </c>
    </row>
    <row r="1604">
      <c r="A1604" t="inlineStr">
        <is>
          <t>900004323</t>
        </is>
      </c>
      <c r="B1604" t="inlineStr">
        <is>
          <t>D836</t>
        </is>
      </c>
      <c r="C1604" t="inlineStr">
        <is>
          <t>66618135</t>
        </is>
      </c>
      <c r="D1604" t="inlineStr">
        <is>
          <t>10000160</t>
        </is>
      </c>
      <c r="E1604" t="inlineStr"/>
      <c r="F1604" s="11" t="n">
        <v>102</v>
      </c>
      <c r="G1604" t="inlineStr"/>
      <c r="I1604" t="inlineStr">
        <is>
          <t>M3</t>
        </is>
      </c>
      <c r="J1604" t="inlineStr"/>
      <c r="K1604" t="inlineStr">
        <is>
          <t>20190426</t>
        </is>
      </c>
      <c r="L1604" t="inlineStr">
        <is>
          <t>20250127</t>
        </is>
      </c>
    </row>
    <row r="1605">
      <c r="A1605" t="inlineStr">
        <is>
          <t>900004323</t>
        </is>
      </c>
      <c r="B1605" t="inlineStr">
        <is>
          <t>D836</t>
        </is>
      </c>
      <c r="C1605" t="inlineStr">
        <is>
          <t>66618135</t>
        </is>
      </c>
      <c r="D1605" t="inlineStr">
        <is>
          <t>10000357</t>
        </is>
      </c>
      <c r="E1605" t="inlineStr"/>
      <c r="F1605" s="11" t="n">
        <v>113</v>
      </c>
      <c r="G1605" t="inlineStr"/>
      <c r="I1605" t="inlineStr">
        <is>
          <t>M3</t>
        </is>
      </c>
      <c r="J1605" t="inlineStr"/>
      <c r="K1605" t="inlineStr">
        <is>
          <t>20190426</t>
        </is>
      </c>
      <c r="L1605" t="inlineStr">
        <is>
          <t>20250127</t>
        </is>
      </c>
    </row>
    <row r="1606">
      <c r="A1606" t="inlineStr">
        <is>
          <t>900004323</t>
        </is>
      </c>
      <c r="B1606" t="inlineStr">
        <is>
          <t>D836</t>
        </is>
      </c>
      <c r="C1606" t="inlineStr">
        <is>
          <t>66624554</t>
        </is>
      </c>
      <c r="D1606" t="inlineStr">
        <is>
          <t>10000160</t>
        </is>
      </c>
      <c r="E1606" t="inlineStr"/>
      <c r="F1606" s="11" t="n">
        <v>87.15000000000001</v>
      </c>
      <c r="G1606" t="inlineStr"/>
      <c r="I1606" t="inlineStr">
        <is>
          <t>M3</t>
        </is>
      </c>
      <c r="J1606" t="inlineStr"/>
      <c r="K1606" t="inlineStr">
        <is>
          <t>20190426</t>
        </is>
      </c>
      <c r="L1606" t="inlineStr">
        <is>
          <t>20250127</t>
        </is>
      </c>
    </row>
    <row r="1607">
      <c r="A1607" t="inlineStr">
        <is>
          <t>900004323</t>
        </is>
      </c>
      <c r="B1607" t="inlineStr">
        <is>
          <t>D836</t>
        </is>
      </c>
      <c r="C1607" t="inlineStr">
        <is>
          <t>66624554</t>
        </is>
      </c>
      <c r="D1607" t="inlineStr">
        <is>
          <t>10000357</t>
        </is>
      </c>
      <c r="E1607" t="inlineStr"/>
      <c r="F1607" s="11" t="n">
        <v>100.8</v>
      </c>
      <c r="G1607" t="inlineStr"/>
      <c r="I1607" t="inlineStr">
        <is>
          <t>M3</t>
        </is>
      </c>
      <c r="J1607" t="inlineStr"/>
      <c r="K1607" t="inlineStr">
        <is>
          <t>20190426</t>
        </is>
      </c>
      <c r="L1607" t="inlineStr">
        <is>
          <t>20250127</t>
        </is>
      </c>
    </row>
    <row r="1608">
      <c r="A1608" t="inlineStr">
        <is>
          <t>900004323</t>
        </is>
      </c>
      <c r="B1608" t="inlineStr">
        <is>
          <t>D836</t>
        </is>
      </c>
      <c r="C1608" t="inlineStr">
        <is>
          <t>66624554</t>
        </is>
      </c>
      <c r="D1608" t="inlineStr">
        <is>
          <t>10000627</t>
        </is>
      </c>
      <c r="E1608" t="inlineStr"/>
      <c r="F1608" s="11" t="n">
        <v>88</v>
      </c>
      <c r="G1608" t="inlineStr"/>
      <c r="I1608" t="inlineStr">
        <is>
          <t>M3</t>
        </is>
      </c>
      <c r="J1608" t="inlineStr"/>
      <c r="K1608" t="inlineStr">
        <is>
          <t>20190426</t>
        </is>
      </c>
      <c r="L1608" t="inlineStr">
        <is>
          <t>20250127</t>
        </is>
      </c>
    </row>
    <row r="1609">
      <c r="A1609" t="inlineStr">
        <is>
          <t>900004323</t>
        </is>
      </c>
      <c r="B1609" t="inlineStr">
        <is>
          <t>D836</t>
        </is>
      </c>
      <c r="C1609" t="inlineStr">
        <is>
          <t>66636549</t>
        </is>
      </c>
      <c r="D1609" t="inlineStr">
        <is>
          <t>10000160</t>
        </is>
      </c>
      <c r="E1609" t="inlineStr"/>
      <c r="F1609" s="11" t="n">
        <v>90</v>
      </c>
      <c r="G1609" t="inlineStr"/>
      <c r="I1609" t="inlineStr">
        <is>
          <t>M3</t>
        </is>
      </c>
      <c r="J1609" t="inlineStr"/>
      <c r="K1609" t="inlineStr">
        <is>
          <t>20190426</t>
        </is>
      </c>
      <c r="L1609" t="inlineStr">
        <is>
          <t>20250127</t>
        </is>
      </c>
    </row>
    <row r="1610">
      <c r="A1610" t="inlineStr">
        <is>
          <t>900004323</t>
        </is>
      </c>
      <c r="B1610" t="inlineStr">
        <is>
          <t>D836</t>
        </is>
      </c>
      <c r="C1610" t="inlineStr">
        <is>
          <t>66636549</t>
        </is>
      </c>
      <c r="D1610" t="inlineStr">
        <is>
          <t>10000357</t>
        </is>
      </c>
      <c r="E1610" t="inlineStr"/>
      <c r="F1610" s="11" t="n">
        <v>103</v>
      </c>
      <c r="G1610" t="inlineStr"/>
      <c r="I1610" t="inlineStr">
        <is>
          <t>M3</t>
        </is>
      </c>
      <c r="J1610" t="inlineStr"/>
      <c r="K1610" t="inlineStr">
        <is>
          <t>20190426</t>
        </is>
      </c>
      <c r="L1610" t="inlineStr">
        <is>
          <t>20250127</t>
        </is>
      </c>
    </row>
    <row r="1611">
      <c r="A1611" t="inlineStr">
        <is>
          <t>900004323</t>
        </is>
      </c>
      <c r="B1611" t="inlineStr">
        <is>
          <t>D836</t>
        </is>
      </c>
      <c r="C1611" t="inlineStr">
        <is>
          <t>66639726</t>
        </is>
      </c>
      <c r="D1611" t="inlineStr">
        <is>
          <t>10000160</t>
        </is>
      </c>
      <c r="E1611" t="inlineStr"/>
      <c r="F1611" s="11" t="n">
        <v>90</v>
      </c>
      <c r="G1611" t="inlineStr"/>
      <c r="I1611" t="inlineStr">
        <is>
          <t>M3</t>
        </is>
      </c>
      <c r="J1611" t="inlineStr"/>
      <c r="K1611" t="inlineStr">
        <is>
          <t>20190426</t>
        </is>
      </c>
      <c r="L1611" t="inlineStr">
        <is>
          <t>20250127</t>
        </is>
      </c>
    </row>
    <row r="1612">
      <c r="A1612" t="inlineStr">
        <is>
          <t>900004323</t>
        </is>
      </c>
      <c r="B1612" t="inlineStr">
        <is>
          <t>D836</t>
        </is>
      </c>
      <c r="C1612" t="inlineStr">
        <is>
          <t>66639726</t>
        </is>
      </c>
      <c r="D1612" t="inlineStr">
        <is>
          <t>10000357</t>
        </is>
      </c>
      <c r="E1612" t="inlineStr"/>
      <c r="F1612" s="11" t="n">
        <v>103</v>
      </c>
      <c r="G1612" t="inlineStr"/>
      <c r="I1612" t="inlineStr">
        <is>
          <t>M3</t>
        </is>
      </c>
      <c r="J1612" t="inlineStr"/>
      <c r="K1612" t="inlineStr">
        <is>
          <t>20190426</t>
        </is>
      </c>
      <c r="L1612" t="inlineStr">
        <is>
          <t>20250127</t>
        </is>
      </c>
    </row>
    <row r="1613">
      <c r="A1613" t="inlineStr">
        <is>
          <t>900004323</t>
        </is>
      </c>
      <c r="B1613" t="inlineStr">
        <is>
          <t>D836</t>
        </is>
      </c>
      <c r="C1613" t="inlineStr">
        <is>
          <t>66701118</t>
        </is>
      </c>
      <c r="D1613" t="inlineStr">
        <is>
          <t>10003132</t>
        </is>
      </c>
      <c r="E1613" t="inlineStr"/>
      <c r="F1613" s="11" t="n">
        <v>120</v>
      </c>
      <c r="G1613" t="inlineStr"/>
      <c r="I1613" t="inlineStr">
        <is>
          <t>M3</t>
        </is>
      </c>
      <c r="J1613" t="inlineStr"/>
      <c r="K1613" t="inlineStr">
        <is>
          <t>20190426</t>
        </is>
      </c>
      <c r="L1613" t="inlineStr">
        <is>
          <t>20250127</t>
        </is>
      </c>
    </row>
    <row r="1614">
      <c r="A1614" t="inlineStr">
        <is>
          <t>900004323</t>
        </is>
      </c>
      <c r="B1614" t="inlineStr">
        <is>
          <t>D836</t>
        </is>
      </c>
      <c r="C1614" t="inlineStr">
        <is>
          <t>66701383</t>
        </is>
      </c>
      <c r="D1614" t="inlineStr">
        <is>
          <t>10000160</t>
        </is>
      </c>
      <c r="E1614" t="inlineStr"/>
      <c r="F1614" s="11" t="n">
        <v>90</v>
      </c>
      <c r="G1614" t="inlineStr"/>
      <c r="I1614" t="inlineStr">
        <is>
          <t>M3</t>
        </is>
      </c>
      <c r="J1614" t="inlineStr"/>
      <c r="K1614" t="inlineStr">
        <is>
          <t>20190426</t>
        </is>
      </c>
      <c r="L1614" t="inlineStr">
        <is>
          <t>20250127</t>
        </is>
      </c>
    </row>
    <row r="1615">
      <c r="A1615" t="inlineStr">
        <is>
          <t>900004323</t>
        </is>
      </c>
      <c r="B1615" t="inlineStr">
        <is>
          <t>D836</t>
        </is>
      </c>
      <c r="C1615" t="inlineStr">
        <is>
          <t>66701383</t>
        </is>
      </c>
      <c r="D1615" t="inlineStr">
        <is>
          <t>10000357</t>
        </is>
      </c>
      <c r="E1615" t="inlineStr"/>
      <c r="F1615" s="11" t="n">
        <v>103</v>
      </c>
      <c r="G1615" t="inlineStr"/>
      <c r="I1615" t="inlineStr">
        <is>
          <t>M3</t>
        </is>
      </c>
      <c r="J1615" t="inlineStr"/>
      <c r="K1615" t="inlineStr">
        <is>
          <t>20190426</t>
        </is>
      </c>
      <c r="L1615" t="inlineStr">
        <is>
          <t>20250127</t>
        </is>
      </c>
    </row>
    <row r="1616">
      <c r="A1616" t="inlineStr">
        <is>
          <t>900004323</t>
        </is>
      </c>
      <c r="B1616" t="inlineStr">
        <is>
          <t>D836</t>
        </is>
      </c>
      <c r="C1616" t="inlineStr">
        <is>
          <t>66819150</t>
        </is>
      </c>
      <c r="D1616" t="inlineStr">
        <is>
          <t>10000160</t>
        </is>
      </c>
      <c r="E1616" t="inlineStr"/>
      <c r="F1616" s="11" t="n">
        <v>89.25</v>
      </c>
      <c r="G1616" t="inlineStr"/>
      <c r="I1616" t="inlineStr">
        <is>
          <t>M3</t>
        </is>
      </c>
      <c r="J1616" t="inlineStr"/>
      <c r="K1616" t="inlineStr">
        <is>
          <t>20190426</t>
        </is>
      </c>
      <c r="L1616" t="inlineStr">
        <is>
          <t>20250127</t>
        </is>
      </c>
    </row>
    <row r="1617">
      <c r="A1617" t="inlineStr">
        <is>
          <t>900004323</t>
        </is>
      </c>
      <c r="B1617" t="inlineStr">
        <is>
          <t>D836</t>
        </is>
      </c>
      <c r="C1617" t="inlineStr">
        <is>
          <t>66819150</t>
        </is>
      </c>
      <c r="D1617" t="inlineStr">
        <is>
          <t>10000357</t>
        </is>
      </c>
      <c r="E1617" t="inlineStr"/>
      <c r="F1617" s="11" t="n">
        <v>100.8</v>
      </c>
      <c r="G1617" t="inlineStr"/>
      <c r="I1617" t="inlineStr">
        <is>
          <t>M3</t>
        </is>
      </c>
      <c r="J1617" t="inlineStr"/>
      <c r="K1617" t="inlineStr">
        <is>
          <t>20190426</t>
        </is>
      </c>
      <c r="L1617" t="inlineStr">
        <is>
          <t>20250127</t>
        </is>
      </c>
    </row>
    <row r="1618">
      <c r="A1618" t="inlineStr">
        <is>
          <t>900004323</t>
        </is>
      </c>
      <c r="B1618" t="inlineStr">
        <is>
          <t>D836</t>
        </is>
      </c>
      <c r="C1618" t="inlineStr">
        <is>
          <t>66853858</t>
        </is>
      </c>
      <c r="D1618" t="inlineStr">
        <is>
          <t>10000160</t>
        </is>
      </c>
      <c r="E1618" t="inlineStr"/>
      <c r="F1618" s="11" t="n">
        <v>84</v>
      </c>
      <c r="G1618" t="inlineStr"/>
      <c r="I1618" t="inlineStr">
        <is>
          <t>M3</t>
        </is>
      </c>
      <c r="J1618" t="inlineStr"/>
      <c r="K1618" t="inlineStr">
        <is>
          <t>20190426</t>
        </is>
      </c>
      <c r="L1618" t="inlineStr">
        <is>
          <t>20250127</t>
        </is>
      </c>
    </row>
    <row r="1619">
      <c r="A1619" t="inlineStr">
        <is>
          <t>900004323</t>
        </is>
      </c>
      <c r="B1619" t="inlineStr">
        <is>
          <t>D836</t>
        </is>
      </c>
      <c r="C1619" t="inlineStr">
        <is>
          <t>66853858</t>
        </is>
      </c>
      <c r="D1619" t="inlineStr">
        <is>
          <t>10000357</t>
        </is>
      </c>
      <c r="E1619" t="inlineStr"/>
      <c r="F1619" s="11" t="n">
        <v>95.5</v>
      </c>
      <c r="G1619" t="inlineStr"/>
      <c r="I1619" t="inlineStr">
        <is>
          <t>M3</t>
        </is>
      </c>
      <c r="J1619" t="inlineStr"/>
      <c r="K1619" t="inlineStr">
        <is>
          <t>20190426</t>
        </is>
      </c>
      <c r="L1619" t="inlineStr">
        <is>
          <t>20250127</t>
        </is>
      </c>
    </row>
    <row r="1620">
      <c r="A1620" t="inlineStr">
        <is>
          <t>900004323</t>
        </is>
      </c>
      <c r="B1620" t="inlineStr">
        <is>
          <t>D836</t>
        </is>
      </c>
      <c r="C1620" t="inlineStr">
        <is>
          <t>66853858</t>
        </is>
      </c>
      <c r="D1620" t="inlineStr">
        <is>
          <t>10000627</t>
        </is>
      </c>
      <c r="E1620" t="inlineStr"/>
      <c r="F1620" s="11" t="n">
        <v>84</v>
      </c>
      <c r="G1620" t="inlineStr"/>
      <c r="I1620" t="inlineStr">
        <is>
          <t>M3</t>
        </is>
      </c>
      <c r="J1620" t="inlineStr"/>
      <c r="K1620" t="inlineStr">
        <is>
          <t>20190426</t>
        </is>
      </c>
      <c r="L1620" t="inlineStr">
        <is>
          <t>20250127</t>
        </is>
      </c>
    </row>
    <row r="1621">
      <c r="A1621" t="inlineStr">
        <is>
          <t>900004323</t>
        </is>
      </c>
      <c r="B1621" t="inlineStr">
        <is>
          <t>D836</t>
        </is>
      </c>
      <c r="C1621" t="inlineStr">
        <is>
          <t>66908488</t>
        </is>
      </c>
      <c r="D1621" t="inlineStr">
        <is>
          <t>10003132</t>
        </is>
      </c>
      <c r="E1621" t="inlineStr"/>
      <c r="F1621" s="11" t="n">
        <v>130</v>
      </c>
      <c r="G1621" t="inlineStr"/>
      <c r="I1621" t="inlineStr">
        <is>
          <t>M3</t>
        </is>
      </c>
      <c r="J1621" t="inlineStr"/>
      <c r="K1621" t="inlineStr">
        <is>
          <t>20190426</t>
        </is>
      </c>
      <c r="L1621" t="inlineStr">
        <is>
          <t>20250127</t>
        </is>
      </c>
    </row>
    <row r="1622">
      <c r="A1622" t="inlineStr">
        <is>
          <t>900004323</t>
        </is>
      </c>
      <c r="B1622" t="inlineStr">
        <is>
          <t>D836</t>
        </is>
      </c>
      <c r="C1622" t="inlineStr">
        <is>
          <t>66908488</t>
        </is>
      </c>
      <c r="D1622" t="inlineStr">
        <is>
          <t>10215930</t>
        </is>
      </c>
      <c r="E1622" t="inlineStr"/>
      <c r="F1622" s="11" t="n">
        <v>130</v>
      </c>
      <c r="G1622" t="inlineStr"/>
      <c r="I1622" t="inlineStr">
        <is>
          <t>M3</t>
        </is>
      </c>
      <c r="J1622" t="inlineStr"/>
      <c r="K1622" t="inlineStr">
        <is>
          <t>20190426</t>
        </is>
      </c>
      <c r="L1622" t="inlineStr">
        <is>
          <t>20250127</t>
        </is>
      </c>
    </row>
    <row r="1623">
      <c r="A1623" t="inlineStr">
        <is>
          <t>900004365</t>
        </is>
      </c>
      <c r="B1623" t="inlineStr">
        <is>
          <t>D836</t>
        </is>
      </c>
      <c r="C1623" t="inlineStr">
        <is>
          <t>65061687</t>
        </is>
      </c>
      <c r="D1623" t="inlineStr">
        <is>
          <t>10000133</t>
        </is>
      </c>
      <c r="E1623" t="inlineStr"/>
      <c r="F1623" s="11" t="n">
        <v>164</v>
      </c>
      <c r="G1623" t="inlineStr"/>
      <c r="I1623" t="inlineStr">
        <is>
          <t>M3</t>
        </is>
      </c>
      <c r="J1623" t="inlineStr"/>
      <c r="K1623" t="inlineStr">
        <is>
          <t>20190426</t>
        </is>
      </c>
      <c r="L1623" t="inlineStr">
        <is>
          <t>20250127</t>
        </is>
      </c>
    </row>
    <row r="1624">
      <c r="A1624" t="inlineStr">
        <is>
          <t>900004365</t>
        </is>
      </c>
      <c r="B1624" t="inlineStr">
        <is>
          <t>D836</t>
        </is>
      </c>
      <c r="C1624" t="inlineStr">
        <is>
          <t>65061687</t>
        </is>
      </c>
      <c r="D1624" t="inlineStr">
        <is>
          <t>10000623</t>
        </is>
      </c>
      <c r="E1624" t="inlineStr"/>
      <c r="F1624" s="11" t="n">
        <v>178</v>
      </c>
      <c r="G1624" t="inlineStr"/>
      <c r="I1624" t="inlineStr">
        <is>
          <t>M3</t>
        </is>
      </c>
      <c r="J1624" t="inlineStr"/>
      <c r="K1624" t="inlineStr">
        <is>
          <t>20190426</t>
        </is>
      </c>
      <c r="L1624" t="inlineStr">
        <is>
          <t>20250127</t>
        </is>
      </c>
    </row>
    <row r="1625">
      <c r="A1625" t="inlineStr">
        <is>
          <t>900004365</t>
        </is>
      </c>
      <c r="B1625" t="inlineStr">
        <is>
          <t>D836</t>
        </is>
      </c>
      <c r="C1625" t="inlineStr">
        <is>
          <t>65061687</t>
        </is>
      </c>
      <c r="D1625" t="inlineStr">
        <is>
          <t>10000624</t>
        </is>
      </c>
      <c r="E1625" t="inlineStr"/>
      <c r="F1625" s="11" t="n">
        <v>173</v>
      </c>
      <c r="G1625" t="inlineStr"/>
      <c r="I1625" t="inlineStr">
        <is>
          <t>M3</t>
        </is>
      </c>
      <c r="J1625" t="inlineStr"/>
      <c r="K1625" t="inlineStr">
        <is>
          <t>20190426</t>
        </is>
      </c>
      <c r="L1625" t="inlineStr">
        <is>
          <t>20250127</t>
        </is>
      </c>
    </row>
    <row r="1626">
      <c r="A1626" t="inlineStr">
        <is>
          <t>900004365</t>
        </is>
      </c>
      <c r="B1626" t="inlineStr">
        <is>
          <t>D836</t>
        </is>
      </c>
      <c r="C1626" t="inlineStr">
        <is>
          <t>66230098</t>
        </is>
      </c>
      <c r="D1626" t="inlineStr">
        <is>
          <t>10000623</t>
        </is>
      </c>
      <c r="E1626" t="inlineStr"/>
      <c r="F1626" s="11" t="n">
        <v>210</v>
      </c>
      <c r="G1626" t="inlineStr"/>
      <c r="I1626" t="inlineStr">
        <is>
          <t>M3</t>
        </is>
      </c>
      <c r="J1626" t="inlineStr"/>
      <c r="K1626" t="inlineStr">
        <is>
          <t>20190426</t>
        </is>
      </c>
      <c r="L1626" t="inlineStr">
        <is>
          <t>20250127</t>
        </is>
      </c>
    </row>
    <row r="1627">
      <c r="A1627" t="inlineStr">
        <is>
          <t>900004365</t>
        </is>
      </c>
      <c r="B1627" t="inlineStr">
        <is>
          <t>D836</t>
        </is>
      </c>
      <c r="C1627" t="inlineStr">
        <is>
          <t>66230098</t>
        </is>
      </c>
      <c r="D1627" t="inlineStr">
        <is>
          <t>10000624</t>
        </is>
      </c>
      <c r="E1627" t="inlineStr"/>
      <c r="F1627" s="11" t="n">
        <v>207</v>
      </c>
      <c r="G1627" t="inlineStr"/>
      <c r="I1627" t="inlineStr">
        <is>
          <t>M3</t>
        </is>
      </c>
      <c r="J1627" t="inlineStr"/>
      <c r="K1627" t="inlineStr">
        <is>
          <t>20190426</t>
        </is>
      </c>
      <c r="L1627" t="inlineStr">
        <is>
          <t>20250127</t>
        </is>
      </c>
    </row>
    <row r="1628">
      <c r="A1628" t="inlineStr">
        <is>
          <t>900004365</t>
        </is>
      </c>
      <c r="B1628" t="inlineStr">
        <is>
          <t>D836</t>
        </is>
      </c>
      <c r="C1628" t="inlineStr">
        <is>
          <t>66450072</t>
        </is>
      </c>
      <c r="D1628" t="inlineStr">
        <is>
          <t>10000133</t>
        </is>
      </c>
      <c r="E1628" t="inlineStr"/>
      <c r="F1628" s="11" t="n">
        <v>202</v>
      </c>
      <c r="G1628" t="inlineStr"/>
      <c r="I1628" t="inlineStr">
        <is>
          <t>M3</t>
        </is>
      </c>
      <c r="J1628" t="inlineStr"/>
      <c r="K1628" t="inlineStr">
        <is>
          <t>20190426</t>
        </is>
      </c>
      <c r="L1628" t="inlineStr">
        <is>
          <t>20250127</t>
        </is>
      </c>
    </row>
    <row r="1629">
      <c r="A1629" t="inlineStr">
        <is>
          <t>900004365</t>
        </is>
      </c>
      <c r="B1629" t="inlineStr">
        <is>
          <t>D836</t>
        </is>
      </c>
      <c r="C1629" t="inlineStr">
        <is>
          <t>66450072</t>
        </is>
      </c>
      <c r="D1629" t="inlineStr">
        <is>
          <t>10000623</t>
        </is>
      </c>
      <c r="E1629" t="inlineStr"/>
      <c r="F1629" s="11" t="n">
        <v>215</v>
      </c>
      <c r="G1629" t="inlineStr"/>
      <c r="I1629" t="inlineStr">
        <is>
          <t>M3</t>
        </is>
      </c>
      <c r="J1629" t="inlineStr"/>
      <c r="K1629" t="inlineStr">
        <is>
          <t>20190426</t>
        </is>
      </c>
      <c r="L1629" t="inlineStr">
        <is>
          <t>20250127</t>
        </is>
      </c>
    </row>
    <row r="1630">
      <c r="A1630" t="inlineStr">
        <is>
          <t>900004365</t>
        </is>
      </c>
      <c r="B1630" t="inlineStr">
        <is>
          <t>D836</t>
        </is>
      </c>
      <c r="C1630" t="inlineStr">
        <is>
          <t>66450072</t>
        </is>
      </c>
      <c r="D1630" t="inlineStr">
        <is>
          <t>10000624</t>
        </is>
      </c>
      <c r="E1630" t="inlineStr"/>
      <c r="F1630" s="11" t="n">
        <v>212</v>
      </c>
      <c r="G1630" t="inlineStr"/>
      <c r="I1630" t="inlineStr">
        <is>
          <t>M3</t>
        </is>
      </c>
      <c r="J1630" t="inlineStr"/>
      <c r="K1630" t="inlineStr">
        <is>
          <t>20190426</t>
        </is>
      </c>
      <c r="L1630" t="inlineStr">
        <is>
          <t>20250127</t>
        </is>
      </c>
    </row>
    <row r="1631">
      <c r="A1631" t="inlineStr">
        <is>
          <t>900004365</t>
        </is>
      </c>
      <c r="B1631" t="inlineStr">
        <is>
          <t>D836</t>
        </is>
      </c>
      <c r="C1631" t="inlineStr">
        <is>
          <t>66526341</t>
        </is>
      </c>
      <c r="D1631" t="inlineStr">
        <is>
          <t>10154416</t>
        </is>
      </c>
      <c r="E1631" t="inlineStr"/>
      <c r="F1631" s="11" t="n">
        <v>130</v>
      </c>
      <c r="G1631" t="inlineStr"/>
      <c r="I1631" t="inlineStr">
        <is>
          <t>M3</t>
        </is>
      </c>
      <c r="J1631" t="inlineStr"/>
      <c r="K1631" t="inlineStr">
        <is>
          <t>20190426</t>
        </is>
      </c>
      <c r="L1631" t="inlineStr">
        <is>
          <t>20250127</t>
        </is>
      </c>
    </row>
    <row r="1632">
      <c r="A1632" t="inlineStr">
        <is>
          <t>900004365</t>
        </is>
      </c>
      <c r="B1632" t="inlineStr">
        <is>
          <t>D836</t>
        </is>
      </c>
      <c r="C1632" t="inlineStr">
        <is>
          <t>66526343</t>
        </is>
      </c>
      <c r="D1632" t="inlineStr">
        <is>
          <t>10154416</t>
        </is>
      </c>
      <c r="E1632" t="inlineStr"/>
      <c r="F1632" s="11" t="n">
        <v>130</v>
      </c>
      <c r="G1632" t="inlineStr"/>
      <c r="I1632" t="inlineStr">
        <is>
          <t>M3</t>
        </is>
      </c>
      <c r="J1632" t="inlineStr"/>
      <c r="K1632" t="inlineStr">
        <is>
          <t>20190426</t>
        </is>
      </c>
      <c r="L1632" t="inlineStr">
        <is>
          <t>20250127</t>
        </is>
      </c>
    </row>
    <row r="1633">
      <c r="A1633" t="inlineStr">
        <is>
          <t>900004365</t>
        </is>
      </c>
      <c r="B1633" t="inlineStr">
        <is>
          <t>D836</t>
        </is>
      </c>
      <c r="C1633" t="inlineStr">
        <is>
          <t>66538213</t>
        </is>
      </c>
      <c r="D1633" t="inlineStr">
        <is>
          <t>10154416</t>
        </is>
      </c>
      <c r="E1633" t="inlineStr"/>
      <c r="F1633" s="11" t="n">
        <v>130</v>
      </c>
      <c r="G1633" t="inlineStr"/>
      <c r="I1633" t="inlineStr">
        <is>
          <t>M3</t>
        </is>
      </c>
      <c r="J1633" t="inlineStr"/>
      <c r="K1633" t="inlineStr">
        <is>
          <t>20190426</t>
        </is>
      </c>
      <c r="L1633" t="inlineStr">
        <is>
          <t>20250127</t>
        </is>
      </c>
    </row>
    <row r="1634">
      <c r="A1634" t="inlineStr">
        <is>
          <t>900004365</t>
        </is>
      </c>
      <c r="B1634" t="inlineStr">
        <is>
          <t>D836</t>
        </is>
      </c>
      <c r="C1634" t="inlineStr">
        <is>
          <t>66608012</t>
        </is>
      </c>
      <c r="D1634" t="inlineStr">
        <is>
          <t>10019515</t>
        </is>
      </c>
      <c r="E1634" t="inlineStr"/>
      <c r="F1634" s="11" t="n">
        <v>148.5</v>
      </c>
      <c r="G1634" t="inlineStr"/>
      <c r="I1634" t="inlineStr">
        <is>
          <t>M3</t>
        </is>
      </c>
      <c r="J1634" t="inlineStr"/>
      <c r="K1634" t="inlineStr">
        <is>
          <t>20190426</t>
        </is>
      </c>
      <c r="L1634" t="inlineStr">
        <is>
          <t>20250127</t>
        </is>
      </c>
    </row>
    <row r="1635">
      <c r="A1635" t="inlineStr">
        <is>
          <t>900004365</t>
        </is>
      </c>
      <c r="B1635" t="inlineStr">
        <is>
          <t>D836</t>
        </is>
      </c>
      <c r="C1635" t="inlineStr">
        <is>
          <t>66636549</t>
        </is>
      </c>
      <c r="D1635" t="inlineStr">
        <is>
          <t>10019515</t>
        </is>
      </c>
      <c r="E1635" t="inlineStr"/>
      <c r="F1635" s="11" t="n">
        <v>130</v>
      </c>
      <c r="G1635" t="inlineStr"/>
      <c r="I1635" t="inlineStr">
        <is>
          <t>M3</t>
        </is>
      </c>
      <c r="J1635" t="inlineStr"/>
      <c r="K1635" t="inlineStr">
        <is>
          <t>20190426</t>
        </is>
      </c>
      <c r="L1635" t="inlineStr">
        <is>
          <t>20250127</t>
        </is>
      </c>
    </row>
    <row r="1636">
      <c r="A1636" t="inlineStr">
        <is>
          <t>900004365</t>
        </is>
      </c>
      <c r="B1636" t="inlineStr">
        <is>
          <t>D836</t>
        </is>
      </c>
      <c r="C1636" t="inlineStr">
        <is>
          <t>66639726</t>
        </is>
      </c>
      <c r="D1636" t="inlineStr">
        <is>
          <t>10019515</t>
        </is>
      </c>
      <c r="E1636" t="inlineStr"/>
      <c r="F1636" s="11" t="n">
        <v>150</v>
      </c>
      <c r="G1636" t="inlineStr"/>
      <c r="I1636" t="inlineStr">
        <is>
          <t>M3</t>
        </is>
      </c>
      <c r="J1636" t="inlineStr"/>
      <c r="K1636" t="inlineStr">
        <is>
          <t>20190426</t>
        </is>
      </c>
      <c r="L1636" t="inlineStr">
        <is>
          <t>20250127</t>
        </is>
      </c>
    </row>
    <row r="1637">
      <c r="A1637" t="inlineStr">
        <is>
          <t>900004365</t>
        </is>
      </c>
      <c r="B1637" t="inlineStr">
        <is>
          <t>D836</t>
        </is>
      </c>
      <c r="C1637" t="inlineStr">
        <is>
          <t>66701383</t>
        </is>
      </c>
      <c r="D1637" t="inlineStr">
        <is>
          <t>10019515</t>
        </is>
      </c>
      <c r="E1637" t="inlineStr"/>
      <c r="F1637" s="11" t="n">
        <v>130</v>
      </c>
      <c r="G1637" t="inlineStr"/>
      <c r="I1637" t="inlineStr">
        <is>
          <t>M3</t>
        </is>
      </c>
      <c r="J1637" t="inlineStr"/>
      <c r="K1637" t="inlineStr">
        <is>
          <t>20190426</t>
        </is>
      </c>
      <c r="L1637" t="inlineStr">
        <is>
          <t>20250127</t>
        </is>
      </c>
    </row>
    <row r="1638">
      <c r="A1638" t="inlineStr">
        <is>
          <t>900004365</t>
        </is>
      </c>
      <c r="B1638" t="inlineStr">
        <is>
          <t>D836</t>
        </is>
      </c>
      <c r="C1638" t="inlineStr">
        <is>
          <t>66982658</t>
        </is>
      </c>
      <c r="D1638" t="inlineStr">
        <is>
          <t>10215930</t>
        </is>
      </c>
      <c r="E1638" t="inlineStr"/>
      <c r="F1638" s="11" t="n">
        <v>50</v>
      </c>
      <c r="G1638" t="inlineStr"/>
      <c r="I1638" t="inlineStr">
        <is>
          <t>M3</t>
        </is>
      </c>
      <c r="J1638" t="inlineStr"/>
      <c r="K1638" t="inlineStr">
        <is>
          <t>20190426</t>
        </is>
      </c>
      <c r="L1638" t="inlineStr">
        <is>
          <t>20250127</t>
        </is>
      </c>
    </row>
    <row r="1639">
      <c r="A1639" t="inlineStr">
        <is>
          <t>900004365</t>
        </is>
      </c>
      <c r="B1639" t="inlineStr">
        <is>
          <t>D836</t>
        </is>
      </c>
      <c r="C1639" t="inlineStr">
        <is>
          <t>67019802</t>
        </is>
      </c>
      <c r="D1639" t="inlineStr">
        <is>
          <t>10000287</t>
        </is>
      </c>
      <c r="E1639" t="inlineStr"/>
      <c r="F1639" s="11" t="n">
        <v>628.5700000000001</v>
      </c>
      <c r="G1639" t="inlineStr"/>
      <c r="I1639" t="inlineStr">
        <is>
          <t>M3</t>
        </is>
      </c>
      <c r="J1639" t="inlineStr"/>
      <c r="K1639" t="inlineStr">
        <is>
          <t>20190426</t>
        </is>
      </c>
      <c r="L1639" t="inlineStr">
        <is>
          <t>20250127</t>
        </is>
      </c>
    </row>
    <row r="1640">
      <c r="A1640" t="inlineStr">
        <is>
          <t>900004365</t>
        </is>
      </c>
      <c r="B1640" t="inlineStr">
        <is>
          <t>D836</t>
        </is>
      </c>
      <c r="C1640" t="inlineStr">
        <is>
          <t>67031816</t>
        </is>
      </c>
      <c r="D1640" t="inlineStr">
        <is>
          <t>10019515</t>
        </is>
      </c>
      <c r="E1640" t="inlineStr"/>
      <c r="F1640" s="11" t="n">
        <v>155</v>
      </c>
      <c r="G1640" t="inlineStr"/>
      <c r="I1640" t="inlineStr">
        <is>
          <t>M3</t>
        </is>
      </c>
      <c r="J1640" t="inlineStr"/>
      <c r="K1640" t="inlineStr">
        <is>
          <t>20190426</t>
        </is>
      </c>
      <c r="L1640" t="inlineStr">
        <is>
          <t>20250127</t>
        </is>
      </c>
    </row>
    <row r="1641">
      <c r="A1641" t="inlineStr">
        <is>
          <t>900004365</t>
        </is>
      </c>
      <c r="B1641" t="inlineStr">
        <is>
          <t>D836</t>
        </is>
      </c>
      <c r="C1641" t="inlineStr">
        <is>
          <t>67031816</t>
        </is>
      </c>
      <c r="D1641" t="inlineStr">
        <is>
          <t>10215074</t>
        </is>
      </c>
      <c r="E1641" t="inlineStr"/>
      <c r="F1641" s="11" t="n">
        <v>105</v>
      </c>
      <c r="G1641" t="inlineStr"/>
      <c r="I1641" t="inlineStr">
        <is>
          <t>M3</t>
        </is>
      </c>
      <c r="J1641" t="inlineStr"/>
      <c r="K1641" t="inlineStr">
        <is>
          <t>20190426</t>
        </is>
      </c>
      <c r="L1641" t="inlineStr">
        <is>
          <t>20250127</t>
        </is>
      </c>
    </row>
    <row r="1642">
      <c r="A1642" t="inlineStr">
        <is>
          <t>900004447</t>
        </is>
      </c>
      <c r="B1642" t="inlineStr">
        <is>
          <t>D836</t>
        </is>
      </c>
      <c r="C1642" t="inlineStr">
        <is>
          <t>65014664</t>
        </is>
      </c>
      <c r="D1642" t="inlineStr">
        <is>
          <t>10000160</t>
        </is>
      </c>
      <c r="E1642" t="inlineStr"/>
      <c r="F1642" s="11" t="n">
        <v>55</v>
      </c>
      <c r="G1642" t="inlineStr"/>
      <c r="I1642" t="inlineStr">
        <is>
          <t>M3</t>
        </is>
      </c>
      <c r="J1642" t="inlineStr"/>
      <c r="K1642" t="inlineStr">
        <is>
          <t>20190426</t>
        </is>
      </c>
      <c r="L1642" t="inlineStr">
        <is>
          <t>20250127</t>
        </is>
      </c>
    </row>
    <row r="1643">
      <c r="A1643" t="inlineStr">
        <is>
          <t>900004447</t>
        </is>
      </c>
      <c r="B1643" t="inlineStr">
        <is>
          <t>D836</t>
        </is>
      </c>
      <c r="C1643" t="inlineStr">
        <is>
          <t>65014664</t>
        </is>
      </c>
      <c r="D1643" t="inlineStr">
        <is>
          <t>10000829</t>
        </is>
      </c>
      <c r="E1643" t="inlineStr"/>
      <c r="F1643" s="11" t="n">
        <v>55</v>
      </c>
      <c r="G1643" t="inlineStr"/>
      <c r="I1643" t="inlineStr">
        <is>
          <t>M3</t>
        </is>
      </c>
      <c r="J1643" t="inlineStr"/>
      <c r="K1643" t="inlineStr">
        <is>
          <t>20190426</t>
        </is>
      </c>
      <c r="L1643" t="inlineStr">
        <is>
          <t>20250127</t>
        </is>
      </c>
    </row>
    <row r="1644">
      <c r="A1644" t="inlineStr">
        <is>
          <t>900004447</t>
        </is>
      </c>
      <c r="B1644" t="inlineStr">
        <is>
          <t>D836</t>
        </is>
      </c>
      <c r="C1644" t="inlineStr">
        <is>
          <t>65944468</t>
        </is>
      </c>
      <c r="D1644" t="inlineStr">
        <is>
          <t>10000829</t>
        </is>
      </c>
      <c r="E1644" t="inlineStr"/>
      <c r="F1644" s="11" t="n">
        <v>55</v>
      </c>
      <c r="G1644" t="inlineStr"/>
      <c r="I1644" t="inlineStr">
        <is>
          <t>M3</t>
        </is>
      </c>
      <c r="J1644" t="inlineStr"/>
      <c r="K1644" t="inlineStr">
        <is>
          <t>20190426</t>
        </is>
      </c>
      <c r="L1644" t="inlineStr">
        <is>
          <t>20250127</t>
        </is>
      </c>
    </row>
    <row r="1645">
      <c r="A1645" t="inlineStr">
        <is>
          <t>900004447</t>
        </is>
      </c>
      <c r="B1645" t="inlineStr">
        <is>
          <t>D836</t>
        </is>
      </c>
      <c r="C1645" t="inlineStr">
        <is>
          <t>66189620</t>
        </is>
      </c>
      <c r="D1645" t="inlineStr">
        <is>
          <t>10000829</t>
        </is>
      </c>
      <c r="E1645" t="inlineStr"/>
      <c r="F1645" s="11" t="n">
        <v>55</v>
      </c>
      <c r="G1645" t="inlineStr"/>
      <c r="I1645" t="inlineStr">
        <is>
          <t>M3</t>
        </is>
      </c>
      <c r="J1645" t="inlineStr"/>
      <c r="K1645" t="inlineStr">
        <is>
          <t>20190426</t>
        </is>
      </c>
      <c r="L1645" t="inlineStr">
        <is>
          <t>20250127</t>
        </is>
      </c>
    </row>
    <row r="1646">
      <c r="A1646" t="inlineStr">
        <is>
          <t>900004447</t>
        </is>
      </c>
      <c r="B1646" t="inlineStr">
        <is>
          <t>D836</t>
        </is>
      </c>
      <c r="C1646" t="inlineStr">
        <is>
          <t>66416982</t>
        </is>
      </c>
      <c r="D1646" t="inlineStr">
        <is>
          <t>10000829</t>
        </is>
      </c>
      <c r="E1646" t="inlineStr"/>
      <c r="F1646" s="11" t="n">
        <v>54</v>
      </c>
      <c r="G1646" t="inlineStr"/>
      <c r="I1646" t="inlineStr">
        <is>
          <t>M3</t>
        </is>
      </c>
      <c r="J1646" t="inlineStr"/>
      <c r="K1646" t="inlineStr">
        <is>
          <t>20190426</t>
        </is>
      </c>
      <c r="L1646" t="inlineStr">
        <is>
          <t>20250127</t>
        </is>
      </c>
    </row>
    <row r="1647">
      <c r="A1647" t="inlineStr">
        <is>
          <t>900004447</t>
        </is>
      </c>
      <c r="B1647" t="inlineStr">
        <is>
          <t>D836</t>
        </is>
      </c>
      <c r="C1647" t="inlineStr">
        <is>
          <t>66529377</t>
        </is>
      </c>
      <c r="D1647" t="inlineStr">
        <is>
          <t>10000160</t>
        </is>
      </c>
      <c r="E1647" t="inlineStr"/>
      <c r="F1647" s="11" t="n">
        <v>55</v>
      </c>
      <c r="G1647" t="inlineStr"/>
      <c r="I1647" t="inlineStr">
        <is>
          <t>M3</t>
        </is>
      </c>
      <c r="J1647" t="inlineStr"/>
      <c r="K1647" t="inlineStr">
        <is>
          <t>20190426</t>
        </is>
      </c>
      <c r="L1647" t="inlineStr">
        <is>
          <t>20250127</t>
        </is>
      </c>
    </row>
    <row r="1648">
      <c r="A1648" t="inlineStr">
        <is>
          <t>900004465</t>
        </is>
      </c>
      <c r="B1648" t="inlineStr">
        <is>
          <t>D836</t>
        </is>
      </c>
      <c r="C1648" t="inlineStr">
        <is>
          <t>67007608</t>
        </is>
      </c>
      <c r="D1648" t="inlineStr">
        <is>
          <t>10221265</t>
        </is>
      </c>
      <c r="E1648" t="inlineStr"/>
      <c r="F1648" s="11" t="n">
        <v>55</v>
      </c>
      <c r="G1648" t="inlineStr"/>
      <c r="I1648" t="inlineStr">
        <is>
          <t>M3</t>
        </is>
      </c>
      <c r="J1648" t="inlineStr"/>
      <c r="K1648" t="inlineStr">
        <is>
          <t>20190426</t>
        </is>
      </c>
      <c r="L1648" t="inlineStr">
        <is>
          <t>20250127</t>
        </is>
      </c>
    </row>
    <row r="1649">
      <c r="A1649" t="inlineStr">
        <is>
          <t>900004465</t>
        </is>
      </c>
      <c r="B1649" t="inlineStr">
        <is>
          <t>D836</t>
        </is>
      </c>
      <c r="C1649" t="inlineStr">
        <is>
          <t>67007608</t>
        </is>
      </c>
      <c r="D1649" t="inlineStr">
        <is>
          <t>10221480</t>
        </is>
      </c>
      <c r="E1649" t="inlineStr"/>
      <c r="F1649" s="11" t="n">
        <v>81</v>
      </c>
      <c r="G1649" t="inlineStr"/>
      <c r="I1649" t="inlineStr">
        <is>
          <t>M3</t>
        </is>
      </c>
      <c r="J1649" t="inlineStr"/>
      <c r="K1649" t="inlineStr">
        <is>
          <t>20190426</t>
        </is>
      </c>
      <c r="L1649" t="inlineStr">
        <is>
          <t>20250127</t>
        </is>
      </c>
    </row>
    <row r="1650">
      <c r="A1650" t="inlineStr">
        <is>
          <t>900004465</t>
        </is>
      </c>
      <c r="B1650" t="inlineStr">
        <is>
          <t>D836</t>
        </is>
      </c>
      <c r="C1650" t="inlineStr">
        <is>
          <t>67007608</t>
        </is>
      </c>
      <c r="D1650" t="inlineStr">
        <is>
          <t>10221481</t>
        </is>
      </c>
      <c r="E1650" t="inlineStr"/>
      <c r="F1650" s="11" t="n">
        <v>75</v>
      </c>
      <c r="G1650" t="inlineStr"/>
      <c r="I1650" t="inlineStr">
        <is>
          <t>M3</t>
        </is>
      </c>
      <c r="J1650" t="inlineStr"/>
      <c r="K1650" t="inlineStr">
        <is>
          <t>20190426</t>
        </is>
      </c>
      <c r="L1650" t="inlineStr">
        <is>
          <t>20250127</t>
        </is>
      </c>
    </row>
    <row r="1651">
      <c r="A1651" t="inlineStr">
        <is>
          <t>900004465</t>
        </is>
      </c>
      <c r="B1651" t="inlineStr">
        <is>
          <t>D836</t>
        </is>
      </c>
      <c r="C1651" t="inlineStr">
        <is>
          <t>67036769</t>
        </is>
      </c>
      <c r="D1651" t="inlineStr">
        <is>
          <t>10221265</t>
        </is>
      </c>
      <c r="E1651" t="inlineStr"/>
      <c r="F1651" s="11" t="n">
        <v>55</v>
      </c>
      <c r="G1651" t="inlineStr"/>
      <c r="I1651" t="inlineStr">
        <is>
          <t>M3</t>
        </is>
      </c>
      <c r="J1651" t="inlineStr"/>
      <c r="K1651" t="inlineStr">
        <is>
          <t>20190426</t>
        </is>
      </c>
      <c r="L1651" t="inlineStr">
        <is>
          <t>20250127</t>
        </is>
      </c>
    </row>
    <row r="1652">
      <c r="A1652" t="inlineStr">
        <is>
          <t>900004465</t>
        </is>
      </c>
      <c r="B1652" t="inlineStr">
        <is>
          <t>D836</t>
        </is>
      </c>
      <c r="C1652" t="inlineStr">
        <is>
          <t>67036769</t>
        </is>
      </c>
      <c r="D1652" t="inlineStr">
        <is>
          <t>10221480</t>
        </is>
      </c>
      <c r="E1652" t="inlineStr"/>
      <c r="F1652" s="11" t="n">
        <v>81</v>
      </c>
      <c r="G1652" t="inlineStr"/>
      <c r="I1652" t="inlineStr">
        <is>
          <t>M3</t>
        </is>
      </c>
      <c r="J1652" t="inlineStr"/>
      <c r="K1652" t="inlineStr">
        <is>
          <t>20190426</t>
        </is>
      </c>
      <c r="L1652" t="inlineStr">
        <is>
          <t>20250127</t>
        </is>
      </c>
    </row>
    <row r="1653">
      <c r="A1653" t="inlineStr">
        <is>
          <t>900004465</t>
        </is>
      </c>
      <c r="B1653" t="inlineStr">
        <is>
          <t>D836</t>
        </is>
      </c>
      <c r="C1653" t="inlineStr">
        <is>
          <t>67036769</t>
        </is>
      </c>
      <c r="D1653" t="inlineStr">
        <is>
          <t>10221481</t>
        </is>
      </c>
      <c r="E1653" t="inlineStr"/>
      <c r="F1653" s="11" t="n">
        <v>75</v>
      </c>
      <c r="G1653" t="inlineStr"/>
      <c r="I1653" t="inlineStr">
        <is>
          <t>M3</t>
        </is>
      </c>
      <c r="J1653" t="inlineStr"/>
      <c r="K1653" t="inlineStr">
        <is>
          <t>20190426</t>
        </is>
      </c>
      <c r="L1653" t="inlineStr">
        <is>
          <t>20250127</t>
        </is>
      </c>
    </row>
    <row r="1654">
      <c r="A1654" t="inlineStr">
        <is>
          <t>900004542</t>
        </is>
      </c>
      <c r="B1654" t="inlineStr">
        <is>
          <t>D836</t>
        </is>
      </c>
      <c r="C1654" t="inlineStr">
        <is>
          <t>65014664</t>
        </is>
      </c>
      <c r="D1654" t="inlineStr">
        <is>
          <t>10000829</t>
        </is>
      </c>
      <c r="E1654" t="inlineStr"/>
      <c r="F1654" s="11" t="n">
        <v>53.13</v>
      </c>
      <c r="G1654" t="inlineStr"/>
      <c r="I1654" t="inlineStr">
        <is>
          <t>M3</t>
        </is>
      </c>
      <c r="J1654" t="inlineStr"/>
      <c r="K1654" t="inlineStr">
        <is>
          <t>20190426</t>
        </is>
      </c>
      <c r="L1654" t="inlineStr">
        <is>
          <t>20250127</t>
        </is>
      </c>
    </row>
    <row r="1655">
      <c r="A1655" t="inlineStr">
        <is>
          <t>900004651</t>
        </is>
      </c>
      <c r="B1655" t="inlineStr">
        <is>
          <t>D836</t>
        </is>
      </c>
      <c r="C1655" t="inlineStr">
        <is>
          <t>66414022</t>
        </is>
      </c>
      <c r="D1655" t="inlineStr">
        <is>
          <t>10000160</t>
        </is>
      </c>
      <c r="E1655" t="inlineStr"/>
      <c r="F1655" s="11" t="n">
        <v>95</v>
      </c>
      <c r="G1655" t="inlineStr"/>
      <c r="I1655" t="inlineStr">
        <is>
          <t>M3</t>
        </is>
      </c>
      <c r="J1655" t="inlineStr"/>
      <c r="K1655" t="inlineStr">
        <is>
          <t>20190426</t>
        </is>
      </c>
      <c r="L1655" t="inlineStr">
        <is>
          <t>20250127</t>
        </is>
      </c>
    </row>
    <row r="1656">
      <c r="A1656" t="inlineStr">
        <is>
          <t>900004651</t>
        </is>
      </c>
      <c r="B1656" t="inlineStr">
        <is>
          <t>D836</t>
        </is>
      </c>
      <c r="C1656" t="inlineStr">
        <is>
          <t>66420108</t>
        </is>
      </c>
      <c r="D1656" t="inlineStr">
        <is>
          <t>10000160</t>
        </is>
      </c>
      <c r="E1656" t="inlineStr"/>
      <c r="F1656" s="11" t="n">
        <v>95</v>
      </c>
      <c r="G1656" t="inlineStr"/>
      <c r="I1656" t="inlineStr">
        <is>
          <t>M3</t>
        </is>
      </c>
      <c r="J1656" t="inlineStr"/>
      <c r="K1656" t="inlineStr">
        <is>
          <t>20190426</t>
        </is>
      </c>
      <c r="L1656" t="inlineStr">
        <is>
          <t>20250127</t>
        </is>
      </c>
    </row>
    <row r="1657">
      <c r="A1657" t="inlineStr">
        <is>
          <t>900005005</t>
        </is>
      </c>
      <c r="B1657" t="inlineStr">
        <is>
          <t>D836</t>
        </is>
      </c>
      <c r="C1657" t="inlineStr">
        <is>
          <t>65300906</t>
        </is>
      </c>
      <c r="D1657" t="inlineStr">
        <is>
          <t>10000624</t>
        </is>
      </c>
      <c r="E1657" t="inlineStr"/>
      <c r="F1657" s="11" t="n">
        <v>86.25</v>
      </c>
      <c r="G1657" t="inlineStr"/>
      <c r="I1657" t="inlineStr">
        <is>
          <t>TN</t>
        </is>
      </c>
      <c r="J1657" t="inlineStr"/>
      <c r="K1657" t="inlineStr">
        <is>
          <t>20190426</t>
        </is>
      </c>
      <c r="L1657" t="inlineStr">
        <is>
          <t>20250127</t>
        </is>
      </c>
    </row>
    <row r="1658">
      <c r="A1658" t="inlineStr">
        <is>
          <t>900005005</t>
        </is>
      </c>
      <c r="B1658" t="inlineStr">
        <is>
          <t>D836</t>
        </is>
      </c>
      <c r="C1658" t="inlineStr">
        <is>
          <t>65300906</t>
        </is>
      </c>
      <c r="D1658" t="inlineStr">
        <is>
          <t>10000722</t>
        </is>
      </c>
      <c r="E1658" t="inlineStr"/>
      <c r="F1658" s="11" t="n">
        <v>86.25</v>
      </c>
      <c r="G1658" t="inlineStr"/>
      <c r="I1658" t="inlineStr">
        <is>
          <t>TN</t>
        </is>
      </c>
      <c r="J1658" t="inlineStr"/>
      <c r="K1658" t="inlineStr">
        <is>
          <t>20190426</t>
        </is>
      </c>
      <c r="L1658" t="inlineStr">
        <is>
          <t>20250127</t>
        </is>
      </c>
    </row>
    <row r="1659">
      <c r="A1659" t="inlineStr">
        <is>
          <t>900005005</t>
        </is>
      </c>
      <c r="B1659" t="inlineStr">
        <is>
          <t>D836</t>
        </is>
      </c>
      <c r="C1659" t="inlineStr">
        <is>
          <t>66313323</t>
        </is>
      </c>
      <c r="D1659" t="inlineStr">
        <is>
          <t>10000722</t>
        </is>
      </c>
      <c r="E1659" t="inlineStr"/>
      <c r="F1659" s="11" t="n">
        <v>80</v>
      </c>
      <c r="G1659" t="inlineStr"/>
      <c r="I1659" t="inlineStr">
        <is>
          <t>TN</t>
        </is>
      </c>
      <c r="J1659" t="inlineStr"/>
      <c r="K1659" t="inlineStr">
        <is>
          <t>20190426</t>
        </is>
      </c>
      <c r="L1659" t="inlineStr">
        <is>
          <t>20250127</t>
        </is>
      </c>
    </row>
    <row r="1660">
      <c r="A1660" t="inlineStr">
        <is>
          <t>900005005</t>
        </is>
      </c>
      <c r="B1660" t="inlineStr">
        <is>
          <t>D836</t>
        </is>
      </c>
      <c r="C1660" t="inlineStr">
        <is>
          <t>66420831</t>
        </is>
      </c>
      <c r="D1660" t="inlineStr">
        <is>
          <t>10000722</t>
        </is>
      </c>
      <c r="E1660" t="inlineStr"/>
      <c r="F1660" s="11" t="n">
        <v>80</v>
      </c>
      <c r="G1660" t="inlineStr"/>
      <c r="I1660" t="inlineStr">
        <is>
          <t>TN</t>
        </is>
      </c>
      <c r="J1660" t="inlineStr"/>
      <c r="K1660" t="inlineStr">
        <is>
          <t>20190426</t>
        </is>
      </c>
      <c r="L1660" t="inlineStr">
        <is>
          <t>20250127</t>
        </is>
      </c>
    </row>
    <row r="1661">
      <c r="A1661" t="inlineStr">
        <is>
          <t>900005007</t>
        </is>
      </c>
      <c r="B1661" t="inlineStr">
        <is>
          <t>D836</t>
        </is>
      </c>
      <c r="C1661" t="inlineStr">
        <is>
          <t>65251399</t>
        </is>
      </c>
      <c r="D1661" t="inlineStr">
        <is>
          <t>10029712</t>
        </is>
      </c>
      <c r="E1661" t="inlineStr"/>
      <c r="F1661" s="11" t="n">
        <v>145</v>
      </c>
      <c r="G1661" t="inlineStr"/>
      <c r="I1661" t="inlineStr">
        <is>
          <t>M3</t>
        </is>
      </c>
      <c r="J1661" t="inlineStr"/>
      <c r="K1661" t="inlineStr">
        <is>
          <t>20190426</t>
        </is>
      </c>
      <c r="L1661" t="inlineStr">
        <is>
          <t>20250127</t>
        </is>
      </c>
    </row>
    <row r="1662">
      <c r="A1662" t="inlineStr">
        <is>
          <t>900005060</t>
        </is>
      </c>
      <c r="B1662" t="inlineStr">
        <is>
          <t>D836</t>
        </is>
      </c>
      <c r="C1662" t="inlineStr">
        <is>
          <t>65909241</t>
        </is>
      </c>
      <c r="D1662" t="inlineStr">
        <is>
          <t>10139280</t>
        </is>
      </c>
      <c r="E1662" t="inlineStr"/>
      <c r="F1662" s="11" t="n">
        <v>35.5</v>
      </c>
      <c r="G1662" t="inlineStr"/>
      <c r="I1662" t="inlineStr">
        <is>
          <t>M3</t>
        </is>
      </c>
      <c r="J1662" t="inlineStr"/>
      <c r="K1662" t="inlineStr">
        <is>
          <t>20190426</t>
        </is>
      </c>
      <c r="L1662" t="inlineStr">
        <is>
          <t>20250127</t>
        </is>
      </c>
    </row>
    <row r="1663">
      <c r="A1663" t="inlineStr">
        <is>
          <t>900005060</t>
        </is>
      </c>
      <c r="B1663" t="inlineStr">
        <is>
          <t>D836</t>
        </is>
      </c>
      <c r="C1663" t="inlineStr">
        <is>
          <t>65909241</t>
        </is>
      </c>
      <c r="D1663" t="inlineStr">
        <is>
          <t>10139735</t>
        </is>
      </c>
      <c r="E1663" t="inlineStr"/>
      <c r="F1663" s="11" t="n">
        <v>20</v>
      </c>
      <c r="G1663" t="inlineStr"/>
      <c r="I1663" t="inlineStr">
        <is>
          <t>M3</t>
        </is>
      </c>
      <c r="J1663" t="inlineStr"/>
      <c r="K1663" t="inlineStr">
        <is>
          <t>20190426</t>
        </is>
      </c>
      <c r="L1663" t="inlineStr">
        <is>
          <t>20250127</t>
        </is>
      </c>
    </row>
    <row r="1664">
      <c r="A1664" t="inlineStr">
        <is>
          <t>900005060</t>
        </is>
      </c>
      <c r="B1664" t="inlineStr">
        <is>
          <t>D836</t>
        </is>
      </c>
      <c r="C1664" t="inlineStr">
        <is>
          <t>66381346</t>
        </is>
      </c>
      <c r="D1664" t="inlineStr">
        <is>
          <t>10139280</t>
        </is>
      </c>
      <c r="E1664" t="inlineStr"/>
      <c r="F1664" s="11" t="n">
        <v>35.5</v>
      </c>
      <c r="G1664" t="inlineStr"/>
      <c r="I1664" t="inlineStr">
        <is>
          <t>M3</t>
        </is>
      </c>
      <c r="J1664" t="inlineStr"/>
      <c r="K1664" t="inlineStr">
        <is>
          <t>20190426</t>
        </is>
      </c>
      <c r="L1664" t="inlineStr">
        <is>
          <t>20250127</t>
        </is>
      </c>
    </row>
    <row r="1665">
      <c r="A1665" t="inlineStr">
        <is>
          <t>900005060</t>
        </is>
      </c>
      <c r="B1665" t="inlineStr">
        <is>
          <t>D836</t>
        </is>
      </c>
      <c r="C1665" t="inlineStr">
        <is>
          <t>66381346</t>
        </is>
      </c>
      <c r="D1665" t="inlineStr">
        <is>
          <t>10139735</t>
        </is>
      </c>
      <c r="E1665" t="inlineStr"/>
      <c r="F1665" s="11" t="n">
        <v>20</v>
      </c>
      <c r="G1665" t="inlineStr"/>
      <c r="I1665" t="inlineStr">
        <is>
          <t>M3</t>
        </is>
      </c>
      <c r="J1665" t="inlineStr"/>
      <c r="K1665" t="inlineStr">
        <is>
          <t>20190426</t>
        </is>
      </c>
      <c r="L1665" t="inlineStr">
        <is>
          <t>20250127</t>
        </is>
      </c>
    </row>
    <row r="1666">
      <c r="A1666" t="inlineStr">
        <is>
          <t>900005060</t>
        </is>
      </c>
      <c r="B1666" t="inlineStr">
        <is>
          <t>D836</t>
        </is>
      </c>
      <c r="C1666" t="inlineStr">
        <is>
          <t>66416982</t>
        </is>
      </c>
      <c r="D1666" t="inlineStr">
        <is>
          <t>10139280</t>
        </is>
      </c>
      <c r="E1666" t="inlineStr"/>
      <c r="F1666" s="11" t="n">
        <v>35.5</v>
      </c>
      <c r="G1666" t="inlineStr"/>
      <c r="I1666" t="inlineStr">
        <is>
          <t>M3</t>
        </is>
      </c>
      <c r="J1666" t="inlineStr"/>
      <c r="K1666" t="inlineStr">
        <is>
          <t>20190426</t>
        </is>
      </c>
      <c r="L1666" t="inlineStr">
        <is>
          <t>20250127</t>
        </is>
      </c>
    </row>
    <row r="1667">
      <c r="A1667" t="inlineStr">
        <is>
          <t>900005060</t>
        </is>
      </c>
      <c r="B1667" t="inlineStr">
        <is>
          <t>D836</t>
        </is>
      </c>
      <c r="C1667" t="inlineStr">
        <is>
          <t>66416982</t>
        </is>
      </c>
      <c r="D1667" t="inlineStr">
        <is>
          <t>10139735</t>
        </is>
      </c>
      <c r="E1667" t="inlineStr"/>
      <c r="F1667" s="11" t="n">
        <v>20</v>
      </c>
      <c r="G1667" t="inlineStr"/>
      <c r="I1667" t="inlineStr">
        <is>
          <t>M3</t>
        </is>
      </c>
      <c r="J1667" t="inlineStr"/>
      <c r="K1667" t="inlineStr">
        <is>
          <t>20190426</t>
        </is>
      </c>
      <c r="L1667" t="inlineStr">
        <is>
          <t>20250127</t>
        </is>
      </c>
    </row>
    <row r="1668">
      <c r="A1668" t="inlineStr">
        <is>
          <t>900005060</t>
        </is>
      </c>
      <c r="B1668" t="inlineStr">
        <is>
          <t>D836</t>
        </is>
      </c>
      <c r="C1668" t="inlineStr">
        <is>
          <t>66427831</t>
        </is>
      </c>
      <c r="D1668" t="inlineStr">
        <is>
          <t>10139735</t>
        </is>
      </c>
      <c r="E1668" t="inlineStr"/>
      <c r="F1668" s="11" t="n">
        <v>20</v>
      </c>
      <c r="G1668" t="inlineStr"/>
      <c r="I1668" t="inlineStr">
        <is>
          <t>M3</t>
        </is>
      </c>
      <c r="J1668" t="inlineStr"/>
      <c r="K1668" t="inlineStr">
        <is>
          <t>20190426</t>
        </is>
      </c>
      <c r="L1668" t="inlineStr">
        <is>
          <t>20250127</t>
        </is>
      </c>
    </row>
    <row r="1669">
      <c r="A1669" t="inlineStr">
        <is>
          <t>900005060</t>
        </is>
      </c>
      <c r="B1669" t="inlineStr">
        <is>
          <t>D836</t>
        </is>
      </c>
      <c r="C1669" t="inlineStr">
        <is>
          <t>66441732</t>
        </is>
      </c>
      <c r="D1669" t="inlineStr">
        <is>
          <t>10139280</t>
        </is>
      </c>
      <c r="E1669" t="inlineStr"/>
      <c r="F1669" s="11" t="n">
        <v>35.5</v>
      </c>
      <c r="G1669" t="inlineStr"/>
      <c r="I1669" t="inlineStr">
        <is>
          <t>M3</t>
        </is>
      </c>
      <c r="J1669" t="inlineStr"/>
      <c r="K1669" t="inlineStr">
        <is>
          <t>20190426</t>
        </is>
      </c>
      <c r="L1669" t="inlineStr">
        <is>
          <t>20250127</t>
        </is>
      </c>
    </row>
    <row r="1670">
      <c r="A1670" t="inlineStr">
        <is>
          <t>900005060</t>
        </is>
      </c>
      <c r="B1670" t="inlineStr">
        <is>
          <t>D836</t>
        </is>
      </c>
      <c r="C1670" t="inlineStr">
        <is>
          <t>66441732</t>
        </is>
      </c>
      <c r="D1670" t="inlineStr">
        <is>
          <t>10139735</t>
        </is>
      </c>
      <c r="E1670" t="inlineStr"/>
      <c r="F1670" s="11" t="n">
        <v>20</v>
      </c>
      <c r="G1670" t="inlineStr"/>
      <c r="I1670" t="inlineStr">
        <is>
          <t>M3</t>
        </is>
      </c>
      <c r="J1670" t="inlineStr"/>
      <c r="K1670" t="inlineStr">
        <is>
          <t>20190426</t>
        </is>
      </c>
      <c r="L1670" t="inlineStr">
        <is>
          <t>20250127</t>
        </is>
      </c>
    </row>
    <row r="1671">
      <c r="A1671" t="inlineStr">
        <is>
          <t>900005214</t>
        </is>
      </c>
      <c r="B1671" t="inlineStr">
        <is>
          <t>D836</t>
        </is>
      </c>
      <c r="C1671" t="inlineStr">
        <is>
          <t>65003945</t>
        </is>
      </c>
      <c r="D1671" t="inlineStr">
        <is>
          <t>10000253</t>
        </is>
      </c>
      <c r="E1671" t="inlineStr"/>
      <c r="F1671" s="11" t="n">
        <v>95</v>
      </c>
      <c r="G1671" t="inlineStr"/>
      <c r="I1671" t="inlineStr">
        <is>
          <t>M3</t>
        </is>
      </c>
      <c r="J1671" t="inlineStr"/>
      <c r="K1671" t="inlineStr">
        <is>
          <t>20190426</t>
        </is>
      </c>
      <c r="L1671" t="inlineStr">
        <is>
          <t>20250127</t>
        </is>
      </c>
    </row>
    <row r="1672">
      <c r="A1672" t="inlineStr">
        <is>
          <t>900005214</t>
        </is>
      </c>
      <c r="B1672" t="inlineStr">
        <is>
          <t>D836</t>
        </is>
      </c>
      <c r="C1672" t="inlineStr">
        <is>
          <t>65003945</t>
        </is>
      </c>
      <c r="D1672" t="inlineStr">
        <is>
          <t>10059181</t>
        </is>
      </c>
      <c r="E1672" t="inlineStr"/>
      <c r="F1672" s="11" t="n">
        <v>81</v>
      </c>
      <c r="G1672" t="inlineStr"/>
      <c r="I1672" t="inlineStr">
        <is>
          <t>M3</t>
        </is>
      </c>
      <c r="J1672" t="inlineStr"/>
      <c r="K1672" t="inlineStr">
        <is>
          <t>20190426</t>
        </is>
      </c>
      <c r="L1672" t="inlineStr">
        <is>
          <t>20250127</t>
        </is>
      </c>
    </row>
    <row r="1673">
      <c r="A1673" t="inlineStr">
        <is>
          <t>900005214</t>
        </is>
      </c>
      <c r="B1673" t="inlineStr">
        <is>
          <t>D836</t>
        </is>
      </c>
      <c r="C1673" t="inlineStr">
        <is>
          <t>65251399</t>
        </is>
      </c>
      <c r="D1673" t="inlineStr">
        <is>
          <t>10059181</t>
        </is>
      </c>
      <c r="E1673" t="inlineStr"/>
      <c r="F1673" s="11" t="n">
        <v>80.65000000000001</v>
      </c>
      <c r="G1673" t="inlineStr"/>
      <c r="I1673" t="inlineStr">
        <is>
          <t>M3</t>
        </is>
      </c>
      <c r="J1673" t="inlineStr"/>
      <c r="K1673" t="inlineStr">
        <is>
          <t>20190426</t>
        </is>
      </c>
      <c r="L1673" t="inlineStr">
        <is>
          <t>20250127</t>
        </is>
      </c>
    </row>
    <row r="1674">
      <c r="A1674" t="inlineStr">
        <is>
          <t>900005214</t>
        </is>
      </c>
      <c r="B1674" t="inlineStr">
        <is>
          <t>D836</t>
        </is>
      </c>
      <c r="C1674" t="inlineStr">
        <is>
          <t>65445261</t>
        </is>
      </c>
      <c r="D1674" t="inlineStr">
        <is>
          <t>10000253</t>
        </is>
      </c>
      <c r="E1674" t="inlineStr"/>
      <c r="F1674" s="11" t="n">
        <v>78.5</v>
      </c>
      <c r="G1674" t="inlineStr"/>
      <c r="I1674" t="inlineStr">
        <is>
          <t>M3</t>
        </is>
      </c>
      <c r="J1674" t="inlineStr"/>
      <c r="K1674" t="inlineStr">
        <is>
          <t>20190426</t>
        </is>
      </c>
      <c r="L1674" t="inlineStr">
        <is>
          <t>20250127</t>
        </is>
      </c>
    </row>
    <row r="1675">
      <c r="A1675" t="inlineStr">
        <is>
          <t>900005214</t>
        </is>
      </c>
      <c r="B1675" t="inlineStr">
        <is>
          <t>D836</t>
        </is>
      </c>
      <c r="C1675" t="inlineStr">
        <is>
          <t>65445261</t>
        </is>
      </c>
      <c r="D1675" t="inlineStr">
        <is>
          <t>10000627</t>
        </is>
      </c>
      <c r="E1675" t="inlineStr"/>
      <c r="F1675" s="11" t="n">
        <v>84.09</v>
      </c>
      <c r="G1675" t="inlineStr"/>
      <c r="I1675" t="inlineStr">
        <is>
          <t>M3</t>
        </is>
      </c>
      <c r="J1675" t="inlineStr"/>
      <c r="K1675" t="inlineStr">
        <is>
          <t>20190426</t>
        </is>
      </c>
      <c r="L1675" t="inlineStr">
        <is>
          <t>20250127</t>
        </is>
      </c>
    </row>
    <row r="1676">
      <c r="A1676" t="inlineStr">
        <is>
          <t>900005214</t>
        </is>
      </c>
      <c r="B1676" t="inlineStr">
        <is>
          <t>D836</t>
        </is>
      </c>
      <c r="C1676" t="inlineStr">
        <is>
          <t>65445261</t>
        </is>
      </c>
      <c r="D1676" t="inlineStr">
        <is>
          <t>10000651</t>
        </is>
      </c>
      <c r="E1676" t="inlineStr"/>
      <c r="F1676" s="11" t="n">
        <v>105</v>
      </c>
      <c r="G1676" t="inlineStr"/>
      <c r="I1676" t="inlineStr">
        <is>
          <t>M3</t>
        </is>
      </c>
      <c r="J1676" t="inlineStr"/>
      <c r="K1676" t="inlineStr">
        <is>
          <t>20190426</t>
        </is>
      </c>
      <c r="L1676" t="inlineStr">
        <is>
          <t>20250127</t>
        </is>
      </c>
    </row>
    <row r="1677">
      <c r="A1677" t="inlineStr">
        <is>
          <t>900005214</t>
        </is>
      </c>
      <c r="B1677" t="inlineStr">
        <is>
          <t>D836</t>
        </is>
      </c>
      <c r="C1677" t="inlineStr">
        <is>
          <t>65445261</t>
        </is>
      </c>
      <c r="D1677" t="inlineStr">
        <is>
          <t>10059181</t>
        </is>
      </c>
      <c r="E1677" t="inlineStr"/>
      <c r="F1677" s="11" t="n">
        <v>80.59</v>
      </c>
      <c r="G1677" t="inlineStr"/>
      <c r="I1677" t="inlineStr">
        <is>
          <t>M3</t>
        </is>
      </c>
      <c r="J1677" t="inlineStr"/>
      <c r="K1677" t="inlineStr">
        <is>
          <t>20190426</t>
        </is>
      </c>
      <c r="L1677" t="inlineStr">
        <is>
          <t>20250127</t>
        </is>
      </c>
    </row>
    <row r="1678">
      <c r="A1678" t="inlineStr">
        <is>
          <t>900005214</t>
        </is>
      </c>
      <c r="B1678" t="inlineStr">
        <is>
          <t>D836</t>
        </is>
      </c>
      <c r="C1678" t="inlineStr">
        <is>
          <t>66212637</t>
        </is>
      </c>
      <c r="D1678" t="inlineStr">
        <is>
          <t>10000651</t>
        </is>
      </c>
      <c r="E1678" t="inlineStr"/>
      <c r="F1678" s="11" t="n">
        <v>115</v>
      </c>
      <c r="G1678" t="inlineStr"/>
      <c r="I1678" t="inlineStr">
        <is>
          <t>M3</t>
        </is>
      </c>
      <c r="J1678" t="inlineStr"/>
      <c r="K1678" t="inlineStr">
        <is>
          <t>20190426</t>
        </is>
      </c>
      <c r="L1678" t="inlineStr">
        <is>
          <t>20250127</t>
        </is>
      </c>
    </row>
    <row r="1679">
      <c r="A1679" t="inlineStr">
        <is>
          <t>900005214</t>
        </is>
      </c>
      <c r="B1679" t="inlineStr">
        <is>
          <t>D836</t>
        </is>
      </c>
      <c r="C1679" t="inlineStr">
        <is>
          <t>66239560</t>
        </is>
      </c>
      <c r="D1679" t="inlineStr">
        <is>
          <t>10000253</t>
        </is>
      </c>
      <c r="E1679" t="inlineStr"/>
      <c r="F1679" s="11" t="n">
        <v>76</v>
      </c>
      <c r="G1679" t="inlineStr"/>
      <c r="I1679" t="inlineStr">
        <is>
          <t>M3</t>
        </is>
      </c>
      <c r="J1679" t="inlineStr"/>
      <c r="K1679" t="inlineStr">
        <is>
          <t>20190426</t>
        </is>
      </c>
      <c r="L1679" t="inlineStr">
        <is>
          <t>20250127</t>
        </is>
      </c>
    </row>
    <row r="1680">
      <c r="A1680" t="inlineStr">
        <is>
          <t>900005214</t>
        </is>
      </c>
      <c r="B1680" t="inlineStr">
        <is>
          <t>D836</t>
        </is>
      </c>
      <c r="C1680" t="inlineStr">
        <is>
          <t>66239560</t>
        </is>
      </c>
      <c r="D1680" t="inlineStr">
        <is>
          <t>10000627</t>
        </is>
      </c>
      <c r="E1680" t="inlineStr"/>
      <c r="F1680" s="11" t="n">
        <v>75</v>
      </c>
      <c r="G1680" t="inlineStr"/>
      <c r="I1680" t="inlineStr">
        <is>
          <t>M3</t>
        </is>
      </c>
      <c r="J1680" t="inlineStr"/>
      <c r="K1680" t="inlineStr">
        <is>
          <t>20190426</t>
        </is>
      </c>
      <c r="L1680" t="inlineStr">
        <is>
          <t>20250127</t>
        </is>
      </c>
    </row>
    <row r="1681">
      <c r="A1681" t="inlineStr">
        <is>
          <t>900005214</t>
        </is>
      </c>
      <c r="B1681" t="inlineStr">
        <is>
          <t>D836</t>
        </is>
      </c>
      <c r="C1681" t="inlineStr">
        <is>
          <t>66239560</t>
        </is>
      </c>
      <c r="D1681" t="inlineStr">
        <is>
          <t>10059181</t>
        </is>
      </c>
      <c r="E1681" t="inlineStr"/>
      <c r="F1681" s="11" t="n">
        <v>72.5</v>
      </c>
      <c r="G1681" t="inlineStr"/>
      <c r="I1681" t="inlineStr">
        <is>
          <t>M3</t>
        </is>
      </c>
      <c r="J1681" t="inlineStr"/>
      <c r="K1681" t="inlineStr">
        <is>
          <t>20190426</t>
        </is>
      </c>
      <c r="L1681" t="inlineStr">
        <is>
          <t>20250127</t>
        </is>
      </c>
    </row>
    <row r="1682">
      <c r="A1682" t="inlineStr">
        <is>
          <t>900005214</t>
        </is>
      </c>
      <c r="B1682" t="inlineStr">
        <is>
          <t>D836</t>
        </is>
      </c>
      <c r="C1682" t="inlineStr">
        <is>
          <t>66239561</t>
        </is>
      </c>
      <c r="D1682" t="inlineStr">
        <is>
          <t>10000253</t>
        </is>
      </c>
      <c r="E1682" t="inlineStr"/>
      <c r="F1682" s="11" t="n">
        <v>76</v>
      </c>
      <c r="G1682" t="inlineStr"/>
      <c r="I1682" t="inlineStr">
        <is>
          <t>M3</t>
        </is>
      </c>
      <c r="J1682" t="inlineStr"/>
      <c r="K1682" t="inlineStr">
        <is>
          <t>20190426</t>
        </is>
      </c>
      <c r="L1682" t="inlineStr">
        <is>
          <t>20250127</t>
        </is>
      </c>
    </row>
    <row r="1683">
      <c r="A1683" t="inlineStr">
        <is>
          <t>900005214</t>
        </is>
      </c>
      <c r="B1683" t="inlineStr">
        <is>
          <t>D836</t>
        </is>
      </c>
      <c r="C1683" t="inlineStr">
        <is>
          <t>66239561</t>
        </is>
      </c>
      <c r="D1683" t="inlineStr">
        <is>
          <t>10000627</t>
        </is>
      </c>
      <c r="E1683" t="inlineStr"/>
      <c r="F1683" s="11" t="n">
        <v>75</v>
      </c>
      <c r="G1683" t="inlineStr"/>
      <c r="I1683" t="inlineStr">
        <is>
          <t>M3</t>
        </is>
      </c>
      <c r="J1683" t="inlineStr"/>
      <c r="K1683" t="inlineStr">
        <is>
          <t>20190426</t>
        </is>
      </c>
      <c r="L1683" t="inlineStr">
        <is>
          <t>20250127</t>
        </is>
      </c>
    </row>
    <row r="1684">
      <c r="A1684" t="inlineStr">
        <is>
          <t>900005214</t>
        </is>
      </c>
      <c r="B1684" t="inlineStr">
        <is>
          <t>D836</t>
        </is>
      </c>
      <c r="C1684" t="inlineStr">
        <is>
          <t>66239561</t>
        </is>
      </c>
      <c r="D1684" t="inlineStr">
        <is>
          <t>10059181</t>
        </is>
      </c>
      <c r="E1684" t="inlineStr"/>
      <c r="F1684" s="11" t="n">
        <v>72.5</v>
      </c>
      <c r="G1684" t="inlineStr"/>
      <c r="I1684" t="inlineStr">
        <is>
          <t>M3</t>
        </is>
      </c>
      <c r="J1684" t="inlineStr"/>
      <c r="K1684" t="inlineStr">
        <is>
          <t>20190426</t>
        </is>
      </c>
      <c r="L1684" t="inlineStr">
        <is>
          <t>20250127</t>
        </is>
      </c>
    </row>
    <row r="1685">
      <c r="A1685" t="inlineStr">
        <is>
          <t>900005214</t>
        </is>
      </c>
      <c r="B1685" t="inlineStr">
        <is>
          <t>D836</t>
        </is>
      </c>
      <c r="C1685" t="inlineStr">
        <is>
          <t>66239598</t>
        </is>
      </c>
      <c r="D1685" t="inlineStr">
        <is>
          <t>10000253</t>
        </is>
      </c>
      <c r="E1685" t="inlineStr"/>
      <c r="F1685" s="11" t="n">
        <v>76</v>
      </c>
      <c r="G1685" t="inlineStr"/>
      <c r="I1685" t="inlineStr">
        <is>
          <t>M3</t>
        </is>
      </c>
      <c r="J1685" t="inlineStr"/>
      <c r="K1685" t="inlineStr">
        <is>
          <t>20190426</t>
        </is>
      </c>
      <c r="L1685" t="inlineStr">
        <is>
          <t>20250127</t>
        </is>
      </c>
    </row>
    <row r="1686">
      <c r="A1686" t="inlineStr">
        <is>
          <t>900005214</t>
        </is>
      </c>
      <c r="B1686" t="inlineStr">
        <is>
          <t>D836</t>
        </is>
      </c>
      <c r="C1686" t="inlineStr">
        <is>
          <t>66239598</t>
        </is>
      </c>
      <c r="D1686" t="inlineStr">
        <is>
          <t>10000627</t>
        </is>
      </c>
      <c r="E1686" t="inlineStr"/>
      <c r="F1686" s="11" t="n">
        <v>75</v>
      </c>
      <c r="G1686" t="inlineStr"/>
      <c r="I1686" t="inlineStr">
        <is>
          <t>M3</t>
        </is>
      </c>
      <c r="J1686" t="inlineStr"/>
      <c r="K1686" t="inlineStr">
        <is>
          <t>20190426</t>
        </is>
      </c>
      <c r="L1686" t="inlineStr">
        <is>
          <t>20250127</t>
        </is>
      </c>
    </row>
    <row r="1687">
      <c r="A1687" t="inlineStr">
        <is>
          <t>900005214</t>
        </is>
      </c>
      <c r="B1687" t="inlineStr">
        <is>
          <t>D836</t>
        </is>
      </c>
      <c r="C1687" t="inlineStr">
        <is>
          <t>66239598</t>
        </is>
      </c>
      <c r="D1687" t="inlineStr">
        <is>
          <t>10059181</t>
        </is>
      </c>
      <c r="E1687" t="inlineStr"/>
      <c r="F1687" s="11" t="n">
        <v>72.5</v>
      </c>
      <c r="G1687" t="inlineStr"/>
      <c r="I1687" t="inlineStr">
        <is>
          <t>M3</t>
        </is>
      </c>
      <c r="J1687" t="inlineStr"/>
      <c r="K1687" t="inlineStr">
        <is>
          <t>20190426</t>
        </is>
      </c>
      <c r="L1687" t="inlineStr">
        <is>
          <t>20250127</t>
        </is>
      </c>
    </row>
    <row r="1688">
      <c r="A1688" t="inlineStr">
        <is>
          <t>900005214</t>
        </is>
      </c>
      <c r="B1688" t="inlineStr">
        <is>
          <t>D836</t>
        </is>
      </c>
      <c r="C1688" t="inlineStr">
        <is>
          <t>66239599</t>
        </is>
      </c>
      <c r="D1688" t="inlineStr">
        <is>
          <t>10000253</t>
        </is>
      </c>
      <c r="E1688" t="inlineStr"/>
      <c r="F1688" s="11" t="n">
        <v>76</v>
      </c>
      <c r="G1688" t="inlineStr"/>
      <c r="I1688" t="inlineStr">
        <is>
          <t>M3</t>
        </is>
      </c>
      <c r="J1688" t="inlineStr"/>
      <c r="K1688" t="inlineStr">
        <is>
          <t>20190426</t>
        </is>
      </c>
      <c r="L1688" t="inlineStr">
        <is>
          <t>20250127</t>
        </is>
      </c>
    </row>
    <row r="1689">
      <c r="A1689" t="inlineStr">
        <is>
          <t>900005214</t>
        </is>
      </c>
      <c r="B1689" t="inlineStr">
        <is>
          <t>D836</t>
        </is>
      </c>
      <c r="C1689" t="inlineStr">
        <is>
          <t>66239599</t>
        </is>
      </c>
      <c r="D1689" t="inlineStr">
        <is>
          <t>10000627</t>
        </is>
      </c>
      <c r="E1689" t="inlineStr"/>
      <c r="F1689" s="11" t="n">
        <v>75</v>
      </c>
      <c r="G1689" t="inlineStr"/>
      <c r="I1689" t="inlineStr">
        <is>
          <t>M3</t>
        </is>
      </c>
      <c r="J1689" t="inlineStr"/>
      <c r="K1689" t="inlineStr">
        <is>
          <t>20190426</t>
        </is>
      </c>
      <c r="L1689" t="inlineStr">
        <is>
          <t>20250127</t>
        </is>
      </c>
    </row>
    <row r="1690">
      <c r="A1690" t="inlineStr">
        <is>
          <t>900005214</t>
        </is>
      </c>
      <c r="B1690" t="inlineStr">
        <is>
          <t>D836</t>
        </is>
      </c>
      <c r="C1690" t="inlineStr">
        <is>
          <t>66239599</t>
        </is>
      </c>
      <c r="D1690" t="inlineStr">
        <is>
          <t>10059181</t>
        </is>
      </c>
      <c r="E1690" t="inlineStr"/>
      <c r="F1690" s="11" t="n">
        <v>72.5</v>
      </c>
      <c r="G1690" t="inlineStr"/>
      <c r="I1690" t="inlineStr">
        <is>
          <t>M3</t>
        </is>
      </c>
      <c r="J1690" t="inlineStr"/>
      <c r="K1690" t="inlineStr">
        <is>
          <t>20190426</t>
        </is>
      </c>
      <c r="L1690" t="inlineStr">
        <is>
          <t>20250127</t>
        </is>
      </c>
    </row>
    <row r="1691">
      <c r="A1691" t="inlineStr">
        <is>
          <t>900005214</t>
        </is>
      </c>
      <c r="B1691" t="inlineStr">
        <is>
          <t>D836</t>
        </is>
      </c>
      <c r="C1691" t="inlineStr">
        <is>
          <t>66239600</t>
        </is>
      </c>
      <c r="D1691" t="inlineStr">
        <is>
          <t>10000253</t>
        </is>
      </c>
      <c r="E1691" t="inlineStr"/>
      <c r="F1691" s="11" t="n">
        <v>76</v>
      </c>
      <c r="G1691" t="inlineStr"/>
      <c r="I1691" t="inlineStr">
        <is>
          <t>M3</t>
        </is>
      </c>
      <c r="J1691" t="inlineStr"/>
      <c r="K1691" t="inlineStr">
        <is>
          <t>20190426</t>
        </is>
      </c>
      <c r="L1691" t="inlineStr">
        <is>
          <t>20250127</t>
        </is>
      </c>
    </row>
    <row r="1692">
      <c r="A1692" t="inlineStr">
        <is>
          <t>900005214</t>
        </is>
      </c>
      <c r="B1692" t="inlineStr">
        <is>
          <t>D836</t>
        </is>
      </c>
      <c r="C1692" t="inlineStr">
        <is>
          <t>66239600</t>
        </is>
      </c>
      <c r="D1692" t="inlineStr">
        <is>
          <t>10000627</t>
        </is>
      </c>
      <c r="E1692" t="inlineStr"/>
      <c r="F1692" s="11" t="n">
        <v>75</v>
      </c>
      <c r="G1692" t="inlineStr"/>
      <c r="I1692" t="inlineStr">
        <is>
          <t>M3</t>
        </is>
      </c>
      <c r="J1692" t="inlineStr"/>
      <c r="K1692" t="inlineStr">
        <is>
          <t>20190426</t>
        </is>
      </c>
      <c r="L1692" t="inlineStr">
        <is>
          <t>20250127</t>
        </is>
      </c>
    </row>
    <row r="1693">
      <c r="A1693" t="inlineStr">
        <is>
          <t>900005214</t>
        </is>
      </c>
      <c r="B1693" t="inlineStr">
        <is>
          <t>D836</t>
        </is>
      </c>
      <c r="C1693" t="inlineStr">
        <is>
          <t>66239600</t>
        </is>
      </c>
      <c r="D1693" t="inlineStr">
        <is>
          <t>10059181</t>
        </is>
      </c>
      <c r="E1693" t="inlineStr"/>
      <c r="F1693" s="11" t="n">
        <v>72.5</v>
      </c>
      <c r="G1693" t="inlineStr"/>
      <c r="I1693" t="inlineStr">
        <is>
          <t>M3</t>
        </is>
      </c>
      <c r="J1693" t="inlineStr"/>
      <c r="K1693" t="inlineStr">
        <is>
          <t>20190426</t>
        </is>
      </c>
      <c r="L1693" t="inlineStr">
        <is>
          <t>20250127</t>
        </is>
      </c>
    </row>
    <row r="1694">
      <c r="A1694" t="inlineStr">
        <is>
          <t>900005214</t>
        </is>
      </c>
      <c r="B1694" t="inlineStr">
        <is>
          <t>D836</t>
        </is>
      </c>
      <c r="C1694" t="inlineStr">
        <is>
          <t>66239601</t>
        </is>
      </c>
      <c r="D1694" t="inlineStr">
        <is>
          <t>10000253</t>
        </is>
      </c>
      <c r="E1694" t="inlineStr"/>
      <c r="F1694" s="11" t="n">
        <v>76</v>
      </c>
      <c r="G1694" t="inlineStr"/>
      <c r="I1694" t="inlineStr">
        <is>
          <t>M3</t>
        </is>
      </c>
      <c r="J1694" t="inlineStr"/>
      <c r="K1694" t="inlineStr">
        <is>
          <t>20190426</t>
        </is>
      </c>
      <c r="L1694" t="inlineStr">
        <is>
          <t>20250127</t>
        </is>
      </c>
    </row>
    <row r="1695">
      <c r="A1695" t="inlineStr">
        <is>
          <t>900005214</t>
        </is>
      </c>
      <c r="B1695" t="inlineStr">
        <is>
          <t>D836</t>
        </is>
      </c>
      <c r="C1695" t="inlineStr">
        <is>
          <t>66239601</t>
        </is>
      </c>
      <c r="D1695" t="inlineStr">
        <is>
          <t>10000627</t>
        </is>
      </c>
      <c r="E1695" t="inlineStr"/>
      <c r="F1695" s="11" t="n">
        <v>75</v>
      </c>
      <c r="G1695" t="inlineStr"/>
      <c r="I1695" t="inlineStr">
        <is>
          <t>M3</t>
        </is>
      </c>
      <c r="J1695" t="inlineStr"/>
      <c r="K1695" t="inlineStr">
        <is>
          <t>20190426</t>
        </is>
      </c>
      <c r="L1695" t="inlineStr">
        <is>
          <t>20250127</t>
        </is>
      </c>
    </row>
    <row r="1696">
      <c r="A1696" t="inlineStr">
        <is>
          <t>900005214</t>
        </is>
      </c>
      <c r="B1696" t="inlineStr">
        <is>
          <t>D836</t>
        </is>
      </c>
      <c r="C1696" t="inlineStr">
        <is>
          <t>66239601</t>
        </is>
      </c>
      <c r="D1696" t="inlineStr">
        <is>
          <t>10059181</t>
        </is>
      </c>
      <c r="E1696" t="inlineStr"/>
      <c r="F1696" s="11" t="n">
        <v>72.5</v>
      </c>
      <c r="G1696" t="inlineStr"/>
      <c r="I1696" t="inlineStr">
        <is>
          <t>M3</t>
        </is>
      </c>
      <c r="J1696" t="inlineStr"/>
      <c r="K1696" t="inlineStr">
        <is>
          <t>20190426</t>
        </is>
      </c>
      <c r="L1696" t="inlineStr">
        <is>
          <t>20250127</t>
        </is>
      </c>
    </row>
    <row r="1697">
      <c r="A1697" t="inlineStr">
        <is>
          <t>900005214</t>
        </is>
      </c>
      <c r="B1697" t="inlineStr">
        <is>
          <t>D836</t>
        </is>
      </c>
      <c r="C1697" t="inlineStr">
        <is>
          <t>66239617</t>
        </is>
      </c>
      <c r="D1697" t="inlineStr">
        <is>
          <t>10000253</t>
        </is>
      </c>
      <c r="E1697" t="inlineStr"/>
      <c r="F1697" s="11" t="n">
        <v>76</v>
      </c>
      <c r="G1697" t="inlineStr"/>
      <c r="I1697" t="inlineStr">
        <is>
          <t>M3</t>
        </is>
      </c>
      <c r="J1697" t="inlineStr"/>
      <c r="K1697" t="inlineStr">
        <is>
          <t>20190426</t>
        </is>
      </c>
      <c r="L1697" t="inlineStr">
        <is>
          <t>20250127</t>
        </is>
      </c>
    </row>
    <row r="1698">
      <c r="A1698" t="inlineStr">
        <is>
          <t>900005214</t>
        </is>
      </c>
      <c r="B1698" t="inlineStr">
        <is>
          <t>D836</t>
        </is>
      </c>
      <c r="C1698" t="inlineStr">
        <is>
          <t>66239617</t>
        </is>
      </c>
      <c r="D1698" t="inlineStr">
        <is>
          <t>10000627</t>
        </is>
      </c>
      <c r="E1698" t="inlineStr"/>
      <c r="F1698" s="11" t="n">
        <v>75</v>
      </c>
      <c r="G1698" t="inlineStr"/>
      <c r="I1698" t="inlineStr">
        <is>
          <t>M3</t>
        </is>
      </c>
      <c r="J1698" t="inlineStr"/>
      <c r="K1698" t="inlineStr">
        <is>
          <t>20190426</t>
        </is>
      </c>
      <c r="L1698" t="inlineStr">
        <is>
          <t>20250127</t>
        </is>
      </c>
    </row>
    <row r="1699">
      <c r="A1699" t="inlineStr">
        <is>
          <t>900005214</t>
        </is>
      </c>
      <c r="B1699" t="inlineStr">
        <is>
          <t>D836</t>
        </is>
      </c>
      <c r="C1699" t="inlineStr">
        <is>
          <t>66239617</t>
        </is>
      </c>
      <c r="D1699" t="inlineStr">
        <is>
          <t>10059181</t>
        </is>
      </c>
      <c r="E1699" t="inlineStr"/>
      <c r="F1699" s="11" t="n">
        <v>72.5</v>
      </c>
      <c r="G1699" t="inlineStr"/>
      <c r="I1699" t="inlineStr">
        <is>
          <t>M3</t>
        </is>
      </c>
      <c r="J1699" t="inlineStr"/>
      <c r="K1699" t="inlineStr">
        <is>
          <t>20190426</t>
        </is>
      </c>
      <c r="L1699" t="inlineStr">
        <is>
          <t>20250127</t>
        </is>
      </c>
    </row>
    <row r="1700">
      <c r="A1700" t="inlineStr">
        <is>
          <t>900005214</t>
        </is>
      </c>
      <c r="B1700" t="inlineStr">
        <is>
          <t>D836</t>
        </is>
      </c>
      <c r="C1700" t="inlineStr">
        <is>
          <t>66239621</t>
        </is>
      </c>
      <c r="D1700" t="inlineStr">
        <is>
          <t>10000253</t>
        </is>
      </c>
      <c r="E1700" t="inlineStr"/>
      <c r="F1700" s="11" t="n">
        <v>76</v>
      </c>
      <c r="G1700" t="inlineStr"/>
      <c r="I1700" t="inlineStr">
        <is>
          <t>M3</t>
        </is>
      </c>
      <c r="J1700" t="inlineStr"/>
      <c r="K1700" t="inlineStr">
        <is>
          <t>20190426</t>
        </is>
      </c>
      <c r="L1700" t="inlineStr">
        <is>
          <t>20250127</t>
        </is>
      </c>
    </row>
    <row r="1701">
      <c r="A1701" t="inlineStr">
        <is>
          <t>900005214</t>
        </is>
      </c>
      <c r="B1701" t="inlineStr">
        <is>
          <t>D836</t>
        </is>
      </c>
      <c r="C1701" t="inlineStr">
        <is>
          <t>66239621</t>
        </is>
      </c>
      <c r="D1701" t="inlineStr">
        <is>
          <t>10000627</t>
        </is>
      </c>
      <c r="E1701" t="inlineStr"/>
      <c r="F1701" s="11" t="n">
        <v>75</v>
      </c>
      <c r="G1701" t="inlineStr"/>
      <c r="I1701" t="inlineStr">
        <is>
          <t>M3</t>
        </is>
      </c>
      <c r="J1701" t="inlineStr"/>
      <c r="K1701" t="inlineStr">
        <is>
          <t>20190426</t>
        </is>
      </c>
      <c r="L1701" t="inlineStr">
        <is>
          <t>20250127</t>
        </is>
      </c>
    </row>
    <row r="1702">
      <c r="A1702" t="inlineStr">
        <is>
          <t>900005214</t>
        </is>
      </c>
      <c r="B1702" t="inlineStr">
        <is>
          <t>D836</t>
        </is>
      </c>
      <c r="C1702" t="inlineStr">
        <is>
          <t>66239621</t>
        </is>
      </c>
      <c r="D1702" t="inlineStr">
        <is>
          <t>10059181</t>
        </is>
      </c>
      <c r="E1702" t="inlineStr"/>
      <c r="F1702" s="11" t="n">
        <v>72.5</v>
      </c>
      <c r="G1702" t="inlineStr"/>
      <c r="I1702" t="inlineStr">
        <is>
          <t>M3</t>
        </is>
      </c>
      <c r="J1702" t="inlineStr"/>
      <c r="K1702" t="inlineStr">
        <is>
          <t>20190426</t>
        </is>
      </c>
      <c r="L1702" t="inlineStr">
        <is>
          <t>20250127</t>
        </is>
      </c>
    </row>
    <row r="1703">
      <c r="A1703" t="inlineStr">
        <is>
          <t>900005214</t>
        </is>
      </c>
      <c r="B1703" t="inlineStr">
        <is>
          <t>D836</t>
        </is>
      </c>
      <c r="C1703" t="inlineStr">
        <is>
          <t>66239627</t>
        </is>
      </c>
      <c r="D1703" t="inlineStr">
        <is>
          <t>10000253</t>
        </is>
      </c>
      <c r="E1703" t="inlineStr"/>
      <c r="F1703" s="11" t="n">
        <v>76</v>
      </c>
      <c r="G1703" t="inlineStr"/>
      <c r="I1703" t="inlineStr">
        <is>
          <t>M3</t>
        </is>
      </c>
      <c r="J1703" t="inlineStr"/>
      <c r="K1703" t="inlineStr">
        <is>
          <t>20190426</t>
        </is>
      </c>
      <c r="L1703" t="inlineStr">
        <is>
          <t>20250127</t>
        </is>
      </c>
    </row>
    <row r="1704">
      <c r="A1704" t="inlineStr">
        <is>
          <t>900005214</t>
        </is>
      </c>
      <c r="B1704" t="inlineStr">
        <is>
          <t>D836</t>
        </is>
      </c>
      <c r="C1704" t="inlineStr">
        <is>
          <t>66239627</t>
        </is>
      </c>
      <c r="D1704" t="inlineStr">
        <is>
          <t>10000627</t>
        </is>
      </c>
      <c r="E1704" t="inlineStr"/>
      <c r="F1704" s="11" t="n">
        <v>75</v>
      </c>
      <c r="G1704" t="inlineStr"/>
      <c r="I1704" t="inlineStr">
        <is>
          <t>M3</t>
        </is>
      </c>
      <c r="J1704" t="inlineStr"/>
      <c r="K1704" t="inlineStr">
        <is>
          <t>20190426</t>
        </is>
      </c>
      <c r="L1704" t="inlineStr">
        <is>
          <t>20250127</t>
        </is>
      </c>
    </row>
    <row r="1705">
      <c r="A1705" t="inlineStr">
        <is>
          <t>900005214</t>
        </is>
      </c>
      <c r="B1705" t="inlineStr">
        <is>
          <t>D836</t>
        </is>
      </c>
      <c r="C1705" t="inlineStr">
        <is>
          <t>66239627</t>
        </is>
      </c>
      <c r="D1705" t="inlineStr">
        <is>
          <t>10059181</t>
        </is>
      </c>
      <c r="E1705" t="inlineStr"/>
      <c r="F1705" s="11" t="n">
        <v>72.5</v>
      </c>
      <c r="G1705" t="inlineStr"/>
      <c r="I1705" t="inlineStr">
        <is>
          <t>M3</t>
        </is>
      </c>
      <c r="J1705" t="inlineStr"/>
      <c r="K1705" t="inlineStr">
        <is>
          <t>20190426</t>
        </is>
      </c>
      <c r="L1705" t="inlineStr">
        <is>
          <t>20250127</t>
        </is>
      </c>
    </row>
    <row r="1706">
      <c r="A1706" t="inlineStr">
        <is>
          <t>900005214</t>
        </is>
      </c>
      <c r="B1706" t="inlineStr">
        <is>
          <t>D836</t>
        </is>
      </c>
      <c r="C1706" t="inlineStr">
        <is>
          <t>66239628</t>
        </is>
      </c>
      <c r="D1706" t="inlineStr">
        <is>
          <t>10000253</t>
        </is>
      </c>
      <c r="E1706" t="inlineStr"/>
      <c r="F1706" s="11" t="n">
        <v>76</v>
      </c>
      <c r="G1706" t="inlineStr"/>
      <c r="I1706" t="inlineStr">
        <is>
          <t>M3</t>
        </is>
      </c>
      <c r="J1706" t="inlineStr"/>
      <c r="K1706" t="inlineStr">
        <is>
          <t>20190426</t>
        </is>
      </c>
      <c r="L1706" t="inlineStr">
        <is>
          <t>20250127</t>
        </is>
      </c>
    </row>
    <row r="1707">
      <c r="A1707" t="inlineStr">
        <is>
          <t>900005214</t>
        </is>
      </c>
      <c r="B1707" t="inlineStr">
        <is>
          <t>D836</t>
        </is>
      </c>
      <c r="C1707" t="inlineStr">
        <is>
          <t>66239628</t>
        </is>
      </c>
      <c r="D1707" t="inlineStr">
        <is>
          <t>10000627</t>
        </is>
      </c>
      <c r="E1707" t="inlineStr"/>
      <c r="F1707" s="11" t="n">
        <v>75</v>
      </c>
      <c r="G1707" t="inlineStr"/>
      <c r="I1707" t="inlineStr">
        <is>
          <t>M3</t>
        </is>
      </c>
      <c r="J1707" t="inlineStr"/>
      <c r="K1707" t="inlineStr">
        <is>
          <t>20190426</t>
        </is>
      </c>
      <c r="L1707" t="inlineStr">
        <is>
          <t>20250127</t>
        </is>
      </c>
    </row>
    <row r="1708">
      <c r="A1708" t="inlineStr">
        <is>
          <t>900005214</t>
        </is>
      </c>
      <c r="B1708" t="inlineStr">
        <is>
          <t>D836</t>
        </is>
      </c>
      <c r="C1708" t="inlineStr">
        <is>
          <t>66239628</t>
        </is>
      </c>
      <c r="D1708" t="inlineStr">
        <is>
          <t>10059181</t>
        </is>
      </c>
      <c r="E1708" t="inlineStr"/>
      <c r="F1708" s="11" t="n">
        <v>72.5</v>
      </c>
      <c r="G1708" t="inlineStr"/>
      <c r="I1708" t="inlineStr">
        <is>
          <t>M3</t>
        </is>
      </c>
      <c r="J1708" t="inlineStr"/>
      <c r="K1708" t="inlineStr">
        <is>
          <t>20190426</t>
        </is>
      </c>
      <c r="L1708" t="inlineStr">
        <is>
          <t>20250127</t>
        </is>
      </c>
    </row>
    <row r="1709">
      <c r="A1709" t="inlineStr">
        <is>
          <t>900005214</t>
        </is>
      </c>
      <c r="B1709" t="inlineStr">
        <is>
          <t>D836</t>
        </is>
      </c>
      <c r="C1709" t="inlineStr">
        <is>
          <t>66289412</t>
        </is>
      </c>
      <c r="D1709" t="inlineStr">
        <is>
          <t>10000253</t>
        </is>
      </c>
      <c r="E1709" t="inlineStr"/>
      <c r="F1709" s="11" t="n">
        <v>76</v>
      </c>
      <c r="G1709" t="inlineStr"/>
      <c r="I1709" t="inlineStr">
        <is>
          <t>M3</t>
        </is>
      </c>
      <c r="J1709" t="inlineStr"/>
      <c r="K1709" t="inlineStr">
        <is>
          <t>20190426</t>
        </is>
      </c>
      <c r="L1709" t="inlineStr">
        <is>
          <t>20250127</t>
        </is>
      </c>
    </row>
    <row r="1710">
      <c r="A1710" t="inlineStr">
        <is>
          <t>900005214</t>
        </is>
      </c>
      <c r="B1710" t="inlineStr">
        <is>
          <t>D836</t>
        </is>
      </c>
      <c r="C1710" t="inlineStr">
        <is>
          <t>66289412</t>
        </is>
      </c>
      <c r="D1710" t="inlineStr">
        <is>
          <t>10000627</t>
        </is>
      </c>
      <c r="E1710" t="inlineStr"/>
      <c r="F1710" s="11" t="n">
        <v>75</v>
      </c>
      <c r="G1710" t="inlineStr"/>
      <c r="I1710" t="inlineStr">
        <is>
          <t>M3</t>
        </is>
      </c>
      <c r="J1710" t="inlineStr"/>
      <c r="K1710" t="inlineStr">
        <is>
          <t>20190426</t>
        </is>
      </c>
      <c r="L1710" t="inlineStr">
        <is>
          <t>20250127</t>
        </is>
      </c>
    </row>
    <row r="1711">
      <c r="A1711" t="inlineStr">
        <is>
          <t>900005214</t>
        </is>
      </c>
      <c r="B1711" t="inlineStr">
        <is>
          <t>D836</t>
        </is>
      </c>
      <c r="C1711" t="inlineStr">
        <is>
          <t>66289412</t>
        </is>
      </c>
      <c r="D1711" t="inlineStr">
        <is>
          <t>10059181</t>
        </is>
      </c>
      <c r="E1711" t="inlineStr"/>
      <c r="F1711" s="11" t="n">
        <v>72.5</v>
      </c>
      <c r="G1711" t="inlineStr"/>
      <c r="I1711" t="inlineStr">
        <is>
          <t>M3</t>
        </is>
      </c>
      <c r="J1711" t="inlineStr"/>
      <c r="K1711" t="inlineStr">
        <is>
          <t>20190426</t>
        </is>
      </c>
      <c r="L1711" t="inlineStr">
        <is>
          <t>20250127</t>
        </is>
      </c>
    </row>
    <row r="1712">
      <c r="A1712" t="inlineStr">
        <is>
          <t>900005214</t>
        </is>
      </c>
      <c r="B1712" t="inlineStr">
        <is>
          <t>D836</t>
        </is>
      </c>
      <c r="C1712" t="inlineStr">
        <is>
          <t>66289413</t>
        </is>
      </c>
      <c r="D1712" t="inlineStr">
        <is>
          <t>10000253</t>
        </is>
      </c>
      <c r="E1712" t="inlineStr"/>
      <c r="F1712" s="11" t="n">
        <v>76</v>
      </c>
      <c r="G1712" t="inlineStr"/>
      <c r="I1712" t="inlineStr">
        <is>
          <t>M3</t>
        </is>
      </c>
      <c r="J1712" t="inlineStr"/>
      <c r="K1712" t="inlineStr">
        <is>
          <t>20190426</t>
        </is>
      </c>
      <c r="L1712" t="inlineStr">
        <is>
          <t>20250127</t>
        </is>
      </c>
    </row>
    <row r="1713">
      <c r="A1713" t="inlineStr">
        <is>
          <t>900005214</t>
        </is>
      </c>
      <c r="B1713" t="inlineStr">
        <is>
          <t>D836</t>
        </is>
      </c>
      <c r="C1713" t="inlineStr">
        <is>
          <t>66289413</t>
        </is>
      </c>
      <c r="D1713" t="inlineStr">
        <is>
          <t>10000627</t>
        </is>
      </c>
      <c r="E1713" t="inlineStr"/>
      <c r="F1713" s="11" t="n">
        <v>75</v>
      </c>
      <c r="G1713" t="inlineStr"/>
      <c r="I1713" t="inlineStr">
        <is>
          <t>M3</t>
        </is>
      </c>
      <c r="J1713" t="inlineStr"/>
      <c r="K1713" t="inlineStr">
        <is>
          <t>20190426</t>
        </is>
      </c>
      <c r="L1713" t="inlineStr">
        <is>
          <t>20250127</t>
        </is>
      </c>
    </row>
    <row r="1714">
      <c r="A1714" t="inlineStr">
        <is>
          <t>900005214</t>
        </is>
      </c>
      <c r="B1714" t="inlineStr">
        <is>
          <t>D836</t>
        </is>
      </c>
      <c r="C1714" t="inlineStr">
        <is>
          <t>66289413</t>
        </is>
      </c>
      <c r="D1714" t="inlineStr">
        <is>
          <t>10059181</t>
        </is>
      </c>
      <c r="E1714" t="inlineStr"/>
      <c r="F1714" s="11" t="n">
        <v>72.5</v>
      </c>
      <c r="G1714" t="inlineStr"/>
      <c r="I1714" t="inlineStr">
        <is>
          <t>M3</t>
        </is>
      </c>
      <c r="J1714" t="inlineStr"/>
      <c r="K1714" t="inlineStr">
        <is>
          <t>20190426</t>
        </is>
      </c>
      <c r="L1714" t="inlineStr">
        <is>
          <t>20250127</t>
        </is>
      </c>
    </row>
    <row r="1715">
      <c r="A1715" t="inlineStr">
        <is>
          <t>900005214</t>
        </is>
      </c>
      <c r="B1715" t="inlineStr">
        <is>
          <t>D836</t>
        </is>
      </c>
      <c r="C1715" t="inlineStr">
        <is>
          <t>66458593</t>
        </is>
      </c>
      <c r="D1715" t="inlineStr">
        <is>
          <t>10059181</t>
        </is>
      </c>
      <c r="E1715" t="inlineStr"/>
      <c r="F1715" s="11" t="n">
        <v>92</v>
      </c>
      <c r="G1715" t="inlineStr"/>
      <c r="I1715" t="inlineStr">
        <is>
          <t>M3</t>
        </is>
      </c>
      <c r="J1715" t="inlineStr"/>
      <c r="K1715" t="inlineStr">
        <is>
          <t>20190426</t>
        </is>
      </c>
      <c r="L1715" t="inlineStr">
        <is>
          <t>20250127</t>
        </is>
      </c>
    </row>
    <row r="1716">
      <c r="A1716" t="inlineStr">
        <is>
          <t>900005214</t>
        </is>
      </c>
      <c r="B1716" t="inlineStr">
        <is>
          <t>D836</t>
        </is>
      </c>
      <c r="C1716" t="inlineStr">
        <is>
          <t>66490957</t>
        </is>
      </c>
      <c r="D1716" t="inlineStr">
        <is>
          <t>10000627</t>
        </is>
      </c>
      <c r="E1716" t="inlineStr"/>
      <c r="F1716" s="11" t="n">
        <v>84.09</v>
      </c>
      <c r="G1716" t="inlineStr"/>
      <c r="I1716" t="inlineStr">
        <is>
          <t>M3</t>
        </is>
      </c>
      <c r="J1716" t="inlineStr"/>
      <c r="K1716" t="inlineStr">
        <is>
          <t>20190426</t>
        </is>
      </c>
      <c r="L1716" t="inlineStr">
        <is>
          <t>20250127</t>
        </is>
      </c>
    </row>
    <row r="1717">
      <c r="A1717" t="inlineStr">
        <is>
          <t>900005259</t>
        </is>
      </c>
      <c r="B1717" t="inlineStr">
        <is>
          <t>D836</t>
        </is>
      </c>
      <c r="C1717" t="inlineStr">
        <is>
          <t>65924415</t>
        </is>
      </c>
      <c r="D1717" t="inlineStr">
        <is>
          <t>10000623</t>
        </is>
      </c>
      <c r="E1717" t="inlineStr"/>
      <c r="F1717" s="11" t="n">
        <v>142</v>
      </c>
      <c r="G1717" t="inlineStr"/>
      <c r="I1717" t="inlineStr">
        <is>
          <t>M3</t>
        </is>
      </c>
      <c r="J1717" t="inlineStr"/>
      <c r="K1717" t="inlineStr">
        <is>
          <t>20190426</t>
        </is>
      </c>
      <c r="L1717" t="inlineStr">
        <is>
          <t>20250127</t>
        </is>
      </c>
    </row>
    <row r="1718">
      <c r="A1718" t="inlineStr">
        <is>
          <t>900005259</t>
        </is>
      </c>
      <c r="B1718" t="inlineStr">
        <is>
          <t>D836</t>
        </is>
      </c>
      <c r="C1718" t="inlineStr">
        <is>
          <t>65965410</t>
        </is>
      </c>
      <c r="D1718" t="inlineStr">
        <is>
          <t>10000623</t>
        </is>
      </c>
      <c r="E1718" t="inlineStr"/>
      <c r="F1718" s="11" t="n">
        <v>142</v>
      </c>
      <c r="G1718" t="inlineStr"/>
      <c r="I1718" t="inlineStr">
        <is>
          <t>M3</t>
        </is>
      </c>
      <c r="J1718" t="inlineStr"/>
      <c r="K1718" t="inlineStr">
        <is>
          <t>20190426</t>
        </is>
      </c>
      <c r="L1718" t="inlineStr">
        <is>
          <t>20250127</t>
        </is>
      </c>
    </row>
    <row r="1719">
      <c r="A1719" t="inlineStr">
        <is>
          <t>900005259</t>
        </is>
      </c>
      <c r="B1719" t="inlineStr">
        <is>
          <t>D836</t>
        </is>
      </c>
      <c r="C1719" t="inlineStr">
        <is>
          <t>66239561</t>
        </is>
      </c>
      <c r="D1719" t="inlineStr">
        <is>
          <t>10000623</t>
        </is>
      </c>
      <c r="E1719" t="inlineStr"/>
      <c r="F1719" s="11" t="n">
        <v>136.84</v>
      </c>
      <c r="G1719" t="inlineStr"/>
      <c r="I1719" t="inlineStr">
        <is>
          <t>M3</t>
        </is>
      </c>
      <c r="J1719" t="inlineStr"/>
      <c r="K1719" t="inlineStr">
        <is>
          <t>20190426</t>
        </is>
      </c>
      <c r="L1719" t="inlineStr">
        <is>
          <t>20250127</t>
        </is>
      </c>
    </row>
    <row r="1720">
      <c r="A1720" t="inlineStr">
        <is>
          <t>900005259</t>
        </is>
      </c>
      <c r="B1720" t="inlineStr">
        <is>
          <t>D836</t>
        </is>
      </c>
      <c r="C1720" t="inlineStr">
        <is>
          <t>66239617</t>
        </is>
      </c>
      <c r="D1720" t="inlineStr">
        <is>
          <t>10000623</t>
        </is>
      </c>
      <c r="E1720" t="inlineStr"/>
      <c r="F1720" s="11" t="n">
        <v>136.84</v>
      </c>
      <c r="G1720" t="inlineStr"/>
      <c r="I1720" t="inlineStr">
        <is>
          <t>M3</t>
        </is>
      </c>
      <c r="J1720" t="inlineStr"/>
      <c r="K1720" t="inlineStr">
        <is>
          <t>20190426</t>
        </is>
      </c>
      <c r="L1720" t="inlineStr">
        <is>
          <t>20250127</t>
        </is>
      </c>
    </row>
    <row r="1721">
      <c r="A1721" t="inlineStr">
        <is>
          <t>900005259</t>
        </is>
      </c>
      <c r="B1721" t="inlineStr">
        <is>
          <t>D836</t>
        </is>
      </c>
      <c r="C1721" t="inlineStr">
        <is>
          <t>66239628</t>
        </is>
      </c>
      <c r="D1721" t="inlineStr">
        <is>
          <t>10000623</t>
        </is>
      </c>
      <c r="E1721" t="inlineStr"/>
      <c r="F1721" s="11" t="n">
        <v>136.84</v>
      </c>
      <c r="G1721" t="inlineStr"/>
      <c r="I1721" t="inlineStr">
        <is>
          <t>M3</t>
        </is>
      </c>
      <c r="J1721" t="inlineStr"/>
      <c r="K1721" t="inlineStr">
        <is>
          <t>20190426</t>
        </is>
      </c>
      <c r="L1721" t="inlineStr">
        <is>
          <t>20250127</t>
        </is>
      </c>
    </row>
    <row r="1722">
      <c r="A1722" t="inlineStr">
        <is>
          <t>900005259</t>
        </is>
      </c>
      <c r="B1722" t="inlineStr">
        <is>
          <t>D836</t>
        </is>
      </c>
      <c r="C1722" t="inlineStr">
        <is>
          <t>66289413</t>
        </is>
      </c>
      <c r="D1722" t="inlineStr">
        <is>
          <t>10000623</t>
        </is>
      </c>
      <c r="E1722" t="inlineStr"/>
      <c r="F1722" s="11" t="n">
        <v>136.84</v>
      </c>
      <c r="G1722" t="inlineStr"/>
      <c r="I1722" t="inlineStr">
        <is>
          <t>M3</t>
        </is>
      </c>
      <c r="J1722" t="inlineStr"/>
      <c r="K1722" t="inlineStr">
        <is>
          <t>20190426</t>
        </is>
      </c>
      <c r="L1722" t="inlineStr">
        <is>
          <t>20250127</t>
        </is>
      </c>
    </row>
    <row r="1723">
      <c r="A1723" t="inlineStr">
        <is>
          <t>900005259</t>
        </is>
      </c>
      <c r="B1723" t="inlineStr">
        <is>
          <t>D836</t>
        </is>
      </c>
      <c r="C1723" t="inlineStr">
        <is>
          <t>66308834</t>
        </is>
      </c>
      <c r="D1723" t="inlineStr">
        <is>
          <t>10000623</t>
        </is>
      </c>
      <c r="E1723" t="inlineStr"/>
      <c r="F1723" s="11" t="n">
        <v>142</v>
      </c>
      <c r="G1723" t="inlineStr"/>
      <c r="I1723" t="inlineStr">
        <is>
          <t>M3</t>
        </is>
      </c>
      <c r="J1723" t="inlineStr"/>
      <c r="K1723" t="inlineStr">
        <is>
          <t>20190426</t>
        </is>
      </c>
      <c r="L1723" t="inlineStr">
        <is>
          <t>20250127</t>
        </is>
      </c>
    </row>
    <row r="1724">
      <c r="A1724" t="inlineStr">
        <is>
          <t>900005259</t>
        </is>
      </c>
      <c r="B1724" t="inlineStr">
        <is>
          <t>D836</t>
        </is>
      </c>
      <c r="C1724" t="inlineStr">
        <is>
          <t>66416982</t>
        </is>
      </c>
      <c r="D1724" t="inlineStr">
        <is>
          <t>10139280</t>
        </is>
      </c>
      <c r="E1724" t="inlineStr"/>
      <c r="F1724" s="11" t="n">
        <v>35.5</v>
      </c>
      <c r="G1724" t="inlineStr"/>
      <c r="I1724" t="inlineStr">
        <is>
          <t>M3</t>
        </is>
      </c>
      <c r="J1724" t="inlineStr"/>
      <c r="K1724" t="inlineStr">
        <is>
          <t>20190426</t>
        </is>
      </c>
      <c r="L1724" t="inlineStr">
        <is>
          <t>20250127</t>
        </is>
      </c>
    </row>
    <row r="1725">
      <c r="A1725" t="inlineStr">
        <is>
          <t>900005259</t>
        </is>
      </c>
      <c r="B1725" t="inlineStr">
        <is>
          <t>D836</t>
        </is>
      </c>
      <c r="C1725" t="inlineStr">
        <is>
          <t>66416982</t>
        </is>
      </c>
      <c r="D1725" t="inlineStr">
        <is>
          <t>10139735</t>
        </is>
      </c>
      <c r="E1725" t="inlineStr"/>
      <c r="F1725" s="11" t="n">
        <v>20</v>
      </c>
      <c r="G1725" t="inlineStr"/>
      <c r="I1725" t="inlineStr">
        <is>
          <t>M3</t>
        </is>
      </c>
      <c r="J1725" t="inlineStr"/>
      <c r="K1725" t="inlineStr">
        <is>
          <t>20190426</t>
        </is>
      </c>
      <c r="L1725" t="inlineStr">
        <is>
          <t>20250127</t>
        </is>
      </c>
    </row>
    <row r="1726">
      <c r="A1726" t="inlineStr">
        <is>
          <t>900005259</t>
        </is>
      </c>
      <c r="B1726" t="inlineStr">
        <is>
          <t>D836</t>
        </is>
      </c>
      <c r="C1726" t="inlineStr">
        <is>
          <t>66427831</t>
        </is>
      </c>
      <c r="D1726" t="inlineStr">
        <is>
          <t>10139735</t>
        </is>
      </c>
      <c r="E1726" t="inlineStr"/>
      <c r="F1726" s="11" t="n">
        <v>20</v>
      </c>
      <c r="G1726" t="inlineStr"/>
      <c r="I1726" t="inlineStr">
        <is>
          <t>M3</t>
        </is>
      </c>
      <c r="J1726" t="inlineStr"/>
      <c r="K1726" t="inlineStr">
        <is>
          <t>20190426</t>
        </is>
      </c>
      <c r="L1726" t="inlineStr">
        <is>
          <t>20250127</t>
        </is>
      </c>
    </row>
    <row r="1727">
      <c r="A1727" t="inlineStr">
        <is>
          <t>900005259</t>
        </is>
      </c>
      <c r="B1727" t="inlineStr">
        <is>
          <t>D836</t>
        </is>
      </c>
      <c r="C1727" t="inlineStr">
        <is>
          <t>66427831</t>
        </is>
      </c>
      <c r="D1727" t="inlineStr">
        <is>
          <t>10143808</t>
        </is>
      </c>
      <c r="E1727" t="inlineStr"/>
      <c r="F1727" s="11" t="n">
        <v>62</v>
      </c>
      <c r="G1727" t="inlineStr"/>
      <c r="I1727" t="inlineStr">
        <is>
          <t>M3</t>
        </is>
      </c>
      <c r="J1727" t="inlineStr"/>
      <c r="K1727" t="inlineStr">
        <is>
          <t>20190426</t>
        </is>
      </c>
      <c r="L1727" t="inlineStr">
        <is>
          <t>20250127</t>
        </is>
      </c>
    </row>
    <row r="1728">
      <c r="A1728" t="inlineStr">
        <is>
          <t>900005259</t>
        </is>
      </c>
      <c r="B1728" t="inlineStr">
        <is>
          <t>D836</t>
        </is>
      </c>
      <c r="C1728" t="inlineStr">
        <is>
          <t>66441732</t>
        </is>
      </c>
      <c r="D1728" t="inlineStr">
        <is>
          <t>10139280</t>
        </is>
      </c>
      <c r="E1728" t="inlineStr"/>
      <c r="F1728" s="11" t="n">
        <v>35.5</v>
      </c>
      <c r="G1728" t="inlineStr"/>
      <c r="I1728" t="inlineStr">
        <is>
          <t>M3</t>
        </is>
      </c>
      <c r="J1728" t="inlineStr"/>
      <c r="K1728" t="inlineStr">
        <is>
          <t>20190426</t>
        </is>
      </c>
      <c r="L1728" t="inlineStr">
        <is>
          <t>20250127</t>
        </is>
      </c>
    </row>
    <row r="1729">
      <c r="A1729" t="inlineStr">
        <is>
          <t>900005259</t>
        </is>
      </c>
      <c r="B1729" t="inlineStr">
        <is>
          <t>D836</t>
        </is>
      </c>
      <c r="C1729" t="inlineStr">
        <is>
          <t>66441732</t>
        </is>
      </c>
      <c r="D1729" t="inlineStr">
        <is>
          <t>10139735</t>
        </is>
      </c>
      <c r="E1729" t="inlineStr"/>
      <c r="F1729" s="11" t="n">
        <v>20</v>
      </c>
      <c r="G1729" t="inlineStr"/>
      <c r="I1729" t="inlineStr">
        <is>
          <t>M3</t>
        </is>
      </c>
      <c r="J1729" t="inlineStr"/>
      <c r="K1729" t="inlineStr">
        <is>
          <t>20190426</t>
        </is>
      </c>
      <c r="L1729" t="inlineStr">
        <is>
          <t>20250127</t>
        </is>
      </c>
    </row>
    <row r="1730">
      <c r="A1730" t="inlineStr">
        <is>
          <t>900005259</t>
        </is>
      </c>
      <c r="B1730" t="inlineStr">
        <is>
          <t>D836</t>
        </is>
      </c>
      <c r="C1730" t="inlineStr">
        <is>
          <t>66447492</t>
        </is>
      </c>
      <c r="D1730" t="inlineStr">
        <is>
          <t>10000623</t>
        </is>
      </c>
      <c r="E1730" t="inlineStr"/>
      <c r="F1730" s="11" t="n">
        <v>142</v>
      </c>
      <c r="G1730" t="inlineStr"/>
      <c r="I1730" t="inlineStr">
        <is>
          <t>M3</t>
        </is>
      </c>
      <c r="J1730" t="inlineStr"/>
      <c r="K1730" t="inlineStr">
        <is>
          <t>20190426</t>
        </is>
      </c>
      <c r="L1730" t="inlineStr">
        <is>
          <t>20250127</t>
        </is>
      </c>
    </row>
    <row r="1731">
      <c r="A1731" t="inlineStr">
        <is>
          <t>900005259</t>
        </is>
      </c>
      <c r="B1731" t="inlineStr">
        <is>
          <t>D836</t>
        </is>
      </c>
      <c r="C1731" t="inlineStr">
        <is>
          <t>66458217</t>
        </is>
      </c>
      <c r="D1731" t="inlineStr">
        <is>
          <t>10143808</t>
        </is>
      </c>
      <c r="E1731" t="inlineStr"/>
      <c r="F1731" s="11" t="n">
        <v>62</v>
      </c>
      <c r="G1731" t="inlineStr"/>
      <c r="I1731" t="inlineStr">
        <is>
          <t>M3</t>
        </is>
      </c>
      <c r="J1731" t="inlineStr"/>
      <c r="K1731" t="inlineStr">
        <is>
          <t>20190426</t>
        </is>
      </c>
      <c r="L1731" t="inlineStr">
        <is>
          <t>20250127</t>
        </is>
      </c>
    </row>
    <row r="1732">
      <c r="A1732" t="inlineStr">
        <is>
          <t>900005259</t>
        </is>
      </c>
      <c r="B1732" t="inlineStr">
        <is>
          <t>D836</t>
        </is>
      </c>
      <c r="C1732" t="inlineStr">
        <is>
          <t>66463835</t>
        </is>
      </c>
      <c r="D1732" t="inlineStr">
        <is>
          <t>10000623</t>
        </is>
      </c>
      <c r="E1732" t="inlineStr"/>
      <c r="F1732" s="11" t="n">
        <v>142</v>
      </c>
      <c r="G1732" t="inlineStr"/>
      <c r="I1732" t="inlineStr">
        <is>
          <t>M3</t>
        </is>
      </c>
      <c r="J1732" t="inlineStr"/>
      <c r="K1732" t="inlineStr">
        <is>
          <t>20190426</t>
        </is>
      </c>
      <c r="L1732" t="inlineStr">
        <is>
          <t>20250127</t>
        </is>
      </c>
    </row>
    <row r="1733">
      <c r="A1733" t="inlineStr">
        <is>
          <t>900005259</t>
        </is>
      </c>
      <c r="B1733" t="inlineStr">
        <is>
          <t>D836</t>
        </is>
      </c>
      <c r="C1733" t="inlineStr">
        <is>
          <t>66552845</t>
        </is>
      </c>
      <c r="D1733" t="inlineStr">
        <is>
          <t>10000623</t>
        </is>
      </c>
      <c r="E1733" t="inlineStr"/>
      <c r="F1733" s="11" t="n">
        <v>145</v>
      </c>
      <c r="G1733" t="inlineStr"/>
      <c r="I1733" t="inlineStr">
        <is>
          <t>M3</t>
        </is>
      </c>
      <c r="J1733" t="inlineStr"/>
      <c r="K1733" t="inlineStr">
        <is>
          <t>20190426</t>
        </is>
      </c>
      <c r="L1733" t="inlineStr">
        <is>
          <t>20250127</t>
        </is>
      </c>
    </row>
    <row r="1734">
      <c r="A1734" t="inlineStr">
        <is>
          <t>900005259</t>
        </is>
      </c>
      <c r="B1734" t="inlineStr">
        <is>
          <t>D836</t>
        </is>
      </c>
      <c r="C1734" t="inlineStr">
        <is>
          <t>66556060</t>
        </is>
      </c>
      <c r="D1734" t="inlineStr">
        <is>
          <t>10000623</t>
        </is>
      </c>
      <c r="E1734" t="inlineStr"/>
      <c r="F1734" s="11" t="n">
        <v>191.24</v>
      </c>
      <c r="G1734" t="inlineStr"/>
      <c r="I1734" t="inlineStr">
        <is>
          <t>M3</t>
        </is>
      </c>
      <c r="J1734" t="inlineStr"/>
      <c r="K1734" t="inlineStr">
        <is>
          <t>20190426</t>
        </is>
      </c>
      <c r="L1734" t="inlineStr">
        <is>
          <t>20250127</t>
        </is>
      </c>
    </row>
    <row r="1735">
      <c r="A1735" t="inlineStr">
        <is>
          <t>900005284</t>
        </is>
      </c>
      <c r="B1735" t="inlineStr">
        <is>
          <t>D836</t>
        </is>
      </c>
      <c r="C1735" t="inlineStr">
        <is>
          <t>66422539</t>
        </is>
      </c>
      <c r="D1735" t="inlineStr">
        <is>
          <t>10143807</t>
        </is>
      </c>
      <c r="E1735" t="inlineStr"/>
      <c r="F1735" s="11" t="n">
        <v>435</v>
      </c>
      <c r="G1735" t="inlineStr"/>
      <c r="I1735" t="inlineStr">
        <is>
          <t>TN</t>
        </is>
      </c>
      <c r="J1735" t="inlineStr"/>
      <c r="K1735" t="inlineStr">
        <is>
          <t>20190426</t>
        </is>
      </c>
      <c r="L1735" t="inlineStr">
        <is>
          <t>20250127</t>
        </is>
      </c>
    </row>
    <row r="1736">
      <c r="A1736" t="inlineStr">
        <is>
          <t>900005286</t>
        </is>
      </c>
      <c r="B1736" t="inlineStr">
        <is>
          <t>D836</t>
        </is>
      </c>
      <c r="C1736" t="inlineStr">
        <is>
          <t>65003945</t>
        </is>
      </c>
      <c r="D1736" t="inlineStr">
        <is>
          <t>10000647</t>
        </is>
      </c>
      <c r="E1736" t="inlineStr"/>
      <c r="F1736" s="11" t="n">
        <v>73</v>
      </c>
      <c r="G1736" t="inlineStr"/>
      <c r="I1736" t="inlineStr">
        <is>
          <t>M3</t>
        </is>
      </c>
      <c r="J1736" t="inlineStr"/>
      <c r="K1736" t="inlineStr">
        <is>
          <t>20190426</t>
        </is>
      </c>
      <c r="L1736" t="inlineStr">
        <is>
          <t>20250127</t>
        </is>
      </c>
    </row>
    <row r="1737">
      <c r="A1737" t="inlineStr">
        <is>
          <t>900005286</t>
        </is>
      </c>
      <c r="B1737" t="inlineStr">
        <is>
          <t>D836</t>
        </is>
      </c>
      <c r="C1737" t="inlineStr">
        <is>
          <t>65030275</t>
        </is>
      </c>
      <c r="D1737" t="inlineStr">
        <is>
          <t>10000647</t>
        </is>
      </c>
      <c r="E1737" t="inlineStr"/>
      <c r="F1737" s="11" t="n">
        <v>80</v>
      </c>
      <c r="G1737" t="inlineStr"/>
      <c r="I1737" t="inlineStr">
        <is>
          <t>M3</t>
        </is>
      </c>
      <c r="J1737" t="inlineStr"/>
      <c r="K1737" t="inlineStr">
        <is>
          <t>20190426</t>
        </is>
      </c>
      <c r="L1737" t="inlineStr">
        <is>
          <t>20250127</t>
        </is>
      </c>
    </row>
    <row r="1738">
      <c r="A1738" t="inlineStr">
        <is>
          <t>900005286</t>
        </is>
      </c>
      <c r="B1738" t="inlineStr">
        <is>
          <t>D836</t>
        </is>
      </c>
      <c r="C1738" t="inlineStr">
        <is>
          <t>65037523</t>
        </is>
      </c>
      <c r="D1738" t="inlineStr">
        <is>
          <t>10000647</t>
        </is>
      </c>
      <c r="E1738" t="inlineStr"/>
      <c r="F1738" s="11" t="n">
        <v>80</v>
      </c>
      <c r="G1738" t="inlineStr"/>
      <c r="I1738" t="inlineStr">
        <is>
          <t>M3</t>
        </is>
      </c>
      <c r="J1738" t="inlineStr"/>
      <c r="K1738" t="inlineStr">
        <is>
          <t>20190426</t>
        </is>
      </c>
      <c r="L1738" t="inlineStr">
        <is>
          <t>20250127</t>
        </is>
      </c>
    </row>
    <row r="1739">
      <c r="A1739" t="inlineStr">
        <is>
          <t>900005286</t>
        </is>
      </c>
      <c r="B1739" t="inlineStr">
        <is>
          <t>D836</t>
        </is>
      </c>
      <c r="C1739" t="inlineStr">
        <is>
          <t>65370785</t>
        </is>
      </c>
      <c r="D1739" t="inlineStr">
        <is>
          <t>10000647</t>
        </is>
      </c>
      <c r="E1739" t="inlineStr"/>
      <c r="F1739" s="11" t="n">
        <v>75</v>
      </c>
      <c r="G1739" t="inlineStr"/>
      <c r="I1739" t="inlineStr">
        <is>
          <t>M3</t>
        </is>
      </c>
      <c r="J1739" t="inlineStr"/>
      <c r="K1739" t="inlineStr">
        <is>
          <t>20190426</t>
        </is>
      </c>
      <c r="L1739" t="inlineStr">
        <is>
          <t>20250127</t>
        </is>
      </c>
    </row>
    <row r="1740">
      <c r="A1740" t="inlineStr">
        <is>
          <t>900005286</t>
        </is>
      </c>
      <c r="B1740" t="inlineStr">
        <is>
          <t>D836</t>
        </is>
      </c>
      <c r="C1740" t="inlineStr">
        <is>
          <t>65706147</t>
        </is>
      </c>
      <c r="D1740" t="inlineStr">
        <is>
          <t>10000357</t>
        </is>
      </c>
      <c r="E1740" t="inlineStr"/>
      <c r="F1740" s="11" t="n">
        <v>88</v>
      </c>
      <c r="G1740" t="inlineStr"/>
      <c r="I1740" t="inlineStr">
        <is>
          <t>M3</t>
        </is>
      </c>
      <c r="J1740" t="inlineStr"/>
      <c r="K1740" t="inlineStr">
        <is>
          <t>20190426</t>
        </is>
      </c>
      <c r="L1740" t="inlineStr">
        <is>
          <t>20250127</t>
        </is>
      </c>
    </row>
    <row r="1741">
      <c r="A1741" t="inlineStr">
        <is>
          <t>900005286</t>
        </is>
      </c>
      <c r="B1741" t="inlineStr">
        <is>
          <t>D836</t>
        </is>
      </c>
      <c r="C1741" t="inlineStr">
        <is>
          <t>65706147</t>
        </is>
      </c>
      <c r="D1741" t="inlineStr">
        <is>
          <t>10000647</t>
        </is>
      </c>
      <c r="E1741" t="inlineStr"/>
      <c r="F1741" s="11" t="n">
        <v>75</v>
      </c>
      <c r="G1741" t="inlineStr"/>
      <c r="I1741" t="inlineStr">
        <is>
          <t>M3</t>
        </is>
      </c>
      <c r="J1741" t="inlineStr"/>
      <c r="K1741" t="inlineStr">
        <is>
          <t>20190426</t>
        </is>
      </c>
      <c r="L1741" t="inlineStr">
        <is>
          <t>20250127</t>
        </is>
      </c>
    </row>
    <row r="1742">
      <c r="A1742" t="inlineStr">
        <is>
          <t>900005286</t>
        </is>
      </c>
      <c r="B1742" t="inlineStr">
        <is>
          <t>D836</t>
        </is>
      </c>
      <c r="C1742" t="inlineStr">
        <is>
          <t>66239560</t>
        </is>
      </c>
      <c r="D1742" t="inlineStr">
        <is>
          <t>10000647</t>
        </is>
      </c>
      <c r="E1742" t="inlineStr"/>
      <c r="F1742" s="11" t="n">
        <v>83</v>
      </c>
      <c r="G1742" t="inlineStr"/>
      <c r="I1742" t="inlineStr">
        <is>
          <t>M3</t>
        </is>
      </c>
      <c r="J1742" t="inlineStr"/>
      <c r="K1742" t="inlineStr">
        <is>
          <t>20190426</t>
        </is>
      </c>
      <c r="L1742" t="inlineStr">
        <is>
          <t>20250127</t>
        </is>
      </c>
    </row>
    <row r="1743">
      <c r="A1743" t="inlineStr">
        <is>
          <t>900005286</t>
        </is>
      </c>
      <c r="B1743" t="inlineStr">
        <is>
          <t>D836</t>
        </is>
      </c>
      <c r="C1743" t="inlineStr">
        <is>
          <t>66239561</t>
        </is>
      </c>
      <c r="D1743" t="inlineStr">
        <is>
          <t>10000647</t>
        </is>
      </c>
      <c r="E1743" t="inlineStr"/>
      <c r="F1743" s="11" t="n">
        <v>83</v>
      </c>
      <c r="G1743" t="inlineStr"/>
      <c r="I1743" t="inlineStr">
        <is>
          <t>M3</t>
        </is>
      </c>
      <c r="J1743" t="inlineStr"/>
      <c r="K1743" t="inlineStr">
        <is>
          <t>20190426</t>
        </is>
      </c>
      <c r="L1743" t="inlineStr">
        <is>
          <t>20250127</t>
        </is>
      </c>
    </row>
    <row r="1744">
      <c r="A1744" t="inlineStr">
        <is>
          <t>900005286</t>
        </is>
      </c>
      <c r="B1744" t="inlineStr">
        <is>
          <t>D836</t>
        </is>
      </c>
      <c r="C1744" t="inlineStr">
        <is>
          <t>66239598</t>
        </is>
      </c>
      <c r="D1744" t="inlineStr">
        <is>
          <t>10000647</t>
        </is>
      </c>
      <c r="E1744" t="inlineStr"/>
      <c r="F1744" s="11" t="n">
        <v>83</v>
      </c>
      <c r="G1744" t="inlineStr"/>
      <c r="I1744" t="inlineStr">
        <is>
          <t>M3</t>
        </is>
      </c>
      <c r="J1744" t="inlineStr"/>
      <c r="K1744" t="inlineStr">
        <is>
          <t>20190426</t>
        </is>
      </c>
      <c r="L1744" t="inlineStr">
        <is>
          <t>20250127</t>
        </is>
      </c>
    </row>
    <row r="1745">
      <c r="A1745" t="inlineStr">
        <is>
          <t>900005286</t>
        </is>
      </c>
      <c r="B1745" t="inlineStr">
        <is>
          <t>D836</t>
        </is>
      </c>
      <c r="C1745" t="inlineStr">
        <is>
          <t>66239599</t>
        </is>
      </c>
      <c r="D1745" t="inlineStr">
        <is>
          <t>10000647</t>
        </is>
      </c>
      <c r="E1745" t="inlineStr"/>
      <c r="F1745" s="11" t="n">
        <v>83</v>
      </c>
      <c r="G1745" t="inlineStr"/>
      <c r="I1745" t="inlineStr">
        <is>
          <t>M3</t>
        </is>
      </c>
      <c r="J1745" t="inlineStr"/>
      <c r="K1745" t="inlineStr">
        <is>
          <t>20190426</t>
        </is>
      </c>
      <c r="L1745" t="inlineStr">
        <is>
          <t>20250127</t>
        </is>
      </c>
    </row>
    <row r="1746">
      <c r="A1746" t="inlineStr">
        <is>
          <t>900005286</t>
        </is>
      </c>
      <c r="B1746" t="inlineStr">
        <is>
          <t>D836</t>
        </is>
      </c>
      <c r="C1746" t="inlineStr">
        <is>
          <t>66239600</t>
        </is>
      </c>
      <c r="D1746" t="inlineStr">
        <is>
          <t>10000647</t>
        </is>
      </c>
      <c r="E1746" t="inlineStr"/>
      <c r="F1746" s="11" t="n">
        <v>83</v>
      </c>
      <c r="G1746" t="inlineStr"/>
      <c r="I1746" t="inlineStr">
        <is>
          <t>M3</t>
        </is>
      </c>
      <c r="J1746" t="inlineStr"/>
      <c r="K1746" t="inlineStr">
        <is>
          <t>20190426</t>
        </is>
      </c>
      <c r="L1746" t="inlineStr">
        <is>
          <t>20250127</t>
        </is>
      </c>
    </row>
    <row r="1747">
      <c r="A1747" t="inlineStr">
        <is>
          <t>900005286</t>
        </is>
      </c>
      <c r="B1747" t="inlineStr">
        <is>
          <t>D836</t>
        </is>
      </c>
      <c r="C1747" t="inlineStr">
        <is>
          <t>66239601</t>
        </is>
      </c>
      <c r="D1747" t="inlineStr">
        <is>
          <t>10000647</t>
        </is>
      </c>
      <c r="E1747" t="inlineStr"/>
      <c r="F1747" s="11" t="n">
        <v>83</v>
      </c>
      <c r="G1747" t="inlineStr"/>
      <c r="I1747" t="inlineStr">
        <is>
          <t>M3</t>
        </is>
      </c>
      <c r="J1747" t="inlineStr"/>
      <c r="K1747" t="inlineStr">
        <is>
          <t>20190426</t>
        </is>
      </c>
      <c r="L1747" t="inlineStr">
        <is>
          <t>20250127</t>
        </is>
      </c>
    </row>
    <row r="1748">
      <c r="A1748" t="inlineStr">
        <is>
          <t>900005286</t>
        </is>
      </c>
      <c r="B1748" t="inlineStr">
        <is>
          <t>D836</t>
        </is>
      </c>
      <c r="C1748" t="inlineStr">
        <is>
          <t>66239617</t>
        </is>
      </c>
      <c r="D1748" t="inlineStr">
        <is>
          <t>10000647</t>
        </is>
      </c>
      <c r="E1748" t="inlineStr"/>
      <c r="F1748" s="11" t="n">
        <v>83</v>
      </c>
      <c r="G1748" t="inlineStr"/>
      <c r="I1748" t="inlineStr">
        <is>
          <t>M3</t>
        </is>
      </c>
      <c r="J1748" t="inlineStr"/>
      <c r="K1748" t="inlineStr">
        <is>
          <t>20190426</t>
        </is>
      </c>
      <c r="L1748" t="inlineStr">
        <is>
          <t>20250127</t>
        </is>
      </c>
    </row>
    <row r="1749">
      <c r="A1749" t="inlineStr">
        <is>
          <t>900005286</t>
        </is>
      </c>
      <c r="B1749" t="inlineStr">
        <is>
          <t>D836</t>
        </is>
      </c>
      <c r="C1749" t="inlineStr">
        <is>
          <t>66239621</t>
        </is>
      </c>
      <c r="D1749" t="inlineStr">
        <is>
          <t>10000647</t>
        </is>
      </c>
      <c r="E1749" t="inlineStr"/>
      <c r="F1749" s="11" t="n">
        <v>83</v>
      </c>
      <c r="G1749" t="inlineStr"/>
      <c r="I1749" t="inlineStr">
        <is>
          <t>M3</t>
        </is>
      </c>
      <c r="J1749" t="inlineStr"/>
      <c r="K1749" t="inlineStr">
        <is>
          <t>20190426</t>
        </is>
      </c>
      <c r="L1749" t="inlineStr">
        <is>
          <t>20250127</t>
        </is>
      </c>
    </row>
    <row r="1750">
      <c r="A1750" t="inlineStr">
        <is>
          <t>900005286</t>
        </is>
      </c>
      <c r="B1750" t="inlineStr">
        <is>
          <t>D836</t>
        </is>
      </c>
      <c r="C1750" t="inlineStr">
        <is>
          <t>66239627</t>
        </is>
      </c>
      <c r="D1750" t="inlineStr">
        <is>
          <t>10000647</t>
        </is>
      </c>
      <c r="E1750" t="inlineStr"/>
      <c r="F1750" s="11" t="n">
        <v>83</v>
      </c>
      <c r="G1750" t="inlineStr"/>
      <c r="I1750" t="inlineStr">
        <is>
          <t>M3</t>
        </is>
      </c>
      <c r="J1750" t="inlineStr"/>
      <c r="K1750" t="inlineStr">
        <is>
          <t>20190426</t>
        </is>
      </c>
      <c r="L1750" t="inlineStr">
        <is>
          <t>20250127</t>
        </is>
      </c>
    </row>
    <row r="1751">
      <c r="A1751" t="inlineStr">
        <is>
          <t>900005286</t>
        </is>
      </c>
      <c r="B1751" t="inlineStr">
        <is>
          <t>D836</t>
        </is>
      </c>
      <c r="C1751" t="inlineStr">
        <is>
          <t>66239628</t>
        </is>
      </c>
      <c r="D1751" t="inlineStr">
        <is>
          <t>10000647</t>
        </is>
      </c>
      <c r="E1751" t="inlineStr"/>
      <c r="F1751" s="11" t="n">
        <v>83</v>
      </c>
      <c r="G1751" t="inlineStr"/>
      <c r="I1751" t="inlineStr">
        <is>
          <t>M3</t>
        </is>
      </c>
      <c r="J1751" t="inlineStr"/>
      <c r="K1751" t="inlineStr">
        <is>
          <t>20190426</t>
        </is>
      </c>
      <c r="L1751" t="inlineStr">
        <is>
          <t>20250127</t>
        </is>
      </c>
    </row>
    <row r="1752">
      <c r="A1752" t="inlineStr">
        <is>
          <t>900005286</t>
        </is>
      </c>
      <c r="B1752" t="inlineStr">
        <is>
          <t>D836</t>
        </is>
      </c>
      <c r="C1752" t="inlineStr">
        <is>
          <t>66260760</t>
        </is>
      </c>
      <c r="D1752" t="inlineStr">
        <is>
          <t>10000647</t>
        </is>
      </c>
      <c r="E1752" t="inlineStr"/>
      <c r="F1752" s="11" t="n">
        <v>76</v>
      </c>
      <c r="G1752" t="inlineStr"/>
      <c r="I1752" t="inlineStr">
        <is>
          <t>M3</t>
        </is>
      </c>
      <c r="J1752" t="inlineStr"/>
      <c r="K1752" t="inlineStr">
        <is>
          <t>20190426</t>
        </is>
      </c>
      <c r="L1752" t="inlineStr">
        <is>
          <t>20250127</t>
        </is>
      </c>
    </row>
    <row r="1753">
      <c r="A1753" t="inlineStr">
        <is>
          <t>900005286</t>
        </is>
      </c>
      <c r="B1753" t="inlineStr">
        <is>
          <t>D836</t>
        </is>
      </c>
      <c r="C1753" t="inlineStr">
        <is>
          <t>66265943</t>
        </is>
      </c>
      <c r="D1753" t="inlineStr">
        <is>
          <t>10000625</t>
        </is>
      </c>
      <c r="E1753" t="inlineStr"/>
      <c r="F1753" s="11" t="n">
        <v>82</v>
      </c>
      <c r="G1753" t="inlineStr"/>
      <c r="I1753" t="inlineStr">
        <is>
          <t>M3</t>
        </is>
      </c>
      <c r="J1753" t="inlineStr"/>
      <c r="K1753" t="inlineStr">
        <is>
          <t>20190426</t>
        </is>
      </c>
      <c r="L1753" t="inlineStr">
        <is>
          <t>20250127</t>
        </is>
      </c>
    </row>
    <row r="1754">
      <c r="A1754" t="inlineStr">
        <is>
          <t>900005286</t>
        </is>
      </c>
      <c r="B1754" t="inlineStr">
        <is>
          <t>D836</t>
        </is>
      </c>
      <c r="C1754" t="inlineStr">
        <is>
          <t>66279408</t>
        </is>
      </c>
      <c r="D1754" t="inlineStr">
        <is>
          <t>10000625</t>
        </is>
      </c>
      <c r="E1754" t="inlineStr"/>
      <c r="F1754" s="11" t="n">
        <v>82</v>
      </c>
      <c r="G1754" t="inlineStr"/>
      <c r="I1754" t="inlineStr">
        <is>
          <t>M3</t>
        </is>
      </c>
      <c r="J1754" t="inlineStr"/>
      <c r="K1754" t="inlineStr">
        <is>
          <t>20190426</t>
        </is>
      </c>
      <c r="L1754" t="inlineStr">
        <is>
          <t>20250127</t>
        </is>
      </c>
    </row>
    <row r="1755">
      <c r="A1755" t="inlineStr">
        <is>
          <t>900005286</t>
        </is>
      </c>
      <c r="B1755" t="inlineStr">
        <is>
          <t>D836</t>
        </is>
      </c>
      <c r="C1755" t="inlineStr">
        <is>
          <t>66289412</t>
        </is>
      </c>
      <c r="D1755" t="inlineStr">
        <is>
          <t>10000647</t>
        </is>
      </c>
      <c r="E1755" t="inlineStr"/>
      <c r="F1755" s="11" t="n">
        <v>83</v>
      </c>
      <c r="G1755" t="inlineStr"/>
      <c r="I1755" t="inlineStr">
        <is>
          <t>M3</t>
        </is>
      </c>
      <c r="J1755" t="inlineStr"/>
      <c r="K1755" t="inlineStr">
        <is>
          <t>20190426</t>
        </is>
      </c>
      <c r="L1755" t="inlineStr">
        <is>
          <t>20250127</t>
        </is>
      </c>
    </row>
    <row r="1756">
      <c r="A1756" t="inlineStr">
        <is>
          <t>900005286</t>
        </is>
      </c>
      <c r="B1756" t="inlineStr">
        <is>
          <t>D836</t>
        </is>
      </c>
      <c r="C1756" t="inlineStr">
        <is>
          <t>66289413</t>
        </is>
      </c>
      <c r="D1756" t="inlineStr">
        <is>
          <t>10000647</t>
        </is>
      </c>
      <c r="E1756" t="inlineStr"/>
      <c r="F1756" s="11" t="n">
        <v>83</v>
      </c>
      <c r="G1756" t="inlineStr"/>
      <c r="I1756" t="inlineStr">
        <is>
          <t>M3</t>
        </is>
      </c>
      <c r="J1756" t="inlineStr"/>
      <c r="K1756" t="inlineStr">
        <is>
          <t>20190426</t>
        </is>
      </c>
      <c r="L1756" t="inlineStr">
        <is>
          <t>20250127</t>
        </is>
      </c>
    </row>
    <row r="1757">
      <c r="A1757" t="inlineStr">
        <is>
          <t>900005286</t>
        </is>
      </c>
      <c r="B1757" t="inlineStr">
        <is>
          <t>D836</t>
        </is>
      </c>
      <c r="C1757" t="inlineStr">
        <is>
          <t>66318366</t>
        </is>
      </c>
      <c r="D1757" t="inlineStr">
        <is>
          <t>10000625</t>
        </is>
      </c>
      <c r="E1757" t="inlineStr"/>
      <c r="F1757" s="11" t="n">
        <v>82</v>
      </c>
      <c r="G1757" t="inlineStr"/>
      <c r="I1757" t="inlineStr">
        <is>
          <t>M3</t>
        </is>
      </c>
      <c r="J1757" t="inlineStr"/>
      <c r="K1757" t="inlineStr">
        <is>
          <t>20190426</t>
        </is>
      </c>
      <c r="L1757" t="inlineStr">
        <is>
          <t>20250127</t>
        </is>
      </c>
    </row>
    <row r="1758">
      <c r="A1758" t="inlineStr">
        <is>
          <t>900005286</t>
        </is>
      </c>
      <c r="B1758" t="inlineStr">
        <is>
          <t>D836</t>
        </is>
      </c>
      <c r="C1758" t="inlineStr">
        <is>
          <t>66414377</t>
        </is>
      </c>
      <c r="D1758" t="inlineStr">
        <is>
          <t>10000647</t>
        </is>
      </c>
      <c r="E1758" t="inlineStr"/>
      <c r="F1758" s="11" t="n">
        <v>75</v>
      </c>
      <c r="G1758" t="inlineStr"/>
      <c r="I1758" t="inlineStr">
        <is>
          <t>M3</t>
        </is>
      </c>
      <c r="J1758" t="inlineStr"/>
      <c r="K1758" t="inlineStr">
        <is>
          <t>20190426</t>
        </is>
      </c>
      <c r="L1758" t="inlineStr">
        <is>
          <t>20250127</t>
        </is>
      </c>
    </row>
    <row r="1759">
      <c r="A1759" t="inlineStr">
        <is>
          <t>900005286</t>
        </is>
      </c>
      <c r="B1759" t="inlineStr">
        <is>
          <t>D836</t>
        </is>
      </c>
      <c r="C1759" t="inlineStr">
        <is>
          <t>66416982</t>
        </is>
      </c>
      <c r="D1759" t="inlineStr">
        <is>
          <t>10145811</t>
        </is>
      </c>
      <c r="E1759" t="inlineStr"/>
      <c r="F1759" s="11" t="n">
        <v>70</v>
      </c>
      <c r="G1759" t="inlineStr"/>
      <c r="I1759" t="inlineStr">
        <is>
          <t>M3</t>
        </is>
      </c>
      <c r="J1759" t="inlineStr"/>
      <c r="K1759" t="inlineStr">
        <is>
          <t>20190426</t>
        </is>
      </c>
      <c r="L1759" t="inlineStr">
        <is>
          <t>20250127</t>
        </is>
      </c>
    </row>
    <row r="1760">
      <c r="A1760" t="inlineStr">
        <is>
          <t>900005286</t>
        </is>
      </c>
      <c r="B1760" t="inlineStr">
        <is>
          <t>D836</t>
        </is>
      </c>
      <c r="C1760" t="inlineStr">
        <is>
          <t>66433509</t>
        </is>
      </c>
      <c r="D1760" t="inlineStr">
        <is>
          <t>10000647</t>
        </is>
      </c>
      <c r="E1760" t="inlineStr"/>
      <c r="F1760" s="11" t="n">
        <v>75</v>
      </c>
      <c r="G1760" t="inlineStr"/>
      <c r="I1760" t="inlineStr">
        <is>
          <t>M3</t>
        </is>
      </c>
      <c r="J1760" t="inlineStr"/>
      <c r="K1760" t="inlineStr">
        <is>
          <t>20190426</t>
        </is>
      </c>
      <c r="L1760" t="inlineStr">
        <is>
          <t>20250127</t>
        </is>
      </c>
    </row>
    <row r="1761">
      <c r="A1761" t="inlineStr">
        <is>
          <t>900005286</t>
        </is>
      </c>
      <c r="B1761" t="inlineStr">
        <is>
          <t>D836</t>
        </is>
      </c>
      <c r="C1761" t="inlineStr">
        <is>
          <t>66438172</t>
        </is>
      </c>
      <c r="D1761" t="inlineStr">
        <is>
          <t>10000647</t>
        </is>
      </c>
      <c r="E1761" t="inlineStr"/>
      <c r="F1761" s="11" t="n">
        <v>72</v>
      </c>
      <c r="G1761" t="inlineStr"/>
      <c r="I1761" t="inlineStr">
        <is>
          <t>M3</t>
        </is>
      </c>
      <c r="J1761" t="inlineStr"/>
      <c r="K1761" t="inlineStr">
        <is>
          <t>20190426</t>
        </is>
      </c>
      <c r="L1761" t="inlineStr">
        <is>
          <t>20250127</t>
        </is>
      </c>
    </row>
    <row r="1762">
      <c r="A1762" t="inlineStr">
        <is>
          <t>900005286</t>
        </is>
      </c>
      <c r="B1762" t="inlineStr">
        <is>
          <t>D836</t>
        </is>
      </c>
      <c r="C1762" t="inlineStr">
        <is>
          <t>66446559</t>
        </is>
      </c>
      <c r="D1762" t="inlineStr">
        <is>
          <t>10145811</t>
        </is>
      </c>
      <c r="E1762" t="inlineStr"/>
      <c r="F1762" s="11" t="n">
        <v>70</v>
      </c>
      <c r="G1762" t="inlineStr"/>
      <c r="I1762" t="inlineStr">
        <is>
          <t>M3</t>
        </is>
      </c>
      <c r="J1762" t="inlineStr"/>
      <c r="K1762" t="inlineStr">
        <is>
          <t>20190426</t>
        </is>
      </c>
      <c r="L1762" t="inlineStr">
        <is>
          <t>20250127</t>
        </is>
      </c>
    </row>
    <row r="1763">
      <c r="A1763" t="inlineStr">
        <is>
          <t>900005286</t>
        </is>
      </c>
      <c r="B1763" t="inlineStr">
        <is>
          <t>D836</t>
        </is>
      </c>
      <c r="C1763" t="inlineStr">
        <is>
          <t>66458217</t>
        </is>
      </c>
      <c r="D1763" t="inlineStr">
        <is>
          <t>10145811</t>
        </is>
      </c>
      <c r="E1763" t="inlineStr"/>
      <c r="F1763" s="11" t="n">
        <v>75</v>
      </c>
      <c r="G1763" t="inlineStr"/>
      <c r="I1763" t="inlineStr">
        <is>
          <t>M3</t>
        </is>
      </c>
      <c r="J1763" t="inlineStr"/>
      <c r="K1763" t="inlineStr">
        <is>
          <t>20190426</t>
        </is>
      </c>
      <c r="L1763" t="inlineStr">
        <is>
          <t>20250127</t>
        </is>
      </c>
    </row>
    <row r="1764">
      <c r="A1764" t="inlineStr">
        <is>
          <t>900005286</t>
        </is>
      </c>
      <c r="B1764" t="inlineStr">
        <is>
          <t>D836</t>
        </is>
      </c>
      <c r="C1764" t="inlineStr">
        <is>
          <t>66475158</t>
        </is>
      </c>
      <c r="D1764" t="inlineStr">
        <is>
          <t>10000647</t>
        </is>
      </c>
      <c r="E1764" t="inlineStr"/>
      <c r="F1764" s="11" t="n">
        <v>83</v>
      </c>
      <c r="G1764" t="inlineStr"/>
      <c r="I1764" t="inlineStr">
        <is>
          <t>M3</t>
        </is>
      </c>
      <c r="J1764" t="inlineStr"/>
      <c r="K1764" t="inlineStr">
        <is>
          <t>20190426</t>
        </is>
      </c>
      <c r="L1764" t="inlineStr">
        <is>
          <t>20250127</t>
        </is>
      </c>
    </row>
    <row r="1765">
      <c r="A1765" t="inlineStr">
        <is>
          <t>900005286</t>
        </is>
      </c>
      <c r="B1765" t="inlineStr">
        <is>
          <t>D836</t>
        </is>
      </c>
      <c r="C1765" t="inlineStr">
        <is>
          <t>66482104</t>
        </is>
      </c>
      <c r="D1765" t="inlineStr">
        <is>
          <t>10000647</t>
        </is>
      </c>
      <c r="E1765" t="inlineStr"/>
      <c r="F1765" s="11" t="n">
        <v>83</v>
      </c>
      <c r="G1765" t="inlineStr"/>
      <c r="I1765" t="inlineStr">
        <is>
          <t>M3</t>
        </is>
      </c>
      <c r="J1765" t="inlineStr"/>
      <c r="K1765" t="inlineStr">
        <is>
          <t>20190426</t>
        </is>
      </c>
      <c r="L1765" t="inlineStr">
        <is>
          <t>20250127</t>
        </is>
      </c>
    </row>
    <row r="1766">
      <c r="A1766" t="inlineStr">
        <is>
          <t>900005286</t>
        </is>
      </c>
      <c r="B1766" t="inlineStr">
        <is>
          <t>D836</t>
        </is>
      </c>
      <c r="C1766" t="inlineStr">
        <is>
          <t>66482288</t>
        </is>
      </c>
      <c r="D1766" t="inlineStr">
        <is>
          <t>10000647</t>
        </is>
      </c>
      <c r="E1766" t="inlineStr"/>
      <c r="F1766" s="11" t="n">
        <v>83</v>
      </c>
      <c r="G1766" t="inlineStr"/>
      <c r="I1766" t="inlineStr">
        <is>
          <t>M3</t>
        </is>
      </c>
      <c r="J1766" t="inlineStr"/>
      <c r="K1766" t="inlineStr">
        <is>
          <t>20190426</t>
        </is>
      </c>
      <c r="L1766" t="inlineStr">
        <is>
          <t>20250127</t>
        </is>
      </c>
    </row>
    <row r="1767">
      <c r="A1767" t="inlineStr">
        <is>
          <t>900005286</t>
        </is>
      </c>
      <c r="B1767" t="inlineStr">
        <is>
          <t>D836</t>
        </is>
      </c>
      <c r="C1767" t="inlineStr">
        <is>
          <t>66482289</t>
        </is>
      </c>
      <c r="D1767" t="inlineStr">
        <is>
          <t>10000647</t>
        </is>
      </c>
      <c r="E1767" t="inlineStr"/>
      <c r="F1767" s="11" t="n">
        <v>83</v>
      </c>
      <c r="G1767" t="inlineStr"/>
      <c r="I1767" t="inlineStr">
        <is>
          <t>M3</t>
        </is>
      </c>
      <c r="J1767" t="inlineStr"/>
      <c r="K1767" t="inlineStr">
        <is>
          <t>20190426</t>
        </is>
      </c>
      <c r="L1767" t="inlineStr">
        <is>
          <t>20250127</t>
        </is>
      </c>
    </row>
    <row r="1768">
      <c r="A1768" t="inlineStr">
        <is>
          <t>900005286</t>
        </is>
      </c>
      <c r="B1768" t="inlineStr">
        <is>
          <t>D836</t>
        </is>
      </c>
      <c r="C1768" t="inlineStr">
        <is>
          <t>66518013</t>
        </is>
      </c>
      <c r="D1768" t="inlineStr">
        <is>
          <t>10000647</t>
        </is>
      </c>
      <c r="E1768" t="inlineStr"/>
      <c r="F1768" s="11" t="n">
        <v>75</v>
      </c>
      <c r="G1768" t="inlineStr"/>
      <c r="I1768" t="inlineStr">
        <is>
          <t>M3</t>
        </is>
      </c>
      <c r="J1768" t="inlineStr"/>
      <c r="K1768" t="inlineStr">
        <is>
          <t>20190426</t>
        </is>
      </c>
      <c r="L1768" t="inlineStr">
        <is>
          <t>20250127</t>
        </is>
      </c>
    </row>
    <row r="1769">
      <c r="A1769" t="inlineStr">
        <is>
          <t>900005286</t>
        </is>
      </c>
      <c r="B1769" t="inlineStr">
        <is>
          <t>D836</t>
        </is>
      </c>
      <c r="C1769" t="inlineStr">
        <is>
          <t>66624554</t>
        </is>
      </c>
      <c r="D1769" t="inlineStr">
        <is>
          <t>10000647</t>
        </is>
      </c>
      <c r="E1769" t="inlineStr"/>
      <c r="F1769" s="11" t="n">
        <v>75</v>
      </c>
      <c r="G1769" t="inlineStr"/>
      <c r="I1769" t="inlineStr">
        <is>
          <t>M3</t>
        </is>
      </c>
      <c r="J1769" t="inlineStr"/>
      <c r="K1769" t="inlineStr">
        <is>
          <t>20190426</t>
        </is>
      </c>
      <c r="L1769" t="inlineStr">
        <is>
          <t>20250127</t>
        </is>
      </c>
    </row>
    <row r="1770">
      <c r="A1770" t="inlineStr">
        <is>
          <t>900005356</t>
        </is>
      </c>
      <c r="B1770" t="inlineStr">
        <is>
          <t>D836</t>
        </is>
      </c>
      <c r="C1770" t="inlineStr">
        <is>
          <t>65014664</t>
        </is>
      </c>
      <c r="D1770" t="inlineStr">
        <is>
          <t>10000627</t>
        </is>
      </c>
      <c r="E1770" t="inlineStr"/>
      <c r="F1770" s="11" t="n">
        <v>106.93</v>
      </c>
      <c r="G1770" t="inlineStr"/>
      <c r="I1770" t="inlineStr">
        <is>
          <t>M3</t>
        </is>
      </c>
      <c r="J1770" t="inlineStr"/>
      <c r="K1770" t="inlineStr">
        <is>
          <t>20190426</t>
        </is>
      </c>
      <c r="L1770" t="inlineStr">
        <is>
          <t>20250127</t>
        </is>
      </c>
    </row>
    <row r="1771">
      <c r="A1771" t="inlineStr">
        <is>
          <t>900005356</t>
        </is>
      </c>
      <c r="B1771" t="inlineStr">
        <is>
          <t>D836</t>
        </is>
      </c>
      <c r="C1771" t="inlineStr">
        <is>
          <t>65014664</t>
        </is>
      </c>
      <c r="D1771" t="inlineStr">
        <is>
          <t>10233432</t>
        </is>
      </c>
      <c r="E1771" t="inlineStr"/>
      <c r="F1771" s="11" t="n">
        <v>96.47</v>
      </c>
      <c r="G1771" t="inlineStr"/>
      <c r="I1771" t="inlineStr">
        <is>
          <t>M3</t>
        </is>
      </c>
      <c r="J1771" t="inlineStr"/>
      <c r="K1771" t="inlineStr">
        <is>
          <t>20190426</t>
        </is>
      </c>
      <c r="L1771" t="inlineStr">
        <is>
          <t>20250127</t>
        </is>
      </c>
    </row>
    <row r="1772">
      <c r="A1772" t="inlineStr">
        <is>
          <t>900005356</t>
        </is>
      </c>
      <c r="B1772" t="inlineStr">
        <is>
          <t>D836</t>
        </is>
      </c>
      <c r="C1772" t="inlineStr">
        <is>
          <t>65911289</t>
        </is>
      </c>
      <c r="D1772" t="inlineStr">
        <is>
          <t>10000160</t>
        </is>
      </c>
      <c r="E1772" t="inlineStr"/>
      <c r="F1772" s="11" t="n">
        <v>100</v>
      </c>
      <c r="G1772" t="inlineStr"/>
      <c r="I1772" t="inlineStr">
        <is>
          <t>M3</t>
        </is>
      </c>
      <c r="J1772" t="inlineStr"/>
      <c r="K1772" t="inlineStr">
        <is>
          <t>20190426</t>
        </is>
      </c>
      <c r="L1772" t="inlineStr">
        <is>
          <t>20250127</t>
        </is>
      </c>
    </row>
    <row r="1773">
      <c r="A1773" t="inlineStr">
        <is>
          <t>900005356</t>
        </is>
      </c>
      <c r="B1773" t="inlineStr">
        <is>
          <t>D836</t>
        </is>
      </c>
      <c r="C1773" t="inlineStr">
        <is>
          <t>66233244</t>
        </is>
      </c>
      <c r="D1773" t="inlineStr">
        <is>
          <t>10000160</t>
        </is>
      </c>
      <c r="E1773" t="inlineStr"/>
      <c r="F1773" s="11" t="n">
        <v>95</v>
      </c>
      <c r="G1773" t="inlineStr"/>
      <c r="I1773" t="inlineStr">
        <is>
          <t>M3</t>
        </is>
      </c>
      <c r="J1773" t="inlineStr"/>
      <c r="K1773" t="inlineStr">
        <is>
          <t>20190426</t>
        </is>
      </c>
      <c r="L1773" t="inlineStr">
        <is>
          <t>20250127</t>
        </is>
      </c>
    </row>
    <row r="1774">
      <c r="A1774" t="inlineStr">
        <is>
          <t>900005356</t>
        </is>
      </c>
      <c r="B1774" t="inlineStr">
        <is>
          <t>D836</t>
        </is>
      </c>
      <c r="C1774" t="inlineStr">
        <is>
          <t>66233244</t>
        </is>
      </c>
      <c r="D1774" t="inlineStr">
        <is>
          <t>10000357</t>
        </is>
      </c>
      <c r="E1774" t="inlineStr"/>
      <c r="F1774" s="11" t="n">
        <v>110</v>
      </c>
      <c r="G1774" t="inlineStr"/>
      <c r="I1774" t="inlineStr">
        <is>
          <t>M3</t>
        </is>
      </c>
      <c r="J1774" t="inlineStr"/>
      <c r="K1774" t="inlineStr">
        <is>
          <t>20190426</t>
        </is>
      </c>
      <c r="L1774" t="inlineStr">
        <is>
          <t>20250127</t>
        </is>
      </c>
    </row>
    <row r="1775">
      <c r="A1775" t="inlineStr">
        <is>
          <t>900005356</t>
        </is>
      </c>
      <c r="B1775" t="inlineStr">
        <is>
          <t>D836</t>
        </is>
      </c>
      <c r="C1775" t="inlineStr">
        <is>
          <t>66240596</t>
        </is>
      </c>
      <c r="D1775" t="inlineStr">
        <is>
          <t>10000160</t>
        </is>
      </c>
      <c r="E1775" t="inlineStr"/>
      <c r="F1775" s="11" t="n">
        <v>100</v>
      </c>
      <c r="G1775" t="inlineStr"/>
      <c r="I1775" t="inlineStr">
        <is>
          <t>M3</t>
        </is>
      </c>
      <c r="J1775" t="inlineStr"/>
      <c r="K1775" t="inlineStr">
        <is>
          <t>20190426</t>
        </is>
      </c>
      <c r="L1775" t="inlineStr">
        <is>
          <t>20250127</t>
        </is>
      </c>
    </row>
    <row r="1776">
      <c r="A1776" t="inlineStr">
        <is>
          <t>900005356</t>
        </is>
      </c>
      <c r="B1776" t="inlineStr">
        <is>
          <t>D836</t>
        </is>
      </c>
      <c r="C1776" t="inlineStr">
        <is>
          <t>66240596</t>
        </is>
      </c>
      <c r="D1776" t="inlineStr">
        <is>
          <t>10000357</t>
        </is>
      </c>
      <c r="E1776" t="inlineStr"/>
      <c r="F1776" s="11" t="n">
        <v>105</v>
      </c>
      <c r="G1776" t="inlineStr"/>
      <c r="I1776" t="inlineStr">
        <is>
          <t>M3</t>
        </is>
      </c>
      <c r="J1776" t="inlineStr"/>
      <c r="K1776" t="inlineStr">
        <is>
          <t>20190426</t>
        </is>
      </c>
      <c r="L1776" t="inlineStr">
        <is>
          <t>20250127</t>
        </is>
      </c>
    </row>
    <row r="1777">
      <c r="A1777" t="inlineStr">
        <is>
          <t>900005356</t>
        </is>
      </c>
      <c r="B1777" t="inlineStr">
        <is>
          <t>D836</t>
        </is>
      </c>
      <c r="C1777" t="inlineStr">
        <is>
          <t>66624554</t>
        </is>
      </c>
      <c r="D1777" t="inlineStr">
        <is>
          <t>10000160</t>
        </is>
      </c>
      <c r="E1777" t="inlineStr"/>
      <c r="F1777" s="11" t="n">
        <v>93.73999999999999</v>
      </c>
      <c r="G1777" t="inlineStr"/>
      <c r="I1777" t="inlineStr">
        <is>
          <t>M3</t>
        </is>
      </c>
      <c r="J1777" t="inlineStr"/>
      <c r="K1777" t="inlineStr">
        <is>
          <t>20190426</t>
        </is>
      </c>
      <c r="L1777" t="inlineStr">
        <is>
          <t>20250127</t>
        </is>
      </c>
    </row>
    <row r="1778">
      <c r="A1778" t="inlineStr">
        <is>
          <t>900005356</t>
        </is>
      </c>
      <c r="B1778" t="inlineStr">
        <is>
          <t>D836</t>
        </is>
      </c>
      <c r="C1778" t="inlineStr">
        <is>
          <t>66624554</t>
        </is>
      </c>
      <c r="D1778" t="inlineStr">
        <is>
          <t>10000357</t>
        </is>
      </c>
      <c r="E1778" t="inlineStr"/>
      <c r="F1778" s="11" t="n">
        <v>109</v>
      </c>
      <c r="G1778" t="inlineStr"/>
      <c r="I1778" t="inlineStr">
        <is>
          <t>M3</t>
        </is>
      </c>
      <c r="J1778" t="inlineStr"/>
      <c r="K1778" t="inlineStr">
        <is>
          <t>20190426</t>
        </is>
      </c>
      <c r="L1778" t="inlineStr">
        <is>
          <t>20250127</t>
        </is>
      </c>
    </row>
    <row r="1779">
      <c r="A1779" t="inlineStr">
        <is>
          <t>900005356</t>
        </is>
      </c>
      <c r="B1779" t="inlineStr">
        <is>
          <t>D836</t>
        </is>
      </c>
      <c r="C1779" t="inlineStr">
        <is>
          <t>66624554</t>
        </is>
      </c>
      <c r="D1779" t="inlineStr">
        <is>
          <t>10000627</t>
        </is>
      </c>
      <c r="E1779" t="inlineStr"/>
      <c r="F1779" s="11" t="n">
        <v>92.65000000000001</v>
      </c>
      <c r="G1779" t="inlineStr"/>
      <c r="I1779" t="inlineStr">
        <is>
          <t>M3</t>
        </is>
      </c>
      <c r="J1779" t="inlineStr"/>
      <c r="K1779" t="inlineStr">
        <is>
          <t>20190426</t>
        </is>
      </c>
      <c r="L1779" t="inlineStr">
        <is>
          <t>20250127</t>
        </is>
      </c>
    </row>
    <row r="1780">
      <c r="A1780" t="inlineStr">
        <is>
          <t>900005356</t>
        </is>
      </c>
      <c r="B1780" t="inlineStr">
        <is>
          <t>D836</t>
        </is>
      </c>
      <c r="C1780" t="inlineStr">
        <is>
          <t>66779276</t>
        </is>
      </c>
      <c r="D1780" t="inlineStr">
        <is>
          <t>10003132</t>
        </is>
      </c>
      <c r="E1780" t="inlineStr"/>
      <c r="F1780" s="11" t="n">
        <v>125</v>
      </c>
      <c r="G1780" t="inlineStr"/>
      <c r="I1780" t="inlineStr">
        <is>
          <t>M3</t>
        </is>
      </c>
      <c r="J1780" t="inlineStr"/>
      <c r="K1780" t="inlineStr">
        <is>
          <t>20190426</t>
        </is>
      </c>
      <c r="L1780" t="inlineStr">
        <is>
          <t>20250127</t>
        </is>
      </c>
    </row>
    <row r="1781">
      <c r="A1781" t="inlineStr">
        <is>
          <t>900005356</t>
        </is>
      </c>
      <c r="B1781" t="inlineStr">
        <is>
          <t>D836</t>
        </is>
      </c>
      <c r="C1781" t="inlineStr">
        <is>
          <t>66828114</t>
        </is>
      </c>
      <c r="D1781" t="inlineStr">
        <is>
          <t>10000627</t>
        </is>
      </c>
      <c r="E1781" t="inlineStr"/>
      <c r="F1781" s="11" t="n">
        <v>88</v>
      </c>
      <c r="G1781" t="inlineStr"/>
      <c r="I1781" t="inlineStr">
        <is>
          <t>M3</t>
        </is>
      </c>
      <c r="J1781" t="inlineStr"/>
      <c r="K1781" t="inlineStr">
        <is>
          <t>20190426</t>
        </is>
      </c>
      <c r="L1781" t="inlineStr">
        <is>
          <t>20250127</t>
        </is>
      </c>
    </row>
    <row r="1782">
      <c r="A1782" t="inlineStr">
        <is>
          <t>900005356</t>
        </is>
      </c>
      <c r="B1782" t="inlineStr">
        <is>
          <t>D836</t>
        </is>
      </c>
      <c r="C1782" t="inlineStr">
        <is>
          <t>66834820</t>
        </is>
      </c>
      <c r="D1782" t="inlineStr">
        <is>
          <t>10000160</t>
        </is>
      </c>
      <c r="E1782" t="inlineStr"/>
      <c r="F1782" s="11" t="n">
        <v>95</v>
      </c>
      <c r="G1782" t="inlineStr"/>
      <c r="I1782" t="inlineStr">
        <is>
          <t>M3</t>
        </is>
      </c>
      <c r="J1782" t="inlineStr"/>
      <c r="K1782" t="inlineStr">
        <is>
          <t>20190426</t>
        </is>
      </c>
      <c r="L1782" t="inlineStr">
        <is>
          <t>20250127</t>
        </is>
      </c>
    </row>
    <row r="1783">
      <c r="A1783" t="inlineStr">
        <is>
          <t>900005356</t>
        </is>
      </c>
      <c r="B1783" t="inlineStr">
        <is>
          <t>D836</t>
        </is>
      </c>
      <c r="C1783" t="inlineStr">
        <is>
          <t>66834820</t>
        </is>
      </c>
      <c r="D1783" t="inlineStr">
        <is>
          <t>10000357</t>
        </is>
      </c>
      <c r="E1783" t="inlineStr"/>
      <c r="F1783" s="11" t="n">
        <v>105</v>
      </c>
      <c r="G1783" t="inlineStr"/>
      <c r="I1783" t="inlineStr">
        <is>
          <t>M3</t>
        </is>
      </c>
      <c r="J1783" t="inlineStr"/>
      <c r="K1783" t="inlineStr">
        <is>
          <t>20190426</t>
        </is>
      </c>
      <c r="L1783" t="inlineStr">
        <is>
          <t>20250127</t>
        </is>
      </c>
    </row>
    <row r="1784">
      <c r="A1784" t="inlineStr">
        <is>
          <t>900005356</t>
        </is>
      </c>
      <c r="B1784" t="inlineStr">
        <is>
          <t>D836</t>
        </is>
      </c>
      <c r="C1784" t="inlineStr">
        <is>
          <t>66840672</t>
        </is>
      </c>
      <c r="D1784" t="inlineStr">
        <is>
          <t>10000357</t>
        </is>
      </c>
      <c r="E1784" t="inlineStr"/>
      <c r="F1784" s="11" t="n">
        <v>105</v>
      </c>
      <c r="G1784" t="inlineStr"/>
      <c r="I1784" t="inlineStr">
        <is>
          <t>M3</t>
        </is>
      </c>
      <c r="J1784" t="inlineStr"/>
      <c r="K1784" t="inlineStr">
        <is>
          <t>20190426</t>
        </is>
      </c>
      <c r="L1784" t="inlineStr">
        <is>
          <t>20250127</t>
        </is>
      </c>
    </row>
    <row r="1785">
      <c r="A1785" t="inlineStr">
        <is>
          <t>900005356</t>
        </is>
      </c>
      <c r="B1785" t="inlineStr">
        <is>
          <t>D836</t>
        </is>
      </c>
      <c r="C1785" t="inlineStr">
        <is>
          <t>66874292</t>
        </is>
      </c>
      <c r="D1785" t="inlineStr">
        <is>
          <t>10000160</t>
        </is>
      </c>
      <c r="E1785" t="inlineStr"/>
      <c r="F1785" s="11" t="n">
        <v>95</v>
      </c>
      <c r="G1785" t="inlineStr"/>
      <c r="I1785" t="inlineStr">
        <is>
          <t>M3</t>
        </is>
      </c>
      <c r="J1785" t="inlineStr"/>
      <c r="K1785" t="inlineStr">
        <is>
          <t>20190426</t>
        </is>
      </c>
      <c r="L1785" t="inlineStr">
        <is>
          <t>20250127</t>
        </is>
      </c>
    </row>
    <row r="1786">
      <c r="A1786" t="inlineStr">
        <is>
          <t>900005356</t>
        </is>
      </c>
      <c r="B1786" t="inlineStr">
        <is>
          <t>D836</t>
        </is>
      </c>
      <c r="C1786" t="inlineStr">
        <is>
          <t>66874292</t>
        </is>
      </c>
      <c r="D1786" t="inlineStr">
        <is>
          <t>10000357</t>
        </is>
      </c>
      <c r="E1786" t="inlineStr"/>
      <c r="F1786" s="11" t="n">
        <v>105</v>
      </c>
      <c r="G1786" t="inlineStr"/>
      <c r="I1786" t="inlineStr">
        <is>
          <t>M3</t>
        </is>
      </c>
      <c r="J1786" t="inlineStr"/>
      <c r="K1786" t="inlineStr">
        <is>
          <t>20190426</t>
        </is>
      </c>
      <c r="L1786" t="inlineStr">
        <is>
          <t>20250127</t>
        </is>
      </c>
    </row>
    <row r="1787">
      <c r="A1787" t="inlineStr">
        <is>
          <t>900005356</t>
        </is>
      </c>
      <c r="B1787" t="inlineStr">
        <is>
          <t>D836</t>
        </is>
      </c>
      <c r="C1787" t="inlineStr">
        <is>
          <t>66885144</t>
        </is>
      </c>
      <c r="D1787" t="inlineStr">
        <is>
          <t>10000160</t>
        </is>
      </c>
      <c r="E1787" t="inlineStr"/>
      <c r="F1787" s="11" t="n">
        <v>107.8</v>
      </c>
      <c r="G1787" t="inlineStr"/>
      <c r="I1787" t="inlineStr">
        <is>
          <t>M3</t>
        </is>
      </c>
      <c r="J1787" t="inlineStr"/>
      <c r="K1787" t="inlineStr">
        <is>
          <t>20190426</t>
        </is>
      </c>
      <c r="L1787" t="inlineStr">
        <is>
          <t>20250127</t>
        </is>
      </c>
    </row>
    <row r="1788">
      <c r="A1788" t="inlineStr">
        <is>
          <t>900005356</t>
        </is>
      </c>
      <c r="B1788" t="inlineStr">
        <is>
          <t>D836</t>
        </is>
      </c>
      <c r="C1788" t="inlineStr">
        <is>
          <t>66885144</t>
        </is>
      </c>
      <c r="D1788" t="inlineStr">
        <is>
          <t>10000357</t>
        </is>
      </c>
      <c r="E1788" t="inlineStr"/>
      <c r="F1788" s="11" t="n">
        <v>105</v>
      </c>
      <c r="G1788" t="inlineStr"/>
      <c r="I1788" t="inlineStr">
        <is>
          <t>M3</t>
        </is>
      </c>
      <c r="J1788" t="inlineStr"/>
      <c r="K1788" t="inlineStr">
        <is>
          <t>20190426</t>
        </is>
      </c>
      <c r="L1788" t="inlineStr">
        <is>
          <t>20250127</t>
        </is>
      </c>
    </row>
    <row r="1789">
      <c r="A1789" t="inlineStr">
        <is>
          <t>900005356</t>
        </is>
      </c>
      <c r="B1789" t="inlineStr">
        <is>
          <t>D836</t>
        </is>
      </c>
      <c r="C1789" t="inlineStr">
        <is>
          <t>66885144</t>
        </is>
      </c>
      <c r="D1789" t="inlineStr">
        <is>
          <t>10003132</t>
        </is>
      </c>
      <c r="E1789" t="inlineStr"/>
      <c r="F1789" s="11" t="n">
        <v>140.8</v>
      </c>
      <c r="G1789" t="inlineStr"/>
      <c r="I1789" t="inlineStr">
        <is>
          <t>M3</t>
        </is>
      </c>
      <c r="J1789" t="inlineStr"/>
      <c r="K1789" t="inlineStr">
        <is>
          <t>20190426</t>
        </is>
      </c>
      <c r="L1789" t="inlineStr">
        <is>
          <t>20250127</t>
        </is>
      </c>
    </row>
    <row r="1790">
      <c r="A1790" t="inlineStr">
        <is>
          <t>900005356</t>
        </is>
      </c>
      <c r="B1790" t="inlineStr">
        <is>
          <t>D836</t>
        </is>
      </c>
      <c r="C1790" t="inlineStr">
        <is>
          <t>66885144</t>
        </is>
      </c>
      <c r="D1790" t="inlineStr">
        <is>
          <t>10200075</t>
        </is>
      </c>
      <c r="E1790" t="inlineStr"/>
      <c r="F1790" s="11" t="n">
        <v>150</v>
      </c>
      <c r="G1790" t="inlineStr"/>
      <c r="I1790" t="inlineStr">
        <is>
          <t>M3</t>
        </is>
      </c>
      <c r="J1790" t="inlineStr"/>
      <c r="K1790" t="inlineStr">
        <is>
          <t>20190426</t>
        </is>
      </c>
      <c r="L1790" t="inlineStr">
        <is>
          <t>20250127</t>
        </is>
      </c>
    </row>
    <row r="1791">
      <c r="A1791" t="inlineStr">
        <is>
          <t>900005356</t>
        </is>
      </c>
      <c r="B1791" t="inlineStr">
        <is>
          <t>D836</t>
        </is>
      </c>
      <c r="C1791" t="inlineStr">
        <is>
          <t>66885144</t>
        </is>
      </c>
      <c r="D1791" t="inlineStr">
        <is>
          <t>10200676</t>
        </is>
      </c>
      <c r="E1791" t="inlineStr"/>
      <c r="F1791" s="11" t="n">
        <v>150</v>
      </c>
      <c r="G1791" t="inlineStr"/>
      <c r="I1791" t="inlineStr">
        <is>
          <t>M3</t>
        </is>
      </c>
      <c r="J1791" t="inlineStr"/>
      <c r="K1791" t="inlineStr">
        <is>
          <t>20190426</t>
        </is>
      </c>
      <c r="L1791" t="inlineStr">
        <is>
          <t>20250127</t>
        </is>
      </c>
    </row>
    <row r="1792">
      <c r="A1792" t="inlineStr">
        <is>
          <t>900005356</t>
        </is>
      </c>
      <c r="B1792" t="inlineStr">
        <is>
          <t>D836</t>
        </is>
      </c>
      <c r="C1792" t="inlineStr">
        <is>
          <t>66977443</t>
        </is>
      </c>
      <c r="D1792" t="inlineStr">
        <is>
          <t>10000160</t>
        </is>
      </c>
      <c r="E1792" t="inlineStr"/>
      <c r="F1792" s="11" t="n">
        <v>90</v>
      </c>
      <c r="G1792" t="inlineStr"/>
      <c r="I1792" t="inlineStr">
        <is>
          <t>M3</t>
        </is>
      </c>
      <c r="J1792" t="inlineStr"/>
      <c r="K1792" t="inlineStr">
        <is>
          <t>20190426</t>
        </is>
      </c>
      <c r="L1792" t="inlineStr">
        <is>
          <t>20250127</t>
        </is>
      </c>
    </row>
    <row r="1793">
      <c r="A1793" t="inlineStr">
        <is>
          <t>900005356</t>
        </is>
      </c>
      <c r="B1793" t="inlineStr">
        <is>
          <t>D836</t>
        </is>
      </c>
      <c r="C1793" t="inlineStr">
        <is>
          <t>66977443</t>
        </is>
      </c>
      <c r="D1793" t="inlineStr">
        <is>
          <t>10000357</t>
        </is>
      </c>
      <c r="E1793" t="inlineStr"/>
      <c r="F1793" s="11" t="n">
        <v>105</v>
      </c>
      <c r="G1793" t="inlineStr"/>
      <c r="I1793" t="inlineStr">
        <is>
          <t>M3</t>
        </is>
      </c>
      <c r="J1793" t="inlineStr"/>
      <c r="K1793" t="inlineStr">
        <is>
          <t>20190426</t>
        </is>
      </c>
      <c r="L1793" t="inlineStr">
        <is>
          <t>20250127</t>
        </is>
      </c>
    </row>
    <row r="1794">
      <c r="A1794" t="inlineStr">
        <is>
          <t>900005356</t>
        </is>
      </c>
      <c r="B1794" t="inlineStr">
        <is>
          <t>D836</t>
        </is>
      </c>
      <c r="C1794" t="inlineStr">
        <is>
          <t>66977443</t>
        </is>
      </c>
      <c r="D1794" t="inlineStr">
        <is>
          <t>10000627</t>
        </is>
      </c>
      <c r="E1794" t="inlineStr"/>
      <c r="F1794" s="11" t="n">
        <v>88</v>
      </c>
      <c r="G1794" t="inlineStr"/>
      <c r="I1794" t="inlineStr">
        <is>
          <t>M3</t>
        </is>
      </c>
      <c r="J1794" t="inlineStr"/>
      <c r="K1794" t="inlineStr">
        <is>
          <t>20190426</t>
        </is>
      </c>
      <c r="L1794" t="inlineStr">
        <is>
          <t>20250127</t>
        </is>
      </c>
    </row>
    <row r="1795">
      <c r="A1795" t="inlineStr">
        <is>
          <t>900005356</t>
        </is>
      </c>
      <c r="B1795" t="inlineStr">
        <is>
          <t>D836</t>
        </is>
      </c>
      <c r="C1795" t="inlineStr">
        <is>
          <t>67026364</t>
        </is>
      </c>
      <c r="D1795" t="inlineStr">
        <is>
          <t>10000357</t>
        </is>
      </c>
      <c r="E1795" t="inlineStr"/>
      <c r="F1795" s="11" t="n">
        <v>125</v>
      </c>
      <c r="G1795" t="inlineStr"/>
      <c r="I1795" t="inlineStr">
        <is>
          <t>M3</t>
        </is>
      </c>
      <c r="J1795" t="inlineStr"/>
      <c r="K1795" t="inlineStr">
        <is>
          <t>20190426</t>
        </is>
      </c>
      <c r="L1795" t="inlineStr">
        <is>
          <t>20250127</t>
        </is>
      </c>
    </row>
    <row r="1796">
      <c r="A1796" t="inlineStr">
        <is>
          <t>900005356</t>
        </is>
      </c>
      <c r="B1796" t="inlineStr">
        <is>
          <t>D836</t>
        </is>
      </c>
      <c r="C1796" t="inlineStr">
        <is>
          <t>67077727</t>
        </is>
      </c>
      <c r="D1796" t="inlineStr">
        <is>
          <t>10000160</t>
        </is>
      </c>
      <c r="E1796" t="inlineStr"/>
      <c r="F1796" s="11" t="n">
        <v>94</v>
      </c>
      <c r="G1796" t="inlineStr"/>
      <c r="I1796" t="inlineStr">
        <is>
          <t>M3</t>
        </is>
      </c>
      <c r="J1796" t="inlineStr"/>
      <c r="K1796" t="inlineStr">
        <is>
          <t>20190426</t>
        </is>
      </c>
      <c r="L1796" t="inlineStr">
        <is>
          <t>20250127</t>
        </is>
      </c>
    </row>
    <row r="1797">
      <c r="A1797" t="inlineStr">
        <is>
          <t>900005356</t>
        </is>
      </c>
      <c r="B1797" t="inlineStr">
        <is>
          <t>D836</t>
        </is>
      </c>
      <c r="C1797" t="inlineStr">
        <is>
          <t>67077727</t>
        </is>
      </c>
      <c r="D1797" t="inlineStr">
        <is>
          <t>10000357</t>
        </is>
      </c>
      <c r="E1797" t="inlineStr"/>
      <c r="F1797" s="11" t="n">
        <v>110</v>
      </c>
      <c r="G1797" t="inlineStr"/>
      <c r="I1797" t="inlineStr">
        <is>
          <t>M3</t>
        </is>
      </c>
      <c r="J1797" t="inlineStr"/>
      <c r="K1797" t="inlineStr">
        <is>
          <t>20190426</t>
        </is>
      </c>
      <c r="L1797" t="inlineStr">
        <is>
          <t>20250127</t>
        </is>
      </c>
    </row>
    <row r="1798">
      <c r="A1798" t="inlineStr">
        <is>
          <t>900005356</t>
        </is>
      </c>
      <c r="B1798" t="inlineStr">
        <is>
          <t>D836</t>
        </is>
      </c>
      <c r="C1798" t="inlineStr">
        <is>
          <t>67077727</t>
        </is>
      </c>
      <c r="D1798" t="inlineStr">
        <is>
          <t>10000627</t>
        </is>
      </c>
      <c r="E1798" t="inlineStr"/>
      <c r="F1798" s="11" t="n">
        <v>85</v>
      </c>
      <c r="G1798" t="inlineStr"/>
      <c r="I1798" t="inlineStr">
        <is>
          <t>M3</t>
        </is>
      </c>
      <c r="J1798" t="inlineStr"/>
      <c r="K1798" t="inlineStr">
        <is>
          <t>20190426</t>
        </is>
      </c>
      <c r="L1798" t="inlineStr">
        <is>
          <t>20250127</t>
        </is>
      </c>
    </row>
    <row r="1799">
      <c r="A1799" t="inlineStr">
        <is>
          <t>900005356</t>
        </is>
      </c>
      <c r="B1799" t="inlineStr">
        <is>
          <t>D836</t>
        </is>
      </c>
      <c r="C1799" t="inlineStr">
        <is>
          <t>67079665</t>
        </is>
      </c>
      <c r="D1799" t="inlineStr">
        <is>
          <t>10000160</t>
        </is>
      </c>
      <c r="E1799" t="inlineStr"/>
      <c r="F1799" s="11" t="n">
        <v>104.5</v>
      </c>
      <c r="G1799" t="inlineStr"/>
      <c r="I1799" t="inlineStr">
        <is>
          <t>M3</t>
        </is>
      </c>
      <c r="J1799" t="inlineStr"/>
      <c r="K1799" t="inlineStr">
        <is>
          <t>20190426</t>
        </is>
      </c>
      <c r="L1799" t="inlineStr">
        <is>
          <t>20250127</t>
        </is>
      </c>
    </row>
    <row r="1800">
      <c r="A1800" t="inlineStr">
        <is>
          <t>900005356</t>
        </is>
      </c>
      <c r="B1800" t="inlineStr">
        <is>
          <t>D836</t>
        </is>
      </c>
      <c r="C1800" t="inlineStr">
        <is>
          <t>67079665</t>
        </is>
      </c>
      <c r="D1800" t="inlineStr">
        <is>
          <t>10000357</t>
        </is>
      </c>
      <c r="E1800" t="inlineStr"/>
      <c r="F1800" s="11" t="n">
        <v>121</v>
      </c>
      <c r="G1800" t="inlineStr"/>
      <c r="I1800" t="inlineStr">
        <is>
          <t>M3</t>
        </is>
      </c>
      <c r="J1800" t="inlineStr"/>
      <c r="K1800" t="inlineStr">
        <is>
          <t>20190426</t>
        </is>
      </c>
      <c r="L1800" t="inlineStr">
        <is>
          <t>20250127</t>
        </is>
      </c>
    </row>
    <row r="1801">
      <c r="A1801" t="inlineStr">
        <is>
          <t>900005357</t>
        </is>
      </c>
      <c r="B1801" t="inlineStr">
        <is>
          <t>D836</t>
        </is>
      </c>
      <c r="C1801" t="inlineStr">
        <is>
          <t>65014664</t>
        </is>
      </c>
      <c r="D1801" t="inlineStr">
        <is>
          <t>10000160</t>
        </is>
      </c>
      <c r="E1801" t="inlineStr"/>
      <c r="F1801" s="11" t="n">
        <v>88.55</v>
      </c>
      <c r="G1801" t="inlineStr"/>
      <c r="I1801" t="inlineStr">
        <is>
          <t>M3</t>
        </is>
      </c>
      <c r="J1801" t="inlineStr"/>
      <c r="K1801" t="inlineStr">
        <is>
          <t>20190426</t>
        </is>
      </c>
      <c r="L1801" t="inlineStr">
        <is>
          <t>20250127</t>
        </is>
      </c>
    </row>
    <row r="1802">
      <c r="A1802" t="inlineStr">
        <is>
          <t>900005401</t>
        </is>
      </c>
      <c r="B1802" t="inlineStr">
        <is>
          <t>D836</t>
        </is>
      </c>
      <c r="C1802" t="inlineStr">
        <is>
          <t>65003945</t>
        </is>
      </c>
      <c r="D1802" t="inlineStr">
        <is>
          <t>10037590</t>
        </is>
      </c>
      <c r="E1802" t="inlineStr"/>
      <c r="F1802" s="11" t="n">
        <v>79.5</v>
      </c>
      <c r="G1802" t="inlineStr"/>
      <c r="I1802" t="inlineStr">
        <is>
          <t>M3</t>
        </is>
      </c>
      <c r="J1802" t="inlineStr"/>
      <c r="K1802" t="inlineStr">
        <is>
          <t>20190426</t>
        </is>
      </c>
      <c r="L1802" t="inlineStr">
        <is>
          <t>20250127</t>
        </is>
      </c>
    </row>
    <row r="1803">
      <c r="A1803" t="inlineStr">
        <is>
          <t>900005401</t>
        </is>
      </c>
      <c r="B1803" t="inlineStr">
        <is>
          <t>D836</t>
        </is>
      </c>
      <c r="C1803" t="inlineStr">
        <is>
          <t>65251399</t>
        </is>
      </c>
      <c r="D1803" t="inlineStr">
        <is>
          <t>10059181</t>
        </is>
      </c>
      <c r="E1803" t="inlineStr"/>
      <c r="F1803" s="11" t="n">
        <v>80.65000000000001</v>
      </c>
      <c r="G1803" t="inlineStr"/>
      <c r="I1803" t="inlineStr">
        <is>
          <t>M3</t>
        </is>
      </c>
      <c r="J1803" t="inlineStr"/>
      <c r="K1803" t="inlineStr">
        <is>
          <t>20190426</t>
        </is>
      </c>
      <c r="L1803" t="inlineStr">
        <is>
          <t>20250127</t>
        </is>
      </c>
    </row>
    <row r="1804">
      <c r="A1804" t="inlineStr">
        <is>
          <t>900005401</t>
        </is>
      </c>
      <c r="B1804" t="inlineStr">
        <is>
          <t>D836</t>
        </is>
      </c>
      <c r="C1804" t="inlineStr">
        <is>
          <t>65445261</t>
        </is>
      </c>
      <c r="D1804" t="inlineStr">
        <is>
          <t>10000253</t>
        </is>
      </c>
      <c r="E1804" t="inlineStr"/>
      <c r="F1804" s="11" t="n">
        <v>78.5</v>
      </c>
      <c r="G1804" t="inlineStr"/>
      <c r="I1804" t="inlineStr">
        <is>
          <t>M3</t>
        </is>
      </c>
      <c r="J1804" t="inlineStr"/>
      <c r="K1804" t="inlineStr">
        <is>
          <t>20190426</t>
        </is>
      </c>
      <c r="L1804" t="inlineStr">
        <is>
          <t>20250127</t>
        </is>
      </c>
    </row>
    <row r="1805">
      <c r="A1805" t="inlineStr">
        <is>
          <t>900005401</t>
        </is>
      </c>
      <c r="B1805" t="inlineStr">
        <is>
          <t>D836</t>
        </is>
      </c>
      <c r="C1805" t="inlineStr">
        <is>
          <t>65445261</t>
        </is>
      </c>
      <c r="D1805" t="inlineStr">
        <is>
          <t>10000627</t>
        </is>
      </c>
      <c r="E1805" t="inlineStr"/>
      <c r="F1805" s="11" t="n">
        <v>84.09</v>
      </c>
      <c r="G1805" t="inlineStr"/>
      <c r="I1805" t="inlineStr">
        <is>
          <t>M3</t>
        </is>
      </c>
      <c r="J1805" t="inlineStr"/>
      <c r="K1805" t="inlineStr">
        <is>
          <t>20190426</t>
        </is>
      </c>
      <c r="L1805" t="inlineStr">
        <is>
          <t>20250127</t>
        </is>
      </c>
    </row>
    <row r="1806">
      <c r="A1806" t="inlineStr">
        <is>
          <t>900005401</t>
        </is>
      </c>
      <c r="B1806" t="inlineStr">
        <is>
          <t>D836</t>
        </is>
      </c>
      <c r="C1806" t="inlineStr">
        <is>
          <t>65445261</t>
        </is>
      </c>
      <c r="D1806" t="inlineStr">
        <is>
          <t>10000651</t>
        </is>
      </c>
      <c r="E1806" t="inlineStr"/>
      <c r="F1806" s="11" t="n">
        <v>105</v>
      </c>
      <c r="G1806" t="inlineStr"/>
      <c r="I1806" t="inlineStr">
        <is>
          <t>M3</t>
        </is>
      </c>
      <c r="J1806" t="inlineStr"/>
      <c r="K1806" t="inlineStr">
        <is>
          <t>20190426</t>
        </is>
      </c>
      <c r="L1806" t="inlineStr">
        <is>
          <t>20250127</t>
        </is>
      </c>
    </row>
    <row r="1807">
      <c r="A1807" t="inlineStr">
        <is>
          <t>900005401</t>
        </is>
      </c>
      <c r="B1807" t="inlineStr">
        <is>
          <t>D836</t>
        </is>
      </c>
      <c r="C1807" t="inlineStr">
        <is>
          <t>65445261</t>
        </is>
      </c>
      <c r="D1807" t="inlineStr">
        <is>
          <t>10059181</t>
        </is>
      </c>
      <c r="E1807" t="inlineStr"/>
      <c r="F1807" s="11" t="n">
        <v>80.59</v>
      </c>
      <c r="G1807" t="inlineStr"/>
      <c r="I1807" t="inlineStr">
        <is>
          <t>M3</t>
        </is>
      </c>
      <c r="J1807" t="inlineStr"/>
      <c r="K1807" t="inlineStr">
        <is>
          <t>20190426</t>
        </is>
      </c>
      <c r="L1807" t="inlineStr">
        <is>
          <t>20250127</t>
        </is>
      </c>
    </row>
    <row r="1808">
      <c r="A1808" t="inlineStr">
        <is>
          <t>900005401</t>
        </is>
      </c>
      <c r="B1808" t="inlineStr">
        <is>
          <t>D836</t>
        </is>
      </c>
      <c r="C1808" t="inlineStr">
        <is>
          <t>66212637</t>
        </is>
      </c>
      <c r="D1808" t="inlineStr">
        <is>
          <t>10000651</t>
        </is>
      </c>
      <c r="E1808" t="inlineStr"/>
      <c r="F1808" s="11" t="n">
        <v>115</v>
      </c>
      <c r="G1808" t="inlineStr"/>
      <c r="I1808" t="inlineStr">
        <is>
          <t>M3</t>
        </is>
      </c>
      <c r="J1808" t="inlineStr"/>
      <c r="K1808" t="inlineStr">
        <is>
          <t>20190426</t>
        </is>
      </c>
      <c r="L1808" t="inlineStr">
        <is>
          <t>20250127</t>
        </is>
      </c>
    </row>
    <row r="1809">
      <c r="A1809" t="inlineStr">
        <is>
          <t>900005401</t>
        </is>
      </c>
      <c r="B1809" t="inlineStr">
        <is>
          <t>D836</t>
        </is>
      </c>
      <c r="C1809" t="inlineStr">
        <is>
          <t>66239621</t>
        </is>
      </c>
      <c r="D1809" t="inlineStr">
        <is>
          <t>10000651</t>
        </is>
      </c>
      <c r="E1809" t="inlineStr"/>
      <c r="F1809" s="11" t="n">
        <v>100</v>
      </c>
      <c r="G1809" t="inlineStr"/>
      <c r="I1809" t="inlineStr">
        <is>
          <t>M3</t>
        </is>
      </c>
      <c r="J1809" t="inlineStr"/>
      <c r="K1809" t="inlineStr">
        <is>
          <t>20190426</t>
        </is>
      </c>
      <c r="L1809" t="inlineStr">
        <is>
          <t>20250127</t>
        </is>
      </c>
    </row>
    <row r="1810">
      <c r="A1810" t="inlineStr">
        <is>
          <t>900005401</t>
        </is>
      </c>
      <c r="B1810" t="inlineStr">
        <is>
          <t>D836</t>
        </is>
      </c>
      <c r="C1810" t="inlineStr">
        <is>
          <t>66458593</t>
        </is>
      </c>
      <c r="D1810" t="inlineStr">
        <is>
          <t>10059181</t>
        </is>
      </c>
      <c r="E1810" t="inlineStr"/>
      <c r="F1810" s="11" t="n">
        <v>92</v>
      </c>
      <c r="G1810" t="inlineStr"/>
      <c r="I1810" t="inlineStr">
        <is>
          <t>M3</t>
        </is>
      </c>
      <c r="J1810" t="inlineStr"/>
      <c r="K1810" t="inlineStr">
        <is>
          <t>20190426</t>
        </is>
      </c>
      <c r="L1810" t="inlineStr">
        <is>
          <t>20250127</t>
        </is>
      </c>
    </row>
    <row r="1811">
      <c r="A1811" t="inlineStr">
        <is>
          <t>900005401</t>
        </is>
      </c>
      <c r="B1811" t="inlineStr">
        <is>
          <t>D836</t>
        </is>
      </c>
      <c r="C1811" t="inlineStr">
        <is>
          <t>66490957</t>
        </is>
      </c>
      <c r="D1811" t="inlineStr">
        <is>
          <t>10000253</t>
        </is>
      </c>
      <c r="E1811" t="inlineStr"/>
      <c r="F1811" s="11" t="n">
        <v>79</v>
      </c>
      <c r="G1811" t="inlineStr"/>
      <c r="I1811" t="inlineStr">
        <is>
          <t>M3</t>
        </is>
      </c>
      <c r="J1811" t="inlineStr"/>
      <c r="K1811" t="inlineStr">
        <is>
          <t>20190426</t>
        </is>
      </c>
      <c r="L1811" t="inlineStr">
        <is>
          <t>20250127</t>
        </is>
      </c>
    </row>
    <row r="1812">
      <c r="A1812" t="inlineStr">
        <is>
          <t>900005401</t>
        </is>
      </c>
      <c r="B1812" t="inlineStr">
        <is>
          <t>D836</t>
        </is>
      </c>
      <c r="C1812" t="inlineStr">
        <is>
          <t>66490957</t>
        </is>
      </c>
      <c r="D1812" t="inlineStr">
        <is>
          <t>10000627</t>
        </is>
      </c>
      <c r="E1812" t="inlineStr"/>
      <c r="F1812" s="11" t="n">
        <v>84.09</v>
      </c>
      <c r="G1812" t="inlineStr"/>
      <c r="I1812" t="inlineStr">
        <is>
          <t>M3</t>
        </is>
      </c>
      <c r="J1812" t="inlineStr"/>
      <c r="K1812" t="inlineStr">
        <is>
          <t>20190426</t>
        </is>
      </c>
      <c r="L1812" t="inlineStr">
        <is>
          <t>20250127</t>
        </is>
      </c>
    </row>
    <row r="1813">
      <c r="A1813" t="inlineStr">
        <is>
          <t>900005401</t>
        </is>
      </c>
      <c r="B1813" t="inlineStr">
        <is>
          <t>D836</t>
        </is>
      </c>
      <c r="C1813" t="inlineStr">
        <is>
          <t>66490957</t>
        </is>
      </c>
      <c r="D1813" t="inlineStr">
        <is>
          <t>10000651</t>
        </is>
      </c>
      <c r="E1813" t="inlineStr"/>
      <c r="F1813" s="11" t="n">
        <v>102</v>
      </c>
      <c r="G1813" t="inlineStr"/>
      <c r="I1813" t="inlineStr">
        <is>
          <t>M3</t>
        </is>
      </c>
      <c r="J1813" t="inlineStr"/>
      <c r="K1813" t="inlineStr">
        <is>
          <t>20190426</t>
        </is>
      </c>
      <c r="L1813" t="inlineStr">
        <is>
          <t>20250127</t>
        </is>
      </c>
    </row>
    <row r="1814">
      <c r="A1814" t="inlineStr">
        <is>
          <t>900005401</t>
        </is>
      </c>
      <c r="B1814" t="inlineStr">
        <is>
          <t>D836</t>
        </is>
      </c>
      <c r="C1814" t="inlineStr">
        <is>
          <t>66490957</t>
        </is>
      </c>
      <c r="D1814" t="inlineStr">
        <is>
          <t>10059181</t>
        </is>
      </c>
      <c r="E1814" t="inlineStr"/>
      <c r="F1814" s="11" t="n">
        <v>95</v>
      </c>
      <c r="G1814" t="inlineStr"/>
      <c r="I1814" t="inlineStr">
        <is>
          <t>M3</t>
        </is>
      </c>
      <c r="J1814" t="inlineStr"/>
      <c r="K1814" t="inlineStr">
        <is>
          <t>20190426</t>
        </is>
      </c>
      <c r="L1814" t="inlineStr">
        <is>
          <t>20250127</t>
        </is>
      </c>
    </row>
    <row r="1815">
      <c r="A1815" t="inlineStr">
        <is>
          <t>900005401</t>
        </is>
      </c>
      <c r="B1815" t="inlineStr">
        <is>
          <t>D836</t>
        </is>
      </c>
      <c r="C1815" t="inlineStr">
        <is>
          <t>66490957</t>
        </is>
      </c>
      <c r="D1815" t="inlineStr">
        <is>
          <t>10182154</t>
        </is>
      </c>
      <c r="E1815" t="inlineStr"/>
      <c r="F1815" s="11" t="n">
        <v>102</v>
      </c>
      <c r="G1815" t="inlineStr"/>
      <c r="I1815" t="inlineStr">
        <is>
          <t>M3</t>
        </is>
      </c>
      <c r="J1815" t="inlineStr"/>
      <c r="K1815" t="inlineStr">
        <is>
          <t>20190426</t>
        </is>
      </c>
      <c r="L1815" t="inlineStr">
        <is>
          <t>20250127</t>
        </is>
      </c>
    </row>
    <row r="1816">
      <c r="A1816" t="inlineStr">
        <is>
          <t>900005401</t>
        </is>
      </c>
      <c r="B1816" t="inlineStr">
        <is>
          <t>D836</t>
        </is>
      </c>
      <c r="C1816" t="inlineStr">
        <is>
          <t>66624554</t>
        </is>
      </c>
      <c r="D1816" t="inlineStr">
        <is>
          <t>10000253</t>
        </is>
      </c>
      <c r="E1816" t="inlineStr"/>
      <c r="F1816" s="11" t="n">
        <v>90.09999999999999</v>
      </c>
      <c r="G1816" t="inlineStr"/>
      <c r="I1816" t="inlineStr">
        <is>
          <t>M3</t>
        </is>
      </c>
      <c r="J1816" t="inlineStr"/>
      <c r="K1816" t="inlineStr">
        <is>
          <t>20190426</t>
        </is>
      </c>
      <c r="L1816" t="inlineStr">
        <is>
          <t>20250127</t>
        </is>
      </c>
    </row>
    <row r="1817">
      <c r="A1817" t="inlineStr">
        <is>
          <t>900005401</t>
        </is>
      </c>
      <c r="B1817" t="inlineStr">
        <is>
          <t>D836</t>
        </is>
      </c>
      <c r="C1817" t="inlineStr">
        <is>
          <t>66624554</t>
        </is>
      </c>
      <c r="D1817" t="inlineStr">
        <is>
          <t>10000627</t>
        </is>
      </c>
      <c r="E1817" t="inlineStr"/>
      <c r="F1817" s="11" t="n">
        <v>79.5</v>
      </c>
      <c r="G1817" t="inlineStr"/>
      <c r="I1817" t="inlineStr">
        <is>
          <t>M3</t>
        </is>
      </c>
      <c r="J1817" t="inlineStr"/>
      <c r="K1817" t="inlineStr">
        <is>
          <t>20190426</t>
        </is>
      </c>
      <c r="L1817" t="inlineStr">
        <is>
          <t>20250127</t>
        </is>
      </c>
    </row>
    <row r="1818">
      <c r="A1818" t="inlineStr">
        <is>
          <t>900005401</t>
        </is>
      </c>
      <c r="B1818" t="inlineStr">
        <is>
          <t>D836</t>
        </is>
      </c>
      <c r="C1818" t="inlineStr">
        <is>
          <t>66624554</t>
        </is>
      </c>
      <c r="D1818" t="inlineStr">
        <is>
          <t>10059181</t>
        </is>
      </c>
      <c r="E1818" t="inlineStr"/>
      <c r="F1818" s="11" t="n">
        <v>79.5</v>
      </c>
      <c r="G1818" t="inlineStr"/>
      <c r="I1818" t="inlineStr">
        <is>
          <t>M3</t>
        </is>
      </c>
      <c r="J1818" t="inlineStr"/>
      <c r="K1818" t="inlineStr">
        <is>
          <t>20190426</t>
        </is>
      </c>
      <c r="L1818" t="inlineStr">
        <is>
          <t>20250127</t>
        </is>
      </c>
    </row>
    <row r="1819">
      <c r="A1819" t="inlineStr">
        <is>
          <t>900005401</t>
        </is>
      </c>
      <c r="B1819" t="inlineStr">
        <is>
          <t>D836</t>
        </is>
      </c>
      <c r="C1819" t="inlineStr">
        <is>
          <t>66779276</t>
        </is>
      </c>
      <c r="D1819" t="inlineStr">
        <is>
          <t>10000253</t>
        </is>
      </c>
      <c r="E1819" t="inlineStr"/>
      <c r="F1819" s="11" t="n">
        <v>93.5</v>
      </c>
      <c r="G1819" t="inlineStr"/>
      <c r="I1819" t="inlineStr">
        <is>
          <t>M3</t>
        </is>
      </c>
      <c r="J1819" t="inlineStr"/>
      <c r="K1819" t="inlineStr">
        <is>
          <t>20190426</t>
        </is>
      </c>
      <c r="L1819" t="inlineStr">
        <is>
          <t>20250127</t>
        </is>
      </c>
    </row>
    <row r="1820">
      <c r="A1820" t="inlineStr">
        <is>
          <t>900005401</t>
        </is>
      </c>
      <c r="B1820" t="inlineStr">
        <is>
          <t>D836</t>
        </is>
      </c>
      <c r="C1820" t="inlineStr">
        <is>
          <t>66779276</t>
        </is>
      </c>
      <c r="D1820" t="inlineStr">
        <is>
          <t>10000651</t>
        </is>
      </c>
      <c r="E1820" t="inlineStr"/>
      <c r="F1820" s="11" t="n">
        <v>102</v>
      </c>
      <c r="G1820" t="inlineStr"/>
      <c r="I1820" t="inlineStr">
        <is>
          <t>M3</t>
        </is>
      </c>
      <c r="J1820" t="inlineStr"/>
      <c r="K1820" t="inlineStr">
        <is>
          <t>20190426</t>
        </is>
      </c>
      <c r="L1820" t="inlineStr">
        <is>
          <t>20250127</t>
        </is>
      </c>
    </row>
    <row r="1821">
      <c r="A1821" t="inlineStr">
        <is>
          <t>900005401</t>
        </is>
      </c>
      <c r="B1821" t="inlineStr">
        <is>
          <t>D836</t>
        </is>
      </c>
      <c r="C1821" t="inlineStr">
        <is>
          <t>66779276</t>
        </is>
      </c>
      <c r="D1821" t="inlineStr">
        <is>
          <t>10059181</t>
        </is>
      </c>
      <c r="E1821" t="inlineStr"/>
      <c r="F1821" s="11" t="n">
        <v>82.5</v>
      </c>
      <c r="G1821" t="inlineStr"/>
      <c r="I1821" t="inlineStr">
        <is>
          <t>M3</t>
        </is>
      </c>
      <c r="J1821" t="inlineStr"/>
      <c r="K1821" t="inlineStr">
        <is>
          <t>20190426</t>
        </is>
      </c>
      <c r="L1821" t="inlineStr">
        <is>
          <t>20250127</t>
        </is>
      </c>
    </row>
    <row r="1822">
      <c r="A1822" t="inlineStr">
        <is>
          <t>900005401</t>
        </is>
      </c>
      <c r="B1822" t="inlineStr">
        <is>
          <t>D836</t>
        </is>
      </c>
      <c r="C1822" t="inlineStr">
        <is>
          <t>66799029</t>
        </is>
      </c>
      <c r="D1822" t="inlineStr">
        <is>
          <t>10059181</t>
        </is>
      </c>
      <c r="E1822" t="inlineStr"/>
      <c r="F1822" s="11" t="n">
        <v>82</v>
      </c>
      <c r="G1822" t="inlineStr"/>
      <c r="I1822" t="inlineStr">
        <is>
          <t>M3</t>
        </is>
      </c>
      <c r="J1822" t="inlineStr"/>
      <c r="K1822" t="inlineStr">
        <is>
          <t>20190426</t>
        </is>
      </c>
      <c r="L1822" t="inlineStr">
        <is>
          <t>20250127</t>
        </is>
      </c>
    </row>
    <row r="1823">
      <c r="A1823" t="inlineStr">
        <is>
          <t>900005401</t>
        </is>
      </c>
      <c r="B1823" t="inlineStr">
        <is>
          <t>D836</t>
        </is>
      </c>
      <c r="C1823" t="inlineStr">
        <is>
          <t>66884146</t>
        </is>
      </c>
      <c r="D1823" t="inlineStr">
        <is>
          <t>10000253</t>
        </is>
      </c>
      <c r="E1823" t="inlineStr"/>
      <c r="F1823" s="11" t="n">
        <v>100</v>
      </c>
      <c r="G1823" t="inlineStr"/>
      <c r="I1823" t="inlineStr">
        <is>
          <t>M3</t>
        </is>
      </c>
      <c r="J1823" t="inlineStr"/>
      <c r="K1823" t="inlineStr">
        <is>
          <t>20190426</t>
        </is>
      </c>
      <c r="L1823" t="inlineStr">
        <is>
          <t>20250127</t>
        </is>
      </c>
    </row>
    <row r="1824">
      <c r="A1824" t="inlineStr">
        <is>
          <t>900005401</t>
        </is>
      </c>
      <c r="B1824" t="inlineStr">
        <is>
          <t>D836</t>
        </is>
      </c>
      <c r="C1824" t="inlineStr">
        <is>
          <t>66884146</t>
        </is>
      </c>
      <c r="D1824" t="inlineStr">
        <is>
          <t>10059181</t>
        </is>
      </c>
      <c r="E1824" t="inlineStr"/>
      <c r="F1824" s="11" t="n">
        <v>88</v>
      </c>
      <c r="G1824" t="inlineStr"/>
      <c r="I1824" t="inlineStr">
        <is>
          <t>M3</t>
        </is>
      </c>
      <c r="J1824" t="inlineStr"/>
      <c r="K1824" t="inlineStr">
        <is>
          <t>20190426</t>
        </is>
      </c>
      <c r="L1824" t="inlineStr">
        <is>
          <t>20250127</t>
        </is>
      </c>
    </row>
    <row r="1825">
      <c r="A1825" t="inlineStr">
        <is>
          <t>900005401</t>
        </is>
      </c>
      <c r="B1825" t="inlineStr">
        <is>
          <t>D836</t>
        </is>
      </c>
      <c r="C1825" t="inlineStr">
        <is>
          <t>66884146</t>
        </is>
      </c>
      <c r="D1825" t="inlineStr">
        <is>
          <t>10200676</t>
        </is>
      </c>
      <c r="E1825" t="inlineStr"/>
      <c r="F1825" s="11" t="n">
        <v>115</v>
      </c>
      <c r="G1825" t="inlineStr"/>
      <c r="I1825" t="inlineStr">
        <is>
          <t>M3</t>
        </is>
      </c>
      <c r="J1825" t="inlineStr"/>
      <c r="K1825" t="inlineStr">
        <is>
          <t>20190426</t>
        </is>
      </c>
      <c r="L1825" t="inlineStr">
        <is>
          <t>20250127</t>
        </is>
      </c>
    </row>
    <row r="1826">
      <c r="A1826" t="inlineStr">
        <is>
          <t>900005401</t>
        </is>
      </c>
      <c r="B1826" t="inlineStr">
        <is>
          <t>D836</t>
        </is>
      </c>
      <c r="C1826" t="inlineStr">
        <is>
          <t>66900173</t>
        </is>
      </c>
      <c r="D1826" t="inlineStr">
        <is>
          <t>10059181</t>
        </is>
      </c>
      <c r="E1826" t="inlineStr"/>
      <c r="F1826" s="11" t="n">
        <v>82</v>
      </c>
      <c r="G1826" t="inlineStr"/>
      <c r="I1826" t="inlineStr">
        <is>
          <t>M3</t>
        </is>
      </c>
      <c r="J1826" t="inlineStr"/>
      <c r="K1826" t="inlineStr">
        <is>
          <t>20190426</t>
        </is>
      </c>
      <c r="L1826" t="inlineStr">
        <is>
          <t>20250127</t>
        </is>
      </c>
    </row>
    <row r="1827">
      <c r="A1827" t="inlineStr">
        <is>
          <t>900005401</t>
        </is>
      </c>
      <c r="B1827" t="inlineStr">
        <is>
          <t>D836</t>
        </is>
      </c>
      <c r="C1827" t="inlineStr">
        <is>
          <t>66982551</t>
        </is>
      </c>
      <c r="D1827" t="inlineStr">
        <is>
          <t>10000253</t>
        </is>
      </c>
      <c r="E1827" t="inlineStr"/>
      <c r="F1827" s="11" t="n">
        <v>100</v>
      </c>
      <c r="G1827" t="inlineStr"/>
      <c r="I1827" t="inlineStr">
        <is>
          <t>M3</t>
        </is>
      </c>
      <c r="J1827" t="inlineStr"/>
      <c r="K1827" t="inlineStr">
        <is>
          <t>20190426</t>
        </is>
      </c>
      <c r="L1827" t="inlineStr">
        <is>
          <t>20250127</t>
        </is>
      </c>
    </row>
    <row r="1828">
      <c r="A1828" t="inlineStr">
        <is>
          <t>900005401</t>
        </is>
      </c>
      <c r="B1828" t="inlineStr">
        <is>
          <t>D836</t>
        </is>
      </c>
      <c r="C1828" t="inlineStr">
        <is>
          <t>66982551</t>
        </is>
      </c>
      <c r="D1828" t="inlineStr">
        <is>
          <t>10200676</t>
        </is>
      </c>
      <c r="E1828" t="inlineStr"/>
      <c r="F1828" s="11" t="n">
        <v>115</v>
      </c>
      <c r="G1828" t="inlineStr"/>
      <c r="I1828" t="inlineStr">
        <is>
          <t>M3</t>
        </is>
      </c>
      <c r="J1828" t="inlineStr"/>
      <c r="K1828" t="inlineStr">
        <is>
          <t>20190426</t>
        </is>
      </c>
      <c r="L1828" t="inlineStr">
        <is>
          <t>20250127</t>
        </is>
      </c>
    </row>
    <row r="1829">
      <c r="A1829" t="inlineStr">
        <is>
          <t>900005401</t>
        </is>
      </c>
      <c r="B1829" t="inlineStr">
        <is>
          <t>D836</t>
        </is>
      </c>
      <c r="C1829" t="inlineStr">
        <is>
          <t>67011332</t>
        </is>
      </c>
      <c r="D1829" t="inlineStr">
        <is>
          <t>10000253</t>
        </is>
      </c>
      <c r="E1829" t="inlineStr"/>
      <c r="F1829" s="11" t="n">
        <v>110</v>
      </c>
      <c r="G1829" t="inlineStr"/>
      <c r="I1829" t="inlineStr">
        <is>
          <t>M3</t>
        </is>
      </c>
      <c r="J1829" t="inlineStr"/>
      <c r="K1829" t="inlineStr">
        <is>
          <t>20190426</t>
        </is>
      </c>
      <c r="L1829" t="inlineStr">
        <is>
          <t>20250127</t>
        </is>
      </c>
    </row>
    <row r="1830">
      <c r="A1830" t="inlineStr">
        <is>
          <t>900005401</t>
        </is>
      </c>
      <c r="B1830" t="inlineStr">
        <is>
          <t>D836</t>
        </is>
      </c>
      <c r="C1830" t="inlineStr">
        <is>
          <t>67011332</t>
        </is>
      </c>
      <c r="D1830" t="inlineStr">
        <is>
          <t>10000627</t>
        </is>
      </c>
      <c r="E1830" t="inlineStr"/>
      <c r="F1830" s="11" t="n">
        <v>100</v>
      </c>
      <c r="G1830" t="inlineStr"/>
      <c r="I1830" t="inlineStr">
        <is>
          <t>M3</t>
        </is>
      </c>
      <c r="J1830" t="inlineStr"/>
      <c r="K1830" t="inlineStr">
        <is>
          <t>20190426</t>
        </is>
      </c>
      <c r="L1830" t="inlineStr">
        <is>
          <t>20250127</t>
        </is>
      </c>
    </row>
    <row r="1831">
      <c r="A1831" t="inlineStr">
        <is>
          <t>900005401</t>
        </is>
      </c>
      <c r="B1831" t="inlineStr">
        <is>
          <t>D836</t>
        </is>
      </c>
      <c r="C1831" t="inlineStr">
        <is>
          <t>67011332</t>
        </is>
      </c>
      <c r="D1831" t="inlineStr">
        <is>
          <t>10059181</t>
        </is>
      </c>
      <c r="E1831" t="inlineStr"/>
      <c r="F1831" s="11" t="n">
        <v>95</v>
      </c>
      <c r="G1831" t="inlineStr"/>
      <c r="I1831" t="inlineStr">
        <is>
          <t>M3</t>
        </is>
      </c>
      <c r="J1831" t="inlineStr"/>
      <c r="K1831" t="inlineStr">
        <is>
          <t>20190426</t>
        </is>
      </c>
      <c r="L1831" t="inlineStr">
        <is>
          <t>20250127</t>
        </is>
      </c>
    </row>
    <row r="1832">
      <c r="A1832" t="inlineStr">
        <is>
          <t>900005533</t>
        </is>
      </c>
      <c r="B1832" t="inlineStr">
        <is>
          <t>D836</t>
        </is>
      </c>
      <c r="C1832" t="inlineStr">
        <is>
          <t>65911289</t>
        </is>
      </c>
      <c r="D1832" t="inlineStr">
        <is>
          <t>10159180</t>
        </is>
      </c>
      <c r="E1832" t="inlineStr"/>
      <c r="F1832" s="11" t="n">
        <v>290</v>
      </c>
      <c r="G1832" t="inlineStr"/>
      <c r="I1832" t="inlineStr">
        <is>
          <t>M3</t>
        </is>
      </c>
      <c r="J1832" t="inlineStr"/>
      <c r="K1832" t="inlineStr">
        <is>
          <t>20190426</t>
        </is>
      </c>
      <c r="L1832" t="inlineStr">
        <is>
          <t>20250127</t>
        </is>
      </c>
    </row>
    <row r="1833">
      <c r="A1833" t="inlineStr">
        <is>
          <t>900005586</t>
        </is>
      </c>
      <c r="B1833" t="inlineStr">
        <is>
          <t>D836</t>
        </is>
      </c>
      <c r="C1833" t="inlineStr">
        <is>
          <t>66591199</t>
        </is>
      </c>
      <c r="D1833" t="inlineStr">
        <is>
          <t>10152927</t>
        </is>
      </c>
      <c r="E1833" t="inlineStr"/>
      <c r="F1833" s="11" t="n">
        <v>200</v>
      </c>
      <c r="G1833" t="inlineStr"/>
      <c r="I1833" t="inlineStr">
        <is>
          <t>M3</t>
        </is>
      </c>
      <c r="J1833" t="inlineStr"/>
      <c r="K1833" t="inlineStr">
        <is>
          <t>20190426</t>
        </is>
      </c>
      <c r="L1833" t="inlineStr">
        <is>
          <t>20250127</t>
        </is>
      </c>
    </row>
    <row r="1834">
      <c r="A1834" t="inlineStr">
        <is>
          <t>900005586</t>
        </is>
      </c>
      <c r="B1834" t="inlineStr">
        <is>
          <t>D836</t>
        </is>
      </c>
      <c r="C1834" t="inlineStr">
        <is>
          <t>66618135</t>
        </is>
      </c>
      <c r="D1834" t="inlineStr">
        <is>
          <t>10152927</t>
        </is>
      </c>
      <c r="E1834" t="inlineStr"/>
      <c r="F1834" s="11" t="n">
        <v>200</v>
      </c>
      <c r="G1834" t="inlineStr"/>
      <c r="I1834" t="inlineStr">
        <is>
          <t>M3</t>
        </is>
      </c>
      <c r="J1834" t="inlineStr"/>
      <c r="K1834" t="inlineStr">
        <is>
          <t>20190426</t>
        </is>
      </c>
      <c r="L1834" t="inlineStr">
        <is>
          <t>20250127</t>
        </is>
      </c>
    </row>
    <row r="1835">
      <c r="A1835" t="inlineStr">
        <is>
          <t>900005627</t>
        </is>
      </c>
      <c r="B1835" t="inlineStr">
        <is>
          <t>D836</t>
        </is>
      </c>
      <c r="C1835" t="inlineStr">
        <is>
          <t>65911289</t>
        </is>
      </c>
      <c r="D1835" t="inlineStr">
        <is>
          <t>10189652</t>
        </is>
      </c>
      <c r="E1835" t="inlineStr"/>
      <c r="F1835" s="11" t="n">
        <v>435</v>
      </c>
      <c r="G1835" t="inlineStr"/>
      <c r="I1835" t="inlineStr">
        <is>
          <t>M3</t>
        </is>
      </c>
      <c r="J1835" t="inlineStr"/>
      <c r="K1835" t="inlineStr">
        <is>
          <t>20190426</t>
        </is>
      </c>
      <c r="L1835" t="inlineStr">
        <is>
          <t>20250127</t>
        </is>
      </c>
    </row>
    <row r="1836">
      <c r="A1836" t="inlineStr">
        <is>
          <t>900005627</t>
        </is>
      </c>
      <c r="B1836" t="inlineStr">
        <is>
          <t>D836</t>
        </is>
      </c>
      <c r="C1836" t="inlineStr">
        <is>
          <t>65911289</t>
        </is>
      </c>
      <c r="D1836" t="inlineStr">
        <is>
          <t>10189935</t>
        </is>
      </c>
      <c r="E1836" t="inlineStr"/>
      <c r="F1836" s="11" t="n">
        <v>370</v>
      </c>
      <c r="G1836" t="inlineStr"/>
      <c r="I1836" t="inlineStr">
        <is>
          <t>M3</t>
        </is>
      </c>
      <c r="J1836" t="inlineStr"/>
      <c r="K1836" t="inlineStr">
        <is>
          <t>20190426</t>
        </is>
      </c>
      <c r="L1836" t="inlineStr">
        <is>
          <t>20250127</t>
        </is>
      </c>
    </row>
    <row r="1837">
      <c r="A1837" t="inlineStr">
        <is>
          <t>900005627</t>
        </is>
      </c>
      <c r="B1837" t="inlineStr">
        <is>
          <t>D836</t>
        </is>
      </c>
      <c r="C1837" t="inlineStr">
        <is>
          <t>66458217</t>
        </is>
      </c>
      <c r="D1837" t="inlineStr">
        <is>
          <t>10000598</t>
        </is>
      </c>
      <c r="E1837" t="inlineStr"/>
      <c r="F1837" s="11" t="n">
        <v>300</v>
      </c>
      <c r="G1837" t="inlineStr"/>
      <c r="I1837" t="inlineStr">
        <is>
          <t>M3</t>
        </is>
      </c>
      <c r="J1837" t="inlineStr"/>
      <c r="K1837" t="inlineStr">
        <is>
          <t>20190426</t>
        </is>
      </c>
      <c r="L1837" t="inlineStr">
        <is>
          <t>20250127</t>
        </is>
      </c>
    </row>
    <row r="1838">
      <c r="A1838" t="inlineStr">
        <is>
          <t>900005627</t>
        </is>
      </c>
      <c r="B1838" t="inlineStr">
        <is>
          <t>D836</t>
        </is>
      </c>
      <c r="C1838" t="inlineStr">
        <is>
          <t>66458217</t>
        </is>
      </c>
      <c r="D1838" t="inlineStr">
        <is>
          <t>10154187</t>
        </is>
      </c>
      <c r="E1838" t="inlineStr"/>
      <c r="F1838" s="11" t="n">
        <v>290</v>
      </c>
      <c r="G1838" t="inlineStr"/>
      <c r="I1838" t="inlineStr">
        <is>
          <t>M3</t>
        </is>
      </c>
      <c r="J1838" t="inlineStr"/>
      <c r="K1838" t="inlineStr">
        <is>
          <t>20190426</t>
        </is>
      </c>
      <c r="L1838" t="inlineStr">
        <is>
          <t>20250127</t>
        </is>
      </c>
    </row>
    <row r="1839">
      <c r="A1839" t="inlineStr">
        <is>
          <t>900005627</t>
        </is>
      </c>
      <c r="B1839" t="inlineStr">
        <is>
          <t>D836</t>
        </is>
      </c>
      <c r="C1839" t="inlineStr">
        <is>
          <t>66526341</t>
        </is>
      </c>
      <c r="D1839" t="inlineStr">
        <is>
          <t>10154416</t>
        </is>
      </c>
      <c r="E1839" t="inlineStr"/>
      <c r="F1839" s="11" t="n">
        <v>140</v>
      </c>
      <c r="G1839" t="inlineStr"/>
      <c r="I1839" t="inlineStr">
        <is>
          <t>M3</t>
        </is>
      </c>
      <c r="J1839" t="inlineStr"/>
      <c r="K1839" t="inlineStr">
        <is>
          <t>20190426</t>
        </is>
      </c>
      <c r="L1839" t="inlineStr">
        <is>
          <t>20250127</t>
        </is>
      </c>
    </row>
    <row r="1840">
      <c r="A1840" t="inlineStr">
        <is>
          <t>900005627</t>
        </is>
      </c>
      <c r="B1840" t="inlineStr">
        <is>
          <t>D836</t>
        </is>
      </c>
      <c r="C1840" t="inlineStr">
        <is>
          <t>66526343</t>
        </is>
      </c>
      <c r="D1840" t="inlineStr">
        <is>
          <t>10154416</t>
        </is>
      </c>
      <c r="E1840" t="inlineStr"/>
      <c r="F1840" s="11" t="n">
        <v>140</v>
      </c>
      <c r="G1840" t="inlineStr"/>
      <c r="I1840" t="inlineStr">
        <is>
          <t>M3</t>
        </is>
      </c>
      <c r="J1840" t="inlineStr"/>
      <c r="K1840" t="inlineStr">
        <is>
          <t>20190426</t>
        </is>
      </c>
      <c r="L1840" t="inlineStr">
        <is>
          <t>20250127</t>
        </is>
      </c>
    </row>
    <row r="1841">
      <c r="A1841" t="inlineStr">
        <is>
          <t>900005627</t>
        </is>
      </c>
      <c r="B1841" t="inlineStr">
        <is>
          <t>D836</t>
        </is>
      </c>
      <c r="C1841" t="inlineStr">
        <is>
          <t>66538213</t>
        </is>
      </c>
      <c r="D1841" t="inlineStr">
        <is>
          <t>10154416</t>
        </is>
      </c>
      <c r="E1841" t="inlineStr"/>
      <c r="F1841" s="11" t="n">
        <v>140</v>
      </c>
      <c r="G1841" t="inlineStr"/>
      <c r="I1841" t="inlineStr">
        <is>
          <t>M3</t>
        </is>
      </c>
      <c r="J1841" t="inlineStr"/>
      <c r="K1841" t="inlineStr">
        <is>
          <t>20190426</t>
        </is>
      </c>
      <c r="L1841" t="inlineStr">
        <is>
          <t>20250127</t>
        </is>
      </c>
    </row>
    <row r="1842">
      <c r="A1842" t="inlineStr">
        <is>
          <t>900005627</t>
        </is>
      </c>
      <c r="B1842" t="inlineStr">
        <is>
          <t>D836</t>
        </is>
      </c>
      <c r="C1842" t="inlineStr">
        <is>
          <t>67164038</t>
        </is>
      </c>
      <c r="D1842" t="inlineStr">
        <is>
          <t>10159061</t>
        </is>
      </c>
      <c r="E1842" t="inlineStr"/>
      <c r="F1842" s="11" t="n">
        <v>145</v>
      </c>
      <c r="G1842" t="inlineStr"/>
      <c r="I1842" t="inlineStr">
        <is>
          <t>M3</t>
        </is>
      </c>
      <c r="J1842" t="inlineStr"/>
      <c r="K1842" t="inlineStr">
        <is>
          <t>20190426</t>
        </is>
      </c>
      <c r="L1842" t="inlineStr">
        <is>
          <t>20250127</t>
        </is>
      </c>
    </row>
    <row r="1843">
      <c r="A1843" t="inlineStr">
        <is>
          <t>900006005</t>
        </is>
      </c>
      <c r="B1843" t="inlineStr">
        <is>
          <t>D836</t>
        </is>
      </c>
      <c r="C1843" t="inlineStr">
        <is>
          <t>65251399</t>
        </is>
      </c>
      <c r="D1843" t="inlineStr">
        <is>
          <t>10183920</t>
        </is>
      </c>
      <c r="E1843" t="inlineStr"/>
      <c r="F1843" s="11" t="n">
        <v>90</v>
      </c>
      <c r="G1843" t="inlineStr"/>
      <c r="I1843" t="inlineStr">
        <is>
          <t>M3</t>
        </is>
      </c>
      <c r="J1843" t="inlineStr"/>
      <c r="K1843" t="inlineStr">
        <is>
          <t>20190426</t>
        </is>
      </c>
      <c r="L1843" t="inlineStr">
        <is>
          <t>20250127</t>
        </is>
      </c>
    </row>
    <row r="1844">
      <c r="A1844" t="inlineStr">
        <is>
          <t>900006005</t>
        </is>
      </c>
      <c r="B1844" t="inlineStr">
        <is>
          <t>D836</t>
        </is>
      </c>
      <c r="C1844" t="inlineStr">
        <is>
          <t>65272437</t>
        </is>
      </c>
      <c r="D1844" t="inlineStr">
        <is>
          <t>10000630</t>
        </is>
      </c>
      <c r="E1844" t="inlineStr"/>
      <c r="F1844" s="11" t="n">
        <v>120</v>
      </c>
      <c r="G1844" t="inlineStr"/>
      <c r="I1844" t="inlineStr">
        <is>
          <t>M3</t>
        </is>
      </c>
      <c r="J1844" t="inlineStr"/>
      <c r="K1844" t="inlineStr">
        <is>
          <t>20190426</t>
        </is>
      </c>
      <c r="L1844" t="inlineStr">
        <is>
          <t>20250127</t>
        </is>
      </c>
    </row>
    <row r="1845">
      <c r="A1845" t="inlineStr">
        <is>
          <t>900006005</t>
        </is>
      </c>
      <c r="B1845" t="inlineStr">
        <is>
          <t>D836</t>
        </is>
      </c>
      <c r="C1845" t="inlineStr">
        <is>
          <t>66233244</t>
        </is>
      </c>
      <c r="D1845" t="inlineStr">
        <is>
          <t>10000427</t>
        </is>
      </c>
      <c r="E1845" t="inlineStr"/>
      <c r="F1845" s="11" t="n">
        <v>134.4</v>
      </c>
      <c r="G1845" t="inlineStr"/>
      <c r="I1845" t="inlineStr">
        <is>
          <t>M3</t>
        </is>
      </c>
      <c r="J1845" t="inlineStr"/>
      <c r="K1845" t="inlineStr">
        <is>
          <t>20190426</t>
        </is>
      </c>
      <c r="L1845" t="inlineStr">
        <is>
          <t>20250127</t>
        </is>
      </c>
    </row>
    <row r="1846">
      <c r="A1846" t="inlineStr">
        <is>
          <t>900006005</t>
        </is>
      </c>
      <c r="B1846" t="inlineStr">
        <is>
          <t>D836</t>
        </is>
      </c>
      <c r="C1846" t="inlineStr">
        <is>
          <t>66233244</t>
        </is>
      </c>
      <c r="D1846" t="inlineStr">
        <is>
          <t>10000623</t>
        </is>
      </c>
      <c r="E1846" t="inlineStr"/>
      <c r="F1846" s="11" t="n">
        <v>134.4</v>
      </c>
      <c r="G1846" t="inlineStr"/>
      <c r="I1846" t="inlineStr">
        <is>
          <t>M3</t>
        </is>
      </c>
      <c r="J1846" t="inlineStr"/>
      <c r="K1846" t="inlineStr">
        <is>
          <t>20190426</t>
        </is>
      </c>
      <c r="L1846" t="inlineStr">
        <is>
          <t>20250127</t>
        </is>
      </c>
    </row>
    <row r="1847">
      <c r="A1847" t="inlineStr">
        <is>
          <t>900006005</t>
        </is>
      </c>
      <c r="B1847" t="inlineStr">
        <is>
          <t>D836</t>
        </is>
      </c>
      <c r="C1847" t="inlineStr">
        <is>
          <t>66233244</t>
        </is>
      </c>
      <c r="D1847" t="inlineStr">
        <is>
          <t>10000624</t>
        </is>
      </c>
      <c r="E1847" t="inlineStr"/>
      <c r="F1847" s="11" t="n">
        <v>134.4</v>
      </c>
      <c r="G1847" t="inlineStr"/>
      <c r="I1847" t="inlineStr">
        <is>
          <t>M3</t>
        </is>
      </c>
      <c r="J1847" t="inlineStr"/>
      <c r="K1847" t="inlineStr">
        <is>
          <t>20190426</t>
        </is>
      </c>
      <c r="L1847" t="inlineStr">
        <is>
          <t>20250127</t>
        </is>
      </c>
    </row>
    <row r="1848">
      <c r="A1848" t="inlineStr">
        <is>
          <t>900006005</t>
        </is>
      </c>
      <c r="B1848" t="inlineStr">
        <is>
          <t>D836</t>
        </is>
      </c>
      <c r="C1848" t="inlineStr">
        <is>
          <t>66233244</t>
        </is>
      </c>
      <c r="D1848" t="inlineStr">
        <is>
          <t>10000811</t>
        </is>
      </c>
      <c r="E1848" t="inlineStr"/>
      <c r="F1848" s="11" t="n">
        <v>134.4</v>
      </c>
      <c r="G1848" t="inlineStr"/>
      <c r="I1848" t="inlineStr">
        <is>
          <t>TN</t>
        </is>
      </c>
      <c r="J1848" t="inlineStr"/>
      <c r="K1848" t="inlineStr">
        <is>
          <t>20190426</t>
        </is>
      </c>
      <c r="L1848" t="inlineStr">
        <is>
          <t>20250127</t>
        </is>
      </c>
    </row>
    <row r="1849">
      <c r="A1849" t="inlineStr">
        <is>
          <t>900006005</t>
        </is>
      </c>
      <c r="B1849" t="inlineStr">
        <is>
          <t>D836</t>
        </is>
      </c>
      <c r="C1849" t="inlineStr">
        <is>
          <t>66239598</t>
        </is>
      </c>
      <c r="D1849" t="inlineStr">
        <is>
          <t>10000623</t>
        </is>
      </c>
      <c r="E1849" t="inlineStr"/>
      <c r="F1849" s="11" t="n">
        <v>134.74</v>
      </c>
      <c r="G1849" t="inlineStr"/>
      <c r="I1849" t="inlineStr">
        <is>
          <t>M3</t>
        </is>
      </c>
      <c r="J1849" t="inlineStr"/>
      <c r="K1849" t="inlineStr">
        <is>
          <t>20190426</t>
        </is>
      </c>
      <c r="L1849" t="inlineStr">
        <is>
          <t>20250127</t>
        </is>
      </c>
    </row>
    <row r="1850">
      <c r="A1850" t="inlineStr">
        <is>
          <t>900006005</t>
        </is>
      </c>
      <c r="B1850" t="inlineStr">
        <is>
          <t>D836</t>
        </is>
      </c>
      <c r="C1850" t="inlineStr">
        <is>
          <t>66239617</t>
        </is>
      </c>
      <c r="D1850" t="inlineStr">
        <is>
          <t>10000623</t>
        </is>
      </c>
      <c r="E1850" t="inlineStr"/>
      <c r="F1850" s="11" t="n">
        <v>134.74</v>
      </c>
      <c r="G1850" t="inlineStr"/>
      <c r="I1850" t="inlineStr">
        <is>
          <t>M3</t>
        </is>
      </c>
      <c r="J1850" t="inlineStr"/>
      <c r="K1850" t="inlineStr">
        <is>
          <t>20190426</t>
        </is>
      </c>
      <c r="L1850" t="inlineStr">
        <is>
          <t>20250127</t>
        </is>
      </c>
    </row>
    <row r="1851">
      <c r="A1851" t="inlineStr">
        <is>
          <t>900006005</t>
        </is>
      </c>
      <c r="B1851" t="inlineStr">
        <is>
          <t>D836</t>
        </is>
      </c>
      <c r="C1851" t="inlineStr">
        <is>
          <t>66239628</t>
        </is>
      </c>
      <c r="D1851" t="inlineStr">
        <is>
          <t>10000623</t>
        </is>
      </c>
      <c r="E1851" t="inlineStr"/>
      <c r="F1851" s="11" t="n">
        <v>134.74</v>
      </c>
      <c r="G1851" t="inlineStr"/>
      <c r="I1851" t="inlineStr">
        <is>
          <t>M3</t>
        </is>
      </c>
      <c r="J1851" t="inlineStr"/>
      <c r="K1851" t="inlineStr">
        <is>
          <t>20190426</t>
        </is>
      </c>
      <c r="L1851" t="inlineStr">
        <is>
          <t>20250127</t>
        </is>
      </c>
    </row>
    <row r="1852">
      <c r="A1852" t="inlineStr">
        <is>
          <t>900006005</t>
        </is>
      </c>
      <c r="B1852" t="inlineStr">
        <is>
          <t>D836</t>
        </is>
      </c>
      <c r="C1852" t="inlineStr">
        <is>
          <t>66289413</t>
        </is>
      </c>
      <c r="D1852" t="inlineStr">
        <is>
          <t>10000623</t>
        </is>
      </c>
      <c r="E1852" t="inlineStr"/>
      <c r="F1852" s="11" t="n">
        <v>134.74</v>
      </c>
      <c r="G1852" t="inlineStr"/>
      <c r="I1852" t="inlineStr">
        <is>
          <t>M3</t>
        </is>
      </c>
      <c r="J1852" t="inlineStr"/>
      <c r="K1852" t="inlineStr">
        <is>
          <t>20190426</t>
        </is>
      </c>
      <c r="L1852" t="inlineStr">
        <is>
          <t>20250127</t>
        </is>
      </c>
    </row>
    <row r="1853">
      <c r="A1853" t="inlineStr">
        <is>
          <t>900006005</t>
        </is>
      </c>
      <c r="B1853" t="inlineStr">
        <is>
          <t>D836</t>
        </is>
      </c>
      <c r="C1853" t="inlineStr">
        <is>
          <t>66482288</t>
        </is>
      </c>
      <c r="D1853" t="inlineStr">
        <is>
          <t>10000623</t>
        </is>
      </c>
      <c r="E1853" t="inlineStr"/>
      <c r="F1853" s="11" t="n">
        <v>134.74</v>
      </c>
      <c r="G1853" t="inlineStr"/>
      <c r="I1853" t="inlineStr">
        <is>
          <t>M3</t>
        </is>
      </c>
      <c r="J1853" t="inlineStr"/>
      <c r="K1853" t="inlineStr">
        <is>
          <t>20190426</t>
        </is>
      </c>
      <c r="L1853" t="inlineStr">
        <is>
          <t>20250127</t>
        </is>
      </c>
    </row>
    <row r="1854">
      <c r="A1854" t="inlineStr">
        <is>
          <t>900006005</t>
        </is>
      </c>
      <c r="B1854" t="inlineStr">
        <is>
          <t>D836</t>
        </is>
      </c>
      <c r="C1854" t="inlineStr">
        <is>
          <t>66597345</t>
        </is>
      </c>
      <c r="D1854" t="inlineStr">
        <is>
          <t>10000427</t>
        </is>
      </c>
      <c r="E1854" t="inlineStr"/>
      <c r="F1854" s="11" t="n">
        <v>134.5</v>
      </c>
      <c r="G1854" t="inlineStr"/>
      <c r="I1854" t="inlineStr">
        <is>
          <t>M3</t>
        </is>
      </c>
      <c r="J1854" t="inlineStr"/>
      <c r="K1854" t="inlineStr">
        <is>
          <t>20190426</t>
        </is>
      </c>
      <c r="L1854" t="inlineStr">
        <is>
          <t>20250127</t>
        </is>
      </c>
    </row>
    <row r="1855">
      <c r="A1855" t="inlineStr">
        <is>
          <t>900006005</t>
        </is>
      </c>
      <c r="B1855" t="inlineStr">
        <is>
          <t>D836</t>
        </is>
      </c>
      <c r="C1855" t="inlineStr">
        <is>
          <t>66793342</t>
        </is>
      </c>
      <c r="D1855" t="inlineStr">
        <is>
          <t>10000427</t>
        </is>
      </c>
      <c r="E1855" t="inlineStr"/>
      <c r="F1855" s="11" t="n">
        <v>134.5</v>
      </c>
      <c r="G1855" t="inlineStr"/>
      <c r="I1855" t="inlineStr">
        <is>
          <t>M3</t>
        </is>
      </c>
      <c r="J1855" t="inlineStr"/>
      <c r="K1855" t="inlineStr">
        <is>
          <t>20190426</t>
        </is>
      </c>
      <c r="L1855" t="inlineStr">
        <is>
          <t>20250127</t>
        </is>
      </c>
    </row>
    <row r="1856">
      <c r="A1856" t="inlineStr">
        <is>
          <t>900006005</t>
        </is>
      </c>
      <c r="B1856" t="inlineStr">
        <is>
          <t>D836</t>
        </is>
      </c>
      <c r="C1856" t="inlineStr">
        <is>
          <t>66838326</t>
        </is>
      </c>
      <c r="D1856" t="inlineStr">
        <is>
          <t>10000630</t>
        </is>
      </c>
      <c r="E1856" t="inlineStr"/>
      <c r="F1856" s="11" t="n">
        <v>120</v>
      </c>
      <c r="G1856" t="inlineStr"/>
      <c r="I1856" t="inlineStr">
        <is>
          <t>M3</t>
        </is>
      </c>
      <c r="J1856" t="inlineStr"/>
      <c r="K1856" t="inlineStr">
        <is>
          <t>20190426</t>
        </is>
      </c>
      <c r="L1856" t="inlineStr">
        <is>
          <t>20250127</t>
        </is>
      </c>
    </row>
    <row r="1857">
      <c r="A1857" t="inlineStr">
        <is>
          <t>900006030</t>
        </is>
      </c>
      <c r="B1857" t="inlineStr">
        <is>
          <t>D836</t>
        </is>
      </c>
      <c r="C1857" t="inlineStr">
        <is>
          <t>66624663</t>
        </is>
      </c>
      <c r="D1857" t="inlineStr">
        <is>
          <t>10000811</t>
        </is>
      </c>
      <c r="E1857" t="inlineStr"/>
      <c r="F1857" s="11" t="n">
        <v>355</v>
      </c>
      <c r="G1857" t="inlineStr"/>
      <c r="I1857" t="inlineStr">
        <is>
          <t>M3</t>
        </is>
      </c>
      <c r="J1857" t="inlineStr"/>
      <c r="K1857" t="inlineStr">
        <is>
          <t>20190426</t>
        </is>
      </c>
      <c r="L1857" t="inlineStr">
        <is>
          <t>20250127</t>
        </is>
      </c>
    </row>
    <row r="1858">
      <c r="A1858" t="inlineStr">
        <is>
          <t>900006030</t>
        </is>
      </c>
      <c r="B1858" t="inlineStr">
        <is>
          <t>D836</t>
        </is>
      </c>
      <c r="C1858" t="inlineStr">
        <is>
          <t>66624663</t>
        </is>
      </c>
      <c r="D1858" t="inlineStr">
        <is>
          <t>10161192</t>
        </is>
      </c>
      <c r="E1858" t="inlineStr"/>
      <c r="F1858" s="11" t="n">
        <v>410</v>
      </c>
      <c r="G1858" t="inlineStr"/>
      <c r="I1858" t="inlineStr">
        <is>
          <t>M3</t>
        </is>
      </c>
      <c r="J1858" t="inlineStr"/>
      <c r="K1858" t="inlineStr">
        <is>
          <t>20190426</t>
        </is>
      </c>
      <c r="L1858" t="inlineStr">
        <is>
          <t>20250127</t>
        </is>
      </c>
    </row>
    <row r="1859">
      <c r="A1859" t="inlineStr">
        <is>
          <t>900006030</t>
        </is>
      </c>
      <c r="B1859" t="inlineStr">
        <is>
          <t>D836</t>
        </is>
      </c>
      <c r="C1859" t="inlineStr">
        <is>
          <t>66624663</t>
        </is>
      </c>
      <c r="D1859" t="inlineStr">
        <is>
          <t>10161492</t>
        </is>
      </c>
      <c r="E1859" t="inlineStr"/>
      <c r="F1859" s="11" t="n">
        <v>310</v>
      </c>
      <c r="G1859" t="inlineStr"/>
      <c r="I1859" t="inlineStr">
        <is>
          <t>M3</t>
        </is>
      </c>
      <c r="J1859" t="inlineStr"/>
      <c r="K1859" t="inlineStr">
        <is>
          <t>20190426</t>
        </is>
      </c>
      <c r="L1859" t="inlineStr">
        <is>
          <t>20250127</t>
        </is>
      </c>
    </row>
    <row r="1860">
      <c r="A1860" t="inlineStr">
        <is>
          <t>900006030</t>
        </is>
      </c>
      <c r="B1860" t="inlineStr">
        <is>
          <t>D836</t>
        </is>
      </c>
      <c r="C1860" t="inlineStr">
        <is>
          <t>66640810</t>
        </is>
      </c>
      <c r="D1860" t="inlineStr">
        <is>
          <t>10165990</t>
        </is>
      </c>
      <c r="E1860" t="inlineStr"/>
      <c r="F1860" s="11" t="n">
        <v>262.5</v>
      </c>
      <c r="G1860" t="inlineStr"/>
      <c r="I1860" t="inlineStr">
        <is>
          <t>M3</t>
        </is>
      </c>
      <c r="J1860" t="inlineStr"/>
      <c r="K1860" t="inlineStr">
        <is>
          <t>20190426</t>
        </is>
      </c>
      <c r="L1860" t="inlineStr">
        <is>
          <t>20250127</t>
        </is>
      </c>
    </row>
    <row r="1861">
      <c r="A1861" t="inlineStr">
        <is>
          <t>900006185</t>
        </is>
      </c>
      <c r="B1861" t="inlineStr">
        <is>
          <t>D836</t>
        </is>
      </c>
      <c r="C1861" t="inlineStr">
        <is>
          <t>66506827</t>
        </is>
      </c>
      <c r="D1861" t="inlineStr">
        <is>
          <t>10000133</t>
        </is>
      </c>
      <c r="E1861" t="inlineStr"/>
      <c r="F1861" s="11" t="n">
        <v>614.75</v>
      </c>
      <c r="G1861" t="inlineStr"/>
      <c r="I1861" t="inlineStr">
        <is>
          <t>M3</t>
        </is>
      </c>
      <c r="J1861" t="inlineStr"/>
      <c r="K1861" t="inlineStr">
        <is>
          <t>20190426</t>
        </is>
      </c>
      <c r="L1861" t="inlineStr">
        <is>
          <t>20250127</t>
        </is>
      </c>
    </row>
    <row r="1862">
      <c r="A1862" t="inlineStr">
        <is>
          <t>900006185</t>
        </is>
      </c>
      <c r="B1862" t="inlineStr">
        <is>
          <t>D836</t>
        </is>
      </c>
      <c r="C1862" t="inlineStr">
        <is>
          <t>66555781</t>
        </is>
      </c>
      <c r="D1862" t="inlineStr">
        <is>
          <t>10000140</t>
        </is>
      </c>
      <c r="E1862" t="inlineStr"/>
      <c r="F1862" s="11" t="n">
        <v>562.5</v>
      </c>
      <c r="G1862" t="inlineStr"/>
      <c r="I1862" t="inlineStr">
        <is>
          <t>M3</t>
        </is>
      </c>
      <c r="J1862" t="inlineStr"/>
      <c r="K1862" t="inlineStr">
        <is>
          <t>20190426</t>
        </is>
      </c>
      <c r="L1862" t="inlineStr">
        <is>
          <t>20250127</t>
        </is>
      </c>
    </row>
    <row r="1863">
      <c r="A1863" t="inlineStr">
        <is>
          <t>900006185</t>
        </is>
      </c>
      <c r="B1863" t="inlineStr">
        <is>
          <t>D836</t>
        </is>
      </c>
      <c r="C1863" t="inlineStr">
        <is>
          <t>66555781</t>
        </is>
      </c>
      <c r="D1863" t="inlineStr">
        <is>
          <t>10000160</t>
        </is>
      </c>
      <c r="E1863" t="inlineStr"/>
      <c r="F1863" s="11" t="n">
        <v>562.5</v>
      </c>
      <c r="G1863" t="inlineStr"/>
      <c r="I1863" t="inlineStr">
        <is>
          <t>M3</t>
        </is>
      </c>
      <c r="J1863" t="inlineStr"/>
      <c r="K1863" t="inlineStr">
        <is>
          <t>20190426</t>
        </is>
      </c>
      <c r="L1863" t="inlineStr">
        <is>
          <t>20250127</t>
        </is>
      </c>
    </row>
    <row r="1864">
      <c r="A1864" t="inlineStr">
        <is>
          <t>900006185</t>
        </is>
      </c>
      <c r="B1864" t="inlineStr">
        <is>
          <t>D836</t>
        </is>
      </c>
      <c r="C1864" t="inlineStr">
        <is>
          <t>66555781</t>
        </is>
      </c>
      <c r="D1864" t="inlineStr">
        <is>
          <t>10000357</t>
        </is>
      </c>
      <c r="E1864" t="inlineStr"/>
      <c r="F1864" s="11" t="n">
        <v>562.5</v>
      </c>
      <c r="G1864" t="inlineStr"/>
      <c r="I1864" t="inlineStr">
        <is>
          <t>M3</t>
        </is>
      </c>
      <c r="J1864" t="inlineStr"/>
      <c r="K1864" t="inlineStr">
        <is>
          <t>20190426</t>
        </is>
      </c>
      <c r="L1864" t="inlineStr">
        <is>
          <t>20250127</t>
        </is>
      </c>
    </row>
    <row r="1865">
      <c r="A1865" t="inlineStr">
        <is>
          <t>900006185</t>
        </is>
      </c>
      <c r="B1865" t="inlineStr">
        <is>
          <t>D836</t>
        </is>
      </c>
      <c r="C1865" t="inlineStr">
        <is>
          <t>66555781</t>
        </is>
      </c>
      <c r="D1865" t="inlineStr">
        <is>
          <t>10000627</t>
        </is>
      </c>
      <c r="E1865" t="inlineStr"/>
      <c r="F1865" s="11" t="n">
        <v>562.5</v>
      </c>
      <c r="G1865" t="inlineStr"/>
      <c r="I1865" t="inlineStr">
        <is>
          <t>M3</t>
        </is>
      </c>
      <c r="J1865" t="inlineStr"/>
      <c r="K1865" t="inlineStr">
        <is>
          <t>20190426</t>
        </is>
      </c>
      <c r="L1865" t="inlineStr">
        <is>
          <t>20250127</t>
        </is>
      </c>
    </row>
    <row r="1866">
      <c r="A1866" t="inlineStr">
        <is>
          <t>900006185</t>
        </is>
      </c>
      <c r="B1866" t="inlineStr">
        <is>
          <t>D836</t>
        </is>
      </c>
      <c r="C1866" t="inlineStr">
        <is>
          <t>66555781</t>
        </is>
      </c>
      <c r="D1866" t="inlineStr">
        <is>
          <t>10037590</t>
        </is>
      </c>
      <c r="E1866" t="inlineStr"/>
      <c r="F1866" s="11" t="n">
        <v>562.5</v>
      </c>
      <c r="G1866" t="inlineStr"/>
      <c r="I1866" t="inlineStr">
        <is>
          <t>M3</t>
        </is>
      </c>
      <c r="J1866" t="inlineStr"/>
      <c r="K1866" t="inlineStr">
        <is>
          <t>20190426</t>
        </is>
      </c>
      <c r="L1866" t="inlineStr">
        <is>
          <t>20250127</t>
        </is>
      </c>
    </row>
    <row r="1867">
      <c r="A1867" t="inlineStr">
        <is>
          <t>900006185</t>
        </is>
      </c>
      <c r="B1867" t="inlineStr">
        <is>
          <t>D836</t>
        </is>
      </c>
      <c r="C1867" t="inlineStr">
        <is>
          <t>66595909</t>
        </is>
      </c>
      <c r="D1867" t="inlineStr">
        <is>
          <t>10000133</t>
        </is>
      </c>
      <c r="E1867" t="inlineStr"/>
      <c r="F1867" s="11" t="n">
        <v>250</v>
      </c>
      <c r="G1867" t="inlineStr"/>
      <c r="I1867" t="inlineStr">
        <is>
          <t>M3</t>
        </is>
      </c>
      <c r="J1867" t="inlineStr"/>
      <c r="K1867" t="inlineStr">
        <is>
          <t>20190426</t>
        </is>
      </c>
      <c r="L1867" t="inlineStr">
        <is>
          <t>20250127</t>
        </is>
      </c>
    </row>
    <row r="1868">
      <c r="A1868" t="inlineStr">
        <is>
          <t>900006185</t>
        </is>
      </c>
      <c r="B1868" t="inlineStr">
        <is>
          <t>D836</t>
        </is>
      </c>
      <c r="C1868" t="inlineStr">
        <is>
          <t>66595909</t>
        </is>
      </c>
      <c r="D1868" t="inlineStr">
        <is>
          <t>10149994</t>
        </is>
      </c>
      <c r="E1868" t="inlineStr"/>
      <c r="F1868" s="11" t="n">
        <v>230</v>
      </c>
      <c r="G1868" t="inlineStr"/>
      <c r="I1868" t="inlineStr">
        <is>
          <t>M3</t>
        </is>
      </c>
      <c r="J1868" t="inlineStr"/>
      <c r="K1868" t="inlineStr">
        <is>
          <t>20190426</t>
        </is>
      </c>
      <c r="L1868" t="inlineStr">
        <is>
          <t>20250127</t>
        </is>
      </c>
    </row>
    <row r="1869">
      <c r="A1869" t="inlineStr">
        <is>
          <t>900006185</t>
        </is>
      </c>
      <c r="B1869" t="inlineStr">
        <is>
          <t>D836</t>
        </is>
      </c>
      <c r="C1869" t="inlineStr">
        <is>
          <t>66600227</t>
        </is>
      </c>
      <c r="D1869" t="inlineStr">
        <is>
          <t>10000357</t>
        </is>
      </c>
      <c r="E1869" t="inlineStr"/>
      <c r="F1869" s="11" t="n">
        <v>1425</v>
      </c>
      <c r="G1869" t="inlineStr"/>
      <c r="I1869" t="inlineStr">
        <is>
          <t>M3</t>
        </is>
      </c>
      <c r="J1869" t="inlineStr"/>
      <c r="K1869" t="inlineStr">
        <is>
          <t>20190426</t>
        </is>
      </c>
      <c r="L1869" t="inlineStr">
        <is>
          <t>20250127</t>
        </is>
      </c>
    </row>
    <row r="1870">
      <c r="A1870" t="inlineStr">
        <is>
          <t>900006185</t>
        </is>
      </c>
      <c r="B1870" t="inlineStr">
        <is>
          <t>D836</t>
        </is>
      </c>
      <c r="C1870" t="inlineStr">
        <is>
          <t>66600227</t>
        </is>
      </c>
      <c r="D1870" t="inlineStr">
        <is>
          <t>10000651</t>
        </is>
      </c>
      <c r="E1870" t="inlineStr"/>
      <c r="F1870" s="11" t="n">
        <v>1425</v>
      </c>
      <c r="G1870" t="inlineStr"/>
      <c r="I1870" t="inlineStr">
        <is>
          <t>M3</t>
        </is>
      </c>
      <c r="J1870" t="inlineStr"/>
      <c r="K1870" t="inlineStr">
        <is>
          <t>20190426</t>
        </is>
      </c>
      <c r="L1870" t="inlineStr">
        <is>
          <t>20250127</t>
        </is>
      </c>
    </row>
    <row r="1871">
      <c r="A1871" t="inlineStr">
        <is>
          <t>900006185</t>
        </is>
      </c>
      <c r="B1871" t="inlineStr">
        <is>
          <t>D836</t>
        </is>
      </c>
      <c r="C1871" t="inlineStr">
        <is>
          <t>66779276</t>
        </is>
      </c>
      <c r="D1871" t="inlineStr">
        <is>
          <t>10175979</t>
        </is>
      </c>
      <c r="E1871" t="inlineStr"/>
      <c r="F1871" s="11" t="n">
        <v>560</v>
      </c>
      <c r="G1871" t="inlineStr"/>
      <c r="I1871" t="inlineStr">
        <is>
          <t>TN</t>
        </is>
      </c>
      <c r="J1871" t="inlineStr"/>
      <c r="K1871" t="inlineStr">
        <is>
          <t>20190426</t>
        </is>
      </c>
      <c r="L1871" t="inlineStr">
        <is>
          <t>20250127</t>
        </is>
      </c>
    </row>
    <row r="1872">
      <c r="A1872" t="inlineStr">
        <is>
          <t>900006185</t>
        </is>
      </c>
      <c r="B1872" t="inlineStr">
        <is>
          <t>D836</t>
        </is>
      </c>
      <c r="C1872" t="inlineStr">
        <is>
          <t>66779276</t>
        </is>
      </c>
      <c r="D1872" t="inlineStr">
        <is>
          <t>10177979</t>
        </is>
      </c>
      <c r="E1872" t="inlineStr"/>
      <c r="F1872" s="11" t="n">
        <v>560</v>
      </c>
      <c r="G1872" t="inlineStr"/>
      <c r="I1872" t="inlineStr">
        <is>
          <t>TN</t>
        </is>
      </c>
      <c r="J1872" t="inlineStr"/>
      <c r="K1872" t="inlineStr">
        <is>
          <t>20190426</t>
        </is>
      </c>
      <c r="L1872" t="inlineStr">
        <is>
          <t>20250127</t>
        </is>
      </c>
    </row>
    <row r="1873">
      <c r="A1873" t="inlineStr">
        <is>
          <t>900006185</t>
        </is>
      </c>
      <c r="B1873" t="inlineStr">
        <is>
          <t>D836</t>
        </is>
      </c>
      <c r="C1873" t="inlineStr">
        <is>
          <t>66788750</t>
        </is>
      </c>
      <c r="D1873" t="inlineStr">
        <is>
          <t>10000133</t>
        </is>
      </c>
      <c r="E1873" t="inlineStr"/>
      <c r="F1873" s="11" t="n">
        <v>550</v>
      </c>
      <c r="G1873" t="inlineStr"/>
      <c r="I1873" t="inlineStr">
        <is>
          <t>TN</t>
        </is>
      </c>
      <c r="J1873" t="inlineStr"/>
      <c r="K1873" t="inlineStr">
        <is>
          <t>20190426</t>
        </is>
      </c>
      <c r="L1873" t="inlineStr">
        <is>
          <t>20250127</t>
        </is>
      </c>
    </row>
    <row r="1874">
      <c r="A1874" t="inlineStr">
        <is>
          <t>900006185</t>
        </is>
      </c>
      <c r="B1874" t="inlineStr">
        <is>
          <t>D836</t>
        </is>
      </c>
      <c r="C1874" t="inlineStr">
        <is>
          <t>66788750</t>
        </is>
      </c>
      <c r="D1874" t="inlineStr">
        <is>
          <t>10000651</t>
        </is>
      </c>
      <c r="E1874" t="inlineStr"/>
      <c r="F1874" s="11" t="n">
        <v>500</v>
      </c>
      <c r="G1874" t="inlineStr"/>
      <c r="I1874" t="inlineStr">
        <is>
          <t>TN</t>
        </is>
      </c>
      <c r="J1874" t="inlineStr"/>
      <c r="K1874" t="inlineStr">
        <is>
          <t>20190426</t>
        </is>
      </c>
      <c r="L1874" t="inlineStr">
        <is>
          <t>20250127</t>
        </is>
      </c>
    </row>
    <row r="1875">
      <c r="A1875" t="inlineStr">
        <is>
          <t>900006185</t>
        </is>
      </c>
      <c r="B1875" t="inlineStr">
        <is>
          <t>D836</t>
        </is>
      </c>
      <c r="C1875" t="inlineStr">
        <is>
          <t>66788750</t>
        </is>
      </c>
      <c r="D1875" t="inlineStr">
        <is>
          <t>10149994</t>
        </is>
      </c>
      <c r="E1875" t="inlineStr"/>
      <c r="F1875" s="11" t="n">
        <v>412.5</v>
      </c>
      <c r="G1875" t="inlineStr"/>
      <c r="I1875" t="inlineStr">
        <is>
          <t>M3</t>
        </is>
      </c>
      <c r="J1875" t="inlineStr"/>
      <c r="K1875" t="inlineStr">
        <is>
          <t>20190426</t>
        </is>
      </c>
      <c r="L1875" t="inlineStr">
        <is>
          <t>20250127</t>
        </is>
      </c>
    </row>
    <row r="1876">
      <c r="A1876" t="inlineStr">
        <is>
          <t>900006185</t>
        </is>
      </c>
      <c r="B1876" t="inlineStr">
        <is>
          <t>D836</t>
        </is>
      </c>
      <c r="C1876" t="inlineStr">
        <is>
          <t>66794474</t>
        </is>
      </c>
      <c r="D1876" t="inlineStr">
        <is>
          <t>10000160</t>
        </is>
      </c>
      <c r="E1876" t="inlineStr"/>
      <c r="F1876" s="11" t="n">
        <v>525</v>
      </c>
      <c r="G1876" t="inlineStr"/>
      <c r="I1876" t="inlineStr">
        <is>
          <t>TN</t>
        </is>
      </c>
      <c r="J1876" t="inlineStr"/>
      <c r="K1876" t="inlineStr">
        <is>
          <t>20190426</t>
        </is>
      </c>
      <c r="L1876" t="inlineStr">
        <is>
          <t>20250127</t>
        </is>
      </c>
    </row>
    <row r="1877">
      <c r="A1877" t="inlineStr">
        <is>
          <t>900006185</t>
        </is>
      </c>
      <c r="B1877" t="inlineStr">
        <is>
          <t>D836</t>
        </is>
      </c>
      <c r="C1877" t="inlineStr">
        <is>
          <t>66794474</t>
        </is>
      </c>
      <c r="D1877" t="inlineStr">
        <is>
          <t>10000357</t>
        </is>
      </c>
      <c r="E1877" t="inlineStr"/>
      <c r="F1877" s="11" t="n">
        <v>525</v>
      </c>
      <c r="G1877" t="inlineStr"/>
      <c r="I1877" t="inlineStr">
        <is>
          <t>TN</t>
        </is>
      </c>
      <c r="J1877" t="inlineStr"/>
      <c r="K1877" t="inlineStr">
        <is>
          <t>20190426</t>
        </is>
      </c>
      <c r="L1877" t="inlineStr">
        <is>
          <t>20250127</t>
        </is>
      </c>
    </row>
    <row r="1878">
      <c r="A1878" t="inlineStr">
        <is>
          <t>900006185</t>
        </is>
      </c>
      <c r="B1878" t="inlineStr">
        <is>
          <t>D836</t>
        </is>
      </c>
      <c r="C1878" t="inlineStr">
        <is>
          <t>66823198</t>
        </is>
      </c>
      <c r="D1878" t="inlineStr">
        <is>
          <t>10000357</t>
        </is>
      </c>
      <c r="E1878" t="inlineStr"/>
      <c r="F1878" s="11" t="n">
        <v>1425</v>
      </c>
      <c r="G1878" t="inlineStr"/>
      <c r="I1878" t="inlineStr">
        <is>
          <t>M3</t>
        </is>
      </c>
      <c r="J1878" t="inlineStr"/>
      <c r="K1878" t="inlineStr">
        <is>
          <t>20190426</t>
        </is>
      </c>
      <c r="L1878" t="inlineStr">
        <is>
          <t>20250127</t>
        </is>
      </c>
    </row>
    <row r="1879">
      <c r="A1879" t="inlineStr">
        <is>
          <t>900006185</t>
        </is>
      </c>
      <c r="B1879" t="inlineStr">
        <is>
          <t>D836</t>
        </is>
      </c>
      <c r="C1879" t="inlineStr">
        <is>
          <t>66823198</t>
        </is>
      </c>
      <c r="D1879" t="inlineStr">
        <is>
          <t>10000651</t>
        </is>
      </c>
      <c r="E1879" t="inlineStr"/>
      <c r="F1879" s="11" t="n">
        <v>1425</v>
      </c>
      <c r="G1879" t="inlineStr"/>
      <c r="I1879" t="inlineStr">
        <is>
          <t>M3</t>
        </is>
      </c>
      <c r="J1879" t="inlineStr"/>
      <c r="K1879" t="inlineStr">
        <is>
          <t>20190426</t>
        </is>
      </c>
      <c r="L1879" t="inlineStr">
        <is>
          <t>20250127</t>
        </is>
      </c>
    </row>
    <row r="1880">
      <c r="A1880" t="inlineStr">
        <is>
          <t>900006185</t>
        </is>
      </c>
      <c r="B1880" t="inlineStr">
        <is>
          <t>D836</t>
        </is>
      </c>
      <c r="C1880" t="inlineStr">
        <is>
          <t>66830683</t>
        </is>
      </c>
      <c r="D1880" t="inlineStr">
        <is>
          <t>10000160</t>
        </is>
      </c>
      <c r="E1880" t="inlineStr"/>
      <c r="F1880" s="11" t="n">
        <v>500</v>
      </c>
      <c r="G1880" t="inlineStr"/>
      <c r="I1880" t="inlineStr">
        <is>
          <t>TN</t>
        </is>
      </c>
      <c r="J1880" t="inlineStr"/>
      <c r="K1880" t="inlineStr">
        <is>
          <t>20190426</t>
        </is>
      </c>
      <c r="L1880" t="inlineStr">
        <is>
          <t>20250127</t>
        </is>
      </c>
    </row>
    <row r="1881">
      <c r="A1881" t="inlineStr">
        <is>
          <t>900006185</t>
        </is>
      </c>
      <c r="B1881" t="inlineStr">
        <is>
          <t>D836</t>
        </is>
      </c>
      <c r="C1881" t="inlineStr">
        <is>
          <t>66830683</t>
        </is>
      </c>
      <c r="D1881" t="inlineStr">
        <is>
          <t>10000206</t>
        </is>
      </c>
      <c r="E1881" t="inlineStr"/>
      <c r="F1881" s="11" t="n">
        <v>375</v>
      </c>
      <c r="G1881" t="inlineStr"/>
      <c r="I1881" t="inlineStr">
        <is>
          <t>M3</t>
        </is>
      </c>
      <c r="J1881" t="inlineStr"/>
      <c r="K1881" t="inlineStr">
        <is>
          <t>20190426</t>
        </is>
      </c>
      <c r="L1881" t="inlineStr">
        <is>
          <t>20250127</t>
        </is>
      </c>
    </row>
    <row r="1882">
      <c r="A1882" t="inlineStr">
        <is>
          <t>900006185</t>
        </is>
      </c>
      <c r="B1882" t="inlineStr">
        <is>
          <t>D836</t>
        </is>
      </c>
      <c r="C1882" t="inlineStr">
        <is>
          <t>66830683</t>
        </is>
      </c>
      <c r="D1882" t="inlineStr">
        <is>
          <t>10000357</t>
        </is>
      </c>
      <c r="E1882" t="inlineStr"/>
      <c r="F1882" s="11" t="n">
        <v>500</v>
      </c>
      <c r="G1882" t="inlineStr"/>
      <c r="I1882" t="inlineStr">
        <is>
          <t>TN</t>
        </is>
      </c>
      <c r="J1882" t="inlineStr"/>
      <c r="K1882" t="inlineStr">
        <is>
          <t>20190426</t>
        </is>
      </c>
      <c r="L1882" t="inlineStr">
        <is>
          <t>20250127</t>
        </is>
      </c>
    </row>
    <row r="1883">
      <c r="A1883" t="inlineStr">
        <is>
          <t>900006185</t>
        </is>
      </c>
      <c r="B1883" t="inlineStr">
        <is>
          <t>D836</t>
        </is>
      </c>
      <c r="C1883" t="inlineStr">
        <is>
          <t>66830683</t>
        </is>
      </c>
      <c r="D1883" t="inlineStr">
        <is>
          <t>10000627</t>
        </is>
      </c>
      <c r="E1883" t="inlineStr"/>
      <c r="F1883" s="11" t="n">
        <v>562.5</v>
      </c>
      <c r="G1883" t="inlineStr"/>
      <c r="I1883" t="inlineStr">
        <is>
          <t>M3</t>
        </is>
      </c>
      <c r="J1883" t="inlineStr"/>
      <c r="K1883" t="inlineStr">
        <is>
          <t>20190426</t>
        </is>
      </c>
      <c r="L1883" t="inlineStr">
        <is>
          <t>20250127</t>
        </is>
      </c>
    </row>
    <row r="1884">
      <c r="A1884" t="inlineStr">
        <is>
          <t>900006185</t>
        </is>
      </c>
      <c r="B1884" t="inlineStr">
        <is>
          <t>D836</t>
        </is>
      </c>
      <c r="C1884" t="inlineStr">
        <is>
          <t>66842692</t>
        </is>
      </c>
      <c r="D1884" t="inlineStr">
        <is>
          <t>10000160</t>
        </is>
      </c>
      <c r="E1884" t="inlineStr"/>
      <c r="F1884" s="11" t="n">
        <v>640</v>
      </c>
      <c r="G1884" t="inlineStr"/>
      <c r="I1884" t="inlineStr">
        <is>
          <t>M3</t>
        </is>
      </c>
      <c r="J1884" t="inlineStr"/>
      <c r="K1884" t="inlineStr">
        <is>
          <t>20190426</t>
        </is>
      </c>
      <c r="L1884" t="inlineStr">
        <is>
          <t>20250127</t>
        </is>
      </c>
    </row>
    <row r="1885">
      <c r="A1885" t="inlineStr">
        <is>
          <t>900006185</t>
        </is>
      </c>
      <c r="B1885" t="inlineStr">
        <is>
          <t>D836</t>
        </is>
      </c>
      <c r="C1885" t="inlineStr">
        <is>
          <t>66842692</t>
        </is>
      </c>
      <c r="D1885" t="inlineStr">
        <is>
          <t>10000357</t>
        </is>
      </c>
      <c r="E1885" t="inlineStr"/>
      <c r="F1885" s="11" t="n">
        <v>640</v>
      </c>
      <c r="G1885" t="inlineStr"/>
      <c r="I1885" t="inlineStr">
        <is>
          <t>M3</t>
        </is>
      </c>
      <c r="J1885" t="inlineStr"/>
      <c r="K1885" t="inlineStr">
        <is>
          <t>20190426</t>
        </is>
      </c>
      <c r="L1885" t="inlineStr">
        <is>
          <t>20250127</t>
        </is>
      </c>
    </row>
    <row r="1886">
      <c r="A1886" t="inlineStr">
        <is>
          <t>900006185</t>
        </is>
      </c>
      <c r="B1886" t="inlineStr">
        <is>
          <t>D836</t>
        </is>
      </c>
      <c r="C1886" t="inlineStr">
        <is>
          <t>66847144</t>
        </is>
      </c>
      <c r="D1886" t="inlineStr">
        <is>
          <t>10000160</t>
        </is>
      </c>
      <c r="E1886" t="inlineStr"/>
      <c r="F1886" s="11" t="n">
        <v>500</v>
      </c>
      <c r="G1886" t="inlineStr"/>
      <c r="I1886" t="inlineStr">
        <is>
          <t>M3</t>
        </is>
      </c>
      <c r="J1886" t="inlineStr"/>
      <c r="K1886" t="inlineStr">
        <is>
          <t>20190426</t>
        </is>
      </c>
      <c r="L1886" t="inlineStr">
        <is>
          <t>20250127</t>
        </is>
      </c>
    </row>
    <row r="1887">
      <c r="A1887" t="inlineStr">
        <is>
          <t>900006185</t>
        </is>
      </c>
      <c r="B1887" t="inlineStr">
        <is>
          <t>D836</t>
        </is>
      </c>
      <c r="C1887" t="inlineStr">
        <is>
          <t>66847144</t>
        </is>
      </c>
      <c r="D1887" t="inlineStr">
        <is>
          <t>10000357</t>
        </is>
      </c>
      <c r="E1887" t="inlineStr"/>
      <c r="F1887" s="11" t="n">
        <v>500</v>
      </c>
      <c r="G1887" t="inlineStr"/>
      <c r="I1887" t="inlineStr">
        <is>
          <t>M3</t>
        </is>
      </c>
      <c r="J1887" t="inlineStr"/>
      <c r="K1887" t="inlineStr">
        <is>
          <t>20190426</t>
        </is>
      </c>
      <c r="L1887" t="inlineStr">
        <is>
          <t>20250127</t>
        </is>
      </c>
    </row>
    <row r="1888">
      <c r="A1888" t="inlineStr">
        <is>
          <t>900006185</t>
        </is>
      </c>
      <c r="B1888" t="inlineStr">
        <is>
          <t>D836</t>
        </is>
      </c>
      <c r="C1888" t="inlineStr">
        <is>
          <t>66847816</t>
        </is>
      </c>
      <c r="D1888" t="inlineStr">
        <is>
          <t>10037590</t>
        </is>
      </c>
      <c r="E1888" t="inlineStr"/>
      <c r="F1888" s="11" t="n">
        <v>750</v>
      </c>
      <c r="G1888" t="inlineStr"/>
      <c r="I1888" t="inlineStr">
        <is>
          <t>TN</t>
        </is>
      </c>
      <c r="J1888" t="inlineStr"/>
      <c r="K1888" t="inlineStr">
        <is>
          <t>20190426</t>
        </is>
      </c>
      <c r="L1888" t="inlineStr">
        <is>
          <t>20250127</t>
        </is>
      </c>
    </row>
    <row r="1889">
      <c r="A1889" t="inlineStr">
        <is>
          <t>900006185</t>
        </is>
      </c>
      <c r="B1889" t="inlineStr">
        <is>
          <t>D836</t>
        </is>
      </c>
      <c r="C1889" t="inlineStr">
        <is>
          <t>66852206</t>
        </is>
      </c>
      <c r="D1889" t="inlineStr">
        <is>
          <t>10000160</t>
        </is>
      </c>
      <c r="E1889" t="inlineStr"/>
      <c r="F1889" s="11" t="n">
        <v>500</v>
      </c>
      <c r="G1889" t="inlineStr"/>
      <c r="I1889" t="inlineStr">
        <is>
          <t>M3</t>
        </is>
      </c>
      <c r="J1889" t="inlineStr"/>
      <c r="K1889" t="inlineStr">
        <is>
          <t>20190426</t>
        </is>
      </c>
      <c r="L1889" t="inlineStr">
        <is>
          <t>20250127</t>
        </is>
      </c>
    </row>
    <row r="1890">
      <c r="A1890" t="inlineStr">
        <is>
          <t>900006185</t>
        </is>
      </c>
      <c r="B1890" t="inlineStr">
        <is>
          <t>D836</t>
        </is>
      </c>
      <c r="C1890" t="inlineStr">
        <is>
          <t>66852206</t>
        </is>
      </c>
      <c r="D1890" t="inlineStr">
        <is>
          <t>10000357</t>
        </is>
      </c>
      <c r="E1890" t="inlineStr"/>
      <c r="F1890" s="11" t="n">
        <v>500</v>
      </c>
      <c r="G1890" t="inlineStr"/>
      <c r="I1890" t="inlineStr">
        <is>
          <t>M3</t>
        </is>
      </c>
      <c r="J1890" t="inlineStr"/>
      <c r="K1890" t="inlineStr">
        <is>
          <t>20190426</t>
        </is>
      </c>
      <c r="L1890" t="inlineStr">
        <is>
          <t>20250127</t>
        </is>
      </c>
    </row>
    <row r="1891">
      <c r="A1891" t="inlineStr">
        <is>
          <t>900006185</t>
        </is>
      </c>
      <c r="B1891" t="inlineStr">
        <is>
          <t>D836</t>
        </is>
      </c>
      <c r="C1891" t="inlineStr">
        <is>
          <t>66869655</t>
        </is>
      </c>
      <c r="D1891" t="inlineStr">
        <is>
          <t>10000160</t>
        </is>
      </c>
      <c r="E1891" t="inlineStr"/>
      <c r="F1891" s="11" t="n">
        <v>778.5</v>
      </c>
      <c r="G1891" t="inlineStr"/>
      <c r="I1891" t="inlineStr">
        <is>
          <t>M3</t>
        </is>
      </c>
      <c r="J1891" t="inlineStr"/>
      <c r="K1891" t="inlineStr">
        <is>
          <t>20190426</t>
        </is>
      </c>
      <c r="L1891" t="inlineStr">
        <is>
          <t>20250127</t>
        </is>
      </c>
    </row>
    <row r="1892">
      <c r="A1892" t="inlineStr">
        <is>
          <t>900006185</t>
        </is>
      </c>
      <c r="B1892" t="inlineStr">
        <is>
          <t>D836</t>
        </is>
      </c>
      <c r="C1892" t="inlineStr">
        <is>
          <t>66869655</t>
        </is>
      </c>
      <c r="D1892" t="inlineStr">
        <is>
          <t>10000357</t>
        </is>
      </c>
      <c r="E1892" t="inlineStr"/>
      <c r="F1892" s="11" t="n">
        <v>778.5</v>
      </c>
      <c r="G1892" t="inlineStr"/>
      <c r="I1892" t="inlineStr">
        <is>
          <t>M3</t>
        </is>
      </c>
      <c r="J1892" t="inlineStr"/>
      <c r="K1892" t="inlineStr">
        <is>
          <t>20190426</t>
        </is>
      </c>
      <c r="L1892" t="inlineStr">
        <is>
          <t>20250127</t>
        </is>
      </c>
    </row>
    <row r="1893">
      <c r="A1893" t="inlineStr">
        <is>
          <t>900006185</t>
        </is>
      </c>
      <c r="B1893" t="inlineStr">
        <is>
          <t>D836</t>
        </is>
      </c>
      <c r="C1893" t="inlineStr">
        <is>
          <t>66886969</t>
        </is>
      </c>
      <c r="D1893" t="inlineStr">
        <is>
          <t>10000206</t>
        </is>
      </c>
      <c r="E1893" t="inlineStr"/>
      <c r="F1893" s="11" t="n">
        <v>375</v>
      </c>
      <c r="G1893" t="inlineStr"/>
      <c r="I1893" t="inlineStr">
        <is>
          <t>M3</t>
        </is>
      </c>
      <c r="J1893" t="inlineStr"/>
      <c r="K1893" t="inlineStr">
        <is>
          <t>20190426</t>
        </is>
      </c>
      <c r="L1893" t="inlineStr">
        <is>
          <t>20250127</t>
        </is>
      </c>
    </row>
    <row r="1894">
      <c r="A1894" t="inlineStr">
        <is>
          <t>900006185</t>
        </is>
      </c>
      <c r="B1894" t="inlineStr">
        <is>
          <t>D836</t>
        </is>
      </c>
      <c r="C1894" t="inlineStr">
        <is>
          <t>66902320</t>
        </is>
      </c>
      <c r="D1894" t="inlineStr">
        <is>
          <t>10000357</t>
        </is>
      </c>
      <c r="E1894" t="inlineStr"/>
      <c r="F1894" s="11" t="n">
        <v>1425</v>
      </c>
      <c r="G1894" t="inlineStr"/>
      <c r="I1894" t="inlineStr">
        <is>
          <t>M3</t>
        </is>
      </c>
      <c r="J1894" t="inlineStr"/>
      <c r="K1894" t="inlineStr">
        <is>
          <t>20190426</t>
        </is>
      </c>
      <c r="L1894" t="inlineStr">
        <is>
          <t>20250127</t>
        </is>
      </c>
    </row>
    <row r="1895">
      <c r="A1895" t="inlineStr">
        <is>
          <t>900006185</t>
        </is>
      </c>
      <c r="B1895" t="inlineStr">
        <is>
          <t>D836</t>
        </is>
      </c>
      <c r="C1895" t="inlineStr">
        <is>
          <t>66902320</t>
        </is>
      </c>
      <c r="D1895" t="inlineStr">
        <is>
          <t>10000651</t>
        </is>
      </c>
      <c r="E1895" t="inlineStr"/>
      <c r="F1895" s="11" t="n">
        <v>1425</v>
      </c>
      <c r="G1895" t="inlineStr"/>
      <c r="I1895" t="inlineStr">
        <is>
          <t>M3</t>
        </is>
      </c>
      <c r="J1895" t="inlineStr"/>
      <c r="K1895" t="inlineStr">
        <is>
          <t>20190426</t>
        </is>
      </c>
      <c r="L1895" t="inlineStr">
        <is>
          <t>20250127</t>
        </is>
      </c>
    </row>
    <row r="1896">
      <c r="A1896" t="inlineStr">
        <is>
          <t>900006185</t>
        </is>
      </c>
      <c r="B1896" t="inlineStr">
        <is>
          <t>D836</t>
        </is>
      </c>
      <c r="C1896" t="inlineStr">
        <is>
          <t>66908004</t>
        </is>
      </c>
      <c r="D1896" t="inlineStr">
        <is>
          <t>10000357</t>
        </is>
      </c>
      <c r="E1896" t="inlineStr"/>
      <c r="F1896" s="11" t="n">
        <v>1425</v>
      </c>
      <c r="G1896" t="inlineStr"/>
      <c r="I1896" t="inlineStr">
        <is>
          <t>M3</t>
        </is>
      </c>
      <c r="J1896" t="inlineStr"/>
      <c r="K1896" t="inlineStr">
        <is>
          <t>20190426</t>
        </is>
      </c>
      <c r="L1896" t="inlineStr">
        <is>
          <t>20250127</t>
        </is>
      </c>
    </row>
    <row r="1897">
      <c r="A1897" t="inlineStr">
        <is>
          <t>900006185</t>
        </is>
      </c>
      <c r="B1897" t="inlineStr">
        <is>
          <t>D836</t>
        </is>
      </c>
      <c r="C1897" t="inlineStr">
        <is>
          <t>66908004</t>
        </is>
      </c>
      <c r="D1897" t="inlineStr">
        <is>
          <t>10000651</t>
        </is>
      </c>
      <c r="E1897" t="inlineStr"/>
      <c r="F1897" s="11" t="n">
        <v>1425</v>
      </c>
      <c r="G1897" t="inlineStr"/>
      <c r="I1897" t="inlineStr">
        <is>
          <t>M3</t>
        </is>
      </c>
      <c r="J1897" t="inlineStr"/>
      <c r="K1897" t="inlineStr">
        <is>
          <t>20190426</t>
        </is>
      </c>
      <c r="L1897" t="inlineStr">
        <is>
          <t>20250127</t>
        </is>
      </c>
    </row>
    <row r="1898">
      <c r="A1898" t="inlineStr">
        <is>
          <t>900006185</t>
        </is>
      </c>
      <c r="B1898" t="inlineStr">
        <is>
          <t>D836</t>
        </is>
      </c>
      <c r="C1898" t="inlineStr">
        <is>
          <t>66933313</t>
        </is>
      </c>
      <c r="D1898" t="inlineStr">
        <is>
          <t>10000133</t>
        </is>
      </c>
      <c r="E1898" t="inlineStr"/>
      <c r="F1898" s="11" t="n">
        <v>113.18</v>
      </c>
      <c r="G1898" t="inlineStr"/>
      <c r="I1898" t="inlineStr">
        <is>
          <t>TN</t>
        </is>
      </c>
      <c r="J1898" t="inlineStr"/>
      <c r="K1898" t="inlineStr">
        <is>
          <t>20190426</t>
        </is>
      </c>
      <c r="L1898" t="inlineStr">
        <is>
          <t>20250127</t>
        </is>
      </c>
    </row>
    <row r="1899">
      <c r="A1899" t="inlineStr">
        <is>
          <t>900006185</t>
        </is>
      </c>
      <c r="B1899" t="inlineStr">
        <is>
          <t>D836</t>
        </is>
      </c>
      <c r="C1899" t="inlineStr">
        <is>
          <t>66933313</t>
        </is>
      </c>
      <c r="D1899" t="inlineStr">
        <is>
          <t>10149994</t>
        </is>
      </c>
      <c r="E1899" t="inlineStr"/>
      <c r="F1899" s="11" t="n">
        <v>94.51000000000001</v>
      </c>
      <c r="G1899" t="inlineStr"/>
      <c r="I1899" t="inlineStr">
        <is>
          <t>TN</t>
        </is>
      </c>
      <c r="J1899" t="inlineStr"/>
      <c r="K1899" t="inlineStr">
        <is>
          <t>20190426</t>
        </is>
      </c>
      <c r="L1899" t="inlineStr">
        <is>
          <t>20250127</t>
        </is>
      </c>
    </row>
    <row r="1900">
      <c r="A1900" t="inlineStr">
        <is>
          <t>900006185</t>
        </is>
      </c>
      <c r="B1900" t="inlineStr">
        <is>
          <t>D836</t>
        </is>
      </c>
      <c r="C1900" t="inlineStr">
        <is>
          <t>66976140</t>
        </is>
      </c>
      <c r="D1900" t="inlineStr">
        <is>
          <t>10000133</t>
        </is>
      </c>
      <c r="E1900" t="inlineStr"/>
      <c r="F1900" s="11" t="n">
        <v>1700</v>
      </c>
      <c r="G1900" t="inlineStr"/>
      <c r="I1900" t="inlineStr">
        <is>
          <t>M3</t>
        </is>
      </c>
      <c r="J1900" t="inlineStr"/>
      <c r="K1900" t="inlineStr">
        <is>
          <t>20190426</t>
        </is>
      </c>
      <c r="L1900" t="inlineStr">
        <is>
          <t>20250127</t>
        </is>
      </c>
    </row>
    <row r="1901">
      <c r="A1901" t="inlineStr">
        <is>
          <t>900006185</t>
        </is>
      </c>
      <c r="B1901" t="inlineStr">
        <is>
          <t>D836</t>
        </is>
      </c>
      <c r="C1901" t="inlineStr">
        <is>
          <t>66989007</t>
        </is>
      </c>
      <c r="D1901" t="inlineStr">
        <is>
          <t>10000651</t>
        </is>
      </c>
      <c r="E1901" t="inlineStr"/>
      <c r="F1901" s="11" t="n">
        <v>1425</v>
      </c>
      <c r="G1901" t="inlineStr"/>
      <c r="I1901" t="inlineStr">
        <is>
          <t>M3</t>
        </is>
      </c>
      <c r="J1901" t="inlineStr"/>
      <c r="K1901" t="inlineStr">
        <is>
          <t>20190426</t>
        </is>
      </c>
      <c r="L1901" t="inlineStr">
        <is>
          <t>20250127</t>
        </is>
      </c>
    </row>
    <row r="1902">
      <c r="A1902" t="inlineStr">
        <is>
          <t>900006185</t>
        </is>
      </c>
      <c r="B1902" t="inlineStr">
        <is>
          <t>D836</t>
        </is>
      </c>
      <c r="C1902" t="inlineStr">
        <is>
          <t>66989007</t>
        </is>
      </c>
      <c r="D1902" t="inlineStr">
        <is>
          <t>10178773</t>
        </is>
      </c>
      <c r="E1902" t="inlineStr"/>
      <c r="F1902" s="11" t="n">
        <v>1875</v>
      </c>
      <c r="G1902" t="inlineStr"/>
      <c r="I1902" t="inlineStr">
        <is>
          <t>M3</t>
        </is>
      </c>
      <c r="J1902" t="inlineStr"/>
      <c r="K1902" t="inlineStr">
        <is>
          <t>20190426</t>
        </is>
      </c>
      <c r="L1902" t="inlineStr">
        <is>
          <t>20250127</t>
        </is>
      </c>
    </row>
    <row r="1903">
      <c r="A1903" t="inlineStr">
        <is>
          <t>900006185</t>
        </is>
      </c>
      <c r="B1903" t="inlineStr">
        <is>
          <t>D836</t>
        </is>
      </c>
      <c r="C1903" t="inlineStr">
        <is>
          <t>66998640</t>
        </is>
      </c>
      <c r="D1903" t="inlineStr">
        <is>
          <t>10000160</t>
        </is>
      </c>
      <c r="E1903" t="inlineStr"/>
      <c r="F1903" s="11" t="n">
        <v>1676</v>
      </c>
      <c r="G1903" t="inlineStr"/>
      <c r="I1903" t="inlineStr">
        <is>
          <t>M3</t>
        </is>
      </c>
      <c r="J1903" t="inlineStr"/>
      <c r="K1903" t="inlineStr">
        <is>
          <t>20190426</t>
        </is>
      </c>
      <c r="L1903" t="inlineStr">
        <is>
          <t>20250127</t>
        </is>
      </c>
    </row>
    <row r="1904">
      <c r="A1904" t="inlineStr">
        <is>
          <t>900006185</t>
        </is>
      </c>
      <c r="B1904" t="inlineStr">
        <is>
          <t>D836</t>
        </is>
      </c>
      <c r="C1904" t="inlineStr">
        <is>
          <t>67005911</t>
        </is>
      </c>
      <c r="D1904" t="inlineStr">
        <is>
          <t>10000357</t>
        </is>
      </c>
      <c r="E1904" t="inlineStr"/>
      <c r="F1904" s="11" t="n">
        <v>1425</v>
      </c>
      <c r="G1904" t="inlineStr"/>
      <c r="I1904" t="inlineStr">
        <is>
          <t>M3</t>
        </is>
      </c>
      <c r="J1904" t="inlineStr"/>
      <c r="K1904" t="inlineStr">
        <is>
          <t>20190426</t>
        </is>
      </c>
      <c r="L1904" t="inlineStr">
        <is>
          <t>20250127</t>
        </is>
      </c>
    </row>
    <row r="1905">
      <c r="A1905" t="inlineStr">
        <is>
          <t>900006185</t>
        </is>
      </c>
      <c r="B1905" t="inlineStr">
        <is>
          <t>D836</t>
        </is>
      </c>
      <c r="C1905" t="inlineStr">
        <is>
          <t>67005911</t>
        </is>
      </c>
      <c r="D1905" t="inlineStr">
        <is>
          <t>10000651</t>
        </is>
      </c>
      <c r="E1905" t="inlineStr"/>
      <c r="F1905" s="11" t="n">
        <v>1425</v>
      </c>
      <c r="G1905" t="inlineStr"/>
      <c r="I1905" t="inlineStr">
        <is>
          <t>M3</t>
        </is>
      </c>
      <c r="J1905" t="inlineStr"/>
      <c r="K1905" t="inlineStr">
        <is>
          <t>20190426</t>
        </is>
      </c>
      <c r="L1905" t="inlineStr">
        <is>
          <t>20250127</t>
        </is>
      </c>
    </row>
    <row r="1906">
      <c r="A1906" t="inlineStr">
        <is>
          <t>900006185</t>
        </is>
      </c>
      <c r="B1906" t="inlineStr">
        <is>
          <t>D836</t>
        </is>
      </c>
      <c r="C1906" t="inlineStr">
        <is>
          <t>67145272</t>
        </is>
      </c>
      <c r="D1906" t="inlineStr">
        <is>
          <t>10000624</t>
        </is>
      </c>
      <c r="E1906" t="inlineStr"/>
      <c r="F1906" s="11" t="n">
        <v>732.2</v>
      </c>
      <c r="G1906" t="inlineStr"/>
      <c r="I1906" t="inlineStr">
        <is>
          <t>M3</t>
        </is>
      </c>
      <c r="J1906" t="inlineStr"/>
      <c r="K1906" t="inlineStr">
        <is>
          <t>20190426</t>
        </is>
      </c>
      <c r="L1906" t="inlineStr">
        <is>
          <t>20250127</t>
        </is>
      </c>
    </row>
    <row r="1907">
      <c r="A1907" t="inlineStr">
        <is>
          <t>900006185</t>
        </is>
      </c>
      <c r="B1907" t="inlineStr">
        <is>
          <t>D836</t>
        </is>
      </c>
      <c r="C1907" t="inlineStr">
        <is>
          <t>67157899</t>
        </is>
      </c>
      <c r="D1907" t="inlineStr">
        <is>
          <t>10236867</t>
        </is>
      </c>
      <c r="E1907" t="inlineStr"/>
      <c r="F1907" s="11" t="n">
        <v>2210</v>
      </c>
      <c r="G1907" t="inlineStr"/>
      <c r="I1907" t="inlineStr">
        <is>
          <t>TN</t>
        </is>
      </c>
      <c r="J1907" t="inlineStr"/>
      <c r="K1907" t="inlineStr">
        <is>
          <t>20190426</t>
        </is>
      </c>
      <c r="L1907" t="inlineStr">
        <is>
          <t>20250127</t>
        </is>
      </c>
    </row>
    <row r="1908">
      <c r="A1908" t="inlineStr">
        <is>
          <t>900006228</t>
        </is>
      </c>
      <c r="B1908" t="inlineStr">
        <is>
          <t>D836</t>
        </is>
      </c>
      <c r="C1908" t="inlineStr">
        <is>
          <t>66490694</t>
        </is>
      </c>
      <c r="D1908" t="inlineStr">
        <is>
          <t>10170112</t>
        </is>
      </c>
      <c r="E1908" t="inlineStr"/>
      <c r="F1908" s="11" t="n">
        <v>117</v>
      </c>
      <c r="G1908" t="inlineStr"/>
      <c r="I1908" t="inlineStr">
        <is>
          <t>M3</t>
        </is>
      </c>
      <c r="J1908" t="inlineStr"/>
      <c r="K1908" t="inlineStr">
        <is>
          <t>20190426</t>
        </is>
      </c>
      <c r="L1908" t="inlineStr">
        <is>
          <t>20250127</t>
        </is>
      </c>
    </row>
    <row r="1909">
      <c r="A1909" t="inlineStr">
        <is>
          <t>900006228</t>
        </is>
      </c>
      <c r="B1909" t="inlineStr">
        <is>
          <t>D836</t>
        </is>
      </c>
      <c r="C1909" t="inlineStr">
        <is>
          <t>66532867</t>
        </is>
      </c>
      <c r="D1909" t="inlineStr">
        <is>
          <t>10170112</t>
        </is>
      </c>
      <c r="E1909" t="inlineStr"/>
      <c r="F1909" s="11" t="n">
        <v>117</v>
      </c>
      <c r="G1909" t="inlineStr"/>
      <c r="I1909" t="inlineStr">
        <is>
          <t>M3</t>
        </is>
      </c>
      <c r="J1909" t="inlineStr"/>
      <c r="K1909" t="inlineStr">
        <is>
          <t>20190426</t>
        </is>
      </c>
      <c r="L1909" t="inlineStr">
        <is>
          <t>20250127</t>
        </is>
      </c>
    </row>
    <row r="1910">
      <c r="A1910" t="inlineStr">
        <is>
          <t>900006228</t>
        </is>
      </c>
      <c r="B1910" t="inlineStr">
        <is>
          <t>D836</t>
        </is>
      </c>
      <c r="C1910" t="inlineStr">
        <is>
          <t>66574596</t>
        </is>
      </c>
      <c r="D1910" t="inlineStr">
        <is>
          <t>10170112</t>
        </is>
      </c>
      <c r="E1910" t="inlineStr"/>
      <c r="F1910" s="11" t="n">
        <v>117</v>
      </c>
      <c r="G1910" t="inlineStr"/>
      <c r="I1910" t="inlineStr">
        <is>
          <t>M3</t>
        </is>
      </c>
      <c r="J1910" t="inlineStr"/>
      <c r="K1910" t="inlineStr">
        <is>
          <t>20190426</t>
        </is>
      </c>
      <c r="L1910" t="inlineStr">
        <is>
          <t>20250127</t>
        </is>
      </c>
    </row>
    <row r="1911">
      <c r="A1911" t="inlineStr">
        <is>
          <t>900006350</t>
        </is>
      </c>
      <c r="B1911" t="inlineStr">
        <is>
          <t>D836</t>
        </is>
      </c>
      <c r="C1911" t="inlineStr">
        <is>
          <t>66433511</t>
        </is>
      </c>
      <c r="D1911" t="inlineStr">
        <is>
          <t>10000623</t>
        </is>
      </c>
      <c r="E1911" t="inlineStr"/>
      <c r="F1911" s="11" t="n">
        <v>138</v>
      </c>
      <c r="G1911" t="inlineStr"/>
      <c r="I1911" t="inlineStr">
        <is>
          <t>M3</t>
        </is>
      </c>
      <c r="J1911" t="inlineStr"/>
      <c r="K1911" t="inlineStr">
        <is>
          <t>20190426</t>
        </is>
      </c>
      <c r="L1911" t="inlineStr">
        <is>
          <t>20250127</t>
        </is>
      </c>
    </row>
    <row r="1912">
      <c r="A1912" t="inlineStr">
        <is>
          <t>900006350</t>
        </is>
      </c>
      <c r="B1912" t="inlineStr">
        <is>
          <t>D836</t>
        </is>
      </c>
      <c r="C1912" t="inlineStr">
        <is>
          <t>66433511</t>
        </is>
      </c>
      <c r="D1912" t="inlineStr">
        <is>
          <t>10000624</t>
        </is>
      </c>
      <c r="E1912" t="inlineStr"/>
      <c r="F1912" s="11" t="n">
        <v>138</v>
      </c>
      <c r="G1912" t="inlineStr"/>
      <c r="I1912" t="inlineStr">
        <is>
          <t>M3</t>
        </is>
      </c>
      <c r="J1912" t="inlineStr"/>
      <c r="K1912" t="inlineStr">
        <is>
          <t>20190426</t>
        </is>
      </c>
      <c r="L1912" t="inlineStr">
        <is>
          <t>20250127</t>
        </is>
      </c>
    </row>
    <row r="1913">
      <c r="A1913" t="inlineStr">
        <is>
          <t>900006350</t>
        </is>
      </c>
      <c r="B1913" t="inlineStr">
        <is>
          <t>D836</t>
        </is>
      </c>
      <c r="C1913" t="inlineStr">
        <is>
          <t>66433511</t>
        </is>
      </c>
      <c r="D1913" t="inlineStr">
        <is>
          <t>10000811</t>
        </is>
      </c>
      <c r="E1913" t="inlineStr"/>
      <c r="F1913" s="11" t="n">
        <v>138</v>
      </c>
      <c r="G1913" t="inlineStr"/>
      <c r="I1913" t="inlineStr">
        <is>
          <t>M3</t>
        </is>
      </c>
      <c r="J1913" t="inlineStr"/>
      <c r="K1913" t="inlineStr">
        <is>
          <t>20190426</t>
        </is>
      </c>
      <c r="L1913" t="inlineStr">
        <is>
          <t>20250127</t>
        </is>
      </c>
    </row>
    <row r="1914">
      <c r="A1914" t="inlineStr">
        <is>
          <t>900006350</t>
        </is>
      </c>
      <c r="B1914" t="inlineStr">
        <is>
          <t>D836</t>
        </is>
      </c>
      <c r="C1914" t="inlineStr">
        <is>
          <t>66433511</t>
        </is>
      </c>
      <c r="D1914" t="inlineStr">
        <is>
          <t>10059180</t>
        </is>
      </c>
      <c r="E1914" t="inlineStr"/>
      <c r="F1914" s="11" t="n">
        <v>96</v>
      </c>
      <c r="G1914" t="inlineStr"/>
      <c r="I1914" t="inlineStr">
        <is>
          <t>M3</t>
        </is>
      </c>
      <c r="J1914" t="inlineStr"/>
      <c r="K1914" t="inlineStr">
        <is>
          <t>20190426</t>
        </is>
      </c>
      <c r="L1914" t="inlineStr">
        <is>
          <t>20250127</t>
        </is>
      </c>
    </row>
    <row r="1915">
      <c r="A1915" t="inlineStr">
        <is>
          <t>900006351</t>
        </is>
      </c>
      <c r="B1915" t="inlineStr">
        <is>
          <t>D836</t>
        </is>
      </c>
      <c r="C1915" t="inlineStr">
        <is>
          <t>66260760</t>
        </is>
      </c>
      <c r="D1915" t="inlineStr">
        <is>
          <t>10000630</t>
        </is>
      </c>
      <c r="E1915" t="inlineStr"/>
      <c r="F1915" s="11" t="n">
        <v>170</v>
      </c>
      <c r="G1915" t="inlineStr"/>
      <c r="I1915" t="inlineStr">
        <is>
          <t>M3</t>
        </is>
      </c>
      <c r="J1915" t="inlineStr"/>
      <c r="K1915" t="inlineStr">
        <is>
          <t>20190426</t>
        </is>
      </c>
      <c r="L1915" t="inlineStr">
        <is>
          <t>20250127</t>
        </is>
      </c>
    </row>
    <row r="1916">
      <c r="A1916" t="inlineStr">
        <is>
          <t>900006351</t>
        </is>
      </c>
      <c r="B1916" t="inlineStr">
        <is>
          <t>D836</t>
        </is>
      </c>
      <c r="C1916" t="inlineStr">
        <is>
          <t>66338102</t>
        </is>
      </c>
      <c r="D1916" t="inlineStr">
        <is>
          <t>10000630</t>
        </is>
      </c>
      <c r="E1916" t="inlineStr"/>
      <c r="F1916" s="11" t="n">
        <v>142</v>
      </c>
      <c r="G1916" t="inlineStr"/>
      <c r="I1916" t="inlineStr">
        <is>
          <t>M3</t>
        </is>
      </c>
      <c r="J1916" t="inlineStr"/>
      <c r="K1916" t="inlineStr">
        <is>
          <t>20190426</t>
        </is>
      </c>
      <c r="L1916" t="inlineStr">
        <is>
          <t>20250127</t>
        </is>
      </c>
    </row>
    <row r="1917">
      <c r="A1917" t="inlineStr">
        <is>
          <t>900006351</t>
        </is>
      </c>
      <c r="B1917" t="inlineStr">
        <is>
          <t>D836</t>
        </is>
      </c>
      <c r="C1917" t="inlineStr">
        <is>
          <t>66433511</t>
        </is>
      </c>
      <c r="D1917" t="inlineStr">
        <is>
          <t>10000623</t>
        </is>
      </c>
      <c r="E1917" t="inlineStr"/>
      <c r="F1917" s="11" t="n">
        <v>123</v>
      </c>
      <c r="G1917" t="inlineStr"/>
      <c r="I1917" t="inlineStr">
        <is>
          <t>M3</t>
        </is>
      </c>
      <c r="J1917" t="inlineStr"/>
      <c r="K1917" t="inlineStr">
        <is>
          <t>20190426</t>
        </is>
      </c>
      <c r="L1917" t="inlineStr">
        <is>
          <t>20250127</t>
        </is>
      </c>
    </row>
    <row r="1918">
      <c r="A1918" t="inlineStr">
        <is>
          <t>900006351</t>
        </is>
      </c>
      <c r="B1918" t="inlineStr">
        <is>
          <t>D836</t>
        </is>
      </c>
      <c r="C1918" t="inlineStr">
        <is>
          <t>66433511</t>
        </is>
      </c>
      <c r="D1918" t="inlineStr">
        <is>
          <t>10000630</t>
        </is>
      </c>
      <c r="E1918" t="inlineStr"/>
      <c r="F1918" s="11" t="n">
        <v>123</v>
      </c>
      <c r="G1918" t="inlineStr"/>
      <c r="I1918" t="inlineStr">
        <is>
          <t>M3</t>
        </is>
      </c>
      <c r="J1918" t="inlineStr"/>
      <c r="K1918" t="inlineStr">
        <is>
          <t>20190426</t>
        </is>
      </c>
      <c r="L1918" t="inlineStr">
        <is>
          <t>20250127</t>
        </is>
      </c>
    </row>
    <row r="1919">
      <c r="A1919" t="inlineStr">
        <is>
          <t>900006351</t>
        </is>
      </c>
      <c r="B1919" t="inlineStr">
        <is>
          <t>D836</t>
        </is>
      </c>
      <c r="C1919" t="inlineStr">
        <is>
          <t>66433511</t>
        </is>
      </c>
      <c r="D1919" t="inlineStr">
        <is>
          <t>10000811</t>
        </is>
      </c>
      <c r="E1919" t="inlineStr"/>
      <c r="F1919" s="11" t="n">
        <v>118</v>
      </c>
      <c r="G1919" t="inlineStr"/>
      <c r="I1919" t="inlineStr">
        <is>
          <t>M3</t>
        </is>
      </c>
      <c r="J1919" t="inlineStr"/>
      <c r="K1919" t="inlineStr">
        <is>
          <t>20190426</t>
        </is>
      </c>
      <c r="L1919" t="inlineStr">
        <is>
          <t>20250127</t>
        </is>
      </c>
    </row>
    <row r="1920">
      <c r="A1920" t="inlineStr">
        <is>
          <t>900006351</t>
        </is>
      </c>
      <c r="B1920" t="inlineStr">
        <is>
          <t>D836</t>
        </is>
      </c>
      <c r="C1920" t="inlineStr">
        <is>
          <t>66516656</t>
        </is>
      </c>
      <c r="D1920" t="inlineStr">
        <is>
          <t>10000630</t>
        </is>
      </c>
      <c r="E1920" t="inlineStr"/>
      <c r="F1920" s="11" t="n">
        <v>144</v>
      </c>
      <c r="G1920" t="inlineStr"/>
      <c r="I1920" t="inlineStr">
        <is>
          <t>M3</t>
        </is>
      </c>
      <c r="J1920" t="inlineStr"/>
      <c r="K1920" t="inlineStr">
        <is>
          <t>20190426</t>
        </is>
      </c>
      <c r="L1920" t="inlineStr">
        <is>
          <t>20250127</t>
        </is>
      </c>
    </row>
    <row r="1921">
      <c r="A1921" t="inlineStr">
        <is>
          <t>900006351</t>
        </is>
      </c>
      <c r="B1921" t="inlineStr">
        <is>
          <t>D836</t>
        </is>
      </c>
      <c r="C1921" t="inlineStr">
        <is>
          <t>66828114</t>
        </is>
      </c>
      <c r="D1921" t="inlineStr">
        <is>
          <t>10000630</t>
        </is>
      </c>
      <c r="E1921" t="inlineStr"/>
      <c r="F1921" s="11" t="n">
        <v>148</v>
      </c>
      <c r="G1921" t="inlineStr"/>
      <c r="I1921" t="inlineStr">
        <is>
          <t>M3</t>
        </is>
      </c>
      <c r="J1921" t="inlineStr"/>
      <c r="K1921" t="inlineStr">
        <is>
          <t>20190426</t>
        </is>
      </c>
      <c r="L1921" t="inlineStr">
        <is>
          <t>20250127</t>
        </is>
      </c>
    </row>
    <row r="1922">
      <c r="A1922" t="inlineStr">
        <is>
          <t>900006351</t>
        </is>
      </c>
      <c r="B1922" t="inlineStr">
        <is>
          <t>D836</t>
        </is>
      </c>
      <c r="C1922" t="inlineStr">
        <is>
          <t>67000712</t>
        </is>
      </c>
      <c r="D1922" t="inlineStr">
        <is>
          <t>10000630</t>
        </is>
      </c>
      <c r="E1922" t="inlineStr"/>
      <c r="F1922" s="11" t="n">
        <v>144</v>
      </c>
      <c r="G1922" t="inlineStr"/>
      <c r="I1922" t="inlineStr">
        <is>
          <t>M3</t>
        </is>
      </c>
      <c r="J1922" t="inlineStr"/>
      <c r="K1922" t="inlineStr">
        <is>
          <t>20190426</t>
        </is>
      </c>
      <c r="L1922" t="inlineStr">
        <is>
          <t>20250127</t>
        </is>
      </c>
    </row>
    <row r="1923">
      <c r="A1923" t="inlineStr">
        <is>
          <t>900006371</t>
        </is>
      </c>
      <c r="B1923" t="inlineStr">
        <is>
          <t>D836</t>
        </is>
      </c>
      <c r="C1923" t="inlineStr">
        <is>
          <t>65061687</t>
        </is>
      </c>
      <c r="D1923" t="inlineStr">
        <is>
          <t>10000160</t>
        </is>
      </c>
      <c r="E1923" t="inlineStr"/>
      <c r="F1923" s="11" t="n">
        <v>149</v>
      </c>
      <c r="G1923" t="inlineStr"/>
      <c r="I1923" t="inlineStr">
        <is>
          <t>M3</t>
        </is>
      </c>
      <c r="J1923" t="inlineStr"/>
      <c r="K1923" t="inlineStr">
        <is>
          <t>20190426</t>
        </is>
      </c>
      <c r="L1923" t="inlineStr">
        <is>
          <t>20250127</t>
        </is>
      </c>
    </row>
    <row r="1924">
      <c r="A1924" t="inlineStr">
        <is>
          <t>900006371</t>
        </is>
      </c>
      <c r="B1924" t="inlineStr">
        <is>
          <t>D836</t>
        </is>
      </c>
      <c r="C1924" t="inlineStr">
        <is>
          <t>66230098</t>
        </is>
      </c>
      <c r="D1924" t="inlineStr">
        <is>
          <t>10000160</t>
        </is>
      </c>
      <c r="E1924" t="inlineStr"/>
      <c r="F1924" s="11" t="n">
        <v>149</v>
      </c>
      <c r="G1924" t="inlineStr"/>
      <c r="I1924" t="inlineStr">
        <is>
          <t>M3</t>
        </is>
      </c>
      <c r="J1924" t="inlineStr"/>
      <c r="K1924" t="inlineStr">
        <is>
          <t>20190426</t>
        </is>
      </c>
      <c r="L1924" t="inlineStr">
        <is>
          <t>20250127</t>
        </is>
      </c>
    </row>
    <row r="1925">
      <c r="A1925" t="inlineStr">
        <is>
          <t>900006371</t>
        </is>
      </c>
      <c r="B1925" t="inlineStr">
        <is>
          <t>D836</t>
        </is>
      </c>
      <c r="C1925" t="inlineStr">
        <is>
          <t>66372475</t>
        </is>
      </c>
      <c r="D1925" t="inlineStr">
        <is>
          <t>10000160</t>
        </is>
      </c>
      <c r="E1925" t="inlineStr"/>
      <c r="F1925" s="11" t="n">
        <v>95</v>
      </c>
      <c r="G1925" t="inlineStr"/>
      <c r="I1925" t="inlineStr">
        <is>
          <t>M3</t>
        </is>
      </c>
      <c r="J1925" t="inlineStr"/>
      <c r="K1925" t="inlineStr">
        <is>
          <t>20190426</t>
        </is>
      </c>
      <c r="L1925" t="inlineStr">
        <is>
          <t>20250127</t>
        </is>
      </c>
    </row>
    <row r="1926">
      <c r="A1926" t="inlineStr">
        <is>
          <t>900006371</t>
        </is>
      </c>
      <c r="B1926" t="inlineStr">
        <is>
          <t>D836</t>
        </is>
      </c>
      <c r="C1926" t="inlineStr">
        <is>
          <t>66372475</t>
        </is>
      </c>
      <c r="D1926" t="inlineStr">
        <is>
          <t>10000206</t>
        </is>
      </c>
      <c r="E1926" t="inlineStr"/>
      <c r="F1926" s="11" t="n">
        <v>45</v>
      </c>
      <c r="G1926" t="inlineStr"/>
      <c r="I1926" t="inlineStr">
        <is>
          <t>M3</t>
        </is>
      </c>
      <c r="J1926" t="inlineStr"/>
      <c r="K1926" t="inlineStr">
        <is>
          <t>20190426</t>
        </is>
      </c>
      <c r="L1926" t="inlineStr">
        <is>
          <t>20250127</t>
        </is>
      </c>
    </row>
    <row r="1927">
      <c r="A1927" t="inlineStr">
        <is>
          <t>900006371</t>
        </is>
      </c>
      <c r="B1927" t="inlineStr">
        <is>
          <t>D836</t>
        </is>
      </c>
      <c r="C1927" t="inlineStr">
        <is>
          <t>66372475</t>
        </is>
      </c>
      <c r="D1927" t="inlineStr">
        <is>
          <t>10000357</t>
        </is>
      </c>
      <c r="E1927" t="inlineStr"/>
      <c r="F1927" s="11" t="n">
        <v>102</v>
      </c>
      <c r="G1927" t="inlineStr"/>
      <c r="I1927" t="inlineStr">
        <is>
          <t>M3</t>
        </is>
      </c>
      <c r="J1927" t="inlineStr"/>
      <c r="K1927" t="inlineStr">
        <is>
          <t>20190426</t>
        </is>
      </c>
      <c r="L1927" t="inlineStr">
        <is>
          <t>20250127</t>
        </is>
      </c>
    </row>
    <row r="1928">
      <c r="A1928" t="inlineStr">
        <is>
          <t>900006371</t>
        </is>
      </c>
      <c r="B1928" t="inlineStr">
        <is>
          <t>D836</t>
        </is>
      </c>
      <c r="C1928" t="inlineStr">
        <is>
          <t>66372475</t>
        </is>
      </c>
      <c r="D1928" t="inlineStr">
        <is>
          <t>10003132</t>
        </is>
      </c>
      <c r="E1928" t="inlineStr"/>
      <c r="F1928" s="11" t="n">
        <v>135</v>
      </c>
      <c r="G1928" t="inlineStr"/>
      <c r="I1928" t="inlineStr">
        <is>
          <t>M3</t>
        </is>
      </c>
      <c r="J1928" t="inlineStr"/>
      <c r="K1928" t="inlineStr">
        <is>
          <t>20190426</t>
        </is>
      </c>
      <c r="L1928" t="inlineStr">
        <is>
          <t>20250127</t>
        </is>
      </c>
    </row>
    <row r="1929">
      <c r="A1929" t="inlineStr">
        <is>
          <t>900006371</t>
        </is>
      </c>
      <c r="B1929" t="inlineStr">
        <is>
          <t>D836</t>
        </is>
      </c>
      <c r="C1929" t="inlineStr">
        <is>
          <t>66433509</t>
        </is>
      </c>
      <c r="D1929" t="inlineStr">
        <is>
          <t>10000160</t>
        </is>
      </c>
      <c r="E1929" t="inlineStr"/>
      <c r="F1929" s="11" t="n">
        <v>86</v>
      </c>
      <c r="G1929" t="inlineStr"/>
      <c r="I1929" t="inlineStr">
        <is>
          <t>M3</t>
        </is>
      </c>
      <c r="J1929" t="inlineStr"/>
      <c r="K1929" t="inlineStr">
        <is>
          <t>20190426</t>
        </is>
      </c>
      <c r="L1929" t="inlineStr">
        <is>
          <t>20250127</t>
        </is>
      </c>
    </row>
    <row r="1930">
      <c r="A1930" t="inlineStr">
        <is>
          <t>900006371</t>
        </is>
      </c>
      <c r="B1930" t="inlineStr">
        <is>
          <t>D836</t>
        </is>
      </c>
      <c r="C1930" t="inlineStr">
        <is>
          <t>66433509</t>
        </is>
      </c>
      <c r="D1930" t="inlineStr">
        <is>
          <t>10000357</t>
        </is>
      </c>
      <c r="E1930" t="inlineStr"/>
      <c r="F1930" s="11" t="n">
        <v>100</v>
      </c>
      <c r="G1930" t="inlineStr"/>
      <c r="I1930" t="inlineStr">
        <is>
          <t>M3</t>
        </is>
      </c>
      <c r="J1930" t="inlineStr"/>
      <c r="K1930" t="inlineStr">
        <is>
          <t>20190426</t>
        </is>
      </c>
      <c r="L1930" t="inlineStr">
        <is>
          <t>20250127</t>
        </is>
      </c>
    </row>
    <row r="1931">
      <c r="A1931" t="inlineStr">
        <is>
          <t>900006371</t>
        </is>
      </c>
      <c r="B1931" t="inlineStr">
        <is>
          <t>D836</t>
        </is>
      </c>
      <c r="C1931" t="inlineStr">
        <is>
          <t>66450072</t>
        </is>
      </c>
      <c r="D1931" t="inlineStr">
        <is>
          <t>10000160</t>
        </is>
      </c>
      <c r="E1931" t="inlineStr"/>
      <c r="F1931" s="11" t="n">
        <v>149</v>
      </c>
      <c r="G1931" t="inlineStr"/>
      <c r="I1931" t="inlineStr">
        <is>
          <t>M3</t>
        </is>
      </c>
      <c r="J1931" t="inlineStr"/>
      <c r="K1931" t="inlineStr">
        <is>
          <t>20190426</t>
        </is>
      </c>
      <c r="L1931" t="inlineStr">
        <is>
          <t>20250127</t>
        </is>
      </c>
    </row>
    <row r="1932">
      <c r="A1932" t="inlineStr">
        <is>
          <t>900006371</t>
        </is>
      </c>
      <c r="B1932" t="inlineStr">
        <is>
          <t>D836</t>
        </is>
      </c>
      <c r="C1932" t="inlineStr">
        <is>
          <t>66800346</t>
        </is>
      </c>
      <c r="D1932" t="inlineStr">
        <is>
          <t>10000313</t>
        </is>
      </c>
      <c r="E1932" t="inlineStr"/>
      <c r="F1932" s="11" t="n">
        <v>445</v>
      </c>
      <c r="G1932" t="inlineStr"/>
      <c r="I1932" t="inlineStr">
        <is>
          <t>M3</t>
        </is>
      </c>
      <c r="J1932" t="inlineStr"/>
      <c r="K1932" t="inlineStr">
        <is>
          <t>20190426</t>
        </is>
      </c>
      <c r="L1932" t="inlineStr">
        <is>
          <t>20250127</t>
        </is>
      </c>
    </row>
    <row r="1933">
      <c r="A1933" t="inlineStr">
        <is>
          <t>900006371</t>
        </is>
      </c>
      <c r="B1933" t="inlineStr">
        <is>
          <t>D836</t>
        </is>
      </c>
      <c r="C1933" t="inlineStr">
        <is>
          <t>66982658</t>
        </is>
      </c>
      <c r="D1933" t="inlineStr">
        <is>
          <t>10000160</t>
        </is>
      </c>
      <c r="E1933" t="inlineStr"/>
      <c r="F1933" s="11" t="n">
        <v>95</v>
      </c>
      <c r="G1933" t="inlineStr"/>
      <c r="I1933" t="inlineStr">
        <is>
          <t>M3</t>
        </is>
      </c>
      <c r="J1933" t="inlineStr"/>
      <c r="K1933" t="inlineStr">
        <is>
          <t>20190426</t>
        </is>
      </c>
      <c r="L1933" t="inlineStr">
        <is>
          <t>20250127</t>
        </is>
      </c>
    </row>
    <row r="1934">
      <c r="A1934" t="inlineStr">
        <is>
          <t>900006371</t>
        </is>
      </c>
      <c r="B1934" t="inlineStr">
        <is>
          <t>D836</t>
        </is>
      </c>
      <c r="C1934" t="inlineStr">
        <is>
          <t>66982658</t>
        </is>
      </c>
      <c r="D1934" t="inlineStr">
        <is>
          <t>10000206</t>
        </is>
      </c>
      <c r="E1934" t="inlineStr"/>
      <c r="F1934" s="11" t="n">
        <v>45</v>
      </c>
      <c r="G1934" t="inlineStr"/>
      <c r="I1934" t="inlineStr">
        <is>
          <t>M3</t>
        </is>
      </c>
      <c r="J1934" t="inlineStr"/>
      <c r="K1934" t="inlineStr">
        <is>
          <t>20190426</t>
        </is>
      </c>
      <c r="L1934" t="inlineStr">
        <is>
          <t>20250127</t>
        </is>
      </c>
    </row>
    <row r="1935">
      <c r="A1935" t="inlineStr">
        <is>
          <t>900006371</t>
        </is>
      </c>
      <c r="B1935" t="inlineStr">
        <is>
          <t>D836</t>
        </is>
      </c>
      <c r="C1935" t="inlineStr">
        <is>
          <t>66982658</t>
        </is>
      </c>
      <c r="D1935" t="inlineStr">
        <is>
          <t>10000357</t>
        </is>
      </c>
      <c r="E1935" t="inlineStr"/>
      <c r="F1935" s="11" t="n">
        <v>102</v>
      </c>
      <c r="G1935" t="inlineStr"/>
      <c r="I1935" t="inlineStr">
        <is>
          <t>M3</t>
        </is>
      </c>
      <c r="J1935" t="inlineStr"/>
      <c r="K1935" t="inlineStr">
        <is>
          <t>20190426</t>
        </is>
      </c>
      <c r="L1935" t="inlineStr">
        <is>
          <t>20250127</t>
        </is>
      </c>
    </row>
    <row r="1936">
      <c r="A1936" t="inlineStr">
        <is>
          <t>900006371</t>
        </is>
      </c>
      <c r="B1936" t="inlineStr">
        <is>
          <t>D836</t>
        </is>
      </c>
      <c r="C1936" t="inlineStr">
        <is>
          <t>66982658</t>
        </is>
      </c>
      <c r="D1936" t="inlineStr">
        <is>
          <t>10003132</t>
        </is>
      </c>
      <c r="E1936" t="inlineStr"/>
      <c r="F1936" s="11" t="n">
        <v>135</v>
      </c>
      <c r="G1936" t="inlineStr"/>
      <c r="I1936" t="inlineStr">
        <is>
          <t>M3</t>
        </is>
      </c>
      <c r="J1936" t="inlineStr"/>
      <c r="K1936" t="inlineStr">
        <is>
          <t>20190426</t>
        </is>
      </c>
      <c r="L1936" t="inlineStr">
        <is>
          <t>20250127</t>
        </is>
      </c>
    </row>
    <row r="1937">
      <c r="A1937" t="inlineStr">
        <is>
          <t>900006371</t>
        </is>
      </c>
      <c r="B1937" t="inlineStr">
        <is>
          <t>D836</t>
        </is>
      </c>
      <c r="C1937" t="inlineStr">
        <is>
          <t>67012505</t>
        </is>
      </c>
      <c r="D1937" t="inlineStr">
        <is>
          <t>10145835</t>
        </is>
      </c>
      <c r="E1937" t="inlineStr"/>
      <c r="F1937" s="11" t="n">
        <v>240</v>
      </c>
      <c r="G1937" t="inlineStr"/>
      <c r="I1937" t="inlineStr">
        <is>
          <t>M3</t>
        </is>
      </c>
      <c r="J1937" t="inlineStr"/>
      <c r="K1937" t="inlineStr">
        <is>
          <t>20190426</t>
        </is>
      </c>
      <c r="L1937" t="inlineStr">
        <is>
          <t>20250127</t>
        </is>
      </c>
    </row>
    <row r="1938">
      <c r="A1938" t="inlineStr">
        <is>
          <t>900006371</t>
        </is>
      </c>
      <c r="B1938" t="inlineStr">
        <is>
          <t>D836</t>
        </is>
      </c>
      <c r="C1938" t="inlineStr">
        <is>
          <t>67019802</t>
        </is>
      </c>
      <c r="D1938" t="inlineStr">
        <is>
          <t>10000287</t>
        </is>
      </c>
      <c r="E1938" t="inlineStr"/>
      <c r="F1938" s="11" t="n">
        <v>296</v>
      </c>
      <c r="G1938" t="inlineStr"/>
      <c r="I1938" t="inlineStr">
        <is>
          <t>M3</t>
        </is>
      </c>
      <c r="J1938" t="inlineStr"/>
      <c r="K1938" t="inlineStr">
        <is>
          <t>20190426</t>
        </is>
      </c>
      <c r="L1938" t="inlineStr">
        <is>
          <t>20250127</t>
        </is>
      </c>
    </row>
    <row r="1939">
      <c r="A1939" t="inlineStr">
        <is>
          <t>900006371</t>
        </is>
      </c>
      <c r="B1939" t="inlineStr">
        <is>
          <t>D836</t>
        </is>
      </c>
      <c r="C1939" t="inlineStr">
        <is>
          <t>67091004</t>
        </is>
      </c>
      <c r="D1939" t="inlineStr">
        <is>
          <t>10000160</t>
        </is>
      </c>
      <c r="E1939" t="inlineStr"/>
      <c r="F1939" s="11" t="n">
        <v>97</v>
      </c>
      <c r="G1939" t="inlineStr"/>
      <c r="I1939" t="inlineStr">
        <is>
          <t>M3</t>
        </is>
      </c>
      <c r="J1939" t="inlineStr"/>
      <c r="K1939" t="inlineStr">
        <is>
          <t>20190426</t>
        </is>
      </c>
      <c r="L1939" t="inlineStr">
        <is>
          <t>20250127</t>
        </is>
      </c>
    </row>
    <row r="1940">
      <c r="A1940" t="inlineStr">
        <is>
          <t>900006371</t>
        </is>
      </c>
      <c r="B1940" t="inlineStr">
        <is>
          <t>D836</t>
        </is>
      </c>
      <c r="C1940" t="inlineStr">
        <is>
          <t>67091004</t>
        </is>
      </c>
      <c r="D1940" t="inlineStr">
        <is>
          <t>10000357</t>
        </is>
      </c>
      <c r="E1940" t="inlineStr"/>
      <c r="F1940" s="11" t="n">
        <v>115</v>
      </c>
      <c r="G1940" t="inlineStr"/>
      <c r="I1940" t="inlineStr">
        <is>
          <t>M3</t>
        </is>
      </c>
      <c r="J1940" t="inlineStr"/>
      <c r="K1940" t="inlineStr">
        <is>
          <t>20190426</t>
        </is>
      </c>
      <c r="L1940" t="inlineStr">
        <is>
          <t>20250127</t>
        </is>
      </c>
    </row>
    <row r="1941">
      <c r="A1941" t="inlineStr">
        <is>
          <t>900006371</t>
        </is>
      </c>
      <c r="B1941" t="inlineStr">
        <is>
          <t>D836</t>
        </is>
      </c>
      <c r="C1941" t="inlineStr">
        <is>
          <t>67091004</t>
        </is>
      </c>
      <c r="D1941" t="inlineStr">
        <is>
          <t>10019515</t>
        </is>
      </c>
      <c r="E1941" t="inlineStr"/>
      <c r="F1941" s="11" t="n">
        <v>143</v>
      </c>
      <c r="G1941" t="inlineStr"/>
      <c r="I1941" t="inlineStr">
        <is>
          <t>M3</t>
        </is>
      </c>
      <c r="J1941" t="inlineStr"/>
      <c r="K1941" t="inlineStr">
        <is>
          <t>20190426</t>
        </is>
      </c>
      <c r="L1941" t="inlineStr">
        <is>
          <t>20250127</t>
        </is>
      </c>
    </row>
    <row r="1942">
      <c r="A1942" t="inlineStr">
        <is>
          <t>900006542</t>
        </is>
      </c>
      <c r="B1942" t="inlineStr">
        <is>
          <t>D836</t>
        </is>
      </c>
      <c r="C1942" t="inlineStr">
        <is>
          <t>65001905</t>
        </is>
      </c>
      <c r="D1942" t="inlineStr">
        <is>
          <t>10000133</t>
        </is>
      </c>
      <c r="E1942" t="inlineStr"/>
      <c r="F1942" s="11" t="n">
        <v>205</v>
      </c>
      <c r="G1942" t="inlineStr"/>
      <c r="I1942" t="inlineStr">
        <is>
          <t>M3</t>
        </is>
      </c>
      <c r="J1942" t="inlineStr"/>
      <c r="K1942" t="inlineStr">
        <is>
          <t>20190426</t>
        </is>
      </c>
      <c r="L1942" t="inlineStr">
        <is>
          <t>20250127</t>
        </is>
      </c>
    </row>
    <row r="1943">
      <c r="A1943" t="inlineStr">
        <is>
          <t>900006542</t>
        </is>
      </c>
      <c r="B1943" t="inlineStr">
        <is>
          <t>D836</t>
        </is>
      </c>
      <c r="C1943" t="inlineStr">
        <is>
          <t>65001905</t>
        </is>
      </c>
      <c r="D1943" t="inlineStr">
        <is>
          <t>10058345</t>
        </is>
      </c>
      <c r="E1943" t="inlineStr"/>
      <c r="F1943" s="11" t="n">
        <v>95</v>
      </c>
      <c r="G1943" t="inlineStr"/>
      <c r="I1943" t="inlineStr">
        <is>
          <t>M3</t>
        </is>
      </c>
      <c r="J1943" t="inlineStr"/>
      <c r="K1943" t="inlineStr">
        <is>
          <t>20190426</t>
        </is>
      </c>
      <c r="L1943" t="inlineStr">
        <is>
          <t>20250127</t>
        </is>
      </c>
    </row>
    <row r="1944">
      <c r="A1944" t="inlineStr">
        <is>
          <t>900006542</t>
        </is>
      </c>
      <c r="B1944" t="inlineStr">
        <is>
          <t>D836</t>
        </is>
      </c>
      <c r="C1944" t="inlineStr">
        <is>
          <t>65009229</t>
        </is>
      </c>
      <c r="D1944" t="inlineStr">
        <is>
          <t>10000160</t>
        </is>
      </c>
      <c r="E1944" t="inlineStr"/>
      <c r="F1944" s="11" t="n">
        <v>112</v>
      </c>
      <c r="G1944" t="inlineStr"/>
      <c r="I1944" t="inlineStr">
        <is>
          <t>M3</t>
        </is>
      </c>
      <c r="J1944" t="inlineStr"/>
      <c r="K1944" t="inlineStr">
        <is>
          <t>20190426</t>
        </is>
      </c>
      <c r="L1944" t="inlineStr">
        <is>
          <t>20250127</t>
        </is>
      </c>
    </row>
    <row r="1945">
      <c r="A1945" t="inlineStr">
        <is>
          <t>900006542</t>
        </is>
      </c>
      <c r="B1945" t="inlineStr">
        <is>
          <t>D836</t>
        </is>
      </c>
      <c r="C1945" t="inlineStr">
        <is>
          <t>65009229</t>
        </is>
      </c>
      <c r="D1945" t="inlineStr">
        <is>
          <t>10000357</t>
        </is>
      </c>
      <c r="E1945" t="inlineStr"/>
      <c r="F1945" s="11" t="n">
        <v>157</v>
      </c>
      <c r="G1945" t="inlineStr"/>
      <c r="I1945" t="inlineStr">
        <is>
          <t>M3</t>
        </is>
      </c>
      <c r="J1945" t="inlineStr"/>
      <c r="K1945" t="inlineStr">
        <is>
          <t>20190426</t>
        </is>
      </c>
      <c r="L1945" t="inlineStr">
        <is>
          <t>20250127</t>
        </is>
      </c>
    </row>
    <row r="1946">
      <c r="A1946" t="inlineStr">
        <is>
          <t>900006542</t>
        </is>
      </c>
      <c r="B1946" t="inlineStr">
        <is>
          <t>D836</t>
        </is>
      </c>
      <c r="C1946" t="inlineStr">
        <is>
          <t>66240596</t>
        </is>
      </c>
      <c r="D1946" t="inlineStr">
        <is>
          <t>10000160</t>
        </is>
      </c>
      <c r="E1946" t="inlineStr"/>
      <c r="F1946" s="11" t="n">
        <v>115</v>
      </c>
      <c r="G1946" t="inlineStr"/>
      <c r="I1946" t="inlineStr">
        <is>
          <t>M3</t>
        </is>
      </c>
      <c r="J1946" t="inlineStr"/>
      <c r="K1946" t="inlineStr">
        <is>
          <t>20190426</t>
        </is>
      </c>
      <c r="L1946" t="inlineStr">
        <is>
          <t>20250127</t>
        </is>
      </c>
    </row>
    <row r="1947">
      <c r="A1947" t="inlineStr">
        <is>
          <t>900006542</t>
        </is>
      </c>
      <c r="B1947" t="inlineStr">
        <is>
          <t>D836</t>
        </is>
      </c>
      <c r="C1947" t="inlineStr">
        <is>
          <t>66240596</t>
        </is>
      </c>
      <c r="D1947" t="inlineStr">
        <is>
          <t>10000357</t>
        </is>
      </c>
      <c r="E1947" t="inlineStr"/>
      <c r="F1947" s="11" t="n">
        <v>130</v>
      </c>
      <c r="G1947" t="inlineStr"/>
      <c r="I1947" t="inlineStr">
        <is>
          <t>M3</t>
        </is>
      </c>
      <c r="J1947" t="inlineStr"/>
      <c r="K1947" t="inlineStr">
        <is>
          <t>20190426</t>
        </is>
      </c>
      <c r="L1947" t="inlineStr">
        <is>
          <t>20250127</t>
        </is>
      </c>
    </row>
    <row r="1948">
      <c r="A1948" t="inlineStr">
        <is>
          <t>900006542</t>
        </is>
      </c>
      <c r="B1948" t="inlineStr">
        <is>
          <t>D836</t>
        </is>
      </c>
      <c r="C1948" t="inlineStr">
        <is>
          <t>66240596</t>
        </is>
      </c>
      <c r="D1948" t="inlineStr">
        <is>
          <t>10000651</t>
        </is>
      </c>
      <c r="E1948" t="inlineStr"/>
      <c r="F1948" s="11" t="n">
        <v>95</v>
      </c>
      <c r="G1948" t="inlineStr"/>
      <c r="I1948" t="inlineStr">
        <is>
          <t>M3</t>
        </is>
      </c>
      <c r="J1948" t="inlineStr"/>
      <c r="K1948" t="inlineStr">
        <is>
          <t>20190426</t>
        </is>
      </c>
      <c r="L1948" t="inlineStr">
        <is>
          <t>20250127</t>
        </is>
      </c>
    </row>
    <row r="1949">
      <c r="A1949" t="inlineStr">
        <is>
          <t>900006542</t>
        </is>
      </c>
      <c r="B1949" t="inlineStr">
        <is>
          <t>D836</t>
        </is>
      </c>
      <c r="C1949" t="inlineStr">
        <is>
          <t>66323115</t>
        </is>
      </c>
      <c r="D1949" t="inlineStr">
        <is>
          <t>10000160</t>
        </is>
      </c>
      <c r="E1949" t="inlineStr"/>
      <c r="F1949" s="11" t="n">
        <v>104.01</v>
      </c>
      <c r="G1949" t="inlineStr"/>
      <c r="I1949" t="inlineStr">
        <is>
          <t>TN</t>
        </is>
      </c>
      <c r="J1949" t="inlineStr"/>
      <c r="K1949" t="inlineStr">
        <is>
          <t>20190426</t>
        </is>
      </c>
      <c r="L1949" t="inlineStr">
        <is>
          <t>20250127</t>
        </is>
      </c>
    </row>
    <row r="1950">
      <c r="A1950" t="inlineStr">
        <is>
          <t>900006542</t>
        </is>
      </c>
      <c r="B1950" t="inlineStr">
        <is>
          <t>D836</t>
        </is>
      </c>
      <c r="C1950" t="inlineStr">
        <is>
          <t>66486059</t>
        </is>
      </c>
      <c r="D1950" t="inlineStr">
        <is>
          <t>10000160</t>
        </is>
      </c>
      <c r="E1950" t="inlineStr"/>
      <c r="F1950" s="11" t="n">
        <v>115</v>
      </c>
      <c r="G1950" t="inlineStr"/>
      <c r="I1950" t="inlineStr">
        <is>
          <t>M3</t>
        </is>
      </c>
      <c r="J1950" t="inlineStr"/>
      <c r="K1950" t="inlineStr">
        <is>
          <t>20190426</t>
        </is>
      </c>
      <c r="L1950" t="inlineStr">
        <is>
          <t>20250127</t>
        </is>
      </c>
    </row>
    <row r="1951">
      <c r="A1951" t="inlineStr">
        <is>
          <t>900006542</t>
        </is>
      </c>
      <c r="B1951" t="inlineStr">
        <is>
          <t>D836</t>
        </is>
      </c>
      <c r="C1951" t="inlineStr">
        <is>
          <t>66486059</t>
        </is>
      </c>
      <c r="D1951" t="inlineStr">
        <is>
          <t>10000206</t>
        </is>
      </c>
      <c r="E1951" t="inlineStr"/>
      <c r="F1951" s="11" t="n">
        <v>60</v>
      </c>
      <c r="G1951" t="inlineStr"/>
      <c r="I1951" t="inlineStr">
        <is>
          <t>M3</t>
        </is>
      </c>
      <c r="J1951" t="inlineStr"/>
      <c r="K1951" t="inlineStr">
        <is>
          <t>20190426</t>
        </is>
      </c>
      <c r="L1951" t="inlineStr">
        <is>
          <t>20250127</t>
        </is>
      </c>
    </row>
    <row r="1952">
      <c r="A1952" t="inlineStr">
        <is>
          <t>900006542</t>
        </is>
      </c>
      <c r="B1952" t="inlineStr">
        <is>
          <t>D836</t>
        </is>
      </c>
      <c r="C1952" t="inlineStr">
        <is>
          <t>66486059</t>
        </is>
      </c>
      <c r="D1952" t="inlineStr">
        <is>
          <t>10000357</t>
        </is>
      </c>
      <c r="E1952" t="inlineStr"/>
      <c r="F1952" s="11" t="n">
        <v>130</v>
      </c>
      <c r="G1952" t="inlineStr"/>
      <c r="I1952" t="inlineStr">
        <is>
          <t>M3</t>
        </is>
      </c>
      <c r="J1952" t="inlineStr"/>
      <c r="K1952" t="inlineStr">
        <is>
          <t>20190426</t>
        </is>
      </c>
      <c r="L1952" t="inlineStr">
        <is>
          <t>20250127</t>
        </is>
      </c>
    </row>
    <row r="1953">
      <c r="A1953" t="inlineStr">
        <is>
          <t>900006542</t>
        </is>
      </c>
      <c r="B1953" t="inlineStr">
        <is>
          <t>D836</t>
        </is>
      </c>
      <c r="C1953" t="inlineStr">
        <is>
          <t>66587348</t>
        </is>
      </c>
      <c r="D1953" t="inlineStr">
        <is>
          <t>10000160</t>
        </is>
      </c>
      <c r="E1953" t="inlineStr"/>
      <c r="F1953" s="11" t="n">
        <v>118.28</v>
      </c>
      <c r="G1953" t="inlineStr"/>
      <c r="I1953" t="inlineStr">
        <is>
          <t>M3</t>
        </is>
      </c>
      <c r="J1953" t="inlineStr"/>
      <c r="K1953" t="inlineStr">
        <is>
          <t>20190426</t>
        </is>
      </c>
      <c r="L1953" t="inlineStr">
        <is>
          <t>20250127</t>
        </is>
      </c>
    </row>
    <row r="1954">
      <c r="A1954" t="inlineStr">
        <is>
          <t>900006542</t>
        </is>
      </c>
      <c r="B1954" t="inlineStr">
        <is>
          <t>D836</t>
        </is>
      </c>
      <c r="C1954" t="inlineStr">
        <is>
          <t>66587348</t>
        </is>
      </c>
      <c r="D1954" t="inlineStr">
        <is>
          <t>10000357</t>
        </is>
      </c>
      <c r="E1954" t="inlineStr"/>
      <c r="F1954" s="11" t="n">
        <v>153.04</v>
      </c>
      <c r="G1954" t="inlineStr"/>
      <c r="I1954" t="inlineStr">
        <is>
          <t>M3</t>
        </is>
      </c>
      <c r="J1954" t="inlineStr"/>
      <c r="K1954" t="inlineStr">
        <is>
          <t>20190426</t>
        </is>
      </c>
      <c r="L1954" t="inlineStr">
        <is>
          <t>20250127</t>
        </is>
      </c>
    </row>
    <row r="1955">
      <c r="A1955" t="inlineStr">
        <is>
          <t>900006542</t>
        </is>
      </c>
      <c r="B1955" t="inlineStr">
        <is>
          <t>D836</t>
        </is>
      </c>
      <c r="C1955" t="inlineStr">
        <is>
          <t>66838561</t>
        </is>
      </c>
      <c r="D1955" t="inlineStr">
        <is>
          <t>10000160</t>
        </is>
      </c>
      <c r="E1955" t="inlineStr"/>
      <c r="F1955" s="11" t="n">
        <v>105</v>
      </c>
      <c r="G1955" t="inlineStr"/>
      <c r="I1955" t="inlineStr">
        <is>
          <t>M3</t>
        </is>
      </c>
      <c r="J1955" t="inlineStr"/>
      <c r="K1955" t="inlineStr">
        <is>
          <t>20190426</t>
        </is>
      </c>
      <c r="L1955" t="inlineStr">
        <is>
          <t>20250127</t>
        </is>
      </c>
    </row>
    <row r="1956">
      <c r="A1956" t="inlineStr">
        <is>
          <t>900006542</t>
        </is>
      </c>
      <c r="B1956" t="inlineStr">
        <is>
          <t>D836</t>
        </is>
      </c>
      <c r="C1956" t="inlineStr">
        <is>
          <t>66838561</t>
        </is>
      </c>
      <c r="D1956" t="inlineStr">
        <is>
          <t>10000206</t>
        </is>
      </c>
      <c r="E1956" t="inlineStr"/>
      <c r="F1956" s="11" t="n">
        <v>35</v>
      </c>
      <c r="G1956" t="inlineStr"/>
      <c r="I1956" t="inlineStr">
        <is>
          <t>M3</t>
        </is>
      </c>
      <c r="J1956" t="inlineStr"/>
      <c r="K1956" t="inlineStr">
        <is>
          <t>20190426</t>
        </is>
      </c>
      <c r="L1956" t="inlineStr">
        <is>
          <t>20250127</t>
        </is>
      </c>
    </row>
    <row r="1957">
      <c r="A1957" t="inlineStr">
        <is>
          <t>900006542</t>
        </is>
      </c>
      <c r="B1957" t="inlineStr">
        <is>
          <t>D836</t>
        </is>
      </c>
      <c r="C1957" t="inlineStr">
        <is>
          <t>66838561</t>
        </is>
      </c>
      <c r="D1957" t="inlineStr">
        <is>
          <t>10000357</t>
        </is>
      </c>
      <c r="E1957" t="inlineStr"/>
      <c r="F1957" s="11" t="n">
        <v>115</v>
      </c>
      <c r="G1957" t="inlineStr"/>
      <c r="I1957" t="inlineStr">
        <is>
          <t>M3</t>
        </is>
      </c>
      <c r="J1957" t="inlineStr"/>
      <c r="K1957" t="inlineStr">
        <is>
          <t>20190426</t>
        </is>
      </c>
      <c r="L1957" t="inlineStr">
        <is>
          <t>20250127</t>
        </is>
      </c>
    </row>
    <row r="1958">
      <c r="A1958" t="inlineStr">
        <is>
          <t>900006542</t>
        </is>
      </c>
      <c r="B1958" t="inlineStr">
        <is>
          <t>D836</t>
        </is>
      </c>
      <c r="C1958" t="inlineStr">
        <is>
          <t>66851034</t>
        </is>
      </c>
      <c r="D1958" t="inlineStr">
        <is>
          <t>10000160</t>
        </is>
      </c>
      <c r="E1958" t="inlineStr"/>
      <c r="F1958" s="11" t="n">
        <v>117</v>
      </c>
      <c r="G1958" t="inlineStr"/>
      <c r="I1958" t="inlineStr">
        <is>
          <t>M3</t>
        </is>
      </c>
      <c r="J1958" t="inlineStr"/>
      <c r="K1958" t="inlineStr">
        <is>
          <t>20190426</t>
        </is>
      </c>
      <c r="L1958" t="inlineStr">
        <is>
          <t>20250127</t>
        </is>
      </c>
    </row>
    <row r="1959">
      <c r="A1959" t="inlineStr">
        <is>
          <t>900006542</t>
        </is>
      </c>
      <c r="B1959" t="inlineStr">
        <is>
          <t>D836</t>
        </is>
      </c>
      <c r="C1959" t="inlineStr">
        <is>
          <t>66851034</t>
        </is>
      </c>
      <c r="D1959" t="inlineStr">
        <is>
          <t>10000357</t>
        </is>
      </c>
      <c r="E1959" t="inlineStr"/>
      <c r="F1959" s="11" t="n">
        <v>127</v>
      </c>
      <c r="G1959" t="inlineStr"/>
      <c r="I1959" t="inlineStr">
        <is>
          <t>M3</t>
        </is>
      </c>
      <c r="J1959" t="inlineStr"/>
      <c r="K1959" t="inlineStr">
        <is>
          <t>20190426</t>
        </is>
      </c>
      <c r="L1959" t="inlineStr">
        <is>
          <t>20250127</t>
        </is>
      </c>
    </row>
    <row r="1960">
      <c r="A1960" t="inlineStr">
        <is>
          <t>900006542</t>
        </is>
      </c>
      <c r="B1960" t="inlineStr">
        <is>
          <t>D836</t>
        </is>
      </c>
      <c r="C1960" t="inlineStr">
        <is>
          <t>66852206</t>
        </is>
      </c>
      <c r="D1960" t="inlineStr">
        <is>
          <t>10000160</t>
        </is>
      </c>
      <c r="E1960" t="inlineStr"/>
      <c r="F1960" s="11" t="n">
        <v>106</v>
      </c>
      <c r="G1960" t="inlineStr"/>
      <c r="I1960" t="inlineStr">
        <is>
          <t>M3</t>
        </is>
      </c>
      <c r="J1960" t="inlineStr"/>
      <c r="K1960" t="inlineStr">
        <is>
          <t>20190426</t>
        </is>
      </c>
      <c r="L1960" t="inlineStr">
        <is>
          <t>20250127</t>
        </is>
      </c>
    </row>
    <row r="1961">
      <c r="A1961" t="inlineStr">
        <is>
          <t>900006542</t>
        </is>
      </c>
      <c r="B1961" t="inlineStr">
        <is>
          <t>D836</t>
        </is>
      </c>
      <c r="C1961" t="inlineStr">
        <is>
          <t>66852206</t>
        </is>
      </c>
      <c r="D1961" t="inlineStr">
        <is>
          <t>10000357</t>
        </is>
      </c>
      <c r="E1961" t="inlineStr"/>
      <c r="F1961" s="11" t="n">
        <v>116</v>
      </c>
      <c r="G1961" t="inlineStr"/>
      <c r="I1961" t="inlineStr">
        <is>
          <t>M3</t>
        </is>
      </c>
      <c r="J1961" t="inlineStr"/>
      <c r="K1961" t="inlineStr">
        <is>
          <t>20190426</t>
        </is>
      </c>
      <c r="L1961" t="inlineStr">
        <is>
          <t>20250127</t>
        </is>
      </c>
    </row>
    <row r="1962">
      <c r="A1962" t="inlineStr">
        <is>
          <t>900006542</t>
        </is>
      </c>
      <c r="B1962" t="inlineStr">
        <is>
          <t>D836</t>
        </is>
      </c>
      <c r="C1962" t="inlineStr">
        <is>
          <t>66876362</t>
        </is>
      </c>
      <c r="D1962" t="inlineStr">
        <is>
          <t>10000160</t>
        </is>
      </c>
      <c r="E1962" t="inlineStr"/>
      <c r="F1962" s="11" t="n">
        <v>112.07</v>
      </c>
      <c r="G1962" t="inlineStr"/>
      <c r="I1962" t="inlineStr">
        <is>
          <t>M3</t>
        </is>
      </c>
      <c r="J1962" t="inlineStr"/>
      <c r="K1962" t="inlineStr">
        <is>
          <t>20190426</t>
        </is>
      </c>
      <c r="L1962" t="inlineStr">
        <is>
          <t>20250127</t>
        </is>
      </c>
    </row>
    <row r="1963">
      <c r="A1963" t="inlineStr">
        <is>
          <t>900006542</t>
        </is>
      </c>
      <c r="B1963" t="inlineStr">
        <is>
          <t>D836</t>
        </is>
      </c>
      <c r="C1963" t="inlineStr">
        <is>
          <t>66876362</t>
        </is>
      </c>
      <c r="D1963" t="inlineStr">
        <is>
          <t>10000357</t>
        </is>
      </c>
      <c r="E1963" t="inlineStr"/>
      <c r="F1963" s="11" t="n">
        <v>151.83</v>
      </c>
      <c r="G1963" t="inlineStr"/>
      <c r="I1963" t="inlineStr">
        <is>
          <t>M3</t>
        </is>
      </c>
      <c r="J1963" t="inlineStr"/>
      <c r="K1963" t="inlineStr">
        <is>
          <t>20190426</t>
        </is>
      </c>
      <c r="L1963" t="inlineStr">
        <is>
          <t>20250127</t>
        </is>
      </c>
    </row>
    <row r="1964">
      <c r="A1964" t="inlineStr">
        <is>
          <t>900006542</t>
        </is>
      </c>
      <c r="B1964" t="inlineStr">
        <is>
          <t>D836</t>
        </is>
      </c>
      <c r="C1964" t="inlineStr">
        <is>
          <t>66878071</t>
        </is>
      </c>
      <c r="D1964" t="inlineStr">
        <is>
          <t>10000133</t>
        </is>
      </c>
      <c r="E1964" t="inlineStr"/>
      <c r="F1964" s="11" t="n">
        <v>270</v>
      </c>
      <c r="G1964" t="inlineStr"/>
      <c r="I1964" t="inlineStr">
        <is>
          <t>M3</t>
        </is>
      </c>
      <c r="J1964" t="inlineStr"/>
      <c r="K1964" t="inlineStr">
        <is>
          <t>20190426</t>
        </is>
      </c>
      <c r="L1964" t="inlineStr">
        <is>
          <t>20250127</t>
        </is>
      </c>
    </row>
    <row r="1965">
      <c r="A1965" t="inlineStr">
        <is>
          <t>900006542</t>
        </is>
      </c>
      <c r="B1965" t="inlineStr">
        <is>
          <t>D836</t>
        </is>
      </c>
      <c r="C1965" t="inlineStr">
        <is>
          <t>66880132</t>
        </is>
      </c>
      <c r="D1965" t="inlineStr">
        <is>
          <t>10000206</t>
        </is>
      </c>
      <c r="E1965" t="inlineStr"/>
      <c r="F1965" s="11" t="n">
        <v>67.5</v>
      </c>
      <c r="G1965" t="inlineStr"/>
      <c r="I1965" t="inlineStr">
        <is>
          <t>M3</t>
        </is>
      </c>
      <c r="J1965" t="inlineStr"/>
      <c r="K1965" t="inlineStr">
        <is>
          <t>20190426</t>
        </is>
      </c>
      <c r="L1965" t="inlineStr">
        <is>
          <t>20250127</t>
        </is>
      </c>
    </row>
    <row r="1966">
      <c r="A1966" t="inlineStr">
        <is>
          <t>900006542</t>
        </is>
      </c>
      <c r="B1966" t="inlineStr">
        <is>
          <t>D836</t>
        </is>
      </c>
      <c r="C1966" t="inlineStr">
        <is>
          <t>66885144</t>
        </is>
      </c>
      <c r="D1966" t="inlineStr">
        <is>
          <t>10000160</t>
        </is>
      </c>
      <c r="E1966" t="inlineStr"/>
      <c r="F1966" s="11" t="n">
        <v>115</v>
      </c>
      <c r="G1966" t="inlineStr"/>
      <c r="I1966" t="inlineStr">
        <is>
          <t>M3</t>
        </is>
      </c>
      <c r="J1966" t="inlineStr"/>
      <c r="K1966" t="inlineStr">
        <is>
          <t>20190426</t>
        </is>
      </c>
      <c r="L1966" t="inlineStr">
        <is>
          <t>20250127</t>
        </is>
      </c>
    </row>
    <row r="1967">
      <c r="A1967" t="inlineStr">
        <is>
          <t>900006542</t>
        </is>
      </c>
      <c r="B1967" t="inlineStr">
        <is>
          <t>D836</t>
        </is>
      </c>
      <c r="C1967" t="inlineStr">
        <is>
          <t>66885144</t>
        </is>
      </c>
      <c r="D1967" t="inlineStr">
        <is>
          <t>10000301</t>
        </is>
      </c>
      <c r="E1967" t="inlineStr"/>
      <c r="F1967" s="11" t="n">
        <v>80</v>
      </c>
      <c r="G1967" t="inlineStr"/>
      <c r="I1967" t="inlineStr">
        <is>
          <t>M3</t>
        </is>
      </c>
      <c r="J1967" t="inlineStr"/>
      <c r="K1967" t="inlineStr">
        <is>
          <t>20190426</t>
        </is>
      </c>
      <c r="L1967" t="inlineStr">
        <is>
          <t>20250127</t>
        </is>
      </c>
    </row>
    <row r="1968">
      <c r="A1968" t="inlineStr">
        <is>
          <t>900006542</t>
        </is>
      </c>
      <c r="B1968" t="inlineStr">
        <is>
          <t>D836</t>
        </is>
      </c>
      <c r="C1968" t="inlineStr">
        <is>
          <t>66885144</t>
        </is>
      </c>
      <c r="D1968" t="inlineStr">
        <is>
          <t>10000357</t>
        </is>
      </c>
      <c r="E1968" t="inlineStr"/>
      <c r="F1968" s="11" t="n">
        <v>130</v>
      </c>
      <c r="G1968" t="inlineStr"/>
      <c r="I1968" t="inlineStr">
        <is>
          <t>M3</t>
        </is>
      </c>
      <c r="J1968" t="inlineStr"/>
      <c r="K1968" t="inlineStr">
        <is>
          <t>20190426</t>
        </is>
      </c>
      <c r="L1968" t="inlineStr">
        <is>
          <t>20250127</t>
        </is>
      </c>
    </row>
    <row r="1969">
      <c r="A1969" t="inlineStr">
        <is>
          <t>900006542</t>
        </is>
      </c>
      <c r="B1969" t="inlineStr">
        <is>
          <t>D836</t>
        </is>
      </c>
      <c r="C1969" t="inlineStr">
        <is>
          <t>66885144</t>
        </is>
      </c>
      <c r="D1969" t="inlineStr">
        <is>
          <t>10000441</t>
        </is>
      </c>
      <c r="E1969" t="inlineStr"/>
      <c r="F1969" s="11" t="n">
        <v>130</v>
      </c>
      <c r="G1969" t="inlineStr"/>
      <c r="I1969" t="inlineStr">
        <is>
          <t>M3</t>
        </is>
      </c>
      <c r="J1969" t="inlineStr"/>
      <c r="K1969" t="inlineStr">
        <is>
          <t>20190426</t>
        </is>
      </c>
      <c r="L1969" t="inlineStr">
        <is>
          <t>20250127</t>
        </is>
      </c>
    </row>
    <row r="1970">
      <c r="A1970" t="inlineStr">
        <is>
          <t>900006542</t>
        </is>
      </c>
      <c r="B1970" t="inlineStr">
        <is>
          <t>D836</t>
        </is>
      </c>
      <c r="C1970" t="inlineStr">
        <is>
          <t>66885144</t>
        </is>
      </c>
      <c r="D1970" t="inlineStr">
        <is>
          <t>10000651</t>
        </is>
      </c>
      <c r="E1970" t="inlineStr"/>
      <c r="F1970" s="11" t="n">
        <v>100</v>
      </c>
      <c r="G1970" t="inlineStr"/>
      <c r="I1970" t="inlineStr">
        <is>
          <t>M3</t>
        </is>
      </c>
      <c r="J1970" t="inlineStr"/>
      <c r="K1970" t="inlineStr">
        <is>
          <t>20190426</t>
        </is>
      </c>
      <c r="L1970" t="inlineStr">
        <is>
          <t>20250127</t>
        </is>
      </c>
    </row>
    <row r="1971">
      <c r="A1971" t="inlineStr">
        <is>
          <t>900006542</t>
        </is>
      </c>
      <c r="B1971" t="inlineStr">
        <is>
          <t>D836</t>
        </is>
      </c>
      <c r="C1971" t="inlineStr">
        <is>
          <t>66885144</t>
        </is>
      </c>
      <c r="D1971" t="inlineStr">
        <is>
          <t>10175723</t>
        </is>
      </c>
      <c r="E1971" t="inlineStr"/>
      <c r="F1971" s="11" t="n">
        <v>140</v>
      </c>
      <c r="G1971" t="inlineStr"/>
      <c r="I1971" t="inlineStr">
        <is>
          <t>M3</t>
        </is>
      </c>
      <c r="J1971" t="inlineStr"/>
      <c r="K1971" t="inlineStr">
        <is>
          <t>20190426</t>
        </is>
      </c>
      <c r="L1971" t="inlineStr">
        <is>
          <t>20250127</t>
        </is>
      </c>
    </row>
    <row r="1972">
      <c r="A1972" t="inlineStr">
        <is>
          <t>900006542</t>
        </is>
      </c>
      <c r="B1972" t="inlineStr">
        <is>
          <t>D836</t>
        </is>
      </c>
      <c r="C1972" t="inlineStr">
        <is>
          <t>66885144</t>
        </is>
      </c>
      <c r="D1972" t="inlineStr">
        <is>
          <t>10183535</t>
        </is>
      </c>
      <c r="E1972" t="inlineStr"/>
      <c r="F1972" s="11" t="n">
        <v>80</v>
      </c>
      <c r="G1972" t="inlineStr"/>
      <c r="I1972" t="inlineStr">
        <is>
          <t>M3</t>
        </is>
      </c>
      <c r="J1972" t="inlineStr"/>
      <c r="K1972" t="inlineStr">
        <is>
          <t>20190426</t>
        </is>
      </c>
      <c r="L1972" t="inlineStr">
        <is>
          <t>20250127</t>
        </is>
      </c>
    </row>
    <row r="1973">
      <c r="A1973" t="inlineStr">
        <is>
          <t>900006542</t>
        </is>
      </c>
      <c r="B1973" t="inlineStr">
        <is>
          <t>D836</t>
        </is>
      </c>
      <c r="C1973" t="inlineStr">
        <is>
          <t>66885144</t>
        </is>
      </c>
      <c r="D1973" t="inlineStr">
        <is>
          <t>10187953</t>
        </is>
      </c>
      <c r="E1973" t="inlineStr"/>
      <c r="F1973" s="11" t="n">
        <v>80</v>
      </c>
      <c r="G1973" t="inlineStr"/>
      <c r="I1973" t="inlineStr">
        <is>
          <t>M3</t>
        </is>
      </c>
      <c r="J1973" t="inlineStr"/>
      <c r="K1973" t="inlineStr">
        <is>
          <t>20190426</t>
        </is>
      </c>
      <c r="L1973" t="inlineStr">
        <is>
          <t>20250127</t>
        </is>
      </c>
    </row>
    <row r="1974">
      <c r="A1974" t="inlineStr">
        <is>
          <t>900006542</t>
        </is>
      </c>
      <c r="B1974" t="inlineStr">
        <is>
          <t>D836</t>
        </is>
      </c>
      <c r="C1974" t="inlineStr">
        <is>
          <t>66886969</t>
        </is>
      </c>
      <c r="D1974" t="inlineStr">
        <is>
          <t>10000160</t>
        </is>
      </c>
      <c r="E1974" t="inlineStr"/>
      <c r="F1974" s="11" t="n">
        <v>120</v>
      </c>
      <c r="G1974" t="inlineStr"/>
      <c r="I1974" t="inlineStr">
        <is>
          <t>M3</t>
        </is>
      </c>
      <c r="J1974" t="inlineStr"/>
      <c r="K1974" t="inlineStr">
        <is>
          <t>20190426</t>
        </is>
      </c>
      <c r="L1974" t="inlineStr">
        <is>
          <t>20250127</t>
        </is>
      </c>
    </row>
    <row r="1975">
      <c r="A1975" t="inlineStr">
        <is>
          <t>900006542</t>
        </is>
      </c>
      <c r="B1975" t="inlineStr">
        <is>
          <t>D836</t>
        </is>
      </c>
      <c r="C1975" t="inlineStr">
        <is>
          <t>66886969</t>
        </is>
      </c>
      <c r="D1975" t="inlineStr">
        <is>
          <t>10000357</t>
        </is>
      </c>
      <c r="E1975" t="inlineStr"/>
      <c r="F1975" s="11" t="n">
        <v>130</v>
      </c>
      <c r="G1975" t="inlineStr"/>
      <c r="I1975" t="inlineStr">
        <is>
          <t>M3</t>
        </is>
      </c>
      <c r="J1975" t="inlineStr"/>
      <c r="K1975" t="inlineStr">
        <is>
          <t>20190426</t>
        </is>
      </c>
      <c r="L1975" t="inlineStr">
        <is>
          <t>20250127</t>
        </is>
      </c>
    </row>
    <row r="1976">
      <c r="A1976" t="inlineStr">
        <is>
          <t>900006542</t>
        </is>
      </c>
      <c r="B1976" t="inlineStr">
        <is>
          <t>D836</t>
        </is>
      </c>
      <c r="C1976" t="inlineStr">
        <is>
          <t>66886969</t>
        </is>
      </c>
      <c r="D1976" t="inlineStr">
        <is>
          <t>10000649</t>
        </is>
      </c>
      <c r="E1976" t="inlineStr"/>
      <c r="F1976" s="11" t="n">
        <v>160</v>
      </c>
      <c r="G1976" t="inlineStr"/>
      <c r="I1976" t="inlineStr">
        <is>
          <t>M3</t>
        </is>
      </c>
      <c r="J1976" t="inlineStr"/>
      <c r="K1976" t="inlineStr">
        <is>
          <t>20190426</t>
        </is>
      </c>
      <c r="L1976" t="inlineStr">
        <is>
          <t>20250127</t>
        </is>
      </c>
    </row>
    <row r="1977">
      <c r="A1977" t="inlineStr">
        <is>
          <t>900006542</t>
        </is>
      </c>
      <c r="B1977" t="inlineStr">
        <is>
          <t>D836</t>
        </is>
      </c>
      <c r="C1977" t="inlineStr">
        <is>
          <t>66897460</t>
        </is>
      </c>
      <c r="D1977" t="inlineStr">
        <is>
          <t>10000651</t>
        </is>
      </c>
      <c r="E1977" t="inlineStr"/>
      <c r="F1977" s="11" t="n">
        <v>110</v>
      </c>
      <c r="G1977" t="inlineStr"/>
      <c r="I1977" t="inlineStr">
        <is>
          <t>M3</t>
        </is>
      </c>
      <c r="J1977" t="inlineStr"/>
      <c r="K1977" t="inlineStr">
        <is>
          <t>20190426</t>
        </is>
      </c>
      <c r="L1977" t="inlineStr">
        <is>
          <t>20250127</t>
        </is>
      </c>
    </row>
    <row r="1978">
      <c r="A1978" t="inlineStr">
        <is>
          <t>900006542</t>
        </is>
      </c>
      <c r="B1978" t="inlineStr">
        <is>
          <t>D836</t>
        </is>
      </c>
      <c r="C1978" t="inlineStr">
        <is>
          <t>66897460</t>
        </is>
      </c>
      <c r="D1978" t="inlineStr">
        <is>
          <t>10154416</t>
        </is>
      </c>
      <c r="E1978" t="inlineStr"/>
      <c r="F1978" s="11" t="n">
        <v>125</v>
      </c>
      <c r="G1978" t="inlineStr"/>
      <c r="I1978" t="inlineStr">
        <is>
          <t>M3</t>
        </is>
      </c>
      <c r="J1978" t="inlineStr"/>
      <c r="K1978" t="inlineStr">
        <is>
          <t>20190426</t>
        </is>
      </c>
      <c r="L1978" t="inlineStr">
        <is>
          <t>20250127</t>
        </is>
      </c>
    </row>
    <row r="1979">
      <c r="A1979" t="inlineStr">
        <is>
          <t>900006542</t>
        </is>
      </c>
      <c r="B1979" t="inlineStr">
        <is>
          <t>D836</t>
        </is>
      </c>
      <c r="C1979" t="inlineStr">
        <is>
          <t>66897460</t>
        </is>
      </c>
      <c r="D1979" t="inlineStr">
        <is>
          <t>10183535</t>
        </is>
      </c>
      <c r="E1979" t="inlineStr"/>
      <c r="F1979" s="11" t="n">
        <v>200</v>
      </c>
      <c r="G1979" t="inlineStr"/>
      <c r="I1979" t="inlineStr">
        <is>
          <t>M3</t>
        </is>
      </c>
      <c r="J1979" t="inlineStr"/>
      <c r="K1979" t="inlineStr">
        <is>
          <t>20190426</t>
        </is>
      </c>
      <c r="L1979" t="inlineStr">
        <is>
          <t>20250127</t>
        </is>
      </c>
    </row>
    <row r="1980">
      <c r="A1980" t="inlineStr">
        <is>
          <t>900006542</t>
        </is>
      </c>
      <c r="B1980" t="inlineStr">
        <is>
          <t>D836</t>
        </is>
      </c>
      <c r="C1980" t="inlineStr">
        <is>
          <t>66897867</t>
        </is>
      </c>
      <c r="D1980" t="inlineStr">
        <is>
          <t>10000160</t>
        </is>
      </c>
      <c r="E1980" t="inlineStr"/>
      <c r="F1980" s="11" t="n">
        <v>115</v>
      </c>
      <c r="G1980" t="inlineStr"/>
      <c r="I1980" t="inlineStr">
        <is>
          <t>M3</t>
        </is>
      </c>
      <c r="J1980" t="inlineStr"/>
      <c r="K1980" t="inlineStr">
        <is>
          <t>20190426</t>
        </is>
      </c>
      <c r="L1980" t="inlineStr">
        <is>
          <t>20250127</t>
        </is>
      </c>
    </row>
    <row r="1981">
      <c r="A1981" t="inlineStr">
        <is>
          <t>900006542</t>
        </is>
      </c>
      <c r="B1981" t="inlineStr">
        <is>
          <t>D836</t>
        </is>
      </c>
      <c r="C1981" t="inlineStr">
        <is>
          <t>66897867</t>
        </is>
      </c>
      <c r="D1981" t="inlineStr">
        <is>
          <t>10000357</t>
        </is>
      </c>
      <c r="E1981" t="inlineStr"/>
      <c r="F1981" s="11" t="n">
        <v>125</v>
      </c>
      <c r="G1981" t="inlineStr"/>
      <c r="I1981" t="inlineStr">
        <is>
          <t>M3</t>
        </is>
      </c>
      <c r="J1981" t="inlineStr"/>
      <c r="K1981" t="inlineStr">
        <is>
          <t>20190426</t>
        </is>
      </c>
      <c r="L1981" t="inlineStr">
        <is>
          <t>20250127</t>
        </is>
      </c>
    </row>
    <row r="1982">
      <c r="A1982" t="inlineStr">
        <is>
          <t>900006542</t>
        </is>
      </c>
      <c r="B1982" t="inlineStr">
        <is>
          <t>D836</t>
        </is>
      </c>
      <c r="C1982" t="inlineStr">
        <is>
          <t>66912090</t>
        </is>
      </c>
      <c r="D1982" t="inlineStr">
        <is>
          <t>10000160</t>
        </is>
      </c>
      <c r="E1982" t="inlineStr"/>
      <c r="F1982" s="11" t="n">
        <v>105</v>
      </c>
      <c r="G1982" t="inlineStr"/>
      <c r="I1982" t="inlineStr">
        <is>
          <t>M3</t>
        </is>
      </c>
      <c r="J1982" t="inlineStr"/>
      <c r="K1982" t="inlineStr">
        <is>
          <t>20190426</t>
        </is>
      </c>
      <c r="L1982" t="inlineStr">
        <is>
          <t>20250127</t>
        </is>
      </c>
    </row>
    <row r="1983">
      <c r="A1983" t="inlineStr">
        <is>
          <t>900006542</t>
        </is>
      </c>
      <c r="B1983" t="inlineStr">
        <is>
          <t>D836</t>
        </is>
      </c>
      <c r="C1983" t="inlineStr">
        <is>
          <t>66912090</t>
        </is>
      </c>
      <c r="D1983" t="inlineStr">
        <is>
          <t>10000206</t>
        </is>
      </c>
      <c r="E1983" t="inlineStr"/>
      <c r="F1983" s="11" t="n">
        <v>35</v>
      </c>
      <c r="G1983" t="inlineStr"/>
      <c r="I1983" t="inlineStr">
        <is>
          <t>M3</t>
        </is>
      </c>
      <c r="J1983" t="inlineStr"/>
      <c r="K1983" t="inlineStr">
        <is>
          <t>20190426</t>
        </is>
      </c>
      <c r="L1983" t="inlineStr">
        <is>
          <t>20250127</t>
        </is>
      </c>
    </row>
    <row r="1984">
      <c r="A1984" t="inlineStr">
        <is>
          <t>900006542</t>
        </is>
      </c>
      <c r="B1984" t="inlineStr">
        <is>
          <t>D836</t>
        </is>
      </c>
      <c r="C1984" t="inlineStr">
        <is>
          <t>66912090</t>
        </is>
      </c>
      <c r="D1984" t="inlineStr">
        <is>
          <t>10000357</t>
        </is>
      </c>
      <c r="E1984" t="inlineStr"/>
      <c r="F1984" s="11" t="n">
        <v>115</v>
      </c>
      <c r="G1984" t="inlineStr"/>
      <c r="I1984" t="inlineStr">
        <is>
          <t>M3</t>
        </is>
      </c>
      <c r="J1984" t="inlineStr"/>
      <c r="K1984" t="inlineStr">
        <is>
          <t>20190426</t>
        </is>
      </c>
      <c r="L1984" t="inlineStr">
        <is>
          <t>20250127</t>
        </is>
      </c>
    </row>
    <row r="1985">
      <c r="A1985" t="inlineStr">
        <is>
          <t>900006542</t>
        </is>
      </c>
      <c r="B1985" t="inlineStr">
        <is>
          <t>D836</t>
        </is>
      </c>
      <c r="C1985" t="inlineStr">
        <is>
          <t>66982704</t>
        </is>
      </c>
      <c r="D1985" t="inlineStr">
        <is>
          <t>10000630</t>
        </is>
      </c>
      <c r="E1985" t="inlineStr"/>
      <c r="F1985" s="11" t="n">
        <v>162.5</v>
      </c>
      <c r="G1985" t="inlineStr"/>
      <c r="I1985" t="inlineStr">
        <is>
          <t>M3</t>
        </is>
      </c>
      <c r="J1985" t="inlineStr"/>
      <c r="K1985" t="inlineStr">
        <is>
          <t>20190426</t>
        </is>
      </c>
      <c r="L1985" t="inlineStr">
        <is>
          <t>20250127</t>
        </is>
      </c>
    </row>
    <row r="1986">
      <c r="A1986" t="inlineStr">
        <is>
          <t>900006542</t>
        </is>
      </c>
      <c r="B1986" t="inlineStr">
        <is>
          <t>D836</t>
        </is>
      </c>
      <c r="C1986" t="inlineStr">
        <is>
          <t>67012505</t>
        </is>
      </c>
      <c r="D1986" t="inlineStr">
        <is>
          <t>10178773</t>
        </is>
      </c>
      <c r="E1986" t="inlineStr"/>
      <c r="F1986" s="11" t="n">
        <v>407</v>
      </c>
      <c r="G1986" t="inlineStr"/>
      <c r="I1986" t="inlineStr">
        <is>
          <t>M3</t>
        </is>
      </c>
      <c r="J1986" t="inlineStr"/>
      <c r="K1986" t="inlineStr">
        <is>
          <t>20190426</t>
        </is>
      </c>
      <c r="L1986" t="inlineStr">
        <is>
          <t>20250127</t>
        </is>
      </c>
    </row>
    <row r="1987">
      <c r="A1987" t="inlineStr">
        <is>
          <t>900006542</t>
        </is>
      </c>
      <c r="B1987" t="inlineStr">
        <is>
          <t>D836</t>
        </is>
      </c>
      <c r="C1987" t="inlineStr">
        <is>
          <t>67018821</t>
        </is>
      </c>
      <c r="D1987" t="inlineStr">
        <is>
          <t>10000206</t>
        </is>
      </c>
      <c r="E1987" t="inlineStr"/>
      <c r="F1987" s="11" t="n">
        <v>210.5</v>
      </c>
      <c r="G1987" t="inlineStr"/>
      <c r="I1987" t="inlineStr">
        <is>
          <t>M3</t>
        </is>
      </c>
      <c r="J1987" t="inlineStr"/>
      <c r="K1987" t="inlineStr">
        <is>
          <t>20190426</t>
        </is>
      </c>
      <c r="L1987" t="inlineStr">
        <is>
          <t>20250127</t>
        </is>
      </c>
    </row>
    <row r="1988">
      <c r="A1988" t="inlineStr">
        <is>
          <t>900006542</t>
        </is>
      </c>
      <c r="B1988" t="inlineStr">
        <is>
          <t>D836</t>
        </is>
      </c>
      <c r="C1988" t="inlineStr">
        <is>
          <t>67018821</t>
        </is>
      </c>
      <c r="D1988" t="inlineStr">
        <is>
          <t>10000357</t>
        </is>
      </c>
      <c r="E1988" t="inlineStr"/>
      <c r="F1988" s="11" t="n">
        <v>330.5</v>
      </c>
      <c r="G1988" t="inlineStr"/>
      <c r="I1988" t="inlineStr">
        <is>
          <t>M3</t>
        </is>
      </c>
      <c r="J1988" t="inlineStr"/>
      <c r="K1988" t="inlineStr">
        <is>
          <t>20190426</t>
        </is>
      </c>
      <c r="L1988" t="inlineStr">
        <is>
          <t>20250127</t>
        </is>
      </c>
    </row>
    <row r="1989">
      <c r="A1989" t="inlineStr">
        <is>
          <t>900006542</t>
        </is>
      </c>
      <c r="B1989" t="inlineStr">
        <is>
          <t>D836</t>
        </is>
      </c>
      <c r="C1989" t="inlineStr">
        <is>
          <t>67018821</t>
        </is>
      </c>
      <c r="D1989" t="inlineStr">
        <is>
          <t>10000651</t>
        </is>
      </c>
      <c r="E1989" t="inlineStr"/>
      <c r="F1989" s="11" t="n">
        <v>285.5</v>
      </c>
      <c r="G1989" t="inlineStr"/>
      <c r="I1989" t="inlineStr">
        <is>
          <t>M3</t>
        </is>
      </c>
      <c r="J1989" t="inlineStr"/>
      <c r="K1989" t="inlineStr">
        <is>
          <t>20190426</t>
        </is>
      </c>
      <c r="L1989" t="inlineStr">
        <is>
          <t>20250127</t>
        </is>
      </c>
    </row>
    <row r="1990">
      <c r="A1990" t="inlineStr">
        <is>
          <t>900006542</t>
        </is>
      </c>
      <c r="B1990" t="inlineStr">
        <is>
          <t>D836</t>
        </is>
      </c>
      <c r="C1990" t="inlineStr">
        <is>
          <t>67079060</t>
        </is>
      </c>
      <c r="D1990" t="inlineStr">
        <is>
          <t>10000133</t>
        </is>
      </c>
      <c r="E1990" t="inlineStr"/>
      <c r="F1990" s="11" t="n">
        <v>550.9</v>
      </c>
      <c r="G1990" t="inlineStr"/>
      <c r="I1990" t="inlineStr">
        <is>
          <t>M3</t>
        </is>
      </c>
      <c r="J1990" t="inlineStr"/>
      <c r="K1990" t="inlineStr">
        <is>
          <t>20190426</t>
        </is>
      </c>
      <c r="L1990" t="inlineStr">
        <is>
          <t>20250127</t>
        </is>
      </c>
    </row>
    <row r="1991">
      <c r="A1991" t="inlineStr">
        <is>
          <t>900006542</t>
        </is>
      </c>
      <c r="B1991" t="inlineStr">
        <is>
          <t>D836</t>
        </is>
      </c>
      <c r="C1991" t="inlineStr">
        <is>
          <t>67104718</t>
        </is>
      </c>
      <c r="D1991" t="inlineStr">
        <is>
          <t>10000623</t>
        </is>
      </c>
      <c r="E1991" t="inlineStr"/>
      <c r="F1991" s="11" t="n">
        <v>205.32</v>
      </c>
      <c r="G1991" t="inlineStr"/>
      <c r="I1991" t="inlineStr">
        <is>
          <t>TN</t>
        </is>
      </c>
      <c r="J1991" t="inlineStr"/>
      <c r="K1991" t="inlineStr">
        <is>
          <t>20190426</t>
        </is>
      </c>
      <c r="L1991" t="inlineStr">
        <is>
          <t>20250127</t>
        </is>
      </c>
    </row>
    <row r="1992">
      <c r="A1992" t="inlineStr">
        <is>
          <t>900006542</t>
        </is>
      </c>
      <c r="B1992" t="inlineStr">
        <is>
          <t>D836</t>
        </is>
      </c>
      <c r="C1992" t="inlineStr">
        <is>
          <t>67121213</t>
        </is>
      </c>
      <c r="D1992" t="inlineStr">
        <is>
          <t>10000160</t>
        </is>
      </c>
      <c r="E1992" t="inlineStr"/>
      <c r="F1992" s="11" t="n">
        <v>410</v>
      </c>
      <c r="G1992" t="inlineStr"/>
      <c r="I1992" t="inlineStr">
        <is>
          <t>M3</t>
        </is>
      </c>
      <c r="J1992" t="inlineStr"/>
      <c r="K1992" t="inlineStr">
        <is>
          <t>20190426</t>
        </is>
      </c>
      <c r="L1992" t="inlineStr">
        <is>
          <t>20250127</t>
        </is>
      </c>
    </row>
    <row r="1993">
      <c r="A1993" t="inlineStr">
        <is>
          <t>900006542</t>
        </is>
      </c>
      <c r="B1993" t="inlineStr">
        <is>
          <t>D836</t>
        </is>
      </c>
      <c r="C1993" t="inlineStr">
        <is>
          <t>67121213</t>
        </is>
      </c>
      <c r="D1993" t="inlineStr">
        <is>
          <t>10000649</t>
        </is>
      </c>
      <c r="E1993" t="inlineStr"/>
      <c r="F1993" s="11" t="n">
        <v>400</v>
      </c>
      <c r="G1993" t="inlineStr"/>
      <c r="I1993" t="inlineStr">
        <is>
          <t>M3</t>
        </is>
      </c>
      <c r="J1993" t="inlineStr"/>
      <c r="K1993" t="inlineStr">
        <is>
          <t>20190426</t>
        </is>
      </c>
      <c r="L1993" t="inlineStr">
        <is>
          <t>20250127</t>
        </is>
      </c>
    </row>
    <row r="1994">
      <c r="A1994" t="inlineStr">
        <is>
          <t>900006542</t>
        </is>
      </c>
      <c r="B1994" t="inlineStr">
        <is>
          <t>D836</t>
        </is>
      </c>
      <c r="C1994" t="inlineStr">
        <is>
          <t>67146165</t>
        </is>
      </c>
      <c r="D1994" t="inlineStr">
        <is>
          <t>10000133</t>
        </is>
      </c>
      <c r="E1994" t="inlineStr"/>
      <c r="F1994" s="11" t="n">
        <v>660</v>
      </c>
      <c r="G1994" t="inlineStr"/>
      <c r="I1994" t="inlineStr">
        <is>
          <t>M3</t>
        </is>
      </c>
      <c r="J1994" t="inlineStr"/>
      <c r="K1994" t="inlineStr">
        <is>
          <t>20190426</t>
        </is>
      </c>
      <c r="L1994" t="inlineStr">
        <is>
          <t>20250127</t>
        </is>
      </c>
    </row>
    <row r="1995">
      <c r="A1995" t="inlineStr">
        <is>
          <t>900006542</t>
        </is>
      </c>
      <c r="B1995" t="inlineStr">
        <is>
          <t>D836</t>
        </is>
      </c>
      <c r="C1995" t="inlineStr">
        <is>
          <t>67146165</t>
        </is>
      </c>
      <c r="D1995" t="inlineStr">
        <is>
          <t>10058345</t>
        </is>
      </c>
      <c r="E1995" t="inlineStr"/>
      <c r="F1995" s="11" t="n">
        <v>640</v>
      </c>
      <c r="G1995" t="inlineStr"/>
      <c r="I1995" t="inlineStr">
        <is>
          <t>M3</t>
        </is>
      </c>
      <c r="J1995" t="inlineStr"/>
      <c r="K1995" t="inlineStr">
        <is>
          <t>20190426</t>
        </is>
      </c>
      <c r="L1995" t="inlineStr">
        <is>
          <t>20250127</t>
        </is>
      </c>
    </row>
    <row r="1996">
      <c r="A1996" t="inlineStr">
        <is>
          <t>900006543</t>
        </is>
      </c>
      <c r="B1996" t="inlineStr">
        <is>
          <t>D836</t>
        </is>
      </c>
      <c r="C1996" t="inlineStr">
        <is>
          <t>65006122</t>
        </is>
      </c>
      <c r="D1996" t="inlineStr">
        <is>
          <t>10000651</t>
        </is>
      </c>
      <c r="E1996" t="inlineStr"/>
      <c r="F1996" s="11" t="n">
        <v>128.1</v>
      </c>
      <c r="G1996" t="inlineStr"/>
      <c r="I1996" t="inlineStr">
        <is>
          <t>M3</t>
        </is>
      </c>
      <c r="J1996" t="inlineStr"/>
      <c r="K1996" t="inlineStr">
        <is>
          <t>20190426</t>
        </is>
      </c>
      <c r="L1996" t="inlineStr">
        <is>
          <t>20250127</t>
        </is>
      </c>
    </row>
    <row r="1997">
      <c r="A1997" t="inlineStr">
        <is>
          <t>900006543</t>
        </is>
      </c>
      <c r="B1997" t="inlineStr">
        <is>
          <t>D836</t>
        </is>
      </c>
      <c r="C1997" t="inlineStr">
        <is>
          <t>65061685</t>
        </is>
      </c>
      <c r="D1997" t="inlineStr">
        <is>
          <t>10185476</t>
        </is>
      </c>
      <c r="E1997" t="inlineStr"/>
      <c r="F1997" s="11" t="n">
        <v>110</v>
      </c>
      <c r="G1997" t="inlineStr"/>
      <c r="I1997" t="inlineStr">
        <is>
          <t>M3</t>
        </is>
      </c>
      <c r="J1997" t="inlineStr"/>
      <c r="K1997" t="inlineStr">
        <is>
          <t>20190426</t>
        </is>
      </c>
      <c r="L1997" t="inlineStr">
        <is>
          <t>20250127</t>
        </is>
      </c>
    </row>
    <row r="1998">
      <c r="A1998" t="inlineStr">
        <is>
          <t>900006543</t>
        </is>
      </c>
      <c r="B1998" t="inlineStr">
        <is>
          <t>D836</t>
        </is>
      </c>
      <c r="C1998" t="inlineStr">
        <is>
          <t>65061685</t>
        </is>
      </c>
      <c r="D1998" t="inlineStr">
        <is>
          <t>10185477</t>
        </is>
      </c>
      <c r="E1998" t="inlineStr"/>
      <c r="F1998" s="11" t="n">
        <v>125</v>
      </c>
      <c r="G1998" t="inlineStr"/>
      <c r="I1998" t="inlineStr">
        <is>
          <t>M3</t>
        </is>
      </c>
      <c r="J1998" t="inlineStr"/>
      <c r="K1998" t="inlineStr">
        <is>
          <t>20190426</t>
        </is>
      </c>
      <c r="L1998" t="inlineStr">
        <is>
          <t>20250127</t>
        </is>
      </c>
    </row>
    <row r="1999">
      <c r="A1999" t="inlineStr">
        <is>
          <t>900006543</t>
        </is>
      </c>
      <c r="B1999" t="inlineStr">
        <is>
          <t>D836</t>
        </is>
      </c>
      <c r="C1999" t="inlineStr">
        <is>
          <t>65232687</t>
        </is>
      </c>
      <c r="D1999" t="inlineStr">
        <is>
          <t>10146897</t>
        </is>
      </c>
      <c r="E1999" t="inlineStr"/>
      <c r="F1999" s="11" t="n">
        <v>123</v>
      </c>
      <c r="G1999" t="inlineStr"/>
      <c r="I1999" t="inlineStr">
        <is>
          <t>M3</t>
        </is>
      </c>
      <c r="J1999" t="inlineStr"/>
      <c r="K1999" t="inlineStr">
        <is>
          <t>20190426</t>
        </is>
      </c>
      <c r="L1999" t="inlineStr">
        <is>
          <t>20250127</t>
        </is>
      </c>
    </row>
    <row r="2000">
      <c r="A2000" t="inlineStr">
        <is>
          <t>900006543</t>
        </is>
      </c>
      <c r="B2000" t="inlineStr">
        <is>
          <t>D836</t>
        </is>
      </c>
      <c r="C2000" t="inlineStr">
        <is>
          <t>65251399</t>
        </is>
      </c>
      <c r="D2000" t="inlineStr">
        <is>
          <t>10185476</t>
        </is>
      </c>
      <c r="E2000" t="inlineStr"/>
      <c r="F2000" s="11" t="n">
        <v>110</v>
      </c>
      <c r="G2000" t="inlineStr"/>
      <c r="I2000" t="inlineStr">
        <is>
          <t>M3</t>
        </is>
      </c>
      <c r="J2000" t="inlineStr"/>
      <c r="K2000" t="inlineStr">
        <is>
          <t>20190426</t>
        </is>
      </c>
      <c r="L2000" t="inlineStr">
        <is>
          <t>20250127</t>
        </is>
      </c>
    </row>
    <row r="2001">
      <c r="A2001" t="inlineStr">
        <is>
          <t>900006543</t>
        </is>
      </c>
      <c r="B2001" t="inlineStr">
        <is>
          <t>D836</t>
        </is>
      </c>
      <c r="C2001" t="inlineStr">
        <is>
          <t>65251399</t>
        </is>
      </c>
      <c r="D2001" t="inlineStr">
        <is>
          <t>10185477</t>
        </is>
      </c>
      <c r="E2001" t="inlineStr"/>
      <c r="F2001" s="11" t="n">
        <v>125</v>
      </c>
      <c r="G2001" t="inlineStr"/>
      <c r="I2001" t="inlineStr">
        <is>
          <t>M3</t>
        </is>
      </c>
      <c r="J2001" t="inlineStr"/>
      <c r="K2001" t="inlineStr">
        <is>
          <t>20190426</t>
        </is>
      </c>
      <c r="L2001" t="inlineStr">
        <is>
          <t>20250127</t>
        </is>
      </c>
    </row>
    <row r="2002">
      <c r="A2002" t="inlineStr">
        <is>
          <t>900006543</t>
        </is>
      </c>
      <c r="B2002" t="inlineStr">
        <is>
          <t>D836</t>
        </is>
      </c>
      <c r="C2002" t="inlineStr">
        <is>
          <t>65796882</t>
        </is>
      </c>
      <c r="D2002" t="inlineStr">
        <is>
          <t>10185476</t>
        </is>
      </c>
      <c r="E2002" t="inlineStr"/>
      <c r="F2002" s="11" t="n">
        <v>110</v>
      </c>
      <c r="G2002" t="inlineStr"/>
      <c r="I2002" t="inlineStr">
        <is>
          <t>M3</t>
        </is>
      </c>
      <c r="J2002" t="inlineStr"/>
      <c r="K2002" t="inlineStr">
        <is>
          <t>20190426</t>
        </is>
      </c>
      <c r="L2002" t="inlineStr">
        <is>
          <t>20250127</t>
        </is>
      </c>
    </row>
    <row r="2003">
      <c r="A2003" t="inlineStr">
        <is>
          <t>900006543</t>
        </is>
      </c>
      <c r="B2003" t="inlineStr">
        <is>
          <t>D836</t>
        </is>
      </c>
      <c r="C2003" t="inlineStr">
        <is>
          <t>65796882</t>
        </is>
      </c>
      <c r="D2003" t="inlineStr">
        <is>
          <t>10185477</t>
        </is>
      </c>
      <c r="E2003" t="inlineStr"/>
      <c r="F2003" s="11" t="n">
        <v>125</v>
      </c>
      <c r="G2003" t="inlineStr"/>
      <c r="I2003" t="inlineStr">
        <is>
          <t>M3</t>
        </is>
      </c>
      <c r="J2003" t="inlineStr"/>
      <c r="K2003" t="inlineStr">
        <is>
          <t>20190426</t>
        </is>
      </c>
      <c r="L2003" t="inlineStr">
        <is>
          <t>20250127</t>
        </is>
      </c>
    </row>
    <row r="2004">
      <c r="A2004" t="inlineStr">
        <is>
          <t>900006543</t>
        </is>
      </c>
      <c r="B2004" t="inlineStr">
        <is>
          <t>D836</t>
        </is>
      </c>
      <c r="C2004" t="inlineStr">
        <is>
          <t>65916616</t>
        </is>
      </c>
      <c r="D2004" t="inlineStr">
        <is>
          <t>10185476</t>
        </is>
      </c>
      <c r="E2004" t="inlineStr"/>
      <c r="F2004" s="11" t="n">
        <v>110</v>
      </c>
      <c r="G2004" t="inlineStr"/>
      <c r="I2004" t="inlineStr">
        <is>
          <t>M3</t>
        </is>
      </c>
      <c r="J2004" t="inlineStr"/>
      <c r="K2004" t="inlineStr">
        <is>
          <t>20190426</t>
        </is>
      </c>
      <c r="L2004" t="inlineStr">
        <is>
          <t>20250127</t>
        </is>
      </c>
    </row>
    <row r="2005">
      <c r="A2005" t="inlineStr">
        <is>
          <t>900006543</t>
        </is>
      </c>
      <c r="B2005" t="inlineStr">
        <is>
          <t>D836</t>
        </is>
      </c>
      <c r="C2005" t="inlineStr">
        <is>
          <t>65916616</t>
        </is>
      </c>
      <c r="D2005" t="inlineStr">
        <is>
          <t>10185477</t>
        </is>
      </c>
      <c r="E2005" t="inlineStr"/>
      <c r="F2005" s="11" t="n">
        <v>125</v>
      </c>
      <c r="G2005" t="inlineStr"/>
      <c r="I2005" t="inlineStr">
        <is>
          <t>M3</t>
        </is>
      </c>
      <c r="J2005" t="inlineStr"/>
      <c r="K2005" t="inlineStr">
        <is>
          <t>20190426</t>
        </is>
      </c>
      <c r="L2005" t="inlineStr">
        <is>
          <t>20250127</t>
        </is>
      </c>
    </row>
    <row r="2006">
      <c r="A2006" t="inlineStr">
        <is>
          <t>900006543</t>
        </is>
      </c>
      <c r="B2006" t="inlineStr">
        <is>
          <t>D836</t>
        </is>
      </c>
      <c r="C2006" t="inlineStr">
        <is>
          <t>66230098</t>
        </is>
      </c>
      <c r="D2006" t="inlineStr">
        <is>
          <t>10185476</t>
        </is>
      </c>
      <c r="E2006" t="inlineStr"/>
      <c r="F2006" s="11" t="n">
        <v>110</v>
      </c>
      <c r="G2006" t="inlineStr"/>
      <c r="I2006" t="inlineStr">
        <is>
          <t>M3</t>
        </is>
      </c>
      <c r="J2006" t="inlineStr"/>
      <c r="K2006" t="inlineStr">
        <is>
          <t>20190426</t>
        </is>
      </c>
      <c r="L2006" t="inlineStr">
        <is>
          <t>20250127</t>
        </is>
      </c>
    </row>
    <row r="2007">
      <c r="A2007" t="inlineStr">
        <is>
          <t>900006543</t>
        </is>
      </c>
      <c r="B2007" t="inlineStr">
        <is>
          <t>D836</t>
        </is>
      </c>
      <c r="C2007" t="inlineStr">
        <is>
          <t>66230098</t>
        </is>
      </c>
      <c r="D2007" t="inlineStr">
        <is>
          <t>10185477</t>
        </is>
      </c>
      <c r="E2007" t="inlineStr"/>
      <c r="F2007" s="11" t="n">
        <v>125</v>
      </c>
      <c r="G2007" t="inlineStr"/>
      <c r="I2007" t="inlineStr">
        <is>
          <t>M3</t>
        </is>
      </c>
      <c r="J2007" t="inlineStr"/>
      <c r="K2007" t="inlineStr">
        <is>
          <t>20190426</t>
        </is>
      </c>
      <c r="L2007" t="inlineStr">
        <is>
          <t>20250127</t>
        </is>
      </c>
    </row>
    <row r="2008">
      <c r="A2008" t="inlineStr">
        <is>
          <t>900006543</t>
        </is>
      </c>
      <c r="B2008" t="inlineStr">
        <is>
          <t>D836</t>
        </is>
      </c>
      <c r="C2008" t="inlineStr">
        <is>
          <t>66426100</t>
        </is>
      </c>
      <c r="D2008" t="inlineStr">
        <is>
          <t>10185476</t>
        </is>
      </c>
      <c r="E2008" t="inlineStr"/>
      <c r="F2008" s="11" t="n">
        <v>115</v>
      </c>
      <c r="G2008" t="inlineStr"/>
      <c r="I2008" t="inlineStr">
        <is>
          <t>M3</t>
        </is>
      </c>
      <c r="J2008" t="inlineStr"/>
      <c r="K2008" t="inlineStr">
        <is>
          <t>20190426</t>
        </is>
      </c>
      <c r="L2008" t="inlineStr">
        <is>
          <t>20250127</t>
        </is>
      </c>
    </row>
    <row r="2009">
      <c r="A2009" t="inlineStr">
        <is>
          <t>900006543</t>
        </is>
      </c>
      <c r="B2009" t="inlineStr">
        <is>
          <t>D836</t>
        </is>
      </c>
      <c r="C2009" t="inlineStr">
        <is>
          <t>66426100</t>
        </is>
      </c>
      <c r="D2009" t="inlineStr">
        <is>
          <t>10185477</t>
        </is>
      </c>
      <c r="E2009" t="inlineStr"/>
      <c r="F2009" s="11" t="n">
        <v>120</v>
      </c>
      <c r="G2009" t="inlineStr"/>
      <c r="I2009" t="inlineStr">
        <is>
          <t>M3</t>
        </is>
      </c>
      <c r="J2009" t="inlineStr"/>
      <c r="K2009" t="inlineStr">
        <is>
          <t>20190426</t>
        </is>
      </c>
      <c r="L2009" t="inlineStr">
        <is>
          <t>20250127</t>
        </is>
      </c>
    </row>
    <row r="2010">
      <c r="A2010" t="inlineStr">
        <is>
          <t>900006543</t>
        </is>
      </c>
      <c r="B2010" t="inlineStr">
        <is>
          <t>D836</t>
        </is>
      </c>
      <c r="C2010" t="inlineStr">
        <is>
          <t>66433509</t>
        </is>
      </c>
      <c r="D2010" t="inlineStr">
        <is>
          <t>10185476</t>
        </is>
      </c>
      <c r="E2010" t="inlineStr"/>
      <c r="F2010" s="11" t="n">
        <v>115</v>
      </c>
      <c r="G2010" t="inlineStr"/>
      <c r="I2010" t="inlineStr">
        <is>
          <t>M3</t>
        </is>
      </c>
      <c r="J2010" t="inlineStr"/>
      <c r="K2010" t="inlineStr">
        <is>
          <t>20190426</t>
        </is>
      </c>
      <c r="L2010" t="inlineStr">
        <is>
          <t>20250127</t>
        </is>
      </c>
    </row>
    <row r="2011">
      <c r="A2011" t="inlineStr">
        <is>
          <t>900006543</t>
        </is>
      </c>
      <c r="B2011" t="inlineStr">
        <is>
          <t>D836</t>
        </is>
      </c>
      <c r="C2011" t="inlineStr">
        <is>
          <t>66433509</t>
        </is>
      </c>
      <c r="D2011" t="inlineStr">
        <is>
          <t>10185477</t>
        </is>
      </c>
      <c r="E2011" t="inlineStr"/>
      <c r="F2011" s="11" t="n">
        <v>120</v>
      </c>
      <c r="G2011" t="inlineStr"/>
      <c r="I2011" t="inlineStr">
        <is>
          <t>M3</t>
        </is>
      </c>
      <c r="J2011" t="inlineStr"/>
      <c r="K2011" t="inlineStr">
        <is>
          <t>20190426</t>
        </is>
      </c>
      <c r="L2011" t="inlineStr">
        <is>
          <t>20250127</t>
        </is>
      </c>
    </row>
    <row r="2012">
      <c r="A2012" t="inlineStr">
        <is>
          <t>900006543</t>
        </is>
      </c>
      <c r="B2012" t="inlineStr">
        <is>
          <t>D836</t>
        </is>
      </c>
      <c r="C2012" t="inlineStr">
        <is>
          <t>66442116</t>
        </is>
      </c>
      <c r="D2012" t="inlineStr">
        <is>
          <t>10185476</t>
        </is>
      </c>
      <c r="E2012" t="inlineStr"/>
      <c r="F2012" s="11" t="n">
        <v>110</v>
      </c>
      <c r="G2012" t="inlineStr"/>
      <c r="I2012" t="inlineStr">
        <is>
          <t>M3</t>
        </is>
      </c>
      <c r="J2012" t="inlineStr"/>
      <c r="K2012" t="inlineStr">
        <is>
          <t>20190426</t>
        </is>
      </c>
      <c r="L2012" t="inlineStr">
        <is>
          <t>20250127</t>
        </is>
      </c>
    </row>
    <row r="2013">
      <c r="A2013" t="inlineStr">
        <is>
          <t>900006543</t>
        </is>
      </c>
      <c r="B2013" t="inlineStr">
        <is>
          <t>D836</t>
        </is>
      </c>
      <c r="C2013" t="inlineStr">
        <is>
          <t>66442116</t>
        </is>
      </c>
      <c r="D2013" t="inlineStr">
        <is>
          <t>10185477</t>
        </is>
      </c>
      <c r="E2013" t="inlineStr"/>
      <c r="F2013" s="11" t="n">
        <v>125</v>
      </c>
      <c r="G2013" t="inlineStr"/>
      <c r="I2013" t="inlineStr">
        <is>
          <t>M3</t>
        </is>
      </c>
      <c r="J2013" t="inlineStr"/>
      <c r="K2013" t="inlineStr">
        <is>
          <t>20190426</t>
        </is>
      </c>
      <c r="L2013" t="inlineStr">
        <is>
          <t>20250127</t>
        </is>
      </c>
    </row>
    <row r="2014">
      <c r="A2014" t="inlineStr">
        <is>
          <t>900006543</t>
        </is>
      </c>
      <c r="B2014" t="inlineStr">
        <is>
          <t>D836</t>
        </is>
      </c>
      <c r="C2014" t="inlineStr">
        <is>
          <t>66450072</t>
        </is>
      </c>
      <c r="D2014" t="inlineStr">
        <is>
          <t>10185476</t>
        </is>
      </c>
      <c r="E2014" t="inlineStr"/>
      <c r="F2014" s="11" t="n">
        <v>110</v>
      </c>
      <c r="G2014" t="inlineStr"/>
      <c r="I2014" t="inlineStr">
        <is>
          <t>M3</t>
        </is>
      </c>
      <c r="J2014" t="inlineStr"/>
      <c r="K2014" t="inlineStr">
        <is>
          <t>20190426</t>
        </is>
      </c>
      <c r="L2014" t="inlineStr">
        <is>
          <t>20250127</t>
        </is>
      </c>
    </row>
    <row r="2015">
      <c r="A2015" t="inlineStr">
        <is>
          <t>900006543</t>
        </is>
      </c>
      <c r="B2015" t="inlineStr">
        <is>
          <t>D836</t>
        </is>
      </c>
      <c r="C2015" t="inlineStr">
        <is>
          <t>66450072</t>
        </is>
      </c>
      <c r="D2015" t="inlineStr">
        <is>
          <t>10185477</t>
        </is>
      </c>
      <c r="E2015" t="inlineStr"/>
      <c r="F2015" s="11" t="n">
        <v>125</v>
      </c>
      <c r="G2015" t="inlineStr"/>
      <c r="I2015" t="inlineStr">
        <is>
          <t>M3</t>
        </is>
      </c>
      <c r="J2015" t="inlineStr"/>
      <c r="K2015" t="inlineStr">
        <is>
          <t>20190426</t>
        </is>
      </c>
      <c r="L2015" t="inlineStr">
        <is>
          <t>20250127</t>
        </is>
      </c>
    </row>
    <row r="2016">
      <c r="A2016" t="inlineStr">
        <is>
          <t>900006543</t>
        </is>
      </c>
      <c r="B2016" t="inlineStr">
        <is>
          <t>D836</t>
        </is>
      </c>
      <c r="C2016" t="inlineStr">
        <is>
          <t>66490957</t>
        </is>
      </c>
      <c r="D2016" t="inlineStr">
        <is>
          <t>10000651</t>
        </is>
      </c>
      <c r="E2016" t="inlineStr"/>
      <c r="F2016" s="11" t="n">
        <v>130</v>
      </c>
      <c r="G2016" t="inlineStr"/>
      <c r="I2016" t="inlineStr">
        <is>
          <t>M3</t>
        </is>
      </c>
      <c r="J2016" t="inlineStr"/>
      <c r="K2016" t="inlineStr">
        <is>
          <t>20190426</t>
        </is>
      </c>
      <c r="L2016" t="inlineStr">
        <is>
          <t>20250127</t>
        </is>
      </c>
    </row>
    <row r="2017">
      <c r="A2017" t="inlineStr">
        <is>
          <t>900006543</t>
        </is>
      </c>
      <c r="B2017" t="inlineStr">
        <is>
          <t>D836</t>
        </is>
      </c>
      <c r="C2017" t="inlineStr">
        <is>
          <t>66550843</t>
        </is>
      </c>
      <c r="D2017" t="inlineStr">
        <is>
          <t>10185476</t>
        </is>
      </c>
      <c r="E2017" t="inlineStr"/>
      <c r="F2017" s="11" t="n">
        <v>110</v>
      </c>
      <c r="G2017" t="inlineStr"/>
      <c r="I2017" t="inlineStr">
        <is>
          <t>M3</t>
        </is>
      </c>
      <c r="J2017" t="inlineStr"/>
      <c r="K2017" t="inlineStr">
        <is>
          <t>20190426</t>
        </is>
      </c>
      <c r="L2017" t="inlineStr">
        <is>
          <t>20250127</t>
        </is>
      </c>
    </row>
    <row r="2018">
      <c r="A2018" t="inlineStr">
        <is>
          <t>900006543</t>
        </is>
      </c>
      <c r="B2018" t="inlineStr">
        <is>
          <t>D836</t>
        </is>
      </c>
      <c r="C2018" t="inlineStr">
        <is>
          <t>66550843</t>
        </is>
      </c>
      <c r="D2018" t="inlineStr">
        <is>
          <t>10185477</t>
        </is>
      </c>
      <c r="E2018" t="inlineStr"/>
      <c r="F2018" s="11" t="n">
        <v>125</v>
      </c>
      <c r="G2018" t="inlineStr"/>
      <c r="I2018" t="inlineStr">
        <is>
          <t>M3</t>
        </is>
      </c>
      <c r="J2018" t="inlineStr"/>
      <c r="K2018" t="inlineStr">
        <is>
          <t>20190426</t>
        </is>
      </c>
      <c r="L2018" t="inlineStr">
        <is>
          <t>20250127</t>
        </is>
      </c>
    </row>
    <row r="2019">
      <c r="A2019" t="inlineStr">
        <is>
          <t>900006543</t>
        </is>
      </c>
      <c r="B2019" t="inlineStr">
        <is>
          <t>D836</t>
        </is>
      </c>
      <c r="C2019" t="inlineStr">
        <is>
          <t>66555135</t>
        </is>
      </c>
      <c r="D2019" t="inlineStr">
        <is>
          <t>10185476</t>
        </is>
      </c>
      <c r="E2019" t="inlineStr"/>
      <c r="F2019" s="11" t="n">
        <v>110</v>
      </c>
      <c r="G2019" t="inlineStr"/>
      <c r="I2019" t="inlineStr">
        <is>
          <t>M3</t>
        </is>
      </c>
      <c r="J2019" t="inlineStr"/>
      <c r="K2019" t="inlineStr">
        <is>
          <t>20190426</t>
        </is>
      </c>
      <c r="L2019" t="inlineStr">
        <is>
          <t>20250127</t>
        </is>
      </c>
    </row>
    <row r="2020">
      <c r="A2020" t="inlineStr">
        <is>
          <t>900006543</t>
        </is>
      </c>
      <c r="B2020" t="inlineStr">
        <is>
          <t>D836</t>
        </is>
      </c>
      <c r="C2020" t="inlineStr">
        <is>
          <t>66555135</t>
        </is>
      </c>
      <c r="D2020" t="inlineStr">
        <is>
          <t>10185477</t>
        </is>
      </c>
      <c r="E2020" t="inlineStr"/>
      <c r="F2020" s="11" t="n">
        <v>125</v>
      </c>
      <c r="G2020" t="inlineStr"/>
      <c r="I2020" t="inlineStr">
        <is>
          <t>M3</t>
        </is>
      </c>
      <c r="J2020" t="inlineStr"/>
      <c r="K2020" t="inlineStr">
        <is>
          <t>20190426</t>
        </is>
      </c>
      <c r="L2020" t="inlineStr">
        <is>
          <t>20250127</t>
        </is>
      </c>
    </row>
    <row r="2021">
      <c r="A2021" t="inlineStr">
        <is>
          <t>900006543</t>
        </is>
      </c>
      <c r="B2021" t="inlineStr">
        <is>
          <t>D836</t>
        </is>
      </c>
      <c r="C2021" t="inlineStr">
        <is>
          <t>66605859</t>
        </is>
      </c>
      <c r="D2021" t="inlineStr">
        <is>
          <t>10000651</t>
        </is>
      </c>
      <c r="E2021" t="inlineStr"/>
      <c r="F2021" s="11" t="n">
        <v>130</v>
      </c>
      <c r="G2021" t="inlineStr"/>
      <c r="I2021" t="inlineStr">
        <is>
          <t>M3</t>
        </is>
      </c>
      <c r="J2021" t="inlineStr"/>
      <c r="K2021" t="inlineStr">
        <is>
          <t>20190426</t>
        </is>
      </c>
      <c r="L2021" t="inlineStr">
        <is>
          <t>20250127</t>
        </is>
      </c>
    </row>
    <row r="2022">
      <c r="A2022" t="inlineStr">
        <is>
          <t>900006543</t>
        </is>
      </c>
      <c r="B2022" t="inlineStr">
        <is>
          <t>D836</t>
        </is>
      </c>
      <c r="C2022" t="inlineStr">
        <is>
          <t>66624554</t>
        </is>
      </c>
      <c r="D2022" t="inlineStr">
        <is>
          <t>10000627</t>
        </is>
      </c>
      <c r="E2022" t="inlineStr"/>
      <c r="F2022" s="11" t="n">
        <v>128</v>
      </c>
      <c r="G2022" t="inlineStr"/>
      <c r="I2022" t="inlineStr">
        <is>
          <t>M3</t>
        </is>
      </c>
      <c r="J2022" t="inlineStr"/>
      <c r="K2022" t="inlineStr">
        <is>
          <t>20190426</t>
        </is>
      </c>
      <c r="L2022" t="inlineStr">
        <is>
          <t>20250127</t>
        </is>
      </c>
    </row>
    <row r="2023">
      <c r="A2023" t="inlineStr">
        <is>
          <t>900006543</t>
        </is>
      </c>
      <c r="B2023" t="inlineStr">
        <is>
          <t>D836</t>
        </is>
      </c>
      <c r="C2023" t="inlineStr">
        <is>
          <t>66834820</t>
        </is>
      </c>
      <c r="D2023" t="inlineStr">
        <is>
          <t>10185476</t>
        </is>
      </c>
      <c r="E2023" t="inlineStr"/>
      <c r="F2023" s="11" t="n">
        <v>107</v>
      </c>
      <c r="G2023" t="inlineStr"/>
      <c r="I2023" t="inlineStr">
        <is>
          <t>M3</t>
        </is>
      </c>
      <c r="J2023" t="inlineStr"/>
      <c r="K2023" t="inlineStr">
        <is>
          <t>20190426</t>
        </is>
      </c>
      <c r="L2023" t="inlineStr">
        <is>
          <t>20250127</t>
        </is>
      </c>
    </row>
    <row r="2024">
      <c r="A2024" t="inlineStr">
        <is>
          <t>900006543</t>
        </is>
      </c>
      <c r="B2024" t="inlineStr">
        <is>
          <t>D836</t>
        </is>
      </c>
      <c r="C2024" t="inlineStr">
        <is>
          <t>66834820</t>
        </is>
      </c>
      <c r="D2024" t="inlineStr">
        <is>
          <t>10185477</t>
        </is>
      </c>
      <c r="E2024" t="inlineStr"/>
      <c r="F2024" s="11" t="n">
        <v>117</v>
      </c>
      <c r="G2024" t="inlineStr"/>
      <c r="I2024" t="inlineStr">
        <is>
          <t>M3</t>
        </is>
      </c>
      <c r="J2024" t="inlineStr"/>
      <c r="K2024" t="inlineStr">
        <is>
          <t>20190426</t>
        </is>
      </c>
      <c r="L2024" t="inlineStr">
        <is>
          <t>20250127</t>
        </is>
      </c>
    </row>
    <row r="2025">
      <c r="A2025" t="inlineStr">
        <is>
          <t>900006543</t>
        </is>
      </c>
      <c r="B2025" t="inlineStr">
        <is>
          <t>D836</t>
        </is>
      </c>
      <c r="C2025" t="inlineStr">
        <is>
          <t>66840672</t>
        </is>
      </c>
      <c r="D2025" t="inlineStr">
        <is>
          <t>10000651</t>
        </is>
      </c>
      <c r="E2025" t="inlineStr"/>
      <c r="F2025" s="11" t="n">
        <v>130</v>
      </c>
      <c r="G2025" t="inlineStr"/>
      <c r="I2025" t="inlineStr">
        <is>
          <t>M3</t>
        </is>
      </c>
      <c r="J2025" t="inlineStr"/>
      <c r="K2025" t="inlineStr">
        <is>
          <t>20190426</t>
        </is>
      </c>
      <c r="L2025" t="inlineStr">
        <is>
          <t>20250127</t>
        </is>
      </c>
    </row>
    <row r="2026">
      <c r="A2026" t="inlineStr">
        <is>
          <t>900006543</t>
        </is>
      </c>
      <c r="B2026" t="inlineStr">
        <is>
          <t>D836</t>
        </is>
      </c>
      <c r="C2026" t="inlineStr">
        <is>
          <t>66840672</t>
        </is>
      </c>
      <c r="D2026" t="inlineStr">
        <is>
          <t>10185476</t>
        </is>
      </c>
      <c r="E2026" t="inlineStr"/>
      <c r="F2026" s="11" t="n">
        <v>107</v>
      </c>
      <c r="G2026" t="inlineStr"/>
      <c r="I2026" t="inlineStr">
        <is>
          <t>M3</t>
        </is>
      </c>
      <c r="J2026" t="inlineStr"/>
      <c r="K2026" t="inlineStr">
        <is>
          <t>20190426</t>
        </is>
      </c>
      <c r="L2026" t="inlineStr">
        <is>
          <t>20250127</t>
        </is>
      </c>
    </row>
    <row r="2027">
      <c r="A2027" t="inlineStr">
        <is>
          <t>900006543</t>
        </is>
      </c>
      <c r="B2027" t="inlineStr">
        <is>
          <t>D836</t>
        </is>
      </c>
      <c r="C2027" t="inlineStr">
        <is>
          <t>66840672</t>
        </is>
      </c>
      <c r="D2027" t="inlineStr">
        <is>
          <t>10185477</t>
        </is>
      </c>
      <c r="E2027" t="inlineStr"/>
      <c r="F2027" s="11" t="n">
        <v>122</v>
      </c>
      <c r="G2027" t="inlineStr"/>
      <c r="I2027" t="inlineStr">
        <is>
          <t>M3</t>
        </is>
      </c>
      <c r="J2027" t="inlineStr"/>
      <c r="K2027" t="inlineStr">
        <is>
          <t>20190426</t>
        </is>
      </c>
      <c r="L2027" t="inlineStr">
        <is>
          <t>20250127</t>
        </is>
      </c>
    </row>
    <row r="2028">
      <c r="A2028" t="inlineStr">
        <is>
          <t>900006543</t>
        </is>
      </c>
      <c r="B2028" t="inlineStr">
        <is>
          <t>D836</t>
        </is>
      </c>
      <c r="C2028" t="inlineStr">
        <is>
          <t>66853813</t>
        </is>
      </c>
      <c r="D2028" t="inlineStr">
        <is>
          <t>10185476</t>
        </is>
      </c>
      <c r="E2028" t="inlineStr"/>
      <c r="F2028" s="11" t="n">
        <v>115</v>
      </c>
      <c r="G2028" t="inlineStr"/>
      <c r="I2028" t="inlineStr">
        <is>
          <t>M3</t>
        </is>
      </c>
      <c r="J2028" t="inlineStr"/>
      <c r="K2028" t="inlineStr">
        <is>
          <t>20190426</t>
        </is>
      </c>
      <c r="L2028" t="inlineStr">
        <is>
          <t>20250127</t>
        </is>
      </c>
    </row>
    <row r="2029">
      <c r="A2029" t="inlineStr">
        <is>
          <t>900006543</t>
        </is>
      </c>
      <c r="B2029" t="inlineStr">
        <is>
          <t>D836</t>
        </is>
      </c>
      <c r="C2029" t="inlineStr">
        <is>
          <t>66853813</t>
        </is>
      </c>
      <c r="D2029" t="inlineStr">
        <is>
          <t>10185477</t>
        </is>
      </c>
      <c r="E2029" t="inlineStr"/>
      <c r="F2029" s="11" t="n">
        <v>120</v>
      </c>
      <c r="G2029" t="inlineStr"/>
      <c r="I2029" t="inlineStr">
        <is>
          <t>M3</t>
        </is>
      </c>
      <c r="J2029" t="inlineStr"/>
      <c r="K2029" t="inlineStr">
        <is>
          <t>20190426</t>
        </is>
      </c>
      <c r="L2029" t="inlineStr">
        <is>
          <t>20250127</t>
        </is>
      </c>
    </row>
    <row r="2030">
      <c r="A2030" t="inlineStr">
        <is>
          <t>900006543</t>
        </is>
      </c>
      <c r="B2030" t="inlineStr">
        <is>
          <t>D836</t>
        </is>
      </c>
      <c r="C2030" t="inlineStr">
        <is>
          <t>66874292</t>
        </is>
      </c>
      <c r="D2030" t="inlineStr">
        <is>
          <t>10185476</t>
        </is>
      </c>
      <c r="E2030" t="inlineStr"/>
      <c r="F2030" s="11" t="n">
        <v>107</v>
      </c>
      <c r="G2030" t="inlineStr"/>
      <c r="I2030" t="inlineStr">
        <is>
          <t>M3</t>
        </is>
      </c>
      <c r="J2030" t="inlineStr"/>
      <c r="K2030" t="inlineStr">
        <is>
          <t>20190426</t>
        </is>
      </c>
      <c r="L2030" t="inlineStr">
        <is>
          <t>20250127</t>
        </is>
      </c>
    </row>
    <row r="2031">
      <c r="A2031" t="inlineStr">
        <is>
          <t>900006543</t>
        </is>
      </c>
      <c r="B2031" t="inlineStr">
        <is>
          <t>D836</t>
        </is>
      </c>
      <c r="C2031" t="inlineStr">
        <is>
          <t>66874292</t>
        </is>
      </c>
      <c r="D2031" t="inlineStr">
        <is>
          <t>10185477</t>
        </is>
      </c>
      <c r="E2031" t="inlineStr"/>
      <c r="F2031" s="11" t="n">
        <v>117</v>
      </c>
      <c r="G2031" t="inlineStr"/>
      <c r="I2031" t="inlineStr">
        <is>
          <t>M3</t>
        </is>
      </c>
      <c r="J2031" t="inlineStr"/>
      <c r="K2031" t="inlineStr">
        <is>
          <t>20190426</t>
        </is>
      </c>
      <c r="L2031" t="inlineStr">
        <is>
          <t>20250127</t>
        </is>
      </c>
    </row>
    <row r="2032">
      <c r="A2032" t="inlineStr">
        <is>
          <t>900006543</t>
        </is>
      </c>
      <c r="B2032" t="inlineStr">
        <is>
          <t>D836</t>
        </is>
      </c>
      <c r="C2032" t="inlineStr">
        <is>
          <t>66884146</t>
        </is>
      </c>
      <c r="D2032" t="inlineStr">
        <is>
          <t>10000627</t>
        </is>
      </c>
      <c r="E2032" t="inlineStr"/>
      <c r="F2032" s="11" t="n">
        <v>115</v>
      </c>
      <c r="G2032" t="inlineStr"/>
      <c r="I2032" t="inlineStr">
        <is>
          <t>M3</t>
        </is>
      </c>
      <c r="J2032" t="inlineStr"/>
      <c r="K2032" t="inlineStr">
        <is>
          <t>20190426</t>
        </is>
      </c>
      <c r="L2032" t="inlineStr">
        <is>
          <t>20250127</t>
        </is>
      </c>
    </row>
    <row r="2033">
      <c r="A2033" t="inlineStr">
        <is>
          <t>900006543</t>
        </is>
      </c>
      <c r="B2033" t="inlineStr">
        <is>
          <t>D836</t>
        </is>
      </c>
      <c r="C2033" t="inlineStr">
        <is>
          <t>66884146</t>
        </is>
      </c>
      <c r="D2033" t="inlineStr">
        <is>
          <t>10185476</t>
        </is>
      </c>
      <c r="E2033" t="inlineStr"/>
      <c r="F2033" s="11" t="n">
        <v>115</v>
      </c>
      <c r="G2033" t="inlineStr"/>
      <c r="I2033" t="inlineStr">
        <is>
          <t>M3</t>
        </is>
      </c>
      <c r="J2033" t="inlineStr"/>
      <c r="K2033" t="inlineStr">
        <is>
          <t>20190426</t>
        </is>
      </c>
      <c r="L2033" t="inlineStr">
        <is>
          <t>20250127</t>
        </is>
      </c>
    </row>
    <row r="2034">
      <c r="A2034" t="inlineStr">
        <is>
          <t>900006543</t>
        </is>
      </c>
      <c r="B2034" t="inlineStr">
        <is>
          <t>D836</t>
        </is>
      </c>
      <c r="C2034" t="inlineStr">
        <is>
          <t>66890781</t>
        </is>
      </c>
      <c r="D2034" t="inlineStr">
        <is>
          <t>10185476</t>
        </is>
      </c>
      <c r="E2034" t="inlineStr"/>
      <c r="F2034" s="11" t="n">
        <v>107</v>
      </c>
      <c r="G2034" t="inlineStr"/>
      <c r="I2034" t="inlineStr">
        <is>
          <t>M3</t>
        </is>
      </c>
      <c r="J2034" t="inlineStr"/>
      <c r="K2034" t="inlineStr">
        <is>
          <t>20190426</t>
        </is>
      </c>
      <c r="L2034" t="inlineStr">
        <is>
          <t>20250127</t>
        </is>
      </c>
    </row>
    <row r="2035">
      <c r="A2035" t="inlineStr">
        <is>
          <t>900006543</t>
        </is>
      </c>
      <c r="B2035" t="inlineStr">
        <is>
          <t>D836</t>
        </is>
      </c>
      <c r="C2035" t="inlineStr">
        <is>
          <t>66890781</t>
        </is>
      </c>
      <c r="D2035" t="inlineStr">
        <is>
          <t>10185477</t>
        </is>
      </c>
      <c r="E2035" t="inlineStr"/>
      <c r="F2035" s="11" t="n">
        <v>117</v>
      </c>
      <c r="G2035" t="inlineStr"/>
      <c r="I2035" t="inlineStr">
        <is>
          <t>M3</t>
        </is>
      </c>
      <c r="J2035" t="inlineStr"/>
      <c r="K2035" t="inlineStr">
        <is>
          <t>20190426</t>
        </is>
      </c>
      <c r="L2035" t="inlineStr">
        <is>
          <t>20250127</t>
        </is>
      </c>
    </row>
    <row r="2036">
      <c r="A2036" t="inlineStr">
        <is>
          <t>900006543</t>
        </is>
      </c>
      <c r="B2036" t="inlineStr">
        <is>
          <t>D836</t>
        </is>
      </c>
      <c r="C2036" t="inlineStr">
        <is>
          <t>66933313</t>
        </is>
      </c>
      <c r="D2036" t="inlineStr">
        <is>
          <t>10185476</t>
        </is>
      </c>
      <c r="E2036" t="inlineStr"/>
      <c r="F2036" s="11" t="n">
        <v>110</v>
      </c>
      <c r="G2036" t="inlineStr"/>
      <c r="I2036" t="inlineStr">
        <is>
          <t>M3</t>
        </is>
      </c>
      <c r="J2036" t="inlineStr"/>
      <c r="K2036" t="inlineStr">
        <is>
          <t>20190426</t>
        </is>
      </c>
      <c r="L2036" t="inlineStr">
        <is>
          <t>20250127</t>
        </is>
      </c>
    </row>
    <row r="2037">
      <c r="A2037" t="inlineStr">
        <is>
          <t>900006543</t>
        </is>
      </c>
      <c r="B2037" t="inlineStr">
        <is>
          <t>D836</t>
        </is>
      </c>
      <c r="C2037" t="inlineStr">
        <is>
          <t>66933313</t>
        </is>
      </c>
      <c r="D2037" t="inlineStr">
        <is>
          <t>10185477</t>
        </is>
      </c>
      <c r="E2037" t="inlineStr"/>
      <c r="F2037" s="11" t="n">
        <v>120</v>
      </c>
      <c r="G2037" t="inlineStr"/>
      <c r="I2037" t="inlineStr">
        <is>
          <t>M3</t>
        </is>
      </c>
      <c r="J2037" t="inlineStr"/>
      <c r="K2037" t="inlineStr">
        <is>
          <t>20190426</t>
        </is>
      </c>
      <c r="L2037" t="inlineStr">
        <is>
          <t>20250127</t>
        </is>
      </c>
    </row>
    <row r="2038">
      <c r="A2038" t="inlineStr">
        <is>
          <t>900006543</t>
        </is>
      </c>
      <c r="B2038" t="inlineStr">
        <is>
          <t>D836</t>
        </is>
      </c>
      <c r="C2038" t="inlineStr">
        <is>
          <t>66970213</t>
        </is>
      </c>
      <c r="D2038" t="inlineStr">
        <is>
          <t>10000651</t>
        </is>
      </c>
      <c r="E2038" t="inlineStr"/>
      <c r="F2038" s="11" t="n">
        <v>130</v>
      </c>
      <c r="G2038" t="inlineStr"/>
      <c r="I2038" t="inlineStr">
        <is>
          <t>M3</t>
        </is>
      </c>
      <c r="J2038" t="inlineStr"/>
      <c r="K2038" t="inlineStr">
        <is>
          <t>20190426</t>
        </is>
      </c>
      <c r="L2038" t="inlineStr">
        <is>
          <t>20250127</t>
        </is>
      </c>
    </row>
    <row r="2039">
      <c r="A2039" t="inlineStr">
        <is>
          <t>900006543</t>
        </is>
      </c>
      <c r="B2039" t="inlineStr">
        <is>
          <t>D836</t>
        </is>
      </c>
      <c r="C2039" t="inlineStr">
        <is>
          <t>66977443</t>
        </is>
      </c>
      <c r="D2039" t="inlineStr">
        <is>
          <t>10185476</t>
        </is>
      </c>
      <c r="E2039" t="inlineStr"/>
      <c r="F2039" s="11" t="n">
        <v>110</v>
      </c>
      <c r="G2039" t="inlineStr"/>
      <c r="I2039" t="inlineStr">
        <is>
          <t>M3</t>
        </is>
      </c>
      <c r="J2039" t="inlineStr"/>
      <c r="K2039" t="inlineStr">
        <is>
          <t>20190426</t>
        </is>
      </c>
      <c r="L2039" t="inlineStr">
        <is>
          <t>20250127</t>
        </is>
      </c>
    </row>
    <row r="2040">
      <c r="A2040" t="inlineStr">
        <is>
          <t>900006543</t>
        </is>
      </c>
      <c r="B2040" t="inlineStr">
        <is>
          <t>D836</t>
        </is>
      </c>
      <c r="C2040" t="inlineStr">
        <is>
          <t>66977443</t>
        </is>
      </c>
      <c r="D2040" t="inlineStr">
        <is>
          <t>10185477</t>
        </is>
      </c>
      <c r="E2040" t="inlineStr"/>
      <c r="F2040" s="11" t="n">
        <v>125</v>
      </c>
      <c r="G2040" t="inlineStr"/>
      <c r="I2040" t="inlineStr">
        <is>
          <t>M3</t>
        </is>
      </c>
      <c r="J2040" t="inlineStr"/>
      <c r="K2040" t="inlineStr">
        <is>
          <t>20190426</t>
        </is>
      </c>
      <c r="L2040" t="inlineStr">
        <is>
          <t>20250127</t>
        </is>
      </c>
    </row>
    <row r="2041">
      <c r="A2041" t="inlineStr">
        <is>
          <t>900006543</t>
        </is>
      </c>
      <c r="B2041" t="inlineStr">
        <is>
          <t>D836</t>
        </is>
      </c>
      <c r="C2041" t="inlineStr">
        <is>
          <t>66982551</t>
        </is>
      </c>
      <c r="D2041" t="inlineStr">
        <is>
          <t>10000627</t>
        </is>
      </c>
      <c r="E2041" t="inlineStr"/>
      <c r="F2041" s="11" t="n">
        <v>115</v>
      </c>
      <c r="G2041" t="inlineStr"/>
      <c r="I2041" t="inlineStr">
        <is>
          <t>M3</t>
        </is>
      </c>
      <c r="J2041" t="inlineStr"/>
      <c r="K2041" t="inlineStr">
        <is>
          <t>20190426</t>
        </is>
      </c>
      <c r="L2041" t="inlineStr">
        <is>
          <t>20250127</t>
        </is>
      </c>
    </row>
    <row r="2042">
      <c r="A2042" t="inlineStr">
        <is>
          <t>900006543</t>
        </is>
      </c>
      <c r="B2042" t="inlineStr">
        <is>
          <t>D836</t>
        </is>
      </c>
      <c r="C2042" t="inlineStr">
        <is>
          <t>66982551</t>
        </is>
      </c>
      <c r="D2042" t="inlineStr">
        <is>
          <t>10185476</t>
        </is>
      </c>
      <c r="E2042" t="inlineStr"/>
      <c r="F2042" s="11" t="n">
        <v>115</v>
      </c>
      <c r="G2042" t="inlineStr"/>
      <c r="I2042" t="inlineStr">
        <is>
          <t>M3</t>
        </is>
      </c>
      <c r="J2042" t="inlineStr"/>
      <c r="K2042" t="inlineStr">
        <is>
          <t>20190426</t>
        </is>
      </c>
      <c r="L2042" t="inlineStr">
        <is>
          <t>20250127</t>
        </is>
      </c>
    </row>
    <row r="2043">
      <c r="A2043" t="inlineStr">
        <is>
          <t>900006543</t>
        </is>
      </c>
      <c r="B2043" t="inlineStr">
        <is>
          <t>D836</t>
        </is>
      </c>
      <c r="C2043" t="inlineStr">
        <is>
          <t>66982658</t>
        </is>
      </c>
      <c r="D2043" t="inlineStr">
        <is>
          <t>10185476</t>
        </is>
      </c>
      <c r="E2043" t="inlineStr"/>
      <c r="F2043" s="11" t="n">
        <v>115</v>
      </c>
      <c r="G2043" t="inlineStr"/>
      <c r="I2043" t="inlineStr">
        <is>
          <t>M3</t>
        </is>
      </c>
      <c r="J2043" t="inlineStr"/>
      <c r="K2043" t="inlineStr">
        <is>
          <t>20190426</t>
        </is>
      </c>
      <c r="L2043" t="inlineStr">
        <is>
          <t>20250127</t>
        </is>
      </c>
    </row>
    <row r="2044">
      <c r="A2044" t="inlineStr">
        <is>
          <t>900006543</t>
        </is>
      </c>
      <c r="B2044" t="inlineStr">
        <is>
          <t>D836</t>
        </is>
      </c>
      <c r="C2044" t="inlineStr">
        <is>
          <t>66982658</t>
        </is>
      </c>
      <c r="D2044" t="inlineStr">
        <is>
          <t>10185477</t>
        </is>
      </c>
      <c r="E2044" t="inlineStr"/>
      <c r="F2044" s="11" t="n">
        <v>125</v>
      </c>
      <c r="G2044" t="inlineStr"/>
      <c r="I2044" t="inlineStr">
        <is>
          <t>M3</t>
        </is>
      </c>
      <c r="J2044" t="inlineStr"/>
      <c r="K2044" t="inlineStr">
        <is>
          <t>20190426</t>
        </is>
      </c>
      <c r="L2044" t="inlineStr">
        <is>
          <t>20250127</t>
        </is>
      </c>
    </row>
    <row r="2045">
      <c r="A2045" t="inlineStr">
        <is>
          <t>900006543</t>
        </is>
      </c>
      <c r="B2045" t="inlineStr">
        <is>
          <t>D836</t>
        </is>
      </c>
      <c r="C2045" t="inlineStr">
        <is>
          <t>67007608</t>
        </is>
      </c>
      <c r="D2045" t="inlineStr">
        <is>
          <t>10000651</t>
        </is>
      </c>
      <c r="E2045" t="inlineStr"/>
      <c r="F2045" s="11" t="n">
        <v>131.16</v>
      </c>
      <c r="G2045" t="inlineStr"/>
      <c r="I2045" t="inlineStr">
        <is>
          <t>M3</t>
        </is>
      </c>
      <c r="J2045" t="inlineStr"/>
      <c r="K2045" t="inlineStr">
        <is>
          <t>20190426</t>
        </is>
      </c>
      <c r="L2045" t="inlineStr">
        <is>
          <t>20250127</t>
        </is>
      </c>
    </row>
    <row r="2046">
      <c r="A2046" t="inlineStr">
        <is>
          <t>900006543</t>
        </is>
      </c>
      <c r="B2046" t="inlineStr">
        <is>
          <t>D836</t>
        </is>
      </c>
      <c r="C2046" t="inlineStr">
        <is>
          <t>67011332</t>
        </is>
      </c>
      <c r="D2046" t="inlineStr">
        <is>
          <t>10185476</t>
        </is>
      </c>
      <c r="E2046" t="inlineStr"/>
      <c r="F2046" s="11" t="n">
        <v>110</v>
      </c>
      <c r="G2046" t="inlineStr"/>
      <c r="I2046" t="inlineStr">
        <is>
          <t>M3</t>
        </is>
      </c>
      <c r="J2046" t="inlineStr"/>
      <c r="K2046" t="inlineStr">
        <is>
          <t>20190426</t>
        </is>
      </c>
      <c r="L2046" t="inlineStr">
        <is>
          <t>20250127</t>
        </is>
      </c>
    </row>
    <row r="2047">
      <c r="A2047" t="inlineStr">
        <is>
          <t>900006543</t>
        </is>
      </c>
      <c r="B2047" t="inlineStr">
        <is>
          <t>D836</t>
        </is>
      </c>
      <c r="C2047" t="inlineStr">
        <is>
          <t>67011332</t>
        </is>
      </c>
      <c r="D2047" t="inlineStr">
        <is>
          <t>10185477</t>
        </is>
      </c>
      <c r="E2047" t="inlineStr"/>
      <c r="F2047" s="11" t="n">
        <v>120</v>
      </c>
      <c r="G2047" t="inlineStr"/>
      <c r="I2047" t="inlineStr">
        <is>
          <t>M3</t>
        </is>
      </c>
      <c r="J2047" t="inlineStr"/>
      <c r="K2047" t="inlineStr">
        <is>
          <t>20190426</t>
        </is>
      </c>
      <c r="L2047" t="inlineStr">
        <is>
          <t>20250127</t>
        </is>
      </c>
    </row>
    <row r="2048">
      <c r="A2048" t="inlineStr">
        <is>
          <t>900006543</t>
        </is>
      </c>
      <c r="B2048" t="inlineStr">
        <is>
          <t>D836</t>
        </is>
      </c>
      <c r="C2048" t="inlineStr">
        <is>
          <t>67012780</t>
        </is>
      </c>
      <c r="D2048" t="inlineStr">
        <is>
          <t>10185476</t>
        </is>
      </c>
      <c r="E2048" t="inlineStr"/>
      <c r="F2048" s="11" t="n">
        <v>115</v>
      </c>
      <c r="G2048" t="inlineStr"/>
      <c r="I2048" t="inlineStr">
        <is>
          <t>M3</t>
        </is>
      </c>
      <c r="J2048" t="inlineStr"/>
      <c r="K2048" t="inlineStr">
        <is>
          <t>20190426</t>
        </is>
      </c>
      <c r="L2048" t="inlineStr">
        <is>
          <t>20250127</t>
        </is>
      </c>
    </row>
    <row r="2049">
      <c r="A2049" t="inlineStr">
        <is>
          <t>900006543</t>
        </is>
      </c>
      <c r="B2049" t="inlineStr">
        <is>
          <t>D836</t>
        </is>
      </c>
      <c r="C2049" t="inlineStr">
        <is>
          <t>67012780</t>
        </is>
      </c>
      <c r="D2049" t="inlineStr">
        <is>
          <t>10185477</t>
        </is>
      </c>
      <c r="E2049" t="inlineStr"/>
      <c r="F2049" s="11" t="n">
        <v>125</v>
      </c>
      <c r="G2049" t="inlineStr"/>
      <c r="I2049" t="inlineStr">
        <is>
          <t>M3</t>
        </is>
      </c>
      <c r="J2049" t="inlineStr"/>
      <c r="K2049" t="inlineStr">
        <is>
          <t>20190426</t>
        </is>
      </c>
      <c r="L2049" t="inlineStr">
        <is>
          <t>20250127</t>
        </is>
      </c>
    </row>
    <row r="2050">
      <c r="A2050" t="inlineStr">
        <is>
          <t>900006543</t>
        </is>
      </c>
      <c r="B2050" t="inlineStr">
        <is>
          <t>D836</t>
        </is>
      </c>
      <c r="C2050" t="inlineStr">
        <is>
          <t>67032666</t>
        </is>
      </c>
      <c r="D2050" t="inlineStr">
        <is>
          <t>10185476</t>
        </is>
      </c>
      <c r="E2050" t="inlineStr"/>
      <c r="F2050" s="11" t="n">
        <v>125</v>
      </c>
      <c r="G2050" t="inlineStr"/>
      <c r="I2050" t="inlineStr">
        <is>
          <t>M3</t>
        </is>
      </c>
      <c r="J2050" t="inlineStr"/>
      <c r="K2050" t="inlineStr">
        <is>
          <t>20190426</t>
        </is>
      </c>
      <c r="L2050" t="inlineStr">
        <is>
          <t>20250127</t>
        </is>
      </c>
    </row>
    <row r="2051">
      <c r="A2051" t="inlineStr">
        <is>
          <t>900006543</t>
        </is>
      </c>
      <c r="B2051" t="inlineStr">
        <is>
          <t>D836</t>
        </is>
      </c>
      <c r="C2051" t="inlineStr">
        <is>
          <t>67036769</t>
        </is>
      </c>
      <c r="D2051" t="inlineStr">
        <is>
          <t>10000651</t>
        </is>
      </c>
      <c r="E2051" t="inlineStr"/>
      <c r="F2051" s="11" t="n">
        <v>131.16</v>
      </c>
      <c r="G2051" t="inlineStr"/>
      <c r="I2051" t="inlineStr">
        <is>
          <t>M3</t>
        </is>
      </c>
      <c r="J2051" t="inlineStr"/>
      <c r="K2051" t="inlineStr">
        <is>
          <t>20190426</t>
        </is>
      </c>
      <c r="L2051" t="inlineStr">
        <is>
          <t>20250127</t>
        </is>
      </c>
    </row>
    <row r="2052">
      <c r="A2052" t="inlineStr">
        <is>
          <t>900006543</t>
        </is>
      </c>
      <c r="B2052" t="inlineStr">
        <is>
          <t>D836</t>
        </is>
      </c>
      <c r="C2052" t="inlineStr">
        <is>
          <t>67058164</t>
        </is>
      </c>
      <c r="D2052" t="inlineStr">
        <is>
          <t>10000206</t>
        </is>
      </c>
      <c r="E2052" t="inlineStr"/>
      <c r="F2052" s="11" t="n">
        <v>20</v>
      </c>
      <c r="G2052" t="inlineStr"/>
      <c r="I2052" t="inlineStr">
        <is>
          <t>M3</t>
        </is>
      </c>
      <c r="J2052" t="inlineStr"/>
      <c r="K2052" t="inlineStr">
        <is>
          <t>20190426</t>
        </is>
      </c>
      <c r="L2052" t="inlineStr">
        <is>
          <t>20250127</t>
        </is>
      </c>
    </row>
    <row r="2053">
      <c r="A2053" t="inlineStr">
        <is>
          <t>900006543</t>
        </is>
      </c>
      <c r="B2053" t="inlineStr">
        <is>
          <t>D836</t>
        </is>
      </c>
      <c r="C2053" t="inlineStr">
        <is>
          <t>67058164</t>
        </is>
      </c>
      <c r="D2053" t="inlineStr">
        <is>
          <t>10185476</t>
        </is>
      </c>
      <c r="E2053" t="inlineStr"/>
      <c r="F2053" s="11" t="n">
        <v>115</v>
      </c>
      <c r="G2053" t="inlineStr"/>
      <c r="I2053" t="inlineStr">
        <is>
          <t>M3</t>
        </is>
      </c>
      <c r="J2053" t="inlineStr"/>
      <c r="K2053" t="inlineStr">
        <is>
          <t>20190426</t>
        </is>
      </c>
      <c r="L2053" t="inlineStr">
        <is>
          <t>20250127</t>
        </is>
      </c>
    </row>
    <row r="2054">
      <c r="A2054" t="inlineStr">
        <is>
          <t>900006543</t>
        </is>
      </c>
      <c r="B2054" t="inlineStr">
        <is>
          <t>D836</t>
        </is>
      </c>
      <c r="C2054" t="inlineStr">
        <is>
          <t>67058164</t>
        </is>
      </c>
      <c r="D2054" t="inlineStr">
        <is>
          <t>10215930</t>
        </is>
      </c>
      <c r="E2054" t="inlineStr"/>
      <c r="F2054" s="11" t="n">
        <v>20</v>
      </c>
      <c r="G2054" t="inlineStr"/>
      <c r="I2054" t="inlineStr">
        <is>
          <t>M3</t>
        </is>
      </c>
      <c r="J2054" t="inlineStr"/>
      <c r="K2054" t="inlineStr">
        <is>
          <t>20190426</t>
        </is>
      </c>
      <c r="L2054" t="inlineStr">
        <is>
          <t>20250127</t>
        </is>
      </c>
    </row>
    <row r="2055">
      <c r="A2055" t="inlineStr">
        <is>
          <t>900006543</t>
        </is>
      </c>
      <c r="B2055" t="inlineStr">
        <is>
          <t>D836</t>
        </is>
      </c>
      <c r="C2055" t="inlineStr">
        <is>
          <t>67070498</t>
        </is>
      </c>
      <c r="D2055" t="inlineStr">
        <is>
          <t>10000627</t>
        </is>
      </c>
      <c r="E2055" t="inlineStr"/>
      <c r="F2055" s="11" t="n">
        <v>120</v>
      </c>
      <c r="G2055" t="inlineStr"/>
      <c r="I2055" t="inlineStr">
        <is>
          <t>M3</t>
        </is>
      </c>
      <c r="J2055" t="inlineStr"/>
      <c r="K2055" t="inlineStr">
        <is>
          <t>20190426</t>
        </is>
      </c>
      <c r="L2055" t="inlineStr">
        <is>
          <t>20250127</t>
        </is>
      </c>
    </row>
    <row r="2056">
      <c r="A2056" t="inlineStr">
        <is>
          <t>900006543</t>
        </is>
      </c>
      <c r="B2056" t="inlineStr">
        <is>
          <t>D836</t>
        </is>
      </c>
      <c r="C2056" t="inlineStr">
        <is>
          <t>67070498</t>
        </is>
      </c>
      <c r="D2056" t="inlineStr">
        <is>
          <t>10185476</t>
        </is>
      </c>
      <c r="E2056" t="inlineStr"/>
      <c r="F2056" s="11" t="n">
        <v>145</v>
      </c>
      <c r="G2056" t="inlineStr"/>
      <c r="I2056" t="inlineStr">
        <is>
          <t>M3</t>
        </is>
      </c>
      <c r="J2056" t="inlineStr"/>
      <c r="K2056" t="inlineStr">
        <is>
          <t>20190426</t>
        </is>
      </c>
      <c r="L2056" t="inlineStr">
        <is>
          <t>20250127</t>
        </is>
      </c>
    </row>
    <row r="2057">
      <c r="A2057" t="inlineStr">
        <is>
          <t>900006543</t>
        </is>
      </c>
      <c r="B2057" t="inlineStr">
        <is>
          <t>D836</t>
        </is>
      </c>
      <c r="C2057" t="inlineStr">
        <is>
          <t>67070498</t>
        </is>
      </c>
      <c r="D2057" t="inlineStr">
        <is>
          <t>10216851</t>
        </is>
      </c>
      <c r="E2057" t="inlineStr"/>
      <c r="F2057" s="11" t="n">
        <v>30</v>
      </c>
      <c r="G2057" t="inlineStr"/>
      <c r="I2057" t="inlineStr">
        <is>
          <t>M3</t>
        </is>
      </c>
      <c r="J2057" t="inlineStr"/>
      <c r="K2057" t="inlineStr">
        <is>
          <t>20190426</t>
        </is>
      </c>
      <c r="L2057" t="inlineStr">
        <is>
          <t>20250127</t>
        </is>
      </c>
    </row>
    <row r="2058">
      <c r="A2058" t="inlineStr">
        <is>
          <t>900006543</t>
        </is>
      </c>
      <c r="B2058" t="inlineStr">
        <is>
          <t>D836</t>
        </is>
      </c>
      <c r="C2058" t="inlineStr">
        <is>
          <t>67073801</t>
        </is>
      </c>
      <c r="D2058" t="inlineStr">
        <is>
          <t>10185476</t>
        </is>
      </c>
      <c r="E2058" t="inlineStr"/>
      <c r="F2058" s="11" t="n">
        <v>115</v>
      </c>
      <c r="G2058" t="inlineStr"/>
      <c r="I2058" t="inlineStr">
        <is>
          <t>M3</t>
        </is>
      </c>
      <c r="J2058" t="inlineStr"/>
      <c r="K2058" t="inlineStr">
        <is>
          <t>20190426</t>
        </is>
      </c>
      <c r="L2058" t="inlineStr">
        <is>
          <t>20250127</t>
        </is>
      </c>
    </row>
    <row r="2059">
      <c r="A2059" t="inlineStr">
        <is>
          <t>900006543</t>
        </is>
      </c>
      <c r="B2059" t="inlineStr">
        <is>
          <t>D836</t>
        </is>
      </c>
      <c r="C2059" t="inlineStr">
        <is>
          <t>67073801</t>
        </is>
      </c>
      <c r="D2059" t="inlineStr">
        <is>
          <t>10185477</t>
        </is>
      </c>
      <c r="E2059" t="inlineStr"/>
      <c r="F2059" s="11" t="n">
        <v>125</v>
      </c>
      <c r="G2059" t="inlineStr"/>
      <c r="I2059" t="inlineStr">
        <is>
          <t>M3</t>
        </is>
      </c>
      <c r="J2059" t="inlineStr"/>
      <c r="K2059" t="inlineStr">
        <is>
          <t>20190426</t>
        </is>
      </c>
      <c r="L2059" t="inlineStr">
        <is>
          <t>20250127</t>
        </is>
      </c>
    </row>
    <row r="2060">
      <c r="A2060" t="inlineStr">
        <is>
          <t>900006543</t>
        </is>
      </c>
      <c r="B2060" t="inlineStr">
        <is>
          <t>D836</t>
        </is>
      </c>
      <c r="C2060" t="inlineStr">
        <is>
          <t>67089397</t>
        </is>
      </c>
      <c r="D2060" t="inlineStr">
        <is>
          <t>10185476</t>
        </is>
      </c>
      <c r="E2060" t="inlineStr"/>
      <c r="F2060" s="11" t="n">
        <v>115</v>
      </c>
      <c r="G2060" t="inlineStr"/>
      <c r="I2060" t="inlineStr">
        <is>
          <t>M3</t>
        </is>
      </c>
      <c r="J2060" t="inlineStr"/>
      <c r="K2060" t="inlineStr">
        <is>
          <t>20190426</t>
        </is>
      </c>
      <c r="L2060" t="inlineStr">
        <is>
          <t>20250127</t>
        </is>
      </c>
    </row>
    <row r="2061">
      <c r="A2061" t="inlineStr">
        <is>
          <t>900006543</t>
        </is>
      </c>
      <c r="B2061" t="inlineStr">
        <is>
          <t>D836</t>
        </is>
      </c>
      <c r="C2061" t="inlineStr">
        <is>
          <t>67089397</t>
        </is>
      </c>
      <c r="D2061" t="inlineStr">
        <is>
          <t>10185477</t>
        </is>
      </c>
      <c r="E2061" t="inlineStr"/>
      <c r="F2061" s="11" t="n">
        <v>125</v>
      </c>
      <c r="G2061" t="inlineStr"/>
      <c r="I2061" t="inlineStr">
        <is>
          <t>M3</t>
        </is>
      </c>
      <c r="J2061" t="inlineStr"/>
      <c r="K2061" t="inlineStr">
        <is>
          <t>20190426</t>
        </is>
      </c>
      <c r="L2061" t="inlineStr">
        <is>
          <t>20250127</t>
        </is>
      </c>
    </row>
    <row r="2062">
      <c r="A2062" t="inlineStr">
        <is>
          <t>900006543</t>
        </is>
      </c>
      <c r="B2062" t="inlineStr">
        <is>
          <t>D836</t>
        </is>
      </c>
      <c r="C2062" t="inlineStr">
        <is>
          <t>67155199</t>
        </is>
      </c>
      <c r="D2062" t="inlineStr">
        <is>
          <t>10216851</t>
        </is>
      </c>
      <c r="E2062" t="inlineStr"/>
      <c r="F2062" s="11" t="n">
        <v>20</v>
      </c>
      <c r="G2062" t="inlineStr"/>
      <c r="I2062" t="inlineStr">
        <is>
          <t>M3</t>
        </is>
      </c>
      <c r="J2062" t="inlineStr"/>
      <c r="K2062" t="inlineStr">
        <is>
          <t>20190426</t>
        </is>
      </c>
      <c r="L2062" t="inlineStr">
        <is>
          <t>20250127</t>
        </is>
      </c>
    </row>
    <row r="2063">
      <c r="A2063" t="inlineStr">
        <is>
          <t>900006551</t>
        </is>
      </c>
      <c r="B2063" t="inlineStr">
        <is>
          <t>D836</t>
        </is>
      </c>
      <c r="C2063" t="inlineStr">
        <is>
          <t>66605859</t>
        </is>
      </c>
      <c r="D2063" t="inlineStr">
        <is>
          <t>10195952</t>
        </is>
      </c>
      <c r="E2063" t="inlineStr"/>
      <c r="F2063" s="11" t="n">
        <v>312</v>
      </c>
      <c r="G2063" t="inlineStr"/>
      <c r="I2063" t="inlineStr">
        <is>
          <t>M3</t>
        </is>
      </c>
      <c r="J2063" t="inlineStr"/>
      <c r="K2063" t="inlineStr">
        <is>
          <t>20190426</t>
        </is>
      </c>
      <c r="L2063" t="inlineStr">
        <is>
          <t>20250127</t>
        </is>
      </c>
    </row>
    <row r="2064">
      <c r="A2064" t="inlineStr">
        <is>
          <t>900006551</t>
        </is>
      </c>
      <c r="B2064" t="inlineStr">
        <is>
          <t>D836</t>
        </is>
      </c>
      <c r="C2064" t="inlineStr">
        <is>
          <t>66605859</t>
        </is>
      </c>
      <c r="D2064" t="inlineStr">
        <is>
          <t>10196021</t>
        </is>
      </c>
      <c r="E2064" t="inlineStr"/>
      <c r="F2064" s="11" t="n">
        <v>455</v>
      </c>
      <c r="G2064" t="inlineStr"/>
      <c r="I2064" t="inlineStr">
        <is>
          <t>M3</t>
        </is>
      </c>
      <c r="J2064" t="inlineStr"/>
      <c r="K2064" t="inlineStr">
        <is>
          <t>20190426</t>
        </is>
      </c>
      <c r="L2064" t="inlineStr">
        <is>
          <t>20250127</t>
        </is>
      </c>
    </row>
    <row r="2065">
      <c r="A2065" t="inlineStr">
        <is>
          <t>900006581</t>
        </is>
      </c>
      <c r="B2065" t="inlineStr">
        <is>
          <t>D836</t>
        </is>
      </c>
      <c r="C2065" t="inlineStr">
        <is>
          <t>66624663</t>
        </is>
      </c>
      <c r="D2065" t="inlineStr">
        <is>
          <t>10146897</t>
        </is>
      </c>
      <c r="E2065" t="inlineStr"/>
      <c r="F2065" s="11" t="n">
        <v>105</v>
      </c>
      <c r="G2065" t="inlineStr"/>
      <c r="I2065" t="inlineStr">
        <is>
          <t>M3</t>
        </is>
      </c>
      <c r="J2065" t="inlineStr"/>
      <c r="K2065" t="inlineStr">
        <is>
          <t>20190426</t>
        </is>
      </c>
      <c r="L2065" t="inlineStr">
        <is>
          <t>20250127</t>
        </is>
      </c>
    </row>
    <row r="2066">
      <c r="A2066" t="inlineStr">
        <is>
          <t>900006824</t>
        </is>
      </c>
      <c r="B2066" t="inlineStr">
        <is>
          <t>D836</t>
        </is>
      </c>
      <c r="C2066" t="inlineStr">
        <is>
          <t>65003945</t>
        </is>
      </c>
      <c r="D2066" t="inlineStr">
        <is>
          <t>10192943</t>
        </is>
      </c>
      <c r="E2066" t="inlineStr"/>
      <c r="F2066" s="11" t="n">
        <v>215</v>
      </c>
      <c r="G2066" t="inlineStr"/>
      <c r="I2066" t="inlineStr">
        <is>
          <t>M3</t>
        </is>
      </c>
      <c r="J2066" t="inlineStr"/>
      <c r="K2066" t="inlineStr">
        <is>
          <t>20190426</t>
        </is>
      </c>
      <c r="L2066" t="inlineStr">
        <is>
          <t>20250127</t>
        </is>
      </c>
    </row>
    <row r="2067">
      <c r="A2067" t="inlineStr">
        <is>
          <t>900006824</t>
        </is>
      </c>
      <c r="B2067" t="inlineStr">
        <is>
          <t>D836</t>
        </is>
      </c>
      <c r="C2067" t="inlineStr">
        <is>
          <t>65003945</t>
        </is>
      </c>
      <c r="D2067" t="inlineStr">
        <is>
          <t>10192944</t>
        </is>
      </c>
      <c r="E2067" t="inlineStr"/>
      <c r="F2067" s="11" t="n">
        <v>190</v>
      </c>
      <c r="G2067" t="inlineStr"/>
      <c r="I2067" t="inlineStr">
        <is>
          <t>M3</t>
        </is>
      </c>
      <c r="J2067" t="inlineStr"/>
      <c r="K2067" t="inlineStr">
        <is>
          <t>20190426</t>
        </is>
      </c>
      <c r="L2067" t="inlineStr">
        <is>
          <t>20250127</t>
        </is>
      </c>
    </row>
    <row r="2068">
      <c r="A2068" t="inlineStr">
        <is>
          <t>900006824</t>
        </is>
      </c>
      <c r="B2068" t="inlineStr">
        <is>
          <t>D836</t>
        </is>
      </c>
      <c r="C2068" t="inlineStr">
        <is>
          <t>66490960</t>
        </is>
      </c>
      <c r="D2068" t="inlineStr">
        <is>
          <t>10000623</t>
        </is>
      </c>
      <c r="E2068" t="inlineStr"/>
      <c r="F2068" s="11" t="n">
        <v>130</v>
      </c>
      <c r="G2068" t="inlineStr"/>
      <c r="I2068" t="inlineStr">
        <is>
          <t>M3</t>
        </is>
      </c>
      <c r="J2068" t="inlineStr"/>
      <c r="K2068" t="inlineStr">
        <is>
          <t>20190426</t>
        </is>
      </c>
      <c r="L2068" t="inlineStr">
        <is>
          <t>20250127</t>
        </is>
      </c>
    </row>
    <row r="2069">
      <c r="A2069" t="inlineStr">
        <is>
          <t>900006824</t>
        </is>
      </c>
      <c r="B2069" t="inlineStr">
        <is>
          <t>D836</t>
        </is>
      </c>
      <c r="C2069" t="inlineStr">
        <is>
          <t>66874616</t>
        </is>
      </c>
      <c r="D2069" t="inlineStr">
        <is>
          <t>10215377</t>
        </is>
      </c>
      <c r="E2069" t="inlineStr"/>
      <c r="F2069" s="11" t="n">
        <v>124</v>
      </c>
      <c r="G2069" t="inlineStr"/>
      <c r="I2069" t="inlineStr">
        <is>
          <t>M3</t>
        </is>
      </c>
      <c r="J2069" t="inlineStr"/>
      <c r="K2069" t="inlineStr">
        <is>
          <t>20190426</t>
        </is>
      </c>
      <c r="L2069" t="inlineStr">
        <is>
          <t>20250127</t>
        </is>
      </c>
    </row>
    <row r="2070">
      <c r="A2070" t="inlineStr">
        <is>
          <t>900006824</t>
        </is>
      </c>
      <c r="B2070" t="inlineStr">
        <is>
          <t>D836</t>
        </is>
      </c>
      <c r="C2070" t="inlineStr">
        <is>
          <t>67008507</t>
        </is>
      </c>
      <c r="D2070" t="inlineStr">
        <is>
          <t>10000623</t>
        </is>
      </c>
      <c r="E2070" t="inlineStr"/>
      <c r="F2070" s="11" t="n">
        <v>160</v>
      </c>
      <c r="G2070" t="inlineStr"/>
      <c r="I2070" t="inlineStr">
        <is>
          <t>TN</t>
        </is>
      </c>
      <c r="J2070" t="inlineStr"/>
      <c r="K2070" t="inlineStr">
        <is>
          <t>20190426</t>
        </is>
      </c>
      <c r="L2070" t="inlineStr">
        <is>
          <t>20250127</t>
        </is>
      </c>
    </row>
    <row r="2071">
      <c r="A2071" t="inlineStr">
        <is>
          <t>900006824</t>
        </is>
      </c>
      <c r="B2071" t="inlineStr">
        <is>
          <t>D836</t>
        </is>
      </c>
      <c r="C2071" t="inlineStr">
        <is>
          <t>67091004</t>
        </is>
      </c>
      <c r="D2071" t="inlineStr">
        <is>
          <t>10192945</t>
        </is>
      </c>
      <c r="E2071" t="inlineStr"/>
      <c r="F2071" s="11" t="n">
        <v>251.82</v>
      </c>
      <c r="G2071" t="inlineStr"/>
      <c r="I2071" t="inlineStr">
        <is>
          <t>TN</t>
        </is>
      </c>
      <c r="J2071" t="inlineStr"/>
      <c r="K2071" t="inlineStr">
        <is>
          <t>20190426</t>
        </is>
      </c>
      <c r="L2071" t="inlineStr">
        <is>
          <t>20250127</t>
        </is>
      </c>
    </row>
    <row r="2072">
      <c r="A2072" t="inlineStr">
        <is>
          <t>900006824</t>
        </is>
      </c>
      <c r="B2072" t="inlineStr">
        <is>
          <t>D836</t>
        </is>
      </c>
      <c r="C2072" t="inlineStr">
        <is>
          <t>67092454</t>
        </is>
      </c>
      <c r="D2072" t="inlineStr">
        <is>
          <t>10000623</t>
        </is>
      </c>
      <c r="E2072" t="inlineStr"/>
      <c r="F2072" s="11" t="n">
        <v>160</v>
      </c>
      <c r="G2072" t="inlineStr"/>
      <c r="I2072" t="inlineStr">
        <is>
          <t>TN</t>
        </is>
      </c>
      <c r="J2072" t="inlineStr"/>
      <c r="K2072" t="inlineStr">
        <is>
          <t>20190426</t>
        </is>
      </c>
      <c r="L2072" t="inlineStr">
        <is>
          <t>20250127</t>
        </is>
      </c>
    </row>
    <row r="2073">
      <c r="A2073" t="inlineStr">
        <is>
          <t>900006950</t>
        </is>
      </c>
      <c r="B2073" t="inlineStr">
        <is>
          <t>D836</t>
        </is>
      </c>
      <c r="C2073" t="inlineStr">
        <is>
          <t>65001905</t>
        </is>
      </c>
      <c r="D2073" t="inlineStr">
        <is>
          <t>10000133</t>
        </is>
      </c>
      <c r="E2073" t="inlineStr"/>
      <c r="F2073" s="11" t="n">
        <v>180</v>
      </c>
      <c r="G2073" t="inlineStr"/>
      <c r="I2073" t="inlineStr">
        <is>
          <t>M3</t>
        </is>
      </c>
      <c r="J2073" t="inlineStr"/>
      <c r="K2073" t="inlineStr">
        <is>
          <t>20190426</t>
        </is>
      </c>
      <c r="L2073" t="inlineStr">
        <is>
          <t>20250127</t>
        </is>
      </c>
    </row>
    <row r="2074">
      <c r="A2074" t="inlineStr">
        <is>
          <t>900006950</t>
        </is>
      </c>
      <c r="B2074" t="inlineStr">
        <is>
          <t>D836</t>
        </is>
      </c>
      <c r="C2074" t="inlineStr">
        <is>
          <t>65001905</t>
        </is>
      </c>
      <c r="D2074" t="inlineStr">
        <is>
          <t>10058345</t>
        </is>
      </c>
      <c r="E2074" t="inlineStr"/>
      <c r="F2074" s="11" t="n">
        <v>95</v>
      </c>
      <c r="G2074" t="inlineStr"/>
      <c r="I2074" t="inlineStr">
        <is>
          <t>M3</t>
        </is>
      </c>
      <c r="J2074" t="inlineStr"/>
      <c r="K2074" t="inlineStr">
        <is>
          <t>20190426</t>
        </is>
      </c>
      <c r="L2074" t="inlineStr">
        <is>
          <t>20250127</t>
        </is>
      </c>
    </row>
    <row r="2075">
      <c r="A2075" t="inlineStr">
        <is>
          <t>900006950</t>
        </is>
      </c>
      <c r="B2075" t="inlineStr">
        <is>
          <t>D836</t>
        </is>
      </c>
      <c r="C2075" t="inlineStr">
        <is>
          <t>66779276</t>
        </is>
      </c>
      <c r="D2075" t="inlineStr">
        <is>
          <t>10000624</t>
        </is>
      </c>
      <c r="E2075" t="inlineStr"/>
      <c r="F2075" s="11" t="n">
        <v>252.29</v>
      </c>
      <c r="G2075" t="inlineStr"/>
      <c r="I2075" t="inlineStr">
        <is>
          <t>TN</t>
        </is>
      </c>
      <c r="J2075" t="inlineStr"/>
      <c r="K2075" t="inlineStr">
        <is>
          <t>20190426</t>
        </is>
      </c>
      <c r="L2075" t="inlineStr">
        <is>
          <t>20250127</t>
        </is>
      </c>
    </row>
    <row r="2076">
      <c r="A2076" t="inlineStr">
        <is>
          <t>900006950</t>
        </is>
      </c>
      <c r="B2076" t="inlineStr">
        <is>
          <t>D836</t>
        </is>
      </c>
      <c r="C2076" t="inlineStr">
        <is>
          <t>66911867</t>
        </is>
      </c>
      <c r="D2076" t="inlineStr">
        <is>
          <t>10000357</t>
        </is>
      </c>
      <c r="E2076" t="inlineStr"/>
      <c r="F2076" s="11" t="n">
        <v>227.6</v>
      </c>
      <c r="G2076" t="inlineStr"/>
      <c r="I2076" t="inlineStr">
        <is>
          <t>M3</t>
        </is>
      </c>
      <c r="J2076" t="inlineStr"/>
      <c r="K2076" t="inlineStr">
        <is>
          <t>20190426</t>
        </is>
      </c>
      <c r="L2076" t="inlineStr">
        <is>
          <t>20250127</t>
        </is>
      </c>
    </row>
    <row r="2077">
      <c r="A2077" t="inlineStr">
        <is>
          <t>900006950</t>
        </is>
      </c>
      <c r="B2077" t="inlineStr">
        <is>
          <t>D836</t>
        </is>
      </c>
      <c r="C2077" t="inlineStr">
        <is>
          <t>66942186</t>
        </is>
      </c>
      <c r="D2077" t="inlineStr">
        <is>
          <t>10019515</t>
        </is>
      </c>
      <c r="E2077" t="inlineStr"/>
      <c r="F2077" s="11" t="n">
        <v>70</v>
      </c>
      <c r="G2077" t="inlineStr"/>
      <c r="I2077" t="inlineStr">
        <is>
          <t>M3</t>
        </is>
      </c>
      <c r="J2077" t="inlineStr"/>
      <c r="K2077" t="inlineStr">
        <is>
          <t>20190426</t>
        </is>
      </c>
      <c r="L2077" t="inlineStr">
        <is>
          <t>20250127</t>
        </is>
      </c>
    </row>
    <row r="2078">
      <c r="A2078" t="inlineStr">
        <is>
          <t>900006950</t>
        </is>
      </c>
      <c r="B2078" t="inlineStr">
        <is>
          <t>D836</t>
        </is>
      </c>
      <c r="C2078" t="inlineStr">
        <is>
          <t>66958312</t>
        </is>
      </c>
      <c r="D2078" t="inlineStr">
        <is>
          <t>10000133</t>
        </is>
      </c>
      <c r="E2078" t="inlineStr"/>
      <c r="F2078" s="11" t="n">
        <v>165</v>
      </c>
      <c r="G2078" t="inlineStr"/>
      <c r="I2078" t="inlineStr">
        <is>
          <t>M3</t>
        </is>
      </c>
      <c r="J2078" t="inlineStr"/>
      <c r="K2078" t="inlineStr">
        <is>
          <t>20190426</t>
        </is>
      </c>
      <c r="L2078" t="inlineStr">
        <is>
          <t>20250127</t>
        </is>
      </c>
    </row>
    <row r="2079">
      <c r="A2079" t="inlineStr">
        <is>
          <t>900006950</t>
        </is>
      </c>
      <c r="B2079" t="inlineStr">
        <is>
          <t>D836</t>
        </is>
      </c>
      <c r="C2079" t="inlineStr">
        <is>
          <t>66958312</t>
        </is>
      </c>
      <c r="D2079" t="inlineStr">
        <is>
          <t>10000160</t>
        </is>
      </c>
      <c r="E2079" t="inlineStr"/>
      <c r="F2079" s="11" t="n">
        <v>139</v>
      </c>
      <c r="G2079" t="inlineStr"/>
      <c r="I2079" t="inlineStr">
        <is>
          <t>M3</t>
        </is>
      </c>
      <c r="J2079" t="inlineStr"/>
      <c r="K2079" t="inlineStr">
        <is>
          <t>20190426</t>
        </is>
      </c>
      <c r="L2079" t="inlineStr">
        <is>
          <t>20250127</t>
        </is>
      </c>
    </row>
    <row r="2080">
      <c r="A2080" t="inlineStr">
        <is>
          <t>900006950</t>
        </is>
      </c>
      <c r="B2080" t="inlineStr">
        <is>
          <t>D836</t>
        </is>
      </c>
      <c r="C2080" t="inlineStr">
        <is>
          <t>66958312</t>
        </is>
      </c>
      <c r="D2080" t="inlineStr">
        <is>
          <t>10000206</t>
        </is>
      </c>
      <c r="E2080" t="inlineStr"/>
      <c r="F2080" s="11" t="n">
        <v>36.2</v>
      </c>
      <c r="G2080" t="inlineStr"/>
      <c r="I2080" t="inlineStr">
        <is>
          <t>M3</t>
        </is>
      </c>
      <c r="J2080" t="inlineStr"/>
      <c r="K2080" t="inlineStr">
        <is>
          <t>20190426</t>
        </is>
      </c>
      <c r="L2080" t="inlineStr">
        <is>
          <t>20250127</t>
        </is>
      </c>
    </row>
    <row r="2081">
      <c r="A2081" t="inlineStr">
        <is>
          <t>900006950</t>
        </is>
      </c>
      <c r="B2081" t="inlineStr">
        <is>
          <t>D836</t>
        </is>
      </c>
      <c r="C2081" t="inlineStr">
        <is>
          <t>66958312</t>
        </is>
      </c>
      <c r="D2081" t="inlineStr">
        <is>
          <t>10000357</t>
        </is>
      </c>
      <c r="E2081" t="inlineStr"/>
      <c r="F2081" s="11" t="n">
        <v>165</v>
      </c>
      <c r="G2081" t="inlineStr"/>
      <c r="I2081" t="inlineStr">
        <is>
          <t>M3</t>
        </is>
      </c>
      <c r="J2081" t="inlineStr"/>
      <c r="K2081" t="inlineStr">
        <is>
          <t>20190426</t>
        </is>
      </c>
      <c r="L2081" t="inlineStr">
        <is>
          <t>20250127</t>
        </is>
      </c>
    </row>
    <row r="2082">
      <c r="A2082" t="inlineStr">
        <is>
          <t>900006950</t>
        </is>
      </c>
      <c r="B2082" t="inlineStr">
        <is>
          <t>D836</t>
        </is>
      </c>
      <c r="C2082" t="inlineStr">
        <is>
          <t>67104718</t>
        </is>
      </c>
      <c r="D2082" t="inlineStr">
        <is>
          <t>10000623</t>
        </is>
      </c>
      <c r="E2082" t="inlineStr"/>
      <c r="F2082" s="11" t="n">
        <v>198.62</v>
      </c>
      <c r="G2082" t="inlineStr"/>
      <c r="I2082" t="inlineStr">
        <is>
          <t>TN</t>
        </is>
      </c>
      <c r="J2082" t="inlineStr"/>
      <c r="K2082" t="inlineStr">
        <is>
          <t>20190426</t>
        </is>
      </c>
      <c r="L2082" t="inlineStr">
        <is>
          <t>20250127</t>
        </is>
      </c>
    </row>
    <row r="2083">
      <c r="A2083" t="inlineStr">
        <is>
          <t>900007028</t>
        </is>
      </c>
      <c r="B2083" t="inlineStr">
        <is>
          <t>D836</t>
        </is>
      </c>
      <c r="C2083" t="inlineStr">
        <is>
          <t>65061685</t>
        </is>
      </c>
      <c r="D2083" t="inlineStr">
        <is>
          <t>10000566</t>
        </is>
      </c>
      <c r="E2083" t="inlineStr"/>
      <c r="F2083" s="11" t="n">
        <v>80</v>
      </c>
      <c r="G2083" t="inlineStr"/>
      <c r="I2083" t="inlineStr">
        <is>
          <t>TN</t>
        </is>
      </c>
      <c r="J2083" t="inlineStr"/>
      <c r="K2083" t="inlineStr">
        <is>
          <t>20190426</t>
        </is>
      </c>
      <c r="L2083" t="inlineStr">
        <is>
          <t>20250127</t>
        </is>
      </c>
    </row>
    <row r="2084">
      <c r="A2084" t="inlineStr">
        <is>
          <t>900007028</t>
        </is>
      </c>
      <c r="B2084" t="inlineStr">
        <is>
          <t>D836</t>
        </is>
      </c>
      <c r="C2084" t="inlineStr">
        <is>
          <t>65251399</t>
        </is>
      </c>
      <c r="D2084" t="inlineStr">
        <is>
          <t>10000566</t>
        </is>
      </c>
      <c r="E2084" t="inlineStr"/>
      <c r="F2084" s="11" t="n">
        <v>80</v>
      </c>
      <c r="G2084" t="inlineStr"/>
      <c r="I2084" t="inlineStr">
        <is>
          <t>TN</t>
        </is>
      </c>
      <c r="J2084" t="inlineStr"/>
      <c r="K2084" t="inlineStr">
        <is>
          <t>20190426</t>
        </is>
      </c>
      <c r="L2084" t="inlineStr">
        <is>
          <t>20250127</t>
        </is>
      </c>
    </row>
    <row r="2085">
      <c r="A2085" t="inlineStr">
        <is>
          <t>900007028</t>
        </is>
      </c>
      <c r="B2085" t="inlineStr">
        <is>
          <t>D836</t>
        </is>
      </c>
      <c r="C2085" t="inlineStr">
        <is>
          <t>65796882</t>
        </is>
      </c>
      <c r="D2085" t="inlineStr">
        <is>
          <t>10000566</t>
        </is>
      </c>
      <c r="E2085" t="inlineStr"/>
      <c r="F2085" s="11" t="n">
        <v>80</v>
      </c>
      <c r="G2085" t="inlineStr"/>
      <c r="I2085" t="inlineStr">
        <is>
          <t>TN</t>
        </is>
      </c>
      <c r="J2085" t="inlineStr"/>
      <c r="K2085" t="inlineStr">
        <is>
          <t>20190426</t>
        </is>
      </c>
      <c r="L2085" t="inlineStr">
        <is>
          <t>20250127</t>
        </is>
      </c>
    </row>
    <row r="2086">
      <c r="A2086" t="inlineStr">
        <is>
          <t>900007028</t>
        </is>
      </c>
      <c r="B2086" t="inlineStr">
        <is>
          <t>D836</t>
        </is>
      </c>
      <c r="C2086" t="inlineStr">
        <is>
          <t>65916616</t>
        </is>
      </c>
      <c r="D2086" t="inlineStr">
        <is>
          <t>10000566</t>
        </is>
      </c>
      <c r="E2086" t="inlineStr"/>
      <c r="F2086" s="11" t="n">
        <v>80</v>
      </c>
      <c r="G2086" t="inlineStr"/>
      <c r="I2086" t="inlineStr">
        <is>
          <t>TN</t>
        </is>
      </c>
      <c r="J2086" t="inlineStr"/>
      <c r="K2086" t="inlineStr">
        <is>
          <t>20190426</t>
        </is>
      </c>
      <c r="L2086" t="inlineStr">
        <is>
          <t>20250127</t>
        </is>
      </c>
    </row>
    <row r="2087">
      <c r="A2087" t="inlineStr">
        <is>
          <t>900007028</t>
        </is>
      </c>
      <c r="B2087" t="inlineStr">
        <is>
          <t>D836</t>
        </is>
      </c>
      <c r="C2087" t="inlineStr">
        <is>
          <t>66230098</t>
        </is>
      </c>
      <c r="D2087" t="inlineStr">
        <is>
          <t>10000566</t>
        </is>
      </c>
      <c r="E2087" t="inlineStr"/>
      <c r="F2087" s="11" t="n">
        <v>80</v>
      </c>
      <c r="G2087" t="inlineStr"/>
      <c r="I2087" t="inlineStr">
        <is>
          <t>TN</t>
        </is>
      </c>
      <c r="J2087" t="inlineStr"/>
      <c r="K2087" t="inlineStr">
        <is>
          <t>20190426</t>
        </is>
      </c>
      <c r="L2087" t="inlineStr">
        <is>
          <t>20250127</t>
        </is>
      </c>
    </row>
    <row r="2088">
      <c r="A2088" t="inlineStr">
        <is>
          <t>900007028</t>
        </is>
      </c>
      <c r="B2088" t="inlineStr">
        <is>
          <t>D836</t>
        </is>
      </c>
      <c r="C2088" t="inlineStr">
        <is>
          <t>66233244</t>
        </is>
      </c>
      <c r="D2088" t="inlineStr">
        <is>
          <t>10000566</t>
        </is>
      </c>
      <c r="E2088" t="inlineStr"/>
      <c r="F2088" s="11" t="n">
        <v>82</v>
      </c>
      <c r="G2088" t="inlineStr"/>
      <c r="I2088" t="inlineStr">
        <is>
          <t>TN</t>
        </is>
      </c>
      <c r="J2088" t="inlineStr"/>
      <c r="K2088" t="inlineStr">
        <is>
          <t>20190426</t>
        </is>
      </c>
      <c r="L2088" t="inlineStr">
        <is>
          <t>20250127</t>
        </is>
      </c>
    </row>
    <row r="2089">
      <c r="A2089" t="inlineStr">
        <is>
          <t>900007028</t>
        </is>
      </c>
      <c r="B2089" t="inlineStr">
        <is>
          <t>D836</t>
        </is>
      </c>
      <c r="C2089" t="inlineStr">
        <is>
          <t>66433509</t>
        </is>
      </c>
      <c r="D2089" t="inlineStr">
        <is>
          <t>10000566</t>
        </is>
      </c>
      <c r="E2089" t="inlineStr"/>
      <c r="F2089" s="11" t="n">
        <v>80</v>
      </c>
      <c r="G2089" t="inlineStr"/>
      <c r="I2089" t="inlineStr">
        <is>
          <t>TN</t>
        </is>
      </c>
      <c r="J2089" t="inlineStr"/>
      <c r="K2089" t="inlineStr">
        <is>
          <t>20190426</t>
        </is>
      </c>
      <c r="L2089" t="inlineStr">
        <is>
          <t>20250127</t>
        </is>
      </c>
    </row>
    <row r="2090">
      <c r="A2090" t="inlineStr">
        <is>
          <t>900007028</t>
        </is>
      </c>
      <c r="B2090" t="inlineStr">
        <is>
          <t>D836</t>
        </is>
      </c>
      <c r="C2090" t="inlineStr">
        <is>
          <t>66433511</t>
        </is>
      </c>
      <c r="D2090" t="inlineStr">
        <is>
          <t>10000566</t>
        </is>
      </c>
      <c r="E2090" t="inlineStr"/>
      <c r="F2090" s="11" t="n">
        <v>80</v>
      </c>
      <c r="G2090" t="inlineStr"/>
      <c r="I2090" t="inlineStr">
        <is>
          <t>TN</t>
        </is>
      </c>
      <c r="J2090" t="inlineStr"/>
      <c r="K2090" t="inlineStr">
        <is>
          <t>20190426</t>
        </is>
      </c>
      <c r="L2090" t="inlineStr">
        <is>
          <t>20250127</t>
        </is>
      </c>
    </row>
    <row r="2091">
      <c r="A2091" t="inlineStr">
        <is>
          <t>900007028</t>
        </is>
      </c>
      <c r="B2091" t="inlineStr">
        <is>
          <t>D836</t>
        </is>
      </c>
      <c r="C2091" t="inlineStr">
        <is>
          <t>66442116</t>
        </is>
      </c>
      <c r="D2091" t="inlineStr">
        <is>
          <t>10000566</t>
        </is>
      </c>
      <c r="E2091" t="inlineStr"/>
      <c r="F2091" s="11" t="n">
        <v>80</v>
      </c>
      <c r="G2091" t="inlineStr"/>
      <c r="I2091" t="inlineStr">
        <is>
          <t>TN</t>
        </is>
      </c>
      <c r="J2091" t="inlineStr"/>
      <c r="K2091" t="inlineStr">
        <is>
          <t>20190426</t>
        </is>
      </c>
      <c r="L2091" t="inlineStr">
        <is>
          <t>20250127</t>
        </is>
      </c>
    </row>
    <row r="2092">
      <c r="A2092" t="inlineStr">
        <is>
          <t>900007028</t>
        </is>
      </c>
      <c r="B2092" t="inlineStr">
        <is>
          <t>D836</t>
        </is>
      </c>
      <c r="C2092" t="inlineStr">
        <is>
          <t>66445399</t>
        </is>
      </c>
      <c r="D2092" t="inlineStr">
        <is>
          <t>10000566</t>
        </is>
      </c>
      <c r="E2092" t="inlineStr"/>
      <c r="F2092" s="11" t="n">
        <v>85</v>
      </c>
      <c r="G2092" t="inlineStr"/>
      <c r="I2092" t="inlineStr">
        <is>
          <t>TN</t>
        </is>
      </c>
      <c r="J2092" t="inlineStr"/>
      <c r="K2092" t="inlineStr">
        <is>
          <t>20190426</t>
        </is>
      </c>
      <c r="L2092" t="inlineStr">
        <is>
          <t>20250127</t>
        </is>
      </c>
    </row>
    <row r="2093">
      <c r="A2093" t="inlineStr">
        <is>
          <t>900007028</t>
        </is>
      </c>
      <c r="B2093" t="inlineStr">
        <is>
          <t>D836</t>
        </is>
      </c>
      <c r="C2093" t="inlineStr">
        <is>
          <t>66450072</t>
        </is>
      </c>
      <c r="D2093" t="inlineStr">
        <is>
          <t>10000566</t>
        </is>
      </c>
      <c r="E2093" t="inlineStr"/>
      <c r="F2093" s="11" t="n">
        <v>80</v>
      </c>
      <c r="G2093" t="inlineStr"/>
      <c r="I2093" t="inlineStr">
        <is>
          <t>TN</t>
        </is>
      </c>
      <c r="J2093" t="inlineStr"/>
      <c r="K2093" t="inlineStr">
        <is>
          <t>20190426</t>
        </is>
      </c>
      <c r="L2093" t="inlineStr">
        <is>
          <t>20250127</t>
        </is>
      </c>
    </row>
    <row r="2094">
      <c r="A2094" t="inlineStr">
        <is>
          <t>900007028</t>
        </is>
      </c>
      <c r="B2094" t="inlineStr">
        <is>
          <t>D836</t>
        </is>
      </c>
      <c r="C2094" t="inlineStr">
        <is>
          <t>66463792</t>
        </is>
      </c>
      <c r="D2094" t="inlineStr">
        <is>
          <t>10000566</t>
        </is>
      </c>
      <c r="E2094" t="inlineStr"/>
      <c r="F2094" s="11" t="n">
        <v>85</v>
      </c>
      <c r="G2094" t="inlineStr"/>
      <c r="I2094" t="inlineStr">
        <is>
          <t>TN</t>
        </is>
      </c>
      <c r="J2094" t="inlineStr"/>
      <c r="K2094" t="inlineStr">
        <is>
          <t>20190426</t>
        </is>
      </c>
      <c r="L2094" t="inlineStr">
        <is>
          <t>20250127</t>
        </is>
      </c>
    </row>
    <row r="2095">
      <c r="A2095" t="inlineStr">
        <is>
          <t>900007028</t>
        </is>
      </c>
      <c r="B2095" t="inlineStr">
        <is>
          <t>D836</t>
        </is>
      </c>
      <c r="C2095" t="inlineStr">
        <is>
          <t>66550843</t>
        </is>
      </c>
      <c r="D2095" t="inlineStr">
        <is>
          <t>10000566</t>
        </is>
      </c>
      <c r="E2095" t="inlineStr"/>
      <c r="F2095" s="11" t="n">
        <v>80</v>
      </c>
      <c r="G2095" t="inlineStr"/>
      <c r="I2095" t="inlineStr">
        <is>
          <t>TN</t>
        </is>
      </c>
      <c r="J2095" t="inlineStr"/>
      <c r="K2095" t="inlineStr">
        <is>
          <t>20190426</t>
        </is>
      </c>
      <c r="L2095" t="inlineStr">
        <is>
          <t>20250127</t>
        </is>
      </c>
    </row>
    <row r="2096">
      <c r="A2096" t="inlineStr">
        <is>
          <t>900007028</t>
        </is>
      </c>
      <c r="B2096" t="inlineStr">
        <is>
          <t>D836</t>
        </is>
      </c>
      <c r="C2096" t="inlineStr">
        <is>
          <t>66555135</t>
        </is>
      </c>
      <c r="D2096" t="inlineStr">
        <is>
          <t>10000566</t>
        </is>
      </c>
      <c r="E2096" t="inlineStr"/>
      <c r="F2096" s="11" t="n">
        <v>80</v>
      </c>
      <c r="G2096" t="inlineStr"/>
      <c r="I2096" t="inlineStr">
        <is>
          <t>TN</t>
        </is>
      </c>
      <c r="J2096" t="inlineStr"/>
      <c r="K2096" t="inlineStr">
        <is>
          <t>20190426</t>
        </is>
      </c>
      <c r="L2096" t="inlineStr">
        <is>
          <t>20250127</t>
        </is>
      </c>
    </row>
    <row r="2097">
      <c r="A2097" t="inlineStr">
        <is>
          <t>900007028</t>
        </is>
      </c>
      <c r="B2097" t="inlineStr">
        <is>
          <t>D836</t>
        </is>
      </c>
      <c r="C2097" t="inlineStr">
        <is>
          <t>66827157</t>
        </is>
      </c>
      <c r="D2097" t="inlineStr">
        <is>
          <t>10000566</t>
        </is>
      </c>
      <c r="E2097" t="inlineStr"/>
      <c r="F2097" s="11" t="n">
        <v>80</v>
      </c>
      <c r="G2097" t="inlineStr"/>
      <c r="I2097" t="inlineStr">
        <is>
          <t>TN</t>
        </is>
      </c>
      <c r="J2097" t="inlineStr"/>
      <c r="K2097" t="inlineStr">
        <is>
          <t>20190426</t>
        </is>
      </c>
      <c r="L2097" t="inlineStr">
        <is>
          <t>20250127</t>
        </is>
      </c>
    </row>
    <row r="2098">
      <c r="A2098" t="inlineStr">
        <is>
          <t>900007028</t>
        </is>
      </c>
      <c r="B2098" t="inlineStr">
        <is>
          <t>D836</t>
        </is>
      </c>
      <c r="C2098" t="inlineStr">
        <is>
          <t>66861303</t>
        </is>
      </c>
      <c r="D2098" t="inlineStr">
        <is>
          <t>10000566</t>
        </is>
      </c>
      <c r="E2098" t="inlineStr"/>
      <c r="F2098" s="11" t="n">
        <v>85</v>
      </c>
      <c r="G2098" t="inlineStr"/>
      <c r="I2098" t="inlineStr">
        <is>
          <t>TN</t>
        </is>
      </c>
      <c r="J2098" t="inlineStr"/>
      <c r="K2098" t="inlineStr">
        <is>
          <t>20190426</t>
        </is>
      </c>
      <c r="L2098" t="inlineStr">
        <is>
          <t>20250127</t>
        </is>
      </c>
    </row>
    <row r="2099">
      <c r="A2099" t="inlineStr">
        <is>
          <t>900007320</t>
        </is>
      </c>
      <c r="B2099" t="inlineStr">
        <is>
          <t>D836</t>
        </is>
      </c>
      <c r="C2099" t="inlineStr">
        <is>
          <t>65003945</t>
        </is>
      </c>
      <c r="D2099" t="inlineStr">
        <is>
          <t>10000160</t>
        </is>
      </c>
      <c r="E2099" t="inlineStr"/>
      <c r="F2099" s="11" t="n">
        <v>95</v>
      </c>
      <c r="G2099" t="inlineStr"/>
      <c r="I2099" t="inlineStr">
        <is>
          <t>M3</t>
        </is>
      </c>
      <c r="J2099" t="inlineStr"/>
      <c r="K2099" t="inlineStr">
        <is>
          <t>20190426</t>
        </is>
      </c>
      <c r="L2099" t="inlineStr">
        <is>
          <t>20250127</t>
        </is>
      </c>
    </row>
    <row r="2100">
      <c r="A2100" t="inlineStr">
        <is>
          <t>900007320</t>
        </is>
      </c>
      <c r="B2100" t="inlineStr">
        <is>
          <t>D836</t>
        </is>
      </c>
      <c r="C2100" t="inlineStr">
        <is>
          <t>65003945</t>
        </is>
      </c>
      <c r="D2100" t="inlineStr">
        <is>
          <t>10000357</t>
        </is>
      </c>
      <c r="E2100" t="inlineStr"/>
      <c r="F2100" s="11" t="n">
        <v>110</v>
      </c>
      <c r="G2100" t="inlineStr"/>
      <c r="I2100" t="inlineStr">
        <is>
          <t>M3</t>
        </is>
      </c>
      <c r="J2100" t="inlineStr"/>
      <c r="K2100" t="inlineStr">
        <is>
          <t>20190426</t>
        </is>
      </c>
      <c r="L2100" t="inlineStr">
        <is>
          <t>20250127</t>
        </is>
      </c>
    </row>
    <row r="2101">
      <c r="A2101" t="inlineStr">
        <is>
          <t>900007320</t>
        </is>
      </c>
      <c r="B2101" t="inlineStr">
        <is>
          <t>D836</t>
        </is>
      </c>
      <c r="C2101" t="inlineStr">
        <is>
          <t>65014664</t>
        </is>
      </c>
      <c r="D2101" t="inlineStr">
        <is>
          <t>10000627</t>
        </is>
      </c>
      <c r="E2101" t="inlineStr"/>
      <c r="F2101" s="11" t="n">
        <v>106.93</v>
      </c>
      <c r="G2101" t="inlineStr"/>
      <c r="I2101" t="inlineStr">
        <is>
          <t>M3</t>
        </is>
      </c>
      <c r="J2101" t="inlineStr"/>
      <c r="K2101" t="inlineStr">
        <is>
          <t>20190426</t>
        </is>
      </c>
      <c r="L2101" t="inlineStr">
        <is>
          <t>20250127</t>
        </is>
      </c>
    </row>
    <row r="2102">
      <c r="A2102" t="inlineStr">
        <is>
          <t>900007320</t>
        </is>
      </c>
      <c r="B2102" t="inlineStr">
        <is>
          <t>D836</t>
        </is>
      </c>
      <c r="C2102" t="inlineStr">
        <is>
          <t>65796882</t>
        </is>
      </c>
      <c r="D2102" t="inlineStr">
        <is>
          <t>10218415</t>
        </is>
      </c>
      <c r="E2102" t="inlineStr"/>
      <c r="F2102" s="11" t="n">
        <v>90</v>
      </c>
      <c r="G2102" t="inlineStr"/>
      <c r="I2102" t="inlineStr">
        <is>
          <t>M3</t>
        </is>
      </c>
      <c r="J2102" t="inlineStr"/>
      <c r="K2102" t="inlineStr">
        <is>
          <t>20190426</t>
        </is>
      </c>
      <c r="L2102" t="inlineStr">
        <is>
          <t>20250127</t>
        </is>
      </c>
    </row>
    <row r="2103">
      <c r="A2103" t="inlineStr">
        <is>
          <t>900007320</t>
        </is>
      </c>
      <c r="B2103" t="inlineStr">
        <is>
          <t>D836</t>
        </is>
      </c>
      <c r="C2103" t="inlineStr">
        <is>
          <t>65916616</t>
        </is>
      </c>
      <c r="D2103" t="inlineStr">
        <is>
          <t>10000357</t>
        </is>
      </c>
      <c r="E2103" t="inlineStr"/>
      <c r="F2103" s="11" t="n">
        <v>110</v>
      </c>
      <c r="G2103" t="inlineStr"/>
      <c r="I2103" t="inlineStr">
        <is>
          <t>M3</t>
        </is>
      </c>
      <c r="J2103" t="inlineStr"/>
      <c r="K2103" t="inlineStr">
        <is>
          <t>20190426</t>
        </is>
      </c>
      <c r="L2103" t="inlineStr">
        <is>
          <t>20250127</t>
        </is>
      </c>
    </row>
    <row r="2104">
      <c r="A2104" t="inlineStr">
        <is>
          <t>900007320</t>
        </is>
      </c>
      <c r="B2104" t="inlineStr">
        <is>
          <t>D836</t>
        </is>
      </c>
      <c r="C2104" t="inlineStr">
        <is>
          <t>65916616</t>
        </is>
      </c>
      <c r="D2104" t="inlineStr">
        <is>
          <t>10218415</t>
        </is>
      </c>
      <c r="E2104" t="inlineStr"/>
      <c r="F2104" s="11" t="n">
        <v>90</v>
      </c>
      <c r="G2104" t="inlineStr"/>
      <c r="I2104" t="inlineStr">
        <is>
          <t>M3</t>
        </is>
      </c>
      <c r="J2104" t="inlineStr"/>
      <c r="K2104" t="inlineStr">
        <is>
          <t>20190426</t>
        </is>
      </c>
      <c r="L2104" t="inlineStr">
        <is>
          <t>20250127</t>
        </is>
      </c>
    </row>
    <row r="2105">
      <c r="A2105" t="inlineStr">
        <is>
          <t>900007320</t>
        </is>
      </c>
      <c r="B2105" t="inlineStr">
        <is>
          <t>D836</t>
        </is>
      </c>
      <c r="C2105" t="inlineStr">
        <is>
          <t>66260760</t>
        </is>
      </c>
      <c r="D2105" t="inlineStr">
        <is>
          <t>10218415</t>
        </is>
      </c>
      <c r="E2105" t="inlineStr"/>
      <c r="F2105" s="11" t="n">
        <v>93</v>
      </c>
      <c r="G2105" t="inlineStr"/>
      <c r="I2105" t="inlineStr">
        <is>
          <t>M3</t>
        </is>
      </c>
      <c r="J2105" t="inlineStr"/>
      <c r="K2105" t="inlineStr">
        <is>
          <t>20190426</t>
        </is>
      </c>
      <c r="L2105" t="inlineStr">
        <is>
          <t>20250127</t>
        </is>
      </c>
    </row>
    <row r="2106">
      <c r="A2106" t="inlineStr">
        <is>
          <t>900007320</t>
        </is>
      </c>
      <c r="B2106" t="inlineStr">
        <is>
          <t>D836</t>
        </is>
      </c>
      <c r="C2106" t="inlineStr">
        <is>
          <t>66414377</t>
        </is>
      </c>
      <c r="D2106" t="inlineStr">
        <is>
          <t>10000160</t>
        </is>
      </c>
      <c r="E2106" t="inlineStr"/>
      <c r="F2106" s="11" t="n">
        <v>97</v>
      </c>
      <c r="G2106" t="inlineStr"/>
      <c r="I2106" t="inlineStr">
        <is>
          <t>M3</t>
        </is>
      </c>
      <c r="J2106" t="inlineStr"/>
      <c r="K2106" t="inlineStr">
        <is>
          <t>20190426</t>
        </is>
      </c>
      <c r="L2106" t="inlineStr">
        <is>
          <t>20250127</t>
        </is>
      </c>
    </row>
    <row r="2107">
      <c r="A2107" t="inlineStr">
        <is>
          <t>900007320</t>
        </is>
      </c>
      <c r="B2107" t="inlineStr">
        <is>
          <t>D836</t>
        </is>
      </c>
      <c r="C2107" t="inlineStr">
        <is>
          <t>66414377</t>
        </is>
      </c>
      <c r="D2107" t="inlineStr">
        <is>
          <t>10003132</t>
        </is>
      </c>
      <c r="E2107" t="inlineStr"/>
      <c r="F2107" s="11" t="n">
        <v>109</v>
      </c>
      <c r="G2107" t="inlineStr"/>
      <c r="I2107" t="inlineStr">
        <is>
          <t>M3</t>
        </is>
      </c>
      <c r="J2107" t="inlineStr"/>
      <c r="K2107" t="inlineStr">
        <is>
          <t>20190426</t>
        </is>
      </c>
      <c r="L2107" t="inlineStr">
        <is>
          <t>20250127</t>
        </is>
      </c>
    </row>
    <row r="2108">
      <c r="A2108" t="inlineStr">
        <is>
          <t>900007320</t>
        </is>
      </c>
      <c r="B2108" t="inlineStr">
        <is>
          <t>D836</t>
        </is>
      </c>
      <c r="C2108" t="inlineStr">
        <is>
          <t>66442116</t>
        </is>
      </c>
      <c r="D2108" t="inlineStr">
        <is>
          <t>10000357</t>
        </is>
      </c>
      <c r="E2108" t="inlineStr"/>
      <c r="F2108" s="11" t="n">
        <v>110</v>
      </c>
      <c r="G2108" t="inlineStr"/>
      <c r="I2108" t="inlineStr">
        <is>
          <t>M3</t>
        </is>
      </c>
      <c r="J2108" t="inlineStr"/>
      <c r="K2108" t="inlineStr">
        <is>
          <t>20190426</t>
        </is>
      </c>
      <c r="L2108" t="inlineStr">
        <is>
          <t>20250127</t>
        </is>
      </c>
    </row>
    <row r="2109">
      <c r="A2109" t="inlineStr">
        <is>
          <t>900007320</t>
        </is>
      </c>
      <c r="B2109" t="inlineStr">
        <is>
          <t>D836</t>
        </is>
      </c>
      <c r="C2109" t="inlineStr">
        <is>
          <t>66442116</t>
        </is>
      </c>
      <c r="D2109" t="inlineStr">
        <is>
          <t>10218415</t>
        </is>
      </c>
      <c r="E2109" t="inlineStr"/>
      <c r="F2109" s="11" t="n">
        <v>90</v>
      </c>
      <c r="G2109" t="inlineStr"/>
      <c r="I2109" t="inlineStr">
        <is>
          <t>M3</t>
        </is>
      </c>
      <c r="J2109" t="inlineStr"/>
      <c r="K2109" t="inlineStr">
        <is>
          <t>20190426</t>
        </is>
      </c>
      <c r="L2109" t="inlineStr">
        <is>
          <t>20250127</t>
        </is>
      </c>
    </row>
    <row r="2110">
      <c r="A2110" t="inlineStr">
        <is>
          <t>900007320</t>
        </is>
      </c>
      <c r="B2110" t="inlineStr">
        <is>
          <t>D836</t>
        </is>
      </c>
      <c r="C2110" t="inlineStr">
        <is>
          <t>66779276</t>
        </is>
      </c>
      <c r="D2110" t="inlineStr">
        <is>
          <t>10000206</t>
        </is>
      </c>
      <c r="E2110" t="inlineStr"/>
      <c r="F2110" s="11" t="n">
        <v>17</v>
      </c>
      <c r="G2110" t="inlineStr"/>
      <c r="I2110" t="inlineStr">
        <is>
          <t>M3</t>
        </is>
      </c>
      <c r="J2110" t="inlineStr"/>
      <c r="K2110" t="inlineStr">
        <is>
          <t>20190426</t>
        </is>
      </c>
      <c r="L2110" t="inlineStr">
        <is>
          <t>20250127</t>
        </is>
      </c>
    </row>
    <row r="2111">
      <c r="A2111" t="inlineStr">
        <is>
          <t>900007320</t>
        </is>
      </c>
      <c r="B2111" t="inlineStr">
        <is>
          <t>D836</t>
        </is>
      </c>
      <c r="C2111" t="inlineStr">
        <is>
          <t>66825797</t>
        </is>
      </c>
      <c r="D2111" t="inlineStr">
        <is>
          <t>10216851</t>
        </is>
      </c>
      <c r="E2111" t="inlineStr"/>
      <c r="F2111" s="11" t="n">
        <v>25</v>
      </c>
      <c r="G2111" t="inlineStr"/>
      <c r="I2111" t="inlineStr">
        <is>
          <t>M3</t>
        </is>
      </c>
      <c r="J2111" t="inlineStr"/>
      <c r="K2111" t="inlineStr">
        <is>
          <t>20190426</t>
        </is>
      </c>
      <c r="L2111" t="inlineStr">
        <is>
          <t>20250127</t>
        </is>
      </c>
    </row>
    <row r="2112">
      <c r="A2112" t="inlineStr">
        <is>
          <t>900007320</t>
        </is>
      </c>
      <c r="B2112" t="inlineStr">
        <is>
          <t>D836</t>
        </is>
      </c>
      <c r="C2112" t="inlineStr">
        <is>
          <t>66825797</t>
        </is>
      </c>
      <c r="D2112" t="inlineStr">
        <is>
          <t>10217649</t>
        </is>
      </c>
      <c r="E2112" t="inlineStr"/>
      <c r="F2112" s="11" t="n">
        <v>170</v>
      </c>
      <c r="G2112" t="inlineStr"/>
      <c r="I2112" t="inlineStr">
        <is>
          <t>M3</t>
        </is>
      </c>
      <c r="J2112" t="inlineStr"/>
      <c r="K2112" t="inlineStr">
        <is>
          <t>20190426</t>
        </is>
      </c>
      <c r="L2112" t="inlineStr">
        <is>
          <t>20250127</t>
        </is>
      </c>
    </row>
    <row r="2113">
      <c r="A2113" t="inlineStr">
        <is>
          <t>900007320</t>
        </is>
      </c>
      <c r="B2113" t="inlineStr">
        <is>
          <t>D836</t>
        </is>
      </c>
      <c r="C2113" t="inlineStr">
        <is>
          <t>66825797</t>
        </is>
      </c>
      <c r="D2113" t="inlineStr">
        <is>
          <t>10218000</t>
        </is>
      </c>
      <c r="E2113" t="inlineStr"/>
      <c r="F2113" s="11" t="n">
        <v>275</v>
      </c>
      <c r="G2113" t="inlineStr"/>
      <c r="I2113" t="inlineStr">
        <is>
          <t>M3</t>
        </is>
      </c>
      <c r="J2113" t="inlineStr"/>
      <c r="K2113" t="inlineStr">
        <is>
          <t>20190426</t>
        </is>
      </c>
      <c r="L2113" t="inlineStr">
        <is>
          <t>20250127</t>
        </is>
      </c>
    </row>
    <row r="2114">
      <c r="A2114" t="inlineStr">
        <is>
          <t>900007320</t>
        </is>
      </c>
      <c r="B2114" t="inlineStr">
        <is>
          <t>D836</t>
        </is>
      </c>
      <c r="C2114" t="inlineStr">
        <is>
          <t>67012838</t>
        </is>
      </c>
      <c r="D2114" t="inlineStr">
        <is>
          <t>10000160</t>
        </is>
      </c>
      <c r="E2114" t="inlineStr"/>
      <c r="F2114" s="11" t="n">
        <v>95</v>
      </c>
      <c r="G2114" t="inlineStr"/>
      <c r="I2114" t="inlineStr">
        <is>
          <t>M3</t>
        </is>
      </c>
      <c r="J2114" t="inlineStr"/>
      <c r="K2114" t="inlineStr">
        <is>
          <t>20190426</t>
        </is>
      </c>
      <c r="L2114" t="inlineStr">
        <is>
          <t>20250127</t>
        </is>
      </c>
    </row>
    <row r="2115">
      <c r="A2115" t="inlineStr">
        <is>
          <t>900007320</t>
        </is>
      </c>
      <c r="B2115" t="inlineStr">
        <is>
          <t>D836</t>
        </is>
      </c>
      <c r="C2115" t="inlineStr">
        <is>
          <t>67012838</t>
        </is>
      </c>
      <c r="D2115" t="inlineStr">
        <is>
          <t>10000357</t>
        </is>
      </c>
      <c r="E2115" t="inlineStr"/>
      <c r="F2115" s="11" t="n">
        <v>110</v>
      </c>
      <c r="G2115" t="inlineStr"/>
      <c r="I2115" t="inlineStr">
        <is>
          <t>M3</t>
        </is>
      </c>
      <c r="J2115" t="inlineStr"/>
      <c r="K2115" t="inlineStr">
        <is>
          <t>20190426</t>
        </is>
      </c>
      <c r="L2115" t="inlineStr">
        <is>
          <t>20250127</t>
        </is>
      </c>
    </row>
    <row r="2116">
      <c r="A2116" t="inlineStr">
        <is>
          <t>900007320</t>
        </is>
      </c>
      <c r="B2116" t="inlineStr">
        <is>
          <t>D836</t>
        </is>
      </c>
      <c r="C2116" t="inlineStr">
        <is>
          <t>67209238</t>
        </is>
      </c>
      <c r="D2116" t="inlineStr">
        <is>
          <t>10000160</t>
        </is>
      </c>
      <c r="E2116" t="inlineStr"/>
      <c r="F2116" s="11" t="n">
        <v>100</v>
      </c>
      <c r="G2116" t="inlineStr"/>
      <c r="I2116" t="inlineStr">
        <is>
          <t>M3</t>
        </is>
      </c>
      <c r="J2116" t="inlineStr"/>
      <c r="K2116" t="inlineStr">
        <is>
          <t>20190426</t>
        </is>
      </c>
      <c r="L2116" t="inlineStr">
        <is>
          <t>20250127</t>
        </is>
      </c>
    </row>
    <row r="2117">
      <c r="A2117" t="inlineStr">
        <is>
          <t>900007320</t>
        </is>
      </c>
      <c r="B2117" t="inlineStr">
        <is>
          <t>D836</t>
        </is>
      </c>
      <c r="C2117" t="inlineStr">
        <is>
          <t>67209238</t>
        </is>
      </c>
      <c r="D2117" t="inlineStr">
        <is>
          <t>10000357</t>
        </is>
      </c>
      <c r="E2117" t="inlineStr"/>
      <c r="F2117" s="11" t="n">
        <v>115</v>
      </c>
      <c r="G2117" t="inlineStr"/>
      <c r="I2117" t="inlineStr">
        <is>
          <t>M3</t>
        </is>
      </c>
      <c r="J2117" t="inlineStr"/>
      <c r="K2117" t="inlineStr">
        <is>
          <t>20190426</t>
        </is>
      </c>
      <c r="L2117" t="inlineStr">
        <is>
          <t>20250127</t>
        </is>
      </c>
    </row>
    <row r="2118">
      <c r="A2118" t="inlineStr">
        <is>
          <t>900007321</t>
        </is>
      </c>
      <c r="B2118" t="inlineStr">
        <is>
          <t>D836</t>
        </is>
      </c>
      <c r="C2118" t="inlineStr">
        <is>
          <t>65061687</t>
        </is>
      </c>
      <c r="D2118" t="inlineStr">
        <is>
          <t>10000160</t>
        </is>
      </c>
      <c r="E2118" t="inlineStr"/>
      <c r="F2118" s="11" t="n">
        <v>139</v>
      </c>
      <c r="G2118" t="inlineStr"/>
      <c r="I2118" t="inlineStr">
        <is>
          <t>M3</t>
        </is>
      </c>
      <c r="J2118" t="inlineStr"/>
      <c r="K2118" t="inlineStr">
        <is>
          <t>20190426</t>
        </is>
      </c>
      <c r="L2118" t="inlineStr">
        <is>
          <t>20250127</t>
        </is>
      </c>
    </row>
    <row r="2119">
      <c r="A2119" t="inlineStr">
        <is>
          <t>900007321</t>
        </is>
      </c>
      <c r="B2119" t="inlineStr">
        <is>
          <t>D836</t>
        </is>
      </c>
      <c r="C2119" t="inlineStr">
        <is>
          <t>66230098</t>
        </is>
      </c>
      <c r="D2119" t="inlineStr">
        <is>
          <t>10000160</t>
        </is>
      </c>
      <c r="E2119" t="inlineStr"/>
      <c r="F2119" s="11" t="n">
        <v>139</v>
      </c>
      <c r="G2119" t="inlineStr"/>
      <c r="I2119" t="inlineStr">
        <is>
          <t>M3</t>
        </is>
      </c>
      <c r="J2119" t="inlineStr"/>
      <c r="K2119" t="inlineStr">
        <is>
          <t>20190426</t>
        </is>
      </c>
      <c r="L2119" t="inlineStr">
        <is>
          <t>20250127</t>
        </is>
      </c>
    </row>
    <row r="2120">
      <c r="A2120" t="inlineStr">
        <is>
          <t>900007321</t>
        </is>
      </c>
      <c r="B2120" t="inlineStr">
        <is>
          <t>D836</t>
        </is>
      </c>
      <c r="C2120" t="inlineStr">
        <is>
          <t>66450072</t>
        </is>
      </c>
      <c r="D2120" t="inlineStr">
        <is>
          <t>10000160</t>
        </is>
      </c>
      <c r="E2120" t="inlineStr"/>
      <c r="F2120" s="11" t="n">
        <v>139</v>
      </c>
      <c r="G2120" t="inlineStr"/>
      <c r="I2120" t="inlineStr">
        <is>
          <t>M3</t>
        </is>
      </c>
      <c r="J2120" t="inlineStr"/>
      <c r="K2120" t="inlineStr">
        <is>
          <t>20190426</t>
        </is>
      </c>
      <c r="L2120" t="inlineStr">
        <is>
          <t>20250127</t>
        </is>
      </c>
    </row>
    <row r="2121">
      <c r="A2121" t="inlineStr">
        <is>
          <t>900007321</t>
        </is>
      </c>
      <c r="B2121" t="inlineStr">
        <is>
          <t>D836</t>
        </is>
      </c>
      <c r="C2121" t="inlineStr">
        <is>
          <t>66799029</t>
        </is>
      </c>
      <c r="D2121" t="inlineStr">
        <is>
          <t>10000160</t>
        </is>
      </c>
      <c r="E2121" t="inlineStr"/>
      <c r="F2121" s="11" t="n">
        <v>98</v>
      </c>
      <c r="G2121" t="inlineStr"/>
      <c r="I2121" t="inlineStr">
        <is>
          <t>M3</t>
        </is>
      </c>
      <c r="J2121" t="inlineStr"/>
      <c r="K2121" t="inlineStr">
        <is>
          <t>20190426</t>
        </is>
      </c>
      <c r="L2121" t="inlineStr">
        <is>
          <t>20250127</t>
        </is>
      </c>
    </row>
    <row r="2122">
      <c r="A2122" t="inlineStr">
        <is>
          <t>900007321</t>
        </is>
      </c>
      <c r="B2122" t="inlineStr">
        <is>
          <t>D836</t>
        </is>
      </c>
      <c r="C2122" t="inlineStr">
        <is>
          <t>66933313</t>
        </is>
      </c>
      <c r="D2122" t="inlineStr">
        <is>
          <t>10000160</t>
        </is>
      </c>
      <c r="E2122" t="inlineStr"/>
      <c r="F2122" s="11" t="n">
        <v>115.5</v>
      </c>
      <c r="G2122" t="inlineStr"/>
      <c r="I2122" t="inlineStr">
        <is>
          <t>M3</t>
        </is>
      </c>
      <c r="J2122" t="inlineStr"/>
      <c r="K2122" t="inlineStr">
        <is>
          <t>20190426</t>
        </is>
      </c>
      <c r="L2122" t="inlineStr">
        <is>
          <t>20250127</t>
        </is>
      </c>
    </row>
    <row r="2123">
      <c r="A2123" t="inlineStr">
        <is>
          <t>900007321</t>
        </is>
      </c>
      <c r="B2123" t="inlineStr">
        <is>
          <t>D836</t>
        </is>
      </c>
      <c r="C2123" t="inlineStr">
        <is>
          <t>66982658</t>
        </is>
      </c>
      <c r="D2123" t="inlineStr">
        <is>
          <t>10216851</t>
        </is>
      </c>
      <c r="E2123" t="inlineStr"/>
      <c r="F2123" s="11" t="n">
        <v>50</v>
      </c>
      <c r="G2123" t="inlineStr"/>
      <c r="I2123" t="inlineStr">
        <is>
          <t>M3</t>
        </is>
      </c>
      <c r="J2123" t="inlineStr"/>
      <c r="K2123" t="inlineStr">
        <is>
          <t>20190426</t>
        </is>
      </c>
      <c r="L2123" t="inlineStr">
        <is>
          <t>20250127</t>
        </is>
      </c>
    </row>
    <row r="2124">
      <c r="A2124" t="inlineStr">
        <is>
          <t>900007321</t>
        </is>
      </c>
      <c r="B2124" t="inlineStr">
        <is>
          <t>D836</t>
        </is>
      </c>
      <c r="C2124" t="inlineStr">
        <is>
          <t>67091004</t>
        </is>
      </c>
      <c r="D2124" t="inlineStr">
        <is>
          <t>10000357</t>
        </is>
      </c>
      <c r="E2124" t="inlineStr"/>
      <c r="F2124" s="11" t="n">
        <v>114</v>
      </c>
      <c r="G2124" t="inlineStr"/>
      <c r="I2124" t="inlineStr">
        <is>
          <t>M3</t>
        </is>
      </c>
      <c r="J2124" t="inlineStr"/>
      <c r="K2124" t="inlineStr">
        <is>
          <t>20190426</t>
        </is>
      </c>
      <c r="L2124" t="inlineStr">
        <is>
          <t>20250127</t>
        </is>
      </c>
    </row>
    <row r="2125">
      <c r="A2125" t="inlineStr">
        <is>
          <t>900007321</t>
        </is>
      </c>
      <c r="B2125" t="inlineStr">
        <is>
          <t>D836</t>
        </is>
      </c>
      <c r="C2125" t="inlineStr">
        <is>
          <t>67091004</t>
        </is>
      </c>
      <c r="D2125" t="inlineStr">
        <is>
          <t>10172240</t>
        </is>
      </c>
      <c r="E2125" t="inlineStr"/>
      <c r="F2125" s="11" t="n">
        <v>135</v>
      </c>
      <c r="G2125" t="inlineStr"/>
      <c r="I2125" t="inlineStr">
        <is>
          <t>M3</t>
        </is>
      </c>
      <c r="J2125" t="inlineStr"/>
      <c r="K2125" t="inlineStr">
        <is>
          <t>20190426</t>
        </is>
      </c>
      <c r="L2125" t="inlineStr">
        <is>
          <t>20250127</t>
        </is>
      </c>
    </row>
    <row r="2126">
      <c r="A2126" t="inlineStr">
        <is>
          <t>900007650</t>
        </is>
      </c>
      <c r="B2126" t="inlineStr">
        <is>
          <t>D836</t>
        </is>
      </c>
      <c r="C2126" t="inlineStr">
        <is>
          <t>67073185</t>
        </is>
      </c>
      <c r="D2126" t="inlineStr">
        <is>
          <t>10000284</t>
        </is>
      </c>
      <c r="E2126" t="inlineStr"/>
      <c r="F2126" s="11" t="n">
        <v>391.46</v>
      </c>
      <c r="G2126" t="inlineStr"/>
      <c r="I2126" t="inlineStr">
        <is>
          <t>M3</t>
        </is>
      </c>
      <c r="J2126" t="inlineStr"/>
      <c r="K2126" t="inlineStr">
        <is>
          <t>20190426</t>
        </is>
      </c>
      <c r="L2126" t="inlineStr">
        <is>
          <t>20250127</t>
        </is>
      </c>
    </row>
    <row r="2127">
      <c r="A2127" t="inlineStr">
        <is>
          <t>900007650</t>
        </is>
      </c>
      <c r="B2127" t="inlineStr">
        <is>
          <t>D836</t>
        </is>
      </c>
      <c r="C2127" t="inlineStr">
        <is>
          <t>67109263</t>
        </is>
      </c>
      <c r="D2127" t="inlineStr">
        <is>
          <t>10057633</t>
        </is>
      </c>
      <c r="E2127" t="inlineStr"/>
      <c r="F2127" s="11" t="n">
        <v>335</v>
      </c>
      <c r="G2127" t="inlineStr"/>
      <c r="I2127" t="inlineStr">
        <is>
          <t>M3</t>
        </is>
      </c>
      <c r="J2127" t="inlineStr"/>
      <c r="K2127" t="inlineStr">
        <is>
          <t>20190426</t>
        </is>
      </c>
      <c r="L2127" t="inlineStr">
        <is>
          <t>20250127</t>
        </is>
      </c>
    </row>
    <row r="2128">
      <c r="A2128" t="inlineStr">
        <is>
          <t>900007650</t>
        </is>
      </c>
      <c r="B2128" t="inlineStr">
        <is>
          <t>D836</t>
        </is>
      </c>
      <c r="C2128" t="inlineStr">
        <is>
          <t>67109263</t>
        </is>
      </c>
      <c r="D2128" t="inlineStr">
        <is>
          <t>10128752</t>
        </is>
      </c>
      <c r="E2128" t="inlineStr"/>
      <c r="F2128" s="11" t="n">
        <v>335</v>
      </c>
      <c r="G2128" t="inlineStr"/>
      <c r="I2128" t="inlineStr">
        <is>
          <t>M3</t>
        </is>
      </c>
      <c r="J2128" t="inlineStr"/>
      <c r="K2128" t="inlineStr">
        <is>
          <t>20190426</t>
        </is>
      </c>
      <c r="L2128" t="inlineStr">
        <is>
          <t>20250127</t>
        </is>
      </c>
    </row>
    <row r="2129">
      <c r="A2129" t="inlineStr">
        <is>
          <t>900007650</t>
        </is>
      </c>
      <c r="B2129" t="inlineStr">
        <is>
          <t>D836</t>
        </is>
      </c>
      <c r="C2129" t="inlineStr">
        <is>
          <t>67155199</t>
        </is>
      </c>
      <c r="D2129" t="inlineStr">
        <is>
          <t>10000301</t>
        </is>
      </c>
      <c r="E2129" t="inlineStr"/>
      <c r="F2129" s="11" t="n">
        <v>370</v>
      </c>
      <c r="G2129" t="inlineStr"/>
      <c r="I2129" t="inlineStr">
        <is>
          <t>M3</t>
        </is>
      </c>
      <c r="J2129" t="inlineStr"/>
      <c r="K2129" t="inlineStr">
        <is>
          <t>20190426</t>
        </is>
      </c>
      <c r="L2129" t="inlineStr">
        <is>
          <t>20250127</t>
        </is>
      </c>
    </row>
    <row r="2130">
      <c r="A2130" t="inlineStr">
        <is>
          <t>900007670</t>
        </is>
      </c>
      <c r="B2130" t="inlineStr">
        <is>
          <t>D836</t>
        </is>
      </c>
      <c r="C2130" t="inlineStr">
        <is>
          <t>67073185</t>
        </is>
      </c>
      <c r="D2130" t="inlineStr">
        <is>
          <t>10000284</t>
        </is>
      </c>
      <c r="E2130" t="inlineStr"/>
      <c r="F2130" s="11" t="n">
        <v>371</v>
      </c>
      <c r="G2130" t="inlineStr"/>
      <c r="I2130" t="inlineStr">
        <is>
          <t>M3</t>
        </is>
      </c>
      <c r="J2130" t="inlineStr"/>
      <c r="K2130" t="inlineStr">
        <is>
          <t>20190426</t>
        </is>
      </c>
      <c r="L2130" t="inlineStr">
        <is>
          <t>20250127</t>
        </is>
      </c>
    </row>
    <row r="2131">
      <c r="A2131" t="inlineStr">
        <is>
          <t>900003601</t>
        </is>
      </c>
      <c r="B2131" t="inlineStr">
        <is>
          <t>D836</t>
        </is>
      </c>
      <c r="C2131" t="inlineStr">
        <is>
          <t>66415270</t>
        </is>
      </c>
      <c r="D2131" t="inlineStr">
        <is>
          <t>10000722</t>
        </is>
      </c>
      <c r="E2131" t="inlineStr"/>
      <c r="F2131" s="11" t="n">
        <v>115</v>
      </c>
      <c r="G2131" t="inlineStr"/>
      <c r="I2131" t="inlineStr">
        <is>
          <t>TN</t>
        </is>
      </c>
      <c r="J2131" t="inlineStr"/>
      <c r="K2131" t="inlineStr">
        <is>
          <t>20250331</t>
        </is>
      </c>
      <c r="L2131" t="inlineStr">
        <is>
          <t>20250421</t>
        </is>
      </c>
    </row>
    <row r="2132">
      <c r="A2132" t="inlineStr">
        <is>
          <t>900009140</t>
        </is>
      </c>
      <c r="B2132" t="inlineStr">
        <is>
          <t>D836</t>
        </is>
      </c>
      <c r="C2132" t="inlineStr">
        <is>
          <t>67240729</t>
        </is>
      </c>
      <c r="D2132" t="inlineStr">
        <is>
          <t>10000623</t>
        </is>
      </c>
      <c r="E2132" t="inlineStr"/>
      <c r="F2132" s="11" t="n">
        <v>142.49</v>
      </c>
      <c r="G2132" t="inlineStr"/>
      <c r="I2132" t="inlineStr">
        <is>
          <t>TN</t>
        </is>
      </c>
      <c r="J2132" t="inlineStr"/>
      <c r="K2132" t="inlineStr">
        <is>
          <t>20250612</t>
        </is>
      </c>
      <c r="L2132" t="inlineStr">
        <is>
          <t>20250627</t>
        </is>
      </c>
    </row>
    <row r="2133">
      <c r="A2133" t="inlineStr">
        <is>
          <t>900003609</t>
        </is>
      </c>
      <c r="B2133" t="inlineStr">
        <is>
          <t>D836</t>
        </is>
      </c>
      <c r="C2133" t="inlineStr">
        <is>
          <t>66233244</t>
        </is>
      </c>
      <c r="D2133" t="inlineStr">
        <is>
          <t>10207890</t>
        </is>
      </c>
      <c r="E2133" t="inlineStr"/>
      <c r="F2133" s="11" t="n">
        <v>150</v>
      </c>
      <c r="G2133" t="inlineStr"/>
      <c r="I2133" t="inlineStr">
        <is>
          <t>M3</t>
        </is>
      </c>
      <c r="J2133" t="inlineStr"/>
      <c r="K2133" t="inlineStr">
        <is>
          <t>20250618</t>
        </is>
      </c>
      <c r="L2133" t="inlineStr">
        <is>
          <t>20251001</t>
        </is>
      </c>
    </row>
    <row r="2134">
      <c r="A2134" t="inlineStr">
        <is>
          <t>900002574</t>
        </is>
      </c>
      <c r="B2134" t="inlineStr">
        <is>
          <t>D836</t>
        </is>
      </c>
      <c r="C2134" t="inlineStr">
        <is>
          <t>67148606</t>
        </is>
      </c>
      <c r="D2134" t="inlineStr">
        <is>
          <t>10019515</t>
        </is>
      </c>
      <c r="E2134" t="inlineStr"/>
      <c r="F2134" s="11" t="n">
        <v>429</v>
      </c>
      <c r="G2134" t="inlineStr"/>
      <c r="I2134" t="inlineStr">
        <is>
          <t>M3</t>
        </is>
      </c>
      <c r="J2134" t="inlineStr"/>
      <c r="K2134" t="inlineStr">
        <is>
          <t>20230523</t>
        </is>
      </c>
      <c r="L2134" t="inlineStr">
        <is>
          <t>20251030</t>
        </is>
      </c>
    </row>
    <row r="2135">
      <c r="A2135" t="inlineStr">
        <is>
          <t>900003609</t>
        </is>
      </c>
      <c r="B2135" t="inlineStr">
        <is>
          <t>D836</t>
        </is>
      </c>
      <c r="C2135" t="inlineStr">
        <is>
          <t>67330388</t>
        </is>
      </c>
      <c r="D2135" t="inlineStr">
        <is>
          <t>10207890</t>
        </is>
      </c>
      <c r="E2135" t="inlineStr"/>
      <c r="F2135" s="11" t="n">
        <v>167</v>
      </c>
      <c r="G2135" t="inlineStr"/>
      <c r="I2135" t="inlineStr">
        <is>
          <t>M3</t>
        </is>
      </c>
      <c r="J2135" t="inlineStr"/>
      <c r="K2135" t="inlineStr">
        <is>
          <t>20250728</t>
        </is>
      </c>
      <c r="L2135" t="inlineStr">
        <is>
          <t>20251030</t>
        </is>
      </c>
    </row>
    <row r="2136">
      <c r="A2136" t="inlineStr">
        <is>
          <t>900004365</t>
        </is>
      </c>
      <c r="B2136" t="inlineStr">
        <is>
          <t>D836</t>
        </is>
      </c>
      <c r="C2136" t="inlineStr">
        <is>
          <t>65098481</t>
        </is>
      </c>
      <c r="D2136" t="inlineStr">
        <is>
          <t>10184010</t>
        </is>
      </c>
      <c r="E2136" t="inlineStr"/>
      <c r="F2136" s="11" t="n">
        <v>272</v>
      </c>
      <c r="G2136" t="inlineStr"/>
      <c r="I2136" t="inlineStr">
        <is>
          <t>M3</t>
        </is>
      </c>
      <c r="J2136" t="inlineStr"/>
      <c r="K2136" t="inlineStr">
        <is>
          <t>20230623</t>
        </is>
      </c>
      <c r="L2136" t="inlineStr">
        <is>
          <t>20251030</t>
        </is>
      </c>
    </row>
    <row r="2137">
      <c r="A2137" t="inlineStr">
        <is>
          <t>900004365</t>
        </is>
      </c>
      <c r="B2137" t="inlineStr">
        <is>
          <t>D836</t>
        </is>
      </c>
      <c r="C2137" t="inlineStr">
        <is>
          <t>67052438</t>
        </is>
      </c>
      <c r="D2137" t="inlineStr">
        <is>
          <t>10000313</t>
        </is>
      </c>
      <c r="E2137" t="inlineStr"/>
      <c r="F2137" s="11" t="n">
        <v>390</v>
      </c>
      <c r="G2137" t="inlineStr"/>
      <c r="I2137" t="inlineStr">
        <is>
          <t>M3</t>
        </is>
      </c>
      <c r="J2137" t="inlineStr"/>
      <c r="K2137" t="inlineStr">
        <is>
          <t>20220326</t>
        </is>
      </c>
      <c r="L2137" t="inlineStr">
        <is>
          <t>20251030</t>
        </is>
      </c>
    </row>
    <row r="2138">
      <c r="A2138" t="inlineStr">
        <is>
          <t>900004365</t>
        </is>
      </c>
      <c r="B2138" t="inlineStr">
        <is>
          <t>D836</t>
        </is>
      </c>
      <c r="C2138" t="inlineStr">
        <is>
          <t>67075811</t>
        </is>
      </c>
      <c r="D2138" t="inlineStr">
        <is>
          <t>10000284</t>
        </is>
      </c>
      <c r="E2138" t="inlineStr"/>
      <c r="F2138" s="11" t="n">
        <v>345</v>
      </c>
      <c r="G2138" t="inlineStr"/>
      <c r="I2138" t="inlineStr">
        <is>
          <t>M3</t>
        </is>
      </c>
      <c r="J2138" t="inlineStr"/>
      <c r="K2138" t="inlineStr">
        <is>
          <t>20220615</t>
        </is>
      </c>
      <c r="L2138" t="inlineStr">
        <is>
          <t>20251030</t>
        </is>
      </c>
    </row>
    <row r="2139">
      <c r="A2139" t="inlineStr">
        <is>
          <t>900005286</t>
        </is>
      </c>
      <c r="B2139" t="inlineStr">
        <is>
          <t>D836</t>
        </is>
      </c>
      <c r="C2139" t="inlineStr">
        <is>
          <t>66512346</t>
        </is>
      </c>
      <c r="D2139" t="inlineStr">
        <is>
          <t>10000647</t>
        </is>
      </c>
      <c r="E2139" t="inlineStr"/>
      <c r="F2139" s="11" t="n">
        <v>92.90000000000001</v>
      </c>
      <c r="G2139" t="inlineStr"/>
      <c r="I2139" t="inlineStr">
        <is>
          <t>M3</t>
        </is>
      </c>
      <c r="J2139" t="inlineStr"/>
      <c r="K2139" t="inlineStr">
        <is>
          <t>20180226</t>
        </is>
      </c>
      <c r="L2139" t="inlineStr">
        <is>
          <t>20251030</t>
        </is>
      </c>
    </row>
    <row r="2140">
      <c r="A2140" t="inlineStr">
        <is>
          <t>900006030</t>
        </is>
      </c>
      <c r="B2140" t="inlineStr">
        <is>
          <t>D836</t>
        </is>
      </c>
      <c r="C2140" t="inlineStr">
        <is>
          <t>66640810</t>
        </is>
      </c>
      <c r="D2140" t="inlineStr">
        <is>
          <t>10166129</t>
        </is>
      </c>
      <c r="E2140" t="inlineStr"/>
      <c r="F2140" s="11" t="n">
        <v>405</v>
      </c>
      <c r="G2140" t="inlineStr"/>
      <c r="I2140" t="inlineStr">
        <is>
          <t>M3</t>
        </is>
      </c>
      <c r="J2140" t="inlineStr"/>
      <c r="K2140" t="inlineStr">
        <is>
          <t>20200106</t>
        </is>
      </c>
      <c r="L2140" t="inlineStr">
        <is>
          <t>20251030</t>
        </is>
      </c>
    </row>
    <row r="2141">
      <c r="A2141" t="inlineStr">
        <is>
          <t>900006371</t>
        </is>
      </c>
      <c r="B2141" t="inlineStr">
        <is>
          <t>D836</t>
        </is>
      </c>
      <c r="C2141" t="inlineStr">
        <is>
          <t>67014907</t>
        </is>
      </c>
      <c r="D2141" t="inlineStr">
        <is>
          <t>10000313</t>
        </is>
      </c>
      <c r="E2141" t="inlineStr"/>
      <c r="F2141" s="11" t="n">
        <v>445</v>
      </c>
      <c r="G2141" t="inlineStr"/>
      <c r="I2141" t="inlineStr">
        <is>
          <t>M3</t>
        </is>
      </c>
      <c r="J2141" t="inlineStr"/>
      <c r="K2141" t="inlineStr">
        <is>
          <t>20211027</t>
        </is>
      </c>
      <c r="L2141" t="inlineStr">
        <is>
          <t>20251030</t>
        </is>
      </c>
    </row>
    <row r="2142">
      <c r="A2142" t="inlineStr">
        <is>
          <t>900006542</t>
        </is>
      </c>
      <c r="B2142" t="inlineStr">
        <is>
          <t>D836</t>
        </is>
      </c>
      <c r="C2142" t="inlineStr">
        <is>
          <t>67148606</t>
        </is>
      </c>
      <c r="D2142" t="inlineStr">
        <is>
          <t>10019515</t>
        </is>
      </c>
      <c r="E2142" t="inlineStr"/>
      <c r="F2142" s="11" t="n">
        <v>226</v>
      </c>
      <c r="G2142" t="inlineStr"/>
      <c r="I2142" t="inlineStr">
        <is>
          <t>M3</t>
        </is>
      </c>
      <c r="J2142" t="inlineStr"/>
      <c r="K2142" t="inlineStr">
        <is>
          <t>20230523</t>
        </is>
      </c>
      <c r="L2142" t="inlineStr">
        <is>
          <t>20251030</t>
        </is>
      </c>
    </row>
    <row r="2143">
      <c r="A2143" t="inlineStr">
        <is>
          <t>900001074</t>
        </is>
      </c>
      <c r="B2143" t="inlineStr">
        <is>
          <t>D836</t>
        </is>
      </c>
      <c r="C2143" t="inlineStr">
        <is>
          <t>65003945</t>
        </is>
      </c>
      <c r="D2143" t="inlineStr">
        <is>
          <t>10000160</t>
        </is>
      </c>
      <c r="E2143" t="inlineStr"/>
      <c r="F2143" s="11" t="n">
        <v>110</v>
      </c>
      <c r="G2143" t="inlineStr"/>
      <c r="I2143" t="inlineStr">
        <is>
          <t>M3</t>
        </is>
      </c>
      <c r="J2143" t="inlineStr"/>
      <c r="K2143" t="inlineStr">
        <is>
          <t>20240619</t>
        </is>
      </c>
      <c r="L2143" t="inlineStr">
        <is>
          <t>20251031</t>
        </is>
      </c>
    </row>
    <row r="2144">
      <c r="A2144" t="inlineStr">
        <is>
          <t>900001074</t>
        </is>
      </c>
      <c r="B2144" t="inlineStr">
        <is>
          <t>D836</t>
        </is>
      </c>
      <c r="C2144" t="inlineStr">
        <is>
          <t>65003945</t>
        </is>
      </c>
      <c r="D2144" t="inlineStr">
        <is>
          <t>10000357</t>
        </is>
      </c>
      <c r="E2144" t="inlineStr"/>
      <c r="F2144" s="11" t="n">
        <v>130</v>
      </c>
      <c r="G2144" t="inlineStr"/>
      <c r="I2144" t="inlineStr">
        <is>
          <t>M3</t>
        </is>
      </c>
      <c r="J2144" t="inlineStr"/>
      <c r="K2144" t="inlineStr">
        <is>
          <t>20240619</t>
        </is>
      </c>
      <c r="L2144" t="inlineStr">
        <is>
          <t>20251031</t>
        </is>
      </c>
    </row>
    <row r="2145">
      <c r="A2145" t="inlineStr">
        <is>
          <t>900001074</t>
        </is>
      </c>
      <c r="B2145" t="inlineStr">
        <is>
          <t>D836</t>
        </is>
      </c>
      <c r="C2145" t="inlineStr">
        <is>
          <t>65006122</t>
        </is>
      </c>
      <c r="D2145" t="inlineStr">
        <is>
          <t>10000357</t>
        </is>
      </c>
      <c r="E2145" t="inlineStr"/>
      <c r="F2145" s="11" t="n">
        <v>130</v>
      </c>
      <c r="G2145" t="inlineStr"/>
      <c r="I2145" t="inlineStr">
        <is>
          <t>M3</t>
        </is>
      </c>
      <c r="J2145" t="inlineStr"/>
      <c r="K2145" t="inlineStr">
        <is>
          <t>20240619</t>
        </is>
      </c>
      <c r="L2145" t="inlineStr">
        <is>
          <t>20251031</t>
        </is>
      </c>
    </row>
    <row r="2146">
      <c r="A2146" t="inlineStr">
        <is>
          <t>900001074</t>
        </is>
      </c>
      <c r="B2146" t="inlineStr">
        <is>
          <t>D836</t>
        </is>
      </c>
      <c r="C2146" t="inlineStr">
        <is>
          <t>65014664</t>
        </is>
      </c>
      <c r="D2146" t="inlineStr">
        <is>
          <t>10000160</t>
        </is>
      </c>
      <c r="E2146" t="inlineStr"/>
      <c r="F2146" s="11" t="n">
        <v>108.78</v>
      </c>
      <c r="G2146" t="inlineStr"/>
      <c r="I2146" t="inlineStr">
        <is>
          <t>M3</t>
        </is>
      </c>
      <c r="J2146" t="inlineStr"/>
      <c r="K2146" t="inlineStr">
        <is>
          <t>20240619</t>
        </is>
      </c>
      <c r="L2146" t="inlineStr">
        <is>
          <t>20251031</t>
        </is>
      </c>
    </row>
    <row r="2147">
      <c r="A2147" t="inlineStr">
        <is>
          <t>900001074</t>
        </is>
      </c>
      <c r="B2147" t="inlineStr">
        <is>
          <t>D836</t>
        </is>
      </c>
      <c r="C2147" t="inlineStr">
        <is>
          <t>65016451</t>
        </is>
      </c>
      <c r="D2147" t="inlineStr">
        <is>
          <t>10000357</t>
        </is>
      </c>
      <c r="E2147" t="inlineStr"/>
      <c r="F2147" s="11" t="n">
        <v>137.7</v>
      </c>
      <c r="G2147" t="inlineStr"/>
      <c r="I2147" t="inlineStr">
        <is>
          <t>M3</t>
        </is>
      </c>
      <c r="J2147" t="inlineStr"/>
      <c r="K2147" t="inlineStr">
        <is>
          <t>20240619</t>
        </is>
      </c>
      <c r="L2147" t="inlineStr">
        <is>
          <t>20251031</t>
        </is>
      </c>
    </row>
    <row r="2148">
      <c r="A2148" t="inlineStr">
        <is>
          <t>900001074</t>
        </is>
      </c>
      <c r="B2148" t="inlineStr">
        <is>
          <t>D836</t>
        </is>
      </c>
      <c r="C2148" t="inlineStr">
        <is>
          <t>65440384</t>
        </is>
      </c>
      <c r="D2148" t="inlineStr">
        <is>
          <t>10000160</t>
        </is>
      </c>
      <c r="E2148" t="inlineStr"/>
      <c r="F2148" s="11" t="n">
        <v>117.8</v>
      </c>
      <c r="G2148" t="inlineStr"/>
      <c r="I2148" t="inlineStr">
        <is>
          <t>M3</t>
        </is>
      </c>
      <c r="J2148" t="inlineStr"/>
      <c r="K2148" t="inlineStr">
        <is>
          <t>20240619</t>
        </is>
      </c>
      <c r="L2148" t="inlineStr">
        <is>
          <t>20251031</t>
        </is>
      </c>
    </row>
    <row r="2149">
      <c r="A2149" t="inlineStr">
        <is>
          <t>900001074</t>
        </is>
      </c>
      <c r="B2149" t="inlineStr">
        <is>
          <t>D836</t>
        </is>
      </c>
      <c r="C2149" t="inlineStr">
        <is>
          <t>66279408</t>
        </is>
      </c>
      <c r="D2149" t="inlineStr">
        <is>
          <t>10000160</t>
        </is>
      </c>
      <c r="E2149" t="inlineStr"/>
      <c r="F2149" s="11" t="n">
        <v>116</v>
      </c>
      <c r="G2149" t="inlineStr"/>
      <c r="I2149" t="inlineStr">
        <is>
          <t>M3</t>
        </is>
      </c>
      <c r="J2149" t="inlineStr"/>
      <c r="K2149" t="inlineStr">
        <is>
          <t>20240619</t>
        </is>
      </c>
      <c r="L2149" t="inlineStr">
        <is>
          <t>20251031</t>
        </is>
      </c>
    </row>
    <row r="2150">
      <c r="A2150" t="inlineStr">
        <is>
          <t>900001074</t>
        </is>
      </c>
      <c r="B2150" t="inlineStr">
        <is>
          <t>D836</t>
        </is>
      </c>
      <c r="C2150" t="inlineStr">
        <is>
          <t>66279408</t>
        </is>
      </c>
      <c r="D2150" t="inlineStr">
        <is>
          <t>10000357</t>
        </is>
      </c>
      <c r="E2150" t="inlineStr"/>
      <c r="F2150" s="11" t="n">
        <v>126</v>
      </c>
      <c r="G2150" t="inlineStr"/>
      <c r="I2150" t="inlineStr">
        <is>
          <t>M3</t>
        </is>
      </c>
      <c r="J2150" t="inlineStr"/>
      <c r="K2150" t="inlineStr">
        <is>
          <t>20240619</t>
        </is>
      </c>
      <c r="L2150" t="inlineStr">
        <is>
          <t>20251031</t>
        </is>
      </c>
    </row>
    <row r="2151">
      <c r="A2151" t="inlineStr">
        <is>
          <t>900001074</t>
        </is>
      </c>
      <c r="B2151" t="inlineStr">
        <is>
          <t>D836</t>
        </is>
      </c>
      <c r="C2151" t="inlineStr">
        <is>
          <t>66336981</t>
        </is>
      </c>
      <c r="D2151" t="inlineStr">
        <is>
          <t>10175723</t>
        </is>
      </c>
      <c r="E2151" t="inlineStr"/>
      <c r="F2151" s="11" t="n">
        <v>141</v>
      </c>
      <c r="G2151" t="inlineStr"/>
      <c r="I2151" t="inlineStr">
        <is>
          <t>M3</t>
        </is>
      </c>
      <c r="J2151" t="inlineStr"/>
      <c r="K2151" t="inlineStr">
        <is>
          <t>20240619</t>
        </is>
      </c>
      <c r="L2151" t="inlineStr">
        <is>
          <t>20251031</t>
        </is>
      </c>
    </row>
    <row r="2152">
      <c r="A2152" t="inlineStr">
        <is>
          <t>900001074</t>
        </is>
      </c>
      <c r="B2152" t="inlineStr">
        <is>
          <t>D836</t>
        </is>
      </c>
      <c r="C2152" t="inlineStr">
        <is>
          <t>66426100</t>
        </is>
      </c>
      <c r="D2152" t="inlineStr">
        <is>
          <t>10000357</t>
        </is>
      </c>
      <c r="E2152" t="inlineStr"/>
      <c r="F2152" s="11" t="n">
        <v>130</v>
      </c>
      <c r="G2152" t="inlineStr"/>
      <c r="I2152" t="inlineStr">
        <is>
          <t>M3</t>
        </is>
      </c>
      <c r="J2152" t="inlineStr"/>
      <c r="K2152" t="inlineStr">
        <is>
          <t>20240619</t>
        </is>
      </c>
      <c r="L2152" t="inlineStr">
        <is>
          <t>20251031</t>
        </is>
      </c>
    </row>
    <row r="2153">
      <c r="A2153" t="inlineStr">
        <is>
          <t>900001074</t>
        </is>
      </c>
      <c r="B2153" t="inlineStr">
        <is>
          <t>D836</t>
        </is>
      </c>
      <c r="C2153" t="inlineStr">
        <is>
          <t>66433509</t>
        </is>
      </c>
      <c r="D2153" t="inlineStr">
        <is>
          <t>10000357</t>
        </is>
      </c>
      <c r="E2153" t="inlineStr"/>
      <c r="F2153" s="11" t="n">
        <v>130</v>
      </c>
      <c r="G2153" t="inlineStr"/>
      <c r="I2153" t="inlineStr">
        <is>
          <t>M3</t>
        </is>
      </c>
      <c r="J2153" t="inlineStr"/>
      <c r="K2153" t="inlineStr">
        <is>
          <t>20240619</t>
        </is>
      </c>
      <c r="L2153" t="inlineStr">
        <is>
          <t>20251031</t>
        </is>
      </c>
    </row>
    <row r="2154">
      <c r="A2154" t="inlineStr">
        <is>
          <t>900001074</t>
        </is>
      </c>
      <c r="B2154" t="inlineStr">
        <is>
          <t>D836</t>
        </is>
      </c>
      <c r="C2154" t="inlineStr">
        <is>
          <t>66490694</t>
        </is>
      </c>
      <c r="D2154" t="inlineStr">
        <is>
          <t>10000357</t>
        </is>
      </c>
      <c r="E2154" t="inlineStr"/>
      <c r="F2154" s="11" t="n">
        <v>138</v>
      </c>
      <c r="G2154" t="inlineStr"/>
      <c r="I2154" t="inlineStr">
        <is>
          <t>M3</t>
        </is>
      </c>
      <c r="J2154" t="inlineStr"/>
      <c r="K2154" t="inlineStr">
        <is>
          <t>20240619</t>
        </is>
      </c>
      <c r="L2154" t="inlineStr">
        <is>
          <t>20251031</t>
        </is>
      </c>
    </row>
    <row r="2155">
      <c r="A2155" t="inlineStr">
        <is>
          <t>900001074</t>
        </is>
      </c>
      <c r="B2155" t="inlineStr">
        <is>
          <t>D836</t>
        </is>
      </c>
      <c r="C2155" t="inlineStr">
        <is>
          <t>66779276</t>
        </is>
      </c>
      <c r="D2155" t="inlineStr">
        <is>
          <t>10000627</t>
        </is>
      </c>
      <c r="E2155" t="inlineStr"/>
      <c r="F2155" s="11" t="n">
        <v>94</v>
      </c>
      <c r="G2155" t="inlineStr"/>
      <c r="I2155" t="inlineStr">
        <is>
          <t>M3</t>
        </is>
      </c>
      <c r="J2155" t="inlineStr"/>
      <c r="K2155" t="inlineStr">
        <is>
          <t>20240619</t>
        </is>
      </c>
      <c r="L2155" t="inlineStr">
        <is>
          <t>20251031</t>
        </is>
      </c>
    </row>
    <row r="2156">
      <c r="A2156" t="inlineStr">
        <is>
          <t>900001074</t>
        </is>
      </c>
      <c r="B2156" t="inlineStr">
        <is>
          <t>D836</t>
        </is>
      </c>
      <c r="C2156" t="inlineStr">
        <is>
          <t>66859565</t>
        </is>
      </c>
      <c r="D2156" t="inlineStr">
        <is>
          <t>10175723</t>
        </is>
      </c>
      <c r="E2156" t="inlineStr"/>
      <c r="F2156" s="11" t="n">
        <v>141</v>
      </c>
      <c r="G2156" t="inlineStr"/>
      <c r="I2156" t="inlineStr">
        <is>
          <t>M3</t>
        </is>
      </c>
      <c r="J2156" t="inlineStr"/>
      <c r="K2156" t="inlineStr">
        <is>
          <t>20240619</t>
        </is>
      </c>
      <c r="L2156" t="inlineStr">
        <is>
          <t>20251031</t>
        </is>
      </c>
    </row>
    <row r="2157">
      <c r="A2157" t="inlineStr">
        <is>
          <t>900001074</t>
        </is>
      </c>
      <c r="B2157" t="inlineStr">
        <is>
          <t>D836</t>
        </is>
      </c>
      <c r="C2157" t="inlineStr">
        <is>
          <t>66864508</t>
        </is>
      </c>
      <c r="D2157" t="inlineStr">
        <is>
          <t>10259792</t>
        </is>
      </c>
      <c r="E2157" t="inlineStr"/>
      <c r="F2157" s="11" t="n">
        <v>116</v>
      </c>
      <c r="G2157" t="inlineStr"/>
      <c r="I2157" t="inlineStr">
        <is>
          <t>M3</t>
        </is>
      </c>
      <c r="J2157" t="inlineStr"/>
      <c r="K2157" t="inlineStr">
        <is>
          <t>20240619</t>
        </is>
      </c>
      <c r="L2157" t="inlineStr">
        <is>
          <t>20251031</t>
        </is>
      </c>
    </row>
    <row r="2158">
      <c r="A2158" t="inlineStr">
        <is>
          <t>900001074</t>
        </is>
      </c>
      <c r="B2158" t="inlineStr">
        <is>
          <t>D836</t>
        </is>
      </c>
      <c r="C2158" t="inlineStr">
        <is>
          <t>66864540</t>
        </is>
      </c>
      <c r="D2158" t="inlineStr">
        <is>
          <t>10259792</t>
        </is>
      </c>
      <c r="E2158" t="inlineStr"/>
      <c r="F2158" s="11" t="n">
        <v>116</v>
      </c>
      <c r="G2158" t="inlineStr"/>
      <c r="I2158" t="inlineStr">
        <is>
          <t>M3</t>
        </is>
      </c>
      <c r="J2158" t="inlineStr"/>
      <c r="K2158" t="inlineStr">
        <is>
          <t>20240619</t>
        </is>
      </c>
      <c r="L2158" t="inlineStr">
        <is>
          <t>20251031</t>
        </is>
      </c>
    </row>
    <row r="2159">
      <c r="A2159" t="inlineStr">
        <is>
          <t>900001074</t>
        </is>
      </c>
      <c r="B2159" t="inlineStr">
        <is>
          <t>D836</t>
        </is>
      </c>
      <c r="C2159" t="inlineStr">
        <is>
          <t>66868491</t>
        </is>
      </c>
      <c r="D2159" t="inlineStr">
        <is>
          <t>10000627</t>
        </is>
      </c>
      <c r="E2159" t="inlineStr"/>
      <c r="F2159" s="11" t="n">
        <v>100</v>
      </c>
      <c r="G2159" t="inlineStr"/>
      <c r="I2159" t="inlineStr">
        <is>
          <t>M3</t>
        </is>
      </c>
      <c r="J2159" t="inlineStr"/>
      <c r="K2159" t="inlineStr">
        <is>
          <t>20240619</t>
        </is>
      </c>
      <c r="L2159" t="inlineStr">
        <is>
          <t>20251031</t>
        </is>
      </c>
    </row>
    <row r="2160">
      <c r="A2160" t="inlineStr">
        <is>
          <t>900001074</t>
        </is>
      </c>
      <c r="B2160" t="inlineStr">
        <is>
          <t>D836</t>
        </is>
      </c>
      <c r="C2160" t="inlineStr">
        <is>
          <t>66900173</t>
        </is>
      </c>
      <c r="D2160" t="inlineStr">
        <is>
          <t>10000627</t>
        </is>
      </c>
      <c r="E2160" t="inlineStr"/>
      <c r="F2160" s="11" t="n">
        <v>110.35</v>
      </c>
      <c r="G2160" t="inlineStr"/>
      <c r="I2160" t="inlineStr">
        <is>
          <t>M3</t>
        </is>
      </c>
      <c r="J2160" t="inlineStr"/>
      <c r="K2160" t="inlineStr">
        <is>
          <t>20240619</t>
        </is>
      </c>
      <c r="L2160" t="inlineStr">
        <is>
          <t>20251031</t>
        </is>
      </c>
    </row>
    <row r="2161">
      <c r="A2161" t="inlineStr">
        <is>
          <t>900001074</t>
        </is>
      </c>
      <c r="B2161" t="inlineStr">
        <is>
          <t>D836</t>
        </is>
      </c>
      <c r="C2161" t="inlineStr">
        <is>
          <t>66908488</t>
        </is>
      </c>
      <c r="D2161" t="inlineStr">
        <is>
          <t>10175723</t>
        </is>
      </c>
      <c r="E2161" t="inlineStr"/>
      <c r="F2161" s="11" t="n">
        <v>141</v>
      </c>
      <c r="G2161" t="inlineStr"/>
      <c r="I2161" t="inlineStr">
        <is>
          <t>M3</t>
        </is>
      </c>
      <c r="J2161" t="inlineStr"/>
      <c r="K2161" t="inlineStr">
        <is>
          <t>20240619</t>
        </is>
      </c>
      <c r="L2161" t="inlineStr">
        <is>
          <t>20251031</t>
        </is>
      </c>
    </row>
    <row r="2162">
      <c r="A2162" t="inlineStr">
        <is>
          <t>900001074</t>
        </is>
      </c>
      <c r="B2162" t="inlineStr">
        <is>
          <t>D836</t>
        </is>
      </c>
      <c r="C2162" t="inlineStr">
        <is>
          <t>66982053</t>
        </is>
      </c>
      <c r="D2162" t="inlineStr">
        <is>
          <t>10259792</t>
        </is>
      </c>
      <c r="E2162" t="inlineStr"/>
      <c r="F2162" s="11" t="n">
        <v>116</v>
      </c>
      <c r="G2162" t="inlineStr"/>
      <c r="I2162" t="inlineStr">
        <is>
          <t>M3</t>
        </is>
      </c>
      <c r="J2162" t="inlineStr"/>
      <c r="K2162" t="inlineStr">
        <is>
          <t>20240619</t>
        </is>
      </c>
      <c r="L2162" t="inlineStr">
        <is>
          <t>20251031</t>
        </is>
      </c>
    </row>
    <row r="2163">
      <c r="A2163" t="inlineStr">
        <is>
          <t>900001074</t>
        </is>
      </c>
      <c r="B2163" t="inlineStr">
        <is>
          <t>D836</t>
        </is>
      </c>
      <c r="C2163" t="inlineStr">
        <is>
          <t>67019979</t>
        </is>
      </c>
      <c r="D2163" t="inlineStr">
        <is>
          <t>10259792</t>
        </is>
      </c>
      <c r="E2163" t="inlineStr"/>
      <c r="F2163" s="11" t="n">
        <v>116</v>
      </c>
      <c r="G2163" t="inlineStr"/>
      <c r="I2163" t="inlineStr">
        <is>
          <t>M3</t>
        </is>
      </c>
      <c r="J2163" t="inlineStr"/>
      <c r="K2163" t="inlineStr">
        <is>
          <t>20240619</t>
        </is>
      </c>
      <c r="L2163" t="inlineStr">
        <is>
          <t>20251031</t>
        </is>
      </c>
    </row>
    <row r="2164">
      <c r="A2164" t="inlineStr">
        <is>
          <t>900001074</t>
        </is>
      </c>
      <c r="B2164" t="inlineStr">
        <is>
          <t>D836</t>
        </is>
      </c>
      <c r="C2164" t="inlineStr">
        <is>
          <t>67169695</t>
        </is>
      </c>
      <c r="D2164" t="inlineStr">
        <is>
          <t>10000160</t>
        </is>
      </c>
      <c r="E2164" t="inlineStr"/>
      <c r="F2164" s="11" t="n">
        <v>137</v>
      </c>
      <c r="G2164" t="inlineStr"/>
      <c r="I2164" t="inlineStr">
        <is>
          <t>M3</t>
        </is>
      </c>
      <c r="J2164" t="inlineStr"/>
      <c r="K2164" t="inlineStr">
        <is>
          <t>20240619</t>
        </is>
      </c>
      <c r="L2164" t="inlineStr">
        <is>
          <t>20251031</t>
        </is>
      </c>
    </row>
    <row r="2165">
      <c r="A2165" t="inlineStr">
        <is>
          <t>900001074</t>
        </is>
      </c>
      <c r="B2165" t="inlineStr">
        <is>
          <t>D836</t>
        </is>
      </c>
      <c r="C2165" t="inlineStr">
        <is>
          <t>67232004</t>
        </is>
      </c>
      <c r="D2165" t="inlineStr">
        <is>
          <t>10000160</t>
        </is>
      </c>
      <c r="E2165" t="inlineStr"/>
      <c r="F2165" s="11" t="n">
        <v>112</v>
      </c>
      <c r="G2165" t="inlineStr"/>
      <c r="I2165" t="inlineStr">
        <is>
          <t>M3</t>
        </is>
      </c>
      <c r="J2165" t="inlineStr"/>
      <c r="K2165" t="inlineStr">
        <is>
          <t>20240619</t>
        </is>
      </c>
      <c r="L2165" t="inlineStr">
        <is>
          <t>20251031</t>
        </is>
      </c>
    </row>
    <row r="2166">
      <c r="A2166" t="inlineStr">
        <is>
          <t>900001074</t>
        </is>
      </c>
      <c r="B2166" t="inlineStr">
        <is>
          <t>D836</t>
        </is>
      </c>
      <c r="C2166" t="inlineStr">
        <is>
          <t>67338264</t>
        </is>
      </c>
      <c r="D2166" t="inlineStr">
        <is>
          <t>10000160</t>
        </is>
      </c>
      <c r="E2166" t="inlineStr"/>
      <c r="F2166" s="11" t="n">
        <v>116</v>
      </c>
      <c r="G2166" t="inlineStr"/>
      <c r="I2166" t="inlineStr">
        <is>
          <t>M3</t>
        </is>
      </c>
      <c r="J2166" t="inlineStr"/>
      <c r="K2166" t="inlineStr">
        <is>
          <t>20240619</t>
        </is>
      </c>
      <c r="L2166" t="inlineStr">
        <is>
          <t>20251031</t>
        </is>
      </c>
    </row>
    <row r="2167">
      <c r="A2167" t="inlineStr">
        <is>
          <t>900001074</t>
        </is>
      </c>
      <c r="B2167" t="inlineStr">
        <is>
          <t>D836</t>
        </is>
      </c>
      <c r="C2167" t="inlineStr">
        <is>
          <t>67338264</t>
        </is>
      </c>
      <c r="D2167" t="inlineStr">
        <is>
          <t>10000357</t>
        </is>
      </c>
      <c r="E2167" t="inlineStr"/>
      <c r="F2167" s="11" t="n">
        <v>135</v>
      </c>
      <c r="G2167" t="inlineStr"/>
      <c r="I2167" t="inlineStr">
        <is>
          <t>M3</t>
        </is>
      </c>
      <c r="J2167" t="inlineStr"/>
      <c r="K2167" t="inlineStr">
        <is>
          <t>20240619</t>
        </is>
      </c>
      <c r="L2167" t="inlineStr">
        <is>
          <t>20251031</t>
        </is>
      </c>
    </row>
    <row r="2168">
      <c r="A2168" t="inlineStr">
        <is>
          <t>900002267</t>
        </is>
      </c>
      <c r="B2168" t="inlineStr">
        <is>
          <t>D836</t>
        </is>
      </c>
      <c r="C2168" t="inlineStr">
        <is>
          <t>67283035</t>
        </is>
      </c>
      <c r="D2168" t="inlineStr">
        <is>
          <t>10140399</t>
        </is>
      </c>
      <c r="E2168" t="inlineStr"/>
      <c r="F2168" s="11" t="n">
        <v>375</v>
      </c>
      <c r="G2168" t="inlineStr"/>
      <c r="I2168" t="inlineStr">
        <is>
          <t>M3</t>
        </is>
      </c>
      <c r="J2168" t="inlineStr"/>
      <c r="K2168" t="inlineStr">
        <is>
          <t>20240619</t>
        </is>
      </c>
      <c r="L2168" t="inlineStr">
        <is>
          <t>20251031</t>
        </is>
      </c>
    </row>
    <row r="2169">
      <c r="A2169" t="inlineStr">
        <is>
          <t>900002313</t>
        </is>
      </c>
      <c r="B2169" t="inlineStr">
        <is>
          <t>D836</t>
        </is>
      </c>
      <c r="C2169" t="inlineStr">
        <is>
          <t>66532867</t>
        </is>
      </c>
      <c r="D2169" t="inlineStr">
        <is>
          <t>10001353</t>
        </is>
      </c>
      <c r="E2169" t="inlineStr"/>
      <c r="F2169" s="11" t="n">
        <v>127</v>
      </c>
      <c r="G2169" t="inlineStr"/>
      <c r="I2169" t="inlineStr">
        <is>
          <t>M3</t>
        </is>
      </c>
      <c r="J2169" t="inlineStr"/>
      <c r="K2169" t="inlineStr">
        <is>
          <t>20240619</t>
        </is>
      </c>
      <c r="L2169" t="inlineStr">
        <is>
          <t>20251031</t>
        </is>
      </c>
    </row>
    <row r="2170">
      <c r="A2170" t="inlineStr">
        <is>
          <t>900002313</t>
        </is>
      </c>
      <c r="B2170" t="inlineStr">
        <is>
          <t>D836</t>
        </is>
      </c>
      <c r="C2170" t="inlineStr">
        <is>
          <t>66532867</t>
        </is>
      </c>
      <c r="D2170" t="inlineStr">
        <is>
          <t>10001354</t>
        </is>
      </c>
      <c r="E2170" t="inlineStr"/>
      <c r="F2170" s="11" t="n">
        <v>103</v>
      </c>
      <c r="G2170" t="inlineStr"/>
      <c r="I2170" t="inlineStr">
        <is>
          <t>M3</t>
        </is>
      </c>
      <c r="J2170" t="inlineStr"/>
      <c r="K2170" t="inlineStr">
        <is>
          <t>20240619</t>
        </is>
      </c>
      <c r="L2170" t="inlineStr">
        <is>
          <t>20251031</t>
        </is>
      </c>
    </row>
    <row r="2171">
      <c r="A2171" t="inlineStr">
        <is>
          <t>900002313</t>
        </is>
      </c>
      <c r="B2171" t="inlineStr">
        <is>
          <t>D836</t>
        </is>
      </c>
      <c r="C2171" t="inlineStr">
        <is>
          <t>66576199</t>
        </is>
      </c>
      <c r="D2171" t="inlineStr">
        <is>
          <t>10001353</t>
        </is>
      </c>
      <c r="E2171" t="inlineStr"/>
      <c r="F2171" s="11" t="n">
        <v>127</v>
      </c>
      <c r="G2171" t="inlineStr"/>
      <c r="I2171" t="inlineStr">
        <is>
          <t>M3</t>
        </is>
      </c>
      <c r="J2171" t="inlineStr"/>
      <c r="K2171" t="inlineStr">
        <is>
          <t>20240619</t>
        </is>
      </c>
      <c r="L2171" t="inlineStr">
        <is>
          <t>20251031</t>
        </is>
      </c>
    </row>
    <row r="2172">
      <c r="A2172" t="inlineStr">
        <is>
          <t>900002313</t>
        </is>
      </c>
      <c r="B2172" t="inlineStr">
        <is>
          <t>D836</t>
        </is>
      </c>
      <c r="C2172" t="inlineStr">
        <is>
          <t>66576199</t>
        </is>
      </c>
      <c r="D2172" t="inlineStr">
        <is>
          <t>10001354</t>
        </is>
      </c>
      <c r="E2172" t="inlineStr"/>
      <c r="F2172" s="11" t="n">
        <v>103</v>
      </c>
      <c r="G2172" t="inlineStr"/>
      <c r="I2172" t="inlineStr">
        <is>
          <t>M3</t>
        </is>
      </c>
      <c r="J2172" t="inlineStr"/>
      <c r="K2172" t="inlineStr">
        <is>
          <t>20240619</t>
        </is>
      </c>
      <c r="L2172" t="inlineStr">
        <is>
          <t>20251031</t>
        </is>
      </c>
    </row>
    <row r="2173">
      <c r="A2173" t="inlineStr">
        <is>
          <t>900002313</t>
        </is>
      </c>
      <c r="B2173" t="inlineStr">
        <is>
          <t>D836</t>
        </is>
      </c>
      <c r="C2173" t="inlineStr">
        <is>
          <t>67093507</t>
        </is>
      </c>
      <c r="D2173" t="inlineStr">
        <is>
          <t>10001353</t>
        </is>
      </c>
      <c r="E2173" t="inlineStr"/>
      <c r="F2173" s="11" t="n">
        <v>127</v>
      </c>
      <c r="G2173" t="inlineStr"/>
      <c r="I2173" t="inlineStr">
        <is>
          <t>M3</t>
        </is>
      </c>
      <c r="J2173" t="inlineStr"/>
      <c r="K2173" t="inlineStr">
        <is>
          <t>20240619</t>
        </is>
      </c>
      <c r="L2173" t="inlineStr">
        <is>
          <t>20251031</t>
        </is>
      </c>
    </row>
    <row r="2174">
      <c r="A2174" t="inlineStr">
        <is>
          <t>900002313</t>
        </is>
      </c>
      <c r="B2174" t="inlineStr">
        <is>
          <t>D836</t>
        </is>
      </c>
      <c r="C2174" t="inlineStr">
        <is>
          <t>67093507</t>
        </is>
      </c>
      <c r="D2174" t="inlineStr">
        <is>
          <t>10001354</t>
        </is>
      </c>
      <c r="E2174" t="inlineStr"/>
      <c r="F2174" s="11" t="n">
        <v>103</v>
      </c>
      <c r="G2174" t="inlineStr"/>
      <c r="I2174" t="inlineStr">
        <is>
          <t>M3</t>
        </is>
      </c>
      <c r="J2174" t="inlineStr"/>
      <c r="K2174" t="inlineStr">
        <is>
          <t>20240619</t>
        </is>
      </c>
      <c r="L2174" t="inlineStr">
        <is>
          <t>20251031</t>
        </is>
      </c>
    </row>
    <row r="2175">
      <c r="A2175" t="inlineStr">
        <is>
          <t>900002574</t>
        </is>
      </c>
      <c r="B2175" t="inlineStr">
        <is>
          <t>D836</t>
        </is>
      </c>
      <c r="C2175" t="inlineStr">
        <is>
          <t>66581348</t>
        </is>
      </c>
      <c r="D2175" t="inlineStr">
        <is>
          <t>10000160</t>
        </is>
      </c>
      <c r="E2175" t="inlineStr"/>
      <c r="F2175" s="11" t="n">
        <v>230</v>
      </c>
      <c r="G2175" t="inlineStr"/>
      <c r="I2175" t="inlineStr">
        <is>
          <t>M3</t>
        </is>
      </c>
      <c r="J2175" t="inlineStr"/>
      <c r="K2175" t="inlineStr">
        <is>
          <t>20240619</t>
        </is>
      </c>
      <c r="L2175" t="inlineStr">
        <is>
          <t>20251031</t>
        </is>
      </c>
    </row>
    <row r="2176">
      <c r="A2176" t="inlineStr">
        <is>
          <t>900002574</t>
        </is>
      </c>
      <c r="B2176" t="inlineStr">
        <is>
          <t>D836</t>
        </is>
      </c>
      <c r="C2176" t="inlineStr">
        <is>
          <t>66878462</t>
        </is>
      </c>
      <c r="D2176" t="inlineStr">
        <is>
          <t>10185476</t>
        </is>
      </c>
      <c r="E2176" t="inlineStr"/>
      <c r="F2176" s="11" t="n">
        <v>235</v>
      </c>
      <c r="G2176" t="inlineStr"/>
      <c r="I2176" t="inlineStr">
        <is>
          <t>M3</t>
        </is>
      </c>
      <c r="J2176" t="inlineStr"/>
      <c r="K2176" t="inlineStr">
        <is>
          <t>20240619</t>
        </is>
      </c>
      <c r="L2176" t="inlineStr">
        <is>
          <t>20251031</t>
        </is>
      </c>
    </row>
    <row r="2177">
      <c r="A2177" t="inlineStr">
        <is>
          <t>900002574</t>
        </is>
      </c>
      <c r="B2177" t="inlineStr">
        <is>
          <t>D836</t>
        </is>
      </c>
      <c r="C2177" t="inlineStr">
        <is>
          <t>66878462</t>
        </is>
      </c>
      <c r="D2177" t="inlineStr">
        <is>
          <t>10185477</t>
        </is>
      </c>
      <c r="E2177" t="inlineStr"/>
      <c r="F2177" s="11" t="n">
        <v>245</v>
      </c>
      <c r="G2177" t="inlineStr"/>
      <c r="I2177" t="inlineStr">
        <is>
          <t>M3</t>
        </is>
      </c>
      <c r="J2177" t="inlineStr"/>
      <c r="K2177" t="inlineStr">
        <is>
          <t>20240619</t>
        </is>
      </c>
      <c r="L2177" t="inlineStr">
        <is>
          <t>20251031</t>
        </is>
      </c>
    </row>
    <row r="2178">
      <c r="A2178" t="inlineStr">
        <is>
          <t>900002574</t>
        </is>
      </c>
      <c r="B2178" t="inlineStr">
        <is>
          <t>D836</t>
        </is>
      </c>
      <c r="C2178" t="inlineStr">
        <is>
          <t>66878462</t>
        </is>
      </c>
      <c r="D2178" t="inlineStr">
        <is>
          <t>10227598</t>
        </is>
      </c>
      <c r="E2178" t="inlineStr"/>
      <c r="F2178" s="11" t="n">
        <v>175</v>
      </c>
      <c r="G2178" t="inlineStr"/>
      <c r="I2178" t="inlineStr">
        <is>
          <t>M3</t>
        </is>
      </c>
      <c r="J2178" t="inlineStr"/>
      <c r="K2178" t="inlineStr">
        <is>
          <t>20240619</t>
        </is>
      </c>
      <c r="L2178" t="inlineStr">
        <is>
          <t>20251031</t>
        </is>
      </c>
    </row>
    <row r="2179">
      <c r="A2179" t="inlineStr">
        <is>
          <t>900002574</t>
        </is>
      </c>
      <c r="B2179" t="inlineStr">
        <is>
          <t>D836</t>
        </is>
      </c>
      <c r="C2179" t="inlineStr">
        <is>
          <t>67126698</t>
        </is>
      </c>
      <c r="D2179" t="inlineStr">
        <is>
          <t>10029712</t>
        </is>
      </c>
      <c r="E2179" t="inlineStr"/>
      <c r="F2179" s="11" t="n">
        <v>300</v>
      </c>
      <c r="G2179" t="inlineStr"/>
      <c r="I2179" t="inlineStr">
        <is>
          <t>M3</t>
        </is>
      </c>
      <c r="J2179" t="inlineStr"/>
      <c r="K2179" t="inlineStr">
        <is>
          <t>20240619</t>
        </is>
      </c>
      <c r="L2179" t="inlineStr">
        <is>
          <t>20251031</t>
        </is>
      </c>
    </row>
    <row r="2180">
      <c r="A2180" t="inlineStr">
        <is>
          <t>900002574</t>
        </is>
      </c>
      <c r="B2180" t="inlineStr">
        <is>
          <t>D836</t>
        </is>
      </c>
      <c r="C2180" t="inlineStr">
        <is>
          <t>67169734</t>
        </is>
      </c>
      <c r="D2180" t="inlineStr">
        <is>
          <t>10000287</t>
        </is>
      </c>
      <c r="E2180" t="inlineStr"/>
      <c r="F2180" s="11" t="n">
        <v>565</v>
      </c>
      <c r="G2180" t="inlineStr"/>
      <c r="I2180" t="inlineStr">
        <is>
          <t>M3</t>
        </is>
      </c>
      <c r="J2180" t="inlineStr"/>
      <c r="K2180" t="inlineStr">
        <is>
          <t>20240619</t>
        </is>
      </c>
      <c r="L2180" t="inlineStr">
        <is>
          <t>20251031</t>
        </is>
      </c>
    </row>
    <row r="2181">
      <c r="A2181" t="inlineStr">
        <is>
          <t>900002574</t>
        </is>
      </c>
      <c r="B2181" t="inlineStr">
        <is>
          <t>D836</t>
        </is>
      </c>
      <c r="C2181" t="inlineStr">
        <is>
          <t>67198167</t>
        </is>
      </c>
      <c r="D2181" t="inlineStr">
        <is>
          <t>10000133</t>
        </is>
      </c>
      <c r="E2181" t="inlineStr"/>
      <c r="F2181" s="11" t="n">
        <v>715</v>
      </c>
      <c r="G2181" t="inlineStr"/>
      <c r="I2181" t="inlineStr">
        <is>
          <t>M3</t>
        </is>
      </c>
      <c r="J2181" t="inlineStr"/>
      <c r="K2181" t="inlineStr">
        <is>
          <t>20240619</t>
        </is>
      </c>
      <c r="L2181" t="inlineStr">
        <is>
          <t>20251031</t>
        </is>
      </c>
    </row>
    <row r="2182">
      <c r="A2182" t="inlineStr">
        <is>
          <t>900002574</t>
        </is>
      </c>
      <c r="B2182" t="inlineStr">
        <is>
          <t>D836</t>
        </is>
      </c>
      <c r="C2182" t="inlineStr">
        <is>
          <t>67198167</t>
        </is>
      </c>
      <c r="D2182" t="inlineStr">
        <is>
          <t>10058345</t>
        </is>
      </c>
      <c r="E2182" t="inlineStr"/>
      <c r="F2182" s="11" t="n">
        <v>625</v>
      </c>
      <c r="G2182" t="inlineStr"/>
      <c r="I2182" t="inlineStr">
        <is>
          <t>M3</t>
        </is>
      </c>
      <c r="J2182" t="inlineStr"/>
      <c r="K2182" t="inlineStr">
        <is>
          <t>20240619</t>
        </is>
      </c>
      <c r="L2182" t="inlineStr">
        <is>
          <t>20251031</t>
        </is>
      </c>
    </row>
    <row r="2183">
      <c r="A2183" t="inlineStr">
        <is>
          <t>900002574</t>
        </is>
      </c>
      <c r="B2183" t="inlineStr">
        <is>
          <t>D836</t>
        </is>
      </c>
      <c r="C2183" t="inlineStr">
        <is>
          <t>67208638</t>
        </is>
      </c>
      <c r="D2183" t="inlineStr">
        <is>
          <t>10000160</t>
        </is>
      </c>
      <c r="E2183" t="inlineStr"/>
      <c r="F2183" s="11" t="n">
        <v>585</v>
      </c>
      <c r="G2183" t="inlineStr"/>
      <c r="I2183" t="inlineStr">
        <is>
          <t>M3</t>
        </is>
      </c>
      <c r="J2183" t="inlineStr"/>
      <c r="K2183" t="inlineStr">
        <is>
          <t>20240619</t>
        </is>
      </c>
      <c r="L2183" t="inlineStr">
        <is>
          <t>20251031</t>
        </is>
      </c>
    </row>
    <row r="2184">
      <c r="A2184" t="inlineStr">
        <is>
          <t>900002574</t>
        </is>
      </c>
      <c r="B2184" t="inlineStr">
        <is>
          <t>D836</t>
        </is>
      </c>
      <c r="C2184" t="inlineStr">
        <is>
          <t>67208638</t>
        </is>
      </c>
      <c r="D2184" t="inlineStr">
        <is>
          <t>10000623</t>
        </is>
      </c>
      <c r="E2184" t="inlineStr"/>
      <c r="F2184" s="11" t="n">
        <v>706.6900000000001</v>
      </c>
      <c r="G2184" t="inlineStr"/>
      <c r="I2184" t="inlineStr">
        <is>
          <t>M3</t>
        </is>
      </c>
      <c r="J2184" t="inlineStr"/>
      <c r="K2184" t="inlineStr">
        <is>
          <t>20240619</t>
        </is>
      </c>
      <c r="L2184" t="inlineStr">
        <is>
          <t>20251031</t>
        </is>
      </c>
    </row>
    <row r="2185">
      <c r="A2185" t="inlineStr">
        <is>
          <t>900002574</t>
        </is>
      </c>
      <c r="B2185" t="inlineStr">
        <is>
          <t>D836</t>
        </is>
      </c>
      <c r="C2185" t="inlineStr">
        <is>
          <t>67208638</t>
        </is>
      </c>
      <c r="D2185" t="inlineStr">
        <is>
          <t>10000649</t>
        </is>
      </c>
      <c r="E2185" t="inlineStr"/>
      <c r="F2185" s="11" t="n">
        <v>585</v>
      </c>
      <c r="G2185" t="inlineStr"/>
      <c r="I2185" t="inlineStr">
        <is>
          <t>M3</t>
        </is>
      </c>
      <c r="J2185" t="inlineStr"/>
      <c r="K2185" t="inlineStr">
        <is>
          <t>20240619</t>
        </is>
      </c>
      <c r="L2185" t="inlineStr">
        <is>
          <t>20251031</t>
        </is>
      </c>
    </row>
    <row r="2186">
      <c r="A2186" t="inlineStr">
        <is>
          <t>900002574</t>
        </is>
      </c>
      <c r="B2186" t="inlineStr">
        <is>
          <t>D836</t>
        </is>
      </c>
      <c r="C2186" t="inlineStr">
        <is>
          <t>67249416</t>
        </is>
      </c>
      <c r="D2186" t="inlineStr">
        <is>
          <t>10000133</t>
        </is>
      </c>
      <c r="E2186" t="inlineStr"/>
      <c r="F2186" s="11" t="n">
        <v>155</v>
      </c>
      <c r="G2186" t="inlineStr"/>
      <c r="I2186" t="inlineStr">
        <is>
          <t>TN</t>
        </is>
      </c>
      <c r="J2186" t="inlineStr"/>
      <c r="K2186" t="inlineStr">
        <is>
          <t>20240619</t>
        </is>
      </c>
      <c r="L2186" t="inlineStr">
        <is>
          <t>20251031</t>
        </is>
      </c>
    </row>
    <row r="2187">
      <c r="A2187" t="inlineStr">
        <is>
          <t>900002574</t>
        </is>
      </c>
      <c r="B2187" t="inlineStr">
        <is>
          <t>D836</t>
        </is>
      </c>
      <c r="C2187" t="inlineStr">
        <is>
          <t>67249416</t>
        </is>
      </c>
      <c r="D2187" t="inlineStr">
        <is>
          <t>10000623</t>
        </is>
      </c>
      <c r="E2187" t="inlineStr"/>
      <c r="F2187" s="11" t="n">
        <v>165</v>
      </c>
      <c r="G2187" t="inlineStr"/>
      <c r="I2187" t="inlineStr">
        <is>
          <t>TN</t>
        </is>
      </c>
      <c r="J2187" t="inlineStr"/>
      <c r="K2187" t="inlineStr">
        <is>
          <t>20240619</t>
        </is>
      </c>
      <c r="L2187" t="inlineStr">
        <is>
          <t>20251031</t>
        </is>
      </c>
    </row>
    <row r="2188">
      <c r="A2188" t="inlineStr">
        <is>
          <t>900002574</t>
        </is>
      </c>
      <c r="B2188" t="inlineStr">
        <is>
          <t>D836</t>
        </is>
      </c>
      <c r="C2188" t="inlineStr">
        <is>
          <t>67249416</t>
        </is>
      </c>
      <c r="D2188" t="inlineStr">
        <is>
          <t>10000624</t>
        </is>
      </c>
      <c r="E2188" t="inlineStr"/>
      <c r="F2188" s="11" t="n">
        <v>168</v>
      </c>
      <c r="G2188" t="inlineStr"/>
      <c r="I2188" t="inlineStr">
        <is>
          <t>TN</t>
        </is>
      </c>
      <c r="J2188" t="inlineStr"/>
      <c r="K2188" t="inlineStr">
        <is>
          <t>20240619</t>
        </is>
      </c>
      <c r="L2188" t="inlineStr">
        <is>
          <t>20251031</t>
        </is>
      </c>
    </row>
    <row r="2189">
      <c r="A2189" t="inlineStr">
        <is>
          <t>900002574</t>
        </is>
      </c>
      <c r="B2189" t="inlineStr">
        <is>
          <t>D836</t>
        </is>
      </c>
      <c r="C2189" t="inlineStr">
        <is>
          <t>67249416</t>
        </is>
      </c>
      <c r="D2189" t="inlineStr">
        <is>
          <t>10058345</t>
        </is>
      </c>
      <c r="E2189" t="inlineStr"/>
      <c r="F2189" s="11" t="n">
        <v>100</v>
      </c>
      <c r="G2189" t="inlineStr"/>
      <c r="I2189" t="inlineStr">
        <is>
          <t>TN</t>
        </is>
      </c>
      <c r="J2189" t="inlineStr"/>
      <c r="K2189" t="inlineStr">
        <is>
          <t>20240619</t>
        </is>
      </c>
      <c r="L2189" t="inlineStr">
        <is>
          <t>20251031</t>
        </is>
      </c>
    </row>
    <row r="2190">
      <c r="A2190" t="inlineStr">
        <is>
          <t>900003496</t>
        </is>
      </c>
      <c r="B2190" t="inlineStr">
        <is>
          <t>D836</t>
        </is>
      </c>
      <c r="C2190" t="inlineStr">
        <is>
          <t>67221674</t>
        </is>
      </c>
      <c r="D2190" t="inlineStr">
        <is>
          <t>10000635</t>
        </is>
      </c>
      <c r="E2190" t="inlineStr"/>
      <c r="F2190" s="11" t="n">
        <v>600</v>
      </c>
      <c r="G2190" t="inlineStr"/>
      <c r="I2190" t="inlineStr">
        <is>
          <t>TN</t>
        </is>
      </c>
      <c r="J2190" t="inlineStr"/>
      <c r="K2190" t="inlineStr">
        <is>
          <t>20240619</t>
        </is>
      </c>
      <c r="L2190" t="inlineStr">
        <is>
          <t>20251031</t>
        </is>
      </c>
    </row>
    <row r="2191">
      <c r="A2191" t="inlineStr">
        <is>
          <t>900003496</t>
        </is>
      </c>
      <c r="B2191" t="inlineStr">
        <is>
          <t>D836</t>
        </is>
      </c>
      <c r="C2191" t="inlineStr">
        <is>
          <t>67221674</t>
        </is>
      </c>
      <c r="D2191" t="inlineStr">
        <is>
          <t>10000655</t>
        </is>
      </c>
      <c r="E2191" t="inlineStr"/>
      <c r="F2191" s="11" t="n">
        <v>600</v>
      </c>
      <c r="G2191" t="inlineStr"/>
      <c r="I2191" t="inlineStr">
        <is>
          <t>TN</t>
        </is>
      </c>
      <c r="J2191" t="inlineStr"/>
      <c r="K2191" t="inlineStr">
        <is>
          <t>20240619</t>
        </is>
      </c>
      <c r="L2191" t="inlineStr">
        <is>
          <t>20251031</t>
        </is>
      </c>
    </row>
    <row r="2192">
      <c r="A2192" t="inlineStr">
        <is>
          <t>900003588</t>
        </is>
      </c>
      <c r="B2192" t="inlineStr">
        <is>
          <t>D836</t>
        </is>
      </c>
      <c r="C2192" t="inlineStr">
        <is>
          <t>66414377</t>
        </is>
      </c>
      <c r="D2192" t="inlineStr">
        <is>
          <t>10000625</t>
        </is>
      </c>
      <c r="E2192" t="inlineStr"/>
      <c r="F2192" s="11" t="n">
        <v>60</v>
      </c>
      <c r="G2192" t="inlineStr"/>
      <c r="I2192" t="inlineStr">
        <is>
          <t>TN</t>
        </is>
      </c>
      <c r="J2192" t="inlineStr"/>
      <c r="K2192" t="inlineStr">
        <is>
          <t>20240619</t>
        </is>
      </c>
      <c r="L2192" t="inlineStr">
        <is>
          <t>20251031</t>
        </is>
      </c>
    </row>
    <row r="2193">
      <c r="A2193" t="inlineStr">
        <is>
          <t>900003588</t>
        </is>
      </c>
      <c r="B2193" t="inlineStr">
        <is>
          <t>D836</t>
        </is>
      </c>
      <c r="C2193" t="inlineStr">
        <is>
          <t>66414377</t>
        </is>
      </c>
      <c r="D2193" t="inlineStr">
        <is>
          <t>10000627</t>
        </is>
      </c>
      <c r="E2193" t="inlineStr"/>
      <c r="F2193" s="11" t="n">
        <v>70</v>
      </c>
      <c r="G2193" t="inlineStr"/>
      <c r="I2193" t="inlineStr">
        <is>
          <t>TN</t>
        </is>
      </c>
      <c r="J2193" t="inlineStr"/>
      <c r="K2193" t="inlineStr">
        <is>
          <t>20240619</t>
        </is>
      </c>
      <c r="L2193" t="inlineStr">
        <is>
          <t>20251031</t>
        </is>
      </c>
    </row>
    <row r="2194">
      <c r="A2194" t="inlineStr">
        <is>
          <t>900003588</t>
        </is>
      </c>
      <c r="B2194" t="inlineStr">
        <is>
          <t>D836</t>
        </is>
      </c>
      <c r="C2194" t="inlineStr">
        <is>
          <t>66595909</t>
        </is>
      </c>
      <c r="D2194" t="inlineStr">
        <is>
          <t>10001354</t>
        </is>
      </c>
      <c r="E2194" t="inlineStr"/>
      <c r="F2194" s="11" t="n">
        <v>133</v>
      </c>
      <c r="G2194" t="inlineStr"/>
      <c r="I2194" t="inlineStr">
        <is>
          <t>TN</t>
        </is>
      </c>
      <c r="J2194" t="inlineStr"/>
      <c r="K2194" t="inlineStr">
        <is>
          <t>20240619</t>
        </is>
      </c>
      <c r="L2194" t="inlineStr">
        <is>
          <t>20251031</t>
        </is>
      </c>
    </row>
    <row r="2195">
      <c r="A2195" t="inlineStr">
        <is>
          <t>900003588</t>
        </is>
      </c>
      <c r="B2195" t="inlineStr">
        <is>
          <t>D836</t>
        </is>
      </c>
      <c r="C2195" t="inlineStr">
        <is>
          <t>66624554</t>
        </is>
      </c>
      <c r="D2195" t="inlineStr">
        <is>
          <t>10000627</t>
        </is>
      </c>
      <c r="E2195" t="inlineStr"/>
      <c r="F2195" s="11" t="n">
        <v>80</v>
      </c>
      <c r="G2195" t="inlineStr"/>
      <c r="I2195" t="inlineStr">
        <is>
          <t>TN</t>
        </is>
      </c>
      <c r="J2195" t="inlineStr"/>
      <c r="K2195" t="inlineStr">
        <is>
          <t>20240619</t>
        </is>
      </c>
      <c r="L2195" t="inlineStr">
        <is>
          <t>20251031</t>
        </is>
      </c>
    </row>
    <row r="2196">
      <c r="A2196" t="inlineStr">
        <is>
          <t>900003588</t>
        </is>
      </c>
      <c r="B2196" t="inlineStr">
        <is>
          <t>D836</t>
        </is>
      </c>
      <c r="C2196" t="inlineStr">
        <is>
          <t>66624554</t>
        </is>
      </c>
      <c r="D2196" t="inlineStr">
        <is>
          <t>10001354</t>
        </is>
      </c>
      <c r="E2196" t="inlineStr"/>
      <c r="F2196" s="11" t="n">
        <v>127.92</v>
      </c>
      <c r="G2196" t="inlineStr"/>
      <c r="I2196" t="inlineStr">
        <is>
          <t>TN</t>
        </is>
      </c>
      <c r="J2196" t="inlineStr"/>
      <c r="K2196" t="inlineStr">
        <is>
          <t>20240619</t>
        </is>
      </c>
      <c r="L2196" t="inlineStr">
        <is>
          <t>20251031</t>
        </is>
      </c>
    </row>
    <row r="2197">
      <c r="A2197" t="inlineStr">
        <is>
          <t>900003588</t>
        </is>
      </c>
      <c r="B2197" t="inlineStr">
        <is>
          <t>D836</t>
        </is>
      </c>
      <c r="C2197" t="inlineStr">
        <is>
          <t>67244591</t>
        </is>
      </c>
      <c r="D2197" t="inlineStr">
        <is>
          <t>10001354</t>
        </is>
      </c>
      <c r="E2197" t="inlineStr"/>
      <c r="F2197" s="11" t="n">
        <v>133</v>
      </c>
      <c r="G2197" t="inlineStr"/>
      <c r="I2197" t="inlineStr">
        <is>
          <t>TN</t>
        </is>
      </c>
      <c r="J2197" t="inlineStr"/>
      <c r="K2197" t="inlineStr">
        <is>
          <t>20240619</t>
        </is>
      </c>
      <c r="L2197" t="inlineStr">
        <is>
          <t>20251031</t>
        </is>
      </c>
    </row>
    <row r="2198">
      <c r="A2198" t="inlineStr">
        <is>
          <t>900003588</t>
        </is>
      </c>
      <c r="B2198" t="inlineStr">
        <is>
          <t>D836</t>
        </is>
      </c>
      <c r="C2198" t="inlineStr">
        <is>
          <t>67247435</t>
        </is>
      </c>
      <c r="D2198" t="inlineStr">
        <is>
          <t>10000625</t>
        </is>
      </c>
      <c r="E2198" t="inlineStr"/>
      <c r="F2198" s="11" t="n">
        <v>55</v>
      </c>
      <c r="G2198" t="inlineStr"/>
      <c r="I2198" t="inlineStr">
        <is>
          <t>TN</t>
        </is>
      </c>
      <c r="J2198" t="inlineStr"/>
      <c r="K2198" t="inlineStr">
        <is>
          <t>20240619</t>
        </is>
      </c>
      <c r="L2198" t="inlineStr">
        <is>
          <t>20251031</t>
        </is>
      </c>
    </row>
    <row r="2199">
      <c r="A2199" t="inlineStr">
        <is>
          <t>900003588</t>
        </is>
      </c>
      <c r="B2199" t="inlineStr">
        <is>
          <t>D836</t>
        </is>
      </c>
      <c r="C2199" t="inlineStr">
        <is>
          <t>67247435</t>
        </is>
      </c>
      <c r="D2199" t="inlineStr">
        <is>
          <t>10000627</t>
        </is>
      </c>
      <c r="E2199" t="inlineStr"/>
      <c r="F2199" s="11" t="n">
        <v>80</v>
      </c>
      <c r="G2199" t="inlineStr"/>
      <c r="I2199" t="inlineStr">
        <is>
          <t>TN</t>
        </is>
      </c>
      <c r="J2199" t="inlineStr"/>
      <c r="K2199" t="inlineStr">
        <is>
          <t>20240619</t>
        </is>
      </c>
      <c r="L2199" t="inlineStr">
        <is>
          <t>20251031</t>
        </is>
      </c>
    </row>
    <row r="2200">
      <c r="A2200" t="inlineStr">
        <is>
          <t>900003588</t>
        </is>
      </c>
      <c r="B2200" t="inlineStr">
        <is>
          <t>D836</t>
        </is>
      </c>
      <c r="C2200" t="inlineStr">
        <is>
          <t>67284713</t>
        </is>
      </c>
      <c r="D2200" t="inlineStr">
        <is>
          <t>10000625</t>
        </is>
      </c>
      <c r="E2200" t="inlineStr"/>
      <c r="F2200" s="11" t="n">
        <v>55</v>
      </c>
      <c r="G2200" t="inlineStr"/>
      <c r="I2200" t="inlineStr">
        <is>
          <t>TN</t>
        </is>
      </c>
      <c r="J2200" t="inlineStr"/>
      <c r="K2200" t="inlineStr">
        <is>
          <t>20240619</t>
        </is>
      </c>
      <c r="L2200" t="inlineStr">
        <is>
          <t>20251031</t>
        </is>
      </c>
    </row>
    <row r="2201">
      <c r="A2201" t="inlineStr">
        <is>
          <t>900003592</t>
        </is>
      </c>
      <c r="B2201" t="inlineStr">
        <is>
          <t>D836</t>
        </is>
      </c>
      <c r="C2201" t="inlineStr">
        <is>
          <t>67332608</t>
        </is>
      </c>
      <c r="D2201" t="inlineStr">
        <is>
          <t>10000133</t>
        </is>
      </c>
      <c r="E2201" t="inlineStr"/>
      <c r="F2201" s="11" t="n">
        <v>105</v>
      </c>
      <c r="G2201" t="inlineStr"/>
      <c r="I2201" t="inlineStr">
        <is>
          <t>TN</t>
        </is>
      </c>
      <c r="J2201" t="inlineStr"/>
      <c r="K2201" t="inlineStr">
        <is>
          <t>20240619</t>
        </is>
      </c>
      <c r="L2201" t="inlineStr">
        <is>
          <t>20251031</t>
        </is>
      </c>
    </row>
    <row r="2202">
      <c r="A2202" t="inlineStr">
        <is>
          <t>900003592</t>
        </is>
      </c>
      <c r="B2202" t="inlineStr">
        <is>
          <t>D836</t>
        </is>
      </c>
      <c r="C2202" t="inlineStr">
        <is>
          <t>67332608</t>
        </is>
      </c>
      <c r="D2202" t="inlineStr">
        <is>
          <t>10000623</t>
        </is>
      </c>
      <c r="E2202" t="inlineStr"/>
      <c r="F2202" s="11" t="n">
        <v>115.5</v>
      </c>
      <c r="G2202" t="inlineStr"/>
      <c r="I2202" t="inlineStr">
        <is>
          <t>TN</t>
        </is>
      </c>
      <c r="J2202" t="inlineStr"/>
      <c r="K2202" t="inlineStr">
        <is>
          <t>20240619</t>
        </is>
      </c>
      <c r="L2202" t="inlineStr">
        <is>
          <t>20251031</t>
        </is>
      </c>
    </row>
    <row r="2203">
      <c r="A2203" t="inlineStr">
        <is>
          <t>900003592</t>
        </is>
      </c>
      <c r="B2203" t="inlineStr">
        <is>
          <t>D836</t>
        </is>
      </c>
      <c r="C2203" t="inlineStr">
        <is>
          <t>67332608</t>
        </is>
      </c>
      <c r="D2203" t="inlineStr">
        <is>
          <t>10257024</t>
        </is>
      </c>
      <c r="E2203" t="inlineStr"/>
      <c r="F2203" s="11" t="n">
        <v>120.75</v>
      </c>
      <c r="G2203" t="inlineStr"/>
      <c r="I2203" t="inlineStr">
        <is>
          <t>TN</t>
        </is>
      </c>
      <c r="J2203" t="inlineStr"/>
      <c r="K2203" t="inlineStr">
        <is>
          <t>20240619</t>
        </is>
      </c>
      <c r="L2203" t="inlineStr">
        <is>
          <t>20251031</t>
        </is>
      </c>
    </row>
    <row r="2204">
      <c r="A2204" t="inlineStr">
        <is>
          <t>900003593</t>
        </is>
      </c>
      <c r="B2204" t="inlineStr">
        <is>
          <t>D836</t>
        </is>
      </c>
      <c r="C2204" t="inlineStr">
        <is>
          <t>65232687</t>
        </is>
      </c>
      <c r="D2204" t="inlineStr">
        <is>
          <t>10000160</t>
        </is>
      </c>
      <c r="E2204" t="inlineStr"/>
      <c r="F2204" s="11" t="n">
        <v>120</v>
      </c>
      <c r="G2204" t="inlineStr"/>
      <c r="I2204" t="inlineStr">
        <is>
          <t>TN</t>
        </is>
      </c>
      <c r="J2204" t="inlineStr"/>
      <c r="K2204" t="inlineStr">
        <is>
          <t>20240619</t>
        </is>
      </c>
      <c r="L2204" t="inlineStr">
        <is>
          <t>20251031</t>
        </is>
      </c>
    </row>
    <row r="2205">
      <c r="A2205" t="inlineStr">
        <is>
          <t>900003593</t>
        </is>
      </c>
      <c r="B2205" t="inlineStr">
        <is>
          <t>D836</t>
        </is>
      </c>
      <c r="C2205" t="inlineStr">
        <is>
          <t>67277158</t>
        </is>
      </c>
      <c r="D2205" t="inlineStr">
        <is>
          <t>10000160</t>
        </is>
      </c>
      <c r="E2205" t="inlineStr"/>
      <c r="F2205" s="11" t="n">
        <v>120.68</v>
      </c>
      <c r="G2205" t="inlineStr"/>
      <c r="I2205" t="inlineStr">
        <is>
          <t>M3</t>
        </is>
      </c>
      <c r="J2205" t="inlineStr"/>
      <c r="K2205" t="inlineStr">
        <is>
          <t>20240619</t>
        </is>
      </c>
      <c r="L2205" t="inlineStr">
        <is>
          <t>20251031</t>
        </is>
      </c>
    </row>
    <row r="2206">
      <c r="A2206" t="inlineStr">
        <is>
          <t>900003601</t>
        </is>
      </c>
      <c r="B2206" t="inlineStr">
        <is>
          <t>D836</t>
        </is>
      </c>
      <c r="C2206" t="inlineStr">
        <is>
          <t>66415270</t>
        </is>
      </c>
      <c r="D2206" t="inlineStr">
        <is>
          <t>10000624</t>
        </is>
      </c>
      <c r="E2206" t="inlineStr"/>
      <c r="F2206" s="11" t="n">
        <v>113</v>
      </c>
      <c r="G2206" t="inlineStr"/>
      <c r="I2206" t="inlineStr">
        <is>
          <t>TN</t>
        </is>
      </c>
      <c r="J2206" t="inlineStr"/>
      <c r="K2206" t="inlineStr">
        <is>
          <t>20240619</t>
        </is>
      </c>
      <c r="L2206" t="inlineStr">
        <is>
          <t>20251031</t>
        </is>
      </c>
    </row>
    <row r="2207">
      <c r="A2207" t="inlineStr">
        <is>
          <t>900003601</t>
        </is>
      </c>
      <c r="B2207" t="inlineStr">
        <is>
          <t>D836</t>
        </is>
      </c>
      <c r="C2207" t="inlineStr">
        <is>
          <t>66982053</t>
        </is>
      </c>
      <c r="D2207" t="inlineStr">
        <is>
          <t>10000623</t>
        </is>
      </c>
      <c r="E2207" t="inlineStr"/>
      <c r="F2207" s="11" t="n">
        <v>125.6</v>
      </c>
      <c r="G2207" t="inlineStr"/>
      <c r="I2207" t="inlineStr">
        <is>
          <t>TN</t>
        </is>
      </c>
      <c r="J2207" t="inlineStr"/>
      <c r="K2207" t="inlineStr">
        <is>
          <t>20240619</t>
        </is>
      </c>
      <c r="L2207" t="inlineStr">
        <is>
          <t>20251031</t>
        </is>
      </c>
    </row>
    <row r="2208">
      <c r="A2208" t="inlineStr">
        <is>
          <t>900003601</t>
        </is>
      </c>
      <c r="B2208" t="inlineStr">
        <is>
          <t>D836</t>
        </is>
      </c>
      <c r="C2208" t="inlineStr">
        <is>
          <t>67089577</t>
        </is>
      </c>
      <c r="D2208" t="inlineStr">
        <is>
          <t>10000623</t>
        </is>
      </c>
      <c r="E2208" t="inlineStr"/>
      <c r="F2208" s="11" t="n">
        <v>110</v>
      </c>
      <c r="G2208" t="inlineStr"/>
      <c r="I2208" t="inlineStr">
        <is>
          <t>TN</t>
        </is>
      </c>
      <c r="J2208" t="inlineStr"/>
      <c r="K2208" t="inlineStr">
        <is>
          <t>20240619</t>
        </is>
      </c>
      <c r="L2208" t="inlineStr">
        <is>
          <t>20251031</t>
        </is>
      </c>
    </row>
    <row r="2209">
      <c r="A2209" t="inlineStr">
        <is>
          <t>900003601</t>
        </is>
      </c>
      <c r="B2209" t="inlineStr">
        <is>
          <t>D836</t>
        </is>
      </c>
      <c r="C2209" t="inlineStr">
        <is>
          <t>67247435</t>
        </is>
      </c>
      <c r="D2209" t="inlineStr">
        <is>
          <t>10000623</t>
        </is>
      </c>
      <c r="E2209" t="inlineStr"/>
      <c r="F2209" s="11" t="n">
        <v>110</v>
      </c>
      <c r="G2209" t="inlineStr"/>
      <c r="I2209" t="inlineStr">
        <is>
          <t>TN</t>
        </is>
      </c>
      <c r="J2209" t="inlineStr"/>
      <c r="K2209" t="inlineStr">
        <is>
          <t>20240619</t>
        </is>
      </c>
      <c r="L2209" t="inlineStr">
        <is>
          <t>20251031</t>
        </is>
      </c>
    </row>
    <row r="2210">
      <c r="A2210" t="inlineStr">
        <is>
          <t>900003601</t>
        </is>
      </c>
      <c r="B2210" t="inlineStr">
        <is>
          <t>D836</t>
        </is>
      </c>
      <c r="C2210" t="inlineStr">
        <is>
          <t>67247435</t>
        </is>
      </c>
      <c r="D2210" t="inlineStr">
        <is>
          <t>10000811</t>
        </is>
      </c>
      <c r="E2210" t="inlineStr"/>
      <c r="F2210" s="11" t="n">
        <v>121</v>
      </c>
      <c r="G2210" t="inlineStr"/>
      <c r="I2210" t="inlineStr">
        <is>
          <t>TN</t>
        </is>
      </c>
      <c r="J2210" t="inlineStr"/>
      <c r="K2210" t="inlineStr">
        <is>
          <t>20240619</t>
        </is>
      </c>
      <c r="L2210" t="inlineStr">
        <is>
          <t>20251031</t>
        </is>
      </c>
    </row>
    <row r="2211">
      <c r="A2211" t="inlineStr">
        <is>
          <t>900003609</t>
        </is>
      </c>
      <c r="B2211" t="inlineStr">
        <is>
          <t>D836</t>
        </is>
      </c>
      <c r="C2211" t="inlineStr">
        <is>
          <t>66233244</t>
        </is>
      </c>
      <c r="D2211" t="inlineStr">
        <is>
          <t>10000624</t>
        </is>
      </c>
      <c r="E2211" t="inlineStr"/>
      <c r="F2211" s="11" t="n">
        <v>159.51</v>
      </c>
      <c r="G2211" t="inlineStr"/>
      <c r="I2211" t="inlineStr">
        <is>
          <t>M3</t>
        </is>
      </c>
      <c r="J2211" t="inlineStr"/>
      <c r="K2211" t="inlineStr">
        <is>
          <t>20240619</t>
        </is>
      </c>
      <c r="L2211" t="inlineStr">
        <is>
          <t>20251031</t>
        </is>
      </c>
    </row>
    <row r="2212">
      <c r="A2212" t="inlineStr">
        <is>
          <t>900003609</t>
        </is>
      </c>
      <c r="B2212" t="inlineStr">
        <is>
          <t>D836</t>
        </is>
      </c>
      <c r="C2212" t="inlineStr">
        <is>
          <t>66237142</t>
        </is>
      </c>
      <c r="D2212" t="inlineStr">
        <is>
          <t>10000722</t>
        </is>
      </c>
      <c r="E2212" t="inlineStr"/>
      <c r="F2212" s="11" t="n">
        <v>170</v>
      </c>
      <c r="G2212" t="inlineStr"/>
      <c r="I2212" t="inlineStr">
        <is>
          <t>M3</t>
        </is>
      </c>
      <c r="J2212" t="inlineStr"/>
      <c r="K2212" t="inlineStr">
        <is>
          <t>20240619</t>
        </is>
      </c>
      <c r="L2212" t="inlineStr">
        <is>
          <t>20251031</t>
        </is>
      </c>
    </row>
    <row r="2213">
      <c r="A2213" t="inlineStr">
        <is>
          <t>900003609</t>
        </is>
      </c>
      <c r="B2213" t="inlineStr">
        <is>
          <t>D836</t>
        </is>
      </c>
      <c r="C2213" t="inlineStr">
        <is>
          <t>66532867</t>
        </is>
      </c>
      <c r="D2213" t="inlineStr">
        <is>
          <t>10000630</t>
        </is>
      </c>
      <c r="E2213" t="inlineStr"/>
      <c r="F2213" s="11" t="n">
        <v>177</v>
      </c>
      <c r="G2213" t="inlineStr"/>
      <c r="I2213" t="inlineStr">
        <is>
          <t>M3</t>
        </is>
      </c>
      <c r="J2213" t="inlineStr"/>
      <c r="K2213" t="inlineStr">
        <is>
          <t>20240619</t>
        </is>
      </c>
      <c r="L2213" t="inlineStr">
        <is>
          <t>20251031</t>
        </is>
      </c>
    </row>
    <row r="2214">
      <c r="A2214" t="inlineStr">
        <is>
          <t>900003609</t>
        </is>
      </c>
      <c r="B2214" t="inlineStr">
        <is>
          <t>D836</t>
        </is>
      </c>
      <c r="C2214" t="inlineStr">
        <is>
          <t>66532867</t>
        </is>
      </c>
      <c r="D2214" t="inlineStr">
        <is>
          <t>10000722</t>
        </is>
      </c>
      <c r="E2214" t="inlineStr"/>
      <c r="F2214" s="11" t="n">
        <v>170</v>
      </c>
      <c r="G2214" t="inlineStr"/>
      <c r="I2214" t="inlineStr">
        <is>
          <t>M3</t>
        </is>
      </c>
      <c r="J2214" t="inlineStr"/>
      <c r="K2214" t="inlineStr">
        <is>
          <t>20240619</t>
        </is>
      </c>
      <c r="L2214" t="inlineStr">
        <is>
          <t>20251031</t>
        </is>
      </c>
    </row>
    <row r="2215">
      <c r="A2215" t="inlineStr">
        <is>
          <t>900003609</t>
        </is>
      </c>
      <c r="B2215" t="inlineStr">
        <is>
          <t>D836</t>
        </is>
      </c>
      <c r="C2215" t="inlineStr">
        <is>
          <t>66532867</t>
        </is>
      </c>
      <c r="D2215" t="inlineStr">
        <is>
          <t>10058345</t>
        </is>
      </c>
      <c r="E2215" t="inlineStr"/>
      <c r="F2215" s="11" t="n">
        <v>145</v>
      </c>
      <c r="G2215" t="inlineStr"/>
      <c r="I2215" t="inlineStr">
        <is>
          <t>M3</t>
        </is>
      </c>
      <c r="J2215" t="inlineStr"/>
      <c r="K2215" t="inlineStr">
        <is>
          <t>20240619</t>
        </is>
      </c>
      <c r="L2215" t="inlineStr">
        <is>
          <t>20251031</t>
        </is>
      </c>
    </row>
    <row r="2216">
      <c r="A2216" t="inlineStr">
        <is>
          <t>900003609</t>
        </is>
      </c>
      <c r="B2216" t="inlineStr">
        <is>
          <t>D836</t>
        </is>
      </c>
      <c r="C2216" t="inlineStr">
        <is>
          <t>66576199</t>
        </is>
      </c>
      <c r="D2216" t="inlineStr">
        <is>
          <t>10000630</t>
        </is>
      </c>
      <c r="E2216" t="inlineStr"/>
      <c r="F2216" s="11" t="n">
        <v>177</v>
      </c>
      <c r="G2216" t="inlineStr"/>
      <c r="I2216" t="inlineStr">
        <is>
          <t>M3</t>
        </is>
      </c>
      <c r="J2216" t="inlineStr"/>
      <c r="K2216" t="inlineStr">
        <is>
          <t>20240619</t>
        </is>
      </c>
      <c r="L2216" t="inlineStr">
        <is>
          <t>20251031</t>
        </is>
      </c>
    </row>
    <row r="2217">
      <c r="A2217" t="inlineStr">
        <is>
          <t>900003609</t>
        </is>
      </c>
      <c r="B2217" t="inlineStr">
        <is>
          <t>D836</t>
        </is>
      </c>
      <c r="C2217" t="inlineStr">
        <is>
          <t>66576199</t>
        </is>
      </c>
      <c r="D2217" t="inlineStr">
        <is>
          <t>10000722</t>
        </is>
      </c>
      <c r="E2217" t="inlineStr"/>
      <c r="F2217" s="11" t="n">
        <v>170</v>
      </c>
      <c r="G2217" t="inlineStr"/>
      <c r="I2217" t="inlineStr">
        <is>
          <t>M3</t>
        </is>
      </c>
      <c r="J2217" t="inlineStr"/>
      <c r="K2217" t="inlineStr">
        <is>
          <t>20240619</t>
        </is>
      </c>
      <c r="L2217" t="inlineStr">
        <is>
          <t>20251031</t>
        </is>
      </c>
    </row>
    <row r="2218">
      <c r="A2218" t="inlineStr">
        <is>
          <t>900003609</t>
        </is>
      </c>
      <c r="B2218" t="inlineStr">
        <is>
          <t>D836</t>
        </is>
      </c>
      <c r="C2218" t="inlineStr">
        <is>
          <t>66576199</t>
        </is>
      </c>
      <c r="D2218" t="inlineStr">
        <is>
          <t>10058345</t>
        </is>
      </c>
      <c r="E2218" t="inlineStr"/>
      <c r="F2218" s="11" t="n">
        <v>145</v>
      </c>
      <c r="G2218" t="inlineStr"/>
      <c r="I2218" t="inlineStr">
        <is>
          <t>M3</t>
        </is>
      </c>
      <c r="J2218" t="inlineStr"/>
      <c r="K2218" t="inlineStr">
        <is>
          <t>20240619</t>
        </is>
      </c>
      <c r="L2218" t="inlineStr">
        <is>
          <t>20251031</t>
        </is>
      </c>
    </row>
    <row r="2219">
      <c r="A2219" t="inlineStr">
        <is>
          <t>900003609</t>
        </is>
      </c>
      <c r="B2219" t="inlineStr">
        <is>
          <t>D836</t>
        </is>
      </c>
      <c r="C2219" t="inlineStr">
        <is>
          <t>66828114</t>
        </is>
      </c>
      <c r="D2219" t="inlineStr">
        <is>
          <t>10000811</t>
        </is>
      </c>
      <c r="E2219" t="inlineStr"/>
      <c r="F2219" s="11" t="n">
        <v>180</v>
      </c>
      <c r="G2219" t="inlineStr"/>
      <c r="I2219" t="inlineStr">
        <is>
          <t>M3</t>
        </is>
      </c>
      <c r="J2219" t="inlineStr"/>
      <c r="K2219" t="inlineStr">
        <is>
          <t>20240619</t>
        </is>
      </c>
      <c r="L2219" t="inlineStr">
        <is>
          <t>20251031</t>
        </is>
      </c>
    </row>
    <row r="2220">
      <c r="A2220" t="inlineStr">
        <is>
          <t>900003609</t>
        </is>
      </c>
      <c r="B2220" t="inlineStr">
        <is>
          <t>D836</t>
        </is>
      </c>
      <c r="C2220" t="inlineStr">
        <is>
          <t>66864508</t>
        </is>
      </c>
      <c r="D2220" t="inlineStr">
        <is>
          <t>10058345</t>
        </is>
      </c>
      <c r="E2220" t="inlineStr"/>
      <c r="F2220" s="11" t="n">
        <v>150</v>
      </c>
      <c r="G2220" t="inlineStr"/>
      <c r="I2220" t="inlineStr">
        <is>
          <t>M3</t>
        </is>
      </c>
      <c r="J2220" t="inlineStr"/>
      <c r="K2220" t="inlineStr">
        <is>
          <t>20240619</t>
        </is>
      </c>
      <c r="L2220" t="inlineStr">
        <is>
          <t>20251031</t>
        </is>
      </c>
    </row>
    <row r="2221">
      <c r="A2221" t="inlineStr">
        <is>
          <t>900003609</t>
        </is>
      </c>
      <c r="B2221" t="inlineStr">
        <is>
          <t>D836</t>
        </is>
      </c>
      <c r="C2221" t="inlineStr">
        <is>
          <t>66864508</t>
        </is>
      </c>
      <c r="D2221" t="inlineStr">
        <is>
          <t>10268133</t>
        </is>
      </c>
      <c r="E2221" t="inlineStr"/>
      <c r="F2221" s="11" t="n">
        <v>184</v>
      </c>
      <c r="G2221" t="inlineStr"/>
      <c r="I2221" t="inlineStr">
        <is>
          <t>M3</t>
        </is>
      </c>
      <c r="J2221" t="inlineStr"/>
      <c r="K2221" t="inlineStr">
        <is>
          <t>20240619</t>
        </is>
      </c>
      <c r="L2221" t="inlineStr">
        <is>
          <t>20251031</t>
        </is>
      </c>
    </row>
    <row r="2222">
      <c r="A2222" t="inlineStr">
        <is>
          <t>900003609</t>
        </is>
      </c>
      <c r="B2222" t="inlineStr">
        <is>
          <t>D836</t>
        </is>
      </c>
      <c r="C2222" t="inlineStr">
        <is>
          <t>66864508</t>
        </is>
      </c>
      <c r="D2222" t="inlineStr">
        <is>
          <t>10268134</t>
        </is>
      </c>
      <c r="E2222" t="inlineStr"/>
      <c r="F2222" s="11" t="n">
        <v>145</v>
      </c>
      <c r="G2222" t="inlineStr"/>
      <c r="I2222" t="inlineStr">
        <is>
          <t>M3</t>
        </is>
      </c>
      <c r="J2222" t="inlineStr"/>
      <c r="K2222" t="inlineStr">
        <is>
          <t>20240619</t>
        </is>
      </c>
      <c r="L2222" t="inlineStr">
        <is>
          <t>20251031</t>
        </is>
      </c>
    </row>
    <row r="2223">
      <c r="A2223" t="inlineStr">
        <is>
          <t>900003609</t>
        </is>
      </c>
      <c r="B2223" t="inlineStr">
        <is>
          <t>D836</t>
        </is>
      </c>
      <c r="C2223" t="inlineStr">
        <is>
          <t>66864540</t>
        </is>
      </c>
      <c r="D2223" t="inlineStr">
        <is>
          <t>10058345</t>
        </is>
      </c>
      <c r="E2223" t="inlineStr"/>
      <c r="F2223" s="11" t="n">
        <v>150</v>
      </c>
      <c r="G2223" t="inlineStr"/>
      <c r="I2223" t="inlineStr">
        <is>
          <t>M3</t>
        </is>
      </c>
      <c r="J2223" t="inlineStr"/>
      <c r="K2223" t="inlineStr">
        <is>
          <t>20240619</t>
        </is>
      </c>
      <c r="L2223" t="inlineStr">
        <is>
          <t>20251031</t>
        </is>
      </c>
    </row>
    <row r="2224">
      <c r="A2224" t="inlineStr">
        <is>
          <t>900003609</t>
        </is>
      </c>
      <c r="B2224" t="inlineStr">
        <is>
          <t>D836</t>
        </is>
      </c>
      <c r="C2224" t="inlineStr">
        <is>
          <t>66864540</t>
        </is>
      </c>
      <c r="D2224" t="inlineStr">
        <is>
          <t>10268133</t>
        </is>
      </c>
      <c r="E2224" t="inlineStr"/>
      <c r="F2224" s="11" t="n">
        <v>184</v>
      </c>
      <c r="G2224" t="inlineStr"/>
      <c r="I2224" t="inlineStr">
        <is>
          <t>M3</t>
        </is>
      </c>
      <c r="J2224" t="inlineStr"/>
      <c r="K2224" t="inlineStr">
        <is>
          <t>20240619</t>
        </is>
      </c>
      <c r="L2224" t="inlineStr">
        <is>
          <t>20251031</t>
        </is>
      </c>
    </row>
    <row r="2225">
      <c r="A2225" t="inlineStr">
        <is>
          <t>900003609</t>
        </is>
      </c>
      <c r="B2225" t="inlineStr">
        <is>
          <t>D836</t>
        </is>
      </c>
      <c r="C2225" t="inlineStr">
        <is>
          <t>66864540</t>
        </is>
      </c>
      <c r="D2225" t="inlineStr">
        <is>
          <t>10268134</t>
        </is>
      </c>
      <c r="E2225" t="inlineStr"/>
      <c r="F2225" s="11" t="n">
        <v>145</v>
      </c>
      <c r="G2225" t="inlineStr"/>
      <c r="I2225" t="inlineStr">
        <is>
          <t>M3</t>
        </is>
      </c>
      <c r="J2225" t="inlineStr"/>
      <c r="K2225" t="inlineStr">
        <is>
          <t>20240619</t>
        </is>
      </c>
      <c r="L2225" t="inlineStr">
        <is>
          <t>20251031</t>
        </is>
      </c>
    </row>
    <row r="2226">
      <c r="A2226" t="inlineStr">
        <is>
          <t>900003609</t>
        </is>
      </c>
      <c r="B2226" t="inlineStr">
        <is>
          <t>D836</t>
        </is>
      </c>
      <c r="C2226" t="inlineStr">
        <is>
          <t>66982053</t>
        </is>
      </c>
      <c r="D2226" t="inlineStr">
        <is>
          <t>10268133</t>
        </is>
      </c>
      <c r="E2226" t="inlineStr"/>
      <c r="F2226" s="11" t="n">
        <v>184</v>
      </c>
      <c r="G2226" t="inlineStr"/>
      <c r="I2226" t="inlineStr">
        <is>
          <t>M3</t>
        </is>
      </c>
      <c r="J2226" t="inlineStr"/>
      <c r="K2226" t="inlineStr">
        <is>
          <t>20240619</t>
        </is>
      </c>
      <c r="L2226" t="inlineStr">
        <is>
          <t>20251031</t>
        </is>
      </c>
    </row>
    <row r="2227">
      <c r="A2227" t="inlineStr">
        <is>
          <t>900003609</t>
        </is>
      </c>
      <c r="B2227" t="inlineStr">
        <is>
          <t>D836</t>
        </is>
      </c>
      <c r="C2227" t="inlineStr">
        <is>
          <t>67012297</t>
        </is>
      </c>
      <c r="D2227" t="inlineStr">
        <is>
          <t>10221141</t>
        </is>
      </c>
      <c r="E2227" t="inlineStr"/>
      <c r="F2227" s="11" t="n">
        <v>175</v>
      </c>
      <c r="G2227" t="inlineStr"/>
      <c r="I2227" t="inlineStr">
        <is>
          <t>M3</t>
        </is>
      </c>
      <c r="J2227" t="inlineStr"/>
      <c r="K2227" t="inlineStr">
        <is>
          <t>20240619</t>
        </is>
      </c>
      <c r="L2227" t="inlineStr">
        <is>
          <t>20251031</t>
        </is>
      </c>
    </row>
    <row r="2228">
      <c r="A2228" t="inlineStr">
        <is>
          <t>900003609</t>
        </is>
      </c>
      <c r="B2228" t="inlineStr">
        <is>
          <t>D836</t>
        </is>
      </c>
      <c r="C2228" t="inlineStr">
        <is>
          <t>67019979</t>
        </is>
      </c>
      <c r="D2228" t="inlineStr">
        <is>
          <t>10000811</t>
        </is>
      </c>
      <c r="E2228" t="inlineStr"/>
      <c r="F2228" s="11" t="n">
        <v>180</v>
      </c>
      <c r="G2228" t="inlineStr"/>
      <c r="I2228" t="inlineStr">
        <is>
          <t>M3</t>
        </is>
      </c>
      <c r="J2228" t="inlineStr"/>
      <c r="K2228" t="inlineStr">
        <is>
          <t>20240619</t>
        </is>
      </c>
      <c r="L2228" t="inlineStr">
        <is>
          <t>20251031</t>
        </is>
      </c>
    </row>
    <row r="2229">
      <c r="A2229" t="inlineStr">
        <is>
          <t>900003609</t>
        </is>
      </c>
      <c r="B2229" t="inlineStr">
        <is>
          <t>D836</t>
        </is>
      </c>
      <c r="C2229" t="inlineStr">
        <is>
          <t>67019979</t>
        </is>
      </c>
      <c r="D2229" t="inlineStr">
        <is>
          <t>10058345</t>
        </is>
      </c>
      <c r="E2229" t="inlineStr"/>
      <c r="F2229" s="11" t="n">
        <v>150</v>
      </c>
      <c r="G2229" t="inlineStr"/>
      <c r="I2229" t="inlineStr">
        <is>
          <t>M3</t>
        </is>
      </c>
      <c r="J2229" t="inlineStr"/>
      <c r="K2229" t="inlineStr">
        <is>
          <t>20240619</t>
        </is>
      </c>
      <c r="L2229" t="inlineStr">
        <is>
          <t>20251031</t>
        </is>
      </c>
    </row>
    <row r="2230">
      <c r="A2230" t="inlineStr">
        <is>
          <t>900003609</t>
        </is>
      </c>
      <c r="B2230" t="inlineStr">
        <is>
          <t>D836</t>
        </is>
      </c>
      <c r="C2230" t="inlineStr">
        <is>
          <t>67019979</t>
        </is>
      </c>
      <c r="D2230" t="inlineStr">
        <is>
          <t>10268133</t>
        </is>
      </c>
      <c r="E2230" t="inlineStr"/>
      <c r="F2230" s="11" t="n">
        <v>184</v>
      </c>
      <c r="G2230" t="inlineStr"/>
      <c r="I2230" t="inlineStr">
        <is>
          <t>M3</t>
        </is>
      </c>
      <c r="J2230" t="inlineStr"/>
      <c r="K2230" t="inlineStr">
        <is>
          <t>20240619</t>
        </is>
      </c>
      <c r="L2230" t="inlineStr">
        <is>
          <t>20251031</t>
        </is>
      </c>
    </row>
    <row r="2231">
      <c r="A2231" t="inlineStr">
        <is>
          <t>900003609</t>
        </is>
      </c>
      <c r="B2231" t="inlineStr">
        <is>
          <t>D836</t>
        </is>
      </c>
      <c r="C2231" t="inlineStr">
        <is>
          <t>67019979</t>
        </is>
      </c>
      <c r="D2231" t="inlineStr">
        <is>
          <t>10268134</t>
        </is>
      </c>
      <c r="E2231" t="inlineStr"/>
      <c r="F2231" s="11" t="n">
        <v>145</v>
      </c>
      <c r="G2231" t="inlineStr"/>
      <c r="I2231" t="inlineStr">
        <is>
          <t>M3</t>
        </is>
      </c>
      <c r="J2231" t="inlineStr"/>
      <c r="K2231" t="inlineStr">
        <is>
          <t>20240619</t>
        </is>
      </c>
      <c r="L2231" t="inlineStr">
        <is>
          <t>20251031</t>
        </is>
      </c>
    </row>
    <row r="2232">
      <c r="A2232" t="inlineStr">
        <is>
          <t>900003609</t>
        </is>
      </c>
      <c r="B2232" t="inlineStr">
        <is>
          <t>D836</t>
        </is>
      </c>
      <c r="C2232" t="inlineStr">
        <is>
          <t>67213976</t>
        </is>
      </c>
      <c r="D2232" t="inlineStr">
        <is>
          <t>10000722</t>
        </is>
      </c>
      <c r="E2232" t="inlineStr"/>
      <c r="F2232" s="11" t="n">
        <v>170</v>
      </c>
      <c r="G2232" t="inlineStr"/>
      <c r="I2232" t="inlineStr">
        <is>
          <t>M3</t>
        </is>
      </c>
      <c r="J2232" t="inlineStr"/>
      <c r="K2232" t="inlineStr">
        <is>
          <t>20240619</t>
        </is>
      </c>
      <c r="L2232" t="inlineStr">
        <is>
          <t>20251031</t>
        </is>
      </c>
    </row>
    <row r="2233">
      <c r="A2233" t="inlineStr">
        <is>
          <t>900003613</t>
        </is>
      </c>
      <c r="B2233" t="inlineStr">
        <is>
          <t>D836</t>
        </is>
      </c>
      <c r="C2233" t="inlineStr">
        <is>
          <t>66868491</t>
        </is>
      </c>
      <c r="D2233" t="inlineStr">
        <is>
          <t>10000253</t>
        </is>
      </c>
      <c r="E2233" t="inlineStr"/>
      <c r="F2233" s="11" t="n">
        <v>91.8</v>
      </c>
      <c r="G2233" t="inlineStr"/>
      <c r="I2233" t="inlineStr">
        <is>
          <t>M3</t>
        </is>
      </c>
      <c r="J2233" t="inlineStr"/>
      <c r="K2233" t="inlineStr">
        <is>
          <t>20240619</t>
        </is>
      </c>
      <c r="L2233" t="inlineStr">
        <is>
          <t>20251031</t>
        </is>
      </c>
    </row>
    <row r="2234">
      <c r="A2234" t="inlineStr">
        <is>
          <t>900003613</t>
        </is>
      </c>
      <c r="B2234" t="inlineStr">
        <is>
          <t>D836</t>
        </is>
      </c>
      <c r="C2234" t="inlineStr">
        <is>
          <t>66868491</t>
        </is>
      </c>
      <c r="D2234" t="inlineStr">
        <is>
          <t>10000627</t>
        </is>
      </c>
      <c r="E2234" t="inlineStr"/>
      <c r="F2234" s="11" t="n">
        <v>81</v>
      </c>
      <c r="G2234" t="inlineStr"/>
      <c r="I2234" t="inlineStr">
        <is>
          <t>M3</t>
        </is>
      </c>
      <c r="J2234" t="inlineStr"/>
      <c r="K2234" t="inlineStr">
        <is>
          <t>20240619</t>
        </is>
      </c>
      <c r="L2234" t="inlineStr">
        <is>
          <t>20251031</t>
        </is>
      </c>
    </row>
    <row r="2235">
      <c r="A2235" t="inlineStr">
        <is>
          <t>900003613</t>
        </is>
      </c>
      <c r="B2235" t="inlineStr">
        <is>
          <t>D836</t>
        </is>
      </c>
      <c r="C2235" t="inlineStr">
        <is>
          <t>66868491</t>
        </is>
      </c>
      <c r="D2235" t="inlineStr">
        <is>
          <t>10000651</t>
        </is>
      </c>
      <c r="E2235" t="inlineStr"/>
      <c r="F2235" s="11" t="n">
        <v>97.2</v>
      </c>
      <c r="G2235" t="inlineStr"/>
      <c r="I2235" t="inlineStr">
        <is>
          <t>M3</t>
        </is>
      </c>
      <c r="J2235" t="inlineStr"/>
      <c r="K2235" t="inlineStr">
        <is>
          <t>20240619</t>
        </is>
      </c>
      <c r="L2235" t="inlineStr">
        <is>
          <t>20251031</t>
        </is>
      </c>
    </row>
    <row r="2236">
      <c r="A2236" t="inlineStr">
        <is>
          <t>900003613</t>
        </is>
      </c>
      <c r="B2236" t="inlineStr">
        <is>
          <t>D836</t>
        </is>
      </c>
      <c r="C2236" t="inlineStr">
        <is>
          <t>66868491</t>
        </is>
      </c>
      <c r="D2236" t="inlineStr">
        <is>
          <t>10059181</t>
        </is>
      </c>
      <c r="E2236" t="inlineStr"/>
      <c r="F2236" s="11" t="n">
        <v>81</v>
      </c>
      <c r="G2236" t="inlineStr"/>
      <c r="I2236" t="inlineStr">
        <is>
          <t>M3</t>
        </is>
      </c>
      <c r="J2236" t="inlineStr"/>
      <c r="K2236" t="inlineStr">
        <is>
          <t>20240619</t>
        </is>
      </c>
      <c r="L2236" t="inlineStr">
        <is>
          <t>20251031</t>
        </is>
      </c>
    </row>
    <row r="2237">
      <c r="A2237" t="inlineStr">
        <is>
          <t>900003613</t>
        </is>
      </c>
      <c r="B2237" t="inlineStr">
        <is>
          <t>D836</t>
        </is>
      </c>
      <c r="C2237" t="inlineStr">
        <is>
          <t>66982551</t>
        </is>
      </c>
      <c r="D2237" t="inlineStr">
        <is>
          <t>10000253</t>
        </is>
      </c>
      <c r="E2237" t="inlineStr"/>
      <c r="F2237" s="11" t="n">
        <v>93</v>
      </c>
      <c r="G2237" t="inlineStr"/>
      <c r="I2237" t="inlineStr">
        <is>
          <t>M3</t>
        </is>
      </c>
      <c r="J2237" t="inlineStr"/>
      <c r="K2237" t="inlineStr">
        <is>
          <t>20240619</t>
        </is>
      </c>
      <c r="L2237" t="inlineStr">
        <is>
          <t>20251031</t>
        </is>
      </c>
    </row>
    <row r="2238">
      <c r="A2238" t="inlineStr">
        <is>
          <t>900003613</t>
        </is>
      </c>
      <c r="B2238" t="inlineStr">
        <is>
          <t>D836</t>
        </is>
      </c>
      <c r="C2238" t="inlineStr">
        <is>
          <t>66982551</t>
        </is>
      </c>
      <c r="D2238" t="inlineStr">
        <is>
          <t>10059181</t>
        </is>
      </c>
      <c r="E2238" t="inlineStr"/>
      <c r="F2238" s="11" t="n">
        <v>81.90000000000001</v>
      </c>
      <c r="G2238" t="inlineStr"/>
      <c r="I2238" t="inlineStr">
        <is>
          <t>M3</t>
        </is>
      </c>
      <c r="J2238" t="inlineStr"/>
      <c r="K2238" t="inlineStr">
        <is>
          <t>20240619</t>
        </is>
      </c>
      <c r="L2238" t="inlineStr">
        <is>
          <t>20251031</t>
        </is>
      </c>
    </row>
    <row r="2239">
      <c r="A2239" t="inlineStr">
        <is>
          <t>900003613</t>
        </is>
      </c>
      <c r="B2239" t="inlineStr">
        <is>
          <t>D836</t>
        </is>
      </c>
      <c r="C2239" t="inlineStr">
        <is>
          <t>67288888</t>
        </is>
      </c>
      <c r="D2239" t="inlineStr">
        <is>
          <t>10000253</t>
        </is>
      </c>
      <c r="E2239" t="inlineStr"/>
      <c r="F2239" s="11" t="n">
        <v>90.2</v>
      </c>
      <c r="G2239" t="inlineStr"/>
      <c r="I2239" t="inlineStr">
        <is>
          <t>M3</t>
        </is>
      </c>
      <c r="J2239" t="inlineStr"/>
      <c r="K2239" t="inlineStr">
        <is>
          <t>20240619</t>
        </is>
      </c>
      <c r="L2239" t="inlineStr">
        <is>
          <t>20251031</t>
        </is>
      </c>
    </row>
    <row r="2240">
      <c r="A2240" t="inlineStr">
        <is>
          <t>900003613</t>
        </is>
      </c>
      <c r="B2240" t="inlineStr">
        <is>
          <t>D836</t>
        </is>
      </c>
      <c r="C2240" t="inlineStr">
        <is>
          <t>67288888</t>
        </is>
      </c>
      <c r="D2240" t="inlineStr">
        <is>
          <t>10059181</t>
        </is>
      </c>
      <c r="E2240" t="inlineStr"/>
      <c r="F2240" s="11" t="n">
        <v>81.09999999999999</v>
      </c>
      <c r="G2240" t="inlineStr"/>
      <c r="I2240" t="inlineStr">
        <is>
          <t>M3</t>
        </is>
      </c>
      <c r="J2240" t="inlineStr"/>
      <c r="K2240" t="inlineStr">
        <is>
          <t>20240619</t>
        </is>
      </c>
      <c r="L2240" t="inlineStr">
        <is>
          <t>20251031</t>
        </is>
      </c>
    </row>
    <row r="2241">
      <c r="A2241" t="inlineStr">
        <is>
          <t>900004077</t>
        </is>
      </c>
      <c r="B2241" t="inlineStr">
        <is>
          <t>D836</t>
        </is>
      </c>
      <c r="C2241" t="inlineStr">
        <is>
          <t>65232687</t>
        </is>
      </c>
      <c r="D2241" t="inlineStr">
        <is>
          <t>10215377</t>
        </is>
      </c>
      <c r="E2241" t="inlineStr"/>
      <c r="F2241" s="11" t="n">
        <v>135</v>
      </c>
      <c r="G2241" t="inlineStr"/>
      <c r="I2241" t="inlineStr">
        <is>
          <t>M3</t>
        </is>
      </c>
      <c r="J2241" t="inlineStr"/>
      <c r="K2241" t="inlineStr">
        <is>
          <t>20240619</t>
        </is>
      </c>
      <c r="L2241" t="inlineStr">
        <is>
          <t>20251031</t>
        </is>
      </c>
    </row>
    <row r="2242">
      <c r="A2242" t="inlineStr">
        <is>
          <t>900004365</t>
        </is>
      </c>
      <c r="B2242" t="inlineStr">
        <is>
          <t>D836</t>
        </is>
      </c>
      <c r="C2242" t="inlineStr">
        <is>
          <t>65406062</t>
        </is>
      </c>
      <c r="D2242" t="inlineStr">
        <is>
          <t>10000357</t>
        </is>
      </c>
      <c r="E2242" t="inlineStr"/>
      <c r="F2242" s="11" t="n">
        <v>166</v>
      </c>
      <c r="G2242" t="inlineStr"/>
      <c r="I2242" t="inlineStr">
        <is>
          <t>M3</t>
        </is>
      </c>
      <c r="J2242" t="inlineStr"/>
      <c r="K2242" t="inlineStr">
        <is>
          <t>20240619</t>
        </is>
      </c>
      <c r="L2242" t="inlineStr">
        <is>
          <t>20251031</t>
        </is>
      </c>
    </row>
    <row r="2243">
      <c r="A2243" t="inlineStr">
        <is>
          <t>900004365</t>
        </is>
      </c>
      <c r="B2243" t="inlineStr">
        <is>
          <t>D836</t>
        </is>
      </c>
      <c r="C2243" t="inlineStr">
        <is>
          <t>65406062</t>
        </is>
      </c>
      <c r="D2243" t="inlineStr">
        <is>
          <t>10149994</t>
        </is>
      </c>
      <c r="E2243" t="inlineStr"/>
      <c r="F2243" s="11" t="n">
        <v>146</v>
      </c>
      <c r="G2243" t="inlineStr"/>
      <c r="I2243" t="inlineStr">
        <is>
          <t>M3</t>
        </is>
      </c>
      <c r="J2243" t="inlineStr"/>
      <c r="K2243" t="inlineStr">
        <is>
          <t>20240619</t>
        </is>
      </c>
      <c r="L2243" t="inlineStr">
        <is>
          <t>20251031</t>
        </is>
      </c>
    </row>
    <row r="2244">
      <c r="A2244" t="inlineStr">
        <is>
          <t>900004365</t>
        </is>
      </c>
      <c r="B2244" t="inlineStr">
        <is>
          <t>D836</t>
        </is>
      </c>
      <c r="C2244" t="inlineStr">
        <is>
          <t>65406064</t>
        </is>
      </c>
      <c r="D2244" t="inlineStr">
        <is>
          <t>10000357</t>
        </is>
      </c>
      <c r="E2244" t="inlineStr"/>
      <c r="F2244" s="11" t="n">
        <v>166</v>
      </c>
      <c r="G2244" t="inlineStr"/>
      <c r="I2244" t="inlineStr">
        <is>
          <t>M3</t>
        </is>
      </c>
      <c r="J2244" t="inlineStr"/>
      <c r="K2244" t="inlineStr">
        <is>
          <t>20240619</t>
        </is>
      </c>
      <c r="L2244" t="inlineStr">
        <is>
          <t>20251031</t>
        </is>
      </c>
    </row>
    <row r="2245">
      <c r="A2245" t="inlineStr">
        <is>
          <t>900004365</t>
        </is>
      </c>
      <c r="B2245" t="inlineStr">
        <is>
          <t>D836</t>
        </is>
      </c>
      <c r="C2245" t="inlineStr">
        <is>
          <t>65406064</t>
        </is>
      </c>
      <c r="D2245" t="inlineStr">
        <is>
          <t>10149994</t>
        </is>
      </c>
      <c r="E2245" t="inlineStr"/>
      <c r="F2245" s="11" t="n">
        <v>146</v>
      </c>
      <c r="G2245" t="inlineStr"/>
      <c r="I2245" t="inlineStr">
        <is>
          <t>M3</t>
        </is>
      </c>
      <c r="J2245" t="inlineStr"/>
      <c r="K2245" t="inlineStr">
        <is>
          <t>20240619</t>
        </is>
      </c>
      <c r="L2245" t="inlineStr">
        <is>
          <t>20251031</t>
        </is>
      </c>
    </row>
    <row r="2246">
      <c r="A2246" t="inlineStr">
        <is>
          <t>900004365</t>
        </is>
      </c>
      <c r="B2246" t="inlineStr">
        <is>
          <t>D836</t>
        </is>
      </c>
      <c r="C2246" t="inlineStr">
        <is>
          <t>65911313</t>
        </is>
      </c>
      <c r="D2246" t="inlineStr">
        <is>
          <t>10000357</t>
        </is>
      </c>
      <c r="E2246" t="inlineStr"/>
      <c r="F2246" s="11" t="n">
        <v>166</v>
      </c>
      <c r="G2246" t="inlineStr"/>
      <c r="I2246" t="inlineStr">
        <is>
          <t>M3</t>
        </is>
      </c>
      <c r="J2246" t="inlineStr"/>
      <c r="K2246" t="inlineStr">
        <is>
          <t>20240619</t>
        </is>
      </c>
      <c r="L2246" t="inlineStr">
        <is>
          <t>20251031</t>
        </is>
      </c>
    </row>
    <row r="2247">
      <c r="A2247" t="inlineStr">
        <is>
          <t>900004365</t>
        </is>
      </c>
      <c r="B2247" t="inlineStr">
        <is>
          <t>D836</t>
        </is>
      </c>
      <c r="C2247" t="inlineStr">
        <is>
          <t>65911313</t>
        </is>
      </c>
      <c r="D2247" t="inlineStr">
        <is>
          <t>10149994</t>
        </is>
      </c>
      <c r="E2247" t="inlineStr"/>
      <c r="F2247" s="11" t="n">
        <v>146</v>
      </c>
      <c r="G2247" t="inlineStr"/>
      <c r="I2247" t="inlineStr">
        <is>
          <t>M3</t>
        </is>
      </c>
      <c r="J2247" t="inlineStr"/>
      <c r="K2247" t="inlineStr">
        <is>
          <t>20240619</t>
        </is>
      </c>
      <c r="L2247" t="inlineStr">
        <is>
          <t>20251031</t>
        </is>
      </c>
    </row>
    <row r="2248">
      <c r="A2248" t="inlineStr">
        <is>
          <t>900004365</t>
        </is>
      </c>
      <c r="B2248" t="inlineStr">
        <is>
          <t>D836</t>
        </is>
      </c>
      <c r="C2248" t="inlineStr">
        <is>
          <t>66230098</t>
        </is>
      </c>
      <c r="D2248" t="inlineStr">
        <is>
          <t>10000133</t>
        </is>
      </c>
      <c r="E2248" t="inlineStr"/>
      <c r="F2248" s="11" t="n">
        <v>197</v>
      </c>
      <c r="G2248" t="inlineStr"/>
      <c r="I2248" t="inlineStr">
        <is>
          <t>M3</t>
        </is>
      </c>
      <c r="J2248" t="inlineStr"/>
      <c r="K2248" t="inlineStr">
        <is>
          <t>20240619</t>
        </is>
      </c>
      <c r="L2248" t="inlineStr">
        <is>
          <t>20251031</t>
        </is>
      </c>
    </row>
    <row r="2249">
      <c r="A2249" t="inlineStr">
        <is>
          <t>900005087</t>
        </is>
      </c>
      <c r="B2249" t="inlineStr">
        <is>
          <t>D836</t>
        </is>
      </c>
      <c r="C2249" t="inlineStr">
        <is>
          <t>67110061</t>
        </is>
      </c>
      <c r="D2249" t="inlineStr">
        <is>
          <t>10139788</t>
        </is>
      </c>
      <c r="E2249" t="inlineStr"/>
      <c r="F2249" s="11" t="n">
        <v>128</v>
      </c>
      <c r="G2249" t="inlineStr"/>
      <c r="I2249" t="inlineStr">
        <is>
          <t>M3</t>
        </is>
      </c>
      <c r="J2249" t="inlineStr"/>
      <c r="K2249" t="inlineStr">
        <is>
          <t>20240619</t>
        </is>
      </c>
      <c r="L2249" t="inlineStr">
        <is>
          <t>20251031</t>
        </is>
      </c>
    </row>
    <row r="2250">
      <c r="A2250" t="inlineStr">
        <is>
          <t>900005356</t>
        </is>
      </c>
      <c r="B2250" t="inlineStr">
        <is>
          <t>D836</t>
        </is>
      </c>
      <c r="C2250" t="inlineStr">
        <is>
          <t>65440384</t>
        </is>
      </c>
      <c r="D2250" t="inlineStr">
        <is>
          <t>10000160</t>
        </is>
      </c>
      <c r="E2250" t="inlineStr"/>
      <c r="F2250" s="11" t="n">
        <v>112.51</v>
      </c>
      <c r="G2250" t="inlineStr"/>
      <c r="I2250" t="inlineStr">
        <is>
          <t>M3</t>
        </is>
      </c>
      <c r="J2250" t="inlineStr"/>
      <c r="K2250" t="inlineStr">
        <is>
          <t>20240619</t>
        </is>
      </c>
      <c r="L2250" t="inlineStr">
        <is>
          <t>20251031</t>
        </is>
      </c>
    </row>
    <row r="2251">
      <c r="A2251" t="inlineStr">
        <is>
          <t>900005356</t>
        </is>
      </c>
      <c r="B2251" t="inlineStr">
        <is>
          <t>D836</t>
        </is>
      </c>
      <c r="C2251" t="inlineStr">
        <is>
          <t>66415270</t>
        </is>
      </c>
      <c r="D2251" t="inlineStr">
        <is>
          <t>10000160</t>
        </is>
      </c>
      <c r="E2251" t="inlineStr"/>
      <c r="F2251" s="11" t="n">
        <v>108</v>
      </c>
      <c r="G2251" t="inlineStr"/>
      <c r="I2251" t="inlineStr">
        <is>
          <t>M3</t>
        </is>
      </c>
      <c r="J2251" t="inlineStr"/>
      <c r="K2251" t="inlineStr">
        <is>
          <t>20240619</t>
        </is>
      </c>
      <c r="L2251" t="inlineStr">
        <is>
          <t>20251031</t>
        </is>
      </c>
    </row>
    <row r="2252">
      <c r="A2252" t="inlineStr">
        <is>
          <t>900005356</t>
        </is>
      </c>
      <c r="B2252" t="inlineStr">
        <is>
          <t>D836</t>
        </is>
      </c>
      <c r="C2252" t="inlineStr">
        <is>
          <t>66415270</t>
        </is>
      </c>
      <c r="D2252" t="inlineStr">
        <is>
          <t>10000357</t>
        </is>
      </c>
      <c r="E2252" t="inlineStr"/>
      <c r="F2252" s="11" t="n">
        <v>125</v>
      </c>
      <c r="G2252" t="inlineStr"/>
      <c r="I2252" t="inlineStr">
        <is>
          <t>M3</t>
        </is>
      </c>
      <c r="J2252" t="inlineStr"/>
      <c r="K2252" t="inlineStr">
        <is>
          <t>20240619</t>
        </is>
      </c>
      <c r="L2252" t="inlineStr">
        <is>
          <t>20251031</t>
        </is>
      </c>
    </row>
    <row r="2253">
      <c r="A2253" t="inlineStr">
        <is>
          <t>900005356</t>
        </is>
      </c>
      <c r="B2253" t="inlineStr">
        <is>
          <t>D836</t>
        </is>
      </c>
      <c r="C2253" t="inlineStr">
        <is>
          <t>67019979</t>
        </is>
      </c>
      <c r="D2253" t="inlineStr">
        <is>
          <t>10259792</t>
        </is>
      </c>
      <c r="E2253" t="inlineStr"/>
      <c r="F2253" s="11" t="n">
        <v>120</v>
      </c>
      <c r="G2253" t="inlineStr"/>
      <c r="I2253" t="inlineStr">
        <is>
          <t>M3</t>
        </is>
      </c>
      <c r="J2253" t="inlineStr"/>
      <c r="K2253" t="inlineStr">
        <is>
          <t>20240619</t>
        </is>
      </c>
      <c r="L2253" t="inlineStr">
        <is>
          <t>20251031</t>
        </is>
      </c>
    </row>
    <row r="2254">
      <c r="A2254" t="inlineStr">
        <is>
          <t>900005356</t>
        </is>
      </c>
      <c r="B2254" t="inlineStr">
        <is>
          <t>D836</t>
        </is>
      </c>
      <c r="C2254" t="inlineStr">
        <is>
          <t>67026364</t>
        </is>
      </c>
      <c r="D2254" t="inlineStr">
        <is>
          <t>10000160</t>
        </is>
      </c>
      <c r="E2254" t="inlineStr"/>
      <c r="F2254" s="11" t="n">
        <v>108</v>
      </c>
      <c r="G2254" t="inlineStr"/>
      <c r="I2254" t="inlineStr">
        <is>
          <t>M3</t>
        </is>
      </c>
      <c r="J2254" t="inlineStr"/>
      <c r="K2254" t="inlineStr">
        <is>
          <t>20240619</t>
        </is>
      </c>
      <c r="L2254" t="inlineStr">
        <is>
          <t>20251031</t>
        </is>
      </c>
    </row>
    <row r="2255">
      <c r="A2255" t="inlineStr">
        <is>
          <t>900005356</t>
        </is>
      </c>
      <c r="B2255" t="inlineStr">
        <is>
          <t>D836</t>
        </is>
      </c>
      <c r="C2255" t="inlineStr">
        <is>
          <t>67166394</t>
        </is>
      </c>
      <c r="D2255" t="inlineStr">
        <is>
          <t>10000627</t>
        </is>
      </c>
      <c r="E2255" t="inlineStr"/>
      <c r="F2255" s="11" t="n">
        <v>110.8</v>
      </c>
      <c r="G2255" t="inlineStr"/>
      <c r="I2255" t="inlineStr">
        <is>
          <t>M3</t>
        </is>
      </c>
      <c r="J2255" t="inlineStr"/>
      <c r="K2255" t="inlineStr">
        <is>
          <t>20240619</t>
        </is>
      </c>
      <c r="L2255" t="inlineStr">
        <is>
          <t>20251031</t>
        </is>
      </c>
    </row>
    <row r="2256">
      <c r="A2256" t="inlineStr">
        <is>
          <t>900005401</t>
        </is>
      </c>
      <c r="B2256" t="inlineStr">
        <is>
          <t>D836</t>
        </is>
      </c>
      <c r="C2256" t="inlineStr">
        <is>
          <t>67288888</t>
        </is>
      </c>
      <c r="D2256" t="inlineStr">
        <is>
          <t>10000253</t>
        </is>
      </c>
      <c r="E2256" t="inlineStr"/>
      <c r="F2256" s="11" t="n">
        <v>97.2</v>
      </c>
      <c r="G2256" t="inlineStr"/>
      <c r="I2256" t="inlineStr">
        <is>
          <t>M3</t>
        </is>
      </c>
      <c r="J2256" t="inlineStr"/>
      <c r="K2256" t="inlineStr">
        <is>
          <t>20240619</t>
        </is>
      </c>
      <c r="L2256" t="inlineStr">
        <is>
          <t>20251031</t>
        </is>
      </c>
    </row>
    <row r="2257">
      <c r="A2257" t="inlineStr">
        <is>
          <t>900005627</t>
        </is>
      </c>
      <c r="B2257" t="inlineStr">
        <is>
          <t>D836</t>
        </is>
      </c>
      <c r="C2257" t="inlineStr">
        <is>
          <t>66799029</t>
        </is>
      </c>
      <c r="D2257" t="inlineStr">
        <is>
          <t>10260052</t>
        </is>
      </c>
      <c r="E2257" t="inlineStr"/>
      <c r="F2257" s="11" t="n">
        <v>122</v>
      </c>
      <c r="G2257" t="inlineStr"/>
      <c r="I2257" t="inlineStr">
        <is>
          <t>M3</t>
        </is>
      </c>
      <c r="J2257" t="inlineStr"/>
      <c r="K2257" t="inlineStr">
        <is>
          <t>20240619</t>
        </is>
      </c>
      <c r="L2257" t="inlineStr">
        <is>
          <t>20251031</t>
        </is>
      </c>
    </row>
    <row r="2258">
      <c r="A2258" t="inlineStr">
        <is>
          <t>900005627</t>
        </is>
      </c>
      <c r="B2258" t="inlineStr">
        <is>
          <t>D836</t>
        </is>
      </c>
      <c r="C2258" t="inlineStr">
        <is>
          <t>66799029</t>
        </is>
      </c>
      <c r="D2258" t="inlineStr">
        <is>
          <t>10260053</t>
        </is>
      </c>
      <c r="E2258" t="inlineStr"/>
      <c r="F2258" s="11" t="n">
        <v>128</v>
      </c>
      <c r="G2258" t="inlineStr"/>
      <c r="I2258" t="inlineStr">
        <is>
          <t>M3</t>
        </is>
      </c>
      <c r="J2258" t="inlineStr"/>
      <c r="K2258" t="inlineStr">
        <is>
          <t>20240619</t>
        </is>
      </c>
      <c r="L2258" t="inlineStr">
        <is>
          <t>20251031</t>
        </is>
      </c>
    </row>
    <row r="2259">
      <c r="A2259" t="inlineStr">
        <is>
          <t>900005627</t>
        </is>
      </c>
      <c r="B2259" t="inlineStr">
        <is>
          <t>D836</t>
        </is>
      </c>
      <c r="C2259" t="inlineStr">
        <is>
          <t>66799029</t>
        </is>
      </c>
      <c r="D2259" t="inlineStr">
        <is>
          <t>10260054</t>
        </is>
      </c>
      <c r="E2259" t="inlineStr"/>
      <c r="F2259" s="11" t="n">
        <v>85</v>
      </c>
      <c r="G2259" t="inlineStr"/>
      <c r="I2259" t="inlineStr">
        <is>
          <t>M3</t>
        </is>
      </c>
      <c r="J2259" t="inlineStr"/>
      <c r="K2259" t="inlineStr">
        <is>
          <t>20240619</t>
        </is>
      </c>
      <c r="L2259" t="inlineStr">
        <is>
          <t>20251031</t>
        </is>
      </c>
    </row>
    <row r="2260">
      <c r="A2260" t="inlineStr">
        <is>
          <t>900005627</t>
        </is>
      </c>
      <c r="B2260" t="inlineStr">
        <is>
          <t>D836</t>
        </is>
      </c>
      <c r="C2260" t="inlineStr">
        <is>
          <t>66799029</t>
        </is>
      </c>
      <c r="D2260" t="inlineStr">
        <is>
          <t>10260055</t>
        </is>
      </c>
      <c r="E2260" t="inlineStr"/>
      <c r="F2260" s="11" t="n">
        <v>75</v>
      </c>
      <c r="G2260" t="inlineStr"/>
      <c r="I2260" t="inlineStr">
        <is>
          <t>M3</t>
        </is>
      </c>
      <c r="J2260" t="inlineStr"/>
      <c r="K2260" t="inlineStr">
        <is>
          <t>20240619</t>
        </is>
      </c>
      <c r="L2260" t="inlineStr">
        <is>
          <t>20251031</t>
        </is>
      </c>
    </row>
    <row r="2261">
      <c r="A2261" t="inlineStr">
        <is>
          <t>900005627</t>
        </is>
      </c>
      <c r="B2261" t="inlineStr">
        <is>
          <t>D836</t>
        </is>
      </c>
      <c r="C2261" t="inlineStr">
        <is>
          <t>66799029</t>
        </is>
      </c>
      <c r="D2261" t="inlineStr">
        <is>
          <t>10260064</t>
        </is>
      </c>
      <c r="E2261" t="inlineStr"/>
      <c r="F2261" s="11" t="n">
        <v>85</v>
      </c>
      <c r="G2261" t="inlineStr"/>
      <c r="I2261" t="inlineStr">
        <is>
          <t>M3</t>
        </is>
      </c>
      <c r="J2261" t="inlineStr"/>
      <c r="K2261" t="inlineStr">
        <is>
          <t>20240619</t>
        </is>
      </c>
      <c r="L2261" t="inlineStr">
        <is>
          <t>20251031</t>
        </is>
      </c>
    </row>
    <row r="2262">
      <c r="A2262" t="inlineStr">
        <is>
          <t>900005627</t>
        </is>
      </c>
      <c r="B2262" t="inlineStr">
        <is>
          <t>D836</t>
        </is>
      </c>
      <c r="C2262" t="inlineStr">
        <is>
          <t>67160653</t>
        </is>
      </c>
      <c r="D2262" t="inlineStr">
        <is>
          <t>10267271</t>
        </is>
      </c>
      <c r="E2262" t="inlineStr"/>
      <c r="F2262" s="11" t="n">
        <v>170</v>
      </c>
      <c r="G2262" t="inlineStr"/>
      <c r="I2262" t="inlineStr">
        <is>
          <t>M3</t>
        </is>
      </c>
      <c r="J2262" t="inlineStr"/>
      <c r="K2262" t="inlineStr">
        <is>
          <t>20240619</t>
        </is>
      </c>
      <c r="L2262" t="inlineStr">
        <is>
          <t>20251031</t>
        </is>
      </c>
    </row>
    <row r="2263">
      <c r="A2263" t="inlineStr">
        <is>
          <t>900005627</t>
        </is>
      </c>
      <c r="B2263" t="inlineStr">
        <is>
          <t>D836</t>
        </is>
      </c>
      <c r="C2263" t="inlineStr">
        <is>
          <t>67164038</t>
        </is>
      </c>
      <c r="D2263" t="inlineStr">
        <is>
          <t>10000432</t>
        </is>
      </c>
      <c r="E2263" t="inlineStr"/>
      <c r="F2263" s="11" t="n">
        <v>220</v>
      </c>
      <c r="G2263" t="inlineStr"/>
      <c r="I2263" t="inlineStr">
        <is>
          <t>M3</t>
        </is>
      </c>
      <c r="J2263" t="inlineStr"/>
      <c r="K2263" t="inlineStr">
        <is>
          <t>20240619</t>
        </is>
      </c>
      <c r="L2263" t="inlineStr">
        <is>
          <t>20251031</t>
        </is>
      </c>
    </row>
    <row r="2264">
      <c r="A2264" t="inlineStr">
        <is>
          <t>900005627</t>
        </is>
      </c>
      <c r="B2264" t="inlineStr">
        <is>
          <t>D836</t>
        </is>
      </c>
      <c r="C2264" t="inlineStr">
        <is>
          <t>67164038</t>
        </is>
      </c>
      <c r="D2264" t="inlineStr">
        <is>
          <t>10145835</t>
        </is>
      </c>
      <c r="E2264" t="inlineStr"/>
      <c r="F2264" s="11" t="n">
        <v>145</v>
      </c>
      <c r="G2264" t="inlineStr"/>
      <c r="I2264" t="inlineStr">
        <is>
          <t>M3</t>
        </is>
      </c>
      <c r="J2264" t="inlineStr"/>
      <c r="K2264" t="inlineStr">
        <is>
          <t>20240619</t>
        </is>
      </c>
      <c r="L2264" t="inlineStr">
        <is>
          <t>20251031</t>
        </is>
      </c>
    </row>
    <row r="2265">
      <c r="A2265" t="inlineStr">
        <is>
          <t>900005627</t>
        </is>
      </c>
      <c r="B2265" t="inlineStr">
        <is>
          <t>D836</t>
        </is>
      </c>
      <c r="C2265" t="inlineStr">
        <is>
          <t>67164038</t>
        </is>
      </c>
      <c r="D2265" t="inlineStr">
        <is>
          <t>10155487</t>
        </is>
      </c>
      <c r="E2265" t="inlineStr"/>
      <c r="F2265" s="11" t="n">
        <v>282</v>
      </c>
      <c r="G2265" t="inlineStr"/>
      <c r="I2265" t="inlineStr">
        <is>
          <t>M3</t>
        </is>
      </c>
      <c r="J2265" t="inlineStr"/>
      <c r="K2265" t="inlineStr">
        <is>
          <t>20240619</t>
        </is>
      </c>
      <c r="L2265" t="inlineStr">
        <is>
          <t>20251031</t>
        </is>
      </c>
    </row>
    <row r="2266">
      <c r="A2266" t="inlineStr">
        <is>
          <t>900006371</t>
        </is>
      </c>
      <c r="B2266" t="inlineStr">
        <is>
          <t>D836</t>
        </is>
      </c>
      <c r="C2266" t="inlineStr">
        <is>
          <t>65925194</t>
        </is>
      </c>
      <c r="D2266" t="inlineStr">
        <is>
          <t>10000160</t>
        </is>
      </c>
      <c r="E2266" t="inlineStr"/>
      <c r="F2266" s="11" t="n">
        <v>109.86</v>
      </c>
      <c r="G2266" t="inlineStr"/>
      <c r="I2266" t="inlineStr">
        <is>
          <t>M3</t>
        </is>
      </c>
      <c r="J2266" t="inlineStr"/>
      <c r="K2266" t="inlineStr">
        <is>
          <t>20240619</t>
        </is>
      </c>
      <c r="L2266" t="inlineStr">
        <is>
          <t>20251031</t>
        </is>
      </c>
    </row>
    <row r="2267">
      <c r="A2267" t="inlineStr">
        <is>
          <t>900006542</t>
        </is>
      </c>
      <c r="B2267" t="inlineStr">
        <is>
          <t>D836</t>
        </is>
      </c>
      <c r="C2267" t="inlineStr">
        <is>
          <t>66864508</t>
        </is>
      </c>
      <c r="D2267" t="inlineStr">
        <is>
          <t>10000655</t>
        </is>
      </c>
      <c r="E2267" t="inlineStr"/>
      <c r="F2267" s="11" t="n">
        <v>1118.57</v>
      </c>
      <c r="G2267" t="inlineStr"/>
      <c r="I2267" t="inlineStr">
        <is>
          <t>TN</t>
        </is>
      </c>
      <c r="J2267" t="inlineStr"/>
      <c r="K2267" t="inlineStr">
        <is>
          <t>20240619</t>
        </is>
      </c>
      <c r="L2267" t="inlineStr">
        <is>
          <t>20251031</t>
        </is>
      </c>
    </row>
    <row r="2268">
      <c r="A2268" t="inlineStr">
        <is>
          <t>900006542</t>
        </is>
      </c>
      <c r="B2268" t="inlineStr">
        <is>
          <t>D836</t>
        </is>
      </c>
      <c r="C2268" t="inlineStr">
        <is>
          <t>67132343</t>
        </is>
      </c>
      <c r="D2268" t="inlineStr">
        <is>
          <t>10227598</t>
        </is>
      </c>
      <c r="E2268" t="inlineStr"/>
      <c r="F2268" s="11" t="n">
        <v>86</v>
      </c>
      <c r="G2268" t="inlineStr"/>
      <c r="I2268" t="inlineStr">
        <is>
          <t>M3</t>
        </is>
      </c>
      <c r="J2268" t="inlineStr"/>
      <c r="K2268" t="inlineStr">
        <is>
          <t>20240619</t>
        </is>
      </c>
      <c r="L2268" t="inlineStr">
        <is>
          <t>20251031</t>
        </is>
      </c>
    </row>
    <row r="2269">
      <c r="A2269" t="inlineStr">
        <is>
          <t>900006542</t>
        </is>
      </c>
      <c r="B2269" t="inlineStr">
        <is>
          <t>D836</t>
        </is>
      </c>
      <c r="C2269" t="inlineStr">
        <is>
          <t>67337282</t>
        </is>
      </c>
      <c r="D2269" t="inlineStr">
        <is>
          <t>10171624</t>
        </is>
      </c>
      <c r="E2269" t="inlineStr"/>
      <c r="F2269" s="11" t="n">
        <v>88</v>
      </c>
      <c r="G2269" t="inlineStr"/>
      <c r="I2269" t="inlineStr">
        <is>
          <t>TN</t>
        </is>
      </c>
      <c r="J2269" t="inlineStr"/>
      <c r="K2269" t="inlineStr">
        <is>
          <t>20240619</t>
        </is>
      </c>
      <c r="L2269" t="inlineStr">
        <is>
          <t>20251031</t>
        </is>
      </c>
    </row>
    <row r="2270">
      <c r="A2270" t="inlineStr">
        <is>
          <t>900006542</t>
        </is>
      </c>
      <c r="B2270" t="inlineStr">
        <is>
          <t>D836</t>
        </is>
      </c>
      <c r="C2270" t="inlineStr">
        <is>
          <t>67337282</t>
        </is>
      </c>
      <c r="D2270" t="inlineStr">
        <is>
          <t>10192941</t>
        </is>
      </c>
      <c r="E2270" t="inlineStr"/>
      <c r="F2270" s="11" t="n">
        <v>113.33</v>
      </c>
      <c r="G2270" t="inlineStr"/>
      <c r="I2270" t="inlineStr">
        <is>
          <t>TN</t>
        </is>
      </c>
      <c r="J2270" t="inlineStr"/>
      <c r="K2270" t="inlineStr">
        <is>
          <t>20240619</t>
        </is>
      </c>
      <c r="L2270" t="inlineStr">
        <is>
          <t>20251031</t>
        </is>
      </c>
    </row>
    <row r="2271">
      <c r="A2271" t="inlineStr">
        <is>
          <t>900006543</t>
        </is>
      </c>
      <c r="B2271" t="inlineStr">
        <is>
          <t>D836</t>
        </is>
      </c>
      <c r="C2271" t="inlineStr">
        <is>
          <t>65006301</t>
        </is>
      </c>
      <c r="D2271" t="inlineStr">
        <is>
          <t>10000206</t>
        </is>
      </c>
      <c r="E2271" t="inlineStr"/>
      <c r="F2271" s="11" t="n">
        <v>20</v>
      </c>
      <c r="G2271" t="inlineStr"/>
      <c r="I2271" t="inlineStr">
        <is>
          <t>M3</t>
        </is>
      </c>
      <c r="J2271" t="inlineStr"/>
      <c r="K2271" t="inlineStr">
        <is>
          <t>20240619</t>
        </is>
      </c>
      <c r="L2271" t="inlineStr">
        <is>
          <t>20251031</t>
        </is>
      </c>
    </row>
    <row r="2272">
      <c r="A2272" t="inlineStr">
        <is>
          <t>900006543</t>
        </is>
      </c>
      <c r="B2272" t="inlineStr">
        <is>
          <t>D836</t>
        </is>
      </c>
      <c r="C2272" t="inlineStr">
        <is>
          <t>65006301</t>
        </is>
      </c>
      <c r="D2272" t="inlineStr">
        <is>
          <t>10000627</t>
        </is>
      </c>
      <c r="E2272" t="inlineStr"/>
      <c r="F2272" s="11" t="n">
        <v>115</v>
      </c>
      <c r="G2272" t="inlineStr"/>
      <c r="I2272" t="inlineStr">
        <is>
          <t>M3</t>
        </is>
      </c>
      <c r="J2272" t="inlineStr"/>
      <c r="K2272" t="inlineStr">
        <is>
          <t>20240619</t>
        </is>
      </c>
      <c r="L2272" t="inlineStr">
        <is>
          <t>20251031</t>
        </is>
      </c>
    </row>
    <row r="2273">
      <c r="A2273" t="inlineStr">
        <is>
          <t>900006543</t>
        </is>
      </c>
      <c r="B2273" t="inlineStr">
        <is>
          <t>D836</t>
        </is>
      </c>
      <c r="C2273" t="inlineStr">
        <is>
          <t>65006301</t>
        </is>
      </c>
      <c r="D2273" t="inlineStr">
        <is>
          <t>10185476</t>
        </is>
      </c>
      <c r="E2273" t="inlineStr"/>
      <c r="F2273" s="11" t="n">
        <v>108</v>
      </c>
      <c r="G2273" t="inlineStr"/>
      <c r="I2273" t="inlineStr">
        <is>
          <t>M3</t>
        </is>
      </c>
      <c r="J2273" t="inlineStr"/>
      <c r="K2273" t="inlineStr">
        <is>
          <t>20240619</t>
        </is>
      </c>
      <c r="L2273" t="inlineStr">
        <is>
          <t>20251031</t>
        </is>
      </c>
    </row>
    <row r="2274">
      <c r="A2274" t="inlineStr">
        <is>
          <t>900006543</t>
        </is>
      </c>
      <c r="B2274" t="inlineStr">
        <is>
          <t>D836</t>
        </is>
      </c>
      <c r="C2274" t="inlineStr">
        <is>
          <t>65006301</t>
        </is>
      </c>
      <c r="D2274" t="inlineStr">
        <is>
          <t>10185477</t>
        </is>
      </c>
      <c r="E2274" t="inlineStr"/>
      <c r="F2274" s="11" t="n">
        <v>115</v>
      </c>
      <c r="G2274" t="inlineStr"/>
      <c r="I2274" t="inlineStr">
        <is>
          <t>M3</t>
        </is>
      </c>
      <c r="J2274" t="inlineStr"/>
      <c r="K2274" t="inlineStr">
        <is>
          <t>20240619</t>
        </is>
      </c>
      <c r="L2274" t="inlineStr">
        <is>
          <t>20251031</t>
        </is>
      </c>
    </row>
    <row r="2275">
      <c r="A2275" t="inlineStr">
        <is>
          <t>900006543</t>
        </is>
      </c>
      <c r="B2275" t="inlineStr">
        <is>
          <t>D836</t>
        </is>
      </c>
      <c r="C2275" t="inlineStr">
        <is>
          <t>65232687</t>
        </is>
      </c>
      <c r="D2275" t="inlineStr">
        <is>
          <t>10000627</t>
        </is>
      </c>
      <c r="E2275" t="inlineStr"/>
      <c r="F2275" s="11" t="n">
        <v>132</v>
      </c>
      <c r="G2275" t="inlineStr"/>
      <c r="I2275" t="inlineStr">
        <is>
          <t>M3</t>
        </is>
      </c>
      <c r="J2275" t="inlineStr"/>
      <c r="K2275" t="inlineStr">
        <is>
          <t>20240619</t>
        </is>
      </c>
      <c r="L2275" t="inlineStr">
        <is>
          <t>20251031</t>
        </is>
      </c>
    </row>
    <row r="2276">
      <c r="A2276" t="inlineStr">
        <is>
          <t>900006543</t>
        </is>
      </c>
      <c r="B2276" t="inlineStr">
        <is>
          <t>D836</t>
        </is>
      </c>
      <c r="C2276" t="inlineStr">
        <is>
          <t>66878462</t>
        </is>
      </c>
      <c r="D2276" t="inlineStr">
        <is>
          <t>10000206</t>
        </is>
      </c>
      <c r="E2276" t="inlineStr"/>
      <c r="F2276" s="11" t="n">
        <v>20</v>
      </c>
      <c r="G2276" t="inlineStr"/>
      <c r="I2276" t="inlineStr">
        <is>
          <t>M3</t>
        </is>
      </c>
      <c r="J2276" t="inlineStr"/>
      <c r="K2276" t="inlineStr">
        <is>
          <t>20240619</t>
        </is>
      </c>
      <c r="L2276" t="inlineStr">
        <is>
          <t>20251031</t>
        </is>
      </c>
    </row>
    <row r="2277">
      <c r="A2277" t="inlineStr">
        <is>
          <t>900006543</t>
        </is>
      </c>
      <c r="B2277" t="inlineStr">
        <is>
          <t>D836</t>
        </is>
      </c>
      <c r="C2277" t="inlineStr">
        <is>
          <t>66878462</t>
        </is>
      </c>
      <c r="D2277" t="inlineStr">
        <is>
          <t>10000627</t>
        </is>
      </c>
      <c r="E2277" t="inlineStr"/>
      <c r="F2277" s="11" t="n">
        <v>115</v>
      </c>
      <c r="G2277" t="inlineStr"/>
      <c r="I2277" t="inlineStr">
        <is>
          <t>M3</t>
        </is>
      </c>
      <c r="J2277" t="inlineStr"/>
      <c r="K2277" t="inlineStr">
        <is>
          <t>20240619</t>
        </is>
      </c>
      <c r="L2277" t="inlineStr">
        <is>
          <t>20251031</t>
        </is>
      </c>
    </row>
    <row r="2278">
      <c r="A2278" t="inlineStr">
        <is>
          <t>900006543</t>
        </is>
      </c>
      <c r="B2278" t="inlineStr">
        <is>
          <t>D836</t>
        </is>
      </c>
      <c r="C2278" t="inlineStr">
        <is>
          <t>67015877</t>
        </is>
      </c>
      <c r="D2278" t="inlineStr">
        <is>
          <t>10000206</t>
        </is>
      </c>
      <c r="E2278" t="inlineStr"/>
      <c r="F2278" s="11" t="n">
        <v>20</v>
      </c>
      <c r="G2278" t="inlineStr"/>
      <c r="I2278" t="inlineStr">
        <is>
          <t>M3</t>
        </is>
      </c>
      <c r="J2278" t="inlineStr"/>
      <c r="K2278" t="inlineStr">
        <is>
          <t>20240619</t>
        </is>
      </c>
      <c r="L2278" t="inlineStr">
        <is>
          <t>20251031</t>
        </is>
      </c>
    </row>
    <row r="2279">
      <c r="A2279" t="inlineStr">
        <is>
          <t>900006543</t>
        </is>
      </c>
      <c r="B2279" t="inlineStr">
        <is>
          <t>D836</t>
        </is>
      </c>
      <c r="C2279" t="inlineStr">
        <is>
          <t>67015877</t>
        </is>
      </c>
      <c r="D2279" t="inlineStr">
        <is>
          <t>10000627</t>
        </is>
      </c>
      <c r="E2279" t="inlineStr"/>
      <c r="F2279" s="11" t="n">
        <v>115</v>
      </c>
      <c r="G2279" t="inlineStr"/>
      <c r="I2279" t="inlineStr">
        <is>
          <t>M3</t>
        </is>
      </c>
      <c r="J2279" t="inlineStr"/>
      <c r="K2279" t="inlineStr">
        <is>
          <t>20240619</t>
        </is>
      </c>
      <c r="L2279" t="inlineStr">
        <is>
          <t>20251031</t>
        </is>
      </c>
    </row>
    <row r="2280">
      <c r="A2280" t="inlineStr">
        <is>
          <t>900006543</t>
        </is>
      </c>
      <c r="B2280" t="inlineStr">
        <is>
          <t>D836</t>
        </is>
      </c>
      <c r="C2280" t="inlineStr">
        <is>
          <t>67015877</t>
        </is>
      </c>
      <c r="D2280" t="inlineStr">
        <is>
          <t>10185476</t>
        </is>
      </c>
      <c r="E2280" t="inlineStr"/>
      <c r="F2280" s="11" t="n">
        <v>108</v>
      </c>
      <c r="G2280" t="inlineStr"/>
      <c r="I2280" t="inlineStr">
        <is>
          <t>M3</t>
        </is>
      </c>
      <c r="J2280" t="inlineStr"/>
      <c r="K2280" t="inlineStr">
        <is>
          <t>20240619</t>
        </is>
      </c>
      <c r="L2280" t="inlineStr">
        <is>
          <t>20251031</t>
        </is>
      </c>
    </row>
    <row r="2281">
      <c r="A2281" t="inlineStr">
        <is>
          <t>900006543</t>
        </is>
      </c>
      <c r="B2281" t="inlineStr">
        <is>
          <t>D836</t>
        </is>
      </c>
      <c r="C2281" t="inlineStr">
        <is>
          <t>67015877</t>
        </is>
      </c>
      <c r="D2281" t="inlineStr">
        <is>
          <t>10185477</t>
        </is>
      </c>
      <c r="E2281" t="inlineStr"/>
      <c r="F2281" s="11" t="n">
        <v>115</v>
      </c>
      <c r="G2281" t="inlineStr"/>
      <c r="I2281" t="inlineStr">
        <is>
          <t>M3</t>
        </is>
      </c>
      <c r="J2281" t="inlineStr"/>
      <c r="K2281" t="inlineStr">
        <is>
          <t>20240619</t>
        </is>
      </c>
      <c r="L2281" t="inlineStr">
        <is>
          <t>20251031</t>
        </is>
      </c>
    </row>
    <row r="2282">
      <c r="A2282" t="inlineStr">
        <is>
          <t>900006543</t>
        </is>
      </c>
      <c r="B2282" t="inlineStr">
        <is>
          <t>D836</t>
        </is>
      </c>
      <c r="C2282" t="inlineStr">
        <is>
          <t>67146886</t>
        </is>
      </c>
      <c r="D2282" t="inlineStr">
        <is>
          <t>10216851</t>
        </is>
      </c>
      <c r="E2282" t="inlineStr"/>
      <c r="F2282" s="11" t="n">
        <v>20</v>
      </c>
      <c r="G2282" t="inlineStr"/>
      <c r="I2282" t="inlineStr">
        <is>
          <t>M3</t>
        </is>
      </c>
      <c r="J2282" t="inlineStr"/>
      <c r="K2282" t="inlineStr">
        <is>
          <t>20240619</t>
        </is>
      </c>
      <c r="L2282" t="inlineStr">
        <is>
          <t>20251031</t>
        </is>
      </c>
    </row>
    <row r="2283">
      <c r="A2283" t="inlineStr">
        <is>
          <t>900006543</t>
        </is>
      </c>
      <c r="B2283" t="inlineStr">
        <is>
          <t>D836</t>
        </is>
      </c>
      <c r="C2283" t="inlineStr">
        <is>
          <t>67154900</t>
        </is>
      </c>
      <c r="D2283" t="inlineStr">
        <is>
          <t>10185476</t>
        </is>
      </c>
      <c r="E2283" t="inlineStr"/>
      <c r="F2283" s="11" t="n">
        <v>115</v>
      </c>
      <c r="G2283" t="inlineStr"/>
      <c r="I2283" t="inlineStr">
        <is>
          <t>M3</t>
        </is>
      </c>
      <c r="J2283" t="inlineStr"/>
      <c r="K2283" t="inlineStr">
        <is>
          <t>20240619</t>
        </is>
      </c>
      <c r="L2283" t="inlineStr">
        <is>
          <t>20251031</t>
        </is>
      </c>
    </row>
    <row r="2284">
      <c r="A2284" t="inlineStr">
        <is>
          <t>900006543</t>
        </is>
      </c>
      <c r="B2284" t="inlineStr">
        <is>
          <t>D836</t>
        </is>
      </c>
      <c r="C2284" t="inlineStr">
        <is>
          <t>67155199</t>
        </is>
      </c>
      <c r="D2284" t="inlineStr">
        <is>
          <t>10146897</t>
        </is>
      </c>
      <c r="E2284" t="inlineStr"/>
      <c r="F2284" s="11" t="n">
        <v>130</v>
      </c>
      <c r="G2284" t="inlineStr"/>
      <c r="I2284" t="inlineStr">
        <is>
          <t>M3</t>
        </is>
      </c>
      <c r="J2284" t="inlineStr"/>
      <c r="K2284" t="inlineStr">
        <is>
          <t>20240619</t>
        </is>
      </c>
      <c r="L2284" t="inlineStr">
        <is>
          <t>20251031</t>
        </is>
      </c>
    </row>
    <row r="2285">
      <c r="A2285" t="inlineStr">
        <is>
          <t>900006543</t>
        </is>
      </c>
      <c r="B2285" t="inlineStr">
        <is>
          <t>D836</t>
        </is>
      </c>
      <c r="C2285" t="inlineStr">
        <is>
          <t>67232004</t>
        </is>
      </c>
      <c r="D2285" t="inlineStr">
        <is>
          <t>10185476</t>
        </is>
      </c>
      <c r="E2285" t="inlineStr"/>
      <c r="F2285" s="11" t="n">
        <v>110</v>
      </c>
      <c r="G2285" t="inlineStr"/>
      <c r="I2285" t="inlineStr">
        <is>
          <t>M3</t>
        </is>
      </c>
      <c r="J2285" t="inlineStr"/>
      <c r="K2285" t="inlineStr">
        <is>
          <t>20240619</t>
        </is>
      </c>
      <c r="L2285" t="inlineStr">
        <is>
          <t>20251031</t>
        </is>
      </c>
    </row>
    <row r="2286">
      <c r="A2286" t="inlineStr">
        <is>
          <t>900006543</t>
        </is>
      </c>
      <c r="B2286" t="inlineStr">
        <is>
          <t>D836</t>
        </is>
      </c>
      <c r="C2286" t="inlineStr">
        <is>
          <t>67239472</t>
        </is>
      </c>
      <c r="D2286" t="inlineStr">
        <is>
          <t>10000206</t>
        </is>
      </c>
      <c r="E2286" t="inlineStr"/>
      <c r="F2286" s="11" t="n">
        <v>20</v>
      </c>
      <c r="G2286" t="inlineStr"/>
      <c r="I2286" t="inlineStr">
        <is>
          <t>M3</t>
        </is>
      </c>
      <c r="J2286" t="inlineStr"/>
      <c r="K2286" t="inlineStr">
        <is>
          <t>20240619</t>
        </is>
      </c>
      <c r="L2286" t="inlineStr">
        <is>
          <t>20251031</t>
        </is>
      </c>
    </row>
    <row r="2287">
      <c r="A2287" t="inlineStr">
        <is>
          <t>900006543</t>
        </is>
      </c>
      <c r="B2287" t="inlineStr">
        <is>
          <t>D836</t>
        </is>
      </c>
      <c r="C2287" t="inlineStr">
        <is>
          <t>67239472</t>
        </is>
      </c>
      <c r="D2287" t="inlineStr">
        <is>
          <t>10000627</t>
        </is>
      </c>
      <c r="E2287" t="inlineStr"/>
      <c r="F2287" s="11" t="n">
        <v>115</v>
      </c>
      <c r="G2287" t="inlineStr"/>
      <c r="I2287" t="inlineStr">
        <is>
          <t>M3</t>
        </is>
      </c>
      <c r="J2287" t="inlineStr"/>
      <c r="K2287" t="inlineStr">
        <is>
          <t>20240619</t>
        </is>
      </c>
      <c r="L2287" t="inlineStr">
        <is>
          <t>20251031</t>
        </is>
      </c>
    </row>
    <row r="2288">
      <c r="A2288" t="inlineStr">
        <is>
          <t>900006543</t>
        </is>
      </c>
      <c r="B2288" t="inlineStr">
        <is>
          <t>D836</t>
        </is>
      </c>
      <c r="C2288" t="inlineStr">
        <is>
          <t>67239472</t>
        </is>
      </c>
      <c r="D2288" t="inlineStr">
        <is>
          <t>10185476</t>
        </is>
      </c>
      <c r="E2288" t="inlineStr"/>
      <c r="F2288" s="11" t="n">
        <v>108</v>
      </c>
      <c r="G2288" t="inlineStr"/>
      <c r="I2288" t="inlineStr">
        <is>
          <t>M3</t>
        </is>
      </c>
      <c r="J2288" t="inlineStr"/>
      <c r="K2288" t="inlineStr">
        <is>
          <t>20240619</t>
        </is>
      </c>
      <c r="L2288" t="inlineStr">
        <is>
          <t>20251031</t>
        </is>
      </c>
    </row>
    <row r="2289">
      <c r="A2289" t="inlineStr">
        <is>
          <t>900006543</t>
        </is>
      </c>
      <c r="B2289" t="inlineStr">
        <is>
          <t>D836</t>
        </is>
      </c>
      <c r="C2289" t="inlineStr">
        <is>
          <t>67239472</t>
        </is>
      </c>
      <c r="D2289" t="inlineStr">
        <is>
          <t>10185477</t>
        </is>
      </c>
      <c r="E2289" t="inlineStr"/>
      <c r="F2289" s="11" t="n">
        <v>115</v>
      </c>
      <c r="G2289" t="inlineStr"/>
      <c r="I2289" t="inlineStr">
        <is>
          <t>M3</t>
        </is>
      </c>
      <c r="J2289" t="inlineStr"/>
      <c r="K2289" t="inlineStr">
        <is>
          <t>20240619</t>
        </is>
      </c>
      <c r="L2289" t="inlineStr">
        <is>
          <t>20251031</t>
        </is>
      </c>
    </row>
    <row r="2290">
      <c r="A2290" t="inlineStr">
        <is>
          <t>900006543</t>
        </is>
      </c>
      <c r="B2290" t="inlineStr">
        <is>
          <t>D836</t>
        </is>
      </c>
      <c r="C2290" t="inlineStr">
        <is>
          <t>67244591</t>
        </is>
      </c>
      <c r="D2290" t="inlineStr">
        <is>
          <t>10185476</t>
        </is>
      </c>
      <c r="E2290" t="inlineStr"/>
      <c r="F2290" s="11" t="n">
        <v>105</v>
      </c>
      <c r="G2290" t="inlineStr"/>
      <c r="I2290" t="inlineStr">
        <is>
          <t>M3</t>
        </is>
      </c>
      <c r="J2290" t="inlineStr"/>
      <c r="K2290" t="inlineStr">
        <is>
          <t>20240619</t>
        </is>
      </c>
      <c r="L2290" t="inlineStr">
        <is>
          <t>20251031</t>
        </is>
      </c>
    </row>
    <row r="2291">
      <c r="A2291" t="inlineStr">
        <is>
          <t>900006543</t>
        </is>
      </c>
      <c r="B2291" t="inlineStr">
        <is>
          <t>D836</t>
        </is>
      </c>
      <c r="C2291" t="inlineStr">
        <is>
          <t>67244591</t>
        </is>
      </c>
      <c r="D2291" t="inlineStr">
        <is>
          <t>10185477</t>
        </is>
      </c>
      <c r="E2291" t="inlineStr"/>
      <c r="F2291" s="11" t="n">
        <v>118</v>
      </c>
      <c r="G2291" t="inlineStr"/>
      <c r="I2291" t="inlineStr">
        <is>
          <t>M3</t>
        </is>
      </c>
      <c r="J2291" t="inlineStr"/>
      <c r="K2291" t="inlineStr">
        <is>
          <t>20240619</t>
        </is>
      </c>
      <c r="L2291" t="inlineStr">
        <is>
          <t>20251031</t>
        </is>
      </c>
    </row>
    <row r="2292">
      <c r="A2292" t="inlineStr">
        <is>
          <t>900006543</t>
        </is>
      </c>
      <c r="B2292" t="inlineStr">
        <is>
          <t>D836</t>
        </is>
      </c>
      <c r="C2292" t="inlineStr">
        <is>
          <t>67247435</t>
        </is>
      </c>
      <c r="D2292" t="inlineStr">
        <is>
          <t>10185476</t>
        </is>
      </c>
      <c r="E2292" t="inlineStr"/>
      <c r="F2292" s="11" t="n">
        <v>105</v>
      </c>
      <c r="G2292" t="inlineStr"/>
      <c r="I2292" t="inlineStr">
        <is>
          <t>M3</t>
        </is>
      </c>
      <c r="J2292" t="inlineStr"/>
      <c r="K2292" t="inlineStr">
        <is>
          <t>20240619</t>
        </is>
      </c>
      <c r="L2292" t="inlineStr">
        <is>
          <t>20251031</t>
        </is>
      </c>
    </row>
    <row r="2293">
      <c r="A2293" t="inlineStr">
        <is>
          <t>900006543</t>
        </is>
      </c>
      <c r="B2293" t="inlineStr">
        <is>
          <t>D836</t>
        </is>
      </c>
      <c r="C2293" t="inlineStr">
        <is>
          <t>67247435</t>
        </is>
      </c>
      <c r="D2293" t="inlineStr">
        <is>
          <t>10185477</t>
        </is>
      </c>
      <c r="E2293" t="inlineStr"/>
      <c r="F2293" s="11" t="n">
        <v>118</v>
      </c>
      <c r="G2293" t="inlineStr"/>
      <c r="I2293" t="inlineStr">
        <is>
          <t>M3</t>
        </is>
      </c>
      <c r="J2293" t="inlineStr"/>
      <c r="K2293" t="inlineStr">
        <is>
          <t>20240619</t>
        </is>
      </c>
      <c r="L2293" t="inlineStr">
        <is>
          <t>20251031</t>
        </is>
      </c>
    </row>
    <row r="2294">
      <c r="A2294" t="inlineStr">
        <is>
          <t>900006543</t>
        </is>
      </c>
      <c r="B2294" t="inlineStr">
        <is>
          <t>D836</t>
        </is>
      </c>
      <c r="C2294" t="inlineStr">
        <is>
          <t>67276084</t>
        </is>
      </c>
      <c r="D2294" t="inlineStr">
        <is>
          <t>10185476</t>
        </is>
      </c>
      <c r="E2294" t="inlineStr"/>
      <c r="F2294" s="11" t="n">
        <v>105</v>
      </c>
      <c r="G2294" t="inlineStr"/>
      <c r="I2294" t="inlineStr">
        <is>
          <t>M3</t>
        </is>
      </c>
      <c r="J2294" t="inlineStr"/>
      <c r="K2294" t="inlineStr">
        <is>
          <t>20240619</t>
        </is>
      </c>
      <c r="L2294" t="inlineStr">
        <is>
          <t>20251031</t>
        </is>
      </c>
    </row>
    <row r="2295">
      <c r="A2295" t="inlineStr">
        <is>
          <t>900006543</t>
        </is>
      </c>
      <c r="B2295" t="inlineStr">
        <is>
          <t>D836</t>
        </is>
      </c>
      <c r="C2295" t="inlineStr">
        <is>
          <t>67276084</t>
        </is>
      </c>
      <c r="D2295" t="inlineStr">
        <is>
          <t>10185477</t>
        </is>
      </c>
      <c r="E2295" t="inlineStr"/>
      <c r="F2295" s="11" t="n">
        <v>118</v>
      </c>
      <c r="G2295" t="inlineStr"/>
      <c r="I2295" t="inlineStr">
        <is>
          <t>M3</t>
        </is>
      </c>
      <c r="J2295" t="inlineStr"/>
      <c r="K2295" t="inlineStr">
        <is>
          <t>20240619</t>
        </is>
      </c>
      <c r="L2295" t="inlineStr">
        <is>
          <t>20251031</t>
        </is>
      </c>
    </row>
    <row r="2296">
      <c r="A2296" t="inlineStr">
        <is>
          <t>900006543</t>
        </is>
      </c>
      <c r="B2296" t="inlineStr">
        <is>
          <t>D836</t>
        </is>
      </c>
      <c r="C2296" t="inlineStr">
        <is>
          <t>67279447</t>
        </is>
      </c>
      <c r="D2296" t="inlineStr">
        <is>
          <t>10000206</t>
        </is>
      </c>
      <c r="E2296" t="inlineStr"/>
      <c r="F2296" s="11" t="n">
        <v>20</v>
      </c>
      <c r="G2296" t="inlineStr"/>
      <c r="I2296" t="inlineStr">
        <is>
          <t>M3</t>
        </is>
      </c>
      <c r="J2296" t="inlineStr"/>
      <c r="K2296" t="inlineStr">
        <is>
          <t>20240619</t>
        </is>
      </c>
      <c r="L2296" t="inlineStr">
        <is>
          <t>20251031</t>
        </is>
      </c>
    </row>
    <row r="2297">
      <c r="A2297" t="inlineStr">
        <is>
          <t>900006543</t>
        </is>
      </c>
      <c r="B2297" t="inlineStr">
        <is>
          <t>D836</t>
        </is>
      </c>
      <c r="C2297" t="inlineStr">
        <is>
          <t>67279447</t>
        </is>
      </c>
      <c r="D2297" t="inlineStr">
        <is>
          <t>10000627</t>
        </is>
      </c>
      <c r="E2297" t="inlineStr"/>
      <c r="F2297" s="11" t="n">
        <v>130</v>
      </c>
      <c r="G2297" t="inlineStr"/>
      <c r="I2297" t="inlineStr">
        <is>
          <t>M3</t>
        </is>
      </c>
      <c r="J2297" t="inlineStr"/>
      <c r="K2297" t="inlineStr">
        <is>
          <t>20240619</t>
        </is>
      </c>
      <c r="L2297" t="inlineStr">
        <is>
          <t>20251031</t>
        </is>
      </c>
    </row>
    <row r="2298">
      <c r="A2298" t="inlineStr">
        <is>
          <t>900006543</t>
        </is>
      </c>
      <c r="B2298" t="inlineStr">
        <is>
          <t>D836</t>
        </is>
      </c>
      <c r="C2298" t="inlineStr">
        <is>
          <t>67279447</t>
        </is>
      </c>
      <c r="D2298" t="inlineStr">
        <is>
          <t>10185476</t>
        </is>
      </c>
      <c r="E2298" t="inlineStr"/>
      <c r="F2298" s="11" t="n">
        <v>120</v>
      </c>
      <c r="G2298" t="inlineStr"/>
      <c r="I2298" t="inlineStr">
        <is>
          <t>M3</t>
        </is>
      </c>
      <c r="J2298" t="inlineStr"/>
      <c r="K2298" t="inlineStr">
        <is>
          <t>20240619</t>
        </is>
      </c>
      <c r="L2298" t="inlineStr">
        <is>
          <t>20251031</t>
        </is>
      </c>
    </row>
    <row r="2299">
      <c r="A2299" t="inlineStr">
        <is>
          <t>900006543</t>
        </is>
      </c>
      <c r="B2299" t="inlineStr">
        <is>
          <t>D836</t>
        </is>
      </c>
      <c r="C2299" t="inlineStr">
        <is>
          <t>67279447</t>
        </is>
      </c>
      <c r="D2299" t="inlineStr">
        <is>
          <t>10185477</t>
        </is>
      </c>
      <c r="E2299" t="inlineStr"/>
      <c r="F2299" s="11" t="n">
        <v>130</v>
      </c>
      <c r="G2299" t="inlineStr"/>
      <c r="I2299" t="inlineStr">
        <is>
          <t>M3</t>
        </is>
      </c>
      <c r="J2299" t="inlineStr"/>
      <c r="K2299" t="inlineStr">
        <is>
          <t>20240619</t>
        </is>
      </c>
      <c r="L2299" t="inlineStr">
        <is>
          <t>20251031</t>
        </is>
      </c>
    </row>
    <row r="2300">
      <c r="A2300" t="inlineStr">
        <is>
          <t>900006543</t>
        </is>
      </c>
      <c r="B2300" t="inlineStr">
        <is>
          <t>D836</t>
        </is>
      </c>
      <c r="C2300" t="inlineStr">
        <is>
          <t>67283442</t>
        </is>
      </c>
      <c r="D2300" t="inlineStr">
        <is>
          <t>10000206</t>
        </is>
      </c>
      <c r="E2300" t="inlineStr"/>
      <c r="F2300" s="11" t="n">
        <v>20</v>
      </c>
      <c r="G2300" t="inlineStr"/>
      <c r="I2300" t="inlineStr">
        <is>
          <t>M3</t>
        </is>
      </c>
      <c r="J2300" t="inlineStr"/>
      <c r="K2300" t="inlineStr">
        <is>
          <t>20240619</t>
        </is>
      </c>
      <c r="L2300" t="inlineStr">
        <is>
          <t>20251031</t>
        </is>
      </c>
    </row>
    <row r="2301">
      <c r="A2301" t="inlineStr">
        <is>
          <t>900006543</t>
        </is>
      </c>
      <c r="B2301" t="inlineStr">
        <is>
          <t>D836</t>
        </is>
      </c>
      <c r="C2301" t="inlineStr">
        <is>
          <t>67283442</t>
        </is>
      </c>
      <c r="D2301" t="inlineStr">
        <is>
          <t>10000627</t>
        </is>
      </c>
      <c r="E2301" t="inlineStr"/>
      <c r="F2301" s="11" t="n">
        <v>130</v>
      </c>
      <c r="G2301" t="inlineStr"/>
      <c r="I2301" t="inlineStr">
        <is>
          <t>M3</t>
        </is>
      </c>
      <c r="J2301" t="inlineStr"/>
      <c r="K2301" t="inlineStr">
        <is>
          <t>20240619</t>
        </is>
      </c>
      <c r="L2301" t="inlineStr">
        <is>
          <t>20251031</t>
        </is>
      </c>
    </row>
    <row r="2302">
      <c r="A2302" t="inlineStr">
        <is>
          <t>900006543</t>
        </is>
      </c>
      <c r="B2302" t="inlineStr">
        <is>
          <t>D836</t>
        </is>
      </c>
      <c r="C2302" t="inlineStr">
        <is>
          <t>67283442</t>
        </is>
      </c>
      <c r="D2302" t="inlineStr">
        <is>
          <t>10185476</t>
        </is>
      </c>
      <c r="E2302" t="inlineStr"/>
      <c r="F2302" s="11" t="n">
        <v>120</v>
      </c>
      <c r="G2302" t="inlineStr"/>
      <c r="I2302" t="inlineStr">
        <is>
          <t>M3</t>
        </is>
      </c>
      <c r="J2302" t="inlineStr"/>
      <c r="K2302" t="inlineStr">
        <is>
          <t>20240619</t>
        </is>
      </c>
      <c r="L2302" t="inlineStr">
        <is>
          <t>20251031</t>
        </is>
      </c>
    </row>
    <row r="2303">
      <c r="A2303" t="inlineStr">
        <is>
          <t>900006543</t>
        </is>
      </c>
      <c r="B2303" t="inlineStr">
        <is>
          <t>D836</t>
        </is>
      </c>
      <c r="C2303" t="inlineStr">
        <is>
          <t>67283442</t>
        </is>
      </c>
      <c r="D2303" t="inlineStr">
        <is>
          <t>10185477</t>
        </is>
      </c>
      <c r="E2303" t="inlineStr"/>
      <c r="F2303" s="11" t="n">
        <v>130</v>
      </c>
      <c r="G2303" t="inlineStr"/>
      <c r="I2303" t="inlineStr">
        <is>
          <t>M3</t>
        </is>
      </c>
      <c r="J2303" t="inlineStr"/>
      <c r="K2303" t="inlineStr">
        <is>
          <t>20240619</t>
        </is>
      </c>
      <c r="L2303" t="inlineStr">
        <is>
          <t>20251031</t>
        </is>
      </c>
    </row>
    <row r="2304">
      <c r="A2304" t="inlineStr">
        <is>
          <t>900006543</t>
        </is>
      </c>
      <c r="B2304" t="inlineStr">
        <is>
          <t>D836</t>
        </is>
      </c>
      <c r="C2304" t="inlineStr">
        <is>
          <t>67285266</t>
        </is>
      </c>
      <c r="D2304" t="inlineStr">
        <is>
          <t>10185477</t>
        </is>
      </c>
      <c r="E2304" t="inlineStr"/>
      <c r="F2304" s="11" t="n">
        <v>118</v>
      </c>
      <c r="G2304" t="inlineStr"/>
      <c r="I2304" t="inlineStr">
        <is>
          <t>M3</t>
        </is>
      </c>
      <c r="J2304" t="inlineStr"/>
      <c r="K2304" t="inlineStr">
        <is>
          <t>20240619</t>
        </is>
      </c>
      <c r="L2304" t="inlineStr">
        <is>
          <t>20251031</t>
        </is>
      </c>
    </row>
    <row r="2305">
      <c r="A2305" t="inlineStr">
        <is>
          <t>900006551</t>
        </is>
      </c>
      <c r="B2305" t="inlineStr">
        <is>
          <t>D836</t>
        </is>
      </c>
      <c r="C2305" t="inlineStr">
        <is>
          <t>67302274</t>
        </is>
      </c>
      <c r="D2305" t="inlineStr">
        <is>
          <t>10267564</t>
        </is>
      </c>
      <c r="E2305" t="inlineStr"/>
      <c r="F2305" s="11" t="n">
        <v>100</v>
      </c>
      <c r="G2305" t="inlineStr"/>
      <c r="I2305" t="inlineStr">
        <is>
          <t>M3</t>
        </is>
      </c>
      <c r="J2305" t="inlineStr"/>
      <c r="K2305" t="inlineStr">
        <is>
          <t>20240619</t>
        </is>
      </c>
      <c r="L2305" t="inlineStr">
        <is>
          <t>20251031</t>
        </is>
      </c>
    </row>
    <row r="2306">
      <c r="A2306" t="inlineStr">
        <is>
          <t>900006950</t>
        </is>
      </c>
      <c r="B2306" t="inlineStr">
        <is>
          <t>D836</t>
        </is>
      </c>
      <c r="C2306" t="inlineStr">
        <is>
          <t>66779276</t>
        </is>
      </c>
      <c r="D2306" t="inlineStr">
        <is>
          <t>10000133</t>
        </is>
      </c>
      <c r="E2306" t="inlineStr"/>
      <c r="F2306" s="11" t="n">
        <v>252.37</v>
      </c>
      <c r="G2306" t="inlineStr"/>
      <c r="I2306" t="inlineStr">
        <is>
          <t>TN</t>
        </is>
      </c>
      <c r="J2306" t="inlineStr"/>
      <c r="K2306" t="inlineStr">
        <is>
          <t>20240619</t>
        </is>
      </c>
      <c r="L2306" t="inlineStr">
        <is>
          <t>20251031</t>
        </is>
      </c>
    </row>
    <row r="2307">
      <c r="A2307" t="inlineStr">
        <is>
          <t>900007320</t>
        </is>
      </c>
      <c r="B2307" t="inlineStr">
        <is>
          <t>D836</t>
        </is>
      </c>
      <c r="C2307" t="inlineStr">
        <is>
          <t>65061687</t>
        </is>
      </c>
      <c r="D2307" t="inlineStr">
        <is>
          <t>10000357</t>
        </is>
      </c>
      <c r="E2307" t="inlineStr"/>
      <c r="F2307" s="11" t="n">
        <v>110</v>
      </c>
      <c r="G2307" t="inlineStr"/>
      <c r="I2307" t="inlineStr">
        <is>
          <t>M3</t>
        </is>
      </c>
      <c r="J2307" t="inlineStr"/>
      <c r="K2307" t="inlineStr">
        <is>
          <t>20240619</t>
        </is>
      </c>
      <c r="L2307" t="inlineStr">
        <is>
          <t>20251031</t>
        </is>
      </c>
    </row>
    <row r="2308">
      <c r="A2308" t="inlineStr">
        <is>
          <t>900007320</t>
        </is>
      </c>
      <c r="B2308" t="inlineStr">
        <is>
          <t>D836</t>
        </is>
      </c>
      <c r="C2308" t="inlineStr">
        <is>
          <t>65061687</t>
        </is>
      </c>
      <c r="D2308" t="inlineStr">
        <is>
          <t>10218415</t>
        </is>
      </c>
      <c r="E2308" t="inlineStr"/>
      <c r="F2308" s="11" t="n">
        <v>90</v>
      </c>
      <c r="G2308" t="inlineStr"/>
      <c r="I2308" t="inlineStr">
        <is>
          <t>M3</t>
        </is>
      </c>
      <c r="J2308" t="inlineStr"/>
      <c r="K2308" t="inlineStr">
        <is>
          <t>20240619</t>
        </is>
      </c>
      <c r="L2308" t="inlineStr">
        <is>
          <t>20251031</t>
        </is>
      </c>
    </row>
    <row r="2309">
      <c r="A2309" t="inlineStr">
        <is>
          <t>900007320</t>
        </is>
      </c>
      <c r="B2309" t="inlineStr">
        <is>
          <t>D836</t>
        </is>
      </c>
      <c r="C2309" t="inlineStr">
        <is>
          <t>65440384</t>
        </is>
      </c>
      <c r="D2309" t="inlineStr">
        <is>
          <t>10000160</t>
        </is>
      </c>
      <c r="E2309" t="inlineStr"/>
      <c r="F2309" s="11" t="n">
        <v>112.51</v>
      </c>
      <c r="G2309" t="inlineStr"/>
      <c r="I2309" t="inlineStr">
        <is>
          <t>M3</t>
        </is>
      </c>
      <c r="J2309" t="inlineStr"/>
      <c r="K2309" t="inlineStr">
        <is>
          <t>20240619</t>
        </is>
      </c>
      <c r="L2309" t="inlineStr">
        <is>
          <t>20251031</t>
        </is>
      </c>
    </row>
    <row r="2310">
      <c r="A2310" t="inlineStr">
        <is>
          <t>900007320</t>
        </is>
      </c>
      <c r="B2310" t="inlineStr">
        <is>
          <t>D836</t>
        </is>
      </c>
      <c r="C2310" t="inlineStr">
        <is>
          <t>66230098</t>
        </is>
      </c>
      <c r="D2310" t="inlineStr">
        <is>
          <t>10000357</t>
        </is>
      </c>
      <c r="E2310" t="inlineStr"/>
      <c r="F2310" s="11" t="n">
        <v>110</v>
      </c>
      <c r="G2310" t="inlineStr"/>
      <c r="I2310" t="inlineStr">
        <is>
          <t>M3</t>
        </is>
      </c>
      <c r="J2310" t="inlineStr"/>
      <c r="K2310" t="inlineStr">
        <is>
          <t>20240619</t>
        </is>
      </c>
      <c r="L2310" t="inlineStr">
        <is>
          <t>20251031</t>
        </is>
      </c>
    </row>
    <row r="2311">
      <c r="A2311" t="inlineStr">
        <is>
          <t>900007320</t>
        </is>
      </c>
      <c r="B2311" t="inlineStr">
        <is>
          <t>D836</t>
        </is>
      </c>
      <c r="C2311" t="inlineStr">
        <is>
          <t>66230098</t>
        </is>
      </c>
      <c r="D2311" t="inlineStr">
        <is>
          <t>10218415</t>
        </is>
      </c>
      <c r="E2311" t="inlineStr"/>
      <c r="F2311" s="11" t="n">
        <v>90</v>
      </c>
      <c r="G2311" t="inlineStr"/>
      <c r="I2311" t="inlineStr">
        <is>
          <t>M3</t>
        </is>
      </c>
      <c r="J2311" t="inlineStr"/>
      <c r="K2311" t="inlineStr">
        <is>
          <t>20240619</t>
        </is>
      </c>
      <c r="L2311" t="inlineStr">
        <is>
          <t>20251031</t>
        </is>
      </c>
    </row>
    <row r="2312">
      <c r="A2312" t="inlineStr">
        <is>
          <t>900007320</t>
        </is>
      </c>
      <c r="B2312" t="inlineStr">
        <is>
          <t>D836</t>
        </is>
      </c>
      <c r="C2312" t="inlineStr">
        <is>
          <t>66450072</t>
        </is>
      </c>
      <c r="D2312" t="inlineStr">
        <is>
          <t>10000357</t>
        </is>
      </c>
      <c r="E2312" t="inlineStr"/>
      <c r="F2312" s="11" t="n">
        <v>110</v>
      </c>
      <c r="G2312" t="inlineStr"/>
      <c r="I2312" t="inlineStr">
        <is>
          <t>M3</t>
        </is>
      </c>
      <c r="J2312" t="inlineStr"/>
      <c r="K2312" t="inlineStr">
        <is>
          <t>20240619</t>
        </is>
      </c>
      <c r="L2312" t="inlineStr">
        <is>
          <t>20251031</t>
        </is>
      </c>
    </row>
    <row r="2313">
      <c r="A2313" t="inlineStr">
        <is>
          <t>900007320</t>
        </is>
      </c>
      <c r="B2313" t="inlineStr">
        <is>
          <t>D836</t>
        </is>
      </c>
      <c r="C2313" t="inlineStr">
        <is>
          <t>66450072</t>
        </is>
      </c>
      <c r="D2313" t="inlineStr">
        <is>
          <t>10218415</t>
        </is>
      </c>
      <c r="E2313" t="inlineStr"/>
      <c r="F2313" s="11" t="n">
        <v>90</v>
      </c>
      <c r="G2313" t="inlineStr"/>
      <c r="I2313" t="inlineStr">
        <is>
          <t>M3</t>
        </is>
      </c>
      <c r="J2313" t="inlineStr"/>
      <c r="K2313" t="inlineStr">
        <is>
          <t>20240619</t>
        </is>
      </c>
      <c r="L2313" t="inlineStr">
        <is>
          <t>20251031</t>
        </is>
      </c>
    </row>
    <row r="2314">
      <c r="A2314" t="inlineStr">
        <is>
          <t>900007320</t>
        </is>
      </c>
      <c r="B2314" t="inlineStr">
        <is>
          <t>D836</t>
        </is>
      </c>
      <c r="C2314" t="inlineStr">
        <is>
          <t>66779276</t>
        </is>
      </c>
      <c r="D2314" t="inlineStr">
        <is>
          <t>10000357</t>
        </is>
      </c>
      <c r="E2314" t="inlineStr"/>
      <c r="F2314" s="11" t="n">
        <v>120</v>
      </c>
      <c r="G2314" t="inlineStr"/>
      <c r="I2314" t="inlineStr">
        <is>
          <t>M3</t>
        </is>
      </c>
      <c r="J2314" t="inlineStr"/>
      <c r="K2314" t="inlineStr">
        <is>
          <t>20240619</t>
        </is>
      </c>
      <c r="L2314" t="inlineStr">
        <is>
          <t>20251031</t>
        </is>
      </c>
    </row>
    <row r="2315">
      <c r="A2315" t="inlineStr">
        <is>
          <t>900007320</t>
        </is>
      </c>
      <c r="B2315" t="inlineStr">
        <is>
          <t>D836</t>
        </is>
      </c>
      <c r="C2315" t="inlineStr">
        <is>
          <t>66779276</t>
        </is>
      </c>
      <c r="D2315" t="inlineStr">
        <is>
          <t>10000627</t>
        </is>
      </c>
      <c r="E2315" t="inlineStr"/>
      <c r="F2315" s="11" t="n">
        <v>90</v>
      </c>
      <c r="G2315" t="inlineStr"/>
      <c r="I2315" t="inlineStr">
        <is>
          <t>M3</t>
        </is>
      </c>
      <c r="J2315" t="inlineStr"/>
      <c r="K2315" t="inlineStr">
        <is>
          <t>20240619</t>
        </is>
      </c>
      <c r="L2315" t="inlineStr">
        <is>
          <t>20251031</t>
        </is>
      </c>
    </row>
    <row r="2316">
      <c r="A2316" t="inlineStr">
        <is>
          <t>900007320</t>
        </is>
      </c>
      <c r="B2316" t="inlineStr">
        <is>
          <t>D836</t>
        </is>
      </c>
      <c r="C2316" t="inlineStr">
        <is>
          <t>67143690</t>
        </is>
      </c>
      <c r="D2316" t="inlineStr">
        <is>
          <t>10000357</t>
        </is>
      </c>
      <c r="E2316" t="inlineStr"/>
      <c r="F2316" s="11" t="n">
        <v>113</v>
      </c>
      <c r="G2316" t="inlineStr"/>
      <c r="I2316" t="inlineStr">
        <is>
          <t>M3</t>
        </is>
      </c>
      <c r="J2316" t="inlineStr"/>
      <c r="K2316" t="inlineStr">
        <is>
          <t>20240619</t>
        </is>
      </c>
      <c r="L2316" t="inlineStr">
        <is>
          <t>20251031</t>
        </is>
      </c>
    </row>
    <row r="2317">
      <c r="A2317" t="inlineStr">
        <is>
          <t>900007321</t>
        </is>
      </c>
      <c r="B2317" t="inlineStr">
        <is>
          <t>D836</t>
        </is>
      </c>
      <c r="C2317" t="inlineStr">
        <is>
          <t>66779276</t>
        </is>
      </c>
      <c r="D2317" t="inlineStr">
        <is>
          <t>10000357</t>
        </is>
      </c>
      <c r="E2317" t="inlineStr"/>
      <c r="F2317" s="11" t="n">
        <v>134.43</v>
      </c>
      <c r="G2317" t="inlineStr"/>
      <c r="I2317" t="inlineStr">
        <is>
          <t>M3</t>
        </is>
      </c>
      <c r="J2317" t="inlineStr"/>
      <c r="K2317" t="inlineStr">
        <is>
          <t>20240619</t>
        </is>
      </c>
      <c r="L2317" t="inlineStr">
        <is>
          <t>20251031</t>
        </is>
      </c>
    </row>
    <row r="2318">
      <c r="A2318" t="inlineStr">
        <is>
          <t>900007321</t>
        </is>
      </c>
      <c r="B2318" t="inlineStr">
        <is>
          <t>D836</t>
        </is>
      </c>
      <c r="C2318" t="inlineStr">
        <is>
          <t>66779276</t>
        </is>
      </c>
      <c r="D2318" t="inlineStr">
        <is>
          <t>10000627</t>
        </is>
      </c>
      <c r="E2318" t="inlineStr"/>
      <c r="F2318" s="11" t="n">
        <v>100.13</v>
      </c>
      <c r="G2318" t="inlineStr"/>
      <c r="I2318" t="inlineStr">
        <is>
          <t>M3</t>
        </is>
      </c>
      <c r="J2318" t="inlineStr"/>
      <c r="K2318" t="inlineStr">
        <is>
          <t>20240619</t>
        </is>
      </c>
      <c r="L2318" t="inlineStr">
        <is>
          <t>20251031</t>
        </is>
      </c>
    </row>
    <row r="2319">
      <c r="A2319" t="inlineStr">
        <is>
          <t>900008571</t>
        </is>
      </c>
      <c r="B2319" t="inlineStr">
        <is>
          <t>D836</t>
        </is>
      </c>
      <c r="C2319" t="inlineStr">
        <is>
          <t>65387641</t>
        </is>
      </c>
      <c r="D2319" t="inlineStr">
        <is>
          <t>10002802</t>
        </is>
      </c>
      <c r="E2319" t="inlineStr"/>
      <c r="F2319" s="11" t="n">
        <v>145</v>
      </c>
      <c r="G2319" t="inlineStr"/>
      <c r="I2319" t="inlineStr">
        <is>
          <t>M3</t>
        </is>
      </c>
      <c r="J2319" t="inlineStr"/>
      <c r="K2319" t="inlineStr">
        <is>
          <t>20240619</t>
        </is>
      </c>
      <c r="L2319" t="inlineStr">
        <is>
          <t>20251031</t>
        </is>
      </c>
    </row>
    <row r="2320">
      <c r="A2320" t="inlineStr">
        <is>
          <t>900008571</t>
        </is>
      </c>
      <c r="B2320" t="inlineStr">
        <is>
          <t>D836</t>
        </is>
      </c>
      <c r="C2320" t="inlineStr">
        <is>
          <t>67279603</t>
        </is>
      </c>
      <c r="D2320" t="inlineStr">
        <is>
          <t>10002802</t>
        </is>
      </c>
      <c r="E2320" t="inlineStr"/>
      <c r="F2320" s="11" t="n">
        <v>145</v>
      </c>
      <c r="G2320" t="inlineStr"/>
      <c r="I2320" t="inlineStr">
        <is>
          <t>M3</t>
        </is>
      </c>
      <c r="J2320" t="inlineStr"/>
      <c r="K2320" t="inlineStr">
        <is>
          <t>20240619</t>
        </is>
      </c>
      <c r="L2320" t="inlineStr">
        <is>
          <t>20251031</t>
        </is>
      </c>
    </row>
    <row r="2321">
      <c r="A2321" t="inlineStr">
        <is>
          <t>900008845</t>
        </is>
      </c>
      <c r="B2321" t="inlineStr">
        <is>
          <t>D836</t>
        </is>
      </c>
      <c r="C2321" t="inlineStr">
        <is>
          <t>65006301</t>
        </is>
      </c>
      <c r="D2321" t="inlineStr">
        <is>
          <t>10227598</t>
        </is>
      </c>
      <c r="E2321" t="inlineStr"/>
      <c r="F2321" s="11" t="n">
        <v>78</v>
      </c>
      <c r="G2321" t="inlineStr"/>
      <c r="I2321" t="inlineStr">
        <is>
          <t>M3</t>
        </is>
      </c>
      <c r="J2321" t="inlineStr"/>
      <c r="K2321" t="inlineStr">
        <is>
          <t>20240619</t>
        </is>
      </c>
      <c r="L2321" t="inlineStr">
        <is>
          <t>20251031</t>
        </is>
      </c>
    </row>
    <row r="2322">
      <c r="A2322" t="inlineStr">
        <is>
          <t>900008845</t>
        </is>
      </c>
      <c r="B2322" t="inlineStr">
        <is>
          <t>D836</t>
        </is>
      </c>
      <c r="C2322" t="inlineStr">
        <is>
          <t>66878462</t>
        </is>
      </c>
      <c r="D2322" t="inlineStr">
        <is>
          <t>10227598</t>
        </is>
      </c>
      <c r="E2322" t="inlineStr"/>
      <c r="F2322" s="11" t="n">
        <v>78</v>
      </c>
      <c r="G2322" t="inlineStr"/>
      <c r="I2322" t="inlineStr">
        <is>
          <t>M3</t>
        </is>
      </c>
      <c r="J2322" t="inlineStr"/>
      <c r="K2322" t="inlineStr">
        <is>
          <t>20240619</t>
        </is>
      </c>
      <c r="L2322" t="inlineStr">
        <is>
          <t>20251031</t>
        </is>
      </c>
    </row>
    <row r="2323">
      <c r="A2323" t="inlineStr">
        <is>
          <t>900008845</t>
        </is>
      </c>
      <c r="B2323" t="inlineStr">
        <is>
          <t>D836</t>
        </is>
      </c>
      <c r="C2323" t="inlineStr">
        <is>
          <t>67015877</t>
        </is>
      </c>
      <c r="D2323" t="inlineStr">
        <is>
          <t>10227598</t>
        </is>
      </c>
      <c r="E2323" t="inlineStr"/>
      <c r="F2323" s="11" t="n">
        <v>78</v>
      </c>
      <c r="G2323" t="inlineStr"/>
      <c r="I2323" t="inlineStr">
        <is>
          <t>M3</t>
        </is>
      </c>
      <c r="J2323" t="inlineStr"/>
      <c r="K2323" t="inlineStr">
        <is>
          <t>20240619</t>
        </is>
      </c>
      <c r="L2323" t="inlineStr">
        <is>
          <t>20251031</t>
        </is>
      </c>
    </row>
    <row r="2324">
      <c r="A2324" t="inlineStr">
        <is>
          <t>900008845</t>
        </is>
      </c>
      <c r="B2324" t="inlineStr">
        <is>
          <t>D836</t>
        </is>
      </c>
      <c r="C2324" t="inlineStr">
        <is>
          <t>67132343</t>
        </is>
      </c>
      <c r="D2324" t="inlineStr">
        <is>
          <t>10227598</t>
        </is>
      </c>
      <c r="E2324" t="inlineStr"/>
      <c r="F2324" s="11" t="n">
        <v>80</v>
      </c>
      <c r="G2324" t="inlineStr"/>
      <c r="I2324" t="inlineStr">
        <is>
          <t>M3</t>
        </is>
      </c>
      <c r="J2324" t="inlineStr"/>
      <c r="K2324" t="inlineStr">
        <is>
          <t>20240619</t>
        </is>
      </c>
      <c r="L2324" t="inlineStr">
        <is>
          <t>20251031</t>
        </is>
      </c>
    </row>
    <row r="2325">
      <c r="A2325" t="inlineStr">
        <is>
          <t>900008845</t>
        </is>
      </c>
      <c r="B2325" t="inlineStr">
        <is>
          <t>D836</t>
        </is>
      </c>
      <c r="C2325" t="inlineStr">
        <is>
          <t>67239472</t>
        </is>
      </c>
      <c r="D2325" t="inlineStr">
        <is>
          <t>10227598</t>
        </is>
      </c>
      <c r="E2325" t="inlineStr"/>
      <c r="F2325" s="11" t="n">
        <v>78</v>
      </c>
      <c r="G2325" t="inlineStr"/>
      <c r="I2325" t="inlineStr">
        <is>
          <t>M3</t>
        </is>
      </c>
      <c r="J2325" t="inlineStr"/>
      <c r="K2325" t="inlineStr">
        <is>
          <t>20240619</t>
        </is>
      </c>
      <c r="L2325" t="inlineStr">
        <is>
          <t>20251031</t>
        </is>
      </c>
    </row>
    <row r="2326">
      <c r="A2326" t="inlineStr">
        <is>
          <t>900008845</t>
        </is>
      </c>
      <c r="B2326" t="inlineStr">
        <is>
          <t>D836</t>
        </is>
      </c>
      <c r="C2326" t="inlineStr">
        <is>
          <t>67279447</t>
        </is>
      </c>
      <c r="D2326" t="inlineStr">
        <is>
          <t>10227598</t>
        </is>
      </c>
      <c r="E2326" t="inlineStr"/>
      <c r="F2326" s="11" t="n">
        <v>78</v>
      </c>
      <c r="G2326" t="inlineStr"/>
      <c r="I2326" t="inlineStr">
        <is>
          <t>M3</t>
        </is>
      </c>
      <c r="J2326" t="inlineStr"/>
      <c r="K2326" t="inlineStr">
        <is>
          <t>20240619</t>
        </is>
      </c>
      <c r="L2326" t="inlineStr">
        <is>
          <t>20251031</t>
        </is>
      </c>
    </row>
    <row r="2327">
      <c r="A2327" t="inlineStr">
        <is>
          <t>900008845</t>
        </is>
      </c>
      <c r="B2327" t="inlineStr">
        <is>
          <t>D836</t>
        </is>
      </c>
      <c r="C2327" t="inlineStr">
        <is>
          <t>67283442</t>
        </is>
      </c>
      <c r="D2327" t="inlineStr">
        <is>
          <t>10227598</t>
        </is>
      </c>
      <c r="E2327" t="inlineStr"/>
      <c r="F2327" s="11" t="n">
        <v>78</v>
      </c>
      <c r="G2327" t="inlineStr"/>
      <c r="I2327" t="inlineStr">
        <is>
          <t>M3</t>
        </is>
      </c>
      <c r="J2327" t="inlineStr"/>
      <c r="K2327" t="inlineStr">
        <is>
          <t>20240619</t>
        </is>
      </c>
      <c r="L2327" t="inlineStr">
        <is>
          <t>20251031</t>
        </is>
      </c>
    </row>
    <row r="2328">
      <c r="A2328" t="inlineStr">
        <is>
          <t>900009140</t>
        </is>
      </c>
      <c r="B2328" t="inlineStr">
        <is>
          <t>D836</t>
        </is>
      </c>
      <c r="C2328" t="inlineStr">
        <is>
          <t>67242385</t>
        </is>
      </c>
      <c r="D2328" t="inlineStr">
        <is>
          <t>10000623</t>
        </is>
      </c>
      <c r="E2328" t="inlineStr"/>
      <c r="F2328" s="11" t="n">
        <v>184.86</v>
      </c>
      <c r="G2328" t="inlineStr"/>
      <c r="I2328" t="inlineStr">
        <is>
          <t>TN</t>
        </is>
      </c>
      <c r="J2328" t="inlineStr"/>
      <c r="K2328" t="inlineStr">
        <is>
          <t>20251029</t>
        </is>
      </c>
      <c r="L2328" t="inlineStr">
        <is>
          <t>20251104</t>
        </is>
      </c>
    </row>
    <row r="2329">
      <c r="A2329" t="inlineStr">
        <is>
          <t>900009140</t>
        </is>
      </c>
      <c r="B2329" t="inlineStr">
        <is>
          <t>D836</t>
        </is>
      </c>
      <c r="C2329" t="inlineStr">
        <is>
          <t>67330638</t>
        </is>
      </c>
      <c r="D2329" t="inlineStr">
        <is>
          <t>10140399</t>
        </is>
      </c>
      <c r="E2329" t="inlineStr"/>
      <c r="F2329" s="11" t="n">
        <v>220</v>
      </c>
      <c r="G2329" t="inlineStr"/>
      <c r="I2329" t="inlineStr">
        <is>
          <t>TN</t>
        </is>
      </c>
      <c r="J2329" t="inlineStr"/>
      <c r="K2329" t="inlineStr">
        <is>
          <t>20251030</t>
        </is>
      </c>
      <c r="L2329" t="inlineStr">
        <is>
          <t>20251104</t>
        </is>
      </c>
    </row>
    <row r="2330">
      <c r="A2330" t="inlineStr">
        <is>
          <t>900009140</t>
        </is>
      </c>
      <c r="B2330" t="inlineStr">
        <is>
          <t>D836</t>
        </is>
      </c>
      <c r="C2330" t="inlineStr">
        <is>
          <t>67330638</t>
        </is>
      </c>
      <c r="D2330" t="inlineStr">
        <is>
          <t>10000245</t>
        </is>
      </c>
      <c r="E2330" t="inlineStr"/>
      <c r="F2330" s="11" t="n">
        <v>105</v>
      </c>
      <c r="G2330" t="inlineStr"/>
      <c r="I2330" t="inlineStr">
        <is>
          <t>TN</t>
        </is>
      </c>
      <c r="J2330" t="inlineStr"/>
      <c r="K2330" t="inlineStr">
        <is>
          <t>20251118</t>
        </is>
      </c>
      <c r="L2330" t="inlineStr">
        <is>
          <t>20251119</t>
        </is>
      </c>
    </row>
    <row r="2331">
      <c r="A2331" t="inlineStr">
        <is>
          <t>900003609</t>
        </is>
      </c>
      <c r="B2331" t="inlineStr">
        <is>
          <t>D836</t>
        </is>
      </c>
      <c r="C2331" t="inlineStr">
        <is>
          <t>67330388</t>
        </is>
      </c>
      <c r="D2331" t="inlineStr">
        <is>
          <t>10000630</t>
        </is>
      </c>
      <c r="E2331" t="inlineStr"/>
      <c r="F2331" s="11" t="n">
        <v>179</v>
      </c>
      <c r="G2331" t="inlineStr"/>
      <c r="I2331" t="inlineStr">
        <is>
          <t>M3</t>
        </is>
      </c>
      <c r="J2331" t="inlineStr"/>
      <c r="K2331" t="inlineStr">
        <is>
          <t>20170101</t>
        </is>
      </c>
      <c r="L2331" t="inlineStr">
        <is>
          <t>20260212</t>
        </is>
      </c>
    </row>
    <row r="2332">
      <c r="A2332" t="inlineStr">
        <is>
          <t>900003609</t>
        </is>
      </c>
      <c r="B2332" t="inlineStr">
        <is>
          <t>D836</t>
        </is>
      </c>
      <c r="C2332" t="inlineStr">
        <is>
          <t>67330388</t>
        </is>
      </c>
      <c r="D2332" t="inlineStr">
        <is>
          <t>10000811</t>
        </is>
      </c>
      <c r="E2332" t="inlineStr"/>
      <c r="F2332" s="11" t="n">
        <v>178</v>
      </c>
      <c r="G2332" t="inlineStr"/>
      <c r="I2332" t="inlineStr">
        <is>
          <t>M3</t>
        </is>
      </c>
      <c r="J2332" t="inlineStr"/>
      <c r="K2332" t="inlineStr">
        <is>
          <t>20170101</t>
        </is>
      </c>
      <c r="L2332" t="inlineStr">
        <is>
          <t>20260212</t>
        </is>
      </c>
    </row>
    <row r="2333">
      <c r="A2333" t="inlineStr">
        <is>
          <t>900003609</t>
        </is>
      </c>
      <c r="B2333" t="inlineStr">
        <is>
          <t>D836</t>
        </is>
      </c>
      <c r="C2333" t="inlineStr">
        <is>
          <t>67330388</t>
        </is>
      </c>
      <c r="D2333" t="inlineStr">
        <is>
          <t>10058345</t>
        </is>
      </c>
      <c r="E2333" t="inlineStr"/>
      <c r="F2333" s="11" t="n">
        <v>150.5</v>
      </c>
      <c r="G2333" t="inlineStr"/>
      <c r="I2333" t="inlineStr">
        <is>
          <t>M3</t>
        </is>
      </c>
      <c r="J2333" t="inlineStr"/>
      <c r="K2333" t="inlineStr">
        <is>
          <t>20170101</t>
        </is>
      </c>
      <c r="L2333" t="inlineStr">
        <is>
          <t>20260212</t>
        </is>
      </c>
    </row>
    <row r="2334">
      <c r="A2334" t="inlineStr">
        <is>
          <t>900001074</t>
        </is>
      </c>
      <c r="B2334" t="inlineStr">
        <is>
          <t>D836</t>
        </is>
      </c>
      <c r="C2334" t="inlineStr">
        <is>
          <t>65098481</t>
        </is>
      </c>
      <c r="D2334" t="inlineStr">
        <is>
          <t>10000160</t>
        </is>
      </c>
      <c r="E2334" t="inlineStr"/>
      <c r="F2334" s="11" t="n">
        <v>83</v>
      </c>
      <c r="G2334" t="inlineStr"/>
      <c r="I2334" t="inlineStr">
        <is>
          <t>M3</t>
        </is>
      </c>
      <c r="J2334" t="inlineStr"/>
      <c r="K2334" t="inlineStr">
        <is>
          <t>20170101</t>
        </is>
      </c>
      <c r="L2334" t="inlineStr">
        <is>
          <t>20260215</t>
        </is>
      </c>
    </row>
    <row r="2335">
      <c r="A2335" t="inlineStr">
        <is>
          <t>900001074</t>
        </is>
      </c>
      <c r="B2335" t="inlineStr">
        <is>
          <t>D836</t>
        </is>
      </c>
      <c r="C2335" t="inlineStr">
        <is>
          <t>65745795</t>
        </is>
      </c>
      <c r="D2335" t="inlineStr">
        <is>
          <t>10175723</t>
        </is>
      </c>
      <c r="E2335" t="inlineStr"/>
      <c r="F2335" s="11" t="n">
        <v>141</v>
      </c>
      <c r="G2335" t="inlineStr"/>
      <c r="I2335" t="inlineStr">
        <is>
          <t>M3</t>
        </is>
      </c>
      <c r="J2335" t="inlineStr"/>
      <c r="K2335" t="inlineStr">
        <is>
          <t>20241008</t>
        </is>
      </c>
      <c r="L2335" t="inlineStr">
        <is>
          <t>20260215</t>
        </is>
      </c>
    </row>
    <row r="2336">
      <c r="A2336" t="inlineStr">
        <is>
          <t>900001074</t>
        </is>
      </c>
      <c r="B2336" t="inlineStr">
        <is>
          <t>D836</t>
        </is>
      </c>
      <c r="C2336" t="inlineStr">
        <is>
          <t>66868491</t>
        </is>
      </c>
      <c r="D2336" t="inlineStr">
        <is>
          <t>10000357</t>
        </is>
      </c>
      <c r="E2336" t="inlineStr"/>
      <c r="F2336" s="11" t="n">
        <v>130</v>
      </c>
      <c r="G2336" t="inlineStr"/>
      <c r="I2336" t="inlineStr">
        <is>
          <t>M3</t>
        </is>
      </c>
      <c r="J2336" t="inlineStr"/>
      <c r="K2336" t="inlineStr">
        <is>
          <t>20240619</t>
        </is>
      </c>
      <c r="L2336" t="inlineStr">
        <is>
          <t>20260215</t>
        </is>
      </c>
    </row>
    <row r="2337">
      <c r="A2337" t="inlineStr">
        <is>
          <t>900001074</t>
        </is>
      </c>
      <c r="B2337" t="inlineStr">
        <is>
          <t>D836</t>
        </is>
      </c>
      <c r="C2337" t="inlineStr">
        <is>
          <t>67283191</t>
        </is>
      </c>
      <c r="D2337" t="inlineStr">
        <is>
          <t>10175723</t>
        </is>
      </c>
      <c r="E2337" t="inlineStr"/>
      <c r="F2337" s="11" t="n">
        <v>141</v>
      </c>
      <c r="G2337" t="inlineStr"/>
      <c r="I2337" t="inlineStr">
        <is>
          <t>M3</t>
        </is>
      </c>
      <c r="J2337" t="inlineStr"/>
      <c r="K2337" t="inlineStr">
        <is>
          <t>20240925</t>
        </is>
      </c>
      <c r="L2337" t="inlineStr">
        <is>
          <t>20260215</t>
        </is>
      </c>
    </row>
    <row r="2338">
      <c r="A2338" t="inlineStr">
        <is>
          <t>900002313</t>
        </is>
      </c>
      <c r="B2338" t="inlineStr">
        <is>
          <t>D836</t>
        </is>
      </c>
      <c r="C2338" t="inlineStr">
        <is>
          <t>66908488</t>
        </is>
      </c>
      <c r="D2338" t="inlineStr">
        <is>
          <t>10000160</t>
        </is>
      </c>
      <c r="E2338" t="inlineStr"/>
      <c r="F2338" s="11" t="n">
        <v>168</v>
      </c>
      <c r="G2338" t="inlineStr"/>
      <c r="I2338" t="inlineStr">
        <is>
          <t>M3</t>
        </is>
      </c>
      <c r="J2338" t="inlineStr"/>
      <c r="K2338" t="inlineStr">
        <is>
          <t>20240619</t>
        </is>
      </c>
      <c r="L2338" t="inlineStr">
        <is>
          <t>20260215</t>
        </is>
      </c>
    </row>
    <row r="2339">
      <c r="A2339" t="inlineStr">
        <is>
          <t>900002313</t>
        </is>
      </c>
      <c r="B2339" t="inlineStr">
        <is>
          <t>D836</t>
        </is>
      </c>
      <c r="C2339" t="inlineStr">
        <is>
          <t>66908488</t>
        </is>
      </c>
      <c r="D2339" t="inlineStr">
        <is>
          <t>10001353</t>
        </is>
      </c>
      <c r="E2339" t="inlineStr"/>
      <c r="F2339" s="11" t="n">
        <v>144</v>
      </c>
      <c r="G2339" t="inlineStr"/>
      <c r="I2339" t="inlineStr">
        <is>
          <t>M3</t>
        </is>
      </c>
      <c r="J2339" t="inlineStr"/>
      <c r="K2339" t="inlineStr">
        <is>
          <t>20240619</t>
        </is>
      </c>
      <c r="L2339" t="inlineStr">
        <is>
          <t>20260215</t>
        </is>
      </c>
    </row>
    <row r="2340">
      <c r="A2340" t="inlineStr">
        <is>
          <t>900002313</t>
        </is>
      </c>
      <c r="B2340" t="inlineStr">
        <is>
          <t>D836</t>
        </is>
      </c>
      <c r="C2340" t="inlineStr">
        <is>
          <t>66908488</t>
        </is>
      </c>
      <c r="D2340" t="inlineStr">
        <is>
          <t>10001354</t>
        </is>
      </c>
      <c r="E2340" t="inlineStr"/>
      <c r="F2340" s="11" t="n">
        <v>121</v>
      </c>
      <c r="G2340" t="inlineStr"/>
      <c r="I2340" t="inlineStr">
        <is>
          <t>M3</t>
        </is>
      </c>
      <c r="J2340" t="inlineStr"/>
      <c r="K2340" t="inlineStr">
        <is>
          <t>20240619</t>
        </is>
      </c>
      <c r="L2340" t="inlineStr">
        <is>
          <t>20260215</t>
        </is>
      </c>
    </row>
    <row r="2341">
      <c r="A2341" t="inlineStr">
        <is>
          <t>900002574</t>
        </is>
      </c>
      <c r="B2341" t="inlineStr">
        <is>
          <t>D836</t>
        </is>
      </c>
      <c r="C2341" t="inlineStr">
        <is>
          <t>66833362</t>
        </is>
      </c>
      <c r="D2341" t="inlineStr">
        <is>
          <t>10000624</t>
        </is>
      </c>
      <c r="E2341" t="inlineStr"/>
      <c r="F2341" s="11" t="n">
        <v>165</v>
      </c>
      <c r="G2341" t="inlineStr"/>
      <c r="I2341" t="inlineStr">
        <is>
          <t>M3</t>
        </is>
      </c>
      <c r="J2341" t="inlineStr"/>
      <c r="K2341" t="inlineStr">
        <is>
          <t>20170101</t>
        </is>
      </c>
      <c r="L2341" t="inlineStr">
        <is>
          <t>20260215</t>
        </is>
      </c>
    </row>
    <row r="2342">
      <c r="A2342" t="inlineStr">
        <is>
          <t>900002574</t>
        </is>
      </c>
      <c r="B2342" t="inlineStr">
        <is>
          <t>D836</t>
        </is>
      </c>
      <c r="C2342" t="inlineStr">
        <is>
          <t>66898745</t>
        </is>
      </c>
      <c r="D2342" t="inlineStr">
        <is>
          <t>10000160</t>
        </is>
      </c>
      <c r="E2342" t="inlineStr"/>
      <c r="F2342" s="11" t="n">
        <v>105</v>
      </c>
      <c r="G2342" t="inlineStr"/>
      <c r="I2342" t="inlineStr">
        <is>
          <t>M3</t>
        </is>
      </c>
      <c r="J2342" t="inlineStr"/>
      <c r="K2342" t="inlineStr">
        <is>
          <t>20170101</t>
        </is>
      </c>
      <c r="L2342" t="inlineStr">
        <is>
          <t>20260215</t>
        </is>
      </c>
    </row>
    <row r="2343">
      <c r="A2343" t="inlineStr">
        <is>
          <t>900002574</t>
        </is>
      </c>
      <c r="B2343" t="inlineStr">
        <is>
          <t>D836</t>
        </is>
      </c>
      <c r="C2343" t="inlineStr">
        <is>
          <t>66898745</t>
        </is>
      </c>
      <c r="D2343" t="inlineStr">
        <is>
          <t>10000357</t>
        </is>
      </c>
      <c r="E2343" t="inlineStr"/>
      <c r="F2343" s="11" t="n">
        <v>125</v>
      </c>
      <c r="G2343" t="inlineStr"/>
      <c r="I2343" t="inlineStr">
        <is>
          <t>M3</t>
        </is>
      </c>
      <c r="J2343" t="inlineStr"/>
      <c r="K2343" t="inlineStr">
        <is>
          <t>20170101</t>
        </is>
      </c>
      <c r="L2343" t="inlineStr">
        <is>
          <t>20260215</t>
        </is>
      </c>
    </row>
    <row r="2344">
      <c r="A2344" t="inlineStr">
        <is>
          <t>900002574</t>
        </is>
      </c>
      <c r="B2344" t="inlineStr">
        <is>
          <t>D836</t>
        </is>
      </c>
      <c r="C2344" t="inlineStr">
        <is>
          <t>66940720</t>
        </is>
      </c>
      <c r="D2344" t="inlineStr">
        <is>
          <t>10000133</t>
        </is>
      </c>
      <c r="E2344" t="inlineStr"/>
      <c r="F2344" s="11" t="n">
        <v>186</v>
      </c>
      <c r="G2344" t="inlineStr"/>
      <c r="I2344" t="inlineStr">
        <is>
          <t>M3</t>
        </is>
      </c>
      <c r="J2344" t="inlineStr"/>
      <c r="K2344" t="inlineStr">
        <is>
          <t>20170101</t>
        </is>
      </c>
      <c r="L2344" t="inlineStr">
        <is>
          <t>20260215</t>
        </is>
      </c>
    </row>
    <row r="2345">
      <c r="A2345" t="inlineStr">
        <is>
          <t>900002574</t>
        </is>
      </c>
      <c r="B2345" t="inlineStr">
        <is>
          <t>D836</t>
        </is>
      </c>
      <c r="C2345" t="inlineStr">
        <is>
          <t>66940720</t>
        </is>
      </c>
      <c r="D2345" t="inlineStr">
        <is>
          <t>10058345</t>
        </is>
      </c>
      <c r="E2345" t="inlineStr"/>
      <c r="F2345" s="11" t="n">
        <v>126</v>
      </c>
      <c r="G2345" t="inlineStr"/>
      <c r="I2345" t="inlineStr">
        <is>
          <t>M3</t>
        </is>
      </c>
      <c r="J2345" t="inlineStr"/>
      <c r="K2345" t="inlineStr">
        <is>
          <t>20170101</t>
        </is>
      </c>
      <c r="L2345" t="inlineStr">
        <is>
          <t>20260215</t>
        </is>
      </c>
    </row>
    <row r="2346">
      <c r="A2346" t="inlineStr">
        <is>
          <t>900002574</t>
        </is>
      </c>
      <c r="B2346" t="inlineStr">
        <is>
          <t>D836</t>
        </is>
      </c>
      <c r="C2346" t="inlineStr">
        <is>
          <t>67033425</t>
        </is>
      </c>
      <c r="D2346" t="inlineStr">
        <is>
          <t>10000133</t>
        </is>
      </c>
      <c r="E2346" t="inlineStr"/>
      <c r="F2346" s="11" t="n">
        <v>272</v>
      </c>
      <c r="G2346" t="inlineStr"/>
      <c r="I2346" t="inlineStr">
        <is>
          <t>M3</t>
        </is>
      </c>
      <c r="J2346" t="inlineStr"/>
      <c r="K2346" t="inlineStr">
        <is>
          <t>20170101</t>
        </is>
      </c>
      <c r="L2346" t="inlineStr">
        <is>
          <t>20260215</t>
        </is>
      </c>
    </row>
    <row r="2347">
      <c r="A2347" t="inlineStr">
        <is>
          <t>900002574</t>
        </is>
      </c>
      <c r="B2347" t="inlineStr">
        <is>
          <t>D836</t>
        </is>
      </c>
      <c r="C2347" t="inlineStr">
        <is>
          <t>67033425</t>
        </is>
      </c>
      <c r="D2347" t="inlineStr">
        <is>
          <t>10058345</t>
        </is>
      </c>
      <c r="E2347" t="inlineStr"/>
      <c r="F2347" s="11" t="n">
        <v>195</v>
      </c>
      <c r="G2347" t="inlineStr"/>
      <c r="I2347" t="inlineStr">
        <is>
          <t>M3</t>
        </is>
      </c>
      <c r="J2347" t="inlineStr"/>
      <c r="K2347" t="inlineStr">
        <is>
          <t>20170101</t>
        </is>
      </c>
      <c r="L2347" t="inlineStr">
        <is>
          <t>20260215</t>
        </is>
      </c>
    </row>
    <row r="2348">
      <c r="A2348" t="inlineStr">
        <is>
          <t>900002574</t>
        </is>
      </c>
      <c r="B2348" t="inlineStr">
        <is>
          <t>D836</t>
        </is>
      </c>
      <c r="C2348" t="inlineStr">
        <is>
          <t>67148606</t>
        </is>
      </c>
      <c r="D2348" t="inlineStr">
        <is>
          <t>10000133</t>
        </is>
      </c>
      <c r="E2348" t="inlineStr"/>
      <c r="F2348" s="11" t="n">
        <v>854</v>
      </c>
      <c r="G2348" t="inlineStr"/>
      <c r="I2348" t="inlineStr">
        <is>
          <t>M3</t>
        </is>
      </c>
      <c r="J2348" t="inlineStr"/>
      <c r="K2348" t="inlineStr">
        <is>
          <t>20170101</t>
        </is>
      </c>
      <c r="L2348" t="inlineStr">
        <is>
          <t>20260215</t>
        </is>
      </c>
    </row>
    <row r="2349">
      <c r="A2349" t="inlineStr">
        <is>
          <t>900002574</t>
        </is>
      </c>
      <c r="B2349" t="inlineStr">
        <is>
          <t>D836</t>
        </is>
      </c>
      <c r="C2349" t="inlineStr">
        <is>
          <t>67148606</t>
        </is>
      </c>
      <c r="D2349" t="inlineStr">
        <is>
          <t>10058345</t>
        </is>
      </c>
      <c r="E2349" t="inlineStr"/>
      <c r="F2349" s="11" t="n">
        <v>739</v>
      </c>
      <c r="G2349" t="inlineStr"/>
      <c r="I2349" t="inlineStr">
        <is>
          <t>M3</t>
        </is>
      </c>
      <c r="J2349" t="inlineStr"/>
      <c r="K2349" t="inlineStr">
        <is>
          <t>20170101</t>
        </is>
      </c>
      <c r="L2349" t="inlineStr">
        <is>
          <t>20260215</t>
        </is>
      </c>
    </row>
    <row r="2350">
      <c r="A2350" t="inlineStr">
        <is>
          <t>900002574</t>
        </is>
      </c>
      <c r="B2350" t="inlineStr">
        <is>
          <t>D836</t>
        </is>
      </c>
      <c r="C2350" t="inlineStr">
        <is>
          <t>67289624</t>
        </is>
      </c>
      <c r="D2350" t="inlineStr">
        <is>
          <t>10000160</t>
        </is>
      </c>
      <c r="E2350" t="inlineStr"/>
      <c r="F2350" s="11" t="n">
        <v>365</v>
      </c>
      <c r="G2350" t="inlineStr"/>
      <c r="I2350" t="inlineStr">
        <is>
          <t>M3</t>
        </is>
      </c>
      <c r="J2350" t="inlineStr"/>
      <c r="K2350" t="inlineStr">
        <is>
          <t>20241023</t>
        </is>
      </c>
      <c r="L2350" t="inlineStr">
        <is>
          <t>20260215</t>
        </is>
      </c>
    </row>
    <row r="2351">
      <c r="A2351" t="inlineStr">
        <is>
          <t>900003588</t>
        </is>
      </c>
      <c r="B2351" t="inlineStr">
        <is>
          <t>D836</t>
        </is>
      </c>
      <c r="C2351" t="inlineStr">
        <is>
          <t>66825797</t>
        </is>
      </c>
      <c r="D2351" t="inlineStr">
        <is>
          <t>10000140</t>
        </is>
      </c>
      <c r="E2351" t="inlineStr"/>
      <c r="F2351" s="11" t="n">
        <v>150</v>
      </c>
      <c r="G2351" t="inlineStr"/>
      <c r="I2351" t="inlineStr">
        <is>
          <t>TN</t>
        </is>
      </c>
      <c r="J2351" t="inlineStr"/>
      <c r="K2351" t="inlineStr">
        <is>
          <t>20241023</t>
        </is>
      </c>
      <c r="L2351" t="inlineStr">
        <is>
          <t>20260215</t>
        </is>
      </c>
    </row>
    <row r="2352">
      <c r="A2352" t="inlineStr">
        <is>
          <t>900003588</t>
        </is>
      </c>
      <c r="B2352" t="inlineStr">
        <is>
          <t>D836</t>
        </is>
      </c>
      <c r="C2352" t="inlineStr">
        <is>
          <t>66825797</t>
        </is>
      </c>
      <c r="D2352" t="inlineStr">
        <is>
          <t>10001354</t>
        </is>
      </c>
      <c r="E2352" t="inlineStr"/>
      <c r="F2352" s="11" t="n">
        <v>129</v>
      </c>
      <c r="G2352" t="inlineStr"/>
      <c r="I2352" t="inlineStr">
        <is>
          <t>TN</t>
        </is>
      </c>
      <c r="J2352" t="inlineStr"/>
      <c r="K2352" t="inlineStr">
        <is>
          <t>20200911</t>
        </is>
      </c>
      <c r="L2352" t="inlineStr">
        <is>
          <t>20260215</t>
        </is>
      </c>
    </row>
    <row r="2353">
      <c r="A2353" t="inlineStr">
        <is>
          <t>900003588</t>
        </is>
      </c>
      <c r="B2353" t="inlineStr">
        <is>
          <t>D836</t>
        </is>
      </c>
      <c r="C2353" t="inlineStr">
        <is>
          <t>67244591</t>
        </is>
      </c>
      <c r="D2353" t="inlineStr">
        <is>
          <t>10000625</t>
        </is>
      </c>
      <c r="E2353" t="inlineStr"/>
      <c r="F2353" s="11" t="n">
        <v>55</v>
      </c>
      <c r="G2353" t="inlineStr"/>
      <c r="I2353" t="inlineStr">
        <is>
          <t>TN</t>
        </is>
      </c>
      <c r="J2353" t="inlineStr"/>
      <c r="K2353" t="inlineStr">
        <is>
          <t>20240619</t>
        </is>
      </c>
      <c r="L2353" t="inlineStr">
        <is>
          <t>20260215</t>
        </is>
      </c>
    </row>
    <row r="2354">
      <c r="A2354" t="inlineStr">
        <is>
          <t>900003601</t>
        </is>
      </c>
      <c r="B2354" t="inlineStr">
        <is>
          <t>D836</t>
        </is>
      </c>
      <c r="C2354" t="inlineStr">
        <is>
          <t>66414377</t>
        </is>
      </c>
      <c r="D2354" t="inlineStr">
        <is>
          <t>10000623</t>
        </is>
      </c>
      <c r="E2354" t="inlineStr"/>
      <c r="F2354" s="11" t="n">
        <v>110</v>
      </c>
      <c r="G2354" t="inlineStr"/>
      <c r="I2354" t="inlineStr">
        <is>
          <t>TN</t>
        </is>
      </c>
      <c r="J2354" t="inlineStr"/>
      <c r="K2354" t="inlineStr">
        <is>
          <t>20240619</t>
        </is>
      </c>
      <c r="L2354" t="inlineStr">
        <is>
          <t>20260215</t>
        </is>
      </c>
    </row>
    <row r="2355">
      <c r="A2355" t="inlineStr">
        <is>
          <t>900003601</t>
        </is>
      </c>
      <c r="B2355" t="inlineStr">
        <is>
          <t>D836</t>
        </is>
      </c>
      <c r="C2355" t="inlineStr">
        <is>
          <t>67089577</t>
        </is>
      </c>
      <c r="D2355" t="inlineStr">
        <is>
          <t>10000811</t>
        </is>
      </c>
      <c r="E2355" t="inlineStr"/>
      <c r="F2355" s="11" t="n">
        <v>124.2</v>
      </c>
      <c r="G2355" t="inlineStr"/>
      <c r="I2355" t="inlineStr">
        <is>
          <t>TN</t>
        </is>
      </c>
      <c r="J2355" t="inlineStr"/>
      <c r="K2355" t="inlineStr">
        <is>
          <t>20240619</t>
        </is>
      </c>
      <c r="L2355" t="inlineStr">
        <is>
          <t>20260215</t>
        </is>
      </c>
    </row>
    <row r="2356">
      <c r="A2356" t="inlineStr">
        <is>
          <t>900004077</t>
        </is>
      </c>
      <c r="B2356" t="inlineStr">
        <is>
          <t>D836</t>
        </is>
      </c>
      <c r="C2356" t="inlineStr">
        <is>
          <t>66426100</t>
        </is>
      </c>
      <c r="D2356" t="inlineStr">
        <is>
          <t>10002802</t>
        </is>
      </c>
      <c r="E2356" t="inlineStr"/>
      <c r="F2356" s="11" t="n">
        <v>140</v>
      </c>
      <c r="G2356" t="inlineStr"/>
      <c r="I2356" t="inlineStr">
        <is>
          <t>M3</t>
        </is>
      </c>
      <c r="J2356" t="inlineStr"/>
      <c r="K2356" t="inlineStr">
        <is>
          <t>20240619</t>
        </is>
      </c>
      <c r="L2356" t="inlineStr">
        <is>
          <t>20260215</t>
        </is>
      </c>
    </row>
    <row r="2357">
      <c r="A2357" t="inlineStr">
        <is>
          <t>900004077</t>
        </is>
      </c>
      <c r="B2357" t="inlineStr">
        <is>
          <t>D836</t>
        </is>
      </c>
      <c r="C2357" t="inlineStr">
        <is>
          <t>66433509</t>
        </is>
      </c>
      <c r="D2357" t="inlineStr">
        <is>
          <t>10002802</t>
        </is>
      </c>
      <c r="E2357" t="inlineStr"/>
      <c r="F2357" s="11" t="n">
        <v>140</v>
      </c>
      <c r="G2357" t="inlineStr"/>
      <c r="I2357" t="inlineStr">
        <is>
          <t>M3</t>
        </is>
      </c>
      <c r="J2357" t="inlineStr"/>
      <c r="K2357" t="inlineStr">
        <is>
          <t>20240619</t>
        </is>
      </c>
      <c r="L2357" t="inlineStr">
        <is>
          <t>20260215</t>
        </is>
      </c>
    </row>
    <row r="2358">
      <c r="A2358" t="inlineStr">
        <is>
          <t>900004323</t>
        </is>
      </c>
      <c r="B2358" t="inlineStr">
        <is>
          <t>D836</t>
        </is>
      </c>
      <c r="C2358" t="inlineStr">
        <is>
          <t>65098481</t>
        </is>
      </c>
      <c r="D2358" t="inlineStr">
        <is>
          <t>10000160</t>
        </is>
      </c>
      <c r="E2358" t="inlineStr"/>
      <c r="F2358" s="11" t="n">
        <v>83</v>
      </c>
      <c r="G2358" t="inlineStr"/>
      <c r="I2358" t="inlineStr">
        <is>
          <t>M3</t>
        </is>
      </c>
      <c r="J2358" t="inlineStr"/>
      <c r="K2358" t="inlineStr">
        <is>
          <t>20180404</t>
        </is>
      </c>
      <c r="L2358" t="inlineStr">
        <is>
          <t>20260215</t>
        </is>
      </c>
    </row>
    <row r="2359">
      <c r="A2359" t="inlineStr">
        <is>
          <t>900004365</t>
        </is>
      </c>
      <c r="B2359" t="inlineStr">
        <is>
          <t>D836</t>
        </is>
      </c>
      <c r="C2359" t="inlineStr">
        <is>
          <t>65098481</t>
        </is>
      </c>
      <c r="D2359" t="inlineStr">
        <is>
          <t>10000133</t>
        </is>
      </c>
      <c r="E2359" t="inlineStr"/>
      <c r="F2359" s="11" t="n">
        <v>275</v>
      </c>
      <c r="G2359" t="inlineStr"/>
      <c r="I2359" t="inlineStr">
        <is>
          <t>M3</t>
        </is>
      </c>
      <c r="J2359" t="inlineStr"/>
      <c r="K2359" t="inlineStr">
        <is>
          <t>20170101</t>
        </is>
      </c>
      <c r="L2359" t="inlineStr">
        <is>
          <t>20260215</t>
        </is>
      </c>
    </row>
    <row r="2360">
      <c r="A2360" t="inlineStr">
        <is>
          <t>900004365</t>
        </is>
      </c>
      <c r="B2360" t="inlineStr">
        <is>
          <t>D836</t>
        </is>
      </c>
      <c r="C2360" t="inlineStr">
        <is>
          <t>65098481</t>
        </is>
      </c>
      <c r="D2360" t="inlineStr">
        <is>
          <t>10000624</t>
        </is>
      </c>
      <c r="E2360" t="inlineStr"/>
      <c r="F2360" s="11" t="n">
        <v>253</v>
      </c>
      <c r="G2360" t="inlineStr"/>
      <c r="I2360" t="inlineStr">
        <is>
          <t>M3</t>
        </is>
      </c>
      <c r="J2360" t="inlineStr"/>
      <c r="K2360" t="inlineStr">
        <is>
          <t>20170101</t>
        </is>
      </c>
      <c r="L2360" t="inlineStr">
        <is>
          <t>20260215</t>
        </is>
      </c>
    </row>
    <row r="2361">
      <c r="A2361" t="inlineStr">
        <is>
          <t>900004365</t>
        </is>
      </c>
      <c r="B2361" t="inlineStr">
        <is>
          <t>D836</t>
        </is>
      </c>
      <c r="C2361" t="inlineStr">
        <is>
          <t>65098481</t>
        </is>
      </c>
      <c r="D2361" t="inlineStr">
        <is>
          <t>10149994</t>
        </is>
      </c>
      <c r="E2361" t="inlineStr"/>
      <c r="F2361" s="11" t="n">
        <v>220</v>
      </c>
      <c r="G2361" t="inlineStr"/>
      <c r="I2361" t="inlineStr">
        <is>
          <t>M3</t>
        </is>
      </c>
      <c r="J2361" t="inlineStr"/>
      <c r="K2361" t="inlineStr">
        <is>
          <t>20170101</t>
        </is>
      </c>
      <c r="L2361" t="inlineStr">
        <is>
          <t>20260215</t>
        </is>
      </c>
    </row>
    <row r="2362">
      <c r="A2362" t="inlineStr">
        <is>
          <t>900005356</t>
        </is>
      </c>
      <c r="B2362" t="inlineStr">
        <is>
          <t>D836</t>
        </is>
      </c>
      <c r="C2362" t="inlineStr">
        <is>
          <t>66864508</t>
        </is>
      </c>
      <c r="D2362" t="inlineStr">
        <is>
          <t>10259792</t>
        </is>
      </c>
      <c r="E2362" t="inlineStr"/>
      <c r="F2362" s="11" t="n">
        <v>77.17</v>
      </c>
      <c r="G2362" t="inlineStr"/>
      <c r="I2362" t="inlineStr">
        <is>
          <t>TN</t>
        </is>
      </c>
      <c r="J2362" t="inlineStr"/>
      <c r="K2362" t="inlineStr">
        <is>
          <t>20240619</t>
        </is>
      </c>
      <c r="L2362" t="inlineStr">
        <is>
          <t>20260215</t>
        </is>
      </c>
    </row>
    <row r="2363">
      <c r="A2363" t="inlineStr">
        <is>
          <t>900005356</t>
        </is>
      </c>
      <c r="B2363" t="inlineStr">
        <is>
          <t>D836</t>
        </is>
      </c>
      <c r="C2363" t="inlineStr">
        <is>
          <t>66864540</t>
        </is>
      </c>
      <c r="D2363" t="inlineStr">
        <is>
          <t>10259792</t>
        </is>
      </c>
      <c r="E2363" t="inlineStr"/>
      <c r="F2363" s="11" t="n">
        <v>120</v>
      </c>
      <c r="G2363" t="inlineStr"/>
      <c r="I2363" t="inlineStr">
        <is>
          <t>M3</t>
        </is>
      </c>
      <c r="J2363" t="inlineStr"/>
      <c r="K2363" t="inlineStr">
        <is>
          <t>20240619</t>
        </is>
      </c>
      <c r="L2363" t="inlineStr">
        <is>
          <t>20260215</t>
        </is>
      </c>
    </row>
    <row r="2364">
      <c r="A2364" t="inlineStr">
        <is>
          <t>900005356</t>
        </is>
      </c>
      <c r="B2364" t="inlineStr">
        <is>
          <t>D836</t>
        </is>
      </c>
      <c r="C2364" t="inlineStr">
        <is>
          <t>66982053</t>
        </is>
      </c>
      <c r="D2364" t="inlineStr">
        <is>
          <t>10259792</t>
        </is>
      </c>
      <c r="E2364" t="inlineStr"/>
      <c r="F2364" s="11" t="n">
        <v>77.17</v>
      </c>
      <c r="G2364" t="inlineStr"/>
      <c r="I2364" t="inlineStr">
        <is>
          <t>TN</t>
        </is>
      </c>
      <c r="J2364" t="inlineStr"/>
      <c r="K2364" t="inlineStr">
        <is>
          <t>20240619</t>
        </is>
      </c>
      <c r="L2364" t="inlineStr">
        <is>
          <t>20260215</t>
        </is>
      </c>
    </row>
    <row r="2365">
      <c r="A2365" t="inlineStr">
        <is>
          <t>900006185</t>
        </is>
      </c>
      <c r="B2365" t="inlineStr">
        <is>
          <t>D836</t>
        </is>
      </c>
      <c r="C2365" t="inlineStr">
        <is>
          <t>66990322</t>
        </is>
      </c>
      <c r="D2365" t="inlineStr">
        <is>
          <t>10000357</t>
        </is>
      </c>
      <c r="E2365" t="inlineStr"/>
      <c r="F2365" s="11" t="n">
        <v>1425</v>
      </c>
      <c r="G2365" t="inlineStr"/>
      <c r="I2365" t="inlineStr">
        <is>
          <t>M3</t>
        </is>
      </c>
      <c r="J2365" t="inlineStr"/>
      <c r="K2365" t="inlineStr">
        <is>
          <t>20210721</t>
        </is>
      </c>
      <c r="L2365" t="inlineStr">
        <is>
          <t>20260215</t>
        </is>
      </c>
    </row>
    <row r="2366">
      <c r="A2366" t="inlineStr">
        <is>
          <t>900006185</t>
        </is>
      </c>
      <c r="B2366" t="inlineStr">
        <is>
          <t>D836</t>
        </is>
      </c>
      <c r="C2366" t="inlineStr">
        <is>
          <t>66990322</t>
        </is>
      </c>
      <c r="D2366" t="inlineStr">
        <is>
          <t>10000651</t>
        </is>
      </c>
      <c r="E2366" t="inlineStr"/>
      <c r="F2366" s="11" t="n">
        <v>1425</v>
      </c>
      <c r="G2366" t="inlineStr"/>
      <c r="I2366" t="inlineStr">
        <is>
          <t>M3</t>
        </is>
      </c>
      <c r="J2366" t="inlineStr"/>
      <c r="K2366" t="inlineStr">
        <is>
          <t>20210721</t>
        </is>
      </c>
      <c r="L2366" t="inlineStr">
        <is>
          <t>20260215</t>
        </is>
      </c>
    </row>
    <row r="2367">
      <c r="A2367" t="inlineStr">
        <is>
          <t>900006371</t>
        </is>
      </c>
      <c r="B2367" t="inlineStr">
        <is>
          <t>D836</t>
        </is>
      </c>
      <c r="C2367" t="inlineStr">
        <is>
          <t>67014907</t>
        </is>
      </c>
      <c r="D2367" t="inlineStr">
        <is>
          <t>10057633</t>
        </is>
      </c>
      <c r="E2367" t="inlineStr"/>
      <c r="F2367" s="11" t="n">
        <v>445</v>
      </c>
      <c r="G2367" t="inlineStr"/>
      <c r="I2367" t="inlineStr">
        <is>
          <t>M3</t>
        </is>
      </c>
      <c r="J2367" t="inlineStr"/>
      <c r="K2367" t="inlineStr">
        <is>
          <t>20170101</t>
        </is>
      </c>
      <c r="L2367" t="inlineStr">
        <is>
          <t>20260215</t>
        </is>
      </c>
    </row>
    <row r="2368">
      <c r="A2368" t="inlineStr">
        <is>
          <t>900006542</t>
        </is>
      </c>
      <c r="B2368" t="inlineStr">
        <is>
          <t>D836</t>
        </is>
      </c>
      <c r="C2368" t="inlineStr">
        <is>
          <t>66898745</t>
        </is>
      </c>
      <c r="D2368" t="inlineStr">
        <is>
          <t>10000160</t>
        </is>
      </c>
      <c r="E2368" t="inlineStr"/>
      <c r="F2368" s="11" t="n">
        <v>110</v>
      </c>
      <c r="G2368" t="inlineStr"/>
      <c r="I2368" t="inlineStr">
        <is>
          <t>M3</t>
        </is>
      </c>
      <c r="J2368" t="inlineStr"/>
      <c r="K2368" t="inlineStr">
        <is>
          <t>20170101</t>
        </is>
      </c>
      <c r="L2368" t="inlineStr">
        <is>
          <t>20260215</t>
        </is>
      </c>
    </row>
    <row r="2369">
      <c r="A2369" t="inlineStr">
        <is>
          <t>900006542</t>
        </is>
      </c>
      <c r="B2369" t="inlineStr">
        <is>
          <t>D836</t>
        </is>
      </c>
      <c r="C2369" t="inlineStr">
        <is>
          <t>66898745</t>
        </is>
      </c>
      <c r="D2369" t="inlineStr">
        <is>
          <t>10000357</t>
        </is>
      </c>
      <c r="E2369" t="inlineStr"/>
      <c r="F2369" s="11" t="n">
        <v>120</v>
      </c>
      <c r="G2369" t="inlineStr"/>
      <c r="I2369" t="inlineStr">
        <is>
          <t>M3</t>
        </is>
      </c>
      <c r="J2369" t="inlineStr"/>
      <c r="K2369" t="inlineStr">
        <is>
          <t>20170101</t>
        </is>
      </c>
      <c r="L2369" t="inlineStr">
        <is>
          <t>20260215</t>
        </is>
      </c>
    </row>
    <row r="2370">
      <c r="A2370" t="inlineStr">
        <is>
          <t>900006542</t>
        </is>
      </c>
      <c r="B2370" t="inlineStr">
        <is>
          <t>D836</t>
        </is>
      </c>
      <c r="C2370" t="inlineStr">
        <is>
          <t>67148606</t>
        </is>
      </c>
      <c r="D2370" t="inlineStr">
        <is>
          <t>10000133</t>
        </is>
      </c>
      <c r="E2370" t="inlineStr"/>
      <c r="F2370" s="11" t="n">
        <v>827</v>
      </c>
      <c r="G2370" t="inlineStr"/>
      <c r="I2370" t="inlineStr">
        <is>
          <t>M3</t>
        </is>
      </c>
      <c r="J2370" t="inlineStr"/>
      <c r="K2370" t="inlineStr">
        <is>
          <t>20170101</t>
        </is>
      </c>
      <c r="L2370" t="inlineStr">
        <is>
          <t>20260215</t>
        </is>
      </c>
    </row>
    <row r="2371">
      <c r="A2371" t="inlineStr">
        <is>
          <t>900006542</t>
        </is>
      </c>
      <c r="B2371" t="inlineStr">
        <is>
          <t>D836</t>
        </is>
      </c>
      <c r="C2371" t="inlineStr">
        <is>
          <t>67148606</t>
        </is>
      </c>
      <c r="D2371" t="inlineStr">
        <is>
          <t>10058345</t>
        </is>
      </c>
      <c r="E2371" t="inlineStr"/>
      <c r="F2371" s="11" t="n">
        <v>717</v>
      </c>
      <c r="G2371" t="inlineStr"/>
      <c r="I2371" t="inlineStr">
        <is>
          <t>M3</t>
        </is>
      </c>
      <c r="J2371" t="inlineStr"/>
      <c r="K2371" t="inlineStr">
        <is>
          <t>20170101</t>
        </is>
      </c>
      <c r="L2371" t="inlineStr">
        <is>
          <t>20260215</t>
        </is>
      </c>
    </row>
    <row r="2372">
      <c r="A2372" t="inlineStr">
        <is>
          <t>900006543</t>
        </is>
      </c>
      <c r="B2372" t="inlineStr">
        <is>
          <t>D836</t>
        </is>
      </c>
      <c r="C2372" t="inlineStr">
        <is>
          <t>66486059</t>
        </is>
      </c>
      <c r="D2372" t="inlineStr">
        <is>
          <t>10185476</t>
        </is>
      </c>
      <c r="E2372" t="inlineStr"/>
      <c r="F2372" s="11" t="n">
        <v>105</v>
      </c>
      <c r="G2372" t="inlineStr"/>
      <c r="I2372" t="inlineStr">
        <is>
          <t>M3</t>
        </is>
      </c>
      <c r="J2372" t="inlineStr"/>
      <c r="K2372" t="inlineStr">
        <is>
          <t>20200707</t>
        </is>
      </c>
      <c r="L2372" t="inlineStr">
        <is>
          <t>20260215</t>
        </is>
      </c>
    </row>
    <row r="2373">
      <c r="A2373" t="inlineStr">
        <is>
          <t>900006543</t>
        </is>
      </c>
      <c r="B2373" t="inlineStr">
        <is>
          <t>D836</t>
        </is>
      </c>
      <c r="C2373" t="inlineStr">
        <is>
          <t>66486059</t>
        </is>
      </c>
      <c r="D2373" t="inlineStr">
        <is>
          <t>10185477</t>
        </is>
      </c>
      <c r="E2373" t="inlineStr"/>
      <c r="F2373" s="11" t="n">
        <v>115</v>
      </c>
      <c r="G2373" t="inlineStr"/>
      <c r="I2373" t="inlineStr">
        <is>
          <t>M3</t>
        </is>
      </c>
      <c r="J2373" t="inlineStr"/>
      <c r="K2373" t="inlineStr">
        <is>
          <t>20200707</t>
        </is>
      </c>
      <c r="L2373" t="inlineStr">
        <is>
          <t>20260215</t>
        </is>
      </c>
    </row>
    <row r="2374">
      <c r="A2374" t="inlineStr">
        <is>
          <t>900006543</t>
        </is>
      </c>
      <c r="B2374" t="inlineStr">
        <is>
          <t>D836</t>
        </is>
      </c>
      <c r="C2374" t="inlineStr">
        <is>
          <t>66878462</t>
        </is>
      </c>
      <c r="D2374" t="inlineStr">
        <is>
          <t>10185476</t>
        </is>
      </c>
      <c r="E2374" t="inlineStr"/>
      <c r="F2374" s="11" t="n">
        <v>108</v>
      </c>
      <c r="G2374" t="inlineStr"/>
      <c r="I2374" t="inlineStr">
        <is>
          <t>M3</t>
        </is>
      </c>
      <c r="J2374" t="inlineStr"/>
      <c r="K2374" t="inlineStr">
        <is>
          <t>20240619</t>
        </is>
      </c>
      <c r="L2374" t="inlineStr">
        <is>
          <t>20260215</t>
        </is>
      </c>
    </row>
    <row r="2375">
      <c r="A2375" t="inlineStr">
        <is>
          <t>900006543</t>
        </is>
      </c>
      <c r="B2375" t="inlineStr">
        <is>
          <t>D836</t>
        </is>
      </c>
      <c r="C2375" t="inlineStr">
        <is>
          <t>66878462</t>
        </is>
      </c>
      <c r="D2375" t="inlineStr">
        <is>
          <t>10185477</t>
        </is>
      </c>
      <c r="E2375" t="inlineStr"/>
      <c r="F2375" s="11" t="n">
        <v>115</v>
      </c>
      <c r="G2375" t="inlineStr"/>
      <c r="I2375" t="inlineStr">
        <is>
          <t>M3</t>
        </is>
      </c>
      <c r="J2375" t="inlineStr"/>
      <c r="K2375" t="inlineStr">
        <is>
          <t>20240619</t>
        </is>
      </c>
      <c r="L2375" t="inlineStr">
        <is>
          <t>20260215</t>
        </is>
      </c>
    </row>
    <row r="2376">
      <c r="A2376" t="inlineStr">
        <is>
          <t>900006543</t>
        </is>
      </c>
      <c r="B2376" t="inlineStr">
        <is>
          <t>D836</t>
        </is>
      </c>
      <c r="C2376" t="inlineStr">
        <is>
          <t>67285266</t>
        </is>
      </c>
      <c r="D2376" t="inlineStr">
        <is>
          <t>10185476</t>
        </is>
      </c>
      <c r="E2376" t="inlineStr"/>
      <c r="F2376" s="11" t="n">
        <v>105</v>
      </c>
      <c r="G2376" t="inlineStr"/>
      <c r="I2376" t="inlineStr">
        <is>
          <t>M3</t>
        </is>
      </c>
      <c r="J2376" t="inlineStr"/>
      <c r="K2376" t="inlineStr">
        <is>
          <t>20240619</t>
        </is>
      </c>
      <c r="L2376" t="inlineStr">
        <is>
          <t>20260215</t>
        </is>
      </c>
    </row>
    <row r="2377">
      <c r="A2377" t="inlineStr">
        <is>
          <t>900006950</t>
        </is>
      </c>
      <c r="B2377" t="inlineStr">
        <is>
          <t>D836</t>
        </is>
      </c>
      <c r="C2377" t="inlineStr">
        <is>
          <t>66919244</t>
        </is>
      </c>
      <c r="D2377" t="inlineStr">
        <is>
          <t>10000133</t>
        </is>
      </c>
      <c r="E2377" t="inlineStr"/>
      <c r="F2377" s="11" t="n">
        <v>185</v>
      </c>
      <c r="G2377" t="inlineStr"/>
      <c r="I2377" t="inlineStr">
        <is>
          <t>M3</t>
        </is>
      </c>
      <c r="J2377" t="inlineStr"/>
      <c r="K2377" t="inlineStr">
        <is>
          <t>20170101</t>
        </is>
      </c>
      <c r="L2377" t="inlineStr">
        <is>
          <t>20260215</t>
        </is>
      </c>
    </row>
    <row r="2378">
      <c r="A2378" t="inlineStr">
        <is>
          <t>900006950</t>
        </is>
      </c>
      <c r="B2378" t="inlineStr">
        <is>
          <t>D836</t>
        </is>
      </c>
      <c r="C2378" t="inlineStr">
        <is>
          <t>66919244</t>
        </is>
      </c>
      <c r="D2378" t="inlineStr">
        <is>
          <t>10058345</t>
        </is>
      </c>
      <c r="E2378" t="inlineStr"/>
      <c r="F2378" s="11" t="n">
        <v>100</v>
      </c>
      <c r="G2378" t="inlineStr"/>
      <c r="I2378" t="inlineStr">
        <is>
          <t>M3</t>
        </is>
      </c>
      <c r="J2378" t="inlineStr"/>
      <c r="K2378" t="inlineStr">
        <is>
          <t>20170101</t>
        </is>
      </c>
      <c r="L2378" t="inlineStr">
        <is>
          <t>20260215</t>
        </is>
      </c>
    </row>
    <row r="2379">
      <c r="A2379" t="inlineStr">
        <is>
          <t>900007650</t>
        </is>
      </c>
      <c r="B2379" t="inlineStr">
        <is>
          <t>D836</t>
        </is>
      </c>
      <c r="C2379" t="inlineStr">
        <is>
          <t>67155199</t>
        </is>
      </c>
      <c r="D2379" t="inlineStr">
        <is>
          <t>10000432</t>
        </is>
      </c>
      <c r="E2379" t="inlineStr"/>
      <c r="F2379" s="11" t="n">
        <v>370</v>
      </c>
      <c r="G2379" t="inlineStr"/>
      <c r="I2379" t="inlineStr">
        <is>
          <t>M3</t>
        </is>
      </c>
      <c r="J2379" t="inlineStr"/>
      <c r="K2379" t="inlineStr">
        <is>
          <t>20230721</t>
        </is>
      </c>
      <c r="L2379" t="inlineStr">
        <is>
          <t>20260215</t>
        </is>
      </c>
    </row>
    <row r="2380">
      <c r="A2380" t="inlineStr">
        <is>
          <t>900006543</t>
        </is>
      </c>
      <c r="B2380" t="inlineStr">
        <is>
          <t>D836</t>
        </is>
      </c>
      <c r="C2380" t="inlineStr">
        <is>
          <t>67243408</t>
        </is>
      </c>
      <c r="D2380" t="inlineStr">
        <is>
          <t>10259792</t>
        </is>
      </c>
      <c r="E2380" t="inlineStr"/>
      <c r="F2380" s="11" t="n">
        <v>151.13</v>
      </c>
      <c r="G2380" t="inlineStr"/>
      <c r="I2380" t="inlineStr">
        <is>
          <t>M3</t>
        </is>
      </c>
      <c r="J2380" t="inlineStr"/>
      <c r="K2380" t="inlineStr">
        <is>
          <t>20260525</t>
        </is>
      </c>
      <c r="L2380" t="inlineStr">
        <is>
          <t>20260531</t>
        </is>
      </c>
    </row>
    <row r="2381">
      <c r="A2381" t="inlineStr">
        <is>
          <t>900006543</t>
        </is>
      </c>
      <c r="B2381" t="inlineStr">
        <is>
          <t>D836</t>
        </is>
      </c>
      <c r="C2381" t="inlineStr">
        <is>
          <t>67322499</t>
        </is>
      </c>
      <c r="D2381" t="inlineStr">
        <is>
          <t>10259792</t>
        </is>
      </c>
      <c r="E2381" t="inlineStr"/>
      <c r="F2381" s="11" t="n">
        <v>151.13</v>
      </c>
      <c r="G2381" t="inlineStr"/>
      <c r="I2381" t="inlineStr">
        <is>
          <t>M3</t>
        </is>
      </c>
      <c r="J2381" t="inlineStr"/>
      <c r="K2381" t="inlineStr">
        <is>
          <t>20260525</t>
        </is>
      </c>
      <c r="L2381" t="inlineStr">
        <is>
          <t>20260531</t>
        </is>
      </c>
    </row>
    <row r="2382">
      <c r="A2382" t="inlineStr">
        <is>
          <t>900006543</t>
        </is>
      </c>
      <c r="B2382" t="inlineStr">
        <is>
          <t>D836</t>
        </is>
      </c>
      <c r="C2382" t="inlineStr">
        <is>
          <t>66864508</t>
        </is>
      </c>
      <c r="D2382" t="inlineStr">
        <is>
          <t>10259792</t>
        </is>
      </c>
      <c r="E2382" t="inlineStr"/>
      <c r="F2382" s="11" t="n">
        <v>151.13</v>
      </c>
      <c r="G2382" t="inlineStr"/>
      <c r="I2382" t="inlineStr">
        <is>
          <t>M3</t>
        </is>
      </c>
      <c r="J2382" t="inlineStr"/>
      <c r="K2382" t="inlineStr">
        <is>
          <t>20260629</t>
        </is>
      </c>
      <c r="L2382" t="inlineStr">
        <is>
          <t>20260701</t>
        </is>
      </c>
    </row>
    <row r="2383">
      <c r="A2383" t="inlineStr">
        <is>
          <t>900006543</t>
        </is>
      </c>
      <c r="B2383" t="inlineStr">
        <is>
          <t>D836</t>
        </is>
      </c>
      <c r="C2383" t="inlineStr">
        <is>
          <t>66864540</t>
        </is>
      </c>
      <c r="D2383" t="inlineStr">
        <is>
          <t>10259792</t>
        </is>
      </c>
      <c r="E2383" t="inlineStr"/>
      <c r="F2383" s="11" t="n">
        <v>151.13</v>
      </c>
      <c r="G2383" t="inlineStr"/>
      <c r="I2383" t="inlineStr">
        <is>
          <t>M3</t>
        </is>
      </c>
      <c r="J2383" t="inlineStr"/>
      <c r="K2383" t="inlineStr">
        <is>
          <t>20260629</t>
        </is>
      </c>
      <c r="L2383" t="inlineStr">
        <is>
          <t>20260701</t>
        </is>
      </c>
    </row>
    <row r="2384">
      <c r="A2384" t="inlineStr">
        <is>
          <t>900006543</t>
        </is>
      </c>
      <c r="B2384" t="inlineStr">
        <is>
          <t>D836</t>
        </is>
      </c>
      <c r="C2384" t="inlineStr">
        <is>
          <t>66982053</t>
        </is>
      </c>
      <c r="D2384" t="inlineStr">
        <is>
          <t>10259792</t>
        </is>
      </c>
      <c r="E2384" t="inlineStr"/>
      <c r="F2384" s="11" t="n">
        <v>151.13</v>
      </c>
      <c r="G2384" t="inlineStr"/>
      <c r="I2384" t="inlineStr">
        <is>
          <t>M3</t>
        </is>
      </c>
      <c r="J2384" t="inlineStr"/>
      <c r="K2384" t="inlineStr">
        <is>
          <t>20260629</t>
        </is>
      </c>
      <c r="L2384" t="inlineStr">
        <is>
          <t>20260701</t>
        </is>
      </c>
    </row>
    <row r="2385">
      <c r="A2385" t="inlineStr">
        <is>
          <t>900006543</t>
        </is>
      </c>
      <c r="B2385" t="inlineStr">
        <is>
          <t>D836</t>
        </is>
      </c>
      <c r="C2385" t="inlineStr">
        <is>
          <t>67019979</t>
        </is>
      </c>
      <c r="D2385" t="inlineStr">
        <is>
          <t>10259792</t>
        </is>
      </c>
      <c r="E2385" t="inlineStr"/>
      <c r="F2385" s="11" t="n">
        <v>151.13</v>
      </c>
      <c r="G2385" t="inlineStr"/>
      <c r="I2385" t="inlineStr">
        <is>
          <t>M3</t>
        </is>
      </c>
      <c r="J2385" t="inlineStr"/>
      <c r="K2385" t="inlineStr">
        <is>
          <t>20260629</t>
        </is>
      </c>
      <c r="L2385" t="inlineStr">
        <is>
          <t>20260701</t>
        </is>
      </c>
    </row>
    <row r="2386">
      <c r="A2386" t="inlineStr">
        <is>
          <t>900003609</t>
        </is>
      </c>
      <c r="B2386" t="inlineStr">
        <is>
          <t>D836</t>
        </is>
      </c>
      <c r="C2386" t="inlineStr">
        <is>
          <t>66534221</t>
        </is>
      </c>
      <c r="D2386" t="inlineStr">
        <is>
          <t>10058345</t>
        </is>
      </c>
      <c r="E2386" t="inlineStr"/>
      <c r="F2386" s="11" t="n">
        <v>165</v>
      </c>
      <c r="G2386" t="inlineStr"/>
      <c r="I2386" t="inlineStr">
        <is>
          <t>M3</t>
        </is>
      </c>
      <c r="J2386" t="inlineStr"/>
      <c r="K2386" t="inlineStr">
        <is>
          <t>20260707</t>
        </is>
      </c>
      <c r="L2386" t="inlineStr">
        <is>
          <t>20260707</t>
        </is>
      </c>
    </row>
    <row r="2387">
      <c r="A2387" t="inlineStr">
        <is>
          <t>900006005</t>
        </is>
      </c>
      <c r="B2387" t="inlineStr">
        <is>
          <t>D836</t>
        </is>
      </c>
      <c r="C2387" t="inlineStr">
        <is>
          <t>67383337</t>
        </is>
      </c>
      <c r="D2387" t="inlineStr">
        <is>
          <t>10280049</t>
        </is>
      </c>
      <c r="E2387" t="inlineStr"/>
      <c r="F2387" s="11" t="n">
        <v>125.18</v>
      </c>
      <c r="G2387" t="inlineStr"/>
      <c r="I2387" t="inlineStr">
        <is>
          <t>TN</t>
        </is>
      </c>
      <c r="J2387" t="inlineStr"/>
      <c r="K2387" t="inlineStr">
        <is>
          <t>20260709</t>
        </is>
      </c>
      <c r="L2387" t="inlineStr">
        <is>
          <t>20260712</t>
        </is>
      </c>
    </row>
    <row r="2388">
      <c r="A2388" t="inlineStr">
        <is>
          <t>900001074</t>
        </is>
      </c>
      <c r="B2388" t="inlineStr">
        <is>
          <t>D836</t>
        </is>
      </c>
      <c r="C2388" t="inlineStr">
        <is>
          <t>65006122</t>
        </is>
      </c>
      <c r="D2388" t="inlineStr">
        <is>
          <t>10000160</t>
        </is>
      </c>
      <c r="E2388" t="inlineStr"/>
      <c r="F2388" s="11" t="n">
        <v>134</v>
      </c>
      <c r="G2388" t="inlineStr"/>
      <c r="I2388" t="inlineStr">
        <is>
          <t>M3</t>
        </is>
      </c>
      <c r="J2388" t="inlineStr"/>
      <c r="K2388" t="inlineStr">
        <is>
          <t>20260518</t>
        </is>
      </c>
      <c r="L2388" t="inlineStr">
        <is>
          <t>99991231</t>
        </is>
      </c>
    </row>
    <row r="2389">
      <c r="A2389" t="inlineStr">
        <is>
          <t>900001074</t>
        </is>
      </c>
      <c r="B2389" t="inlineStr">
        <is>
          <t>D836</t>
        </is>
      </c>
      <c r="C2389" t="inlineStr">
        <is>
          <t>65006122</t>
        </is>
      </c>
      <c r="D2389" t="inlineStr">
        <is>
          <t>10000627</t>
        </is>
      </c>
      <c r="E2389" t="inlineStr"/>
      <c r="F2389" s="11" t="n">
        <v>120</v>
      </c>
      <c r="G2389" t="inlineStr"/>
      <c r="I2389" t="inlineStr">
        <is>
          <t>M3</t>
        </is>
      </c>
      <c r="J2389" t="inlineStr"/>
      <c r="K2389" t="inlineStr">
        <is>
          <t>20260518</t>
        </is>
      </c>
      <c r="L2389" t="inlineStr">
        <is>
          <t>99991231</t>
        </is>
      </c>
    </row>
    <row r="2390">
      <c r="A2390" t="inlineStr">
        <is>
          <t>900001074</t>
        </is>
      </c>
      <c r="B2390" t="inlineStr">
        <is>
          <t>D836</t>
        </is>
      </c>
      <c r="C2390" t="inlineStr">
        <is>
          <t>65007561</t>
        </is>
      </c>
      <c r="D2390" t="inlineStr">
        <is>
          <t>10000160</t>
        </is>
      </c>
      <c r="E2390" t="inlineStr"/>
      <c r="F2390" s="11" t="n">
        <v>123</v>
      </c>
      <c r="G2390" t="inlineStr"/>
      <c r="I2390" t="inlineStr">
        <is>
          <t>M3</t>
        </is>
      </c>
      <c r="J2390" t="inlineStr"/>
      <c r="K2390" t="inlineStr">
        <is>
          <t>20260319</t>
        </is>
      </c>
      <c r="L2390" t="inlineStr">
        <is>
          <t>99991231</t>
        </is>
      </c>
    </row>
    <row r="2391">
      <c r="A2391" t="inlineStr">
        <is>
          <t>900001074</t>
        </is>
      </c>
      <c r="B2391" t="inlineStr">
        <is>
          <t>D836</t>
        </is>
      </c>
      <c r="C2391" t="inlineStr">
        <is>
          <t>65007561</t>
        </is>
      </c>
      <c r="D2391" t="inlineStr">
        <is>
          <t>10000357</t>
        </is>
      </c>
      <c r="E2391" t="inlineStr"/>
      <c r="F2391" s="11" t="n">
        <v>148</v>
      </c>
      <c r="G2391" t="inlineStr"/>
      <c r="I2391" t="inlineStr">
        <is>
          <t>M3</t>
        </is>
      </c>
      <c r="J2391" t="inlineStr"/>
      <c r="K2391" t="inlineStr">
        <is>
          <t>20260319</t>
        </is>
      </c>
      <c r="L2391" t="inlineStr">
        <is>
          <t>99991231</t>
        </is>
      </c>
    </row>
    <row r="2392">
      <c r="A2392" t="inlineStr">
        <is>
          <t>900001074</t>
        </is>
      </c>
      <c r="B2392" t="inlineStr">
        <is>
          <t>D836</t>
        </is>
      </c>
      <c r="C2392" t="inlineStr">
        <is>
          <t>65016451</t>
        </is>
      </c>
      <c r="D2392" t="inlineStr">
        <is>
          <t>10000160</t>
        </is>
      </c>
      <c r="E2392" t="inlineStr"/>
      <c r="F2392" s="11" t="n">
        <v>123</v>
      </c>
      <c r="G2392" t="inlineStr"/>
      <c r="I2392" t="inlineStr">
        <is>
          <t>M3</t>
        </is>
      </c>
      <c r="J2392" t="inlineStr"/>
      <c r="K2392" t="inlineStr">
        <is>
          <t>20260319</t>
        </is>
      </c>
      <c r="L2392" t="inlineStr">
        <is>
          <t>99991231</t>
        </is>
      </c>
    </row>
    <row r="2393">
      <c r="A2393" t="inlineStr">
        <is>
          <t>900001074</t>
        </is>
      </c>
      <c r="B2393" t="inlineStr">
        <is>
          <t>D836</t>
        </is>
      </c>
      <c r="C2393" t="inlineStr">
        <is>
          <t>65911289</t>
        </is>
      </c>
      <c r="D2393" t="inlineStr">
        <is>
          <t>10000160</t>
        </is>
      </c>
      <c r="E2393" t="inlineStr"/>
      <c r="F2393" s="11" t="n">
        <v>130</v>
      </c>
      <c r="G2393" t="inlineStr"/>
      <c r="I2393" t="inlineStr">
        <is>
          <t>M3</t>
        </is>
      </c>
      <c r="J2393" t="inlineStr"/>
      <c r="K2393" t="inlineStr">
        <is>
          <t>20260319</t>
        </is>
      </c>
      <c r="L2393" t="inlineStr">
        <is>
          <t>99991231</t>
        </is>
      </c>
    </row>
    <row r="2394">
      <c r="A2394" t="inlineStr">
        <is>
          <t>900001074</t>
        </is>
      </c>
      <c r="B2394" t="inlineStr">
        <is>
          <t>D836</t>
        </is>
      </c>
      <c r="C2394" t="inlineStr">
        <is>
          <t>65911289</t>
        </is>
      </c>
      <c r="D2394" t="inlineStr">
        <is>
          <t>10000206</t>
        </is>
      </c>
      <c r="E2394" t="inlineStr"/>
      <c r="F2394" s="11" t="n">
        <v>43</v>
      </c>
      <c r="G2394" t="inlineStr"/>
      <c r="I2394" t="inlineStr">
        <is>
          <t>M3</t>
        </is>
      </c>
      <c r="J2394" t="inlineStr"/>
      <c r="K2394" t="inlineStr">
        <is>
          <t>20260319</t>
        </is>
      </c>
      <c r="L2394" t="inlineStr">
        <is>
          <t>99991231</t>
        </is>
      </c>
    </row>
    <row r="2395">
      <c r="A2395" t="inlineStr">
        <is>
          <t>900001074</t>
        </is>
      </c>
      <c r="B2395" t="inlineStr">
        <is>
          <t>D836</t>
        </is>
      </c>
      <c r="C2395" t="inlineStr">
        <is>
          <t>65911289</t>
        </is>
      </c>
      <c r="D2395" t="inlineStr">
        <is>
          <t>10000357</t>
        </is>
      </c>
      <c r="E2395" t="inlineStr"/>
      <c r="F2395" s="11" t="n">
        <v>150</v>
      </c>
      <c r="G2395" t="inlineStr"/>
      <c r="I2395" t="inlineStr">
        <is>
          <t>M3</t>
        </is>
      </c>
      <c r="J2395" t="inlineStr"/>
      <c r="K2395" t="inlineStr">
        <is>
          <t>20260303</t>
        </is>
      </c>
      <c r="L2395" t="inlineStr">
        <is>
          <t>99991231</t>
        </is>
      </c>
    </row>
    <row r="2396">
      <c r="A2396" t="inlineStr">
        <is>
          <t>900001074</t>
        </is>
      </c>
      <c r="B2396" t="inlineStr">
        <is>
          <t>D836</t>
        </is>
      </c>
      <c r="C2396" t="inlineStr">
        <is>
          <t>65911289</t>
        </is>
      </c>
      <c r="D2396" t="inlineStr">
        <is>
          <t>10000627</t>
        </is>
      </c>
      <c r="E2396" t="inlineStr"/>
      <c r="F2396" s="11" t="n">
        <v>111</v>
      </c>
      <c r="G2396" t="inlineStr"/>
      <c r="I2396" t="inlineStr">
        <is>
          <t>M3</t>
        </is>
      </c>
      <c r="J2396" t="inlineStr"/>
      <c r="K2396" t="inlineStr">
        <is>
          <t>20260319</t>
        </is>
      </c>
      <c r="L2396" t="inlineStr">
        <is>
          <t>99991231</t>
        </is>
      </c>
    </row>
    <row r="2397">
      <c r="A2397" t="inlineStr">
        <is>
          <t>900001074</t>
        </is>
      </c>
      <c r="B2397" t="inlineStr">
        <is>
          <t>D836</t>
        </is>
      </c>
      <c r="C2397" t="inlineStr">
        <is>
          <t>65911313</t>
        </is>
      </c>
      <c r="D2397" t="inlineStr">
        <is>
          <t>10000160</t>
        </is>
      </c>
      <c r="E2397" t="inlineStr"/>
      <c r="F2397" s="11" t="n">
        <v>125</v>
      </c>
      <c r="G2397" t="inlineStr"/>
      <c r="I2397" t="inlineStr">
        <is>
          <t>M3</t>
        </is>
      </c>
      <c r="J2397" t="inlineStr"/>
      <c r="K2397" t="inlineStr">
        <is>
          <t>20260319</t>
        </is>
      </c>
      <c r="L2397" t="inlineStr">
        <is>
          <t>99991231</t>
        </is>
      </c>
    </row>
    <row r="2398">
      <c r="A2398" t="inlineStr">
        <is>
          <t>900001074</t>
        </is>
      </c>
      <c r="B2398" t="inlineStr">
        <is>
          <t>D836</t>
        </is>
      </c>
      <c r="C2398" t="inlineStr">
        <is>
          <t>65911313</t>
        </is>
      </c>
      <c r="D2398" t="inlineStr">
        <is>
          <t>10000357</t>
        </is>
      </c>
      <c r="E2398" t="inlineStr"/>
      <c r="F2398" s="11" t="n">
        <v>148</v>
      </c>
      <c r="G2398" t="inlineStr"/>
      <c r="I2398" t="inlineStr">
        <is>
          <t>M3</t>
        </is>
      </c>
      <c r="J2398" t="inlineStr"/>
      <c r="K2398" t="inlineStr">
        <is>
          <t>20260319</t>
        </is>
      </c>
      <c r="L2398" t="inlineStr">
        <is>
          <t>99991231</t>
        </is>
      </c>
    </row>
    <row r="2399">
      <c r="A2399" t="inlineStr">
        <is>
          <t>900001074</t>
        </is>
      </c>
      <c r="B2399" t="inlineStr">
        <is>
          <t>D836</t>
        </is>
      </c>
      <c r="C2399" t="inlineStr">
        <is>
          <t>65911313</t>
        </is>
      </c>
      <c r="D2399" t="inlineStr">
        <is>
          <t>10000627</t>
        </is>
      </c>
      <c r="E2399" t="inlineStr"/>
      <c r="F2399" s="11" t="n">
        <v>111</v>
      </c>
      <c r="G2399" t="inlineStr"/>
      <c r="I2399" t="inlineStr">
        <is>
          <t>M3</t>
        </is>
      </c>
      <c r="J2399" t="inlineStr"/>
      <c r="K2399" t="inlineStr">
        <is>
          <t>20260319</t>
        </is>
      </c>
      <c r="L2399" t="inlineStr">
        <is>
          <t>99991231</t>
        </is>
      </c>
    </row>
    <row r="2400">
      <c r="A2400" t="inlineStr">
        <is>
          <t>900001074</t>
        </is>
      </c>
      <c r="B2400" t="inlineStr">
        <is>
          <t>D836</t>
        </is>
      </c>
      <c r="C2400" t="inlineStr">
        <is>
          <t>66414377</t>
        </is>
      </c>
      <c r="D2400" t="inlineStr">
        <is>
          <t>10000160</t>
        </is>
      </c>
      <c r="E2400" t="inlineStr"/>
      <c r="F2400" s="11" t="n">
        <v>125</v>
      </c>
      <c r="G2400" t="inlineStr"/>
      <c r="I2400" t="inlineStr">
        <is>
          <t>M3</t>
        </is>
      </c>
      <c r="J2400" t="inlineStr"/>
      <c r="K2400" t="inlineStr">
        <is>
          <t>20260618</t>
        </is>
      </c>
      <c r="L2400" t="inlineStr">
        <is>
          <t>99991231</t>
        </is>
      </c>
    </row>
    <row r="2401">
      <c r="A2401" t="inlineStr">
        <is>
          <t>900001074</t>
        </is>
      </c>
      <c r="B2401" t="inlineStr">
        <is>
          <t>D836</t>
        </is>
      </c>
      <c r="C2401" t="inlineStr">
        <is>
          <t>66414377</t>
        </is>
      </c>
      <c r="D2401" t="inlineStr">
        <is>
          <t>10000627</t>
        </is>
      </c>
      <c r="E2401" t="inlineStr"/>
      <c r="F2401" s="11" t="n">
        <v>116</v>
      </c>
      <c r="G2401" t="inlineStr"/>
      <c r="I2401" t="inlineStr">
        <is>
          <t>M3</t>
        </is>
      </c>
      <c r="J2401" t="inlineStr"/>
      <c r="K2401" t="inlineStr">
        <is>
          <t>20260319</t>
        </is>
      </c>
      <c r="L2401" t="inlineStr">
        <is>
          <t>99991231</t>
        </is>
      </c>
    </row>
    <row r="2402">
      <c r="A2402" t="inlineStr">
        <is>
          <t>900001074</t>
        </is>
      </c>
      <c r="B2402" t="inlineStr">
        <is>
          <t>D836</t>
        </is>
      </c>
      <c r="C2402" t="inlineStr">
        <is>
          <t>66433511</t>
        </is>
      </c>
      <c r="D2402" t="inlineStr">
        <is>
          <t>10000627</t>
        </is>
      </c>
      <c r="E2402" t="inlineStr"/>
      <c r="F2402" s="11" t="n">
        <v>110</v>
      </c>
      <c r="G2402" t="inlineStr"/>
      <c r="I2402" t="inlineStr">
        <is>
          <t>M3</t>
        </is>
      </c>
      <c r="J2402" t="inlineStr"/>
      <c r="K2402" t="inlineStr">
        <is>
          <t>20260319</t>
        </is>
      </c>
      <c r="L2402" t="inlineStr">
        <is>
          <t>99991231</t>
        </is>
      </c>
    </row>
    <row r="2403">
      <c r="A2403" t="inlineStr">
        <is>
          <t>900001074</t>
        </is>
      </c>
      <c r="B2403" t="inlineStr">
        <is>
          <t>D836</t>
        </is>
      </c>
      <c r="C2403" t="inlineStr">
        <is>
          <t>66779276</t>
        </is>
      </c>
      <c r="D2403" t="inlineStr">
        <is>
          <t>10000160</t>
        </is>
      </c>
      <c r="E2403" t="inlineStr"/>
      <c r="F2403" s="11" t="n">
        <v>123</v>
      </c>
      <c r="G2403" t="inlineStr"/>
      <c r="I2403" t="inlineStr">
        <is>
          <t>M3</t>
        </is>
      </c>
      <c r="J2403" t="inlineStr"/>
      <c r="K2403" t="inlineStr">
        <is>
          <t>20260319</t>
        </is>
      </c>
      <c r="L2403" t="inlineStr">
        <is>
          <t>99991231</t>
        </is>
      </c>
    </row>
    <row r="2404">
      <c r="A2404" t="inlineStr">
        <is>
          <t>900001074</t>
        </is>
      </c>
      <c r="B2404" t="inlineStr">
        <is>
          <t>D836</t>
        </is>
      </c>
      <c r="C2404" t="inlineStr">
        <is>
          <t>66779276</t>
        </is>
      </c>
      <c r="D2404" t="inlineStr">
        <is>
          <t>10000357</t>
        </is>
      </c>
      <c r="E2404" t="inlineStr"/>
      <c r="F2404" s="11" t="n">
        <v>157.5</v>
      </c>
      <c r="G2404" t="inlineStr"/>
      <c r="I2404" t="inlineStr">
        <is>
          <t>M3</t>
        </is>
      </c>
      <c r="J2404" t="inlineStr"/>
      <c r="K2404" t="inlineStr">
        <is>
          <t>20260319</t>
        </is>
      </c>
      <c r="L2404" t="inlineStr">
        <is>
          <t>99991231</t>
        </is>
      </c>
    </row>
    <row r="2405">
      <c r="A2405" t="inlineStr">
        <is>
          <t>900001074</t>
        </is>
      </c>
      <c r="B2405" t="inlineStr">
        <is>
          <t>D836</t>
        </is>
      </c>
      <c r="C2405" t="inlineStr">
        <is>
          <t>66827157</t>
        </is>
      </c>
      <c r="D2405" t="inlineStr">
        <is>
          <t>10000160</t>
        </is>
      </c>
      <c r="E2405" t="inlineStr"/>
      <c r="F2405" s="11" t="n">
        <v>124</v>
      </c>
      <c r="G2405" t="inlineStr"/>
      <c r="I2405" t="inlineStr">
        <is>
          <t>M3</t>
        </is>
      </c>
      <c r="J2405" t="inlineStr"/>
      <c r="K2405" t="inlineStr">
        <is>
          <t>20260303</t>
        </is>
      </c>
      <c r="L2405" t="inlineStr">
        <is>
          <t>99991231</t>
        </is>
      </c>
    </row>
    <row r="2406">
      <c r="A2406" t="inlineStr">
        <is>
          <t>900001074</t>
        </is>
      </c>
      <c r="B2406" t="inlineStr">
        <is>
          <t>D836</t>
        </is>
      </c>
      <c r="C2406" t="inlineStr">
        <is>
          <t>66827157</t>
        </is>
      </c>
      <c r="D2406" t="inlineStr">
        <is>
          <t>10000206</t>
        </is>
      </c>
      <c r="E2406" t="inlineStr"/>
      <c r="F2406" s="11" t="n">
        <v>43</v>
      </c>
      <c r="G2406" t="inlineStr"/>
      <c r="I2406" t="inlineStr">
        <is>
          <t>M3</t>
        </is>
      </c>
      <c r="J2406" t="inlineStr"/>
      <c r="K2406" t="inlineStr">
        <is>
          <t>20260319</t>
        </is>
      </c>
      <c r="L2406" t="inlineStr">
        <is>
          <t>99991231</t>
        </is>
      </c>
    </row>
    <row r="2407">
      <c r="A2407" t="inlineStr">
        <is>
          <t>900001074</t>
        </is>
      </c>
      <c r="B2407" t="inlineStr">
        <is>
          <t>D836</t>
        </is>
      </c>
      <c r="C2407" t="inlineStr">
        <is>
          <t>66827157</t>
        </is>
      </c>
      <c r="D2407" t="inlineStr">
        <is>
          <t>10000357</t>
        </is>
      </c>
      <c r="E2407" t="inlineStr"/>
      <c r="F2407" s="11" t="n">
        <v>150</v>
      </c>
      <c r="G2407" t="inlineStr"/>
      <c r="I2407" t="inlineStr">
        <is>
          <t>M3</t>
        </is>
      </c>
      <c r="J2407" t="inlineStr"/>
      <c r="K2407" t="inlineStr">
        <is>
          <t>20260303</t>
        </is>
      </c>
      <c r="L2407" t="inlineStr">
        <is>
          <t>99991231</t>
        </is>
      </c>
    </row>
    <row r="2408">
      <c r="A2408" t="inlineStr">
        <is>
          <t>900001074</t>
        </is>
      </c>
      <c r="B2408" t="inlineStr">
        <is>
          <t>D836</t>
        </is>
      </c>
      <c r="C2408" t="inlineStr">
        <is>
          <t>66827157</t>
        </is>
      </c>
      <c r="D2408" t="inlineStr">
        <is>
          <t>10000627</t>
        </is>
      </c>
      <c r="E2408" t="inlineStr"/>
      <c r="F2408" s="11" t="n">
        <v>105</v>
      </c>
      <c r="G2408" t="inlineStr"/>
      <c r="I2408" t="inlineStr">
        <is>
          <t>M3</t>
        </is>
      </c>
      <c r="J2408" t="inlineStr"/>
      <c r="K2408" t="inlineStr">
        <is>
          <t>20260303</t>
        </is>
      </c>
      <c r="L2408" t="inlineStr">
        <is>
          <t>99991231</t>
        </is>
      </c>
    </row>
    <row r="2409">
      <c r="A2409" t="inlineStr">
        <is>
          <t>900001074</t>
        </is>
      </c>
      <c r="B2409" t="inlineStr">
        <is>
          <t>D836</t>
        </is>
      </c>
      <c r="C2409" t="inlineStr">
        <is>
          <t>66864508</t>
        </is>
      </c>
      <c r="D2409" t="inlineStr">
        <is>
          <t>10000160</t>
        </is>
      </c>
      <c r="E2409" t="inlineStr"/>
      <c r="F2409" s="11" t="n">
        <v>150</v>
      </c>
      <c r="G2409" t="inlineStr"/>
      <c r="I2409" t="inlineStr">
        <is>
          <t>M3</t>
        </is>
      </c>
      <c r="J2409" t="inlineStr"/>
      <c r="K2409" t="inlineStr">
        <is>
          <t>20260625</t>
        </is>
      </c>
      <c r="L2409" t="inlineStr">
        <is>
          <t>99991231</t>
        </is>
      </c>
    </row>
    <row r="2410">
      <c r="A2410" t="inlineStr">
        <is>
          <t>900001074</t>
        </is>
      </c>
      <c r="B2410" t="inlineStr">
        <is>
          <t>D836</t>
        </is>
      </c>
      <c r="C2410" t="inlineStr">
        <is>
          <t>66864508</t>
        </is>
      </c>
      <c r="D2410" t="inlineStr">
        <is>
          <t>10000357</t>
        </is>
      </c>
      <c r="E2410" t="inlineStr"/>
      <c r="F2410" s="11" t="n">
        <v>175</v>
      </c>
      <c r="G2410" t="inlineStr"/>
      <c r="I2410" t="inlineStr">
        <is>
          <t>M3</t>
        </is>
      </c>
      <c r="J2410" t="inlineStr"/>
      <c r="K2410" t="inlineStr">
        <is>
          <t>20260625</t>
        </is>
      </c>
      <c r="L2410" t="inlineStr">
        <is>
          <t>99991231</t>
        </is>
      </c>
    </row>
    <row r="2411">
      <c r="A2411" t="inlineStr">
        <is>
          <t>900001074</t>
        </is>
      </c>
      <c r="B2411" t="inlineStr">
        <is>
          <t>D836</t>
        </is>
      </c>
      <c r="C2411" t="inlineStr">
        <is>
          <t>66864508</t>
        </is>
      </c>
      <c r="D2411" t="inlineStr">
        <is>
          <t>10276711</t>
        </is>
      </c>
      <c r="E2411" t="inlineStr"/>
      <c r="F2411" s="11" t="n">
        <v>160</v>
      </c>
      <c r="G2411" t="inlineStr"/>
      <c r="I2411" t="inlineStr">
        <is>
          <t>M3</t>
        </is>
      </c>
      <c r="J2411" t="inlineStr"/>
      <c r="K2411" t="inlineStr">
        <is>
          <t>20260824</t>
        </is>
      </c>
      <c r="L2411" t="inlineStr">
        <is>
          <t>99991231</t>
        </is>
      </c>
    </row>
    <row r="2412">
      <c r="A2412" t="inlineStr">
        <is>
          <t>900001074</t>
        </is>
      </c>
      <c r="B2412" t="inlineStr">
        <is>
          <t>D836</t>
        </is>
      </c>
      <c r="C2412" t="inlineStr">
        <is>
          <t>66864540</t>
        </is>
      </c>
      <c r="D2412" t="inlineStr">
        <is>
          <t>10000160</t>
        </is>
      </c>
      <c r="E2412" t="inlineStr"/>
      <c r="F2412" s="11" t="n">
        <v>150</v>
      </c>
      <c r="G2412" t="inlineStr"/>
      <c r="I2412" t="inlineStr">
        <is>
          <t>M3</t>
        </is>
      </c>
      <c r="J2412" t="inlineStr"/>
      <c r="K2412" t="inlineStr">
        <is>
          <t>20260625</t>
        </is>
      </c>
      <c r="L2412" t="inlineStr">
        <is>
          <t>99991231</t>
        </is>
      </c>
    </row>
    <row r="2413">
      <c r="A2413" t="inlineStr">
        <is>
          <t>900001074</t>
        </is>
      </c>
      <c r="B2413" t="inlineStr">
        <is>
          <t>D836</t>
        </is>
      </c>
      <c r="C2413" t="inlineStr">
        <is>
          <t>66864540</t>
        </is>
      </c>
      <c r="D2413" t="inlineStr">
        <is>
          <t>10000357</t>
        </is>
      </c>
      <c r="E2413" t="inlineStr"/>
      <c r="F2413" s="11" t="n">
        <v>175</v>
      </c>
      <c r="G2413" t="inlineStr"/>
      <c r="I2413" t="inlineStr">
        <is>
          <t>M3</t>
        </is>
      </c>
      <c r="J2413" t="inlineStr"/>
      <c r="K2413" t="inlineStr">
        <is>
          <t>20260625</t>
        </is>
      </c>
      <c r="L2413" t="inlineStr">
        <is>
          <t>99991231</t>
        </is>
      </c>
    </row>
    <row r="2414">
      <c r="A2414" t="inlineStr">
        <is>
          <t>900001074</t>
        </is>
      </c>
      <c r="B2414" t="inlineStr">
        <is>
          <t>D836</t>
        </is>
      </c>
      <c r="C2414" t="inlineStr">
        <is>
          <t>66864540</t>
        </is>
      </c>
      <c r="D2414" t="inlineStr">
        <is>
          <t>10276711</t>
        </is>
      </c>
      <c r="E2414" t="inlineStr"/>
      <c r="F2414" s="11" t="n">
        <v>160</v>
      </c>
      <c r="G2414" t="inlineStr"/>
      <c r="I2414" t="inlineStr">
        <is>
          <t>M3</t>
        </is>
      </c>
      <c r="J2414" t="inlineStr"/>
      <c r="K2414" t="inlineStr">
        <is>
          <t>20260824</t>
        </is>
      </c>
      <c r="L2414" t="inlineStr">
        <is>
          <t>99991231</t>
        </is>
      </c>
    </row>
    <row r="2415">
      <c r="A2415" t="inlineStr">
        <is>
          <t>900001074</t>
        </is>
      </c>
      <c r="B2415" t="inlineStr">
        <is>
          <t>D836</t>
        </is>
      </c>
      <c r="C2415" t="inlineStr">
        <is>
          <t>66868491</t>
        </is>
      </c>
      <c r="D2415" t="inlineStr">
        <is>
          <t>10000160</t>
        </is>
      </c>
      <c r="E2415" t="inlineStr"/>
      <c r="F2415" s="11" t="n">
        <v>123</v>
      </c>
      <c r="G2415" t="inlineStr"/>
      <c r="I2415" t="inlineStr">
        <is>
          <t>M3</t>
        </is>
      </c>
      <c r="J2415" t="inlineStr"/>
      <c r="K2415" t="inlineStr">
        <is>
          <t>20260319</t>
        </is>
      </c>
      <c r="L2415" t="inlineStr">
        <is>
          <t>99991231</t>
        </is>
      </c>
    </row>
    <row r="2416">
      <c r="A2416" t="inlineStr">
        <is>
          <t>900001074</t>
        </is>
      </c>
      <c r="B2416" t="inlineStr">
        <is>
          <t>D836</t>
        </is>
      </c>
      <c r="C2416" t="inlineStr">
        <is>
          <t>66900173</t>
        </is>
      </c>
      <c r="D2416" t="inlineStr">
        <is>
          <t>10000160</t>
        </is>
      </c>
      <c r="E2416" t="inlineStr"/>
      <c r="F2416" s="11" t="n">
        <v>123</v>
      </c>
      <c r="G2416" t="inlineStr"/>
      <c r="I2416" t="inlineStr">
        <is>
          <t>M3</t>
        </is>
      </c>
      <c r="J2416" t="inlineStr"/>
      <c r="K2416" t="inlineStr">
        <is>
          <t>20260319</t>
        </is>
      </c>
      <c r="L2416" t="inlineStr">
        <is>
          <t>99991231</t>
        </is>
      </c>
    </row>
    <row r="2417">
      <c r="A2417" t="inlineStr">
        <is>
          <t>900001074</t>
        </is>
      </c>
      <c r="B2417" t="inlineStr">
        <is>
          <t>D836</t>
        </is>
      </c>
      <c r="C2417" t="inlineStr">
        <is>
          <t>66900173</t>
        </is>
      </c>
      <c r="D2417" t="inlineStr">
        <is>
          <t>10000357</t>
        </is>
      </c>
      <c r="E2417" t="inlineStr"/>
      <c r="F2417" s="11" t="n">
        <v>148</v>
      </c>
      <c r="G2417" t="inlineStr"/>
      <c r="I2417" t="inlineStr">
        <is>
          <t>M3</t>
        </is>
      </c>
      <c r="J2417" t="inlineStr"/>
      <c r="K2417" t="inlineStr">
        <is>
          <t>20260319</t>
        </is>
      </c>
      <c r="L2417" t="inlineStr">
        <is>
          <t>99991231</t>
        </is>
      </c>
    </row>
    <row r="2418">
      <c r="A2418" t="inlineStr">
        <is>
          <t>900001074</t>
        </is>
      </c>
      <c r="B2418" t="inlineStr">
        <is>
          <t>D836</t>
        </is>
      </c>
      <c r="C2418" t="inlineStr">
        <is>
          <t>66982053</t>
        </is>
      </c>
      <c r="D2418" t="inlineStr">
        <is>
          <t>10000160</t>
        </is>
      </c>
      <c r="E2418" t="inlineStr"/>
      <c r="F2418" s="11" t="n">
        <v>150</v>
      </c>
      <c r="G2418" t="inlineStr"/>
      <c r="I2418" t="inlineStr">
        <is>
          <t>M3</t>
        </is>
      </c>
      <c r="J2418" t="inlineStr"/>
      <c r="K2418" t="inlineStr">
        <is>
          <t>20260625</t>
        </is>
      </c>
      <c r="L2418" t="inlineStr">
        <is>
          <t>99991231</t>
        </is>
      </c>
    </row>
    <row r="2419">
      <c r="A2419" t="inlineStr">
        <is>
          <t>900001074</t>
        </is>
      </c>
      <c r="B2419" t="inlineStr">
        <is>
          <t>D836</t>
        </is>
      </c>
      <c r="C2419" t="inlineStr">
        <is>
          <t>66982053</t>
        </is>
      </c>
      <c r="D2419" t="inlineStr">
        <is>
          <t>10000357</t>
        </is>
      </c>
      <c r="E2419" t="inlineStr"/>
      <c r="F2419" s="11" t="n">
        <v>175</v>
      </c>
      <c r="G2419" t="inlineStr"/>
      <c r="I2419" t="inlineStr">
        <is>
          <t>M3</t>
        </is>
      </c>
      <c r="J2419" t="inlineStr"/>
      <c r="K2419" t="inlineStr">
        <is>
          <t>20260625</t>
        </is>
      </c>
      <c r="L2419" t="inlineStr">
        <is>
          <t>99991231</t>
        </is>
      </c>
    </row>
    <row r="2420">
      <c r="A2420" t="inlineStr">
        <is>
          <t>900001074</t>
        </is>
      </c>
      <c r="B2420" t="inlineStr">
        <is>
          <t>D836</t>
        </is>
      </c>
      <c r="C2420" t="inlineStr">
        <is>
          <t>66982053</t>
        </is>
      </c>
      <c r="D2420" t="inlineStr">
        <is>
          <t>10276711</t>
        </is>
      </c>
      <c r="E2420" t="inlineStr"/>
      <c r="F2420" s="11" t="n">
        <v>160</v>
      </c>
      <c r="G2420" t="inlineStr"/>
      <c r="I2420" t="inlineStr">
        <is>
          <t>M3</t>
        </is>
      </c>
      <c r="J2420" t="inlineStr"/>
      <c r="K2420" t="inlineStr">
        <is>
          <t>20260824</t>
        </is>
      </c>
      <c r="L2420" t="inlineStr">
        <is>
          <t>99991231</t>
        </is>
      </c>
    </row>
    <row r="2421">
      <c r="A2421" t="inlineStr">
        <is>
          <t>900001074</t>
        </is>
      </c>
      <c r="B2421" t="inlineStr">
        <is>
          <t>D836</t>
        </is>
      </c>
      <c r="C2421" t="inlineStr">
        <is>
          <t>67003746</t>
        </is>
      </c>
      <c r="D2421" t="inlineStr">
        <is>
          <t>10000160</t>
        </is>
      </c>
      <c r="E2421" t="inlineStr"/>
      <c r="F2421" s="11" t="n">
        <v>126</v>
      </c>
      <c r="G2421" t="inlineStr"/>
      <c r="I2421" t="inlineStr">
        <is>
          <t>M3</t>
        </is>
      </c>
      <c r="J2421" t="inlineStr"/>
      <c r="K2421" t="inlineStr">
        <is>
          <t>20260319</t>
        </is>
      </c>
      <c r="L2421" t="inlineStr">
        <is>
          <t>99991231</t>
        </is>
      </c>
    </row>
    <row r="2422">
      <c r="A2422" t="inlineStr">
        <is>
          <t>900001074</t>
        </is>
      </c>
      <c r="B2422" t="inlineStr">
        <is>
          <t>D836</t>
        </is>
      </c>
      <c r="C2422" t="inlineStr">
        <is>
          <t>67019979</t>
        </is>
      </c>
      <c r="D2422" t="inlineStr">
        <is>
          <t>10000160</t>
        </is>
      </c>
      <c r="E2422" t="inlineStr"/>
      <c r="F2422" s="11" t="n">
        <v>150</v>
      </c>
      <c r="G2422" t="inlineStr"/>
      <c r="I2422" t="inlineStr">
        <is>
          <t>M3</t>
        </is>
      </c>
      <c r="J2422" t="inlineStr"/>
      <c r="K2422" t="inlineStr">
        <is>
          <t>20260625</t>
        </is>
      </c>
      <c r="L2422" t="inlineStr">
        <is>
          <t>99991231</t>
        </is>
      </c>
    </row>
    <row r="2423">
      <c r="A2423" t="inlineStr">
        <is>
          <t>900001074</t>
        </is>
      </c>
      <c r="B2423" t="inlineStr">
        <is>
          <t>D836</t>
        </is>
      </c>
      <c r="C2423" t="inlineStr">
        <is>
          <t>67019979</t>
        </is>
      </c>
      <c r="D2423" t="inlineStr">
        <is>
          <t>10000357</t>
        </is>
      </c>
      <c r="E2423" t="inlineStr"/>
      <c r="F2423" s="11" t="n">
        <v>175</v>
      </c>
      <c r="G2423" t="inlineStr"/>
      <c r="I2423" t="inlineStr">
        <is>
          <t>M3</t>
        </is>
      </c>
      <c r="J2423" t="inlineStr"/>
      <c r="K2423" t="inlineStr">
        <is>
          <t>20260625</t>
        </is>
      </c>
      <c r="L2423" t="inlineStr">
        <is>
          <t>99991231</t>
        </is>
      </c>
    </row>
    <row r="2424">
      <c r="A2424" t="inlineStr">
        <is>
          <t>900001074</t>
        </is>
      </c>
      <c r="B2424" t="inlineStr">
        <is>
          <t>D836</t>
        </is>
      </c>
      <c r="C2424" t="inlineStr">
        <is>
          <t>67019979</t>
        </is>
      </c>
      <c r="D2424" t="inlineStr">
        <is>
          <t>10276711</t>
        </is>
      </c>
      <c r="E2424" t="inlineStr"/>
      <c r="F2424" s="11" t="n">
        <v>160</v>
      </c>
      <c r="G2424" t="inlineStr"/>
      <c r="I2424" t="inlineStr">
        <is>
          <t>M3</t>
        </is>
      </c>
      <c r="J2424" t="inlineStr"/>
      <c r="K2424" t="inlineStr">
        <is>
          <t>20260824</t>
        </is>
      </c>
      <c r="L2424" t="inlineStr">
        <is>
          <t>99991231</t>
        </is>
      </c>
    </row>
    <row r="2425">
      <c r="A2425" t="inlineStr">
        <is>
          <t>900001074</t>
        </is>
      </c>
      <c r="B2425" t="inlineStr">
        <is>
          <t>D836</t>
        </is>
      </c>
      <c r="C2425" t="inlineStr">
        <is>
          <t>67243408</t>
        </is>
      </c>
      <c r="D2425" t="inlineStr">
        <is>
          <t>10000160</t>
        </is>
      </c>
      <c r="E2425" t="inlineStr"/>
      <c r="F2425" s="11" t="n">
        <v>150</v>
      </c>
      <c r="G2425" t="inlineStr"/>
      <c r="I2425" t="inlineStr">
        <is>
          <t>M3</t>
        </is>
      </c>
      <c r="J2425" t="inlineStr"/>
      <c r="K2425" t="inlineStr">
        <is>
          <t>20260625</t>
        </is>
      </c>
      <c r="L2425" t="inlineStr">
        <is>
          <t>99991231</t>
        </is>
      </c>
    </row>
    <row r="2426">
      <c r="A2426" t="inlineStr">
        <is>
          <t>900001074</t>
        </is>
      </c>
      <c r="B2426" t="inlineStr">
        <is>
          <t>D836</t>
        </is>
      </c>
      <c r="C2426" t="inlineStr">
        <is>
          <t>67243408</t>
        </is>
      </c>
      <c r="D2426" t="inlineStr">
        <is>
          <t>10000357</t>
        </is>
      </c>
      <c r="E2426" t="inlineStr"/>
      <c r="F2426" s="11" t="n">
        <v>175</v>
      </c>
      <c r="G2426" t="inlineStr"/>
      <c r="I2426" t="inlineStr">
        <is>
          <t>M3</t>
        </is>
      </c>
      <c r="J2426" t="inlineStr"/>
      <c r="K2426" t="inlineStr">
        <is>
          <t>20260625</t>
        </is>
      </c>
      <c r="L2426" t="inlineStr">
        <is>
          <t>99991231</t>
        </is>
      </c>
    </row>
    <row r="2427">
      <c r="A2427" t="inlineStr">
        <is>
          <t>900001074</t>
        </is>
      </c>
      <c r="B2427" t="inlineStr">
        <is>
          <t>D836</t>
        </is>
      </c>
      <c r="C2427" t="inlineStr">
        <is>
          <t>67243408</t>
        </is>
      </c>
      <c r="D2427" t="inlineStr">
        <is>
          <t>10276711</t>
        </is>
      </c>
      <c r="E2427" t="inlineStr"/>
      <c r="F2427" s="11" t="n">
        <v>160</v>
      </c>
      <c r="G2427" t="inlineStr"/>
      <c r="I2427" t="inlineStr">
        <is>
          <t>M3</t>
        </is>
      </c>
      <c r="J2427" t="inlineStr"/>
      <c r="K2427" t="inlineStr">
        <is>
          <t>20260824</t>
        </is>
      </c>
      <c r="L2427" t="inlineStr">
        <is>
          <t>99991231</t>
        </is>
      </c>
    </row>
    <row r="2428">
      <c r="A2428" t="inlineStr">
        <is>
          <t>900001074</t>
        </is>
      </c>
      <c r="B2428" t="inlineStr">
        <is>
          <t>D836</t>
        </is>
      </c>
      <c r="C2428" t="inlineStr">
        <is>
          <t>67275052</t>
        </is>
      </c>
      <c r="D2428" t="inlineStr">
        <is>
          <t>10000160</t>
        </is>
      </c>
      <c r="E2428" t="inlineStr"/>
      <c r="F2428" s="11" t="n">
        <v>123</v>
      </c>
      <c r="G2428" t="inlineStr"/>
      <c r="I2428" t="inlineStr">
        <is>
          <t>M3</t>
        </is>
      </c>
      <c r="J2428" t="inlineStr"/>
      <c r="K2428" t="inlineStr">
        <is>
          <t>20260319</t>
        </is>
      </c>
      <c r="L2428" t="inlineStr">
        <is>
          <t>99991231</t>
        </is>
      </c>
    </row>
    <row r="2429">
      <c r="A2429" t="inlineStr">
        <is>
          <t>900001074</t>
        </is>
      </c>
      <c r="B2429" t="inlineStr">
        <is>
          <t>D836</t>
        </is>
      </c>
      <c r="C2429" t="inlineStr">
        <is>
          <t>67275052</t>
        </is>
      </c>
      <c r="D2429" t="inlineStr">
        <is>
          <t>10000357</t>
        </is>
      </c>
      <c r="E2429" t="inlineStr"/>
      <c r="F2429" s="11" t="n">
        <v>148</v>
      </c>
      <c r="G2429" t="inlineStr"/>
      <c r="I2429" t="inlineStr">
        <is>
          <t>M3</t>
        </is>
      </c>
      <c r="J2429" t="inlineStr"/>
      <c r="K2429" t="inlineStr">
        <is>
          <t>20260319</t>
        </is>
      </c>
      <c r="L2429" t="inlineStr">
        <is>
          <t>99991231</t>
        </is>
      </c>
    </row>
    <row r="2430">
      <c r="A2430" t="inlineStr">
        <is>
          <t>900001074</t>
        </is>
      </c>
      <c r="B2430" t="inlineStr">
        <is>
          <t>D836</t>
        </is>
      </c>
      <c r="C2430" t="inlineStr">
        <is>
          <t>67322499</t>
        </is>
      </c>
      <c r="D2430" t="inlineStr">
        <is>
          <t>10000160</t>
        </is>
      </c>
      <c r="E2430" t="inlineStr"/>
      <c r="F2430" s="11" t="n">
        <v>150</v>
      </c>
      <c r="G2430" t="inlineStr"/>
      <c r="I2430" t="inlineStr">
        <is>
          <t>M3</t>
        </is>
      </c>
      <c r="J2430" t="inlineStr"/>
      <c r="K2430" t="inlineStr">
        <is>
          <t>20260625</t>
        </is>
      </c>
      <c r="L2430" t="inlineStr">
        <is>
          <t>99991231</t>
        </is>
      </c>
    </row>
    <row r="2431">
      <c r="A2431" t="inlineStr">
        <is>
          <t>900001074</t>
        </is>
      </c>
      <c r="B2431" t="inlineStr">
        <is>
          <t>D836</t>
        </is>
      </c>
      <c r="C2431" t="inlineStr">
        <is>
          <t>67322499</t>
        </is>
      </c>
      <c r="D2431" t="inlineStr">
        <is>
          <t>10000357</t>
        </is>
      </c>
      <c r="E2431" t="inlineStr"/>
      <c r="F2431" s="11" t="n">
        <v>175</v>
      </c>
      <c r="G2431" t="inlineStr"/>
      <c r="I2431" t="inlineStr">
        <is>
          <t>M3</t>
        </is>
      </c>
      <c r="J2431" t="inlineStr"/>
      <c r="K2431" t="inlineStr">
        <is>
          <t>20260625</t>
        </is>
      </c>
      <c r="L2431" t="inlineStr">
        <is>
          <t>99991231</t>
        </is>
      </c>
    </row>
    <row r="2432">
      <c r="A2432" t="inlineStr">
        <is>
          <t>900001074</t>
        </is>
      </c>
      <c r="B2432" t="inlineStr">
        <is>
          <t>D836</t>
        </is>
      </c>
      <c r="C2432" t="inlineStr">
        <is>
          <t>67322499</t>
        </is>
      </c>
      <c r="D2432" t="inlineStr">
        <is>
          <t>10276711</t>
        </is>
      </c>
      <c r="E2432" t="inlineStr"/>
      <c r="F2432" s="11" t="n">
        <v>160</v>
      </c>
      <c r="G2432" t="inlineStr"/>
      <c r="I2432" t="inlineStr">
        <is>
          <t>M3</t>
        </is>
      </c>
      <c r="J2432" t="inlineStr"/>
      <c r="K2432" t="inlineStr">
        <is>
          <t>20260824</t>
        </is>
      </c>
      <c r="L2432" t="inlineStr">
        <is>
          <t>99991231</t>
        </is>
      </c>
    </row>
    <row r="2433">
      <c r="A2433" t="inlineStr">
        <is>
          <t>900001074</t>
        </is>
      </c>
      <c r="B2433" t="inlineStr">
        <is>
          <t>D836</t>
        </is>
      </c>
      <c r="C2433" t="inlineStr">
        <is>
          <t>67328420</t>
        </is>
      </c>
      <c r="D2433" t="inlineStr">
        <is>
          <t>10000160</t>
        </is>
      </c>
      <c r="E2433" t="inlineStr"/>
      <c r="F2433" s="11" t="n">
        <v>124</v>
      </c>
      <c r="G2433" t="inlineStr"/>
      <c r="I2433" t="inlineStr">
        <is>
          <t>M3</t>
        </is>
      </c>
      <c r="J2433" t="inlineStr"/>
      <c r="K2433" t="inlineStr">
        <is>
          <t>20260331</t>
        </is>
      </c>
      <c r="L2433" t="inlineStr">
        <is>
          <t>99991231</t>
        </is>
      </c>
    </row>
    <row r="2434">
      <c r="A2434" t="inlineStr">
        <is>
          <t>900001074</t>
        </is>
      </c>
      <c r="B2434" t="inlineStr">
        <is>
          <t>D836</t>
        </is>
      </c>
      <c r="C2434" t="inlineStr">
        <is>
          <t>67328420</t>
        </is>
      </c>
      <c r="D2434" t="inlineStr">
        <is>
          <t>10000357</t>
        </is>
      </c>
      <c r="E2434" t="inlineStr"/>
      <c r="F2434" s="11" t="n">
        <v>150</v>
      </c>
      <c r="G2434" t="inlineStr"/>
      <c r="I2434" t="inlineStr">
        <is>
          <t>M3</t>
        </is>
      </c>
      <c r="J2434" t="inlineStr"/>
      <c r="K2434" t="inlineStr">
        <is>
          <t>20260331</t>
        </is>
      </c>
      <c r="L2434" t="inlineStr">
        <is>
          <t>99991231</t>
        </is>
      </c>
    </row>
    <row r="2435">
      <c r="A2435" t="inlineStr">
        <is>
          <t>900001074</t>
        </is>
      </c>
      <c r="B2435" t="inlineStr">
        <is>
          <t>D836</t>
        </is>
      </c>
      <c r="C2435" t="inlineStr">
        <is>
          <t>67328420</t>
        </is>
      </c>
      <c r="D2435" t="inlineStr">
        <is>
          <t>10000627</t>
        </is>
      </c>
      <c r="E2435" t="inlineStr"/>
      <c r="F2435" s="11" t="n">
        <v>105</v>
      </c>
      <c r="G2435" t="inlineStr"/>
      <c r="I2435" t="inlineStr">
        <is>
          <t>M3</t>
        </is>
      </c>
      <c r="J2435" t="inlineStr"/>
      <c r="K2435" t="inlineStr">
        <is>
          <t>20260331</t>
        </is>
      </c>
      <c r="L2435" t="inlineStr">
        <is>
          <t>99991231</t>
        </is>
      </c>
    </row>
    <row r="2436">
      <c r="A2436" t="inlineStr">
        <is>
          <t>900001074</t>
        </is>
      </c>
      <c r="B2436" t="inlineStr">
        <is>
          <t>D836</t>
        </is>
      </c>
      <c r="C2436" t="inlineStr">
        <is>
          <t>67347709</t>
        </is>
      </c>
      <c r="D2436" t="inlineStr">
        <is>
          <t>10000160</t>
        </is>
      </c>
      <c r="E2436" t="inlineStr"/>
      <c r="F2436" s="11" t="n">
        <v>130</v>
      </c>
      <c r="G2436" t="inlineStr"/>
      <c r="I2436" t="inlineStr">
        <is>
          <t>M3</t>
        </is>
      </c>
      <c r="J2436" t="inlineStr"/>
      <c r="K2436" t="inlineStr">
        <is>
          <t>20260522</t>
        </is>
      </c>
      <c r="L2436" t="inlineStr">
        <is>
          <t>99991231</t>
        </is>
      </c>
    </row>
    <row r="2437">
      <c r="A2437" t="inlineStr">
        <is>
          <t>900001074</t>
        </is>
      </c>
      <c r="B2437" t="inlineStr">
        <is>
          <t>D836</t>
        </is>
      </c>
      <c r="C2437" t="inlineStr">
        <is>
          <t>67347709</t>
        </is>
      </c>
      <c r="D2437" t="inlineStr">
        <is>
          <t>10000357</t>
        </is>
      </c>
      <c r="E2437" t="inlineStr"/>
      <c r="F2437" s="11" t="n">
        <v>160</v>
      </c>
      <c r="G2437" t="inlineStr"/>
      <c r="I2437" t="inlineStr">
        <is>
          <t>M3</t>
        </is>
      </c>
      <c r="J2437" t="inlineStr"/>
      <c r="K2437" t="inlineStr">
        <is>
          <t>20260522</t>
        </is>
      </c>
      <c r="L2437" t="inlineStr">
        <is>
          <t>99991231</t>
        </is>
      </c>
    </row>
    <row r="2438">
      <c r="A2438" t="inlineStr">
        <is>
          <t>900001074</t>
        </is>
      </c>
      <c r="B2438" t="inlineStr">
        <is>
          <t>D836</t>
        </is>
      </c>
      <c r="C2438" t="inlineStr">
        <is>
          <t>67347709</t>
        </is>
      </c>
      <c r="D2438" t="inlineStr">
        <is>
          <t>10000627</t>
        </is>
      </c>
      <c r="E2438" t="inlineStr"/>
      <c r="F2438" s="11" t="n">
        <v>110</v>
      </c>
      <c r="G2438" t="inlineStr"/>
      <c r="I2438" t="inlineStr">
        <is>
          <t>M3</t>
        </is>
      </c>
      <c r="J2438" t="inlineStr"/>
      <c r="K2438" t="inlineStr">
        <is>
          <t>20260522</t>
        </is>
      </c>
      <c r="L2438" t="inlineStr">
        <is>
          <t>99991231</t>
        </is>
      </c>
    </row>
    <row r="2439">
      <c r="A2439" t="inlineStr">
        <is>
          <t>900001074</t>
        </is>
      </c>
      <c r="B2439" t="inlineStr">
        <is>
          <t>D836</t>
        </is>
      </c>
      <c r="C2439" t="inlineStr">
        <is>
          <t>67362127</t>
        </is>
      </c>
      <c r="D2439" t="inlineStr">
        <is>
          <t>10000160</t>
        </is>
      </c>
      <c r="E2439" t="inlineStr"/>
      <c r="F2439" s="11" t="n">
        <v>136</v>
      </c>
      <c r="G2439" t="inlineStr"/>
      <c r="I2439" t="inlineStr">
        <is>
          <t>M3</t>
        </is>
      </c>
      <c r="J2439" t="inlineStr"/>
      <c r="K2439" t="inlineStr">
        <is>
          <t>20260224</t>
        </is>
      </c>
      <c r="L2439" t="inlineStr">
        <is>
          <t>99991231</t>
        </is>
      </c>
    </row>
    <row r="2440">
      <c r="A2440" t="inlineStr">
        <is>
          <t>900001074</t>
        </is>
      </c>
      <c r="B2440" t="inlineStr">
        <is>
          <t>D836</t>
        </is>
      </c>
      <c r="C2440" t="inlineStr">
        <is>
          <t>67362127</t>
        </is>
      </c>
      <c r="D2440" t="inlineStr">
        <is>
          <t>10000357</t>
        </is>
      </c>
      <c r="E2440" t="inlineStr"/>
      <c r="F2440" s="11" t="n">
        <v>164</v>
      </c>
      <c r="G2440" t="inlineStr"/>
      <c r="I2440" t="inlineStr">
        <is>
          <t>M3</t>
        </is>
      </c>
      <c r="J2440" t="inlineStr"/>
      <c r="K2440" t="inlineStr">
        <is>
          <t>20260224</t>
        </is>
      </c>
      <c r="L2440" t="inlineStr">
        <is>
          <t>99991231</t>
        </is>
      </c>
    </row>
    <row r="2441">
      <c r="A2441" t="inlineStr">
        <is>
          <t>900001074</t>
        </is>
      </c>
      <c r="B2441" t="inlineStr">
        <is>
          <t>D836</t>
        </is>
      </c>
      <c r="C2441" t="inlineStr">
        <is>
          <t>67362127</t>
        </is>
      </c>
      <c r="D2441" t="inlineStr">
        <is>
          <t>10000627</t>
        </is>
      </c>
      <c r="E2441" t="inlineStr"/>
      <c r="F2441" s="11" t="n">
        <v>136</v>
      </c>
      <c r="G2441" t="inlineStr"/>
      <c r="I2441" t="inlineStr">
        <is>
          <t>M3</t>
        </is>
      </c>
      <c r="J2441" t="inlineStr"/>
      <c r="K2441" t="inlineStr">
        <is>
          <t>20260224</t>
        </is>
      </c>
      <c r="L2441" t="inlineStr">
        <is>
          <t>99991231</t>
        </is>
      </c>
    </row>
    <row r="2442">
      <c r="A2442" t="inlineStr">
        <is>
          <t>900001074</t>
        </is>
      </c>
      <c r="B2442" t="inlineStr">
        <is>
          <t>D836</t>
        </is>
      </c>
      <c r="C2442" t="inlineStr">
        <is>
          <t>67362674</t>
        </is>
      </c>
      <c r="D2442" t="inlineStr">
        <is>
          <t>10000160</t>
        </is>
      </c>
      <c r="E2442" t="inlineStr"/>
      <c r="F2442" s="11" t="n">
        <v>142</v>
      </c>
      <c r="G2442" t="inlineStr"/>
      <c r="I2442" t="inlineStr">
        <is>
          <t>M3</t>
        </is>
      </c>
      <c r="J2442" t="inlineStr"/>
      <c r="K2442" t="inlineStr">
        <is>
          <t>20260224</t>
        </is>
      </c>
      <c r="L2442" t="inlineStr">
        <is>
          <t>99991231</t>
        </is>
      </c>
    </row>
    <row r="2443">
      <c r="A2443" t="inlineStr">
        <is>
          <t>900001074</t>
        </is>
      </c>
      <c r="B2443" t="inlineStr">
        <is>
          <t>D836</t>
        </is>
      </c>
      <c r="C2443" t="inlineStr">
        <is>
          <t>67362674</t>
        </is>
      </c>
      <c r="D2443" t="inlineStr">
        <is>
          <t>10000357</t>
        </is>
      </c>
      <c r="E2443" t="inlineStr"/>
      <c r="F2443" s="11" t="n">
        <v>170</v>
      </c>
      <c r="G2443" t="inlineStr"/>
      <c r="I2443" t="inlineStr">
        <is>
          <t>M3</t>
        </is>
      </c>
      <c r="J2443" t="inlineStr"/>
      <c r="K2443" t="inlineStr">
        <is>
          <t>20260224</t>
        </is>
      </c>
      <c r="L2443" t="inlineStr">
        <is>
          <t>99991231</t>
        </is>
      </c>
    </row>
    <row r="2444">
      <c r="A2444" t="inlineStr">
        <is>
          <t>900001074</t>
        </is>
      </c>
      <c r="B2444" t="inlineStr">
        <is>
          <t>D836</t>
        </is>
      </c>
      <c r="C2444" t="inlineStr">
        <is>
          <t>67362674</t>
        </is>
      </c>
      <c r="D2444" t="inlineStr">
        <is>
          <t>10000627</t>
        </is>
      </c>
      <c r="E2444" t="inlineStr"/>
      <c r="F2444" s="11" t="n">
        <v>142</v>
      </c>
      <c r="G2444" t="inlineStr"/>
      <c r="I2444" t="inlineStr">
        <is>
          <t>M3</t>
        </is>
      </c>
      <c r="J2444" t="inlineStr"/>
      <c r="K2444" t="inlineStr">
        <is>
          <t>20260224</t>
        </is>
      </c>
      <c r="L2444" t="inlineStr">
        <is>
          <t>99991231</t>
        </is>
      </c>
    </row>
    <row r="2445">
      <c r="A2445" t="inlineStr">
        <is>
          <t>900001074</t>
        </is>
      </c>
      <c r="B2445" t="inlineStr">
        <is>
          <t>D836</t>
        </is>
      </c>
      <c r="C2445" t="inlineStr">
        <is>
          <t>67364131</t>
        </is>
      </c>
      <c r="D2445" t="inlineStr">
        <is>
          <t>10000160</t>
        </is>
      </c>
      <c r="E2445" t="inlineStr"/>
      <c r="F2445" s="11" t="n">
        <v>124</v>
      </c>
      <c r="G2445" t="inlineStr"/>
      <c r="I2445" t="inlineStr">
        <is>
          <t>M3</t>
        </is>
      </c>
      <c r="J2445" t="inlineStr"/>
      <c r="K2445" t="inlineStr">
        <is>
          <t>20260319</t>
        </is>
      </c>
      <c r="L2445" t="inlineStr">
        <is>
          <t>99991231</t>
        </is>
      </c>
    </row>
    <row r="2446">
      <c r="A2446" t="inlineStr">
        <is>
          <t>900001074</t>
        </is>
      </c>
      <c r="B2446" t="inlineStr">
        <is>
          <t>D836</t>
        </is>
      </c>
      <c r="C2446" t="inlineStr">
        <is>
          <t>67364131</t>
        </is>
      </c>
      <c r="D2446" t="inlineStr">
        <is>
          <t>10000357</t>
        </is>
      </c>
      <c r="E2446" t="inlineStr"/>
      <c r="F2446" s="11" t="n">
        <v>148</v>
      </c>
      <c r="G2446" t="inlineStr"/>
      <c r="I2446" t="inlineStr">
        <is>
          <t>M3</t>
        </is>
      </c>
      <c r="J2446" t="inlineStr"/>
      <c r="K2446" t="inlineStr">
        <is>
          <t>20260319</t>
        </is>
      </c>
      <c r="L2446" t="inlineStr">
        <is>
          <t>99991231</t>
        </is>
      </c>
    </row>
    <row r="2447">
      <c r="A2447" t="inlineStr">
        <is>
          <t>900002574</t>
        </is>
      </c>
      <c r="B2447" t="inlineStr">
        <is>
          <t>D836</t>
        </is>
      </c>
      <c r="C2447" t="inlineStr">
        <is>
          <t>67327745</t>
        </is>
      </c>
      <c r="D2447" t="inlineStr">
        <is>
          <t>10000133</t>
        </is>
      </c>
      <c r="E2447" t="inlineStr"/>
      <c r="F2447" s="11" t="n">
        <v>566.84</v>
      </c>
      <c r="G2447" t="inlineStr"/>
      <c r="I2447" t="inlineStr">
        <is>
          <t>M3</t>
        </is>
      </c>
      <c r="J2447" t="inlineStr"/>
      <c r="K2447" t="inlineStr">
        <is>
          <t>20250626</t>
        </is>
      </c>
      <c r="L2447" t="inlineStr">
        <is>
          <t>99991231</t>
        </is>
      </c>
    </row>
    <row r="2448">
      <c r="A2448" t="inlineStr">
        <is>
          <t>900002574</t>
        </is>
      </c>
      <c r="B2448" t="inlineStr">
        <is>
          <t>D836</t>
        </is>
      </c>
      <c r="C2448" t="inlineStr">
        <is>
          <t>67327745</t>
        </is>
      </c>
      <c r="D2448" t="inlineStr">
        <is>
          <t>10000623</t>
        </is>
      </c>
      <c r="E2448" t="inlineStr"/>
      <c r="F2448" s="11" t="n">
        <v>397.5</v>
      </c>
      <c r="G2448" t="inlineStr"/>
      <c r="I2448" t="inlineStr">
        <is>
          <t>M3</t>
        </is>
      </c>
      <c r="J2448" t="inlineStr"/>
      <c r="K2448" t="inlineStr">
        <is>
          <t>20260401</t>
        </is>
      </c>
      <c r="L2448" t="inlineStr">
        <is>
          <t>99991231</t>
        </is>
      </c>
    </row>
    <row r="2449">
      <c r="A2449" t="inlineStr">
        <is>
          <t>900002574</t>
        </is>
      </c>
      <c r="B2449" t="inlineStr">
        <is>
          <t>D836</t>
        </is>
      </c>
      <c r="C2449" t="inlineStr">
        <is>
          <t>67340392</t>
        </is>
      </c>
      <c r="D2449" t="inlineStr">
        <is>
          <t>10058345</t>
        </is>
      </c>
      <c r="E2449" t="inlineStr"/>
      <c r="F2449" s="11" t="n">
        <v>1185.34</v>
      </c>
      <c r="G2449" t="inlineStr"/>
      <c r="I2449" t="inlineStr">
        <is>
          <t>TN</t>
        </is>
      </c>
      <c r="J2449" t="inlineStr"/>
      <c r="K2449" t="inlineStr">
        <is>
          <t>20250925</t>
        </is>
      </c>
      <c r="L2449" t="inlineStr">
        <is>
          <t>99991231</t>
        </is>
      </c>
    </row>
    <row r="2450">
      <c r="A2450" t="inlineStr">
        <is>
          <t>900002574</t>
        </is>
      </c>
      <c r="B2450" t="inlineStr">
        <is>
          <t>D836</t>
        </is>
      </c>
      <c r="C2450" t="inlineStr">
        <is>
          <t>67344761</t>
        </is>
      </c>
      <c r="D2450" t="inlineStr">
        <is>
          <t>10000623</t>
        </is>
      </c>
      <c r="E2450" t="inlineStr"/>
      <c r="F2450" s="11" t="n">
        <v>500</v>
      </c>
      <c r="G2450" t="inlineStr"/>
      <c r="I2450" t="inlineStr">
        <is>
          <t>M3</t>
        </is>
      </c>
      <c r="J2450" t="inlineStr"/>
      <c r="K2450" t="inlineStr">
        <is>
          <t>20251020</t>
        </is>
      </c>
      <c r="L2450" t="inlineStr">
        <is>
          <t>99991231</t>
        </is>
      </c>
    </row>
    <row r="2451">
      <c r="A2451" t="inlineStr">
        <is>
          <t>900002574</t>
        </is>
      </c>
      <c r="B2451" t="inlineStr">
        <is>
          <t>D836</t>
        </is>
      </c>
      <c r="C2451" t="inlineStr">
        <is>
          <t>67364255</t>
        </is>
      </c>
      <c r="D2451" t="inlineStr">
        <is>
          <t>10002802</t>
        </is>
      </c>
      <c r="E2451" t="inlineStr"/>
      <c r="F2451" s="11" t="n">
        <v>261.15</v>
      </c>
      <c r="G2451" t="inlineStr"/>
      <c r="I2451" t="inlineStr">
        <is>
          <t>M3</t>
        </is>
      </c>
      <c r="J2451" t="inlineStr"/>
      <c r="K2451" t="inlineStr">
        <is>
          <t>20260205</t>
        </is>
      </c>
      <c r="L2451" t="inlineStr">
        <is>
          <t>99991231</t>
        </is>
      </c>
    </row>
    <row r="2452">
      <c r="A2452" t="inlineStr">
        <is>
          <t>900003496</t>
        </is>
      </c>
      <c r="B2452" t="inlineStr">
        <is>
          <t>D836</t>
        </is>
      </c>
      <c r="C2452" t="inlineStr">
        <is>
          <t>67243408</t>
        </is>
      </c>
      <c r="D2452" t="inlineStr">
        <is>
          <t>10000635</t>
        </is>
      </c>
      <c r="E2452" t="inlineStr"/>
      <c r="F2452" s="11" t="n">
        <v>628.9299999999999</v>
      </c>
      <c r="G2452" t="inlineStr"/>
      <c r="I2452" t="inlineStr">
        <is>
          <t>TN</t>
        </is>
      </c>
      <c r="J2452" t="inlineStr"/>
      <c r="K2452" t="inlineStr">
        <is>
          <t>20251022</t>
        </is>
      </c>
      <c r="L2452" t="inlineStr">
        <is>
          <t>99991231</t>
        </is>
      </c>
    </row>
    <row r="2453">
      <c r="A2453" t="inlineStr">
        <is>
          <t>900003496</t>
        </is>
      </c>
      <c r="B2453" t="inlineStr">
        <is>
          <t>D836</t>
        </is>
      </c>
      <c r="C2453" t="inlineStr">
        <is>
          <t>67243408</t>
        </is>
      </c>
      <c r="D2453" t="inlineStr">
        <is>
          <t>10000643</t>
        </is>
      </c>
      <c r="E2453" t="inlineStr"/>
      <c r="F2453" s="11" t="n">
        <v>628.9299999999999</v>
      </c>
      <c r="G2453" t="inlineStr"/>
      <c r="I2453" t="inlineStr">
        <is>
          <t>TN</t>
        </is>
      </c>
      <c r="J2453" t="inlineStr"/>
      <c r="K2453" t="inlineStr">
        <is>
          <t>20251022</t>
        </is>
      </c>
      <c r="L2453" t="inlineStr">
        <is>
          <t>99991231</t>
        </is>
      </c>
    </row>
    <row r="2454">
      <c r="A2454" t="inlineStr">
        <is>
          <t>900003496</t>
        </is>
      </c>
      <c r="B2454" t="inlineStr">
        <is>
          <t>D836</t>
        </is>
      </c>
      <c r="C2454" t="inlineStr">
        <is>
          <t>67243408</t>
        </is>
      </c>
      <c r="D2454" t="inlineStr">
        <is>
          <t>10000655</t>
        </is>
      </c>
      <c r="E2454" t="inlineStr"/>
      <c r="F2454" s="11" t="n">
        <v>628.9299999999999</v>
      </c>
      <c r="G2454" t="inlineStr"/>
      <c r="I2454" t="inlineStr">
        <is>
          <t>TN</t>
        </is>
      </c>
      <c r="J2454" t="inlineStr"/>
      <c r="K2454" t="inlineStr">
        <is>
          <t>20250923</t>
        </is>
      </c>
      <c r="L2454" t="inlineStr">
        <is>
          <t>99991231</t>
        </is>
      </c>
    </row>
    <row r="2455">
      <c r="A2455" t="inlineStr">
        <is>
          <t>900003588</t>
        </is>
      </c>
      <c r="B2455" t="inlineStr">
        <is>
          <t>D836</t>
        </is>
      </c>
      <c r="C2455" t="inlineStr">
        <is>
          <t>65908426</t>
        </is>
      </c>
      <c r="D2455" t="inlineStr">
        <is>
          <t>10000625</t>
        </is>
      </c>
      <c r="E2455" t="inlineStr"/>
      <c r="F2455" s="11" t="n">
        <v>64</v>
      </c>
      <c r="G2455" t="inlineStr"/>
      <c r="I2455" t="inlineStr">
        <is>
          <t>TN</t>
        </is>
      </c>
      <c r="J2455" t="inlineStr"/>
      <c r="K2455" t="inlineStr">
        <is>
          <t>20250320</t>
        </is>
      </c>
      <c r="L2455" t="inlineStr">
        <is>
          <t>99991231</t>
        </is>
      </c>
    </row>
    <row r="2456">
      <c r="A2456" t="inlineStr">
        <is>
          <t>900003588</t>
        </is>
      </c>
      <c r="B2456" t="inlineStr">
        <is>
          <t>D836</t>
        </is>
      </c>
      <c r="C2456" t="inlineStr">
        <is>
          <t>66237142</t>
        </is>
      </c>
      <c r="D2456" t="inlineStr">
        <is>
          <t>10000627</t>
        </is>
      </c>
      <c r="E2456" t="inlineStr"/>
      <c r="F2456" s="11" t="n">
        <v>79.98</v>
      </c>
      <c r="G2456" t="inlineStr"/>
      <c r="I2456" t="inlineStr">
        <is>
          <t>TN</t>
        </is>
      </c>
      <c r="J2456" t="inlineStr"/>
      <c r="K2456" t="inlineStr">
        <is>
          <t>20240619</t>
        </is>
      </c>
      <c r="L2456" t="inlineStr">
        <is>
          <t>99991231</t>
        </is>
      </c>
    </row>
    <row r="2457">
      <c r="A2457" t="inlineStr">
        <is>
          <t>900003588</t>
        </is>
      </c>
      <c r="B2457" t="inlineStr">
        <is>
          <t>D836</t>
        </is>
      </c>
      <c r="C2457" t="inlineStr">
        <is>
          <t>66243150</t>
        </is>
      </c>
      <c r="D2457" t="inlineStr">
        <is>
          <t>10000625</t>
        </is>
      </c>
      <c r="E2457" t="inlineStr"/>
      <c r="F2457" s="11" t="n">
        <v>110</v>
      </c>
      <c r="G2457" t="inlineStr"/>
      <c r="I2457" t="inlineStr">
        <is>
          <t>TN</t>
        </is>
      </c>
      <c r="J2457" t="inlineStr"/>
      <c r="K2457" t="inlineStr">
        <is>
          <t>20251113</t>
        </is>
      </c>
      <c r="L2457" t="inlineStr">
        <is>
          <t>99991231</t>
        </is>
      </c>
    </row>
    <row r="2458">
      <c r="A2458" t="inlineStr">
        <is>
          <t>900003588</t>
        </is>
      </c>
      <c r="B2458" t="inlineStr">
        <is>
          <t>D836</t>
        </is>
      </c>
      <c r="C2458" t="inlineStr">
        <is>
          <t>66415270</t>
        </is>
      </c>
      <c r="D2458" t="inlineStr">
        <is>
          <t>10000627</t>
        </is>
      </c>
      <c r="E2458" t="inlineStr"/>
      <c r="F2458" s="11" t="n">
        <v>76</v>
      </c>
      <c r="G2458" t="inlineStr"/>
      <c r="I2458" t="inlineStr">
        <is>
          <t>TN</t>
        </is>
      </c>
      <c r="J2458" t="inlineStr"/>
      <c r="K2458" t="inlineStr">
        <is>
          <t>20240619</t>
        </is>
      </c>
      <c r="L2458" t="inlineStr">
        <is>
          <t>99991231</t>
        </is>
      </c>
    </row>
    <row r="2459">
      <c r="A2459" t="inlineStr">
        <is>
          <t>900003588</t>
        </is>
      </c>
      <c r="B2459" t="inlineStr">
        <is>
          <t>D836</t>
        </is>
      </c>
      <c r="C2459" t="inlineStr">
        <is>
          <t>66582580</t>
        </is>
      </c>
      <c r="D2459" t="inlineStr">
        <is>
          <t>10000625</t>
        </is>
      </c>
      <c r="E2459" t="inlineStr"/>
      <c r="F2459" s="11" t="n">
        <v>55.59</v>
      </c>
      <c r="G2459" t="inlineStr"/>
      <c r="I2459" t="inlineStr">
        <is>
          <t>TN</t>
        </is>
      </c>
      <c r="J2459" t="inlineStr"/>
      <c r="K2459" t="inlineStr">
        <is>
          <t>20250320</t>
        </is>
      </c>
      <c r="L2459" t="inlineStr">
        <is>
          <t>99991231</t>
        </is>
      </c>
    </row>
    <row r="2460">
      <c r="A2460" t="inlineStr">
        <is>
          <t>900003588</t>
        </is>
      </c>
      <c r="B2460" t="inlineStr">
        <is>
          <t>D836</t>
        </is>
      </c>
      <c r="C2460" t="inlineStr">
        <is>
          <t>66595909</t>
        </is>
      </c>
      <c r="D2460" t="inlineStr">
        <is>
          <t>10000625</t>
        </is>
      </c>
      <c r="E2460" t="inlineStr"/>
      <c r="F2460" s="11" t="n">
        <v>51</v>
      </c>
      <c r="G2460" t="inlineStr"/>
      <c r="I2460" t="inlineStr">
        <is>
          <t>TN</t>
        </is>
      </c>
      <c r="J2460" t="inlineStr"/>
      <c r="K2460" t="inlineStr">
        <is>
          <t>20240619</t>
        </is>
      </c>
      <c r="L2460" t="inlineStr">
        <is>
          <t>99991231</t>
        </is>
      </c>
    </row>
    <row r="2461">
      <c r="A2461" t="inlineStr">
        <is>
          <t>900003588</t>
        </is>
      </c>
      <c r="B2461" t="inlineStr">
        <is>
          <t>D836</t>
        </is>
      </c>
      <c r="C2461" t="inlineStr">
        <is>
          <t>66595909</t>
        </is>
      </c>
      <c r="D2461" t="inlineStr">
        <is>
          <t>10000627</t>
        </is>
      </c>
      <c r="E2461" t="inlineStr"/>
      <c r="F2461" s="11" t="n">
        <v>100</v>
      </c>
      <c r="G2461" t="inlineStr"/>
      <c r="I2461" t="inlineStr">
        <is>
          <t>TN</t>
        </is>
      </c>
      <c r="J2461" t="inlineStr"/>
      <c r="K2461" t="inlineStr">
        <is>
          <t>20260417</t>
        </is>
      </c>
      <c r="L2461" t="inlineStr">
        <is>
          <t>99991231</t>
        </is>
      </c>
    </row>
    <row r="2462">
      <c r="A2462" t="inlineStr">
        <is>
          <t>900003588</t>
        </is>
      </c>
      <c r="B2462" t="inlineStr">
        <is>
          <t>D836</t>
        </is>
      </c>
      <c r="C2462" t="inlineStr">
        <is>
          <t>66624554</t>
        </is>
      </c>
      <c r="D2462" t="inlineStr">
        <is>
          <t>10000625</t>
        </is>
      </c>
      <c r="E2462" t="inlineStr"/>
      <c r="F2462" s="11" t="n">
        <v>50.54</v>
      </c>
      <c r="G2462" t="inlineStr"/>
      <c r="I2462" t="inlineStr">
        <is>
          <t>TN</t>
        </is>
      </c>
      <c r="J2462" t="inlineStr"/>
      <c r="K2462" t="inlineStr">
        <is>
          <t>20240619</t>
        </is>
      </c>
      <c r="L2462" t="inlineStr">
        <is>
          <t>99991231</t>
        </is>
      </c>
    </row>
    <row r="2463">
      <c r="A2463" t="inlineStr">
        <is>
          <t>900003588</t>
        </is>
      </c>
      <c r="B2463" t="inlineStr">
        <is>
          <t>D836</t>
        </is>
      </c>
      <c r="C2463" t="inlineStr">
        <is>
          <t>66624554</t>
        </is>
      </c>
      <c r="D2463" t="inlineStr">
        <is>
          <t>10000651</t>
        </is>
      </c>
      <c r="E2463" t="inlineStr"/>
      <c r="F2463" s="11" t="n">
        <v>63</v>
      </c>
      <c r="G2463" t="inlineStr"/>
      <c r="I2463" t="inlineStr">
        <is>
          <t>TN</t>
        </is>
      </c>
      <c r="J2463" t="inlineStr"/>
      <c r="K2463" t="inlineStr">
        <is>
          <t>20240619</t>
        </is>
      </c>
      <c r="L2463" t="inlineStr">
        <is>
          <t>99991231</t>
        </is>
      </c>
    </row>
    <row r="2464">
      <c r="A2464" t="inlineStr">
        <is>
          <t>900003588</t>
        </is>
      </c>
      <c r="B2464" t="inlineStr">
        <is>
          <t>D836</t>
        </is>
      </c>
      <c r="C2464" t="inlineStr">
        <is>
          <t>67126698</t>
        </is>
      </c>
      <c r="D2464" t="inlineStr">
        <is>
          <t>10000625</t>
        </is>
      </c>
      <c r="E2464" t="inlineStr"/>
      <c r="F2464" s="11" t="n">
        <v>55</v>
      </c>
      <c r="G2464" t="inlineStr"/>
      <c r="I2464" t="inlineStr">
        <is>
          <t>TN</t>
        </is>
      </c>
      <c r="J2464" t="inlineStr"/>
      <c r="K2464" t="inlineStr">
        <is>
          <t>20240619</t>
        </is>
      </c>
      <c r="L2464" t="inlineStr">
        <is>
          <t>99991231</t>
        </is>
      </c>
    </row>
    <row r="2465">
      <c r="A2465" t="inlineStr">
        <is>
          <t>900003588</t>
        </is>
      </c>
      <c r="B2465" t="inlineStr">
        <is>
          <t>D836</t>
        </is>
      </c>
      <c r="C2465" t="inlineStr">
        <is>
          <t>67126698</t>
        </is>
      </c>
      <c r="D2465" t="inlineStr">
        <is>
          <t>10000627</t>
        </is>
      </c>
      <c r="E2465" t="inlineStr"/>
      <c r="F2465" s="11" t="n">
        <v>61</v>
      </c>
      <c r="G2465" t="inlineStr"/>
      <c r="I2465" t="inlineStr">
        <is>
          <t>TN</t>
        </is>
      </c>
      <c r="J2465" t="inlineStr"/>
      <c r="K2465" t="inlineStr">
        <is>
          <t>20240619</t>
        </is>
      </c>
      <c r="L2465" t="inlineStr">
        <is>
          <t>99991231</t>
        </is>
      </c>
    </row>
    <row r="2466">
      <c r="A2466" t="inlineStr">
        <is>
          <t>900003588</t>
        </is>
      </c>
      <c r="B2466" t="inlineStr">
        <is>
          <t>D836</t>
        </is>
      </c>
      <c r="C2466" t="inlineStr">
        <is>
          <t>67285266</t>
        </is>
      </c>
      <c r="D2466" t="inlineStr">
        <is>
          <t>10000625</t>
        </is>
      </c>
      <c r="E2466" t="inlineStr"/>
      <c r="F2466" s="11" t="n">
        <v>57</v>
      </c>
      <c r="G2466" t="inlineStr"/>
      <c r="I2466" t="inlineStr">
        <is>
          <t>TN</t>
        </is>
      </c>
      <c r="J2466" t="inlineStr"/>
      <c r="K2466" t="inlineStr">
        <is>
          <t>20240619</t>
        </is>
      </c>
      <c r="L2466" t="inlineStr">
        <is>
          <t>99991231</t>
        </is>
      </c>
    </row>
    <row r="2467">
      <c r="A2467" t="inlineStr">
        <is>
          <t>900003588</t>
        </is>
      </c>
      <c r="B2467" t="inlineStr">
        <is>
          <t>D836</t>
        </is>
      </c>
      <c r="C2467" t="inlineStr">
        <is>
          <t>67362127</t>
        </is>
      </c>
      <c r="D2467" t="inlineStr">
        <is>
          <t>10000625</t>
        </is>
      </c>
      <c r="E2467" t="inlineStr"/>
      <c r="F2467" s="11" t="n">
        <v>57.5</v>
      </c>
      <c r="G2467" t="inlineStr"/>
      <c r="I2467" t="inlineStr">
        <is>
          <t>TN</t>
        </is>
      </c>
      <c r="J2467" t="inlineStr"/>
      <c r="K2467" t="inlineStr">
        <is>
          <t>20260116</t>
        </is>
      </c>
      <c r="L2467" t="inlineStr">
        <is>
          <t>99991231</t>
        </is>
      </c>
    </row>
    <row r="2468">
      <c r="A2468" t="inlineStr">
        <is>
          <t>900003588</t>
        </is>
      </c>
      <c r="B2468" t="inlineStr">
        <is>
          <t>D836</t>
        </is>
      </c>
      <c r="C2468" t="inlineStr">
        <is>
          <t>67362127</t>
        </is>
      </c>
      <c r="D2468" t="inlineStr">
        <is>
          <t>10000627</t>
        </is>
      </c>
      <c r="E2468" t="inlineStr"/>
      <c r="F2468" s="11" t="n">
        <v>67.5</v>
      </c>
      <c r="G2468" t="inlineStr"/>
      <c r="I2468" t="inlineStr">
        <is>
          <t>TN</t>
        </is>
      </c>
      <c r="J2468" t="inlineStr"/>
      <c r="K2468" t="inlineStr">
        <is>
          <t>20260116</t>
        </is>
      </c>
      <c r="L2468" t="inlineStr">
        <is>
          <t>99991231</t>
        </is>
      </c>
    </row>
    <row r="2469">
      <c r="A2469" t="inlineStr">
        <is>
          <t>900003588</t>
        </is>
      </c>
      <c r="B2469" t="inlineStr">
        <is>
          <t>D836</t>
        </is>
      </c>
      <c r="C2469" t="inlineStr">
        <is>
          <t>67362127</t>
        </is>
      </c>
      <c r="D2469" t="inlineStr">
        <is>
          <t>10001354</t>
        </is>
      </c>
      <c r="E2469" t="inlineStr"/>
      <c r="F2469" s="11" t="n">
        <v>132.9</v>
      </c>
      <c r="G2469" t="inlineStr"/>
      <c r="I2469" t="inlineStr">
        <is>
          <t>TN</t>
        </is>
      </c>
      <c r="J2469" t="inlineStr"/>
      <c r="K2469" t="inlineStr">
        <is>
          <t>20260116</t>
        </is>
      </c>
      <c r="L2469" t="inlineStr">
        <is>
          <t>99991231</t>
        </is>
      </c>
    </row>
    <row r="2470">
      <c r="A2470" t="inlineStr">
        <is>
          <t>900003588</t>
        </is>
      </c>
      <c r="B2470" t="inlineStr">
        <is>
          <t>D836</t>
        </is>
      </c>
      <c r="C2470" t="inlineStr">
        <is>
          <t>67362674</t>
        </is>
      </c>
      <c r="D2470" t="inlineStr">
        <is>
          <t>10000625</t>
        </is>
      </c>
      <c r="E2470" t="inlineStr"/>
      <c r="F2470" s="11" t="n">
        <v>57.5</v>
      </c>
      <c r="G2470" t="inlineStr"/>
      <c r="I2470" t="inlineStr">
        <is>
          <t>TN</t>
        </is>
      </c>
      <c r="J2470" t="inlineStr"/>
      <c r="K2470" t="inlineStr">
        <is>
          <t>20260121</t>
        </is>
      </c>
      <c r="L2470" t="inlineStr">
        <is>
          <t>99991231</t>
        </is>
      </c>
    </row>
    <row r="2471">
      <c r="A2471" t="inlineStr">
        <is>
          <t>900003588</t>
        </is>
      </c>
      <c r="B2471" t="inlineStr">
        <is>
          <t>D836</t>
        </is>
      </c>
      <c r="C2471" t="inlineStr">
        <is>
          <t>67362674</t>
        </is>
      </c>
      <c r="D2471" t="inlineStr">
        <is>
          <t>10000627</t>
        </is>
      </c>
      <c r="E2471" t="inlineStr"/>
      <c r="F2471" s="11" t="n">
        <v>67.5</v>
      </c>
      <c r="G2471" t="inlineStr"/>
      <c r="I2471" t="inlineStr">
        <is>
          <t>TN</t>
        </is>
      </c>
      <c r="J2471" t="inlineStr"/>
      <c r="K2471" t="inlineStr">
        <is>
          <t>20260121</t>
        </is>
      </c>
      <c r="L2471" t="inlineStr">
        <is>
          <t>99991231</t>
        </is>
      </c>
    </row>
    <row r="2472">
      <c r="A2472" t="inlineStr">
        <is>
          <t>900003588</t>
        </is>
      </c>
      <c r="B2472" t="inlineStr">
        <is>
          <t>D836</t>
        </is>
      </c>
      <c r="C2472" t="inlineStr">
        <is>
          <t>67362674</t>
        </is>
      </c>
      <c r="D2472" t="inlineStr">
        <is>
          <t>10001354</t>
        </is>
      </c>
      <c r="E2472" t="inlineStr"/>
      <c r="F2472" s="11" t="n">
        <v>132.9</v>
      </c>
      <c r="G2472" t="inlineStr"/>
      <c r="I2472" t="inlineStr">
        <is>
          <t>TN</t>
        </is>
      </c>
      <c r="J2472" t="inlineStr"/>
      <c r="K2472" t="inlineStr">
        <is>
          <t>20260121</t>
        </is>
      </c>
      <c r="L2472" t="inlineStr">
        <is>
          <t>99991231</t>
        </is>
      </c>
    </row>
    <row r="2473">
      <c r="A2473" t="inlineStr">
        <is>
          <t>900003592</t>
        </is>
      </c>
      <c r="B2473" t="inlineStr">
        <is>
          <t>D836</t>
        </is>
      </c>
      <c r="C2473" t="inlineStr">
        <is>
          <t>66243150</t>
        </is>
      </c>
      <c r="D2473" t="inlineStr">
        <is>
          <t>10000623</t>
        </is>
      </c>
      <c r="E2473" t="inlineStr"/>
      <c r="F2473" s="11" t="n">
        <v>127</v>
      </c>
      <c r="G2473" t="inlineStr"/>
      <c r="I2473" t="inlineStr">
        <is>
          <t>TN</t>
        </is>
      </c>
      <c r="J2473" t="inlineStr"/>
      <c r="K2473" t="inlineStr">
        <is>
          <t>20250909</t>
        </is>
      </c>
      <c r="L2473" t="inlineStr">
        <is>
          <t>99991231</t>
        </is>
      </c>
    </row>
    <row r="2474">
      <c r="A2474" t="inlineStr">
        <is>
          <t>900003593</t>
        </is>
      </c>
      <c r="B2474" t="inlineStr">
        <is>
          <t>D836</t>
        </is>
      </c>
      <c r="C2474" t="inlineStr">
        <is>
          <t>67344396</t>
        </is>
      </c>
      <c r="D2474" t="inlineStr">
        <is>
          <t>10000160</t>
        </is>
      </c>
      <c r="E2474" t="inlineStr"/>
      <c r="F2474" s="11" t="n">
        <v>120.68</v>
      </c>
      <c r="G2474" t="inlineStr"/>
      <c r="I2474" t="inlineStr">
        <is>
          <t>M3</t>
        </is>
      </c>
      <c r="J2474" t="inlineStr"/>
      <c r="K2474" t="inlineStr">
        <is>
          <t>20251022</t>
        </is>
      </c>
      <c r="L2474" t="inlineStr">
        <is>
          <t>99991231</t>
        </is>
      </c>
    </row>
    <row r="2475">
      <c r="A2475" t="inlineStr">
        <is>
          <t>900003599</t>
        </is>
      </c>
      <c r="B2475" t="inlineStr">
        <is>
          <t>D836</t>
        </is>
      </c>
      <c r="C2475" t="inlineStr">
        <is>
          <t>67383337</t>
        </is>
      </c>
      <c r="D2475" t="inlineStr">
        <is>
          <t>10280049</t>
        </is>
      </c>
      <c r="E2475" t="inlineStr"/>
      <c r="F2475" s="11" t="n">
        <v>79.03</v>
      </c>
      <c r="G2475" t="inlineStr"/>
      <c r="I2475" t="inlineStr">
        <is>
          <t>TN</t>
        </is>
      </c>
      <c r="J2475" t="inlineStr"/>
      <c r="K2475" t="inlineStr">
        <is>
          <t>20260709</t>
        </is>
      </c>
      <c r="L2475" t="inlineStr">
        <is>
          <t>99991231</t>
        </is>
      </c>
    </row>
    <row r="2476">
      <c r="A2476" t="inlineStr">
        <is>
          <t>900003601</t>
        </is>
      </c>
      <c r="B2476" t="inlineStr">
        <is>
          <t>D836</t>
        </is>
      </c>
      <c r="C2476" t="inlineStr">
        <is>
          <t>65087219</t>
        </is>
      </c>
      <c r="D2476" t="inlineStr">
        <is>
          <t>10000623</t>
        </is>
      </c>
      <c r="E2476" t="inlineStr"/>
      <c r="F2476" s="11" t="n">
        <v>119.64</v>
      </c>
      <c r="G2476" t="inlineStr"/>
      <c r="I2476" t="inlineStr">
        <is>
          <t>TN</t>
        </is>
      </c>
      <c r="J2476" t="inlineStr"/>
      <c r="K2476" t="inlineStr">
        <is>
          <t>20250930</t>
        </is>
      </c>
      <c r="L2476" t="inlineStr">
        <is>
          <t>99991231</t>
        </is>
      </c>
    </row>
    <row r="2477">
      <c r="A2477" t="inlineStr">
        <is>
          <t>900003601</t>
        </is>
      </c>
      <c r="B2477" t="inlineStr">
        <is>
          <t>D836</t>
        </is>
      </c>
      <c r="C2477" t="inlineStr">
        <is>
          <t>65908426</t>
        </is>
      </c>
      <c r="D2477" t="inlineStr">
        <is>
          <t>10000623</t>
        </is>
      </c>
      <c r="E2477" t="inlineStr"/>
      <c r="F2477" s="11" t="n">
        <v>128.7</v>
      </c>
      <c r="G2477" t="inlineStr"/>
      <c r="I2477" t="inlineStr">
        <is>
          <t>TN</t>
        </is>
      </c>
      <c r="J2477" t="inlineStr"/>
      <c r="K2477" t="inlineStr">
        <is>
          <t>20250721</t>
        </is>
      </c>
      <c r="L2477" t="inlineStr">
        <is>
          <t>99991231</t>
        </is>
      </c>
    </row>
    <row r="2478">
      <c r="A2478" t="inlineStr">
        <is>
          <t>900003601</t>
        </is>
      </c>
      <c r="B2478" t="inlineStr">
        <is>
          <t>D836</t>
        </is>
      </c>
      <c r="C2478" t="inlineStr">
        <is>
          <t>66233244</t>
        </is>
      </c>
      <c r="D2478" t="inlineStr">
        <is>
          <t>10000623</t>
        </is>
      </c>
      <c r="E2478" t="inlineStr"/>
      <c r="F2478" s="11" t="n">
        <v>121</v>
      </c>
      <c r="G2478" t="inlineStr"/>
      <c r="I2478" t="inlineStr">
        <is>
          <t>TN</t>
        </is>
      </c>
      <c r="J2478" t="inlineStr"/>
      <c r="K2478" t="inlineStr">
        <is>
          <t>20240619</t>
        </is>
      </c>
      <c r="L2478" t="inlineStr">
        <is>
          <t>99991231</t>
        </is>
      </c>
    </row>
    <row r="2479">
      <c r="A2479" t="inlineStr">
        <is>
          <t>900003601</t>
        </is>
      </c>
      <c r="B2479" t="inlineStr">
        <is>
          <t>D836</t>
        </is>
      </c>
      <c r="C2479" t="inlineStr">
        <is>
          <t>66233244</t>
        </is>
      </c>
      <c r="D2479" t="inlineStr">
        <is>
          <t>10000624</t>
        </is>
      </c>
      <c r="E2479" t="inlineStr"/>
      <c r="F2479" s="11" t="n">
        <v>108</v>
      </c>
      <c r="G2479" t="inlineStr"/>
      <c r="I2479" t="inlineStr">
        <is>
          <t>TN</t>
        </is>
      </c>
      <c r="J2479" t="inlineStr"/>
      <c r="K2479" t="inlineStr">
        <is>
          <t>20240619</t>
        </is>
      </c>
      <c r="L2479" t="inlineStr">
        <is>
          <t>99991231</t>
        </is>
      </c>
    </row>
    <row r="2480">
      <c r="A2480" t="inlineStr">
        <is>
          <t>900003601</t>
        </is>
      </c>
      <c r="B2480" t="inlineStr">
        <is>
          <t>D836</t>
        </is>
      </c>
      <c r="C2480" t="inlineStr">
        <is>
          <t>66233244</t>
        </is>
      </c>
      <c r="D2480" t="inlineStr">
        <is>
          <t>10000811</t>
        </is>
      </c>
      <c r="E2480" t="inlineStr"/>
      <c r="F2480" s="11" t="n">
        <v>122</v>
      </c>
      <c r="G2480" t="inlineStr"/>
      <c r="I2480" t="inlineStr">
        <is>
          <t>TN</t>
        </is>
      </c>
      <c r="J2480" t="inlineStr"/>
      <c r="K2480" t="inlineStr">
        <is>
          <t>20240619</t>
        </is>
      </c>
      <c r="L2480" t="inlineStr">
        <is>
          <t>99991231</t>
        </is>
      </c>
    </row>
    <row r="2481">
      <c r="A2481" t="inlineStr">
        <is>
          <t>900003601</t>
        </is>
      </c>
      <c r="B2481" t="inlineStr">
        <is>
          <t>D836</t>
        </is>
      </c>
      <c r="C2481" t="inlineStr">
        <is>
          <t>66237142</t>
        </is>
      </c>
      <c r="D2481" t="inlineStr">
        <is>
          <t>10000623</t>
        </is>
      </c>
      <c r="E2481" t="inlineStr"/>
      <c r="F2481" s="11" t="n">
        <v>108.76</v>
      </c>
      <c r="G2481" t="inlineStr"/>
      <c r="I2481" t="inlineStr">
        <is>
          <t>TN</t>
        </is>
      </c>
      <c r="J2481" t="inlineStr"/>
      <c r="K2481" t="inlineStr">
        <is>
          <t>20240619</t>
        </is>
      </c>
      <c r="L2481" t="inlineStr">
        <is>
          <t>99991231</t>
        </is>
      </c>
    </row>
    <row r="2482">
      <c r="A2482" t="inlineStr">
        <is>
          <t>900003601</t>
        </is>
      </c>
      <c r="B2482" t="inlineStr">
        <is>
          <t>D836</t>
        </is>
      </c>
      <c r="C2482" t="inlineStr">
        <is>
          <t>66237142</t>
        </is>
      </c>
      <c r="D2482" t="inlineStr">
        <is>
          <t>10000811</t>
        </is>
      </c>
      <c r="E2482" t="inlineStr"/>
      <c r="F2482" s="11" t="n">
        <v>116</v>
      </c>
      <c r="G2482" t="inlineStr"/>
      <c r="I2482" t="inlineStr">
        <is>
          <t>TN</t>
        </is>
      </c>
      <c r="J2482" t="inlineStr"/>
      <c r="K2482" t="inlineStr">
        <is>
          <t>20240619</t>
        </is>
      </c>
      <c r="L2482" t="inlineStr">
        <is>
          <t>99991231</t>
        </is>
      </c>
    </row>
    <row r="2483">
      <c r="A2483" t="inlineStr">
        <is>
          <t>900003601</t>
        </is>
      </c>
      <c r="B2483" t="inlineStr">
        <is>
          <t>D836</t>
        </is>
      </c>
      <c r="C2483" t="inlineStr">
        <is>
          <t>66415270</t>
        </is>
      </c>
      <c r="D2483" t="inlineStr">
        <is>
          <t>10000623</t>
        </is>
      </c>
      <c r="E2483" t="inlineStr"/>
      <c r="F2483" s="11" t="n">
        <v>117.46</v>
      </c>
      <c r="G2483" t="inlineStr"/>
      <c r="I2483" t="inlineStr">
        <is>
          <t>TN</t>
        </is>
      </c>
      <c r="J2483" t="inlineStr"/>
      <c r="K2483" t="inlineStr">
        <is>
          <t>20240619</t>
        </is>
      </c>
      <c r="L2483" t="inlineStr">
        <is>
          <t>99991231</t>
        </is>
      </c>
    </row>
    <row r="2484">
      <c r="A2484" t="inlineStr">
        <is>
          <t>900003601</t>
        </is>
      </c>
      <c r="B2484" t="inlineStr">
        <is>
          <t>D836</t>
        </is>
      </c>
      <c r="C2484" t="inlineStr">
        <is>
          <t>66415270</t>
        </is>
      </c>
      <c r="D2484" t="inlineStr">
        <is>
          <t>10000811</t>
        </is>
      </c>
      <c r="E2484" t="inlineStr"/>
      <c r="F2484" s="11" t="n">
        <v>124.2</v>
      </c>
      <c r="G2484" t="inlineStr"/>
      <c r="I2484" t="inlineStr">
        <is>
          <t>TN</t>
        </is>
      </c>
      <c r="J2484" t="inlineStr"/>
      <c r="K2484" t="inlineStr">
        <is>
          <t>20240619</t>
        </is>
      </c>
      <c r="L2484" t="inlineStr">
        <is>
          <t>99991231</t>
        </is>
      </c>
    </row>
    <row r="2485">
      <c r="A2485" t="inlineStr">
        <is>
          <t>900003601</t>
        </is>
      </c>
      <c r="B2485" t="inlineStr">
        <is>
          <t>D836</t>
        </is>
      </c>
      <c r="C2485" t="inlineStr">
        <is>
          <t>66532867</t>
        </is>
      </c>
      <c r="D2485" t="inlineStr">
        <is>
          <t>10000811</t>
        </is>
      </c>
      <c r="E2485" t="inlineStr"/>
      <c r="F2485" s="11" t="n">
        <v>134</v>
      </c>
      <c r="G2485" t="inlineStr"/>
      <c r="I2485" t="inlineStr">
        <is>
          <t>TN</t>
        </is>
      </c>
      <c r="J2485" t="inlineStr"/>
      <c r="K2485" t="inlineStr">
        <is>
          <t>20260819</t>
        </is>
      </c>
      <c r="L2485" t="inlineStr">
        <is>
          <t>99991231</t>
        </is>
      </c>
    </row>
    <row r="2486">
      <c r="A2486" t="inlineStr">
        <is>
          <t>900003601</t>
        </is>
      </c>
      <c r="B2486" t="inlineStr">
        <is>
          <t>D836</t>
        </is>
      </c>
      <c r="C2486" t="inlineStr">
        <is>
          <t>66576199</t>
        </is>
      </c>
      <c r="D2486" t="inlineStr">
        <is>
          <t>10000811</t>
        </is>
      </c>
      <c r="E2486" t="inlineStr"/>
      <c r="F2486" s="11" t="n">
        <v>134</v>
      </c>
      <c r="G2486" t="inlineStr"/>
      <c r="I2486" t="inlineStr">
        <is>
          <t>TN</t>
        </is>
      </c>
      <c r="J2486" t="inlineStr"/>
      <c r="K2486" t="inlineStr">
        <is>
          <t>20260819</t>
        </is>
      </c>
      <c r="L2486" t="inlineStr">
        <is>
          <t>99991231</t>
        </is>
      </c>
    </row>
    <row r="2487">
      <c r="A2487" t="inlineStr">
        <is>
          <t>900003601</t>
        </is>
      </c>
      <c r="B2487" t="inlineStr">
        <is>
          <t>D836</t>
        </is>
      </c>
      <c r="C2487" t="inlineStr">
        <is>
          <t>66828114</t>
        </is>
      </c>
      <c r="D2487" t="inlineStr">
        <is>
          <t>10000623</t>
        </is>
      </c>
      <c r="E2487" t="inlineStr"/>
      <c r="F2487" s="11" t="n">
        <v>125.6</v>
      </c>
      <c r="G2487" t="inlineStr"/>
      <c r="I2487" t="inlineStr">
        <is>
          <t>TN</t>
        </is>
      </c>
      <c r="J2487" t="inlineStr"/>
      <c r="K2487" t="inlineStr">
        <is>
          <t>20240619</t>
        </is>
      </c>
      <c r="L2487" t="inlineStr">
        <is>
          <t>99991231</t>
        </is>
      </c>
    </row>
    <row r="2488">
      <c r="A2488" t="inlineStr">
        <is>
          <t>900003601</t>
        </is>
      </c>
      <c r="B2488" t="inlineStr">
        <is>
          <t>D836</t>
        </is>
      </c>
      <c r="C2488" t="inlineStr">
        <is>
          <t>67089577</t>
        </is>
      </c>
      <c r="D2488" t="inlineStr">
        <is>
          <t>10000624</t>
        </is>
      </c>
      <c r="E2488" t="inlineStr"/>
      <c r="F2488" s="11" t="n">
        <v>116.6</v>
      </c>
      <c r="G2488" t="inlineStr"/>
      <c r="I2488" t="inlineStr">
        <is>
          <t>TN</t>
        </is>
      </c>
      <c r="J2488" t="inlineStr"/>
      <c r="K2488" t="inlineStr">
        <is>
          <t>20240619</t>
        </is>
      </c>
      <c r="L2488" t="inlineStr">
        <is>
          <t>99991231</t>
        </is>
      </c>
    </row>
    <row r="2489">
      <c r="A2489" t="inlineStr">
        <is>
          <t>900003601</t>
        </is>
      </c>
      <c r="B2489" t="inlineStr">
        <is>
          <t>D836</t>
        </is>
      </c>
      <c r="C2489" t="inlineStr">
        <is>
          <t>67093507</t>
        </is>
      </c>
      <c r="D2489" t="inlineStr">
        <is>
          <t>10000811</t>
        </is>
      </c>
      <c r="E2489" t="inlineStr"/>
      <c r="F2489" s="11" t="n">
        <v>134</v>
      </c>
      <c r="G2489" t="inlineStr"/>
      <c r="I2489" t="inlineStr">
        <is>
          <t>TN</t>
        </is>
      </c>
      <c r="J2489" t="inlineStr"/>
      <c r="K2489" t="inlineStr">
        <is>
          <t>20260819</t>
        </is>
      </c>
      <c r="L2489" t="inlineStr">
        <is>
          <t>99991231</t>
        </is>
      </c>
    </row>
    <row r="2490">
      <c r="A2490" t="inlineStr">
        <is>
          <t>900003601</t>
        </is>
      </c>
      <c r="B2490" t="inlineStr">
        <is>
          <t>D836</t>
        </is>
      </c>
      <c r="C2490" t="inlineStr">
        <is>
          <t>67166394</t>
        </is>
      </c>
      <c r="D2490" t="inlineStr">
        <is>
          <t>10000623</t>
        </is>
      </c>
      <c r="E2490" t="inlineStr"/>
      <c r="F2490" s="11" t="n">
        <v>129.6</v>
      </c>
      <c r="G2490" t="inlineStr"/>
      <c r="I2490" t="inlineStr">
        <is>
          <t>TN</t>
        </is>
      </c>
      <c r="J2490" t="inlineStr"/>
      <c r="K2490" t="inlineStr">
        <is>
          <t>20260817</t>
        </is>
      </c>
      <c r="L2490" t="inlineStr">
        <is>
          <t>99991231</t>
        </is>
      </c>
    </row>
    <row r="2491">
      <c r="A2491" t="inlineStr">
        <is>
          <t>900003601</t>
        </is>
      </c>
      <c r="B2491" t="inlineStr">
        <is>
          <t>D836</t>
        </is>
      </c>
      <c r="C2491" t="inlineStr">
        <is>
          <t>67166394</t>
        </is>
      </c>
      <c r="D2491" t="inlineStr">
        <is>
          <t>10000624</t>
        </is>
      </c>
      <c r="E2491" t="inlineStr"/>
      <c r="F2491" s="11" t="n">
        <v>117</v>
      </c>
      <c r="G2491" t="inlineStr"/>
      <c r="I2491" t="inlineStr">
        <is>
          <t>TN</t>
        </is>
      </c>
      <c r="J2491" t="inlineStr"/>
      <c r="K2491" t="inlineStr">
        <is>
          <t>20260807</t>
        </is>
      </c>
      <c r="L2491" t="inlineStr">
        <is>
          <t>99991231</t>
        </is>
      </c>
    </row>
    <row r="2492">
      <c r="A2492" t="inlineStr">
        <is>
          <t>900003601</t>
        </is>
      </c>
      <c r="B2492" t="inlineStr">
        <is>
          <t>D836</t>
        </is>
      </c>
      <c r="C2492" t="inlineStr">
        <is>
          <t>67166394</t>
        </is>
      </c>
      <c r="D2492" t="inlineStr">
        <is>
          <t>10000811</t>
        </is>
      </c>
      <c r="E2492" t="inlineStr"/>
      <c r="F2492" s="11" t="n">
        <v>127</v>
      </c>
      <c r="G2492" t="inlineStr"/>
      <c r="I2492" t="inlineStr">
        <is>
          <t>TN</t>
        </is>
      </c>
      <c r="J2492" t="inlineStr"/>
      <c r="K2492" t="inlineStr">
        <is>
          <t>20260807</t>
        </is>
      </c>
      <c r="L2492" t="inlineStr">
        <is>
          <t>99991231</t>
        </is>
      </c>
    </row>
    <row r="2493">
      <c r="A2493" t="inlineStr">
        <is>
          <t>900003601</t>
        </is>
      </c>
      <c r="B2493" t="inlineStr">
        <is>
          <t>D836</t>
        </is>
      </c>
      <c r="C2493" t="inlineStr">
        <is>
          <t>67328420</t>
        </is>
      </c>
      <c r="D2493" t="inlineStr">
        <is>
          <t>10000623</t>
        </is>
      </c>
      <c r="E2493" t="inlineStr"/>
      <c r="F2493" s="11" t="n">
        <v>123.5</v>
      </c>
      <c r="G2493" t="inlineStr"/>
      <c r="I2493" t="inlineStr">
        <is>
          <t>TN</t>
        </is>
      </c>
      <c r="J2493" t="inlineStr"/>
      <c r="K2493" t="inlineStr">
        <is>
          <t>20260611</t>
        </is>
      </c>
      <c r="L2493" t="inlineStr">
        <is>
          <t>99991231</t>
        </is>
      </c>
    </row>
    <row r="2494">
      <c r="A2494" t="inlineStr">
        <is>
          <t>900003601</t>
        </is>
      </c>
      <c r="B2494" t="inlineStr">
        <is>
          <t>D836</t>
        </is>
      </c>
      <c r="C2494" t="inlineStr">
        <is>
          <t>67328420</t>
        </is>
      </c>
      <c r="D2494" t="inlineStr">
        <is>
          <t>10000624</t>
        </is>
      </c>
      <c r="E2494" t="inlineStr"/>
      <c r="F2494" s="11" t="n">
        <v>123.5</v>
      </c>
      <c r="G2494" t="inlineStr"/>
      <c r="I2494" t="inlineStr">
        <is>
          <t>TN</t>
        </is>
      </c>
      <c r="J2494" t="inlineStr"/>
      <c r="K2494" t="inlineStr">
        <is>
          <t>20260611</t>
        </is>
      </c>
      <c r="L2494" t="inlineStr">
        <is>
          <t>99991231</t>
        </is>
      </c>
    </row>
    <row r="2495">
      <c r="A2495" t="inlineStr">
        <is>
          <t>900003601</t>
        </is>
      </c>
      <c r="B2495" t="inlineStr">
        <is>
          <t>D836</t>
        </is>
      </c>
      <c r="C2495" t="inlineStr">
        <is>
          <t>67328420</t>
        </is>
      </c>
      <c r="D2495" t="inlineStr">
        <is>
          <t>10000811</t>
        </is>
      </c>
      <c r="E2495" t="inlineStr"/>
      <c r="F2495" s="11" t="n">
        <v>123.5</v>
      </c>
      <c r="G2495" t="inlineStr"/>
      <c r="I2495" t="inlineStr">
        <is>
          <t>TN</t>
        </is>
      </c>
      <c r="J2495" t="inlineStr"/>
      <c r="K2495" t="inlineStr">
        <is>
          <t>20260611</t>
        </is>
      </c>
      <c r="L2495" t="inlineStr">
        <is>
          <t>99991231</t>
        </is>
      </c>
    </row>
    <row r="2496">
      <c r="A2496" t="inlineStr">
        <is>
          <t>900003601</t>
        </is>
      </c>
      <c r="B2496" t="inlineStr">
        <is>
          <t>D836</t>
        </is>
      </c>
      <c r="C2496" t="inlineStr">
        <is>
          <t>67330388</t>
        </is>
      </c>
      <c r="D2496" t="inlineStr">
        <is>
          <t>10000623</t>
        </is>
      </c>
      <c r="E2496" t="inlineStr"/>
      <c r="F2496" s="11" t="n">
        <v>115</v>
      </c>
      <c r="G2496" t="inlineStr"/>
      <c r="I2496" t="inlineStr">
        <is>
          <t>TN</t>
        </is>
      </c>
      <c r="J2496" t="inlineStr"/>
      <c r="K2496" t="inlineStr">
        <is>
          <t>20170101</t>
        </is>
      </c>
      <c r="L2496" t="inlineStr">
        <is>
          <t>99991231</t>
        </is>
      </c>
    </row>
    <row r="2497">
      <c r="A2497" t="inlineStr">
        <is>
          <t>900003601</t>
        </is>
      </c>
      <c r="B2497" t="inlineStr">
        <is>
          <t>D836</t>
        </is>
      </c>
      <c r="C2497" t="inlineStr">
        <is>
          <t>67366346</t>
        </is>
      </c>
      <c r="D2497" t="inlineStr">
        <is>
          <t>10000811</t>
        </is>
      </c>
      <c r="E2497" t="inlineStr"/>
      <c r="F2497" s="11" t="n">
        <v>134</v>
      </c>
      <c r="G2497" t="inlineStr"/>
      <c r="I2497" t="inlineStr">
        <is>
          <t>TN</t>
        </is>
      </c>
      <c r="J2497" t="inlineStr"/>
      <c r="K2497" t="inlineStr">
        <is>
          <t>20260819</t>
        </is>
      </c>
      <c r="L2497" t="inlineStr">
        <is>
          <t>99991231</t>
        </is>
      </c>
    </row>
    <row r="2498">
      <c r="A2498" t="inlineStr">
        <is>
          <t>900003601</t>
        </is>
      </c>
      <c r="B2498" t="inlineStr">
        <is>
          <t>D836</t>
        </is>
      </c>
      <c r="C2498" t="inlineStr">
        <is>
          <t>67366360</t>
        </is>
      </c>
      <c r="D2498" t="inlineStr">
        <is>
          <t>10000811</t>
        </is>
      </c>
      <c r="E2498" t="inlineStr"/>
      <c r="F2498" s="11" t="n">
        <v>134</v>
      </c>
      <c r="G2498" t="inlineStr"/>
      <c r="I2498" t="inlineStr">
        <is>
          <t>TN</t>
        </is>
      </c>
      <c r="J2498" t="inlineStr"/>
      <c r="K2498" t="inlineStr">
        <is>
          <t>20260819</t>
        </is>
      </c>
      <c r="L2498" t="inlineStr">
        <is>
          <t>99991231</t>
        </is>
      </c>
    </row>
    <row r="2499">
      <c r="A2499" t="inlineStr">
        <is>
          <t>900003601</t>
        </is>
      </c>
      <c r="B2499" t="inlineStr">
        <is>
          <t>D836</t>
        </is>
      </c>
      <c r="C2499" t="inlineStr">
        <is>
          <t>67366371</t>
        </is>
      </c>
      <c r="D2499" t="inlineStr">
        <is>
          <t>10000811</t>
        </is>
      </c>
      <c r="E2499" t="inlineStr"/>
      <c r="F2499" s="11" t="n">
        <v>134</v>
      </c>
      <c r="G2499" t="inlineStr"/>
      <c r="I2499" t="inlineStr">
        <is>
          <t>TN</t>
        </is>
      </c>
      <c r="J2499" t="inlineStr"/>
      <c r="K2499" t="inlineStr">
        <is>
          <t>20260819</t>
        </is>
      </c>
      <c r="L2499" t="inlineStr">
        <is>
          <t>99991231</t>
        </is>
      </c>
    </row>
    <row r="2500">
      <c r="A2500" t="inlineStr">
        <is>
          <t>900003601</t>
        </is>
      </c>
      <c r="B2500" t="inlineStr">
        <is>
          <t>D836</t>
        </is>
      </c>
      <c r="C2500" t="inlineStr">
        <is>
          <t>67387748</t>
        </is>
      </c>
      <c r="D2500" t="inlineStr">
        <is>
          <t>10000623</t>
        </is>
      </c>
      <c r="E2500" t="inlineStr"/>
      <c r="F2500" s="11" t="n">
        <v>120</v>
      </c>
      <c r="G2500" t="inlineStr"/>
      <c r="I2500" t="inlineStr">
        <is>
          <t>TN</t>
        </is>
      </c>
      <c r="J2500" t="inlineStr"/>
      <c r="K2500" t="inlineStr">
        <is>
          <t>20260901</t>
        </is>
      </c>
      <c r="L2500" t="inlineStr">
        <is>
          <t>99991231</t>
        </is>
      </c>
    </row>
    <row r="2501">
      <c r="A2501" t="inlineStr">
        <is>
          <t>900003601</t>
        </is>
      </c>
      <c r="B2501" t="inlineStr">
        <is>
          <t>D836</t>
        </is>
      </c>
      <c r="C2501" t="inlineStr">
        <is>
          <t>67387748</t>
        </is>
      </c>
      <c r="D2501" t="inlineStr">
        <is>
          <t>10000624</t>
        </is>
      </c>
      <c r="E2501" t="inlineStr"/>
      <c r="F2501" s="11" t="n">
        <v>117</v>
      </c>
      <c r="G2501" t="inlineStr"/>
      <c r="I2501" t="inlineStr">
        <is>
          <t>TN</t>
        </is>
      </c>
      <c r="J2501" t="inlineStr"/>
      <c r="K2501" t="inlineStr">
        <is>
          <t>20260820</t>
        </is>
      </c>
      <c r="L2501" t="inlineStr">
        <is>
          <t>99991231</t>
        </is>
      </c>
    </row>
    <row r="2502">
      <c r="A2502" t="inlineStr">
        <is>
          <t>900003601</t>
        </is>
      </c>
      <c r="B2502" t="inlineStr">
        <is>
          <t>D836</t>
        </is>
      </c>
      <c r="C2502" t="inlineStr">
        <is>
          <t>67387748</t>
        </is>
      </c>
      <c r="D2502" t="inlineStr">
        <is>
          <t>10000811</t>
        </is>
      </c>
      <c r="E2502" t="inlineStr"/>
      <c r="F2502" s="11" t="n">
        <v>127</v>
      </c>
      <c r="G2502" t="inlineStr"/>
      <c r="I2502" t="inlineStr">
        <is>
          <t>TN</t>
        </is>
      </c>
      <c r="J2502" t="inlineStr"/>
      <c r="K2502" t="inlineStr">
        <is>
          <t>20260831</t>
        </is>
      </c>
      <c r="L2502" t="inlineStr">
        <is>
          <t>99991231</t>
        </is>
      </c>
    </row>
    <row r="2503">
      <c r="A2503" t="inlineStr">
        <is>
          <t>900003609</t>
        </is>
      </c>
      <c r="B2503" t="inlineStr">
        <is>
          <t>D836</t>
        </is>
      </c>
      <c r="C2503" t="inlineStr">
        <is>
          <t>65016451</t>
        </is>
      </c>
      <c r="D2503" t="inlineStr">
        <is>
          <t>10000630</t>
        </is>
      </c>
      <c r="E2503" t="inlineStr"/>
      <c r="F2503" s="11" t="n">
        <v>180</v>
      </c>
      <c r="G2503" t="inlineStr"/>
      <c r="I2503" t="inlineStr">
        <is>
          <t>M3</t>
        </is>
      </c>
      <c r="J2503" t="inlineStr"/>
      <c r="K2503" t="inlineStr">
        <is>
          <t>20260401</t>
        </is>
      </c>
      <c r="L2503" t="inlineStr">
        <is>
          <t>99991231</t>
        </is>
      </c>
    </row>
    <row r="2504">
      <c r="A2504" t="inlineStr">
        <is>
          <t>900003609</t>
        </is>
      </c>
      <c r="B2504" t="inlineStr">
        <is>
          <t>D836</t>
        </is>
      </c>
      <c r="C2504" t="inlineStr">
        <is>
          <t>65016451</t>
        </is>
      </c>
      <c r="D2504" t="inlineStr">
        <is>
          <t>10000811</t>
        </is>
      </c>
      <c r="E2504" t="inlineStr"/>
      <c r="F2504" s="11" t="n">
        <v>190</v>
      </c>
      <c r="G2504" t="inlineStr"/>
      <c r="I2504" t="inlineStr">
        <is>
          <t>M3</t>
        </is>
      </c>
      <c r="J2504" t="inlineStr"/>
      <c r="K2504" t="inlineStr">
        <is>
          <t>20260730</t>
        </is>
      </c>
      <c r="L2504" t="inlineStr">
        <is>
          <t>99991231</t>
        </is>
      </c>
    </row>
    <row r="2505">
      <c r="A2505" t="inlineStr">
        <is>
          <t>900003609</t>
        </is>
      </c>
      <c r="B2505" t="inlineStr">
        <is>
          <t>D836</t>
        </is>
      </c>
      <c r="C2505" t="inlineStr">
        <is>
          <t>66233244</t>
        </is>
      </c>
      <c r="D2505" t="inlineStr">
        <is>
          <t>10000811</t>
        </is>
      </c>
      <c r="E2505" t="inlineStr"/>
      <c r="F2505" s="11" t="n">
        <v>183.38</v>
      </c>
      <c r="G2505" t="inlineStr"/>
      <c r="I2505" t="inlineStr">
        <is>
          <t>M3</t>
        </is>
      </c>
      <c r="J2505" t="inlineStr"/>
      <c r="K2505" t="inlineStr">
        <is>
          <t>20260213</t>
        </is>
      </c>
      <c r="L2505" t="inlineStr">
        <is>
          <t>99991231</t>
        </is>
      </c>
    </row>
    <row r="2506">
      <c r="A2506" t="inlineStr">
        <is>
          <t>900003609</t>
        </is>
      </c>
      <c r="B2506" t="inlineStr">
        <is>
          <t>D836</t>
        </is>
      </c>
      <c r="C2506" t="inlineStr">
        <is>
          <t>66233244</t>
        </is>
      </c>
      <c r="D2506" t="inlineStr">
        <is>
          <t>10058345</t>
        </is>
      </c>
      <c r="E2506" t="inlineStr"/>
      <c r="F2506" s="11" t="n">
        <v>150</v>
      </c>
      <c r="G2506" t="inlineStr"/>
      <c r="I2506" t="inlineStr">
        <is>
          <t>M3</t>
        </is>
      </c>
      <c r="J2506" t="inlineStr"/>
      <c r="K2506" t="inlineStr">
        <is>
          <t>20260625</t>
        </is>
      </c>
      <c r="L2506" t="inlineStr">
        <is>
          <t>99991231</t>
        </is>
      </c>
    </row>
    <row r="2507">
      <c r="A2507" t="inlineStr">
        <is>
          <t>900003609</t>
        </is>
      </c>
      <c r="B2507" t="inlineStr">
        <is>
          <t>D836</t>
        </is>
      </c>
      <c r="C2507" t="inlineStr">
        <is>
          <t>66308834</t>
        </is>
      </c>
      <c r="D2507" t="inlineStr">
        <is>
          <t>10058345</t>
        </is>
      </c>
      <c r="E2507" t="inlineStr"/>
      <c r="F2507" s="11" t="n">
        <v>165</v>
      </c>
      <c r="G2507" t="inlineStr"/>
      <c r="I2507" t="inlineStr">
        <is>
          <t>M3</t>
        </is>
      </c>
      <c r="J2507" t="inlineStr"/>
      <c r="K2507" t="inlineStr">
        <is>
          <t>20260707</t>
        </is>
      </c>
      <c r="L2507" t="inlineStr">
        <is>
          <t>99991231</t>
        </is>
      </c>
    </row>
    <row r="2508">
      <c r="A2508" t="inlineStr">
        <is>
          <t>900003609</t>
        </is>
      </c>
      <c r="B2508" t="inlineStr">
        <is>
          <t>D836</t>
        </is>
      </c>
      <c r="C2508" t="inlineStr">
        <is>
          <t>66414377</t>
        </is>
      </c>
      <c r="D2508" t="inlineStr">
        <is>
          <t>10000811</t>
        </is>
      </c>
      <c r="E2508" t="inlineStr"/>
      <c r="F2508" s="11" t="n">
        <v>190</v>
      </c>
      <c r="G2508" t="inlineStr"/>
      <c r="I2508" t="inlineStr">
        <is>
          <t>M3</t>
        </is>
      </c>
      <c r="J2508" t="inlineStr"/>
      <c r="K2508" t="inlineStr">
        <is>
          <t>20260727</t>
        </is>
      </c>
      <c r="L2508" t="inlineStr">
        <is>
          <t>99991231</t>
        </is>
      </c>
    </row>
    <row r="2509">
      <c r="A2509" t="inlineStr">
        <is>
          <t>900003609</t>
        </is>
      </c>
      <c r="B2509" t="inlineStr">
        <is>
          <t>D836</t>
        </is>
      </c>
      <c r="C2509" t="inlineStr">
        <is>
          <t>66433509</t>
        </is>
      </c>
      <c r="D2509" t="inlineStr">
        <is>
          <t>10000624</t>
        </is>
      </c>
      <c r="E2509" t="inlineStr"/>
      <c r="F2509" s="11" t="n">
        <v>189</v>
      </c>
      <c r="G2509" t="inlineStr"/>
      <c r="I2509" t="inlineStr">
        <is>
          <t>M3</t>
        </is>
      </c>
      <c r="J2509" t="inlineStr"/>
      <c r="K2509" t="inlineStr">
        <is>
          <t>20260213</t>
        </is>
      </c>
      <c r="L2509" t="inlineStr">
        <is>
          <t>99991231</t>
        </is>
      </c>
    </row>
    <row r="2510">
      <c r="A2510" t="inlineStr">
        <is>
          <t>900003609</t>
        </is>
      </c>
      <c r="B2510" t="inlineStr">
        <is>
          <t>D836</t>
        </is>
      </c>
      <c r="C2510" t="inlineStr">
        <is>
          <t>66433509</t>
        </is>
      </c>
      <c r="D2510" t="inlineStr">
        <is>
          <t>10000722</t>
        </is>
      </c>
      <c r="E2510" t="inlineStr"/>
      <c r="F2510" s="11" t="n">
        <v>189</v>
      </c>
      <c r="G2510" t="inlineStr"/>
      <c r="I2510" t="inlineStr">
        <is>
          <t>M3</t>
        </is>
      </c>
      <c r="J2510" t="inlineStr"/>
      <c r="K2510" t="inlineStr">
        <is>
          <t>20260213</t>
        </is>
      </c>
      <c r="L2510" t="inlineStr">
        <is>
          <t>99991231</t>
        </is>
      </c>
    </row>
    <row r="2511">
      <c r="A2511" t="inlineStr">
        <is>
          <t>900003609</t>
        </is>
      </c>
      <c r="B2511" t="inlineStr">
        <is>
          <t>D836</t>
        </is>
      </c>
      <c r="C2511" t="inlineStr">
        <is>
          <t>66595909</t>
        </is>
      </c>
      <c r="D2511" t="inlineStr">
        <is>
          <t>10000624</t>
        </is>
      </c>
      <c r="E2511" t="inlineStr"/>
      <c r="F2511" s="11" t="n">
        <v>180</v>
      </c>
      <c r="G2511" t="inlineStr"/>
      <c r="I2511" t="inlineStr">
        <is>
          <t>M3</t>
        </is>
      </c>
      <c r="J2511" t="inlineStr"/>
      <c r="K2511" t="inlineStr">
        <is>
          <t>20260213</t>
        </is>
      </c>
      <c r="L2511" t="inlineStr">
        <is>
          <t>99991231</t>
        </is>
      </c>
    </row>
    <row r="2512">
      <c r="A2512" t="inlineStr">
        <is>
          <t>900003609</t>
        </is>
      </c>
      <c r="B2512" t="inlineStr">
        <is>
          <t>D836</t>
        </is>
      </c>
      <c r="C2512" t="inlineStr">
        <is>
          <t>66595909</t>
        </is>
      </c>
      <c r="D2512" t="inlineStr">
        <is>
          <t>10000811</t>
        </is>
      </c>
      <c r="E2512" t="inlineStr"/>
      <c r="F2512" s="11" t="n">
        <v>181</v>
      </c>
      <c r="G2512" t="inlineStr"/>
      <c r="I2512" t="inlineStr">
        <is>
          <t>M3</t>
        </is>
      </c>
      <c r="J2512" t="inlineStr"/>
      <c r="K2512" t="inlineStr">
        <is>
          <t>20260213</t>
        </is>
      </c>
      <c r="L2512" t="inlineStr">
        <is>
          <t>99991231</t>
        </is>
      </c>
    </row>
    <row r="2513">
      <c r="A2513" t="inlineStr">
        <is>
          <t>900003609</t>
        </is>
      </c>
      <c r="B2513" t="inlineStr">
        <is>
          <t>D836</t>
        </is>
      </c>
      <c r="C2513" t="inlineStr">
        <is>
          <t>66793827</t>
        </is>
      </c>
      <c r="D2513" t="inlineStr">
        <is>
          <t>10268134</t>
        </is>
      </c>
      <c r="E2513" t="inlineStr"/>
      <c r="F2513" s="11" t="n">
        <v>153.37</v>
      </c>
      <c r="G2513" t="inlineStr"/>
      <c r="I2513" t="inlineStr">
        <is>
          <t>M3</t>
        </is>
      </c>
      <c r="J2513" t="inlineStr"/>
      <c r="K2513" t="inlineStr">
        <is>
          <t>20260428</t>
        </is>
      </c>
      <c r="L2513" t="inlineStr">
        <is>
          <t>99991231</t>
        </is>
      </c>
    </row>
    <row r="2514">
      <c r="A2514" t="inlineStr">
        <is>
          <t>900003609</t>
        </is>
      </c>
      <c r="B2514" t="inlineStr">
        <is>
          <t>D836</t>
        </is>
      </c>
      <c r="C2514" t="inlineStr">
        <is>
          <t>66828114</t>
        </is>
      </c>
      <c r="D2514" t="inlineStr">
        <is>
          <t>10000630</t>
        </is>
      </c>
      <c r="E2514" t="inlineStr"/>
      <c r="F2514" s="11" t="n">
        <v>179.02</v>
      </c>
      <c r="G2514" t="inlineStr"/>
      <c r="I2514" t="inlineStr">
        <is>
          <t>M3</t>
        </is>
      </c>
      <c r="J2514" t="inlineStr"/>
      <c r="K2514" t="inlineStr">
        <is>
          <t>20260213</t>
        </is>
      </c>
      <c r="L2514" t="inlineStr">
        <is>
          <t>99991231</t>
        </is>
      </c>
    </row>
    <row r="2515">
      <c r="A2515" t="inlineStr">
        <is>
          <t>900003609</t>
        </is>
      </c>
      <c r="B2515" t="inlineStr">
        <is>
          <t>D836</t>
        </is>
      </c>
      <c r="C2515" t="inlineStr">
        <is>
          <t>66828114</t>
        </is>
      </c>
      <c r="D2515" t="inlineStr">
        <is>
          <t>10000722</t>
        </is>
      </c>
      <c r="E2515" t="inlineStr"/>
      <c r="F2515" s="11" t="n">
        <v>193</v>
      </c>
      <c r="G2515" t="inlineStr"/>
      <c r="I2515" t="inlineStr">
        <is>
          <t>M3</t>
        </is>
      </c>
      <c r="J2515" t="inlineStr"/>
      <c r="K2515" t="inlineStr">
        <is>
          <t>20260504</t>
        </is>
      </c>
      <c r="L2515" t="inlineStr">
        <is>
          <t>99991231</t>
        </is>
      </c>
    </row>
    <row r="2516">
      <c r="A2516" t="inlineStr">
        <is>
          <t>900003609</t>
        </is>
      </c>
      <c r="B2516" t="inlineStr">
        <is>
          <t>D836</t>
        </is>
      </c>
      <c r="C2516" t="inlineStr">
        <is>
          <t>66828114</t>
        </is>
      </c>
      <c r="D2516" t="inlineStr">
        <is>
          <t>10058345</t>
        </is>
      </c>
      <c r="E2516" t="inlineStr"/>
      <c r="F2516" s="11" t="n">
        <v>150</v>
      </c>
      <c r="G2516" t="inlineStr"/>
      <c r="I2516" t="inlineStr">
        <is>
          <t>M3</t>
        </is>
      </c>
      <c r="J2516" t="inlineStr"/>
      <c r="K2516" t="inlineStr">
        <is>
          <t>20260511</t>
        </is>
      </c>
      <c r="L2516" t="inlineStr">
        <is>
          <t>99991231</t>
        </is>
      </c>
    </row>
    <row r="2517">
      <c r="A2517" t="inlineStr">
        <is>
          <t>900003609</t>
        </is>
      </c>
      <c r="B2517" t="inlineStr">
        <is>
          <t>D836</t>
        </is>
      </c>
      <c r="C2517" t="inlineStr">
        <is>
          <t>66828114</t>
        </is>
      </c>
      <c r="D2517" t="inlineStr">
        <is>
          <t>10207890</t>
        </is>
      </c>
      <c r="E2517" t="inlineStr"/>
      <c r="F2517" s="11" t="n">
        <v>178.65</v>
      </c>
      <c r="G2517" t="inlineStr"/>
      <c r="I2517" t="inlineStr">
        <is>
          <t>M3</t>
        </is>
      </c>
      <c r="J2517" t="inlineStr"/>
      <c r="K2517" t="inlineStr">
        <is>
          <t>20260213</t>
        </is>
      </c>
      <c r="L2517" t="inlineStr">
        <is>
          <t>99991231</t>
        </is>
      </c>
    </row>
    <row r="2518">
      <c r="A2518" t="inlineStr">
        <is>
          <t>900003609</t>
        </is>
      </c>
      <c r="B2518" t="inlineStr">
        <is>
          <t>D836</t>
        </is>
      </c>
      <c r="C2518" t="inlineStr">
        <is>
          <t>66857228</t>
        </is>
      </c>
      <c r="D2518" t="inlineStr">
        <is>
          <t>10000630</t>
        </is>
      </c>
      <c r="E2518" t="inlineStr"/>
      <c r="F2518" s="11" t="n">
        <v>182</v>
      </c>
      <c r="G2518" t="inlineStr"/>
      <c r="I2518" t="inlineStr">
        <is>
          <t>M3</t>
        </is>
      </c>
      <c r="J2518" t="inlineStr"/>
      <c r="K2518" t="inlineStr">
        <is>
          <t>20260313</t>
        </is>
      </c>
      <c r="L2518" t="inlineStr">
        <is>
          <t>99991231</t>
        </is>
      </c>
    </row>
    <row r="2519">
      <c r="A2519" t="inlineStr">
        <is>
          <t>900003609</t>
        </is>
      </c>
      <c r="B2519" t="inlineStr">
        <is>
          <t>D836</t>
        </is>
      </c>
      <c r="C2519" t="inlineStr">
        <is>
          <t>66864508</t>
        </is>
      </c>
      <c r="D2519" t="inlineStr">
        <is>
          <t>10000811</t>
        </is>
      </c>
      <c r="E2519" t="inlineStr"/>
      <c r="F2519" s="11" t="n">
        <v>194.4</v>
      </c>
      <c r="G2519" t="inlineStr"/>
      <c r="I2519" t="inlineStr">
        <is>
          <t>M3</t>
        </is>
      </c>
      <c r="J2519" t="inlineStr"/>
      <c r="K2519" t="inlineStr">
        <is>
          <t>20260213</t>
        </is>
      </c>
      <c r="L2519" t="inlineStr">
        <is>
          <t>99991231</t>
        </is>
      </c>
    </row>
    <row r="2520">
      <c r="A2520" t="inlineStr">
        <is>
          <t>900003609</t>
        </is>
      </c>
      <c r="B2520" t="inlineStr">
        <is>
          <t>D836</t>
        </is>
      </c>
      <c r="C2520" t="inlineStr">
        <is>
          <t>66864540</t>
        </is>
      </c>
      <c r="D2520" t="inlineStr">
        <is>
          <t>10000811</t>
        </is>
      </c>
      <c r="E2520" t="inlineStr"/>
      <c r="F2520" s="11" t="n">
        <v>194.4</v>
      </c>
      <c r="G2520" t="inlineStr"/>
      <c r="I2520" t="inlineStr">
        <is>
          <t>M3</t>
        </is>
      </c>
      <c r="J2520" t="inlineStr"/>
      <c r="K2520" t="inlineStr">
        <is>
          <t>20260213</t>
        </is>
      </c>
      <c r="L2520" t="inlineStr">
        <is>
          <t>99991231</t>
        </is>
      </c>
    </row>
    <row r="2521">
      <c r="A2521" t="inlineStr">
        <is>
          <t>900003609</t>
        </is>
      </c>
      <c r="B2521" t="inlineStr">
        <is>
          <t>D836</t>
        </is>
      </c>
      <c r="C2521" t="inlineStr">
        <is>
          <t>66982053</t>
        </is>
      </c>
      <c r="D2521" t="inlineStr">
        <is>
          <t>10000811</t>
        </is>
      </c>
      <c r="E2521" t="inlineStr"/>
      <c r="F2521" s="11" t="n">
        <v>194.4</v>
      </c>
      <c r="G2521" t="inlineStr"/>
      <c r="I2521" t="inlineStr">
        <is>
          <t>M3</t>
        </is>
      </c>
      <c r="J2521" t="inlineStr"/>
      <c r="K2521" t="inlineStr">
        <is>
          <t>20260213</t>
        </is>
      </c>
      <c r="L2521" t="inlineStr">
        <is>
          <t>99991231</t>
        </is>
      </c>
    </row>
    <row r="2522">
      <c r="A2522" t="inlineStr">
        <is>
          <t>900003609</t>
        </is>
      </c>
      <c r="B2522" t="inlineStr">
        <is>
          <t>D836</t>
        </is>
      </c>
      <c r="C2522" t="inlineStr">
        <is>
          <t>66982053</t>
        </is>
      </c>
      <c r="D2522" t="inlineStr">
        <is>
          <t>10058345</t>
        </is>
      </c>
      <c r="E2522" t="inlineStr"/>
      <c r="F2522" s="11" t="n">
        <v>162</v>
      </c>
      <c r="G2522" t="inlineStr"/>
      <c r="I2522" t="inlineStr">
        <is>
          <t>M3</t>
        </is>
      </c>
      <c r="J2522" t="inlineStr"/>
      <c r="K2522" t="inlineStr">
        <is>
          <t>20260213</t>
        </is>
      </c>
      <c r="L2522" t="inlineStr">
        <is>
          <t>99991231</t>
        </is>
      </c>
    </row>
    <row r="2523">
      <c r="A2523" t="inlineStr">
        <is>
          <t>900003609</t>
        </is>
      </c>
      <c r="B2523" t="inlineStr">
        <is>
          <t>D836</t>
        </is>
      </c>
      <c r="C2523" t="inlineStr">
        <is>
          <t>66982053</t>
        </is>
      </c>
      <c r="D2523" t="inlineStr">
        <is>
          <t>10268134</t>
        </is>
      </c>
      <c r="E2523" t="inlineStr"/>
      <c r="F2523" s="11" t="n">
        <v>156.6</v>
      </c>
      <c r="G2523" t="inlineStr"/>
      <c r="I2523" t="inlineStr">
        <is>
          <t>M3</t>
        </is>
      </c>
      <c r="J2523" t="inlineStr"/>
      <c r="K2523" t="inlineStr">
        <is>
          <t>20260213</t>
        </is>
      </c>
      <c r="L2523" t="inlineStr">
        <is>
          <t>99991231</t>
        </is>
      </c>
    </row>
    <row r="2524">
      <c r="A2524" t="inlineStr">
        <is>
          <t>900003609</t>
        </is>
      </c>
      <c r="B2524" t="inlineStr">
        <is>
          <t>D836</t>
        </is>
      </c>
      <c r="C2524" t="inlineStr">
        <is>
          <t>67012297</t>
        </is>
      </c>
      <c r="D2524" t="inlineStr">
        <is>
          <t>10147486</t>
        </is>
      </c>
      <c r="E2524" t="inlineStr"/>
      <c r="F2524" s="11" t="n">
        <v>189</v>
      </c>
      <c r="G2524" t="inlineStr"/>
      <c r="I2524" t="inlineStr">
        <is>
          <t>M3</t>
        </is>
      </c>
      <c r="J2524" t="inlineStr"/>
      <c r="K2524" t="inlineStr">
        <is>
          <t>20260213</t>
        </is>
      </c>
      <c r="L2524" t="inlineStr">
        <is>
          <t>99991231</t>
        </is>
      </c>
    </row>
    <row r="2525">
      <c r="A2525" t="inlineStr">
        <is>
          <t>900003609</t>
        </is>
      </c>
      <c r="B2525" t="inlineStr">
        <is>
          <t>D836</t>
        </is>
      </c>
      <c r="C2525" t="inlineStr">
        <is>
          <t>67012297</t>
        </is>
      </c>
      <c r="D2525" t="inlineStr">
        <is>
          <t>10226561</t>
        </is>
      </c>
      <c r="E2525" t="inlineStr"/>
      <c r="F2525" s="11" t="n">
        <v>179.28</v>
      </c>
      <c r="G2525" t="inlineStr"/>
      <c r="I2525" t="inlineStr">
        <is>
          <t>M3</t>
        </is>
      </c>
      <c r="J2525" t="inlineStr"/>
      <c r="K2525" t="inlineStr">
        <is>
          <t>20260213</t>
        </is>
      </c>
      <c r="L2525" t="inlineStr">
        <is>
          <t>99991231</t>
        </is>
      </c>
    </row>
    <row r="2526">
      <c r="A2526" t="inlineStr">
        <is>
          <t>900003609</t>
        </is>
      </c>
      <c r="B2526" t="inlineStr">
        <is>
          <t>D836</t>
        </is>
      </c>
      <c r="C2526" t="inlineStr">
        <is>
          <t>67154900</t>
        </is>
      </c>
      <c r="D2526" t="inlineStr">
        <is>
          <t>10000811</t>
        </is>
      </c>
      <c r="E2526" t="inlineStr"/>
      <c r="F2526" s="11" t="n">
        <v>189</v>
      </c>
      <c r="G2526" t="inlineStr"/>
      <c r="I2526" t="inlineStr">
        <is>
          <t>M3</t>
        </is>
      </c>
      <c r="J2526" t="inlineStr"/>
      <c r="K2526" t="inlineStr">
        <is>
          <t>20260213</t>
        </is>
      </c>
      <c r="L2526" t="inlineStr">
        <is>
          <t>99991231</t>
        </is>
      </c>
    </row>
    <row r="2527">
      <c r="A2527" t="inlineStr">
        <is>
          <t>900003609</t>
        </is>
      </c>
      <c r="B2527" t="inlineStr">
        <is>
          <t>D836</t>
        </is>
      </c>
      <c r="C2527" t="inlineStr">
        <is>
          <t>67154900</t>
        </is>
      </c>
      <c r="D2527" t="inlineStr">
        <is>
          <t>10058345</t>
        </is>
      </c>
      <c r="E2527" t="inlineStr"/>
      <c r="F2527" s="11" t="n">
        <v>162</v>
      </c>
      <c r="G2527" t="inlineStr"/>
      <c r="I2527" t="inlineStr">
        <is>
          <t>M3</t>
        </is>
      </c>
      <c r="J2527" t="inlineStr"/>
      <c r="K2527" t="inlineStr">
        <is>
          <t>20260213</t>
        </is>
      </c>
      <c r="L2527" t="inlineStr">
        <is>
          <t>99991231</t>
        </is>
      </c>
    </row>
    <row r="2528">
      <c r="A2528" t="inlineStr">
        <is>
          <t>900003609</t>
        </is>
      </c>
      <c r="B2528" t="inlineStr">
        <is>
          <t>D836</t>
        </is>
      </c>
      <c r="C2528" t="inlineStr">
        <is>
          <t>67221674</t>
        </is>
      </c>
      <c r="D2528" t="inlineStr">
        <is>
          <t>10000630</t>
        </is>
      </c>
      <c r="E2528" t="inlineStr"/>
      <c r="F2528" s="11" t="n">
        <v>189</v>
      </c>
      <c r="G2528" t="inlineStr"/>
      <c r="I2528" t="inlineStr">
        <is>
          <t>M3</t>
        </is>
      </c>
      <c r="J2528" t="inlineStr"/>
      <c r="K2528" t="inlineStr">
        <is>
          <t>20260327</t>
        </is>
      </c>
      <c r="L2528" t="inlineStr">
        <is>
          <t>99991231</t>
        </is>
      </c>
    </row>
    <row r="2529">
      <c r="A2529" t="inlineStr">
        <is>
          <t>900003609</t>
        </is>
      </c>
      <c r="B2529" t="inlineStr">
        <is>
          <t>D836</t>
        </is>
      </c>
      <c r="C2529" t="inlineStr">
        <is>
          <t>67221674</t>
        </is>
      </c>
      <c r="D2529" t="inlineStr">
        <is>
          <t>10000811</t>
        </is>
      </c>
      <c r="E2529" t="inlineStr"/>
      <c r="F2529" s="11" t="n">
        <v>189</v>
      </c>
      <c r="G2529" t="inlineStr"/>
      <c r="I2529" t="inlineStr">
        <is>
          <t>M3</t>
        </is>
      </c>
      <c r="J2529" t="inlineStr"/>
      <c r="K2529" t="inlineStr">
        <is>
          <t>20260213</t>
        </is>
      </c>
      <c r="L2529" t="inlineStr">
        <is>
          <t>99991231</t>
        </is>
      </c>
    </row>
    <row r="2530">
      <c r="A2530" t="inlineStr">
        <is>
          <t>900003609</t>
        </is>
      </c>
      <c r="B2530" t="inlineStr">
        <is>
          <t>D836</t>
        </is>
      </c>
      <c r="C2530" t="inlineStr">
        <is>
          <t>67221674</t>
        </is>
      </c>
      <c r="D2530" t="inlineStr">
        <is>
          <t>10147486</t>
        </is>
      </c>
      <c r="E2530" t="inlineStr"/>
      <c r="F2530" s="11" t="n">
        <v>187.92</v>
      </c>
      <c r="G2530" t="inlineStr"/>
      <c r="I2530" t="inlineStr">
        <is>
          <t>M3</t>
        </is>
      </c>
      <c r="J2530" t="inlineStr"/>
      <c r="K2530" t="inlineStr">
        <is>
          <t>20260213</t>
        </is>
      </c>
      <c r="L2530" t="inlineStr">
        <is>
          <t>99991231</t>
        </is>
      </c>
    </row>
    <row r="2531">
      <c r="A2531" t="inlineStr">
        <is>
          <t>900003609</t>
        </is>
      </c>
      <c r="B2531" t="inlineStr">
        <is>
          <t>D836</t>
        </is>
      </c>
      <c r="C2531" t="inlineStr">
        <is>
          <t>67243408</t>
        </is>
      </c>
      <c r="D2531" t="inlineStr">
        <is>
          <t>10268133</t>
        </is>
      </c>
      <c r="E2531" t="inlineStr"/>
      <c r="F2531" s="11" t="n">
        <v>198.72</v>
      </c>
      <c r="G2531" t="inlineStr"/>
      <c r="I2531" t="inlineStr">
        <is>
          <t>M3</t>
        </is>
      </c>
      <c r="J2531" t="inlineStr"/>
      <c r="K2531" t="inlineStr">
        <is>
          <t>20260213</t>
        </is>
      </c>
      <c r="L2531" t="inlineStr">
        <is>
          <t>99991231</t>
        </is>
      </c>
    </row>
    <row r="2532">
      <c r="A2532" t="inlineStr">
        <is>
          <t>900003609</t>
        </is>
      </c>
      <c r="B2532" t="inlineStr">
        <is>
          <t>D836</t>
        </is>
      </c>
      <c r="C2532" t="inlineStr">
        <is>
          <t>67243408</t>
        </is>
      </c>
      <c r="D2532" t="inlineStr">
        <is>
          <t>10268134</t>
        </is>
      </c>
      <c r="E2532" t="inlineStr"/>
      <c r="F2532" s="11" t="n">
        <v>156.6</v>
      </c>
      <c r="G2532" t="inlineStr"/>
      <c r="I2532" t="inlineStr">
        <is>
          <t>M3</t>
        </is>
      </c>
      <c r="J2532" t="inlineStr"/>
      <c r="K2532" t="inlineStr">
        <is>
          <t>20260213</t>
        </is>
      </c>
      <c r="L2532" t="inlineStr">
        <is>
          <t>99991231</t>
        </is>
      </c>
    </row>
    <row r="2533">
      <c r="A2533" t="inlineStr">
        <is>
          <t>900003609</t>
        </is>
      </c>
      <c r="B2533" t="inlineStr">
        <is>
          <t>D836</t>
        </is>
      </c>
      <c r="C2533" t="inlineStr">
        <is>
          <t>67325663</t>
        </is>
      </c>
      <c r="D2533" t="inlineStr">
        <is>
          <t>10000630</t>
        </is>
      </c>
      <c r="E2533" t="inlineStr"/>
      <c r="F2533" s="11" t="n">
        <v>195</v>
      </c>
      <c r="G2533" t="inlineStr"/>
      <c r="I2533" t="inlineStr">
        <is>
          <t>M3</t>
        </is>
      </c>
      <c r="J2533" t="inlineStr"/>
      <c r="K2533" t="inlineStr">
        <is>
          <t>20260220</t>
        </is>
      </c>
      <c r="L2533" t="inlineStr">
        <is>
          <t>99991231</t>
        </is>
      </c>
    </row>
    <row r="2534">
      <c r="A2534" t="inlineStr">
        <is>
          <t>900003609</t>
        </is>
      </c>
      <c r="B2534" t="inlineStr">
        <is>
          <t>D836</t>
        </is>
      </c>
      <c r="C2534" t="inlineStr">
        <is>
          <t>67328420</t>
        </is>
      </c>
      <c r="D2534" t="inlineStr">
        <is>
          <t>10000624</t>
        </is>
      </c>
      <c r="E2534" t="inlineStr"/>
      <c r="F2534" s="11" t="n">
        <v>172.8</v>
      </c>
      <c r="G2534" t="inlineStr"/>
      <c r="I2534" t="inlineStr">
        <is>
          <t>M3</t>
        </is>
      </c>
      <c r="J2534" t="inlineStr"/>
      <c r="K2534" t="inlineStr">
        <is>
          <t>20260213</t>
        </is>
      </c>
      <c r="L2534" t="inlineStr">
        <is>
          <t>99991231</t>
        </is>
      </c>
    </row>
    <row r="2535">
      <c r="A2535" t="inlineStr">
        <is>
          <t>900003609</t>
        </is>
      </c>
      <c r="B2535" t="inlineStr">
        <is>
          <t>D836</t>
        </is>
      </c>
      <c r="C2535" t="inlineStr">
        <is>
          <t>67328420</t>
        </is>
      </c>
      <c r="D2535" t="inlineStr">
        <is>
          <t>10000630</t>
        </is>
      </c>
      <c r="E2535" t="inlineStr"/>
      <c r="F2535" s="11" t="n">
        <v>191.16</v>
      </c>
      <c r="G2535" t="inlineStr"/>
      <c r="I2535" t="inlineStr">
        <is>
          <t>M3</t>
        </is>
      </c>
      <c r="J2535" t="inlineStr"/>
      <c r="K2535" t="inlineStr">
        <is>
          <t>20260213</t>
        </is>
      </c>
      <c r="L2535" t="inlineStr">
        <is>
          <t>99991231</t>
        </is>
      </c>
    </row>
    <row r="2536">
      <c r="A2536" t="inlineStr">
        <is>
          <t>900003609</t>
        </is>
      </c>
      <c r="B2536" t="inlineStr">
        <is>
          <t>D836</t>
        </is>
      </c>
      <c r="C2536" t="inlineStr">
        <is>
          <t>67328420</t>
        </is>
      </c>
      <c r="D2536" t="inlineStr">
        <is>
          <t>10000811</t>
        </is>
      </c>
      <c r="E2536" t="inlineStr"/>
      <c r="F2536" s="11" t="n">
        <v>182.52</v>
      </c>
      <c r="G2536" t="inlineStr"/>
      <c r="I2536" t="inlineStr">
        <is>
          <t>M3</t>
        </is>
      </c>
      <c r="J2536" t="inlineStr"/>
      <c r="K2536" t="inlineStr">
        <is>
          <t>20260213</t>
        </is>
      </c>
      <c r="L2536" t="inlineStr">
        <is>
          <t>99991231</t>
        </is>
      </c>
    </row>
    <row r="2537">
      <c r="A2537" t="inlineStr">
        <is>
          <t>900003609</t>
        </is>
      </c>
      <c r="B2537" t="inlineStr">
        <is>
          <t>D836</t>
        </is>
      </c>
      <c r="C2537" t="inlineStr">
        <is>
          <t>67328835</t>
        </is>
      </c>
      <c r="D2537" t="inlineStr">
        <is>
          <t>10000630</t>
        </is>
      </c>
      <c r="E2537" t="inlineStr"/>
      <c r="F2537" s="11" t="n">
        <v>182</v>
      </c>
      <c r="G2537" t="inlineStr"/>
      <c r="I2537" t="inlineStr">
        <is>
          <t>M3</t>
        </is>
      </c>
      <c r="J2537" t="inlineStr"/>
      <c r="K2537" t="inlineStr">
        <is>
          <t>20260313</t>
        </is>
      </c>
      <c r="L2537" t="inlineStr">
        <is>
          <t>99991231</t>
        </is>
      </c>
    </row>
    <row r="2538">
      <c r="A2538" t="inlineStr">
        <is>
          <t>900003609</t>
        </is>
      </c>
      <c r="B2538" t="inlineStr">
        <is>
          <t>D836</t>
        </is>
      </c>
      <c r="C2538" t="inlineStr">
        <is>
          <t>67333612</t>
        </is>
      </c>
      <c r="D2538" t="inlineStr">
        <is>
          <t>10000630</t>
        </is>
      </c>
      <c r="E2538" t="inlineStr"/>
      <c r="F2538" s="11" t="n">
        <v>194.4</v>
      </c>
      <c r="G2538" t="inlineStr"/>
      <c r="I2538" t="inlineStr">
        <is>
          <t>M3</t>
        </is>
      </c>
      <c r="J2538" t="inlineStr"/>
      <c r="K2538" t="inlineStr">
        <is>
          <t>20260213</t>
        </is>
      </c>
      <c r="L2538" t="inlineStr">
        <is>
          <t>99991231</t>
        </is>
      </c>
    </row>
    <row r="2539">
      <c r="A2539" t="inlineStr">
        <is>
          <t>900003609</t>
        </is>
      </c>
      <c r="B2539" t="inlineStr">
        <is>
          <t>D836</t>
        </is>
      </c>
      <c r="C2539" t="inlineStr">
        <is>
          <t>67345008</t>
        </is>
      </c>
      <c r="D2539" t="inlineStr">
        <is>
          <t>10000630</t>
        </is>
      </c>
      <c r="E2539" t="inlineStr"/>
      <c r="F2539" s="11" t="n">
        <v>191.16</v>
      </c>
      <c r="G2539" t="inlineStr"/>
      <c r="I2539" t="inlineStr">
        <is>
          <t>M3</t>
        </is>
      </c>
      <c r="J2539" t="inlineStr"/>
      <c r="K2539" t="inlineStr">
        <is>
          <t>20260213</t>
        </is>
      </c>
      <c r="L2539" t="inlineStr">
        <is>
          <t>99991231</t>
        </is>
      </c>
    </row>
    <row r="2540">
      <c r="A2540" t="inlineStr">
        <is>
          <t>900003609</t>
        </is>
      </c>
      <c r="B2540" t="inlineStr">
        <is>
          <t>D836</t>
        </is>
      </c>
      <c r="C2540" t="inlineStr">
        <is>
          <t>67347709</t>
        </is>
      </c>
      <c r="D2540" t="inlineStr">
        <is>
          <t>10000630</t>
        </is>
      </c>
      <c r="E2540" t="inlineStr"/>
      <c r="F2540" s="11" t="n">
        <v>189</v>
      </c>
      <c r="G2540" t="inlineStr"/>
      <c r="I2540" t="inlineStr">
        <is>
          <t>M3</t>
        </is>
      </c>
      <c r="J2540" t="inlineStr"/>
      <c r="K2540" t="inlineStr">
        <is>
          <t>20260213</t>
        </is>
      </c>
      <c r="L2540" t="inlineStr">
        <is>
          <t>99991231</t>
        </is>
      </c>
    </row>
    <row r="2541">
      <c r="A2541" t="inlineStr">
        <is>
          <t>900003609</t>
        </is>
      </c>
      <c r="B2541" t="inlineStr">
        <is>
          <t>D836</t>
        </is>
      </c>
      <c r="C2541" t="inlineStr">
        <is>
          <t>67347709</t>
        </is>
      </c>
      <c r="D2541" t="inlineStr">
        <is>
          <t>10000811</t>
        </is>
      </c>
      <c r="E2541" t="inlineStr"/>
      <c r="F2541" s="11" t="n">
        <v>189</v>
      </c>
      <c r="G2541" t="inlineStr"/>
      <c r="I2541" t="inlineStr">
        <is>
          <t>M3</t>
        </is>
      </c>
      <c r="J2541" t="inlineStr"/>
      <c r="K2541" t="inlineStr">
        <is>
          <t>20260213</t>
        </is>
      </c>
      <c r="L2541" t="inlineStr">
        <is>
          <t>99991231</t>
        </is>
      </c>
    </row>
    <row r="2542">
      <c r="A2542" t="inlineStr">
        <is>
          <t>900003609</t>
        </is>
      </c>
      <c r="B2542" t="inlineStr">
        <is>
          <t>D836</t>
        </is>
      </c>
      <c r="C2542" t="inlineStr">
        <is>
          <t>67347709</t>
        </is>
      </c>
      <c r="D2542" t="inlineStr">
        <is>
          <t>10147486</t>
        </is>
      </c>
      <c r="E2542" t="inlineStr"/>
      <c r="F2542" s="11" t="n">
        <v>187.92</v>
      </c>
      <c r="G2542" t="inlineStr"/>
      <c r="I2542" t="inlineStr">
        <is>
          <t>M3</t>
        </is>
      </c>
      <c r="J2542" t="inlineStr"/>
      <c r="K2542" t="inlineStr">
        <is>
          <t>20260213</t>
        </is>
      </c>
      <c r="L2542" t="inlineStr">
        <is>
          <t>99991231</t>
        </is>
      </c>
    </row>
    <row r="2543">
      <c r="A2543" t="inlineStr">
        <is>
          <t>900003609</t>
        </is>
      </c>
      <c r="B2543" t="inlineStr">
        <is>
          <t>D836</t>
        </is>
      </c>
      <c r="C2543" t="inlineStr">
        <is>
          <t>67362033</t>
        </is>
      </c>
      <c r="D2543" t="inlineStr">
        <is>
          <t>10000811</t>
        </is>
      </c>
      <c r="E2543" t="inlineStr"/>
      <c r="F2543" s="11" t="n">
        <v>180.36</v>
      </c>
      <c r="G2543" t="inlineStr"/>
      <c r="I2543" t="inlineStr">
        <is>
          <t>M3</t>
        </is>
      </c>
      <c r="J2543" t="inlineStr"/>
      <c r="K2543" t="inlineStr">
        <is>
          <t>20260213</t>
        </is>
      </c>
      <c r="L2543" t="inlineStr">
        <is>
          <t>99991231</t>
        </is>
      </c>
    </row>
    <row r="2544">
      <c r="A2544" t="inlineStr">
        <is>
          <t>900003609</t>
        </is>
      </c>
      <c r="B2544" t="inlineStr">
        <is>
          <t>D836</t>
        </is>
      </c>
      <c r="C2544" t="inlineStr">
        <is>
          <t>67362033</t>
        </is>
      </c>
      <c r="D2544" t="inlineStr">
        <is>
          <t>10058345</t>
        </is>
      </c>
      <c r="E2544" t="inlineStr"/>
      <c r="F2544" s="11" t="n">
        <v>147.42</v>
      </c>
      <c r="G2544" t="inlineStr"/>
      <c r="I2544" t="inlineStr">
        <is>
          <t>M3</t>
        </is>
      </c>
      <c r="J2544" t="inlineStr"/>
      <c r="K2544" t="inlineStr">
        <is>
          <t>20260213</t>
        </is>
      </c>
      <c r="L2544" t="inlineStr">
        <is>
          <t>99991231</t>
        </is>
      </c>
    </row>
    <row r="2545">
      <c r="A2545" t="inlineStr">
        <is>
          <t>900003609</t>
        </is>
      </c>
      <c r="B2545" t="inlineStr">
        <is>
          <t>D836</t>
        </is>
      </c>
      <c r="C2545" t="inlineStr">
        <is>
          <t>67365667</t>
        </is>
      </c>
      <c r="D2545" t="inlineStr">
        <is>
          <t>10000630</t>
        </is>
      </c>
      <c r="E2545" t="inlineStr"/>
      <c r="F2545" s="11" t="n">
        <v>210</v>
      </c>
      <c r="G2545" t="inlineStr"/>
      <c r="I2545" t="inlineStr">
        <is>
          <t>M3</t>
        </is>
      </c>
      <c r="J2545" t="inlineStr"/>
      <c r="K2545" t="inlineStr">
        <is>
          <t>20260714</t>
        </is>
      </c>
      <c r="L2545" t="inlineStr">
        <is>
          <t>99991231</t>
        </is>
      </c>
    </row>
    <row r="2546">
      <c r="A2546" t="inlineStr">
        <is>
          <t>900003609</t>
        </is>
      </c>
      <c r="B2546" t="inlineStr">
        <is>
          <t>D836</t>
        </is>
      </c>
      <c r="C2546" t="inlineStr">
        <is>
          <t>67365667</t>
        </is>
      </c>
      <c r="D2546" t="inlineStr">
        <is>
          <t>10000811</t>
        </is>
      </c>
      <c r="E2546" t="inlineStr"/>
      <c r="F2546" s="11" t="n">
        <v>196</v>
      </c>
      <c r="G2546" t="inlineStr"/>
      <c r="I2546" t="inlineStr">
        <is>
          <t>M3</t>
        </is>
      </c>
      <c r="J2546" t="inlineStr"/>
      <c r="K2546" t="inlineStr">
        <is>
          <t>20260714</t>
        </is>
      </c>
      <c r="L2546" t="inlineStr">
        <is>
          <t>99991231</t>
        </is>
      </c>
    </row>
    <row r="2547">
      <c r="A2547" t="inlineStr">
        <is>
          <t>900003609</t>
        </is>
      </c>
      <c r="B2547" t="inlineStr">
        <is>
          <t>D836</t>
        </is>
      </c>
      <c r="C2547" t="inlineStr">
        <is>
          <t>67365667</t>
        </is>
      </c>
      <c r="D2547" t="inlineStr">
        <is>
          <t>10058345</t>
        </is>
      </c>
      <c r="E2547" t="inlineStr"/>
      <c r="F2547" s="11" t="n">
        <v>153</v>
      </c>
      <c r="G2547" t="inlineStr"/>
      <c r="I2547" t="inlineStr">
        <is>
          <t>M3</t>
        </is>
      </c>
      <c r="J2547" t="inlineStr"/>
      <c r="K2547" t="inlineStr">
        <is>
          <t>20260714</t>
        </is>
      </c>
      <c r="L2547" t="inlineStr">
        <is>
          <t>99991231</t>
        </is>
      </c>
    </row>
    <row r="2548">
      <c r="A2548" t="inlineStr">
        <is>
          <t>900003609</t>
        </is>
      </c>
      <c r="B2548" t="inlineStr">
        <is>
          <t>D836</t>
        </is>
      </c>
      <c r="C2548" t="inlineStr">
        <is>
          <t>67382539</t>
        </is>
      </c>
      <c r="D2548" t="inlineStr">
        <is>
          <t>10000630</t>
        </is>
      </c>
      <c r="E2548" t="inlineStr"/>
      <c r="F2548" s="11" t="n">
        <v>189</v>
      </c>
      <c r="G2548" t="inlineStr"/>
      <c r="I2548" t="inlineStr">
        <is>
          <t>M3</t>
        </is>
      </c>
      <c r="J2548" t="inlineStr"/>
      <c r="K2548" t="inlineStr">
        <is>
          <t>20260611</t>
        </is>
      </c>
      <c r="L2548" t="inlineStr">
        <is>
          <t>99991231</t>
        </is>
      </c>
    </row>
    <row r="2549">
      <c r="A2549" t="inlineStr">
        <is>
          <t>900003609</t>
        </is>
      </c>
      <c r="B2549" t="inlineStr">
        <is>
          <t>D836</t>
        </is>
      </c>
      <c r="C2549" t="inlineStr">
        <is>
          <t>67382539</t>
        </is>
      </c>
      <c r="D2549" t="inlineStr">
        <is>
          <t>10000811</t>
        </is>
      </c>
      <c r="E2549" t="inlineStr"/>
      <c r="F2549" s="11" t="n">
        <v>189</v>
      </c>
      <c r="G2549" t="inlineStr"/>
      <c r="I2549" t="inlineStr">
        <is>
          <t>M3</t>
        </is>
      </c>
      <c r="J2549" t="inlineStr"/>
      <c r="K2549" t="inlineStr">
        <is>
          <t>20260611</t>
        </is>
      </c>
      <c r="L2549" t="inlineStr">
        <is>
          <t>99991231</t>
        </is>
      </c>
    </row>
    <row r="2550">
      <c r="A2550" t="inlineStr">
        <is>
          <t>900003609</t>
        </is>
      </c>
      <c r="B2550" t="inlineStr">
        <is>
          <t>D836</t>
        </is>
      </c>
      <c r="C2550" t="inlineStr">
        <is>
          <t>67382539</t>
        </is>
      </c>
      <c r="D2550" t="inlineStr">
        <is>
          <t>10147486</t>
        </is>
      </c>
      <c r="E2550" t="inlineStr"/>
      <c r="F2550" s="11" t="n">
        <v>187.92</v>
      </c>
      <c r="G2550" t="inlineStr"/>
      <c r="I2550" t="inlineStr">
        <is>
          <t>M3</t>
        </is>
      </c>
      <c r="J2550" t="inlineStr"/>
      <c r="K2550" t="inlineStr">
        <is>
          <t>20260611</t>
        </is>
      </c>
      <c r="L2550" t="inlineStr">
        <is>
          <t>99991231</t>
        </is>
      </c>
    </row>
    <row r="2551">
      <c r="A2551" t="inlineStr">
        <is>
          <t>900003609</t>
        </is>
      </c>
      <c r="B2551" t="inlineStr">
        <is>
          <t>D836</t>
        </is>
      </c>
      <c r="C2551" t="inlineStr">
        <is>
          <t>67382542</t>
        </is>
      </c>
      <c r="D2551" t="inlineStr">
        <is>
          <t>10000630</t>
        </is>
      </c>
      <c r="E2551" t="inlineStr"/>
      <c r="F2551" s="11" t="n">
        <v>189</v>
      </c>
      <c r="G2551" t="inlineStr"/>
      <c r="I2551" t="inlineStr">
        <is>
          <t>M3</t>
        </is>
      </c>
      <c r="J2551" t="inlineStr"/>
      <c r="K2551" t="inlineStr">
        <is>
          <t>20260611</t>
        </is>
      </c>
      <c r="L2551" t="inlineStr">
        <is>
          <t>99991231</t>
        </is>
      </c>
    </row>
    <row r="2552">
      <c r="A2552" t="inlineStr">
        <is>
          <t>900003609</t>
        </is>
      </c>
      <c r="B2552" t="inlineStr">
        <is>
          <t>D836</t>
        </is>
      </c>
      <c r="C2552" t="inlineStr">
        <is>
          <t>67382542</t>
        </is>
      </c>
      <c r="D2552" t="inlineStr">
        <is>
          <t>10000811</t>
        </is>
      </c>
      <c r="E2552" t="inlineStr"/>
      <c r="F2552" s="11" t="n">
        <v>189</v>
      </c>
      <c r="G2552" t="inlineStr"/>
      <c r="I2552" t="inlineStr">
        <is>
          <t>M3</t>
        </is>
      </c>
      <c r="J2552" t="inlineStr"/>
      <c r="K2552" t="inlineStr">
        <is>
          <t>20260611</t>
        </is>
      </c>
      <c r="L2552" t="inlineStr">
        <is>
          <t>99991231</t>
        </is>
      </c>
    </row>
    <row r="2553">
      <c r="A2553" t="inlineStr">
        <is>
          <t>900003609</t>
        </is>
      </c>
      <c r="B2553" t="inlineStr">
        <is>
          <t>D836</t>
        </is>
      </c>
      <c r="C2553" t="inlineStr">
        <is>
          <t>67382542</t>
        </is>
      </c>
      <c r="D2553" t="inlineStr">
        <is>
          <t>10147486</t>
        </is>
      </c>
      <c r="E2553" t="inlineStr"/>
      <c r="F2553" s="11" t="n">
        <v>187.92</v>
      </c>
      <c r="G2553" t="inlineStr"/>
      <c r="I2553" t="inlineStr">
        <is>
          <t>M3</t>
        </is>
      </c>
      <c r="J2553" t="inlineStr"/>
      <c r="K2553" t="inlineStr">
        <is>
          <t>20260611</t>
        </is>
      </c>
      <c r="L2553" t="inlineStr">
        <is>
          <t>99991231</t>
        </is>
      </c>
    </row>
    <row r="2554">
      <c r="A2554" t="inlineStr">
        <is>
          <t>900003609</t>
        </is>
      </c>
      <c r="B2554" t="inlineStr">
        <is>
          <t>D836</t>
        </is>
      </c>
      <c r="C2554" t="inlineStr">
        <is>
          <t>67385618</t>
        </is>
      </c>
      <c r="D2554" t="inlineStr">
        <is>
          <t>10000630</t>
        </is>
      </c>
      <c r="E2554" t="inlineStr"/>
      <c r="F2554" s="11" t="n">
        <v>189</v>
      </c>
      <c r="G2554" t="inlineStr"/>
      <c r="I2554" t="inlineStr">
        <is>
          <t>M3</t>
        </is>
      </c>
      <c r="J2554" t="inlineStr"/>
      <c r="K2554" t="inlineStr">
        <is>
          <t>20260708</t>
        </is>
      </c>
      <c r="L2554" t="inlineStr">
        <is>
          <t>99991231</t>
        </is>
      </c>
    </row>
    <row r="2555">
      <c r="A2555" t="inlineStr">
        <is>
          <t>900003609</t>
        </is>
      </c>
      <c r="B2555" t="inlineStr">
        <is>
          <t>D836</t>
        </is>
      </c>
      <c r="C2555" t="inlineStr">
        <is>
          <t>67385618</t>
        </is>
      </c>
      <c r="D2555" t="inlineStr">
        <is>
          <t>10000811</t>
        </is>
      </c>
      <c r="E2555" t="inlineStr"/>
      <c r="F2555" s="11" t="n">
        <v>189</v>
      </c>
      <c r="G2555" t="inlineStr"/>
      <c r="I2555" t="inlineStr">
        <is>
          <t>M3</t>
        </is>
      </c>
      <c r="J2555" t="inlineStr"/>
      <c r="K2555" t="inlineStr">
        <is>
          <t>20260708</t>
        </is>
      </c>
      <c r="L2555" t="inlineStr">
        <is>
          <t>99991231</t>
        </is>
      </c>
    </row>
    <row r="2556">
      <c r="A2556" t="inlineStr">
        <is>
          <t>900003609</t>
        </is>
      </c>
      <c r="B2556" t="inlineStr">
        <is>
          <t>D836</t>
        </is>
      </c>
      <c r="C2556" t="inlineStr">
        <is>
          <t>67385618</t>
        </is>
      </c>
      <c r="D2556" t="inlineStr">
        <is>
          <t>10147486</t>
        </is>
      </c>
      <c r="E2556" t="inlineStr"/>
      <c r="F2556" s="11" t="n">
        <v>187.92</v>
      </c>
      <c r="G2556" t="inlineStr"/>
      <c r="I2556" t="inlineStr">
        <is>
          <t>M3</t>
        </is>
      </c>
      <c r="J2556" t="inlineStr"/>
      <c r="K2556" t="inlineStr">
        <is>
          <t>20260708</t>
        </is>
      </c>
      <c r="L2556" t="inlineStr">
        <is>
          <t>99991231</t>
        </is>
      </c>
    </row>
    <row r="2557">
      <c r="A2557" t="inlineStr">
        <is>
          <t>900003610</t>
        </is>
      </c>
      <c r="B2557" t="inlineStr">
        <is>
          <t>D836</t>
        </is>
      </c>
      <c r="C2557" t="inlineStr">
        <is>
          <t>66828114</t>
        </is>
      </c>
      <c r="D2557" t="inlineStr">
        <is>
          <t>10000651</t>
        </is>
      </c>
      <c r="E2557" t="inlineStr"/>
      <c r="F2557" s="11" t="n">
        <v>115</v>
      </c>
      <c r="G2557" t="inlineStr"/>
      <c r="I2557" t="inlineStr">
        <is>
          <t>M3</t>
        </is>
      </c>
      <c r="J2557" t="inlineStr"/>
      <c r="K2557" t="inlineStr">
        <is>
          <t>20260213</t>
        </is>
      </c>
      <c r="L2557" t="inlineStr">
        <is>
          <t>99991231</t>
        </is>
      </c>
    </row>
    <row r="2558">
      <c r="A2558" t="inlineStr">
        <is>
          <t>900005356</t>
        </is>
      </c>
      <c r="B2558" t="inlineStr">
        <is>
          <t>D836</t>
        </is>
      </c>
      <c r="C2558" t="inlineStr">
        <is>
          <t>65014664</t>
        </is>
      </c>
      <c r="D2558" t="inlineStr">
        <is>
          <t>10000160</t>
        </is>
      </c>
      <c r="E2558" t="inlineStr"/>
      <c r="F2558" s="11" t="n">
        <v>125.4</v>
      </c>
      <c r="G2558" t="inlineStr"/>
      <c r="I2558" t="inlineStr">
        <is>
          <t>M3</t>
        </is>
      </c>
      <c r="J2558" t="inlineStr"/>
      <c r="K2558" t="inlineStr">
        <is>
          <t>20260319</t>
        </is>
      </c>
      <c r="L2558" t="inlineStr">
        <is>
          <t>99991231</t>
        </is>
      </c>
    </row>
    <row r="2559">
      <c r="A2559" t="inlineStr">
        <is>
          <t>900005356</t>
        </is>
      </c>
      <c r="B2559" t="inlineStr">
        <is>
          <t>D836</t>
        </is>
      </c>
      <c r="C2559" t="inlineStr">
        <is>
          <t>66828114</t>
        </is>
      </c>
      <c r="D2559" t="inlineStr">
        <is>
          <t>10000160</t>
        </is>
      </c>
      <c r="E2559" t="inlineStr"/>
      <c r="F2559" s="11" t="n">
        <v>127</v>
      </c>
      <c r="G2559" t="inlineStr"/>
      <c r="I2559" t="inlineStr">
        <is>
          <t>M3</t>
        </is>
      </c>
      <c r="J2559" t="inlineStr"/>
      <c r="K2559" t="inlineStr">
        <is>
          <t>20260319</t>
        </is>
      </c>
      <c r="L2559" t="inlineStr">
        <is>
          <t>99991231</t>
        </is>
      </c>
    </row>
    <row r="2560">
      <c r="A2560" t="inlineStr">
        <is>
          <t>900005356</t>
        </is>
      </c>
      <c r="B2560" t="inlineStr">
        <is>
          <t>D836</t>
        </is>
      </c>
      <c r="C2560" t="inlineStr">
        <is>
          <t>66828114</t>
        </is>
      </c>
      <c r="D2560" t="inlineStr">
        <is>
          <t>10000357</t>
        </is>
      </c>
      <c r="E2560" t="inlineStr"/>
      <c r="F2560" s="11" t="n">
        <v>157</v>
      </c>
      <c r="G2560" t="inlineStr"/>
      <c r="I2560" t="inlineStr">
        <is>
          <t>M3</t>
        </is>
      </c>
      <c r="J2560" t="inlineStr"/>
      <c r="K2560" t="inlineStr">
        <is>
          <t>20260424</t>
        </is>
      </c>
      <c r="L2560" t="inlineStr">
        <is>
          <t>99991231</t>
        </is>
      </c>
    </row>
    <row r="2561">
      <c r="A2561" t="inlineStr">
        <is>
          <t>900005356</t>
        </is>
      </c>
      <c r="B2561" t="inlineStr">
        <is>
          <t>D836</t>
        </is>
      </c>
      <c r="C2561" t="inlineStr">
        <is>
          <t>67166394</t>
        </is>
      </c>
      <c r="D2561" t="inlineStr">
        <is>
          <t>10000160</t>
        </is>
      </c>
      <c r="E2561" t="inlineStr"/>
      <c r="F2561" s="11" t="n">
        <v>127</v>
      </c>
      <c r="G2561" t="inlineStr"/>
      <c r="I2561" t="inlineStr">
        <is>
          <t>M3</t>
        </is>
      </c>
      <c r="J2561" t="inlineStr"/>
      <c r="K2561" t="inlineStr">
        <is>
          <t>20260427</t>
        </is>
      </c>
      <c r="L2561" t="inlineStr">
        <is>
          <t>99991231</t>
        </is>
      </c>
    </row>
    <row r="2562">
      <c r="A2562" t="inlineStr">
        <is>
          <t>900005356</t>
        </is>
      </c>
      <c r="B2562" t="inlineStr">
        <is>
          <t>D836</t>
        </is>
      </c>
      <c r="C2562" t="inlineStr">
        <is>
          <t>67166394</t>
        </is>
      </c>
      <c r="D2562" t="inlineStr">
        <is>
          <t>10000357</t>
        </is>
      </c>
      <c r="E2562" t="inlineStr"/>
      <c r="F2562" s="11" t="n">
        <v>150</v>
      </c>
      <c r="G2562" t="inlineStr"/>
      <c r="I2562" t="inlineStr">
        <is>
          <t>M3</t>
        </is>
      </c>
      <c r="J2562" t="inlineStr"/>
      <c r="K2562" t="inlineStr">
        <is>
          <t>20260427</t>
        </is>
      </c>
      <c r="L2562" t="inlineStr">
        <is>
          <t>99991231</t>
        </is>
      </c>
    </row>
    <row r="2563">
      <c r="A2563" t="inlineStr">
        <is>
          <t>900005356</t>
        </is>
      </c>
      <c r="B2563" t="inlineStr">
        <is>
          <t>D836</t>
        </is>
      </c>
      <c r="C2563" t="inlineStr">
        <is>
          <t>67330388</t>
        </is>
      </c>
      <c r="D2563" t="inlineStr">
        <is>
          <t>10000160</t>
        </is>
      </c>
      <c r="E2563" t="inlineStr"/>
      <c r="F2563" s="11" t="n">
        <v>138</v>
      </c>
      <c r="G2563" t="inlineStr"/>
      <c r="I2563" t="inlineStr">
        <is>
          <t>M3</t>
        </is>
      </c>
      <c r="J2563" t="inlineStr"/>
      <c r="K2563" t="inlineStr">
        <is>
          <t>20260319</t>
        </is>
      </c>
      <c r="L2563" t="inlineStr">
        <is>
          <t>99991231</t>
        </is>
      </c>
    </row>
    <row r="2564">
      <c r="A2564" t="inlineStr">
        <is>
          <t>900005401</t>
        </is>
      </c>
      <c r="B2564" t="inlineStr">
        <is>
          <t>D836</t>
        </is>
      </c>
      <c r="C2564" t="inlineStr">
        <is>
          <t>66982551</t>
        </is>
      </c>
      <c r="D2564" t="inlineStr">
        <is>
          <t>10059181</t>
        </is>
      </c>
      <c r="E2564" t="inlineStr"/>
      <c r="F2564" s="11" t="n">
        <v>81.90000000000001</v>
      </c>
      <c r="G2564" t="inlineStr"/>
      <c r="I2564" t="inlineStr">
        <is>
          <t>M3</t>
        </is>
      </c>
      <c r="J2564" t="inlineStr"/>
      <c r="K2564" t="inlineStr">
        <is>
          <t>20240619</t>
        </is>
      </c>
      <c r="L2564" t="inlineStr">
        <is>
          <t>99991231</t>
        </is>
      </c>
    </row>
    <row r="2565">
      <c r="A2565" t="inlineStr">
        <is>
          <t>900005401</t>
        </is>
      </c>
      <c r="B2565" t="inlineStr">
        <is>
          <t>D836</t>
        </is>
      </c>
      <c r="C2565" t="inlineStr">
        <is>
          <t>67288888</t>
        </is>
      </c>
      <c r="D2565" t="inlineStr">
        <is>
          <t>10059181</t>
        </is>
      </c>
      <c r="E2565" t="inlineStr"/>
      <c r="F2565" s="11" t="n">
        <v>81.09999999999999</v>
      </c>
      <c r="G2565" t="inlineStr"/>
      <c r="I2565" t="inlineStr">
        <is>
          <t>M3</t>
        </is>
      </c>
      <c r="J2565" t="inlineStr"/>
      <c r="K2565" t="inlineStr">
        <is>
          <t>20240619</t>
        </is>
      </c>
      <c r="L2565" t="inlineStr">
        <is>
          <t>99991231</t>
        </is>
      </c>
    </row>
    <row r="2566">
      <c r="A2566" t="inlineStr">
        <is>
          <t>900005627</t>
        </is>
      </c>
      <c r="B2566" t="inlineStr">
        <is>
          <t>D836</t>
        </is>
      </c>
      <c r="C2566" t="inlineStr">
        <is>
          <t>66799029</t>
        </is>
      </c>
      <c r="D2566" t="inlineStr">
        <is>
          <t>10261589</t>
        </is>
      </c>
      <c r="E2566" t="inlineStr"/>
      <c r="F2566" s="11" t="n">
        <v>59</v>
      </c>
      <c r="G2566" t="inlineStr"/>
      <c r="I2566" t="inlineStr">
        <is>
          <t>M3</t>
        </is>
      </c>
      <c r="J2566" t="inlineStr"/>
      <c r="K2566" t="inlineStr">
        <is>
          <t>20241030</t>
        </is>
      </c>
      <c r="L2566" t="inlineStr">
        <is>
          <t>99991231</t>
        </is>
      </c>
    </row>
    <row r="2567">
      <c r="A2567" t="inlineStr">
        <is>
          <t>900005627</t>
        </is>
      </c>
      <c r="B2567" t="inlineStr">
        <is>
          <t>D836</t>
        </is>
      </c>
      <c r="C2567" t="inlineStr">
        <is>
          <t>67160653</t>
        </is>
      </c>
      <c r="D2567" t="inlineStr">
        <is>
          <t>10267272</t>
        </is>
      </c>
      <c r="E2567" t="inlineStr"/>
      <c r="F2567" s="11" t="n">
        <v>170</v>
      </c>
      <c r="G2567" t="inlineStr"/>
      <c r="I2567" t="inlineStr">
        <is>
          <t>M3</t>
        </is>
      </c>
      <c r="J2567" t="inlineStr"/>
      <c r="K2567" t="inlineStr">
        <is>
          <t>20250526</t>
        </is>
      </c>
      <c r="L2567" t="inlineStr">
        <is>
          <t>99991231</t>
        </is>
      </c>
    </row>
    <row r="2568">
      <c r="A2568" t="inlineStr">
        <is>
          <t>900005627</t>
        </is>
      </c>
      <c r="B2568" t="inlineStr">
        <is>
          <t>D836</t>
        </is>
      </c>
      <c r="C2568" t="inlineStr">
        <is>
          <t>67160653</t>
        </is>
      </c>
      <c r="D2568" t="inlineStr">
        <is>
          <t>10267273</t>
        </is>
      </c>
      <c r="E2568" t="inlineStr"/>
      <c r="F2568" s="11" t="n">
        <v>170</v>
      </c>
      <c r="G2568" t="inlineStr"/>
      <c r="I2568" t="inlineStr">
        <is>
          <t>M3</t>
        </is>
      </c>
      <c r="J2568" t="inlineStr"/>
      <c r="K2568" t="inlineStr">
        <is>
          <t>20250526</t>
        </is>
      </c>
      <c r="L2568" t="inlineStr">
        <is>
          <t>99991231</t>
        </is>
      </c>
    </row>
    <row r="2569">
      <c r="A2569" t="inlineStr">
        <is>
          <t>900005627</t>
        </is>
      </c>
      <c r="B2569" t="inlineStr">
        <is>
          <t>D836</t>
        </is>
      </c>
      <c r="C2569" t="inlineStr">
        <is>
          <t>67160653</t>
        </is>
      </c>
      <c r="D2569" t="inlineStr">
        <is>
          <t>10267274</t>
        </is>
      </c>
      <c r="E2569" t="inlineStr"/>
      <c r="F2569" s="11" t="n">
        <v>80</v>
      </c>
      <c r="G2569" t="inlineStr"/>
      <c r="I2569" t="inlineStr">
        <is>
          <t>M3</t>
        </is>
      </c>
      <c r="J2569" t="inlineStr"/>
      <c r="K2569" t="inlineStr">
        <is>
          <t>20250526</t>
        </is>
      </c>
      <c r="L2569" t="inlineStr">
        <is>
          <t>99991231</t>
        </is>
      </c>
    </row>
    <row r="2570">
      <c r="A2570" t="inlineStr">
        <is>
          <t>900005627</t>
        </is>
      </c>
      <c r="B2570" t="inlineStr">
        <is>
          <t>D836</t>
        </is>
      </c>
      <c r="C2570" t="inlineStr">
        <is>
          <t>67221674</t>
        </is>
      </c>
      <c r="D2570" t="inlineStr">
        <is>
          <t>10215074</t>
        </is>
      </c>
      <c r="E2570" t="inlineStr"/>
      <c r="F2570" s="11" t="n">
        <v>111</v>
      </c>
      <c r="G2570" t="inlineStr"/>
      <c r="I2570" t="inlineStr">
        <is>
          <t>M3</t>
        </is>
      </c>
      <c r="J2570" t="inlineStr"/>
      <c r="K2570" t="inlineStr">
        <is>
          <t>20250813</t>
        </is>
      </c>
      <c r="L2570" t="inlineStr">
        <is>
          <t>99991231</t>
        </is>
      </c>
    </row>
    <row r="2571">
      <c r="A2571" t="inlineStr">
        <is>
          <t>900005627</t>
        </is>
      </c>
      <c r="B2571" t="inlineStr">
        <is>
          <t>D836</t>
        </is>
      </c>
      <c r="C2571" t="inlineStr">
        <is>
          <t>67221674</t>
        </is>
      </c>
      <c r="D2571" t="inlineStr">
        <is>
          <t>10260055</t>
        </is>
      </c>
      <c r="E2571" t="inlineStr"/>
      <c r="F2571" s="11" t="n">
        <v>100</v>
      </c>
      <c r="G2571" t="inlineStr"/>
      <c r="I2571" t="inlineStr">
        <is>
          <t>M3</t>
        </is>
      </c>
      <c r="J2571" t="inlineStr"/>
      <c r="K2571" t="inlineStr">
        <is>
          <t>20240619</t>
        </is>
      </c>
      <c r="L2571" t="inlineStr">
        <is>
          <t>99991231</t>
        </is>
      </c>
    </row>
    <row r="2572">
      <c r="A2572" t="inlineStr">
        <is>
          <t>900005627</t>
        </is>
      </c>
      <c r="B2572" t="inlineStr">
        <is>
          <t>D836</t>
        </is>
      </c>
      <c r="C2572" t="inlineStr">
        <is>
          <t>67347709</t>
        </is>
      </c>
      <c r="D2572" t="inlineStr">
        <is>
          <t>10215074</t>
        </is>
      </c>
      <c r="E2572" t="inlineStr"/>
      <c r="F2572" s="11" t="n">
        <v>111</v>
      </c>
      <c r="G2572" t="inlineStr"/>
      <c r="I2572" t="inlineStr">
        <is>
          <t>M3</t>
        </is>
      </c>
      <c r="J2572" t="inlineStr"/>
      <c r="K2572" t="inlineStr">
        <is>
          <t>20251105</t>
        </is>
      </c>
      <c r="L2572" t="inlineStr">
        <is>
          <t>99991231</t>
        </is>
      </c>
    </row>
    <row r="2573">
      <c r="A2573" t="inlineStr">
        <is>
          <t>900005627</t>
        </is>
      </c>
      <c r="B2573" t="inlineStr">
        <is>
          <t>D836</t>
        </is>
      </c>
      <c r="C2573" t="inlineStr">
        <is>
          <t>67347709</t>
        </is>
      </c>
      <c r="D2573" t="inlineStr">
        <is>
          <t>10260055</t>
        </is>
      </c>
      <c r="E2573" t="inlineStr"/>
      <c r="F2573" s="11" t="n">
        <v>100</v>
      </c>
      <c r="G2573" t="inlineStr"/>
      <c r="I2573" t="inlineStr">
        <is>
          <t>M3</t>
        </is>
      </c>
      <c r="J2573" t="inlineStr"/>
      <c r="K2573" t="inlineStr">
        <is>
          <t>20251105</t>
        </is>
      </c>
      <c r="L2573" t="inlineStr">
        <is>
          <t>99991231</t>
        </is>
      </c>
    </row>
    <row r="2574">
      <c r="A2574" t="inlineStr">
        <is>
          <t>900005627</t>
        </is>
      </c>
      <c r="B2574" t="inlineStr">
        <is>
          <t>D836</t>
        </is>
      </c>
      <c r="C2574" t="inlineStr">
        <is>
          <t>67362127</t>
        </is>
      </c>
      <c r="D2574" t="inlineStr">
        <is>
          <t>10260055</t>
        </is>
      </c>
      <c r="E2574" t="inlineStr"/>
      <c r="F2574" s="11" t="n">
        <v>99</v>
      </c>
      <c r="G2574" t="inlineStr"/>
      <c r="I2574" t="inlineStr">
        <is>
          <t>M3</t>
        </is>
      </c>
      <c r="J2574" t="inlineStr"/>
      <c r="K2574" t="inlineStr">
        <is>
          <t>20260116</t>
        </is>
      </c>
      <c r="L2574" t="inlineStr">
        <is>
          <t>99991231</t>
        </is>
      </c>
    </row>
    <row r="2575">
      <c r="A2575" t="inlineStr">
        <is>
          <t>900005627</t>
        </is>
      </c>
      <c r="B2575" t="inlineStr">
        <is>
          <t>D836</t>
        </is>
      </c>
      <c r="C2575" t="inlineStr">
        <is>
          <t>67362674</t>
        </is>
      </c>
      <c r="D2575" t="inlineStr">
        <is>
          <t>10260055</t>
        </is>
      </c>
      <c r="E2575" t="inlineStr"/>
      <c r="F2575" s="11" t="n">
        <v>99</v>
      </c>
      <c r="G2575" t="inlineStr"/>
      <c r="I2575" t="inlineStr">
        <is>
          <t>M3</t>
        </is>
      </c>
      <c r="J2575" t="inlineStr"/>
      <c r="K2575" t="inlineStr">
        <is>
          <t>20260121</t>
        </is>
      </c>
      <c r="L2575" t="inlineStr">
        <is>
          <t>99991231</t>
        </is>
      </c>
    </row>
    <row r="2576">
      <c r="A2576" t="inlineStr">
        <is>
          <t>900005627</t>
        </is>
      </c>
      <c r="B2576" t="inlineStr">
        <is>
          <t>D836</t>
        </is>
      </c>
      <c r="C2576" t="inlineStr">
        <is>
          <t>67364131</t>
        </is>
      </c>
      <c r="D2576" t="inlineStr">
        <is>
          <t>10260055</t>
        </is>
      </c>
      <c r="E2576" t="inlineStr"/>
      <c r="F2576" s="11" t="n">
        <v>99</v>
      </c>
      <c r="G2576" t="inlineStr"/>
      <c r="I2576" t="inlineStr">
        <is>
          <t>M3</t>
        </is>
      </c>
      <c r="J2576" t="inlineStr"/>
      <c r="K2576" t="inlineStr">
        <is>
          <t>20260203</t>
        </is>
      </c>
      <c r="L2576" t="inlineStr">
        <is>
          <t>99991231</t>
        </is>
      </c>
    </row>
    <row r="2577">
      <c r="A2577" t="inlineStr">
        <is>
          <t>900005627</t>
        </is>
      </c>
      <c r="B2577" t="inlineStr">
        <is>
          <t>D836</t>
        </is>
      </c>
      <c r="C2577" t="inlineStr">
        <is>
          <t>67382539</t>
        </is>
      </c>
      <c r="D2577" t="inlineStr">
        <is>
          <t>10215074</t>
        </is>
      </c>
      <c r="E2577" t="inlineStr"/>
      <c r="F2577" s="11" t="n">
        <v>111</v>
      </c>
      <c r="G2577" t="inlineStr"/>
      <c r="I2577" t="inlineStr">
        <is>
          <t>M3</t>
        </is>
      </c>
      <c r="J2577" t="inlineStr"/>
      <c r="K2577" t="inlineStr">
        <is>
          <t>20260611</t>
        </is>
      </c>
      <c r="L2577" t="inlineStr">
        <is>
          <t>99991231</t>
        </is>
      </c>
    </row>
    <row r="2578">
      <c r="A2578" t="inlineStr">
        <is>
          <t>900005627</t>
        </is>
      </c>
      <c r="B2578" t="inlineStr">
        <is>
          <t>D836</t>
        </is>
      </c>
      <c r="C2578" t="inlineStr">
        <is>
          <t>67382539</t>
        </is>
      </c>
      <c r="D2578" t="inlineStr">
        <is>
          <t>10260055</t>
        </is>
      </c>
      <c r="E2578" t="inlineStr"/>
      <c r="F2578" s="11" t="n">
        <v>100</v>
      </c>
      <c r="G2578" t="inlineStr"/>
      <c r="I2578" t="inlineStr">
        <is>
          <t>M3</t>
        </is>
      </c>
      <c r="J2578" t="inlineStr"/>
      <c r="K2578" t="inlineStr">
        <is>
          <t>20260611</t>
        </is>
      </c>
      <c r="L2578" t="inlineStr">
        <is>
          <t>99991231</t>
        </is>
      </c>
    </row>
    <row r="2579">
      <c r="A2579" t="inlineStr">
        <is>
          <t>900005627</t>
        </is>
      </c>
      <c r="B2579" t="inlineStr">
        <is>
          <t>D836</t>
        </is>
      </c>
      <c r="C2579" t="inlineStr">
        <is>
          <t>67382542</t>
        </is>
      </c>
      <c r="D2579" t="inlineStr">
        <is>
          <t>10215074</t>
        </is>
      </c>
      <c r="E2579" t="inlineStr"/>
      <c r="F2579" s="11" t="n">
        <v>111</v>
      </c>
      <c r="G2579" t="inlineStr"/>
      <c r="I2579" t="inlineStr">
        <is>
          <t>M3</t>
        </is>
      </c>
      <c r="J2579" t="inlineStr"/>
      <c r="K2579" t="inlineStr">
        <is>
          <t>20260611</t>
        </is>
      </c>
      <c r="L2579" t="inlineStr">
        <is>
          <t>99991231</t>
        </is>
      </c>
    </row>
    <row r="2580">
      <c r="A2580" t="inlineStr">
        <is>
          <t>900005627</t>
        </is>
      </c>
      <c r="B2580" t="inlineStr">
        <is>
          <t>D836</t>
        </is>
      </c>
      <c r="C2580" t="inlineStr">
        <is>
          <t>67382542</t>
        </is>
      </c>
      <c r="D2580" t="inlineStr">
        <is>
          <t>10260055</t>
        </is>
      </c>
      <c r="E2580" t="inlineStr"/>
      <c r="F2580" s="11" t="n">
        <v>100</v>
      </c>
      <c r="G2580" t="inlineStr"/>
      <c r="I2580" t="inlineStr">
        <is>
          <t>M3</t>
        </is>
      </c>
      <c r="J2580" t="inlineStr"/>
      <c r="K2580" t="inlineStr">
        <is>
          <t>20260611</t>
        </is>
      </c>
      <c r="L2580" t="inlineStr">
        <is>
          <t>99991231</t>
        </is>
      </c>
    </row>
    <row r="2581">
      <c r="A2581" t="inlineStr">
        <is>
          <t>900005627</t>
        </is>
      </c>
      <c r="B2581" t="inlineStr">
        <is>
          <t>D836</t>
        </is>
      </c>
      <c r="C2581" t="inlineStr">
        <is>
          <t>67385618</t>
        </is>
      </c>
      <c r="D2581" t="inlineStr">
        <is>
          <t>10215074</t>
        </is>
      </c>
      <c r="E2581" t="inlineStr"/>
      <c r="F2581" s="11" t="n">
        <v>111</v>
      </c>
      <c r="G2581" t="inlineStr"/>
      <c r="I2581" t="inlineStr">
        <is>
          <t>M3</t>
        </is>
      </c>
      <c r="J2581" t="inlineStr"/>
      <c r="K2581" t="inlineStr">
        <is>
          <t>20260708</t>
        </is>
      </c>
      <c r="L2581" t="inlineStr">
        <is>
          <t>99991231</t>
        </is>
      </c>
    </row>
    <row r="2582">
      <c r="A2582" t="inlineStr">
        <is>
          <t>900005627</t>
        </is>
      </c>
      <c r="B2582" t="inlineStr">
        <is>
          <t>D836</t>
        </is>
      </c>
      <c r="C2582" t="inlineStr">
        <is>
          <t>67385618</t>
        </is>
      </c>
      <c r="D2582" t="inlineStr">
        <is>
          <t>10260055</t>
        </is>
      </c>
      <c r="E2582" t="inlineStr"/>
      <c r="F2582" s="11" t="n">
        <v>100</v>
      </c>
      <c r="G2582" t="inlineStr"/>
      <c r="I2582" t="inlineStr">
        <is>
          <t>M3</t>
        </is>
      </c>
      <c r="J2582" t="inlineStr"/>
      <c r="K2582" t="inlineStr">
        <is>
          <t>20260708</t>
        </is>
      </c>
      <c r="L2582" t="inlineStr">
        <is>
          <t>99991231</t>
        </is>
      </c>
    </row>
    <row r="2583">
      <c r="A2583" t="inlineStr">
        <is>
          <t>900006005</t>
        </is>
      </c>
      <c r="B2583" t="inlineStr">
        <is>
          <t>D836</t>
        </is>
      </c>
      <c r="C2583" t="inlineStr">
        <is>
          <t>66844918</t>
        </is>
      </c>
      <c r="D2583" t="inlineStr">
        <is>
          <t>10000630</t>
        </is>
      </c>
      <c r="E2583" t="inlineStr"/>
      <c r="F2583" s="11" t="n">
        <v>120</v>
      </c>
      <c r="G2583" t="inlineStr"/>
      <c r="I2583" t="inlineStr">
        <is>
          <t>M3</t>
        </is>
      </c>
      <c r="J2583" t="inlineStr"/>
      <c r="K2583" t="inlineStr">
        <is>
          <t>20200210</t>
        </is>
      </c>
      <c r="L2583" t="inlineStr">
        <is>
          <t>99991231</t>
        </is>
      </c>
    </row>
    <row r="2584">
      <c r="A2584" t="inlineStr">
        <is>
          <t>900006351</t>
        </is>
      </c>
      <c r="B2584" t="inlineStr">
        <is>
          <t>D836</t>
        </is>
      </c>
      <c r="C2584" t="inlineStr">
        <is>
          <t>65016451</t>
        </is>
      </c>
      <c r="D2584" t="inlineStr">
        <is>
          <t>10000630</t>
        </is>
      </c>
      <c r="E2584" t="inlineStr"/>
      <c r="F2584" s="11" t="n">
        <v>230</v>
      </c>
      <c r="G2584" t="inlineStr"/>
      <c r="I2584" t="inlineStr">
        <is>
          <t>M3</t>
        </is>
      </c>
      <c r="J2584" t="inlineStr"/>
      <c r="K2584" t="inlineStr">
        <is>
          <t>20260401</t>
        </is>
      </c>
      <c r="L2584" t="inlineStr">
        <is>
          <t>99991231</t>
        </is>
      </c>
    </row>
    <row r="2585">
      <c r="A2585" t="inlineStr">
        <is>
          <t>900006351</t>
        </is>
      </c>
      <c r="B2585" t="inlineStr">
        <is>
          <t>D836</t>
        </is>
      </c>
      <c r="C2585" t="inlineStr">
        <is>
          <t>65087219</t>
        </is>
      </c>
      <c r="D2585" t="inlineStr">
        <is>
          <t>10000630</t>
        </is>
      </c>
      <c r="E2585" t="inlineStr"/>
      <c r="F2585" s="11" t="n">
        <v>224</v>
      </c>
      <c r="G2585" t="inlineStr"/>
      <c r="I2585" t="inlineStr">
        <is>
          <t>M3</t>
        </is>
      </c>
      <c r="J2585" t="inlineStr"/>
      <c r="K2585" t="inlineStr">
        <is>
          <t>20260327</t>
        </is>
      </c>
      <c r="L2585" t="inlineStr">
        <is>
          <t>99991231</t>
        </is>
      </c>
    </row>
    <row r="2586">
      <c r="A2586" t="inlineStr">
        <is>
          <t>900006371</t>
        </is>
      </c>
      <c r="B2586" t="inlineStr">
        <is>
          <t>D836</t>
        </is>
      </c>
      <c r="C2586" t="inlineStr">
        <is>
          <t>65014664</t>
        </is>
      </c>
      <c r="D2586" t="inlineStr">
        <is>
          <t>10000160</t>
        </is>
      </c>
      <c r="E2586" t="inlineStr"/>
      <c r="F2586" s="11" t="n">
        <v>119.9</v>
      </c>
      <c r="G2586" t="inlineStr"/>
      <c r="I2586" t="inlineStr">
        <is>
          <t>M3</t>
        </is>
      </c>
      <c r="J2586" t="inlineStr"/>
      <c r="K2586" t="inlineStr">
        <is>
          <t>20260428</t>
        </is>
      </c>
      <c r="L2586" t="inlineStr">
        <is>
          <t>99991231</t>
        </is>
      </c>
    </row>
    <row r="2587">
      <c r="A2587" t="inlineStr">
        <is>
          <t>900006371</t>
        </is>
      </c>
      <c r="B2587" t="inlineStr">
        <is>
          <t>D836</t>
        </is>
      </c>
      <c r="C2587" t="inlineStr">
        <is>
          <t>65014664</t>
        </is>
      </c>
      <c r="D2587" t="inlineStr">
        <is>
          <t>10000206</t>
        </is>
      </c>
      <c r="E2587" t="inlineStr"/>
      <c r="F2587" s="11" t="n">
        <v>30</v>
      </c>
      <c r="G2587" t="inlineStr"/>
      <c r="I2587" t="inlineStr">
        <is>
          <t>M3</t>
        </is>
      </c>
      <c r="J2587" t="inlineStr"/>
      <c r="K2587" t="inlineStr">
        <is>
          <t>20251111</t>
        </is>
      </c>
      <c r="L2587" t="inlineStr">
        <is>
          <t>99991231</t>
        </is>
      </c>
    </row>
    <row r="2588">
      <c r="A2588" t="inlineStr">
        <is>
          <t>900006371</t>
        </is>
      </c>
      <c r="B2588" t="inlineStr">
        <is>
          <t>D836</t>
        </is>
      </c>
      <c r="C2588" t="inlineStr">
        <is>
          <t>65014664</t>
        </is>
      </c>
      <c r="D2588" t="inlineStr">
        <is>
          <t>10000627</t>
        </is>
      </c>
      <c r="E2588" t="inlineStr"/>
      <c r="F2588" s="11" t="n">
        <v>125</v>
      </c>
      <c r="G2588" t="inlineStr"/>
      <c r="I2588" t="inlineStr">
        <is>
          <t>M3</t>
        </is>
      </c>
      <c r="J2588" t="inlineStr"/>
      <c r="K2588" t="inlineStr">
        <is>
          <t>20260420</t>
        </is>
      </c>
      <c r="L2588" t="inlineStr">
        <is>
          <t>99991231</t>
        </is>
      </c>
    </row>
    <row r="2589">
      <c r="A2589" t="inlineStr">
        <is>
          <t>900006371</t>
        </is>
      </c>
      <c r="B2589" t="inlineStr">
        <is>
          <t>D836</t>
        </is>
      </c>
      <c r="C2589" t="inlineStr">
        <is>
          <t>65440384</t>
        </is>
      </c>
      <c r="D2589" t="inlineStr">
        <is>
          <t>10000160</t>
        </is>
      </c>
      <c r="E2589" t="inlineStr"/>
      <c r="F2589" s="11" t="n">
        <v>130</v>
      </c>
      <c r="G2589" t="inlineStr"/>
      <c r="I2589" t="inlineStr">
        <is>
          <t>M3</t>
        </is>
      </c>
      <c r="J2589" t="inlineStr"/>
      <c r="K2589" t="inlineStr">
        <is>
          <t>20260420</t>
        </is>
      </c>
      <c r="L2589" t="inlineStr">
        <is>
          <t>99991231</t>
        </is>
      </c>
    </row>
    <row r="2590">
      <c r="A2590" t="inlineStr">
        <is>
          <t>900006371</t>
        </is>
      </c>
      <c r="B2590" t="inlineStr">
        <is>
          <t>D836</t>
        </is>
      </c>
      <c r="C2590" t="inlineStr">
        <is>
          <t>65440384</t>
        </is>
      </c>
      <c r="D2590" t="inlineStr">
        <is>
          <t>10000627</t>
        </is>
      </c>
      <c r="E2590" t="inlineStr"/>
      <c r="F2590" s="11" t="n">
        <v>98</v>
      </c>
      <c r="G2590" t="inlineStr"/>
      <c r="I2590" t="inlineStr">
        <is>
          <t>M3</t>
        </is>
      </c>
      <c r="J2590" t="inlineStr"/>
      <c r="K2590" t="inlineStr">
        <is>
          <t>20260420</t>
        </is>
      </c>
      <c r="L2590" t="inlineStr">
        <is>
          <t>99991231</t>
        </is>
      </c>
    </row>
    <row r="2591">
      <c r="A2591" t="inlineStr">
        <is>
          <t>900006371</t>
        </is>
      </c>
      <c r="B2591" t="inlineStr">
        <is>
          <t>D836</t>
        </is>
      </c>
      <c r="C2591" t="inlineStr">
        <is>
          <t>66779276</t>
        </is>
      </c>
      <c r="D2591" t="inlineStr">
        <is>
          <t>10000160</t>
        </is>
      </c>
      <c r="E2591" t="inlineStr"/>
      <c r="F2591" s="11" t="n">
        <v>150</v>
      </c>
      <c r="G2591" t="inlineStr"/>
      <c r="I2591" t="inlineStr">
        <is>
          <t>M3</t>
        </is>
      </c>
      <c r="J2591" t="inlineStr"/>
      <c r="K2591" t="inlineStr">
        <is>
          <t>20260420</t>
        </is>
      </c>
      <c r="L2591" t="inlineStr">
        <is>
          <t>99991231</t>
        </is>
      </c>
    </row>
    <row r="2592">
      <c r="A2592" t="inlineStr">
        <is>
          <t>900006371</t>
        </is>
      </c>
      <c r="B2592" t="inlineStr">
        <is>
          <t>D836</t>
        </is>
      </c>
      <c r="C2592" t="inlineStr">
        <is>
          <t>66779276</t>
        </is>
      </c>
      <c r="D2592" t="inlineStr">
        <is>
          <t>10000357</t>
        </is>
      </c>
      <c r="E2592" t="inlineStr"/>
      <c r="F2592" s="11" t="n">
        <v>170</v>
      </c>
      <c r="G2592" t="inlineStr"/>
      <c r="I2592" t="inlineStr">
        <is>
          <t>M3</t>
        </is>
      </c>
      <c r="J2592" t="inlineStr"/>
      <c r="K2592" t="inlineStr">
        <is>
          <t>20260420</t>
        </is>
      </c>
      <c r="L2592" t="inlineStr">
        <is>
          <t>99991231</t>
        </is>
      </c>
    </row>
    <row r="2593">
      <c r="A2593" t="inlineStr">
        <is>
          <t>900006371</t>
        </is>
      </c>
      <c r="B2593" t="inlineStr">
        <is>
          <t>D836</t>
        </is>
      </c>
      <c r="C2593" t="inlineStr">
        <is>
          <t>66779276</t>
        </is>
      </c>
      <c r="D2593" t="inlineStr">
        <is>
          <t>10000627</t>
        </is>
      </c>
      <c r="E2593" t="inlineStr"/>
      <c r="F2593" s="11" t="n">
        <v>132</v>
      </c>
      <c r="G2593" t="inlineStr"/>
      <c r="I2593" t="inlineStr">
        <is>
          <t>M3</t>
        </is>
      </c>
      <c r="J2593" t="inlineStr"/>
      <c r="K2593" t="inlineStr">
        <is>
          <t>20260420</t>
        </is>
      </c>
      <c r="L2593" t="inlineStr">
        <is>
          <t>99991231</t>
        </is>
      </c>
    </row>
    <row r="2594">
      <c r="A2594" t="inlineStr">
        <is>
          <t>900006542</t>
        </is>
      </c>
      <c r="B2594" t="inlineStr">
        <is>
          <t>D836</t>
        </is>
      </c>
      <c r="C2594" t="inlineStr">
        <is>
          <t>67208638</t>
        </is>
      </c>
      <c r="D2594" t="inlineStr">
        <is>
          <t>10000623</t>
        </is>
      </c>
      <c r="E2594" t="inlineStr"/>
      <c r="F2594" s="11" t="n">
        <v>413.58</v>
      </c>
      <c r="G2594" t="inlineStr"/>
      <c r="I2594" t="inlineStr">
        <is>
          <t>M3</t>
        </is>
      </c>
      <c r="J2594" t="inlineStr"/>
      <c r="K2594" t="inlineStr">
        <is>
          <t>20260328</t>
        </is>
      </c>
      <c r="L2594" t="inlineStr">
        <is>
          <t>99991231</t>
        </is>
      </c>
    </row>
    <row r="2595">
      <c r="A2595" t="inlineStr">
        <is>
          <t>900006542</t>
        </is>
      </c>
      <c r="B2595" t="inlineStr">
        <is>
          <t>D836</t>
        </is>
      </c>
      <c r="C2595" t="inlineStr">
        <is>
          <t>67340392</t>
        </is>
      </c>
      <c r="D2595" t="inlineStr">
        <is>
          <t>10000623</t>
        </is>
      </c>
      <c r="E2595" t="inlineStr"/>
      <c r="F2595" s="11" t="n">
        <v>1740</v>
      </c>
      <c r="G2595" t="inlineStr"/>
      <c r="I2595" t="inlineStr">
        <is>
          <t>M3</t>
        </is>
      </c>
      <c r="J2595" t="inlineStr"/>
      <c r="K2595" t="inlineStr">
        <is>
          <t>20260320</t>
        </is>
      </c>
      <c r="L2595" t="inlineStr">
        <is>
          <t>99991231</t>
        </is>
      </c>
    </row>
    <row r="2596">
      <c r="A2596" t="inlineStr">
        <is>
          <t>900006542</t>
        </is>
      </c>
      <c r="B2596" t="inlineStr">
        <is>
          <t>D836</t>
        </is>
      </c>
      <c r="C2596" t="inlineStr">
        <is>
          <t>67340392</t>
        </is>
      </c>
      <c r="D2596" t="inlineStr">
        <is>
          <t>10058345</t>
        </is>
      </c>
      <c r="E2596" t="inlineStr"/>
      <c r="F2596" s="11" t="n">
        <v>1440</v>
      </c>
      <c r="G2596" t="inlineStr"/>
      <c r="I2596" t="inlineStr">
        <is>
          <t>M3</t>
        </is>
      </c>
      <c r="J2596" t="inlineStr"/>
      <c r="K2596" t="inlineStr">
        <is>
          <t>20260320</t>
        </is>
      </c>
      <c r="L2596" t="inlineStr">
        <is>
          <t>99991231</t>
        </is>
      </c>
    </row>
    <row r="2597">
      <c r="A2597" t="inlineStr">
        <is>
          <t>900006543</t>
        </is>
      </c>
      <c r="B2597" t="inlineStr">
        <is>
          <t>D836</t>
        </is>
      </c>
      <c r="C2597" t="inlineStr">
        <is>
          <t>65003945</t>
        </is>
      </c>
      <c r="D2597" t="inlineStr">
        <is>
          <t>10185477</t>
        </is>
      </c>
      <c r="E2597" t="inlineStr"/>
      <c r="F2597" s="11" t="n">
        <v>175</v>
      </c>
      <c r="G2597" t="inlineStr"/>
      <c r="I2597" t="inlineStr">
        <is>
          <t>M3</t>
        </is>
      </c>
      <c r="J2597" t="inlineStr"/>
      <c r="K2597" t="inlineStr">
        <is>
          <t>20260304</t>
        </is>
      </c>
      <c r="L2597" t="inlineStr">
        <is>
          <t>99991231</t>
        </is>
      </c>
    </row>
    <row r="2598">
      <c r="A2598" t="inlineStr">
        <is>
          <t>900006543</t>
        </is>
      </c>
      <c r="B2598" t="inlineStr">
        <is>
          <t>D836</t>
        </is>
      </c>
      <c r="C2598" t="inlineStr">
        <is>
          <t>65006122</t>
        </is>
      </c>
      <c r="D2598" t="inlineStr">
        <is>
          <t>10000627</t>
        </is>
      </c>
      <c r="E2598" t="inlineStr"/>
      <c r="F2598" s="11" t="n">
        <v>135</v>
      </c>
      <c r="G2598" t="inlineStr"/>
      <c r="I2598" t="inlineStr">
        <is>
          <t>M3</t>
        </is>
      </c>
      <c r="J2598" t="inlineStr"/>
      <c r="K2598" t="inlineStr">
        <is>
          <t>20251029</t>
        </is>
      </c>
      <c r="L2598" t="inlineStr">
        <is>
          <t>99991231</t>
        </is>
      </c>
    </row>
    <row r="2599">
      <c r="A2599" t="inlineStr">
        <is>
          <t>900006543</t>
        </is>
      </c>
      <c r="B2599" t="inlineStr">
        <is>
          <t>D836</t>
        </is>
      </c>
      <c r="C2599" t="inlineStr">
        <is>
          <t>65006122</t>
        </is>
      </c>
      <c r="D2599" t="inlineStr">
        <is>
          <t>10146897</t>
        </is>
      </c>
      <c r="E2599" t="inlineStr"/>
      <c r="F2599" s="11" t="n">
        <v>160</v>
      </c>
      <c r="G2599" t="inlineStr"/>
      <c r="I2599" t="inlineStr">
        <is>
          <t>M3</t>
        </is>
      </c>
      <c r="J2599" t="inlineStr"/>
      <c r="K2599" t="inlineStr">
        <is>
          <t>20240619</t>
        </is>
      </c>
      <c r="L2599" t="inlineStr">
        <is>
          <t>99991231</t>
        </is>
      </c>
    </row>
    <row r="2600">
      <c r="A2600" t="inlineStr">
        <is>
          <t>900006543</t>
        </is>
      </c>
      <c r="B2600" t="inlineStr">
        <is>
          <t>D836</t>
        </is>
      </c>
      <c r="C2600" t="inlineStr">
        <is>
          <t>65006122</t>
        </is>
      </c>
      <c r="D2600" t="inlineStr">
        <is>
          <t>10185476</t>
        </is>
      </c>
      <c r="E2600" t="inlineStr"/>
      <c r="F2600" s="11" t="n">
        <v>170</v>
      </c>
      <c r="G2600" t="inlineStr"/>
      <c r="I2600" t="inlineStr">
        <is>
          <t>M3</t>
        </is>
      </c>
      <c r="J2600" t="inlineStr"/>
      <c r="K2600" t="inlineStr">
        <is>
          <t>20260304</t>
        </is>
      </c>
      <c r="L2600" t="inlineStr">
        <is>
          <t>99991231</t>
        </is>
      </c>
    </row>
    <row r="2601">
      <c r="A2601" t="inlineStr">
        <is>
          <t>900006543</t>
        </is>
      </c>
      <c r="B2601" t="inlineStr">
        <is>
          <t>D836</t>
        </is>
      </c>
      <c r="C2601" t="inlineStr">
        <is>
          <t>65006122</t>
        </is>
      </c>
      <c r="D2601" t="inlineStr">
        <is>
          <t>10185477</t>
        </is>
      </c>
      <c r="E2601" t="inlineStr"/>
      <c r="F2601" s="11" t="n">
        <v>185</v>
      </c>
      <c r="G2601" t="inlineStr"/>
      <c r="I2601" t="inlineStr">
        <is>
          <t>M3</t>
        </is>
      </c>
      <c r="J2601" t="inlineStr"/>
      <c r="K2601" t="inlineStr">
        <is>
          <t>20260304</t>
        </is>
      </c>
      <c r="L2601" t="inlineStr">
        <is>
          <t>99991231</t>
        </is>
      </c>
    </row>
    <row r="2602">
      <c r="A2602" t="inlineStr">
        <is>
          <t>900006543</t>
        </is>
      </c>
      <c r="B2602" t="inlineStr">
        <is>
          <t>D836</t>
        </is>
      </c>
      <c r="C2602" t="inlineStr">
        <is>
          <t>65087219</t>
        </is>
      </c>
      <c r="D2602" t="inlineStr">
        <is>
          <t>10185476</t>
        </is>
      </c>
      <c r="E2602" t="inlineStr"/>
      <c r="F2602" s="11" t="n">
        <v>170</v>
      </c>
      <c r="G2602" t="inlineStr"/>
      <c r="I2602" t="inlineStr">
        <is>
          <t>M3</t>
        </is>
      </c>
      <c r="J2602" t="inlineStr"/>
      <c r="K2602" t="inlineStr">
        <is>
          <t>20260304</t>
        </is>
      </c>
      <c r="L2602" t="inlineStr">
        <is>
          <t>99991231</t>
        </is>
      </c>
    </row>
    <row r="2603">
      <c r="A2603" t="inlineStr">
        <is>
          <t>900006543</t>
        </is>
      </c>
      <c r="B2603" t="inlineStr">
        <is>
          <t>D836</t>
        </is>
      </c>
      <c r="C2603" t="inlineStr">
        <is>
          <t>65087219</t>
        </is>
      </c>
      <c r="D2603" t="inlineStr">
        <is>
          <t>10185477</t>
        </is>
      </c>
      <c r="E2603" t="inlineStr"/>
      <c r="F2603" s="11" t="n">
        <v>180</v>
      </c>
      <c r="G2603" t="inlineStr"/>
      <c r="I2603" t="inlineStr">
        <is>
          <t>M3</t>
        </is>
      </c>
      <c r="J2603" t="inlineStr"/>
      <c r="K2603" t="inlineStr">
        <is>
          <t>20260325</t>
        </is>
      </c>
      <c r="L2603" t="inlineStr">
        <is>
          <t>99991231</t>
        </is>
      </c>
    </row>
    <row r="2604">
      <c r="A2604" t="inlineStr">
        <is>
          <t>900006543</t>
        </is>
      </c>
      <c r="B2604" t="inlineStr">
        <is>
          <t>D836</t>
        </is>
      </c>
      <c r="C2604" t="inlineStr">
        <is>
          <t>65232687</t>
        </is>
      </c>
      <c r="D2604" t="inlineStr">
        <is>
          <t>10185476</t>
        </is>
      </c>
      <c r="E2604" t="inlineStr"/>
      <c r="F2604" s="11" t="n">
        <v>170</v>
      </c>
      <c r="G2604" t="inlineStr"/>
      <c r="I2604" t="inlineStr">
        <is>
          <t>M3</t>
        </is>
      </c>
      <c r="J2604" t="inlineStr"/>
      <c r="K2604" t="inlineStr">
        <is>
          <t>20260304</t>
        </is>
      </c>
      <c r="L2604" t="inlineStr">
        <is>
          <t>99991231</t>
        </is>
      </c>
    </row>
    <row r="2605">
      <c r="A2605" t="inlineStr">
        <is>
          <t>900006543</t>
        </is>
      </c>
      <c r="B2605" t="inlineStr">
        <is>
          <t>D836</t>
        </is>
      </c>
      <c r="C2605" t="inlineStr">
        <is>
          <t>65232687</t>
        </is>
      </c>
      <c r="D2605" t="inlineStr">
        <is>
          <t>10185477</t>
        </is>
      </c>
      <c r="E2605" t="inlineStr"/>
      <c r="F2605" s="11" t="n">
        <v>180</v>
      </c>
      <c r="G2605" t="inlineStr"/>
      <c r="I2605" t="inlineStr">
        <is>
          <t>M3</t>
        </is>
      </c>
      <c r="J2605" t="inlineStr"/>
      <c r="K2605" t="inlineStr">
        <is>
          <t>20260304</t>
        </is>
      </c>
      <c r="L2605" t="inlineStr">
        <is>
          <t>99991231</t>
        </is>
      </c>
    </row>
    <row r="2606">
      <c r="A2606" t="inlineStr">
        <is>
          <t>900006543</t>
        </is>
      </c>
      <c r="B2606" t="inlineStr">
        <is>
          <t>D836</t>
        </is>
      </c>
      <c r="C2606" t="inlineStr">
        <is>
          <t>65440384</t>
        </is>
      </c>
      <c r="D2606" t="inlineStr">
        <is>
          <t>10146897</t>
        </is>
      </c>
      <c r="E2606" t="inlineStr"/>
      <c r="F2606" s="11" t="n">
        <v>168</v>
      </c>
      <c r="G2606" t="inlineStr"/>
      <c r="I2606" t="inlineStr">
        <is>
          <t>M3</t>
        </is>
      </c>
      <c r="J2606" t="inlineStr"/>
      <c r="K2606" t="inlineStr">
        <is>
          <t>20260608</t>
        </is>
      </c>
      <c r="L2606" t="inlineStr">
        <is>
          <t>99991231</t>
        </is>
      </c>
    </row>
    <row r="2607">
      <c r="A2607" t="inlineStr">
        <is>
          <t>900006543</t>
        </is>
      </c>
      <c r="B2607" t="inlineStr">
        <is>
          <t>D836</t>
        </is>
      </c>
      <c r="C2607" t="inlineStr">
        <is>
          <t>65440384</t>
        </is>
      </c>
      <c r="D2607" t="inlineStr">
        <is>
          <t>10185476</t>
        </is>
      </c>
      <c r="E2607" t="inlineStr"/>
      <c r="F2607" s="11" t="n">
        <v>168</v>
      </c>
      <c r="G2607" t="inlineStr"/>
      <c r="I2607" t="inlineStr">
        <is>
          <t>M3</t>
        </is>
      </c>
      <c r="J2607" t="inlineStr"/>
      <c r="K2607" t="inlineStr">
        <is>
          <t>20260331</t>
        </is>
      </c>
      <c r="L2607" t="inlineStr">
        <is>
          <t>99991231</t>
        </is>
      </c>
    </row>
    <row r="2608">
      <c r="A2608" t="inlineStr">
        <is>
          <t>900006543</t>
        </is>
      </c>
      <c r="B2608" t="inlineStr">
        <is>
          <t>D836</t>
        </is>
      </c>
      <c r="C2608" t="inlineStr">
        <is>
          <t>65440384</t>
        </is>
      </c>
      <c r="D2608" t="inlineStr">
        <is>
          <t>10185477</t>
        </is>
      </c>
      <c r="E2608" t="inlineStr"/>
      <c r="F2608" s="11" t="n">
        <v>180</v>
      </c>
      <c r="G2608" t="inlineStr"/>
      <c r="I2608" t="inlineStr">
        <is>
          <t>M3</t>
        </is>
      </c>
      <c r="J2608" t="inlineStr"/>
      <c r="K2608" t="inlineStr">
        <is>
          <t>20260325</t>
        </is>
      </c>
      <c r="L2608" t="inlineStr">
        <is>
          <t>99991231</t>
        </is>
      </c>
    </row>
    <row r="2609">
      <c r="A2609" t="inlineStr">
        <is>
          <t>900006543</t>
        </is>
      </c>
      <c r="B2609" t="inlineStr">
        <is>
          <t>D836</t>
        </is>
      </c>
      <c r="C2609" t="inlineStr">
        <is>
          <t>65911289</t>
        </is>
      </c>
      <c r="D2609" t="inlineStr">
        <is>
          <t>10185476</t>
        </is>
      </c>
      <c r="E2609" t="inlineStr"/>
      <c r="F2609" s="11" t="n">
        <v>170</v>
      </c>
      <c r="G2609" t="inlineStr"/>
      <c r="I2609" t="inlineStr">
        <is>
          <t>M3</t>
        </is>
      </c>
      <c r="J2609" t="inlineStr"/>
      <c r="K2609" t="inlineStr">
        <is>
          <t>20260304</t>
        </is>
      </c>
      <c r="L2609" t="inlineStr">
        <is>
          <t>99991231</t>
        </is>
      </c>
    </row>
    <row r="2610">
      <c r="A2610" t="inlineStr">
        <is>
          <t>900006543</t>
        </is>
      </c>
      <c r="B2610" t="inlineStr">
        <is>
          <t>D836</t>
        </is>
      </c>
      <c r="C2610" t="inlineStr">
        <is>
          <t>65911289</t>
        </is>
      </c>
      <c r="D2610" t="inlineStr">
        <is>
          <t>10185477</t>
        </is>
      </c>
      <c r="E2610" t="inlineStr"/>
      <c r="F2610" s="11" t="n">
        <v>180</v>
      </c>
      <c r="G2610" t="inlineStr"/>
      <c r="I2610" t="inlineStr">
        <is>
          <t>M3</t>
        </is>
      </c>
      <c r="J2610" t="inlineStr"/>
      <c r="K2610" t="inlineStr">
        <is>
          <t>20260325</t>
        </is>
      </c>
      <c r="L2610" t="inlineStr">
        <is>
          <t>99991231</t>
        </is>
      </c>
    </row>
    <row r="2611">
      <c r="A2611" t="inlineStr">
        <is>
          <t>900006543</t>
        </is>
      </c>
      <c r="B2611" t="inlineStr">
        <is>
          <t>D836</t>
        </is>
      </c>
      <c r="C2611" t="inlineStr">
        <is>
          <t>66414377</t>
        </is>
      </c>
      <c r="D2611" t="inlineStr">
        <is>
          <t>10185476</t>
        </is>
      </c>
      <c r="E2611" t="inlineStr"/>
      <c r="F2611" s="11" t="n">
        <v>170</v>
      </c>
      <c r="G2611" t="inlineStr"/>
      <c r="I2611" t="inlineStr">
        <is>
          <t>M3</t>
        </is>
      </c>
      <c r="J2611" t="inlineStr"/>
      <c r="K2611" t="inlineStr">
        <is>
          <t>20260325</t>
        </is>
      </c>
      <c r="L2611" t="inlineStr">
        <is>
          <t>99991231</t>
        </is>
      </c>
    </row>
    <row r="2612">
      <c r="A2612" t="inlineStr">
        <is>
          <t>900006543</t>
        </is>
      </c>
      <c r="B2612" t="inlineStr">
        <is>
          <t>D836</t>
        </is>
      </c>
      <c r="C2612" t="inlineStr">
        <is>
          <t>66414377</t>
        </is>
      </c>
      <c r="D2612" t="inlineStr">
        <is>
          <t>10185477</t>
        </is>
      </c>
      <c r="E2612" t="inlineStr"/>
      <c r="F2612" s="11" t="n">
        <v>180</v>
      </c>
      <c r="G2612" t="inlineStr"/>
      <c r="I2612" t="inlineStr">
        <is>
          <t>M3</t>
        </is>
      </c>
      <c r="J2612" t="inlineStr"/>
      <c r="K2612" t="inlineStr">
        <is>
          <t>20260325</t>
        </is>
      </c>
      <c r="L2612" t="inlineStr">
        <is>
          <t>99991231</t>
        </is>
      </c>
    </row>
    <row r="2613">
      <c r="A2613" t="inlineStr">
        <is>
          <t>900006543</t>
        </is>
      </c>
      <c r="B2613" t="inlineStr">
        <is>
          <t>D836</t>
        </is>
      </c>
      <c r="C2613" t="inlineStr">
        <is>
          <t>66415270</t>
        </is>
      </c>
      <c r="D2613" t="inlineStr">
        <is>
          <t>10185476</t>
        </is>
      </c>
      <c r="E2613" t="inlineStr"/>
      <c r="F2613" s="11" t="n">
        <v>170</v>
      </c>
      <c r="G2613" t="inlineStr"/>
      <c r="I2613" t="inlineStr">
        <is>
          <t>M3</t>
        </is>
      </c>
      <c r="J2613" t="inlineStr"/>
      <c r="K2613" t="inlineStr">
        <is>
          <t>20260304</t>
        </is>
      </c>
      <c r="L2613" t="inlineStr">
        <is>
          <t>99991231</t>
        </is>
      </c>
    </row>
    <row r="2614">
      <c r="A2614" t="inlineStr">
        <is>
          <t>900006543</t>
        </is>
      </c>
      <c r="B2614" t="inlineStr">
        <is>
          <t>D836</t>
        </is>
      </c>
      <c r="C2614" t="inlineStr">
        <is>
          <t>66415270</t>
        </is>
      </c>
      <c r="D2614" t="inlineStr">
        <is>
          <t>10185477</t>
        </is>
      </c>
      <c r="E2614" t="inlineStr"/>
      <c r="F2614" s="11" t="n">
        <v>180</v>
      </c>
      <c r="G2614" t="inlineStr"/>
      <c r="I2614" t="inlineStr">
        <is>
          <t>M3</t>
        </is>
      </c>
      <c r="J2614" t="inlineStr"/>
      <c r="K2614" t="inlineStr">
        <is>
          <t>20260304</t>
        </is>
      </c>
      <c r="L2614" t="inlineStr">
        <is>
          <t>99991231</t>
        </is>
      </c>
    </row>
    <row r="2615">
      <c r="A2615" t="inlineStr">
        <is>
          <t>900006543</t>
        </is>
      </c>
      <c r="B2615" t="inlineStr">
        <is>
          <t>D836</t>
        </is>
      </c>
      <c r="C2615" t="inlineStr">
        <is>
          <t>66433511</t>
        </is>
      </c>
      <c r="D2615" t="inlineStr">
        <is>
          <t>10185476</t>
        </is>
      </c>
      <c r="E2615" t="inlineStr"/>
      <c r="F2615" s="11" t="n">
        <v>170</v>
      </c>
      <c r="G2615" t="inlineStr"/>
      <c r="I2615" t="inlineStr">
        <is>
          <t>M3</t>
        </is>
      </c>
      <c r="J2615" t="inlineStr"/>
      <c r="K2615" t="inlineStr">
        <is>
          <t>20260325</t>
        </is>
      </c>
      <c r="L2615" t="inlineStr">
        <is>
          <t>99991231</t>
        </is>
      </c>
    </row>
    <row r="2616">
      <c r="A2616" t="inlineStr">
        <is>
          <t>900006543</t>
        </is>
      </c>
      <c r="B2616" t="inlineStr">
        <is>
          <t>D836</t>
        </is>
      </c>
      <c r="C2616" t="inlineStr">
        <is>
          <t>66433511</t>
        </is>
      </c>
      <c r="D2616" t="inlineStr">
        <is>
          <t>10185477</t>
        </is>
      </c>
      <c r="E2616" t="inlineStr"/>
      <c r="F2616" s="11" t="n">
        <v>180</v>
      </c>
      <c r="G2616" t="inlineStr"/>
      <c r="I2616" t="inlineStr">
        <is>
          <t>M3</t>
        </is>
      </c>
      <c r="J2616" t="inlineStr"/>
      <c r="K2616" t="inlineStr">
        <is>
          <t>20260325</t>
        </is>
      </c>
      <c r="L2616" t="inlineStr">
        <is>
          <t>99991231</t>
        </is>
      </c>
    </row>
    <row r="2617">
      <c r="A2617" t="inlineStr">
        <is>
          <t>900006543</t>
        </is>
      </c>
      <c r="B2617" t="inlineStr">
        <is>
          <t>D836</t>
        </is>
      </c>
      <c r="C2617" t="inlineStr">
        <is>
          <t>66440645</t>
        </is>
      </c>
      <c r="D2617" t="inlineStr">
        <is>
          <t>10185476</t>
        </is>
      </c>
      <c r="E2617" t="inlineStr"/>
      <c r="F2617" s="11" t="n">
        <v>170</v>
      </c>
      <c r="G2617" t="inlineStr"/>
      <c r="I2617" t="inlineStr">
        <is>
          <t>M3</t>
        </is>
      </c>
      <c r="J2617" t="inlineStr"/>
      <c r="K2617" t="inlineStr">
        <is>
          <t>20260304</t>
        </is>
      </c>
      <c r="L2617" t="inlineStr">
        <is>
          <t>99991231</t>
        </is>
      </c>
    </row>
    <row r="2618">
      <c r="A2618" t="inlineStr">
        <is>
          <t>900006543</t>
        </is>
      </c>
      <c r="B2618" t="inlineStr">
        <is>
          <t>D836</t>
        </is>
      </c>
      <c r="C2618" t="inlineStr">
        <is>
          <t>66440645</t>
        </is>
      </c>
      <c r="D2618" t="inlineStr">
        <is>
          <t>10185477</t>
        </is>
      </c>
      <c r="E2618" t="inlineStr"/>
      <c r="F2618" s="11" t="n">
        <v>180</v>
      </c>
      <c r="G2618" t="inlineStr"/>
      <c r="I2618" t="inlineStr">
        <is>
          <t>M3</t>
        </is>
      </c>
      <c r="J2618" t="inlineStr"/>
      <c r="K2618" t="inlineStr">
        <is>
          <t>20260304</t>
        </is>
      </c>
      <c r="L2618" t="inlineStr">
        <is>
          <t>99991231</t>
        </is>
      </c>
    </row>
    <row r="2619">
      <c r="A2619" t="inlineStr">
        <is>
          <t>900006543</t>
        </is>
      </c>
      <c r="B2619" t="inlineStr">
        <is>
          <t>D836</t>
        </is>
      </c>
      <c r="C2619" t="inlineStr">
        <is>
          <t>66624554</t>
        </is>
      </c>
      <c r="D2619" t="inlineStr">
        <is>
          <t>10185476</t>
        </is>
      </c>
      <c r="E2619" t="inlineStr"/>
      <c r="F2619" s="11" t="n">
        <v>170</v>
      </c>
      <c r="G2619" t="inlineStr"/>
      <c r="I2619" t="inlineStr">
        <is>
          <t>M3</t>
        </is>
      </c>
      <c r="J2619" t="inlineStr"/>
      <c r="K2619" t="inlineStr">
        <is>
          <t>20260325</t>
        </is>
      </c>
      <c r="L2619" t="inlineStr">
        <is>
          <t>99991231</t>
        </is>
      </c>
    </row>
    <row r="2620">
      <c r="A2620" t="inlineStr">
        <is>
          <t>900006543</t>
        </is>
      </c>
      <c r="B2620" t="inlineStr">
        <is>
          <t>D836</t>
        </is>
      </c>
      <c r="C2620" t="inlineStr">
        <is>
          <t>66624554</t>
        </is>
      </c>
      <c r="D2620" t="inlineStr">
        <is>
          <t>10185477</t>
        </is>
      </c>
      <c r="E2620" t="inlineStr"/>
      <c r="F2620" s="11" t="n">
        <v>180</v>
      </c>
      <c r="G2620" t="inlineStr"/>
      <c r="I2620" t="inlineStr">
        <is>
          <t>M3</t>
        </is>
      </c>
      <c r="J2620" t="inlineStr"/>
      <c r="K2620" t="inlineStr">
        <is>
          <t>20260325</t>
        </is>
      </c>
      <c r="L2620" t="inlineStr">
        <is>
          <t>99991231</t>
        </is>
      </c>
    </row>
    <row r="2621">
      <c r="A2621" t="inlineStr">
        <is>
          <t>900006543</t>
        </is>
      </c>
      <c r="B2621" t="inlineStr">
        <is>
          <t>D836</t>
        </is>
      </c>
      <c r="C2621" t="inlineStr">
        <is>
          <t>66827157</t>
        </is>
      </c>
      <c r="D2621" t="inlineStr">
        <is>
          <t>10185476</t>
        </is>
      </c>
      <c r="E2621" t="inlineStr"/>
      <c r="F2621" s="11" t="n">
        <v>170</v>
      </c>
      <c r="G2621" t="inlineStr"/>
      <c r="I2621" t="inlineStr">
        <is>
          <t>M3</t>
        </is>
      </c>
      <c r="J2621" t="inlineStr"/>
      <c r="K2621" t="inlineStr">
        <is>
          <t>20260325</t>
        </is>
      </c>
      <c r="L2621" t="inlineStr">
        <is>
          <t>99991231</t>
        </is>
      </c>
    </row>
    <row r="2622">
      <c r="A2622" t="inlineStr">
        <is>
          <t>900006543</t>
        </is>
      </c>
      <c r="B2622" t="inlineStr">
        <is>
          <t>D836</t>
        </is>
      </c>
      <c r="C2622" t="inlineStr">
        <is>
          <t>66827157</t>
        </is>
      </c>
      <c r="D2622" t="inlineStr">
        <is>
          <t>10185477</t>
        </is>
      </c>
      <c r="E2622" t="inlineStr"/>
      <c r="F2622" s="11" t="n">
        <v>180</v>
      </c>
      <c r="G2622" t="inlineStr"/>
      <c r="I2622" t="inlineStr">
        <is>
          <t>M3</t>
        </is>
      </c>
      <c r="J2622" t="inlineStr"/>
      <c r="K2622" t="inlineStr">
        <is>
          <t>20260325</t>
        </is>
      </c>
      <c r="L2622" t="inlineStr">
        <is>
          <t>99991231</t>
        </is>
      </c>
    </row>
    <row r="2623">
      <c r="A2623" t="inlineStr">
        <is>
          <t>900006543</t>
        </is>
      </c>
      <c r="B2623" t="inlineStr">
        <is>
          <t>D836</t>
        </is>
      </c>
      <c r="C2623" t="inlineStr">
        <is>
          <t>66828114</t>
        </is>
      </c>
      <c r="D2623" t="inlineStr">
        <is>
          <t>10185476</t>
        </is>
      </c>
      <c r="E2623" t="inlineStr"/>
      <c r="F2623" s="11" t="n">
        <v>170</v>
      </c>
      <c r="G2623" t="inlineStr"/>
      <c r="I2623" t="inlineStr">
        <is>
          <t>M3</t>
        </is>
      </c>
      <c r="J2623" t="inlineStr"/>
      <c r="K2623" t="inlineStr">
        <is>
          <t>20260325</t>
        </is>
      </c>
      <c r="L2623" t="inlineStr">
        <is>
          <t>99991231</t>
        </is>
      </c>
    </row>
    <row r="2624">
      <c r="A2624" t="inlineStr">
        <is>
          <t>900006543</t>
        </is>
      </c>
      <c r="B2624" t="inlineStr">
        <is>
          <t>D836</t>
        </is>
      </c>
      <c r="C2624" t="inlineStr">
        <is>
          <t>66828114</t>
        </is>
      </c>
      <c r="D2624" t="inlineStr">
        <is>
          <t>10185477</t>
        </is>
      </c>
      <c r="E2624" t="inlineStr"/>
      <c r="F2624" s="11" t="n">
        <v>180</v>
      </c>
      <c r="G2624" t="inlineStr"/>
      <c r="I2624" t="inlineStr">
        <is>
          <t>M3</t>
        </is>
      </c>
      <c r="J2624" t="inlineStr"/>
      <c r="K2624" t="inlineStr">
        <is>
          <t>20260325</t>
        </is>
      </c>
      <c r="L2624" t="inlineStr">
        <is>
          <t>99991231</t>
        </is>
      </c>
    </row>
    <row r="2625">
      <c r="A2625" t="inlineStr">
        <is>
          <t>900006543</t>
        </is>
      </c>
      <c r="B2625" t="inlineStr">
        <is>
          <t>D836</t>
        </is>
      </c>
      <c r="C2625" t="inlineStr">
        <is>
          <t>66864508</t>
        </is>
      </c>
      <c r="D2625" t="inlineStr">
        <is>
          <t>10185476</t>
        </is>
      </c>
      <c r="E2625" t="inlineStr"/>
      <c r="F2625" s="11" t="n">
        <v>170</v>
      </c>
      <c r="G2625" t="inlineStr"/>
      <c r="I2625" t="inlineStr">
        <is>
          <t>M3</t>
        </is>
      </c>
      <c r="J2625" t="inlineStr"/>
      <c r="K2625" t="inlineStr">
        <is>
          <t>20260318</t>
        </is>
      </c>
      <c r="L2625" t="inlineStr">
        <is>
          <t>99991231</t>
        </is>
      </c>
    </row>
    <row r="2626">
      <c r="A2626" t="inlineStr">
        <is>
          <t>900006543</t>
        </is>
      </c>
      <c r="B2626" t="inlineStr">
        <is>
          <t>D836</t>
        </is>
      </c>
      <c r="C2626" t="inlineStr">
        <is>
          <t>66864508</t>
        </is>
      </c>
      <c r="D2626" t="inlineStr">
        <is>
          <t>10185477</t>
        </is>
      </c>
      <c r="E2626" t="inlineStr"/>
      <c r="F2626" s="11" t="n">
        <v>180</v>
      </c>
      <c r="G2626" t="inlineStr"/>
      <c r="I2626" t="inlineStr">
        <is>
          <t>M3</t>
        </is>
      </c>
      <c r="J2626" t="inlineStr"/>
      <c r="K2626" t="inlineStr">
        <is>
          <t>20260318</t>
        </is>
      </c>
      <c r="L2626" t="inlineStr">
        <is>
          <t>99991231</t>
        </is>
      </c>
    </row>
    <row r="2627">
      <c r="A2627" t="inlineStr">
        <is>
          <t>900006543</t>
        </is>
      </c>
      <c r="B2627" t="inlineStr">
        <is>
          <t>D836</t>
        </is>
      </c>
      <c r="C2627" t="inlineStr">
        <is>
          <t>66864540</t>
        </is>
      </c>
      <c r="D2627" t="inlineStr">
        <is>
          <t>10185476</t>
        </is>
      </c>
      <c r="E2627" t="inlineStr"/>
      <c r="F2627" s="11" t="n">
        <v>170</v>
      </c>
      <c r="G2627" t="inlineStr"/>
      <c r="I2627" t="inlineStr">
        <is>
          <t>M3</t>
        </is>
      </c>
      <c r="J2627" t="inlineStr"/>
      <c r="K2627" t="inlineStr">
        <is>
          <t>20260318</t>
        </is>
      </c>
      <c r="L2627" t="inlineStr">
        <is>
          <t>99991231</t>
        </is>
      </c>
    </row>
    <row r="2628">
      <c r="A2628" t="inlineStr">
        <is>
          <t>900006543</t>
        </is>
      </c>
      <c r="B2628" t="inlineStr">
        <is>
          <t>D836</t>
        </is>
      </c>
      <c r="C2628" t="inlineStr">
        <is>
          <t>66864540</t>
        </is>
      </c>
      <c r="D2628" t="inlineStr">
        <is>
          <t>10185477</t>
        </is>
      </c>
      <c r="E2628" t="inlineStr"/>
      <c r="F2628" s="11" t="n">
        <v>180</v>
      </c>
      <c r="G2628" t="inlineStr"/>
      <c r="I2628" t="inlineStr">
        <is>
          <t>M3</t>
        </is>
      </c>
      <c r="J2628" t="inlineStr"/>
      <c r="K2628" t="inlineStr">
        <is>
          <t>20260318</t>
        </is>
      </c>
      <c r="L2628" t="inlineStr">
        <is>
          <t>99991231</t>
        </is>
      </c>
    </row>
    <row r="2629">
      <c r="A2629" t="inlineStr">
        <is>
          <t>900006543</t>
        </is>
      </c>
      <c r="B2629" t="inlineStr">
        <is>
          <t>D836</t>
        </is>
      </c>
      <c r="C2629" t="inlineStr">
        <is>
          <t>66922317</t>
        </is>
      </c>
      <c r="D2629" t="inlineStr">
        <is>
          <t>10000651</t>
        </is>
      </c>
      <c r="E2629" t="inlineStr"/>
      <c r="F2629" s="11" t="n">
        <v>170</v>
      </c>
      <c r="G2629" t="inlineStr"/>
      <c r="I2629" t="inlineStr">
        <is>
          <t>M3</t>
        </is>
      </c>
      <c r="J2629" t="inlineStr"/>
      <c r="K2629" t="inlineStr">
        <is>
          <t>20260708</t>
        </is>
      </c>
      <c r="L2629" t="inlineStr">
        <is>
          <t>99991231</t>
        </is>
      </c>
    </row>
    <row r="2630">
      <c r="A2630" t="inlineStr">
        <is>
          <t>900006543</t>
        </is>
      </c>
      <c r="B2630" t="inlineStr">
        <is>
          <t>D836</t>
        </is>
      </c>
      <c r="C2630" t="inlineStr">
        <is>
          <t>66922317</t>
        </is>
      </c>
      <c r="D2630" t="inlineStr">
        <is>
          <t>10185477</t>
        </is>
      </c>
      <c r="E2630" t="inlineStr"/>
      <c r="F2630" s="11" t="n">
        <v>180</v>
      </c>
      <c r="G2630" t="inlineStr"/>
      <c r="I2630" t="inlineStr">
        <is>
          <t>M3</t>
        </is>
      </c>
      <c r="J2630" t="inlineStr"/>
      <c r="K2630" t="inlineStr">
        <is>
          <t>20260708</t>
        </is>
      </c>
      <c r="L2630" t="inlineStr">
        <is>
          <t>99991231</t>
        </is>
      </c>
    </row>
    <row r="2631">
      <c r="A2631" t="inlineStr">
        <is>
          <t>900006543</t>
        </is>
      </c>
      <c r="B2631" t="inlineStr">
        <is>
          <t>D836</t>
        </is>
      </c>
      <c r="C2631" t="inlineStr">
        <is>
          <t>66942072</t>
        </is>
      </c>
      <c r="D2631" t="inlineStr">
        <is>
          <t>10000651</t>
        </is>
      </c>
      <c r="E2631" t="inlineStr"/>
      <c r="F2631" s="11" t="n">
        <v>170</v>
      </c>
      <c r="G2631" t="inlineStr"/>
      <c r="I2631" t="inlineStr">
        <is>
          <t>M3</t>
        </is>
      </c>
      <c r="J2631" t="inlineStr"/>
      <c r="K2631" t="inlineStr">
        <is>
          <t>20260708</t>
        </is>
      </c>
      <c r="L2631" t="inlineStr">
        <is>
          <t>99991231</t>
        </is>
      </c>
    </row>
    <row r="2632">
      <c r="A2632" t="inlineStr">
        <is>
          <t>900006543</t>
        </is>
      </c>
      <c r="B2632" t="inlineStr">
        <is>
          <t>D836</t>
        </is>
      </c>
      <c r="C2632" t="inlineStr">
        <is>
          <t>66942072</t>
        </is>
      </c>
      <c r="D2632" t="inlineStr">
        <is>
          <t>10185476</t>
        </is>
      </c>
      <c r="E2632" t="inlineStr"/>
      <c r="F2632" s="11" t="n">
        <v>170</v>
      </c>
      <c r="G2632" t="inlineStr"/>
      <c r="I2632" t="inlineStr">
        <is>
          <t>M3</t>
        </is>
      </c>
      <c r="J2632" t="inlineStr"/>
      <c r="K2632" t="inlineStr">
        <is>
          <t>20260325</t>
        </is>
      </c>
      <c r="L2632" t="inlineStr">
        <is>
          <t>99991231</t>
        </is>
      </c>
    </row>
    <row r="2633">
      <c r="A2633" t="inlineStr">
        <is>
          <t>900006543</t>
        </is>
      </c>
      <c r="B2633" t="inlineStr">
        <is>
          <t>D836</t>
        </is>
      </c>
      <c r="C2633" t="inlineStr">
        <is>
          <t>66942072</t>
        </is>
      </c>
      <c r="D2633" t="inlineStr">
        <is>
          <t>10185477</t>
        </is>
      </c>
      <c r="E2633" t="inlineStr"/>
      <c r="F2633" s="11" t="n">
        <v>180</v>
      </c>
      <c r="G2633" t="inlineStr"/>
      <c r="I2633" t="inlineStr">
        <is>
          <t>M3</t>
        </is>
      </c>
      <c r="J2633" t="inlineStr"/>
      <c r="K2633" t="inlineStr">
        <is>
          <t>20260708</t>
        </is>
      </c>
      <c r="L2633" t="inlineStr">
        <is>
          <t>99991231</t>
        </is>
      </c>
    </row>
    <row r="2634">
      <c r="A2634" t="inlineStr">
        <is>
          <t>900006543</t>
        </is>
      </c>
      <c r="B2634" t="inlineStr">
        <is>
          <t>D836</t>
        </is>
      </c>
      <c r="C2634" t="inlineStr">
        <is>
          <t>66970213</t>
        </is>
      </c>
      <c r="D2634" t="inlineStr">
        <is>
          <t>10185476</t>
        </is>
      </c>
      <c r="E2634" t="inlineStr"/>
      <c r="F2634" s="11" t="n">
        <v>170</v>
      </c>
      <c r="G2634" t="inlineStr"/>
      <c r="I2634" t="inlineStr">
        <is>
          <t>M3</t>
        </is>
      </c>
      <c r="J2634" t="inlineStr"/>
      <c r="K2634" t="inlineStr">
        <is>
          <t>20260325</t>
        </is>
      </c>
      <c r="L2634" t="inlineStr">
        <is>
          <t>99991231</t>
        </is>
      </c>
    </row>
    <row r="2635">
      <c r="A2635" t="inlineStr">
        <is>
          <t>900006543</t>
        </is>
      </c>
      <c r="B2635" t="inlineStr">
        <is>
          <t>D836</t>
        </is>
      </c>
      <c r="C2635" t="inlineStr">
        <is>
          <t>66970213</t>
        </is>
      </c>
      <c r="D2635" t="inlineStr">
        <is>
          <t>10185477</t>
        </is>
      </c>
      <c r="E2635" t="inlineStr"/>
      <c r="F2635" s="11" t="n">
        <v>180</v>
      </c>
      <c r="G2635" t="inlineStr"/>
      <c r="I2635" t="inlineStr">
        <is>
          <t>M3</t>
        </is>
      </c>
      <c r="J2635" t="inlineStr"/>
      <c r="K2635" t="inlineStr">
        <is>
          <t>20260325</t>
        </is>
      </c>
      <c r="L2635" t="inlineStr">
        <is>
          <t>99991231</t>
        </is>
      </c>
    </row>
    <row r="2636">
      <c r="A2636" t="inlineStr">
        <is>
          <t>900006543</t>
        </is>
      </c>
      <c r="B2636" t="inlineStr">
        <is>
          <t>D836</t>
        </is>
      </c>
      <c r="C2636" t="inlineStr">
        <is>
          <t>66982053</t>
        </is>
      </c>
      <c r="D2636" t="inlineStr">
        <is>
          <t>10185476</t>
        </is>
      </c>
      <c r="E2636" t="inlineStr"/>
      <c r="F2636" s="11" t="n">
        <v>170</v>
      </c>
      <c r="G2636" t="inlineStr"/>
      <c r="I2636" t="inlineStr">
        <is>
          <t>M3</t>
        </is>
      </c>
      <c r="J2636" t="inlineStr"/>
      <c r="K2636" t="inlineStr">
        <is>
          <t>20260318</t>
        </is>
      </c>
      <c r="L2636" t="inlineStr">
        <is>
          <t>99991231</t>
        </is>
      </c>
    </row>
    <row r="2637">
      <c r="A2637" t="inlineStr">
        <is>
          <t>900006543</t>
        </is>
      </c>
      <c r="B2637" t="inlineStr">
        <is>
          <t>D836</t>
        </is>
      </c>
      <c r="C2637" t="inlineStr">
        <is>
          <t>66982053</t>
        </is>
      </c>
      <c r="D2637" t="inlineStr">
        <is>
          <t>10185477</t>
        </is>
      </c>
      <c r="E2637" t="inlineStr"/>
      <c r="F2637" s="11" t="n">
        <v>180</v>
      </c>
      <c r="G2637" t="inlineStr"/>
      <c r="I2637" t="inlineStr">
        <is>
          <t>M3</t>
        </is>
      </c>
      <c r="J2637" t="inlineStr"/>
      <c r="K2637" t="inlineStr">
        <is>
          <t>20260318</t>
        </is>
      </c>
      <c r="L2637" t="inlineStr">
        <is>
          <t>99991231</t>
        </is>
      </c>
    </row>
    <row r="2638">
      <c r="A2638" t="inlineStr">
        <is>
          <t>900006543</t>
        </is>
      </c>
      <c r="B2638" t="inlineStr">
        <is>
          <t>D836</t>
        </is>
      </c>
      <c r="C2638" t="inlineStr">
        <is>
          <t>67019979</t>
        </is>
      </c>
      <c r="D2638" t="inlineStr">
        <is>
          <t>10185476</t>
        </is>
      </c>
      <c r="E2638" t="inlineStr"/>
      <c r="F2638" s="11" t="n">
        <v>170</v>
      </c>
      <c r="G2638" t="inlineStr"/>
      <c r="I2638" t="inlineStr">
        <is>
          <t>M3</t>
        </is>
      </c>
      <c r="J2638" t="inlineStr"/>
      <c r="K2638" t="inlineStr">
        <is>
          <t>20260318</t>
        </is>
      </c>
      <c r="L2638" t="inlineStr">
        <is>
          <t>99991231</t>
        </is>
      </c>
    </row>
    <row r="2639">
      <c r="A2639" t="inlineStr">
        <is>
          <t>900006543</t>
        </is>
      </c>
      <c r="B2639" t="inlineStr">
        <is>
          <t>D836</t>
        </is>
      </c>
      <c r="C2639" t="inlineStr">
        <is>
          <t>67019979</t>
        </is>
      </c>
      <c r="D2639" t="inlineStr">
        <is>
          <t>10185477</t>
        </is>
      </c>
      <c r="E2639" t="inlineStr"/>
      <c r="F2639" s="11" t="n">
        <v>180</v>
      </c>
      <c r="G2639" t="inlineStr"/>
      <c r="I2639" t="inlineStr">
        <is>
          <t>M3</t>
        </is>
      </c>
      <c r="J2639" t="inlineStr"/>
      <c r="K2639" t="inlineStr">
        <is>
          <t>20260318</t>
        </is>
      </c>
      <c r="L2639" t="inlineStr">
        <is>
          <t>99991231</t>
        </is>
      </c>
    </row>
    <row r="2640">
      <c r="A2640" t="inlineStr">
        <is>
          <t>900006543</t>
        </is>
      </c>
      <c r="B2640" t="inlineStr">
        <is>
          <t>D836</t>
        </is>
      </c>
      <c r="C2640" t="inlineStr">
        <is>
          <t>67132343</t>
        </is>
      </c>
      <c r="D2640" t="inlineStr">
        <is>
          <t>10185476</t>
        </is>
      </c>
      <c r="E2640" t="inlineStr"/>
      <c r="F2640" s="11" t="n">
        <v>170</v>
      </c>
      <c r="G2640" t="inlineStr"/>
      <c r="I2640" t="inlineStr">
        <is>
          <t>M3</t>
        </is>
      </c>
      <c r="J2640" t="inlineStr"/>
      <c r="K2640" t="inlineStr">
        <is>
          <t>20260325</t>
        </is>
      </c>
      <c r="L2640" t="inlineStr">
        <is>
          <t>99991231</t>
        </is>
      </c>
    </row>
    <row r="2641">
      <c r="A2641" t="inlineStr">
        <is>
          <t>900006543</t>
        </is>
      </c>
      <c r="B2641" t="inlineStr">
        <is>
          <t>D836</t>
        </is>
      </c>
      <c r="C2641" t="inlineStr">
        <is>
          <t>67132343</t>
        </is>
      </c>
      <c r="D2641" t="inlineStr">
        <is>
          <t>10185477</t>
        </is>
      </c>
      <c r="E2641" t="inlineStr"/>
      <c r="F2641" s="11" t="n">
        <v>180</v>
      </c>
      <c r="G2641" t="inlineStr"/>
      <c r="I2641" t="inlineStr">
        <is>
          <t>M3</t>
        </is>
      </c>
      <c r="J2641" t="inlineStr"/>
      <c r="K2641" t="inlineStr">
        <is>
          <t>20260325</t>
        </is>
      </c>
      <c r="L2641" t="inlineStr">
        <is>
          <t>99991231</t>
        </is>
      </c>
    </row>
    <row r="2642">
      <c r="A2642" t="inlineStr">
        <is>
          <t>900006543</t>
        </is>
      </c>
      <c r="B2642" t="inlineStr">
        <is>
          <t>D836</t>
        </is>
      </c>
      <c r="C2642" t="inlineStr">
        <is>
          <t>67224043</t>
        </is>
      </c>
      <c r="D2642" t="inlineStr">
        <is>
          <t>10185476</t>
        </is>
      </c>
      <c r="E2642" t="inlineStr"/>
      <c r="F2642" s="11" t="n">
        <v>170</v>
      </c>
      <c r="G2642" t="inlineStr"/>
      <c r="I2642" t="inlineStr">
        <is>
          <t>M3</t>
        </is>
      </c>
      <c r="J2642" t="inlineStr"/>
      <c r="K2642" t="inlineStr">
        <is>
          <t>20260325</t>
        </is>
      </c>
      <c r="L2642" t="inlineStr">
        <is>
          <t>99991231</t>
        </is>
      </c>
    </row>
    <row r="2643">
      <c r="A2643" t="inlineStr">
        <is>
          <t>900006543</t>
        </is>
      </c>
      <c r="B2643" t="inlineStr">
        <is>
          <t>D836</t>
        </is>
      </c>
      <c r="C2643" t="inlineStr">
        <is>
          <t>67224043</t>
        </is>
      </c>
      <c r="D2643" t="inlineStr">
        <is>
          <t>10185477</t>
        </is>
      </c>
      <c r="E2643" t="inlineStr"/>
      <c r="F2643" s="11" t="n">
        <v>180</v>
      </c>
      <c r="G2643" t="inlineStr"/>
      <c r="I2643" t="inlineStr">
        <is>
          <t>M3</t>
        </is>
      </c>
      <c r="J2643" t="inlineStr"/>
      <c r="K2643" t="inlineStr">
        <is>
          <t>20260304</t>
        </is>
      </c>
      <c r="L2643" t="inlineStr">
        <is>
          <t>99991231</t>
        </is>
      </c>
    </row>
    <row r="2644">
      <c r="A2644" t="inlineStr">
        <is>
          <t>900006543</t>
        </is>
      </c>
      <c r="B2644" t="inlineStr">
        <is>
          <t>D836</t>
        </is>
      </c>
      <c r="C2644" t="inlineStr">
        <is>
          <t>67243408</t>
        </is>
      </c>
      <c r="D2644" t="inlineStr">
        <is>
          <t>10185476</t>
        </is>
      </c>
      <c r="E2644" t="inlineStr"/>
      <c r="F2644" s="11" t="n">
        <v>170</v>
      </c>
      <c r="G2644" t="inlineStr"/>
      <c r="I2644" t="inlineStr">
        <is>
          <t>M3</t>
        </is>
      </c>
      <c r="J2644" t="inlineStr"/>
      <c r="K2644" t="inlineStr">
        <is>
          <t>20260318</t>
        </is>
      </c>
      <c r="L2644" t="inlineStr">
        <is>
          <t>99991231</t>
        </is>
      </c>
    </row>
    <row r="2645">
      <c r="A2645" t="inlineStr">
        <is>
          <t>900006543</t>
        </is>
      </c>
      <c r="B2645" t="inlineStr">
        <is>
          <t>D836</t>
        </is>
      </c>
      <c r="C2645" t="inlineStr">
        <is>
          <t>67243408</t>
        </is>
      </c>
      <c r="D2645" t="inlineStr">
        <is>
          <t>10185477</t>
        </is>
      </c>
      <c r="E2645" t="inlineStr"/>
      <c r="F2645" s="11" t="n">
        <v>180</v>
      </c>
      <c r="G2645" t="inlineStr"/>
      <c r="I2645" t="inlineStr">
        <is>
          <t>M3</t>
        </is>
      </c>
      <c r="J2645" t="inlineStr"/>
      <c r="K2645" t="inlineStr">
        <is>
          <t>20260318</t>
        </is>
      </c>
      <c r="L2645" t="inlineStr">
        <is>
          <t>99991231</t>
        </is>
      </c>
    </row>
    <row r="2646">
      <c r="A2646" t="inlineStr">
        <is>
          <t>900006543</t>
        </is>
      </c>
      <c r="B2646" t="inlineStr">
        <is>
          <t>D836</t>
        </is>
      </c>
      <c r="C2646" t="inlineStr">
        <is>
          <t>67244113</t>
        </is>
      </c>
      <c r="D2646" t="inlineStr">
        <is>
          <t>10185476</t>
        </is>
      </c>
      <c r="E2646" t="inlineStr"/>
      <c r="F2646" s="11" t="n">
        <v>170</v>
      </c>
      <c r="G2646" t="inlineStr"/>
      <c r="I2646" t="inlineStr">
        <is>
          <t>M3</t>
        </is>
      </c>
      <c r="J2646" t="inlineStr"/>
      <c r="K2646" t="inlineStr">
        <is>
          <t>20260304</t>
        </is>
      </c>
      <c r="L2646" t="inlineStr">
        <is>
          <t>99991231</t>
        </is>
      </c>
    </row>
    <row r="2647">
      <c r="A2647" t="inlineStr">
        <is>
          <t>900006543</t>
        </is>
      </c>
      <c r="B2647" t="inlineStr">
        <is>
          <t>D836</t>
        </is>
      </c>
      <c r="C2647" t="inlineStr">
        <is>
          <t>67277158</t>
        </is>
      </c>
      <c r="D2647" t="inlineStr">
        <is>
          <t>10185477</t>
        </is>
      </c>
      <c r="E2647" t="inlineStr"/>
      <c r="F2647" s="11" t="n">
        <v>170</v>
      </c>
      <c r="G2647" t="inlineStr"/>
      <c r="I2647" t="inlineStr">
        <is>
          <t>M3</t>
        </is>
      </c>
      <c r="J2647" t="inlineStr"/>
      <c r="K2647" t="inlineStr">
        <is>
          <t>20260304</t>
        </is>
      </c>
      <c r="L2647" t="inlineStr">
        <is>
          <t>99991231</t>
        </is>
      </c>
    </row>
    <row r="2648">
      <c r="A2648" t="inlineStr">
        <is>
          <t>900006543</t>
        </is>
      </c>
      <c r="B2648" t="inlineStr">
        <is>
          <t>D836</t>
        </is>
      </c>
      <c r="C2648" t="inlineStr">
        <is>
          <t>67277485</t>
        </is>
      </c>
      <c r="D2648" t="inlineStr">
        <is>
          <t>10185476</t>
        </is>
      </c>
      <c r="E2648" t="inlineStr"/>
      <c r="F2648" s="11" t="n">
        <v>170</v>
      </c>
      <c r="G2648" t="inlineStr"/>
      <c r="I2648" t="inlineStr">
        <is>
          <t>M3</t>
        </is>
      </c>
      <c r="J2648" t="inlineStr"/>
      <c r="K2648" t="inlineStr">
        <is>
          <t>20260304</t>
        </is>
      </c>
      <c r="L2648" t="inlineStr">
        <is>
          <t>99991231</t>
        </is>
      </c>
    </row>
    <row r="2649">
      <c r="A2649" t="inlineStr">
        <is>
          <t>900006543</t>
        </is>
      </c>
      <c r="B2649" t="inlineStr">
        <is>
          <t>D836</t>
        </is>
      </c>
      <c r="C2649" t="inlineStr">
        <is>
          <t>67277485</t>
        </is>
      </c>
      <c r="D2649" t="inlineStr">
        <is>
          <t>10185477</t>
        </is>
      </c>
      <c r="E2649" t="inlineStr"/>
      <c r="F2649" s="11" t="n">
        <v>180</v>
      </c>
      <c r="G2649" t="inlineStr"/>
      <c r="I2649" t="inlineStr">
        <is>
          <t>M3</t>
        </is>
      </c>
      <c r="J2649" t="inlineStr"/>
      <c r="K2649" t="inlineStr">
        <is>
          <t>20260304</t>
        </is>
      </c>
      <c r="L2649" t="inlineStr">
        <is>
          <t>99991231</t>
        </is>
      </c>
    </row>
    <row r="2650">
      <c r="A2650" t="inlineStr">
        <is>
          <t>900006543</t>
        </is>
      </c>
      <c r="B2650" t="inlineStr">
        <is>
          <t>D836</t>
        </is>
      </c>
      <c r="C2650" t="inlineStr">
        <is>
          <t>67322499</t>
        </is>
      </c>
      <c r="D2650" t="inlineStr">
        <is>
          <t>10185476</t>
        </is>
      </c>
      <c r="E2650" t="inlineStr"/>
      <c r="F2650" s="11" t="n">
        <v>170</v>
      </c>
      <c r="G2650" t="inlineStr"/>
      <c r="I2650" t="inlineStr">
        <is>
          <t>M3</t>
        </is>
      </c>
      <c r="J2650" t="inlineStr"/>
      <c r="K2650" t="inlineStr">
        <is>
          <t>20260318</t>
        </is>
      </c>
      <c r="L2650" t="inlineStr">
        <is>
          <t>99991231</t>
        </is>
      </c>
    </row>
    <row r="2651">
      <c r="A2651" t="inlineStr">
        <is>
          <t>900006543</t>
        </is>
      </c>
      <c r="B2651" t="inlineStr">
        <is>
          <t>D836</t>
        </is>
      </c>
      <c r="C2651" t="inlineStr">
        <is>
          <t>67322499</t>
        </is>
      </c>
      <c r="D2651" t="inlineStr">
        <is>
          <t>10185477</t>
        </is>
      </c>
      <c r="E2651" t="inlineStr"/>
      <c r="F2651" s="11" t="n">
        <v>180</v>
      </c>
      <c r="G2651" t="inlineStr"/>
      <c r="I2651" t="inlineStr">
        <is>
          <t>M3</t>
        </is>
      </c>
      <c r="J2651" t="inlineStr"/>
      <c r="K2651" t="inlineStr">
        <is>
          <t>20260318</t>
        </is>
      </c>
      <c r="L2651" t="inlineStr">
        <is>
          <t>99991231</t>
        </is>
      </c>
    </row>
    <row r="2652">
      <c r="A2652" t="inlineStr">
        <is>
          <t>900006543</t>
        </is>
      </c>
      <c r="B2652" t="inlineStr">
        <is>
          <t>D836</t>
        </is>
      </c>
      <c r="C2652" t="inlineStr">
        <is>
          <t>67347709</t>
        </is>
      </c>
      <c r="D2652" t="inlineStr">
        <is>
          <t>10185476</t>
        </is>
      </c>
      <c r="E2652" t="inlineStr"/>
      <c r="F2652" s="11" t="n">
        <v>170</v>
      </c>
      <c r="G2652" t="inlineStr"/>
      <c r="I2652" t="inlineStr">
        <is>
          <t>M3</t>
        </is>
      </c>
      <c r="J2652" t="inlineStr"/>
      <c r="K2652" t="inlineStr">
        <is>
          <t>20260325</t>
        </is>
      </c>
      <c r="L2652" t="inlineStr">
        <is>
          <t>99991231</t>
        </is>
      </c>
    </row>
    <row r="2653">
      <c r="A2653" t="inlineStr">
        <is>
          <t>900006543</t>
        </is>
      </c>
      <c r="B2653" t="inlineStr">
        <is>
          <t>D836</t>
        </is>
      </c>
      <c r="C2653" t="inlineStr">
        <is>
          <t>67347709</t>
        </is>
      </c>
      <c r="D2653" t="inlineStr">
        <is>
          <t>10185477</t>
        </is>
      </c>
      <c r="E2653" t="inlineStr"/>
      <c r="F2653" s="11" t="n">
        <v>180</v>
      </c>
      <c r="G2653" t="inlineStr"/>
      <c r="I2653" t="inlineStr">
        <is>
          <t>M3</t>
        </is>
      </c>
      <c r="J2653" t="inlineStr"/>
      <c r="K2653" t="inlineStr">
        <is>
          <t>20260325</t>
        </is>
      </c>
      <c r="L2653" t="inlineStr">
        <is>
          <t>99991231</t>
        </is>
      </c>
    </row>
    <row r="2654">
      <c r="A2654" t="inlineStr">
        <is>
          <t>900006543</t>
        </is>
      </c>
      <c r="B2654" t="inlineStr">
        <is>
          <t>D836</t>
        </is>
      </c>
      <c r="C2654" t="inlineStr">
        <is>
          <t>67358631</t>
        </is>
      </c>
      <c r="D2654" t="inlineStr">
        <is>
          <t>10000627</t>
        </is>
      </c>
      <c r="E2654" t="inlineStr"/>
      <c r="F2654" s="11" t="n">
        <v>130.79</v>
      </c>
      <c r="G2654" t="inlineStr"/>
      <c r="I2654" t="inlineStr">
        <is>
          <t>M3</t>
        </is>
      </c>
      <c r="J2654" t="inlineStr"/>
      <c r="K2654" t="inlineStr">
        <is>
          <t>20251216</t>
        </is>
      </c>
      <c r="L2654" t="inlineStr">
        <is>
          <t>99991231</t>
        </is>
      </c>
    </row>
    <row r="2655">
      <c r="A2655" t="inlineStr">
        <is>
          <t>900006543</t>
        </is>
      </c>
      <c r="B2655" t="inlineStr">
        <is>
          <t>D836</t>
        </is>
      </c>
      <c r="C2655" t="inlineStr">
        <is>
          <t>67358631</t>
        </is>
      </c>
      <c r="D2655" t="inlineStr">
        <is>
          <t>10185476</t>
        </is>
      </c>
      <c r="E2655" t="inlineStr"/>
      <c r="F2655" s="11" t="n">
        <v>170</v>
      </c>
      <c r="G2655" t="inlineStr"/>
      <c r="I2655" t="inlineStr">
        <is>
          <t>M3</t>
        </is>
      </c>
      <c r="J2655" t="inlineStr"/>
      <c r="K2655" t="inlineStr">
        <is>
          <t>20260304</t>
        </is>
      </c>
      <c r="L2655" t="inlineStr">
        <is>
          <t>99991231</t>
        </is>
      </c>
    </row>
    <row r="2656">
      <c r="A2656" t="inlineStr">
        <is>
          <t>900006543</t>
        </is>
      </c>
      <c r="B2656" t="inlineStr">
        <is>
          <t>D836</t>
        </is>
      </c>
      <c r="C2656" t="inlineStr">
        <is>
          <t>67358631</t>
        </is>
      </c>
      <c r="D2656" t="inlineStr">
        <is>
          <t>10185477</t>
        </is>
      </c>
      <c r="E2656" t="inlineStr"/>
      <c r="F2656" s="11" t="n">
        <v>180</v>
      </c>
      <c r="G2656" t="inlineStr"/>
      <c r="I2656" t="inlineStr">
        <is>
          <t>M3</t>
        </is>
      </c>
      <c r="J2656" t="inlineStr"/>
      <c r="K2656" t="inlineStr">
        <is>
          <t>20260304</t>
        </is>
      </c>
      <c r="L2656" t="inlineStr">
        <is>
          <t>99991231</t>
        </is>
      </c>
    </row>
    <row r="2657">
      <c r="A2657" t="inlineStr">
        <is>
          <t>900006543</t>
        </is>
      </c>
      <c r="B2657" t="inlineStr">
        <is>
          <t>D836</t>
        </is>
      </c>
      <c r="C2657" t="inlineStr">
        <is>
          <t>67365667</t>
        </is>
      </c>
      <c r="D2657" t="inlineStr">
        <is>
          <t>10185476</t>
        </is>
      </c>
      <c r="E2657" t="inlineStr"/>
      <c r="F2657" s="11" t="n">
        <v>175</v>
      </c>
      <c r="G2657" t="inlineStr"/>
      <c r="I2657" t="inlineStr">
        <is>
          <t>M3</t>
        </is>
      </c>
      <c r="J2657" t="inlineStr"/>
      <c r="K2657" t="inlineStr">
        <is>
          <t>20260629</t>
        </is>
      </c>
      <c r="L2657" t="inlineStr">
        <is>
          <t>99991231</t>
        </is>
      </c>
    </row>
    <row r="2658">
      <c r="A2658" t="inlineStr">
        <is>
          <t>900006543</t>
        </is>
      </c>
      <c r="B2658" t="inlineStr">
        <is>
          <t>D836</t>
        </is>
      </c>
      <c r="C2658" t="inlineStr">
        <is>
          <t>67382539</t>
        </is>
      </c>
      <c r="D2658" t="inlineStr">
        <is>
          <t>10185476</t>
        </is>
      </c>
      <c r="E2658" t="inlineStr"/>
      <c r="F2658" s="11" t="n">
        <v>170</v>
      </c>
      <c r="G2658" t="inlineStr"/>
      <c r="I2658" t="inlineStr">
        <is>
          <t>M3</t>
        </is>
      </c>
      <c r="J2658" t="inlineStr"/>
      <c r="K2658" t="inlineStr">
        <is>
          <t>20260611</t>
        </is>
      </c>
      <c r="L2658" t="inlineStr">
        <is>
          <t>99991231</t>
        </is>
      </c>
    </row>
    <row r="2659">
      <c r="A2659" t="inlineStr">
        <is>
          <t>900006543</t>
        </is>
      </c>
      <c r="B2659" t="inlineStr">
        <is>
          <t>D836</t>
        </is>
      </c>
      <c r="C2659" t="inlineStr">
        <is>
          <t>67382539</t>
        </is>
      </c>
      <c r="D2659" t="inlineStr">
        <is>
          <t>10185477</t>
        </is>
      </c>
      <c r="E2659" t="inlineStr"/>
      <c r="F2659" s="11" t="n">
        <v>180</v>
      </c>
      <c r="G2659" t="inlineStr"/>
      <c r="I2659" t="inlineStr">
        <is>
          <t>M3</t>
        </is>
      </c>
      <c r="J2659" t="inlineStr"/>
      <c r="K2659" t="inlineStr">
        <is>
          <t>20260611</t>
        </is>
      </c>
      <c r="L2659" t="inlineStr">
        <is>
          <t>99991231</t>
        </is>
      </c>
    </row>
    <row r="2660">
      <c r="A2660" t="inlineStr">
        <is>
          <t>900006543</t>
        </is>
      </c>
      <c r="B2660" t="inlineStr">
        <is>
          <t>D836</t>
        </is>
      </c>
      <c r="C2660" t="inlineStr">
        <is>
          <t>67382542</t>
        </is>
      </c>
      <c r="D2660" t="inlineStr">
        <is>
          <t>10185476</t>
        </is>
      </c>
      <c r="E2660" t="inlineStr"/>
      <c r="F2660" s="11" t="n">
        <v>170</v>
      </c>
      <c r="G2660" t="inlineStr"/>
      <c r="I2660" t="inlineStr">
        <is>
          <t>M3</t>
        </is>
      </c>
      <c r="J2660" t="inlineStr"/>
      <c r="K2660" t="inlineStr">
        <is>
          <t>20260611</t>
        </is>
      </c>
      <c r="L2660" t="inlineStr">
        <is>
          <t>99991231</t>
        </is>
      </c>
    </row>
    <row r="2661">
      <c r="A2661" t="inlineStr">
        <is>
          <t>900006543</t>
        </is>
      </c>
      <c r="B2661" t="inlineStr">
        <is>
          <t>D836</t>
        </is>
      </c>
      <c r="C2661" t="inlineStr">
        <is>
          <t>67382542</t>
        </is>
      </c>
      <c r="D2661" t="inlineStr">
        <is>
          <t>10185477</t>
        </is>
      </c>
      <c r="E2661" t="inlineStr"/>
      <c r="F2661" s="11" t="n">
        <v>180</v>
      </c>
      <c r="G2661" t="inlineStr"/>
      <c r="I2661" t="inlineStr">
        <is>
          <t>M3</t>
        </is>
      </c>
      <c r="J2661" t="inlineStr"/>
      <c r="K2661" t="inlineStr">
        <is>
          <t>20260611</t>
        </is>
      </c>
      <c r="L2661" t="inlineStr">
        <is>
          <t>99991231</t>
        </is>
      </c>
    </row>
    <row r="2662">
      <c r="A2662" t="inlineStr">
        <is>
          <t>900006543</t>
        </is>
      </c>
      <c r="B2662" t="inlineStr">
        <is>
          <t>D836</t>
        </is>
      </c>
      <c r="C2662" t="inlineStr">
        <is>
          <t>67385618</t>
        </is>
      </c>
      <c r="D2662" t="inlineStr">
        <is>
          <t>10185476</t>
        </is>
      </c>
      <c r="E2662" t="inlineStr"/>
      <c r="F2662" s="11" t="n">
        <v>170</v>
      </c>
      <c r="G2662" t="inlineStr"/>
      <c r="I2662" t="inlineStr">
        <is>
          <t>M3</t>
        </is>
      </c>
      <c r="J2662" t="inlineStr"/>
      <c r="K2662" t="inlineStr">
        <is>
          <t>20260708</t>
        </is>
      </c>
      <c r="L2662" t="inlineStr">
        <is>
          <t>99991231</t>
        </is>
      </c>
    </row>
    <row r="2663">
      <c r="A2663" t="inlineStr">
        <is>
          <t>900006543</t>
        </is>
      </c>
      <c r="B2663" t="inlineStr">
        <is>
          <t>D836</t>
        </is>
      </c>
      <c r="C2663" t="inlineStr">
        <is>
          <t>67385618</t>
        </is>
      </c>
      <c r="D2663" t="inlineStr">
        <is>
          <t>10185477</t>
        </is>
      </c>
      <c r="E2663" t="inlineStr"/>
      <c r="F2663" s="11" t="n">
        <v>180</v>
      </c>
      <c r="G2663" t="inlineStr"/>
      <c r="I2663" t="inlineStr">
        <is>
          <t>M3</t>
        </is>
      </c>
      <c r="J2663" t="inlineStr"/>
      <c r="K2663" t="inlineStr">
        <is>
          <t>20260708</t>
        </is>
      </c>
      <c r="L2663" t="inlineStr">
        <is>
          <t>99991231</t>
        </is>
      </c>
    </row>
    <row r="2664">
      <c r="A2664" t="inlineStr">
        <is>
          <t>900006824</t>
        </is>
      </c>
      <c r="B2664" t="inlineStr">
        <is>
          <t>D836</t>
        </is>
      </c>
      <c r="C2664" t="inlineStr">
        <is>
          <t>66779276</t>
        </is>
      </c>
      <c r="D2664" t="inlineStr">
        <is>
          <t>10192943</t>
        </is>
      </c>
      <c r="E2664" t="inlineStr"/>
      <c r="F2664" s="11" t="n">
        <v>220</v>
      </c>
      <c r="G2664" t="inlineStr"/>
      <c r="I2664" t="inlineStr">
        <is>
          <t>TN</t>
        </is>
      </c>
      <c r="J2664" t="inlineStr"/>
      <c r="K2664" t="inlineStr">
        <is>
          <t>20240403</t>
        </is>
      </c>
      <c r="L2664" t="inlineStr">
        <is>
          <t>99991231</t>
        </is>
      </c>
    </row>
    <row r="2665">
      <c r="A2665" t="inlineStr">
        <is>
          <t>900006824</t>
        </is>
      </c>
      <c r="B2665" t="inlineStr">
        <is>
          <t>D836</t>
        </is>
      </c>
      <c r="C2665" t="inlineStr">
        <is>
          <t>66779276</t>
        </is>
      </c>
      <c r="D2665" t="inlineStr">
        <is>
          <t>10192944</t>
        </is>
      </c>
      <c r="E2665" t="inlineStr"/>
      <c r="F2665" s="11" t="n">
        <v>240</v>
      </c>
      <c r="G2665" t="inlineStr"/>
      <c r="I2665" t="inlineStr">
        <is>
          <t>TN</t>
        </is>
      </c>
      <c r="J2665" t="inlineStr"/>
      <c r="K2665" t="inlineStr">
        <is>
          <t>20240403</t>
        </is>
      </c>
      <c r="L2665" t="inlineStr">
        <is>
          <t>99991231</t>
        </is>
      </c>
    </row>
    <row r="2666">
      <c r="A2666" t="inlineStr">
        <is>
          <t>900006950</t>
        </is>
      </c>
      <c r="B2666" t="inlineStr">
        <is>
          <t>D836</t>
        </is>
      </c>
      <c r="C2666" t="inlineStr">
        <is>
          <t>65061687</t>
        </is>
      </c>
      <c r="D2666" t="inlineStr">
        <is>
          <t>10183920</t>
        </is>
      </c>
      <c r="E2666" t="inlineStr"/>
      <c r="F2666" s="11" t="n">
        <v>330</v>
      </c>
      <c r="G2666" t="inlineStr"/>
      <c r="I2666" t="inlineStr">
        <is>
          <t>M3</t>
        </is>
      </c>
      <c r="J2666" t="inlineStr"/>
      <c r="K2666" t="inlineStr">
        <is>
          <t>20240621</t>
        </is>
      </c>
      <c r="L2666" t="inlineStr">
        <is>
          <t>99991231</t>
        </is>
      </c>
    </row>
    <row r="2667">
      <c r="A2667" t="inlineStr">
        <is>
          <t>900007320</t>
        </is>
      </c>
      <c r="B2667" t="inlineStr">
        <is>
          <t>D836</t>
        </is>
      </c>
      <c r="C2667" t="inlineStr">
        <is>
          <t>65006122</t>
        </is>
      </c>
      <c r="D2667" t="inlineStr">
        <is>
          <t>10000160</t>
        </is>
      </c>
      <c r="E2667" t="inlineStr"/>
      <c r="F2667" s="11" t="n">
        <v>134</v>
      </c>
      <c r="G2667" t="inlineStr"/>
      <c r="I2667" t="inlineStr">
        <is>
          <t>M3</t>
        </is>
      </c>
      <c r="J2667" t="inlineStr"/>
      <c r="K2667" t="inlineStr">
        <is>
          <t>20260528</t>
        </is>
      </c>
      <c r="L2667" t="inlineStr">
        <is>
          <t>99991231</t>
        </is>
      </c>
    </row>
    <row r="2668">
      <c r="A2668" t="inlineStr">
        <is>
          <t>900007320</t>
        </is>
      </c>
      <c r="B2668" t="inlineStr">
        <is>
          <t>D836</t>
        </is>
      </c>
      <c r="C2668" t="inlineStr">
        <is>
          <t>65006122</t>
        </is>
      </c>
      <c r="D2668" t="inlineStr">
        <is>
          <t>10000357</t>
        </is>
      </c>
      <c r="E2668" t="inlineStr"/>
      <c r="F2668" s="11" t="n">
        <v>150</v>
      </c>
      <c r="G2668" t="inlineStr"/>
      <c r="I2668" t="inlineStr">
        <is>
          <t>M3</t>
        </is>
      </c>
      <c r="J2668" t="inlineStr"/>
      <c r="K2668" t="inlineStr">
        <is>
          <t>20260318</t>
        </is>
      </c>
      <c r="L2668" t="inlineStr">
        <is>
          <t>99991231</t>
        </is>
      </c>
    </row>
    <row r="2669">
      <c r="A2669" t="inlineStr">
        <is>
          <t>900007320</t>
        </is>
      </c>
      <c r="B2669" t="inlineStr">
        <is>
          <t>D836</t>
        </is>
      </c>
      <c r="C2669" t="inlineStr">
        <is>
          <t>65006122</t>
        </is>
      </c>
      <c r="D2669" t="inlineStr">
        <is>
          <t>10000627</t>
        </is>
      </c>
      <c r="E2669" t="inlineStr"/>
      <c r="F2669" s="11" t="n">
        <v>120</v>
      </c>
      <c r="G2669" t="inlineStr"/>
      <c r="I2669" t="inlineStr">
        <is>
          <t>M3</t>
        </is>
      </c>
      <c r="J2669" t="inlineStr"/>
      <c r="K2669" t="inlineStr">
        <is>
          <t>20260528</t>
        </is>
      </c>
      <c r="L2669" t="inlineStr">
        <is>
          <t>99991231</t>
        </is>
      </c>
    </row>
    <row r="2670">
      <c r="A2670" t="inlineStr">
        <is>
          <t>900007320</t>
        </is>
      </c>
      <c r="B2670" t="inlineStr">
        <is>
          <t>D836</t>
        </is>
      </c>
      <c r="C2670" t="inlineStr">
        <is>
          <t>65014664</t>
        </is>
      </c>
      <c r="D2670" t="inlineStr">
        <is>
          <t>10000160</t>
        </is>
      </c>
      <c r="E2670" t="inlineStr"/>
      <c r="F2670" s="11" t="n">
        <v>125.4</v>
      </c>
      <c r="G2670" t="inlineStr"/>
      <c r="I2670" t="inlineStr">
        <is>
          <t>M3</t>
        </is>
      </c>
      <c r="J2670" t="inlineStr"/>
      <c r="K2670" t="inlineStr">
        <is>
          <t>20260727</t>
        </is>
      </c>
      <c r="L2670" t="inlineStr">
        <is>
          <t>99991231</t>
        </is>
      </c>
    </row>
    <row r="2671">
      <c r="A2671" t="inlineStr">
        <is>
          <t>900007320</t>
        </is>
      </c>
      <c r="B2671" t="inlineStr">
        <is>
          <t>D836</t>
        </is>
      </c>
      <c r="C2671" t="inlineStr">
        <is>
          <t>65016451</t>
        </is>
      </c>
      <c r="D2671" t="inlineStr">
        <is>
          <t>10000160</t>
        </is>
      </c>
      <c r="E2671" t="inlineStr"/>
      <c r="F2671" s="11" t="n">
        <v>123</v>
      </c>
      <c r="G2671" t="inlineStr"/>
      <c r="I2671" t="inlineStr">
        <is>
          <t>M3</t>
        </is>
      </c>
      <c r="J2671" t="inlineStr"/>
      <c r="K2671" t="inlineStr">
        <is>
          <t>20260727</t>
        </is>
      </c>
      <c r="L2671" t="inlineStr">
        <is>
          <t>99991231</t>
        </is>
      </c>
    </row>
    <row r="2672">
      <c r="A2672" t="inlineStr">
        <is>
          <t>900007320</t>
        </is>
      </c>
      <c r="B2672" t="inlineStr">
        <is>
          <t>D836</t>
        </is>
      </c>
      <c r="C2672" t="inlineStr">
        <is>
          <t>65911289</t>
        </is>
      </c>
      <c r="D2672" t="inlineStr">
        <is>
          <t>10000160</t>
        </is>
      </c>
      <c r="E2672" t="inlineStr"/>
      <c r="F2672" s="11" t="n">
        <v>130</v>
      </c>
      <c r="G2672" t="inlineStr"/>
      <c r="I2672" t="inlineStr">
        <is>
          <t>M3</t>
        </is>
      </c>
      <c r="J2672" t="inlineStr"/>
      <c r="K2672" t="inlineStr">
        <is>
          <t>20260727</t>
        </is>
      </c>
      <c r="L2672" t="inlineStr">
        <is>
          <t>99991231</t>
        </is>
      </c>
    </row>
    <row r="2673">
      <c r="A2673" t="inlineStr">
        <is>
          <t>900007320</t>
        </is>
      </c>
      <c r="B2673" t="inlineStr">
        <is>
          <t>D836</t>
        </is>
      </c>
      <c r="C2673" t="inlineStr">
        <is>
          <t>65911313</t>
        </is>
      </c>
      <c r="D2673" t="inlineStr">
        <is>
          <t>10000160</t>
        </is>
      </c>
      <c r="E2673" t="inlineStr"/>
      <c r="F2673" s="11" t="n">
        <v>125</v>
      </c>
      <c r="G2673" t="inlineStr"/>
      <c r="I2673" t="inlineStr">
        <is>
          <t>M3</t>
        </is>
      </c>
      <c r="J2673" t="inlineStr"/>
      <c r="K2673" t="inlineStr">
        <is>
          <t>20260727</t>
        </is>
      </c>
      <c r="L2673" t="inlineStr">
        <is>
          <t>99991231</t>
        </is>
      </c>
    </row>
    <row r="2674">
      <c r="A2674" t="inlineStr">
        <is>
          <t>900007320</t>
        </is>
      </c>
      <c r="B2674" t="inlineStr">
        <is>
          <t>D836</t>
        </is>
      </c>
      <c r="C2674" t="inlineStr">
        <is>
          <t>66779276</t>
        </is>
      </c>
      <c r="D2674" t="inlineStr">
        <is>
          <t>10000160</t>
        </is>
      </c>
      <c r="E2674" t="inlineStr"/>
      <c r="F2674" s="11" t="n">
        <v>115</v>
      </c>
      <c r="G2674" t="inlineStr"/>
      <c r="I2674" t="inlineStr">
        <is>
          <t>M3</t>
        </is>
      </c>
      <c r="J2674" t="inlineStr"/>
      <c r="K2674" t="inlineStr">
        <is>
          <t>20260324</t>
        </is>
      </c>
      <c r="L2674" t="inlineStr">
        <is>
          <t>99991231</t>
        </is>
      </c>
    </row>
    <row r="2675">
      <c r="A2675" t="inlineStr">
        <is>
          <t>900007320</t>
        </is>
      </c>
      <c r="B2675" t="inlineStr">
        <is>
          <t>D836</t>
        </is>
      </c>
      <c r="C2675" t="inlineStr">
        <is>
          <t>66827157</t>
        </is>
      </c>
      <c r="D2675" t="inlineStr">
        <is>
          <t>10000627</t>
        </is>
      </c>
      <c r="E2675" t="inlineStr"/>
      <c r="F2675" s="11" t="n">
        <v>105</v>
      </c>
      <c r="G2675" t="inlineStr"/>
      <c r="I2675" t="inlineStr">
        <is>
          <t>M3</t>
        </is>
      </c>
      <c r="J2675" t="inlineStr"/>
      <c r="K2675" t="inlineStr">
        <is>
          <t>20260803</t>
        </is>
      </c>
      <c r="L2675" t="inlineStr">
        <is>
          <t>99991231</t>
        </is>
      </c>
    </row>
    <row r="2676">
      <c r="A2676" t="inlineStr">
        <is>
          <t>900007320</t>
        </is>
      </c>
      <c r="B2676" t="inlineStr">
        <is>
          <t>D836</t>
        </is>
      </c>
      <c r="C2676" t="inlineStr">
        <is>
          <t>66828114</t>
        </is>
      </c>
      <c r="D2676" t="inlineStr">
        <is>
          <t>10000160</t>
        </is>
      </c>
      <c r="E2676" t="inlineStr"/>
      <c r="F2676" s="11" t="n">
        <v>127</v>
      </c>
      <c r="G2676" t="inlineStr"/>
      <c r="I2676" t="inlineStr">
        <is>
          <t>M3</t>
        </is>
      </c>
      <c r="J2676" t="inlineStr"/>
      <c r="K2676" t="inlineStr">
        <is>
          <t>20260611</t>
        </is>
      </c>
      <c r="L2676" t="inlineStr">
        <is>
          <t>99991231</t>
        </is>
      </c>
    </row>
    <row r="2677">
      <c r="A2677" t="inlineStr">
        <is>
          <t>900007320</t>
        </is>
      </c>
      <c r="B2677" t="inlineStr">
        <is>
          <t>D836</t>
        </is>
      </c>
      <c r="C2677" t="inlineStr">
        <is>
          <t>66828114</t>
        </is>
      </c>
      <c r="D2677" t="inlineStr">
        <is>
          <t>10000357</t>
        </is>
      </c>
      <c r="E2677" t="inlineStr"/>
      <c r="F2677" s="11" t="n">
        <v>160</v>
      </c>
      <c r="G2677" t="inlineStr"/>
      <c r="I2677" t="inlineStr">
        <is>
          <t>M3</t>
        </is>
      </c>
      <c r="J2677" t="inlineStr"/>
      <c r="K2677" t="inlineStr">
        <is>
          <t>20260611</t>
        </is>
      </c>
      <c r="L2677" t="inlineStr">
        <is>
          <t>99991231</t>
        </is>
      </c>
    </row>
    <row r="2678">
      <c r="A2678" t="inlineStr">
        <is>
          <t>900007320</t>
        </is>
      </c>
      <c r="B2678" t="inlineStr">
        <is>
          <t>D836</t>
        </is>
      </c>
      <c r="C2678" t="inlineStr">
        <is>
          <t>66828114</t>
        </is>
      </c>
      <c r="D2678" t="inlineStr">
        <is>
          <t>10000627</t>
        </is>
      </c>
      <c r="E2678" t="inlineStr"/>
      <c r="F2678" s="11" t="n">
        <v>120</v>
      </c>
      <c r="G2678" t="inlineStr"/>
      <c r="I2678" t="inlineStr">
        <is>
          <t>M3</t>
        </is>
      </c>
      <c r="J2678" t="inlineStr"/>
      <c r="K2678" t="inlineStr">
        <is>
          <t>20260611</t>
        </is>
      </c>
      <c r="L2678" t="inlineStr">
        <is>
          <t>99991231</t>
        </is>
      </c>
    </row>
    <row r="2679">
      <c r="A2679" t="inlineStr">
        <is>
          <t>900007320</t>
        </is>
      </c>
      <c r="B2679" t="inlineStr">
        <is>
          <t>D836</t>
        </is>
      </c>
      <c r="C2679" t="inlineStr">
        <is>
          <t>66864508</t>
        </is>
      </c>
      <c r="D2679" t="inlineStr">
        <is>
          <t>10000160</t>
        </is>
      </c>
      <c r="E2679" t="inlineStr"/>
      <c r="F2679" s="11" t="n">
        <v>160</v>
      </c>
      <c r="G2679" t="inlineStr"/>
      <c r="I2679" t="inlineStr">
        <is>
          <t>M3</t>
        </is>
      </c>
      <c r="J2679" t="inlineStr"/>
      <c r="K2679" t="inlineStr">
        <is>
          <t>20260625</t>
        </is>
      </c>
      <c r="L2679" t="inlineStr">
        <is>
          <t>99991231</t>
        </is>
      </c>
    </row>
    <row r="2680">
      <c r="A2680" t="inlineStr">
        <is>
          <t>900007320</t>
        </is>
      </c>
      <c r="B2680" t="inlineStr">
        <is>
          <t>D836</t>
        </is>
      </c>
      <c r="C2680" t="inlineStr">
        <is>
          <t>66864508</t>
        </is>
      </c>
      <c r="D2680" t="inlineStr">
        <is>
          <t>10000357</t>
        </is>
      </c>
      <c r="E2680" t="inlineStr"/>
      <c r="F2680" s="11" t="n">
        <v>185</v>
      </c>
      <c r="G2680" t="inlineStr"/>
      <c r="I2680" t="inlineStr">
        <is>
          <t>M3</t>
        </is>
      </c>
      <c r="J2680" t="inlineStr"/>
      <c r="K2680" t="inlineStr">
        <is>
          <t>20260625</t>
        </is>
      </c>
      <c r="L2680" t="inlineStr">
        <is>
          <t>99991231</t>
        </is>
      </c>
    </row>
    <row r="2681">
      <c r="A2681" t="inlineStr">
        <is>
          <t>900007320</t>
        </is>
      </c>
      <c r="B2681" t="inlineStr">
        <is>
          <t>D836</t>
        </is>
      </c>
      <c r="C2681" t="inlineStr">
        <is>
          <t>66864540</t>
        </is>
      </c>
      <c r="D2681" t="inlineStr">
        <is>
          <t>10000160</t>
        </is>
      </c>
      <c r="E2681" t="inlineStr"/>
      <c r="F2681" s="11" t="n">
        <v>160</v>
      </c>
      <c r="G2681" t="inlineStr"/>
      <c r="I2681" t="inlineStr">
        <is>
          <t>M3</t>
        </is>
      </c>
      <c r="J2681" t="inlineStr"/>
      <c r="K2681" t="inlineStr">
        <is>
          <t>20260625</t>
        </is>
      </c>
      <c r="L2681" t="inlineStr">
        <is>
          <t>99991231</t>
        </is>
      </c>
    </row>
    <row r="2682">
      <c r="A2682" t="inlineStr">
        <is>
          <t>900007320</t>
        </is>
      </c>
      <c r="B2682" t="inlineStr">
        <is>
          <t>D836</t>
        </is>
      </c>
      <c r="C2682" t="inlineStr">
        <is>
          <t>66864540</t>
        </is>
      </c>
      <c r="D2682" t="inlineStr">
        <is>
          <t>10000357</t>
        </is>
      </c>
      <c r="E2682" t="inlineStr"/>
      <c r="F2682" s="11" t="n">
        <v>185</v>
      </c>
      <c r="G2682" t="inlineStr"/>
      <c r="I2682" t="inlineStr">
        <is>
          <t>M3</t>
        </is>
      </c>
      <c r="J2682" t="inlineStr"/>
      <c r="K2682" t="inlineStr">
        <is>
          <t>20260625</t>
        </is>
      </c>
      <c r="L2682" t="inlineStr">
        <is>
          <t>99991231</t>
        </is>
      </c>
    </row>
    <row r="2683">
      <c r="A2683" t="inlineStr">
        <is>
          <t>900007320</t>
        </is>
      </c>
      <c r="B2683" t="inlineStr">
        <is>
          <t>D836</t>
        </is>
      </c>
      <c r="C2683" t="inlineStr">
        <is>
          <t>66982053</t>
        </is>
      </c>
      <c r="D2683" t="inlineStr">
        <is>
          <t>10000160</t>
        </is>
      </c>
      <c r="E2683" t="inlineStr"/>
      <c r="F2683" s="11" t="n">
        <v>160</v>
      </c>
      <c r="G2683" t="inlineStr"/>
      <c r="I2683" t="inlineStr">
        <is>
          <t>M3</t>
        </is>
      </c>
      <c r="J2683" t="inlineStr"/>
      <c r="K2683" t="inlineStr">
        <is>
          <t>20260625</t>
        </is>
      </c>
      <c r="L2683" t="inlineStr">
        <is>
          <t>99991231</t>
        </is>
      </c>
    </row>
    <row r="2684">
      <c r="A2684" t="inlineStr">
        <is>
          <t>900007320</t>
        </is>
      </c>
      <c r="B2684" t="inlineStr">
        <is>
          <t>D836</t>
        </is>
      </c>
      <c r="C2684" t="inlineStr">
        <is>
          <t>66982053</t>
        </is>
      </c>
      <c r="D2684" t="inlineStr">
        <is>
          <t>10000357</t>
        </is>
      </c>
      <c r="E2684" t="inlineStr"/>
      <c r="F2684" s="11" t="n">
        <v>185</v>
      </c>
      <c r="G2684" t="inlineStr"/>
      <c r="I2684" t="inlineStr">
        <is>
          <t>M3</t>
        </is>
      </c>
      <c r="J2684" t="inlineStr"/>
      <c r="K2684" t="inlineStr">
        <is>
          <t>20260625</t>
        </is>
      </c>
      <c r="L2684" t="inlineStr">
        <is>
          <t>99991231</t>
        </is>
      </c>
    </row>
    <row r="2685">
      <c r="A2685" t="inlineStr">
        <is>
          <t>900007320</t>
        </is>
      </c>
      <c r="B2685" t="inlineStr">
        <is>
          <t>D836</t>
        </is>
      </c>
      <c r="C2685" t="inlineStr">
        <is>
          <t>67019979</t>
        </is>
      </c>
      <c r="D2685" t="inlineStr">
        <is>
          <t>10000160</t>
        </is>
      </c>
      <c r="E2685" t="inlineStr"/>
      <c r="F2685" s="11" t="n">
        <v>160</v>
      </c>
      <c r="G2685" t="inlineStr"/>
      <c r="I2685" t="inlineStr">
        <is>
          <t>M3</t>
        </is>
      </c>
      <c r="J2685" t="inlineStr"/>
      <c r="K2685" t="inlineStr">
        <is>
          <t>20260625</t>
        </is>
      </c>
      <c r="L2685" t="inlineStr">
        <is>
          <t>99991231</t>
        </is>
      </c>
    </row>
    <row r="2686">
      <c r="A2686" t="inlineStr">
        <is>
          <t>900007320</t>
        </is>
      </c>
      <c r="B2686" t="inlineStr">
        <is>
          <t>D836</t>
        </is>
      </c>
      <c r="C2686" t="inlineStr">
        <is>
          <t>67019979</t>
        </is>
      </c>
      <c r="D2686" t="inlineStr">
        <is>
          <t>10000357</t>
        </is>
      </c>
      <c r="E2686" t="inlineStr"/>
      <c r="F2686" s="11" t="n">
        <v>185</v>
      </c>
      <c r="G2686" t="inlineStr"/>
      <c r="I2686" t="inlineStr">
        <is>
          <t>M3</t>
        </is>
      </c>
      <c r="J2686" t="inlineStr"/>
      <c r="K2686" t="inlineStr">
        <is>
          <t>20260625</t>
        </is>
      </c>
      <c r="L2686" t="inlineStr">
        <is>
          <t>99991231</t>
        </is>
      </c>
    </row>
    <row r="2687">
      <c r="A2687" t="inlineStr">
        <is>
          <t>900007320</t>
        </is>
      </c>
      <c r="B2687" t="inlineStr">
        <is>
          <t>D836</t>
        </is>
      </c>
      <c r="C2687" t="inlineStr">
        <is>
          <t>67143690</t>
        </is>
      </c>
      <c r="D2687" t="inlineStr">
        <is>
          <t>10000160</t>
        </is>
      </c>
      <c r="E2687" t="inlineStr"/>
      <c r="F2687" s="11" t="n">
        <v>115</v>
      </c>
      <c r="G2687" t="inlineStr"/>
      <c r="I2687" t="inlineStr">
        <is>
          <t>M3</t>
        </is>
      </c>
      <c r="J2687" t="inlineStr"/>
      <c r="K2687" t="inlineStr">
        <is>
          <t>20260324</t>
        </is>
      </c>
      <c r="L2687" t="inlineStr">
        <is>
          <t>99991231</t>
        </is>
      </c>
    </row>
    <row r="2688">
      <c r="A2688" t="inlineStr">
        <is>
          <t>900007320</t>
        </is>
      </c>
      <c r="B2688" t="inlineStr">
        <is>
          <t>D836</t>
        </is>
      </c>
      <c r="C2688" t="inlineStr">
        <is>
          <t>67166394</t>
        </is>
      </c>
      <c r="D2688" t="inlineStr">
        <is>
          <t>10000160</t>
        </is>
      </c>
      <c r="E2688" t="inlineStr"/>
      <c r="F2688" s="11" t="n">
        <v>127</v>
      </c>
      <c r="G2688" t="inlineStr"/>
      <c r="I2688" t="inlineStr">
        <is>
          <t>M3</t>
        </is>
      </c>
      <c r="J2688" t="inlineStr"/>
      <c r="K2688" t="inlineStr">
        <is>
          <t>20260714</t>
        </is>
      </c>
      <c r="L2688" t="inlineStr">
        <is>
          <t>99991231</t>
        </is>
      </c>
    </row>
    <row r="2689">
      <c r="A2689" t="inlineStr">
        <is>
          <t>900007320</t>
        </is>
      </c>
      <c r="B2689" t="inlineStr">
        <is>
          <t>D836</t>
        </is>
      </c>
      <c r="C2689" t="inlineStr">
        <is>
          <t>67166394</t>
        </is>
      </c>
      <c r="D2689" t="inlineStr">
        <is>
          <t>10000357</t>
        </is>
      </c>
      <c r="E2689" t="inlineStr"/>
      <c r="F2689" s="11" t="n">
        <v>150</v>
      </c>
      <c r="G2689" t="inlineStr"/>
      <c r="I2689" t="inlineStr">
        <is>
          <t>M3</t>
        </is>
      </c>
      <c r="J2689" t="inlineStr"/>
      <c r="K2689" t="inlineStr">
        <is>
          <t>20260324</t>
        </is>
      </c>
      <c r="L2689" t="inlineStr">
        <is>
          <t>99991231</t>
        </is>
      </c>
    </row>
    <row r="2690">
      <c r="A2690" t="inlineStr">
        <is>
          <t>900007320</t>
        </is>
      </c>
      <c r="B2690" t="inlineStr">
        <is>
          <t>D836</t>
        </is>
      </c>
      <c r="C2690" t="inlineStr">
        <is>
          <t>67243408</t>
        </is>
      </c>
      <c r="D2690" t="inlineStr">
        <is>
          <t>10000160</t>
        </is>
      </c>
      <c r="E2690" t="inlineStr"/>
      <c r="F2690" s="11" t="n">
        <v>160</v>
      </c>
      <c r="G2690" t="inlineStr"/>
      <c r="I2690" t="inlineStr">
        <is>
          <t>M3</t>
        </is>
      </c>
      <c r="J2690" t="inlineStr"/>
      <c r="K2690" t="inlineStr">
        <is>
          <t>20260625</t>
        </is>
      </c>
      <c r="L2690" t="inlineStr">
        <is>
          <t>99991231</t>
        </is>
      </c>
    </row>
    <row r="2691">
      <c r="A2691" t="inlineStr">
        <is>
          <t>900007320</t>
        </is>
      </c>
      <c r="B2691" t="inlineStr">
        <is>
          <t>D836</t>
        </is>
      </c>
      <c r="C2691" t="inlineStr">
        <is>
          <t>67243408</t>
        </is>
      </c>
      <c r="D2691" t="inlineStr">
        <is>
          <t>10000357</t>
        </is>
      </c>
      <c r="E2691" t="inlineStr"/>
      <c r="F2691" s="11" t="n">
        <v>185</v>
      </c>
      <c r="G2691" t="inlineStr"/>
      <c r="I2691" t="inlineStr">
        <is>
          <t>M3</t>
        </is>
      </c>
      <c r="J2691" t="inlineStr"/>
      <c r="K2691" t="inlineStr">
        <is>
          <t>20260625</t>
        </is>
      </c>
      <c r="L2691" t="inlineStr">
        <is>
          <t>99991231</t>
        </is>
      </c>
    </row>
    <row r="2692">
      <c r="A2692" t="inlineStr">
        <is>
          <t>900007320</t>
        </is>
      </c>
      <c r="B2692" t="inlineStr">
        <is>
          <t>D836</t>
        </is>
      </c>
      <c r="C2692" t="inlineStr">
        <is>
          <t>67322499</t>
        </is>
      </c>
      <c r="D2692" t="inlineStr">
        <is>
          <t>10000160</t>
        </is>
      </c>
      <c r="E2692" t="inlineStr"/>
      <c r="F2692" s="11" t="n">
        <v>160</v>
      </c>
      <c r="G2692" t="inlineStr"/>
      <c r="I2692" t="inlineStr">
        <is>
          <t>M3</t>
        </is>
      </c>
      <c r="J2692" t="inlineStr"/>
      <c r="K2692" t="inlineStr">
        <is>
          <t>20260625</t>
        </is>
      </c>
      <c r="L2692" t="inlineStr">
        <is>
          <t>99991231</t>
        </is>
      </c>
    </row>
    <row r="2693">
      <c r="A2693" t="inlineStr">
        <is>
          <t>900007320</t>
        </is>
      </c>
      <c r="B2693" t="inlineStr">
        <is>
          <t>D836</t>
        </is>
      </c>
      <c r="C2693" t="inlineStr">
        <is>
          <t>67322499</t>
        </is>
      </c>
      <c r="D2693" t="inlineStr">
        <is>
          <t>10000357</t>
        </is>
      </c>
      <c r="E2693" t="inlineStr"/>
      <c r="F2693" s="11" t="n">
        <v>185</v>
      </c>
      <c r="G2693" t="inlineStr"/>
      <c r="I2693" t="inlineStr">
        <is>
          <t>M3</t>
        </is>
      </c>
      <c r="J2693" t="inlineStr"/>
      <c r="K2693" t="inlineStr">
        <is>
          <t>20260625</t>
        </is>
      </c>
      <c r="L2693" t="inlineStr">
        <is>
          <t>99991231</t>
        </is>
      </c>
    </row>
    <row r="2694">
      <c r="A2694" t="inlineStr">
        <is>
          <t>900007320</t>
        </is>
      </c>
      <c r="B2694" t="inlineStr">
        <is>
          <t>D836</t>
        </is>
      </c>
      <c r="C2694" t="inlineStr">
        <is>
          <t>67328420</t>
        </is>
      </c>
      <c r="D2694" t="inlineStr">
        <is>
          <t>10000160</t>
        </is>
      </c>
      <c r="E2694" t="inlineStr"/>
      <c r="F2694" s="11" t="n">
        <v>124</v>
      </c>
      <c r="G2694" t="inlineStr"/>
      <c r="I2694" t="inlineStr">
        <is>
          <t>M3</t>
        </is>
      </c>
      <c r="J2694" t="inlineStr"/>
      <c r="K2694" t="inlineStr">
        <is>
          <t>20260604</t>
        </is>
      </c>
      <c r="L2694" t="inlineStr">
        <is>
          <t>99991231</t>
        </is>
      </c>
    </row>
    <row r="2695">
      <c r="A2695" t="inlineStr">
        <is>
          <t>900007320</t>
        </is>
      </c>
      <c r="B2695" t="inlineStr">
        <is>
          <t>D836</t>
        </is>
      </c>
      <c r="C2695" t="inlineStr">
        <is>
          <t>67328420</t>
        </is>
      </c>
      <c r="D2695" t="inlineStr">
        <is>
          <t>10000357</t>
        </is>
      </c>
      <c r="E2695" t="inlineStr"/>
      <c r="F2695" s="11" t="n">
        <v>150</v>
      </c>
      <c r="G2695" t="inlineStr"/>
      <c r="I2695" t="inlineStr">
        <is>
          <t>M3</t>
        </is>
      </c>
      <c r="J2695" t="inlineStr"/>
      <c r="K2695" t="inlineStr">
        <is>
          <t>20260622</t>
        </is>
      </c>
      <c r="L2695" t="inlineStr">
        <is>
          <t>99991231</t>
        </is>
      </c>
    </row>
    <row r="2696">
      <c r="A2696" t="inlineStr">
        <is>
          <t>900007320</t>
        </is>
      </c>
      <c r="B2696" t="inlineStr">
        <is>
          <t>D836</t>
        </is>
      </c>
      <c r="C2696" t="inlineStr">
        <is>
          <t>67358631</t>
        </is>
      </c>
      <c r="D2696" t="inlineStr">
        <is>
          <t>10000160</t>
        </is>
      </c>
      <c r="E2696" t="inlineStr"/>
      <c r="F2696" s="11" t="n">
        <v>104.5</v>
      </c>
      <c r="G2696" t="inlineStr"/>
      <c r="I2696" t="inlineStr">
        <is>
          <t>M3</t>
        </is>
      </c>
      <c r="J2696" t="inlineStr"/>
      <c r="K2696" t="inlineStr">
        <is>
          <t>20260224</t>
        </is>
      </c>
      <c r="L2696" t="inlineStr">
        <is>
          <t>99991231</t>
        </is>
      </c>
    </row>
    <row r="2697">
      <c r="A2697" t="inlineStr">
        <is>
          <t>900007320</t>
        </is>
      </c>
      <c r="B2697" t="inlineStr">
        <is>
          <t>D836</t>
        </is>
      </c>
      <c r="C2697" t="inlineStr">
        <is>
          <t>67358631</t>
        </is>
      </c>
      <c r="D2697" t="inlineStr">
        <is>
          <t>10000357</t>
        </is>
      </c>
      <c r="E2697" t="inlineStr"/>
      <c r="F2697" s="11" t="n">
        <v>124.2</v>
      </c>
      <c r="G2697" t="inlineStr"/>
      <c r="I2697" t="inlineStr">
        <is>
          <t>M3</t>
        </is>
      </c>
      <c r="J2697" t="inlineStr"/>
      <c r="K2697" t="inlineStr">
        <is>
          <t>20260224</t>
        </is>
      </c>
      <c r="L2697" t="inlineStr">
        <is>
          <t>99991231</t>
        </is>
      </c>
    </row>
    <row r="2698">
      <c r="A2698" t="inlineStr">
        <is>
          <t>900007320</t>
        </is>
      </c>
      <c r="B2698" t="inlineStr">
        <is>
          <t>D836</t>
        </is>
      </c>
      <c r="C2698" t="inlineStr">
        <is>
          <t>67358631</t>
        </is>
      </c>
      <c r="D2698" t="inlineStr">
        <is>
          <t>10000627</t>
        </is>
      </c>
      <c r="E2698" t="inlineStr"/>
      <c r="F2698" s="11" t="n">
        <v>95.5</v>
      </c>
      <c r="G2698" t="inlineStr"/>
      <c r="I2698" t="inlineStr">
        <is>
          <t>M3</t>
        </is>
      </c>
      <c r="J2698" t="inlineStr"/>
      <c r="K2698" t="inlineStr">
        <is>
          <t>20260224</t>
        </is>
      </c>
      <c r="L2698" t="inlineStr">
        <is>
          <t>99991231</t>
        </is>
      </c>
    </row>
    <row r="2699">
      <c r="A2699" t="inlineStr">
        <is>
          <t>900007320</t>
        </is>
      </c>
      <c r="B2699" t="inlineStr">
        <is>
          <t>D836</t>
        </is>
      </c>
      <c r="C2699" t="inlineStr">
        <is>
          <t>67362127</t>
        </is>
      </c>
      <c r="D2699" t="inlineStr">
        <is>
          <t>10000627</t>
        </is>
      </c>
      <c r="E2699" t="inlineStr"/>
      <c r="F2699" s="11" t="n">
        <v>101</v>
      </c>
      <c r="G2699" t="inlineStr"/>
      <c r="I2699" t="inlineStr">
        <is>
          <t>M3</t>
        </is>
      </c>
      <c r="J2699" t="inlineStr"/>
      <c r="K2699" t="inlineStr">
        <is>
          <t>20260209</t>
        </is>
      </c>
      <c r="L2699" t="inlineStr">
        <is>
          <t>99991231</t>
        </is>
      </c>
    </row>
    <row r="2700">
      <c r="A2700" t="inlineStr">
        <is>
          <t>900007320</t>
        </is>
      </c>
      <c r="B2700" t="inlineStr">
        <is>
          <t>D836</t>
        </is>
      </c>
      <c r="C2700" t="inlineStr">
        <is>
          <t>67362674</t>
        </is>
      </c>
      <c r="D2700" t="inlineStr">
        <is>
          <t>10000627</t>
        </is>
      </c>
      <c r="E2700" t="inlineStr"/>
      <c r="F2700" s="11" t="n">
        <v>101</v>
      </c>
      <c r="G2700" t="inlineStr"/>
      <c r="I2700" t="inlineStr">
        <is>
          <t>M3</t>
        </is>
      </c>
      <c r="J2700" t="inlineStr"/>
      <c r="K2700" t="inlineStr">
        <is>
          <t>20260209</t>
        </is>
      </c>
      <c r="L2700" t="inlineStr">
        <is>
          <t>99991231</t>
        </is>
      </c>
    </row>
    <row r="2701">
      <c r="A2701" t="inlineStr">
        <is>
          <t>900007320</t>
        </is>
      </c>
      <c r="B2701" t="inlineStr">
        <is>
          <t>D836</t>
        </is>
      </c>
      <c r="C2701" t="inlineStr">
        <is>
          <t>67364131</t>
        </is>
      </c>
      <c r="D2701" t="inlineStr">
        <is>
          <t>10000627</t>
        </is>
      </c>
      <c r="E2701" t="inlineStr"/>
      <c r="F2701" s="11" t="n">
        <v>101</v>
      </c>
      <c r="G2701" t="inlineStr"/>
      <c r="I2701" t="inlineStr">
        <is>
          <t>M3</t>
        </is>
      </c>
      <c r="J2701" t="inlineStr"/>
      <c r="K2701" t="inlineStr">
        <is>
          <t>20260209</t>
        </is>
      </c>
      <c r="L2701" t="inlineStr">
        <is>
          <t>99991231</t>
        </is>
      </c>
    </row>
    <row r="2702">
      <c r="A2702" t="inlineStr">
        <is>
          <t>900007321</t>
        </is>
      </c>
      <c r="B2702" t="inlineStr">
        <is>
          <t>D836</t>
        </is>
      </c>
      <c r="C2702" t="inlineStr">
        <is>
          <t>65014664</t>
        </is>
      </c>
      <c r="D2702" t="inlineStr">
        <is>
          <t>10000160</t>
        </is>
      </c>
      <c r="E2702" t="inlineStr"/>
      <c r="F2702" s="11" t="n">
        <v>125</v>
      </c>
      <c r="G2702" t="inlineStr"/>
      <c r="I2702" t="inlineStr">
        <is>
          <t>M3</t>
        </is>
      </c>
      <c r="J2702" t="inlineStr"/>
      <c r="K2702" t="inlineStr">
        <is>
          <t>20260420</t>
        </is>
      </c>
      <c r="L2702" t="inlineStr">
        <is>
          <t>99991231</t>
        </is>
      </c>
    </row>
    <row r="2703">
      <c r="A2703" t="inlineStr">
        <is>
          <t>900007321</t>
        </is>
      </c>
      <c r="B2703" t="inlineStr">
        <is>
          <t>D836</t>
        </is>
      </c>
      <c r="C2703" t="inlineStr">
        <is>
          <t>65014664</t>
        </is>
      </c>
      <c r="D2703" t="inlineStr">
        <is>
          <t>10000627</t>
        </is>
      </c>
      <c r="E2703" t="inlineStr"/>
      <c r="F2703" s="11" t="n">
        <v>120</v>
      </c>
      <c r="G2703" t="inlineStr"/>
      <c r="I2703" t="inlineStr">
        <is>
          <t>M3</t>
        </is>
      </c>
      <c r="J2703" t="inlineStr"/>
      <c r="K2703" t="inlineStr">
        <is>
          <t>20260420</t>
        </is>
      </c>
      <c r="L2703" t="inlineStr">
        <is>
          <t>99991231</t>
        </is>
      </c>
    </row>
    <row r="2704">
      <c r="A2704" t="inlineStr">
        <is>
          <t>900007321</t>
        </is>
      </c>
      <c r="B2704" t="inlineStr">
        <is>
          <t>D836</t>
        </is>
      </c>
      <c r="C2704" t="inlineStr">
        <is>
          <t>65440384</t>
        </is>
      </c>
      <c r="D2704" t="inlineStr">
        <is>
          <t>10000160</t>
        </is>
      </c>
      <c r="E2704" t="inlineStr"/>
      <c r="F2704" s="11" t="n">
        <v>123</v>
      </c>
      <c r="G2704" t="inlineStr"/>
      <c r="I2704" t="inlineStr">
        <is>
          <t>M3</t>
        </is>
      </c>
      <c r="J2704" t="inlineStr"/>
      <c r="K2704" t="inlineStr">
        <is>
          <t>20260420</t>
        </is>
      </c>
      <c r="L2704" t="inlineStr">
        <is>
          <t>99991231</t>
        </is>
      </c>
    </row>
    <row r="2705">
      <c r="A2705" t="inlineStr">
        <is>
          <t>900007321</t>
        </is>
      </c>
      <c r="B2705" t="inlineStr">
        <is>
          <t>D836</t>
        </is>
      </c>
      <c r="C2705" t="inlineStr">
        <is>
          <t>65440384</t>
        </is>
      </c>
      <c r="D2705" t="inlineStr">
        <is>
          <t>10000627</t>
        </is>
      </c>
      <c r="E2705" t="inlineStr"/>
      <c r="F2705" s="11" t="n">
        <v>100</v>
      </c>
      <c r="G2705" t="inlineStr"/>
      <c r="I2705" t="inlineStr">
        <is>
          <t>M3</t>
        </is>
      </c>
      <c r="J2705" t="inlineStr"/>
      <c r="K2705" t="inlineStr">
        <is>
          <t>20260420</t>
        </is>
      </c>
      <c r="L2705" t="inlineStr">
        <is>
          <t>99991231</t>
        </is>
      </c>
    </row>
    <row r="2706">
      <c r="A2706" t="inlineStr">
        <is>
          <t>900007321</t>
        </is>
      </c>
      <c r="B2706" t="inlineStr">
        <is>
          <t>D836</t>
        </is>
      </c>
      <c r="C2706" t="inlineStr">
        <is>
          <t>66779276</t>
        </is>
      </c>
      <c r="D2706" t="inlineStr">
        <is>
          <t>10000160</t>
        </is>
      </c>
      <c r="E2706" t="inlineStr"/>
      <c r="F2706" s="11" t="n">
        <v>122</v>
      </c>
      <c r="G2706" t="inlineStr"/>
      <c r="I2706" t="inlineStr">
        <is>
          <t>M3</t>
        </is>
      </c>
      <c r="J2706" t="inlineStr"/>
      <c r="K2706" t="inlineStr">
        <is>
          <t>20260420</t>
        </is>
      </c>
      <c r="L2706" t="inlineStr">
        <is>
          <t>99991231</t>
        </is>
      </c>
    </row>
    <row r="2707">
      <c r="A2707" t="inlineStr">
        <is>
          <t>900007650</t>
        </is>
      </c>
      <c r="B2707" t="inlineStr">
        <is>
          <t>D836</t>
        </is>
      </c>
      <c r="C2707" t="inlineStr">
        <is>
          <t>67221674</t>
        </is>
      </c>
      <c r="D2707" t="inlineStr">
        <is>
          <t>10000432</t>
        </is>
      </c>
      <c r="E2707" t="inlineStr"/>
      <c r="F2707" s="11" t="n">
        <v>410</v>
      </c>
      <c r="G2707" t="inlineStr"/>
      <c r="I2707" t="inlineStr">
        <is>
          <t>M3</t>
        </is>
      </c>
      <c r="J2707" t="inlineStr"/>
      <c r="K2707" t="inlineStr">
        <is>
          <t>20250923</t>
        </is>
      </c>
      <c r="L2707" t="inlineStr">
        <is>
          <t>99991231</t>
        </is>
      </c>
    </row>
    <row r="2708">
      <c r="A2708" t="inlineStr">
        <is>
          <t>900007650</t>
        </is>
      </c>
      <c r="B2708" t="inlineStr">
        <is>
          <t>D836</t>
        </is>
      </c>
      <c r="C2708" t="inlineStr">
        <is>
          <t>67347709</t>
        </is>
      </c>
      <c r="D2708" t="inlineStr">
        <is>
          <t>10000432</t>
        </is>
      </c>
      <c r="E2708" t="inlineStr"/>
      <c r="F2708" s="11" t="n">
        <v>410</v>
      </c>
      <c r="G2708" t="inlineStr"/>
      <c r="I2708" t="inlineStr">
        <is>
          <t>M3</t>
        </is>
      </c>
      <c r="J2708" t="inlineStr"/>
      <c r="K2708" t="inlineStr">
        <is>
          <t>20251105</t>
        </is>
      </c>
      <c r="L2708" t="inlineStr">
        <is>
          <t>99991231</t>
        </is>
      </c>
    </row>
    <row r="2709">
      <c r="A2709" t="inlineStr">
        <is>
          <t>900007650</t>
        </is>
      </c>
      <c r="B2709" t="inlineStr">
        <is>
          <t>D836</t>
        </is>
      </c>
      <c r="C2709" t="inlineStr">
        <is>
          <t>67382539</t>
        </is>
      </c>
      <c r="D2709" t="inlineStr">
        <is>
          <t>10000432</t>
        </is>
      </c>
      <c r="E2709" t="inlineStr"/>
      <c r="F2709" s="11" t="n">
        <v>410</v>
      </c>
      <c r="G2709" t="inlineStr"/>
      <c r="I2709" t="inlineStr">
        <is>
          <t>M3</t>
        </is>
      </c>
      <c r="J2709" t="inlineStr"/>
      <c r="K2709" t="inlineStr">
        <is>
          <t>20260611</t>
        </is>
      </c>
      <c r="L2709" t="inlineStr">
        <is>
          <t>99991231</t>
        </is>
      </c>
    </row>
    <row r="2710">
      <c r="A2710" t="inlineStr">
        <is>
          <t>900007650</t>
        </is>
      </c>
      <c r="B2710" t="inlineStr">
        <is>
          <t>D836</t>
        </is>
      </c>
      <c r="C2710" t="inlineStr">
        <is>
          <t>67382542</t>
        </is>
      </c>
      <c r="D2710" t="inlineStr">
        <is>
          <t>10000432</t>
        </is>
      </c>
      <c r="E2710" t="inlineStr"/>
      <c r="F2710" s="11" t="n">
        <v>410</v>
      </c>
      <c r="G2710" t="inlineStr"/>
      <c r="I2710" t="inlineStr">
        <is>
          <t>M3</t>
        </is>
      </c>
      <c r="J2710" t="inlineStr"/>
      <c r="K2710" t="inlineStr">
        <is>
          <t>20260611</t>
        </is>
      </c>
      <c r="L2710" t="inlineStr">
        <is>
          <t>99991231</t>
        </is>
      </c>
    </row>
    <row r="2711">
      <c r="A2711" t="inlineStr">
        <is>
          <t>900007650</t>
        </is>
      </c>
      <c r="B2711" t="inlineStr">
        <is>
          <t>D836</t>
        </is>
      </c>
      <c r="C2711" t="inlineStr">
        <is>
          <t>67385618</t>
        </is>
      </c>
      <c r="D2711" t="inlineStr">
        <is>
          <t>10000432</t>
        </is>
      </c>
      <c r="E2711" t="inlineStr"/>
      <c r="F2711" s="11" t="n">
        <v>410</v>
      </c>
      <c r="G2711" t="inlineStr"/>
      <c r="I2711" t="inlineStr">
        <is>
          <t>M3</t>
        </is>
      </c>
      <c r="J2711" t="inlineStr"/>
      <c r="K2711" t="inlineStr">
        <is>
          <t>20260708</t>
        </is>
      </c>
      <c r="L2711" t="inlineStr">
        <is>
          <t>99991231</t>
        </is>
      </c>
    </row>
    <row r="2712">
      <c r="A2712" t="inlineStr">
        <is>
          <t>900008571</t>
        </is>
      </c>
      <c r="B2712" t="inlineStr">
        <is>
          <t>D836</t>
        </is>
      </c>
      <c r="C2712" t="inlineStr">
        <is>
          <t>65232687</t>
        </is>
      </c>
      <c r="D2712" t="inlineStr">
        <is>
          <t>10002802</t>
        </is>
      </c>
      <c r="E2712" t="inlineStr"/>
      <c r="F2712" s="11" t="n">
        <v>165</v>
      </c>
      <c r="G2712" t="inlineStr"/>
      <c r="I2712" t="inlineStr">
        <is>
          <t>M3</t>
        </is>
      </c>
      <c r="J2712" t="inlineStr"/>
      <c r="K2712" t="inlineStr">
        <is>
          <t>20251209</t>
        </is>
      </c>
      <c r="L2712" t="inlineStr">
        <is>
          <t>99991231</t>
        </is>
      </c>
    </row>
    <row r="2713">
      <c r="A2713" t="inlineStr">
        <is>
          <t>900008571</t>
        </is>
      </c>
      <c r="B2713" t="inlineStr">
        <is>
          <t>D836</t>
        </is>
      </c>
      <c r="C2713" t="inlineStr">
        <is>
          <t>66414377</t>
        </is>
      </c>
      <c r="D2713" t="inlineStr">
        <is>
          <t>10002802</t>
        </is>
      </c>
      <c r="E2713" t="inlineStr"/>
      <c r="F2713" s="11" t="n">
        <v>170</v>
      </c>
      <c r="G2713" t="inlineStr"/>
      <c r="I2713" t="inlineStr">
        <is>
          <t>M3</t>
        </is>
      </c>
      <c r="J2713" t="inlineStr"/>
      <c r="K2713" t="inlineStr">
        <is>
          <t>20260205</t>
        </is>
      </c>
      <c r="L2713" t="inlineStr">
        <is>
          <t>99991231</t>
        </is>
      </c>
    </row>
    <row r="2714">
      <c r="A2714" t="inlineStr">
        <is>
          <t>900008571</t>
        </is>
      </c>
      <c r="B2714" t="inlineStr">
        <is>
          <t>D836</t>
        </is>
      </c>
      <c r="C2714" t="inlineStr">
        <is>
          <t>66433509</t>
        </is>
      </c>
      <c r="D2714" t="inlineStr">
        <is>
          <t>10002802</t>
        </is>
      </c>
      <c r="E2714" t="inlineStr"/>
      <c r="F2714" s="11" t="n">
        <v>156</v>
      </c>
      <c r="G2714" t="inlineStr"/>
      <c r="I2714" t="inlineStr">
        <is>
          <t>M3</t>
        </is>
      </c>
      <c r="J2714" t="inlineStr"/>
      <c r="K2714" t="inlineStr">
        <is>
          <t>20251204</t>
        </is>
      </c>
      <c r="L2714" t="inlineStr">
        <is>
          <t>99991231</t>
        </is>
      </c>
    </row>
    <row r="2715">
      <c r="A2715" t="inlineStr">
        <is>
          <t>900008845</t>
        </is>
      </c>
      <c r="B2715" t="inlineStr">
        <is>
          <t>D836</t>
        </is>
      </c>
      <c r="C2715" t="inlineStr">
        <is>
          <t>66900173</t>
        </is>
      </c>
      <c r="D2715" t="inlineStr">
        <is>
          <t>10227598</t>
        </is>
      </c>
      <c r="E2715" t="inlineStr"/>
      <c r="F2715" s="11" t="n">
        <v>75.86</v>
      </c>
      <c r="G2715" t="inlineStr"/>
      <c r="I2715" t="inlineStr">
        <is>
          <t>M3</t>
        </is>
      </c>
      <c r="J2715" t="inlineStr"/>
      <c r="K2715" t="inlineStr">
        <is>
          <t>20260120</t>
        </is>
      </c>
      <c r="L2715" t="inlineStr">
        <is>
          <t>99991231</t>
        </is>
      </c>
    </row>
    <row r="2716">
      <c r="A2716" t="inlineStr">
        <is>
          <t>900008845</t>
        </is>
      </c>
      <c r="B2716" t="inlineStr">
        <is>
          <t>D836</t>
        </is>
      </c>
      <c r="C2716" t="inlineStr">
        <is>
          <t>66908986</t>
        </is>
      </c>
      <c r="D2716" t="inlineStr">
        <is>
          <t>10227598</t>
        </is>
      </c>
      <c r="E2716" t="inlineStr"/>
      <c r="F2716" s="11" t="n">
        <v>75.59999999999999</v>
      </c>
      <c r="G2716" t="inlineStr"/>
      <c r="I2716" t="inlineStr">
        <is>
          <t>M3</t>
        </is>
      </c>
      <c r="J2716" t="inlineStr"/>
      <c r="K2716" t="inlineStr">
        <is>
          <t>20260219</t>
        </is>
      </c>
      <c r="L2716" t="inlineStr">
        <is>
          <t>99991231</t>
        </is>
      </c>
    </row>
    <row r="2717">
      <c r="A2717" t="inlineStr">
        <is>
          <t>900008845</t>
        </is>
      </c>
      <c r="B2717" t="inlineStr">
        <is>
          <t>D836</t>
        </is>
      </c>
      <c r="C2717" t="inlineStr">
        <is>
          <t>66982551</t>
        </is>
      </c>
      <c r="D2717" t="inlineStr">
        <is>
          <t>10227598</t>
        </is>
      </c>
      <c r="E2717" t="inlineStr"/>
      <c r="F2717" s="11" t="n">
        <v>75.86</v>
      </c>
      <c r="G2717" t="inlineStr"/>
      <c r="I2717" t="inlineStr">
        <is>
          <t>M3</t>
        </is>
      </c>
      <c r="J2717" t="inlineStr"/>
      <c r="K2717" t="inlineStr">
        <is>
          <t>20260120</t>
        </is>
      </c>
      <c r="L2717" t="inlineStr">
        <is>
          <t>99991231</t>
        </is>
      </c>
    </row>
    <row r="2718">
      <c r="A2718" t="inlineStr">
        <is>
          <t>900008845</t>
        </is>
      </c>
      <c r="B2718" t="inlineStr">
        <is>
          <t>D836</t>
        </is>
      </c>
      <c r="C2718" t="inlineStr">
        <is>
          <t>67288888</t>
        </is>
      </c>
      <c r="D2718" t="inlineStr">
        <is>
          <t>10227598</t>
        </is>
      </c>
      <c r="E2718" t="inlineStr"/>
      <c r="F2718" s="11" t="n">
        <v>75.86</v>
      </c>
      <c r="G2718" t="inlineStr"/>
      <c r="I2718" t="inlineStr">
        <is>
          <t>M3</t>
        </is>
      </c>
      <c r="J2718" t="inlineStr"/>
      <c r="K2718" t="inlineStr">
        <is>
          <t>20260120</t>
        </is>
      </c>
      <c r="L2718" t="inlineStr">
        <is>
          <t>99991231</t>
        </is>
      </c>
    </row>
    <row r="2719">
      <c r="A2719" t="inlineStr">
        <is>
          <t>900008869</t>
        </is>
      </c>
      <c r="B2719" t="inlineStr">
        <is>
          <t>D836</t>
        </is>
      </c>
      <c r="C2719" t="inlineStr">
        <is>
          <t>67240729</t>
        </is>
      </c>
      <c r="D2719" t="inlineStr">
        <is>
          <t>10000623</t>
        </is>
      </c>
      <c r="E2719" t="inlineStr"/>
      <c r="F2719" s="11" t="n">
        <v>162.64</v>
      </c>
      <c r="G2719" t="inlineStr"/>
      <c r="I2719" t="inlineStr">
        <is>
          <t>TN</t>
        </is>
      </c>
      <c r="J2719" t="inlineStr"/>
      <c r="K2719" t="inlineStr">
        <is>
          <t>20260211</t>
        </is>
      </c>
      <c r="L2719" t="inlineStr">
        <is>
          <t>99991231</t>
        </is>
      </c>
    </row>
    <row r="2720">
      <c r="A2720" t="inlineStr">
        <is>
          <t>900008869</t>
        </is>
      </c>
      <c r="B2720" t="inlineStr">
        <is>
          <t>D836</t>
        </is>
      </c>
      <c r="C2720" t="inlineStr">
        <is>
          <t>67242382</t>
        </is>
      </c>
      <c r="D2720" t="inlineStr">
        <is>
          <t>10000623</t>
        </is>
      </c>
      <c r="E2720" t="inlineStr"/>
      <c r="F2720" s="11" t="n">
        <v>224.19</v>
      </c>
      <c r="G2720" t="inlineStr"/>
      <c r="I2720" t="inlineStr">
        <is>
          <t>TN</t>
        </is>
      </c>
      <c r="J2720" t="inlineStr"/>
      <c r="K2720" t="inlineStr">
        <is>
          <t>20260211</t>
        </is>
      </c>
      <c r="L2720" t="inlineStr">
        <is>
          <t>99991231</t>
        </is>
      </c>
    </row>
    <row r="2721">
      <c r="A2721" t="inlineStr">
        <is>
          <t>900008869</t>
        </is>
      </c>
      <c r="B2721" t="inlineStr">
        <is>
          <t>D836</t>
        </is>
      </c>
      <c r="C2721" t="inlineStr">
        <is>
          <t>67242385</t>
        </is>
      </c>
      <c r="D2721" t="inlineStr">
        <is>
          <t>10000623</t>
        </is>
      </c>
      <c r="E2721" t="inlineStr"/>
      <c r="F2721" s="11" t="n">
        <v>204.56</v>
      </c>
      <c r="G2721" t="inlineStr"/>
      <c r="I2721" t="inlineStr">
        <is>
          <t>TN</t>
        </is>
      </c>
      <c r="J2721" t="inlineStr"/>
      <c r="K2721" t="inlineStr">
        <is>
          <t>20260211</t>
        </is>
      </c>
      <c r="L2721" t="inlineStr">
        <is>
          <t>99991231</t>
        </is>
      </c>
    </row>
    <row r="2722">
      <c r="A2722" t="inlineStr">
        <is>
          <t>900008869</t>
        </is>
      </c>
      <c r="B2722" t="inlineStr">
        <is>
          <t>D836</t>
        </is>
      </c>
      <c r="C2722" t="inlineStr">
        <is>
          <t>67283503</t>
        </is>
      </c>
      <c r="D2722" t="inlineStr">
        <is>
          <t>10000623</t>
        </is>
      </c>
      <c r="E2722" t="inlineStr"/>
      <c r="F2722" s="11" t="n">
        <v>224.19</v>
      </c>
      <c r="G2722" t="inlineStr"/>
      <c r="I2722" t="inlineStr">
        <is>
          <t>TN</t>
        </is>
      </c>
      <c r="J2722" t="inlineStr"/>
      <c r="K2722" t="inlineStr">
        <is>
          <t>20260211</t>
        </is>
      </c>
      <c r="L2722" t="inlineStr">
        <is>
          <t>99991231</t>
        </is>
      </c>
    </row>
    <row r="2723">
      <c r="A2723" t="inlineStr">
        <is>
          <t>900009140</t>
        </is>
      </c>
      <c r="B2723" t="inlineStr">
        <is>
          <t>D836</t>
        </is>
      </c>
      <c r="C2723" t="inlineStr">
        <is>
          <t>65016451</t>
        </is>
      </c>
      <c r="D2723" t="inlineStr">
        <is>
          <t>10000133</t>
        </is>
      </c>
      <c r="E2723" t="inlineStr"/>
      <c r="F2723" s="11" t="n">
        <v>206</v>
      </c>
      <c r="G2723" t="inlineStr"/>
      <c r="I2723" t="inlineStr">
        <is>
          <t>TN</t>
        </is>
      </c>
      <c r="J2723" t="inlineStr"/>
      <c r="K2723" t="inlineStr">
        <is>
          <t>20260424</t>
        </is>
      </c>
      <c r="L2723" t="inlineStr">
        <is>
          <t>99991231</t>
        </is>
      </c>
    </row>
    <row r="2724">
      <c r="A2724" t="inlineStr">
        <is>
          <t>900009140</t>
        </is>
      </c>
      <c r="B2724" t="inlineStr">
        <is>
          <t>D836</t>
        </is>
      </c>
      <c r="C2724" t="inlineStr">
        <is>
          <t>65016451</t>
        </is>
      </c>
      <c r="D2724" t="inlineStr">
        <is>
          <t>10000630</t>
        </is>
      </c>
      <c r="E2724" t="inlineStr"/>
      <c r="F2724" s="11" t="n">
        <v>310</v>
      </c>
      <c r="G2724" t="inlineStr"/>
      <c r="I2724" t="inlineStr">
        <is>
          <t>M3</t>
        </is>
      </c>
      <c r="J2724" t="inlineStr"/>
      <c r="K2724" t="inlineStr">
        <is>
          <t>20260528</t>
        </is>
      </c>
      <c r="L2724" t="inlineStr">
        <is>
          <t>99991231</t>
        </is>
      </c>
    </row>
    <row r="2725">
      <c r="A2725" t="inlineStr">
        <is>
          <t>900009140</t>
        </is>
      </c>
      <c r="B2725" t="inlineStr">
        <is>
          <t>D836</t>
        </is>
      </c>
      <c r="C2725" t="inlineStr">
        <is>
          <t>65016451</t>
        </is>
      </c>
      <c r="D2725" t="inlineStr">
        <is>
          <t>10140399</t>
        </is>
      </c>
      <c r="E2725" t="inlineStr"/>
      <c r="F2725" s="11" t="n">
        <v>199</v>
      </c>
      <c r="G2725" t="inlineStr"/>
      <c r="I2725" t="inlineStr">
        <is>
          <t>TN</t>
        </is>
      </c>
      <c r="J2725" t="inlineStr"/>
      <c r="K2725" t="inlineStr">
        <is>
          <t>20250304</t>
        </is>
      </c>
      <c r="L2725" t="inlineStr">
        <is>
          <t>99991231</t>
        </is>
      </c>
    </row>
    <row r="2726">
      <c r="A2726" t="inlineStr">
        <is>
          <t>900009140</t>
        </is>
      </c>
      <c r="B2726" t="inlineStr">
        <is>
          <t>D836</t>
        </is>
      </c>
      <c r="C2726" t="inlineStr">
        <is>
          <t>65016451</t>
        </is>
      </c>
      <c r="D2726" t="inlineStr">
        <is>
          <t>10221480</t>
        </is>
      </c>
      <c r="E2726" t="inlineStr"/>
      <c r="F2726" s="11" t="n">
        <v>212</v>
      </c>
      <c r="G2726" t="inlineStr"/>
      <c r="I2726" t="inlineStr">
        <is>
          <t>TN</t>
        </is>
      </c>
      <c r="J2726" t="inlineStr"/>
      <c r="K2726" t="inlineStr">
        <is>
          <t>20260424</t>
        </is>
      </c>
      <c r="L2726" t="inlineStr">
        <is>
          <t>99991231</t>
        </is>
      </c>
    </row>
    <row r="2727">
      <c r="A2727" t="inlineStr">
        <is>
          <t>900009140</t>
        </is>
      </c>
      <c r="B2727" t="inlineStr">
        <is>
          <t>D836</t>
        </is>
      </c>
      <c r="C2727" t="inlineStr">
        <is>
          <t>66779276</t>
        </is>
      </c>
      <c r="D2727" t="inlineStr">
        <is>
          <t>10001074</t>
        </is>
      </c>
      <c r="E2727" t="inlineStr"/>
      <c r="F2727" s="11" t="n">
        <v>190</v>
      </c>
      <c r="G2727" t="inlineStr"/>
      <c r="I2727" t="inlineStr">
        <is>
          <t>TN</t>
        </is>
      </c>
      <c r="J2727" t="inlineStr"/>
      <c r="K2727" t="inlineStr">
        <is>
          <t>20260424</t>
        </is>
      </c>
      <c r="L2727" t="inlineStr">
        <is>
          <t>99991231</t>
        </is>
      </c>
    </row>
    <row r="2728">
      <c r="A2728" t="inlineStr">
        <is>
          <t>900009140</t>
        </is>
      </c>
      <c r="B2728" t="inlineStr">
        <is>
          <t>D836</t>
        </is>
      </c>
      <c r="C2728" t="inlineStr">
        <is>
          <t>66779276</t>
        </is>
      </c>
      <c r="D2728" t="inlineStr">
        <is>
          <t>10184011</t>
        </is>
      </c>
      <c r="E2728" t="inlineStr"/>
      <c r="F2728" s="11" t="n">
        <v>190</v>
      </c>
      <c r="G2728" t="inlineStr"/>
      <c r="I2728" t="inlineStr">
        <is>
          <t>TN</t>
        </is>
      </c>
      <c r="J2728" t="inlineStr"/>
      <c r="K2728" t="inlineStr">
        <is>
          <t>20260424</t>
        </is>
      </c>
      <c r="L2728" t="inlineStr">
        <is>
          <t>99991231</t>
        </is>
      </c>
    </row>
    <row r="2729">
      <c r="A2729" t="inlineStr">
        <is>
          <t>900009140</t>
        </is>
      </c>
      <c r="B2729" t="inlineStr">
        <is>
          <t>D836</t>
        </is>
      </c>
      <c r="C2729" t="inlineStr">
        <is>
          <t>67155777</t>
        </is>
      </c>
      <c r="D2729" t="inlineStr">
        <is>
          <t>10140399</t>
        </is>
      </c>
      <c r="E2729" t="inlineStr"/>
      <c r="F2729" s="11" t="n">
        <v>114.4</v>
      </c>
      <c r="G2729" t="inlineStr"/>
      <c r="I2729" t="inlineStr">
        <is>
          <t>M3</t>
        </is>
      </c>
      <c r="J2729" t="inlineStr"/>
      <c r="K2729" t="inlineStr">
        <is>
          <t>20260622</t>
        </is>
      </c>
      <c r="L2729" t="inlineStr">
        <is>
          <t>99991231</t>
        </is>
      </c>
    </row>
    <row r="2730">
      <c r="A2730" t="inlineStr">
        <is>
          <t>900009140</t>
        </is>
      </c>
      <c r="B2730" t="inlineStr">
        <is>
          <t>D836</t>
        </is>
      </c>
      <c r="C2730" t="inlineStr">
        <is>
          <t>67162746</t>
        </is>
      </c>
      <c r="D2730" t="inlineStr">
        <is>
          <t>10140399</t>
        </is>
      </c>
      <c r="E2730" t="inlineStr"/>
      <c r="F2730" s="11" t="n">
        <v>114.4</v>
      </c>
      <c r="G2730" t="inlineStr"/>
      <c r="I2730" t="inlineStr">
        <is>
          <t>M3</t>
        </is>
      </c>
      <c r="J2730" t="inlineStr"/>
      <c r="K2730" t="inlineStr">
        <is>
          <t>20260622</t>
        </is>
      </c>
      <c r="L2730" t="inlineStr">
        <is>
          <t>99991231</t>
        </is>
      </c>
    </row>
    <row r="2731">
      <c r="A2731" t="inlineStr">
        <is>
          <t>900009140</t>
        </is>
      </c>
      <c r="B2731" t="inlineStr">
        <is>
          <t>D836</t>
        </is>
      </c>
      <c r="C2731" t="inlineStr">
        <is>
          <t>67208638</t>
        </is>
      </c>
      <c r="D2731" t="inlineStr">
        <is>
          <t>10000623</t>
        </is>
      </c>
      <c r="E2731" t="inlineStr"/>
      <c r="F2731" s="11" t="n">
        <v>215</v>
      </c>
      <c r="G2731" t="inlineStr"/>
      <c r="I2731" t="inlineStr">
        <is>
          <t>TN</t>
        </is>
      </c>
      <c r="J2731" t="inlineStr"/>
      <c r="K2731" t="inlineStr">
        <is>
          <t>20251127</t>
        </is>
      </c>
      <c r="L2731" t="inlineStr">
        <is>
          <t>99991231</t>
        </is>
      </c>
    </row>
    <row r="2732">
      <c r="A2732" t="inlineStr">
        <is>
          <t>900009140</t>
        </is>
      </c>
      <c r="B2732" t="inlineStr">
        <is>
          <t>D836</t>
        </is>
      </c>
      <c r="C2732" t="inlineStr">
        <is>
          <t>67297259</t>
        </is>
      </c>
      <c r="D2732" t="inlineStr">
        <is>
          <t>10147486</t>
        </is>
      </c>
      <c r="E2732" t="inlineStr"/>
      <c r="F2732" s="11" t="n">
        <v>195</v>
      </c>
      <c r="G2732" t="inlineStr"/>
      <c r="I2732" t="inlineStr">
        <is>
          <t>M3</t>
        </is>
      </c>
      <c r="J2732" t="inlineStr"/>
      <c r="K2732" t="inlineStr">
        <is>
          <t>20250722</t>
        </is>
      </c>
      <c r="L2732" t="inlineStr">
        <is>
          <t>99991231</t>
        </is>
      </c>
    </row>
    <row r="2733">
      <c r="A2733" t="inlineStr">
        <is>
          <t>900009140</t>
        </is>
      </c>
      <c r="B2733" t="inlineStr">
        <is>
          <t>D836</t>
        </is>
      </c>
      <c r="C2733" t="inlineStr">
        <is>
          <t>67297259</t>
        </is>
      </c>
      <c r="D2733" t="inlineStr">
        <is>
          <t>10269072</t>
        </is>
      </c>
      <c r="E2733" t="inlineStr"/>
      <c r="F2733" s="11" t="n">
        <v>59</v>
      </c>
      <c r="G2733" t="inlineStr"/>
      <c r="I2733" t="inlineStr">
        <is>
          <t>TN</t>
        </is>
      </c>
      <c r="J2733" t="inlineStr"/>
      <c r="K2733" t="inlineStr">
        <is>
          <t>20250723</t>
        </is>
      </c>
      <c r="L2733" t="inlineStr">
        <is>
          <t>99991231</t>
        </is>
      </c>
    </row>
    <row r="2734">
      <c r="A2734" t="inlineStr">
        <is>
          <t>900009140</t>
        </is>
      </c>
      <c r="B2734" t="inlineStr">
        <is>
          <t>D836</t>
        </is>
      </c>
      <c r="C2734" t="inlineStr">
        <is>
          <t>67330638</t>
        </is>
      </c>
      <c r="D2734" t="inlineStr">
        <is>
          <t>10000403</t>
        </is>
      </c>
      <c r="E2734" t="inlineStr"/>
      <c r="F2734" s="11" t="n">
        <v>112.35</v>
      </c>
      <c r="G2734" t="inlineStr"/>
      <c r="I2734" t="inlineStr">
        <is>
          <t>TN</t>
        </is>
      </c>
      <c r="J2734" t="inlineStr"/>
      <c r="K2734" t="inlineStr">
        <is>
          <t>20260302</t>
        </is>
      </c>
      <c r="L2734" t="inlineStr">
        <is>
          <t>99991231</t>
        </is>
      </c>
    </row>
    <row r="2735">
      <c r="A2735" t="inlineStr">
        <is>
          <t>900009140</t>
        </is>
      </c>
      <c r="B2735" t="inlineStr">
        <is>
          <t>D836</t>
        </is>
      </c>
      <c r="C2735" t="inlineStr">
        <is>
          <t>67330638</t>
        </is>
      </c>
      <c r="D2735" t="inlineStr">
        <is>
          <t>10000623</t>
        </is>
      </c>
      <c r="E2735" t="inlineStr"/>
      <c r="F2735" s="11" t="n">
        <v>181.9</v>
      </c>
      <c r="G2735" t="inlineStr"/>
      <c r="I2735" t="inlineStr">
        <is>
          <t>TN</t>
        </is>
      </c>
      <c r="J2735" t="inlineStr"/>
      <c r="K2735" t="inlineStr">
        <is>
          <t>20260302</t>
        </is>
      </c>
      <c r="L2735" t="inlineStr">
        <is>
          <t>99991231</t>
        </is>
      </c>
    </row>
    <row r="2736">
      <c r="A2736" t="inlineStr">
        <is>
          <t>900009140</t>
        </is>
      </c>
      <c r="B2736" t="inlineStr">
        <is>
          <t>D836</t>
        </is>
      </c>
      <c r="C2736" t="inlineStr">
        <is>
          <t>67330638</t>
        </is>
      </c>
      <c r="D2736" t="inlineStr">
        <is>
          <t>10000630</t>
        </is>
      </c>
      <c r="E2736" t="inlineStr"/>
      <c r="F2736" s="11" t="n">
        <v>181.9</v>
      </c>
      <c r="G2736" t="inlineStr"/>
      <c r="I2736" t="inlineStr">
        <is>
          <t>TN</t>
        </is>
      </c>
      <c r="J2736" t="inlineStr"/>
      <c r="K2736" t="inlineStr">
        <is>
          <t>20260302</t>
        </is>
      </c>
      <c r="L2736" t="inlineStr">
        <is>
          <t>99991231</t>
        </is>
      </c>
    </row>
    <row r="2737">
      <c r="A2737" t="inlineStr">
        <is>
          <t>900009140</t>
        </is>
      </c>
      <c r="B2737" t="inlineStr">
        <is>
          <t>D836</t>
        </is>
      </c>
      <c r="C2737" t="inlineStr">
        <is>
          <t>67330638</t>
        </is>
      </c>
      <c r="D2737" t="inlineStr">
        <is>
          <t>10001074</t>
        </is>
      </c>
      <c r="E2737" t="inlineStr"/>
      <c r="F2737" s="11" t="n">
        <v>171.2</v>
      </c>
      <c r="G2737" t="inlineStr"/>
      <c r="I2737" t="inlineStr">
        <is>
          <t>TN</t>
        </is>
      </c>
      <c r="J2737" t="inlineStr"/>
      <c r="K2737" t="inlineStr">
        <is>
          <t>20260302</t>
        </is>
      </c>
      <c r="L2737" t="inlineStr">
        <is>
          <t>99991231</t>
        </is>
      </c>
    </row>
    <row r="2738">
      <c r="A2738" t="inlineStr">
        <is>
          <t>900009140</t>
        </is>
      </c>
      <c r="B2738" t="inlineStr">
        <is>
          <t>D836</t>
        </is>
      </c>
      <c r="C2738" t="inlineStr">
        <is>
          <t>67330638</t>
        </is>
      </c>
      <c r="D2738" t="inlineStr">
        <is>
          <t>10184011</t>
        </is>
      </c>
      <c r="E2738" t="inlineStr"/>
      <c r="F2738" s="11" t="n">
        <v>171.2</v>
      </c>
      <c r="G2738" t="inlineStr"/>
      <c r="I2738" t="inlineStr">
        <is>
          <t>TN</t>
        </is>
      </c>
      <c r="J2738" t="inlineStr"/>
      <c r="K2738" t="inlineStr">
        <is>
          <t>20260302</t>
        </is>
      </c>
      <c r="L2738" t="inlineStr">
        <is>
          <t>99991231</t>
        </is>
      </c>
    </row>
    <row r="2739">
      <c r="A2739" t="inlineStr">
        <is>
          <t>900009140</t>
        </is>
      </c>
      <c r="B2739" t="inlineStr">
        <is>
          <t>D836</t>
        </is>
      </c>
      <c r="C2739" t="inlineStr">
        <is>
          <t>67330638</t>
        </is>
      </c>
      <c r="D2739" t="inlineStr">
        <is>
          <t>10221480</t>
        </is>
      </c>
      <c r="E2739" t="inlineStr"/>
      <c r="F2739" s="11" t="n">
        <v>236.52</v>
      </c>
      <c r="G2739" t="inlineStr"/>
      <c r="I2739" t="inlineStr">
        <is>
          <t>M3</t>
        </is>
      </c>
      <c r="J2739" t="inlineStr"/>
      <c r="K2739" t="inlineStr">
        <is>
          <t>20260302</t>
        </is>
      </c>
      <c r="L2739" t="inlineStr">
        <is>
          <t>99991231</t>
        </is>
      </c>
    </row>
    <row r="2740">
      <c r="A2740" t="inlineStr">
        <is>
          <t>900009460</t>
        </is>
      </c>
      <c r="B2740" t="inlineStr">
        <is>
          <t>D836</t>
        </is>
      </c>
      <c r="C2740" t="inlineStr">
        <is>
          <t>65006122</t>
        </is>
      </c>
      <c r="D2740" t="inlineStr">
        <is>
          <t>10264162</t>
        </is>
      </c>
      <c r="E2740" t="inlineStr"/>
      <c r="F2740" s="11" t="n">
        <v>138</v>
      </c>
      <c r="G2740" t="inlineStr"/>
      <c r="I2740" t="inlineStr">
        <is>
          <t>M3</t>
        </is>
      </c>
      <c r="J2740" t="inlineStr"/>
      <c r="K2740" t="inlineStr">
        <is>
          <t>20260522</t>
        </is>
      </c>
      <c r="L2740" t="inlineStr">
        <is>
          <t>99991231</t>
        </is>
      </c>
    </row>
    <row r="2741">
      <c r="A2741" t="inlineStr">
        <is>
          <t>900009460</t>
        </is>
      </c>
      <c r="B2741" t="inlineStr">
        <is>
          <t>D836</t>
        </is>
      </c>
      <c r="C2741" t="inlineStr">
        <is>
          <t>65006122</t>
        </is>
      </c>
      <c r="D2741" t="inlineStr">
        <is>
          <t>10274754</t>
        </is>
      </c>
      <c r="E2741" t="inlineStr"/>
      <c r="F2741" s="11" t="n">
        <v>190</v>
      </c>
      <c r="G2741" t="inlineStr"/>
      <c r="I2741" t="inlineStr">
        <is>
          <t>M3</t>
        </is>
      </c>
      <c r="J2741" t="inlineStr"/>
      <c r="K2741" t="inlineStr">
        <is>
          <t>20260325</t>
        </is>
      </c>
      <c r="L2741" t="inlineStr">
        <is>
          <t>99991231</t>
        </is>
      </c>
    </row>
    <row r="2742">
      <c r="A2742" t="inlineStr">
        <is>
          <t>900009460</t>
        </is>
      </c>
      <c r="B2742" t="inlineStr">
        <is>
          <t>D836</t>
        </is>
      </c>
      <c r="C2742" t="inlineStr">
        <is>
          <t>65006122</t>
        </is>
      </c>
      <c r="D2742" t="inlineStr">
        <is>
          <t>10277346</t>
        </is>
      </c>
      <c r="E2742" t="inlineStr"/>
      <c r="F2742" s="11" t="n">
        <v>120</v>
      </c>
      <c r="G2742" t="inlineStr"/>
      <c r="I2742" t="inlineStr">
        <is>
          <t>M3</t>
        </is>
      </c>
      <c r="J2742" t="inlineStr"/>
      <c r="K2742" t="inlineStr">
        <is>
          <t>20260522</t>
        </is>
      </c>
      <c r="L2742" t="inlineStr">
        <is>
          <t>99991231</t>
        </is>
      </c>
    </row>
    <row r="2743">
      <c r="A2743" t="inlineStr">
        <is>
          <t>900009460</t>
        </is>
      </c>
      <c r="B2743" t="inlineStr">
        <is>
          <t>D836</t>
        </is>
      </c>
      <c r="C2743" t="inlineStr">
        <is>
          <t>65014664</t>
        </is>
      </c>
      <c r="D2743" t="inlineStr">
        <is>
          <t>10264162</t>
        </is>
      </c>
      <c r="E2743" t="inlineStr"/>
      <c r="F2743" s="11" t="n">
        <v>150</v>
      </c>
      <c r="G2743" t="inlineStr"/>
      <c r="I2743" t="inlineStr">
        <is>
          <t>M3</t>
        </is>
      </c>
      <c r="J2743" t="inlineStr"/>
      <c r="K2743" t="inlineStr">
        <is>
          <t>20260511</t>
        </is>
      </c>
      <c r="L2743" t="inlineStr">
        <is>
          <t>99991231</t>
        </is>
      </c>
    </row>
    <row r="2744">
      <c r="A2744" t="inlineStr">
        <is>
          <t>900009460</t>
        </is>
      </c>
      <c r="B2744" t="inlineStr">
        <is>
          <t>D836</t>
        </is>
      </c>
      <c r="C2744" t="inlineStr">
        <is>
          <t>65087219</t>
        </is>
      </c>
      <c r="D2744" t="inlineStr">
        <is>
          <t>10264162</t>
        </is>
      </c>
      <c r="E2744" t="inlineStr"/>
      <c r="F2744" s="11" t="n">
        <v>150</v>
      </c>
      <c r="G2744" t="inlineStr"/>
      <c r="I2744" t="inlineStr">
        <is>
          <t>M3</t>
        </is>
      </c>
      <c r="J2744" t="inlineStr"/>
      <c r="K2744" t="inlineStr">
        <is>
          <t>20260325</t>
        </is>
      </c>
      <c r="L2744" t="inlineStr">
        <is>
          <t>99991231</t>
        </is>
      </c>
    </row>
    <row r="2745">
      <c r="A2745" t="inlineStr">
        <is>
          <t>900009460</t>
        </is>
      </c>
      <c r="B2745" t="inlineStr">
        <is>
          <t>D836</t>
        </is>
      </c>
      <c r="C2745" t="inlineStr">
        <is>
          <t>65087219</t>
        </is>
      </c>
      <c r="D2745" t="inlineStr">
        <is>
          <t>10274754</t>
        </is>
      </c>
      <c r="E2745" t="inlineStr"/>
      <c r="F2745" s="11" t="n">
        <v>190</v>
      </c>
      <c r="G2745" t="inlineStr"/>
      <c r="I2745" t="inlineStr">
        <is>
          <t>M3</t>
        </is>
      </c>
      <c r="J2745" t="inlineStr"/>
      <c r="K2745" t="inlineStr">
        <is>
          <t>20260325</t>
        </is>
      </c>
      <c r="L2745" t="inlineStr">
        <is>
          <t>99991231</t>
        </is>
      </c>
    </row>
    <row r="2746">
      <c r="A2746" t="inlineStr">
        <is>
          <t>900009460</t>
        </is>
      </c>
      <c r="B2746" t="inlineStr">
        <is>
          <t>D836</t>
        </is>
      </c>
      <c r="C2746" t="inlineStr">
        <is>
          <t>65440384</t>
        </is>
      </c>
      <c r="D2746" t="inlineStr">
        <is>
          <t>10264162</t>
        </is>
      </c>
      <c r="E2746" t="inlineStr"/>
      <c r="F2746" s="11" t="n">
        <v>134</v>
      </c>
      <c r="G2746" t="inlineStr"/>
      <c r="I2746" t="inlineStr">
        <is>
          <t>M3</t>
        </is>
      </c>
      <c r="J2746" t="inlineStr"/>
      <c r="K2746" t="inlineStr">
        <is>
          <t>20260604</t>
        </is>
      </c>
      <c r="L2746" t="inlineStr">
        <is>
          <t>99991231</t>
        </is>
      </c>
    </row>
    <row r="2747">
      <c r="A2747" t="inlineStr">
        <is>
          <t>900009460</t>
        </is>
      </c>
      <c r="B2747" t="inlineStr">
        <is>
          <t>D836</t>
        </is>
      </c>
      <c r="C2747" t="inlineStr">
        <is>
          <t>65440384</t>
        </is>
      </c>
      <c r="D2747" t="inlineStr">
        <is>
          <t>10274754</t>
        </is>
      </c>
      <c r="E2747" t="inlineStr"/>
      <c r="F2747" s="11" t="n">
        <v>190</v>
      </c>
      <c r="G2747" t="inlineStr"/>
      <c r="I2747" t="inlineStr">
        <is>
          <t>M3</t>
        </is>
      </c>
      <c r="J2747" t="inlineStr"/>
      <c r="K2747" t="inlineStr">
        <is>
          <t>20260325</t>
        </is>
      </c>
      <c r="L2747" t="inlineStr">
        <is>
          <t>99991231</t>
        </is>
      </c>
    </row>
    <row r="2748">
      <c r="A2748" t="inlineStr">
        <is>
          <t>900009460</t>
        </is>
      </c>
      <c r="B2748" t="inlineStr">
        <is>
          <t>D836</t>
        </is>
      </c>
      <c r="C2748" t="inlineStr">
        <is>
          <t>65440384</t>
        </is>
      </c>
      <c r="D2748" t="inlineStr">
        <is>
          <t>10277346</t>
        </is>
      </c>
      <c r="E2748" t="inlineStr"/>
      <c r="F2748" s="11" t="n">
        <v>100</v>
      </c>
      <c r="G2748" t="inlineStr"/>
      <c r="I2748" t="inlineStr">
        <is>
          <t>M3</t>
        </is>
      </c>
      <c r="J2748" t="inlineStr"/>
      <c r="K2748" t="inlineStr">
        <is>
          <t>20260528</t>
        </is>
      </c>
      <c r="L2748" t="inlineStr">
        <is>
          <t>99991231</t>
        </is>
      </c>
    </row>
    <row r="2749">
      <c r="A2749" t="inlineStr">
        <is>
          <t>900009460</t>
        </is>
      </c>
      <c r="B2749" t="inlineStr">
        <is>
          <t>D836</t>
        </is>
      </c>
      <c r="C2749" t="inlineStr">
        <is>
          <t>65911289</t>
        </is>
      </c>
      <c r="D2749" t="inlineStr">
        <is>
          <t>10264162</t>
        </is>
      </c>
      <c r="E2749" t="inlineStr"/>
      <c r="F2749" s="11" t="n">
        <v>150</v>
      </c>
      <c r="G2749" t="inlineStr"/>
      <c r="I2749" t="inlineStr">
        <is>
          <t>M3</t>
        </is>
      </c>
      <c r="J2749" t="inlineStr"/>
      <c r="K2749" t="inlineStr">
        <is>
          <t>20260325</t>
        </is>
      </c>
      <c r="L2749" t="inlineStr">
        <is>
          <t>99991231</t>
        </is>
      </c>
    </row>
    <row r="2750">
      <c r="A2750" t="inlineStr">
        <is>
          <t>900009460</t>
        </is>
      </c>
      <c r="B2750" t="inlineStr">
        <is>
          <t>D836</t>
        </is>
      </c>
      <c r="C2750" t="inlineStr">
        <is>
          <t>65911289</t>
        </is>
      </c>
      <c r="D2750" t="inlineStr">
        <is>
          <t>10274754</t>
        </is>
      </c>
      <c r="E2750" t="inlineStr"/>
      <c r="F2750" s="11" t="n">
        <v>190</v>
      </c>
      <c r="G2750" t="inlineStr"/>
      <c r="I2750" t="inlineStr">
        <is>
          <t>M3</t>
        </is>
      </c>
      <c r="J2750" t="inlineStr"/>
      <c r="K2750" t="inlineStr">
        <is>
          <t>20260325</t>
        </is>
      </c>
      <c r="L2750" t="inlineStr">
        <is>
          <t>99991231</t>
        </is>
      </c>
    </row>
    <row r="2751">
      <c r="A2751" t="inlineStr">
        <is>
          <t>900009460</t>
        </is>
      </c>
      <c r="B2751" t="inlineStr">
        <is>
          <t>D836</t>
        </is>
      </c>
      <c r="C2751" t="inlineStr">
        <is>
          <t>65911289</t>
        </is>
      </c>
      <c r="D2751" t="inlineStr">
        <is>
          <t>10277346</t>
        </is>
      </c>
      <c r="E2751" t="inlineStr"/>
      <c r="F2751" s="11" t="n">
        <v>111</v>
      </c>
      <c r="G2751" t="inlineStr"/>
      <c r="I2751" t="inlineStr">
        <is>
          <t>M3</t>
        </is>
      </c>
      <c r="J2751" t="inlineStr"/>
      <c r="K2751" t="inlineStr">
        <is>
          <t>20260804</t>
        </is>
      </c>
      <c r="L2751" t="inlineStr">
        <is>
          <t>99991231</t>
        </is>
      </c>
    </row>
    <row r="2752">
      <c r="A2752" t="inlineStr">
        <is>
          <t>900009460</t>
        </is>
      </c>
      <c r="B2752" t="inlineStr">
        <is>
          <t>D836</t>
        </is>
      </c>
      <c r="C2752" t="inlineStr">
        <is>
          <t>66414377</t>
        </is>
      </c>
      <c r="D2752" t="inlineStr">
        <is>
          <t>10264162</t>
        </is>
      </c>
      <c r="E2752" t="inlineStr"/>
      <c r="F2752" s="11" t="n">
        <v>140</v>
      </c>
      <c r="G2752" t="inlineStr"/>
      <c r="I2752" t="inlineStr">
        <is>
          <t>M3</t>
        </is>
      </c>
      <c r="J2752" t="inlineStr"/>
      <c r="K2752" t="inlineStr">
        <is>
          <t>20260401</t>
        </is>
      </c>
      <c r="L2752" t="inlineStr">
        <is>
          <t>99991231</t>
        </is>
      </c>
    </row>
    <row r="2753">
      <c r="A2753" t="inlineStr">
        <is>
          <t>900009460</t>
        </is>
      </c>
      <c r="B2753" t="inlineStr">
        <is>
          <t>D836</t>
        </is>
      </c>
      <c r="C2753" t="inlineStr">
        <is>
          <t>66414377</t>
        </is>
      </c>
      <c r="D2753" t="inlineStr">
        <is>
          <t>10274754</t>
        </is>
      </c>
      <c r="E2753" t="inlineStr"/>
      <c r="F2753" s="11" t="n">
        <v>170</v>
      </c>
      <c r="G2753" t="inlineStr"/>
      <c r="I2753" t="inlineStr">
        <is>
          <t>M3</t>
        </is>
      </c>
      <c r="J2753" t="inlineStr"/>
      <c r="K2753" t="inlineStr">
        <is>
          <t>20260401</t>
        </is>
      </c>
      <c r="L2753" t="inlineStr">
        <is>
          <t>99991231</t>
        </is>
      </c>
    </row>
    <row r="2754">
      <c r="A2754" t="inlineStr">
        <is>
          <t>900009460</t>
        </is>
      </c>
      <c r="B2754" t="inlineStr">
        <is>
          <t>D836</t>
        </is>
      </c>
      <c r="C2754" t="inlineStr">
        <is>
          <t>66414377</t>
        </is>
      </c>
      <c r="D2754" t="inlineStr">
        <is>
          <t>10277346</t>
        </is>
      </c>
      <c r="E2754" t="inlineStr"/>
      <c r="F2754" s="11" t="n">
        <v>120</v>
      </c>
      <c r="G2754" t="inlineStr"/>
      <c r="I2754" t="inlineStr">
        <is>
          <t>M3</t>
        </is>
      </c>
      <c r="J2754" t="inlineStr"/>
      <c r="K2754" t="inlineStr">
        <is>
          <t>20260714</t>
        </is>
      </c>
      <c r="L2754" t="inlineStr">
        <is>
          <t>99991231</t>
        </is>
      </c>
    </row>
    <row r="2755">
      <c r="A2755" t="inlineStr">
        <is>
          <t>900009460</t>
        </is>
      </c>
      <c r="B2755" t="inlineStr">
        <is>
          <t>D836</t>
        </is>
      </c>
      <c r="C2755" t="inlineStr">
        <is>
          <t>66415270</t>
        </is>
      </c>
      <c r="D2755" t="inlineStr">
        <is>
          <t>10264162</t>
        </is>
      </c>
      <c r="E2755" t="inlineStr"/>
      <c r="F2755" s="11" t="n">
        <v>130</v>
      </c>
      <c r="G2755" t="inlineStr"/>
      <c r="I2755" t="inlineStr">
        <is>
          <t>M3</t>
        </is>
      </c>
      <c r="J2755" t="inlineStr"/>
      <c r="K2755" t="inlineStr">
        <is>
          <t>20260617</t>
        </is>
      </c>
      <c r="L2755" t="inlineStr">
        <is>
          <t>99991231</t>
        </is>
      </c>
    </row>
    <row r="2756">
      <c r="A2756" t="inlineStr">
        <is>
          <t>900009460</t>
        </is>
      </c>
      <c r="B2756" t="inlineStr">
        <is>
          <t>D836</t>
        </is>
      </c>
      <c r="C2756" t="inlineStr">
        <is>
          <t>66415270</t>
        </is>
      </c>
      <c r="D2756" t="inlineStr">
        <is>
          <t>10274754</t>
        </is>
      </c>
      <c r="E2756" t="inlineStr"/>
      <c r="F2756" s="11" t="n">
        <v>160</v>
      </c>
      <c r="G2756" t="inlineStr"/>
      <c r="I2756" t="inlineStr">
        <is>
          <t>M3</t>
        </is>
      </c>
      <c r="J2756" t="inlineStr"/>
      <c r="K2756" t="inlineStr">
        <is>
          <t>20260617</t>
        </is>
      </c>
      <c r="L2756" t="inlineStr">
        <is>
          <t>99991231</t>
        </is>
      </c>
    </row>
    <row r="2757">
      <c r="A2757" t="inlineStr">
        <is>
          <t>900009460</t>
        </is>
      </c>
      <c r="B2757" t="inlineStr">
        <is>
          <t>D836</t>
        </is>
      </c>
      <c r="C2757" t="inlineStr">
        <is>
          <t>66415270</t>
        </is>
      </c>
      <c r="D2757" t="inlineStr">
        <is>
          <t>10277346</t>
        </is>
      </c>
      <c r="E2757" t="inlineStr"/>
      <c r="F2757" s="11" t="n">
        <v>115</v>
      </c>
      <c r="G2757" t="inlineStr"/>
      <c r="I2757" t="inlineStr">
        <is>
          <t>M3</t>
        </is>
      </c>
      <c r="J2757" t="inlineStr"/>
      <c r="K2757" t="inlineStr">
        <is>
          <t>20260827</t>
        </is>
      </c>
      <c r="L2757" t="inlineStr">
        <is>
          <t>99991231</t>
        </is>
      </c>
    </row>
    <row r="2758">
      <c r="A2758" t="inlineStr">
        <is>
          <t>900009460</t>
        </is>
      </c>
      <c r="B2758" t="inlineStr">
        <is>
          <t>D836</t>
        </is>
      </c>
      <c r="C2758" t="inlineStr">
        <is>
          <t>66433511</t>
        </is>
      </c>
      <c r="D2758" t="inlineStr">
        <is>
          <t>10264162</t>
        </is>
      </c>
      <c r="E2758" t="inlineStr"/>
      <c r="F2758" s="11" t="n">
        <v>150</v>
      </c>
      <c r="G2758" t="inlineStr"/>
      <c r="I2758" t="inlineStr">
        <is>
          <t>M3</t>
        </is>
      </c>
      <c r="J2758" t="inlineStr"/>
      <c r="K2758" t="inlineStr">
        <is>
          <t>20260325</t>
        </is>
      </c>
      <c r="L2758" t="inlineStr">
        <is>
          <t>99991231</t>
        </is>
      </c>
    </row>
    <row r="2759">
      <c r="A2759" t="inlineStr">
        <is>
          <t>900009460</t>
        </is>
      </c>
      <c r="B2759" t="inlineStr">
        <is>
          <t>D836</t>
        </is>
      </c>
      <c r="C2759" t="inlineStr">
        <is>
          <t>66433511</t>
        </is>
      </c>
      <c r="D2759" t="inlineStr">
        <is>
          <t>10274754</t>
        </is>
      </c>
      <c r="E2759" t="inlineStr"/>
      <c r="F2759" s="11" t="n">
        <v>190</v>
      </c>
      <c r="G2759" t="inlineStr"/>
      <c r="I2759" t="inlineStr">
        <is>
          <t>M3</t>
        </is>
      </c>
      <c r="J2759" t="inlineStr"/>
      <c r="K2759" t="inlineStr">
        <is>
          <t>20260325</t>
        </is>
      </c>
      <c r="L2759" t="inlineStr">
        <is>
          <t>99991231</t>
        </is>
      </c>
    </row>
    <row r="2760">
      <c r="A2760" t="inlineStr">
        <is>
          <t>900009460</t>
        </is>
      </c>
      <c r="B2760" t="inlineStr">
        <is>
          <t>D836</t>
        </is>
      </c>
      <c r="C2760" t="inlineStr">
        <is>
          <t>66440645</t>
        </is>
      </c>
      <c r="D2760" t="inlineStr">
        <is>
          <t>10264162</t>
        </is>
      </c>
      <c r="E2760" t="inlineStr"/>
      <c r="F2760" s="11" t="n">
        <v>146.5</v>
      </c>
      <c r="G2760" t="inlineStr"/>
      <c r="I2760" t="inlineStr">
        <is>
          <t>M3</t>
        </is>
      </c>
      <c r="J2760" t="inlineStr"/>
      <c r="K2760" t="inlineStr">
        <is>
          <t>20260325</t>
        </is>
      </c>
      <c r="L2760" t="inlineStr">
        <is>
          <t>99991231</t>
        </is>
      </c>
    </row>
    <row r="2761">
      <c r="A2761" t="inlineStr">
        <is>
          <t>900009460</t>
        </is>
      </c>
      <c r="B2761" t="inlineStr">
        <is>
          <t>D836</t>
        </is>
      </c>
      <c r="C2761" t="inlineStr">
        <is>
          <t>66440645</t>
        </is>
      </c>
      <c r="D2761" t="inlineStr">
        <is>
          <t>10274754</t>
        </is>
      </c>
      <c r="E2761" t="inlineStr"/>
      <c r="F2761" s="11" t="n">
        <v>180</v>
      </c>
      <c r="G2761" t="inlineStr"/>
      <c r="I2761" t="inlineStr">
        <is>
          <t>M3</t>
        </is>
      </c>
      <c r="J2761" t="inlineStr"/>
      <c r="K2761" t="inlineStr">
        <is>
          <t>20260325</t>
        </is>
      </c>
      <c r="L2761" t="inlineStr">
        <is>
          <t>99991231</t>
        </is>
      </c>
    </row>
    <row r="2762">
      <c r="A2762" t="inlineStr">
        <is>
          <t>900009460</t>
        </is>
      </c>
      <c r="B2762" t="inlineStr">
        <is>
          <t>D836</t>
        </is>
      </c>
      <c r="C2762" t="inlineStr">
        <is>
          <t>66624554</t>
        </is>
      </c>
      <c r="D2762" t="inlineStr">
        <is>
          <t>10264162</t>
        </is>
      </c>
      <c r="E2762" t="inlineStr"/>
      <c r="F2762" s="11" t="n">
        <v>139</v>
      </c>
      <c r="G2762" t="inlineStr"/>
      <c r="I2762" t="inlineStr">
        <is>
          <t>M3</t>
        </is>
      </c>
      <c r="J2762" t="inlineStr"/>
      <c r="K2762" t="inlineStr">
        <is>
          <t>20260701</t>
        </is>
      </c>
      <c r="L2762" t="inlineStr">
        <is>
          <t>99991231</t>
        </is>
      </c>
    </row>
    <row r="2763">
      <c r="A2763" t="inlineStr">
        <is>
          <t>900009460</t>
        </is>
      </c>
      <c r="B2763" t="inlineStr">
        <is>
          <t>D836</t>
        </is>
      </c>
      <c r="C2763" t="inlineStr">
        <is>
          <t>66624554</t>
        </is>
      </c>
      <c r="D2763" t="inlineStr">
        <is>
          <t>10274754</t>
        </is>
      </c>
      <c r="E2763" t="inlineStr"/>
      <c r="F2763" s="11" t="n">
        <v>190</v>
      </c>
      <c r="G2763" t="inlineStr"/>
      <c r="I2763" t="inlineStr">
        <is>
          <t>M3</t>
        </is>
      </c>
      <c r="J2763" t="inlineStr"/>
      <c r="K2763" t="inlineStr">
        <is>
          <t>20260325</t>
        </is>
      </c>
      <c r="L2763" t="inlineStr">
        <is>
          <t>99991231</t>
        </is>
      </c>
    </row>
    <row r="2764">
      <c r="A2764" t="inlineStr">
        <is>
          <t>900009460</t>
        </is>
      </c>
      <c r="B2764" t="inlineStr">
        <is>
          <t>D836</t>
        </is>
      </c>
      <c r="C2764" t="inlineStr">
        <is>
          <t>66827157</t>
        </is>
      </c>
      <c r="D2764" t="inlineStr">
        <is>
          <t>10264162</t>
        </is>
      </c>
      <c r="E2764" t="inlineStr"/>
      <c r="F2764" s="11" t="n">
        <v>136</v>
      </c>
      <c r="G2764" t="inlineStr"/>
      <c r="I2764" t="inlineStr">
        <is>
          <t>M3</t>
        </is>
      </c>
      <c r="J2764" t="inlineStr"/>
      <c r="K2764" t="inlineStr">
        <is>
          <t>20260325</t>
        </is>
      </c>
      <c r="L2764" t="inlineStr">
        <is>
          <t>99991231</t>
        </is>
      </c>
    </row>
    <row r="2765">
      <c r="A2765" t="inlineStr">
        <is>
          <t>900009460</t>
        </is>
      </c>
      <c r="B2765" t="inlineStr">
        <is>
          <t>D836</t>
        </is>
      </c>
      <c r="C2765" t="inlineStr">
        <is>
          <t>66827157</t>
        </is>
      </c>
      <c r="D2765" t="inlineStr">
        <is>
          <t>10274754</t>
        </is>
      </c>
      <c r="E2765" t="inlineStr"/>
      <c r="F2765" s="11" t="n">
        <v>190</v>
      </c>
      <c r="G2765" t="inlineStr"/>
      <c r="I2765" t="inlineStr">
        <is>
          <t>M3</t>
        </is>
      </c>
      <c r="J2765" t="inlineStr"/>
      <c r="K2765" t="inlineStr">
        <is>
          <t>20260325</t>
        </is>
      </c>
      <c r="L2765" t="inlineStr">
        <is>
          <t>99991231</t>
        </is>
      </c>
    </row>
    <row r="2766">
      <c r="A2766" t="inlineStr">
        <is>
          <t>900009460</t>
        </is>
      </c>
      <c r="B2766" t="inlineStr">
        <is>
          <t>D836</t>
        </is>
      </c>
      <c r="C2766" t="inlineStr">
        <is>
          <t>66827157</t>
        </is>
      </c>
      <c r="D2766" t="inlineStr">
        <is>
          <t>10277346</t>
        </is>
      </c>
      <c r="E2766" t="inlineStr"/>
      <c r="F2766" s="11" t="n">
        <v>110</v>
      </c>
      <c r="G2766" t="inlineStr"/>
      <c r="I2766" t="inlineStr">
        <is>
          <t>M3</t>
        </is>
      </c>
      <c r="J2766" t="inlineStr"/>
      <c r="K2766" t="inlineStr">
        <is>
          <t>20260803</t>
        </is>
      </c>
      <c r="L2766" t="inlineStr">
        <is>
          <t>99991231</t>
        </is>
      </c>
    </row>
    <row r="2767">
      <c r="A2767" t="inlineStr">
        <is>
          <t>900009460</t>
        </is>
      </c>
      <c r="B2767" t="inlineStr">
        <is>
          <t>D836</t>
        </is>
      </c>
      <c r="C2767" t="inlineStr">
        <is>
          <t>66828114</t>
        </is>
      </c>
      <c r="D2767" t="inlineStr">
        <is>
          <t>10264162</t>
        </is>
      </c>
      <c r="E2767" t="inlineStr"/>
      <c r="F2767" s="11" t="n">
        <v>148</v>
      </c>
      <c r="G2767" t="inlineStr"/>
      <c r="I2767" t="inlineStr">
        <is>
          <t>M3</t>
        </is>
      </c>
      <c r="J2767" t="inlineStr"/>
      <c r="K2767" t="inlineStr">
        <is>
          <t>20260325</t>
        </is>
      </c>
      <c r="L2767" t="inlineStr">
        <is>
          <t>99991231</t>
        </is>
      </c>
    </row>
    <row r="2768">
      <c r="A2768" t="inlineStr">
        <is>
          <t>900009460</t>
        </is>
      </c>
      <c r="B2768" t="inlineStr">
        <is>
          <t>D836</t>
        </is>
      </c>
      <c r="C2768" t="inlineStr">
        <is>
          <t>66828114</t>
        </is>
      </c>
      <c r="D2768" t="inlineStr">
        <is>
          <t>10274754</t>
        </is>
      </c>
      <c r="E2768" t="inlineStr"/>
      <c r="F2768" s="11" t="n">
        <v>180</v>
      </c>
      <c r="G2768" t="inlineStr"/>
      <c r="I2768" t="inlineStr">
        <is>
          <t>M3</t>
        </is>
      </c>
      <c r="J2768" t="inlineStr"/>
      <c r="K2768" t="inlineStr">
        <is>
          <t>20260325</t>
        </is>
      </c>
      <c r="L2768" t="inlineStr">
        <is>
          <t>99991231</t>
        </is>
      </c>
    </row>
    <row r="2769">
      <c r="A2769" t="inlineStr">
        <is>
          <t>900009460</t>
        </is>
      </c>
      <c r="B2769" t="inlineStr">
        <is>
          <t>D836</t>
        </is>
      </c>
      <c r="C2769" t="inlineStr">
        <is>
          <t>66828114</t>
        </is>
      </c>
      <c r="D2769" t="inlineStr">
        <is>
          <t>10277346</t>
        </is>
      </c>
      <c r="E2769" t="inlineStr"/>
      <c r="F2769" s="11" t="n">
        <v>180</v>
      </c>
      <c r="G2769" t="inlineStr"/>
      <c r="I2769" t="inlineStr">
        <is>
          <t>M3</t>
        </is>
      </c>
      <c r="J2769" t="inlineStr"/>
      <c r="K2769" t="inlineStr">
        <is>
          <t>20260611</t>
        </is>
      </c>
      <c r="L2769" t="inlineStr">
        <is>
          <t>99991231</t>
        </is>
      </c>
    </row>
    <row r="2770">
      <c r="A2770" t="inlineStr">
        <is>
          <t>900009460</t>
        </is>
      </c>
      <c r="B2770" t="inlineStr">
        <is>
          <t>D836</t>
        </is>
      </c>
      <c r="C2770" t="inlineStr">
        <is>
          <t>66859565</t>
        </is>
      </c>
      <c r="D2770" t="inlineStr">
        <is>
          <t>10274190</t>
        </is>
      </c>
      <c r="E2770" t="inlineStr"/>
      <c r="F2770" s="11" t="n">
        <v>210</v>
      </c>
      <c r="G2770" t="inlineStr"/>
      <c r="I2770" t="inlineStr">
        <is>
          <t>M3</t>
        </is>
      </c>
      <c r="J2770" t="inlineStr"/>
      <c r="K2770" t="inlineStr">
        <is>
          <t>20260206</t>
        </is>
      </c>
      <c r="L2770" t="inlineStr">
        <is>
          <t>99991231</t>
        </is>
      </c>
    </row>
    <row r="2771">
      <c r="A2771" t="inlineStr">
        <is>
          <t>900009460</t>
        </is>
      </c>
      <c r="B2771" t="inlineStr">
        <is>
          <t>D836</t>
        </is>
      </c>
      <c r="C2771" t="inlineStr">
        <is>
          <t>66864508</t>
        </is>
      </c>
      <c r="D2771" t="inlineStr">
        <is>
          <t>10264162</t>
        </is>
      </c>
      <c r="E2771" t="inlineStr"/>
      <c r="F2771" s="11" t="n">
        <v>275.83</v>
      </c>
      <c r="G2771" t="inlineStr"/>
      <c r="I2771" t="inlineStr">
        <is>
          <t>M3</t>
        </is>
      </c>
      <c r="J2771" t="inlineStr"/>
      <c r="K2771" t="inlineStr">
        <is>
          <t>20260417</t>
        </is>
      </c>
      <c r="L2771" t="inlineStr">
        <is>
          <t>99991231</t>
        </is>
      </c>
    </row>
    <row r="2772">
      <c r="A2772" t="inlineStr">
        <is>
          <t>900009460</t>
        </is>
      </c>
      <c r="B2772" t="inlineStr">
        <is>
          <t>D836</t>
        </is>
      </c>
      <c r="C2772" t="inlineStr">
        <is>
          <t>66864508</t>
        </is>
      </c>
      <c r="D2772" t="inlineStr">
        <is>
          <t>10274754</t>
        </is>
      </c>
      <c r="E2772" t="inlineStr"/>
      <c r="F2772" s="11" t="n">
        <v>170</v>
      </c>
      <c r="G2772" t="inlineStr"/>
      <c r="I2772" t="inlineStr">
        <is>
          <t>M3</t>
        </is>
      </c>
      <c r="J2772" t="inlineStr"/>
      <c r="K2772" t="inlineStr">
        <is>
          <t>20260318</t>
        </is>
      </c>
      <c r="L2772" t="inlineStr">
        <is>
          <t>99991231</t>
        </is>
      </c>
    </row>
    <row r="2773">
      <c r="A2773" t="inlineStr">
        <is>
          <t>900009460</t>
        </is>
      </c>
      <c r="B2773" t="inlineStr">
        <is>
          <t>D836</t>
        </is>
      </c>
      <c r="C2773" t="inlineStr">
        <is>
          <t>66864508</t>
        </is>
      </c>
      <c r="D2773" t="inlineStr">
        <is>
          <t>10276711</t>
        </is>
      </c>
      <c r="E2773" t="inlineStr"/>
      <c r="F2773" s="11" t="n">
        <v>144.79</v>
      </c>
      <c r="G2773" t="inlineStr"/>
      <c r="I2773" t="inlineStr">
        <is>
          <t>M3</t>
        </is>
      </c>
      <c r="J2773" t="inlineStr"/>
      <c r="K2773" t="inlineStr">
        <is>
          <t>20260427</t>
        </is>
      </c>
      <c r="L2773" t="inlineStr">
        <is>
          <t>99991231</t>
        </is>
      </c>
    </row>
    <row r="2774">
      <c r="A2774" t="inlineStr">
        <is>
          <t>900009460</t>
        </is>
      </c>
      <c r="B2774" t="inlineStr">
        <is>
          <t>D836</t>
        </is>
      </c>
      <c r="C2774" t="inlineStr">
        <is>
          <t>66864508</t>
        </is>
      </c>
      <c r="D2774" t="inlineStr">
        <is>
          <t>10277346</t>
        </is>
      </c>
      <c r="E2774" t="inlineStr"/>
      <c r="F2774" s="11" t="n">
        <v>120</v>
      </c>
      <c r="G2774" t="inlineStr"/>
      <c r="I2774" t="inlineStr">
        <is>
          <t>M3</t>
        </is>
      </c>
      <c r="J2774" t="inlineStr"/>
      <c r="K2774" t="inlineStr">
        <is>
          <t>20260518</t>
        </is>
      </c>
      <c r="L2774" t="inlineStr">
        <is>
          <t>99991231</t>
        </is>
      </c>
    </row>
    <row r="2775">
      <c r="A2775" t="inlineStr">
        <is>
          <t>900009460</t>
        </is>
      </c>
      <c r="B2775" t="inlineStr">
        <is>
          <t>D836</t>
        </is>
      </c>
      <c r="C2775" t="inlineStr">
        <is>
          <t>66864540</t>
        </is>
      </c>
      <c r="D2775" t="inlineStr">
        <is>
          <t>10264162</t>
        </is>
      </c>
      <c r="E2775" t="inlineStr"/>
      <c r="F2775" s="11" t="n">
        <v>271.15</v>
      </c>
      <c r="G2775" t="inlineStr"/>
      <c r="I2775" t="inlineStr">
        <is>
          <t>M3</t>
        </is>
      </c>
      <c r="J2775" t="inlineStr"/>
      <c r="K2775" t="inlineStr">
        <is>
          <t>20260417</t>
        </is>
      </c>
      <c r="L2775" t="inlineStr">
        <is>
          <t>99991231</t>
        </is>
      </c>
    </row>
    <row r="2776">
      <c r="A2776" t="inlineStr">
        <is>
          <t>900009460</t>
        </is>
      </c>
      <c r="B2776" t="inlineStr">
        <is>
          <t>D836</t>
        </is>
      </c>
      <c r="C2776" t="inlineStr">
        <is>
          <t>66864540</t>
        </is>
      </c>
      <c r="D2776" t="inlineStr">
        <is>
          <t>10274754</t>
        </is>
      </c>
      <c r="E2776" t="inlineStr"/>
      <c r="F2776" s="11" t="n">
        <v>170</v>
      </c>
      <c r="G2776" t="inlineStr"/>
      <c r="I2776" t="inlineStr">
        <is>
          <t>M3</t>
        </is>
      </c>
      <c r="J2776" t="inlineStr"/>
      <c r="K2776" t="inlineStr">
        <is>
          <t>20260318</t>
        </is>
      </c>
      <c r="L2776" t="inlineStr">
        <is>
          <t>99991231</t>
        </is>
      </c>
    </row>
    <row r="2777">
      <c r="A2777" t="inlineStr">
        <is>
          <t>900009460</t>
        </is>
      </c>
      <c r="B2777" t="inlineStr">
        <is>
          <t>D836</t>
        </is>
      </c>
      <c r="C2777" t="inlineStr">
        <is>
          <t>66864540</t>
        </is>
      </c>
      <c r="D2777" t="inlineStr">
        <is>
          <t>10276711</t>
        </is>
      </c>
      <c r="E2777" t="inlineStr"/>
      <c r="F2777" s="11" t="n">
        <v>144.8</v>
      </c>
      <c r="G2777" t="inlineStr"/>
      <c r="I2777" t="inlineStr">
        <is>
          <t>M3</t>
        </is>
      </c>
      <c r="J2777" t="inlineStr"/>
      <c r="K2777" t="inlineStr">
        <is>
          <t>20260427</t>
        </is>
      </c>
      <c r="L2777" t="inlineStr">
        <is>
          <t>99991231</t>
        </is>
      </c>
    </row>
    <row r="2778">
      <c r="A2778" t="inlineStr">
        <is>
          <t>900009460</t>
        </is>
      </c>
      <c r="B2778" t="inlineStr">
        <is>
          <t>D836</t>
        </is>
      </c>
      <c r="C2778" t="inlineStr">
        <is>
          <t>66864540</t>
        </is>
      </c>
      <c r="D2778" t="inlineStr">
        <is>
          <t>10277346</t>
        </is>
      </c>
      <c r="E2778" t="inlineStr"/>
      <c r="F2778" s="11" t="n">
        <v>120</v>
      </c>
      <c r="G2778" t="inlineStr"/>
      <c r="I2778" t="inlineStr">
        <is>
          <t>M3</t>
        </is>
      </c>
      <c r="J2778" t="inlineStr"/>
      <c r="K2778" t="inlineStr">
        <is>
          <t>20260518</t>
        </is>
      </c>
      <c r="L2778" t="inlineStr">
        <is>
          <t>99991231</t>
        </is>
      </c>
    </row>
    <row r="2779">
      <c r="A2779" t="inlineStr">
        <is>
          <t>900009460</t>
        </is>
      </c>
      <c r="B2779" t="inlineStr">
        <is>
          <t>D836</t>
        </is>
      </c>
      <c r="C2779" t="inlineStr">
        <is>
          <t>66908488</t>
        </is>
      </c>
      <c r="D2779" t="inlineStr">
        <is>
          <t>10274190</t>
        </is>
      </c>
      <c r="E2779" t="inlineStr"/>
      <c r="F2779" s="11" t="n">
        <v>210</v>
      </c>
      <c r="G2779" t="inlineStr"/>
      <c r="I2779" t="inlineStr">
        <is>
          <t>M3</t>
        </is>
      </c>
      <c r="J2779" t="inlineStr"/>
      <c r="K2779" t="inlineStr">
        <is>
          <t>20260123</t>
        </is>
      </c>
      <c r="L2779" t="inlineStr">
        <is>
          <t>99991231</t>
        </is>
      </c>
    </row>
    <row r="2780">
      <c r="A2780" t="inlineStr">
        <is>
          <t>900009460</t>
        </is>
      </c>
      <c r="B2780" t="inlineStr">
        <is>
          <t>D836</t>
        </is>
      </c>
      <c r="C2780" t="inlineStr">
        <is>
          <t>66942072</t>
        </is>
      </c>
      <c r="D2780" t="inlineStr">
        <is>
          <t>10264162</t>
        </is>
      </c>
      <c r="E2780" t="inlineStr"/>
      <c r="F2780" s="11" t="n">
        <v>150</v>
      </c>
      <c r="G2780" t="inlineStr"/>
      <c r="I2780" t="inlineStr">
        <is>
          <t>M3</t>
        </is>
      </c>
      <c r="J2780" t="inlineStr"/>
      <c r="K2780" t="inlineStr">
        <is>
          <t>20260325</t>
        </is>
      </c>
      <c r="L2780" t="inlineStr">
        <is>
          <t>99991231</t>
        </is>
      </c>
    </row>
    <row r="2781">
      <c r="A2781" t="inlineStr">
        <is>
          <t>900009460</t>
        </is>
      </c>
      <c r="B2781" t="inlineStr">
        <is>
          <t>D836</t>
        </is>
      </c>
      <c r="C2781" t="inlineStr">
        <is>
          <t>66942072</t>
        </is>
      </c>
      <c r="D2781" t="inlineStr">
        <is>
          <t>10274754</t>
        </is>
      </c>
      <c r="E2781" t="inlineStr"/>
      <c r="F2781" s="11" t="n">
        <v>190</v>
      </c>
      <c r="G2781" t="inlineStr"/>
      <c r="I2781" t="inlineStr">
        <is>
          <t>M3</t>
        </is>
      </c>
      <c r="J2781" t="inlineStr"/>
      <c r="K2781" t="inlineStr">
        <is>
          <t>20260325</t>
        </is>
      </c>
      <c r="L2781" t="inlineStr">
        <is>
          <t>99991231</t>
        </is>
      </c>
    </row>
    <row r="2782">
      <c r="A2782" t="inlineStr">
        <is>
          <t>900009460</t>
        </is>
      </c>
      <c r="B2782" t="inlineStr">
        <is>
          <t>D836</t>
        </is>
      </c>
      <c r="C2782" t="inlineStr">
        <is>
          <t>66970213</t>
        </is>
      </c>
      <c r="D2782" t="inlineStr">
        <is>
          <t>10264162</t>
        </is>
      </c>
      <c r="E2782" t="inlineStr"/>
      <c r="F2782" s="11" t="n">
        <v>150</v>
      </c>
      <c r="G2782" t="inlineStr"/>
      <c r="I2782" t="inlineStr">
        <is>
          <t>M3</t>
        </is>
      </c>
      <c r="J2782" t="inlineStr"/>
      <c r="K2782" t="inlineStr">
        <is>
          <t>20260325</t>
        </is>
      </c>
      <c r="L2782" t="inlineStr">
        <is>
          <t>99991231</t>
        </is>
      </c>
    </row>
    <row r="2783">
      <c r="A2783" t="inlineStr">
        <is>
          <t>900009460</t>
        </is>
      </c>
      <c r="B2783" t="inlineStr">
        <is>
          <t>D836</t>
        </is>
      </c>
      <c r="C2783" t="inlineStr">
        <is>
          <t>66970213</t>
        </is>
      </c>
      <c r="D2783" t="inlineStr">
        <is>
          <t>10274754</t>
        </is>
      </c>
      <c r="E2783" t="inlineStr"/>
      <c r="F2783" s="11" t="n">
        <v>190</v>
      </c>
      <c r="G2783" t="inlineStr"/>
      <c r="I2783" t="inlineStr">
        <is>
          <t>M3</t>
        </is>
      </c>
      <c r="J2783" t="inlineStr"/>
      <c r="K2783" t="inlineStr">
        <is>
          <t>20260325</t>
        </is>
      </c>
      <c r="L2783" t="inlineStr">
        <is>
          <t>99991231</t>
        </is>
      </c>
    </row>
    <row r="2784">
      <c r="A2784" t="inlineStr">
        <is>
          <t>900009460</t>
        </is>
      </c>
      <c r="B2784" t="inlineStr">
        <is>
          <t>D836</t>
        </is>
      </c>
      <c r="C2784" t="inlineStr">
        <is>
          <t>66982053</t>
        </is>
      </c>
      <c r="D2784" t="inlineStr">
        <is>
          <t>10264162</t>
        </is>
      </c>
      <c r="E2784" t="inlineStr"/>
      <c r="F2784" s="11" t="n">
        <v>303.88</v>
      </c>
      <c r="G2784" t="inlineStr"/>
      <c r="I2784" t="inlineStr">
        <is>
          <t>M3</t>
        </is>
      </c>
      <c r="J2784" t="inlineStr"/>
      <c r="K2784" t="inlineStr">
        <is>
          <t>20260417</t>
        </is>
      </c>
      <c r="L2784" t="inlineStr">
        <is>
          <t>99991231</t>
        </is>
      </c>
    </row>
    <row r="2785">
      <c r="A2785" t="inlineStr">
        <is>
          <t>900009460</t>
        </is>
      </c>
      <c r="B2785" t="inlineStr">
        <is>
          <t>D836</t>
        </is>
      </c>
      <c r="C2785" t="inlineStr">
        <is>
          <t>66982053</t>
        </is>
      </c>
      <c r="D2785" t="inlineStr">
        <is>
          <t>10274754</t>
        </is>
      </c>
      <c r="E2785" t="inlineStr"/>
      <c r="F2785" s="11" t="n">
        <v>170</v>
      </c>
      <c r="G2785" t="inlineStr"/>
      <c r="I2785" t="inlineStr">
        <is>
          <t>M3</t>
        </is>
      </c>
      <c r="J2785" t="inlineStr"/>
      <c r="K2785" t="inlineStr">
        <is>
          <t>20260318</t>
        </is>
      </c>
      <c r="L2785" t="inlineStr">
        <is>
          <t>99991231</t>
        </is>
      </c>
    </row>
    <row r="2786">
      <c r="A2786" t="inlineStr">
        <is>
          <t>900009460</t>
        </is>
      </c>
      <c r="B2786" t="inlineStr">
        <is>
          <t>D836</t>
        </is>
      </c>
      <c r="C2786" t="inlineStr">
        <is>
          <t>66982053</t>
        </is>
      </c>
      <c r="D2786" t="inlineStr">
        <is>
          <t>10276711</t>
        </is>
      </c>
      <c r="E2786" t="inlineStr"/>
      <c r="F2786" s="11" t="n">
        <v>144.8</v>
      </c>
      <c r="G2786" t="inlineStr"/>
      <c r="I2786" t="inlineStr">
        <is>
          <t>M3</t>
        </is>
      </c>
      <c r="J2786" t="inlineStr"/>
      <c r="K2786" t="inlineStr">
        <is>
          <t>20260427</t>
        </is>
      </c>
      <c r="L2786" t="inlineStr">
        <is>
          <t>99991231</t>
        </is>
      </c>
    </row>
    <row r="2787">
      <c r="A2787" t="inlineStr">
        <is>
          <t>900009460</t>
        </is>
      </c>
      <c r="B2787" t="inlineStr">
        <is>
          <t>D836</t>
        </is>
      </c>
      <c r="C2787" t="inlineStr">
        <is>
          <t>66982053</t>
        </is>
      </c>
      <c r="D2787" t="inlineStr">
        <is>
          <t>10277346</t>
        </is>
      </c>
      <c r="E2787" t="inlineStr"/>
      <c r="F2787" s="11" t="n">
        <v>120</v>
      </c>
      <c r="G2787" t="inlineStr"/>
      <c r="I2787" t="inlineStr">
        <is>
          <t>M3</t>
        </is>
      </c>
      <c r="J2787" t="inlineStr"/>
      <c r="K2787" t="inlineStr">
        <is>
          <t>20260518</t>
        </is>
      </c>
      <c r="L2787" t="inlineStr">
        <is>
          <t>99991231</t>
        </is>
      </c>
    </row>
    <row r="2788">
      <c r="A2788" t="inlineStr">
        <is>
          <t>900009460</t>
        </is>
      </c>
      <c r="B2788" t="inlineStr">
        <is>
          <t>D836</t>
        </is>
      </c>
      <c r="C2788" t="inlineStr">
        <is>
          <t>67019979</t>
        </is>
      </c>
      <c r="D2788" t="inlineStr">
        <is>
          <t>10264162</t>
        </is>
      </c>
      <c r="E2788" t="inlineStr"/>
      <c r="F2788" s="11" t="n">
        <v>318.98</v>
      </c>
      <c r="G2788" t="inlineStr"/>
      <c r="I2788" t="inlineStr">
        <is>
          <t>M3</t>
        </is>
      </c>
      <c r="J2788" t="inlineStr"/>
      <c r="K2788" t="inlineStr">
        <is>
          <t>20260417</t>
        </is>
      </c>
      <c r="L2788" t="inlineStr">
        <is>
          <t>99991231</t>
        </is>
      </c>
    </row>
    <row r="2789">
      <c r="A2789" t="inlineStr">
        <is>
          <t>900009460</t>
        </is>
      </c>
      <c r="B2789" t="inlineStr">
        <is>
          <t>D836</t>
        </is>
      </c>
      <c r="C2789" t="inlineStr">
        <is>
          <t>67019979</t>
        </is>
      </c>
      <c r="D2789" t="inlineStr">
        <is>
          <t>10274754</t>
        </is>
      </c>
      <c r="E2789" t="inlineStr"/>
      <c r="F2789" s="11" t="n">
        <v>170</v>
      </c>
      <c r="G2789" t="inlineStr"/>
      <c r="I2789" t="inlineStr">
        <is>
          <t>M3</t>
        </is>
      </c>
      <c r="J2789" t="inlineStr"/>
      <c r="K2789" t="inlineStr">
        <is>
          <t>20260318</t>
        </is>
      </c>
      <c r="L2789" t="inlineStr">
        <is>
          <t>99991231</t>
        </is>
      </c>
    </row>
    <row r="2790">
      <c r="A2790" t="inlineStr">
        <is>
          <t>900009460</t>
        </is>
      </c>
      <c r="B2790" t="inlineStr">
        <is>
          <t>D836</t>
        </is>
      </c>
      <c r="C2790" t="inlineStr">
        <is>
          <t>67019979</t>
        </is>
      </c>
      <c r="D2790" t="inlineStr">
        <is>
          <t>10276711</t>
        </is>
      </c>
      <c r="E2790" t="inlineStr"/>
      <c r="F2790" s="11" t="n">
        <v>144.8</v>
      </c>
      <c r="G2790" t="inlineStr"/>
      <c r="I2790" t="inlineStr">
        <is>
          <t>M3</t>
        </is>
      </c>
      <c r="J2790" t="inlineStr"/>
      <c r="K2790" t="inlineStr">
        <is>
          <t>20260427</t>
        </is>
      </c>
      <c r="L2790" t="inlineStr">
        <is>
          <t>99991231</t>
        </is>
      </c>
    </row>
    <row r="2791">
      <c r="A2791" t="inlineStr">
        <is>
          <t>900009460</t>
        </is>
      </c>
      <c r="B2791" t="inlineStr">
        <is>
          <t>D836</t>
        </is>
      </c>
      <c r="C2791" t="inlineStr">
        <is>
          <t>67019979</t>
        </is>
      </c>
      <c r="D2791" t="inlineStr">
        <is>
          <t>10277346</t>
        </is>
      </c>
      <c r="E2791" t="inlineStr"/>
      <c r="F2791" s="11" t="n">
        <v>120</v>
      </c>
      <c r="G2791" t="inlineStr"/>
      <c r="I2791" t="inlineStr">
        <is>
          <t>M3</t>
        </is>
      </c>
      <c r="J2791" t="inlineStr"/>
      <c r="K2791" t="inlineStr">
        <is>
          <t>20260518</t>
        </is>
      </c>
      <c r="L2791" t="inlineStr">
        <is>
          <t>99991231</t>
        </is>
      </c>
    </row>
    <row r="2792">
      <c r="A2792" t="inlineStr">
        <is>
          <t>900009460</t>
        </is>
      </c>
      <c r="B2792" t="inlineStr">
        <is>
          <t>D836</t>
        </is>
      </c>
      <c r="C2792" t="inlineStr">
        <is>
          <t>67132343</t>
        </is>
      </c>
      <c r="D2792" t="inlineStr">
        <is>
          <t>10264162</t>
        </is>
      </c>
      <c r="E2792" t="inlineStr"/>
      <c r="F2792" s="11" t="n">
        <v>150</v>
      </c>
      <c r="G2792" t="inlineStr"/>
      <c r="I2792" t="inlineStr">
        <is>
          <t>M3</t>
        </is>
      </c>
      <c r="J2792" t="inlineStr"/>
      <c r="K2792" t="inlineStr">
        <is>
          <t>20260325</t>
        </is>
      </c>
      <c r="L2792" t="inlineStr">
        <is>
          <t>99991231</t>
        </is>
      </c>
    </row>
    <row r="2793">
      <c r="A2793" t="inlineStr">
        <is>
          <t>900009460</t>
        </is>
      </c>
      <c r="B2793" t="inlineStr">
        <is>
          <t>D836</t>
        </is>
      </c>
      <c r="C2793" t="inlineStr">
        <is>
          <t>67132343</t>
        </is>
      </c>
      <c r="D2793" t="inlineStr">
        <is>
          <t>10274754</t>
        </is>
      </c>
      <c r="E2793" t="inlineStr"/>
      <c r="F2793" s="11" t="n">
        <v>190</v>
      </c>
      <c r="G2793" t="inlineStr"/>
      <c r="I2793" t="inlineStr">
        <is>
          <t>M3</t>
        </is>
      </c>
      <c r="J2793" t="inlineStr"/>
      <c r="K2793" t="inlineStr">
        <is>
          <t>20260325</t>
        </is>
      </c>
      <c r="L2793" t="inlineStr">
        <is>
          <t>99991231</t>
        </is>
      </c>
    </row>
    <row r="2794">
      <c r="A2794" t="inlineStr">
        <is>
          <t>900009460</t>
        </is>
      </c>
      <c r="B2794" t="inlineStr">
        <is>
          <t>D836</t>
        </is>
      </c>
      <c r="C2794" t="inlineStr">
        <is>
          <t>67221674</t>
        </is>
      </c>
      <c r="D2794" t="inlineStr">
        <is>
          <t>10264162</t>
        </is>
      </c>
      <c r="E2794" t="inlineStr"/>
      <c r="F2794" s="11" t="n">
        <v>140</v>
      </c>
      <c r="G2794" t="inlineStr"/>
      <c r="I2794" t="inlineStr">
        <is>
          <t>M3</t>
        </is>
      </c>
      <c r="J2794" t="inlineStr"/>
      <c r="K2794" t="inlineStr">
        <is>
          <t>20260327</t>
        </is>
      </c>
      <c r="L2794" t="inlineStr">
        <is>
          <t>99991231</t>
        </is>
      </c>
    </row>
    <row r="2795">
      <c r="A2795" t="inlineStr">
        <is>
          <t>900009460</t>
        </is>
      </c>
      <c r="B2795" t="inlineStr">
        <is>
          <t>D836</t>
        </is>
      </c>
      <c r="C2795" t="inlineStr">
        <is>
          <t>67221674</t>
        </is>
      </c>
      <c r="D2795" t="inlineStr">
        <is>
          <t>10274754</t>
        </is>
      </c>
      <c r="E2795" t="inlineStr"/>
      <c r="F2795" s="11" t="n">
        <v>170</v>
      </c>
      <c r="G2795" t="inlineStr"/>
      <c r="I2795" t="inlineStr">
        <is>
          <t>M3</t>
        </is>
      </c>
      <c r="J2795" t="inlineStr"/>
      <c r="K2795" t="inlineStr">
        <is>
          <t>20260327</t>
        </is>
      </c>
      <c r="L2795" t="inlineStr">
        <is>
          <t>99991231</t>
        </is>
      </c>
    </row>
    <row r="2796">
      <c r="A2796" t="inlineStr">
        <is>
          <t>900009460</t>
        </is>
      </c>
      <c r="B2796" t="inlineStr">
        <is>
          <t>D836</t>
        </is>
      </c>
      <c r="C2796" t="inlineStr">
        <is>
          <t>67224043</t>
        </is>
      </c>
      <c r="D2796" t="inlineStr">
        <is>
          <t>10264162</t>
        </is>
      </c>
      <c r="E2796" t="inlineStr"/>
      <c r="F2796" s="11" t="n">
        <v>140</v>
      </c>
      <c r="G2796" t="inlineStr"/>
      <c r="I2796" t="inlineStr">
        <is>
          <t>M3</t>
        </is>
      </c>
      <c r="J2796" t="inlineStr"/>
      <c r="K2796" t="inlineStr">
        <is>
          <t>20260325</t>
        </is>
      </c>
      <c r="L2796" t="inlineStr">
        <is>
          <t>99991231</t>
        </is>
      </c>
    </row>
    <row r="2797">
      <c r="A2797" t="inlineStr">
        <is>
          <t>900009460</t>
        </is>
      </c>
      <c r="B2797" t="inlineStr">
        <is>
          <t>D836</t>
        </is>
      </c>
      <c r="C2797" t="inlineStr">
        <is>
          <t>67224043</t>
        </is>
      </c>
      <c r="D2797" t="inlineStr">
        <is>
          <t>10274754</t>
        </is>
      </c>
      <c r="E2797" t="inlineStr"/>
      <c r="F2797" s="11" t="n">
        <v>180</v>
      </c>
      <c r="G2797" t="inlineStr"/>
      <c r="I2797" t="inlineStr">
        <is>
          <t>M3</t>
        </is>
      </c>
      <c r="J2797" t="inlineStr"/>
      <c r="K2797" t="inlineStr">
        <is>
          <t>20260325</t>
        </is>
      </c>
      <c r="L2797" t="inlineStr">
        <is>
          <t>99991231</t>
        </is>
      </c>
    </row>
    <row r="2798">
      <c r="A2798" t="inlineStr">
        <is>
          <t>900009460</t>
        </is>
      </c>
      <c r="B2798" t="inlineStr">
        <is>
          <t>D836</t>
        </is>
      </c>
      <c r="C2798" t="inlineStr">
        <is>
          <t>67243408</t>
        </is>
      </c>
      <c r="D2798" t="inlineStr">
        <is>
          <t>10264162</t>
        </is>
      </c>
      <c r="E2798" t="inlineStr"/>
      <c r="F2798" s="11" t="n">
        <v>150</v>
      </c>
      <c r="G2798" t="inlineStr"/>
      <c r="I2798" t="inlineStr">
        <is>
          <t>M3</t>
        </is>
      </c>
      <c r="J2798" t="inlineStr"/>
      <c r="K2798" t="inlineStr">
        <is>
          <t>20260318</t>
        </is>
      </c>
      <c r="L2798" t="inlineStr">
        <is>
          <t>99991231</t>
        </is>
      </c>
    </row>
    <row r="2799">
      <c r="A2799" t="inlineStr">
        <is>
          <t>900009460</t>
        </is>
      </c>
      <c r="B2799" t="inlineStr">
        <is>
          <t>D836</t>
        </is>
      </c>
      <c r="C2799" t="inlineStr">
        <is>
          <t>67243408</t>
        </is>
      </c>
      <c r="D2799" t="inlineStr">
        <is>
          <t>10274754</t>
        </is>
      </c>
      <c r="E2799" t="inlineStr"/>
      <c r="F2799" s="11" t="n">
        <v>170</v>
      </c>
      <c r="G2799" t="inlineStr"/>
      <c r="I2799" t="inlineStr">
        <is>
          <t>M3</t>
        </is>
      </c>
      <c r="J2799" t="inlineStr"/>
      <c r="K2799" t="inlineStr">
        <is>
          <t>20260318</t>
        </is>
      </c>
      <c r="L2799" t="inlineStr">
        <is>
          <t>99991231</t>
        </is>
      </c>
    </row>
    <row r="2800">
      <c r="A2800" t="inlineStr">
        <is>
          <t>900009460</t>
        </is>
      </c>
      <c r="B2800" t="inlineStr">
        <is>
          <t>D836</t>
        </is>
      </c>
      <c r="C2800" t="inlineStr">
        <is>
          <t>67243408</t>
        </is>
      </c>
      <c r="D2800" t="inlineStr">
        <is>
          <t>10276711</t>
        </is>
      </c>
      <c r="E2800" t="inlineStr"/>
      <c r="F2800" s="11" t="n">
        <v>144.8</v>
      </c>
      <c r="G2800" t="inlineStr"/>
      <c r="I2800" t="inlineStr">
        <is>
          <t>M3</t>
        </is>
      </c>
      <c r="J2800" t="inlineStr"/>
      <c r="K2800" t="inlineStr">
        <is>
          <t>20260515</t>
        </is>
      </c>
      <c r="L2800" t="inlineStr">
        <is>
          <t>99991231</t>
        </is>
      </c>
    </row>
    <row r="2801">
      <c r="A2801" t="inlineStr">
        <is>
          <t>900009460</t>
        </is>
      </c>
      <c r="B2801" t="inlineStr">
        <is>
          <t>D836</t>
        </is>
      </c>
      <c r="C2801" t="inlineStr">
        <is>
          <t>67243408</t>
        </is>
      </c>
      <c r="D2801" t="inlineStr">
        <is>
          <t>10277346</t>
        </is>
      </c>
      <c r="E2801" t="inlineStr"/>
      <c r="F2801" s="11" t="n">
        <v>120</v>
      </c>
      <c r="G2801" t="inlineStr"/>
      <c r="I2801" t="inlineStr">
        <is>
          <t>M3</t>
        </is>
      </c>
      <c r="J2801" t="inlineStr"/>
      <c r="K2801" t="inlineStr">
        <is>
          <t>20260518</t>
        </is>
      </c>
      <c r="L2801" t="inlineStr">
        <is>
          <t>99991231</t>
        </is>
      </c>
    </row>
    <row r="2802">
      <c r="A2802" t="inlineStr">
        <is>
          <t>900009460</t>
        </is>
      </c>
      <c r="B2802" t="inlineStr">
        <is>
          <t>D836</t>
        </is>
      </c>
      <c r="C2802" t="inlineStr">
        <is>
          <t>67244113</t>
        </is>
      </c>
      <c r="D2802" t="inlineStr">
        <is>
          <t>10264162</t>
        </is>
      </c>
      <c r="E2802" t="inlineStr"/>
      <c r="F2802" s="11" t="n">
        <v>125</v>
      </c>
      <c r="G2802" t="inlineStr"/>
      <c r="I2802" t="inlineStr">
        <is>
          <t>M3</t>
        </is>
      </c>
      <c r="J2802" t="inlineStr"/>
      <c r="K2802" t="inlineStr">
        <is>
          <t>20260128</t>
        </is>
      </c>
      <c r="L2802" t="inlineStr">
        <is>
          <t>99991231</t>
        </is>
      </c>
    </row>
    <row r="2803">
      <c r="A2803" t="inlineStr">
        <is>
          <t>900009460</t>
        </is>
      </c>
      <c r="B2803" t="inlineStr">
        <is>
          <t>D836</t>
        </is>
      </c>
      <c r="C2803" t="inlineStr">
        <is>
          <t>67277158</t>
        </is>
      </c>
      <c r="D2803" t="inlineStr">
        <is>
          <t>10264162</t>
        </is>
      </c>
      <c r="E2803" t="inlineStr"/>
      <c r="F2803" s="11" t="n">
        <v>150</v>
      </c>
      <c r="G2803" t="inlineStr"/>
      <c r="I2803" t="inlineStr">
        <is>
          <t>M3</t>
        </is>
      </c>
      <c r="J2803" t="inlineStr"/>
      <c r="K2803" t="inlineStr">
        <is>
          <t>20260325</t>
        </is>
      </c>
      <c r="L2803" t="inlineStr">
        <is>
          <t>99991231</t>
        </is>
      </c>
    </row>
    <row r="2804">
      <c r="A2804" t="inlineStr">
        <is>
          <t>900009460</t>
        </is>
      </c>
      <c r="B2804" t="inlineStr">
        <is>
          <t>D836</t>
        </is>
      </c>
      <c r="C2804" t="inlineStr">
        <is>
          <t>67277158</t>
        </is>
      </c>
      <c r="D2804" t="inlineStr">
        <is>
          <t>10274754</t>
        </is>
      </c>
      <c r="E2804" t="inlineStr"/>
      <c r="F2804" s="11" t="n">
        <v>190</v>
      </c>
      <c r="G2804" t="inlineStr"/>
      <c r="I2804" t="inlineStr">
        <is>
          <t>M3</t>
        </is>
      </c>
      <c r="J2804" t="inlineStr"/>
      <c r="K2804" t="inlineStr">
        <is>
          <t>20260325</t>
        </is>
      </c>
      <c r="L2804" t="inlineStr">
        <is>
          <t>99991231</t>
        </is>
      </c>
    </row>
    <row r="2805">
      <c r="A2805" t="inlineStr">
        <is>
          <t>900009460</t>
        </is>
      </c>
      <c r="B2805" t="inlineStr">
        <is>
          <t>D836</t>
        </is>
      </c>
      <c r="C2805" t="inlineStr">
        <is>
          <t>67277485</t>
        </is>
      </c>
      <c r="D2805" t="inlineStr">
        <is>
          <t>10264162</t>
        </is>
      </c>
      <c r="E2805" t="inlineStr"/>
      <c r="F2805" s="11" t="n">
        <v>150</v>
      </c>
      <c r="G2805" t="inlineStr"/>
      <c r="I2805" t="inlineStr">
        <is>
          <t>M3</t>
        </is>
      </c>
      <c r="J2805" t="inlineStr"/>
      <c r="K2805" t="inlineStr">
        <is>
          <t>20260325</t>
        </is>
      </c>
      <c r="L2805" t="inlineStr">
        <is>
          <t>99991231</t>
        </is>
      </c>
    </row>
    <row r="2806">
      <c r="A2806" t="inlineStr">
        <is>
          <t>900009460</t>
        </is>
      </c>
      <c r="B2806" t="inlineStr">
        <is>
          <t>D836</t>
        </is>
      </c>
      <c r="C2806" t="inlineStr">
        <is>
          <t>67277485</t>
        </is>
      </c>
      <c r="D2806" t="inlineStr">
        <is>
          <t>10274754</t>
        </is>
      </c>
      <c r="E2806" t="inlineStr"/>
      <c r="F2806" s="11" t="n">
        <v>190</v>
      </c>
      <c r="G2806" t="inlineStr"/>
      <c r="I2806" t="inlineStr">
        <is>
          <t>M3</t>
        </is>
      </c>
      <c r="J2806" t="inlineStr"/>
      <c r="K2806" t="inlineStr">
        <is>
          <t>20260325</t>
        </is>
      </c>
      <c r="L2806" t="inlineStr">
        <is>
          <t>99991231</t>
        </is>
      </c>
    </row>
    <row r="2807">
      <c r="A2807" t="inlineStr">
        <is>
          <t>900009460</t>
        </is>
      </c>
      <c r="B2807" t="inlineStr">
        <is>
          <t>D836</t>
        </is>
      </c>
      <c r="C2807" t="inlineStr">
        <is>
          <t>67322499</t>
        </is>
      </c>
      <c r="D2807" t="inlineStr">
        <is>
          <t>10264162</t>
        </is>
      </c>
      <c r="E2807" t="inlineStr"/>
      <c r="F2807" s="11" t="n">
        <v>150</v>
      </c>
      <c r="G2807" t="inlineStr"/>
      <c r="I2807" t="inlineStr">
        <is>
          <t>M3</t>
        </is>
      </c>
      <c r="J2807" t="inlineStr"/>
      <c r="K2807" t="inlineStr">
        <is>
          <t>20260318</t>
        </is>
      </c>
      <c r="L2807" t="inlineStr">
        <is>
          <t>99991231</t>
        </is>
      </c>
    </row>
    <row r="2808">
      <c r="A2808" t="inlineStr">
        <is>
          <t>900009460</t>
        </is>
      </c>
      <c r="B2808" t="inlineStr">
        <is>
          <t>D836</t>
        </is>
      </c>
      <c r="C2808" t="inlineStr">
        <is>
          <t>67322499</t>
        </is>
      </c>
      <c r="D2808" t="inlineStr">
        <is>
          <t>10274754</t>
        </is>
      </c>
      <c r="E2808" t="inlineStr"/>
      <c r="F2808" s="11" t="n">
        <v>170</v>
      </c>
      <c r="G2808" t="inlineStr"/>
      <c r="I2808" t="inlineStr">
        <is>
          <t>M3</t>
        </is>
      </c>
      <c r="J2808" t="inlineStr"/>
      <c r="K2808" t="inlineStr">
        <is>
          <t>20260318</t>
        </is>
      </c>
      <c r="L2808" t="inlineStr">
        <is>
          <t>99991231</t>
        </is>
      </c>
    </row>
    <row r="2809">
      <c r="A2809" t="inlineStr">
        <is>
          <t>900009460</t>
        </is>
      </c>
      <c r="B2809" t="inlineStr">
        <is>
          <t>D836</t>
        </is>
      </c>
      <c r="C2809" t="inlineStr">
        <is>
          <t>67322499</t>
        </is>
      </c>
      <c r="D2809" t="inlineStr">
        <is>
          <t>10276711</t>
        </is>
      </c>
      <c r="E2809" t="inlineStr"/>
      <c r="F2809" s="11" t="n">
        <v>144.8</v>
      </c>
      <c r="G2809" t="inlineStr"/>
      <c r="I2809" t="inlineStr">
        <is>
          <t>M3</t>
        </is>
      </c>
      <c r="J2809" t="inlineStr"/>
      <c r="K2809" t="inlineStr">
        <is>
          <t>20260515</t>
        </is>
      </c>
      <c r="L2809" t="inlineStr">
        <is>
          <t>99991231</t>
        </is>
      </c>
    </row>
    <row r="2810">
      <c r="A2810" t="inlineStr">
        <is>
          <t>900009460</t>
        </is>
      </c>
      <c r="B2810" t="inlineStr">
        <is>
          <t>D836</t>
        </is>
      </c>
      <c r="C2810" t="inlineStr">
        <is>
          <t>67322499</t>
        </is>
      </c>
      <c r="D2810" t="inlineStr">
        <is>
          <t>10277346</t>
        </is>
      </c>
      <c r="E2810" t="inlineStr"/>
      <c r="F2810" s="11" t="n">
        <v>120</v>
      </c>
      <c r="G2810" t="inlineStr"/>
      <c r="I2810" t="inlineStr">
        <is>
          <t>M3</t>
        </is>
      </c>
      <c r="J2810" t="inlineStr"/>
      <c r="K2810" t="inlineStr">
        <is>
          <t>20260518</t>
        </is>
      </c>
      <c r="L2810" t="inlineStr">
        <is>
          <t>99991231</t>
        </is>
      </c>
    </row>
    <row r="2811">
      <c r="A2811" t="inlineStr">
        <is>
          <t>900009460</t>
        </is>
      </c>
      <c r="B2811" t="inlineStr">
        <is>
          <t>D836</t>
        </is>
      </c>
      <c r="C2811" t="inlineStr">
        <is>
          <t>67347709</t>
        </is>
      </c>
      <c r="D2811" t="inlineStr">
        <is>
          <t>10264162</t>
        </is>
      </c>
      <c r="E2811" t="inlineStr"/>
      <c r="F2811" s="11" t="n">
        <v>140</v>
      </c>
      <c r="G2811" t="inlineStr"/>
      <c r="I2811" t="inlineStr">
        <is>
          <t>M3</t>
        </is>
      </c>
      <c r="J2811" t="inlineStr"/>
      <c r="K2811" t="inlineStr">
        <is>
          <t>20260327</t>
        </is>
      </c>
      <c r="L2811" t="inlineStr">
        <is>
          <t>99991231</t>
        </is>
      </c>
    </row>
    <row r="2812">
      <c r="A2812" t="inlineStr">
        <is>
          <t>900009460</t>
        </is>
      </c>
      <c r="B2812" t="inlineStr">
        <is>
          <t>D836</t>
        </is>
      </c>
      <c r="C2812" t="inlineStr">
        <is>
          <t>67347709</t>
        </is>
      </c>
      <c r="D2812" t="inlineStr">
        <is>
          <t>10274754</t>
        </is>
      </c>
      <c r="E2812" t="inlineStr"/>
      <c r="F2812" s="11" t="n">
        <v>170</v>
      </c>
      <c r="G2812" t="inlineStr"/>
      <c r="I2812" t="inlineStr">
        <is>
          <t>M3</t>
        </is>
      </c>
      <c r="J2812" t="inlineStr"/>
      <c r="K2812" t="inlineStr">
        <is>
          <t>20260327</t>
        </is>
      </c>
      <c r="L2812" t="inlineStr">
        <is>
          <t>99991231</t>
        </is>
      </c>
    </row>
    <row r="2813">
      <c r="A2813" t="inlineStr">
        <is>
          <t>900009460</t>
        </is>
      </c>
      <c r="B2813" t="inlineStr">
        <is>
          <t>D836</t>
        </is>
      </c>
      <c r="C2813" t="inlineStr">
        <is>
          <t>67365667</t>
        </is>
      </c>
      <c r="D2813" t="inlineStr">
        <is>
          <t>10264162</t>
        </is>
      </c>
      <c r="E2813" t="inlineStr"/>
      <c r="F2813" s="11" t="n">
        <v>147</v>
      </c>
      <c r="G2813" t="inlineStr"/>
      <c r="I2813" t="inlineStr">
        <is>
          <t>M3</t>
        </is>
      </c>
      <c r="J2813" t="inlineStr"/>
      <c r="K2813" t="inlineStr">
        <is>
          <t>20260707</t>
        </is>
      </c>
      <c r="L2813" t="inlineStr">
        <is>
          <t>99991231</t>
        </is>
      </c>
    </row>
    <row r="2814">
      <c r="A2814" t="inlineStr">
        <is>
          <t>900009460</t>
        </is>
      </c>
      <c r="B2814" t="inlineStr">
        <is>
          <t>D836</t>
        </is>
      </c>
      <c r="C2814" t="inlineStr">
        <is>
          <t>67365667</t>
        </is>
      </c>
      <c r="D2814" t="inlineStr">
        <is>
          <t>10274754</t>
        </is>
      </c>
      <c r="E2814" t="inlineStr"/>
      <c r="F2814" s="11" t="n">
        <v>172</v>
      </c>
      <c r="G2814" t="inlineStr"/>
      <c r="I2814" t="inlineStr">
        <is>
          <t>M3</t>
        </is>
      </c>
      <c r="J2814" t="inlineStr"/>
      <c r="K2814" t="inlineStr">
        <is>
          <t>20260707</t>
        </is>
      </c>
      <c r="L2814" t="inlineStr">
        <is>
          <t>99991231</t>
        </is>
      </c>
    </row>
    <row r="2815">
      <c r="A2815" t="inlineStr">
        <is>
          <t>900009460</t>
        </is>
      </c>
      <c r="B2815" t="inlineStr">
        <is>
          <t>D836</t>
        </is>
      </c>
      <c r="C2815" t="inlineStr">
        <is>
          <t>67382539</t>
        </is>
      </c>
      <c r="D2815" t="inlineStr">
        <is>
          <t>10264162</t>
        </is>
      </c>
      <c r="E2815" t="inlineStr"/>
      <c r="F2815" s="11" t="n">
        <v>140</v>
      </c>
      <c r="G2815" t="inlineStr"/>
      <c r="I2815" t="inlineStr">
        <is>
          <t>M3</t>
        </is>
      </c>
      <c r="J2815" t="inlineStr"/>
      <c r="K2815" t="inlineStr">
        <is>
          <t>20260611</t>
        </is>
      </c>
      <c r="L2815" t="inlineStr">
        <is>
          <t>99991231</t>
        </is>
      </c>
    </row>
    <row r="2816">
      <c r="A2816" t="inlineStr">
        <is>
          <t>900009460</t>
        </is>
      </c>
      <c r="B2816" t="inlineStr">
        <is>
          <t>D836</t>
        </is>
      </c>
      <c r="C2816" t="inlineStr">
        <is>
          <t>67382539</t>
        </is>
      </c>
      <c r="D2816" t="inlineStr">
        <is>
          <t>10274754</t>
        </is>
      </c>
      <c r="E2816" t="inlineStr"/>
      <c r="F2816" s="11" t="n">
        <v>170</v>
      </c>
      <c r="G2816" t="inlineStr"/>
      <c r="I2816" t="inlineStr">
        <is>
          <t>M3</t>
        </is>
      </c>
      <c r="J2816" t="inlineStr"/>
      <c r="K2816" t="inlineStr">
        <is>
          <t>20260611</t>
        </is>
      </c>
      <c r="L2816" t="inlineStr">
        <is>
          <t>99991231</t>
        </is>
      </c>
    </row>
    <row r="2817">
      <c r="A2817" t="inlineStr">
        <is>
          <t>900009460</t>
        </is>
      </c>
      <c r="B2817" t="inlineStr">
        <is>
          <t>D836</t>
        </is>
      </c>
      <c r="C2817" t="inlineStr">
        <is>
          <t>67382542</t>
        </is>
      </c>
      <c r="D2817" t="inlineStr">
        <is>
          <t>10264162</t>
        </is>
      </c>
      <c r="E2817" t="inlineStr"/>
      <c r="F2817" s="11" t="n">
        <v>140</v>
      </c>
      <c r="G2817" t="inlineStr"/>
      <c r="I2817" t="inlineStr">
        <is>
          <t>M3</t>
        </is>
      </c>
      <c r="J2817" t="inlineStr"/>
      <c r="K2817" t="inlineStr">
        <is>
          <t>20260611</t>
        </is>
      </c>
      <c r="L2817" t="inlineStr">
        <is>
          <t>99991231</t>
        </is>
      </c>
    </row>
    <row r="2818">
      <c r="A2818" t="inlineStr">
        <is>
          <t>900009460</t>
        </is>
      </c>
      <c r="B2818" t="inlineStr">
        <is>
          <t>D836</t>
        </is>
      </c>
      <c r="C2818" t="inlineStr">
        <is>
          <t>67382542</t>
        </is>
      </c>
      <c r="D2818" t="inlineStr">
        <is>
          <t>10274754</t>
        </is>
      </c>
      <c r="E2818" t="inlineStr"/>
      <c r="F2818" s="11" t="n">
        <v>170</v>
      </c>
      <c r="G2818" t="inlineStr"/>
      <c r="I2818" t="inlineStr">
        <is>
          <t>M3</t>
        </is>
      </c>
      <c r="J2818" t="inlineStr"/>
      <c r="K2818" t="inlineStr">
        <is>
          <t>20260611</t>
        </is>
      </c>
      <c r="L2818" t="inlineStr">
        <is>
          <t>99991231</t>
        </is>
      </c>
    </row>
    <row r="2819">
      <c r="A2819" t="inlineStr">
        <is>
          <t>900009460</t>
        </is>
      </c>
      <c r="B2819" t="inlineStr">
        <is>
          <t>D836</t>
        </is>
      </c>
      <c r="C2819" t="inlineStr">
        <is>
          <t>67385618</t>
        </is>
      </c>
      <c r="D2819" t="inlineStr">
        <is>
          <t>10264162</t>
        </is>
      </c>
      <c r="E2819" t="inlineStr"/>
      <c r="F2819" s="11" t="n">
        <v>140</v>
      </c>
      <c r="G2819" t="inlineStr"/>
      <c r="I2819" t="inlineStr">
        <is>
          <t>M3</t>
        </is>
      </c>
      <c r="J2819" t="inlineStr"/>
      <c r="K2819" t="inlineStr">
        <is>
          <t>20260708</t>
        </is>
      </c>
      <c r="L2819" t="inlineStr">
        <is>
          <t>99991231</t>
        </is>
      </c>
    </row>
    <row r="2820">
      <c r="A2820" t="inlineStr">
        <is>
          <t>900009460</t>
        </is>
      </c>
      <c r="B2820" t="inlineStr">
        <is>
          <t>D836</t>
        </is>
      </c>
      <c r="C2820" t="inlineStr">
        <is>
          <t>67385618</t>
        </is>
      </c>
      <c r="D2820" t="inlineStr">
        <is>
          <t>10274754</t>
        </is>
      </c>
      <c r="E2820" t="inlineStr"/>
      <c r="F2820" s="11" t="n">
        <v>170</v>
      </c>
      <c r="G2820" t="inlineStr"/>
      <c r="I2820" t="inlineStr">
        <is>
          <t>M3</t>
        </is>
      </c>
      <c r="J2820" t="inlineStr"/>
      <c r="K2820" t="inlineStr">
        <is>
          <t>20260708</t>
        </is>
      </c>
      <c r="L2820" t="inlineStr">
        <is>
          <t>99991231</t>
        </is>
      </c>
    </row>
    <row r="2821">
      <c r="A2821" t="inlineStr">
        <is>
          <t>900001074</t>
        </is>
      </c>
      <c r="B2821" t="inlineStr">
        <is>
          <t>D836</t>
        </is>
      </c>
      <c r="C2821" t="inlineStr">
        <is>
          <t>65003945</t>
        </is>
      </c>
      <c r="D2821" t="inlineStr">
        <is>
          <t>10000160</t>
        </is>
      </c>
      <c r="E2821" t="inlineStr"/>
      <c r="F2821" s="11" t="n">
        <v>110</v>
      </c>
      <c r="G2821" t="inlineStr"/>
      <c r="I2821" t="inlineStr">
        <is>
          <t>M3</t>
        </is>
      </c>
      <c r="J2821" t="inlineStr"/>
      <c r="K2821" t="inlineStr">
        <is>
          <t>20240425</t>
        </is>
      </c>
      <c r="L2821" t="inlineStr">
        <is>
          <t>20240814</t>
        </is>
      </c>
    </row>
    <row r="2822">
      <c r="A2822" t="inlineStr">
        <is>
          <t>900001074</t>
        </is>
      </c>
      <c r="B2822" t="inlineStr">
        <is>
          <t>D836</t>
        </is>
      </c>
      <c r="C2822" t="inlineStr">
        <is>
          <t>65003945</t>
        </is>
      </c>
      <c r="D2822" t="inlineStr">
        <is>
          <t>10000357</t>
        </is>
      </c>
      <c r="E2822" t="inlineStr"/>
      <c r="F2822" s="11" t="n">
        <v>130</v>
      </c>
      <c r="G2822" t="inlineStr"/>
      <c r="I2822" t="inlineStr">
        <is>
          <t>M3</t>
        </is>
      </c>
      <c r="J2822" t="inlineStr"/>
      <c r="K2822" t="inlineStr">
        <is>
          <t>20240425</t>
        </is>
      </c>
      <c r="L2822" t="inlineStr">
        <is>
          <t>20240814</t>
        </is>
      </c>
    </row>
    <row r="2823">
      <c r="A2823" t="inlineStr">
        <is>
          <t>900001074</t>
        </is>
      </c>
      <c r="B2823" t="inlineStr">
        <is>
          <t>D836</t>
        </is>
      </c>
      <c r="C2823" t="inlineStr">
        <is>
          <t>65016451</t>
        </is>
      </c>
      <c r="D2823" t="inlineStr">
        <is>
          <t>10000160</t>
        </is>
      </c>
      <c r="E2823" t="inlineStr"/>
      <c r="F2823" s="11" t="n">
        <v>116.7</v>
      </c>
      <c r="G2823" t="inlineStr"/>
      <c r="I2823" t="inlineStr">
        <is>
          <t>M3</t>
        </is>
      </c>
      <c r="J2823" t="inlineStr"/>
      <c r="K2823" t="inlineStr">
        <is>
          <t>20250505</t>
        </is>
      </c>
      <c r="L2823" t="inlineStr">
        <is>
          <t>20250507</t>
        </is>
      </c>
    </row>
    <row r="2824">
      <c r="A2824" t="inlineStr">
        <is>
          <t>900001074</t>
        </is>
      </c>
      <c r="B2824" t="inlineStr">
        <is>
          <t>D836</t>
        </is>
      </c>
      <c r="C2824" t="inlineStr">
        <is>
          <t>65911313</t>
        </is>
      </c>
      <c r="D2824" t="inlineStr">
        <is>
          <t>10000160</t>
        </is>
      </c>
      <c r="E2824" t="inlineStr"/>
      <c r="F2824" s="11" t="n">
        <v>118</v>
      </c>
      <c r="G2824" t="inlineStr"/>
      <c r="I2824" t="inlineStr">
        <is>
          <t>M3</t>
        </is>
      </c>
      <c r="J2824" t="inlineStr"/>
      <c r="K2824" t="inlineStr">
        <is>
          <t>20250505</t>
        </is>
      </c>
      <c r="L2824" t="inlineStr">
        <is>
          <t>20250507</t>
        </is>
      </c>
    </row>
    <row r="2825">
      <c r="A2825" t="inlineStr">
        <is>
          <t>900001074</t>
        </is>
      </c>
      <c r="B2825" t="inlineStr">
        <is>
          <t>D836</t>
        </is>
      </c>
      <c r="C2825" t="inlineStr">
        <is>
          <t>65911313</t>
        </is>
      </c>
      <c r="D2825" t="inlineStr">
        <is>
          <t>10000357</t>
        </is>
      </c>
      <c r="E2825" t="inlineStr"/>
      <c r="F2825" s="11" t="n">
        <v>139</v>
      </c>
      <c r="G2825" t="inlineStr"/>
      <c r="I2825" t="inlineStr">
        <is>
          <t>M3</t>
        </is>
      </c>
      <c r="J2825" t="inlineStr"/>
      <c r="K2825" t="inlineStr">
        <is>
          <t>20250505</t>
        </is>
      </c>
      <c r="L2825" t="inlineStr">
        <is>
          <t>20250507</t>
        </is>
      </c>
    </row>
    <row r="2826">
      <c r="A2826" t="inlineStr">
        <is>
          <t>900001074</t>
        </is>
      </c>
      <c r="B2826" t="inlineStr">
        <is>
          <t>D836</t>
        </is>
      </c>
      <c r="C2826" t="inlineStr">
        <is>
          <t>66336981</t>
        </is>
      </c>
      <c r="D2826" t="inlineStr">
        <is>
          <t>10175723</t>
        </is>
      </c>
      <c r="E2826" t="inlineStr"/>
      <c r="F2826" s="11" t="n">
        <v>141</v>
      </c>
      <c r="G2826" t="inlineStr"/>
      <c r="I2826" t="inlineStr">
        <is>
          <t>M3</t>
        </is>
      </c>
      <c r="J2826" t="inlineStr"/>
      <c r="K2826" t="inlineStr">
        <is>
          <t>20240813</t>
        </is>
      </c>
      <c r="L2826" t="inlineStr">
        <is>
          <t>20241108</t>
        </is>
      </c>
    </row>
    <row r="2827">
      <c r="A2827" t="inlineStr">
        <is>
          <t>900001074</t>
        </is>
      </c>
      <c r="B2827" t="inlineStr">
        <is>
          <t>D836</t>
        </is>
      </c>
      <c r="C2827" t="inlineStr">
        <is>
          <t>66426100</t>
        </is>
      </c>
      <c r="D2827" t="inlineStr">
        <is>
          <t>10000357</t>
        </is>
      </c>
      <c r="E2827" t="inlineStr"/>
      <c r="F2827" s="11" t="n">
        <v>130</v>
      </c>
      <c r="G2827" t="inlineStr"/>
      <c r="I2827" t="inlineStr">
        <is>
          <t>M3</t>
        </is>
      </c>
      <c r="J2827" t="inlineStr"/>
      <c r="K2827" t="inlineStr">
        <is>
          <t>20240813</t>
        </is>
      </c>
      <c r="L2827" t="inlineStr">
        <is>
          <t>20241108</t>
        </is>
      </c>
    </row>
    <row r="2828">
      <c r="A2828" t="inlineStr">
        <is>
          <t>900001074</t>
        </is>
      </c>
      <c r="B2828" t="inlineStr">
        <is>
          <t>D836</t>
        </is>
      </c>
      <c r="C2828" t="inlineStr">
        <is>
          <t>66433509</t>
        </is>
      </c>
      <c r="D2828" t="inlineStr">
        <is>
          <t>10000160</t>
        </is>
      </c>
      <c r="E2828" t="inlineStr"/>
      <c r="F2828" s="11" t="n">
        <v>91.3</v>
      </c>
      <c r="G2828" t="inlineStr"/>
      <c r="I2828" t="inlineStr">
        <is>
          <t>M3</t>
        </is>
      </c>
      <c r="J2828" t="inlineStr"/>
      <c r="K2828" t="inlineStr">
        <is>
          <t>20250505</t>
        </is>
      </c>
      <c r="L2828" t="inlineStr">
        <is>
          <t>20250507</t>
        </is>
      </c>
    </row>
    <row r="2829">
      <c r="A2829" t="inlineStr">
        <is>
          <t>900001074</t>
        </is>
      </c>
      <c r="B2829" t="inlineStr">
        <is>
          <t>D836</t>
        </is>
      </c>
      <c r="C2829" t="inlineStr">
        <is>
          <t>66433509</t>
        </is>
      </c>
      <c r="D2829" t="inlineStr">
        <is>
          <t>10000357</t>
        </is>
      </c>
      <c r="E2829" t="inlineStr"/>
      <c r="F2829" s="11" t="n">
        <v>130</v>
      </c>
      <c r="G2829" t="inlineStr"/>
      <c r="I2829" t="inlineStr">
        <is>
          <t>M3</t>
        </is>
      </c>
      <c r="J2829" t="inlineStr"/>
      <c r="K2829" t="inlineStr">
        <is>
          <t>20240813</t>
        </is>
      </c>
      <c r="L2829" t="inlineStr">
        <is>
          <t>20241108</t>
        </is>
      </c>
    </row>
    <row r="2830">
      <c r="A2830" t="inlineStr">
        <is>
          <t>900001074</t>
        </is>
      </c>
      <c r="B2830" t="inlineStr">
        <is>
          <t>D836</t>
        </is>
      </c>
      <c r="C2830" t="inlineStr">
        <is>
          <t>66490694</t>
        </is>
      </c>
      <c r="D2830" t="inlineStr">
        <is>
          <t>10000357</t>
        </is>
      </c>
      <c r="E2830" t="inlineStr"/>
      <c r="F2830" s="11" t="n">
        <v>138</v>
      </c>
      <c r="G2830" t="inlineStr"/>
      <c r="I2830" t="inlineStr">
        <is>
          <t>M3</t>
        </is>
      </c>
      <c r="J2830" t="inlineStr"/>
      <c r="K2830" t="inlineStr">
        <is>
          <t>20250505</t>
        </is>
      </c>
      <c r="L2830" t="inlineStr">
        <is>
          <t>20250507</t>
        </is>
      </c>
    </row>
    <row r="2831">
      <c r="A2831" t="inlineStr">
        <is>
          <t>900001074</t>
        </is>
      </c>
      <c r="B2831" t="inlineStr">
        <is>
          <t>D836</t>
        </is>
      </c>
      <c r="C2831" t="inlineStr">
        <is>
          <t>66859565</t>
        </is>
      </c>
      <c r="D2831" t="inlineStr">
        <is>
          <t>10175723</t>
        </is>
      </c>
      <c r="E2831" t="inlineStr"/>
      <c r="F2831" s="11" t="n">
        <v>141</v>
      </c>
      <c r="G2831" t="inlineStr"/>
      <c r="I2831" t="inlineStr">
        <is>
          <t>M3</t>
        </is>
      </c>
      <c r="J2831" t="inlineStr"/>
      <c r="K2831" t="inlineStr">
        <is>
          <t>20240813</t>
        </is>
      </c>
      <c r="L2831" t="inlineStr">
        <is>
          <t>20241108</t>
        </is>
      </c>
    </row>
    <row r="2832">
      <c r="A2832" t="inlineStr">
        <is>
          <t>900001074</t>
        </is>
      </c>
      <c r="B2832" t="inlineStr">
        <is>
          <t>D836</t>
        </is>
      </c>
      <c r="C2832" t="inlineStr">
        <is>
          <t>66868491</t>
        </is>
      </c>
      <c r="D2832" t="inlineStr">
        <is>
          <t>10000160</t>
        </is>
      </c>
      <c r="E2832" t="inlineStr"/>
      <c r="F2832" s="11" t="n">
        <v>110</v>
      </c>
      <c r="G2832" t="inlineStr"/>
      <c r="I2832" t="inlineStr">
        <is>
          <t>M3</t>
        </is>
      </c>
      <c r="J2832" t="inlineStr"/>
      <c r="K2832" t="inlineStr">
        <is>
          <t>20240813</t>
        </is>
      </c>
      <c r="L2832" t="inlineStr">
        <is>
          <t>20241108</t>
        </is>
      </c>
    </row>
    <row r="2833">
      <c r="A2833" t="inlineStr">
        <is>
          <t>900001074</t>
        </is>
      </c>
      <c r="B2833" t="inlineStr">
        <is>
          <t>D836</t>
        </is>
      </c>
      <c r="C2833" t="inlineStr">
        <is>
          <t>66868491</t>
        </is>
      </c>
      <c r="D2833" t="inlineStr">
        <is>
          <t>10000357</t>
        </is>
      </c>
      <c r="E2833" t="inlineStr"/>
      <c r="F2833" s="11" t="n">
        <v>130</v>
      </c>
      <c r="G2833" t="inlineStr"/>
      <c r="I2833" t="inlineStr">
        <is>
          <t>M3</t>
        </is>
      </c>
      <c r="J2833" t="inlineStr"/>
      <c r="K2833" t="inlineStr">
        <is>
          <t>20240813</t>
        </is>
      </c>
      <c r="L2833" t="inlineStr">
        <is>
          <t>20241108</t>
        </is>
      </c>
    </row>
    <row r="2834">
      <c r="A2834" t="inlineStr">
        <is>
          <t>900001074</t>
        </is>
      </c>
      <c r="B2834" t="inlineStr">
        <is>
          <t>D836</t>
        </is>
      </c>
      <c r="C2834" t="inlineStr">
        <is>
          <t>66868491</t>
        </is>
      </c>
      <c r="D2834" t="inlineStr">
        <is>
          <t>10000627</t>
        </is>
      </c>
      <c r="E2834" t="inlineStr"/>
      <c r="F2834" s="11" t="n">
        <v>100</v>
      </c>
      <c r="G2834" t="inlineStr"/>
      <c r="I2834" t="inlineStr">
        <is>
          <t>M3</t>
        </is>
      </c>
      <c r="J2834" t="inlineStr"/>
      <c r="K2834" t="inlineStr">
        <is>
          <t>20240813</t>
        </is>
      </c>
      <c r="L2834" t="inlineStr">
        <is>
          <t>20241108</t>
        </is>
      </c>
    </row>
    <row r="2835">
      <c r="A2835" t="inlineStr">
        <is>
          <t>900001074</t>
        </is>
      </c>
      <c r="B2835" t="inlineStr">
        <is>
          <t>D836</t>
        </is>
      </c>
      <c r="C2835" t="inlineStr">
        <is>
          <t>66900173</t>
        </is>
      </c>
      <c r="D2835" t="inlineStr">
        <is>
          <t>10000160</t>
        </is>
      </c>
      <c r="E2835" t="inlineStr"/>
      <c r="F2835" s="11" t="n">
        <v>112.94</v>
      </c>
      <c r="G2835" t="inlineStr"/>
      <c r="I2835" t="inlineStr">
        <is>
          <t>M3</t>
        </is>
      </c>
      <c r="J2835" t="inlineStr"/>
      <c r="K2835" t="inlineStr">
        <is>
          <t>20250505</t>
        </is>
      </c>
      <c r="L2835" t="inlineStr">
        <is>
          <t>20250507</t>
        </is>
      </c>
    </row>
    <row r="2836">
      <c r="A2836" t="inlineStr">
        <is>
          <t>900001074</t>
        </is>
      </c>
      <c r="B2836" t="inlineStr">
        <is>
          <t>D836</t>
        </is>
      </c>
      <c r="C2836" t="inlineStr">
        <is>
          <t>66900173</t>
        </is>
      </c>
      <c r="D2836" t="inlineStr">
        <is>
          <t>10000627</t>
        </is>
      </c>
      <c r="E2836" t="inlineStr"/>
      <c r="F2836" s="11" t="n">
        <v>110.35</v>
      </c>
      <c r="G2836" t="inlineStr"/>
      <c r="I2836" t="inlineStr">
        <is>
          <t>M3</t>
        </is>
      </c>
      <c r="J2836" t="inlineStr"/>
      <c r="K2836" t="inlineStr">
        <is>
          <t>20250505</t>
        </is>
      </c>
      <c r="L2836" t="inlineStr">
        <is>
          <t>20250507</t>
        </is>
      </c>
    </row>
    <row r="2837">
      <c r="A2837" t="inlineStr">
        <is>
          <t>900001074</t>
        </is>
      </c>
      <c r="B2837" t="inlineStr">
        <is>
          <t>D836</t>
        </is>
      </c>
      <c r="C2837" t="inlineStr">
        <is>
          <t>66908488</t>
        </is>
      </c>
      <c r="D2837" t="inlineStr">
        <is>
          <t>10000357</t>
        </is>
      </c>
      <c r="E2837" t="inlineStr"/>
      <c r="F2837" s="11" t="n">
        <v>123</v>
      </c>
      <c r="G2837" t="inlineStr"/>
      <c r="I2837" t="inlineStr">
        <is>
          <t>M3</t>
        </is>
      </c>
      <c r="J2837" t="inlineStr"/>
      <c r="K2837" t="inlineStr">
        <is>
          <t>20250505</t>
        </is>
      </c>
      <c r="L2837" t="inlineStr">
        <is>
          <t>20250507</t>
        </is>
      </c>
    </row>
    <row r="2838">
      <c r="A2838" t="inlineStr">
        <is>
          <t>900001074</t>
        </is>
      </c>
      <c r="B2838" t="inlineStr">
        <is>
          <t>D836</t>
        </is>
      </c>
      <c r="C2838" t="inlineStr">
        <is>
          <t>66908488</t>
        </is>
      </c>
      <c r="D2838" t="inlineStr">
        <is>
          <t>10175723</t>
        </is>
      </c>
      <c r="E2838" t="inlineStr"/>
      <c r="F2838" s="11" t="n">
        <v>141</v>
      </c>
      <c r="G2838" t="inlineStr"/>
      <c r="I2838" t="inlineStr">
        <is>
          <t>M3</t>
        </is>
      </c>
      <c r="J2838" t="inlineStr"/>
      <c r="K2838" t="inlineStr">
        <is>
          <t>20240813</t>
        </is>
      </c>
      <c r="L2838" t="inlineStr">
        <is>
          <t>20241108</t>
        </is>
      </c>
    </row>
    <row r="2839">
      <c r="A2839" t="inlineStr">
        <is>
          <t>900001074</t>
        </is>
      </c>
      <c r="B2839" t="inlineStr">
        <is>
          <t>D836</t>
        </is>
      </c>
      <c r="C2839" t="inlineStr">
        <is>
          <t>67003746</t>
        </is>
      </c>
      <c r="D2839" t="inlineStr">
        <is>
          <t>10000160</t>
        </is>
      </c>
      <c r="E2839" t="inlineStr"/>
      <c r="F2839" s="11" t="n">
        <v>120</v>
      </c>
      <c r="G2839" t="inlineStr"/>
      <c r="I2839" t="inlineStr">
        <is>
          <t>M3</t>
        </is>
      </c>
      <c r="J2839" t="inlineStr"/>
      <c r="K2839" t="inlineStr">
        <is>
          <t>20250505</t>
        </is>
      </c>
      <c r="L2839" t="inlineStr">
        <is>
          <t>20250507</t>
        </is>
      </c>
    </row>
    <row r="2840">
      <c r="A2840" t="inlineStr">
        <is>
          <t>900001074</t>
        </is>
      </c>
      <c r="B2840" t="inlineStr">
        <is>
          <t>D836</t>
        </is>
      </c>
      <c r="C2840" t="inlineStr">
        <is>
          <t>67019979</t>
        </is>
      </c>
      <c r="D2840" t="inlineStr">
        <is>
          <t>10000357</t>
        </is>
      </c>
      <c r="E2840" t="inlineStr"/>
      <c r="F2840" s="11" t="n">
        <v>138</v>
      </c>
      <c r="G2840" t="inlineStr"/>
      <c r="I2840" t="inlineStr">
        <is>
          <t>M3</t>
        </is>
      </c>
      <c r="J2840" t="inlineStr"/>
      <c r="K2840" t="inlineStr">
        <is>
          <t>20250505</t>
        </is>
      </c>
      <c r="L2840" t="inlineStr">
        <is>
          <t>20250507</t>
        </is>
      </c>
    </row>
    <row r="2841">
      <c r="A2841" t="inlineStr">
        <is>
          <t>900001074</t>
        </is>
      </c>
      <c r="B2841" t="inlineStr">
        <is>
          <t>D836</t>
        </is>
      </c>
      <c r="C2841" t="inlineStr">
        <is>
          <t>67275052</t>
        </is>
      </c>
      <c r="D2841" t="inlineStr">
        <is>
          <t>10000160</t>
        </is>
      </c>
      <c r="E2841" t="inlineStr"/>
      <c r="F2841" s="11" t="n">
        <v>116</v>
      </c>
      <c r="G2841" t="inlineStr"/>
      <c r="I2841" t="inlineStr">
        <is>
          <t>M3</t>
        </is>
      </c>
      <c r="J2841" t="inlineStr"/>
      <c r="K2841" t="inlineStr">
        <is>
          <t>20240425</t>
        </is>
      </c>
      <c r="L2841" t="inlineStr">
        <is>
          <t>20240814</t>
        </is>
      </c>
    </row>
    <row r="2842">
      <c r="A2842" t="inlineStr">
        <is>
          <t>900001074</t>
        </is>
      </c>
      <c r="B2842" t="inlineStr">
        <is>
          <t>D836</t>
        </is>
      </c>
      <c r="C2842" t="inlineStr">
        <is>
          <t>67275052</t>
        </is>
      </c>
      <c r="D2842" t="inlineStr">
        <is>
          <t>10000357</t>
        </is>
      </c>
      <c r="E2842" t="inlineStr"/>
      <c r="F2842" s="11" t="n">
        <v>135</v>
      </c>
      <c r="G2842" t="inlineStr"/>
      <c r="I2842" t="inlineStr">
        <is>
          <t>M3</t>
        </is>
      </c>
      <c r="J2842" t="inlineStr"/>
      <c r="K2842" t="inlineStr">
        <is>
          <t>20240425</t>
        </is>
      </c>
      <c r="L2842" t="inlineStr">
        <is>
          <t>20240814</t>
        </is>
      </c>
    </row>
    <row r="2843">
      <c r="A2843" t="inlineStr">
        <is>
          <t>900001074</t>
        </is>
      </c>
      <c r="B2843" t="inlineStr">
        <is>
          <t>D836</t>
        </is>
      </c>
      <c r="C2843" t="inlineStr">
        <is>
          <t>67283191</t>
        </is>
      </c>
      <c r="D2843" t="inlineStr">
        <is>
          <t>10175723</t>
        </is>
      </c>
      <c r="E2843" t="inlineStr"/>
      <c r="F2843" s="11" t="n">
        <v>141</v>
      </c>
      <c r="G2843" t="inlineStr"/>
      <c r="I2843" t="inlineStr">
        <is>
          <t>M3</t>
        </is>
      </c>
      <c r="J2843" t="inlineStr"/>
      <c r="K2843" t="inlineStr">
        <is>
          <t>20240813</t>
        </is>
      </c>
      <c r="L2843" t="inlineStr">
        <is>
          <t>20241108</t>
        </is>
      </c>
    </row>
    <row r="2844">
      <c r="A2844" t="inlineStr">
        <is>
          <t>900002267</t>
        </is>
      </c>
      <c r="B2844" t="inlineStr">
        <is>
          <t>D836</t>
        </is>
      </c>
      <c r="C2844" t="inlineStr">
        <is>
          <t>67283035</t>
        </is>
      </c>
      <c r="D2844" t="inlineStr">
        <is>
          <t>10140399</t>
        </is>
      </c>
      <c r="E2844" t="inlineStr"/>
      <c r="F2844" s="11" t="n">
        <v>375</v>
      </c>
      <c r="G2844" t="inlineStr"/>
      <c r="I2844" t="inlineStr">
        <is>
          <t>M3</t>
        </is>
      </c>
      <c r="J2844" t="inlineStr"/>
      <c r="K2844" t="inlineStr">
        <is>
          <t>20240813</t>
        </is>
      </c>
      <c r="L2844" t="inlineStr">
        <is>
          <t>20241108</t>
        </is>
      </c>
    </row>
    <row r="2845">
      <c r="A2845" t="inlineStr">
        <is>
          <t>900002574</t>
        </is>
      </c>
      <c r="B2845" t="inlineStr">
        <is>
          <t>D836</t>
        </is>
      </c>
      <c r="C2845" t="inlineStr">
        <is>
          <t>66581348</t>
        </is>
      </c>
      <c r="D2845" t="inlineStr">
        <is>
          <t>10000160</t>
        </is>
      </c>
      <c r="E2845" t="inlineStr"/>
      <c r="F2845" s="11" t="n">
        <v>230</v>
      </c>
      <c r="G2845" t="inlineStr"/>
      <c r="I2845" t="inlineStr">
        <is>
          <t>M3</t>
        </is>
      </c>
      <c r="J2845" t="inlineStr"/>
      <c r="K2845" t="inlineStr">
        <is>
          <t>20240425</t>
        </is>
      </c>
      <c r="L2845" t="inlineStr">
        <is>
          <t>20240814</t>
        </is>
      </c>
    </row>
    <row r="2846">
      <c r="A2846" t="inlineStr">
        <is>
          <t>900002574</t>
        </is>
      </c>
      <c r="B2846" t="inlineStr">
        <is>
          <t>D836</t>
        </is>
      </c>
      <c r="C2846" t="inlineStr">
        <is>
          <t>66878462</t>
        </is>
      </c>
      <c r="D2846" t="inlineStr">
        <is>
          <t>10185476</t>
        </is>
      </c>
      <c r="E2846" t="inlineStr"/>
      <c r="F2846" s="11" t="n">
        <v>235</v>
      </c>
      <c r="G2846" t="inlineStr"/>
      <c r="I2846" t="inlineStr">
        <is>
          <t>M3</t>
        </is>
      </c>
      <c r="J2846" t="inlineStr"/>
      <c r="K2846" t="inlineStr">
        <is>
          <t>20240813</t>
        </is>
      </c>
      <c r="L2846" t="inlineStr">
        <is>
          <t>20241108</t>
        </is>
      </c>
    </row>
    <row r="2847">
      <c r="A2847" t="inlineStr">
        <is>
          <t>900002574</t>
        </is>
      </c>
      <c r="B2847" t="inlineStr">
        <is>
          <t>D836</t>
        </is>
      </c>
      <c r="C2847" t="inlineStr">
        <is>
          <t>66878462</t>
        </is>
      </c>
      <c r="D2847" t="inlineStr">
        <is>
          <t>10185477</t>
        </is>
      </c>
      <c r="E2847" t="inlineStr"/>
      <c r="F2847" s="11" t="n">
        <v>245</v>
      </c>
      <c r="G2847" t="inlineStr"/>
      <c r="I2847" t="inlineStr">
        <is>
          <t>M3</t>
        </is>
      </c>
      <c r="J2847" t="inlineStr"/>
      <c r="K2847" t="inlineStr">
        <is>
          <t>20240813</t>
        </is>
      </c>
      <c r="L2847" t="inlineStr">
        <is>
          <t>20241108</t>
        </is>
      </c>
    </row>
    <row r="2848">
      <c r="A2848" t="inlineStr">
        <is>
          <t>900002574</t>
        </is>
      </c>
      <c r="B2848" t="inlineStr">
        <is>
          <t>D836</t>
        </is>
      </c>
      <c r="C2848" t="inlineStr">
        <is>
          <t>66878462</t>
        </is>
      </c>
      <c r="D2848" t="inlineStr">
        <is>
          <t>10227598</t>
        </is>
      </c>
      <c r="E2848" t="inlineStr"/>
      <c r="F2848" s="11" t="n">
        <v>175</v>
      </c>
      <c r="G2848" t="inlineStr"/>
      <c r="I2848" t="inlineStr">
        <is>
          <t>M3</t>
        </is>
      </c>
      <c r="J2848" t="inlineStr"/>
      <c r="K2848" t="inlineStr">
        <is>
          <t>20240813</t>
        </is>
      </c>
      <c r="L2848" t="inlineStr">
        <is>
          <t>20241108</t>
        </is>
      </c>
    </row>
    <row r="2849">
      <c r="A2849" t="inlineStr">
        <is>
          <t>900002574</t>
        </is>
      </c>
      <c r="B2849" t="inlineStr">
        <is>
          <t>D836</t>
        </is>
      </c>
      <c r="C2849" t="inlineStr">
        <is>
          <t>67126698</t>
        </is>
      </c>
      <c r="D2849" t="inlineStr">
        <is>
          <t>10029712</t>
        </is>
      </c>
      <c r="E2849" t="inlineStr"/>
      <c r="F2849" s="11" t="n">
        <v>300</v>
      </c>
      <c r="G2849" t="inlineStr"/>
      <c r="I2849" t="inlineStr">
        <is>
          <t>M3</t>
        </is>
      </c>
      <c r="J2849" t="inlineStr"/>
      <c r="K2849" t="inlineStr">
        <is>
          <t>20250505</t>
        </is>
      </c>
      <c r="L2849" t="inlineStr">
        <is>
          <t>20250507</t>
        </is>
      </c>
    </row>
    <row r="2850">
      <c r="A2850" t="inlineStr">
        <is>
          <t>900002574</t>
        </is>
      </c>
      <c r="B2850" t="inlineStr">
        <is>
          <t>D836</t>
        </is>
      </c>
      <c r="C2850" t="inlineStr">
        <is>
          <t>67208638</t>
        </is>
      </c>
      <c r="D2850" t="inlineStr">
        <is>
          <t>10000623</t>
        </is>
      </c>
      <c r="E2850" t="inlineStr"/>
      <c r="F2850" s="11" t="n">
        <v>706.6900000000001</v>
      </c>
      <c r="G2850" t="inlineStr"/>
      <c r="I2850" t="inlineStr">
        <is>
          <t>M3</t>
        </is>
      </c>
      <c r="J2850" t="inlineStr"/>
      <c r="K2850" t="inlineStr">
        <is>
          <t>20240425</t>
        </is>
      </c>
      <c r="L2850" t="inlineStr">
        <is>
          <t>20240814</t>
        </is>
      </c>
    </row>
    <row r="2851">
      <c r="A2851" t="inlineStr">
        <is>
          <t>900002574</t>
        </is>
      </c>
      <c r="B2851" t="inlineStr">
        <is>
          <t>D836</t>
        </is>
      </c>
      <c r="C2851" t="inlineStr">
        <is>
          <t>67249416</t>
        </is>
      </c>
      <c r="D2851" t="inlineStr">
        <is>
          <t>10000133</t>
        </is>
      </c>
      <c r="E2851" t="inlineStr"/>
      <c r="F2851" s="11" t="n">
        <v>155</v>
      </c>
      <c r="G2851" t="inlineStr"/>
      <c r="I2851" t="inlineStr">
        <is>
          <t>TN</t>
        </is>
      </c>
      <c r="J2851" t="inlineStr"/>
      <c r="K2851" t="inlineStr">
        <is>
          <t>20240425</t>
        </is>
      </c>
      <c r="L2851" t="inlineStr">
        <is>
          <t>20240814</t>
        </is>
      </c>
    </row>
    <row r="2852">
      <c r="A2852" t="inlineStr">
        <is>
          <t>900002574</t>
        </is>
      </c>
      <c r="B2852" t="inlineStr">
        <is>
          <t>D836</t>
        </is>
      </c>
      <c r="C2852" t="inlineStr">
        <is>
          <t>67249416</t>
        </is>
      </c>
      <c r="D2852" t="inlineStr">
        <is>
          <t>10000623</t>
        </is>
      </c>
      <c r="E2852" t="inlineStr"/>
      <c r="F2852" s="11" t="n">
        <v>165</v>
      </c>
      <c r="G2852" t="inlineStr"/>
      <c r="I2852" t="inlineStr">
        <is>
          <t>TN</t>
        </is>
      </c>
      <c r="J2852" t="inlineStr"/>
      <c r="K2852" t="inlineStr">
        <is>
          <t>20240425</t>
        </is>
      </c>
      <c r="L2852" t="inlineStr">
        <is>
          <t>20240814</t>
        </is>
      </c>
    </row>
    <row r="2853">
      <c r="A2853" t="inlineStr">
        <is>
          <t>900002574</t>
        </is>
      </c>
      <c r="B2853" t="inlineStr">
        <is>
          <t>D836</t>
        </is>
      </c>
      <c r="C2853" t="inlineStr">
        <is>
          <t>67249416</t>
        </is>
      </c>
      <c r="D2853" t="inlineStr">
        <is>
          <t>10000624</t>
        </is>
      </c>
      <c r="E2853" t="inlineStr"/>
      <c r="F2853" s="11" t="n">
        <v>168</v>
      </c>
      <c r="G2853" t="inlineStr"/>
      <c r="I2853" t="inlineStr">
        <is>
          <t>TN</t>
        </is>
      </c>
      <c r="J2853" t="inlineStr"/>
      <c r="K2853" t="inlineStr">
        <is>
          <t>20240425</t>
        </is>
      </c>
      <c r="L2853" t="inlineStr">
        <is>
          <t>20240814</t>
        </is>
      </c>
    </row>
    <row r="2854">
      <c r="A2854" t="inlineStr">
        <is>
          <t>900002574</t>
        </is>
      </c>
      <c r="B2854" t="inlineStr">
        <is>
          <t>D836</t>
        </is>
      </c>
      <c r="C2854" t="inlineStr">
        <is>
          <t>67249416</t>
        </is>
      </c>
      <c r="D2854" t="inlineStr">
        <is>
          <t>10058345</t>
        </is>
      </c>
      <c r="E2854" t="inlineStr"/>
      <c r="F2854" s="11" t="n">
        <v>100</v>
      </c>
      <c r="G2854" t="inlineStr"/>
      <c r="I2854" t="inlineStr">
        <is>
          <t>TN</t>
        </is>
      </c>
      <c r="J2854" t="inlineStr"/>
      <c r="K2854" t="inlineStr">
        <is>
          <t>20240425</t>
        </is>
      </c>
      <c r="L2854" t="inlineStr">
        <is>
          <t>20240814</t>
        </is>
      </c>
    </row>
    <row r="2855">
      <c r="A2855" t="inlineStr">
        <is>
          <t>900003496</t>
        </is>
      </c>
      <c r="B2855" t="inlineStr">
        <is>
          <t>D836</t>
        </is>
      </c>
      <c r="C2855" t="inlineStr">
        <is>
          <t>67221674</t>
        </is>
      </c>
      <c r="D2855" t="inlineStr">
        <is>
          <t>10000635</t>
        </is>
      </c>
      <c r="E2855" t="inlineStr"/>
      <c r="F2855" s="11" t="n">
        <v>600</v>
      </c>
      <c r="G2855" t="inlineStr"/>
      <c r="I2855" t="inlineStr">
        <is>
          <t>TN</t>
        </is>
      </c>
      <c r="J2855" t="inlineStr"/>
      <c r="K2855" t="inlineStr">
        <is>
          <t>20240425</t>
        </is>
      </c>
      <c r="L2855" t="inlineStr">
        <is>
          <t>20240814</t>
        </is>
      </c>
    </row>
    <row r="2856">
      <c r="A2856" t="inlineStr">
        <is>
          <t>900003496</t>
        </is>
      </c>
      <c r="B2856" t="inlineStr">
        <is>
          <t>D836</t>
        </is>
      </c>
      <c r="C2856" t="inlineStr">
        <is>
          <t>67221674</t>
        </is>
      </c>
      <c r="D2856" t="inlineStr">
        <is>
          <t>10000655</t>
        </is>
      </c>
      <c r="E2856" t="inlineStr"/>
      <c r="F2856" s="11" t="n">
        <v>600</v>
      </c>
      <c r="G2856" t="inlineStr"/>
      <c r="I2856" t="inlineStr">
        <is>
          <t>TN</t>
        </is>
      </c>
      <c r="J2856" t="inlineStr"/>
      <c r="K2856" t="inlineStr">
        <is>
          <t>20240425</t>
        </is>
      </c>
      <c r="L2856" t="inlineStr">
        <is>
          <t>20240814</t>
        </is>
      </c>
    </row>
    <row r="2857">
      <c r="A2857" t="inlineStr">
        <is>
          <t>900003588</t>
        </is>
      </c>
      <c r="B2857" t="inlineStr">
        <is>
          <t>D836</t>
        </is>
      </c>
      <c r="C2857" t="inlineStr">
        <is>
          <t>66433509</t>
        </is>
      </c>
      <c r="D2857" t="inlineStr">
        <is>
          <t>10000357</t>
        </is>
      </c>
      <c r="E2857" t="inlineStr"/>
      <c r="F2857" s="11" t="n">
        <v>85.93000000000001</v>
      </c>
      <c r="G2857" t="inlineStr"/>
      <c r="I2857" t="inlineStr">
        <is>
          <t>TN</t>
        </is>
      </c>
      <c r="J2857" t="inlineStr"/>
      <c r="K2857" t="inlineStr">
        <is>
          <t>20250505</t>
        </is>
      </c>
      <c r="L2857" t="inlineStr">
        <is>
          <t>20250507</t>
        </is>
      </c>
    </row>
    <row r="2858">
      <c r="A2858" t="inlineStr">
        <is>
          <t>900003588</t>
        </is>
      </c>
      <c r="B2858" t="inlineStr">
        <is>
          <t>D836</t>
        </is>
      </c>
      <c r="C2858" t="inlineStr">
        <is>
          <t>66433509</t>
        </is>
      </c>
      <c r="D2858" t="inlineStr">
        <is>
          <t>10000625</t>
        </is>
      </c>
      <c r="E2858" t="inlineStr"/>
      <c r="F2858" s="11" t="n">
        <v>55.86</v>
      </c>
      <c r="G2858" t="inlineStr"/>
      <c r="I2858" t="inlineStr">
        <is>
          <t>TN</t>
        </is>
      </c>
      <c r="J2858" t="inlineStr"/>
      <c r="K2858" t="inlineStr">
        <is>
          <t>20250505</t>
        </is>
      </c>
      <c r="L2858" t="inlineStr">
        <is>
          <t>20250507</t>
        </is>
      </c>
    </row>
    <row r="2859">
      <c r="A2859" t="inlineStr">
        <is>
          <t>900003588</t>
        </is>
      </c>
      <c r="B2859" t="inlineStr">
        <is>
          <t>D836</t>
        </is>
      </c>
      <c r="C2859" t="inlineStr">
        <is>
          <t>66433509</t>
        </is>
      </c>
      <c r="D2859" t="inlineStr">
        <is>
          <t>10000627</t>
        </is>
      </c>
      <c r="E2859" t="inlineStr"/>
      <c r="F2859" s="11" t="n">
        <v>60.89</v>
      </c>
      <c r="G2859" t="inlineStr"/>
      <c r="I2859" t="inlineStr">
        <is>
          <t>TN</t>
        </is>
      </c>
      <c r="J2859" t="inlineStr"/>
      <c r="K2859" t="inlineStr">
        <is>
          <t>20250505</t>
        </is>
      </c>
      <c r="L2859" t="inlineStr">
        <is>
          <t>20250507</t>
        </is>
      </c>
    </row>
    <row r="2860">
      <c r="A2860" t="inlineStr">
        <is>
          <t>900003588</t>
        </is>
      </c>
      <c r="B2860" t="inlineStr">
        <is>
          <t>D836</t>
        </is>
      </c>
      <c r="C2860" t="inlineStr">
        <is>
          <t>66433509</t>
        </is>
      </c>
      <c r="D2860" t="inlineStr">
        <is>
          <t>10001354</t>
        </is>
      </c>
      <c r="E2860" t="inlineStr"/>
      <c r="F2860" s="11" t="n">
        <v>129</v>
      </c>
      <c r="G2860" t="inlineStr"/>
      <c r="I2860" t="inlineStr">
        <is>
          <t>TN</t>
        </is>
      </c>
      <c r="J2860" t="inlineStr"/>
      <c r="K2860" t="inlineStr">
        <is>
          <t>20250505</t>
        </is>
      </c>
      <c r="L2860" t="inlineStr">
        <is>
          <t>20250507</t>
        </is>
      </c>
    </row>
    <row r="2861">
      <c r="A2861" t="inlineStr">
        <is>
          <t>900003588</t>
        </is>
      </c>
      <c r="B2861" t="inlineStr">
        <is>
          <t>D836</t>
        </is>
      </c>
      <c r="C2861" t="inlineStr">
        <is>
          <t>66825797</t>
        </is>
      </c>
      <c r="D2861" t="inlineStr">
        <is>
          <t>10000140</t>
        </is>
      </c>
      <c r="E2861" t="inlineStr"/>
      <c r="F2861" s="11" t="n">
        <v>150</v>
      </c>
      <c r="G2861" t="inlineStr"/>
      <c r="I2861" t="inlineStr">
        <is>
          <t>TN</t>
        </is>
      </c>
      <c r="J2861" t="inlineStr"/>
      <c r="K2861" t="inlineStr">
        <is>
          <t>20240813</t>
        </is>
      </c>
      <c r="L2861" t="inlineStr">
        <is>
          <t>20241108</t>
        </is>
      </c>
    </row>
    <row r="2862">
      <c r="A2862" t="inlineStr">
        <is>
          <t>900003588</t>
        </is>
      </c>
      <c r="B2862" t="inlineStr">
        <is>
          <t>D836</t>
        </is>
      </c>
      <c r="C2862" t="inlineStr">
        <is>
          <t>66825797</t>
        </is>
      </c>
      <c r="D2862" t="inlineStr">
        <is>
          <t>10000357</t>
        </is>
      </c>
      <c r="E2862" t="inlineStr"/>
      <c r="F2862" s="11" t="n">
        <v>90</v>
      </c>
      <c r="G2862" t="inlineStr"/>
      <c r="I2862" t="inlineStr">
        <is>
          <t>TN</t>
        </is>
      </c>
      <c r="J2862" t="inlineStr"/>
      <c r="K2862" t="inlineStr">
        <is>
          <t>20250505</t>
        </is>
      </c>
      <c r="L2862" t="inlineStr">
        <is>
          <t>20250507</t>
        </is>
      </c>
    </row>
    <row r="2863">
      <c r="A2863" t="inlineStr">
        <is>
          <t>900003588</t>
        </is>
      </c>
      <c r="B2863" t="inlineStr">
        <is>
          <t>D836</t>
        </is>
      </c>
      <c r="C2863" t="inlineStr">
        <is>
          <t>66825797</t>
        </is>
      </c>
      <c r="D2863" t="inlineStr">
        <is>
          <t>10000625</t>
        </is>
      </c>
      <c r="E2863" t="inlineStr"/>
      <c r="F2863" s="11" t="n">
        <v>55</v>
      </c>
      <c r="G2863" t="inlineStr"/>
      <c r="I2863" t="inlineStr">
        <is>
          <t>TN</t>
        </is>
      </c>
      <c r="J2863" t="inlineStr"/>
      <c r="K2863" t="inlineStr">
        <is>
          <t>20250505</t>
        </is>
      </c>
      <c r="L2863" t="inlineStr">
        <is>
          <t>20250507</t>
        </is>
      </c>
    </row>
    <row r="2864">
      <c r="A2864" t="inlineStr">
        <is>
          <t>900003588</t>
        </is>
      </c>
      <c r="B2864" t="inlineStr">
        <is>
          <t>D836</t>
        </is>
      </c>
      <c r="C2864" t="inlineStr">
        <is>
          <t>66825797</t>
        </is>
      </c>
      <c r="D2864" t="inlineStr">
        <is>
          <t>10000627</t>
        </is>
      </c>
      <c r="E2864" t="inlineStr"/>
      <c r="F2864" s="11" t="n">
        <v>65</v>
      </c>
      <c r="G2864" t="inlineStr"/>
      <c r="I2864" t="inlineStr">
        <is>
          <t>TN</t>
        </is>
      </c>
      <c r="J2864" t="inlineStr"/>
      <c r="K2864" t="inlineStr">
        <is>
          <t>20250505</t>
        </is>
      </c>
      <c r="L2864" t="inlineStr">
        <is>
          <t>20250507</t>
        </is>
      </c>
    </row>
    <row r="2865">
      <c r="A2865" t="inlineStr">
        <is>
          <t>900003588</t>
        </is>
      </c>
      <c r="B2865" t="inlineStr">
        <is>
          <t>D836</t>
        </is>
      </c>
      <c r="C2865" t="inlineStr">
        <is>
          <t>66825797</t>
        </is>
      </c>
      <c r="D2865" t="inlineStr">
        <is>
          <t>10001354</t>
        </is>
      </c>
      <c r="E2865" t="inlineStr"/>
      <c r="F2865" s="11" t="n">
        <v>129</v>
      </c>
      <c r="G2865" t="inlineStr"/>
      <c r="I2865" t="inlineStr">
        <is>
          <t>TN</t>
        </is>
      </c>
      <c r="J2865" t="inlineStr"/>
      <c r="K2865" t="inlineStr">
        <is>
          <t>20250505</t>
        </is>
      </c>
      <c r="L2865" t="inlineStr">
        <is>
          <t>20250507</t>
        </is>
      </c>
    </row>
    <row r="2866">
      <c r="A2866" t="inlineStr">
        <is>
          <t>900003588</t>
        </is>
      </c>
      <c r="B2866" t="inlineStr">
        <is>
          <t>D836</t>
        </is>
      </c>
      <c r="C2866" t="inlineStr">
        <is>
          <t>66825797</t>
        </is>
      </c>
      <c r="D2866" t="inlineStr">
        <is>
          <t>10003132</t>
        </is>
      </c>
      <c r="E2866" t="inlineStr"/>
      <c r="F2866" s="11" t="n">
        <v>145</v>
      </c>
      <c r="G2866" t="inlineStr"/>
      <c r="I2866" t="inlineStr">
        <is>
          <t>TN</t>
        </is>
      </c>
      <c r="J2866" t="inlineStr"/>
      <c r="K2866" t="inlineStr">
        <is>
          <t>20250505</t>
        </is>
      </c>
      <c r="L2866" t="inlineStr">
        <is>
          <t>20250507</t>
        </is>
      </c>
    </row>
    <row r="2867">
      <c r="A2867" t="inlineStr">
        <is>
          <t>900003588</t>
        </is>
      </c>
      <c r="B2867" t="inlineStr">
        <is>
          <t>D836</t>
        </is>
      </c>
      <c r="C2867" t="inlineStr">
        <is>
          <t>67244591</t>
        </is>
      </c>
      <c r="D2867" t="inlineStr">
        <is>
          <t>10000625</t>
        </is>
      </c>
      <c r="E2867" t="inlineStr"/>
      <c r="F2867" s="11" t="n">
        <v>55</v>
      </c>
      <c r="G2867" t="inlineStr"/>
      <c r="I2867" t="inlineStr">
        <is>
          <t>TN</t>
        </is>
      </c>
      <c r="J2867" t="inlineStr"/>
      <c r="K2867" t="inlineStr">
        <is>
          <t>20240813</t>
        </is>
      </c>
      <c r="L2867" t="inlineStr">
        <is>
          <t>20241108</t>
        </is>
      </c>
    </row>
    <row r="2868">
      <c r="A2868" t="inlineStr">
        <is>
          <t>900003588</t>
        </is>
      </c>
      <c r="B2868" t="inlineStr">
        <is>
          <t>D836</t>
        </is>
      </c>
      <c r="C2868" t="inlineStr">
        <is>
          <t>67244591</t>
        </is>
      </c>
      <c r="D2868" t="inlineStr">
        <is>
          <t>10001354</t>
        </is>
      </c>
      <c r="E2868" t="inlineStr"/>
      <c r="F2868" s="11" t="n">
        <v>133</v>
      </c>
      <c r="G2868" t="inlineStr"/>
      <c r="I2868" t="inlineStr">
        <is>
          <t>TN</t>
        </is>
      </c>
      <c r="J2868" t="inlineStr"/>
      <c r="K2868" t="inlineStr">
        <is>
          <t>20240813</t>
        </is>
      </c>
      <c r="L2868" t="inlineStr">
        <is>
          <t>20241108</t>
        </is>
      </c>
    </row>
    <row r="2869">
      <c r="A2869" t="inlineStr">
        <is>
          <t>900003588</t>
        </is>
      </c>
      <c r="B2869" t="inlineStr">
        <is>
          <t>D836</t>
        </is>
      </c>
      <c r="C2869" t="inlineStr">
        <is>
          <t>67247435</t>
        </is>
      </c>
      <c r="D2869" t="inlineStr">
        <is>
          <t>10000625</t>
        </is>
      </c>
      <c r="E2869" t="inlineStr"/>
      <c r="F2869" s="11" t="n">
        <v>55</v>
      </c>
      <c r="G2869" t="inlineStr"/>
      <c r="I2869" t="inlineStr">
        <is>
          <t>TN</t>
        </is>
      </c>
      <c r="J2869" t="inlineStr"/>
      <c r="K2869" t="inlineStr">
        <is>
          <t>20240425</t>
        </is>
      </c>
      <c r="L2869" t="inlineStr">
        <is>
          <t>20240814</t>
        </is>
      </c>
    </row>
    <row r="2870">
      <c r="A2870" t="inlineStr">
        <is>
          <t>900003588</t>
        </is>
      </c>
      <c r="B2870" t="inlineStr">
        <is>
          <t>D836</t>
        </is>
      </c>
      <c r="C2870" t="inlineStr">
        <is>
          <t>67247435</t>
        </is>
      </c>
      <c r="D2870" t="inlineStr">
        <is>
          <t>10000627</t>
        </is>
      </c>
      <c r="E2870" t="inlineStr"/>
      <c r="F2870" s="11" t="n">
        <v>80</v>
      </c>
      <c r="G2870" t="inlineStr"/>
      <c r="I2870" t="inlineStr">
        <is>
          <t>TN</t>
        </is>
      </c>
      <c r="J2870" t="inlineStr"/>
      <c r="K2870" t="inlineStr">
        <is>
          <t>20240425</t>
        </is>
      </c>
      <c r="L2870" t="inlineStr">
        <is>
          <t>20240814</t>
        </is>
      </c>
    </row>
    <row r="2871">
      <c r="A2871" t="inlineStr">
        <is>
          <t>900003588</t>
        </is>
      </c>
      <c r="B2871" t="inlineStr">
        <is>
          <t>D836</t>
        </is>
      </c>
      <c r="C2871" t="inlineStr">
        <is>
          <t>67284713</t>
        </is>
      </c>
      <c r="D2871" t="inlineStr">
        <is>
          <t>10000625</t>
        </is>
      </c>
      <c r="E2871" t="inlineStr"/>
      <c r="F2871" s="11" t="n">
        <v>55</v>
      </c>
      <c r="G2871" t="inlineStr"/>
      <c r="I2871" t="inlineStr">
        <is>
          <t>TN</t>
        </is>
      </c>
      <c r="J2871" t="inlineStr"/>
      <c r="K2871" t="inlineStr">
        <is>
          <t>20240813</t>
        </is>
      </c>
      <c r="L2871" t="inlineStr">
        <is>
          <t>20241108</t>
        </is>
      </c>
    </row>
    <row r="2872">
      <c r="A2872" t="inlineStr">
        <is>
          <t>900003593</t>
        </is>
      </c>
      <c r="B2872" t="inlineStr">
        <is>
          <t>D836</t>
        </is>
      </c>
      <c r="C2872" t="inlineStr">
        <is>
          <t>65232687</t>
        </is>
      </c>
      <c r="D2872" t="inlineStr">
        <is>
          <t>10000160</t>
        </is>
      </c>
      <c r="E2872" t="inlineStr"/>
      <c r="F2872" s="11" t="n">
        <v>120</v>
      </c>
      <c r="G2872" t="inlineStr"/>
      <c r="I2872" t="inlineStr">
        <is>
          <t>TN</t>
        </is>
      </c>
      <c r="J2872" t="inlineStr"/>
      <c r="K2872" t="inlineStr">
        <is>
          <t>20250505</t>
        </is>
      </c>
      <c r="L2872" t="inlineStr">
        <is>
          <t>20250507</t>
        </is>
      </c>
    </row>
    <row r="2873">
      <c r="A2873" t="inlineStr">
        <is>
          <t>900003593</t>
        </is>
      </c>
      <c r="B2873" t="inlineStr">
        <is>
          <t>D836</t>
        </is>
      </c>
      <c r="C2873" t="inlineStr">
        <is>
          <t>67277158</t>
        </is>
      </c>
      <c r="D2873" t="inlineStr">
        <is>
          <t>10000160</t>
        </is>
      </c>
      <c r="E2873" t="inlineStr"/>
      <c r="F2873" s="11" t="n">
        <v>120.68</v>
      </c>
      <c r="G2873" t="inlineStr"/>
      <c r="I2873" t="inlineStr">
        <is>
          <t>M3</t>
        </is>
      </c>
      <c r="J2873" t="inlineStr"/>
      <c r="K2873" t="inlineStr">
        <is>
          <t>20250505</t>
        </is>
      </c>
      <c r="L2873" t="inlineStr">
        <is>
          <t>20250507</t>
        </is>
      </c>
    </row>
    <row r="2874">
      <c r="A2874" t="inlineStr">
        <is>
          <t>900003601</t>
        </is>
      </c>
      <c r="B2874" t="inlineStr">
        <is>
          <t>D836</t>
        </is>
      </c>
      <c r="C2874" t="inlineStr">
        <is>
          <t>66233244</t>
        </is>
      </c>
      <c r="D2874" t="inlineStr">
        <is>
          <t>10000811</t>
        </is>
      </c>
      <c r="E2874" t="inlineStr"/>
      <c r="F2874" s="11" t="n">
        <v>113.34</v>
      </c>
      <c r="G2874" t="inlineStr"/>
      <c r="I2874" t="inlineStr">
        <is>
          <t>TN</t>
        </is>
      </c>
      <c r="J2874" t="inlineStr"/>
      <c r="K2874" t="inlineStr">
        <is>
          <t>20240425</t>
        </is>
      </c>
      <c r="L2874" t="inlineStr">
        <is>
          <t>20240814</t>
        </is>
      </c>
    </row>
    <row r="2875">
      <c r="A2875" t="inlineStr">
        <is>
          <t>900003601</t>
        </is>
      </c>
      <c r="B2875" t="inlineStr">
        <is>
          <t>D836</t>
        </is>
      </c>
      <c r="C2875" t="inlineStr">
        <is>
          <t>66237142</t>
        </is>
      </c>
      <c r="D2875" t="inlineStr">
        <is>
          <t>10000811</t>
        </is>
      </c>
      <c r="E2875" t="inlineStr"/>
      <c r="F2875" s="11" t="n">
        <v>116</v>
      </c>
      <c r="G2875" t="inlineStr"/>
      <c r="I2875" t="inlineStr">
        <is>
          <t>TN</t>
        </is>
      </c>
      <c r="J2875" t="inlineStr"/>
      <c r="K2875" t="inlineStr">
        <is>
          <t>20240425</t>
        </is>
      </c>
      <c r="L2875" t="inlineStr">
        <is>
          <t>20240814</t>
        </is>
      </c>
    </row>
    <row r="2876">
      <c r="A2876" t="inlineStr">
        <is>
          <t>900003601</t>
        </is>
      </c>
      <c r="B2876" t="inlineStr">
        <is>
          <t>D836</t>
        </is>
      </c>
      <c r="C2876" t="inlineStr">
        <is>
          <t>66415270</t>
        </is>
      </c>
      <c r="D2876" t="inlineStr">
        <is>
          <t>10000623</t>
        </is>
      </c>
      <c r="E2876" t="inlineStr"/>
      <c r="F2876" s="11" t="n">
        <v>108.76</v>
      </c>
      <c r="G2876" t="inlineStr"/>
      <c r="I2876" t="inlineStr">
        <is>
          <t>TN</t>
        </is>
      </c>
      <c r="J2876" t="inlineStr"/>
      <c r="K2876" t="inlineStr">
        <is>
          <t>20250528</t>
        </is>
      </c>
      <c r="L2876" t="inlineStr">
        <is>
          <t>20250710</t>
        </is>
      </c>
    </row>
    <row r="2877">
      <c r="A2877" t="inlineStr">
        <is>
          <t>900003601</t>
        </is>
      </c>
      <c r="B2877" t="inlineStr">
        <is>
          <t>D836</t>
        </is>
      </c>
      <c r="C2877" t="inlineStr">
        <is>
          <t>66415270</t>
        </is>
      </c>
      <c r="D2877" t="inlineStr">
        <is>
          <t>10000624</t>
        </is>
      </c>
      <c r="E2877" t="inlineStr"/>
      <c r="F2877" s="11" t="n">
        <v>113</v>
      </c>
      <c r="G2877" t="inlineStr"/>
      <c r="I2877" t="inlineStr">
        <is>
          <t>TN</t>
        </is>
      </c>
      <c r="J2877" t="inlineStr"/>
      <c r="K2877" t="inlineStr">
        <is>
          <t>20250505</t>
        </is>
      </c>
      <c r="L2877" t="inlineStr">
        <is>
          <t>20250507</t>
        </is>
      </c>
    </row>
    <row r="2878">
      <c r="A2878" t="inlineStr">
        <is>
          <t>900003601</t>
        </is>
      </c>
      <c r="B2878" t="inlineStr">
        <is>
          <t>D836</t>
        </is>
      </c>
      <c r="C2878" t="inlineStr">
        <is>
          <t>66415270</t>
        </is>
      </c>
      <c r="D2878" t="inlineStr">
        <is>
          <t>10000722</t>
        </is>
      </c>
      <c r="E2878" t="inlineStr"/>
      <c r="F2878" s="11" t="n">
        <v>115</v>
      </c>
      <c r="G2878" t="inlineStr"/>
      <c r="I2878" t="inlineStr">
        <is>
          <t>TN</t>
        </is>
      </c>
      <c r="J2878" t="inlineStr"/>
      <c r="K2878" t="inlineStr">
        <is>
          <t>20250505</t>
        </is>
      </c>
      <c r="L2878" t="inlineStr">
        <is>
          <t>20250507</t>
        </is>
      </c>
    </row>
    <row r="2879">
      <c r="A2879" t="inlineStr">
        <is>
          <t>900003601</t>
        </is>
      </c>
      <c r="B2879" t="inlineStr">
        <is>
          <t>D836</t>
        </is>
      </c>
      <c r="C2879" t="inlineStr">
        <is>
          <t>66415270</t>
        </is>
      </c>
      <c r="D2879" t="inlineStr">
        <is>
          <t>10000811</t>
        </is>
      </c>
      <c r="E2879" t="inlineStr"/>
      <c r="F2879" s="11" t="n">
        <v>115</v>
      </c>
      <c r="G2879" t="inlineStr"/>
      <c r="I2879" t="inlineStr">
        <is>
          <t>TN</t>
        </is>
      </c>
      <c r="J2879" t="inlineStr"/>
      <c r="K2879" t="inlineStr">
        <is>
          <t>20250505</t>
        </is>
      </c>
      <c r="L2879" t="inlineStr">
        <is>
          <t>20250507</t>
        </is>
      </c>
    </row>
    <row r="2880">
      <c r="A2880" t="inlineStr">
        <is>
          <t>900003601</t>
        </is>
      </c>
      <c r="B2880" t="inlineStr">
        <is>
          <t>D836</t>
        </is>
      </c>
      <c r="C2880" t="inlineStr">
        <is>
          <t>67166394</t>
        </is>
      </c>
      <c r="D2880" t="inlineStr">
        <is>
          <t>10000623</t>
        </is>
      </c>
      <c r="E2880" t="inlineStr"/>
      <c r="F2880" s="11" t="n">
        <v>120</v>
      </c>
      <c r="G2880" t="inlineStr"/>
      <c r="I2880" t="inlineStr">
        <is>
          <t>TN</t>
        </is>
      </c>
      <c r="J2880" t="inlineStr"/>
      <c r="K2880" t="inlineStr">
        <is>
          <t>20250505</t>
        </is>
      </c>
      <c r="L2880" t="inlineStr">
        <is>
          <t>20250507</t>
        </is>
      </c>
    </row>
    <row r="2881">
      <c r="A2881" t="inlineStr">
        <is>
          <t>900003601</t>
        </is>
      </c>
      <c r="B2881" t="inlineStr">
        <is>
          <t>D836</t>
        </is>
      </c>
      <c r="C2881" t="inlineStr">
        <is>
          <t>67166394</t>
        </is>
      </c>
      <c r="D2881" t="inlineStr">
        <is>
          <t>10000624</t>
        </is>
      </c>
      <c r="E2881" t="inlineStr"/>
      <c r="F2881" s="11" t="n">
        <v>109</v>
      </c>
      <c r="G2881" t="inlineStr"/>
      <c r="I2881" t="inlineStr">
        <is>
          <t>TN</t>
        </is>
      </c>
      <c r="J2881" t="inlineStr"/>
      <c r="K2881" t="inlineStr">
        <is>
          <t>20250505</t>
        </is>
      </c>
      <c r="L2881" t="inlineStr">
        <is>
          <t>20250507</t>
        </is>
      </c>
    </row>
    <row r="2882">
      <c r="A2882" t="inlineStr">
        <is>
          <t>900003601</t>
        </is>
      </c>
      <c r="B2882" t="inlineStr">
        <is>
          <t>D836</t>
        </is>
      </c>
      <c r="C2882" t="inlineStr">
        <is>
          <t>67247435</t>
        </is>
      </c>
      <c r="D2882" t="inlineStr">
        <is>
          <t>10000623</t>
        </is>
      </c>
      <c r="E2882" t="inlineStr"/>
      <c r="F2882" s="11" t="n">
        <v>87</v>
      </c>
      <c r="G2882" t="inlineStr"/>
      <c r="I2882" t="inlineStr">
        <is>
          <t>TN</t>
        </is>
      </c>
      <c r="J2882" t="inlineStr"/>
      <c r="K2882" t="inlineStr">
        <is>
          <t>20240425</t>
        </is>
      </c>
      <c r="L2882" t="inlineStr">
        <is>
          <t>20240814</t>
        </is>
      </c>
    </row>
    <row r="2883">
      <c r="A2883" t="inlineStr">
        <is>
          <t>900003601</t>
        </is>
      </c>
      <c r="B2883" t="inlineStr">
        <is>
          <t>D836</t>
        </is>
      </c>
      <c r="C2883" t="inlineStr">
        <is>
          <t>67247435</t>
        </is>
      </c>
      <c r="D2883" t="inlineStr">
        <is>
          <t>10000811</t>
        </is>
      </c>
      <c r="E2883" t="inlineStr"/>
      <c r="F2883" s="11" t="n">
        <v>114</v>
      </c>
      <c r="G2883" t="inlineStr"/>
      <c r="I2883" t="inlineStr">
        <is>
          <t>TN</t>
        </is>
      </c>
      <c r="J2883" t="inlineStr"/>
      <c r="K2883" t="inlineStr">
        <is>
          <t>20240425</t>
        </is>
      </c>
      <c r="L2883" t="inlineStr">
        <is>
          <t>20240814</t>
        </is>
      </c>
    </row>
    <row r="2884">
      <c r="A2884" t="inlineStr">
        <is>
          <t>900003609</t>
        </is>
      </c>
      <c r="B2884" t="inlineStr">
        <is>
          <t>D836</t>
        </is>
      </c>
      <c r="C2884" t="inlineStr">
        <is>
          <t>66233244</t>
        </is>
      </c>
      <c r="D2884" t="inlineStr">
        <is>
          <t>10207890</t>
        </is>
      </c>
      <c r="E2884" t="inlineStr"/>
      <c r="F2884" s="11" t="n">
        <v>150</v>
      </c>
      <c r="G2884" t="inlineStr"/>
      <c r="I2884" t="inlineStr">
        <is>
          <t>TN</t>
        </is>
      </c>
      <c r="J2884" t="inlineStr"/>
      <c r="K2884" t="inlineStr">
        <is>
          <t>20250505</t>
        </is>
      </c>
      <c r="L2884" t="inlineStr">
        <is>
          <t>20250507</t>
        </is>
      </c>
    </row>
    <row r="2885">
      <c r="A2885" t="inlineStr">
        <is>
          <t>900003609</t>
        </is>
      </c>
      <c r="B2885" t="inlineStr">
        <is>
          <t>D836</t>
        </is>
      </c>
      <c r="C2885" t="inlineStr">
        <is>
          <t>66237142</t>
        </is>
      </c>
      <c r="D2885" t="inlineStr">
        <is>
          <t>10000722</t>
        </is>
      </c>
      <c r="E2885" t="inlineStr"/>
      <c r="F2885" s="11" t="n">
        <v>170</v>
      </c>
      <c r="G2885" t="inlineStr"/>
      <c r="I2885" t="inlineStr">
        <is>
          <t>M3</t>
        </is>
      </c>
      <c r="J2885" t="inlineStr"/>
      <c r="K2885" t="inlineStr">
        <is>
          <t>20240425</t>
        </is>
      </c>
      <c r="L2885" t="inlineStr">
        <is>
          <t>20240814</t>
        </is>
      </c>
    </row>
    <row r="2886">
      <c r="A2886" t="inlineStr">
        <is>
          <t>900003609</t>
        </is>
      </c>
      <c r="B2886" t="inlineStr">
        <is>
          <t>D836</t>
        </is>
      </c>
      <c r="C2886" t="inlineStr">
        <is>
          <t>66825797</t>
        </is>
      </c>
      <c r="D2886" t="inlineStr">
        <is>
          <t>10000624</t>
        </is>
      </c>
      <c r="E2886" t="inlineStr"/>
      <c r="F2886" s="11" t="n">
        <v>140</v>
      </c>
      <c r="G2886" t="inlineStr"/>
      <c r="I2886" t="inlineStr">
        <is>
          <t>M3</t>
        </is>
      </c>
      <c r="J2886" t="inlineStr"/>
      <c r="K2886" t="inlineStr">
        <is>
          <t>20250505</t>
        </is>
      </c>
      <c r="L2886" t="inlineStr">
        <is>
          <t>20250507</t>
        </is>
      </c>
    </row>
    <row r="2887">
      <c r="A2887" t="inlineStr">
        <is>
          <t>900003609</t>
        </is>
      </c>
      <c r="B2887" t="inlineStr">
        <is>
          <t>D836</t>
        </is>
      </c>
      <c r="C2887" t="inlineStr">
        <is>
          <t>66825797</t>
        </is>
      </c>
      <c r="D2887" t="inlineStr">
        <is>
          <t>10000811</t>
        </is>
      </c>
      <c r="E2887" t="inlineStr"/>
      <c r="F2887" s="11" t="n">
        <v>145</v>
      </c>
      <c r="G2887" t="inlineStr"/>
      <c r="I2887" t="inlineStr">
        <is>
          <t>M3</t>
        </is>
      </c>
      <c r="J2887" t="inlineStr"/>
      <c r="K2887" t="inlineStr">
        <is>
          <t>20250505</t>
        </is>
      </c>
      <c r="L2887" t="inlineStr">
        <is>
          <t>20250507</t>
        </is>
      </c>
    </row>
    <row r="2888">
      <c r="A2888" t="inlineStr">
        <is>
          <t>900003609</t>
        </is>
      </c>
      <c r="B2888" t="inlineStr">
        <is>
          <t>D836</t>
        </is>
      </c>
      <c r="C2888" t="inlineStr">
        <is>
          <t>66828114</t>
        </is>
      </c>
      <c r="D2888" t="inlineStr">
        <is>
          <t>10000811</t>
        </is>
      </c>
      <c r="E2888" t="inlineStr"/>
      <c r="F2888" s="11" t="n">
        <v>180</v>
      </c>
      <c r="G2888" t="inlineStr"/>
      <c r="I2888" t="inlineStr">
        <is>
          <t>M3</t>
        </is>
      </c>
      <c r="J2888" t="inlineStr"/>
      <c r="K2888" t="inlineStr">
        <is>
          <t>20250505</t>
        </is>
      </c>
      <c r="L2888" t="inlineStr">
        <is>
          <t>20250507</t>
        </is>
      </c>
    </row>
    <row r="2889">
      <c r="A2889" t="inlineStr">
        <is>
          <t>900003609</t>
        </is>
      </c>
      <c r="B2889" t="inlineStr">
        <is>
          <t>D836</t>
        </is>
      </c>
      <c r="C2889" t="inlineStr">
        <is>
          <t>66828114</t>
        </is>
      </c>
      <c r="D2889" t="inlineStr">
        <is>
          <t>10207890</t>
        </is>
      </c>
      <c r="E2889" t="inlineStr"/>
      <c r="F2889" s="11" t="n">
        <v>165.42</v>
      </c>
      <c r="G2889" t="inlineStr"/>
      <c r="I2889" t="inlineStr">
        <is>
          <t>M3</t>
        </is>
      </c>
      <c r="J2889" t="inlineStr"/>
      <c r="K2889" t="inlineStr">
        <is>
          <t>20240813</t>
        </is>
      </c>
      <c r="L2889" t="inlineStr">
        <is>
          <t>20241108</t>
        </is>
      </c>
    </row>
    <row r="2890">
      <c r="A2890" t="inlineStr">
        <is>
          <t>900003609</t>
        </is>
      </c>
      <c r="B2890" t="inlineStr">
        <is>
          <t>D836</t>
        </is>
      </c>
      <c r="C2890" t="inlineStr">
        <is>
          <t>67012297</t>
        </is>
      </c>
      <c r="D2890" t="inlineStr">
        <is>
          <t>10147486</t>
        </is>
      </c>
      <c r="E2890" t="inlineStr"/>
      <c r="F2890" s="11" t="n">
        <v>175</v>
      </c>
      <c r="G2890" t="inlineStr"/>
      <c r="I2890" t="inlineStr">
        <is>
          <t>M3</t>
        </is>
      </c>
      <c r="J2890" t="inlineStr"/>
      <c r="K2890" t="inlineStr">
        <is>
          <t>20250528</t>
        </is>
      </c>
      <c r="L2890" t="inlineStr">
        <is>
          <t>20250710</t>
        </is>
      </c>
    </row>
    <row r="2891">
      <c r="A2891" t="inlineStr">
        <is>
          <t>900003609</t>
        </is>
      </c>
      <c r="B2891" t="inlineStr">
        <is>
          <t>D836</t>
        </is>
      </c>
      <c r="C2891" t="inlineStr">
        <is>
          <t>67012297</t>
        </is>
      </c>
      <c r="D2891" t="inlineStr">
        <is>
          <t>10226561</t>
        </is>
      </c>
      <c r="E2891" t="inlineStr"/>
      <c r="F2891" s="11" t="n">
        <v>166</v>
      </c>
      <c r="G2891" t="inlineStr"/>
      <c r="I2891" t="inlineStr">
        <is>
          <t>M3</t>
        </is>
      </c>
      <c r="J2891" t="inlineStr"/>
      <c r="K2891" t="inlineStr">
        <is>
          <t>20250528</t>
        </is>
      </c>
      <c r="L2891" t="inlineStr">
        <is>
          <t>20250710</t>
        </is>
      </c>
    </row>
    <row r="2892">
      <c r="A2892" t="inlineStr">
        <is>
          <t>900003613</t>
        </is>
      </c>
      <c r="B2892" t="inlineStr">
        <is>
          <t>D836</t>
        </is>
      </c>
      <c r="C2892" t="inlineStr">
        <is>
          <t>66868491</t>
        </is>
      </c>
      <c r="D2892" t="inlineStr">
        <is>
          <t>10000253</t>
        </is>
      </c>
      <c r="E2892" t="inlineStr"/>
      <c r="F2892" s="11" t="n">
        <v>91.8</v>
      </c>
      <c r="G2892" t="inlineStr"/>
      <c r="I2892" t="inlineStr">
        <is>
          <t>M3</t>
        </is>
      </c>
      <c r="J2892" t="inlineStr"/>
      <c r="K2892" t="inlineStr">
        <is>
          <t>20240425</t>
        </is>
      </c>
      <c r="L2892" t="inlineStr">
        <is>
          <t>20240814</t>
        </is>
      </c>
    </row>
    <row r="2893">
      <c r="A2893" t="inlineStr">
        <is>
          <t>900003613</t>
        </is>
      </c>
      <c r="B2893" t="inlineStr">
        <is>
          <t>D836</t>
        </is>
      </c>
      <c r="C2893" t="inlineStr">
        <is>
          <t>66868491</t>
        </is>
      </c>
      <c r="D2893" t="inlineStr">
        <is>
          <t>10000627</t>
        </is>
      </c>
      <c r="E2893" t="inlineStr"/>
      <c r="F2893" s="11" t="n">
        <v>81</v>
      </c>
      <c r="G2893" t="inlineStr"/>
      <c r="I2893" t="inlineStr">
        <is>
          <t>M3</t>
        </is>
      </c>
      <c r="J2893" t="inlineStr"/>
      <c r="K2893" t="inlineStr">
        <is>
          <t>20240425</t>
        </is>
      </c>
      <c r="L2893" t="inlineStr">
        <is>
          <t>20240814</t>
        </is>
      </c>
    </row>
    <row r="2894">
      <c r="A2894" t="inlineStr">
        <is>
          <t>900003613</t>
        </is>
      </c>
      <c r="B2894" t="inlineStr">
        <is>
          <t>D836</t>
        </is>
      </c>
      <c r="C2894" t="inlineStr">
        <is>
          <t>66868491</t>
        </is>
      </c>
      <c r="D2894" t="inlineStr">
        <is>
          <t>10000651</t>
        </is>
      </c>
      <c r="E2894" t="inlineStr"/>
      <c r="F2894" s="11" t="n">
        <v>97.2</v>
      </c>
      <c r="G2894" t="inlineStr"/>
      <c r="I2894" t="inlineStr">
        <is>
          <t>M3</t>
        </is>
      </c>
      <c r="J2894" t="inlineStr"/>
      <c r="K2894" t="inlineStr">
        <is>
          <t>20240425</t>
        </is>
      </c>
      <c r="L2894" t="inlineStr">
        <is>
          <t>20240814</t>
        </is>
      </c>
    </row>
    <row r="2895">
      <c r="A2895" t="inlineStr">
        <is>
          <t>900003613</t>
        </is>
      </c>
      <c r="B2895" t="inlineStr">
        <is>
          <t>D836</t>
        </is>
      </c>
      <c r="C2895" t="inlineStr">
        <is>
          <t>66868491</t>
        </is>
      </c>
      <c r="D2895" t="inlineStr">
        <is>
          <t>10059181</t>
        </is>
      </c>
      <c r="E2895" t="inlineStr"/>
      <c r="F2895" s="11" t="n">
        <v>81</v>
      </c>
      <c r="G2895" t="inlineStr"/>
      <c r="I2895" t="inlineStr">
        <is>
          <t>M3</t>
        </is>
      </c>
      <c r="J2895" t="inlineStr"/>
      <c r="K2895" t="inlineStr">
        <is>
          <t>20240425</t>
        </is>
      </c>
      <c r="L2895" t="inlineStr">
        <is>
          <t>20240814</t>
        </is>
      </c>
    </row>
    <row r="2896">
      <c r="A2896" t="inlineStr">
        <is>
          <t>900003613</t>
        </is>
      </c>
      <c r="B2896" t="inlineStr">
        <is>
          <t>D836</t>
        </is>
      </c>
      <c r="C2896" t="inlineStr">
        <is>
          <t>66982551</t>
        </is>
      </c>
      <c r="D2896" t="inlineStr">
        <is>
          <t>10000253</t>
        </is>
      </c>
      <c r="E2896" t="inlineStr"/>
      <c r="F2896" s="11" t="n">
        <v>93</v>
      </c>
      <c r="G2896" t="inlineStr"/>
      <c r="I2896" t="inlineStr">
        <is>
          <t>M3</t>
        </is>
      </c>
      <c r="J2896" t="inlineStr"/>
      <c r="K2896" t="inlineStr">
        <is>
          <t>20250528</t>
        </is>
      </c>
      <c r="L2896" t="inlineStr">
        <is>
          <t>20250710</t>
        </is>
      </c>
    </row>
    <row r="2897">
      <c r="A2897" t="inlineStr">
        <is>
          <t>900003613</t>
        </is>
      </c>
      <c r="B2897" t="inlineStr">
        <is>
          <t>D836</t>
        </is>
      </c>
      <c r="C2897" t="inlineStr">
        <is>
          <t>66982551</t>
        </is>
      </c>
      <c r="D2897" t="inlineStr">
        <is>
          <t>10059181</t>
        </is>
      </c>
      <c r="E2897" t="inlineStr"/>
      <c r="F2897" s="11" t="n">
        <v>83</v>
      </c>
      <c r="G2897" t="inlineStr"/>
      <c r="I2897" t="inlineStr">
        <is>
          <t>M3</t>
        </is>
      </c>
      <c r="J2897" t="inlineStr"/>
      <c r="K2897" t="inlineStr">
        <is>
          <t>20250528</t>
        </is>
      </c>
      <c r="L2897" t="inlineStr">
        <is>
          <t>20250710</t>
        </is>
      </c>
    </row>
    <row r="2898">
      <c r="A2898" t="inlineStr">
        <is>
          <t>900003613</t>
        </is>
      </c>
      <c r="B2898" t="inlineStr">
        <is>
          <t>D836</t>
        </is>
      </c>
      <c r="C2898" t="inlineStr">
        <is>
          <t>67288888</t>
        </is>
      </c>
      <c r="D2898" t="inlineStr">
        <is>
          <t>10000253</t>
        </is>
      </c>
      <c r="E2898" t="inlineStr"/>
      <c r="F2898" s="11" t="n">
        <v>90.2</v>
      </c>
      <c r="G2898" t="inlineStr"/>
      <c r="I2898" t="inlineStr">
        <is>
          <t>M3</t>
        </is>
      </c>
      <c r="J2898" t="inlineStr"/>
      <c r="K2898" t="inlineStr">
        <is>
          <t>20250528</t>
        </is>
      </c>
      <c r="L2898" t="inlineStr">
        <is>
          <t>20250710</t>
        </is>
      </c>
    </row>
    <row r="2899">
      <c r="A2899" t="inlineStr">
        <is>
          <t>900003613</t>
        </is>
      </c>
      <c r="B2899" t="inlineStr">
        <is>
          <t>D836</t>
        </is>
      </c>
      <c r="C2899" t="inlineStr">
        <is>
          <t>67288888</t>
        </is>
      </c>
      <c r="D2899" t="inlineStr">
        <is>
          <t>10059181</t>
        </is>
      </c>
      <c r="E2899" t="inlineStr"/>
      <c r="F2899" s="11" t="n">
        <v>81.09999999999999</v>
      </c>
      <c r="G2899" t="inlineStr"/>
      <c r="I2899" t="inlineStr">
        <is>
          <t>M3</t>
        </is>
      </c>
      <c r="J2899" t="inlineStr"/>
      <c r="K2899" t="inlineStr">
        <is>
          <t>20250528</t>
        </is>
      </c>
      <c r="L2899" t="inlineStr">
        <is>
          <t>20250710</t>
        </is>
      </c>
    </row>
    <row r="2900">
      <c r="A2900" t="inlineStr">
        <is>
          <t>900004077</t>
        </is>
      </c>
      <c r="B2900" t="inlineStr">
        <is>
          <t>D836</t>
        </is>
      </c>
      <c r="C2900" t="inlineStr">
        <is>
          <t>65232687</t>
        </is>
      </c>
      <c r="D2900" t="inlineStr">
        <is>
          <t>10002802</t>
        </is>
      </c>
      <c r="E2900" t="inlineStr"/>
      <c r="F2900" s="11" t="n">
        <v>160</v>
      </c>
      <c r="G2900" t="inlineStr"/>
      <c r="I2900" t="inlineStr">
        <is>
          <t>M3</t>
        </is>
      </c>
      <c r="J2900" t="inlineStr"/>
      <c r="K2900" t="inlineStr">
        <is>
          <t>20240423</t>
        </is>
      </c>
      <c r="L2900" t="inlineStr">
        <is>
          <t>20240612</t>
        </is>
      </c>
    </row>
    <row r="2901">
      <c r="A2901" t="inlineStr">
        <is>
          <t>900004077</t>
        </is>
      </c>
      <c r="B2901" t="inlineStr">
        <is>
          <t>D836</t>
        </is>
      </c>
      <c r="C2901" t="inlineStr">
        <is>
          <t>65387641</t>
        </is>
      </c>
      <c r="D2901" t="inlineStr">
        <is>
          <t>10002802</t>
        </is>
      </c>
      <c r="E2901" t="inlineStr"/>
      <c r="F2901" s="11" t="n">
        <v>160</v>
      </c>
      <c r="G2901" t="inlineStr"/>
      <c r="I2901" t="inlineStr">
        <is>
          <t>M3</t>
        </is>
      </c>
      <c r="J2901" t="inlineStr"/>
      <c r="K2901" t="inlineStr">
        <is>
          <t>20240423</t>
        </is>
      </c>
      <c r="L2901" t="inlineStr">
        <is>
          <t>20240612</t>
        </is>
      </c>
    </row>
    <row r="2902">
      <c r="A2902" t="inlineStr">
        <is>
          <t>900004077</t>
        </is>
      </c>
      <c r="B2902" t="inlineStr">
        <is>
          <t>D836</t>
        </is>
      </c>
      <c r="C2902" t="inlineStr">
        <is>
          <t>66426100</t>
        </is>
      </c>
      <c r="D2902" t="inlineStr">
        <is>
          <t>10002802</t>
        </is>
      </c>
      <c r="E2902" t="inlineStr"/>
      <c r="F2902" s="11" t="n">
        <v>141</v>
      </c>
      <c r="G2902" t="inlineStr"/>
      <c r="I2902" t="inlineStr">
        <is>
          <t>M3</t>
        </is>
      </c>
      <c r="J2902" t="inlineStr"/>
      <c r="K2902" t="inlineStr">
        <is>
          <t>20240425</t>
        </is>
      </c>
      <c r="L2902" t="inlineStr">
        <is>
          <t>20240814</t>
        </is>
      </c>
    </row>
    <row r="2903">
      <c r="A2903" t="inlineStr">
        <is>
          <t>900004077</t>
        </is>
      </c>
      <c r="B2903" t="inlineStr">
        <is>
          <t>D836</t>
        </is>
      </c>
      <c r="C2903" t="inlineStr">
        <is>
          <t>66433509</t>
        </is>
      </c>
      <c r="D2903" t="inlineStr">
        <is>
          <t>10002802</t>
        </is>
      </c>
      <c r="E2903" t="inlineStr"/>
      <c r="F2903" s="11" t="n">
        <v>141</v>
      </c>
      <c r="G2903" t="inlineStr"/>
      <c r="I2903" t="inlineStr">
        <is>
          <t>M3</t>
        </is>
      </c>
      <c r="J2903" t="inlineStr"/>
      <c r="K2903" t="inlineStr">
        <is>
          <t>20240425</t>
        </is>
      </c>
      <c r="L2903" t="inlineStr">
        <is>
          <t>20240814</t>
        </is>
      </c>
    </row>
    <row r="2904">
      <c r="A2904" t="inlineStr">
        <is>
          <t>900004077</t>
        </is>
      </c>
      <c r="B2904" t="inlineStr">
        <is>
          <t>D836</t>
        </is>
      </c>
      <c r="C2904" t="inlineStr">
        <is>
          <t>66463792</t>
        </is>
      </c>
      <c r="D2904" t="inlineStr">
        <is>
          <t>10002802</t>
        </is>
      </c>
      <c r="E2904" t="inlineStr"/>
      <c r="F2904" s="11" t="n">
        <v>140</v>
      </c>
      <c r="G2904" t="inlineStr"/>
      <c r="I2904" t="inlineStr">
        <is>
          <t>TN</t>
        </is>
      </c>
      <c r="J2904" t="inlineStr"/>
      <c r="K2904" t="inlineStr">
        <is>
          <t>20180620</t>
        </is>
      </c>
      <c r="L2904" t="inlineStr">
        <is>
          <t>20240612</t>
        </is>
      </c>
    </row>
    <row r="2905">
      <c r="A2905" t="inlineStr">
        <is>
          <t>900004077</t>
        </is>
      </c>
      <c r="B2905" t="inlineStr">
        <is>
          <t>D836</t>
        </is>
      </c>
      <c r="C2905" t="inlineStr">
        <is>
          <t>66838326</t>
        </is>
      </c>
      <c r="D2905" t="inlineStr">
        <is>
          <t>10002802</t>
        </is>
      </c>
      <c r="E2905" t="inlineStr"/>
      <c r="F2905" s="11" t="n">
        <v>145</v>
      </c>
      <c r="G2905" t="inlineStr"/>
      <c r="I2905" t="inlineStr">
        <is>
          <t>M3</t>
        </is>
      </c>
      <c r="J2905" t="inlineStr"/>
      <c r="K2905" t="inlineStr">
        <is>
          <t>20240425</t>
        </is>
      </c>
      <c r="L2905" t="inlineStr">
        <is>
          <t>20240814</t>
        </is>
      </c>
    </row>
    <row r="2906">
      <c r="A2906" t="inlineStr">
        <is>
          <t>900004077</t>
        </is>
      </c>
      <c r="B2906" t="inlineStr">
        <is>
          <t>D836</t>
        </is>
      </c>
      <c r="C2906" t="inlineStr">
        <is>
          <t>66838326</t>
        </is>
      </c>
      <c r="D2906" t="inlineStr">
        <is>
          <t>10192909</t>
        </is>
      </c>
      <c r="E2906" t="inlineStr"/>
      <c r="F2906" s="11" t="n">
        <v>110</v>
      </c>
      <c r="G2906" t="inlineStr"/>
      <c r="I2906" t="inlineStr">
        <is>
          <t>TN</t>
        </is>
      </c>
      <c r="J2906" t="inlineStr"/>
      <c r="K2906" t="inlineStr">
        <is>
          <t>20240425</t>
        </is>
      </c>
      <c r="L2906" t="inlineStr">
        <is>
          <t>20240814</t>
        </is>
      </c>
    </row>
    <row r="2907">
      <c r="A2907" t="inlineStr">
        <is>
          <t>900004077</t>
        </is>
      </c>
      <c r="B2907" t="inlineStr">
        <is>
          <t>D836</t>
        </is>
      </c>
      <c r="C2907" t="inlineStr">
        <is>
          <t>66838326</t>
        </is>
      </c>
      <c r="D2907" t="inlineStr">
        <is>
          <t>10192940</t>
        </is>
      </c>
      <c r="E2907" t="inlineStr"/>
      <c r="F2907" s="11" t="n">
        <v>100</v>
      </c>
      <c r="G2907" t="inlineStr"/>
      <c r="I2907" t="inlineStr">
        <is>
          <t>TN</t>
        </is>
      </c>
      <c r="J2907" t="inlineStr"/>
      <c r="K2907" t="inlineStr">
        <is>
          <t>20240425</t>
        </is>
      </c>
      <c r="L2907" t="inlineStr">
        <is>
          <t>20240814</t>
        </is>
      </c>
    </row>
    <row r="2908">
      <c r="A2908" t="inlineStr">
        <is>
          <t>900004077</t>
        </is>
      </c>
      <c r="B2908" t="inlineStr">
        <is>
          <t>D836</t>
        </is>
      </c>
      <c r="C2908" t="inlineStr">
        <is>
          <t>66838326</t>
        </is>
      </c>
      <c r="D2908" t="inlineStr">
        <is>
          <t>10192941</t>
        </is>
      </c>
      <c r="E2908" t="inlineStr"/>
      <c r="F2908" s="11" t="n">
        <v>130</v>
      </c>
      <c r="G2908" t="inlineStr"/>
      <c r="I2908" t="inlineStr">
        <is>
          <t>TN</t>
        </is>
      </c>
      <c r="J2908" t="inlineStr"/>
      <c r="K2908" t="inlineStr">
        <is>
          <t>20240425</t>
        </is>
      </c>
      <c r="L2908" t="inlineStr">
        <is>
          <t>20240814</t>
        </is>
      </c>
    </row>
    <row r="2909">
      <c r="A2909" t="inlineStr">
        <is>
          <t>900004077</t>
        </is>
      </c>
      <c r="B2909" t="inlineStr">
        <is>
          <t>D836</t>
        </is>
      </c>
      <c r="C2909" t="inlineStr">
        <is>
          <t>66838326</t>
        </is>
      </c>
      <c r="D2909" t="inlineStr">
        <is>
          <t>10192942</t>
        </is>
      </c>
      <c r="E2909" t="inlineStr"/>
      <c r="F2909" s="11" t="n">
        <v>102</v>
      </c>
      <c r="G2909" t="inlineStr"/>
      <c r="I2909" t="inlineStr">
        <is>
          <t>TN</t>
        </is>
      </c>
      <c r="J2909" t="inlineStr"/>
      <c r="K2909" t="inlineStr">
        <is>
          <t>20240425</t>
        </is>
      </c>
      <c r="L2909" t="inlineStr">
        <is>
          <t>20240814</t>
        </is>
      </c>
    </row>
    <row r="2910">
      <c r="A2910" t="inlineStr">
        <is>
          <t>900004077</t>
        </is>
      </c>
      <c r="B2910" t="inlineStr">
        <is>
          <t>D836</t>
        </is>
      </c>
      <c r="C2910" t="inlineStr">
        <is>
          <t>66838326</t>
        </is>
      </c>
      <c r="D2910" t="inlineStr">
        <is>
          <t>10192943</t>
        </is>
      </c>
      <c r="E2910" t="inlineStr"/>
      <c r="F2910" s="11" t="n">
        <v>126</v>
      </c>
      <c r="G2910" t="inlineStr"/>
      <c r="I2910" t="inlineStr">
        <is>
          <t>TN</t>
        </is>
      </c>
      <c r="J2910" t="inlineStr"/>
      <c r="K2910" t="inlineStr">
        <is>
          <t>20240425</t>
        </is>
      </c>
      <c r="L2910" t="inlineStr">
        <is>
          <t>20240814</t>
        </is>
      </c>
    </row>
    <row r="2911">
      <c r="A2911" t="inlineStr">
        <is>
          <t>900004077</t>
        </is>
      </c>
      <c r="B2911" t="inlineStr">
        <is>
          <t>D836</t>
        </is>
      </c>
      <c r="C2911" t="inlineStr">
        <is>
          <t>66838326</t>
        </is>
      </c>
      <c r="D2911" t="inlineStr">
        <is>
          <t>10192944</t>
        </is>
      </c>
      <c r="E2911" t="inlineStr"/>
      <c r="F2911" s="11" t="n">
        <v>126</v>
      </c>
      <c r="G2911" t="inlineStr"/>
      <c r="I2911" t="inlineStr">
        <is>
          <t>TN</t>
        </is>
      </c>
      <c r="J2911" t="inlineStr"/>
      <c r="K2911" t="inlineStr">
        <is>
          <t>20240425</t>
        </is>
      </c>
      <c r="L2911" t="inlineStr">
        <is>
          <t>20240814</t>
        </is>
      </c>
    </row>
    <row r="2912">
      <c r="A2912" t="inlineStr">
        <is>
          <t>900004077</t>
        </is>
      </c>
      <c r="B2912" t="inlineStr">
        <is>
          <t>D836</t>
        </is>
      </c>
      <c r="C2912" t="inlineStr">
        <is>
          <t>66838326</t>
        </is>
      </c>
      <c r="D2912" t="inlineStr">
        <is>
          <t>10192945</t>
        </is>
      </c>
      <c r="E2912" t="inlineStr"/>
      <c r="F2912" s="11" t="n">
        <v>126</v>
      </c>
      <c r="G2912" t="inlineStr"/>
      <c r="I2912" t="inlineStr">
        <is>
          <t>TN</t>
        </is>
      </c>
      <c r="J2912" t="inlineStr"/>
      <c r="K2912" t="inlineStr">
        <is>
          <t>20240425</t>
        </is>
      </c>
      <c r="L2912" t="inlineStr">
        <is>
          <t>20240814</t>
        </is>
      </c>
    </row>
    <row r="2913">
      <c r="A2913" t="inlineStr">
        <is>
          <t>900004077</t>
        </is>
      </c>
      <c r="B2913" t="inlineStr">
        <is>
          <t>D836</t>
        </is>
      </c>
      <c r="C2913" t="inlineStr">
        <is>
          <t>66874616</t>
        </is>
      </c>
      <c r="D2913" t="inlineStr">
        <is>
          <t>10002802</t>
        </is>
      </c>
      <c r="E2913" t="inlineStr"/>
      <c r="F2913" s="11" t="n">
        <v>145</v>
      </c>
      <c r="G2913" t="inlineStr"/>
      <c r="I2913" t="inlineStr">
        <is>
          <t>TN</t>
        </is>
      </c>
      <c r="J2913" t="inlineStr"/>
      <c r="K2913" t="inlineStr">
        <is>
          <t>20220420</t>
        </is>
      </c>
      <c r="L2913" t="inlineStr">
        <is>
          <t>20240612</t>
        </is>
      </c>
    </row>
    <row r="2914">
      <c r="A2914" t="inlineStr">
        <is>
          <t>900004077</t>
        </is>
      </c>
      <c r="B2914" t="inlineStr">
        <is>
          <t>D836</t>
        </is>
      </c>
      <c r="C2914" t="inlineStr">
        <is>
          <t>66874616</t>
        </is>
      </c>
      <c r="D2914" t="inlineStr">
        <is>
          <t>10192909</t>
        </is>
      </c>
      <c r="E2914" t="inlineStr"/>
      <c r="F2914" s="11" t="n">
        <v>110</v>
      </c>
      <c r="G2914" t="inlineStr"/>
      <c r="I2914" t="inlineStr">
        <is>
          <t>TN</t>
        </is>
      </c>
      <c r="J2914" t="inlineStr"/>
      <c r="K2914" t="inlineStr">
        <is>
          <t>20240425</t>
        </is>
      </c>
      <c r="L2914" t="inlineStr">
        <is>
          <t>20240814</t>
        </is>
      </c>
    </row>
    <row r="2915">
      <c r="A2915" t="inlineStr">
        <is>
          <t>900004077</t>
        </is>
      </c>
      <c r="B2915" t="inlineStr">
        <is>
          <t>D836</t>
        </is>
      </c>
      <c r="C2915" t="inlineStr">
        <is>
          <t>66874616</t>
        </is>
      </c>
      <c r="D2915" t="inlineStr">
        <is>
          <t>10192941</t>
        </is>
      </c>
      <c r="E2915" t="inlineStr"/>
      <c r="F2915" s="11" t="n">
        <v>130</v>
      </c>
      <c r="G2915" t="inlineStr"/>
      <c r="I2915" t="inlineStr">
        <is>
          <t>TN</t>
        </is>
      </c>
      <c r="J2915" t="inlineStr"/>
      <c r="K2915" t="inlineStr">
        <is>
          <t>20240425</t>
        </is>
      </c>
      <c r="L2915" t="inlineStr">
        <is>
          <t>20240814</t>
        </is>
      </c>
    </row>
    <row r="2916">
      <c r="A2916" t="inlineStr">
        <is>
          <t>900004077</t>
        </is>
      </c>
      <c r="B2916" t="inlineStr">
        <is>
          <t>D836</t>
        </is>
      </c>
      <c r="C2916" t="inlineStr">
        <is>
          <t>67007016</t>
        </is>
      </c>
      <c r="D2916" t="inlineStr">
        <is>
          <t>10002802</t>
        </is>
      </c>
      <c r="E2916" t="inlineStr"/>
      <c r="F2916" s="11" t="n">
        <v>135</v>
      </c>
      <c r="G2916" t="inlineStr"/>
      <c r="I2916" t="inlineStr">
        <is>
          <t>TN</t>
        </is>
      </c>
      <c r="J2916" t="inlineStr"/>
      <c r="K2916" t="inlineStr">
        <is>
          <t>20220816</t>
        </is>
      </c>
      <c r="L2916" t="inlineStr">
        <is>
          <t>20240612</t>
        </is>
      </c>
    </row>
    <row r="2917">
      <c r="A2917" t="inlineStr">
        <is>
          <t>900004365</t>
        </is>
      </c>
      <c r="B2917" t="inlineStr">
        <is>
          <t>D836</t>
        </is>
      </c>
      <c r="C2917" t="inlineStr">
        <is>
          <t>65406062</t>
        </is>
      </c>
      <c r="D2917" t="inlineStr">
        <is>
          <t>10000357</t>
        </is>
      </c>
      <c r="E2917" t="inlineStr"/>
      <c r="F2917" s="11" t="n">
        <v>166</v>
      </c>
      <c r="G2917" t="inlineStr"/>
      <c r="I2917" t="inlineStr">
        <is>
          <t>M3</t>
        </is>
      </c>
      <c r="J2917" t="inlineStr"/>
      <c r="K2917" t="inlineStr">
        <is>
          <t>20240425</t>
        </is>
      </c>
      <c r="L2917" t="inlineStr">
        <is>
          <t>20240814</t>
        </is>
      </c>
    </row>
    <row r="2918">
      <c r="A2918" t="inlineStr">
        <is>
          <t>900004365</t>
        </is>
      </c>
      <c r="B2918" t="inlineStr">
        <is>
          <t>D836</t>
        </is>
      </c>
      <c r="C2918" t="inlineStr">
        <is>
          <t>65406062</t>
        </is>
      </c>
      <c r="D2918" t="inlineStr">
        <is>
          <t>10149994</t>
        </is>
      </c>
      <c r="E2918" t="inlineStr"/>
      <c r="F2918" s="11" t="n">
        <v>146</v>
      </c>
      <c r="G2918" t="inlineStr"/>
      <c r="I2918" t="inlineStr">
        <is>
          <t>M3</t>
        </is>
      </c>
      <c r="J2918" t="inlineStr"/>
      <c r="K2918" t="inlineStr">
        <is>
          <t>20240425</t>
        </is>
      </c>
      <c r="L2918" t="inlineStr">
        <is>
          <t>20240814</t>
        </is>
      </c>
    </row>
    <row r="2919">
      <c r="A2919" t="inlineStr">
        <is>
          <t>900004365</t>
        </is>
      </c>
      <c r="B2919" t="inlineStr">
        <is>
          <t>D836</t>
        </is>
      </c>
      <c r="C2919" t="inlineStr">
        <is>
          <t>65406064</t>
        </is>
      </c>
      <c r="D2919" t="inlineStr">
        <is>
          <t>10000357</t>
        </is>
      </c>
      <c r="E2919" t="inlineStr"/>
      <c r="F2919" s="11" t="n">
        <v>166</v>
      </c>
      <c r="G2919" t="inlineStr"/>
      <c r="I2919" t="inlineStr">
        <is>
          <t>M3</t>
        </is>
      </c>
      <c r="J2919" t="inlineStr"/>
      <c r="K2919" t="inlineStr">
        <is>
          <t>20240425</t>
        </is>
      </c>
      <c r="L2919" t="inlineStr">
        <is>
          <t>20240814</t>
        </is>
      </c>
    </row>
    <row r="2920">
      <c r="A2920" t="inlineStr">
        <is>
          <t>900004365</t>
        </is>
      </c>
      <c r="B2920" t="inlineStr">
        <is>
          <t>D836</t>
        </is>
      </c>
      <c r="C2920" t="inlineStr">
        <is>
          <t>65406064</t>
        </is>
      </c>
      <c r="D2920" t="inlineStr">
        <is>
          <t>10149994</t>
        </is>
      </c>
      <c r="E2920" t="inlineStr"/>
      <c r="F2920" s="11" t="n">
        <v>146</v>
      </c>
      <c r="G2920" t="inlineStr"/>
      <c r="I2920" t="inlineStr">
        <is>
          <t>M3</t>
        </is>
      </c>
      <c r="J2920" t="inlineStr"/>
      <c r="K2920" t="inlineStr">
        <is>
          <t>20240425</t>
        </is>
      </c>
      <c r="L2920" t="inlineStr">
        <is>
          <t>20240814</t>
        </is>
      </c>
    </row>
    <row r="2921">
      <c r="A2921" t="inlineStr">
        <is>
          <t>900004365</t>
        </is>
      </c>
      <c r="B2921" t="inlineStr">
        <is>
          <t>D836</t>
        </is>
      </c>
      <c r="C2921" t="inlineStr">
        <is>
          <t>65911313</t>
        </is>
      </c>
      <c r="D2921" t="inlineStr">
        <is>
          <t>10000357</t>
        </is>
      </c>
      <c r="E2921" t="inlineStr"/>
      <c r="F2921" s="11" t="n">
        <v>166</v>
      </c>
      <c r="G2921" t="inlineStr"/>
      <c r="I2921" t="inlineStr">
        <is>
          <t>M3</t>
        </is>
      </c>
      <c r="J2921" t="inlineStr"/>
      <c r="K2921" t="inlineStr">
        <is>
          <t>20240425</t>
        </is>
      </c>
      <c r="L2921" t="inlineStr">
        <is>
          <t>20240814</t>
        </is>
      </c>
    </row>
    <row r="2922">
      <c r="A2922" t="inlineStr">
        <is>
          <t>900004365</t>
        </is>
      </c>
      <c r="B2922" t="inlineStr">
        <is>
          <t>D836</t>
        </is>
      </c>
      <c r="C2922" t="inlineStr">
        <is>
          <t>65911313</t>
        </is>
      </c>
      <c r="D2922" t="inlineStr">
        <is>
          <t>10149994</t>
        </is>
      </c>
      <c r="E2922" t="inlineStr"/>
      <c r="F2922" s="11" t="n">
        <v>146</v>
      </c>
      <c r="G2922" t="inlineStr"/>
      <c r="I2922" t="inlineStr">
        <is>
          <t>M3</t>
        </is>
      </c>
      <c r="J2922" t="inlineStr"/>
      <c r="K2922" t="inlineStr">
        <is>
          <t>20240425</t>
        </is>
      </c>
      <c r="L2922" t="inlineStr">
        <is>
          <t>20240814</t>
        </is>
      </c>
    </row>
    <row r="2923">
      <c r="A2923" t="inlineStr">
        <is>
          <t>900004598</t>
        </is>
      </c>
      <c r="B2923" t="inlineStr">
        <is>
          <t>D836</t>
        </is>
      </c>
      <c r="C2923" t="inlineStr">
        <is>
          <t>67098138</t>
        </is>
      </c>
      <c r="D2923" t="inlineStr">
        <is>
          <t>10006150</t>
        </is>
      </c>
      <c r="E2923" t="inlineStr"/>
      <c r="F2923" s="11" t="n">
        <v>310</v>
      </c>
      <c r="G2923" t="inlineStr"/>
      <c r="I2923" t="inlineStr">
        <is>
          <t>M3</t>
        </is>
      </c>
      <c r="J2923" t="inlineStr"/>
      <c r="K2923" t="inlineStr">
        <is>
          <t>20241022</t>
        </is>
      </c>
      <c r="L2923" t="inlineStr">
        <is>
          <t>20241025</t>
        </is>
      </c>
    </row>
    <row r="2924">
      <c r="A2924" t="inlineStr">
        <is>
          <t>900004598</t>
        </is>
      </c>
      <c r="B2924" t="inlineStr">
        <is>
          <t>D836</t>
        </is>
      </c>
      <c r="C2924" t="inlineStr">
        <is>
          <t>67098138</t>
        </is>
      </c>
      <c r="D2924" t="inlineStr">
        <is>
          <t>10047573</t>
        </is>
      </c>
      <c r="E2924" t="inlineStr"/>
      <c r="F2924" s="11" t="n">
        <v>58</v>
      </c>
      <c r="G2924" t="inlineStr"/>
      <c r="I2924" t="inlineStr">
        <is>
          <t>M3</t>
        </is>
      </c>
      <c r="J2924" t="inlineStr"/>
      <c r="K2924" t="inlineStr">
        <is>
          <t>20241022</t>
        </is>
      </c>
      <c r="L2924" t="inlineStr">
        <is>
          <t>20241025</t>
        </is>
      </c>
    </row>
    <row r="2925">
      <c r="A2925" t="inlineStr">
        <is>
          <t>900005356</t>
        </is>
      </c>
      <c r="B2925" t="inlineStr">
        <is>
          <t>D836</t>
        </is>
      </c>
      <c r="C2925" t="inlineStr">
        <is>
          <t>65014664</t>
        </is>
      </c>
      <c r="D2925" t="inlineStr">
        <is>
          <t>10000160</t>
        </is>
      </c>
      <c r="E2925" t="inlineStr"/>
      <c r="F2925" s="11" t="n">
        <v>120.4</v>
      </c>
      <c r="G2925" t="inlineStr"/>
      <c r="I2925" t="inlineStr">
        <is>
          <t>M3</t>
        </is>
      </c>
      <c r="J2925" t="inlineStr"/>
      <c r="K2925" t="inlineStr">
        <is>
          <t>20250528</t>
        </is>
      </c>
      <c r="L2925" t="inlineStr">
        <is>
          <t>20250710</t>
        </is>
      </c>
    </row>
    <row r="2926">
      <c r="A2926" t="inlineStr">
        <is>
          <t>900005356</t>
        </is>
      </c>
      <c r="B2926" t="inlineStr">
        <is>
          <t>D836</t>
        </is>
      </c>
      <c r="C2926" t="inlineStr">
        <is>
          <t>66828114</t>
        </is>
      </c>
      <c r="D2926" t="inlineStr">
        <is>
          <t>10000160</t>
        </is>
      </c>
      <c r="E2926" t="inlineStr"/>
      <c r="F2926" s="11" t="n">
        <v>111</v>
      </c>
      <c r="G2926" t="inlineStr"/>
      <c r="I2926" t="inlineStr">
        <is>
          <t>M3</t>
        </is>
      </c>
      <c r="J2926" t="inlineStr"/>
      <c r="K2926" t="inlineStr">
        <is>
          <t>20250505</t>
        </is>
      </c>
      <c r="L2926" t="inlineStr">
        <is>
          <t>20250507</t>
        </is>
      </c>
    </row>
    <row r="2927">
      <c r="A2927" t="inlineStr">
        <is>
          <t>900005627</t>
        </is>
      </c>
      <c r="B2927" t="inlineStr">
        <is>
          <t>D836</t>
        </is>
      </c>
      <c r="C2927" t="inlineStr">
        <is>
          <t>67160653</t>
        </is>
      </c>
      <c r="D2927" t="inlineStr">
        <is>
          <t>10267271</t>
        </is>
      </c>
      <c r="E2927" t="inlineStr"/>
      <c r="F2927" s="11" t="n">
        <v>170</v>
      </c>
      <c r="G2927" t="inlineStr"/>
      <c r="I2927" t="inlineStr">
        <is>
          <t>M3</t>
        </is>
      </c>
      <c r="J2927" t="inlineStr"/>
      <c r="K2927" t="inlineStr">
        <is>
          <t>20250528</t>
        </is>
      </c>
      <c r="L2927" t="inlineStr">
        <is>
          <t>20250710</t>
        </is>
      </c>
    </row>
    <row r="2928">
      <c r="A2928" t="inlineStr">
        <is>
          <t>900005627</t>
        </is>
      </c>
      <c r="B2928" t="inlineStr">
        <is>
          <t>D836</t>
        </is>
      </c>
      <c r="C2928" t="inlineStr">
        <is>
          <t>67160653</t>
        </is>
      </c>
      <c r="D2928" t="inlineStr">
        <is>
          <t>10267272</t>
        </is>
      </c>
      <c r="E2928" t="inlineStr"/>
      <c r="F2928" s="11" t="n">
        <v>170</v>
      </c>
      <c r="G2928" t="inlineStr"/>
      <c r="I2928" t="inlineStr">
        <is>
          <t>M3</t>
        </is>
      </c>
      <c r="J2928" t="inlineStr"/>
      <c r="K2928" t="inlineStr">
        <is>
          <t>20250528</t>
        </is>
      </c>
      <c r="L2928" t="inlineStr">
        <is>
          <t>20250710</t>
        </is>
      </c>
    </row>
    <row r="2929">
      <c r="A2929" t="inlineStr">
        <is>
          <t>900005627</t>
        </is>
      </c>
      <c r="B2929" t="inlineStr">
        <is>
          <t>D836</t>
        </is>
      </c>
      <c r="C2929" t="inlineStr">
        <is>
          <t>67160653</t>
        </is>
      </c>
      <c r="D2929" t="inlineStr">
        <is>
          <t>10267273</t>
        </is>
      </c>
      <c r="E2929" t="inlineStr"/>
      <c r="F2929" s="11" t="n">
        <v>170</v>
      </c>
      <c r="G2929" t="inlineStr"/>
      <c r="I2929" t="inlineStr">
        <is>
          <t>M3</t>
        </is>
      </c>
      <c r="J2929" t="inlineStr"/>
      <c r="K2929" t="inlineStr">
        <is>
          <t>20250528</t>
        </is>
      </c>
      <c r="L2929" t="inlineStr">
        <is>
          <t>20250710</t>
        </is>
      </c>
    </row>
    <row r="2930">
      <c r="A2930" t="inlineStr">
        <is>
          <t>900005627</t>
        </is>
      </c>
      <c r="B2930" t="inlineStr">
        <is>
          <t>D836</t>
        </is>
      </c>
      <c r="C2930" t="inlineStr">
        <is>
          <t>67160653</t>
        </is>
      </c>
      <c r="D2930" t="inlineStr">
        <is>
          <t>10267274</t>
        </is>
      </c>
      <c r="E2930" t="inlineStr"/>
      <c r="F2930" s="11" t="n">
        <v>80</v>
      </c>
      <c r="G2930" t="inlineStr"/>
      <c r="I2930" t="inlineStr">
        <is>
          <t>M3</t>
        </is>
      </c>
      <c r="J2930" t="inlineStr"/>
      <c r="K2930" t="inlineStr">
        <is>
          <t>20250528</t>
        </is>
      </c>
      <c r="L2930" t="inlineStr">
        <is>
          <t>20250710</t>
        </is>
      </c>
    </row>
    <row r="2931">
      <c r="A2931" t="inlineStr">
        <is>
          <t>900006371</t>
        </is>
      </c>
      <c r="B2931" t="inlineStr">
        <is>
          <t>D836</t>
        </is>
      </c>
      <c r="C2931" t="inlineStr">
        <is>
          <t>65014664</t>
        </is>
      </c>
      <c r="D2931" t="inlineStr">
        <is>
          <t>10000160</t>
        </is>
      </c>
      <c r="E2931" t="inlineStr"/>
      <c r="F2931" s="11" t="n">
        <v>109.86</v>
      </c>
      <c r="G2931" t="inlineStr"/>
      <c r="I2931" t="inlineStr">
        <is>
          <t>M3</t>
        </is>
      </c>
      <c r="J2931" t="inlineStr"/>
      <c r="K2931" t="inlineStr">
        <is>
          <t>20250528</t>
        </is>
      </c>
      <c r="L2931" t="inlineStr">
        <is>
          <t>20250710</t>
        </is>
      </c>
    </row>
    <row r="2932">
      <c r="A2932" t="inlineStr">
        <is>
          <t>900006371</t>
        </is>
      </c>
      <c r="B2932" t="inlineStr">
        <is>
          <t>D836</t>
        </is>
      </c>
      <c r="C2932" t="inlineStr">
        <is>
          <t>65440384</t>
        </is>
      </c>
      <c r="D2932" t="inlineStr">
        <is>
          <t>10000160</t>
        </is>
      </c>
      <c r="E2932" t="inlineStr"/>
      <c r="F2932" s="11" t="n">
        <v>126.59</v>
      </c>
      <c r="G2932" t="inlineStr"/>
      <c r="I2932" t="inlineStr">
        <is>
          <t>M3</t>
        </is>
      </c>
      <c r="J2932" t="inlineStr"/>
      <c r="K2932" t="inlineStr">
        <is>
          <t>20250528</t>
        </is>
      </c>
      <c r="L2932" t="inlineStr">
        <is>
          <t>20250710</t>
        </is>
      </c>
    </row>
    <row r="2933">
      <c r="A2933" t="inlineStr">
        <is>
          <t>900006371</t>
        </is>
      </c>
      <c r="B2933" t="inlineStr">
        <is>
          <t>D836</t>
        </is>
      </c>
      <c r="C2933" t="inlineStr">
        <is>
          <t>66779276</t>
        </is>
      </c>
      <c r="D2933" t="inlineStr">
        <is>
          <t>10000160</t>
        </is>
      </c>
      <c r="E2933" t="inlineStr"/>
      <c r="F2933" s="11" t="n">
        <v>142</v>
      </c>
      <c r="G2933" t="inlineStr"/>
      <c r="I2933" t="inlineStr">
        <is>
          <t>M3</t>
        </is>
      </c>
      <c r="J2933" t="inlineStr"/>
      <c r="K2933" t="inlineStr">
        <is>
          <t>20250505</t>
        </is>
      </c>
      <c r="L2933" t="inlineStr">
        <is>
          <t>20250507</t>
        </is>
      </c>
    </row>
    <row r="2934">
      <c r="A2934" t="inlineStr">
        <is>
          <t>900006371</t>
        </is>
      </c>
      <c r="B2934" t="inlineStr">
        <is>
          <t>D836</t>
        </is>
      </c>
      <c r="C2934" t="inlineStr">
        <is>
          <t>66779276</t>
        </is>
      </c>
      <c r="D2934" t="inlineStr">
        <is>
          <t>10000357</t>
        </is>
      </c>
      <c r="E2934" t="inlineStr"/>
      <c r="F2934" s="11" t="n">
        <v>162</v>
      </c>
      <c r="G2934" t="inlineStr"/>
      <c r="I2934" t="inlineStr">
        <is>
          <t>M3</t>
        </is>
      </c>
      <c r="J2934" t="inlineStr"/>
      <c r="K2934" t="inlineStr">
        <is>
          <t>20250505</t>
        </is>
      </c>
      <c r="L2934" t="inlineStr">
        <is>
          <t>20250507</t>
        </is>
      </c>
    </row>
    <row r="2935">
      <c r="A2935" t="inlineStr">
        <is>
          <t>900006371</t>
        </is>
      </c>
      <c r="B2935" t="inlineStr">
        <is>
          <t>D836</t>
        </is>
      </c>
      <c r="C2935" t="inlineStr">
        <is>
          <t>66779276</t>
        </is>
      </c>
      <c r="D2935" t="inlineStr">
        <is>
          <t>10000627</t>
        </is>
      </c>
      <c r="E2935" t="inlineStr"/>
      <c r="F2935" s="11" t="n">
        <v>125</v>
      </c>
      <c r="G2935" t="inlineStr"/>
      <c r="I2935" t="inlineStr">
        <is>
          <t>M3</t>
        </is>
      </c>
      <c r="J2935" t="inlineStr"/>
      <c r="K2935" t="inlineStr">
        <is>
          <t>20250505</t>
        </is>
      </c>
      <c r="L2935" t="inlineStr">
        <is>
          <t>20250507</t>
        </is>
      </c>
    </row>
    <row r="2936">
      <c r="A2936" t="inlineStr">
        <is>
          <t>900006543</t>
        </is>
      </c>
      <c r="B2936" t="inlineStr">
        <is>
          <t>D836</t>
        </is>
      </c>
      <c r="C2936" t="inlineStr">
        <is>
          <t>65006301</t>
        </is>
      </c>
      <c r="D2936" t="inlineStr">
        <is>
          <t>10000206</t>
        </is>
      </c>
      <c r="E2936" t="inlineStr"/>
      <c r="F2936" s="11" t="n">
        <v>20</v>
      </c>
      <c r="G2936" t="inlineStr"/>
      <c r="I2936" t="inlineStr">
        <is>
          <t>M3</t>
        </is>
      </c>
      <c r="J2936" t="inlineStr"/>
      <c r="K2936" t="inlineStr">
        <is>
          <t>20240425</t>
        </is>
      </c>
      <c r="L2936" t="inlineStr">
        <is>
          <t>20240814</t>
        </is>
      </c>
    </row>
    <row r="2937">
      <c r="A2937" t="inlineStr">
        <is>
          <t>900006543</t>
        </is>
      </c>
      <c r="B2937" t="inlineStr">
        <is>
          <t>D836</t>
        </is>
      </c>
      <c r="C2937" t="inlineStr">
        <is>
          <t>65006301</t>
        </is>
      </c>
      <c r="D2937" t="inlineStr">
        <is>
          <t>10000627</t>
        </is>
      </c>
      <c r="E2937" t="inlineStr"/>
      <c r="F2937" s="11" t="n">
        <v>115</v>
      </c>
      <c r="G2937" t="inlineStr"/>
      <c r="I2937" t="inlineStr">
        <is>
          <t>M3</t>
        </is>
      </c>
      <c r="J2937" t="inlineStr"/>
      <c r="K2937" t="inlineStr">
        <is>
          <t>20240425</t>
        </is>
      </c>
      <c r="L2937" t="inlineStr">
        <is>
          <t>20240814</t>
        </is>
      </c>
    </row>
    <row r="2938">
      <c r="A2938" t="inlineStr">
        <is>
          <t>900006543</t>
        </is>
      </c>
      <c r="B2938" t="inlineStr">
        <is>
          <t>D836</t>
        </is>
      </c>
      <c r="C2938" t="inlineStr">
        <is>
          <t>65006301</t>
        </is>
      </c>
      <c r="D2938" t="inlineStr">
        <is>
          <t>10185476</t>
        </is>
      </c>
      <c r="E2938" t="inlineStr"/>
      <c r="F2938" s="11" t="n">
        <v>108</v>
      </c>
      <c r="G2938" t="inlineStr"/>
      <c r="I2938" t="inlineStr">
        <is>
          <t>M3</t>
        </is>
      </c>
      <c r="J2938" t="inlineStr"/>
      <c r="K2938" t="inlineStr">
        <is>
          <t>20240425</t>
        </is>
      </c>
      <c r="L2938" t="inlineStr">
        <is>
          <t>20240814</t>
        </is>
      </c>
    </row>
    <row r="2939">
      <c r="A2939" t="inlineStr">
        <is>
          <t>900006543</t>
        </is>
      </c>
      <c r="B2939" t="inlineStr">
        <is>
          <t>D836</t>
        </is>
      </c>
      <c r="C2939" t="inlineStr">
        <is>
          <t>65006301</t>
        </is>
      </c>
      <c r="D2939" t="inlineStr">
        <is>
          <t>10185477</t>
        </is>
      </c>
      <c r="E2939" t="inlineStr"/>
      <c r="F2939" s="11" t="n">
        <v>115</v>
      </c>
      <c r="G2939" t="inlineStr"/>
      <c r="I2939" t="inlineStr">
        <is>
          <t>M3</t>
        </is>
      </c>
      <c r="J2939" t="inlineStr"/>
      <c r="K2939" t="inlineStr">
        <is>
          <t>20240425</t>
        </is>
      </c>
      <c r="L2939" t="inlineStr">
        <is>
          <t>20240814</t>
        </is>
      </c>
    </row>
    <row r="2940">
      <c r="A2940" t="inlineStr">
        <is>
          <t>900006543</t>
        </is>
      </c>
      <c r="B2940" t="inlineStr">
        <is>
          <t>D836</t>
        </is>
      </c>
      <c r="C2940" t="inlineStr">
        <is>
          <t>65232687</t>
        </is>
      </c>
      <c r="D2940" t="inlineStr">
        <is>
          <t>10185476</t>
        </is>
      </c>
      <c r="E2940" t="inlineStr"/>
      <c r="F2940" s="11" t="n">
        <v>130</v>
      </c>
      <c r="G2940" t="inlineStr"/>
      <c r="I2940" t="inlineStr">
        <is>
          <t>M3</t>
        </is>
      </c>
      <c r="J2940" t="inlineStr"/>
      <c r="K2940" t="inlineStr">
        <is>
          <t>20250505</t>
        </is>
      </c>
      <c r="L2940" t="inlineStr">
        <is>
          <t>20250507</t>
        </is>
      </c>
    </row>
    <row r="2941">
      <c r="A2941" t="inlineStr">
        <is>
          <t>900006543</t>
        </is>
      </c>
      <c r="B2941" t="inlineStr">
        <is>
          <t>D836</t>
        </is>
      </c>
      <c r="C2941" t="inlineStr">
        <is>
          <t>65232687</t>
        </is>
      </c>
      <c r="D2941" t="inlineStr">
        <is>
          <t>10185477</t>
        </is>
      </c>
      <c r="E2941" t="inlineStr"/>
      <c r="F2941" s="11" t="n">
        <v>180</v>
      </c>
      <c r="G2941" t="inlineStr"/>
      <c r="I2941" t="inlineStr">
        <is>
          <t>M3</t>
        </is>
      </c>
      <c r="J2941" t="inlineStr"/>
      <c r="K2941" t="inlineStr">
        <is>
          <t>20250505</t>
        </is>
      </c>
      <c r="L2941" t="inlineStr">
        <is>
          <t>20250507</t>
        </is>
      </c>
    </row>
    <row r="2942">
      <c r="A2942" t="inlineStr">
        <is>
          <t>900006543</t>
        </is>
      </c>
      <c r="B2942" t="inlineStr">
        <is>
          <t>D836</t>
        </is>
      </c>
      <c r="C2942" t="inlineStr">
        <is>
          <t>66426100</t>
        </is>
      </c>
      <c r="D2942" t="inlineStr">
        <is>
          <t>10185476</t>
        </is>
      </c>
      <c r="E2942" t="inlineStr"/>
      <c r="F2942" s="11" t="n">
        <v>115</v>
      </c>
      <c r="G2942" t="inlineStr"/>
      <c r="I2942" t="inlineStr">
        <is>
          <t>M3</t>
        </is>
      </c>
      <c r="J2942" t="inlineStr"/>
      <c r="K2942" t="inlineStr">
        <is>
          <t>20250505</t>
        </is>
      </c>
      <c r="L2942" t="inlineStr">
        <is>
          <t>20250507</t>
        </is>
      </c>
    </row>
    <row r="2943">
      <c r="A2943" t="inlineStr">
        <is>
          <t>900006543</t>
        </is>
      </c>
      <c r="B2943" t="inlineStr">
        <is>
          <t>D836</t>
        </is>
      </c>
      <c r="C2943" t="inlineStr">
        <is>
          <t>66426100</t>
        </is>
      </c>
      <c r="D2943" t="inlineStr">
        <is>
          <t>10185477</t>
        </is>
      </c>
      <c r="E2943" t="inlineStr"/>
      <c r="F2943" s="11" t="n">
        <v>120</v>
      </c>
      <c r="G2943" t="inlineStr"/>
      <c r="I2943" t="inlineStr">
        <is>
          <t>M3</t>
        </is>
      </c>
      <c r="J2943" t="inlineStr"/>
      <c r="K2943" t="inlineStr">
        <is>
          <t>20250505</t>
        </is>
      </c>
      <c r="L2943" t="inlineStr">
        <is>
          <t>20250507</t>
        </is>
      </c>
    </row>
    <row r="2944">
      <c r="A2944" t="inlineStr">
        <is>
          <t>900006543</t>
        </is>
      </c>
      <c r="B2944" t="inlineStr">
        <is>
          <t>D836</t>
        </is>
      </c>
      <c r="C2944" t="inlineStr">
        <is>
          <t>66433509</t>
        </is>
      </c>
      <c r="D2944" t="inlineStr">
        <is>
          <t>10185476</t>
        </is>
      </c>
      <c r="E2944" t="inlineStr"/>
      <c r="F2944" s="11" t="n">
        <v>115</v>
      </c>
      <c r="G2944" t="inlineStr"/>
      <c r="I2944" t="inlineStr">
        <is>
          <t>M3</t>
        </is>
      </c>
      <c r="J2944" t="inlineStr"/>
      <c r="K2944" t="inlineStr">
        <is>
          <t>20250505</t>
        </is>
      </c>
      <c r="L2944" t="inlineStr">
        <is>
          <t>20250507</t>
        </is>
      </c>
    </row>
    <row r="2945">
      <c r="A2945" t="inlineStr">
        <is>
          <t>900006543</t>
        </is>
      </c>
      <c r="B2945" t="inlineStr">
        <is>
          <t>D836</t>
        </is>
      </c>
      <c r="C2945" t="inlineStr">
        <is>
          <t>66433509</t>
        </is>
      </c>
      <c r="D2945" t="inlineStr">
        <is>
          <t>10185477</t>
        </is>
      </c>
      <c r="E2945" t="inlineStr"/>
      <c r="F2945" s="11" t="n">
        <v>120</v>
      </c>
      <c r="G2945" t="inlineStr"/>
      <c r="I2945" t="inlineStr">
        <is>
          <t>M3</t>
        </is>
      </c>
      <c r="J2945" t="inlineStr"/>
      <c r="K2945" t="inlineStr">
        <is>
          <t>20250505</t>
        </is>
      </c>
      <c r="L2945" t="inlineStr">
        <is>
          <t>20250507</t>
        </is>
      </c>
    </row>
    <row r="2946">
      <c r="A2946" t="inlineStr">
        <is>
          <t>900006543</t>
        </is>
      </c>
      <c r="B2946" t="inlineStr">
        <is>
          <t>D836</t>
        </is>
      </c>
      <c r="C2946" t="inlineStr">
        <is>
          <t>66828114</t>
        </is>
      </c>
      <c r="D2946" t="inlineStr">
        <is>
          <t>10185476</t>
        </is>
      </c>
      <c r="E2946" t="inlineStr"/>
      <c r="F2946" s="11" t="n">
        <v>110</v>
      </c>
      <c r="G2946" t="inlineStr"/>
      <c r="I2946" t="inlineStr">
        <is>
          <t>M3</t>
        </is>
      </c>
      <c r="J2946" t="inlineStr"/>
      <c r="K2946" t="inlineStr">
        <is>
          <t>20250505</t>
        </is>
      </c>
      <c r="L2946" t="inlineStr">
        <is>
          <t>20250507</t>
        </is>
      </c>
    </row>
    <row r="2947">
      <c r="A2947" t="inlineStr">
        <is>
          <t>900006543</t>
        </is>
      </c>
      <c r="B2947" t="inlineStr">
        <is>
          <t>D836</t>
        </is>
      </c>
      <c r="C2947" t="inlineStr">
        <is>
          <t>66828114</t>
        </is>
      </c>
      <c r="D2947" t="inlineStr">
        <is>
          <t>10185477</t>
        </is>
      </c>
      <c r="E2947" t="inlineStr"/>
      <c r="F2947" s="11" t="n">
        <v>125</v>
      </c>
      <c r="G2947" t="inlineStr"/>
      <c r="I2947" t="inlineStr">
        <is>
          <t>M3</t>
        </is>
      </c>
      <c r="J2947" t="inlineStr"/>
      <c r="K2947" t="inlineStr">
        <is>
          <t>20250505</t>
        </is>
      </c>
      <c r="L2947" t="inlineStr">
        <is>
          <t>20250507</t>
        </is>
      </c>
    </row>
    <row r="2948">
      <c r="A2948" t="inlineStr">
        <is>
          <t>900006543</t>
        </is>
      </c>
      <c r="B2948" t="inlineStr">
        <is>
          <t>D836</t>
        </is>
      </c>
      <c r="C2948" t="inlineStr">
        <is>
          <t>66878462</t>
        </is>
      </c>
      <c r="D2948" t="inlineStr">
        <is>
          <t>10000627</t>
        </is>
      </c>
      <c r="E2948" t="inlineStr"/>
      <c r="F2948" s="11" t="n">
        <v>115</v>
      </c>
      <c r="G2948" t="inlineStr"/>
      <c r="I2948" t="inlineStr">
        <is>
          <t>M3</t>
        </is>
      </c>
      <c r="J2948" t="inlineStr"/>
      <c r="K2948" t="inlineStr">
        <is>
          <t>20250505</t>
        </is>
      </c>
      <c r="L2948" t="inlineStr">
        <is>
          <t>20250507</t>
        </is>
      </c>
    </row>
    <row r="2949">
      <c r="A2949" t="inlineStr">
        <is>
          <t>900006543</t>
        </is>
      </c>
      <c r="B2949" t="inlineStr">
        <is>
          <t>D836</t>
        </is>
      </c>
      <c r="C2949" t="inlineStr">
        <is>
          <t>66878462</t>
        </is>
      </c>
      <c r="D2949" t="inlineStr">
        <is>
          <t>10185476</t>
        </is>
      </c>
      <c r="E2949" t="inlineStr"/>
      <c r="F2949" s="11" t="n">
        <v>108</v>
      </c>
      <c r="G2949" t="inlineStr"/>
      <c r="I2949" t="inlineStr">
        <is>
          <t>M3</t>
        </is>
      </c>
      <c r="J2949" t="inlineStr"/>
      <c r="K2949" t="inlineStr">
        <is>
          <t>20250505</t>
        </is>
      </c>
      <c r="L2949" t="inlineStr">
        <is>
          <t>20250507</t>
        </is>
      </c>
    </row>
    <row r="2950">
      <c r="A2950" t="inlineStr">
        <is>
          <t>900006543</t>
        </is>
      </c>
      <c r="B2950" t="inlineStr">
        <is>
          <t>D836</t>
        </is>
      </c>
      <c r="C2950" t="inlineStr">
        <is>
          <t>66878462</t>
        </is>
      </c>
      <c r="D2950" t="inlineStr">
        <is>
          <t>10185477</t>
        </is>
      </c>
      <c r="E2950" t="inlineStr"/>
      <c r="F2950" s="11" t="n">
        <v>115</v>
      </c>
      <c r="G2950" t="inlineStr"/>
      <c r="I2950" t="inlineStr">
        <is>
          <t>M3</t>
        </is>
      </c>
      <c r="J2950" t="inlineStr"/>
      <c r="K2950" t="inlineStr">
        <is>
          <t>20250505</t>
        </is>
      </c>
      <c r="L2950" t="inlineStr">
        <is>
          <t>20250507</t>
        </is>
      </c>
    </row>
    <row r="2951">
      <c r="A2951" t="inlineStr">
        <is>
          <t>900006543</t>
        </is>
      </c>
      <c r="B2951" t="inlineStr">
        <is>
          <t>D836</t>
        </is>
      </c>
      <c r="C2951" t="inlineStr">
        <is>
          <t>66922317</t>
        </is>
      </c>
      <c r="D2951" t="inlineStr">
        <is>
          <t>10000651</t>
        </is>
      </c>
      <c r="E2951" t="inlineStr"/>
      <c r="F2951" s="11" t="n">
        <v>135</v>
      </c>
      <c r="G2951" t="inlineStr"/>
      <c r="I2951" t="inlineStr">
        <is>
          <t>M3</t>
        </is>
      </c>
      <c r="J2951" t="inlineStr"/>
      <c r="K2951" t="inlineStr">
        <is>
          <t>20250528</t>
        </is>
      </c>
      <c r="L2951" t="inlineStr">
        <is>
          <t>20250710</t>
        </is>
      </c>
    </row>
    <row r="2952">
      <c r="A2952" t="inlineStr">
        <is>
          <t>900006543</t>
        </is>
      </c>
      <c r="B2952" t="inlineStr">
        <is>
          <t>D836</t>
        </is>
      </c>
      <c r="C2952" t="inlineStr">
        <is>
          <t>67015877</t>
        </is>
      </c>
      <c r="D2952" t="inlineStr">
        <is>
          <t>10000206</t>
        </is>
      </c>
      <c r="E2952" t="inlineStr"/>
      <c r="F2952" s="11" t="n">
        <v>20</v>
      </c>
      <c r="G2952" t="inlineStr"/>
      <c r="I2952" t="inlineStr">
        <is>
          <t>M3</t>
        </is>
      </c>
      <c r="J2952" t="inlineStr"/>
      <c r="K2952" t="inlineStr">
        <is>
          <t>20240425</t>
        </is>
      </c>
      <c r="L2952" t="inlineStr">
        <is>
          <t>20240814</t>
        </is>
      </c>
    </row>
    <row r="2953">
      <c r="A2953" t="inlineStr">
        <is>
          <t>900006543</t>
        </is>
      </c>
      <c r="B2953" t="inlineStr">
        <is>
          <t>D836</t>
        </is>
      </c>
      <c r="C2953" t="inlineStr">
        <is>
          <t>67015877</t>
        </is>
      </c>
      <c r="D2953" t="inlineStr">
        <is>
          <t>10000627</t>
        </is>
      </c>
      <c r="E2953" t="inlineStr"/>
      <c r="F2953" s="11" t="n">
        <v>115</v>
      </c>
      <c r="G2953" t="inlineStr"/>
      <c r="I2953" t="inlineStr">
        <is>
          <t>M3</t>
        </is>
      </c>
      <c r="J2953" t="inlineStr"/>
      <c r="K2953" t="inlineStr">
        <is>
          <t>20240425</t>
        </is>
      </c>
      <c r="L2953" t="inlineStr">
        <is>
          <t>20240814</t>
        </is>
      </c>
    </row>
    <row r="2954">
      <c r="A2954" t="inlineStr">
        <is>
          <t>900006543</t>
        </is>
      </c>
      <c r="B2954" t="inlineStr">
        <is>
          <t>D836</t>
        </is>
      </c>
      <c r="C2954" t="inlineStr">
        <is>
          <t>67015877</t>
        </is>
      </c>
      <c r="D2954" t="inlineStr">
        <is>
          <t>10185476</t>
        </is>
      </c>
      <c r="E2954" t="inlineStr"/>
      <c r="F2954" s="11" t="n">
        <v>108</v>
      </c>
      <c r="G2954" t="inlineStr"/>
      <c r="I2954" t="inlineStr">
        <is>
          <t>M3</t>
        </is>
      </c>
      <c r="J2954" t="inlineStr"/>
      <c r="K2954" t="inlineStr">
        <is>
          <t>20240425</t>
        </is>
      </c>
      <c r="L2954" t="inlineStr">
        <is>
          <t>20240814</t>
        </is>
      </c>
    </row>
    <row r="2955">
      <c r="A2955" t="inlineStr">
        <is>
          <t>900006543</t>
        </is>
      </c>
      <c r="B2955" t="inlineStr">
        <is>
          <t>D836</t>
        </is>
      </c>
      <c r="C2955" t="inlineStr">
        <is>
          <t>67015877</t>
        </is>
      </c>
      <c r="D2955" t="inlineStr">
        <is>
          <t>10185477</t>
        </is>
      </c>
      <c r="E2955" t="inlineStr"/>
      <c r="F2955" s="11" t="n">
        <v>115</v>
      </c>
      <c r="G2955" t="inlineStr"/>
      <c r="I2955" t="inlineStr">
        <is>
          <t>M3</t>
        </is>
      </c>
      <c r="J2955" t="inlineStr"/>
      <c r="K2955" t="inlineStr">
        <is>
          <t>20240425</t>
        </is>
      </c>
      <c r="L2955" t="inlineStr">
        <is>
          <t>20240814</t>
        </is>
      </c>
    </row>
    <row r="2956">
      <c r="A2956" t="inlineStr">
        <is>
          <t>900006543</t>
        </is>
      </c>
      <c r="B2956" t="inlineStr">
        <is>
          <t>D836</t>
        </is>
      </c>
      <c r="C2956" t="inlineStr">
        <is>
          <t>67239472</t>
        </is>
      </c>
      <c r="D2956" t="inlineStr">
        <is>
          <t>10000206</t>
        </is>
      </c>
      <c r="E2956" t="inlineStr"/>
      <c r="F2956" s="11" t="n">
        <v>20</v>
      </c>
      <c r="G2956" t="inlineStr"/>
      <c r="I2956" t="inlineStr">
        <is>
          <t>M3</t>
        </is>
      </c>
      <c r="J2956" t="inlineStr"/>
      <c r="K2956" t="inlineStr">
        <is>
          <t>20240425</t>
        </is>
      </c>
      <c r="L2956" t="inlineStr">
        <is>
          <t>20240814</t>
        </is>
      </c>
    </row>
    <row r="2957">
      <c r="A2957" t="inlineStr">
        <is>
          <t>900006543</t>
        </is>
      </c>
      <c r="B2957" t="inlineStr">
        <is>
          <t>D836</t>
        </is>
      </c>
      <c r="C2957" t="inlineStr">
        <is>
          <t>67239472</t>
        </is>
      </c>
      <c r="D2957" t="inlineStr">
        <is>
          <t>10000627</t>
        </is>
      </c>
      <c r="E2957" t="inlineStr"/>
      <c r="F2957" s="11" t="n">
        <v>115</v>
      </c>
      <c r="G2957" t="inlineStr"/>
      <c r="I2957" t="inlineStr">
        <is>
          <t>M3</t>
        </is>
      </c>
      <c r="J2957" t="inlineStr"/>
      <c r="K2957" t="inlineStr">
        <is>
          <t>20240425</t>
        </is>
      </c>
      <c r="L2957" t="inlineStr">
        <is>
          <t>20240814</t>
        </is>
      </c>
    </row>
    <row r="2958">
      <c r="A2958" t="inlineStr">
        <is>
          <t>900006543</t>
        </is>
      </c>
      <c r="B2958" t="inlineStr">
        <is>
          <t>D836</t>
        </is>
      </c>
      <c r="C2958" t="inlineStr">
        <is>
          <t>67239472</t>
        </is>
      </c>
      <c r="D2958" t="inlineStr">
        <is>
          <t>10185476</t>
        </is>
      </c>
      <c r="E2958" t="inlineStr"/>
      <c r="F2958" s="11" t="n">
        <v>108</v>
      </c>
      <c r="G2958" t="inlineStr"/>
      <c r="I2958" t="inlineStr">
        <is>
          <t>M3</t>
        </is>
      </c>
      <c r="J2958" t="inlineStr"/>
      <c r="K2958" t="inlineStr">
        <is>
          <t>20240425</t>
        </is>
      </c>
      <c r="L2958" t="inlineStr">
        <is>
          <t>20240814</t>
        </is>
      </c>
    </row>
    <row r="2959">
      <c r="A2959" t="inlineStr">
        <is>
          <t>900006543</t>
        </is>
      </c>
      <c r="B2959" t="inlineStr">
        <is>
          <t>D836</t>
        </is>
      </c>
      <c r="C2959" t="inlineStr">
        <is>
          <t>67239472</t>
        </is>
      </c>
      <c r="D2959" t="inlineStr">
        <is>
          <t>10185477</t>
        </is>
      </c>
      <c r="E2959" t="inlineStr"/>
      <c r="F2959" s="11" t="n">
        <v>115</v>
      </c>
      <c r="G2959" t="inlineStr"/>
      <c r="I2959" t="inlineStr">
        <is>
          <t>M3</t>
        </is>
      </c>
      <c r="J2959" t="inlineStr"/>
      <c r="K2959" t="inlineStr">
        <is>
          <t>20240425</t>
        </is>
      </c>
      <c r="L2959" t="inlineStr">
        <is>
          <t>20240814</t>
        </is>
      </c>
    </row>
    <row r="2960">
      <c r="A2960" t="inlineStr">
        <is>
          <t>900006543</t>
        </is>
      </c>
      <c r="B2960" t="inlineStr">
        <is>
          <t>D836</t>
        </is>
      </c>
      <c r="C2960" t="inlineStr">
        <is>
          <t>67244591</t>
        </is>
      </c>
      <c r="D2960" t="inlineStr">
        <is>
          <t>10185476</t>
        </is>
      </c>
      <c r="E2960" t="inlineStr"/>
      <c r="F2960" s="11" t="n">
        <v>105</v>
      </c>
      <c r="G2960" t="inlineStr"/>
      <c r="I2960" t="inlineStr">
        <is>
          <t>M3</t>
        </is>
      </c>
      <c r="J2960" t="inlineStr"/>
      <c r="K2960" t="inlineStr">
        <is>
          <t>20250505</t>
        </is>
      </c>
      <c r="L2960" t="inlineStr">
        <is>
          <t>20250507</t>
        </is>
      </c>
    </row>
    <row r="2961">
      <c r="A2961" t="inlineStr">
        <is>
          <t>900006543</t>
        </is>
      </c>
      <c r="B2961" t="inlineStr">
        <is>
          <t>D836</t>
        </is>
      </c>
      <c r="C2961" t="inlineStr">
        <is>
          <t>67244591</t>
        </is>
      </c>
      <c r="D2961" t="inlineStr">
        <is>
          <t>10185477</t>
        </is>
      </c>
      <c r="E2961" t="inlineStr"/>
      <c r="F2961" s="11" t="n">
        <v>118</v>
      </c>
      <c r="G2961" t="inlineStr"/>
      <c r="I2961" t="inlineStr">
        <is>
          <t>M3</t>
        </is>
      </c>
      <c r="J2961" t="inlineStr"/>
      <c r="K2961" t="inlineStr">
        <is>
          <t>20250505</t>
        </is>
      </c>
      <c r="L2961" t="inlineStr">
        <is>
          <t>20250507</t>
        </is>
      </c>
    </row>
    <row r="2962">
      <c r="A2962" t="inlineStr">
        <is>
          <t>900006543</t>
        </is>
      </c>
      <c r="B2962" t="inlineStr">
        <is>
          <t>D836</t>
        </is>
      </c>
      <c r="C2962" t="inlineStr">
        <is>
          <t>67247435</t>
        </is>
      </c>
      <c r="D2962" t="inlineStr">
        <is>
          <t>10185476</t>
        </is>
      </c>
      <c r="E2962" t="inlineStr"/>
      <c r="F2962" s="11" t="n">
        <v>105</v>
      </c>
      <c r="G2962" t="inlineStr"/>
      <c r="I2962" t="inlineStr">
        <is>
          <t>M3</t>
        </is>
      </c>
      <c r="J2962" t="inlineStr"/>
      <c r="K2962" t="inlineStr">
        <is>
          <t>20240425</t>
        </is>
      </c>
      <c r="L2962" t="inlineStr">
        <is>
          <t>20240814</t>
        </is>
      </c>
    </row>
    <row r="2963">
      <c r="A2963" t="inlineStr">
        <is>
          <t>900006543</t>
        </is>
      </c>
      <c r="B2963" t="inlineStr">
        <is>
          <t>D836</t>
        </is>
      </c>
      <c r="C2963" t="inlineStr">
        <is>
          <t>67247435</t>
        </is>
      </c>
      <c r="D2963" t="inlineStr">
        <is>
          <t>10185477</t>
        </is>
      </c>
      <c r="E2963" t="inlineStr"/>
      <c r="F2963" s="11" t="n">
        <v>118</v>
      </c>
      <c r="G2963" t="inlineStr"/>
      <c r="I2963" t="inlineStr">
        <is>
          <t>M3</t>
        </is>
      </c>
      <c r="J2963" t="inlineStr"/>
      <c r="K2963" t="inlineStr">
        <is>
          <t>20240425</t>
        </is>
      </c>
      <c r="L2963" t="inlineStr">
        <is>
          <t>20240814</t>
        </is>
      </c>
    </row>
    <row r="2964">
      <c r="A2964" t="inlineStr">
        <is>
          <t>900006543</t>
        </is>
      </c>
      <c r="B2964" t="inlineStr">
        <is>
          <t>D836</t>
        </is>
      </c>
      <c r="C2964" t="inlineStr">
        <is>
          <t>67285266</t>
        </is>
      </c>
      <c r="D2964" t="inlineStr">
        <is>
          <t>10185476</t>
        </is>
      </c>
      <c r="E2964" t="inlineStr"/>
      <c r="F2964" s="11" t="n">
        <v>105</v>
      </c>
      <c r="G2964" t="inlineStr"/>
      <c r="I2964" t="inlineStr">
        <is>
          <t>M3</t>
        </is>
      </c>
      <c r="J2964" t="inlineStr"/>
      <c r="K2964" t="inlineStr">
        <is>
          <t>20240813</t>
        </is>
      </c>
      <c r="L2964" t="inlineStr">
        <is>
          <t>20241108</t>
        </is>
      </c>
    </row>
    <row r="2965">
      <c r="A2965" t="inlineStr">
        <is>
          <t>900006543</t>
        </is>
      </c>
      <c r="B2965" t="inlineStr">
        <is>
          <t>D836</t>
        </is>
      </c>
      <c r="C2965" t="inlineStr">
        <is>
          <t>67285266</t>
        </is>
      </c>
      <c r="D2965" t="inlineStr">
        <is>
          <t>10185477</t>
        </is>
      </c>
      <c r="E2965" t="inlineStr"/>
      <c r="F2965" s="11" t="n">
        <v>118</v>
      </c>
      <c r="G2965" t="inlineStr"/>
      <c r="I2965" t="inlineStr">
        <is>
          <t>M3</t>
        </is>
      </c>
      <c r="J2965" t="inlineStr"/>
      <c r="K2965" t="inlineStr">
        <is>
          <t>20240813</t>
        </is>
      </c>
      <c r="L2965" t="inlineStr">
        <is>
          <t>20241108</t>
        </is>
      </c>
    </row>
    <row r="2966">
      <c r="A2966" t="inlineStr">
        <is>
          <t>900006950</t>
        </is>
      </c>
      <c r="B2966" t="inlineStr">
        <is>
          <t>D836</t>
        </is>
      </c>
      <c r="C2966" t="inlineStr">
        <is>
          <t>65061687</t>
        </is>
      </c>
      <c r="D2966" t="inlineStr">
        <is>
          <t>10183920</t>
        </is>
      </c>
      <c r="E2966" t="inlineStr"/>
      <c r="F2966" s="11" t="n">
        <v>330</v>
      </c>
      <c r="G2966" t="inlineStr"/>
      <c r="I2966" t="inlineStr">
        <is>
          <t>M3</t>
        </is>
      </c>
      <c r="J2966" t="inlineStr"/>
      <c r="K2966" t="inlineStr">
        <is>
          <t>20240425</t>
        </is>
      </c>
      <c r="L2966" t="inlineStr">
        <is>
          <t>20240814</t>
        </is>
      </c>
    </row>
    <row r="2967">
      <c r="A2967" t="inlineStr">
        <is>
          <t>900007320</t>
        </is>
      </c>
      <c r="B2967" t="inlineStr">
        <is>
          <t>D836</t>
        </is>
      </c>
      <c r="C2967" t="inlineStr">
        <is>
          <t>65006122</t>
        </is>
      </c>
      <c r="D2967" t="inlineStr">
        <is>
          <t>10000357</t>
        </is>
      </c>
      <c r="E2967" t="inlineStr"/>
      <c r="F2967" s="11" t="n">
        <v>150</v>
      </c>
      <c r="G2967" t="inlineStr"/>
      <c r="I2967" t="inlineStr">
        <is>
          <t>M3</t>
        </is>
      </c>
      <c r="J2967" t="inlineStr"/>
      <c r="K2967" t="inlineStr">
        <is>
          <t>20260318</t>
        </is>
      </c>
      <c r="L2967" t="inlineStr">
        <is>
          <t>20260318</t>
        </is>
      </c>
    </row>
    <row r="2968">
      <c r="A2968" t="inlineStr">
        <is>
          <t>900007321</t>
        </is>
      </c>
      <c r="B2968" t="inlineStr">
        <is>
          <t>D836</t>
        </is>
      </c>
      <c r="C2968" t="inlineStr">
        <is>
          <t>65014664</t>
        </is>
      </c>
      <c r="D2968" t="inlineStr">
        <is>
          <t>10000160</t>
        </is>
      </c>
      <c r="E2968" t="inlineStr"/>
      <c r="F2968" s="11" t="n">
        <v>119.4</v>
      </c>
      <c r="G2968" t="inlineStr"/>
      <c r="I2968" t="inlineStr">
        <is>
          <t>M3</t>
        </is>
      </c>
      <c r="J2968" t="inlineStr"/>
      <c r="K2968" t="inlineStr">
        <is>
          <t>20250528</t>
        </is>
      </c>
      <c r="L2968" t="inlineStr">
        <is>
          <t>20250710</t>
        </is>
      </c>
    </row>
    <row r="2969">
      <c r="A2969" t="inlineStr">
        <is>
          <t>900007321</t>
        </is>
      </c>
      <c r="B2969" t="inlineStr">
        <is>
          <t>D836</t>
        </is>
      </c>
      <c r="C2969" t="inlineStr">
        <is>
          <t>65440384</t>
        </is>
      </c>
      <c r="D2969" t="inlineStr">
        <is>
          <t>10000160</t>
        </is>
      </c>
      <c r="E2969" t="inlineStr"/>
      <c r="F2969" s="11" t="n">
        <v>111.4</v>
      </c>
      <c r="G2969" t="inlineStr"/>
      <c r="I2969" t="inlineStr">
        <is>
          <t>M3</t>
        </is>
      </c>
      <c r="J2969" t="inlineStr"/>
      <c r="K2969" t="inlineStr">
        <is>
          <t>20250528</t>
        </is>
      </c>
      <c r="L2969" t="inlineStr">
        <is>
          <t>20250710</t>
        </is>
      </c>
    </row>
    <row r="2970">
      <c r="A2970" t="inlineStr">
        <is>
          <t>900007321</t>
        </is>
      </c>
      <c r="B2970" t="inlineStr">
        <is>
          <t>D836</t>
        </is>
      </c>
      <c r="C2970" t="inlineStr">
        <is>
          <t>66779276</t>
        </is>
      </c>
      <c r="D2970" t="inlineStr">
        <is>
          <t>10000160</t>
        </is>
      </c>
      <c r="E2970" t="inlineStr"/>
      <c r="F2970" s="11" t="n">
        <v>115.95</v>
      </c>
      <c r="G2970" t="inlineStr"/>
      <c r="I2970" t="inlineStr">
        <is>
          <t>M3</t>
        </is>
      </c>
      <c r="J2970" t="inlineStr"/>
      <c r="K2970" t="inlineStr">
        <is>
          <t>20250505</t>
        </is>
      </c>
      <c r="L2970" t="inlineStr">
        <is>
          <t>20250507</t>
        </is>
      </c>
    </row>
    <row r="2971">
      <c r="A2971" t="inlineStr">
        <is>
          <t>900007321</t>
        </is>
      </c>
      <c r="B2971" t="inlineStr">
        <is>
          <t>D836</t>
        </is>
      </c>
      <c r="C2971" t="inlineStr">
        <is>
          <t>66779276</t>
        </is>
      </c>
      <c r="D2971" t="inlineStr">
        <is>
          <t>10000357</t>
        </is>
      </c>
      <c r="E2971" t="inlineStr"/>
      <c r="F2971" s="11" t="n">
        <v>134.43</v>
      </c>
      <c r="G2971" t="inlineStr"/>
      <c r="I2971" t="inlineStr">
        <is>
          <t>M3</t>
        </is>
      </c>
      <c r="J2971" t="inlineStr"/>
      <c r="K2971" t="inlineStr">
        <is>
          <t>20250505</t>
        </is>
      </c>
      <c r="L2971" t="inlineStr">
        <is>
          <t>20250507</t>
        </is>
      </c>
    </row>
    <row r="2972">
      <c r="A2972" t="inlineStr">
        <is>
          <t>900007321</t>
        </is>
      </c>
      <c r="B2972" t="inlineStr">
        <is>
          <t>D836</t>
        </is>
      </c>
      <c r="C2972" t="inlineStr">
        <is>
          <t>66779276</t>
        </is>
      </c>
      <c r="D2972" t="inlineStr">
        <is>
          <t>10000627</t>
        </is>
      </c>
      <c r="E2972" t="inlineStr"/>
      <c r="F2972" s="11" t="n">
        <v>100.13</v>
      </c>
      <c r="G2972" t="inlineStr"/>
      <c r="I2972" t="inlineStr">
        <is>
          <t>M3</t>
        </is>
      </c>
      <c r="J2972" t="inlineStr"/>
      <c r="K2972" t="inlineStr">
        <is>
          <t>20250505</t>
        </is>
      </c>
      <c r="L2972" t="inlineStr">
        <is>
          <t>20250507</t>
        </is>
      </c>
    </row>
    <row r="2973">
      <c r="A2973" t="inlineStr">
        <is>
          <t>900008571</t>
        </is>
      </c>
      <c r="B2973" t="inlineStr">
        <is>
          <t>D836</t>
        </is>
      </c>
      <c r="C2973" t="inlineStr">
        <is>
          <t>65232687</t>
        </is>
      </c>
      <c r="D2973" t="inlineStr">
        <is>
          <t>10002802</t>
        </is>
      </c>
      <c r="E2973" t="inlineStr"/>
      <c r="F2973" s="11" t="n">
        <v>145</v>
      </c>
      <c r="G2973" t="inlineStr"/>
      <c r="I2973" t="inlineStr">
        <is>
          <t>M3</t>
        </is>
      </c>
      <c r="J2973" t="inlineStr"/>
      <c r="K2973" t="inlineStr">
        <is>
          <t>20240425</t>
        </is>
      </c>
      <c r="L2973" t="inlineStr">
        <is>
          <t>20240814</t>
        </is>
      </c>
    </row>
    <row r="2974">
      <c r="A2974" t="inlineStr">
        <is>
          <t>900008571</t>
        </is>
      </c>
      <c r="B2974" t="inlineStr">
        <is>
          <t>D836</t>
        </is>
      </c>
      <c r="C2974" t="inlineStr">
        <is>
          <t>65387641</t>
        </is>
      </c>
      <c r="D2974" t="inlineStr">
        <is>
          <t>10002802</t>
        </is>
      </c>
      <c r="E2974" t="inlineStr"/>
      <c r="F2974" s="11" t="n">
        <v>145</v>
      </c>
      <c r="G2974" t="inlineStr"/>
      <c r="I2974" t="inlineStr">
        <is>
          <t>M3</t>
        </is>
      </c>
      <c r="J2974" t="inlineStr"/>
      <c r="K2974" t="inlineStr">
        <is>
          <t>20240425</t>
        </is>
      </c>
      <c r="L2974" t="inlineStr">
        <is>
          <t>20240814</t>
        </is>
      </c>
    </row>
    <row r="2975">
      <c r="A2975" t="inlineStr">
        <is>
          <t>900008571</t>
        </is>
      </c>
      <c r="B2975" t="inlineStr">
        <is>
          <t>D836</t>
        </is>
      </c>
      <c r="C2975" t="inlineStr">
        <is>
          <t>67279603</t>
        </is>
      </c>
      <c r="D2975" t="inlineStr">
        <is>
          <t>10002802</t>
        </is>
      </c>
      <c r="E2975" t="inlineStr"/>
      <c r="F2975" s="11" t="n">
        <v>145</v>
      </c>
      <c r="G2975" t="inlineStr"/>
      <c r="I2975" t="inlineStr">
        <is>
          <t>M3</t>
        </is>
      </c>
      <c r="J2975" t="inlineStr"/>
      <c r="K2975" t="inlineStr">
        <is>
          <t>20240813</t>
        </is>
      </c>
      <c r="L2975" t="inlineStr">
        <is>
          <t>20241108</t>
        </is>
      </c>
    </row>
    <row r="2976">
      <c r="A2976" t="inlineStr">
        <is>
          <t>900008845</t>
        </is>
      </c>
      <c r="B2976" t="inlineStr">
        <is>
          <t>D836</t>
        </is>
      </c>
      <c r="C2976" t="inlineStr">
        <is>
          <t>65006301</t>
        </is>
      </c>
      <c r="D2976" t="inlineStr">
        <is>
          <t>10227598</t>
        </is>
      </c>
      <c r="E2976" t="inlineStr"/>
      <c r="F2976" s="11" t="n">
        <v>78</v>
      </c>
      <c r="G2976" t="inlineStr"/>
      <c r="I2976" t="inlineStr">
        <is>
          <t>M3</t>
        </is>
      </c>
      <c r="J2976" t="inlineStr"/>
      <c r="K2976" t="inlineStr">
        <is>
          <t>20240425</t>
        </is>
      </c>
      <c r="L2976" t="inlineStr">
        <is>
          <t>20240814</t>
        </is>
      </c>
    </row>
    <row r="2977">
      <c r="A2977" t="inlineStr">
        <is>
          <t>900008845</t>
        </is>
      </c>
      <c r="B2977" t="inlineStr">
        <is>
          <t>D836</t>
        </is>
      </c>
      <c r="C2977" t="inlineStr">
        <is>
          <t>66878462</t>
        </is>
      </c>
      <c r="D2977" t="inlineStr">
        <is>
          <t>10227598</t>
        </is>
      </c>
      <c r="E2977" t="inlineStr"/>
      <c r="F2977" s="11" t="n">
        <v>78</v>
      </c>
      <c r="G2977" t="inlineStr"/>
      <c r="I2977" t="inlineStr">
        <is>
          <t>M3</t>
        </is>
      </c>
      <c r="J2977" t="inlineStr"/>
      <c r="K2977" t="inlineStr">
        <is>
          <t>20250505</t>
        </is>
      </c>
      <c r="L2977" t="inlineStr">
        <is>
          <t>20250507</t>
        </is>
      </c>
    </row>
    <row r="2978">
      <c r="A2978" t="inlineStr">
        <is>
          <t>900008845</t>
        </is>
      </c>
      <c r="B2978" t="inlineStr">
        <is>
          <t>D836</t>
        </is>
      </c>
      <c r="C2978" t="inlineStr">
        <is>
          <t>67015877</t>
        </is>
      </c>
      <c r="D2978" t="inlineStr">
        <is>
          <t>10227598</t>
        </is>
      </c>
      <c r="E2978" t="inlineStr"/>
      <c r="F2978" s="11" t="n">
        <v>78</v>
      </c>
      <c r="G2978" t="inlineStr"/>
      <c r="I2978" t="inlineStr">
        <is>
          <t>M3</t>
        </is>
      </c>
      <c r="J2978" t="inlineStr"/>
      <c r="K2978" t="inlineStr">
        <is>
          <t>20240425</t>
        </is>
      </c>
      <c r="L2978" t="inlineStr">
        <is>
          <t>20240814</t>
        </is>
      </c>
    </row>
    <row r="2979">
      <c r="A2979" t="inlineStr">
        <is>
          <t>900008845</t>
        </is>
      </c>
      <c r="B2979" t="inlineStr">
        <is>
          <t>D836</t>
        </is>
      </c>
      <c r="C2979" t="inlineStr">
        <is>
          <t>67132343</t>
        </is>
      </c>
      <c r="D2979" t="inlineStr">
        <is>
          <t>10227598</t>
        </is>
      </c>
      <c r="E2979" t="inlineStr"/>
      <c r="F2979" s="11" t="n">
        <v>80</v>
      </c>
      <c r="G2979" t="inlineStr"/>
      <c r="I2979" t="inlineStr">
        <is>
          <t>M3</t>
        </is>
      </c>
      <c r="J2979" t="inlineStr"/>
      <c r="K2979" t="inlineStr">
        <is>
          <t>20240813</t>
        </is>
      </c>
      <c r="L2979" t="inlineStr">
        <is>
          <t>20241108</t>
        </is>
      </c>
    </row>
    <row r="2980">
      <c r="A2980" t="inlineStr">
        <is>
          <t>900008845</t>
        </is>
      </c>
      <c r="B2980" t="inlineStr">
        <is>
          <t>D836</t>
        </is>
      </c>
      <c r="C2980" t="inlineStr">
        <is>
          <t>67239472</t>
        </is>
      </c>
      <c r="D2980" t="inlineStr">
        <is>
          <t>10227598</t>
        </is>
      </c>
      <c r="E2980" t="inlineStr"/>
      <c r="F2980" s="11" t="n">
        <v>78</v>
      </c>
      <c r="G2980" t="inlineStr"/>
      <c r="I2980" t="inlineStr">
        <is>
          <t>M3</t>
        </is>
      </c>
      <c r="J2980" t="inlineStr"/>
      <c r="K2980" t="inlineStr">
        <is>
          <t>20240425</t>
        </is>
      </c>
      <c r="L2980" t="inlineStr">
        <is>
          <t>20240814</t>
        </is>
      </c>
    </row>
    <row r="2981">
      <c r="A2981" t="inlineStr">
        <is>
          <t>900009140</t>
        </is>
      </c>
      <c r="B2981" t="inlineStr">
        <is>
          <t>D836</t>
        </is>
      </c>
      <c r="C2981" t="inlineStr">
        <is>
          <t>65016451</t>
        </is>
      </c>
      <c r="D2981" t="inlineStr">
        <is>
          <t>10140399</t>
        </is>
      </c>
      <c r="E2981" t="inlineStr"/>
      <c r="F2981" s="11" t="n">
        <v>199</v>
      </c>
      <c r="G2981" t="inlineStr"/>
      <c r="I2981" t="inlineStr">
        <is>
          <t>TN</t>
        </is>
      </c>
      <c r="J2981" t="inlineStr"/>
      <c r="K2981" t="inlineStr">
        <is>
          <t>20250505</t>
        </is>
      </c>
      <c r="L2981" t="inlineStr">
        <is>
          <t>20250507</t>
        </is>
      </c>
    </row>
    <row r="2982">
      <c r="A2982" t="inlineStr">
        <is>
          <t>900009140</t>
        </is>
      </c>
      <c r="B2982" t="inlineStr">
        <is>
          <t>D836</t>
        </is>
      </c>
      <c r="C2982" t="inlineStr">
        <is>
          <t>65016451</t>
        </is>
      </c>
      <c r="D2982" t="inlineStr">
        <is>
          <t>10221480</t>
        </is>
      </c>
      <c r="E2982" t="inlineStr"/>
      <c r="F2982" s="11" t="n">
        <v>150</v>
      </c>
      <c r="G2982" t="inlineStr"/>
      <c r="I2982" t="inlineStr">
        <is>
          <t>TN</t>
        </is>
      </c>
      <c r="J2982" t="inlineStr"/>
      <c r="K2982" t="inlineStr">
        <is>
          <t>20250505</t>
        </is>
      </c>
      <c r="L2982" t="inlineStr">
        <is>
          <t>20250507</t>
        </is>
      </c>
    </row>
    <row r="2983">
      <c r="A2983" t="inlineStr">
        <is>
          <t>900009140</t>
        </is>
      </c>
      <c r="B2983" t="inlineStr">
        <is>
          <t>D836</t>
        </is>
      </c>
      <c r="C2983" t="inlineStr">
        <is>
          <t>66779276</t>
        </is>
      </c>
      <c r="D2983" t="inlineStr">
        <is>
          <t>10184011</t>
        </is>
      </c>
      <c r="E2983" t="inlineStr"/>
      <c r="F2983" s="11" t="n">
        <v>160</v>
      </c>
      <c r="G2983" t="inlineStr"/>
      <c r="I2983" t="inlineStr">
        <is>
          <t>TN</t>
        </is>
      </c>
      <c r="J2983" t="inlineStr"/>
      <c r="K2983" t="inlineStr">
        <is>
          <t>20250505</t>
        </is>
      </c>
      <c r="L2983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900000034D8366505050710000757</t>
        </is>
      </c>
      <c r="B2" t="inlineStr">
        <is>
          <t>900000034</t>
        </is>
      </c>
      <c r="C2" t="inlineStr">
        <is>
          <t>D836</t>
        </is>
      </c>
      <c r="D2" t="inlineStr">
        <is>
          <t>65050507</t>
        </is>
      </c>
      <c r="E2" t="inlineStr">
        <is>
          <t>1</t>
        </is>
      </c>
      <c r="F2" t="inlineStr">
        <is>
          <t>10000757</t>
        </is>
      </c>
      <c r="H2" t="inlineStr"/>
      <c r="J2" t="n">
        <v>31.18</v>
      </c>
      <c r="K2" t="inlineStr"/>
      <c r="M2" t="inlineStr">
        <is>
          <t>TN</t>
        </is>
      </c>
      <c r="N2" t="inlineStr"/>
      <c r="P2" t="inlineStr">
        <is>
          <t>20111118</t>
        </is>
      </c>
      <c r="Q2" t="inlineStr">
        <is>
          <t>99991231</t>
        </is>
      </c>
    </row>
    <row r="3">
      <c r="A3" t="inlineStr">
        <is>
          <t>900000034D8366556580310000722</t>
        </is>
      </c>
      <c r="B3" t="inlineStr">
        <is>
          <t>900000034</t>
        </is>
      </c>
      <c r="C3" t="inlineStr">
        <is>
          <t>D836</t>
        </is>
      </c>
      <c r="D3" t="inlineStr">
        <is>
          <t>65565803</t>
        </is>
      </c>
      <c r="E3" t="inlineStr">
        <is>
          <t>1</t>
        </is>
      </c>
      <c r="F3" t="inlineStr">
        <is>
          <t>10000722</t>
        </is>
      </c>
      <c r="H3" t="inlineStr"/>
      <c r="J3" t="n">
        <v>104</v>
      </c>
      <c r="K3" t="inlineStr"/>
      <c r="M3" t="inlineStr">
        <is>
          <t>TN</t>
        </is>
      </c>
      <c r="N3" t="inlineStr"/>
      <c r="P3" t="inlineStr">
        <is>
          <t>20190426</t>
        </is>
      </c>
      <c r="Q3" t="inlineStr">
        <is>
          <t>20250127</t>
        </is>
      </c>
    </row>
    <row r="4">
      <c r="A4" t="inlineStr">
        <is>
          <t>900000034D8366592176410000623</t>
        </is>
      </c>
      <c r="B4" t="inlineStr">
        <is>
          <t>900000034</t>
        </is>
      </c>
      <c r="C4" t="inlineStr">
        <is>
          <t>D836</t>
        </is>
      </c>
      <c r="D4" t="inlineStr">
        <is>
          <t>65921764</t>
        </is>
      </c>
      <c r="E4" t="inlineStr">
        <is>
          <t>1</t>
        </is>
      </c>
      <c r="F4" t="inlineStr">
        <is>
          <t>10000623</t>
        </is>
      </c>
      <c r="H4" t="inlineStr"/>
      <c r="J4" t="n">
        <v>103</v>
      </c>
      <c r="K4" t="inlineStr"/>
      <c r="M4" t="inlineStr">
        <is>
          <t>M3</t>
        </is>
      </c>
      <c r="N4" t="inlineStr"/>
      <c r="P4" t="inlineStr">
        <is>
          <t>20190426</t>
        </is>
      </c>
      <c r="Q4" t="inlineStr">
        <is>
          <t>20250127</t>
        </is>
      </c>
    </row>
    <row r="5">
      <c r="A5" t="inlineStr">
        <is>
          <t>900000080D8366579688210000357</t>
        </is>
      </c>
      <c r="B5" t="inlineStr">
        <is>
          <t>900000080</t>
        </is>
      </c>
      <c r="C5" t="inlineStr">
        <is>
          <t>D836</t>
        </is>
      </c>
      <c r="D5" t="inlineStr">
        <is>
          <t>65796882</t>
        </is>
      </c>
      <c r="E5" t="inlineStr">
        <is>
          <t>1</t>
        </is>
      </c>
      <c r="F5" t="inlineStr">
        <is>
          <t>10000357</t>
        </is>
      </c>
      <c r="H5" t="inlineStr"/>
      <c r="J5" t="n">
        <v>53</v>
      </c>
      <c r="K5" t="inlineStr"/>
      <c r="M5" t="inlineStr">
        <is>
          <t>TN</t>
        </is>
      </c>
      <c r="N5" t="inlineStr"/>
      <c r="P5" t="inlineStr">
        <is>
          <t>20190426</t>
        </is>
      </c>
      <c r="Q5" t="inlineStr">
        <is>
          <t>20250127</t>
        </is>
      </c>
    </row>
    <row r="6">
      <c r="A6" t="inlineStr">
        <is>
          <t>900000080D8366579688210000625</t>
        </is>
      </c>
      <c r="B6" t="inlineStr">
        <is>
          <t>900000080</t>
        </is>
      </c>
      <c r="C6" t="inlineStr">
        <is>
          <t>D836</t>
        </is>
      </c>
      <c r="D6" t="inlineStr">
        <is>
          <t>65796882</t>
        </is>
      </c>
      <c r="E6" t="inlineStr">
        <is>
          <t>1</t>
        </is>
      </c>
      <c r="F6" t="inlineStr">
        <is>
          <t>10000625</t>
        </is>
      </c>
      <c r="H6" t="inlineStr"/>
      <c r="J6" t="n">
        <v>53</v>
      </c>
      <c r="K6" t="inlineStr"/>
      <c r="M6" t="inlineStr">
        <is>
          <t>TN</t>
        </is>
      </c>
      <c r="N6" t="inlineStr"/>
      <c r="P6" t="inlineStr">
        <is>
          <t>20190426</t>
        </is>
      </c>
      <c r="Q6" t="inlineStr">
        <is>
          <t>20250127</t>
        </is>
      </c>
    </row>
    <row r="7">
      <c r="A7" t="inlineStr">
        <is>
          <t>900000080D8366579688210000627</t>
        </is>
      </c>
      <c r="B7" t="inlineStr">
        <is>
          <t>900000080</t>
        </is>
      </c>
      <c r="C7" t="inlineStr">
        <is>
          <t>D836</t>
        </is>
      </c>
      <c r="D7" t="inlineStr">
        <is>
          <t>65796882</t>
        </is>
      </c>
      <c r="E7" t="inlineStr">
        <is>
          <t>1</t>
        </is>
      </c>
      <c r="F7" t="inlineStr">
        <is>
          <t>10000627</t>
        </is>
      </c>
      <c r="H7" t="inlineStr"/>
      <c r="J7" t="n">
        <v>53</v>
      </c>
      <c r="K7" t="inlineStr"/>
      <c r="M7" t="inlineStr">
        <is>
          <t>TN</t>
        </is>
      </c>
      <c r="N7" t="inlineStr"/>
      <c r="P7" t="inlineStr">
        <is>
          <t>20190426</t>
        </is>
      </c>
      <c r="Q7" t="inlineStr">
        <is>
          <t>20250127</t>
        </is>
      </c>
    </row>
    <row r="8">
      <c r="A8" t="inlineStr">
        <is>
          <t>900000137D8366501515310000722</t>
        </is>
      </c>
      <c r="B8" t="inlineStr">
        <is>
          <t>900000137</t>
        </is>
      </c>
      <c r="C8" t="inlineStr">
        <is>
          <t>D836</t>
        </is>
      </c>
      <c r="D8" t="inlineStr">
        <is>
          <t>65015153</t>
        </is>
      </c>
      <c r="E8" t="inlineStr">
        <is>
          <t>1</t>
        </is>
      </c>
      <c r="F8" t="inlineStr">
        <is>
          <t>10000722</t>
        </is>
      </c>
      <c r="H8" t="inlineStr"/>
      <c r="J8" t="n">
        <v>100.44</v>
      </c>
      <c r="K8" t="inlineStr"/>
      <c r="M8" t="inlineStr">
        <is>
          <t>TN</t>
        </is>
      </c>
      <c r="N8" t="inlineStr"/>
      <c r="P8" t="inlineStr">
        <is>
          <t>20190426</t>
        </is>
      </c>
      <c r="Q8" t="inlineStr">
        <is>
          <t>20250127</t>
        </is>
      </c>
    </row>
    <row r="9">
      <c r="A9" t="inlineStr">
        <is>
          <t>900000137D8366506168510000624</t>
        </is>
      </c>
      <c r="B9" t="inlineStr">
        <is>
          <t>900000137</t>
        </is>
      </c>
      <c r="C9" t="inlineStr">
        <is>
          <t>D836</t>
        </is>
      </c>
      <c r="D9" t="inlineStr">
        <is>
          <t>65061685</t>
        </is>
      </c>
      <c r="E9" t="inlineStr">
        <is>
          <t>1</t>
        </is>
      </c>
      <c r="F9" t="inlineStr">
        <is>
          <t>10000624</t>
        </is>
      </c>
      <c r="H9" t="inlineStr"/>
      <c r="J9" t="n">
        <v>108.12</v>
      </c>
      <c r="K9" t="inlineStr"/>
      <c r="M9" t="inlineStr">
        <is>
          <t>M3</t>
        </is>
      </c>
      <c r="N9" t="inlineStr"/>
      <c r="P9" t="inlineStr">
        <is>
          <t>20190426</t>
        </is>
      </c>
      <c r="Q9" t="inlineStr">
        <is>
          <t>20250127</t>
        </is>
      </c>
    </row>
    <row r="10">
      <c r="A10" t="inlineStr">
        <is>
          <t>900000137D8366506168510000722</t>
        </is>
      </c>
      <c r="B10" t="inlineStr">
        <is>
          <t>900000137</t>
        </is>
      </c>
      <c r="C10" t="inlineStr">
        <is>
          <t>D836</t>
        </is>
      </c>
      <c r="D10" t="inlineStr">
        <is>
          <t>65061685</t>
        </is>
      </c>
      <c r="E10" t="inlineStr">
        <is>
          <t>1</t>
        </is>
      </c>
      <c r="F10" t="inlineStr">
        <is>
          <t>10000722</t>
        </is>
      </c>
      <c r="H10" t="inlineStr"/>
      <c r="J10" t="n">
        <v>108.12</v>
      </c>
      <c r="K10" t="inlineStr"/>
      <c r="M10" t="inlineStr">
        <is>
          <t>M3</t>
        </is>
      </c>
      <c r="N10" t="inlineStr"/>
      <c r="P10" t="inlineStr">
        <is>
          <t>20190426</t>
        </is>
      </c>
      <c r="Q10" t="inlineStr">
        <is>
          <t>20250127</t>
        </is>
      </c>
    </row>
    <row r="11">
      <c r="A11" t="inlineStr">
        <is>
          <t>900000137D8366508409110000630</t>
        </is>
      </c>
      <c r="B11" t="inlineStr">
        <is>
          <t>900000137</t>
        </is>
      </c>
      <c r="C11" t="inlineStr">
        <is>
          <t>D836</t>
        </is>
      </c>
      <c r="D11" t="inlineStr">
        <is>
          <t>65084091</t>
        </is>
      </c>
      <c r="E11" t="inlineStr">
        <is>
          <t>1</t>
        </is>
      </c>
      <c r="F11" t="inlineStr">
        <is>
          <t>10000630</t>
        </is>
      </c>
      <c r="H11" t="inlineStr"/>
      <c r="J11" t="n">
        <v>50</v>
      </c>
      <c r="K11" t="inlineStr"/>
      <c r="M11" t="inlineStr">
        <is>
          <t>TN</t>
        </is>
      </c>
      <c r="N11" t="inlineStr"/>
      <c r="P11" t="inlineStr">
        <is>
          <t>20190426</t>
        </is>
      </c>
      <c r="Q11" t="inlineStr">
        <is>
          <t>20250127</t>
        </is>
      </c>
    </row>
    <row r="12">
      <c r="A12" t="inlineStr">
        <is>
          <t>900000137D8366513461710000630</t>
        </is>
      </c>
      <c r="B12" t="inlineStr">
        <is>
          <t>900000137</t>
        </is>
      </c>
      <c r="C12" t="inlineStr">
        <is>
          <t>D836</t>
        </is>
      </c>
      <c r="D12" t="inlineStr">
        <is>
          <t>65134617</t>
        </is>
      </c>
      <c r="E12" t="inlineStr">
        <is>
          <t>1</t>
        </is>
      </c>
      <c r="F12" t="inlineStr">
        <is>
          <t>10000630</t>
        </is>
      </c>
      <c r="H12" t="inlineStr"/>
      <c r="J12" t="n">
        <v>46.43</v>
      </c>
      <c r="K12" t="inlineStr"/>
      <c r="M12" t="inlineStr">
        <is>
          <t>TN</t>
        </is>
      </c>
      <c r="N12" t="inlineStr"/>
      <c r="P12" t="inlineStr">
        <is>
          <t>20190426</t>
        </is>
      </c>
      <c r="Q12" t="inlineStr">
        <is>
          <t>20250127</t>
        </is>
      </c>
    </row>
    <row r="13">
      <c r="A13" t="inlineStr">
        <is>
          <t>900000137D8366524676310000624</t>
        </is>
      </c>
      <c r="B13" t="inlineStr">
        <is>
          <t>900000137</t>
        </is>
      </c>
      <c r="C13" t="inlineStr">
        <is>
          <t>D836</t>
        </is>
      </c>
      <c r="D13" t="inlineStr">
        <is>
          <t>65246763</t>
        </is>
      </c>
      <c r="E13" t="inlineStr">
        <is>
          <t>1</t>
        </is>
      </c>
      <c r="F13" t="inlineStr">
        <is>
          <t>10000624</t>
        </is>
      </c>
      <c r="H13" t="inlineStr"/>
      <c r="J13" t="n">
        <v>107</v>
      </c>
      <c r="K13" t="inlineStr"/>
      <c r="M13" t="inlineStr">
        <is>
          <t>M3</t>
        </is>
      </c>
      <c r="N13" t="inlineStr"/>
      <c r="P13" t="inlineStr">
        <is>
          <t>20190426</t>
        </is>
      </c>
      <c r="Q13" t="inlineStr">
        <is>
          <t>20250127</t>
        </is>
      </c>
    </row>
    <row r="14">
      <c r="A14" t="inlineStr">
        <is>
          <t>900000137D8366524676310000722</t>
        </is>
      </c>
      <c r="B14" t="inlineStr">
        <is>
          <t>900000137</t>
        </is>
      </c>
      <c r="C14" t="inlineStr">
        <is>
          <t>D836</t>
        </is>
      </c>
      <c r="D14" t="inlineStr">
        <is>
          <t>65246763</t>
        </is>
      </c>
      <c r="E14" t="inlineStr">
        <is>
          <t>1</t>
        </is>
      </c>
      <c r="F14" t="inlineStr">
        <is>
          <t>10000722</t>
        </is>
      </c>
      <c r="H14" t="inlineStr"/>
      <c r="J14" t="n">
        <v>107</v>
      </c>
      <c r="K14" t="inlineStr"/>
      <c r="M14" t="inlineStr">
        <is>
          <t>M3</t>
        </is>
      </c>
      <c r="N14" t="inlineStr"/>
      <c r="P14" t="inlineStr">
        <is>
          <t>20190426</t>
        </is>
      </c>
      <c r="Q14" t="inlineStr">
        <is>
          <t>20250127</t>
        </is>
      </c>
    </row>
    <row r="15">
      <c r="A15" t="inlineStr">
        <is>
          <t>900000137D8366525139910000624</t>
        </is>
      </c>
      <c r="B15" t="inlineStr">
        <is>
          <t>900000137</t>
        </is>
      </c>
      <c r="C15" t="inlineStr">
        <is>
          <t>D836</t>
        </is>
      </c>
      <c r="D15" t="inlineStr">
        <is>
          <t>65251399</t>
        </is>
      </c>
      <c r="E15" t="inlineStr">
        <is>
          <t>1</t>
        </is>
      </c>
      <c r="F15" t="inlineStr">
        <is>
          <t>10000624</t>
        </is>
      </c>
      <c r="H15" t="inlineStr"/>
      <c r="J15" t="n">
        <v>121.5</v>
      </c>
      <c r="K15" t="inlineStr"/>
      <c r="M15" t="inlineStr">
        <is>
          <t>M3</t>
        </is>
      </c>
      <c r="N15" t="inlineStr"/>
      <c r="P15" t="inlineStr">
        <is>
          <t>20190426</t>
        </is>
      </c>
      <c r="Q15" t="inlineStr">
        <is>
          <t>20250127</t>
        </is>
      </c>
    </row>
    <row r="16">
      <c r="A16" t="inlineStr">
        <is>
          <t>900000137D8366529648510000722</t>
        </is>
      </c>
      <c r="B16" t="inlineStr">
        <is>
          <t>900000137</t>
        </is>
      </c>
      <c r="C16" t="inlineStr">
        <is>
          <t>D836</t>
        </is>
      </c>
      <c r="D16" t="inlineStr">
        <is>
          <t>65296485</t>
        </is>
      </c>
      <c r="E16" t="inlineStr">
        <is>
          <t>1</t>
        </is>
      </c>
      <c r="F16" t="inlineStr">
        <is>
          <t>10000722</t>
        </is>
      </c>
      <c r="H16" t="inlineStr"/>
      <c r="J16" t="n">
        <v>99.75</v>
      </c>
      <c r="K16" t="inlineStr"/>
      <c r="M16" t="inlineStr">
        <is>
          <t>TN</t>
        </is>
      </c>
      <c r="N16" t="inlineStr"/>
      <c r="P16" t="inlineStr">
        <is>
          <t>20190426</t>
        </is>
      </c>
      <c r="Q16" t="inlineStr">
        <is>
          <t>20250127</t>
        </is>
      </c>
    </row>
    <row r="17">
      <c r="A17" t="inlineStr">
        <is>
          <t>900000137D8366544227010000624</t>
        </is>
      </c>
      <c r="B17" t="inlineStr">
        <is>
          <t>900000137</t>
        </is>
      </c>
      <c r="C17" t="inlineStr">
        <is>
          <t>D836</t>
        </is>
      </c>
      <c r="D17" t="inlineStr">
        <is>
          <t>65442270</t>
        </is>
      </c>
      <c r="E17" t="inlineStr">
        <is>
          <t>1</t>
        </is>
      </c>
      <c r="F17" t="inlineStr">
        <is>
          <t>10000624</t>
        </is>
      </c>
      <c r="H17" t="inlineStr"/>
      <c r="J17" t="n">
        <v>107</v>
      </c>
      <c r="K17" t="inlineStr"/>
      <c r="M17" t="inlineStr">
        <is>
          <t>M3</t>
        </is>
      </c>
      <c r="N17" t="inlineStr"/>
      <c r="P17" t="inlineStr">
        <is>
          <t>20190426</t>
        </is>
      </c>
      <c r="Q17" t="inlineStr">
        <is>
          <t>20250127</t>
        </is>
      </c>
    </row>
    <row r="18">
      <c r="A18" t="inlineStr">
        <is>
          <t>900000137D8366544227010000722</t>
        </is>
      </c>
      <c r="B18" t="inlineStr">
        <is>
          <t>900000137</t>
        </is>
      </c>
      <c r="C18" t="inlineStr">
        <is>
          <t>D836</t>
        </is>
      </c>
      <c r="D18" t="inlineStr">
        <is>
          <t>65442270</t>
        </is>
      </c>
      <c r="E18" t="inlineStr">
        <is>
          <t>1</t>
        </is>
      </c>
      <c r="F18" t="inlineStr">
        <is>
          <t>10000722</t>
        </is>
      </c>
      <c r="H18" t="inlineStr"/>
      <c r="J18" t="n">
        <v>107</v>
      </c>
      <c r="K18" t="inlineStr"/>
      <c r="M18" t="inlineStr">
        <is>
          <t>M3</t>
        </is>
      </c>
      <c r="N18" t="inlineStr"/>
      <c r="P18" t="inlineStr">
        <is>
          <t>20190426</t>
        </is>
      </c>
      <c r="Q18" t="inlineStr">
        <is>
          <t>20250127</t>
        </is>
      </c>
    </row>
    <row r="19">
      <c r="A19" t="inlineStr">
        <is>
          <t>900000137D8366557034610000624</t>
        </is>
      </c>
      <c r="B19" t="inlineStr">
        <is>
          <t>900000137</t>
        </is>
      </c>
      <c r="C19" t="inlineStr">
        <is>
          <t>D836</t>
        </is>
      </c>
      <c r="D19" t="inlineStr">
        <is>
          <t>65570346</t>
        </is>
      </c>
      <c r="E19" t="inlineStr">
        <is>
          <t>1</t>
        </is>
      </c>
      <c r="F19" t="inlineStr">
        <is>
          <t>10000624</t>
        </is>
      </c>
      <c r="H19" t="inlineStr"/>
      <c r="J19" t="n">
        <v>142.64</v>
      </c>
      <c r="K19" t="inlineStr"/>
      <c r="M19" t="inlineStr">
        <is>
          <t>M3</t>
        </is>
      </c>
      <c r="N19" t="inlineStr"/>
      <c r="P19" t="inlineStr">
        <is>
          <t>20190426</t>
        </is>
      </c>
      <c r="Q19" t="inlineStr">
        <is>
          <t>20250127</t>
        </is>
      </c>
    </row>
    <row r="20">
      <c r="A20" t="inlineStr">
        <is>
          <t>900000137D8366557034610000722</t>
        </is>
      </c>
      <c r="B20" t="inlineStr">
        <is>
          <t>900000137</t>
        </is>
      </c>
      <c r="C20" t="inlineStr">
        <is>
          <t>D836</t>
        </is>
      </c>
      <c r="D20" t="inlineStr">
        <is>
          <t>65570346</t>
        </is>
      </c>
      <c r="E20" t="inlineStr">
        <is>
          <t>1</t>
        </is>
      </c>
      <c r="F20" t="inlineStr">
        <is>
          <t>10000722</t>
        </is>
      </c>
      <c r="H20" t="inlineStr"/>
      <c r="J20" t="n">
        <v>144.12</v>
      </c>
      <c r="K20" t="inlineStr"/>
      <c r="M20" t="inlineStr">
        <is>
          <t>M3</t>
        </is>
      </c>
      <c r="N20" t="inlineStr"/>
      <c r="P20" t="inlineStr">
        <is>
          <t>20190426</t>
        </is>
      </c>
      <c r="Q20" t="inlineStr">
        <is>
          <t>20250127</t>
        </is>
      </c>
    </row>
    <row r="21">
      <c r="A21" t="inlineStr">
        <is>
          <t>900000137D836DE1610058345</t>
        </is>
      </c>
      <c r="B21" t="inlineStr">
        <is>
          <t>900000137</t>
        </is>
      </c>
      <c r="C21" t="inlineStr">
        <is>
          <t>D836</t>
        </is>
      </c>
      <c r="D21" t="inlineStr">
        <is>
          <t>DE16</t>
        </is>
      </c>
      <c r="E21" t="inlineStr">
        <is>
          <t>1</t>
        </is>
      </c>
      <c r="F21" t="inlineStr">
        <is>
          <t>10058345</t>
        </is>
      </c>
      <c r="H21" t="inlineStr"/>
      <c r="J21" t="n">
        <v>101.64</v>
      </c>
      <c r="K21" t="inlineStr"/>
      <c r="M21" t="inlineStr">
        <is>
          <t>TN</t>
        </is>
      </c>
      <c r="N21" t="inlineStr"/>
      <c r="P21" t="inlineStr">
        <is>
          <t>99991231</t>
        </is>
      </c>
      <c r="Q21" t="inlineStr">
        <is>
          <t>99991231</t>
        </is>
      </c>
    </row>
    <row r="22">
      <c r="A22" t="inlineStr">
        <is>
          <t>900000137D836DE1710058345</t>
        </is>
      </c>
      <c r="B22" t="inlineStr">
        <is>
          <t>900000137</t>
        </is>
      </c>
      <c r="C22" t="inlineStr">
        <is>
          <t>D836</t>
        </is>
      </c>
      <c r="D22" t="inlineStr">
        <is>
          <t>DE17</t>
        </is>
      </c>
      <c r="E22" t="inlineStr">
        <is>
          <t>1</t>
        </is>
      </c>
      <c r="F22" t="inlineStr">
        <is>
          <t>10058345</t>
        </is>
      </c>
      <c r="H22" t="inlineStr"/>
      <c r="J22" t="n">
        <v>89.23999999999999</v>
      </c>
      <c r="K22" t="inlineStr"/>
      <c r="M22" t="inlineStr">
        <is>
          <t>TN</t>
        </is>
      </c>
      <c r="N22" t="inlineStr"/>
      <c r="P22" t="inlineStr">
        <is>
          <t>99991231</t>
        </is>
      </c>
      <c r="Q22" t="inlineStr">
        <is>
          <t>99991231</t>
        </is>
      </c>
    </row>
    <row r="23">
      <c r="A23" t="inlineStr">
        <is>
          <t>900000137D836DE1910058345</t>
        </is>
      </c>
      <c r="B23" t="inlineStr">
        <is>
          <t>900000137</t>
        </is>
      </c>
      <c r="C23" t="inlineStr">
        <is>
          <t>D836</t>
        </is>
      </c>
      <c r="D23" t="inlineStr">
        <is>
          <t>DE19</t>
        </is>
      </c>
      <c r="E23" t="inlineStr">
        <is>
          <t>1</t>
        </is>
      </c>
      <c r="F23" t="inlineStr">
        <is>
          <t>10058345</t>
        </is>
      </c>
      <c r="H23" t="inlineStr"/>
      <c r="J23" t="n">
        <v>136.34</v>
      </c>
      <c r="K23" t="inlineStr"/>
      <c r="M23" t="inlineStr">
        <is>
          <t>TN</t>
        </is>
      </c>
      <c r="N23" t="inlineStr"/>
      <c r="P23" t="inlineStr">
        <is>
          <t>99991231</t>
        </is>
      </c>
      <c r="Q23" t="inlineStr">
        <is>
          <t>99991231</t>
        </is>
      </c>
    </row>
    <row r="24">
      <c r="A24" t="inlineStr">
        <is>
          <t>900000137D836DE2310058345</t>
        </is>
      </c>
      <c r="B24" t="inlineStr">
        <is>
          <t>900000137</t>
        </is>
      </c>
      <c r="C24" t="inlineStr">
        <is>
          <t>D836</t>
        </is>
      </c>
      <c r="D24" t="inlineStr">
        <is>
          <t>DE23</t>
        </is>
      </c>
      <c r="E24" t="inlineStr">
        <is>
          <t>1</t>
        </is>
      </c>
      <c r="F24" t="inlineStr">
        <is>
          <t>10058345</t>
        </is>
      </c>
      <c r="H24" t="inlineStr"/>
      <c r="J24" t="n">
        <v>132.62</v>
      </c>
      <c r="K24" t="inlineStr"/>
      <c r="M24" t="inlineStr">
        <is>
          <t>TN</t>
        </is>
      </c>
      <c r="N24" t="inlineStr"/>
      <c r="P24" t="inlineStr">
        <is>
          <t>99991231</t>
        </is>
      </c>
      <c r="Q24" t="inlineStr">
        <is>
          <t>99991231</t>
        </is>
      </c>
    </row>
    <row r="25">
      <c r="A25" t="inlineStr">
        <is>
          <t>900000137D836DE2510058345</t>
        </is>
      </c>
      <c r="B25" t="inlineStr">
        <is>
          <t>900000137</t>
        </is>
      </c>
      <c r="C25" t="inlineStr">
        <is>
          <t>D836</t>
        </is>
      </c>
      <c r="D25" t="inlineStr">
        <is>
          <t>DE25</t>
        </is>
      </c>
      <c r="E25" t="inlineStr">
        <is>
          <t>1</t>
        </is>
      </c>
      <c r="F25" t="inlineStr">
        <is>
          <t>10058345</t>
        </is>
      </c>
      <c r="H25" t="inlineStr"/>
      <c r="J25" t="n">
        <v>89.23999999999999</v>
      </c>
      <c r="K25" t="inlineStr"/>
      <c r="M25" t="inlineStr">
        <is>
          <t>TN</t>
        </is>
      </c>
      <c r="N25" t="inlineStr"/>
      <c r="P25" t="inlineStr">
        <is>
          <t>99991231</t>
        </is>
      </c>
      <c r="Q25" t="inlineStr">
        <is>
          <t>99991231</t>
        </is>
      </c>
    </row>
    <row r="26">
      <c r="A26" t="inlineStr">
        <is>
          <t>900000137D836DE2610058345</t>
        </is>
      </c>
      <c r="B26" t="inlineStr">
        <is>
          <t>900000137</t>
        </is>
      </c>
      <c r="C26" t="inlineStr">
        <is>
          <t>D836</t>
        </is>
      </c>
      <c r="D26" t="inlineStr">
        <is>
          <t>DE26</t>
        </is>
      </c>
      <c r="E26" t="inlineStr">
        <is>
          <t>1</t>
        </is>
      </c>
      <c r="F26" t="inlineStr">
        <is>
          <t>10058345</t>
        </is>
      </c>
      <c r="H26" t="inlineStr"/>
      <c r="J26" t="n">
        <v>85.53</v>
      </c>
      <c r="K26" t="inlineStr"/>
      <c r="M26" t="inlineStr">
        <is>
          <t>TN</t>
        </is>
      </c>
      <c r="N26" t="inlineStr"/>
      <c r="P26" t="inlineStr">
        <is>
          <t>99991231</t>
        </is>
      </c>
      <c r="Q26" t="inlineStr">
        <is>
          <t>99991231</t>
        </is>
      </c>
    </row>
    <row r="27">
      <c r="A27" t="inlineStr">
        <is>
          <t>900000137D836DE2810058345</t>
        </is>
      </c>
      <c r="B27" t="inlineStr">
        <is>
          <t>900000137</t>
        </is>
      </c>
      <c r="C27" t="inlineStr">
        <is>
          <t>D836</t>
        </is>
      </c>
      <c r="D27" t="inlineStr">
        <is>
          <t>DE28</t>
        </is>
      </c>
      <c r="E27" t="inlineStr">
        <is>
          <t>1</t>
        </is>
      </c>
      <c r="F27" t="inlineStr">
        <is>
          <t>10058345</t>
        </is>
      </c>
      <c r="H27" t="inlineStr"/>
      <c r="J27" t="n">
        <v>101.64</v>
      </c>
      <c r="K27" t="inlineStr"/>
      <c r="M27" t="inlineStr">
        <is>
          <t>TN</t>
        </is>
      </c>
      <c r="N27" t="inlineStr"/>
      <c r="P27" t="inlineStr">
        <is>
          <t>99991231</t>
        </is>
      </c>
      <c r="Q27" t="inlineStr">
        <is>
          <t>99991231</t>
        </is>
      </c>
    </row>
    <row r="28">
      <c r="A28" t="inlineStr">
        <is>
          <t>900000137D836DE2910058345</t>
        </is>
      </c>
      <c r="B28" t="inlineStr">
        <is>
          <t>900000137</t>
        </is>
      </c>
      <c r="C28" t="inlineStr">
        <is>
          <t>D836</t>
        </is>
      </c>
      <c r="D28" t="inlineStr">
        <is>
          <t>DE29</t>
        </is>
      </c>
      <c r="E28" t="inlineStr">
        <is>
          <t>1</t>
        </is>
      </c>
      <c r="F28" t="inlineStr">
        <is>
          <t>10058345</t>
        </is>
      </c>
      <c r="H28" t="inlineStr"/>
      <c r="J28" t="n">
        <v>125.19</v>
      </c>
      <c r="K28" t="inlineStr"/>
      <c r="M28" t="inlineStr">
        <is>
          <t>TN</t>
        </is>
      </c>
      <c r="N28" t="inlineStr"/>
      <c r="P28" t="inlineStr">
        <is>
          <t>99991231</t>
        </is>
      </c>
      <c r="Q28" t="inlineStr">
        <is>
          <t>99991231</t>
        </is>
      </c>
    </row>
    <row r="29">
      <c r="A29" t="inlineStr">
        <is>
          <t>900000137D836DE3010058345</t>
        </is>
      </c>
      <c r="B29" t="inlineStr">
        <is>
          <t>900000137</t>
        </is>
      </c>
      <c r="C29" t="inlineStr">
        <is>
          <t>D836</t>
        </is>
      </c>
      <c r="D29" t="inlineStr">
        <is>
          <t>DE30</t>
        </is>
      </c>
      <c r="E29" t="inlineStr">
        <is>
          <t>1</t>
        </is>
      </c>
      <c r="F29" t="inlineStr">
        <is>
          <t>10058345</t>
        </is>
      </c>
      <c r="H29" t="inlineStr"/>
      <c r="J29" t="n">
        <v>121.47</v>
      </c>
      <c r="K29" t="inlineStr"/>
      <c r="M29" t="inlineStr">
        <is>
          <t>TN</t>
        </is>
      </c>
      <c r="N29" t="inlineStr"/>
      <c r="P29" t="inlineStr">
        <is>
          <t>99991231</t>
        </is>
      </c>
      <c r="Q29" t="inlineStr">
        <is>
          <t>99991231</t>
        </is>
      </c>
    </row>
    <row r="30">
      <c r="A30" t="inlineStr">
        <is>
          <t>900000137D836DE3110058345</t>
        </is>
      </c>
      <c r="B30" t="inlineStr">
        <is>
          <t>900000137</t>
        </is>
      </c>
      <c r="C30" t="inlineStr">
        <is>
          <t>D836</t>
        </is>
      </c>
      <c r="D30" t="inlineStr">
        <is>
          <t>DE31</t>
        </is>
      </c>
      <c r="E30" t="inlineStr">
        <is>
          <t>1</t>
        </is>
      </c>
      <c r="F30" t="inlineStr">
        <is>
          <t>10058345</t>
        </is>
      </c>
      <c r="H30" t="inlineStr"/>
      <c r="J30" t="n">
        <v>111.55</v>
      </c>
      <c r="K30" t="inlineStr"/>
      <c r="M30" t="inlineStr">
        <is>
          <t>TN</t>
        </is>
      </c>
      <c r="N30" t="inlineStr"/>
      <c r="P30" t="inlineStr">
        <is>
          <t>99991231</t>
        </is>
      </c>
      <c r="Q30" t="inlineStr">
        <is>
          <t>99991231</t>
        </is>
      </c>
    </row>
    <row r="31">
      <c r="A31" t="inlineStr">
        <is>
          <t>900000137D836DE3310058345</t>
        </is>
      </c>
      <c r="B31" t="inlineStr">
        <is>
          <t>900000137</t>
        </is>
      </c>
      <c r="C31" t="inlineStr">
        <is>
          <t>D836</t>
        </is>
      </c>
      <c r="D31" t="inlineStr">
        <is>
          <t>DE33</t>
        </is>
      </c>
      <c r="E31" t="inlineStr">
        <is>
          <t>1</t>
        </is>
      </c>
      <c r="F31" t="inlineStr">
        <is>
          <t>10058345</t>
        </is>
      </c>
      <c r="H31" t="inlineStr"/>
      <c r="J31" t="n">
        <v>27.28</v>
      </c>
      <c r="K31" t="inlineStr"/>
      <c r="M31" t="inlineStr">
        <is>
          <t>TN</t>
        </is>
      </c>
      <c r="N31" t="inlineStr"/>
      <c r="P31" t="inlineStr">
        <is>
          <t>99991231</t>
        </is>
      </c>
      <c r="Q31" t="inlineStr">
        <is>
          <t>99991231</t>
        </is>
      </c>
    </row>
    <row r="32">
      <c r="A32" t="inlineStr">
        <is>
          <t>900000137D836DE3410058345</t>
        </is>
      </c>
      <c r="B32" t="inlineStr">
        <is>
          <t>900000137</t>
        </is>
      </c>
      <c r="C32" t="inlineStr">
        <is>
          <t>D836</t>
        </is>
      </c>
      <c r="D32" t="inlineStr">
        <is>
          <t>DE34</t>
        </is>
      </c>
      <c r="E32" t="inlineStr">
        <is>
          <t>1</t>
        </is>
      </c>
      <c r="F32" t="inlineStr">
        <is>
          <t>10058345</t>
        </is>
      </c>
      <c r="H32" t="inlineStr"/>
      <c r="J32" t="n">
        <v>28.52</v>
      </c>
      <c r="K32" t="inlineStr"/>
      <c r="M32" t="inlineStr">
        <is>
          <t>TN</t>
        </is>
      </c>
      <c r="N32" t="inlineStr"/>
      <c r="P32" t="inlineStr">
        <is>
          <t>99991231</t>
        </is>
      </c>
      <c r="Q32" t="inlineStr">
        <is>
          <t>99991231</t>
        </is>
      </c>
    </row>
    <row r="33">
      <c r="A33" t="inlineStr">
        <is>
          <t>900000137D836DE3910058345</t>
        </is>
      </c>
      <c r="B33" t="inlineStr">
        <is>
          <t>900000137</t>
        </is>
      </c>
      <c r="C33" t="inlineStr">
        <is>
          <t>D836</t>
        </is>
      </c>
      <c r="D33" t="inlineStr">
        <is>
          <t>DE39</t>
        </is>
      </c>
      <c r="E33" t="inlineStr">
        <is>
          <t>1</t>
        </is>
      </c>
      <c r="F33" t="inlineStr">
        <is>
          <t>10058345</t>
        </is>
      </c>
      <c r="H33" t="inlineStr"/>
      <c r="J33" t="n">
        <v>149.97</v>
      </c>
      <c r="K33" t="inlineStr"/>
      <c r="M33" t="inlineStr">
        <is>
          <t>TN</t>
        </is>
      </c>
      <c r="N33" t="inlineStr"/>
      <c r="P33" t="inlineStr">
        <is>
          <t>99991231</t>
        </is>
      </c>
      <c r="Q33" t="inlineStr">
        <is>
          <t>99991231</t>
        </is>
      </c>
    </row>
    <row r="34">
      <c r="A34" t="inlineStr">
        <is>
          <t>900000137D836DE4210058345</t>
        </is>
      </c>
      <c r="B34" t="inlineStr">
        <is>
          <t>900000137</t>
        </is>
      </c>
      <c r="C34" t="inlineStr">
        <is>
          <t>D836</t>
        </is>
      </c>
      <c r="D34" t="inlineStr">
        <is>
          <t>DE42</t>
        </is>
      </c>
      <c r="E34" t="inlineStr">
        <is>
          <t>1</t>
        </is>
      </c>
      <c r="F34" t="inlineStr">
        <is>
          <t>10058345</t>
        </is>
      </c>
      <c r="H34" t="inlineStr"/>
      <c r="J34" t="n">
        <v>50.82</v>
      </c>
      <c r="K34" t="inlineStr"/>
      <c r="M34" t="inlineStr">
        <is>
          <t>TN</t>
        </is>
      </c>
      <c r="N34" t="inlineStr"/>
      <c r="P34" t="inlineStr">
        <is>
          <t>99991231</t>
        </is>
      </c>
      <c r="Q34" t="inlineStr">
        <is>
          <t>99991231</t>
        </is>
      </c>
    </row>
    <row r="35">
      <c r="A35" t="inlineStr">
        <is>
          <t>900000137D836DE4610058345</t>
        </is>
      </c>
      <c r="B35" t="inlineStr">
        <is>
          <t>900000137</t>
        </is>
      </c>
      <c r="C35" t="inlineStr">
        <is>
          <t>D836</t>
        </is>
      </c>
      <c r="D35" t="inlineStr">
        <is>
          <t>DE46</t>
        </is>
      </c>
      <c r="E35" t="inlineStr">
        <is>
          <t>1</t>
        </is>
      </c>
      <c r="F35" t="inlineStr">
        <is>
          <t>10058345</t>
        </is>
      </c>
      <c r="H35" t="inlineStr"/>
      <c r="J35" t="n">
        <v>88</v>
      </c>
      <c r="K35" t="inlineStr"/>
      <c r="M35" t="inlineStr">
        <is>
          <t>TN</t>
        </is>
      </c>
      <c r="N35" t="inlineStr"/>
      <c r="P35" t="inlineStr">
        <is>
          <t>99991231</t>
        </is>
      </c>
      <c r="Q35" t="inlineStr">
        <is>
          <t>99991231</t>
        </is>
      </c>
    </row>
    <row r="36">
      <c r="A36" t="inlineStr">
        <is>
          <t>900000137D836DE7510058345</t>
        </is>
      </c>
      <c r="B36" t="inlineStr">
        <is>
          <t>900000137</t>
        </is>
      </c>
      <c r="C36" t="inlineStr">
        <is>
          <t>D836</t>
        </is>
      </c>
      <c r="D36" t="inlineStr">
        <is>
          <t>DE75</t>
        </is>
      </c>
      <c r="E36" t="inlineStr">
        <is>
          <t>1</t>
        </is>
      </c>
      <c r="F36" t="inlineStr">
        <is>
          <t>10058345</t>
        </is>
      </c>
      <c r="H36" t="inlineStr"/>
      <c r="J36" t="n">
        <v>81.81</v>
      </c>
      <c r="K36" t="inlineStr"/>
      <c r="M36" t="inlineStr">
        <is>
          <t>TN</t>
        </is>
      </c>
      <c r="N36" t="inlineStr"/>
      <c r="P36" t="inlineStr">
        <is>
          <t>99991231</t>
        </is>
      </c>
      <c r="Q36" t="inlineStr">
        <is>
          <t>99991231</t>
        </is>
      </c>
    </row>
    <row r="37">
      <c r="A37" t="inlineStr">
        <is>
          <t>900000137D836DE8910058345</t>
        </is>
      </c>
      <c r="B37" t="inlineStr">
        <is>
          <t>900000137</t>
        </is>
      </c>
      <c r="C37" t="inlineStr">
        <is>
          <t>D836</t>
        </is>
      </c>
      <c r="D37" t="inlineStr">
        <is>
          <t>DE89</t>
        </is>
      </c>
      <c r="E37" t="inlineStr">
        <is>
          <t>1</t>
        </is>
      </c>
      <c r="F37" t="inlineStr">
        <is>
          <t>10058345</t>
        </is>
      </c>
      <c r="H37" t="inlineStr"/>
      <c r="J37" t="n">
        <v>106.6</v>
      </c>
      <c r="K37" t="inlineStr"/>
      <c r="M37" t="inlineStr">
        <is>
          <t>TN</t>
        </is>
      </c>
      <c r="N37" t="inlineStr"/>
      <c r="P37" t="inlineStr">
        <is>
          <t>99991231</t>
        </is>
      </c>
      <c r="Q37" t="inlineStr">
        <is>
          <t>99991231</t>
        </is>
      </c>
    </row>
    <row r="38">
      <c r="A38" t="inlineStr">
        <is>
          <t>900000137D836DE9210058345</t>
        </is>
      </c>
      <c r="B38" t="inlineStr">
        <is>
          <t>900000137</t>
        </is>
      </c>
      <c r="C38" t="inlineStr">
        <is>
          <t>D836</t>
        </is>
      </c>
      <c r="D38" t="inlineStr">
        <is>
          <t>DE92</t>
        </is>
      </c>
      <c r="E38" t="inlineStr">
        <is>
          <t>1</t>
        </is>
      </c>
      <c r="F38" t="inlineStr">
        <is>
          <t>10058345</t>
        </is>
      </c>
      <c r="H38" t="inlineStr"/>
      <c r="J38" t="n">
        <v>45.87</v>
      </c>
      <c r="K38" t="inlineStr"/>
      <c r="M38" t="inlineStr">
        <is>
          <t>TN</t>
        </is>
      </c>
      <c r="N38" t="inlineStr"/>
      <c r="P38" t="inlineStr">
        <is>
          <t>99991231</t>
        </is>
      </c>
      <c r="Q38" t="inlineStr">
        <is>
          <t>99991231</t>
        </is>
      </c>
    </row>
    <row r="39">
      <c r="A39" t="inlineStr">
        <is>
          <t>900000154D8366500217310000160</t>
        </is>
      </c>
      <c r="B39" t="inlineStr">
        <is>
          <t>900000154</t>
        </is>
      </c>
      <c r="C39" t="inlineStr">
        <is>
          <t>D836</t>
        </is>
      </c>
      <c r="D39" t="inlineStr">
        <is>
          <t>65002173</t>
        </is>
      </c>
      <c r="E39" t="inlineStr">
        <is>
          <t>1</t>
        </is>
      </c>
      <c r="F39" t="inlineStr">
        <is>
          <t>10000160</t>
        </is>
      </c>
      <c r="H39" t="inlineStr"/>
      <c r="J39" t="n">
        <v>55.61</v>
      </c>
      <c r="K39" t="inlineStr"/>
      <c r="M39" t="inlineStr">
        <is>
          <t>TN</t>
        </is>
      </c>
      <c r="N39" t="inlineStr"/>
      <c r="P39" t="inlineStr">
        <is>
          <t>20140101</t>
        </is>
      </c>
      <c r="Q39" t="inlineStr">
        <is>
          <t>99991231</t>
        </is>
      </c>
    </row>
    <row r="40">
      <c r="A40" t="inlineStr">
        <is>
          <t>900000154D8366500217310000357</t>
        </is>
      </c>
      <c r="B40" t="inlineStr">
        <is>
          <t>900000154</t>
        </is>
      </c>
      <c r="C40" t="inlineStr">
        <is>
          <t>D836</t>
        </is>
      </c>
      <c r="D40" t="inlineStr">
        <is>
          <t>65002173</t>
        </is>
      </c>
      <c r="E40" t="inlineStr">
        <is>
          <t>1</t>
        </is>
      </c>
      <c r="F40" t="inlineStr">
        <is>
          <t>10000357</t>
        </is>
      </c>
      <c r="H40" t="inlineStr"/>
      <c r="J40" t="n">
        <v>61</v>
      </c>
      <c r="K40" t="inlineStr"/>
      <c r="M40" t="inlineStr">
        <is>
          <t>TN</t>
        </is>
      </c>
      <c r="N40" t="inlineStr"/>
      <c r="P40" t="inlineStr">
        <is>
          <t>20140101</t>
        </is>
      </c>
      <c r="Q40" t="inlineStr">
        <is>
          <t>99991231</t>
        </is>
      </c>
    </row>
    <row r="41">
      <c r="A41" t="inlineStr">
        <is>
          <t>900000295D8366591661610000160</t>
        </is>
      </c>
      <c r="B41" t="inlineStr">
        <is>
          <t>900000295</t>
        </is>
      </c>
      <c r="C41" t="inlineStr">
        <is>
          <t>D836</t>
        </is>
      </c>
      <c r="D41" t="inlineStr">
        <is>
          <t>65916616</t>
        </is>
      </c>
      <c r="E41" t="inlineStr">
        <is>
          <t>1</t>
        </is>
      </c>
      <c r="F41" t="inlineStr">
        <is>
          <t>10000160</t>
        </is>
      </c>
      <c r="H41" t="inlineStr"/>
      <c r="J41" t="n">
        <v>105</v>
      </c>
      <c r="K41" t="inlineStr"/>
      <c r="M41" t="inlineStr">
        <is>
          <t>M3</t>
        </is>
      </c>
      <c r="N41" t="inlineStr"/>
      <c r="P41" t="inlineStr">
        <is>
          <t>20190426</t>
        </is>
      </c>
      <c r="Q41" t="inlineStr">
        <is>
          <t>20250127</t>
        </is>
      </c>
    </row>
    <row r="42">
      <c r="A42" t="inlineStr">
        <is>
          <t>900001069D8366620347810000229</t>
        </is>
      </c>
      <c r="B42" t="inlineStr">
        <is>
          <t>900001069</t>
        </is>
      </c>
      <c r="C42" t="inlineStr">
        <is>
          <t>D836</t>
        </is>
      </c>
      <c r="D42" t="inlineStr">
        <is>
          <t>66203478</t>
        </is>
      </c>
      <c r="E42" t="inlineStr">
        <is>
          <t>1</t>
        </is>
      </c>
      <c r="F42" t="inlineStr">
        <is>
          <t>10000229</t>
        </is>
      </c>
      <c r="H42" t="inlineStr"/>
      <c r="J42" t="n">
        <v>378</v>
      </c>
      <c r="K42" t="inlineStr"/>
      <c r="M42" t="inlineStr">
        <is>
          <t>M3</t>
        </is>
      </c>
      <c r="N42" t="inlineStr"/>
      <c r="P42" t="inlineStr">
        <is>
          <t>20190426</t>
        </is>
      </c>
      <c r="Q42" t="inlineStr">
        <is>
          <t>20250127</t>
        </is>
      </c>
    </row>
    <row r="43">
      <c r="A43" t="inlineStr">
        <is>
          <t>900001069D8366639795810000229</t>
        </is>
      </c>
      <c r="B43" t="inlineStr">
        <is>
          <t>900001069</t>
        </is>
      </c>
      <c r="C43" t="inlineStr">
        <is>
          <t>D836</t>
        </is>
      </c>
      <c r="D43" t="inlineStr">
        <is>
          <t>66397958</t>
        </is>
      </c>
      <c r="E43" t="inlineStr">
        <is>
          <t>1</t>
        </is>
      </c>
      <c r="F43" t="inlineStr">
        <is>
          <t>10000229</t>
        </is>
      </c>
      <c r="H43" t="inlineStr"/>
      <c r="J43" t="n">
        <v>318.2</v>
      </c>
      <c r="K43" t="inlineStr"/>
      <c r="M43" t="inlineStr">
        <is>
          <t>M3</t>
        </is>
      </c>
      <c r="N43" t="inlineStr"/>
      <c r="P43" t="inlineStr">
        <is>
          <t>20190426</t>
        </is>
      </c>
      <c r="Q43" t="inlineStr">
        <is>
          <t>20250127</t>
        </is>
      </c>
    </row>
    <row r="44">
      <c r="A44" t="inlineStr">
        <is>
          <t>900001074D8366500262210000160</t>
        </is>
      </c>
      <c r="B44" t="inlineStr">
        <is>
          <t>900001074</t>
        </is>
      </c>
      <c r="C44" t="inlineStr">
        <is>
          <t>D836</t>
        </is>
      </c>
      <c r="D44" t="inlineStr">
        <is>
          <t>65002622</t>
        </is>
      </c>
      <c r="E44" t="inlineStr">
        <is>
          <t>1</t>
        </is>
      </c>
      <c r="F44" t="inlineStr">
        <is>
          <t>10000160</t>
        </is>
      </c>
      <c r="H44" t="inlineStr"/>
      <c r="J44" t="n">
        <v>75</v>
      </c>
      <c r="K44" t="inlineStr"/>
      <c r="M44" t="inlineStr">
        <is>
          <t>M3</t>
        </is>
      </c>
      <c r="N44" t="inlineStr"/>
      <c r="P44" t="inlineStr">
        <is>
          <t>20190426</t>
        </is>
      </c>
      <c r="Q44" t="inlineStr">
        <is>
          <t>20250127</t>
        </is>
      </c>
    </row>
    <row r="45">
      <c r="A45" t="inlineStr">
        <is>
          <t>900001074D8366500394510000160</t>
        </is>
      </c>
      <c r="B45" t="inlineStr">
        <is>
          <t>900001074</t>
        </is>
      </c>
      <c r="C45" t="inlineStr">
        <is>
          <t>D836</t>
        </is>
      </c>
      <c r="D45" t="inlineStr">
        <is>
          <t>65003945</t>
        </is>
      </c>
      <c r="E45" t="inlineStr">
        <is>
          <t>2</t>
        </is>
      </c>
      <c r="F45" t="inlineStr">
        <is>
          <t>10000160</t>
        </is>
      </c>
      <c r="H45" t="inlineStr"/>
      <c r="J45" t="n">
        <v>0</v>
      </c>
      <c r="K45" t="inlineStr"/>
      <c r="M45" t="inlineStr">
        <is>
          <t>M3</t>
        </is>
      </c>
      <c r="N45" t="inlineStr"/>
      <c r="P45" t="inlineStr">
        <is>
          <t>20180202</t>
        </is>
      </c>
      <c r="Q45" t="inlineStr">
        <is>
          <t>99991231</t>
        </is>
      </c>
    </row>
    <row r="46">
      <c r="A46" t="inlineStr">
        <is>
          <t>900001074D8366500571310000160</t>
        </is>
      </c>
      <c r="B46" t="inlineStr">
        <is>
          <t>900001074</t>
        </is>
      </c>
      <c r="C46" t="inlineStr">
        <is>
          <t>D836</t>
        </is>
      </c>
      <c r="D46" t="inlineStr">
        <is>
          <t>65005713</t>
        </is>
      </c>
      <c r="E46" t="inlineStr">
        <is>
          <t>1</t>
        </is>
      </c>
      <c r="F46" t="inlineStr">
        <is>
          <t>10000160</t>
        </is>
      </c>
      <c r="H46" t="inlineStr"/>
      <c r="J46" t="n">
        <v>98.13</v>
      </c>
      <c r="K46" t="inlineStr"/>
      <c r="M46" t="inlineStr">
        <is>
          <t>M3</t>
        </is>
      </c>
      <c r="N46" t="inlineStr"/>
      <c r="P46" t="inlineStr">
        <is>
          <t>20190426</t>
        </is>
      </c>
      <c r="Q46" t="inlineStr">
        <is>
          <t>20250127</t>
        </is>
      </c>
    </row>
    <row r="47">
      <c r="A47" t="inlineStr">
        <is>
          <t>900001074D8366500571310000357</t>
        </is>
      </c>
      <c r="B47" t="inlineStr">
        <is>
          <t>900001074</t>
        </is>
      </c>
      <c r="C47" t="inlineStr">
        <is>
          <t>D836</t>
        </is>
      </c>
      <c r="D47" t="inlineStr">
        <is>
          <t>65005713</t>
        </is>
      </c>
      <c r="E47" t="inlineStr">
        <is>
          <t>1</t>
        </is>
      </c>
      <c r="F47" t="inlineStr">
        <is>
          <t>10000357</t>
        </is>
      </c>
      <c r="H47" t="inlineStr"/>
      <c r="J47" t="n">
        <v>98.13</v>
      </c>
      <c r="K47" t="inlineStr"/>
      <c r="M47" t="inlineStr">
        <is>
          <t>M3</t>
        </is>
      </c>
      <c r="N47" t="inlineStr"/>
      <c r="P47" t="inlineStr">
        <is>
          <t>20190426</t>
        </is>
      </c>
      <c r="Q47" t="inlineStr">
        <is>
          <t>20250127</t>
        </is>
      </c>
    </row>
    <row r="48">
      <c r="A48" t="inlineStr">
        <is>
          <t>900001074D8366501466410000160</t>
        </is>
      </c>
      <c r="B48" t="inlineStr">
        <is>
          <t>900001074</t>
        </is>
      </c>
      <c r="C48" t="inlineStr">
        <is>
          <t>D836</t>
        </is>
      </c>
      <c r="D48" t="inlineStr">
        <is>
          <t>65014664</t>
        </is>
      </c>
      <c r="E48" t="inlineStr">
        <is>
          <t>1</t>
        </is>
      </c>
      <c r="F48" t="inlineStr">
        <is>
          <t>10000160</t>
        </is>
      </c>
      <c r="H48" t="inlineStr"/>
      <c r="J48" t="n">
        <v>67</v>
      </c>
      <c r="K48" t="inlineStr"/>
      <c r="M48" t="inlineStr">
        <is>
          <t>M3</t>
        </is>
      </c>
      <c r="N48" t="inlineStr"/>
      <c r="P48" t="inlineStr">
        <is>
          <t>20230301</t>
        </is>
      </c>
      <c r="Q48" t="inlineStr">
        <is>
          <t>20251031</t>
        </is>
      </c>
    </row>
    <row r="49">
      <c r="A49" t="inlineStr">
        <is>
          <t>900001074D8366501466410000160</t>
        </is>
      </c>
      <c r="B49" t="inlineStr">
        <is>
          <t>900001074</t>
        </is>
      </c>
      <c r="C49" t="inlineStr">
        <is>
          <t>D836</t>
        </is>
      </c>
      <c r="D49" t="inlineStr">
        <is>
          <t>65014664</t>
        </is>
      </c>
      <c r="E49" t="inlineStr">
        <is>
          <t>4</t>
        </is>
      </c>
      <c r="F49" t="inlineStr">
        <is>
          <t>10000160</t>
        </is>
      </c>
      <c r="H49" t="inlineStr"/>
      <c r="J49" t="n">
        <v>78</v>
      </c>
      <c r="K49" t="inlineStr"/>
      <c r="M49" t="inlineStr">
        <is>
          <t>M3</t>
        </is>
      </c>
      <c r="N49" t="inlineStr"/>
      <c r="P49" t="inlineStr">
        <is>
          <t>20230301</t>
        </is>
      </c>
      <c r="Q49" t="inlineStr">
        <is>
          <t>20251031</t>
        </is>
      </c>
    </row>
    <row r="50">
      <c r="A50" t="inlineStr">
        <is>
          <t>900001074D8366501466410000627</t>
        </is>
      </c>
      <c r="B50" t="inlineStr">
        <is>
          <t>900001074</t>
        </is>
      </c>
      <c r="C50" t="inlineStr">
        <is>
          <t>D836</t>
        </is>
      </c>
      <c r="D50" t="inlineStr">
        <is>
          <t>65014664</t>
        </is>
      </c>
      <c r="E50" t="inlineStr">
        <is>
          <t>1</t>
        </is>
      </c>
      <c r="F50" t="inlineStr">
        <is>
          <t>10000627</t>
        </is>
      </c>
      <c r="H50" t="inlineStr"/>
      <c r="J50" t="n">
        <v>41.8</v>
      </c>
      <c r="K50" t="inlineStr"/>
      <c r="M50" t="inlineStr">
        <is>
          <t>M3</t>
        </is>
      </c>
      <c r="N50" t="inlineStr"/>
      <c r="P50" t="inlineStr">
        <is>
          <t>20140630</t>
        </is>
      </c>
      <c r="Q50" t="inlineStr">
        <is>
          <t>20220213</t>
        </is>
      </c>
    </row>
    <row r="51">
      <c r="A51" t="inlineStr">
        <is>
          <t>900001074D8366501645110000160</t>
        </is>
      </c>
      <c r="B51" t="inlineStr">
        <is>
          <t>900001074</t>
        </is>
      </c>
      <c r="C51" t="inlineStr">
        <is>
          <t>D836</t>
        </is>
      </c>
      <c r="D51" t="inlineStr">
        <is>
          <t>65016451</t>
        </is>
      </c>
      <c r="E51" t="inlineStr">
        <is>
          <t>1</t>
        </is>
      </c>
      <c r="F51" t="inlineStr">
        <is>
          <t>10000160</t>
        </is>
      </c>
      <c r="H51" t="inlineStr"/>
      <c r="J51" t="n">
        <v>286.88</v>
      </c>
      <c r="K51" t="inlineStr"/>
      <c r="M51" t="inlineStr">
        <is>
          <t>M3</t>
        </is>
      </c>
      <c r="N51" t="inlineStr"/>
      <c r="P51" t="inlineStr">
        <is>
          <t>20220214</t>
        </is>
      </c>
      <c r="Q51" t="inlineStr">
        <is>
          <t>99991231</t>
        </is>
      </c>
    </row>
    <row r="52">
      <c r="A52" t="inlineStr">
        <is>
          <t>900001074D8366509848110000160</t>
        </is>
      </c>
      <c r="B52" t="inlineStr">
        <is>
          <t>900001074</t>
        </is>
      </c>
      <c r="C52" t="inlineStr">
        <is>
          <t>D836</t>
        </is>
      </c>
      <c r="D52" t="inlineStr">
        <is>
          <t>65098481</t>
        </is>
      </c>
      <c r="E52" t="inlineStr">
        <is>
          <t>1</t>
        </is>
      </c>
      <c r="F52" t="inlineStr">
        <is>
          <t>10000160</t>
        </is>
      </c>
      <c r="H52" t="inlineStr"/>
      <c r="J52" t="n">
        <v>313</v>
      </c>
      <c r="K52" t="inlineStr"/>
      <c r="M52" t="inlineStr">
        <is>
          <t>M3</t>
        </is>
      </c>
      <c r="N52" t="inlineStr"/>
      <c r="P52" t="inlineStr">
        <is>
          <t>20180404</t>
        </is>
      </c>
      <c r="Q52" t="inlineStr">
        <is>
          <t>20251030</t>
        </is>
      </c>
    </row>
    <row r="53">
      <c r="A53" t="inlineStr">
        <is>
          <t>900001074D8366515582010000160</t>
        </is>
      </c>
      <c r="B53" t="inlineStr">
        <is>
          <t>900001074</t>
        </is>
      </c>
      <c r="C53" t="inlineStr">
        <is>
          <t>D836</t>
        </is>
      </c>
      <c r="D53" t="inlineStr">
        <is>
          <t>65155820</t>
        </is>
      </c>
      <c r="E53" t="inlineStr">
        <is>
          <t>4</t>
        </is>
      </c>
      <c r="F53" t="inlineStr">
        <is>
          <t>10000160</t>
        </is>
      </c>
      <c r="H53" t="inlineStr"/>
      <c r="J53" t="n">
        <v>108</v>
      </c>
      <c r="K53" t="inlineStr"/>
      <c r="M53" t="inlineStr">
        <is>
          <t>M3</t>
        </is>
      </c>
      <c r="N53" t="inlineStr"/>
      <c r="P53" t="inlineStr">
        <is>
          <t>20190426</t>
        </is>
      </c>
      <c r="Q53" t="inlineStr">
        <is>
          <t>20250127</t>
        </is>
      </c>
    </row>
    <row r="54">
      <c r="A54" t="inlineStr">
        <is>
          <t>900001074D8366515582010000357</t>
        </is>
      </c>
      <c r="B54" t="inlineStr">
        <is>
          <t>900001074</t>
        </is>
      </c>
      <c r="C54" t="inlineStr">
        <is>
          <t>D836</t>
        </is>
      </c>
      <c r="D54" t="inlineStr">
        <is>
          <t>65155820</t>
        </is>
      </c>
      <c r="E54" t="inlineStr">
        <is>
          <t>4</t>
        </is>
      </c>
      <c r="F54" t="inlineStr">
        <is>
          <t>10000357</t>
        </is>
      </c>
      <c r="H54" t="inlineStr"/>
      <c r="J54" t="n">
        <v>103.05</v>
      </c>
      <c r="K54" t="inlineStr"/>
      <c r="M54" t="inlineStr">
        <is>
          <t>M3</t>
        </is>
      </c>
      <c r="N54" t="inlineStr"/>
      <c r="P54" t="inlineStr">
        <is>
          <t>20190426</t>
        </is>
      </c>
      <c r="Q54" t="inlineStr">
        <is>
          <t>20250127</t>
        </is>
      </c>
    </row>
    <row r="55">
      <c r="A55" t="inlineStr">
        <is>
          <t>900001074D8366540606210000160</t>
        </is>
      </c>
      <c r="B55" t="inlineStr">
        <is>
          <t>900001074</t>
        </is>
      </c>
      <c r="C55" t="inlineStr">
        <is>
          <t>D836</t>
        </is>
      </c>
      <c r="D55" t="inlineStr">
        <is>
          <t>65406062</t>
        </is>
      </c>
      <c r="E55" t="inlineStr">
        <is>
          <t>2</t>
        </is>
      </c>
      <c r="F55" t="inlineStr">
        <is>
          <t>10000160</t>
        </is>
      </c>
      <c r="H55" t="inlineStr"/>
      <c r="J55" t="n">
        <v>0</v>
      </c>
      <c r="K55" t="inlineStr"/>
      <c r="M55" t="inlineStr">
        <is>
          <t>M3</t>
        </is>
      </c>
      <c r="N55" t="inlineStr"/>
      <c r="P55" t="inlineStr">
        <is>
          <t>20190426</t>
        </is>
      </c>
      <c r="Q55" t="inlineStr">
        <is>
          <t>20250127</t>
        </is>
      </c>
    </row>
    <row r="56">
      <c r="A56" t="inlineStr">
        <is>
          <t>900001074D8366540606210000357</t>
        </is>
      </c>
      <c r="B56" t="inlineStr">
        <is>
          <t>900001074</t>
        </is>
      </c>
      <c r="C56" t="inlineStr">
        <is>
          <t>D836</t>
        </is>
      </c>
      <c r="D56" t="inlineStr">
        <is>
          <t>65406062</t>
        </is>
      </c>
      <c r="E56" t="inlineStr">
        <is>
          <t>2</t>
        </is>
      </c>
      <c r="F56" t="inlineStr">
        <is>
          <t>10000357</t>
        </is>
      </c>
      <c r="H56" t="inlineStr"/>
      <c r="J56" t="n">
        <v>0</v>
      </c>
      <c r="K56" t="inlineStr"/>
      <c r="M56" t="inlineStr">
        <is>
          <t>M3</t>
        </is>
      </c>
      <c r="N56" t="inlineStr"/>
      <c r="P56" t="inlineStr">
        <is>
          <t>20190426</t>
        </is>
      </c>
      <c r="Q56" t="inlineStr">
        <is>
          <t>20250127</t>
        </is>
      </c>
    </row>
    <row r="57">
      <c r="A57" t="inlineStr">
        <is>
          <t>900001074D8366540606410000160</t>
        </is>
      </c>
      <c r="B57" t="inlineStr">
        <is>
          <t>900001074</t>
        </is>
      </c>
      <c r="C57" t="inlineStr">
        <is>
          <t>D836</t>
        </is>
      </c>
      <c r="D57" t="inlineStr">
        <is>
          <t>65406064</t>
        </is>
      </c>
      <c r="E57" t="inlineStr">
        <is>
          <t>2</t>
        </is>
      </c>
      <c r="F57" t="inlineStr">
        <is>
          <t>10000160</t>
        </is>
      </c>
      <c r="H57" t="inlineStr"/>
      <c r="J57" t="n">
        <v>0</v>
      </c>
      <c r="K57" t="inlineStr"/>
      <c r="M57" t="inlineStr">
        <is>
          <t>M3</t>
        </is>
      </c>
      <c r="N57" t="inlineStr"/>
      <c r="P57" t="inlineStr">
        <is>
          <t>20190426</t>
        </is>
      </c>
      <c r="Q57" t="inlineStr">
        <is>
          <t>20250127</t>
        </is>
      </c>
    </row>
    <row r="58">
      <c r="A58" t="inlineStr">
        <is>
          <t>900001074D8366540606410000357</t>
        </is>
      </c>
      <c r="B58" t="inlineStr">
        <is>
          <t>900001074</t>
        </is>
      </c>
      <c r="C58" t="inlineStr">
        <is>
          <t>D836</t>
        </is>
      </c>
      <c r="D58" t="inlineStr">
        <is>
          <t>65406064</t>
        </is>
      </c>
      <c r="E58" t="inlineStr">
        <is>
          <t>2</t>
        </is>
      </c>
      <c r="F58" t="inlineStr">
        <is>
          <t>10000357</t>
        </is>
      </c>
      <c r="H58" t="inlineStr"/>
      <c r="J58" t="n">
        <v>0</v>
      </c>
      <c r="K58" t="inlineStr"/>
      <c r="M58" t="inlineStr">
        <is>
          <t>M3</t>
        </is>
      </c>
      <c r="N58" t="inlineStr"/>
      <c r="P58" t="inlineStr">
        <is>
          <t>20190426</t>
        </is>
      </c>
      <c r="Q58" t="inlineStr">
        <is>
          <t>20250127</t>
        </is>
      </c>
    </row>
    <row r="59">
      <c r="A59" t="inlineStr">
        <is>
          <t>900001074D8366544038410000160</t>
        </is>
      </c>
      <c r="B59" t="inlineStr">
        <is>
          <t>900001074</t>
        </is>
      </c>
      <c r="C59" t="inlineStr">
        <is>
          <t>D836</t>
        </is>
      </c>
      <c r="D59" t="inlineStr">
        <is>
          <t>65440384</t>
        </is>
      </c>
      <c r="E59" t="inlineStr">
        <is>
          <t>1</t>
        </is>
      </c>
      <c r="F59" t="inlineStr">
        <is>
          <t>10000160</t>
        </is>
      </c>
      <c r="H59" t="inlineStr"/>
      <c r="J59" t="n">
        <v>95</v>
      </c>
      <c r="K59" t="inlineStr"/>
      <c r="M59" t="inlineStr">
        <is>
          <t>M3</t>
        </is>
      </c>
      <c r="N59" t="inlineStr"/>
      <c r="P59" t="inlineStr">
        <is>
          <t>20230301</t>
        </is>
      </c>
      <c r="Q59" t="inlineStr">
        <is>
          <t>20251031</t>
        </is>
      </c>
    </row>
    <row r="60">
      <c r="A60" t="inlineStr">
        <is>
          <t>900001074D8366544038410000160</t>
        </is>
      </c>
      <c r="B60" t="inlineStr">
        <is>
          <t>900001074</t>
        </is>
      </c>
      <c r="C60" t="inlineStr">
        <is>
          <t>D836</t>
        </is>
      </c>
      <c r="D60" t="inlineStr">
        <is>
          <t>65440384</t>
        </is>
      </c>
      <c r="E60" t="inlineStr">
        <is>
          <t>4</t>
        </is>
      </c>
      <c r="F60" t="inlineStr">
        <is>
          <t>10000160</t>
        </is>
      </c>
      <c r="H60" t="inlineStr"/>
      <c r="J60" t="n">
        <v>122</v>
      </c>
      <c r="K60" t="inlineStr"/>
      <c r="M60" t="inlineStr">
        <is>
          <t>M3</t>
        </is>
      </c>
      <c r="N60" t="inlineStr"/>
      <c r="P60" t="inlineStr">
        <is>
          <t>20230301</t>
        </is>
      </c>
      <c r="Q60" t="inlineStr">
        <is>
          <t>20251031</t>
        </is>
      </c>
    </row>
    <row r="61">
      <c r="A61" t="inlineStr">
        <is>
          <t>900001074D8366544227010019515</t>
        </is>
      </c>
      <c r="B61" t="inlineStr">
        <is>
          <t>900001074</t>
        </is>
      </c>
      <c r="C61" t="inlineStr">
        <is>
          <t>D836</t>
        </is>
      </c>
      <c r="D61" t="inlineStr">
        <is>
          <t>65442270</t>
        </is>
      </c>
      <c r="E61" t="inlineStr">
        <is>
          <t>1</t>
        </is>
      </c>
      <c r="F61" t="inlineStr">
        <is>
          <t>10019515</t>
        </is>
      </c>
      <c r="H61" t="inlineStr"/>
      <c r="J61" t="n">
        <v>125</v>
      </c>
      <c r="K61" t="inlineStr"/>
      <c r="M61" t="inlineStr">
        <is>
          <t>M3</t>
        </is>
      </c>
      <c r="N61" t="inlineStr"/>
      <c r="P61" t="inlineStr">
        <is>
          <t>20190426</t>
        </is>
      </c>
      <c r="Q61" t="inlineStr">
        <is>
          <t>20250127</t>
        </is>
      </c>
    </row>
    <row r="62">
      <c r="A62" t="inlineStr">
        <is>
          <t>900001074D8366544526110000160</t>
        </is>
      </c>
      <c r="B62" t="inlineStr">
        <is>
          <t>900001074</t>
        </is>
      </c>
      <c r="C62" t="inlineStr">
        <is>
          <t>D836</t>
        </is>
      </c>
      <c r="D62" t="inlineStr">
        <is>
          <t>65445261</t>
        </is>
      </c>
      <c r="E62" t="inlineStr">
        <is>
          <t>4</t>
        </is>
      </c>
      <c r="F62" t="inlineStr">
        <is>
          <t>10000160</t>
        </is>
      </c>
      <c r="H62" t="inlineStr"/>
      <c r="J62" t="n">
        <v>45</v>
      </c>
      <c r="K62" t="inlineStr"/>
      <c r="M62" t="inlineStr">
        <is>
          <t>M3</t>
        </is>
      </c>
      <c r="N62" t="inlineStr"/>
      <c r="P62" t="inlineStr">
        <is>
          <t>20190426</t>
        </is>
      </c>
      <c r="Q62" t="inlineStr">
        <is>
          <t>20250127</t>
        </is>
      </c>
    </row>
    <row r="63">
      <c r="A63" t="inlineStr">
        <is>
          <t>900001074D8366556582610000160</t>
        </is>
      </c>
      <c r="B63" t="inlineStr">
        <is>
          <t>900001074</t>
        </is>
      </c>
      <c r="C63" t="inlineStr">
        <is>
          <t>D836</t>
        </is>
      </c>
      <c r="D63" t="inlineStr">
        <is>
          <t>65565826</t>
        </is>
      </c>
      <c r="E63" t="inlineStr">
        <is>
          <t>1</t>
        </is>
      </c>
      <c r="F63" t="inlineStr">
        <is>
          <t>10000160</t>
        </is>
      </c>
      <c r="H63" t="inlineStr"/>
      <c r="J63" t="n">
        <v>63</v>
      </c>
      <c r="K63" t="inlineStr"/>
      <c r="M63" t="inlineStr">
        <is>
          <t>TN</t>
        </is>
      </c>
      <c r="N63" t="inlineStr"/>
      <c r="P63" t="inlineStr">
        <is>
          <t>20190426</t>
        </is>
      </c>
      <c r="Q63" t="inlineStr">
        <is>
          <t>20250127</t>
        </is>
      </c>
    </row>
    <row r="64">
      <c r="A64" t="inlineStr">
        <is>
          <t>900001074D8366562533110000160</t>
        </is>
      </c>
      <c r="B64" t="inlineStr">
        <is>
          <t>900001074</t>
        </is>
      </c>
      <c r="C64" t="inlineStr">
        <is>
          <t>D836</t>
        </is>
      </c>
      <c r="D64" t="inlineStr">
        <is>
          <t>65625331</t>
        </is>
      </c>
      <c r="E64" t="inlineStr">
        <is>
          <t>1</t>
        </is>
      </c>
      <c r="F64" t="inlineStr">
        <is>
          <t>10000160</t>
        </is>
      </c>
      <c r="H64" t="inlineStr"/>
      <c r="J64" t="n">
        <v>99.01000000000001</v>
      </c>
      <c r="K64" t="inlineStr"/>
      <c r="M64" t="inlineStr">
        <is>
          <t>M3</t>
        </is>
      </c>
      <c r="N64" t="inlineStr"/>
      <c r="P64" t="inlineStr">
        <is>
          <t>20190426</t>
        </is>
      </c>
      <c r="Q64" t="inlineStr">
        <is>
          <t>20250127</t>
        </is>
      </c>
    </row>
    <row r="65">
      <c r="A65" t="inlineStr">
        <is>
          <t>900001074D8366562533110000357</t>
        </is>
      </c>
      <c r="B65" t="inlineStr">
        <is>
          <t>900001074</t>
        </is>
      </c>
      <c r="C65" t="inlineStr">
        <is>
          <t>D836</t>
        </is>
      </c>
      <c r="D65" t="inlineStr">
        <is>
          <t>65625331</t>
        </is>
      </c>
      <c r="E65" t="inlineStr">
        <is>
          <t>1</t>
        </is>
      </c>
      <c r="F65" t="inlineStr">
        <is>
          <t>10000357</t>
        </is>
      </c>
      <c r="H65" t="inlineStr"/>
      <c r="J65" t="n">
        <v>99</v>
      </c>
      <c r="K65" t="inlineStr"/>
      <c r="M65" t="inlineStr">
        <is>
          <t>M3</t>
        </is>
      </c>
      <c r="N65" t="inlineStr"/>
      <c r="P65" t="inlineStr">
        <is>
          <t>20190426</t>
        </is>
      </c>
      <c r="Q65" t="inlineStr">
        <is>
          <t>20250127</t>
        </is>
      </c>
    </row>
    <row r="66">
      <c r="A66" t="inlineStr">
        <is>
          <t>900001074D8366567124710000160</t>
        </is>
      </c>
      <c r="B66" t="inlineStr">
        <is>
          <t>900001074</t>
        </is>
      </c>
      <c r="C66" t="inlineStr">
        <is>
          <t>D836</t>
        </is>
      </c>
      <c r="D66" t="inlineStr">
        <is>
          <t>65671247</t>
        </is>
      </c>
      <c r="E66" t="inlineStr">
        <is>
          <t>1</t>
        </is>
      </c>
      <c r="F66" t="inlineStr">
        <is>
          <t>10000160</t>
        </is>
      </c>
      <c r="H66" t="inlineStr"/>
      <c r="J66" t="n">
        <v>159.4</v>
      </c>
      <c r="K66" t="inlineStr"/>
      <c r="M66" t="inlineStr">
        <is>
          <t>M3</t>
        </is>
      </c>
      <c r="N66" t="inlineStr"/>
      <c r="P66" t="inlineStr">
        <is>
          <t>20190426</t>
        </is>
      </c>
      <c r="Q66" t="inlineStr">
        <is>
          <t>20250127</t>
        </is>
      </c>
    </row>
    <row r="67">
      <c r="A67" t="inlineStr">
        <is>
          <t>900001074D8366567124710000357</t>
        </is>
      </c>
      <c r="B67" t="inlineStr">
        <is>
          <t>900001074</t>
        </is>
      </c>
      <c r="C67" t="inlineStr">
        <is>
          <t>D836</t>
        </is>
      </c>
      <c r="D67" t="inlineStr">
        <is>
          <t>65671247</t>
        </is>
      </c>
      <c r="E67" t="inlineStr">
        <is>
          <t>1</t>
        </is>
      </c>
      <c r="F67" t="inlineStr">
        <is>
          <t>10000357</t>
        </is>
      </c>
      <c r="H67" t="inlineStr"/>
      <c r="J67" t="n">
        <v>169.82</v>
      </c>
      <c r="K67" t="inlineStr"/>
      <c r="M67" t="inlineStr">
        <is>
          <t>M3</t>
        </is>
      </c>
      <c r="N67" t="inlineStr"/>
      <c r="P67" t="inlineStr">
        <is>
          <t>20190426</t>
        </is>
      </c>
      <c r="Q67" t="inlineStr">
        <is>
          <t>20250127</t>
        </is>
      </c>
    </row>
    <row r="68">
      <c r="A68" t="inlineStr">
        <is>
          <t>900001074D8366570614710000160</t>
        </is>
      </c>
      <c r="B68" t="inlineStr">
        <is>
          <t>900001074</t>
        </is>
      </c>
      <c r="C68" t="inlineStr">
        <is>
          <t>D836</t>
        </is>
      </c>
      <c r="D68" t="inlineStr">
        <is>
          <t>65706147</t>
        </is>
      </c>
      <c r="E68" t="inlineStr">
        <is>
          <t>2</t>
        </is>
      </c>
      <c r="F68" t="inlineStr">
        <is>
          <t>10000160</t>
        </is>
      </c>
      <c r="H68" t="inlineStr"/>
      <c r="J68" t="n">
        <v>0</v>
      </c>
      <c r="K68" t="inlineStr"/>
      <c r="M68" t="inlineStr">
        <is>
          <t>M3</t>
        </is>
      </c>
      <c r="N68" t="inlineStr"/>
      <c r="P68" t="inlineStr">
        <is>
          <t>20190426</t>
        </is>
      </c>
      <c r="Q68" t="inlineStr">
        <is>
          <t>20250127</t>
        </is>
      </c>
    </row>
    <row r="69">
      <c r="A69" t="inlineStr">
        <is>
          <t>900001074D8366570614710000357</t>
        </is>
      </c>
      <c r="B69" t="inlineStr">
        <is>
          <t>900001074</t>
        </is>
      </c>
      <c r="C69" t="inlineStr">
        <is>
          <t>D836</t>
        </is>
      </c>
      <c r="D69" t="inlineStr">
        <is>
          <t>65706147</t>
        </is>
      </c>
      <c r="E69" t="inlineStr">
        <is>
          <t>2</t>
        </is>
      </c>
      <c r="F69" t="inlineStr">
        <is>
          <t>10000357</t>
        </is>
      </c>
      <c r="H69" t="inlineStr"/>
      <c r="J69" t="n">
        <v>0</v>
      </c>
      <c r="K69" t="inlineStr"/>
      <c r="M69" t="inlineStr">
        <is>
          <t>M3</t>
        </is>
      </c>
      <c r="N69" t="inlineStr"/>
      <c r="P69" t="inlineStr">
        <is>
          <t>20190426</t>
        </is>
      </c>
      <c r="Q69" t="inlineStr">
        <is>
          <t>20250127</t>
        </is>
      </c>
    </row>
    <row r="70">
      <c r="A70" t="inlineStr">
        <is>
          <t>900001074D8366570614710000627</t>
        </is>
      </c>
      <c r="B70" t="inlineStr">
        <is>
          <t>900001074</t>
        </is>
      </c>
      <c r="C70" t="inlineStr">
        <is>
          <t>D836</t>
        </is>
      </c>
      <c r="D70" t="inlineStr">
        <is>
          <t>65706147</t>
        </is>
      </c>
      <c r="E70" t="inlineStr">
        <is>
          <t>2</t>
        </is>
      </c>
      <c r="F70" t="inlineStr">
        <is>
          <t>10000627</t>
        </is>
      </c>
      <c r="H70" t="inlineStr"/>
      <c r="J70" t="n">
        <v>0</v>
      </c>
      <c r="K70" t="inlineStr"/>
      <c r="M70" t="inlineStr">
        <is>
          <t>M3</t>
        </is>
      </c>
      <c r="N70" t="inlineStr"/>
      <c r="P70" t="inlineStr">
        <is>
          <t>20190426</t>
        </is>
      </c>
      <c r="Q70" t="inlineStr">
        <is>
          <t>20250127</t>
        </is>
      </c>
    </row>
    <row r="71">
      <c r="A71" t="inlineStr">
        <is>
          <t>900001074D8366588602810000160</t>
        </is>
      </c>
      <c r="B71" t="inlineStr">
        <is>
          <t>900001074</t>
        </is>
      </c>
      <c r="C71" t="inlineStr">
        <is>
          <t>D836</t>
        </is>
      </c>
      <c r="D71" t="inlineStr">
        <is>
          <t>65886028</t>
        </is>
      </c>
      <c r="E71" t="inlineStr">
        <is>
          <t>1</t>
        </is>
      </c>
      <c r="F71" t="inlineStr">
        <is>
          <t>10000160</t>
        </is>
      </c>
      <c r="H71" t="inlineStr"/>
      <c r="J71" t="n">
        <v>104.26</v>
      </c>
      <c r="K71" t="inlineStr"/>
      <c r="M71" t="inlineStr">
        <is>
          <t>M3</t>
        </is>
      </c>
      <c r="N71" t="inlineStr"/>
      <c r="P71" t="inlineStr">
        <is>
          <t>20190426</t>
        </is>
      </c>
      <c r="Q71" t="inlineStr">
        <is>
          <t>20250127</t>
        </is>
      </c>
    </row>
    <row r="72">
      <c r="A72" t="inlineStr">
        <is>
          <t>900001074D8366590842610000160</t>
        </is>
      </c>
      <c r="B72" t="inlineStr">
        <is>
          <t>900001074</t>
        </is>
      </c>
      <c r="C72" t="inlineStr">
        <is>
          <t>D836</t>
        </is>
      </c>
      <c r="D72" t="inlineStr">
        <is>
          <t>65908426</t>
        </is>
      </c>
      <c r="E72" t="inlineStr">
        <is>
          <t>1</t>
        </is>
      </c>
      <c r="F72" t="inlineStr">
        <is>
          <t>10000160</t>
        </is>
      </c>
      <c r="H72" t="inlineStr"/>
      <c r="J72" t="n">
        <v>186.75</v>
      </c>
      <c r="K72" t="inlineStr"/>
      <c r="M72" t="inlineStr">
        <is>
          <t>M3</t>
        </is>
      </c>
      <c r="N72" t="inlineStr"/>
      <c r="P72" t="inlineStr">
        <is>
          <t>20190426</t>
        </is>
      </c>
      <c r="Q72" t="inlineStr">
        <is>
          <t>20250127</t>
        </is>
      </c>
    </row>
    <row r="73">
      <c r="A73" t="inlineStr">
        <is>
          <t>900001074D8366591128910000160</t>
        </is>
      </c>
      <c r="B73" t="inlineStr">
        <is>
          <t>900001074</t>
        </is>
      </c>
      <c r="C73" t="inlineStr">
        <is>
          <t>D836</t>
        </is>
      </c>
      <c r="D73" t="inlineStr">
        <is>
          <t>65911289</t>
        </is>
      </c>
      <c r="E73" t="inlineStr">
        <is>
          <t>2</t>
        </is>
      </c>
      <c r="F73" t="inlineStr">
        <is>
          <t>10000160</t>
        </is>
      </c>
      <c r="H73" t="inlineStr"/>
      <c r="J73" t="n">
        <v>0</v>
      </c>
      <c r="K73" t="inlineStr"/>
      <c r="M73" t="inlineStr">
        <is>
          <t>M3</t>
        </is>
      </c>
      <c r="N73" t="inlineStr"/>
      <c r="P73" t="inlineStr">
        <is>
          <t>20190426</t>
        </is>
      </c>
      <c r="Q73" t="inlineStr">
        <is>
          <t>20250127</t>
        </is>
      </c>
    </row>
    <row r="74">
      <c r="A74" t="inlineStr">
        <is>
          <t>900001074D8366592075010000357</t>
        </is>
      </c>
      <c r="B74" t="inlineStr">
        <is>
          <t>900001074</t>
        </is>
      </c>
      <c r="C74" t="inlineStr">
        <is>
          <t>D836</t>
        </is>
      </c>
      <c r="D74" t="inlineStr">
        <is>
          <t>65920750</t>
        </is>
      </c>
      <c r="E74" t="inlineStr">
        <is>
          <t>1</t>
        </is>
      </c>
      <c r="F74" t="inlineStr">
        <is>
          <t>10000357</t>
        </is>
      </c>
      <c r="H74" t="inlineStr"/>
      <c r="J74" t="n">
        <v>99</v>
      </c>
      <c r="K74" t="inlineStr"/>
      <c r="M74" t="inlineStr">
        <is>
          <t>M3</t>
        </is>
      </c>
      <c r="N74" t="inlineStr"/>
      <c r="P74" t="inlineStr">
        <is>
          <t>20190426</t>
        </is>
      </c>
      <c r="Q74" t="inlineStr">
        <is>
          <t>20250127</t>
        </is>
      </c>
    </row>
    <row r="75">
      <c r="A75" t="inlineStr">
        <is>
          <t>900001074D8366592519410000160</t>
        </is>
      </c>
      <c r="B75" t="inlineStr">
        <is>
          <t>900001074</t>
        </is>
      </c>
      <c r="C75" t="inlineStr">
        <is>
          <t>D836</t>
        </is>
      </c>
      <c r="D75" t="inlineStr">
        <is>
          <t>65925194</t>
        </is>
      </c>
      <c r="E75" t="inlineStr">
        <is>
          <t>1</t>
        </is>
      </c>
      <c r="F75" t="inlineStr">
        <is>
          <t>10000160</t>
        </is>
      </c>
      <c r="H75" t="inlineStr"/>
      <c r="J75" t="n">
        <v>54.74</v>
      </c>
      <c r="K75" t="inlineStr"/>
      <c r="M75" t="inlineStr">
        <is>
          <t>M3</t>
        </is>
      </c>
      <c r="N75" t="inlineStr"/>
      <c r="P75" t="inlineStr">
        <is>
          <t>20150226</t>
        </is>
      </c>
      <c r="Q75" t="inlineStr">
        <is>
          <t>20220213</t>
        </is>
      </c>
    </row>
    <row r="76">
      <c r="A76" t="inlineStr">
        <is>
          <t>900001074D8366616755210000160</t>
        </is>
      </c>
      <c r="B76" t="inlineStr">
        <is>
          <t>900001074</t>
        </is>
      </c>
      <c r="C76" t="inlineStr">
        <is>
          <t>D836</t>
        </is>
      </c>
      <c r="D76" t="inlineStr">
        <is>
          <t>66167552</t>
        </is>
      </c>
      <c r="E76" t="inlineStr">
        <is>
          <t>1</t>
        </is>
      </c>
      <c r="F76" t="inlineStr">
        <is>
          <t>10000160</t>
        </is>
      </c>
      <c r="H76" t="inlineStr"/>
      <c r="J76" t="n">
        <v>68.79000000000001</v>
      </c>
      <c r="K76" t="inlineStr"/>
      <c r="M76" t="inlineStr">
        <is>
          <t>TN</t>
        </is>
      </c>
      <c r="N76" t="inlineStr"/>
      <c r="P76" t="inlineStr">
        <is>
          <t>20190426</t>
        </is>
      </c>
      <c r="Q76" t="inlineStr">
        <is>
          <t>20250127</t>
        </is>
      </c>
    </row>
    <row r="77">
      <c r="A77" t="inlineStr">
        <is>
          <t>900001074D8366616755210000357</t>
        </is>
      </c>
      <c r="B77" t="inlineStr">
        <is>
          <t>900001074</t>
        </is>
      </c>
      <c r="C77" t="inlineStr">
        <is>
          <t>D836</t>
        </is>
      </c>
      <c r="D77" t="inlineStr">
        <is>
          <t>66167552</t>
        </is>
      </c>
      <c r="E77" t="inlineStr">
        <is>
          <t>1</t>
        </is>
      </c>
      <c r="F77" t="inlineStr">
        <is>
          <t>10000357</t>
        </is>
      </c>
      <c r="H77" t="inlineStr"/>
      <c r="J77" t="n">
        <v>76.25</v>
      </c>
      <c r="K77" t="inlineStr"/>
      <c r="M77" t="inlineStr">
        <is>
          <t>TN</t>
        </is>
      </c>
      <c r="N77" t="inlineStr"/>
      <c r="P77" t="inlineStr">
        <is>
          <t>20190426</t>
        </is>
      </c>
      <c r="Q77" t="inlineStr">
        <is>
          <t>20250127</t>
        </is>
      </c>
    </row>
    <row r="78">
      <c r="A78" t="inlineStr">
        <is>
          <t>900001074D8366623052410000357</t>
        </is>
      </c>
      <c r="B78" t="inlineStr">
        <is>
          <t>900001074</t>
        </is>
      </c>
      <c r="C78" t="inlineStr">
        <is>
          <t>D836</t>
        </is>
      </c>
      <c r="D78" t="inlineStr">
        <is>
          <t>66230524</t>
        </is>
      </c>
      <c r="E78" t="inlineStr">
        <is>
          <t>1</t>
        </is>
      </c>
      <c r="F78" t="inlineStr">
        <is>
          <t>10000357</t>
        </is>
      </c>
      <c r="H78" t="inlineStr"/>
      <c r="J78" t="n">
        <v>100</v>
      </c>
      <c r="K78" t="inlineStr"/>
      <c r="M78" t="inlineStr">
        <is>
          <t>M3</t>
        </is>
      </c>
      <c r="N78" t="inlineStr"/>
      <c r="P78" t="inlineStr">
        <is>
          <t>20190426</t>
        </is>
      </c>
      <c r="Q78" t="inlineStr">
        <is>
          <t>20250127</t>
        </is>
      </c>
    </row>
    <row r="79">
      <c r="A79" t="inlineStr">
        <is>
          <t>900001074D8366626076010000357</t>
        </is>
      </c>
      <c r="B79" t="inlineStr">
        <is>
          <t>900001074</t>
        </is>
      </c>
      <c r="C79" t="inlineStr">
        <is>
          <t>D836</t>
        </is>
      </c>
      <c r="D79" t="inlineStr">
        <is>
          <t>66260760</t>
        </is>
      </c>
      <c r="E79" t="inlineStr">
        <is>
          <t>1</t>
        </is>
      </c>
      <c r="F79" t="inlineStr">
        <is>
          <t>10000357</t>
        </is>
      </c>
      <c r="H79" t="inlineStr"/>
      <c r="J79" t="n">
        <v>62.1</v>
      </c>
      <c r="K79" t="inlineStr"/>
      <c r="M79" t="inlineStr">
        <is>
          <t>M3</t>
        </is>
      </c>
      <c r="N79" t="inlineStr"/>
      <c r="P79" t="inlineStr">
        <is>
          <t>20190426</t>
        </is>
      </c>
      <c r="Q79" t="inlineStr">
        <is>
          <t>20250127</t>
        </is>
      </c>
    </row>
    <row r="80">
      <c r="A80" t="inlineStr">
        <is>
          <t>900001074D8366626076010000357</t>
        </is>
      </c>
      <c r="B80" t="inlineStr">
        <is>
          <t>900001074</t>
        </is>
      </c>
      <c r="C80" t="inlineStr">
        <is>
          <t>D836</t>
        </is>
      </c>
      <c r="D80" t="inlineStr">
        <is>
          <t>66260760</t>
        </is>
      </c>
      <c r="E80" t="inlineStr">
        <is>
          <t>2</t>
        </is>
      </c>
      <c r="F80" t="inlineStr">
        <is>
          <t>10000357</t>
        </is>
      </c>
      <c r="H80" t="inlineStr"/>
      <c r="J80" t="n">
        <v>0</v>
      </c>
      <c r="K80" t="inlineStr"/>
      <c r="M80" t="inlineStr">
        <is>
          <t>M3</t>
        </is>
      </c>
      <c r="N80" t="inlineStr"/>
      <c r="P80" t="inlineStr">
        <is>
          <t>20190426</t>
        </is>
      </c>
      <c r="Q80" t="inlineStr">
        <is>
          <t>20250127</t>
        </is>
      </c>
    </row>
    <row r="81">
      <c r="A81" t="inlineStr">
        <is>
          <t>900001074D8366626076010000627</t>
        </is>
      </c>
      <c r="B81" t="inlineStr">
        <is>
          <t>900001074</t>
        </is>
      </c>
      <c r="C81" t="inlineStr">
        <is>
          <t>D836</t>
        </is>
      </c>
      <c r="D81" t="inlineStr">
        <is>
          <t>66260760</t>
        </is>
      </c>
      <c r="E81" t="inlineStr">
        <is>
          <t>1</t>
        </is>
      </c>
      <c r="F81" t="inlineStr">
        <is>
          <t>10000627</t>
        </is>
      </c>
      <c r="H81" t="inlineStr"/>
      <c r="J81" t="n">
        <v>62.1</v>
      </c>
      <c r="K81" t="inlineStr"/>
      <c r="M81" t="inlineStr">
        <is>
          <t>M3</t>
        </is>
      </c>
      <c r="N81" t="inlineStr"/>
      <c r="P81" t="inlineStr">
        <is>
          <t>20190426</t>
        </is>
      </c>
      <c r="Q81" t="inlineStr">
        <is>
          <t>20250127</t>
        </is>
      </c>
    </row>
    <row r="82">
      <c r="A82" t="inlineStr">
        <is>
          <t>900001074D8366626076010000627</t>
        </is>
      </c>
      <c r="B82" t="inlineStr">
        <is>
          <t>900001074</t>
        </is>
      </c>
      <c r="C82" t="inlineStr">
        <is>
          <t>D836</t>
        </is>
      </c>
      <c r="D82" t="inlineStr">
        <is>
          <t>66260760</t>
        </is>
      </c>
      <c r="E82" t="inlineStr">
        <is>
          <t>2</t>
        </is>
      </c>
      <c r="F82" t="inlineStr">
        <is>
          <t>10000627</t>
        </is>
      </c>
      <c r="H82" t="inlineStr"/>
      <c r="J82" t="n">
        <v>0</v>
      </c>
      <c r="K82" t="inlineStr"/>
      <c r="M82" t="inlineStr">
        <is>
          <t>M3</t>
        </is>
      </c>
      <c r="N82" t="inlineStr"/>
      <c r="P82" t="inlineStr">
        <is>
          <t>20190426</t>
        </is>
      </c>
      <c r="Q82" t="inlineStr">
        <is>
          <t>20250127</t>
        </is>
      </c>
    </row>
    <row r="83">
      <c r="A83" t="inlineStr">
        <is>
          <t>900001074D8366627273910000160</t>
        </is>
      </c>
      <c r="B83" t="inlineStr">
        <is>
          <t>900001074</t>
        </is>
      </c>
      <c r="C83" t="inlineStr">
        <is>
          <t>D836</t>
        </is>
      </c>
      <c r="D83" t="inlineStr">
        <is>
          <t>66272739</t>
        </is>
      </c>
      <c r="E83" t="inlineStr">
        <is>
          <t>1</t>
        </is>
      </c>
      <c r="F83" t="inlineStr">
        <is>
          <t>10000160</t>
        </is>
      </c>
      <c r="H83" t="inlineStr"/>
      <c r="J83" t="n">
        <v>90</v>
      </c>
      <c r="K83" t="inlineStr"/>
      <c r="M83" t="inlineStr">
        <is>
          <t>M3</t>
        </is>
      </c>
      <c r="N83" t="inlineStr"/>
      <c r="P83" t="inlineStr">
        <is>
          <t>20190426</t>
        </is>
      </c>
      <c r="Q83" t="inlineStr">
        <is>
          <t>20250127</t>
        </is>
      </c>
    </row>
    <row r="84">
      <c r="A84" t="inlineStr">
        <is>
          <t>900001074D8366627940810000160</t>
        </is>
      </c>
      <c r="B84" t="inlineStr">
        <is>
          <t>900001074</t>
        </is>
      </c>
      <c r="C84" t="inlineStr">
        <is>
          <t>D836</t>
        </is>
      </c>
      <c r="D84" t="inlineStr">
        <is>
          <t>66279408</t>
        </is>
      </c>
      <c r="E84" t="inlineStr">
        <is>
          <t>1</t>
        </is>
      </c>
      <c r="F84" t="inlineStr">
        <is>
          <t>10000160</t>
        </is>
      </c>
      <c r="H84" t="inlineStr"/>
      <c r="J84" t="n">
        <v>257.18</v>
      </c>
      <c r="K84" t="inlineStr"/>
      <c r="M84" t="inlineStr">
        <is>
          <t>M3</t>
        </is>
      </c>
      <c r="N84" t="inlineStr"/>
      <c r="P84" t="inlineStr">
        <is>
          <t>20230301</t>
        </is>
      </c>
      <c r="Q84" t="inlineStr">
        <is>
          <t>20251031</t>
        </is>
      </c>
    </row>
    <row r="85">
      <c r="A85" t="inlineStr">
        <is>
          <t>900001074D8366627940810000357</t>
        </is>
      </c>
      <c r="B85" t="inlineStr">
        <is>
          <t>900001074</t>
        </is>
      </c>
      <c r="C85" t="inlineStr">
        <is>
          <t>D836</t>
        </is>
      </c>
      <c r="D85" t="inlineStr">
        <is>
          <t>66279408</t>
        </is>
      </c>
      <c r="E85" t="inlineStr">
        <is>
          <t>1</t>
        </is>
      </c>
      <c r="F85" t="inlineStr">
        <is>
          <t>10000357</t>
        </is>
      </c>
      <c r="H85" t="inlineStr"/>
      <c r="J85" t="n">
        <v>257.18</v>
      </c>
      <c r="K85" t="inlineStr"/>
      <c r="M85" t="inlineStr">
        <is>
          <t>M3</t>
        </is>
      </c>
      <c r="N85" t="inlineStr"/>
      <c r="P85" t="inlineStr">
        <is>
          <t>20230301</t>
        </is>
      </c>
      <c r="Q85" t="inlineStr">
        <is>
          <t>20251031</t>
        </is>
      </c>
    </row>
    <row r="86">
      <c r="A86" t="inlineStr">
        <is>
          <t>900001074D8366631061010000160</t>
        </is>
      </c>
      <c r="B86" t="inlineStr">
        <is>
          <t>900001074</t>
        </is>
      </c>
      <c r="C86" t="inlineStr">
        <is>
          <t>D836</t>
        </is>
      </c>
      <c r="D86" t="inlineStr">
        <is>
          <t>66310610</t>
        </is>
      </c>
      <c r="E86" t="inlineStr">
        <is>
          <t>1</t>
        </is>
      </c>
      <c r="F86" t="inlineStr">
        <is>
          <t>10000160</t>
        </is>
      </c>
      <c r="H86" t="inlineStr"/>
      <c r="J86" t="n">
        <v>90</v>
      </c>
      <c r="K86" t="inlineStr"/>
      <c r="M86" t="inlineStr">
        <is>
          <t>M3</t>
        </is>
      </c>
      <c r="N86" t="inlineStr"/>
      <c r="P86" t="inlineStr">
        <is>
          <t>20190426</t>
        </is>
      </c>
      <c r="Q86" t="inlineStr">
        <is>
          <t>20250127</t>
        </is>
      </c>
    </row>
    <row r="87">
      <c r="A87" t="inlineStr">
        <is>
          <t>900001074D8366631061010000357</t>
        </is>
      </c>
      <c r="B87" t="inlineStr">
        <is>
          <t>900001074</t>
        </is>
      </c>
      <c r="C87" t="inlineStr">
        <is>
          <t>D836</t>
        </is>
      </c>
      <c r="D87" t="inlineStr">
        <is>
          <t>66310610</t>
        </is>
      </c>
      <c r="E87" t="inlineStr">
        <is>
          <t>1</t>
        </is>
      </c>
      <c r="F87" t="inlineStr">
        <is>
          <t>10000357</t>
        </is>
      </c>
      <c r="H87" t="inlineStr"/>
      <c r="J87" t="n">
        <v>85</v>
      </c>
      <c r="K87" t="inlineStr"/>
      <c r="M87" t="inlineStr">
        <is>
          <t>M3</t>
        </is>
      </c>
      <c r="N87" t="inlineStr"/>
      <c r="P87" t="inlineStr">
        <is>
          <t>20190426</t>
        </is>
      </c>
      <c r="Q87" t="inlineStr">
        <is>
          <t>20250127</t>
        </is>
      </c>
    </row>
    <row r="88">
      <c r="A88" t="inlineStr">
        <is>
          <t>900001074D8366631061010000627</t>
        </is>
      </c>
      <c r="B88" t="inlineStr">
        <is>
          <t>900001074</t>
        </is>
      </c>
      <c r="C88" t="inlineStr">
        <is>
          <t>D836</t>
        </is>
      </c>
      <c r="D88" t="inlineStr">
        <is>
          <t>66310610</t>
        </is>
      </c>
      <c r="E88" t="inlineStr">
        <is>
          <t>1</t>
        </is>
      </c>
      <c r="F88" t="inlineStr">
        <is>
          <t>10000627</t>
        </is>
      </c>
      <c r="H88" t="inlineStr"/>
      <c r="J88" t="n">
        <v>80</v>
      </c>
      <c r="K88" t="inlineStr"/>
      <c r="M88" t="inlineStr">
        <is>
          <t>M3</t>
        </is>
      </c>
      <c r="N88" t="inlineStr"/>
      <c r="P88" t="inlineStr">
        <is>
          <t>20190426</t>
        </is>
      </c>
      <c r="Q88" t="inlineStr">
        <is>
          <t>20250127</t>
        </is>
      </c>
    </row>
    <row r="89">
      <c r="A89" t="inlineStr">
        <is>
          <t>900001074D8366631332310000160</t>
        </is>
      </c>
      <c r="B89" t="inlineStr">
        <is>
          <t>900001074</t>
        </is>
      </c>
      <c r="C89" t="inlineStr">
        <is>
          <t>D836</t>
        </is>
      </c>
      <c r="D89" t="inlineStr">
        <is>
          <t>66313323</t>
        </is>
      </c>
      <c r="E89" t="inlineStr">
        <is>
          <t>2</t>
        </is>
      </c>
      <c r="F89" t="inlineStr">
        <is>
          <t>10000160</t>
        </is>
      </c>
      <c r="H89" t="inlineStr"/>
      <c r="J89" t="n">
        <v>0</v>
      </c>
      <c r="K89" t="inlineStr"/>
      <c r="M89" t="inlineStr">
        <is>
          <t>M3</t>
        </is>
      </c>
      <c r="N89" t="inlineStr"/>
      <c r="P89" t="inlineStr">
        <is>
          <t>20190426</t>
        </is>
      </c>
      <c r="Q89" t="inlineStr">
        <is>
          <t>20250127</t>
        </is>
      </c>
    </row>
    <row r="90">
      <c r="A90" t="inlineStr">
        <is>
          <t>900001074D8366633810210000357</t>
        </is>
      </c>
      <c r="B90" t="inlineStr">
        <is>
          <t>900001074</t>
        </is>
      </c>
      <c r="C90" t="inlineStr">
        <is>
          <t>D836</t>
        </is>
      </c>
      <c r="D90" t="inlineStr">
        <is>
          <t>66338102</t>
        </is>
      </c>
      <c r="E90" t="inlineStr">
        <is>
          <t>2</t>
        </is>
      </c>
      <c r="F90" t="inlineStr">
        <is>
          <t>10000357</t>
        </is>
      </c>
      <c r="H90" t="inlineStr"/>
      <c r="J90" t="n">
        <v>0</v>
      </c>
      <c r="K90" t="inlineStr"/>
      <c r="M90" t="inlineStr">
        <is>
          <t>M3</t>
        </is>
      </c>
      <c r="N90" t="inlineStr"/>
      <c r="P90" t="inlineStr">
        <is>
          <t>20190426</t>
        </is>
      </c>
      <c r="Q90" t="inlineStr">
        <is>
          <t>20250127</t>
        </is>
      </c>
    </row>
    <row r="91">
      <c r="A91" t="inlineStr">
        <is>
          <t>900001074D8366637247510000160</t>
        </is>
      </c>
      <c r="B91" t="inlineStr">
        <is>
          <t>900001074</t>
        </is>
      </c>
      <c r="C91" t="inlineStr">
        <is>
          <t>D836</t>
        </is>
      </c>
      <c r="D91" t="inlineStr">
        <is>
          <t>66372475</t>
        </is>
      </c>
      <c r="E91" t="inlineStr">
        <is>
          <t>1</t>
        </is>
      </c>
      <c r="F91" t="inlineStr">
        <is>
          <t>10000160</t>
        </is>
      </c>
      <c r="H91" t="inlineStr"/>
      <c r="J91" t="n">
        <v>58</v>
      </c>
      <c r="K91" t="inlineStr"/>
      <c r="M91" t="inlineStr">
        <is>
          <t>M3</t>
        </is>
      </c>
      <c r="N91" t="inlineStr"/>
      <c r="P91" t="inlineStr">
        <is>
          <t>20190426</t>
        </is>
      </c>
      <c r="Q91" t="inlineStr">
        <is>
          <t>20250127</t>
        </is>
      </c>
    </row>
    <row r="92">
      <c r="A92" t="inlineStr">
        <is>
          <t>900001074D8366637247510000160</t>
        </is>
      </c>
      <c r="B92" t="inlineStr">
        <is>
          <t>900001074</t>
        </is>
      </c>
      <c r="C92" t="inlineStr">
        <is>
          <t>D836</t>
        </is>
      </c>
      <c r="D92" t="inlineStr">
        <is>
          <t>66372475</t>
        </is>
      </c>
      <c r="E92" t="inlineStr">
        <is>
          <t>4</t>
        </is>
      </c>
      <c r="F92" t="inlineStr">
        <is>
          <t>10000160</t>
        </is>
      </c>
      <c r="H92" t="inlineStr"/>
      <c r="J92" t="n">
        <v>67</v>
      </c>
      <c r="K92" t="inlineStr"/>
      <c r="M92" t="inlineStr">
        <is>
          <t>M3</t>
        </is>
      </c>
      <c r="N92" t="inlineStr"/>
      <c r="P92" t="inlineStr">
        <is>
          <t>20190426</t>
        </is>
      </c>
      <c r="Q92" t="inlineStr">
        <is>
          <t>20250127</t>
        </is>
      </c>
    </row>
    <row r="93">
      <c r="A93" t="inlineStr">
        <is>
          <t>900001074D8366637247510000206</t>
        </is>
      </c>
      <c r="B93" t="inlineStr">
        <is>
          <t>900001074</t>
        </is>
      </c>
      <c r="C93" t="inlineStr">
        <is>
          <t>D836</t>
        </is>
      </c>
      <c r="D93" t="inlineStr">
        <is>
          <t>66372475</t>
        </is>
      </c>
      <c r="E93" t="inlineStr">
        <is>
          <t>1</t>
        </is>
      </c>
      <c r="F93" t="inlineStr">
        <is>
          <t>10000206</t>
        </is>
      </c>
      <c r="H93" t="inlineStr"/>
      <c r="J93" t="n">
        <v>57.78</v>
      </c>
      <c r="K93" t="inlineStr"/>
      <c r="M93" t="inlineStr">
        <is>
          <t>M3</t>
        </is>
      </c>
      <c r="N93" t="inlineStr"/>
      <c r="P93" t="inlineStr">
        <is>
          <t>20190426</t>
        </is>
      </c>
      <c r="Q93" t="inlineStr">
        <is>
          <t>20250127</t>
        </is>
      </c>
    </row>
    <row r="94">
      <c r="A94" t="inlineStr">
        <is>
          <t>900001074D8366637247510000206</t>
        </is>
      </c>
      <c r="B94" t="inlineStr">
        <is>
          <t>900001074</t>
        </is>
      </c>
      <c r="C94" t="inlineStr">
        <is>
          <t>D836</t>
        </is>
      </c>
      <c r="D94" t="inlineStr">
        <is>
          <t>66372475</t>
        </is>
      </c>
      <c r="E94" t="inlineStr">
        <is>
          <t>4</t>
        </is>
      </c>
      <c r="F94" t="inlineStr">
        <is>
          <t>10000206</t>
        </is>
      </c>
      <c r="H94" t="inlineStr"/>
      <c r="J94" t="n">
        <v>67</v>
      </c>
      <c r="K94" t="inlineStr"/>
      <c r="M94" t="inlineStr">
        <is>
          <t>M3</t>
        </is>
      </c>
      <c r="N94" t="inlineStr"/>
      <c r="P94" t="inlineStr">
        <is>
          <t>20190426</t>
        </is>
      </c>
      <c r="Q94" t="inlineStr">
        <is>
          <t>20250127</t>
        </is>
      </c>
    </row>
    <row r="95">
      <c r="A95" t="inlineStr">
        <is>
          <t>900001074D8366637247510000357</t>
        </is>
      </c>
      <c r="B95" t="inlineStr">
        <is>
          <t>900001074</t>
        </is>
      </c>
      <c r="C95" t="inlineStr">
        <is>
          <t>D836</t>
        </is>
      </c>
      <c r="D95" t="inlineStr">
        <is>
          <t>66372475</t>
        </is>
      </c>
      <c r="E95" t="inlineStr">
        <is>
          <t>1</t>
        </is>
      </c>
      <c r="F95" t="inlineStr">
        <is>
          <t>10000357</t>
        </is>
      </c>
      <c r="H95" t="inlineStr"/>
      <c r="J95" t="n">
        <v>58</v>
      </c>
      <c r="K95" t="inlineStr"/>
      <c r="M95" t="inlineStr">
        <is>
          <t>M3</t>
        </is>
      </c>
      <c r="N95" t="inlineStr"/>
      <c r="P95" t="inlineStr">
        <is>
          <t>20190426</t>
        </is>
      </c>
      <c r="Q95" t="inlineStr">
        <is>
          <t>20250127</t>
        </is>
      </c>
    </row>
    <row r="96">
      <c r="A96" t="inlineStr">
        <is>
          <t>900001074D8366637247510000357</t>
        </is>
      </c>
      <c r="B96" t="inlineStr">
        <is>
          <t>900001074</t>
        </is>
      </c>
      <c r="C96" t="inlineStr">
        <is>
          <t>D836</t>
        </is>
      </c>
      <c r="D96" t="inlineStr">
        <is>
          <t>66372475</t>
        </is>
      </c>
      <c r="E96" t="inlineStr">
        <is>
          <t>4</t>
        </is>
      </c>
      <c r="F96" t="inlineStr">
        <is>
          <t>10000357</t>
        </is>
      </c>
      <c r="H96" t="inlineStr"/>
      <c r="J96" t="n">
        <v>67</v>
      </c>
      <c r="K96" t="inlineStr"/>
      <c r="M96" t="inlineStr">
        <is>
          <t>M3</t>
        </is>
      </c>
      <c r="N96" t="inlineStr"/>
      <c r="P96" t="inlineStr">
        <is>
          <t>20190426</t>
        </is>
      </c>
      <c r="Q96" t="inlineStr">
        <is>
          <t>20250127</t>
        </is>
      </c>
    </row>
    <row r="97">
      <c r="A97" t="inlineStr">
        <is>
          <t>900001074D8366637247510019515</t>
        </is>
      </c>
      <c r="B97" t="inlineStr">
        <is>
          <t>900001074</t>
        </is>
      </c>
      <c r="C97" t="inlineStr">
        <is>
          <t>D836</t>
        </is>
      </c>
      <c r="D97" t="inlineStr">
        <is>
          <t>66372475</t>
        </is>
      </c>
      <c r="E97" t="inlineStr">
        <is>
          <t>1</t>
        </is>
      </c>
      <c r="F97" t="inlineStr">
        <is>
          <t>10019515</t>
        </is>
      </c>
      <c r="H97" t="inlineStr"/>
      <c r="J97" t="n">
        <v>65</v>
      </c>
      <c r="K97" t="inlineStr"/>
      <c r="M97" t="inlineStr">
        <is>
          <t>M3</t>
        </is>
      </c>
      <c r="N97" t="inlineStr"/>
      <c r="P97" t="inlineStr">
        <is>
          <t>20190426</t>
        </is>
      </c>
      <c r="Q97" t="inlineStr">
        <is>
          <t>20250127</t>
        </is>
      </c>
    </row>
    <row r="98">
      <c r="A98" t="inlineStr">
        <is>
          <t>900001074D8366640066710000160</t>
        </is>
      </c>
      <c r="B98" t="inlineStr">
        <is>
          <t>900001074</t>
        </is>
      </c>
      <c r="C98" t="inlineStr">
        <is>
          <t>D836</t>
        </is>
      </c>
      <c r="D98" t="inlineStr">
        <is>
          <t>66400667</t>
        </is>
      </c>
      <c r="E98" t="inlineStr">
        <is>
          <t>1</t>
        </is>
      </c>
      <c r="F98" t="inlineStr">
        <is>
          <t>10000160</t>
        </is>
      </c>
      <c r="H98" t="inlineStr"/>
      <c r="J98" t="n">
        <v>122</v>
      </c>
      <c r="K98" t="inlineStr"/>
      <c r="M98" t="inlineStr">
        <is>
          <t>M3</t>
        </is>
      </c>
      <c r="N98" t="inlineStr"/>
      <c r="P98" t="inlineStr">
        <is>
          <t>20190426</t>
        </is>
      </c>
      <c r="Q98" t="inlineStr">
        <is>
          <t>20250127</t>
        </is>
      </c>
    </row>
    <row r="99">
      <c r="A99" t="inlineStr">
        <is>
          <t>900001074D8366641437710000160</t>
        </is>
      </c>
      <c r="B99" t="inlineStr">
        <is>
          <t>900001074</t>
        </is>
      </c>
      <c r="C99" t="inlineStr">
        <is>
          <t>D836</t>
        </is>
      </c>
      <c r="D99" t="inlineStr">
        <is>
          <t>66414377</t>
        </is>
      </c>
      <c r="E99" t="inlineStr">
        <is>
          <t>2</t>
        </is>
      </c>
      <c r="F99" t="inlineStr">
        <is>
          <t>10000160</t>
        </is>
      </c>
      <c r="H99" t="inlineStr"/>
      <c r="J99" t="n">
        <v>0</v>
      </c>
      <c r="K99" t="inlineStr"/>
      <c r="M99" t="inlineStr">
        <is>
          <t>M3</t>
        </is>
      </c>
      <c r="N99" t="inlineStr"/>
      <c r="P99" t="inlineStr">
        <is>
          <t>20190426</t>
        </is>
      </c>
      <c r="Q99" t="inlineStr">
        <is>
          <t>20250127</t>
        </is>
      </c>
    </row>
    <row r="100">
      <c r="A100" t="inlineStr">
        <is>
          <t>900001074D8366642083110000160</t>
        </is>
      </c>
      <c r="B100" t="inlineStr">
        <is>
          <t>900001074</t>
        </is>
      </c>
      <c r="C100" t="inlineStr">
        <is>
          <t>D836</t>
        </is>
      </c>
      <c r="D100" t="inlineStr">
        <is>
          <t>66420831</t>
        </is>
      </c>
      <c r="E100" t="inlineStr">
        <is>
          <t>2</t>
        </is>
      </c>
      <c r="F100" t="inlineStr">
        <is>
          <t>10000160</t>
        </is>
      </c>
      <c r="H100" t="inlineStr"/>
      <c r="J100" t="n">
        <v>0</v>
      </c>
      <c r="K100" t="inlineStr"/>
      <c r="M100" t="inlineStr">
        <is>
          <t>M3</t>
        </is>
      </c>
      <c r="N100" t="inlineStr"/>
      <c r="P100" t="inlineStr">
        <is>
          <t>20190426</t>
        </is>
      </c>
      <c r="Q100" t="inlineStr">
        <is>
          <t>20250127</t>
        </is>
      </c>
    </row>
    <row r="101">
      <c r="A101" t="inlineStr">
        <is>
          <t>900001074D8366649095710000160</t>
        </is>
      </c>
      <c r="B101" t="inlineStr">
        <is>
          <t>900001074</t>
        </is>
      </c>
      <c r="C101" t="inlineStr">
        <is>
          <t>D836</t>
        </is>
      </c>
      <c r="D101" t="inlineStr">
        <is>
          <t>66490957</t>
        </is>
      </c>
      <c r="E101" t="inlineStr">
        <is>
          <t>4</t>
        </is>
      </c>
      <c r="F101" t="inlineStr">
        <is>
          <t>10000160</t>
        </is>
      </c>
      <c r="H101" t="inlineStr"/>
      <c r="J101" t="n">
        <v>45</v>
      </c>
      <c r="K101" t="inlineStr"/>
      <c r="M101" t="inlineStr">
        <is>
          <t>M3</t>
        </is>
      </c>
      <c r="N101" t="inlineStr"/>
      <c r="P101" t="inlineStr">
        <is>
          <t>20190426</t>
        </is>
      </c>
      <c r="Q101" t="inlineStr">
        <is>
          <t>20250127</t>
        </is>
      </c>
    </row>
    <row r="102">
      <c r="A102" t="inlineStr">
        <is>
          <t>900001074D8366652634110155487</t>
        </is>
      </c>
      <c r="B102" t="inlineStr">
        <is>
          <t>900001074</t>
        </is>
      </c>
      <c r="C102" t="inlineStr">
        <is>
          <t>D836</t>
        </is>
      </c>
      <c r="D102" t="inlineStr">
        <is>
          <t>66526341</t>
        </is>
      </c>
      <c r="E102" t="inlineStr">
        <is>
          <t>4</t>
        </is>
      </c>
      <c r="F102" t="inlineStr">
        <is>
          <t>10155487</t>
        </is>
      </c>
      <c r="H102" t="inlineStr"/>
      <c r="J102" t="n">
        <v>120</v>
      </c>
      <c r="K102" t="inlineStr"/>
      <c r="M102" t="inlineStr">
        <is>
          <t>M3</t>
        </is>
      </c>
      <c r="N102" t="inlineStr"/>
      <c r="P102" t="inlineStr">
        <is>
          <t>20190426</t>
        </is>
      </c>
      <c r="Q102" t="inlineStr">
        <is>
          <t>20250127</t>
        </is>
      </c>
    </row>
    <row r="103">
      <c r="A103" t="inlineStr">
        <is>
          <t>900001074D8366652634310155487</t>
        </is>
      </c>
      <c r="B103" t="inlineStr">
        <is>
          <t>900001074</t>
        </is>
      </c>
      <c r="C103" t="inlineStr">
        <is>
          <t>D836</t>
        </is>
      </c>
      <c r="D103" t="inlineStr">
        <is>
          <t>66526343</t>
        </is>
      </c>
      <c r="E103" t="inlineStr">
        <is>
          <t>4</t>
        </is>
      </c>
      <c r="F103" t="inlineStr">
        <is>
          <t>10155487</t>
        </is>
      </c>
      <c r="H103" t="inlineStr"/>
      <c r="J103" t="n">
        <v>120</v>
      </c>
      <c r="K103" t="inlineStr"/>
      <c r="M103" t="inlineStr">
        <is>
          <t>M3</t>
        </is>
      </c>
      <c r="N103" t="inlineStr"/>
      <c r="P103" t="inlineStr">
        <is>
          <t>20190426</t>
        </is>
      </c>
      <c r="Q103" t="inlineStr">
        <is>
          <t>20250127</t>
        </is>
      </c>
    </row>
    <row r="104">
      <c r="A104" t="inlineStr">
        <is>
          <t>900001074D8366653821310155487</t>
        </is>
      </c>
      <c r="B104" t="inlineStr">
        <is>
          <t>900001074</t>
        </is>
      </c>
      <c r="C104" t="inlineStr">
        <is>
          <t>D836</t>
        </is>
      </c>
      <c r="D104" t="inlineStr">
        <is>
          <t>66538213</t>
        </is>
      </c>
      <c r="E104" t="inlineStr">
        <is>
          <t>4</t>
        </is>
      </c>
      <c r="F104" t="inlineStr">
        <is>
          <t>10155487</t>
        </is>
      </c>
      <c r="H104" t="inlineStr"/>
      <c r="J104" t="n">
        <v>120</v>
      </c>
      <c r="K104" t="inlineStr"/>
      <c r="M104" t="inlineStr">
        <is>
          <t>M3</t>
        </is>
      </c>
      <c r="N104" t="inlineStr"/>
      <c r="P104" t="inlineStr">
        <is>
          <t>20190426</t>
        </is>
      </c>
      <c r="Q104" t="inlineStr">
        <is>
          <t>20250127</t>
        </is>
      </c>
    </row>
    <row r="105">
      <c r="A105" t="inlineStr">
        <is>
          <t>900001074D8366659119910000160</t>
        </is>
      </c>
      <c r="B105" t="inlineStr">
        <is>
          <t>900001074</t>
        </is>
      </c>
      <c r="C105" t="inlineStr">
        <is>
          <t>D836</t>
        </is>
      </c>
      <c r="D105" t="inlineStr">
        <is>
          <t>66591199</t>
        </is>
      </c>
      <c r="E105" t="inlineStr">
        <is>
          <t>1</t>
        </is>
      </c>
      <c r="F105" t="inlineStr">
        <is>
          <t>10000160</t>
        </is>
      </c>
      <c r="H105" t="inlineStr"/>
      <c r="J105" t="n">
        <v>155</v>
      </c>
      <c r="K105" t="inlineStr"/>
      <c r="M105" t="inlineStr">
        <is>
          <t>M3</t>
        </is>
      </c>
      <c r="N105" t="inlineStr"/>
      <c r="P105" t="inlineStr">
        <is>
          <t>20190426</t>
        </is>
      </c>
      <c r="Q105" t="inlineStr">
        <is>
          <t>20250127</t>
        </is>
      </c>
    </row>
    <row r="106">
      <c r="A106" t="inlineStr">
        <is>
          <t>900001074D8366659119910000357</t>
        </is>
      </c>
      <c r="B106" t="inlineStr">
        <is>
          <t>900001074</t>
        </is>
      </c>
      <c r="C106" t="inlineStr">
        <is>
          <t>D836</t>
        </is>
      </c>
      <c r="D106" t="inlineStr">
        <is>
          <t>66591199</t>
        </is>
      </c>
      <c r="E106" t="inlineStr">
        <is>
          <t>1</t>
        </is>
      </c>
      <c r="F106" t="inlineStr">
        <is>
          <t>10000357</t>
        </is>
      </c>
      <c r="H106" t="inlineStr"/>
      <c r="J106" t="n">
        <v>155</v>
      </c>
      <c r="K106" t="inlineStr"/>
      <c r="M106" t="inlineStr">
        <is>
          <t>M3</t>
        </is>
      </c>
      <c r="N106" t="inlineStr"/>
      <c r="P106" t="inlineStr">
        <is>
          <t>20190426</t>
        </is>
      </c>
      <c r="Q106" t="inlineStr">
        <is>
          <t>20250127</t>
        </is>
      </c>
    </row>
    <row r="107">
      <c r="A107" t="inlineStr">
        <is>
          <t>900001074D8366659119910019515</t>
        </is>
      </c>
      <c r="B107" t="inlineStr">
        <is>
          <t>900001074</t>
        </is>
      </c>
      <c r="C107" t="inlineStr">
        <is>
          <t>D836</t>
        </is>
      </c>
      <c r="D107" t="inlineStr">
        <is>
          <t>66591199</t>
        </is>
      </c>
      <c r="E107" t="inlineStr">
        <is>
          <t>1</t>
        </is>
      </c>
      <c r="F107" t="inlineStr">
        <is>
          <t>10019515</t>
        </is>
      </c>
      <c r="H107" t="inlineStr"/>
      <c r="J107" t="n">
        <v>161</v>
      </c>
      <c r="K107" t="inlineStr"/>
      <c r="M107" t="inlineStr">
        <is>
          <t>M3</t>
        </is>
      </c>
      <c r="N107" t="inlineStr"/>
      <c r="P107" t="inlineStr">
        <is>
          <t>20190426</t>
        </is>
      </c>
      <c r="Q107" t="inlineStr">
        <is>
          <t>20250127</t>
        </is>
      </c>
    </row>
    <row r="108">
      <c r="A108" t="inlineStr">
        <is>
          <t>900001074D8366661813510000160</t>
        </is>
      </c>
      <c r="B108" t="inlineStr">
        <is>
          <t>900001074</t>
        </is>
      </c>
      <c r="C108" t="inlineStr">
        <is>
          <t>D836</t>
        </is>
      </c>
      <c r="D108" t="inlineStr">
        <is>
          <t>66618135</t>
        </is>
      </c>
      <c r="E108" t="inlineStr">
        <is>
          <t>1</t>
        </is>
      </c>
      <c r="F108" t="inlineStr">
        <is>
          <t>10000160</t>
        </is>
      </c>
      <c r="H108" t="inlineStr"/>
      <c r="J108" t="n">
        <v>155</v>
      </c>
      <c r="K108" t="inlineStr"/>
      <c r="M108" t="inlineStr">
        <is>
          <t>M3</t>
        </is>
      </c>
      <c r="N108" t="inlineStr"/>
      <c r="P108" t="inlineStr">
        <is>
          <t>20190426</t>
        </is>
      </c>
      <c r="Q108" t="inlineStr">
        <is>
          <t>20250127</t>
        </is>
      </c>
    </row>
    <row r="109">
      <c r="A109" t="inlineStr">
        <is>
          <t>900001074D8366661813510000357</t>
        </is>
      </c>
      <c r="B109" t="inlineStr">
        <is>
          <t>900001074</t>
        </is>
      </c>
      <c r="C109" t="inlineStr">
        <is>
          <t>D836</t>
        </is>
      </c>
      <c r="D109" t="inlineStr">
        <is>
          <t>66618135</t>
        </is>
      </c>
      <c r="E109" t="inlineStr">
        <is>
          <t>1</t>
        </is>
      </c>
      <c r="F109" t="inlineStr">
        <is>
          <t>10000357</t>
        </is>
      </c>
      <c r="H109" t="inlineStr"/>
      <c r="J109" t="n">
        <v>155</v>
      </c>
      <c r="K109" t="inlineStr"/>
      <c r="M109" t="inlineStr">
        <is>
          <t>M3</t>
        </is>
      </c>
      <c r="N109" t="inlineStr"/>
      <c r="P109" t="inlineStr">
        <is>
          <t>20190426</t>
        </is>
      </c>
      <c r="Q109" t="inlineStr">
        <is>
          <t>20250127</t>
        </is>
      </c>
    </row>
    <row r="110">
      <c r="A110" t="inlineStr">
        <is>
          <t>900001074D8366661813510019515</t>
        </is>
      </c>
      <c r="B110" t="inlineStr">
        <is>
          <t>900001074</t>
        </is>
      </c>
      <c r="C110" t="inlineStr">
        <is>
          <t>D836</t>
        </is>
      </c>
      <c r="D110" t="inlineStr">
        <is>
          <t>66618135</t>
        </is>
      </c>
      <c r="E110" t="inlineStr">
        <is>
          <t>1</t>
        </is>
      </c>
      <c r="F110" t="inlineStr">
        <is>
          <t>10019515</t>
        </is>
      </c>
      <c r="H110" t="inlineStr"/>
      <c r="J110" t="n">
        <v>161</v>
      </c>
      <c r="K110" t="inlineStr"/>
      <c r="M110" t="inlineStr">
        <is>
          <t>M3</t>
        </is>
      </c>
      <c r="N110" t="inlineStr"/>
      <c r="P110" t="inlineStr">
        <is>
          <t>20190426</t>
        </is>
      </c>
      <c r="Q110" t="inlineStr">
        <is>
          <t>20250127</t>
        </is>
      </c>
    </row>
    <row r="111">
      <c r="A111" t="inlineStr">
        <is>
          <t>900001074D8366677927610000160</t>
        </is>
      </c>
      <c r="B111" t="inlineStr">
        <is>
          <t>900001074</t>
        </is>
      </c>
      <c r="C111" t="inlineStr">
        <is>
          <t>D836</t>
        </is>
      </c>
      <c r="D111" t="inlineStr">
        <is>
          <t>66779276</t>
        </is>
      </c>
      <c r="E111" t="inlineStr">
        <is>
          <t>1</t>
        </is>
      </c>
      <c r="F111" t="inlineStr">
        <is>
          <t>10000160</t>
        </is>
      </c>
      <c r="H111" t="inlineStr"/>
      <c r="J111" t="n">
        <v>46.8</v>
      </c>
      <c r="K111" t="inlineStr"/>
      <c r="M111" t="inlineStr">
        <is>
          <t>M3</t>
        </is>
      </c>
      <c r="N111" t="inlineStr"/>
      <c r="P111" t="inlineStr">
        <is>
          <t>20230301</t>
        </is>
      </c>
      <c r="Q111" t="inlineStr">
        <is>
          <t>99991231</t>
        </is>
      </c>
    </row>
    <row r="112">
      <c r="A112" t="inlineStr">
        <is>
          <t>900001074D8366677927610000357</t>
        </is>
      </c>
      <c r="B112" t="inlineStr">
        <is>
          <t>900001074</t>
        </is>
      </c>
      <c r="C112" t="inlineStr">
        <is>
          <t>D836</t>
        </is>
      </c>
      <c r="D112" t="inlineStr">
        <is>
          <t>66779276</t>
        </is>
      </c>
      <c r="E112" t="inlineStr">
        <is>
          <t>1</t>
        </is>
      </c>
      <c r="F112" t="inlineStr">
        <is>
          <t>10000357</t>
        </is>
      </c>
      <c r="H112" t="inlineStr"/>
      <c r="J112" t="n">
        <v>46.8</v>
      </c>
      <c r="K112" t="inlineStr"/>
      <c r="M112" t="inlineStr">
        <is>
          <t>M3</t>
        </is>
      </c>
      <c r="N112" t="inlineStr"/>
      <c r="P112" t="inlineStr">
        <is>
          <t>20230301</t>
        </is>
      </c>
      <c r="Q112" t="inlineStr">
        <is>
          <t>99991231</t>
        </is>
      </c>
    </row>
    <row r="113">
      <c r="A113" t="inlineStr">
        <is>
          <t>900001074D8366677927610000627</t>
        </is>
      </c>
      <c r="B113" t="inlineStr">
        <is>
          <t>900001074</t>
        </is>
      </c>
      <c r="C113" t="inlineStr">
        <is>
          <t>D836</t>
        </is>
      </c>
      <c r="D113" t="inlineStr">
        <is>
          <t>66779276</t>
        </is>
      </c>
      <c r="E113" t="inlineStr">
        <is>
          <t>1</t>
        </is>
      </c>
      <c r="F113" t="inlineStr">
        <is>
          <t>10000627</t>
        </is>
      </c>
      <c r="H113" t="inlineStr"/>
      <c r="J113" t="n">
        <v>46.8</v>
      </c>
      <c r="K113" t="inlineStr"/>
      <c r="M113" t="inlineStr">
        <is>
          <t>M3</t>
        </is>
      </c>
      <c r="N113" t="inlineStr"/>
      <c r="P113" t="inlineStr">
        <is>
          <t>20230301</t>
        </is>
      </c>
      <c r="Q113" t="inlineStr">
        <is>
          <t>20251031</t>
        </is>
      </c>
    </row>
    <row r="114">
      <c r="A114" t="inlineStr">
        <is>
          <t>900001074D8366679902910000160</t>
        </is>
      </c>
      <c r="B114" t="inlineStr">
        <is>
          <t>900001074</t>
        </is>
      </c>
      <c r="C114" t="inlineStr">
        <is>
          <t>D836</t>
        </is>
      </c>
      <c r="D114" t="inlineStr">
        <is>
          <t>66799029</t>
        </is>
      </c>
      <c r="E114" t="inlineStr">
        <is>
          <t>4</t>
        </is>
      </c>
      <c r="F114" t="inlineStr">
        <is>
          <t>10000160</t>
        </is>
      </c>
      <c r="H114" t="inlineStr"/>
      <c r="J114" t="n">
        <v>133</v>
      </c>
      <c r="K114" t="inlineStr"/>
      <c r="M114" t="inlineStr">
        <is>
          <t>M3</t>
        </is>
      </c>
      <c r="N114" t="inlineStr"/>
      <c r="P114" t="inlineStr">
        <is>
          <t>20190426</t>
        </is>
      </c>
      <c r="Q114" t="inlineStr">
        <is>
          <t>20250127</t>
        </is>
      </c>
    </row>
    <row r="115">
      <c r="A115" t="inlineStr">
        <is>
          <t>900001074D8366679902910000357</t>
        </is>
      </c>
      <c r="B115" t="inlineStr">
        <is>
          <t>900001074</t>
        </is>
      </c>
      <c r="C115" t="inlineStr">
        <is>
          <t>D836</t>
        </is>
      </c>
      <c r="D115" t="inlineStr">
        <is>
          <t>66799029</t>
        </is>
      </c>
      <c r="E115" t="inlineStr">
        <is>
          <t>4</t>
        </is>
      </c>
      <c r="F115" t="inlineStr">
        <is>
          <t>10000357</t>
        </is>
      </c>
      <c r="H115" t="inlineStr"/>
      <c r="J115" t="n">
        <v>133</v>
      </c>
      <c r="K115" t="inlineStr"/>
      <c r="M115" t="inlineStr">
        <is>
          <t>M3</t>
        </is>
      </c>
      <c r="N115" t="inlineStr"/>
      <c r="P115" t="inlineStr">
        <is>
          <t>20190426</t>
        </is>
      </c>
      <c r="Q115" t="inlineStr">
        <is>
          <t>20250127</t>
        </is>
      </c>
    </row>
    <row r="116">
      <c r="A116" t="inlineStr">
        <is>
          <t>900001074D8366682055110000160</t>
        </is>
      </c>
      <c r="B116" t="inlineStr">
        <is>
          <t>900001074</t>
        </is>
      </c>
      <c r="C116" t="inlineStr">
        <is>
          <t>D836</t>
        </is>
      </c>
      <c r="D116" t="inlineStr">
        <is>
          <t>66820551</t>
        </is>
      </c>
      <c r="E116" t="inlineStr">
        <is>
          <t>4</t>
        </is>
      </c>
      <c r="F116" t="inlineStr">
        <is>
          <t>10000160</t>
        </is>
      </c>
      <c r="H116" t="inlineStr"/>
      <c r="J116" t="n">
        <v>200</v>
      </c>
      <c r="K116" t="inlineStr"/>
      <c r="M116" t="inlineStr">
        <is>
          <t>TN</t>
        </is>
      </c>
      <c r="N116" t="inlineStr"/>
      <c r="P116" t="inlineStr">
        <is>
          <t>20190426</t>
        </is>
      </c>
      <c r="Q116" t="inlineStr">
        <is>
          <t>20250127</t>
        </is>
      </c>
    </row>
    <row r="117">
      <c r="A117" t="inlineStr">
        <is>
          <t>900001074D8366682055110000357</t>
        </is>
      </c>
      <c r="B117" t="inlineStr">
        <is>
          <t>900001074</t>
        </is>
      </c>
      <c r="C117" t="inlineStr">
        <is>
          <t>D836</t>
        </is>
      </c>
      <c r="D117" t="inlineStr">
        <is>
          <t>66820551</t>
        </is>
      </c>
      <c r="E117" t="inlineStr">
        <is>
          <t>4</t>
        </is>
      </c>
      <c r="F117" t="inlineStr">
        <is>
          <t>10000357</t>
        </is>
      </c>
      <c r="H117" t="inlineStr"/>
      <c r="J117" t="n">
        <v>200</v>
      </c>
      <c r="K117" t="inlineStr"/>
      <c r="M117" t="inlineStr">
        <is>
          <t>TN</t>
        </is>
      </c>
      <c r="N117" t="inlineStr"/>
      <c r="P117" t="inlineStr">
        <is>
          <t>20190426</t>
        </is>
      </c>
      <c r="Q117" t="inlineStr">
        <is>
          <t>20250127</t>
        </is>
      </c>
    </row>
    <row r="118">
      <c r="A118" t="inlineStr">
        <is>
          <t>900001074D8366686450810000160</t>
        </is>
      </c>
      <c r="B118" t="inlineStr">
        <is>
          <t>900001074</t>
        </is>
      </c>
      <c r="C118" t="inlineStr">
        <is>
          <t>D836</t>
        </is>
      </c>
      <c r="D118" t="inlineStr">
        <is>
          <t>66864508</t>
        </is>
      </c>
      <c r="E118" t="inlineStr">
        <is>
          <t>1</t>
        </is>
      </c>
      <c r="F118" t="inlineStr">
        <is>
          <t>10000160</t>
        </is>
      </c>
      <c r="H118" t="inlineStr"/>
      <c r="J118" t="n">
        <v>208.28</v>
      </c>
      <c r="K118" t="inlineStr"/>
      <c r="M118" t="inlineStr">
        <is>
          <t>M3</t>
        </is>
      </c>
      <c r="N118" t="inlineStr"/>
      <c r="P118" t="inlineStr">
        <is>
          <t>20231011</t>
        </is>
      </c>
      <c r="Q118" t="inlineStr">
        <is>
          <t>20240820</t>
        </is>
      </c>
    </row>
    <row r="119">
      <c r="A119" t="inlineStr">
        <is>
          <t>900001074D8366686450810000357</t>
        </is>
      </c>
      <c r="B119" t="inlineStr">
        <is>
          <t>900001074</t>
        </is>
      </c>
      <c r="C119" t="inlineStr">
        <is>
          <t>D836</t>
        </is>
      </c>
      <c r="D119" t="inlineStr">
        <is>
          <t>66864508</t>
        </is>
      </c>
      <c r="E119" t="inlineStr">
        <is>
          <t>1</t>
        </is>
      </c>
      <c r="F119" t="inlineStr">
        <is>
          <t>10000357</t>
        </is>
      </c>
      <c r="H119" t="inlineStr"/>
      <c r="J119" t="n">
        <v>208.28</v>
      </c>
      <c r="K119" t="inlineStr"/>
      <c r="M119" t="inlineStr">
        <is>
          <t>M3</t>
        </is>
      </c>
      <c r="N119" t="inlineStr"/>
      <c r="P119" t="inlineStr">
        <is>
          <t>20230301</t>
        </is>
      </c>
      <c r="Q119" t="inlineStr">
        <is>
          <t>99991231</t>
        </is>
      </c>
    </row>
    <row r="120">
      <c r="A120" t="inlineStr">
        <is>
          <t>900001074D8366686450810000627</t>
        </is>
      </c>
      <c r="B120" t="inlineStr">
        <is>
          <t>900001074</t>
        </is>
      </c>
      <c r="C120" t="inlineStr">
        <is>
          <t>D836</t>
        </is>
      </c>
      <c r="D120" t="inlineStr">
        <is>
          <t>66864508</t>
        </is>
      </c>
      <c r="E120" t="inlineStr">
        <is>
          <t>1</t>
        </is>
      </c>
      <c r="F120" t="inlineStr">
        <is>
          <t>10000627</t>
        </is>
      </c>
      <c r="H120" t="inlineStr"/>
      <c r="J120" t="n">
        <v>208.28</v>
      </c>
      <c r="K120" t="inlineStr"/>
      <c r="M120" t="inlineStr">
        <is>
          <t>M3</t>
        </is>
      </c>
      <c r="N120" t="inlineStr"/>
      <c r="P120" t="inlineStr">
        <is>
          <t>20190426</t>
        </is>
      </c>
      <c r="Q120" t="inlineStr">
        <is>
          <t>20250127</t>
        </is>
      </c>
    </row>
    <row r="121">
      <c r="A121" t="inlineStr">
        <is>
          <t>900001074D8366686450810259792</t>
        </is>
      </c>
      <c r="B121" t="inlineStr">
        <is>
          <t>900001074</t>
        </is>
      </c>
      <c r="C121" t="inlineStr">
        <is>
          <t>D836</t>
        </is>
      </c>
      <c r="D121" t="inlineStr">
        <is>
          <t>66864508</t>
        </is>
      </c>
      <c r="E121" t="inlineStr">
        <is>
          <t>1</t>
        </is>
      </c>
      <c r="F121" t="inlineStr">
        <is>
          <t>10259792</t>
        </is>
      </c>
      <c r="H121" t="inlineStr"/>
      <c r="J121" t="n">
        <v>208.28</v>
      </c>
      <c r="K121" t="inlineStr"/>
      <c r="M121" t="inlineStr">
        <is>
          <t>M3</t>
        </is>
      </c>
      <c r="N121" t="inlineStr"/>
      <c r="P121" t="inlineStr">
        <is>
          <t>20230301</t>
        </is>
      </c>
      <c r="Q121" t="inlineStr">
        <is>
          <t>20251031</t>
        </is>
      </c>
    </row>
    <row r="122">
      <c r="A122" t="inlineStr">
        <is>
          <t>900001074D8366686454010000160</t>
        </is>
      </c>
      <c r="B122" t="inlineStr">
        <is>
          <t>900001074</t>
        </is>
      </c>
      <c r="C122" t="inlineStr">
        <is>
          <t>D836</t>
        </is>
      </c>
      <c r="D122" t="inlineStr">
        <is>
          <t>66864540</t>
        </is>
      </c>
      <c r="E122" t="inlineStr">
        <is>
          <t>1</t>
        </is>
      </c>
      <c r="F122" t="inlineStr">
        <is>
          <t>10000160</t>
        </is>
      </c>
      <c r="H122" t="inlineStr"/>
      <c r="J122" t="n">
        <v>208.28</v>
      </c>
      <c r="K122" t="inlineStr"/>
      <c r="M122" t="inlineStr">
        <is>
          <t>M3</t>
        </is>
      </c>
      <c r="N122" t="inlineStr"/>
      <c r="P122" t="inlineStr">
        <is>
          <t>20231011</t>
        </is>
      </c>
      <c r="Q122" t="inlineStr">
        <is>
          <t>20240820</t>
        </is>
      </c>
    </row>
    <row r="123">
      <c r="A123" t="inlineStr">
        <is>
          <t>900001074D8366686454010000357</t>
        </is>
      </c>
      <c r="B123" t="inlineStr">
        <is>
          <t>900001074</t>
        </is>
      </c>
      <c r="C123" t="inlineStr">
        <is>
          <t>D836</t>
        </is>
      </c>
      <c r="D123" t="inlineStr">
        <is>
          <t>66864540</t>
        </is>
      </c>
      <c r="E123" t="inlineStr">
        <is>
          <t>1</t>
        </is>
      </c>
      <c r="F123" t="inlineStr">
        <is>
          <t>10000357</t>
        </is>
      </c>
      <c r="H123" t="inlineStr"/>
      <c r="J123" t="n">
        <v>208.28</v>
      </c>
      <c r="K123" t="inlineStr"/>
      <c r="M123" t="inlineStr">
        <is>
          <t>M3</t>
        </is>
      </c>
      <c r="N123" t="inlineStr"/>
      <c r="P123" t="inlineStr">
        <is>
          <t>20230301</t>
        </is>
      </c>
      <c r="Q123" t="inlineStr">
        <is>
          <t>20251031</t>
        </is>
      </c>
    </row>
    <row r="124">
      <c r="A124" t="inlineStr">
        <is>
          <t>900001074D8366686454010000627</t>
        </is>
      </c>
      <c r="B124" t="inlineStr">
        <is>
          <t>900001074</t>
        </is>
      </c>
      <c r="C124" t="inlineStr">
        <is>
          <t>D836</t>
        </is>
      </c>
      <c r="D124" t="inlineStr">
        <is>
          <t>66864540</t>
        </is>
      </c>
      <c r="E124" t="inlineStr">
        <is>
          <t>1</t>
        </is>
      </c>
      <c r="F124" t="inlineStr">
        <is>
          <t>10000627</t>
        </is>
      </c>
      <c r="H124" t="inlineStr"/>
      <c r="J124" t="n">
        <v>208.28</v>
      </c>
      <c r="K124" t="inlineStr"/>
      <c r="M124" t="inlineStr">
        <is>
          <t>M3</t>
        </is>
      </c>
      <c r="N124" t="inlineStr"/>
      <c r="P124" t="inlineStr">
        <is>
          <t>20190426</t>
        </is>
      </c>
      <c r="Q124" t="inlineStr">
        <is>
          <t>20250127</t>
        </is>
      </c>
    </row>
    <row r="125">
      <c r="A125" t="inlineStr">
        <is>
          <t>900001074D8366686454010259792</t>
        </is>
      </c>
      <c r="B125" t="inlineStr">
        <is>
          <t>900001074</t>
        </is>
      </c>
      <c r="C125" t="inlineStr">
        <is>
          <t>D836</t>
        </is>
      </c>
      <c r="D125" t="inlineStr">
        <is>
          <t>66864540</t>
        </is>
      </c>
      <c r="E125" t="inlineStr">
        <is>
          <t>1</t>
        </is>
      </c>
      <c r="F125" t="inlineStr">
        <is>
          <t>10259792</t>
        </is>
      </c>
      <c r="H125" t="inlineStr"/>
      <c r="J125" t="n">
        <v>208.28</v>
      </c>
      <c r="K125" t="inlineStr"/>
      <c r="M125" t="inlineStr">
        <is>
          <t>M3</t>
        </is>
      </c>
      <c r="N125" t="inlineStr"/>
      <c r="P125" t="inlineStr">
        <is>
          <t>20230301</t>
        </is>
      </c>
      <c r="Q125" t="inlineStr">
        <is>
          <t>20251031</t>
        </is>
      </c>
    </row>
    <row r="126">
      <c r="A126" t="inlineStr">
        <is>
          <t>900001074D8366693331310000160</t>
        </is>
      </c>
      <c r="B126" t="inlineStr">
        <is>
          <t>900001074</t>
        </is>
      </c>
      <c r="C126" t="inlineStr">
        <is>
          <t>D836</t>
        </is>
      </c>
      <c r="D126" t="inlineStr">
        <is>
          <t>66933313</t>
        </is>
      </c>
      <c r="E126" t="inlineStr">
        <is>
          <t>1</t>
        </is>
      </c>
      <c r="F126" t="inlineStr">
        <is>
          <t>10000160</t>
        </is>
      </c>
      <c r="H126" t="inlineStr"/>
      <c r="J126" t="n">
        <v>165.2</v>
      </c>
      <c r="K126" t="inlineStr"/>
      <c r="M126" t="inlineStr">
        <is>
          <t>M3</t>
        </is>
      </c>
      <c r="N126" t="inlineStr"/>
      <c r="P126" t="inlineStr">
        <is>
          <t>20190426</t>
        </is>
      </c>
      <c r="Q126" t="inlineStr">
        <is>
          <t>20250127</t>
        </is>
      </c>
    </row>
    <row r="127">
      <c r="A127" t="inlineStr">
        <is>
          <t>900001074D8366698205310000160</t>
        </is>
      </c>
      <c r="B127" t="inlineStr">
        <is>
          <t>900001074</t>
        </is>
      </c>
      <c r="C127" t="inlineStr">
        <is>
          <t>D836</t>
        </is>
      </c>
      <c r="D127" t="inlineStr">
        <is>
          <t>66982053</t>
        </is>
      </c>
      <c r="E127" t="inlineStr">
        <is>
          <t>1</t>
        </is>
      </c>
      <c r="F127" t="inlineStr">
        <is>
          <t>10000160</t>
        </is>
      </c>
      <c r="H127" t="inlineStr"/>
      <c r="J127" t="n">
        <v>226.55</v>
      </c>
      <c r="K127" t="inlineStr"/>
      <c r="M127" t="inlineStr">
        <is>
          <t>M3</t>
        </is>
      </c>
      <c r="N127" t="inlineStr"/>
      <c r="P127" t="inlineStr">
        <is>
          <t>20231011</t>
        </is>
      </c>
      <c r="Q127" t="inlineStr">
        <is>
          <t>20240820</t>
        </is>
      </c>
    </row>
    <row r="128">
      <c r="A128" t="inlineStr">
        <is>
          <t>900001074D8366698205310000357</t>
        </is>
      </c>
      <c r="B128" t="inlineStr">
        <is>
          <t>900001074</t>
        </is>
      </c>
      <c r="C128" t="inlineStr">
        <is>
          <t>D836</t>
        </is>
      </c>
      <c r="D128" t="inlineStr">
        <is>
          <t>66982053</t>
        </is>
      </c>
      <c r="E128" t="inlineStr">
        <is>
          <t>1</t>
        </is>
      </c>
      <c r="F128" t="inlineStr">
        <is>
          <t>10000357</t>
        </is>
      </c>
      <c r="H128" t="inlineStr"/>
      <c r="J128" t="n">
        <v>226.55</v>
      </c>
      <c r="K128" t="inlineStr"/>
      <c r="M128" t="inlineStr">
        <is>
          <t>M3</t>
        </is>
      </c>
      <c r="N128" t="inlineStr"/>
      <c r="P128" t="inlineStr">
        <is>
          <t>20230301</t>
        </is>
      </c>
      <c r="Q128" t="inlineStr">
        <is>
          <t>20251031</t>
        </is>
      </c>
    </row>
    <row r="129">
      <c r="A129" t="inlineStr">
        <is>
          <t>900001074D8366698205310000627</t>
        </is>
      </c>
      <c r="B129" t="inlineStr">
        <is>
          <t>900001074</t>
        </is>
      </c>
      <c r="C129" t="inlineStr">
        <is>
          <t>D836</t>
        </is>
      </c>
      <c r="D129" t="inlineStr">
        <is>
          <t>66982053</t>
        </is>
      </c>
      <c r="E129" t="inlineStr">
        <is>
          <t>1</t>
        </is>
      </c>
      <c r="F129" t="inlineStr">
        <is>
          <t>10000627</t>
        </is>
      </c>
      <c r="H129" t="inlineStr"/>
      <c r="J129" t="n">
        <v>226.55</v>
      </c>
      <c r="K129" t="inlineStr"/>
      <c r="M129" t="inlineStr">
        <is>
          <t>M3</t>
        </is>
      </c>
      <c r="N129" t="inlineStr"/>
      <c r="P129" t="inlineStr">
        <is>
          <t>20190426</t>
        </is>
      </c>
      <c r="Q129" t="inlineStr">
        <is>
          <t>20250127</t>
        </is>
      </c>
    </row>
    <row r="130">
      <c r="A130" t="inlineStr">
        <is>
          <t>900001074D8366698205310259792</t>
        </is>
      </c>
      <c r="B130" t="inlineStr">
        <is>
          <t>900001074</t>
        </is>
      </c>
      <c r="C130" t="inlineStr">
        <is>
          <t>D836</t>
        </is>
      </c>
      <c r="D130" t="inlineStr">
        <is>
          <t>66982053</t>
        </is>
      </c>
      <c r="E130" t="inlineStr">
        <is>
          <t>1</t>
        </is>
      </c>
      <c r="F130" t="inlineStr">
        <is>
          <t>10259792</t>
        </is>
      </c>
      <c r="H130" t="inlineStr"/>
      <c r="J130" t="n">
        <v>226.55</v>
      </c>
      <c r="K130" t="inlineStr"/>
      <c r="M130" t="inlineStr">
        <is>
          <t>M3</t>
        </is>
      </c>
      <c r="N130" t="inlineStr"/>
      <c r="P130" t="inlineStr">
        <is>
          <t>20230301</t>
        </is>
      </c>
      <c r="Q130" t="inlineStr">
        <is>
          <t>20251031</t>
        </is>
      </c>
    </row>
    <row r="131">
      <c r="A131" t="inlineStr">
        <is>
          <t>900001074D8366701997910000160</t>
        </is>
      </c>
      <c r="B131" t="inlineStr">
        <is>
          <t>900001074</t>
        </is>
      </c>
      <c r="C131" t="inlineStr">
        <is>
          <t>D836</t>
        </is>
      </c>
      <c r="D131" t="inlineStr">
        <is>
          <t>67019979</t>
        </is>
      </c>
      <c r="E131" t="inlineStr">
        <is>
          <t>1</t>
        </is>
      </c>
      <c r="F131" t="inlineStr">
        <is>
          <t>10000160</t>
        </is>
      </c>
      <c r="H131" t="inlineStr"/>
      <c r="J131" t="n">
        <v>237.51</v>
      </c>
      <c r="K131" t="inlineStr"/>
      <c r="M131" t="inlineStr">
        <is>
          <t>M3</t>
        </is>
      </c>
      <c r="N131" t="inlineStr"/>
      <c r="P131" t="inlineStr">
        <is>
          <t>20231011</t>
        </is>
      </c>
      <c r="Q131" t="inlineStr">
        <is>
          <t>20240820</t>
        </is>
      </c>
    </row>
    <row r="132">
      <c r="A132" t="inlineStr">
        <is>
          <t>900001074D8366701997910000357</t>
        </is>
      </c>
      <c r="B132" t="inlineStr">
        <is>
          <t>900001074</t>
        </is>
      </c>
      <c r="C132" t="inlineStr">
        <is>
          <t>D836</t>
        </is>
      </c>
      <c r="D132" t="inlineStr">
        <is>
          <t>67019979</t>
        </is>
      </c>
      <c r="E132" t="inlineStr">
        <is>
          <t>1</t>
        </is>
      </c>
      <c r="F132" t="inlineStr">
        <is>
          <t>10000357</t>
        </is>
      </c>
      <c r="H132" t="inlineStr"/>
      <c r="J132" t="n">
        <v>237.51</v>
      </c>
      <c r="K132" t="inlineStr"/>
      <c r="M132" t="inlineStr">
        <is>
          <t>M3</t>
        </is>
      </c>
      <c r="N132" t="inlineStr"/>
      <c r="P132" t="inlineStr">
        <is>
          <t>20230301</t>
        </is>
      </c>
      <c r="Q132" t="inlineStr">
        <is>
          <t>20251031</t>
        </is>
      </c>
    </row>
    <row r="133">
      <c r="A133" t="inlineStr">
        <is>
          <t>900001074D8366701997910000627</t>
        </is>
      </c>
      <c r="B133" t="inlineStr">
        <is>
          <t>900001074</t>
        </is>
      </c>
      <c r="C133" t="inlineStr">
        <is>
          <t>D836</t>
        </is>
      </c>
      <c r="D133" t="inlineStr">
        <is>
          <t>67019979</t>
        </is>
      </c>
      <c r="E133" t="inlineStr">
        <is>
          <t>1</t>
        </is>
      </c>
      <c r="F133" t="inlineStr">
        <is>
          <t>10000627</t>
        </is>
      </c>
      <c r="H133" t="inlineStr"/>
      <c r="J133" t="n">
        <v>237.51</v>
      </c>
      <c r="K133" t="inlineStr"/>
      <c r="M133" t="inlineStr">
        <is>
          <t>M3</t>
        </is>
      </c>
      <c r="N133" t="inlineStr"/>
      <c r="P133" t="inlineStr">
        <is>
          <t>20190426</t>
        </is>
      </c>
      <c r="Q133" t="inlineStr">
        <is>
          <t>20250127</t>
        </is>
      </c>
    </row>
    <row r="134">
      <c r="A134" t="inlineStr">
        <is>
          <t>900001074D8366701997910259792</t>
        </is>
      </c>
      <c r="B134" t="inlineStr">
        <is>
          <t>900001074</t>
        </is>
      </c>
      <c r="C134" t="inlineStr">
        <is>
          <t>D836</t>
        </is>
      </c>
      <c r="D134" t="inlineStr">
        <is>
          <t>67019979</t>
        </is>
      </c>
      <c r="E134" t="inlineStr">
        <is>
          <t>1</t>
        </is>
      </c>
      <c r="F134" t="inlineStr">
        <is>
          <t>10259792</t>
        </is>
      </c>
      <c r="H134" t="inlineStr"/>
      <c r="J134" t="n">
        <v>237.51</v>
      </c>
      <c r="K134" t="inlineStr"/>
      <c r="M134" t="inlineStr">
        <is>
          <t>M3</t>
        </is>
      </c>
      <c r="N134" t="inlineStr"/>
      <c r="P134" t="inlineStr">
        <is>
          <t>20230301</t>
        </is>
      </c>
      <c r="Q134" t="inlineStr">
        <is>
          <t>20251031</t>
        </is>
      </c>
    </row>
    <row r="135">
      <c r="A135" t="inlineStr">
        <is>
          <t>900001074D8366706510510000206</t>
        </is>
      </c>
      <c r="B135" t="inlineStr">
        <is>
          <t>900001074</t>
        </is>
      </c>
      <c r="C135" t="inlineStr">
        <is>
          <t>D836</t>
        </is>
      </c>
      <c r="D135" t="inlineStr">
        <is>
          <t>67065105</t>
        </is>
      </c>
      <c r="E135" t="inlineStr">
        <is>
          <t>1</t>
        </is>
      </c>
      <c r="F135" t="inlineStr">
        <is>
          <t>10000206</t>
        </is>
      </c>
      <c r="H135" t="inlineStr"/>
      <c r="J135" t="n">
        <v>70</v>
      </c>
      <c r="K135" t="inlineStr"/>
      <c r="M135" t="inlineStr">
        <is>
          <t>M3</t>
        </is>
      </c>
      <c r="N135" t="inlineStr"/>
      <c r="P135" t="inlineStr">
        <is>
          <t>20190426</t>
        </is>
      </c>
      <c r="Q135" t="inlineStr">
        <is>
          <t>20250127</t>
        </is>
      </c>
    </row>
    <row r="136">
      <c r="A136" t="inlineStr">
        <is>
          <t>900001074D8366736212710000160</t>
        </is>
      </c>
      <c r="B136" t="inlineStr">
        <is>
          <t>900001074</t>
        </is>
      </c>
      <c r="C136" t="inlineStr">
        <is>
          <t>D836</t>
        </is>
      </c>
      <c r="D136" t="inlineStr">
        <is>
          <t>67362127</t>
        </is>
      </c>
      <c r="E136" t="inlineStr">
        <is>
          <t>1</t>
        </is>
      </c>
      <c r="F136" t="inlineStr">
        <is>
          <t>10000160</t>
        </is>
      </c>
      <c r="H136" t="inlineStr"/>
      <c r="J136" t="n">
        <v>224</v>
      </c>
      <c r="K136" t="inlineStr"/>
      <c r="M136" t="inlineStr">
        <is>
          <t>M3</t>
        </is>
      </c>
      <c r="N136" t="inlineStr"/>
      <c r="P136" t="inlineStr">
        <is>
          <t>20260224</t>
        </is>
      </c>
      <c r="Q136" t="inlineStr">
        <is>
          <t>99991231</t>
        </is>
      </c>
    </row>
    <row r="137">
      <c r="A137" t="inlineStr">
        <is>
          <t>900001074D8366736212710000357</t>
        </is>
      </c>
      <c r="B137" t="inlineStr">
        <is>
          <t>900001074</t>
        </is>
      </c>
      <c r="C137" t="inlineStr">
        <is>
          <t>D836</t>
        </is>
      </c>
      <c r="D137" t="inlineStr">
        <is>
          <t>67362127</t>
        </is>
      </c>
      <c r="E137" t="inlineStr">
        <is>
          <t>1</t>
        </is>
      </c>
      <c r="F137" t="inlineStr">
        <is>
          <t>10000357</t>
        </is>
      </c>
      <c r="H137" t="inlineStr"/>
      <c r="J137" t="n">
        <v>224</v>
      </c>
      <c r="K137" t="inlineStr"/>
      <c r="M137" t="inlineStr">
        <is>
          <t>M3</t>
        </is>
      </c>
      <c r="N137" t="inlineStr"/>
      <c r="P137" t="inlineStr">
        <is>
          <t>20260224</t>
        </is>
      </c>
      <c r="Q137" t="inlineStr">
        <is>
          <t>99991231</t>
        </is>
      </c>
    </row>
    <row r="138">
      <c r="A138" t="inlineStr">
        <is>
          <t>900001074D8366736212710000627</t>
        </is>
      </c>
      <c r="B138" t="inlineStr">
        <is>
          <t>900001074</t>
        </is>
      </c>
      <c r="C138" t="inlineStr">
        <is>
          <t>D836</t>
        </is>
      </c>
      <c r="D138" t="inlineStr">
        <is>
          <t>67362127</t>
        </is>
      </c>
      <c r="E138" t="inlineStr">
        <is>
          <t>1</t>
        </is>
      </c>
      <c r="F138" t="inlineStr">
        <is>
          <t>10000627</t>
        </is>
      </c>
      <c r="H138" t="inlineStr"/>
      <c r="J138" t="n">
        <v>224</v>
      </c>
      <c r="K138" t="inlineStr"/>
      <c r="M138" t="inlineStr">
        <is>
          <t>M3</t>
        </is>
      </c>
      <c r="N138" t="inlineStr"/>
      <c r="P138" t="inlineStr">
        <is>
          <t>20260224</t>
        </is>
      </c>
      <c r="Q138" t="inlineStr">
        <is>
          <t>99991231</t>
        </is>
      </c>
    </row>
    <row r="139">
      <c r="A139" t="inlineStr">
        <is>
          <t>900001074D8366736267410000160</t>
        </is>
      </c>
      <c r="B139" t="inlineStr">
        <is>
          <t>900001074</t>
        </is>
      </c>
      <c r="C139" t="inlineStr">
        <is>
          <t>D836</t>
        </is>
      </c>
      <c r="D139" t="inlineStr">
        <is>
          <t>67362674</t>
        </is>
      </c>
      <c r="E139" t="inlineStr">
        <is>
          <t>1</t>
        </is>
      </c>
      <c r="F139" t="inlineStr">
        <is>
          <t>10000160</t>
        </is>
      </c>
      <c r="H139" t="inlineStr"/>
      <c r="J139" t="n">
        <v>228</v>
      </c>
      <c r="K139" t="inlineStr"/>
      <c r="M139" t="inlineStr">
        <is>
          <t>M3</t>
        </is>
      </c>
      <c r="N139" t="inlineStr"/>
      <c r="P139" t="inlineStr">
        <is>
          <t>20260224</t>
        </is>
      </c>
      <c r="Q139" t="inlineStr">
        <is>
          <t>99991231</t>
        </is>
      </c>
    </row>
    <row r="140">
      <c r="A140" t="inlineStr">
        <is>
          <t>900001074D8366736267410000357</t>
        </is>
      </c>
      <c r="B140" t="inlineStr">
        <is>
          <t>900001074</t>
        </is>
      </c>
      <c r="C140" t="inlineStr">
        <is>
          <t>D836</t>
        </is>
      </c>
      <c r="D140" t="inlineStr">
        <is>
          <t>67362674</t>
        </is>
      </c>
      <c r="E140" t="inlineStr">
        <is>
          <t>1</t>
        </is>
      </c>
      <c r="F140" t="inlineStr">
        <is>
          <t>10000357</t>
        </is>
      </c>
      <c r="H140" t="inlineStr"/>
      <c r="J140" t="n">
        <v>228</v>
      </c>
      <c r="K140" t="inlineStr"/>
      <c r="M140" t="inlineStr">
        <is>
          <t>M3</t>
        </is>
      </c>
      <c r="N140" t="inlineStr"/>
      <c r="P140" t="inlineStr">
        <is>
          <t>20260224</t>
        </is>
      </c>
      <c r="Q140" t="inlineStr">
        <is>
          <t>99991231</t>
        </is>
      </c>
    </row>
    <row r="141">
      <c r="A141" t="inlineStr">
        <is>
          <t>900001074D8366736267410000627</t>
        </is>
      </c>
      <c r="B141" t="inlineStr">
        <is>
          <t>900001074</t>
        </is>
      </c>
      <c r="C141" t="inlineStr">
        <is>
          <t>D836</t>
        </is>
      </c>
      <c r="D141" t="inlineStr">
        <is>
          <t>67362674</t>
        </is>
      </c>
      <c r="E141" t="inlineStr">
        <is>
          <t>1</t>
        </is>
      </c>
      <c r="F141" t="inlineStr">
        <is>
          <t>10000627</t>
        </is>
      </c>
      <c r="H141" t="inlineStr"/>
      <c r="J141" t="n">
        <v>228</v>
      </c>
      <c r="K141" t="inlineStr"/>
      <c r="M141" t="inlineStr">
        <is>
          <t>M3</t>
        </is>
      </c>
      <c r="N141" t="inlineStr"/>
      <c r="P141" t="inlineStr">
        <is>
          <t>20260224</t>
        </is>
      </c>
      <c r="Q141" t="inlineStr">
        <is>
          <t>99991231</t>
        </is>
      </c>
    </row>
    <row r="142">
      <c r="A142" t="inlineStr">
        <is>
          <t>900001200D8366506168510000624</t>
        </is>
      </c>
      <c r="B142" t="inlineStr">
        <is>
          <t>900001200</t>
        </is>
      </c>
      <c r="C142" t="inlineStr">
        <is>
          <t>D836</t>
        </is>
      </c>
      <c r="D142" t="inlineStr">
        <is>
          <t>65061685</t>
        </is>
      </c>
      <c r="E142" t="inlineStr">
        <is>
          <t>4</t>
        </is>
      </c>
      <c r="F142" t="inlineStr">
        <is>
          <t>10000624</t>
        </is>
      </c>
      <c r="H142" t="inlineStr"/>
      <c r="J142" t="n">
        <v>108.12</v>
      </c>
      <c r="K142" t="inlineStr"/>
      <c r="M142" t="inlineStr">
        <is>
          <t>M3</t>
        </is>
      </c>
      <c r="N142" t="inlineStr"/>
      <c r="P142" t="inlineStr">
        <is>
          <t>20190426</t>
        </is>
      </c>
      <c r="Q142" t="inlineStr">
        <is>
          <t>20250127</t>
        </is>
      </c>
    </row>
    <row r="143">
      <c r="A143" t="inlineStr">
        <is>
          <t>900001200D8366506168510000722</t>
        </is>
      </c>
      <c r="B143" t="inlineStr">
        <is>
          <t>900001200</t>
        </is>
      </c>
      <c r="C143" t="inlineStr">
        <is>
          <t>D836</t>
        </is>
      </c>
      <c r="D143" t="inlineStr">
        <is>
          <t>65061685</t>
        </is>
      </c>
      <c r="E143" t="inlineStr">
        <is>
          <t>4</t>
        </is>
      </c>
      <c r="F143" t="inlineStr">
        <is>
          <t>10000722</t>
        </is>
      </c>
      <c r="H143" t="inlineStr"/>
      <c r="J143" t="n">
        <v>108.12</v>
      </c>
      <c r="K143" t="inlineStr"/>
      <c r="M143" t="inlineStr">
        <is>
          <t>M3</t>
        </is>
      </c>
      <c r="N143" t="inlineStr"/>
      <c r="P143" t="inlineStr">
        <is>
          <t>20190426</t>
        </is>
      </c>
      <c r="Q143" t="inlineStr">
        <is>
          <t>20250127</t>
        </is>
      </c>
    </row>
    <row r="144">
      <c r="A144" t="inlineStr">
        <is>
          <t>900001200D8366525139910000722</t>
        </is>
      </c>
      <c r="B144" t="inlineStr">
        <is>
          <t>900001200</t>
        </is>
      </c>
      <c r="C144" t="inlineStr">
        <is>
          <t>D836</t>
        </is>
      </c>
      <c r="D144" t="inlineStr">
        <is>
          <t>65251399</t>
        </is>
      </c>
      <c r="E144" t="inlineStr">
        <is>
          <t>4</t>
        </is>
      </c>
      <c r="F144" t="inlineStr">
        <is>
          <t>10000722</t>
        </is>
      </c>
      <c r="H144" t="inlineStr"/>
      <c r="J144" t="n">
        <v>82.64</v>
      </c>
      <c r="K144" t="inlineStr"/>
      <c r="M144" t="inlineStr">
        <is>
          <t>TN</t>
        </is>
      </c>
      <c r="N144" t="inlineStr"/>
      <c r="P144" t="inlineStr">
        <is>
          <t>20190426</t>
        </is>
      </c>
      <c r="Q144" t="inlineStr">
        <is>
          <t>20250127</t>
        </is>
      </c>
    </row>
    <row r="145">
      <c r="A145" t="inlineStr">
        <is>
          <t>900001200D8366529648510000722</t>
        </is>
      </c>
      <c r="B145" t="inlineStr">
        <is>
          <t>900001200</t>
        </is>
      </c>
      <c r="C145" t="inlineStr">
        <is>
          <t>D836</t>
        </is>
      </c>
      <c r="D145" t="inlineStr">
        <is>
          <t>65296485</t>
        </is>
      </c>
      <c r="E145" t="inlineStr">
        <is>
          <t>4</t>
        </is>
      </c>
      <c r="F145" t="inlineStr">
        <is>
          <t>10000722</t>
        </is>
      </c>
      <c r="H145" t="inlineStr"/>
      <c r="J145" t="n">
        <v>97.92</v>
      </c>
      <c r="K145" t="inlineStr"/>
      <c r="M145" t="inlineStr">
        <is>
          <t>TN</t>
        </is>
      </c>
      <c r="N145" t="inlineStr"/>
      <c r="P145" t="inlineStr">
        <is>
          <t>20190426</t>
        </is>
      </c>
      <c r="Q145" t="inlineStr">
        <is>
          <t>20250127</t>
        </is>
      </c>
    </row>
    <row r="146">
      <c r="A146" t="inlineStr">
        <is>
          <t>900001200D8366544227010000624</t>
        </is>
      </c>
      <c r="B146" t="inlineStr">
        <is>
          <t>900001200</t>
        </is>
      </c>
      <c r="C146" t="inlineStr">
        <is>
          <t>D836</t>
        </is>
      </c>
      <c r="D146" t="inlineStr">
        <is>
          <t>65442270</t>
        </is>
      </c>
      <c r="E146" t="inlineStr">
        <is>
          <t>4</t>
        </is>
      </c>
      <c r="F146" t="inlineStr">
        <is>
          <t>10000624</t>
        </is>
      </c>
      <c r="H146" t="inlineStr"/>
      <c r="J146" t="n">
        <v>107</v>
      </c>
      <c r="K146" t="inlineStr"/>
      <c r="M146" t="inlineStr">
        <is>
          <t>M3</t>
        </is>
      </c>
      <c r="N146" t="inlineStr"/>
      <c r="P146" t="inlineStr">
        <is>
          <t>20190426</t>
        </is>
      </c>
      <c r="Q146" t="inlineStr">
        <is>
          <t>20250127</t>
        </is>
      </c>
    </row>
    <row r="147">
      <c r="A147" t="inlineStr">
        <is>
          <t>900001200D8366544227010000625</t>
        </is>
      </c>
      <c r="B147" t="inlineStr">
        <is>
          <t>900001200</t>
        </is>
      </c>
      <c r="C147" t="inlineStr">
        <is>
          <t>D836</t>
        </is>
      </c>
      <c r="D147" t="inlineStr">
        <is>
          <t>65442270</t>
        </is>
      </c>
      <c r="E147" t="inlineStr">
        <is>
          <t>4</t>
        </is>
      </c>
      <c r="F147" t="inlineStr">
        <is>
          <t>10000625</t>
        </is>
      </c>
      <c r="H147" t="inlineStr"/>
      <c r="J147" t="n">
        <v>49</v>
      </c>
      <c r="K147" t="inlineStr"/>
      <c r="M147" t="inlineStr">
        <is>
          <t>TN</t>
        </is>
      </c>
      <c r="N147" t="inlineStr"/>
      <c r="P147" t="inlineStr">
        <is>
          <t>20190426</t>
        </is>
      </c>
      <c r="Q147" t="inlineStr">
        <is>
          <t>20250127</t>
        </is>
      </c>
    </row>
    <row r="148">
      <c r="A148" t="inlineStr">
        <is>
          <t>900001200D8366544227010000722</t>
        </is>
      </c>
      <c r="B148" t="inlineStr">
        <is>
          <t>900001200</t>
        </is>
      </c>
      <c r="C148" t="inlineStr">
        <is>
          <t>D836</t>
        </is>
      </c>
      <c r="D148" t="inlineStr">
        <is>
          <t>65442270</t>
        </is>
      </c>
      <c r="E148" t="inlineStr">
        <is>
          <t>4</t>
        </is>
      </c>
      <c r="F148" t="inlineStr">
        <is>
          <t>10000722</t>
        </is>
      </c>
      <c r="H148" t="inlineStr"/>
      <c r="J148" t="n">
        <v>107</v>
      </c>
      <c r="K148" t="inlineStr"/>
      <c r="M148" t="inlineStr">
        <is>
          <t>M3</t>
        </is>
      </c>
      <c r="N148" t="inlineStr"/>
      <c r="P148" t="inlineStr">
        <is>
          <t>20190426</t>
        </is>
      </c>
      <c r="Q148" t="inlineStr">
        <is>
          <t>20250127</t>
        </is>
      </c>
    </row>
    <row r="149">
      <c r="A149" t="inlineStr">
        <is>
          <t>900001200D8366557034610000624</t>
        </is>
      </c>
      <c r="B149" t="inlineStr">
        <is>
          <t>900001200</t>
        </is>
      </c>
      <c r="C149" t="inlineStr">
        <is>
          <t>D836</t>
        </is>
      </c>
      <c r="D149" t="inlineStr">
        <is>
          <t>65570346</t>
        </is>
      </c>
      <c r="E149" t="inlineStr">
        <is>
          <t>4</t>
        </is>
      </c>
      <c r="F149" t="inlineStr">
        <is>
          <t>10000624</t>
        </is>
      </c>
      <c r="H149" t="inlineStr"/>
      <c r="J149" t="n">
        <v>142.64</v>
      </c>
      <c r="K149" t="inlineStr"/>
      <c r="M149" t="inlineStr">
        <is>
          <t>M3</t>
        </is>
      </c>
      <c r="N149" t="inlineStr"/>
      <c r="P149" t="inlineStr">
        <is>
          <t>20190426</t>
        </is>
      </c>
      <c r="Q149" t="inlineStr">
        <is>
          <t>20250127</t>
        </is>
      </c>
    </row>
    <row r="150">
      <c r="A150" t="inlineStr">
        <is>
          <t>900001200D8366557034610000722</t>
        </is>
      </c>
      <c r="B150" t="inlineStr">
        <is>
          <t>900001200</t>
        </is>
      </c>
      <c r="C150" t="inlineStr">
        <is>
          <t>D836</t>
        </is>
      </c>
      <c r="D150" t="inlineStr">
        <is>
          <t>65570346</t>
        </is>
      </c>
      <c r="E150" t="inlineStr">
        <is>
          <t>4</t>
        </is>
      </c>
      <c r="F150" t="inlineStr">
        <is>
          <t>10000722</t>
        </is>
      </c>
      <c r="H150" t="inlineStr"/>
      <c r="J150" t="n">
        <v>144.12</v>
      </c>
      <c r="K150" t="inlineStr"/>
      <c r="M150" t="inlineStr">
        <is>
          <t>M3</t>
        </is>
      </c>
      <c r="N150" t="inlineStr"/>
      <c r="P150" t="inlineStr">
        <is>
          <t>20190426</t>
        </is>
      </c>
      <c r="Q150" t="inlineStr">
        <is>
          <t>20250127</t>
        </is>
      </c>
    </row>
    <row r="151">
      <c r="A151" t="inlineStr">
        <is>
          <t>900001200D8366646379210000624</t>
        </is>
      </c>
      <c r="B151" t="inlineStr">
        <is>
          <t>900001200</t>
        </is>
      </c>
      <c r="C151" t="inlineStr">
        <is>
          <t>D836</t>
        </is>
      </c>
      <c r="D151" t="inlineStr">
        <is>
          <t>66463792</t>
        </is>
      </c>
      <c r="E151" t="inlineStr">
        <is>
          <t>4</t>
        </is>
      </c>
      <c r="F151" t="inlineStr">
        <is>
          <t>10000624</t>
        </is>
      </c>
      <c r="H151" t="inlineStr"/>
      <c r="J151" t="n">
        <v>250</v>
      </c>
      <c r="K151" t="inlineStr"/>
      <c r="M151" t="inlineStr">
        <is>
          <t>M3</t>
        </is>
      </c>
      <c r="N151" t="inlineStr"/>
      <c r="P151" t="inlineStr">
        <is>
          <t>20190426</t>
        </is>
      </c>
      <c r="Q151" t="inlineStr">
        <is>
          <t>20250127</t>
        </is>
      </c>
    </row>
    <row r="152">
      <c r="A152" t="inlineStr">
        <is>
          <t>900001200D8366646379210000630</t>
        </is>
      </c>
      <c r="B152" t="inlineStr">
        <is>
          <t>900001200</t>
        </is>
      </c>
      <c r="C152" t="inlineStr">
        <is>
          <t>D836</t>
        </is>
      </c>
      <c r="D152" t="inlineStr">
        <is>
          <t>66463792</t>
        </is>
      </c>
      <c r="E152" t="inlineStr">
        <is>
          <t>4</t>
        </is>
      </c>
      <c r="F152" t="inlineStr">
        <is>
          <t>10000630</t>
        </is>
      </c>
      <c r="H152" t="inlineStr"/>
      <c r="J152" t="n">
        <v>250</v>
      </c>
      <c r="K152" t="inlineStr"/>
      <c r="M152" t="inlineStr">
        <is>
          <t>M3</t>
        </is>
      </c>
      <c r="N152" t="inlineStr"/>
      <c r="P152" t="inlineStr">
        <is>
          <t>20190426</t>
        </is>
      </c>
      <c r="Q152" t="inlineStr">
        <is>
          <t>20250127</t>
        </is>
      </c>
    </row>
    <row r="153">
      <c r="A153" t="inlineStr">
        <is>
          <t>900001200D8366646379210000811</t>
        </is>
      </c>
      <c r="B153" t="inlineStr">
        <is>
          <t>900001200</t>
        </is>
      </c>
      <c r="C153" t="inlineStr">
        <is>
          <t>D836</t>
        </is>
      </c>
      <c r="D153" t="inlineStr">
        <is>
          <t>66463792</t>
        </is>
      </c>
      <c r="E153" t="inlineStr">
        <is>
          <t>4</t>
        </is>
      </c>
      <c r="F153" t="inlineStr">
        <is>
          <t>10000811</t>
        </is>
      </c>
      <c r="H153" t="inlineStr"/>
      <c r="J153" t="n">
        <v>250</v>
      </c>
      <c r="K153" t="inlineStr"/>
      <c r="M153" t="inlineStr">
        <is>
          <t>M3</t>
        </is>
      </c>
      <c r="N153" t="inlineStr"/>
      <c r="P153" t="inlineStr">
        <is>
          <t>20190426</t>
        </is>
      </c>
      <c r="Q153" t="inlineStr">
        <is>
          <t>20250127</t>
        </is>
      </c>
    </row>
    <row r="154">
      <c r="A154" t="inlineStr">
        <is>
          <t>900001200D8366686130310000624</t>
        </is>
      </c>
      <c r="B154" t="inlineStr">
        <is>
          <t>900001200</t>
        </is>
      </c>
      <c r="C154" t="inlineStr">
        <is>
          <t>D836</t>
        </is>
      </c>
      <c r="D154" t="inlineStr">
        <is>
          <t>66861303</t>
        </is>
      </c>
      <c r="E154" t="inlineStr">
        <is>
          <t>4</t>
        </is>
      </c>
      <c r="F154" t="inlineStr">
        <is>
          <t>10000624</t>
        </is>
      </c>
      <c r="H154" t="inlineStr"/>
      <c r="J154" t="n">
        <v>250</v>
      </c>
      <c r="K154" t="inlineStr"/>
      <c r="M154" t="inlineStr">
        <is>
          <t>M3</t>
        </is>
      </c>
      <c r="N154" t="inlineStr"/>
      <c r="P154" t="inlineStr">
        <is>
          <t>20190426</t>
        </is>
      </c>
      <c r="Q154" t="inlineStr">
        <is>
          <t>20250127</t>
        </is>
      </c>
    </row>
    <row r="155">
      <c r="A155" t="inlineStr">
        <is>
          <t>900001200D8366686130310000630</t>
        </is>
      </c>
      <c r="B155" t="inlineStr">
        <is>
          <t>900001200</t>
        </is>
      </c>
      <c r="C155" t="inlineStr">
        <is>
          <t>D836</t>
        </is>
      </c>
      <c r="D155" t="inlineStr">
        <is>
          <t>66861303</t>
        </is>
      </c>
      <c r="E155" t="inlineStr">
        <is>
          <t>4</t>
        </is>
      </c>
      <c r="F155" t="inlineStr">
        <is>
          <t>10000630</t>
        </is>
      </c>
      <c r="H155" t="inlineStr"/>
      <c r="J155" t="n">
        <v>250</v>
      </c>
      <c r="K155" t="inlineStr"/>
      <c r="M155" t="inlineStr">
        <is>
          <t>M3</t>
        </is>
      </c>
      <c r="N155" t="inlineStr"/>
      <c r="P155" t="inlineStr">
        <is>
          <t>20190426</t>
        </is>
      </c>
      <c r="Q155" t="inlineStr">
        <is>
          <t>20250127</t>
        </is>
      </c>
    </row>
    <row r="156">
      <c r="A156" t="inlineStr">
        <is>
          <t>900001200D8366686130310000811</t>
        </is>
      </c>
      <c r="B156" t="inlineStr">
        <is>
          <t>900001200</t>
        </is>
      </c>
      <c r="C156" t="inlineStr">
        <is>
          <t>D836</t>
        </is>
      </c>
      <c r="D156" t="inlineStr">
        <is>
          <t>66861303</t>
        </is>
      </c>
      <c r="E156" t="inlineStr">
        <is>
          <t>4</t>
        </is>
      </c>
      <c r="F156" t="inlineStr">
        <is>
          <t>10000811</t>
        </is>
      </c>
      <c r="H156" t="inlineStr"/>
      <c r="J156" t="n">
        <v>250</v>
      </c>
      <c r="K156" t="inlineStr"/>
      <c r="M156" t="inlineStr">
        <is>
          <t>M3</t>
        </is>
      </c>
      <c r="N156" t="inlineStr"/>
      <c r="P156" t="inlineStr">
        <is>
          <t>20190426</t>
        </is>
      </c>
      <c r="Q156" t="inlineStr">
        <is>
          <t>20250127</t>
        </is>
      </c>
    </row>
    <row r="157">
      <c r="A157" t="inlineStr">
        <is>
          <t>900001810D8366592075010000357</t>
        </is>
      </c>
      <c r="B157" t="inlineStr">
        <is>
          <t>900001810</t>
        </is>
      </c>
      <c r="C157" t="inlineStr">
        <is>
          <t>D836</t>
        </is>
      </c>
      <c r="D157" t="inlineStr">
        <is>
          <t>65920750</t>
        </is>
      </c>
      <c r="E157" t="inlineStr">
        <is>
          <t>1</t>
        </is>
      </c>
      <c r="F157" t="inlineStr">
        <is>
          <t>10000357</t>
        </is>
      </c>
      <c r="H157" t="inlineStr"/>
      <c r="J157" t="n">
        <v>99</v>
      </c>
      <c r="K157" t="inlineStr"/>
      <c r="M157" t="inlineStr">
        <is>
          <t>M3</t>
        </is>
      </c>
      <c r="N157" t="inlineStr"/>
      <c r="P157" t="inlineStr">
        <is>
          <t>20190426</t>
        </is>
      </c>
      <c r="Q157" t="inlineStr">
        <is>
          <t>20250127</t>
        </is>
      </c>
    </row>
    <row r="158">
      <c r="A158" t="inlineStr">
        <is>
          <t>900002267D8366728303510140399</t>
        </is>
      </c>
      <c r="B158" t="inlineStr">
        <is>
          <t>900002267</t>
        </is>
      </c>
      <c r="C158" t="inlineStr">
        <is>
          <t>D836</t>
        </is>
      </c>
      <c r="D158" t="inlineStr">
        <is>
          <t>67283035</t>
        </is>
      </c>
      <c r="E158" t="inlineStr">
        <is>
          <t>4</t>
        </is>
      </c>
      <c r="F158" t="inlineStr">
        <is>
          <t>10140399</t>
        </is>
      </c>
      <c r="H158" t="inlineStr"/>
      <c r="J158" t="n">
        <v>1275</v>
      </c>
      <c r="K158" t="inlineStr"/>
      <c r="M158" t="inlineStr">
        <is>
          <t>M3</t>
        </is>
      </c>
      <c r="N158" t="inlineStr"/>
      <c r="P158" t="inlineStr">
        <is>
          <t>20230301</t>
        </is>
      </c>
      <c r="Q158" t="inlineStr">
        <is>
          <t>20251031</t>
        </is>
      </c>
    </row>
    <row r="159">
      <c r="A159" t="inlineStr">
        <is>
          <t>900002313D8366579953510037590</t>
        </is>
      </c>
      <c r="B159" t="inlineStr">
        <is>
          <t>900002313</t>
        </is>
      </c>
      <c r="C159" t="inlineStr">
        <is>
          <t>D836</t>
        </is>
      </c>
      <c r="D159" t="inlineStr">
        <is>
          <t>65799535</t>
        </is>
      </c>
      <c r="E159" t="inlineStr">
        <is>
          <t>1</t>
        </is>
      </c>
      <c r="F159" t="inlineStr">
        <is>
          <t>10037590</t>
        </is>
      </c>
      <c r="H159" t="inlineStr"/>
      <c r="J159" t="n">
        <v>239.2</v>
      </c>
      <c r="K159" t="inlineStr"/>
      <c r="M159" t="inlineStr">
        <is>
          <t>M3</t>
        </is>
      </c>
      <c r="N159" t="inlineStr"/>
      <c r="P159" t="inlineStr">
        <is>
          <t>20190426</t>
        </is>
      </c>
      <c r="Q159" t="inlineStr">
        <is>
          <t>20250127</t>
        </is>
      </c>
    </row>
    <row r="160">
      <c r="A160" t="inlineStr">
        <is>
          <t>900002313D8366643817210001436</t>
        </is>
      </c>
      <c r="B160" t="inlineStr">
        <is>
          <t>900002313</t>
        </is>
      </c>
      <c r="C160" t="inlineStr">
        <is>
          <t>D836</t>
        </is>
      </c>
      <c r="D160" t="inlineStr">
        <is>
          <t>66438172</t>
        </is>
      </c>
      <c r="E160" t="inlineStr">
        <is>
          <t>2</t>
        </is>
      </c>
      <c r="F160" t="inlineStr">
        <is>
          <t>10001436</t>
        </is>
      </c>
      <c r="H160" t="inlineStr"/>
      <c r="J160" t="n">
        <v>0</v>
      </c>
      <c r="K160" t="inlineStr"/>
      <c r="M160" t="inlineStr">
        <is>
          <t>M3</t>
        </is>
      </c>
      <c r="N160" t="inlineStr"/>
      <c r="P160" t="inlineStr">
        <is>
          <t>20190426</t>
        </is>
      </c>
      <c r="Q160" t="inlineStr">
        <is>
          <t>20250127</t>
        </is>
      </c>
    </row>
    <row r="161">
      <c r="A161" t="inlineStr">
        <is>
          <t>900002313D8366678355810001353</t>
        </is>
      </c>
      <c r="B161" t="inlineStr">
        <is>
          <t>900002313</t>
        </is>
      </c>
      <c r="C161" t="inlineStr">
        <is>
          <t>D836</t>
        </is>
      </c>
      <c r="D161" t="inlineStr">
        <is>
          <t>66783558</t>
        </is>
      </c>
      <c r="E161" t="inlineStr">
        <is>
          <t>1</t>
        </is>
      </c>
      <c r="F161" t="inlineStr">
        <is>
          <t>10001353</t>
        </is>
      </c>
      <c r="H161" t="inlineStr"/>
      <c r="J161" t="n">
        <v>131.9</v>
      </c>
      <c r="K161" t="inlineStr"/>
      <c r="M161" t="inlineStr">
        <is>
          <t>M3</t>
        </is>
      </c>
      <c r="N161" t="inlineStr"/>
      <c r="P161" t="inlineStr">
        <is>
          <t>20190426</t>
        </is>
      </c>
      <c r="Q161" t="inlineStr">
        <is>
          <t>20250127</t>
        </is>
      </c>
    </row>
    <row r="162">
      <c r="A162" t="inlineStr">
        <is>
          <t>900002313D8366678355810001354</t>
        </is>
      </c>
      <c r="B162" t="inlineStr">
        <is>
          <t>900002313</t>
        </is>
      </c>
      <c r="C162" t="inlineStr">
        <is>
          <t>D836</t>
        </is>
      </c>
      <c r="D162" t="inlineStr">
        <is>
          <t>66783558</t>
        </is>
      </c>
      <c r="E162" t="inlineStr">
        <is>
          <t>1</t>
        </is>
      </c>
      <c r="F162" t="inlineStr">
        <is>
          <t>10001354</t>
        </is>
      </c>
      <c r="H162" t="inlineStr"/>
      <c r="J162" t="n">
        <v>117.76</v>
      </c>
      <c r="K162" t="inlineStr"/>
      <c r="M162" t="inlineStr">
        <is>
          <t>M3</t>
        </is>
      </c>
      <c r="N162" t="inlineStr"/>
      <c r="P162" t="inlineStr">
        <is>
          <t>20190426</t>
        </is>
      </c>
      <c r="Q162" t="inlineStr">
        <is>
          <t>20250127</t>
        </is>
      </c>
    </row>
    <row r="163">
      <c r="A163" t="inlineStr">
        <is>
          <t>900002313D8366678355810001436</t>
        </is>
      </c>
      <c r="B163" t="inlineStr">
        <is>
          <t>900002313</t>
        </is>
      </c>
      <c r="C163" t="inlineStr">
        <is>
          <t>D836</t>
        </is>
      </c>
      <c r="D163" t="inlineStr">
        <is>
          <t>66783558</t>
        </is>
      </c>
      <c r="E163" t="inlineStr">
        <is>
          <t>1</t>
        </is>
      </c>
      <c r="F163" t="inlineStr">
        <is>
          <t>10001436</t>
        </is>
      </c>
      <c r="H163" t="inlineStr"/>
      <c r="J163" t="n">
        <v>111.83</v>
      </c>
      <c r="K163" t="inlineStr"/>
      <c r="M163" t="inlineStr">
        <is>
          <t>M3</t>
        </is>
      </c>
      <c r="N163" t="inlineStr"/>
      <c r="P163" t="inlineStr">
        <is>
          <t>20190426</t>
        </is>
      </c>
      <c r="Q163" t="inlineStr">
        <is>
          <t>20250127</t>
        </is>
      </c>
    </row>
    <row r="164">
      <c r="A164" t="inlineStr">
        <is>
          <t>900002574D8366500190510000133</t>
        </is>
      </c>
      <c r="B164" t="inlineStr">
        <is>
          <t>900002574</t>
        </is>
      </c>
      <c r="C164" t="inlineStr">
        <is>
          <t>D836</t>
        </is>
      </c>
      <c r="D164" t="inlineStr">
        <is>
          <t>65001905</t>
        </is>
      </c>
      <c r="E164" t="inlineStr">
        <is>
          <t>4</t>
        </is>
      </c>
      <c r="F164" t="inlineStr">
        <is>
          <t>10000133</t>
        </is>
      </c>
      <c r="H164" t="inlineStr"/>
      <c r="J164" t="n">
        <v>260</v>
      </c>
      <c r="K164" t="inlineStr"/>
      <c r="M164" t="inlineStr">
        <is>
          <t>M3</t>
        </is>
      </c>
      <c r="N164" t="inlineStr"/>
      <c r="P164" t="inlineStr">
        <is>
          <t>20190426</t>
        </is>
      </c>
      <c r="Q164" t="inlineStr">
        <is>
          <t>20250127</t>
        </is>
      </c>
    </row>
    <row r="165">
      <c r="A165" t="inlineStr">
        <is>
          <t>900002574D8366500190510000160</t>
        </is>
      </c>
      <c r="B165" t="inlineStr">
        <is>
          <t>900002574</t>
        </is>
      </c>
      <c r="C165" t="inlineStr">
        <is>
          <t>D836</t>
        </is>
      </c>
      <c r="D165" t="inlineStr">
        <is>
          <t>65001905</t>
        </is>
      </c>
      <c r="E165" t="inlineStr">
        <is>
          <t>4</t>
        </is>
      </c>
      <c r="F165" t="inlineStr">
        <is>
          <t>10000160</t>
        </is>
      </c>
      <c r="H165" t="inlineStr"/>
      <c r="J165" t="n">
        <v>195</v>
      </c>
      <c r="K165" t="inlineStr"/>
      <c r="M165" t="inlineStr">
        <is>
          <t>M3</t>
        </is>
      </c>
      <c r="N165" t="inlineStr"/>
      <c r="P165" t="inlineStr">
        <is>
          <t>20190426</t>
        </is>
      </c>
      <c r="Q165" t="inlineStr">
        <is>
          <t>20250127</t>
        </is>
      </c>
    </row>
    <row r="166">
      <c r="A166" t="inlineStr">
        <is>
          <t>900002574D8366500190510000357</t>
        </is>
      </c>
      <c r="B166" t="inlineStr">
        <is>
          <t>900002574</t>
        </is>
      </c>
      <c r="C166" t="inlineStr">
        <is>
          <t>D836</t>
        </is>
      </c>
      <c r="D166" t="inlineStr">
        <is>
          <t>65001905</t>
        </is>
      </c>
      <c r="E166" t="inlineStr">
        <is>
          <t>4</t>
        </is>
      </c>
      <c r="F166" t="inlineStr">
        <is>
          <t>10000357</t>
        </is>
      </c>
      <c r="H166" t="inlineStr"/>
      <c r="J166" t="n">
        <v>195</v>
      </c>
      <c r="K166" t="inlineStr"/>
      <c r="M166" t="inlineStr">
        <is>
          <t>M3</t>
        </is>
      </c>
      <c r="N166" t="inlineStr"/>
      <c r="P166" t="inlineStr">
        <is>
          <t>20190426</t>
        </is>
      </c>
      <c r="Q166" t="inlineStr">
        <is>
          <t>20250127</t>
        </is>
      </c>
    </row>
    <row r="167">
      <c r="A167" t="inlineStr">
        <is>
          <t>900002574D8366500190510000630</t>
        </is>
      </c>
      <c r="B167" t="inlineStr">
        <is>
          <t>900002574</t>
        </is>
      </c>
      <c r="C167" t="inlineStr">
        <is>
          <t>D836</t>
        </is>
      </c>
      <c r="D167" t="inlineStr">
        <is>
          <t>65001905</t>
        </is>
      </c>
      <c r="E167" t="inlineStr">
        <is>
          <t>4</t>
        </is>
      </c>
      <c r="F167" t="inlineStr">
        <is>
          <t>10000630</t>
        </is>
      </c>
      <c r="H167" t="inlineStr"/>
      <c r="J167" t="n">
        <v>260</v>
      </c>
      <c r="K167" t="inlineStr"/>
      <c r="M167" t="inlineStr">
        <is>
          <t>M3</t>
        </is>
      </c>
      <c r="N167" t="inlineStr"/>
      <c r="P167" t="inlineStr">
        <is>
          <t>20190426</t>
        </is>
      </c>
      <c r="Q167" t="inlineStr">
        <is>
          <t>20250127</t>
        </is>
      </c>
    </row>
    <row r="168">
      <c r="A168" t="inlineStr">
        <is>
          <t>900002574D8366500190510058345</t>
        </is>
      </c>
      <c r="B168" t="inlineStr">
        <is>
          <t>900002574</t>
        </is>
      </c>
      <c r="C168" t="inlineStr">
        <is>
          <t>D836</t>
        </is>
      </c>
      <c r="D168" t="inlineStr">
        <is>
          <t>65001905</t>
        </is>
      </c>
      <c r="E168" t="inlineStr">
        <is>
          <t>4</t>
        </is>
      </c>
      <c r="F168" t="inlineStr">
        <is>
          <t>10058345</t>
        </is>
      </c>
      <c r="H168" t="inlineStr"/>
      <c r="J168" t="n">
        <v>260</v>
      </c>
      <c r="K168" t="inlineStr"/>
      <c r="M168" t="inlineStr">
        <is>
          <t>M3</t>
        </is>
      </c>
      <c r="N168" t="inlineStr"/>
      <c r="P168" t="inlineStr">
        <is>
          <t>20190426</t>
        </is>
      </c>
      <c r="Q168" t="inlineStr">
        <is>
          <t>20250127</t>
        </is>
      </c>
    </row>
    <row r="169">
      <c r="A169" t="inlineStr">
        <is>
          <t>900002574D8366506168510000160</t>
        </is>
      </c>
      <c r="B169" t="inlineStr">
        <is>
          <t>900002574</t>
        </is>
      </c>
      <c r="C169" t="inlineStr">
        <is>
          <t>D836</t>
        </is>
      </c>
      <c r="D169" t="inlineStr">
        <is>
          <t>65061685</t>
        </is>
      </c>
      <c r="E169" t="inlineStr">
        <is>
          <t>4</t>
        </is>
      </c>
      <c r="F169" t="inlineStr">
        <is>
          <t>10000160</t>
        </is>
      </c>
      <c r="H169" t="inlineStr"/>
      <c r="J169" t="n">
        <v>135</v>
      </c>
      <c r="K169" t="inlineStr"/>
      <c r="M169" t="inlineStr">
        <is>
          <t>M3</t>
        </is>
      </c>
      <c r="N169" t="inlineStr"/>
      <c r="P169" t="inlineStr">
        <is>
          <t>20190426</t>
        </is>
      </c>
      <c r="Q169" t="inlineStr">
        <is>
          <t>20250127</t>
        </is>
      </c>
    </row>
    <row r="170">
      <c r="A170" t="inlineStr">
        <is>
          <t>900002574D8366515056310000160</t>
        </is>
      </c>
      <c r="B170" t="inlineStr">
        <is>
          <t>900002574</t>
        </is>
      </c>
      <c r="C170" t="inlineStr">
        <is>
          <t>D836</t>
        </is>
      </c>
      <c r="D170" t="inlineStr">
        <is>
          <t>65150563</t>
        </is>
      </c>
      <c r="E170" t="inlineStr">
        <is>
          <t>4</t>
        </is>
      </c>
      <c r="F170" t="inlineStr">
        <is>
          <t>10000160</t>
        </is>
      </c>
      <c r="H170" t="inlineStr"/>
      <c r="J170" t="n">
        <v>720</v>
      </c>
      <c r="K170" t="inlineStr"/>
      <c r="M170" t="inlineStr">
        <is>
          <t>M3</t>
        </is>
      </c>
      <c r="N170" t="inlineStr"/>
      <c r="P170" t="inlineStr">
        <is>
          <t>20190426</t>
        </is>
      </c>
      <c r="Q170" t="inlineStr">
        <is>
          <t>20250127</t>
        </is>
      </c>
    </row>
    <row r="171">
      <c r="A171" t="inlineStr">
        <is>
          <t>900002574D8366515056310000206</t>
        </is>
      </c>
      <c r="B171" t="inlineStr">
        <is>
          <t>900002574</t>
        </is>
      </c>
      <c r="C171" t="inlineStr">
        <is>
          <t>D836</t>
        </is>
      </c>
      <c r="D171" t="inlineStr">
        <is>
          <t>65150563</t>
        </is>
      </c>
      <c r="E171" t="inlineStr">
        <is>
          <t>4</t>
        </is>
      </c>
      <c r="F171" t="inlineStr">
        <is>
          <t>10000206</t>
        </is>
      </c>
      <c r="H171" t="inlineStr"/>
      <c r="J171" t="n">
        <v>351</v>
      </c>
      <c r="K171" t="inlineStr"/>
      <c r="M171" t="inlineStr">
        <is>
          <t>M3</t>
        </is>
      </c>
      <c r="N171" t="inlineStr"/>
      <c r="P171" t="inlineStr">
        <is>
          <t>20190426</t>
        </is>
      </c>
      <c r="Q171" t="inlineStr">
        <is>
          <t>20250127</t>
        </is>
      </c>
    </row>
    <row r="172">
      <c r="A172" t="inlineStr">
        <is>
          <t>900002574D8366515056310000357</t>
        </is>
      </c>
      <c r="B172" t="inlineStr">
        <is>
          <t>900002574</t>
        </is>
      </c>
      <c r="C172" t="inlineStr">
        <is>
          <t>D836</t>
        </is>
      </c>
      <c r="D172" t="inlineStr">
        <is>
          <t>65150563</t>
        </is>
      </c>
      <c r="E172" t="inlineStr">
        <is>
          <t>4</t>
        </is>
      </c>
      <c r="F172" t="inlineStr">
        <is>
          <t>10000357</t>
        </is>
      </c>
      <c r="H172" t="inlineStr"/>
      <c r="J172" t="n">
        <v>720</v>
      </c>
      <c r="K172" t="inlineStr"/>
      <c r="M172" t="inlineStr">
        <is>
          <t>M3</t>
        </is>
      </c>
      <c r="N172" t="inlineStr"/>
      <c r="P172" t="inlineStr">
        <is>
          <t>20190426</t>
        </is>
      </c>
      <c r="Q172" t="inlineStr">
        <is>
          <t>20250127</t>
        </is>
      </c>
    </row>
    <row r="173">
      <c r="A173" t="inlineStr">
        <is>
          <t>900002574D8366515056310000651</t>
        </is>
      </c>
      <c r="B173" t="inlineStr">
        <is>
          <t>900002574</t>
        </is>
      </c>
      <c r="C173" t="inlineStr">
        <is>
          <t>D836</t>
        </is>
      </c>
      <c r="D173" t="inlineStr">
        <is>
          <t>65150563</t>
        </is>
      </c>
      <c r="E173" t="inlineStr">
        <is>
          <t>4</t>
        </is>
      </c>
      <c r="F173" t="inlineStr">
        <is>
          <t>10000651</t>
        </is>
      </c>
      <c r="H173" t="inlineStr"/>
      <c r="J173" t="n">
        <v>720</v>
      </c>
      <c r="K173" t="inlineStr"/>
      <c r="M173" t="inlineStr">
        <is>
          <t>M3</t>
        </is>
      </c>
      <c r="N173" t="inlineStr"/>
      <c r="P173" t="inlineStr">
        <is>
          <t>20190426</t>
        </is>
      </c>
      <c r="Q173" t="inlineStr">
        <is>
          <t>20250127</t>
        </is>
      </c>
    </row>
    <row r="174">
      <c r="A174" t="inlineStr">
        <is>
          <t>900002574D8366515582010000160</t>
        </is>
      </c>
      <c r="B174" t="inlineStr">
        <is>
          <t>900002574</t>
        </is>
      </c>
      <c r="C174" t="inlineStr">
        <is>
          <t>D836</t>
        </is>
      </c>
      <c r="D174" t="inlineStr">
        <is>
          <t>65155820</t>
        </is>
      </c>
      <c r="E174" t="inlineStr">
        <is>
          <t>4</t>
        </is>
      </c>
      <c r="F174" t="inlineStr">
        <is>
          <t>10000160</t>
        </is>
      </c>
      <c r="H174" t="inlineStr"/>
      <c r="J174" t="n">
        <v>139</v>
      </c>
      <c r="K174" t="inlineStr"/>
      <c r="M174" t="inlineStr">
        <is>
          <t>M3</t>
        </is>
      </c>
      <c r="N174" t="inlineStr"/>
      <c r="P174" t="inlineStr">
        <is>
          <t>20190426</t>
        </is>
      </c>
      <c r="Q174" t="inlineStr">
        <is>
          <t>20250127</t>
        </is>
      </c>
    </row>
    <row r="175">
      <c r="A175" t="inlineStr">
        <is>
          <t>900002574D8366515582010000357</t>
        </is>
      </c>
      <c r="B175" t="inlineStr">
        <is>
          <t>900002574</t>
        </is>
      </c>
      <c r="C175" t="inlineStr">
        <is>
          <t>D836</t>
        </is>
      </c>
      <c r="D175" t="inlineStr">
        <is>
          <t>65155820</t>
        </is>
      </c>
      <c r="E175" t="inlineStr">
        <is>
          <t>4</t>
        </is>
      </c>
      <c r="F175" t="inlineStr">
        <is>
          <t>10000357</t>
        </is>
      </c>
      <c r="H175" t="inlineStr"/>
      <c r="J175" t="n">
        <v>144</v>
      </c>
      <c r="K175" t="inlineStr"/>
      <c r="M175" t="inlineStr">
        <is>
          <t>M3</t>
        </is>
      </c>
      <c r="N175" t="inlineStr"/>
      <c r="P175" t="inlineStr">
        <is>
          <t>20190426</t>
        </is>
      </c>
      <c r="Q175" t="inlineStr">
        <is>
          <t>20250127</t>
        </is>
      </c>
    </row>
    <row r="176">
      <c r="A176" t="inlineStr">
        <is>
          <t>900002574D8366525139910029712</t>
        </is>
      </c>
      <c r="B176" t="inlineStr">
        <is>
          <t>900002574</t>
        </is>
      </c>
      <c r="C176" t="inlineStr">
        <is>
          <t>D836</t>
        </is>
      </c>
      <c r="D176" t="inlineStr">
        <is>
          <t>65251399</t>
        </is>
      </c>
      <c r="E176" t="inlineStr">
        <is>
          <t>4</t>
        </is>
      </c>
      <c r="F176" t="inlineStr">
        <is>
          <t>10029712</t>
        </is>
      </c>
      <c r="H176" t="inlineStr"/>
      <c r="J176" t="n">
        <v>94</v>
      </c>
      <c r="K176" t="inlineStr"/>
      <c r="M176" t="inlineStr">
        <is>
          <t>TN</t>
        </is>
      </c>
      <c r="N176" t="inlineStr"/>
      <c r="P176" t="inlineStr">
        <is>
          <t>20190426</t>
        </is>
      </c>
      <c r="Q176" t="inlineStr">
        <is>
          <t>20250127</t>
        </is>
      </c>
    </row>
    <row r="177">
      <c r="A177" t="inlineStr">
        <is>
          <t>900002574D8366567413210000624</t>
        </is>
      </c>
      <c r="B177" t="inlineStr">
        <is>
          <t>900002574</t>
        </is>
      </c>
      <c r="C177" t="inlineStr">
        <is>
          <t>D836</t>
        </is>
      </c>
      <c r="D177" t="inlineStr">
        <is>
          <t>65674132</t>
        </is>
      </c>
      <c r="E177" t="inlineStr">
        <is>
          <t>4</t>
        </is>
      </c>
      <c r="F177" t="inlineStr">
        <is>
          <t>10000624</t>
        </is>
      </c>
      <c r="H177" t="inlineStr"/>
      <c r="J177" t="n">
        <v>115</v>
      </c>
      <c r="K177" t="inlineStr"/>
      <c r="M177" t="inlineStr">
        <is>
          <t>M3</t>
        </is>
      </c>
      <c r="N177" t="inlineStr"/>
      <c r="P177" t="inlineStr">
        <is>
          <t>20190426</t>
        </is>
      </c>
      <c r="Q177" t="inlineStr">
        <is>
          <t>20250127</t>
        </is>
      </c>
    </row>
    <row r="178">
      <c r="A178" t="inlineStr">
        <is>
          <t>900002574D8366591131310000160</t>
        </is>
      </c>
      <c r="B178" t="inlineStr">
        <is>
          <t>900002574</t>
        </is>
      </c>
      <c r="C178" t="inlineStr">
        <is>
          <t>D836</t>
        </is>
      </c>
      <c r="D178" t="inlineStr">
        <is>
          <t>65911313</t>
        </is>
      </c>
      <c r="E178" t="inlineStr">
        <is>
          <t>1</t>
        </is>
      </c>
      <c r="F178" t="inlineStr">
        <is>
          <t>10000160</t>
        </is>
      </c>
      <c r="H178" t="inlineStr"/>
      <c r="J178" t="n">
        <v>130</v>
      </c>
      <c r="K178" t="inlineStr"/>
      <c r="M178" t="inlineStr">
        <is>
          <t>M3</t>
        </is>
      </c>
      <c r="N178" t="inlineStr"/>
      <c r="P178" t="inlineStr">
        <is>
          <t>20190426</t>
        </is>
      </c>
      <c r="Q178" t="inlineStr">
        <is>
          <t>20250127</t>
        </is>
      </c>
    </row>
    <row r="179">
      <c r="A179" t="inlineStr">
        <is>
          <t>900002574D8366591131310000357</t>
        </is>
      </c>
      <c r="B179" t="inlineStr">
        <is>
          <t>900002574</t>
        </is>
      </c>
      <c r="C179" t="inlineStr">
        <is>
          <t>D836</t>
        </is>
      </c>
      <c r="D179" t="inlineStr">
        <is>
          <t>65911313</t>
        </is>
      </c>
      <c r="E179" t="inlineStr">
        <is>
          <t>1</t>
        </is>
      </c>
      <c r="F179" t="inlineStr">
        <is>
          <t>10000357</t>
        </is>
      </c>
      <c r="H179" t="inlineStr"/>
      <c r="J179" t="n">
        <v>130</v>
      </c>
      <c r="K179" t="inlineStr"/>
      <c r="M179" t="inlineStr">
        <is>
          <t>M3</t>
        </is>
      </c>
      <c r="N179" t="inlineStr"/>
      <c r="P179" t="inlineStr">
        <is>
          <t>20190426</t>
        </is>
      </c>
      <c r="Q179" t="inlineStr">
        <is>
          <t>20250127</t>
        </is>
      </c>
    </row>
    <row r="180">
      <c r="A180" t="inlineStr">
        <is>
          <t>900002574D8366602440010000623</t>
        </is>
      </c>
      <c r="B180" t="inlineStr">
        <is>
          <t>900002574</t>
        </is>
      </c>
      <c r="C180" t="inlineStr">
        <is>
          <t>D836</t>
        </is>
      </c>
      <c r="D180" t="inlineStr">
        <is>
          <t>66024400</t>
        </is>
      </c>
      <c r="E180" t="inlineStr">
        <is>
          <t>4</t>
        </is>
      </c>
      <c r="F180" t="inlineStr">
        <is>
          <t>10000623</t>
        </is>
      </c>
      <c r="H180" t="inlineStr"/>
      <c r="J180" t="n">
        <v>90</v>
      </c>
      <c r="K180" t="inlineStr"/>
      <c r="M180" t="inlineStr">
        <is>
          <t>M3</t>
        </is>
      </c>
      <c r="N180" t="inlineStr"/>
      <c r="P180" t="inlineStr">
        <is>
          <t>20190426</t>
        </is>
      </c>
      <c r="Q180" t="inlineStr">
        <is>
          <t>20250127</t>
        </is>
      </c>
    </row>
    <row r="181">
      <c r="A181" t="inlineStr">
        <is>
          <t>900002574D8366623009810000627</t>
        </is>
      </c>
      <c r="B181" t="inlineStr">
        <is>
          <t>900002574</t>
        </is>
      </c>
      <c r="C181" t="inlineStr">
        <is>
          <t>D836</t>
        </is>
      </c>
      <c r="D181" t="inlineStr">
        <is>
          <t>66230098</t>
        </is>
      </c>
      <c r="E181" t="inlineStr">
        <is>
          <t>4</t>
        </is>
      </c>
      <c r="F181" t="inlineStr">
        <is>
          <t>10000627</t>
        </is>
      </c>
      <c r="H181" t="inlineStr"/>
      <c r="J181" t="n">
        <v>135</v>
      </c>
      <c r="K181" t="inlineStr"/>
      <c r="M181" t="inlineStr">
        <is>
          <t>M3</t>
        </is>
      </c>
      <c r="N181" t="inlineStr"/>
      <c r="P181" t="inlineStr">
        <is>
          <t>20190426</t>
        </is>
      </c>
      <c r="Q181" t="inlineStr">
        <is>
          <t>20250127</t>
        </is>
      </c>
    </row>
    <row r="182">
      <c r="A182" t="inlineStr">
        <is>
          <t>900002574D8366626594410000623</t>
        </is>
      </c>
      <c r="B182" t="inlineStr">
        <is>
          <t>900002574</t>
        </is>
      </c>
      <c r="C182" t="inlineStr">
        <is>
          <t>D836</t>
        </is>
      </c>
      <c r="D182" t="inlineStr">
        <is>
          <t>66265944</t>
        </is>
      </c>
      <c r="E182" t="inlineStr">
        <is>
          <t>4</t>
        </is>
      </c>
      <c r="F182" t="inlineStr">
        <is>
          <t>10000623</t>
        </is>
      </c>
      <c r="H182" t="inlineStr"/>
      <c r="J182" t="n">
        <v>90</v>
      </c>
      <c r="K182" t="inlineStr"/>
      <c r="M182" t="inlineStr">
        <is>
          <t>M3</t>
        </is>
      </c>
      <c r="N182" t="inlineStr"/>
      <c r="P182" t="inlineStr">
        <is>
          <t>20190426</t>
        </is>
      </c>
      <c r="Q182" t="inlineStr">
        <is>
          <t>20250127</t>
        </is>
      </c>
    </row>
    <row r="183">
      <c r="A183" t="inlineStr">
        <is>
          <t>900002574D8366627273910000160</t>
        </is>
      </c>
      <c r="B183" t="inlineStr">
        <is>
          <t>900002574</t>
        </is>
      </c>
      <c r="C183" t="inlineStr">
        <is>
          <t>D836</t>
        </is>
      </c>
      <c r="D183" t="inlineStr">
        <is>
          <t>66272739</t>
        </is>
      </c>
      <c r="E183" t="inlineStr">
        <is>
          <t>4</t>
        </is>
      </c>
      <c r="F183" t="inlineStr">
        <is>
          <t>10000160</t>
        </is>
      </c>
      <c r="H183" t="inlineStr"/>
      <c r="J183" t="n">
        <v>108</v>
      </c>
      <c r="K183" t="inlineStr"/>
      <c r="M183" t="inlineStr">
        <is>
          <t>M3</t>
        </is>
      </c>
      <c r="N183" t="inlineStr"/>
      <c r="P183" t="inlineStr">
        <is>
          <t>20190426</t>
        </is>
      </c>
      <c r="Q183" t="inlineStr">
        <is>
          <t>20250127</t>
        </is>
      </c>
    </row>
    <row r="184">
      <c r="A184" t="inlineStr">
        <is>
          <t>900002574D8366627941010000623</t>
        </is>
      </c>
      <c r="B184" t="inlineStr">
        <is>
          <t>900002574</t>
        </is>
      </c>
      <c r="C184" t="inlineStr">
        <is>
          <t>D836</t>
        </is>
      </c>
      <c r="D184" t="inlineStr">
        <is>
          <t>66279410</t>
        </is>
      </c>
      <c r="E184" t="inlineStr">
        <is>
          <t>4</t>
        </is>
      </c>
      <c r="F184" t="inlineStr">
        <is>
          <t>10000623</t>
        </is>
      </c>
      <c r="H184" t="inlineStr"/>
      <c r="J184" t="n">
        <v>90</v>
      </c>
      <c r="K184" t="inlineStr"/>
      <c r="M184" t="inlineStr">
        <is>
          <t>M3</t>
        </is>
      </c>
      <c r="N184" t="inlineStr"/>
      <c r="P184" t="inlineStr">
        <is>
          <t>20190426</t>
        </is>
      </c>
      <c r="Q184" t="inlineStr">
        <is>
          <t>20250127</t>
        </is>
      </c>
    </row>
    <row r="185">
      <c r="A185" t="inlineStr">
        <is>
          <t>900002574D8366629716810000624</t>
        </is>
      </c>
      <c r="B185" t="inlineStr">
        <is>
          <t>900002574</t>
        </is>
      </c>
      <c r="C185" t="inlineStr">
        <is>
          <t>D836</t>
        </is>
      </c>
      <c r="D185" t="inlineStr">
        <is>
          <t>66297168</t>
        </is>
      </c>
      <c r="E185" t="inlineStr">
        <is>
          <t>4</t>
        </is>
      </c>
      <c r="F185" t="inlineStr">
        <is>
          <t>10000624</t>
        </is>
      </c>
      <c r="H185" t="inlineStr"/>
      <c r="J185" t="n">
        <v>115</v>
      </c>
      <c r="K185" t="inlineStr"/>
      <c r="M185" t="inlineStr">
        <is>
          <t>M3</t>
        </is>
      </c>
      <c r="N185" t="inlineStr"/>
      <c r="P185" t="inlineStr">
        <is>
          <t>20190426</t>
        </is>
      </c>
      <c r="Q185" t="inlineStr">
        <is>
          <t>20250127</t>
        </is>
      </c>
    </row>
    <row r="186">
      <c r="A186" t="inlineStr">
        <is>
          <t>900002574D8366643351110000133</t>
        </is>
      </c>
      <c r="B186" t="inlineStr">
        <is>
          <t>900002574</t>
        </is>
      </c>
      <c r="C186" t="inlineStr">
        <is>
          <t>D836</t>
        </is>
      </c>
      <c r="D186" t="inlineStr">
        <is>
          <t>66433511</t>
        </is>
      </c>
      <c r="E186" t="inlineStr">
        <is>
          <t>4</t>
        </is>
      </c>
      <c r="F186" t="inlineStr">
        <is>
          <t>10000133</t>
        </is>
      </c>
      <c r="H186" t="inlineStr"/>
      <c r="J186" t="n">
        <v>75</v>
      </c>
      <c r="K186" t="inlineStr"/>
      <c r="M186" t="inlineStr">
        <is>
          <t>M3</t>
        </is>
      </c>
      <c r="N186" t="inlineStr"/>
      <c r="P186" t="inlineStr">
        <is>
          <t>20190426</t>
        </is>
      </c>
      <c r="Q186" t="inlineStr">
        <is>
          <t>20250127</t>
        </is>
      </c>
    </row>
    <row r="187">
      <c r="A187" t="inlineStr">
        <is>
          <t>900002574D8366643351110058345</t>
        </is>
      </c>
      <c r="B187" t="inlineStr">
        <is>
          <t>900002574</t>
        </is>
      </c>
      <c r="C187" t="inlineStr">
        <is>
          <t>D836</t>
        </is>
      </c>
      <c r="D187" t="inlineStr">
        <is>
          <t>66433511</t>
        </is>
      </c>
      <c r="E187" t="inlineStr">
        <is>
          <t>4</t>
        </is>
      </c>
      <c r="F187" t="inlineStr">
        <is>
          <t>10058345</t>
        </is>
      </c>
      <c r="H187" t="inlineStr"/>
      <c r="J187" t="n">
        <v>75</v>
      </c>
      <c r="K187" t="inlineStr"/>
      <c r="M187" t="inlineStr">
        <is>
          <t>M3</t>
        </is>
      </c>
      <c r="N187" t="inlineStr"/>
      <c r="P187" t="inlineStr">
        <is>
          <t>20190426</t>
        </is>
      </c>
      <c r="Q187" t="inlineStr">
        <is>
          <t>20250127</t>
        </is>
      </c>
    </row>
    <row r="188">
      <c r="A188" t="inlineStr">
        <is>
          <t>900002574D8366648598110000160</t>
        </is>
      </c>
      <c r="B188" t="inlineStr">
        <is>
          <t>900002574</t>
        </is>
      </c>
      <c r="C188" t="inlineStr">
        <is>
          <t>D836</t>
        </is>
      </c>
      <c r="D188" t="inlineStr">
        <is>
          <t>66485981</t>
        </is>
      </c>
      <c r="E188" t="inlineStr">
        <is>
          <t>4</t>
        </is>
      </c>
      <c r="F188" t="inlineStr">
        <is>
          <t>10000160</t>
        </is>
      </c>
      <c r="H188" t="inlineStr"/>
      <c r="J188" t="n">
        <v>200</v>
      </c>
      <c r="K188" t="inlineStr"/>
      <c r="M188" t="inlineStr">
        <is>
          <t>M3</t>
        </is>
      </c>
      <c r="N188" t="inlineStr"/>
      <c r="P188" t="inlineStr">
        <is>
          <t>20190426</t>
        </is>
      </c>
      <c r="Q188" t="inlineStr">
        <is>
          <t>20250127</t>
        </is>
      </c>
    </row>
    <row r="189">
      <c r="A189" t="inlineStr">
        <is>
          <t>900002574D8366648598110000357</t>
        </is>
      </c>
      <c r="B189" t="inlineStr">
        <is>
          <t>900002574</t>
        </is>
      </c>
      <c r="C189" t="inlineStr">
        <is>
          <t>D836</t>
        </is>
      </c>
      <c r="D189" t="inlineStr">
        <is>
          <t>66485981</t>
        </is>
      </c>
      <c r="E189" t="inlineStr">
        <is>
          <t>4</t>
        </is>
      </c>
      <c r="F189" t="inlineStr">
        <is>
          <t>10000357</t>
        </is>
      </c>
      <c r="H189" t="inlineStr"/>
      <c r="J189" t="n">
        <v>205</v>
      </c>
      <c r="K189" t="inlineStr"/>
      <c r="M189" t="inlineStr">
        <is>
          <t>M3</t>
        </is>
      </c>
      <c r="N189" t="inlineStr"/>
      <c r="P189" t="inlineStr">
        <is>
          <t>20190426</t>
        </is>
      </c>
      <c r="Q189" t="inlineStr">
        <is>
          <t>20250127</t>
        </is>
      </c>
    </row>
    <row r="190">
      <c r="A190" t="inlineStr">
        <is>
          <t>900002574D8366648605910000160</t>
        </is>
      </c>
      <c r="B190" t="inlineStr">
        <is>
          <t>900002574</t>
        </is>
      </c>
      <c r="C190" t="inlineStr">
        <is>
          <t>D836</t>
        </is>
      </c>
      <c r="D190" t="inlineStr">
        <is>
          <t>66486059</t>
        </is>
      </c>
      <c r="E190" t="inlineStr">
        <is>
          <t>4</t>
        </is>
      </c>
      <c r="F190" t="inlineStr">
        <is>
          <t>10000160</t>
        </is>
      </c>
      <c r="H190" t="inlineStr"/>
      <c r="J190" t="n">
        <v>477.59</v>
      </c>
      <c r="K190" t="inlineStr"/>
      <c r="M190" t="inlineStr">
        <is>
          <t>M3</t>
        </is>
      </c>
      <c r="N190" t="inlineStr"/>
      <c r="P190" t="inlineStr">
        <is>
          <t>20190426</t>
        </is>
      </c>
      <c r="Q190" t="inlineStr">
        <is>
          <t>20250127</t>
        </is>
      </c>
    </row>
    <row r="191">
      <c r="A191" t="inlineStr">
        <is>
          <t>900002574D8366648605910000206</t>
        </is>
      </c>
      <c r="B191" t="inlineStr">
        <is>
          <t>900002574</t>
        </is>
      </c>
      <c r="C191" t="inlineStr">
        <is>
          <t>D836</t>
        </is>
      </c>
      <c r="D191" t="inlineStr">
        <is>
          <t>66486059</t>
        </is>
      </c>
      <c r="E191" t="inlineStr">
        <is>
          <t>4</t>
        </is>
      </c>
      <c r="F191" t="inlineStr">
        <is>
          <t>10000206</t>
        </is>
      </c>
      <c r="H191" t="inlineStr"/>
      <c r="J191" t="n">
        <v>477.59</v>
      </c>
      <c r="K191" t="inlineStr"/>
      <c r="M191" t="inlineStr">
        <is>
          <t>M3</t>
        </is>
      </c>
      <c r="N191" t="inlineStr"/>
      <c r="P191" t="inlineStr">
        <is>
          <t>20190426</t>
        </is>
      </c>
      <c r="Q191" t="inlineStr">
        <is>
          <t>20250127</t>
        </is>
      </c>
    </row>
    <row r="192">
      <c r="A192" t="inlineStr">
        <is>
          <t>900002574D8366648605910000357</t>
        </is>
      </c>
      <c r="B192" t="inlineStr">
        <is>
          <t>900002574</t>
        </is>
      </c>
      <c r="C192" t="inlineStr">
        <is>
          <t>D836</t>
        </is>
      </c>
      <c r="D192" t="inlineStr">
        <is>
          <t>66486059</t>
        </is>
      </c>
      <c r="E192" t="inlineStr">
        <is>
          <t>4</t>
        </is>
      </c>
      <c r="F192" t="inlineStr">
        <is>
          <t>10000357</t>
        </is>
      </c>
      <c r="H192" t="inlineStr"/>
      <c r="J192" t="n">
        <v>477.59</v>
      </c>
      <c r="K192" t="inlineStr"/>
      <c r="M192" t="inlineStr">
        <is>
          <t>M3</t>
        </is>
      </c>
      <c r="N192" t="inlineStr"/>
      <c r="P192" t="inlineStr">
        <is>
          <t>20190426</t>
        </is>
      </c>
      <c r="Q192" t="inlineStr">
        <is>
          <t>20250127</t>
        </is>
      </c>
    </row>
    <row r="193">
      <c r="A193" t="inlineStr">
        <is>
          <t>900002574D8366652634110000206</t>
        </is>
      </c>
      <c r="B193" t="inlineStr">
        <is>
          <t>900002574</t>
        </is>
      </c>
      <c r="C193" t="inlineStr">
        <is>
          <t>D836</t>
        </is>
      </c>
      <c r="D193" t="inlineStr">
        <is>
          <t>66526341</t>
        </is>
      </c>
      <c r="E193" t="inlineStr">
        <is>
          <t>4</t>
        </is>
      </c>
      <c r="F193" t="inlineStr">
        <is>
          <t>10000206</t>
        </is>
      </c>
      <c r="H193" t="inlineStr"/>
      <c r="J193" t="n">
        <v>98.67</v>
      </c>
      <c r="K193" t="inlineStr"/>
      <c r="M193" t="inlineStr">
        <is>
          <t>M3</t>
        </is>
      </c>
      <c r="N193" t="inlineStr"/>
      <c r="P193" t="inlineStr">
        <is>
          <t>20190426</t>
        </is>
      </c>
      <c r="Q193" t="inlineStr">
        <is>
          <t>20250127</t>
        </is>
      </c>
    </row>
    <row r="194">
      <c r="A194" t="inlineStr">
        <is>
          <t>900002574D8366652634310000206</t>
        </is>
      </c>
      <c r="B194" t="inlineStr">
        <is>
          <t>900002574</t>
        </is>
      </c>
      <c r="C194" t="inlineStr">
        <is>
          <t>D836</t>
        </is>
      </c>
      <c r="D194" t="inlineStr">
        <is>
          <t>66526343</t>
        </is>
      </c>
      <c r="E194" t="inlineStr">
        <is>
          <t>4</t>
        </is>
      </c>
      <c r="F194" t="inlineStr">
        <is>
          <t>10000206</t>
        </is>
      </c>
      <c r="H194" t="inlineStr"/>
      <c r="J194" t="n">
        <v>98.67</v>
      </c>
      <c r="K194" t="inlineStr"/>
      <c r="M194" t="inlineStr">
        <is>
          <t>M3</t>
        </is>
      </c>
      <c r="N194" t="inlineStr"/>
      <c r="P194" t="inlineStr">
        <is>
          <t>20190426</t>
        </is>
      </c>
      <c r="Q194" t="inlineStr">
        <is>
          <t>20250127</t>
        </is>
      </c>
    </row>
    <row r="195">
      <c r="A195" t="inlineStr">
        <is>
          <t>900002574D8366653821310000206</t>
        </is>
      </c>
      <c r="B195" t="inlineStr">
        <is>
          <t>900002574</t>
        </is>
      </c>
      <c r="C195" t="inlineStr">
        <is>
          <t>D836</t>
        </is>
      </c>
      <c r="D195" t="inlineStr">
        <is>
          <t>66538213</t>
        </is>
      </c>
      <c r="E195" t="inlineStr">
        <is>
          <t>4</t>
        </is>
      </c>
      <c r="F195" t="inlineStr">
        <is>
          <t>10000206</t>
        </is>
      </c>
      <c r="H195" t="inlineStr"/>
      <c r="J195" t="n">
        <v>98.67</v>
      </c>
      <c r="K195" t="inlineStr"/>
      <c r="M195" t="inlineStr">
        <is>
          <t>M3</t>
        </is>
      </c>
      <c r="N195" t="inlineStr"/>
      <c r="P195" t="inlineStr">
        <is>
          <t>20190426</t>
        </is>
      </c>
      <c r="Q195" t="inlineStr">
        <is>
          <t>20250127</t>
        </is>
      </c>
    </row>
    <row r="196">
      <c r="A196" t="inlineStr">
        <is>
          <t>900002574D8366656738410000160</t>
        </is>
      </c>
      <c r="B196" t="inlineStr">
        <is>
          <t>900002574</t>
        </is>
      </c>
      <c r="C196" t="inlineStr">
        <is>
          <t>D836</t>
        </is>
      </c>
      <c r="D196" t="inlineStr">
        <is>
          <t>66567384</t>
        </is>
      </c>
      <c r="E196" t="inlineStr">
        <is>
          <t>4</t>
        </is>
      </c>
      <c r="F196" t="inlineStr">
        <is>
          <t>10000160</t>
        </is>
      </c>
      <c r="H196" t="inlineStr"/>
      <c r="J196" t="n">
        <v>185</v>
      </c>
      <c r="K196" t="inlineStr"/>
      <c r="M196" t="inlineStr">
        <is>
          <t>M3</t>
        </is>
      </c>
      <c r="N196" t="inlineStr"/>
      <c r="P196" t="inlineStr">
        <is>
          <t>20190426</t>
        </is>
      </c>
      <c r="Q196" t="inlineStr">
        <is>
          <t>20250127</t>
        </is>
      </c>
    </row>
    <row r="197">
      <c r="A197" t="inlineStr">
        <is>
          <t>900002574D8366656738410000357</t>
        </is>
      </c>
      <c r="B197" t="inlineStr">
        <is>
          <t>900002574</t>
        </is>
      </c>
      <c r="C197" t="inlineStr">
        <is>
          <t>D836</t>
        </is>
      </c>
      <c r="D197" t="inlineStr">
        <is>
          <t>66567384</t>
        </is>
      </c>
      <c r="E197" t="inlineStr">
        <is>
          <t>4</t>
        </is>
      </c>
      <c r="F197" t="inlineStr">
        <is>
          <t>10000357</t>
        </is>
      </c>
      <c r="H197" t="inlineStr"/>
      <c r="J197" t="n">
        <v>175</v>
      </c>
      <c r="K197" t="inlineStr"/>
      <c r="M197" t="inlineStr">
        <is>
          <t>M3</t>
        </is>
      </c>
      <c r="N197" t="inlineStr"/>
      <c r="P197" t="inlineStr">
        <is>
          <t>20190426</t>
        </is>
      </c>
      <c r="Q197" t="inlineStr">
        <is>
          <t>20250127</t>
        </is>
      </c>
    </row>
    <row r="198">
      <c r="A198" t="inlineStr">
        <is>
          <t>900002574D8366656738410178773</t>
        </is>
      </c>
      <c r="B198" t="inlineStr">
        <is>
          <t>900002574</t>
        </is>
      </c>
      <c r="C198" t="inlineStr">
        <is>
          <t>D836</t>
        </is>
      </c>
      <c r="D198" t="inlineStr">
        <is>
          <t>66567384</t>
        </is>
      </c>
      <c r="E198" t="inlineStr">
        <is>
          <t>4</t>
        </is>
      </c>
      <c r="F198" t="inlineStr">
        <is>
          <t>10178773</t>
        </is>
      </c>
      <c r="H198" t="inlineStr"/>
      <c r="J198" t="n">
        <v>297.5</v>
      </c>
      <c r="K198" t="inlineStr"/>
      <c r="M198" t="inlineStr">
        <is>
          <t>M3</t>
        </is>
      </c>
      <c r="N198" t="inlineStr"/>
      <c r="P198" t="inlineStr">
        <is>
          <t>20190426</t>
        </is>
      </c>
      <c r="Q198" t="inlineStr">
        <is>
          <t>20250127</t>
        </is>
      </c>
    </row>
    <row r="199">
      <c r="A199" t="inlineStr">
        <is>
          <t>900002574D8366658134810000160</t>
        </is>
      </c>
      <c r="B199" t="inlineStr">
        <is>
          <t>900002574</t>
        </is>
      </c>
      <c r="C199" t="inlineStr">
        <is>
          <t>D836</t>
        </is>
      </c>
      <c r="D199" t="inlineStr">
        <is>
          <t>66581348</t>
        </is>
      </c>
      <c r="E199" t="inlineStr">
        <is>
          <t>4</t>
        </is>
      </c>
      <c r="F199" t="inlineStr">
        <is>
          <t>10000160</t>
        </is>
      </c>
      <c r="H199" t="inlineStr"/>
      <c r="J199" t="n">
        <v>500</v>
      </c>
      <c r="K199" t="inlineStr"/>
      <c r="M199" t="inlineStr">
        <is>
          <t>M3</t>
        </is>
      </c>
      <c r="N199" t="inlineStr"/>
      <c r="P199" t="inlineStr">
        <is>
          <t>20230301</t>
        </is>
      </c>
      <c r="Q199" t="inlineStr">
        <is>
          <t>20251031</t>
        </is>
      </c>
    </row>
    <row r="200">
      <c r="A200" t="inlineStr">
        <is>
          <t>900002574D8366660042210000133</t>
        </is>
      </c>
      <c r="B200" t="inlineStr">
        <is>
          <t>900002574</t>
        </is>
      </c>
      <c r="C200" t="inlineStr">
        <is>
          <t>D836</t>
        </is>
      </c>
      <c r="D200" t="inlineStr">
        <is>
          <t>66600422</t>
        </is>
      </c>
      <c r="E200" t="inlineStr">
        <is>
          <t>4</t>
        </is>
      </c>
      <c r="F200" t="inlineStr">
        <is>
          <t>10000133</t>
        </is>
      </c>
      <c r="H200" t="inlineStr"/>
      <c r="J200" t="n">
        <v>170</v>
      </c>
      <c r="K200" t="inlineStr"/>
      <c r="M200" t="inlineStr">
        <is>
          <t>M3</t>
        </is>
      </c>
      <c r="N200" t="inlineStr"/>
      <c r="P200" t="inlineStr">
        <is>
          <t>20190426</t>
        </is>
      </c>
      <c r="Q200" t="inlineStr">
        <is>
          <t>20250127</t>
        </is>
      </c>
    </row>
    <row r="201">
      <c r="A201" t="inlineStr">
        <is>
          <t>900002574D8366660042210000160</t>
        </is>
      </c>
      <c r="B201" t="inlineStr">
        <is>
          <t>900002574</t>
        </is>
      </c>
      <c r="C201" t="inlineStr">
        <is>
          <t>D836</t>
        </is>
      </c>
      <c r="D201" t="inlineStr">
        <is>
          <t>66600422</t>
        </is>
      </c>
      <c r="E201" t="inlineStr">
        <is>
          <t>4</t>
        </is>
      </c>
      <c r="F201" t="inlineStr">
        <is>
          <t>10000160</t>
        </is>
      </c>
      <c r="H201" t="inlineStr"/>
      <c r="J201" t="n">
        <v>167</v>
      </c>
      <c r="K201" t="inlineStr"/>
      <c r="M201" t="inlineStr">
        <is>
          <t>M3</t>
        </is>
      </c>
      <c r="N201" t="inlineStr"/>
      <c r="P201" t="inlineStr">
        <is>
          <t>20190426</t>
        </is>
      </c>
      <c r="Q201" t="inlineStr">
        <is>
          <t>20250127</t>
        </is>
      </c>
    </row>
    <row r="202">
      <c r="A202" t="inlineStr">
        <is>
          <t>900002574D8366660042210000357</t>
        </is>
      </c>
      <c r="B202" t="inlineStr">
        <is>
          <t>900002574</t>
        </is>
      </c>
      <c r="C202" t="inlineStr">
        <is>
          <t>D836</t>
        </is>
      </c>
      <c r="D202" t="inlineStr">
        <is>
          <t>66600422</t>
        </is>
      </c>
      <c r="E202" t="inlineStr">
        <is>
          <t>4</t>
        </is>
      </c>
      <c r="F202" t="inlineStr">
        <is>
          <t>10000357</t>
        </is>
      </c>
      <c r="H202" t="inlineStr"/>
      <c r="J202" t="n">
        <v>158.5</v>
      </c>
      <c r="K202" t="inlineStr"/>
      <c r="M202" t="inlineStr">
        <is>
          <t>M3</t>
        </is>
      </c>
      <c r="N202" t="inlineStr"/>
      <c r="P202" t="inlineStr">
        <is>
          <t>20190426</t>
        </is>
      </c>
      <c r="Q202" t="inlineStr">
        <is>
          <t>20250127</t>
        </is>
      </c>
    </row>
    <row r="203">
      <c r="A203" t="inlineStr">
        <is>
          <t>900002574D8366660801210000206</t>
        </is>
      </c>
      <c r="B203" t="inlineStr">
        <is>
          <t>900002574</t>
        </is>
      </c>
      <c r="C203" t="inlineStr">
        <is>
          <t>D836</t>
        </is>
      </c>
      <c r="D203" t="inlineStr">
        <is>
          <t>66608012</t>
        </is>
      </c>
      <c r="E203" t="inlineStr">
        <is>
          <t>4</t>
        </is>
      </c>
      <c r="F203" t="inlineStr">
        <is>
          <t>10000206</t>
        </is>
      </c>
      <c r="H203" t="inlineStr"/>
      <c r="J203" t="n">
        <v>162.5</v>
      </c>
      <c r="K203" t="inlineStr"/>
      <c r="M203" t="inlineStr">
        <is>
          <t>M3</t>
        </is>
      </c>
      <c r="N203" t="inlineStr"/>
      <c r="P203" t="inlineStr">
        <is>
          <t>20190426</t>
        </is>
      </c>
      <c r="Q203" t="inlineStr">
        <is>
          <t>20250127</t>
        </is>
      </c>
    </row>
    <row r="204">
      <c r="A204" t="inlineStr">
        <is>
          <t>900002574D8366660955610000133</t>
        </is>
      </c>
      <c r="B204" t="inlineStr">
        <is>
          <t>900002574</t>
        </is>
      </c>
      <c r="C204" t="inlineStr">
        <is>
          <t>D836</t>
        </is>
      </c>
      <c r="D204" t="inlineStr">
        <is>
          <t>66609556</t>
        </is>
      </c>
      <c r="E204" t="inlineStr">
        <is>
          <t>4</t>
        </is>
      </c>
      <c r="F204" t="inlineStr">
        <is>
          <t>10000133</t>
        </is>
      </c>
      <c r="H204" t="inlineStr"/>
      <c r="J204" t="n">
        <v>420.34</v>
      </c>
      <c r="K204" t="inlineStr"/>
      <c r="M204" t="inlineStr">
        <is>
          <t>M3</t>
        </is>
      </c>
      <c r="N204" t="inlineStr"/>
      <c r="P204" t="inlineStr">
        <is>
          <t>20190426</t>
        </is>
      </c>
      <c r="Q204" t="inlineStr">
        <is>
          <t>20250127</t>
        </is>
      </c>
    </row>
    <row r="205">
      <c r="A205" t="inlineStr">
        <is>
          <t>900002574D8366660955610000160</t>
        </is>
      </c>
      <c r="B205" t="inlineStr">
        <is>
          <t>900002574</t>
        </is>
      </c>
      <c r="C205" t="inlineStr">
        <is>
          <t>D836</t>
        </is>
      </c>
      <c r="D205" t="inlineStr">
        <is>
          <t>66609556</t>
        </is>
      </c>
      <c r="E205" t="inlineStr">
        <is>
          <t>4</t>
        </is>
      </c>
      <c r="F205" t="inlineStr">
        <is>
          <t>10000160</t>
        </is>
      </c>
      <c r="H205" t="inlineStr"/>
      <c r="J205" t="n">
        <v>374.13</v>
      </c>
      <c r="K205" t="inlineStr"/>
      <c r="M205" t="inlineStr">
        <is>
          <t>M3</t>
        </is>
      </c>
      <c r="N205" t="inlineStr"/>
      <c r="P205" t="inlineStr">
        <is>
          <t>20190426</t>
        </is>
      </c>
      <c r="Q205" t="inlineStr">
        <is>
          <t>20250127</t>
        </is>
      </c>
    </row>
    <row r="206">
      <c r="A206" t="inlineStr">
        <is>
          <t>900002574D8366660955610000357</t>
        </is>
      </c>
      <c r="B206" t="inlineStr">
        <is>
          <t>900002574</t>
        </is>
      </c>
      <c r="C206" t="inlineStr">
        <is>
          <t>D836</t>
        </is>
      </c>
      <c r="D206" t="inlineStr">
        <is>
          <t>66609556</t>
        </is>
      </c>
      <c r="E206" t="inlineStr">
        <is>
          <t>4</t>
        </is>
      </c>
      <c r="F206" t="inlineStr">
        <is>
          <t>10000357</t>
        </is>
      </c>
      <c r="H206" t="inlineStr"/>
      <c r="J206" t="n">
        <v>374.13</v>
      </c>
      <c r="K206" t="inlineStr"/>
      <c r="M206" t="inlineStr">
        <is>
          <t>M3</t>
        </is>
      </c>
      <c r="N206" t="inlineStr"/>
      <c r="P206" t="inlineStr">
        <is>
          <t>20190426</t>
        </is>
      </c>
      <c r="Q206" t="inlineStr">
        <is>
          <t>20250127</t>
        </is>
      </c>
    </row>
    <row r="207">
      <c r="A207" t="inlineStr">
        <is>
          <t>900002574D8366660955610058345</t>
        </is>
      </c>
      <c r="B207" t="inlineStr">
        <is>
          <t>900002574</t>
        </is>
      </c>
      <c r="C207" t="inlineStr">
        <is>
          <t>D836</t>
        </is>
      </c>
      <c r="D207" t="inlineStr">
        <is>
          <t>66609556</t>
        </is>
      </c>
      <c r="E207" t="inlineStr">
        <is>
          <t>4</t>
        </is>
      </c>
      <c r="F207" t="inlineStr">
        <is>
          <t>10058345</t>
        </is>
      </c>
      <c r="H207" t="inlineStr"/>
      <c r="J207" t="n">
        <v>420.34</v>
      </c>
      <c r="K207" t="inlineStr"/>
      <c r="M207" t="inlineStr">
        <is>
          <t>M3</t>
        </is>
      </c>
      <c r="N207" t="inlineStr"/>
      <c r="P207" t="inlineStr">
        <is>
          <t>20190426</t>
        </is>
      </c>
      <c r="Q207" t="inlineStr">
        <is>
          <t>20250127</t>
        </is>
      </c>
    </row>
    <row r="208">
      <c r="A208" t="inlineStr">
        <is>
          <t>900002574D8366670455610000206</t>
        </is>
      </c>
      <c r="B208" t="inlineStr">
        <is>
          <t>900002574</t>
        </is>
      </c>
      <c r="C208" t="inlineStr">
        <is>
          <t>D836</t>
        </is>
      </c>
      <c r="D208" t="inlineStr">
        <is>
          <t>66704556</t>
        </is>
      </c>
      <c r="E208" t="inlineStr">
        <is>
          <t>4</t>
        </is>
      </c>
      <c r="F208" t="inlineStr">
        <is>
          <t>10000206</t>
        </is>
      </c>
      <c r="H208" t="inlineStr"/>
      <c r="J208" t="n">
        <v>98.67</v>
      </c>
      <c r="K208" t="inlineStr"/>
      <c r="M208" t="inlineStr">
        <is>
          <t>M3</t>
        </is>
      </c>
      <c r="N208" t="inlineStr"/>
      <c r="P208" t="inlineStr">
        <is>
          <t>20190426</t>
        </is>
      </c>
      <c r="Q208" t="inlineStr">
        <is>
          <t>20250127</t>
        </is>
      </c>
    </row>
    <row r="209">
      <c r="A209" t="inlineStr">
        <is>
          <t>900002574D8366677927610000655</t>
        </is>
      </c>
      <c r="B209" t="inlineStr">
        <is>
          <t>900002574</t>
        </is>
      </c>
      <c r="C209" t="inlineStr">
        <is>
          <t>D836</t>
        </is>
      </c>
      <c r="D209" t="inlineStr">
        <is>
          <t>66779276</t>
        </is>
      </c>
      <c r="E209" t="inlineStr">
        <is>
          <t>4</t>
        </is>
      </c>
      <c r="F209" t="inlineStr">
        <is>
          <t>10000655</t>
        </is>
      </c>
      <c r="H209" t="inlineStr"/>
      <c r="J209" t="n">
        <v>1400</v>
      </c>
      <c r="K209" t="inlineStr"/>
      <c r="M209" t="inlineStr">
        <is>
          <t>TN</t>
        </is>
      </c>
      <c r="N209" t="inlineStr"/>
      <c r="P209" t="inlineStr">
        <is>
          <t>20190426</t>
        </is>
      </c>
      <c r="Q209" t="inlineStr">
        <is>
          <t>20250127</t>
        </is>
      </c>
    </row>
    <row r="210">
      <c r="A210" t="inlineStr">
        <is>
          <t>900002574D8366679447410000160</t>
        </is>
      </c>
      <c r="B210" t="inlineStr">
        <is>
          <t>900002574</t>
        </is>
      </c>
      <c r="C210" t="inlineStr">
        <is>
          <t>D836</t>
        </is>
      </c>
      <c r="D210" t="inlineStr">
        <is>
          <t>66794474</t>
        </is>
      </c>
      <c r="E210" t="inlineStr">
        <is>
          <t>4</t>
        </is>
      </c>
      <c r="F210" t="inlineStr">
        <is>
          <t>10000160</t>
        </is>
      </c>
      <c r="H210" t="inlineStr"/>
      <c r="J210" t="n">
        <v>200</v>
      </c>
      <c r="K210" t="inlineStr"/>
      <c r="M210" t="inlineStr">
        <is>
          <t>M3</t>
        </is>
      </c>
      <c r="N210" t="inlineStr"/>
      <c r="P210" t="inlineStr">
        <is>
          <t>20190426</t>
        </is>
      </c>
      <c r="Q210" t="inlineStr">
        <is>
          <t>20250127</t>
        </is>
      </c>
    </row>
    <row r="211">
      <c r="A211" t="inlineStr">
        <is>
          <t>900002574D8366679447410000357</t>
        </is>
      </c>
      <c r="B211" t="inlineStr">
        <is>
          <t>900002574</t>
        </is>
      </c>
      <c r="C211" t="inlineStr">
        <is>
          <t>D836</t>
        </is>
      </c>
      <c r="D211" t="inlineStr">
        <is>
          <t>66794474</t>
        </is>
      </c>
      <c r="E211" t="inlineStr">
        <is>
          <t>4</t>
        </is>
      </c>
      <c r="F211" t="inlineStr">
        <is>
          <t>10000357</t>
        </is>
      </c>
      <c r="H211" t="inlineStr"/>
      <c r="J211" t="n">
        <v>200</v>
      </c>
      <c r="K211" t="inlineStr"/>
      <c r="M211" t="inlineStr">
        <is>
          <t>M3</t>
        </is>
      </c>
      <c r="N211" t="inlineStr"/>
      <c r="P211" t="inlineStr">
        <is>
          <t>20190426</t>
        </is>
      </c>
      <c r="Q211" t="inlineStr">
        <is>
          <t>20250127</t>
        </is>
      </c>
    </row>
    <row r="212">
      <c r="A212" t="inlineStr">
        <is>
          <t>900002574D8366680565710000160</t>
        </is>
      </c>
      <c r="B212" t="inlineStr">
        <is>
          <t>900002574</t>
        </is>
      </c>
      <c r="C212" t="inlineStr">
        <is>
          <t>D836</t>
        </is>
      </c>
      <c r="D212" t="inlineStr">
        <is>
          <t>66805657</t>
        </is>
      </c>
      <c r="E212" t="inlineStr">
        <is>
          <t>4</t>
        </is>
      </c>
      <c r="F212" t="inlineStr">
        <is>
          <t>10000160</t>
        </is>
      </c>
      <c r="H212" t="inlineStr"/>
      <c r="J212" t="n">
        <v>85</v>
      </c>
      <c r="K212" t="inlineStr"/>
      <c r="M212" t="inlineStr">
        <is>
          <t>M3</t>
        </is>
      </c>
      <c r="N212" t="inlineStr"/>
      <c r="P212" t="inlineStr">
        <is>
          <t>20190426</t>
        </is>
      </c>
      <c r="Q212" t="inlineStr">
        <is>
          <t>20250127</t>
        </is>
      </c>
    </row>
    <row r="213">
      <c r="A213" t="inlineStr">
        <is>
          <t>900002574D8366680565710000357</t>
        </is>
      </c>
      <c r="B213" t="inlineStr">
        <is>
          <t>900002574</t>
        </is>
      </c>
      <c r="C213" t="inlineStr">
        <is>
          <t>D836</t>
        </is>
      </c>
      <c r="D213" t="inlineStr">
        <is>
          <t>66805657</t>
        </is>
      </c>
      <c r="E213" t="inlineStr">
        <is>
          <t>4</t>
        </is>
      </c>
      <c r="F213" t="inlineStr">
        <is>
          <t>10000357</t>
        </is>
      </c>
      <c r="H213" t="inlineStr"/>
      <c r="J213" t="n">
        <v>90</v>
      </c>
      <c r="K213" t="inlineStr"/>
      <c r="M213" t="inlineStr">
        <is>
          <t>M3</t>
        </is>
      </c>
      <c r="N213" t="inlineStr"/>
      <c r="P213" t="inlineStr">
        <is>
          <t>20190426</t>
        </is>
      </c>
      <c r="Q213" t="inlineStr">
        <is>
          <t>20250127</t>
        </is>
      </c>
    </row>
    <row r="214">
      <c r="A214" t="inlineStr">
        <is>
          <t>900002574D8366680567010000160</t>
        </is>
      </c>
      <c r="B214" t="inlineStr">
        <is>
          <t>900002574</t>
        </is>
      </c>
      <c r="C214" t="inlineStr">
        <is>
          <t>D836</t>
        </is>
      </c>
      <c r="D214" t="inlineStr">
        <is>
          <t>66805670</t>
        </is>
      </c>
      <c r="E214" t="inlineStr">
        <is>
          <t>4</t>
        </is>
      </c>
      <c r="F214" t="inlineStr">
        <is>
          <t>10000160</t>
        </is>
      </c>
      <c r="H214" t="inlineStr"/>
      <c r="J214" t="n">
        <v>85</v>
      </c>
      <c r="K214" t="inlineStr"/>
      <c r="M214" t="inlineStr">
        <is>
          <t>M3</t>
        </is>
      </c>
      <c r="N214" t="inlineStr"/>
      <c r="P214" t="inlineStr">
        <is>
          <t>20190426</t>
        </is>
      </c>
      <c r="Q214" t="inlineStr">
        <is>
          <t>20250127</t>
        </is>
      </c>
    </row>
    <row r="215">
      <c r="A215" t="inlineStr">
        <is>
          <t>900002574D8366680567010000357</t>
        </is>
      </c>
      <c r="B215" t="inlineStr">
        <is>
          <t>900002574</t>
        </is>
      </c>
      <c r="C215" t="inlineStr">
        <is>
          <t>D836</t>
        </is>
      </c>
      <c r="D215" t="inlineStr">
        <is>
          <t>66805670</t>
        </is>
      </c>
      <c r="E215" t="inlineStr">
        <is>
          <t>4</t>
        </is>
      </c>
      <c r="F215" t="inlineStr">
        <is>
          <t>10000357</t>
        </is>
      </c>
      <c r="H215" t="inlineStr"/>
      <c r="J215" t="n">
        <v>90</v>
      </c>
      <c r="K215" t="inlineStr"/>
      <c r="M215" t="inlineStr">
        <is>
          <t>M3</t>
        </is>
      </c>
      <c r="N215" t="inlineStr"/>
      <c r="P215" t="inlineStr">
        <is>
          <t>20190426</t>
        </is>
      </c>
      <c r="Q215" t="inlineStr">
        <is>
          <t>20250127</t>
        </is>
      </c>
    </row>
    <row r="216">
      <c r="A216" t="inlineStr">
        <is>
          <t>900002574D8366680588910000160</t>
        </is>
      </c>
      <c r="B216" t="inlineStr">
        <is>
          <t>900002574</t>
        </is>
      </c>
      <c r="C216" t="inlineStr">
        <is>
          <t>D836</t>
        </is>
      </c>
      <c r="D216" t="inlineStr">
        <is>
          <t>66805889</t>
        </is>
      </c>
      <c r="E216" t="inlineStr">
        <is>
          <t>4</t>
        </is>
      </c>
      <c r="F216" t="inlineStr">
        <is>
          <t>10000160</t>
        </is>
      </c>
      <c r="H216" t="inlineStr"/>
      <c r="J216" t="n">
        <v>156.83</v>
      </c>
      <c r="K216" t="inlineStr"/>
      <c r="M216" t="inlineStr">
        <is>
          <t>M3</t>
        </is>
      </c>
      <c r="N216" t="inlineStr"/>
      <c r="P216" t="inlineStr">
        <is>
          <t>20190426</t>
        </is>
      </c>
      <c r="Q216" t="inlineStr">
        <is>
          <t>20250127</t>
        </is>
      </c>
    </row>
    <row r="217">
      <c r="A217" t="inlineStr">
        <is>
          <t>900002574D8366680588910000357</t>
        </is>
      </c>
      <c r="B217" t="inlineStr">
        <is>
          <t>900002574</t>
        </is>
      </c>
      <c r="C217" t="inlineStr">
        <is>
          <t>D836</t>
        </is>
      </c>
      <c r="D217" t="inlineStr">
        <is>
          <t>66805889</t>
        </is>
      </c>
      <c r="E217" t="inlineStr">
        <is>
          <t>4</t>
        </is>
      </c>
      <c r="F217" t="inlineStr">
        <is>
          <t>10000357</t>
        </is>
      </c>
      <c r="H217" t="inlineStr"/>
      <c r="J217" t="n">
        <v>137.07</v>
      </c>
      <c r="K217" t="inlineStr"/>
      <c r="M217" t="inlineStr">
        <is>
          <t>M3</t>
        </is>
      </c>
      <c r="N217" t="inlineStr"/>
      <c r="P217" t="inlineStr">
        <is>
          <t>20190426</t>
        </is>
      </c>
      <c r="Q217" t="inlineStr">
        <is>
          <t>20250127</t>
        </is>
      </c>
    </row>
    <row r="218">
      <c r="A218" t="inlineStr">
        <is>
          <t>900002574D8366680800610000133</t>
        </is>
      </c>
      <c r="B218" t="inlineStr">
        <is>
          <t>900002574</t>
        </is>
      </c>
      <c r="C218" t="inlineStr">
        <is>
          <t>D836</t>
        </is>
      </c>
      <c r="D218" t="inlineStr">
        <is>
          <t>66808006</t>
        </is>
      </c>
      <c r="E218" t="inlineStr">
        <is>
          <t>4</t>
        </is>
      </c>
      <c r="F218" t="inlineStr">
        <is>
          <t>10000133</t>
        </is>
      </c>
      <c r="H218" t="inlineStr"/>
      <c r="J218" t="n">
        <v>262.5</v>
      </c>
      <c r="K218" t="inlineStr"/>
      <c r="M218" t="inlineStr">
        <is>
          <t>M3</t>
        </is>
      </c>
      <c r="N218" t="inlineStr"/>
      <c r="P218" t="inlineStr">
        <is>
          <t>20190426</t>
        </is>
      </c>
      <c r="Q218" t="inlineStr">
        <is>
          <t>20250127</t>
        </is>
      </c>
    </row>
    <row r="219">
      <c r="A219" t="inlineStr">
        <is>
          <t>900002574D8366680800610000160</t>
        </is>
      </c>
      <c r="B219" t="inlineStr">
        <is>
          <t>900002574</t>
        </is>
      </c>
      <c r="C219" t="inlineStr">
        <is>
          <t>D836</t>
        </is>
      </c>
      <c r="D219" t="inlineStr">
        <is>
          <t>66808006</t>
        </is>
      </c>
      <c r="E219" t="inlineStr">
        <is>
          <t>4</t>
        </is>
      </c>
      <c r="F219" t="inlineStr">
        <is>
          <t>10000160</t>
        </is>
      </c>
      <c r="H219" t="inlineStr"/>
      <c r="J219" t="n">
        <v>100</v>
      </c>
      <c r="K219" t="inlineStr"/>
      <c r="M219" t="inlineStr">
        <is>
          <t>M3</t>
        </is>
      </c>
      <c r="N219" t="inlineStr"/>
      <c r="P219" t="inlineStr">
        <is>
          <t>20190426</t>
        </is>
      </c>
      <c r="Q219" t="inlineStr">
        <is>
          <t>20250127</t>
        </is>
      </c>
    </row>
    <row r="220">
      <c r="A220" t="inlineStr">
        <is>
          <t>900002574D8366680800610000357</t>
        </is>
      </c>
      <c r="B220" t="inlineStr">
        <is>
          <t>900002574</t>
        </is>
      </c>
      <c r="C220" t="inlineStr">
        <is>
          <t>D836</t>
        </is>
      </c>
      <c r="D220" t="inlineStr">
        <is>
          <t>66808006</t>
        </is>
      </c>
      <c r="E220" t="inlineStr">
        <is>
          <t>4</t>
        </is>
      </c>
      <c r="F220" t="inlineStr">
        <is>
          <t>10000357</t>
        </is>
      </c>
      <c r="H220" t="inlineStr"/>
      <c r="J220" t="n">
        <v>102.5</v>
      </c>
      <c r="K220" t="inlineStr"/>
      <c r="M220" t="inlineStr">
        <is>
          <t>M3</t>
        </is>
      </c>
      <c r="N220" t="inlineStr"/>
      <c r="P220" t="inlineStr">
        <is>
          <t>20190426</t>
        </is>
      </c>
      <c r="Q220" t="inlineStr">
        <is>
          <t>20250127</t>
        </is>
      </c>
    </row>
    <row r="221">
      <c r="A221" t="inlineStr">
        <is>
          <t>900002574D8366680800610058345</t>
        </is>
      </c>
      <c r="B221" t="inlineStr">
        <is>
          <t>900002574</t>
        </is>
      </c>
      <c r="C221" t="inlineStr">
        <is>
          <t>D836</t>
        </is>
      </c>
      <c r="D221" t="inlineStr">
        <is>
          <t>66808006</t>
        </is>
      </c>
      <c r="E221" t="inlineStr">
        <is>
          <t>4</t>
        </is>
      </c>
      <c r="F221" t="inlineStr">
        <is>
          <t>10058345</t>
        </is>
      </c>
      <c r="H221" t="inlineStr"/>
      <c r="J221" t="n">
        <v>227.5</v>
      </c>
      <c r="K221" t="inlineStr"/>
      <c r="M221" t="inlineStr">
        <is>
          <t>M3</t>
        </is>
      </c>
      <c r="N221" t="inlineStr"/>
      <c r="P221" t="inlineStr">
        <is>
          <t>20190426</t>
        </is>
      </c>
      <c r="Q221" t="inlineStr">
        <is>
          <t>20250127</t>
        </is>
      </c>
    </row>
    <row r="222">
      <c r="A222" t="inlineStr">
        <is>
          <t>900002574D8366680855610000133</t>
        </is>
      </c>
      <c r="B222" t="inlineStr">
        <is>
          <t>900002574</t>
        </is>
      </c>
      <c r="C222" t="inlineStr">
        <is>
          <t>D836</t>
        </is>
      </c>
      <c r="D222" t="inlineStr">
        <is>
          <t>66808556</t>
        </is>
      </c>
      <c r="E222" t="inlineStr">
        <is>
          <t>4</t>
        </is>
      </c>
      <c r="F222" t="inlineStr">
        <is>
          <t>10000133</t>
        </is>
      </c>
      <c r="H222" t="inlineStr"/>
      <c r="J222" t="n">
        <v>354.03</v>
      </c>
      <c r="K222" t="inlineStr"/>
      <c r="M222" t="inlineStr">
        <is>
          <t>M3</t>
        </is>
      </c>
      <c r="N222" t="inlineStr"/>
      <c r="P222" t="inlineStr">
        <is>
          <t>20190426</t>
        </is>
      </c>
      <c r="Q222" t="inlineStr">
        <is>
          <t>20250127</t>
        </is>
      </c>
    </row>
    <row r="223">
      <c r="A223" t="inlineStr">
        <is>
          <t>900002574D8366680855610000160</t>
        </is>
      </c>
      <c r="B223" t="inlineStr">
        <is>
          <t>900002574</t>
        </is>
      </c>
      <c r="C223" t="inlineStr">
        <is>
          <t>D836</t>
        </is>
      </c>
      <c r="D223" t="inlineStr">
        <is>
          <t>66808556</t>
        </is>
      </c>
      <c r="E223" t="inlineStr">
        <is>
          <t>4</t>
        </is>
      </c>
      <c r="F223" t="inlineStr">
        <is>
          <t>10000160</t>
        </is>
      </c>
      <c r="H223" t="inlineStr"/>
      <c r="J223" t="n">
        <v>313.03</v>
      </c>
      <c r="K223" t="inlineStr"/>
      <c r="M223" t="inlineStr">
        <is>
          <t>M3</t>
        </is>
      </c>
      <c r="N223" t="inlineStr"/>
      <c r="P223" t="inlineStr">
        <is>
          <t>20190426</t>
        </is>
      </c>
      <c r="Q223" t="inlineStr">
        <is>
          <t>20250127</t>
        </is>
      </c>
    </row>
    <row r="224">
      <c r="A224" t="inlineStr">
        <is>
          <t>900002574D8366680855610000357</t>
        </is>
      </c>
      <c r="B224" t="inlineStr">
        <is>
          <t>900002574</t>
        </is>
      </c>
      <c r="C224" t="inlineStr">
        <is>
          <t>D836</t>
        </is>
      </c>
      <c r="D224" t="inlineStr">
        <is>
          <t>66808556</t>
        </is>
      </c>
      <c r="E224" t="inlineStr">
        <is>
          <t>4</t>
        </is>
      </c>
      <c r="F224" t="inlineStr">
        <is>
          <t>10000357</t>
        </is>
      </c>
      <c r="H224" t="inlineStr"/>
      <c r="J224" t="n">
        <v>313.03</v>
      </c>
      <c r="K224" t="inlineStr"/>
      <c r="M224" t="inlineStr">
        <is>
          <t>M3</t>
        </is>
      </c>
      <c r="N224" t="inlineStr"/>
      <c r="P224" t="inlineStr">
        <is>
          <t>20190426</t>
        </is>
      </c>
      <c r="Q224" t="inlineStr">
        <is>
          <t>20250127</t>
        </is>
      </c>
    </row>
    <row r="225">
      <c r="A225" t="inlineStr">
        <is>
          <t>900002574D8366680855610000623</t>
        </is>
      </c>
      <c r="B225" t="inlineStr">
        <is>
          <t>900002574</t>
        </is>
      </c>
      <c r="C225" t="inlineStr">
        <is>
          <t>D836</t>
        </is>
      </c>
      <c r="D225" t="inlineStr">
        <is>
          <t>66808556</t>
        </is>
      </c>
      <c r="E225" t="inlineStr">
        <is>
          <t>4</t>
        </is>
      </c>
      <c r="F225" t="inlineStr">
        <is>
          <t>10000623</t>
        </is>
      </c>
      <c r="H225" t="inlineStr"/>
      <c r="J225" t="n">
        <v>354.03</v>
      </c>
      <c r="K225" t="inlineStr"/>
      <c r="M225" t="inlineStr">
        <is>
          <t>M3</t>
        </is>
      </c>
      <c r="N225" t="inlineStr"/>
      <c r="P225" t="inlineStr">
        <is>
          <t>20190426</t>
        </is>
      </c>
      <c r="Q225" t="inlineStr">
        <is>
          <t>20250127</t>
        </is>
      </c>
    </row>
    <row r="226">
      <c r="A226" t="inlineStr">
        <is>
          <t>900002574D8366680855610000649</t>
        </is>
      </c>
      <c r="B226" t="inlineStr">
        <is>
          <t>900002574</t>
        </is>
      </c>
      <c r="C226" t="inlineStr">
        <is>
          <t>D836</t>
        </is>
      </c>
      <c r="D226" t="inlineStr">
        <is>
          <t>66808556</t>
        </is>
      </c>
      <c r="E226" t="inlineStr">
        <is>
          <t>4</t>
        </is>
      </c>
      <c r="F226" t="inlineStr">
        <is>
          <t>10000649</t>
        </is>
      </c>
      <c r="H226" t="inlineStr"/>
      <c r="J226" t="n">
        <v>313.03</v>
      </c>
      <c r="K226" t="inlineStr"/>
      <c r="M226" t="inlineStr">
        <is>
          <t>M3</t>
        </is>
      </c>
      <c r="N226" t="inlineStr"/>
      <c r="P226" t="inlineStr">
        <is>
          <t>20190426</t>
        </is>
      </c>
      <c r="Q226" t="inlineStr">
        <is>
          <t>20250127</t>
        </is>
      </c>
    </row>
    <row r="227">
      <c r="A227" t="inlineStr">
        <is>
          <t>900002574D8366680855610058345</t>
        </is>
      </c>
      <c r="B227" t="inlineStr">
        <is>
          <t>900002574</t>
        </is>
      </c>
      <c r="C227" t="inlineStr">
        <is>
          <t>D836</t>
        </is>
      </c>
      <c r="D227" t="inlineStr">
        <is>
          <t>66808556</t>
        </is>
      </c>
      <c r="E227" t="inlineStr">
        <is>
          <t>4</t>
        </is>
      </c>
      <c r="F227" t="inlineStr">
        <is>
          <t>10058345</t>
        </is>
      </c>
      <c r="H227" t="inlineStr"/>
      <c r="J227" t="n">
        <v>354.03</v>
      </c>
      <c r="K227" t="inlineStr"/>
      <c r="M227" t="inlineStr">
        <is>
          <t>M3</t>
        </is>
      </c>
      <c r="N227" t="inlineStr"/>
      <c r="P227" t="inlineStr">
        <is>
          <t>20190426</t>
        </is>
      </c>
      <c r="Q227" t="inlineStr">
        <is>
          <t>20250127</t>
        </is>
      </c>
    </row>
    <row r="228">
      <c r="A228" t="inlineStr">
        <is>
          <t>900002574D8366680856610000160</t>
        </is>
      </c>
      <c r="B228" t="inlineStr">
        <is>
          <t>900002574</t>
        </is>
      </c>
      <c r="C228" t="inlineStr">
        <is>
          <t>D836</t>
        </is>
      </c>
      <c r="D228" t="inlineStr">
        <is>
          <t>66808566</t>
        </is>
      </c>
      <c r="E228" t="inlineStr">
        <is>
          <t>4</t>
        </is>
      </c>
      <c r="F228" t="inlineStr">
        <is>
          <t>10000160</t>
        </is>
      </c>
      <c r="H228" t="inlineStr"/>
      <c r="J228" t="n">
        <v>220</v>
      </c>
      <c r="K228" t="inlineStr"/>
      <c r="M228" t="inlineStr">
        <is>
          <t>M3</t>
        </is>
      </c>
      <c r="N228" t="inlineStr"/>
      <c r="P228" t="inlineStr">
        <is>
          <t>20190426</t>
        </is>
      </c>
      <c r="Q228" t="inlineStr">
        <is>
          <t>20250127</t>
        </is>
      </c>
    </row>
    <row r="229">
      <c r="A229" t="inlineStr">
        <is>
          <t>900002574D8366680856610000357</t>
        </is>
      </c>
      <c r="B229" t="inlineStr">
        <is>
          <t>900002574</t>
        </is>
      </c>
      <c r="C229" t="inlineStr">
        <is>
          <t>D836</t>
        </is>
      </c>
      <c r="D229" t="inlineStr">
        <is>
          <t>66808566</t>
        </is>
      </c>
      <c r="E229" t="inlineStr">
        <is>
          <t>4</t>
        </is>
      </c>
      <c r="F229" t="inlineStr">
        <is>
          <t>10000357</t>
        </is>
      </c>
      <c r="H229" t="inlineStr"/>
      <c r="J229" t="n">
        <v>227.5</v>
      </c>
      <c r="K229" t="inlineStr"/>
      <c r="M229" t="inlineStr">
        <is>
          <t>M3</t>
        </is>
      </c>
      <c r="N229" t="inlineStr"/>
      <c r="P229" t="inlineStr">
        <is>
          <t>20190426</t>
        </is>
      </c>
      <c r="Q229" t="inlineStr">
        <is>
          <t>20250127</t>
        </is>
      </c>
    </row>
    <row r="230">
      <c r="A230" t="inlineStr">
        <is>
          <t>900002574D8366681118910000133</t>
        </is>
      </c>
      <c r="B230" t="inlineStr">
        <is>
          <t>900002574</t>
        </is>
      </c>
      <c r="C230" t="inlineStr">
        <is>
          <t>D836</t>
        </is>
      </c>
      <c r="D230" t="inlineStr">
        <is>
          <t>66811189</t>
        </is>
      </c>
      <c r="E230" t="inlineStr">
        <is>
          <t>4</t>
        </is>
      </c>
      <c r="F230" t="inlineStr">
        <is>
          <t>10000133</t>
        </is>
      </c>
      <c r="H230" t="inlineStr"/>
      <c r="J230" t="n">
        <v>290</v>
      </c>
      <c r="K230" t="inlineStr"/>
      <c r="M230" t="inlineStr">
        <is>
          <t>M3</t>
        </is>
      </c>
      <c r="N230" t="inlineStr"/>
      <c r="P230" t="inlineStr">
        <is>
          <t>20190426</t>
        </is>
      </c>
      <c r="Q230" t="inlineStr">
        <is>
          <t>20250127</t>
        </is>
      </c>
    </row>
    <row r="231">
      <c r="A231" t="inlineStr">
        <is>
          <t>900002574D8366681118910000160</t>
        </is>
      </c>
      <c r="B231" t="inlineStr">
        <is>
          <t>900002574</t>
        </is>
      </c>
      <c r="C231" t="inlineStr">
        <is>
          <t>D836</t>
        </is>
      </c>
      <c r="D231" t="inlineStr">
        <is>
          <t>66811189</t>
        </is>
      </c>
      <c r="E231" t="inlineStr">
        <is>
          <t>4</t>
        </is>
      </c>
      <c r="F231" t="inlineStr">
        <is>
          <t>10000160</t>
        </is>
      </c>
      <c r="H231" t="inlineStr"/>
      <c r="J231" t="n">
        <v>219</v>
      </c>
      <c r="K231" t="inlineStr"/>
      <c r="M231" t="inlineStr">
        <is>
          <t>M3</t>
        </is>
      </c>
      <c r="N231" t="inlineStr"/>
      <c r="P231" t="inlineStr">
        <is>
          <t>20190426</t>
        </is>
      </c>
      <c r="Q231" t="inlineStr">
        <is>
          <t>20250127</t>
        </is>
      </c>
    </row>
    <row r="232">
      <c r="A232" t="inlineStr">
        <is>
          <t>900002574D8366681118910000357</t>
        </is>
      </c>
      <c r="B232" t="inlineStr">
        <is>
          <t>900002574</t>
        </is>
      </c>
      <c r="C232" t="inlineStr">
        <is>
          <t>D836</t>
        </is>
      </c>
      <c r="D232" t="inlineStr">
        <is>
          <t>66811189</t>
        </is>
      </c>
      <c r="E232" t="inlineStr">
        <is>
          <t>4</t>
        </is>
      </c>
      <c r="F232" t="inlineStr">
        <is>
          <t>10000357</t>
        </is>
      </c>
      <c r="H232" t="inlineStr"/>
      <c r="J232" t="n">
        <v>226</v>
      </c>
      <c r="K232" t="inlineStr"/>
      <c r="M232" t="inlineStr">
        <is>
          <t>M3</t>
        </is>
      </c>
      <c r="N232" t="inlineStr"/>
      <c r="P232" t="inlineStr">
        <is>
          <t>20190426</t>
        </is>
      </c>
      <c r="Q232" t="inlineStr">
        <is>
          <t>20250127</t>
        </is>
      </c>
    </row>
    <row r="233">
      <c r="A233" t="inlineStr">
        <is>
          <t>900002574D8366681232710000160</t>
        </is>
      </c>
      <c r="B233" t="inlineStr">
        <is>
          <t>900002574</t>
        </is>
      </c>
      <c r="C233" t="inlineStr">
        <is>
          <t>D836</t>
        </is>
      </c>
      <c r="D233" t="inlineStr">
        <is>
          <t>66812327</t>
        </is>
      </c>
      <c r="E233" t="inlineStr">
        <is>
          <t>4</t>
        </is>
      </c>
      <c r="F233" t="inlineStr">
        <is>
          <t>10000160</t>
        </is>
      </c>
      <c r="H233" t="inlineStr"/>
      <c r="J233" t="n">
        <v>262.5</v>
      </c>
      <c r="K233" t="inlineStr"/>
      <c r="M233" t="inlineStr">
        <is>
          <t>M3</t>
        </is>
      </c>
      <c r="N233" t="inlineStr"/>
      <c r="P233" t="inlineStr">
        <is>
          <t>20190426</t>
        </is>
      </c>
      <c r="Q233" t="inlineStr">
        <is>
          <t>20250127</t>
        </is>
      </c>
    </row>
    <row r="234">
      <c r="A234" t="inlineStr">
        <is>
          <t>900002574D8366681232710000357</t>
        </is>
      </c>
      <c r="B234" t="inlineStr">
        <is>
          <t>900002574</t>
        </is>
      </c>
      <c r="C234" t="inlineStr">
        <is>
          <t>D836</t>
        </is>
      </c>
      <c r="D234" t="inlineStr">
        <is>
          <t>66812327</t>
        </is>
      </c>
      <c r="E234" t="inlineStr">
        <is>
          <t>4</t>
        </is>
      </c>
      <c r="F234" t="inlineStr">
        <is>
          <t>10000357</t>
        </is>
      </c>
      <c r="H234" t="inlineStr"/>
      <c r="J234" t="n">
        <v>267.5</v>
      </c>
      <c r="K234" t="inlineStr"/>
      <c r="M234" t="inlineStr">
        <is>
          <t>M3</t>
        </is>
      </c>
      <c r="N234" t="inlineStr"/>
      <c r="P234" t="inlineStr">
        <is>
          <t>20190426</t>
        </is>
      </c>
      <c r="Q234" t="inlineStr">
        <is>
          <t>20250127</t>
        </is>
      </c>
    </row>
    <row r="235">
      <c r="A235" t="inlineStr">
        <is>
          <t>900002574D8366681236310000160</t>
        </is>
      </c>
      <c r="B235" t="inlineStr">
        <is>
          <t>900002574</t>
        </is>
      </c>
      <c r="C235" t="inlineStr">
        <is>
          <t>D836</t>
        </is>
      </c>
      <c r="D235" t="inlineStr">
        <is>
          <t>66812363</t>
        </is>
      </c>
      <c r="E235" t="inlineStr">
        <is>
          <t>4</t>
        </is>
      </c>
      <c r="F235" t="inlineStr">
        <is>
          <t>10000160</t>
        </is>
      </c>
      <c r="H235" t="inlineStr"/>
      <c r="J235" t="n">
        <v>362.5</v>
      </c>
      <c r="K235" t="inlineStr"/>
      <c r="M235" t="inlineStr">
        <is>
          <t>M3</t>
        </is>
      </c>
      <c r="N235" t="inlineStr"/>
      <c r="P235" t="inlineStr">
        <is>
          <t>20190426</t>
        </is>
      </c>
      <c r="Q235" t="inlineStr">
        <is>
          <t>20250127</t>
        </is>
      </c>
    </row>
    <row r="236">
      <c r="A236" t="inlineStr">
        <is>
          <t>900002574D8366681236310000357</t>
        </is>
      </c>
      <c r="B236" t="inlineStr">
        <is>
          <t>900002574</t>
        </is>
      </c>
      <c r="C236" t="inlineStr">
        <is>
          <t>D836</t>
        </is>
      </c>
      <c r="D236" t="inlineStr">
        <is>
          <t>66812363</t>
        </is>
      </c>
      <c r="E236" t="inlineStr">
        <is>
          <t>4</t>
        </is>
      </c>
      <c r="F236" t="inlineStr">
        <is>
          <t>10000357</t>
        </is>
      </c>
      <c r="H236" t="inlineStr"/>
      <c r="J236" t="n">
        <v>267.5</v>
      </c>
      <c r="K236" t="inlineStr"/>
      <c r="M236" t="inlineStr">
        <is>
          <t>M3</t>
        </is>
      </c>
      <c r="N236" t="inlineStr"/>
      <c r="P236" t="inlineStr">
        <is>
          <t>20190426</t>
        </is>
      </c>
      <c r="Q236" t="inlineStr">
        <is>
          <t>20250127</t>
        </is>
      </c>
    </row>
    <row r="237">
      <c r="A237" t="inlineStr">
        <is>
          <t>900002574D8366681544410000160</t>
        </is>
      </c>
      <c r="B237" t="inlineStr">
        <is>
          <t>900002574</t>
        </is>
      </c>
      <c r="C237" t="inlineStr">
        <is>
          <t>D836</t>
        </is>
      </c>
      <c r="D237" t="inlineStr">
        <is>
          <t>66815444</t>
        </is>
      </c>
      <c r="E237" t="inlineStr">
        <is>
          <t>4</t>
        </is>
      </c>
      <c r="F237" t="inlineStr">
        <is>
          <t>10000160</t>
        </is>
      </c>
      <c r="H237" t="inlineStr"/>
      <c r="J237" t="n">
        <v>165</v>
      </c>
      <c r="K237" t="inlineStr"/>
      <c r="M237" t="inlineStr">
        <is>
          <t>M3</t>
        </is>
      </c>
      <c r="N237" t="inlineStr"/>
      <c r="P237" t="inlineStr">
        <is>
          <t>20190426</t>
        </is>
      </c>
      <c r="Q237" t="inlineStr">
        <is>
          <t>20250127</t>
        </is>
      </c>
    </row>
    <row r="238">
      <c r="A238" t="inlineStr">
        <is>
          <t>900002574D8366681544410000357</t>
        </is>
      </c>
      <c r="B238" t="inlineStr">
        <is>
          <t>900002574</t>
        </is>
      </c>
      <c r="C238" t="inlineStr">
        <is>
          <t>D836</t>
        </is>
      </c>
      <c r="D238" t="inlineStr">
        <is>
          <t>66815444</t>
        </is>
      </c>
      <c r="E238" t="inlineStr">
        <is>
          <t>4</t>
        </is>
      </c>
      <c r="F238" t="inlineStr">
        <is>
          <t>10000357</t>
        </is>
      </c>
      <c r="H238" t="inlineStr"/>
      <c r="J238" t="n">
        <v>170</v>
      </c>
      <c r="K238" t="inlineStr"/>
      <c r="M238" t="inlineStr">
        <is>
          <t>M3</t>
        </is>
      </c>
      <c r="N238" t="inlineStr"/>
      <c r="P238" t="inlineStr">
        <is>
          <t>20190426</t>
        </is>
      </c>
      <c r="Q238" t="inlineStr">
        <is>
          <t>20250127</t>
        </is>
      </c>
    </row>
    <row r="239">
      <c r="A239" t="inlineStr">
        <is>
          <t>900002574D8366681575010000160</t>
        </is>
      </c>
      <c r="B239" t="inlineStr">
        <is>
          <t>900002574</t>
        </is>
      </c>
      <c r="C239" t="inlineStr">
        <is>
          <t>D836</t>
        </is>
      </c>
      <c r="D239" t="inlineStr">
        <is>
          <t>66815750</t>
        </is>
      </c>
      <c r="E239" t="inlineStr">
        <is>
          <t>4</t>
        </is>
      </c>
      <c r="F239" t="inlineStr">
        <is>
          <t>10000160</t>
        </is>
      </c>
      <c r="H239" t="inlineStr"/>
      <c r="J239" t="n">
        <v>190</v>
      </c>
      <c r="K239" t="inlineStr"/>
      <c r="M239" t="inlineStr">
        <is>
          <t>M3</t>
        </is>
      </c>
      <c r="N239" t="inlineStr"/>
      <c r="P239" t="inlineStr">
        <is>
          <t>20190426</t>
        </is>
      </c>
      <c r="Q239" t="inlineStr">
        <is>
          <t>20250127</t>
        </is>
      </c>
    </row>
    <row r="240">
      <c r="A240" t="inlineStr">
        <is>
          <t>900002574D8366681575010000357</t>
        </is>
      </c>
      <c r="B240" t="inlineStr">
        <is>
          <t>900002574</t>
        </is>
      </c>
      <c r="C240" t="inlineStr">
        <is>
          <t>D836</t>
        </is>
      </c>
      <c r="D240" t="inlineStr">
        <is>
          <t>66815750</t>
        </is>
      </c>
      <c r="E240" t="inlineStr">
        <is>
          <t>4</t>
        </is>
      </c>
      <c r="F240" t="inlineStr">
        <is>
          <t>10000357</t>
        </is>
      </c>
      <c r="H240" t="inlineStr"/>
      <c r="J240" t="n">
        <v>175</v>
      </c>
      <c r="K240" t="inlineStr"/>
      <c r="M240" t="inlineStr">
        <is>
          <t>M3</t>
        </is>
      </c>
      <c r="N240" t="inlineStr"/>
      <c r="P240" t="inlineStr">
        <is>
          <t>20190426</t>
        </is>
      </c>
      <c r="Q240" t="inlineStr">
        <is>
          <t>20250127</t>
        </is>
      </c>
    </row>
    <row r="241">
      <c r="A241" t="inlineStr">
        <is>
          <t>900002574D8366681646810000160</t>
        </is>
      </c>
      <c r="B241" t="inlineStr">
        <is>
          <t>900002574</t>
        </is>
      </c>
      <c r="C241" t="inlineStr">
        <is>
          <t>D836</t>
        </is>
      </c>
      <c r="D241" t="inlineStr">
        <is>
          <t>66816468</t>
        </is>
      </c>
      <c r="E241" t="inlineStr">
        <is>
          <t>4</t>
        </is>
      </c>
      <c r="F241" t="inlineStr">
        <is>
          <t>10000160</t>
        </is>
      </c>
      <c r="H241" t="inlineStr"/>
      <c r="J241" t="n">
        <v>407</v>
      </c>
      <c r="K241" t="inlineStr"/>
      <c r="M241" t="inlineStr">
        <is>
          <t>M3</t>
        </is>
      </c>
      <c r="N241" t="inlineStr"/>
      <c r="P241" t="inlineStr">
        <is>
          <t>20190426</t>
        </is>
      </c>
      <c r="Q241" t="inlineStr">
        <is>
          <t>20250127</t>
        </is>
      </c>
    </row>
    <row r="242">
      <c r="A242" t="inlineStr">
        <is>
          <t>900002574D8366681646810000357</t>
        </is>
      </c>
      <c r="B242" t="inlineStr">
        <is>
          <t>900002574</t>
        </is>
      </c>
      <c r="C242" t="inlineStr">
        <is>
          <t>D836</t>
        </is>
      </c>
      <c r="D242" t="inlineStr">
        <is>
          <t>66816468</t>
        </is>
      </c>
      <c r="E242" t="inlineStr">
        <is>
          <t>4</t>
        </is>
      </c>
      <c r="F242" t="inlineStr">
        <is>
          <t>10000357</t>
        </is>
      </c>
      <c r="H242" t="inlineStr"/>
      <c r="J242" t="n">
        <v>308.5</v>
      </c>
      <c r="K242" t="inlineStr"/>
      <c r="M242" t="inlineStr">
        <is>
          <t>M3</t>
        </is>
      </c>
      <c r="N242" t="inlineStr"/>
      <c r="P242" t="inlineStr">
        <is>
          <t>20190426</t>
        </is>
      </c>
      <c r="Q242" t="inlineStr">
        <is>
          <t>20250127</t>
        </is>
      </c>
    </row>
    <row r="243">
      <c r="A243" t="inlineStr">
        <is>
          <t>900002574D8366681799710000160</t>
        </is>
      </c>
      <c r="B243" t="inlineStr">
        <is>
          <t>900002574</t>
        </is>
      </c>
      <c r="C243" t="inlineStr">
        <is>
          <t>D836</t>
        </is>
      </c>
      <c r="D243" t="inlineStr">
        <is>
          <t>66817997</t>
        </is>
      </c>
      <c r="E243" t="inlineStr">
        <is>
          <t>4</t>
        </is>
      </c>
      <c r="F243" t="inlineStr">
        <is>
          <t>10000160</t>
        </is>
      </c>
      <c r="H243" t="inlineStr"/>
      <c r="J243" t="n">
        <v>177.5</v>
      </c>
      <c r="K243" t="inlineStr"/>
      <c r="M243" t="inlineStr">
        <is>
          <t>M3</t>
        </is>
      </c>
      <c r="N243" t="inlineStr"/>
      <c r="P243" t="inlineStr">
        <is>
          <t>20190426</t>
        </is>
      </c>
      <c r="Q243" t="inlineStr">
        <is>
          <t>20250127</t>
        </is>
      </c>
    </row>
    <row r="244">
      <c r="A244" t="inlineStr">
        <is>
          <t>900002574D8366681799710000357</t>
        </is>
      </c>
      <c r="B244" t="inlineStr">
        <is>
          <t>900002574</t>
        </is>
      </c>
      <c r="C244" t="inlineStr">
        <is>
          <t>D836</t>
        </is>
      </c>
      <c r="D244" t="inlineStr">
        <is>
          <t>66817997</t>
        </is>
      </c>
      <c r="E244" t="inlineStr">
        <is>
          <t>4</t>
        </is>
      </c>
      <c r="F244" t="inlineStr">
        <is>
          <t>10000357</t>
        </is>
      </c>
      <c r="H244" t="inlineStr"/>
      <c r="J244" t="n">
        <v>186</v>
      </c>
      <c r="K244" t="inlineStr"/>
      <c r="M244" t="inlineStr">
        <is>
          <t>M3</t>
        </is>
      </c>
      <c r="N244" t="inlineStr"/>
      <c r="P244" t="inlineStr">
        <is>
          <t>20190426</t>
        </is>
      </c>
      <c r="Q244" t="inlineStr">
        <is>
          <t>20250127</t>
        </is>
      </c>
    </row>
    <row r="245">
      <c r="A245" t="inlineStr">
        <is>
          <t>900002574D8366681799710000630</t>
        </is>
      </c>
      <c r="B245" t="inlineStr">
        <is>
          <t>900002574</t>
        </is>
      </c>
      <c r="C245" t="inlineStr">
        <is>
          <t>D836</t>
        </is>
      </c>
      <c r="D245" t="inlineStr">
        <is>
          <t>66817997</t>
        </is>
      </c>
      <c r="E245" t="inlineStr">
        <is>
          <t>4</t>
        </is>
      </c>
      <c r="F245" t="inlineStr">
        <is>
          <t>10000630</t>
        </is>
      </c>
      <c r="H245" t="inlineStr"/>
      <c r="J245" t="n">
        <v>187.5</v>
      </c>
      <c r="K245" t="inlineStr"/>
      <c r="M245" t="inlineStr">
        <is>
          <t>M3</t>
        </is>
      </c>
      <c r="N245" t="inlineStr"/>
      <c r="P245" t="inlineStr">
        <is>
          <t>20190426</t>
        </is>
      </c>
      <c r="Q245" t="inlineStr">
        <is>
          <t>20250127</t>
        </is>
      </c>
    </row>
    <row r="246">
      <c r="A246" t="inlineStr">
        <is>
          <t>900002574D8366681799710000651</t>
        </is>
      </c>
      <c r="B246" t="inlineStr">
        <is>
          <t>900002574</t>
        </is>
      </c>
      <c r="C246" t="inlineStr">
        <is>
          <t>D836</t>
        </is>
      </c>
      <c r="D246" t="inlineStr">
        <is>
          <t>66817997</t>
        </is>
      </c>
      <c r="E246" t="inlineStr">
        <is>
          <t>4</t>
        </is>
      </c>
      <c r="F246" t="inlineStr">
        <is>
          <t>10000651</t>
        </is>
      </c>
      <c r="H246" t="inlineStr"/>
      <c r="J246" t="n">
        <v>185</v>
      </c>
      <c r="K246" t="inlineStr"/>
      <c r="M246" t="inlineStr">
        <is>
          <t>M3</t>
        </is>
      </c>
      <c r="N246" t="inlineStr"/>
      <c r="P246" t="inlineStr">
        <is>
          <t>20190426</t>
        </is>
      </c>
      <c r="Q246" t="inlineStr">
        <is>
          <t>20250127</t>
        </is>
      </c>
    </row>
    <row r="247">
      <c r="A247" t="inlineStr">
        <is>
          <t>900002574D8366682296110000160</t>
        </is>
      </c>
      <c r="B247" t="inlineStr">
        <is>
          <t>900002574</t>
        </is>
      </c>
      <c r="C247" t="inlineStr">
        <is>
          <t>D836</t>
        </is>
      </c>
      <c r="D247" t="inlineStr">
        <is>
          <t>66822961</t>
        </is>
      </c>
      <c r="E247" t="inlineStr">
        <is>
          <t>4</t>
        </is>
      </c>
      <c r="F247" t="inlineStr">
        <is>
          <t>10000160</t>
        </is>
      </c>
      <c r="H247" t="inlineStr"/>
      <c r="J247" t="n">
        <v>240</v>
      </c>
      <c r="K247" t="inlineStr"/>
      <c r="M247" t="inlineStr">
        <is>
          <t>M3</t>
        </is>
      </c>
      <c r="N247" t="inlineStr"/>
      <c r="P247" t="inlineStr">
        <is>
          <t>20190426</t>
        </is>
      </c>
      <c r="Q247" t="inlineStr">
        <is>
          <t>20250127</t>
        </is>
      </c>
    </row>
    <row r="248">
      <c r="A248" t="inlineStr">
        <is>
          <t>900002574D8366682296110000357</t>
        </is>
      </c>
      <c r="B248" t="inlineStr">
        <is>
          <t>900002574</t>
        </is>
      </c>
      <c r="C248" t="inlineStr">
        <is>
          <t>D836</t>
        </is>
      </c>
      <c r="D248" t="inlineStr">
        <is>
          <t>66822961</t>
        </is>
      </c>
      <c r="E248" t="inlineStr">
        <is>
          <t>4</t>
        </is>
      </c>
      <c r="F248" t="inlineStr">
        <is>
          <t>10000357</t>
        </is>
      </c>
      <c r="H248" t="inlineStr"/>
      <c r="J248" t="n">
        <v>250</v>
      </c>
      <c r="K248" t="inlineStr"/>
      <c r="M248" t="inlineStr">
        <is>
          <t>M3</t>
        </is>
      </c>
      <c r="N248" t="inlineStr"/>
      <c r="P248" t="inlineStr">
        <is>
          <t>20190426</t>
        </is>
      </c>
      <c r="Q248" t="inlineStr">
        <is>
          <t>20250127</t>
        </is>
      </c>
    </row>
    <row r="249">
      <c r="A249" t="inlineStr">
        <is>
          <t>900002574D8366682296110000651</t>
        </is>
      </c>
      <c r="B249" t="inlineStr">
        <is>
          <t>900002574</t>
        </is>
      </c>
      <c r="C249" t="inlineStr">
        <is>
          <t>D836</t>
        </is>
      </c>
      <c r="D249" t="inlineStr">
        <is>
          <t>66822961</t>
        </is>
      </c>
      <c r="E249" t="inlineStr">
        <is>
          <t>4</t>
        </is>
      </c>
      <c r="F249" t="inlineStr">
        <is>
          <t>10000651</t>
        </is>
      </c>
      <c r="H249" t="inlineStr"/>
      <c r="J249" t="n">
        <v>227.5</v>
      </c>
      <c r="K249" t="inlineStr"/>
      <c r="M249" t="inlineStr">
        <is>
          <t>M3</t>
        </is>
      </c>
      <c r="N249" t="inlineStr"/>
      <c r="P249" t="inlineStr">
        <is>
          <t>20190426</t>
        </is>
      </c>
      <c r="Q249" t="inlineStr">
        <is>
          <t>20250127</t>
        </is>
      </c>
    </row>
    <row r="250">
      <c r="A250" t="inlineStr">
        <is>
          <t>900002574D8366682335210145835</t>
        </is>
      </c>
      <c r="B250" t="inlineStr">
        <is>
          <t>900002574</t>
        </is>
      </c>
      <c r="C250" t="inlineStr">
        <is>
          <t>D836</t>
        </is>
      </c>
      <c r="D250" t="inlineStr">
        <is>
          <t>66823352</t>
        </is>
      </c>
      <c r="E250" t="inlineStr">
        <is>
          <t>4</t>
        </is>
      </c>
      <c r="F250" t="inlineStr">
        <is>
          <t>10145835</t>
        </is>
      </c>
      <c r="H250" t="inlineStr"/>
      <c r="J250" t="n">
        <v>380</v>
      </c>
      <c r="K250" t="inlineStr"/>
      <c r="M250" t="inlineStr">
        <is>
          <t>M3</t>
        </is>
      </c>
      <c r="N250" t="inlineStr"/>
      <c r="P250" t="inlineStr">
        <is>
          <t>20190426</t>
        </is>
      </c>
      <c r="Q250" t="inlineStr">
        <is>
          <t>20250127</t>
        </is>
      </c>
    </row>
    <row r="251">
      <c r="A251" t="inlineStr">
        <is>
          <t>900002574D8366682864610000160</t>
        </is>
      </c>
      <c r="B251" t="inlineStr">
        <is>
          <t>900002574</t>
        </is>
      </c>
      <c r="C251" t="inlineStr">
        <is>
          <t>D836</t>
        </is>
      </c>
      <c r="D251" t="inlineStr">
        <is>
          <t>66828646</t>
        </is>
      </c>
      <c r="E251" t="inlineStr">
        <is>
          <t>4</t>
        </is>
      </c>
      <c r="F251" t="inlineStr">
        <is>
          <t>10000160</t>
        </is>
      </c>
      <c r="H251" t="inlineStr"/>
      <c r="J251" t="n">
        <v>152.5</v>
      </c>
      <c r="K251" t="inlineStr"/>
      <c r="M251" t="inlineStr">
        <is>
          <t>M3</t>
        </is>
      </c>
      <c r="N251" t="inlineStr"/>
      <c r="P251" t="inlineStr">
        <is>
          <t>20190426</t>
        </is>
      </c>
      <c r="Q251" t="inlineStr">
        <is>
          <t>20250127</t>
        </is>
      </c>
    </row>
    <row r="252">
      <c r="A252" t="inlineStr">
        <is>
          <t>900002574D8366682864610000357</t>
        </is>
      </c>
      <c r="B252" t="inlineStr">
        <is>
          <t>900002574</t>
        </is>
      </c>
      <c r="C252" t="inlineStr">
        <is>
          <t>D836</t>
        </is>
      </c>
      <c r="D252" t="inlineStr">
        <is>
          <t>66828646</t>
        </is>
      </c>
      <c r="E252" t="inlineStr">
        <is>
          <t>4</t>
        </is>
      </c>
      <c r="F252" t="inlineStr">
        <is>
          <t>10000357</t>
        </is>
      </c>
      <c r="H252" t="inlineStr"/>
      <c r="J252" t="n">
        <v>157.5</v>
      </c>
      <c r="K252" t="inlineStr"/>
      <c r="M252" t="inlineStr">
        <is>
          <t>M3</t>
        </is>
      </c>
      <c r="N252" t="inlineStr"/>
      <c r="P252" t="inlineStr">
        <is>
          <t>20190426</t>
        </is>
      </c>
      <c r="Q252" t="inlineStr">
        <is>
          <t>20250127</t>
        </is>
      </c>
    </row>
    <row r="253">
      <c r="A253" t="inlineStr">
        <is>
          <t>900002574D8366682864610000623</t>
        </is>
      </c>
      <c r="B253" t="inlineStr">
        <is>
          <t>900002574</t>
        </is>
      </c>
      <c r="C253" t="inlineStr">
        <is>
          <t>D836</t>
        </is>
      </c>
      <c r="D253" t="inlineStr">
        <is>
          <t>66828646</t>
        </is>
      </c>
      <c r="E253" t="inlineStr">
        <is>
          <t>4</t>
        </is>
      </c>
      <c r="F253" t="inlineStr">
        <is>
          <t>10000623</t>
        </is>
      </c>
      <c r="H253" t="inlineStr"/>
      <c r="J253" t="n">
        <v>265</v>
      </c>
      <c r="K253" t="inlineStr"/>
      <c r="M253" t="inlineStr">
        <is>
          <t>M3</t>
        </is>
      </c>
      <c r="N253" t="inlineStr"/>
      <c r="P253" t="inlineStr">
        <is>
          <t>20190426</t>
        </is>
      </c>
      <c r="Q253" t="inlineStr">
        <is>
          <t>20250127</t>
        </is>
      </c>
    </row>
    <row r="254">
      <c r="A254" t="inlineStr">
        <is>
          <t>900002574D8366682864610000630</t>
        </is>
      </c>
      <c r="B254" t="inlineStr">
        <is>
          <t>900002574</t>
        </is>
      </c>
      <c r="C254" t="inlineStr">
        <is>
          <t>D836</t>
        </is>
      </c>
      <c r="D254" t="inlineStr">
        <is>
          <t>66828646</t>
        </is>
      </c>
      <c r="E254" t="inlineStr">
        <is>
          <t>4</t>
        </is>
      </c>
      <c r="F254" t="inlineStr">
        <is>
          <t>10000630</t>
        </is>
      </c>
      <c r="H254" t="inlineStr"/>
      <c r="J254" t="n">
        <v>265</v>
      </c>
      <c r="K254" t="inlineStr"/>
      <c r="M254" t="inlineStr">
        <is>
          <t>M3</t>
        </is>
      </c>
      <c r="N254" t="inlineStr"/>
      <c r="P254" t="inlineStr">
        <is>
          <t>20190426</t>
        </is>
      </c>
      <c r="Q254" t="inlineStr">
        <is>
          <t>20250127</t>
        </is>
      </c>
    </row>
    <row r="255">
      <c r="A255" t="inlineStr">
        <is>
          <t>900002574D8366683068310000160</t>
        </is>
      </c>
      <c r="B255" t="inlineStr">
        <is>
          <t>900002574</t>
        </is>
      </c>
      <c r="C255" t="inlineStr">
        <is>
          <t>D836</t>
        </is>
      </c>
      <c r="D255" t="inlineStr">
        <is>
          <t>66830683</t>
        </is>
      </c>
      <c r="E255" t="inlineStr">
        <is>
          <t>4</t>
        </is>
      </c>
      <c r="F255" t="inlineStr">
        <is>
          <t>10000160</t>
        </is>
      </c>
      <c r="H255" t="inlineStr"/>
      <c r="J255" t="n">
        <v>172</v>
      </c>
      <c r="K255" t="inlineStr"/>
      <c r="M255" t="inlineStr">
        <is>
          <t>M3</t>
        </is>
      </c>
      <c r="N255" t="inlineStr"/>
      <c r="P255" t="inlineStr">
        <is>
          <t>20190426</t>
        </is>
      </c>
      <c r="Q255" t="inlineStr">
        <is>
          <t>20250127</t>
        </is>
      </c>
    </row>
    <row r="256">
      <c r="A256" t="inlineStr">
        <is>
          <t>900002574D8366683068310000357</t>
        </is>
      </c>
      <c r="B256" t="inlineStr">
        <is>
          <t>900002574</t>
        </is>
      </c>
      <c r="C256" t="inlineStr">
        <is>
          <t>D836</t>
        </is>
      </c>
      <c r="D256" t="inlineStr">
        <is>
          <t>66830683</t>
        </is>
      </c>
      <c r="E256" t="inlineStr">
        <is>
          <t>4</t>
        </is>
      </c>
      <c r="F256" t="inlineStr">
        <is>
          <t>10000357</t>
        </is>
      </c>
      <c r="H256" t="inlineStr"/>
      <c r="J256" t="n">
        <v>181</v>
      </c>
      <c r="K256" t="inlineStr"/>
      <c r="M256" t="inlineStr">
        <is>
          <t>M3</t>
        </is>
      </c>
      <c r="N256" t="inlineStr"/>
      <c r="P256" t="inlineStr">
        <is>
          <t>20190426</t>
        </is>
      </c>
      <c r="Q256" t="inlineStr">
        <is>
          <t>20250127</t>
        </is>
      </c>
    </row>
    <row r="257">
      <c r="A257" t="inlineStr">
        <is>
          <t>900002574D8366683068310000651</t>
        </is>
      </c>
      <c r="B257" t="inlineStr">
        <is>
          <t>900002574</t>
        </is>
      </c>
      <c r="C257" t="inlineStr">
        <is>
          <t>D836</t>
        </is>
      </c>
      <c r="D257" t="inlineStr">
        <is>
          <t>66830683</t>
        </is>
      </c>
      <c r="E257" t="inlineStr">
        <is>
          <t>4</t>
        </is>
      </c>
      <c r="F257" t="inlineStr">
        <is>
          <t>10000651</t>
        </is>
      </c>
      <c r="H257" t="inlineStr"/>
      <c r="J257" t="n">
        <v>159</v>
      </c>
      <c r="K257" t="inlineStr"/>
      <c r="M257" t="inlineStr">
        <is>
          <t>M3</t>
        </is>
      </c>
      <c r="N257" t="inlineStr"/>
      <c r="P257" t="inlineStr">
        <is>
          <t>20190426</t>
        </is>
      </c>
      <c r="Q257" t="inlineStr">
        <is>
          <t>20250127</t>
        </is>
      </c>
    </row>
    <row r="258">
      <c r="A258" t="inlineStr">
        <is>
          <t>900002574D8366683336210000624</t>
        </is>
      </c>
      <c r="B258" t="inlineStr">
        <is>
          <t>900002574</t>
        </is>
      </c>
      <c r="C258" t="inlineStr">
        <is>
          <t>D836</t>
        </is>
      </c>
      <c r="D258" t="inlineStr">
        <is>
          <t>66833362</t>
        </is>
      </c>
      <c r="E258" t="inlineStr">
        <is>
          <t>4</t>
        </is>
      </c>
      <c r="F258" t="inlineStr">
        <is>
          <t>10000624</t>
        </is>
      </c>
      <c r="H258" t="inlineStr"/>
      <c r="J258" t="n">
        <v>165</v>
      </c>
      <c r="K258" t="inlineStr"/>
      <c r="M258" t="inlineStr">
        <is>
          <t>M3</t>
        </is>
      </c>
      <c r="N258" t="inlineStr"/>
      <c r="P258" t="inlineStr">
        <is>
          <t>20190426</t>
        </is>
      </c>
      <c r="Q258" t="inlineStr">
        <is>
          <t>20250127</t>
        </is>
      </c>
    </row>
    <row r="259">
      <c r="A259" t="inlineStr">
        <is>
          <t>900002574D8366683765910000160</t>
        </is>
      </c>
      <c r="B259" t="inlineStr">
        <is>
          <t>900002574</t>
        </is>
      </c>
      <c r="C259" t="inlineStr">
        <is>
          <t>D836</t>
        </is>
      </c>
      <c r="D259" t="inlineStr">
        <is>
          <t>66837659</t>
        </is>
      </c>
      <c r="E259" t="inlineStr">
        <is>
          <t>4</t>
        </is>
      </c>
      <c r="F259" t="inlineStr">
        <is>
          <t>10000160</t>
        </is>
      </c>
      <c r="H259" t="inlineStr"/>
      <c r="J259" t="n">
        <v>127.5</v>
      </c>
      <c r="K259" t="inlineStr"/>
      <c r="M259" t="inlineStr">
        <is>
          <t>M3</t>
        </is>
      </c>
      <c r="N259" t="inlineStr"/>
      <c r="P259" t="inlineStr">
        <is>
          <t>20190426</t>
        </is>
      </c>
      <c r="Q259" t="inlineStr">
        <is>
          <t>20250127</t>
        </is>
      </c>
    </row>
    <row r="260">
      <c r="A260" t="inlineStr">
        <is>
          <t>900002574D8366683765910000623</t>
        </is>
      </c>
      <c r="B260" t="inlineStr">
        <is>
          <t>900002574</t>
        </is>
      </c>
      <c r="C260" t="inlineStr">
        <is>
          <t>D836</t>
        </is>
      </c>
      <c r="D260" t="inlineStr">
        <is>
          <t>66837659</t>
        </is>
      </c>
      <c r="E260" t="inlineStr">
        <is>
          <t>4</t>
        </is>
      </c>
      <c r="F260" t="inlineStr">
        <is>
          <t>10000623</t>
        </is>
      </c>
      <c r="H260" t="inlineStr"/>
      <c r="J260" t="n">
        <v>212.5</v>
      </c>
      <c r="K260" t="inlineStr"/>
      <c r="M260" t="inlineStr">
        <is>
          <t>M3</t>
        </is>
      </c>
      <c r="N260" t="inlineStr"/>
      <c r="P260" t="inlineStr">
        <is>
          <t>20190426</t>
        </is>
      </c>
      <c r="Q260" t="inlineStr">
        <is>
          <t>20250127</t>
        </is>
      </c>
    </row>
    <row r="261">
      <c r="A261" t="inlineStr">
        <is>
          <t>900002574D8366683765910000649</t>
        </is>
      </c>
      <c r="B261" t="inlineStr">
        <is>
          <t>900002574</t>
        </is>
      </c>
      <c r="C261" t="inlineStr">
        <is>
          <t>D836</t>
        </is>
      </c>
      <c r="D261" t="inlineStr">
        <is>
          <t>66837659</t>
        </is>
      </c>
      <c r="E261" t="inlineStr">
        <is>
          <t>4</t>
        </is>
      </c>
      <c r="F261" t="inlineStr">
        <is>
          <t>10000649</t>
        </is>
      </c>
      <c r="H261" t="inlineStr"/>
      <c r="J261" t="n">
        <v>142.5</v>
      </c>
      <c r="K261" t="inlineStr"/>
      <c r="M261" t="inlineStr">
        <is>
          <t>M3</t>
        </is>
      </c>
      <c r="N261" t="inlineStr"/>
      <c r="P261" t="inlineStr">
        <is>
          <t>20190426</t>
        </is>
      </c>
      <c r="Q261" t="inlineStr">
        <is>
          <t>20250127</t>
        </is>
      </c>
    </row>
    <row r="262">
      <c r="A262" t="inlineStr">
        <is>
          <t>900002574D8366683765910058345</t>
        </is>
      </c>
      <c r="B262" t="inlineStr">
        <is>
          <t>900002574</t>
        </is>
      </c>
      <c r="C262" t="inlineStr">
        <is>
          <t>D836</t>
        </is>
      </c>
      <c r="D262" t="inlineStr">
        <is>
          <t>66837659</t>
        </is>
      </c>
      <c r="E262" t="inlineStr">
        <is>
          <t>4</t>
        </is>
      </c>
      <c r="F262" t="inlineStr">
        <is>
          <t>10058345</t>
        </is>
      </c>
      <c r="H262" t="inlineStr"/>
      <c r="J262" t="n">
        <v>157.5</v>
      </c>
      <c r="K262" t="inlineStr"/>
      <c r="M262" t="inlineStr">
        <is>
          <t>M3</t>
        </is>
      </c>
      <c r="N262" t="inlineStr"/>
      <c r="P262" t="inlineStr">
        <is>
          <t>20190426</t>
        </is>
      </c>
      <c r="Q262" t="inlineStr">
        <is>
          <t>20250127</t>
        </is>
      </c>
    </row>
    <row r="263">
      <c r="A263" t="inlineStr">
        <is>
          <t>900002574D8366683796410000160</t>
        </is>
      </c>
      <c r="B263" t="inlineStr">
        <is>
          <t>900002574</t>
        </is>
      </c>
      <c r="C263" t="inlineStr">
        <is>
          <t>D836</t>
        </is>
      </c>
      <c r="D263" t="inlineStr">
        <is>
          <t>66837964</t>
        </is>
      </c>
      <c r="E263" t="inlineStr">
        <is>
          <t>4</t>
        </is>
      </c>
      <c r="F263" t="inlineStr">
        <is>
          <t>10000160</t>
        </is>
      </c>
      <c r="H263" t="inlineStr"/>
      <c r="J263" t="n">
        <v>175</v>
      </c>
      <c r="K263" t="inlineStr"/>
      <c r="M263" t="inlineStr">
        <is>
          <t>M3</t>
        </is>
      </c>
      <c r="N263" t="inlineStr"/>
      <c r="P263" t="inlineStr">
        <is>
          <t>20190426</t>
        </is>
      </c>
      <c r="Q263" t="inlineStr">
        <is>
          <t>20250127</t>
        </is>
      </c>
    </row>
    <row r="264">
      <c r="A264" t="inlineStr">
        <is>
          <t>900002574D8366683796410000357</t>
        </is>
      </c>
      <c r="B264" t="inlineStr">
        <is>
          <t>900002574</t>
        </is>
      </c>
      <c r="C264" t="inlineStr">
        <is>
          <t>D836</t>
        </is>
      </c>
      <c r="D264" t="inlineStr">
        <is>
          <t>66837964</t>
        </is>
      </c>
      <c r="E264" t="inlineStr">
        <is>
          <t>4</t>
        </is>
      </c>
      <c r="F264" t="inlineStr">
        <is>
          <t>10000357</t>
        </is>
      </c>
      <c r="H264" t="inlineStr"/>
      <c r="J264" t="n">
        <v>185</v>
      </c>
      <c r="K264" t="inlineStr"/>
      <c r="M264" t="inlineStr">
        <is>
          <t>M3</t>
        </is>
      </c>
      <c r="N264" t="inlineStr"/>
      <c r="P264" t="inlineStr">
        <is>
          <t>20190426</t>
        </is>
      </c>
      <c r="Q264" t="inlineStr">
        <is>
          <t>20250127</t>
        </is>
      </c>
    </row>
    <row r="265">
      <c r="A265" t="inlineStr">
        <is>
          <t>900002574D8366683796410000649</t>
        </is>
      </c>
      <c r="B265" t="inlineStr">
        <is>
          <t>900002574</t>
        </is>
      </c>
      <c r="C265" t="inlineStr">
        <is>
          <t>D836</t>
        </is>
      </c>
      <c r="D265" t="inlineStr">
        <is>
          <t>66837964</t>
        </is>
      </c>
      <c r="E265" t="inlineStr">
        <is>
          <t>4</t>
        </is>
      </c>
      <c r="F265" t="inlineStr">
        <is>
          <t>10000649</t>
        </is>
      </c>
      <c r="H265" t="inlineStr"/>
      <c r="J265" t="n">
        <v>200</v>
      </c>
      <c r="K265" t="inlineStr"/>
      <c r="M265" t="inlineStr">
        <is>
          <t>M3</t>
        </is>
      </c>
      <c r="N265" t="inlineStr"/>
      <c r="P265" t="inlineStr">
        <is>
          <t>20190426</t>
        </is>
      </c>
      <c r="Q265" t="inlineStr">
        <is>
          <t>20250127</t>
        </is>
      </c>
    </row>
    <row r="266">
      <c r="A266" t="inlineStr">
        <is>
          <t>900002574D8366683856110000160</t>
        </is>
      </c>
      <c r="B266" t="inlineStr">
        <is>
          <t>900002574</t>
        </is>
      </c>
      <c r="C266" t="inlineStr">
        <is>
          <t>D836</t>
        </is>
      </c>
      <c r="D266" t="inlineStr">
        <is>
          <t>66838561</t>
        </is>
      </c>
      <c r="E266" t="inlineStr">
        <is>
          <t>4</t>
        </is>
      </c>
      <c r="F266" t="inlineStr">
        <is>
          <t>10000160</t>
        </is>
      </c>
      <c r="H266" t="inlineStr"/>
      <c r="J266" t="n">
        <v>60</v>
      </c>
      <c r="K266" t="inlineStr"/>
      <c r="M266" t="inlineStr">
        <is>
          <t>M3</t>
        </is>
      </c>
      <c r="N266" t="inlineStr"/>
      <c r="P266" t="inlineStr">
        <is>
          <t>20190426</t>
        </is>
      </c>
      <c r="Q266" t="inlineStr">
        <is>
          <t>20250127</t>
        </is>
      </c>
    </row>
    <row r="267">
      <c r="A267" t="inlineStr">
        <is>
          <t>900002574D8366683856110000206</t>
        </is>
      </c>
      <c r="B267" t="inlineStr">
        <is>
          <t>900002574</t>
        </is>
      </c>
      <c r="C267" t="inlineStr">
        <is>
          <t>D836</t>
        </is>
      </c>
      <c r="D267" t="inlineStr">
        <is>
          <t>66838561</t>
        </is>
      </c>
      <c r="E267" t="inlineStr">
        <is>
          <t>4</t>
        </is>
      </c>
      <c r="F267" t="inlineStr">
        <is>
          <t>10000206</t>
        </is>
      </c>
      <c r="H267" t="inlineStr"/>
      <c r="J267" t="n">
        <v>60</v>
      </c>
      <c r="K267" t="inlineStr"/>
      <c r="M267" t="inlineStr">
        <is>
          <t>M3</t>
        </is>
      </c>
      <c r="N267" t="inlineStr"/>
      <c r="P267" t="inlineStr">
        <is>
          <t>20190426</t>
        </is>
      </c>
      <c r="Q267" t="inlineStr">
        <is>
          <t>20250127</t>
        </is>
      </c>
    </row>
    <row r="268">
      <c r="A268" t="inlineStr">
        <is>
          <t>900002574D8366683856110000357</t>
        </is>
      </c>
      <c r="B268" t="inlineStr">
        <is>
          <t>900002574</t>
        </is>
      </c>
      <c r="C268" t="inlineStr">
        <is>
          <t>D836</t>
        </is>
      </c>
      <c r="D268" t="inlineStr">
        <is>
          <t>66838561</t>
        </is>
      </c>
      <c r="E268" t="inlineStr">
        <is>
          <t>4</t>
        </is>
      </c>
      <c r="F268" t="inlineStr">
        <is>
          <t>10000357</t>
        </is>
      </c>
      <c r="H268" t="inlineStr"/>
      <c r="J268" t="n">
        <v>60</v>
      </c>
      <c r="K268" t="inlineStr"/>
      <c r="M268" t="inlineStr">
        <is>
          <t>M3</t>
        </is>
      </c>
      <c r="N268" t="inlineStr"/>
      <c r="P268" t="inlineStr">
        <is>
          <t>20190426</t>
        </is>
      </c>
      <c r="Q268" t="inlineStr">
        <is>
          <t>20250127</t>
        </is>
      </c>
    </row>
    <row r="269">
      <c r="A269" t="inlineStr">
        <is>
          <t>900002574D8366684714410000160</t>
        </is>
      </c>
      <c r="B269" t="inlineStr">
        <is>
          <t>900002574</t>
        </is>
      </c>
      <c r="C269" t="inlineStr">
        <is>
          <t>D836</t>
        </is>
      </c>
      <c r="D269" t="inlineStr">
        <is>
          <t>66847144</t>
        </is>
      </c>
      <c r="E269" t="inlineStr">
        <is>
          <t>4</t>
        </is>
      </c>
      <c r="F269" t="inlineStr">
        <is>
          <t>10000160</t>
        </is>
      </c>
      <c r="H269" t="inlineStr"/>
      <c r="J269" t="n">
        <v>172</v>
      </c>
      <c r="K269" t="inlineStr"/>
      <c r="M269" t="inlineStr">
        <is>
          <t>M3</t>
        </is>
      </c>
      <c r="N269" t="inlineStr"/>
      <c r="P269" t="inlineStr">
        <is>
          <t>20190426</t>
        </is>
      </c>
      <c r="Q269" t="inlineStr">
        <is>
          <t>20250127</t>
        </is>
      </c>
    </row>
    <row r="270">
      <c r="A270" t="inlineStr">
        <is>
          <t>900002574D8366684714410000357</t>
        </is>
      </c>
      <c r="B270" t="inlineStr">
        <is>
          <t>900002574</t>
        </is>
      </c>
      <c r="C270" t="inlineStr">
        <is>
          <t>D836</t>
        </is>
      </c>
      <c r="D270" t="inlineStr">
        <is>
          <t>66847144</t>
        </is>
      </c>
      <c r="E270" t="inlineStr">
        <is>
          <t>4</t>
        </is>
      </c>
      <c r="F270" t="inlineStr">
        <is>
          <t>10000357</t>
        </is>
      </c>
      <c r="H270" t="inlineStr"/>
      <c r="J270" t="n">
        <v>181</v>
      </c>
      <c r="K270" t="inlineStr"/>
      <c r="M270" t="inlineStr">
        <is>
          <t>M3</t>
        </is>
      </c>
      <c r="N270" t="inlineStr"/>
      <c r="P270" t="inlineStr">
        <is>
          <t>20190426</t>
        </is>
      </c>
      <c r="Q270" t="inlineStr">
        <is>
          <t>20250127</t>
        </is>
      </c>
    </row>
    <row r="271">
      <c r="A271" t="inlineStr">
        <is>
          <t>900002574D8366684714410000651</t>
        </is>
      </c>
      <c r="B271" t="inlineStr">
        <is>
          <t>900002574</t>
        </is>
      </c>
      <c r="C271" t="inlineStr">
        <is>
          <t>D836</t>
        </is>
      </c>
      <c r="D271" t="inlineStr">
        <is>
          <t>66847144</t>
        </is>
      </c>
      <c r="E271" t="inlineStr">
        <is>
          <t>4</t>
        </is>
      </c>
      <c r="F271" t="inlineStr">
        <is>
          <t>10000651</t>
        </is>
      </c>
      <c r="H271" t="inlineStr"/>
      <c r="J271" t="n">
        <v>159</v>
      </c>
      <c r="K271" t="inlineStr"/>
      <c r="M271" t="inlineStr">
        <is>
          <t>M3</t>
        </is>
      </c>
      <c r="N271" t="inlineStr"/>
      <c r="P271" t="inlineStr">
        <is>
          <t>20190426</t>
        </is>
      </c>
      <c r="Q271" t="inlineStr">
        <is>
          <t>20250127</t>
        </is>
      </c>
    </row>
    <row r="272">
      <c r="A272" t="inlineStr">
        <is>
          <t>900002574D8366684762610000160</t>
        </is>
      </c>
      <c r="B272" t="inlineStr">
        <is>
          <t>900002574</t>
        </is>
      </c>
      <c r="C272" t="inlineStr">
        <is>
          <t>D836</t>
        </is>
      </c>
      <c r="D272" t="inlineStr">
        <is>
          <t>66847626</t>
        </is>
      </c>
      <c r="E272" t="inlineStr">
        <is>
          <t>4</t>
        </is>
      </c>
      <c r="F272" t="inlineStr">
        <is>
          <t>10000160</t>
        </is>
      </c>
      <c r="H272" t="inlineStr"/>
      <c r="J272" t="n">
        <v>259</v>
      </c>
      <c r="K272" t="inlineStr"/>
      <c r="M272" t="inlineStr">
        <is>
          <t>M3</t>
        </is>
      </c>
      <c r="N272" t="inlineStr"/>
      <c r="P272" t="inlineStr">
        <is>
          <t>20190426</t>
        </is>
      </c>
      <c r="Q272" t="inlineStr">
        <is>
          <t>20250127</t>
        </is>
      </c>
    </row>
    <row r="273">
      <c r="A273" t="inlineStr">
        <is>
          <t>900002574D8366684762610000357</t>
        </is>
      </c>
      <c r="B273" t="inlineStr">
        <is>
          <t>900002574</t>
        </is>
      </c>
      <c r="C273" t="inlineStr">
        <is>
          <t>D836</t>
        </is>
      </c>
      <c r="D273" t="inlineStr">
        <is>
          <t>66847626</t>
        </is>
      </c>
      <c r="E273" t="inlineStr">
        <is>
          <t>4</t>
        </is>
      </c>
      <c r="F273" t="inlineStr">
        <is>
          <t>10000357</t>
        </is>
      </c>
      <c r="H273" t="inlineStr"/>
      <c r="J273" t="n">
        <v>267.5</v>
      </c>
      <c r="K273" t="inlineStr"/>
      <c r="M273" t="inlineStr">
        <is>
          <t>M3</t>
        </is>
      </c>
      <c r="N273" t="inlineStr"/>
      <c r="P273" t="inlineStr">
        <is>
          <t>20190426</t>
        </is>
      </c>
      <c r="Q273" t="inlineStr">
        <is>
          <t>20250127</t>
        </is>
      </c>
    </row>
    <row r="274">
      <c r="A274" t="inlineStr">
        <is>
          <t>900002574D8366685220610000160</t>
        </is>
      </c>
      <c r="B274" t="inlineStr">
        <is>
          <t>900002574</t>
        </is>
      </c>
      <c r="C274" t="inlineStr">
        <is>
          <t>D836</t>
        </is>
      </c>
      <c r="D274" t="inlineStr">
        <is>
          <t>66852206</t>
        </is>
      </c>
      <c r="E274" t="inlineStr">
        <is>
          <t>4</t>
        </is>
      </c>
      <c r="F274" t="inlineStr">
        <is>
          <t>10000160</t>
        </is>
      </c>
      <c r="H274" t="inlineStr"/>
      <c r="J274" t="n">
        <v>303</v>
      </c>
      <c r="K274" t="inlineStr"/>
      <c r="M274" t="inlineStr">
        <is>
          <t>M3</t>
        </is>
      </c>
      <c r="N274" t="inlineStr"/>
      <c r="P274" t="inlineStr">
        <is>
          <t>20190426</t>
        </is>
      </c>
      <c r="Q274" t="inlineStr">
        <is>
          <t>20250127</t>
        </is>
      </c>
    </row>
    <row r="275">
      <c r="A275" t="inlineStr">
        <is>
          <t>900002574D8366685220610000357</t>
        </is>
      </c>
      <c r="B275" t="inlineStr">
        <is>
          <t>900002574</t>
        </is>
      </c>
      <c r="C275" t="inlineStr">
        <is>
          <t>D836</t>
        </is>
      </c>
      <c r="D275" t="inlineStr">
        <is>
          <t>66852206</t>
        </is>
      </c>
      <c r="E275" t="inlineStr">
        <is>
          <t>4</t>
        </is>
      </c>
      <c r="F275" t="inlineStr">
        <is>
          <t>10000357</t>
        </is>
      </c>
      <c r="H275" t="inlineStr"/>
      <c r="J275" t="n">
        <v>303</v>
      </c>
      <c r="K275" t="inlineStr"/>
      <c r="M275" t="inlineStr">
        <is>
          <t>M3</t>
        </is>
      </c>
      <c r="N275" t="inlineStr"/>
      <c r="P275" t="inlineStr">
        <is>
          <t>20190426</t>
        </is>
      </c>
      <c r="Q275" t="inlineStr">
        <is>
          <t>20250127</t>
        </is>
      </c>
    </row>
    <row r="276">
      <c r="A276" t="inlineStr">
        <is>
          <t>900002574D8366685220610000649</t>
        </is>
      </c>
      <c r="B276" t="inlineStr">
        <is>
          <t>900002574</t>
        </is>
      </c>
      <c r="C276" t="inlineStr">
        <is>
          <t>D836</t>
        </is>
      </c>
      <c r="D276" t="inlineStr">
        <is>
          <t>66852206</t>
        </is>
      </c>
      <c r="E276" t="inlineStr">
        <is>
          <t>4</t>
        </is>
      </c>
      <c r="F276" t="inlineStr">
        <is>
          <t>10000649</t>
        </is>
      </c>
      <c r="H276" t="inlineStr"/>
      <c r="J276" t="n">
        <v>325</v>
      </c>
      <c r="K276" t="inlineStr"/>
      <c r="M276" t="inlineStr">
        <is>
          <t>M3</t>
        </is>
      </c>
      <c r="N276" t="inlineStr"/>
      <c r="P276" t="inlineStr">
        <is>
          <t>20190426</t>
        </is>
      </c>
      <c r="Q276" t="inlineStr">
        <is>
          <t>20250127</t>
        </is>
      </c>
    </row>
    <row r="277">
      <c r="A277" t="inlineStr">
        <is>
          <t>900002574D8366685641510000160</t>
        </is>
      </c>
      <c r="B277" t="inlineStr">
        <is>
          <t>900002574</t>
        </is>
      </c>
      <c r="C277" t="inlineStr">
        <is>
          <t>D836</t>
        </is>
      </c>
      <c r="D277" t="inlineStr">
        <is>
          <t>66856415</t>
        </is>
      </c>
      <c r="E277" t="inlineStr">
        <is>
          <t>4</t>
        </is>
      </c>
      <c r="F277" t="inlineStr">
        <is>
          <t>10000160</t>
        </is>
      </c>
      <c r="H277" t="inlineStr"/>
      <c r="J277" t="n">
        <v>160</v>
      </c>
      <c r="K277" t="inlineStr"/>
      <c r="M277" t="inlineStr">
        <is>
          <t>M3</t>
        </is>
      </c>
      <c r="N277" t="inlineStr"/>
      <c r="P277" t="inlineStr">
        <is>
          <t>20190426</t>
        </is>
      </c>
      <c r="Q277" t="inlineStr">
        <is>
          <t>20250127</t>
        </is>
      </c>
    </row>
    <row r="278">
      <c r="A278" t="inlineStr">
        <is>
          <t>900002574D8366685641510000357</t>
        </is>
      </c>
      <c r="B278" t="inlineStr">
        <is>
          <t>900002574</t>
        </is>
      </c>
      <c r="C278" t="inlineStr">
        <is>
          <t>D836</t>
        </is>
      </c>
      <c r="D278" t="inlineStr">
        <is>
          <t>66856415</t>
        </is>
      </c>
      <c r="E278" t="inlineStr">
        <is>
          <t>4</t>
        </is>
      </c>
      <c r="F278" t="inlineStr">
        <is>
          <t>10000357</t>
        </is>
      </c>
      <c r="H278" t="inlineStr"/>
      <c r="J278" t="n">
        <v>160</v>
      </c>
      <c r="K278" t="inlineStr"/>
      <c r="M278" t="inlineStr">
        <is>
          <t>M3</t>
        </is>
      </c>
      <c r="N278" t="inlineStr"/>
      <c r="P278" t="inlineStr">
        <is>
          <t>20190426</t>
        </is>
      </c>
      <c r="Q278" t="inlineStr">
        <is>
          <t>20250127</t>
        </is>
      </c>
    </row>
    <row r="279">
      <c r="A279" t="inlineStr">
        <is>
          <t>900002574D8366685641510019515</t>
        </is>
      </c>
      <c r="B279" t="inlineStr">
        <is>
          <t>900002574</t>
        </is>
      </c>
      <c r="C279" t="inlineStr">
        <is>
          <t>D836</t>
        </is>
      </c>
      <c r="D279" t="inlineStr">
        <is>
          <t>66856415</t>
        </is>
      </c>
      <c r="E279" t="inlineStr">
        <is>
          <t>4</t>
        </is>
      </c>
      <c r="F279" t="inlineStr">
        <is>
          <t>10019515</t>
        </is>
      </c>
      <c r="H279" t="inlineStr"/>
      <c r="J279" t="n">
        <v>160</v>
      </c>
      <c r="K279" t="inlineStr"/>
      <c r="M279" t="inlineStr">
        <is>
          <t>M3</t>
        </is>
      </c>
      <c r="N279" t="inlineStr"/>
      <c r="P279" t="inlineStr">
        <is>
          <t>20190426</t>
        </is>
      </c>
      <c r="Q279" t="inlineStr">
        <is>
          <t>20250127</t>
        </is>
      </c>
    </row>
    <row r="280">
      <c r="A280" t="inlineStr">
        <is>
          <t>900002574D8366685862910000160</t>
        </is>
      </c>
      <c r="B280" t="inlineStr">
        <is>
          <t>900002574</t>
        </is>
      </c>
      <c r="C280" t="inlineStr">
        <is>
          <t>D836</t>
        </is>
      </c>
      <c r="D280" t="inlineStr">
        <is>
          <t>66858629</t>
        </is>
      </c>
      <c r="E280" t="inlineStr">
        <is>
          <t>4</t>
        </is>
      </c>
      <c r="F280" t="inlineStr">
        <is>
          <t>10000160</t>
        </is>
      </c>
      <c r="H280" t="inlineStr"/>
      <c r="J280" t="n">
        <v>105</v>
      </c>
      <c r="K280" t="inlineStr"/>
      <c r="M280" t="inlineStr">
        <is>
          <t>M3</t>
        </is>
      </c>
      <c r="N280" t="inlineStr"/>
      <c r="P280" t="inlineStr">
        <is>
          <t>20190426</t>
        </is>
      </c>
      <c r="Q280" t="inlineStr">
        <is>
          <t>20250127</t>
        </is>
      </c>
    </row>
    <row r="281">
      <c r="A281" t="inlineStr">
        <is>
          <t>900002574D8366685862910000357</t>
        </is>
      </c>
      <c r="B281" t="inlineStr">
        <is>
          <t>900002574</t>
        </is>
      </c>
      <c r="C281" t="inlineStr">
        <is>
          <t>D836</t>
        </is>
      </c>
      <c r="D281" t="inlineStr">
        <is>
          <t>66858629</t>
        </is>
      </c>
      <c r="E281" t="inlineStr">
        <is>
          <t>4</t>
        </is>
      </c>
      <c r="F281" t="inlineStr">
        <is>
          <t>10000357</t>
        </is>
      </c>
      <c r="H281" t="inlineStr"/>
      <c r="J281" t="n">
        <v>110</v>
      </c>
      <c r="K281" t="inlineStr"/>
      <c r="M281" t="inlineStr">
        <is>
          <t>M3</t>
        </is>
      </c>
      <c r="N281" t="inlineStr"/>
      <c r="P281" t="inlineStr">
        <is>
          <t>20190426</t>
        </is>
      </c>
      <c r="Q281" t="inlineStr">
        <is>
          <t>20250127</t>
        </is>
      </c>
    </row>
    <row r="282">
      <c r="A282" t="inlineStr">
        <is>
          <t>900002574D8366685862910000649</t>
        </is>
      </c>
      <c r="B282" t="inlineStr">
        <is>
          <t>900002574</t>
        </is>
      </c>
      <c r="C282" t="inlineStr">
        <is>
          <t>D836</t>
        </is>
      </c>
      <c r="D282" t="inlineStr">
        <is>
          <t>66858629</t>
        </is>
      </c>
      <c r="E282" t="inlineStr">
        <is>
          <t>4</t>
        </is>
      </c>
      <c r="F282" t="inlineStr">
        <is>
          <t>10000649</t>
        </is>
      </c>
      <c r="H282" t="inlineStr"/>
      <c r="J282" t="n">
        <v>125</v>
      </c>
      <c r="K282" t="inlineStr"/>
      <c r="M282" t="inlineStr">
        <is>
          <t>M3</t>
        </is>
      </c>
      <c r="N282" t="inlineStr"/>
      <c r="P282" t="inlineStr">
        <is>
          <t>20190426</t>
        </is>
      </c>
      <c r="Q282" t="inlineStr">
        <is>
          <t>20250127</t>
        </is>
      </c>
    </row>
    <row r="283">
      <c r="A283" t="inlineStr">
        <is>
          <t>900002574D8366686047910000133</t>
        </is>
      </c>
      <c r="B283" t="inlineStr">
        <is>
          <t>900002574</t>
        </is>
      </c>
      <c r="C283" t="inlineStr">
        <is>
          <t>D836</t>
        </is>
      </c>
      <c r="D283" t="inlineStr">
        <is>
          <t>66860479</t>
        </is>
      </c>
      <c r="E283" t="inlineStr">
        <is>
          <t>4</t>
        </is>
      </c>
      <c r="F283" t="inlineStr">
        <is>
          <t>10000133</t>
        </is>
      </c>
      <c r="H283" t="inlineStr"/>
      <c r="J283" t="n">
        <v>395</v>
      </c>
      <c r="K283" t="inlineStr"/>
      <c r="M283" t="inlineStr">
        <is>
          <t>M3</t>
        </is>
      </c>
      <c r="N283" t="inlineStr"/>
      <c r="P283" t="inlineStr">
        <is>
          <t>20190426</t>
        </is>
      </c>
      <c r="Q283" t="inlineStr">
        <is>
          <t>20250127</t>
        </is>
      </c>
    </row>
    <row r="284">
      <c r="A284" t="inlineStr">
        <is>
          <t>900002574D8366686047910000160</t>
        </is>
      </c>
      <c r="B284" t="inlineStr">
        <is>
          <t>900002574</t>
        </is>
      </c>
      <c r="C284" t="inlineStr">
        <is>
          <t>D836</t>
        </is>
      </c>
      <c r="D284" t="inlineStr">
        <is>
          <t>66860479</t>
        </is>
      </c>
      <c r="E284" t="inlineStr">
        <is>
          <t>4</t>
        </is>
      </c>
      <c r="F284" t="inlineStr">
        <is>
          <t>10000160</t>
        </is>
      </c>
      <c r="H284" t="inlineStr"/>
      <c r="J284" t="n">
        <v>290</v>
      </c>
      <c r="K284" t="inlineStr"/>
      <c r="M284" t="inlineStr">
        <is>
          <t>M3</t>
        </is>
      </c>
      <c r="N284" t="inlineStr"/>
      <c r="P284" t="inlineStr">
        <is>
          <t>20190426</t>
        </is>
      </c>
      <c r="Q284" t="inlineStr">
        <is>
          <t>20250127</t>
        </is>
      </c>
    </row>
    <row r="285">
      <c r="A285" t="inlineStr">
        <is>
          <t>900002574D8366686047910000357</t>
        </is>
      </c>
      <c r="B285" t="inlineStr">
        <is>
          <t>900002574</t>
        </is>
      </c>
      <c r="C285" t="inlineStr">
        <is>
          <t>D836</t>
        </is>
      </c>
      <c r="D285" t="inlineStr">
        <is>
          <t>66860479</t>
        </is>
      </c>
      <c r="E285" t="inlineStr">
        <is>
          <t>4</t>
        </is>
      </c>
      <c r="F285" t="inlineStr">
        <is>
          <t>10000357</t>
        </is>
      </c>
      <c r="H285" t="inlineStr"/>
      <c r="J285" t="n">
        <v>290</v>
      </c>
      <c r="K285" t="inlineStr"/>
      <c r="M285" t="inlineStr">
        <is>
          <t>M3</t>
        </is>
      </c>
      <c r="N285" t="inlineStr"/>
      <c r="P285" t="inlineStr">
        <is>
          <t>20190426</t>
        </is>
      </c>
      <c r="Q285" t="inlineStr">
        <is>
          <t>20250127</t>
        </is>
      </c>
    </row>
    <row r="286">
      <c r="A286" t="inlineStr">
        <is>
          <t>900002574D8366686047910058345</t>
        </is>
      </c>
      <c r="B286" t="inlineStr">
        <is>
          <t>900002574</t>
        </is>
      </c>
      <c r="C286" t="inlineStr">
        <is>
          <t>D836</t>
        </is>
      </c>
      <c r="D286" t="inlineStr">
        <is>
          <t>66860479</t>
        </is>
      </c>
      <c r="E286" t="inlineStr">
        <is>
          <t>4</t>
        </is>
      </c>
      <c r="F286" t="inlineStr">
        <is>
          <t>10058345</t>
        </is>
      </c>
      <c r="H286" t="inlineStr"/>
      <c r="J286" t="n">
        <v>395</v>
      </c>
      <c r="K286" t="inlineStr"/>
      <c r="M286" t="inlineStr">
        <is>
          <t>M3</t>
        </is>
      </c>
      <c r="N286" t="inlineStr"/>
      <c r="P286" t="inlineStr">
        <is>
          <t>20190426</t>
        </is>
      </c>
      <c r="Q286" t="inlineStr">
        <is>
          <t>20250127</t>
        </is>
      </c>
    </row>
    <row r="287">
      <c r="A287" t="inlineStr">
        <is>
          <t>900002574D8366686965510000160</t>
        </is>
      </c>
      <c r="B287" t="inlineStr">
        <is>
          <t>900002574</t>
        </is>
      </c>
      <c r="C287" t="inlineStr">
        <is>
          <t>D836</t>
        </is>
      </c>
      <c r="D287" t="inlineStr">
        <is>
          <t>66869655</t>
        </is>
      </c>
      <c r="E287" t="inlineStr">
        <is>
          <t>4</t>
        </is>
      </c>
      <c r="F287" t="inlineStr">
        <is>
          <t>10000160</t>
        </is>
      </c>
      <c r="H287" t="inlineStr"/>
      <c r="J287" t="n">
        <v>385</v>
      </c>
      <c r="K287" t="inlineStr"/>
      <c r="M287" t="inlineStr">
        <is>
          <t>M3</t>
        </is>
      </c>
      <c r="N287" t="inlineStr"/>
      <c r="P287" t="inlineStr">
        <is>
          <t>20190426</t>
        </is>
      </c>
      <c r="Q287" t="inlineStr">
        <is>
          <t>20250127</t>
        </is>
      </c>
    </row>
    <row r="288">
      <c r="A288" t="inlineStr">
        <is>
          <t>900002574D8366686965510000357</t>
        </is>
      </c>
      <c r="B288" t="inlineStr">
        <is>
          <t>900002574</t>
        </is>
      </c>
      <c r="C288" t="inlineStr">
        <is>
          <t>D836</t>
        </is>
      </c>
      <c r="D288" t="inlineStr">
        <is>
          <t>66869655</t>
        </is>
      </c>
      <c r="E288" t="inlineStr">
        <is>
          <t>4</t>
        </is>
      </c>
      <c r="F288" t="inlineStr">
        <is>
          <t>10000357</t>
        </is>
      </c>
      <c r="H288" t="inlineStr"/>
      <c r="J288" t="n">
        <v>385</v>
      </c>
      <c r="K288" t="inlineStr"/>
      <c r="M288" t="inlineStr">
        <is>
          <t>M3</t>
        </is>
      </c>
      <c r="N288" t="inlineStr"/>
      <c r="P288" t="inlineStr">
        <is>
          <t>20190426</t>
        </is>
      </c>
      <c r="Q288" t="inlineStr">
        <is>
          <t>20250127</t>
        </is>
      </c>
    </row>
    <row r="289">
      <c r="A289" t="inlineStr">
        <is>
          <t>900002574D8366687339010000133</t>
        </is>
      </c>
      <c r="B289" t="inlineStr">
        <is>
          <t>900002574</t>
        </is>
      </c>
      <c r="C289" t="inlineStr">
        <is>
          <t>D836</t>
        </is>
      </c>
      <c r="D289" t="inlineStr">
        <is>
          <t>66873390</t>
        </is>
      </c>
      <c r="E289" t="inlineStr">
        <is>
          <t>4</t>
        </is>
      </c>
      <c r="F289" t="inlineStr">
        <is>
          <t>10000133</t>
        </is>
      </c>
      <c r="H289" t="inlineStr"/>
      <c r="J289" t="n">
        <v>230</v>
      </c>
      <c r="K289" t="inlineStr"/>
      <c r="M289" t="inlineStr">
        <is>
          <t>M3</t>
        </is>
      </c>
      <c r="N289" t="inlineStr"/>
      <c r="P289" t="inlineStr">
        <is>
          <t>20190426</t>
        </is>
      </c>
      <c r="Q289" t="inlineStr">
        <is>
          <t>20250127</t>
        </is>
      </c>
    </row>
    <row r="290">
      <c r="A290" t="inlineStr">
        <is>
          <t>900002574D8366687339010000160</t>
        </is>
      </c>
      <c r="B290" t="inlineStr">
        <is>
          <t>900002574</t>
        </is>
      </c>
      <c r="C290" t="inlineStr">
        <is>
          <t>D836</t>
        </is>
      </c>
      <c r="D290" t="inlineStr">
        <is>
          <t>66873390</t>
        </is>
      </c>
      <c r="E290" t="inlineStr">
        <is>
          <t>4</t>
        </is>
      </c>
      <c r="F290" t="inlineStr">
        <is>
          <t>10000160</t>
        </is>
      </c>
      <c r="H290" t="inlineStr"/>
      <c r="J290" t="n">
        <v>230</v>
      </c>
      <c r="K290" t="inlineStr"/>
      <c r="M290" t="inlineStr">
        <is>
          <t>M3</t>
        </is>
      </c>
      <c r="N290" t="inlineStr"/>
      <c r="P290" t="inlineStr">
        <is>
          <t>20190426</t>
        </is>
      </c>
      <c r="Q290" t="inlineStr">
        <is>
          <t>20250127</t>
        </is>
      </c>
    </row>
    <row r="291">
      <c r="A291" t="inlineStr">
        <is>
          <t>900002574D8366687339010000357</t>
        </is>
      </c>
      <c r="B291" t="inlineStr">
        <is>
          <t>900002574</t>
        </is>
      </c>
      <c r="C291" t="inlineStr">
        <is>
          <t>D836</t>
        </is>
      </c>
      <c r="D291" t="inlineStr">
        <is>
          <t>66873390</t>
        </is>
      </c>
      <c r="E291" t="inlineStr">
        <is>
          <t>4</t>
        </is>
      </c>
      <c r="F291" t="inlineStr">
        <is>
          <t>10000357</t>
        </is>
      </c>
      <c r="H291" t="inlineStr"/>
      <c r="J291" t="n">
        <v>230</v>
      </c>
      <c r="K291" t="inlineStr"/>
      <c r="M291" t="inlineStr">
        <is>
          <t>M3</t>
        </is>
      </c>
      <c r="N291" t="inlineStr"/>
      <c r="P291" t="inlineStr">
        <is>
          <t>20190426</t>
        </is>
      </c>
      <c r="Q291" t="inlineStr">
        <is>
          <t>20250127</t>
        </is>
      </c>
    </row>
    <row r="292">
      <c r="A292" t="inlineStr">
        <is>
          <t>900002574D8366687339010000649</t>
        </is>
      </c>
      <c r="B292" t="inlineStr">
        <is>
          <t>900002574</t>
        </is>
      </c>
      <c r="C292" t="inlineStr">
        <is>
          <t>D836</t>
        </is>
      </c>
      <c r="D292" t="inlineStr">
        <is>
          <t>66873390</t>
        </is>
      </c>
      <c r="E292" t="inlineStr">
        <is>
          <t>4</t>
        </is>
      </c>
      <c r="F292" t="inlineStr">
        <is>
          <t>10000649</t>
        </is>
      </c>
      <c r="H292" t="inlineStr"/>
      <c r="J292" t="n">
        <v>230</v>
      </c>
      <c r="K292" t="inlineStr"/>
      <c r="M292" t="inlineStr">
        <is>
          <t>M3</t>
        </is>
      </c>
      <c r="N292" t="inlineStr"/>
      <c r="P292" t="inlineStr">
        <is>
          <t>20190426</t>
        </is>
      </c>
      <c r="Q292" t="inlineStr">
        <is>
          <t>20250127</t>
        </is>
      </c>
    </row>
    <row r="293">
      <c r="A293" t="inlineStr">
        <is>
          <t>900002574D8366687339010058345</t>
        </is>
      </c>
      <c r="B293" t="inlineStr">
        <is>
          <t>900002574</t>
        </is>
      </c>
      <c r="C293" t="inlineStr">
        <is>
          <t>D836</t>
        </is>
      </c>
      <c r="D293" t="inlineStr">
        <is>
          <t>66873390</t>
        </is>
      </c>
      <c r="E293" t="inlineStr">
        <is>
          <t>4</t>
        </is>
      </c>
      <c r="F293" t="inlineStr">
        <is>
          <t>10058345</t>
        </is>
      </c>
      <c r="H293" t="inlineStr"/>
      <c r="J293" t="n">
        <v>230</v>
      </c>
      <c r="K293" t="inlineStr"/>
      <c r="M293" t="inlineStr">
        <is>
          <t>M3</t>
        </is>
      </c>
      <c r="N293" t="inlineStr"/>
      <c r="P293" t="inlineStr">
        <is>
          <t>20190426</t>
        </is>
      </c>
      <c r="Q293" t="inlineStr">
        <is>
          <t>20250127</t>
        </is>
      </c>
    </row>
    <row r="294">
      <c r="A294" t="inlineStr">
        <is>
          <t>900002574D8366687550110000133</t>
        </is>
      </c>
      <c r="B294" t="inlineStr">
        <is>
          <t>900002574</t>
        </is>
      </c>
      <c r="C294" t="inlineStr">
        <is>
          <t>D836</t>
        </is>
      </c>
      <c r="D294" t="inlineStr">
        <is>
          <t>66875501</t>
        </is>
      </c>
      <c r="E294" t="inlineStr">
        <is>
          <t>4</t>
        </is>
      </c>
      <c r="F294" t="inlineStr">
        <is>
          <t>10000133</t>
        </is>
      </c>
      <c r="H294" t="inlineStr"/>
      <c r="J294" t="n">
        <v>406</v>
      </c>
      <c r="K294" t="inlineStr"/>
      <c r="M294" t="inlineStr">
        <is>
          <t>M3</t>
        </is>
      </c>
      <c r="N294" t="inlineStr"/>
      <c r="P294" t="inlineStr">
        <is>
          <t>20190426</t>
        </is>
      </c>
      <c r="Q294" t="inlineStr">
        <is>
          <t>20250127</t>
        </is>
      </c>
    </row>
    <row r="295">
      <c r="A295" t="inlineStr">
        <is>
          <t>900002574D8366687550110000623</t>
        </is>
      </c>
      <c r="B295" t="inlineStr">
        <is>
          <t>900002574</t>
        </is>
      </c>
      <c r="C295" t="inlineStr">
        <is>
          <t>D836</t>
        </is>
      </c>
      <c r="D295" t="inlineStr">
        <is>
          <t>66875501</t>
        </is>
      </c>
      <c r="E295" t="inlineStr">
        <is>
          <t>4</t>
        </is>
      </c>
      <c r="F295" t="inlineStr">
        <is>
          <t>10000623</t>
        </is>
      </c>
      <c r="H295" t="inlineStr"/>
      <c r="J295" t="n">
        <v>406</v>
      </c>
      <c r="K295" t="inlineStr"/>
      <c r="M295" t="inlineStr">
        <is>
          <t>M3</t>
        </is>
      </c>
      <c r="N295" t="inlineStr"/>
      <c r="P295" t="inlineStr">
        <is>
          <t>20190426</t>
        </is>
      </c>
      <c r="Q295" t="inlineStr">
        <is>
          <t>20250127</t>
        </is>
      </c>
    </row>
    <row r="296">
      <c r="A296" t="inlineStr">
        <is>
          <t>900002574D8366687550110000630</t>
        </is>
      </c>
      <c r="B296" t="inlineStr">
        <is>
          <t>900002574</t>
        </is>
      </c>
      <c r="C296" t="inlineStr">
        <is>
          <t>D836</t>
        </is>
      </c>
      <c r="D296" t="inlineStr">
        <is>
          <t>66875501</t>
        </is>
      </c>
      <c r="E296" t="inlineStr">
        <is>
          <t>4</t>
        </is>
      </c>
      <c r="F296" t="inlineStr">
        <is>
          <t>10000630</t>
        </is>
      </c>
      <c r="H296" t="inlineStr"/>
      <c r="J296" t="n">
        <v>406</v>
      </c>
      <c r="K296" t="inlineStr"/>
      <c r="M296" t="inlineStr">
        <is>
          <t>M3</t>
        </is>
      </c>
      <c r="N296" t="inlineStr"/>
      <c r="P296" t="inlineStr">
        <is>
          <t>20190426</t>
        </is>
      </c>
      <c r="Q296" t="inlineStr">
        <is>
          <t>20250127</t>
        </is>
      </c>
    </row>
    <row r="297">
      <c r="A297" t="inlineStr">
        <is>
          <t>900002574D8366687550110058345</t>
        </is>
      </c>
      <c r="B297" t="inlineStr">
        <is>
          <t>900002574</t>
        </is>
      </c>
      <c r="C297" t="inlineStr">
        <is>
          <t>D836</t>
        </is>
      </c>
      <c r="D297" t="inlineStr">
        <is>
          <t>66875501</t>
        </is>
      </c>
      <c r="E297" t="inlineStr">
        <is>
          <t>4</t>
        </is>
      </c>
      <c r="F297" t="inlineStr">
        <is>
          <t>10058345</t>
        </is>
      </c>
      <c r="H297" t="inlineStr"/>
      <c r="J297" t="n">
        <v>406</v>
      </c>
      <c r="K297" t="inlineStr"/>
      <c r="M297" t="inlineStr">
        <is>
          <t>M3</t>
        </is>
      </c>
      <c r="N297" t="inlineStr"/>
      <c r="P297" t="inlineStr">
        <is>
          <t>20190426</t>
        </is>
      </c>
      <c r="Q297" t="inlineStr">
        <is>
          <t>20250127</t>
        </is>
      </c>
    </row>
    <row r="298">
      <c r="A298" t="inlineStr">
        <is>
          <t>900002574D8366687807110000133</t>
        </is>
      </c>
      <c r="B298" t="inlineStr">
        <is>
          <t>900002574</t>
        </is>
      </c>
      <c r="C298" t="inlineStr">
        <is>
          <t>D836</t>
        </is>
      </c>
      <c r="D298" t="inlineStr">
        <is>
          <t>66878071</t>
        </is>
      </c>
      <c r="E298" t="inlineStr">
        <is>
          <t>4</t>
        </is>
      </c>
      <c r="F298" t="inlineStr">
        <is>
          <t>10000133</t>
        </is>
      </c>
      <c r="H298" t="inlineStr"/>
      <c r="J298" t="n">
        <v>348.44</v>
      </c>
      <c r="K298" t="inlineStr"/>
      <c r="M298" t="inlineStr">
        <is>
          <t>M3</t>
        </is>
      </c>
      <c r="N298" t="inlineStr"/>
      <c r="P298" t="inlineStr">
        <is>
          <t>20190426</t>
        </is>
      </c>
      <c r="Q298" t="inlineStr">
        <is>
          <t>20250127</t>
        </is>
      </c>
    </row>
    <row r="299">
      <c r="A299" t="inlineStr">
        <is>
          <t>900002574D8366687846210185476</t>
        </is>
      </c>
      <c r="B299" t="inlineStr">
        <is>
          <t>900002574</t>
        </is>
      </c>
      <c r="C299" t="inlineStr">
        <is>
          <t>D836</t>
        </is>
      </c>
      <c r="D299" t="inlineStr">
        <is>
          <t>66878462</t>
        </is>
      </c>
      <c r="E299" t="inlineStr">
        <is>
          <t>4</t>
        </is>
      </c>
      <c r="F299" t="inlineStr">
        <is>
          <t>10185476</t>
        </is>
      </c>
      <c r="H299" t="inlineStr"/>
      <c r="J299" t="n">
        <v>400</v>
      </c>
      <c r="K299" t="inlineStr"/>
      <c r="M299" t="inlineStr">
        <is>
          <t>M3</t>
        </is>
      </c>
      <c r="N299" t="inlineStr"/>
      <c r="P299" t="inlineStr">
        <is>
          <t>20230301</t>
        </is>
      </c>
      <c r="Q299" t="inlineStr">
        <is>
          <t>20251031</t>
        </is>
      </c>
    </row>
    <row r="300">
      <c r="A300" t="inlineStr">
        <is>
          <t>900002574D8366687846210185477</t>
        </is>
      </c>
      <c r="B300" t="inlineStr">
        <is>
          <t>900002574</t>
        </is>
      </c>
      <c r="C300" t="inlineStr">
        <is>
          <t>D836</t>
        </is>
      </c>
      <c r="D300" t="inlineStr">
        <is>
          <t>66878462</t>
        </is>
      </c>
      <c r="E300" t="inlineStr">
        <is>
          <t>4</t>
        </is>
      </c>
      <c r="F300" t="inlineStr">
        <is>
          <t>10185477</t>
        </is>
      </c>
      <c r="H300" t="inlineStr"/>
      <c r="J300" t="n">
        <v>400</v>
      </c>
      <c r="K300" t="inlineStr"/>
      <c r="M300" t="inlineStr">
        <is>
          <t>M3</t>
        </is>
      </c>
      <c r="N300" t="inlineStr"/>
      <c r="P300" t="inlineStr">
        <is>
          <t>20230301</t>
        </is>
      </c>
      <c r="Q300" t="inlineStr">
        <is>
          <t>20251031</t>
        </is>
      </c>
    </row>
    <row r="301">
      <c r="A301" t="inlineStr">
        <is>
          <t>900002574D8366687846210227598</t>
        </is>
      </c>
      <c r="B301" t="inlineStr">
        <is>
          <t>900002574</t>
        </is>
      </c>
      <c r="C301" t="inlineStr">
        <is>
          <t>D836</t>
        </is>
      </c>
      <c r="D301" t="inlineStr">
        <is>
          <t>66878462</t>
        </is>
      </c>
      <c r="E301" t="inlineStr">
        <is>
          <t>4</t>
        </is>
      </c>
      <c r="F301" t="inlineStr">
        <is>
          <t>10227598</t>
        </is>
      </c>
      <c r="H301" t="inlineStr"/>
      <c r="J301" t="n">
        <v>400</v>
      </c>
      <c r="K301" t="inlineStr"/>
      <c r="M301" t="inlineStr">
        <is>
          <t>M3</t>
        </is>
      </c>
      <c r="N301" t="inlineStr"/>
      <c r="P301" t="inlineStr">
        <is>
          <t>20230301</t>
        </is>
      </c>
      <c r="Q301" t="inlineStr">
        <is>
          <t>20251031</t>
        </is>
      </c>
    </row>
    <row r="302">
      <c r="A302" t="inlineStr">
        <is>
          <t>900002574D8366688153910000160</t>
        </is>
      </c>
      <c r="B302" t="inlineStr">
        <is>
          <t>900002574</t>
        </is>
      </c>
      <c r="C302" t="inlineStr">
        <is>
          <t>D836</t>
        </is>
      </c>
      <c r="D302" t="inlineStr">
        <is>
          <t>66881539</t>
        </is>
      </c>
      <c r="E302" t="inlineStr">
        <is>
          <t>4</t>
        </is>
      </c>
      <c r="F302" t="inlineStr">
        <is>
          <t>10000160</t>
        </is>
      </c>
      <c r="H302" t="inlineStr"/>
      <c r="J302" t="n">
        <v>244.82</v>
      </c>
      <c r="K302" t="inlineStr"/>
      <c r="M302" t="inlineStr">
        <is>
          <t>M3</t>
        </is>
      </c>
      <c r="N302" t="inlineStr"/>
      <c r="P302" t="inlineStr">
        <is>
          <t>20190426</t>
        </is>
      </c>
      <c r="Q302" t="inlineStr">
        <is>
          <t>20250127</t>
        </is>
      </c>
    </row>
    <row r="303">
      <c r="A303" t="inlineStr">
        <is>
          <t>900002574D8366688153910000357</t>
        </is>
      </c>
      <c r="B303" t="inlineStr">
        <is>
          <t>900002574</t>
        </is>
      </c>
      <c r="C303" t="inlineStr">
        <is>
          <t>D836</t>
        </is>
      </c>
      <c r="D303" t="inlineStr">
        <is>
          <t>66881539</t>
        </is>
      </c>
      <c r="E303" t="inlineStr">
        <is>
          <t>4</t>
        </is>
      </c>
      <c r="F303" t="inlineStr">
        <is>
          <t>10000357</t>
        </is>
      </c>
      <c r="H303" t="inlineStr"/>
      <c r="J303" t="n">
        <v>252.07</v>
      </c>
      <c r="K303" t="inlineStr"/>
      <c r="M303" t="inlineStr">
        <is>
          <t>M3</t>
        </is>
      </c>
      <c r="N303" t="inlineStr"/>
      <c r="P303" t="inlineStr">
        <is>
          <t>20190426</t>
        </is>
      </c>
      <c r="Q303" t="inlineStr">
        <is>
          <t>20250127</t>
        </is>
      </c>
    </row>
    <row r="304">
      <c r="A304" t="inlineStr">
        <is>
          <t>900002574D8366688514410000441</t>
        </is>
      </c>
      <c r="B304" t="inlineStr">
        <is>
          <t>900002574</t>
        </is>
      </c>
      <c r="C304" t="inlineStr">
        <is>
          <t>D836</t>
        </is>
      </c>
      <c r="D304" t="inlineStr">
        <is>
          <t>66885144</t>
        </is>
      </c>
      <c r="E304" t="inlineStr">
        <is>
          <t>4</t>
        </is>
      </c>
      <c r="F304" t="inlineStr">
        <is>
          <t>10000441</t>
        </is>
      </c>
      <c r="H304" t="inlineStr"/>
      <c r="J304" t="n">
        <v>364.13</v>
      </c>
      <c r="K304" t="inlineStr"/>
      <c r="M304" t="inlineStr">
        <is>
          <t>M3</t>
        </is>
      </c>
      <c r="N304" t="inlineStr"/>
      <c r="P304" t="inlineStr">
        <is>
          <t>20190426</t>
        </is>
      </c>
      <c r="Q304" t="inlineStr">
        <is>
          <t>20250127</t>
        </is>
      </c>
    </row>
    <row r="305">
      <c r="A305" t="inlineStr">
        <is>
          <t>900002574D8366688696910000160</t>
        </is>
      </c>
      <c r="B305" t="inlineStr">
        <is>
          <t>900002574</t>
        </is>
      </c>
      <c r="C305" t="inlineStr">
        <is>
          <t>D836</t>
        </is>
      </c>
      <c r="D305" t="inlineStr">
        <is>
          <t>66886969</t>
        </is>
      </c>
      <c r="E305" t="inlineStr">
        <is>
          <t>4</t>
        </is>
      </c>
      <c r="F305" t="inlineStr">
        <is>
          <t>10000160</t>
        </is>
      </c>
      <c r="H305" t="inlineStr"/>
      <c r="J305" t="n">
        <v>331.03</v>
      </c>
      <c r="K305" t="inlineStr"/>
      <c r="M305" t="inlineStr">
        <is>
          <t>M3</t>
        </is>
      </c>
      <c r="N305" t="inlineStr"/>
      <c r="P305" t="inlineStr">
        <is>
          <t>20190426</t>
        </is>
      </c>
      <c r="Q305" t="inlineStr">
        <is>
          <t>20250127</t>
        </is>
      </c>
    </row>
    <row r="306">
      <c r="A306" t="inlineStr">
        <is>
          <t>900002574D8366688696910000357</t>
        </is>
      </c>
      <c r="B306" t="inlineStr">
        <is>
          <t>900002574</t>
        </is>
      </c>
      <c r="C306" t="inlineStr">
        <is>
          <t>D836</t>
        </is>
      </c>
      <c r="D306" t="inlineStr">
        <is>
          <t>66886969</t>
        </is>
      </c>
      <c r="E306" t="inlineStr">
        <is>
          <t>4</t>
        </is>
      </c>
      <c r="F306" t="inlineStr">
        <is>
          <t>10000357</t>
        </is>
      </c>
      <c r="H306" t="inlineStr"/>
      <c r="J306" t="n">
        <v>315</v>
      </c>
      <c r="K306" t="inlineStr"/>
      <c r="M306" t="inlineStr">
        <is>
          <t>M3</t>
        </is>
      </c>
      <c r="N306" t="inlineStr"/>
      <c r="P306" t="inlineStr">
        <is>
          <t>20190426</t>
        </is>
      </c>
      <c r="Q306" t="inlineStr">
        <is>
          <t>20250127</t>
        </is>
      </c>
    </row>
    <row r="307">
      <c r="A307" t="inlineStr">
        <is>
          <t>900002574D8366688696910000649</t>
        </is>
      </c>
      <c r="B307" t="inlineStr">
        <is>
          <t>900002574</t>
        </is>
      </c>
      <c r="C307" t="inlineStr">
        <is>
          <t>D836</t>
        </is>
      </c>
      <c r="D307" t="inlineStr">
        <is>
          <t>66886969</t>
        </is>
      </c>
      <c r="E307" t="inlineStr">
        <is>
          <t>4</t>
        </is>
      </c>
      <c r="F307" t="inlineStr">
        <is>
          <t>10000649</t>
        </is>
      </c>
      <c r="H307" t="inlineStr"/>
      <c r="J307" t="n">
        <v>334.13</v>
      </c>
      <c r="K307" t="inlineStr"/>
      <c r="M307" t="inlineStr">
        <is>
          <t>M3</t>
        </is>
      </c>
      <c r="N307" t="inlineStr"/>
      <c r="P307" t="inlineStr">
        <is>
          <t>20190426</t>
        </is>
      </c>
      <c r="Q307" t="inlineStr">
        <is>
          <t>20250127</t>
        </is>
      </c>
    </row>
    <row r="308">
      <c r="A308" t="inlineStr">
        <is>
          <t>900002574D8366689471110000160</t>
        </is>
      </c>
      <c r="B308" t="inlineStr">
        <is>
          <t>900002574</t>
        </is>
      </c>
      <c r="C308" t="inlineStr">
        <is>
          <t>D836</t>
        </is>
      </c>
      <c r="D308" t="inlineStr">
        <is>
          <t>66894711</t>
        </is>
      </c>
      <c r="E308" t="inlineStr">
        <is>
          <t>4</t>
        </is>
      </c>
      <c r="F308" t="inlineStr">
        <is>
          <t>10000160</t>
        </is>
      </c>
      <c r="H308" t="inlineStr"/>
      <c r="J308" t="n">
        <v>230</v>
      </c>
      <c r="K308" t="inlineStr"/>
      <c r="M308" t="inlineStr">
        <is>
          <t>M3</t>
        </is>
      </c>
      <c r="N308" t="inlineStr"/>
      <c r="P308" t="inlineStr">
        <is>
          <t>20190426</t>
        </is>
      </c>
      <c r="Q308" t="inlineStr">
        <is>
          <t>20250127</t>
        </is>
      </c>
    </row>
    <row r="309">
      <c r="A309" t="inlineStr">
        <is>
          <t>900002574D8366689471110000206</t>
        </is>
      </c>
      <c r="B309" t="inlineStr">
        <is>
          <t>900002574</t>
        </is>
      </c>
      <c r="C309" t="inlineStr">
        <is>
          <t>D836</t>
        </is>
      </c>
      <c r="D309" t="inlineStr">
        <is>
          <t>66894711</t>
        </is>
      </c>
      <c r="E309" t="inlineStr">
        <is>
          <t>4</t>
        </is>
      </c>
      <c r="F309" t="inlineStr">
        <is>
          <t>10000206</t>
        </is>
      </c>
      <c r="H309" t="inlineStr"/>
      <c r="J309" t="n">
        <v>200</v>
      </c>
      <c r="K309" t="inlineStr"/>
      <c r="M309" t="inlineStr">
        <is>
          <t>M3</t>
        </is>
      </c>
      <c r="N309" t="inlineStr"/>
      <c r="P309" t="inlineStr">
        <is>
          <t>20190426</t>
        </is>
      </c>
      <c r="Q309" t="inlineStr">
        <is>
          <t>20250127</t>
        </is>
      </c>
    </row>
    <row r="310">
      <c r="A310" t="inlineStr">
        <is>
          <t>900002574D8366689471110000357</t>
        </is>
      </c>
      <c r="B310" t="inlineStr">
        <is>
          <t>900002574</t>
        </is>
      </c>
      <c r="C310" t="inlineStr">
        <is>
          <t>D836</t>
        </is>
      </c>
      <c r="D310" t="inlineStr">
        <is>
          <t>66894711</t>
        </is>
      </c>
      <c r="E310" t="inlineStr">
        <is>
          <t>4</t>
        </is>
      </c>
      <c r="F310" t="inlineStr">
        <is>
          <t>10000357</t>
        </is>
      </c>
      <c r="H310" t="inlineStr"/>
      <c r="J310" t="n">
        <v>230</v>
      </c>
      <c r="K310" t="inlineStr"/>
      <c r="M310" t="inlineStr">
        <is>
          <t>M3</t>
        </is>
      </c>
      <c r="N310" t="inlineStr"/>
      <c r="P310" t="inlineStr">
        <is>
          <t>20190426</t>
        </is>
      </c>
      <c r="Q310" t="inlineStr">
        <is>
          <t>20250127</t>
        </is>
      </c>
    </row>
    <row r="311">
      <c r="A311" t="inlineStr">
        <is>
          <t>900002574D8366689471110189325</t>
        </is>
      </c>
      <c r="B311" t="inlineStr">
        <is>
          <t>900002574</t>
        </is>
      </c>
      <c r="C311" t="inlineStr">
        <is>
          <t>D836</t>
        </is>
      </c>
      <c r="D311" t="inlineStr">
        <is>
          <t>66894711</t>
        </is>
      </c>
      <c r="E311" t="inlineStr">
        <is>
          <t>4</t>
        </is>
      </c>
      <c r="F311" t="inlineStr">
        <is>
          <t>10189325</t>
        </is>
      </c>
      <c r="H311" t="inlineStr"/>
      <c r="J311" t="n">
        <v>240</v>
      </c>
      <c r="K311" t="inlineStr"/>
      <c r="M311" t="inlineStr">
        <is>
          <t>M3</t>
        </is>
      </c>
      <c r="N311" t="inlineStr"/>
      <c r="P311" t="inlineStr">
        <is>
          <t>20190426</t>
        </is>
      </c>
      <c r="Q311" t="inlineStr">
        <is>
          <t>20250127</t>
        </is>
      </c>
    </row>
    <row r="312">
      <c r="A312" t="inlineStr">
        <is>
          <t>900002574D8366689746010000651</t>
        </is>
      </c>
      <c r="B312" t="inlineStr">
        <is>
          <t>900002574</t>
        </is>
      </c>
      <c r="C312" t="inlineStr">
        <is>
          <t>D836</t>
        </is>
      </c>
      <c r="D312" t="inlineStr">
        <is>
          <t>66897460</t>
        </is>
      </c>
      <c r="E312" t="inlineStr">
        <is>
          <t>4</t>
        </is>
      </c>
      <c r="F312" t="inlineStr">
        <is>
          <t>10000651</t>
        </is>
      </c>
      <c r="H312" t="inlineStr"/>
      <c r="J312" t="n">
        <v>313.79</v>
      </c>
      <c r="K312" t="inlineStr"/>
      <c r="M312" t="inlineStr">
        <is>
          <t>M3</t>
        </is>
      </c>
      <c r="N312" t="inlineStr"/>
      <c r="P312" t="inlineStr">
        <is>
          <t>20190426</t>
        </is>
      </c>
      <c r="Q312" t="inlineStr">
        <is>
          <t>20250127</t>
        </is>
      </c>
    </row>
    <row r="313">
      <c r="A313" t="inlineStr">
        <is>
          <t>900002574D8366689746010154416</t>
        </is>
      </c>
      <c r="B313" t="inlineStr">
        <is>
          <t>900002574</t>
        </is>
      </c>
      <c r="C313" t="inlineStr">
        <is>
          <t>D836</t>
        </is>
      </c>
      <c r="D313" t="inlineStr">
        <is>
          <t>66897460</t>
        </is>
      </c>
      <c r="E313" t="inlineStr">
        <is>
          <t>4</t>
        </is>
      </c>
      <c r="F313" t="inlineStr">
        <is>
          <t>10154416</t>
        </is>
      </c>
      <c r="H313" t="inlineStr"/>
      <c r="J313" t="n">
        <v>385</v>
      </c>
      <c r="K313" t="inlineStr"/>
      <c r="M313" t="inlineStr">
        <is>
          <t>M3</t>
        </is>
      </c>
      <c r="N313" t="inlineStr"/>
      <c r="P313" t="inlineStr">
        <is>
          <t>20190426</t>
        </is>
      </c>
      <c r="Q313" t="inlineStr">
        <is>
          <t>20250127</t>
        </is>
      </c>
    </row>
    <row r="314">
      <c r="A314" t="inlineStr">
        <is>
          <t>900002574D8366689746010183535</t>
        </is>
      </c>
      <c r="B314" t="inlineStr">
        <is>
          <t>900002574</t>
        </is>
      </c>
      <c r="C314" t="inlineStr">
        <is>
          <t>D836</t>
        </is>
      </c>
      <c r="D314" t="inlineStr">
        <is>
          <t>66897460</t>
        </is>
      </c>
      <c r="E314" t="inlineStr">
        <is>
          <t>4</t>
        </is>
      </c>
      <c r="F314" t="inlineStr">
        <is>
          <t>10183535</t>
        </is>
      </c>
      <c r="H314" t="inlineStr"/>
      <c r="J314" t="n">
        <v>445</v>
      </c>
      <c r="K314" t="inlineStr"/>
      <c r="M314" t="inlineStr">
        <is>
          <t>M3</t>
        </is>
      </c>
      <c r="N314" t="inlineStr"/>
      <c r="P314" t="inlineStr">
        <is>
          <t>20190426</t>
        </is>
      </c>
      <c r="Q314" t="inlineStr">
        <is>
          <t>20250127</t>
        </is>
      </c>
    </row>
    <row r="315">
      <c r="A315" t="inlineStr">
        <is>
          <t>900002574D8366689786710000160</t>
        </is>
      </c>
      <c r="B315" t="inlineStr">
        <is>
          <t>900002574</t>
        </is>
      </c>
      <c r="C315" t="inlineStr">
        <is>
          <t>D836</t>
        </is>
      </c>
      <c r="D315" t="inlineStr">
        <is>
          <t>66897867</t>
        </is>
      </c>
      <c r="E315" t="inlineStr">
        <is>
          <t>4</t>
        </is>
      </c>
      <c r="F315" t="inlineStr">
        <is>
          <t>10000160</t>
        </is>
      </c>
      <c r="H315" t="inlineStr"/>
      <c r="J315" t="n">
        <v>372.92</v>
      </c>
      <c r="K315" t="inlineStr"/>
      <c r="M315" t="inlineStr">
        <is>
          <t>M3</t>
        </is>
      </c>
      <c r="N315" t="inlineStr"/>
      <c r="P315" t="inlineStr">
        <is>
          <t>20190426</t>
        </is>
      </c>
      <c r="Q315" t="inlineStr">
        <is>
          <t>20250127</t>
        </is>
      </c>
    </row>
    <row r="316">
      <c r="A316" t="inlineStr">
        <is>
          <t>900002574D8366689786710000357</t>
        </is>
      </c>
      <c r="B316" t="inlineStr">
        <is>
          <t>900002574</t>
        </is>
      </c>
      <c r="C316" t="inlineStr">
        <is>
          <t>D836</t>
        </is>
      </c>
      <c r="D316" t="inlineStr">
        <is>
          <t>66897867</t>
        </is>
      </c>
      <c r="E316" t="inlineStr">
        <is>
          <t>4</t>
        </is>
      </c>
      <c r="F316" t="inlineStr">
        <is>
          <t>10000357</t>
        </is>
      </c>
      <c r="H316" t="inlineStr"/>
      <c r="J316" t="n">
        <v>372.92</v>
      </c>
      <c r="K316" t="inlineStr"/>
      <c r="M316" t="inlineStr">
        <is>
          <t>M3</t>
        </is>
      </c>
      <c r="N316" t="inlineStr"/>
      <c r="P316" t="inlineStr">
        <is>
          <t>20190426</t>
        </is>
      </c>
      <c r="Q316" t="inlineStr">
        <is>
          <t>20250127</t>
        </is>
      </c>
    </row>
    <row r="317">
      <c r="A317" t="inlineStr">
        <is>
          <t>900002574D8366689874510000160</t>
        </is>
      </c>
      <c r="B317" t="inlineStr">
        <is>
          <t>900002574</t>
        </is>
      </c>
      <c r="C317" t="inlineStr">
        <is>
          <t>D836</t>
        </is>
      </c>
      <c r="D317" t="inlineStr">
        <is>
          <t>66898745</t>
        </is>
      </c>
      <c r="E317" t="inlineStr">
        <is>
          <t>4</t>
        </is>
      </c>
      <c r="F317" t="inlineStr">
        <is>
          <t>10000160</t>
        </is>
      </c>
      <c r="H317" t="inlineStr"/>
      <c r="J317" t="n">
        <v>375</v>
      </c>
      <c r="K317" t="inlineStr"/>
      <c r="M317" t="inlineStr">
        <is>
          <t>M3</t>
        </is>
      </c>
      <c r="N317" t="inlineStr"/>
      <c r="P317" t="inlineStr">
        <is>
          <t>20201125</t>
        </is>
      </c>
      <c r="Q317" t="inlineStr">
        <is>
          <t>20251030</t>
        </is>
      </c>
    </row>
    <row r="318">
      <c r="A318" t="inlineStr">
        <is>
          <t>900002574D8366689874510000357</t>
        </is>
      </c>
      <c r="B318" t="inlineStr">
        <is>
          <t>900002574</t>
        </is>
      </c>
      <c r="C318" t="inlineStr">
        <is>
          <t>D836</t>
        </is>
      </c>
      <c r="D318" t="inlineStr">
        <is>
          <t>66898745</t>
        </is>
      </c>
      <c r="E318" t="inlineStr">
        <is>
          <t>4</t>
        </is>
      </c>
      <c r="F318" t="inlineStr">
        <is>
          <t>10000357</t>
        </is>
      </c>
      <c r="H318" t="inlineStr"/>
      <c r="J318" t="n">
        <v>375</v>
      </c>
      <c r="K318" t="inlineStr"/>
      <c r="M318" t="inlineStr">
        <is>
          <t>M3</t>
        </is>
      </c>
      <c r="N318" t="inlineStr"/>
      <c r="P318" t="inlineStr">
        <is>
          <t>20201125</t>
        </is>
      </c>
      <c r="Q318" t="inlineStr">
        <is>
          <t>20251030</t>
        </is>
      </c>
    </row>
    <row r="319">
      <c r="A319" t="inlineStr">
        <is>
          <t>900002574D8366690655810000133</t>
        </is>
      </c>
      <c r="B319" t="inlineStr">
        <is>
          <t>900002574</t>
        </is>
      </c>
      <c r="C319" t="inlineStr">
        <is>
          <t>D836</t>
        </is>
      </c>
      <c r="D319" t="inlineStr">
        <is>
          <t>66906558</t>
        </is>
      </c>
      <c r="E319" t="inlineStr">
        <is>
          <t>4</t>
        </is>
      </c>
      <c r="F319" t="inlineStr">
        <is>
          <t>10000133</t>
        </is>
      </c>
      <c r="H319" t="inlineStr"/>
      <c r="J319" t="n">
        <v>784</v>
      </c>
      <c r="K319" t="inlineStr"/>
      <c r="M319" t="inlineStr">
        <is>
          <t>M3</t>
        </is>
      </c>
      <c r="N319" t="inlineStr"/>
      <c r="P319" t="inlineStr">
        <is>
          <t>20190426</t>
        </is>
      </c>
      <c r="Q319" t="inlineStr">
        <is>
          <t>20250127</t>
        </is>
      </c>
    </row>
    <row r="320">
      <c r="A320" t="inlineStr">
        <is>
          <t>900002574D8366690655810000160</t>
        </is>
      </c>
      <c r="B320" t="inlineStr">
        <is>
          <t>900002574</t>
        </is>
      </c>
      <c r="C320" t="inlineStr">
        <is>
          <t>D836</t>
        </is>
      </c>
      <c r="D320" t="inlineStr">
        <is>
          <t>66906558</t>
        </is>
      </c>
      <c r="E320" t="inlineStr">
        <is>
          <t>4</t>
        </is>
      </c>
      <c r="F320" t="inlineStr">
        <is>
          <t>10000160</t>
        </is>
      </c>
      <c r="H320" t="inlineStr"/>
      <c r="J320" t="n">
        <v>195</v>
      </c>
      <c r="K320" t="inlineStr"/>
      <c r="M320" t="inlineStr">
        <is>
          <t>M3</t>
        </is>
      </c>
      <c r="N320" t="inlineStr"/>
      <c r="P320" t="inlineStr">
        <is>
          <t>20190426</t>
        </is>
      </c>
      <c r="Q320" t="inlineStr">
        <is>
          <t>20250127</t>
        </is>
      </c>
    </row>
    <row r="321">
      <c r="A321" t="inlineStr">
        <is>
          <t>900002574D8366690655810000357</t>
        </is>
      </c>
      <c r="B321" t="inlineStr">
        <is>
          <t>900002574</t>
        </is>
      </c>
      <c r="C321" t="inlineStr">
        <is>
          <t>D836</t>
        </is>
      </c>
      <c r="D321" t="inlineStr">
        <is>
          <t>66906558</t>
        </is>
      </c>
      <c r="E321" t="inlineStr">
        <is>
          <t>4</t>
        </is>
      </c>
      <c r="F321" t="inlineStr">
        <is>
          <t>10000357</t>
        </is>
      </c>
      <c r="H321" t="inlineStr"/>
      <c r="J321" t="n">
        <v>195</v>
      </c>
      <c r="K321" t="inlineStr"/>
      <c r="M321" t="inlineStr">
        <is>
          <t>M3</t>
        </is>
      </c>
      <c r="N321" t="inlineStr"/>
      <c r="P321" t="inlineStr">
        <is>
          <t>20190426</t>
        </is>
      </c>
      <c r="Q321" t="inlineStr">
        <is>
          <t>20250127</t>
        </is>
      </c>
    </row>
    <row r="322">
      <c r="A322" t="inlineStr">
        <is>
          <t>900002574D8366690655810000630</t>
        </is>
      </c>
      <c r="B322" t="inlineStr">
        <is>
          <t>900002574</t>
        </is>
      </c>
      <c r="C322" t="inlineStr">
        <is>
          <t>D836</t>
        </is>
      </c>
      <c r="D322" t="inlineStr">
        <is>
          <t>66906558</t>
        </is>
      </c>
      <c r="E322" t="inlineStr">
        <is>
          <t>4</t>
        </is>
      </c>
      <c r="F322" t="inlineStr">
        <is>
          <t>10000630</t>
        </is>
      </c>
      <c r="H322" t="inlineStr"/>
      <c r="J322" t="n">
        <v>260</v>
      </c>
      <c r="K322" t="inlineStr"/>
      <c r="M322" t="inlineStr">
        <is>
          <t>M3</t>
        </is>
      </c>
      <c r="N322" t="inlineStr"/>
      <c r="P322" t="inlineStr">
        <is>
          <t>20190426</t>
        </is>
      </c>
      <c r="Q322" t="inlineStr">
        <is>
          <t>20250127</t>
        </is>
      </c>
    </row>
    <row r="323">
      <c r="A323" t="inlineStr">
        <is>
          <t>900002574D8366690655810058345</t>
        </is>
      </c>
      <c r="B323" t="inlineStr">
        <is>
          <t>900002574</t>
        </is>
      </c>
      <c r="C323" t="inlineStr">
        <is>
          <t>D836</t>
        </is>
      </c>
      <c r="D323" t="inlineStr">
        <is>
          <t>66906558</t>
        </is>
      </c>
      <c r="E323" t="inlineStr">
        <is>
          <t>4</t>
        </is>
      </c>
      <c r="F323" t="inlineStr">
        <is>
          <t>10058345</t>
        </is>
      </c>
      <c r="H323" t="inlineStr"/>
      <c r="J323" t="n">
        <v>644</v>
      </c>
      <c r="K323" t="inlineStr"/>
      <c r="M323" t="inlineStr">
        <is>
          <t>M3</t>
        </is>
      </c>
      <c r="N323" t="inlineStr"/>
      <c r="P323" t="inlineStr">
        <is>
          <t>20190426</t>
        </is>
      </c>
      <c r="Q323" t="inlineStr">
        <is>
          <t>20250127</t>
        </is>
      </c>
    </row>
    <row r="324">
      <c r="A324" t="inlineStr">
        <is>
          <t>900002574D8366690808210000160</t>
        </is>
      </c>
      <c r="B324" t="inlineStr">
        <is>
          <t>900002574</t>
        </is>
      </c>
      <c r="C324" t="inlineStr">
        <is>
          <t>D836</t>
        </is>
      </c>
      <c r="D324" t="inlineStr">
        <is>
          <t>66908082</t>
        </is>
      </c>
      <c r="E324" t="inlineStr">
        <is>
          <t>4</t>
        </is>
      </c>
      <c r="F324" t="inlineStr">
        <is>
          <t>10000160</t>
        </is>
      </c>
      <c r="H324" t="inlineStr"/>
      <c r="J324" t="n">
        <v>60</v>
      </c>
      <c r="K324" t="inlineStr"/>
      <c r="M324" t="inlineStr">
        <is>
          <t>M3</t>
        </is>
      </c>
      <c r="N324" t="inlineStr"/>
      <c r="P324" t="inlineStr">
        <is>
          <t>20190426</t>
        </is>
      </c>
      <c r="Q324" t="inlineStr">
        <is>
          <t>20250127</t>
        </is>
      </c>
    </row>
    <row r="325">
      <c r="A325" t="inlineStr">
        <is>
          <t>900002574D8366690808210000357</t>
        </is>
      </c>
      <c r="B325" t="inlineStr">
        <is>
          <t>900002574</t>
        </is>
      </c>
      <c r="C325" t="inlineStr">
        <is>
          <t>D836</t>
        </is>
      </c>
      <c r="D325" t="inlineStr">
        <is>
          <t>66908082</t>
        </is>
      </c>
      <c r="E325" t="inlineStr">
        <is>
          <t>4</t>
        </is>
      </c>
      <c r="F325" t="inlineStr">
        <is>
          <t>10000357</t>
        </is>
      </c>
      <c r="H325" t="inlineStr"/>
      <c r="J325" t="n">
        <v>60</v>
      </c>
      <c r="K325" t="inlineStr"/>
      <c r="M325" t="inlineStr">
        <is>
          <t>M3</t>
        </is>
      </c>
      <c r="N325" t="inlineStr"/>
      <c r="P325" t="inlineStr">
        <is>
          <t>20190426</t>
        </is>
      </c>
      <c r="Q325" t="inlineStr">
        <is>
          <t>20250127</t>
        </is>
      </c>
    </row>
    <row r="326">
      <c r="A326" t="inlineStr">
        <is>
          <t>900002574D8366691209010000160</t>
        </is>
      </c>
      <c r="B326" t="inlineStr">
        <is>
          <t>900002574</t>
        </is>
      </c>
      <c r="C326" t="inlineStr">
        <is>
          <t>D836</t>
        </is>
      </c>
      <c r="D326" t="inlineStr">
        <is>
          <t>66912090</t>
        </is>
      </c>
      <c r="E326" t="inlineStr">
        <is>
          <t>4</t>
        </is>
      </c>
      <c r="F326" t="inlineStr">
        <is>
          <t>10000160</t>
        </is>
      </c>
      <c r="H326" t="inlineStr"/>
      <c r="J326" t="n">
        <v>60</v>
      </c>
      <c r="K326" t="inlineStr"/>
      <c r="M326" t="inlineStr">
        <is>
          <t>M3</t>
        </is>
      </c>
      <c r="N326" t="inlineStr"/>
      <c r="P326" t="inlineStr">
        <is>
          <t>20190426</t>
        </is>
      </c>
      <c r="Q326" t="inlineStr">
        <is>
          <t>20250127</t>
        </is>
      </c>
    </row>
    <row r="327">
      <c r="A327" t="inlineStr">
        <is>
          <t>900002574D8366691209010000206</t>
        </is>
      </c>
      <c r="B327" t="inlineStr">
        <is>
          <t>900002574</t>
        </is>
      </c>
      <c r="C327" t="inlineStr">
        <is>
          <t>D836</t>
        </is>
      </c>
      <c r="D327" t="inlineStr">
        <is>
          <t>66912090</t>
        </is>
      </c>
      <c r="E327" t="inlineStr">
        <is>
          <t>4</t>
        </is>
      </c>
      <c r="F327" t="inlineStr">
        <is>
          <t>10000206</t>
        </is>
      </c>
      <c r="H327" t="inlineStr"/>
      <c r="J327" t="n">
        <v>60</v>
      </c>
      <c r="K327" t="inlineStr"/>
      <c r="M327" t="inlineStr">
        <is>
          <t>M3</t>
        </is>
      </c>
      <c r="N327" t="inlineStr"/>
      <c r="P327" t="inlineStr">
        <is>
          <t>20190426</t>
        </is>
      </c>
      <c r="Q327" t="inlineStr">
        <is>
          <t>20250127</t>
        </is>
      </c>
    </row>
    <row r="328">
      <c r="A328" t="inlineStr">
        <is>
          <t>900002574D8366691209010000357</t>
        </is>
      </c>
      <c r="B328" t="inlineStr">
        <is>
          <t>900002574</t>
        </is>
      </c>
      <c r="C328" t="inlineStr">
        <is>
          <t>D836</t>
        </is>
      </c>
      <c r="D328" t="inlineStr">
        <is>
          <t>66912090</t>
        </is>
      </c>
      <c r="E328" t="inlineStr">
        <is>
          <t>4</t>
        </is>
      </c>
      <c r="F328" t="inlineStr">
        <is>
          <t>10000357</t>
        </is>
      </c>
      <c r="H328" t="inlineStr"/>
      <c r="J328" t="n">
        <v>60</v>
      </c>
      <c r="K328" t="inlineStr"/>
      <c r="M328" t="inlineStr">
        <is>
          <t>M3</t>
        </is>
      </c>
      <c r="N328" t="inlineStr"/>
      <c r="P328" t="inlineStr">
        <is>
          <t>20190426</t>
        </is>
      </c>
      <c r="Q328" t="inlineStr">
        <is>
          <t>20250127</t>
        </is>
      </c>
    </row>
    <row r="329">
      <c r="A329" t="inlineStr">
        <is>
          <t>900002574D8366691619010000160</t>
        </is>
      </c>
      <c r="B329" t="inlineStr">
        <is>
          <t>900002574</t>
        </is>
      </c>
      <c r="C329" t="inlineStr">
        <is>
          <t>D836</t>
        </is>
      </c>
      <c r="D329" t="inlineStr">
        <is>
          <t>66916190</t>
        </is>
      </c>
      <c r="E329" t="inlineStr">
        <is>
          <t>4</t>
        </is>
      </c>
      <c r="F329" t="inlineStr">
        <is>
          <t>10000160</t>
        </is>
      </c>
      <c r="H329" t="inlineStr"/>
      <c r="J329" t="n">
        <v>264</v>
      </c>
      <c r="K329" t="inlineStr"/>
      <c r="M329" t="inlineStr">
        <is>
          <t>M3</t>
        </is>
      </c>
      <c r="N329" t="inlineStr"/>
      <c r="P329" t="inlineStr">
        <is>
          <t>20190426</t>
        </is>
      </c>
      <c r="Q329" t="inlineStr">
        <is>
          <t>20250127</t>
        </is>
      </c>
    </row>
    <row r="330">
      <c r="A330" t="inlineStr">
        <is>
          <t>900002574D8366691619010000206</t>
        </is>
      </c>
      <c r="B330" t="inlineStr">
        <is>
          <t>900002574</t>
        </is>
      </c>
      <c r="C330" t="inlineStr">
        <is>
          <t>D836</t>
        </is>
      </c>
      <c r="D330" t="inlineStr">
        <is>
          <t>66916190</t>
        </is>
      </c>
      <c r="E330" t="inlineStr">
        <is>
          <t>4</t>
        </is>
      </c>
      <c r="F330" t="inlineStr">
        <is>
          <t>10000206</t>
        </is>
      </c>
      <c r="H330" t="inlineStr"/>
      <c r="J330" t="n">
        <v>264</v>
      </c>
      <c r="K330" t="inlineStr"/>
      <c r="M330" t="inlineStr">
        <is>
          <t>M3</t>
        </is>
      </c>
      <c r="N330" t="inlineStr"/>
      <c r="P330" t="inlineStr">
        <is>
          <t>20190426</t>
        </is>
      </c>
      <c r="Q330" t="inlineStr">
        <is>
          <t>20250127</t>
        </is>
      </c>
    </row>
    <row r="331">
      <c r="A331" t="inlineStr">
        <is>
          <t>900002574D8366691619010000357</t>
        </is>
      </c>
      <c r="B331" t="inlineStr">
        <is>
          <t>900002574</t>
        </is>
      </c>
      <c r="C331" t="inlineStr">
        <is>
          <t>D836</t>
        </is>
      </c>
      <c r="D331" t="inlineStr">
        <is>
          <t>66916190</t>
        </is>
      </c>
      <c r="E331" t="inlineStr">
        <is>
          <t>4</t>
        </is>
      </c>
      <c r="F331" t="inlineStr">
        <is>
          <t>10000357</t>
        </is>
      </c>
      <c r="H331" t="inlineStr"/>
      <c r="J331" t="n">
        <v>264</v>
      </c>
      <c r="K331" t="inlineStr"/>
      <c r="M331" t="inlineStr">
        <is>
          <t>M3</t>
        </is>
      </c>
      <c r="N331" t="inlineStr"/>
      <c r="P331" t="inlineStr">
        <is>
          <t>20190426</t>
        </is>
      </c>
      <c r="Q331" t="inlineStr">
        <is>
          <t>20250127</t>
        </is>
      </c>
    </row>
    <row r="332">
      <c r="A332" t="inlineStr">
        <is>
          <t>900002574D8366691627910000133</t>
        </is>
      </c>
      <c r="B332" t="inlineStr">
        <is>
          <t>900002574</t>
        </is>
      </c>
      <c r="C332" t="inlineStr">
        <is>
          <t>D836</t>
        </is>
      </c>
      <c r="D332" t="inlineStr">
        <is>
          <t>66916279</t>
        </is>
      </c>
      <c r="E332" t="inlineStr">
        <is>
          <t>4</t>
        </is>
      </c>
      <c r="F332" t="inlineStr">
        <is>
          <t>10000133</t>
        </is>
      </c>
      <c r="H332" t="inlineStr"/>
      <c r="J332" t="n">
        <v>510.69</v>
      </c>
      <c r="K332" t="inlineStr"/>
      <c r="M332" t="inlineStr">
        <is>
          <t>M3</t>
        </is>
      </c>
      <c r="N332" t="inlineStr"/>
      <c r="P332" t="inlineStr">
        <is>
          <t>20190426</t>
        </is>
      </c>
      <c r="Q332" t="inlineStr">
        <is>
          <t>20250127</t>
        </is>
      </c>
    </row>
    <row r="333">
      <c r="A333" t="inlineStr">
        <is>
          <t>900002574D8366691627910000160</t>
        </is>
      </c>
      <c r="B333" t="inlineStr">
        <is>
          <t>900002574</t>
        </is>
      </c>
      <c r="C333" t="inlineStr">
        <is>
          <t>D836</t>
        </is>
      </c>
      <c r="D333" t="inlineStr">
        <is>
          <t>66916279</t>
        </is>
      </c>
      <c r="E333" t="inlineStr">
        <is>
          <t>4</t>
        </is>
      </c>
      <c r="F333" t="inlineStr">
        <is>
          <t>10000160</t>
        </is>
      </c>
      <c r="H333" t="inlineStr"/>
      <c r="J333" t="n">
        <v>417.24</v>
      </c>
      <c r="K333" t="inlineStr"/>
      <c r="M333" t="inlineStr">
        <is>
          <t>M3</t>
        </is>
      </c>
      <c r="N333" t="inlineStr"/>
      <c r="P333" t="inlineStr">
        <is>
          <t>20190426</t>
        </is>
      </c>
      <c r="Q333" t="inlineStr">
        <is>
          <t>20250127</t>
        </is>
      </c>
    </row>
    <row r="334">
      <c r="A334" t="inlineStr">
        <is>
          <t>900002574D8366691627910000284</t>
        </is>
      </c>
      <c r="B334" t="inlineStr">
        <is>
          <t>900002574</t>
        </is>
      </c>
      <c r="C334" t="inlineStr">
        <is>
          <t>D836</t>
        </is>
      </c>
      <c r="D334" t="inlineStr">
        <is>
          <t>66916279</t>
        </is>
      </c>
      <c r="E334" t="inlineStr">
        <is>
          <t>4</t>
        </is>
      </c>
      <c r="F334" t="inlineStr">
        <is>
          <t>10000284</t>
        </is>
      </c>
      <c r="H334" t="inlineStr"/>
      <c r="J334" t="n">
        <v>620</v>
      </c>
      <c r="K334" t="inlineStr"/>
      <c r="M334" t="inlineStr">
        <is>
          <t>M3</t>
        </is>
      </c>
      <c r="N334" t="inlineStr"/>
      <c r="P334" t="inlineStr">
        <is>
          <t>20190426</t>
        </is>
      </c>
      <c r="Q334" t="inlineStr">
        <is>
          <t>20250127</t>
        </is>
      </c>
    </row>
    <row r="335">
      <c r="A335" t="inlineStr">
        <is>
          <t>900002574D8366691627910000357</t>
        </is>
      </c>
      <c r="B335" t="inlineStr">
        <is>
          <t>900002574</t>
        </is>
      </c>
      <c r="C335" t="inlineStr">
        <is>
          <t>D836</t>
        </is>
      </c>
      <c r="D335" t="inlineStr">
        <is>
          <t>66916279</t>
        </is>
      </c>
      <c r="E335" t="inlineStr">
        <is>
          <t>4</t>
        </is>
      </c>
      <c r="F335" t="inlineStr">
        <is>
          <t>10000357</t>
        </is>
      </c>
      <c r="H335" t="inlineStr"/>
      <c r="J335" t="n">
        <v>417.24</v>
      </c>
      <c r="K335" t="inlineStr"/>
      <c r="M335" t="inlineStr">
        <is>
          <t>M3</t>
        </is>
      </c>
      <c r="N335" t="inlineStr"/>
      <c r="P335" t="inlineStr">
        <is>
          <t>20190426</t>
        </is>
      </c>
      <c r="Q335" t="inlineStr">
        <is>
          <t>20250127</t>
        </is>
      </c>
    </row>
    <row r="336">
      <c r="A336" t="inlineStr">
        <is>
          <t>900002574D8366691627910058345</t>
        </is>
      </c>
      <c r="B336" t="inlineStr">
        <is>
          <t>900002574</t>
        </is>
      </c>
      <c r="C336" t="inlineStr">
        <is>
          <t>D836</t>
        </is>
      </c>
      <c r="D336" t="inlineStr">
        <is>
          <t>66916279</t>
        </is>
      </c>
      <c r="E336" t="inlineStr">
        <is>
          <t>4</t>
        </is>
      </c>
      <c r="F336" t="inlineStr">
        <is>
          <t>10058345</t>
        </is>
      </c>
      <c r="H336" t="inlineStr"/>
      <c r="J336" t="n">
        <v>510.69</v>
      </c>
      <c r="K336" t="inlineStr"/>
      <c r="M336" t="inlineStr">
        <is>
          <t>M3</t>
        </is>
      </c>
      <c r="N336" t="inlineStr"/>
      <c r="P336" t="inlineStr">
        <is>
          <t>20190426</t>
        </is>
      </c>
      <c r="Q336" t="inlineStr">
        <is>
          <t>20250127</t>
        </is>
      </c>
    </row>
    <row r="337">
      <c r="A337" t="inlineStr">
        <is>
          <t>900002574D8366693331310000133</t>
        </is>
      </c>
      <c r="B337" t="inlineStr">
        <is>
          <t>900002574</t>
        </is>
      </c>
      <c r="C337" t="inlineStr">
        <is>
          <t>D836</t>
        </is>
      </c>
      <c r="D337" t="inlineStr">
        <is>
          <t>66933313</t>
        </is>
      </c>
      <c r="E337" t="inlineStr">
        <is>
          <t>4</t>
        </is>
      </c>
      <c r="F337" t="inlineStr">
        <is>
          <t>10000133</t>
        </is>
      </c>
      <c r="H337" t="inlineStr"/>
      <c r="J337" t="n">
        <v>154.89</v>
      </c>
      <c r="K337" t="inlineStr"/>
      <c r="M337" t="inlineStr">
        <is>
          <t>TN</t>
        </is>
      </c>
      <c r="N337" t="inlineStr"/>
      <c r="P337" t="inlineStr">
        <is>
          <t>20190426</t>
        </is>
      </c>
      <c r="Q337" t="inlineStr">
        <is>
          <t>20250127</t>
        </is>
      </c>
    </row>
    <row r="338">
      <c r="A338" t="inlineStr">
        <is>
          <t>900002574D8366693331310000160</t>
        </is>
      </c>
      <c r="B338" t="inlineStr">
        <is>
          <t>900002574</t>
        </is>
      </c>
      <c r="C338" t="inlineStr">
        <is>
          <t>D836</t>
        </is>
      </c>
      <c r="D338" t="inlineStr">
        <is>
          <t>66933313</t>
        </is>
      </c>
      <c r="E338" t="inlineStr">
        <is>
          <t>4</t>
        </is>
      </c>
      <c r="F338" t="inlineStr">
        <is>
          <t>10000160</t>
        </is>
      </c>
      <c r="H338" t="inlineStr"/>
      <c r="J338" t="n">
        <v>107.49</v>
      </c>
      <c r="K338" t="inlineStr"/>
      <c r="M338" t="inlineStr">
        <is>
          <t>TN</t>
        </is>
      </c>
      <c r="N338" t="inlineStr"/>
      <c r="P338" t="inlineStr">
        <is>
          <t>20190426</t>
        </is>
      </c>
      <c r="Q338" t="inlineStr">
        <is>
          <t>20250127</t>
        </is>
      </c>
    </row>
    <row r="339">
      <c r="A339" t="inlineStr">
        <is>
          <t>900002574D8366693331310000357</t>
        </is>
      </c>
      <c r="B339" t="inlineStr">
        <is>
          <t>900002574</t>
        </is>
      </c>
      <c r="C339" t="inlineStr">
        <is>
          <t>D836</t>
        </is>
      </c>
      <c r="D339" t="inlineStr">
        <is>
          <t>66933313</t>
        </is>
      </c>
      <c r="E339" t="inlineStr">
        <is>
          <t>4</t>
        </is>
      </c>
      <c r="F339" t="inlineStr">
        <is>
          <t>10000357</t>
        </is>
      </c>
      <c r="H339" t="inlineStr"/>
      <c r="J339" t="n">
        <v>119.13</v>
      </c>
      <c r="K339" t="inlineStr"/>
      <c r="M339" t="inlineStr">
        <is>
          <t>TN</t>
        </is>
      </c>
      <c r="N339" t="inlineStr"/>
      <c r="P339" t="inlineStr">
        <is>
          <t>20190426</t>
        </is>
      </c>
      <c r="Q339" t="inlineStr">
        <is>
          <t>20250127</t>
        </is>
      </c>
    </row>
    <row r="340">
      <c r="A340" t="inlineStr">
        <is>
          <t>900002574D8366693331310000623</t>
        </is>
      </c>
      <c r="B340" t="inlineStr">
        <is>
          <t>900002574</t>
        </is>
      </c>
      <c r="C340" t="inlineStr">
        <is>
          <t>D836</t>
        </is>
      </c>
      <c r="D340" t="inlineStr">
        <is>
          <t>66933313</t>
        </is>
      </c>
      <c r="E340" t="inlineStr">
        <is>
          <t>4</t>
        </is>
      </c>
      <c r="F340" t="inlineStr">
        <is>
          <t>10000623</t>
        </is>
      </c>
      <c r="H340" t="inlineStr"/>
      <c r="J340" t="n">
        <v>154.89</v>
      </c>
      <c r="K340" t="inlineStr"/>
      <c r="M340" t="inlineStr">
        <is>
          <t>TN</t>
        </is>
      </c>
      <c r="N340" t="inlineStr"/>
      <c r="P340" t="inlineStr">
        <is>
          <t>20190426</t>
        </is>
      </c>
      <c r="Q340" t="inlineStr">
        <is>
          <t>20250127</t>
        </is>
      </c>
    </row>
    <row r="341">
      <c r="A341" t="inlineStr">
        <is>
          <t>900002574D8366694072010000133</t>
        </is>
      </c>
      <c r="B341" t="inlineStr">
        <is>
          <t>900002574</t>
        </is>
      </c>
      <c r="C341" t="inlineStr">
        <is>
          <t>D836</t>
        </is>
      </c>
      <c r="D341" t="inlineStr">
        <is>
          <t>66940720</t>
        </is>
      </c>
      <c r="E341" t="inlineStr">
        <is>
          <t>4</t>
        </is>
      </c>
      <c r="F341" t="inlineStr">
        <is>
          <t>10000133</t>
        </is>
      </c>
      <c r="H341" t="inlineStr"/>
      <c r="J341" t="n">
        <v>784</v>
      </c>
      <c r="K341" t="inlineStr"/>
      <c r="M341" t="inlineStr">
        <is>
          <t>M3</t>
        </is>
      </c>
      <c r="N341" t="inlineStr"/>
      <c r="P341" t="inlineStr">
        <is>
          <t>20211008</t>
        </is>
      </c>
      <c r="Q341" t="inlineStr">
        <is>
          <t>20251030</t>
        </is>
      </c>
    </row>
    <row r="342">
      <c r="A342" t="inlineStr">
        <is>
          <t>900002574D8366694072010058345</t>
        </is>
      </c>
      <c r="B342" t="inlineStr">
        <is>
          <t>900002574</t>
        </is>
      </c>
      <c r="C342" t="inlineStr">
        <is>
          <t>D836</t>
        </is>
      </c>
      <c r="D342" t="inlineStr">
        <is>
          <t>66940720</t>
        </is>
      </c>
      <c r="E342" t="inlineStr">
        <is>
          <t>4</t>
        </is>
      </c>
      <c r="F342" t="inlineStr">
        <is>
          <t>10058345</t>
        </is>
      </c>
      <c r="H342" t="inlineStr"/>
      <c r="J342" t="n">
        <v>644</v>
      </c>
      <c r="K342" t="inlineStr"/>
      <c r="M342" t="inlineStr">
        <is>
          <t>M3</t>
        </is>
      </c>
      <c r="N342" t="inlineStr"/>
      <c r="P342" t="inlineStr">
        <is>
          <t>20211008</t>
        </is>
      </c>
      <c r="Q342" t="inlineStr">
        <is>
          <t>20251030</t>
        </is>
      </c>
    </row>
    <row r="343">
      <c r="A343" t="inlineStr">
        <is>
          <t>900002574D8366694907110000133</t>
        </is>
      </c>
      <c r="B343" t="inlineStr">
        <is>
          <t>900002574</t>
        </is>
      </c>
      <c r="C343" t="inlineStr">
        <is>
          <t>D836</t>
        </is>
      </c>
      <c r="D343" t="inlineStr">
        <is>
          <t>66949071</t>
        </is>
      </c>
      <c r="E343" t="inlineStr">
        <is>
          <t>4</t>
        </is>
      </c>
      <c r="F343" t="inlineStr">
        <is>
          <t>10000133</t>
        </is>
      </c>
      <c r="H343" t="inlineStr"/>
      <c r="J343" t="n">
        <v>595</v>
      </c>
      <c r="K343" t="inlineStr"/>
      <c r="M343" t="inlineStr">
        <is>
          <t>M3</t>
        </is>
      </c>
      <c r="N343" t="inlineStr"/>
      <c r="P343" t="inlineStr">
        <is>
          <t>20190426</t>
        </is>
      </c>
      <c r="Q343" t="inlineStr">
        <is>
          <t>20250127</t>
        </is>
      </c>
    </row>
    <row r="344">
      <c r="A344" t="inlineStr">
        <is>
          <t>900002574D8366694907110000160</t>
        </is>
      </c>
      <c r="B344" t="inlineStr">
        <is>
          <t>900002574</t>
        </is>
      </c>
      <c r="C344" t="inlineStr">
        <is>
          <t>D836</t>
        </is>
      </c>
      <c r="D344" t="inlineStr">
        <is>
          <t>66949071</t>
        </is>
      </c>
      <c r="E344" t="inlineStr">
        <is>
          <t>4</t>
        </is>
      </c>
      <c r="F344" t="inlineStr">
        <is>
          <t>10000160</t>
        </is>
      </c>
      <c r="H344" t="inlineStr"/>
      <c r="J344" t="n">
        <v>280</v>
      </c>
      <c r="K344" t="inlineStr"/>
      <c r="M344" t="inlineStr">
        <is>
          <t>M3</t>
        </is>
      </c>
      <c r="N344" t="inlineStr"/>
      <c r="P344" t="inlineStr">
        <is>
          <t>20190426</t>
        </is>
      </c>
      <c r="Q344" t="inlineStr">
        <is>
          <t>20250127</t>
        </is>
      </c>
    </row>
    <row r="345">
      <c r="A345" t="inlineStr">
        <is>
          <t>900002574D8366694918610000133</t>
        </is>
      </c>
      <c r="B345" t="inlineStr">
        <is>
          <t>900002574</t>
        </is>
      </c>
      <c r="C345" t="inlineStr">
        <is>
          <t>D836</t>
        </is>
      </c>
      <c r="D345" t="inlineStr">
        <is>
          <t>66949186</t>
        </is>
      </c>
      <c r="E345" t="inlineStr">
        <is>
          <t>4</t>
        </is>
      </c>
      <c r="F345" t="inlineStr">
        <is>
          <t>10000133</t>
        </is>
      </c>
      <c r="H345" t="inlineStr"/>
      <c r="J345" t="n">
        <v>400</v>
      </c>
      <c r="K345" t="inlineStr"/>
      <c r="M345" t="inlineStr">
        <is>
          <t>M3</t>
        </is>
      </c>
      <c r="N345" t="inlineStr"/>
      <c r="P345" t="inlineStr">
        <is>
          <t>20190426</t>
        </is>
      </c>
      <c r="Q345" t="inlineStr">
        <is>
          <t>20250127</t>
        </is>
      </c>
    </row>
    <row r="346">
      <c r="A346" t="inlineStr">
        <is>
          <t>900002574D8366694918610000160</t>
        </is>
      </c>
      <c r="B346" t="inlineStr">
        <is>
          <t>900002574</t>
        </is>
      </c>
      <c r="C346" t="inlineStr">
        <is>
          <t>D836</t>
        </is>
      </c>
      <c r="D346" t="inlineStr">
        <is>
          <t>66949186</t>
        </is>
      </c>
      <c r="E346" t="inlineStr">
        <is>
          <t>4</t>
        </is>
      </c>
      <c r="F346" t="inlineStr">
        <is>
          <t>10000160</t>
        </is>
      </c>
      <c r="H346" t="inlineStr"/>
      <c r="J346" t="n">
        <v>250</v>
      </c>
      <c r="K346" t="inlineStr"/>
      <c r="M346" t="inlineStr">
        <is>
          <t>M3</t>
        </is>
      </c>
      <c r="N346" t="inlineStr"/>
      <c r="P346" t="inlineStr">
        <is>
          <t>20190426</t>
        </is>
      </c>
      <c r="Q346" t="inlineStr">
        <is>
          <t>20250127</t>
        </is>
      </c>
    </row>
    <row r="347">
      <c r="A347" t="inlineStr">
        <is>
          <t>900002574D8366694918610000357</t>
        </is>
      </c>
      <c r="B347" t="inlineStr">
        <is>
          <t>900002574</t>
        </is>
      </c>
      <c r="C347" t="inlineStr">
        <is>
          <t>D836</t>
        </is>
      </c>
      <c r="D347" t="inlineStr">
        <is>
          <t>66949186</t>
        </is>
      </c>
      <c r="E347" t="inlineStr">
        <is>
          <t>4</t>
        </is>
      </c>
      <c r="F347" t="inlineStr">
        <is>
          <t>10000357</t>
        </is>
      </c>
      <c r="H347" t="inlineStr"/>
      <c r="J347" t="n">
        <v>250</v>
      </c>
      <c r="K347" t="inlineStr"/>
      <c r="M347" t="inlineStr">
        <is>
          <t>M3</t>
        </is>
      </c>
      <c r="N347" t="inlineStr"/>
      <c r="P347" t="inlineStr">
        <is>
          <t>20190426</t>
        </is>
      </c>
      <c r="Q347" t="inlineStr">
        <is>
          <t>20250127</t>
        </is>
      </c>
    </row>
    <row r="348">
      <c r="A348" t="inlineStr">
        <is>
          <t>900002574D8366694918610000623</t>
        </is>
      </c>
      <c r="B348" t="inlineStr">
        <is>
          <t>900002574</t>
        </is>
      </c>
      <c r="C348" t="inlineStr">
        <is>
          <t>D836</t>
        </is>
      </c>
      <c r="D348" t="inlineStr">
        <is>
          <t>66949186</t>
        </is>
      </c>
      <c r="E348" t="inlineStr">
        <is>
          <t>4</t>
        </is>
      </c>
      <c r="F348" t="inlineStr">
        <is>
          <t>10000623</t>
        </is>
      </c>
      <c r="H348" t="inlineStr"/>
      <c r="J348" t="n">
        <v>400</v>
      </c>
      <c r="K348" t="inlineStr"/>
      <c r="M348" t="inlineStr">
        <is>
          <t>M3</t>
        </is>
      </c>
      <c r="N348" t="inlineStr"/>
      <c r="P348" t="inlineStr">
        <is>
          <t>20190426</t>
        </is>
      </c>
      <c r="Q348" t="inlineStr">
        <is>
          <t>20250127</t>
        </is>
      </c>
    </row>
    <row r="349">
      <c r="A349" t="inlineStr">
        <is>
          <t>900002574D8366695125510000160</t>
        </is>
      </c>
      <c r="B349" t="inlineStr">
        <is>
          <t>900002574</t>
        </is>
      </c>
      <c r="C349" t="inlineStr">
        <is>
          <t>D836</t>
        </is>
      </c>
      <c r="D349" t="inlineStr">
        <is>
          <t>66951255</t>
        </is>
      </c>
      <c r="E349" t="inlineStr">
        <is>
          <t>4</t>
        </is>
      </c>
      <c r="F349" t="inlineStr">
        <is>
          <t>10000160</t>
        </is>
      </c>
      <c r="H349" t="inlineStr"/>
      <c r="J349" t="n">
        <v>462.34</v>
      </c>
      <c r="K349" t="inlineStr"/>
      <c r="M349" t="inlineStr">
        <is>
          <t>M3</t>
        </is>
      </c>
      <c r="N349" t="inlineStr"/>
      <c r="P349" t="inlineStr">
        <is>
          <t>20190426</t>
        </is>
      </c>
      <c r="Q349" t="inlineStr">
        <is>
          <t>20250127</t>
        </is>
      </c>
    </row>
    <row r="350">
      <c r="A350" t="inlineStr">
        <is>
          <t>900002574D8366695125510000357</t>
        </is>
      </c>
      <c r="B350" t="inlineStr">
        <is>
          <t>900002574</t>
        </is>
      </c>
      <c r="C350" t="inlineStr">
        <is>
          <t>D836</t>
        </is>
      </c>
      <c r="D350" t="inlineStr">
        <is>
          <t>66951255</t>
        </is>
      </c>
      <c r="E350" t="inlineStr">
        <is>
          <t>4</t>
        </is>
      </c>
      <c r="F350" t="inlineStr">
        <is>
          <t>10000357</t>
        </is>
      </c>
      <c r="H350" t="inlineStr"/>
      <c r="J350" t="n">
        <v>462.34</v>
      </c>
      <c r="K350" t="inlineStr"/>
      <c r="M350" t="inlineStr">
        <is>
          <t>M3</t>
        </is>
      </c>
      <c r="N350" t="inlineStr"/>
      <c r="P350" t="inlineStr">
        <is>
          <t>20190426</t>
        </is>
      </c>
      <c r="Q350" t="inlineStr">
        <is>
          <t>20250127</t>
        </is>
      </c>
    </row>
    <row r="351">
      <c r="A351" t="inlineStr">
        <is>
          <t>900002574D8366697614010000133</t>
        </is>
      </c>
      <c r="B351" t="inlineStr">
        <is>
          <t>900002574</t>
        </is>
      </c>
      <c r="C351" t="inlineStr">
        <is>
          <t>D836</t>
        </is>
      </c>
      <c r="D351" t="inlineStr">
        <is>
          <t>66976140</t>
        </is>
      </c>
      <c r="E351" t="inlineStr">
        <is>
          <t>4</t>
        </is>
      </c>
      <c r="F351" t="inlineStr">
        <is>
          <t>10000133</t>
        </is>
      </c>
      <c r="H351" t="inlineStr"/>
      <c r="J351" t="n">
        <v>640</v>
      </c>
      <c r="K351" t="inlineStr"/>
      <c r="M351" t="inlineStr">
        <is>
          <t>M3</t>
        </is>
      </c>
      <c r="N351" t="inlineStr"/>
      <c r="P351" t="inlineStr">
        <is>
          <t>20190426</t>
        </is>
      </c>
      <c r="Q351" t="inlineStr">
        <is>
          <t>20250127</t>
        </is>
      </c>
    </row>
    <row r="352">
      <c r="A352" t="inlineStr">
        <is>
          <t>900002574D8366698774910000623</t>
        </is>
      </c>
      <c r="B352" t="inlineStr">
        <is>
          <t>900002574</t>
        </is>
      </c>
      <c r="C352" t="inlineStr">
        <is>
          <t>D836</t>
        </is>
      </c>
      <c r="D352" t="inlineStr">
        <is>
          <t>66987749</t>
        </is>
      </c>
      <c r="E352" t="inlineStr">
        <is>
          <t>4</t>
        </is>
      </c>
      <c r="F352" t="inlineStr">
        <is>
          <t>10000623</t>
        </is>
      </c>
      <c r="H352" t="inlineStr"/>
      <c r="J352" t="n">
        <v>625</v>
      </c>
      <c r="K352" t="inlineStr"/>
      <c r="M352" t="inlineStr">
        <is>
          <t>M3</t>
        </is>
      </c>
      <c r="N352" t="inlineStr"/>
      <c r="P352" t="inlineStr">
        <is>
          <t>20190426</t>
        </is>
      </c>
      <c r="Q352" t="inlineStr">
        <is>
          <t>20250127</t>
        </is>
      </c>
    </row>
    <row r="353">
      <c r="A353" t="inlineStr">
        <is>
          <t>900002574D8366700791710189325</t>
        </is>
      </c>
      <c r="B353" t="inlineStr">
        <is>
          <t>900002574</t>
        </is>
      </c>
      <c r="C353" t="inlineStr">
        <is>
          <t>D836</t>
        </is>
      </c>
      <c r="D353" t="inlineStr">
        <is>
          <t>67007917</t>
        </is>
      </c>
      <c r="E353" t="inlineStr">
        <is>
          <t>4</t>
        </is>
      </c>
      <c r="F353" t="inlineStr">
        <is>
          <t>10189325</t>
        </is>
      </c>
      <c r="H353" t="inlineStr"/>
      <c r="J353" t="n">
        <v>300</v>
      </c>
      <c r="K353" t="inlineStr"/>
      <c r="M353" t="inlineStr">
        <is>
          <t>M3</t>
        </is>
      </c>
      <c r="N353" t="inlineStr"/>
      <c r="P353" t="inlineStr">
        <is>
          <t>20190426</t>
        </is>
      </c>
      <c r="Q353" t="inlineStr">
        <is>
          <t>20250127</t>
        </is>
      </c>
    </row>
    <row r="354">
      <c r="A354" t="inlineStr">
        <is>
          <t>900002574D8366701862110000160</t>
        </is>
      </c>
      <c r="B354" t="inlineStr">
        <is>
          <t>900002574</t>
        </is>
      </c>
      <c r="C354" t="inlineStr">
        <is>
          <t>D836</t>
        </is>
      </c>
      <c r="D354" t="inlineStr">
        <is>
          <t>67018621</t>
        </is>
      </c>
      <c r="E354" t="inlineStr">
        <is>
          <t>4</t>
        </is>
      </c>
      <c r="F354" t="inlineStr">
        <is>
          <t>10000160</t>
        </is>
      </c>
      <c r="H354" t="inlineStr"/>
      <c r="J354" t="n">
        <v>303</v>
      </c>
      <c r="K354" t="inlineStr"/>
      <c r="M354" t="inlineStr">
        <is>
          <t>M3</t>
        </is>
      </c>
      <c r="N354" t="inlineStr"/>
      <c r="P354" t="inlineStr">
        <is>
          <t>20190426</t>
        </is>
      </c>
      <c r="Q354" t="inlineStr">
        <is>
          <t>20250127</t>
        </is>
      </c>
    </row>
    <row r="355">
      <c r="A355" t="inlineStr">
        <is>
          <t>900002574D8366701862110000357</t>
        </is>
      </c>
      <c r="B355" t="inlineStr">
        <is>
          <t>900002574</t>
        </is>
      </c>
      <c r="C355" t="inlineStr">
        <is>
          <t>D836</t>
        </is>
      </c>
      <c r="D355" t="inlineStr">
        <is>
          <t>67018621</t>
        </is>
      </c>
      <c r="E355" t="inlineStr">
        <is>
          <t>4</t>
        </is>
      </c>
      <c r="F355" t="inlineStr">
        <is>
          <t>10000357</t>
        </is>
      </c>
      <c r="H355" t="inlineStr"/>
      <c r="J355" t="n">
        <v>303</v>
      </c>
      <c r="K355" t="inlineStr"/>
      <c r="M355" t="inlineStr">
        <is>
          <t>M3</t>
        </is>
      </c>
      <c r="N355" t="inlineStr"/>
      <c r="P355" t="inlineStr">
        <is>
          <t>20190426</t>
        </is>
      </c>
      <c r="Q355" t="inlineStr">
        <is>
          <t>20250127</t>
        </is>
      </c>
    </row>
    <row r="356">
      <c r="A356" t="inlineStr">
        <is>
          <t>900002574D8366701862110000649</t>
        </is>
      </c>
      <c r="B356" t="inlineStr">
        <is>
          <t>900002574</t>
        </is>
      </c>
      <c r="C356" t="inlineStr">
        <is>
          <t>D836</t>
        </is>
      </c>
      <c r="D356" t="inlineStr">
        <is>
          <t>67018621</t>
        </is>
      </c>
      <c r="E356" t="inlineStr">
        <is>
          <t>4</t>
        </is>
      </c>
      <c r="F356" t="inlineStr">
        <is>
          <t>10000649</t>
        </is>
      </c>
      <c r="H356" t="inlineStr"/>
      <c r="J356" t="n">
        <v>303</v>
      </c>
      <c r="K356" t="inlineStr"/>
      <c r="M356" t="inlineStr">
        <is>
          <t>M3</t>
        </is>
      </c>
      <c r="N356" t="inlineStr"/>
      <c r="P356" t="inlineStr">
        <is>
          <t>20190426</t>
        </is>
      </c>
      <c r="Q356" t="inlineStr">
        <is>
          <t>20250127</t>
        </is>
      </c>
    </row>
    <row r="357">
      <c r="A357" t="inlineStr">
        <is>
          <t>900002574D8366701980210000623</t>
        </is>
      </c>
      <c r="B357" t="inlineStr">
        <is>
          <t>900002574</t>
        </is>
      </c>
      <c r="C357" t="inlineStr">
        <is>
          <t>D836</t>
        </is>
      </c>
      <c r="D357" t="inlineStr">
        <is>
          <t>67019802</t>
        </is>
      </c>
      <c r="E357" t="inlineStr">
        <is>
          <t>4</t>
        </is>
      </c>
      <c r="F357" t="inlineStr">
        <is>
          <t>10000623</t>
        </is>
      </c>
      <c r="H357" t="inlineStr"/>
      <c r="J357" t="n">
        <v>625</v>
      </c>
      <c r="K357" t="inlineStr"/>
      <c r="M357" t="inlineStr">
        <is>
          <t>M3</t>
        </is>
      </c>
      <c r="N357" t="inlineStr"/>
      <c r="P357" t="inlineStr">
        <is>
          <t>20190426</t>
        </is>
      </c>
      <c r="Q357" t="inlineStr">
        <is>
          <t>20250127</t>
        </is>
      </c>
    </row>
    <row r="358">
      <c r="A358" t="inlineStr">
        <is>
          <t>900002574D8366703342510000133</t>
        </is>
      </c>
      <c r="B358" t="inlineStr">
        <is>
          <t>900002574</t>
        </is>
      </c>
      <c r="C358" t="inlineStr">
        <is>
          <t>D836</t>
        </is>
      </c>
      <c r="D358" t="inlineStr">
        <is>
          <t>67033425</t>
        </is>
      </c>
      <c r="E358" t="inlineStr">
        <is>
          <t>4</t>
        </is>
      </c>
      <c r="F358" t="inlineStr">
        <is>
          <t>10000133</t>
        </is>
      </c>
      <c r="H358" t="inlineStr"/>
      <c r="J358" t="n">
        <v>408</v>
      </c>
      <c r="K358" t="inlineStr"/>
      <c r="M358" t="inlineStr">
        <is>
          <t>M3</t>
        </is>
      </c>
      <c r="N358" t="inlineStr"/>
      <c r="P358" t="inlineStr">
        <is>
          <t>20210112</t>
        </is>
      </c>
      <c r="Q358" t="inlineStr">
        <is>
          <t>20251030</t>
        </is>
      </c>
    </row>
    <row r="359">
      <c r="A359" t="inlineStr">
        <is>
          <t>900002574D8366703342510058345</t>
        </is>
      </c>
      <c r="B359" t="inlineStr">
        <is>
          <t>900002574</t>
        </is>
      </c>
      <c r="C359" t="inlineStr">
        <is>
          <t>D836</t>
        </is>
      </c>
      <c r="D359" t="inlineStr">
        <is>
          <t>67033425</t>
        </is>
      </c>
      <c r="E359" t="inlineStr">
        <is>
          <t>4</t>
        </is>
      </c>
      <c r="F359" t="inlineStr">
        <is>
          <t>10058345</t>
        </is>
      </c>
      <c r="H359" t="inlineStr"/>
      <c r="J359" t="n">
        <v>408</v>
      </c>
      <c r="K359" t="inlineStr"/>
      <c r="M359" t="inlineStr">
        <is>
          <t>M3</t>
        </is>
      </c>
      <c r="N359" t="inlineStr"/>
      <c r="P359" t="inlineStr">
        <is>
          <t>20210112</t>
        </is>
      </c>
      <c r="Q359" t="inlineStr">
        <is>
          <t>20251030</t>
        </is>
      </c>
    </row>
    <row r="360">
      <c r="A360" t="inlineStr">
        <is>
          <t>900002574D8366704013310000623</t>
        </is>
      </c>
      <c r="B360" t="inlineStr">
        <is>
          <t>900002574</t>
        </is>
      </c>
      <c r="C360" t="inlineStr">
        <is>
          <t>D836</t>
        </is>
      </c>
      <c r="D360" t="inlineStr">
        <is>
          <t>67040133</t>
        </is>
      </c>
      <c r="E360" t="inlineStr">
        <is>
          <t>4</t>
        </is>
      </c>
      <c r="F360" t="inlineStr">
        <is>
          <t>10000623</t>
        </is>
      </c>
      <c r="H360" t="inlineStr"/>
      <c r="J360" t="n">
        <v>83</v>
      </c>
      <c r="K360" t="inlineStr"/>
      <c r="M360" t="inlineStr">
        <is>
          <t>M3</t>
        </is>
      </c>
      <c r="N360" t="inlineStr"/>
      <c r="P360" t="inlineStr">
        <is>
          <t>20190426</t>
        </is>
      </c>
      <c r="Q360" t="inlineStr">
        <is>
          <t>20250127</t>
        </is>
      </c>
    </row>
    <row r="361">
      <c r="A361" t="inlineStr">
        <is>
          <t>900002574D8366704013310000649</t>
        </is>
      </c>
      <c r="B361" t="inlineStr">
        <is>
          <t>900002574</t>
        </is>
      </c>
      <c r="C361" t="inlineStr">
        <is>
          <t>D836</t>
        </is>
      </c>
      <c r="D361" t="inlineStr">
        <is>
          <t>67040133</t>
        </is>
      </c>
      <c r="E361" t="inlineStr">
        <is>
          <t>4</t>
        </is>
      </c>
      <c r="F361" t="inlineStr">
        <is>
          <t>10000649</t>
        </is>
      </c>
      <c r="H361" t="inlineStr"/>
      <c r="J361" t="n">
        <v>370</v>
      </c>
      <c r="K361" t="inlineStr"/>
      <c r="M361" t="inlineStr">
        <is>
          <t>M3</t>
        </is>
      </c>
      <c r="N361" t="inlineStr"/>
      <c r="P361" t="inlineStr">
        <is>
          <t>20190426</t>
        </is>
      </c>
      <c r="Q361" t="inlineStr">
        <is>
          <t>20250127</t>
        </is>
      </c>
    </row>
    <row r="362">
      <c r="A362" t="inlineStr">
        <is>
          <t>900002574D8366707318510000133</t>
        </is>
      </c>
      <c r="B362" t="inlineStr">
        <is>
          <t>900002574</t>
        </is>
      </c>
      <c r="C362" t="inlineStr">
        <is>
          <t>D836</t>
        </is>
      </c>
      <c r="D362" t="inlineStr">
        <is>
          <t>67073185</t>
        </is>
      </c>
      <c r="E362" t="inlineStr">
        <is>
          <t>4</t>
        </is>
      </c>
      <c r="F362" t="inlineStr">
        <is>
          <t>10000133</t>
        </is>
      </c>
      <c r="H362" t="inlineStr"/>
      <c r="J362" t="n">
        <v>126.5</v>
      </c>
      <c r="K362" t="inlineStr"/>
      <c r="M362" t="inlineStr">
        <is>
          <t>M3</t>
        </is>
      </c>
      <c r="N362" t="inlineStr"/>
      <c r="P362" t="inlineStr">
        <is>
          <t>20190426</t>
        </is>
      </c>
      <c r="Q362" t="inlineStr">
        <is>
          <t>20250127</t>
        </is>
      </c>
    </row>
    <row r="363">
      <c r="A363" t="inlineStr">
        <is>
          <t>900002574D8366707318510058345</t>
        </is>
      </c>
      <c r="B363" t="inlineStr">
        <is>
          <t>900002574</t>
        </is>
      </c>
      <c r="C363" t="inlineStr">
        <is>
          <t>D836</t>
        </is>
      </c>
      <c r="D363" t="inlineStr">
        <is>
          <t>67073185</t>
        </is>
      </c>
      <c r="E363" t="inlineStr">
        <is>
          <t>4</t>
        </is>
      </c>
      <c r="F363" t="inlineStr">
        <is>
          <t>10058345</t>
        </is>
      </c>
      <c r="H363" t="inlineStr"/>
      <c r="J363" t="n">
        <v>93.33</v>
      </c>
      <c r="K363" t="inlineStr"/>
      <c r="M363" t="inlineStr">
        <is>
          <t>TN</t>
        </is>
      </c>
      <c r="N363" t="inlineStr"/>
      <c r="P363" t="inlineStr">
        <is>
          <t>20190426</t>
        </is>
      </c>
      <c r="Q363" t="inlineStr">
        <is>
          <t>20250127</t>
        </is>
      </c>
    </row>
    <row r="364">
      <c r="A364" t="inlineStr">
        <is>
          <t>900002574D8366707906010000133</t>
        </is>
      </c>
      <c r="B364" t="inlineStr">
        <is>
          <t>900002574</t>
        </is>
      </c>
      <c r="C364" t="inlineStr">
        <is>
          <t>D836</t>
        </is>
      </c>
      <c r="D364" t="inlineStr">
        <is>
          <t>67079060</t>
        </is>
      </c>
      <c r="E364" t="inlineStr">
        <is>
          <t>4</t>
        </is>
      </c>
      <c r="F364" t="inlineStr">
        <is>
          <t>10000133</t>
        </is>
      </c>
      <c r="H364" t="inlineStr"/>
      <c r="J364" t="n">
        <v>126.5</v>
      </c>
      <c r="K364" t="inlineStr"/>
      <c r="M364" t="inlineStr">
        <is>
          <t>M3</t>
        </is>
      </c>
      <c r="N364" t="inlineStr"/>
      <c r="P364" t="inlineStr">
        <is>
          <t>20190426</t>
        </is>
      </c>
      <c r="Q364" t="inlineStr">
        <is>
          <t>20250127</t>
        </is>
      </c>
    </row>
    <row r="365">
      <c r="A365" t="inlineStr">
        <is>
          <t>900002574D8366710494610000630</t>
        </is>
      </c>
      <c r="B365" t="inlineStr">
        <is>
          <t>900002574</t>
        </is>
      </c>
      <c r="C365" t="inlineStr">
        <is>
          <t>D836</t>
        </is>
      </c>
      <c r="D365" t="inlineStr">
        <is>
          <t>67104946</t>
        </is>
      </c>
      <c r="E365" t="inlineStr">
        <is>
          <t>4</t>
        </is>
      </c>
      <c r="F365" t="inlineStr">
        <is>
          <t>10000630</t>
        </is>
      </c>
      <c r="H365" t="inlineStr"/>
      <c r="J365" t="n">
        <v>180</v>
      </c>
      <c r="K365" t="inlineStr"/>
      <c r="M365" t="inlineStr">
        <is>
          <t>M3</t>
        </is>
      </c>
      <c r="N365" t="inlineStr"/>
      <c r="P365" t="inlineStr">
        <is>
          <t>20190426</t>
        </is>
      </c>
      <c r="Q365" t="inlineStr">
        <is>
          <t>20250127</t>
        </is>
      </c>
    </row>
    <row r="366">
      <c r="A366" t="inlineStr">
        <is>
          <t>900002574D8366712121310000160</t>
        </is>
      </c>
      <c r="B366" t="inlineStr">
        <is>
          <t>900002574</t>
        </is>
      </c>
      <c r="C366" t="inlineStr">
        <is>
          <t>D836</t>
        </is>
      </c>
      <c r="D366" t="inlineStr">
        <is>
          <t>67121213</t>
        </is>
      </c>
      <c r="E366" t="inlineStr">
        <is>
          <t>4</t>
        </is>
      </c>
      <c r="F366" t="inlineStr">
        <is>
          <t>10000160</t>
        </is>
      </c>
      <c r="H366" t="inlineStr"/>
      <c r="J366" t="n">
        <v>600</v>
      </c>
      <c r="K366" t="inlineStr"/>
      <c r="M366" t="inlineStr">
        <is>
          <t>M3</t>
        </is>
      </c>
      <c r="N366" t="inlineStr"/>
      <c r="P366" t="inlineStr">
        <is>
          <t>20190426</t>
        </is>
      </c>
      <c r="Q366" t="inlineStr">
        <is>
          <t>20250127</t>
        </is>
      </c>
    </row>
    <row r="367">
      <c r="A367" t="inlineStr">
        <is>
          <t>900002574D8366712121310000649</t>
        </is>
      </c>
      <c r="B367" t="inlineStr">
        <is>
          <t>900002574</t>
        </is>
      </c>
      <c r="C367" t="inlineStr">
        <is>
          <t>D836</t>
        </is>
      </c>
      <c r="D367" t="inlineStr">
        <is>
          <t>67121213</t>
        </is>
      </c>
      <c r="E367" t="inlineStr">
        <is>
          <t>4</t>
        </is>
      </c>
      <c r="F367" t="inlineStr">
        <is>
          <t>10000649</t>
        </is>
      </c>
      <c r="H367" t="inlineStr"/>
      <c r="J367" t="n">
        <v>600</v>
      </c>
      <c r="K367" t="inlineStr"/>
      <c r="M367" t="inlineStr">
        <is>
          <t>M3</t>
        </is>
      </c>
      <c r="N367" t="inlineStr"/>
      <c r="P367" t="inlineStr">
        <is>
          <t>20190426</t>
        </is>
      </c>
      <c r="Q367" t="inlineStr">
        <is>
          <t>20250127</t>
        </is>
      </c>
    </row>
    <row r="368">
      <c r="A368" t="inlineStr">
        <is>
          <t>900002574D8366712669810029712</t>
        </is>
      </c>
      <c r="B368" t="inlineStr">
        <is>
          <t>900002574</t>
        </is>
      </c>
      <c r="C368" t="inlineStr">
        <is>
          <t>D836</t>
        </is>
      </c>
      <c r="D368" t="inlineStr">
        <is>
          <t>67126698</t>
        </is>
      </c>
      <c r="E368" t="inlineStr">
        <is>
          <t>4</t>
        </is>
      </c>
      <c r="F368" t="inlineStr">
        <is>
          <t>10029712</t>
        </is>
      </c>
      <c r="H368" t="inlineStr"/>
      <c r="J368" t="n">
        <v>300</v>
      </c>
      <c r="K368" t="inlineStr"/>
      <c r="M368" t="inlineStr">
        <is>
          <t>M3</t>
        </is>
      </c>
      <c r="N368" t="inlineStr"/>
      <c r="P368" t="inlineStr">
        <is>
          <t>20230301</t>
        </is>
      </c>
      <c r="Q368" t="inlineStr">
        <is>
          <t>20251031</t>
        </is>
      </c>
    </row>
    <row r="369">
      <c r="A369" t="inlineStr">
        <is>
          <t>900002574D8366714860610000133</t>
        </is>
      </c>
      <c r="B369" t="inlineStr">
        <is>
          <t>900002574</t>
        </is>
      </c>
      <c r="C369" t="inlineStr">
        <is>
          <t>D836</t>
        </is>
      </c>
      <c r="D369" t="inlineStr">
        <is>
          <t>67148606</t>
        </is>
      </c>
      <c r="E369" t="inlineStr">
        <is>
          <t>4</t>
        </is>
      </c>
      <c r="F369" t="inlineStr">
        <is>
          <t>10000133</t>
        </is>
      </c>
      <c r="H369" t="inlineStr"/>
      <c r="J369" t="n">
        <v>336</v>
      </c>
      <c r="K369" t="inlineStr"/>
      <c r="M369" t="inlineStr">
        <is>
          <t>M3</t>
        </is>
      </c>
      <c r="N369" t="inlineStr"/>
      <c r="P369" t="inlineStr">
        <is>
          <t>20230523</t>
        </is>
      </c>
      <c r="Q369" t="inlineStr">
        <is>
          <t>20251030</t>
        </is>
      </c>
    </row>
    <row r="370">
      <c r="A370" t="inlineStr">
        <is>
          <t>900002574D8366714860610019515</t>
        </is>
      </c>
      <c r="B370" t="inlineStr">
        <is>
          <t>900002574</t>
        </is>
      </c>
      <c r="C370" t="inlineStr">
        <is>
          <t>D836</t>
        </is>
      </c>
      <c r="D370" t="inlineStr">
        <is>
          <t>67148606</t>
        </is>
      </c>
      <c r="E370" t="inlineStr">
        <is>
          <t>4</t>
        </is>
      </c>
      <c r="F370" t="inlineStr">
        <is>
          <t>10019515</t>
        </is>
      </c>
      <c r="H370" t="inlineStr"/>
      <c r="J370" t="n">
        <v>336</v>
      </c>
      <c r="K370" t="inlineStr"/>
      <c r="M370" t="inlineStr">
        <is>
          <t>M3</t>
        </is>
      </c>
      <c r="N370" t="inlineStr"/>
      <c r="P370" t="inlineStr">
        <is>
          <t>20230523</t>
        </is>
      </c>
      <c r="Q370" t="inlineStr">
        <is>
          <t>20251030</t>
        </is>
      </c>
    </row>
    <row r="371">
      <c r="A371" t="inlineStr">
        <is>
          <t>900002574D8366714860610058345</t>
        </is>
      </c>
      <c r="B371" t="inlineStr">
        <is>
          <t>900002574</t>
        </is>
      </c>
      <c r="C371" t="inlineStr">
        <is>
          <t>D836</t>
        </is>
      </c>
      <c r="D371" t="inlineStr">
        <is>
          <t>67148606</t>
        </is>
      </c>
      <c r="E371" t="inlineStr">
        <is>
          <t>4</t>
        </is>
      </c>
      <c r="F371" t="inlineStr">
        <is>
          <t>10058345</t>
        </is>
      </c>
      <c r="H371" t="inlineStr"/>
      <c r="J371" t="n">
        <v>336</v>
      </c>
      <c r="K371" t="inlineStr"/>
      <c r="M371" t="inlineStr">
        <is>
          <t>M3</t>
        </is>
      </c>
      <c r="N371" t="inlineStr"/>
      <c r="P371" t="inlineStr">
        <is>
          <t>20230523</t>
        </is>
      </c>
      <c r="Q371" t="inlineStr">
        <is>
          <t>20251030</t>
        </is>
      </c>
    </row>
    <row r="372">
      <c r="A372" t="inlineStr">
        <is>
          <t>900002574D8366716973410000160</t>
        </is>
      </c>
      <c r="B372" t="inlineStr">
        <is>
          <t>900002574</t>
        </is>
      </c>
      <c r="C372" t="inlineStr">
        <is>
          <t>D836</t>
        </is>
      </c>
      <c r="D372" t="inlineStr">
        <is>
          <t>67169734</t>
        </is>
      </c>
      <c r="E372" t="inlineStr">
        <is>
          <t>4</t>
        </is>
      </c>
      <c r="F372" t="inlineStr">
        <is>
          <t>10000160</t>
        </is>
      </c>
      <c r="H372" t="inlineStr"/>
      <c r="J372" t="n">
        <v>384</v>
      </c>
      <c r="K372" t="inlineStr"/>
      <c r="M372" t="inlineStr">
        <is>
          <t>M3</t>
        </is>
      </c>
      <c r="N372" t="inlineStr"/>
      <c r="P372" t="inlineStr">
        <is>
          <t>20190426</t>
        </is>
      </c>
      <c r="Q372" t="inlineStr">
        <is>
          <t>20250127</t>
        </is>
      </c>
    </row>
    <row r="373">
      <c r="A373" t="inlineStr">
        <is>
          <t>900002574D8366716973410000287</t>
        </is>
      </c>
      <c r="B373" t="inlineStr">
        <is>
          <t>900002574</t>
        </is>
      </c>
      <c r="C373" t="inlineStr">
        <is>
          <t>D836</t>
        </is>
      </c>
      <c r="D373" t="inlineStr">
        <is>
          <t>67169734</t>
        </is>
      </c>
      <c r="E373" t="inlineStr">
        <is>
          <t>4</t>
        </is>
      </c>
      <c r="F373" t="inlineStr">
        <is>
          <t>10000287</t>
        </is>
      </c>
      <c r="H373" t="inlineStr"/>
      <c r="J373" t="n">
        <v>720</v>
      </c>
      <c r="K373" t="inlineStr"/>
      <c r="M373" t="inlineStr">
        <is>
          <t>M3</t>
        </is>
      </c>
      <c r="N373" t="inlineStr"/>
      <c r="P373" t="inlineStr">
        <is>
          <t>20230301</t>
        </is>
      </c>
      <c r="Q373" t="inlineStr">
        <is>
          <t>20251031</t>
        </is>
      </c>
    </row>
    <row r="374">
      <c r="A374" t="inlineStr">
        <is>
          <t>900002574D8366716973410000357</t>
        </is>
      </c>
      <c r="B374" t="inlineStr">
        <is>
          <t>900002574</t>
        </is>
      </c>
      <c r="C374" t="inlineStr">
        <is>
          <t>D836</t>
        </is>
      </c>
      <c r="D374" t="inlineStr">
        <is>
          <t>67169734</t>
        </is>
      </c>
      <c r="E374" t="inlineStr">
        <is>
          <t>4</t>
        </is>
      </c>
      <c r="F374" t="inlineStr">
        <is>
          <t>10000357</t>
        </is>
      </c>
      <c r="H374" t="inlineStr"/>
      <c r="J374" t="n">
        <v>384</v>
      </c>
      <c r="K374" t="inlineStr"/>
      <c r="M374" t="inlineStr">
        <is>
          <t>M3</t>
        </is>
      </c>
      <c r="N374" t="inlineStr"/>
      <c r="P374" t="inlineStr">
        <is>
          <t>20190426</t>
        </is>
      </c>
      <c r="Q374" t="inlineStr">
        <is>
          <t>20250127</t>
        </is>
      </c>
    </row>
    <row r="375">
      <c r="A375" t="inlineStr">
        <is>
          <t>900002574D8366719816710000133</t>
        </is>
      </c>
      <c r="B375" t="inlineStr">
        <is>
          <t>900002574</t>
        </is>
      </c>
      <c r="C375" t="inlineStr">
        <is>
          <t>D836</t>
        </is>
      </c>
      <c r="D375" t="inlineStr">
        <is>
          <t>67198167</t>
        </is>
      </c>
      <c r="E375" t="inlineStr">
        <is>
          <t>4</t>
        </is>
      </c>
      <c r="F375" t="inlineStr">
        <is>
          <t>10000133</t>
        </is>
      </c>
      <c r="H375" t="inlineStr"/>
      <c r="J375" t="n">
        <v>285</v>
      </c>
      <c r="K375" t="inlineStr"/>
      <c r="M375" t="inlineStr">
        <is>
          <t>M3</t>
        </is>
      </c>
      <c r="N375" t="inlineStr"/>
      <c r="P375" t="inlineStr">
        <is>
          <t>20230301</t>
        </is>
      </c>
      <c r="Q375" t="inlineStr">
        <is>
          <t>20251031</t>
        </is>
      </c>
    </row>
    <row r="376">
      <c r="A376" t="inlineStr">
        <is>
          <t>900002574D8366719816710058345</t>
        </is>
      </c>
      <c r="B376" t="inlineStr">
        <is>
          <t>900002574</t>
        </is>
      </c>
      <c r="C376" t="inlineStr">
        <is>
          <t>D836</t>
        </is>
      </c>
      <c r="D376" t="inlineStr">
        <is>
          <t>67198167</t>
        </is>
      </c>
      <c r="E376" t="inlineStr">
        <is>
          <t>4</t>
        </is>
      </c>
      <c r="F376" t="inlineStr">
        <is>
          <t>10058345</t>
        </is>
      </c>
      <c r="H376" t="inlineStr"/>
      <c r="J376" t="n">
        <v>285</v>
      </c>
      <c r="K376" t="inlineStr"/>
      <c r="M376" t="inlineStr">
        <is>
          <t>M3</t>
        </is>
      </c>
      <c r="N376" t="inlineStr"/>
      <c r="P376" t="inlineStr">
        <is>
          <t>20230301</t>
        </is>
      </c>
      <c r="Q376" t="inlineStr">
        <is>
          <t>20251031</t>
        </is>
      </c>
    </row>
    <row r="377">
      <c r="A377" t="inlineStr">
        <is>
          <t>900002574D8366720863810000160</t>
        </is>
      </c>
      <c r="B377" t="inlineStr">
        <is>
          <t>900002574</t>
        </is>
      </c>
      <c r="C377" t="inlineStr">
        <is>
          <t>D836</t>
        </is>
      </c>
      <c r="D377" t="inlineStr">
        <is>
          <t>67208638</t>
        </is>
      </c>
      <c r="E377" t="inlineStr">
        <is>
          <t>4</t>
        </is>
      </c>
      <c r="F377" t="inlineStr">
        <is>
          <t>10000160</t>
        </is>
      </c>
      <c r="H377" t="inlineStr"/>
      <c r="J377" t="n">
        <v>180</v>
      </c>
      <c r="K377" t="inlineStr"/>
      <c r="M377" t="inlineStr">
        <is>
          <t>M3</t>
        </is>
      </c>
      <c r="N377" t="inlineStr"/>
      <c r="P377" t="inlineStr">
        <is>
          <t>20230301</t>
        </is>
      </c>
      <c r="Q377" t="inlineStr">
        <is>
          <t>20251031</t>
        </is>
      </c>
    </row>
    <row r="378">
      <c r="A378" t="inlineStr">
        <is>
          <t>900002574D8366720863810000623</t>
        </is>
      </c>
      <c r="B378" t="inlineStr">
        <is>
          <t>900002574</t>
        </is>
      </c>
      <c r="C378" t="inlineStr">
        <is>
          <t>D836</t>
        </is>
      </c>
      <c r="D378" t="inlineStr">
        <is>
          <t>67208638</t>
        </is>
      </c>
      <c r="E378" t="inlineStr">
        <is>
          <t>4</t>
        </is>
      </c>
      <c r="F378" t="inlineStr">
        <is>
          <t>10000623</t>
        </is>
      </c>
      <c r="H378" t="inlineStr"/>
      <c r="J378" t="n">
        <v>283.91</v>
      </c>
      <c r="K378" t="inlineStr"/>
      <c r="M378" t="inlineStr">
        <is>
          <t>M3</t>
        </is>
      </c>
      <c r="N378" t="inlineStr"/>
      <c r="P378" t="inlineStr">
        <is>
          <t>20230301</t>
        </is>
      </c>
      <c r="Q378" t="inlineStr">
        <is>
          <t>20251031</t>
        </is>
      </c>
    </row>
    <row r="379">
      <c r="A379" t="inlineStr">
        <is>
          <t>900002574D8366720863810000649</t>
        </is>
      </c>
      <c r="B379" t="inlineStr">
        <is>
          <t>900002574</t>
        </is>
      </c>
      <c r="C379" t="inlineStr">
        <is>
          <t>D836</t>
        </is>
      </c>
      <c r="D379" t="inlineStr">
        <is>
          <t>67208638</t>
        </is>
      </c>
      <c r="E379" t="inlineStr">
        <is>
          <t>4</t>
        </is>
      </c>
      <c r="F379" t="inlineStr">
        <is>
          <t>10000649</t>
        </is>
      </c>
      <c r="H379" t="inlineStr"/>
      <c r="J379" t="n">
        <v>180</v>
      </c>
      <c r="K379" t="inlineStr"/>
      <c r="M379" t="inlineStr">
        <is>
          <t>M3</t>
        </is>
      </c>
      <c r="N379" t="inlineStr"/>
      <c r="P379" t="inlineStr">
        <is>
          <t>20230301</t>
        </is>
      </c>
      <c r="Q379" t="inlineStr">
        <is>
          <t>20251031</t>
        </is>
      </c>
    </row>
    <row r="380">
      <c r="A380" t="inlineStr">
        <is>
          <t>900002574D8366724941610000133</t>
        </is>
      </c>
      <c r="B380" t="inlineStr">
        <is>
          <t>900002574</t>
        </is>
      </c>
      <c r="C380" t="inlineStr">
        <is>
          <t>D836</t>
        </is>
      </c>
      <c r="D380" t="inlineStr">
        <is>
          <t>67249416</t>
        </is>
      </c>
      <c r="E380" t="inlineStr">
        <is>
          <t>4</t>
        </is>
      </c>
      <c r="F380" t="inlineStr">
        <is>
          <t>10000133</t>
        </is>
      </c>
      <c r="H380" t="inlineStr"/>
      <c r="J380" t="n">
        <v>200</v>
      </c>
      <c r="K380" t="inlineStr"/>
      <c r="M380" t="inlineStr">
        <is>
          <t>TN</t>
        </is>
      </c>
      <c r="N380" t="inlineStr"/>
      <c r="P380" t="inlineStr">
        <is>
          <t>20230301</t>
        </is>
      </c>
      <c r="Q380" t="inlineStr">
        <is>
          <t>20251031</t>
        </is>
      </c>
    </row>
    <row r="381">
      <c r="A381" t="inlineStr">
        <is>
          <t>900002574D8366724941610000623</t>
        </is>
      </c>
      <c r="B381" t="inlineStr">
        <is>
          <t>900002574</t>
        </is>
      </c>
      <c r="C381" t="inlineStr">
        <is>
          <t>D836</t>
        </is>
      </c>
      <c r="D381" t="inlineStr">
        <is>
          <t>67249416</t>
        </is>
      </c>
      <c r="E381" t="inlineStr">
        <is>
          <t>4</t>
        </is>
      </c>
      <c r="F381" t="inlineStr">
        <is>
          <t>10000623</t>
        </is>
      </c>
      <c r="H381" t="inlineStr"/>
      <c r="J381" t="n">
        <v>200</v>
      </c>
      <c r="K381" t="inlineStr"/>
      <c r="M381" t="inlineStr">
        <is>
          <t>TN</t>
        </is>
      </c>
      <c r="N381" t="inlineStr"/>
      <c r="P381" t="inlineStr">
        <is>
          <t>20230301</t>
        </is>
      </c>
      <c r="Q381" t="inlineStr">
        <is>
          <t>20251031</t>
        </is>
      </c>
    </row>
    <row r="382">
      <c r="A382" t="inlineStr">
        <is>
          <t>900002574D8366724941610000624</t>
        </is>
      </c>
      <c r="B382" t="inlineStr">
        <is>
          <t>900002574</t>
        </is>
      </c>
      <c r="C382" t="inlineStr">
        <is>
          <t>D836</t>
        </is>
      </c>
      <c r="D382" t="inlineStr">
        <is>
          <t>67249416</t>
        </is>
      </c>
      <c r="E382" t="inlineStr">
        <is>
          <t>4</t>
        </is>
      </c>
      <c r="F382" t="inlineStr">
        <is>
          <t>10000624</t>
        </is>
      </c>
      <c r="H382" t="inlineStr"/>
      <c r="J382" t="n">
        <v>200</v>
      </c>
      <c r="K382" t="inlineStr"/>
      <c r="M382" t="inlineStr">
        <is>
          <t>TN</t>
        </is>
      </c>
      <c r="N382" t="inlineStr"/>
      <c r="P382" t="inlineStr">
        <is>
          <t>20230301</t>
        </is>
      </c>
      <c r="Q382" t="inlineStr">
        <is>
          <t>20251031</t>
        </is>
      </c>
    </row>
    <row r="383">
      <c r="A383" t="inlineStr">
        <is>
          <t>900002574D8366724941610058345</t>
        </is>
      </c>
      <c r="B383" t="inlineStr">
        <is>
          <t>900002574</t>
        </is>
      </c>
      <c r="C383" t="inlineStr">
        <is>
          <t>D836</t>
        </is>
      </c>
      <c r="D383" t="inlineStr">
        <is>
          <t>67249416</t>
        </is>
      </c>
      <c r="E383" t="inlineStr">
        <is>
          <t>4</t>
        </is>
      </c>
      <c r="F383" t="inlineStr">
        <is>
          <t>10058345</t>
        </is>
      </c>
      <c r="H383" t="inlineStr"/>
      <c r="J383" t="n">
        <v>200</v>
      </c>
      <c r="K383" t="inlineStr"/>
      <c r="M383" t="inlineStr">
        <is>
          <t>TN</t>
        </is>
      </c>
      <c r="N383" t="inlineStr"/>
      <c r="P383" t="inlineStr">
        <is>
          <t>20230301</t>
        </is>
      </c>
      <c r="Q383" t="inlineStr">
        <is>
          <t>20251031</t>
        </is>
      </c>
    </row>
    <row r="384">
      <c r="A384" t="inlineStr">
        <is>
          <t>900002574D8366728962410000160</t>
        </is>
      </c>
      <c r="B384" t="inlineStr">
        <is>
          <t>900002574</t>
        </is>
      </c>
      <c r="C384" t="inlineStr">
        <is>
          <t>D836</t>
        </is>
      </c>
      <c r="D384" t="inlineStr">
        <is>
          <t>67289624</t>
        </is>
      </c>
      <c r="E384" t="inlineStr">
        <is>
          <t>4</t>
        </is>
      </c>
      <c r="F384" t="inlineStr">
        <is>
          <t>10000160</t>
        </is>
      </c>
      <c r="H384" t="inlineStr"/>
      <c r="J384" t="n">
        <v>500</v>
      </c>
      <c r="K384" t="inlineStr"/>
      <c r="M384" t="inlineStr">
        <is>
          <t>M3</t>
        </is>
      </c>
      <c r="N384" t="inlineStr"/>
      <c r="P384" t="inlineStr">
        <is>
          <t>20241023</t>
        </is>
      </c>
      <c r="Q384" t="inlineStr">
        <is>
          <t>20260215</t>
        </is>
      </c>
    </row>
    <row r="385">
      <c r="A385" t="inlineStr">
        <is>
          <t>900002574D8366732774510000133</t>
        </is>
      </c>
      <c r="B385" t="inlineStr">
        <is>
          <t>900002574</t>
        </is>
      </c>
      <c r="C385" t="inlineStr">
        <is>
          <t>D836</t>
        </is>
      </c>
      <c r="D385" t="inlineStr">
        <is>
          <t>67327745</t>
        </is>
      </c>
      <c r="E385" t="inlineStr">
        <is>
          <t>4</t>
        </is>
      </c>
      <c r="F385" t="inlineStr">
        <is>
          <t>10000133</t>
        </is>
      </c>
      <c r="H385" t="inlineStr"/>
      <c r="J385" t="n">
        <v>413.16</v>
      </c>
      <c r="K385" t="inlineStr"/>
      <c r="M385" t="inlineStr">
        <is>
          <t>M3</t>
        </is>
      </c>
      <c r="N385" t="inlineStr"/>
      <c r="P385" t="inlineStr">
        <is>
          <t>20250626</t>
        </is>
      </c>
      <c r="Q385" t="inlineStr">
        <is>
          <t>99991231</t>
        </is>
      </c>
    </row>
    <row r="386">
      <c r="A386" t="inlineStr">
        <is>
          <t>900002574D8366732774510000623</t>
        </is>
      </c>
      <c r="B386" t="inlineStr">
        <is>
          <t>900002574</t>
        </is>
      </c>
      <c r="C386" t="inlineStr">
        <is>
          <t>D836</t>
        </is>
      </c>
      <c r="D386" t="inlineStr">
        <is>
          <t>67327745</t>
        </is>
      </c>
      <c r="E386" t="inlineStr">
        <is>
          <t>4</t>
        </is>
      </c>
      <c r="F386" t="inlineStr">
        <is>
          <t>10000623</t>
        </is>
      </c>
      <c r="H386" t="inlineStr"/>
      <c r="J386" t="n">
        <v>762.5</v>
      </c>
      <c r="K386" t="inlineStr"/>
      <c r="M386" t="inlineStr">
        <is>
          <t>M3</t>
        </is>
      </c>
      <c r="N386" t="inlineStr"/>
      <c r="P386" t="inlineStr">
        <is>
          <t>20260401</t>
        </is>
      </c>
      <c r="Q386" t="inlineStr">
        <is>
          <t>99991231</t>
        </is>
      </c>
    </row>
    <row r="387">
      <c r="A387" t="inlineStr">
        <is>
          <t>900002574D8366734039210058345</t>
        </is>
      </c>
      <c r="B387" t="inlineStr">
        <is>
          <t>900002574</t>
        </is>
      </c>
      <c r="C387" t="inlineStr">
        <is>
          <t>D836</t>
        </is>
      </c>
      <c r="D387" t="inlineStr">
        <is>
          <t>67340392</t>
        </is>
      </c>
      <c r="E387" t="inlineStr">
        <is>
          <t>4</t>
        </is>
      </c>
      <c r="F387" t="inlineStr">
        <is>
          <t>10058345</t>
        </is>
      </c>
      <c r="H387" t="inlineStr"/>
      <c r="J387" t="n">
        <v>1000</v>
      </c>
      <c r="K387" t="inlineStr"/>
      <c r="M387" t="inlineStr">
        <is>
          <t>TN</t>
        </is>
      </c>
      <c r="N387" t="inlineStr"/>
      <c r="P387" t="inlineStr">
        <is>
          <t>20250925</t>
        </is>
      </c>
      <c r="Q387" t="inlineStr">
        <is>
          <t>99991231</t>
        </is>
      </c>
    </row>
    <row r="388">
      <c r="A388" t="inlineStr">
        <is>
          <t>900002574D8366734476110000623</t>
        </is>
      </c>
      <c r="B388" t="inlineStr">
        <is>
          <t>900002574</t>
        </is>
      </c>
      <c r="C388" t="inlineStr">
        <is>
          <t>D836</t>
        </is>
      </c>
      <c r="D388" t="inlineStr">
        <is>
          <t>67344761</t>
        </is>
      </c>
      <c r="E388" t="inlineStr">
        <is>
          <t>4</t>
        </is>
      </c>
      <c r="F388" t="inlineStr">
        <is>
          <t>10000623</t>
        </is>
      </c>
      <c r="H388" t="inlineStr"/>
      <c r="J388" t="n">
        <v>500</v>
      </c>
      <c r="K388" t="inlineStr"/>
      <c r="M388" t="inlineStr">
        <is>
          <t>M3</t>
        </is>
      </c>
      <c r="N388" t="inlineStr"/>
      <c r="P388" t="inlineStr">
        <is>
          <t>20251020</t>
        </is>
      </c>
      <c r="Q388" t="inlineStr">
        <is>
          <t>99991231</t>
        </is>
      </c>
    </row>
    <row r="389">
      <c r="A389" t="inlineStr">
        <is>
          <t>900002574D8366736425510002802</t>
        </is>
      </c>
      <c r="B389" t="inlineStr">
        <is>
          <t>900002574</t>
        </is>
      </c>
      <c r="C389" t="inlineStr">
        <is>
          <t>D836</t>
        </is>
      </c>
      <c r="D389" t="inlineStr">
        <is>
          <t>67364255</t>
        </is>
      </c>
      <c r="E389" t="inlineStr">
        <is>
          <t>4</t>
        </is>
      </c>
      <c r="F389" t="inlineStr">
        <is>
          <t>10002802</t>
        </is>
      </c>
      <c r="H389" t="inlineStr"/>
      <c r="J389" t="n">
        <v>318.85</v>
      </c>
      <c r="K389" t="inlineStr"/>
      <c r="M389" t="inlineStr">
        <is>
          <t>M3</t>
        </is>
      </c>
      <c r="N389" t="inlineStr"/>
      <c r="P389" t="inlineStr">
        <is>
          <t>20260205</t>
        </is>
      </c>
      <c r="Q389" t="inlineStr">
        <is>
          <t>99991231</t>
        </is>
      </c>
    </row>
    <row r="390">
      <c r="A390" t="inlineStr">
        <is>
          <t>900002574D836E49210000357</t>
        </is>
      </c>
      <c r="B390" t="inlineStr">
        <is>
          <t>900002574</t>
        </is>
      </c>
      <c r="C390" t="inlineStr">
        <is>
          <t>D836</t>
        </is>
      </c>
      <c r="D390" t="inlineStr">
        <is>
          <t>E492</t>
        </is>
      </c>
      <c r="E390" t="inlineStr">
        <is>
          <t>4</t>
        </is>
      </c>
      <c r="F390" t="inlineStr">
        <is>
          <t>10000357</t>
        </is>
      </c>
      <c r="H390" t="inlineStr"/>
      <c r="J390" t="n">
        <v>375</v>
      </c>
      <c r="K390" t="inlineStr"/>
      <c r="M390" t="inlineStr">
        <is>
          <t>M3</t>
        </is>
      </c>
      <c r="N390" t="inlineStr"/>
      <c r="P390" t="inlineStr">
        <is>
          <t>20210223</t>
        </is>
      </c>
      <c r="Q390" t="inlineStr">
        <is>
          <t>99991231</t>
        </is>
      </c>
    </row>
    <row r="391">
      <c r="A391" t="inlineStr">
        <is>
          <t>900002737D8366506168510000160</t>
        </is>
      </c>
      <c r="B391" t="inlineStr">
        <is>
          <t>900002737</t>
        </is>
      </c>
      <c r="C391" t="inlineStr">
        <is>
          <t>D836</t>
        </is>
      </c>
      <c r="D391" t="inlineStr">
        <is>
          <t>65061685</t>
        </is>
      </c>
      <c r="E391" t="inlineStr">
        <is>
          <t>4</t>
        </is>
      </c>
      <c r="F391" t="inlineStr">
        <is>
          <t>10000160</t>
        </is>
      </c>
      <c r="H391" t="inlineStr"/>
      <c r="J391" t="n">
        <v>121</v>
      </c>
      <c r="K391" t="inlineStr"/>
      <c r="M391" t="inlineStr">
        <is>
          <t>M3</t>
        </is>
      </c>
      <c r="N391" t="inlineStr"/>
      <c r="P391" t="inlineStr">
        <is>
          <t>20190426</t>
        </is>
      </c>
      <c r="Q391" t="inlineStr">
        <is>
          <t>20250127</t>
        </is>
      </c>
    </row>
    <row r="392">
      <c r="A392" t="inlineStr">
        <is>
          <t>900002737D8366557034610000160</t>
        </is>
      </c>
      <c r="B392" t="inlineStr">
        <is>
          <t>900002737</t>
        </is>
      </c>
      <c r="C392" t="inlineStr">
        <is>
          <t>D836</t>
        </is>
      </c>
      <c r="D392" t="inlineStr">
        <is>
          <t>65570346</t>
        </is>
      </c>
      <c r="E392" t="inlineStr">
        <is>
          <t>4</t>
        </is>
      </c>
      <c r="F392" t="inlineStr">
        <is>
          <t>10000160</t>
        </is>
      </c>
      <c r="H392" t="inlineStr"/>
      <c r="J392" t="n">
        <v>121</v>
      </c>
      <c r="K392" t="inlineStr"/>
      <c r="M392" t="inlineStr">
        <is>
          <t>M3</t>
        </is>
      </c>
      <c r="N392" t="inlineStr"/>
      <c r="P392" t="inlineStr">
        <is>
          <t>20190426</t>
        </is>
      </c>
      <c r="Q392" t="inlineStr">
        <is>
          <t>20250127</t>
        </is>
      </c>
    </row>
    <row r="393">
      <c r="A393" t="inlineStr">
        <is>
          <t>900002813D8366544227010000630</t>
        </is>
      </c>
      <c r="B393" t="inlineStr">
        <is>
          <t>900002813</t>
        </is>
      </c>
      <c r="C393" t="inlineStr">
        <is>
          <t>D836</t>
        </is>
      </c>
      <c r="D393" t="inlineStr">
        <is>
          <t>65442270</t>
        </is>
      </c>
      <c r="E393" t="inlineStr">
        <is>
          <t>1</t>
        </is>
      </c>
      <c r="F393" t="inlineStr">
        <is>
          <t>10000630</t>
        </is>
      </c>
      <c r="H393" t="inlineStr"/>
      <c r="J393" t="n">
        <v>88</v>
      </c>
      <c r="K393" t="inlineStr"/>
      <c r="M393" t="inlineStr">
        <is>
          <t>TN</t>
        </is>
      </c>
      <c r="N393" t="inlineStr"/>
      <c r="P393" t="inlineStr">
        <is>
          <t>20190426</t>
        </is>
      </c>
      <c r="Q393" t="inlineStr">
        <is>
          <t>20250127</t>
        </is>
      </c>
    </row>
    <row r="394">
      <c r="A394" t="inlineStr">
        <is>
          <t>900002813D8366544227010000722</t>
        </is>
      </c>
      <c r="B394" t="inlineStr">
        <is>
          <t>900002813</t>
        </is>
      </c>
      <c r="C394" t="inlineStr">
        <is>
          <t>D836</t>
        </is>
      </c>
      <c r="D394" t="inlineStr">
        <is>
          <t>65442270</t>
        </is>
      </c>
      <c r="E394" t="inlineStr">
        <is>
          <t>1</t>
        </is>
      </c>
      <c r="F394" t="inlineStr">
        <is>
          <t>10000722</t>
        </is>
      </c>
      <c r="H394" t="inlineStr"/>
      <c r="J394" t="n">
        <v>88</v>
      </c>
      <c r="K394" t="inlineStr"/>
      <c r="M394" t="inlineStr">
        <is>
          <t>TN</t>
        </is>
      </c>
      <c r="N394" t="inlineStr"/>
      <c r="P394" t="inlineStr">
        <is>
          <t>20190426</t>
        </is>
      </c>
      <c r="Q394" t="inlineStr">
        <is>
          <t>20250127</t>
        </is>
      </c>
    </row>
    <row r="395">
      <c r="A395" t="inlineStr">
        <is>
          <t>900002813D8366591661610000630</t>
        </is>
      </c>
      <c r="B395" t="inlineStr">
        <is>
          <t>900002813</t>
        </is>
      </c>
      <c r="C395" t="inlineStr">
        <is>
          <t>D836</t>
        </is>
      </c>
      <c r="D395" t="inlineStr">
        <is>
          <t>65916616</t>
        </is>
      </c>
      <c r="E395" t="inlineStr">
        <is>
          <t>1</t>
        </is>
      </c>
      <c r="F395" t="inlineStr">
        <is>
          <t>10000630</t>
        </is>
      </c>
      <c r="H395" t="inlineStr"/>
      <c r="J395" t="n">
        <v>59</v>
      </c>
      <c r="K395" t="inlineStr"/>
      <c r="M395" t="inlineStr">
        <is>
          <t>TN</t>
        </is>
      </c>
      <c r="N395" t="inlineStr"/>
      <c r="P395" t="inlineStr">
        <is>
          <t>20190426</t>
        </is>
      </c>
      <c r="Q395" t="inlineStr">
        <is>
          <t>20250127</t>
        </is>
      </c>
    </row>
    <row r="396">
      <c r="A396" t="inlineStr">
        <is>
          <t>900003192D8366500394510000624</t>
        </is>
      </c>
      <c r="B396" t="inlineStr">
        <is>
          <t>900003192</t>
        </is>
      </c>
      <c r="C396" t="inlineStr">
        <is>
          <t>D836</t>
        </is>
      </c>
      <c r="D396" t="inlineStr">
        <is>
          <t>65003945</t>
        </is>
      </c>
      <c r="E396" t="inlineStr">
        <is>
          <t>1</t>
        </is>
      </c>
      <c r="F396" t="inlineStr">
        <is>
          <t>10000624</t>
        </is>
      </c>
      <c r="H396" t="inlineStr"/>
      <c r="J396" t="n">
        <v>142.94</v>
      </c>
      <c r="K396" t="inlineStr"/>
      <c r="M396" t="inlineStr">
        <is>
          <t>TN</t>
        </is>
      </c>
      <c r="N396" t="inlineStr"/>
      <c r="P396" t="inlineStr">
        <is>
          <t>20190426</t>
        </is>
      </c>
      <c r="Q396" t="inlineStr">
        <is>
          <t>20250127</t>
        </is>
      </c>
    </row>
    <row r="397">
      <c r="A397" t="inlineStr">
        <is>
          <t>900003192D8366500394510000630</t>
        </is>
      </c>
      <c r="B397" t="inlineStr">
        <is>
          <t>900003192</t>
        </is>
      </c>
      <c r="C397" t="inlineStr">
        <is>
          <t>D836</t>
        </is>
      </c>
      <c r="D397" t="inlineStr">
        <is>
          <t>65003945</t>
        </is>
      </c>
      <c r="E397" t="inlineStr">
        <is>
          <t>1</t>
        </is>
      </c>
      <c r="F397" t="inlineStr">
        <is>
          <t>10000630</t>
        </is>
      </c>
      <c r="H397" t="inlineStr"/>
      <c r="J397" t="n">
        <v>148.05</v>
      </c>
      <c r="K397" t="inlineStr"/>
      <c r="M397" t="inlineStr">
        <is>
          <t>TN</t>
        </is>
      </c>
      <c r="N397" t="inlineStr"/>
      <c r="P397" t="inlineStr">
        <is>
          <t>20190426</t>
        </is>
      </c>
      <c r="Q397" t="inlineStr">
        <is>
          <t>20250127</t>
        </is>
      </c>
    </row>
    <row r="398">
      <c r="A398" t="inlineStr">
        <is>
          <t>900003192D8366500394510000722</t>
        </is>
      </c>
      <c r="B398" t="inlineStr">
        <is>
          <t>900003192</t>
        </is>
      </c>
      <c r="C398" t="inlineStr">
        <is>
          <t>D836</t>
        </is>
      </c>
      <c r="D398" t="inlineStr">
        <is>
          <t>65003945</t>
        </is>
      </c>
      <c r="E398" t="inlineStr">
        <is>
          <t>1</t>
        </is>
      </c>
      <c r="F398" t="inlineStr">
        <is>
          <t>10000722</t>
        </is>
      </c>
      <c r="H398" t="inlineStr"/>
      <c r="J398" t="n">
        <v>143.93</v>
      </c>
      <c r="K398" t="inlineStr"/>
      <c r="M398" t="inlineStr">
        <is>
          <t>TN</t>
        </is>
      </c>
      <c r="N398" t="inlineStr"/>
      <c r="P398" t="inlineStr">
        <is>
          <t>20190426</t>
        </is>
      </c>
      <c r="Q398" t="inlineStr">
        <is>
          <t>20250127</t>
        </is>
      </c>
    </row>
    <row r="399">
      <c r="A399" t="inlineStr">
        <is>
          <t>900003496D8366722167410000635</t>
        </is>
      </c>
      <c r="B399" t="inlineStr">
        <is>
          <t>900003496</t>
        </is>
      </c>
      <c r="C399" t="inlineStr">
        <is>
          <t>D836</t>
        </is>
      </c>
      <c r="D399" t="inlineStr">
        <is>
          <t>67221674</t>
        </is>
      </c>
      <c r="E399" t="inlineStr">
        <is>
          <t>4</t>
        </is>
      </c>
      <c r="F399" t="inlineStr">
        <is>
          <t>10000635</t>
        </is>
      </c>
      <c r="H399" t="inlineStr"/>
      <c r="J399" t="n">
        <v>500</v>
      </c>
      <c r="K399" t="inlineStr"/>
      <c r="M399" t="inlineStr">
        <is>
          <t>TN</t>
        </is>
      </c>
      <c r="N399" t="inlineStr"/>
      <c r="P399" t="inlineStr">
        <is>
          <t>20230301</t>
        </is>
      </c>
      <c r="Q399" t="inlineStr">
        <is>
          <t>20251031</t>
        </is>
      </c>
    </row>
    <row r="400">
      <c r="A400" t="inlineStr">
        <is>
          <t>900003496D8366722167410000655</t>
        </is>
      </c>
      <c r="B400" t="inlineStr">
        <is>
          <t>900003496</t>
        </is>
      </c>
      <c r="C400" t="inlineStr">
        <is>
          <t>D836</t>
        </is>
      </c>
      <c r="D400" t="inlineStr">
        <is>
          <t>67221674</t>
        </is>
      </c>
      <c r="E400" t="inlineStr">
        <is>
          <t>4</t>
        </is>
      </c>
      <c r="F400" t="inlineStr">
        <is>
          <t>10000655</t>
        </is>
      </c>
      <c r="H400" t="inlineStr"/>
      <c r="J400" t="n">
        <v>500</v>
      </c>
      <c r="K400" t="inlineStr"/>
      <c r="M400" t="inlineStr">
        <is>
          <t>TN</t>
        </is>
      </c>
      <c r="N400" t="inlineStr"/>
      <c r="P400" t="inlineStr">
        <is>
          <t>20230301</t>
        </is>
      </c>
      <c r="Q400" t="inlineStr">
        <is>
          <t>20251031</t>
        </is>
      </c>
    </row>
    <row r="401">
      <c r="A401" t="inlineStr">
        <is>
          <t>900003496D8366724340810000635</t>
        </is>
      </c>
      <c r="B401" t="inlineStr">
        <is>
          <t>900003496</t>
        </is>
      </c>
      <c r="C401" t="inlineStr">
        <is>
          <t>D836</t>
        </is>
      </c>
      <c r="D401" t="inlineStr">
        <is>
          <t>67243408</t>
        </is>
      </c>
      <c r="E401" t="inlineStr">
        <is>
          <t>4</t>
        </is>
      </c>
      <c r="F401" t="inlineStr">
        <is>
          <t>10000635</t>
        </is>
      </c>
      <c r="H401" t="inlineStr"/>
      <c r="J401" t="n">
        <v>571.0700000000001</v>
      </c>
      <c r="K401" t="inlineStr"/>
      <c r="M401" t="inlineStr">
        <is>
          <t>TN</t>
        </is>
      </c>
      <c r="N401" t="inlineStr"/>
      <c r="P401" t="inlineStr">
        <is>
          <t>20251022</t>
        </is>
      </c>
      <c r="Q401" t="inlineStr">
        <is>
          <t>99991231</t>
        </is>
      </c>
    </row>
    <row r="402">
      <c r="A402" t="inlineStr">
        <is>
          <t>900003496D8366724340810000643</t>
        </is>
      </c>
      <c r="B402" t="inlineStr">
        <is>
          <t>900003496</t>
        </is>
      </c>
      <c r="C402" t="inlineStr">
        <is>
          <t>D836</t>
        </is>
      </c>
      <c r="D402" t="inlineStr">
        <is>
          <t>67243408</t>
        </is>
      </c>
      <c r="E402" t="inlineStr">
        <is>
          <t>4</t>
        </is>
      </c>
      <c r="F402" t="inlineStr">
        <is>
          <t>10000643</t>
        </is>
      </c>
      <c r="H402" t="inlineStr"/>
      <c r="J402" t="n">
        <v>571.0700000000001</v>
      </c>
      <c r="K402" t="inlineStr"/>
      <c r="M402" t="inlineStr">
        <is>
          <t>TN</t>
        </is>
      </c>
      <c r="N402" t="inlineStr"/>
      <c r="P402" t="inlineStr">
        <is>
          <t>20251022</t>
        </is>
      </c>
      <c r="Q402" t="inlineStr">
        <is>
          <t>99991231</t>
        </is>
      </c>
    </row>
    <row r="403">
      <c r="A403" t="inlineStr">
        <is>
          <t>900003496D8366724340810000655</t>
        </is>
      </c>
      <c r="B403" t="inlineStr">
        <is>
          <t>900003496</t>
        </is>
      </c>
      <c r="C403" t="inlineStr">
        <is>
          <t>D836</t>
        </is>
      </c>
      <c r="D403" t="inlineStr">
        <is>
          <t>67243408</t>
        </is>
      </c>
      <c r="E403" t="inlineStr">
        <is>
          <t>4</t>
        </is>
      </c>
      <c r="F403" t="inlineStr">
        <is>
          <t>10000655</t>
        </is>
      </c>
      <c r="H403" t="inlineStr"/>
      <c r="J403" t="n">
        <v>571.0700000000001</v>
      </c>
      <c r="K403" t="inlineStr"/>
      <c r="M403" t="inlineStr">
        <is>
          <t>TN</t>
        </is>
      </c>
      <c r="N403" t="inlineStr"/>
      <c r="P403" t="inlineStr">
        <is>
          <t>20250923</t>
        </is>
      </c>
      <c r="Q403" t="inlineStr">
        <is>
          <t>99991231</t>
        </is>
      </c>
    </row>
    <row r="404">
      <c r="A404" t="inlineStr">
        <is>
          <t>900003588D8366506168510000357</t>
        </is>
      </c>
      <c r="B404" t="inlineStr">
        <is>
          <t>900003588</t>
        </is>
      </c>
      <c r="C404" t="inlineStr">
        <is>
          <t>D836</t>
        </is>
      </c>
      <c r="D404" t="inlineStr">
        <is>
          <t>65061685</t>
        </is>
      </c>
      <c r="E404" t="inlineStr">
        <is>
          <t>1</t>
        </is>
      </c>
      <c r="F404" t="inlineStr">
        <is>
          <t>10000357</t>
        </is>
      </c>
      <c r="H404" t="inlineStr"/>
      <c r="J404" t="n">
        <v>61</v>
      </c>
      <c r="K404" t="inlineStr"/>
      <c r="M404" t="inlineStr">
        <is>
          <t>TN</t>
        </is>
      </c>
      <c r="N404" t="inlineStr"/>
      <c r="P404" t="inlineStr">
        <is>
          <t>20190426</t>
        </is>
      </c>
      <c r="Q404" t="inlineStr">
        <is>
          <t>20250127</t>
        </is>
      </c>
    </row>
    <row r="405">
      <c r="A405" t="inlineStr">
        <is>
          <t>900003588D8366506168510000625</t>
        </is>
      </c>
      <c r="B405" t="inlineStr">
        <is>
          <t>900003588</t>
        </is>
      </c>
      <c r="C405" t="inlineStr">
        <is>
          <t>D836</t>
        </is>
      </c>
      <c r="D405" t="inlineStr">
        <is>
          <t>65061685</t>
        </is>
      </c>
      <c r="E405" t="inlineStr">
        <is>
          <t>1</t>
        </is>
      </c>
      <c r="F405" t="inlineStr">
        <is>
          <t>10000625</t>
        </is>
      </c>
      <c r="H405" t="inlineStr"/>
      <c r="J405" t="n">
        <v>55.5</v>
      </c>
      <c r="K405" t="inlineStr"/>
      <c r="M405" t="inlineStr">
        <is>
          <t>TN</t>
        </is>
      </c>
      <c r="N405" t="inlineStr"/>
      <c r="P405" t="inlineStr">
        <is>
          <t>20190426</t>
        </is>
      </c>
      <c r="Q405" t="inlineStr">
        <is>
          <t>20250127</t>
        </is>
      </c>
    </row>
    <row r="406">
      <c r="A406" t="inlineStr">
        <is>
          <t>900003588D8366506168510000627</t>
        </is>
      </c>
      <c r="B406" t="inlineStr">
        <is>
          <t>900003588</t>
        </is>
      </c>
      <c r="C406" t="inlineStr">
        <is>
          <t>D836</t>
        </is>
      </c>
      <c r="D406" t="inlineStr">
        <is>
          <t>65061685</t>
        </is>
      </c>
      <c r="E406" t="inlineStr">
        <is>
          <t>1</t>
        </is>
      </c>
      <c r="F406" t="inlineStr">
        <is>
          <t>10000627</t>
        </is>
      </c>
      <c r="H406" t="inlineStr"/>
      <c r="J406" t="n">
        <v>61</v>
      </c>
      <c r="K406" t="inlineStr"/>
      <c r="M406" t="inlineStr">
        <is>
          <t>TN</t>
        </is>
      </c>
      <c r="N406" t="inlineStr"/>
      <c r="P406" t="inlineStr">
        <is>
          <t>20190426</t>
        </is>
      </c>
      <c r="Q406" t="inlineStr">
        <is>
          <t>20250127</t>
        </is>
      </c>
    </row>
    <row r="407">
      <c r="A407" t="inlineStr">
        <is>
          <t>900003588D8366506168510001354</t>
        </is>
      </c>
      <c r="B407" t="inlineStr">
        <is>
          <t>900003588</t>
        </is>
      </c>
      <c r="C407" t="inlineStr">
        <is>
          <t>D836</t>
        </is>
      </c>
      <c r="D407" t="inlineStr">
        <is>
          <t>65061685</t>
        </is>
      </c>
      <c r="E407" t="inlineStr">
        <is>
          <t>1</t>
        </is>
      </c>
      <c r="F407" t="inlineStr">
        <is>
          <t>10001354</t>
        </is>
      </c>
      <c r="H407" t="inlineStr"/>
      <c r="J407" t="n">
        <v>61</v>
      </c>
      <c r="K407" t="inlineStr"/>
      <c r="M407" t="inlineStr">
        <is>
          <t>TN</t>
        </is>
      </c>
      <c r="N407" t="inlineStr"/>
      <c r="P407" t="inlineStr">
        <is>
          <t>20190426</t>
        </is>
      </c>
      <c r="Q407" t="inlineStr">
        <is>
          <t>20250127</t>
        </is>
      </c>
    </row>
    <row r="408">
      <c r="A408" t="inlineStr">
        <is>
          <t>900003588D8366506168510003015</t>
        </is>
      </c>
      <c r="B408" t="inlineStr">
        <is>
          <t>900003588</t>
        </is>
      </c>
      <c r="C408" t="inlineStr">
        <is>
          <t>D836</t>
        </is>
      </c>
      <c r="D408" t="inlineStr">
        <is>
          <t>65061685</t>
        </is>
      </c>
      <c r="E408" t="inlineStr">
        <is>
          <t>1</t>
        </is>
      </c>
      <c r="F408" t="inlineStr">
        <is>
          <t>10003015</t>
        </is>
      </c>
      <c r="H408" t="inlineStr"/>
      <c r="J408" t="n">
        <v>46</v>
      </c>
      <c r="K408" t="inlineStr"/>
      <c r="M408" t="inlineStr">
        <is>
          <t>TN</t>
        </is>
      </c>
      <c r="N408" t="inlineStr"/>
      <c r="P408" t="inlineStr">
        <is>
          <t>20190426</t>
        </is>
      </c>
      <c r="Q408" t="inlineStr">
        <is>
          <t>20250127</t>
        </is>
      </c>
    </row>
    <row r="409">
      <c r="A409" t="inlineStr">
        <is>
          <t>900003588D8366512999710000357</t>
        </is>
      </c>
      <c r="B409" t="inlineStr">
        <is>
          <t>900003588</t>
        </is>
      </c>
      <c r="C409" t="inlineStr">
        <is>
          <t>D836</t>
        </is>
      </c>
      <c r="D409" t="inlineStr">
        <is>
          <t>65129997</t>
        </is>
      </c>
      <c r="E409" t="inlineStr">
        <is>
          <t>1</t>
        </is>
      </c>
      <c r="F409" t="inlineStr">
        <is>
          <t>10000357</t>
        </is>
      </c>
      <c r="H409" t="inlineStr"/>
      <c r="J409" t="n">
        <v>31</v>
      </c>
      <c r="K409" t="inlineStr"/>
      <c r="M409" t="inlineStr">
        <is>
          <t>TN</t>
        </is>
      </c>
      <c r="N409" t="inlineStr"/>
      <c r="P409" t="inlineStr">
        <is>
          <t>20190426</t>
        </is>
      </c>
      <c r="Q409" t="inlineStr">
        <is>
          <t>20250127</t>
        </is>
      </c>
    </row>
    <row r="410">
      <c r="A410" t="inlineStr">
        <is>
          <t>900003588D8366512999710000625</t>
        </is>
      </c>
      <c r="B410" t="inlineStr">
        <is>
          <t>900003588</t>
        </is>
      </c>
      <c r="C410" t="inlineStr">
        <is>
          <t>D836</t>
        </is>
      </c>
      <c r="D410" t="inlineStr">
        <is>
          <t>65129997</t>
        </is>
      </c>
      <c r="E410" t="inlineStr">
        <is>
          <t>1</t>
        </is>
      </c>
      <c r="F410" t="inlineStr">
        <is>
          <t>10000625</t>
        </is>
      </c>
      <c r="H410" t="inlineStr"/>
      <c r="J410" t="n">
        <v>28.5</v>
      </c>
      <c r="K410" t="inlineStr"/>
      <c r="M410" t="inlineStr">
        <is>
          <t>TN</t>
        </is>
      </c>
      <c r="N410" t="inlineStr"/>
      <c r="P410" t="inlineStr">
        <is>
          <t>20190426</t>
        </is>
      </c>
      <c r="Q410" t="inlineStr">
        <is>
          <t>20250127</t>
        </is>
      </c>
    </row>
    <row r="411">
      <c r="A411" t="inlineStr">
        <is>
          <t>900003588D8366512999710000627</t>
        </is>
      </c>
      <c r="B411" t="inlineStr">
        <is>
          <t>900003588</t>
        </is>
      </c>
      <c r="C411" t="inlineStr">
        <is>
          <t>D836</t>
        </is>
      </c>
      <c r="D411" t="inlineStr">
        <is>
          <t>65129997</t>
        </is>
      </c>
      <c r="E411" t="inlineStr">
        <is>
          <t>1</t>
        </is>
      </c>
      <c r="F411" t="inlineStr">
        <is>
          <t>10000627</t>
        </is>
      </c>
      <c r="H411" t="inlineStr"/>
      <c r="J411" t="n">
        <v>31</v>
      </c>
      <c r="K411" t="inlineStr"/>
      <c r="M411" t="inlineStr">
        <is>
          <t>TN</t>
        </is>
      </c>
      <c r="N411" t="inlineStr"/>
      <c r="P411" t="inlineStr">
        <is>
          <t>20190426</t>
        </is>
      </c>
      <c r="Q411" t="inlineStr">
        <is>
          <t>20250127</t>
        </is>
      </c>
    </row>
    <row r="412">
      <c r="A412" t="inlineStr">
        <is>
          <t>900003588D8366524676310000357</t>
        </is>
      </c>
      <c r="B412" t="inlineStr">
        <is>
          <t>900003588</t>
        </is>
      </c>
      <c r="C412" t="inlineStr">
        <is>
          <t>D836</t>
        </is>
      </c>
      <c r="D412" t="inlineStr">
        <is>
          <t>65246763</t>
        </is>
      </c>
      <c r="E412" t="inlineStr">
        <is>
          <t>1</t>
        </is>
      </c>
      <c r="F412" t="inlineStr">
        <is>
          <t>10000357</t>
        </is>
      </c>
      <c r="H412" t="inlineStr"/>
      <c r="J412" t="n">
        <v>53</v>
      </c>
      <c r="K412" t="inlineStr"/>
      <c r="M412" t="inlineStr">
        <is>
          <t>TN</t>
        </is>
      </c>
      <c r="N412" t="inlineStr"/>
      <c r="P412" t="inlineStr">
        <is>
          <t>20190426</t>
        </is>
      </c>
      <c r="Q412" t="inlineStr">
        <is>
          <t>20250127</t>
        </is>
      </c>
    </row>
    <row r="413">
      <c r="A413" t="inlineStr">
        <is>
          <t>900003588D8366524676310000625</t>
        </is>
      </c>
      <c r="B413" t="inlineStr">
        <is>
          <t>900003588</t>
        </is>
      </c>
      <c r="C413" t="inlineStr">
        <is>
          <t>D836</t>
        </is>
      </c>
      <c r="D413" t="inlineStr">
        <is>
          <t>65246763</t>
        </is>
      </c>
      <c r="E413" t="inlineStr">
        <is>
          <t>1</t>
        </is>
      </c>
      <c r="F413" t="inlineStr">
        <is>
          <t>10000625</t>
        </is>
      </c>
      <c r="H413" t="inlineStr"/>
      <c r="J413" t="n">
        <v>53</v>
      </c>
      <c r="K413" t="inlineStr"/>
      <c r="M413" t="inlineStr">
        <is>
          <t>TN</t>
        </is>
      </c>
      <c r="N413" t="inlineStr"/>
      <c r="P413" t="inlineStr">
        <is>
          <t>20190426</t>
        </is>
      </c>
      <c r="Q413" t="inlineStr">
        <is>
          <t>20250127</t>
        </is>
      </c>
    </row>
    <row r="414">
      <c r="A414" t="inlineStr">
        <is>
          <t>900003588D8366524676310000627</t>
        </is>
      </c>
      <c r="B414" t="inlineStr">
        <is>
          <t>900003588</t>
        </is>
      </c>
      <c r="C414" t="inlineStr">
        <is>
          <t>D836</t>
        </is>
      </c>
      <c r="D414" t="inlineStr">
        <is>
          <t>65246763</t>
        </is>
      </c>
      <c r="E414" t="inlineStr">
        <is>
          <t>1</t>
        </is>
      </c>
      <c r="F414" t="inlineStr">
        <is>
          <t>10000627</t>
        </is>
      </c>
      <c r="H414" t="inlineStr"/>
      <c r="J414" t="n">
        <v>53</v>
      </c>
      <c r="K414" t="inlineStr"/>
      <c r="M414" t="inlineStr">
        <is>
          <t>TN</t>
        </is>
      </c>
      <c r="N414" t="inlineStr"/>
      <c r="P414" t="inlineStr">
        <is>
          <t>20190426</t>
        </is>
      </c>
      <c r="Q414" t="inlineStr">
        <is>
          <t>20250127</t>
        </is>
      </c>
    </row>
    <row r="415">
      <c r="A415" t="inlineStr">
        <is>
          <t>900003588D8366525139910000357</t>
        </is>
      </c>
      <c r="B415" t="inlineStr">
        <is>
          <t>900003588</t>
        </is>
      </c>
      <c r="C415" t="inlineStr">
        <is>
          <t>D836</t>
        </is>
      </c>
      <c r="D415" t="inlineStr">
        <is>
          <t>65251399</t>
        </is>
      </c>
      <c r="E415" t="inlineStr">
        <is>
          <t>1</t>
        </is>
      </c>
      <c r="F415" t="inlineStr">
        <is>
          <t>10000357</t>
        </is>
      </c>
      <c r="H415" t="inlineStr"/>
      <c r="J415" t="n">
        <v>50</v>
      </c>
      <c r="K415" t="inlineStr"/>
      <c r="M415" t="inlineStr">
        <is>
          <t>TN</t>
        </is>
      </c>
      <c r="N415" t="inlineStr"/>
      <c r="P415" t="inlineStr">
        <is>
          <t>20190426</t>
        </is>
      </c>
      <c r="Q415" t="inlineStr">
        <is>
          <t>20250127</t>
        </is>
      </c>
    </row>
    <row r="416">
      <c r="A416" t="inlineStr">
        <is>
          <t>900003588D8366525139910000625</t>
        </is>
      </c>
      <c r="B416" t="inlineStr">
        <is>
          <t>900003588</t>
        </is>
      </c>
      <c r="C416" t="inlineStr">
        <is>
          <t>D836</t>
        </is>
      </c>
      <c r="D416" t="inlineStr">
        <is>
          <t>65251399</t>
        </is>
      </c>
      <c r="E416" t="inlineStr">
        <is>
          <t>1</t>
        </is>
      </c>
      <c r="F416" t="inlineStr">
        <is>
          <t>10000625</t>
        </is>
      </c>
      <c r="H416" t="inlineStr"/>
      <c r="J416" t="n">
        <v>50</v>
      </c>
      <c r="K416" t="inlineStr"/>
      <c r="M416" t="inlineStr">
        <is>
          <t>TN</t>
        </is>
      </c>
      <c r="N416" t="inlineStr"/>
      <c r="P416" t="inlineStr">
        <is>
          <t>20190426</t>
        </is>
      </c>
      <c r="Q416" t="inlineStr">
        <is>
          <t>20250127</t>
        </is>
      </c>
    </row>
    <row r="417">
      <c r="A417" t="inlineStr">
        <is>
          <t>900003588D8366525139910000627</t>
        </is>
      </c>
      <c r="B417" t="inlineStr">
        <is>
          <t>900003588</t>
        </is>
      </c>
      <c r="C417" t="inlineStr">
        <is>
          <t>D836</t>
        </is>
      </c>
      <c r="D417" t="inlineStr">
        <is>
          <t>65251399</t>
        </is>
      </c>
      <c r="E417" t="inlineStr">
        <is>
          <t>1</t>
        </is>
      </c>
      <c r="F417" t="inlineStr">
        <is>
          <t>10000627</t>
        </is>
      </c>
      <c r="H417" t="inlineStr"/>
      <c r="J417" t="n">
        <v>50</v>
      </c>
      <c r="K417" t="inlineStr"/>
      <c r="M417" t="inlineStr">
        <is>
          <t>TN</t>
        </is>
      </c>
      <c r="N417" t="inlineStr"/>
      <c r="P417" t="inlineStr">
        <is>
          <t>20190426</t>
        </is>
      </c>
      <c r="Q417" t="inlineStr">
        <is>
          <t>20250127</t>
        </is>
      </c>
    </row>
    <row r="418">
      <c r="A418" t="inlineStr">
        <is>
          <t>900003588D8366525139910001354</t>
        </is>
      </c>
      <c r="B418" t="inlineStr">
        <is>
          <t>900003588</t>
        </is>
      </c>
      <c r="C418" t="inlineStr">
        <is>
          <t>D836</t>
        </is>
      </c>
      <c r="D418" t="inlineStr">
        <is>
          <t>65251399</t>
        </is>
      </c>
      <c r="E418" t="inlineStr">
        <is>
          <t>1</t>
        </is>
      </c>
      <c r="F418" t="inlineStr">
        <is>
          <t>10001354</t>
        </is>
      </c>
      <c r="H418" t="inlineStr"/>
      <c r="J418" t="n">
        <v>55</v>
      </c>
      <c r="K418" t="inlineStr"/>
      <c r="M418" t="inlineStr">
        <is>
          <t>TN</t>
        </is>
      </c>
      <c r="N418" t="inlineStr"/>
      <c r="P418" t="inlineStr">
        <is>
          <t>20190426</t>
        </is>
      </c>
      <c r="Q418" t="inlineStr">
        <is>
          <t>20250127</t>
        </is>
      </c>
    </row>
    <row r="419">
      <c r="A419" t="inlineStr">
        <is>
          <t>900003588D8366530177510000357</t>
        </is>
      </c>
      <c r="B419" t="inlineStr">
        <is>
          <t>900003588</t>
        </is>
      </c>
      <c r="C419" t="inlineStr">
        <is>
          <t>D836</t>
        </is>
      </c>
      <c r="D419" t="inlineStr">
        <is>
          <t>65301775</t>
        </is>
      </c>
      <c r="E419" t="inlineStr">
        <is>
          <t>1</t>
        </is>
      </c>
      <c r="F419" t="inlineStr">
        <is>
          <t>10000357</t>
        </is>
      </c>
      <c r="H419" t="inlineStr"/>
      <c r="J419" t="n">
        <v>31</v>
      </c>
      <c r="K419" t="inlineStr"/>
      <c r="M419" t="inlineStr">
        <is>
          <t>TN</t>
        </is>
      </c>
      <c r="N419" t="inlineStr"/>
      <c r="P419" t="inlineStr">
        <is>
          <t>20190426</t>
        </is>
      </c>
      <c r="Q419" t="inlineStr">
        <is>
          <t>20250127</t>
        </is>
      </c>
    </row>
    <row r="420">
      <c r="A420" t="inlineStr">
        <is>
          <t>900003588D8366530177510000625</t>
        </is>
      </c>
      <c r="B420" t="inlineStr">
        <is>
          <t>900003588</t>
        </is>
      </c>
      <c r="C420" t="inlineStr">
        <is>
          <t>D836</t>
        </is>
      </c>
      <c r="D420" t="inlineStr">
        <is>
          <t>65301775</t>
        </is>
      </c>
      <c r="E420" t="inlineStr">
        <is>
          <t>1</t>
        </is>
      </c>
      <c r="F420" t="inlineStr">
        <is>
          <t>10000625</t>
        </is>
      </c>
      <c r="H420" t="inlineStr"/>
      <c r="J420" t="n">
        <v>28.5</v>
      </c>
      <c r="K420" t="inlineStr"/>
      <c r="M420" t="inlineStr">
        <is>
          <t>TN</t>
        </is>
      </c>
      <c r="N420" t="inlineStr"/>
      <c r="P420" t="inlineStr">
        <is>
          <t>20190426</t>
        </is>
      </c>
      <c r="Q420" t="inlineStr">
        <is>
          <t>20250127</t>
        </is>
      </c>
    </row>
    <row r="421">
      <c r="A421" t="inlineStr">
        <is>
          <t>900003588D8366530177510000627</t>
        </is>
      </c>
      <c r="B421" t="inlineStr">
        <is>
          <t>900003588</t>
        </is>
      </c>
      <c r="C421" t="inlineStr">
        <is>
          <t>D836</t>
        </is>
      </c>
      <c r="D421" t="inlineStr">
        <is>
          <t>65301775</t>
        </is>
      </c>
      <c r="E421" t="inlineStr">
        <is>
          <t>1</t>
        </is>
      </c>
      <c r="F421" t="inlineStr">
        <is>
          <t>10000627</t>
        </is>
      </c>
      <c r="H421" t="inlineStr"/>
      <c r="J421" t="n">
        <v>31</v>
      </c>
      <c r="K421" t="inlineStr"/>
      <c r="M421" t="inlineStr">
        <is>
          <t>TN</t>
        </is>
      </c>
      <c r="N421" t="inlineStr"/>
      <c r="P421" t="inlineStr">
        <is>
          <t>20190426</t>
        </is>
      </c>
      <c r="Q421" t="inlineStr">
        <is>
          <t>20250127</t>
        </is>
      </c>
    </row>
    <row r="422">
      <c r="A422" t="inlineStr">
        <is>
          <t>900003588D8366540006710000625</t>
        </is>
      </c>
      <c r="B422" t="inlineStr">
        <is>
          <t>900003588</t>
        </is>
      </c>
      <c r="C422" t="inlineStr">
        <is>
          <t>D836</t>
        </is>
      </c>
      <c r="D422" t="inlineStr">
        <is>
          <t>65400067</t>
        </is>
      </c>
      <c r="E422" t="inlineStr">
        <is>
          <t>1</t>
        </is>
      </c>
      <c r="F422" t="inlineStr">
        <is>
          <t>10000625</t>
        </is>
      </c>
      <c r="H422" t="inlineStr"/>
      <c r="J422" t="n">
        <v>28.5</v>
      </c>
      <c r="K422" t="inlineStr"/>
      <c r="M422" t="inlineStr">
        <is>
          <t>TN</t>
        </is>
      </c>
      <c r="N422" t="inlineStr"/>
      <c r="P422" t="inlineStr">
        <is>
          <t>20190426</t>
        </is>
      </c>
      <c r="Q422" t="inlineStr">
        <is>
          <t>20250127</t>
        </is>
      </c>
    </row>
    <row r="423">
      <c r="A423" t="inlineStr">
        <is>
          <t>900003588D8366544227010000357</t>
        </is>
      </c>
      <c r="B423" t="inlineStr">
        <is>
          <t>900003588</t>
        </is>
      </c>
      <c r="C423" t="inlineStr">
        <is>
          <t>D836</t>
        </is>
      </c>
      <c r="D423" t="inlineStr">
        <is>
          <t>65442270</t>
        </is>
      </c>
      <c r="E423" t="inlineStr">
        <is>
          <t>1</t>
        </is>
      </c>
      <c r="F423" t="inlineStr">
        <is>
          <t>10000357</t>
        </is>
      </c>
      <c r="H423" t="inlineStr"/>
      <c r="J423" t="n">
        <v>57</v>
      </c>
      <c r="K423" t="inlineStr"/>
      <c r="M423" t="inlineStr">
        <is>
          <t>TN</t>
        </is>
      </c>
      <c r="N423" t="inlineStr"/>
      <c r="P423" t="inlineStr">
        <is>
          <t>20190426</t>
        </is>
      </c>
      <c r="Q423" t="inlineStr">
        <is>
          <t>20250127</t>
        </is>
      </c>
    </row>
    <row r="424">
      <c r="A424" t="inlineStr">
        <is>
          <t>900003588D8366544227010000625</t>
        </is>
      </c>
      <c r="B424" t="inlineStr">
        <is>
          <t>900003588</t>
        </is>
      </c>
      <c r="C424" t="inlineStr">
        <is>
          <t>D836</t>
        </is>
      </c>
      <c r="D424" t="inlineStr">
        <is>
          <t>65442270</t>
        </is>
      </c>
      <c r="E424" t="inlineStr">
        <is>
          <t>1</t>
        </is>
      </c>
      <c r="F424" t="inlineStr">
        <is>
          <t>10000625</t>
        </is>
      </c>
      <c r="H424" t="inlineStr"/>
      <c r="J424" t="n">
        <v>54</v>
      </c>
      <c r="K424" t="inlineStr"/>
      <c r="M424" t="inlineStr">
        <is>
          <t>TN</t>
        </is>
      </c>
      <c r="N424" t="inlineStr"/>
      <c r="P424" t="inlineStr">
        <is>
          <t>20190426</t>
        </is>
      </c>
      <c r="Q424" t="inlineStr">
        <is>
          <t>20250127</t>
        </is>
      </c>
    </row>
    <row r="425">
      <c r="A425" t="inlineStr">
        <is>
          <t>900003588D8366544227010000627</t>
        </is>
      </c>
      <c r="B425" t="inlineStr">
        <is>
          <t>900003588</t>
        </is>
      </c>
      <c r="C425" t="inlineStr">
        <is>
          <t>D836</t>
        </is>
      </c>
      <c r="D425" t="inlineStr">
        <is>
          <t>65442270</t>
        </is>
      </c>
      <c r="E425" t="inlineStr">
        <is>
          <t>1</t>
        </is>
      </c>
      <c r="F425" t="inlineStr">
        <is>
          <t>10000627</t>
        </is>
      </c>
      <c r="H425" t="inlineStr"/>
      <c r="J425" t="n">
        <v>57</v>
      </c>
      <c r="K425" t="inlineStr"/>
      <c r="M425" t="inlineStr">
        <is>
          <t>TN</t>
        </is>
      </c>
      <c r="N425" t="inlineStr"/>
      <c r="P425" t="inlineStr">
        <is>
          <t>20190426</t>
        </is>
      </c>
      <c r="Q425" t="inlineStr">
        <is>
          <t>20250127</t>
        </is>
      </c>
    </row>
    <row r="426">
      <c r="A426" t="inlineStr">
        <is>
          <t>900003588D8366557034610000357</t>
        </is>
      </c>
      <c r="B426" t="inlineStr">
        <is>
          <t>900003588</t>
        </is>
      </c>
      <c r="C426" t="inlineStr">
        <is>
          <t>D836</t>
        </is>
      </c>
      <c r="D426" t="inlineStr">
        <is>
          <t>65570346</t>
        </is>
      </c>
      <c r="E426" t="inlineStr">
        <is>
          <t>1</t>
        </is>
      </c>
      <c r="F426" t="inlineStr">
        <is>
          <t>10000357</t>
        </is>
      </c>
      <c r="H426" t="inlineStr"/>
      <c r="J426" t="n">
        <v>57</v>
      </c>
      <c r="K426" t="inlineStr"/>
      <c r="M426" t="inlineStr">
        <is>
          <t>TN</t>
        </is>
      </c>
      <c r="N426" t="inlineStr"/>
      <c r="P426" t="inlineStr">
        <is>
          <t>20190426</t>
        </is>
      </c>
      <c r="Q426" t="inlineStr">
        <is>
          <t>20250127</t>
        </is>
      </c>
    </row>
    <row r="427">
      <c r="A427" t="inlineStr">
        <is>
          <t>900003588D8366557034610000625</t>
        </is>
      </c>
      <c r="B427" t="inlineStr">
        <is>
          <t>900003588</t>
        </is>
      </c>
      <c r="C427" t="inlineStr">
        <is>
          <t>D836</t>
        </is>
      </c>
      <c r="D427" t="inlineStr">
        <is>
          <t>65570346</t>
        </is>
      </c>
      <c r="E427" t="inlineStr">
        <is>
          <t>1</t>
        </is>
      </c>
      <c r="F427" t="inlineStr">
        <is>
          <t>10000625</t>
        </is>
      </c>
      <c r="H427" t="inlineStr"/>
      <c r="J427" t="n">
        <v>55</v>
      </c>
      <c r="K427" t="inlineStr"/>
      <c r="M427" t="inlineStr">
        <is>
          <t>TN</t>
        </is>
      </c>
      <c r="N427" t="inlineStr"/>
      <c r="P427" t="inlineStr">
        <is>
          <t>20190426</t>
        </is>
      </c>
      <c r="Q427" t="inlineStr">
        <is>
          <t>20250127</t>
        </is>
      </c>
    </row>
    <row r="428">
      <c r="A428" t="inlineStr">
        <is>
          <t>900003588D8366557034610000627</t>
        </is>
      </c>
      <c r="B428" t="inlineStr">
        <is>
          <t>900003588</t>
        </is>
      </c>
      <c r="C428" t="inlineStr">
        <is>
          <t>D836</t>
        </is>
      </c>
      <c r="D428" t="inlineStr">
        <is>
          <t>65570346</t>
        </is>
      </c>
      <c r="E428" t="inlineStr">
        <is>
          <t>1</t>
        </is>
      </c>
      <c r="F428" t="inlineStr">
        <is>
          <t>10000627</t>
        </is>
      </c>
      <c r="H428" t="inlineStr"/>
      <c r="J428" t="n">
        <v>57</v>
      </c>
      <c r="K428" t="inlineStr"/>
      <c r="M428" t="inlineStr">
        <is>
          <t>TN</t>
        </is>
      </c>
      <c r="N428" t="inlineStr"/>
      <c r="P428" t="inlineStr">
        <is>
          <t>20190426</t>
        </is>
      </c>
      <c r="Q428" t="inlineStr">
        <is>
          <t>20250127</t>
        </is>
      </c>
    </row>
    <row r="429">
      <c r="A429" t="inlineStr">
        <is>
          <t>900003588D8366572912210000357</t>
        </is>
      </c>
      <c r="B429" t="inlineStr">
        <is>
          <t>900003588</t>
        </is>
      </c>
      <c r="C429" t="inlineStr">
        <is>
          <t>D836</t>
        </is>
      </c>
      <c r="D429" t="inlineStr">
        <is>
          <t>65729122</t>
        </is>
      </c>
      <c r="E429" t="inlineStr">
        <is>
          <t>1</t>
        </is>
      </c>
      <c r="F429" t="inlineStr">
        <is>
          <t>10000357</t>
        </is>
      </c>
      <c r="H429" t="inlineStr"/>
      <c r="J429" t="n">
        <v>54</v>
      </c>
      <c r="K429" t="inlineStr"/>
      <c r="M429" t="inlineStr">
        <is>
          <t>TN</t>
        </is>
      </c>
      <c r="N429" t="inlineStr"/>
      <c r="P429" t="inlineStr">
        <is>
          <t>20190426</t>
        </is>
      </c>
      <c r="Q429" t="inlineStr">
        <is>
          <t>20250127</t>
        </is>
      </c>
    </row>
    <row r="430">
      <c r="A430" t="inlineStr">
        <is>
          <t>900003588D8366572912210000625</t>
        </is>
      </c>
      <c r="B430" t="inlineStr">
        <is>
          <t>900003588</t>
        </is>
      </c>
      <c r="C430" t="inlineStr">
        <is>
          <t>D836</t>
        </is>
      </c>
      <c r="D430" t="inlineStr">
        <is>
          <t>65729122</t>
        </is>
      </c>
      <c r="E430" t="inlineStr">
        <is>
          <t>1</t>
        </is>
      </c>
      <c r="F430" t="inlineStr">
        <is>
          <t>10000625</t>
        </is>
      </c>
      <c r="H430" t="inlineStr"/>
      <c r="J430" t="n">
        <v>54</v>
      </c>
      <c r="K430" t="inlineStr"/>
      <c r="M430" t="inlineStr">
        <is>
          <t>TN</t>
        </is>
      </c>
      <c r="N430" t="inlineStr"/>
      <c r="P430" t="inlineStr">
        <is>
          <t>20190426</t>
        </is>
      </c>
      <c r="Q430" t="inlineStr">
        <is>
          <t>20250127</t>
        </is>
      </c>
    </row>
    <row r="431">
      <c r="A431" t="inlineStr">
        <is>
          <t>900003588D8366572912210000627</t>
        </is>
      </c>
      <c r="B431" t="inlineStr">
        <is>
          <t>900003588</t>
        </is>
      </c>
      <c r="C431" t="inlineStr">
        <is>
          <t>D836</t>
        </is>
      </c>
      <c r="D431" t="inlineStr">
        <is>
          <t>65729122</t>
        </is>
      </c>
      <c r="E431" t="inlineStr">
        <is>
          <t>1</t>
        </is>
      </c>
      <c r="F431" t="inlineStr">
        <is>
          <t>10000627</t>
        </is>
      </c>
      <c r="H431" t="inlineStr"/>
      <c r="J431" t="n">
        <v>54</v>
      </c>
      <c r="K431" t="inlineStr"/>
      <c r="M431" t="inlineStr">
        <is>
          <t>TN</t>
        </is>
      </c>
      <c r="N431" t="inlineStr"/>
      <c r="P431" t="inlineStr">
        <is>
          <t>20190426</t>
        </is>
      </c>
      <c r="Q431" t="inlineStr">
        <is>
          <t>20250127</t>
        </is>
      </c>
    </row>
    <row r="432">
      <c r="A432" t="inlineStr">
        <is>
          <t>900003588D8366576751010000625</t>
        </is>
      </c>
      <c r="B432" t="inlineStr">
        <is>
          <t>900003588</t>
        </is>
      </c>
      <c r="C432" t="inlineStr">
        <is>
          <t>D836</t>
        </is>
      </c>
      <c r="D432" t="inlineStr">
        <is>
          <t>65767510</t>
        </is>
      </c>
      <c r="E432" t="inlineStr">
        <is>
          <t>1</t>
        </is>
      </c>
      <c r="F432" t="inlineStr">
        <is>
          <t>10000625</t>
        </is>
      </c>
      <c r="H432" t="inlineStr"/>
      <c r="J432" t="n">
        <v>131.8</v>
      </c>
      <c r="K432" t="inlineStr"/>
      <c r="M432" t="inlineStr">
        <is>
          <t>TN</t>
        </is>
      </c>
      <c r="N432" t="inlineStr"/>
      <c r="P432" t="inlineStr">
        <is>
          <t>20190426</t>
        </is>
      </c>
      <c r="Q432" t="inlineStr">
        <is>
          <t>20250127</t>
        </is>
      </c>
    </row>
    <row r="433">
      <c r="A433" t="inlineStr">
        <is>
          <t>900003588D8366579688210000357</t>
        </is>
      </c>
      <c r="B433" t="inlineStr">
        <is>
          <t>900003588</t>
        </is>
      </c>
      <c r="C433" t="inlineStr">
        <is>
          <t>D836</t>
        </is>
      </c>
      <c r="D433" t="inlineStr">
        <is>
          <t>65796882</t>
        </is>
      </c>
      <c r="E433" t="inlineStr">
        <is>
          <t>1</t>
        </is>
      </c>
      <c r="F433" t="inlineStr">
        <is>
          <t>10000357</t>
        </is>
      </c>
      <c r="H433" t="inlineStr"/>
      <c r="J433" t="n">
        <v>55</v>
      </c>
      <c r="K433" t="inlineStr"/>
      <c r="M433" t="inlineStr">
        <is>
          <t>TN</t>
        </is>
      </c>
      <c r="N433" t="inlineStr"/>
      <c r="P433" t="inlineStr">
        <is>
          <t>20190426</t>
        </is>
      </c>
      <c r="Q433" t="inlineStr">
        <is>
          <t>20250127</t>
        </is>
      </c>
    </row>
    <row r="434">
      <c r="A434" t="inlineStr">
        <is>
          <t>900003588D8366579688210000625</t>
        </is>
      </c>
      <c r="B434" t="inlineStr">
        <is>
          <t>900003588</t>
        </is>
      </c>
      <c r="C434" t="inlineStr">
        <is>
          <t>D836</t>
        </is>
      </c>
      <c r="D434" t="inlineStr">
        <is>
          <t>65796882</t>
        </is>
      </c>
      <c r="E434" t="inlineStr">
        <is>
          <t>1</t>
        </is>
      </c>
      <c r="F434" t="inlineStr">
        <is>
          <t>10000625</t>
        </is>
      </c>
      <c r="H434" t="inlineStr"/>
      <c r="J434" t="n">
        <v>55</v>
      </c>
      <c r="K434" t="inlineStr"/>
      <c r="M434" t="inlineStr">
        <is>
          <t>TN</t>
        </is>
      </c>
      <c r="N434" t="inlineStr"/>
      <c r="P434" t="inlineStr">
        <is>
          <t>20190426</t>
        </is>
      </c>
      <c r="Q434" t="inlineStr">
        <is>
          <t>20250127</t>
        </is>
      </c>
    </row>
    <row r="435">
      <c r="A435" t="inlineStr">
        <is>
          <t>900003588D8366579688210000627</t>
        </is>
      </c>
      <c r="B435" t="inlineStr">
        <is>
          <t>900003588</t>
        </is>
      </c>
      <c r="C435" t="inlineStr">
        <is>
          <t>D836</t>
        </is>
      </c>
      <c r="D435" t="inlineStr">
        <is>
          <t>65796882</t>
        </is>
      </c>
      <c r="E435" t="inlineStr">
        <is>
          <t>1</t>
        </is>
      </c>
      <c r="F435" t="inlineStr">
        <is>
          <t>10000627</t>
        </is>
      </c>
      <c r="H435" t="inlineStr"/>
      <c r="J435" t="n">
        <v>55</v>
      </c>
      <c r="K435" t="inlineStr"/>
      <c r="M435" t="inlineStr">
        <is>
          <t>TN</t>
        </is>
      </c>
      <c r="N435" t="inlineStr"/>
      <c r="P435" t="inlineStr">
        <is>
          <t>20190426</t>
        </is>
      </c>
      <c r="Q435" t="inlineStr">
        <is>
          <t>20250127</t>
        </is>
      </c>
    </row>
    <row r="436">
      <c r="A436" t="inlineStr">
        <is>
          <t>900003588D8366590842610000625</t>
        </is>
      </c>
      <c r="B436" t="inlineStr">
        <is>
          <t>900003588</t>
        </is>
      </c>
      <c r="C436" t="inlineStr">
        <is>
          <t>D836</t>
        </is>
      </c>
      <c r="D436" t="inlineStr">
        <is>
          <t>65908426</t>
        </is>
      </c>
      <c r="E436" t="inlineStr">
        <is>
          <t>1</t>
        </is>
      </c>
      <c r="F436" t="inlineStr">
        <is>
          <t>10000625</t>
        </is>
      </c>
      <c r="H436" t="inlineStr"/>
      <c r="J436" t="n">
        <v>130.76</v>
      </c>
      <c r="K436" t="inlineStr"/>
      <c r="M436" t="inlineStr">
        <is>
          <t>TN</t>
        </is>
      </c>
      <c r="N436" t="inlineStr"/>
      <c r="P436" t="inlineStr">
        <is>
          <t>20260615</t>
        </is>
      </c>
      <c r="Q436" t="inlineStr">
        <is>
          <t>99991231</t>
        </is>
      </c>
    </row>
    <row r="437">
      <c r="A437" t="inlineStr">
        <is>
          <t>900003588D8366616755210000357</t>
        </is>
      </c>
      <c r="B437" t="inlineStr">
        <is>
          <t>900003588</t>
        </is>
      </c>
      <c r="C437" t="inlineStr">
        <is>
          <t>D836</t>
        </is>
      </c>
      <c r="D437" t="inlineStr">
        <is>
          <t>66167552</t>
        </is>
      </c>
      <c r="E437" t="inlineStr">
        <is>
          <t>1</t>
        </is>
      </c>
      <c r="F437" t="inlineStr">
        <is>
          <t>10000357</t>
        </is>
      </c>
      <c r="H437" t="inlineStr"/>
      <c r="J437" t="n">
        <v>48</v>
      </c>
      <c r="K437" t="inlineStr"/>
      <c r="M437" t="inlineStr">
        <is>
          <t>TN</t>
        </is>
      </c>
      <c r="N437" t="inlineStr"/>
      <c r="P437" t="inlineStr">
        <is>
          <t>20190426</t>
        </is>
      </c>
      <c r="Q437" t="inlineStr">
        <is>
          <t>20250127</t>
        </is>
      </c>
    </row>
    <row r="438">
      <c r="A438" t="inlineStr">
        <is>
          <t>900003588D8366616755210000625</t>
        </is>
      </c>
      <c r="B438" t="inlineStr">
        <is>
          <t>900003588</t>
        </is>
      </c>
      <c r="C438" t="inlineStr">
        <is>
          <t>D836</t>
        </is>
      </c>
      <c r="D438" t="inlineStr">
        <is>
          <t>66167552</t>
        </is>
      </c>
      <c r="E438" t="inlineStr">
        <is>
          <t>1</t>
        </is>
      </c>
      <c r="F438" t="inlineStr">
        <is>
          <t>10000625</t>
        </is>
      </c>
      <c r="H438" t="inlineStr"/>
      <c r="J438" t="n">
        <v>44</v>
      </c>
      <c r="K438" t="inlineStr"/>
      <c r="M438" t="inlineStr">
        <is>
          <t>TN</t>
        </is>
      </c>
      <c r="N438" t="inlineStr"/>
      <c r="P438" t="inlineStr">
        <is>
          <t>20190426</t>
        </is>
      </c>
      <c r="Q438" t="inlineStr">
        <is>
          <t>20250127</t>
        </is>
      </c>
    </row>
    <row r="439">
      <c r="A439" t="inlineStr">
        <is>
          <t>900003588D8366618111310000357</t>
        </is>
      </c>
      <c r="B439" t="inlineStr">
        <is>
          <t>900003588</t>
        </is>
      </c>
      <c r="C439" t="inlineStr">
        <is>
          <t>D836</t>
        </is>
      </c>
      <c r="D439" t="inlineStr">
        <is>
          <t>66181113</t>
        </is>
      </c>
      <c r="E439" t="inlineStr">
        <is>
          <t>1</t>
        </is>
      </c>
      <c r="F439" t="inlineStr">
        <is>
          <t>10000357</t>
        </is>
      </c>
      <c r="H439" t="inlineStr"/>
      <c r="J439" t="n">
        <v>53</v>
      </c>
      <c r="K439" t="inlineStr"/>
      <c r="M439" t="inlineStr">
        <is>
          <t>TN</t>
        </is>
      </c>
      <c r="N439" t="inlineStr"/>
      <c r="P439" t="inlineStr">
        <is>
          <t>20190426</t>
        </is>
      </c>
      <c r="Q439" t="inlineStr">
        <is>
          <t>20250127</t>
        </is>
      </c>
    </row>
    <row r="440">
      <c r="A440" t="inlineStr">
        <is>
          <t>900003588D8366618111310000625</t>
        </is>
      </c>
      <c r="B440" t="inlineStr">
        <is>
          <t>900003588</t>
        </is>
      </c>
      <c r="C440" t="inlineStr">
        <is>
          <t>D836</t>
        </is>
      </c>
      <c r="D440" t="inlineStr">
        <is>
          <t>66181113</t>
        </is>
      </c>
      <c r="E440" t="inlineStr">
        <is>
          <t>1</t>
        </is>
      </c>
      <c r="F440" t="inlineStr">
        <is>
          <t>10000625</t>
        </is>
      </c>
      <c r="H440" t="inlineStr"/>
      <c r="J440" t="n">
        <v>53</v>
      </c>
      <c r="K440" t="inlineStr"/>
      <c r="M440" t="inlineStr">
        <is>
          <t>TN</t>
        </is>
      </c>
      <c r="N440" t="inlineStr"/>
      <c r="P440" t="inlineStr">
        <is>
          <t>20190426</t>
        </is>
      </c>
      <c r="Q440" t="inlineStr">
        <is>
          <t>20250127</t>
        </is>
      </c>
    </row>
    <row r="441">
      <c r="A441" t="inlineStr">
        <is>
          <t>900003588D8366618111310000627</t>
        </is>
      </c>
      <c r="B441" t="inlineStr">
        <is>
          <t>900003588</t>
        </is>
      </c>
      <c r="C441" t="inlineStr">
        <is>
          <t>D836</t>
        </is>
      </c>
      <c r="D441" t="inlineStr">
        <is>
          <t>66181113</t>
        </is>
      </c>
      <c r="E441" t="inlineStr">
        <is>
          <t>1</t>
        </is>
      </c>
      <c r="F441" t="inlineStr">
        <is>
          <t>10000627</t>
        </is>
      </c>
      <c r="H441" t="inlineStr"/>
      <c r="J441" t="n">
        <v>53</v>
      </c>
      <c r="K441" t="inlineStr"/>
      <c r="M441" t="inlineStr">
        <is>
          <t>TN</t>
        </is>
      </c>
      <c r="N441" t="inlineStr"/>
      <c r="P441" t="inlineStr">
        <is>
          <t>20190426</t>
        </is>
      </c>
      <c r="Q441" t="inlineStr">
        <is>
          <t>20250127</t>
        </is>
      </c>
    </row>
    <row r="442">
      <c r="A442" t="inlineStr">
        <is>
          <t>900003588D8366618111410000357</t>
        </is>
      </c>
      <c r="B442" t="inlineStr">
        <is>
          <t>900003588</t>
        </is>
      </c>
      <c r="C442" t="inlineStr">
        <is>
          <t>D836</t>
        </is>
      </c>
      <c r="D442" t="inlineStr">
        <is>
          <t>66181114</t>
        </is>
      </c>
      <c r="E442" t="inlineStr">
        <is>
          <t>1</t>
        </is>
      </c>
      <c r="F442" t="inlineStr">
        <is>
          <t>10000357</t>
        </is>
      </c>
      <c r="H442" t="inlineStr"/>
      <c r="J442" t="n">
        <v>90</v>
      </c>
      <c r="K442" t="inlineStr"/>
      <c r="M442" t="inlineStr">
        <is>
          <t>TN</t>
        </is>
      </c>
      <c r="N442" t="inlineStr"/>
      <c r="P442" t="inlineStr">
        <is>
          <t>20190426</t>
        </is>
      </c>
      <c r="Q442" t="inlineStr">
        <is>
          <t>20250127</t>
        </is>
      </c>
    </row>
    <row r="443">
      <c r="A443" t="inlineStr">
        <is>
          <t>900003588D8366623714210000357</t>
        </is>
      </c>
      <c r="B443" t="inlineStr">
        <is>
          <t>900003588</t>
        </is>
      </c>
      <c r="C443" t="inlineStr">
        <is>
          <t>D836</t>
        </is>
      </c>
      <c r="D443" t="inlineStr">
        <is>
          <t>66237142</t>
        </is>
      </c>
      <c r="E443" t="inlineStr">
        <is>
          <t>1</t>
        </is>
      </c>
      <c r="F443" t="inlineStr">
        <is>
          <t>10000357</t>
        </is>
      </c>
      <c r="H443" t="inlineStr"/>
      <c r="J443" t="n">
        <v>57</v>
      </c>
      <c r="K443" t="inlineStr"/>
      <c r="M443" t="inlineStr">
        <is>
          <t>TN</t>
        </is>
      </c>
      <c r="N443" t="inlineStr"/>
      <c r="P443" t="inlineStr">
        <is>
          <t>20190426</t>
        </is>
      </c>
      <c r="Q443" t="inlineStr">
        <is>
          <t>20250127</t>
        </is>
      </c>
    </row>
    <row r="444">
      <c r="A444" t="inlineStr">
        <is>
          <t>900003588D8366623714210000625</t>
        </is>
      </c>
      <c r="B444" t="inlineStr">
        <is>
          <t>900003588</t>
        </is>
      </c>
      <c r="C444" t="inlineStr">
        <is>
          <t>D836</t>
        </is>
      </c>
      <c r="D444" t="inlineStr">
        <is>
          <t>66237142</t>
        </is>
      </c>
      <c r="E444" t="inlineStr">
        <is>
          <t>1</t>
        </is>
      </c>
      <c r="F444" t="inlineStr">
        <is>
          <t>10000625</t>
        </is>
      </c>
      <c r="H444" t="inlineStr"/>
      <c r="J444" t="n">
        <v>98</v>
      </c>
      <c r="K444" t="inlineStr"/>
      <c r="M444" t="inlineStr">
        <is>
          <t>TN</t>
        </is>
      </c>
      <c r="N444" t="inlineStr"/>
      <c r="P444" t="inlineStr">
        <is>
          <t>20190426</t>
        </is>
      </c>
      <c r="Q444" t="inlineStr">
        <is>
          <t>20250127</t>
        </is>
      </c>
    </row>
    <row r="445">
      <c r="A445" t="inlineStr">
        <is>
          <t>900003588D8366623714210000627</t>
        </is>
      </c>
      <c r="B445" t="inlineStr">
        <is>
          <t>900003588</t>
        </is>
      </c>
      <c r="C445" t="inlineStr">
        <is>
          <t>D836</t>
        </is>
      </c>
      <c r="D445" t="inlineStr">
        <is>
          <t>66237142</t>
        </is>
      </c>
      <c r="E445" t="inlineStr">
        <is>
          <t>1</t>
        </is>
      </c>
      <c r="F445" t="inlineStr">
        <is>
          <t>10000627</t>
        </is>
      </c>
      <c r="H445" t="inlineStr"/>
      <c r="J445" t="n">
        <v>149</v>
      </c>
      <c r="K445" t="inlineStr"/>
      <c r="M445" t="inlineStr">
        <is>
          <t>TN</t>
        </is>
      </c>
      <c r="N445" t="inlineStr"/>
      <c r="P445" t="inlineStr">
        <is>
          <t>20260615</t>
        </is>
      </c>
      <c r="Q445" t="inlineStr">
        <is>
          <t>99991231</t>
        </is>
      </c>
    </row>
    <row r="446">
      <c r="A446" t="inlineStr">
        <is>
          <t>900003588D8366626594310000357</t>
        </is>
      </c>
      <c r="B446" t="inlineStr">
        <is>
          <t>900003588</t>
        </is>
      </c>
      <c r="C446" t="inlineStr">
        <is>
          <t>D836</t>
        </is>
      </c>
      <c r="D446" t="inlineStr">
        <is>
          <t>66265943</t>
        </is>
      </c>
      <c r="E446" t="inlineStr">
        <is>
          <t>1</t>
        </is>
      </c>
      <c r="F446" t="inlineStr">
        <is>
          <t>10000357</t>
        </is>
      </c>
      <c r="H446" t="inlineStr"/>
      <c r="J446" t="n">
        <v>61</v>
      </c>
      <c r="K446" t="inlineStr"/>
      <c r="M446" t="inlineStr">
        <is>
          <t>TN</t>
        </is>
      </c>
      <c r="N446" t="inlineStr"/>
      <c r="P446" t="inlineStr">
        <is>
          <t>20190426</t>
        </is>
      </c>
      <c r="Q446" t="inlineStr">
        <is>
          <t>20250127</t>
        </is>
      </c>
    </row>
    <row r="447">
      <c r="A447" t="inlineStr">
        <is>
          <t>900003588D8366626594310000625</t>
        </is>
      </c>
      <c r="B447" t="inlineStr">
        <is>
          <t>900003588</t>
        </is>
      </c>
      <c r="C447" t="inlineStr">
        <is>
          <t>D836</t>
        </is>
      </c>
      <c r="D447" t="inlineStr">
        <is>
          <t>66265943</t>
        </is>
      </c>
      <c r="E447" t="inlineStr">
        <is>
          <t>1</t>
        </is>
      </c>
      <c r="F447" t="inlineStr">
        <is>
          <t>10000625</t>
        </is>
      </c>
      <c r="H447" t="inlineStr"/>
      <c r="J447" t="n">
        <v>56</v>
      </c>
      <c r="K447" t="inlineStr"/>
      <c r="M447" t="inlineStr">
        <is>
          <t>TN</t>
        </is>
      </c>
      <c r="N447" t="inlineStr"/>
      <c r="P447" t="inlineStr">
        <is>
          <t>20190426</t>
        </is>
      </c>
      <c r="Q447" t="inlineStr">
        <is>
          <t>20250127</t>
        </is>
      </c>
    </row>
    <row r="448">
      <c r="A448" t="inlineStr">
        <is>
          <t>900003588D8366626594310000627</t>
        </is>
      </c>
      <c r="B448" t="inlineStr">
        <is>
          <t>900003588</t>
        </is>
      </c>
      <c r="C448" t="inlineStr">
        <is>
          <t>D836</t>
        </is>
      </c>
      <c r="D448" t="inlineStr">
        <is>
          <t>66265943</t>
        </is>
      </c>
      <c r="E448" t="inlineStr">
        <is>
          <t>1</t>
        </is>
      </c>
      <c r="F448" t="inlineStr">
        <is>
          <t>10000627</t>
        </is>
      </c>
      <c r="H448" t="inlineStr"/>
      <c r="J448" t="n">
        <v>60.5</v>
      </c>
      <c r="K448" t="inlineStr"/>
      <c r="M448" t="inlineStr">
        <is>
          <t>TN</t>
        </is>
      </c>
      <c r="N448" t="inlineStr"/>
      <c r="P448" t="inlineStr">
        <is>
          <t>20190426</t>
        </is>
      </c>
      <c r="Q448" t="inlineStr">
        <is>
          <t>20250127</t>
        </is>
      </c>
    </row>
    <row r="449">
      <c r="A449" t="inlineStr">
        <is>
          <t>900003588D8366626594310001354</t>
        </is>
      </c>
      <c r="B449" t="inlineStr">
        <is>
          <t>900003588</t>
        </is>
      </c>
      <c r="C449" t="inlineStr">
        <is>
          <t>D836</t>
        </is>
      </c>
      <c r="D449" t="inlineStr">
        <is>
          <t>66265943</t>
        </is>
      </c>
      <c r="E449" t="inlineStr">
        <is>
          <t>1</t>
        </is>
      </c>
      <c r="F449" t="inlineStr">
        <is>
          <t>10001354</t>
        </is>
      </c>
      <c r="H449" t="inlineStr"/>
      <c r="J449" t="n">
        <v>61</v>
      </c>
      <c r="K449" t="inlineStr"/>
      <c r="M449" t="inlineStr">
        <is>
          <t>TN</t>
        </is>
      </c>
      <c r="N449" t="inlineStr"/>
      <c r="P449" t="inlineStr">
        <is>
          <t>20190426</t>
        </is>
      </c>
      <c r="Q449" t="inlineStr">
        <is>
          <t>20250127</t>
        </is>
      </c>
    </row>
    <row r="450">
      <c r="A450" t="inlineStr">
        <is>
          <t>900003588D8366627940810000357</t>
        </is>
      </c>
      <c r="B450" t="inlineStr">
        <is>
          <t>900003588</t>
        </is>
      </c>
      <c r="C450" t="inlineStr">
        <is>
          <t>D836</t>
        </is>
      </c>
      <c r="D450" t="inlineStr">
        <is>
          <t>66279408</t>
        </is>
      </c>
      <c r="E450" t="inlineStr">
        <is>
          <t>1</t>
        </is>
      </c>
      <c r="F450" t="inlineStr">
        <is>
          <t>10000357</t>
        </is>
      </c>
      <c r="H450" t="inlineStr"/>
      <c r="J450" t="n">
        <v>53</v>
      </c>
      <c r="K450" t="inlineStr"/>
      <c r="M450" t="inlineStr">
        <is>
          <t>TN</t>
        </is>
      </c>
      <c r="N450" t="inlineStr"/>
      <c r="P450" t="inlineStr">
        <is>
          <t>20190426</t>
        </is>
      </c>
      <c r="Q450" t="inlineStr">
        <is>
          <t>20250127</t>
        </is>
      </c>
    </row>
    <row r="451">
      <c r="A451" t="inlineStr">
        <is>
          <t>900003588D8366627940810000625</t>
        </is>
      </c>
      <c r="B451" t="inlineStr">
        <is>
          <t>900003588</t>
        </is>
      </c>
      <c r="C451" t="inlineStr">
        <is>
          <t>D836</t>
        </is>
      </c>
      <c r="D451" t="inlineStr">
        <is>
          <t>66279408</t>
        </is>
      </c>
      <c r="E451" t="inlineStr">
        <is>
          <t>1</t>
        </is>
      </c>
      <c r="F451" t="inlineStr">
        <is>
          <t>10000625</t>
        </is>
      </c>
      <c r="H451" t="inlineStr"/>
      <c r="J451" t="n">
        <v>53</v>
      </c>
      <c r="K451" t="inlineStr"/>
      <c r="M451" t="inlineStr">
        <is>
          <t>TN</t>
        </is>
      </c>
      <c r="N451" t="inlineStr"/>
      <c r="P451" t="inlineStr">
        <is>
          <t>20190426</t>
        </is>
      </c>
      <c r="Q451" t="inlineStr">
        <is>
          <t>20250127</t>
        </is>
      </c>
    </row>
    <row r="452">
      <c r="A452" t="inlineStr">
        <is>
          <t>900003588D8366627940810000627</t>
        </is>
      </c>
      <c r="B452" t="inlineStr">
        <is>
          <t>900003588</t>
        </is>
      </c>
      <c r="C452" t="inlineStr">
        <is>
          <t>D836</t>
        </is>
      </c>
      <c r="D452" t="inlineStr">
        <is>
          <t>66279408</t>
        </is>
      </c>
      <c r="E452" t="inlineStr">
        <is>
          <t>1</t>
        </is>
      </c>
      <c r="F452" t="inlineStr">
        <is>
          <t>10000627</t>
        </is>
      </c>
      <c r="H452" t="inlineStr"/>
      <c r="J452" t="n">
        <v>53</v>
      </c>
      <c r="K452" t="inlineStr"/>
      <c r="M452" t="inlineStr">
        <is>
          <t>TN</t>
        </is>
      </c>
      <c r="N452" t="inlineStr"/>
      <c r="P452" t="inlineStr">
        <is>
          <t>20190426</t>
        </is>
      </c>
      <c r="Q452" t="inlineStr">
        <is>
          <t>20250127</t>
        </is>
      </c>
    </row>
    <row r="453">
      <c r="A453" t="inlineStr">
        <is>
          <t>900003588D8366627940810001354</t>
        </is>
      </c>
      <c r="B453" t="inlineStr">
        <is>
          <t>900003588</t>
        </is>
      </c>
      <c r="C453" t="inlineStr">
        <is>
          <t>D836</t>
        </is>
      </c>
      <c r="D453" t="inlineStr">
        <is>
          <t>66279408</t>
        </is>
      </c>
      <c r="E453" t="inlineStr">
        <is>
          <t>1</t>
        </is>
      </c>
      <c r="F453" t="inlineStr">
        <is>
          <t>10001354</t>
        </is>
      </c>
      <c r="H453" t="inlineStr"/>
      <c r="J453" t="n">
        <v>61</v>
      </c>
      <c r="K453" t="inlineStr"/>
      <c r="M453" t="inlineStr">
        <is>
          <t>TN</t>
        </is>
      </c>
      <c r="N453" t="inlineStr"/>
      <c r="P453" t="inlineStr">
        <is>
          <t>20190426</t>
        </is>
      </c>
      <c r="Q453" t="inlineStr">
        <is>
          <t>20250127</t>
        </is>
      </c>
    </row>
    <row r="454">
      <c r="A454" t="inlineStr">
        <is>
          <t>900003588D8366628380310000357</t>
        </is>
      </c>
      <c r="B454" t="inlineStr">
        <is>
          <t>900003588</t>
        </is>
      </c>
      <c r="C454" t="inlineStr">
        <is>
          <t>D836</t>
        </is>
      </c>
      <c r="D454" t="inlineStr">
        <is>
          <t>66283803</t>
        </is>
      </c>
      <c r="E454" t="inlineStr">
        <is>
          <t>1</t>
        </is>
      </c>
      <c r="F454" t="inlineStr">
        <is>
          <t>10000357</t>
        </is>
      </c>
      <c r="H454" t="inlineStr"/>
      <c r="J454" t="n">
        <v>69</v>
      </c>
      <c r="K454" t="inlineStr"/>
      <c r="M454" t="inlineStr">
        <is>
          <t>TN</t>
        </is>
      </c>
      <c r="N454" t="inlineStr"/>
      <c r="P454" t="inlineStr">
        <is>
          <t>20190426</t>
        </is>
      </c>
      <c r="Q454" t="inlineStr">
        <is>
          <t>20250127</t>
        </is>
      </c>
    </row>
    <row r="455">
      <c r="A455" t="inlineStr">
        <is>
          <t>900003588D8366628380310000625</t>
        </is>
      </c>
      <c r="B455" t="inlineStr">
        <is>
          <t>900003588</t>
        </is>
      </c>
      <c r="C455" t="inlineStr">
        <is>
          <t>D836</t>
        </is>
      </c>
      <c r="D455" t="inlineStr">
        <is>
          <t>66283803</t>
        </is>
      </c>
      <c r="E455" t="inlineStr">
        <is>
          <t>1</t>
        </is>
      </c>
      <c r="F455" t="inlineStr">
        <is>
          <t>10000625</t>
        </is>
      </c>
      <c r="H455" t="inlineStr"/>
      <c r="J455" t="n">
        <v>69</v>
      </c>
      <c r="K455" t="inlineStr"/>
      <c r="M455" t="inlineStr">
        <is>
          <t>TN</t>
        </is>
      </c>
      <c r="N455" t="inlineStr"/>
      <c r="P455" t="inlineStr">
        <is>
          <t>20190426</t>
        </is>
      </c>
      <c r="Q455" t="inlineStr">
        <is>
          <t>20250127</t>
        </is>
      </c>
    </row>
    <row r="456">
      <c r="A456" t="inlineStr">
        <is>
          <t>900003588D8366628380310000627</t>
        </is>
      </c>
      <c r="B456" t="inlineStr">
        <is>
          <t>900003588</t>
        </is>
      </c>
      <c r="C456" t="inlineStr">
        <is>
          <t>D836</t>
        </is>
      </c>
      <c r="D456" t="inlineStr">
        <is>
          <t>66283803</t>
        </is>
      </c>
      <c r="E456" t="inlineStr">
        <is>
          <t>1</t>
        </is>
      </c>
      <c r="F456" t="inlineStr">
        <is>
          <t>10000627</t>
        </is>
      </c>
      <c r="H456" t="inlineStr"/>
      <c r="J456" t="n">
        <v>55.5</v>
      </c>
      <c r="K456" t="inlineStr"/>
      <c r="M456" t="inlineStr">
        <is>
          <t>TN</t>
        </is>
      </c>
      <c r="N456" t="inlineStr"/>
      <c r="P456" t="inlineStr">
        <is>
          <t>20190426</t>
        </is>
      </c>
      <c r="Q456" t="inlineStr">
        <is>
          <t>20250127</t>
        </is>
      </c>
    </row>
    <row r="457">
      <c r="A457" t="inlineStr">
        <is>
          <t>900003588D8366631836610000357</t>
        </is>
      </c>
      <c r="B457" t="inlineStr">
        <is>
          <t>900003588</t>
        </is>
      </c>
      <c r="C457" t="inlineStr">
        <is>
          <t>D836</t>
        </is>
      </c>
      <c r="D457" t="inlineStr">
        <is>
          <t>66318366</t>
        </is>
      </c>
      <c r="E457" t="inlineStr">
        <is>
          <t>1</t>
        </is>
      </c>
      <c r="F457" t="inlineStr">
        <is>
          <t>10000357</t>
        </is>
      </c>
      <c r="H457" t="inlineStr"/>
      <c r="J457" t="n">
        <v>61</v>
      </c>
      <c r="K457" t="inlineStr"/>
      <c r="M457" t="inlineStr">
        <is>
          <t>TN</t>
        </is>
      </c>
      <c r="N457" t="inlineStr"/>
      <c r="P457" t="inlineStr">
        <is>
          <t>20190426</t>
        </is>
      </c>
      <c r="Q457" t="inlineStr">
        <is>
          <t>20250127</t>
        </is>
      </c>
    </row>
    <row r="458">
      <c r="A458" t="inlineStr">
        <is>
          <t>900003588D8366631836610000625</t>
        </is>
      </c>
      <c r="B458" t="inlineStr">
        <is>
          <t>900003588</t>
        </is>
      </c>
      <c r="C458" t="inlineStr">
        <is>
          <t>D836</t>
        </is>
      </c>
      <c r="D458" t="inlineStr">
        <is>
          <t>66318366</t>
        </is>
      </c>
      <c r="E458" t="inlineStr">
        <is>
          <t>1</t>
        </is>
      </c>
      <c r="F458" t="inlineStr">
        <is>
          <t>10000625</t>
        </is>
      </c>
      <c r="H458" t="inlineStr"/>
      <c r="J458" t="n">
        <v>56</v>
      </c>
      <c r="K458" t="inlineStr"/>
      <c r="M458" t="inlineStr">
        <is>
          <t>TN</t>
        </is>
      </c>
      <c r="N458" t="inlineStr"/>
      <c r="P458" t="inlineStr">
        <is>
          <t>20190426</t>
        </is>
      </c>
      <c r="Q458" t="inlineStr">
        <is>
          <t>20250127</t>
        </is>
      </c>
    </row>
    <row r="459">
      <c r="A459" t="inlineStr">
        <is>
          <t>900003588D8366631836610000627</t>
        </is>
      </c>
      <c r="B459" t="inlineStr">
        <is>
          <t>900003588</t>
        </is>
      </c>
      <c r="C459" t="inlineStr">
        <is>
          <t>D836</t>
        </is>
      </c>
      <c r="D459" t="inlineStr">
        <is>
          <t>66318366</t>
        </is>
      </c>
      <c r="E459" t="inlineStr">
        <is>
          <t>1</t>
        </is>
      </c>
      <c r="F459" t="inlineStr">
        <is>
          <t>10000627</t>
        </is>
      </c>
      <c r="H459" t="inlineStr"/>
      <c r="J459" t="n">
        <v>60.5</v>
      </c>
      <c r="K459" t="inlineStr"/>
      <c r="M459" t="inlineStr">
        <is>
          <t>TN</t>
        </is>
      </c>
      <c r="N459" t="inlineStr"/>
      <c r="P459" t="inlineStr">
        <is>
          <t>20190426</t>
        </is>
      </c>
      <c r="Q459" t="inlineStr">
        <is>
          <t>20250127</t>
        </is>
      </c>
    </row>
    <row r="460">
      <c r="A460" t="inlineStr">
        <is>
          <t>900003588D8366642391610000140</t>
        </is>
      </c>
      <c r="B460" t="inlineStr">
        <is>
          <t>900003588</t>
        </is>
      </c>
      <c r="C460" t="inlineStr">
        <is>
          <t>D836</t>
        </is>
      </c>
      <c r="D460" t="inlineStr">
        <is>
          <t>66423916</t>
        </is>
      </c>
      <c r="E460" t="inlineStr">
        <is>
          <t>1</t>
        </is>
      </c>
      <c r="F460" t="inlineStr">
        <is>
          <t>10000140</t>
        </is>
      </c>
      <c r="H460" t="inlineStr"/>
      <c r="J460" t="n">
        <v>91.33</v>
      </c>
      <c r="K460" t="inlineStr"/>
      <c r="M460" t="inlineStr">
        <is>
          <t>TN</t>
        </is>
      </c>
      <c r="N460" t="inlineStr"/>
      <c r="P460" t="inlineStr">
        <is>
          <t>20190426</t>
        </is>
      </c>
      <c r="Q460" t="inlineStr">
        <is>
          <t>20250127</t>
        </is>
      </c>
    </row>
    <row r="461">
      <c r="A461" t="inlineStr">
        <is>
          <t>900003588D8366642391610000357</t>
        </is>
      </c>
      <c r="B461" t="inlineStr">
        <is>
          <t>900003588</t>
        </is>
      </c>
      <c r="C461" t="inlineStr">
        <is>
          <t>D836</t>
        </is>
      </c>
      <c r="D461" t="inlineStr">
        <is>
          <t>66423916</t>
        </is>
      </c>
      <c r="E461" t="inlineStr">
        <is>
          <t>1</t>
        </is>
      </c>
      <c r="F461" t="inlineStr">
        <is>
          <t>10000357</t>
        </is>
      </c>
      <c r="H461" t="inlineStr"/>
      <c r="J461" t="n">
        <v>57</v>
      </c>
      <c r="K461" t="inlineStr"/>
      <c r="M461" t="inlineStr">
        <is>
          <t>TN</t>
        </is>
      </c>
      <c r="N461" t="inlineStr"/>
      <c r="P461" t="inlineStr">
        <is>
          <t>20190426</t>
        </is>
      </c>
      <c r="Q461" t="inlineStr">
        <is>
          <t>20250127</t>
        </is>
      </c>
    </row>
    <row r="462">
      <c r="A462" t="inlineStr">
        <is>
          <t>900003588D8366642391610000625</t>
        </is>
      </c>
      <c r="B462" t="inlineStr">
        <is>
          <t>900003588</t>
        </is>
      </c>
      <c r="C462" t="inlineStr">
        <is>
          <t>D836</t>
        </is>
      </c>
      <c r="D462" t="inlineStr">
        <is>
          <t>66423916</t>
        </is>
      </c>
      <c r="E462" t="inlineStr">
        <is>
          <t>1</t>
        </is>
      </c>
      <c r="F462" t="inlineStr">
        <is>
          <t>10000625</t>
        </is>
      </c>
      <c r="H462" t="inlineStr"/>
      <c r="J462" t="n">
        <v>67.70999999999999</v>
      </c>
      <c r="K462" t="inlineStr"/>
      <c r="M462" t="inlineStr">
        <is>
          <t>TN</t>
        </is>
      </c>
      <c r="N462" t="inlineStr"/>
      <c r="P462" t="inlineStr">
        <is>
          <t>20190426</t>
        </is>
      </c>
      <c r="Q462" t="inlineStr">
        <is>
          <t>20250127</t>
        </is>
      </c>
    </row>
    <row r="463">
      <c r="A463" t="inlineStr">
        <is>
          <t>900003588D8366642391610000627</t>
        </is>
      </c>
      <c r="B463" t="inlineStr">
        <is>
          <t>900003588</t>
        </is>
      </c>
      <c r="C463" t="inlineStr">
        <is>
          <t>D836</t>
        </is>
      </c>
      <c r="D463" t="inlineStr">
        <is>
          <t>66423916</t>
        </is>
      </c>
      <c r="E463" t="inlineStr">
        <is>
          <t>1</t>
        </is>
      </c>
      <c r="F463" t="inlineStr">
        <is>
          <t>10000627</t>
        </is>
      </c>
      <c r="H463" t="inlineStr"/>
      <c r="J463" t="n">
        <v>73.81999999999999</v>
      </c>
      <c r="K463" t="inlineStr"/>
      <c r="M463" t="inlineStr">
        <is>
          <t>TN</t>
        </is>
      </c>
      <c r="N463" t="inlineStr"/>
      <c r="P463" t="inlineStr">
        <is>
          <t>20190426</t>
        </is>
      </c>
      <c r="Q463" t="inlineStr">
        <is>
          <t>20250127</t>
        </is>
      </c>
    </row>
    <row r="464">
      <c r="A464" t="inlineStr">
        <is>
          <t>900003588D8366642391610001354</t>
        </is>
      </c>
      <c r="B464" t="inlineStr">
        <is>
          <t>900003588</t>
        </is>
      </c>
      <c r="C464" t="inlineStr">
        <is>
          <t>D836</t>
        </is>
      </c>
      <c r="D464" t="inlineStr">
        <is>
          <t>66423916</t>
        </is>
      </c>
      <c r="E464" t="inlineStr">
        <is>
          <t>1</t>
        </is>
      </c>
      <c r="F464" t="inlineStr">
        <is>
          <t>10001354</t>
        </is>
      </c>
      <c r="H464" t="inlineStr"/>
      <c r="J464" t="n">
        <v>81.81</v>
      </c>
      <c r="K464" t="inlineStr"/>
      <c r="M464" t="inlineStr">
        <is>
          <t>TN</t>
        </is>
      </c>
      <c r="N464" t="inlineStr"/>
      <c r="P464" t="inlineStr">
        <is>
          <t>20190426</t>
        </is>
      </c>
      <c r="Q464" t="inlineStr">
        <is>
          <t>20250127</t>
        </is>
      </c>
    </row>
    <row r="465">
      <c r="A465" t="inlineStr">
        <is>
          <t>900003588D8366643350910000357</t>
        </is>
      </c>
      <c r="B465" t="inlineStr">
        <is>
          <t>900003588</t>
        </is>
      </c>
      <c r="C465" t="inlineStr">
        <is>
          <t>D836</t>
        </is>
      </c>
      <c r="D465" t="inlineStr">
        <is>
          <t>66433509</t>
        </is>
      </c>
      <c r="E465" t="inlineStr">
        <is>
          <t>1</t>
        </is>
      </c>
      <c r="F465" t="inlineStr">
        <is>
          <t>10000357</t>
        </is>
      </c>
      <c r="H465" t="inlineStr"/>
      <c r="J465" t="n">
        <v>60.57</v>
      </c>
      <c r="K465" t="inlineStr"/>
      <c r="M465" t="inlineStr">
        <is>
          <t>TN</t>
        </is>
      </c>
      <c r="N465" t="inlineStr"/>
      <c r="P465" t="inlineStr">
        <is>
          <t>20190426</t>
        </is>
      </c>
      <c r="Q465" t="inlineStr">
        <is>
          <t>20250127</t>
        </is>
      </c>
    </row>
    <row r="466">
      <c r="A466" t="inlineStr">
        <is>
          <t>900003588D8366643350910000625</t>
        </is>
      </c>
      <c r="B466" t="inlineStr">
        <is>
          <t>900003588</t>
        </is>
      </c>
      <c r="C466" t="inlineStr">
        <is>
          <t>D836</t>
        </is>
      </c>
      <c r="D466" t="inlineStr">
        <is>
          <t>66433509</t>
        </is>
      </c>
      <c r="E466" t="inlineStr">
        <is>
          <t>1</t>
        </is>
      </c>
      <c r="F466" t="inlineStr">
        <is>
          <t>10000625</t>
        </is>
      </c>
      <c r="H466" t="inlineStr"/>
      <c r="J466" t="n">
        <v>55.14</v>
      </c>
      <c r="K466" t="inlineStr"/>
      <c r="M466" t="inlineStr">
        <is>
          <t>TN</t>
        </is>
      </c>
      <c r="N466" t="inlineStr"/>
      <c r="P466" t="inlineStr">
        <is>
          <t>20190426</t>
        </is>
      </c>
      <c r="Q466" t="inlineStr">
        <is>
          <t>20250127</t>
        </is>
      </c>
    </row>
    <row r="467">
      <c r="A467" t="inlineStr">
        <is>
          <t>900003588D8366643350910000627</t>
        </is>
      </c>
      <c r="B467" t="inlineStr">
        <is>
          <t>900003588</t>
        </is>
      </c>
      <c r="C467" t="inlineStr">
        <is>
          <t>D836</t>
        </is>
      </c>
      <c r="D467" t="inlineStr">
        <is>
          <t>66433509</t>
        </is>
      </c>
      <c r="E467" t="inlineStr">
        <is>
          <t>1</t>
        </is>
      </c>
      <c r="F467" t="inlineStr">
        <is>
          <t>10000627</t>
        </is>
      </c>
      <c r="H467" t="inlineStr"/>
      <c r="J467" t="n">
        <v>60.11</v>
      </c>
      <c r="K467" t="inlineStr"/>
      <c r="M467" t="inlineStr">
        <is>
          <t>TN</t>
        </is>
      </c>
      <c r="N467" t="inlineStr"/>
      <c r="P467" t="inlineStr">
        <is>
          <t>20190426</t>
        </is>
      </c>
      <c r="Q467" t="inlineStr">
        <is>
          <t>20250127</t>
        </is>
      </c>
    </row>
    <row r="468">
      <c r="A468" t="inlineStr">
        <is>
          <t>900003588D8366643350910001354</t>
        </is>
      </c>
      <c r="B468" t="inlineStr">
        <is>
          <t>900003588</t>
        </is>
      </c>
      <c r="C468" t="inlineStr">
        <is>
          <t>D836</t>
        </is>
      </c>
      <c r="D468" t="inlineStr">
        <is>
          <t>66433509</t>
        </is>
      </c>
      <c r="E468" t="inlineStr">
        <is>
          <t>1</t>
        </is>
      </c>
      <c r="F468" t="inlineStr">
        <is>
          <t>10001354</t>
        </is>
      </c>
      <c r="H468" t="inlineStr"/>
      <c r="J468" t="n">
        <v>61</v>
      </c>
      <c r="K468" t="inlineStr"/>
      <c r="M468" t="inlineStr">
        <is>
          <t>TN</t>
        </is>
      </c>
      <c r="N468" t="inlineStr"/>
      <c r="P468" t="inlineStr">
        <is>
          <t>20190426</t>
        </is>
      </c>
      <c r="Q468" t="inlineStr">
        <is>
          <t>20250127</t>
        </is>
      </c>
    </row>
    <row r="469">
      <c r="A469" t="inlineStr">
        <is>
          <t>900003588D8366644749210000625</t>
        </is>
      </c>
      <c r="B469" t="inlineStr">
        <is>
          <t>900003588</t>
        </is>
      </c>
      <c r="C469" t="inlineStr">
        <is>
          <t>D836</t>
        </is>
      </c>
      <c r="D469" t="inlineStr">
        <is>
          <t>66447492</t>
        </is>
      </c>
      <c r="E469" t="inlineStr">
        <is>
          <t>1</t>
        </is>
      </c>
      <c r="F469" t="inlineStr">
        <is>
          <t>10000625</t>
        </is>
      </c>
      <c r="H469" t="inlineStr"/>
      <c r="J469" t="n">
        <v>130.34</v>
      </c>
      <c r="K469" t="inlineStr"/>
      <c r="M469" t="inlineStr">
        <is>
          <t>TN</t>
        </is>
      </c>
      <c r="N469" t="inlineStr"/>
      <c r="P469" t="inlineStr">
        <is>
          <t>20190426</t>
        </is>
      </c>
      <c r="Q469" t="inlineStr">
        <is>
          <t>20250127</t>
        </is>
      </c>
    </row>
    <row r="470">
      <c r="A470" t="inlineStr">
        <is>
          <t>900003588D8366645007210000357</t>
        </is>
      </c>
      <c r="B470" t="inlineStr">
        <is>
          <t>900003588</t>
        </is>
      </c>
      <c r="C470" t="inlineStr">
        <is>
          <t>D836</t>
        </is>
      </c>
      <c r="D470" t="inlineStr">
        <is>
          <t>66450072</t>
        </is>
      </c>
      <c r="E470" t="inlineStr">
        <is>
          <t>1</t>
        </is>
      </c>
      <c r="F470" t="inlineStr">
        <is>
          <t>10000357</t>
        </is>
      </c>
      <c r="H470" t="inlineStr"/>
      <c r="J470" t="n">
        <v>57</v>
      </c>
      <c r="K470" t="inlineStr"/>
      <c r="M470" t="inlineStr">
        <is>
          <t>TN</t>
        </is>
      </c>
      <c r="N470" t="inlineStr"/>
      <c r="P470" t="inlineStr">
        <is>
          <t>20190426</t>
        </is>
      </c>
      <c r="Q470" t="inlineStr">
        <is>
          <t>20250127</t>
        </is>
      </c>
    </row>
    <row r="471">
      <c r="A471" t="inlineStr">
        <is>
          <t>900003588D8366649096010000625</t>
        </is>
      </c>
      <c r="B471" t="inlineStr">
        <is>
          <t>900003588</t>
        </is>
      </c>
      <c r="C471" t="inlineStr">
        <is>
          <t>D836</t>
        </is>
      </c>
      <c r="D471" t="inlineStr">
        <is>
          <t>66490960</t>
        </is>
      </c>
      <c r="E471" t="inlineStr">
        <is>
          <t>1</t>
        </is>
      </c>
      <c r="F471" t="inlineStr">
        <is>
          <t>10000625</t>
        </is>
      </c>
      <c r="H471" t="inlineStr"/>
      <c r="J471" t="n">
        <v>60</v>
      </c>
      <c r="K471" t="inlineStr"/>
      <c r="M471" t="inlineStr">
        <is>
          <t>TN</t>
        </is>
      </c>
      <c r="N471" t="inlineStr"/>
      <c r="P471" t="inlineStr">
        <is>
          <t>20190426</t>
        </is>
      </c>
      <c r="Q471" t="inlineStr">
        <is>
          <t>20250127</t>
        </is>
      </c>
    </row>
    <row r="472">
      <c r="A472" t="inlineStr">
        <is>
          <t>900003588D8366655232210000625</t>
        </is>
      </c>
      <c r="B472" t="inlineStr">
        <is>
          <t>900003588</t>
        </is>
      </c>
      <c r="C472" t="inlineStr">
        <is>
          <t>D836</t>
        </is>
      </c>
      <c r="D472" t="inlineStr">
        <is>
          <t>66552322</t>
        </is>
      </c>
      <c r="E472" t="inlineStr">
        <is>
          <t>1</t>
        </is>
      </c>
      <c r="F472" t="inlineStr">
        <is>
          <t>10000625</t>
        </is>
      </c>
      <c r="H472" t="inlineStr"/>
      <c r="J472" t="n">
        <v>60.93</v>
      </c>
      <c r="K472" t="inlineStr"/>
      <c r="M472" t="inlineStr">
        <is>
          <t>TN</t>
        </is>
      </c>
      <c r="N472" t="inlineStr"/>
      <c r="P472" t="inlineStr">
        <is>
          <t>20190426</t>
        </is>
      </c>
      <c r="Q472" t="inlineStr">
        <is>
          <t>20250127</t>
        </is>
      </c>
    </row>
    <row r="473">
      <c r="A473" t="inlineStr">
        <is>
          <t>900003588D8366655232210000627</t>
        </is>
      </c>
      <c r="B473" t="inlineStr">
        <is>
          <t>900003588</t>
        </is>
      </c>
      <c r="C473" t="inlineStr">
        <is>
          <t>D836</t>
        </is>
      </c>
      <c r="D473" t="inlineStr">
        <is>
          <t>66552322</t>
        </is>
      </c>
      <c r="E473" t="inlineStr">
        <is>
          <t>1</t>
        </is>
      </c>
      <c r="F473" t="inlineStr">
        <is>
          <t>10000627</t>
        </is>
      </c>
      <c r="H473" t="inlineStr"/>
      <c r="J473" t="n">
        <v>66.43000000000001</v>
      </c>
      <c r="K473" t="inlineStr"/>
      <c r="M473" t="inlineStr">
        <is>
          <t>TN</t>
        </is>
      </c>
      <c r="N473" t="inlineStr"/>
      <c r="P473" t="inlineStr">
        <is>
          <t>20190426</t>
        </is>
      </c>
      <c r="Q473" t="inlineStr">
        <is>
          <t>20250127</t>
        </is>
      </c>
    </row>
    <row r="474">
      <c r="A474" t="inlineStr">
        <is>
          <t>900003588D8366655232210001354</t>
        </is>
      </c>
      <c r="B474" t="inlineStr">
        <is>
          <t>900003588</t>
        </is>
      </c>
      <c r="C474" t="inlineStr">
        <is>
          <t>D836</t>
        </is>
      </c>
      <c r="D474" t="inlineStr">
        <is>
          <t>66552322</t>
        </is>
      </c>
      <c r="E474" t="inlineStr">
        <is>
          <t>1</t>
        </is>
      </c>
      <c r="F474" t="inlineStr">
        <is>
          <t>10001354</t>
        </is>
      </c>
      <c r="H474" t="inlineStr"/>
      <c r="J474" t="n">
        <v>68.48999999999999</v>
      </c>
      <c r="K474" t="inlineStr"/>
      <c r="M474" t="inlineStr">
        <is>
          <t>TN</t>
        </is>
      </c>
      <c r="N474" t="inlineStr"/>
      <c r="P474" t="inlineStr">
        <is>
          <t>20190426</t>
        </is>
      </c>
      <c r="Q474" t="inlineStr">
        <is>
          <t>20250127</t>
        </is>
      </c>
    </row>
    <row r="475">
      <c r="A475" t="inlineStr">
        <is>
          <t>900003588D8366656586710000625</t>
        </is>
      </c>
      <c r="B475" t="inlineStr">
        <is>
          <t>900003588</t>
        </is>
      </c>
      <c r="C475" t="inlineStr">
        <is>
          <t>D836</t>
        </is>
      </c>
      <c r="D475" t="inlineStr">
        <is>
          <t>66565867</t>
        </is>
      </c>
      <c r="E475" t="inlineStr">
        <is>
          <t>1</t>
        </is>
      </c>
      <c r="F475" t="inlineStr">
        <is>
          <t>10000625</t>
        </is>
      </c>
      <c r="H475" t="inlineStr"/>
      <c r="J475" t="n">
        <v>55.59</v>
      </c>
      <c r="K475" t="inlineStr"/>
      <c r="M475" t="inlineStr">
        <is>
          <t>TN</t>
        </is>
      </c>
      <c r="N475" t="inlineStr"/>
      <c r="P475" t="inlineStr">
        <is>
          <t>20190426</t>
        </is>
      </c>
      <c r="Q475" t="inlineStr">
        <is>
          <t>20250127</t>
        </is>
      </c>
    </row>
    <row r="476">
      <c r="A476" t="inlineStr">
        <is>
          <t>900003588D8366656586710001354</t>
        </is>
      </c>
      <c r="B476" t="inlineStr">
        <is>
          <t>900003588</t>
        </is>
      </c>
      <c r="C476" t="inlineStr">
        <is>
          <t>D836</t>
        </is>
      </c>
      <c r="D476" t="inlineStr">
        <is>
          <t>66565867</t>
        </is>
      </c>
      <c r="E476" t="inlineStr">
        <is>
          <t>1</t>
        </is>
      </c>
      <c r="F476" t="inlineStr">
        <is>
          <t>10001354</t>
        </is>
      </c>
      <c r="H476" t="inlineStr"/>
      <c r="J476" t="n">
        <v>62.48</v>
      </c>
      <c r="K476" t="inlineStr"/>
      <c r="M476" t="inlineStr">
        <is>
          <t>TN</t>
        </is>
      </c>
      <c r="N476" t="inlineStr"/>
      <c r="P476" t="inlineStr">
        <is>
          <t>20190426</t>
        </is>
      </c>
      <c r="Q476" t="inlineStr">
        <is>
          <t>20250127</t>
        </is>
      </c>
    </row>
    <row r="477">
      <c r="A477" t="inlineStr">
        <is>
          <t>900003588D8366658258010000625</t>
        </is>
      </c>
      <c r="B477" t="inlineStr">
        <is>
          <t>900003588</t>
        </is>
      </c>
      <c r="C477" t="inlineStr">
        <is>
          <t>D836</t>
        </is>
      </c>
      <c r="D477" t="inlineStr">
        <is>
          <t>66582580</t>
        </is>
      </c>
      <c r="E477" t="inlineStr">
        <is>
          <t>1</t>
        </is>
      </c>
      <c r="F477" t="inlineStr">
        <is>
          <t>10000625</t>
        </is>
      </c>
      <c r="H477" t="inlineStr"/>
      <c r="J477" t="n">
        <v>130.76</v>
      </c>
      <c r="K477" t="inlineStr"/>
      <c r="M477" t="inlineStr">
        <is>
          <t>TN</t>
        </is>
      </c>
      <c r="N477" t="inlineStr"/>
      <c r="P477" t="inlineStr">
        <is>
          <t>20260615</t>
        </is>
      </c>
      <c r="Q477" t="inlineStr">
        <is>
          <t>99991231</t>
        </is>
      </c>
    </row>
    <row r="478">
      <c r="A478" t="inlineStr">
        <is>
          <t>900003588D8366658258010001354</t>
        </is>
      </c>
      <c r="B478" t="inlineStr">
        <is>
          <t>900003588</t>
        </is>
      </c>
      <c r="C478" t="inlineStr">
        <is>
          <t>D836</t>
        </is>
      </c>
      <c r="D478" t="inlineStr">
        <is>
          <t>66582580</t>
        </is>
      </c>
      <c r="E478" t="inlineStr">
        <is>
          <t>1</t>
        </is>
      </c>
      <c r="F478" t="inlineStr">
        <is>
          <t>10001354</t>
        </is>
      </c>
      <c r="H478" t="inlineStr"/>
      <c r="J478" t="n">
        <v>62.48</v>
      </c>
      <c r="K478" t="inlineStr"/>
      <c r="M478" t="inlineStr">
        <is>
          <t>TN</t>
        </is>
      </c>
      <c r="N478" t="inlineStr"/>
      <c r="P478" t="inlineStr">
        <is>
          <t>20190426</t>
        </is>
      </c>
      <c r="Q478" t="inlineStr">
        <is>
          <t>20250127</t>
        </is>
      </c>
    </row>
    <row r="479">
      <c r="A479" t="inlineStr">
        <is>
          <t>900003588D8366664115610000625</t>
        </is>
      </c>
      <c r="B479" t="inlineStr">
        <is>
          <t>900003588</t>
        </is>
      </c>
      <c r="C479" t="inlineStr">
        <is>
          <t>D836</t>
        </is>
      </c>
      <c r="D479" t="inlineStr">
        <is>
          <t>66641156</t>
        </is>
      </c>
      <c r="E479" t="inlineStr">
        <is>
          <t>1</t>
        </is>
      </c>
      <c r="F479" t="inlineStr">
        <is>
          <t>10000625</t>
        </is>
      </c>
      <c r="H479" t="inlineStr"/>
      <c r="J479" t="n">
        <v>87.87</v>
      </c>
      <c r="K479" t="inlineStr"/>
      <c r="M479" t="inlineStr">
        <is>
          <t>TN</t>
        </is>
      </c>
      <c r="N479" t="inlineStr"/>
      <c r="P479" t="inlineStr">
        <is>
          <t>20190426</t>
        </is>
      </c>
      <c r="Q479" t="inlineStr">
        <is>
          <t>20250127</t>
        </is>
      </c>
    </row>
    <row r="480">
      <c r="A480" t="inlineStr">
        <is>
          <t>900003588D8366682579710000625</t>
        </is>
      </c>
      <c r="B480" t="inlineStr">
        <is>
          <t>900003588</t>
        </is>
      </c>
      <c r="C480" t="inlineStr">
        <is>
          <t>D836</t>
        </is>
      </c>
      <c r="D480" t="inlineStr">
        <is>
          <t>66825797</t>
        </is>
      </c>
      <c r="E480" t="inlineStr">
        <is>
          <t>1</t>
        </is>
      </c>
      <c r="F480" t="inlineStr">
        <is>
          <t>10000625</t>
        </is>
      </c>
      <c r="H480" t="inlineStr"/>
      <c r="J480" t="n">
        <v>87.86</v>
      </c>
      <c r="K480" t="inlineStr"/>
      <c r="M480" t="inlineStr">
        <is>
          <t>TN</t>
        </is>
      </c>
      <c r="N480" t="inlineStr"/>
      <c r="P480" t="inlineStr">
        <is>
          <t>20190426</t>
        </is>
      </c>
      <c r="Q480" t="inlineStr">
        <is>
          <t>20250127</t>
        </is>
      </c>
    </row>
    <row r="481">
      <c r="A481" t="inlineStr">
        <is>
          <t>900003588D8366682579710001354</t>
        </is>
      </c>
      <c r="B481" t="inlineStr">
        <is>
          <t>900003588</t>
        </is>
      </c>
      <c r="C481" t="inlineStr">
        <is>
          <t>D836</t>
        </is>
      </c>
      <c r="D481" t="inlineStr">
        <is>
          <t>66825797</t>
        </is>
      </c>
      <c r="E481" t="inlineStr">
        <is>
          <t>1</t>
        </is>
      </c>
      <c r="F481" t="inlineStr">
        <is>
          <t>10001354</t>
        </is>
      </c>
      <c r="H481" t="inlineStr"/>
      <c r="J481" t="n">
        <v>89</v>
      </c>
      <c r="K481" t="inlineStr"/>
      <c r="M481" t="inlineStr">
        <is>
          <t>TN</t>
        </is>
      </c>
      <c r="N481" t="inlineStr"/>
      <c r="P481" t="inlineStr">
        <is>
          <t>20200911</t>
        </is>
      </c>
      <c r="Q481" t="inlineStr">
        <is>
          <t>20260215</t>
        </is>
      </c>
    </row>
    <row r="482">
      <c r="A482" t="inlineStr">
        <is>
          <t>900003588D8366689828010000625</t>
        </is>
      </c>
      <c r="B482" t="inlineStr">
        <is>
          <t>900003588</t>
        </is>
      </c>
      <c r="C482" t="inlineStr">
        <is>
          <t>D836</t>
        </is>
      </c>
      <c r="D482" t="inlineStr">
        <is>
          <t>66898280</t>
        </is>
      </c>
      <c r="E482" t="inlineStr">
        <is>
          <t>1</t>
        </is>
      </c>
      <c r="F482" t="inlineStr">
        <is>
          <t>10000625</t>
        </is>
      </c>
      <c r="H482" t="inlineStr"/>
      <c r="J482" t="n">
        <v>87.86</v>
      </c>
      <c r="K482" t="inlineStr"/>
      <c r="M482" t="inlineStr">
        <is>
          <t>TN</t>
        </is>
      </c>
      <c r="N482" t="inlineStr"/>
      <c r="P482" t="inlineStr">
        <is>
          <t>20190426</t>
        </is>
      </c>
      <c r="Q482" t="inlineStr">
        <is>
          <t>20250127</t>
        </is>
      </c>
    </row>
    <row r="483">
      <c r="A483" t="inlineStr">
        <is>
          <t>900003588D8366689828010001354</t>
        </is>
      </c>
      <c r="B483" t="inlineStr">
        <is>
          <t>900003588</t>
        </is>
      </c>
      <c r="C483" t="inlineStr">
        <is>
          <t>D836</t>
        </is>
      </c>
      <c r="D483" t="inlineStr">
        <is>
          <t>66898280</t>
        </is>
      </c>
      <c r="E483" t="inlineStr">
        <is>
          <t>1</t>
        </is>
      </c>
      <c r="F483" t="inlineStr">
        <is>
          <t>10001354</t>
        </is>
      </c>
      <c r="H483" t="inlineStr"/>
      <c r="J483" t="n">
        <v>89</v>
      </c>
      <c r="K483" t="inlineStr"/>
      <c r="M483" t="inlineStr">
        <is>
          <t>TN</t>
        </is>
      </c>
      <c r="N483" t="inlineStr"/>
      <c r="P483" t="inlineStr">
        <is>
          <t>20190426</t>
        </is>
      </c>
      <c r="Q483" t="inlineStr">
        <is>
          <t>20250127</t>
        </is>
      </c>
    </row>
    <row r="484">
      <c r="A484" t="inlineStr">
        <is>
          <t>900003588D8366689828110000625</t>
        </is>
      </c>
      <c r="B484" t="inlineStr">
        <is>
          <t>900003588</t>
        </is>
      </c>
      <c r="C484" t="inlineStr">
        <is>
          <t>D836</t>
        </is>
      </c>
      <c r="D484" t="inlineStr">
        <is>
          <t>66898281</t>
        </is>
      </c>
      <c r="E484" t="inlineStr">
        <is>
          <t>1</t>
        </is>
      </c>
      <c r="F484" t="inlineStr">
        <is>
          <t>10000625</t>
        </is>
      </c>
      <c r="H484" t="inlineStr"/>
      <c r="J484" t="n">
        <v>87.86</v>
      </c>
      <c r="K484" t="inlineStr"/>
      <c r="M484" t="inlineStr">
        <is>
          <t>TN</t>
        </is>
      </c>
      <c r="N484" t="inlineStr"/>
      <c r="P484" t="inlineStr">
        <is>
          <t>20190426</t>
        </is>
      </c>
      <c r="Q484" t="inlineStr">
        <is>
          <t>20250127</t>
        </is>
      </c>
    </row>
    <row r="485">
      <c r="A485" t="inlineStr">
        <is>
          <t>900003588D8366689828110001354</t>
        </is>
      </c>
      <c r="B485" t="inlineStr">
        <is>
          <t>900003588</t>
        </is>
      </c>
      <c r="C485" t="inlineStr">
        <is>
          <t>D836</t>
        </is>
      </c>
      <c r="D485" t="inlineStr">
        <is>
          <t>66898281</t>
        </is>
      </c>
      <c r="E485" t="inlineStr">
        <is>
          <t>1</t>
        </is>
      </c>
      <c r="F485" t="inlineStr">
        <is>
          <t>10001354</t>
        </is>
      </c>
      <c r="H485" t="inlineStr"/>
      <c r="J485" t="n">
        <v>89</v>
      </c>
      <c r="K485" t="inlineStr"/>
      <c r="M485" t="inlineStr">
        <is>
          <t>TN</t>
        </is>
      </c>
      <c r="N485" t="inlineStr"/>
      <c r="P485" t="inlineStr">
        <is>
          <t>20190426</t>
        </is>
      </c>
      <c r="Q485" t="inlineStr">
        <is>
          <t>20250127</t>
        </is>
      </c>
    </row>
    <row r="486">
      <c r="A486" t="inlineStr">
        <is>
          <t>900003588D8366697068410000625</t>
        </is>
      </c>
      <c r="B486" t="inlineStr">
        <is>
          <t>900003588</t>
        </is>
      </c>
      <c r="C486" t="inlineStr">
        <is>
          <t>D836</t>
        </is>
      </c>
      <c r="D486" t="inlineStr">
        <is>
          <t>66970684</t>
        </is>
      </c>
      <c r="E486" t="inlineStr">
        <is>
          <t>1</t>
        </is>
      </c>
      <c r="F486" t="inlineStr">
        <is>
          <t>10000625</t>
        </is>
      </c>
      <c r="H486" t="inlineStr"/>
      <c r="J486" t="n">
        <v>76.43000000000001</v>
      </c>
      <c r="K486" t="inlineStr"/>
      <c r="M486" t="inlineStr">
        <is>
          <t>TN</t>
        </is>
      </c>
      <c r="N486" t="inlineStr"/>
      <c r="P486" t="inlineStr">
        <is>
          <t>20190426</t>
        </is>
      </c>
      <c r="Q486" t="inlineStr">
        <is>
          <t>20250127</t>
        </is>
      </c>
    </row>
    <row r="487">
      <c r="A487" t="inlineStr">
        <is>
          <t>900003588D8366712669810000625</t>
        </is>
      </c>
      <c r="B487" t="inlineStr">
        <is>
          <t>900003588</t>
        </is>
      </c>
      <c r="C487" t="inlineStr">
        <is>
          <t>D836</t>
        </is>
      </c>
      <c r="D487" t="inlineStr">
        <is>
          <t>67126698</t>
        </is>
      </c>
      <c r="E487" t="inlineStr">
        <is>
          <t>1</t>
        </is>
      </c>
      <c r="F487" t="inlineStr">
        <is>
          <t>10000625</t>
        </is>
      </c>
      <c r="H487" t="inlineStr"/>
      <c r="J487" t="n">
        <v>84.36</v>
      </c>
      <c r="K487" t="inlineStr"/>
      <c r="M487" t="inlineStr">
        <is>
          <t>TN</t>
        </is>
      </c>
      <c r="N487" t="inlineStr"/>
      <c r="P487" t="inlineStr">
        <is>
          <t>20260615</t>
        </is>
      </c>
      <c r="Q487" t="inlineStr">
        <is>
          <t>99991231</t>
        </is>
      </c>
    </row>
    <row r="488">
      <c r="A488" t="inlineStr">
        <is>
          <t>900003588D8366712669810000627</t>
        </is>
      </c>
      <c r="B488" t="inlineStr">
        <is>
          <t>900003588</t>
        </is>
      </c>
      <c r="C488" t="inlineStr">
        <is>
          <t>D836</t>
        </is>
      </c>
      <c r="D488" t="inlineStr">
        <is>
          <t>67126698</t>
        </is>
      </c>
      <c r="E488" t="inlineStr">
        <is>
          <t>1</t>
        </is>
      </c>
      <c r="F488" t="inlineStr">
        <is>
          <t>10000627</t>
        </is>
      </c>
      <c r="H488" t="inlineStr"/>
      <c r="J488" t="n">
        <v>91.97</v>
      </c>
      <c r="K488" t="inlineStr"/>
      <c r="M488" t="inlineStr">
        <is>
          <t>TN</t>
        </is>
      </c>
      <c r="N488" t="inlineStr"/>
      <c r="P488" t="inlineStr">
        <is>
          <t>20260615</t>
        </is>
      </c>
      <c r="Q488" t="inlineStr">
        <is>
          <t>99991231</t>
        </is>
      </c>
    </row>
    <row r="489">
      <c r="A489" t="inlineStr">
        <is>
          <t>900003588D8366712669810001354</t>
        </is>
      </c>
      <c r="B489" t="inlineStr">
        <is>
          <t>900003588</t>
        </is>
      </c>
      <c r="C489" t="inlineStr">
        <is>
          <t>D836</t>
        </is>
      </c>
      <c r="D489" t="inlineStr">
        <is>
          <t>67126698</t>
        </is>
      </c>
      <c r="E489" t="inlineStr">
        <is>
          <t>1</t>
        </is>
      </c>
      <c r="F489" t="inlineStr">
        <is>
          <t>10001354</t>
        </is>
      </c>
      <c r="H489" t="inlineStr"/>
      <c r="J489" t="n">
        <v>79.67</v>
      </c>
      <c r="K489" t="inlineStr"/>
      <c r="M489" t="inlineStr">
        <is>
          <t>TN</t>
        </is>
      </c>
      <c r="N489" t="inlineStr"/>
      <c r="P489" t="inlineStr">
        <is>
          <t>20190426</t>
        </is>
      </c>
      <c r="Q489" t="inlineStr">
        <is>
          <t>20250127</t>
        </is>
      </c>
    </row>
    <row r="490">
      <c r="A490" t="inlineStr">
        <is>
          <t>900003590D8366501466410000829</t>
        </is>
      </c>
      <c r="B490" t="inlineStr">
        <is>
          <t>900003590</t>
        </is>
      </c>
      <c r="C490" t="inlineStr">
        <is>
          <t>D836</t>
        </is>
      </c>
      <c r="D490" t="inlineStr">
        <is>
          <t>65014664</t>
        </is>
      </c>
      <c r="E490" t="inlineStr">
        <is>
          <t>1</t>
        </is>
      </c>
      <c r="F490" t="inlineStr">
        <is>
          <t>10000829</t>
        </is>
      </c>
      <c r="H490" t="inlineStr"/>
      <c r="J490" t="n">
        <v>273</v>
      </c>
      <c r="K490" t="inlineStr"/>
      <c r="M490" t="inlineStr">
        <is>
          <t>M3</t>
        </is>
      </c>
      <c r="N490" t="inlineStr"/>
      <c r="P490" t="inlineStr">
        <is>
          <t>20190426</t>
        </is>
      </c>
      <c r="Q490" t="inlineStr">
        <is>
          <t>20250127</t>
        </is>
      </c>
    </row>
    <row r="491">
      <c r="A491" t="inlineStr">
        <is>
          <t>900003592D8366500394510000624</t>
        </is>
      </c>
      <c r="B491" t="inlineStr">
        <is>
          <t>900003592</t>
        </is>
      </c>
      <c r="C491" t="inlineStr">
        <is>
          <t>D836</t>
        </is>
      </c>
      <c r="D491" t="inlineStr">
        <is>
          <t>65003945</t>
        </is>
      </c>
      <c r="E491" t="inlineStr">
        <is>
          <t>1</t>
        </is>
      </c>
      <c r="F491" t="inlineStr">
        <is>
          <t>10000624</t>
        </is>
      </c>
      <c r="H491" t="inlineStr"/>
      <c r="J491" t="n">
        <v>142.94</v>
      </c>
      <c r="K491" t="inlineStr"/>
      <c r="M491" t="inlineStr">
        <is>
          <t>TN</t>
        </is>
      </c>
      <c r="N491" t="inlineStr"/>
      <c r="P491" t="inlineStr">
        <is>
          <t>20190426</t>
        </is>
      </c>
      <c r="Q491" t="inlineStr">
        <is>
          <t>20250127</t>
        </is>
      </c>
    </row>
    <row r="492">
      <c r="A492" t="inlineStr">
        <is>
          <t>900003592D8366500394510000630</t>
        </is>
      </c>
      <c r="B492" t="inlineStr">
        <is>
          <t>900003592</t>
        </is>
      </c>
      <c r="C492" t="inlineStr">
        <is>
          <t>D836</t>
        </is>
      </c>
      <c r="D492" t="inlineStr">
        <is>
          <t>65003945</t>
        </is>
      </c>
      <c r="E492" t="inlineStr">
        <is>
          <t>1</t>
        </is>
      </c>
      <c r="F492" t="inlineStr">
        <is>
          <t>10000630</t>
        </is>
      </c>
      <c r="H492" t="inlineStr"/>
      <c r="J492" t="n">
        <v>148.05</v>
      </c>
      <c r="K492" t="inlineStr"/>
      <c r="M492" t="inlineStr">
        <is>
          <t>TN</t>
        </is>
      </c>
      <c r="N492" t="inlineStr"/>
      <c r="P492" t="inlineStr">
        <is>
          <t>20190426</t>
        </is>
      </c>
      <c r="Q492" t="inlineStr">
        <is>
          <t>20250127</t>
        </is>
      </c>
    </row>
    <row r="493">
      <c r="A493" t="inlineStr">
        <is>
          <t>900003592D8366500394510000722</t>
        </is>
      </c>
      <c r="B493" t="inlineStr">
        <is>
          <t>900003592</t>
        </is>
      </c>
      <c r="C493" t="inlineStr">
        <is>
          <t>D836</t>
        </is>
      </c>
      <c r="D493" t="inlineStr">
        <is>
          <t>65003945</t>
        </is>
      </c>
      <c r="E493" t="inlineStr">
        <is>
          <t>1</t>
        </is>
      </c>
      <c r="F493" t="inlineStr">
        <is>
          <t>10000722</t>
        </is>
      </c>
      <c r="H493" t="inlineStr"/>
      <c r="J493" t="n">
        <v>143.93</v>
      </c>
      <c r="K493" t="inlineStr"/>
      <c r="M493" t="inlineStr">
        <is>
          <t>TN</t>
        </is>
      </c>
      <c r="N493" t="inlineStr"/>
      <c r="P493" t="inlineStr">
        <is>
          <t>20190426</t>
        </is>
      </c>
      <c r="Q493" t="inlineStr">
        <is>
          <t>20250127</t>
        </is>
      </c>
    </row>
    <row r="494">
      <c r="A494" t="inlineStr">
        <is>
          <t>900003592D8366525139910000624</t>
        </is>
      </c>
      <c r="B494" t="inlineStr">
        <is>
          <t>900003592</t>
        </is>
      </c>
      <c r="C494" t="inlineStr">
        <is>
          <t>D836</t>
        </is>
      </c>
      <c r="D494" t="inlineStr">
        <is>
          <t>65251399</t>
        </is>
      </c>
      <c r="E494" t="inlineStr">
        <is>
          <t>1</t>
        </is>
      </c>
      <c r="F494" t="inlineStr">
        <is>
          <t>10000624</t>
        </is>
      </c>
      <c r="H494" t="inlineStr"/>
      <c r="J494" t="n">
        <v>87</v>
      </c>
      <c r="K494" t="inlineStr"/>
      <c r="M494" t="inlineStr">
        <is>
          <t>TN</t>
        </is>
      </c>
      <c r="N494" t="inlineStr"/>
      <c r="P494" t="inlineStr">
        <is>
          <t>20190426</t>
        </is>
      </c>
      <c r="Q494" t="inlineStr">
        <is>
          <t>20250127</t>
        </is>
      </c>
    </row>
    <row r="495">
      <c r="A495" t="inlineStr">
        <is>
          <t>900003592D8366525139910000722</t>
        </is>
      </c>
      <c r="B495" t="inlineStr">
        <is>
          <t>900003592</t>
        </is>
      </c>
      <c r="C495" t="inlineStr">
        <is>
          <t>D836</t>
        </is>
      </c>
      <c r="D495" t="inlineStr">
        <is>
          <t>65251399</t>
        </is>
      </c>
      <c r="E495" t="inlineStr">
        <is>
          <t>1</t>
        </is>
      </c>
      <c r="F495" t="inlineStr">
        <is>
          <t>10000722</t>
        </is>
      </c>
      <c r="H495" t="inlineStr"/>
      <c r="J495" t="n">
        <v>81</v>
      </c>
      <c r="K495" t="inlineStr"/>
      <c r="M495" t="inlineStr">
        <is>
          <t>TN</t>
        </is>
      </c>
      <c r="N495" t="inlineStr"/>
      <c r="P495" t="inlineStr">
        <is>
          <t>20190426</t>
        </is>
      </c>
      <c r="Q495" t="inlineStr">
        <is>
          <t>20250127</t>
        </is>
      </c>
    </row>
    <row r="496">
      <c r="A496" t="inlineStr">
        <is>
          <t>900003592D8366525139910053281</t>
        </is>
      </c>
      <c r="B496" t="inlineStr">
        <is>
          <t>900003592</t>
        </is>
      </c>
      <c r="C496" t="inlineStr">
        <is>
          <t>D836</t>
        </is>
      </c>
      <c r="D496" t="inlineStr">
        <is>
          <t>65251399</t>
        </is>
      </c>
      <c r="E496" t="inlineStr">
        <is>
          <t>1</t>
        </is>
      </c>
      <c r="F496" t="inlineStr">
        <is>
          <t>10053281</t>
        </is>
      </c>
      <c r="H496" t="inlineStr"/>
      <c r="J496" t="n">
        <v>81</v>
      </c>
      <c r="K496" t="inlineStr"/>
      <c r="M496" t="inlineStr">
        <is>
          <t>TN</t>
        </is>
      </c>
      <c r="N496" t="inlineStr"/>
      <c r="P496" t="inlineStr">
        <is>
          <t>20190426</t>
        </is>
      </c>
      <c r="Q496" t="inlineStr">
        <is>
          <t>20250127</t>
        </is>
      </c>
    </row>
    <row r="497">
      <c r="A497" t="inlineStr">
        <is>
          <t>900003592D8366527243710000630</t>
        </is>
      </c>
      <c r="B497" t="inlineStr">
        <is>
          <t>900003592</t>
        </is>
      </c>
      <c r="C497" t="inlineStr">
        <is>
          <t>D836</t>
        </is>
      </c>
      <c r="D497" t="inlineStr">
        <is>
          <t>65272437</t>
        </is>
      </c>
      <c r="E497" t="inlineStr">
        <is>
          <t>2</t>
        </is>
      </c>
      <c r="F497" t="inlineStr">
        <is>
          <t>10000630</t>
        </is>
      </c>
      <c r="H497" t="inlineStr"/>
      <c r="J497" t="n">
        <v>0</v>
      </c>
      <c r="K497" t="inlineStr"/>
      <c r="M497" t="inlineStr">
        <is>
          <t>TN</t>
        </is>
      </c>
      <c r="N497" t="inlineStr"/>
      <c r="P497" t="inlineStr">
        <is>
          <t>20190426</t>
        </is>
      </c>
      <c r="Q497" t="inlineStr">
        <is>
          <t>20250127</t>
        </is>
      </c>
    </row>
    <row r="498">
      <c r="A498" t="inlineStr">
        <is>
          <t>900003592D8366527243710000722</t>
        </is>
      </c>
      <c r="B498" t="inlineStr">
        <is>
          <t>900003592</t>
        </is>
      </c>
      <c r="C498" t="inlineStr">
        <is>
          <t>D836</t>
        </is>
      </c>
      <c r="D498" t="inlineStr">
        <is>
          <t>65272437</t>
        </is>
      </c>
      <c r="E498" t="inlineStr">
        <is>
          <t>2</t>
        </is>
      </c>
      <c r="F498" t="inlineStr">
        <is>
          <t>10000722</t>
        </is>
      </c>
      <c r="H498" t="inlineStr"/>
      <c r="J498" t="n">
        <v>0</v>
      </c>
      <c r="K498" t="inlineStr"/>
      <c r="M498" t="inlineStr">
        <is>
          <t>TN</t>
        </is>
      </c>
      <c r="N498" t="inlineStr"/>
      <c r="P498" t="inlineStr">
        <is>
          <t>20190426</t>
        </is>
      </c>
      <c r="Q498" t="inlineStr">
        <is>
          <t>20250127</t>
        </is>
      </c>
    </row>
    <row r="499">
      <c r="A499" t="inlineStr">
        <is>
          <t>900003592D8366530090610000624</t>
        </is>
      </c>
      <c r="B499" t="inlineStr">
        <is>
          <t>900003592</t>
        </is>
      </c>
      <c r="C499" t="inlineStr">
        <is>
          <t>D836</t>
        </is>
      </c>
      <c r="D499" t="inlineStr">
        <is>
          <t>65300906</t>
        </is>
      </c>
      <c r="E499" t="inlineStr">
        <is>
          <t>1</t>
        </is>
      </c>
      <c r="F499" t="inlineStr">
        <is>
          <t>10000624</t>
        </is>
      </c>
      <c r="H499" t="inlineStr"/>
      <c r="J499" t="n">
        <v>72.06999999999999</v>
      </c>
      <c r="K499" t="inlineStr"/>
      <c r="M499" t="inlineStr">
        <is>
          <t>TN</t>
        </is>
      </c>
      <c r="N499" t="inlineStr"/>
      <c r="P499" t="inlineStr">
        <is>
          <t>20190426</t>
        </is>
      </c>
      <c r="Q499" t="inlineStr">
        <is>
          <t>20250127</t>
        </is>
      </c>
    </row>
    <row r="500">
      <c r="A500" t="inlineStr">
        <is>
          <t>900003592D8366530090610000722</t>
        </is>
      </c>
      <c r="B500" t="inlineStr">
        <is>
          <t>900003592</t>
        </is>
      </c>
      <c r="C500" t="inlineStr">
        <is>
          <t>D836</t>
        </is>
      </c>
      <c r="D500" t="inlineStr">
        <is>
          <t>65300906</t>
        </is>
      </c>
      <c r="E500" t="inlineStr">
        <is>
          <t>1</t>
        </is>
      </c>
      <c r="F500" t="inlineStr">
        <is>
          <t>10000722</t>
        </is>
      </c>
      <c r="H500" t="inlineStr"/>
      <c r="J500" t="n">
        <v>72.56999999999999</v>
      </c>
      <c r="K500" t="inlineStr"/>
      <c r="M500" t="inlineStr">
        <is>
          <t>TN</t>
        </is>
      </c>
      <c r="N500" t="inlineStr"/>
      <c r="P500" t="inlineStr">
        <is>
          <t>20190426</t>
        </is>
      </c>
      <c r="Q500" t="inlineStr">
        <is>
          <t>20250127</t>
        </is>
      </c>
    </row>
    <row r="501">
      <c r="A501" t="inlineStr">
        <is>
          <t>900003592D8366534622410000623</t>
        </is>
      </c>
      <c r="B501" t="inlineStr">
        <is>
          <t>900003592</t>
        </is>
      </c>
      <c r="C501" t="inlineStr">
        <is>
          <t>D836</t>
        </is>
      </c>
      <c r="D501" t="inlineStr">
        <is>
          <t>65346224</t>
        </is>
      </c>
      <c r="E501" t="inlineStr">
        <is>
          <t>1</t>
        </is>
      </c>
      <c r="F501" t="inlineStr">
        <is>
          <t>10000623</t>
        </is>
      </c>
      <c r="H501" t="inlineStr"/>
      <c r="J501" t="n">
        <v>123.61</v>
      </c>
      <c r="K501" t="inlineStr"/>
      <c r="M501" t="inlineStr">
        <is>
          <t>TN</t>
        </is>
      </c>
      <c r="N501" t="inlineStr"/>
      <c r="P501" t="inlineStr">
        <is>
          <t>20190426</t>
        </is>
      </c>
      <c r="Q501" t="inlineStr">
        <is>
          <t>20250127</t>
        </is>
      </c>
    </row>
    <row r="502">
      <c r="A502" t="inlineStr">
        <is>
          <t>900003592D8366544227010000630</t>
        </is>
      </c>
      <c r="B502" t="inlineStr">
        <is>
          <t>900003592</t>
        </is>
      </c>
      <c r="C502" t="inlineStr">
        <is>
          <t>D836</t>
        </is>
      </c>
      <c r="D502" t="inlineStr">
        <is>
          <t>65442270</t>
        </is>
      </c>
      <c r="E502" t="inlineStr">
        <is>
          <t>1</t>
        </is>
      </c>
      <c r="F502" t="inlineStr">
        <is>
          <t>10000630</t>
        </is>
      </c>
      <c r="H502" t="inlineStr"/>
      <c r="J502" t="n">
        <v>92</v>
      </c>
      <c r="K502" t="inlineStr"/>
      <c r="M502" t="inlineStr">
        <is>
          <t>TN</t>
        </is>
      </c>
      <c r="N502" t="inlineStr"/>
      <c r="P502" t="inlineStr">
        <is>
          <t>20190426</t>
        </is>
      </c>
      <c r="Q502" t="inlineStr">
        <is>
          <t>20250127</t>
        </is>
      </c>
    </row>
    <row r="503">
      <c r="A503" t="inlineStr">
        <is>
          <t>900003592D8366544227010000722</t>
        </is>
      </c>
      <c r="B503" t="inlineStr">
        <is>
          <t>900003592</t>
        </is>
      </c>
      <c r="C503" t="inlineStr">
        <is>
          <t>D836</t>
        </is>
      </c>
      <c r="D503" t="inlineStr">
        <is>
          <t>65442270</t>
        </is>
      </c>
      <c r="E503" t="inlineStr">
        <is>
          <t>1</t>
        </is>
      </c>
      <c r="F503" t="inlineStr">
        <is>
          <t>10000722</t>
        </is>
      </c>
      <c r="H503" t="inlineStr"/>
      <c r="J503" t="n">
        <v>94</v>
      </c>
      <c r="K503" t="inlineStr"/>
      <c r="M503" t="inlineStr">
        <is>
          <t>TN</t>
        </is>
      </c>
      <c r="N503" t="inlineStr"/>
      <c r="P503" t="inlineStr">
        <is>
          <t>20190426</t>
        </is>
      </c>
      <c r="Q503" t="inlineStr">
        <is>
          <t>20250127</t>
        </is>
      </c>
    </row>
    <row r="504">
      <c r="A504" t="inlineStr">
        <is>
          <t>900003592D8366556582610000623</t>
        </is>
      </c>
      <c r="B504" t="inlineStr">
        <is>
          <t>900003592</t>
        </is>
      </c>
      <c r="C504" t="inlineStr">
        <is>
          <t>D836</t>
        </is>
      </c>
      <c r="D504" t="inlineStr">
        <is>
          <t>65565826</t>
        </is>
      </c>
      <c r="E504" t="inlineStr">
        <is>
          <t>1</t>
        </is>
      </c>
      <c r="F504" t="inlineStr">
        <is>
          <t>10000623</t>
        </is>
      </c>
      <c r="H504" t="inlineStr"/>
      <c r="J504" t="n">
        <v>160</v>
      </c>
      <c r="K504" t="inlineStr"/>
      <c r="M504" t="inlineStr">
        <is>
          <t>M3</t>
        </is>
      </c>
      <c r="N504" t="inlineStr"/>
      <c r="P504" t="inlineStr">
        <is>
          <t>20190426</t>
        </is>
      </c>
      <c r="Q504" t="inlineStr">
        <is>
          <t>20250127</t>
        </is>
      </c>
    </row>
    <row r="505">
      <c r="A505" t="inlineStr">
        <is>
          <t>900003592D8366556582610000722</t>
        </is>
      </c>
      <c r="B505" t="inlineStr">
        <is>
          <t>900003592</t>
        </is>
      </c>
      <c r="C505" t="inlineStr">
        <is>
          <t>D836</t>
        </is>
      </c>
      <c r="D505" t="inlineStr">
        <is>
          <t>65565826</t>
        </is>
      </c>
      <c r="E505" t="inlineStr">
        <is>
          <t>1</t>
        </is>
      </c>
      <c r="F505" t="inlineStr">
        <is>
          <t>10000722</t>
        </is>
      </c>
      <c r="H505" t="inlineStr"/>
      <c r="J505" t="n">
        <v>115</v>
      </c>
      <c r="K505" t="inlineStr"/>
      <c r="M505" t="inlineStr">
        <is>
          <t>TN</t>
        </is>
      </c>
      <c r="N505" t="inlineStr"/>
      <c r="P505" t="inlineStr">
        <is>
          <t>20190426</t>
        </is>
      </c>
      <c r="Q505" t="inlineStr">
        <is>
          <t>20250127</t>
        </is>
      </c>
    </row>
    <row r="506">
      <c r="A506" t="inlineStr">
        <is>
          <t>900003592D8366557034610000630</t>
        </is>
      </c>
      <c r="B506" t="inlineStr">
        <is>
          <t>900003592</t>
        </is>
      </c>
      <c r="C506" t="inlineStr">
        <is>
          <t>D836</t>
        </is>
      </c>
      <c r="D506" t="inlineStr">
        <is>
          <t>65570346</t>
        </is>
      </c>
      <c r="E506" t="inlineStr">
        <is>
          <t>1</t>
        </is>
      </c>
      <c r="F506" t="inlineStr">
        <is>
          <t>10000630</t>
        </is>
      </c>
      <c r="H506" t="inlineStr"/>
      <c r="J506" t="n">
        <v>95</v>
      </c>
      <c r="K506" t="inlineStr"/>
      <c r="M506" t="inlineStr">
        <is>
          <t>TN</t>
        </is>
      </c>
      <c r="N506" t="inlineStr"/>
      <c r="P506" t="inlineStr">
        <is>
          <t>20190426</t>
        </is>
      </c>
      <c r="Q506" t="inlineStr">
        <is>
          <t>20250127</t>
        </is>
      </c>
    </row>
    <row r="507">
      <c r="A507" t="inlineStr">
        <is>
          <t>900003592D8366557034610000722</t>
        </is>
      </c>
      <c r="B507" t="inlineStr">
        <is>
          <t>900003592</t>
        </is>
      </c>
      <c r="C507" t="inlineStr">
        <is>
          <t>D836</t>
        </is>
      </c>
      <c r="D507" t="inlineStr">
        <is>
          <t>65570346</t>
        </is>
      </c>
      <c r="E507" t="inlineStr">
        <is>
          <t>1</t>
        </is>
      </c>
      <c r="F507" t="inlineStr">
        <is>
          <t>10000722</t>
        </is>
      </c>
      <c r="H507" t="inlineStr"/>
      <c r="J507" t="n">
        <v>94</v>
      </c>
      <c r="K507" t="inlineStr"/>
      <c r="M507" t="inlineStr">
        <is>
          <t>TN</t>
        </is>
      </c>
      <c r="N507" t="inlineStr"/>
      <c r="P507" t="inlineStr">
        <is>
          <t>20190426</t>
        </is>
      </c>
      <c r="Q507" t="inlineStr">
        <is>
          <t>20250127</t>
        </is>
      </c>
    </row>
    <row r="508">
      <c r="A508" t="inlineStr">
        <is>
          <t>900003592D8366568581910000630</t>
        </is>
      </c>
      <c r="B508" t="inlineStr">
        <is>
          <t>900003592</t>
        </is>
      </c>
      <c r="C508" t="inlineStr">
        <is>
          <t>D836</t>
        </is>
      </c>
      <c r="D508" t="inlineStr">
        <is>
          <t>65685819</t>
        </is>
      </c>
      <c r="E508" t="inlineStr">
        <is>
          <t>1</t>
        </is>
      </c>
      <c r="F508" t="inlineStr">
        <is>
          <t>10000630</t>
        </is>
      </c>
      <c r="H508" t="inlineStr"/>
      <c r="J508" t="n">
        <v>163.5</v>
      </c>
      <c r="K508" t="inlineStr"/>
      <c r="M508" t="inlineStr">
        <is>
          <t>TN</t>
        </is>
      </c>
      <c r="N508" t="inlineStr"/>
      <c r="P508" t="inlineStr">
        <is>
          <t>20190426</t>
        </is>
      </c>
      <c r="Q508" t="inlineStr">
        <is>
          <t>20250127</t>
        </is>
      </c>
    </row>
    <row r="509">
      <c r="A509" t="inlineStr">
        <is>
          <t>900003592D8366568581910000722</t>
        </is>
      </c>
      <c r="B509" t="inlineStr">
        <is>
          <t>900003592</t>
        </is>
      </c>
      <c r="C509" t="inlineStr">
        <is>
          <t>D836</t>
        </is>
      </c>
      <c r="D509" t="inlineStr">
        <is>
          <t>65685819</t>
        </is>
      </c>
      <c r="E509" t="inlineStr">
        <is>
          <t>1</t>
        </is>
      </c>
      <c r="F509" t="inlineStr">
        <is>
          <t>10000722</t>
        </is>
      </c>
      <c r="H509" t="inlineStr"/>
      <c r="J509" t="n">
        <v>163.5</v>
      </c>
      <c r="K509" t="inlineStr"/>
      <c r="M509" t="inlineStr">
        <is>
          <t>TN</t>
        </is>
      </c>
      <c r="N509" t="inlineStr"/>
      <c r="P509" t="inlineStr">
        <is>
          <t>20190426</t>
        </is>
      </c>
      <c r="Q509" t="inlineStr">
        <is>
          <t>20250127</t>
        </is>
      </c>
    </row>
    <row r="510">
      <c r="A510" t="inlineStr">
        <is>
          <t>900003592D8366578148210000722</t>
        </is>
      </c>
      <c r="B510" t="inlineStr">
        <is>
          <t>900003592</t>
        </is>
      </c>
      <c r="C510" t="inlineStr">
        <is>
          <t>D836</t>
        </is>
      </c>
      <c r="D510" t="inlineStr">
        <is>
          <t>65781482</t>
        </is>
      </c>
      <c r="E510" t="inlineStr">
        <is>
          <t>1</t>
        </is>
      </c>
      <c r="F510" t="inlineStr">
        <is>
          <t>10000722</t>
        </is>
      </c>
      <c r="H510" t="inlineStr"/>
      <c r="J510" t="n">
        <v>165</v>
      </c>
      <c r="K510" t="inlineStr"/>
      <c r="M510" t="inlineStr">
        <is>
          <t>TN</t>
        </is>
      </c>
      <c r="N510" t="inlineStr"/>
      <c r="P510" t="inlineStr">
        <is>
          <t>20190426</t>
        </is>
      </c>
      <c r="Q510" t="inlineStr">
        <is>
          <t>20250127</t>
        </is>
      </c>
    </row>
    <row r="511">
      <c r="A511" t="inlineStr">
        <is>
          <t>900003592D8366579688210000722</t>
        </is>
      </c>
      <c r="B511" t="inlineStr">
        <is>
          <t>900003592</t>
        </is>
      </c>
      <c r="C511" t="inlineStr">
        <is>
          <t>D836</t>
        </is>
      </c>
      <c r="D511" t="inlineStr">
        <is>
          <t>65796882</t>
        </is>
      </c>
      <c r="E511" t="inlineStr">
        <is>
          <t>1</t>
        </is>
      </c>
      <c r="F511" t="inlineStr">
        <is>
          <t>10000722</t>
        </is>
      </c>
      <c r="H511" t="inlineStr"/>
      <c r="J511" t="n">
        <v>81</v>
      </c>
      <c r="K511" t="inlineStr"/>
      <c r="M511" t="inlineStr">
        <is>
          <t>TN</t>
        </is>
      </c>
      <c r="N511" t="inlineStr"/>
      <c r="P511" t="inlineStr">
        <is>
          <t>20190426</t>
        </is>
      </c>
      <c r="Q511" t="inlineStr">
        <is>
          <t>20250127</t>
        </is>
      </c>
    </row>
    <row r="512">
      <c r="A512" t="inlineStr">
        <is>
          <t>900003592D8366579688210053281</t>
        </is>
      </c>
      <c r="B512" t="inlineStr">
        <is>
          <t>900003592</t>
        </is>
      </c>
      <c r="C512" t="inlineStr">
        <is>
          <t>D836</t>
        </is>
      </c>
      <c r="D512" t="inlineStr">
        <is>
          <t>65796882</t>
        </is>
      </c>
      <c r="E512" t="inlineStr">
        <is>
          <t>1</t>
        </is>
      </c>
      <c r="F512" t="inlineStr">
        <is>
          <t>10053281</t>
        </is>
      </c>
      <c r="H512" t="inlineStr"/>
      <c r="J512" t="n">
        <v>81</v>
      </c>
      <c r="K512" t="inlineStr"/>
      <c r="M512" t="inlineStr">
        <is>
          <t>TN</t>
        </is>
      </c>
      <c r="N512" t="inlineStr"/>
      <c r="P512" t="inlineStr">
        <is>
          <t>20190426</t>
        </is>
      </c>
      <c r="Q512" t="inlineStr">
        <is>
          <t>20250127</t>
        </is>
      </c>
    </row>
    <row r="513">
      <c r="A513" t="inlineStr">
        <is>
          <t>900003592D8366591661610000630</t>
        </is>
      </c>
      <c r="B513" t="inlineStr">
        <is>
          <t>900003592</t>
        </is>
      </c>
      <c r="C513" t="inlineStr">
        <is>
          <t>D836</t>
        </is>
      </c>
      <c r="D513" t="inlineStr">
        <is>
          <t>65916616</t>
        </is>
      </c>
      <c r="E513" t="inlineStr">
        <is>
          <t>1</t>
        </is>
      </c>
      <c r="F513" t="inlineStr">
        <is>
          <t>10000630</t>
        </is>
      </c>
      <c r="H513" t="inlineStr"/>
      <c r="J513" t="n">
        <v>59</v>
      </c>
      <c r="K513" t="inlineStr"/>
      <c r="M513" t="inlineStr">
        <is>
          <t>TN</t>
        </is>
      </c>
      <c r="N513" t="inlineStr"/>
      <c r="P513" t="inlineStr">
        <is>
          <t>20190426</t>
        </is>
      </c>
      <c r="Q513" t="inlineStr">
        <is>
          <t>20250127</t>
        </is>
      </c>
    </row>
    <row r="514">
      <c r="A514" t="inlineStr">
        <is>
          <t>900003592D8366591661610000722</t>
        </is>
      </c>
      <c r="B514" t="inlineStr">
        <is>
          <t>900003592</t>
        </is>
      </c>
      <c r="C514" t="inlineStr">
        <is>
          <t>D836</t>
        </is>
      </c>
      <c r="D514" t="inlineStr">
        <is>
          <t>65916616</t>
        </is>
      </c>
      <c r="E514" t="inlineStr">
        <is>
          <t>1</t>
        </is>
      </c>
      <c r="F514" t="inlineStr">
        <is>
          <t>10000722</t>
        </is>
      </c>
      <c r="H514" t="inlineStr"/>
      <c r="J514" t="n">
        <v>59</v>
      </c>
      <c r="K514" t="inlineStr"/>
      <c r="M514" t="inlineStr">
        <is>
          <t>TN</t>
        </is>
      </c>
      <c r="N514" t="inlineStr"/>
      <c r="P514" t="inlineStr">
        <is>
          <t>20190426</t>
        </is>
      </c>
      <c r="Q514" t="inlineStr">
        <is>
          <t>20250127</t>
        </is>
      </c>
    </row>
    <row r="515">
      <c r="A515" t="inlineStr">
        <is>
          <t>900003592D8366597099810000722</t>
        </is>
      </c>
      <c r="B515" t="inlineStr">
        <is>
          <t>900003592</t>
        </is>
      </c>
      <c r="C515" t="inlineStr">
        <is>
          <t>D836</t>
        </is>
      </c>
      <c r="D515" t="inlineStr">
        <is>
          <t>65970998</t>
        </is>
      </c>
      <c r="E515" t="inlineStr">
        <is>
          <t>1</t>
        </is>
      </c>
      <c r="F515" t="inlineStr">
        <is>
          <t>10000722</t>
        </is>
      </c>
      <c r="H515" t="inlineStr"/>
      <c r="J515" t="n">
        <v>199.5</v>
      </c>
      <c r="K515" t="inlineStr"/>
      <c r="M515" t="inlineStr">
        <is>
          <t>TN</t>
        </is>
      </c>
      <c r="N515" t="inlineStr"/>
      <c r="P515" t="inlineStr">
        <is>
          <t>20190426</t>
        </is>
      </c>
      <c r="Q515" t="inlineStr">
        <is>
          <t>20250127</t>
        </is>
      </c>
    </row>
    <row r="516">
      <c r="A516" t="inlineStr">
        <is>
          <t>900003592D8366599205310000623</t>
        </is>
      </c>
      <c r="B516" t="inlineStr">
        <is>
          <t>900003592</t>
        </is>
      </c>
      <c r="C516" t="inlineStr">
        <is>
          <t>D836</t>
        </is>
      </c>
      <c r="D516" t="inlineStr">
        <is>
          <t>65992053</t>
        </is>
      </c>
      <c r="E516" t="inlineStr">
        <is>
          <t>4</t>
        </is>
      </c>
      <c r="F516" t="inlineStr">
        <is>
          <t>10000623</t>
        </is>
      </c>
      <c r="H516" t="inlineStr"/>
      <c r="J516" t="n">
        <v>96.34999999999999</v>
      </c>
      <c r="K516" t="inlineStr"/>
      <c r="M516" t="inlineStr">
        <is>
          <t>TN</t>
        </is>
      </c>
      <c r="N516" t="inlineStr"/>
      <c r="P516" t="inlineStr">
        <is>
          <t>20190426</t>
        </is>
      </c>
      <c r="Q516" t="inlineStr">
        <is>
          <t>20250127</t>
        </is>
      </c>
    </row>
    <row r="517">
      <c r="A517" t="inlineStr">
        <is>
          <t>900003592D8366616755210000624</t>
        </is>
      </c>
      <c r="B517" t="inlineStr">
        <is>
          <t>900003592</t>
        </is>
      </c>
      <c r="C517" t="inlineStr">
        <is>
          <t>D836</t>
        </is>
      </c>
      <c r="D517" t="inlineStr">
        <is>
          <t>66167552</t>
        </is>
      </c>
      <c r="E517" t="inlineStr">
        <is>
          <t>1</t>
        </is>
      </c>
      <c r="F517" t="inlineStr">
        <is>
          <t>10000624</t>
        </is>
      </c>
      <c r="H517" t="inlineStr"/>
      <c r="J517" t="n">
        <v>74</v>
      </c>
      <c r="K517" t="inlineStr"/>
      <c r="M517" t="inlineStr">
        <is>
          <t>TN</t>
        </is>
      </c>
      <c r="N517" t="inlineStr"/>
      <c r="P517" t="inlineStr">
        <is>
          <t>20190426</t>
        </is>
      </c>
      <c r="Q517" t="inlineStr">
        <is>
          <t>20250127</t>
        </is>
      </c>
    </row>
    <row r="518">
      <c r="A518" t="inlineStr">
        <is>
          <t>900003592D8366616755210000722</t>
        </is>
      </c>
      <c r="B518" t="inlineStr">
        <is>
          <t>900003592</t>
        </is>
      </c>
      <c r="C518" t="inlineStr">
        <is>
          <t>D836</t>
        </is>
      </c>
      <c r="D518" t="inlineStr">
        <is>
          <t>66167552</t>
        </is>
      </c>
      <c r="E518" t="inlineStr">
        <is>
          <t>1</t>
        </is>
      </c>
      <c r="F518" t="inlineStr">
        <is>
          <t>10000722</t>
        </is>
      </c>
      <c r="H518" t="inlineStr"/>
      <c r="J518" t="n">
        <v>74</v>
      </c>
      <c r="K518" t="inlineStr"/>
      <c r="M518" t="inlineStr">
        <is>
          <t>TN</t>
        </is>
      </c>
      <c r="N518" t="inlineStr"/>
      <c r="P518" t="inlineStr">
        <is>
          <t>20190426</t>
        </is>
      </c>
      <c r="Q518" t="inlineStr">
        <is>
          <t>20250127</t>
        </is>
      </c>
    </row>
    <row r="519">
      <c r="A519" t="inlineStr">
        <is>
          <t>900003592D8366623009810000722</t>
        </is>
      </c>
      <c r="B519" t="inlineStr">
        <is>
          <t>900003592</t>
        </is>
      </c>
      <c r="C519" t="inlineStr">
        <is>
          <t>D836</t>
        </is>
      </c>
      <c r="D519" t="inlineStr">
        <is>
          <t>66230098</t>
        </is>
      </c>
      <c r="E519" t="inlineStr">
        <is>
          <t>1</t>
        </is>
      </c>
      <c r="F519" t="inlineStr">
        <is>
          <t>10000722</t>
        </is>
      </c>
      <c r="H519" t="inlineStr"/>
      <c r="J519" t="n">
        <v>98</v>
      </c>
      <c r="K519" t="inlineStr"/>
      <c r="M519" t="inlineStr">
        <is>
          <t>TN</t>
        </is>
      </c>
      <c r="N519" t="inlineStr"/>
      <c r="P519" t="inlineStr">
        <is>
          <t>20190426</t>
        </is>
      </c>
      <c r="Q519" t="inlineStr">
        <is>
          <t>20250127</t>
        </is>
      </c>
    </row>
    <row r="520">
      <c r="A520" t="inlineStr">
        <is>
          <t>900003592D8366623009810053281</t>
        </is>
      </c>
      <c r="B520" t="inlineStr">
        <is>
          <t>900003592</t>
        </is>
      </c>
      <c r="C520" t="inlineStr">
        <is>
          <t>D836</t>
        </is>
      </c>
      <c r="D520" t="inlineStr">
        <is>
          <t>66230098</t>
        </is>
      </c>
      <c r="E520" t="inlineStr">
        <is>
          <t>1</t>
        </is>
      </c>
      <c r="F520" t="inlineStr">
        <is>
          <t>10053281</t>
        </is>
      </c>
      <c r="H520" t="inlineStr"/>
      <c r="J520" t="n">
        <v>98</v>
      </c>
      <c r="K520" t="inlineStr"/>
      <c r="M520" t="inlineStr">
        <is>
          <t>TN</t>
        </is>
      </c>
      <c r="N520" t="inlineStr"/>
      <c r="P520" t="inlineStr">
        <is>
          <t>20190426</t>
        </is>
      </c>
      <c r="Q520" t="inlineStr">
        <is>
          <t>20250127</t>
        </is>
      </c>
    </row>
    <row r="521">
      <c r="A521" t="inlineStr">
        <is>
          <t>900003592D8366623714210000630</t>
        </is>
      </c>
      <c r="B521" t="inlineStr">
        <is>
          <t>900003592</t>
        </is>
      </c>
      <c r="C521" t="inlineStr">
        <is>
          <t>D836</t>
        </is>
      </c>
      <c r="D521" t="inlineStr">
        <is>
          <t>66237142</t>
        </is>
      </c>
      <c r="E521" t="inlineStr">
        <is>
          <t>1</t>
        </is>
      </c>
      <c r="F521" t="inlineStr">
        <is>
          <t>10000630</t>
        </is>
      </c>
      <c r="H521" t="inlineStr"/>
      <c r="J521" t="n">
        <v>92</v>
      </c>
      <c r="K521" t="inlineStr"/>
      <c r="M521" t="inlineStr">
        <is>
          <t>TN</t>
        </is>
      </c>
      <c r="N521" t="inlineStr"/>
      <c r="P521" t="inlineStr">
        <is>
          <t>20190426</t>
        </is>
      </c>
      <c r="Q521" t="inlineStr">
        <is>
          <t>20250127</t>
        </is>
      </c>
    </row>
    <row r="522">
      <c r="A522" t="inlineStr">
        <is>
          <t>900003592D8366623714210000722</t>
        </is>
      </c>
      <c r="B522" t="inlineStr">
        <is>
          <t>900003592</t>
        </is>
      </c>
      <c r="C522" t="inlineStr">
        <is>
          <t>D836</t>
        </is>
      </c>
      <c r="D522" t="inlineStr">
        <is>
          <t>66237142</t>
        </is>
      </c>
      <c r="E522" t="inlineStr">
        <is>
          <t>1</t>
        </is>
      </c>
      <c r="F522" t="inlineStr">
        <is>
          <t>10000722</t>
        </is>
      </c>
      <c r="H522" t="inlineStr"/>
      <c r="J522" t="n">
        <v>92</v>
      </c>
      <c r="K522" t="inlineStr"/>
      <c r="M522" t="inlineStr">
        <is>
          <t>TN</t>
        </is>
      </c>
      <c r="N522" t="inlineStr"/>
      <c r="P522" t="inlineStr">
        <is>
          <t>20190426</t>
        </is>
      </c>
      <c r="Q522" t="inlineStr">
        <is>
          <t>20250127</t>
        </is>
      </c>
    </row>
    <row r="523">
      <c r="A523" t="inlineStr">
        <is>
          <t>900003592D8366627273910000623</t>
        </is>
      </c>
      <c r="B523" t="inlineStr">
        <is>
          <t>900003592</t>
        </is>
      </c>
      <c r="C523" t="inlineStr">
        <is>
          <t>D836</t>
        </is>
      </c>
      <c r="D523" t="inlineStr">
        <is>
          <t>66272739</t>
        </is>
      </c>
      <c r="E523" t="inlineStr">
        <is>
          <t>1</t>
        </is>
      </c>
      <c r="F523" t="inlineStr">
        <is>
          <t>10000623</t>
        </is>
      </c>
      <c r="H523" t="inlineStr"/>
      <c r="J523" t="n">
        <v>95</v>
      </c>
      <c r="K523" t="inlineStr"/>
      <c r="M523" t="inlineStr">
        <is>
          <t>TN</t>
        </is>
      </c>
      <c r="N523" t="inlineStr"/>
      <c r="P523" t="inlineStr">
        <is>
          <t>20190426</t>
        </is>
      </c>
      <c r="Q523" t="inlineStr">
        <is>
          <t>20250127</t>
        </is>
      </c>
    </row>
    <row r="524">
      <c r="A524" t="inlineStr">
        <is>
          <t>900003592D8366627273910000624</t>
        </is>
      </c>
      <c r="B524" t="inlineStr">
        <is>
          <t>900003592</t>
        </is>
      </c>
      <c r="C524" t="inlineStr">
        <is>
          <t>D836</t>
        </is>
      </c>
      <c r="D524" t="inlineStr">
        <is>
          <t>66272739</t>
        </is>
      </c>
      <c r="E524" t="inlineStr">
        <is>
          <t>1</t>
        </is>
      </c>
      <c r="F524" t="inlineStr">
        <is>
          <t>10000624</t>
        </is>
      </c>
      <c r="H524" t="inlineStr"/>
      <c r="J524" t="n">
        <v>100</v>
      </c>
      <c r="K524" t="inlineStr"/>
      <c r="M524" t="inlineStr">
        <is>
          <t>TN</t>
        </is>
      </c>
      <c r="N524" t="inlineStr"/>
      <c r="P524" t="inlineStr">
        <is>
          <t>20190426</t>
        </is>
      </c>
      <c r="Q524" t="inlineStr">
        <is>
          <t>20250127</t>
        </is>
      </c>
    </row>
    <row r="525">
      <c r="A525" t="inlineStr">
        <is>
          <t>900003592D8366631061010000623</t>
        </is>
      </c>
      <c r="B525" t="inlineStr">
        <is>
          <t>900003592</t>
        </is>
      </c>
      <c r="C525" t="inlineStr">
        <is>
          <t>D836</t>
        </is>
      </c>
      <c r="D525" t="inlineStr">
        <is>
          <t>66310610</t>
        </is>
      </c>
      <c r="E525" t="inlineStr">
        <is>
          <t>1</t>
        </is>
      </c>
      <c r="F525" t="inlineStr">
        <is>
          <t>10000623</t>
        </is>
      </c>
      <c r="H525" t="inlineStr"/>
      <c r="J525" t="n">
        <v>120</v>
      </c>
      <c r="K525" t="inlineStr"/>
      <c r="M525" t="inlineStr">
        <is>
          <t>TN</t>
        </is>
      </c>
      <c r="N525" t="inlineStr"/>
      <c r="P525" t="inlineStr">
        <is>
          <t>20190426</t>
        </is>
      </c>
      <c r="Q525" t="inlineStr">
        <is>
          <t>20250127</t>
        </is>
      </c>
    </row>
    <row r="526">
      <c r="A526" t="inlineStr">
        <is>
          <t>900003592D8366631061010000722</t>
        </is>
      </c>
      <c r="B526" t="inlineStr">
        <is>
          <t>900003592</t>
        </is>
      </c>
      <c r="C526" t="inlineStr">
        <is>
          <t>D836</t>
        </is>
      </c>
      <c r="D526" t="inlineStr">
        <is>
          <t>66310610</t>
        </is>
      </c>
      <c r="E526" t="inlineStr">
        <is>
          <t>1</t>
        </is>
      </c>
      <c r="F526" t="inlineStr">
        <is>
          <t>10000722</t>
        </is>
      </c>
      <c r="H526" t="inlineStr"/>
      <c r="J526" t="n">
        <v>120</v>
      </c>
      <c r="K526" t="inlineStr"/>
      <c r="M526" t="inlineStr">
        <is>
          <t>TN</t>
        </is>
      </c>
      <c r="N526" t="inlineStr"/>
      <c r="P526" t="inlineStr">
        <is>
          <t>20190426</t>
        </is>
      </c>
      <c r="Q526" t="inlineStr">
        <is>
          <t>20250127</t>
        </is>
      </c>
    </row>
    <row r="527">
      <c r="A527" t="inlineStr">
        <is>
          <t>900003592D8366635207210000624</t>
        </is>
      </c>
      <c r="B527" t="inlineStr">
        <is>
          <t>900003592</t>
        </is>
      </c>
      <c r="C527" t="inlineStr">
        <is>
          <t>D836</t>
        </is>
      </c>
      <c r="D527" t="inlineStr">
        <is>
          <t>66352072</t>
        </is>
      </c>
      <c r="E527" t="inlineStr">
        <is>
          <t>1</t>
        </is>
      </c>
      <c r="F527" t="inlineStr">
        <is>
          <t>10000624</t>
        </is>
      </c>
      <c r="H527" t="inlineStr"/>
      <c r="J527" t="n">
        <v>60.53</v>
      </c>
      <c r="K527" t="inlineStr"/>
      <c r="M527" t="inlineStr">
        <is>
          <t>TN</t>
        </is>
      </c>
      <c r="N527" t="inlineStr"/>
      <c r="P527" t="inlineStr">
        <is>
          <t>20190426</t>
        </is>
      </c>
      <c r="Q527" t="inlineStr">
        <is>
          <t>20250127</t>
        </is>
      </c>
    </row>
    <row r="528">
      <c r="A528" t="inlineStr">
        <is>
          <t>900003592D8366635207210000722</t>
        </is>
      </c>
      <c r="B528" t="inlineStr">
        <is>
          <t>900003592</t>
        </is>
      </c>
      <c r="C528" t="inlineStr">
        <is>
          <t>D836</t>
        </is>
      </c>
      <c r="D528" t="inlineStr">
        <is>
          <t>66352072</t>
        </is>
      </c>
      <c r="E528" t="inlineStr">
        <is>
          <t>1</t>
        </is>
      </c>
      <c r="F528" t="inlineStr">
        <is>
          <t>10000722</t>
        </is>
      </c>
      <c r="H528" t="inlineStr"/>
      <c r="J528" t="n">
        <v>60.95</v>
      </c>
      <c r="K528" t="inlineStr"/>
      <c r="M528" t="inlineStr">
        <is>
          <t>TN</t>
        </is>
      </c>
      <c r="N528" t="inlineStr"/>
      <c r="P528" t="inlineStr">
        <is>
          <t>20190426</t>
        </is>
      </c>
      <c r="Q528" t="inlineStr">
        <is>
          <t>20250127</t>
        </is>
      </c>
    </row>
    <row r="529">
      <c r="A529" t="inlineStr">
        <is>
          <t>900003592D8366640065110000624</t>
        </is>
      </c>
      <c r="B529" t="inlineStr">
        <is>
          <t>900003592</t>
        </is>
      </c>
      <c r="C529" t="inlineStr">
        <is>
          <t>D836</t>
        </is>
      </c>
      <c r="D529" t="inlineStr">
        <is>
          <t>66400651</t>
        </is>
      </c>
      <c r="E529" t="inlineStr">
        <is>
          <t>1</t>
        </is>
      </c>
      <c r="F529" t="inlineStr">
        <is>
          <t>10000624</t>
        </is>
      </c>
      <c r="H529" t="inlineStr"/>
      <c r="J529" t="n">
        <v>74</v>
      </c>
      <c r="K529" t="inlineStr"/>
      <c r="M529" t="inlineStr">
        <is>
          <t>TN</t>
        </is>
      </c>
      <c r="N529" t="inlineStr"/>
      <c r="P529" t="inlineStr">
        <is>
          <t>20190426</t>
        </is>
      </c>
      <c r="Q529" t="inlineStr">
        <is>
          <t>20250127</t>
        </is>
      </c>
    </row>
    <row r="530">
      <c r="A530" t="inlineStr">
        <is>
          <t>900003592D8366640066710000722</t>
        </is>
      </c>
      <c r="B530" t="inlineStr">
        <is>
          <t>900003592</t>
        </is>
      </c>
      <c r="C530" t="inlineStr">
        <is>
          <t>D836</t>
        </is>
      </c>
      <c r="D530" t="inlineStr">
        <is>
          <t>66400667</t>
        </is>
      </c>
      <c r="E530" t="inlineStr">
        <is>
          <t>1</t>
        </is>
      </c>
      <c r="F530" t="inlineStr">
        <is>
          <t>10000722</t>
        </is>
      </c>
      <c r="H530" t="inlineStr"/>
      <c r="J530" t="n">
        <v>74</v>
      </c>
      <c r="K530" t="inlineStr"/>
      <c r="M530" t="inlineStr">
        <is>
          <t>TN</t>
        </is>
      </c>
      <c r="N530" t="inlineStr"/>
      <c r="P530" t="inlineStr">
        <is>
          <t>20190426</t>
        </is>
      </c>
      <c r="Q530" t="inlineStr">
        <is>
          <t>20250127</t>
        </is>
      </c>
    </row>
    <row r="531">
      <c r="A531" t="inlineStr">
        <is>
          <t>900003592D8366644211610000624</t>
        </is>
      </c>
      <c r="B531" t="inlineStr">
        <is>
          <t>900003592</t>
        </is>
      </c>
      <c r="C531" t="inlineStr">
        <is>
          <t>D836</t>
        </is>
      </c>
      <c r="D531" t="inlineStr">
        <is>
          <t>66442116</t>
        </is>
      </c>
      <c r="E531" t="inlineStr">
        <is>
          <t>1</t>
        </is>
      </c>
      <c r="F531" t="inlineStr">
        <is>
          <t>10000624</t>
        </is>
      </c>
      <c r="H531" t="inlineStr"/>
      <c r="J531" t="n">
        <v>134</v>
      </c>
      <c r="K531" t="inlineStr"/>
      <c r="M531" t="inlineStr">
        <is>
          <t>TN</t>
        </is>
      </c>
      <c r="N531" t="inlineStr"/>
      <c r="P531" t="inlineStr">
        <is>
          <t>20190426</t>
        </is>
      </c>
      <c r="Q531" t="inlineStr">
        <is>
          <t>20250127</t>
        </is>
      </c>
    </row>
    <row r="532">
      <c r="A532" t="inlineStr">
        <is>
          <t>900003592D8366644211610000722</t>
        </is>
      </c>
      <c r="B532" t="inlineStr">
        <is>
          <t>900003592</t>
        </is>
      </c>
      <c r="C532" t="inlineStr">
        <is>
          <t>D836</t>
        </is>
      </c>
      <c r="D532" t="inlineStr">
        <is>
          <t>66442116</t>
        </is>
      </c>
      <c r="E532" t="inlineStr">
        <is>
          <t>1</t>
        </is>
      </c>
      <c r="F532" t="inlineStr">
        <is>
          <t>10000722</t>
        </is>
      </c>
      <c r="H532" t="inlineStr"/>
      <c r="J532" t="n">
        <v>135</v>
      </c>
      <c r="K532" t="inlineStr"/>
      <c r="M532" t="inlineStr">
        <is>
          <t>TN</t>
        </is>
      </c>
      <c r="N532" t="inlineStr"/>
      <c r="P532" t="inlineStr">
        <is>
          <t>20190426</t>
        </is>
      </c>
      <c r="Q532" t="inlineStr">
        <is>
          <t>20250127</t>
        </is>
      </c>
    </row>
    <row r="533">
      <c r="A533" t="inlineStr">
        <is>
          <t>900003592D8366644224410000722</t>
        </is>
      </c>
      <c r="B533" t="inlineStr">
        <is>
          <t>900003592</t>
        </is>
      </c>
      <c r="C533" t="inlineStr">
        <is>
          <t>D836</t>
        </is>
      </c>
      <c r="D533" t="inlineStr">
        <is>
          <t>66442244</t>
        </is>
      </c>
      <c r="E533" t="inlineStr">
        <is>
          <t>1</t>
        </is>
      </c>
      <c r="F533" t="inlineStr">
        <is>
          <t>10000722</t>
        </is>
      </c>
      <c r="H533" t="inlineStr"/>
      <c r="J533" t="n">
        <v>241.88</v>
      </c>
      <c r="K533" t="inlineStr"/>
      <c r="M533" t="inlineStr">
        <is>
          <t>TN</t>
        </is>
      </c>
      <c r="N533" t="inlineStr"/>
      <c r="P533" t="inlineStr">
        <is>
          <t>20190426</t>
        </is>
      </c>
      <c r="Q533" t="inlineStr">
        <is>
          <t>20250127</t>
        </is>
      </c>
    </row>
    <row r="534">
      <c r="A534" t="inlineStr">
        <is>
          <t>900003592D8366645007210000722</t>
        </is>
      </c>
      <c r="B534" t="inlineStr">
        <is>
          <t>900003592</t>
        </is>
      </c>
      <c r="C534" t="inlineStr">
        <is>
          <t>D836</t>
        </is>
      </c>
      <c r="D534" t="inlineStr">
        <is>
          <t>66450072</t>
        </is>
      </c>
      <c r="E534" t="inlineStr">
        <is>
          <t>1</t>
        </is>
      </c>
      <c r="F534" t="inlineStr">
        <is>
          <t>10000722</t>
        </is>
      </c>
      <c r="H534" t="inlineStr"/>
      <c r="J534" t="n">
        <v>94</v>
      </c>
      <c r="K534" t="inlineStr"/>
      <c r="M534" t="inlineStr">
        <is>
          <t>TN</t>
        </is>
      </c>
      <c r="N534" t="inlineStr"/>
      <c r="P534" t="inlineStr">
        <is>
          <t>20190426</t>
        </is>
      </c>
      <c r="Q534" t="inlineStr">
        <is>
          <t>20250127</t>
        </is>
      </c>
    </row>
    <row r="535">
      <c r="A535" t="inlineStr">
        <is>
          <t>900003592D8366652000710000624</t>
        </is>
      </c>
      <c r="B535" t="inlineStr">
        <is>
          <t>900003592</t>
        </is>
      </c>
      <c r="C535" t="inlineStr">
        <is>
          <t>D836</t>
        </is>
      </c>
      <c r="D535" t="inlineStr">
        <is>
          <t>66520007</t>
        </is>
      </c>
      <c r="E535" t="inlineStr">
        <is>
          <t>1</t>
        </is>
      </c>
      <c r="F535" t="inlineStr">
        <is>
          <t>10000624</t>
        </is>
      </c>
      <c r="H535" t="inlineStr"/>
      <c r="J535" t="n">
        <v>230</v>
      </c>
      <c r="K535" t="inlineStr"/>
      <c r="M535" t="inlineStr">
        <is>
          <t>TN</t>
        </is>
      </c>
      <c r="N535" t="inlineStr"/>
      <c r="P535" t="inlineStr">
        <is>
          <t>20190426</t>
        </is>
      </c>
      <c r="Q535" t="inlineStr">
        <is>
          <t>20250127</t>
        </is>
      </c>
    </row>
    <row r="536">
      <c r="A536" t="inlineStr">
        <is>
          <t>900003592D8366652000710000722</t>
        </is>
      </c>
      <c r="B536" t="inlineStr">
        <is>
          <t>900003592</t>
        </is>
      </c>
      <c r="C536" t="inlineStr">
        <is>
          <t>D836</t>
        </is>
      </c>
      <c r="D536" t="inlineStr">
        <is>
          <t>66520007</t>
        </is>
      </c>
      <c r="E536" t="inlineStr">
        <is>
          <t>1</t>
        </is>
      </c>
      <c r="F536" t="inlineStr">
        <is>
          <t>10000722</t>
        </is>
      </c>
      <c r="H536" t="inlineStr"/>
      <c r="J536" t="n">
        <v>230</v>
      </c>
      <c r="K536" t="inlineStr"/>
      <c r="M536" t="inlineStr">
        <is>
          <t>TN</t>
        </is>
      </c>
      <c r="N536" t="inlineStr"/>
      <c r="P536" t="inlineStr">
        <is>
          <t>20190426</t>
        </is>
      </c>
      <c r="Q536" t="inlineStr">
        <is>
          <t>20250127</t>
        </is>
      </c>
    </row>
    <row r="537">
      <c r="A537" t="inlineStr">
        <is>
          <t>900003593D8366506168510000160</t>
        </is>
      </c>
      <c r="B537" t="inlineStr">
        <is>
          <t>900003593</t>
        </is>
      </c>
      <c r="C537" t="inlineStr">
        <is>
          <t>D836</t>
        </is>
      </c>
      <c r="D537" t="inlineStr">
        <is>
          <t>65061685</t>
        </is>
      </c>
      <c r="E537" t="inlineStr">
        <is>
          <t>1</t>
        </is>
      </c>
      <c r="F537" t="inlineStr">
        <is>
          <t>10000160</t>
        </is>
      </c>
      <c r="H537" t="inlineStr"/>
      <c r="J537" t="n">
        <v>102</v>
      </c>
      <c r="K537" t="inlineStr"/>
      <c r="M537" t="inlineStr">
        <is>
          <t>M3</t>
        </is>
      </c>
      <c r="N537" t="inlineStr"/>
      <c r="P537" t="inlineStr">
        <is>
          <t>20190426</t>
        </is>
      </c>
      <c r="Q537" t="inlineStr">
        <is>
          <t>20250127</t>
        </is>
      </c>
    </row>
    <row r="538">
      <c r="A538" t="inlineStr">
        <is>
          <t>900003593D8366508409110000160</t>
        </is>
      </c>
      <c r="B538" t="inlineStr">
        <is>
          <t>900003593</t>
        </is>
      </c>
      <c r="C538" t="inlineStr">
        <is>
          <t>D836</t>
        </is>
      </c>
      <c r="D538" t="inlineStr">
        <is>
          <t>65084091</t>
        </is>
      </c>
      <c r="E538" t="inlineStr">
        <is>
          <t>1</t>
        </is>
      </c>
      <c r="F538" t="inlineStr">
        <is>
          <t>10000160</t>
        </is>
      </c>
      <c r="H538" t="inlineStr"/>
      <c r="J538" t="n">
        <v>99.36</v>
      </c>
      <c r="K538" t="inlineStr"/>
      <c r="M538" t="inlineStr">
        <is>
          <t>TN</t>
        </is>
      </c>
      <c r="N538" t="inlineStr"/>
      <c r="P538" t="inlineStr">
        <is>
          <t>20190426</t>
        </is>
      </c>
      <c r="Q538" t="inlineStr">
        <is>
          <t>20250127</t>
        </is>
      </c>
    </row>
    <row r="539">
      <c r="A539" t="inlineStr">
        <is>
          <t>900003593D8366524676310000160</t>
        </is>
      </c>
      <c r="B539" t="inlineStr">
        <is>
          <t>900003593</t>
        </is>
      </c>
      <c r="C539" t="inlineStr">
        <is>
          <t>D836</t>
        </is>
      </c>
      <c r="D539" t="inlineStr">
        <is>
          <t>65246763</t>
        </is>
      </c>
      <c r="E539" t="inlineStr">
        <is>
          <t>1</t>
        </is>
      </c>
      <c r="F539" t="inlineStr">
        <is>
          <t>10000160</t>
        </is>
      </c>
      <c r="H539" t="inlineStr"/>
      <c r="J539" t="n">
        <v>103</v>
      </c>
      <c r="K539" t="inlineStr"/>
      <c r="M539" t="inlineStr">
        <is>
          <t>M3</t>
        </is>
      </c>
      <c r="N539" t="inlineStr"/>
      <c r="P539" t="inlineStr">
        <is>
          <t>20190426</t>
        </is>
      </c>
      <c r="Q539" t="inlineStr">
        <is>
          <t>20250127</t>
        </is>
      </c>
    </row>
    <row r="540">
      <c r="A540" t="inlineStr">
        <is>
          <t>900003593D8366525139910000160</t>
        </is>
      </c>
      <c r="B540" t="inlineStr">
        <is>
          <t>900003593</t>
        </is>
      </c>
      <c r="C540" t="inlineStr">
        <is>
          <t>D836</t>
        </is>
      </c>
      <c r="D540" t="inlineStr">
        <is>
          <t>65251399</t>
        </is>
      </c>
      <c r="E540" t="inlineStr">
        <is>
          <t>1</t>
        </is>
      </c>
      <c r="F540" t="inlineStr">
        <is>
          <t>10000160</t>
        </is>
      </c>
      <c r="H540" t="inlineStr"/>
      <c r="J540" t="n">
        <v>120</v>
      </c>
      <c r="K540" t="inlineStr"/>
      <c r="M540" t="inlineStr">
        <is>
          <t>M3</t>
        </is>
      </c>
      <c r="N540" t="inlineStr"/>
      <c r="P540" t="inlineStr">
        <is>
          <t>20190426</t>
        </is>
      </c>
      <c r="Q540" t="inlineStr">
        <is>
          <t>20250127</t>
        </is>
      </c>
    </row>
    <row r="541">
      <c r="A541" t="inlineStr">
        <is>
          <t>900003593D8366529648510000252</t>
        </is>
      </c>
      <c r="B541" t="inlineStr">
        <is>
          <t>900003593</t>
        </is>
      </c>
      <c r="C541" t="inlineStr">
        <is>
          <t>D836</t>
        </is>
      </c>
      <c r="D541" t="inlineStr">
        <is>
          <t>65296485</t>
        </is>
      </c>
      <c r="E541" t="inlineStr">
        <is>
          <t>1</t>
        </is>
      </c>
      <c r="F541" t="inlineStr">
        <is>
          <t>10000252</t>
        </is>
      </c>
      <c r="H541" t="inlineStr"/>
      <c r="J541" t="n">
        <v>93.5</v>
      </c>
      <c r="K541" t="inlineStr"/>
      <c r="M541" t="inlineStr">
        <is>
          <t>TN</t>
        </is>
      </c>
      <c r="N541" t="inlineStr"/>
      <c r="P541" t="inlineStr">
        <is>
          <t>20190426</t>
        </is>
      </c>
      <c r="Q541" t="inlineStr">
        <is>
          <t>20250127</t>
        </is>
      </c>
    </row>
    <row r="542">
      <c r="A542" t="inlineStr">
        <is>
          <t>900003593D8366544227010000357</t>
        </is>
      </c>
      <c r="B542" t="inlineStr">
        <is>
          <t>900003593</t>
        </is>
      </c>
      <c r="C542" t="inlineStr">
        <is>
          <t>D836</t>
        </is>
      </c>
      <c r="D542" t="inlineStr">
        <is>
          <t>65442270</t>
        </is>
      </c>
      <c r="E542" t="inlineStr">
        <is>
          <t>4</t>
        </is>
      </c>
      <c r="F542" t="inlineStr">
        <is>
          <t>10000357</t>
        </is>
      </c>
      <c r="H542" t="inlineStr"/>
      <c r="J542" t="n">
        <v>125</v>
      </c>
      <c r="K542" t="inlineStr"/>
      <c r="M542" t="inlineStr">
        <is>
          <t>M3</t>
        </is>
      </c>
      <c r="N542" t="inlineStr"/>
      <c r="P542" t="inlineStr">
        <is>
          <t>20190426</t>
        </is>
      </c>
      <c r="Q542" t="inlineStr">
        <is>
          <t>20250127</t>
        </is>
      </c>
    </row>
    <row r="543">
      <c r="A543" t="inlineStr">
        <is>
          <t>900003593D8366544525910000160</t>
        </is>
      </c>
      <c r="B543" t="inlineStr">
        <is>
          <t>900003593</t>
        </is>
      </c>
      <c r="C543" t="inlineStr">
        <is>
          <t>D836</t>
        </is>
      </c>
      <c r="D543" t="inlineStr">
        <is>
          <t>65445259</t>
        </is>
      </c>
      <c r="E543" t="inlineStr">
        <is>
          <t>1</t>
        </is>
      </c>
      <c r="F543" t="inlineStr">
        <is>
          <t>10000160</t>
        </is>
      </c>
      <c r="H543" t="inlineStr"/>
      <c r="J543" t="n">
        <v>99.36</v>
      </c>
      <c r="K543" t="inlineStr"/>
      <c r="M543" t="inlineStr">
        <is>
          <t>TN</t>
        </is>
      </c>
      <c r="N543" t="inlineStr"/>
      <c r="P543" t="inlineStr">
        <is>
          <t>20190426</t>
        </is>
      </c>
      <c r="Q543" t="inlineStr">
        <is>
          <t>20250127</t>
        </is>
      </c>
    </row>
    <row r="544">
      <c r="A544" t="inlineStr">
        <is>
          <t>900003593D8366557034610000160</t>
        </is>
      </c>
      <c r="B544" t="inlineStr">
        <is>
          <t>900003593</t>
        </is>
      </c>
      <c r="C544" t="inlineStr">
        <is>
          <t>D836</t>
        </is>
      </c>
      <c r="D544" t="inlineStr">
        <is>
          <t>65570346</t>
        </is>
      </c>
      <c r="E544" t="inlineStr">
        <is>
          <t>1</t>
        </is>
      </c>
      <c r="F544" t="inlineStr">
        <is>
          <t>10000160</t>
        </is>
      </c>
      <c r="H544" t="inlineStr"/>
      <c r="J544" t="n">
        <v>120</v>
      </c>
      <c r="K544" t="inlineStr"/>
      <c r="M544" t="inlineStr">
        <is>
          <t>M3</t>
        </is>
      </c>
      <c r="N544" t="inlineStr"/>
      <c r="P544" t="inlineStr">
        <is>
          <t>20190426</t>
        </is>
      </c>
      <c r="Q544" t="inlineStr">
        <is>
          <t>20250127</t>
        </is>
      </c>
    </row>
    <row r="545">
      <c r="A545" t="inlineStr">
        <is>
          <t>900003593D8366572912210000160</t>
        </is>
      </c>
      <c r="B545" t="inlineStr">
        <is>
          <t>900003593</t>
        </is>
      </c>
      <c r="C545" t="inlineStr">
        <is>
          <t>D836</t>
        </is>
      </c>
      <c r="D545" t="inlineStr">
        <is>
          <t>65729122</t>
        </is>
      </c>
      <c r="E545" t="inlineStr">
        <is>
          <t>1</t>
        </is>
      </c>
      <c r="F545" t="inlineStr">
        <is>
          <t>10000160</t>
        </is>
      </c>
      <c r="H545" t="inlineStr"/>
      <c r="J545" t="n">
        <v>95</v>
      </c>
      <c r="K545" t="inlineStr"/>
      <c r="M545" t="inlineStr">
        <is>
          <t>M3</t>
        </is>
      </c>
      <c r="N545" t="inlineStr"/>
      <c r="P545" t="inlineStr">
        <is>
          <t>20190426</t>
        </is>
      </c>
      <c r="Q545" t="inlineStr">
        <is>
          <t>20250127</t>
        </is>
      </c>
    </row>
    <row r="546">
      <c r="A546" t="inlineStr">
        <is>
          <t>900003593D8366579688210000160</t>
        </is>
      </c>
      <c r="B546" t="inlineStr">
        <is>
          <t>900003593</t>
        </is>
      </c>
      <c r="C546" t="inlineStr">
        <is>
          <t>D836</t>
        </is>
      </c>
      <c r="D546" t="inlineStr">
        <is>
          <t>65796882</t>
        </is>
      </c>
      <c r="E546" t="inlineStr">
        <is>
          <t>1</t>
        </is>
      </c>
      <c r="F546" t="inlineStr">
        <is>
          <t>10000160</t>
        </is>
      </c>
      <c r="H546" t="inlineStr"/>
      <c r="J546" t="n">
        <v>95</v>
      </c>
      <c r="K546" t="inlineStr"/>
      <c r="M546" t="inlineStr">
        <is>
          <t>M3</t>
        </is>
      </c>
      <c r="N546" t="inlineStr"/>
      <c r="P546" t="inlineStr">
        <is>
          <t>20190426</t>
        </is>
      </c>
      <c r="Q546" t="inlineStr">
        <is>
          <t>20250127</t>
        </is>
      </c>
    </row>
    <row r="547">
      <c r="A547" t="inlineStr">
        <is>
          <t>900003593D8366591661610000160</t>
        </is>
      </c>
      <c r="B547" t="inlineStr">
        <is>
          <t>900003593</t>
        </is>
      </c>
      <c r="C547" t="inlineStr">
        <is>
          <t>D836</t>
        </is>
      </c>
      <c r="D547" t="inlineStr">
        <is>
          <t>65916616</t>
        </is>
      </c>
      <c r="E547" t="inlineStr">
        <is>
          <t>1</t>
        </is>
      </c>
      <c r="F547" t="inlineStr">
        <is>
          <t>10000160</t>
        </is>
      </c>
      <c r="H547" t="inlineStr"/>
      <c r="J547" t="n">
        <v>105</v>
      </c>
      <c r="K547" t="inlineStr"/>
      <c r="M547" t="inlineStr">
        <is>
          <t>M3</t>
        </is>
      </c>
      <c r="N547" t="inlineStr"/>
      <c r="P547" t="inlineStr">
        <is>
          <t>20190426</t>
        </is>
      </c>
      <c r="Q547" t="inlineStr">
        <is>
          <t>20250127</t>
        </is>
      </c>
    </row>
    <row r="548">
      <c r="A548" t="inlineStr">
        <is>
          <t>900003593D8366623009810000160</t>
        </is>
      </c>
      <c r="B548" t="inlineStr">
        <is>
          <t>900003593</t>
        </is>
      </c>
      <c r="C548" t="inlineStr">
        <is>
          <t>D836</t>
        </is>
      </c>
      <c r="D548" t="inlineStr">
        <is>
          <t>66230098</t>
        </is>
      </c>
      <c r="E548" t="inlineStr">
        <is>
          <t>1</t>
        </is>
      </c>
      <c r="F548" t="inlineStr">
        <is>
          <t>10000160</t>
        </is>
      </c>
      <c r="H548" t="inlineStr"/>
      <c r="J548" t="n">
        <v>108</v>
      </c>
      <c r="K548" t="inlineStr"/>
      <c r="M548" t="inlineStr">
        <is>
          <t>M3</t>
        </is>
      </c>
      <c r="N548" t="inlineStr"/>
      <c r="P548" t="inlineStr">
        <is>
          <t>20190426</t>
        </is>
      </c>
      <c r="Q548" t="inlineStr">
        <is>
          <t>20250127</t>
        </is>
      </c>
    </row>
    <row r="549">
      <c r="A549" t="inlineStr">
        <is>
          <t>900003593D8366625093210000160</t>
        </is>
      </c>
      <c r="B549" t="inlineStr">
        <is>
          <t>900003593</t>
        </is>
      </c>
      <c r="C549" t="inlineStr">
        <is>
          <t>D836</t>
        </is>
      </c>
      <c r="D549" t="inlineStr">
        <is>
          <t>66250932</t>
        </is>
      </c>
      <c r="E549" t="inlineStr">
        <is>
          <t>1</t>
        </is>
      </c>
      <c r="F549" t="inlineStr">
        <is>
          <t>10000160</t>
        </is>
      </c>
      <c r="H549" t="inlineStr"/>
      <c r="J549" t="n">
        <v>150</v>
      </c>
      <c r="K549" t="inlineStr"/>
      <c r="M549" t="inlineStr">
        <is>
          <t>M3</t>
        </is>
      </c>
      <c r="N549" t="inlineStr"/>
      <c r="P549" t="inlineStr">
        <is>
          <t>20190426</t>
        </is>
      </c>
      <c r="Q549" t="inlineStr">
        <is>
          <t>20250127</t>
        </is>
      </c>
    </row>
    <row r="550">
      <c r="A550" t="inlineStr">
        <is>
          <t>900003593D8366627273910000160</t>
        </is>
      </c>
      <c r="B550" t="inlineStr">
        <is>
          <t>900003593</t>
        </is>
      </c>
      <c r="C550" t="inlineStr">
        <is>
          <t>D836</t>
        </is>
      </c>
      <c r="D550" t="inlineStr">
        <is>
          <t>66272739</t>
        </is>
      </c>
      <c r="E550" t="inlineStr">
        <is>
          <t>1</t>
        </is>
      </c>
      <c r="F550" t="inlineStr">
        <is>
          <t>10000160</t>
        </is>
      </c>
      <c r="H550" t="inlineStr"/>
      <c r="J550" t="n">
        <v>90</v>
      </c>
      <c r="K550" t="inlineStr"/>
      <c r="M550" t="inlineStr">
        <is>
          <t>M3</t>
        </is>
      </c>
      <c r="N550" t="inlineStr"/>
      <c r="P550" t="inlineStr">
        <is>
          <t>20190426</t>
        </is>
      </c>
      <c r="Q550" t="inlineStr">
        <is>
          <t>20250127</t>
        </is>
      </c>
    </row>
    <row r="551">
      <c r="A551" t="inlineStr">
        <is>
          <t>900003593D8366627273910000252</t>
        </is>
      </c>
      <c r="B551" t="inlineStr">
        <is>
          <t>900003593</t>
        </is>
      </c>
      <c r="C551" t="inlineStr">
        <is>
          <t>D836</t>
        </is>
      </c>
      <c r="D551" t="inlineStr">
        <is>
          <t>66272739</t>
        </is>
      </c>
      <c r="E551" t="inlineStr">
        <is>
          <t>4</t>
        </is>
      </c>
      <c r="F551" t="inlineStr">
        <is>
          <t>10000252</t>
        </is>
      </c>
      <c r="H551" t="inlineStr"/>
      <c r="J551" t="n">
        <v>90</v>
      </c>
      <c r="K551" t="inlineStr"/>
      <c r="M551" t="inlineStr">
        <is>
          <t>M3</t>
        </is>
      </c>
      <c r="N551" t="inlineStr"/>
      <c r="P551" t="inlineStr">
        <is>
          <t>20190426</t>
        </is>
      </c>
      <c r="Q551" t="inlineStr">
        <is>
          <t>20250127</t>
        </is>
      </c>
    </row>
    <row r="552">
      <c r="A552" t="inlineStr">
        <is>
          <t>900003593D8366627273910000357</t>
        </is>
      </c>
      <c r="B552" t="inlineStr">
        <is>
          <t>900003593</t>
        </is>
      </c>
      <c r="C552" t="inlineStr">
        <is>
          <t>D836</t>
        </is>
      </c>
      <c r="D552" t="inlineStr">
        <is>
          <t>66272739</t>
        </is>
      </c>
      <c r="E552" t="inlineStr">
        <is>
          <t>1</t>
        </is>
      </c>
      <c r="F552" t="inlineStr">
        <is>
          <t>10000357</t>
        </is>
      </c>
      <c r="H552" t="inlineStr"/>
      <c r="J552" t="n">
        <v>90</v>
      </c>
      <c r="K552" t="inlineStr"/>
      <c r="M552" t="inlineStr">
        <is>
          <t>M3</t>
        </is>
      </c>
      <c r="N552" t="inlineStr"/>
      <c r="P552" t="inlineStr">
        <is>
          <t>20190426</t>
        </is>
      </c>
      <c r="Q552" t="inlineStr">
        <is>
          <t>20250127</t>
        </is>
      </c>
    </row>
    <row r="553">
      <c r="A553" t="inlineStr">
        <is>
          <t>900003593D8366627273910000357</t>
        </is>
      </c>
      <c r="B553" t="inlineStr">
        <is>
          <t>900003593</t>
        </is>
      </c>
      <c r="C553" t="inlineStr">
        <is>
          <t>D836</t>
        </is>
      </c>
      <c r="D553" t="inlineStr">
        <is>
          <t>66272739</t>
        </is>
      </c>
      <c r="E553" t="inlineStr">
        <is>
          <t>4</t>
        </is>
      </c>
      <c r="F553" t="inlineStr">
        <is>
          <t>10000357</t>
        </is>
      </c>
      <c r="H553" t="inlineStr"/>
      <c r="J553" t="n">
        <v>90</v>
      </c>
      <c r="K553" t="inlineStr"/>
      <c r="M553" t="inlineStr">
        <is>
          <t>M3</t>
        </is>
      </c>
      <c r="N553" t="inlineStr"/>
      <c r="P553" t="inlineStr">
        <is>
          <t>20190426</t>
        </is>
      </c>
      <c r="Q553" t="inlineStr">
        <is>
          <t>20250127</t>
        </is>
      </c>
    </row>
    <row r="554">
      <c r="A554" t="inlineStr">
        <is>
          <t>900003593D8366631061010000160</t>
        </is>
      </c>
      <c r="B554" t="inlineStr">
        <is>
          <t>900003593</t>
        </is>
      </c>
      <c r="C554" t="inlineStr">
        <is>
          <t>D836</t>
        </is>
      </c>
      <c r="D554" t="inlineStr">
        <is>
          <t>66310610</t>
        </is>
      </c>
      <c r="E554" t="inlineStr">
        <is>
          <t>1</t>
        </is>
      </c>
      <c r="F554" t="inlineStr">
        <is>
          <t>10000160</t>
        </is>
      </c>
      <c r="H554" t="inlineStr"/>
      <c r="J554" t="n">
        <v>90</v>
      </c>
      <c r="K554" t="inlineStr"/>
      <c r="M554" t="inlineStr">
        <is>
          <t>M3</t>
        </is>
      </c>
      <c r="N554" t="inlineStr"/>
      <c r="P554" t="inlineStr">
        <is>
          <t>20190426</t>
        </is>
      </c>
      <c r="Q554" t="inlineStr">
        <is>
          <t>20250127</t>
        </is>
      </c>
    </row>
    <row r="555">
      <c r="A555" t="inlineStr">
        <is>
          <t>900003593D8366631061010000252</t>
        </is>
      </c>
      <c r="B555" t="inlineStr">
        <is>
          <t>900003593</t>
        </is>
      </c>
      <c r="C555" t="inlineStr">
        <is>
          <t>D836</t>
        </is>
      </c>
      <c r="D555" t="inlineStr">
        <is>
          <t>66310610</t>
        </is>
      </c>
      <c r="E555" t="inlineStr">
        <is>
          <t>1</t>
        </is>
      </c>
      <c r="F555" t="inlineStr">
        <is>
          <t>10000252</t>
        </is>
      </c>
      <c r="H555" t="inlineStr"/>
      <c r="J555" t="n">
        <v>90</v>
      </c>
      <c r="K555" t="inlineStr"/>
      <c r="M555" t="inlineStr">
        <is>
          <t>M3</t>
        </is>
      </c>
      <c r="N555" t="inlineStr"/>
      <c r="P555" t="inlineStr">
        <is>
          <t>20190426</t>
        </is>
      </c>
      <c r="Q555" t="inlineStr">
        <is>
          <t>20250127</t>
        </is>
      </c>
    </row>
    <row r="556">
      <c r="A556" t="inlineStr">
        <is>
          <t>900003597D8366562533110000811</t>
        </is>
      </c>
      <c r="B556" t="inlineStr">
        <is>
          <t>900003597</t>
        </is>
      </c>
      <c r="C556" t="inlineStr">
        <is>
          <t>D836</t>
        </is>
      </c>
      <c r="D556" t="inlineStr">
        <is>
          <t>65625331</t>
        </is>
      </c>
      <c r="E556" t="inlineStr">
        <is>
          <t>4</t>
        </is>
      </c>
      <c r="F556" t="inlineStr">
        <is>
          <t>10000811</t>
        </is>
      </c>
      <c r="H556" t="inlineStr"/>
      <c r="J556" t="n">
        <v>94.98999999999999</v>
      </c>
      <c r="K556" t="inlineStr"/>
      <c r="M556" t="inlineStr">
        <is>
          <t>M3</t>
        </is>
      </c>
      <c r="N556" t="inlineStr"/>
      <c r="P556" t="inlineStr">
        <is>
          <t>20190426</t>
        </is>
      </c>
      <c r="Q556" t="inlineStr">
        <is>
          <t>20250127</t>
        </is>
      </c>
    </row>
    <row r="557">
      <c r="A557" t="inlineStr">
        <is>
          <t>900003599D8366500394510000623</t>
        </is>
      </c>
      <c r="B557" t="inlineStr">
        <is>
          <t>900003599</t>
        </is>
      </c>
      <c r="C557" t="inlineStr">
        <is>
          <t>D836</t>
        </is>
      </c>
      <c r="D557" t="inlineStr">
        <is>
          <t>65003945</t>
        </is>
      </c>
      <c r="E557" t="inlineStr">
        <is>
          <t>4</t>
        </is>
      </c>
      <c r="F557" t="inlineStr">
        <is>
          <t>10000623</t>
        </is>
      </c>
      <c r="H557" t="inlineStr"/>
      <c r="J557" t="n">
        <v>334.5</v>
      </c>
      <c r="K557" t="inlineStr"/>
      <c r="M557" t="inlineStr">
        <is>
          <t>M3</t>
        </is>
      </c>
      <c r="N557" t="inlineStr"/>
      <c r="P557" t="inlineStr">
        <is>
          <t>20190426</t>
        </is>
      </c>
      <c r="Q557" t="inlineStr">
        <is>
          <t>20250127</t>
        </is>
      </c>
    </row>
    <row r="558">
      <c r="A558" t="inlineStr">
        <is>
          <t>900003599D8366621263710019515</t>
        </is>
      </c>
      <c r="B558" t="inlineStr">
        <is>
          <t>900003599</t>
        </is>
      </c>
      <c r="C558" t="inlineStr">
        <is>
          <t>D836</t>
        </is>
      </c>
      <c r="D558" t="inlineStr">
        <is>
          <t>66212637</t>
        </is>
      </c>
      <c r="E558" t="inlineStr">
        <is>
          <t>4</t>
        </is>
      </c>
      <c r="F558" t="inlineStr">
        <is>
          <t>10019515</t>
        </is>
      </c>
      <c r="H558" t="inlineStr"/>
      <c r="J558" t="n">
        <v>90</v>
      </c>
      <c r="K558" t="inlineStr"/>
      <c r="M558" t="inlineStr">
        <is>
          <t>M3</t>
        </is>
      </c>
      <c r="N558" t="inlineStr"/>
      <c r="P558" t="inlineStr">
        <is>
          <t>20190426</t>
        </is>
      </c>
      <c r="Q558" t="inlineStr">
        <is>
          <t>20250127</t>
        </is>
      </c>
    </row>
    <row r="559">
      <c r="A559" t="inlineStr">
        <is>
          <t>900003599D8366621263710153352</t>
        </is>
      </c>
      <c r="B559" t="inlineStr">
        <is>
          <t>900003599</t>
        </is>
      </c>
      <c r="C559" t="inlineStr">
        <is>
          <t>D836</t>
        </is>
      </c>
      <c r="D559" t="inlineStr">
        <is>
          <t>66212637</t>
        </is>
      </c>
      <c r="E559" t="inlineStr">
        <is>
          <t>4</t>
        </is>
      </c>
      <c r="F559" t="inlineStr">
        <is>
          <t>10153352</t>
        </is>
      </c>
      <c r="H559" t="inlineStr"/>
      <c r="J559" t="n">
        <v>301</v>
      </c>
      <c r="K559" t="inlineStr"/>
      <c r="M559" t="inlineStr">
        <is>
          <t>M3</t>
        </is>
      </c>
      <c r="N559" t="inlineStr"/>
      <c r="P559" t="inlineStr">
        <is>
          <t>20190426</t>
        </is>
      </c>
      <c r="Q559" t="inlineStr">
        <is>
          <t>20250127</t>
        </is>
      </c>
    </row>
    <row r="560">
      <c r="A560" t="inlineStr">
        <is>
          <t>900003599D8366645007210000623</t>
        </is>
      </c>
      <c r="B560" t="inlineStr">
        <is>
          <t>900003599</t>
        </is>
      </c>
      <c r="C560" t="inlineStr">
        <is>
          <t>D836</t>
        </is>
      </c>
      <c r="D560" t="inlineStr">
        <is>
          <t>66450072</t>
        </is>
      </c>
      <c r="E560" t="inlineStr">
        <is>
          <t>4</t>
        </is>
      </c>
      <c r="F560" t="inlineStr">
        <is>
          <t>10000623</t>
        </is>
      </c>
      <c r="H560" t="inlineStr"/>
      <c r="J560" t="n">
        <v>223.5</v>
      </c>
      <c r="K560" t="inlineStr"/>
      <c r="M560" t="inlineStr">
        <is>
          <t>M3</t>
        </is>
      </c>
      <c r="N560" t="inlineStr"/>
      <c r="P560" t="inlineStr">
        <is>
          <t>20190426</t>
        </is>
      </c>
      <c r="Q560" t="inlineStr">
        <is>
          <t>20250127</t>
        </is>
      </c>
    </row>
    <row r="561">
      <c r="A561" t="inlineStr">
        <is>
          <t>900003599D8366658258010000630</t>
        </is>
      </c>
      <c r="B561" t="inlineStr">
        <is>
          <t>900003599</t>
        </is>
      </c>
      <c r="C561" t="inlineStr">
        <is>
          <t>D836</t>
        </is>
      </c>
      <c r="D561" t="inlineStr">
        <is>
          <t>66582580</t>
        </is>
      </c>
      <c r="E561" t="inlineStr">
        <is>
          <t>4</t>
        </is>
      </c>
      <c r="F561" t="inlineStr">
        <is>
          <t>10000630</t>
        </is>
      </c>
      <c r="H561" t="inlineStr"/>
      <c r="J561" t="n">
        <v>140</v>
      </c>
      <c r="K561" t="inlineStr"/>
      <c r="M561" t="inlineStr">
        <is>
          <t>M3</t>
        </is>
      </c>
      <c r="N561" t="inlineStr"/>
      <c r="P561" t="inlineStr">
        <is>
          <t>20190426</t>
        </is>
      </c>
      <c r="Q561" t="inlineStr">
        <is>
          <t>20250127</t>
        </is>
      </c>
    </row>
    <row r="562">
      <c r="A562" t="inlineStr">
        <is>
          <t>900003599D8366681544410000160</t>
        </is>
      </c>
      <c r="B562" t="inlineStr">
        <is>
          <t>900003599</t>
        </is>
      </c>
      <c r="C562" t="inlineStr">
        <is>
          <t>D836</t>
        </is>
      </c>
      <c r="D562" t="inlineStr">
        <is>
          <t>66815444</t>
        </is>
      </c>
      <c r="E562" t="inlineStr">
        <is>
          <t>4</t>
        </is>
      </c>
      <c r="F562" t="inlineStr">
        <is>
          <t>10000160</t>
        </is>
      </c>
      <c r="H562" t="inlineStr"/>
      <c r="J562" t="n">
        <v>65</v>
      </c>
      <c r="K562" t="inlineStr"/>
      <c r="M562" t="inlineStr">
        <is>
          <t>M3</t>
        </is>
      </c>
      <c r="N562" t="inlineStr"/>
      <c r="P562" t="inlineStr">
        <is>
          <t>20190426</t>
        </is>
      </c>
      <c r="Q562" t="inlineStr">
        <is>
          <t>20250127</t>
        </is>
      </c>
    </row>
    <row r="563">
      <c r="A563" t="inlineStr">
        <is>
          <t>900003601D8366500394510000722</t>
        </is>
      </c>
      <c r="B563" t="inlineStr">
        <is>
          <t>900003601</t>
        </is>
      </c>
      <c r="C563" t="inlineStr">
        <is>
          <t>D836</t>
        </is>
      </c>
      <c r="D563" t="inlineStr">
        <is>
          <t>65003945</t>
        </is>
      </c>
      <c r="E563" t="inlineStr">
        <is>
          <t>1</t>
        </is>
      </c>
      <c r="F563" t="inlineStr">
        <is>
          <t>10000722</t>
        </is>
      </c>
      <c r="H563" t="inlineStr"/>
      <c r="J563" t="n">
        <v>118</v>
      </c>
      <c r="K563" t="inlineStr"/>
      <c r="M563" t="inlineStr">
        <is>
          <t>TN</t>
        </is>
      </c>
      <c r="N563" t="inlineStr"/>
      <c r="P563" t="inlineStr">
        <is>
          <t>20190426</t>
        </is>
      </c>
      <c r="Q563" t="inlineStr">
        <is>
          <t>20250127</t>
        </is>
      </c>
    </row>
    <row r="564">
      <c r="A564" t="inlineStr">
        <is>
          <t>900003601D8366501515310000722</t>
        </is>
      </c>
      <c r="B564" t="inlineStr">
        <is>
          <t>900003601</t>
        </is>
      </c>
      <c r="C564" t="inlineStr">
        <is>
          <t>D836</t>
        </is>
      </c>
      <c r="D564" t="inlineStr">
        <is>
          <t>65015153</t>
        </is>
      </c>
      <c r="E564" t="inlineStr">
        <is>
          <t>1</t>
        </is>
      </c>
      <c r="F564" t="inlineStr">
        <is>
          <t>10000722</t>
        </is>
      </c>
      <c r="H564" t="inlineStr"/>
      <c r="J564" t="n">
        <v>99.44</v>
      </c>
      <c r="K564" t="inlineStr"/>
      <c r="M564" t="inlineStr">
        <is>
          <t>TN</t>
        </is>
      </c>
      <c r="N564" t="inlineStr"/>
      <c r="P564" t="inlineStr">
        <is>
          <t>20190426</t>
        </is>
      </c>
      <c r="Q564" t="inlineStr">
        <is>
          <t>20250127</t>
        </is>
      </c>
    </row>
    <row r="565">
      <c r="A565" t="inlineStr">
        <is>
          <t>900003601D8366503153110000811</t>
        </is>
      </c>
      <c r="B565" t="inlineStr">
        <is>
          <t>900003601</t>
        </is>
      </c>
      <c r="C565" t="inlineStr">
        <is>
          <t>D836</t>
        </is>
      </c>
      <c r="D565" t="inlineStr">
        <is>
          <t>65031531</t>
        </is>
      </c>
      <c r="E565" t="inlineStr">
        <is>
          <t>1</t>
        </is>
      </c>
      <c r="F565" t="inlineStr">
        <is>
          <t>10000811</t>
        </is>
      </c>
      <c r="H565" t="inlineStr"/>
      <c r="J565" t="n">
        <v>0.01</v>
      </c>
      <c r="K565" t="inlineStr"/>
      <c r="M565" t="inlineStr">
        <is>
          <t>TN</t>
        </is>
      </c>
      <c r="N565" t="inlineStr"/>
      <c r="P565" t="inlineStr">
        <is>
          <t>20190426</t>
        </is>
      </c>
      <c r="Q565" t="inlineStr">
        <is>
          <t>20250127</t>
        </is>
      </c>
    </row>
    <row r="566">
      <c r="A566" t="inlineStr">
        <is>
          <t>900003601D8366505050710000757</t>
        </is>
      </c>
      <c r="B566" t="inlineStr">
        <is>
          <t>900003601</t>
        </is>
      </c>
      <c r="C566" t="inlineStr">
        <is>
          <t>D836</t>
        </is>
      </c>
      <c r="D566" t="inlineStr">
        <is>
          <t>65050507</t>
        </is>
      </c>
      <c r="E566" t="inlineStr">
        <is>
          <t>1</t>
        </is>
      </c>
      <c r="F566" t="inlineStr">
        <is>
          <t>10000757</t>
        </is>
      </c>
      <c r="H566" t="inlineStr"/>
      <c r="J566" t="n">
        <v>31.18</v>
      </c>
      <c r="K566" t="inlineStr"/>
      <c r="M566" t="inlineStr">
        <is>
          <t>TN</t>
        </is>
      </c>
      <c r="N566" t="inlineStr"/>
      <c r="P566" t="inlineStr">
        <is>
          <t>20190426</t>
        </is>
      </c>
      <c r="Q566" t="inlineStr">
        <is>
          <t>20250127</t>
        </is>
      </c>
    </row>
    <row r="567">
      <c r="A567" t="inlineStr">
        <is>
          <t>900003601D8366506168510000624</t>
        </is>
      </c>
      <c r="B567" t="inlineStr">
        <is>
          <t>900003601</t>
        </is>
      </c>
      <c r="C567" t="inlineStr">
        <is>
          <t>D836</t>
        </is>
      </c>
      <c r="D567" t="inlineStr">
        <is>
          <t>65061685</t>
        </is>
      </c>
      <c r="E567" t="inlineStr">
        <is>
          <t>1</t>
        </is>
      </c>
      <c r="F567" t="inlineStr">
        <is>
          <t>10000624</t>
        </is>
      </c>
      <c r="H567" t="inlineStr"/>
      <c r="J567" t="n">
        <v>80</v>
      </c>
      <c r="K567" t="inlineStr"/>
      <c r="M567" t="inlineStr">
        <is>
          <t>TN</t>
        </is>
      </c>
      <c r="N567" t="inlineStr"/>
      <c r="P567" t="inlineStr">
        <is>
          <t>20190426</t>
        </is>
      </c>
      <c r="Q567" t="inlineStr">
        <is>
          <t>20250127</t>
        </is>
      </c>
    </row>
    <row r="568">
      <c r="A568" t="inlineStr">
        <is>
          <t>900003601D8366506168510000722</t>
        </is>
      </c>
      <c r="B568" t="inlineStr">
        <is>
          <t>900003601</t>
        </is>
      </c>
      <c r="C568" t="inlineStr">
        <is>
          <t>D836</t>
        </is>
      </c>
      <c r="D568" t="inlineStr">
        <is>
          <t>65061685</t>
        </is>
      </c>
      <c r="E568" t="inlineStr">
        <is>
          <t>1</t>
        </is>
      </c>
      <c r="F568" t="inlineStr">
        <is>
          <t>10000722</t>
        </is>
      </c>
      <c r="H568" t="inlineStr"/>
      <c r="J568" t="n">
        <v>82</v>
      </c>
      <c r="K568" t="inlineStr"/>
      <c r="M568" t="inlineStr">
        <is>
          <t>TN</t>
        </is>
      </c>
      <c r="N568" t="inlineStr"/>
      <c r="P568" t="inlineStr">
        <is>
          <t>20190426</t>
        </is>
      </c>
      <c r="Q568" t="inlineStr">
        <is>
          <t>20250127</t>
        </is>
      </c>
    </row>
    <row r="569">
      <c r="A569" t="inlineStr">
        <is>
          <t>900003601D8366524676310000624</t>
        </is>
      </c>
      <c r="B569" t="inlineStr">
        <is>
          <t>900003601</t>
        </is>
      </c>
      <c r="C569" t="inlineStr">
        <is>
          <t>D836</t>
        </is>
      </c>
      <c r="D569" t="inlineStr">
        <is>
          <t>65246763</t>
        </is>
      </c>
      <c r="E569" t="inlineStr">
        <is>
          <t>1</t>
        </is>
      </c>
      <c r="F569" t="inlineStr">
        <is>
          <t>10000624</t>
        </is>
      </c>
      <c r="H569" t="inlineStr"/>
      <c r="J569" t="n">
        <v>80</v>
      </c>
      <c r="K569" t="inlineStr"/>
      <c r="M569" t="inlineStr">
        <is>
          <t>TN</t>
        </is>
      </c>
      <c r="N569" t="inlineStr"/>
      <c r="P569" t="inlineStr">
        <is>
          <t>20190426</t>
        </is>
      </c>
      <c r="Q569" t="inlineStr">
        <is>
          <t>20250127</t>
        </is>
      </c>
    </row>
    <row r="570">
      <c r="A570" t="inlineStr">
        <is>
          <t>900003601D8366524676310000722</t>
        </is>
      </c>
      <c r="B570" t="inlineStr">
        <is>
          <t>900003601</t>
        </is>
      </c>
      <c r="C570" t="inlineStr">
        <is>
          <t>D836</t>
        </is>
      </c>
      <c r="D570" t="inlineStr">
        <is>
          <t>65246763</t>
        </is>
      </c>
      <c r="E570" t="inlineStr">
        <is>
          <t>1</t>
        </is>
      </c>
      <c r="F570" t="inlineStr">
        <is>
          <t>10000722</t>
        </is>
      </c>
      <c r="H570" t="inlineStr"/>
      <c r="J570" t="n">
        <v>73</v>
      </c>
      <c r="K570" t="inlineStr"/>
      <c r="M570" t="inlineStr">
        <is>
          <t>TN</t>
        </is>
      </c>
      <c r="N570" t="inlineStr"/>
      <c r="P570" t="inlineStr">
        <is>
          <t>20190426</t>
        </is>
      </c>
      <c r="Q570" t="inlineStr">
        <is>
          <t>20250127</t>
        </is>
      </c>
    </row>
    <row r="571">
      <c r="A571" t="inlineStr">
        <is>
          <t>900003601D8366525139910000624</t>
        </is>
      </c>
      <c r="B571" t="inlineStr">
        <is>
          <t>900003601</t>
        </is>
      </c>
      <c r="C571" t="inlineStr">
        <is>
          <t>D836</t>
        </is>
      </c>
      <c r="D571" t="inlineStr">
        <is>
          <t>65251399</t>
        </is>
      </c>
      <c r="E571" t="inlineStr">
        <is>
          <t>1</t>
        </is>
      </c>
      <c r="F571" t="inlineStr">
        <is>
          <t>10000624</t>
        </is>
      </c>
      <c r="H571" t="inlineStr"/>
      <c r="J571" t="n">
        <v>85</v>
      </c>
      <c r="K571" t="inlineStr"/>
      <c r="M571" t="inlineStr">
        <is>
          <t>TN</t>
        </is>
      </c>
      <c r="N571" t="inlineStr"/>
      <c r="P571" t="inlineStr">
        <is>
          <t>20190426</t>
        </is>
      </c>
      <c r="Q571" t="inlineStr">
        <is>
          <t>20250127</t>
        </is>
      </c>
    </row>
    <row r="572">
      <c r="A572" t="inlineStr">
        <is>
          <t>900003601D8366525139910000722</t>
        </is>
      </c>
      <c r="B572" t="inlineStr">
        <is>
          <t>900003601</t>
        </is>
      </c>
      <c r="C572" t="inlineStr">
        <is>
          <t>D836</t>
        </is>
      </c>
      <c r="D572" t="inlineStr">
        <is>
          <t>65251399</t>
        </is>
      </c>
      <c r="E572" t="inlineStr">
        <is>
          <t>1</t>
        </is>
      </c>
      <c r="F572" t="inlineStr">
        <is>
          <t>10000722</t>
        </is>
      </c>
      <c r="H572" t="inlineStr"/>
      <c r="J572" t="n">
        <v>85</v>
      </c>
      <c r="K572" t="inlineStr"/>
      <c r="M572" t="inlineStr">
        <is>
          <t>TN</t>
        </is>
      </c>
      <c r="N572" t="inlineStr"/>
      <c r="P572" t="inlineStr">
        <is>
          <t>20190426</t>
        </is>
      </c>
      <c r="Q572" t="inlineStr">
        <is>
          <t>20250127</t>
        </is>
      </c>
    </row>
    <row r="573">
      <c r="A573" t="inlineStr">
        <is>
          <t>900003601D8366529648510000722</t>
        </is>
      </c>
      <c r="B573" t="inlineStr">
        <is>
          <t>900003601</t>
        </is>
      </c>
      <c r="C573" t="inlineStr">
        <is>
          <t>D836</t>
        </is>
      </c>
      <c r="D573" t="inlineStr">
        <is>
          <t>65296485</t>
        </is>
      </c>
      <c r="E573" t="inlineStr">
        <is>
          <t>1</t>
        </is>
      </c>
      <c r="F573" t="inlineStr">
        <is>
          <t>10000722</t>
        </is>
      </c>
      <c r="H573" t="inlineStr"/>
      <c r="J573" t="n">
        <v>94.15000000000001</v>
      </c>
      <c r="K573" t="inlineStr"/>
      <c r="M573" t="inlineStr">
        <is>
          <t>TN</t>
        </is>
      </c>
      <c r="N573" t="inlineStr"/>
      <c r="P573" t="inlineStr">
        <is>
          <t>20190426</t>
        </is>
      </c>
      <c r="Q573" t="inlineStr">
        <is>
          <t>20250127</t>
        </is>
      </c>
    </row>
    <row r="574">
      <c r="A574" t="inlineStr">
        <is>
          <t>900003601D8366534622410000623</t>
        </is>
      </c>
      <c r="B574" t="inlineStr">
        <is>
          <t>900003601</t>
        </is>
      </c>
      <c r="C574" t="inlineStr">
        <is>
          <t>D836</t>
        </is>
      </c>
      <c r="D574" t="inlineStr">
        <is>
          <t>65346224</t>
        </is>
      </c>
      <c r="E574" t="inlineStr">
        <is>
          <t>1</t>
        </is>
      </c>
      <c r="F574" t="inlineStr">
        <is>
          <t>10000623</t>
        </is>
      </c>
      <c r="H574" t="inlineStr"/>
      <c r="J574" t="n">
        <v>137</v>
      </c>
      <c r="K574" t="inlineStr"/>
      <c r="M574" t="inlineStr">
        <is>
          <t>TN</t>
        </is>
      </c>
      <c r="N574" t="inlineStr"/>
      <c r="P574" t="inlineStr">
        <is>
          <t>20190426</t>
        </is>
      </c>
      <c r="Q574" t="inlineStr">
        <is>
          <t>20250127</t>
        </is>
      </c>
    </row>
    <row r="575">
      <c r="A575" t="inlineStr">
        <is>
          <t>900003601D8366536050710000623</t>
        </is>
      </c>
      <c r="B575" t="inlineStr">
        <is>
          <t>900003601</t>
        </is>
      </c>
      <c r="C575" t="inlineStr">
        <is>
          <t>D836</t>
        </is>
      </c>
      <c r="D575" t="inlineStr">
        <is>
          <t>65360507</t>
        </is>
      </c>
      <c r="E575" t="inlineStr">
        <is>
          <t>1</t>
        </is>
      </c>
      <c r="F575" t="inlineStr">
        <is>
          <t>10000623</t>
        </is>
      </c>
      <c r="H575" t="inlineStr"/>
      <c r="J575" t="n">
        <v>48.5</v>
      </c>
      <c r="K575" t="inlineStr"/>
      <c r="M575" t="inlineStr">
        <is>
          <t>TN</t>
        </is>
      </c>
      <c r="N575" t="inlineStr"/>
      <c r="P575" t="inlineStr">
        <is>
          <t>20190426</t>
        </is>
      </c>
      <c r="Q575" t="inlineStr">
        <is>
          <t>20250127</t>
        </is>
      </c>
    </row>
    <row r="576">
      <c r="A576" t="inlineStr">
        <is>
          <t>900003601D8366536050710000722</t>
        </is>
      </c>
      <c r="B576" t="inlineStr">
        <is>
          <t>900003601</t>
        </is>
      </c>
      <c r="C576" t="inlineStr">
        <is>
          <t>D836</t>
        </is>
      </c>
      <c r="D576" t="inlineStr">
        <is>
          <t>65360507</t>
        </is>
      </c>
      <c r="E576" t="inlineStr">
        <is>
          <t>1</t>
        </is>
      </c>
      <c r="F576" t="inlineStr">
        <is>
          <t>10000722</t>
        </is>
      </c>
      <c r="H576" t="inlineStr"/>
      <c r="J576" t="n">
        <v>48.5</v>
      </c>
      <c r="K576" t="inlineStr"/>
      <c r="M576" t="inlineStr">
        <is>
          <t>TN</t>
        </is>
      </c>
      <c r="N576" t="inlineStr"/>
      <c r="P576" t="inlineStr">
        <is>
          <t>20190426</t>
        </is>
      </c>
      <c r="Q576" t="inlineStr">
        <is>
          <t>20250127</t>
        </is>
      </c>
    </row>
    <row r="577">
      <c r="A577" t="inlineStr">
        <is>
          <t>900003601D8366544227010000624</t>
        </is>
      </c>
      <c r="B577" t="inlineStr">
        <is>
          <t>900003601</t>
        </is>
      </c>
      <c r="C577" t="inlineStr">
        <is>
          <t>D836</t>
        </is>
      </c>
      <c r="D577" t="inlineStr">
        <is>
          <t>65442270</t>
        </is>
      </c>
      <c r="E577" t="inlineStr">
        <is>
          <t>1</t>
        </is>
      </c>
      <c r="F577" t="inlineStr">
        <is>
          <t>10000624</t>
        </is>
      </c>
      <c r="H577" t="inlineStr"/>
      <c r="J577" t="n">
        <v>95</v>
      </c>
      <c r="K577" t="inlineStr"/>
      <c r="M577" t="inlineStr">
        <is>
          <t>TN</t>
        </is>
      </c>
      <c r="N577" t="inlineStr"/>
      <c r="P577" t="inlineStr">
        <is>
          <t>20190426</t>
        </is>
      </c>
      <c r="Q577" t="inlineStr">
        <is>
          <t>20250127</t>
        </is>
      </c>
    </row>
    <row r="578">
      <c r="A578" t="inlineStr">
        <is>
          <t>900003601D8366544227010000722</t>
        </is>
      </c>
      <c r="B578" t="inlineStr">
        <is>
          <t>900003601</t>
        </is>
      </c>
      <c r="C578" t="inlineStr">
        <is>
          <t>D836</t>
        </is>
      </c>
      <c r="D578" t="inlineStr">
        <is>
          <t>65442270</t>
        </is>
      </c>
      <c r="E578" t="inlineStr">
        <is>
          <t>1</t>
        </is>
      </c>
      <c r="F578" t="inlineStr">
        <is>
          <t>10000722</t>
        </is>
      </c>
      <c r="H578" t="inlineStr"/>
      <c r="J578" t="n">
        <v>95</v>
      </c>
      <c r="K578" t="inlineStr"/>
      <c r="M578" t="inlineStr">
        <is>
          <t>TN</t>
        </is>
      </c>
      <c r="N578" t="inlineStr"/>
      <c r="P578" t="inlineStr">
        <is>
          <t>20190426</t>
        </is>
      </c>
      <c r="Q578" t="inlineStr">
        <is>
          <t>20250127</t>
        </is>
      </c>
    </row>
    <row r="579">
      <c r="A579" t="inlineStr">
        <is>
          <t>900003601D8366544526110000623</t>
        </is>
      </c>
      <c r="B579" t="inlineStr">
        <is>
          <t>900003601</t>
        </is>
      </c>
      <c r="C579" t="inlineStr">
        <is>
          <t>D836</t>
        </is>
      </c>
      <c r="D579" t="inlineStr">
        <is>
          <t>65445261</t>
        </is>
      </c>
      <c r="E579" t="inlineStr">
        <is>
          <t>1</t>
        </is>
      </c>
      <c r="F579" t="inlineStr">
        <is>
          <t>10000623</t>
        </is>
      </c>
      <c r="H579" t="inlineStr"/>
      <c r="J579" t="n">
        <v>48.5</v>
      </c>
      <c r="K579" t="inlineStr"/>
      <c r="M579" t="inlineStr">
        <is>
          <t>TN</t>
        </is>
      </c>
      <c r="N579" t="inlineStr"/>
      <c r="P579" t="inlineStr">
        <is>
          <t>20190426</t>
        </is>
      </c>
      <c r="Q579" t="inlineStr">
        <is>
          <t>20250127</t>
        </is>
      </c>
    </row>
    <row r="580">
      <c r="A580" t="inlineStr">
        <is>
          <t>900003601D8366544526110000722</t>
        </is>
      </c>
      <c r="B580" t="inlineStr">
        <is>
          <t>900003601</t>
        </is>
      </c>
      <c r="C580" t="inlineStr">
        <is>
          <t>D836</t>
        </is>
      </c>
      <c r="D580" t="inlineStr">
        <is>
          <t>65445261</t>
        </is>
      </c>
      <c r="E580" t="inlineStr">
        <is>
          <t>1</t>
        </is>
      </c>
      <c r="F580" t="inlineStr">
        <is>
          <t>10000722</t>
        </is>
      </c>
      <c r="H580" t="inlineStr"/>
      <c r="J580" t="n">
        <v>48</v>
      </c>
      <c r="K580" t="inlineStr"/>
      <c r="M580" t="inlineStr">
        <is>
          <t>TN</t>
        </is>
      </c>
      <c r="N580" t="inlineStr"/>
      <c r="P580" t="inlineStr">
        <is>
          <t>20190426</t>
        </is>
      </c>
      <c r="Q580" t="inlineStr">
        <is>
          <t>20250127</t>
        </is>
      </c>
    </row>
    <row r="581">
      <c r="A581" t="inlineStr">
        <is>
          <t>900003601D8366556582610000623</t>
        </is>
      </c>
      <c r="B581" t="inlineStr">
        <is>
          <t>900003601</t>
        </is>
      </c>
      <c r="C581" t="inlineStr">
        <is>
          <t>D836</t>
        </is>
      </c>
      <c r="D581" t="inlineStr">
        <is>
          <t>65565826</t>
        </is>
      </c>
      <c r="E581" t="inlineStr">
        <is>
          <t>1</t>
        </is>
      </c>
      <c r="F581" t="inlineStr">
        <is>
          <t>10000623</t>
        </is>
      </c>
      <c r="H581" t="inlineStr"/>
      <c r="J581" t="n">
        <v>94</v>
      </c>
      <c r="K581" t="inlineStr"/>
      <c r="M581" t="inlineStr">
        <is>
          <t>TN</t>
        </is>
      </c>
      <c r="N581" t="inlineStr"/>
      <c r="P581" t="inlineStr">
        <is>
          <t>20190426</t>
        </is>
      </c>
      <c r="Q581" t="inlineStr">
        <is>
          <t>20250127</t>
        </is>
      </c>
    </row>
    <row r="582">
      <c r="A582" t="inlineStr">
        <is>
          <t>900003601D8366556582610000623</t>
        </is>
      </c>
      <c r="B582" t="inlineStr">
        <is>
          <t>900003601</t>
        </is>
      </c>
      <c r="C582" t="inlineStr">
        <is>
          <t>D836</t>
        </is>
      </c>
      <c r="D582" t="inlineStr">
        <is>
          <t>65565826</t>
        </is>
      </c>
      <c r="E582" t="inlineStr">
        <is>
          <t>4</t>
        </is>
      </c>
      <c r="F582" t="inlineStr">
        <is>
          <t>10000623</t>
        </is>
      </c>
      <c r="H582" t="inlineStr"/>
      <c r="J582" t="n">
        <v>94</v>
      </c>
      <c r="K582" t="inlineStr"/>
      <c r="M582" t="inlineStr">
        <is>
          <t>TN</t>
        </is>
      </c>
      <c r="N582" t="inlineStr"/>
      <c r="P582" t="inlineStr">
        <is>
          <t>20190426</t>
        </is>
      </c>
      <c r="Q582" t="inlineStr">
        <is>
          <t>20250127</t>
        </is>
      </c>
    </row>
    <row r="583">
      <c r="A583" t="inlineStr">
        <is>
          <t>900003601D8366556582610000722</t>
        </is>
      </c>
      <c r="B583" t="inlineStr">
        <is>
          <t>900003601</t>
        </is>
      </c>
      <c r="C583" t="inlineStr">
        <is>
          <t>D836</t>
        </is>
      </c>
      <c r="D583" t="inlineStr">
        <is>
          <t>65565826</t>
        </is>
      </c>
      <c r="E583" t="inlineStr">
        <is>
          <t>1</t>
        </is>
      </c>
      <c r="F583" t="inlineStr">
        <is>
          <t>10000722</t>
        </is>
      </c>
      <c r="H583" t="inlineStr"/>
      <c r="J583" t="n">
        <v>94</v>
      </c>
      <c r="K583" t="inlineStr"/>
      <c r="M583" t="inlineStr">
        <is>
          <t>TN</t>
        </is>
      </c>
      <c r="N583" t="inlineStr"/>
      <c r="P583" t="inlineStr">
        <is>
          <t>20190426</t>
        </is>
      </c>
      <c r="Q583" t="inlineStr">
        <is>
          <t>20250127</t>
        </is>
      </c>
    </row>
    <row r="584">
      <c r="A584" t="inlineStr">
        <is>
          <t>900003601D8366556582610000722</t>
        </is>
      </c>
      <c r="B584" t="inlineStr">
        <is>
          <t>900003601</t>
        </is>
      </c>
      <c r="C584" t="inlineStr">
        <is>
          <t>D836</t>
        </is>
      </c>
      <c r="D584" t="inlineStr">
        <is>
          <t>65565826</t>
        </is>
      </c>
      <c r="E584" t="inlineStr">
        <is>
          <t>4</t>
        </is>
      </c>
      <c r="F584" t="inlineStr">
        <is>
          <t>10000722</t>
        </is>
      </c>
      <c r="H584" t="inlineStr"/>
      <c r="J584" t="n">
        <v>94</v>
      </c>
      <c r="K584" t="inlineStr"/>
      <c r="M584" t="inlineStr">
        <is>
          <t>TN</t>
        </is>
      </c>
      <c r="N584" t="inlineStr"/>
      <c r="P584" t="inlineStr">
        <is>
          <t>20190426</t>
        </is>
      </c>
      <c r="Q584" t="inlineStr">
        <is>
          <t>20250127</t>
        </is>
      </c>
    </row>
    <row r="585">
      <c r="A585" t="inlineStr">
        <is>
          <t>900003601D8366557034610000624</t>
        </is>
      </c>
      <c r="B585" t="inlineStr">
        <is>
          <t>900003601</t>
        </is>
      </c>
      <c r="C585" t="inlineStr">
        <is>
          <t>D836</t>
        </is>
      </c>
      <c r="D585" t="inlineStr">
        <is>
          <t>65570346</t>
        </is>
      </c>
      <c r="E585" t="inlineStr">
        <is>
          <t>1</t>
        </is>
      </c>
      <c r="F585" t="inlineStr">
        <is>
          <t>10000624</t>
        </is>
      </c>
      <c r="H585" t="inlineStr"/>
      <c r="J585" t="n">
        <v>94</v>
      </c>
      <c r="K585" t="inlineStr"/>
      <c r="M585" t="inlineStr">
        <is>
          <t>TN</t>
        </is>
      </c>
      <c r="N585" t="inlineStr"/>
      <c r="P585" t="inlineStr">
        <is>
          <t>20190426</t>
        </is>
      </c>
      <c r="Q585" t="inlineStr">
        <is>
          <t>20250127</t>
        </is>
      </c>
    </row>
    <row r="586">
      <c r="A586" t="inlineStr">
        <is>
          <t>900003601D8366557034610000722</t>
        </is>
      </c>
      <c r="B586" t="inlineStr">
        <is>
          <t>900003601</t>
        </is>
      </c>
      <c r="C586" t="inlineStr">
        <is>
          <t>D836</t>
        </is>
      </c>
      <c r="D586" t="inlineStr">
        <is>
          <t>65570346</t>
        </is>
      </c>
      <c r="E586" t="inlineStr">
        <is>
          <t>1</t>
        </is>
      </c>
      <c r="F586" t="inlineStr">
        <is>
          <t>10000722</t>
        </is>
      </c>
      <c r="H586" t="inlineStr"/>
      <c r="J586" t="n">
        <v>95</v>
      </c>
      <c r="K586" t="inlineStr"/>
      <c r="M586" t="inlineStr">
        <is>
          <t>TN</t>
        </is>
      </c>
      <c r="N586" t="inlineStr"/>
      <c r="P586" t="inlineStr">
        <is>
          <t>20190426</t>
        </is>
      </c>
      <c r="Q586" t="inlineStr">
        <is>
          <t>20250127</t>
        </is>
      </c>
    </row>
    <row r="587">
      <c r="A587" t="inlineStr">
        <is>
          <t>900003601D8366561296610000624</t>
        </is>
      </c>
      <c r="B587" t="inlineStr">
        <is>
          <t>900003601</t>
        </is>
      </c>
      <c r="C587" t="inlineStr">
        <is>
          <t>D836</t>
        </is>
      </c>
      <c r="D587" t="inlineStr">
        <is>
          <t>65612966</t>
        </is>
      </c>
      <c r="E587" t="inlineStr">
        <is>
          <t>1</t>
        </is>
      </c>
      <c r="F587" t="inlineStr">
        <is>
          <t>10000624</t>
        </is>
      </c>
      <c r="H587" t="inlineStr"/>
      <c r="J587" t="n">
        <v>99</v>
      </c>
      <c r="K587" t="inlineStr"/>
      <c r="M587" t="inlineStr">
        <is>
          <t>TN</t>
        </is>
      </c>
      <c r="N587" t="inlineStr"/>
      <c r="P587" t="inlineStr">
        <is>
          <t>20190426</t>
        </is>
      </c>
      <c r="Q587" t="inlineStr">
        <is>
          <t>20250127</t>
        </is>
      </c>
    </row>
    <row r="588">
      <c r="A588" t="inlineStr">
        <is>
          <t>900003601D8366561296610000722</t>
        </is>
      </c>
      <c r="B588" t="inlineStr">
        <is>
          <t>900003601</t>
        </is>
      </c>
      <c r="C588" t="inlineStr">
        <is>
          <t>D836</t>
        </is>
      </c>
      <c r="D588" t="inlineStr">
        <is>
          <t>65612966</t>
        </is>
      </c>
      <c r="E588" t="inlineStr">
        <is>
          <t>1</t>
        </is>
      </c>
      <c r="F588" t="inlineStr">
        <is>
          <t>10000722</t>
        </is>
      </c>
      <c r="H588" t="inlineStr"/>
      <c r="J588" t="n">
        <v>99</v>
      </c>
      <c r="K588" t="inlineStr"/>
      <c r="M588" t="inlineStr">
        <is>
          <t>TN</t>
        </is>
      </c>
      <c r="N588" t="inlineStr"/>
      <c r="P588" t="inlineStr">
        <is>
          <t>20190426</t>
        </is>
      </c>
      <c r="Q588" t="inlineStr">
        <is>
          <t>20250127</t>
        </is>
      </c>
    </row>
    <row r="589">
      <c r="A589" t="inlineStr">
        <is>
          <t>900003601D8366562533110000623</t>
        </is>
      </c>
      <c r="B589" t="inlineStr">
        <is>
          <t>900003601</t>
        </is>
      </c>
      <c r="C589" t="inlineStr">
        <is>
          <t>D836</t>
        </is>
      </c>
      <c r="D589" t="inlineStr">
        <is>
          <t>65625331</t>
        </is>
      </c>
      <c r="E589" t="inlineStr">
        <is>
          <t>1</t>
        </is>
      </c>
      <c r="F589" t="inlineStr">
        <is>
          <t>10000623</t>
        </is>
      </c>
      <c r="H589" t="inlineStr"/>
      <c r="J589" t="n">
        <v>80.52</v>
      </c>
      <c r="K589" t="inlineStr"/>
      <c r="M589" t="inlineStr">
        <is>
          <t>TN</t>
        </is>
      </c>
      <c r="N589" t="inlineStr"/>
      <c r="P589" t="inlineStr">
        <is>
          <t>20190426</t>
        </is>
      </c>
      <c r="Q589" t="inlineStr">
        <is>
          <t>20250127</t>
        </is>
      </c>
    </row>
    <row r="590">
      <c r="A590" t="inlineStr">
        <is>
          <t>900003601D8366568581910000624</t>
        </is>
      </c>
      <c r="B590" t="inlineStr">
        <is>
          <t>900003601</t>
        </is>
      </c>
      <c r="C590" t="inlineStr">
        <is>
          <t>D836</t>
        </is>
      </c>
      <c r="D590" t="inlineStr">
        <is>
          <t>65685819</t>
        </is>
      </c>
      <c r="E590" t="inlineStr">
        <is>
          <t>1</t>
        </is>
      </c>
      <c r="F590" t="inlineStr">
        <is>
          <t>10000624</t>
        </is>
      </c>
      <c r="H590" t="inlineStr"/>
      <c r="J590" t="n">
        <v>159</v>
      </c>
      <c r="K590" t="inlineStr"/>
      <c r="M590" t="inlineStr">
        <is>
          <t>TN</t>
        </is>
      </c>
      <c r="N590" t="inlineStr"/>
      <c r="P590" t="inlineStr">
        <is>
          <t>20190426</t>
        </is>
      </c>
      <c r="Q590" t="inlineStr">
        <is>
          <t>20250127</t>
        </is>
      </c>
    </row>
    <row r="591">
      <c r="A591" t="inlineStr">
        <is>
          <t>900003601D8366568581910000722</t>
        </is>
      </c>
      <c r="B591" t="inlineStr">
        <is>
          <t>900003601</t>
        </is>
      </c>
      <c r="C591" t="inlineStr">
        <is>
          <t>D836</t>
        </is>
      </c>
      <c r="D591" t="inlineStr">
        <is>
          <t>65685819</t>
        </is>
      </c>
      <c r="E591" t="inlineStr">
        <is>
          <t>1</t>
        </is>
      </c>
      <c r="F591" t="inlineStr">
        <is>
          <t>10000722</t>
        </is>
      </c>
      <c r="H591" t="inlineStr"/>
      <c r="J591" t="n">
        <v>159</v>
      </c>
      <c r="K591" t="inlineStr"/>
      <c r="M591" t="inlineStr">
        <is>
          <t>TN</t>
        </is>
      </c>
      <c r="N591" t="inlineStr"/>
      <c r="P591" t="inlineStr">
        <is>
          <t>20190426</t>
        </is>
      </c>
      <c r="Q591" t="inlineStr">
        <is>
          <t>20250127</t>
        </is>
      </c>
    </row>
    <row r="592">
      <c r="A592" t="inlineStr">
        <is>
          <t>900003601D8366572912210000623</t>
        </is>
      </c>
      <c r="B592" t="inlineStr">
        <is>
          <t>900003601</t>
        </is>
      </c>
      <c r="C592" t="inlineStr">
        <is>
          <t>D836</t>
        </is>
      </c>
      <c r="D592" t="inlineStr">
        <is>
          <t>65729122</t>
        </is>
      </c>
      <c r="E592" t="inlineStr">
        <is>
          <t>1</t>
        </is>
      </c>
      <c r="F592" t="inlineStr">
        <is>
          <t>10000623</t>
        </is>
      </c>
      <c r="H592" t="inlineStr"/>
      <c r="J592" t="n">
        <v>74</v>
      </c>
      <c r="K592" t="inlineStr"/>
      <c r="M592" t="inlineStr">
        <is>
          <t>TN</t>
        </is>
      </c>
      <c r="N592" t="inlineStr"/>
      <c r="P592" t="inlineStr">
        <is>
          <t>20190426</t>
        </is>
      </c>
      <c r="Q592" t="inlineStr">
        <is>
          <t>20250127</t>
        </is>
      </c>
    </row>
    <row r="593">
      <c r="A593" t="inlineStr">
        <is>
          <t>900003601D8366572912210000624</t>
        </is>
      </c>
      <c r="B593" t="inlineStr">
        <is>
          <t>900003601</t>
        </is>
      </c>
      <c r="C593" t="inlineStr">
        <is>
          <t>D836</t>
        </is>
      </c>
      <c r="D593" t="inlineStr">
        <is>
          <t>65729122</t>
        </is>
      </c>
      <c r="E593" t="inlineStr">
        <is>
          <t>1</t>
        </is>
      </c>
      <c r="F593" t="inlineStr">
        <is>
          <t>10000624</t>
        </is>
      </c>
      <c r="H593" t="inlineStr"/>
      <c r="J593" t="n">
        <v>74</v>
      </c>
      <c r="K593" t="inlineStr"/>
      <c r="M593" t="inlineStr">
        <is>
          <t>TN</t>
        </is>
      </c>
      <c r="N593" t="inlineStr"/>
      <c r="P593" t="inlineStr">
        <is>
          <t>20190426</t>
        </is>
      </c>
      <c r="Q593" t="inlineStr">
        <is>
          <t>20250127</t>
        </is>
      </c>
    </row>
    <row r="594">
      <c r="A594" t="inlineStr">
        <is>
          <t>900003601D8366572912210000722</t>
        </is>
      </c>
      <c r="B594" t="inlineStr">
        <is>
          <t>900003601</t>
        </is>
      </c>
      <c r="C594" t="inlineStr">
        <is>
          <t>D836</t>
        </is>
      </c>
      <c r="D594" t="inlineStr">
        <is>
          <t>65729122</t>
        </is>
      </c>
      <c r="E594" t="inlineStr">
        <is>
          <t>1</t>
        </is>
      </c>
      <c r="F594" t="inlineStr">
        <is>
          <t>10000722</t>
        </is>
      </c>
      <c r="H594" t="inlineStr"/>
      <c r="J594" t="n">
        <v>74</v>
      </c>
      <c r="K594" t="inlineStr"/>
      <c r="M594" t="inlineStr">
        <is>
          <t>TN</t>
        </is>
      </c>
      <c r="N594" t="inlineStr"/>
      <c r="P594" t="inlineStr">
        <is>
          <t>20190426</t>
        </is>
      </c>
      <c r="Q594" t="inlineStr">
        <is>
          <t>20250127</t>
        </is>
      </c>
    </row>
    <row r="595">
      <c r="A595" t="inlineStr">
        <is>
          <t>900003601D8366578148210000624</t>
        </is>
      </c>
      <c r="B595" t="inlineStr">
        <is>
          <t>900003601</t>
        </is>
      </c>
      <c r="C595" t="inlineStr">
        <is>
          <t>D836</t>
        </is>
      </c>
      <c r="D595" t="inlineStr">
        <is>
          <t>65781482</t>
        </is>
      </c>
      <c r="E595" t="inlineStr">
        <is>
          <t>1</t>
        </is>
      </c>
      <c r="F595" t="inlineStr">
        <is>
          <t>10000624</t>
        </is>
      </c>
      <c r="H595" t="inlineStr"/>
      <c r="J595" t="n">
        <v>164</v>
      </c>
      <c r="K595" t="inlineStr"/>
      <c r="M595" t="inlineStr">
        <is>
          <t>TN</t>
        </is>
      </c>
      <c r="N595" t="inlineStr"/>
      <c r="P595" t="inlineStr">
        <is>
          <t>20190426</t>
        </is>
      </c>
      <c r="Q595" t="inlineStr">
        <is>
          <t>20250127</t>
        </is>
      </c>
    </row>
    <row r="596">
      <c r="A596" t="inlineStr">
        <is>
          <t>900003601D8366578148210000722</t>
        </is>
      </c>
      <c r="B596" t="inlineStr">
        <is>
          <t>900003601</t>
        </is>
      </c>
      <c r="C596" t="inlineStr">
        <is>
          <t>D836</t>
        </is>
      </c>
      <c r="D596" t="inlineStr">
        <is>
          <t>65781482</t>
        </is>
      </c>
      <c r="E596" t="inlineStr">
        <is>
          <t>1</t>
        </is>
      </c>
      <c r="F596" t="inlineStr">
        <is>
          <t>10000722</t>
        </is>
      </c>
      <c r="H596" t="inlineStr"/>
      <c r="J596" t="n">
        <v>164</v>
      </c>
      <c r="K596" t="inlineStr"/>
      <c r="M596" t="inlineStr">
        <is>
          <t>TN</t>
        </is>
      </c>
      <c r="N596" t="inlineStr"/>
      <c r="P596" t="inlineStr">
        <is>
          <t>20190426</t>
        </is>
      </c>
      <c r="Q596" t="inlineStr">
        <is>
          <t>20250127</t>
        </is>
      </c>
    </row>
    <row r="597">
      <c r="A597" t="inlineStr">
        <is>
          <t>900003601D8366579688210000624</t>
        </is>
      </c>
      <c r="B597" t="inlineStr">
        <is>
          <t>900003601</t>
        </is>
      </c>
      <c r="C597" t="inlineStr">
        <is>
          <t>D836</t>
        </is>
      </c>
      <c r="D597" t="inlineStr">
        <is>
          <t>65796882</t>
        </is>
      </c>
      <c r="E597" t="inlineStr">
        <is>
          <t>1</t>
        </is>
      </c>
      <c r="F597" t="inlineStr">
        <is>
          <t>10000624</t>
        </is>
      </c>
      <c r="H597" t="inlineStr"/>
      <c r="J597" t="n">
        <v>75</v>
      </c>
      <c r="K597" t="inlineStr"/>
      <c r="M597" t="inlineStr">
        <is>
          <t>TN</t>
        </is>
      </c>
      <c r="N597" t="inlineStr"/>
      <c r="P597" t="inlineStr">
        <is>
          <t>20190426</t>
        </is>
      </c>
      <c r="Q597" t="inlineStr">
        <is>
          <t>20250127</t>
        </is>
      </c>
    </row>
    <row r="598">
      <c r="A598" t="inlineStr">
        <is>
          <t>900003601D8366579688210000722</t>
        </is>
      </c>
      <c r="B598" t="inlineStr">
        <is>
          <t>900003601</t>
        </is>
      </c>
      <c r="C598" t="inlineStr">
        <is>
          <t>D836</t>
        </is>
      </c>
      <c r="D598" t="inlineStr">
        <is>
          <t>65796882</t>
        </is>
      </c>
      <c r="E598" t="inlineStr">
        <is>
          <t>1</t>
        </is>
      </c>
      <c r="F598" t="inlineStr">
        <is>
          <t>10000722</t>
        </is>
      </c>
      <c r="H598" t="inlineStr"/>
      <c r="J598" t="n">
        <v>75</v>
      </c>
      <c r="K598" t="inlineStr"/>
      <c r="M598" t="inlineStr">
        <is>
          <t>TN</t>
        </is>
      </c>
      <c r="N598" t="inlineStr"/>
      <c r="P598" t="inlineStr">
        <is>
          <t>20190426</t>
        </is>
      </c>
      <c r="Q598" t="inlineStr">
        <is>
          <t>20250127</t>
        </is>
      </c>
    </row>
    <row r="599">
      <c r="A599" t="inlineStr">
        <is>
          <t>900003601D8366579953510000623</t>
        </is>
      </c>
      <c r="B599" t="inlineStr">
        <is>
          <t>900003601</t>
        </is>
      </c>
      <c r="C599" t="inlineStr">
        <is>
          <t>D836</t>
        </is>
      </c>
      <c r="D599" t="inlineStr">
        <is>
          <t>65799535</t>
        </is>
      </c>
      <c r="E599" t="inlineStr">
        <is>
          <t>1</t>
        </is>
      </c>
      <c r="F599" t="inlineStr">
        <is>
          <t>10000623</t>
        </is>
      </c>
      <c r="H599" t="inlineStr"/>
      <c r="J599" t="n">
        <v>100</v>
      </c>
      <c r="K599" t="inlineStr"/>
      <c r="M599" t="inlineStr">
        <is>
          <t>TN</t>
        </is>
      </c>
      <c r="N599" t="inlineStr"/>
      <c r="P599" t="inlineStr">
        <is>
          <t>20190426</t>
        </is>
      </c>
      <c r="Q599" t="inlineStr">
        <is>
          <t>20250127</t>
        </is>
      </c>
    </row>
    <row r="600">
      <c r="A600" t="inlineStr">
        <is>
          <t>900003601D8366579953510000624</t>
        </is>
      </c>
      <c r="B600" t="inlineStr">
        <is>
          <t>900003601</t>
        </is>
      </c>
      <c r="C600" t="inlineStr">
        <is>
          <t>D836</t>
        </is>
      </c>
      <c r="D600" t="inlineStr">
        <is>
          <t>65799535</t>
        </is>
      </c>
      <c r="E600" t="inlineStr">
        <is>
          <t>1</t>
        </is>
      </c>
      <c r="F600" t="inlineStr">
        <is>
          <t>10000624</t>
        </is>
      </c>
      <c r="H600" t="inlineStr"/>
      <c r="J600" t="n">
        <v>100</v>
      </c>
      <c r="K600" t="inlineStr"/>
      <c r="M600" t="inlineStr">
        <is>
          <t>TN</t>
        </is>
      </c>
      <c r="N600" t="inlineStr"/>
      <c r="P600" t="inlineStr">
        <is>
          <t>20190426</t>
        </is>
      </c>
      <c r="Q600" t="inlineStr">
        <is>
          <t>20250127</t>
        </is>
      </c>
    </row>
    <row r="601">
      <c r="A601" t="inlineStr">
        <is>
          <t>900003601D8366579953510000811</t>
        </is>
      </c>
      <c r="B601" t="inlineStr">
        <is>
          <t>900003601</t>
        </is>
      </c>
      <c r="C601" t="inlineStr">
        <is>
          <t>D836</t>
        </is>
      </c>
      <c r="D601" t="inlineStr">
        <is>
          <t>65799535</t>
        </is>
      </c>
      <c r="E601" t="inlineStr">
        <is>
          <t>1</t>
        </is>
      </c>
      <c r="F601" t="inlineStr">
        <is>
          <t>10000811</t>
        </is>
      </c>
      <c r="H601" t="inlineStr"/>
      <c r="J601" t="n">
        <v>100</v>
      </c>
      <c r="K601" t="inlineStr"/>
      <c r="M601" t="inlineStr">
        <is>
          <t>TN</t>
        </is>
      </c>
      <c r="N601" t="inlineStr"/>
      <c r="P601" t="inlineStr">
        <is>
          <t>20190426</t>
        </is>
      </c>
      <c r="Q601" t="inlineStr">
        <is>
          <t>20250127</t>
        </is>
      </c>
    </row>
    <row r="602">
      <c r="A602" t="inlineStr">
        <is>
          <t>900003601D8366589754610000623</t>
        </is>
      </c>
      <c r="B602" t="inlineStr">
        <is>
          <t>900003601</t>
        </is>
      </c>
      <c r="C602" t="inlineStr">
        <is>
          <t>D836</t>
        </is>
      </c>
      <c r="D602" t="inlineStr">
        <is>
          <t>65897546</t>
        </is>
      </c>
      <c r="E602" t="inlineStr">
        <is>
          <t>1</t>
        </is>
      </c>
      <c r="F602" t="inlineStr">
        <is>
          <t>10000623</t>
        </is>
      </c>
      <c r="H602" t="inlineStr"/>
      <c r="J602" t="n">
        <v>77</v>
      </c>
      <c r="K602" t="inlineStr"/>
      <c r="M602" t="inlineStr">
        <is>
          <t>TN</t>
        </is>
      </c>
      <c r="N602" t="inlineStr"/>
      <c r="P602" t="inlineStr">
        <is>
          <t>20190426</t>
        </is>
      </c>
      <c r="Q602" t="inlineStr">
        <is>
          <t>20250127</t>
        </is>
      </c>
    </row>
    <row r="603">
      <c r="A603" t="inlineStr">
        <is>
          <t>900003601D8366590842610000623</t>
        </is>
      </c>
      <c r="B603" t="inlineStr">
        <is>
          <t>900003601</t>
        </is>
      </c>
      <c r="C603" t="inlineStr">
        <is>
          <t>D836</t>
        </is>
      </c>
      <c r="D603" t="inlineStr">
        <is>
          <t>65908426</t>
        </is>
      </c>
      <c r="E603" t="inlineStr">
        <is>
          <t>1</t>
        </is>
      </c>
      <c r="F603" t="inlineStr">
        <is>
          <t>10000623</t>
        </is>
      </c>
      <c r="H603" t="inlineStr"/>
      <c r="J603" t="n">
        <v>100</v>
      </c>
      <c r="K603" t="inlineStr"/>
      <c r="M603" t="inlineStr">
        <is>
          <t>TN</t>
        </is>
      </c>
      <c r="N603" t="inlineStr"/>
      <c r="P603" t="inlineStr">
        <is>
          <t>20250721</t>
        </is>
      </c>
      <c r="Q603" t="inlineStr">
        <is>
          <t>99991231</t>
        </is>
      </c>
    </row>
    <row r="604">
      <c r="A604" t="inlineStr">
        <is>
          <t>900003601D8366592176410000623</t>
        </is>
      </c>
      <c r="B604" t="inlineStr">
        <is>
          <t>900003601</t>
        </is>
      </c>
      <c r="C604" t="inlineStr">
        <is>
          <t>D836</t>
        </is>
      </c>
      <c r="D604" t="inlineStr">
        <is>
          <t>65921764</t>
        </is>
      </c>
      <c r="E604" t="inlineStr">
        <is>
          <t>1</t>
        </is>
      </c>
      <c r="F604" t="inlineStr">
        <is>
          <t>10000623</t>
        </is>
      </c>
      <c r="H604" t="inlineStr"/>
      <c r="J604" t="n">
        <v>103</v>
      </c>
      <c r="K604" t="inlineStr"/>
      <c r="M604" t="inlineStr">
        <is>
          <t>TN</t>
        </is>
      </c>
      <c r="N604" t="inlineStr"/>
      <c r="P604" t="inlineStr">
        <is>
          <t>20190426</t>
        </is>
      </c>
      <c r="Q604" t="inlineStr">
        <is>
          <t>20250127</t>
        </is>
      </c>
    </row>
    <row r="605">
      <c r="A605" t="inlineStr">
        <is>
          <t>900003601D8366623009810000624</t>
        </is>
      </c>
      <c r="B605" t="inlineStr">
        <is>
          <t>900003601</t>
        </is>
      </c>
      <c r="C605" t="inlineStr">
        <is>
          <t>D836</t>
        </is>
      </c>
      <c r="D605" t="inlineStr">
        <is>
          <t>66230098</t>
        </is>
      </c>
      <c r="E605" t="inlineStr">
        <is>
          <t>1</t>
        </is>
      </c>
      <c r="F605" t="inlineStr">
        <is>
          <t>10000624</t>
        </is>
      </c>
      <c r="H605" t="inlineStr"/>
      <c r="J605" t="n">
        <v>95</v>
      </c>
      <c r="K605" t="inlineStr"/>
      <c r="M605" t="inlineStr">
        <is>
          <t>TN</t>
        </is>
      </c>
      <c r="N605" t="inlineStr"/>
      <c r="P605" t="inlineStr">
        <is>
          <t>20190426</t>
        </is>
      </c>
      <c r="Q605" t="inlineStr">
        <is>
          <t>20250127</t>
        </is>
      </c>
    </row>
    <row r="606">
      <c r="A606" t="inlineStr">
        <is>
          <t>900003601D8366623009810000722</t>
        </is>
      </c>
      <c r="B606" t="inlineStr">
        <is>
          <t>900003601</t>
        </is>
      </c>
      <c r="C606" t="inlineStr">
        <is>
          <t>D836</t>
        </is>
      </c>
      <c r="D606" t="inlineStr">
        <is>
          <t>66230098</t>
        </is>
      </c>
      <c r="E606" t="inlineStr">
        <is>
          <t>1</t>
        </is>
      </c>
      <c r="F606" t="inlineStr">
        <is>
          <t>10000722</t>
        </is>
      </c>
      <c r="H606" t="inlineStr"/>
      <c r="J606" t="n">
        <v>95</v>
      </c>
      <c r="K606" t="inlineStr"/>
      <c r="M606" t="inlineStr">
        <is>
          <t>TN</t>
        </is>
      </c>
      <c r="N606" t="inlineStr"/>
      <c r="P606" t="inlineStr">
        <is>
          <t>20190426</t>
        </is>
      </c>
      <c r="Q606" t="inlineStr">
        <is>
          <t>20250127</t>
        </is>
      </c>
    </row>
    <row r="607">
      <c r="A607" t="inlineStr">
        <is>
          <t>900003601D8366623714210000623</t>
        </is>
      </c>
      <c r="B607" t="inlineStr">
        <is>
          <t>900003601</t>
        </is>
      </c>
      <c r="C607" t="inlineStr">
        <is>
          <t>D836</t>
        </is>
      </c>
      <c r="D607" t="inlineStr">
        <is>
          <t>66237142</t>
        </is>
      </c>
      <c r="E607" t="inlineStr">
        <is>
          <t>1</t>
        </is>
      </c>
      <c r="F607" t="inlineStr">
        <is>
          <t>10000623</t>
        </is>
      </c>
      <c r="H607" t="inlineStr"/>
      <c r="J607" t="n">
        <v>268</v>
      </c>
      <c r="K607" t="inlineStr"/>
      <c r="M607" t="inlineStr">
        <is>
          <t>TN</t>
        </is>
      </c>
      <c r="N607" t="inlineStr"/>
      <c r="P607" t="inlineStr">
        <is>
          <t>20260615</t>
        </is>
      </c>
      <c r="Q607" t="inlineStr">
        <is>
          <t>99991231</t>
        </is>
      </c>
    </row>
    <row r="608">
      <c r="A608" t="inlineStr">
        <is>
          <t>900003601D8366623714210000624</t>
        </is>
      </c>
      <c r="B608" t="inlineStr">
        <is>
          <t>900003601</t>
        </is>
      </c>
      <c r="C608" t="inlineStr">
        <is>
          <t>D836</t>
        </is>
      </c>
      <c r="D608" t="inlineStr">
        <is>
          <t>66237142</t>
        </is>
      </c>
      <c r="E608" t="inlineStr">
        <is>
          <t>1</t>
        </is>
      </c>
      <c r="F608" t="inlineStr">
        <is>
          <t>10000624</t>
        </is>
      </c>
      <c r="H608" t="inlineStr"/>
      <c r="J608" t="n">
        <v>149.66</v>
      </c>
      <c r="K608" t="inlineStr"/>
      <c r="M608" t="inlineStr">
        <is>
          <t>TN</t>
        </is>
      </c>
      <c r="N608" t="inlineStr"/>
      <c r="P608" t="inlineStr">
        <is>
          <t>20190426</t>
        </is>
      </c>
      <c r="Q608" t="inlineStr">
        <is>
          <t>20250127</t>
        </is>
      </c>
    </row>
    <row r="609">
      <c r="A609" t="inlineStr">
        <is>
          <t>900003601D8366623714210000722</t>
        </is>
      </c>
      <c r="B609" t="inlineStr">
        <is>
          <t>900003601</t>
        </is>
      </c>
      <c r="C609" t="inlineStr">
        <is>
          <t>D836</t>
        </is>
      </c>
      <c r="D609" t="inlineStr">
        <is>
          <t>66237142</t>
        </is>
      </c>
      <c r="E609" t="inlineStr">
        <is>
          <t>1</t>
        </is>
      </c>
      <c r="F609" t="inlineStr">
        <is>
          <t>10000722</t>
        </is>
      </c>
      <c r="H609" t="inlineStr"/>
      <c r="J609" t="n">
        <v>95</v>
      </c>
      <c r="K609" t="inlineStr"/>
      <c r="M609" t="inlineStr">
        <is>
          <t>TN</t>
        </is>
      </c>
      <c r="N609" t="inlineStr"/>
      <c r="P609" t="inlineStr">
        <is>
          <t>20190426</t>
        </is>
      </c>
      <c r="Q609" t="inlineStr">
        <is>
          <t>20250127</t>
        </is>
      </c>
    </row>
    <row r="610">
      <c r="A610" t="inlineStr">
        <is>
          <t>900003601D8366623714210000811</t>
        </is>
      </c>
      <c r="B610" t="inlineStr">
        <is>
          <t>900003601</t>
        </is>
      </c>
      <c r="C610" t="inlineStr">
        <is>
          <t>D836</t>
        </is>
      </c>
      <c r="D610" t="inlineStr">
        <is>
          <t>66237142</t>
        </is>
      </c>
      <c r="E610" t="inlineStr">
        <is>
          <t>1</t>
        </is>
      </c>
      <c r="F610" t="inlineStr">
        <is>
          <t>10000811</t>
        </is>
      </c>
      <c r="H610" t="inlineStr"/>
      <c r="J610" t="n">
        <v>268</v>
      </c>
      <c r="K610" t="inlineStr"/>
      <c r="M610" t="inlineStr">
        <is>
          <t>TN</t>
        </is>
      </c>
      <c r="N610" t="inlineStr"/>
      <c r="P610" t="inlineStr">
        <is>
          <t>20260615</t>
        </is>
      </c>
      <c r="Q610" t="inlineStr">
        <is>
          <t>99991231</t>
        </is>
      </c>
    </row>
    <row r="611">
      <c r="A611" t="inlineStr">
        <is>
          <t>900003601D8366625093210000623</t>
        </is>
      </c>
      <c r="B611" t="inlineStr">
        <is>
          <t>900003601</t>
        </is>
      </c>
      <c r="C611" t="inlineStr">
        <is>
          <t>D836</t>
        </is>
      </c>
      <c r="D611" t="inlineStr">
        <is>
          <t>66250932</t>
        </is>
      </c>
      <c r="E611" t="inlineStr">
        <is>
          <t>1</t>
        </is>
      </c>
      <c r="F611" t="inlineStr">
        <is>
          <t>10000623</t>
        </is>
      </c>
      <c r="H611" t="inlineStr"/>
      <c r="J611" t="n">
        <v>121</v>
      </c>
      <c r="K611" t="inlineStr"/>
      <c r="M611" t="inlineStr">
        <is>
          <t>TN</t>
        </is>
      </c>
      <c r="N611" t="inlineStr"/>
      <c r="P611" t="inlineStr">
        <is>
          <t>20190426</t>
        </is>
      </c>
      <c r="Q611" t="inlineStr">
        <is>
          <t>20250127</t>
        </is>
      </c>
    </row>
    <row r="612">
      <c r="A612" t="inlineStr">
        <is>
          <t>900003601D8366625093210000624</t>
        </is>
      </c>
      <c r="B612" t="inlineStr">
        <is>
          <t>900003601</t>
        </is>
      </c>
      <c r="C612" t="inlineStr">
        <is>
          <t>D836</t>
        </is>
      </c>
      <c r="D612" t="inlineStr">
        <is>
          <t>66250932</t>
        </is>
      </c>
      <c r="E612" t="inlineStr">
        <is>
          <t>1</t>
        </is>
      </c>
      <c r="F612" t="inlineStr">
        <is>
          <t>10000624</t>
        </is>
      </c>
      <c r="H612" t="inlineStr"/>
      <c r="J612" t="n">
        <v>117</v>
      </c>
      <c r="K612" t="inlineStr"/>
      <c r="M612" t="inlineStr">
        <is>
          <t>TN</t>
        </is>
      </c>
      <c r="N612" t="inlineStr"/>
      <c r="P612" t="inlineStr">
        <is>
          <t>20190426</t>
        </is>
      </c>
      <c r="Q612" t="inlineStr">
        <is>
          <t>20250127</t>
        </is>
      </c>
    </row>
    <row r="613">
      <c r="A613" t="inlineStr">
        <is>
          <t>900003601D8366625093210000722</t>
        </is>
      </c>
      <c r="B613" t="inlineStr">
        <is>
          <t>900003601</t>
        </is>
      </c>
      <c r="C613" t="inlineStr">
        <is>
          <t>D836</t>
        </is>
      </c>
      <c r="D613" t="inlineStr">
        <is>
          <t>66250932</t>
        </is>
      </c>
      <c r="E613" t="inlineStr">
        <is>
          <t>1</t>
        </is>
      </c>
      <c r="F613" t="inlineStr">
        <is>
          <t>10000722</t>
        </is>
      </c>
      <c r="H613" t="inlineStr"/>
      <c r="J613" t="n">
        <v>118</v>
      </c>
      <c r="K613" t="inlineStr"/>
      <c r="M613" t="inlineStr">
        <is>
          <t>TN</t>
        </is>
      </c>
      <c r="N613" t="inlineStr"/>
      <c r="P613" t="inlineStr">
        <is>
          <t>20190426</t>
        </is>
      </c>
      <c r="Q613" t="inlineStr">
        <is>
          <t>20250127</t>
        </is>
      </c>
    </row>
    <row r="614">
      <c r="A614" t="inlineStr">
        <is>
          <t>900003601D8366626013710000624</t>
        </is>
      </c>
      <c r="B614" t="inlineStr">
        <is>
          <t>900003601</t>
        </is>
      </c>
      <c r="C614" t="inlineStr">
        <is>
          <t>D836</t>
        </is>
      </c>
      <c r="D614" t="inlineStr">
        <is>
          <t>66260137</t>
        </is>
      </c>
      <c r="E614" t="inlineStr">
        <is>
          <t>1</t>
        </is>
      </c>
      <c r="F614" t="inlineStr">
        <is>
          <t>10000624</t>
        </is>
      </c>
      <c r="H614" t="inlineStr"/>
      <c r="J614" t="n">
        <v>131</v>
      </c>
      <c r="K614" t="inlineStr"/>
      <c r="M614" t="inlineStr">
        <is>
          <t>TN</t>
        </is>
      </c>
      <c r="N614" t="inlineStr"/>
      <c r="P614" t="inlineStr">
        <is>
          <t>20190426</t>
        </is>
      </c>
      <c r="Q614" t="inlineStr">
        <is>
          <t>20250127</t>
        </is>
      </c>
    </row>
    <row r="615">
      <c r="A615" t="inlineStr">
        <is>
          <t>900003601D8366626013710000722</t>
        </is>
      </c>
      <c r="B615" t="inlineStr">
        <is>
          <t>900003601</t>
        </is>
      </c>
      <c r="C615" t="inlineStr">
        <is>
          <t>D836</t>
        </is>
      </c>
      <c r="D615" t="inlineStr">
        <is>
          <t>66260137</t>
        </is>
      </c>
      <c r="E615" t="inlineStr">
        <is>
          <t>1</t>
        </is>
      </c>
      <c r="F615" t="inlineStr">
        <is>
          <t>10000722</t>
        </is>
      </c>
      <c r="H615" t="inlineStr"/>
      <c r="J615" t="n">
        <v>131</v>
      </c>
      <c r="K615" t="inlineStr"/>
      <c r="M615" t="inlineStr">
        <is>
          <t>TN</t>
        </is>
      </c>
      <c r="N615" t="inlineStr"/>
      <c r="P615" t="inlineStr">
        <is>
          <t>20190426</t>
        </is>
      </c>
      <c r="Q615" t="inlineStr">
        <is>
          <t>20250127</t>
        </is>
      </c>
    </row>
    <row r="616">
      <c r="A616" t="inlineStr">
        <is>
          <t>900003601D8366626013910000624</t>
        </is>
      </c>
      <c r="B616" t="inlineStr">
        <is>
          <t>900003601</t>
        </is>
      </c>
      <c r="C616" t="inlineStr">
        <is>
          <t>D836</t>
        </is>
      </c>
      <c r="D616" t="inlineStr">
        <is>
          <t>66260139</t>
        </is>
      </c>
      <c r="E616" t="inlineStr">
        <is>
          <t>1</t>
        </is>
      </c>
      <c r="F616" t="inlineStr">
        <is>
          <t>10000624</t>
        </is>
      </c>
      <c r="H616" t="inlineStr"/>
      <c r="J616" t="n">
        <v>131</v>
      </c>
      <c r="K616" t="inlineStr"/>
      <c r="M616" t="inlineStr">
        <is>
          <t>TN</t>
        </is>
      </c>
      <c r="N616" t="inlineStr"/>
      <c r="P616" t="inlineStr">
        <is>
          <t>20190426</t>
        </is>
      </c>
      <c r="Q616" t="inlineStr">
        <is>
          <t>20250127</t>
        </is>
      </c>
    </row>
    <row r="617">
      <c r="A617" t="inlineStr">
        <is>
          <t>900003601D8366626013910000722</t>
        </is>
      </c>
      <c r="B617" t="inlineStr">
        <is>
          <t>900003601</t>
        </is>
      </c>
      <c r="C617" t="inlineStr">
        <is>
          <t>D836</t>
        </is>
      </c>
      <c r="D617" t="inlineStr">
        <is>
          <t>66260139</t>
        </is>
      </c>
      <c r="E617" t="inlineStr">
        <is>
          <t>1</t>
        </is>
      </c>
      <c r="F617" t="inlineStr">
        <is>
          <t>10000722</t>
        </is>
      </c>
      <c r="H617" t="inlineStr"/>
      <c r="J617" t="n">
        <v>131</v>
      </c>
      <c r="K617" t="inlineStr"/>
      <c r="M617" t="inlineStr">
        <is>
          <t>TN</t>
        </is>
      </c>
      <c r="N617" t="inlineStr"/>
      <c r="P617" t="inlineStr">
        <is>
          <t>20190426</t>
        </is>
      </c>
      <c r="Q617" t="inlineStr">
        <is>
          <t>20250127</t>
        </is>
      </c>
    </row>
    <row r="618">
      <c r="A618" t="inlineStr">
        <is>
          <t>900003601D8366627273910000623</t>
        </is>
      </c>
      <c r="B618" t="inlineStr">
        <is>
          <t>900003601</t>
        </is>
      </c>
      <c r="C618" t="inlineStr">
        <is>
          <t>D836</t>
        </is>
      </c>
      <c r="D618" t="inlineStr">
        <is>
          <t>66272739</t>
        </is>
      </c>
      <c r="E618" t="inlineStr">
        <is>
          <t>1</t>
        </is>
      </c>
      <c r="F618" t="inlineStr">
        <is>
          <t>10000623</t>
        </is>
      </c>
      <c r="H618" t="inlineStr"/>
      <c r="J618" t="n">
        <v>95</v>
      </c>
      <c r="K618" t="inlineStr"/>
      <c r="M618" t="inlineStr">
        <is>
          <t>TN</t>
        </is>
      </c>
      <c r="N618" t="inlineStr"/>
      <c r="P618" t="inlineStr">
        <is>
          <t>20190426</t>
        </is>
      </c>
      <c r="Q618" t="inlineStr">
        <is>
          <t>20250127</t>
        </is>
      </c>
    </row>
    <row r="619">
      <c r="A619" t="inlineStr">
        <is>
          <t>900003601D8366627273910000624</t>
        </is>
      </c>
      <c r="B619" t="inlineStr">
        <is>
          <t>900003601</t>
        </is>
      </c>
      <c r="C619" t="inlineStr">
        <is>
          <t>D836</t>
        </is>
      </c>
      <c r="D619" t="inlineStr">
        <is>
          <t>66272739</t>
        </is>
      </c>
      <c r="E619" t="inlineStr">
        <is>
          <t>1</t>
        </is>
      </c>
      <c r="F619" t="inlineStr">
        <is>
          <t>10000624</t>
        </is>
      </c>
      <c r="H619" t="inlineStr"/>
      <c r="J619" t="n">
        <v>95</v>
      </c>
      <c r="K619" t="inlineStr"/>
      <c r="M619" t="inlineStr">
        <is>
          <t>TN</t>
        </is>
      </c>
      <c r="N619" t="inlineStr"/>
      <c r="P619" t="inlineStr">
        <is>
          <t>20190426</t>
        </is>
      </c>
      <c r="Q619" t="inlineStr">
        <is>
          <t>20250127</t>
        </is>
      </c>
    </row>
    <row r="620">
      <c r="A620" t="inlineStr">
        <is>
          <t>900003601D8366627273910000722</t>
        </is>
      </c>
      <c r="B620" t="inlineStr">
        <is>
          <t>900003601</t>
        </is>
      </c>
      <c r="C620" t="inlineStr">
        <is>
          <t>D836</t>
        </is>
      </c>
      <c r="D620" t="inlineStr">
        <is>
          <t>66272739</t>
        </is>
      </c>
      <c r="E620" t="inlineStr">
        <is>
          <t>1</t>
        </is>
      </c>
      <c r="F620" t="inlineStr">
        <is>
          <t>10000722</t>
        </is>
      </c>
      <c r="H620" t="inlineStr"/>
      <c r="J620" t="n">
        <v>95</v>
      </c>
      <c r="K620" t="inlineStr"/>
      <c r="M620" t="inlineStr">
        <is>
          <t>TN</t>
        </is>
      </c>
      <c r="N620" t="inlineStr"/>
      <c r="P620" t="inlineStr">
        <is>
          <t>20190426</t>
        </is>
      </c>
      <c r="Q620" t="inlineStr">
        <is>
          <t>20250127</t>
        </is>
      </c>
    </row>
    <row r="621">
      <c r="A621" t="inlineStr">
        <is>
          <t>900003601D8366631061010000623</t>
        </is>
      </c>
      <c r="B621" t="inlineStr">
        <is>
          <t>900003601</t>
        </is>
      </c>
      <c r="C621" t="inlineStr">
        <is>
          <t>D836</t>
        </is>
      </c>
      <c r="D621" t="inlineStr">
        <is>
          <t>66310610</t>
        </is>
      </c>
      <c r="E621" t="inlineStr">
        <is>
          <t>1</t>
        </is>
      </c>
      <c r="F621" t="inlineStr">
        <is>
          <t>10000623</t>
        </is>
      </c>
      <c r="H621" t="inlineStr"/>
      <c r="J621" t="n">
        <v>120</v>
      </c>
      <c r="K621" t="inlineStr"/>
      <c r="M621" t="inlineStr">
        <is>
          <t>TN</t>
        </is>
      </c>
      <c r="N621" t="inlineStr"/>
      <c r="P621" t="inlineStr">
        <is>
          <t>20190426</t>
        </is>
      </c>
      <c r="Q621" t="inlineStr">
        <is>
          <t>20250127</t>
        </is>
      </c>
    </row>
    <row r="622">
      <c r="A622" t="inlineStr">
        <is>
          <t>900003601D8366631061010000624</t>
        </is>
      </c>
      <c r="B622" t="inlineStr">
        <is>
          <t>900003601</t>
        </is>
      </c>
      <c r="C622" t="inlineStr">
        <is>
          <t>D836</t>
        </is>
      </c>
      <c r="D622" t="inlineStr">
        <is>
          <t>66310610</t>
        </is>
      </c>
      <c r="E622" t="inlineStr">
        <is>
          <t>1</t>
        </is>
      </c>
      <c r="F622" t="inlineStr">
        <is>
          <t>10000624</t>
        </is>
      </c>
      <c r="H622" t="inlineStr"/>
      <c r="J622" t="n">
        <v>120</v>
      </c>
      <c r="K622" t="inlineStr"/>
      <c r="M622" t="inlineStr">
        <is>
          <t>TN</t>
        </is>
      </c>
      <c r="N622" t="inlineStr"/>
      <c r="P622" t="inlineStr">
        <is>
          <t>20190426</t>
        </is>
      </c>
      <c r="Q622" t="inlineStr">
        <is>
          <t>20250127</t>
        </is>
      </c>
    </row>
    <row r="623">
      <c r="A623" t="inlineStr">
        <is>
          <t>900003601D8366631061010000722</t>
        </is>
      </c>
      <c r="B623" t="inlineStr">
        <is>
          <t>900003601</t>
        </is>
      </c>
      <c r="C623" t="inlineStr">
        <is>
          <t>D836</t>
        </is>
      </c>
      <c r="D623" t="inlineStr">
        <is>
          <t>66310610</t>
        </is>
      </c>
      <c r="E623" t="inlineStr">
        <is>
          <t>1</t>
        </is>
      </c>
      <c r="F623" t="inlineStr">
        <is>
          <t>10000722</t>
        </is>
      </c>
      <c r="H623" t="inlineStr"/>
      <c r="J623" t="n">
        <v>120</v>
      </c>
      <c r="K623" t="inlineStr"/>
      <c r="M623" t="inlineStr">
        <is>
          <t>TN</t>
        </is>
      </c>
      <c r="N623" t="inlineStr"/>
      <c r="P623" t="inlineStr">
        <is>
          <t>20190426</t>
        </is>
      </c>
      <c r="Q623" t="inlineStr">
        <is>
          <t>20250127</t>
        </is>
      </c>
    </row>
    <row r="624">
      <c r="A624" t="inlineStr">
        <is>
          <t>900003601D8366642391610000623</t>
        </is>
      </c>
      <c r="B624" t="inlineStr">
        <is>
          <t>900003601</t>
        </is>
      </c>
      <c r="C624" t="inlineStr">
        <is>
          <t>D836</t>
        </is>
      </c>
      <c r="D624" t="inlineStr">
        <is>
          <t>66423916</t>
        </is>
      </c>
      <c r="E624" t="inlineStr">
        <is>
          <t>1</t>
        </is>
      </c>
      <c r="F624" t="inlineStr">
        <is>
          <t>10000623</t>
        </is>
      </c>
      <c r="H624" t="inlineStr"/>
      <c r="J624" t="n">
        <v>126.67</v>
      </c>
      <c r="K624" t="inlineStr"/>
      <c r="M624" t="inlineStr">
        <is>
          <t>TN</t>
        </is>
      </c>
      <c r="N624" t="inlineStr"/>
      <c r="P624" t="inlineStr">
        <is>
          <t>20190426</t>
        </is>
      </c>
      <c r="Q624" t="inlineStr">
        <is>
          <t>20250127</t>
        </is>
      </c>
    </row>
    <row r="625">
      <c r="A625" t="inlineStr">
        <is>
          <t>900003601D8366642391610000811</t>
        </is>
      </c>
      <c r="B625" t="inlineStr">
        <is>
          <t>900003601</t>
        </is>
      </c>
      <c r="C625" t="inlineStr">
        <is>
          <t>D836</t>
        </is>
      </c>
      <c r="D625" t="inlineStr">
        <is>
          <t>66423916</t>
        </is>
      </c>
      <c r="E625" t="inlineStr">
        <is>
          <t>1</t>
        </is>
      </c>
      <c r="F625" t="inlineStr">
        <is>
          <t>10000811</t>
        </is>
      </c>
      <c r="H625" t="inlineStr"/>
      <c r="J625" t="n">
        <v>123.43</v>
      </c>
      <c r="K625" t="inlineStr"/>
      <c r="M625" t="inlineStr">
        <is>
          <t>TN</t>
        </is>
      </c>
      <c r="N625" t="inlineStr"/>
      <c r="P625" t="inlineStr">
        <is>
          <t>20190426</t>
        </is>
      </c>
      <c r="Q625" t="inlineStr">
        <is>
          <t>20250127</t>
        </is>
      </c>
    </row>
    <row r="626">
      <c r="A626" t="inlineStr">
        <is>
          <t>900003601D8366642826510159432</t>
        </is>
      </c>
      <c r="B626" t="inlineStr">
        <is>
          <t>900003601</t>
        </is>
      </c>
      <c r="C626" t="inlineStr">
        <is>
          <t>D836</t>
        </is>
      </c>
      <c r="D626" t="inlineStr">
        <is>
          <t>66428265</t>
        </is>
      </c>
      <c r="E626" t="inlineStr">
        <is>
          <t>1</t>
        </is>
      </c>
      <c r="F626" t="inlineStr">
        <is>
          <t>10159432</t>
        </is>
      </c>
      <c r="H626" t="inlineStr"/>
      <c r="J626" t="n">
        <v>135.5</v>
      </c>
      <c r="K626" t="inlineStr"/>
      <c r="M626" t="inlineStr">
        <is>
          <t>TN</t>
        </is>
      </c>
      <c r="N626" t="inlineStr"/>
      <c r="P626" t="inlineStr">
        <is>
          <t>20190426</t>
        </is>
      </c>
      <c r="Q626" t="inlineStr">
        <is>
          <t>20250127</t>
        </is>
      </c>
    </row>
    <row r="627">
      <c r="A627" t="inlineStr">
        <is>
          <t>900003601D8366682579710000623</t>
        </is>
      </c>
      <c r="B627" t="inlineStr">
        <is>
          <t>900003601</t>
        </is>
      </c>
      <c r="C627" t="inlineStr">
        <is>
          <t>D836</t>
        </is>
      </c>
      <c r="D627" t="inlineStr">
        <is>
          <t>66825797</t>
        </is>
      </c>
      <c r="E627" t="inlineStr">
        <is>
          <t>1</t>
        </is>
      </c>
      <c r="F627" t="inlineStr">
        <is>
          <t>10000623</t>
        </is>
      </c>
      <c r="H627" t="inlineStr"/>
      <c r="J627" t="n">
        <v>131</v>
      </c>
      <c r="K627" t="inlineStr"/>
      <c r="M627" t="inlineStr">
        <is>
          <t>TN</t>
        </is>
      </c>
      <c r="N627" t="inlineStr"/>
      <c r="P627" t="inlineStr">
        <is>
          <t>20190426</t>
        </is>
      </c>
      <c r="Q627" t="inlineStr">
        <is>
          <t>20250127</t>
        </is>
      </c>
    </row>
    <row r="628">
      <c r="A628" t="inlineStr">
        <is>
          <t>900003601D8366682579710000722</t>
        </is>
      </c>
      <c r="B628" t="inlineStr">
        <is>
          <t>900003601</t>
        </is>
      </c>
      <c r="C628" t="inlineStr">
        <is>
          <t>D836</t>
        </is>
      </c>
      <c r="D628" t="inlineStr">
        <is>
          <t>66825797</t>
        </is>
      </c>
      <c r="E628" t="inlineStr">
        <is>
          <t>1</t>
        </is>
      </c>
      <c r="F628" t="inlineStr">
        <is>
          <t>10000722</t>
        </is>
      </c>
      <c r="H628" t="inlineStr"/>
      <c r="J628" t="n">
        <v>130.39</v>
      </c>
      <c r="K628" t="inlineStr"/>
      <c r="M628" t="inlineStr">
        <is>
          <t>TN</t>
        </is>
      </c>
      <c r="N628" t="inlineStr"/>
      <c r="P628" t="inlineStr">
        <is>
          <t>20190426</t>
        </is>
      </c>
      <c r="Q628" t="inlineStr">
        <is>
          <t>20250127</t>
        </is>
      </c>
    </row>
    <row r="629">
      <c r="A629" t="inlineStr">
        <is>
          <t>900003601D8366682579710159432</t>
        </is>
      </c>
      <c r="B629" t="inlineStr">
        <is>
          <t>900003601</t>
        </is>
      </c>
      <c r="C629" t="inlineStr">
        <is>
          <t>D836</t>
        </is>
      </c>
      <c r="D629" t="inlineStr">
        <is>
          <t>66825797</t>
        </is>
      </c>
      <c r="E629" t="inlineStr">
        <is>
          <t>1</t>
        </is>
      </c>
      <c r="F629" t="inlineStr">
        <is>
          <t>10159432</t>
        </is>
      </c>
      <c r="H629" t="inlineStr"/>
      <c r="J629" t="n">
        <v>135.5</v>
      </c>
      <c r="K629" t="inlineStr"/>
      <c r="M629" t="inlineStr">
        <is>
          <t>TN</t>
        </is>
      </c>
      <c r="N629" t="inlineStr"/>
      <c r="P629" t="inlineStr">
        <is>
          <t>20190426</t>
        </is>
      </c>
      <c r="Q629" t="inlineStr">
        <is>
          <t>20250127</t>
        </is>
      </c>
    </row>
    <row r="630">
      <c r="A630" t="inlineStr">
        <is>
          <t>900003601D8366689828010000623</t>
        </is>
      </c>
      <c r="B630" t="inlineStr">
        <is>
          <t>900003601</t>
        </is>
      </c>
      <c r="C630" t="inlineStr">
        <is>
          <t>D836</t>
        </is>
      </c>
      <c r="D630" t="inlineStr">
        <is>
          <t>66898280</t>
        </is>
      </c>
      <c r="E630" t="inlineStr">
        <is>
          <t>1</t>
        </is>
      </c>
      <c r="F630" t="inlineStr">
        <is>
          <t>10000623</t>
        </is>
      </c>
      <c r="H630" t="inlineStr"/>
      <c r="J630" t="n">
        <v>131</v>
      </c>
      <c r="K630" t="inlineStr"/>
      <c r="M630" t="inlineStr">
        <is>
          <t>TN</t>
        </is>
      </c>
      <c r="N630" t="inlineStr"/>
      <c r="P630" t="inlineStr">
        <is>
          <t>20190426</t>
        </is>
      </c>
      <c r="Q630" t="inlineStr">
        <is>
          <t>20250127</t>
        </is>
      </c>
    </row>
    <row r="631">
      <c r="A631" t="inlineStr">
        <is>
          <t>900003601D8366689828010000722</t>
        </is>
      </c>
      <c r="B631" t="inlineStr">
        <is>
          <t>900003601</t>
        </is>
      </c>
      <c r="C631" t="inlineStr">
        <is>
          <t>D836</t>
        </is>
      </c>
      <c r="D631" t="inlineStr">
        <is>
          <t>66898280</t>
        </is>
      </c>
      <c r="E631" t="inlineStr">
        <is>
          <t>1</t>
        </is>
      </c>
      <c r="F631" t="inlineStr">
        <is>
          <t>10000722</t>
        </is>
      </c>
      <c r="H631" t="inlineStr"/>
      <c r="J631" t="n">
        <v>130.39</v>
      </c>
      <c r="K631" t="inlineStr"/>
      <c r="M631" t="inlineStr">
        <is>
          <t>TN</t>
        </is>
      </c>
      <c r="N631" t="inlineStr"/>
      <c r="P631" t="inlineStr">
        <is>
          <t>20190426</t>
        </is>
      </c>
      <c r="Q631" t="inlineStr">
        <is>
          <t>20250127</t>
        </is>
      </c>
    </row>
    <row r="632">
      <c r="A632" t="inlineStr">
        <is>
          <t>900003601D8366689828110000623</t>
        </is>
      </c>
      <c r="B632" t="inlineStr">
        <is>
          <t>900003601</t>
        </is>
      </c>
      <c r="C632" t="inlineStr">
        <is>
          <t>D836</t>
        </is>
      </c>
      <c r="D632" t="inlineStr">
        <is>
          <t>66898281</t>
        </is>
      </c>
      <c r="E632" t="inlineStr">
        <is>
          <t>1</t>
        </is>
      </c>
      <c r="F632" t="inlineStr">
        <is>
          <t>10000623</t>
        </is>
      </c>
      <c r="H632" t="inlineStr"/>
      <c r="J632" t="n">
        <v>131</v>
      </c>
      <c r="K632" t="inlineStr"/>
      <c r="M632" t="inlineStr">
        <is>
          <t>TN</t>
        </is>
      </c>
      <c r="N632" t="inlineStr"/>
      <c r="P632" t="inlineStr">
        <is>
          <t>20190426</t>
        </is>
      </c>
      <c r="Q632" t="inlineStr">
        <is>
          <t>20250127</t>
        </is>
      </c>
    </row>
    <row r="633">
      <c r="A633" t="inlineStr">
        <is>
          <t>900003601D8366689828110000722</t>
        </is>
      </c>
      <c r="B633" t="inlineStr">
        <is>
          <t>900003601</t>
        </is>
      </c>
      <c r="C633" t="inlineStr">
        <is>
          <t>D836</t>
        </is>
      </c>
      <c r="D633" t="inlineStr">
        <is>
          <t>66898281</t>
        </is>
      </c>
      <c r="E633" t="inlineStr">
        <is>
          <t>1</t>
        </is>
      </c>
      <c r="F633" t="inlineStr">
        <is>
          <t>10000722</t>
        </is>
      </c>
      <c r="H633" t="inlineStr"/>
      <c r="J633" t="n">
        <v>130.39</v>
      </c>
      <c r="K633" t="inlineStr"/>
      <c r="M633" t="inlineStr">
        <is>
          <t>TN</t>
        </is>
      </c>
      <c r="N633" t="inlineStr"/>
      <c r="P633" t="inlineStr">
        <is>
          <t>20190426</t>
        </is>
      </c>
      <c r="Q633" t="inlineStr">
        <is>
          <t>20250127</t>
        </is>
      </c>
    </row>
    <row r="634">
      <c r="A634" t="inlineStr">
        <is>
          <t>900003601D8366693331310000811</t>
        </is>
      </c>
      <c r="B634" t="inlineStr">
        <is>
          <t>900003601</t>
        </is>
      </c>
      <c r="C634" t="inlineStr">
        <is>
          <t>D836</t>
        </is>
      </c>
      <c r="D634" t="inlineStr">
        <is>
          <t>66933313</t>
        </is>
      </c>
      <c r="E634" t="inlineStr">
        <is>
          <t>1</t>
        </is>
      </c>
      <c r="F634" t="inlineStr">
        <is>
          <t>10000811</t>
        </is>
      </c>
      <c r="H634" t="inlineStr"/>
      <c r="J634" t="n">
        <v>131.17</v>
      </c>
      <c r="K634" t="inlineStr"/>
      <c r="M634" t="inlineStr">
        <is>
          <t>TN</t>
        </is>
      </c>
      <c r="N634" t="inlineStr"/>
      <c r="P634" t="inlineStr">
        <is>
          <t>20190426</t>
        </is>
      </c>
      <c r="Q634" t="inlineStr">
        <is>
          <t>20250127</t>
        </is>
      </c>
    </row>
    <row r="635">
      <c r="A635" t="inlineStr">
        <is>
          <t>900003601D8366733038810000623</t>
        </is>
      </c>
      <c r="B635" t="inlineStr">
        <is>
          <t>900003601</t>
        </is>
      </c>
      <c r="C635" t="inlineStr">
        <is>
          <t>D836</t>
        </is>
      </c>
      <c r="D635" t="inlineStr">
        <is>
          <t>67330388</t>
        </is>
      </c>
      <c r="E635" t="inlineStr">
        <is>
          <t>1</t>
        </is>
      </c>
      <c r="F635" t="inlineStr">
        <is>
          <t>10000623</t>
        </is>
      </c>
      <c r="H635" t="inlineStr"/>
      <c r="J635" t="n">
        <v>148</v>
      </c>
      <c r="K635" t="inlineStr"/>
      <c r="M635" t="inlineStr">
        <is>
          <t>TN</t>
        </is>
      </c>
      <c r="N635" t="inlineStr"/>
      <c r="P635" t="inlineStr">
        <is>
          <t>20250728</t>
        </is>
      </c>
      <c r="Q635" t="inlineStr">
        <is>
          <t>20251030</t>
        </is>
      </c>
    </row>
    <row r="636">
      <c r="A636" t="inlineStr">
        <is>
          <t>900003606D8366556582610000593</t>
        </is>
      </c>
      <c r="B636" t="inlineStr">
        <is>
          <t>900003606</t>
        </is>
      </c>
      <c r="C636" t="inlineStr">
        <is>
          <t>D836</t>
        </is>
      </c>
      <c r="D636" t="inlineStr">
        <is>
          <t>65565826</t>
        </is>
      </c>
      <c r="E636" t="inlineStr">
        <is>
          <t>1</t>
        </is>
      </c>
      <c r="F636" t="inlineStr">
        <is>
          <t>10000593</t>
        </is>
      </c>
      <c r="H636" t="inlineStr"/>
      <c r="J636" t="n">
        <v>115</v>
      </c>
      <c r="K636" t="inlineStr"/>
      <c r="M636" t="inlineStr">
        <is>
          <t>M3</t>
        </is>
      </c>
      <c r="N636" t="inlineStr"/>
      <c r="P636" t="inlineStr">
        <is>
          <t>20190426</t>
        </is>
      </c>
      <c r="Q636" t="inlineStr">
        <is>
          <t>20250127</t>
        </is>
      </c>
    </row>
    <row r="637">
      <c r="A637" t="inlineStr">
        <is>
          <t>900003606D8366556582610000593</t>
        </is>
      </c>
      <c r="B637" t="inlineStr">
        <is>
          <t>900003606</t>
        </is>
      </c>
      <c r="C637" t="inlineStr">
        <is>
          <t>D836</t>
        </is>
      </c>
      <c r="D637" t="inlineStr">
        <is>
          <t>65565826</t>
        </is>
      </c>
      <c r="E637" t="inlineStr">
        <is>
          <t>4</t>
        </is>
      </c>
      <c r="F637" t="inlineStr">
        <is>
          <t>10000593</t>
        </is>
      </c>
      <c r="H637" t="inlineStr"/>
      <c r="J637" t="n">
        <v>115</v>
      </c>
      <c r="K637" t="inlineStr"/>
      <c r="M637" t="inlineStr">
        <is>
          <t>M3</t>
        </is>
      </c>
      <c r="N637" t="inlineStr"/>
      <c r="P637" t="inlineStr">
        <is>
          <t>20190426</t>
        </is>
      </c>
      <c r="Q637" t="inlineStr">
        <is>
          <t>20250127</t>
        </is>
      </c>
    </row>
    <row r="638">
      <c r="A638" t="inlineStr">
        <is>
          <t>900003606D8366556582610000650</t>
        </is>
      </c>
      <c r="B638" t="inlineStr">
        <is>
          <t>900003606</t>
        </is>
      </c>
      <c r="C638" t="inlineStr">
        <is>
          <t>D836</t>
        </is>
      </c>
      <c r="D638" t="inlineStr">
        <is>
          <t>65565826</t>
        </is>
      </c>
      <c r="E638" t="inlineStr">
        <is>
          <t>1</t>
        </is>
      </c>
      <c r="F638" t="inlineStr">
        <is>
          <t>10000650</t>
        </is>
      </c>
      <c r="H638" t="inlineStr"/>
      <c r="J638" t="n">
        <v>115</v>
      </c>
      <c r="K638" t="inlineStr"/>
      <c r="M638" t="inlineStr">
        <is>
          <t>M3</t>
        </is>
      </c>
      <c r="N638" t="inlineStr"/>
      <c r="P638" t="inlineStr">
        <is>
          <t>20190426</t>
        </is>
      </c>
      <c r="Q638" t="inlineStr">
        <is>
          <t>20250127</t>
        </is>
      </c>
    </row>
    <row r="639">
      <c r="A639" t="inlineStr">
        <is>
          <t>900003606D8366556582610000650</t>
        </is>
      </c>
      <c r="B639" t="inlineStr">
        <is>
          <t>900003606</t>
        </is>
      </c>
      <c r="C639" t="inlineStr">
        <is>
          <t>D836</t>
        </is>
      </c>
      <c r="D639" t="inlineStr">
        <is>
          <t>65565826</t>
        </is>
      </c>
      <c r="E639" t="inlineStr">
        <is>
          <t>4</t>
        </is>
      </c>
      <c r="F639" t="inlineStr">
        <is>
          <t>10000650</t>
        </is>
      </c>
      <c r="H639" t="inlineStr"/>
      <c r="J639" t="n">
        <v>115</v>
      </c>
      <c r="K639" t="inlineStr"/>
      <c r="M639" t="inlineStr">
        <is>
          <t>M3</t>
        </is>
      </c>
      <c r="N639" t="inlineStr"/>
      <c r="P639" t="inlineStr">
        <is>
          <t>20190426</t>
        </is>
      </c>
      <c r="Q639" t="inlineStr">
        <is>
          <t>20250127</t>
        </is>
      </c>
    </row>
    <row r="640">
      <c r="A640" t="inlineStr">
        <is>
          <t>900003609D8366501515310000722</t>
        </is>
      </c>
      <c r="B640" t="inlineStr">
        <is>
          <t>900003609</t>
        </is>
      </c>
      <c r="C640" t="inlineStr">
        <is>
          <t>D836</t>
        </is>
      </c>
      <c r="D640" t="inlineStr">
        <is>
          <t>65015153</t>
        </is>
      </c>
      <c r="E640" t="inlineStr">
        <is>
          <t>1</t>
        </is>
      </c>
      <c r="F640" t="inlineStr">
        <is>
          <t>10000722</t>
        </is>
      </c>
      <c r="H640" t="inlineStr"/>
      <c r="J640" t="n">
        <v>100.44</v>
      </c>
      <c r="K640" t="inlineStr"/>
      <c r="M640" t="inlineStr">
        <is>
          <t>TN</t>
        </is>
      </c>
      <c r="N640" t="inlineStr"/>
      <c r="P640" t="inlineStr">
        <is>
          <t>20190426</t>
        </is>
      </c>
      <c r="Q640" t="inlineStr">
        <is>
          <t>20250127</t>
        </is>
      </c>
    </row>
    <row r="641">
      <c r="A641" t="inlineStr">
        <is>
          <t>900003609D8366506168510000624</t>
        </is>
      </c>
      <c r="B641" t="inlineStr">
        <is>
          <t>900003609</t>
        </is>
      </c>
      <c r="C641" t="inlineStr">
        <is>
          <t>D836</t>
        </is>
      </c>
      <c r="D641" t="inlineStr">
        <is>
          <t>65061685</t>
        </is>
      </c>
      <c r="E641" t="inlineStr">
        <is>
          <t>1</t>
        </is>
      </c>
      <c r="F641" t="inlineStr">
        <is>
          <t>10000624</t>
        </is>
      </c>
      <c r="H641" t="inlineStr"/>
      <c r="J641" t="n">
        <v>108.12</v>
      </c>
      <c r="K641" t="inlineStr"/>
      <c r="M641" t="inlineStr">
        <is>
          <t>M3</t>
        </is>
      </c>
      <c r="N641" t="inlineStr"/>
      <c r="P641" t="inlineStr">
        <is>
          <t>20190426</t>
        </is>
      </c>
      <c r="Q641" t="inlineStr">
        <is>
          <t>20250127</t>
        </is>
      </c>
    </row>
    <row r="642">
      <c r="A642" t="inlineStr">
        <is>
          <t>900003609D8366506168510000624</t>
        </is>
      </c>
      <c r="B642" t="inlineStr">
        <is>
          <t>900003609</t>
        </is>
      </c>
      <c r="C642" t="inlineStr">
        <is>
          <t>D836</t>
        </is>
      </c>
      <c r="D642" t="inlineStr">
        <is>
          <t>65061685</t>
        </is>
      </c>
      <c r="E642" t="inlineStr">
        <is>
          <t>4</t>
        </is>
      </c>
      <c r="F642" t="inlineStr">
        <is>
          <t>10000624</t>
        </is>
      </c>
      <c r="H642" t="inlineStr"/>
      <c r="J642" t="n">
        <v>108.12</v>
      </c>
      <c r="K642" t="inlineStr"/>
      <c r="M642" t="inlineStr">
        <is>
          <t>M3</t>
        </is>
      </c>
      <c r="N642" t="inlineStr"/>
      <c r="P642" t="inlineStr">
        <is>
          <t>20190426</t>
        </is>
      </c>
      <c r="Q642" t="inlineStr">
        <is>
          <t>20250127</t>
        </is>
      </c>
    </row>
    <row r="643">
      <c r="A643" t="inlineStr">
        <is>
          <t>900003609D8366506168510000722</t>
        </is>
      </c>
      <c r="B643" t="inlineStr">
        <is>
          <t>900003609</t>
        </is>
      </c>
      <c r="C643" t="inlineStr">
        <is>
          <t>D836</t>
        </is>
      </c>
      <c r="D643" t="inlineStr">
        <is>
          <t>65061685</t>
        </is>
      </c>
      <c r="E643" t="inlineStr">
        <is>
          <t>1</t>
        </is>
      </c>
      <c r="F643" t="inlineStr">
        <is>
          <t>10000722</t>
        </is>
      </c>
      <c r="H643" t="inlineStr"/>
      <c r="J643" t="n">
        <v>108.12</v>
      </c>
      <c r="K643" t="inlineStr"/>
      <c r="M643" t="inlineStr">
        <is>
          <t>M3</t>
        </is>
      </c>
      <c r="N643" t="inlineStr"/>
      <c r="P643" t="inlineStr">
        <is>
          <t>20190426</t>
        </is>
      </c>
      <c r="Q643" t="inlineStr">
        <is>
          <t>20250127</t>
        </is>
      </c>
    </row>
    <row r="644">
      <c r="A644" t="inlineStr">
        <is>
          <t>900003609D8366506168510000722</t>
        </is>
      </c>
      <c r="B644" t="inlineStr">
        <is>
          <t>900003609</t>
        </is>
      </c>
      <c r="C644" t="inlineStr">
        <is>
          <t>D836</t>
        </is>
      </c>
      <c r="D644" t="inlineStr">
        <is>
          <t>65061685</t>
        </is>
      </c>
      <c r="E644" t="inlineStr">
        <is>
          <t>4</t>
        </is>
      </c>
      <c r="F644" t="inlineStr">
        <is>
          <t>10000722</t>
        </is>
      </c>
      <c r="H644" t="inlineStr"/>
      <c r="J644" t="n">
        <v>108.12</v>
      </c>
      <c r="K644" t="inlineStr"/>
      <c r="M644" t="inlineStr">
        <is>
          <t>M3</t>
        </is>
      </c>
      <c r="N644" t="inlineStr"/>
      <c r="P644" t="inlineStr">
        <is>
          <t>20190426</t>
        </is>
      </c>
      <c r="Q644" t="inlineStr">
        <is>
          <t>20250127</t>
        </is>
      </c>
    </row>
    <row r="645">
      <c r="A645" t="inlineStr">
        <is>
          <t>900003609D8366508409110000630</t>
        </is>
      </c>
      <c r="B645" t="inlineStr">
        <is>
          <t>900003609</t>
        </is>
      </c>
      <c r="C645" t="inlineStr">
        <is>
          <t>D836</t>
        </is>
      </c>
      <c r="D645" t="inlineStr">
        <is>
          <t>65084091</t>
        </is>
      </c>
      <c r="E645" t="inlineStr">
        <is>
          <t>1</t>
        </is>
      </c>
      <c r="F645" t="inlineStr">
        <is>
          <t>10000630</t>
        </is>
      </c>
      <c r="H645" t="inlineStr"/>
      <c r="J645" t="n">
        <v>50</v>
      </c>
      <c r="K645" t="inlineStr"/>
      <c r="M645" t="inlineStr">
        <is>
          <t>TN</t>
        </is>
      </c>
      <c r="N645" t="inlineStr"/>
      <c r="P645" t="inlineStr">
        <is>
          <t>20190426</t>
        </is>
      </c>
      <c r="Q645" t="inlineStr">
        <is>
          <t>20250127</t>
        </is>
      </c>
    </row>
    <row r="646">
      <c r="A646" t="inlineStr">
        <is>
          <t>900003609D8366513461710000630</t>
        </is>
      </c>
      <c r="B646" t="inlineStr">
        <is>
          <t>900003609</t>
        </is>
      </c>
      <c r="C646" t="inlineStr">
        <is>
          <t>D836</t>
        </is>
      </c>
      <c r="D646" t="inlineStr">
        <is>
          <t>65134617</t>
        </is>
      </c>
      <c r="E646" t="inlineStr">
        <is>
          <t>1</t>
        </is>
      </c>
      <c r="F646" t="inlineStr">
        <is>
          <t>10000630</t>
        </is>
      </c>
      <c r="H646" t="inlineStr"/>
      <c r="J646" t="n">
        <v>46.43</v>
      </c>
      <c r="K646" t="inlineStr"/>
      <c r="M646" t="inlineStr">
        <is>
          <t>TN</t>
        </is>
      </c>
      <c r="N646" t="inlineStr"/>
      <c r="P646" t="inlineStr">
        <is>
          <t>20190426</t>
        </is>
      </c>
      <c r="Q646" t="inlineStr">
        <is>
          <t>20250127</t>
        </is>
      </c>
    </row>
    <row r="647">
      <c r="A647" t="inlineStr">
        <is>
          <t>900003609D8366524676310000624</t>
        </is>
      </c>
      <c r="B647" t="inlineStr">
        <is>
          <t>900003609</t>
        </is>
      </c>
      <c r="C647" t="inlineStr">
        <is>
          <t>D836</t>
        </is>
      </c>
      <c r="D647" t="inlineStr">
        <is>
          <t>65246763</t>
        </is>
      </c>
      <c r="E647" t="inlineStr">
        <is>
          <t>1</t>
        </is>
      </c>
      <c r="F647" t="inlineStr">
        <is>
          <t>10000624</t>
        </is>
      </c>
      <c r="H647" t="inlineStr"/>
      <c r="J647" t="n">
        <v>107</v>
      </c>
      <c r="K647" t="inlineStr"/>
      <c r="M647" t="inlineStr">
        <is>
          <t>M3</t>
        </is>
      </c>
      <c r="N647" t="inlineStr"/>
      <c r="P647" t="inlineStr">
        <is>
          <t>20190426</t>
        </is>
      </c>
      <c r="Q647" t="inlineStr">
        <is>
          <t>20250127</t>
        </is>
      </c>
    </row>
    <row r="648">
      <c r="A648" t="inlineStr">
        <is>
          <t>900003609D8366524676310000722</t>
        </is>
      </c>
      <c r="B648" t="inlineStr">
        <is>
          <t>900003609</t>
        </is>
      </c>
      <c r="C648" t="inlineStr">
        <is>
          <t>D836</t>
        </is>
      </c>
      <c r="D648" t="inlineStr">
        <is>
          <t>65246763</t>
        </is>
      </c>
      <c r="E648" t="inlineStr">
        <is>
          <t>1</t>
        </is>
      </c>
      <c r="F648" t="inlineStr">
        <is>
          <t>10000722</t>
        </is>
      </c>
      <c r="H648" t="inlineStr"/>
      <c r="J648" t="n">
        <v>107</v>
      </c>
      <c r="K648" t="inlineStr"/>
      <c r="M648" t="inlineStr">
        <is>
          <t>M3</t>
        </is>
      </c>
      <c r="N648" t="inlineStr"/>
      <c r="P648" t="inlineStr">
        <is>
          <t>20190426</t>
        </is>
      </c>
      <c r="Q648" t="inlineStr">
        <is>
          <t>20250127</t>
        </is>
      </c>
    </row>
    <row r="649">
      <c r="A649" t="inlineStr">
        <is>
          <t>900003609D8366525139910000624</t>
        </is>
      </c>
      <c r="B649" t="inlineStr">
        <is>
          <t>900003609</t>
        </is>
      </c>
      <c r="C649" t="inlineStr">
        <is>
          <t>D836</t>
        </is>
      </c>
      <c r="D649" t="inlineStr">
        <is>
          <t>65251399</t>
        </is>
      </c>
      <c r="E649" t="inlineStr">
        <is>
          <t>1</t>
        </is>
      </c>
      <c r="F649" t="inlineStr">
        <is>
          <t>10000624</t>
        </is>
      </c>
      <c r="H649" t="inlineStr"/>
      <c r="J649" t="n">
        <v>135</v>
      </c>
      <c r="K649" t="inlineStr"/>
      <c r="M649" t="inlineStr">
        <is>
          <t>M3</t>
        </is>
      </c>
      <c r="N649" t="inlineStr"/>
      <c r="P649" t="inlineStr">
        <is>
          <t>20190426</t>
        </is>
      </c>
      <c r="Q649" t="inlineStr">
        <is>
          <t>20250127</t>
        </is>
      </c>
    </row>
    <row r="650">
      <c r="A650" t="inlineStr">
        <is>
          <t>900003609D8366525139910000624</t>
        </is>
      </c>
      <c r="B650" t="inlineStr">
        <is>
          <t>900003609</t>
        </is>
      </c>
      <c r="C650" t="inlineStr">
        <is>
          <t>D836</t>
        </is>
      </c>
      <c r="D650" t="inlineStr">
        <is>
          <t>65251399</t>
        </is>
      </c>
      <c r="E650" t="inlineStr">
        <is>
          <t>4</t>
        </is>
      </c>
      <c r="F650" t="inlineStr">
        <is>
          <t>10000624</t>
        </is>
      </c>
      <c r="H650" t="inlineStr"/>
      <c r="J650" t="n">
        <v>135</v>
      </c>
      <c r="K650" t="inlineStr"/>
      <c r="M650" t="inlineStr">
        <is>
          <t>M3</t>
        </is>
      </c>
      <c r="N650" t="inlineStr"/>
      <c r="P650" t="inlineStr">
        <is>
          <t>20190426</t>
        </is>
      </c>
      <c r="Q650" t="inlineStr">
        <is>
          <t>20250127</t>
        </is>
      </c>
    </row>
    <row r="651">
      <c r="A651" t="inlineStr">
        <is>
          <t>900003609D8366525139910000722</t>
        </is>
      </c>
      <c r="B651" t="inlineStr">
        <is>
          <t>900003609</t>
        </is>
      </c>
      <c r="C651" t="inlineStr">
        <is>
          <t>D836</t>
        </is>
      </c>
      <c r="D651" t="inlineStr">
        <is>
          <t>65251399</t>
        </is>
      </c>
      <c r="E651" t="inlineStr">
        <is>
          <t>1</t>
        </is>
      </c>
      <c r="F651" t="inlineStr">
        <is>
          <t>10000722</t>
        </is>
      </c>
      <c r="H651" t="inlineStr"/>
      <c r="J651" t="n">
        <v>135</v>
      </c>
      <c r="K651" t="inlineStr"/>
      <c r="M651" t="inlineStr">
        <is>
          <t>M3</t>
        </is>
      </c>
      <c r="N651" t="inlineStr"/>
      <c r="P651" t="inlineStr">
        <is>
          <t>20190426</t>
        </is>
      </c>
      <c r="Q651" t="inlineStr">
        <is>
          <t>20250127</t>
        </is>
      </c>
    </row>
    <row r="652">
      <c r="A652" t="inlineStr">
        <is>
          <t>900003609D8366525139910000722</t>
        </is>
      </c>
      <c r="B652" t="inlineStr">
        <is>
          <t>900003609</t>
        </is>
      </c>
      <c r="C652" t="inlineStr">
        <is>
          <t>D836</t>
        </is>
      </c>
      <c r="D652" t="inlineStr">
        <is>
          <t>65251399</t>
        </is>
      </c>
      <c r="E652" t="inlineStr">
        <is>
          <t>4</t>
        </is>
      </c>
      <c r="F652" t="inlineStr">
        <is>
          <t>10000722</t>
        </is>
      </c>
      <c r="H652" t="inlineStr"/>
      <c r="J652" t="n">
        <v>135</v>
      </c>
      <c r="K652" t="inlineStr"/>
      <c r="M652" t="inlineStr">
        <is>
          <t>M3</t>
        </is>
      </c>
      <c r="N652" t="inlineStr"/>
      <c r="P652" t="inlineStr">
        <is>
          <t>20190426</t>
        </is>
      </c>
      <c r="Q652" t="inlineStr">
        <is>
          <t>20250127</t>
        </is>
      </c>
    </row>
    <row r="653">
      <c r="A653" t="inlineStr">
        <is>
          <t>900003609D8366525139910053281</t>
        </is>
      </c>
      <c r="B653" t="inlineStr">
        <is>
          <t>900003609</t>
        </is>
      </c>
      <c r="C653" t="inlineStr">
        <is>
          <t>D836</t>
        </is>
      </c>
      <c r="D653" t="inlineStr">
        <is>
          <t>65251399</t>
        </is>
      </c>
      <c r="E653" t="inlineStr">
        <is>
          <t>1</t>
        </is>
      </c>
      <c r="F653" t="inlineStr">
        <is>
          <t>10053281</t>
        </is>
      </c>
      <c r="H653" t="inlineStr"/>
      <c r="J653" t="n">
        <v>135</v>
      </c>
      <c r="K653" t="inlineStr"/>
      <c r="M653" t="inlineStr">
        <is>
          <t>M3</t>
        </is>
      </c>
      <c r="N653" t="inlineStr"/>
      <c r="P653" t="inlineStr">
        <is>
          <t>20190426</t>
        </is>
      </c>
      <c r="Q653" t="inlineStr">
        <is>
          <t>20250127</t>
        </is>
      </c>
    </row>
    <row r="654">
      <c r="A654" t="inlineStr">
        <is>
          <t>900003609D8366529648510000722</t>
        </is>
      </c>
      <c r="B654" t="inlineStr">
        <is>
          <t>900003609</t>
        </is>
      </c>
      <c r="C654" t="inlineStr">
        <is>
          <t>D836</t>
        </is>
      </c>
      <c r="D654" t="inlineStr">
        <is>
          <t>65296485</t>
        </is>
      </c>
      <c r="E654" t="inlineStr">
        <is>
          <t>1</t>
        </is>
      </c>
      <c r="F654" t="inlineStr">
        <is>
          <t>10000722</t>
        </is>
      </c>
      <c r="H654" t="inlineStr"/>
      <c r="J654" t="n">
        <v>99.75</v>
      </c>
      <c r="K654" t="inlineStr"/>
      <c r="M654" t="inlineStr">
        <is>
          <t>TN</t>
        </is>
      </c>
      <c r="N654" t="inlineStr"/>
      <c r="P654" t="inlineStr">
        <is>
          <t>20190426</t>
        </is>
      </c>
      <c r="Q654" t="inlineStr">
        <is>
          <t>20250127</t>
        </is>
      </c>
    </row>
    <row r="655">
      <c r="A655" t="inlineStr">
        <is>
          <t>900003609D8366529648510000722</t>
        </is>
      </c>
      <c r="B655" t="inlineStr">
        <is>
          <t>900003609</t>
        </is>
      </c>
      <c r="C655" t="inlineStr">
        <is>
          <t>D836</t>
        </is>
      </c>
      <c r="D655" t="inlineStr">
        <is>
          <t>65296485</t>
        </is>
      </c>
      <c r="E655" t="inlineStr">
        <is>
          <t>4</t>
        </is>
      </c>
      <c r="F655" t="inlineStr">
        <is>
          <t>10000722</t>
        </is>
      </c>
      <c r="H655" t="inlineStr"/>
      <c r="J655" t="n">
        <v>97.92</v>
      </c>
      <c r="K655" t="inlineStr"/>
      <c r="M655" t="inlineStr">
        <is>
          <t>TN</t>
        </is>
      </c>
      <c r="N655" t="inlineStr"/>
      <c r="P655" t="inlineStr">
        <is>
          <t>20190426</t>
        </is>
      </c>
      <c r="Q655" t="inlineStr">
        <is>
          <t>20250127</t>
        </is>
      </c>
    </row>
    <row r="656">
      <c r="A656" t="inlineStr">
        <is>
          <t>900003609D8366530090610053281</t>
        </is>
      </c>
      <c r="B656" t="inlineStr">
        <is>
          <t>900003609</t>
        </is>
      </c>
      <c r="C656" t="inlineStr">
        <is>
          <t>D836</t>
        </is>
      </c>
      <c r="D656" t="inlineStr">
        <is>
          <t>65300906</t>
        </is>
      </c>
      <c r="E656" t="inlineStr">
        <is>
          <t>1</t>
        </is>
      </c>
      <c r="F656" t="inlineStr">
        <is>
          <t>10053281</t>
        </is>
      </c>
      <c r="H656" t="inlineStr"/>
      <c r="J656" t="n">
        <v>108</v>
      </c>
      <c r="K656" t="inlineStr"/>
      <c r="M656" t="inlineStr">
        <is>
          <t>M3</t>
        </is>
      </c>
      <c r="N656" t="inlineStr"/>
      <c r="P656" t="inlineStr">
        <is>
          <t>20190426</t>
        </is>
      </c>
      <c r="Q656" t="inlineStr">
        <is>
          <t>20250127</t>
        </is>
      </c>
    </row>
    <row r="657">
      <c r="A657" t="inlineStr">
        <is>
          <t>900003609D8366544227010000624</t>
        </is>
      </c>
      <c r="B657" t="inlineStr">
        <is>
          <t>900003609</t>
        </is>
      </c>
      <c r="C657" t="inlineStr">
        <is>
          <t>D836</t>
        </is>
      </c>
      <c r="D657" t="inlineStr">
        <is>
          <t>65442270</t>
        </is>
      </c>
      <c r="E657" t="inlineStr">
        <is>
          <t>1</t>
        </is>
      </c>
      <c r="F657" t="inlineStr">
        <is>
          <t>10000624</t>
        </is>
      </c>
      <c r="H657" t="inlineStr"/>
      <c r="J657" t="n">
        <v>145</v>
      </c>
      <c r="K657" t="inlineStr"/>
      <c r="M657" t="inlineStr">
        <is>
          <t>M3</t>
        </is>
      </c>
      <c r="N657" t="inlineStr"/>
      <c r="P657" t="inlineStr">
        <is>
          <t>20190426</t>
        </is>
      </c>
      <c r="Q657" t="inlineStr">
        <is>
          <t>20250127</t>
        </is>
      </c>
    </row>
    <row r="658">
      <c r="A658" t="inlineStr">
        <is>
          <t>900003609D8366544227010000624</t>
        </is>
      </c>
      <c r="B658" t="inlineStr">
        <is>
          <t>900003609</t>
        </is>
      </c>
      <c r="C658" t="inlineStr">
        <is>
          <t>D836</t>
        </is>
      </c>
      <c r="D658" t="inlineStr">
        <is>
          <t>65442270</t>
        </is>
      </c>
      <c r="E658" t="inlineStr">
        <is>
          <t>4</t>
        </is>
      </c>
      <c r="F658" t="inlineStr">
        <is>
          <t>10000624</t>
        </is>
      </c>
      <c r="H658" t="inlineStr"/>
      <c r="J658" t="n">
        <v>107</v>
      </c>
      <c r="K658" t="inlineStr"/>
      <c r="M658" t="inlineStr">
        <is>
          <t>M3</t>
        </is>
      </c>
      <c r="N658" t="inlineStr"/>
      <c r="P658" t="inlineStr">
        <is>
          <t>20190426</t>
        </is>
      </c>
      <c r="Q658" t="inlineStr">
        <is>
          <t>20250127</t>
        </is>
      </c>
    </row>
    <row r="659">
      <c r="A659" t="inlineStr">
        <is>
          <t>900003609D8366544227010000625</t>
        </is>
      </c>
      <c r="B659" t="inlineStr">
        <is>
          <t>900003609</t>
        </is>
      </c>
      <c r="C659" t="inlineStr">
        <is>
          <t>D836</t>
        </is>
      </c>
      <c r="D659" t="inlineStr">
        <is>
          <t>65442270</t>
        </is>
      </c>
      <c r="E659" t="inlineStr">
        <is>
          <t>4</t>
        </is>
      </c>
      <c r="F659" t="inlineStr">
        <is>
          <t>10000625</t>
        </is>
      </c>
      <c r="H659" t="inlineStr"/>
      <c r="J659" t="n">
        <v>49</v>
      </c>
      <c r="K659" t="inlineStr"/>
      <c r="M659" t="inlineStr">
        <is>
          <t>TN</t>
        </is>
      </c>
      <c r="N659" t="inlineStr"/>
      <c r="P659" t="inlineStr">
        <is>
          <t>20190426</t>
        </is>
      </c>
      <c r="Q659" t="inlineStr">
        <is>
          <t>20250127</t>
        </is>
      </c>
    </row>
    <row r="660">
      <c r="A660" t="inlineStr">
        <is>
          <t>900003609D8366544227010000722</t>
        </is>
      </c>
      <c r="B660" t="inlineStr">
        <is>
          <t>900003609</t>
        </is>
      </c>
      <c r="C660" t="inlineStr">
        <is>
          <t>D836</t>
        </is>
      </c>
      <c r="D660" t="inlineStr">
        <is>
          <t>65442270</t>
        </is>
      </c>
      <c r="E660" t="inlineStr">
        <is>
          <t>1</t>
        </is>
      </c>
      <c r="F660" t="inlineStr">
        <is>
          <t>10000722</t>
        </is>
      </c>
      <c r="H660" t="inlineStr"/>
      <c r="J660" t="n">
        <v>145</v>
      </c>
      <c r="K660" t="inlineStr"/>
      <c r="M660" t="inlineStr">
        <is>
          <t>M3</t>
        </is>
      </c>
      <c r="N660" t="inlineStr"/>
      <c r="P660" t="inlineStr">
        <is>
          <t>20190426</t>
        </is>
      </c>
      <c r="Q660" t="inlineStr">
        <is>
          <t>20250127</t>
        </is>
      </c>
    </row>
    <row r="661">
      <c r="A661" t="inlineStr">
        <is>
          <t>900003609D8366544227010000722</t>
        </is>
      </c>
      <c r="B661" t="inlineStr">
        <is>
          <t>900003609</t>
        </is>
      </c>
      <c r="C661" t="inlineStr">
        <is>
          <t>D836</t>
        </is>
      </c>
      <c r="D661" t="inlineStr">
        <is>
          <t>65442270</t>
        </is>
      </c>
      <c r="E661" t="inlineStr">
        <is>
          <t>4</t>
        </is>
      </c>
      <c r="F661" t="inlineStr">
        <is>
          <t>10000722</t>
        </is>
      </c>
      <c r="H661" t="inlineStr"/>
      <c r="J661" t="n">
        <v>107</v>
      </c>
      <c r="K661" t="inlineStr"/>
      <c r="M661" t="inlineStr">
        <is>
          <t>M3</t>
        </is>
      </c>
      <c r="N661" t="inlineStr"/>
      <c r="P661" t="inlineStr">
        <is>
          <t>20190426</t>
        </is>
      </c>
      <c r="Q661" t="inlineStr">
        <is>
          <t>20250127</t>
        </is>
      </c>
    </row>
    <row r="662">
      <c r="A662" t="inlineStr">
        <is>
          <t>900003609D8366556582610000722</t>
        </is>
      </c>
      <c r="B662" t="inlineStr">
        <is>
          <t>900003609</t>
        </is>
      </c>
      <c r="C662" t="inlineStr">
        <is>
          <t>D836</t>
        </is>
      </c>
      <c r="D662" t="inlineStr">
        <is>
          <t>65565826</t>
        </is>
      </c>
      <c r="E662" t="inlineStr">
        <is>
          <t>1</t>
        </is>
      </c>
      <c r="F662" t="inlineStr">
        <is>
          <t>10000722</t>
        </is>
      </c>
      <c r="H662" t="inlineStr"/>
      <c r="J662" t="n">
        <v>134.8</v>
      </c>
      <c r="K662" t="inlineStr"/>
      <c r="M662" t="inlineStr">
        <is>
          <t>M3</t>
        </is>
      </c>
      <c r="N662" t="inlineStr"/>
      <c r="P662" t="inlineStr">
        <is>
          <t>20190426</t>
        </is>
      </c>
      <c r="Q662" t="inlineStr">
        <is>
          <t>20250127</t>
        </is>
      </c>
    </row>
    <row r="663">
      <c r="A663" t="inlineStr">
        <is>
          <t>900003609D8366557034610000624</t>
        </is>
      </c>
      <c r="B663" t="inlineStr">
        <is>
          <t>900003609</t>
        </is>
      </c>
      <c r="C663" t="inlineStr">
        <is>
          <t>D836</t>
        </is>
      </c>
      <c r="D663" t="inlineStr">
        <is>
          <t>65570346</t>
        </is>
      </c>
      <c r="E663" t="inlineStr">
        <is>
          <t>1</t>
        </is>
      </c>
      <c r="F663" t="inlineStr">
        <is>
          <t>10000624</t>
        </is>
      </c>
      <c r="H663" t="inlineStr"/>
      <c r="J663" t="n">
        <v>123</v>
      </c>
      <c r="K663" t="inlineStr"/>
      <c r="M663" t="inlineStr">
        <is>
          <t>M3</t>
        </is>
      </c>
      <c r="N663" t="inlineStr"/>
      <c r="P663" t="inlineStr">
        <is>
          <t>20190426</t>
        </is>
      </c>
      <c r="Q663" t="inlineStr">
        <is>
          <t>20250127</t>
        </is>
      </c>
    </row>
    <row r="664">
      <c r="A664" t="inlineStr">
        <is>
          <t>900003609D8366557034610000624</t>
        </is>
      </c>
      <c r="B664" t="inlineStr">
        <is>
          <t>900003609</t>
        </is>
      </c>
      <c r="C664" t="inlineStr">
        <is>
          <t>D836</t>
        </is>
      </c>
      <c r="D664" t="inlineStr">
        <is>
          <t>65570346</t>
        </is>
      </c>
      <c r="E664" t="inlineStr">
        <is>
          <t>4</t>
        </is>
      </c>
      <c r="F664" t="inlineStr">
        <is>
          <t>10000624</t>
        </is>
      </c>
      <c r="H664" t="inlineStr"/>
      <c r="J664" t="n">
        <v>145</v>
      </c>
      <c r="K664" t="inlineStr"/>
      <c r="M664" t="inlineStr">
        <is>
          <t>M3</t>
        </is>
      </c>
      <c r="N664" t="inlineStr"/>
      <c r="P664" t="inlineStr">
        <is>
          <t>20190426</t>
        </is>
      </c>
      <c r="Q664" t="inlineStr">
        <is>
          <t>20250127</t>
        </is>
      </c>
    </row>
    <row r="665">
      <c r="A665" t="inlineStr">
        <is>
          <t>900003609D8366557034610000722</t>
        </is>
      </c>
      <c r="B665" t="inlineStr">
        <is>
          <t>900003609</t>
        </is>
      </c>
      <c r="C665" t="inlineStr">
        <is>
          <t>D836</t>
        </is>
      </c>
      <c r="D665" t="inlineStr">
        <is>
          <t>65570346</t>
        </is>
      </c>
      <c r="E665" t="inlineStr">
        <is>
          <t>1</t>
        </is>
      </c>
      <c r="F665" t="inlineStr">
        <is>
          <t>10000722</t>
        </is>
      </c>
      <c r="H665" t="inlineStr"/>
      <c r="J665" t="n">
        <v>145</v>
      </c>
      <c r="K665" t="inlineStr"/>
      <c r="M665" t="inlineStr">
        <is>
          <t>M3</t>
        </is>
      </c>
      <c r="N665" t="inlineStr"/>
      <c r="P665" t="inlineStr">
        <is>
          <t>20190426</t>
        </is>
      </c>
      <c r="Q665" t="inlineStr">
        <is>
          <t>20250127</t>
        </is>
      </c>
    </row>
    <row r="666">
      <c r="A666" t="inlineStr">
        <is>
          <t>900003609D8366557034610000722</t>
        </is>
      </c>
      <c r="B666" t="inlineStr">
        <is>
          <t>900003609</t>
        </is>
      </c>
      <c r="C666" t="inlineStr">
        <is>
          <t>D836</t>
        </is>
      </c>
      <c r="D666" t="inlineStr">
        <is>
          <t>65570346</t>
        </is>
      </c>
      <c r="E666" t="inlineStr">
        <is>
          <t>4</t>
        </is>
      </c>
      <c r="F666" t="inlineStr">
        <is>
          <t>10000722</t>
        </is>
      </c>
      <c r="H666" t="inlineStr"/>
      <c r="J666" t="n">
        <v>145</v>
      </c>
      <c r="K666" t="inlineStr"/>
      <c r="M666" t="inlineStr">
        <is>
          <t>M3</t>
        </is>
      </c>
      <c r="N666" t="inlineStr"/>
      <c r="P666" t="inlineStr">
        <is>
          <t>20190426</t>
        </is>
      </c>
      <c r="Q666" t="inlineStr">
        <is>
          <t>20250127</t>
        </is>
      </c>
    </row>
    <row r="667">
      <c r="A667" t="inlineStr">
        <is>
          <t>900003609D8366557034610053281</t>
        </is>
      </c>
      <c r="B667" t="inlineStr">
        <is>
          <t>900003609</t>
        </is>
      </c>
      <c r="C667" t="inlineStr">
        <is>
          <t>D836</t>
        </is>
      </c>
      <c r="D667" t="inlineStr">
        <is>
          <t>65570346</t>
        </is>
      </c>
      <c r="E667" t="inlineStr">
        <is>
          <t>1</t>
        </is>
      </c>
      <c r="F667" t="inlineStr">
        <is>
          <t>10053281</t>
        </is>
      </c>
      <c r="H667" t="inlineStr"/>
      <c r="J667" t="n">
        <v>123</v>
      </c>
      <c r="K667" t="inlineStr"/>
      <c r="M667" t="inlineStr">
        <is>
          <t>M3</t>
        </is>
      </c>
      <c r="N667" t="inlineStr"/>
      <c r="P667" t="inlineStr">
        <is>
          <t>20190426</t>
        </is>
      </c>
      <c r="Q667" t="inlineStr">
        <is>
          <t>20250127</t>
        </is>
      </c>
    </row>
    <row r="668">
      <c r="A668" t="inlineStr">
        <is>
          <t>900003609D8366568581910000624</t>
        </is>
      </c>
      <c r="B668" t="inlineStr">
        <is>
          <t>900003609</t>
        </is>
      </c>
      <c r="C668" t="inlineStr">
        <is>
          <t>D836</t>
        </is>
      </c>
      <c r="D668" t="inlineStr">
        <is>
          <t>65685819</t>
        </is>
      </c>
      <c r="E668" t="inlineStr">
        <is>
          <t>1</t>
        </is>
      </c>
      <c r="F668" t="inlineStr">
        <is>
          <t>10000624</t>
        </is>
      </c>
      <c r="H668" t="inlineStr"/>
      <c r="J668" t="n">
        <v>230</v>
      </c>
      <c r="K668" t="inlineStr"/>
      <c r="M668" t="inlineStr">
        <is>
          <t>M3</t>
        </is>
      </c>
      <c r="N668" t="inlineStr"/>
      <c r="P668" t="inlineStr">
        <is>
          <t>20190426</t>
        </is>
      </c>
      <c r="Q668" t="inlineStr">
        <is>
          <t>20250127</t>
        </is>
      </c>
    </row>
    <row r="669">
      <c r="A669" t="inlineStr">
        <is>
          <t>900003609D8366568581910000630</t>
        </is>
      </c>
      <c r="B669" t="inlineStr">
        <is>
          <t>900003609</t>
        </is>
      </c>
      <c r="C669" t="inlineStr">
        <is>
          <t>D836</t>
        </is>
      </c>
      <c r="D669" t="inlineStr">
        <is>
          <t>65685819</t>
        </is>
      </c>
      <c r="E669" t="inlineStr">
        <is>
          <t>1</t>
        </is>
      </c>
      <c r="F669" t="inlineStr">
        <is>
          <t>10000630</t>
        </is>
      </c>
      <c r="H669" t="inlineStr"/>
      <c r="J669" t="n">
        <v>230</v>
      </c>
      <c r="K669" t="inlineStr"/>
      <c r="M669" t="inlineStr">
        <is>
          <t>M3</t>
        </is>
      </c>
      <c r="N669" t="inlineStr"/>
      <c r="P669" t="inlineStr">
        <is>
          <t>20190426</t>
        </is>
      </c>
      <c r="Q669" t="inlineStr">
        <is>
          <t>20250127</t>
        </is>
      </c>
    </row>
    <row r="670">
      <c r="A670" t="inlineStr">
        <is>
          <t>900003609D8366568581910000722</t>
        </is>
      </c>
      <c r="B670" t="inlineStr">
        <is>
          <t>900003609</t>
        </is>
      </c>
      <c r="C670" t="inlineStr">
        <is>
          <t>D836</t>
        </is>
      </c>
      <c r="D670" t="inlineStr">
        <is>
          <t>65685819</t>
        </is>
      </c>
      <c r="E670" t="inlineStr">
        <is>
          <t>1</t>
        </is>
      </c>
      <c r="F670" t="inlineStr">
        <is>
          <t>10000722</t>
        </is>
      </c>
      <c r="H670" t="inlineStr"/>
      <c r="J670" t="n">
        <v>230</v>
      </c>
      <c r="K670" t="inlineStr"/>
      <c r="M670" t="inlineStr">
        <is>
          <t>M3</t>
        </is>
      </c>
      <c r="N670" t="inlineStr"/>
      <c r="P670" t="inlineStr">
        <is>
          <t>20190426</t>
        </is>
      </c>
      <c r="Q670" t="inlineStr">
        <is>
          <t>20250127</t>
        </is>
      </c>
    </row>
    <row r="671">
      <c r="A671" t="inlineStr">
        <is>
          <t>900003609D8366572912210000624</t>
        </is>
      </c>
      <c r="B671" t="inlineStr">
        <is>
          <t>900003609</t>
        </is>
      </c>
      <c r="C671" t="inlineStr">
        <is>
          <t>D836</t>
        </is>
      </c>
      <c r="D671" t="inlineStr">
        <is>
          <t>65729122</t>
        </is>
      </c>
      <c r="E671" t="inlineStr">
        <is>
          <t>1</t>
        </is>
      </c>
      <c r="F671" t="inlineStr">
        <is>
          <t>10000624</t>
        </is>
      </c>
      <c r="H671" t="inlineStr"/>
      <c r="J671" t="n">
        <v>110</v>
      </c>
      <c r="K671" t="inlineStr"/>
      <c r="M671" t="inlineStr">
        <is>
          <t>M3</t>
        </is>
      </c>
      <c r="N671" t="inlineStr"/>
      <c r="P671" t="inlineStr">
        <is>
          <t>20190426</t>
        </is>
      </c>
      <c r="Q671" t="inlineStr">
        <is>
          <t>20250127</t>
        </is>
      </c>
    </row>
    <row r="672">
      <c r="A672" t="inlineStr">
        <is>
          <t>900003609D8366572912210000722</t>
        </is>
      </c>
      <c r="B672" t="inlineStr">
        <is>
          <t>900003609</t>
        </is>
      </c>
      <c r="C672" t="inlineStr">
        <is>
          <t>D836</t>
        </is>
      </c>
      <c r="D672" t="inlineStr">
        <is>
          <t>65729122</t>
        </is>
      </c>
      <c r="E672" t="inlineStr">
        <is>
          <t>1</t>
        </is>
      </c>
      <c r="F672" t="inlineStr">
        <is>
          <t>10000722</t>
        </is>
      </c>
      <c r="H672" t="inlineStr"/>
      <c r="J672" t="n">
        <v>110</v>
      </c>
      <c r="K672" t="inlineStr"/>
      <c r="M672" t="inlineStr">
        <is>
          <t>M3</t>
        </is>
      </c>
      <c r="N672" t="inlineStr"/>
      <c r="P672" t="inlineStr">
        <is>
          <t>20190426</t>
        </is>
      </c>
      <c r="Q672" t="inlineStr">
        <is>
          <t>20250127</t>
        </is>
      </c>
    </row>
    <row r="673">
      <c r="A673" t="inlineStr">
        <is>
          <t>900003609D8366578148210000624</t>
        </is>
      </c>
      <c r="B673" t="inlineStr">
        <is>
          <t>900003609</t>
        </is>
      </c>
      <c r="C673" t="inlineStr">
        <is>
          <t>D836</t>
        </is>
      </c>
      <c r="D673" t="inlineStr">
        <is>
          <t>65781482</t>
        </is>
      </c>
      <c r="E673" t="inlineStr">
        <is>
          <t>1</t>
        </is>
      </c>
      <c r="F673" t="inlineStr">
        <is>
          <t>10000624</t>
        </is>
      </c>
      <c r="H673" t="inlineStr"/>
      <c r="J673" t="n">
        <v>225</v>
      </c>
      <c r="K673" t="inlineStr"/>
      <c r="M673" t="inlineStr">
        <is>
          <t>M3</t>
        </is>
      </c>
      <c r="N673" t="inlineStr"/>
      <c r="P673" t="inlineStr">
        <is>
          <t>20190426</t>
        </is>
      </c>
      <c r="Q673" t="inlineStr">
        <is>
          <t>20250127</t>
        </is>
      </c>
    </row>
    <row r="674">
      <c r="A674" t="inlineStr">
        <is>
          <t>900003609D8366578148210000722</t>
        </is>
      </c>
      <c r="B674" t="inlineStr">
        <is>
          <t>900003609</t>
        </is>
      </c>
      <c r="C674" t="inlineStr">
        <is>
          <t>D836</t>
        </is>
      </c>
      <c r="D674" t="inlineStr">
        <is>
          <t>65781482</t>
        </is>
      </c>
      <c r="E674" t="inlineStr">
        <is>
          <t>1</t>
        </is>
      </c>
      <c r="F674" t="inlineStr">
        <is>
          <t>10000722</t>
        </is>
      </c>
      <c r="H674" t="inlineStr"/>
      <c r="J674" t="n">
        <v>225</v>
      </c>
      <c r="K674" t="inlineStr"/>
      <c r="M674" t="inlineStr">
        <is>
          <t>M3</t>
        </is>
      </c>
      <c r="N674" t="inlineStr"/>
      <c r="P674" t="inlineStr">
        <is>
          <t>20190426</t>
        </is>
      </c>
      <c r="Q674" t="inlineStr">
        <is>
          <t>20250127</t>
        </is>
      </c>
    </row>
    <row r="675">
      <c r="A675" t="inlineStr">
        <is>
          <t>900003609D8366579688210000624</t>
        </is>
      </c>
      <c r="B675" t="inlineStr">
        <is>
          <t>900003609</t>
        </is>
      </c>
      <c r="C675" t="inlineStr">
        <is>
          <t>D836</t>
        </is>
      </c>
      <c r="D675" t="inlineStr">
        <is>
          <t>65796882</t>
        </is>
      </c>
      <c r="E675" t="inlineStr">
        <is>
          <t>1</t>
        </is>
      </c>
      <c r="F675" t="inlineStr">
        <is>
          <t>10000624</t>
        </is>
      </c>
      <c r="H675" t="inlineStr"/>
      <c r="J675" t="n">
        <v>120</v>
      </c>
      <c r="K675" t="inlineStr"/>
      <c r="M675" t="inlineStr">
        <is>
          <t>M3</t>
        </is>
      </c>
      <c r="N675" t="inlineStr"/>
      <c r="P675" t="inlineStr">
        <is>
          <t>20190426</t>
        </is>
      </c>
      <c r="Q675" t="inlineStr">
        <is>
          <t>20250127</t>
        </is>
      </c>
    </row>
    <row r="676">
      <c r="A676" t="inlineStr">
        <is>
          <t>900003609D8366579688210000624</t>
        </is>
      </c>
      <c r="B676" t="inlineStr">
        <is>
          <t>900003609</t>
        </is>
      </c>
      <c r="C676" t="inlineStr">
        <is>
          <t>D836</t>
        </is>
      </c>
      <c r="D676" t="inlineStr">
        <is>
          <t>65796882</t>
        </is>
      </c>
      <c r="E676" t="inlineStr">
        <is>
          <t>4</t>
        </is>
      </c>
      <c r="F676" t="inlineStr">
        <is>
          <t>10000624</t>
        </is>
      </c>
      <c r="H676" t="inlineStr"/>
      <c r="J676" t="n">
        <v>120</v>
      </c>
      <c r="K676" t="inlineStr"/>
      <c r="M676" t="inlineStr">
        <is>
          <t>M3</t>
        </is>
      </c>
      <c r="N676" t="inlineStr"/>
      <c r="P676" t="inlineStr">
        <is>
          <t>20190426</t>
        </is>
      </c>
      <c r="Q676" t="inlineStr">
        <is>
          <t>20250127</t>
        </is>
      </c>
    </row>
    <row r="677">
      <c r="A677" t="inlineStr">
        <is>
          <t>900003609D8366579688210000722</t>
        </is>
      </c>
      <c r="B677" t="inlineStr">
        <is>
          <t>900003609</t>
        </is>
      </c>
      <c r="C677" t="inlineStr">
        <is>
          <t>D836</t>
        </is>
      </c>
      <c r="D677" t="inlineStr">
        <is>
          <t>65796882</t>
        </is>
      </c>
      <c r="E677" t="inlineStr">
        <is>
          <t>1</t>
        </is>
      </c>
      <c r="F677" t="inlineStr">
        <is>
          <t>10000722</t>
        </is>
      </c>
      <c r="H677" t="inlineStr"/>
      <c r="J677" t="n">
        <v>120</v>
      </c>
      <c r="K677" t="inlineStr"/>
      <c r="M677" t="inlineStr">
        <is>
          <t>M3</t>
        </is>
      </c>
      <c r="N677" t="inlineStr"/>
      <c r="P677" t="inlineStr">
        <is>
          <t>20190426</t>
        </is>
      </c>
      <c r="Q677" t="inlineStr">
        <is>
          <t>20250127</t>
        </is>
      </c>
    </row>
    <row r="678">
      <c r="A678" t="inlineStr">
        <is>
          <t>900003609D8366579688210000722</t>
        </is>
      </c>
      <c r="B678" t="inlineStr">
        <is>
          <t>900003609</t>
        </is>
      </c>
      <c r="C678" t="inlineStr">
        <is>
          <t>D836</t>
        </is>
      </c>
      <c r="D678" t="inlineStr">
        <is>
          <t>65796882</t>
        </is>
      </c>
      <c r="E678" t="inlineStr">
        <is>
          <t>4</t>
        </is>
      </c>
      <c r="F678" t="inlineStr">
        <is>
          <t>10000722</t>
        </is>
      </c>
      <c r="H678" t="inlineStr"/>
      <c r="J678" t="n">
        <v>120</v>
      </c>
      <c r="K678" t="inlineStr"/>
      <c r="M678" t="inlineStr">
        <is>
          <t>M3</t>
        </is>
      </c>
      <c r="N678" t="inlineStr"/>
      <c r="P678" t="inlineStr">
        <is>
          <t>20190426</t>
        </is>
      </c>
      <c r="Q678" t="inlineStr">
        <is>
          <t>20250127</t>
        </is>
      </c>
    </row>
    <row r="679">
      <c r="A679" t="inlineStr">
        <is>
          <t>900003609D8366579688210053281</t>
        </is>
      </c>
      <c r="B679" t="inlineStr">
        <is>
          <t>900003609</t>
        </is>
      </c>
      <c r="C679" t="inlineStr">
        <is>
          <t>D836</t>
        </is>
      </c>
      <c r="D679" t="inlineStr">
        <is>
          <t>65796882</t>
        </is>
      </c>
      <c r="E679" t="inlineStr">
        <is>
          <t>1</t>
        </is>
      </c>
      <c r="F679" t="inlineStr">
        <is>
          <t>10053281</t>
        </is>
      </c>
      <c r="H679" t="inlineStr"/>
      <c r="J679" t="n">
        <v>120</v>
      </c>
      <c r="K679" t="inlineStr"/>
      <c r="M679" t="inlineStr">
        <is>
          <t>M3</t>
        </is>
      </c>
      <c r="N679" t="inlineStr"/>
      <c r="P679" t="inlineStr">
        <is>
          <t>20190426</t>
        </is>
      </c>
      <c r="Q679" t="inlineStr">
        <is>
          <t>20250127</t>
        </is>
      </c>
    </row>
    <row r="680">
      <c r="A680" t="inlineStr">
        <is>
          <t>900003609D8366616755210053281</t>
        </is>
      </c>
      <c r="B680" t="inlineStr">
        <is>
          <t>900003609</t>
        </is>
      </c>
      <c r="C680" t="inlineStr">
        <is>
          <t>D836</t>
        </is>
      </c>
      <c r="D680" t="inlineStr">
        <is>
          <t>66167552</t>
        </is>
      </c>
      <c r="E680" t="inlineStr">
        <is>
          <t>1</t>
        </is>
      </c>
      <c r="F680" t="inlineStr">
        <is>
          <t>10053281</t>
        </is>
      </c>
      <c r="H680" t="inlineStr"/>
      <c r="J680" t="n">
        <v>118</v>
      </c>
      <c r="K680" t="inlineStr"/>
      <c r="M680" t="inlineStr">
        <is>
          <t>M3</t>
        </is>
      </c>
      <c r="N680" t="inlineStr"/>
      <c r="P680" t="inlineStr">
        <is>
          <t>20190426</t>
        </is>
      </c>
      <c r="Q680" t="inlineStr">
        <is>
          <t>20250127</t>
        </is>
      </c>
    </row>
    <row r="681">
      <c r="A681" t="inlineStr">
        <is>
          <t>900003609D8366623009810053281</t>
        </is>
      </c>
      <c r="B681" t="inlineStr">
        <is>
          <t>900003609</t>
        </is>
      </c>
      <c r="C681" t="inlineStr">
        <is>
          <t>D836</t>
        </is>
      </c>
      <c r="D681" t="inlineStr">
        <is>
          <t>66230098</t>
        </is>
      </c>
      <c r="E681" t="inlineStr">
        <is>
          <t>1</t>
        </is>
      </c>
      <c r="F681" t="inlineStr">
        <is>
          <t>10053281</t>
        </is>
      </c>
      <c r="H681" t="inlineStr"/>
      <c r="J681" t="n">
        <v>146</v>
      </c>
      <c r="K681" t="inlineStr"/>
      <c r="M681" t="inlineStr">
        <is>
          <t>M3</t>
        </is>
      </c>
      <c r="N681" t="inlineStr"/>
      <c r="P681" t="inlineStr">
        <is>
          <t>20190426</t>
        </is>
      </c>
      <c r="Q681" t="inlineStr">
        <is>
          <t>20250127</t>
        </is>
      </c>
    </row>
    <row r="682">
      <c r="A682" t="inlineStr">
        <is>
          <t>900003609D8366623714210000722</t>
        </is>
      </c>
      <c r="B682" t="inlineStr">
        <is>
          <t>900003609</t>
        </is>
      </c>
      <c r="C682" t="inlineStr">
        <is>
          <t>D836</t>
        </is>
      </c>
      <c r="D682" t="inlineStr">
        <is>
          <t>66237142</t>
        </is>
      </c>
      <c r="E682" t="inlineStr">
        <is>
          <t>1</t>
        </is>
      </c>
      <c r="F682" t="inlineStr">
        <is>
          <t>10000722</t>
        </is>
      </c>
      <c r="H682" t="inlineStr"/>
      <c r="J682" t="n">
        <v>281.36</v>
      </c>
      <c r="K682" t="inlineStr"/>
      <c r="M682" t="inlineStr">
        <is>
          <t>M3</t>
        </is>
      </c>
      <c r="N682" t="inlineStr"/>
      <c r="P682" t="inlineStr">
        <is>
          <t>20230301</t>
        </is>
      </c>
      <c r="Q682" t="inlineStr">
        <is>
          <t>20251031</t>
        </is>
      </c>
    </row>
    <row r="683">
      <c r="A683" t="inlineStr">
        <is>
          <t>900003609D8366623714210000811</t>
        </is>
      </c>
      <c r="B683" t="inlineStr">
        <is>
          <t>900003609</t>
        </is>
      </c>
      <c r="C683" t="inlineStr">
        <is>
          <t>D836</t>
        </is>
      </c>
      <c r="D683" t="inlineStr">
        <is>
          <t>66237142</t>
        </is>
      </c>
      <c r="E683" t="inlineStr">
        <is>
          <t>1</t>
        </is>
      </c>
      <c r="F683" t="inlineStr">
        <is>
          <t>10000811</t>
        </is>
      </c>
      <c r="H683" t="inlineStr"/>
      <c r="J683" t="n">
        <v>192.7</v>
      </c>
      <c r="K683" t="inlineStr"/>
      <c r="M683" t="inlineStr">
        <is>
          <t>M3</t>
        </is>
      </c>
      <c r="N683" t="inlineStr"/>
      <c r="P683" t="inlineStr">
        <is>
          <t>20190426</t>
        </is>
      </c>
      <c r="Q683" t="inlineStr">
        <is>
          <t>20250127</t>
        </is>
      </c>
    </row>
    <row r="684">
      <c r="A684" t="inlineStr">
        <is>
          <t>900003609D8366623962110000624</t>
        </is>
      </c>
      <c r="B684" t="inlineStr">
        <is>
          <t>900003609</t>
        </is>
      </c>
      <c r="C684" t="inlineStr">
        <is>
          <t>D836</t>
        </is>
      </c>
      <c r="D684" t="inlineStr">
        <is>
          <t>66239621</t>
        </is>
      </c>
      <c r="E684" t="inlineStr">
        <is>
          <t>2</t>
        </is>
      </c>
      <c r="F684" t="inlineStr">
        <is>
          <t>10000624</t>
        </is>
      </c>
      <c r="H684" t="inlineStr"/>
      <c r="J684" t="n">
        <v>0</v>
      </c>
      <c r="K684" t="inlineStr"/>
      <c r="M684" t="inlineStr">
        <is>
          <t>M3</t>
        </is>
      </c>
      <c r="N684" t="inlineStr"/>
      <c r="P684" t="inlineStr">
        <is>
          <t>20190426</t>
        </is>
      </c>
      <c r="Q684" t="inlineStr">
        <is>
          <t>20250127</t>
        </is>
      </c>
    </row>
    <row r="685">
      <c r="A685" t="inlineStr">
        <is>
          <t>900003609D8366626076010000811</t>
        </is>
      </c>
      <c r="B685" t="inlineStr">
        <is>
          <t>900003609</t>
        </is>
      </c>
      <c r="C685" t="inlineStr">
        <is>
          <t>D836</t>
        </is>
      </c>
      <c r="D685" t="inlineStr">
        <is>
          <t>66260760</t>
        </is>
      </c>
      <c r="E685" t="inlineStr">
        <is>
          <t>1</t>
        </is>
      </c>
      <c r="F685" t="inlineStr">
        <is>
          <t>10000811</t>
        </is>
      </c>
      <c r="H685" t="inlineStr"/>
      <c r="J685" t="n">
        <v>161.7</v>
      </c>
      <c r="K685" t="inlineStr"/>
      <c r="M685" t="inlineStr">
        <is>
          <t>M3</t>
        </is>
      </c>
      <c r="N685" t="inlineStr"/>
      <c r="P685" t="inlineStr">
        <is>
          <t>20190426</t>
        </is>
      </c>
      <c r="Q685" t="inlineStr">
        <is>
          <t>20250127</t>
        </is>
      </c>
    </row>
    <row r="686">
      <c r="A686" t="inlineStr">
        <is>
          <t>900003609D8366626076010000811</t>
        </is>
      </c>
      <c r="B686" t="inlineStr">
        <is>
          <t>900003609</t>
        </is>
      </c>
      <c r="C686" t="inlineStr">
        <is>
          <t>D836</t>
        </is>
      </c>
      <c r="D686" t="inlineStr">
        <is>
          <t>66260760</t>
        </is>
      </c>
      <c r="E686" t="inlineStr">
        <is>
          <t>2</t>
        </is>
      </c>
      <c r="F686" t="inlineStr">
        <is>
          <t>10000811</t>
        </is>
      </c>
      <c r="H686" t="inlineStr"/>
      <c r="J686" t="n">
        <v>0</v>
      </c>
      <c r="K686" t="inlineStr"/>
      <c r="M686" t="inlineStr">
        <is>
          <t>M3</t>
        </is>
      </c>
      <c r="N686" t="inlineStr"/>
      <c r="P686" t="inlineStr">
        <is>
          <t>20190426</t>
        </is>
      </c>
      <c r="Q686" t="inlineStr">
        <is>
          <t>20250127</t>
        </is>
      </c>
    </row>
    <row r="687">
      <c r="A687" t="inlineStr">
        <is>
          <t>900003609D8366627273910053281</t>
        </is>
      </c>
      <c r="B687" t="inlineStr">
        <is>
          <t>900003609</t>
        </is>
      </c>
      <c r="C687" t="inlineStr">
        <is>
          <t>D836</t>
        </is>
      </c>
      <c r="D687" t="inlineStr">
        <is>
          <t>66272739</t>
        </is>
      </c>
      <c r="E687" t="inlineStr">
        <is>
          <t>1</t>
        </is>
      </c>
      <c r="F687" t="inlineStr">
        <is>
          <t>10053281</t>
        </is>
      </c>
      <c r="H687" t="inlineStr"/>
      <c r="J687" t="n">
        <v>145</v>
      </c>
      <c r="K687" t="inlineStr"/>
      <c r="M687" t="inlineStr">
        <is>
          <t>M3</t>
        </is>
      </c>
      <c r="N687" t="inlineStr"/>
      <c r="P687" t="inlineStr">
        <is>
          <t>20190426</t>
        </is>
      </c>
      <c r="Q687" t="inlineStr">
        <is>
          <t>20250127</t>
        </is>
      </c>
    </row>
    <row r="688">
      <c r="A688" t="inlineStr">
        <is>
          <t>900003609D8366640065110000722</t>
        </is>
      </c>
      <c r="B688" t="inlineStr">
        <is>
          <t>900003609</t>
        </is>
      </c>
      <c r="C688" t="inlineStr">
        <is>
          <t>D836</t>
        </is>
      </c>
      <c r="D688" t="inlineStr">
        <is>
          <t>66400651</t>
        </is>
      </c>
      <c r="E688" t="inlineStr">
        <is>
          <t>1</t>
        </is>
      </c>
      <c r="F688" t="inlineStr">
        <is>
          <t>10000722</t>
        </is>
      </c>
      <c r="H688" t="inlineStr"/>
      <c r="J688" t="n">
        <v>151.2</v>
      </c>
      <c r="K688" t="inlineStr"/>
      <c r="M688" t="inlineStr">
        <is>
          <t>M3</t>
        </is>
      </c>
      <c r="N688" t="inlineStr"/>
      <c r="P688" t="inlineStr">
        <is>
          <t>20190426</t>
        </is>
      </c>
      <c r="Q688" t="inlineStr">
        <is>
          <t>20250127</t>
        </is>
      </c>
    </row>
    <row r="689">
      <c r="A689" t="inlineStr">
        <is>
          <t>900003609D8366640066710000722</t>
        </is>
      </c>
      <c r="B689" t="inlineStr">
        <is>
          <t>900003609</t>
        </is>
      </c>
      <c r="C689" t="inlineStr">
        <is>
          <t>D836</t>
        </is>
      </c>
      <c r="D689" t="inlineStr">
        <is>
          <t>66400667</t>
        </is>
      </c>
      <c r="E689" t="inlineStr">
        <is>
          <t>1</t>
        </is>
      </c>
      <c r="F689" t="inlineStr">
        <is>
          <t>10000722</t>
        </is>
      </c>
      <c r="H689" t="inlineStr"/>
      <c r="J689" t="n">
        <v>186.9</v>
      </c>
      <c r="K689" t="inlineStr"/>
      <c r="M689" t="inlineStr">
        <is>
          <t>M3</t>
        </is>
      </c>
      <c r="N689" t="inlineStr"/>
      <c r="P689" t="inlineStr">
        <is>
          <t>20190426</t>
        </is>
      </c>
      <c r="Q689" t="inlineStr">
        <is>
          <t>20250127</t>
        </is>
      </c>
    </row>
    <row r="690">
      <c r="A690" t="inlineStr">
        <is>
          <t>900003609D8366640452610000722</t>
        </is>
      </c>
      <c r="B690" t="inlineStr">
        <is>
          <t>900003609</t>
        </is>
      </c>
      <c r="C690" t="inlineStr">
        <is>
          <t>D836</t>
        </is>
      </c>
      <c r="D690" t="inlineStr">
        <is>
          <t>66404526</t>
        </is>
      </c>
      <c r="E690" t="inlineStr">
        <is>
          <t>1</t>
        </is>
      </c>
      <c r="F690" t="inlineStr">
        <is>
          <t>10000722</t>
        </is>
      </c>
      <c r="H690" t="inlineStr"/>
      <c r="J690" t="n">
        <v>186.89</v>
      </c>
      <c r="K690" t="inlineStr"/>
      <c r="M690" t="inlineStr">
        <is>
          <t>M3</t>
        </is>
      </c>
      <c r="N690" t="inlineStr"/>
      <c r="P690" t="inlineStr">
        <is>
          <t>20190426</t>
        </is>
      </c>
      <c r="Q690" t="inlineStr">
        <is>
          <t>20250127</t>
        </is>
      </c>
    </row>
    <row r="691">
      <c r="A691" t="inlineStr">
        <is>
          <t>900003609D8366640457710000722</t>
        </is>
      </c>
      <c r="B691" t="inlineStr">
        <is>
          <t>900003609</t>
        </is>
      </c>
      <c r="C691" t="inlineStr">
        <is>
          <t>D836</t>
        </is>
      </c>
      <c r="D691" t="inlineStr">
        <is>
          <t>66404577</t>
        </is>
      </c>
      <c r="E691" t="inlineStr">
        <is>
          <t>1</t>
        </is>
      </c>
      <c r="F691" t="inlineStr">
        <is>
          <t>10000722</t>
        </is>
      </c>
      <c r="H691" t="inlineStr"/>
      <c r="J691" t="n">
        <v>142.53</v>
      </c>
      <c r="K691" t="inlineStr"/>
      <c r="M691" t="inlineStr">
        <is>
          <t>M3</t>
        </is>
      </c>
      <c r="N691" t="inlineStr"/>
      <c r="P691" t="inlineStr">
        <is>
          <t>20190426</t>
        </is>
      </c>
      <c r="Q691" t="inlineStr">
        <is>
          <t>20250127</t>
        </is>
      </c>
    </row>
    <row r="692">
      <c r="A692" t="inlineStr">
        <is>
          <t>900003609D8366643341010000722</t>
        </is>
      </c>
      <c r="B692" t="inlineStr">
        <is>
          <t>900003609</t>
        </is>
      </c>
      <c r="C692" t="inlineStr">
        <is>
          <t>D836</t>
        </is>
      </c>
      <c r="D692" t="inlineStr">
        <is>
          <t>66433410</t>
        </is>
      </c>
      <c r="E692" t="inlineStr">
        <is>
          <t>1</t>
        </is>
      </c>
      <c r="F692" t="inlineStr">
        <is>
          <t>10000722</t>
        </is>
      </c>
      <c r="H692" t="inlineStr"/>
      <c r="J692" t="n">
        <v>182.7</v>
      </c>
      <c r="K692" t="inlineStr"/>
      <c r="M692" t="inlineStr">
        <is>
          <t>M3</t>
        </is>
      </c>
      <c r="N692" t="inlineStr"/>
      <c r="P692" t="inlineStr">
        <is>
          <t>20190426</t>
        </is>
      </c>
      <c r="Q692" t="inlineStr">
        <is>
          <t>20250127</t>
        </is>
      </c>
    </row>
    <row r="693">
      <c r="A693" t="inlineStr">
        <is>
          <t>900003609D8366645859310000811</t>
        </is>
      </c>
      <c r="B693" t="inlineStr">
        <is>
          <t>900003609</t>
        </is>
      </c>
      <c r="C693" t="inlineStr">
        <is>
          <t>D836</t>
        </is>
      </c>
      <c r="D693" t="inlineStr">
        <is>
          <t>66458593</t>
        </is>
      </c>
      <c r="E693" t="inlineStr">
        <is>
          <t>1</t>
        </is>
      </c>
      <c r="F693" t="inlineStr">
        <is>
          <t>10000811</t>
        </is>
      </c>
      <c r="H693" t="inlineStr"/>
      <c r="J693" t="n">
        <v>304</v>
      </c>
      <c r="K693" t="inlineStr"/>
      <c r="M693" t="inlineStr">
        <is>
          <t>M3</t>
        </is>
      </c>
      <c r="N693" t="inlineStr"/>
      <c r="P693" t="inlineStr">
        <is>
          <t>20190426</t>
        </is>
      </c>
      <c r="Q693" t="inlineStr">
        <is>
          <t>20250127</t>
        </is>
      </c>
    </row>
    <row r="694">
      <c r="A694" t="inlineStr">
        <is>
          <t>900003609D8366646379210000624</t>
        </is>
      </c>
      <c r="B694" t="inlineStr">
        <is>
          <t>900003609</t>
        </is>
      </c>
      <c r="C694" t="inlineStr">
        <is>
          <t>D836</t>
        </is>
      </c>
      <c r="D694" t="inlineStr">
        <is>
          <t>66463792</t>
        </is>
      </c>
      <c r="E694" t="inlineStr">
        <is>
          <t>1</t>
        </is>
      </c>
      <c r="F694" t="inlineStr">
        <is>
          <t>10000624</t>
        </is>
      </c>
      <c r="H694" t="inlineStr"/>
      <c r="J694" t="n">
        <v>250</v>
      </c>
      <c r="K694" t="inlineStr"/>
      <c r="M694" t="inlineStr">
        <is>
          <t>M3</t>
        </is>
      </c>
      <c r="N694" t="inlineStr"/>
      <c r="P694" t="inlineStr">
        <is>
          <t>20190426</t>
        </is>
      </c>
      <c r="Q694" t="inlineStr">
        <is>
          <t>20250127</t>
        </is>
      </c>
    </row>
    <row r="695">
      <c r="A695" t="inlineStr">
        <is>
          <t>900003609D8366646379210000630</t>
        </is>
      </c>
      <c r="B695" t="inlineStr">
        <is>
          <t>900003609</t>
        </is>
      </c>
      <c r="C695" t="inlineStr">
        <is>
          <t>D836</t>
        </is>
      </c>
      <c r="D695" t="inlineStr">
        <is>
          <t>66463792</t>
        </is>
      </c>
      <c r="E695" t="inlineStr">
        <is>
          <t>1</t>
        </is>
      </c>
      <c r="F695" t="inlineStr">
        <is>
          <t>10000630</t>
        </is>
      </c>
      <c r="H695" t="inlineStr"/>
      <c r="J695" t="n">
        <v>250</v>
      </c>
      <c r="K695" t="inlineStr"/>
      <c r="M695" t="inlineStr">
        <is>
          <t>M3</t>
        </is>
      </c>
      <c r="N695" t="inlineStr"/>
      <c r="P695" t="inlineStr">
        <is>
          <t>20190426</t>
        </is>
      </c>
      <c r="Q695" t="inlineStr">
        <is>
          <t>20250127</t>
        </is>
      </c>
    </row>
    <row r="696">
      <c r="A696" t="inlineStr">
        <is>
          <t>900003609D8366646379210000811</t>
        </is>
      </c>
      <c r="B696" t="inlineStr">
        <is>
          <t>900003609</t>
        </is>
      </c>
      <c r="C696" t="inlineStr">
        <is>
          <t>D836</t>
        </is>
      </c>
      <c r="D696" t="inlineStr">
        <is>
          <t>66463792</t>
        </is>
      </c>
      <c r="E696" t="inlineStr">
        <is>
          <t>1</t>
        </is>
      </c>
      <c r="F696" t="inlineStr">
        <is>
          <t>10000811</t>
        </is>
      </c>
      <c r="H696" t="inlineStr"/>
      <c r="J696" t="n">
        <v>250</v>
      </c>
      <c r="K696" t="inlineStr"/>
      <c r="M696" t="inlineStr">
        <is>
          <t>M3</t>
        </is>
      </c>
      <c r="N696" t="inlineStr"/>
      <c r="P696" t="inlineStr">
        <is>
          <t>20190426</t>
        </is>
      </c>
      <c r="Q696" t="inlineStr">
        <is>
          <t>20250127</t>
        </is>
      </c>
    </row>
    <row r="697">
      <c r="A697" t="inlineStr">
        <is>
          <t>900003609D8366646607910000722</t>
        </is>
      </c>
      <c r="B697" t="inlineStr">
        <is>
          <t>900003609</t>
        </is>
      </c>
      <c r="C697" t="inlineStr">
        <is>
          <t>D836</t>
        </is>
      </c>
      <c r="D697" t="inlineStr">
        <is>
          <t>66466079</t>
        </is>
      </c>
      <c r="E697" t="inlineStr">
        <is>
          <t>1</t>
        </is>
      </c>
      <c r="F697" t="inlineStr">
        <is>
          <t>10000722</t>
        </is>
      </c>
      <c r="H697" t="inlineStr"/>
      <c r="J697" t="n">
        <v>178.56</v>
      </c>
      <c r="K697" t="inlineStr"/>
      <c r="M697" t="inlineStr">
        <is>
          <t>M3</t>
        </is>
      </c>
      <c r="N697" t="inlineStr"/>
      <c r="P697" t="inlineStr">
        <is>
          <t>20190426</t>
        </is>
      </c>
      <c r="Q697" t="inlineStr">
        <is>
          <t>20250127</t>
        </is>
      </c>
    </row>
    <row r="698">
      <c r="A698" t="inlineStr">
        <is>
          <t>900003609D8366652634110000624</t>
        </is>
      </c>
      <c r="B698" t="inlineStr">
        <is>
          <t>900003609</t>
        </is>
      </c>
      <c r="C698" t="inlineStr">
        <is>
          <t>D836</t>
        </is>
      </c>
      <c r="D698" t="inlineStr">
        <is>
          <t>66526341</t>
        </is>
      </c>
      <c r="E698" t="inlineStr">
        <is>
          <t>1</t>
        </is>
      </c>
      <c r="F698" t="inlineStr">
        <is>
          <t>10000624</t>
        </is>
      </c>
      <c r="H698" t="inlineStr"/>
      <c r="J698" t="n">
        <v>222</v>
      </c>
      <c r="K698" t="inlineStr"/>
      <c r="M698" t="inlineStr">
        <is>
          <t>M3</t>
        </is>
      </c>
      <c r="N698" t="inlineStr"/>
      <c r="P698" t="inlineStr">
        <is>
          <t>20190426</t>
        </is>
      </c>
      <c r="Q698" t="inlineStr">
        <is>
          <t>20250127</t>
        </is>
      </c>
    </row>
    <row r="699">
      <c r="A699" t="inlineStr">
        <is>
          <t>900003609D8366652634310000624</t>
        </is>
      </c>
      <c r="B699" t="inlineStr">
        <is>
          <t>900003609</t>
        </is>
      </c>
      <c r="C699" t="inlineStr">
        <is>
          <t>D836</t>
        </is>
      </c>
      <c r="D699" t="inlineStr">
        <is>
          <t>66526343</t>
        </is>
      </c>
      <c r="E699" t="inlineStr">
        <is>
          <t>1</t>
        </is>
      </c>
      <c r="F699" t="inlineStr">
        <is>
          <t>10000624</t>
        </is>
      </c>
      <c r="H699" t="inlineStr"/>
      <c r="J699" t="n">
        <v>222</v>
      </c>
      <c r="K699" t="inlineStr"/>
      <c r="M699" t="inlineStr">
        <is>
          <t>M3</t>
        </is>
      </c>
      <c r="N699" t="inlineStr"/>
      <c r="P699" t="inlineStr">
        <is>
          <t>20190426</t>
        </is>
      </c>
      <c r="Q699" t="inlineStr">
        <is>
          <t>20250127</t>
        </is>
      </c>
    </row>
    <row r="700">
      <c r="A700" t="inlineStr">
        <is>
          <t>900003609D8366653821310000624</t>
        </is>
      </c>
      <c r="B700" t="inlineStr">
        <is>
          <t>900003609</t>
        </is>
      </c>
      <c r="C700" t="inlineStr">
        <is>
          <t>D836</t>
        </is>
      </c>
      <c r="D700" t="inlineStr">
        <is>
          <t>66538213</t>
        </is>
      </c>
      <c r="E700" t="inlineStr">
        <is>
          <t>1</t>
        </is>
      </c>
      <c r="F700" t="inlineStr">
        <is>
          <t>10000624</t>
        </is>
      </c>
      <c r="H700" t="inlineStr"/>
      <c r="J700" t="n">
        <v>222</v>
      </c>
      <c r="K700" t="inlineStr"/>
      <c r="M700" t="inlineStr">
        <is>
          <t>M3</t>
        </is>
      </c>
      <c r="N700" t="inlineStr"/>
      <c r="P700" t="inlineStr">
        <is>
          <t>20190426</t>
        </is>
      </c>
      <c r="Q700" t="inlineStr">
        <is>
          <t>20250127</t>
        </is>
      </c>
    </row>
    <row r="701">
      <c r="A701" t="inlineStr">
        <is>
          <t>900003609D8366658258010000630</t>
        </is>
      </c>
      <c r="B701" t="inlineStr">
        <is>
          <t>900003609</t>
        </is>
      </c>
      <c r="C701" t="inlineStr">
        <is>
          <t>D836</t>
        </is>
      </c>
      <c r="D701" t="inlineStr">
        <is>
          <t>66582580</t>
        </is>
      </c>
      <c r="E701" t="inlineStr">
        <is>
          <t>1</t>
        </is>
      </c>
      <c r="F701" t="inlineStr">
        <is>
          <t>10000630</t>
        </is>
      </c>
      <c r="H701" t="inlineStr"/>
      <c r="J701" t="n">
        <v>103.4</v>
      </c>
      <c r="K701" t="inlineStr"/>
      <c r="M701" t="inlineStr">
        <is>
          <t>M3</t>
        </is>
      </c>
      <c r="N701" t="inlineStr"/>
      <c r="P701" t="inlineStr">
        <is>
          <t>20190426</t>
        </is>
      </c>
      <c r="Q701" t="inlineStr">
        <is>
          <t>20250127</t>
        </is>
      </c>
    </row>
    <row r="702">
      <c r="A702" t="inlineStr">
        <is>
          <t>900003609D8366670111810000624</t>
        </is>
      </c>
      <c r="B702" t="inlineStr">
        <is>
          <t>900003609</t>
        </is>
      </c>
      <c r="C702" t="inlineStr">
        <is>
          <t>D836</t>
        </is>
      </c>
      <c r="D702" t="inlineStr">
        <is>
          <t>66701118</t>
        </is>
      </c>
      <c r="E702" t="inlineStr">
        <is>
          <t>1</t>
        </is>
      </c>
      <c r="F702" t="inlineStr">
        <is>
          <t>10000624</t>
        </is>
      </c>
      <c r="H702" t="inlineStr"/>
      <c r="J702" t="n">
        <v>185.13</v>
      </c>
      <c r="K702" t="inlineStr"/>
      <c r="M702" t="inlineStr">
        <is>
          <t>M3</t>
        </is>
      </c>
      <c r="N702" t="inlineStr"/>
      <c r="P702" t="inlineStr">
        <is>
          <t>20190426</t>
        </is>
      </c>
      <c r="Q702" t="inlineStr">
        <is>
          <t>20250127</t>
        </is>
      </c>
    </row>
    <row r="703">
      <c r="A703" t="inlineStr">
        <is>
          <t>900003609D8366682579710000624</t>
        </is>
      </c>
      <c r="B703" t="inlineStr">
        <is>
          <t>900003609</t>
        </is>
      </c>
      <c r="C703" t="inlineStr">
        <is>
          <t>D836</t>
        </is>
      </c>
      <c r="D703" t="inlineStr">
        <is>
          <t>66825797</t>
        </is>
      </c>
      <c r="E703" t="inlineStr">
        <is>
          <t>1</t>
        </is>
      </c>
      <c r="F703" t="inlineStr">
        <is>
          <t>10000624</t>
        </is>
      </c>
      <c r="H703" t="inlineStr"/>
      <c r="J703" t="n">
        <v>192.7</v>
      </c>
      <c r="K703" t="inlineStr"/>
      <c r="M703" t="inlineStr">
        <is>
          <t>M3</t>
        </is>
      </c>
      <c r="N703" t="inlineStr"/>
      <c r="P703" t="inlineStr">
        <is>
          <t>20190426</t>
        </is>
      </c>
      <c r="Q703" t="inlineStr">
        <is>
          <t>20250127</t>
        </is>
      </c>
    </row>
    <row r="704">
      <c r="A704" t="inlineStr">
        <is>
          <t>900003609D8366682579710000811</t>
        </is>
      </c>
      <c r="B704" t="inlineStr">
        <is>
          <t>900003609</t>
        </is>
      </c>
      <c r="C704" t="inlineStr">
        <is>
          <t>D836</t>
        </is>
      </c>
      <c r="D704" t="inlineStr">
        <is>
          <t>66825797</t>
        </is>
      </c>
      <c r="E704" t="inlineStr">
        <is>
          <t>1</t>
        </is>
      </c>
      <c r="F704" t="inlineStr">
        <is>
          <t>10000811</t>
        </is>
      </c>
      <c r="H704" t="inlineStr"/>
      <c r="J704" t="n">
        <v>192.7</v>
      </c>
      <c r="K704" t="inlineStr"/>
      <c r="M704" t="inlineStr">
        <is>
          <t>M3</t>
        </is>
      </c>
      <c r="N704" t="inlineStr"/>
      <c r="P704" t="inlineStr">
        <is>
          <t>20190426</t>
        </is>
      </c>
      <c r="Q704" t="inlineStr">
        <is>
          <t>20250127</t>
        </is>
      </c>
    </row>
    <row r="705">
      <c r="A705" t="inlineStr">
        <is>
          <t>900003609D8366686130310000624</t>
        </is>
      </c>
      <c r="B705" t="inlineStr">
        <is>
          <t>900003609</t>
        </is>
      </c>
      <c r="C705" t="inlineStr">
        <is>
          <t>D836</t>
        </is>
      </c>
      <c r="D705" t="inlineStr">
        <is>
          <t>66861303</t>
        </is>
      </c>
      <c r="E705" t="inlineStr">
        <is>
          <t>1</t>
        </is>
      </c>
      <c r="F705" t="inlineStr">
        <is>
          <t>10000624</t>
        </is>
      </c>
      <c r="H705" t="inlineStr"/>
      <c r="J705" t="n">
        <v>250</v>
      </c>
      <c r="K705" t="inlineStr"/>
      <c r="M705" t="inlineStr">
        <is>
          <t>M3</t>
        </is>
      </c>
      <c r="N705" t="inlineStr"/>
      <c r="P705" t="inlineStr">
        <is>
          <t>20190426</t>
        </is>
      </c>
      <c r="Q705" t="inlineStr">
        <is>
          <t>20250127</t>
        </is>
      </c>
    </row>
    <row r="706">
      <c r="A706" t="inlineStr">
        <is>
          <t>900003609D8366686130310000630</t>
        </is>
      </c>
      <c r="B706" t="inlineStr">
        <is>
          <t>900003609</t>
        </is>
      </c>
      <c r="C706" t="inlineStr">
        <is>
          <t>D836</t>
        </is>
      </c>
      <c r="D706" t="inlineStr">
        <is>
          <t>66861303</t>
        </is>
      </c>
      <c r="E706" t="inlineStr">
        <is>
          <t>1</t>
        </is>
      </c>
      <c r="F706" t="inlineStr">
        <is>
          <t>10000630</t>
        </is>
      </c>
      <c r="H706" t="inlineStr"/>
      <c r="J706" t="n">
        <v>250</v>
      </c>
      <c r="K706" t="inlineStr"/>
      <c r="M706" t="inlineStr">
        <is>
          <t>M3</t>
        </is>
      </c>
      <c r="N706" t="inlineStr"/>
      <c r="P706" t="inlineStr">
        <is>
          <t>20190426</t>
        </is>
      </c>
      <c r="Q706" t="inlineStr">
        <is>
          <t>20250127</t>
        </is>
      </c>
    </row>
    <row r="707">
      <c r="A707" t="inlineStr">
        <is>
          <t>900003609D8366686130310000811</t>
        </is>
      </c>
      <c r="B707" t="inlineStr">
        <is>
          <t>900003609</t>
        </is>
      </c>
      <c r="C707" t="inlineStr">
        <is>
          <t>D836</t>
        </is>
      </c>
      <c r="D707" t="inlineStr">
        <is>
          <t>66861303</t>
        </is>
      </c>
      <c r="E707" t="inlineStr">
        <is>
          <t>1</t>
        </is>
      </c>
      <c r="F707" t="inlineStr">
        <is>
          <t>10000811</t>
        </is>
      </c>
      <c r="H707" t="inlineStr"/>
      <c r="J707" t="n">
        <v>250</v>
      </c>
      <c r="K707" t="inlineStr"/>
      <c r="M707" t="inlineStr">
        <is>
          <t>M3</t>
        </is>
      </c>
      <c r="N707" t="inlineStr"/>
      <c r="P707" t="inlineStr">
        <is>
          <t>20190426</t>
        </is>
      </c>
      <c r="Q707" t="inlineStr">
        <is>
          <t>20250127</t>
        </is>
      </c>
    </row>
    <row r="708">
      <c r="A708" t="inlineStr">
        <is>
          <t>900003609D8366686450810268133</t>
        </is>
      </c>
      <c r="B708" t="inlineStr">
        <is>
          <t>900003609</t>
        </is>
      </c>
      <c r="C708" t="inlineStr">
        <is>
          <t>D836</t>
        </is>
      </c>
      <c r="D708" t="inlineStr">
        <is>
          <t>66864508</t>
        </is>
      </c>
      <c r="E708" t="inlineStr">
        <is>
          <t>1</t>
        </is>
      </c>
      <c r="F708" t="inlineStr">
        <is>
          <t>10268133</t>
        </is>
      </c>
      <c r="H708" t="inlineStr"/>
      <c r="J708" t="n">
        <v>329.16</v>
      </c>
      <c r="K708" t="inlineStr"/>
      <c r="M708" t="inlineStr">
        <is>
          <t>M3</t>
        </is>
      </c>
      <c r="N708" t="inlineStr"/>
      <c r="P708" t="inlineStr">
        <is>
          <t>20230301</t>
        </is>
      </c>
      <c r="Q708" t="inlineStr">
        <is>
          <t>20251031</t>
        </is>
      </c>
    </row>
    <row r="709">
      <c r="A709" t="inlineStr">
        <is>
          <t>900003609D8366686450810268134</t>
        </is>
      </c>
      <c r="B709" t="inlineStr">
        <is>
          <t>900003609</t>
        </is>
      </c>
      <c r="C709" t="inlineStr">
        <is>
          <t>D836</t>
        </is>
      </c>
      <c r="D709" t="inlineStr">
        <is>
          <t>66864508</t>
        </is>
      </c>
      <c r="E709" t="inlineStr">
        <is>
          <t>1</t>
        </is>
      </c>
      <c r="F709" t="inlineStr">
        <is>
          <t>10268134</t>
        </is>
      </c>
      <c r="H709" t="inlineStr"/>
      <c r="J709" t="n">
        <v>329.16</v>
      </c>
      <c r="K709" t="inlineStr"/>
      <c r="M709" t="inlineStr">
        <is>
          <t>M3</t>
        </is>
      </c>
      <c r="N709" t="inlineStr"/>
      <c r="P709" t="inlineStr">
        <is>
          <t>20230301</t>
        </is>
      </c>
      <c r="Q709" t="inlineStr">
        <is>
          <t>20251031</t>
        </is>
      </c>
    </row>
    <row r="710">
      <c r="A710" t="inlineStr">
        <is>
          <t>900003609D8366686454010268133</t>
        </is>
      </c>
      <c r="B710" t="inlineStr">
        <is>
          <t>900003609</t>
        </is>
      </c>
      <c r="C710" t="inlineStr">
        <is>
          <t>D836</t>
        </is>
      </c>
      <c r="D710" t="inlineStr">
        <is>
          <t>66864540</t>
        </is>
      </c>
      <c r="E710" t="inlineStr">
        <is>
          <t>1</t>
        </is>
      </c>
      <c r="F710" t="inlineStr">
        <is>
          <t>10268133</t>
        </is>
      </c>
      <c r="H710" t="inlineStr"/>
      <c r="J710" t="n">
        <v>362.92</v>
      </c>
      <c r="K710" t="inlineStr"/>
      <c r="M710" t="inlineStr">
        <is>
          <t>M3</t>
        </is>
      </c>
      <c r="N710" t="inlineStr"/>
      <c r="P710" t="inlineStr">
        <is>
          <t>20230301</t>
        </is>
      </c>
      <c r="Q710" t="inlineStr">
        <is>
          <t>20251031</t>
        </is>
      </c>
    </row>
    <row r="711">
      <c r="A711" t="inlineStr">
        <is>
          <t>900003609D8366686454010268134</t>
        </is>
      </c>
      <c r="B711" t="inlineStr">
        <is>
          <t>900003609</t>
        </is>
      </c>
      <c r="C711" t="inlineStr">
        <is>
          <t>D836</t>
        </is>
      </c>
      <c r="D711" t="inlineStr">
        <is>
          <t>66864540</t>
        </is>
      </c>
      <c r="E711" t="inlineStr">
        <is>
          <t>1</t>
        </is>
      </c>
      <c r="F711" t="inlineStr">
        <is>
          <t>10268134</t>
        </is>
      </c>
      <c r="H711" t="inlineStr"/>
      <c r="J711" t="n">
        <v>362.92</v>
      </c>
      <c r="K711" t="inlineStr"/>
      <c r="M711" t="inlineStr">
        <is>
          <t>M3</t>
        </is>
      </c>
      <c r="N711" t="inlineStr"/>
      <c r="P711" t="inlineStr">
        <is>
          <t>20230301</t>
        </is>
      </c>
      <c r="Q711" t="inlineStr">
        <is>
          <t>20251031</t>
        </is>
      </c>
    </row>
    <row r="712">
      <c r="A712" t="inlineStr">
        <is>
          <t>900003609D8366689828010000624</t>
        </is>
      </c>
      <c r="B712" t="inlineStr">
        <is>
          <t>900003609</t>
        </is>
      </c>
      <c r="C712" t="inlineStr">
        <is>
          <t>D836</t>
        </is>
      </c>
      <c r="D712" t="inlineStr">
        <is>
          <t>66898280</t>
        </is>
      </c>
      <c r="E712" t="inlineStr">
        <is>
          <t>1</t>
        </is>
      </c>
      <c r="F712" t="inlineStr">
        <is>
          <t>10000624</t>
        </is>
      </c>
      <c r="H712" t="inlineStr"/>
      <c r="J712" t="n">
        <v>192.7</v>
      </c>
      <c r="K712" t="inlineStr"/>
      <c r="M712" t="inlineStr">
        <is>
          <t>M3</t>
        </is>
      </c>
      <c r="N712" t="inlineStr"/>
      <c r="P712" t="inlineStr">
        <is>
          <t>20190426</t>
        </is>
      </c>
      <c r="Q712" t="inlineStr">
        <is>
          <t>20250127</t>
        </is>
      </c>
    </row>
    <row r="713">
      <c r="A713" t="inlineStr">
        <is>
          <t>900003609D8366689828010000811</t>
        </is>
      </c>
      <c r="B713" t="inlineStr">
        <is>
          <t>900003609</t>
        </is>
      </c>
      <c r="C713" t="inlineStr">
        <is>
          <t>D836</t>
        </is>
      </c>
      <c r="D713" t="inlineStr">
        <is>
          <t>66898280</t>
        </is>
      </c>
      <c r="E713" t="inlineStr">
        <is>
          <t>1</t>
        </is>
      </c>
      <c r="F713" t="inlineStr">
        <is>
          <t>10000811</t>
        </is>
      </c>
      <c r="H713" t="inlineStr"/>
      <c r="J713" t="n">
        <v>192.7</v>
      </c>
      <c r="K713" t="inlineStr"/>
      <c r="M713" t="inlineStr">
        <is>
          <t>M3</t>
        </is>
      </c>
      <c r="N713" t="inlineStr"/>
      <c r="P713" t="inlineStr">
        <is>
          <t>20190426</t>
        </is>
      </c>
      <c r="Q713" t="inlineStr">
        <is>
          <t>20250127</t>
        </is>
      </c>
    </row>
    <row r="714">
      <c r="A714" t="inlineStr">
        <is>
          <t>900003609D8366689828110000624</t>
        </is>
      </c>
      <c r="B714" t="inlineStr">
        <is>
          <t>900003609</t>
        </is>
      </c>
      <c r="C714" t="inlineStr">
        <is>
          <t>D836</t>
        </is>
      </c>
      <c r="D714" t="inlineStr">
        <is>
          <t>66898281</t>
        </is>
      </c>
      <c r="E714" t="inlineStr">
        <is>
          <t>1</t>
        </is>
      </c>
      <c r="F714" t="inlineStr">
        <is>
          <t>10000624</t>
        </is>
      </c>
      <c r="H714" t="inlineStr"/>
      <c r="J714" t="n">
        <v>192.7</v>
      </c>
      <c r="K714" t="inlineStr"/>
      <c r="M714" t="inlineStr">
        <is>
          <t>M3</t>
        </is>
      </c>
      <c r="N714" t="inlineStr"/>
      <c r="P714" t="inlineStr">
        <is>
          <t>20190426</t>
        </is>
      </c>
      <c r="Q714" t="inlineStr">
        <is>
          <t>20250127</t>
        </is>
      </c>
    </row>
    <row r="715">
      <c r="A715" t="inlineStr">
        <is>
          <t>900003609D8366689828110000811</t>
        </is>
      </c>
      <c r="B715" t="inlineStr">
        <is>
          <t>900003609</t>
        </is>
      </c>
      <c r="C715" t="inlineStr">
        <is>
          <t>D836</t>
        </is>
      </c>
      <c r="D715" t="inlineStr">
        <is>
          <t>66898281</t>
        </is>
      </c>
      <c r="E715" t="inlineStr">
        <is>
          <t>1</t>
        </is>
      </c>
      <c r="F715" t="inlineStr">
        <is>
          <t>10000811</t>
        </is>
      </c>
      <c r="H715" t="inlineStr"/>
      <c r="J715" t="n">
        <v>192.7</v>
      </c>
      <c r="K715" t="inlineStr"/>
      <c r="M715" t="inlineStr">
        <is>
          <t>M3</t>
        </is>
      </c>
      <c r="N715" t="inlineStr"/>
      <c r="P715" t="inlineStr">
        <is>
          <t>20190426</t>
        </is>
      </c>
      <c r="Q715" t="inlineStr">
        <is>
          <t>20250127</t>
        </is>
      </c>
    </row>
    <row r="716">
      <c r="A716" t="inlineStr">
        <is>
          <t>900003609D8366693331310000811</t>
        </is>
      </c>
      <c r="B716" t="inlineStr">
        <is>
          <t>900003609</t>
        </is>
      </c>
      <c r="C716" t="inlineStr">
        <is>
          <t>D836</t>
        </is>
      </c>
      <c r="D716" t="inlineStr">
        <is>
          <t>66933313</t>
        </is>
      </c>
      <c r="E716" t="inlineStr">
        <is>
          <t>1</t>
        </is>
      </c>
      <c r="F716" t="inlineStr">
        <is>
          <t>10000811</t>
        </is>
      </c>
      <c r="H716" t="inlineStr"/>
      <c r="J716" t="n">
        <v>189.8</v>
      </c>
      <c r="K716" t="inlineStr"/>
      <c r="M716" t="inlineStr">
        <is>
          <t>M3</t>
        </is>
      </c>
      <c r="N716" t="inlineStr"/>
      <c r="P716" t="inlineStr">
        <is>
          <t>20190426</t>
        </is>
      </c>
      <c r="Q716" t="inlineStr">
        <is>
          <t>20250127</t>
        </is>
      </c>
    </row>
    <row r="717">
      <c r="A717" t="inlineStr">
        <is>
          <t>900003609D8366698205310268133</t>
        </is>
      </c>
      <c r="B717" t="inlineStr">
        <is>
          <t>900003609</t>
        </is>
      </c>
      <c r="C717" t="inlineStr">
        <is>
          <t>D836</t>
        </is>
      </c>
      <c r="D717" t="inlineStr">
        <is>
          <t>66982053</t>
        </is>
      </c>
      <c r="E717" t="inlineStr">
        <is>
          <t>1</t>
        </is>
      </c>
      <c r="F717" t="inlineStr">
        <is>
          <t>10268133</t>
        </is>
      </c>
      <c r="H717" t="inlineStr"/>
      <c r="J717" t="n">
        <v>316.5</v>
      </c>
      <c r="K717" t="inlineStr"/>
      <c r="M717" t="inlineStr">
        <is>
          <t>M3</t>
        </is>
      </c>
      <c r="N717" t="inlineStr"/>
      <c r="P717" t="inlineStr">
        <is>
          <t>20230301</t>
        </is>
      </c>
      <c r="Q717" t="inlineStr">
        <is>
          <t>20251031</t>
        </is>
      </c>
    </row>
    <row r="718">
      <c r="A718" t="inlineStr">
        <is>
          <t>900003609D8366698205310268134</t>
        </is>
      </c>
      <c r="B718" t="inlineStr">
        <is>
          <t>900003609</t>
        </is>
      </c>
      <c r="C718" t="inlineStr">
        <is>
          <t>D836</t>
        </is>
      </c>
      <c r="D718" t="inlineStr">
        <is>
          <t>66982053</t>
        </is>
      </c>
      <c r="E718" t="inlineStr">
        <is>
          <t>1</t>
        </is>
      </c>
      <c r="F718" t="inlineStr">
        <is>
          <t>10268134</t>
        </is>
      </c>
      <c r="H718" t="inlineStr"/>
      <c r="J718" t="n">
        <v>316.5</v>
      </c>
      <c r="K718" t="inlineStr"/>
      <c r="M718" t="inlineStr">
        <is>
          <t>M3</t>
        </is>
      </c>
      <c r="N718" t="inlineStr"/>
      <c r="P718" t="inlineStr">
        <is>
          <t>20230301</t>
        </is>
      </c>
      <c r="Q718" t="inlineStr">
        <is>
          <t>99991231</t>
        </is>
      </c>
    </row>
    <row r="719">
      <c r="A719" t="inlineStr">
        <is>
          <t>900003609D8366724340810268133</t>
        </is>
      </c>
      <c r="B719" t="inlineStr">
        <is>
          <t>900003609</t>
        </is>
      </c>
      <c r="C719" t="inlineStr">
        <is>
          <t>D836</t>
        </is>
      </c>
      <c r="D719" t="inlineStr">
        <is>
          <t>67243408</t>
        </is>
      </c>
      <c r="E719" t="inlineStr">
        <is>
          <t>1</t>
        </is>
      </c>
      <c r="F719" t="inlineStr">
        <is>
          <t>10268133</t>
        </is>
      </c>
      <c r="H719" t="inlineStr"/>
      <c r="J719" t="n">
        <v>375.58</v>
      </c>
      <c r="K719" t="inlineStr"/>
      <c r="M719" t="inlineStr">
        <is>
          <t>M3</t>
        </is>
      </c>
      <c r="N719" t="inlineStr"/>
      <c r="P719" t="inlineStr">
        <is>
          <t>20230301</t>
        </is>
      </c>
      <c r="Q719" t="inlineStr">
        <is>
          <t>99991231</t>
        </is>
      </c>
    </row>
    <row r="720">
      <c r="A720" t="inlineStr">
        <is>
          <t>900003609D8366724340810268134</t>
        </is>
      </c>
      <c r="B720" t="inlineStr">
        <is>
          <t>900003609</t>
        </is>
      </c>
      <c r="C720" t="inlineStr">
        <is>
          <t>D836</t>
        </is>
      </c>
      <c r="D720" t="inlineStr">
        <is>
          <t>67243408</t>
        </is>
      </c>
      <c r="E720" t="inlineStr">
        <is>
          <t>1</t>
        </is>
      </c>
      <c r="F720" t="inlineStr">
        <is>
          <t>10268134</t>
        </is>
      </c>
      <c r="H720" t="inlineStr"/>
      <c r="J720" t="n">
        <v>375.58</v>
      </c>
      <c r="K720" t="inlineStr"/>
      <c r="M720" t="inlineStr">
        <is>
          <t>M3</t>
        </is>
      </c>
      <c r="N720" t="inlineStr"/>
      <c r="P720" t="inlineStr">
        <is>
          <t>20230301</t>
        </is>
      </c>
      <c r="Q720" t="inlineStr">
        <is>
          <t>99991231</t>
        </is>
      </c>
    </row>
    <row r="721">
      <c r="A721" t="inlineStr">
        <is>
          <t>900003609D8366733038810000630</t>
        </is>
      </c>
      <c r="B721" t="inlineStr">
        <is>
          <t>900003609</t>
        </is>
      </c>
      <c r="C721" t="inlineStr">
        <is>
          <t>D836</t>
        </is>
      </c>
      <c r="D721" t="inlineStr">
        <is>
          <t>67330388</t>
        </is>
      </c>
      <c r="E721" t="inlineStr">
        <is>
          <t>1</t>
        </is>
      </c>
      <c r="F721" t="inlineStr">
        <is>
          <t>10000630</t>
        </is>
      </c>
      <c r="H721" t="inlineStr"/>
      <c r="J721" t="n">
        <v>188.16</v>
      </c>
      <c r="K721" t="inlineStr"/>
      <c r="M721" t="inlineStr">
        <is>
          <t>M3</t>
        </is>
      </c>
      <c r="N721" t="inlineStr"/>
      <c r="P721" t="inlineStr">
        <is>
          <t>20250728</t>
        </is>
      </c>
      <c r="Q721" t="inlineStr">
        <is>
          <t>20251030</t>
        </is>
      </c>
    </row>
    <row r="722">
      <c r="A722" t="inlineStr">
        <is>
          <t>900003609D8366733038810000811</t>
        </is>
      </c>
      <c r="B722" t="inlineStr">
        <is>
          <t>900003609</t>
        </is>
      </c>
      <c r="C722" t="inlineStr">
        <is>
          <t>D836</t>
        </is>
      </c>
      <c r="D722" t="inlineStr">
        <is>
          <t>67330388</t>
        </is>
      </c>
      <c r="E722" t="inlineStr">
        <is>
          <t>1</t>
        </is>
      </c>
      <c r="F722" t="inlineStr">
        <is>
          <t>10000811</t>
        </is>
      </c>
      <c r="H722" t="inlineStr"/>
      <c r="J722" t="n">
        <v>188.16</v>
      </c>
      <c r="K722" t="inlineStr"/>
      <c r="M722" t="inlineStr">
        <is>
          <t>M3</t>
        </is>
      </c>
      <c r="N722" t="inlineStr"/>
      <c r="P722" t="inlineStr">
        <is>
          <t>20250728</t>
        </is>
      </c>
      <c r="Q722" t="inlineStr">
        <is>
          <t>20251030</t>
        </is>
      </c>
    </row>
    <row r="723">
      <c r="A723" t="inlineStr">
        <is>
          <t>900003609D8366733038810058345</t>
        </is>
      </c>
      <c r="B723" t="inlineStr">
        <is>
          <t>900003609</t>
        </is>
      </c>
      <c r="C723" t="inlineStr">
        <is>
          <t>D836</t>
        </is>
      </c>
      <c r="D723" t="inlineStr">
        <is>
          <t>67330388</t>
        </is>
      </c>
      <c r="E723" t="inlineStr">
        <is>
          <t>1</t>
        </is>
      </c>
      <c r="F723" t="inlineStr">
        <is>
          <t>10058345</t>
        </is>
      </c>
      <c r="H723" t="inlineStr"/>
      <c r="J723" t="n">
        <v>188.16</v>
      </c>
      <c r="K723" t="inlineStr"/>
      <c r="M723" t="inlineStr">
        <is>
          <t>M3</t>
        </is>
      </c>
      <c r="N723" t="inlineStr"/>
      <c r="P723" t="inlineStr">
        <is>
          <t>20250728</t>
        </is>
      </c>
      <c r="Q723" t="inlineStr">
        <is>
          <t>20251030</t>
        </is>
      </c>
    </row>
    <row r="724">
      <c r="A724" t="inlineStr">
        <is>
          <t>900003609D8366733038810207890</t>
        </is>
      </c>
      <c r="B724" t="inlineStr">
        <is>
          <t>900003609</t>
        </is>
      </c>
      <c r="C724" t="inlineStr">
        <is>
          <t>D836</t>
        </is>
      </c>
      <c r="D724" t="inlineStr">
        <is>
          <t>67330388</t>
        </is>
      </c>
      <c r="E724" t="inlineStr">
        <is>
          <t>1</t>
        </is>
      </c>
      <c r="F724" t="inlineStr">
        <is>
          <t>10207890</t>
        </is>
      </c>
      <c r="H724" t="inlineStr"/>
      <c r="J724" t="n">
        <v>188.16</v>
      </c>
      <c r="K724" t="inlineStr"/>
      <c r="M724" t="inlineStr">
        <is>
          <t>M3</t>
        </is>
      </c>
      <c r="N724" t="inlineStr"/>
      <c r="P724" t="inlineStr">
        <is>
          <t>20250728</t>
        </is>
      </c>
      <c r="Q724" t="inlineStr">
        <is>
          <t>20251030</t>
        </is>
      </c>
    </row>
    <row r="725">
      <c r="A725" t="inlineStr">
        <is>
          <t>900003613D8366525139910059181</t>
        </is>
      </c>
      <c r="B725" t="inlineStr">
        <is>
          <t>900003613</t>
        </is>
      </c>
      <c r="C725" t="inlineStr">
        <is>
          <t>D836</t>
        </is>
      </c>
      <c r="D725" t="inlineStr">
        <is>
          <t>65251399</t>
        </is>
      </c>
      <c r="E725" t="inlineStr">
        <is>
          <t>1</t>
        </is>
      </c>
      <c r="F725" t="inlineStr">
        <is>
          <t>10059181</t>
        </is>
      </c>
      <c r="H725" t="inlineStr"/>
      <c r="J725" t="n">
        <v>155.15</v>
      </c>
      <c r="K725" t="inlineStr"/>
      <c r="M725" t="inlineStr">
        <is>
          <t>M3</t>
        </is>
      </c>
      <c r="N725" t="inlineStr"/>
      <c r="P725" t="inlineStr">
        <is>
          <t>20190426</t>
        </is>
      </c>
      <c r="Q725" t="inlineStr">
        <is>
          <t>20250127</t>
        </is>
      </c>
    </row>
    <row r="726">
      <c r="A726" t="inlineStr">
        <is>
          <t>900003613D8366544526110000253</t>
        </is>
      </c>
      <c r="B726" t="inlineStr">
        <is>
          <t>900003613</t>
        </is>
      </c>
      <c r="C726" t="inlineStr">
        <is>
          <t>D836</t>
        </is>
      </c>
      <c r="D726" t="inlineStr">
        <is>
          <t>65445261</t>
        </is>
      </c>
      <c r="E726" t="inlineStr">
        <is>
          <t>1</t>
        </is>
      </c>
      <c r="F726" t="inlineStr">
        <is>
          <t>10000253</t>
        </is>
      </c>
      <c r="H726" t="inlineStr"/>
      <c r="J726" t="n">
        <v>41.5</v>
      </c>
      <c r="K726" t="inlineStr"/>
      <c r="M726" t="inlineStr">
        <is>
          <t>M3</t>
        </is>
      </c>
      <c r="N726" t="inlineStr"/>
      <c r="P726" t="inlineStr">
        <is>
          <t>20190426</t>
        </is>
      </c>
      <c r="Q726" t="inlineStr">
        <is>
          <t>20250127</t>
        </is>
      </c>
    </row>
    <row r="727">
      <c r="A727" t="inlineStr">
        <is>
          <t>900003613D8366544526110000627</t>
        </is>
      </c>
      <c r="B727" t="inlineStr">
        <is>
          <t>900003613</t>
        </is>
      </c>
      <c r="C727" t="inlineStr">
        <is>
          <t>D836</t>
        </is>
      </c>
      <c r="D727" t="inlineStr">
        <is>
          <t>65445261</t>
        </is>
      </c>
      <c r="E727" t="inlineStr">
        <is>
          <t>1</t>
        </is>
      </c>
      <c r="F727" t="inlineStr">
        <is>
          <t>10000627</t>
        </is>
      </c>
      <c r="H727" t="inlineStr"/>
      <c r="J727" t="n">
        <v>44.41</v>
      </c>
      <c r="K727" t="inlineStr"/>
      <c r="M727" t="inlineStr">
        <is>
          <t>M3</t>
        </is>
      </c>
      <c r="N727" t="inlineStr"/>
      <c r="P727" t="inlineStr">
        <is>
          <t>20190426</t>
        </is>
      </c>
      <c r="Q727" t="inlineStr">
        <is>
          <t>20250127</t>
        </is>
      </c>
    </row>
    <row r="728">
      <c r="A728" t="inlineStr">
        <is>
          <t>900003613D8366544526110059181</t>
        </is>
      </c>
      <c r="B728" t="inlineStr">
        <is>
          <t>900003613</t>
        </is>
      </c>
      <c r="C728" t="inlineStr">
        <is>
          <t>D836</t>
        </is>
      </c>
      <c r="D728" t="inlineStr">
        <is>
          <t>65445261</t>
        </is>
      </c>
      <c r="E728" t="inlineStr">
        <is>
          <t>1</t>
        </is>
      </c>
      <c r="F728" t="inlineStr">
        <is>
          <t>10059181</t>
        </is>
      </c>
      <c r="H728" t="inlineStr"/>
      <c r="J728" t="n">
        <v>44.41</v>
      </c>
      <c r="K728" t="inlineStr"/>
      <c r="M728" t="inlineStr">
        <is>
          <t>M3</t>
        </is>
      </c>
      <c r="N728" t="inlineStr"/>
      <c r="P728" t="inlineStr">
        <is>
          <t>20190426</t>
        </is>
      </c>
      <c r="Q728" t="inlineStr">
        <is>
          <t>20250127</t>
        </is>
      </c>
    </row>
    <row r="729">
      <c r="A729" t="inlineStr">
        <is>
          <t>900003613D8366621263710000651</t>
        </is>
      </c>
      <c r="B729" t="inlineStr">
        <is>
          <t>900003613</t>
        </is>
      </c>
      <c r="C729" t="inlineStr">
        <is>
          <t>D836</t>
        </is>
      </c>
      <c r="D729" t="inlineStr">
        <is>
          <t>66212637</t>
        </is>
      </c>
      <c r="E729" t="inlineStr">
        <is>
          <t>1</t>
        </is>
      </c>
      <c r="F729" t="inlineStr">
        <is>
          <t>10000651</t>
        </is>
      </c>
      <c r="H729" t="inlineStr"/>
      <c r="J729" t="n">
        <v>214</v>
      </c>
      <c r="K729" t="inlineStr"/>
      <c r="M729" t="inlineStr">
        <is>
          <t>M3</t>
        </is>
      </c>
      <c r="N729" t="inlineStr"/>
      <c r="P729" t="inlineStr">
        <is>
          <t>20190426</t>
        </is>
      </c>
      <c r="Q729" t="inlineStr">
        <is>
          <t>20250127</t>
        </is>
      </c>
    </row>
    <row r="730">
      <c r="A730" t="inlineStr">
        <is>
          <t>900003613D8366645859310059181</t>
        </is>
      </c>
      <c r="B730" t="inlineStr">
        <is>
          <t>900003613</t>
        </is>
      </c>
      <c r="C730" t="inlineStr">
        <is>
          <t>D836</t>
        </is>
      </c>
      <c r="D730" t="inlineStr">
        <is>
          <t>66458593</t>
        </is>
      </c>
      <c r="E730" t="inlineStr">
        <is>
          <t>1</t>
        </is>
      </c>
      <c r="F730" t="inlineStr">
        <is>
          <t>10059181</t>
        </is>
      </c>
      <c r="H730" t="inlineStr"/>
      <c r="J730" t="n">
        <v>243.96</v>
      </c>
      <c r="K730" t="inlineStr"/>
      <c r="M730" t="inlineStr">
        <is>
          <t>M3</t>
        </is>
      </c>
      <c r="N730" t="inlineStr"/>
      <c r="P730" t="inlineStr">
        <is>
          <t>20190426</t>
        </is>
      </c>
      <c r="Q730" t="inlineStr">
        <is>
          <t>20250127</t>
        </is>
      </c>
    </row>
    <row r="731">
      <c r="A731" t="inlineStr">
        <is>
          <t>900003613D8366649095710000627</t>
        </is>
      </c>
      <c r="B731" t="inlineStr">
        <is>
          <t>900003613</t>
        </is>
      </c>
      <c r="C731" t="inlineStr">
        <is>
          <t>D836</t>
        </is>
      </c>
      <c r="D731" t="inlineStr">
        <is>
          <t>66490957</t>
        </is>
      </c>
      <c r="E731" t="inlineStr">
        <is>
          <t>1</t>
        </is>
      </c>
      <c r="F731" t="inlineStr">
        <is>
          <t>10000627</t>
        </is>
      </c>
      <c r="H731" t="inlineStr"/>
      <c r="J731" t="n">
        <v>44.41</v>
      </c>
      <c r="K731" t="inlineStr"/>
      <c r="M731" t="inlineStr">
        <is>
          <t>M3</t>
        </is>
      </c>
      <c r="N731" t="inlineStr"/>
      <c r="P731" t="inlineStr">
        <is>
          <t>20190426</t>
        </is>
      </c>
      <c r="Q731" t="inlineStr">
        <is>
          <t>20250127</t>
        </is>
      </c>
    </row>
    <row r="732">
      <c r="A732" t="inlineStr">
        <is>
          <t>900003613D8366649095710000651</t>
        </is>
      </c>
      <c r="B732" t="inlineStr">
        <is>
          <t>900003613</t>
        </is>
      </c>
      <c r="C732" t="inlineStr">
        <is>
          <t>D836</t>
        </is>
      </c>
      <c r="D732" t="inlineStr">
        <is>
          <t>66490957</t>
        </is>
      </c>
      <c r="E732" t="inlineStr">
        <is>
          <t>1</t>
        </is>
      </c>
      <c r="F732" t="inlineStr">
        <is>
          <t>10000651</t>
        </is>
      </c>
      <c r="H732" t="inlineStr"/>
      <c r="J732" t="n">
        <v>70</v>
      </c>
      <c r="K732" t="inlineStr"/>
      <c r="M732" t="inlineStr">
        <is>
          <t>M3</t>
        </is>
      </c>
      <c r="N732" t="inlineStr"/>
      <c r="P732" t="inlineStr">
        <is>
          <t>20190426</t>
        </is>
      </c>
      <c r="Q732" t="inlineStr">
        <is>
          <t>20250127</t>
        </is>
      </c>
    </row>
    <row r="733">
      <c r="A733" t="inlineStr">
        <is>
          <t>900003668D8366642253910143807</t>
        </is>
      </c>
      <c r="B733" t="inlineStr">
        <is>
          <t>900003668</t>
        </is>
      </c>
      <c r="C733" t="inlineStr">
        <is>
          <t>D836</t>
        </is>
      </c>
      <c r="D733" t="inlineStr">
        <is>
          <t>66422539</t>
        </is>
      </c>
      <c r="E733" t="inlineStr">
        <is>
          <t>4</t>
        </is>
      </c>
      <c r="F733" t="inlineStr">
        <is>
          <t>10143807</t>
        </is>
      </c>
      <c r="H733" t="inlineStr"/>
      <c r="J733" t="n">
        <v>165</v>
      </c>
      <c r="K733" t="inlineStr"/>
      <c r="M733" t="inlineStr">
        <is>
          <t>TN</t>
        </is>
      </c>
      <c r="N733" t="inlineStr"/>
      <c r="P733" t="inlineStr">
        <is>
          <t>20190426</t>
        </is>
      </c>
      <c r="Q733" t="inlineStr">
        <is>
          <t>20250127</t>
        </is>
      </c>
    </row>
    <row r="734">
      <c r="A734" t="inlineStr">
        <is>
          <t>900003670D8366501604110135829</t>
        </is>
      </c>
      <c r="B734" t="inlineStr">
        <is>
          <t>900003670</t>
        </is>
      </c>
      <c r="C734" t="inlineStr">
        <is>
          <t>D836</t>
        </is>
      </c>
      <c r="D734" t="inlineStr">
        <is>
          <t>65016041</t>
        </is>
      </c>
      <c r="E734" t="inlineStr">
        <is>
          <t>4</t>
        </is>
      </c>
      <c r="F734" t="inlineStr">
        <is>
          <t>10135829</t>
        </is>
      </c>
      <c r="H734" t="inlineStr"/>
      <c r="J734" t="n">
        <v>600</v>
      </c>
      <c r="K734" t="inlineStr"/>
      <c r="M734" t="inlineStr">
        <is>
          <t>TN</t>
        </is>
      </c>
      <c r="N734" t="inlineStr"/>
      <c r="P734" t="inlineStr">
        <is>
          <t>20190426</t>
        </is>
      </c>
      <c r="Q734" t="inlineStr">
        <is>
          <t>20250127</t>
        </is>
      </c>
    </row>
    <row r="735">
      <c r="A735" t="inlineStr">
        <is>
          <t>900003786D8366500612210000643</t>
        </is>
      </c>
      <c r="B735" t="inlineStr">
        <is>
          <t>900003786</t>
        </is>
      </c>
      <c r="C735" t="inlineStr">
        <is>
          <t>D836</t>
        </is>
      </c>
      <c r="D735" t="inlineStr">
        <is>
          <t>65006122</t>
        </is>
      </c>
      <c r="E735" t="inlineStr">
        <is>
          <t>4</t>
        </is>
      </c>
      <c r="F735" t="inlineStr">
        <is>
          <t>10000643</t>
        </is>
      </c>
      <c r="H735" t="inlineStr"/>
      <c r="J735" t="n">
        <v>80</v>
      </c>
      <c r="K735" t="inlineStr"/>
      <c r="M735" t="inlineStr">
        <is>
          <t>TN</t>
        </is>
      </c>
      <c r="N735" t="inlineStr"/>
      <c r="P735" t="inlineStr">
        <is>
          <t>20190426</t>
        </is>
      </c>
      <c r="Q735" t="inlineStr">
        <is>
          <t>20250127</t>
        </is>
      </c>
    </row>
    <row r="736">
      <c r="A736" t="inlineStr">
        <is>
          <t>900003786D8366630479810000635</t>
        </is>
      </c>
      <c r="B736" t="inlineStr">
        <is>
          <t>900003786</t>
        </is>
      </c>
      <c r="C736" t="inlineStr">
        <is>
          <t>D836</t>
        </is>
      </c>
      <c r="D736" t="inlineStr">
        <is>
          <t>66304798</t>
        </is>
      </c>
      <c r="E736" t="inlineStr">
        <is>
          <t>4</t>
        </is>
      </c>
      <c r="F736" t="inlineStr">
        <is>
          <t>10000635</t>
        </is>
      </c>
      <c r="H736" t="inlineStr"/>
      <c r="J736" t="n">
        <v>295</v>
      </c>
      <c r="K736" t="inlineStr"/>
      <c r="M736" t="inlineStr">
        <is>
          <t>TN</t>
        </is>
      </c>
      <c r="N736" t="inlineStr"/>
      <c r="P736" t="inlineStr">
        <is>
          <t>20190426</t>
        </is>
      </c>
      <c r="Q736" t="inlineStr">
        <is>
          <t>20250127</t>
        </is>
      </c>
    </row>
    <row r="737">
      <c r="A737" t="inlineStr">
        <is>
          <t>900003786D8366630479810000643</t>
        </is>
      </c>
      <c r="B737" t="inlineStr">
        <is>
          <t>900003786</t>
        </is>
      </c>
      <c r="C737" t="inlineStr">
        <is>
          <t>D836</t>
        </is>
      </c>
      <c r="D737" t="inlineStr">
        <is>
          <t>66304798</t>
        </is>
      </c>
      <c r="E737" t="inlineStr">
        <is>
          <t>4</t>
        </is>
      </c>
      <c r="F737" t="inlineStr">
        <is>
          <t>10000643</t>
        </is>
      </c>
      <c r="H737" t="inlineStr"/>
      <c r="J737" t="n">
        <v>295</v>
      </c>
      <c r="K737" t="inlineStr"/>
      <c r="M737" t="inlineStr">
        <is>
          <t>TN</t>
        </is>
      </c>
      <c r="N737" t="inlineStr"/>
      <c r="P737" t="inlineStr">
        <is>
          <t>20190426</t>
        </is>
      </c>
      <c r="Q737" t="inlineStr">
        <is>
          <t>20250127</t>
        </is>
      </c>
    </row>
    <row r="738">
      <c r="A738" t="inlineStr">
        <is>
          <t>900003786D8366655284510000635</t>
        </is>
      </c>
      <c r="B738" t="inlineStr">
        <is>
          <t>900003786</t>
        </is>
      </c>
      <c r="C738" t="inlineStr">
        <is>
          <t>D836</t>
        </is>
      </c>
      <c r="D738" t="inlineStr">
        <is>
          <t>66552845</t>
        </is>
      </c>
      <c r="E738" t="inlineStr">
        <is>
          <t>1</t>
        </is>
      </c>
      <c r="F738" t="inlineStr">
        <is>
          <t>10000635</t>
        </is>
      </c>
      <c r="H738" t="inlineStr"/>
      <c r="J738" t="n">
        <v>200</v>
      </c>
      <c r="K738" t="inlineStr"/>
      <c r="M738" t="inlineStr">
        <is>
          <t>TN</t>
        </is>
      </c>
      <c r="N738" t="inlineStr"/>
      <c r="P738" t="inlineStr">
        <is>
          <t>20190426</t>
        </is>
      </c>
      <c r="Q738" t="inlineStr">
        <is>
          <t>20250127</t>
        </is>
      </c>
    </row>
    <row r="739">
      <c r="A739" t="inlineStr">
        <is>
          <t>900003786D8366655284510000635</t>
        </is>
      </c>
      <c r="B739" t="inlineStr">
        <is>
          <t>900003786</t>
        </is>
      </c>
      <c r="C739" t="inlineStr">
        <is>
          <t>D836</t>
        </is>
      </c>
      <c r="D739" t="inlineStr">
        <is>
          <t>66552845</t>
        </is>
      </c>
      <c r="E739" t="inlineStr">
        <is>
          <t>4</t>
        </is>
      </c>
      <c r="F739" t="inlineStr">
        <is>
          <t>10000635</t>
        </is>
      </c>
      <c r="H739" t="inlineStr"/>
      <c r="J739" t="n">
        <v>200</v>
      </c>
      <c r="K739" t="inlineStr"/>
      <c r="M739" t="inlineStr">
        <is>
          <t>TN</t>
        </is>
      </c>
      <c r="N739" t="inlineStr"/>
      <c r="P739" t="inlineStr">
        <is>
          <t>20190426</t>
        </is>
      </c>
      <c r="Q739" t="inlineStr">
        <is>
          <t>20250127</t>
        </is>
      </c>
    </row>
    <row r="740">
      <c r="A740" t="inlineStr">
        <is>
          <t>900003786D8366655284510000643</t>
        </is>
      </c>
      <c r="B740" t="inlineStr">
        <is>
          <t>900003786</t>
        </is>
      </c>
      <c r="C740" t="inlineStr">
        <is>
          <t>D836</t>
        </is>
      </c>
      <c r="D740" t="inlineStr">
        <is>
          <t>66552845</t>
        </is>
      </c>
      <c r="E740" t="inlineStr">
        <is>
          <t>1</t>
        </is>
      </c>
      <c r="F740" t="inlineStr">
        <is>
          <t>10000643</t>
        </is>
      </c>
      <c r="H740" t="inlineStr"/>
      <c r="J740" t="n">
        <v>200</v>
      </c>
      <c r="K740" t="inlineStr"/>
      <c r="M740" t="inlineStr">
        <is>
          <t>TN</t>
        </is>
      </c>
      <c r="N740" t="inlineStr"/>
      <c r="P740" t="inlineStr">
        <is>
          <t>20190426</t>
        </is>
      </c>
      <c r="Q740" t="inlineStr">
        <is>
          <t>20250127</t>
        </is>
      </c>
    </row>
    <row r="741">
      <c r="A741" t="inlineStr">
        <is>
          <t>900003786D8366655284510000643</t>
        </is>
      </c>
      <c r="B741" t="inlineStr">
        <is>
          <t>900003786</t>
        </is>
      </c>
      <c r="C741" t="inlineStr">
        <is>
          <t>D836</t>
        </is>
      </c>
      <c r="D741" t="inlineStr">
        <is>
          <t>66552845</t>
        </is>
      </c>
      <c r="E741" t="inlineStr">
        <is>
          <t>4</t>
        </is>
      </c>
      <c r="F741" t="inlineStr">
        <is>
          <t>10000643</t>
        </is>
      </c>
      <c r="H741" t="inlineStr"/>
      <c r="J741" t="n">
        <v>200</v>
      </c>
      <c r="K741" t="inlineStr"/>
      <c r="M741" t="inlineStr">
        <is>
          <t>TN</t>
        </is>
      </c>
      <c r="N741" t="inlineStr"/>
      <c r="P741" t="inlineStr">
        <is>
          <t>20190426</t>
        </is>
      </c>
      <c r="Q741" t="inlineStr">
        <is>
          <t>20250127</t>
        </is>
      </c>
    </row>
    <row r="742">
      <c r="A742" t="inlineStr">
        <is>
          <t>900003786D8366655411310000635</t>
        </is>
      </c>
      <c r="B742" t="inlineStr">
        <is>
          <t>900003786</t>
        </is>
      </c>
      <c r="C742" t="inlineStr">
        <is>
          <t>D836</t>
        </is>
      </c>
      <c r="D742" t="inlineStr">
        <is>
          <t>66554113</t>
        </is>
      </c>
      <c r="E742" t="inlineStr">
        <is>
          <t>4</t>
        </is>
      </c>
      <c r="F742" t="inlineStr">
        <is>
          <t>10000635</t>
        </is>
      </c>
      <c r="H742" t="inlineStr"/>
      <c r="J742" t="n">
        <v>385</v>
      </c>
      <c r="K742" t="inlineStr"/>
      <c r="M742" t="inlineStr">
        <is>
          <t>TN</t>
        </is>
      </c>
      <c r="N742" t="inlineStr"/>
      <c r="P742" t="inlineStr">
        <is>
          <t>20190426</t>
        </is>
      </c>
      <c r="Q742" t="inlineStr">
        <is>
          <t>20250127</t>
        </is>
      </c>
    </row>
    <row r="743">
      <c r="A743" t="inlineStr">
        <is>
          <t>900003786D8366655411310000643</t>
        </is>
      </c>
      <c r="B743" t="inlineStr">
        <is>
          <t>900003786</t>
        </is>
      </c>
      <c r="C743" t="inlineStr">
        <is>
          <t>D836</t>
        </is>
      </c>
      <c r="D743" t="inlineStr">
        <is>
          <t>66554113</t>
        </is>
      </c>
      <c r="E743" t="inlineStr">
        <is>
          <t>4</t>
        </is>
      </c>
      <c r="F743" t="inlineStr">
        <is>
          <t>10000643</t>
        </is>
      </c>
      <c r="H743" t="inlineStr"/>
      <c r="J743" t="n">
        <v>385</v>
      </c>
      <c r="K743" t="inlineStr"/>
      <c r="M743" t="inlineStr">
        <is>
          <t>TN</t>
        </is>
      </c>
      <c r="N743" t="inlineStr"/>
      <c r="P743" t="inlineStr">
        <is>
          <t>20190426</t>
        </is>
      </c>
      <c r="Q743" t="inlineStr">
        <is>
          <t>20250127</t>
        </is>
      </c>
    </row>
    <row r="744">
      <c r="A744" t="inlineStr">
        <is>
          <t>900003786D8366656665210000635</t>
        </is>
      </c>
      <c r="B744" t="inlineStr">
        <is>
          <t>900003786</t>
        </is>
      </c>
      <c r="C744" t="inlineStr">
        <is>
          <t>D836</t>
        </is>
      </c>
      <c r="D744" t="inlineStr">
        <is>
          <t>66566652</t>
        </is>
      </c>
      <c r="E744" t="inlineStr">
        <is>
          <t>4</t>
        </is>
      </c>
      <c r="F744" t="inlineStr">
        <is>
          <t>10000635</t>
        </is>
      </c>
      <c r="H744" t="inlineStr"/>
      <c r="J744" t="n">
        <v>350</v>
      </c>
      <c r="K744" t="inlineStr"/>
      <c r="M744" t="inlineStr">
        <is>
          <t>TN</t>
        </is>
      </c>
      <c r="N744" t="inlineStr"/>
      <c r="P744" t="inlineStr">
        <is>
          <t>20190426</t>
        </is>
      </c>
      <c r="Q744" t="inlineStr">
        <is>
          <t>20250127</t>
        </is>
      </c>
    </row>
    <row r="745">
      <c r="A745" t="inlineStr">
        <is>
          <t>900003786D8366656665210000643</t>
        </is>
      </c>
      <c r="B745" t="inlineStr">
        <is>
          <t>900003786</t>
        </is>
      </c>
      <c r="C745" t="inlineStr">
        <is>
          <t>D836</t>
        </is>
      </c>
      <c r="D745" t="inlineStr">
        <is>
          <t>66566652</t>
        </is>
      </c>
      <c r="E745" t="inlineStr">
        <is>
          <t>4</t>
        </is>
      </c>
      <c r="F745" t="inlineStr">
        <is>
          <t>10000643</t>
        </is>
      </c>
      <c r="H745" t="inlineStr"/>
      <c r="J745" t="n">
        <v>350</v>
      </c>
      <c r="K745" t="inlineStr"/>
      <c r="M745" t="inlineStr">
        <is>
          <t>TN</t>
        </is>
      </c>
      <c r="N745" t="inlineStr"/>
      <c r="P745" t="inlineStr">
        <is>
          <t>20190426</t>
        </is>
      </c>
      <c r="Q745" t="inlineStr">
        <is>
          <t>20250127</t>
        </is>
      </c>
    </row>
    <row r="746">
      <c r="A746" t="inlineStr">
        <is>
          <t>900003786D8366663173110000643</t>
        </is>
      </c>
      <c r="B746" t="inlineStr">
        <is>
          <t>900003786</t>
        </is>
      </c>
      <c r="C746" t="inlineStr">
        <is>
          <t>D836</t>
        </is>
      </c>
      <c r="D746" t="inlineStr">
        <is>
          <t>66631731</t>
        </is>
      </c>
      <c r="E746" t="inlineStr">
        <is>
          <t>4</t>
        </is>
      </c>
      <c r="F746" t="inlineStr">
        <is>
          <t>10000643</t>
        </is>
      </c>
      <c r="H746" t="inlineStr"/>
      <c r="J746" t="n">
        <v>375</v>
      </c>
      <c r="K746" t="inlineStr"/>
      <c r="M746" t="inlineStr">
        <is>
          <t>TN</t>
        </is>
      </c>
      <c r="N746" t="inlineStr"/>
      <c r="P746" t="inlineStr">
        <is>
          <t>20190426</t>
        </is>
      </c>
      <c r="Q746" t="inlineStr">
        <is>
          <t>20250127</t>
        </is>
      </c>
    </row>
    <row r="747">
      <c r="A747" t="inlineStr">
        <is>
          <t>900003786D8366663173110173438</t>
        </is>
      </c>
      <c r="B747" t="inlineStr">
        <is>
          <t>900003786</t>
        </is>
      </c>
      <c r="C747" t="inlineStr">
        <is>
          <t>D836</t>
        </is>
      </c>
      <c r="D747" t="inlineStr">
        <is>
          <t>66631731</t>
        </is>
      </c>
      <c r="E747" t="inlineStr">
        <is>
          <t>4</t>
        </is>
      </c>
      <c r="F747" t="inlineStr">
        <is>
          <t>10173438</t>
        </is>
      </c>
      <c r="H747" t="inlineStr"/>
      <c r="J747" t="n">
        <v>200</v>
      </c>
      <c r="K747" t="inlineStr"/>
      <c r="M747" t="inlineStr">
        <is>
          <t>TN</t>
        </is>
      </c>
      <c r="N747" t="inlineStr"/>
      <c r="P747" t="inlineStr">
        <is>
          <t>20190426</t>
        </is>
      </c>
      <c r="Q747" t="inlineStr">
        <is>
          <t>20250127</t>
        </is>
      </c>
    </row>
    <row r="748">
      <c r="A748" t="inlineStr">
        <is>
          <t>900003786D8366694598010173438</t>
        </is>
      </c>
      <c r="B748" t="inlineStr">
        <is>
          <t>900003786</t>
        </is>
      </c>
      <c r="C748" t="inlineStr">
        <is>
          <t>D836</t>
        </is>
      </c>
      <c r="D748" t="inlineStr">
        <is>
          <t>66945980</t>
        </is>
      </c>
      <c r="E748" t="inlineStr">
        <is>
          <t>4</t>
        </is>
      </c>
      <c r="F748" t="inlineStr">
        <is>
          <t>10173438</t>
        </is>
      </c>
      <c r="H748" t="inlineStr"/>
      <c r="J748" t="n">
        <v>850</v>
      </c>
      <c r="K748" t="inlineStr"/>
      <c r="M748" t="inlineStr">
        <is>
          <t>TN</t>
        </is>
      </c>
      <c r="N748" t="inlineStr"/>
      <c r="P748" t="inlineStr">
        <is>
          <t>20190426</t>
        </is>
      </c>
      <c r="Q748" t="inlineStr">
        <is>
          <t>20250127</t>
        </is>
      </c>
    </row>
    <row r="749">
      <c r="A749" t="inlineStr">
        <is>
          <t>900003845D8366572912210002802</t>
        </is>
      </c>
      <c r="B749" t="inlineStr">
        <is>
          <t>900003845</t>
        </is>
      </c>
      <c r="C749" t="inlineStr">
        <is>
          <t>D836</t>
        </is>
      </c>
      <c r="D749" t="inlineStr">
        <is>
          <t>65729122</t>
        </is>
      </c>
      <c r="E749" t="inlineStr">
        <is>
          <t>4</t>
        </is>
      </c>
      <c r="F749" t="inlineStr">
        <is>
          <t>10002802</t>
        </is>
      </c>
      <c r="H749" t="inlineStr"/>
      <c r="J749" t="n">
        <v>110</v>
      </c>
      <c r="K749" t="inlineStr"/>
      <c r="M749" t="inlineStr">
        <is>
          <t>M3</t>
        </is>
      </c>
      <c r="N749" t="inlineStr"/>
      <c r="P749" t="inlineStr">
        <is>
          <t>20190426</t>
        </is>
      </c>
      <c r="Q749" t="inlineStr">
        <is>
          <t>20250127</t>
        </is>
      </c>
    </row>
    <row r="750">
      <c r="A750" t="inlineStr">
        <is>
          <t>900003845D8366590842610002802</t>
        </is>
      </c>
      <c r="B750" t="inlineStr">
        <is>
          <t>900003845</t>
        </is>
      </c>
      <c r="C750" t="inlineStr">
        <is>
          <t>D836</t>
        </is>
      </c>
      <c r="D750" t="inlineStr">
        <is>
          <t>65908426</t>
        </is>
      </c>
      <c r="E750" t="inlineStr">
        <is>
          <t>1</t>
        </is>
      </c>
      <c r="F750" t="inlineStr">
        <is>
          <t>10002802</t>
        </is>
      </c>
      <c r="H750" t="inlineStr"/>
      <c r="J750" t="n">
        <v>134</v>
      </c>
      <c r="K750" t="inlineStr"/>
      <c r="M750" t="inlineStr">
        <is>
          <t>M3</t>
        </is>
      </c>
      <c r="N750" t="inlineStr"/>
      <c r="P750" t="inlineStr">
        <is>
          <t>20190426</t>
        </is>
      </c>
      <c r="Q750" t="inlineStr">
        <is>
          <t>20250127</t>
        </is>
      </c>
    </row>
    <row r="751">
      <c r="A751" t="inlineStr">
        <is>
          <t>900003845D8366590842610002802</t>
        </is>
      </c>
      <c r="B751" t="inlineStr">
        <is>
          <t>900003845</t>
        </is>
      </c>
      <c r="C751" t="inlineStr">
        <is>
          <t>D836</t>
        </is>
      </c>
      <c r="D751" t="inlineStr">
        <is>
          <t>65908426</t>
        </is>
      </c>
      <c r="E751" t="inlineStr">
        <is>
          <t>4</t>
        </is>
      </c>
      <c r="F751" t="inlineStr">
        <is>
          <t>10002802</t>
        </is>
      </c>
      <c r="H751" t="inlineStr"/>
      <c r="J751" t="n">
        <v>134</v>
      </c>
      <c r="K751" t="inlineStr"/>
      <c r="M751" t="inlineStr">
        <is>
          <t>M3</t>
        </is>
      </c>
      <c r="N751" t="inlineStr"/>
      <c r="P751" t="inlineStr">
        <is>
          <t>20190426</t>
        </is>
      </c>
      <c r="Q751" t="inlineStr">
        <is>
          <t>20250127</t>
        </is>
      </c>
    </row>
    <row r="752">
      <c r="A752" t="inlineStr">
        <is>
          <t>900004077D8366500394510000357</t>
        </is>
      </c>
      <c r="B752" t="inlineStr">
        <is>
          <t>900004077</t>
        </is>
      </c>
      <c r="C752" t="inlineStr">
        <is>
          <t>D836</t>
        </is>
      </c>
      <c r="D752" t="inlineStr">
        <is>
          <t>65003945</t>
        </is>
      </c>
      <c r="E752" t="inlineStr">
        <is>
          <t>4</t>
        </is>
      </c>
      <c r="F752" t="inlineStr">
        <is>
          <t>10000357</t>
        </is>
      </c>
      <c r="H752" t="inlineStr"/>
      <c r="J752" t="n">
        <v>239</v>
      </c>
      <c r="K752" t="inlineStr"/>
      <c r="M752" t="inlineStr">
        <is>
          <t>TN</t>
        </is>
      </c>
      <c r="N752" t="inlineStr"/>
      <c r="P752" t="inlineStr">
        <is>
          <t>20190426</t>
        </is>
      </c>
      <c r="Q752" t="inlineStr">
        <is>
          <t>20250127</t>
        </is>
      </c>
    </row>
    <row r="753">
      <c r="A753" t="inlineStr">
        <is>
          <t>900004077D8366500394510184011</t>
        </is>
      </c>
      <c r="B753" t="inlineStr">
        <is>
          <t>900004077</t>
        </is>
      </c>
      <c r="C753" t="inlineStr">
        <is>
          <t>D836</t>
        </is>
      </c>
      <c r="D753" t="inlineStr">
        <is>
          <t>65003945</t>
        </is>
      </c>
      <c r="E753" t="inlineStr">
        <is>
          <t>4</t>
        </is>
      </c>
      <c r="F753" t="inlineStr">
        <is>
          <t>10184011</t>
        </is>
      </c>
      <c r="H753" t="inlineStr"/>
      <c r="J753" t="n">
        <v>239</v>
      </c>
      <c r="K753" t="inlineStr"/>
      <c r="M753" t="inlineStr">
        <is>
          <t>M3</t>
        </is>
      </c>
      <c r="N753" t="inlineStr"/>
      <c r="P753" t="inlineStr">
        <is>
          <t>20190426</t>
        </is>
      </c>
      <c r="Q753" t="inlineStr">
        <is>
          <t>20250127</t>
        </is>
      </c>
    </row>
    <row r="754">
      <c r="A754" t="inlineStr">
        <is>
          <t>900004077D8366500394510184142</t>
        </is>
      </c>
      <c r="B754" t="inlineStr">
        <is>
          <t>900004077</t>
        </is>
      </c>
      <c r="C754" t="inlineStr">
        <is>
          <t>D836</t>
        </is>
      </c>
      <c r="D754" t="inlineStr">
        <is>
          <t>65003945</t>
        </is>
      </c>
      <c r="E754" t="inlineStr">
        <is>
          <t>4</t>
        </is>
      </c>
      <c r="F754" t="inlineStr">
        <is>
          <t>10184142</t>
        </is>
      </c>
      <c r="H754" t="inlineStr"/>
      <c r="J754" t="n">
        <v>239</v>
      </c>
      <c r="K754" t="inlineStr"/>
      <c r="M754" t="inlineStr">
        <is>
          <t>M3</t>
        </is>
      </c>
      <c r="N754" t="inlineStr"/>
      <c r="P754" t="inlineStr">
        <is>
          <t>20190426</t>
        </is>
      </c>
      <c r="Q754" t="inlineStr">
        <is>
          <t>20250127</t>
        </is>
      </c>
    </row>
    <row r="755">
      <c r="A755" t="inlineStr">
        <is>
          <t>900004077D8366501645110002802</t>
        </is>
      </c>
      <c r="B755" t="inlineStr">
        <is>
          <t>900004077</t>
        </is>
      </c>
      <c r="C755" t="inlineStr">
        <is>
          <t>D836</t>
        </is>
      </c>
      <c r="D755" t="inlineStr">
        <is>
          <t>65016451</t>
        </is>
      </c>
      <c r="E755" t="inlineStr">
        <is>
          <t>4</t>
        </is>
      </c>
      <c r="F755" t="inlineStr">
        <is>
          <t>10002802</t>
        </is>
      </c>
      <c r="H755" t="inlineStr"/>
      <c r="J755" t="n">
        <v>198</v>
      </c>
      <c r="K755" t="inlineStr"/>
      <c r="M755" t="inlineStr">
        <is>
          <t>M3</t>
        </is>
      </c>
      <c r="N755" t="inlineStr"/>
      <c r="P755" t="inlineStr">
        <is>
          <t>20240612</t>
        </is>
      </c>
      <c r="Q755" t="inlineStr">
        <is>
          <t>20240612</t>
        </is>
      </c>
    </row>
    <row r="756">
      <c r="A756" t="inlineStr">
        <is>
          <t>900004077D8366524676310002802</t>
        </is>
      </c>
      <c r="B756" t="inlineStr">
        <is>
          <t>900004077</t>
        </is>
      </c>
      <c r="C756" t="inlineStr">
        <is>
          <t>D836</t>
        </is>
      </c>
      <c r="D756" t="inlineStr">
        <is>
          <t>65246763</t>
        </is>
      </c>
      <c r="E756" t="inlineStr">
        <is>
          <t>4</t>
        </is>
      </c>
      <c r="F756" t="inlineStr">
        <is>
          <t>10002802</t>
        </is>
      </c>
      <c r="H756" t="inlineStr"/>
      <c r="J756" t="n">
        <v>116</v>
      </c>
      <c r="K756" t="inlineStr"/>
      <c r="M756" t="inlineStr">
        <is>
          <t>M3</t>
        </is>
      </c>
      <c r="N756" t="inlineStr"/>
      <c r="P756" t="inlineStr">
        <is>
          <t>20240612</t>
        </is>
      </c>
      <c r="Q756" t="inlineStr">
        <is>
          <t>20240612</t>
        </is>
      </c>
    </row>
    <row r="757">
      <c r="A757" t="inlineStr">
        <is>
          <t>900004077D8366525139910002802</t>
        </is>
      </c>
      <c r="B757" t="inlineStr">
        <is>
          <t>900004077</t>
        </is>
      </c>
      <c r="C757" t="inlineStr">
        <is>
          <t>D836</t>
        </is>
      </c>
      <c r="D757" t="inlineStr">
        <is>
          <t>65251399</t>
        </is>
      </c>
      <c r="E757" t="inlineStr">
        <is>
          <t>1</t>
        </is>
      </c>
      <c r="F757" t="inlineStr">
        <is>
          <t>10002802</t>
        </is>
      </c>
      <c r="H757" t="inlineStr"/>
      <c r="J757" t="n">
        <v>178</v>
      </c>
      <c r="K757" t="inlineStr"/>
      <c r="M757" t="inlineStr">
        <is>
          <t>M3</t>
        </is>
      </c>
      <c r="N757" t="inlineStr"/>
      <c r="P757" t="inlineStr">
        <is>
          <t>20240612</t>
        </is>
      </c>
      <c r="Q757" t="inlineStr">
        <is>
          <t>20240612</t>
        </is>
      </c>
    </row>
    <row r="758">
      <c r="A758" t="inlineStr">
        <is>
          <t>900004077D8366534622410002802</t>
        </is>
      </c>
      <c r="B758" t="inlineStr">
        <is>
          <t>900004077</t>
        </is>
      </c>
      <c r="C758" t="inlineStr">
        <is>
          <t>D836</t>
        </is>
      </c>
      <c r="D758" t="inlineStr">
        <is>
          <t>65346224</t>
        </is>
      </c>
      <c r="E758" t="inlineStr">
        <is>
          <t>1</t>
        </is>
      </c>
      <c r="F758" t="inlineStr">
        <is>
          <t>10002802</t>
        </is>
      </c>
      <c r="H758" t="inlineStr"/>
      <c r="J758" t="n">
        <v>113.18</v>
      </c>
      <c r="K758" t="inlineStr"/>
      <c r="M758" t="inlineStr">
        <is>
          <t>M3</t>
        </is>
      </c>
      <c r="N758" t="inlineStr"/>
      <c r="P758" t="inlineStr">
        <is>
          <t>20240612</t>
        </is>
      </c>
      <c r="Q758" t="inlineStr">
        <is>
          <t>20240612</t>
        </is>
      </c>
    </row>
    <row r="759">
      <c r="A759" t="inlineStr">
        <is>
          <t>900004077D8366556582610002802</t>
        </is>
      </c>
      <c r="B759" t="inlineStr">
        <is>
          <t>900004077</t>
        </is>
      </c>
      <c r="C759" t="inlineStr">
        <is>
          <t>D836</t>
        </is>
      </c>
      <c r="D759" t="inlineStr">
        <is>
          <t>65565826</t>
        </is>
      </c>
      <c r="E759" t="inlineStr">
        <is>
          <t>4</t>
        </is>
      </c>
      <c r="F759" t="inlineStr">
        <is>
          <t>10002802</t>
        </is>
      </c>
      <c r="H759" t="inlineStr"/>
      <c r="J759" t="n">
        <v>196</v>
      </c>
      <c r="K759" t="inlineStr"/>
      <c r="M759" t="inlineStr">
        <is>
          <t>M3</t>
        </is>
      </c>
      <c r="N759" t="inlineStr"/>
      <c r="P759" t="inlineStr">
        <is>
          <t>20240612</t>
        </is>
      </c>
      <c r="Q759" t="inlineStr">
        <is>
          <t>20240612</t>
        </is>
      </c>
    </row>
    <row r="760">
      <c r="A760" t="inlineStr">
        <is>
          <t>900004077D8366571380810058345</t>
        </is>
      </c>
      <c r="B760" t="inlineStr">
        <is>
          <t>900004077</t>
        </is>
      </c>
      <c r="C760" t="inlineStr">
        <is>
          <t>D836</t>
        </is>
      </c>
      <c r="D760" t="inlineStr">
        <is>
          <t>65713808</t>
        </is>
      </c>
      <c r="E760" t="inlineStr">
        <is>
          <t>4</t>
        </is>
      </c>
      <c r="F760" t="inlineStr">
        <is>
          <t>10058345</t>
        </is>
      </c>
      <c r="H760" t="inlineStr"/>
      <c r="J760" t="n">
        <v>235.8</v>
      </c>
      <c r="K760" t="inlineStr"/>
      <c r="M760" t="inlineStr">
        <is>
          <t>M3</t>
        </is>
      </c>
      <c r="N760" t="inlineStr"/>
      <c r="P760" t="inlineStr">
        <is>
          <t>20190426</t>
        </is>
      </c>
      <c r="Q760" t="inlineStr">
        <is>
          <t>20250127</t>
        </is>
      </c>
    </row>
    <row r="761">
      <c r="A761" t="inlineStr">
        <is>
          <t>900004077D8366571380810184010</t>
        </is>
      </c>
      <c r="B761" t="inlineStr">
        <is>
          <t>900004077</t>
        </is>
      </c>
      <c r="C761" t="inlineStr">
        <is>
          <t>D836</t>
        </is>
      </c>
      <c r="D761" t="inlineStr">
        <is>
          <t>65713808</t>
        </is>
      </c>
      <c r="E761" t="inlineStr">
        <is>
          <t>4</t>
        </is>
      </c>
      <c r="F761" t="inlineStr">
        <is>
          <t>10184010</t>
        </is>
      </c>
      <c r="H761" t="inlineStr"/>
      <c r="J761" t="n">
        <v>235.8</v>
      </c>
      <c r="K761" t="inlineStr"/>
      <c r="M761" t="inlineStr">
        <is>
          <t>M3</t>
        </is>
      </c>
      <c r="N761" t="inlineStr"/>
      <c r="P761" t="inlineStr">
        <is>
          <t>20190426</t>
        </is>
      </c>
      <c r="Q761" t="inlineStr">
        <is>
          <t>20250127</t>
        </is>
      </c>
    </row>
    <row r="762">
      <c r="A762" t="inlineStr">
        <is>
          <t>900004077D8366571380810184011</t>
        </is>
      </c>
      <c r="B762" t="inlineStr">
        <is>
          <t>900004077</t>
        </is>
      </c>
      <c r="C762" t="inlineStr">
        <is>
          <t>D836</t>
        </is>
      </c>
      <c r="D762" t="inlineStr">
        <is>
          <t>65713808</t>
        </is>
      </c>
      <c r="E762" t="inlineStr">
        <is>
          <t>4</t>
        </is>
      </c>
      <c r="F762" t="inlineStr">
        <is>
          <t>10184011</t>
        </is>
      </c>
      <c r="H762" t="inlineStr"/>
      <c r="J762" t="n">
        <v>235.8</v>
      </c>
      <c r="K762" t="inlineStr"/>
      <c r="M762" t="inlineStr">
        <is>
          <t>M3</t>
        </is>
      </c>
      <c r="N762" t="inlineStr"/>
      <c r="P762" t="inlineStr">
        <is>
          <t>20190426</t>
        </is>
      </c>
      <c r="Q762" t="inlineStr">
        <is>
          <t>20250127</t>
        </is>
      </c>
    </row>
    <row r="763">
      <c r="A763" t="inlineStr">
        <is>
          <t>900004077D8366572912210002802</t>
        </is>
      </c>
      <c r="B763" t="inlineStr">
        <is>
          <t>900004077</t>
        </is>
      </c>
      <c r="C763" t="inlineStr">
        <is>
          <t>D836</t>
        </is>
      </c>
      <c r="D763" t="inlineStr">
        <is>
          <t>65729122</t>
        </is>
      </c>
      <c r="E763" t="inlineStr">
        <is>
          <t>4</t>
        </is>
      </c>
      <c r="F763" t="inlineStr">
        <is>
          <t>10002802</t>
        </is>
      </c>
      <c r="H763" t="inlineStr"/>
      <c r="J763" t="n">
        <v>130</v>
      </c>
      <c r="K763" t="inlineStr"/>
      <c r="M763" t="inlineStr">
        <is>
          <t>M3</t>
        </is>
      </c>
      <c r="N763" t="inlineStr"/>
      <c r="P763" t="inlineStr">
        <is>
          <t>20240612</t>
        </is>
      </c>
      <c r="Q763" t="inlineStr">
        <is>
          <t>20240612</t>
        </is>
      </c>
    </row>
    <row r="764">
      <c r="A764" t="inlineStr">
        <is>
          <t>900004077D8366590842610002802</t>
        </is>
      </c>
      <c r="B764" t="inlineStr">
        <is>
          <t>900004077</t>
        </is>
      </c>
      <c r="C764" t="inlineStr">
        <is>
          <t>D836</t>
        </is>
      </c>
      <c r="D764" t="inlineStr">
        <is>
          <t>65908426</t>
        </is>
      </c>
      <c r="E764" t="inlineStr">
        <is>
          <t>4</t>
        </is>
      </c>
      <c r="F764" t="inlineStr">
        <is>
          <t>10002802</t>
        </is>
      </c>
      <c r="H764" t="inlineStr"/>
      <c r="J764" t="n">
        <v>200.09</v>
      </c>
      <c r="K764" t="inlineStr"/>
      <c r="M764" t="inlineStr">
        <is>
          <t>M3</t>
        </is>
      </c>
      <c r="N764" t="inlineStr"/>
      <c r="P764" t="inlineStr">
        <is>
          <t>20240612</t>
        </is>
      </c>
      <c r="Q764" t="inlineStr">
        <is>
          <t>20240612</t>
        </is>
      </c>
    </row>
    <row r="765">
      <c r="A765" t="inlineStr">
        <is>
          <t>900004077D8366602440010002802</t>
        </is>
      </c>
      <c r="B765" t="inlineStr">
        <is>
          <t>900004077</t>
        </is>
      </c>
      <c r="C765" t="inlineStr">
        <is>
          <t>D836</t>
        </is>
      </c>
      <c r="D765" t="inlineStr">
        <is>
          <t>66024400</t>
        </is>
      </c>
      <c r="E765" t="inlineStr">
        <is>
          <t>4</t>
        </is>
      </c>
      <c r="F765" t="inlineStr">
        <is>
          <t>10002802</t>
        </is>
      </c>
      <c r="H765" t="inlineStr"/>
      <c r="J765" t="n">
        <v>95</v>
      </c>
      <c r="K765" t="inlineStr"/>
      <c r="M765" t="inlineStr">
        <is>
          <t>M3</t>
        </is>
      </c>
      <c r="N765" t="inlineStr"/>
      <c r="P765" t="inlineStr">
        <is>
          <t>20240612</t>
        </is>
      </c>
      <c r="Q765" t="inlineStr">
        <is>
          <t>20240612</t>
        </is>
      </c>
    </row>
    <row r="766">
      <c r="A766" t="inlineStr">
        <is>
          <t>900004077D8366618111310002802</t>
        </is>
      </c>
      <c r="B766" t="inlineStr">
        <is>
          <t>900004077</t>
        </is>
      </c>
      <c r="C766" t="inlineStr">
        <is>
          <t>D836</t>
        </is>
      </c>
      <c r="D766" t="inlineStr">
        <is>
          <t>66181113</t>
        </is>
      </c>
      <c r="E766" t="inlineStr">
        <is>
          <t>4</t>
        </is>
      </c>
      <c r="F766" t="inlineStr">
        <is>
          <t>10002802</t>
        </is>
      </c>
      <c r="H766" t="inlineStr"/>
      <c r="J766" t="n">
        <v>116</v>
      </c>
      <c r="K766" t="inlineStr"/>
      <c r="M766" t="inlineStr">
        <is>
          <t>M3</t>
        </is>
      </c>
      <c r="N766" t="inlineStr"/>
      <c r="P766" t="inlineStr">
        <is>
          <t>20240612</t>
        </is>
      </c>
      <c r="Q766" t="inlineStr">
        <is>
          <t>20240612</t>
        </is>
      </c>
    </row>
    <row r="767">
      <c r="A767" t="inlineStr">
        <is>
          <t>900004077D8366618111410002802</t>
        </is>
      </c>
      <c r="B767" t="inlineStr">
        <is>
          <t>900004077</t>
        </is>
      </c>
      <c r="C767" t="inlineStr">
        <is>
          <t>D836</t>
        </is>
      </c>
      <c r="D767" t="inlineStr">
        <is>
          <t>66181114</t>
        </is>
      </c>
      <c r="E767" t="inlineStr">
        <is>
          <t>4</t>
        </is>
      </c>
      <c r="F767" t="inlineStr">
        <is>
          <t>10002802</t>
        </is>
      </c>
      <c r="H767" t="inlineStr"/>
      <c r="J767" t="n">
        <v>95</v>
      </c>
      <c r="K767" t="inlineStr"/>
      <c r="M767" t="inlineStr">
        <is>
          <t>M3</t>
        </is>
      </c>
      <c r="N767" t="inlineStr"/>
      <c r="P767" t="inlineStr">
        <is>
          <t>20240612</t>
        </is>
      </c>
      <c r="Q767" t="inlineStr">
        <is>
          <t>20240612</t>
        </is>
      </c>
    </row>
    <row r="768">
      <c r="A768" t="inlineStr">
        <is>
          <t>900004077D8366626076010002802</t>
        </is>
      </c>
      <c r="B768" t="inlineStr">
        <is>
          <t>900004077</t>
        </is>
      </c>
      <c r="C768" t="inlineStr">
        <is>
          <t>D836</t>
        </is>
      </c>
      <c r="D768" t="inlineStr">
        <is>
          <t>66260760</t>
        </is>
      </c>
      <c r="E768" t="inlineStr">
        <is>
          <t>1</t>
        </is>
      </c>
      <c r="F768" t="inlineStr">
        <is>
          <t>10002802</t>
        </is>
      </c>
      <c r="H768" t="inlineStr"/>
      <c r="J768" t="n">
        <v>45.54</v>
      </c>
      <c r="K768" t="inlineStr"/>
      <c r="M768" t="inlineStr">
        <is>
          <t>M3</t>
        </is>
      </c>
      <c r="N768" t="inlineStr"/>
      <c r="P768" t="inlineStr">
        <is>
          <t>20240612</t>
        </is>
      </c>
      <c r="Q768" t="inlineStr">
        <is>
          <t>20240612</t>
        </is>
      </c>
    </row>
    <row r="769">
      <c r="A769" t="inlineStr">
        <is>
          <t>900004077D8366626076010002802</t>
        </is>
      </c>
      <c r="B769" t="inlineStr">
        <is>
          <t>900004077</t>
        </is>
      </c>
      <c r="C769" t="inlineStr">
        <is>
          <t>D836</t>
        </is>
      </c>
      <c r="D769" t="inlineStr">
        <is>
          <t>66260760</t>
        </is>
      </c>
      <c r="E769" t="inlineStr">
        <is>
          <t>2</t>
        </is>
      </c>
      <c r="F769" t="inlineStr">
        <is>
          <t>10002802</t>
        </is>
      </c>
      <c r="H769" t="inlineStr"/>
      <c r="J769" t="n">
        <v>0</v>
      </c>
      <c r="K769" t="inlineStr"/>
      <c r="M769" t="inlineStr">
        <is>
          <t>M3</t>
        </is>
      </c>
      <c r="N769" t="inlineStr"/>
      <c r="P769" t="inlineStr">
        <is>
          <t>20240612</t>
        </is>
      </c>
      <c r="Q769" t="inlineStr">
        <is>
          <t>20240612</t>
        </is>
      </c>
    </row>
    <row r="770">
      <c r="A770" t="inlineStr">
        <is>
          <t>900004077D8366626076010002802</t>
        </is>
      </c>
      <c r="B770" t="inlineStr">
        <is>
          <t>900004077</t>
        </is>
      </c>
      <c r="C770" t="inlineStr">
        <is>
          <t>D836</t>
        </is>
      </c>
      <c r="D770" t="inlineStr">
        <is>
          <t>66260760</t>
        </is>
      </c>
      <c r="E770" t="inlineStr">
        <is>
          <t>4</t>
        </is>
      </c>
      <c r="F770" t="inlineStr">
        <is>
          <t>10002802</t>
        </is>
      </c>
      <c r="H770" t="inlineStr"/>
      <c r="J770" t="n">
        <v>48.73</v>
      </c>
      <c r="K770" t="inlineStr"/>
      <c r="M770" t="inlineStr">
        <is>
          <t>M3</t>
        </is>
      </c>
      <c r="N770" t="inlineStr"/>
      <c r="P770" t="inlineStr">
        <is>
          <t>20240612</t>
        </is>
      </c>
      <c r="Q770" t="inlineStr">
        <is>
          <t>20240612</t>
        </is>
      </c>
    </row>
    <row r="771">
      <c r="A771" t="inlineStr">
        <is>
          <t>900004077D8366626594310002802</t>
        </is>
      </c>
      <c r="B771" t="inlineStr">
        <is>
          <t>900004077</t>
        </is>
      </c>
      <c r="C771" t="inlineStr">
        <is>
          <t>D836</t>
        </is>
      </c>
      <c r="D771" t="inlineStr">
        <is>
          <t>66265943</t>
        </is>
      </c>
      <c r="E771" t="inlineStr">
        <is>
          <t>4</t>
        </is>
      </c>
      <c r="F771" t="inlineStr">
        <is>
          <t>10002802</t>
        </is>
      </c>
      <c r="H771" t="inlineStr"/>
      <c r="J771" t="n">
        <v>116</v>
      </c>
      <c r="K771" t="inlineStr"/>
      <c r="M771" t="inlineStr">
        <is>
          <t>M3</t>
        </is>
      </c>
      <c r="N771" t="inlineStr"/>
      <c r="P771" t="inlineStr">
        <is>
          <t>20240612</t>
        </is>
      </c>
      <c r="Q771" t="inlineStr">
        <is>
          <t>20240612</t>
        </is>
      </c>
    </row>
    <row r="772">
      <c r="A772" t="inlineStr">
        <is>
          <t>900004077D8366626594410002802</t>
        </is>
      </c>
      <c r="B772" t="inlineStr">
        <is>
          <t>900004077</t>
        </is>
      </c>
      <c r="C772" t="inlineStr">
        <is>
          <t>D836</t>
        </is>
      </c>
      <c r="D772" t="inlineStr">
        <is>
          <t>66265944</t>
        </is>
      </c>
      <c r="E772" t="inlineStr">
        <is>
          <t>4</t>
        </is>
      </c>
      <c r="F772" t="inlineStr">
        <is>
          <t>10002802</t>
        </is>
      </c>
      <c r="H772" t="inlineStr"/>
      <c r="J772" t="n">
        <v>95</v>
      </c>
      <c r="K772" t="inlineStr"/>
      <c r="M772" t="inlineStr">
        <is>
          <t>M3</t>
        </is>
      </c>
      <c r="N772" t="inlineStr"/>
      <c r="P772" t="inlineStr">
        <is>
          <t>20240612</t>
        </is>
      </c>
      <c r="Q772" t="inlineStr">
        <is>
          <t>20240612</t>
        </is>
      </c>
    </row>
    <row r="773">
      <c r="A773" t="inlineStr">
        <is>
          <t>900004077D8366627940810002802</t>
        </is>
      </c>
      <c r="B773" t="inlineStr">
        <is>
          <t>900004077</t>
        </is>
      </c>
      <c r="C773" t="inlineStr">
        <is>
          <t>D836</t>
        </is>
      </c>
      <c r="D773" t="inlineStr">
        <is>
          <t>66279408</t>
        </is>
      </c>
      <c r="E773" t="inlineStr">
        <is>
          <t>4</t>
        </is>
      </c>
      <c r="F773" t="inlineStr">
        <is>
          <t>10002802</t>
        </is>
      </c>
      <c r="H773" t="inlineStr"/>
      <c r="J773" t="n">
        <v>116</v>
      </c>
      <c r="K773" t="inlineStr"/>
      <c r="M773" t="inlineStr">
        <is>
          <t>M3</t>
        </is>
      </c>
      <c r="N773" t="inlineStr"/>
      <c r="P773" t="inlineStr">
        <is>
          <t>20240612</t>
        </is>
      </c>
      <c r="Q773" t="inlineStr">
        <is>
          <t>20240612</t>
        </is>
      </c>
    </row>
    <row r="774">
      <c r="A774" t="inlineStr">
        <is>
          <t>900004077D8366627941010002802</t>
        </is>
      </c>
      <c r="B774" t="inlineStr">
        <is>
          <t>900004077</t>
        </is>
      </c>
      <c r="C774" t="inlineStr">
        <is>
          <t>D836</t>
        </is>
      </c>
      <c r="D774" t="inlineStr">
        <is>
          <t>66279410</t>
        </is>
      </c>
      <c r="E774" t="inlineStr">
        <is>
          <t>4</t>
        </is>
      </c>
      <c r="F774" t="inlineStr">
        <is>
          <t>10002802</t>
        </is>
      </c>
      <c r="H774" t="inlineStr"/>
      <c r="J774" t="n">
        <v>95</v>
      </c>
      <c r="K774" t="inlineStr"/>
      <c r="M774" t="inlineStr">
        <is>
          <t>M3</t>
        </is>
      </c>
      <c r="N774" t="inlineStr"/>
      <c r="P774" t="inlineStr">
        <is>
          <t>20240612</t>
        </is>
      </c>
      <c r="Q774" t="inlineStr">
        <is>
          <t>20240612</t>
        </is>
      </c>
    </row>
    <row r="775">
      <c r="A775" t="inlineStr">
        <is>
          <t>900004077D8366645007210002802</t>
        </is>
      </c>
      <c r="B775" t="inlineStr">
        <is>
          <t>900004077</t>
        </is>
      </c>
      <c r="C775" t="inlineStr">
        <is>
          <t>D836</t>
        </is>
      </c>
      <c r="D775" t="inlineStr">
        <is>
          <t>66450072</t>
        </is>
      </c>
      <c r="E775" t="inlineStr">
        <is>
          <t>1</t>
        </is>
      </c>
      <c r="F775" t="inlineStr">
        <is>
          <t>10002802</t>
        </is>
      </c>
      <c r="H775" t="inlineStr"/>
      <c r="J775" t="n">
        <v>215</v>
      </c>
      <c r="K775" t="inlineStr"/>
      <c r="M775" t="inlineStr">
        <is>
          <t>M3</t>
        </is>
      </c>
      <c r="N775" t="inlineStr"/>
      <c r="P775" t="inlineStr">
        <is>
          <t>20240612</t>
        </is>
      </c>
      <c r="Q775" t="inlineStr">
        <is>
          <t>20240612</t>
        </is>
      </c>
    </row>
    <row r="776">
      <c r="A776" t="inlineStr">
        <is>
          <t>900004077D8366682579710000623</t>
        </is>
      </c>
      <c r="B776" t="inlineStr">
        <is>
          <t>900004077</t>
        </is>
      </c>
      <c r="C776" t="inlineStr">
        <is>
          <t>D836</t>
        </is>
      </c>
      <c r="D776" t="inlineStr">
        <is>
          <t>66825797</t>
        </is>
      </c>
      <c r="E776" t="inlineStr">
        <is>
          <t>4</t>
        </is>
      </c>
      <c r="F776" t="inlineStr">
        <is>
          <t>10000623</t>
        </is>
      </c>
      <c r="H776" t="inlineStr"/>
      <c r="J776" t="n">
        <v>209.8</v>
      </c>
      <c r="K776" t="inlineStr"/>
      <c r="M776" t="inlineStr">
        <is>
          <t>M3</t>
        </is>
      </c>
      <c r="N776" t="inlineStr"/>
      <c r="P776" t="inlineStr">
        <is>
          <t>20190426</t>
        </is>
      </c>
      <c r="Q776" t="inlineStr">
        <is>
          <t>20250127</t>
        </is>
      </c>
    </row>
    <row r="777">
      <c r="A777" t="inlineStr">
        <is>
          <t>900004077D8366682579710002802</t>
        </is>
      </c>
      <c r="B777" t="inlineStr">
        <is>
          <t>900004077</t>
        </is>
      </c>
      <c r="C777" t="inlineStr">
        <is>
          <t>D836</t>
        </is>
      </c>
      <c r="D777" t="inlineStr">
        <is>
          <t>66825797</t>
        </is>
      </c>
      <c r="E777" t="inlineStr">
        <is>
          <t>4</t>
        </is>
      </c>
      <c r="F777" t="inlineStr">
        <is>
          <t>10002802</t>
        </is>
      </c>
      <c r="H777" t="inlineStr"/>
      <c r="J777" t="n">
        <v>189.19</v>
      </c>
      <c r="K777" t="inlineStr"/>
      <c r="M777" t="inlineStr">
        <is>
          <t>M3</t>
        </is>
      </c>
      <c r="N777" t="inlineStr"/>
      <c r="P777" t="inlineStr">
        <is>
          <t>20240612</t>
        </is>
      </c>
      <c r="Q777" t="inlineStr">
        <is>
          <t>20240612</t>
        </is>
      </c>
    </row>
    <row r="778">
      <c r="A778" t="inlineStr">
        <is>
          <t>900004077D8366682579710184010</t>
        </is>
      </c>
      <c r="B778" t="inlineStr">
        <is>
          <t>900004077</t>
        </is>
      </c>
      <c r="C778" t="inlineStr">
        <is>
          <t>D836</t>
        </is>
      </c>
      <c r="D778" t="inlineStr">
        <is>
          <t>66825797</t>
        </is>
      </c>
      <c r="E778" t="inlineStr">
        <is>
          <t>4</t>
        </is>
      </c>
      <c r="F778" t="inlineStr">
        <is>
          <t>10184010</t>
        </is>
      </c>
      <c r="H778" t="inlineStr"/>
      <c r="J778" t="n">
        <v>202.5</v>
      </c>
      <c r="K778" t="inlineStr"/>
      <c r="M778" t="inlineStr">
        <is>
          <t>M3</t>
        </is>
      </c>
      <c r="N778" t="inlineStr"/>
      <c r="P778" t="inlineStr">
        <is>
          <t>20190426</t>
        </is>
      </c>
      <c r="Q778" t="inlineStr">
        <is>
          <t>20250127</t>
        </is>
      </c>
    </row>
    <row r="779">
      <c r="A779" t="inlineStr">
        <is>
          <t>900004077D8366682579710184011</t>
        </is>
      </c>
      <c r="B779" t="inlineStr">
        <is>
          <t>900004077</t>
        </is>
      </c>
      <c r="C779" t="inlineStr">
        <is>
          <t>D836</t>
        </is>
      </c>
      <c r="D779" t="inlineStr">
        <is>
          <t>66825797</t>
        </is>
      </c>
      <c r="E779" t="inlineStr">
        <is>
          <t>4</t>
        </is>
      </c>
      <c r="F779" t="inlineStr">
        <is>
          <t>10184011</t>
        </is>
      </c>
      <c r="H779" t="inlineStr"/>
      <c r="J779" t="n">
        <v>202.5</v>
      </c>
      <c r="K779" t="inlineStr"/>
      <c r="M779" t="inlineStr">
        <is>
          <t>M3</t>
        </is>
      </c>
      <c r="N779" t="inlineStr"/>
      <c r="P779" t="inlineStr">
        <is>
          <t>20190426</t>
        </is>
      </c>
      <c r="Q779" t="inlineStr">
        <is>
          <t>20250127</t>
        </is>
      </c>
    </row>
    <row r="780">
      <c r="A780" t="inlineStr">
        <is>
          <t>900004077D8366682579710184142</t>
        </is>
      </c>
      <c r="B780" t="inlineStr">
        <is>
          <t>900004077</t>
        </is>
      </c>
      <c r="C780" t="inlineStr">
        <is>
          <t>D836</t>
        </is>
      </c>
      <c r="D780" t="inlineStr">
        <is>
          <t>66825797</t>
        </is>
      </c>
      <c r="E780" t="inlineStr">
        <is>
          <t>4</t>
        </is>
      </c>
      <c r="F780" t="inlineStr">
        <is>
          <t>10184142</t>
        </is>
      </c>
      <c r="H780" t="inlineStr"/>
      <c r="J780" t="n">
        <v>202.5</v>
      </c>
      <c r="K780" t="inlineStr"/>
      <c r="M780" t="inlineStr">
        <is>
          <t>M3</t>
        </is>
      </c>
      <c r="N780" t="inlineStr"/>
      <c r="P780" t="inlineStr">
        <is>
          <t>20190426</t>
        </is>
      </c>
      <c r="Q780" t="inlineStr">
        <is>
          <t>20250127</t>
        </is>
      </c>
    </row>
    <row r="781">
      <c r="A781" t="inlineStr">
        <is>
          <t>900004077D8366683832610000357</t>
        </is>
      </c>
      <c r="B781" t="inlineStr">
        <is>
          <t>900004077</t>
        </is>
      </c>
      <c r="C781" t="inlineStr">
        <is>
          <t>D836</t>
        </is>
      </c>
      <c r="D781" t="inlineStr">
        <is>
          <t>66838326</t>
        </is>
      </c>
      <c r="E781" t="inlineStr">
        <is>
          <t>4</t>
        </is>
      </c>
      <c r="F781" t="inlineStr">
        <is>
          <t>10000357</t>
        </is>
      </c>
      <c r="H781" t="inlineStr"/>
      <c r="J781" t="n">
        <v>148.01</v>
      </c>
      <c r="K781" t="inlineStr"/>
      <c r="M781" t="inlineStr">
        <is>
          <t>TN</t>
        </is>
      </c>
      <c r="N781" t="inlineStr"/>
      <c r="P781" t="inlineStr">
        <is>
          <t>20190426</t>
        </is>
      </c>
      <c r="Q781" t="inlineStr">
        <is>
          <t>20250127</t>
        </is>
      </c>
    </row>
    <row r="782">
      <c r="A782" t="inlineStr">
        <is>
          <t>900004077D8366683832610000623</t>
        </is>
      </c>
      <c r="B782" t="inlineStr">
        <is>
          <t>900004077</t>
        </is>
      </c>
      <c r="C782" t="inlineStr">
        <is>
          <t>D836</t>
        </is>
      </c>
      <c r="D782" t="inlineStr">
        <is>
          <t>66838326</t>
        </is>
      </c>
      <c r="E782" t="inlineStr">
        <is>
          <t>4</t>
        </is>
      </c>
      <c r="F782" t="inlineStr">
        <is>
          <t>10000623</t>
        </is>
      </c>
      <c r="H782" t="inlineStr"/>
      <c r="J782" t="n">
        <v>138.3</v>
      </c>
      <c r="K782" t="inlineStr"/>
      <c r="M782" t="inlineStr">
        <is>
          <t>TN</t>
        </is>
      </c>
      <c r="N782" t="inlineStr"/>
      <c r="P782" t="inlineStr">
        <is>
          <t>20190426</t>
        </is>
      </c>
      <c r="Q782" t="inlineStr">
        <is>
          <t>20250127</t>
        </is>
      </c>
    </row>
    <row r="783">
      <c r="A783" t="inlineStr">
        <is>
          <t>900004077D8366683832610000627</t>
        </is>
      </c>
      <c r="B783" t="inlineStr">
        <is>
          <t>900004077</t>
        </is>
      </c>
      <c r="C783" t="inlineStr">
        <is>
          <t>D836</t>
        </is>
      </c>
      <c r="D783" t="inlineStr">
        <is>
          <t>66838326</t>
        </is>
      </c>
      <c r="E783" t="inlineStr">
        <is>
          <t>4</t>
        </is>
      </c>
      <c r="F783" t="inlineStr">
        <is>
          <t>10000627</t>
        </is>
      </c>
      <c r="H783" t="inlineStr"/>
      <c r="J783" t="n">
        <v>209</v>
      </c>
      <c r="K783" t="inlineStr"/>
      <c r="M783" t="inlineStr">
        <is>
          <t>M3</t>
        </is>
      </c>
      <c r="N783" t="inlineStr"/>
      <c r="P783" t="inlineStr">
        <is>
          <t>20190426</t>
        </is>
      </c>
      <c r="Q783" t="inlineStr">
        <is>
          <t>20250127</t>
        </is>
      </c>
    </row>
    <row r="784">
      <c r="A784" t="inlineStr">
        <is>
          <t>900004077D8366683832610002802</t>
        </is>
      </c>
      <c r="B784" t="inlineStr">
        <is>
          <t>900004077</t>
        </is>
      </c>
      <c r="C784" t="inlineStr">
        <is>
          <t>D836</t>
        </is>
      </c>
      <c r="D784" t="inlineStr">
        <is>
          <t>66838326</t>
        </is>
      </c>
      <c r="E784" t="inlineStr">
        <is>
          <t>4</t>
        </is>
      </c>
      <c r="F784" t="inlineStr">
        <is>
          <t>10002802</t>
        </is>
      </c>
      <c r="H784" t="inlineStr"/>
      <c r="J784" t="n">
        <v>246</v>
      </c>
      <c r="K784" t="inlineStr"/>
      <c r="M784" t="inlineStr">
        <is>
          <t>M3</t>
        </is>
      </c>
      <c r="N784" t="inlineStr"/>
      <c r="P784" t="inlineStr">
        <is>
          <t>20240612</t>
        </is>
      </c>
      <c r="Q784" t="inlineStr">
        <is>
          <t>20240612</t>
        </is>
      </c>
    </row>
    <row r="785">
      <c r="A785" t="inlineStr">
        <is>
          <t>900004077D8366683832610184010</t>
        </is>
      </c>
      <c r="B785" t="inlineStr">
        <is>
          <t>900004077</t>
        </is>
      </c>
      <c r="C785" t="inlineStr">
        <is>
          <t>D836</t>
        </is>
      </c>
      <c r="D785" t="inlineStr">
        <is>
          <t>66838326</t>
        </is>
      </c>
      <c r="E785" t="inlineStr">
        <is>
          <t>4</t>
        </is>
      </c>
      <c r="F785" t="inlineStr">
        <is>
          <t>10184010</t>
        </is>
      </c>
      <c r="H785" t="inlineStr"/>
      <c r="J785" t="n">
        <v>138.3</v>
      </c>
      <c r="K785" t="inlineStr"/>
      <c r="M785" t="inlineStr">
        <is>
          <t>TN</t>
        </is>
      </c>
      <c r="N785" t="inlineStr"/>
      <c r="P785" t="inlineStr">
        <is>
          <t>20190426</t>
        </is>
      </c>
      <c r="Q785" t="inlineStr">
        <is>
          <t>20250127</t>
        </is>
      </c>
    </row>
    <row r="786">
      <c r="A786" t="inlineStr">
        <is>
          <t>900004077D8366683832610184011</t>
        </is>
      </c>
      <c r="B786" t="inlineStr">
        <is>
          <t>900004077</t>
        </is>
      </c>
      <c r="C786" t="inlineStr">
        <is>
          <t>D836</t>
        </is>
      </c>
      <c r="D786" t="inlineStr">
        <is>
          <t>66838326</t>
        </is>
      </c>
      <c r="E786" t="inlineStr">
        <is>
          <t>4</t>
        </is>
      </c>
      <c r="F786" t="inlineStr">
        <is>
          <t>10184011</t>
        </is>
      </c>
      <c r="H786" t="inlineStr"/>
      <c r="J786" t="n">
        <v>136.8</v>
      </c>
      <c r="K786" t="inlineStr"/>
      <c r="M786" t="inlineStr">
        <is>
          <t>TN</t>
        </is>
      </c>
      <c r="N786" t="inlineStr"/>
      <c r="P786" t="inlineStr">
        <is>
          <t>20190426</t>
        </is>
      </c>
      <c r="Q786" t="inlineStr">
        <is>
          <t>20250127</t>
        </is>
      </c>
    </row>
    <row r="787">
      <c r="A787" t="inlineStr">
        <is>
          <t>900004077D8366683832610184142</t>
        </is>
      </c>
      <c r="B787" t="inlineStr">
        <is>
          <t>900004077</t>
        </is>
      </c>
      <c r="C787" t="inlineStr">
        <is>
          <t>D836</t>
        </is>
      </c>
      <c r="D787" t="inlineStr">
        <is>
          <t>66838326</t>
        </is>
      </c>
      <c r="E787" t="inlineStr">
        <is>
          <t>4</t>
        </is>
      </c>
      <c r="F787" t="inlineStr">
        <is>
          <t>10184142</t>
        </is>
      </c>
      <c r="H787" t="inlineStr"/>
      <c r="J787" t="n">
        <v>135.32</v>
      </c>
      <c r="K787" t="inlineStr"/>
      <c r="M787" t="inlineStr">
        <is>
          <t>TN</t>
        </is>
      </c>
      <c r="N787" t="inlineStr"/>
      <c r="P787" t="inlineStr">
        <is>
          <t>20190426</t>
        </is>
      </c>
      <c r="Q787" t="inlineStr">
        <is>
          <t>20250127</t>
        </is>
      </c>
    </row>
    <row r="788">
      <c r="A788" t="inlineStr">
        <is>
          <t>900004077D8366683832610192909</t>
        </is>
      </c>
      <c r="B788" t="inlineStr">
        <is>
          <t>900004077</t>
        </is>
      </c>
      <c r="C788" t="inlineStr">
        <is>
          <t>D836</t>
        </is>
      </c>
      <c r="D788" t="inlineStr">
        <is>
          <t>66838326</t>
        </is>
      </c>
      <c r="E788" t="inlineStr">
        <is>
          <t>4</t>
        </is>
      </c>
      <c r="F788" t="inlineStr">
        <is>
          <t>10192909</t>
        </is>
      </c>
      <c r="H788" t="inlineStr"/>
      <c r="J788" t="n">
        <v>190</v>
      </c>
      <c r="K788" t="inlineStr"/>
      <c r="M788" t="inlineStr">
        <is>
          <t>TN</t>
        </is>
      </c>
      <c r="N788" t="inlineStr"/>
      <c r="P788" t="inlineStr">
        <is>
          <t>20190426</t>
        </is>
      </c>
      <c r="Q788" t="inlineStr">
        <is>
          <t>20250127</t>
        </is>
      </c>
    </row>
    <row r="789">
      <c r="A789" t="inlineStr">
        <is>
          <t>900004077D8366683832610192940</t>
        </is>
      </c>
      <c r="B789" t="inlineStr">
        <is>
          <t>900004077</t>
        </is>
      </c>
      <c r="C789" t="inlineStr">
        <is>
          <t>D836</t>
        </is>
      </c>
      <c r="D789" t="inlineStr">
        <is>
          <t>66838326</t>
        </is>
      </c>
      <c r="E789" t="inlineStr">
        <is>
          <t>4</t>
        </is>
      </c>
      <c r="F789" t="inlineStr">
        <is>
          <t>10192940</t>
        </is>
      </c>
      <c r="H789" t="inlineStr"/>
      <c r="J789" t="n">
        <v>190</v>
      </c>
      <c r="K789" t="inlineStr"/>
      <c r="M789" t="inlineStr">
        <is>
          <t>TN</t>
        </is>
      </c>
      <c r="N789" t="inlineStr"/>
      <c r="P789" t="inlineStr">
        <is>
          <t>20190426</t>
        </is>
      </c>
      <c r="Q789" t="inlineStr">
        <is>
          <t>20250127</t>
        </is>
      </c>
    </row>
    <row r="790">
      <c r="A790" t="inlineStr">
        <is>
          <t>900004077D8366683832610192941</t>
        </is>
      </c>
      <c r="B790" t="inlineStr">
        <is>
          <t>900004077</t>
        </is>
      </c>
      <c r="C790" t="inlineStr">
        <is>
          <t>D836</t>
        </is>
      </c>
      <c r="D790" t="inlineStr">
        <is>
          <t>66838326</t>
        </is>
      </c>
      <c r="E790" t="inlineStr">
        <is>
          <t>4</t>
        </is>
      </c>
      <c r="F790" t="inlineStr">
        <is>
          <t>10192941</t>
        </is>
      </c>
      <c r="H790" t="inlineStr"/>
      <c r="J790" t="n">
        <v>170</v>
      </c>
      <c r="K790" t="inlineStr"/>
      <c r="M790" t="inlineStr">
        <is>
          <t>TN</t>
        </is>
      </c>
      <c r="N790" t="inlineStr"/>
      <c r="P790" t="inlineStr">
        <is>
          <t>20190426</t>
        </is>
      </c>
      <c r="Q790" t="inlineStr">
        <is>
          <t>20250127</t>
        </is>
      </c>
    </row>
    <row r="791">
      <c r="A791" t="inlineStr">
        <is>
          <t>900004077D8366683832610192942</t>
        </is>
      </c>
      <c r="B791" t="inlineStr">
        <is>
          <t>900004077</t>
        </is>
      </c>
      <c r="C791" t="inlineStr">
        <is>
          <t>D836</t>
        </is>
      </c>
      <c r="D791" t="inlineStr">
        <is>
          <t>66838326</t>
        </is>
      </c>
      <c r="E791" t="inlineStr">
        <is>
          <t>4</t>
        </is>
      </c>
      <c r="F791" t="inlineStr">
        <is>
          <t>10192942</t>
        </is>
      </c>
      <c r="H791" t="inlineStr"/>
      <c r="J791" t="n">
        <v>159</v>
      </c>
      <c r="K791" t="inlineStr"/>
      <c r="M791" t="inlineStr">
        <is>
          <t>TN</t>
        </is>
      </c>
      <c r="N791" t="inlineStr"/>
      <c r="P791" t="inlineStr">
        <is>
          <t>20190426</t>
        </is>
      </c>
      <c r="Q791" t="inlineStr">
        <is>
          <t>20250127</t>
        </is>
      </c>
    </row>
    <row r="792">
      <c r="A792" t="inlineStr">
        <is>
          <t>900004077D8366683832610192943</t>
        </is>
      </c>
      <c r="B792" t="inlineStr">
        <is>
          <t>900004077</t>
        </is>
      </c>
      <c r="C792" t="inlineStr">
        <is>
          <t>D836</t>
        </is>
      </c>
      <c r="D792" t="inlineStr">
        <is>
          <t>66838326</t>
        </is>
      </c>
      <c r="E792" t="inlineStr">
        <is>
          <t>4</t>
        </is>
      </c>
      <c r="F792" t="inlineStr">
        <is>
          <t>10192943</t>
        </is>
      </c>
      <c r="H792" t="inlineStr"/>
      <c r="J792" t="n">
        <v>163</v>
      </c>
      <c r="K792" t="inlineStr"/>
      <c r="M792" t="inlineStr">
        <is>
          <t>TN</t>
        </is>
      </c>
      <c r="N792" t="inlineStr"/>
      <c r="P792" t="inlineStr">
        <is>
          <t>20190426</t>
        </is>
      </c>
      <c r="Q792" t="inlineStr">
        <is>
          <t>20250127</t>
        </is>
      </c>
    </row>
    <row r="793">
      <c r="A793" t="inlineStr">
        <is>
          <t>900004077D8366683832610192944</t>
        </is>
      </c>
      <c r="B793" t="inlineStr">
        <is>
          <t>900004077</t>
        </is>
      </c>
      <c r="C793" t="inlineStr">
        <is>
          <t>D836</t>
        </is>
      </c>
      <c r="D793" t="inlineStr">
        <is>
          <t>66838326</t>
        </is>
      </c>
      <c r="E793" t="inlineStr">
        <is>
          <t>4</t>
        </is>
      </c>
      <c r="F793" t="inlineStr">
        <is>
          <t>10192944</t>
        </is>
      </c>
      <c r="H793" t="inlineStr"/>
      <c r="J793" t="n">
        <v>170</v>
      </c>
      <c r="K793" t="inlineStr"/>
      <c r="M793" t="inlineStr">
        <is>
          <t>TN</t>
        </is>
      </c>
      <c r="N793" t="inlineStr"/>
      <c r="P793" t="inlineStr">
        <is>
          <t>20190426</t>
        </is>
      </c>
      <c r="Q793" t="inlineStr">
        <is>
          <t>20250127</t>
        </is>
      </c>
    </row>
    <row r="794">
      <c r="A794" t="inlineStr">
        <is>
          <t>900004077D8366683832610192945</t>
        </is>
      </c>
      <c r="B794" t="inlineStr">
        <is>
          <t>900004077</t>
        </is>
      </c>
      <c r="C794" t="inlineStr">
        <is>
          <t>D836</t>
        </is>
      </c>
      <c r="D794" t="inlineStr">
        <is>
          <t>66838326</t>
        </is>
      </c>
      <c r="E794" t="inlineStr">
        <is>
          <t>4</t>
        </is>
      </c>
      <c r="F794" t="inlineStr">
        <is>
          <t>10192945</t>
        </is>
      </c>
      <c r="H794" t="inlineStr"/>
      <c r="J794" t="n">
        <v>170</v>
      </c>
      <c r="K794" t="inlineStr"/>
      <c r="M794" t="inlineStr">
        <is>
          <t>TN</t>
        </is>
      </c>
      <c r="N794" t="inlineStr"/>
      <c r="P794" t="inlineStr">
        <is>
          <t>20190426</t>
        </is>
      </c>
      <c r="Q794" t="inlineStr">
        <is>
          <t>20250127</t>
        </is>
      </c>
    </row>
    <row r="795">
      <c r="A795" t="inlineStr">
        <is>
          <t>900004077D8366686554710000357</t>
        </is>
      </c>
      <c r="B795" t="inlineStr">
        <is>
          <t>900004077</t>
        </is>
      </c>
      <c r="C795" t="inlineStr">
        <is>
          <t>D836</t>
        </is>
      </c>
      <c r="D795" t="inlineStr">
        <is>
          <t>66865547</t>
        </is>
      </c>
      <c r="E795" t="inlineStr">
        <is>
          <t>4</t>
        </is>
      </c>
      <c r="F795" t="inlineStr">
        <is>
          <t>10000357</t>
        </is>
      </c>
      <c r="H795" t="inlineStr"/>
      <c r="J795" t="n">
        <v>148.01</v>
      </c>
      <c r="K795" t="inlineStr"/>
      <c r="M795" t="inlineStr">
        <is>
          <t>TN</t>
        </is>
      </c>
      <c r="N795" t="inlineStr"/>
      <c r="P795" t="inlineStr">
        <is>
          <t>20190426</t>
        </is>
      </c>
      <c r="Q795" t="inlineStr">
        <is>
          <t>20250127</t>
        </is>
      </c>
    </row>
    <row r="796">
      <c r="A796" t="inlineStr">
        <is>
          <t>900004077D8366686554710000623</t>
        </is>
      </c>
      <c r="B796" t="inlineStr">
        <is>
          <t>900004077</t>
        </is>
      </c>
      <c r="C796" t="inlineStr">
        <is>
          <t>D836</t>
        </is>
      </c>
      <c r="D796" t="inlineStr">
        <is>
          <t>66865547</t>
        </is>
      </c>
      <c r="E796" t="inlineStr">
        <is>
          <t>4</t>
        </is>
      </c>
      <c r="F796" t="inlineStr">
        <is>
          <t>10000623</t>
        </is>
      </c>
      <c r="H796" t="inlineStr"/>
      <c r="J796" t="n">
        <v>138.3</v>
      </c>
      <c r="K796" t="inlineStr"/>
      <c r="M796" t="inlineStr">
        <is>
          <t>TN</t>
        </is>
      </c>
      <c r="N796" t="inlineStr"/>
      <c r="P796" t="inlineStr">
        <is>
          <t>20190426</t>
        </is>
      </c>
      <c r="Q796" t="inlineStr">
        <is>
          <t>20250127</t>
        </is>
      </c>
    </row>
    <row r="797">
      <c r="A797" t="inlineStr">
        <is>
          <t>900004077D8366686554710000627</t>
        </is>
      </c>
      <c r="B797" t="inlineStr">
        <is>
          <t>900004077</t>
        </is>
      </c>
      <c r="C797" t="inlineStr">
        <is>
          <t>D836</t>
        </is>
      </c>
      <c r="D797" t="inlineStr">
        <is>
          <t>66865547</t>
        </is>
      </c>
      <c r="E797" t="inlineStr">
        <is>
          <t>4</t>
        </is>
      </c>
      <c r="F797" t="inlineStr">
        <is>
          <t>10000627</t>
        </is>
      </c>
      <c r="H797" t="inlineStr"/>
      <c r="J797" t="n">
        <v>228.34</v>
      </c>
      <c r="K797" t="inlineStr"/>
      <c r="M797" t="inlineStr">
        <is>
          <t>M3</t>
        </is>
      </c>
      <c r="N797" t="inlineStr"/>
      <c r="P797" t="inlineStr">
        <is>
          <t>20190426</t>
        </is>
      </c>
      <c r="Q797" t="inlineStr">
        <is>
          <t>20250127</t>
        </is>
      </c>
    </row>
    <row r="798">
      <c r="A798" t="inlineStr">
        <is>
          <t>900004077D8366686554710002802</t>
        </is>
      </c>
      <c r="B798" t="inlineStr">
        <is>
          <t>900004077</t>
        </is>
      </c>
      <c r="C798" t="inlineStr">
        <is>
          <t>D836</t>
        </is>
      </c>
      <c r="D798" t="inlineStr">
        <is>
          <t>66865547</t>
        </is>
      </c>
      <c r="E798" t="inlineStr">
        <is>
          <t>4</t>
        </is>
      </c>
      <c r="F798" t="inlineStr">
        <is>
          <t>10002802</t>
        </is>
      </c>
      <c r="H798" t="inlineStr"/>
      <c r="J798" t="n">
        <v>212.5</v>
      </c>
      <c r="K798" t="inlineStr"/>
      <c r="M798" t="inlineStr">
        <is>
          <t>M3</t>
        </is>
      </c>
      <c r="N798" t="inlineStr"/>
      <c r="P798" t="inlineStr">
        <is>
          <t>20240612</t>
        </is>
      </c>
      <c r="Q798" t="inlineStr">
        <is>
          <t>20240612</t>
        </is>
      </c>
    </row>
    <row r="799">
      <c r="A799" t="inlineStr">
        <is>
          <t>900004077D8366686554710184010</t>
        </is>
      </c>
      <c r="B799" t="inlineStr">
        <is>
          <t>900004077</t>
        </is>
      </c>
      <c r="C799" t="inlineStr">
        <is>
          <t>D836</t>
        </is>
      </c>
      <c r="D799" t="inlineStr">
        <is>
          <t>66865547</t>
        </is>
      </c>
      <c r="E799" t="inlineStr">
        <is>
          <t>4</t>
        </is>
      </c>
      <c r="F799" t="inlineStr">
        <is>
          <t>10184010</t>
        </is>
      </c>
      <c r="H799" t="inlineStr"/>
      <c r="J799" t="n">
        <v>138.3</v>
      </c>
      <c r="K799" t="inlineStr"/>
      <c r="M799" t="inlineStr">
        <is>
          <t>TN</t>
        </is>
      </c>
      <c r="N799" t="inlineStr"/>
      <c r="P799" t="inlineStr">
        <is>
          <t>20190426</t>
        </is>
      </c>
      <c r="Q799" t="inlineStr">
        <is>
          <t>20250127</t>
        </is>
      </c>
    </row>
    <row r="800">
      <c r="A800" t="inlineStr">
        <is>
          <t>900004077D8366686554710184011</t>
        </is>
      </c>
      <c r="B800" t="inlineStr">
        <is>
          <t>900004077</t>
        </is>
      </c>
      <c r="C800" t="inlineStr">
        <is>
          <t>D836</t>
        </is>
      </c>
      <c r="D800" t="inlineStr">
        <is>
          <t>66865547</t>
        </is>
      </c>
      <c r="E800" t="inlineStr">
        <is>
          <t>4</t>
        </is>
      </c>
      <c r="F800" t="inlineStr">
        <is>
          <t>10184011</t>
        </is>
      </c>
      <c r="H800" t="inlineStr"/>
      <c r="J800" t="n">
        <v>136.8</v>
      </c>
      <c r="K800" t="inlineStr"/>
      <c r="M800" t="inlineStr">
        <is>
          <t>TN</t>
        </is>
      </c>
      <c r="N800" t="inlineStr"/>
      <c r="P800" t="inlineStr">
        <is>
          <t>20190426</t>
        </is>
      </c>
      <c r="Q800" t="inlineStr">
        <is>
          <t>20250127</t>
        </is>
      </c>
    </row>
    <row r="801">
      <c r="A801" t="inlineStr">
        <is>
          <t>900004077D8366686554710184142</t>
        </is>
      </c>
      <c r="B801" t="inlineStr">
        <is>
          <t>900004077</t>
        </is>
      </c>
      <c r="C801" t="inlineStr">
        <is>
          <t>D836</t>
        </is>
      </c>
      <c r="D801" t="inlineStr">
        <is>
          <t>66865547</t>
        </is>
      </c>
      <c r="E801" t="inlineStr">
        <is>
          <t>4</t>
        </is>
      </c>
      <c r="F801" t="inlineStr">
        <is>
          <t>10184142</t>
        </is>
      </c>
      <c r="H801" t="inlineStr"/>
      <c r="J801" t="n">
        <v>135.32</v>
      </c>
      <c r="K801" t="inlineStr"/>
      <c r="M801" t="inlineStr">
        <is>
          <t>TN</t>
        </is>
      </c>
      <c r="N801" t="inlineStr"/>
      <c r="P801" t="inlineStr">
        <is>
          <t>20190426</t>
        </is>
      </c>
      <c r="Q801" t="inlineStr">
        <is>
          <t>20250127</t>
        </is>
      </c>
    </row>
    <row r="802">
      <c r="A802" t="inlineStr">
        <is>
          <t>900004077D8366687461610002802</t>
        </is>
      </c>
      <c r="B802" t="inlineStr">
        <is>
          <t>900004077</t>
        </is>
      </c>
      <c r="C802" t="inlineStr">
        <is>
          <t>D836</t>
        </is>
      </c>
      <c r="D802" t="inlineStr">
        <is>
          <t>66874616</t>
        </is>
      </c>
      <c r="E802" t="inlineStr">
        <is>
          <t>4</t>
        </is>
      </c>
      <c r="F802" t="inlineStr">
        <is>
          <t>10002802</t>
        </is>
      </c>
      <c r="H802" t="inlineStr"/>
      <c r="J802" t="n">
        <v>246</v>
      </c>
      <c r="K802" t="inlineStr"/>
      <c r="M802" t="inlineStr">
        <is>
          <t>M3</t>
        </is>
      </c>
      <c r="N802" t="inlineStr"/>
      <c r="P802" t="inlineStr">
        <is>
          <t>20240612</t>
        </is>
      </c>
      <c r="Q802" t="inlineStr">
        <is>
          <t>20240612</t>
        </is>
      </c>
    </row>
    <row r="803">
      <c r="A803" t="inlineStr">
        <is>
          <t>900004077D8366687461610192909</t>
        </is>
      </c>
      <c r="B803" t="inlineStr">
        <is>
          <t>900004077</t>
        </is>
      </c>
      <c r="C803" t="inlineStr">
        <is>
          <t>D836</t>
        </is>
      </c>
      <c r="D803" t="inlineStr">
        <is>
          <t>66874616</t>
        </is>
      </c>
      <c r="E803" t="inlineStr">
        <is>
          <t>4</t>
        </is>
      </c>
      <c r="F803" t="inlineStr">
        <is>
          <t>10192909</t>
        </is>
      </c>
      <c r="H803" t="inlineStr"/>
      <c r="J803" t="n">
        <v>190</v>
      </c>
      <c r="K803" t="inlineStr"/>
      <c r="M803" t="inlineStr">
        <is>
          <t>TN</t>
        </is>
      </c>
      <c r="N803" t="inlineStr"/>
      <c r="P803" t="inlineStr">
        <is>
          <t>20190426</t>
        </is>
      </c>
      <c r="Q803" t="inlineStr">
        <is>
          <t>20250127</t>
        </is>
      </c>
    </row>
    <row r="804">
      <c r="A804" t="inlineStr">
        <is>
          <t>900004077D8366687461610192940</t>
        </is>
      </c>
      <c r="B804" t="inlineStr">
        <is>
          <t>900004077</t>
        </is>
      </c>
      <c r="C804" t="inlineStr">
        <is>
          <t>D836</t>
        </is>
      </c>
      <c r="D804" t="inlineStr">
        <is>
          <t>66874616</t>
        </is>
      </c>
      <c r="E804" t="inlineStr">
        <is>
          <t>4</t>
        </is>
      </c>
      <c r="F804" t="inlineStr">
        <is>
          <t>10192940</t>
        </is>
      </c>
      <c r="H804" t="inlineStr"/>
      <c r="J804" t="n">
        <v>190</v>
      </c>
      <c r="K804" t="inlineStr"/>
      <c r="M804" t="inlineStr">
        <is>
          <t>TN</t>
        </is>
      </c>
      <c r="N804" t="inlineStr"/>
      <c r="P804" t="inlineStr">
        <is>
          <t>20190426</t>
        </is>
      </c>
      <c r="Q804" t="inlineStr">
        <is>
          <t>20250127</t>
        </is>
      </c>
    </row>
    <row r="805">
      <c r="A805" t="inlineStr">
        <is>
          <t>900004077D8366687461610192941</t>
        </is>
      </c>
      <c r="B805" t="inlineStr">
        <is>
          <t>900004077</t>
        </is>
      </c>
      <c r="C805" t="inlineStr">
        <is>
          <t>D836</t>
        </is>
      </c>
      <c r="D805" t="inlineStr">
        <is>
          <t>66874616</t>
        </is>
      </c>
      <c r="E805" t="inlineStr">
        <is>
          <t>4</t>
        </is>
      </c>
      <c r="F805" t="inlineStr">
        <is>
          <t>10192941</t>
        </is>
      </c>
      <c r="H805" t="inlineStr"/>
      <c r="J805" t="n">
        <v>170</v>
      </c>
      <c r="K805" t="inlineStr"/>
      <c r="M805" t="inlineStr">
        <is>
          <t>TN</t>
        </is>
      </c>
      <c r="N805" t="inlineStr"/>
      <c r="P805" t="inlineStr">
        <is>
          <t>20190426</t>
        </is>
      </c>
      <c r="Q805" t="inlineStr">
        <is>
          <t>20250127</t>
        </is>
      </c>
    </row>
    <row r="806">
      <c r="A806" t="inlineStr">
        <is>
          <t>900004077D8366687461610192942</t>
        </is>
      </c>
      <c r="B806" t="inlineStr">
        <is>
          <t>900004077</t>
        </is>
      </c>
      <c r="C806" t="inlineStr">
        <is>
          <t>D836</t>
        </is>
      </c>
      <c r="D806" t="inlineStr">
        <is>
          <t>66874616</t>
        </is>
      </c>
      <c r="E806" t="inlineStr">
        <is>
          <t>4</t>
        </is>
      </c>
      <c r="F806" t="inlineStr">
        <is>
          <t>10192942</t>
        </is>
      </c>
      <c r="H806" t="inlineStr"/>
      <c r="J806" t="n">
        <v>159</v>
      </c>
      <c r="K806" t="inlineStr"/>
      <c r="M806" t="inlineStr">
        <is>
          <t>TN</t>
        </is>
      </c>
      <c r="N806" t="inlineStr"/>
      <c r="P806" t="inlineStr">
        <is>
          <t>20190426</t>
        </is>
      </c>
      <c r="Q806" t="inlineStr">
        <is>
          <t>20250127</t>
        </is>
      </c>
    </row>
    <row r="807">
      <c r="A807" t="inlineStr">
        <is>
          <t>900004077D8366687461610192943</t>
        </is>
      </c>
      <c r="B807" t="inlineStr">
        <is>
          <t>900004077</t>
        </is>
      </c>
      <c r="C807" t="inlineStr">
        <is>
          <t>D836</t>
        </is>
      </c>
      <c r="D807" t="inlineStr">
        <is>
          <t>66874616</t>
        </is>
      </c>
      <c r="E807" t="inlineStr">
        <is>
          <t>4</t>
        </is>
      </c>
      <c r="F807" t="inlineStr">
        <is>
          <t>10192943</t>
        </is>
      </c>
      <c r="H807" t="inlineStr"/>
      <c r="J807" t="n">
        <v>163</v>
      </c>
      <c r="K807" t="inlineStr"/>
      <c r="M807" t="inlineStr">
        <is>
          <t>TN</t>
        </is>
      </c>
      <c r="N807" t="inlineStr"/>
      <c r="P807" t="inlineStr">
        <is>
          <t>20190426</t>
        </is>
      </c>
      <c r="Q807" t="inlineStr">
        <is>
          <t>20250127</t>
        </is>
      </c>
    </row>
    <row r="808">
      <c r="A808" t="inlineStr">
        <is>
          <t>900004077D8366687461610192944</t>
        </is>
      </c>
      <c r="B808" t="inlineStr">
        <is>
          <t>900004077</t>
        </is>
      </c>
      <c r="C808" t="inlineStr">
        <is>
          <t>D836</t>
        </is>
      </c>
      <c r="D808" t="inlineStr">
        <is>
          <t>66874616</t>
        </is>
      </c>
      <c r="E808" t="inlineStr">
        <is>
          <t>4</t>
        </is>
      </c>
      <c r="F808" t="inlineStr">
        <is>
          <t>10192944</t>
        </is>
      </c>
      <c r="H808" t="inlineStr"/>
      <c r="J808" t="n">
        <v>170</v>
      </c>
      <c r="K808" t="inlineStr"/>
      <c r="M808" t="inlineStr">
        <is>
          <t>TN</t>
        </is>
      </c>
      <c r="N808" t="inlineStr"/>
      <c r="P808" t="inlineStr">
        <is>
          <t>20190426</t>
        </is>
      </c>
      <c r="Q808" t="inlineStr">
        <is>
          <t>20250127</t>
        </is>
      </c>
    </row>
    <row r="809">
      <c r="A809" t="inlineStr">
        <is>
          <t>900004077D8366687461610192945</t>
        </is>
      </c>
      <c r="B809" t="inlineStr">
        <is>
          <t>900004077</t>
        </is>
      </c>
      <c r="C809" t="inlineStr">
        <is>
          <t>D836</t>
        </is>
      </c>
      <c r="D809" t="inlineStr">
        <is>
          <t>66874616</t>
        </is>
      </c>
      <c r="E809" t="inlineStr">
        <is>
          <t>4</t>
        </is>
      </c>
      <c r="F809" t="inlineStr">
        <is>
          <t>10192945</t>
        </is>
      </c>
      <c r="H809" t="inlineStr"/>
      <c r="J809" t="n">
        <v>170</v>
      </c>
      <c r="K809" t="inlineStr"/>
      <c r="M809" t="inlineStr">
        <is>
          <t>TN</t>
        </is>
      </c>
      <c r="N809" t="inlineStr"/>
      <c r="P809" t="inlineStr">
        <is>
          <t>20190426</t>
        </is>
      </c>
      <c r="Q809" t="inlineStr">
        <is>
          <t>20250127</t>
        </is>
      </c>
    </row>
    <row r="810">
      <c r="A810" t="inlineStr">
        <is>
          <t>900004077D8366689828010000623</t>
        </is>
      </c>
      <c r="B810" t="inlineStr">
        <is>
          <t>900004077</t>
        </is>
      </c>
      <c r="C810" t="inlineStr">
        <is>
          <t>D836</t>
        </is>
      </c>
      <c r="D810" t="inlineStr">
        <is>
          <t>66898280</t>
        </is>
      </c>
      <c r="E810" t="inlineStr">
        <is>
          <t>4</t>
        </is>
      </c>
      <c r="F810" t="inlineStr">
        <is>
          <t>10000623</t>
        </is>
      </c>
      <c r="H810" t="inlineStr"/>
      <c r="J810" t="n">
        <v>209.8</v>
      </c>
      <c r="K810" t="inlineStr"/>
      <c r="M810" t="inlineStr">
        <is>
          <t>M3</t>
        </is>
      </c>
      <c r="N810" t="inlineStr"/>
      <c r="P810" t="inlineStr">
        <is>
          <t>20190426</t>
        </is>
      </c>
      <c r="Q810" t="inlineStr">
        <is>
          <t>20250127</t>
        </is>
      </c>
    </row>
    <row r="811">
      <c r="A811" t="inlineStr">
        <is>
          <t>900004077D8366689828010002802</t>
        </is>
      </c>
      <c r="B811" t="inlineStr">
        <is>
          <t>900004077</t>
        </is>
      </c>
      <c r="C811" t="inlineStr">
        <is>
          <t>D836</t>
        </is>
      </c>
      <c r="D811" t="inlineStr">
        <is>
          <t>66898280</t>
        </is>
      </c>
      <c r="E811" t="inlineStr">
        <is>
          <t>4</t>
        </is>
      </c>
      <c r="F811" t="inlineStr">
        <is>
          <t>10002802</t>
        </is>
      </c>
      <c r="H811" t="inlineStr"/>
      <c r="J811" t="n">
        <v>189.19</v>
      </c>
      <c r="K811" t="inlineStr"/>
      <c r="M811" t="inlineStr">
        <is>
          <t>M3</t>
        </is>
      </c>
      <c r="N811" t="inlineStr"/>
      <c r="P811" t="inlineStr">
        <is>
          <t>20240612</t>
        </is>
      </c>
      <c r="Q811" t="inlineStr">
        <is>
          <t>20240612</t>
        </is>
      </c>
    </row>
    <row r="812">
      <c r="A812" t="inlineStr">
        <is>
          <t>900004077D8366689828010184010</t>
        </is>
      </c>
      <c r="B812" t="inlineStr">
        <is>
          <t>900004077</t>
        </is>
      </c>
      <c r="C812" t="inlineStr">
        <is>
          <t>D836</t>
        </is>
      </c>
      <c r="D812" t="inlineStr">
        <is>
          <t>66898280</t>
        </is>
      </c>
      <c r="E812" t="inlineStr">
        <is>
          <t>4</t>
        </is>
      </c>
      <c r="F812" t="inlineStr">
        <is>
          <t>10184010</t>
        </is>
      </c>
      <c r="H812" t="inlineStr"/>
      <c r="J812" t="n">
        <v>202.5</v>
      </c>
      <c r="K812" t="inlineStr"/>
      <c r="M812" t="inlineStr">
        <is>
          <t>M3</t>
        </is>
      </c>
      <c r="N812" t="inlineStr"/>
      <c r="P812" t="inlineStr">
        <is>
          <t>20190426</t>
        </is>
      </c>
      <c r="Q812" t="inlineStr">
        <is>
          <t>20250127</t>
        </is>
      </c>
    </row>
    <row r="813">
      <c r="A813" t="inlineStr">
        <is>
          <t>900004077D8366689828010184011</t>
        </is>
      </c>
      <c r="B813" t="inlineStr">
        <is>
          <t>900004077</t>
        </is>
      </c>
      <c r="C813" t="inlineStr">
        <is>
          <t>D836</t>
        </is>
      </c>
      <c r="D813" t="inlineStr">
        <is>
          <t>66898280</t>
        </is>
      </c>
      <c r="E813" t="inlineStr">
        <is>
          <t>4</t>
        </is>
      </c>
      <c r="F813" t="inlineStr">
        <is>
          <t>10184011</t>
        </is>
      </c>
      <c r="H813" t="inlineStr"/>
      <c r="J813" t="n">
        <v>202.5</v>
      </c>
      <c r="K813" t="inlineStr"/>
      <c r="M813" t="inlineStr">
        <is>
          <t>M3</t>
        </is>
      </c>
      <c r="N813" t="inlineStr"/>
      <c r="P813" t="inlineStr">
        <is>
          <t>20190426</t>
        </is>
      </c>
      <c r="Q813" t="inlineStr">
        <is>
          <t>20250127</t>
        </is>
      </c>
    </row>
    <row r="814">
      <c r="A814" t="inlineStr">
        <is>
          <t>900004077D8366689828010184142</t>
        </is>
      </c>
      <c r="B814" t="inlineStr">
        <is>
          <t>900004077</t>
        </is>
      </c>
      <c r="C814" t="inlineStr">
        <is>
          <t>D836</t>
        </is>
      </c>
      <c r="D814" t="inlineStr">
        <is>
          <t>66898280</t>
        </is>
      </c>
      <c r="E814" t="inlineStr">
        <is>
          <t>4</t>
        </is>
      </c>
      <c r="F814" t="inlineStr">
        <is>
          <t>10184142</t>
        </is>
      </c>
      <c r="H814" t="inlineStr"/>
      <c r="J814" t="n">
        <v>202.5</v>
      </c>
      <c r="K814" t="inlineStr"/>
      <c r="M814" t="inlineStr">
        <is>
          <t>M3</t>
        </is>
      </c>
      <c r="N814" t="inlineStr"/>
      <c r="P814" t="inlineStr">
        <is>
          <t>20190426</t>
        </is>
      </c>
      <c r="Q814" t="inlineStr">
        <is>
          <t>20250127</t>
        </is>
      </c>
    </row>
    <row r="815">
      <c r="A815" t="inlineStr">
        <is>
          <t>900004077D8366689828110000623</t>
        </is>
      </c>
      <c r="B815" t="inlineStr">
        <is>
          <t>900004077</t>
        </is>
      </c>
      <c r="C815" t="inlineStr">
        <is>
          <t>D836</t>
        </is>
      </c>
      <c r="D815" t="inlineStr">
        <is>
          <t>66898281</t>
        </is>
      </c>
      <c r="E815" t="inlineStr">
        <is>
          <t>4</t>
        </is>
      </c>
      <c r="F815" t="inlineStr">
        <is>
          <t>10000623</t>
        </is>
      </c>
      <c r="H815" t="inlineStr"/>
      <c r="J815" t="n">
        <v>209.8</v>
      </c>
      <c r="K815" t="inlineStr"/>
      <c r="M815" t="inlineStr">
        <is>
          <t>M3</t>
        </is>
      </c>
      <c r="N815" t="inlineStr"/>
      <c r="P815" t="inlineStr">
        <is>
          <t>20190426</t>
        </is>
      </c>
      <c r="Q815" t="inlineStr">
        <is>
          <t>20250127</t>
        </is>
      </c>
    </row>
    <row r="816">
      <c r="A816" t="inlineStr">
        <is>
          <t>900004077D8366689828110002802</t>
        </is>
      </c>
      <c r="B816" t="inlineStr">
        <is>
          <t>900004077</t>
        </is>
      </c>
      <c r="C816" t="inlineStr">
        <is>
          <t>D836</t>
        </is>
      </c>
      <c r="D816" t="inlineStr">
        <is>
          <t>66898281</t>
        </is>
      </c>
      <c r="E816" t="inlineStr">
        <is>
          <t>4</t>
        </is>
      </c>
      <c r="F816" t="inlineStr">
        <is>
          <t>10002802</t>
        </is>
      </c>
      <c r="H816" t="inlineStr"/>
      <c r="J816" t="n">
        <v>189.19</v>
      </c>
      <c r="K816" t="inlineStr"/>
      <c r="M816" t="inlineStr">
        <is>
          <t>M3</t>
        </is>
      </c>
      <c r="N816" t="inlineStr"/>
      <c r="P816" t="inlineStr">
        <is>
          <t>20240612</t>
        </is>
      </c>
      <c r="Q816" t="inlineStr">
        <is>
          <t>20240612</t>
        </is>
      </c>
    </row>
    <row r="817">
      <c r="A817" t="inlineStr">
        <is>
          <t>900004077D8366689828110184010</t>
        </is>
      </c>
      <c r="B817" t="inlineStr">
        <is>
          <t>900004077</t>
        </is>
      </c>
      <c r="C817" t="inlineStr">
        <is>
          <t>D836</t>
        </is>
      </c>
      <c r="D817" t="inlineStr">
        <is>
          <t>66898281</t>
        </is>
      </c>
      <c r="E817" t="inlineStr">
        <is>
          <t>4</t>
        </is>
      </c>
      <c r="F817" t="inlineStr">
        <is>
          <t>10184010</t>
        </is>
      </c>
      <c r="H817" t="inlineStr"/>
      <c r="J817" t="n">
        <v>202.5</v>
      </c>
      <c r="K817" t="inlineStr"/>
      <c r="M817" t="inlineStr">
        <is>
          <t>M3</t>
        </is>
      </c>
      <c r="N817" t="inlineStr"/>
      <c r="P817" t="inlineStr">
        <is>
          <t>20190426</t>
        </is>
      </c>
      <c r="Q817" t="inlineStr">
        <is>
          <t>20250127</t>
        </is>
      </c>
    </row>
    <row r="818">
      <c r="A818" t="inlineStr">
        <is>
          <t>900004077D8366689828110184011</t>
        </is>
      </c>
      <c r="B818" t="inlineStr">
        <is>
          <t>900004077</t>
        </is>
      </c>
      <c r="C818" t="inlineStr">
        <is>
          <t>D836</t>
        </is>
      </c>
      <c r="D818" t="inlineStr">
        <is>
          <t>66898281</t>
        </is>
      </c>
      <c r="E818" t="inlineStr">
        <is>
          <t>4</t>
        </is>
      </c>
      <c r="F818" t="inlineStr">
        <is>
          <t>10184011</t>
        </is>
      </c>
      <c r="H818" t="inlineStr"/>
      <c r="J818" t="n">
        <v>202.5</v>
      </c>
      <c r="K818" t="inlineStr"/>
      <c r="M818" t="inlineStr">
        <is>
          <t>M3</t>
        </is>
      </c>
      <c r="N818" t="inlineStr"/>
      <c r="P818" t="inlineStr">
        <is>
          <t>20190426</t>
        </is>
      </c>
      <c r="Q818" t="inlineStr">
        <is>
          <t>20250127</t>
        </is>
      </c>
    </row>
    <row r="819">
      <c r="A819" t="inlineStr">
        <is>
          <t>900004077D8366689828110184142</t>
        </is>
      </c>
      <c r="B819" t="inlineStr">
        <is>
          <t>900004077</t>
        </is>
      </c>
      <c r="C819" t="inlineStr">
        <is>
          <t>D836</t>
        </is>
      </c>
      <c r="D819" t="inlineStr">
        <is>
          <t>66898281</t>
        </is>
      </c>
      <c r="E819" t="inlineStr">
        <is>
          <t>4</t>
        </is>
      </c>
      <c r="F819" t="inlineStr">
        <is>
          <t>10184142</t>
        </is>
      </c>
      <c r="H819" t="inlineStr"/>
      <c r="J819" t="n">
        <v>202.5</v>
      </c>
      <c r="K819" t="inlineStr"/>
      <c r="M819" t="inlineStr">
        <is>
          <t>M3</t>
        </is>
      </c>
      <c r="N819" t="inlineStr"/>
      <c r="P819" t="inlineStr">
        <is>
          <t>20190426</t>
        </is>
      </c>
      <c r="Q819" t="inlineStr">
        <is>
          <t>20250127</t>
        </is>
      </c>
    </row>
    <row r="820">
      <c r="A820" t="inlineStr">
        <is>
          <t>900004077D8366689828110192944</t>
        </is>
      </c>
      <c r="B820" t="inlineStr">
        <is>
          <t>900004077</t>
        </is>
      </c>
      <c r="C820" t="inlineStr">
        <is>
          <t>D836</t>
        </is>
      </c>
      <c r="D820" t="inlineStr">
        <is>
          <t>66898281</t>
        </is>
      </c>
      <c r="E820" t="inlineStr">
        <is>
          <t>4</t>
        </is>
      </c>
      <c r="F820" t="inlineStr">
        <is>
          <t>10192944</t>
        </is>
      </c>
      <c r="H820" t="inlineStr"/>
      <c r="J820" t="n">
        <v>202.5</v>
      </c>
      <c r="K820" t="inlineStr"/>
      <c r="M820" t="inlineStr">
        <is>
          <t>M3</t>
        </is>
      </c>
      <c r="N820" t="inlineStr"/>
      <c r="P820" t="inlineStr">
        <is>
          <t>20190426</t>
        </is>
      </c>
      <c r="Q820" t="inlineStr">
        <is>
          <t>20250127</t>
        </is>
      </c>
    </row>
    <row r="821">
      <c r="A821" t="inlineStr">
        <is>
          <t>900004077D8366692837910000357</t>
        </is>
      </c>
      <c r="B821" t="inlineStr">
        <is>
          <t>900004077</t>
        </is>
      </c>
      <c r="C821" t="inlineStr">
        <is>
          <t>D836</t>
        </is>
      </c>
      <c r="D821" t="inlineStr">
        <is>
          <t>66928379</t>
        </is>
      </c>
      <c r="E821" t="inlineStr">
        <is>
          <t>4</t>
        </is>
      </c>
      <c r="F821" t="inlineStr">
        <is>
          <t>10000357</t>
        </is>
      </c>
      <c r="H821" t="inlineStr"/>
      <c r="J821" t="n">
        <v>148.01</v>
      </c>
      <c r="K821" t="inlineStr"/>
      <c r="M821" t="inlineStr">
        <is>
          <t>TN</t>
        </is>
      </c>
      <c r="N821" t="inlineStr"/>
      <c r="P821" t="inlineStr">
        <is>
          <t>20190426</t>
        </is>
      </c>
      <c r="Q821" t="inlineStr">
        <is>
          <t>20250127</t>
        </is>
      </c>
    </row>
    <row r="822">
      <c r="A822" t="inlineStr">
        <is>
          <t>900004077D8366692837910000623</t>
        </is>
      </c>
      <c r="B822" t="inlineStr">
        <is>
          <t>900004077</t>
        </is>
      </c>
      <c r="C822" t="inlineStr">
        <is>
          <t>D836</t>
        </is>
      </c>
      <c r="D822" t="inlineStr">
        <is>
          <t>66928379</t>
        </is>
      </c>
      <c r="E822" t="inlineStr">
        <is>
          <t>4</t>
        </is>
      </c>
      <c r="F822" t="inlineStr">
        <is>
          <t>10000623</t>
        </is>
      </c>
      <c r="H822" t="inlineStr"/>
      <c r="J822" t="n">
        <v>138.3</v>
      </c>
      <c r="K822" t="inlineStr"/>
      <c r="M822" t="inlineStr">
        <is>
          <t>TN</t>
        </is>
      </c>
      <c r="N822" t="inlineStr"/>
      <c r="P822" t="inlineStr">
        <is>
          <t>20190426</t>
        </is>
      </c>
      <c r="Q822" t="inlineStr">
        <is>
          <t>20250127</t>
        </is>
      </c>
    </row>
    <row r="823">
      <c r="A823" t="inlineStr">
        <is>
          <t>900004077D8366692837910000627</t>
        </is>
      </c>
      <c r="B823" t="inlineStr">
        <is>
          <t>900004077</t>
        </is>
      </c>
      <c r="C823" t="inlineStr">
        <is>
          <t>D836</t>
        </is>
      </c>
      <c r="D823" t="inlineStr">
        <is>
          <t>66928379</t>
        </is>
      </c>
      <c r="E823" t="inlineStr">
        <is>
          <t>4</t>
        </is>
      </c>
      <c r="F823" t="inlineStr">
        <is>
          <t>10000627</t>
        </is>
      </c>
      <c r="H823" t="inlineStr"/>
      <c r="J823" t="n">
        <v>228.34</v>
      </c>
      <c r="K823" t="inlineStr"/>
      <c r="M823" t="inlineStr">
        <is>
          <t>M3</t>
        </is>
      </c>
      <c r="N823" t="inlineStr"/>
      <c r="P823" t="inlineStr">
        <is>
          <t>20190426</t>
        </is>
      </c>
      <c r="Q823" t="inlineStr">
        <is>
          <t>20250127</t>
        </is>
      </c>
    </row>
    <row r="824">
      <c r="A824" t="inlineStr">
        <is>
          <t>900004077D8366692837910002802</t>
        </is>
      </c>
      <c r="B824" t="inlineStr">
        <is>
          <t>900004077</t>
        </is>
      </c>
      <c r="C824" t="inlineStr">
        <is>
          <t>D836</t>
        </is>
      </c>
      <c r="D824" t="inlineStr">
        <is>
          <t>66928379</t>
        </is>
      </c>
      <c r="E824" t="inlineStr">
        <is>
          <t>4</t>
        </is>
      </c>
      <c r="F824" t="inlineStr">
        <is>
          <t>10002802</t>
        </is>
      </c>
      <c r="H824" t="inlineStr"/>
      <c r="J824" t="n">
        <v>212.5</v>
      </c>
      <c r="K824" t="inlineStr"/>
      <c r="M824" t="inlineStr">
        <is>
          <t>M3</t>
        </is>
      </c>
      <c r="N824" t="inlineStr"/>
      <c r="P824" t="inlineStr">
        <is>
          <t>20240612</t>
        </is>
      </c>
      <c r="Q824" t="inlineStr">
        <is>
          <t>20240612</t>
        </is>
      </c>
    </row>
    <row r="825">
      <c r="A825" t="inlineStr">
        <is>
          <t>900004077D8366692837910184010</t>
        </is>
      </c>
      <c r="B825" t="inlineStr">
        <is>
          <t>900004077</t>
        </is>
      </c>
      <c r="C825" t="inlineStr">
        <is>
          <t>D836</t>
        </is>
      </c>
      <c r="D825" t="inlineStr">
        <is>
          <t>66928379</t>
        </is>
      </c>
      <c r="E825" t="inlineStr">
        <is>
          <t>4</t>
        </is>
      </c>
      <c r="F825" t="inlineStr">
        <is>
          <t>10184010</t>
        </is>
      </c>
      <c r="H825" t="inlineStr"/>
      <c r="J825" t="n">
        <v>138.3</v>
      </c>
      <c r="K825" t="inlineStr"/>
      <c r="M825" t="inlineStr">
        <is>
          <t>TN</t>
        </is>
      </c>
      <c r="N825" t="inlineStr"/>
      <c r="P825" t="inlineStr">
        <is>
          <t>20190426</t>
        </is>
      </c>
      <c r="Q825" t="inlineStr">
        <is>
          <t>20250127</t>
        </is>
      </c>
    </row>
    <row r="826">
      <c r="A826" t="inlineStr">
        <is>
          <t>900004077D8366692837910184011</t>
        </is>
      </c>
      <c r="B826" t="inlineStr">
        <is>
          <t>900004077</t>
        </is>
      </c>
      <c r="C826" t="inlineStr">
        <is>
          <t>D836</t>
        </is>
      </c>
      <c r="D826" t="inlineStr">
        <is>
          <t>66928379</t>
        </is>
      </c>
      <c r="E826" t="inlineStr">
        <is>
          <t>4</t>
        </is>
      </c>
      <c r="F826" t="inlineStr">
        <is>
          <t>10184011</t>
        </is>
      </c>
      <c r="H826" t="inlineStr"/>
      <c r="J826" t="n">
        <v>136.8</v>
      </c>
      <c r="K826" t="inlineStr"/>
      <c r="M826" t="inlineStr">
        <is>
          <t>TN</t>
        </is>
      </c>
      <c r="N826" t="inlineStr"/>
      <c r="P826" t="inlineStr">
        <is>
          <t>20190426</t>
        </is>
      </c>
      <c r="Q826" t="inlineStr">
        <is>
          <t>20250127</t>
        </is>
      </c>
    </row>
    <row r="827">
      <c r="A827" t="inlineStr">
        <is>
          <t>900004077D8366692837910184142</t>
        </is>
      </c>
      <c r="B827" t="inlineStr">
        <is>
          <t>900004077</t>
        </is>
      </c>
      <c r="C827" t="inlineStr">
        <is>
          <t>D836</t>
        </is>
      </c>
      <c r="D827" t="inlineStr">
        <is>
          <t>66928379</t>
        </is>
      </c>
      <c r="E827" t="inlineStr">
        <is>
          <t>4</t>
        </is>
      </c>
      <c r="F827" t="inlineStr">
        <is>
          <t>10184142</t>
        </is>
      </c>
      <c r="H827" t="inlineStr"/>
      <c r="J827" t="n">
        <v>135.32</v>
      </c>
      <c r="K827" t="inlineStr"/>
      <c r="M827" t="inlineStr">
        <is>
          <t>TN</t>
        </is>
      </c>
      <c r="N827" t="inlineStr"/>
      <c r="P827" t="inlineStr">
        <is>
          <t>20190426</t>
        </is>
      </c>
      <c r="Q827" t="inlineStr">
        <is>
          <t>20250127</t>
        </is>
      </c>
    </row>
    <row r="828">
      <c r="A828" t="inlineStr">
        <is>
          <t>900004077D8366692837910192909</t>
        </is>
      </c>
      <c r="B828" t="inlineStr">
        <is>
          <t>900004077</t>
        </is>
      </c>
      <c r="C828" t="inlineStr">
        <is>
          <t>D836</t>
        </is>
      </c>
      <c r="D828" t="inlineStr">
        <is>
          <t>66928379</t>
        </is>
      </c>
      <c r="E828" t="inlineStr">
        <is>
          <t>4</t>
        </is>
      </c>
      <c r="F828" t="inlineStr">
        <is>
          <t>10192909</t>
        </is>
      </c>
      <c r="H828" t="inlineStr"/>
      <c r="J828" t="n">
        <v>228.34</v>
      </c>
      <c r="K828" t="inlineStr"/>
      <c r="M828" t="inlineStr">
        <is>
          <t>M3</t>
        </is>
      </c>
      <c r="N828" t="inlineStr"/>
      <c r="P828" t="inlineStr">
        <is>
          <t>20190426</t>
        </is>
      </c>
      <c r="Q828" t="inlineStr">
        <is>
          <t>20250127</t>
        </is>
      </c>
    </row>
    <row r="829">
      <c r="A829" t="inlineStr">
        <is>
          <t>900004077D8366692837910192940</t>
        </is>
      </c>
      <c r="B829" t="inlineStr">
        <is>
          <t>900004077</t>
        </is>
      </c>
      <c r="C829" t="inlineStr">
        <is>
          <t>D836</t>
        </is>
      </c>
      <c r="D829" t="inlineStr">
        <is>
          <t>66928379</t>
        </is>
      </c>
      <c r="E829" t="inlineStr">
        <is>
          <t>4</t>
        </is>
      </c>
      <c r="F829" t="inlineStr">
        <is>
          <t>10192940</t>
        </is>
      </c>
      <c r="H829" t="inlineStr"/>
      <c r="J829" t="n">
        <v>148.01</v>
      </c>
      <c r="K829" t="inlineStr"/>
      <c r="M829" t="inlineStr">
        <is>
          <t>TN</t>
        </is>
      </c>
      <c r="N829" t="inlineStr"/>
      <c r="P829" t="inlineStr">
        <is>
          <t>20190426</t>
        </is>
      </c>
      <c r="Q829" t="inlineStr">
        <is>
          <t>20250127</t>
        </is>
      </c>
    </row>
    <row r="830">
      <c r="A830" t="inlineStr">
        <is>
          <t>900004077D8366692837910192941</t>
        </is>
      </c>
      <c r="B830" t="inlineStr">
        <is>
          <t>900004077</t>
        </is>
      </c>
      <c r="C830" t="inlineStr">
        <is>
          <t>D836</t>
        </is>
      </c>
      <c r="D830" t="inlineStr">
        <is>
          <t>66928379</t>
        </is>
      </c>
      <c r="E830" t="inlineStr">
        <is>
          <t>4</t>
        </is>
      </c>
      <c r="F830" t="inlineStr">
        <is>
          <t>10192941</t>
        </is>
      </c>
      <c r="H830" t="inlineStr"/>
      <c r="J830" t="n">
        <v>138.3</v>
      </c>
      <c r="K830" t="inlineStr"/>
      <c r="M830" t="inlineStr">
        <is>
          <t>TN</t>
        </is>
      </c>
      <c r="N830" t="inlineStr"/>
      <c r="P830" t="inlineStr">
        <is>
          <t>20190426</t>
        </is>
      </c>
      <c r="Q830" t="inlineStr">
        <is>
          <t>20250127</t>
        </is>
      </c>
    </row>
    <row r="831">
      <c r="A831" t="inlineStr">
        <is>
          <t>900004077D8366692837910192942</t>
        </is>
      </c>
      <c r="B831" t="inlineStr">
        <is>
          <t>900004077</t>
        </is>
      </c>
      <c r="C831" t="inlineStr">
        <is>
          <t>D836</t>
        </is>
      </c>
      <c r="D831" t="inlineStr">
        <is>
          <t>66928379</t>
        </is>
      </c>
      <c r="E831" t="inlineStr">
        <is>
          <t>4</t>
        </is>
      </c>
      <c r="F831" t="inlineStr">
        <is>
          <t>10192942</t>
        </is>
      </c>
      <c r="H831" t="inlineStr"/>
      <c r="J831" t="n">
        <v>212.5</v>
      </c>
      <c r="K831" t="inlineStr"/>
      <c r="M831" t="inlineStr">
        <is>
          <t>M3</t>
        </is>
      </c>
      <c r="N831" t="inlineStr"/>
      <c r="P831" t="inlineStr">
        <is>
          <t>20190426</t>
        </is>
      </c>
      <c r="Q831" t="inlineStr">
        <is>
          <t>20250127</t>
        </is>
      </c>
    </row>
    <row r="832">
      <c r="A832" t="inlineStr">
        <is>
          <t>900004077D8366692837910192943</t>
        </is>
      </c>
      <c r="B832" t="inlineStr">
        <is>
          <t>900004077</t>
        </is>
      </c>
      <c r="C832" t="inlineStr">
        <is>
          <t>D836</t>
        </is>
      </c>
      <c r="D832" t="inlineStr">
        <is>
          <t>66928379</t>
        </is>
      </c>
      <c r="E832" t="inlineStr">
        <is>
          <t>4</t>
        </is>
      </c>
      <c r="F832" t="inlineStr">
        <is>
          <t>10192943</t>
        </is>
      </c>
      <c r="H832" t="inlineStr"/>
      <c r="J832" t="n">
        <v>135.32</v>
      </c>
      <c r="K832" t="inlineStr"/>
      <c r="M832" t="inlineStr">
        <is>
          <t>TN</t>
        </is>
      </c>
      <c r="N832" t="inlineStr"/>
      <c r="P832" t="inlineStr">
        <is>
          <t>20190426</t>
        </is>
      </c>
      <c r="Q832" t="inlineStr">
        <is>
          <t>20250127</t>
        </is>
      </c>
    </row>
    <row r="833">
      <c r="A833" t="inlineStr">
        <is>
          <t>900004077D8366692837910192944</t>
        </is>
      </c>
      <c r="B833" t="inlineStr">
        <is>
          <t>900004077</t>
        </is>
      </c>
      <c r="C833" t="inlineStr">
        <is>
          <t>D836</t>
        </is>
      </c>
      <c r="D833" t="inlineStr">
        <is>
          <t>66928379</t>
        </is>
      </c>
      <c r="E833" t="inlineStr">
        <is>
          <t>4</t>
        </is>
      </c>
      <c r="F833" t="inlineStr">
        <is>
          <t>10192944</t>
        </is>
      </c>
      <c r="H833" t="inlineStr"/>
      <c r="J833" t="n">
        <v>136.8</v>
      </c>
      <c r="K833" t="inlineStr"/>
      <c r="M833" t="inlineStr">
        <is>
          <t>TN</t>
        </is>
      </c>
      <c r="N833" t="inlineStr"/>
      <c r="P833" t="inlineStr">
        <is>
          <t>20190426</t>
        </is>
      </c>
      <c r="Q833" t="inlineStr">
        <is>
          <t>20250127</t>
        </is>
      </c>
    </row>
    <row r="834">
      <c r="A834" t="inlineStr">
        <is>
          <t>900004077D8366692837910192945</t>
        </is>
      </c>
      <c r="B834" t="inlineStr">
        <is>
          <t>900004077</t>
        </is>
      </c>
      <c r="C834" t="inlineStr">
        <is>
          <t>D836</t>
        </is>
      </c>
      <c r="D834" t="inlineStr">
        <is>
          <t>66928379</t>
        </is>
      </c>
      <c r="E834" t="inlineStr">
        <is>
          <t>4</t>
        </is>
      </c>
      <c r="F834" t="inlineStr">
        <is>
          <t>10192945</t>
        </is>
      </c>
      <c r="H834" t="inlineStr"/>
      <c r="J834" t="n">
        <v>138.3</v>
      </c>
      <c r="K834" t="inlineStr"/>
      <c r="M834" t="inlineStr">
        <is>
          <t>TN</t>
        </is>
      </c>
      <c r="N834" t="inlineStr"/>
      <c r="P834" t="inlineStr">
        <is>
          <t>20190426</t>
        </is>
      </c>
      <c r="Q834" t="inlineStr">
        <is>
          <t>20250127</t>
        </is>
      </c>
    </row>
    <row r="835">
      <c r="A835" t="inlineStr">
        <is>
          <t>900004323D8366500394510000160</t>
        </is>
      </c>
      <c r="B835" t="inlineStr">
        <is>
          <t>900004323</t>
        </is>
      </c>
      <c r="C835" t="inlineStr">
        <is>
          <t>D836</t>
        </is>
      </c>
      <c r="D835" t="inlineStr">
        <is>
          <t>65003945</t>
        </is>
      </c>
      <c r="E835" t="inlineStr">
        <is>
          <t>2</t>
        </is>
      </c>
      <c r="F835" t="inlineStr">
        <is>
          <t>10000160</t>
        </is>
      </c>
      <c r="H835" t="inlineStr"/>
      <c r="J835" t="n">
        <v>0</v>
      </c>
      <c r="K835" t="inlineStr"/>
      <c r="M835" t="inlineStr">
        <is>
          <t>M3</t>
        </is>
      </c>
      <c r="N835" t="inlineStr"/>
      <c r="P835" t="inlineStr">
        <is>
          <t>20190426</t>
        </is>
      </c>
      <c r="Q835" t="inlineStr">
        <is>
          <t>20250127</t>
        </is>
      </c>
    </row>
    <row r="836">
      <c r="A836" t="inlineStr">
        <is>
          <t>900004323D8366501466410000160</t>
        </is>
      </c>
      <c r="B836" t="inlineStr">
        <is>
          <t>900004323</t>
        </is>
      </c>
      <c r="C836" t="inlineStr">
        <is>
          <t>D836</t>
        </is>
      </c>
      <c r="D836" t="inlineStr">
        <is>
          <t>65014664</t>
        </is>
      </c>
      <c r="E836" t="inlineStr">
        <is>
          <t>1</t>
        </is>
      </c>
      <c r="F836" t="inlineStr">
        <is>
          <t>10000160</t>
        </is>
      </c>
      <c r="H836" t="inlineStr"/>
      <c r="J836" t="n">
        <v>67</v>
      </c>
      <c r="K836" t="inlineStr"/>
      <c r="M836" t="inlineStr">
        <is>
          <t>M3</t>
        </is>
      </c>
      <c r="N836" t="inlineStr"/>
      <c r="P836" t="inlineStr">
        <is>
          <t>20190426</t>
        </is>
      </c>
      <c r="Q836" t="inlineStr">
        <is>
          <t>20250127</t>
        </is>
      </c>
    </row>
    <row r="837">
      <c r="A837" t="inlineStr">
        <is>
          <t>900004323D8366501466410000160</t>
        </is>
      </c>
      <c r="B837" t="inlineStr">
        <is>
          <t>900004323</t>
        </is>
      </c>
      <c r="C837" t="inlineStr">
        <is>
          <t>D836</t>
        </is>
      </c>
      <c r="D837" t="inlineStr">
        <is>
          <t>65014664</t>
        </is>
      </c>
      <c r="E837" t="inlineStr">
        <is>
          <t>4</t>
        </is>
      </c>
      <c r="F837" t="inlineStr">
        <is>
          <t>10000160</t>
        </is>
      </c>
      <c r="H837" t="inlineStr"/>
      <c r="J837" t="n">
        <v>67</v>
      </c>
      <c r="K837" t="inlineStr"/>
      <c r="M837" t="inlineStr">
        <is>
          <t>M3</t>
        </is>
      </c>
      <c r="N837" t="inlineStr"/>
      <c r="P837" t="inlineStr">
        <is>
          <t>20190426</t>
        </is>
      </c>
      <c r="Q837" t="inlineStr">
        <is>
          <t>20250127</t>
        </is>
      </c>
    </row>
    <row r="838">
      <c r="A838" t="inlineStr">
        <is>
          <t>900004323D8366501645110000160</t>
        </is>
      </c>
      <c r="B838" t="inlineStr">
        <is>
          <t>900004323</t>
        </is>
      </c>
      <c r="C838" t="inlineStr">
        <is>
          <t>D836</t>
        </is>
      </c>
      <c r="D838" t="inlineStr">
        <is>
          <t>65016451</t>
        </is>
      </c>
      <c r="E838" t="inlineStr">
        <is>
          <t>1</t>
        </is>
      </c>
      <c r="F838" t="inlineStr">
        <is>
          <t>10000160</t>
        </is>
      </c>
      <c r="H838" t="inlineStr"/>
      <c r="J838" t="n">
        <v>286.88</v>
      </c>
      <c r="K838" t="inlineStr"/>
      <c r="M838" t="inlineStr">
        <is>
          <t>M3</t>
        </is>
      </c>
      <c r="N838" t="inlineStr"/>
      <c r="P838" t="inlineStr">
        <is>
          <t>20190426</t>
        </is>
      </c>
      <c r="Q838" t="inlineStr">
        <is>
          <t>20250127</t>
        </is>
      </c>
    </row>
    <row r="839">
      <c r="A839" t="inlineStr">
        <is>
          <t>900004323D8366509848110000160</t>
        </is>
      </c>
      <c r="B839" t="inlineStr">
        <is>
          <t>900004323</t>
        </is>
      </c>
      <c r="C839" t="inlineStr">
        <is>
          <t>D836</t>
        </is>
      </c>
      <c r="D839" t="inlineStr">
        <is>
          <t>65098481</t>
        </is>
      </c>
      <c r="E839" t="inlineStr">
        <is>
          <t>1</t>
        </is>
      </c>
      <c r="F839" t="inlineStr">
        <is>
          <t>10000160</t>
        </is>
      </c>
      <c r="H839" t="inlineStr"/>
      <c r="J839" t="n">
        <v>286.88</v>
      </c>
      <c r="K839" t="inlineStr"/>
      <c r="M839" t="inlineStr">
        <is>
          <t>M3</t>
        </is>
      </c>
      <c r="N839" t="inlineStr"/>
      <c r="P839" t="inlineStr">
        <is>
          <t>20180404</t>
        </is>
      </c>
      <c r="Q839" t="inlineStr">
        <is>
          <t>20251030</t>
        </is>
      </c>
    </row>
    <row r="840">
      <c r="A840" t="inlineStr">
        <is>
          <t>900004323D8366515582010000160</t>
        </is>
      </c>
      <c r="B840" t="inlineStr">
        <is>
          <t>900004323</t>
        </is>
      </c>
      <c r="C840" t="inlineStr">
        <is>
          <t>D836</t>
        </is>
      </c>
      <c r="D840" t="inlineStr">
        <is>
          <t>65155820</t>
        </is>
      </c>
      <c r="E840" t="inlineStr">
        <is>
          <t>4</t>
        </is>
      </c>
      <c r="F840" t="inlineStr">
        <is>
          <t>10000160</t>
        </is>
      </c>
      <c r="H840" t="inlineStr"/>
      <c r="J840" t="n">
        <v>108</v>
      </c>
      <c r="K840" t="inlineStr"/>
      <c r="M840" t="inlineStr">
        <is>
          <t>M3</t>
        </is>
      </c>
      <c r="N840" t="inlineStr"/>
      <c r="P840" t="inlineStr">
        <is>
          <t>20190426</t>
        </is>
      </c>
      <c r="Q840" t="inlineStr">
        <is>
          <t>20250127</t>
        </is>
      </c>
    </row>
    <row r="841">
      <c r="A841" t="inlineStr">
        <is>
          <t>900004323D8366515582010000357</t>
        </is>
      </c>
      <c r="B841" t="inlineStr">
        <is>
          <t>900004323</t>
        </is>
      </c>
      <c r="C841" t="inlineStr">
        <is>
          <t>D836</t>
        </is>
      </c>
      <c r="D841" t="inlineStr">
        <is>
          <t>65155820</t>
        </is>
      </c>
      <c r="E841" t="inlineStr">
        <is>
          <t>4</t>
        </is>
      </c>
      <c r="F841" t="inlineStr">
        <is>
          <t>10000357</t>
        </is>
      </c>
      <c r="H841" t="inlineStr"/>
      <c r="J841" t="n">
        <v>103.05</v>
      </c>
      <c r="K841" t="inlineStr"/>
      <c r="M841" t="inlineStr">
        <is>
          <t>M3</t>
        </is>
      </c>
      <c r="N841" t="inlineStr"/>
      <c r="P841" t="inlineStr">
        <is>
          <t>20190426</t>
        </is>
      </c>
      <c r="Q841" t="inlineStr">
        <is>
          <t>20250127</t>
        </is>
      </c>
    </row>
    <row r="842">
      <c r="A842" t="inlineStr">
        <is>
          <t>900004323D8366540606210000160</t>
        </is>
      </c>
      <c r="B842" t="inlineStr">
        <is>
          <t>900004323</t>
        </is>
      </c>
      <c r="C842" t="inlineStr">
        <is>
          <t>D836</t>
        </is>
      </c>
      <c r="D842" t="inlineStr">
        <is>
          <t>65406062</t>
        </is>
      </c>
      <c r="E842" t="inlineStr">
        <is>
          <t>2</t>
        </is>
      </c>
      <c r="F842" t="inlineStr">
        <is>
          <t>10000160</t>
        </is>
      </c>
      <c r="H842" t="inlineStr"/>
      <c r="J842" t="n">
        <v>0</v>
      </c>
      <c r="K842" t="inlineStr"/>
      <c r="M842" t="inlineStr">
        <is>
          <t>M3</t>
        </is>
      </c>
      <c r="N842" t="inlineStr"/>
      <c r="P842" t="inlineStr">
        <is>
          <t>20190426</t>
        </is>
      </c>
      <c r="Q842" t="inlineStr">
        <is>
          <t>20250127</t>
        </is>
      </c>
    </row>
    <row r="843">
      <c r="A843" t="inlineStr">
        <is>
          <t>900004323D8366540606210000357</t>
        </is>
      </c>
      <c r="B843" t="inlineStr">
        <is>
          <t>900004323</t>
        </is>
      </c>
      <c r="C843" t="inlineStr">
        <is>
          <t>D836</t>
        </is>
      </c>
      <c r="D843" t="inlineStr">
        <is>
          <t>65406062</t>
        </is>
      </c>
      <c r="E843" t="inlineStr">
        <is>
          <t>2</t>
        </is>
      </c>
      <c r="F843" t="inlineStr">
        <is>
          <t>10000357</t>
        </is>
      </c>
      <c r="H843" t="inlineStr"/>
      <c r="J843" t="n">
        <v>0</v>
      </c>
      <c r="K843" t="inlineStr"/>
      <c r="M843" t="inlineStr">
        <is>
          <t>M3</t>
        </is>
      </c>
      <c r="N843" t="inlineStr"/>
      <c r="P843" t="inlineStr">
        <is>
          <t>20190426</t>
        </is>
      </c>
      <c r="Q843" t="inlineStr">
        <is>
          <t>20250127</t>
        </is>
      </c>
    </row>
    <row r="844">
      <c r="A844" t="inlineStr">
        <is>
          <t>900004323D8366540606410000160</t>
        </is>
      </c>
      <c r="B844" t="inlineStr">
        <is>
          <t>900004323</t>
        </is>
      </c>
      <c r="C844" t="inlineStr">
        <is>
          <t>D836</t>
        </is>
      </c>
      <c r="D844" t="inlineStr">
        <is>
          <t>65406064</t>
        </is>
      </c>
      <c r="E844" t="inlineStr">
        <is>
          <t>2</t>
        </is>
      </c>
      <c r="F844" t="inlineStr">
        <is>
          <t>10000160</t>
        </is>
      </c>
      <c r="H844" t="inlineStr"/>
      <c r="J844" t="n">
        <v>0</v>
      </c>
      <c r="K844" t="inlineStr"/>
      <c r="M844" t="inlineStr">
        <is>
          <t>M3</t>
        </is>
      </c>
      <c r="N844" t="inlineStr"/>
      <c r="P844" t="inlineStr">
        <is>
          <t>20190426</t>
        </is>
      </c>
      <c r="Q844" t="inlineStr">
        <is>
          <t>20250127</t>
        </is>
      </c>
    </row>
    <row r="845">
      <c r="A845" t="inlineStr">
        <is>
          <t>900004323D8366544038410000160</t>
        </is>
      </c>
      <c r="B845" t="inlineStr">
        <is>
          <t>900004323</t>
        </is>
      </c>
      <c r="C845" t="inlineStr">
        <is>
          <t>D836</t>
        </is>
      </c>
      <c r="D845" t="inlineStr">
        <is>
          <t>65440384</t>
        </is>
      </c>
      <c r="E845" t="inlineStr">
        <is>
          <t>1</t>
        </is>
      </c>
      <c r="F845" t="inlineStr">
        <is>
          <t>10000160</t>
        </is>
      </c>
      <c r="H845" t="inlineStr"/>
      <c r="J845" t="n">
        <v>95</v>
      </c>
      <c r="K845" t="inlineStr"/>
      <c r="M845" t="inlineStr">
        <is>
          <t>M3</t>
        </is>
      </c>
      <c r="N845" t="inlineStr"/>
      <c r="P845" t="inlineStr">
        <is>
          <t>20190426</t>
        </is>
      </c>
      <c r="Q845" t="inlineStr">
        <is>
          <t>20250127</t>
        </is>
      </c>
    </row>
    <row r="846">
      <c r="A846" t="inlineStr">
        <is>
          <t>900004323D8366544038410000160</t>
        </is>
      </c>
      <c r="B846" t="inlineStr">
        <is>
          <t>900004323</t>
        </is>
      </c>
      <c r="C846" t="inlineStr">
        <is>
          <t>D836</t>
        </is>
      </c>
      <c r="D846" t="inlineStr">
        <is>
          <t>65440384</t>
        </is>
      </c>
      <c r="E846" t="inlineStr">
        <is>
          <t>4</t>
        </is>
      </c>
      <c r="F846" t="inlineStr">
        <is>
          <t>10000160</t>
        </is>
      </c>
      <c r="H846" t="inlineStr"/>
      <c r="J846" t="n">
        <v>95</v>
      </c>
      <c r="K846" t="inlineStr"/>
      <c r="M846" t="inlineStr">
        <is>
          <t>M3</t>
        </is>
      </c>
      <c r="N846" t="inlineStr"/>
      <c r="P846" t="inlineStr">
        <is>
          <t>20190426</t>
        </is>
      </c>
      <c r="Q846" t="inlineStr">
        <is>
          <t>20250127</t>
        </is>
      </c>
    </row>
    <row r="847">
      <c r="A847" t="inlineStr">
        <is>
          <t>900004323D8366544526110000160</t>
        </is>
      </c>
      <c r="B847" t="inlineStr">
        <is>
          <t>900004323</t>
        </is>
      </c>
      <c r="C847" t="inlineStr">
        <is>
          <t>D836</t>
        </is>
      </c>
      <c r="D847" t="inlineStr">
        <is>
          <t>65445261</t>
        </is>
      </c>
      <c r="E847" t="inlineStr">
        <is>
          <t>4</t>
        </is>
      </c>
      <c r="F847" t="inlineStr">
        <is>
          <t>10000160</t>
        </is>
      </c>
      <c r="H847" t="inlineStr"/>
      <c r="J847" t="n">
        <v>45</v>
      </c>
      <c r="K847" t="inlineStr"/>
      <c r="M847" t="inlineStr">
        <is>
          <t>M3</t>
        </is>
      </c>
      <c r="N847" t="inlineStr"/>
      <c r="P847" t="inlineStr">
        <is>
          <t>20190426</t>
        </is>
      </c>
      <c r="Q847" t="inlineStr">
        <is>
          <t>20250127</t>
        </is>
      </c>
    </row>
    <row r="848">
      <c r="A848" t="inlineStr">
        <is>
          <t>900004323D8366570614710000357</t>
        </is>
      </c>
      <c r="B848" t="inlineStr">
        <is>
          <t>900004323</t>
        </is>
      </c>
      <c r="C848" t="inlineStr">
        <is>
          <t>D836</t>
        </is>
      </c>
      <c r="D848" t="inlineStr">
        <is>
          <t>65706147</t>
        </is>
      </c>
      <c r="E848" t="inlineStr">
        <is>
          <t>2</t>
        </is>
      </c>
      <c r="F848" t="inlineStr">
        <is>
          <t>10000357</t>
        </is>
      </c>
      <c r="H848" t="inlineStr"/>
      <c r="J848" t="n">
        <v>0</v>
      </c>
      <c r="K848" t="inlineStr"/>
      <c r="M848" t="inlineStr">
        <is>
          <t>M3</t>
        </is>
      </c>
      <c r="N848" t="inlineStr"/>
      <c r="P848" t="inlineStr">
        <is>
          <t>20190426</t>
        </is>
      </c>
      <c r="Q848" t="inlineStr">
        <is>
          <t>20250127</t>
        </is>
      </c>
    </row>
    <row r="849">
      <c r="A849" t="inlineStr">
        <is>
          <t>900004323D8366570614710000627</t>
        </is>
      </c>
      <c r="B849" t="inlineStr">
        <is>
          <t>900004323</t>
        </is>
      </c>
      <c r="C849" t="inlineStr">
        <is>
          <t>D836</t>
        </is>
      </c>
      <c r="D849" t="inlineStr">
        <is>
          <t>65706147</t>
        </is>
      </c>
      <c r="E849" t="inlineStr">
        <is>
          <t>2</t>
        </is>
      </c>
      <c r="F849" t="inlineStr">
        <is>
          <t>10000627</t>
        </is>
      </c>
      <c r="H849" t="inlineStr"/>
      <c r="J849" t="n">
        <v>0</v>
      </c>
      <c r="K849" t="inlineStr"/>
      <c r="M849" t="inlineStr">
        <is>
          <t>M3</t>
        </is>
      </c>
      <c r="N849" t="inlineStr"/>
      <c r="P849" t="inlineStr">
        <is>
          <t>20190426</t>
        </is>
      </c>
      <c r="Q849" t="inlineStr">
        <is>
          <t>20250127</t>
        </is>
      </c>
    </row>
    <row r="850">
      <c r="A850" t="inlineStr">
        <is>
          <t>900004323D8366591128910000160</t>
        </is>
      </c>
      <c r="B850" t="inlineStr">
        <is>
          <t>900004323</t>
        </is>
      </c>
      <c r="C850" t="inlineStr">
        <is>
          <t>D836</t>
        </is>
      </c>
      <c r="D850" t="inlineStr">
        <is>
          <t>65911289</t>
        </is>
      </c>
      <c r="E850" t="inlineStr">
        <is>
          <t>2</t>
        </is>
      </c>
      <c r="F850" t="inlineStr">
        <is>
          <t>10000160</t>
        </is>
      </c>
      <c r="H850" t="inlineStr"/>
      <c r="J850" t="n">
        <v>0</v>
      </c>
      <c r="K850" t="inlineStr"/>
      <c r="M850" t="inlineStr">
        <is>
          <t>M3</t>
        </is>
      </c>
      <c r="N850" t="inlineStr"/>
      <c r="P850" t="inlineStr">
        <is>
          <t>20190426</t>
        </is>
      </c>
      <c r="Q850" t="inlineStr">
        <is>
          <t>20250127</t>
        </is>
      </c>
    </row>
    <row r="851">
      <c r="A851" t="inlineStr">
        <is>
          <t>900004323D8366626076010000357</t>
        </is>
      </c>
      <c r="B851" t="inlineStr">
        <is>
          <t>900004323</t>
        </is>
      </c>
      <c r="C851" t="inlineStr">
        <is>
          <t>D836</t>
        </is>
      </c>
      <c r="D851" t="inlineStr">
        <is>
          <t>66260760</t>
        </is>
      </c>
      <c r="E851" t="inlineStr">
        <is>
          <t>1</t>
        </is>
      </c>
      <c r="F851" t="inlineStr">
        <is>
          <t>10000357</t>
        </is>
      </c>
      <c r="H851" t="inlineStr"/>
      <c r="J851" t="n">
        <v>62.1</v>
      </c>
      <c r="K851" t="inlineStr"/>
      <c r="M851" t="inlineStr">
        <is>
          <t>M3</t>
        </is>
      </c>
      <c r="N851" t="inlineStr"/>
      <c r="P851" t="inlineStr">
        <is>
          <t>20190426</t>
        </is>
      </c>
      <c r="Q851" t="inlineStr">
        <is>
          <t>20250127</t>
        </is>
      </c>
    </row>
    <row r="852">
      <c r="A852" t="inlineStr">
        <is>
          <t>900004323D8366626076010000357</t>
        </is>
      </c>
      <c r="B852" t="inlineStr">
        <is>
          <t>900004323</t>
        </is>
      </c>
      <c r="C852" t="inlineStr">
        <is>
          <t>D836</t>
        </is>
      </c>
      <c r="D852" t="inlineStr">
        <is>
          <t>66260760</t>
        </is>
      </c>
      <c r="E852" t="inlineStr">
        <is>
          <t>2</t>
        </is>
      </c>
      <c r="F852" t="inlineStr">
        <is>
          <t>10000357</t>
        </is>
      </c>
      <c r="H852" t="inlineStr"/>
      <c r="J852" t="n">
        <v>0</v>
      </c>
      <c r="K852" t="inlineStr"/>
      <c r="M852" t="inlineStr">
        <is>
          <t>M3</t>
        </is>
      </c>
      <c r="N852" t="inlineStr"/>
      <c r="P852" t="inlineStr">
        <is>
          <t>20190426</t>
        </is>
      </c>
      <c r="Q852" t="inlineStr">
        <is>
          <t>20250127</t>
        </is>
      </c>
    </row>
    <row r="853">
      <c r="A853" t="inlineStr">
        <is>
          <t>900004323D8366626076010000627</t>
        </is>
      </c>
      <c r="B853" t="inlineStr">
        <is>
          <t>900004323</t>
        </is>
      </c>
      <c r="C853" t="inlineStr">
        <is>
          <t>D836</t>
        </is>
      </c>
      <c r="D853" t="inlineStr">
        <is>
          <t>66260760</t>
        </is>
      </c>
      <c r="E853" t="inlineStr">
        <is>
          <t>1</t>
        </is>
      </c>
      <c r="F853" t="inlineStr">
        <is>
          <t>10000627</t>
        </is>
      </c>
      <c r="H853" t="inlineStr"/>
      <c r="J853" t="n">
        <v>62.1</v>
      </c>
      <c r="K853" t="inlineStr"/>
      <c r="M853" t="inlineStr">
        <is>
          <t>M3</t>
        </is>
      </c>
      <c r="N853" t="inlineStr"/>
      <c r="P853" t="inlineStr">
        <is>
          <t>20190426</t>
        </is>
      </c>
      <c r="Q853" t="inlineStr">
        <is>
          <t>20250127</t>
        </is>
      </c>
    </row>
    <row r="854">
      <c r="A854" t="inlineStr">
        <is>
          <t>900004323D8366626076010000627</t>
        </is>
      </c>
      <c r="B854" t="inlineStr">
        <is>
          <t>900004323</t>
        </is>
      </c>
      <c r="C854" t="inlineStr">
        <is>
          <t>D836</t>
        </is>
      </c>
      <c r="D854" t="inlineStr">
        <is>
          <t>66260760</t>
        </is>
      </c>
      <c r="E854" t="inlineStr">
        <is>
          <t>2</t>
        </is>
      </c>
      <c r="F854" t="inlineStr">
        <is>
          <t>10000627</t>
        </is>
      </c>
      <c r="H854" t="inlineStr"/>
      <c r="J854" t="n">
        <v>0</v>
      </c>
      <c r="K854" t="inlineStr"/>
      <c r="M854" t="inlineStr">
        <is>
          <t>M3</t>
        </is>
      </c>
      <c r="N854" t="inlineStr"/>
      <c r="P854" t="inlineStr">
        <is>
          <t>20190426</t>
        </is>
      </c>
      <c r="Q854" t="inlineStr">
        <is>
          <t>20250127</t>
        </is>
      </c>
    </row>
    <row r="855">
      <c r="A855" t="inlineStr">
        <is>
          <t>900004323D8366631332310000160</t>
        </is>
      </c>
      <c r="B855" t="inlineStr">
        <is>
          <t>900004323</t>
        </is>
      </c>
      <c r="C855" t="inlineStr">
        <is>
          <t>D836</t>
        </is>
      </c>
      <c r="D855" t="inlineStr">
        <is>
          <t>66313323</t>
        </is>
      </c>
      <c r="E855" t="inlineStr">
        <is>
          <t>2</t>
        </is>
      </c>
      <c r="F855" t="inlineStr">
        <is>
          <t>10000160</t>
        </is>
      </c>
      <c r="H855" t="inlineStr"/>
      <c r="J855" t="n">
        <v>0</v>
      </c>
      <c r="K855" t="inlineStr"/>
      <c r="M855" t="inlineStr">
        <is>
          <t>M3</t>
        </is>
      </c>
      <c r="N855" t="inlineStr"/>
      <c r="P855" t="inlineStr">
        <is>
          <t>20190426</t>
        </is>
      </c>
      <c r="Q855" t="inlineStr">
        <is>
          <t>20250127</t>
        </is>
      </c>
    </row>
    <row r="856">
      <c r="A856" t="inlineStr">
        <is>
          <t>900004323D8366633810210000357</t>
        </is>
      </c>
      <c r="B856" t="inlineStr">
        <is>
          <t>900004323</t>
        </is>
      </c>
      <c r="C856" t="inlineStr">
        <is>
          <t>D836</t>
        </is>
      </c>
      <c r="D856" t="inlineStr">
        <is>
          <t>66338102</t>
        </is>
      </c>
      <c r="E856" t="inlineStr">
        <is>
          <t>2</t>
        </is>
      </c>
      <c r="F856" t="inlineStr">
        <is>
          <t>10000357</t>
        </is>
      </c>
      <c r="H856" t="inlineStr"/>
      <c r="J856" t="n">
        <v>0</v>
      </c>
      <c r="K856" t="inlineStr"/>
      <c r="M856" t="inlineStr">
        <is>
          <t>M3</t>
        </is>
      </c>
      <c r="N856" t="inlineStr"/>
      <c r="P856" t="inlineStr">
        <is>
          <t>20190426</t>
        </is>
      </c>
      <c r="Q856" t="inlineStr">
        <is>
          <t>20250127</t>
        </is>
      </c>
    </row>
    <row r="857">
      <c r="A857" t="inlineStr">
        <is>
          <t>900004323D8366637247510000160</t>
        </is>
      </c>
      <c r="B857" t="inlineStr">
        <is>
          <t>900004323</t>
        </is>
      </c>
      <c r="C857" t="inlineStr">
        <is>
          <t>D836</t>
        </is>
      </c>
      <c r="D857" t="inlineStr">
        <is>
          <t>66372475</t>
        </is>
      </c>
      <c r="E857" t="inlineStr">
        <is>
          <t>1</t>
        </is>
      </c>
      <c r="F857" t="inlineStr">
        <is>
          <t>10000160</t>
        </is>
      </c>
      <c r="H857" t="inlineStr"/>
      <c r="J857" t="n">
        <v>58</v>
      </c>
      <c r="K857" t="inlineStr"/>
      <c r="M857" t="inlineStr">
        <is>
          <t>M3</t>
        </is>
      </c>
      <c r="N857" t="inlineStr"/>
      <c r="P857" t="inlineStr">
        <is>
          <t>20190426</t>
        </is>
      </c>
      <c r="Q857" t="inlineStr">
        <is>
          <t>20250127</t>
        </is>
      </c>
    </row>
    <row r="858">
      <c r="A858" t="inlineStr">
        <is>
          <t>900004323D8366637247510000206</t>
        </is>
      </c>
      <c r="B858" t="inlineStr">
        <is>
          <t>900004323</t>
        </is>
      </c>
      <c r="C858" t="inlineStr">
        <is>
          <t>D836</t>
        </is>
      </c>
      <c r="D858" t="inlineStr">
        <is>
          <t>66372475</t>
        </is>
      </c>
      <c r="E858" t="inlineStr">
        <is>
          <t>1</t>
        </is>
      </c>
      <c r="F858" t="inlineStr">
        <is>
          <t>10000206</t>
        </is>
      </c>
      <c r="H858" t="inlineStr"/>
      <c r="J858" t="n">
        <v>57.78</v>
      </c>
      <c r="K858" t="inlineStr"/>
      <c r="M858" t="inlineStr">
        <is>
          <t>M3</t>
        </is>
      </c>
      <c r="N858" t="inlineStr"/>
      <c r="P858" t="inlineStr">
        <is>
          <t>20190426</t>
        </is>
      </c>
      <c r="Q858" t="inlineStr">
        <is>
          <t>20250127</t>
        </is>
      </c>
    </row>
    <row r="859">
      <c r="A859" t="inlineStr">
        <is>
          <t>900004323D8366637247510000357</t>
        </is>
      </c>
      <c r="B859" t="inlineStr">
        <is>
          <t>900004323</t>
        </is>
      </c>
      <c r="C859" t="inlineStr">
        <is>
          <t>D836</t>
        </is>
      </c>
      <c r="D859" t="inlineStr">
        <is>
          <t>66372475</t>
        </is>
      </c>
      <c r="E859" t="inlineStr">
        <is>
          <t>1</t>
        </is>
      </c>
      <c r="F859" t="inlineStr">
        <is>
          <t>10000357</t>
        </is>
      </c>
      <c r="H859" t="inlineStr"/>
      <c r="J859" t="n">
        <v>58</v>
      </c>
      <c r="K859" t="inlineStr"/>
      <c r="M859" t="inlineStr">
        <is>
          <t>M3</t>
        </is>
      </c>
      <c r="N859" t="inlineStr"/>
      <c r="P859" t="inlineStr">
        <is>
          <t>20190426</t>
        </is>
      </c>
      <c r="Q859" t="inlineStr">
        <is>
          <t>20250127</t>
        </is>
      </c>
    </row>
    <row r="860">
      <c r="A860" t="inlineStr">
        <is>
          <t>900004323D8366637247510019515</t>
        </is>
      </c>
      <c r="B860" t="inlineStr">
        <is>
          <t>900004323</t>
        </is>
      </c>
      <c r="C860" t="inlineStr">
        <is>
          <t>D836</t>
        </is>
      </c>
      <c r="D860" t="inlineStr">
        <is>
          <t>66372475</t>
        </is>
      </c>
      <c r="E860" t="inlineStr">
        <is>
          <t>1</t>
        </is>
      </c>
      <c r="F860" t="inlineStr">
        <is>
          <t>10019515</t>
        </is>
      </c>
      <c r="H860" t="inlineStr"/>
      <c r="J860" t="n">
        <v>65</v>
      </c>
      <c r="K860" t="inlineStr"/>
      <c r="M860" t="inlineStr">
        <is>
          <t>M3</t>
        </is>
      </c>
      <c r="N860" t="inlineStr"/>
      <c r="P860" t="inlineStr">
        <is>
          <t>20190426</t>
        </is>
      </c>
      <c r="Q860" t="inlineStr">
        <is>
          <t>20250127</t>
        </is>
      </c>
    </row>
    <row r="861">
      <c r="A861" t="inlineStr">
        <is>
          <t>900004323D8366640066710000160</t>
        </is>
      </c>
      <c r="B861" t="inlineStr">
        <is>
          <t>900004323</t>
        </is>
      </c>
      <c r="C861" t="inlineStr">
        <is>
          <t>D836</t>
        </is>
      </c>
      <c r="D861" t="inlineStr">
        <is>
          <t>66400667</t>
        </is>
      </c>
      <c r="E861" t="inlineStr">
        <is>
          <t>1</t>
        </is>
      </c>
      <c r="F861" t="inlineStr">
        <is>
          <t>10000160</t>
        </is>
      </c>
      <c r="H861" t="inlineStr"/>
      <c r="J861" t="n">
        <v>122</v>
      </c>
      <c r="K861" t="inlineStr"/>
      <c r="M861" t="inlineStr">
        <is>
          <t>M3</t>
        </is>
      </c>
      <c r="N861" t="inlineStr"/>
      <c r="P861" t="inlineStr">
        <is>
          <t>20190426</t>
        </is>
      </c>
      <c r="Q861" t="inlineStr">
        <is>
          <t>20250127</t>
        </is>
      </c>
    </row>
    <row r="862">
      <c r="A862" t="inlineStr">
        <is>
          <t>900004323D8366641437710000160</t>
        </is>
      </c>
      <c r="B862" t="inlineStr">
        <is>
          <t>900004323</t>
        </is>
      </c>
      <c r="C862" t="inlineStr">
        <is>
          <t>D836</t>
        </is>
      </c>
      <c r="D862" t="inlineStr">
        <is>
          <t>66414377</t>
        </is>
      </c>
      <c r="E862" t="inlineStr">
        <is>
          <t>2</t>
        </is>
      </c>
      <c r="F862" t="inlineStr">
        <is>
          <t>10000160</t>
        </is>
      </c>
      <c r="H862" t="inlineStr"/>
      <c r="J862" t="n">
        <v>0</v>
      </c>
      <c r="K862" t="inlineStr"/>
      <c r="M862" t="inlineStr">
        <is>
          <t>M3</t>
        </is>
      </c>
      <c r="N862" t="inlineStr"/>
      <c r="P862" t="inlineStr">
        <is>
          <t>20190426</t>
        </is>
      </c>
      <c r="Q862" t="inlineStr">
        <is>
          <t>20250127</t>
        </is>
      </c>
    </row>
    <row r="863">
      <c r="A863" t="inlineStr">
        <is>
          <t>900004323D8366642083110000160</t>
        </is>
      </c>
      <c r="B863" t="inlineStr">
        <is>
          <t>900004323</t>
        </is>
      </c>
      <c r="C863" t="inlineStr">
        <is>
          <t>D836</t>
        </is>
      </c>
      <c r="D863" t="inlineStr">
        <is>
          <t>66420831</t>
        </is>
      </c>
      <c r="E863" t="inlineStr">
        <is>
          <t>2</t>
        </is>
      </c>
      <c r="F863" t="inlineStr">
        <is>
          <t>10000160</t>
        </is>
      </c>
      <c r="H863" t="inlineStr"/>
      <c r="J863" t="n">
        <v>0</v>
      </c>
      <c r="K863" t="inlineStr"/>
      <c r="M863" t="inlineStr">
        <is>
          <t>M3</t>
        </is>
      </c>
      <c r="N863" t="inlineStr"/>
      <c r="P863" t="inlineStr">
        <is>
          <t>20190426</t>
        </is>
      </c>
      <c r="Q863" t="inlineStr">
        <is>
          <t>20250127</t>
        </is>
      </c>
    </row>
    <row r="864">
      <c r="A864" t="inlineStr">
        <is>
          <t>900004323D8366645821710000598</t>
        </is>
      </c>
      <c r="B864" t="inlineStr">
        <is>
          <t>900004323</t>
        </is>
      </c>
      <c r="C864" t="inlineStr">
        <is>
          <t>D836</t>
        </is>
      </c>
      <c r="D864" t="inlineStr">
        <is>
          <t>66458217</t>
        </is>
      </c>
      <c r="E864" t="inlineStr">
        <is>
          <t>1</t>
        </is>
      </c>
      <c r="F864" t="inlineStr">
        <is>
          <t>10000598</t>
        </is>
      </c>
      <c r="H864" t="inlineStr"/>
      <c r="J864" t="n">
        <v>115</v>
      </c>
      <c r="K864" t="inlineStr"/>
      <c r="M864" t="inlineStr">
        <is>
          <t>M3</t>
        </is>
      </c>
      <c r="N864" t="inlineStr"/>
      <c r="P864" t="inlineStr">
        <is>
          <t>20190426</t>
        </is>
      </c>
      <c r="Q864" t="inlineStr">
        <is>
          <t>20250127</t>
        </is>
      </c>
    </row>
    <row r="865">
      <c r="A865" t="inlineStr">
        <is>
          <t>900004323D8366645821710154187</t>
        </is>
      </c>
      <c r="B865" t="inlineStr">
        <is>
          <t>900004323</t>
        </is>
      </c>
      <c r="C865" t="inlineStr">
        <is>
          <t>D836</t>
        </is>
      </c>
      <c r="D865" t="inlineStr">
        <is>
          <t>66458217</t>
        </is>
      </c>
      <c r="E865" t="inlineStr">
        <is>
          <t>1</t>
        </is>
      </c>
      <c r="F865" t="inlineStr">
        <is>
          <t>10154187</t>
        </is>
      </c>
      <c r="H865" t="inlineStr"/>
      <c r="J865" t="n">
        <v>115</v>
      </c>
      <c r="K865" t="inlineStr"/>
      <c r="M865" t="inlineStr">
        <is>
          <t>M3</t>
        </is>
      </c>
      <c r="N865" t="inlineStr"/>
      <c r="P865" t="inlineStr">
        <is>
          <t>20190426</t>
        </is>
      </c>
      <c r="Q865" t="inlineStr">
        <is>
          <t>20250127</t>
        </is>
      </c>
    </row>
    <row r="866">
      <c r="A866" t="inlineStr">
        <is>
          <t>900004323D8366649095710000160</t>
        </is>
      </c>
      <c r="B866" t="inlineStr">
        <is>
          <t>900004323</t>
        </is>
      </c>
      <c r="C866" t="inlineStr">
        <is>
          <t>D836</t>
        </is>
      </c>
      <c r="D866" t="inlineStr">
        <is>
          <t>66490957</t>
        </is>
      </c>
      <c r="E866" t="inlineStr">
        <is>
          <t>4</t>
        </is>
      </c>
      <c r="F866" t="inlineStr">
        <is>
          <t>10000160</t>
        </is>
      </c>
      <c r="H866" t="inlineStr"/>
      <c r="J866" t="n">
        <v>45</v>
      </c>
      <c r="K866" t="inlineStr"/>
      <c r="M866" t="inlineStr">
        <is>
          <t>M3</t>
        </is>
      </c>
      <c r="N866" t="inlineStr"/>
      <c r="P866" t="inlineStr">
        <is>
          <t>20190426</t>
        </is>
      </c>
      <c r="Q866" t="inlineStr">
        <is>
          <t>20250127</t>
        </is>
      </c>
    </row>
    <row r="867">
      <c r="A867" t="inlineStr">
        <is>
          <t>900004323D8366651234610000206</t>
        </is>
      </c>
      <c r="B867" t="inlineStr">
        <is>
          <t>900004323</t>
        </is>
      </c>
      <c r="C867" t="inlineStr">
        <is>
          <t>D836</t>
        </is>
      </c>
      <c r="D867" t="inlineStr">
        <is>
          <t>66512346</t>
        </is>
      </c>
      <c r="E867" t="inlineStr">
        <is>
          <t>4</t>
        </is>
      </c>
      <c r="F867" t="inlineStr">
        <is>
          <t>10000206</t>
        </is>
      </c>
      <c r="H867" t="inlineStr"/>
      <c r="J867" t="n">
        <v>100</v>
      </c>
      <c r="K867" t="inlineStr"/>
      <c r="M867" t="inlineStr">
        <is>
          <t>M3</t>
        </is>
      </c>
      <c r="N867" t="inlineStr"/>
      <c r="P867" t="inlineStr">
        <is>
          <t>20190426</t>
        </is>
      </c>
      <c r="Q867" t="inlineStr">
        <is>
          <t>20250127</t>
        </is>
      </c>
    </row>
    <row r="868">
      <c r="A868" t="inlineStr">
        <is>
          <t>900004323D8366651234610000357</t>
        </is>
      </c>
      <c r="B868" t="inlineStr">
        <is>
          <t>900004323</t>
        </is>
      </c>
      <c r="C868" t="inlineStr">
        <is>
          <t>D836</t>
        </is>
      </c>
      <c r="D868" t="inlineStr">
        <is>
          <t>66512346</t>
        </is>
      </c>
      <c r="E868" t="inlineStr">
        <is>
          <t>4</t>
        </is>
      </c>
      <c r="F868" t="inlineStr">
        <is>
          <t>10000357</t>
        </is>
      </c>
      <c r="H868" t="inlineStr"/>
      <c r="J868" t="n">
        <v>110</v>
      </c>
      <c r="K868" t="inlineStr"/>
      <c r="M868" t="inlineStr">
        <is>
          <t>M3</t>
        </is>
      </c>
      <c r="N868" t="inlineStr"/>
      <c r="P868" t="inlineStr">
        <is>
          <t>20190426</t>
        </is>
      </c>
      <c r="Q868" t="inlineStr">
        <is>
          <t>20250127</t>
        </is>
      </c>
    </row>
    <row r="869">
      <c r="A869" t="inlineStr">
        <is>
          <t>900004323D8366653526610000357</t>
        </is>
      </c>
      <c r="B869" t="inlineStr">
        <is>
          <t>900004323</t>
        </is>
      </c>
      <c r="C869" t="inlineStr">
        <is>
          <t>D836</t>
        </is>
      </c>
      <c r="D869" t="inlineStr">
        <is>
          <t>66535266</t>
        </is>
      </c>
      <c r="E869" t="inlineStr">
        <is>
          <t>4</t>
        </is>
      </c>
      <c r="F869" t="inlineStr">
        <is>
          <t>10000357</t>
        </is>
      </c>
      <c r="H869" t="inlineStr"/>
      <c r="J869" t="n">
        <v>234</v>
      </c>
      <c r="K869" t="inlineStr"/>
      <c r="M869" t="inlineStr">
        <is>
          <t>M3</t>
        </is>
      </c>
      <c r="N869" t="inlineStr"/>
      <c r="P869" t="inlineStr">
        <is>
          <t>20190426</t>
        </is>
      </c>
      <c r="Q869" t="inlineStr">
        <is>
          <t>20250127</t>
        </is>
      </c>
    </row>
    <row r="870">
      <c r="A870" t="inlineStr">
        <is>
          <t>900004323D8366659119910000160</t>
        </is>
      </c>
      <c r="B870" t="inlineStr">
        <is>
          <t>900004323</t>
        </is>
      </c>
      <c r="C870" t="inlineStr">
        <is>
          <t>D836</t>
        </is>
      </c>
      <c r="D870" t="inlineStr">
        <is>
          <t>66591199</t>
        </is>
      </c>
      <c r="E870" t="inlineStr">
        <is>
          <t>1</t>
        </is>
      </c>
      <c r="F870" t="inlineStr">
        <is>
          <t>10000160</t>
        </is>
      </c>
      <c r="H870" t="inlineStr"/>
      <c r="J870" t="n">
        <v>155</v>
      </c>
      <c r="K870" t="inlineStr"/>
      <c r="M870" t="inlineStr">
        <is>
          <t>M3</t>
        </is>
      </c>
      <c r="N870" t="inlineStr"/>
      <c r="P870" t="inlineStr">
        <is>
          <t>20190426</t>
        </is>
      </c>
      <c r="Q870" t="inlineStr">
        <is>
          <t>20250127</t>
        </is>
      </c>
    </row>
    <row r="871">
      <c r="A871" t="inlineStr">
        <is>
          <t>900004323D8366659119910000357</t>
        </is>
      </c>
      <c r="B871" t="inlineStr">
        <is>
          <t>900004323</t>
        </is>
      </c>
      <c r="C871" t="inlineStr">
        <is>
          <t>D836</t>
        </is>
      </c>
      <c r="D871" t="inlineStr">
        <is>
          <t>66591199</t>
        </is>
      </c>
      <c r="E871" t="inlineStr">
        <is>
          <t>1</t>
        </is>
      </c>
      <c r="F871" t="inlineStr">
        <is>
          <t>10000357</t>
        </is>
      </c>
      <c r="H871" t="inlineStr"/>
      <c r="J871" t="n">
        <v>155</v>
      </c>
      <c r="K871" t="inlineStr"/>
      <c r="M871" t="inlineStr">
        <is>
          <t>M3</t>
        </is>
      </c>
      <c r="N871" t="inlineStr"/>
      <c r="P871" t="inlineStr">
        <is>
          <t>20190426</t>
        </is>
      </c>
      <c r="Q871" t="inlineStr">
        <is>
          <t>20250127</t>
        </is>
      </c>
    </row>
    <row r="872">
      <c r="A872" t="inlineStr">
        <is>
          <t>900004323D8366660801210000160</t>
        </is>
      </c>
      <c r="B872" t="inlineStr">
        <is>
          <t>900004323</t>
        </is>
      </c>
      <c r="C872" t="inlineStr">
        <is>
          <t>D836</t>
        </is>
      </c>
      <c r="D872" t="inlineStr">
        <is>
          <t>66608012</t>
        </is>
      </c>
      <c r="E872" t="inlineStr">
        <is>
          <t>1</t>
        </is>
      </c>
      <c r="F872" t="inlineStr">
        <is>
          <t>10000160</t>
        </is>
      </c>
      <c r="H872" t="inlineStr"/>
      <c r="J872" t="n">
        <v>200</v>
      </c>
      <c r="K872" t="inlineStr"/>
      <c r="M872" t="inlineStr">
        <is>
          <t>M3</t>
        </is>
      </c>
      <c r="N872" t="inlineStr"/>
      <c r="P872" t="inlineStr">
        <is>
          <t>20190426</t>
        </is>
      </c>
      <c r="Q872" t="inlineStr">
        <is>
          <t>20250127</t>
        </is>
      </c>
    </row>
    <row r="873">
      <c r="A873" t="inlineStr">
        <is>
          <t>900004323D8366660801210000160</t>
        </is>
      </c>
      <c r="B873" t="inlineStr">
        <is>
          <t>900004323</t>
        </is>
      </c>
      <c r="C873" t="inlineStr">
        <is>
          <t>D836</t>
        </is>
      </c>
      <c r="D873" t="inlineStr">
        <is>
          <t>66608012</t>
        </is>
      </c>
      <c r="E873" t="inlineStr">
        <is>
          <t>4</t>
        </is>
      </c>
      <c r="F873" t="inlineStr">
        <is>
          <t>10000160</t>
        </is>
      </c>
      <c r="H873" t="inlineStr"/>
      <c r="J873" t="n">
        <v>200</v>
      </c>
      <c r="K873" t="inlineStr"/>
      <c r="M873" t="inlineStr">
        <is>
          <t>M3</t>
        </is>
      </c>
      <c r="N873" t="inlineStr"/>
      <c r="P873" t="inlineStr">
        <is>
          <t>20190426</t>
        </is>
      </c>
      <c r="Q873" t="inlineStr">
        <is>
          <t>20250127</t>
        </is>
      </c>
    </row>
    <row r="874">
      <c r="A874" t="inlineStr">
        <is>
          <t>900004323D8366660801210000357</t>
        </is>
      </c>
      <c r="B874" t="inlineStr">
        <is>
          <t>900004323</t>
        </is>
      </c>
      <c r="C874" t="inlineStr">
        <is>
          <t>D836</t>
        </is>
      </c>
      <c r="D874" t="inlineStr">
        <is>
          <t>66608012</t>
        </is>
      </c>
      <c r="E874" t="inlineStr">
        <is>
          <t>1</t>
        </is>
      </c>
      <c r="F874" t="inlineStr">
        <is>
          <t>10000357</t>
        </is>
      </c>
      <c r="H874" t="inlineStr"/>
      <c r="J874" t="n">
        <v>200</v>
      </c>
      <c r="K874" t="inlineStr"/>
      <c r="M874" t="inlineStr">
        <is>
          <t>M3</t>
        </is>
      </c>
      <c r="N874" t="inlineStr"/>
      <c r="P874" t="inlineStr">
        <is>
          <t>20190426</t>
        </is>
      </c>
      <c r="Q874" t="inlineStr">
        <is>
          <t>20250127</t>
        </is>
      </c>
    </row>
    <row r="875">
      <c r="A875" t="inlineStr">
        <is>
          <t>900004323D8366661813510000160</t>
        </is>
      </c>
      <c r="B875" t="inlineStr">
        <is>
          <t>900004323</t>
        </is>
      </c>
      <c r="C875" t="inlineStr">
        <is>
          <t>D836</t>
        </is>
      </c>
      <c r="D875" t="inlineStr">
        <is>
          <t>66618135</t>
        </is>
      </c>
      <c r="E875" t="inlineStr">
        <is>
          <t>1</t>
        </is>
      </c>
      <c r="F875" t="inlineStr">
        <is>
          <t>10000160</t>
        </is>
      </c>
      <c r="H875" t="inlineStr"/>
      <c r="J875" t="n">
        <v>155</v>
      </c>
      <c r="K875" t="inlineStr"/>
      <c r="M875" t="inlineStr">
        <is>
          <t>M3</t>
        </is>
      </c>
      <c r="N875" t="inlineStr"/>
      <c r="P875" t="inlineStr">
        <is>
          <t>20190426</t>
        </is>
      </c>
      <c r="Q875" t="inlineStr">
        <is>
          <t>20250127</t>
        </is>
      </c>
    </row>
    <row r="876">
      <c r="A876" t="inlineStr">
        <is>
          <t>900004323D8366661813510000357</t>
        </is>
      </c>
      <c r="B876" t="inlineStr">
        <is>
          <t>900004323</t>
        </is>
      </c>
      <c r="C876" t="inlineStr">
        <is>
          <t>D836</t>
        </is>
      </c>
      <c r="D876" t="inlineStr">
        <is>
          <t>66618135</t>
        </is>
      </c>
      <c r="E876" t="inlineStr">
        <is>
          <t>1</t>
        </is>
      </c>
      <c r="F876" t="inlineStr">
        <is>
          <t>10000357</t>
        </is>
      </c>
      <c r="H876" t="inlineStr"/>
      <c r="J876" t="n">
        <v>155</v>
      </c>
      <c r="K876" t="inlineStr"/>
      <c r="M876" t="inlineStr">
        <is>
          <t>M3</t>
        </is>
      </c>
      <c r="N876" t="inlineStr"/>
      <c r="P876" t="inlineStr">
        <is>
          <t>20190426</t>
        </is>
      </c>
      <c r="Q876" t="inlineStr">
        <is>
          <t>20250127</t>
        </is>
      </c>
    </row>
    <row r="877">
      <c r="A877" t="inlineStr">
        <is>
          <t>900004323D8366663654910000160</t>
        </is>
      </c>
      <c r="B877" t="inlineStr">
        <is>
          <t>900004323</t>
        </is>
      </c>
      <c r="C877" t="inlineStr">
        <is>
          <t>D836</t>
        </is>
      </c>
      <c r="D877" t="inlineStr">
        <is>
          <t>66636549</t>
        </is>
      </c>
      <c r="E877" t="inlineStr">
        <is>
          <t>1</t>
        </is>
      </c>
      <c r="F877" t="inlineStr">
        <is>
          <t>10000160</t>
        </is>
      </c>
      <c r="H877" t="inlineStr"/>
      <c r="J877" t="n">
        <v>200</v>
      </c>
      <c r="K877" t="inlineStr"/>
      <c r="M877" t="inlineStr">
        <is>
          <t>M3</t>
        </is>
      </c>
      <c r="N877" t="inlineStr"/>
      <c r="P877" t="inlineStr">
        <is>
          <t>20190426</t>
        </is>
      </c>
      <c r="Q877" t="inlineStr">
        <is>
          <t>20250127</t>
        </is>
      </c>
    </row>
    <row r="878">
      <c r="A878" t="inlineStr">
        <is>
          <t>900004323D8366663654910000160</t>
        </is>
      </c>
      <c r="B878" t="inlineStr">
        <is>
          <t>900004323</t>
        </is>
      </c>
      <c r="C878" t="inlineStr">
        <is>
          <t>D836</t>
        </is>
      </c>
      <c r="D878" t="inlineStr">
        <is>
          <t>66636549</t>
        </is>
      </c>
      <c r="E878" t="inlineStr">
        <is>
          <t>4</t>
        </is>
      </c>
      <c r="F878" t="inlineStr">
        <is>
          <t>10000160</t>
        </is>
      </c>
      <c r="H878" t="inlineStr"/>
      <c r="J878" t="n">
        <v>200</v>
      </c>
      <c r="K878" t="inlineStr"/>
      <c r="M878" t="inlineStr">
        <is>
          <t>M3</t>
        </is>
      </c>
      <c r="N878" t="inlineStr"/>
      <c r="P878" t="inlineStr">
        <is>
          <t>20190426</t>
        </is>
      </c>
      <c r="Q878" t="inlineStr">
        <is>
          <t>20250127</t>
        </is>
      </c>
    </row>
    <row r="879">
      <c r="A879" t="inlineStr">
        <is>
          <t>900004323D8366663654910000357</t>
        </is>
      </c>
      <c r="B879" t="inlineStr">
        <is>
          <t>900004323</t>
        </is>
      </c>
      <c r="C879" t="inlineStr">
        <is>
          <t>D836</t>
        </is>
      </c>
      <c r="D879" t="inlineStr">
        <is>
          <t>66636549</t>
        </is>
      </c>
      <c r="E879" t="inlineStr">
        <is>
          <t>1</t>
        </is>
      </c>
      <c r="F879" t="inlineStr">
        <is>
          <t>10000357</t>
        </is>
      </c>
      <c r="H879" t="inlineStr"/>
      <c r="J879" t="n">
        <v>200</v>
      </c>
      <c r="K879" t="inlineStr"/>
      <c r="M879" t="inlineStr">
        <is>
          <t>M3</t>
        </is>
      </c>
      <c r="N879" t="inlineStr"/>
      <c r="P879" t="inlineStr">
        <is>
          <t>20190426</t>
        </is>
      </c>
      <c r="Q879" t="inlineStr">
        <is>
          <t>20250127</t>
        </is>
      </c>
    </row>
    <row r="880">
      <c r="A880" t="inlineStr">
        <is>
          <t>900004323D8366663972610000160</t>
        </is>
      </c>
      <c r="B880" t="inlineStr">
        <is>
          <t>900004323</t>
        </is>
      </c>
      <c r="C880" t="inlineStr">
        <is>
          <t>D836</t>
        </is>
      </c>
      <c r="D880" t="inlineStr">
        <is>
          <t>66639726</t>
        </is>
      </c>
      <c r="E880" t="inlineStr">
        <is>
          <t>1</t>
        </is>
      </c>
      <c r="F880" t="inlineStr">
        <is>
          <t>10000160</t>
        </is>
      </c>
      <c r="H880" t="inlineStr"/>
      <c r="J880" t="n">
        <v>200</v>
      </c>
      <c r="K880" t="inlineStr"/>
      <c r="M880" t="inlineStr">
        <is>
          <t>M3</t>
        </is>
      </c>
      <c r="N880" t="inlineStr"/>
      <c r="P880" t="inlineStr">
        <is>
          <t>20190426</t>
        </is>
      </c>
      <c r="Q880" t="inlineStr">
        <is>
          <t>20250127</t>
        </is>
      </c>
    </row>
    <row r="881">
      <c r="A881" t="inlineStr">
        <is>
          <t>900004323D8366663972610000160</t>
        </is>
      </c>
      <c r="B881" t="inlineStr">
        <is>
          <t>900004323</t>
        </is>
      </c>
      <c r="C881" t="inlineStr">
        <is>
          <t>D836</t>
        </is>
      </c>
      <c r="D881" t="inlineStr">
        <is>
          <t>66639726</t>
        </is>
      </c>
      <c r="E881" t="inlineStr">
        <is>
          <t>4</t>
        </is>
      </c>
      <c r="F881" t="inlineStr">
        <is>
          <t>10000160</t>
        </is>
      </c>
      <c r="H881" t="inlineStr"/>
      <c r="J881" t="n">
        <v>200</v>
      </c>
      <c r="K881" t="inlineStr"/>
      <c r="M881" t="inlineStr">
        <is>
          <t>M3</t>
        </is>
      </c>
      <c r="N881" t="inlineStr"/>
      <c r="P881" t="inlineStr">
        <is>
          <t>20190426</t>
        </is>
      </c>
      <c r="Q881" t="inlineStr">
        <is>
          <t>20250127</t>
        </is>
      </c>
    </row>
    <row r="882">
      <c r="A882" t="inlineStr">
        <is>
          <t>900004323D8366663972610000357</t>
        </is>
      </c>
      <c r="B882" t="inlineStr">
        <is>
          <t>900004323</t>
        </is>
      </c>
      <c r="C882" t="inlineStr">
        <is>
          <t>D836</t>
        </is>
      </c>
      <c r="D882" t="inlineStr">
        <is>
          <t>66639726</t>
        </is>
      </c>
      <c r="E882" t="inlineStr">
        <is>
          <t>1</t>
        </is>
      </c>
      <c r="F882" t="inlineStr">
        <is>
          <t>10000357</t>
        </is>
      </c>
      <c r="H882" t="inlineStr"/>
      <c r="J882" t="n">
        <v>200</v>
      </c>
      <c r="K882" t="inlineStr"/>
      <c r="M882" t="inlineStr">
        <is>
          <t>M3</t>
        </is>
      </c>
      <c r="N882" t="inlineStr"/>
      <c r="P882" t="inlineStr">
        <is>
          <t>20190426</t>
        </is>
      </c>
      <c r="Q882" t="inlineStr">
        <is>
          <t>20250127</t>
        </is>
      </c>
    </row>
    <row r="883">
      <c r="A883" t="inlineStr">
        <is>
          <t>900004323D8366670111810003132</t>
        </is>
      </c>
      <c r="B883" t="inlineStr">
        <is>
          <t>900004323</t>
        </is>
      </c>
      <c r="C883" t="inlineStr">
        <is>
          <t>D836</t>
        </is>
      </c>
      <c r="D883" t="inlineStr">
        <is>
          <t>66701118</t>
        </is>
      </c>
      <c r="E883" t="inlineStr">
        <is>
          <t>1</t>
        </is>
      </c>
      <c r="F883" t="inlineStr">
        <is>
          <t>10003132</t>
        </is>
      </c>
      <c r="H883" t="inlineStr"/>
      <c r="J883" t="n">
        <v>143.06</v>
      </c>
      <c r="K883" t="inlineStr"/>
      <c r="M883" t="inlineStr">
        <is>
          <t>M3</t>
        </is>
      </c>
      <c r="N883" t="inlineStr"/>
      <c r="P883" t="inlineStr">
        <is>
          <t>20190426</t>
        </is>
      </c>
      <c r="Q883" t="inlineStr">
        <is>
          <t>20250127</t>
        </is>
      </c>
    </row>
    <row r="884">
      <c r="A884" t="inlineStr">
        <is>
          <t>900004323D8366670138310000160</t>
        </is>
      </c>
      <c r="B884" t="inlineStr">
        <is>
          <t>900004323</t>
        </is>
      </c>
      <c r="C884" t="inlineStr">
        <is>
          <t>D836</t>
        </is>
      </c>
      <c r="D884" t="inlineStr">
        <is>
          <t>66701383</t>
        </is>
      </c>
      <c r="E884" t="inlineStr">
        <is>
          <t>1</t>
        </is>
      </c>
      <c r="F884" t="inlineStr">
        <is>
          <t>10000160</t>
        </is>
      </c>
      <c r="H884" t="inlineStr"/>
      <c r="J884" t="n">
        <v>200</v>
      </c>
      <c r="K884" t="inlineStr"/>
      <c r="M884" t="inlineStr">
        <is>
          <t>M3</t>
        </is>
      </c>
      <c r="N884" t="inlineStr"/>
      <c r="P884" t="inlineStr">
        <is>
          <t>20190426</t>
        </is>
      </c>
      <c r="Q884" t="inlineStr">
        <is>
          <t>20250127</t>
        </is>
      </c>
    </row>
    <row r="885">
      <c r="A885" t="inlineStr">
        <is>
          <t>900004323D8366670138310000160</t>
        </is>
      </c>
      <c r="B885" t="inlineStr">
        <is>
          <t>900004323</t>
        </is>
      </c>
      <c r="C885" t="inlineStr">
        <is>
          <t>D836</t>
        </is>
      </c>
      <c r="D885" t="inlineStr">
        <is>
          <t>66701383</t>
        </is>
      </c>
      <c r="E885" t="inlineStr">
        <is>
          <t>4</t>
        </is>
      </c>
      <c r="F885" t="inlineStr">
        <is>
          <t>10000160</t>
        </is>
      </c>
      <c r="H885" t="inlineStr"/>
      <c r="J885" t="n">
        <v>200</v>
      </c>
      <c r="K885" t="inlineStr"/>
      <c r="M885" t="inlineStr">
        <is>
          <t>M3</t>
        </is>
      </c>
      <c r="N885" t="inlineStr"/>
      <c r="P885" t="inlineStr">
        <is>
          <t>20190426</t>
        </is>
      </c>
      <c r="Q885" t="inlineStr">
        <is>
          <t>20250127</t>
        </is>
      </c>
    </row>
    <row r="886">
      <c r="A886" t="inlineStr">
        <is>
          <t>900004323D8366670138310000357</t>
        </is>
      </c>
      <c r="B886" t="inlineStr">
        <is>
          <t>900004323</t>
        </is>
      </c>
      <c r="C886" t="inlineStr">
        <is>
          <t>D836</t>
        </is>
      </c>
      <c r="D886" t="inlineStr">
        <is>
          <t>66701383</t>
        </is>
      </c>
      <c r="E886" t="inlineStr">
        <is>
          <t>1</t>
        </is>
      </c>
      <c r="F886" t="inlineStr">
        <is>
          <t>10000357</t>
        </is>
      </c>
      <c r="H886" t="inlineStr"/>
      <c r="J886" t="n">
        <v>200</v>
      </c>
      <c r="K886" t="inlineStr"/>
      <c r="M886" t="inlineStr">
        <is>
          <t>M3</t>
        </is>
      </c>
      <c r="N886" t="inlineStr"/>
      <c r="P886" t="inlineStr">
        <is>
          <t>20190426</t>
        </is>
      </c>
      <c r="Q886" t="inlineStr">
        <is>
          <t>20250127</t>
        </is>
      </c>
    </row>
    <row r="887">
      <c r="A887" t="inlineStr">
        <is>
          <t>900004365D8366506168710000133</t>
        </is>
      </c>
      <c r="B887" t="inlineStr">
        <is>
          <t>900004365</t>
        </is>
      </c>
      <c r="C887" t="inlineStr">
        <is>
          <t>D836</t>
        </is>
      </c>
      <c r="D887" t="inlineStr">
        <is>
          <t>65061687</t>
        </is>
      </c>
      <c r="E887" t="inlineStr">
        <is>
          <t>4</t>
        </is>
      </c>
      <c r="F887" t="inlineStr">
        <is>
          <t>10000133</t>
        </is>
      </c>
      <c r="H887" t="inlineStr"/>
      <c r="J887" t="n">
        <v>200</v>
      </c>
      <c r="K887" t="inlineStr"/>
      <c r="M887" t="inlineStr">
        <is>
          <t>M3</t>
        </is>
      </c>
      <c r="N887" t="inlineStr"/>
      <c r="P887" t="inlineStr">
        <is>
          <t>20190426</t>
        </is>
      </c>
      <c r="Q887" t="inlineStr">
        <is>
          <t>20250127</t>
        </is>
      </c>
    </row>
    <row r="888">
      <c r="A888" t="inlineStr">
        <is>
          <t>900004365D8366506168710000623</t>
        </is>
      </c>
      <c r="B888" t="inlineStr">
        <is>
          <t>900004365</t>
        </is>
      </c>
      <c r="C888" t="inlineStr">
        <is>
          <t>D836</t>
        </is>
      </c>
      <c r="D888" t="inlineStr">
        <is>
          <t>65061687</t>
        </is>
      </c>
      <c r="E888" t="inlineStr">
        <is>
          <t>4</t>
        </is>
      </c>
      <c r="F888" t="inlineStr">
        <is>
          <t>10000623</t>
        </is>
      </c>
      <c r="H888" t="inlineStr"/>
      <c r="J888" t="n">
        <v>200</v>
      </c>
      <c r="K888" t="inlineStr"/>
      <c r="M888" t="inlineStr">
        <is>
          <t>M3</t>
        </is>
      </c>
      <c r="N888" t="inlineStr"/>
      <c r="P888" t="inlineStr">
        <is>
          <t>20190426</t>
        </is>
      </c>
      <c r="Q888" t="inlineStr">
        <is>
          <t>20250127</t>
        </is>
      </c>
    </row>
    <row r="889">
      <c r="A889" t="inlineStr">
        <is>
          <t>900004365D8366506168710000624</t>
        </is>
      </c>
      <c r="B889" t="inlineStr">
        <is>
          <t>900004365</t>
        </is>
      </c>
      <c r="C889" t="inlineStr">
        <is>
          <t>D836</t>
        </is>
      </c>
      <c r="D889" t="inlineStr">
        <is>
          <t>65061687</t>
        </is>
      </c>
      <c r="E889" t="inlineStr">
        <is>
          <t>4</t>
        </is>
      </c>
      <c r="F889" t="inlineStr">
        <is>
          <t>10000624</t>
        </is>
      </c>
      <c r="H889" t="inlineStr"/>
      <c r="J889" t="n">
        <v>200</v>
      </c>
      <c r="K889" t="inlineStr"/>
      <c r="M889" t="inlineStr">
        <is>
          <t>M3</t>
        </is>
      </c>
      <c r="N889" t="inlineStr"/>
      <c r="P889" t="inlineStr">
        <is>
          <t>20190426</t>
        </is>
      </c>
      <c r="Q889" t="inlineStr">
        <is>
          <t>20250127</t>
        </is>
      </c>
    </row>
    <row r="890">
      <c r="A890" t="inlineStr">
        <is>
          <t>900004365D8366509848110000133</t>
        </is>
      </c>
      <c r="B890" t="inlineStr">
        <is>
          <t>900004365</t>
        </is>
      </c>
      <c r="C890" t="inlineStr">
        <is>
          <t>D836</t>
        </is>
      </c>
      <c r="D890" t="inlineStr">
        <is>
          <t>65098481</t>
        </is>
      </c>
      <c r="E890" t="inlineStr">
        <is>
          <t>4</t>
        </is>
      </c>
      <c r="F890" t="inlineStr">
        <is>
          <t>10000133</t>
        </is>
      </c>
      <c r="H890" t="inlineStr"/>
      <c r="J890" t="n">
        <v>200</v>
      </c>
      <c r="K890" t="inlineStr"/>
      <c r="M890" t="inlineStr">
        <is>
          <t>M3</t>
        </is>
      </c>
      <c r="N890" t="inlineStr"/>
      <c r="P890" t="inlineStr">
        <is>
          <t>20230623</t>
        </is>
      </c>
      <c r="Q890" t="inlineStr">
        <is>
          <t>20251030</t>
        </is>
      </c>
    </row>
    <row r="891">
      <c r="A891" t="inlineStr">
        <is>
          <t>900004365D8366509848110000624</t>
        </is>
      </c>
      <c r="B891" t="inlineStr">
        <is>
          <t>900004365</t>
        </is>
      </c>
      <c r="C891" t="inlineStr">
        <is>
          <t>D836</t>
        </is>
      </c>
      <c r="D891" t="inlineStr">
        <is>
          <t>65098481</t>
        </is>
      </c>
      <c r="E891" t="inlineStr">
        <is>
          <t>4</t>
        </is>
      </c>
      <c r="F891" t="inlineStr">
        <is>
          <t>10000624</t>
        </is>
      </c>
      <c r="H891" t="inlineStr"/>
      <c r="J891" t="n">
        <v>200</v>
      </c>
      <c r="K891" t="inlineStr"/>
      <c r="M891" t="inlineStr">
        <is>
          <t>M3</t>
        </is>
      </c>
      <c r="N891" t="inlineStr"/>
      <c r="P891" t="inlineStr">
        <is>
          <t>20230609</t>
        </is>
      </c>
      <c r="Q891" t="inlineStr">
        <is>
          <t>20251030</t>
        </is>
      </c>
    </row>
    <row r="892">
      <c r="A892" t="inlineStr">
        <is>
          <t>900004365D8366509848110149994</t>
        </is>
      </c>
      <c r="B892" t="inlineStr">
        <is>
          <t>900004365</t>
        </is>
      </c>
      <c r="C892" t="inlineStr">
        <is>
          <t>D836</t>
        </is>
      </c>
      <c r="D892" t="inlineStr">
        <is>
          <t>65098481</t>
        </is>
      </c>
      <c r="E892" t="inlineStr">
        <is>
          <t>4</t>
        </is>
      </c>
      <c r="F892" t="inlineStr">
        <is>
          <t>10149994</t>
        </is>
      </c>
      <c r="H892" t="inlineStr"/>
      <c r="J892" t="n">
        <v>200</v>
      </c>
      <c r="K892" t="inlineStr"/>
      <c r="M892" t="inlineStr">
        <is>
          <t>M3</t>
        </is>
      </c>
      <c r="N892" t="inlineStr"/>
      <c r="P892" t="inlineStr">
        <is>
          <t>20230623</t>
        </is>
      </c>
      <c r="Q892" t="inlineStr">
        <is>
          <t>20251030</t>
        </is>
      </c>
    </row>
    <row r="893">
      <c r="A893" t="inlineStr">
        <is>
          <t>900004365D8366509848110184010</t>
        </is>
      </c>
      <c r="B893" t="inlineStr">
        <is>
          <t>900004365</t>
        </is>
      </c>
      <c r="C893" t="inlineStr">
        <is>
          <t>D836</t>
        </is>
      </c>
      <c r="D893" t="inlineStr">
        <is>
          <t>65098481</t>
        </is>
      </c>
      <c r="E893" t="inlineStr">
        <is>
          <t>4</t>
        </is>
      </c>
      <c r="F893" t="inlineStr">
        <is>
          <t>10184010</t>
        </is>
      </c>
      <c r="H893" t="inlineStr"/>
      <c r="J893" t="n">
        <v>200</v>
      </c>
      <c r="K893" t="inlineStr"/>
      <c r="M893" t="inlineStr">
        <is>
          <t>M3</t>
        </is>
      </c>
      <c r="N893" t="inlineStr"/>
      <c r="P893" t="inlineStr">
        <is>
          <t>20230623</t>
        </is>
      </c>
      <c r="Q893" t="inlineStr">
        <is>
          <t>20251030</t>
        </is>
      </c>
    </row>
    <row r="894">
      <c r="A894" t="inlineStr">
        <is>
          <t>900004365D8366540606210000357</t>
        </is>
      </c>
      <c r="B894" t="inlineStr">
        <is>
          <t>900004365</t>
        </is>
      </c>
      <c r="C894" t="inlineStr">
        <is>
          <t>D836</t>
        </is>
      </c>
      <c r="D894" t="inlineStr">
        <is>
          <t>65406062</t>
        </is>
      </c>
      <c r="E894" t="inlineStr">
        <is>
          <t>4</t>
        </is>
      </c>
      <c r="F894" t="inlineStr">
        <is>
          <t>10000357</t>
        </is>
      </c>
      <c r="H894" t="inlineStr"/>
      <c r="J894" t="n">
        <v>214</v>
      </c>
      <c r="K894" t="inlineStr"/>
      <c r="M894" t="inlineStr">
        <is>
          <t>M3</t>
        </is>
      </c>
      <c r="N894" t="inlineStr"/>
      <c r="P894" t="inlineStr">
        <is>
          <t>20230301</t>
        </is>
      </c>
      <c r="Q894" t="inlineStr">
        <is>
          <t>20251031</t>
        </is>
      </c>
    </row>
    <row r="895">
      <c r="A895" t="inlineStr">
        <is>
          <t>900004365D8366540606210149994</t>
        </is>
      </c>
      <c r="B895" t="inlineStr">
        <is>
          <t>900004365</t>
        </is>
      </c>
      <c r="C895" t="inlineStr">
        <is>
          <t>D836</t>
        </is>
      </c>
      <c r="D895" t="inlineStr">
        <is>
          <t>65406062</t>
        </is>
      </c>
      <c r="E895" t="inlineStr">
        <is>
          <t>4</t>
        </is>
      </c>
      <c r="F895" t="inlineStr">
        <is>
          <t>10149994</t>
        </is>
      </c>
      <c r="H895" t="inlineStr"/>
      <c r="J895" t="n">
        <v>214</v>
      </c>
      <c r="K895" t="inlineStr"/>
      <c r="M895" t="inlineStr">
        <is>
          <t>M3</t>
        </is>
      </c>
      <c r="N895" t="inlineStr"/>
      <c r="P895" t="inlineStr">
        <is>
          <t>20230301</t>
        </is>
      </c>
      <c r="Q895" t="inlineStr">
        <is>
          <t>20251031</t>
        </is>
      </c>
    </row>
    <row r="896">
      <c r="A896" t="inlineStr">
        <is>
          <t>900004365D8366540606410000357</t>
        </is>
      </c>
      <c r="B896" t="inlineStr">
        <is>
          <t>900004365</t>
        </is>
      </c>
      <c r="C896" t="inlineStr">
        <is>
          <t>D836</t>
        </is>
      </c>
      <c r="D896" t="inlineStr">
        <is>
          <t>65406064</t>
        </is>
      </c>
      <c r="E896" t="inlineStr">
        <is>
          <t>4</t>
        </is>
      </c>
      <c r="F896" t="inlineStr">
        <is>
          <t>10000357</t>
        </is>
      </c>
      <c r="H896" t="inlineStr"/>
      <c r="J896" t="n">
        <v>214</v>
      </c>
      <c r="K896" t="inlineStr"/>
      <c r="M896" t="inlineStr">
        <is>
          <t>M3</t>
        </is>
      </c>
      <c r="N896" t="inlineStr"/>
      <c r="P896" t="inlineStr">
        <is>
          <t>20230301</t>
        </is>
      </c>
      <c r="Q896" t="inlineStr">
        <is>
          <t>20251031</t>
        </is>
      </c>
    </row>
    <row r="897">
      <c r="A897" t="inlineStr">
        <is>
          <t>900004365D8366540606410149994</t>
        </is>
      </c>
      <c r="B897" t="inlineStr">
        <is>
          <t>900004365</t>
        </is>
      </c>
      <c r="C897" t="inlineStr">
        <is>
          <t>D836</t>
        </is>
      </c>
      <c r="D897" t="inlineStr">
        <is>
          <t>65406064</t>
        </is>
      </c>
      <c r="E897" t="inlineStr">
        <is>
          <t>4</t>
        </is>
      </c>
      <c r="F897" t="inlineStr">
        <is>
          <t>10149994</t>
        </is>
      </c>
      <c r="H897" t="inlineStr"/>
      <c r="J897" t="n">
        <v>214</v>
      </c>
      <c r="K897" t="inlineStr"/>
      <c r="M897" t="inlineStr">
        <is>
          <t>M3</t>
        </is>
      </c>
      <c r="N897" t="inlineStr"/>
      <c r="P897" t="inlineStr">
        <is>
          <t>20230301</t>
        </is>
      </c>
      <c r="Q897" t="inlineStr">
        <is>
          <t>20251031</t>
        </is>
      </c>
    </row>
    <row r="898">
      <c r="A898" t="inlineStr">
        <is>
          <t>900004365D8366591131310000357</t>
        </is>
      </c>
      <c r="B898" t="inlineStr">
        <is>
          <t>900004365</t>
        </is>
      </c>
      <c r="C898" t="inlineStr">
        <is>
          <t>D836</t>
        </is>
      </c>
      <c r="D898" t="inlineStr">
        <is>
          <t>65911313</t>
        </is>
      </c>
      <c r="E898" t="inlineStr">
        <is>
          <t>4</t>
        </is>
      </c>
      <c r="F898" t="inlineStr">
        <is>
          <t>10000357</t>
        </is>
      </c>
      <c r="H898" t="inlineStr"/>
      <c r="J898" t="n">
        <v>214</v>
      </c>
      <c r="K898" t="inlineStr"/>
      <c r="M898" t="inlineStr">
        <is>
          <t>M3</t>
        </is>
      </c>
      <c r="N898" t="inlineStr"/>
      <c r="P898" t="inlineStr">
        <is>
          <t>20230301</t>
        </is>
      </c>
      <c r="Q898" t="inlineStr">
        <is>
          <t>20251031</t>
        </is>
      </c>
    </row>
    <row r="899">
      <c r="A899" t="inlineStr">
        <is>
          <t>900004365D8366591131310149994</t>
        </is>
      </c>
      <c r="B899" t="inlineStr">
        <is>
          <t>900004365</t>
        </is>
      </c>
      <c r="C899" t="inlineStr">
        <is>
          <t>D836</t>
        </is>
      </c>
      <c r="D899" t="inlineStr">
        <is>
          <t>65911313</t>
        </is>
      </c>
      <c r="E899" t="inlineStr">
        <is>
          <t>4</t>
        </is>
      </c>
      <c r="F899" t="inlineStr">
        <is>
          <t>10149994</t>
        </is>
      </c>
      <c r="H899" t="inlineStr"/>
      <c r="J899" t="n">
        <v>214</v>
      </c>
      <c r="K899" t="inlineStr"/>
      <c r="M899" t="inlineStr">
        <is>
          <t>M3</t>
        </is>
      </c>
      <c r="N899" t="inlineStr"/>
      <c r="P899" t="inlineStr">
        <is>
          <t>20230301</t>
        </is>
      </c>
      <c r="Q899" t="inlineStr">
        <is>
          <t>20251031</t>
        </is>
      </c>
    </row>
    <row r="900">
      <c r="A900" t="inlineStr">
        <is>
          <t>900004365D8366623009810000133</t>
        </is>
      </c>
      <c r="B900" t="inlineStr">
        <is>
          <t>900004365</t>
        </is>
      </c>
      <c r="C900" t="inlineStr">
        <is>
          <t>D836</t>
        </is>
      </c>
      <c r="D900" t="inlineStr">
        <is>
          <t>66230098</t>
        </is>
      </c>
      <c r="E900" t="inlineStr">
        <is>
          <t>4</t>
        </is>
      </c>
      <c r="F900" t="inlineStr">
        <is>
          <t>10000133</t>
        </is>
      </c>
      <c r="H900" t="inlineStr"/>
      <c r="J900" t="n">
        <v>200</v>
      </c>
      <c r="K900" t="inlineStr"/>
      <c r="M900" t="inlineStr">
        <is>
          <t>M3</t>
        </is>
      </c>
      <c r="N900" t="inlineStr"/>
      <c r="P900" t="inlineStr">
        <is>
          <t>20230301</t>
        </is>
      </c>
      <c r="Q900" t="inlineStr">
        <is>
          <t>20251031</t>
        </is>
      </c>
    </row>
    <row r="901">
      <c r="A901" t="inlineStr">
        <is>
          <t>900004365D8366623009810000623</t>
        </is>
      </c>
      <c r="B901" t="inlineStr">
        <is>
          <t>900004365</t>
        </is>
      </c>
      <c r="C901" t="inlineStr">
        <is>
          <t>D836</t>
        </is>
      </c>
      <c r="D901" t="inlineStr">
        <is>
          <t>66230098</t>
        </is>
      </c>
      <c r="E901" t="inlineStr">
        <is>
          <t>4</t>
        </is>
      </c>
      <c r="F901" t="inlineStr">
        <is>
          <t>10000623</t>
        </is>
      </c>
      <c r="H901" t="inlineStr"/>
      <c r="J901" t="n">
        <v>200</v>
      </c>
      <c r="K901" t="inlineStr"/>
      <c r="M901" t="inlineStr">
        <is>
          <t>M3</t>
        </is>
      </c>
      <c r="N901" t="inlineStr"/>
      <c r="P901" t="inlineStr">
        <is>
          <t>20190426</t>
        </is>
      </c>
      <c r="Q901" t="inlineStr">
        <is>
          <t>20250127</t>
        </is>
      </c>
    </row>
    <row r="902">
      <c r="A902" t="inlineStr">
        <is>
          <t>900004365D8366623009810000624</t>
        </is>
      </c>
      <c r="B902" t="inlineStr">
        <is>
          <t>900004365</t>
        </is>
      </c>
      <c r="C902" t="inlineStr">
        <is>
          <t>D836</t>
        </is>
      </c>
      <c r="D902" t="inlineStr">
        <is>
          <t>66230098</t>
        </is>
      </c>
      <c r="E902" t="inlineStr">
        <is>
          <t>4</t>
        </is>
      </c>
      <c r="F902" t="inlineStr">
        <is>
          <t>10000624</t>
        </is>
      </c>
      <c r="H902" t="inlineStr"/>
      <c r="J902" t="n">
        <v>200</v>
      </c>
      <c r="K902" t="inlineStr"/>
      <c r="M902" t="inlineStr">
        <is>
          <t>M3</t>
        </is>
      </c>
      <c r="N902" t="inlineStr"/>
      <c r="P902" t="inlineStr">
        <is>
          <t>20190426</t>
        </is>
      </c>
      <c r="Q902" t="inlineStr">
        <is>
          <t>20250127</t>
        </is>
      </c>
    </row>
    <row r="903">
      <c r="A903" t="inlineStr">
        <is>
          <t>900004365D8366645007210000133</t>
        </is>
      </c>
      <c r="B903" t="inlineStr">
        <is>
          <t>900004365</t>
        </is>
      </c>
      <c r="C903" t="inlineStr">
        <is>
          <t>D836</t>
        </is>
      </c>
      <c r="D903" t="inlineStr">
        <is>
          <t>66450072</t>
        </is>
      </c>
      <c r="E903" t="inlineStr">
        <is>
          <t>4</t>
        </is>
      </c>
      <c r="F903" t="inlineStr">
        <is>
          <t>10000133</t>
        </is>
      </c>
      <c r="H903" t="inlineStr"/>
      <c r="J903" t="n">
        <v>200</v>
      </c>
      <c r="K903" t="inlineStr"/>
      <c r="M903" t="inlineStr">
        <is>
          <t>M3</t>
        </is>
      </c>
      <c r="N903" t="inlineStr"/>
      <c r="P903" t="inlineStr">
        <is>
          <t>20190426</t>
        </is>
      </c>
      <c r="Q903" t="inlineStr">
        <is>
          <t>20250127</t>
        </is>
      </c>
    </row>
    <row r="904">
      <c r="A904" t="inlineStr">
        <is>
          <t>900004365D8366645007210000623</t>
        </is>
      </c>
      <c r="B904" t="inlineStr">
        <is>
          <t>900004365</t>
        </is>
      </c>
      <c r="C904" t="inlineStr">
        <is>
          <t>D836</t>
        </is>
      </c>
      <c r="D904" t="inlineStr">
        <is>
          <t>66450072</t>
        </is>
      </c>
      <c r="E904" t="inlineStr">
        <is>
          <t>4</t>
        </is>
      </c>
      <c r="F904" t="inlineStr">
        <is>
          <t>10000623</t>
        </is>
      </c>
      <c r="H904" t="inlineStr"/>
      <c r="J904" t="n">
        <v>200</v>
      </c>
      <c r="K904" t="inlineStr"/>
      <c r="M904" t="inlineStr">
        <is>
          <t>M3</t>
        </is>
      </c>
      <c r="N904" t="inlineStr"/>
      <c r="P904" t="inlineStr">
        <is>
          <t>20190426</t>
        </is>
      </c>
      <c r="Q904" t="inlineStr">
        <is>
          <t>20250127</t>
        </is>
      </c>
    </row>
    <row r="905">
      <c r="A905" t="inlineStr">
        <is>
          <t>900004365D8366645007210000624</t>
        </is>
      </c>
      <c r="B905" t="inlineStr">
        <is>
          <t>900004365</t>
        </is>
      </c>
      <c r="C905" t="inlineStr">
        <is>
          <t>D836</t>
        </is>
      </c>
      <c r="D905" t="inlineStr">
        <is>
          <t>66450072</t>
        </is>
      </c>
      <c r="E905" t="inlineStr">
        <is>
          <t>4</t>
        </is>
      </c>
      <c r="F905" t="inlineStr">
        <is>
          <t>10000624</t>
        </is>
      </c>
      <c r="H905" t="inlineStr"/>
      <c r="J905" t="n">
        <v>200</v>
      </c>
      <c r="K905" t="inlineStr"/>
      <c r="M905" t="inlineStr">
        <is>
          <t>M3</t>
        </is>
      </c>
      <c r="N905" t="inlineStr"/>
      <c r="P905" t="inlineStr">
        <is>
          <t>20190426</t>
        </is>
      </c>
      <c r="Q905" t="inlineStr">
        <is>
          <t>20250127</t>
        </is>
      </c>
    </row>
    <row r="906">
      <c r="A906" t="inlineStr">
        <is>
          <t>900004365D8366652634110154416</t>
        </is>
      </c>
      <c r="B906" t="inlineStr">
        <is>
          <t>900004365</t>
        </is>
      </c>
      <c r="C906" t="inlineStr">
        <is>
          <t>D836</t>
        </is>
      </c>
      <c r="D906" t="inlineStr">
        <is>
          <t>66526341</t>
        </is>
      </c>
      <c r="E906" t="inlineStr">
        <is>
          <t>4</t>
        </is>
      </c>
      <c r="F906" t="inlineStr">
        <is>
          <t>10154416</t>
        </is>
      </c>
      <c r="H906" t="inlineStr"/>
      <c r="J906" t="n">
        <v>120</v>
      </c>
      <c r="K906" t="inlineStr"/>
      <c r="M906" t="inlineStr">
        <is>
          <t>M3</t>
        </is>
      </c>
      <c r="N906" t="inlineStr"/>
      <c r="P906" t="inlineStr">
        <is>
          <t>20190426</t>
        </is>
      </c>
      <c r="Q906" t="inlineStr">
        <is>
          <t>20250127</t>
        </is>
      </c>
    </row>
    <row r="907">
      <c r="A907" t="inlineStr">
        <is>
          <t>900004365D8366652634310154416</t>
        </is>
      </c>
      <c r="B907" t="inlineStr">
        <is>
          <t>900004365</t>
        </is>
      </c>
      <c r="C907" t="inlineStr">
        <is>
          <t>D836</t>
        </is>
      </c>
      <c r="D907" t="inlineStr">
        <is>
          <t>66526343</t>
        </is>
      </c>
      <c r="E907" t="inlineStr">
        <is>
          <t>4</t>
        </is>
      </c>
      <c r="F907" t="inlineStr">
        <is>
          <t>10154416</t>
        </is>
      </c>
      <c r="H907" t="inlineStr"/>
      <c r="J907" t="n">
        <v>120</v>
      </c>
      <c r="K907" t="inlineStr"/>
      <c r="M907" t="inlineStr">
        <is>
          <t>M3</t>
        </is>
      </c>
      <c r="N907" t="inlineStr"/>
      <c r="P907" t="inlineStr">
        <is>
          <t>20190426</t>
        </is>
      </c>
      <c r="Q907" t="inlineStr">
        <is>
          <t>20250127</t>
        </is>
      </c>
    </row>
    <row r="908">
      <c r="A908" t="inlineStr">
        <is>
          <t>900004365D8366653821310154416</t>
        </is>
      </c>
      <c r="B908" t="inlineStr">
        <is>
          <t>900004365</t>
        </is>
      </c>
      <c r="C908" t="inlineStr">
        <is>
          <t>D836</t>
        </is>
      </c>
      <c r="D908" t="inlineStr">
        <is>
          <t>66538213</t>
        </is>
      </c>
      <c r="E908" t="inlineStr">
        <is>
          <t>4</t>
        </is>
      </c>
      <c r="F908" t="inlineStr">
        <is>
          <t>10154416</t>
        </is>
      </c>
      <c r="H908" t="inlineStr"/>
      <c r="J908" t="n">
        <v>120</v>
      </c>
      <c r="K908" t="inlineStr"/>
      <c r="M908" t="inlineStr">
        <is>
          <t>M3</t>
        </is>
      </c>
      <c r="N908" t="inlineStr"/>
      <c r="P908" t="inlineStr">
        <is>
          <t>20190426</t>
        </is>
      </c>
      <c r="Q908" t="inlineStr">
        <is>
          <t>20250127</t>
        </is>
      </c>
    </row>
    <row r="909">
      <c r="A909" t="inlineStr">
        <is>
          <t>900004365D8366660801210019515</t>
        </is>
      </c>
      <c r="B909" t="inlineStr">
        <is>
          <t>900004365</t>
        </is>
      </c>
      <c r="C909" t="inlineStr">
        <is>
          <t>D836</t>
        </is>
      </c>
      <c r="D909" t="inlineStr">
        <is>
          <t>66608012</t>
        </is>
      </c>
      <c r="E909" t="inlineStr">
        <is>
          <t>4</t>
        </is>
      </c>
      <c r="F909" t="inlineStr">
        <is>
          <t>10019515</t>
        </is>
      </c>
      <c r="H909" t="inlineStr"/>
      <c r="J909" t="n">
        <v>176</v>
      </c>
      <c r="K909" t="inlineStr"/>
      <c r="M909" t="inlineStr">
        <is>
          <t>M3</t>
        </is>
      </c>
      <c r="N909" t="inlineStr"/>
      <c r="P909" t="inlineStr">
        <is>
          <t>20190426</t>
        </is>
      </c>
      <c r="Q909" t="inlineStr">
        <is>
          <t>20250127</t>
        </is>
      </c>
    </row>
    <row r="910">
      <c r="A910" t="inlineStr">
        <is>
          <t>900004365D8366663654910019515</t>
        </is>
      </c>
      <c r="B910" t="inlineStr">
        <is>
          <t>900004365</t>
        </is>
      </c>
      <c r="C910" t="inlineStr">
        <is>
          <t>D836</t>
        </is>
      </c>
      <c r="D910" t="inlineStr">
        <is>
          <t>66636549</t>
        </is>
      </c>
      <c r="E910" t="inlineStr">
        <is>
          <t>4</t>
        </is>
      </c>
      <c r="F910" t="inlineStr">
        <is>
          <t>10019515</t>
        </is>
      </c>
      <c r="H910" t="inlineStr"/>
      <c r="J910" t="n">
        <v>220</v>
      </c>
      <c r="K910" t="inlineStr"/>
      <c r="M910" t="inlineStr">
        <is>
          <t>M3</t>
        </is>
      </c>
      <c r="N910" t="inlineStr"/>
      <c r="P910" t="inlineStr">
        <is>
          <t>20190426</t>
        </is>
      </c>
      <c r="Q910" t="inlineStr">
        <is>
          <t>20250127</t>
        </is>
      </c>
    </row>
    <row r="911">
      <c r="A911" t="inlineStr">
        <is>
          <t>900004365D8366663972610019515</t>
        </is>
      </c>
      <c r="B911" t="inlineStr">
        <is>
          <t>900004365</t>
        </is>
      </c>
      <c r="C911" t="inlineStr">
        <is>
          <t>D836</t>
        </is>
      </c>
      <c r="D911" t="inlineStr">
        <is>
          <t>66639726</t>
        </is>
      </c>
      <c r="E911" t="inlineStr">
        <is>
          <t>4</t>
        </is>
      </c>
      <c r="F911" t="inlineStr">
        <is>
          <t>10019515</t>
        </is>
      </c>
      <c r="H911" t="inlineStr"/>
      <c r="J911" t="n">
        <v>200</v>
      </c>
      <c r="K911" t="inlineStr"/>
      <c r="M911" t="inlineStr">
        <is>
          <t>M3</t>
        </is>
      </c>
      <c r="N911" t="inlineStr"/>
      <c r="P911" t="inlineStr">
        <is>
          <t>20190426</t>
        </is>
      </c>
      <c r="Q911" t="inlineStr">
        <is>
          <t>20250127</t>
        </is>
      </c>
    </row>
    <row r="912">
      <c r="A912" t="inlineStr">
        <is>
          <t>900004365D8366670138310019515</t>
        </is>
      </c>
      <c r="B912" t="inlineStr">
        <is>
          <t>900004365</t>
        </is>
      </c>
      <c r="C912" t="inlineStr">
        <is>
          <t>D836</t>
        </is>
      </c>
      <c r="D912" t="inlineStr">
        <is>
          <t>66701383</t>
        </is>
      </c>
      <c r="E912" t="inlineStr">
        <is>
          <t>4</t>
        </is>
      </c>
      <c r="F912" t="inlineStr">
        <is>
          <t>10019515</t>
        </is>
      </c>
      <c r="H912" t="inlineStr"/>
      <c r="J912" t="n">
        <v>220</v>
      </c>
      <c r="K912" t="inlineStr"/>
      <c r="M912" t="inlineStr">
        <is>
          <t>M3</t>
        </is>
      </c>
      <c r="N912" t="inlineStr"/>
      <c r="P912" t="inlineStr">
        <is>
          <t>20190426</t>
        </is>
      </c>
      <c r="Q912" t="inlineStr">
        <is>
          <t>20250127</t>
        </is>
      </c>
    </row>
    <row r="913">
      <c r="A913" t="inlineStr">
        <is>
          <t>900004365D8366698265810215930</t>
        </is>
      </c>
      <c r="B913" t="inlineStr">
        <is>
          <t>900004365</t>
        </is>
      </c>
      <c r="C913" t="inlineStr">
        <is>
          <t>D836</t>
        </is>
      </c>
      <c r="D913" t="inlineStr">
        <is>
          <t>66982658</t>
        </is>
      </c>
      <c r="E913" t="inlineStr">
        <is>
          <t>4</t>
        </is>
      </c>
      <c r="F913" t="inlineStr">
        <is>
          <t>10215930</t>
        </is>
      </c>
      <c r="H913" t="inlineStr"/>
      <c r="J913" t="n">
        <v>135</v>
      </c>
      <c r="K913" t="inlineStr"/>
      <c r="M913" t="inlineStr">
        <is>
          <t>M3</t>
        </is>
      </c>
      <c r="N913" t="inlineStr"/>
      <c r="P913" t="inlineStr">
        <is>
          <t>20190426</t>
        </is>
      </c>
      <c r="Q913" t="inlineStr">
        <is>
          <t>20250127</t>
        </is>
      </c>
    </row>
    <row r="914">
      <c r="A914" t="inlineStr">
        <is>
          <t>900004365D8366701980210000287</t>
        </is>
      </c>
      <c r="B914" t="inlineStr">
        <is>
          <t>900004365</t>
        </is>
      </c>
      <c r="C914" t="inlineStr">
        <is>
          <t>D836</t>
        </is>
      </c>
      <c r="D914" t="inlineStr">
        <is>
          <t>67019802</t>
        </is>
      </c>
      <c r="E914" t="inlineStr">
        <is>
          <t>4</t>
        </is>
      </c>
      <c r="F914" t="inlineStr">
        <is>
          <t>10000287</t>
        </is>
      </c>
      <c r="H914" t="inlineStr"/>
      <c r="J914" t="n">
        <v>500</v>
      </c>
      <c r="K914" t="inlineStr"/>
      <c r="M914" t="inlineStr">
        <is>
          <t>M3</t>
        </is>
      </c>
      <c r="N914" t="inlineStr"/>
      <c r="P914" t="inlineStr">
        <is>
          <t>20190426</t>
        </is>
      </c>
      <c r="Q914" t="inlineStr">
        <is>
          <t>20250127</t>
        </is>
      </c>
    </row>
    <row r="915">
      <c r="A915" t="inlineStr">
        <is>
          <t>900004365D8366703181610019515</t>
        </is>
      </c>
      <c r="B915" t="inlineStr">
        <is>
          <t>900004365</t>
        </is>
      </c>
      <c r="C915" t="inlineStr">
        <is>
          <t>D836</t>
        </is>
      </c>
      <c r="D915" t="inlineStr">
        <is>
          <t>67031816</t>
        </is>
      </c>
      <c r="E915" t="inlineStr">
        <is>
          <t>4</t>
        </is>
      </c>
      <c r="F915" t="inlineStr">
        <is>
          <t>10019515</t>
        </is>
      </c>
      <c r="H915" t="inlineStr"/>
      <c r="J915" t="n">
        <v>300</v>
      </c>
      <c r="K915" t="inlineStr"/>
      <c r="M915" t="inlineStr">
        <is>
          <t>M3</t>
        </is>
      </c>
      <c r="N915" t="inlineStr"/>
      <c r="P915" t="inlineStr">
        <is>
          <t>20190426</t>
        </is>
      </c>
      <c r="Q915" t="inlineStr">
        <is>
          <t>20250127</t>
        </is>
      </c>
    </row>
    <row r="916">
      <c r="A916" t="inlineStr">
        <is>
          <t>900004365D8366703181610215074</t>
        </is>
      </c>
      <c r="B916" t="inlineStr">
        <is>
          <t>900004365</t>
        </is>
      </c>
      <c r="C916" t="inlineStr">
        <is>
          <t>D836</t>
        </is>
      </c>
      <c r="D916" t="inlineStr">
        <is>
          <t>67031816</t>
        </is>
      </c>
      <c r="E916" t="inlineStr">
        <is>
          <t>4</t>
        </is>
      </c>
      <c r="F916" t="inlineStr">
        <is>
          <t>10215074</t>
        </is>
      </c>
      <c r="H916" t="inlineStr"/>
      <c r="J916" t="n">
        <v>300</v>
      </c>
      <c r="K916" t="inlineStr"/>
      <c r="M916" t="inlineStr">
        <is>
          <t>M3</t>
        </is>
      </c>
      <c r="N916" t="inlineStr"/>
      <c r="P916" t="inlineStr">
        <is>
          <t>20190426</t>
        </is>
      </c>
      <c r="Q916" t="inlineStr">
        <is>
          <t>20250127</t>
        </is>
      </c>
    </row>
    <row r="917">
      <c r="A917" t="inlineStr">
        <is>
          <t>900004365D8366705243810000313</t>
        </is>
      </c>
      <c r="B917" t="inlineStr">
        <is>
          <t>900004365</t>
        </is>
      </c>
      <c r="C917" t="inlineStr">
        <is>
          <t>D836</t>
        </is>
      </c>
      <c r="D917" t="inlineStr">
        <is>
          <t>67052438</t>
        </is>
      </c>
      <c r="E917" t="inlineStr">
        <is>
          <t>4</t>
        </is>
      </c>
      <c r="F917" t="inlineStr">
        <is>
          <t>10000313</t>
        </is>
      </c>
      <c r="H917" t="inlineStr"/>
      <c r="J917" t="n">
        <v>300</v>
      </c>
      <c r="K917" t="inlineStr"/>
      <c r="M917" t="inlineStr">
        <is>
          <t>M3</t>
        </is>
      </c>
      <c r="N917" t="inlineStr"/>
      <c r="P917" t="inlineStr">
        <is>
          <t>20220326</t>
        </is>
      </c>
      <c r="Q917" t="inlineStr">
        <is>
          <t>20251030</t>
        </is>
      </c>
    </row>
    <row r="918">
      <c r="A918" t="inlineStr">
        <is>
          <t>900004365D8366707581110000284</t>
        </is>
      </c>
      <c r="B918" t="inlineStr">
        <is>
          <t>900004365</t>
        </is>
      </c>
      <c r="C918" t="inlineStr">
        <is>
          <t>D836</t>
        </is>
      </c>
      <c r="D918" t="inlineStr">
        <is>
          <t>67075811</t>
        </is>
      </c>
      <c r="E918" t="inlineStr">
        <is>
          <t>4</t>
        </is>
      </c>
      <c r="F918" t="inlineStr">
        <is>
          <t>10000284</t>
        </is>
      </c>
      <c r="H918" t="inlineStr"/>
      <c r="J918" t="n">
        <v>305</v>
      </c>
      <c r="K918" t="inlineStr"/>
      <c r="M918" t="inlineStr">
        <is>
          <t>M3</t>
        </is>
      </c>
      <c r="N918" t="inlineStr"/>
      <c r="P918" t="inlineStr">
        <is>
          <t>20220615</t>
        </is>
      </c>
      <c r="Q918" t="inlineStr">
        <is>
          <t>20251030</t>
        </is>
      </c>
    </row>
    <row r="919">
      <c r="A919" t="inlineStr">
        <is>
          <t>900004447D8366501466410000160</t>
        </is>
      </c>
      <c r="B919" t="inlineStr">
        <is>
          <t>900004447</t>
        </is>
      </c>
      <c r="C919" t="inlineStr">
        <is>
          <t>D836</t>
        </is>
      </c>
      <c r="D919" t="inlineStr">
        <is>
          <t>65014664</t>
        </is>
      </c>
      <c r="E919" t="inlineStr">
        <is>
          <t>1</t>
        </is>
      </c>
      <c r="F919" t="inlineStr">
        <is>
          <t>10000160</t>
        </is>
      </c>
      <c r="H919" t="inlineStr"/>
      <c r="J919" t="n">
        <v>237.18</v>
      </c>
      <c r="K919" t="inlineStr"/>
      <c r="M919" t="inlineStr">
        <is>
          <t>M3</t>
        </is>
      </c>
      <c r="N919" t="inlineStr"/>
      <c r="P919" t="inlineStr">
        <is>
          <t>20190426</t>
        </is>
      </c>
      <c r="Q919" t="inlineStr">
        <is>
          <t>20250127</t>
        </is>
      </c>
    </row>
    <row r="920">
      <c r="A920" t="inlineStr">
        <is>
          <t>900004447D8366501466410000160</t>
        </is>
      </c>
      <c r="B920" t="inlineStr">
        <is>
          <t>900004447</t>
        </is>
      </c>
      <c r="C920" t="inlineStr">
        <is>
          <t>D836</t>
        </is>
      </c>
      <c r="D920" t="inlineStr">
        <is>
          <t>65014664</t>
        </is>
      </c>
      <c r="E920" t="inlineStr">
        <is>
          <t>2</t>
        </is>
      </c>
      <c r="F920" t="inlineStr">
        <is>
          <t>10000160</t>
        </is>
      </c>
      <c r="H920" t="inlineStr"/>
      <c r="J920" t="n">
        <v>254</v>
      </c>
      <c r="K920" t="inlineStr"/>
      <c r="M920" t="inlineStr">
        <is>
          <t>M3</t>
        </is>
      </c>
      <c r="N920" t="inlineStr"/>
      <c r="P920" t="inlineStr">
        <is>
          <t>20190426</t>
        </is>
      </c>
      <c r="Q920" t="inlineStr">
        <is>
          <t>20250127</t>
        </is>
      </c>
    </row>
    <row r="921">
      <c r="A921" t="inlineStr">
        <is>
          <t>900004447D8366501466410000829</t>
        </is>
      </c>
      <c r="B921" t="inlineStr">
        <is>
          <t>900004447</t>
        </is>
      </c>
      <c r="C921" t="inlineStr">
        <is>
          <t>D836</t>
        </is>
      </c>
      <c r="D921" t="inlineStr">
        <is>
          <t>65014664</t>
        </is>
      </c>
      <c r="E921" t="inlineStr">
        <is>
          <t>1</t>
        </is>
      </c>
      <c r="F921" t="inlineStr">
        <is>
          <t>10000829</t>
        </is>
      </c>
      <c r="H921" t="inlineStr"/>
      <c r="J921" t="n">
        <v>237.18</v>
      </c>
      <c r="K921" t="inlineStr"/>
      <c r="M921" t="inlineStr">
        <is>
          <t>M3</t>
        </is>
      </c>
      <c r="N921" t="inlineStr"/>
      <c r="P921" t="inlineStr">
        <is>
          <t>20190426</t>
        </is>
      </c>
      <c r="Q921" t="inlineStr">
        <is>
          <t>20250127</t>
        </is>
      </c>
    </row>
    <row r="922">
      <c r="A922" t="inlineStr">
        <is>
          <t>900004447D8366501466410000829</t>
        </is>
      </c>
      <c r="B922" t="inlineStr">
        <is>
          <t>900004447</t>
        </is>
      </c>
      <c r="C922" t="inlineStr">
        <is>
          <t>D836</t>
        </is>
      </c>
      <c r="D922" t="inlineStr">
        <is>
          <t>65014664</t>
        </is>
      </c>
      <c r="E922" t="inlineStr">
        <is>
          <t>2</t>
        </is>
      </c>
      <c r="F922" t="inlineStr">
        <is>
          <t>10000829</t>
        </is>
      </c>
      <c r="H922" t="inlineStr"/>
      <c r="J922" t="n">
        <v>254</v>
      </c>
      <c r="K922" t="inlineStr"/>
      <c r="M922" t="inlineStr">
        <is>
          <t>M3</t>
        </is>
      </c>
      <c r="N922" t="inlineStr"/>
      <c r="P922" t="inlineStr">
        <is>
          <t>20190426</t>
        </is>
      </c>
      <c r="Q922" t="inlineStr">
        <is>
          <t>20250127</t>
        </is>
      </c>
    </row>
    <row r="923">
      <c r="A923" t="inlineStr">
        <is>
          <t>900004542D8366501466410000829</t>
        </is>
      </c>
      <c r="B923" t="inlineStr">
        <is>
          <t>900004542</t>
        </is>
      </c>
      <c r="C923" t="inlineStr">
        <is>
          <t>D836</t>
        </is>
      </c>
      <c r="D923" t="inlineStr">
        <is>
          <t>65014664</t>
        </is>
      </c>
      <c r="E923" t="inlineStr">
        <is>
          <t>1</t>
        </is>
      </c>
      <c r="F923" t="inlineStr">
        <is>
          <t>10000829</t>
        </is>
      </c>
      <c r="H923" t="inlineStr"/>
      <c r="J923" t="n">
        <v>230.88</v>
      </c>
      <c r="K923" t="inlineStr"/>
      <c r="M923" t="inlineStr">
        <is>
          <t>M3</t>
        </is>
      </c>
      <c r="N923" t="inlineStr"/>
      <c r="P923" t="inlineStr">
        <is>
          <t>20190426</t>
        </is>
      </c>
      <c r="Q923" t="inlineStr">
        <is>
          <t>20250127</t>
        </is>
      </c>
    </row>
    <row r="924">
      <c r="A924" t="inlineStr">
        <is>
          <t>900005007D8366525139910029712</t>
        </is>
      </c>
      <c r="B924" t="inlineStr">
        <is>
          <t>900005007</t>
        </is>
      </c>
      <c r="C924" t="inlineStr">
        <is>
          <t>D836</t>
        </is>
      </c>
      <c r="D924" t="inlineStr">
        <is>
          <t>65251399</t>
        </is>
      </c>
      <c r="E924" t="inlineStr">
        <is>
          <t>4</t>
        </is>
      </c>
      <c r="F924" t="inlineStr">
        <is>
          <t>10029712</t>
        </is>
      </c>
      <c r="H924" t="inlineStr"/>
      <c r="J924" t="n">
        <v>120</v>
      </c>
      <c r="K924" t="inlineStr"/>
      <c r="M924" t="inlineStr">
        <is>
          <t>M3</t>
        </is>
      </c>
      <c r="N924" t="inlineStr"/>
      <c r="P924" t="inlineStr">
        <is>
          <t>20190426</t>
        </is>
      </c>
      <c r="Q924" t="inlineStr">
        <is>
          <t>20250127</t>
        </is>
      </c>
    </row>
    <row r="925">
      <c r="A925" t="inlineStr">
        <is>
          <t>900005214D8366525139910059181</t>
        </is>
      </c>
      <c r="B925" t="inlineStr">
        <is>
          <t>900005214</t>
        </is>
      </c>
      <c r="C925" t="inlineStr">
        <is>
          <t>D836</t>
        </is>
      </c>
      <c r="D925" t="inlineStr">
        <is>
          <t>65251399</t>
        </is>
      </c>
      <c r="E925" t="inlineStr">
        <is>
          <t>1</t>
        </is>
      </c>
      <c r="F925" t="inlineStr">
        <is>
          <t>10059181</t>
        </is>
      </c>
      <c r="H925" t="inlineStr"/>
      <c r="J925" t="n">
        <v>155.15</v>
      </c>
      <c r="K925" t="inlineStr"/>
      <c r="M925" t="inlineStr">
        <is>
          <t>M3</t>
        </is>
      </c>
      <c r="N925" t="inlineStr"/>
      <c r="P925" t="inlineStr">
        <is>
          <t>20190426</t>
        </is>
      </c>
      <c r="Q925" t="inlineStr">
        <is>
          <t>20250127</t>
        </is>
      </c>
    </row>
    <row r="926">
      <c r="A926" t="inlineStr">
        <is>
          <t>900005214D8366544526110000253</t>
        </is>
      </c>
      <c r="B926" t="inlineStr">
        <is>
          <t>900005214</t>
        </is>
      </c>
      <c r="C926" t="inlineStr">
        <is>
          <t>D836</t>
        </is>
      </c>
      <c r="D926" t="inlineStr">
        <is>
          <t>65445261</t>
        </is>
      </c>
      <c r="E926" t="inlineStr">
        <is>
          <t>1</t>
        </is>
      </c>
      <c r="F926" t="inlineStr">
        <is>
          <t>10000253</t>
        </is>
      </c>
      <c r="H926" t="inlineStr"/>
      <c r="J926" t="n">
        <v>41.5</v>
      </c>
      <c r="K926" t="inlineStr"/>
      <c r="M926" t="inlineStr">
        <is>
          <t>M3</t>
        </is>
      </c>
      <c r="N926" t="inlineStr"/>
      <c r="P926" t="inlineStr">
        <is>
          <t>20190426</t>
        </is>
      </c>
      <c r="Q926" t="inlineStr">
        <is>
          <t>20250127</t>
        </is>
      </c>
    </row>
    <row r="927">
      <c r="A927" t="inlineStr">
        <is>
          <t>900005214D8366544526110000627</t>
        </is>
      </c>
      <c r="B927" t="inlineStr">
        <is>
          <t>900005214</t>
        </is>
      </c>
      <c r="C927" t="inlineStr">
        <is>
          <t>D836</t>
        </is>
      </c>
      <c r="D927" t="inlineStr">
        <is>
          <t>65445261</t>
        </is>
      </c>
      <c r="E927" t="inlineStr">
        <is>
          <t>1</t>
        </is>
      </c>
      <c r="F927" t="inlineStr">
        <is>
          <t>10000627</t>
        </is>
      </c>
      <c r="H927" t="inlineStr"/>
      <c r="J927" t="n">
        <v>44.41</v>
      </c>
      <c r="K927" t="inlineStr"/>
      <c r="M927" t="inlineStr">
        <is>
          <t>M3</t>
        </is>
      </c>
      <c r="N927" t="inlineStr"/>
      <c r="P927" t="inlineStr">
        <is>
          <t>20190426</t>
        </is>
      </c>
      <c r="Q927" t="inlineStr">
        <is>
          <t>20250127</t>
        </is>
      </c>
    </row>
    <row r="928">
      <c r="A928" t="inlineStr">
        <is>
          <t>900005214D8366544526110059181</t>
        </is>
      </c>
      <c r="B928" t="inlineStr">
        <is>
          <t>900005214</t>
        </is>
      </c>
      <c r="C928" t="inlineStr">
        <is>
          <t>D836</t>
        </is>
      </c>
      <c r="D928" t="inlineStr">
        <is>
          <t>65445261</t>
        </is>
      </c>
      <c r="E928" t="inlineStr">
        <is>
          <t>1</t>
        </is>
      </c>
      <c r="F928" t="inlineStr">
        <is>
          <t>10059181</t>
        </is>
      </c>
      <c r="H928" t="inlineStr"/>
      <c r="J928" t="n">
        <v>44.41</v>
      </c>
      <c r="K928" t="inlineStr"/>
      <c r="M928" t="inlineStr">
        <is>
          <t>M3</t>
        </is>
      </c>
      <c r="N928" t="inlineStr"/>
      <c r="P928" t="inlineStr">
        <is>
          <t>20190426</t>
        </is>
      </c>
      <c r="Q928" t="inlineStr">
        <is>
          <t>20250127</t>
        </is>
      </c>
    </row>
    <row r="929">
      <c r="A929" t="inlineStr">
        <is>
          <t>900005214D8366621263710000651</t>
        </is>
      </c>
      <c r="B929" t="inlineStr">
        <is>
          <t>900005214</t>
        </is>
      </c>
      <c r="C929" t="inlineStr">
        <is>
          <t>D836</t>
        </is>
      </c>
      <c r="D929" t="inlineStr">
        <is>
          <t>66212637</t>
        </is>
      </c>
      <c r="E929" t="inlineStr">
        <is>
          <t>1</t>
        </is>
      </c>
      <c r="F929" t="inlineStr">
        <is>
          <t>10000651</t>
        </is>
      </c>
      <c r="H929" t="inlineStr"/>
      <c r="J929" t="n">
        <v>214</v>
      </c>
      <c r="K929" t="inlineStr"/>
      <c r="M929" t="inlineStr">
        <is>
          <t>M3</t>
        </is>
      </c>
      <c r="N929" t="inlineStr"/>
      <c r="P929" t="inlineStr">
        <is>
          <t>20190426</t>
        </is>
      </c>
      <c r="Q929" t="inlineStr">
        <is>
          <t>20250127</t>
        </is>
      </c>
    </row>
    <row r="930">
      <c r="A930" t="inlineStr">
        <is>
          <t>900005214D8366645859310059181</t>
        </is>
      </c>
      <c r="B930" t="inlineStr">
        <is>
          <t>900005214</t>
        </is>
      </c>
      <c r="C930" t="inlineStr">
        <is>
          <t>D836</t>
        </is>
      </c>
      <c r="D930" t="inlineStr">
        <is>
          <t>66458593</t>
        </is>
      </c>
      <c r="E930" t="inlineStr">
        <is>
          <t>1</t>
        </is>
      </c>
      <c r="F930" t="inlineStr">
        <is>
          <t>10059181</t>
        </is>
      </c>
      <c r="H930" t="inlineStr"/>
      <c r="J930" t="n">
        <v>243.96</v>
      </c>
      <c r="K930" t="inlineStr"/>
      <c r="M930" t="inlineStr">
        <is>
          <t>M3</t>
        </is>
      </c>
      <c r="N930" t="inlineStr"/>
      <c r="P930" t="inlineStr">
        <is>
          <t>20190426</t>
        </is>
      </c>
      <c r="Q930" t="inlineStr">
        <is>
          <t>20250127</t>
        </is>
      </c>
    </row>
    <row r="931">
      <c r="A931" t="inlineStr">
        <is>
          <t>900005214D8366649095710000627</t>
        </is>
      </c>
      <c r="B931" t="inlineStr">
        <is>
          <t>900005214</t>
        </is>
      </c>
      <c r="C931" t="inlineStr">
        <is>
          <t>D836</t>
        </is>
      </c>
      <c r="D931" t="inlineStr">
        <is>
          <t>66490957</t>
        </is>
      </c>
      <c r="E931" t="inlineStr">
        <is>
          <t>1</t>
        </is>
      </c>
      <c r="F931" t="inlineStr">
        <is>
          <t>10000627</t>
        </is>
      </c>
      <c r="H931" t="inlineStr"/>
      <c r="J931" t="n">
        <v>44.41</v>
      </c>
      <c r="K931" t="inlineStr"/>
      <c r="M931" t="inlineStr">
        <is>
          <t>M3</t>
        </is>
      </c>
      <c r="N931" t="inlineStr"/>
      <c r="P931" t="inlineStr">
        <is>
          <t>20190426</t>
        </is>
      </c>
      <c r="Q931" t="inlineStr">
        <is>
          <t>20250127</t>
        </is>
      </c>
    </row>
    <row r="932">
      <c r="A932" t="inlineStr">
        <is>
          <t>900005259D8366655606010000623</t>
        </is>
      </c>
      <c r="B932" t="inlineStr">
        <is>
          <t>900005259</t>
        </is>
      </c>
      <c r="C932" t="inlineStr">
        <is>
          <t>D836</t>
        </is>
      </c>
      <c r="D932" t="inlineStr">
        <is>
          <t>66556060</t>
        </is>
      </c>
      <c r="E932" t="inlineStr">
        <is>
          <t>1</t>
        </is>
      </c>
      <c r="F932" t="inlineStr">
        <is>
          <t>10000623</t>
        </is>
      </c>
      <c r="H932" t="inlineStr"/>
      <c r="J932" t="n">
        <v>324.99</v>
      </c>
      <c r="K932" t="inlineStr"/>
      <c r="M932" t="inlineStr">
        <is>
          <t>M3</t>
        </is>
      </c>
      <c r="N932" t="inlineStr"/>
      <c r="P932" t="inlineStr">
        <is>
          <t>20190426</t>
        </is>
      </c>
      <c r="Q932" t="inlineStr">
        <is>
          <t>20250127</t>
        </is>
      </c>
    </row>
    <row r="933">
      <c r="A933" t="inlineStr">
        <is>
          <t>900005284D8366642253910143807</t>
        </is>
      </c>
      <c r="B933" t="inlineStr">
        <is>
          <t>900005284</t>
        </is>
      </c>
      <c r="C933" t="inlineStr">
        <is>
          <t>D836</t>
        </is>
      </c>
      <c r="D933" t="inlineStr">
        <is>
          <t>66422539</t>
        </is>
      </c>
      <c r="E933" t="inlineStr">
        <is>
          <t>4</t>
        </is>
      </c>
      <c r="F933" t="inlineStr">
        <is>
          <t>10143807</t>
        </is>
      </c>
      <c r="H933" t="inlineStr"/>
      <c r="J933" t="n">
        <v>165</v>
      </c>
      <c r="K933" t="inlineStr"/>
      <c r="M933" t="inlineStr">
        <is>
          <t>TN</t>
        </is>
      </c>
      <c r="N933" t="inlineStr"/>
      <c r="P933" t="inlineStr">
        <is>
          <t>20190426</t>
        </is>
      </c>
      <c r="Q933" t="inlineStr">
        <is>
          <t>20250127</t>
        </is>
      </c>
    </row>
    <row r="934">
      <c r="A934" t="inlineStr">
        <is>
          <t>900005286D8366626076010000647</t>
        </is>
      </c>
      <c r="B934" t="inlineStr">
        <is>
          <t>900005286</t>
        </is>
      </c>
      <c r="C934" t="inlineStr">
        <is>
          <t>D836</t>
        </is>
      </c>
      <c r="D934" t="inlineStr">
        <is>
          <t>66260760</t>
        </is>
      </c>
      <c r="E934" t="inlineStr">
        <is>
          <t>1</t>
        </is>
      </c>
      <c r="F934" t="inlineStr">
        <is>
          <t>10000647</t>
        </is>
      </c>
      <c r="H934" t="inlineStr"/>
      <c r="J934" t="n">
        <v>45.54</v>
      </c>
      <c r="K934" t="inlineStr"/>
      <c r="M934" t="inlineStr">
        <is>
          <t>M3</t>
        </is>
      </c>
      <c r="N934" t="inlineStr"/>
      <c r="P934" t="inlineStr">
        <is>
          <t>20190426</t>
        </is>
      </c>
      <c r="Q934" t="inlineStr">
        <is>
          <t>20250127</t>
        </is>
      </c>
    </row>
    <row r="935">
      <c r="A935" t="inlineStr">
        <is>
          <t>900005286D8366626076010000647</t>
        </is>
      </c>
      <c r="B935" t="inlineStr">
        <is>
          <t>900005286</t>
        </is>
      </c>
      <c r="C935" t="inlineStr">
        <is>
          <t>D836</t>
        </is>
      </c>
      <c r="D935" t="inlineStr">
        <is>
          <t>66260760</t>
        </is>
      </c>
      <c r="E935" t="inlineStr">
        <is>
          <t>2</t>
        </is>
      </c>
      <c r="F935" t="inlineStr">
        <is>
          <t>10000647</t>
        </is>
      </c>
      <c r="H935" t="inlineStr"/>
      <c r="J935" t="n">
        <v>0</v>
      </c>
      <c r="K935" t="inlineStr"/>
      <c r="M935" t="inlineStr">
        <is>
          <t>M3</t>
        </is>
      </c>
      <c r="N935" t="inlineStr"/>
      <c r="P935" t="inlineStr">
        <is>
          <t>20190426</t>
        </is>
      </c>
      <c r="Q935" t="inlineStr">
        <is>
          <t>20250127</t>
        </is>
      </c>
    </row>
    <row r="936">
      <c r="A936" t="inlineStr">
        <is>
          <t>900005286D8366626594310000625</t>
        </is>
      </c>
      <c r="B936" t="inlineStr">
        <is>
          <t>900005286</t>
        </is>
      </c>
      <c r="C936" t="inlineStr">
        <is>
          <t>D836</t>
        </is>
      </c>
      <c r="D936" t="inlineStr">
        <is>
          <t>66265943</t>
        </is>
      </c>
      <c r="E936" t="inlineStr">
        <is>
          <t>1</t>
        </is>
      </c>
      <c r="F936" t="inlineStr">
        <is>
          <t>10000625</t>
        </is>
      </c>
      <c r="H936" t="inlineStr"/>
      <c r="J936" t="n">
        <v>160</v>
      </c>
      <c r="K936" t="inlineStr"/>
      <c r="M936" t="inlineStr">
        <is>
          <t>M3</t>
        </is>
      </c>
      <c r="N936" t="inlineStr"/>
      <c r="P936" t="inlineStr">
        <is>
          <t>20190426</t>
        </is>
      </c>
      <c r="Q936" t="inlineStr">
        <is>
          <t>20250127</t>
        </is>
      </c>
    </row>
    <row r="937">
      <c r="A937" t="inlineStr">
        <is>
          <t>900005286D8366627940810000625</t>
        </is>
      </c>
      <c r="B937" t="inlineStr">
        <is>
          <t>900005286</t>
        </is>
      </c>
      <c r="C937" t="inlineStr">
        <is>
          <t>D836</t>
        </is>
      </c>
      <c r="D937" t="inlineStr">
        <is>
          <t>66279408</t>
        </is>
      </c>
      <c r="E937" t="inlineStr">
        <is>
          <t>1</t>
        </is>
      </c>
      <c r="F937" t="inlineStr">
        <is>
          <t>10000625</t>
        </is>
      </c>
      <c r="H937" t="inlineStr"/>
      <c r="J937" t="n">
        <v>160</v>
      </c>
      <c r="K937" t="inlineStr"/>
      <c r="M937" t="inlineStr">
        <is>
          <t>M3</t>
        </is>
      </c>
      <c r="N937" t="inlineStr"/>
      <c r="P937" t="inlineStr">
        <is>
          <t>20190426</t>
        </is>
      </c>
      <c r="Q937" t="inlineStr">
        <is>
          <t>20250127</t>
        </is>
      </c>
    </row>
    <row r="938">
      <c r="A938" t="inlineStr">
        <is>
          <t>900005286D8366631836610000625</t>
        </is>
      </c>
      <c r="B938" t="inlineStr">
        <is>
          <t>900005286</t>
        </is>
      </c>
      <c r="C938" t="inlineStr">
        <is>
          <t>D836</t>
        </is>
      </c>
      <c r="D938" t="inlineStr">
        <is>
          <t>66318366</t>
        </is>
      </c>
      <c r="E938" t="inlineStr">
        <is>
          <t>1</t>
        </is>
      </c>
      <c r="F938" t="inlineStr">
        <is>
          <t>10000625</t>
        </is>
      </c>
      <c r="H938" t="inlineStr"/>
      <c r="J938" t="n">
        <v>160</v>
      </c>
      <c r="K938" t="inlineStr"/>
      <c r="M938" t="inlineStr">
        <is>
          <t>M3</t>
        </is>
      </c>
      <c r="N938" t="inlineStr"/>
      <c r="P938" t="inlineStr">
        <is>
          <t>20190426</t>
        </is>
      </c>
      <c r="Q938" t="inlineStr">
        <is>
          <t>20250127</t>
        </is>
      </c>
    </row>
    <row r="939">
      <c r="A939" t="inlineStr">
        <is>
          <t>900005286D8366651234610000647</t>
        </is>
      </c>
      <c r="B939" t="inlineStr">
        <is>
          <t>900005286</t>
        </is>
      </c>
      <c r="C939" t="inlineStr">
        <is>
          <t>D836</t>
        </is>
      </c>
      <c r="D939" t="inlineStr">
        <is>
          <t>66512346</t>
        </is>
      </c>
      <c r="E939" t="inlineStr">
        <is>
          <t>1</t>
        </is>
      </c>
      <c r="F939" t="inlineStr">
        <is>
          <t>10000647</t>
        </is>
      </c>
      <c r="H939" t="inlineStr"/>
      <c r="J939" t="n">
        <v>202.1</v>
      </c>
      <c r="K939" t="inlineStr"/>
      <c r="M939" t="inlineStr">
        <is>
          <t>M3</t>
        </is>
      </c>
      <c r="N939" t="inlineStr"/>
      <c r="P939" t="inlineStr">
        <is>
          <t>20180226</t>
        </is>
      </c>
      <c r="Q939" t="inlineStr">
        <is>
          <t>20251030</t>
        </is>
      </c>
    </row>
    <row r="940">
      <c r="A940" t="inlineStr">
        <is>
          <t>900005356D8366662455410000160</t>
        </is>
      </c>
      <c r="B940" t="inlineStr">
        <is>
          <t>900005356</t>
        </is>
      </c>
      <c r="C940" t="inlineStr">
        <is>
          <t>D836</t>
        </is>
      </c>
      <c r="D940" t="inlineStr">
        <is>
          <t>66624554</t>
        </is>
      </c>
      <c r="E940" t="inlineStr">
        <is>
          <t>1</t>
        </is>
      </c>
      <c r="F940" t="inlineStr">
        <is>
          <t>10000160</t>
        </is>
      </c>
      <c r="H940" t="inlineStr"/>
      <c r="J940" t="n">
        <v>140</v>
      </c>
      <c r="K940" t="inlineStr"/>
      <c r="M940" t="inlineStr">
        <is>
          <t>M3</t>
        </is>
      </c>
      <c r="N940" t="inlineStr"/>
      <c r="P940" t="inlineStr">
        <is>
          <t>20190426</t>
        </is>
      </c>
      <c r="Q940" t="inlineStr">
        <is>
          <t>20250127</t>
        </is>
      </c>
    </row>
    <row r="941">
      <c r="A941" t="inlineStr">
        <is>
          <t>900005356D8366662455410000357</t>
        </is>
      </c>
      <c r="B941" t="inlineStr">
        <is>
          <t>900005356</t>
        </is>
      </c>
      <c r="C941" t="inlineStr">
        <is>
          <t>D836</t>
        </is>
      </c>
      <c r="D941" t="inlineStr">
        <is>
          <t>66624554</t>
        </is>
      </c>
      <c r="E941" t="inlineStr">
        <is>
          <t>1</t>
        </is>
      </c>
      <c r="F941" t="inlineStr">
        <is>
          <t>10000357</t>
        </is>
      </c>
      <c r="H941" t="inlineStr"/>
      <c r="J941" t="n">
        <v>140</v>
      </c>
      <c r="K941" t="inlineStr"/>
      <c r="M941" t="inlineStr">
        <is>
          <t>M3</t>
        </is>
      </c>
      <c r="N941" t="inlineStr"/>
      <c r="P941" t="inlineStr">
        <is>
          <t>20190426</t>
        </is>
      </c>
      <c r="Q941" t="inlineStr">
        <is>
          <t>20250127</t>
        </is>
      </c>
    </row>
    <row r="942">
      <c r="A942" t="inlineStr">
        <is>
          <t>900005356D8366662455410000627</t>
        </is>
      </c>
      <c r="B942" t="inlineStr">
        <is>
          <t>900005356</t>
        </is>
      </c>
      <c r="C942" t="inlineStr">
        <is>
          <t>D836</t>
        </is>
      </c>
      <c r="D942" t="inlineStr">
        <is>
          <t>66624554</t>
        </is>
      </c>
      <c r="E942" t="inlineStr">
        <is>
          <t>1</t>
        </is>
      </c>
      <c r="F942" t="inlineStr">
        <is>
          <t>10000627</t>
        </is>
      </c>
      <c r="H942" t="inlineStr"/>
      <c r="J942" t="n">
        <v>140</v>
      </c>
      <c r="K942" t="inlineStr"/>
      <c r="M942" t="inlineStr">
        <is>
          <t>M3</t>
        </is>
      </c>
      <c r="N942" t="inlineStr"/>
      <c r="P942" t="inlineStr">
        <is>
          <t>20190426</t>
        </is>
      </c>
      <c r="Q942" t="inlineStr">
        <is>
          <t>20250127</t>
        </is>
      </c>
    </row>
    <row r="943">
      <c r="A943" t="inlineStr">
        <is>
          <t>900005356D8366733038810000160</t>
        </is>
      </c>
      <c r="B943" t="inlineStr">
        <is>
          <t>900005356</t>
        </is>
      </c>
      <c r="C943" t="inlineStr">
        <is>
          <t>D836</t>
        </is>
      </c>
      <c r="D943" t="inlineStr">
        <is>
          <t>67330388</t>
        </is>
      </c>
      <c r="E943" t="inlineStr">
        <is>
          <t>1</t>
        </is>
      </c>
      <c r="F943" t="inlineStr">
        <is>
          <t>10000160</t>
        </is>
      </c>
      <c r="H943" t="inlineStr"/>
      <c r="J943" t="n">
        <v>270</v>
      </c>
      <c r="K943" t="inlineStr"/>
      <c r="M943" t="inlineStr">
        <is>
          <t>M3</t>
        </is>
      </c>
      <c r="N943" t="inlineStr"/>
      <c r="P943" t="inlineStr">
        <is>
          <t>20250728</t>
        </is>
      </c>
      <c r="Q943" t="inlineStr">
        <is>
          <t>20251030</t>
        </is>
      </c>
    </row>
    <row r="944">
      <c r="A944" t="inlineStr">
        <is>
          <t>900005401D8366525139910059181</t>
        </is>
      </c>
      <c r="B944" t="inlineStr">
        <is>
          <t>900005401</t>
        </is>
      </c>
      <c r="C944" t="inlineStr">
        <is>
          <t>D836</t>
        </is>
      </c>
      <c r="D944" t="inlineStr">
        <is>
          <t>65251399</t>
        </is>
      </c>
      <c r="E944" t="inlineStr">
        <is>
          <t>1</t>
        </is>
      </c>
      <c r="F944" t="inlineStr">
        <is>
          <t>10059181</t>
        </is>
      </c>
      <c r="H944" t="inlineStr"/>
      <c r="J944" t="n">
        <v>155.15</v>
      </c>
      <c r="K944" t="inlineStr"/>
      <c r="M944" t="inlineStr">
        <is>
          <t>M3</t>
        </is>
      </c>
      <c r="N944" t="inlineStr"/>
      <c r="P944" t="inlineStr">
        <is>
          <t>20190426</t>
        </is>
      </c>
      <c r="Q944" t="inlineStr">
        <is>
          <t>20250127</t>
        </is>
      </c>
    </row>
    <row r="945">
      <c r="A945" t="inlineStr">
        <is>
          <t>900005401D8366544526110000253</t>
        </is>
      </c>
      <c r="B945" t="inlineStr">
        <is>
          <t>900005401</t>
        </is>
      </c>
      <c r="C945" t="inlineStr">
        <is>
          <t>D836</t>
        </is>
      </c>
      <c r="D945" t="inlineStr">
        <is>
          <t>65445261</t>
        </is>
      </c>
      <c r="E945" t="inlineStr">
        <is>
          <t>1</t>
        </is>
      </c>
      <c r="F945" t="inlineStr">
        <is>
          <t>10000253</t>
        </is>
      </c>
      <c r="H945" t="inlineStr"/>
      <c r="J945" t="n">
        <v>41.5</v>
      </c>
      <c r="K945" t="inlineStr"/>
      <c r="M945" t="inlineStr">
        <is>
          <t>M3</t>
        </is>
      </c>
      <c r="N945" t="inlineStr"/>
      <c r="P945" t="inlineStr">
        <is>
          <t>20190426</t>
        </is>
      </c>
      <c r="Q945" t="inlineStr">
        <is>
          <t>20250127</t>
        </is>
      </c>
    </row>
    <row r="946">
      <c r="A946" t="inlineStr">
        <is>
          <t>900005401D8366544526110000627</t>
        </is>
      </c>
      <c r="B946" t="inlineStr">
        <is>
          <t>900005401</t>
        </is>
      </c>
      <c r="C946" t="inlineStr">
        <is>
          <t>D836</t>
        </is>
      </c>
      <c r="D946" t="inlineStr">
        <is>
          <t>65445261</t>
        </is>
      </c>
      <c r="E946" t="inlineStr">
        <is>
          <t>1</t>
        </is>
      </c>
      <c r="F946" t="inlineStr">
        <is>
          <t>10000627</t>
        </is>
      </c>
      <c r="H946" t="inlineStr"/>
      <c r="J946" t="n">
        <v>44.41</v>
      </c>
      <c r="K946" t="inlineStr"/>
      <c r="M946" t="inlineStr">
        <is>
          <t>M3</t>
        </is>
      </c>
      <c r="N946" t="inlineStr"/>
      <c r="P946" t="inlineStr">
        <is>
          <t>20190426</t>
        </is>
      </c>
      <c r="Q946" t="inlineStr">
        <is>
          <t>20250127</t>
        </is>
      </c>
    </row>
    <row r="947">
      <c r="A947" t="inlineStr">
        <is>
          <t>900005401D8366544526110059181</t>
        </is>
      </c>
      <c r="B947" t="inlineStr">
        <is>
          <t>900005401</t>
        </is>
      </c>
      <c r="C947" t="inlineStr">
        <is>
          <t>D836</t>
        </is>
      </c>
      <c r="D947" t="inlineStr">
        <is>
          <t>65445261</t>
        </is>
      </c>
      <c r="E947" t="inlineStr">
        <is>
          <t>1</t>
        </is>
      </c>
      <c r="F947" t="inlineStr">
        <is>
          <t>10059181</t>
        </is>
      </c>
      <c r="H947" t="inlineStr"/>
      <c r="J947" t="n">
        <v>44.41</v>
      </c>
      <c r="K947" t="inlineStr"/>
      <c r="M947" t="inlineStr">
        <is>
          <t>M3</t>
        </is>
      </c>
      <c r="N947" t="inlineStr"/>
      <c r="P947" t="inlineStr">
        <is>
          <t>20190426</t>
        </is>
      </c>
      <c r="Q947" t="inlineStr">
        <is>
          <t>20250127</t>
        </is>
      </c>
    </row>
    <row r="948">
      <c r="A948" t="inlineStr">
        <is>
          <t>900005401D8366621263710000651</t>
        </is>
      </c>
      <c r="B948" t="inlineStr">
        <is>
          <t>900005401</t>
        </is>
      </c>
      <c r="C948" t="inlineStr">
        <is>
          <t>D836</t>
        </is>
      </c>
      <c r="D948" t="inlineStr">
        <is>
          <t>66212637</t>
        </is>
      </c>
      <c r="E948" t="inlineStr">
        <is>
          <t>1</t>
        </is>
      </c>
      <c r="F948" t="inlineStr">
        <is>
          <t>10000651</t>
        </is>
      </c>
      <c r="H948" t="inlineStr"/>
      <c r="J948" t="n">
        <v>214</v>
      </c>
      <c r="K948" t="inlineStr"/>
      <c r="M948" t="inlineStr">
        <is>
          <t>M3</t>
        </is>
      </c>
      <c r="N948" t="inlineStr"/>
      <c r="P948" t="inlineStr">
        <is>
          <t>20190426</t>
        </is>
      </c>
      <c r="Q948" t="inlineStr">
        <is>
          <t>20250127</t>
        </is>
      </c>
    </row>
    <row r="949">
      <c r="A949" t="inlineStr">
        <is>
          <t>900005401D8366645859310059181</t>
        </is>
      </c>
      <c r="B949" t="inlineStr">
        <is>
          <t>900005401</t>
        </is>
      </c>
      <c r="C949" t="inlineStr">
        <is>
          <t>D836</t>
        </is>
      </c>
      <c r="D949" t="inlineStr">
        <is>
          <t>66458593</t>
        </is>
      </c>
      <c r="E949" t="inlineStr">
        <is>
          <t>1</t>
        </is>
      </c>
      <c r="F949" t="inlineStr">
        <is>
          <t>10059181</t>
        </is>
      </c>
      <c r="H949" t="inlineStr"/>
      <c r="J949" t="n">
        <v>243.96</v>
      </c>
      <c r="K949" t="inlineStr"/>
      <c r="M949" t="inlineStr">
        <is>
          <t>M3</t>
        </is>
      </c>
      <c r="N949" t="inlineStr"/>
      <c r="P949" t="inlineStr">
        <is>
          <t>20190426</t>
        </is>
      </c>
      <c r="Q949" t="inlineStr">
        <is>
          <t>20250127</t>
        </is>
      </c>
    </row>
    <row r="950">
      <c r="A950" t="inlineStr">
        <is>
          <t>900005401D8366649095710000253</t>
        </is>
      </c>
      <c r="B950" t="inlineStr">
        <is>
          <t>900005401</t>
        </is>
      </c>
      <c r="C950" t="inlineStr">
        <is>
          <t>D836</t>
        </is>
      </c>
      <c r="D950" t="inlineStr">
        <is>
          <t>66490957</t>
        </is>
      </c>
      <c r="E950" t="inlineStr">
        <is>
          <t>1</t>
        </is>
      </c>
      <c r="F950" t="inlineStr">
        <is>
          <t>10000253</t>
        </is>
      </c>
      <c r="H950" t="inlineStr"/>
      <c r="J950" t="n">
        <v>41</v>
      </c>
      <c r="K950" t="inlineStr"/>
      <c r="M950" t="inlineStr">
        <is>
          <t>M3</t>
        </is>
      </c>
      <c r="N950" t="inlineStr"/>
      <c r="P950" t="inlineStr">
        <is>
          <t>20190426</t>
        </is>
      </c>
      <c r="Q950" t="inlineStr">
        <is>
          <t>20250127</t>
        </is>
      </c>
    </row>
    <row r="951">
      <c r="A951" t="inlineStr">
        <is>
          <t>900005401D8366649095710000627</t>
        </is>
      </c>
      <c r="B951" t="inlineStr">
        <is>
          <t>900005401</t>
        </is>
      </c>
      <c r="C951" t="inlineStr">
        <is>
          <t>D836</t>
        </is>
      </c>
      <c r="D951" t="inlineStr">
        <is>
          <t>66490957</t>
        </is>
      </c>
      <c r="E951" t="inlineStr">
        <is>
          <t>1</t>
        </is>
      </c>
      <c r="F951" t="inlineStr">
        <is>
          <t>10000627</t>
        </is>
      </c>
      <c r="H951" t="inlineStr"/>
      <c r="J951" t="n">
        <v>44.41</v>
      </c>
      <c r="K951" t="inlineStr"/>
      <c r="M951" t="inlineStr">
        <is>
          <t>M3</t>
        </is>
      </c>
      <c r="N951" t="inlineStr"/>
      <c r="P951" t="inlineStr">
        <is>
          <t>20190426</t>
        </is>
      </c>
      <c r="Q951" t="inlineStr">
        <is>
          <t>20250127</t>
        </is>
      </c>
    </row>
    <row r="952">
      <c r="A952" t="inlineStr">
        <is>
          <t>900005401D8366649095710059181</t>
        </is>
      </c>
      <c r="B952" t="inlineStr">
        <is>
          <t>900005401</t>
        </is>
      </c>
      <c r="C952" t="inlineStr">
        <is>
          <t>D836</t>
        </is>
      </c>
      <c r="D952" t="inlineStr">
        <is>
          <t>66490957</t>
        </is>
      </c>
      <c r="E952" t="inlineStr">
        <is>
          <t>1</t>
        </is>
      </c>
      <c r="F952" t="inlineStr">
        <is>
          <t>10059181</t>
        </is>
      </c>
      <c r="H952" t="inlineStr"/>
      <c r="J952" t="n">
        <v>41</v>
      </c>
      <c r="K952" t="inlineStr"/>
      <c r="M952" t="inlineStr">
        <is>
          <t>M3</t>
        </is>
      </c>
      <c r="N952" t="inlineStr"/>
      <c r="P952" t="inlineStr">
        <is>
          <t>20190426</t>
        </is>
      </c>
      <c r="Q952" t="inlineStr">
        <is>
          <t>20250127</t>
        </is>
      </c>
    </row>
    <row r="953">
      <c r="A953" t="inlineStr">
        <is>
          <t>900005586D8366661813510152927</t>
        </is>
      </c>
      <c r="B953" t="inlineStr">
        <is>
          <t>900005586</t>
        </is>
      </c>
      <c r="C953" t="inlineStr">
        <is>
          <t>D836</t>
        </is>
      </c>
      <c r="D953" t="inlineStr">
        <is>
          <t>66618135</t>
        </is>
      </c>
      <c r="E953" t="inlineStr">
        <is>
          <t>1</t>
        </is>
      </c>
      <c r="F953" t="inlineStr">
        <is>
          <t>10152927</t>
        </is>
      </c>
      <c r="H953" t="inlineStr"/>
      <c r="J953" t="n">
        <v>120</v>
      </c>
      <c r="K953" t="inlineStr"/>
      <c r="M953" t="inlineStr">
        <is>
          <t>M3</t>
        </is>
      </c>
      <c r="N953" t="inlineStr"/>
      <c r="P953" t="inlineStr">
        <is>
          <t>20190426</t>
        </is>
      </c>
      <c r="Q953" t="inlineStr">
        <is>
          <t>20250127</t>
        </is>
      </c>
    </row>
    <row r="954">
      <c r="A954" t="inlineStr">
        <is>
          <t>900005627D8366645821710000598</t>
        </is>
      </c>
      <c r="B954" t="inlineStr">
        <is>
          <t>900005627</t>
        </is>
      </c>
      <c r="C954" t="inlineStr">
        <is>
          <t>D836</t>
        </is>
      </c>
      <c r="D954" t="inlineStr">
        <is>
          <t>66458217</t>
        </is>
      </c>
      <c r="E954" t="inlineStr">
        <is>
          <t>1</t>
        </is>
      </c>
      <c r="F954" t="inlineStr">
        <is>
          <t>10000598</t>
        </is>
      </c>
      <c r="H954" t="inlineStr"/>
      <c r="J954" t="n">
        <v>115</v>
      </c>
      <c r="K954" t="inlineStr"/>
      <c r="M954" t="inlineStr">
        <is>
          <t>M3</t>
        </is>
      </c>
      <c r="N954" t="inlineStr"/>
      <c r="P954" t="inlineStr">
        <is>
          <t>20190426</t>
        </is>
      </c>
      <c r="Q954" t="inlineStr">
        <is>
          <t>20250127</t>
        </is>
      </c>
    </row>
    <row r="955">
      <c r="A955" t="inlineStr">
        <is>
          <t>900005627D8366645821710154187</t>
        </is>
      </c>
      <c r="B955" t="inlineStr">
        <is>
          <t>900005627</t>
        </is>
      </c>
      <c r="C955" t="inlineStr">
        <is>
          <t>D836</t>
        </is>
      </c>
      <c r="D955" t="inlineStr">
        <is>
          <t>66458217</t>
        </is>
      </c>
      <c r="E955" t="inlineStr">
        <is>
          <t>1</t>
        </is>
      </c>
      <c r="F955" t="inlineStr">
        <is>
          <t>10154187</t>
        </is>
      </c>
      <c r="H955" t="inlineStr"/>
      <c r="J955" t="n">
        <v>115</v>
      </c>
      <c r="K955" t="inlineStr"/>
      <c r="M955" t="inlineStr">
        <is>
          <t>M3</t>
        </is>
      </c>
      <c r="N955" t="inlineStr"/>
      <c r="P955" t="inlineStr">
        <is>
          <t>20190426</t>
        </is>
      </c>
      <c r="Q955" t="inlineStr">
        <is>
          <t>20250127</t>
        </is>
      </c>
    </row>
    <row r="956">
      <c r="A956" t="inlineStr">
        <is>
          <t>900005627D8366652634110154416</t>
        </is>
      </c>
      <c r="B956" t="inlineStr">
        <is>
          <t>900005627</t>
        </is>
      </c>
      <c r="C956" t="inlineStr">
        <is>
          <t>D836</t>
        </is>
      </c>
      <c r="D956" t="inlineStr">
        <is>
          <t>66526341</t>
        </is>
      </c>
      <c r="E956" t="inlineStr">
        <is>
          <t>4</t>
        </is>
      </c>
      <c r="F956" t="inlineStr">
        <is>
          <t>10154416</t>
        </is>
      </c>
      <c r="H956" t="inlineStr"/>
      <c r="J956" t="n">
        <v>110</v>
      </c>
      <c r="K956" t="inlineStr"/>
      <c r="M956" t="inlineStr">
        <is>
          <t>M3</t>
        </is>
      </c>
      <c r="N956" t="inlineStr"/>
      <c r="P956" t="inlineStr">
        <is>
          <t>20190426</t>
        </is>
      </c>
      <c r="Q956" t="inlineStr">
        <is>
          <t>20250127</t>
        </is>
      </c>
    </row>
    <row r="957">
      <c r="A957" t="inlineStr">
        <is>
          <t>900005627D8366652634310154416</t>
        </is>
      </c>
      <c r="B957" t="inlineStr">
        <is>
          <t>900005627</t>
        </is>
      </c>
      <c r="C957" t="inlineStr">
        <is>
          <t>D836</t>
        </is>
      </c>
      <c r="D957" t="inlineStr">
        <is>
          <t>66526343</t>
        </is>
      </c>
      <c r="E957" t="inlineStr">
        <is>
          <t>4</t>
        </is>
      </c>
      <c r="F957" t="inlineStr">
        <is>
          <t>10154416</t>
        </is>
      </c>
      <c r="H957" t="inlineStr"/>
      <c r="J957" t="n">
        <v>110</v>
      </c>
      <c r="K957" t="inlineStr"/>
      <c r="M957" t="inlineStr">
        <is>
          <t>M3</t>
        </is>
      </c>
      <c r="N957" t="inlineStr"/>
      <c r="P957" t="inlineStr">
        <is>
          <t>20190426</t>
        </is>
      </c>
      <c r="Q957" t="inlineStr">
        <is>
          <t>20250127</t>
        </is>
      </c>
    </row>
    <row r="958">
      <c r="A958" t="inlineStr">
        <is>
          <t>900005627D8366653821310154416</t>
        </is>
      </c>
      <c r="B958" t="inlineStr">
        <is>
          <t>900005627</t>
        </is>
      </c>
      <c r="C958" t="inlineStr">
        <is>
          <t>D836</t>
        </is>
      </c>
      <c r="D958" t="inlineStr">
        <is>
          <t>66538213</t>
        </is>
      </c>
      <c r="E958" t="inlineStr">
        <is>
          <t>4</t>
        </is>
      </c>
      <c r="F958" t="inlineStr">
        <is>
          <t>10154416</t>
        </is>
      </c>
      <c r="H958" t="inlineStr"/>
      <c r="J958" t="n">
        <v>110</v>
      </c>
      <c r="K958" t="inlineStr"/>
      <c r="M958" t="inlineStr">
        <is>
          <t>M3</t>
        </is>
      </c>
      <c r="N958" t="inlineStr"/>
      <c r="P958" t="inlineStr">
        <is>
          <t>20190426</t>
        </is>
      </c>
      <c r="Q958" t="inlineStr">
        <is>
          <t>20250127</t>
        </is>
      </c>
    </row>
    <row r="959">
      <c r="A959" t="inlineStr">
        <is>
          <t>900006005D8366738333710280049</t>
        </is>
      </c>
      <c r="B959" t="inlineStr">
        <is>
          <t>900006005</t>
        </is>
      </c>
      <c r="C959" t="inlineStr">
        <is>
          <t>D836</t>
        </is>
      </c>
      <c r="D959" t="inlineStr">
        <is>
          <t>67383337</t>
        </is>
      </c>
      <c r="E959" t="inlineStr">
        <is>
          <t>2</t>
        </is>
      </c>
      <c r="F959" t="inlineStr">
        <is>
          <t>10280049</t>
        </is>
      </c>
      <c r="H959" t="inlineStr"/>
      <c r="J959" t="n">
        <v>113.53</v>
      </c>
      <c r="K959" t="inlineStr"/>
      <c r="M959" t="inlineStr">
        <is>
          <t>TN</t>
        </is>
      </c>
      <c r="N959" t="inlineStr"/>
      <c r="P959" t="inlineStr">
        <is>
          <t>20260709</t>
        </is>
      </c>
      <c r="Q959" t="inlineStr">
        <is>
          <t>99991231</t>
        </is>
      </c>
    </row>
    <row r="960">
      <c r="A960" t="inlineStr">
        <is>
          <t>900006185D8366650682710000133</t>
        </is>
      </c>
      <c r="B960" t="inlineStr">
        <is>
          <t>900006185</t>
        </is>
      </c>
      <c r="C960" t="inlineStr">
        <is>
          <t>D836</t>
        </is>
      </c>
      <c r="D960" t="inlineStr">
        <is>
          <t>66506827</t>
        </is>
      </c>
      <c r="E960" t="inlineStr">
        <is>
          <t>4</t>
        </is>
      </c>
      <c r="F960" t="inlineStr">
        <is>
          <t>10000133</t>
        </is>
      </c>
      <c r="H960" t="inlineStr"/>
      <c r="J960" t="n">
        <v>685.25</v>
      </c>
      <c r="K960" t="inlineStr"/>
      <c r="M960" t="inlineStr">
        <is>
          <t>M3</t>
        </is>
      </c>
      <c r="N960" t="inlineStr"/>
      <c r="P960" t="inlineStr">
        <is>
          <t>20190426</t>
        </is>
      </c>
      <c r="Q960" t="inlineStr">
        <is>
          <t>20250127</t>
        </is>
      </c>
    </row>
    <row r="961">
      <c r="A961" t="inlineStr">
        <is>
          <t>900006185D8366655578110000140</t>
        </is>
      </c>
      <c r="B961" t="inlineStr">
        <is>
          <t>900006185</t>
        </is>
      </c>
      <c r="C961" t="inlineStr">
        <is>
          <t>D836</t>
        </is>
      </c>
      <c r="D961" t="inlineStr">
        <is>
          <t>66555781</t>
        </is>
      </c>
      <c r="E961" t="inlineStr">
        <is>
          <t>4</t>
        </is>
      </c>
      <c r="F961" t="inlineStr">
        <is>
          <t>10000140</t>
        </is>
      </c>
      <c r="H961" t="inlineStr"/>
      <c r="J961" t="n">
        <v>562.5</v>
      </c>
      <c r="K961" t="inlineStr"/>
      <c r="M961" t="inlineStr">
        <is>
          <t>M3</t>
        </is>
      </c>
      <c r="N961" t="inlineStr"/>
      <c r="P961" t="inlineStr">
        <is>
          <t>20190426</t>
        </is>
      </c>
      <c r="Q961" t="inlineStr">
        <is>
          <t>20250127</t>
        </is>
      </c>
    </row>
    <row r="962">
      <c r="A962" t="inlineStr">
        <is>
          <t>900006185D8366655578110000160</t>
        </is>
      </c>
      <c r="B962" t="inlineStr">
        <is>
          <t>900006185</t>
        </is>
      </c>
      <c r="C962" t="inlineStr">
        <is>
          <t>D836</t>
        </is>
      </c>
      <c r="D962" t="inlineStr">
        <is>
          <t>66555781</t>
        </is>
      </c>
      <c r="E962" t="inlineStr">
        <is>
          <t>4</t>
        </is>
      </c>
      <c r="F962" t="inlineStr">
        <is>
          <t>10000160</t>
        </is>
      </c>
      <c r="H962" t="inlineStr"/>
      <c r="J962" t="n">
        <v>562.5</v>
      </c>
      <c r="K962" t="inlineStr"/>
      <c r="M962" t="inlineStr">
        <is>
          <t>M3</t>
        </is>
      </c>
      <c r="N962" t="inlineStr"/>
      <c r="P962" t="inlineStr">
        <is>
          <t>20190426</t>
        </is>
      </c>
      <c r="Q962" t="inlineStr">
        <is>
          <t>20250127</t>
        </is>
      </c>
    </row>
    <row r="963">
      <c r="A963" t="inlineStr">
        <is>
          <t>900006185D8366655578110000357</t>
        </is>
      </c>
      <c r="B963" t="inlineStr">
        <is>
          <t>900006185</t>
        </is>
      </c>
      <c r="C963" t="inlineStr">
        <is>
          <t>D836</t>
        </is>
      </c>
      <c r="D963" t="inlineStr">
        <is>
          <t>66555781</t>
        </is>
      </c>
      <c r="E963" t="inlineStr">
        <is>
          <t>4</t>
        </is>
      </c>
      <c r="F963" t="inlineStr">
        <is>
          <t>10000357</t>
        </is>
      </c>
      <c r="H963" t="inlineStr"/>
      <c r="J963" t="n">
        <v>562.5</v>
      </c>
      <c r="K963" t="inlineStr"/>
      <c r="M963" t="inlineStr">
        <is>
          <t>M3</t>
        </is>
      </c>
      <c r="N963" t="inlineStr"/>
      <c r="P963" t="inlineStr">
        <is>
          <t>20190426</t>
        </is>
      </c>
      <c r="Q963" t="inlineStr">
        <is>
          <t>20250127</t>
        </is>
      </c>
    </row>
    <row r="964">
      <c r="A964" t="inlineStr">
        <is>
          <t>900006185D8366655578110000627</t>
        </is>
      </c>
      <c r="B964" t="inlineStr">
        <is>
          <t>900006185</t>
        </is>
      </c>
      <c r="C964" t="inlineStr">
        <is>
          <t>D836</t>
        </is>
      </c>
      <c r="D964" t="inlineStr">
        <is>
          <t>66555781</t>
        </is>
      </c>
      <c r="E964" t="inlineStr">
        <is>
          <t>4</t>
        </is>
      </c>
      <c r="F964" t="inlineStr">
        <is>
          <t>10000627</t>
        </is>
      </c>
      <c r="H964" t="inlineStr"/>
      <c r="J964" t="n">
        <v>562.5</v>
      </c>
      <c r="K964" t="inlineStr"/>
      <c r="M964" t="inlineStr">
        <is>
          <t>M3</t>
        </is>
      </c>
      <c r="N964" t="inlineStr"/>
      <c r="P964" t="inlineStr">
        <is>
          <t>20190426</t>
        </is>
      </c>
      <c r="Q964" t="inlineStr">
        <is>
          <t>20250127</t>
        </is>
      </c>
    </row>
    <row r="965">
      <c r="A965" t="inlineStr">
        <is>
          <t>900006185D8366655578110037590</t>
        </is>
      </c>
      <c r="B965" t="inlineStr">
        <is>
          <t>900006185</t>
        </is>
      </c>
      <c r="C965" t="inlineStr">
        <is>
          <t>D836</t>
        </is>
      </c>
      <c r="D965" t="inlineStr">
        <is>
          <t>66555781</t>
        </is>
      </c>
      <c r="E965" t="inlineStr">
        <is>
          <t>4</t>
        </is>
      </c>
      <c r="F965" t="inlineStr">
        <is>
          <t>10037590</t>
        </is>
      </c>
      <c r="H965" t="inlineStr"/>
      <c r="J965" t="n">
        <v>562.5</v>
      </c>
      <c r="K965" t="inlineStr"/>
      <c r="M965" t="inlineStr">
        <is>
          <t>M3</t>
        </is>
      </c>
      <c r="N965" t="inlineStr"/>
      <c r="P965" t="inlineStr">
        <is>
          <t>20190426</t>
        </is>
      </c>
      <c r="Q965" t="inlineStr">
        <is>
          <t>20250127</t>
        </is>
      </c>
    </row>
    <row r="966">
      <c r="A966" t="inlineStr">
        <is>
          <t>900006185D8366660022710000357</t>
        </is>
      </c>
      <c r="B966" t="inlineStr">
        <is>
          <t>900006185</t>
        </is>
      </c>
      <c r="C966" t="inlineStr">
        <is>
          <t>D836</t>
        </is>
      </c>
      <c r="D966" t="inlineStr">
        <is>
          <t>66600227</t>
        </is>
      </c>
      <c r="E966" t="inlineStr">
        <is>
          <t>4</t>
        </is>
      </c>
      <c r="F966" t="inlineStr">
        <is>
          <t>10000357</t>
        </is>
      </c>
      <c r="H966" t="inlineStr"/>
      <c r="J966" t="n">
        <v>220</v>
      </c>
      <c r="K966" t="inlineStr"/>
      <c r="M966" t="inlineStr">
        <is>
          <t>M3</t>
        </is>
      </c>
      <c r="N966" t="inlineStr"/>
      <c r="P966" t="inlineStr">
        <is>
          <t>20190426</t>
        </is>
      </c>
      <c r="Q966" t="inlineStr">
        <is>
          <t>20250127</t>
        </is>
      </c>
    </row>
    <row r="967">
      <c r="A967" t="inlineStr">
        <is>
          <t>900006185D8366660022710000651</t>
        </is>
      </c>
      <c r="B967" t="inlineStr">
        <is>
          <t>900006185</t>
        </is>
      </c>
      <c r="C967" t="inlineStr">
        <is>
          <t>D836</t>
        </is>
      </c>
      <c r="D967" t="inlineStr">
        <is>
          <t>66600227</t>
        </is>
      </c>
      <c r="E967" t="inlineStr">
        <is>
          <t>4</t>
        </is>
      </c>
      <c r="F967" t="inlineStr">
        <is>
          <t>10000651</t>
        </is>
      </c>
      <c r="H967" t="inlineStr"/>
      <c r="J967" t="n">
        <v>220</v>
      </c>
      <c r="K967" t="inlineStr"/>
      <c r="M967" t="inlineStr">
        <is>
          <t>M3</t>
        </is>
      </c>
      <c r="N967" t="inlineStr"/>
      <c r="P967" t="inlineStr">
        <is>
          <t>20190426</t>
        </is>
      </c>
      <c r="Q967" t="inlineStr">
        <is>
          <t>20250127</t>
        </is>
      </c>
    </row>
    <row r="968">
      <c r="A968" t="inlineStr">
        <is>
          <t>900006185D8366677927610175979</t>
        </is>
      </c>
      <c r="B968" t="inlineStr">
        <is>
          <t>900006185</t>
        </is>
      </c>
      <c r="C968" t="inlineStr">
        <is>
          <t>D836</t>
        </is>
      </c>
      <c r="D968" t="inlineStr">
        <is>
          <t>66779276</t>
        </is>
      </c>
      <c r="E968" t="inlineStr">
        <is>
          <t>4</t>
        </is>
      </c>
      <c r="F968" t="inlineStr">
        <is>
          <t>10175979</t>
        </is>
      </c>
      <c r="H968" t="inlineStr"/>
      <c r="J968" t="n">
        <v>560</v>
      </c>
      <c r="K968" t="inlineStr"/>
      <c r="M968" t="inlineStr">
        <is>
          <t>TN</t>
        </is>
      </c>
      <c r="N968" t="inlineStr"/>
      <c r="P968" t="inlineStr">
        <is>
          <t>20190426</t>
        </is>
      </c>
      <c r="Q968" t="inlineStr">
        <is>
          <t>20250127</t>
        </is>
      </c>
    </row>
    <row r="969">
      <c r="A969" t="inlineStr">
        <is>
          <t>900006185D8366677927610177979</t>
        </is>
      </c>
      <c r="B969" t="inlineStr">
        <is>
          <t>900006185</t>
        </is>
      </c>
      <c r="C969" t="inlineStr">
        <is>
          <t>D836</t>
        </is>
      </c>
      <c r="D969" t="inlineStr">
        <is>
          <t>66779276</t>
        </is>
      </c>
      <c r="E969" t="inlineStr">
        <is>
          <t>4</t>
        </is>
      </c>
      <c r="F969" t="inlineStr">
        <is>
          <t>10177979</t>
        </is>
      </c>
      <c r="H969" t="inlineStr"/>
      <c r="J969" t="n">
        <v>560</v>
      </c>
      <c r="K969" t="inlineStr"/>
      <c r="M969" t="inlineStr">
        <is>
          <t>TN</t>
        </is>
      </c>
      <c r="N969" t="inlineStr"/>
      <c r="P969" t="inlineStr">
        <is>
          <t>20190426</t>
        </is>
      </c>
      <c r="Q969" t="inlineStr">
        <is>
          <t>20250127</t>
        </is>
      </c>
    </row>
    <row r="970">
      <c r="A970" t="inlineStr">
        <is>
          <t>900006185D8366678875010000133</t>
        </is>
      </c>
      <c r="B970" t="inlineStr">
        <is>
          <t>900006185</t>
        </is>
      </c>
      <c r="C970" t="inlineStr">
        <is>
          <t>D836</t>
        </is>
      </c>
      <c r="D970" t="inlineStr">
        <is>
          <t>66788750</t>
        </is>
      </c>
      <c r="E970" t="inlineStr">
        <is>
          <t>4</t>
        </is>
      </c>
      <c r="F970" t="inlineStr">
        <is>
          <t>10000133</t>
        </is>
      </c>
      <c r="H970" t="inlineStr"/>
      <c r="J970" t="n">
        <v>550</v>
      </c>
      <c r="K970" t="inlineStr"/>
      <c r="M970" t="inlineStr">
        <is>
          <t>TN</t>
        </is>
      </c>
      <c r="N970" t="inlineStr"/>
      <c r="P970" t="inlineStr">
        <is>
          <t>20190426</t>
        </is>
      </c>
      <c r="Q970" t="inlineStr">
        <is>
          <t>20250127</t>
        </is>
      </c>
    </row>
    <row r="971">
      <c r="A971" t="inlineStr">
        <is>
          <t>900006185D8366678875010000651</t>
        </is>
      </c>
      <c r="B971" t="inlineStr">
        <is>
          <t>900006185</t>
        </is>
      </c>
      <c r="C971" t="inlineStr">
        <is>
          <t>D836</t>
        </is>
      </c>
      <c r="D971" t="inlineStr">
        <is>
          <t>66788750</t>
        </is>
      </c>
      <c r="E971" t="inlineStr">
        <is>
          <t>4</t>
        </is>
      </c>
      <c r="F971" t="inlineStr">
        <is>
          <t>10000651</t>
        </is>
      </c>
      <c r="H971" t="inlineStr"/>
      <c r="J971" t="n">
        <v>500</v>
      </c>
      <c r="K971" t="inlineStr"/>
      <c r="M971" t="inlineStr">
        <is>
          <t>TN</t>
        </is>
      </c>
      <c r="N971" t="inlineStr"/>
      <c r="P971" t="inlineStr">
        <is>
          <t>20190426</t>
        </is>
      </c>
      <c r="Q971" t="inlineStr">
        <is>
          <t>20250127</t>
        </is>
      </c>
    </row>
    <row r="972">
      <c r="A972" t="inlineStr">
        <is>
          <t>900006185D8366678875010149994</t>
        </is>
      </c>
      <c r="B972" t="inlineStr">
        <is>
          <t>900006185</t>
        </is>
      </c>
      <c r="C972" t="inlineStr">
        <is>
          <t>D836</t>
        </is>
      </c>
      <c r="D972" t="inlineStr">
        <is>
          <t>66788750</t>
        </is>
      </c>
      <c r="E972" t="inlineStr">
        <is>
          <t>4</t>
        </is>
      </c>
      <c r="F972" t="inlineStr">
        <is>
          <t>10149994</t>
        </is>
      </c>
      <c r="H972" t="inlineStr"/>
      <c r="J972" t="n">
        <v>412.5</v>
      </c>
      <c r="K972" t="inlineStr"/>
      <c r="M972" t="inlineStr">
        <is>
          <t>M3</t>
        </is>
      </c>
      <c r="N972" t="inlineStr"/>
      <c r="P972" t="inlineStr">
        <is>
          <t>20190426</t>
        </is>
      </c>
      <c r="Q972" t="inlineStr">
        <is>
          <t>20250127</t>
        </is>
      </c>
    </row>
    <row r="973">
      <c r="A973" t="inlineStr">
        <is>
          <t>900006185D8366679447410000160</t>
        </is>
      </c>
      <c r="B973" t="inlineStr">
        <is>
          <t>900006185</t>
        </is>
      </c>
      <c r="C973" t="inlineStr">
        <is>
          <t>D836</t>
        </is>
      </c>
      <c r="D973" t="inlineStr">
        <is>
          <t>66794474</t>
        </is>
      </c>
      <c r="E973" t="inlineStr">
        <is>
          <t>4</t>
        </is>
      </c>
      <c r="F973" t="inlineStr">
        <is>
          <t>10000160</t>
        </is>
      </c>
      <c r="H973" t="inlineStr"/>
      <c r="J973" t="n">
        <v>500</v>
      </c>
      <c r="K973" t="inlineStr"/>
      <c r="M973" t="inlineStr">
        <is>
          <t>TN</t>
        </is>
      </c>
      <c r="N973" t="inlineStr"/>
      <c r="P973" t="inlineStr">
        <is>
          <t>20190426</t>
        </is>
      </c>
      <c r="Q973" t="inlineStr">
        <is>
          <t>20250127</t>
        </is>
      </c>
    </row>
    <row r="974">
      <c r="A974" t="inlineStr">
        <is>
          <t>900006185D8366679447410000357</t>
        </is>
      </c>
      <c r="B974" t="inlineStr">
        <is>
          <t>900006185</t>
        </is>
      </c>
      <c r="C974" t="inlineStr">
        <is>
          <t>D836</t>
        </is>
      </c>
      <c r="D974" t="inlineStr">
        <is>
          <t>66794474</t>
        </is>
      </c>
      <c r="E974" t="inlineStr">
        <is>
          <t>4</t>
        </is>
      </c>
      <c r="F974" t="inlineStr">
        <is>
          <t>10000357</t>
        </is>
      </c>
      <c r="H974" t="inlineStr"/>
      <c r="J974" t="n">
        <v>500</v>
      </c>
      <c r="K974" t="inlineStr"/>
      <c r="M974" t="inlineStr">
        <is>
          <t>TN</t>
        </is>
      </c>
      <c r="N974" t="inlineStr"/>
      <c r="P974" t="inlineStr">
        <is>
          <t>20190426</t>
        </is>
      </c>
      <c r="Q974" t="inlineStr">
        <is>
          <t>20250127</t>
        </is>
      </c>
    </row>
    <row r="975">
      <c r="A975" t="inlineStr">
        <is>
          <t>900006185D8366682319810000357</t>
        </is>
      </c>
      <c r="B975" t="inlineStr">
        <is>
          <t>900006185</t>
        </is>
      </c>
      <c r="C975" t="inlineStr">
        <is>
          <t>D836</t>
        </is>
      </c>
      <c r="D975" t="inlineStr">
        <is>
          <t>66823198</t>
        </is>
      </c>
      <c r="E975" t="inlineStr">
        <is>
          <t>4</t>
        </is>
      </c>
      <c r="F975" t="inlineStr">
        <is>
          <t>10000357</t>
        </is>
      </c>
      <c r="H975" t="inlineStr"/>
      <c r="J975" t="n">
        <v>220</v>
      </c>
      <c r="K975" t="inlineStr"/>
      <c r="M975" t="inlineStr">
        <is>
          <t>M3</t>
        </is>
      </c>
      <c r="N975" t="inlineStr"/>
      <c r="P975" t="inlineStr">
        <is>
          <t>20190426</t>
        </is>
      </c>
      <c r="Q975" t="inlineStr">
        <is>
          <t>20250127</t>
        </is>
      </c>
    </row>
    <row r="976">
      <c r="A976" t="inlineStr">
        <is>
          <t>900006185D8366682319810000651</t>
        </is>
      </c>
      <c r="B976" t="inlineStr">
        <is>
          <t>900006185</t>
        </is>
      </c>
      <c r="C976" t="inlineStr">
        <is>
          <t>D836</t>
        </is>
      </c>
      <c r="D976" t="inlineStr">
        <is>
          <t>66823198</t>
        </is>
      </c>
      <c r="E976" t="inlineStr">
        <is>
          <t>4</t>
        </is>
      </c>
      <c r="F976" t="inlineStr">
        <is>
          <t>10000651</t>
        </is>
      </c>
      <c r="H976" t="inlineStr"/>
      <c r="J976" t="n">
        <v>220</v>
      </c>
      <c r="K976" t="inlineStr"/>
      <c r="M976" t="inlineStr">
        <is>
          <t>M3</t>
        </is>
      </c>
      <c r="N976" t="inlineStr"/>
      <c r="P976" t="inlineStr">
        <is>
          <t>20190426</t>
        </is>
      </c>
      <c r="Q976" t="inlineStr">
        <is>
          <t>20250127</t>
        </is>
      </c>
    </row>
    <row r="977">
      <c r="A977" t="inlineStr">
        <is>
          <t>900006185D8366683068310000160</t>
        </is>
      </c>
      <c r="B977" t="inlineStr">
        <is>
          <t>900006185</t>
        </is>
      </c>
      <c r="C977" t="inlineStr">
        <is>
          <t>D836</t>
        </is>
      </c>
      <c r="D977" t="inlineStr">
        <is>
          <t>66830683</t>
        </is>
      </c>
      <c r="E977" t="inlineStr">
        <is>
          <t>4</t>
        </is>
      </c>
      <c r="F977" t="inlineStr">
        <is>
          <t>10000160</t>
        </is>
      </c>
      <c r="H977" t="inlineStr"/>
      <c r="J977" t="n">
        <v>500</v>
      </c>
      <c r="K977" t="inlineStr"/>
      <c r="M977" t="inlineStr">
        <is>
          <t>TN</t>
        </is>
      </c>
      <c r="N977" t="inlineStr"/>
      <c r="P977" t="inlineStr">
        <is>
          <t>20190426</t>
        </is>
      </c>
      <c r="Q977" t="inlineStr">
        <is>
          <t>20250127</t>
        </is>
      </c>
    </row>
    <row r="978">
      <c r="A978" t="inlineStr">
        <is>
          <t>900006185D8366683068310000206</t>
        </is>
      </c>
      <c r="B978" t="inlineStr">
        <is>
          <t>900006185</t>
        </is>
      </c>
      <c r="C978" t="inlineStr">
        <is>
          <t>D836</t>
        </is>
      </c>
      <c r="D978" t="inlineStr">
        <is>
          <t>66830683</t>
        </is>
      </c>
      <c r="E978" t="inlineStr">
        <is>
          <t>4</t>
        </is>
      </c>
      <c r="F978" t="inlineStr">
        <is>
          <t>10000206</t>
        </is>
      </c>
      <c r="H978" t="inlineStr"/>
      <c r="J978" t="n">
        <v>396.5</v>
      </c>
      <c r="K978" t="inlineStr"/>
      <c r="M978" t="inlineStr">
        <is>
          <t>M3</t>
        </is>
      </c>
      <c r="N978" t="inlineStr"/>
      <c r="P978" t="inlineStr">
        <is>
          <t>20190426</t>
        </is>
      </c>
      <c r="Q978" t="inlineStr">
        <is>
          <t>20250127</t>
        </is>
      </c>
    </row>
    <row r="979">
      <c r="A979" t="inlineStr">
        <is>
          <t>900006185D8366683068310000357</t>
        </is>
      </c>
      <c r="B979" t="inlineStr">
        <is>
          <t>900006185</t>
        </is>
      </c>
      <c r="C979" t="inlineStr">
        <is>
          <t>D836</t>
        </is>
      </c>
      <c r="D979" t="inlineStr">
        <is>
          <t>66830683</t>
        </is>
      </c>
      <c r="E979" t="inlineStr">
        <is>
          <t>4</t>
        </is>
      </c>
      <c r="F979" t="inlineStr">
        <is>
          <t>10000357</t>
        </is>
      </c>
      <c r="H979" t="inlineStr"/>
      <c r="J979" t="n">
        <v>500</v>
      </c>
      <c r="K979" t="inlineStr"/>
      <c r="M979" t="inlineStr">
        <is>
          <t>TN</t>
        </is>
      </c>
      <c r="N979" t="inlineStr"/>
      <c r="P979" t="inlineStr">
        <is>
          <t>20190426</t>
        </is>
      </c>
      <c r="Q979" t="inlineStr">
        <is>
          <t>20250127</t>
        </is>
      </c>
    </row>
    <row r="980">
      <c r="A980" t="inlineStr">
        <is>
          <t>900006185D8366683068310000627</t>
        </is>
      </c>
      <c r="B980" t="inlineStr">
        <is>
          <t>900006185</t>
        </is>
      </c>
      <c r="C980" t="inlineStr">
        <is>
          <t>D836</t>
        </is>
      </c>
      <c r="D980" t="inlineStr">
        <is>
          <t>66830683</t>
        </is>
      </c>
      <c r="E980" t="inlineStr">
        <is>
          <t>4</t>
        </is>
      </c>
      <c r="F980" t="inlineStr">
        <is>
          <t>10000627</t>
        </is>
      </c>
      <c r="H980" t="inlineStr"/>
      <c r="J980" t="n">
        <v>562.5</v>
      </c>
      <c r="K980" t="inlineStr"/>
      <c r="M980" t="inlineStr">
        <is>
          <t>M3</t>
        </is>
      </c>
      <c r="N980" t="inlineStr"/>
      <c r="P980" t="inlineStr">
        <is>
          <t>20190426</t>
        </is>
      </c>
      <c r="Q980" t="inlineStr">
        <is>
          <t>20250127</t>
        </is>
      </c>
    </row>
    <row r="981">
      <c r="A981" t="inlineStr">
        <is>
          <t>900006185D8366684269210000160</t>
        </is>
      </c>
      <c r="B981" t="inlineStr">
        <is>
          <t>900006185</t>
        </is>
      </c>
      <c r="C981" t="inlineStr">
        <is>
          <t>D836</t>
        </is>
      </c>
      <c r="D981" t="inlineStr">
        <is>
          <t>66842692</t>
        </is>
      </c>
      <c r="E981" t="inlineStr">
        <is>
          <t>4</t>
        </is>
      </c>
      <c r="F981" t="inlineStr">
        <is>
          <t>10000160</t>
        </is>
      </c>
      <c r="H981" t="inlineStr"/>
      <c r="J981" t="n">
        <v>485</v>
      </c>
      <c r="K981" t="inlineStr"/>
      <c r="M981" t="inlineStr">
        <is>
          <t>M3</t>
        </is>
      </c>
      <c r="N981" t="inlineStr"/>
      <c r="P981" t="inlineStr">
        <is>
          <t>20190426</t>
        </is>
      </c>
      <c r="Q981" t="inlineStr">
        <is>
          <t>20250127</t>
        </is>
      </c>
    </row>
    <row r="982">
      <c r="A982" t="inlineStr">
        <is>
          <t>900006185D8366684269210000357</t>
        </is>
      </c>
      <c r="B982" t="inlineStr">
        <is>
          <t>900006185</t>
        </is>
      </c>
      <c r="C982" t="inlineStr">
        <is>
          <t>D836</t>
        </is>
      </c>
      <c r="D982" t="inlineStr">
        <is>
          <t>66842692</t>
        </is>
      </c>
      <c r="E982" t="inlineStr">
        <is>
          <t>4</t>
        </is>
      </c>
      <c r="F982" t="inlineStr">
        <is>
          <t>10000357</t>
        </is>
      </c>
      <c r="H982" t="inlineStr"/>
      <c r="J982" t="n">
        <v>485</v>
      </c>
      <c r="K982" t="inlineStr"/>
      <c r="M982" t="inlineStr">
        <is>
          <t>M3</t>
        </is>
      </c>
      <c r="N982" t="inlineStr"/>
      <c r="P982" t="inlineStr">
        <is>
          <t>20190426</t>
        </is>
      </c>
      <c r="Q982" t="inlineStr">
        <is>
          <t>20250127</t>
        </is>
      </c>
    </row>
    <row r="983">
      <c r="A983" t="inlineStr">
        <is>
          <t>900006185D8366684714410000160</t>
        </is>
      </c>
      <c r="B983" t="inlineStr">
        <is>
          <t>900006185</t>
        </is>
      </c>
      <c r="C983" t="inlineStr">
        <is>
          <t>D836</t>
        </is>
      </c>
      <c r="D983" t="inlineStr">
        <is>
          <t>66847144</t>
        </is>
      </c>
      <c r="E983" t="inlineStr">
        <is>
          <t>4</t>
        </is>
      </c>
      <c r="F983" t="inlineStr">
        <is>
          <t>10000160</t>
        </is>
      </c>
      <c r="H983" t="inlineStr"/>
      <c r="J983" t="n">
        <v>500</v>
      </c>
      <c r="K983" t="inlineStr"/>
      <c r="M983" t="inlineStr">
        <is>
          <t>M3</t>
        </is>
      </c>
      <c r="N983" t="inlineStr"/>
      <c r="P983" t="inlineStr">
        <is>
          <t>20190426</t>
        </is>
      </c>
      <c r="Q983" t="inlineStr">
        <is>
          <t>20250127</t>
        </is>
      </c>
    </row>
    <row r="984">
      <c r="A984" t="inlineStr">
        <is>
          <t>900006185D8366684714410000357</t>
        </is>
      </c>
      <c r="B984" t="inlineStr">
        <is>
          <t>900006185</t>
        </is>
      </c>
      <c r="C984" t="inlineStr">
        <is>
          <t>D836</t>
        </is>
      </c>
      <c r="D984" t="inlineStr">
        <is>
          <t>66847144</t>
        </is>
      </c>
      <c r="E984" t="inlineStr">
        <is>
          <t>4</t>
        </is>
      </c>
      <c r="F984" t="inlineStr">
        <is>
          <t>10000357</t>
        </is>
      </c>
      <c r="H984" t="inlineStr"/>
      <c r="J984" t="n">
        <v>500</v>
      </c>
      <c r="K984" t="inlineStr"/>
      <c r="M984" t="inlineStr">
        <is>
          <t>M3</t>
        </is>
      </c>
      <c r="N984" t="inlineStr"/>
      <c r="P984" t="inlineStr">
        <is>
          <t>20190426</t>
        </is>
      </c>
      <c r="Q984" t="inlineStr">
        <is>
          <t>20250127</t>
        </is>
      </c>
    </row>
    <row r="985">
      <c r="A985" t="inlineStr">
        <is>
          <t>900006185D8366685220610000160</t>
        </is>
      </c>
      <c r="B985" t="inlineStr">
        <is>
          <t>900006185</t>
        </is>
      </c>
      <c r="C985" t="inlineStr">
        <is>
          <t>D836</t>
        </is>
      </c>
      <c r="D985" t="inlineStr">
        <is>
          <t>66852206</t>
        </is>
      </c>
      <c r="E985" t="inlineStr">
        <is>
          <t>4</t>
        </is>
      </c>
      <c r="F985" t="inlineStr">
        <is>
          <t>10000160</t>
        </is>
      </c>
      <c r="H985" t="inlineStr"/>
      <c r="J985" t="n">
        <v>500</v>
      </c>
      <c r="K985" t="inlineStr"/>
      <c r="M985" t="inlineStr">
        <is>
          <t>M3</t>
        </is>
      </c>
      <c r="N985" t="inlineStr"/>
      <c r="P985" t="inlineStr">
        <is>
          <t>20190426</t>
        </is>
      </c>
      <c r="Q985" t="inlineStr">
        <is>
          <t>20250127</t>
        </is>
      </c>
    </row>
    <row r="986">
      <c r="A986" t="inlineStr">
        <is>
          <t>900006185D8366685220610000357</t>
        </is>
      </c>
      <c r="B986" t="inlineStr">
        <is>
          <t>900006185</t>
        </is>
      </c>
      <c r="C986" t="inlineStr">
        <is>
          <t>D836</t>
        </is>
      </c>
      <c r="D986" t="inlineStr">
        <is>
          <t>66852206</t>
        </is>
      </c>
      <c r="E986" t="inlineStr">
        <is>
          <t>4</t>
        </is>
      </c>
      <c r="F986" t="inlineStr">
        <is>
          <t>10000357</t>
        </is>
      </c>
      <c r="H986" t="inlineStr"/>
      <c r="J986" t="n">
        <v>500</v>
      </c>
      <c r="K986" t="inlineStr"/>
      <c r="M986" t="inlineStr">
        <is>
          <t>M3</t>
        </is>
      </c>
      <c r="N986" t="inlineStr"/>
      <c r="P986" t="inlineStr">
        <is>
          <t>20190426</t>
        </is>
      </c>
      <c r="Q986" t="inlineStr">
        <is>
          <t>20250127</t>
        </is>
      </c>
    </row>
    <row r="987">
      <c r="A987" t="inlineStr">
        <is>
          <t>900006185D8366686965510000160</t>
        </is>
      </c>
      <c r="B987" t="inlineStr">
        <is>
          <t>900006185</t>
        </is>
      </c>
      <c r="C987" t="inlineStr">
        <is>
          <t>D836</t>
        </is>
      </c>
      <c r="D987" t="inlineStr">
        <is>
          <t>66869655</t>
        </is>
      </c>
      <c r="E987" t="inlineStr">
        <is>
          <t>4</t>
        </is>
      </c>
      <c r="F987" t="inlineStr">
        <is>
          <t>10000160</t>
        </is>
      </c>
      <c r="H987" t="inlineStr"/>
      <c r="J987" t="n">
        <v>646.5</v>
      </c>
      <c r="K987" t="inlineStr"/>
      <c r="M987" t="inlineStr">
        <is>
          <t>M3</t>
        </is>
      </c>
      <c r="N987" t="inlineStr"/>
      <c r="P987" t="inlineStr">
        <is>
          <t>20190426</t>
        </is>
      </c>
      <c r="Q987" t="inlineStr">
        <is>
          <t>20250127</t>
        </is>
      </c>
    </row>
    <row r="988">
      <c r="A988" t="inlineStr">
        <is>
          <t>900006185D8366686965510000357</t>
        </is>
      </c>
      <c r="B988" t="inlineStr">
        <is>
          <t>900006185</t>
        </is>
      </c>
      <c r="C988" t="inlineStr">
        <is>
          <t>D836</t>
        </is>
      </c>
      <c r="D988" t="inlineStr">
        <is>
          <t>66869655</t>
        </is>
      </c>
      <c r="E988" t="inlineStr">
        <is>
          <t>4</t>
        </is>
      </c>
      <c r="F988" t="inlineStr">
        <is>
          <t>10000357</t>
        </is>
      </c>
      <c r="H988" t="inlineStr"/>
      <c r="J988" t="n">
        <v>646.5</v>
      </c>
      <c r="K988" t="inlineStr"/>
      <c r="M988" t="inlineStr">
        <is>
          <t>M3</t>
        </is>
      </c>
      <c r="N988" t="inlineStr"/>
      <c r="P988" t="inlineStr">
        <is>
          <t>20190426</t>
        </is>
      </c>
      <c r="Q988" t="inlineStr">
        <is>
          <t>20250127</t>
        </is>
      </c>
    </row>
    <row r="989">
      <c r="A989" t="inlineStr">
        <is>
          <t>900006185D8366688696910000206</t>
        </is>
      </c>
      <c r="B989" t="inlineStr">
        <is>
          <t>900006185</t>
        </is>
      </c>
      <c r="C989" t="inlineStr">
        <is>
          <t>D836</t>
        </is>
      </c>
      <c r="D989" t="inlineStr">
        <is>
          <t>66886969</t>
        </is>
      </c>
      <c r="E989" t="inlineStr">
        <is>
          <t>4</t>
        </is>
      </c>
      <c r="F989" t="inlineStr">
        <is>
          <t>10000206</t>
        </is>
      </c>
      <c r="H989" t="inlineStr"/>
      <c r="J989" t="n">
        <v>396.5</v>
      </c>
      <c r="K989" t="inlineStr"/>
      <c r="M989" t="inlineStr">
        <is>
          <t>M3</t>
        </is>
      </c>
      <c r="N989" t="inlineStr"/>
      <c r="P989" t="inlineStr">
        <is>
          <t>20190426</t>
        </is>
      </c>
      <c r="Q989" t="inlineStr">
        <is>
          <t>20250127</t>
        </is>
      </c>
    </row>
    <row r="990">
      <c r="A990" t="inlineStr">
        <is>
          <t>900006185D8366690232010000357</t>
        </is>
      </c>
      <c r="B990" t="inlineStr">
        <is>
          <t>900006185</t>
        </is>
      </c>
      <c r="C990" t="inlineStr">
        <is>
          <t>D836</t>
        </is>
      </c>
      <c r="D990" t="inlineStr">
        <is>
          <t>66902320</t>
        </is>
      </c>
      <c r="E990" t="inlineStr">
        <is>
          <t>4</t>
        </is>
      </c>
      <c r="F990" t="inlineStr">
        <is>
          <t>10000357</t>
        </is>
      </c>
      <c r="H990" t="inlineStr"/>
      <c r="J990" t="n">
        <v>220</v>
      </c>
      <c r="K990" t="inlineStr"/>
      <c r="M990" t="inlineStr">
        <is>
          <t>M3</t>
        </is>
      </c>
      <c r="N990" t="inlineStr"/>
      <c r="P990" t="inlineStr">
        <is>
          <t>20190426</t>
        </is>
      </c>
      <c r="Q990" t="inlineStr">
        <is>
          <t>20250127</t>
        </is>
      </c>
    </row>
    <row r="991">
      <c r="A991" t="inlineStr">
        <is>
          <t>900006185D8366690232010000651</t>
        </is>
      </c>
      <c r="B991" t="inlineStr">
        <is>
          <t>900006185</t>
        </is>
      </c>
      <c r="C991" t="inlineStr">
        <is>
          <t>D836</t>
        </is>
      </c>
      <c r="D991" t="inlineStr">
        <is>
          <t>66902320</t>
        </is>
      </c>
      <c r="E991" t="inlineStr">
        <is>
          <t>4</t>
        </is>
      </c>
      <c r="F991" t="inlineStr">
        <is>
          <t>10000651</t>
        </is>
      </c>
      <c r="H991" t="inlineStr"/>
      <c r="J991" t="n">
        <v>220</v>
      </c>
      <c r="K991" t="inlineStr"/>
      <c r="M991" t="inlineStr">
        <is>
          <t>M3</t>
        </is>
      </c>
      <c r="N991" t="inlineStr"/>
      <c r="P991" t="inlineStr">
        <is>
          <t>20190426</t>
        </is>
      </c>
      <c r="Q991" t="inlineStr">
        <is>
          <t>20250127</t>
        </is>
      </c>
    </row>
    <row r="992">
      <c r="A992" t="inlineStr">
        <is>
          <t>900006185D8366690800410000357</t>
        </is>
      </c>
      <c r="B992" t="inlineStr">
        <is>
          <t>900006185</t>
        </is>
      </c>
      <c r="C992" t="inlineStr">
        <is>
          <t>D836</t>
        </is>
      </c>
      <c r="D992" t="inlineStr">
        <is>
          <t>66908004</t>
        </is>
      </c>
      <c r="E992" t="inlineStr">
        <is>
          <t>4</t>
        </is>
      </c>
      <c r="F992" t="inlineStr">
        <is>
          <t>10000357</t>
        </is>
      </c>
      <c r="H992" t="inlineStr"/>
      <c r="J992" t="n">
        <v>220</v>
      </c>
      <c r="K992" t="inlineStr"/>
      <c r="M992" t="inlineStr">
        <is>
          <t>M3</t>
        </is>
      </c>
      <c r="N992" t="inlineStr"/>
      <c r="P992" t="inlineStr">
        <is>
          <t>20190426</t>
        </is>
      </c>
      <c r="Q992" t="inlineStr">
        <is>
          <t>20250127</t>
        </is>
      </c>
    </row>
    <row r="993">
      <c r="A993" t="inlineStr">
        <is>
          <t>900006185D8366690800410000651</t>
        </is>
      </c>
      <c r="B993" t="inlineStr">
        <is>
          <t>900006185</t>
        </is>
      </c>
      <c r="C993" t="inlineStr">
        <is>
          <t>D836</t>
        </is>
      </c>
      <c r="D993" t="inlineStr">
        <is>
          <t>66908004</t>
        </is>
      </c>
      <c r="E993" t="inlineStr">
        <is>
          <t>4</t>
        </is>
      </c>
      <c r="F993" t="inlineStr">
        <is>
          <t>10000651</t>
        </is>
      </c>
      <c r="H993" t="inlineStr"/>
      <c r="J993" t="n">
        <v>220</v>
      </c>
      <c r="K993" t="inlineStr"/>
      <c r="M993" t="inlineStr">
        <is>
          <t>M3</t>
        </is>
      </c>
      <c r="N993" t="inlineStr"/>
      <c r="P993" t="inlineStr">
        <is>
          <t>20190426</t>
        </is>
      </c>
      <c r="Q993" t="inlineStr">
        <is>
          <t>20250127</t>
        </is>
      </c>
    </row>
    <row r="994">
      <c r="A994" t="inlineStr">
        <is>
          <t>900006185D8366693331310000133</t>
        </is>
      </c>
      <c r="B994" t="inlineStr">
        <is>
          <t>900006185</t>
        </is>
      </c>
      <c r="C994" t="inlineStr">
        <is>
          <t>D836</t>
        </is>
      </c>
      <c r="D994" t="inlineStr">
        <is>
          <t>66933313</t>
        </is>
      </c>
      <c r="E994" t="inlineStr">
        <is>
          <t>4</t>
        </is>
      </c>
      <c r="F994" t="inlineStr">
        <is>
          <t>10000133</t>
        </is>
      </c>
      <c r="H994" t="inlineStr"/>
      <c r="J994" t="n">
        <v>119.13</v>
      </c>
      <c r="K994" t="inlineStr"/>
      <c r="M994" t="inlineStr">
        <is>
          <t>TN</t>
        </is>
      </c>
      <c r="N994" t="inlineStr"/>
      <c r="P994" t="inlineStr">
        <is>
          <t>20190426</t>
        </is>
      </c>
      <c r="Q994" t="inlineStr">
        <is>
          <t>20250127</t>
        </is>
      </c>
    </row>
    <row r="995">
      <c r="A995" t="inlineStr">
        <is>
          <t>900006185D8366693331310149994</t>
        </is>
      </c>
      <c r="B995" t="inlineStr">
        <is>
          <t>900006185</t>
        </is>
      </c>
      <c r="C995" t="inlineStr">
        <is>
          <t>D836</t>
        </is>
      </c>
      <c r="D995" t="inlineStr">
        <is>
          <t>66933313</t>
        </is>
      </c>
      <c r="E995" t="inlineStr">
        <is>
          <t>4</t>
        </is>
      </c>
      <c r="F995" t="inlineStr">
        <is>
          <t>10149994</t>
        </is>
      </c>
      <c r="H995" t="inlineStr"/>
      <c r="J995" t="n">
        <v>107.49</v>
      </c>
      <c r="K995" t="inlineStr"/>
      <c r="M995" t="inlineStr">
        <is>
          <t>TN</t>
        </is>
      </c>
      <c r="N995" t="inlineStr"/>
      <c r="P995" t="inlineStr">
        <is>
          <t>20190426</t>
        </is>
      </c>
      <c r="Q995" t="inlineStr">
        <is>
          <t>20250127</t>
        </is>
      </c>
    </row>
    <row r="996">
      <c r="A996" t="inlineStr">
        <is>
          <t>900006185D8366697614010000133</t>
        </is>
      </c>
      <c r="B996" t="inlineStr">
        <is>
          <t>900006185</t>
        </is>
      </c>
      <c r="C996" t="inlineStr">
        <is>
          <t>D836</t>
        </is>
      </c>
      <c r="D996" t="inlineStr">
        <is>
          <t>66976140</t>
        </is>
      </c>
      <c r="E996" t="inlineStr">
        <is>
          <t>4</t>
        </is>
      </c>
      <c r="F996" t="inlineStr">
        <is>
          <t>10000133</t>
        </is>
      </c>
      <c r="H996" t="inlineStr"/>
      <c r="J996" t="n">
        <v>440</v>
      </c>
      <c r="K996" t="inlineStr"/>
      <c r="M996" t="inlineStr">
        <is>
          <t>M3</t>
        </is>
      </c>
      <c r="N996" t="inlineStr"/>
      <c r="P996" t="inlineStr">
        <is>
          <t>20190426</t>
        </is>
      </c>
      <c r="Q996" t="inlineStr">
        <is>
          <t>20250127</t>
        </is>
      </c>
    </row>
    <row r="997">
      <c r="A997" t="inlineStr">
        <is>
          <t>900006185D8366698900710000651</t>
        </is>
      </c>
      <c r="B997" t="inlineStr">
        <is>
          <t>900006185</t>
        </is>
      </c>
      <c r="C997" t="inlineStr">
        <is>
          <t>D836</t>
        </is>
      </c>
      <c r="D997" t="inlineStr">
        <is>
          <t>66989007</t>
        </is>
      </c>
      <c r="E997" t="inlineStr">
        <is>
          <t>4</t>
        </is>
      </c>
      <c r="F997" t="inlineStr">
        <is>
          <t>10000651</t>
        </is>
      </c>
      <c r="H997" t="inlineStr"/>
      <c r="J997" t="n">
        <v>385</v>
      </c>
      <c r="K997" t="inlineStr"/>
      <c r="M997" t="inlineStr">
        <is>
          <t>M3</t>
        </is>
      </c>
      <c r="N997" t="inlineStr"/>
      <c r="P997" t="inlineStr">
        <is>
          <t>20190426</t>
        </is>
      </c>
      <c r="Q997" t="inlineStr">
        <is>
          <t>20250127</t>
        </is>
      </c>
    </row>
    <row r="998">
      <c r="A998" t="inlineStr">
        <is>
          <t>900006185D8366698900710178773</t>
        </is>
      </c>
      <c r="B998" t="inlineStr">
        <is>
          <t>900006185</t>
        </is>
      </c>
      <c r="C998" t="inlineStr">
        <is>
          <t>D836</t>
        </is>
      </c>
      <c r="D998" t="inlineStr">
        <is>
          <t>66989007</t>
        </is>
      </c>
      <c r="E998" t="inlineStr">
        <is>
          <t>4</t>
        </is>
      </c>
      <c r="F998" t="inlineStr">
        <is>
          <t>10178773</t>
        </is>
      </c>
      <c r="H998" t="inlineStr"/>
      <c r="J998" t="n">
        <v>385</v>
      </c>
      <c r="K998" t="inlineStr"/>
      <c r="M998" t="inlineStr">
        <is>
          <t>M3</t>
        </is>
      </c>
      <c r="N998" t="inlineStr"/>
      <c r="P998" t="inlineStr">
        <is>
          <t>20190426</t>
        </is>
      </c>
      <c r="Q998" t="inlineStr">
        <is>
          <t>20250127</t>
        </is>
      </c>
    </row>
    <row r="999">
      <c r="A999" t="inlineStr">
        <is>
          <t>900006185D8366699032210000357</t>
        </is>
      </c>
      <c r="B999" t="inlineStr">
        <is>
          <t>900006185</t>
        </is>
      </c>
      <c r="C999" t="inlineStr">
        <is>
          <t>D836</t>
        </is>
      </c>
      <c r="D999" t="inlineStr">
        <is>
          <t>66990322</t>
        </is>
      </c>
      <c r="E999" t="inlineStr">
        <is>
          <t>4</t>
        </is>
      </c>
      <c r="F999" t="inlineStr">
        <is>
          <t>10000357</t>
        </is>
      </c>
      <c r="H999" t="inlineStr"/>
      <c r="J999" t="n">
        <v>220</v>
      </c>
      <c r="K999" t="inlineStr"/>
      <c r="M999" t="inlineStr">
        <is>
          <t>M3</t>
        </is>
      </c>
      <c r="N999" t="inlineStr"/>
      <c r="P999" t="inlineStr">
        <is>
          <t>20210721</t>
        </is>
      </c>
      <c r="Q999" t="inlineStr">
        <is>
          <t>20251030</t>
        </is>
      </c>
    </row>
    <row r="1000">
      <c r="A1000" t="inlineStr">
        <is>
          <t>900006185D8366699032210000651</t>
        </is>
      </c>
      <c r="B1000" t="inlineStr">
        <is>
          <t>900006185</t>
        </is>
      </c>
      <c r="C1000" t="inlineStr">
        <is>
          <t>D836</t>
        </is>
      </c>
      <c r="D1000" t="inlineStr">
        <is>
          <t>66990322</t>
        </is>
      </c>
      <c r="E1000" t="inlineStr">
        <is>
          <t>4</t>
        </is>
      </c>
      <c r="F1000" t="inlineStr">
        <is>
          <t>10000651</t>
        </is>
      </c>
      <c r="H1000" t="inlineStr"/>
      <c r="J1000" t="n">
        <v>220</v>
      </c>
      <c r="K1000" t="inlineStr"/>
      <c r="M1000" t="inlineStr">
        <is>
          <t>M3</t>
        </is>
      </c>
      <c r="N1000" t="inlineStr"/>
      <c r="P1000" t="inlineStr">
        <is>
          <t>20210721</t>
        </is>
      </c>
      <c r="Q1000" t="inlineStr">
        <is>
          <t>20251030</t>
        </is>
      </c>
    </row>
    <row r="1001">
      <c r="A1001" t="inlineStr">
        <is>
          <t>900006185D8366699864010000160</t>
        </is>
      </c>
      <c r="B1001" t="inlineStr">
        <is>
          <t>900006185</t>
        </is>
      </c>
      <c r="C1001" t="inlineStr">
        <is>
          <t>D836</t>
        </is>
      </c>
      <c r="D1001" t="inlineStr">
        <is>
          <t>66998640</t>
        </is>
      </c>
      <c r="E1001" t="inlineStr">
        <is>
          <t>4</t>
        </is>
      </c>
      <c r="F1001" t="inlineStr">
        <is>
          <t>10000160</t>
        </is>
      </c>
      <c r="H1001" t="inlineStr"/>
      <c r="J1001" t="n">
        <v>264</v>
      </c>
      <c r="K1001" t="inlineStr"/>
      <c r="M1001" t="inlineStr">
        <is>
          <t>M3</t>
        </is>
      </c>
      <c r="N1001" t="inlineStr"/>
      <c r="P1001" t="inlineStr">
        <is>
          <t>20190426</t>
        </is>
      </c>
      <c r="Q1001" t="inlineStr">
        <is>
          <t>20250127</t>
        </is>
      </c>
    </row>
    <row r="1002">
      <c r="A1002" t="inlineStr">
        <is>
          <t>900006185D8366700591110000357</t>
        </is>
      </c>
      <c r="B1002" t="inlineStr">
        <is>
          <t>900006185</t>
        </is>
      </c>
      <c r="C1002" t="inlineStr">
        <is>
          <t>D836</t>
        </is>
      </c>
      <c r="D1002" t="inlineStr">
        <is>
          <t>67005911</t>
        </is>
      </c>
      <c r="E1002" t="inlineStr">
        <is>
          <t>4</t>
        </is>
      </c>
      <c r="F1002" t="inlineStr">
        <is>
          <t>10000357</t>
        </is>
      </c>
      <c r="H1002" t="inlineStr"/>
      <c r="J1002" t="n">
        <v>220</v>
      </c>
      <c r="K1002" t="inlineStr"/>
      <c r="M1002" t="inlineStr">
        <is>
          <t>M3</t>
        </is>
      </c>
      <c r="N1002" t="inlineStr"/>
      <c r="P1002" t="inlineStr">
        <is>
          <t>20190426</t>
        </is>
      </c>
      <c r="Q1002" t="inlineStr">
        <is>
          <t>20250127</t>
        </is>
      </c>
    </row>
    <row r="1003">
      <c r="A1003" t="inlineStr">
        <is>
          <t>900006185D8366700591110000651</t>
        </is>
      </c>
      <c r="B1003" t="inlineStr">
        <is>
          <t>900006185</t>
        </is>
      </c>
      <c r="C1003" t="inlineStr">
        <is>
          <t>D836</t>
        </is>
      </c>
      <c r="D1003" t="inlineStr">
        <is>
          <t>67005911</t>
        </is>
      </c>
      <c r="E1003" t="inlineStr">
        <is>
          <t>4</t>
        </is>
      </c>
      <c r="F1003" t="inlineStr">
        <is>
          <t>10000651</t>
        </is>
      </c>
      <c r="H1003" t="inlineStr"/>
      <c r="J1003" t="n">
        <v>220</v>
      </c>
      <c r="K1003" t="inlineStr"/>
      <c r="M1003" t="inlineStr">
        <is>
          <t>M3</t>
        </is>
      </c>
      <c r="N1003" t="inlineStr"/>
      <c r="P1003" t="inlineStr">
        <is>
          <t>20190426</t>
        </is>
      </c>
      <c r="Q1003" t="inlineStr">
        <is>
          <t>20250127</t>
        </is>
      </c>
    </row>
    <row r="1004">
      <c r="A1004" t="inlineStr">
        <is>
          <t>900006185D8366714527210000624</t>
        </is>
      </c>
      <c r="B1004" t="inlineStr">
        <is>
          <t>900006185</t>
        </is>
      </c>
      <c r="C1004" t="inlineStr">
        <is>
          <t>D836</t>
        </is>
      </c>
      <c r="D1004" t="inlineStr">
        <is>
          <t>67145272</t>
        </is>
      </c>
      <c r="E1004" t="inlineStr">
        <is>
          <t>4</t>
        </is>
      </c>
      <c r="F1004" t="inlineStr">
        <is>
          <t>10000624</t>
        </is>
      </c>
      <c r="H1004" t="inlineStr"/>
      <c r="J1004" t="n">
        <v>247.8</v>
      </c>
      <c r="K1004" t="inlineStr"/>
      <c r="M1004" t="inlineStr">
        <is>
          <t>M3</t>
        </is>
      </c>
      <c r="N1004" t="inlineStr"/>
      <c r="P1004" t="inlineStr">
        <is>
          <t>20190426</t>
        </is>
      </c>
      <c r="Q1004" t="inlineStr">
        <is>
          <t>20250127</t>
        </is>
      </c>
    </row>
    <row r="1005">
      <c r="A1005" t="inlineStr">
        <is>
          <t>900006185D8366715789910236867</t>
        </is>
      </c>
      <c r="B1005" t="inlineStr">
        <is>
          <t>900006185</t>
        </is>
      </c>
      <c r="C1005" t="inlineStr">
        <is>
          <t>D836</t>
        </is>
      </c>
      <c r="D1005" t="inlineStr">
        <is>
          <t>67157899</t>
        </is>
      </c>
      <c r="E1005" t="inlineStr">
        <is>
          <t>4</t>
        </is>
      </c>
      <c r="F1005" t="inlineStr">
        <is>
          <t>10236867</t>
        </is>
      </c>
      <c r="H1005" t="inlineStr"/>
      <c r="J1005" t="n">
        <v>390</v>
      </c>
      <c r="K1005" t="inlineStr"/>
      <c r="M1005" t="inlineStr">
        <is>
          <t>TN</t>
        </is>
      </c>
      <c r="N1005" t="inlineStr"/>
      <c r="P1005" t="inlineStr">
        <is>
          <t>20190426</t>
        </is>
      </c>
      <c r="Q1005" t="inlineStr">
        <is>
          <t>20250127</t>
        </is>
      </c>
    </row>
    <row r="1006">
      <c r="A1006" t="inlineStr">
        <is>
          <t>900006371D8366501466410000160</t>
        </is>
      </c>
      <c r="B1006" t="inlineStr">
        <is>
          <t>900006371</t>
        </is>
      </c>
      <c r="C1006" t="inlineStr">
        <is>
          <t>D836</t>
        </is>
      </c>
      <c r="D1006" t="inlineStr">
        <is>
          <t>65014664</t>
        </is>
      </c>
      <c r="E1006" t="inlineStr">
        <is>
          <t>2</t>
        </is>
      </c>
      <c r="F1006" t="inlineStr">
        <is>
          <t>10000160</t>
        </is>
      </c>
      <c r="H1006" t="inlineStr"/>
      <c r="J1006" t="n">
        <v>105</v>
      </c>
      <c r="K1006" t="inlineStr"/>
      <c r="M1006" t="inlineStr">
        <is>
          <t>M3</t>
        </is>
      </c>
      <c r="N1006" t="inlineStr"/>
      <c r="P1006" t="inlineStr">
        <is>
          <t>20250506</t>
        </is>
      </c>
      <c r="Q1006" t="inlineStr">
        <is>
          <t>99991231</t>
        </is>
      </c>
    </row>
    <row r="1007">
      <c r="A1007" t="inlineStr">
        <is>
          <t>900006371D8366501466410000160</t>
        </is>
      </c>
      <c r="B1007" t="inlineStr">
        <is>
          <t>900006371</t>
        </is>
      </c>
      <c r="C1007" t="inlineStr">
        <is>
          <t>D836</t>
        </is>
      </c>
      <c r="D1007" t="inlineStr">
        <is>
          <t>65014664</t>
        </is>
      </c>
      <c r="E1007" t="inlineStr">
        <is>
          <t>4</t>
        </is>
      </c>
      <c r="F1007" t="inlineStr">
        <is>
          <t>10000160</t>
        </is>
      </c>
      <c r="H1007" t="inlineStr"/>
      <c r="J1007" t="n">
        <v>120</v>
      </c>
      <c r="K1007" t="inlineStr"/>
      <c r="M1007" t="inlineStr">
        <is>
          <t>M3</t>
        </is>
      </c>
      <c r="N1007" t="inlineStr"/>
      <c r="P1007" t="inlineStr">
        <is>
          <t>20260428</t>
        </is>
      </c>
      <c r="Q1007" t="inlineStr">
        <is>
          <t>99991231</t>
        </is>
      </c>
    </row>
    <row r="1008">
      <c r="A1008" t="inlineStr">
        <is>
          <t>900006371D8366501466410000206</t>
        </is>
      </c>
      <c r="B1008" t="inlineStr">
        <is>
          <t>900006371</t>
        </is>
      </c>
      <c r="C1008" t="inlineStr">
        <is>
          <t>D836</t>
        </is>
      </c>
      <c r="D1008" t="inlineStr">
        <is>
          <t>65014664</t>
        </is>
      </c>
      <c r="E1008" t="inlineStr">
        <is>
          <t>4</t>
        </is>
      </c>
      <c r="F1008" t="inlineStr">
        <is>
          <t>10000206</t>
        </is>
      </c>
      <c r="H1008" t="inlineStr"/>
      <c r="J1008" t="n">
        <v>105</v>
      </c>
      <c r="K1008" t="inlineStr"/>
      <c r="M1008" t="inlineStr">
        <is>
          <t>M3</t>
        </is>
      </c>
      <c r="N1008" t="inlineStr"/>
      <c r="P1008" t="inlineStr">
        <is>
          <t>20251111</t>
        </is>
      </c>
      <c r="Q1008" t="inlineStr">
        <is>
          <t>99991231</t>
        </is>
      </c>
    </row>
    <row r="1009">
      <c r="A1009" t="inlineStr">
        <is>
          <t>900006371D8366501466410000627</t>
        </is>
      </c>
      <c r="B1009" t="inlineStr">
        <is>
          <t>900006371</t>
        </is>
      </c>
      <c r="C1009" t="inlineStr">
        <is>
          <t>D836</t>
        </is>
      </c>
      <c r="D1009" t="inlineStr">
        <is>
          <t>65014664</t>
        </is>
      </c>
      <c r="E1009" t="inlineStr">
        <is>
          <t>4</t>
        </is>
      </c>
      <c r="F1009" t="inlineStr">
        <is>
          <t>10000627</t>
        </is>
      </c>
      <c r="H1009" t="inlineStr"/>
      <c r="J1009" t="n">
        <v>100</v>
      </c>
      <c r="K1009" t="inlineStr"/>
      <c r="M1009" t="inlineStr">
        <is>
          <t>M3</t>
        </is>
      </c>
      <c r="N1009" t="inlineStr"/>
      <c r="P1009" t="inlineStr">
        <is>
          <t>20260420</t>
        </is>
      </c>
      <c r="Q1009" t="inlineStr">
        <is>
          <t>99991231</t>
        </is>
      </c>
    </row>
    <row r="1010">
      <c r="A1010" t="inlineStr">
        <is>
          <t>900006371D8366506168710000160</t>
        </is>
      </c>
      <c r="B1010" t="inlineStr">
        <is>
          <t>900006371</t>
        </is>
      </c>
      <c r="C1010" t="inlineStr">
        <is>
          <t>D836</t>
        </is>
      </c>
      <c r="D1010" t="inlineStr">
        <is>
          <t>65061687</t>
        </is>
      </c>
      <c r="E1010" t="inlineStr">
        <is>
          <t>4</t>
        </is>
      </c>
      <c r="F1010" t="inlineStr">
        <is>
          <t>10000160</t>
        </is>
      </c>
      <c r="H1010" t="inlineStr"/>
      <c r="J1010" t="n">
        <v>211</v>
      </c>
      <c r="K1010" t="inlineStr"/>
      <c r="M1010" t="inlineStr">
        <is>
          <t>M3</t>
        </is>
      </c>
      <c r="N1010" t="inlineStr"/>
      <c r="P1010" t="inlineStr">
        <is>
          <t>20190426</t>
        </is>
      </c>
      <c r="Q1010" t="inlineStr">
        <is>
          <t>20250127</t>
        </is>
      </c>
    </row>
    <row r="1011">
      <c r="A1011" t="inlineStr">
        <is>
          <t>900006371D8366544038410000160</t>
        </is>
      </c>
      <c r="B1011" t="inlineStr">
        <is>
          <t>900006371</t>
        </is>
      </c>
      <c r="C1011" t="inlineStr">
        <is>
          <t>D836</t>
        </is>
      </c>
      <c r="D1011" t="inlineStr">
        <is>
          <t>65440384</t>
        </is>
      </c>
      <c r="E1011" t="inlineStr">
        <is>
          <t>4</t>
        </is>
      </c>
      <c r="F1011" t="inlineStr">
        <is>
          <t>10000160</t>
        </is>
      </c>
      <c r="H1011" t="inlineStr"/>
      <c r="J1011" t="n">
        <v>176</v>
      </c>
      <c r="K1011" t="inlineStr"/>
      <c r="M1011" t="inlineStr">
        <is>
          <t>M3</t>
        </is>
      </c>
      <c r="N1011" t="inlineStr"/>
      <c r="P1011" t="inlineStr">
        <is>
          <t>20260420</t>
        </is>
      </c>
      <c r="Q1011" t="inlineStr">
        <is>
          <t>99991231</t>
        </is>
      </c>
    </row>
    <row r="1012">
      <c r="A1012" t="inlineStr">
        <is>
          <t>900006371D8366544038410000627</t>
        </is>
      </c>
      <c r="B1012" t="inlineStr">
        <is>
          <t>900006371</t>
        </is>
      </c>
      <c r="C1012" t="inlineStr">
        <is>
          <t>D836</t>
        </is>
      </c>
      <c r="D1012" t="inlineStr">
        <is>
          <t>65440384</t>
        </is>
      </c>
      <c r="E1012" t="inlineStr">
        <is>
          <t>4</t>
        </is>
      </c>
      <c r="F1012" t="inlineStr">
        <is>
          <t>10000627</t>
        </is>
      </c>
      <c r="H1012" t="inlineStr"/>
      <c r="J1012" t="n">
        <v>190</v>
      </c>
      <c r="K1012" t="inlineStr"/>
      <c r="M1012" t="inlineStr">
        <is>
          <t>M3</t>
        </is>
      </c>
      <c r="N1012" t="inlineStr"/>
      <c r="P1012" t="inlineStr">
        <is>
          <t>20260420</t>
        </is>
      </c>
      <c r="Q1012" t="inlineStr">
        <is>
          <t>99991231</t>
        </is>
      </c>
    </row>
    <row r="1013">
      <c r="A1013" t="inlineStr">
        <is>
          <t>900006371D8366592519410000160</t>
        </is>
      </c>
      <c r="B1013" t="inlineStr">
        <is>
          <t>900006371</t>
        </is>
      </c>
      <c r="C1013" t="inlineStr">
        <is>
          <t>D836</t>
        </is>
      </c>
      <c r="D1013" t="inlineStr">
        <is>
          <t>65925194</t>
        </is>
      </c>
      <c r="E1013" t="inlineStr">
        <is>
          <t>4</t>
        </is>
      </c>
      <c r="F1013" t="inlineStr">
        <is>
          <t>10000160</t>
        </is>
      </c>
      <c r="H1013" t="inlineStr"/>
      <c r="J1013" t="n">
        <v>90</v>
      </c>
      <c r="K1013" t="inlineStr"/>
      <c r="M1013" t="inlineStr">
        <is>
          <t>M3</t>
        </is>
      </c>
      <c r="N1013" t="inlineStr"/>
      <c r="P1013" t="inlineStr">
        <is>
          <t>20230301</t>
        </is>
      </c>
      <c r="Q1013" t="inlineStr">
        <is>
          <t>20251031</t>
        </is>
      </c>
    </row>
    <row r="1014">
      <c r="A1014" t="inlineStr">
        <is>
          <t>900006371D8366623009810000160</t>
        </is>
      </c>
      <c r="B1014" t="inlineStr">
        <is>
          <t>900006371</t>
        </is>
      </c>
      <c r="C1014" t="inlineStr">
        <is>
          <t>D836</t>
        </is>
      </c>
      <c r="D1014" t="inlineStr">
        <is>
          <t>66230098</t>
        </is>
      </c>
      <c r="E1014" t="inlineStr">
        <is>
          <t>4</t>
        </is>
      </c>
      <c r="F1014" t="inlineStr">
        <is>
          <t>10000160</t>
        </is>
      </c>
      <c r="H1014" t="inlineStr"/>
      <c r="J1014" t="n">
        <v>211</v>
      </c>
      <c r="K1014" t="inlineStr"/>
      <c r="M1014" t="inlineStr">
        <is>
          <t>M3</t>
        </is>
      </c>
      <c r="N1014" t="inlineStr"/>
      <c r="P1014" t="inlineStr">
        <is>
          <t>20190426</t>
        </is>
      </c>
      <c r="Q1014" t="inlineStr">
        <is>
          <t>20250127</t>
        </is>
      </c>
    </row>
    <row r="1015">
      <c r="A1015" t="inlineStr">
        <is>
          <t>900006371D8366637247510000160</t>
        </is>
      </c>
      <c r="B1015" t="inlineStr">
        <is>
          <t>900006371</t>
        </is>
      </c>
      <c r="C1015" t="inlineStr">
        <is>
          <t>D836</t>
        </is>
      </c>
      <c r="D1015" t="inlineStr">
        <is>
          <t>66372475</t>
        </is>
      </c>
      <c r="E1015" t="inlineStr">
        <is>
          <t>4</t>
        </is>
      </c>
      <c r="F1015" t="inlineStr">
        <is>
          <t>10000160</t>
        </is>
      </c>
      <c r="H1015" t="inlineStr"/>
      <c r="J1015" t="n">
        <v>70</v>
      </c>
      <c r="K1015" t="inlineStr"/>
      <c r="M1015" t="inlineStr">
        <is>
          <t>M3</t>
        </is>
      </c>
      <c r="N1015" t="inlineStr"/>
      <c r="P1015" t="inlineStr">
        <is>
          <t>20190426</t>
        </is>
      </c>
      <c r="Q1015" t="inlineStr">
        <is>
          <t>20250127</t>
        </is>
      </c>
    </row>
    <row r="1016">
      <c r="A1016" t="inlineStr">
        <is>
          <t>900006371D8366637247510000206</t>
        </is>
      </c>
      <c r="B1016" t="inlineStr">
        <is>
          <t>900006371</t>
        </is>
      </c>
      <c r="C1016" t="inlineStr">
        <is>
          <t>D836</t>
        </is>
      </c>
      <c r="D1016" t="inlineStr">
        <is>
          <t>66372475</t>
        </is>
      </c>
      <c r="E1016" t="inlineStr">
        <is>
          <t>4</t>
        </is>
      </c>
      <c r="F1016" t="inlineStr">
        <is>
          <t>10000206</t>
        </is>
      </c>
      <c r="H1016" t="inlineStr"/>
      <c r="J1016" t="n">
        <v>70</v>
      </c>
      <c r="K1016" t="inlineStr"/>
      <c r="M1016" t="inlineStr">
        <is>
          <t>M3</t>
        </is>
      </c>
      <c r="N1016" t="inlineStr"/>
      <c r="P1016" t="inlineStr">
        <is>
          <t>20190426</t>
        </is>
      </c>
      <c r="Q1016" t="inlineStr">
        <is>
          <t>20250127</t>
        </is>
      </c>
    </row>
    <row r="1017">
      <c r="A1017" t="inlineStr">
        <is>
          <t>900006371D8366637247510000357</t>
        </is>
      </c>
      <c r="B1017" t="inlineStr">
        <is>
          <t>900006371</t>
        </is>
      </c>
      <c r="C1017" t="inlineStr">
        <is>
          <t>D836</t>
        </is>
      </c>
      <c r="D1017" t="inlineStr">
        <is>
          <t>66372475</t>
        </is>
      </c>
      <c r="E1017" t="inlineStr">
        <is>
          <t>4</t>
        </is>
      </c>
      <c r="F1017" t="inlineStr">
        <is>
          <t>10000357</t>
        </is>
      </c>
      <c r="H1017" t="inlineStr"/>
      <c r="J1017" t="n">
        <v>70</v>
      </c>
      <c r="K1017" t="inlineStr"/>
      <c r="M1017" t="inlineStr">
        <is>
          <t>M3</t>
        </is>
      </c>
      <c r="N1017" t="inlineStr"/>
      <c r="P1017" t="inlineStr">
        <is>
          <t>20190426</t>
        </is>
      </c>
      <c r="Q1017" t="inlineStr">
        <is>
          <t>20250127</t>
        </is>
      </c>
    </row>
    <row r="1018">
      <c r="A1018" t="inlineStr">
        <is>
          <t>900006371D8366637247510003132</t>
        </is>
      </c>
      <c r="B1018" t="inlineStr">
        <is>
          <t>900006371</t>
        </is>
      </c>
      <c r="C1018" t="inlineStr">
        <is>
          <t>D836</t>
        </is>
      </c>
      <c r="D1018" t="inlineStr">
        <is>
          <t>66372475</t>
        </is>
      </c>
      <c r="E1018" t="inlineStr">
        <is>
          <t>4</t>
        </is>
      </c>
      <c r="F1018" t="inlineStr">
        <is>
          <t>10003132</t>
        </is>
      </c>
      <c r="H1018" t="inlineStr"/>
      <c r="J1018" t="n">
        <v>70</v>
      </c>
      <c r="K1018" t="inlineStr"/>
      <c r="M1018" t="inlineStr">
        <is>
          <t>M3</t>
        </is>
      </c>
      <c r="N1018" t="inlineStr"/>
      <c r="P1018" t="inlineStr">
        <is>
          <t>20190426</t>
        </is>
      </c>
      <c r="Q1018" t="inlineStr">
        <is>
          <t>20250127</t>
        </is>
      </c>
    </row>
    <row r="1019">
      <c r="A1019" t="inlineStr">
        <is>
          <t>900006371D8366643350910000160</t>
        </is>
      </c>
      <c r="B1019" t="inlineStr">
        <is>
          <t>900006371</t>
        </is>
      </c>
      <c r="C1019" t="inlineStr">
        <is>
          <t>D836</t>
        </is>
      </c>
      <c r="D1019" t="inlineStr">
        <is>
          <t>66433509</t>
        </is>
      </c>
      <c r="E1019" t="inlineStr">
        <is>
          <t>4</t>
        </is>
      </c>
      <c r="F1019" t="inlineStr">
        <is>
          <t>10000160</t>
        </is>
      </c>
      <c r="H1019" t="inlineStr"/>
      <c r="J1019" t="n">
        <v>232</v>
      </c>
      <c r="K1019" t="inlineStr"/>
      <c r="M1019" t="inlineStr">
        <is>
          <t>M3</t>
        </is>
      </c>
      <c r="N1019" t="inlineStr"/>
      <c r="P1019" t="inlineStr">
        <is>
          <t>20190426</t>
        </is>
      </c>
      <c r="Q1019" t="inlineStr">
        <is>
          <t>20250127</t>
        </is>
      </c>
    </row>
    <row r="1020">
      <c r="A1020" t="inlineStr">
        <is>
          <t>900006371D8366643350910000357</t>
        </is>
      </c>
      <c r="B1020" t="inlineStr">
        <is>
          <t>900006371</t>
        </is>
      </c>
      <c r="C1020" t="inlineStr">
        <is>
          <t>D836</t>
        </is>
      </c>
      <c r="D1020" t="inlineStr">
        <is>
          <t>66433509</t>
        </is>
      </c>
      <c r="E1020" t="inlineStr">
        <is>
          <t>4</t>
        </is>
      </c>
      <c r="F1020" t="inlineStr">
        <is>
          <t>10000357</t>
        </is>
      </c>
      <c r="H1020" t="inlineStr"/>
      <c r="J1020" t="n">
        <v>232</v>
      </c>
      <c r="K1020" t="inlineStr"/>
      <c r="M1020" t="inlineStr">
        <is>
          <t>M3</t>
        </is>
      </c>
      <c r="N1020" t="inlineStr"/>
      <c r="P1020" t="inlineStr">
        <is>
          <t>20190426</t>
        </is>
      </c>
      <c r="Q1020" t="inlineStr">
        <is>
          <t>20250127</t>
        </is>
      </c>
    </row>
    <row r="1021">
      <c r="A1021" t="inlineStr">
        <is>
          <t>900006371D8366645007210000160</t>
        </is>
      </c>
      <c r="B1021" t="inlineStr">
        <is>
          <t>900006371</t>
        </is>
      </c>
      <c r="C1021" t="inlineStr">
        <is>
          <t>D836</t>
        </is>
      </c>
      <c r="D1021" t="inlineStr">
        <is>
          <t>66450072</t>
        </is>
      </c>
      <c r="E1021" t="inlineStr">
        <is>
          <t>4</t>
        </is>
      </c>
      <c r="F1021" t="inlineStr">
        <is>
          <t>10000160</t>
        </is>
      </c>
      <c r="H1021" t="inlineStr"/>
      <c r="J1021" t="n">
        <v>211</v>
      </c>
      <c r="K1021" t="inlineStr"/>
      <c r="M1021" t="inlineStr">
        <is>
          <t>M3</t>
        </is>
      </c>
      <c r="N1021" t="inlineStr"/>
      <c r="P1021" t="inlineStr">
        <is>
          <t>20190426</t>
        </is>
      </c>
      <c r="Q1021" t="inlineStr">
        <is>
          <t>20250127</t>
        </is>
      </c>
    </row>
    <row r="1022">
      <c r="A1022" t="inlineStr">
        <is>
          <t>900006371D8366677927610000160</t>
        </is>
      </c>
      <c r="B1022" t="inlineStr">
        <is>
          <t>900006371</t>
        </is>
      </c>
      <c r="C1022" t="inlineStr">
        <is>
          <t>D836</t>
        </is>
      </c>
      <c r="D1022" t="inlineStr">
        <is>
          <t>66779276</t>
        </is>
      </c>
      <c r="E1022" t="inlineStr">
        <is>
          <t>4</t>
        </is>
      </c>
      <c r="F1022" t="inlineStr">
        <is>
          <t>10000160</t>
        </is>
      </c>
      <c r="H1022" t="inlineStr"/>
      <c r="J1022" t="n">
        <v>168</v>
      </c>
      <c r="K1022" t="inlineStr"/>
      <c r="M1022" t="inlineStr">
        <is>
          <t>M3</t>
        </is>
      </c>
      <c r="N1022" t="inlineStr"/>
      <c r="P1022" t="inlineStr">
        <is>
          <t>20260420</t>
        </is>
      </c>
      <c r="Q1022" t="inlineStr">
        <is>
          <t>99991231</t>
        </is>
      </c>
    </row>
    <row r="1023">
      <c r="A1023" t="inlineStr">
        <is>
          <t>900006371D8366677927610000357</t>
        </is>
      </c>
      <c r="B1023" t="inlineStr">
        <is>
          <t>900006371</t>
        </is>
      </c>
      <c r="C1023" t="inlineStr">
        <is>
          <t>D836</t>
        </is>
      </c>
      <c r="D1023" t="inlineStr">
        <is>
          <t>66779276</t>
        </is>
      </c>
      <c r="E1023" t="inlineStr">
        <is>
          <t>4</t>
        </is>
      </c>
      <c r="F1023" t="inlineStr">
        <is>
          <t>10000357</t>
        </is>
      </c>
      <c r="H1023" t="inlineStr"/>
      <c r="J1023" t="n">
        <v>168</v>
      </c>
      <c r="K1023" t="inlineStr"/>
      <c r="M1023" t="inlineStr">
        <is>
          <t>M3</t>
        </is>
      </c>
      <c r="N1023" t="inlineStr"/>
      <c r="P1023" t="inlineStr">
        <is>
          <t>20260420</t>
        </is>
      </c>
      <c r="Q1023" t="inlineStr">
        <is>
          <t>99991231</t>
        </is>
      </c>
    </row>
    <row r="1024">
      <c r="A1024" t="inlineStr">
        <is>
          <t>900006371D8366677927610000627</t>
        </is>
      </c>
      <c r="B1024" t="inlineStr">
        <is>
          <t>900006371</t>
        </is>
      </c>
      <c r="C1024" t="inlineStr">
        <is>
          <t>D836</t>
        </is>
      </c>
      <c r="D1024" t="inlineStr">
        <is>
          <t>66779276</t>
        </is>
      </c>
      <c r="E1024" t="inlineStr">
        <is>
          <t>4</t>
        </is>
      </c>
      <c r="F1024" t="inlineStr">
        <is>
          <t>10000627</t>
        </is>
      </c>
      <c r="H1024" t="inlineStr"/>
      <c r="J1024" t="n">
        <v>168</v>
      </c>
      <c r="K1024" t="inlineStr"/>
      <c r="M1024" t="inlineStr">
        <is>
          <t>M3</t>
        </is>
      </c>
      <c r="N1024" t="inlineStr"/>
      <c r="P1024" t="inlineStr">
        <is>
          <t>20260420</t>
        </is>
      </c>
      <c r="Q1024" t="inlineStr">
        <is>
          <t>99991231</t>
        </is>
      </c>
    </row>
    <row r="1025">
      <c r="A1025" t="inlineStr">
        <is>
          <t>900006371D8366680034610000313</t>
        </is>
      </c>
      <c r="B1025" t="inlineStr">
        <is>
          <t>900006371</t>
        </is>
      </c>
      <c r="C1025" t="inlineStr">
        <is>
          <t>D836</t>
        </is>
      </c>
      <c r="D1025" t="inlineStr">
        <is>
          <t>66800346</t>
        </is>
      </c>
      <c r="E1025" t="inlineStr">
        <is>
          <t>4</t>
        </is>
      </c>
      <c r="F1025" t="inlineStr">
        <is>
          <t>10000313</t>
        </is>
      </c>
      <c r="H1025" t="inlineStr"/>
      <c r="J1025" t="n">
        <v>265</v>
      </c>
      <c r="K1025" t="inlineStr"/>
      <c r="M1025" t="inlineStr">
        <is>
          <t>M3</t>
        </is>
      </c>
      <c r="N1025" t="inlineStr"/>
      <c r="P1025" t="inlineStr">
        <is>
          <t>20190426</t>
        </is>
      </c>
      <c r="Q1025" t="inlineStr">
        <is>
          <t>20250127</t>
        </is>
      </c>
    </row>
    <row r="1026">
      <c r="A1026" t="inlineStr">
        <is>
          <t>900006371D8366698265810000160</t>
        </is>
      </c>
      <c r="B1026" t="inlineStr">
        <is>
          <t>900006371</t>
        </is>
      </c>
      <c r="C1026" t="inlineStr">
        <is>
          <t>D836</t>
        </is>
      </c>
      <c r="D1026" t="inlineStr">
        <is>
          <t>66982658</t>
        </is>
      </c>
      <c r="E1026" t="inlineStr">
        <is>
          <t>4</t>
        </is>
      </c>
      <c r="F1026" t="inlineStr">
        <is>
          <t>10000160</t>
        </is>
      </c>
      <c r="H1026" t="inlineStr"/>
      <c r="J1026" t="n">
        <v>70</v>
      </c>
      <c r="K1026" t="inlineStr"/>
      <c r="M1026" t="inlineStr">
        <is>
          <t>M3</t>
        </is>
      </c>
      <c r="N1026" t="inlineStr"/>
      <c r="P1026" t="inlineStr">
        <is>
          <t>20190426</t>
        </is>
      </c>
      <c r="Q1026" t="inlineStr">
        <is>
          <t>20250127</t>
        </is>
      </c>
    </row>
    <row r="1027">
      <c r="A1027" t="inlineStr">
        <is>
          <t>900006371D8366698265810000206</t>
        </is>
      </c>
      <c r="B1027" t="inlineStr">
        <is>
          <t>900006371</t>
        </is>
      </c>
      <c r="C1027" t="inlineStr">
        <is>
          <t>D836</t>
        </is>
      </c>
      <c r="D1027" t="inlineStr">
        <is>
          <t>66982658</t>
        </is>
      </c>
      <c r="E1027" t="inlineStr">
        <is>
          <t>4</t>
        </is>
      </c>
      <c r="F1027" t="inlineStr">
        <is>
          <t>10000206</t>
        </is>
      </c>
      <c r="H1027" t="inlineStr"/>
      <c r="J1027" t="n">
        <v>70</v>
      </c>
      <c r="K1027" t="inlineStr"/>
      <c r="M1027" t="inlineStr">
        <is>
          <t>M3</t>
        </is>
      </c>
      <c r="N1027" t="inlineStr"/>
      <c r="P1027" t="inlineStr">
        <is>
          <t>20190426</t>
        </is>
      </c>
      <c r="Q1027" t="inlineStr">
        <is>
          <t>20250127</t>
        </is>
      </c>
    </row>
    <row r="1028">
      <c r="A1028" t="inlineStr">
        <is>
          <t>900006371D8366698265810000357</t>
        </is>
      </c>
      <c r="B1028" t="inlineStr">
        <is>
          <t>900006371</t>
        </is>
      </c>
      <c r="C1028" t="inlineStr">
        <is>
          <t>D836</t>
        </is>
      </c>
      <c r="D1028" t="inlineStr">
        <is>
          <t>66982658</t>
        </is>
      </c>
      <c r="E1028" t="inlineStr">
        <is>
          <t>4</t>
        </is>
      </c>
      <c r="F1028" t="inlineStr">
        <is>
          <t>10000357</t>
        </is>
      </c>
      <c r="H1028" t="inlineStr"/>
      <c r="J1028" t="n">
        <v>70</v>
      </c>
      <c r="K1028" t="inlineStr"/>
      <c r="M1028" t="inlineStr">
        <is>
          <t>M3</t>
        </is>
      </c>
      <c r="N1028" t="inlineStr"/>
      <c r="P1028" t="inlineStr">
        <is>
          <t>20190426</t>
        </is>
      </c>
      <c r="Q1028" t="inlineStr">
        <is>
          <t>20250127</t>
        </is>
      </c>
    </row>
    <row r="1029">
      <c r="A1029" t="inlineStr">
        <is>
          <t>900006371D8366698265810003132</t>
        </is>
      </c>
      <c r="B1029" t="inlineStr">
        <is>
          <t>900006371</t>
        </is>
      </c>
      <c r="C1029" t="inlineStr">
        <is>
          <t>D836</t>
        </is>
      </c>
      <c r="D1029" t="inlineStr">
        <is>
          <t>66982658</t>
        </is>
      </c>
      <c r="E1029" t="inlineStr">
        <is>
          <t>4</t>
        </is>
      </c>
      <c r="F1029" t="inlineStr">
        <is>
          <t>10003132</t>
        </is>
      </c>
      <c r="H1029" t="inlineStr"/>
      <c r="J1029" t="n">
        <v>70</v>
      </c>
      <c r="K1029" t="inlineStr"/>
      <c r="M1029" t="inlineStr">
        <is>
          <t>M3</t>
        </is>
      </c>
      <c r="N1029" t="inlineStr"/>
      <c r="P1029" t="inlineStr">
        <is>
          <t>20190426</t>
        </is>
      </c>
      <c r="Q1029" t="inlineStr">
        <is>
          <t>20250127</t>
        </is>
      </c>
    </row>
    <row r="1030">
      <c r="A1030" t="inlineStr">
        <is>
          <t>900006371D8366701250510145835</t>
        </is>
      </c>
      <c r="B1030" t="inlineStr">
        <is>
          <t>900006371</t>
        </is>
      </c>
      <c r="C1030" t="inlineStr">
        <is>
          <t>D836</t>
        </is>
      </c>
      <c r="D1030" t="inlineStr">
        <is>
          <t>67012505</t>
        </is>
      </c>
      <c r="E1030" t="inlineStr">
        <is>
          <t>4</t>
        </is>
      </c>
      <c r="F1030" t="inlineStr">
        <is>
          <t>10145835</t>
        </is>
      </c>
      <c r="H1030" t="inlineStr"/>
      <c r="J1030" t="n">
        <v>285</v>
      </c>
      <c r="K1030" t="inlineStr"/>
      <c r="M1030" t="inlineStr">
        <is>
          <t>M3</t>
        </is>
      </c>
      <c r="N1030" t="inlineStr"/>
      <c r="P1030" t="inlineStr">
        <is>
          <t>20190426</t>
        </is>
      </c>
      <c r="Q1030" t="inlineStr">
        <is>
          <t>20250127</t>
        </is>
      </c>
    </row>
    <row r="1031">
      <c r="A1031" t="inlineStr">
        <is>
          <t>900006371D8366701490710000313</t>
        </is>
      </c>
      <c r="B1031" t="inlineStr">
        <is>
          <t>900006371</t>
        </is>
      </c>
      <c r="C1031" t="inlineStr">
        <is>
          <t>D836</t>
        </is>
      </c>
      <c r="D1031" t="inlineStr">
        <is>
          <t>67014907</t>
        </is>
      </c>
      <c r="E1031" t="inlineStr">
        <is>
          <t>4</t>
        </is>
      </c>
      <c r="F1031" t="inlineStr">
        <is>
          <t>10000313</t>
        </is>
      </c>
      <c r="H1031" t="inlineStr"/>
      <c r="J1031" t="n">
        <v>265</v>
      </c>
      <c r="K1031" t="inlineStr"/>
      <c r="M1031" t="inlineStr">
        <is>
          <t>M3</t>
        </is>
      </c>
      <c r="N1031" t="inlineStr"/>
      <c r="P1031" t="inlineStr">
        <is>
          <t>20211027</t>
        </is>
      </c>
      <c r="Q1031" t="inlineStr">
        <is>
          <t>20251030</t>
        </is>
      </c>
    </row>
    <row r="1032">
      <c r="A1032" t="inlineStr">
        <is>
          <t>900006371D8366701490710057633</t>
        </is>
      </c>
      <c r="B1032" t="inlineStr">
        <is>
          <t>900006371</t>
        </is>
      </c>
      <c r="C1032" t="inlineStr">
        <is>
          <t>D836</t>
        </is>
      </c>
      <c r="D1032" t="inlineStr">
        <is>
          <t>67014907</t>
        </is>
      </c>
      <c r="E1032" t="inlineStr">
        <is>
          <t>4</t>
        </is>
      </c>
      <c r="F1032" t="inlineStr">
        <is>
          <t>10057633</t>
        </is>
      </c>
      <c r="H1032" t="inlineStr"/>
      <c r="J1032" t="n">
        <v>265</v>
      </c>
      <c r="K1032" t="inlineStr"/>
      <c r="M1032" t="inlineStr">
        <is>
          <t>M3</t>
        </is>
      </c>
      <c r="N1032" t="inlineStr"/>
      <c r="P1032" t="inlineStr">
        <is>
          <t>20211027</t>
        </is>
      </c>
      <c r="Q1032" t="inlineStr">
        <is>
          <t>20251030</t>
        </is>
      </c>
    </row>
    <row r="1033">
      <c r="A1033" t="inlineStr">
        <is>
          <t>900006371D8366701980210000287</t>
        </is>
      </c>
      <c r="B1033" t="inlineStr">
        <is>
          <t>900006371</t>
        </is>
      </c>
      <c r="C1033" t="inlineStr">
        <is>
          <t>D836</t>
        </is>
      </c>
      <c r="D1033" t="inlineStr">
        <is>
          <t>67019802</t>
        </is>
      </c>
      <c r="E1033" t="inlineStr">
        <is>
          <t>4</t>
        </is>
      </c>
      <c r="F1033" t="inlineStr">
        <is>
          <t>10000287</t>
        </is>
      </c>
      <c r="H1033" t="inlineStr"/>
      <c r="J1033" t="n">
        <v>228</v>
      </c>
      <c r="K1033" t="inlineStr"/>
      <c r="M1033" t="inlineStr">
        <is>
          <t>M3</t>
        </is>
      </c>
      <c r="N1033" t="inlineStr"/>
      <c r="P1033" t="inlineStr">
        <is>
          <t>20190426</t>
        </is>
      </c>
      <c r="Q1033" t="inlineStr">
        <is>
          <t>20250127</t>
        </is>
      </c>
    </row>
    <row r="1034">
      <c r="A1034" t="inlineStr">
        <is>
          <t>900006371D8366709100410000160</t>
        </is>
      </c>
      <c r="B1034" t="inlineStr">
        <is>
          <t>900006371</t>
        </is>
      </c>
      <c r="C1034" t="inlineStr">
        <is>
          <t>D836</t>
        </is>
      </c>
      <c r="D1034" t="inlineStr">
        <is>
          <t>67091004</t>
        </is>
      </c>
      <c r="E1034" t="inlineStr">
        <is>
          <t>4</t>
        </is>
      </c>
      <c r="F1034" t="inlineStr">
        <is>
          <t>10000160</t>
        </is>
      </c>
      <c r="H1034" t="inlineStr"/>
      <c r="J1034" t="n">
        <v>160</v>
      </c>
      <c r="K1034" t="inlineStr"/>
      <c r="M1034" t="inlineStr">
        <is>
          <t>M3</t>
        </is>
      </c>
      <c r="N1034" t="inlineStr"/>
      <c r="P1034" t="inlineStr">
        <is>
          <t>20190426</t>
        </is>
      </c>
      <c r="Q1034" t="inlineStr">
        <is>
          <t>20250127</t>
        </is>
      </c>
    </row>
    <row r="1035">
      <c r="A1035" t="inlineStr">
        <is>
          <t>900006371D8366709100410000357</t>
        </is>
      </c>
      <c r="B1035" t="inlineStr">
        <is>
          <t>900006371</t>
        </is>
      </c>
      <c r="C1035" t="inlineStr">
        <is>
          <t>D836</t>
        </is>
      </c>
      <c r="D1035" t="inlineStr">
        <is>
          <t>67091004</t>
        </is>
      </c>
      <c r="E1035" t="inlineStr">
        <is>
          <t>4</t>
        </is>
      </c>
      <c r="F1035" t="inlineStr">
        <is>
          <t>10000357</t>
        </is>
      </c>
      <c r="H1035" t="inlineStr"/>
      <c r="J1035" t="n">
        <v>160</v>
      </c>
      <c r="K1035" t="inlineStr"/>
      <c r="M1035" t="inlineStr">
        <is>
          <t>M3</t>
        </is>
      </c>
      <c r="N1035" t="inlineStr"/>
      <c r="P1035" t="inlineStr">
        <is>
          <t>20190426</t>
        </is>
      </c>
      <c r="Q1035" t="inlineStr">
        <is>
          <t>20250127</t>
        </is>
      </c>
    </row>
    <row r="1036">
      <c r="A1036" t="inlineStr">
        <is>
          <t>900006371D8366709100410019515</t>
        </is>
      </c>
      <c r="B1036" t="inlineStr">
        <is>
          <t>900006371</t>
        </is>
      </c>
      <c r="C1036" t="inlineStr">
        <is>
          <t>D836</t>
        </is>
      </c>
      <c r="D1036" t="inlineStr">
        <is>
          <t>67091004</t>
        </is>
      </c>
      <c r="E1036" t="inlineStr">
        <is>
          <t>4</t>
        </is>
      </c>
      <c r="F1036" t="inlineStr">
        <is>
          <t>10019515</t>
        </is>
      </c>
      <c r="H1036" t="inlineStr"/>
      <c r="J1036" t="n">
        <v>160</v>
      </c>
      <c r="K1036" t="inlineStr"/>
      <c r="M1036" t="inlineStr">
        <is>
          <t>M3</t>
        </is>
      </c>
      <c r="N1036" t="inlineStr"/>
      <c r="P1036" t="inlineStr">
        <is>
          <t>20190426</t>
        </is>
      </c>
      <c r="Q1036" t="inlineStr">
        <is>
          <t>20250127</t>
        </is>
      </c>
    </row>
    <row r="1037">
      <c r="A1037" t="inlineStr">
        <is>
          <t>900006542D8366500190510000133</t>
        </is>
      </c>
      <c r="B1037" t="inlineStr">
        <is>
          <t>900006542</t>
        </is>
      </c>
      <c r="C1037" t="inlineStr">
        <is>
          <t>D836</t>
        </is>
      </c>
      <c r="D1037" t="inlineStr">
        <is>
          <t>65001905</t>
        </is>
      </c>
      <c r="E1037" t="inlineStr">
        <is>
          <t>4</t>
        </is>
      </c>
      <c r="F1037" t="inlineStr">
        <is>
          <t>10000133</t>
        </is>
      </c>
      <c r="H1037" t="inlineStr"/>
      <c r="J1037" t="n">
        <v>265</v>
      </c>
      <c r="K1037" t="inlineStr"/>
      <c r="M1037" t="inlineStr">
        <is>
          <t>M3</t>
        </is>
      </c>
      <c r="N1037" t="inlineStr"/>
      <c r="P1037" t="inlineStr">
        <is>
          <t>20190426</t>
        </is>
      </c>
      <c r="Q1037" t="inlineStr">
        <is>
          <t>20250127</t>
        </is>
      </c>
    </row>
    <row r="1038">
      <c r="A1038" t="inlineStr">
        <is>
          <t>900006542D8366500190510058345</t>
        </is>
      </c>
      <c r="B1038" t="inlineStr">
        <is>
          <t>900006542</t>
        </is>
      </c>
      <c r="C1038" t="inlineStr">
        <is>
          <t>D836</t>
        </is>
      </c>
      <c r="D1038" t="inlineStr">
        <is>
          <t>65001905</t>
        </is>
      </c>
      <c r="E1038" t="inlineStr">
        <is>
          <t>4</t>
        </is>
      </c>
      <c r="F1038" t="inlineStr">
        <is>
          <t>10058345</t>
        </is>
      </c>
      <c r="H1038" t="inlineStr"/>
      <c r="J1038" t="n">
        <v>265</v>
      </c>
      <c r="K1038" t="inlineStr"/>
      <c r="M1038" t="inlineStr">
        <is>
          <t>M3</t>
        </is>
      </c>
      <c r="N1038" t="inlineStr"/>
      <c r="P1038" t="inlineStr">
        <is>
          <t>20190426</t>
        </is>
      </c>
      <c r="Q1038" t="inlineStr">
        <is>
          <t>20250127</t>
        </is>
      </c>
    </row>
    <row r="1039">
      <c r="A1039" t="inlineStr">
        <is>
          <t>900006542D8366500922910000160</t>
        </is>
      </c>
      <c r="B1039" t="inlineStr">
        <is>
          <t>900006542</t>
        </is>
      </c>
      <c r="C1039" t="inlineStr">
        <is>
          <t>D836</t>
        </is>
      </c>
      <c r="D1039" t="inlineStr">
        <is>
          <t>65009229</t>
        </is>
      </c>
      <c r="E1039" t="inlineStr">
        <is>
          <t>4</t>
        </is>
      </c>
      <c r="F1039" t="inlineStr">
        <is>
          <t>10000160</t>
        </is>
      </c>
      <c r="H1039" t="inlineStr"/>
      <c r="J1039" t="n">
        <v>133</v>
      </c>
      <c r="K1039" t="inlineStr"/>
      <c r="M1039" t="inlineStr">
        <is>
          <t>M3</t>
        </is>
      </c>
      <c r="N1039" t="inlineStr"/>
      <c r="P1039" t="inlineStr">
        <is>
          <t>20190426</t>
        </is>
      </c>
      <c r="Q1039" t="inlineStr">
        <is>
          <t>20250127</t>
        </is>
      </c>
    </row>
    <row r="1040">
      <c r="A1040" t="inlineStr">
        <is>
          <t>900006542D8366500922910000357</t>
        </is>
      </c>
      <c r="B1040" t="inlineStr">
        <is>
          <t>900006542</t>
        </is>
      </c>
      <c r="C1040" t="inlineStr">
        <is>
          <t>D836</t>
        </is>
      </c>
      <c r="D1040" t="inlineStr">
        <is>
          <t>65009229</t>
        </is>
      </c>
      <c r="E1040" t="inlineStr">
        <is>
          <t>4</t>
        </is>
      </c>
      <c r="F1040" t="inlineStr">
        <is>
          <t>10000357</t>
        </is>
      </c>
      <c r="H1040" t="inlineStr"/>
      <c r="J1040" t="n">
        <v>133</v>
      </c>
      <c r="K1040" t="inlineStr"/>
      <c r="M1040" t="inlineStr">
        <is>
          <t>M3</t>
        </is>
      </c>
      <c r="N1040" t="inlineStr"/>
      <c r="P1040" t="inlineStr">
        <is>
          <t>20190426</t>
        </is>
      </c>
      <c r="Q1040" t="inlineStr">
        <is>
          <t>20250127</t>
        </is>
      </c>
    </row>
    <row r="1041">
      <c r="A1041" t="inlineStr">
        <is>
          <t>900006542D8366624059610000160</t>
        </is>
      </c>
      <c r="B1041" t="inlineStr">
        <is>
          <t>900006542</t>
        </is>
      </c>
      <c r="C1041" t="inlineStr">
        <is>
          <t>D836</t>
        </is>
      </c>
      <c r="D1041" t="inlineStr">
        <is>
          <t>66240596</t>
        </is>
      </c>
      <c r="E1041" t="inlineStr">
        <is>
          <t>4</t>
        </is>
      </c>
      <c r="F1041" t="inlineStr">
        <is>
          <t>10000160</t>
        </is>
      </c>
      <c r="H1041" t="inlineStr"/>
      <c r="J1041" t="n">
        <v>135</v>
      </c>
      <c r="K1041" t="inlineStr"/>
      <c r="M1041" t="inlineStr">
        <is>
          <t>M3</t>
        </is>
      </c>
      <c r="N1041" t="inlineStr"/>
      <c r="P1041" t="inlineStr">
        <is>
          <t>20190426</t>
        </is>
      </c>
      <c r="Q1041" t="inlineStr">
        <is>
          <t>20250127</t>
        </is>
      </c>
    </row>
    <row r="1042">
      <c r="A1042" t="inlineStr">
        <is>
          <t>900006542D8366624059610000357</t>
        </is>
      </c>
      <c r="B1042" t="inlineStr">
        <is>
          <t>900006542</t>
        </is>
      </c>
      <c r="C1042" t="inlineStr">
        <is>
          <t>D836</t>
        </is>
      </c>
      <c r="D1042" t="inlineStr">
        <is>
          <t>66240596</t>
        </is>
      </c>
      <c r="E1042" t="inlineStr">
        <is>
          <t>4</t>
        </is>
      </c>
      <c r="F1042" t="inlineStr">
        <is>
          <t>10000357</t>
        </is>
      </c>
      <c r="H1042" t="inlineStr"/>
      <c r="J1042" t="n">
        <v>135</v>
      </c>
      <c r="K1042" t="inlineStr"/>
      <c r="M1042" t="inlineStr">
        <is>
          <t>M3</t>
        </is>
      </c>
      <c r="N1042" t="inlineStr"/>
      <c r="P1042" t="inlineStr">
        <is>
          <t>20190426</t>
        </is>
      </c>
      <c r="Q1042" t="inlineStr">
        <is>
          <t>20250127</t>
        </is>
      </c>
    </row>
    <row r="1043">
      <c r="A1043" t="inlineStr">
        <is>
          <t>900006542D8366624059610000651</t>
        </is>
      </c>
      <c r="B1043" t="inlineStr">
        <is>
          <t>900006542</t>
        </is>
      </c>
      <c r="C1043" t="inlineStr">
        <is>
          <t>D836</t>
        </is>
      </c>
      <c r="D1043" t="inlineStr">
        <is>
          <t>66240596</t>
        </is>
      </c>
      <c r="E1043" t="inlineStr">
        <is>
          <t>4</t>
        </is>
      </c>
      <c r="F1043" t="inlineStr">
        <is>
          <t>10000651</t>
        </is>
      </c>
      <c r="H1043" t="inlineStr"/>
      <c r="J1043" t="n">
        <v>135</v>
      </c>
      <c r="K1043" t="inlineStr"/>
      <c r="M1043" t="inlineStr">
        <is>
          <t>M3</t>
        </is>
      </c>
      <c r="N1043" t="inlineStr"/>
      <c r="P1043" t="inlineStr">
        <is>
          <t>20190426</t>
        </is>
      </c>
      <c r="Q1043" t="inlineStr">
        <is>
          <t>20250127</t>
        </is>
      </c>
    </row>
    <row r="1044">
      <c r="A1044" t="inlineStr">
        <is>
          <t>900006542D8366632311510000160</t>
        </is>
      </c>
      <c r="B1044" t="inlineStr">
        <is>
          <t>900006542</t>
        </is>
      </c>
      <c r="C1044" t="inlineStr">
        <is>
          <t>D836</t>
        </is>
      </c>
      <c r="D1044" t="inlineStr">
        <is>
          <t>66323115</t>
        </is>
      </c>
      <c r="E1044" t="inlineStr">
        <is>
          <t>4</t>
        </is>
      </c>
      <c r="F1044" t="inlineStr">
        <is>
          <t>10000160</t>
        </is>
      </c>
      <c r="H1044" t="inlineStr"/>
      <c r="J1044" t="n">
        <v>171.99</v>
      </c>
      <c r="K1044" t="inlineStr"/>
      <c r="M1044" t="inlineStr">
        <is>
          <t>TN</t>
        </is>
      </c>
      <c r="N1044" t="inlineStr"/>
      <c r="P1044" t="inlineStr">
        <is>
          <t>20190426</t>
        </is>
      </c>
      <c r="Q1044" t="inlineStr">
        <is>
          <t>20250127</t>
        </is>
      </c>
    </row>
    <row r="1045">
      <c r="A1045" t="inlineStr">
        <is>
          <t>900006542D8366648605910000160</t>
        </is>
      </c>
      <c r="B1045" t="inlineStr">
        <is>
          <t>900006542</t>
        </is>
      </c>
      <c r="C1045" t="inlineStr">
        <is>
          <t>D836</t>
        </is>
      </c>
      <c r="D1045" t="inlineStr">
        <is>
          <t>66486059</t>
        </is>
      </c>
      <c r="E1045" t="inlineStr">
        <is>
          <t>4</t>
        </is>
      </c>
      <c r="F1045" t="inlineStr">
        <is>
          <t>10000160</t>
        </is>
      </c>
      <c r="H1045" t="inlineStr"/>
      <c r="J1045" t="n">
        <v>345</v>
      </c>
      <c r="K1045" t="inlineStr"/>
      <c r="M1045" t="inlineStr">
        <is>
          <t>M3</t>
        </is>
      </c>
      <c r="N1045" t="inlineStr"/>
      <c r="P1045" t="inlineStr">
        <is>
          <t>20190426</t>
        </is>
      </c>
      <c r="Q1045" t="inlineStr">
        <is>
          <t>20250127</t>
        </is>
      </c>
    </row>
    <row r="1046">
      <c r="A1046" t="inlineStr">
        <is>
          <t>900006542D8366648605910000206</t>
        </is>
      </c>
      <c r="B1046" t="inlineStr">
        <is>
          <t>900006542</t>
        </is>
      </c>
      <c r="C1046" t="inlineStr">
        <is>
          <t>D836</t>
        </is>
      </c>
      <c r="D1046" t="inlineStr">
        <is>
          <t>66486059</t>
        </is>
      </c>
      <c r="E1046" t="inlineStr">
        <is>
          <t>4</t>
        </is>
      </c>
      <c r="F1046" t="inlineStr">
        <is>
          <t>10000206</t>
        </is>
      </c>
      <c r="H1046" t="inlineStr"/>
      <c r="J1046" t="n">
        <v>345</v>
      </c>
      <c r="K1046" t="inlineStr"/>
      <c r="M1046" t="inlineStr">
        <is>
          <t>M3</t>
        </is>
      </c>
      <c r="N1046" t="inlineStr"/>
      <c r="P1046" t="inlineStr">
        <is>
          <t>20190426</t>
        </is>
      </c>
      <c r="Q1046" t="inlineStr">
        <is>
          <t>20250127</t>
        </is>
      </c>
    </row>
    <row r="1047">
      <c r="A1047" t="inlineStr">
        <is>
          <t>900006542D8366648605910000357</t>
        </is>
      </c>
      <c r="B1047" t="inlineStr">
        <is>
          <t>900006542</t>
        </is>
      </c>
      <c r="C1047" t="inlineStr">
        <is>
          <t>D836</t>
        </is>
      </c>
      <c r="D1047" t="inlineStr">
        <is>
          <t>66486059</t>
        </is>
      </c>
      <c r="E1047" t="inlineStr">
        <is>
          <t>4</t>
        </is>
      </c>
      <c r="F1047" t="inlineStr">
        <is>
          <t>10000357</t>
        </is>
      </c>
      <c r="H1047" t="inlineStr"/>
      <c r="J1047" t="n">
        <v>345</v>
      </c>
      <c r="K1047" t="inlineStr"/>
      <c r="M1047" t="inlineStr">
        <is>
          <t>M3</t>
        </is>
      </c>
      <c r="N1047" t="inlineStr"/>
      <c r="P1047" t="inlineStr">
        <is>
          <t>20190426</t>
        </is>
      </c>
      <c r="Q1047" t="inlineStr">
        <is>
          <t>20250127</t>
        </is>
      </c>
    </row>
    <row r="1048">
      <c r="A1048" t="inlineStr">
        <is>
          <t>900006542D8366658734810000160</t>
        </is>
      </c>
      <c r="B1048" t="inlineStr">
        <is>
          <t>900006542</t>
        </is>
      </c>
      <c r="C1048" t="inlineStr">
        <is>
          <t>D836</t>
        </is>
      </c>
      <c r="D1048" t="inlineStr">
        <is>
          <t>66587348</t>
        </is>
      </c>
      <c r="E1048" t="inlineStr">
        <is>
          <t>4</t>
        </is>
      </c>
      <c r="F1048" t="inlineStr">
        <is>
          <t>10000160</t>
        </is>
      </c>
      <c r="H1048" t="inlineStr"/>
      <c r="J1048" t="n">
        <v>201.72</v>
      </c>
      <c r="K1048" t="inlineStr"/>
      <c r="M1048" t="inlineStr">
        <is>
          <t>M3</t>
        </is>
      </c>
      <c r="N1048" t="inlineStr"/>
      <c r="P1048" t="inlineStr">
        <is>
          <t>20190426</t>
        </is>
      </c>
      <c r="Q1048" t="inlineStr">
        <is>
          <t>20250127</t>
        </is>
      </c>
    </row>
    <row r="1049">
      <c r="A1049" t="inlineStr">
        <is>
          <t>900006542D8366658734810000357</t>
        </is>
      </c>
      <c r="B1049" t="inlineStr">
        <is>
          <t>900006542</t>
        </is>
      </c>
      <c r="C1049" t="inlineStr">
        <is>
          <t>D836</t>
        </is>
      </c>
      <c r="D1049" t="inlineStr">
        <is>
          <t>66587348</t>
        </is>
      </c>
      <c r="E1049" t="inlineStr">
        <is>
          <t>4</t>
        </is>
      </c>
      <c r="F1049" t="inlineStr">
        <is>
          <t>10000357</t>
        </is>
      </c>
      <c r="H1049" t="inlineStr"/>
      <c r="J1049" t="n">
        <v>181.96</v>
      </c>
      <c r="K1049" t="inlineStr"/>
      <c r="M1049" t="inlineStr">
        <is>
          <t>M3</t>
        </is>
      </c>
      <c r="N1049" t="inlineStr"/>
      <c r="P1049" t="inlineStr">
        <is>
          <t>20190426</t>
        </is>
      </c>
      <c r="Q1049" t="inlineStr">
        <is>
          <t>20250127</t>
        </is>
      </c>
    </row>
    <row r="1050">
      <c r="A1050" t="inlineStr">
        <is>
          <t>900006542D8366683856110000160</t>
        </is>
      </c>
      <c r="B1050" t="inlineStr">
        <is>
          <t>900006542</t>
        </is>
      </c>
      <c r="C1050" t="inlineStr">
        <is>
          <t>D836</t>
        </is>
      </c>
      <c r="D1050" t="inlineStr">
        <is>
          <t>66838561</t>
        </is>
      </c>
      <c r="E1050" t="inlineStr">
        <is>
          <t>4</t>
        </is>
      </c>
      <c r="F1050" t="inlineStr">
        <is>
          <t>10000160</t>
        </is>
      </c>
      <c r="H1050" t="inlineStr"/>
      <c r="J1050" t="n">
        <v>95</v>
      </c>
      <c r="K1050" t="inlineStr"/>
      <c r="M1050" t="inlineStr">
        <is>
          <t>M3</t>
        </is>
      </c>
      <c r="N1050" t="inlineStr"/>
      <c r="P1050" t="inlineStr">
        <is>
          <t>20190426</t>
        </is>
      </c>
      <c r="Q1050" t="inlineStr">
        <is>
          <t>20250127</t>
        </is>
      </c>
    </row>
    <row r="1051">
      <c r="A1051" t="inlineStr">
        <is>
          <t>900006542D8366683856110000206</t>
        </is>
      </c>
      <c r="B1051" t="inlineStr">
        <is>
          <t>900006542</t>
        </is>
      </c>
      <c r="C1051" t="inlineStr">
        <is>
          <t>D836</t>
        </is>
      </c>
      <c r="D1051" t="inlineStr">
        <is>
          <t>66838561</t>
        </is>
      </c>
      <c r="E1051" t="inlineStr">
        <is>
          <t>4</t>
        </is>
      </c>
      <c r="F1051" t="inlineStr">
        <is>
          <t>10000206</t>
        </is>
      </c>
      <c r="H1051" t="inlineStr"/>
      <c r="J1051" t="n">
        <v>95</v>
      </c>
      <c r="K1051" t="inlineStr"/>
      <c r="M1051" t="inlineStr">
        <is>
          <t>M3</t>
        </is>
      </c>
      <c r="N1051" t="inlineStr"/>
      <c r="P1051" t="inlineStr">
        <is>
          <t>20190426</t>
        </is>
      </c>
      <c r="Q1051" t="inlineStr">
        <is>
          <t>20250127</t>
        </is>
      </c>
    </row>
    <row r="1052">
      <c r="A1052" t="inlineStr">
        <is>
          <t>900006542D8366683856110000357</t>
        </is>
      </c>
      <c r="B1052" t="inlineStr">
        <is>
          <t>900006542</t>
        </is>
      </c>
      <c r="C1052" t="inlineStr">
        <is>
          <t>D836</t>
        </is>
      </c>
      <c r="D1052" t="inlineStr">
        <is>
          <t>66838561</t>
        </is>
      </c>
      <c r="E1052" t="inlineStr">
        <is>
          <t>4</t>
        </is>
      </c>
      <c r="F1052" t="inlineStr">
        <is>
          <t>10000357</t>
        </is>
      </c>
      <c r="H1052" t="inlineStr"/>
      <c r="J1052" t="n">
        <v>105</v>
      </c>
      <c r="K1052" t="inlineStr"/>
      <c r="M1052" t="inlineStr">
        <is>
          <t>M3</t>
        </is>
      </c>
      <c r="N1052" t="inlineStr"/>
      <c r="P1052" t="inlineStr">
        <is>
          <t>20190426</t>
        </is>
      </c>
      <c r="Q1052" t="inlineStr">
        <is>
          <t>20250127</t>
        </is>
      </c>
    </row>
    <row r="1053">
      <c r="A1053" t="inlineStr">
        <is>
          <t>900006542D8366685103410000160</t>
        </is>
      </c>
      <c r="B1053" t="inlineStr">
        <is>
          <t>900006542</t>
        </is>
      </c>
      <c r="C1053" t="inlineStr">
        <is>
          <t>D836</t>
        </is>
      </c>
      <c r="D1053" t="inlineStr">
        <is>
          <t>66851034</t>
        </is>
      </c>
      <c r="E1053" t="inlineStr">
        <is>
          <t>4</t>
        </is>
      </c>
      <c r="F1053" t="inlineStr">
        <is>
          <t>10000160</t>
        </is>
      </c>
      <c r="H1053" t="inlineStr"/>
      <c r="J1053" t="n">
        <v>118</v>
      </c>
      <c r="K1053" t="inlineStr"/>
      <c r="M1053" t="inlineStr">
        <is>
          <t>M3</t>
        </is>
      </c>
      <c r="N1053" t="inlineStr"/>
      <c r="P1053" t="inlineStr">
        <is>
          <t>20190426</t>
        </is>
      </c>
      <c r="Q1053" t="inlineStr">
        <is>
          <t>20250127</t>
        </is>
      </c>
    </row>
    <row r="1054">
      <c r="A1054" t="inlineStr">
        <is>
          <t>900006542D8366685103410000357</t>
        </is>
      </c>
      <c r="B1054" t="inlineStr">
        <is>
          <t>900006542</t>
        </is>
      </c>
      <c r="C1054" t="inlineStr">
        <is>
          <t>D836</t>
        </is>
      </c>
      <c r="D1054" t="inlineStr">
        <is>
          <t>66851034</t>
        </is>
      </c>
      <c r="E1054" t="inlineStr">
        <is>
          <t>4</t>
        </is>
      </c>
      <c r="F1054" t="inlineStr">
        <is>
          <t>10000357</t>
        </is>
      </c>
      <c r="H1054" t="inlineStr"/>
      <c r="J1054" t="n">
        <v>118</v>
      </c>
      <c r="K1054" t="inlineStr"/>
      <c r="M1054" t="inlineStr">
        <is>
          <t>M3</t>
        </is>
      </c>
      <c r="N1054" t="inlineStr"/>
      <c r="P1054" t="inlineStr">
        <is>
          <t>20190426</t>
        </is>
      </c>
      <c r="Q1054" t="inlineStr">
        <is>
          <t>20250127</t>
        </is>
      </c>
    </row>
    <row r="1055">
      <c r="A1055" t="inlineStr">
        <is>
          <t>900006542D8366685220610000160</t>
        </is>
      </c>
      <c r="B1055" t="inlineStr">
        <is>
          <t>900006542</t>
        </is>
      </c>
      <c r="C1055" t="inlineStr">
        <is>
          <t>D836</t>
        </is>
      </c>
      <c r="D1055" t="inlineStr">
        <is>
          <t>66852206</t>
        </is>
      </c>
      <c r="E1055" t="inlineStr">
        <is>
          <t>4</t>
        </is>
      </c>
      <c r="F1055" t="inlineStr">
        <is>
          <t>10000160</t>
        </is>
      </c>
      <c r="H1055" t="inlineStr"/>
      <c r="J1055" t="n">
        <v>160</v>
      </c>
      <c r="K1055" t="inlineStr"/>
      <c r="M1055" t="inlineStr">
        <is>
          <t>M3</t>
        </is>
      </c>
      <c r="N1055" t="inlineStr"/>
      <c r="P1055" t="inlineStr">
        <is>
          <t>20190426</t>
        </is>
      </c>
      <c r="Q1055" t="inlineStr">
        <is>
          <t>20250127</t>
        </is>
      </c>
    </row>
    <row r="1056">
      <c r="A1056" t="inlineStr">
        <is>
          <t>900006542D8366685220610000357</t>
        </is>
      </c>
      <c r="B1056" t="inlineStr">
        <is>
          <t>900006542</t>
        </is>
      </c>
      <c r="C1056" t="inlineStr">
        <is>
          <t>D836</t>
        </is>
      </c>
      <c r="D1056" t="inlineStr">
        <is>
          <t>66852206</t>
        </is>
      </c>
      <c r="E1056" t="inlineStr">
        <is>
          <t>4</t>
        </is>
      </c>
      <c r="F1056" t="inlineStr">
        <is>
          <t>10000357</t>
        </is>
      </c>
      <c r="H1056" t="inlineStr"/>
      <c r="J1056" t="n">
        <v>160</v>
      </c>
      <c r="K1056" t="inlineStr"/>
      <c r="M1056" t="inlineStr">
        <is>
          <t>M3</t>
        </is>
      </c>
      <c r="N1056" t="inlineStr"/>
      <c r="P1056" t="inlineStr">
        <is>
          <t>20190426</t>
        </is>
      </c>
      <c r="Q1056" t="inlineStr">
        <is>
          <t>20250127</t>
        </is>
      </c>
    </row>
    <row r="1057">
      <c r="A1057" t="inlineStr">
        <is>
          <t>900006542D8366686450810000655</t>
        </is>
      </c>
      <c r="B1057" t="inlineStr">
        <is>
          <t>900006542</t>
        </is>
      </c>
      <c r="C1057" t="inlineStr">
        <is>
          <t>D836</t>
        </is>
      </c>
      <c r="D1057" t="inlineStr">
        <is>
          <t>66864508</t>
        </is>
      </c>
      <c r="E1057" t="inlineStr">
        <is>
          <t>1</t>
        </is>
      </c>
      <c r="F1057" t="inlineStr">
        <is>
          <t>10000655</t>
        </is>
      </c>
      <c r="H1057" t="inlineStr"/>
      <c r="J1057" t="n">
        <v>531.4299999999999</v>
      </c>
      <c r="K1057" t="inlineStr"/>
      <c r="M1057" t="inlineStr">
        <is>
          <t>TN</t>
        </is>
      </c>
      <c r="N1057" t="inlineStr"/>
      <c r="P1057" t="inlineStr">
        <is>
          <t>20230301</t>
        </is>
      </c>
      <c r="Q1057" t="inlineStr">
        <is>
          <t>20251031</t>
        </is>
      </c>
    </row>
    <row r="1058">
      <c r="A1058" t="inlineStr">
        <is>
          <t>900006542D8366687636210000160</t>
        </is>
      </c>
      <c r="B1058" t="inlineStr">
        <is>
          <t>900006542</t>
        </is>
      </c>
      <c r="C1058" t="inlineStr">
        <is>
          <t>D836</t>
        </is>
      </c>
      <c r="D1058" t="inlineStr">
        <is>
          <t>66876362</t>
        </is>
      </c>
      <c r="E1058" t="inlineStr">
        <is>
          <t>4</t>
        </is>
      </c>
      <c r="F1058" t="inlineStr">
        <is>
          <t>10000160</t>
        </is>
      </c>
      <c r="H1058" t="inlineStr"/>
      <c r="J1058" t="n">
        <v>287.93</v>
      </c>
      <c r="K1058" t="inlineStr"/>
      <c r="M1058" t="inlineStr">
        <is>
          <t>M3</t>
        </is>
      </c>
      <c r="N1058" t="inlineStr"/>
      <c r="P1058" t="inlineStr">
        <is>
          <t>20190426</t>
        </is>
      </c>
      <c r="Q1058" t="inlineStr">
        <is>
          <t>20250127</t>
        </is>
      </c>
    </row>
    <row r="1059">
      <c r="A1059" t="inlineStr">
        <is>
          <t>900006542D8366687636210000357</t>
        </is>
      </c>
      <c r="B1059" t="inlineStr">
        <is>
          <t>900006542</t>
        </is>
      </c>
      <c r="C1059" t="inlineStr">
        <is>
          <t>D836</t>
        </is>
      </c>
      <c r="D1059" t="inlineStr">
        <is>
          <t>66876362</t>
        </is>
      </c>
      <c r="E1059" t="inlineStr">
        <is>
          <t>4</t>
        </is>
      </c>
      <c r="F1059" t="inlineStr">
        <is>
          <t>10000357</t>
        </is>
      </c>
      <c r="H1059" t="inlineStr"/>
      <c r="J1059" t="n">
        <v>268.17</v>
      </c>
      <c r="K1059" t="inlineStr"/>
      <c r="M1059" t="inlineStr">
        <is>
          <t>M3</t>
        </is>
      </c>
      <c r="N1059" t="inlineStr"/>
      <c r="P1059" t="inlineStr">
        <is>
          <t>20190426</t>
        </is>
      </c>
      <c r="Q1059" t="inlineStr">
        <is>
          <t>20250127</t>
        </is>
      </c>
    </row>
    <row r="1060">
      <c r="A1060" t="inlineStr">
        <is>
          <t>900006542D8366687807110000133</t>
        </is>
      </c>
      <c r="B1060" t="inlineStr">
        <is>
          <t>900006542</t>
        </is>
      </c>
      <c r="C1060" t="inlineStr">
        <is>
          <t>D836</t>
        </is>
      </c>
      <c r="D1060" t="inlineStr">
        <is>
          <t>66878071</t>
        </is>
      </c>
      <c r="E1060" t="inlineStr">
        <is>
          <t>4</t>
        </is>
      </c>
      <c r="F1060" t="inlineStr">
        <is>
          <t>10000133</t>
        </is>
      </c>
      <c r="H1060" t="inlineStr"/>
      <c r="J1060" t="n">
        <v>150</v>
      </c>
      <c r="K1060" t="inlineStr"/>
      <c r="M1060" t="inlineStr">
        <is>
          <t>M3</t>
        </is>
      </c>
      <c r="N1060" t="inlineStr"/>
      <c r="P1060" t="inlineStr">
        <is>
          <t>20190426</t>
        </is>
      </c>
      <c r="Q1060" t="inlineStr">
        <is>
          <t>20250127</t>
        </is>
      </c>
    </row>
    <row r="1061">
      <c r="A1061" t="inlineStr">
        <is>
          <t>900006542D8366688013210000206</t>
        </is>
      </c>
      <c r="B1061" t="inlineStr">
        <is>
          <t>900006542</t>
        </is>
      </c>
      <c r="C1061" t="inlineStr">
        <is>
          <t>D836</t>
        </is>
      </c>
      <c r="D1061" t="inlineStr">
        <is>
          <t>66880132</t>
        </is>
      </c>
      <c r="E1061" t="inlineStr">
        <is>
          <t>4</t>
        </is>
      </c>
      <c r="F1061" t="inlineStr">
        <is>
          <t>10000206</t>
        </is>
      </c>
      <c r="H1061" t="inlineStr"/>
      <c r="J1061" t="n">
        <v>127.5</v>
      </c>
      <c r="K1061" t="inlineStr"/>
      <c r="M1061" t="inlineStr">
        <is>
          <t>M3</t>
        </is>
      </c>
      <c r="N1061" t="inlineStr"/>
      <c r="P1061" t="inlineStr">
        <is>
          <t>20190426</t>
        </is>
      </c>
      <c r="Q1061" t="inlineStr">
        <is>
          <t>20250127</t>
        </is>
      </c>
    </row>
    <row r="1062">
      <c r="A1062" t="inlineStr">
        <is>
          <t>900006542D8366688514410000160</t>
        </is>
      </c>
      <c r="B1062" t="inlineStr">
        <is>
          <t>900006542</t>
        </is>
      </c>
      <c r="C1062" t="inlineStr">
        <is>
          <t>D836</t>
        </is>
      </c>
      <c r="D1062" t="inlineStr">
        <is>
          <t>66885144</t>
        </is>
      </c>
      <c r="E1062" t="inlineStr">
        <is>
          <t>4</t>
        </is>
      </c>
      <c r="F1062" t="inlineStr">
        <is>
          <t>10000160</t>
        </is>
      </c>
      <c r="H1062" t="inlineStr"/>
      <c r="J1062" t="n">
        <v>150</v>
      </c>
      <c r="K1062" t="inlineStr"/>
      <c r="M1062" t="inlineStr">
        <is>
          <t>M3</t>
        </is>
      </c>
      <c r="N1062" t="inlineStr"/>
      <c r="P1062" t="inlineStr">
        <is>
          <t>20190426</t>
        </is>
      </c>
      <c r="Q1062" t="inlineStr">
        <is>
          <t>20250127</t>
        </is>
      </c>
    </row>
    <row r="1063">
      <c r="A1063" t="inlineStr">
        <is>
          <t>900006542D8366688514410000301</t>
        </is>
      </c>
      <c r="B1063" t="inlineStr">
        <is>
          <t>900006542</t>
        </is>
      </c>
      <c r="C1063" t="inlineStr">
        <is>
          <t>D836</t>
        </is>
      </c>
      <c r="D1063" t="inlineStr">
        <is>
          <t>66885144</t>
        </is>
      </c>
      <c r="E1063" t="inlineStr">
        <is>
          <t>4</t>
        </is>
      </c>
      <c r="F1063" t="inlineStr">
        <is>
          <t>10000301</t>
        </is>
      </c>
      <c r="H1063" t="inlineStr"/>
      <c r="J1063" t="n">
        <v>230</v>
      </c>
      <c r="K1063" t="inlineStr"/>
      <c r="M1063" t="inlineStr">
        <is>
          <t>M3</t>
        </is>
      </c>
      <c r="N1063" t="inlineStr"/>
      <c r="P1063" t="inlineStr">
        <is>
          <t>20190426</t>
        </is>
      </c>
      <c r="Q1063" t="inlineStr">
        <is>
          <t>20250127</t>
        </is>
      </c>
    </row>
    <row r="1064">
      <c r="A1064" t="inlineStr">
        <is>
          <t>900006542D8366688514410000357</t>
        </is>
      </c>
      <c r="B1064" t="inlineStr">
        <is>
          <t>900006542</t>
        </is>
      </c>
      <c r="C1064" t="inlineStr">
        <is>
          <t>D836</t>
        </is>
      </c>
      <c r="D1064" t="inlineStr">
        <is>
          <t>66885144</t>
        </is>
      </c>
      <c r="E1064" t="inlineStr">
        <is>
          <t>4</t>
        </is>
      </c>
      <c r="F1064" t="inlineStr">
        <is>
          <t>10000357</t>
        </is>
      </c>
      <c r="H1064" t="inlineStr"/>
      <c r="J1064" t="n">
        <v>150</v>
      </c>
      <c r="K1064" t="inlineStr"/>
      <c r="M1064" t="inlineStr">
        <is>
          <t>M3</t>
        </is>
      </c>
      <c r="N1064" t="inlineStr"/>
      <c r="P1064" t="inlineStr">
        <is>
          <t>20190426</t>
        </is>
      </c>
      <c r="Q1064" t="inlineStr">
        <is>
          <t>20250127</t>
        </is>
      </c>
    </row>
    <row r="1065">
      <c r="A1065" t="inlineStr">
        <is>
          <t>900006542D8366688514410000441</t>
        </is>
      </c>
      <c r="B1065" t="inlineStr">
        <is>
          <t>900006542</t>
        </is>
      </c>
      <c r="C1065" t="inlineStr">
        <is>
          <t>D836</t>
        </is>
      </c>
      <c r="D1065" t="inlineStr">
        <is>
          <t>66885144</t>
        </is>
      </c>
      <c r="E1065" t="inlineStr">
        <is>
          <t>4</t>
        </is>
      </c>
      <c r="F1065" t="inlineStr">
        <is>
          <t>10000441</t>
        </is>
      </c>
      <c r="H1065" t="inlineStr"/>
      <c r="J1065" t="n">
        <v>180</v>
      </c>
      <c r="K1065" t="inlineStr"/>
      <c r="M1065" t="inlineStr">
        <is>
          <t>M3</t>
        </is>
      </c>
      <c r="N1065" t="inlineStr"/>
      <c r="P1065" t="inlineStr">
        <is>
          <t>20190426</t>
        </is>
      </c>
      <c r="Q1065" t="inlineStr">
        <is>
          <t>20250127</t>
        </is>
      </c>
    </row>
    <row r="1066">
      <c r="A1066" t="inlineStr">
        <is>
          <t>900006542D8366688514410000651</t>
        </is>
      </c>
      <c r="B1066" t="inlineStr">
        <is>
          <t>900006542</t>
        </is>
      </c>
      <c r="C1066" t="inlineStr">
        <is>
          <t>D836</t>
        </is>
      </c>
      <c r="D1066" t="inlineStr">
        <is>
          <t>66885144</t>
        </is>
      </c>
      <c r="E1066" t="inlineStr">
        <is>
          <t>4</t>
        </is>
      </c>
      <c r="F1066" t="inlineStr">
        <is>
          <t>10000651</t>
        </is>
      </c>
      <c r="H1066" t="inlineStr"/>
      <c r="J1066" t="n">
        <v>150</v>
      </c>
      <c r="K1066" t="inlineStr"/>
      <c r="M1066" t="inlineStr">
        <is>
          <t>M3</t>
        </is>
      </c>
      <c r="N1066" t="inlineStr"/>
      <c r="P1066" t="inlineStr">
        <is>
          <t>20190426</t>
        </is>
      </c>
      <c r="Q1066" t="inlineStr">
        <is>
          <t>20250127</t>
        </is>
      </c>
    </row>
    <row r="1067">
      <c r="A1067" t="inlineStr">
        <is>
          <t>900006542D8366688514410175723</t>
        </is>
      </c>
      <c r="B1067" t="inlineStr">
        <is>
          <t>900006542</t>
        </is>
      </c>
      <c r="C1067" t="inlineStr">
        <is>
          <t>D836</t>
        </is>
      </c>
      <c r="D1067" t="inlineStr">
        <is>
          <t>66885144</t>
        </is>
      </c>
      <c r="E1067" t="inlineStr">
        <is>
          <t>4</t>
        </is>
      </c>
      <c r="F1067" t="inlineStr">
        <is>
          <t>10175723</t>
        </is>
      </c>
      <c r="H1067" t="inlineStr"/>
      <c r="J1067" t="n">
        <v>190</v>
      </c>
      <c r="K1067" t="inlineStr"/>
      <c r="M1067" t="inlineStr">
        <is>
          <t>M3</t>
        </is>
      </c>
      <c r="N1067" t="inlineStr"/>
      <c r="P1067" t="inlineStr">
        <is>
          <t>20190426</t>
        </is>
      </c>
      <c r="Q1067" t="inlineStr">
        <is>
          <t>20250127</t>
        </is>
      </c>
    </row>
    <row r="1068">
      <c r="A1068" t="inlineStr">
        <is>
          <t>900006542D8366688514410183535</t>
        </is>
      </c>
      <c r="B1068" t="inlineStr">
        <is>
          <t>900006542</t>
        </is>
      </c>
      <c r="C1068" t="inlineStr">
        <is>
          <t>D836</t>
        </is>
      </c>
      <c r="D1068" t="inlineStr">
        <is>
          <t>66885144</t>
        </is>
      </c>
      <c r="E1068" t="inlineStr">
        <is>
          <t>4</t>
        </is>
      </c>
      <c r="F1068" t="inlineStr">
        <is>
          <t>10183535</t>
        </is>
      </c>
      <c r="H1068" t="inlineStr"/>
      <c r="J1068" t="n">
        <v>230</v>
      </c>
      <c r="K1068" t="inlineStr"/>
      <c r="M1068" t="inlineStr">
        <is>
          <t>M3</t>
        </is>
      </c>
      <c r="N1068" t="inlineStr"/>
      <c r="P1068" t="inlineStr">
        <is>
          <t>20190426</t>
        </is>
      </c>
      <c r="Q1068" t="inlineStr">
        <is>
          <t>20250127</t>
        </is>
      </c>
    </row>
    <row r="1069">
      <c r="A1069" t="inlineStr">
        <is>
          <t>900006542D8366688514410187953</t>
        </is>
      </c>
      <c r="B1069" t="inlineStr">
        <is>
          <t>900006542</t>
        </is>
      </c>
      <c r="C1069" t="inlineStr">
        <is>
          <t>D836</t>
        </is>
      </c>
      <c r="D1069" t="inlineStr">
        <is>
          <t>66885144</t>
        </is>
      </c>
      <c r="E1069" t="inlineStr">
        <is>
          <t>4</t>
        </is>
      </c>
      <c r="F1069" t="inlineStr">
        <is>
          <t>10187953</t>
        </is>
      </c>
      <c r="H1069" t="inlineStr"/>
      <c r="J1069" t="n">
        <v>230</v>
      </c>
      <c r="K1069" t="inlineStr"/>
      <c r="M1069" t="inlineStr">
        <is>
          <t>M3</t>
        </is>
      </c>
      <c r="N1069" t="inlineStr"/>
      <c r="P1069" t="inlineStr">
        <is>
          <t>20190426</t>
        </is>
      </c>
      <c r="Q1069" t="inlineStr">
        <is>
          <t>20250127</t>
        </is>
      </c>
    </row>
    <row r="1070">
      <c r="A1070" t="inlineStr">
        <is>
          <t>900006542D8366688696910000160</t>
        </is>
      </c>
      <c r="B1070" t="inlineStr">
        <is>
          <t>900006542</t>
        </is>
      </c>
      <c r="C1070" t="inlineStr">
        <is>
          <t>D836</t>
        </is>
      </c>
      <c r="D1070" t="inlineStr">
        <is>
          <t>66886969</t>
        </is>
      </c>
      <c r="E1070" t="inlineStr">
        <is>
          <t>4</t>
        </is>
      </c>
      <c r="F1070" t="inlineStr">
        <is>
          <t>10000160</t>
        </is>
      </c>
      <c r="H1070" t="inlineStr"/>
      <c r="J1070" t="n">
        <v>190</v>
      </c>
      <c r="K1070" t="inlineStr"/>
      <c r="M1070" t="inlineStr">
        <is>
          <t>M3</t>
        </is>
      </c>
      <c r="N1070" t="inlineStr"/>
      <c r="P1070" t="inlineStr">
        <is>
          <t>20190426</t>
        </is>
      </c>
      <c r="Q1070" t="inlineStr">
        <is>
          <t>20250127</t>
        </is>
      </c>
    </row>
    <row r="1071">
      <c r="A1071" t="inlineStr">
        <is>
          <t>900006542D8366688696910000357</t>
        </is>
      </c>
      <c r="B1071" t="inlineStr">
        <is>
          <t>900006542</t>
        </is>
      </c>
      <c r="C1071" t="inlineStr">
        <is>
          <t>D836</t>
        </is>
      </c>
      <c r="D1071" t="inlineStr">
        <is>
          <t>66886969</t>
        </is>
      </c>
      <c r="E1071" t="inlineStr">
        <is>
          <t>4</t>
        </is>
      </c>
      <c r="F1071" t="inlineStr">
        <is>
          <t>10000357</t>
        </is>
      </c>
      <c r="H1071" t="inlineStr"/>
      <c r="J1071" t="n">
        <v>190</v>
      </c>
      <c r="K1071" t="inlineStr"/>
      <c r="M1071" t="inlineStr">
        <is>
          <t>M3</t>
        </is>
      </c>
      <c r="N1071" t="inlineStr"/>
      <c r="P1071" t="inlineStr">
        <is>
          <t>20190426</t>
        </is>
      </c>
      <c r="Q1071" t="inlineStr">
        <is>
          <t>20250127</t>
        </is>
      </c>
    </row>
    <row r="1072">
      <c r="A1072" t="inlineStr">
        <is>
          <t>900006542D8366688696910000649</t>
        </is>
      </c>
      <c r="B1072" t="inlineStr">
        <is>
          <t>900006542</t>
        </is>
      </c>
      <c r="C1072" t="inlineStr">
        <is>
          <t>D836</t>
        </is>
      </c>
      <c r="D1072" t="inlineStr">
        <is>
          <t>66886969</t>
        </is>
      </c>
      <c r="E1072" t="inlineStr">
        <is>
          <t>4</t>
        </is>
      </c>
      <c r="F1072" t="inlineStr">
        <is>
          <t>10000649</t>
        </is>
      </c>
      <c r="H1072" t="inlineStr"/>
      <c r="J1072" t="n">
        <v>190</v>
      </c>
      <c r="K1072" t="inlineStr"/>
      <c r="M1072" t="inlineStr">
        <is>
          <t>M3</t>
        </is>
      </c>
      <c r="N1072" t="inlineStr"/>
      <c r="P1072" t="inlineStr">
        <is>
          <t>20190426</t>
        </is>
      </c>
      <c r="Q1072" t="inlineStr">
        <is>
          <t>20250127</t>
        </is>
      </c>
    </row>
    <row r="1073">
      <c r="A1073" t="inlineStr">
        <is>
          <t>900006542D8366689746010000651</t>
        </is>
      </c>
      <c r="B1073" t="inlineStr">
        <is>
          <t>900006542</t>
        </is>
      </c>
      <c r="C1073" t="inlineStr">
        <is>
          <t>D836</t>
        </is>
      </c>
      <c r="D1073" t="inlineStr">
        <is>
          <t>66897460</t>
        </is>
      </c>
      <c r="E1073" t="inlineStr">
        <is>
          <t>4</t>
        </is>
      </c>
      <c r="F1073" t="inlineStr">
        <is>
          <t>10000651</t>
        </is>
      </c>
      <c r="H1073" t="inlineStr"/>
      <c r="J1073" t="n">
        <v>145</v>
      </c>
      <c r="K1073" t="inlineStr"/>
      <c r="M1073" t="inlineStr">
        <is>
          <t>M3</t>
        </is>
      </c>
      <c r="N1073" t="inlineStr"/>
      <c r="P1073" t="inlineStr">
        <is>
          <t>20190426</t>
        </is>
      </c>
      <c r="Q1073" t="inlineStr">
        <is>
          <t>20250127</t>
        </is>
      </c>
    </row>
    <row r="1074">
      <c r="A1074" t="inlineStr">
        <is>
          <t>900006542D8366689746010154416</t>
        </is>
      </c>
      <c r="B1074" t="inlineStr">
        <is>
          <t>900006542</t>
        </is>
      </c>
      <c r="C1074" t="inlineStr">
        <is>
          <t>D836</t>
        </is>
      </c>
      <c r="D1074" t="inlineStr">
        <is>
          <t>66897460</t>
        </is>
      </c>
      <c r="E1074" t="inlineStr">
        <is>
          <t>4</t>
        </is>
      </c>
      <c r="F1074" t="inlineStr">
        <is>
          <t>10154416</t>
        </is>
      </c>
      <c r="H1074" t="inlineStr"/>
      <c r="J1074" t="n">
        <v>145</v>
      </c>
      <c r="K1074" t="inlineStr"/>
      <c r="M1074" t="inlineStr">
        <is>
          <t>M3</t>
        </is>
      </c>
      <c r="N1074" t="inlineStr"/>
      <c r="P1074" t="inlineStr">
        <is>
          <t>20190426</t>
        </is>
      </c>
      <c r="Q1074" t="inlineStr">
        <is>
          <t>20250127</t>
        </is>
      </c>
    </row>
    <row r="1075">
      <c r="A1075" t="inlineStr">
        <is>
          <t>900006542D8366689746010183535</t>
        </is>
      </c>
      <c r="B1075" t="inlineStr">
        <is>
          <t>900006542</t>
        </is>
      </c>
      <c r="C1075" t="inlineStr">
        <is>
          <t>D836</t>
        </is>
      </c>
      <c r="D1075" t="inlineStr">
        <is>
          <t>66897460</t>
        </is>
      </c>
      <c r="E1075" t="inlineStr">
        <is>
          <t>4</t>
        </is>
      </c>
      <c r="F1075" t="inlineStr">
        <is>
          <t>10183535</t>
        </is>
      </c>
      <c r="H1075" t="inlineStr"/>
      <c r="J1075" t="n">
        <v>145</v>
      </c>
      <c r="K1075" t="inlineStr"/>
      <c r="M1075" t="inlineStr">
        <is>
          <t>M3</t>
        </is>
      </c>
      <c r="N1075" t="inlineStr"/>
      <c r="P1075" t="inlineStr">
        <is>
          <t>20190426</t>
        </is>
      </c>
      <c r="Q1075" t="inlineStr">
        <is>
          <t>20250127</t>
        </is>
      </c>
    </row>
    <row r="1076">
      <c r="A1076" t="inlineStr">
        <is>
          <t>900006542D8366689786710000160</t>
        </is>
      </c>
      <c r="B1076" t="inlineStr">
        <is>
          <t>900006542</t>
        </is>
      </c>
      <c r="C1076" t="inlineStr">
        <is>
          <t>D836</t>
        </is>
      </c>
      <c r="D1076" t="inlineStr">
        <is>
          <t>66897867</t>
        </is>
      </c>
      <c r="E1076" t="inlineStr">
        <is>
          <t>4</t>
        </is>
      </c>
      <c r="F1076" t="inlineStr">
        <is>
          <t>10000160</t>
        </is>
      </c>
      <c r="H1076" t="inlineStr"/>
      <c r="J1076" t="n">
        <v>205</v>
      </c>
      <c r="K1076" t="inlineStr"/>
      <c r="M1076" t="inlineStr">
        <is>
          <t>M3</t>
        </is>
      </c>
      <c r="N1076" t="inlineStr"/>
      <c r="P1076" t="inlineStr">
        <is>
          <t>20190426</t>
        </is>
      </c>
      <c r="Q1076" t="inlineStr">
        <is>
          <t>20250127</t>
        </is>
      </c>
    </row>
    <row r="1077">
      <c r="A1077" t="inlineStr">
        <is>
          <t>900006542D8366689786710000357</t>
        </is>
      </c>
      <c r="B1077" t="inlineStr">
        <is>
          <t>900006542</t>
        </is>
      </c>
      <c r="C1077" t="inlineStr">
        <is>
          <t>D836</t>
        </is>
      </c>
      <c r="D1077" t="inlineStr">
        <is>
          <t>66897867</t>
        </is>
      </c>
      <c r="E1077" t="inlineStr">
        <is>
          <t>4</t>
        </is>
      </c>
      <c r="F1077" t="inlineStr">
        <is>
          <t>10000357</t>
        </is>
      </c>
      <c r="H1077" t="inlineStr"/>
      <c r="J1077" t="n">
        <v>205</v>
      </c>
      <c r="K1077" t="inlineStr"/>
      <c r="M1077" t="inlineStr">
        <is>
          <t>M3</t>
        </is>
      </c>
      <c r="N1077" t="inlineStr"/>
      <c r="P1077" t="inlineStr">
        <is>
          <t>20190426</t>
        </is>
      </c>
      <c r="Q1077" t="inlineStr">
        <is>
          <t>20250127</t>
        </is>
      </c>
    </row>
    <row r="1078">
      <c r="A1078" t="inlineStr">
        <is>
          <t>900006542D8366689874510000160</t>
        </is>
      </c>
      <c r="B1078" t="inlineStr">
        <is>
          <t>900006542</t>
        </is>
      </c>
      <c r="C1078" t="inlineStr">
        <is>
          <t>D836</t>
        </is>
      </c>
      <c r="D1078" t="inlineStr">
        <is>
          <t>66898745</t>
        </is>
      </c>
      <c r="E1078" t="inlineStr">
        <is>
          <t>1</t>
        </is>
      </c>
      <c r="F1078" t="inlineStr">
        <is>
          <t>10000160</t>
        </is>
      </c>
      <c r="H1078" t="inlineStr"/>
      <c r="J1078" t="n">
        <v>200</v>
      </c>
      <c r="K1078" t="inlineStr"/>
      <c r="M1078" t="inlineStr">
        <is>
          <t>M3</t>
        </is>
      </c>
      <c r="N1078" t="inlineStr"/>
      <c r="P1078" t="inlineStr">
        <is>
          <t>20201125</t>
        </is>
      </c>
      <c r="Q1078" t="inlineStr">
        <is>
          <t>20251030</t>
        </is>
      </c>
    </row>
    <row r="1079">
      <c r="A1079" t="inlineStr">
        <is>
          <t>900006542D8366689874510000160</t>
        </is>
      </c>
      <c r="B1079" t="inlineStr">
        <is>
          <t>900006542</t>
        </is>
      </c>
      <c r="C1079" t="inlineStr">
        <is>
          <t>D836</t>
        </is>
      </c>
      <c r="D1079" t="inlineStr">
        <is>
          <t>66898745</t>
        </is>
      </c>
      <c r="E1079" t="inlineStr">
        <is>
          <t>4</t>
        </is>
      </c>
      <c r="F1079" t="inlineStr">
        <is>
          <t>10000160</t>
        </is>
      </c>
      <c r="H1079" t="inlineStr"/>
      <c r="J1079" t="n">
        <v>200</v>
      </c>
      <c r="K1079" t="inlineStr"/>
      <c r="M1079" t="inlineStr">
        <is>
          <t>M3</t>
        </is>
      </c>
      <c r="N1079" t="inlineStr"/>
      <c r="P1079" t="inlineStr">
        <is>
          <t>20190426</t>
        </is>
      </c>
      <c r="Q1079" t="inlineStr">
        <is>
          <t>20250127</t>
        </is>
      </c>
    </row>
    <row r="1080">
      <c r="A1080" t="inlineStr">
        <is>
          <t>900006542D8366689874510000357</t>
        </is>
      </c>
      <c r="B1080" t="inlineStr">
        <is>
          <t>900006542</t>
        </is>
      </c>
      <c r="C1080" t="inlineStr">
        <is>
          <t>D836</t>
        </is>
      </c>
      <c r="D1080" t="inlineStr">
        <is>
          <t>66898745</t>
        </is>
      </c>
      <c r="E1080" t="inlineStr">
        <is>
          <t>1</t>
        </is>
      </c>
      <c r="F1080" t="inlineStr">
        <is>
          <t>10000357</t>
        </is>
      </c>
      <c r="H1080" t="inlineStr"/>
      <c r="J1080" t="n">
        <v>200</v>
      </c>
      <c r="K1080" t="inlineStr"/>
      <c r="M1080" t="inlineStr">
        <is>
          <t>M3</t>
        </is>
      </c>
      <c r="N1080" t="inlineStr"/>
      <c r="P1080" t="inlineStr">
        <is>
          <t>20201125</t>
        </is>
      </c>
      <c r="Q1080" t="inlineStr">
        <is>
          <t>20251030</t>
        </is>
      </c>
    </row>
    <row r="1081">
      <c r="A1081" t="inlineStr">
        <is>
          <t>900006542D8366689874510000357</t>
        </is>
      </c>
      <c r="B1081" t="inlineStr">
        <is>
          <t>900006542</t>
        </is>
      </c>
      <c r="C1081" t="inlineStr">
        <is>
          <t>D836</t>
        </is>
      </c>
      <c r="D1081" t="inlineStr">
        <is>
          <t>66898745</t>
        </is>
      </c>
      <c r="E1081" t="inlineStr">
        <is>
          <t>4</t>
        </is>
      </c>
      <c r="F1081" t="inlineStr">
        <is>
          <t>10000357</t>
        </is>
      </c>
      <c r="H1081" t="inlineStr"/>
      <c r="J1081" t="n">
        <v>200</v>
      </c>
      <c r="K1081" t="inlineStr"/>
      <c r="M1081" t="inlineStr">
        <is>
          <t>M3</t>
        </is>
      </c>
      <c r="N1081" t="inlineStr"/>
      <c r="P1081" t="inlineStr">
        <is>
          <t>20190426</t>
        </is>
      </c>
      <c r="Q1081" t="inlineStr">
        <is>
          <t>20250127</t>
        </is>
      </c>
    </row>
    <row r="1082">
      <c r="A1082" t="inlineStr">
        <is>
          <t>900006542D8366691209010000160</t>
        </is>
      </c>
      <c r="B1082" t="inlineStr">
        <is>
          <t>900006542</t>
        </is>
      </c>
      <c r="C1082" t="inlineStr">
        <is>
          <t>D836</t>
        </is>
      </c>
      <c r="D1082" t="inlineStr">
        <is>
          <t>66912090</t>
        </is>
      </c>
      <c r="E1082" t="inlineStr">
        <is>
          <t>4</t>
        </is>
      </c>
      <c r="F1082" t="inlineStr">
        <is>
          <t>10000160</t>
        </is>
      </c>
      <c r="H1082" t="inlineStr"/>
      <c r="J1082" t="n">
        <v>95</v>
      </c>
      <c r="K1082" t="inlineStr"/>
      <c r="M1082" t="inlineStr">
        <is>
          <t>M3</t>
        </is>
      </c>
      <c r="N1082" t="inlineStr"/>
      <c r="P1082" t="inlineStr">
        <is>
          <t>20190426</t>
        </is>
      </c>
      <c r="Q1082" t="inlineStr">
        <is>
          <t>20250127</t>
        </is>
      </c>
    </row>
    <row r="1083">
      <c r="A1083" t="inlineStr">
        <is>
          <t>900006542D8366691209010000206</t>
        </is>
      </c>
      <c r="B1083" t="inlineStr">
        <is>
          <t>900006542</t>
        </is>
      </c>
      <c r="C1083" t="inlineStr">
        <is>
          <t>D836</t>
        </is>
      </c>
      <c r="D1083" t="inlineStr">
        <is>
          <t>66912090</t>
        </is>
      </c>
      <c r="E1083" t="inlineStr">
        <is>
          <t>4</t>
        </is>
      </c>
      <c r="F1083" t="inlineStr">
        <is>
          <t>10000206</t>
        </is>
      </c>
      <c r="H1083" t="inlineStr"/>
      <c r="J1083" t="n">
        <v>95</v>
      </c>
      <c r="K1083" t="inlineStr"/>
      <c r="M1083" t="inlineStr">
        <is>
          <t>M3</t>
        </is>
      </c>
      <c r="N1083" t="inlineStr"/>
      <c r="P1083" t="inlineStr">
        <is>
          <t>20190426</t>
        </is>
      </c>
      <c r="Q1083" t="inlineStr">
        <is>
          <t>20250127</t>
        </is>
      </c>
    </row>
    <row r="1084">
      <c r="A1084" t="inlineStr">
        <is>
          <t>900006542D8366691209010000357</t>
        </is>
      </c>
      <c r="B1084" t="inlineStr">
        <is>
          <t>900006542</t>
        </is>
      </c>
      <c r="C1084" t="inlineStr">
        <is>
          <t>D836</t>
        </is>
      </c>
      <c r="D1084" t="inlineStr">
        <is>
          <t>66912090</t>
        </is>
      </c>
      <c r="E1084" t="inlineStr">
        <is>
          <t>4</t>
        </is>
      </c>
      <c r="F1084" t="inlineStr">
        <is>
          <t>10000357</t>
        </is>
      </c>
      <c r="H1084" t="inlineStr"/>
      <c r="J1084" t="n">
        <v>105</v>
      </c>
      <c r="K1084" t="inlineStr"/>
      <c r="M1084" t="inlineStr">
        <is>
          <t>M3</t>
        </is>
      </c>
      <c r="N1084" t="inlineStr"/>
      <c r="P1084" t="inlineStr">
        <is>
          <t>20190426</t>
        </is>
      </c>
      <c r="Q1084" t="inlineStr">
        <is>
          <t>20250127</t>
        </is>
      </c>
    </row>
    <row r="1085">
      <c r="A1085" t="inlineStr">
        <is>
          <t>900006542D8366698270410000630</t>
        </is>
      </c>
      <c r="B1085" t="inlineStr">
        <is>
          <t>900006542</t>
        </is>
      </c>
      <c r="C1085" t="inlineStr">
        <is>
          <t>D836</t>
        </is>
      </c>
      <c r="D1085" t="inlineStr">
        <is>
          <t>66982704</t>
        </is>
      </c>
      <c r="E1085" t="inlineStr">
        <is>
          <t>4</t>
        </is>
      </c>
      <c r="F1085" t="inlineStr">
        <is>
          <t>10000630</t>
        </is>
      </c>
      <c r="H1085" t="inlineStr"/>
      <c r="J1085" t="n">
        <v>507.5</v>
      </c>
      <c r="K1085" t="inlineStr"/>
      <c r="M1085" t="inlineStr">
        <is>
          <t>M3</t>
        </is>
      </c>
      <c r="N1085" t="inlineStr"/>
      <c r="P1085" t="inlineStr">
        <is>
          <t>20190426</t>
        </is>
      </c>
      <c r="Q1085" t="inlineStr">
        <is>
          <t>20250127</t>
        </is>
      </c>
    </row>
    <row r="1086">
      <c r="A1086" t="inlineStr">
        <is>
          <t>900006542D8366701250510178773</t>
        </is>
      </c>
      <c r="B1086" t="inlineStr">
        <is>
          <t>900006542</t>
        </is>
      </c>
      <c r="C1086" t="inlineStr">
        <is>
          <t>D836</t>
        </is>
      </c>
      <c r="D1086" t="inlineStr">
        <is>
          <t>67012505</t>
        </is>
      </c>
      <c r="E1086" t="inlineStr">
        <is>
          <t>4</t>
        </is>
      </c>
      <c r="F1086" t="inlineStr">
        <is>
          <t>10178773</t>
        </is>
      </c>
      <c r="H1086" t="inlineStr"/>
      <c r="J1086" t="n">
        <v>403</v>
      </c>
      <c r="K1086" t="inlineStr"/>
      <c r="M1086" t="inlineStr">
        <is>
          <t>M3</t>
        </is>
      </c>
      <c r="N1086" t="inlineStr"/>
      <c r="P1086" t="inlineStr">
        <is>
          <t>20190426</t>
        </is>
      </c>
      <c r="Q1086" t="inlineStr">
        <is>
          <t>20250127</t>
        </is>
      </c>
    </row>
    <row r="1087">
      <c r="A1087" t="inlineStr">
        <is>
          <t>900006542D8366701882110000206</t>
        </is>
      </c>
      <c r="B1087" t="inlineStr">
        <is>
          <t>900006542</t>
        </is>
      </c>
      <c r="C1087" t="inlineStr">
        <is>
          <t>D836</t>
        </is>
      </c>
      <c r="D1087" t="inlineStr">
        <is>
          <t>67018821</t>
        </is>
      </c>
      <c r="E1087" t="inlineStr">
        <is>
          <t>4</t>
        </is>
      </c>
      <c r="F1087" t="inlineStr">
        <is>
          <t>10000206</t>
        </is>
      </c>
      <c r="H1087" t="inlineStr"/>
      <c r="J1087" t="n">
        <v>137.5</v>
      </c>
      <c r="K1087" t="inlineStr"/>
      <c r="M1087" t="inlineStr">
        <is>
          <t>TN</t>
        </is>
      </c>
      <c r="N1087" t="inlineStr"/>
      <c r="P1087" t="inlineStr">
        <is>
          <t>20190426</t>
        </is>
      </c>
      <c r="Q1087" t="inlineStr">
        <is>
          <t>20250127</t>
        </is>
      </c>
    </row>
    <row r="1088">
      <c r="A1088" t="inlineStr">
        <is>
          <t>900006542D8366701882110000357</t>
        </is>
      </c>
      <c r="B1088" t="inlineStr">
        <is>
          <t>900006542</t>
        </is>
      </c>
      <c r="C1088" t="inlineStr">
        <is>
          <t>D836</t>
        </is>
      </c>
      <c r="D1088" t="inlineStr">
        <is>
          <t>67018821</t>
        </is>
      </c>
      <c r="E1088" t="inlineStr">
        <is>
          <t>4</t>
        </is>
      </c>
      <c r="F1088" t="inlineStr">
        <is>
          <t>10000357</t>
        </is>
      </c>
      <c r="H1088" t="inlineStr"/>
      <c r="J1088" t="n">
        <v>137.5</v>
      </c>
      <c r="K1088" t="inlineStr"/>
      <c r="M1088" t="inlineStr">
        <is>
          <t>TN</t>
        </is>
      </c>
      <c r="N1088" t="inlineStr"/>
      <c r="P1088" t="inlineStr">
        <is>
          <t>20190426</t>
        </is>
      </c>
      <c r="Q1088" t="inlineStr">
        <is>
          <t>20250127</t>
        </is>
      </c>
    </row>
    <row r="1089">
      <c r="A1089" t="inlineStr">
        <is>
          <t>900006542D8366701882110000651</t>
        </is>
      </c>
      <c r="B1089" t="inlineStr">
        <is>
          <t>900006542</t>
        </is>
      </c>
      <c r="C1089" t="inlineStr">
        <is>
          <t>D836</t>
        </is>
      </c>
      <c r="D1089" t="inlineStr">
        <is>
          <t>67018821</t>
        </is>
      </c>
      <c r="E1089" t="inlineStr">
        <is>
          <t>4</t>
        </is>
      </c>
      <c r="F1089" t="inlineStr">
        <is>
          <t>10000651</t>
        </is>
      </c>
      <c r="H1089" t="inlineStr"/>
      <c r="J1089" t="n">
        <v>137.5</v>
      </c>
      <c r="K1089" t="inlineStr"/>
      <c r="M1089" t="inlineStr">
        <is>
          <t>TN</t>
        </is>
      </c>
      <c r="N1089" t="inlineStr"/>
      <c r="P1089" t="inlineStr">
        <is>
          <t>20190426</t>
        </is>
      </c>
      <c r="Q1089" t="inlineStr">
        <is>
          <t>20250127</t>
        </is>
      </c>
    </row>
    <row r="1090">
      <c r="A1090" t="inlineStr">
        <is>
          <t>900006542D8366707906010000133</t>
        </is>
      </c>
      <c r="B1090" t="inlineStr">
        <is>
          <t>900006542</t>
        </is>
      </c>
      <c r="C1090" t="inlineStr">
        <is>
          <t>D836</t>
        </is>
      </c>
      <c r="D1090" t="inlineStr">
        <is>
          <t>67079060</t>
        </is>
      </c>
      <c r="E1090" t="inlineStr">
        <is>
          <t>4</t>
        </is>
      </c>
      <c r="F1090" t="inlineStr">
        <is>
          <t>10000133</t>
        </is>
      </c>
      <c r="H1090" t="inlineStr"/>
      <c r="J1090" t="n">
        <v>67.09999999999999</v>
      </c>
      <c r="K1090" t="inlineStr"/>
      <c r="M1090" t="inlineStr">
        <is>
          <t>M3</t>
        </is>
      </c>
      <c r="N1090" t="inlineStr"/>
      <c r="P1090" t="inlineStr">
        <is>
          <t>20190426</t>
        </is>
      </c>
      <c r="Q1090" t="inlineStr">
        <is>
          <t>20250127</t>
        </is>
      </c>
    </row>
    <row r="1091">
      <c r="A1091" t="inlineStr">
        <is>
          <t>900006542D8366710471810000623</t>
        </is>
      </c>
      <c r="B1091" t="inlineStr">
        <is>
          <t>900006542</t>
        </is>
      </c>
      <c r="C1091" t="inlineStr">
        <is>
          <t>D836</t>
        </is>
      </c>
      <c r="D1091" t="inlineStr">
        <is>
          <t>67104718</t>
        </is>
      </c>
      <c r="E1091" t="inlineStr">
        <is>
          <t>4</t>
        </is>
      </c>
      <c r="F1091" t="inlineStr">
        <is>
          <t>10000623</t>
        </is>
      </c>
      <c r="H1091" t="inlineStr"/>
      <c r="J1091" t="n">
        <v>444.68</v>
      </c>
      <c r="K1091" t="inlineStr"/>
      <c r="M1091" t="inlineStr">
        <is>
          <t>TN</t>
        </is>
      </c>
      <c r="N1091" t="inlineStr"/>
      <c r="P1091" t="inlineStr">
        <is>
          <t>20190426</t>
        </is>
      </c>
      <c r="Q1091" t="inlineStr">
        <is>
          <t>20250127</t>
        </is>
      </c>
    </row>
    <row r="1092">
      <c r="A1092" t="inlineStr">
        <is>
          <t>900006542D8366712121310000160</t>
        </is>
      </c>
      <c r="B1092" t="inlineStr">
        <is>
          <t>900006542</t>
        </is>
      </c>
      <c r="C1092" t="inlineStr">
        <is>
          <t>D836</t>
        </is>
      </c>
      <c r="D1092" t="inlineStr">
        <is>
          <t>67121213</t>
        </is>
      </c>
      <c r="E1092" t="inlineStr">
        <is>
          <t>4</t>
        </is>
      </c>
      <c r="F1092" t="inlineStr">
        <is>
          <t>10000160</t>
        </is>
      </c>
      <c r="H1092" t="inlineStr"/>
      <c r="J1092" t="n">
        <v>300</v>
      </c>
      <c r="K1092" t="inlineStr"/>
      <c r="M1092" t="inlineStr">
        <is>
          <t>M3</t>
        </is>
      </c>
      <c r="N1092" t="inlineStr"/>
      <c r="P1092" t="inlineStr">
        <is>
          <t>20190426</t>
        </is>
      </c>
      <c r="Q1092" t="inlineStr">
        <is>
          <t>20250127</t>
        </is>
      </c>
    </row>
    <row r="1093">
      <c r="A1093" t="inlineStr">
        <is>
          <t>900006542D8366712121310000649</t>
        </is>
      </c>
      <c r="B1093" t="inlineStr">
        <is>
          <t>900006542</t>
        </is>
      </c>
      <c r="C1093" t="inlineStr">
        <is>
          <t>D836</t>
        </is>
      </c>
      <c r="D1093" t="inlineStr">
        <is>
          <t>67121213</t>
        </is>
      </c>
      <c r="E1093" t="inlineStr">
        <is>
          <t>4</t>
        </is>
      </c>
      <c r="F1093" t="inlineStr">
        <is>
          <t>10000649</t>
        </is>
      </c>
      <c r="H1093" t="inlineStr"/>
      <c r="J1093" t="n">
        <v>300</v>
      </c>
      <c r="K1093" t="inlineStr"/>
      <c r="M1093" t="inlineStr">
        <is>
          <t>M3</t>
        </is>
      </c>
      <c r="N1093" t="inlineStr"/>
      <c r="P1093" t="inlineStr">
        <is>
          <t>20190426</t>
        </is>
      </c>
      <c r="Q1093" t="inlineStr">
        <is>
          <t>20250127</t>
        </is>
      </c>
    </row>
    <row r="1094">
      <c r="A1094" t="inlineStr">
        <is>
          <t>900006542D8366714616510000133</t>
        </is>
      </c>
      <c r="B1094" t="inlineStr">
        <is>
          <t>900006542</t>
        </is>
      </c>
      <c r="C1094" t="inlineStr">
        <is>
          <t>D836</t>
        </is>
      </c>
      <c r="D1094" t="inlineStr">
        <is>
          <t>67146165</t>
        </is>
      </c>
      <c r="E1094" t="inlineStr">
        <is>
          <t>4</t>
        </is>
      </c>
      <c r="F1094" t="inlineStr">
        <is>
          <t>10000133</t>
        </is>
      </c>
      <c r="H1094" t="inlineStr"/>
      <c r="J1094" t="n">
        <v>108</v>
      </c>
      <c r="K1094" t="inlineStr"/>
      <c r="M1094" t="inlineStr">
        <is>
          <t>M3</t>
        </is>
      </c>
      <c r="N1094" t="inlineStr"/>
      <c r="P1094" t="inlineStr">
        <is>
          <t>20190426</t>
        </is>
      </c>
      <c r="Q1094" t="inlineStr">
        <is>
          <t>20250127</t>
        </is>
      </c>
    </row>
    <row r="1095">
      <c r="A1095" t="inlineStr">
        <is>
          <t>900006542D8366714616510058345</t>
        </is>
      </c>
      <c r="B1095" t="inlineStr">
        <is>
          <t>900006542</t>
        </is>
      </c>
      <c r="C1095" t="inlineStr">
        <is>
          <t>D836</t>
        </is>
      </c>
      <c r="D1095" t="inlineStr">
        <is>
          <t>67146165</t>
        </is>
      </c>
      <c r="E1095" t="inlineStr">
        <is>
          <t>4</t>
        </is>
      </c>
      <c r="F1095" t="inlineStr">
        <is>
          <t>10058345</t>
        </is>
      </c>
      <c r="H1095" t="inlineStr"/>
      <c r="J1095" t="n">
        <v>108</v>
      </c>
      <c r="K1095" t="inlineStr"/>
      <c r="M1095" t="inlineStr">
        <is>
          <t>M3</t>
        </is>
      </c>
      <c r="N1095" t="inlineStr"/>
      <c r="P1095" t="inlineStr">
        <is>
          <t>20190426</t>
        </is>
      </c>
      <c r="Q1095" t="inlineStr">
        <is>
          <t>20250127</t>
        </is>
      </c>
    </row>
    <row r="1096">
      <c r="A1096" t="inlineStr">
        <is>
          <t>900006542D8366714860610000133</t>
        </is>
      </c>
      <c r="B1096" t="inlineStr">
        <is>
          <t>900006542</t>
        </is>
      </c>
      <c r="C1096" t="inlineStr">
        <is>
          <t>D836</t>
        </is>
      </c>
      <c r="D1096" t="inlineStr">
        <is>
          <t>67148606</t>
        </is>
      </c>
      <c r="E1096" t="inlineStr">
        <is>
          <t>1</t>
        </is>
      </c>
      <c r="F1096" t="inlineStr">
        <is>
          <t>10000133</t>
        </is>
      </c>
      <c r="H1096" t="inlineStr"/>
      <c r="J1096" t="n">
        <v>168</v>
      </c>
      <c r="K1096" t="inlineStr"/>
      <c r="M1096" t="inlineStr">
        <is>
          <t>M3</t>
        </is>
      </c>
      <c r="N1096" t="inlineStr"/>
      <c r="P1096" t="inlineStr">
        <is>
          <t>20230523</t>
        </is>
      </c>
      <c r="Q1096" t="inlineStr">
        <is>
          <t>20251030</t>
        </is>
      </c>
    </row>
    <row r="1097">
      <c r="A1097" t="inlineStr">
        <is>
          <t>900006542D8366714860610000133</t>
        </is>
      </c>
      <c r="B1097" t="inlineStr">
        <is>
          <t>900006542</t>
        </is>
      </c>
      <c r="C1097" t="inlineStr">
        <is>
          <t>D836</t>
        </is>
      </c>
      <c r="D1097" t="inlineStr">
        <is>
          <t>67148606</t>
        </is>
      </c>
      <c r="E1097" t="inlineStr">
        <is>
          <t>4</t>
        </is>
      </c>
      <c r="F1097" t="inlineStr">
        <is>
          <t>10000133</t>
        </is>
      </c>
      <c r="H1097" t="inlineStr"/>
      <c r="J1097" t="n">
        <v>168</v>
      </c>
      <c r="K1097" t="inlineStr"/>
      <c r="M1097" t="inlineStr">
        <is>
          <t>M3</t>
        </is>
      </c>
      <c r="N1097" t="inlineStr"/>
      <c r="P1097" t="inlineStr">
        <is>
          <t>20190426</t>
        </is>
      </c>
      <c r="Q1097" t="inlineStr">
        <is>
          <t>20250127</t>
        </is>
      </c>
    </row>
    <row r="1098">
      <c r="A1098" t="inlineStr">
        <is>
          <t>900006542D8366714860610019515</t>
        </is>
      </c>
      <c r="B1098" t="inlineStr">
        <is>
          <t>900006542</t>
        </is>
      </c>
      <c r="C1098" t="inlineStr">
        <is>
          <t>D836</t>
        </is>
      </c>
      <c r="D1098" t="inlineStr">
        <is>
          <t>67148606</t>
        </is>
      </c>
      <c r="E1098" t="inlineStr">
        <is>
          <t>1</t>
        </is>
      </c>
      <c r="F1098" t="inlineStr">
        <is>
          <t>10019515</t>
        </is>
      </c>
      <c r="H1098" t="inlineStr"/>
      <c r="J1098" t="n">
        <v>264</v>
      </c>
      <c r="K1098" t="inlineStr"/>
      <c r="M1098" t="inlineStr">
        <is>
          <t>M3</t>
        </is>
      </c>
      <c r="N1098" t="inlineStr"/>
      <c r="P1098" t="inlineStr">
        <is>
          <t>20230523</t>
        </is>
      </c>
      <c r="Q1098" t="inlineStr">
        <is>
          <t>20251030</t>
        </is>
      </c>
    </row>
    <row r="1099">
      <c r="A1099" t="inlineStr">
        <is>
          <t>900006542D8366714860610019515</t>
        </is>
      </c>
      <c r="B1099" t="inlineStr">
        <is>
          <t>900006542</t>
        </is>
      </c>
      <c r="C1099" t="inlineStr">
        <is>
          <t>D836</t>
        </is>
      </c>
      <c r="D1099" t="inlineStr">
        <is>
          <t>67148606</t>
        </is>
      </c>
      <c r="E1099" t="inlineStr">
        <is>
          <t>4</t>
        </is>
      </c>
      <c r="F1099" t="inlineStr">
        <is>
          <t>10019515</t>
        </is>
      </c>
      <c r="H1099" t="inlineStr"/>
      <c r="J1099" t="n">
        <v>264</v>
      </c>
      <c r="K1099" t="inlineStr"/>
      <c r="M1099" t="inlineStr">
        <is>
          <t>M3</t>
        </is>
      </c>
      <c r="N1099" t="inlineStr"/>
      <c r="P1099" t="inlineStr">
        <is>
          <t>20190426</t>
        </is>
      </c>
      <c r="Q1099" t="inlineStr">
        <is>
          <t>20250127</t>
        </is>
      </c>
    </row>
    <row r="1100">
      <c r="A1100" t="inlineStr">
        <is>
          <t>900006542D8366714860610058345</t>
        </is>
      </c>
      <c r="B1100" t="inlineStr">
        <is>
          <t>900006542</t>
        </is>
      </c>
      <c r="C1100" t="inlineStr">
        <is>
          <t>D836</t>
        </is>
      </c>
      <c r="D1100" t="inlineStr">
        <is>
          <t>67148606</t>
        </is>
      </c>
      <c r="E1100" t="inlineStr">
        <is>
          <t>1</t>
        </is>
      </c>
      <c r="F1100" t="inlineStr">
        <is>
          <t>10058345</t>
        </is>
      </c>
      <c r="H1100" t="inlineStr"/>
      <c r="J1100" t="n">
        <v>168</v>
      </c>
      <c r="K1100" t="inlineStr"/>
      <c r="M1100" t="inlineStr">
        <is>
          <t>M3</t>
        </is>
      </c>
      <c r="N1100" t="inlineStr"/>
      <c r="P1100" t="inlineStr">
        <is>
          <t>20230523</t>
        </is>
      </c>
      <c r="Q1100" t="inlineStr">
        <is>
          <t>20251030</t>
        </is>
      </c>
    </row>
    <row r="1101">
      <c r="A1101" t="inlineStr">
        <is>
          <t>900006542D8366714860610058345</t>
        </is>
      </c>
      <c r="B1101" t="inlineStr">
        <is>
          <t>900006542</t>
        </is>
      </c>
      <c r="C1101" t="inlineStr">
        <is>
          <t>D836</t>
        </is>
      </c>
      <c r="D1101" t="inlineStr">
        <is>
          <t>67148606</t>
        </is>
      </c>
      <c r="E1101" t="inlineStr">
        <is>
          <t>4</t>
        </is>
      </c>
      <c r="F1101" t="inlineStr">
        <is>
          <t>10058345</t>
        </is>
      </c>
      <c r="H1101" t="inlineStr"/>
      <c r="J1101" t="n">
        <v>168</v>
      </c>
      <c r="K1101" t="inlineStr"/>
      <c r="M1101" t="inlineStr">
        <is>
          <t>M3</t>
        </is>
      </c>
      <c r="N1101" t="inlineStr"/>
      <c r="P1101" t="inlineStr">
        <is>
          <t>20190426</t>
        </is>
      </c>
      <c r="Q1101" t="inlineStr">
        <is>
          <t>20250127</t>
        </is>
      </c>
    </row>
    <row r="1102">
      <c r="A1102" t="inlineStr">
        <is>
          <t>900006542D8366720863810000623</t>
        </is>
      </c>
      <c r="B1102" t="inlineStr">
        <is>
          <t>900006542</t>
        </is>
      </c>
      <c r="C1102" t="inlineStr">
        <is>
          <t>D836</t>
        </is>
      </c>
      <c r="D1102" t="inlineStr">
        <is>
          <t>67208638</t>
        </is>
      </c>
      <c r="E1102" t="inlineStr">
        <is>
          <t>4</t>
        </is>
      </c>
      <c r="F1102" t="inlineStr">
        <is>
          <t>10000623</t>
        </is>
      </c>
      <c r="H1102" t="inlineStr"/>
      <c r="J1102" t="n">
        <v>736.42</v>
      </c>
      <c r="K1102" t="inlineStr"/>
      <c r="M1102" t="inlineStr">
        <is>
          <t>M3</t>
        </is>
      </c>
      <c r="N1102" t="inlineStr"/>
      <c r="P1102" t="inlineStr">
        <is>
          <t>20260328</t>
        </is>
      </c>
      <c r="Q1102" t="inlineStr">
        <is>
          <t>99991231</t>
        </is>
      </c>
    </row>
    <row r="1103">
      <c r="A1103" t="inlineStr">
        <is>
          <t>900006543D8366500630110000206</t>
        </is>
      </c>
      <c r="B1103" t="inlineStr">
        <is>
          <t>900006543</t>
        </is>
      </c>
      <c r="C1103" t="inlineStr">
        <is>
          <t>D836</t>
        </is>
      </c>
      <c r="D1103" t="inlineStr">
        <is>
          <t>65006301</t>
        </is>
      </c>
      <c r="E1103" t="inlineStr">
        <is>
          <t>1</t>
        </is>
      </c>
      <c r="F1103" t="inlineStr">
        <is>
          <t>10000206</t>
        </is>
      </c>
      <c r="H1103" t="inlineStr"/>
      <c r="J1103" t="n">
        <v>157.12</v>
      </c>
      <c r="K1103" t="inlineStr"/>
      <c r="M1103" t="inlineStr">
        <is>
          <t>M3</t>
        </is>
      </c>
      <c r="N1103" t="inlineStr"/>
      <c r="P1103" t="inlineStr">
        <is>
          <t>20230301</t>
        </is>
      </c>
      <c r="Q1103" t="inlineStr">
        <is>
          <t>20251031</t>
        </is>
      </c>
    </row>
    <row r="1104">
      <c r="A1104" t="inlineStr">
        <is>
          <t>900006543D8366500630110000627</t>
        </is>
      </c>
      <c r="B1104" t="inlineStr">
        <is>
          <t>900006543</t>
        </is>
      </c>
      <c r="C1104" t="inlineStr">
        <is>
          <t>D836</t>
        </is>
      </c>
      <c r="D1104" t="inlineStr">
        <is>
          <t>65006301</t>
        </is>
      </c>
      <c r="E1104" t="inlineStr">
        <is>
          <t>1</t>
        </is>
      </c>
      <c r="F1104" t="inlineStr">
        <is>
          <t>10000627</t>
        </is>
      </c>
      <c r="H1104" t="inlineStr"/>
      <c r="J1104" t="n">
        <v>157.12</v>
      </c>
      <c r="K1104" t="inlineStr"/>
      <c r="M1104" t="inlineStr">
        <is>
          <t>M3</t>
        </is>
      </c>
      <c r="N1104" t="inlineStr"/>
      <c r="P1104" t="inlineStr">
        <is>
          <t>20230301</t>
        </is>
      </c>
      <c r="Q1104" t="inlineStr">
        <is>
          <t>20251031</t>
        </is>
      </c>
    </row>
    <row r="1105">
      <c r="A1105" t="inlineStr">
        <is>
          <t>900006543D8366500630110185476</t>
        </is>
      </c>
      <c r="B1105" t="inlineStr">
        <is>
          <t>900006543</t>
        </is>
      </c>
      <c r="C1105" t="inlineStr">
        <is>
          <t>D836</t>
        </is>
      </c>
      <c r="D1105" t="inlineStr">
        <is>
          <t>65006301</t>
        </is>
      </c>
      <c r="E1105" t="inlineStr">
        <is>
          <t>1</t>
        </is>
      </c>
      <c r="F1105" t="inlineStr">
        <is>
          <t>10185476</t>
        </is>
      </c>
      <c r="H1105" t="inlineStr"/>
      <c r="J1105" t="n">
        <v>157.12</v>
      </c>
      <c r="K1105" t="inlineStr"/>
      <c r="M1105" t="inlineStr">
        <is>
          <t>M3</t>
        </is>
      </c>
      <c r="N1105" t="inlineStr"/>
      <c r="P1105" t="inlineStr">
        <is>
          <t>20230301</t>
        </is>
      </c>
      <c r="Q1105" t="inlineStr">
        <is>
          <t>20251031</t>
        </is>
      </c>
    </row>
    <row r="1106">
      <c r="A1106" t="inlineStr">
        <is>
          <t>900006543D8366500630110185477</t>
        </is>
      </c>
      <c r="B1106" t="inlineStr">
        <is>
          <t>900006543</t>
        </is>
      </c>
      <c r="C1106" t="inlineStr">
        <is>
          <t>D836</t>
        </is>
      </c>
      <c r="D1106" t="inlineStr">
        <is>
          <t>65006301</t>
        </is>
      </c>
      <c r="E1106" t="inlineStr">
        <is>
          <t>1</t>
        </is>
      </c>
      <c r="F1106" t="inlineStr">
        <is>
          <t>10185477</t>
        </is>
      </c>
      <c r="H1106" t="inlineStr"/>
      <c r="J1106" t="n">
        <v>157.12</v>
      </c>
      <c r="K1106" t="inlineStr"/>
      <c r="M1106" t="inlineStr">
        <is>
          <t>M3</t>
        </is>
      </c>
      <c r="N1106" t="inlineStr"/>
      <c r="P1106" t="inlineStr">
        <is>
          <t>20230301</t>
        </is>
      </c>
      <c r="Q1106" t="inlineStr">
        <is>
          <t>20251031</t>
        </is>
      </c>
    </row>
    <row r="1107">
      <c r="A1107" t="inlineStr">
        <is>
          <t>900006543D8366686450810185476</t>
        </is>
      </c>
      <c r="B1107" t="inlineStr">
        <is>
          <t>900006543</t>
        </is>
      </c>
      <c r="C1107" t="inlineStr">
        <is>
          <t>D836</t>
        </is>
      </c>
      <c r="D1107" t="inlineStr">
        <is>
          <t>66864508</t>
        </is>
      </c>
      <c r="E1107" t="inlineStr">
        <is>
          <t>1</t>
        </is>
      </c>
      <c r="F1107" t="inlineStr">
        <is>
          <t>10185476</t>
        </is>
      </c>
      <c r="H1107" t="inlineStr"/>
      <c r="J1107" t="n">
        <v>271.15</v>
      </c>
      <c r="K1107" t="inlineStr"/>
      <c r="M1107" t="inlineStr">
        <is>
          <t>M3</t>
        </is>
      </c>
      <c r="N1107" t="inlineStr"/>
      <c r="P1107" t="inlineStr">
        <is>
          <t>20260318</t>
        </is>
      </c>
      <c r="Q1107" t="inlineStr">
        <is>
          <t>99991231</t>
        </is>
      </c>
    </row>
    <row r="1108">
      <c r="A1108" t="inlineStr">
        <is>
          <t>900006543D8366686450810185477</t>
        </is>
      </c>
      <c r="B1108" t="inlineStr">
        <is>
          <t>900006543</t>
        </is>
      </c>
      <c r="C1108" t="inlineStr">
        <is>
          <t>D836</t>
        </is>
      </c>
      <c r="D1108" t="inlineStr">
        <is>
          <t>66864508</t>
        </is>
      </c>
      <c r="E1108" t="inlineStr">
        <is>
          <t>1</t>
        </is>
      </c>
      <c r="F1108" t="inlineStr">
        <is>
          <t>10185477</t>
        </is>
      </c>
      <c r="H1108" t="inlineStr"/>
      <c r="J1108" t="n">
        <v>271.15</v>
      </c>
      <c r="K1108" t="inlineStr"/>
      <c r="M1108" t="inlineStr">
        <is>
          <t>M3</t>
        </is>
      </c>
      <c r="N1108" t="inlineStr"/>
      <c r="P1108" t="inlineStr">
        <is>
          <t>20260318</t>
        </is>
      </c>
      <c r="Q1108" t="inlineStr">
        <is>
          <t>99991231</t>
        </is>
      </c>
    </row>
    <row r="1109">
      <c r="A1109" t="inlineStr">
        <is>
          <t>900006543D8366686450810259792</t>
        </is>
      </c>
      <c r="B1109" t="inlineStr">
        <is>
          <t>900006543</t>
        </is>
      </c>
      <c r="C1109" t="inlineStr">
        <is>
          <t>D836</t>
        </is>
      </c>
      <c r="D1109" t="inlineStr">
        <is>
          <t>66864508</t>
        </is>
      </c>
      <c r="E1109" t="inlineStr">
        <is>
          <t>1</t>
        </is>
      </c>
      <c r="F1109" t="inlineStr">
        <is>
          <t>10259792</t>
        </is>
      </c>
      <c r="H1109" t="inlineStr"/>
      <c r="J1109" t="n">
        <v>271.15</v>
      </c>
      <c r="K1109" t="inlineStr"/>
      <c r="M1109" t="inlineStr">
        <is>
          <t>M3</t>
        </is>
      </c>
      <c r="N1109" t="inlineStr"/>
      <c r="P1109" t="inlineStr">
        <is>
          <t>20260525</t>
        </is>
      </c>
      <c r="Q1109" t="inlineStr">
        <is>
          <t>20260531</t>
        </is>
      </c>
    </row>
    <row r="1110">
      <c r="A1110" t="inlineStr">
        <is>
          <t>900006543D8366686454010185476</t>
        </is>
      </c>
      <c r="B1110" t="inlineStr">
        <is>
          <t>900006543</t>
        </is>
      </c>
      <c r="C1110" t="inlineStr">
        <is>
          <t>D836</t>
        </is>
      </c>
      <c r="D1110" t="inlineStr">
        <is>
          <t>66864540</t>
        </is>
      </c>
      <c r="E1110" t="inlineStr">
        <is>
          <t>1</t>
        </is>
      </c>
      <c r="F1110" t="inlineStr">
        <is>
          <t>10185476</t>
        </is>
      </c>
      <c r="H1110" t="inlineStr"/>
      <c r="J1110" t="n">
        <v>266.48</v>
      </c>
      <c r="K1110" t="inlineStr"/>
      <c r="M1110" t="inlineStr">
        <is>
          <t>M3</t>
        </is>
      </c>
      <c r="N1110" t="inlineStr"/>
      <c r="P1110" t="inlineStr">
        <is>
          <t>20260318</t>
        </is>
      </c>
      <c r="Q1110" t="inlineStr">
        <is>
          <t>99991231</t>
        </is>
      </c>
    </row>
    <row r="1111">
      <c r="A1111" t="inlineStr">
        <is>
          <t>900006543D8366686454010185477</t>
        </is>
      </c>
      <c r="B1111" t="inlineStr">
        <is>
          <t>900006543</t>
        </is>
      </c>
      <c r="C1111" t="inlineStr">
        <is>
          <t>D836</t>
        </is>
      </c>
      <c r="D1111" t="inlineStr">
        <is>
          <t>66864540</t>
        </is>
      </c>
      <c r="E1111" t="inlineStr">
        <is>
          <t>1</t>
        </is>
      </c>
      <c r="F1111" t="inlineStr">
        <is>
          <t>10185477</t>
        </is>
      </c>
      <c r="H1111" t="inlineStr"/>
      <c r="J1111" t="n">
        <v>266.48</v>
      </c>
      <c r="K1111" t="inlineStr"/>
      <c r="M1111" t="inlineStr">
        <is>
          <t>M3</t>
        </is>
      </c>
      <c r="N1111" t="inlineStr"/>
      <c r="P1111" t="inlineStr">
        <is>
          <t>20260318</t>
        </is>
      </c>
      <c r="Q1111" t="inlineStr">
        <is>
          <t>99991231</t>
        </is>
      </c>
    </row>
    <row r="1112">
      <c r="A1112" t="inlineStr">
        <is>
          <t>900006543D8366686454010259792</t>
        </is>
      </c>
      <c r="B1112" t="inlineStr">
        <is>
          <t>900006543</t>
        </is>
      </c>
      <c r="C1112" t="inlineStr">
        <is>
          <t>D836</t>
        </is>
      </c>
      <c r="D1112" t="inlineStr">
        <is>
          <t>66864540</t>
        </is>
      </c>
      <c r="E1112" t="inlineStr">
        <is>
          <t>1</t>
        </is>
      </c>
      <c r="F1112" t="inlineStr">
        <is>
          <t>10259792</t>
        </is>
      </c>
      <c r="H1112" t="inlineStr"/>
      <c r="J1112" t="n">
        <v>266.48</v>
      </c>
      <c r="K1112" t="inlineStr"/>
      <c r="M1112" t="inlineStr">
        <is>
          <t>M3</t>
        </is>
      </c>
      <c r="N1112" t="inlineStr"/>
      <c r="P1112" t="inlineStr">
        <is>
          <t>20260525</t>
        </is>
      </c>
      <c r="Q1112" t="inlineStr">
        <is>
          <t>20260531</t>
        </is>
      </c>
    </row>
    <row r="1113">
      <c r="A1113" t="inlineStr">
        <is>
          <t>900006543D8366687846210000206</t>
        </is>
      </c>
      <c r="B1113" t="inlineStr">
        <is>
          <t>900006543</t>
        </is>
      </c>
      <c r="C1113" t="inlineStr">
        <is>
          <t>D836</t>
        </is>
      </c>
      <c r="D1113" t="inlineStr">
        <is>
          <t>66878462</t>
        </is>
      </c>
      <c r="E1113" t="inlineStr">
        <is>
          <t>1</t>
        </is>
      </c>
      <c r="F1113" t="inlineStr">
        <is>
          <t>10000206</t>
        </is>
      </c>
      <c r="H1113" t="inlineStr"/>
      <c r="J1113" t="n">
        <v>164.64</v>
      </c>
      <c r="K1113" t="inlineStr"/>
      <c r="M1113" t="inlineStr">
        <is>
          <t>M3</t>
        </is>
      </c>
      <c r="N1113" t="inlineStr"/>
      <c r="P1113" t="inlineStr">
        <is>
          <t>20230301</t>
        </is>
      </c>
      <c r="Q1113" t="inlineStr">
        <is>
          <t>20251031</t>
        </is>
      </c>
    </row>
    <row r="1114">
      <c r="A1114" t="inlineStr">
        <is>
          <t>900006543D8366687846210000627</t>
        </is>
      </c>
      <c r="B1114" t="inlineStr">
        <is>
          <t>900006543</t>
        </is>
      </c>
      <c r="C1114" t="inlineStr">
        <is>
          <t>D836</t>
        </is>
      </c>
      <c r="D1114" t="inlineStr">
        <is>
          <t>66878462</t>
        </is>
      </c>
      <c r="E1114" t="inlineStr">
        <is>
          <t>1</t>
        </is>
      </c>
      <c r="F1114" t="inlineStr">
        <is>
          <t>10000627</t>
        </is>
      </c>
      <c r="H1114" t="inlineStr"/>
      <c r="J1114" t="n">
        <v>164.64</v>
      </c>
      <c r="K1114" t="inlineStr"/>
      <c r="M1114" t="inlineStr">
        <is>
          <t>M3</t>
        </is>
      </c>
      <c r="N1114" t="inlineStr"/>
      <c r="P1114" t="inlineStr">
        <is>
          <t>20230301</t>
        </is>
      </c>
      <c r="Q1114" t="inlineStr">
        <is>
          <t>20251031</t>
        </is>
      </c>
    </row>
    <row r="1115">
      <c r="A1115" t="inlineStr">
        <is>
          <t>900006543D8366687846210185476</t>
        </is>
      </c>
      <c r="B1115" t="inlineStr">
        <is>
          <t>900006543</t>
        </is>
      </c>
      <c r="C1115" t="inlineStr">
        <is>
          <t>D836</t>
        </is>
      </c>
      <c r="D1115" t="inlineStr">
        <is>
          <t>66878462</t>
        </is>
      </c>
      <c r="E1115" t="inlineStr">
        <is>
          <t>1</t>
        </is>
      </c>
      <c r="F1115" t="inlineStr">
        <is>
          <t>10185476</t>
        </is>
      </c>
      <c r="H1115" t="inlineStr"/>
      <c r="J1115" t="n">
        <v>164.64</v>
      </c>
      <c r="K1115" t="inlineStr"/>
      <c r="M1115" t="inlineStr">
        <is>
          <t>M3</t>
        </is>
      </c>
      <c r="N1115" t="inlineStr"/>
      <c r="P1115" t="inlineStr">
        <is>
          <t>20230301</t>
        </is>
      </c>
      <c r="Q1115" t="inlineStr">
        <is>
          <t>20260215</t>
        </is>
      </c>
    </row>
    <row r="1116">
      <c r="A1116" t="inlineStr">
        <is>
          <t>900006543D8366687846210185477</t>
        </is>
      </c>
      <c r="B1116" t="inlineStr">
        <is>
          <t>900006543</t>
        </is>
      </c>
      <c r="C1116" t="inlineStr">
        <is>
          <t>D836</t>
        </is>
      </c>
      <c r="D1116" t="inlineStr">
        <is>
          <t>66878462</t>
        </is>
      </c>
      <c r="E1116" t="inlineStr">
        <is>
          <t>1</t>
        </is>
      </c>
      <c r="F1116" t="inlineStr">
        <is>
          <t>10185477</t>
        </is>
      </c>
      <c r="H1116" t="inlineStr"/>
      <c r="J1116" t="n">
        <v>164.64</v>
      </c>
      <c r="K1116" t="inlineStr"/>
      <c r="M1116" t="inlineStr">
        <is>
          <t>M3</t>
        </is>
      </c>
      <c r="N1116" t="inlineStr"/>
      <c r="P1116" t="inlineStr">
        <is>
          <t>20230301</t>
        </is>
      </c>
      <c r="Q1116" t="inlineStr">
        <is>
          <t>20260215</t>
        </is>
      </c>
    </row>
    <row r="1117">
      <c r="A1117" t="inlineStr">
        <is>
          <t>900006543D8366692231710000651</t>
        </is>
      </c>
      <c r="B1117" t="inlineStr">
        <is>
          <t>900006543</t>
        </is>
      </c>
      <c r="C1117" t="inlineStr">
        <is>
          <t>D836</t>
        </is>
      </c>
      <c r="D1117" t="inlineStr">
        <is>
          <t>66922317</t>
        </is>
      </c>
      <c r="E1117" t="inlineStr">
        <is>
          <t>1</t>
        </is>
      </c>
      <c r="F1117" t="inlineStr">
        <is>
          <t>10000651</t>
        </is>
      </c>
      <c r="H1117" t="inlineStr"/>
      <c r="J1117" t="n">
        <v>223.55</v>
      </c>
      <c r="K1117" t="inlineStr"/>
      <c r="M1117" t="inlineStr">
        <is>
          <t>M3</t>
        </is>
      </c>
      <c r="N1117" t="inlineStr"/>
      <c r="P1117" t="inlineStr">
        <is>
          <t>20260708</t>
        </is>
      </c>
      <c r="Q1117" t="inlineStr">
        <is>
          <t>99991231</t>
        </is>
      </c>
    </row>
    <row r="1118">
      <c r="A1118" t="inlineStr">
        <is>
          <t>900006543D8366692231710185476</t>
        </is>
      </c>
      <c r="B1118" t="inlineStr">
        <is>
          <t>900006543</t>
        </is>
      </c>
      <c r="C1118" t="inlineStr">
        <is>
          <t>D836</t>
        </is>
      </c>
      <c r="D1118" t="inlineStr">
        <is>
          <t>66922317</t>
        </is>
      </c>
      <c r="E1118" t="inlineStr">
        <is>
          <t>1</t>
        </is>
      </c>
      <c r="F1118" t="inlineStr">
        <is>
          <t>10185476</t>
        </is>
      </c>
      <c r="H1118" t="inlineStr"/>
      <c r="J1118" t="n">
        <v>207.76</v>
      </c>
      <c r="K1118" t="inlineStr"/>
      <c r="M1118" t="inlineStr">
        <is>
          <t>M3</t>
        </is>
      </c>
      <c r="N1118" t="inlineStr"/>
      <c r="P1118" t="inlineStr">
        <is>
          <t>20250617</t>
        </is>
      </c>
      <c r="Q1118" t="inlineStr">
        <is>
          <t>20250617</t>
        </is>
      </c>
    </row>
    <row r="1119">
      <c r="A1119" t="inlineStr">
        <is>
          <t>900006543D8366692231710185477</t>
        </is>
      </c>
      <c r="B1119" t="inlineStr">
        <is>
          <t>900006543</t>
        </is>
      </c>
      <c r="C1119" t="inlineStr">
        <is>
          <t>D836</t>
        </is>
      </c>
      <c r="D1119" t="inlineStr">
        <is>
          <t>66922317</t>
        </is>
      </c>
      <c r="E1119" t="inlineStr">
        <is>
          <t>1</t>
        </is>
      </c>
      <c r="F1119" t="inlineStr">
        <is>
          <t>10185477</t>
        </is>
      </c>
      <c r="H1119" t="inlineStr"/>
      <c r="J1119" t="n">
        <v>223.55</v>
      </c>
      <c r="K1119" t="inlineStr"/>
      <c r="M1119" t="inlineStr">
        <is>
          <t>M3</t>
        </is>
      </c>
      <c r="N1119" t="inlineStr"/>
      <c r="P1119" t="inlineStr">
        <is>
          <t>20260708</t>
        </is>
      </c>
      <c r="Q1119" t="inlineStr">
        <is>
          <t>99991231</t>
        </is>
      </c>
    </row>
    <row r="1120">
      <c r="A1120" t="inlineStr">
        <is>
          <t>900006543D8366693331310185476</t>
        </is>
      </c>
      <c r="B1120" t="inlineStr">
        <is>
          <t>900006543</t>
        </is>
      </c>
      <c r="C1120" t="inlineStr">
        <is>
          <t>D836</t>
        </is>
      </c>
      <c r="D1120" t="inlineStr">
        <is>
          <t>66933313</t>
        </is>
      </c>
      <c r="E1120" t="inlineStr">
        <is>
          <t>1</t>
        </is>
      </c>
      <c r="F1120" t="inlineStr">
        <is>
          <t>10185476</t>
        </is>
      </c>
      <c r="H1120" t="inlineStr"/>
      <c r="J1120" t="n">
        <v>163.8</v>
      </c>
      <c r="K1120" t="inlineStr"/>
      <c r="M1120" t="inlineStr">
        <is>
          <t>M3</t>
        </is>
      </c>
      <c r="N1120" t="inlineStr"/>
      <c r="P1120" t="inlineStr">
        <is>
          <t>20190426</t>
        </is>
      </c>
      <c r="Q1120" t="inlineStr">
        <is>
          <t>20250127</t>
        </is>
      </c>
    </row>
    <row r="1121">
      <c r="A1121" t="inlineStr">
        <is>
          <t>900006543D8366694207210000651</t>
        </is>
      </c>
      <c r="B1121" t="inlineStr">
        <is>
          <t>900006543</t>
        </is>
      </c>
      <c r="C1121" t="inlineStr">
        <is>
          <t>D836</t>
        </is>
      </c>
      <c r="D1121" t="inlineStr">
        <is>
          <t>66942072</t>
        </is>
      </c>
      <c r="E1121" t="inlineStr">
        <is>
          <t>1</t>
        </is>
      </c>
      <c r="F1121" t="inlineStr">
        <is>
          <t>10000651</t>
        </is>
      </c>
      <c r="H1121" t="inlineStr"/>
      <c r="J1121" t="n">
        <v>223.55</v>
      </c>
      <c r="K1121" t="inlineStr"/>
      <c r="M1121" t="inlineStr">
        <is>
          <t>M3</t>
        </is>
      </c>
      <c r="N1121" t="inlineStr"/>
      <c r="P1121" t="inlineStr">
        <is>
          <t>20260708</t>
        </is>
      </c>
      <c r="Q1121" t="inlineStr">
        <is>
          <t>99991231</t>
        </is>
      </c>
    </row>
    <row r="1122">
      <c r="A1122" t="inlineStr">
        <is>
          <t>900006543D8366694207210185477</t>
        </is>
      </c>
      <c r="B1122" t="inlineStr">
        <is>
          <t>900006543</t>
        </is>
      </c>
      <c r="C1122" t="inlineStr">
        <is>
          <t>D836</t>
        </is>
      </c>
      <c r="D1122" t="inlineStr">
        <is>
          <t>66942072</t>
        </is>
      </c>
      <c r="E1122" t="inlineStr">
        <is>
          <t>1</t>
        </is>
      </c>
      <c r="F1122" t="inlineStr">
        <is>
          <t>10185477</t>
        </is>
      </c>
      <c r="H1122" t="inlineStr"/>
      <c r="J1122" t="n">
        <v>223.55</v>
      </c>
      <c r="K1122" t="inlineStr"/>
      <c r="M1122" t="inlineStr">
        <is>
          <t>M3</t>
        </is>
      </c>
      <c r="N1122" t="inlineStr"/>
      <c r="P1122" t="inlineStr">
        <is>
          <t>20260708</t>
        </is>
      </c>
      <c r="Q1122" t="inlineStr">
        <is>
          <t>99991231</t>
        </is>
      </c>
    </row>
    <row r="1123">
      <c r="A1123" t="inlineStr">
        <is>
          <t>900006543D8366698205310185476</t>
        </is>
      </c>
      <c r="B1123" t="inlineStr">
        <is>
          <t>900006543</t>
        </is>
      </c>
      <c r="C1123" t="inlineStr">
        <is>
          <t>D836</t>
        </is>
      </c>
      <c r="D1123" t="inlineStr">
        <is>
          <t>66982053</t>
        </is>
      </c>
      <c r="E1123" t="inlineStr">
        <is>
          <t>1</t>
        </is>
      </c>
      <c r="F1123" t="inlineStr">
        <is>
          <t>10185476</t>
        </is>
      </c>
      <c r="H1123" t="inlineStr"/>
      <c r="J1123" t="n">
        <v>299.2</v>
      </c>
      <c r="K1123" t="inlineStr"/>
      <c r="M1123" t="inlineStr">
        <is>
          <t>M3</t>
        </is>
      </c>
      <c r="N1123" t="inlineStr"/>
      <c r="P1123" t="inlineStr">
        <is>
          <t>20260318</t>
        </is>
      </c>
      <c r="Q1123" t="inlineStr">
        <is>
          <t>99991231</t>
        </is>
      </c>
    </row>
    <row r="1124">
      <c r="A1124" t="inlineStr">
        <is>
          <t>900006543D8366698205310185477</t>
        </is>
      </c>
      <c r="B1124" t="inlineStr">
        <is>
          <t>900006543</t>
        </is>
      </c>
      <c r="C1124" t="inlineStr">
        <is>
          <t>D836</t>
        </is>
      </c>
      <c r="D1124" t="inlineStr">
        <is>
          <t>66982053</t>
        </is>
      </c>
      <c r="E1124" t="inlineStr">
        <is>
          <t>1</t>
        </is>
      </c>
      <c r="F1124" t="inlineStr">
        <is>
          <t>10185477</t>
        </is>
      </c>
      <c r="H1124" t="inlineStr"/>
      <c r="J1124" t="n">
        <v>299.2</v>
      </c>
      <c r="K1124" t="inlineStr"/>
      <c r="M1124" t="inlineStr">
        <is>
          <t>M3</t>
        </is>
      </c>
      <c r="N1124" t="inlineStr"/>
      <c r="P1124" t="inlineStr">
        <is>
          <t>20260318</t>
        </is>
      </c>
      <c r="Q1124" t="inlineStr">
        <is>
          <t>99991231</t>
        </is>
      </c>
    </row>
    <row r="1125">
      <c r="A1125" t="inlineStr">
        <is>
          <t>900006543D8366698205310259792</t>
        </is>
      </c>
      <c r="B1125" t="inlineStr">
        <is>
          <t>900006543</t>
        </is>
      </c>
      <c r="C1125" t="inlineStr">
        <is>
          <t>D836</t>
        </is>
      </c>
      <c r="D1125" t="inlineStr">
        <is>
          <t>66982053</t>
        </is>
      </c>
      <c r="E1125" t="inlineStr">
        <is>
          <t>1</t>
        </is>
      </c>
      <c r="F1125" t="inlineStr">
        <is>
          <t>10259792</t>
        </is>
      </c>
      <c r="H1125" t="inlineStr"/>
      <c r="J1125" t="n">
        <v>299.2</v>
      </c>
      <c r="K1125" t="inlineStr"/>
      <c r="M1125" t="inlineStr">
        <is>
          <t>M3</t>
        </is>
      </c>
      <c r="N1125" t="inlineStr"/>
      <c r="P1125" t="inlineStr">
        <is>
          <t>20260525</t>
        </is>
      </c>
      <c r="Q1125" t="inlineStr">
        <is>
          <t>20260531</t>
        </is>
      </c>
    </row>
    <row r="1126">
      <c r="A1126" t="inlineStr">
        <is>
          <t>900006543D8366700760810000651</t>
        </is>
      </c>
      <c r="B1126" t="inlineStr">
        <is>
          <t>900006543</t>
        </is>
      </c>
      <c r="C1126" t="inlineStr">
        <is>
          <t>D836</t>
        </is>
      </c>
      <c r="D1126" t="inlineStr">
        <is>
          <t>67007608</t>
        </is>
      </c>
      <c r="E1126" t="inlineStr">
        <is>
          <t>1</t>
        </is>
      </c>
      <c r="F1126" t="inlineStr">
        <is>
          <t>10000651</t>
        </is>
      </c>
      <c r="H1126" t="inlineStr"/>
      <c r="J1126" t="n">
        <v>86.84</v>
      </c>
      <c r="K1126" t="inlineStr"/>
      <c r="M1126" t="inlineStr">
        <is>
          <t>M3</t>
        </is>
      </c>
      <c r="N1126" t="inlineStr"/>
      <c r="P1126" t="inlineStr">
        <is>
          <t>20190426</t>
        </is>
      </c>
      <c r="Q1126" t="inlineStr">
        <is>
          <t>20250127</t>
        </is>
      </c>
    </row>
    <row r="1127">
      <c r="A1127" t="inlineStr">
        <is>
          <t>900006543D8366701587710000206</t>
        </is>
      </c>
      <c r="B1127" t="inlineStr">
        <is>
          <t>900006543</t>
        </is>
      </c>
      <c r="C1127" t="inlineStr">
        <is>
          <t>D836</t>
        </is>
      </c>
      <c r="D1127" t="inlineStr">
        <is>
          <t>67015877</t>
        </is>
      </c>
      <c r="E1127" t="inlineStr">
        <is>
          <t>1</t>
        </is>
      </c>
      <c r="F1127" t="inlineStr">
        <is>
          <t>10000206</t>
        </is>
      </c>
      <c r="H1127" t="inlineStr"/>
      <c r="J1127" t="n">
        <v>164.43</v>
      </c>
      <c r="K1127" t="inlineStr"/>
      <c r="M1127" t="inlineStr">
        <is>
          <t>M3</t>
        </is>
      </c>
      <c r="N1127" t="inlineStr"/>
      <c r="P1127" t="inlineStr">
        <is>
          <t>20230301</t>
        </is>
      </c>
      <c r="Q1127" t="inlineStr">
        <is>
          <t>20251031</t>
        </is>
      </c>
    </row>
    <row r="1128">
      <c r="A1128" t="inlineStr">
        <is>
          <t>900006543D8366701587710000627</t>
        </is>
      </c>
      <c r="B1128" t="inlineStr">
        <is>
          <t>900006543</t>
        </is>
      </c>
      <c r="C1128" t="inlineStr">
        <is>
          <t>D836</t>
        </is>
      </c>
      <c r="D1128" t="inlineStr">
        <is>
          <t>67015877</t>
        </is>
      </c>
      <c r="E1128" t="inlineStr">
        <is>
          <t>1</t>
        </is>
      </c>
      <c r="F1128" t="inlineStr">
        <is>
          <t>10000627</t>
        </is>
      </c>
      <c r="H1128" t="inlineStr"/>
      <c r="J1128" t="n">
        <v>164.43</v>
      </c>
      <c r="K1128" t="inlineStr"/>
      <c r="M1128" t="inlineStr">
        <is>
          <t>M3</t>
        </is>
      </c>
      <c r="N1128" t="inlineStr"/>
      <c r="P1128" t="inlineStr">
        <is>
          <t>20230301</t>
        </is>
      </c>
      <c r="Q1128" t="inlineStr">
        <is>
          <t>20251031</t>
        </is>
      </c>
    </row>
    <row r="1129">
      <c r="A1129" t="inlineStr">
        <is>
          <t>900006543D8366701587710185476</t>
        </is>
      </c>
      <c r="B1129" t="inlineStr">
        <is>
          <t>900006543</t>
        </is>
      </c>
      <c r="C1129" t="inlineStr">
        <is>
          <t>D836</t>
        </is>
      </c>
      <c r="D1129" t="inlineStr">
        <is>
          <t>67015877</t>
        </is>
      </c>
      <c r="E1129" t="inlineStr">
        <is>
          <t>1</t>
        </is>
      </c>
      <c r="F1129" t="inlineStr">
        <is>
          <t>10185476</t>
        </is>
      </c>
      <c r="H1129" t="inlineStr"/>
      <c r="J1129" t="n">
        <v>164.43</v>
      </c>
      <c r="K1129" t="inlineStr"/>
      <c r="M1129" t="inlineStr">
        <is>
          <t>M3</t>
        </is>
      </c>
      <c r="N1129" t="inlineStr"/>
      <c r="P1129" t="inlineStr">
        <is>
          <t>20230301</t>
        </is>
      </c>
      <c r="Q1129" t="inlineStr">
        <is>
          <t>20251031</t>
        </is>
      </c>
    </row>
    <row r="1130">
      <c r="A1130" t="inlineStr">
        <is>
          <t>900006543D8366701587710185477</t>
        </is>
      </c>
      <c r="B1130" t="inlineStr">
        <is>
          <t>900006543</t>
        </is>
      </c>
      <c r="C1130" t="inlineStr">
        <is>
          <t>D836</t>
        </is>
      </c>
      <c r="D1130" t="inlineStr">
        <is>
          <t>67015877</t>
        </is>
      </c>
      <c r="E1130" t="inlineStr">
        <is>
          <t>1</t>
        </is>
      </c>
      <c r="F1130" t="inlineStr">
        <is>
          <t>10185477</t>
        </is>
      </c>
      <c r="H1130" t="inlineStr"/>
      <c r="J1130" t="n">
        <v>164.43</v>
      </c>
      <c r="K1130" t="inlineStr"/>
      <c r="M1130" t="inlineStr">
        <is>
          <t>M3</t>
        </is>
      </c>
      <c r="N1130" t="inlineStr"/>
      <c r="P1130" t="inlineStr">
        <is>
          <t>20230301</t>
        </is>
      </c>
      <c r="Q1130" t="inlineStr">
        <is>
          <t>20251031</t>
        </is>
      </c>
    </row>
    <row r="1131">
      <c r="A1131" t="inlineStr">
        <is>
          <t>900006543D8366701997910185476</t>
        </is>
      </c>
      <c r="B1131" t="inlineStr">
        <is>
          <t>900006543</t>
        </is>
      </c>
      <c r="C1131" t="inlineStr">
        <is>
          <t>D836</t>
        </is>
      </c>
      <c r="D1131" t="inlineStr">
        <is>
          <t>67019979</t>
        </is>
      </c>
      <c r="E1131" t="inlineStr">
        <is>
          <t>1</t>
        </is>
      </c>
      <c r="F1131" t="inlineStr">
        <is>
          <t>10185476</t>
        </is>
      </c>
      <c r="H1131" t="inlineStr"/>
      <c r="J1131" t="n">
        <v>313.07</v>
      </c>
      <c r="K1131" t="inlineStr"/>
      <c r="M1131" t="inlineStr">
        <is>
          <t>M3</t>
        </is>
      </c>
      <c r="N1131" t="inlineStr"/>
      <c r="P1131" t="inlineStr">
        <is>
          <t>20260318</t>
        </is>
      </c>
      <c r="Q1131" t="inlineStr">
        <is>
          <t>99991231</t>
        </is>
      </c>
    </row>
    <row r="1132">
      <c r="A1132" t="inlineStr">
        <is>
          <t>900006543D8366701997910185477</t>
        </is>
      </c>
      <c r="B1132" t="inlineStr">
        <is>
          <t>900006543</t>
        </is>
      </c>
      <c r="C1132" t="inlineStr">
        <is>
          <t>D836</t>
        </is>
      </c>
      <c r="D1132" t="inlineStr">
        <is>
          <t>67019979</t>
        </is>
      </c>
      <c r="E1132" t="inlineStr">
        <is>
          <t>1</t>
        </is>
      </c>
      <c r="F1132" t="inlineStr">
        <is>
          <t>10185477</t>
        </is>
      </c>
      <c r="H1132" t="inlineStr"/>
      <c r="J1132" t="n">
        <v>313.07</v>
      </c>
      <c r="K1132" t="inlineStr"/>
      <c r="M1132" t="inlineStr">
        <is>
          <t>M3</t>
        </is>
      </c>
      <c r="N1132" t="inlineStr"/>
      <c r="P1132" t="inlineStr">
        <is>
          <t>20260318</t>
        </is>
      </c>
      <c r="Q1132" t="inlineStr">
        <is>
          <t>99991231</t>
        </is>
      </c>
    </row>
    <row r="1133">
      <c r="A1133" t="inlineStr">
        <is>
          <t>900006543D8366701997910259792</t>
        </is>
      </c>
      <c r="B1133" t="inlineStr">
        <is>
          <t>900006543</t>
        </is>
      </c>
      <c r="C1133" t="inlineStr">
        <is>
          <t>D836</t>
        </is>
      </c>
      <c r="D1133" t="inlineStr">
        <is>
          <t>67019979</t>
        </is>
      </c>
      <c r="E1133" t="inlineStr">
        <is>
          <t>1</t>
        </is>
      </c>
      <c r="F1133" t="inlineStr">
        <is>
          <t>10259792</t>
        </is>
      </c>
      <c r="H1133" t="inlineStr"/>
      <c r="J1133" t="n">
        <v>313.07</v>
      </c>
      <c r="K1133" t="inlineStr"/>
      <c r="M1133" t="inlineStr">
        <is>
          <t>M3</t>
        </is>
      </c>
      <c r="N1133" t="inlineStr"/>
      <c r="P1133" t="inlineStr">
        <is>
          <t>20260525</t>
        </is>
      </c>
      <c r="Q1133" t="inlineStr">
        <is>
          <t>20260531</t>
        </is>
      </c>
    </row>
    <row r="1134">
      <c r="A1134" t="inlineStr">
        <is>
          <t>900006543D8366701997910259792</t>
        </is>
      </c>
      <c r="B1134" t="inlineStr">
        <is>
          <t>900006543</t>
        </is>
      </c>
      <c r="C1134" t="inlineStr">
        <is>
          <t>D836</t>
        </is>
      </c>
      <c r="D1134" t="inlineStr">
        <is>
          <t>67019979</t>
        </is>
      </c>
      <c r="E1134" t="inlineStr">
        <is>
          <t>2</t>
        </is>
      </c>
      <c r="F1134" t="inlineStr">
        <is>
          <t>10259792</t>
        </is>
      </c>
      <c r="H1134" t="inlineStr"/>
      <c r="J1134" t="n">
        <v>313.07</v>
      </c>
      <c r="K1134" t="inlineStr"/>
      <c r="M1134" t="inlineStr">
        <is>
          <t>M3</t>
        </is>
      </c>
      <c r="N1134" t="inlineStr"/>
      <c r="P1134" t="inlineStr">
        <is>
          <t>20260629</t>
        </is>
      </c>
      <c r="Q1134" t="inlineStr">
        <is>
          <t>20260701</t>
        </is>
      </c>
    </row>
    <row r="1135">
      <c r="A1135" t="inlineStr">
        <is>
          <t>900006543D8366703676910000651</t>
        </is>
      </c>
      <c r="B1135" t="inlineStr">
        <is>
          <t>900006543</t>
        </is>
      </c>
      <c r="C1135" t="inlineStr">
        <is>
          <t>D836</t>
        </is>
      </c>
      <c r="D1135" t="inlineStr">
        <is>
          <t>67036769</t>
        </is>
      </c>
      <c r="E1135" t="inlineStr">
        <is>
          <t>1</t>
        </is>
      </c>
      <c r="F1135" t="inlineStr">
        <is>
          <t>10000651</t>
        </is>
      </c>
      <c r="H1135" t="inlineStr"/>
      <c r="J1135" t="n">
        <v>86.84</v>
      </c>
      <c r="K1135" t="inlineStr"/>
      <c r="M1135" t="inlineStr">
        <is>
          <t>M3</t>
        </is>
      </c>
      <c r="N1135" t="inlineStr"/>
      <c r="P1135" t="inlineStr">
        <is>
          <t>20190426</t>
        </is>
      </c>
      <c r="Q1135" t="inlineStr">
        <is>
          <t>20250127</t>
        </is>
      </c>
    </row>
    <row r="1136">
      <c r="A1136" t="inlineStr">
        <is>
          <t>900006543D8366724340810185476</t>
        </is>
      </c>
      <c r="B1136" t="inlineStr">
        <is>
          <t>900006543</t>
        </is>
      </c>
      <c r="C1136" t="inlineStr">
        <is>
          <t>D836</t>
        </is>
      </c>
      <c r="D1136" t="inlineStr">
        <is>
          <t>67243408</t>
        </is>
      </c>
      <c r="E1136" t="inlineStr">
        <is>
          <t>1</t>
        </is>
      </c>
      <c r="F1136" t="inlineStr">
        <is>
          <t>10185476</t>
        </is>
      </c>
      <c r="H1136" t="inlineStr"/>
      <c r="J1136" t="n">
        <v>341.28</v>
      </c>
      <c r="K1136" t="inlineStr"/>
      <c r="M1136" t="inlineStr">
        <is>
          <t>M3</t>
        </is>
      </c>
      <c r="N1136" t="inlineStr"/>
      <c r="P1136" t="inlineStr">
        <is>
          <t>20260318</t>
        </is>
      </c>
      <c r="Q1136" t="inlineStr">
        <is>
          <t>99991231</t>
        </is>
      </c>
    </row>
    <row r="1137">
      <c r="A1137" t="inlineStr">
        <is>
          <t>900006543D8366724340810185477</t>
        </is>
      </c>
      <c r="B1137" t="inlineStr">
        <is>
          <t>900006543</t>
        </is>
      </c>
      <c r="C1137" t="inlineStr">
        <is>
          <t>D836</t>
        </is>
      </c>
      <c r="D1137" t="inlineStr">
        <is>
          <t>67243408</t>
        </is>
      </c>
      <c r="E1137" t="inlineStr">
        <is>
          <t>1</t>
        </is>
      </c>
      <c r="F1137" t="inlineStr">
        <is>
          <t>10185477</t>
        </is>
      </c>
      <c r="H1137" t="inlineStr"/>
      <c r="J1137" t="n">
        <v>341.28</v>
      </c>
      <c r="K1137" t="inlineStr"/>
      <c r="M1137" t="inlineStr">
        <is>
          <t>M3</t>
        </is>
      </c>
      <c r="N1137" t="inlineStr"/>
      <c r="P1137" t="inlineStr">
        <is>
          <t>20260318</t>
        </is>
      </c>
      <c r="Q1137" t="inlineStr">
        <is>
          <t>99991231</t>
        </is>
      </c>
    </row>
    <row r="1138">
      <c r="A1138" t="inlineStr">
        <is>
          <t>900006543D8366724340810259792</t>
        </is>
      </c>
      <c r="B1138" t="inlineStr">
        <is>
          <t>900006543</t>
        </is>
      </c>
      <c r="C1138" t="inlineStr">
        <is>
          <t>D836</t>
        </is>
      </c>
      <c r="D1138" t="inlineStr">
        <is>
          <t>67243408</t>
        </is>
      </c>
      <c r="E1138" t="inlineStr">
        <is>
          <t>1</t>
        </is>
      </c>
      <c r="F1138" t="inlineStr">
        <is>
          <t>10259792</t>
        </is>
      </c>
      <c r="H1138" t="inlineStr"/>
      <c r="J1138" t="n">
        <v>341.28</v>
      </c>
      <c r="K1138" t="inlineStr"/>
      <c r="M1138" t="inlineStr">
        <is>
          <t>M3</t>
        </is>
      </c>
      <c r="N1138" t="inlineStr"/>
      <c r="P1138" t="inlineStr">
        <is>
          <t>20260525</t>
        </is>
      </c>
      <c r="Q1138" t="inlineStr">
        <is>
          <t>20260531</t>
        </is>
      </c>
    </row>
    <row r="1139">
      <c r="A1139" t="inlineStr">
        <is>
          <t>900006543D8366728344210000206</t>
        </is>
      </c>
      <c r="B1139" t="inlineStr">
        <is>
          <t>900006543</t>
        </is>
      </c>
      <c r="C1139" t="inlineStr">
        <is>
          <t>D836</t>
        </is>
      </c>
      <c r="D1139" t="inlineStr">
        <is>
          <t>67283442</t>
        </is>
      </c>
      <c r="E1139" t="inlineStr">
        <is>
          <t>1</t>
        </is>
      </c>
      <c r="F1139" t="inlineStr">
        <is>
          <t>10000206</t>
        </is>
      </c>
      <c r="H1139" t="inlineStr"/>
      <c r="J1139" t="n">
        <v>116.93</v>
      </c>
      <c r="K1139" t="inlineStr"/>
      <c r="M1139" t="inlineStr">
        <is>
          <t>M3</t>
        </is>
      </c>
      <c r="N1139" t="inlineStr"/>
      <c r="P1139" t="inlineStr">
        <is>
          <t>20230301</t>
        </is>
      </c>
      <c r="Q1139" t="inlineStr">
        <is>
          <t>20251031</t>
        </is>
      </c>
    </row>
    <row r="1140">
      <c r="A1140" t="inlineStr">
        <is>
          <t>900006543D8366728344210000627</t>
        </is>
      </c>
      <c r="B1140" t="inlineStr">
        <is>
          <t>900006543</t>
        </is>
      </c>
      <c r="C1140" t="inlineStr">
        <is>
          <t>D836</t>
        </is>
      </c>
      <c r="D1140" t="inlineStr">
        <is>
          <t>67283442</t>
        </is>
      </c>
      <c r="E1140" t="inlineStr">
        <is>
          <t>1</t>
        </is>
      </c>
      <c r="F1140" t="inlineStr">
        <is>
          <t>10000627</t>
        </is>
      </c>
      <c r="H1140" t="inlineStr"/>
      <c r="J1140" t="n">
        <v>116.93</v>
      </c>
      <c r="K1140" t="inlineStr"/>
      <c r="M1140" t="inlineStr">
        <is>
          <t>M3</t>
        </is>
      </c>
      <c r="N1140" t="inlineStr"/>
      <c r="P1140" t="inlineStr">
        <is>
          <t>20230301</t>
        </is>
      </c>
      <c r="Q1140" t="inlineStr">
        <is>
          <t>20251031</t>
        </is>
      </c>
    </row>
    <row r="1141">
      <c r="A1141" t="inlineStr">
        <is>
          <t>900006543D8366728344210185476</t>
        </is>
      </c>
      <c r="B1141" t="inlineStr">
        <is>
          <t>900006543</t>
        </is>
      </c>
      <c r="C1141" t="inlineStr">
        <is>
          <t>D836</t>
        </is>
      </c>
      <c r="D1141" t="inlineStr">
        <is>
          <t>67283442</t>
        </is>
      </c>
      <c r="E1141" t="inlineStr">
        <is>
          <t>1</t>
        </is>
      </c>
      <c r="F1141" t="inlineStr">
        <is>
          <t>10185476</t>
        </is>
      </c>
      <c r="H1141" t="inlineStr"/>
      <c r="J1141" t="n">
        <v>116.93</v>
      </c>
      <c r="K1141" t="inlineStr"/>
      <c r="M1141" t="inlineStr">
        <is>
          <t>M3</t>
        </is>
      </c>
      <c r="N1141" t="inlineStr"/>
      <c r="P1141" t="inlineStr">
        <is>
          <t>20230301</t>
        </is>
      </c>
      <c r="Q1141" t="inlineStr">
        <is>
          <t>20251031</t>
        </is>
      </c>
    </row>
    <row r="1142">
      <c r="A1142" t="inlineStr">
        <is>
          <t>900006543D8366728344210185477</t>
        </is>
      </c>
      <c r="B1142" t="inlineStr">
        <is>
          <t>900006543</t>
        </is>
      </c>
      <c r="C1142" t="inlineStr">
        <is>
          <t>D836</t>
        </is>
      </c>
      <c r="D1142" t="inlineStr">
        <is>
          <t>67283442</t>
        </is>
      </c>
      <c r="E1142" t="inlineStr">
        <is>
          <t>1</t>
        </is>
      </c>
      <c r="F1142" t="inlineStr">
        <is>
          <t>10185477</t>
        </is>
      </c>
      <c r="H1142" t="inlineStr"/>
      <c r="J1142" t="n">
        <v>116.93</v>
      </c>
      <c r="K1142" t="inlineStr"/>
      <c r="M1142" t="inlineStr">
        <is>
          <t>M3</t>
        </is>
      </c>
      <c r="N1142" t="inlineStr"/>
      <c r="P1142" t="inlineStr">
        <is>
          <t>20230301</t>
        </is>
      </c>
      <c r="Q1142" t="inlineStr">
        <is>
          <t>20251031</t>
        </is>
      </c>
    </row>
    <row r="1143">
      <c r="A1143" t="inlineStr">
        <is>
          <t>900006543D8366732249910185476</t>
        </is>
      </c>
      <c r="B1143" t="inlineStr">
        <is>
          <t>900006543</t>
        </is>
      </c>
      <c r="C1143" t="inlineStr">
        <is>
          <t>D836</t>
        </is>
      </c>
      <c r="D1143" t="inlineStr">
        <is>
          <t>67322499</t>
        </is>
      </c>
      <c r="E1143" t="inlineStr">
        <is>
          <t>1</t>
        </is>
      </c>
      <c r="F1143" t="inlineStr">
        <is>
          <t>10185476</t>
        </is>
      </c>
      <c r="H1143" t="inlineStr"/>
      <c r="J1143" t="n">
        <v>271.15</v>
      </c>
      <c r="K1143" t="inlineStr"/>
      <c r="M1143" t="inlineStr">
        <is>
          <t>M3</t>
        </is>
      </c>
      <c r="N1143" t="inlineStr"/>
      <c r="P1143" t="inlineStr">
        <is>
          <t>20260318</t>
        </is>
      </c>
      <c r="Q1143" t="inlineStr">
        <is>
          <t>99991231</t>
        </is>
      </c>
    </row>
    <row r="1144">
      <c r="A1144" t="inlineStr">
        <is>
          <t>900006543D8366732249910185477</t>
        </is>
      </c>
      <c r="B1144" t="inlineStr">
        <is>
          <t>900006543</t>
        </is>
      </c>
      <c r="C1144" t="inlineStr">
        <is>
          <t>D836</t>
        </is>
      </c>
      <c r="D1144" t="inlineStr">
        <is>
          <t>67322499</t>
        </is>
      </c>
      <c r="E1144" t="inlineStr">
        <is>
          <t>1</t>
        </is>
      </c>
      <c r="F1144" t="inlineStr">
        <is>
          <t>10185477</t>
        </is>
      </c>
      <c r="H1144" t="inlineStr"/>
      <c r="J1144" t="n">
        <v>271.15</v>
      </c>
      <c r="K1144" t="inlineStr"/>
      <c r="M1144" t="inlineStr">
        <is>
          <t>M3</t>
        </is>
      </c>
      <c r="N1144" t="inlineStr"/>
      <c r="P1144" t="inlineStr">
        <is>
          <t>20260318</t>
        </is>
      </c>
      <c r="Q1144" t="inlineStr">
        <is>
          <t>99991231</t>
        </is>
      </c>
    </row>
    <row r="1145">
      <c r="A1145" t="inlineStr">
        <is>
          <t>900006543D8366732249910259792</t>
        </is>
      </c>
      <c r="B1145" t="inlineStr">
        <is>
          <t>900006543</t>
        </is>
      </c>
      <c r="C1145" t="inlineStr">
        <is>
          <t>D836</t>
        </is>
      </c>
      <c r="D1145" t="inlineStr">
        <is>
          <t>67322499</t>
        </is>
      </c>
      <c r="E1145" t="inlineStr">
        <is>
          <t>1</t>
        </is>
      </c>
      <c r="F1145" t="inlineStr">
        <is>
          <t>10259792</t>
        </is>
      </c>
      <c r="H1145" t="inlineStr"/>
      <c r="J1145" t="n">
        <v>271.15</v>
      </c>
      <c r="K1145" t="inlineStr"/>
      <c r="M1145" t="inlineStr">
        <is>
          <t>M3</t>
        </is>
      </c>
      <c r="N1145" t="inlineStr"/>
      <c r="P1145" t="inlineStr">
        <is>
          <t>20260525</t>
        </is>
      </c>
      <c r="Q1145" t="inlineStr">
        <is>
          <t>20260531</t>
        </is>
      </c>
    </row>
    <row r="1146">
      <c r="A1146" t="inlineStr">
        <is>
          <t>900006543D8366735863110000627</t>
        </is>
      </c>
      <c r="B1146" t="inlineStr">
        <is>
          <t>900006543</t>
        </is>
      </c>
      <c r="C1146" t="inlineStr">
        <is>
          <t>D836</t>
        </is>
      </c>
      <c r="D1146" t="inlineStr">
        <is>
          <t>67358631</t>
        </is>
      </c>
      <c r="E1146" t="inlineStr">
        <is>
          <t>1</t>
        </is>
      </c>
      <c r="F1146" t="inlineStr">
        <is>
          <t>10000627</t>
        </is>
      </c>
      <c r="H1146" t="inlineStr"/>
      <c r="J1146" t="n">
        <v>231.28</v>
      </c>
      <c r="K1146" t="inlineStr"/>
      <c r="M1146" t="inlineStr">
        <is>
          <t>M3</t>
        </is>
      </c>
      <c r="N1146" t="inlineStr"/>
      <c r="P1146" t="inlineStr">
        <is>
          <t>20251216</t>
        </is>
      </c>
      <c r="Q1146" t="inlineStr">
        <is>
          <t>99991231</t>
        </is>
      </c>
    </row>
    <row r="1147">
      <c r="A1147" t="inlineStr">
        <is>
          <t>900006543D8366735863110185476</t>
        </is>
      </c>
      <c r="B1147" t="inlineStr">
        <is>
          <t>900006543</t>
        </is>
      </c>
      <c r="C1147" t="inlineStr">
        <is>
          <t>D836</t>
        </is>
      </c>
      <c r="D1147" t="inlineStr">
        <is>
          <t>67358631</t>
        </is>
      </c>
      <c r="E1147" t="inlineStr">
        <is>
          <t>1</t>
        </is>
      </c>
      <c r="F1147" t="inlineStr">
        <is>
          <t>10185476</t>
        </is>
      </c>
      <c r="H1147" t="inlineStr"/>
      <c r="J1147" t="n">
        <v>231.28</v>
      </c>
      <c r="K1147" t="inlineStr"/>
      <c r="M1147" t="inlineStr">
        <is>
          <t>M3</t>
        </is>
      </c>
      <c r="N1147" t="inlineStr"/>
      <c r="P1147" t="inlineStr">
        <is>
          <t>20251216</t>
        </is>
      </c>
      <c r="Q1147" t="inlineStr">
        <is>
          <t>99991231</t>
        </is>
      </c>
    </row>
    <row r="1148">
      <c r="A1148" t="inlineStr">
        <is>
          <t>900006543D8366735863110185477</t>
        </is>
      </c>
      <c r="B1148" t="inlineStr">
        <is>
          <t>900006543</t>
        </is>
      </c>
      <c r="C1148" t="inlineStr">
        <is>
          <t>D836</t>
        </is>
      </c>
      <c r="D1148" t="inlineStr">
        <is>
          <t>67358631</t>
        </is>
      </c>
      <c r="E1148" t="inlineStr">
        <is>
          <t>1</t>
        </is>
      </c>
      <c r="F1148" t="inlineStr">
        <is>
          <t>10185477</t>
        </is>
      </c>
      <c r="H1148" t="inlineStr"/>
      <c r="J1148" t="n">
        <v>231.28</v>
      </c>
      <c r="K1148" t="inlineStr"/>
      <c r="M1148" t="inlineStr">
        <is>
          <t>M3</t>
        </is>
      </c>
      <c r="N1148" t="inlineStr"/>
      <c r="P1148" t="inlineStr">
        <is>
          <t>20251216</t>
        </is>
      </c>
      <c r="Q1148" t="inlineStr">
        <is>
          <t>99991231</t>
        </is>
      </c>
    </row>
    <row r="1149">
      <c r="A1149" t="inlineStr">
        <is>
          <t>900006581D8366662466310146897</t>
        </is>
      </c>
      <c r="B1149" t="inlineStr">
        <is>
          <t>900006581</t>
        </is>
      </c>
      <c r="C1149" t="inlineStr">
        <is>
          <t>D836</t>
        </is>
      </c>
      <c r="D1149" t="inlineStr">
        <is>
          <t>66624663</t>
        </is>
      </c>
      <c r="E1149" t="inlineStr">
        <is>
          <t>4</t>
        </is>
      </c>
      <c r="F1149" t="inlineStr">
        <is>
          <t>10146897</t>
        </is>
      </c>
      <c r="H1149" t="inlineStr"/>
      <c r="J1149" t="n">
        <v>70</v>
      </c>
      <c r="K1149" t="inlineStr"/>
      <c r="M1149" t="inlineStr">
        <is>
          <t>M3</t>
        </is>
      </c>
      <c r="N1149" t="inlineStr"/>
      <c r="P1149" t="inlineStr">
        <is>
          <t>20190426</t>
        </is>
      </c>
      <c r="Q1149" t="inlineStr">
        <is>
          <t>20250127</t>
        </is>
      </c>
    </row>
    <row r="1150">
      <c r="A1150" t="inlineStr">
        <is>
          <t>900006824D8366500394510000240</t>
        </is>
      </c>
      <c r="B1150" t="inlineStr">
        <is>
          <t>900006824</t>
        </is>
      </c>
      <c r="C1150" t="inlineStr">
        <is>
          <t>D836</t>
        </is>
      </c>
      <c r="D1150" t="inlineStr">
        <is>
          <t>65003945</t>
        </is>
      </c>
      <c r="E1150" t="inlineStr">
        <is>
          <t>4</t>
        </is>
      </c>
      <c r="F1150" t="inlineStr">
        <is>
          <t>10000240</t>
        </is>
      </c>
      <c r="H1150" t="inlineStr"/>
      <c r="J1150" t="n">
        <v>350</v>
      </c>
      <c r="K1150" t="inlineStr"/>
      <c r="M1150" t="inlineStr">
        <is>
          <t>M3</t>
        </is>
      </c>
      <c r="N1150" t="inlineStr"/>
      <c r="P1150" t="inlineStr">
        <is>
          <t>20220307</t>
        </is>
      </c>
      <c r="Q1150" t="inlineStr">
        <is>
          <t>20220307</t>
        </is>
      </c>
    </row>
    <row r="1151">
      <c r="A1151" t="inlineStr">
        <is>
          <t>900006824D8366500394510001074</t>
        </is>
      </c>
      <c r="B1151" t="inlineStr">
        <is>
          <t>900006824</t>
        </is>
      </c>
      <c r="C1151" t="inlineStr">
        <is>
          <t>D836</t>
        </is>
      </c>
      <c r="D1151" t="inlineStr">
        <is>
          <t>65003945</t>
        </is>
      </c>
      <c r="E1151" t="inlineStr">
        <is>
          <t>4</t>
        </is>
      </c>
      <c r="F1151" t="inlineStr">
        <is>
          <t>10001074</t>
        </is>
      </c>
      <c r="H1151" t="inlineStr"/>
      <c r="J1151" t="n">
        <v>350</v>
      </c>
      <c r="K1151" t="inlineStr"/>
      <c r="M1151" t="inlineStr">
        <is>
          <t>M3</t>
        </is>
      </c>
      <c r="N1151" t="inlineStr"/>
      <c r="P1151" t="inlineStr">
        <is>
          <t>20220307</t>
        </is>
      </c>
      <c r="Q1151" t="inlineStr">
        <is>
          <t>20220307</t>
        </is>
      </c>
    </row>
    <row r="1152">
      <c r="A1152" t="inlineStr">
        <is>
          <t>900006824D8366500394510192943</t>
        </is>
      </c>
      <c r="B1152" t="inlineStr">
        <is>
          <t>900006824</t>
        </is>
      </c>
      <c r="C1152" t="inlineStr">
        <is>
          <t>D836</t>
        </is>
      </c>
      <c r="D1152" t="inlineStr">
        <is>
          <t>65003945</t>
        </is>
      </c>
      <c r="E1152" t="inlineStr">
        <is>
          <t>4</t>
        </is>
      </c>
      <c r="F1152" t="inlineStr">
        <is>
          <t>10192943</t>
        </is>
      </c>
      <c r="H1152" t="inlineStr"/>
      <c r="J1152" t="n">
        <v>350</v>
      </c>
      <c r="K1152" t="inlineStr"/>
      <c r="M1152" t="inlineStr">
        <is>
          <t>M3</t>
        </is>
      </c>
      <c r="N1152" t="inlineStr"/>
      <c r="P1152" t="inlineStr">
        <is>
          <t>20190426</t>
        </is>
      </c>
      <c r="Q1152" t="inlineStr">
        <is>
          <t>20250127</t>
        </is>
      </c>
    </row>
    <row r="1153">
      <c r="A1153" t="inlineStr">
        <is>
          <t>900006824D8366500394510192944</t>
        </is>
      </c>
      <c r="B1153" t="inlineStr">
        <is>
          <t>900006824</t>
        </is>
      </c>
      <c r="C1153" t="inlineStr">
        <is>
          <t>D836</t>
        </is>
      </c>
      <c r="D1153" t="inlineStr">
        <is>
          <t>65003945</t>
        </is>
      </c>
      <c r="E1153" t="inlineStr">
        <is>
          <t>4</t>
        </is>
      </c>
      <c r="F1153" t="inlineStr">
        <is>
          <t>10192944</t>
        </is>
      </c>
      <c r="H1153" t="inlineStr"/>
      <c r="J1153" t="n">
        <v>350</v>
      </c>
      <c r="K1153" t="inlineStr"/>
      <c r="M1153" t="inlineStr">
        <is>
          <t>M3</t>
        </is>
      </c>
      <c r="N1153" t="inlineStr"/>
      <c r="P1153" t="inlineStr">
        <is>
          <t>20190426</t>
        </is>
      </c>
      <c r="Q1153" t="inlineStr">
        <is>
          <t>20250127</t>
        </is>
      </c>
    </row>
    <row r="1154">
      <c r="A1154" t="inlineStr">
        <is>
          <t>900006824D8366649096010000623</t>
        </is>
      </c>
      <c r="B1154" t="inlineStr">
        <is>
          <t>900006824</t>
        </is>
      </c>
      <c r="C1154" t="inlineStr">
        <is>
          <t>D836</t>
        </is>
      </c>
      <c r="D1154" t="inlineStr">
        <is>
          <t>66490960</t>
        </is>
      </c>
      <c r="E1154" t="inlineStr">
        <is>
          <t>4</t>
        </is>
      </c>
      <c r="F1154" t="inlineStr">
        <is>
          <t>10000623</t>
        </is>
      </c>
      <c r="H1154" t="inlineStr"/>
      <c r="J1154" t="n">
        <v>130</v>
      </c>
      <c r="K1154" t="inlineStr"/>
      <c r="M1154" t="inlineStr">
        <is>
          <t>M3</t>
        </is>
      </c>
      <c r="N1154" t="inlineStr"/>
      <c r="P1154" t="inlineStr">
        <is>
          <t>20190426</t>
        </is>
      </c>
      <c r="Q1154" t="inlineStr">
        <is>
          <t>20250127</t>
        </is>
      </c>
    </row>
    <row r="1155">
      <c r="A1155" t="inlineStr">
        <is>
          <t>900006824D8366677927610000240</t>
        </is>
      </c>
      <c r="B1155" t="inlineStr">
        <is>
          <t>900006824</t>
        </is>
      </c>
      <c r="C1155" t="inlineStr">
        <is>
          <t>D836</t>
        </is>
      </c>
      <c r="D1155" t="inlineStr">
        <is>
          <t>66779276</t>
        </is>
      </c>
      <c r="E1155" t="inlineStr">
        <is>
          <t>4</t>
        </is>
      </c>
      <c r="F1155" t="inlineStr">
        <is>
          <t>10000240</t>
        </is>
      </c>
      <c r="H1155" t="inlineStr"/>
      <c r="J1155" t="n">
        <v>400</v>
      </c>
      <c r="K1155" t="inlineStr"/>
      <c r="M1155" t="inlineStr">
        <is>
          <t>M3</t>
        </is>
      </c>
      <c r="N1155" t="inlineStr"/>
      <c r="P1155" t="inlineStr">
        <is>
          <t>20220307</t>
        </is>
      </c>
      <c r="Q1155" t="inlineStr">
        <is>
          <t>20220307</t>
        </is>
      </c>
    </row>
    <row r="1156">
      <c r="A1156" t="inlineStr">
        <is>
          <t>900006824D8366677927610001074</t>
        </is>
      </c>
      <c r="B1156" t="inlineStr">
        <is>
          <t>900006824</t>
        </is>
      </c>
      <c r="C1156" t="inlineStr">
        <is>
          <t>D836</t>
        </is>
      </c>
      <c r="D1156" t="inlineStr">
        <is>
          <t>66779276</t>
        </is>
      </c>
      <c r="E1156" t="inlineStr">
        <is>
          <t>4</t>
        </is>
      </c>
      <c r="F1156" t="inlineStr">
        <is>
          <t>10001074</t>
        </is>
      </c>
      <c r="H1156" t="inlineStr"/>
      <c r="J1156" t="n">
        <v>400</v>
      </c>
      <c r="K1156" t="inlineStr"/>
      <c r="M1156" t="inlineStr">
        <is>
          <t>M3</t>
        </is>
      </c>
      <c r="N1156" t="inlineStr"/>
      <c r="P1156" t="inlineStr">
        <is>
          <t>20220307</t>
        </is>
      </c>
      <c r="Q1156" t="inlineStr">
        <is>
          <t>20220307</t>
        </is>
      </c>
    </row>
    <row r="1157">
      <c r="A1157" t="inlineStr">
        <is>
          <t>900006824D8366677927610192943</t>
        </is>
      </c>
      <c r="B1157" t="inlineStr">
        <is>
          <t>900006824</t>
        </is>
      </c>
      <c r="C1157" t="inlineStr">
        <is>
          <t>D836</t>
        </is>
      </c>
      <c r="D1157" t="inlineStr">
        <is>
          <t>66779276</t>
        </is>
      </c>
      <c r="E1157" t="inlineStr">
        <is>
          <t>4</t>
        </is>
      </c>
      <c r="F1157" t="inlineStr">
        <is>
          <t>10192943</t>
        </is>
      </c>
      <c r="H1157" t="inlineStr"/>
      <c r="J1157" t="n">
        <v>220</v>
      </c>
      <c r="K1157" t="inlineStr"/>
      <c r="M1157" t="inlineStr">
        <is>
          <t>TN</t>
        </is>
      </c>
      <c r="N1157" t="inlineStr"/>
      <c r="P1157" t="inlineStr">
        <is>
          <t>20240403</t>
        </is>
      </c>
      <c r="Q1157" t="inlineStr">
        <is>
          <t>99991231</t>
        </is>
      </c>
    </row>
    <row r="1158">
      <c r="A1158" t="inlineStr">
        <is>
          <t>900006824D8366677927610192944</t>
        </is>
      </c>
      <c r="B1158" t="inlineStr">
        <is>
          <t>900006824</t>
        </is>
      </c>
      <c r="C1158" t="inlineStr">
        <is>
          <t>D836</t>
        </is>
      </c>
      <c r="D1158" t="inlineStr">
        <is>
          <t>66779276</t>
        </is>
      </c>
      <c r="E1158" t="inlineStr">
        <is>
          <t>4</t>
        </is>
      </c>
      <c r="F1158" t="inlineStr">
        <is>
          <t>10192944</t>
        </is>
      </c>
      <c r="H1158" t="inlineStr"/>
      <c r="J1158" t="n">
        <v>210</v>
      </c>
      <c r="K1158" t="inlineStr"/>
      <c r="M1158" t="inlineStr">
        <is>
          <t>TN</t>
        </is>
      </c>
      <c r="N1158" t="inlineStr"/>
      <c r="P1158" t="inlineStr">
        <is>
          <t>20240403</t>
        </is>
      </c>
      <c r="Q1158" t="inlineStr">
        <is>
          <t>99991231</t>
        </is>
      </c>
    </row>
    <row r="1159">
      <c r="A1159" t="inlineStr">
        <is>
          <t>900006824D8366687461610215377</t>
        </is>
      </c>
      <c r="B1159" t="inlineStr">
        <is>
          <t>900006824</t>
        </is>
      </c>
      <c r="C1159" t="inlineStr">
        <is>
          <t>D836</t>
        </is>
      </c>
      <c r="D1159" t="inlineStr">
        <is>
          <t>66874616</t>
        </is>
      </c>
      <c r="E1159" t="inlineStr">
        <is>
          <t>4</t>
        </is>
      </c>
      <c r="F1159" t="inlineStr">
        <is>
          <t>10215377</t>
        </is>
      </c>
      <c r="H1159" t="inlineStr"/>
      <c r="J1159" t="n">
        <v>267</v>
      </c>
      <c r="K1159" t="inlineStr"/>
      <c r="M1159" t="inlineStr">
        <is>
          <t>M3</t>
        </is>
      </c>
      <c r="N1159" t="inlineStr"/>
      <c r="P1159" t="inlineStr">
        <is>
          <t>20190426</t>
        </is>
      </c>
      <c r="Q1159" t="inlineStr">
        <is>
          <t>20250127</t>
        </is>
      </c>
    </row>
    <row r="1160">
      <c r="A1160" t="inlineStr">
        <is>
          <t>900006824D8366700850710000623</t>
        </is>
      </c>
      <c r="B1160" t="inlineStr">
        <is>
          <t>900006824</t>
        </is>
      </c>
      <c r="C1160" t="inlineStr">
        <is>
          <t>D836</t>
        </is>
      </c>
      <c r="D1160" t="inlineStr">
        <is>
          <t>67008507</t>
        </is>
      </c>
      <c r="E1160" t="inlineStr">
        <is>
          <t>4</t>
        </is>
      </c>
      <c r="F1160" t="inlineStr">
        <is>
          <t>10000623</t>
        </is>
      </c>
      <c r="H1160" t="inlineStr"/>
      <c r="J1160" t="n">
        <v>140</v>
      </c>
      <c r="K1160" t="inlineStr"/>
      <c r="M1160" t="inlineStr">
        <is>
          <t>TN</t>
        </is>
      </c>
      <c r="N1160" t="inlineStr"/>
      <c r="P1160" t="inlineStr">
        <is>
          <t>20190426</t>
        </is>
      </c>
      <c r="Q1160" t="inlineStr">
        <is>
          <t>20250127</t>
        </is>
      </c>
    </row>
    <row r="1161">
      <c r="A1161" t="inlineStr">
        <is>
          <t>900006824D8366709100410192945</t>
        </is>
      </c>
      <c r="B1161" t="inlineStr">
        <is>
          <t>900006824</t>
        </is>
      </c>
      <c r="C1161" t="inlineStr">
        <is>
          <t>D836</t>
        </is>
      </c>
      <c r="D1161" t="inlineStr">
        <is>
          <t>67091004</t>
        </is>
      </c>
      <c r="E1161" t="inlineStr">
        <is>
          <t>4</t>
        </is>
      </c>
      <c r="F1161" t="inlineStr">
        <is>
          <t>10192945</t>
        </is>
      </c>
      <c r="H1161" t="inlineStr"/>
      <c r="J1161" t="n">
        <v>190.59</v>
      </c>
      <c r="K1161" t="inlineStr"/>
      <c r="M1161" t="inlineStr">
        <is>
          <t>TN</t>
        </is>
      </c>
      <c r="N1161" t="inlineStr"/>
      <c r="P1161" t="inlineStr">
        <is>
          <t>20190426</t>
        </is>
      </c>
      <c r="Q1161" t="inlineStr">
        <is>
          <t>20250127</t>
        </is>
      </c>
    </row>
    <row r="1162">
      <c r="A1162" t="inlineStr">
        <is>
          <t>900006824D8366709245410000623</t>
        </is>
      </c>
      <c r="B1162" t="inlineStr">
        <is>
          <t>900006824</t>
        </is>
      </c>
      <c r="C1162" t="inlineStr">
        <is>
          <t>D836</t>
        </is>
      </c>
      <c r="D1162" t="inlineStr">
        <is>
          <t>67092454</t>
        </is>
      </c>
      <c r="E1162" t="inlineStr">
        <is>
          <t>4</t>
        </is>
      </c>
      <c r="F1162" t="inlineStr">
        <is>
          <t>10000623</t>
        </is>
      </c>
      <c r="H1162" t="inlineStr"/>
      <c r="J1162" t="n">
        <v>140</v>
      </c>
      <c r="K1162" t="inlineStr"/>
      <c r="M1162" t="inlineStr">
        <is>
          <t>TN</t>
        </is>
      </c>
      <c r="N1162" t="inlineStr"/>
      <c r="P1162" t="inlineStr">
        <is>
          <t>20190426</t>
        </is>
      </c>
      <c r="Q1162" t="inlineStr">
        <is>
          <t>20250127</t>
        </is>
      </c>
    </row>
    <row r="1163">
      <c r="A1163" t="inlineStr">
        <is>
          <t>900006950D8366500190510000133</t>
        </is>
      </c>
      <c r="B1163" t="inlineStr">
        <is>
          <t>900006950</t>
        </is>
      </c>
      <c r="C1163" t="inlineStr">
        <is>
          <t>D836</t>
        </is>
      </c>
      <c r="D1163" t="inlineStr">
        <is>
          <t>65001905</t>
        </is>
      </c>
      <c r="E1163" t="inlineStr">
        <is>
          <t>4</t>
        </is>
      </c>
      <c r="F1163" t="inlineStr">
        <is>
          <t>10000133</t>
        </is>
      </c>
      <c r="H1163" t="inlineStr"/>
      <c r="J1163" t="n">
        <v>155</v>
      </c>
      <c r="K1163" t="inlineStr"/>
      <c r="M1163" t="inlineStr">
        <is>
          <t>M3</t>
        </is>
      </c>
      <c r="N1163" t="inlineStr"/>
      <c r="P1163" t="inlineStr">
        <is>
          <t>20190426</t>
        </is>
      </c>
      <c r="Q1163" t="inlineStr">
        <is>
          <t>20250127</t>
        </is>
      </c>
    </row>
    <row r="1164">
      <c r="A1164" t="inlineStr">
        <is>
          <t>900006950D8366500190510058345</t>
        </is>
      </c>
      <c r="B1164" t="inlineStr">
        <is>
          <t>900006950</t>
        </is>
      </c>
      <c r="C1164" t="inlineStr">
        <is>
          <t>D836</t>
        </is>
      </c>
      <c r="D1164" t="inlineStr">
        <is>
          <t>65001905</t>
        </is>
      </c>
      <c r="E1164" t="inlineStr">
        <is>
          <t>4</t>
        </is>
      </c>
      <c r="F1164" t="inlineStr">
        <is>
          <t>10058345</t>
        </is>
      </c>
      <c r="H1164" t="inlineStr"/>
      <c r="J1164" t="n">
        <v>155</v>
      </c>
      <c r="K1164" t="inlineStr"/>
      <c r="M1164" t="inlineStr">
        <is>
          <t>M3</t>
        </is>
      </c>
      <c r="N1164" t="inlineStr"/>
      <c r="P1164" t="inlineStr">
        <is>
          <t>20190426</t>
        </is>
      </c>
      <c r="Q1164" t="inlineStr">
        <is>
          <t>20250127</t>
        </is>
      </c>
    </row>
    <row r="1165">
      <c r="A1165" t="inlineStr">
        <is>
          <t>900006950D8366506168710183920</t>
        </is>
      </c>
      <c r="B1165" t="inlineStr">
        <is>
          <t>900006950</t>
        </is>
      </c>
      <c r="C1165" t="inlineStr">
        <is>
          <t>D836</t>
        </is>
      </c>
      <c r="D1165" t="inlineStr">
        <is>
          <t>65061687</t>
        </is>
      </c>
      <c r="E1165" t="inlineStr">
        <is>
          <t>4</t>
        </is>
      </c>
      <c r="F1165" t="inlineStr">
        <is>
          <t>10183920</t>
        </is>
      </c>
      <c r="H1165" t="inlineStr"/>
      <c r="J1165" t="n">
        <v>100</v>
      </c>
      <c r="K1165" t="inlineStr"/>
      <c r="M1165" t="inlineStr">
        <is>
          <t>M3</t>
        </is>
      </c>
      <c r="N1165" t="inlineStr"/>
      <c r="P1165" t="inlineStr">
        <is>
          <t>20240621</t>
        </is>
      </c>
      <c r="Q1165" t="inlineStr">
        <is>
          <t>99991231</t>
        </is>
      </c>
    </row>
    <row r="1166">
      <c r="A1166" t="inlineStr">
        <is>
          <t>900006950D8366677927610000133</t>
        </is>
      </c>
      <c r="B1166" t="inlineStr">
        <is>
          <t>900006950</t>
        </is>
      </c>
      <c r="C1166" t="inlineStr">
        <is>
          <t>D836</t>
        </is>
      </c>
      <c r="D1166" t="inlineStr">
        <is>
          <t>66779276</t>
        </is>
      </c>
      <c r="E1166" t="inlineStr">
        <is>
          <t>4</t>
        </is>
      </c>
      <c r="F1166" t="inlineStr">
        <is>
          <t>10000133</t>
        </is>
      </c>
      <c r="H1166" t="inlineStr"/>
      <c r="J1166" t="n">
        <v>227.63</v>
      </c>
      <c r="K1166" t="inlineStr"/>
      <c r="M1166" t="inlineStr">
        <is>
          <t>TN</t>
        </is>
      </c>
      <c r="N1166" t="inlineStr"/>
      <c r="P1166" t="inlineStr">
        <is>
          <t>20230301</t>
        </is>
      </c>
      <c r="Q1166" t="inlineStr">
        <is>
          <t>20251031</t>
        </is>
      </c>
    </row>
    <row r="1167">
      <c r="A1167" t="inlineStr">
        <is>
          <t>900006950D8366677927610000624</t>
        </is>
      </c>
      <c r="B1167" t="inlineStr">
        <is>
          <t>900006950</t>
        </is>
      </c>
      <c r="C1167" t="inlineStr">
        <is>
          <t>D836</t>
        </is>
      </c>
      <c r="D1167" t="inlineStr">
        <is>
          <t>66779276</t>
        </is>
      </c>
      <c r="E1167" t="inlineStr">
        <is>
          <t>4</t>
        </is>
      </c>
      <c r="F1167" t="inlineStr">
        <is>
          <t>10000624</t>
        </is>
      </c>
      <c r="H1167" t="inlineStr"/>
      <c r="J1167" t="n">
        <v>237.71</v>
      </c>
      <c r="K1167" t="inlineStr"/>
      <c r="M1167" t="inlineStr">
        <is>
          <t>TN</t>
        </is>
      </c>
      <c r="N1167" t="inlineStr"/>
      <c r="P1167" t="inlineStr">
        <is>
          <t>20190426</t>
        </is>
      </c>
      <c r="Q1167" t="inlineStr">
        <is>
          <t>20250127</t>
        </is>
      </c>
    </row>
    <row r="1168">
      <c r="A1168" t="inlineStr">
        <is>
          <t>900006950D8366691186710000357</t>
        </is>
      </c>
      <c r="B1168" t="inlineStr">
        <is>
          <t>900006950</t>
        </is>
      </c>
      <c r="C1168" t="inlineStr">
        <is>
          <t>D836</t>
        </is>
      </c>
      <c r="D1168" t="inlineStr">
        <is>
          <t>66911867</t>
        </is>
      </c>
      <c r="E1168" t="inlineStr">
        <is>
          <t>4</t>
        </is>
      </c>
      <c r="F1168" t="inlineStr">
        <is>
          <t>10000357</t>
        </is>
      </c>
      <c r="H1168" t="inlineStr"/>
      <c r="J1168" t="n">
        <v>122.4</v>
      </c>
      <c r="K1168" t="inlineStr"/>
      <c r="M1168" t="inlineStr">
        <is>
          <t>M3</t>
        </is>
      </c>
      <c r="N1168" t="inlineStr"/>
      <c r="P1168" t="inlineStr">
        <is>
          <t>20190426</t>
        </is>
      </c>
      <c r="Q1168" t="inlineStr">
        <is>
          <t>20250127</t>
        </is>
      </c>
    </row>
    <row r="1169">
      <c r="A1169" t="inlineStr">
        <is>
          <t>900006950D8366691924410000133</t>
        </is>
      </c>
      <c r="B1169" t="inlineStr">
        <is>
          <t>900006950</t>
        </is>
      </c>
      <c r="C1169" t="inlineStr">
        <is>
          <t>D836</t>
        </is>
      </c>
      <c r="D1169" t="inlineStr">
        <is>
          <t>66919244</t>
        </is>
      </c>
      <c r="E1169" t="inlineStr">
        <is>
          <t>4</t>
        </is>
      </c>
      <c r="F1169" t="inlineStr">
        <is>
          <t>10000133</t>
        </is>
      </c>
      <c r="H1169" t="inlineStr"/>
      <c r="J1169" t="n">
        <v>200</v>
      </c>
      <c r="K1169" t="inlineStr"/>
      <c r="M1169" t="inlineStr">
        <is>
          <t>M3</t>
        </is>
      </c>
      <c r="N1169" t="inlineStr"/>
      <c r="P1169" t="inlineStr">
        <is>
          <t>20201229</t>
        </is>
      </c>
      <c r="Q1169" t="inlineStr">
        <is>
          <t>20251030</t>
        </is>
      </c>
    </row>
    <row r="1170">
      <c r="A1170" t="inlineStr">
        <is>
          <t>900006950D8366691924410058345</t>
        </is>
      </c>
      <c r="B1170" t="inlineStr">
        <is>
          <t>900006950</t>
        </is>
      </c>
      <c r="C1170" t="inlineStr">
        <is>
          <t>D836</t>
        </is>
      </c>
      <c r="D1170" t="inlineStr">
        <is>
          <t>66919244</t>
        </is>
      </c>
      <c r="E1170" t="inlineStr">
        <is>
          <t>4</t>
        </is>
      </c>
      <c r="F1170" t="inlineStr">
        <is>
          <t>10058345</t>
        </is>
      </c>
      <c r="H1170" t="inlineStr"/>
      <c r="J1170" t="n">
        <v>200</v>
      </c>
      <c r="K1170" t="inlineStr"/>
      <c r="M1170" t="inlineStr">
        <is>
          <t>M3</t>
        </is>
      </c>
      <c r="N1170" t="inlineStr"/>
      <c r="P1170" t="inlineStr">
        <is>
          <t>20201229</t>
        </is>
      </c>
      <c r="Q1170" t="inlineStr">
        <is>
          <t>20251030</t>
        </is>
      </c>
    </row>
    <row r="1171">
      <c r="A1171" t="inlineStr">
        <is>
          <t>900006950D8366694218610019515</t>
        </is>
      </c>
      <c r="B1171" t="inlineStr">
        <is>
          <t>900006950</t>
        </is>
      </c>
      <c r="C1171" t="inlineStr">
        <is>
          <t>D836</t>
        </is>
      </c>
      <c r="D1171" t="inlineStr">
        <is>
          <t>66942186</t>
        </is>
      </c>
      <c r="E1171" t="inlineStr">
        <is>
          <t>4</t>
        </is>
      </c>
      <c r="F1171" t="inlineStr">
        <is>
          <t>10019515</t>
        </is>
      </c>
      <c r="H1171" t="inlineStr"/>
      <c r="J1171" t="n">
        <v>120</v>
      </c>
      <c r="K1171" t="inlineStr"/>
      <c r="M1171" t="inlineStr">
        <is>
          <t>M3</t>
        </is>
      </c>
      <c r="N1171" t="inlineStr"/>
      <c r="P1171" t="inlineStr">
        <is>
          <t>20190426</t>
        </is>
      </c>
      <c r="Q1171" t="inlineStr">
        <is>
          <t>20250127</t>
        </is>
      </c>
    </row>
    <row r="1172">
      <c r="A1172" t="inlineStr">
        <is>
          <t>900006950D8366695831210000133</t>
        </is>
      </c>
      <c r="B1172" t="inlineStr">
        <is>
          <t>900006950</t>
        </is>
      </c>
      <c r="C1172" t="inlineStr">
        <is>
          <t>D836</t>
        </is>
      </c>
      <c r="D1172" t="inlineStr">
        <is>
          <t>66958312</t>
        </is>
      </c>
      <c r="E1172" t="inlineStr">
        <is>
          <t>4</t>
        </is>
      </c>
      <c r="F1172" t="inlineStr">
        <is>
          <t>10000133</t>
        </is>
      </c>
      <c r="H1172" t="inlineStr"/>
      <c r="J1172" t="n">
        <v>75</v>
      </c>
      <c r="K1172" t="inlineStr"/>
      <c r="M1172" t="inlineStr">
        <is>
          <t>M3</t>
        </is>
      </c>
      <c r="N1172" t="inlineStr"/>
      <c r="P1172" t="inlineStr">
        <is>
          <t>20190426</t>
        </is>
      </c>
      <c r="Q1172" t="inlineStr">
        <is>
          <t>20250127</t>
        </is>
      </c>
    </row>
    <row r="1173">
      <c r="A1173" t="inlineStr">
        <is>
          <t>900006950D8366695831210000160</t>
        </is>
      </c>
      <c r="B1173" t="inlineStr">
        <is>
          <t>900006950</t>
        </is>
      </c>
      <c r="C1173" t="inlineStr">
        <is>
          <t>D836</t>
        </is>
      </c>
      <c r="D1173" t="inlineStr">
        <is>
          <t>66958312</t>
        </is>
      </c>
      <c r="E1173" t="inlineStr">
        <is>
          <t>4</t>
        </is>
      </c>
      <c r="F1173" t="inlineStr">
        <is>
          <t>10000160</t>
        </is>
      </c>
      <c r="H1173" t="inlineStr"/>
      <c r="J1173" t="n">
        <v>65</v>
      </c>
      <c r="K1173" t="inlineStr"/>
      <c r="M1173" t="inlineStr">
        <is>
          <t>M3</t>
        </is>
      </c>
      <c r="N1173" t="inlineStr"/>
      <c r="P1173" t="inlineStr">
        <is>
          <t>20190426</t>
        </is>
      </c>
      <c r="Q1173" t="inlineStr">
        <is>
          <t>20250127</t>
        </is>
      </c>
    </row>
    <row r="1174">
      <c r="A1174" t="inlineStr">
        <is>
          <t>900006950D8366695831210000206</t>
        </is>
      </c>
      <c r="B1174" t="inlineStr">
        <is>
          <t>900006950</t>
        </is>
      </c>
      <c r="C1174" t="inlineStr">
        <is>
          <t>D836</t>
        </is>
      </c>
      <c r="D1174" t="inlineStr">
        <is>
          <t>66958312</t>
        </is>
      </c>
      <c r="E1174" t="inlineStr">
        <is>
          <t>4</t>
        </is>
      </c>
      <c r="F1174" t="inlineStr">
        <is>
          <t>10000206</t>
        </is>
      </c>
      <c r="H1174" t="inlineStr"/>
      <c r="J1174" t="n">
        <v>85.8</v>
      </c>
      <c r="K1174" t="inlineStr"/>
      <c r="M1174" t="inlineStr">
        <is>
          <t>M3</t>
        </is>
      </c>
      <c r="N1174" t="inlineStr"/>
      <c r="P1174" t="inlineStr">
        <is>
          <t>20190426</t>
        </is>
      </c>
      <c r="Q1174" t="inlineStr">
        <is>
          <t>20250127</t>
        </is>
      </c>
    </row>
    <row r="1175">
      <c r="A1175" t="inlineStr">
        <is>
          <t>900006950D8366695831210000357</t>
        </is>
      </c>
      <c r="B1175" t="inlineStr">
        <is>
          <t>900006950</t>
        </is>
      </c>
      <c r="C1175" t="inlineStr">
        <is>
          <t>D836</t>
        </is>
      </c>
      <c r="D1175" t="inlineStr">
        <is>
          <t>66958312</t>
        </is>
      </c>
      <c r="E1175" t="inlineStr">
        <is>
          <t>4</t>
        </is>
      </c>
      <c r="F1175" t="inlineStr">
        <is>
          <t>10000357</t>
        </is>
      </c>
      <c r="H1175" t="inlineStr"/>
      <c r="J1175" t="n">
        <v>75</v>
      </c>
      <c r="K1175" t="inlineStr"/>
      <c r="M1175" t="inlineStr">
        <is>
          <t>M3</t>
        </is>
      </c>
      <c r="N1175" t="inlineStr"/>
      <c r="P1175" t="inlineStr">
        <is>
          <t>20190426</t>
        </is>
      </c>
      <c r="Q1175" t="inlineStr">
        <is>
          <t>20250127</t>
        </is>
      </c>
    </row>
    <row r="1176">
      <c r="A1176" t="inlineStr">
        <is>
          <t>900006950D8366710471810000623</t>
        </is>
      </c>
      <c r="B1176" t="inlineStr">
        <is>
          <t>900006950</t>
        </is>
      </c>
      <c r="C1176" t="inlineStr">
        <is>
          <t>D836</t>
        </is>
      </c>
      <c r="D1176" t="inlineStr">
        <is>
          <t>67104718</t>
        </is>
      </c>
      <c r="E1176" t="inlineStr">
        <is>
          <t>4</t>
        </is>
      </c>
      <c r="F1176" t="inlineStr">
        <is>
          <t>10000623</t>
        </is>
      </c>
      <c r="H1176" t="inlineStr"/>
      <c r="J1176" t="n">
        <v>226.38</v>
      </c>
      <c r="K1176" t="inlineStr"/>
      <c r="M1176" t="inlineStr">
        <is>
          <t>TN</t>
        </is>
      </c>
      <c r="N1176" t="inlineStr"/>
      <c r="P1176" t="inlineStr">
        <is>
          <t>20190426</t>
        </is>
      </c>
      <c r="Q1176" t="inlineStr">
        <is>
          <t>20250127</t>
        </is>
      </c>
    </row>
    <row r="1177">
      <c r="A1177" t="inlineStr">
        <is>
          <t>900007028D8366644539910000566</t>
        </is>
      </c>
      <c r="B1177" t="inlineStr">
        <is>
          <t>900007028</t>
        </is>
      </c>
      <c r="C1177" t="inlineStr">
        <is>
          <t>D836</t>
        </is>
      </c>
      <c r="D1177" t="inlineStr">
        <is>
          <t>66445399</t>
        </is>
      </c>
      <c r="E1177" t="inlineStr">
        <is>
          <t>1</t>
        </is>
      </c>
      <c r="F1177" t="inlineStr">
        <is>
          <t>10000566</t>
        </is>
      </c>
      <c r="H1177" t="inlineStr"/>
      <c r="J1177" t="n">
        <v>181.21</v>
      </c>
      <c r="K1177" t="inlineStr"/>
      <c r="M1177" t="inlineStr">
        <is>
          <t>TN</t>
        </is>
      </c>
      <c r="N1177" t="inlineStr"/>
      <c r="P1177" t="inlineStr">
        <is>
          <t>20190426</t>
        </is>
      </c>
      <c r="Q1177" t="inlineStr">
        <is>
          <t>20250127</t>
        </is>
      </c>
    </row>
    <row r="1178">
      <c r="A1178" t="inlineStr">
        <is>
          <t>900007028D8366646379210000566</t>
        </is>
      </c>
      <c r="B1178" t="inlineStr">
        <is>
          <t>900007028</t>
        </is>
      </c>
      <c r="C1178" t="inlineStr">
        <is>
          <t>D836</t>
        </is>
      </c>
      <c r="D1178" t="inlineStr">
        <is>
          <t>66463792</t>
        </is>
      </c>
      <c r="E1178" t="inlineStr">
        <is>
          <t>1</t>
        </is>
      </c>
      <c r="F1178" t="inlineStr">
        <is>
          <t>10000566</t>
        </is>
      </c>
      <c r="H1178" t="inlineStr"/>
      <c r="J1178" t="n">
        <v>190.01</v>
      </c>
      <c r="K1178" t="inlineStr"/>
      <c r="M1178" t="inlineStr">
        <is>
          <t>TN</t>
        </is>
      </c>
      <c r="N1178" t="inlineStr"/>
      <c r="P1178" t="inlineStr">
        <is>
          <t>20190426</t>
        </is>
      </c>
      <c r="Q1178" t="inlineStr">
        <is>
          <t>20250127</t>
        </is>
      </c>
    </row>
    <row r="1179">
      <c r="A1179" t="inlineStr">
        <is>
          <t>900007028D8366686130310000566</t>
        </is>
      </c>
      <c r="B1179" t="inlineStr">
        <is>
          <t>900007028</t>
        </is>
      </c>
      <c r="C1179" t="inlineStr">
        <is>
          <t>D836</t>
        </is>
      </c>
      <c r="D1179" t="inlineStr">
        <is>
          <t>66861303</t>
        </is>
      </c>
      <c r="E1179" t="inlineStr">
        <is>
          <t>1</t>
        </is>
      </c>
      <c r="F1179" t="inlineStr">
        <is>
          <t>10000566</t>
        </is>
      </c>
      <c r="H1179" t="inlineStr"/>
      <c r="J1179" t="n">
        <v>190.01</v>
      </c>
      <c r="K1179" t="inlineStr"/>
      <c r="M1179" t="inlineStr">
        <is>
          <t>TN</t>
        </is>
      </c>
      <c r="N1179" t="inlineStr"/>
      <c r="P1179" t="inlineStr">
        <is>
          <t>20190426</t>
        </is>
      </c>
      <c r="Q1179" t="inlineStr">
        <is>
          <t>20250127</t>
        </is>
      </c>
    </row>
    <row r="1180">
      <c r="A1180" t="inlineStr">
        <is>
          <t>900007320D8366506168710218415</t>
        </is>
      </c>
      <c r="B1180" t="inlineStr">
        <is>
          <t>900007320</t>
        </is>
      </c>
      <c r="C1180" t="inlineStr">
        <is>
          <t>D836</t>
        </is>
      </c>
      <c r="D1180" t="inlineStr">
        <is>
          <t>65061687</t>
        </is>
      </c>
      <c r="E1180" t="inlineStr">
        <is>
          <t>1</t>
        </is>
      </c>
      <c r="F1180" t="inlineStr">
        <is>
          <t>10218415</t>
        </is>
      </c>
      <c r="H1180" t="inlineStr"/>
      <c r="J1180" t="n">
        <v>229.6</v>
      </c>
      <c r="K1180" t="inlineStr"/>
      <c r="M1180" t="inlineStr">
        <is>
          <t>M3</t>
        </is>
      </c>
      <c r="N1180" t="inlineStr"/>
      <c r="P1180" t="inlineStr">
        <is>
          <t>20230301</t>
        </is>
      </c>
      <c r="Q1180" t="inlineStr">
        <is>
          <t>20251031</t>
        </is>
      </c>
    </row>
    <row r="1181">
      <c r="A1181" t="inlineStr">
        <is>
          <t>900007320D8366623009810218415</t>
        </is>
      </c>
      <c r="B1181" t="inlineStr">
        <is>
          <t>900007320</t>
        </is>
      </c>
      <c r="C1181" t="inlineStr">
        <is>
          <t>D836</t>
        </is>
      </c>
      <c r="D1181" t="inlineStr">
        <is>
          <t>66230098</t>
        </is>
      </c>
      <c r="E1181" t="inlineStr">
        <is>
          <t>1</t>
        </is>
      </c>
      <c r="F1181" t="inlineStr">
        <is>
          <t>10218415</t>
        </is>
      </c>
      <c r="H1181" t="inlineStr"/>
      <c r="J1181" t="n">
        <v>182</v>
      </c>
      <c r="K1181" t="inlineStr"/>
      <c r="M1181" t="inlineStr">
        <is>
          <t>M3</t>
        </is>
      </c>
      <c r="N1181" t="inlineStr"/>
      <c r="P1181" t="inlineStr">
        <is>
          <t>20230301</t>
        </is>
      </c>
      <c r="Q1181" t="inlineStr">
        <is>
          <t>20251031</t>
        </is>
      </c>
    </row>
    <row r="1182">
      <c r="A1182" t="inlineStr">
        <is>
          <t>900007320D8366645007210218415</t>
        </is>
      </c>
      <c r="B1182" t="inlineStr">
        <is>
          <t>900007320</t>
        </is>
      </c>
      <c r="C1182" t="inlineStr">
        <is>
          <t>D836</t>
        </is>
      </c>
      <c r="D1182" t="inlineStr">
        <is>
          <t>66450072</t>
        </is>
      </c>
      <c r="E1182" t="inlineStr">
        <is>
          <t>1</t>
        </is>
      </c>
      <c r="F1182" t="inlineStr">
        <is>
          <t>10218415</t>
        </is>
      </c>
      <c r="H1182" t="inlineStr"/>
      <c r="J1182" t="n">
        <v>226.8</v>
      </c>
      <c r="K1182" t="inlineStr"/>
      <c r="M1182" t="inlineStr">
        <is>
          <t>M3</t>
        </is>
      </c>
      <c r="N1182" t="inlineStr"/>
      <c r="P1182" t="inlineStr">
        <is>
          <t>20230301</t>
        </is>
      </c>
      <c r="Q1182" t="inlineStr">
        <is>
          <t>20251031</t>
        </is>
      </c>
    </row>
    <row r="1183">
      <c r="A1183" t="inlineStr">
        <is>
          <t>900007320D8366677927610000627</t>
        </is>
      </c>
      <c r="B1183" t="inlineStr">
        <is>
          <t>900007320</t>
        </is>
      </c>
      <c r="C1183" t="inlineStr">
        <is>
          <t>D836</t>
        </is>
      </c>
      <c r="D1183" t="inlineStr">
        <is>
          <t>66779276</t>
        </is>
      </c>
      <c r="E1183" t="inlineStr">
        <is>
          <t>2</t>
        </is>
      </c>
      <c r="F1183" t="inlineStr">
        <is>
          <t>10000627</t>
        </is>
      </c>
      <c r="H1183" t="inlineStr"/>
      <c r="J1183" t="n">
        <v>90</v>
      </c>
      <c r="K1183" t="inlineStr"/>
      <c r="M1183" t="inlineStr">
        <is>
          <t>M3</t>
        </is>
      </c>
      <c r="N1183" t="inlineStr"/>
      <c r="P1183" t="inlineStr">
        <is>
          <t>20240401</t>
        </is>
      </c>
      <c r="Q1183" t="inlineStr">
        <is>
          <t>20240401</t>
        </is>
      </c>
    </row>
    <row r="1184">
      <c r="A1184" t="inlineStr">
        <is>
          <t>900007320D8366735863110000160</t>
        </is>
      </c>
      <c r="B1184" t="inlineStr">
        <is>
          <t>900007320</t>
        </is>
      </c>
      <c r="C1184" t="inlineStr">
        <is>
          <t>D836</t>
        </is>
      </c>
      <c r="D1184" t="inlineStr">
        <is>
          <t>67358631</t>
        </is>
      </c>
      <c r="E1184" t="inlineStr">
        <is>
          <t>1</t>
        </is>
      </c>
      <c r="F1184" t="inlineStr">
        <is>
          <t>10000160</t>
        </is>
      </c>
      <c r="H1184" t="inlineStr"/>
      <c r="J1184" t="n">
        <v>240</v>
      </c>
      <c r="K1184" t="inlineStr"/>
      <c r="M1184" t="inlineStr">
        <is>
          <t>M3</t>
        </is>
      </c>
      <c r="N1184" t="inlineStr"/>
      <c r="P1184" t="inlineStr">
        <is>
          <t>20260224</t>
        </is>
      </c>
      <c r="Q1184" t="inlineStr">
        <is>
          <t>99991231</t>
        </is>
      </c>
    </row>
    <row r="1185">
      <c r="A1185" t="inlineStr">
        <is>
          <t>900007320D8366735863110000357</t>
        </is>
      </c>
      <c r="B1185" t="inlineStr">
        <is>
          <t>900007320</t>
        </is>
      </c>
      <c r="C1185" t="inlineStr">
        <is>
          <t>D836</t>
        </is>
      </c>
      <c r="D1185" t="inlineStr">
        <is>
          <t>67358631</t>
        </is>
      </c>
      <c r="E1185" t="inlineStr">
        <is>
          <t>1</t>
        </is>
      </c>
      <c r="F1185" t="inlineStr">
        <is>
          <t>10000357</t>
        </is>
      </c>
      <c r="H1185" t="inlineStr"/>
      <c r="J1185" t="n">
        <v>240</v>
      </c>
      <c r="K1185" t="inlineStr"/>
      <c r="M1185" t="inlineStr">
        <is>
          <t>M3</t>
        </is>
      </c>
      <c r="N1185" t="inlineStr"/>
      <c r="P1185" t="inlineStr">
        <is>
          <t>20260224</t>
        </is>
      </c>
      <c r="Q1185" t="inlineStr">
        <is>
          <t>99991231</t>
        </is>
      </c>
    </row>
    <row r="1186">
      <c r="A1186" t="inlineStr">
        <is>
          <t>900007320D8366735863110000627</t>
        </is>
      </c>
      <c r="B1186" t="inlineStr">
        <is>
          <t>900007320</t>
        </is>
      </c>
      <c r="C1186" t="inlineStr">
        <is>
          <t>D836</t>
        </is>
      </c>
      <c r="D1186" t="inlineStr">
        <is>
          <t>67358631</t>
        </is>
      </c>
      <c r="E1186" t="inlineStr">
        <is>
          <t>1</t>
        </is>
      </c>
      <c r="F1186" t="inlineStr">
        <is>
          <t>10000627</t>
        </is>
      </c>
      <c r="H1186" t="inlineStr"/>
      <c r="J1186" t="n">
        <v>240</v>
      </c>
      <c r="K1186" t="inlineStr"/>
      <c r="M1186" t="inlineStr">
        <is>
          <t>M3</t>
        </is>
      </c>
      <c r="N1186" t="inlineStr"/>
      <c r="P1186" t="inlineStr">
        <is>
          <t>20260224</t>
        </is>
      </c>
      <c r="Q1186" t="inlineStr">
        <is>
          <t>99991231</t>
        </is>
      </c>
    </row>
    <row r="1187">
      <c r="A1187" t="inlineStr">
        <is>
          <t>900007321D8366501466410000160</t>
        </is>
      </c>
      <c r="B1187" t="inlineStr">
        <is>
          <t>900007321</t>
        </is>
      </c>
      <c r="C1187" t="inlineStr">
        <is>
          <t>D836</t>
        </is>
      </c>
      <c r="D1187" t="inlineStr">
        <is>
          <t>65014664</t>
        </is>
      </c>
      <c r="E1187" t="inlineStr">
        <is>
          <t>4</t>
        </is>
      </c>
      <c r="F1187" t="inlineStr">
        <is>
          <t>10000160</t>
        </is>
      </c>
      <c r="H1187" t="inlineStr"/>
      <c r="J1187" t="n">
        <v>110</v>
      </c>
      <c r="K1187" t="inlineStr"/>
      <c r="M1187" t="inlineStr">
        <is>
          <t>M3</t>
        </is>
      </c>
      <c r="N1187" t="inlineStr"/>
      <c r="P1187" t="inlineStr">
        <is>
          <t>20260420</t>
        </is>
      </c>
      <c r="Q1187" t="inlineStr">
        <is>
          <t>99991231</t>
        </is>
      </c>
    </row>
    <row r="1188">
      <c r="A1188" t="inlineStr">
        <is>
          <t>900007321D8366501466410000627</t>
        </is>
      </c>
      <c r="B1188" t="inlineStr">
        <is>
          <t>900007321</t>
        </is>
      </c>
      <c r="C1188" t="inlineStr">
        <is>
          <t>D836</t>
        </is>
      </c>
      <c r="D1188" t="inlineStr">
        <is>
          <t>65014664</t>
        </is>
      </c>
      <c r="E1188" t="inlineStr">
        <is>
          <t>4</t>
        </is>
      </c>
      <c r="F1188" t="inlineStr">
        <is>
          <t>10000627</t>
        </is>
      </c>
      <c r="H1188" t="inlineStr"/>
      <c r="J1188" t="n">
        <v>100</v>
      </c>
      <c r="K1188" t="inlineStr"/>
      <c r="M1188" t="inlineStr">
        <is>
          <t>M3</t>
        </is>
      </c>
      <c r="N1188" t="inlineStr"/>
      <c r="P1188" t="inlineStr">
        <is>
          <t>20260420</t>
        </is>
      </c>
      <c r="Q1188" t="inlineStr">
        <is>
          <t>99991231</t>
        </is>
      </c>
    </row>
    <row r="1189">
      <c r="A1189" t="inlineStr">
        <is>
          <t>900007321D8366506168710000160</t>
        </is>
      </c>
      <c r="B1189" t="inlineStr">
        <is>
          <t>900007321</t>
        </is>
      </c>
      <c r="C1189" t="inlineStr">
        <is>
          <t>D836</t>
        </is>
      </c>
      <c r="D1189" t="inlineStr">
        <is>
          <t>65061687</t>
        </is>
      </c>
      <c r="E1189" t="inlineStr">
        <is>
          <t>4</t>
        </is>
      </c>
      <c r="F1189" t="inlineStr">
        <is>
          <t>10000160</t>
        </is>
      </c>
      <c r="H1189" t="inlineStr"/>
      <c r="J1189" t="n">
        <v>211</v>
      </c>
      <c r="K1189" t="inlineStr"/>
      <c r="M1189" t="inlineStr">
        <is>
          <t>M3</t>
        </is>
      </c>
      <c r="N1189" t="inlineStr"/>
      <c r="P1189" t="inlineStr">
        <is>
          <t>20190426</t>
        </is>
      </c>
      <c r="Q1189" t="inlineStr">
        <is>
          <t>20250127</t>
        </is>
      </c>
    </row>
    <row r="1190">
      <c r="A1190" t="inlineStr">
        <is>
          <t>900007321D8366544038410000160</t>
        </is>
      </c>
      <c r="B1190" t="inlineStr">
        <is>
          <t>900007321</t>
        </is>
      </c>
      <c r="C1190" t="inlineStr">
        <is>
          <t>D836</t>
        </is>
      </c>
      <c r="D1190" t="inlineStr">
        <is>
          <t>65440384</t>
        </is>
      </c>
      <c r="E1190" t="inlineStr">
        <is>
          <t>4</t>
        </is>
      </c>
      <c r="F1190" t="inlineStr">
        <is>
          <t>10000160</t>
        </is>
      </c>
      <c r="H1190" t="inlineStr"/>
      <c r="J1190" t="n">
        <v>190</v>
      </c>
      <c r="K1190" t="inlineStr"/>
      <c r="M1190" t="inlineStr">
        <is>
          <t>M3</t>
        </is>
      </c>
      <c r="N1190" t="inlineStr"/>
      <c r="P1190" t="inlineStr">
        <is>
          <t>20260420</t>
        </is>
      </c>
      <c r="Q1190" t="inlineStr">
        <is>
          <t>99991231</t>
        </is>
      </c>
    </row>
    <row r="1191">
      <c r="A1191" t="inlineStr">
        <is>
          <t>900007321D8366544038410000627</t>
        </is>
      </c>
      <c r="B1191" t="inlineStr">
        <is>
          <t>900007321</t>
        </is>
      </c>
      <c r="C1191" t="inlineStr">
        <is>
          <t>D836</t>
        </is>
      </c>
      <c r="D1191" t="inlineStr">
        <is>
          <t>65440384</t>
        </is>
      </c>
      <c r="E1191" t="inlineStr">
        <is>
          <t>4</t>
        </is>
      </c>
      <c r="F1191" t="inlineStr">
        <is>
          <t>10000627</t>
        </is>
      </c>
      <c r="H1191" t="inlineStr"/>
      <c r="J1191" t="n">
        <v>190</v>
      </c>
      <c r="K1191" t="inlineStr"/>
      <c r="M1191" t="inlineStr">
        <is>
          <t>M3</t>
        </is>
      </c>
      <c r="N1191" t="inlineStr"/>
      <c r="P1191" t="inlineStr">
        <is>
          <t>20260420</t>
        </is>
      </c>
      <c r="Q1191" t="inlineStr">
        <is>
          <t>99991231</t>
        </is>
      </c>
    </row>
    <row r="1192">
      <c r="A1192" t="inlineStr">
        <is>
          <t>900007321D8366623009810000160</t>
        </is>
      </c>
      <c r="B1192" t="inlineStr">
        <is>
          <t>900007321</t>
        </is>
      </c>
      <c r="C1192" t="inlineStr">
        <is>
          <t>D836</t>
        </is>
      </c>
      <c r="D1192" t="inlineStr">
        <is>
          <t>66230098</t>
        </is>
      </c>
      <c r="E1192" t="inlineStr">
        <is>
          <t>4</t>
        </is>
      </c>
      <c r="F1192" t="inlineStr">
        <is>
          <t>10000160</t>
        </is>
      </c>
      <c r="H1192" t="inlineStr"/>
      <c r="J1192" t="n">
        <v>211</v>
      </c>
      <c r="K1192" t="inlineStr"/>
      <c r="M1192" t="inlineStr">
        <is>
          <t>M3</t>
        </is>
      </c>
      <c r="N1192" t="inlineStr"/>
      <c r="P1192" t="inlineStr">
        <is>
          <t>20190426</t>
        </is>
      </c>
      <c r="Q1192" t="inlineStr">
        <is>
          <t>20250127</t>
        </is>
      </c>
    </row>
    <row r="1193">
      <c r="A1193" t="inlineStr">
        <is>
          <t>900007321D8366645007210000160</t>
        </is>
      </c>
      <c r="B1193" t="inlineStr">
        <is>
          <t>900007321</t>
        </is>
      </c>
      <c r="C1193" t="inlineStr">
        <is>
          <t>D836</t>
        </is>
      </c>
      <c r="D1193" t="inlineStr">
        <is>
          <t>66450072</t>
        </is>
      </c>
      <c r="E1193" t="inlineStr">
        <is>
          <t>4</t>
        </is>
      </c>
      <c r="F1193" t="inlineStr">
        <is>
          <t>10000160</t>
        </is>
      </c>
      <c r="H1193" t="inlineStr"/>
      <c r="J1193" t="n">
        <v>211</v>
      </c>
      <c r="K1193" t="inlineStr"/>
      <c r="M1193" t="inlineStr">
        <is>
          <t>M3</t>
        </is>
      </c>
      <c r="N1193" t="inlineStr"/>
      <c r="P1193" t="inlineStr">
        <is>
          <t>20190426</t>
        </is>
      </c>
      <c r="Q1193" t="inlineStr">
        <is>
          <t>20250127</t>
        </is>
      </c>
    </row>
    <row r="1194">
      <c r="A1194" t="inlineStr">
        <is>
          <t>900007321D8366677927610000160</t>
        </is>
      </c>
      <c r="B1194" t="inlineStr">
        <is>
          <t>900007321</t>
        </is>
      </c>
      <c r="C1194" t="inlineStr">
        <is>
          <t>D836</t>
        </is>
      </c>
      <c r="D1194" t="inlineStr">
        <is>
          <t>66779276</t>
        </is>
      </c>
      <c r="E1194" t="inlineStr">
        <is>
          <t>4</t>
        </is>
      </c>
      <c r="F1194" t="inlineStr">
        <is>
          <t>10000160</t>
        </is>
      </c>
      <c r="H1194" t="inlineStr"/>
      <c r="J1194" t="n">
        <v>168</v>
      </c>
      <c r="K1194" t="inlineStr"/>
      <c r="M1194" t="inlineStr">
        <is>
          <t>M3</t>
        </is>
      </c>
      <c r="N1194" t="inlineStr"/>
      <c r="P1194" t="inlineStr">
        <is>
          <t>20260420</t>
        </is>
      </c>
      <c r="Q1194" t="inlineStr">
        <is>
          <t>99991231</t>
        </is>
      </c>
    </row>
    <row r="1195">
      <c r="A1195" t="inlineStr">
        <is>
          <t>900007321D8366677927610000357</t>
        </is>
      </c>
      <c r="B1195" t="inlineStr">
        <is>
          <t>900007321</t>
        </is>
      </c>
      <c r="C1195" t="inlineStr">
        <is>
          <t>D836</t>
        </is>
      </c>
      <c r="D1195" t="inlineStr">
        <is>
          <t>66779276</t>
        </is>
      </c>
      <c r="E1195" t="inlineStr">
        <is>
          <t>4</t>
        </is>
      </c>
      <c r="F1195" t="inlineStr">
        <is>
          <t>10000357</t>
        </is>
      </c>
      <c r="H1195" t="inlineStr"/>
      <c r="J1195" t="n">
        <v>160</v>
      </c>
      <c r="K1195" t="inlineStr"/>
      <c r="M1195" t="inlineStr">
        <is>
          <t>M3</t>
        </is>
      </c>
      <c r="N1195" t="inlineStr"/>
      <c r="P1195" t="inlineStr">
        <is>
          <t>20230301</t>
        </is>
      </c>
      <c r="Q1195" t="inlineStr">
        <is>
          <t>20251031</t>
        </is>
      </c>
    </row>
    <row r="1196">
      <c r="A1196" t="inlineStr">
        <is>
          <t>900007321D8366677927610000627</t>
        </is>
      </c>
      <c r="B1196" t="inlineStr">
        <is>
          <t>900007321</t>
        </is>
      </c>
      <c r="C1196" t="inlineStr">
        <is>
          <t>D836</t>
        </is>
      </c>
      <c r="D1196" t="inlineStr">
        <is>
          <t>66779276</t>
        </is>
      </c>
      <c r="E1196" t="inlineStr">
        <is>
          <t>4</t>
        </is>
      </c>
      <c r="F1196" t="inlineStr">
        <is>
          <t>10000627</t>
        </is>
      </c>
      <c r="H1196" t="inlineStr"/>
      <c r="J1196" t="n">
        <v>160</v>
      </c>
      <c r="K1196" t="inlineStr"/>
      <c r="M1196" t="inlineStr">
        <is>
          <t>M3</t>
        </is>
      </c>
      <c r="N1196" t="inlineStr"/>
      <c r="P1196" t="inlineStr">
        <is>
          <t>20230301</t>
        </is>
      </c>
      <c r="Q1196" t="inlineStr">
        <is>
          <t>20251031</t>
        </is>
      </c>
    </row>
    <row r="1197">
      <c r="A1197" t="inlineStr">
        <is>
          <t>900007321D8366679902910000160</t>
        </is>
      </c>
      <c r="B1197" t="inlineStr">
        <is>
          <t>900007321</t>
        </is>
      </c>
      <c r="C1197" t="inlineStr">
        <is>
          <t>D836</t>
        </is>
      </c>
      <c r="D1197" t="inlineStr">
        <is>
          <t>66799029</t>
        </is>
      </c>
      <c r="E1197" t="inlineStr">
        <is>
          <t>4</t>
        </is>
      </c>
      <c r="F1197" t="inlineStr">
        <is>
          <t>10000160</t>
        </is>
      </c>
      <c r="H1197" t="inlineStr"/>
      <c r="J1197" t="n">
        <v>148</v>
      </c>
      <c r="K1197" t="inlineStr"/>
      <c r="M1197" t="inlineStr">
        <is>
          <t>M3</t>
        </is>
      </c>
      <c r="N1197" t="inlineStr"/>
      <c r="P1197" t="inlineStr">
        <is>
          <t>20190426</t>
        </is>
      </c>
      <c r="Q1197" t="inlineStr">
        <is>
          <t>20250127</t>
        </is>
      </c>
    </row>
    <row r="1198">
      <c r="A1198" t="inlineStr">
        <is>
          <t>900007321D8366693331310000160</t>
        </is>
      </c>
      <c r="B1198" t="inlineStr">
        <is>
          <t>900007321</t>
        </is>
      </c>
      <c r="C1198" t="inlineStr">
        <is>
          <t>D836</t>
        </is>
      </c>
      <c r="D1198" t="inlineStr">
        <is>
          <t>66933313</t>
        </is>
      </c>
      <c r="E1198" t="inlineStr">
        <is>
          <t>4</t>
        </is>
      </c>
      <c r="F1198" t="inlineStr">
        <is>
          <t>10000160</t>
        </is>
      </c>
      <c r="H1198" t="inlineStr"/>
      <c r="J1198" t="n">
        <v>137.5</v>
      </c>
      <c r="K1198" t="inlineStr"/>
      <c r="M1198" t="inlineStr">
        <is>
          <t>M3</t>
        </is>
      </c>
      <c r="N1198" t="inlineStr"/>
      <c r="P1198" t="inlineStr">
        <is>
          <t>20190426</t>
        </is>
      </c>
      <c r="Q1198" t="inlineStr">
        <is>
          <t>20250127</t>
        </is>
      </c>
    </row>
    <row r="1199">
      <c r="A1199" t="inlineStr">
        <is>
          <t>900007321D8366698265810216851</t>
        </is>
      </c>
      <c r="B1199" t="inlineStr">
        <is>
          <t>900007321</t>
        </is>
      </c>
      <c r="C1199" t="inlineStr">
        <is>
          <t>D836</t>
        </is>
      </c>
      <c r="D1199" t="inlineStr">
        <is>
          <t>66982658</t>
        </is>
      </c>
      <c r="E1199" t="inlineStr">
        <is>
          <t>4</t>
        </is>
      </c>
      <c r="F1199" t="inlineStr">
        <is>
          <t>10216851</t>
        </is>
      </c>
      <c r="H1199" t="inlineStr"/>
      <c r="J1199" t="n">
        <v>135</v>
      </c>
      <c r="K1199" t="inlineStr"/>
      <c r="M1199" t="inlineStr">
        <is>
          <t>M3</t>
        </is>
      </c>
      <c r="N1199" t="inlineStr"/>
      <c r="P1199" t="inlineStr">
        <is>
          <t>20190426</t>
        </is>
      </c>
      <c r="Q1199" t="inlineStr">
        <is>
          <t>20250127</t>
        </is>
      </c>
    </row>
    <row r="1200">
      <c r="A1200" t="inlineStr">
        <is>
          <t>900007321D8366709100410000357</t>
        </is>
      </c>
      <c r="B1200" t="inlineStr">
        <is>
          <t>900007321</t>
        </is>
      </c>
      <c r="C1200" t="inlineStr">
        <is>
          <t>D836</t>
        </is>
      </c>
      <c r="D1200" t="inlineStr">
        <is>
          <t>67091004</t>
        </is>
      </c>
      <c r="E1200" t="inlineStr">
        <is>
          <t>4</t>
        </is>
      </c>
      <c r="F1200" t="inlineStr">
        <is>
          <t>10000357</t>
        </is>
      </c>
      <c r="H1200" t="inlineStr"/>
      <c r="J1200" t="n">
        <v>285</v>
      </c>
      <c r="K1200" t="inlineStr"/>
      <c r="M1200" t="inlineStr">
        <is>
          <t>M3</t>
        </is>
      </c>
      <c r="N1200" t="inlineStr"/>
      <c r="P1200" t="inlineStr">
        <is>
          <t>20190426</t>
        </is>
      </c>
      <c r="Q1200" t="inlineStr">
        <is>
          <t>20250127</t>
        </is>
      </c>
    </row>
    <row r="1201">
      <c r="A1201" t="inlineStr">
        <is>
          <t>900007321D8366709100410172240</t>
        </is>
      </c>
      <c r="B1201" t="inlineStr">
        <is>
          <t>900007321</t>
        </is>
      </c>
      <c r="C1201" t="inlineStr">
        <is>
          <t>D836</t>
        </is>
      </c>
      <c r="D1201" t="inlineStr">
        <is>
          <t>67091004</t>
        </is>
      </c>
      <c r="E1201" t="inlineStr">
        <is>
          <t>4</t>
        </is>
      </c>
      <c r="F1201" t="inlineStr">
        <is>
          <t>10172240</t>
        </is>
      </c>
      <c r="H1201" t="inlineStr"/>
      <c r="J1201" t="n">
        <v>265</v>
      </c>
      <c r="K1201" t="inlineStr"/>
      <c r="M1201" t="inlineStr">
        <is>
          <t>M3</t>
        </is>
      </c>
      <c r="N1201" t="inlineStr"/>
      <c r="P1201" t="inlineStr">
        <is>
          <t>20190426</t>
        </is>
      </c>
      <c r="Q1201" t="inlineStr">
        <is>
          <t>20250127</t>
        </is>
      </c>
    </row>
    <row r="1202">
      <c r="A1202" t="inlineStr">
        <is>
          <t>900007650D8366707318510000284</t>
        </is>
      </c>
      <c r="B1202" t="inlineStr">
        <is>
          <t>900007650</t>
        </is>
      </c>
      <c r="C1202" t="inlineStr">
        <is>
          <t>D836</t>
        </is>
      </c>
      <c r="D1202" t="inlineStr">
        <is>
          <t>67073185</t>
        </is>
      </c>
      <c r="E1202" t="inlineStr">
        <is>
          <t>1</t>
        </is>
      </c>
      <c r="F1202" t="inlineStr">
        <is>
          <t>10000284</t>
        </is>
      </c>
      <c r="H1202" t="inlineStr"/>
      <c r="J1202" t="n">
        <v>103.54</v>
      </c>
      <c r="K1202" t="inlineStr"/>
      <c r="M1202" t="inlineStr">
        <is>
          <t>M3</t>
        </is>
      </c>
      <c r="N1202" t="inlineStr"/>
      <c r="P1202" t="inlineStr">
        <is>
          <t>20190426</t>
        </is>
      </c>
      <c r="Q1202" t="inlineStr">
        <is>
          <t>20250127</t>
        </is>
      </c>
    </row>
    <row r="1203">
      <c r="A1203" t="inlineStr">
        <is>
          <t>900007670D8366707318510000284</t>
        </is>
      </c>
      <c r="B1203" t="inlineStr">
        <is>
          <t>900007670</t>
        </is>
      </c>
      <c r="C1203" t="inlineStr">
        <is>
          <t>D836</t>
        </is>
      </c>
      <c r="D1203" t="inlineStr">
        <is>
          <t>67073185</t>
        </is>
      </c>
      <c r="E1203" t="inlineStr">
        <is>
          <t>4</t>
        </is>
      </c>
      <c r="F1203" t="inlineStr">
        <is>
          <t>10000284</t>
        </is>
      </c>
      <c r="H1203" t="inlineStr"/>
      <c r="J1203" t="n">
        <v>140</v>
      </c>
      <c r="K1203" t="inlineStr"/>
      <c r="M1203" t="inlineStr">
        <is>
          <t>M3</t>
        </is>
      </c>
      <c r="N1203" t="inlineStr"/>
      <c r="P1203" t="inlineStr">
        <is>
          <t>20190426</t>
        </is>
      </c>
      <c r="Q1203" t="inlineStr">
        <is>
          <t>20250127</t>
        </is>
      </c>
    </row>
    <row r="1204">
      <c r="A1204" t="inlineStr">
        <is>
          <t>900008845D8366500630110227598</t>
        </is>
      </c>
      <c r="B1204" t="inlineStr">
        <is>
          <t>900008845</t>
        </is>
      </c>
      <c r="C1204" t="inlineStr">
        <is>
          <t>D836</t>
        </is>
      </c>
      <c r="D1204" t="inlineStr">
        <is>
          <t>65006301</t>
        </is>
      </c>
      <c r="E1204" t="inlineStr">
        <is>
          <t>1</t>
        </is>
      </c>
      <c r="F1204" t="inlineStr">
        <is>
          <t>10227598</t>
        </is>
      </c>
      <c r="H1204" t="inlineStr"/>
      <c r="J1204" t="n">
        <v>153.47</v>
      </c>
      <c r="K1204" t="inlineStr"/>
      <c r="M1204" t="inlineStr">
        <is>
          <t>M3</t>
        </is>
      </c>
      <c r="N1204" t="inlineStr"/>
      <c r="P1204" t="inlineStr">
        <is>
          <t>20230301</t>
        </is>
      </c>
      <c r="Q1204" t="inlineStr">
        <is>
          <t>20251031</t>
        </is>
      </c>
    </row>
    <row r="1205">
      <c r="A1205" t="inlineStr">
        <is>
          <t>900008845D8366687846210227598</t>
        </is>
      </c>
      <c r="B1205" t="inlineStr">
        <is>
          <t>900008845</t>
        </is>
      </c>
      <c r="C1205" t="inlineStr">
        <is>
          <t>D836</t>
        </is>
      </c>
      <c r="D1205" t="inlineStr">
        <is>
          <t>66878462</t>
        </is>
      </c>
      <c r="E1205" t="inlineStr">
        <is>
          <t>1</t>
        </is>
      </c>
      <c r="F1205" t="inlineStr">
        <is>
          <t>10227598</t>
        </is>
      </c>
      <c r="H1205" t="inlineStr"/>
      <c r="J1205" t="n">
        <v>160.72</v>
      </c>
      <c r="K1205" t="inlineStr"/>
      <c r="M1205" t="inlineStr">
        <is>
          <t>M3</t>
        </is>
      </c>
      <c r="N1205" t="inlineStr"/>
      <c r="P1205" t="inlineStr">
        <is>
          <t>20230301</t>
        </is>
      </c>
      <c r="Q1205" t="inlineStr">
        <is>
          <t>20251031</t>
        </is>
      </c>
    </row>
    <row r="1206">
      <c r="A1206" t="inlineStr">
        <is>
          <t>900008845D8366701587710227598</t>
        </is>
      </c>
      <c r="B1206" t="inlineStr">
        <is>
          <t>900008845</t>
        </is>
      </c>
      <c r="C1206" t="inlineStr">
        <is>
          <t>D836</t>
        </is>
      </c>
      <c r="D1206" t="inlineStr">
        <is>
          <t>67015877</t>
        </is>
      </c>
      <c r="E1206" t="inlineStr">
        <is>
          <t>1</t>
        </is>
      </c>
      <c r="F1206" t="inlineStr">
        <is>
          <t>10227598</t>
        </is>
      </c>
      <c r="H1206" t="inlineStr"/>
      <c r="J1206" t="n">
        <v>160.78</v>
      </c>
      <c r="K1206" t="inlineStr"/>
      <c r="M1206" t="inlineStr">
        <is>
          <t>M3</t>
        </is>
      </c>
      <c r="N1206" t="inlineStr"/>
      <c r="P1206" t="inlineStr">
        <is>
          <t>20230301</t>
        </is>
      </c>
      <c r="Q1206" t="inlineStr">
        <is>
          <t>20251031</t>
        </is>
      </c>
    </row>
    <row r="1207">
      <c r="A1207" t="inlineStr">
        <is>
          <t>900008845D8366728344210227598</t>
        </is>
      </c>
      <c r="B1207" t="inlineStr">
        <is>
          <t>900008845</t>
        </is>
      </c>
      <c r="C1207" t="inlineStr">
        <is>
          <t>D836</t>
        </is>
      </c>
      <c r="D1207" t="inlineStr">
        <is>
          <t>67283442</t>
        </is>
      </c>
      <c r="E1207" t="inlineStr">
        <is>
          <t>1</t>
        </is>
      </c>
      <c r="F1207" t="inlineStr">
        <is>
          <t>10227598</t>
        </is>
      </c>
      <c r="H1207" t="inlineStr"/>
      <c r="J1207" t="n">
        <v>113.27</v>
      </c>
      <c r="K1207" t="inlineStr"/>
      <c r="M1207" t="inlineStr">
        <is>
          <t>M3</t>
        </is>
      </c>
      <c r="N1207" t="inlineStr"/>
      <c r="P1207" t="inlineStr">
        <is>
          <t>20230301</t>
        </is>
      </c>
      <c r="Q1207" t="inlineStr">
        <is>
          <t>20251031</t>
        </is>
      </c>
    </row>
    <row r="1208">
      <c r="A1208" t="inlineStr">
        <is>
          <t>900008869D8366724072910000623</t>
        </is>
      </c>
      <c r="B1208" t="inlineStr">
        <is>
          <t>900008869</t>
        </is>
      </c>
      <c r="C1208" t="inlineStr">
        <is>
          <t>D836</t>
        </is>
      </c>
      <c r="D1208" t="inlineStr">
        <is>
          <t>67240729</t>
        </is>
      </c>
      <c r="E1208" t="inlineStr">
        <is>
          <t>4</t>
        </is>
      </c>
      <c r="F1208" t="inlineStr">
        <is>
          <t>10000623</t>
        </is>
      </c>
      <c r="H1208" t="inlineStr"/>
      <c r="J1208" t="n">
        <v>370</v>
      </c>
      <c r="K1208" t="inlineStr"/>
      <c r="M1208" t="inlineStr">
        <is>
          <t>TN</t>
        </is>
      </c>
      <c r="N1208" t="inlineStr"/>
      <c r="P1208" t="inlineStr">
        <is>
          <t>20260211</t>
        </is>
      </c>
      <c r="Q1208" t="inlineStr">
        <is>
          <t>99991231</t>
        </is>
      </c>
    </row>
    <row r="1209">
      <c r="A1209" t="inlineStr">
        <is>
          <t>900008869D8366724238210000623</t>
        </is>
      </c>
      <c r="B1209" t="inlineStr">
        <is>
          <t>900008869</t>
        </is>
      </c>
      <c r="C1209" t="inlineStr">
        <is>
          <t>D836</t>
        </is>
      </c>
      <c r="D1209" t="inlineStr">
        <is>
          <t>67242382</t>
        </is>
      </c>
      <c r="E1209" t="inlineStr">
        <is>
          <t>4</t>
        </is>
      </c>
      <c r="F1209" t="inlineStr">
        <is>
          <t>10000623</t>
        </is>
      </c>
      <c r="H1209" t="inlineStr"/>
      <c r="J1209" t="n">
        <v>320</v>
      </c>
      <c r="K1209" t="inlineStr"/>
      <c r="M1209" t="inlineStr">
        <is>
          <t>TN</t>
        </is>
      </c>
      <c r="N1209" t="inlineStr"/>
      <c r="P1209" t="inlineStr">
        <is>
          <t>20260211</t>
        </is>
      </c>
      <c r="Q1209" t="inlineStr">
        <is>
          <t>99991231</t>
        </is>
      </c>
    </row>
    <row r="1210">
      <c r="A1210" t="inlineStr">
        <is>
          <t>900008869D8366724238510000623</t>
        </is>
      </c>
      <c r="B1210" t="inlineStr">
        <is>
          <t>900008869</t>
        </is>
      </c>
      <c r="C1210" t="inlineStr">
        <is>
          <t>D836</t>
        </is>
      </c>
      <c r="D1210" t="inlineStr">
        <is>
          <t>67242385</t>
        </is>
      </c>
      <c r="E1210" t="inlineStr">
        <is>
          <t>4</t>
        </is>
      </c>
      <c r="F1210" t="inlineStr">
        <is>
          <t>10000623</t>
        </is>
      </c>
      <c r="H1210" t="inlineStr"/>
      <c r="J1210" t="n">
        <v>320</v>
      </c>
      <c r="K1210" t="inlineStr"/>
      <c r="M1210" t="inlineStr">
        <is>
          <t>TN</t>
        </is>
      </c>
      <c r="N1210" t="inlineStr"/>
      <c r="P1210" t="inlineStr">
        <is>
          <t>20260211</t>
        </is>
      </c>
      <c r="Q1210" t="inlineStr">
        <is>
          <t>99991231</t>
        </is>
      </c>
    </row>
    <row r="1211">
      <c r="A1211" t="inlineStr">
        <is>
          <t>900008869D8366728350310000623</t>
        </is>
      </c>
      <c r="B1211" t="inlineStr">
        <is>
          <t>900008869</t>
        </is>
      </c>
      <c r="C1211" t="inlineStr">
        <is>
          <t>D836</t>
        </is>
      </c>
      <c r="D1211" t="inlineStr">
        <is>
          <t>67283503</t>
        </is>
      </c>
      <c r="E1211" t="inlineStr">
        <is>
          <t>4</t>
        </is>
      </c>
      <c r="F1211" t="inlineStr">
        <is>
          <t>10000623</t>
        </is>
      </c>
      <c r="H1211" t="inlineStr"/>
      <c r="J1211" t="n">
        <v>320</v>
      </c>
      <c r="K1211" t="inlineStr"/>
      <c r="M1211" t="inlineStr">
        <is>
          <t>TN</t>
        </is>
      </c>
      <c r="N1211" t="inlineStr"/>
      <c r="P1211" t="inlineStr">
        <is>
          <t>20260211</t>
        </is>
      </c>
      <c r="Q1211" t="inlineStr">
        <is>
          <t>99991231</t>
        </is>
      </c>
    </row>
    <row r="1212">
      <c r="A1212" t="inlineStr">
        <is>
          <t>900009140D8366501645110000133</t>
        </is>
      </c>
      <c r="B1212" t="inlineStr">
        <is>
          <t>900009140</t>
        </is>
      </c>
      <c r="C1212" t="inlineStr">
        <is>
          <t>D836</t>
        </is>
      </c>
      <c r="D1212" t="inlineStr">
        <is>
          <t>65016451</t>
        </is>
      </c>
      <c r="E1212" t="inlineStr">
        <is>
          <t>4</t>
        </is>
      </c>
      <c r="F1212" t="inlineStr">
        <is>
          <t>10000133</t>
        </is>
      </c>
      <c r="H1212" t="inlineStr"/>
      <c r="J1212" t="n">
        <v>156</v>
      </c>
      <c r="K1212" t="inlineStr"/>
      <c r="M1212" t="inlineStr">
        <is>
          <t>TN</t>
        </is>
      </c>
      <c r="N1212" t="inlineStr"/>
      <c r="P1212" t="inlineStr">
        <is>
          <t>20260424</t>
        </is>
      </c>
      <c r="Q1212" t="inlineStr">
        <is>
          <t>99991231</t>
        </is>
      </c>
    </row>
    <row r="1213">
      <c r="A1213" t="inlineStr">
        <is>
          <t>900009140D8366501645110000630</t>
        </is>
      </c>
      <c r="B1213" t="inlineStr">
        <is>
          <t>900009140</t>
        </is>
      </c>
      <c r="C1213" t="inlineStr">
        <is>
          <t>D836</t>
        </is>
      </c>
      <c r="D1213" t="inlineStr">
        <is>
          <t>65016451</t>
        </is>
      </c>
      <c r="E1213" t="inlineStr">
        <is>
          <t>4</t>
        </is>
      </c>
      <c r="F1213" t="inlineStr">
        <is>
          <t>10000630</t>
        </is>
      </c>
      <c r="H1213" t="inlineStr"/>
      <c r="J1213" t="n">
        <v>300</v>
      </c>
      <c r="K1213" t="inlineStr"/>
      <c r="M1213" t="inlineStr">
        <is>
          <t>M3</t>
        </is>
      </c>
      <c r="N1213" t="inlineStr"/>
      <c r="P1213" t="inlineStr">
        <is>
          <t>20260528</t>
        </is>
      </c>
      <c r="Q1213" t="inlineStr">
        <is>
          <t>99991231</t>
        </is>
      </c>
    </row>
    <row r="1214">
      <c r="A1214" t="inlineStr">
        <is>
          <t>900009140D8366501645110140399</t>
        </is>
      </c>
      <c r="B1214" t="inlineStr">
        <is>
          <t>900009140</t>
        </is>
      </c>
      <c r="C1214" t="inlineStr">
        <is>
          <t>D836</t>
        </is>
      </c>
      <c r="D1214" t="inlineStr">
        <is>
          <t>65016451</t>
        </is>
      </c>
      <c r="E1214" t="inlineStr">
        <is>
          <t>4</t>
        </is>
      </c>
      <c r="F1214" t="inlineStr">
        <is>
          <t>10140399</t>
        </is>
      </c>
      <c r="H1214" t="inlineStr"/>
      <c r="J1214" t="n">
        <v>200</v>
      </c>
      <c r="K1214" t="inlineStr"/>
      <c r="M1214" t="inlineStr">
        <is>
          <t>TN</t>
        </is>
      </c>
      <c r="N1214" t="inlineStr"/>
      <c r="P1214" t="inlineStr">
        <is>
          <t>20250304</t>
        </is>
      </c>
      <c r="Q1214" t="inlineStr">
        <is>
          <t>99991231</t>
        </is>
      </c>
    </row>
    <row r="1215">
      <c r="A1215" t="inlineStr">
        <is>
          <t>900009140D8366501645110221480</t>
        </is>
      </c>
      <c r="B1215" t="inlineStr">
        <is>
          <t>900009140</t>
        </is>
      </c>
      <c r="C1215" t="inlineStr">
        <is>
          <t>D836</t>
        </is>
      </c>
      <c r="D1215" t="inlineStr">
        <is>
          <t>65016451</t>
        </is>
      </c>
      <c r="E1215" t="inlineStr">
        <is>
          <t>4</t>
        </is>
      </c>
      <c r="F1215" t="inlineStr">
        <is>
          <t>10221480</t>
        </is>
      </c>
      <c r="H1215" t="inlineStr"/>
      <c r="J1215" t="n">
        <v>200</v>
      </c>
      <c r="K1215" t="inlineStr"/>
      <c r="M1215" t="inlineStr">
        <is>
          <t>TN</t>
        </is>
      </c>
      <c r="N1215" t="inlineStr"/>
      <c r="P1215" t="inlineStr">
        <is>
          <t>20260424</t>
        </is>
      </c>
      <c r="Q1215" t="inlineStr">
        <is>
          <t>99991231</t>
        </is>
      </c>
    </row>
    <row r="1216">
      <c r="A1216" t="inlineStr">
        <is>
          <t>900009140D8366677927610001074</t>
        </is>
      </c>
      <c r="B1216" t="inlineStr">
        <is>
          <t>900009140</t>
        </is>
      </c>
      <c r="C1216" t="inlineStr">
        <is>
          <t>D836</t>
        </is>
      </c>
      <c r="D1216" t="inlineStr">
        <is>
          <t>66779276</t>
        </is>
      </c>
      <c r="E1216" t="inlineStr">
        <is>
          <t>4</t>
        </is>
      </c>
      <c r="F1216" t="inlineStr">
        <is>
          <t>10001074</t>
        </is>
      </c>
      <c r="H1216" t="inlineStr"/>
      <c r="J1216" t="n">
        <v>224</v>
      </c>
      <c r="K1216" t="inlineStr"/>
      <c r="M1216" t="inlineStr">
        <is>
          <t>TN</t>
        </is>
      </c>
      <c r="N1216" t="inlineStr"/>
      <c r="P1216" t="inlineStr">
        <is>
          <t>20260424</t>
        </is>
      </c>
      <c r="Q1216" t="inlineStr">
        <is>
          <t>99991231</t>
        </is>
      </c>
    </row>
    <row r="1217">
      <c r="A1217" t="inlineStr">
        <is>
          <t>900009140D8366677927610184011</t>
        </is>
      </c>
      <c r="B1217" t="inlineStr">
        <is>
          <t>900009140</t>
        </is>
      </c>
      <c r="C1217" t="inlineStr">
        <is>
          <t>D836</t>
        </is>
      </c>
      <c r="D1217" t="inlineStr">
        <is>
          <t>66779276</t>
        </is>
      </c>
      <c r="E1217" t="inlineStr">
        <is>
          <t>4</t>
        </is>
      </c>
      <c r="F1217" t="inlineStr">
        <is>
          <t>10184011</t>
        </is>
      </c>
      <c r="H1217" t="inlineStr"/>
      <c r="J1217" t="n">
        <v>224</v>
      </c>
      <c r="K1217" t="inlineStr"/>
      <c r="M1217" t="inlineStr">
        <is>
          <t>TN</t>
        </is>
      </c>
      <c r="N1217" t="inlineStr"/>
      <c r="P1217" t="inlineStr">
        <is>
          <t>20260424</t>
        </is>
      </c>
      <c r="Q1217" t="inlineStr">
        <is>
          <t>99991231</t>
        </is>
      </c>
    </row>
    <row r="1218">
      <c r="A1218" t="inlineStr">
        <is>
          <t>900009140D8366715577710140399</t>
        </is>
      </c>
      <c r="B1218" t="inlineStr">
        <is>
          <t>900009140</t>
        </is>
      </c>
      <c r="C1218" t="inlineStr">
        <is>
          <t>D836</t>
        </is>
      </c>
      <c r="D1218" t="inlineStr">
        <is>
          <t>67155777</t>
        </is>
      </c>
      <c r="E1218" t="inlineStr">
        <is>
          <t>4</t>
        </is>
      </c>
      <c r="F1218" t="inlineStr">
        <is>
          <t>10140399</t>
        </is>
      </c>
      <c r="H1218" t="inlineStr"/>
      <c r="J1218" t="n">
        <v>255.6</v>
      </c>
      <c r="K1218" t="inlineStr"/>
      <c r="M1218" t="inlineStr">
        <is>
          <t>M3</t>
        </is>
      </c>
      <c r="N1218" t="inlineStr"/>
      <c r="P1218" t="inlineStr">
        <is>
          <t>20260622</t>
        </is>
      </c>
      <c r="Q1218" t="inlineStr">
        <is>
          <t>99991231</t>
        </is>
      </c>
    </row>
    <row r="1219">
      <c r="A1219" t="inlineStr">
        <is>
          <t>900009140D8366716274610140399</t>
        </is>
      </c>
      <c r="B1219" t="inlineStr">
        <is>
          <t>900009140</t>
        </is>
      </c>
      <c r="C1219" t="inlineStr">
        <is>
          <t>D836</t>
        </is>
      </c>
      <c r="D1219" t="inlineStr">
        <is>
          <t>67162746</t>
        </is>
      </c>
      <c r="E1219" t="inlineStr">
        <is>
          <t>4</t>
        </is>
      </c>
      <c r="F1219" t="inlineStr">
        <is>
          <t>10140399</t>
        </is>
      </c>
      <c r="H1219" t="inlineStr"/>
      <c r="J1219" t="n">
        <v>255.6</v>
      </c>
      <c r="K1219" t="inlineStr"/>
      <c r="M1219" t="inlineStr">
        <is>
          <t>M3</t>
        </is>
      </c>
      <c r="N1219" t="inlineStr"/>
      <c r="P1219" t="inlineStr">
        <is>
          <t>20260622</t>
        </is>
      </c>
      <c r="Q1219" t="inlineStr">
        <is>
          <t>99991231</t>
        </is>
      </c>
    </row>
    <row r="1220">
      <c r="A1220" t="inlineStr">
        <is>
          <t>900009140D8366720863810000623</t>
        </is>
      </c>
      <c r="B1220" t="inlineStr">
        <is>
          <t>900009140</t>
        </is>
      </c>
      <c r="C1220" t="inlineStr">
        <is>
          <t>D836</t>
        </is>
      </c>
      <c r="D1220" t="inlineStr">
        <is>
          <t>67208638</t>
        </is>
      </c>
      <c r="E1220" t="inlineStr">
        <is>
          <t>4</t>
        </is>
      </c>
      <c r="F1220" t="inlineStr">
        <is>
          <t>10000623</t>
        </is>
      </c>
      <c r="H1220" t="inlineStr"/>
      <c r="J1220" t="n">
        <v>200</v>
      </c>
      <c r="K1220" t="inlineStr"/>
      <c r="M1220" t="inlineStr">
        <is>
          <t>TN</t>
        </is>
      </c>
      <c r="N1220" t="inlineStr"/>
      <c r="P1220" t="inlineStr">
        <is>
          <t>20251127</t>
        </is>
      </c>
      <c r="Q1220" t="inlineStr">
        <is>
          <t>99991231</t>
        </is>
      </c>
    </row>
    <row r="1221">
      <c r="A1221" t="inlineStr">
        <is>
          <t>900009140D8366724072910000623</t>
        </is>
      </c>
      <c r="B1221" t="inlineStr">
        <is>
          <t>900009140</t>
        </is>
      </c>
      <c r="C1221" t="inlineStr">
        <is>
          <t>D836</t>
        </is>
      </c>
      <c r="D1221" t="inlineStr">
        <is>
          <t>67240729</t>
        </is>
      </c>
      <c r="E1221" t="inlineStr">
        <is>
          <t>4</t>
        </is>
      </c>
      <c r="F1221" t="inlineStr">
        <is>
          <t>10000623</t>
        </is>
      </c>
      <c r="H1221" t="inlineStr"/>
      <c r="J1221" t="n">
        <v>360</v>
      </c>
      <c r="K1221" t="inlineStr"/>
      <c r="M1221" t="inlineStr">
        <is>
          <t>TN</t>
        </is>
      </c>
      <c r="N1221" t="inlineStr"/>
      <c r="P1221" t="inlineStr">
        <is>
          <t>20250612</t>
        </is>
      </c>
      <c r="Q1221" t="inlineStr">
        <is>
          <t>20250627</t>
        </is>
      </c>
    </row>
    <row r="1222">
      <c r="A1222" t="inlineStr">
        <is>
          <t>900009140D8366724238510000623</t>
        </is>
      </c>
      <c r="B1222" t="inlineStr">
        <is>
          <t>900009140</t>
        </is>
      </c>
      <c r="C1222" t="inlineStr">
        <is>
          <t>D836</t>
        </is>
      </c>
      <c r="D1222" t="inlineStr">
        <is>
          <t>67242385</t>
        </is>
      </c>
      <c r="E1222" t="inlineStr">
        <is>
          <t>4</t>
        </is>
      </c>
      <c r="F1222" t="inlineStr">
        <is>
          <t>10000623</t>
        </is>
      </c>
      <c r="H1222" t="inlineStr"/>
      <c r="J1222" t="n">
        <v>310</v>
      </c>
      <c r="K1222" t="inlineStr"/>
      <c r="M1222" t="inlineStr">
        <is>
          <t>TN</t>
        </is>
      </c>
      <c r="N1222" t="inlineStr"/>
      <c r="P1222" t="inlineStr">
        <is>
          <t>20251029</t>
        </is>
      </c>
      <c r="Q1222" t="inlineStr">
        <is>
          <t>20251104</t>
        </is>
      </c>
    </row>
    <row r="1223">
      <c r="A1223" t="inlineStr">
        <is>
          <t>900009140D8366729725910147486</t>
        </is>
      </c>
      <c r="B1223" t="inlineStr">
        <is>
          <t>900009140</t>
        </is>
      </c>
      <c r="C1223" t="inlineStr">
        <is>
          <t>D836</t>
        </is>
      </c>
      <c r="D1223" t="inlineStr">
        <is>
          <t>67297259</t>
        </is>
      </c>
      <c r="E1223" t="inlineStr">
        <is>
          <t>4</t>
        </is>
      </c>
      <c r="F1223" t="inlineStr">
        <is>
          <t>10147486</t>
        </is>
      </c>
      <c r="H1223" t="inlineStr"/>
      <c r="J1223" t="n">
        <v>200</v>
      </c>
      <c r="K1223" t="inlineStr"/>
      <c r="M1223" t="inlineStr">
        <is>
          <t>M3</t>
        </is>
      </c>
      <c r="N1223" t="inlineStr"/>
      <c r="P1223" t="inlineStr">
        <is>
          <t>20250722</t>
        </is>
      </c>
      <c r="Q1223" t="inlineStr">
        <is>
          <t>99991231</t>
        </is>
      </c>
    </row>
    <row r="1224">
      <c r="A1224" t="inlineStr">
        <is>
          <t>900009140D8366729725910269072</t>
        </is>
      </c>
      <c r="B1224" t="inlineStr">
        <is>
          <t>900009140</t>
        </is>
      </c>
      <c r="C1224" t="inlineStr">
        <is>
          <t>D836</t>
        </is>
      </c>
      <c r="D1224" t="inlineStr">
        <is>
          <t>67297259</t>
        </is>
      </c>
      <c r="E1224" t="inlineStr">
        <is>
          <t>4</t>
        </is>
      </c>
      <c r="F1224" t="inlineStr">
        <is>
          <t>10269072</t>
        </is>
      </c>
      <c r="H1224" t="inlineStr"/>
      <c r="J1224" t="n">
        <v>86</v>
      </c>
      <c r="K1224" t="inlineStr"/>
      <c r="M1224" t="inlineStr">
        <is>
          <t>TN</t>
        </is>
      </c>
      <c r="N1224" t="inlineStr"/>
      <c r="P1224" t="inlineStr">
        <is>
          <t>20250723</t>
        </is>
      </c>
      <c r="Q1224" t="inlineStr">
        <is>
          <t>99991231</t>
        </is>
      </c>
    </row>
    <row r="1225">
      <c r="A1225" t="inlineStr">
        <is>
          <t>900009140D8366733063810000245</t>
        </is>
      </c>
      <c r="B1225" t="inlineStr">
        <is>
          <t>900009140</t>
        </is>
      </c>
      <c r="C1225" t="inlineStr">
        <is>
          <t>D836</t>
        </is>
      </c>
      <c r="D1225" t="inlineStr">
        <is>
          <t>67330638</t>
        </is>
      </c>
      <c r="E1225" t="inlineStr">
        <is>
          <t>4</t>
        </is>
      </c>
      <c r="F1225" t="inlineStr">
        <is>
          <t>10000245</t>
        </is>
      </c>
      <c r="H1225" t="inlineStr"/>
      <c r="J1225" t="n">
        <v>110</v>
      </c>
      <c r="K1225" t="inlineStr"/>
      <c r="M1225" t="inlineStr">
        <is>
          <t>TN</t>
        </is>
      </c>
      <c r="N1225" t="inlineStr"/>
      <c r="P1225" t="inlineStr">
        <is>
          <t>20251104</t>
        </is>
      </c>
      <c r="Q1225" t="inlineStr">
        <is>
          <t>20251119</t>
        </is>
      </c>
    </row>
    <row r="1226">
      <c r="A1226" t="inlineStr">
        <is>
          <t>900009140D8366733063810000403</t>
        </is>
      </c>
      <c r="B1226" t="inlineStr">
        <is>
          <t>900009140</t>
        </is>
      </c>
      <c r="C1226" t="inlineStr">
        <is>
          <t>D836</t>
        </is>
      </c>
      <c r="D1226" t="inlineStr">
        <is>
          <t>67330638</t>
        </is>
      </c>
      <c r="E1226" t="inlineStr">
        <is>
          <t>4</t>
        </is>
      </c>
      <c r="F1226" t="inlineStr">
        <is>
          <t>10000403</t>
        </is>
      </c>
      <c r="H1226" t="inlineStr"/>
      <c r="J1226" t="n">
        <v>117.7</v>
      </c>
      <c r="K1226" t="inlineStr"/>
      <c r="M1226" t="inlineStr">
        <is>
          <t>TN</t>
        </is>
      </c>
      <c r="N1226" t="inlineStr"/>
      <c r="P1226" t="inlineStr">
        <is>
          <t>20260302</t>
        </is>
      </c>
      <c r="Q1226" t="inlineStr">
        <is>
          <t>99991231</t>
        </is>
      </c>
    </row>
    <row r="1227">
      <c r="A1227" t="inlineStr">
        <is>
          <t>900009140D8366733063810000623</t>
        </is>
      </c>
      <c r="B1227" t="inlineStr">
        <is>
          <t>900009140</t>
        </is>
      </c>
      <c r="C1227" t="inlineStr">
        <is>
          <t>D836</t>
        </is>
      </c>
      <c r="D1227" t="inlineStr">
        <is>
          <t>67330638</t>
        </is>
      </c>
      <c r="E1227" t="inlineStr">
        <is>
          <t>4</t>
        </is>
      </c>
      <c r="F1227" t="inlineStr">
        <is>
          <t>10000623</t>
        </is>
      </c>
      <c r="H1227" t="inlineStr"/>
      <c r="J1227" t="n">
        <v>117.7</v>
      </c>
      <c r="K1227" t="inlineStr"/>
      <c r="M1227" t="inlineStr">
        <is>
          <t>TN</t>
        </is>
      </c>
      <c r="N1227" t="inlineStr"/>
      <c r="P1227" t="inlineStr">
        <is>
          <t>20260302</t>
        </is>
      </c>
      <c r="Q1227" t="inlineStr">
        <is>
          <t>99991231</t>
        </is>
      </c>
    </row>
    <row r="1228">
      <c r="A1228" t="inlineStr">
        <is>
          <t>900009140D8366733063810000630</t>
        </is>
      </c>
      <c r="B1228" t="inlineStr">
        <is>
          <t>900009140</t>
        </is>
      </c>
      <c r="C1228" t="inlineStr">
        <is>
          <t>D836</t>
        </is>
      </c>
      <c r="D1228" t="inlineStr">
        <is>
          <t>67330638</t>
        </is>
      </c>
      <c r="E1228" t="inlineStr">
        <is>
          <t>4</t>
        </is>
      </c>
      <c r="F1228" t="inlineStr">
        <is>
          <t>10000630</t>
        </is>
      </c>
      <c r="H1228" t="inlineStr"/>
      <c r="J1228" t="n">
        <v>117.7</v>
      </c>
      <c r="K1228" t="inlineStr"/>
      <c r="M1228" t="inlineStr">
        <is>
          <t>TN</t>
        </is>
      </c>
      <c r="N1228" t="inlineStr"/>
      <c r="P1228" t="inlineStr">
        <is>
          <t>20260302</t>
        </is>
      </c>
      <c r="Q1228" t="inlineStr">
        <is>
          <t>99991231</t>
        </is>
      </c>
    </row>
    <row r="1229">
      <c r="A1229" t="inlineStr">
        <is>
          <t>900009140D8366733063810001074</t>
        </is>
      </c>
      <c r="B1229" t="inlineStr">
        <is>
          <t>900009140</t>
        </is>
      </c>
      <c r="C1229" t="inlineStr">
        <is>
          <t>D836</t>
        </is>
      </c>
      <c r="D1229" t="inlineStr">
        <is>
          <t>67330638</t>
        </is>
      </c>
      <c r="E1229" t="inlineStr">
        <is>
          <t>4</t>
        </is>
      </c>
      <c r="F1229" t="inlineStr">
        <is>
          <t>10001074</t>
        </is>
      </c>
      <c r="H1229" t="inlineStr"/>
      <c r="J1229" t="n">
        <v>117.7</v>
      </c>
      <c r="K1229" t="inlineStr"/>
      <c r="M1229" t="inlineStr">
        <is>
          <t>TN</t>
        </is>
      </c>
      <c r="N1229" t="inlineStr"/>
      <c r="P1229" t="inlineStr">
        <is>
          <t>20260302</t>
        </is>
      </c>
      <c r="Q1229" t="inlineStr">
        <is>
          <t>99991231</t>
        </is>
      </c>
    </row>
    <row r="1230">
      <c r="A1230" t="inlineStr">
        <is>
          <t>900009140D8366733063810140399</t>
        </is>
      </c>
      <c r="B1230" t="inlineStr">
        <is>
          <t>900009140</t>
        </is>
      </c>
      <c r="C1230" t="inlineStr">
        <is>
          <t>D836</t>
        </is>
      </c>
      <c r="D1230" t="inlineStr">
        <is>
          <t>67330638</t>
        </is>
      </c>
      <c r="E1230" t="inlineStr">
        <is>
          <t>4</t>
        </is>
      </c>
      <c r="F1230" t="inlineStr">
        <is>
          <t>10140399</t>
        </is>
      </c>
      <c r="H1230" t="inlineStr"/>
      <c r="J1230" t="n">
        <v>110</v>
      </c>
      <c r="K1230" t="inlineStr"/>
      <c r="M1230" t="inlineStr">
        <is>
          <t>TN</t>
        </is>
      </c>
      <c r="N1230" t="inlineStr"/>
      <c r="P1230" t="inlineStr">
        <is>
          <t>20251030</t>
        </is>
      </c>
      <c r="Q1230" t="inlineStr">
        <is>
          <t>20251104</t>
        </is>
      </c>
    </row>
    <row r="1231">
      <c r="A1231" t="inlineStr">
        <is>
          <t>900009140D8366733063810184011</t>
        </is>
      </c>
      <c r="B1231" t="inlineStr">
        <is>
          <t>900009140</t>
        </is>
      </c>
      <c r="C1231" t="inlineStr">
        <is>
          <t>D836</t>
        </is>
      </c>
      <c r="D1231" t="inlineStr">
        <is>
          <t>67330638</t>
        </is>
      </c>
      <c r="E1231" t="inlineStr">
        <is>
          <t>4</t>
        </is>
      </c>
      <c r="F1231" t="inlineStr">
        <is>
          <t>10184011</t>
        </is>
      </c>
      <c r="H1231" t="inlineStr"/>
      <c r="J1231" t="n">
        <v>112.35</v>
      </c>
      <c r="K1231" t="inlineStr"/>
      <c r="M1231" t="inlineStr">
        <is>
          <t>TN</t>
        </is>
      </c>
      <c r="N1231" t="inlineStr"/>
      <c r="P1231" t="inlineStr">
        <is>
          <t>20260302</t>
        </is>
      </c>
      <c r="Q1231" t="inlineStr">
        <is>
          <t>99991231</t>
        </is>
      </c>
    </row>
    <row r="1232">
      <c r="A1232" t="inlineStr">
        <is>
          <t>900009140D8366733063810221480</t>
        </is>
      </c>
      <c r="B1232" t="inlineStr">
        <is>
          <t>900009140</t>
        </is>
      </c>
      <c r="C1232" t="inlineStr">
        <is>
          <t>D836</t>
        </is>
      </c>
      <c r="D1232" t="inlineStr">
        <is>
          <t>67330638</t>
        </is>
      </c>
      <c r="E1232" t="inlineStr">
        <is>
          <t>4</t>
        </is>
      </c>
      <c r="F1232" t="inlineStr">
        <is>
          <t>10221480</t>
        </is>
      </c>
      <c r="H1232" t="inlineStr"/>
      <c r="J1232" t="n">
        <v>193.32</v>
      </c>
      <c r="K1232" t="inlineStr"/>
      <c r="M1232" t="inlineStr">
        <is>
          <t>M3</t>
        </is>
      </c>
      <c r="N1232" t="inlineStr"/>
      <c r="P1232" t="inlineStr">
        <is>
          <t>20260302</t>
        </is>
      </c>
      <c r="Q1232" t="inlineStr">
        <is>
          <t>99991231</t>
        </is>
      </c>
    </row>
    <row r="1233">
      <c r="A1233" t="inlineStr">
        <is>
          <t>900009460D8366662455410264162</t>
        </is>
      </c>
      <c r="B1233" t="inlineStr">
        <is>
          <t>900009460</t>
        </is>
      </c>
      <c r="C1233" t="inlineStr">
        <is>
          <t>D836</t>
        </is>
      </c>
      <c r="D1233" t="inlineStr">
        <is>
          <t>66624554</t>
        </is>
      </c>
      <c r="E1233" t="inlineStr">
        <is>
          <t>1</t>
        </is>
      </c>
      <c r="F1233" t="inlineStr">
        <is>
          <t>10264162</t>
        </is>
      </c>
      <c r="H1233" t="inlineStr"/>
      <c r="J1233" t="n">
        <v>115</v>
      </c>
      <c r="K1233" t="inlineStr"/>
      <c r="M1233" t="inlineStr">
        <is>
          <t>M3</t>
        </is>
      </c>
      <c r="N1233" t="inlineStr"/>
      <c r="P1233" t="inlineStr">
        <is>
          <t>20260701</t>
        </is>
      </c>
      <c r="Q1233" t="inlineStr">
        <is>
          <t>99991231</t>
        </is>
      </c>
    </row>
    <row r="1234">
      <c r="A1234" t="inlineStr">
        <is>
          <t>900009460D8366686450810264162</t>
        </is>
      </c>
      <c r="B1234" t="inlineStr">
        <is>
          <t>900009460</t>
        </is>
      </c>
      <c r="C1234" t="inlineStr">
        <is>
          <t>D836</t>
        </is>
      </c>
      <c r="D1234" t="inlineStr">
        <is>
          <t>66864508</t>
        </is>
      </c>
      <c r="E1234" t="inlineStr">
        <is>
          <t>1</t>
        </is>
      </c>
      <c r="F1234" t="inlineStr">
        <is>
          <t>10264162</t>
        </is>
      </c>
      <c r="H1234" t="inlineStr"/>
      <c r="J1234" t="n">
        <v>275.83</v>
      </c>
      <c r="K1234" t="inlineStr"/>
      <c r="M1234" t="inlineStr">
        <is>
          <t>M3</t>
        </is>
      </c>
      <c r="N1234" t="inlineStr"/>
      <c r="P1234" t="inlineStr">
        <is>
          <t>20260417</t>
        </is>
      </c>
      <c r="Q1234" t="inlineStr">
        <is>
          <t>99991231</t>
        </is>
      </c>
    </row>
    <row r="1235">
      <c r="A1235" t="inlineStr">
        <is>
          <t>900009460D8366686450810274754</t>
        </is>
      </c>
      <c r="B1235" t="inlineStr">
        <is>
          <t>900009460</t>
        </is>
      </c>
      <c r="C1235" t="inlineStr">
        <is>
          <t>D836</t>
        </is>
      </c>
      <c r="D1235" t="inlineStr">
        <is>
          <t>66864508</t>
        </is>
      </c>
      <c r="E1235" t="inlineStr">
        <is>
          <t>1</t>
        </is>
      </c>
      <c r="F1235" t="inlineStr">
        <is>
          <t>10274754</t>
        </is>
      </c>
      <c r="H1235" t="inlineStr"/>
      <c r="J1235" t="n">
        <v>275.83</v>
      </c>
      <c r="K1235" t="inlineStr"/>
      <c r="M1235" t="inlineStr">
        <is>
          <t>M3</t>
        </is>
      </c>
      <c r="N1235" t="inlineStr"/>
      <c r="P1235" t="inlineStr">
        <is>
          <t>20260318</t>
        </is>
      </c>
      <c r="Q1235" t="inlineStr">
        <is>
          <t>99991231</t>
        </is>
      </c>
    </row>
    <row r="1236">
      <c r="A1236" t="inlineStr">
        <is>
          <t>900009460D8366686450810276711</t>
        </is>
      </c>
      <c r="B1236" t="inlineStr">
        <is>
          <t>900009460</t>
        </is>
      </c>
      <c r="C1236" t="inlineStr">
        <is>
          <t>D836</t>
        </is>
      </c>
      <c r="D1236" t="inlineStr">
        <is>
          <t>66864508</t>
        </is>
      </c>
      <c r="E1236" t="inlineStr">
        <is>
          <t>1</t>
        </is>
      </c>
      <c r="F1236" t="inlineStr">
        <is>
          <t>10276711</t>
        </is>
      </c>
      <c r="H1236" t="inlineStr"/>
      <c r="J1236" t="n">
        <v>275.83</v>
      </c>
      <c r="K1236" t="inlineStr"/>
      <c r="M1236" t="inlineStr">
        <is>
          <t>M3</t>
        </is>
      </c>
      <c r="N1236" t="inlineStr"/>
      <c r="P1236" t="inlineStr">
        <is>
          <t>20260427</t>
        </is>
      </c>
      <c r="Q1236" t="inlineStr">
        <is>
          <t>99991231</t>
        </is>
      </c>
    </row>
    <row r="1237">
      <c r="A1237" t="inlineStr">
        <is>
          <t>900009460D8366686450810277346</t>
        </is>
      </c>
      <c r="B1237" t="inlineStr">
        <is>
          <t>900009460</t>
        </is>
      </c>
      <c r="C1237" t="inlineStr">
        <is>
          <t>D836</t>
        </is>
      </c>
      <c r="D1237" t="inlineStr">
        <is>
          <t>66864508</t>
        </is>
      </c>
      <c r="E1237" t="inlineStr">
        <is>
          <t>1</t>
        </is>
      </c>
      <c r="F1237" t="inlineStr">
        <is>
          <t>10277346</t>
        </is>
      </c>
      <c r="H1237" t="inlineStr"/>
      <c r="J1237" t="n">
        <v>275.83</v>
      </c>
      <c r="K1237" t="inlineStr"/>
      <c r="M1237" t="inlineStr">
        <is>
          <t>M3</t>
        </is>
      </c>
      <c r="N1237" t="inlineStr"/>
      <c r="P1237" t="inlineStr">
        <is>
          <t>20260518</t>
        </is>
      </c>
      <c r="Q1237" t="inlineStr">
        <is>
          <t>99991231</t>
        </is>
      </c>
    </row>
    <row r="1238">
      <c r="A1238" t="inlineStr">
        <is>
          <t>900009460D8366686454010264162</t>
        </is>
      </c>
      <c r="B1238" t="inlineStr">
        <is>
          <t>900009460</t>
        </is>
      </c>
      <c r="C1238" t="inlineStr">
        <is>
          <t>D836</t>
        </is>
      </c>
      <c r="D1238" t="inlineStr">
        <is>
          <t>66864540</t>
        </is>
      </c>
      <c r="E1238" t="inlineStr">
        <is>
          <t>1</t>
        </is>
      </c>
      <c r="F1238" t="inlineStr">
        <is>
          <t>10264162</t>
        </is>
      </c>
      <c r="H1238" t="inlineStr"/>
      <c r="J1238" t="n">
        <v>271.15</v>
      </c>
      <c r="K1238" t="inlineStr"/>
      <c r="M1238" t="inlineStr">
        <is>
          <t>M3</t>
        </is>
      </c>
      <c r="N1238" t="inlineStr"/>
      <c r="P1238" t="inlineStr">
        <is>
          <t>20260417</t>
        </is>
      </c>
      <c r="Q1238" t="inlineStr">
        <is>
          <t>99991231</t>
        </is>
      </c>
    </row>
    <row r="1239">
      <c r="A1239" t="inlineStr">
        <is>
          <t>900009460D8366686454010274754</t>
        </is>
      </c>
      <c r="B1239" t="inlineStr">
        <is>
          <t>900009460</t>
        </is>
      </c>
      <c r="C1239" t="inlineStr">
        <is>
          <t>D836</t>
        </is>
      </c>
      <c r="D1239" t="inlineStr">
        <is>
          <t>66864540</t>
        </is>
      </c>
      <c r="E1239" t="inlineStr">
        <is>
          <t>1</t>
        </is>
      </c>
      <c r="F1239" t="inlineStr">
        <is>
          <t>10274754</t>
        </is>
      </c>
      <c r="H1239" t="inlineStr"/>
      <c r="J1239" t="n">
        <v>271.15</v>
      </c>
      <c r="K1239" t="inlineStr"/>
      <c r="M1239" t="inlineStr">
        <is>
          <t>M3</t>
        </is>
      </c>
      <c r="N1239" t="inlineStr"/>
      <c r="P1239" t="inlineStr">
        <is>
          <t>20260318</t>
        </is>
      </c>
      <c r="Q1239" t="inlineStr">
        <is>
          <t>99991231</t>
        </is>
      </c>
    </row>
    <row r="1240">
      <c r="A1240" t="inlineStr">
        <is>
          <t>900009460D8366686454010276711</t>
        </is>
      </c>
      <c r="B1240" t="inlineStr">
        <is>
          <t>900009460</t>
        </is>
      </c>
      <c r="C1240" t="inlineStr">
        <is>
          <t>D836</t>
        </is>
      </c>
      <c r="D1240" t="inlineStr">
        <is>
          <t>66864540</t>
        </is>
      </c>
      <c r="E1240" t="inlineStr">
        <is>
          <t>1</t>
        </is>
      </c>
      <c r="F1240" t="inlineStr">
        <is>
          <t>10276711</t>
        </is>
      </c>
      <c r="H1240" t="inlineStr"/>
      <c r="J1240" t="n">
        <v>271.15</v>
      </c>
      <c r="K1240" t="inlineStr"/>
      <c r="M1240" t="inlineStr">
        <is>
          <t>M3</t>
        </is>
      </c>
      <c r="N1240" t="inlineStr"/>
      <c r="P1240" t="inlineStr">
        <is>
          <t>20260427</t>
        </is>
      </c>
      <c r="Q1240" t="inlineStr">
        <is>
          <t>99991231</t>
        </is>
      </c>
    </row>
    <row r="1241">
      <c r="A1241" t="inlineStr">
        <is>
          <t>900009460D8366686454010277346</t>
        </is>
      </c>
      <c r="B1241" t="inlineStr">
        <is>
          <t>900009460</t>
        </is>
      </c>
      <c r="C1241" t="inlineStr">
        <is>
          <t>D836</t>
        </is>
      </c>
      <c r="D1241" t="inlineStr">
        <is>
          <t>66864540</t>
        </is>
      </c>
      <c r="E1241" t="inlineStr">
        <is>
          <t>1</t>
        </is>
      </c>
      <c r="F1241" t="inlineStr">
        <is>
          <t>10277346</t>
        </is>
      </c>
      <c r="H1241" t="inlineStr"/>
      <c r="J1241" t="n">
        <v>271.15</v>
      </c>
      <c r="K1241" t="inlineStr"/>
      <c r="M1241" t="inlineStr">
        <is>
          <t>M3</t>
        </is>
      </c>
      <c r="N1241" t="inlineStr"/>
      <c r="P1241" t="inlineStr">
        <is>
          <t>20260518</t>
        </is>
      </c>
      <c r="Q1241" t="inlineStr">
        <is>
          <t>99991231</t>
        </is>
      </c>
    </row>
    <row r="1242">
      <c r="A1242" t="inlineStr">
        <is>
          <t>900009460D8366698205310264162</t>
        </is>
      </c>
      <c r="B1242" t="inlineStr">
        <is>
          <t>900009460</t>
        </is>
      </c>
      <c r="C1242" t="inlineStr">
        <is>
          <t>D836</t>
        </is>
      </c>
      <c r="D1242" t="inlineStr">
        <is>
          <t>66982053</t>
        </is>
      </c>
      <c r="E1242" t="inlineStr">
        <is>
          <t>1</t>
        </is>
      </c>
      <c r="F1242" t="inlineStr">
        <is>
          <t>10264162</t>
        </is>
      </c>
      <c r="H1242" t="inlineStr"/>
      <c r="J1242" t="n">
        <v>303.88</v>
      </c>
      <c r="K1242" t="inlineStr"/>
      <c r="M1242" t="inlineStr">
        <is>
          <t>M3</t>
        </is>
      </c>
      <c r="N1242" t="inlineStr"/>
      <c r="P1242" t="inlineStr">
        <is>
          <t>20260417</t>
        </is>
      </c>
      <c r="Q1242" t="inlineStr">
        <is>
          <t>99991231</t>
        </is>
      </c>
    </row>
    <row r="1243">
      <c r="A1243" t="inlineStr">
        <is>
          <t>900009460D8366698205310274754</t>
        </is>
      </c>
      <c r="B1243" t="inlineStr">
        <is>
          <t>900009460</t>
        </is>
      </c>
      <c r="C1243" t="inlineStr">
        <is>
          <t>D836</t>
        </is>
      </c>
      <c r="D1243" t="inlineStr">
        <is>
          <t>66982053</t>
        </is>
      </c>
      <c r="E1243" t="inlineStr">
        <is>
          <t>1</t>
        </is>
      </c>
      <c r="F1243" t="inlineStr">
        <is>
          <t>10274754</t>
        </is>
      </c>
      <c r="H1243" t="inlineStr"/>
      <c r="J1243" t="n">
        <v>303.88</v>
      </c>
      <c r="K1243" t="inlineStr"/>
      <c r="M1243" t="inlineStr">
        <is>
          <t>M3</t>
        </is>
      </c>
      <c r="N1243" t="inlineStr"/>
      <c r="P1243" t="inlineStr">
        <is>
          <t>20260318</t>
        </is>
      </c>
      <c r="Q1243" t="inlineStr">
        <is>
          <t>99991231</t>
        </is>
      </c>
    </row>
    <row r="1244">
      <c r="A1244" t="inlineStr">
        <is>
          <t>900009460D8366698205310276711</t>
        </is>
      </c>
      <c r="B1244" t="inlineStr">
        <is>
          <t>900009460</t>
        </is>
      </c>
      <c r="C1244" t="inlineStr">
        <is>
          <t>D836</t>
        </is>
      </c>
      <c r="D1244" t="inlineStr">
        <is>
          <t>66982053</t>
        </is>
      </c>
      <c r="E1244" t="inlineStr">
        <is>
          <t>1</t>
        </is>
      </c>
      <c r="F1244" t="inlineStr">
        <is>
          <t>10276711</t>
        </is>
      </c>
      <c r="H1244" t="inlineStr"/>
      <c r="J1244" t="n">
        <v>303.88</v>
      </c>
      <c r="K1244" t="inlineStr"/>
      <c r="M1244" t="inlineStr">
        <is>
          <t>M3</t>
        </is>
      </c>
      <c r="N1244" t="inlineStr"/>
      <c r="P1244" t="inlineStr">
        <is>
          <t>20260427</t>
        </is>
      </c>
      <c r="Q1244" t="inlineStr">
        <is>
          <t>99991231</t>
        </is>
      </c>
    </row>
    <row r="1245">
      <c r="A1245" t="inlineStr">
        <is>
          <t>900009460D8366698205310277346</t>
        </is>
      </c>
      <c r="B1245" t="inlineStr">
        <is>
          <t>900009460</t>
        </is>
      </c>
      <c r="C1245" t="inlineStr">
        <is>
          <t>D836</t>
        </is>
      </c>
      <c r="D1245" t="inlineStr">
        <is>
          <t>66982053</t>
        </is>
      </c>
      <c r="E1245" t="inlineStr">
        <is>
          <t>1</t>
        </is>
      </c>
      <c r="F1245" t="inlineStr">
        <is>
          <t>10277346</t>
        </is>
      </c>
      <c r="H1245" t="inlineStr"/>
      <c r="J1245" t="n">
        <v>303.88</v>
      </c>
      <c r="K1245" t="inlineStr"/>
      <c r="M1245" t="inlineStr">
        <is>
          <t>M3</t>
        </is>
      </c>
      <c r="N1245" t="inlineStr"/>
      <c r="P1245" t="inlineStr">
        <is>
          <t>20260518</t>
        </is>
      </c>
      <c r="Q1245" t="inlineStr">
        <is>
          <t>99991231</t>
        </is>
      </c>
    </row>
    <row r="1246">
      <c r="A1246" t="inlineStr">
        <is>
          <t>900009460D8366701997910264162</t>
        </is>
      </c>
      <c r="B1246" t="inlineStr">
        <is>
          <t>900009460</t>
        </is>
      </c>
      <c r="C1246" t="inlineStr">
        <is>
          <t>D836</t>
        </is>
      </c>
      <c r="D1246" t="inlineStr">
        <is>
          <t>67019979</t>
        </is>
      </c>
      <c r="E1246" t="inlineStr">
        <is>
          <t>1</t>
        </is>
      </c>
      <c r="F1246" t="inlineStr">
        <is>
          <t>10264162</t>
        </is>
      </c>
      <c r="H1246" t="inlineStr"/>
      <c r="J1246" t="n">
        <v>318.98</v>
      </c>
      <c r="K1246" t="inlineStr"/>
      <c r="M1246" t="inlineStr">
        <is>
          <t>M3</t>
        </is>
      </c>
      <c r="N1246" t="inlineStr"/>
      <c r="P1246" t="inlineStr">
        <is>
          <t>20260417</t>
        </is>
      </c>
      <c r="Q1246" t="inlineStr">
        <is>
          <t>99991231</t>
        </is>
      </c>
    </row>
    <row r="1247">
      <c r="A1247" t="inlineStr">
        <is>
          <t>900009460D8366701997910274754</t>
        </is>
      </c>
      <c r="B1247" t="inlineStr">
        <is>
          <t>900009460</t>
        </is>
      </c>
      <c r="C1247" t="inlineStr">
        <is>
          <t>D836</t>
        </is>
      </c>
      <c r="D1247" t="inlineStr">
        <is>
          <t>67019979</t>
        </is>
      </c>
      <c r="E1247" t="inlineStr">
        <is>
          <t>1</t>
        </is>
      </c>
      <c r="F1247" t="inlineStr">
        <is>
          <t>10274754</t>
        </is>
      </c>
      <c r="H1247" t="inlineStr"/>
      <c r="J1247" t="n">
        <v>318.98</v>
      </c>
      <c r="K1247" t="inlineStr"/>
      <c r="M1247" t="inlineStr">
        <is>
          <t>M3</t>
        </is>
      </c>
      <c r="N1247" t="inlineStr"/>
      <c r="P1247" t="inlineStr">
        <is>
          <t>20260318</t>
        </is>
      </c>
      <c r="Q1247" t="inlineStr">
        <is>
          <t>99991231</t>
        </is>
      </c>
    </row>
    <row r="1248">
      <c r="A1248" t="inlineStr">
        <is>
          <t>900009460D8366701997910276711</t>
        </is>
      </c>
      <c r="B1248" t="inlineStr">
        <is>
          <t>900009460</t>
        </is>
      </c>
      <c r="C1248" t="inlineStr">
        <is>
          <t>D836</t>
        </is>
      </c>
      <c r="D1248" t="inlineStr">
        <is>
          <t>67019979</t>
        </is>
      </c>
      <c r="E1248" t="inlineStr">
        <is>
          <t>1</t>
        </is>
      </c>
      <c r="F1248" t="inlineStr">
        <is>
          <t>10276711</t>
        </is>
      </c>
      <c r="H1248" t="inlineStr"/>
      <c r="J1248" t="n">
        <v>318.98</v>
      </c>
      <c r="K1248" t="inlineStr"/>
      <c r="M1248" t="inlineStr">
        <is>
          <t>M3</t>
        </is>
      </c>
      <c r="N1248" t="inlineStr"/>
      <c r="P1248" t="inlineStr">
        <is>
          <t>20260427</t>
        </is>
      </c>
      <c r="Q1248" t="inlineStr">
        <is>
          <t>99991231</t>
        </is>
      </c>
    </row>
    <row r="1249">
      <c r="A1249" t="inlineStr">
        <is>
          <t>900009460D8366701997910277346</t>
        </is>
      </c>
      <c r="B1249" t="inlineStr">
        <is>
          <t>900009460</t>
        </is>
      </c>
      <c r="C1249" t="inlineStr">
        <is>
          <t>D836</t>
        </is>
      </c>
      <c r="D1249" t="inlineStr">
        <is>
          <t>67019979</t>
        </is>
      </c>
      <c r="E1249" t="inlineStr">
        <is>
          <t>1</t>
        </is>
      </c>
      <c r="F1249" t="inlineStr">
        <is>
          <t>10277346</t>
        </is>
      </c>
      <c r="H1249" t="inlineStr"/>
      <c r="J1249" t="n">
        <v>318.98</v>
      </c>
      <c r="K1249" t="inlineStr"/>
      <c r="M1249" t="inlineStr">
        <is>
          <t>M3</t>
        </is>
      </c>
      <c r="N1249" t="inlineStr"/>
      <c r="P1249" t="inlineStr">
        <is>
          <t>20260518</t>
        </is>
      </c>
      <c r="Q1249" t="inlineStr">
        <is>
          <t>99991231</t>
        </is>
      </c>
    </row>
    <row r="1250">
      <c r="A1250" t="inlineStr">
        <is>
          <t>900009460D8366724340810264162</t>
        </is>
      </c>
      <c r="B1250" t="inlineStr">
        <is>
          <t>900009460</t>
        </is>
      </c>
      <c r="C1250" t="inlineStr">
        <is>
          <t>D836</t>
        </is>
      </c>
      <c r="D1250" t="inlineStr">
        <is>
          <t>67243408</t>
        </is>
      </c>
      <c r="E1250" t="inlineStr">
        <is>
          <t>1</t>
        </is>
      </c>
      <c r="F1250" t="inlineStr">
        <is>
          <t>10264162</t>
        </is>
      </c>
      <c r="H1250" t="inlineStr"/>
      <c r="J1250" t="n">
        <v>345.95</v>
      </c>
      <c r="K1250" t="inlineStr"/>
      <c r="M1250" t="inlineStr">
        <is>
          <t>M3</t>
        </is>
      </c>
      <c r="N1250" t="inlineStr"/>
      <c r="P1250" t="inlineStr">
        <is>
          <t>20260318</t>
        </is>
      </c>
      <c r="Q1250" t="inlineStr">
        <is>
          <t>99991231</t>
        </is>
      </c>
    </row>
    <row r="1251">
      <c r="A1251" t="inlineStr">
        <is>
          <t>900009460D8366724340810274754</t>
        </is>
      </c>
      <c r="B1251" t="inlineStr">
        <is>
          <t>900009460</t>
        </is>
      </c>
      <c r="C1251" t="inlineStr">
        <is>
          <t>D836</t>
        </is>
      </c>
      <c r="D1251" t="inlineStr">
        <is>
          <t>67243408</t>
        </is>
      </c>
      <c r="E1251" t="inlineStr">
        <is>
          <t>1</t>
        </is>
      </c>
      <c r="F1251" t="inlineStr">
        <is>
          <t>10274754</t>
        </is>
      </c>
      <c r="H1251" t="inlineStr"/>
      <c r="J1251" t="n">
        <v>345.95</v>
      </c>
      <c r="K1251" t="inlineStr"/>
      <c r="M1251" t="inlineStr">
        <is>
          <t>M3</t>
        </is>
      </c>
      <c r="N1251" t="inlineStr"/>
      <c r="P1251" t="inlineStr">
        <is>
          <t>20260318</t>
        </is>
      </c>
      <c r="Q1251" t="inlineStr">
        <is>
          <t>99991231</t>
        </is>
      </c>
    </row>
    <row r="1252">
      <c r="A1252" t="inlineStr">
        <is>
          <t>900009460D8366724340810276711</t>
        </is>
      </c>
      <c r="B1252" t="inlineStr">
        <is>
          <t>900009460</t>
        </is>
      </c>
      <c r="C1252" t="inlineStr">
        <is>
          <t>D836</t>
        </is>
      </c>
      <c r="D1252" t="inlineStr">
        <is>
          <t>67243408</t>
        </is>
      </c>
      <c r="E1252" t="inlineStr">
        <is>
          <t>1</t>
        </is>
      </c>
      <c r="F1252" t="inlineStr">
        <is>
          <t>10276711</t>
        </is>
      </c>
      <c r="H1252" t="inlineStr"/>
      <c r="J1252" t="n">
        <v>345.95</v>
      </c>
      <c r="K1252" t="inlineStr"/>
      <c r="M1252" t="inlineStr">
        <is>
          <t>M3</t>
        </is>
      </c>
      <c r="N1252" t="inlineStr"/>
      <c r="P1252" t="inlineStr">
        <is>
          <t>20260515</t>
        </is>
      </c>
      <c r="Q1252" t="inlineStr">
        <is>
          <t>99991231</t>
        </is>
      </c>
    </row>
    <row r="1253">
      <c r="A1253" t="inlineStr">
        <is>
          <t>900009460D8366724340810277346</t>
        </is>
      </c>
      <c r="B1253" t="inlineStr">
        <is>
          <t>900009460</t>
        </is>
      </c>
      <c r="C1253" t="inlineStr">
        <is>
          <t>D836</t>
        </is>
      </c>
      <c r="D1253" t="inlineStr">
        <is>
          <t>67243408</t>
        </is>
      </c>
      <c r="E1253" t="inlineStr">
        <is>
          <t>1</t>
        </is>
      </c>
      <c r="F1253" t="inlineStr">
        <is>
          <t>10277346</t>
        </is>
      </c>
      <c r="H1253" t="inlineStr"/>
      <c r="J1253" t="n">
        <v>345.95</v>
      </c>
      <c r="K1253" t="inlineStr"/>
      <c r="M1253" t="inlineStr">
        <is>
          <t>M3</t>
        </is>
      </c>
      <c r="N1253" t="inlineStr"/>
      <c r="P1253" t="inlineStr">
        <is>
          <t>20260518</t>
        </is>
      </c>
      <c r="Q1253" t="inlineStr">
        <is>
          <t>99991231</t>
        </is>
      </c>
    </row>
    <row r="1254">
      <c r="A1254" t="inlineStr">
        <is>
          <t>900009460D8366732249910264162</t>
        </is>
      </c>
      <c r="B1254" t="inlineStr">
        <is>
          <t>900009460</t>
        </is>
      </c>
      <c r="C1254" t="inlineStr">
        <is>
          <t>D836</t>
        </is>
      </c>
      <c r="D1254" t="inlineStr">
        <is>
          <t>67322499</t>
        </is>
      </c>
      <c r="E1254" t="inlineStr">
        <is>
          <t>1</t>
        </is>
      </c>
      <c r="F1254" t="inlineStr">
        <is>
          <t>10264162</t>
        </is>
      </c>
      <c r="H1254" t="inlineStr"/>
      <c r="J1254" t="n">
        <v>275.83</v>
      </c>
      <c r="K1254" t="inlineStr"/>
      <c r="M1254" t="inlineStr">
        <is>
          <t>M3</t>
        </is>
      </c>
      <c r="N1254" t="inlineStr"/>
      <c r="P1254" t="inlineStr">
        <is>
          <t>20260318</t>
        </is>
      </c>
      <c r="Q1254" t="inlineStr">
        <is>
          <t>99991231</t>
        </is>
      </c>
    </row>
    <row r="1255">
      <c r="A1255" t="inlineStr">
        <is>
          <t>900009460D8366732249910274754</t>
        </is>
      </c>
      <c r="B1255" t="inlineStr">
        <is>
          <t>900009460</t>
        </is>
      </c>
      <c r="C1255" t="inlineStr">
        <is>
          <t>D836</t>
        </is>
      </c>
      <c r="D1255" t="inlineStr">
        <is>
          <t>67322499</t>
        </is>
      </c>
      <c r="E1255" t="inlineStr">
        <is>
          <t>1</t>
        </is>
      </c>
      <c r="F1255" t="inlineStr">
        <is>
          <t>10274754</t>
        </is>
      </c>
      <c r="H1255" t="inlineStr"/>
      <c r="J1255" t="n">
        <v>275.83</v>
      </c>
      <c r="K1255" t="inlineStr"/>
      <c r="M1255" t="inlineStr">
        <is>
          <t>M3</t>
        </is>
      </c>
      <c r="N1255" t="inlineStr"/>
      <c r="P1255" t="inlineStr">
        <is>
          <t>20260318</t>
        </is>
      </c>
      <c r="Q1255" t="inlineStr">
        <is>
          <t>99991231</t>
        </is>
      </c>
    </row>
    <row r="1256">
      <c r="A1256" t="inlineStr">
        <is>
          <t>900009460D8366732249910276711</t>
        </is>
      </c>
      <c r="B1256" t="inlineStr">
        <is>
          <t>900009460</t>
        </is>
      </c>
      <c r="C1256" t="inlineStr">
        <is>
          <t>D836</t>
        </is>
      </c>
      <c r="D1256" t="inlineStr">
        <is>
          <t>67322499</t>
        </is>
      </c>
      <c r="E1256" t="inlineStr">
        <is>
          <t>1</t>
        </is>
      </c>
      <c r="F1256" t="inlineStr">
        <is>
          <t>10276711</t>
        </is>
      </c>
      <c r="H1256" t="inlineStr"/>
      <c r="J1256" t="n">
        <v>275.83</v>
      </c>
      <c r="K1256" t="inlineStr"/>
      <c r="M1256" t="inlineStr">
        <is>
          <t>M3</t>
        </is>
      </c>
      <c r="N1256" t="inlineStr"/>
      <c r="P1256" t="inlineStr">
        <is>
          <t>20260515</t>
        </is>
      </c>
      <c r="Q1256" t="inlineStr">
        <is>
          <t>99991231</t>
        </is>
      </c>
    </row>
    <row r="1257">
      <c r="A1257" t="inlineStr">
        <is>
          <t>900009460D8366732249910277346</t>
        </is>
      </c>
      <c r="B1257" t="inlineStr">
        <is>
          <t>900009460</t>
        </is>
      </c>
      <c r="C1257" t="inlineStr">
        <is>
          <t>D836</t>
        </is>
      </c>
      <c r="D1257" t="inlineStr">
        <is>
          <t>67322499</t>
        </is>
      </c>
      <c r="E1257" t="inlineStr">
        <is>
          <t>1</t>
        </is>
      </c>
      <c r="F1257" t="inlineStr">
        <is>
          <t>10277346</t>
        </is>
      </c>
      <c r="H1257" t="inlineStr"/>
      <c r="J1257" t="n">
        <v>275.83</v>
      </c>
      <c r="K1257" t="inlineStr"/>
      <c r="M1257" t="inlineStr">
        <is>
          <t>M3</t>
        </is>
      </c>
      <c r="N1257" t="inlineStr"/>
      <c r="P1257" t="inlineStr">
        <is>
          <t>20260518</t>
        </is>
      </c>
      <c r="Q1257" t="inlineStr">
        <is>
          <t>99991231</t>
        </is>
      </c>
    </row>
    <row r="1258">
      <c r="A1258" t="inlineStr">
        <is>
          <t>900002267D8366728303510140399</t>
        </is>
      </c>
      <c r="B1258" t="inlineStr">
        <is>
          <t>900002267</t>
        </is>
      </c>
      <c r="C1258" t="inlineStr">
        <is>
          <t>D836</t>
        </is>
      </c>
      <c r="D1258" t="inlineStr">
        <is>
          <t>67283035</t>
        </is>
      </c>
      <c r="E1258" t="inlineStr">
        <is>
          <t>4</t>
        </is>
      </c>
      <c r="F1258" t="inlineStr">
        <is>
          <t>10140399</t>
        </is>
      </c>
      <c r="H1258" t="inlineStr"/>
      <c r="J1258" t="n">
        <v>1275</v>
      </c>
      <c r="K1258" t="inlineStr"/>
      <c r="M1258" t="inlineStr">
        <is>
          <t>M3</t>
        </is>
      </c>
      <c r="N1258" t="inlineStr"/>
      <c r="P1258" t="inlineStr">
        <is>
          <t>20240925</t>
        </is>
      </c>
      <c r="Q1258" t="inlineStr">
        <is>
          <t>99991231</t>
        </is>
      </c>
    </row>
    <row r="1259">
      <c r="A1259" t="inlineStr">
        <is>
          <t>900002574D8366658134810000160</t>
        </is>
      </c>
      <c r="B1259" t="inlineStr">
        <is>
          <t>900002574</t>
        </is>
      </c>
      <c r="C1259" t="inlineStr">
        <is>
          <t>D836</t>
        </is>
      </c>
      <c r="D1259" t="inlineStr">
        <is>
          <t>66581348</t>
        </is>
      </c>
      <c r="E1259" t="inlineStr">
        <is>
          <t>4</t>
        </is>
      </c>
      <c r="F1259" t="inlineStr">
        <is>
          <t>10000160</t>
        </is>
      </c>
      <c r="H1259" t="inlineStr"/>
      <c r="J1259" t="n">
        <v>500</v>
      </c>
      <c r="K1259" t="inlineStr"/>
      <c r="M1259" t="inlineStr">
        <is>
          <t>M3</t>
        </is>
      </c>
      <c r="N1259" t="inlineStr"/>
      <c r="P1259" t="inlineStr">
        <is>
          <t>20240706</t>
        </is>
      </c>
      <c r="Q1259" t="inlineStr">
        <is>
          <t>20240814</t>
        </is>
      </c>
    </row>
    <row r="1260">
      <c r="A1260" t="inlineStr">
        <is>
          <t>900002574D8366687846210185476</t>
        </is>
      </c>
      <c r="B1260" t="inlineStr">
        <is>
          <t>900002574</t>
        </is>
      </c>
      <c r="C1260" t="inlineStr">
        <is>
          <t>D836</t>
        </is>
      </c>
      <c r="D1260" t="inlineStr">
        <is>
          <t>66878462</t>
        </is>
      </c>
      <c r="E1260" t="inlineStr">
        <is>
          <t>4</t>
        </is>
      </c>
      <c r="F1260" t="inlineStr">
        <is>
          <t>10185476</t>
        </is>
      </c>
      <c r="H1260" t="inlineStr"/>
      <c r="J1260" t="n">
        <v>400</v>
      </c>
      <c r="K1260" t="inlineStr"/>
      <c r="M1260" t="inlineStr">
        <is>
          <t>M3</t>
        </is>
      </c>
      <c r="N1260" t="inlineStr"/>
      <c r="P1260" t="inlineStr">
        <is>
          <t>20241004</t>
        </is>
      </c>
      <c r="Q1260" t="inlineStr">
        <is>
          <t>99991231</t>
        </is>
      </c>
    </row>
    <row r="1261">
      <c r="A1261" t="inlineStr">
        <is>
          <t>900002574D8366687846210185477</t>
        </is>
      </c>
      <c r="B1261" t="inlineStr">
        <is>
          <t>900002574</t>
        </is>
      </c>
      <c r="C1261" t="inlineStr">
        <is>
          <t>D836</t>
        </is>
      </c>
      <c r="D1261" t="inlineStr">
        <is>
          <t>66878462</t>
        </is>
      </c>
      <c r="E1261" t="inlineStr">
        <is>
          <t>4</t>
        </is>
      </c>
      <c r="F1261" t="inlineStr">
        <is>
          <t>10185477</t>
        </is>
      </c>
      <c r="H1261" t="inlineStr"/>
      <c r="J1261" t="n">
        <v>400</v>
      </c>
      <c r="K1261" t="inlineStr"/>
      <c r="M1261" t="inlineStr">
        <is>
          <t>M3</t>
        </is>
      </c>
      <c r="N1261" t="inlineStr"/>
      <c r="P1261" t="inlineStr">
        <is>
          <t>20241004</t>
        </is>
      </c>
      <c r="Q1261" t="inlineStr">
        <is>
          <t>99991231</t>
        </is>
      </c>
    </row>
    <row r="1262">
      <c r="A1262" t="inlineStr">
        <is>
          <t>900002574D8366687846210227598</t>
        </is>
      </c>
      <c r="B1262" t="inlineStr">
        <is>
          <t>900002574</t>
        </is>
      </c>
      <c r="C1262" t="inlineStr">
        <is>
          <t>D836</t>
        </is>
      </c>
      <c r="D1262" t="inlineStr">
        <is>
          <t>66878462</t>
        </is>
      </c>
      <c r="E1262" t="inlineStr">
        <is>
          <t>4</t>
        </is>
      </c>
      <c r="F1262" t="inlineStr">
        <is>
          <t>10227598</t>
        </is>
      </c>
      <c r="H1262" t="inlineStr"/>
      <c r="J1262" t="n">
        <v>400</v>
      </c>
      <c r="K1262" t="inlineStr"/>
      <c r="M1262" t="inlineStr">
        <is>
          <t>M3</t>
        </is>
      </c>
      <c r="N1262" t="inlineStr"/>
      <c r="P1262" t="inlineStr">
        <is>
          <t>20241004</t>
        </is>
      </c>
      <c r="Q1262" t="inlineStr">
        <is>
          <t>99991231</t>
        </is>
      </c>
    </row>
    <row r="1263">
      <c r="A1263" t="inlineStr">
        <is>
          <t>900002574D8366720863810000623</t>
        </is>
      </c>
      <c r="B1263" t="inlineStr">
        <is>
          <t>900002574</t>
        </is>
      </c>
      <c r="C1263" t="inlineStr">
        <is>
          <t>D836</t>
        </is>
      </c>
      <c r="D1263" t="inlineStr">
        <is>
          <t>67208638</t>
        </is>
      </c>
      <c r="E1263" t="inlineStr">
        <is>
          <t>4</t>
        </is>
      </c>
      <c r="F1263" t="inlineStr">
        <is>
          <t>10000623</t>
        </is>
      </c>
      <c r="H1263" t="inlineStr"/>
      <c r="J1263" t="n">
        <v>283.91</v>
      </c>
      <c r="K1263" t="inlineStr"/>
      <c r="M1263" t="inlineStr">
        <is>
          <t>M3</t>
        </is>
      </c>
      <c r="N1263" t="inlineStr"/>
      <c r="P1263" t="inlineStr">
        <is>
          <t>20240706</t>
        </is>
      </c>
      <c r="Q1263" t="inlineStr">
        <is>
          <t>20240814</t>
        </is>
      </c>
    </row>
    <row r="1264">
      <c r="A1264" t="inlineStr">
        <is>
          <t>900002574D8366724941610000133</t>
        </is>
      </c>
      <c r="B1264" t="inlineStr">
        <is>
          <t>900002574</t>
        </is>
      </c>
      <c r="C1264" t="inlineStr">
        <is>
          <t>D836</t>
        </is>
      </c>
      <c r="D1264" t="inlineStr">
        <is>
          <t>67249416</t>
        </is>
      </c>
      <c r="E1264" t="inlineStr">
        <is>
          <t>4</t>
        </is>
      </c>
      <c r="F1264" t="inlineStr">
        <is>
          <t>10000133</t>
        </is>
      </c>
      <c r="H1264" t="inlineStr"/>
      <c r="J1264" t="n">
        <v>200</v>
      </c>
      <c r="K1264" t="inlineStr"/>
      <c r="M1264" t="inlineStr">
        <is>
          <t>TN</t>
        </is>
      </c>
      <c r="N1264" t="inlineStr"/>
      <c r="P1264" t="inlineStr">
        <is>
          <t>20240706</t>
        </is>
      </c>
      <c r="Q1264" t="inlineStr">
        <is>
          <t>20240814</t>
        </is>
      </c>
    </row>
    <row r="1265">
      <c r="A1265" t="inlineStr">
        <is>
          <t>900002574D8366724941610000623</t>
        </is>
      </c>
      <c r="B1265" t="inlineStr">
        <is>
          <t>900002574</t>
        </is>
      </c>
      <c r="C1265" t="inlineStr">
        <is>
          <t>D836</t>
        </is>
      </c>
      <c r="D1265" t="inlineStr">
        <is>
          <t>67249416</t>
        </is>
      </c>
      <c r="E1265" t="inlineStr">
        <is>
          <t>4</t>
        </is>
      </c>
      <c r="F1265" t="inlineStr">
        <is>
          <t>10000623</t>
        </is>
      </c>
      <c r="H1265" t="inlineStr"/>
      <c r="J1265" t="n">
        <v>200</v>
      </c>
      <c r="K1265" t="inlineStr"/>
      <c r="M1265" t="inlineStr">
        <is>
          <t>TN</t>
        </is>
      </c>
      <c r="N1265" t="inlineStr"/>
      <c r="P1265" t="inlineStr">
        <is>
          <t>20240706</t>
        </is>
      </c>
      <c r="Q1265" t="inlineStr">
        <is>
          <t>20240814</t>
        </is>
      </c>
    </row>
    <row r="1266">
      <c r="A1266" t="inlineStr">
        <is>
          <t>900002574D8366724941610000624</t>
        </is>
      </c>
      <c r="B1266" t="inlineStr">
        <is>
          <t>900002574</t>
        </is>
      </c>
      <c r="C1266" t="inlineStr">
        <is>
          <t>D836</t>
        </is>
      </c>
      <c r="D1266" t="inlineStr">
        <is>
          <t>67249416</t>
        </is>
      </c>
      <c r="E1266" t="inlineStr">
        <is>
          <t>4</t>
        </is>
      </c>
      <c r="F1266" t="inlineStr">
        <is>
          <t>10000624</t>
        </is>
      </c>
      <c r="H1266" t="inlineStr"/>
      <c r="J1266" t="n">
        <v>200</v>
      </c>
      <c r="K1266" t="inlineStr"/>
      <c r="M1266" t="inlineStr">
        <is>
          <t>TN</t>
        </is>
      </c>
      <c r="N1266" t="inlineStr"/>
      <c r="P1266" t="inlineStr">
        <is>
          <t>20240706</t>
        </is>
      </c>
      <c r="Q1266" t="inlineStr">
        <is>
          <t>20240814</t>
        </is>
      </c>
    </row>
    <row r="1267">
      <c r="A1267" t="inlineStr">
        <is>
          <t>900002574D8366724941610058345</t>
        </is>
      </c>
      <c r="B1267" t="inlineStr">
        <is>
          <t>900002574</t>
        </is>
      </c>
      <c r="C1267" t="inlineStr">
        <is>
          <t>D836</t>
        </is>
      </c>
      <c r="D1267" t="inlineStr">
        <is>
          <t>67249416</t>
        </is>
      </c>
      <c r="E1267" t="inlineStr">
        <is>
          <t>4</t>
        </is>
      </c>
      <c r="F1267" t="inlineStr">
        <is>
          <t>10058345</t>
        </is>
      </c>
      <c r="H1267" t="inlineStr"/>
      <c r="J1267" t="n">
        <v>200</v>
      </c>
      <c r="K1267" t="inlineStr"/>
      <c r="M1267" t="inlineStr">
        <is>
          <t>TN</t>
        </is>
      </c>
      <c r="N1267" t="inlineStr"/>
      <c r="P1267" t="inlineStr">
        <is>
          <t>20240706</t>
        </is>
      </c>
      <c r="Q1267" t="inlineStr">
        <is>
          <t>20240814</t>
        </is>
      </c>
    </row>
    <row r="1268">
      <c r="A1268" t="inlineStr">
        <is>
          <t>900003496D8366722167410000635</t>
        </is>
      </c>
      <c r="B1268" t="inlineStr">
        <is>
          <t>900003496</t>
        </is>
      </c>
      <c r="C1268" t="inlineStr">
        <is>
          <t>D836</t>
        </is>
      </c>
      <c r="D1268" t="inlineStr">
        <is>
          <t>67221674</t>
        </is>
      </c>
      <c r="E1268" t="inlineStr">
        <is>
          <t>4</t>
        </is>
      </c>
      <c r="F1268" t="inlineStr">
        <is>
          <t>10000635</t>
        </is>
      </c>
      <c r="H1268" t="inlineStr"/>
      <c r="J1268" t="n">
        <v>500</v>
      </c>
      <c r="K1268" t="inlineStr"/>
      <c r="M1268" t="inlineStr">
        <is>
          <t>TN</t>
        </is>
      </c>
      <c r="N1268" t="inlineStr"/>
      <c r="P1268" t="inlineStr">
        <is>
          <t>20240706</t>
        </is>
      </c>
      <c r="Q1268" t="inlineStr">
        <is>
          <t>20240814</t>
        </is>
      </c>
    </row>
    <row r="1269">
      <c r="A1269" t="inlineStr">
        <is>
          <t>900003496D8366722167410000655</t>
        </is>
      </c>
      <c r="B1269" t="inlineStr">
        <is>
          <t>900003496</t>
        </is>
      </c>
      <c r="C1269" t="inlineStr">
        <is>
          <t>D836</t>
        </is>
      </c>
      <c r="D1269" t="inlineStr">
        <is>
          <t>67221674</t>
        </is>
      </c>
      <c r="E1269" t="inlineStr">
        <is>
          <t>4</t>
        </is>
      </c>
      <c r="F1269" t="inlineStr">
        <is>
          <t>10000655</t>
        </is>
      </c>
      <c r="H1269" t="inlineStr"/>
      <c r="J1269" t="n">
        <v>500</v>
      </c>
      <c r="K1269" t="inlineStr"/>
      <c r="M1269" t="inlineStr">
        <is>
          <t>TN</t>
        </is>
      </c>
      <c r="N1269" t="inlineStr"/>
      <c r="P1269" t="inlineStr">
        <is>
          <t>20240706</t>
        </is>
      </c>
      <c r="Q1269" t="inlineStr">
        <is>
          <t>20240814</t>
        </is>
      </c>
    </row>
    <row r="1270">
      <c r="A1270" t="inlineStr">
        <is>
          <t>900003588D8366590842610000625</t>
        </is>
      </c>
      <c r="B1270" t="inlineStr">
        <is>
          <t>900003588</t>
        </is>
      </c>
      <c r="C1270" t="inlineStr">
        <is>
          <t>D836</t>
        </is>
      </c>
      <c r="D1270" t="inlineStr">
        <is>
          <t>65908426</t>
        </is>
      </c>
      <c r="E1270" t="inlineStr">
        <is>
          <t>1</t>
        </is>
      </c>
      <c r="F1270" t="inlineStr">
        <is>
          <t>10000625</t>
        </is>
      </c>
      <c r="H1270" t="inlineStr"/>
      <c r="J1270" t="n">
        <v>86</v>
      </c>
      <c r="K1270" t="inlineStr"/>
      <c r="M1270" t="inlineStr">
        <is>
          <t>TN</t>
        </is>
      </c>
      <c r="N1270" t="inlineStr"/>
      <c r="P1270" t="inlineStr">
        <is>
          <t>20250320</t>
        </is>
      </c>
      <c r="Q1270" t="inlineStr">
        <is>
          <t>99991231</t>
        </is>
      </c>
    </row>
    <row r="1271">
      <c r="A1271" t="inlineStr">
        <is>
          <t>900003588D8366658258010000625</t>
        </is>
      </c>
      <c r="B1271" t="inlineStr">
        <is>
          <t>900003588</t>
        </is>
      </c>
      <c r="C1271" t="inlineStr">
        <is>
          <t>D836</t>
        </is>
      </c>
      <c r="D1271" t="inlineStr">
        <is>
          <t>66582580</t>
        </is>
      </c>
      <c r="E1271" t="inlineStr">
        <is>
          <t>1</t>
        </is>
      </c>
      <c r="F1271" t="inlineStr">
        <is>
          <t>10000625</t>
        </is>
      </c>
      <c r="H1271" t="inlineStr"/>
      <c r="J1271" t="n">
        <v>90</v>
      </c>
      <c r="K1271" t="inlineStr"/>
      <c r="M1271" t="inlineStr">
        <is>
          <t>TN</t>
        </is>
      </c>
      <c r="N1271" t="inlineStr"/>
      <c r="P1271" t="inlineStr">
        <is>
          <t>20250320</t>
        </is>
      </c>
      <c r="Q1271" t="inlineStr">
        <is>
          <t>99991231</t>
        </is>
      </c>
    </row>
    <row r="1272">
      <c r="A1272" t="inlineStr">
        <is>
          <t>900003588D8366712669810000625</t>
        </is>
      </c>
      <c r="B1272" t="inlineStr">
        <is>
          <t>900003588</t>
        </is>
      </c>
      <c r="C1272" t="inlineStr">
        <is>
          <t>D836</t>
        </is>
      </c>
      <c r="D1272" t="inlineStr">
        <is>
          <t>67126698</t>
        </is>
      </c>
      <c r="E1272" t="inlineStr">
        <is>
          <t>1</t>
        </is>
      </c>
      <c r="F1272" t="inlineStr">
        <is>
          <t>10000625</t>
        </is>
      </c>
      <c r="H1272" t="inlineStr"/>
      <c r="J1272" t="n">
        <v>78.40000000000001</v>
      </c>
      <c r="K1272" t="inlineStr"/>
      <c r="M1272" t="inlineStr">
        <is>
          <t>TN</t>
        </is>
      </c>
      <c r="N1272" t="inlineStr"/>
      <c r="P1272" t="inlineStr">
        <is>
          <t>20250617</t>
        </is>
      </c>
      <c r="Q1272" t="inlineStr">
        <is>
          <t>99991231</t>
        </is>
      </c>
    </row>
    <row r="1273">
      <c r="A1273" t="inlineStr">
        <is>
          <t>900003588D8366712669810000627</t>
        </is>
      </c>
      <c r="B1273" t="inlineStr">
        <is>
          <t>900003588</t>
        </is>
      </c>
      <c r="C1273" t="inlineStr">
        <is>
          <t>D836</t>
        </is>
      </c>
      <c r="D1273" t="inlineStr">
        <is>
          <t>67126698</t>
        </is>
      </c>
      <c r="E1273" t="inlineStr">
        <is>
          <t>1</t>
        </is>
      </c>
      <c r="F1273" t="inlineStr">
        <is>
          <t>10000627</t>
        </is>
      </c>
      <c r="H1273" t="inlineStr"/>
      <c r="J1273" t="n">
        <v>85.47</v>
      </c>
      <c r="K1273" t="inlineStr"/>
      <c r="M1273" t="inlineStr">
        <is>
          <t>TN</t>
        </is>
      </c>
      <c r="N1273" t="inlineStr"/>
      <c r="P1273" t="inlineStr">
        <is>
          <t>20250617</t>
        </is>
      </c>
      <c r="Q1273" t="inlineStr">
        <is>
          <t>99991231</t>
        </is>
      </c>
    </row>
    <row r="1274">
      <c r="A1274" t="inlineStr">
        <is>
          <t>900003601D8366590842610000623</t>
        </is>
      </c>
      <c r="B1274" t="inlineStr">
        <is>
          <t>900003601</t>
        </is>
      </c>
      <c r="C1274" t="inlineStr">
        <is>
          <t>D836</t>
        </is>
      </c>
      <c r="D1274" t="inlineStr">
        <is>
          <t>65908426</t>
        </is>
      </c>
      <c r="E1274" t="inlineStr">
        <is>
          <t>1</t>
        </is>
      </c>
      <c r="F1274" t="inlineStr">
        <is>
          <t>10000623</t>
        </is>
      </c>
      <c r="H1274" t="inlineStr"/>
      <c r="J1274" t="n">
        <v>100</v>
      </c>
      <c r="K1274" t="inlineStr"/>
      <c r="M1274" t="inlineStr">
        <is>
          <t>TN</t>
        </is>
      </c>
      <c r="N1274" t="inlineStr"/>
      <c r="P1274" t="inlineStr">
        <is>
          <t>20250320</t>
        </is>
      </c>
      <c r="Q1274" t="inlineStr">
        <is>
          <t>99991231</t>
        </is>
      </c>
    </row>
    <row r="1275">
      <c r="A1275" t="inlineStr">
        <is>
          <t>900003601D8366623714210000623</t>
        </is>
      </c>
      <c r="B1275" t="inlineStr">
        <is>
          <t>900003601</t>
        </is>
      </c>
      <c r="C1275" t="inlineStr">
        <is>
          <t>D836</t>
        </is>
      </c>
      <c r="D1275" t="inlineStr">
        <is>
          <t>66237142</t>
        </is>
      </c>
      <c r="E1275" t="inlineStr">
        <is>
          <t>1</t>
        </is>
      </c>
      <c r="F1275" t="inlineStr">
        <is>
          <t>10000623</t>
        </is>
      </c>
      <c r="H1275" t="inlineStr"/>
      <c r="J1275" t="n">
        <v>140.6</v>
      </c>
      <c r="K1275" t="inlineStr"/>
      <c r="M1275" t="inlineStr">
        <is>
          <t>TN</t>
        </is>
      </c>
      <c r="N1275" t="inlineStr"/>
      <c r="P1275" t="inlineStr">
        <is>
          <t>20240601</t>
        </is>
      </c>
      <c r="Q1275" t="inlineStr">
        <is>
          <t>99991231</t>
        </is>
      </c>
    </row>
    <row r="1276">
      <c r="A1276" t="inlineStr">
        <is>
          <t>900003601D8366623714210000624</t>
        </is>
      </c>
      <c r="B1276" t="inlineStr">
        <is>
          <t>900003601</t>
        </is>
      </c>
      <c r="C1276" t="inlineStr">
        <is>
          <t>D836</t>
        </is>
      </c>
      <c r="D1276" t="inlineStr">
        <is>
          <t>66237142</t>
        </is>
      </c>
      <c r="E1276" t="inlineStr">
        <is>
          <t>1</t>
        </is>
      </c>
      <c r="F1276" t="inlineStr">
        <is>
          <t>10000624</t>
        </is>
      </c>
      <c r="H1276" t="inlineStr"/>
      <c r="J1276" t="n">
        <v>136.72</v>
      </c>
      <c r="K1276" t="inlineStr"/>
      <c r="M1276" t="inlineStr">
        <is>
          <t>TN</t>
        </is>
      </c>
      <c r="N1276" t="inlineStr"/>
      <c r="P1276" t="inlineStr">
        <is>
          <t>20240601</t>
        </is>
      </c>
      <c r="Q1276" t="inlineStr">
        <is>
          <t>99991231</t>
        </is>
      </c>
    </row>
    <row r="1277">
      <c r="A1277" t="inlineStr">
        <is>
          <t>900003601D8366623714210000811</t>
        </is>
      </c>
      <c r="B1277" t="inlineStr">
        <is>
          <t>900003601</t>
        </is>
      </c>
      <c r="C1277" t="inlineStr">
        <is>
          <t>D836</t>
        </is>
      </c>
      <c r="D1277" t="inlineStr">
        <is>
          <t>66237142</t>
        </is>
      </c>
      <c r="E1277" t="inlineStr">
        <is>
          <t>1</t>
        </is>
      </c>
      <c r="F1277" t="inlineStr">
        <is>
          <t>10000811</t>
        </is>
      </c>
      <c r="H1277" t="inlineStr"/>
      <c r="J1277" t="n">
        <v>137.01</v>
      </c>
      <c r="K1277" t="inlineStr"/>
      <c r="M1277" t="inlineStr">
        <is>
          <t>TN</t>
        </is>
      </c>
      <c r="N1277" t="inlineStr"/>
      <c r="P1277" t="inlineStr">
        <is>
          <t>20240706</t>
        </is>
      </c>
      <c r="Q1277" t="inlineStr">
        <is>
          <t>20240814</t>
        </is>
      </c>
    </row>
    <row r="1278">
      <c r="A1278" t="inlineStr">
        <is>
          <t>900004077D8366501645110002802</t>
        </is>
      </c>
      <c r="B1278" t="inlineStr">
        <is>
          <t>900004077</t>
        </is>
      </c>
      <c r="C1278" t="inlineStr">
        <is>
          <t>D836</t>
        </is>
      </c>
      <c r="D1278" t="inlineStr">
        <is>
          <t>65016451</t>
        </is>
      </c>
      <c r="E1278" t="inlineStr">
        <is>
          <t>4</t>
        </is>
      </c>
      <c r="F1278" t="inlineStr">
        <is>
          <t>10002802</t>
        </is>
      </c>
      <c r="H1278" t="inlineStr"/>
      <c r="J1278" t="n">
        <v>198</v>
      </c>
      <c r="K1278" t="inlineStr"/>
      <c r="M1278" t="inlineStr">
        <is>
          <t>M3</t>
        </is>
      </c>
      <c r="N1278" t="inlineStr"/>
      <c r="P1278" t="inlineStr">
        <is>
          <t>20200117</t>
        </is>
      </c>
      <c r="Q1278" t="inlineStr">
        <is>
          <t>20240612</t>
        </is>
      </c>
    </row>
    <row r="1279">
      <c r="A1279" t="inlineStr">
        <is>
          <t>900004077D8366524676310002802</t>
        </is>
      </c>
      <c r="B1279" t="inlineStr">
        <is>
          <t>900004077</t>
        </is>
      </c>
      <c r="C1279" t="inlineStr">
        <is>
          <t>D836</t>
        </is>
      </c>
      <c r="D1279" t="inlineStr">
        <is>
          <t>65246763</t>
        </is>
      </c>
      <c r="E1279" t="inlineStr">
        <is>
          <t>4</t>
        </is>
      </c>
      <c r="F1279" t="inlineStr">
        <is>
          <t>10002802</t>
        </is>
      </c>
      <c r="H1279" t="inlineStr"/>
      <c r="J1279" t="n">
        <v>116</v>
      </c>
      <c r="K1279" t="inlineStr"/>
      <c r="M1279" t="inlineStr">
        <is>
          <t>M3</t>
        </is>
      </c>
      <c r="N1279" t="inlineStr"/>
      <c r="P1279" t="inlineStr">
        <is>
          <t>20170101</t>
        </is>
      </c>
      <c r="Q1279" t="inlineStr">
        <is>
          <t>20240612</t>
        </is>
      </c>
    </row>
    <row r="1280">
      <c r="A1280" t="inlineStr">
        <is>
          <t>900004077D8366525139910002802</t>
        </is>
      </c>
      <c r="B1280" t="inlineStr">
        <is>
          <t>900004077</t>
        </is>
      </c>
      <c r="C1280" t="inlineStr">
        <is>
          <t>D836</t>
        </is>
      </c>
      <c r="D1280" t="inlineStr">
        <is>
          <t>65251399</t>
        </is>
      </c>
      <c r="E1280" t="inlineStr">
        <is>
          <t>1</t>
        </is>
      </c>
      <c r="F1280" t="inlineStr">
        <is>
          <t>10002802</t>
        </is>
      </c>
      <c r="H1280" t="inlineStr"/>
      <c r="J1280" t="n">
        <v>178</v>
      </c>
      <c r="K1280" t="inlineStr"/>
      <c r="M1280" t="inlineStr">
        <is>
          <t>M3</t>
        </is>
      </c>
      <c r="N1280" t="inlineStr"/>
      <c r="P1280" t="inlineStr">
        <is>
          <t>20181116</t>
        </is>
      </c>
      <c r="Q1280" t="inlineStr">
        <is>
          <t>20240612</t>
        </is>
      </c>
    </row>
    <row r="1281">
      <c r="A1281" t="inlineStr">
        <is>
          <t>900004077D8366534622410002802</t>
        </is>
      </c>
      <c r="B1281" t="inlineStr">
        <is>
          <t>900004077</t>
        </is>
      </c>
      <c r="C1281" t="inlineStr">
        <is>
          <t>D836</t>
        </is>
      </c>
      <c r="D1281" t="inlineStr">
        <is>
          <t>65346224</t>
        </is>
      </c>
      <c r="E1281" t="inlineStr">
        <is>
          <t>1</t>
        </is>
      </c>
      <c r="F1281" t="inlineStr">
        <is>
          <t>10002802</t>
        </is>
      </c>
      <c r="H1281" t="inlineStr"/>
      <c r="J1281" t="n">
        <v>113.18</v>
      </c>
      <c r="K1281" t="inlineStr"/>
      <c r="M1281" t="inlineStr">
        <is>
          <t>M3</t>
        </is>
      </c>
      <c r="N1281" t="inlineStr"/>
      <c r="P1281" t="inlineStr">
        <is>
          <t>20180206</t>
        </is>
      </c>
      <c r="Q1281" t="inlineStr">
        <is>
          <t>20240612</t>
        </is>
      </c>
    </row>
    <row r="1282">
      <c r="A1282" t="inlineStr">
        <is>
          <t>900004077D8366556582610002802</t>
        </is>
      </c>
      <c r="B1282" t="inlineStr">
        <is>
          <t>900004077</t>
        </is>
      </c>
      <c r="C1282" t="inlineStr">
        <is>
          <t>D836</t>
        </is>
      </c>
      <c r="D1282" t="inlineStr">
        <is>
          <t>65565826</t>
        </is>
      </c>
      <c r="E1282" t="inlineStr">
        <is>
          <t>4</t>
        </is>
      </c>
      <c r="F1282" t="inlineStr">
        <is>
          <t>10002802</t>
        </is>
      </c>
      <c r="H1282" t="inlineStr"/>
      <c r="J1282" t="n">
        <v>196</v>
      </c>
      <c r="K1282" t="inlineStr"/>
      <c r="M1282" t="inlineStr">
        <is>
          <t>M3</t>
        </is>
      </c>
      <c r="N1282" t="inlineStr"/>
      <c r="P1282" t="inlineStr">
        <is>
          <t>20170101</t>
        </is>
      </c>
      <c r="Q1282" t="inlineStr">
        <is>
          <t>20240612</t>
        </is>
      </c>
    </row>
    <row r="1283">
      <c r="A1283" t="inlineStr">
        <is>
          <t>900004077D8366572912210002802</t>
        </is>
      </c>
      <c r="B1283" t="inlineStr">
        <is>
          <t>900004077</t>
        </is>
      </c>
      <c r="C1283" t="inlineStr">
        <is>
          <t>D836</t>
        </is>
      </c>
      <c r="D1283" t="inlineStr">
        <is>
          <t>65729122</t>
        </is>
      </c>
      <c r="E1283" t="inlineStr">
        <is>
          <t>4</t>
        </is>
      </c>
      <c r="F1283" t="inlineStr">
        <is>
          <t>10002802</t>
        </is>
      </c>
      <c r="H1283" t="inlineStr"/>
      <c r="J1283" t="n">
        <v>130</v>
      </c>
      <c r="K1283" t="inlineStr"/>
      <c r="M1283" t="inlineStr">
        <is>
          <t>M3</t>
        </is>
      </c>
      <c r="N1283" t="inlineStr"/>
      <c r="P1283" t="inlineStr">
        <is>
          <t>20170101</t>
        </is>
      </c>
      <c r="Q1283" t="inlineStr">
        <is>
          <t>20240612</t>
        </is>
      </c>
    </row>
    <row r="1284">
      <c r="A1284" t="inlineStr">
        <is>
          <t>900004077D8366590842610002802</t>
        </is>
      </c>
      <c r="B1284" t="inlineStr">
        <is>
          <t>900004077</t>
        </is>
      </c>
      <c r="C1284" t="inlineStr">
        <is>
          <t>D836</t>
        </is>
      </c>
      <c r="D1284" t="inlineStr">
        <is>
          <t>65908426</t>
        </is>
      </c>
      <c r="E1284" t="inlineStr">
        <is>
          <t>4</t>
        </is>
      </c>
      <c r="F1284" t="inlineStr">
        <is>
          <t>10002802</t>
        </is>
      </c>
      <c r="H1284" t="inlineStr"/>
      <c r="J1284" t="n">
        <v>200.09</v>
      </c>
      <c r="K1284" t="inlineStr"/>
      <c r="M1284" t="inlineStr">
        <is>
          <t>M3</t>
        </is>
      </c>
      <c r="N1284" t="inlineStr"/>
      <c r="P1284" t="inlineStr">
        <is>
          <t>20180206</t>
        </is>
      </c>
      <c r="Q1284" t="inlineStr">
        <is>
          <t>20240612</t>
        </is>
      </c>
    </row>
    <row r="1285">
      <c r="A1285" t="inlineStr">
        <is>
          <t>900004077D8366602440010002802</t>
        </is>
      </c>
      <c r="B1285" t="inlineStr">
        <is>
          <t>900004077</t>
        </is>
      </c>
      <c r="C1285" t="inlineStr">
        <is>
          <t>D836</t>
        </is>
      </c>
      <c r="D1285" t="inlineStr">
        <is>
          <t>66024400</t>
        </is>
      </c>
      <c r="E1285" t="inlineStr">
        <is>
          <t>4</t>
        </is>
      </c>
      <c r="F1285" t="inlineStr">
        <is>
          <t>10002802</t>
        </is>
      </c>
      <c r="H1285" t="inlineStr"/>
      <c r="J1285" t="n">
        <v>95</v>
      </c>
      <c r="K1285" t="inlineStr"/>
      <c r="M1285" t="inlineStr">
        <is>
          <t>M3</t>
        </is>
      </c>
      <c r="N1285" t="inlineStr"/>
      <c r="P1285" t="inlineStr">
        <is>
          <t>20170101</t>
        </is>
      </c>
      <c r="Q1285" t="inlineStr">
        <is>
          <t>20240612</t>
        </is>
      </c>
    </row>
    <row r="1286">
      <c r="A1286" t="inlineStr">
        <is>
          <t>900004077D8366618111310002802</t>
        </is>
      </c>
      <c r="B1286" t="inlineStr">
        <is>
          <t>900004077</t>
        </is>
      </c>
      <c r="C1286" t="inlineStr">
        <is>
          <t>D836</t>
        </is>
      </c>
      <c r="D1286" t="inlineStr">
        <is>
          <t>66181113</t>
        </is>
      </c>
      <c r="E1286" t="inlineStr">
        <is>
          <t>4</t>
        </is>
      </c>
      <c r="F1286" t="inlineStr">
        <is>
          <t>10002802</t>
        </is>
      </c>
      <c r="H1286" t="inlineStr"/>
      <c r="J1286" t="n">
        <v>116</v>
      </c>
      <c r="K1286" t="inlineStr"/>
      <c r="M1286" t="inlineStr">
        <is>
          <t>M3</t>
        </is>
      </c>
      <c r="N1286" t="inlineStr"/>
      <c r="P1286" t="inlineStr">
        <is>
          <t>20170101</t>
        </is>
      </c>
      <c r="Q1286" t="inlineStr">
        <is>
          <t>20240612</t>
        </is>
      </c>
    </row>
    <row r="1287">
      <c r="A1287" t="inlineStr">
        <is>
          <t>900004077D8366618111410002802</t>
        </is>
      </c>
      <c r="B1287" t="inlineStr">
        <is>
          <t>900004077</t>
        </is>
      </c>
      <c r="C1287" t="inlineStr">
        <is>
          <t>D836</t>
        </is>
      </c>
      <c r="D1287" t="inlineStr">
        <is>
          <t>66181114</t>
        </is>
      </c>
      <c r="E1287" t="inlineStr">
        <is>
          <t>4</t>
        </is>
      </c>
      <c r="F1287" t="inlineStr">
        <is>
          <t>10002802</t>
        </is>
      </c>
      <c r="H1287" t="inlineStr"/>
      <c r="J1287" t="n">
        <v>95</v>
      </c>
      <c r="K1287" t="inlineStr"/>
      <c r="M1287" t="inlineStr">
        <is>
          <t>M3</t>
        </is>
      </c>
      <c r="N1287" t="inlineStr"/>
      <c r="P1287" t="inlineStr">
        <is>
          <t>20170101</t>
        </is>
      </c>
      <c r="Q1287" t="inlineStr">
        <is>
          <t>20240612</t>
        </is>
      </c>
    </row>
    <row r="1288">
      <c r="A1288" t="inlineStr">
        <is>
          <t>900004077D8366626076010002802</t>
        </is>
      </c>
      <c r="B1288" t="inlineStr">
        <is>
          <t>900004077</t>
        </is>
      </c>
      <c r="C1288" t="inlineStr">
        <is>
          <t>D836</t>
        </is>
      </c>
      <c r="D1288" t="inlineStr">
        <is>
          <t>66260760</t>
        </is>
      </c>
      <c r="E1288" t="inlineStr">
        <is>
          <t>1</t>
        </is>
      </c>
      <c r="F1288" t="inlineStr">
        <is>
          <t>10002802</t>
        </is>
      </c>
      <c r="H1288" t="inlineStr"/>
      <c r="J1288" t="n">
        <v>45.54</v>
      </c>
      <c r="K1288" t="inlineStr"/>
      <c r="M1288" t="inlineStr">
        <is>
          <t>M3</t>
        </is>
      </c>
      <c r="N1288" t="inlineStr"/>
      <c r="P1288" t="inlineStr">
        <is>
          <t>20180206</t>
        </is>
      </c>
      <c r="Q1288" t="inlineStr">
        <is>
          <t>20240612</t>
        </is>
      </c>
    </row>
    <row r="1289">
      <c r="A1289" t="inlineStr">
        <is>
          <t>900004077D8366626076010002802</t>
        </is>
      </c>
      <c r="B1289" t="inlineStr">
        <is>
          <t>900004077</t>
        </is>
      </c>
      <c r="C1289" t="inlineStr">
        <is>
          <t>D836</t>
        </is>
      </c>
      <c r="D1289" t="inlineStr">
        <is>
          <t>66260760</t>
        </is>
      </c>
      <c r="E1289" t="inlineStr">
        <is>
          <t>4</t>
        </is>
      </c>
      <c r="F1289" t="inlineStr">
        <is>
          <t>10002802</t>
        </is>
      </c>
      <c r="H1289" t="inlineStr"/>
      <c r="J1289" t="n">
        <v>48.73</v>
      </c>
      <c r="K1289" t="inlineStr"/>
      <c r="M1289" t="inlineStr">
        <is>
          <t>M3</t>
        </is>
      </c>
      <c r="N1289" t="inlineStr"/>
      <c r="P1289" t="inlineStr">
        <is>
          <t>20180206</t>
        </is>
      </c>
      <c r="Q1289" t="inlineStr">
        <is>
          <t>20240612</t>
        </is>
      </c>
    </row>
    <row r="1290">
      <c r="A1290" t="inlineStr">
        <is>
          <t>900004077D8366626594310002802</t>
        </is>
      </c>
      <c r="B1290" t="inlineStr">
        <is>
          <t>900004077</t>
        </is>
      </c>
      <c r="C1290" t="inlineStr">
        <is>
          <t>D836</t>
        </is>
      </c>
      <c r="D1290" t="inlineStr">
        <is>
          <t>66265943</t>
        </is>
      </c>
      <c r="E1290" t="inlineStr">
        <is>
          <t>4</t>
        </is>
      </c>
      <c r="F1290" t="inlineStr">
        <is>
          <t>10002802</t>
        </is>
      </c>
      <c r="H1290" t="inlineStr"/>
      <c r="J1290" t="n">
        <v>116</v>
      </c>
      <c r="K1290" t="inlineStr"/>
      <c r="M1290" t="inlineStr">
        <is>
          <t>M3</t>
        </is>
      </c>
      <c r="N1290" t="inlineStr"/>
      <c r="P1290" t="inlineStr">
        <is>
          <t>20170101</t>
        </is>
      </c>
      <c r="Q1290" t="inlineStr">
        <is>
          <t>20240612</t>
        </is>
      </c>
    </row>
    <row r="1291">
      <c r="A1291" t="inlineStr">
        <is>
          <t>900004077D8366626594410002802</t>
        </is>
      </c>
      <c r="B1291" t="inlineStr">
        <is>
          <t>900004077</t>
        </is>
      </c>
      <c r="C1291" t="inlineStr">
        <is>
          <t>D836</t>
        </is>
      </c>
      <c r="D1291" t="inlineStr">
        <is>
          <t>66265944</t>
        </is>
      </c>
      <c r="E1291" t="inlineStr">
        <is>
          <t>4</t>
        </is>
      </c>
      <c r="F1291" t="inlineStr">
        <is>
          <t>10002802</t>
        </is>
      </c>
      <c r="H1291" t="inlineStr"/>
      <c r="J1291" t="n">
        <v>95</v>
      </c>
      <c r="K1291" t="inlineStr"/>
      <c r="M1291" t="inlineStr">
        <is>
          <t>M3</t>
        </is>
      </c>
      <c r="N1291" t="inlineStr"/>
      <c r="P1291" t="inlineStr">
        <is>
          <t>20170101</t>
        </is>
      </c>
      <c r="Q1291" t="inlineStr">
        <is>
          <t>20240612</t>
        </is>
      </c>
    </row>
    <row r="1292">
      <c r="A1292" t="inlineStr">
        <is>
          <t>900004077D8366627940810002802</t>
        </is>
      </c>
      <c r="B1292" t="inlineStr">
        <is>
          <t>900004077</t>
        </is>
      </c>
      <c r="C1292" t="inlineStr">
        <is>
          <t>D836</t>
        </is>
      </c>
      <c r="D1292" t="inlineStr">
        <is>
          <t>66279408</t>
        </is>
      </c>
      <c r="E1292" t="inlineStr">
        <is>
          <t>4</t>
        </is>
      </c>
      <c r="F1292" t="inlineStr">
        <is>
          <t>10002802</t>
        </is>
      </c>
      <c r="H1292" t="inlineStr"/>
      <c r="J1292" t="n">
        <v>116</v>
      </c>
      <c r="K1292" t="inlineStr"/>
      <c r="M1292" t="inlineStr">
        <is>
          <t>M3</t>
        </is>
      </c>
      <c r="N1292" t="inlineStr"/>
      <c r="P1292" t="inlineStr">
        <is>
          <t>20170101</t>
        </is>
      </c>
      <c r="Q1292" t="inlineStr">
        <is>
          <t>20240612</t>
        </is>
      </c>
    </row>
    <row r="1293">
      <c r="A1293" t="inlineStr">
        <is>
          <t>900004077D8366627941010002802</t>
        </is>
      </c>
      <c r="B1293" t="inlineStr">
        <is>
          <t>900004077</t>
        </is>
      </c>
      <c r="C1293" t="inlineStr">
        <is>
          <t>D836</t>
        </is>
      </c>
      <c r="D1293" t="inlineStr">
        <is>
          <t>66279410</t>
        </is>
      </c>
      <c r="E1293" t="inlineStr">
        <is>
          <t>4</t>
        </is>
      </c>
      <c r="F1293" t="inlineStr">
        <is>
          <t>10002802</t>
        </is>
      </c>
      <c r="H1293" t="inlineStr"/>
      <c r="J1293" t="n">
        <v>95</v>
      </c>
      <c r="K1293" t="inlineStr"/>
      <c r="M1293" t="inlineStr">
        <is>
          <t>M3</t>
        </is>
      </c>
      <c r="N1293" t="inlineStr"/>
      <c r="P1293" t="inlineStr">
        <is>
          <t>20170101</t>
        </is>
      </c>
      <c r="Q1293" t="inlineStr">
        <is>
          <t>20240612</t>
        </is>
      </c>
    </row>
    <row r="1294">
      <c r="A1294" t="inlineStr">
        <is>
          <t>900004077D8366645007210002802</t>
        </is>
      </c>
      <c r="B1294" t="inlineStr">
        <is>
          <t>900004077</t>
        </is>
      </c>
      <c r="C1294" t="inlineStr">
        <is>
          <t>D836</t>
        </is>
      </c>
      <c r="D1294" t="inlineStr">
        <is>
          <t>66450072</t>
        </is>
      </c>
      <c r="E1294" t="inlineStr">
        <is>
          <t>1</t>
        </is>
      </c>
      <c r="F1294" t="inlineStr">
        <is>
          <t>10002802</t>
        </is>
      </c>
      <c r="H1294" t="inlineStr"/>
      <c r="J1294" t="n">
        <v>215</v>
      </c>
      <c r="K1294" t="inlineStr"/>
      <c r="M1294" t="inlineStr">
        <is>
          <t>M3</t>
        </is>
      </c>
      <c r="N1294" t="inlineStr"/>
      <c r="P1294" t="inlineStr">
        <is>
          <t>20181116</t>
        </is>
      </c>
      <c r="Q1294" t="inlineStr">
        <is>
          <t>20240612</t>
        </is>
      </c>
    </row>
    <row r="1295">
      <c r="A1295" t="inlineStr">
        <is>
          <t>900004077D8366682579710002802</t>
        </is>
      </c>
      <c r="B1295" t="inlineStr">
        <is>
          <t>900004077</t>
        </is>
      </c>
      <c r="C1295" t="inlineStr">
        <is>
          <t>D836</t>
        </is>
      </c>
      <c r="D1295" t="inlineStr">
        <is>
          <t>66825797</t>
        </is>
      </c>
      <c r="E1295" t="inlineStr">
        <is>
          <t>4</t>
        </is>
      </c>
      <c r="F1295" t="inlineStr">
        <is>
          <t>10002802</t>
        </is>
      </c>
      <c r="H1295" t="inlineStr"/>
      <c r="J1295" t="n">
        <v>189.19</v>
      </c>
      <c r="K1295" t="inlineStr"/>
      <c r="M1295" t="inlineStr">
        <is>
          <t>M3</t>
        </is>
      </c>
      <c r="N1295" t="inlineStr"/>
      <c r="P1295" t="inlineStr">
        <is>
          <t>20200911</t>
        </is>
      </c>
      <c r="Q1295" t="inlineStr">
        <is>
          <t>20240612</t>
        </is>
      </c>
    </row>
    <row r="1296">
      <c r="A1296" t="inlineStr">
        <is>
          <t>900004077D8366683832610002802</t>
        </is>
      </c>
      <c r="B1296" t="inlineStr">
        <is>
          <t>900004077</t>
        </is>
      </c>
      <c r="C1296" t="inlineStr">
        <is>
          <t>D836</t>
        </is>
      </c>
      <c r="D1296" t="inlineStr">
        <is>
          <t>66838326</t>
        </is>
      </c>
      <c r="E1296" t="inlineStr">
        <is>
          <t>4</t>
        </is>
      </c>
      <c r="F1296" t="inlineStr">
        <is>
          <t>10002802</t>
        </is>
      </c>
      <c r="H1296" t="inlineStr"/>
      <c r="J1296" t="n">
        <v>246</v>
      </c>
      <c r="K1296" t="inlineStr"/>
      <c r="M1296" t="inlineStr">
        <is>
          <t>M3</t>
        </is>
      </c>
      <c r="N1296" t="inlineStr"/>
      <c r="P1296" t="inlineStr">
        <is>
          <t>20240706</t>
        </is>
      </c>
      <c r="Q1296" t="inlineStr">
        <is>
          <t>20240814</t>
        </is>
      </c>
    </row>
    <row r="1297">
      <c r="A1297" t="inlineStr">
        <is>
          <t>900004077D8366683832610192909</t>
        </is>
      </c>
      <c r="B1297" t="inlineStr">
        <is>
          <t>900004077</t>
        </is>
      </c>
      <c r="C1297" t="inlineStr">
        <is>
          <t>D836</t>
        </is>
      </c>
      <c r="D1297" t="inlineStr">
        <is>
          <t>66838326</t>
        </is>
      </c>
      <c r="E1297" t="inlineStr">
        <is>
          <t>4</t>
        </is>
      </c>
      <c r="F1297" t="inlineStr">
        <is>
          <t>10192909</t>
        </is>
      </c>
      <c r="H1297" t="inlineStr"/>
      <c r="J1297" t="n">
        <v>190</v>
      </c>
      <c r="K1297" t="inlineStr"/>
      <c r="M1297" t="inlineStr">
        <is>
          <t>TN</t>
        </is>
      </c>
      <c r="N1297" t="inlineStr"/>
      <c r="P1297" t="inlineStr">
        <is>
          <t>20240706</t>
        </is>
      </c>
      <c r="Q1297" t="inlineStr">
        <is>
          <t>20240814</t>
        </is>
      </c>
    </row>
    <row r="1298">
      <c r="A1298" t="inlineStr">
        <is>
          <t>900004077D8366683832610192940</t>
        </is>
      </c>
      <c r="B1298" t="inlineStr">
        <is>
          <t>900004077</t>
        </is>
      </c>
      <c r="C1298" t="inlineStr">
        <is>
          <t>D836</t>
        </is>
      </c>
      <c r="D1298" t="inlineStr">
        <is>
          <t>66838326</t>
        </is>
      </c>
      <c r="E1298" t="inlineStr">
        <is>
          <t>4</t>
        </is>
      </c>
      <c r="F1298" t="inlineStr">
        <is>
          <t>10192940</t>
        </is>
      </c>
      <c r="H1298" t="inlineStr"/>
      <c r="J1298" t="n">
        <v>190</v>
      </c>
      <c r="K1298" t="inlineStr"/>
      <c r="M1298" t="inlineStr">
        <is>
          <t>TN</t>
        </is>
      </c>
      <c r="N1298" t="inlineStr"/>
      <c r="P1298" t="inlineStr">
        <is>
          <t>20240706</t>
        </is>
      </c>
      <c r="Q1298" t="inlineStr">
        <is>
          <t>20240814</t>
        </is>
      </c>
    </row>
    <row r="1299">
      <c r="A1299" t="inlineStr">
        <is>
          <t>900004077D8366683832610192941</t>
        </is>
      </c>
      <c r="B1299" t="inlineStr">
        <is>
          <t>900004077</t>
        </is>
      </c>
      <c r="C1299" t="inlineStr">
        <is>
          <t>D836</t>
        </is>
      </c>
      <c r="D1299" t="inlineStr">
        <is>
          <t>66838326</t>
        </is>
      </c>
      <c r="E1299" t="inlineStr">
        <is>
          <t>4</t>
        </is>
      </c>
      <c r="F1299" t="inlineStr">
        <is>
          <t>10192941</t>
        </is>
      </c>
      <c r="H1299" t="inlineStr"/>
      <c r="J1299" t="n">
        <v>170</v>
      </c>
      <c r="K1299" t="inlineStr"/>
      <c r="M1299" t="inlineStr">
        <is>
          <t>TN</t>
        </is>
      </c>
      <c r="N1299" t="inlineStr"/>
      <c r="P1299" t="inlineStr">
        <is>
          <t>20240706</t>
        </is>
      </c>
      <c r="Q1299" t="inlineStr">
        <is>
          <t>20240814</t>
        </is>
      </c>
    </row>
    <row r="1300">
      <c r="A1300" t="inlineStr">
        <is>
          <t>900004077D8366683832610192942</t>
        </is>
      </c>
      <c r="B1300" t="inlineStr">
        <is>
          <t>900004077</t>
        </is>
      </c>
      <c r="C1300" t="inlineStr">
        <is>
          <t>D836</t>
        </is>
      </c>
      <c r="D1300" t="inlineStr">
        <is>
          <t>66838326</t>
        </is>
      </c>
      <c r="E1300" t="inlineStr">
        <is>
          <t>4</t>
        </is>
      </c>
      <c r="F1300" t="inlineStr">
        <is>
          <t>10192942</t>
        </is>
      </c>
      <c r="H1300" t="inlineStr"/>
      <c r="J1300" t="n">
        <v>159</v>
      </c>
      <c r="K1300" t="inlineStr"/>
      <c r="M1300" t="inlineStr">
        <is>
          <t>TN</t>
        </is>
      </c>
      <c r="N1300" t="inlineStr"/>
      <c r="P1300" t="inlineStr">
        <is>
          <t>20240706</t>
        </is>
      </c>
      <c r="Q1300" t="inlineStr">
        <is>
          <t>20240814</t>
        </is>
      </c>
    </row>
    <row r="1301">
      <c r="A1301" t="inlineStr">
        <is>
          <t>900004077D8366683832610192943</t>
        </is>
      </c>
      <c r="B1301" t="inlineStr">
        <is>
          <t>900004077</t>
        </is>
      </c>
      <c r="C1301" t="inlineStr">
        <is>
          <t>D836</t>
        </is>
      </c>
      <c r="D1301" t="inlineStr">
        <is>
          <t>66838326</t>
        </is>
      </c>
      <c r="E1301" t="inlineStr">
        <is>
          <t>4</t>
        </is>
      </c>
      <c r="F1301" t="inlineStr">
        <is>
          <t>10192943</t>
        </is>
      </c>
      <c r="H1301" t="inlineStr"/>
      <c r="J1301" t="n">
        <v>163</v>
      </c>
      <c r="K1301" t="inlineStr"/>
      <c r="M1301" t="inlineStr">
        <is>
          <t>TN</t>
        </is>
      </c>
      <c r="N1301" t="inlineStr"/>
      <c r="P1301" t="inlineStr">
        <is>
          <t>20240706</t>
        </is>
      </c>
      <c r="Q1301" t="inlineStr">
        <is>
          <t>20240814</t>
        </is>
      </c>
    </row>
    <row r="1302">
      <c r="A1302" t="inlineStr">
        <is>
          <t>900004077D8366683832610192944</t>
        </is>
      </c>
      <c r="B1302" t="inlineStr">
        <is>
          <t>900004077</t>
        </is>
      </c>
      <c r="C1302" t="inlineStr">
        <is>
          <t>D836</t>
        </is>
      </c>
      <c r="D1302" t="inlineStr">
        <is>
          <t>66838326</t>
        </is>
      </c>
      <c r="E1302" t="inlineStr">
        <is>
          <t>4</t>
        </is>
      </c>
      <c r="F1302" t="inlineStr">
        <is>
          <t>10192944</t>
        </is>
      </c>
      <c r="H1302" t="inlineStr"/>
      <c r="J1302" t="n">
        <v>170</v>
      </c>
      <c r="K1302" t="inlineStr"/>
      <c r="M1302" t="inlineStr">
        <is>
          <t>TN</t>
        </is>
      </c>
      <c r="N1302" t="inlineStr"/>
      <c r="P1302" t="inlineStr">
        <is>
          <t>20240706</t>
        </is>
      </c>
      <c r="Q1302" t="inlineStr">
        <is>
          <t>20240814</t>
        </is>
      </c>
    </row>
    <row r="1303">
      <c r="A1303" t="inlineStr">
        <is>
          <t>900004077D8366683832610192945</t>
        </is>
      </c>
      <c r="B1303" t="inlineStr">
        <is>
          <t>900004077</t>
        </is>
      </c>
      <c r="C1303" t="inlineStr">
        <is>
          <t>D836</t>
        </is>
      </c>
      <c r="D1303" t="inlineStr">
        <is>
          <t>66838326</t>
        </is>
      </c>
      <c r="E1303" t="inlineStr">
        <is>
          <t>4</t>
        </is>
      </c>
      <c r="F1303" t="inlineStr">
        <is>
          <t>10192945</t>
        </is>
      </c>
      <c r="H1303" t="inlineStr"/>
      <c r="J1303" t="n">
        <v>170</v>
      </c>
      <c r="K1303" t="inlineStr"/>
      <c r="M1303" t="inlineStr">
        <is>
          <t>TN</t>
        </is>
      </c>
      <c r="N1303" t="inlineStr"/>
      <c r="P1303" t="inlineStr">
        <is>
          <t>20240706</t>
        </is>
      </c>
      <c r="Q1303" t="inlineStr">
        <is>
          <t>20240814</t>
        </is>
      </c>
    </row>
    <row r="1304">
      <c r="A1304" t="inlineStr">
        <is>
          <t>900004077D8366686554710002802</t>
        </is>
      </c>
      <c r="B1304" t="inlineStr">
        <is>
          <t>900004077</t>
        </is>
      </c>
      <c r="C1304" t="inlineStr">
        <is>
          <t>D836</t>
        </is>
      </c>
      <c r="D1304" t="inlineStr">
        <is>
          <t>66865547</t>
        </is>
      </c>
      <c r="E1304" t="inlineStr">
        <is>
          <t>4</t>
        </is>
      </c>
      <c r="F1304" t="inlineStr">
        <is>
          <t>10002802</t>
        </is>
      </c>
      <c r="H1304" t="inlineStr"/>
      <c r="J1304" t="n">
        <v>212.5</v>
      </c>
      <c r="K1304" t="inlineStr"/>
      <c r="M1304" t="inlineStr">
        <is>
          <t>M3</t>
        </is>
      </c>
      <c r="N1304" t="inlineStr"/>
      <c r="P1304" t="inlineStr">
        <is>
          <t>20200922</t>
        </is>
      </c>
      <c r="Q1304" t="inlineStr">
        <is>
          <t>20240612</t>
        </is>
      </c>
    </row>
    <row r="1305">
      <c r="A1305" t="inlineStr">
        <is>
          <t>900004077D8366687461610002802</t>
        </is>
      </c>
      <c r="B1305" t="inlineStr">
        <is>
          <t>900004077</t>
        </is>
      </c>
      <c r="C1305" t="inlineStr">
        <is>
          <t>D836</t>
        </is>
      </c>
      <c r="D1305" t="inlineStr">
        <is>
          <t>66874616</t>
        </is>
      </c>
      <c r="E1305" t="inlineStr">
        <is>
          <t>4</t>
        </is>
      </c>
      <c r="F1305" t="inlineStr">
        <is>
          <t>10002802</t>
        </is>
      </c>
      <c r="H1305" t="inlineStr"/>
      <c r="J1305" t="n">
        <v>246</v>
      </c>
      <c r="K1305" t="inlineStr"/>
      <c r="M1305" t="inlineStr">
        <is>
          <t>M3</t>
        </is>
      </c>
      <c r="N1305" t="inlineStr"/>
      <c r="P1305" t="inlineStr">
        <is>
          <t>20220420</t>
        </is>
      </c>
      <c r="Q1305" t="inlineStr">
        <is>
          <t>20240612</t>
        </is>
      </c>
    </row>
    <row r="1306">
      <c r="A1306" t="inlineStr">
        <is>
          <t>900004077D8366687461610192909</t>
        </is>
      </c>
      <c r="B1306" t="inlineStr">
        <is>
          <t>900004077</t>
        </is>
      </c>
      <c r="C1306" t="inlineStr">
        <is>
          <t>D836</t>
        </is>
      </c>
      <c r="D1306" t="inlineStr">
        <is>
          <t>66874616</t>
        </is>
      </c>
      <c r="E1306" t="inlineStr">
        <is>
          <t>4</t>
        </is>
      </c>
      <c r="F1306" t="inlineStr">
        <is>
          <t>10192909</t>
        </is>
      </c>
      <c r="H1306" t="inlineStr"/>
      <c r="J1306" t="n">
        <v>190</v>
      </c>
      <c r="K1306" t="inlineStr"/>
      <c r="M1306" t="inlineStr">
        <is>
          <t>TN</t>
        </is>
      </c>
      <c r="N1306" t="inlineStr"/>
      <c r="P1306" t="inlineStr">
        <is>
          <t>20240706</t>
        </is>
      </c>
      <c r="Q1306" t="inlineStr">
        <is>
          <t>20240814</t>
        </is>
      </c>
    </row>
    <row r="1307">
      <c r="A1307" t="inlineStr">
        <is>
          <t>900004077D8366687461610192941</t>
        </is>
      </c>
      <c r="B1307" t="inlineStr">
        <is>
          <t>900004077</t>
        </is>
      </c>
      <c r="C1307" t="inlineStr">
        <is>
          <t>D836</t>
        </is>
      </c>
      <c r="D1307" t="inlineStr">
        <is>
          <t>66874616</t>
        </is>
      </c>
      <c r="E1307" t="inlineStr">
        <is>
          <t>4</t>
        </is>
      </c>
      <c r="F1307" t="inlineStr">
        <is>
          <t>10192941</t>
        </is>
      </c>
      <c r="H1307" t="inlineStr"/>
      <c r="J1307" t="n">
        <v>170</v>
      </c>
      <c r="K1307" t="inlineStr"/>
      <c r="M1307" t="inlineStr">
        <is>
          <t>TN</t>
        </is>
      </c>
      <c r="N1307" t="inlineStr"/>
      <c r="P1307" t="inlineStr">
        <is>
          <t>20240706</t>
        </is>
      </c>
      <c r="Q1307" t="inlineStr">
        <is>
          <t>20240814</t>
        </is>
      </c>
    </row>
    <row r="1308">
      <c r="A1308" t="inlineStr">
        <is>
          <t>900004077D8366689828010002802</t>
        </is>
      </c>
      <c r="B1308" t="inlineStr">
        <is>
          <t>900004077</t>
        </is>
      </c>
      <c r="C1308" t="inlineStr">
        <is>
          <t>D836</t>
        </is>
      </c>
      <c r="D1308" t="inlineStr">
        <is>
          <t>66898280</t>
        </is>
      </c>
      <c r="E1308" t="inlineStr">
        <is>
          <t>4</t>
        </is>
      </c>
      <c r="F1308" t="inlineStr">
        <is>
          <t>10002802</t>
        </is>
      </c>
      <c r="H1308" t="inlineStr"/>
      <c r="J1308" t="n">
        <v>189.19</v>
      </c>
      <c r="K1308" t="inlineStr"/>
      <c r="M1308" t="inlineStr">
        <is>
          <t>M3</t>
        </is>
      </c>
      <c r="N1308" t="inlineStr"/>
      <c r="P1308" t="inlineStr">
        <is>
          <t>20200911</t>
        </is>
      </c>
      <c r="Q1308" t="inlineStr">
        <is>
          <t>20240612</t>
        </is>
      </c>
    </row>
    <row r="1309">
      <c r="A1309" t="inlineStr">
        <is>
          <t>900004077D8366689828110002802</t>
        </is>
      </c>
      <c r="B1309" t="inlineStr">
        <is>
          <t>900004077</t>
        </is>
      </c>
      <c r="C1309" t="inlineStr">
        <is>
          <t>D836</t>
        </is>
      </c>
      <c r="D1309" t="inlineStr">
        <is>
          <t>66898281</t>
        </is>
      </c>
      <c r="E1309" t="inlineStr">
        <is>
          <t>4</t>
        </is>
      </c>
      <c r="F1309" t="inlineStr">
        <is>
          <t>10002802</t>
        </is>
      </c>
      <c r="H1309" t="inlineStr"/>
      <c r="J1309" t="n">
        <v>189.19</v>
      </c>
      <c r="K1309" t="inlineStr"/>
      <c r="M1309" t="inlineStr">
        <is>
          <t>M3</t>
        </is>
      </c>
      <c r="N1309" t="inlineStr"/>
      <c r="P1309" t="inlineStr">
        <is>
          <t>20200911</t>
        </is>
      </c>
      <c r="Q1309" t="inlineStr">
        <is>
          <t>20240612</t>
        </is>
      </c>
    </row>
    <row r="1310">
      <c r="A1310" t="inlineStr">
        <is>
          <t>900004077D8366692837910002802</t>
        </is>
      </c>
      <c r="B1310" t="inlineStr">
        <is>
          <t>900004077</t>
        </is>
      </c>
      <c r="C1310" t="inlineStr">
        <is>
          <t>D836</t>
        </is>
      </c>
      <c r="D1310" t="inlineStr">
        <is>
          <t>66928379</t>
        </is>
      </c>
      <c r="E1310" t="inlineStr">
        <is>
          <t>4</t>
        </is>
      </c>
      <c r="F1310" t="inlineStr">
        <is>
          <t>10002802</t>
        </is>
      </c>
      <c r="H1310" t="inlineStr"/>
      <c r="J1310" t="n">
        <v>212.5</v>
      </c>
      <c r="K1310" t="inlineStr"/>
      <c r="M1310" t="inlineStr">
        <is>
          <t>M3</t>
        </is>
      </c>
      <c r="N1310" t="inlineStr"/>
      <c r="P1310" t="inlineStr">
        <is>
          <t>20210121</t>
        </is>
      </c>
      <c r="Q1310" t="inlineStr">
        <is>
          <t>20240612</t>
        </is>
      </c>
    </row>
    <row r="1311">
      <c r="A1311" t="inlineStr">
        <is>
          <t>900004365D8366540606210000357</t>
        </is>
      </c>
      <c r="B1311" t="inlineStr">
        <is>
          <t>900004365</t>
        </is>
      </c>
      <c r="C1311" t="inlineStr">
        <is>
          <t>D836</t>
        </is>
      </c>
      <c r="D1311" t="inlineStr">
        <is>
          <t>65406062</t>
        </is>
      </c>
      <c r="E1311" t="inlineStr">
        <is>
          <t>4</t>
        </is>
      </c>
      <c r="F1311" t="inlineStr">
        <is>
          <t>10000357</t>
        </is>
      </c>
      <c r="H1311" t="inlineStr"/>
      <c r="J1311" t="n">
        <v>214</v>
      </c>
      <c r="K1311" t="inlineStr"/>
      <c r="M1311" t="inlineStr">
        <is>
          <t>M3</t>
        </is>
      </c>
      <c r="N1311" t="inlineStr"/>
      <c r="P1311" t="inlineStr">
        <is>
          <t>20240706</t>
        </is>
      </c>
      <c r="Q1311" t="inlineStr">
        <is>
          <t>20240814</t>
        </is>
      </c>
    </row>
    <row r="1312">
      <c r="A1312" t="inlineStr">
        <is>
          <t>900004365D8366540606210149994</t>
        </is>
      </c>
      <c r="B1312" t="inlineStr">
        <is>
          <t>900004365</t>
        </is>
      </c>
      <c r="C1312" t="inlineStr">
        <is>
          <t>D836</t>
        </is>
      </c>
      <c r="D1312" t="inlineStr">
        <is>
          <t>65406062</t>
        </is>
      </c>
      <c r="E1312" t="inlineStr">
        <is>
          <t>4</t>
        </is>
      </c>
      <c r="F1312" t="inlineStr">
        <is>
          <t>10149994</t>
        </is>
      </c>
      <c r="H1312" t="inlineStr"/>
      <c r="J1312" t="n">
        <v>214</v>
      </c>
      <c r="K1312" t="inlineStr"/>
      <c r="M1312" t="inlineStr">
        <is>
          <t>M3</t>
        </is>
      </c>
      <c r="N1312" t="inlineStr"/>
      <c r="P1312" t="inlineStr">
        <is>
          <t>20240706</t>
        </is>
      </c>
      <c r="Q1312" t="inlineStr">
        <is>
          <t>20240814</t>
        </is>
      </c>
    </row>
    <row r="1313">
      <c r="A1313" t="inlineStr">
        <is>
          <t>900004365D8366540606410000357</t>
        </is>
      </c>
      <c r="B1313" t="inlineStr">
        <is>
          <t>900004365</t>
        </is>
      </c>
      <c r="C1313" t="inlineStr">
        <is>
          <t>D836</t>
        </is>
      </c>
      <c r="D1313" t="inlineStr">
        <is>
          <t>65406064</t>
        </is>
      </c>
      <c r="E1313" t="inlineStr">
        <is>
          <t>4</t>
        </is>
      </c>
      <c r="F1313" t="inlineStr">
        <is>
          <t>10000357</t>
        </is>
      </c>
      <c r="H1313" t="inlineStr"/>
      <c r="J1313" t="n">
        <v>214</v>
      </c>
      <c r="K1313" t="inlineStr"/>
      <c r="M1313" t="inlineStr">
        <is>
          <t>M3</t>
        </is>
      </c>
      <c r="N1313" t="inlineStr"/>
      <c r="P1313" t="inlineStr">
        <is>
          <t>20240706</t>
        </is>
      </c>
      <c r="Q1313" t="inlineStr">
        <is>
          <t>20240814</t>
        </is>
      </c>
    </row>
    <row r="1314">
      <c r="A1314" t="inlineStr">
        <is>
          <t>900004365D8366540606410149994</t>
        </is>
      </c>
      <c r="B1314" t="inlineStr">
        <is>
          <t>900004365</t>
        </is>
      </c>
      <c r="C1314" t="inlineStr">
        <is>
          <t>D836</t>
        </is>
      </c>
      <c r="D1314" t="inlineStr">
        <is>
          <t>65406064</t>
        </is>
      </c>
      <c r="E1314" t="inlineStr">
        <is>
          <t>4</t>
        </is>
      </c>
      <c r="F1314" t="inlineStr">
        <is>
          <t>10149994</t>
        </is>
      </c>
      <c r="H1314" t="inlineStr"/>
      <c r="J1314" t="n">
        <v>214</v>
      </c>
      <c r="K1314" t="inlineStr"/>
      <c r="M1314" t="inlineStr">
        <is>
          <t>M3</t>
        </is>
      </c>
      <c r="N1314" t="inlineStr"/>
      <c r="P1314" t="inlineStr">
        <is>
          <t>20240706</t>
        </is>
      </c>
      <c r="Q1314" t="inlineStr">
        <is>
          <t>20240814</t>
        </is>
      </c>
    </row>
    <row r="1315">
      <c r="A1315" t="inlineStr">
        <is>
          <t>900004365D8366591131310000357</t>
        </is>
      </c>
      <c r="B1315" t="inlineStr">
        <is>
          <t>900004365</t>
        </is>
      </c>
      <c r="C1315" t="inlineStr">
        <is>
          <t>D836</t>
        </is>
      </c>
      <c r="D1315" t="inlineStr">
        <is>
          <t>65911313</t>
        </is>
      </c>
      <c r="E1315" t="inlineStr">
        <is>
          <t>4</t>
        </is>
      </c>
      <c r="F1315" t="inlineStr">
        <is>
          <t>10000357</t>
        </is>
      </c>
      <c r="H1315" t="inlineStr"/>
      <c r="J1315" t="n">
        <v>214</v>
      </c>
      <c r="K1315" t="inlineStr"/>
      <c r="M1315" t="inlineStr">
        <is>
          <t>M3</t>
        </is>
      </c>
      <c r="N1315" t="inlineStr"/>
      <c r="P1315" t="inlineStr">
        <is>
          <t>20240706</t>
        </is>
      </c>
      <c r="Q1315" t="inlineStr">
        <is>
          <t>20240814</t>
        </is>
      </c>
    </row>
    <row r="1316">
      <c r="A1316" t="inlineStr">
        <is>
          <t>900004365D8366591131310149994</t>
        </is>
      </c>
      <c r="B1316" t="inlineStr">
        <is>
          <t>900004365</t>
        </is>
      </c>
      <c r="C1316" t="inlineStr">
        <is>
          <t>D836</t>
        </is>
      </c>
      <c r="D1316" t="inlineStr">
        <is>
          <t>65911313</t>
        </is>
      </c>
      <c r="E1316" t="inlineStr">
        <is>
          <t>4</t>
        </is>
      </c>
      <c r="F1316" t="inlineStr">
        <is>
          <t>10149994</t>
        </is>
      </c>
      <c r="H1316" t="inlineStr"/>
      <c r="J1316" t="n">
        <v>214</v>
      </c>
      <c r="K1316" t="inlineStr"/>
      <c r="M1316" t="inlineStr">
        <is>
          <t>M3</t>
        </is>
      </c>
      <c r="N1316" t="inlineStr"/>
      <c r="P1316" t="inlineStr">
        <is>
          <t>20240706</t>
        </is>
      </c>
      <c r="Q1316" t="inlineStr">
        <is>
          <t>20240814</t>
        </is>
      </c>
    </row>
    <row r="1317">
      <c r="A1317" t="inlineStr">
        <is>
          <t>900006371D8366501466410000160</t>
        </is>
      </c>
      <c r="B1317" t="inlineStr">
        <is>
          <t>900006371</t>
        </is>
      </c>
      <c r="C1317" t="inlineStr">
        <is>
          <t>D836</t>
        </is>
      </c>
      <c r="D1317" t="inlineStr">
        <is>
          <t>65014664</t>
        </is>
      </c>
      <c r="E1317" t="inlineStr">
        <is>
          <t>4</t>
        </is>
      </c>
      <c r="F1317" t="inlineStr">
        <is>
          <t>10000160</t>
        </is>
      </c>
      <c r="H1317" t="inlineStr"/>
      <c r="J1317" t="n">
        <v>90</v>
      </c>
      <c r="K1317" t="inlineStr"/>
      <c r="M1317" t="inlineStr">
        <is>
          <t>M3</t>
        </is>
      </c>
      <c r="N1317" t="inlineStr"/>
      <c r="P1317" t="inlineStr">
        <is>
          <t>20230313</t>
        </is>
      </c>
      <c r="Q1317" t="inlineStr">
        <is>
          <t>20250709</t>
        </is>
      </c>
    </row>
    <row r="1318">
      <c r="A1318" t="inlineStr">
        <is>
          <t>900006371D8366544038410000160</t>
        </is>
      </c>
      <c r="B1318" t="inlineStr">
        <is>
          <t>900006371</t>
        </is>
      </c>
      <c r="C1318" t="inlineStr">
        <is>
          <t>D836</t>
        </is>
      </c>
      <c r="D1318" t="inlineStr">
        <is>
          <t>65440384</t>
        </is>
      </c>
      <c r="E1318" t="inlineStr">
        <is>
          <t>4</t>
        </is>
      </c>
      <c r="F1318" t="inlineStr">
        <is>
          <t>10000160</t>
        </is>
      </c>
      <c r="H1318" t="inlineStr"/>
      <c r="J1318" t="n">
        <v>130</v>
      </c>
      <c r="K1318" t="inlineStr"/>
      <c r="M1318" t="inlineStr">
        <is>
          <t>M3</t>
        </is>
      </c>
      <c r="N1318" t="inlineStr"/>
      <c r="P1318" t="inlineStr">
        <is>
          <t>20230313</t>
        </is>
      </c>
      <c r="Q1318" t="inlineStr">
        <is>
          <t>20250709</t>
        </is>
      </c>
    </row>
    <row r="1319">
      <c r="A1319" t="inlineStr">
        <is>
          <t>900006371D8366677927610000160</t>
        </is>
      </c>
      <c r="B1319" t="inlineStr">
        <is>
          <t>900006371</t>
        </is>
      </c>
      <c r="C1319" t="inlineStr">
        <is>
          <t>D836</t>
        </is>
      </c>
      <c r="D1319" t="inlineStr">
        <is>
          <t>66779276</t>
        </is>
      </c>
      <c r="E1319" t="inlineStr">
        <is>
          <t>4</t>
        </is>
      </c>
      <c r="F1319" t="inlineStr">
        <is>
          <t>10000160</t>
        </is>
      </c>
      <c r="H1319" t="inlineStr"/>
      <c r="J1319" t="n">
        <v>160</v>
      </c>
      <c r="K1319" t="inlineStr"/>
      <c r="M1319" t="inlineStr">
        <is>
          <t>M3</t>
        </is>
      </c>
      <c r="N1319" t="inlineStr"/>
      <c r="P1319" t="inlineStr">
        <is>
          <t>20250304</t>
        </is>
      </c>
      <c r="Q1319" t="inlineStr">
        <is>
          <t>20250507</t>
        </is>
      </c>
    </row>
    <row r="1320">
      <c r="A1320" t="inlineStr">
        <is>
          <t>900006371D8366677927610000357</t>
        </is>
      </c>
      <c r="B1320" t="inlineStr">
        <is>
          <t>900006371</t>
        </is>
      </c>
      <c r="C1320" t="inlineStr">
        <is>
          <t>D836</t>
        </is>
      </c>
      <c r="D1320" t="inlineStr">
        <is>
          <t>66779276</t>
        </is>
      </c>
      <c r="E1320" t="inlineStr">
        <is>
          <t>4</t>
        </is>
      </c>
      <c r="F1320" t="inlineStr">
        <is>
          <t>10000357</t>
        </is>
      </c>
      <c r="H1320" t="inlineStr"/>
      <c r="J1320" t="n">
        <v>160</v>
      </c>
      <c r="K1320" t="inlineStr"/>
      <c r="M1320" t="inlineStr">
        <is>
          <t>M3</t>
        </is>
      </c>
      <c r="N1320" t="inlineStr"/>
      <c r="P1320" t="inlineStr">
        <is>
          <t>20250304</t>
        </is>
      </c>
      <c r="Q1320" t="inlineStr">
        <is>
          <t>20250507</t>
        </is>
      </c>
    </row>
    <row r="1321">
      <c r="A1321" t="inlineStr">
        <is>
          <t>900006371D8366677927610000627</t>
        </is>
      </c>
      <c r="B1321" t="inlineStr">
        <is>
          <t>900006371</t>
        </is>
      </c>
      <c r="C1321" t="inlineStr">
        <is>
          <t>D836</t>
        </is>
      </c>
      <c r="D1321" t="inlineStr">
        <is>
          <t>66779276</t>
        </is>
      </c>
      <c r="E1321" t="inlineStr">
        <is>
          <t>4</t>
        </is>
      </c>
      <c r="F1321" t="inlineStr">
        <is>
          <t>10000627</t>
        </is>
      </c>
      <c r="H1321" t="inlineStr"/>
      <c r="J1321" t="n">
        <v>160</v>
      </c>
      <c r="K1321" t="inlineStr"/>
      <c r="M1321" t="inlineStr">
        <is>
          <t>M3</t>
        </is>
      </c>
      <c r="N1321" t="inlineStr"/>
      <c r="P1321" t="inlineStr">
        <is>
          <t>20250304</t>
        </is>
      </c>
      <c r="Q1321" t="inlineStr">
        <is>
          <t>20250507</t>
        </is>
      </c>
    </row>
    <row r="1322">
      <c r="A1322" t="inlineStr">
        <is>
          <t>900006543D8366500630110000206</t>
        </is>
      </c>
      <c r="B1322" t="inlineStr">
        <is>
          <t>900006543</t>
        </is>
      </c>
      <c r="C1322" t="inlineStr">
        <is>
          <t>D836</t>
        </is>
      </c>
      <c r="D1322" t="inlineStr">
        <is>
          <t>65006301</t>
        </is>
      </c>
      <c r="E1322" t="inlineStr">
        <is>
          <t>1</t>
        </is>
      </c>
      <c r="F1322" t="inlineStr">
        <is>
          <t>10000206</t>
        </is>
      </c>
      <c r="H1322" t="inlineStr"/>
      <c r="J1322" t="n">
        <v>157.12</v>
      </c>
      <c r="K1322" t="inlineStr"/>
      <c r="M1322" t="inlineStr">
        <is>
          <t>M3</t>
        </is>
      </c>
      <c r="N1322" t="inlineStr"/>
      <c r="P1322" t="inlineStr">
        <is>
          <t>20240706</t>
        </is>
      </c>
      <c r="Q1322" t="inlineStr">
        <is>
          <t>20240814</t>
        </is>
      </c>
    </row>
    <row r="1323">
      <c r="A1323" t="inlineStr">
        <is>
          <t>900006543D8366500630110000627</t>
        </is>
      </c>
      <c r="B1323" t="inlineStr">
        <is>
          <t>900006543</t>
        </is>
      </c>
      <c r="C1323" t="inlineStr">
        <is>
          <t>D836</t>
        </is>
      </c>
      <c r="D1323" t="inlineStr">
        <is>
          <t>65006301</t>
        </is>
      </c>
      <c r="E1323" t="inlineStr">
        <is>
          <t>1</t>
        </is>
      </c>
      <c r="F1323" t="inlineStr">
        <is>
          <t>10000627</t>
        </is>
      </c>
      <c r="H1323" t="inlineStr"/>
      <c r="J1323" t="n">
        <v>157.12</v>
      </c>
      <c r="K1323" t="inlineStr"/>
      <c r="M1323" t="inlineStr">
        <is>
          <t>M3</t>
        </is>
      </c>
      <c r="N1323" t="inlineStr"/>
      <c r="P1323" t="inlineStr">
        <is>
          <t>20240706</t>
        </is>
      </c>
      <c r="Q1323" t="inlineStr">
        <is>
          <t>20240814</t>
        </is>
      </c>
    </row>
    <row r="1324">
      <c r="A1324" t="inlineStr">
        <is>
          <t>900006543D8366500630110185476</t>
        </is>
      </c>
      <c r="B1324" t="inlineStr">
        <is>
          <t>900006543</t>
        </is>
      </c>
      <c r="C1324" t="inlineStr">
        <is>
          <t>D836</t>
        </is>
      </c>
      <c r="D1324" t="inlineStr">
        <is>
          <t>65006301</t>
        </is>
      </c>
      <c r="E1324" t="inlineStr">
        <is>
          <t>1</t>
        </is>
      </c>
      <c r="F1324" t="inlineStr">
        <is>
          <t>10185476</t>
        </is>
      </c>
      <c r="H1324" t="inlineStr"/>
      <c r="J1324" t="n">
        <v>157.12</v>
      </c>
      <c r="K1324" t="inlineStr"/>
      <c r="M1324" t="inlineStr">
        <is>
          <t>M3</t>
        </is>
      </c>
      <c r="N1324" t="inlineStr"/>
      <c r="P1324" t="inlineStr">
        <is>
          <t>20240706</t>
        </is>
      </c>
      <c r="Q1324" t="inlineStr">
        <is>
          <t>20240814</t>
        </is>
      </c>
    </row>
    <row r="1325">
      <c r="A1325" t="inlineStr">
        <is>
          <t>900006543D8366500630110185477</t>
        </is>
      </c>
      <c r="B1325" t="inlineStr">
        <is>
          <t>900006543</t>
        </is>
      </c>
      <c r="C1325" t="inlineStr">
        <is>
          <t>D836</t>
        </is>
      </c>
      <c r="D1325" t="inlineStr">
        <is>
          <t>65006301</t>
        </is>
      </c>
      <c r="E1325" t="inlineStr">
        <is>
          <t>1</t>
        </is>
      </c>
      <c r="F1325" t="inlineStr">
        <is>
          <t>10185477</t>
        </is>
      </c>
      <c r="H1325" t="inlineStr"/>
      <c r="J1325" t="n">
        <v>157.12</v>
      </c>
      <c r="K1325" t="inlineStr"/>
      <c r="M1325" t="inlineStr">
        <is>
          <t>M3</t>
        </is>
      </c>
      <c r="N1325" t="inlineStr"/>
      <c r="P1325" t="inlineStr">
        <is>
          <t>20240706</t>
        </is>
      </c>
      <c r="Q1325" t="inlineStr">
        <is>
          <t>20240814</t>
        </is>
      </c>
    </row>
    <row r="1326">
      <c r="A1326" t="inlineStr">
        <is>
          <t>900006543D8366687846210000206</t>
        </is>
      </c>
      <c r="B1326" t="inlineStr">
        <is>
          <t>900006543</t>
        </is>
      </c>
      <c r="C1326" t="inlineStr">
        <is>
          <t>D836</t>
        </is>
      </c>
      <c r="D1326" t="inlineStr">
        <is>
          <t>66878462</t>
        </is>
      </c>
      <c r="E1326" t="inlineStr">
        <is>
          <t>1</t>
        </is>
      </c>
      <c r="F1326" t="inlineStr">
        <is>
          <t>10000206</t>
        </is>
      </c>
      <c r="H1326" t="inlineStr"/>
      <c r="J1326" t="n">
        <v>153.47</v>
      </c>
      <c r="K1326" t="inlineStr"/>
      <c r="M1326" t="inlineStr">
        <is>
          <t>M3</t>
        </is>
      </c>
      <c r="N1326" t="inlineStr"/>
      <c r="P1326" t="inlineStr">
        <is>
          <t>20240710</t>
        </is>
      </c>
      <c r="Q1326" t="inlineStr">
        <is>
          <t>99991231</t>
        </is>
      </c>
    </row>
    <row r="1327">
      <c r="A1327" t="inlineStr">
        <is>
          <t>900006543D8366687846210000627</t>
        </is>
      </c>
      <c r="B1327" t="inlineStr">
        <is>
          <t>900006543</t>
        </is>
      </c>
      <c r="C1327" t="inlineStr">
        <is>
          <t>D836</t>
        </is>
      </c>
      <c r="D1327" t="inlineStr">
        <is>
          <t>66878462</t>
        </is>
      </c>
      <c r="E1327" t="inlineStr">
        <is>
          <t>1</t>
        </is>
      </c>
      <c r="F1327" t="inlineStr">
        <is>
          <t>10000627</t>
        </is>
      </c>
      <c r="H1327" t="inlineStr"/>
      <c r="J1327" t="n">
        <v>153.47</v>
      </c>
      <c r="K1327" t="inlineStr"/>
      <c r="M1327" t="inlineStr">
        <is>
          <t>M3</t>
        </is>
      </c>
      <c r="N1327" t="inlineStr"/>
      <c r="P1327" t="inlineStr">
        <is>
          <t>20250304</t>
        </is>
      </c>
      <c r="Q1327" t="inlineStr">
        <is>
          <t>20250507</t>
        </is>
      </c>
    </row>
    <row r="1328">
      <c r="A1328" t="inlineStr">
        <is>
          <t>900006543D8366687846210185476</t>
        </is>
      </c>
      <c r="B1328" t="inlineStr">
        <is>
          <t>900006543</t>
        </is>
      </c>
      <c r="C1328" t="inlineStr">
        <is>
          <t>D836</t>
        </is>
      </c>
      <c r="D1328" t="inlineStr">
        <is>
          <t>66878462</t>
        </is>
      </c>
      <c r="E1328" t="inlineStr">
        <is>
          <t>1</t>
        </is>
      </c>
      <c r="F1328" t="inlineStr">
        <is>
          <t>10185476</t>
        </is>
      </c>
      <c r="H1328" t="inlineStr"/>
      <c r="J1328" t="n">
        <v>153.47</v>
      </c>
      <c r="K1328" t="inlineStr"/>
      <c r="M1328" t="inlineStr">
        <is>
          <t>M3</t>
        </is>
      </c>
      <c r="N1328" t="inlineStr"/>
      <c r="P1328" t="inlineStr">
        <is>
          <t>20250304</t>
        </is>
      </c>
      <c r="Q1328" t="inlineStr">
        <is>
          <t>20250507</t>
        </is>
      </c>
    </row>
    <row r="1329">
      <c r="A1329" t="inlineStr">
        <is>
          <t>900006543D8366687846210185477</t>
        </is>
      </c>
      <c r="B1329" t="inlineStr">
        <is>
          <t>900006543</t>
        </is>
      </c>
      <c r="C1329" t="inlineStr">
        <is>
          <t>D836</t>
        </is>
      </c>
      <c r="D1329" t="inlineStr">
        <is>
          <t>66878462</t>
        </is>
      </c>
      <c r="E1329" t="inlineStr">
        <is>
          <t>1</t>
        </is>
      </c>
      <c r="F1329" t="inlineStr">
        <is>
          <t>10185477</t>
        </is>
      </c>
      <c r="H1329" t="inlineStr"/>
      <c r="J1329" t="n">
        <v>153.47</v>
      </c>
      <c r="K1329" t="inlineStr"/>
      <c r="M1329" t="inlineStr">
        <is>
          <t>M3</t>
        </is>
      </c>
      <c r="N1329" t="inlineStr"/>
      <c r="P1329" t="inlineStr">
        <is>
          <t>20250304</t>
        </is>
      </c>
      <c r="Q1329" t="inlineStr">
        <is>
          <t>20250507</t>
        </is>
      </c>
    </row>
    <row r="1330">
      <c r="A1330" t="inlineStr">
        <is>
          <t>900006543D8366692231710000651</t>
        </is>
      </c>
      <c r="B1330" t="inlineStr">
        <is>
          <t>900006543</t>
        </is>
      </c>
      <c r="C1330" t="inlineStr">
        <is>
          <t>D836</t>
        </is>
      </c>
      <c r="D1330" t="inlineStr">
        <is>
          <t>66922317</t>
        </is>
      </c>
      <c r="E1330" t="inlineStr">
        <is>
          <t>1</t>
        </is>
      </c>
      <c r="F1330" t="inlineStr">
        <is>
          <t>10000651</t>
        </is>
      </c>
      <c r="H1330" t="inlineStr"/>
      <c r="J1330" t="n">
        <v>193.66</v>
      </c>
      <c r="K1330" t="inlineStr"/>
      <c r="M1330" t="inlineStr">
        <is>
          <t>M3</t>
        </is>
      </c>
      <c r="N1330" t="inlineStr"/>
      <c r="P1330" t="inlineStr">
        <is>
          <t>20230313</t>
        </is>
      </c>
      <c r="Q1330" t="inlineStr">
        <is>
          <t>20250709</t>
        </is>
      </c>
    </row>
    <row r="1331">
      <c r="A1331" t="inlineStr">
        <is>
          <t>900006543D8366701587710000206</t>
        </is>
      </c>
      <c r="B1331" t="inlineStr">
        <is>
          <t>900006543</t>
        </is>
      </c>
      <c r="C1331" t="inlineStr">
        <is>
          <t>D836</t>
        </is>
      </c>
      <c r="D1331" t="inlineStr">
        <is>
          <t>67015877</t>
        </is>
      </c>
      <c r="E1331" t="inlineStr">
        <is>
          <t>1</t>
        </is>
      </c>
      <c r="F1331" t="inlineStr">
        <is>
          <t>10000206</t>
        </is>
      </c>
      <c r="H1331" t="inlineStr"/>
      <c r="J1331" t="n">
        <v>164.43</v>
      </c>
      <c r="K1331" t="inlineStr"/>
      <c r="M1331" t="inlineStr">
        <is>
          <t>M3</t>
        </is>
      </c>
      <c r="N1331" t="inlineStr"/>
      <c r="P1331" t="inlineStr">
        <is>
          <t>20240706</t>
        </is>
      </c>
      <c r="Q1331" t="inlineStr">
        <is>
          <t>20240814</t>
        </is>
      </c>
    </row>
    <row r="1332">
      <c r="A1332" t="inlineStr">
        <is>
          <t>900006543D8366701587710000627</t>
        </is>
      </c>
      <c r="B1332" t="inlineStr">
        <is>
          <t>900006543</t>
        </is>
      </c>
      <c r="C1332" t="inlineStr">
        <is>
          <t>D836</t>
        </is>
      </c>
      <c r="D1332" t="inlineStr">
        <is>
          <t>67015877</t>
        </is>
      </c>
      <c r="E1332" t="inlineStr">
        <is>
          <t>1</t>
        </is>
      </c>
      <c r="F1332" t="inlineStr">
        <is>
          <t>10000627</t>
        </is>
      </c>
      <c r="H1332" t="inlineStr"/>
      <c r="J1332" t="n">
        <v>164.43</v>
      </c>
      <c r="K1332" t="inlineStr"/>
      <c r="M1332" t="inlineStr">
        <is>
          <t>M3</t>
        </is>
      </c>
      <c r="N1332" t="inlineStr"/>
      <c r="P1332" t="inlineStr">
        <is>
          <t>20240706</t>
        </is>
      </c>
      <c r="Q1332" t="inlineStr">
        <is>
          <t>20240814</t>
        </is>
      </c>
    </row>
    <row r="1333">
      <c r="A1333" t="inlineStr">
        <is>
          <t>900006543D8366701587710185476</t>
        </is>
      </c>
      <c r="B1333" t="inlineStr">
        <is>
          <t>900006543</t>
        </is>
      </c>
      <c r="C1333" t="inlineStr">
        <is>
          <t>D836</t>
        </is>
      </c>
      <c r="D1333" t="inlineStr">
        <is>
          <t>67015877</t>
        </is>
      </c>
      <c r="E1333" t="inlineStr">
        <is>
          <t>1</t>
        </is>
      </c>
      <c r="F1333" t="inlineStr">
        <is>
          <t>10185476</t>
        </is>
      </c>
      <c r="H1333" t="inlineStr"/>
      <c r="J1333" t="n">
        <v>164.43</v>
      </c>
      <c r="K1333" t="inlineStr"/>
      <c r="M1333" t="inlineStr">
        <is>
          <t>M3</t>
        </is>
      </c>
      <c r="N1333" t="inlineStr"/>
      <c r="P1333" t="inlineStr">
        <is>
          <t>20240706</t>
        </is>
      </c>
      <c r="Q1333" t="inlineStr">
        <is>
          <t>20240814</t>
        </is>
      </c>
    </row>
    <row r="1334">
      <c r="A1334" t="inlineStr">
        <is>
          <t>900006543D8366701587710185477</t>
        </is>
      </c>
      <c r="B1334" t="inlineStr">
        <is>
          <t>900006543</t>
        </is>
      </c>
      <c r="C1334" t="inlineStr">
        <is>
          <t>D836</t>
        </is>
      </c>
      <c r="D1334" t="inlineStr">
        <is>
          <t>67015877</t>
        </is>
      </c>
      <c r="E1334" t="inlineStr">
        <is>
          <t>1</t>
        </is>
      </c>
      <c r="F1334" t="inlineStr">
        <is>
          <t>10185477</t>
        </is>
      </c>
      <c r="H1334" t="inlineStr"/>
      <c r="J1334" t="n">
        <v>164.43</v>
      </c>
      <c r="K1334" t="inlineStr"/>
      <c r="M1334" t="inlineStr">
        <is>
          <t>M3</t>
        </is>
      </c>
      <c r="N1334" t="inlineStr"/>
      <c r="P1334" t="inlineStr">
        <is>
          <t>20240706</t>
        </is>
      </c>
      <c r="Q1334" t="inlineStr">
        <is>
          <t>20240814</t>
        </is>
      </c>
    </row>
    <row r="1335">
      <c r="A1335" t="inlineStr">
        <is>
          <t>900006950D8366506168710183920</t>
        </is>
      </c>
      <c r="B1335" t="inlineStr">
        <is>
          <t>900006950</t>
        </is>
      </c>
      <c r="C1335" t="inlineStr">
        <is>
          <t>D836</t>
        </is>
      </c>
      <c r="D1335" t="inlineStr">
        <is>
          <t>65061687</t>
        </is>
      </c>
      <c r="E1335" t="inlineStr">
        <is>
          <t>4</t>
        </is>
      </c>
      <c r="F1335" t="inlineStr">
        <is>
          <t>10183920</t>
        </is>
      </c>
      <c r="H1335" t="inlineStr"/>
      <c r="J1335" t="n">
        <v>100</v>
      </c>
      <c r="K1335" t="inlineStr"/>
      <c r="M1335" t="inlineStr">
        <is>
          <t>M3</t>
        </is>
      </c>
      <c r="N1335" t="inlineStr"/>
      <c r="P1335" t="inlineStr">
        <is>
          <t>20240706</t>
        </is>
      </c>
      <c r="Q1335" t="inlineStr">
        <is>
          <t>20240814</t>
        </is>
      </c>
    </row>
    <row r="1336">
      <c r="A1336" t="inlineStr">
        <is>
          <t>900007321D8366501466410000160</t>
        </is>
      </c>
      <c r="B1336" t="inlineStr">
        <is>
          <t>900007321</t>
        </is>
      </c>
      <c r="C1336" t="inlineStr">
        <is>
          <t>D836</t>
        </is>
      </c>
      <c r="D1336" t="inlineStr">
        <is>
          <t>65014664</t>
        </is>
      </c>
      <c r="E1336" t="inlineStr">
        <is>
          <t>4</t>
        </is>
      </c>
      <c r="F1336" t="inlineStr">
        <is>
          <t>10000160</t>
        </is>
      </c>
      <c r="H1336" t="inlineStr"/>
      <c r="J1336" t="n">
        <v>105</v>
      </c>
      <c r="K1336" t="inlineStr"/>
      <c r="M1336" t="inlineStr">
        <is>
          <t>M3</t>
        </is>
      </c>
      <c r="N1336" t="inlineStr"/>
      <c r="P1336" t="inlineStr">
        <is>
          <t>20230313</t>
        </is>
      </c>
      <c r="Q1336" t="inlineStr">
        <is>
          <t>20250709</t>
        </is>
      </c>
    </row>
    <row r="1337">
      <c r="A1337" t="inlineStr">
        <is>
          <t>900007321D8366544038410000160</t>
        </is>
      </c>
      <c r="B1337" t="inlineStr">
        <is>
          <t>900007321</t>
        </is>
      </c>
      <c r="C1337" t="inlineStr">
        <is>
          <t>D836</t>
        </is>
      </c>
      <c r="D1337" t="inlineStr">
        <is>
          <t>65440384</t>
        </is>
      </c>
      <c r="E1337" t="inlineStr">
        <is>
          <t>4</t>
        </is>
      </c>
      <c r="F1337" t="inlineStr">
        <is>
          <t>10000160</t>
        </is>
      </c>
      <c r="H1337" t="inlineStr"/>
      <c r="J1337" t="n">
        <v>190</v>
      </c>
      <c r="K1337" t="inlineStr"/>
      <c r="M1337" t="inlineStr">
        <is>
          <t>M3</t>
        </is>
      </c>
      <c r="N1337" t="inlineStr"/>
      <c r="P1337" t="inlineStr">
        <is>
          <t>20230313</t>
        </is>
      </c>
      <c r="Q1337" t="inlineStr">
        <is>
          <t>20250709</t>
        </is>
      </c>
    </row>
    <row r="1338">
      <c r="A1338" t="inlineStr">
        <is>
          <t>900007321D8366677927610000160</t>
        </is>
      </c>
      <c r="B1338" t="inlineStr">
        <is>
          <t>900007321</t>
        </is>
      </c>
      <c r="C1338" t="inlineStr">
        <is>
          <t>D836</t>
        </is>
      </c>
      <c r="D1338" t="inlineStr">
        <is>
          <t>66779276</t>
        </is>
      </c>
      <c r="E1338" t="inlineStr">
        <is>
          <t>4</t>
        </is>
      </c>
      <c r="F1338" t="inlineStr">
        <is>
          <t>10000160</t>
        </is>
      </c>
      <c r="H1338" t="inlineStr"/>
      <c r="J1338" t="n">
        <v>160</v>
      </c>
      <c r="K1338" t="inlineStr"/>
      <c r="M1338" t="inlineStr">
        <is>
          <t>M3</t>
        </is>
      </c>
      <c r="N1338" t="inlineStr"/>
      <c r="P1338" t="inlineStr">
        <is>
          <t>20250304</t>
        </is>
      </c>
      <c r="Q1338" t="inlineStr">
        <is>
          <t>20250507</t>
        </is>
      </c>
    </row>
    <row r="1339">
      <c r="A1339" t="inlineStr">
        <is>
          <t>900007321D8366677927610000357</t>
        </is>
      </c>
      <c r="B1339" t="inlineStr">
        <is>
          <t>900007321</t>
        </is>
      </c>
      <c r="C1339" t="inlineStr">
        <is>
          <t>D836</t>
        </is>
      </c>
      <c r="D1339" t="inlineStr">
        <is>
          <t>66779276</t>
        </is>
      </c>
      <c r="E1339" t="inlineStr">
        <is>
          <t>4</t>
        </is>
      </c>
      <c r="F1339" t="inlineStr">
        <is>
          <t>10000357</t>
        </is>
      </c>
      <c r="H1339" t="inlineStr"/>
      <c r="J1339" t="n">
        <v>160</v>
      </c>
      <c r="K1339" t="inlineStr"/>
      <c r="M1339" t="inlineStr">
        <is>
          <t>M3</t>
        </is>
      </c>
      <c r="N1339" t="inlineStr"/>
      <c r="P1339" t="inlineStr">
        <is>
          <t>20250304</t>
        </is>
      </c>
      <c r="Q1339" t="inlineStr">
        <is>
          <t>20250507</t>
        </is>
      </c>
    </row>
    <row r="1340">
      <c r="A1340" t="inlineStr">
        <is>
          <t>900007321D8366677927610000627</t>
        </is>
      </c>
      <c r="B1340" t="inlineStr">
        <is>
          <t>900007321</t>
        </is>
      </c>
      <c r="C1340" t="inlineStr">
        <is>
          <t>D836</t>
        </is>
      </c>
      <c r="D1340" t="inlineStr">
        <is>
          <t>66779276</t>
        </is>
      </c>
      <c r="E1340" t="inlineStr">
        <is>
          <t>4</t>
        </is>
      </c>
      <c r="F1340" t="inlineStr">
        <is>
          <t>10000627</t>
        </is>
      </c>
      <c r="H1340" t="inlineStr"/>
      <c r="J1340" t="n">
        <v>160</v>
      </c>
      <c r="K1340" t="inlineStr"/>
      <c r="M1340" t="inlineStr">
        <is>
          <t>M3</t>
        </is>
      </c>
      <c r="N1340" t="inlineStr"/>
      <c r="P1340" t="inlineStr">
        <is>
          <t>20250304</t>
        </is>
      </c>
      <c r="Q1340" t="inlineStr">
        <is>
          <t>20250507</t>
        </is>
      </c>
    </row>
    <row r="1341">
      <c r="A1341" t="inlineStr">
        <is>
          <t>900008845D8366500630110227598</t>
        </is>
      </c>
      <c r="B1341" t="inlineStr">
        <is>
          <t>900008845</t>
        </is>
      </c>
      <c r="C1341" t="inlineStr">
        <is>
          <t>D836</t>
        </is>
      </c>
      <c r="D1341" t="inlineStr">
        <is>
          <t>65006301</t>
        </is>
      </c>
      <c r="E1341" t="inlineStr">
        <is>
          <t>1</t>
        </is>
      </c>
      <c r="F1341" t="inlineStr">
        <is>
          <t>10227598</t>
        </is>
      </c>
      <c r="H1341" t="inlineStr"/>
      <c r="J1341" t="n">
        <v>153.47</v>
      </c>
      <c r="K1341" t="inlineStr"/>
      <c r="M1341" t="inlineStr">
        <is>
          <t>M3</t>
        </is>
      </c>
      <c r="N1341" t="inlineStr"/>
      <c r="P1341" t="inlineStr">
        <is>
          <t>20240706</t>
        </is>
      </c>
      <c r="Q1341" t="inlineStr">
        <is>
          <t>20240814</t>
        </is>
      </c>
    </row>
    <row r="1342">
      <c r="A1342" t="inlineStr">
        <is>
          <t>900008845D8366687846210227598</t>
        </is>
      </c>
      <c r="B1342" t="inlineStr">
        <is>
          <t>900008845</t>
        </is>
      </c>
      <c r="C1342" t="inlineStr">
        <is>
          <t>D836</t>
        </is>
      </c>
      <c r="D1342" t="inlineStr">
        <is>
          <t>66878462</t>
        </is>
      </c>
      <c r="E1342" t="inlineStr">
        <is>
          <t>1</t>
        </is>
      </c>
      <c r="F1342" t="inlineStr">
        <is>
          <t>10227598</t>
        </is>
      </c>
      <c r="H1342" t="inlineStr"/>
      <c r="J1342" t="n">
        <v>149.81</v>
      </c>
      <c r="K1342" t="inlineStr"/>
      <c r="M1342" t="inlineStr">
        <is>
          <t>M3</t>
        </is>
      </c>
      <c r="N1342" t="inlineStr"/>
      <c r="P1342" t="inlineStr">
        <is>
          <t>20250304</t>
        </is>
      </c>
      <c r="Q1342" t="inlineStr">
        <is>
          <t>20250507</t>
        </is>
      </c>
    </row>
    <row r="1343">
      <c r="A1343" t="inlineStr">
        <is>
          <t>900008845D8366701587710227598</t>
        </is>
      </c>
      <c r="B1343" t="inlineStr">
        <is>
          <t>900008845</t>
        </is>
      </c>
      <c r="C1343" t="inlineStr">
        <is>
          <t>D836</t>
        </is>
      </c>
      <c r="D1343" t="inlineStr">
        <is>
          <t>67015877</t>
        </is>
      </c>
      <c r="E1343" t="inlineStr">
        <is>
          <t>1</t>
        </is>
      </c>
      <c r="F1343" t="inlineStr">
        <is>
          <t>10227598</t>
        </is>
      </c>
      <c r="H1343" t="inlineStr"/>
      <c r="J1343" t="n">
        <v>160.78</v>
      </c>
      <c r="K1343" t="inlineStr"/>
      <c r="M1343" t="inlineStr">
        <is>
          <t>M3</t>
        </is>
      </c>
      <c r="N1343" t="inlineStr"/>
      <c r="P1343" t="inlineStr">
        <is>
          <t>20240706</t>
        </is>
      </c>
      <c r="Q1343" t="inlineStr">
        <is>
          <t>20240814</t>
        </is>
      </c>
    </row>
    <row r="1344">
      <c r="A1344" t="inlineStr">
        <is>
          <t>900008869D8366724072910000623</t>
        </is>
      </c>
      <c r="B1344" t="inlineStr">
        <is>
          <t>900008869</t>
        </is>
      </c>
      <c r="C1344" t="inlineStr">
        <is>
          <t>D836</t>
        </is>
      </c>
      <c r="D1344" t="inlineStr">
        <is>
          <t>67240729</t>
        </is>
      </c>
      <c r="E1344" t="inlineStr">
        <is>
          <t>4</t>
        </is>
      </c>
      <c r="F1344" t="inlineStr">
        <is>
          <t>10000623</t>
        </is>
      </c>
      <c r="H1344" t="inlineStr"/>
      <c r="J1344" t="n">
        <v>370</v>
      </c>
      <c r="K1344" t="inlineStr"/>
      <c r="M1344" t="inlineStr">
        <is>
          <t>TN</t>
        </is>
      </c>
      <c r="N1344" t="inlineStr"/>
      <c r="P1344" t="inlineStr">
        <is>
          <t>20260211</t>
        </is>
      </c>
      <c r="Q1344" t="inlineStr">
        <is>
          <t>99991231</t>
        </is>
      </c>
    </row>
    <row r="1345">
      <c r="A1345" t="inlineStr">
        <is>
          <t>900008869D8366724238210000623</t>
        </is>
      </c>
      <c r="B1345" t="inlineStr">
        <is>
          <t>900008869</t>
        </is>
      </c>
      <c r="C1345" t="inlineStr">
        <is>
          <t>D836</t>
        </is>
      </c>
      <c r="D1345" t="inlineStr">
        <is>
          <t>67242382</t>
        </is>
      </c>
      <c r="E1345" t="inlineStr">
        <is>
          <t>4</t>
        </is>
      </c>
      <c r="F1345" t="inlineStr">
        <is>
          <t>10000623</t>
        </is>
      </c>
      <c r="H1345" t="inlineStr"/>
      <c r="J1345" t="n">
        <v>320</v>
      </c>
      <c r="K1345" t="inlineStr"/>
      <c r="M1345" t="inlineStr">
        <is>
          <t>TN</t>
        </is>
      </c>
      <c r="N1345" t="inlineStr"/>
      <c r="P1345" t="inlineStr">
        <is>
          <t>20260211</t>
        </is>
      </c>
      <c r="Q1345" t="inlineStr">
        <is>
          <t>99991231</t>
        </is>
      </c>
    </row>
    <row r="1346">
      <c r="A1346" t="inlineStr">
        <is>
          <t>900008869D8366724238510000623</t>
        </is>
      </c>
      <c r="B1346" t="inlineStr">
        <is>
          <t>900008869</t>
        </is>
      </c>
      <c r="C1346" t="inlineStr">
        <is>
          <t>D836</t>
        </is>
      </c>
      <c r="D1346" t="inlineStr">
        <is>
          <t>67242385</t>
        </is>
      </c>
      <c r="E1346" t="inlineStr">
        <is>
          <t>4</t>
        </is>
      </c>
      <c r="F1346" t="inlineStr">
        <is>
          <t>10000623</t>
        </is>
      </c>
      <c r="H1346" t="inlineStr"/>
      <c r="J1346" t="n">
        <v>320</v>
      </c>
      <c r="K1346" t="inlineStr"/>
      <c r="M1346" t="inlineStr">
        <is>
          <t>TN</t>
        </is>
      </c>
      <c r="N1346" t="inlineStr"/>
      <c r="P1346" t="inlineStr">
        <is>
          <t>20260211</t>
        </is>
      </c>
      <c r="Q1346" t="inlineStr">
        <is>
          <t>99991231</t>
        </is>
      </c>
    </row>
    <row r="1347">
      <c r="A1347" t="inlineStr">
        <is>
          <t>900008869D8366728350310000623</t>
        </is>
      </c>
      <c r="B1347" t="inlineStr">
        <is>
          <t>900008869</t>
        </is>
      </c>
      <c r="C1347" t="inlineStr">
        <is>
          <t>D836</t>
        </is>
      </c>
      <c r="D1347" t="inlineStr">
        <is>
          <t>67283503</t>
        </is>
      </c>
      <c r="E1347" t="inlineStr">
        <is>
          <t>4</t>
        </is>
      </c>
      <c r="F1347" t="inlineStr">
        <is>
          <t>10000623</t>
        </is>
      </c>
      <c r="H1347" t="inlineStr"/>
      <c r="J1347" t="n">
        <v>320</v>
      </c>
      <c r="K1347" t="inlineStr"/>
      <c r="M1347" t="inlineStr">
        <is>
          <t>TN</t>
        </is>
      </c>
      <c r="N1347" t="inlineStr"/>
      <c r="P1347" t="inlineStr">
        <is>
          <t>20260211</t>
        </is>
      </c>
      <c r="Q1347" t="inlineStr">
        <is>
          <t>99991231</t>
        </is>
      </c>
    </row>
    <row r="1348">
      <c r="A1348" t="inlineStr">
        <is>
          <t>900009140D8366501645110140399</t>
        </is>
      </c>
      <c r="B1348" t="inlineStr">
        <is>
          <t>900009140</t>
        </is>
      </c>
      <c r="C1348" t="inlineStr">
        <is>
          <t>D836</t>
        </is>
      </c>
      <c r="D1348" t="inlineStr">
        <is>
          <t>65016451</t>
        </is>
      </c>
      <c r="E1348" t="inlineStr">
        <is>
          <t>4</t>
        </is>
      </c>
      <c r="F1348" t="inlineStr">
        <is>
          <t>10140399</t>
        </is>
      </c>
      <c r="H1348" t="inlineStr"/>
      <c r="J1348" t="n">
        <v>200</v>
      </c>
      <c r="K1348" t="inlineStr"/>
      <c r="M1348" t="inlineStr">
        <is>
          <t>TN</t>
        </is>
      </c>
      <c r="N1348" t="inlineStr"/>
      <c r="P1348" t="inlineStr">
        <is>
          <t>20250304</t>
        </is>
      </c>
      <c r="Q1348" t="inlineStr">
        <is>
          <t>20250507</t>
        </is>
      </c>
    </row>
    <row r="1349">
      <c r="A1349" t="inlineStr">
        <is>
          <t>900009140D8366501645110221480</t>
        </is>
      </c>
      <c r="B1349" t="inlineStr">
        <is>
          <t>900009140</t>
        </is>
      </c>
      <c r="C1349" t="inlineStr">
        <is>
          <t>D836</t>
        </is>
      </c>
      <c r="D1349" t="inlineStr">
        <is>
          <t>65016451</t>
        </is>
      </c>
      <c r="E1349" t="inlineStr">
        <is>
          <t>4</t>
        </is>
      </c>
      <c r="F1349" t="inlineStr">
        <is>
          <t>10221480</t>
        </is>
      </c>
      <c r="H1349" t="inlineStr"/>
      <c r="J1349" t="n">
        <v>200</v>
      </c>
      <c r="K1349" t="inlineStr"/>
      <c r="M1349" t="inlineStr">
        <is>
          <t>TN</t>
        </is>
      </c>
      <c r="N1349" t="inlineStr"/>
      <c r="P1349" t="inlineStr">
        <is>
          <t>20250304</t>
        </is>
      </c>
      <c r="Q1349" t="inlineStr">
        <is>
          <t>20250507</t>
        </is>
      </c>
    </row>
    <row r="1350">
      <c r="A1350" t="inlineStr">
        <is>
          <t>900009140D8366677927610184011</t>
        </is>
      </c>
      <c r="B1350" t="inlineStr">
        <is>
          <t>900009140</t>
        </is>
      </c>
      <c r="C1350" t="inlineStr">
        <is>
          <t>D836</t>
        </is>
      </c>
      <c r="D1350" t="inlineStr">
        <is>
          <t>66779276</t>
        </is>
      </c>
      <c r="E1350" t="inlineStr">
        <is>
          <t>4</t>
        </is>
      </c>
      <c r="F1350" t="inlineStr">
        <is>
          <t>10184011</t>
        </is>
      </c>
      <c r="H1350" t="inlineStr"/>
      <c r="J1350" t="n">
        <v>200</v>
      </c>
      <c r="K1350" t="inlineStr"/>
      <c r="M1350" t="inlineStr">
        <is>
          <t>TN</t>
        </is>
      </c>
      <c r="N1350" t="inlineStr"/>
      <c r="P1350" t="inlineStr">
        <is>
          <t>20250304</t>
        </is>
      </c>
      <c r="Q1350" t="inlineStr">
        <is>
          <t>20250507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7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900001074D83610276711</t>
        </is>
      </c>
      <c r="B2" t="inlineStr">
        <is>
          <t>4600027573-420</t>
        </is>
      </c>
      <c r="C2" t="n">
        <v>4600027573</v>
      </c>
      <c r="D2" t="n">
        <v>420</v>
      </c>
      <c r="E2" t="inlineStr">
        <is>
          <t>MXPO</t>
        </is>
      </c>
      <c r="F2" t="inlineStr">
        <is>
          <t>M02</t>
        </is>
      </c>
      <c r="G2" t="n">
        <v>900001074</v>
      </c>
      <c r="H2" t="inlineStr">
        <is>
          <t>TP-TRIVOMEX</t>
        </is>
      </c>
      <c r="I2" t="n">
        <v>5033501</v>
      </c>
      <c r="J2" t="inlineStr">
        <is>
          <t>TRITURADOS VOLCANICOS DE MEXICO</t>
        </is>
      </c>
      <c r="K2" t="inlineStr">
        <is>
          <t>Z04</t>
        </is>
      </c>
      <c r="L2" t="inlineStr">
        <is>
          <t>(AP) 30 Dias</t>
        </is>
      </c>
      <c r="M2" t="n">
        <v>10276711</v>
      </c>
      <c r="N2" t="inlineStr">
        <is>
          <t>MP ARENA TRIT ANDESITA MALLA 4 FZ</t>
        </is>
      </c>
      <c r="O2" t="inlineStr">
        <is>
          <t>D836</t>
        </is>
      </c>
      <c r="P2" t="inlineStr">
        <is>
          <t>MX-CED. CENTRO</t>
        </is>
      </c>
      <c r="Q2" t="n">
        <v>20140701</v>
      </c>
      <c r="R2" t="n">
        <v>20291231</v>
      </c>
      <c r="S2" t="n">
        <v>20260824</v>
      </c>
      <c r="T2" t="n">
        <v>20301231</v>
      </c>
      <c r="U2" t="n">
        <v>113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56103638</v>
      </c>
      <c r="AD2" t="n">
        <v>6622261540</v>
      </c>
      <c r="AE2" t="n">
        <v>1</v>
      </c>
      <c r="AF2" t="inlineStr">
        <is>
          <t>ENTREGADO</t>
        </is>
      </c>
      <c r="AG2" t="n">
        <v>1.5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20260827</v>
      </c>
      <c r="AM2" t="inlineStr">
        <is>
          <t>D836-900001074-10276711</t>
        </is>
      </c>
    </row>
    <row r="3">
      <c r="A3" t="inlineStr">
        <is>
          <t>900009460D83610277346</t>
        </is>
      </c>
      <c r="B3" t="inlineStr">
        <is>
          <t>4600071933-50</t>
        </is>
      </c>
      <c r="C3" t="n">
        <v>4600071933</v>
      </c>
      <c r="D3" t="n">
        <v>50</v>
      </c>
      <c r="E3" t="inlineStr">
        <is>
          <t>MXPO</t>
        </is>
      </c>
      <c r="F3" t="inlineStr">
        <is>
          <t>MXL</t>
        </is>
      </c>
      <c r="G3" t="n">
        <v>900009460</v>
      </c>
      <c r="H3" t="inlineStr">
        <is>
          <t>SF TP-PITUFOS</t>
        </is>
      </c>
      <c r="I3" t="n">
        <v>5010165</v>
      </c>
      <c r="J3" t="inlineStr">
        <is>
          <t>AGREGADOS COMO S.A. DE C.V.</t>
        </is>
      </c>
      <c r="K3" t="inlineStr">
        <is>
          <t>N60</t>
        </is>
      </c>
      <c r="L3" t="inlineStr">
        <is>
          <t>(AP) NAFIN 60 Dias</t>
        </is>
      </c>
      <c r="M3" t="n">
        <v>10277346</v>
      </c>
      <c r="N3" t="inlineStr">
        <is>
          <t>MP GRAVA TRIT. ANDESITA 10 MM - 3/8" FZ</t>
        </is>
      </c>
      <c r="O3" t="inlineStr">
        <is>
          <t>D836</t>
        </is>
      </c>
      <c r="P3" t="inlineStr">
        <is>
          <t>MX-CED. CENTRO</t>
        </is>
      </c>
      <c r="Q3" t="n">
        <v>20260123</v>
      </c>
      <c r="R3" t="n">
        <v>20301231</v>
      </c>
      <c r="S3" t="n">
        <v>20260803</v>
      </c>
      <c r="T3" t="n">
        <v>20301231</v>
      </c>
      <c r="U3" t="n">
        <v>86.2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6622261540</v>
      </c>
      <c r="AE3" t="n">
        <v>1</v>
      </c>
      <c r="AF3" t="inlineStr">
        <is>
          <t>ENTREGADO</t>
        </is>
      </c>
      <c r="AG3" t="n">
        <v>1.246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20260806</v>
      </c>
      <c r="AM3" t="inlineStr">
        <is>
          <t>D836-900009460-10277346</t>
        </is>
      </c>
    </row>
    <row r="4">
      <c r="A4" t="inlineStr">
        <is>
          <t>900007320D83610000627</t>
        </is>
      </c>
      <c r="B4" t="inlineStr">
        <is>
          <t>4600052075-30</t>
        </is>
      </c>
      <c r="C4" t="n">
        <v>4600052075</v>
      </c>
      <c r="D4" t="n">
        <v>30</v>
      </c>
      <c r="E4" t="inlineStr">
        <is>
          <t>MXPO</t>
        </is>
      </c>
      <c r="F4" t="inlineStr">
        <is>
          <t>MXL</t>
        </is>
      </c>
      <c r="G4" t="n">
        <v>900007320</v>
      </c>
      <c r="H4" t="inlineStr">
        <is>
          <t>SF TP-LOMA ANCHA SC</t>
        </is>
      </c>
      <c r="I4" t="n">
        <v>5047262</v>
      </c>
      <c r="J4" t="inlineStr">
        <is>
          <t>AGREGADOS PETREOS SAN CRISTOBAL</t>
        </is>
      </c>
      <c r="K4" t="inlineStr">
        <is>
          <t>Z03</t>
        </is>
      </c>
      <c r="L4" t="inlineStr">
        <is>
          <t>(AP) 15 Dias</t>
        </is>
      </c>
      <c r="M4" t="n">
        <v>10000627</v>
      </c>
      <c r="N4" t="inlineStr">
        <is>
          <t>Grava Triturada Andesita 10 mm - 3/8"</t>
        </is>
      </c>
      <c r="O4" t="inlineStr">
        <is>
          <t>D836</t>
        </is>
      </c>
      <c r="P4" t="inlineStr">
        <is>
          <t>MX-CED. CENTRO</t>
        </is>
      </c>
      <c r="Q4" t="n">
        <v>20210928</v>
      </c>
      <c r="R4" t="n">
        <v>20281231</v>
      </c>
      <c r="S4" t="n">
        <v>20260803</v>
      </c>
      <c r="T4" t="n">
        <v>20301231</v>
      </c>
      <c r="U4" t="n">
        <v>80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6622261540</v>
      </c>
      <c r="AE4" t="n">
        <v>1</v>
      </c>
      <c r="AF4" t="inlineStr">
        <is>
          <t>ENTREGADO</t>
        </is>
      </c>
      <c r="AG4" t="n">
        <v>1.33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20260806</v>
      </c>
      <c r="AM4" t="inlineStr">
        <is>
          <t>D836-900007320-10000627</t>
        </is>
      </c>
    </row>
    <row r="5">
      <c r="A5" t="inlineStr">
        <is>
          <t>900003609D83610000630</t>
        </is>
      </c>
      <c r="B5" t="inlineStr">
        <is>
          <t>4600027606-100</t>
        </is>
      </c>
      <c r="C5" t="n">
        <v>4600027606</v>
      </c>
      <c r="D5" t="n">
        <v>100</v>
      </c>
      <c r="E5" t="inlineStr">
        <is>
          <t>MXPO</t>
        </is>
      </c>
      <c r="F5" t="inlineStr">
        <is>
          <t>M02</t>
        </is>
      </c>
      <c r="G5" t="n">
        <v>900003609</v>
      </c>
      <c r="H5" t="inlineStr">
        <is>
          <t>TP-LA VALENCIANA</t>
        </is>
      </c>
      <c r="I5" t="n">
        <v>5005431</v>
      </c>
      <c r="J5" t="inlineStr">
        <is>
          <t>CANTERAS LA VALENCIANA SA DE CV</t>
        </is>
      </c>
      <c r="K5" t="inlineStr">
        <is>
          <t>Z03</t>
        </is>
      </c>
      <c r="L5" t="inlineStr">
        <is>
          <t>(AP) 15 Dias</t>
        </is>
      </c>
      <c r="M5" t="n">
        <v>10000630</v>
      </c>
      <c r="N5" t="inlineStr">
        <is>
          <t>Grava Triturada Caliza 13 mm - 1/2"</t>
        </is>
      </c>
      <c r="O5" t="inlineStr">
        <is>
          <t>D836</t>
        </is>
      </c>
      <c r="P5" t="inlineStr">
        <is>
          <t>MX-CED. CENTRO</t>
        </is>
      </c>
      <c r="Q5" t="n">
        <v>20141106</v>
      </c>
      <c r="R5" t="n">
        <v>20281231</v>
      </c>
      <c r="S5" t="n">
        <v>20260714</v>
      </c>
      <c r="T5" t="n">
        <v>20301231</v>
      </c>
      <c r="U5" t="n">
        <v>180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56103637</v>
      </c>
      <c r="AD5" t="n">
        <v>6622261540</v>
      </c>
      <c r="AE5" t="n">
        <v>1</v>
      </c>
      <c r="AF5" t="inlineStr">
        <is>
          <t>ENTREGADO</t>
        </is>
      </c>
      <c r="AG5" t="n">
        <v>1.4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20260717</v>
      </c>
      <c r="AM5" t="inlineStr">
        <is>
          <t>D836-900003609-10000630</t>
        </is>
      </c>
    </row>
    <row r="6">
      <c r="A6" t="inlineStr">
        <is>
          <t>900006005D83610280049</t>
        </is>
      </c>
      <c r="B6" t="inlineStr">
        <is>
          <t>4600044358-60</t>
        </is>
      </c>
      <c r="C6" t="n">
        <v>4600044358</v>
      </c>
      <c r="D6" t="n">
        <v>60</v>
      </c>
      <c r="E6" t="inlineStr">
        <is>
          <t>MXPO</t>
        </is>
      </c>
      <c r="F6" t="inlineStr">
        <is>
          <t>MXL</t>
        </is>
      </c>
      <c r="G6" t="n">
        <v>900006005</v>
      </c>
      <c r="H6" t="inlineStr">
        <is>
          <t>SF TP-ESTRATEGIAS AVANZADAS</t>
        </is>
      </c>
      <c r="I6" t="n">
        <v>5049458</v>
      </c>
      <c r="J6" t="inlineStr">
        <is>
          <t>ESTRATEGIAS AVANZADAS PARA OBTEN</t>
        </is>
      </c>
      <c r="K6" t="inlineStr">
        <is>
          <t>Z03</t>
        </is>
      </c>
      <c r="L6" t="inlineStr">
        <is>
          <t>(AP) 15 Dias</t>
        </is>
      </c>
      <c r="M6" t="n">
        <v>10280049</v>
      </c>
      <c r="N6" t="inlineStr">
        <is>
          <t>MP B. HID CALIZA 40% FINOS Y 60% GRUESOS</t>
        </is>
      </c>
      <c r="O6" t="inlineStr">
        <is>
          <t>D836</t>
        </is>
      </c>
      <c r="P6" t="inlineStr">
        <is>
          <t>MX-CED. CENTRO</t>
        </is>
      </c>
      <c r="Q6" t="n">
        <v>20190325</v>
      </c>
      <c r="R6" t="n">
        <v>20241231</v>
      </c>
      <c r="S6" t="n">
        <v>20260709</v>
      </c>
      <c r="T6" t="n">
        <v>20301231</v>
      </c>
      <c r="U6" t="n">
        <v>106.13</v>
      </c>
      <c r="V6" t="inlineStr">
        <is>
          <t>MXN</t>
        </is>
      </c>
      <c r="W6" t="inlineStr">
        <is>
          <t>TN</t>
        </is>
      </c>
      <c r="X6" t="n">
        <v>0</v>
      </c>
      <c r="Y6" t="inlineStr">
        <is>
          <t>MXN</t>
        </is>
      </c>
      <c r="Z6" t="inlineStr">
        <is>
          <t>TN</t>
        </is>
      </c>
      <c r="AC6" t="n">
        <v>56103590</v>
      </c>
      <c r="AD6" t="n">
        <v>6622261540</v>
      </c>
      <c r="AE6" t="n">
        <v>1</v>
      </c>
      <c r="AF6" t="inlineStr">
        <is>
          <t>ENTREGADO</t>
        </is>
      </c>
      <c r="AG6" t="n">
        <v>1</v>
      </c>
      <c r="AH6" t="inlineStr">
        <is>
          <t>TO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20260710</v>
      </c>
      <c r="AM6" t="inlineStr">
        <is>
          <t>D836-900006005-10280049</t>
        </is>
      </c>
    </row>
    <row r="7">
      <c r="A7" t="inlineStr">
        <is>
          <t>900003599D8366738333710280049</t>
        </is>
      </c>
      <c r="B7" t="inlineStr">
        <is>
          <t>4600041240-130</t>
        </is>
      </c>
      <c r="C7" t="n">
        <v>4600041240</v>
      </c>
      <c r="D7" t="n">
        <v>130</v>
      </c>
      <c r="E7" t="inlineStr">
        <is>
          <t>MXPO</t>
        </is>
      </c>
      <c r="F7" t="inlineStr">
        <is>
          <t>MXL</t>
        </is>
      </c>
      <c r="G7" t="n">
        <v>900003599</v>
      </c>
      <c r="H7" t="inlineStr">
        <is>
          <t>TP-ED-ESTRATEGIAS AVANZADAS</t>
        </is>
      </c>
      <c r="I7" t="n">
        <v>5049458</v>
      </c>
      <c r="J7" t="inlineStr">
        <is>
          <t>ESTRATEGIAS AVANZADAS PARA OBTEN</t>
        </is>
      </c>
      <c r="K7" t="inlineStr">
        <is>
          <t>Z03</t>
        </is>
      </c>
      <c r="L7" t="inlineStr">
        <is>
          <t>(AP) 15 Dias</t>
        </is>
      </c>
      <c r="M7" t="n">
        <v>10280049</v>
      </c>
      <c r="N7" t="inlineStr">
        <is>
          <t>MP B. HID CALIZA 40% FINOS Y 60% GRUESOS</t>
        </is>
      </c>
      <c r="O7" t="inlineStr">
        <is>
          <t>D836</t>
        </is>
      </c>
      <c r="P7" t="inlineStr">
        <is>
          <t>MX-CED. CENTRO</t>
        </is>
      </c>
      <c r="Q7" t="n">
        <v>20180215</v>
      </c>
      <c r="R7" t="n">
        <v>20301231</v>
      </c>
      <c r="S7" t="n">
        <v>20260709</v>
      </c>
      <c r="T7" t="n">
        <v>20301231</v>
      </c>
      <c r="U7" t="n">
        <v>138.67</v>
      </c>
      <c r="V7" t="inlineStr">
        <is>
          <t>MXN</t>
        </is>
      </c>
      <c r="W7" t="inlineStr">
        <is>
          <t>TN</t>
        </is>
      </c>
      <c r="X7" t="n">
        <v>71.67</v>
      </c>
      <c r="Y7" t="inlineStr">
        <is>
          <t>MXN</t>
        </is>
      </c>
      <c r="Z7" t="inlineStr">
        <is>
          <t>TN</t>
        </is>
      </c>
      <c r="AA7" t="inlineStr">
        <is>
          <t>67383337</t>
        </is>
      </c>
      <c r="AB7" t="inlineStr">
        <is>
          <t>ORIENTAL YUHON IT (DSF)</t>
        </is>
      </c>
      <c r="AC7" t="n">
        <v>56103590</v>
      </c>
      <c r="AD7" t="n">
        <v>6622261540</v>
      </c>
      <c r="AE7" t="n">
        <v>4</v>
      </c>
      <c r="AF7" t="inlineStr">
        <is>
          <t>ENTREGA DIRECTA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20260713</v>
      </c>
      <c r="AM7" t="inlineStr">
        <is>
          <t>D836-900003599-67383337-10280049-4</t>
        </is>
      </c>
    </row>
    <row r="8">
      <c r="A8" t="inlineStr">
        <is>
          <t>900006371D8366709100410000357</t>
        </is>
      </c>
      <c r="B8" t="inlineStr">
        <is>
          <t>4600048255-210</t>
        </is>
      </c>
      <c r="C8" t="n">
        <v>4600048255</v>
      </c>
      <c r="D8" t="n">
        <v>210</v>
      </c>
      <c r="E8" t="inlineStr">
        <is>
          <t>MXPO</t>
        </is>
      </c>
      <c r="F8" t="inlineStr">
        <is>
          <t>MXL</t>
        </is>
      </c>
      <c r="G8" t="n">
        <v>900006371</v>
      </c>
      <c r="H8" t="inlineStr">
        <is>
          <t>SF TP-ED-TRIVOMEX</t>
        </is>
      </c>
      <c r="I8" t="n">
        <v>5033501</v>
      </c>
      <c r="J8" t="inlineStr">
        <is>
          <t>TRITURADOS VOLCANICOS DE MEXICO</t>
        </is>
      </c>
      <c r="K8" t="inlineStr">
        <is>
          <t>Z04</t>
        </is>
      </c>
      <c r="L8" t="inlineStr">
        <is>
          <t>(AP) 30 Dias</t>
        </is>
      </c>
      <c r="M8" t="n">
        <v>10000357</v>
      </c>
      <c r="N8" t="inlineStr">
        <is>
          <t>Grava Triturada Andesita 20 mm - 3/4"</t>
        </is>
      </c>
      <c r="O8" t="inlineStr">
        <is>
          <t>D836</t>
        </is>
      </c>
      <c r="P8" t="inlineStr">
        <is>
          <t>MX-CED. CENTRO</t>
        </is>
      </c>
      <c r="Q8" t="n">
        <v>20201015</v>
      </c>
      <c r="R8" t="n">
        <v>20291231</v>
      </c>
      <c r="S8" t="n">
        <v>20221109</v>
      </c>
      <c r="T8" t="n">
        <v>20271231</v>
      </c>
      <c r="U8" t="n">
        <v>263</v>
      </c>
      <c r="V8" t="inlineStr">
        <is>
          <t>MXN</t>
        </is>
      </c>
      <c r="W8" t="inlineStr">
        <is>
          <t>M3</t>
        </is>
      </c>
      <c r="X8" t="n">
        <v>160</v>
      </c>
      <c r="Y8" t="inlineStr">
        <is>
          <t>MXN</t>
        </is>
      </c>
      <c r="Z8" t="inlineStr">
        <is>
          <t>M3</t>
        </is>
      </c>
      <c r="AA8" t="inlineStr">
        <is>
          <t>67091004</t>
        </is>
      </c>
      <c r="AB8" t="inlineStr">
        <is>
          <t>PARQUE NACIONAL DE JUSTICIA (FISCAL</t>
        </is>
      </c>
      <c r="AC8" t="n">
        <v>56103637</v>
      </c>
      <c r="AD8" t="n">
        <v>6622261540</v>
      </c>
      <c r="AE8" t="n">
        <v>4</v>
      </c>
      <c r="AF8" t="inlineStr">
        <is>
          <t>ENTREGA DIRECTA</t>
        </is>
      </c>
      <c r="AG8" t="n">
        <v>1.326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D836-900006371-67091004-10000357-4</t>
        </is>
      </c>
    </row>
    <row r="9">
      <c r="A9" t="inlineStr">
        <is>
          <t>900006824D8366500394510192944</t>
        </is>
      </c>
      <c r="B9" t="inlineStr">
        <is>
          <t>4600048689-30</t>
        </is>
      </c>
      <c r="C9" t="n">
        <v>4600048689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900006824</v>
      </c>
      <c r="H9" t="inlineStr">
        <is>
          <t>SF TP-ED-SAN JUAN (HUDASA)</t>
        </is>
      </c>
      <c r="I9" t="n">
        <v>5054686</v>
      </c>
      <c r="J9" t="inlineStr">
        <is>
          <t>GRUPO MERCANTIL HUDASA SA DE CV</t>
        </is>
      </c>
      <c r="K9" t="inlineStr">
        <is>
          <t>N90</t>
        </is>
      </c>
      <c r="L9" t="inlineStr">
        <is>
          <t>(AP) NAFIN 90 Dias</t>
        </is>
      </c>
      <c r="M9" t="n">
        <v>10192944</v>
      </c>
      <c r="N9" t="inlineStr">
        <is>
          <t>GRAVA TRITURADA CALIZA 20 MM - 3/4" HD</t>
        </is>
      </c>
      <c r="O9" t="inlineStr">
        <is>
          <t>D836</t>
        </is>
      </c>
      <c r="P9" t="inlineStr">
        <is>
          <t>MX-CED. CENTRO</t>
        </is>
      </c>
      <c r="Q9" t="n">
        <v>20201217</v>
      </c>
      <c r="R9" t="n">
        <v>20291231</v>
      </c>
      <c r="S9" t="n">
        <v>20220307</v>
      </c>
      <c r="T9" t="n">
        <v>20271231</v>
      </c>
      <c r="U9" t="n">
        <v>479.05</v>
      </c>
      <c r="V9" t="inlineStr">
        <is>
          <t>MXN</t>
        </is>
      </c>
      <c r="W9" t="inlineStr">
        <is>
          <t>M3</t>
        </is>
      </c>
      <c r="X9" t="n">
        <v>350</v>
      </c>
      <c r="Y9" t="inlineStr">
        <is>
          <t>MXN</t>
        </is>
      </c>
      <c r="Z9" t="inlineStr">
        <is>
          <t>M3</t>
        </is>
      </c>
      <c r="AA9" t="inlineStr">
        <is>
          <t>65003945</t>
        </is>
      </c>
      <c r="AB9" t="inlineStr">
        <is>
          <t>(P) OBR-AGR PREMEZCLADOS (RRL)</t>
        </is>
      </c>
      <c r="AC9" t="n">
        <v>56103637</v>
      </c>
      <c r="AD9" t="n">
        <v>6622261540</v>
      </c>
      <c r="AE9" t="n">
        <v>4</v>
      </c>
      <c r="AF9" t="inlineStr">
        <is>
          <t>ENTREGA DIRECTA</t>
        </is>
      </c>
      <c r="AG9" t="n">
        <v>1.462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D836-900006824-65003945-10192944-4</t>
        </is>
      </c>
    </row>
    <row r="10">
      <c r="A10" t="inlineStr">
        <is>
          <t>900006542D8366624059610000651</t>
        </is>
      </c>
      <c r="B10" t="inlineStr">
        <is>
          <t>4600047341-410</t>
        </is>
      </c>
      <c r="C10" t="n">
        <v>4600047341</v>
      </c>
      <c r="D10" t="n">
        <v>410</v>
      </c>
      <c r="E10" t="inlineStr">
        <is>
          <t>MXPO</t>
        </is>
      </c>
      <c r="F10" t="inlineStr">
        <is>
          <t>MXL</t>
        </is>
      </c>
      <c r="G10" t="n">
        <v>900006542</v>
      </c>
      <c r="H10" t="inlineStr">
        <is>
          <t>TP-OLIELL TORTON</t>
        </is>
      </c>
      <c r="I10" t="n">
        <v>5048484</v>
      </c>
      <c r="J10" t="inlineStr">
        <is>
          <t>COMERCIALIZADORA Y TRANSPORTADORA O</t>
        </is>
      </c>
      <c r="K10" t="inlineStr">
        <is>
          <t>N90</t>
        </is>
      </c>
      <c r="L10" t="inlineStr">
        <is>
          <t>(AP) NAFIN 90 Dias</t>
        </is>
      </c>
      <c r="M10" t="n">
        <v>10000651</v>
      </c>
      <c r="N10" t="inlineStr">
        <is>
          <t>Arena Triturada Andesita Malla 8</t>
        </is>
      </c>
      <c r="O10" t="inlineStr">
        <is>
          <t>D836</t>
        </is>
      </c>
      <c r="P10" t="inlineStr">
        <is>
          <t>MX-CED. CENTRO</t>
        </is>
      </c>
      <c r="Q10" t="n">
        <v>20200615</v>
      </c>
      <c r="R10" t="n">
        <v>20281231</v>
      </c>
      <c r="S10" t="n">
        <v>20210205</v>
      </c>
      <c r="T10" t="n">
        <v>20291231</v>
      </c>
      <c r="U10" t="n">
        <v>210</v>
      </c>
      <c r="V10" t="inlineStr">
        <is>
          <t>MXN</t>
        </is>
      </c>
      <c r="W10" t="inlineStr">
        <is>
          <t>M3</t>
        </is>
      </c>
      <c r="X10" t="n">
        <v>135</v>
      </c>
      <c r="Y10" t="inlineStr">
        <is>
          <t>MXN</t>
        </is>
      </c>
      <c r="Z10" t="inlineStr">
        <is>
          <t>M3</t>
        </is>
      </c>
      <c r="AA10" t="inlineStr">
        <is>
          <t>66240596</t>
        </is>
      </c>
      <c r="AB10" t="inlineStr">
        <is>
          <t>DISTRIBUIDOR MATERIALES TRONCOSO</t>
        </is>
      </c>
      <c r="AC10" t="n">
        <v>56103638</v>
      </c>
      <c r="AD10" t="n">
        <v>6622261540</v>
      </c>
      <c r="AE10" t="n">
        <v>4</v>
      </c>
      <c r="AF10" t="inlineStr">
        <is>
          <t>ENTREGA DIRECTA</t>
        </is>
      </c>
      <c r="AG10" t="n">
        <v>1.35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D836-900006542-66240596-10000651-4</t>
        </is>
      </c>
    </row>
    <row r="11">
      <c r="A11" t="inlineStr">
        <is>
          <t>900006542D8366688514410187953</t>
        </is>
      </c>
      <c r="B11" t="inlineStr">
        <is>
          <t>4600047341-170</t>
        </is>
      </c>
      <c r="C11" t="n">
        <v>4600047341</v>
      </c>
      <c r="D11" t="n">
        <v>170</v>
      </c>
      <c r="E11" t="inlineStr">
        <is>
          <t>MXPO</t>
        </is>
      </c>
      <c r="F11" t="inlineStr">
        <is>
          <t>MXL</t>
        </is>
      </c>
      <c r="G11" t="n">
        <v>900006542</v>
      </c>
      <c r="H11" t="inlineStr">
        <is>
          <t>TP-OLIELL TORTON</t>
        </is>
      </c>
      <c r="I11" t="n">
        <v>5048484</v>
      </c>
      <c r="J11" t="inlineStr">
        <is>
          <t>COMERCIALIZADORA Y TRANSPORTADORA O</t>
        </is>
      </c>
      <c r="K11" t="inlineStr">
        <is>
          <t>N90</t>
        </is>
      </c>
      <c r="L11" t="inlineStr">
        <is>
          <t>(AP) NAFIN 90 Dias</t>
        </is>
      </c>
      <c r="M11" t="n">
        <v>10187953</v>
      </c>
      <c r="N11" t="inlineStr">
        <is>
          <t>TEZONTLE 10" A FINOS - NG</t>
        </is>
      </c>
      <c r="O11" t="inlineStr">
        <is>
          <t>D836</t>
        </is>
      </c>
      <c r="P11" t="inlineStr">
        <is>
          <t>MX-CED. CENTRO</t>
        </is>
      </c>
      <c r="Q11" t="n">
        <v>20200615</v>
      </c>
      <c r="R11" t="n">
        <v>20281231</v>
      </c>
      <c r="S11" t="n">
        <v>20200814</v>
      </c>
      <c r="T11" t="n">
        <v>20301231</v>
      </c>
      <c r="U11" t="n">
        <v>290</v>
      </c>
      <c r="V11" t="inlineStr">
        <is>
          <t>MXN</t>
        </is>
      </c>
      <c r="W11" t="inlineStr">
        <is>
          <t>M3</t>
        </is>
      </c>
      <c r="X11" t="n">
        <v>230</v>
      </c>
      <c r="Y11" t="inlineStr">
        <is>
          <t>MXN</t>
        </is>
      </c>
      <c r="Z11" t="inlineStr">
        <is>
          <t>M3</t>
        </is>
      </c>
      <c r="AA11" t="inlineStr">
        <is>
          <t>66885144</t>
        </is>
      </c>
      <c r="AB11" t="inlineStr">
        <is>
          <t>LA VICTORIA</t>
        </is>
      </c>
      <c r="AC11" t="n">
        <v>56103637</v>
      </c>
      <c r="AD11" t="n">
        <v>6622261540</v>
      </c>
      <c r="AE11" t="n">
        <v>4</v>
      </c>
      <c r="AF11" t="inlineStr">
        <is>
          <t>ENTREGA DIRECTA</t>
        </is>
      </c>
      <c r="AG11" t="n">
        <v>1.39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D836-900006542-66885144-10187953-4</t>
        </is>
      </c>
    </row>
    <row r="12">
      <c r="A12" t="inlineStr">
        <is>
          <t>900004077D8366683832610192909</t>
        </is>
      </c>
      <c r="B12" t="inlineStr">
        <is>
          <t>4600047844-430</t>
        </is>
      </c>
      <c r="C12" t="n">
        <v>4600047844</v>
      </c>
      <c r="D12" t="n">
        <v>430</v>
      </c>
      <c r="E12" t="inlineStr">
        <is>
          <t>MXPO</t>
        </is>
      </c>
      <c r="F12" t="inlineStr">
        <is>
          <t>MXL</t>
        </is>
      </c>
      <c r="G12" t="n">
        <v>900004077</v>
      </c>
      <c r="H12" t="inlineStr">
        <is>
          <t>TP-SAN JUAN (HUDASA)</t>
        </is>
      </c>
      <c r="I12" t="n">
        <v>5054686</v>
      </c>
      <c r="J12" t="inlineStr">
        <is>
          <t>GRUPO MERCANTIL HUDASA SA DE CV</t>
        </is>
      </c>
      <c r="K12" t="inlineStr">
        <is>
          <t>Z06</t>
        </is>
      </c>
      <c r="L12" t="inlineStr">
        <is>
          <t>(AP) 45 Dias</t>
        </is>
      </c>
      <c r="M12" t="n">
        <v>10192909</v>
      </c>
      <c r="N12" t="inlineStr">
        <is>
          <t>GRAVA TRITURADA ANDESITA 10 MM - 3/8" HD</t>
        </is>
      </c>
      <c r="O12" t="inlineStr">
        <is>
          <t>D836</t>
        </is>
      </c>
      <c r="P12" t="inlineStr">
        <is>
          <t>MX-CED. CENTRO</t>
        </is>
      </c>
      <c r="Q12" t="n">
        <v>20200825</v>
      </c>
      <c r="R12" t="n">
        <v>20301231</v>
      </c>
      <c r="S12" t="n">
        <v>20220422</v>
      </c>
      <c r="T12" t="n">
        <v>20271231</v>
      </c>
      <c r="U12" t="n">
        <v>292.35</v>
      </c>
      <c r="V12" t="inlineStr">
        <is>
          <t>MXN</t>
        </is>
      </c>
      <c r="W12" t="inlineStr">
        <is>
          <t>TN</t>
        </is>
      </c>
      <c r="X12" t="n">
        <v>190</v>
      </c>
      <c r="Y12" t="inlineStr">
        <is>
          <t>MXN</t>
        </is>
      </c>
      <c r="Z12" t="inlineStr">
        <is>
          <t>TN</t>
        </is>
      </c>
      <c r="AA12" t="inlineStr">
        <is>
          <t>66838326</t>
        </is>
      </c>
      <c r="AB12" t="inlineStr">
        <is>
          <t>OBRA FORD</t>
        </is>
      </c>
      <c r="AC12" t="n">
        <v>56103637</v>
      </c>
      <c r="AD12" t="n">
        <v>6622261540</v>
      </c>
      <c r="AE12" t="n">
        <v>4</v>
      </c>
      <c r="AF12" t="inlineStr">
        <is>
          <t>ENTREGA DIRECTA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D836-900004077-66838326-10192909-4</t>
        </is>
      </c>
    </row>
    <row r="13">
      <c r="A13" t="inlineStr">
        <is>
          <t>900003592D83610000623</t>
        </is>
      </c>
      <c r="B13" t="inlineStr">
        <is>
          <t>4600056899-40</t>
        </is>
      </c>
      <c r="C13" t="n">
        <v>4600056899</v>
      </c>
      <c r="D13" t="n">
        <v>40</v>
      </c>
      <c r="E13" t="inlineStr">
        <is>
          <t>MXPO</t>
        </is>
      </c>
      <c r="F13" t="inlineStr">
        <is>
          <t>MXL</t>
        </is>
      </c>
      <c r="G13" t="n">
        <v>900003592</v>
      </c>
      <c r="H13" t="inlineStr">
        <is>
          <t>TP-CAL DE APASCO</t>
        </is>
      </c>
      <c r="I13" t="n">
        <v>5002762</v>
      </c>
      <c r="J13" t="inlineStr">
        <is>
          <t>CAL DE APASCO SA</t>
        </is>
      </c>
      <c r="K13" t="inlineStr">
        <is>
          <t>N60</t>
        </is>
      </c>
      <c r="L13" t="inlineStr">
        <is>
          <t>(AP) NAFIN 60 Dias</t>
        </is>
      </c>
      <c r="M13" t="n">
        <v>10000623</v>
      </c>
      <c r="N13" t="inlineStr">
        <is>
          <t>Grava Triturada Caliza 10 mm - 3/8"</t>
        </is>
      </c>
      <c r="O13" t="inlineStr">
        <is>
          <t>D836</t>
        </is>
      </c>
      <c r="P13" t="inlineStr">
        <is>
          <t>MX-CED. CENTRO</t>
        </is>
      </c>
      <c r="Q13" t="n">
        <v>20230208</v>
      </c>
      <c r="R13" t="n">
        <v>20281231</v>
      </c>
      <c r="S13" t="n">
        <v>20250731</v>
      </c>
      <c r="T13" t="n">
        <v>20301231</v>
      </c>
      <c r="U13" t="n">
        <v>110</v>
      </c>
      <c r="V13" t="inlineStr">
        <is>
          <t>MXN</t>
        </is>
      </c>
      <c r="W13" t="inlineStr">
        <is>
          <t>TN</t>
        </is>
      </c>
      <c r="X13" t="n">
        <v>0</v>
      </c>
      <c r="Y13" t="inlineStr">
        <is>
          <t>MXN</t>
        </is>
      </c>
      <c r="Z13" t="inlineStr">
        <is>
          <t>TN</t>
        </is>
      </c>
      <c r="AC13" t="n">
        <v>56103637</v>
      </c>
      <c r="AD13" t="n">
        <v>6622261540</v>
      </c>
      <c r="AE13" t="n">
        <v>1</v>
      </c>
      <c r="AF13" t="inlineStr">
        <is>
          <t>ENTREGADO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20250804</v>
      </c>
      <c r="AM13" t="inlineStr">
        <is>
          <t>D836-900003592-10000623</t>
        </is>
      </c>
    </row>
    <row r="14">
      <c r="A14" t="inlineStr">
        <is>
          <t>900003592D83610257024</t>
        </is>
      </c>
      <c r="B14" t="inlineStr">
        <is>
          <t>4600056899-30</t>
        </is>
      </c>
      <c r="C14" t="n">
        <v>4600056899</v>
      </c>
      <c r="D14" t="n">
        <v>30</v>
      </c>
      <c r="E14" t="inlineStr">
        <is>
          <t>MXPO</t>
        </is>
      </c>
      <c r="F14" t="inlineStr">
        <is>
          <t>MXL</t>
        </is>
      </c>
      <c r="G14" t="n">
        <v>900003592</v>
      </c>
      <c r="H14" t="inlineStr">
        <is>
          <t>TP-CAL DE APASCO</t>
        </is>
      </c>
      <c r="I14" t="n">
        <v>5002762</v>
      </c>
      <c r="J14" t="inlineStr">
        <is>
          <t>CAL DE APASCO SA</t>
        </is>
      </c>
      <c r="K14" t="inlineStr">
        <is>
          <t>N60</t>
        </is>
      </c>
      <c r="L14" t="inlineStr">
        <is>
          <t>(AP) NAFIN 60 Dias</t>
        </is>
      </c>
      <c r="M14" t="n">
        <v>10257024</v>
      </c>
      <c r="N14" t="inlineStr">
        <is>
          <t>ARENA TRITURADA CALIZA 4</t>
        </is>
      </c>
      <c r="O14" t="inlineStr">
        <is>
          <t>D836</t>
        </is>
      </c>
      <c r="P14" t="inlineStr">
        <is>
          <t>MX-CED. CENTRO</t>
        </is>
      </c>
      <c r="Q14" t="n">
        <v>20230208</v>
      </c>
      <c r="R14" t="n">
        <v>20281231</v>
      </c>
      <c r="S14" t="n">
        <v>20250731</v>
      </c>
      <c r="T14" t="n">
        <v>20301231</v>
      </c>
      <c r="U14" t="n">
        <v>115</v>
      </c>
      <c r="V14" t="inlineStr">
        <is>
          <t>MXN</t>
        </is>
      </c>
      <c r="W14" t="inlineStr">
        <is>
          <t>TN</t>
        </is>
      </c>
      <c r="X14" t="n">
        <v>0</v>
      </c>
      <c r="Y14" t="inlineStr">
        <is>
          <t>MXN</t>
        </is>
      </c>
      <c r="Z14" t="inlineStr">
        <is>
          <t>TN</t>
        </is>
      </c>
      <c r="AC14" t="n">
        <v>56103638</v>
      </c>
      <c r="AD14" t="n">
        <v>6622261540</v>
      </c>
      <c r="AE14" t="n">
        <v>1</v>
      </c>
      <c r="AF14" t="inlineStr">
        <is>
          <t>ENTREGADO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20250804</v>
      </c>
      <c r="AM14" t="inlineStr">
        <is>
          <t>D836-900003592-10257024</t>
        </is>
      </c>
    </row>
    <row r="15">
      <c r="A15" t="inlineStr">
        <is>
          <t>900006824D8366649096010000623</t>
        </is>
      </c>
      <c r="B15" t="inlineStr">
        <is>
          <t>4600048689-10</t>
        </is>
      </c>
      <c r="C15" t="n">
        <v>4600048689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900006824</v>
      </c>
      <c r="H15" t="inlineStr">
        <is>
          <t>SF TP-ED-SAN JUAN (HUDASA)</t>
        </is>
      </c>
      <c r="I15" t="n">
        <v>5054686</v>
      </c>
      <c r="J15" t="inlineStr">
        <is>
          <t>GRUPO MERCANTIL HUDASA SA DE CV</t>
        </is>
      </c>
      <c r="K15" t="inlineStr">
        <is>
          <t>N90</t>
        </is>
      </c>
      <c r="L15" t="inlineStr">
        <is>
          <t>(AP) NAFIN 90 Dias</t>
        </is>
      </c>
      <c r="M15" t="n">
        <v>10000623</v>
      </c>
      <c r="N15" t="inlineStr">
        <is>
          <t>Grava Triturada Caliza 10 mm - 3/8"</t>
        </is>
      </c>
      <c r="O15" t="inlineStr">
        <is>
          <t>D836</t>
        </is>
      </c>
      <c r="P15" t="inlineStr">
        <is>
          <t>MX-CED. CENTRO</t>
        </is>
      </c>
      <c r="Q15" t="n">
        <v>20201217</v>
      </c>
      <c r="R15" t="n">
        <v>20291231</v>
      </c>
      <c r="S15" t="n">
        <v>20201217</v>
      </c>
      <c r="T15" t="n">
        <v>20291231</v>
      </c>
      <c r="U15" t="n">
        <v>240</v>
      </c>
      <c r="V15" t="inlineStr">
        <is>
          <t>MXN</t>
        </is>
      </c>
      <c r="W15" t="inlineStr">
        <is>
          <t>M3</t>
        </is>
      </c>
      <c r="X15" t="n">
        <v>130</v>
      </c>
      <c r="Y15" t="inlineStr">
        <is>
          <t>MXN</t>
        </is>
      </c>
      <c r="Z15" t="inlineStr">
        <is>
          <t>M3</t>
        </is>
      </c>
      <c r="AA15" t="inlineStr">
        <is>
          <t>66490960</t>
        </is>
      </c>
      <c r="AB15" t="inlineStr">
        <is>
          <t>OBR-AGR ARMACONCRETO HUEHUETOCA</t>
        </is>
      </c>
      <c r="AC15" t="n">
        <v>56103637</v>
      </c>
      <c r="AD15" t="n">
        <v>6622261540</v>
      </c>
      <c r="AE15" t="n">
        <v>4</v>
      </c>
      <c r="AF15" t="inlineStr">
        <is>
          <t>ENTREGA DIRECTA</t>
        </is>
      </c>
      <c r="AG15" t="n">
        <v>1.41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D836-900006824-66490960-10000623-4</t>
        </is>
      </c>
    </row>
    <row r="16">
      <c r="A16" t="inlineStr">
        <is>
          <t>900003786D8366656665210000635</t>
        </is>
      </c>
      <c r="B16" t="inlineStr">
        <is>
          <t>4600034392-70</t>
        </is>
      </c>
      <c r="C16" t="n">
        <v>4600034392</v>
      </c>
      <c r="D16" t="n">
        <v>70</v>
      </c>
      <c r="E16" t="inlineStr">
        <is>
          <t>MXPO</t>
        </is>
      </c>
      <c r="F16" t="inlineStr">
        <is>
          <t>MXL</t>
        </is>
      </c>
      <c r="G16" t="n">
        <v>900003786</v>
      </c>
      <c r="H16" t="inlineStr">
        <is>
          <t>TP-TRIMCAV</t>
        </is>
      </c>
      <c r="I16" t="n">
        <v>5010147</v>
      </c>
      <c r="J16" t="inlineStr">
        <is>
          <t>TRITURACIONES DE MARMOL Y CALCIOS</t>
        </is>
      </c>
      <c r="K16" t="inlineStr">
        <is>
          <t>Z04</t>
        </is>
      </c>
      <c r="L16" t="inlineStr">
        <is>
          <t>(AP) 30 Dias</t>
        </is>
      </c>
      <c r="M16" t="n">
        <v>10000635</v>
      </c>
      <c r="N16" t="inlineStr">
        <is>
          <t>Arena Triturada Marmol Malla 4</t>
        </is>
      </c>
      <c r="O16" t="inlineStr">
        <is>
          <t>D836</t>
        </is>
      </c>
      <c r="P16" t="inlineStr">
        <is>
          <t>MX-CED. CENTRO</t>
        </is>
      </c>
      <c r="Q16" t="n">
        <v>20160627</v>
      </c>
      <c r="R16" t="n">
        <v>20241231</v>
      </c>
      <c r="S16" t="n">
        <v>20180830</v>
      </c>
      <c r="T16" t="n">
        <v>20241231</v>
      </c>
      <c r="U16" t="n">
        <v>731.5</v>
      </c>
      <c r="V16" t="inlineStr">
        <is>
          <t>MXN</t>
        </is>
      </c>
      <c r="W16" t="inlineStr">
        <is>
          <t>TN</t>
        </is>
      </c>
      <c r="X16" t="n">
        <v>350</v>
      </c>
      <c r="Y16" t="inlineStr">
        <is>
          <t>MXN</t>
        </is>
      </c>
      <c r="Z16" t="inlineStr">
        <is>
          <t>TN</t>
        </is>
      </c>
      <c r="AA16" t="inlineStr">
        <is>
          <t>66566652</t>
        </is>
      </c>
      <c r="AB16" t="inlineStr">
        <is>
          <t>EDUARDO MOLINA #113 (OMC)</t>
        </is>
      </c>
      <c r="AC16" t="n">
        <v>56103638</v>
      </c>
      <c r="AD16" t="n">
        <v>6622261540</v>
      </c>
      <c r="AE16" t="n">
        <v>4</v>
      </c>
      <c r="AF16" t="inlineStr">
        <is>
          <t>ENTREGA DIRECTA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D836-900003786-66566652-10000635-4</t>
        </is>
      </c>
    </row>
    <row r="17">
      <c r="A17" t="inlineStr">
        <is>
          <t>900006542D8366691209010000206</t>
        </is>
      </c>
      <c r="B17" t="inlineStr">
        <is>
          <t>4600047341-240</t>
        </is>
      </c>
      <c r="C17" t="n">
        <v>4600047341</v>
      </c>
      <c r="D17" t="n">
        <v>240</v>
      </c>
      <c r="E17" t="inlineStr">
        <is>
          <t>MXPO</t>
        </is>
      </c>
      <c r="F17" t="inlineStr">
        <is>
          <t>MXL</t>
        </is>
      </c>
      <c r="G17" t="n">
        <v>900006542</v>
      </c>
      <c r="H17" t="inlineStr">
        <is>
          <t>TP-OLIELL TORTON</t>
        </is>
      </c>
      <c r="I17" t="n">
        <v>5048484</v>
      </c>
      <c r="J17" t="inlineStr">
        <is>
          <t>COMERCIALIZADORA Y TRANSPORTADORA O</t>
        </is>
      </c>
      <c r="K17" t="inlineStr">
        <is>
          <t>N90</t>
        </is>
      </c>
      <c r="L17" t="inlineStr">
        <is>
          <t>(AP) NAFIN 90 Dias</t>
        </is>
      </c>
      <c r="M17" t="n">
        <v>10000206</v>
      </c>
      <c r="N17" t="inlineStr">
        <is>
          <t>Tepetate Triturado Tierra NA</t>
        </is>
      </c>
      <c r="O17" t="inlineStr">
        <is>
          <t>D836</t>
        </is>
      </c>
      <c r="P17" t="inlineStr">
        <is>
          <t>MX-CED. CENTRO</t>
        </is>
      </c>
      <c r="Q17" t="n">
        <v>20200615</v>
      </c>
      <c r="R17" t="n">
        <v>20281231</v>
      </c>
      <c r="S17" t="n">
        <v>20201030</v>
      </c>
      <c r="T17" t="n">
        <v>20291231</v>
      </c>
      <c r="U17" t="n">
        <v>125</v>
      </c>
      <c r="V17" t="inlineStr">
        <is>
          <t>MXN</t>
        </is>
      </c>
      <c r="W17" t="inlineStr">
        <is>
          <t>M3</t>
        </is>
      </c>
      <c r="X17" t="n">
        <v>95</v>
      </c>
      <c r="Y17" t="inlineStr">
        <is>
          <t>MXN</t>
        </is>
      </c>
      <c r="Z17" t="inlineStr">
        <is>
          <t>M3</t>
        </is>
      </c>
      <c r="AA17" t="inlineStr">
        <is>
          <t>66912090</t>
        </is>
      </c>
      <c r="AB17" t="inlineStr">
        <is>
          <t>PATIO TLALPIZAHUAC CHALCO</t>
        </is>
      </c>
      <c r="AC17" t="n">
        <v>56103695</v>
      </c>
      <c r="AD17" t="n">
        <v>6622261540</v>
      </c>
      <c r="AE17" t="n">
        <v>4</v>
      </c>
      <c r="AF17" t="inlineStr">
        <is>
          <t>ENTREGA DIRECTA</t>
        </is>
      </c>
      <c r="AG17" t="n">
        <v>1.249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D836-900006542-66912090-10000206-4</t>
        </is>
      </c>
    </row>
    <row r="18">
      <c r="A18" t="inlineStr">
        <is>
          <t>900006824D8366500394510192943</t>
        </is>
      </c>
      <c r="B18" t="inlineStr">
        <is>
          <t>4600048689-40</t>
        </is>
      </c>
      <c r="C18" t="n">
        <v>4600048689</v>
      </c>
      <c r="D18" t="n">
        <v>40</v>
      </c>
      <c r="E18" t="inlineStr">
        <is>
          <t>MXPO</t>
        </is>
      </c>
      <c r="F18" t="inlineStr">
        <is>
          <t>MXL</t>
        </is>
      </c>
      <c r="G18" t="n">
        <v>900006824</v>
      </c>
      <c r="H18" t="inlineStr">
        <is>
          <t>SF TP-ED-SAN JUAN (HUDASA)</t>
        </is>
      </c>
      <c r="I18" t="n">
        <v>5054686</v>
      </c>
      <c r="J18" t="inlineStr">
        <is>
          <t>GRUPO MERCANTIL HUDASA SA DE CV</t>
        </is>
      </c>
      <c r="K18" t="inlineStr">
        <is>
          <t>N90</t>
        </is>
      </c>
      <c r="L18" t="inlineStr">
        <is>
          <t>(AP) NAFIN 90 Dias</t>
        </is>
      </c>
      <c r="M18" t="n">
        <v>10192943</v>
      </c>
      <c r="N18" t="inlineStr">
        <is>
          <t>GRAVA TRITURADA CALIZA 40 MM - 1 1/2" HD</t>
        </is>
      </c>
      <c r="O18" t="inlineStr">
        <is>
          <t>D836</t>
        </is>
      </c>
      <c r="P18" t="inlineStr">
        <is>
          <t>MX-CED. CENTRO</t>
        </is>
      </c>
      <c r="Q18" t="n">
        <v>20201217</v>
      </c>
      <c r="R18" t="n">
        <v>20291231</v>
      </c>
      <c r="S18" t="n">
        <v>20220307</v>
      </c>
      <c r="T18" t="n">
        <v>20271231</v>
      </c>
      <c r="U18" t="n">
        <v>489.5</v>
      </c>
      <c r="V18" t="inlineStr">
        <is>
          <t>MXN</t>
        </is>
      </c>
      <c r="W18" t="inlineStr">
        <is>
          <t>M3</t>
        </is>
      </c>
      <c r="X18" t="n">
        <v>350</v>
      </c>
      <c r="Y18" t="inlineStr">
        <is>
          <t>MXN</t>
        </is>
      </c>
      <c r="Z18" t="inlineStr">
        <is>
          <t>M3</t>
        </is>
      </c>
      <c r="AA18" t="inlineStr">
        <is>
          <t>65003945</t>
        </is>
      </c>
      <c r="AB18" t="inlineStr">
        <is>
          <t>(P) OBR-AGR PREMEZCLADOS (RRL)</t>
        </is>
      </c>
      <c r="AC18" t="n">
        <v>56103637</v>
      </c>
      <c r="AD18" t="n">
        <v>6622261540</v>
      </c>
      <c r="AE18" t="n">
        <v>4</v>
      </c>
      <c r="AF18" t="inlineStr">
        <is>
          <t>ENTREGA DIRECTA</t>
        </is>
      </c>
      <c r="AG18" t="n">
        <v>1.478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D836-900006824-65003945-10192943-4</t>
        </is>
      </c>
    </row>
    <row r="19">
      <c r="A19" t="inlineStr">
        <is>
          <t>900006542D8366624059610000160</t>
        </is>
      </c>
      <c r="B19" t="inlineStr">
        <is>
          <t>4600047341-390</t>
        </is>
      </c>
      <c r="C19" t="n">
        <v>4600047341</v>
      </c>
      <c r="D19" t="n">
        <v>390</v>
      </c>
      <c r="E19" t="inlineStr">
        <is>
          <t>MXPO</t>
        </is>
      </c>
      <c r="F19" t="inlineStr">
        <is>
          <t>MXL</t>
        </is>
      </c>
      <c r="G19" t="n">
        <v>900006542</v>
      </c>
      <c r="H19" t="inlineStr">
        <is>
          <t>TP-OLIELL TORTON</t>
        </is>
      </c>
      <c r="I19" t="n">
        <v>5048484</v>
      </c>
      <c r="J19" t="inlineStr">
        <is>
          <t>COMERCIALIZADORA Y TRANSPORTADORA O</t>
        </is>
      </c>
      <c r="K19" t="inlineStr">
        <is>
          <t>N90</t>
        </is>
      </c>
      <c r="L19" t="inlineStr">
        <is>
          <t>(AP) NAFIN 90 Dias</t>
        </is>
      </c>
      <c r="M19" t="n">
        <v>10000160</v>
      </c>
      <c r="N19" t="inlineStr">
        <is>
          <t>Arena Triturada Andesita Malla 4</t>
        </is>
      </c>
      <c r="O19" t="inlineStr">
        <is>
          <t>D836</t>
        </is>
      </c>
      <c r="P19" t="inlineStr">
        <is>
          <t>MX-CED. CENTRO</t>
        </is>
      </c>
      <c r="Q19" t="n">
        <v>20200615</v>
      </c>
      <c r="R19" t="n">
        <v>20281231</v>
      </c>
      <c r="S19" t="n">
        <v>20210205</v>
      </c>
      <c r="T19" t="n">
        <v>20291231</v>
      </c>
      <c r="U19" t="n">
        <v>235</v>
      </c>
      <c r="V19" t="inlineStr">
        <is>
          <t>MXN</t>
        </is>
      </c>
      <c r="W19" t="inlineStr">
        <is>
          <t>M3</t>
        </is>
      </c>
      <c r="X19" t="n">
        <v>135</v>
      </c>
      <c r="Y19" t="inlineStr">
        <is>
          <t>MXN</t>
        </is>
      </c>
      <c r="Z19" t="inlineStr">
        <is>
          <t>M3</t>
        </is>
      </c>
      <c r="AA19" t="inlineStr">
        <is>
          <t>66240596</t>
        </is>
      </c>
      <c r="AB19" t="inlineStr">
        <is>
          <t>DISTRIBUIDOR MATERIALES TRONCOSO</t>
        </is>
      </c>
      <c r="AC19" t="n">
        <v>56103638</v>
      </c>
      <c r="AD19" t="n">
        <v>6622261540</v>
      </c>
      <c r="AE19" t="n">
        <v>4</v>
      </c>
      <c r="AF19" t="inlineStr">
        <is>
          <t>ENTREGA DIRECTA</t>
        </is>
      </c>
      <c r="AG19" t="n">
        <v>1.409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D836-900006542-66240596-10000160-4</t>
        </is>
      </c>
    </row>
    <row r="20">
      <c r="A20" t="inlineStr">
        <is>
          <t>900006542D8366624059610000357</t>
        </is>
      </c>
      <c r="B20" t="inlineStr">
        <is>
          <t>4600047341-400</t>
        </is>
      </c>
      <c r="C20" t="n">
        <v>4600047341</v>
      </c>
      <c r="D20" t="n">
        <v>400</v>
      </c>
      <c r="E20" t="inlineStr">
        <is>
          <t>MXPO</t>
        </is>
      </c>
      <c r="F20" t="inlineStr">
        <is>
          <t>MXL</t>
        </is>
      </c>
      <c r="G20" t="n">
        <v>900006542</v>
      </c>
      <c r="H20" t="inlineStr">
        <is>
          <t>TP-OLIELL TORTON</t>
        </is>
      </c>
      <c r="I20" t="n">
        <v>5048484</v>
      </c>
      <c r="J20" t="inlineStr">
        <is>
          <t>COMERCIALIZADORA Y TRANSPORTADORA O</t>
        </is>
      </c>
      <c r="K20" t="inlineStr">
        <is>
          <t>N90</t>
        </is>
      </c>
      <c r="L20" t="inlineStr">
        <is>
          <t>(AP) NAFIN 90 Dias</t>
        </is>
      </c>
      <c r="M20" t="n">
        <v>10000357</v>
      </c>
      <c r="N20" t="inlineStr">
        <is>
          <t>Grava Triturada Andesita 20 mm - 3/4"</t>
        </is>
      </c>
      <c r="O20" t="inlineStr">
        <is>
          <t>D836</t>
        </is>
      </c>
      <c r="P20" t="inlineStr">
        <is>
          <t>MX-CED. CENTRO</t>
        </is>
      </c>
      <c r="Q20" t="n">
        <v>20200615</v>
      </c>
      <c r="R20" t="n">
        <v>20281231</v>
      </c>
      <c r="S20" t="n">
        <v>20210205</v>
      </c>
      <c r="T20" t="n">
        <v>20291231</v>
      </c>
      <c r="U20" t="n">
        <v>245</v>
      </c>
      <c r="V20" t="inlineStr">
        <is>
          <t>MXN</t>
        </is>
      </c>
      <c r="W20" t="inlineStr">
        <is>
          <t>M3</t>
        </is>
      </c>
      <c r="X20" t="n">
        <v>135</v>
      </c>
      <c r="Y20" t="inlineStr">
        <is>
          <t>MXN</t>
        </is>
      </c>
      <c r="Z20" t="inlineStr">
        <is>
          <t>M3</t>
        </is>
      </c>
      <c r="AA20" t="inlineStr">
        <is>
          <t>66240596</t>
        </is>
      </c>
      <c r="AB20" t="inlineStr">
        <is>
          <t>DISTRIBUIDOR MATERIALES TRONCOSO</t>
        </is>
      </c>
      <c r="AC20" t="n">
        <v>56103637</v>
      </c>
      <c r="AD20" t="n">
        <v>6622261540</v>
      </c>
      <c r="AE20" t="n">
        <v>4</v>
      </c>
      <c r="AF20" t="inlineStr">
        <is>
          <t>ENTREGA DIRECTA</t>
        </is>
      </c>
      <c r="AG20" t="n">
        <v>1.326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D836-900006542-66240596-10000357-4</t>
        </is>
      </c>
    </row>
    <row r="21">
      <c r="A21" t="inlineStr">
        <is>
          <t>900004365D8366701980210000287</t>
        </is>
      </c>
      <c r="B21" t="inlineStr">
        <is>
          <t>4600053008-10</t>
        </is>
      </c>
      <c r="C21" t="n">
        <v>4600053008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900004365</v>
      </c>
      <c r="H21" t="inlineStr">
        <is>
          <t>TP-ED-DOS CERROS</t>
        </is>
      </c>
      <c r="I21" t="n">
        <v>5036168</v>
      </c>
      <c r="J21" t="inlineStr">
        <is>
          <t>TRITURADOS DOS CERROS SA DE CV</t>
        </is>
      </c>
      <c r="K21" t="inlineStr">
        <is>
          <t>Z04</t>
        </is>
      </c>
      <c r="L21" t="inlineStr">
        <is>
          <t>(AP) 30 Dias</t>
        </is>
      </c>
      <c r="M21" t="n">
        <v>10000287</v>
      </c>
      <c r="N21" t="inlineStr">
        <is>
          <t>Grava Triturada Basalto  40 mm - 1 1/2"</t>
        </is>
      </c>
      <c r="O21" t="inlineStr">
        <is>
          <t>D836</t>
        </is>
      </c>
      <c r="P21" t="inlineStr">
        <is>
          <t>MX-CED. CENTRO</t>
        </is>
      </c>
      <c r="Q21" t="n">
        <v>20220128</v>
      </c>
      <c r="R21" t="n">
        <v>20281231</v>
      </c>
      <c r="S21" t="n">
        <v>20220128</v>
      </c>
      <c r="T21" t="n">
        <v>20271231</v>
      </c>
      <c r="U21" t="n">
        <v>985.71</v>
      </c>
      <c r="V21" t="inlineStr">
        <is>
          <t>MXN</t>
        </is>
      </c>
      <c r="W21" t="inlineStr">
        <is>
          <t>M3</t>
        </is>
      </c>
      <c r="X21" t="n">
        <v>500</v>
      </c>
      <c r="Y21" t="inlineStr">
        <is>
          <t>MXN</t>
        </is>
      </c>
      <c r="Z21" t="inlineStr">
        <is>
          <t>M3</t>
        </is>
      </c>
      <c r="AA21" t="inlineStr">
        <is>
          <t>67019802</t>
        </is>
      </c>
      <c r="AB21" t="inlineStr">
        <is>
          <t>H colegio Militar E.2</t>
        </is>
      </c>
      <c r="AC21" t="n">
        <v>56103637</v>
      </c>
      <c r="AD21" t="n">
        <v>6622261540</v>
      </c>
      <c r="AE21" t="n">
        <v>4</v>
      </c>
      <c r="AF21" t="inlineStr">
        <is>
          <t>ENTREGA DIRECTA</t>
        </is>
      </c>
      <c r="AG21" t="n">
        <v>1.44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D836-900004365-67019802-10000287-4</t>
        </is>
      </c>
    </row>
    <row r="22">
      <c r="A22" t="inlineStr">
        <is>
          <t>900006371D8366709100410019515</t>
        </is>
      </c>
      <c r="B22" t="inlineStr">
        <is>
          <t>4600048255-220</t>
        </is>
      </c>
      <c r="C22" t="n">
        <v>4600048255</v>
      </c>
      <c r="D22" t="n">
        <v>220</v>
      </c>
      <c r="E22" t="inlineStr">
        <is>
          <t>MXPO</t>
        </is>
      </c>
      <c r="F22" t="inlineStr">
        <is>
          <t>MXL</t>
        </is>
      </c>
      <c r="G22" t="n">
        <v>900006371</v>
      </c>
      <c r="H22" t="inlineStr">
        <is>
          <t>SF TP-ED-TRIVOMEX</t>
        </is>
      </c>
      <c r="I22" t="n">
        <v>5033501</v>
      </c>
      <c r="J22" t="inlineStr">
        <is>
          <t>TRITURADOS VOLCANICOS DE MEXICO</t>
        </is>
      </c>
      <c r="K22" t="inlineStr">
        <is>
          <t>Z04</t>
        </is>
      </c>
      <c r="L22" t="inlineStr">
        <is>
          <t>(AP) 30 Dias</t>
        </is>
      </c>
      <c r="M22" t="n">
        <v>10019515</v>
      </c>
      <c r="N22" t="inlineStr">
        <is>
          <t>Grava Triturada Tezontle 20mm - 3/4"</t>
        </is>
      </c>
      <c r="O22" t="inlineStr">
        <is>
          <t>D836</t>
        </is>
      </c>
      <c r="P22" t="inlineStr">
        <is>
          <t>MX-CED. CENTRO</t>
        </is>
      </c>
      <c r="Q22" t="n">
        <v>20201015</v>
      </c>
      <c r="R22" t="n">
        <v>20291231</v>
      </c>
      <c r="S22" t="n">
        <v>20221109</v>
      </c>
      <c r="T22" t="n">
        <v>20271231</v>
      </c>
      <c r="U22" t="n">
        <v>255</v>
      </c>
      <c r="V22" t="inlineStr">
        <is>
          <t>MXN</t>
        </is>
      </c>
      <c r="W22" t="inlineStr">
        <is>
          <t>M3</t>
        </is>
      </c>
      <c r="X22" t="n">
        <v>160</v>
      </c>
      <c r="Y22" t="inlineStr">
        <is>
          <t>MXN</t>
        </is>
      </c>
      <c r="Z22" t="inlineStr">
        <is>
          <t>M3</t>
        </is>
      </c>
      <c r="AA22" t="inlineStr">
        <is>
          <t>67091004</t>
        </is>
      </c>
      <c r="AB22" t="inlineStr">
        <is>
          <t>PARQUE NACIONAL DE JUSTICIA (FISCAL</t>
        </is>
      </c>
      <c r="AC22" t="n">
        <v>56103637</v>
      </c>
      <c r="AD22" t="n">
        <v>6622261540</v>
      </c>
      <c r="AE22" t="n">
        <v>4</v>
      </c>
      <c r="AF22" t="inlineStr">
        <is>
          <t>ENTREGA DIRECTA</t>
        </is>
      </c>
      <c r="AG22" t="n">
        <v>1.3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D836-900006371-67091004-10019515-4</t>
        </is>
      </c>
    </row>
    <row r="23">
      <c r="A23" t="inlineStr">
        <is>
          <t>900004323D8366544038410000160</t>
        </is>
      </c>
      <c r="B23" t="inlineStr">
        <is>
          <t>4600039874-130</t>
        </is>
      </c>
      <c r="C23" t="n">
        <v>4600039874</v>
      </c>
      <c r="D23" t="n">
        <v>130</v>
      </c>
      <c r="E23" t="inlineStr">
        <is>
          <t>MXPO</t>
        </is>
      </c>
      <c r="F23" t="inlineStr">
        <is>
          <t>MXL</t>
        </is>
      </c>
      <c r="G23" t="n">
        <v>900004323</v>
      </c>
      <c r="H23" t="inlineStr">
        <is>
          <t>TP-LAS TRANCAS</t>
        </is>
      </c>
      <c r="I23" t="n">
        <v>5047262</v>
      </c>
      <c r="J23" t="inlineStr">
        <is>
          <t>AGREGADOS PETREOS SAN CRISTOBAL</t>
        </is>
      </c>
      <c r="K23" t="inlineStr">
        <is>
          <t>Z03</t>
        </is>
      </c>
      <c r="L23" t="inlineStr">
        <is>
          <t>(AP) 15 Dias</t>
        </is>
      </c>
      <c r="M23" t="n">
        <v>10000160</v>
      </c>
      <c r="N23" t="inlineStr">
        <is>
          <t>Arena Triturada Andesita Malla 4</t>
        </is>
      </c>
      <c r="O23" t="inlineStr">
        <is>
          <t>D836</t>
        </is>
      </c>
      <c r="P23" t="inlineStr">
        <is>
          <t>MX-CED. CENTRO</t>
        </is>
      </c>
      <c r="Q23" t="n">
        <v>20170927</v>
      </c>
      <c r="R23" t="n">
        <v>20281231</v>
      </c>
      <c r="S23" t="n">
        <v>20190822</v>
      </c>
      <c r="T23" t="n">
        <v>20241231</v>
      </c>
      <c r="U23" t="n">
        <v>176.5</v>
      </c>
      <c r="V23" t="inlineStr">
        <is>
          <t>MXN</t>
        </is>
      </c>
      <c r="W23" t="inlineStr">
        <is>
          <t>M3</t>
        </is>
      </c>
      <c r="X23" t="n">
        <v>95</v>
      </c>
      <c r="Y23" t="inlineStr">
        <is>
          <t>MXN</t>
        </is>
      </c>
      <c r="Z23" t="inlineStr">
        <is>
          <t>M3</t>
        </is>
      </c>
      <c r="AA23" t="inlineStr">
        <is>
          <t>65440384</t>
        </is>
      </c>
      <c r="AB23" t="inlineStr">
        <is>
          <t>INDUSTRIAL BLOQUERA MEXICANA SA DE</t>
        </is>
      </c>
      <c r="AC23" t="n">
        <v>56103638</v>
      </c>
      <c r="AD23" t="n">
        <v>6622261540</v>
      </c>
      <c r="AE23" t="n">
        <v>4</v>
      </c>
      <c r="AF23" t="inlineStr">
        <is>
          <t>ENTREGA DIRECTA</t>
        </is>
      </c>
      <c r="AG23" t="n">
        <v>1.409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D836-900004323-65440384-10000160-4</t>
        </is>
      </c>
    </row>
    <row r="24">
      <c r="A24" t="inlineStr">
        <is>
          <t>900006542D8366683856110000160</t>
        </is>
      </c>
      <c r="B24" t="inlineStr">
        <is>
          <t>4600047341-320</t>
        </is>
      </c>
      <c r="C24" t="n">
        <v>4600047341</v>
      </c>
      <c r="D24" t="n">
        <v>320</v>
      </c>
      <c r="E24" t="inlineStr">
        <is>
          <t>MXPO</t>
        </is>
      </c>
      <c r="F24" t="inlineStr">
        <is>
          <t>MXL</t>
        </is>
      </c>
      <c r="G24" t="n">
        <v>900006542</v>
      </c>
      <c r="H24" t="inlineStr">
        <is>
          <t>TP-OLIELL TORTON</t>
        </is>
      </c>
      <c r="I24" t="n">
        <v>5048484</v>
      </c>
      <c r="J24" t="inlineStr">
        <is>
          <t>COMERCIALIZADORA Y TRANSPORTADORA O</t>
        </is>
      </c>
      <c r="K24" t="inlineStr">
        <is>
          <t>N90</t>
        </is>
      </c>
      <c r="L24" t="inlineStr">
        <is>
          <t>(AP) NAFIN 90 Dias</t>
        </is>
      </c>
      <c r="M24" t="n">
        <v>10000160</v>
      </c>
      <c r="N24" t="inlineStr">
        <is>
          <t>Arena Triturada Andesita Malla 4</t>
        </is>
      </c>
      <c r="O24" t="inlineStr">
        <is>
          <t>D836</t>
        </is>
      </c>
      <c r="P24" t="inlineStr">
        <is>
          <t>MX-CED. CENTRO</t>
        </is>
      </c>
      <c r="Q24" t="n">
        <v>20200615</v>
      </c>
      <c r="R24" t="n">
        <v>20281231</v>
      </c>
      <c r="S24" t="n">
        <v>20201030</v>
      </c>
      <c r="T24" t="n">
        <v>20291231</v>
      </c>
      <c r="U24" t="n">
        <v>195</v>
      </c>
      <c r="V24" t="inlineStr">
        <is>
          <t>MXN</t>
        </is>
      </c>
      <c r="W24" t="inlineStr">
        <is>
          <t>M3</t>
        </is>
      </c>
      <c r="X24" t="n">
        <v>95</v>
      </c>
      <c r="Y24" t="inlineStr">
        <is>
          <t>MXN</t>
        </is>
      </c>
      <c r="Z24" t="inlineStr">
        <is>
          <t>M3</t>
        </is>
      </c>
      <c r="AA24" t="inlineStr">
        <is>
          <t>66838561</t>
        </is>
      </c>
      <c r="AB24" t="inlineStr">
        <is>
          <t>REMODELACION DE PATIO TLALPIZAHUAC</t>
        </is>
      </c>
      <c r="AC24" t="n">
        <v>56103638</v>
      </c>
      <c r="AD24" t="n">
        <v>6622261540</v>
      </c>
      <c r="AE24" t="n">
        <v>4</v>
      </c>
      <c r="AF24" t="inlineStr">
        <is>
          <t>ENTREGA DIRECTA</t>
        </is>
      </c>
      <c r="AG24" t="n">
        <v>1.409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D836-900006542-66838561-10000160-4</t>
        </is>
      </c>
    </row>
    <row r="25">
      <c r="A25" t="inlineStr">
        <is>
          <t>900007321D8366698265810216851</t>
        </is>
      </c>
      <c r="B25" t="inlineStr">
        <is>
          <t>4600052061-70</t>
        </is>
      </c>
      <c r="C25" t="n">
        <v>4600052061</v>
      </c>
      <c r="D25" t="n">
        <v>70</v>
      </c>
      <c r="E25" t="inlineStr">
        <is>
          <t>MXPO</t>
        </is>
      </c>
      <c r="F25" t="inlineStr">
        <is>
          <t>MXL</t>
        </is>
      </c>
      <c r="G25" t="n">
        <v>900007321</v>
      </c>
      <c r="H25" t="inlineStr">
        <is>
          <t>SF TP-ED-LOMA ANCHA SC</t>
        </is>
      </c>
      <c r="I25" t="n">
        <v>5047262</v>
      </c>
      <c r="J25" t="inlineStr">
        <is>
          <t>AGREGADOS PETREOS SAN CRISTOBAL</t>
        </is>
      </c>
      <c r="K25" t="inlineStr">
        <is>
          <t>Z03</t>
        </is>
      </c>
      <c r="L25" t="inlineStr">
        <is>
          <t>(AP) 15 Dias</t>
        </is>
      </c>
      <c r="M25" t="n">
        <v>10216851</v>
      </c>
      <c r="N25" t="inlineStr">
        <is>
          <t>BASE HIDRAÚLICA - TEPETATE NG</t>
        </is>
      </c>
      <c r="O25" t="inlineStr">
        <is>
          <t>D836</t>
        </is>
      </c>
      <c r="P25" t="inlineStr">
        <is>
          <t>MX-CED. CENTRO</t>
        </is>
      </c>
      <c r="Q25" t="n">
        <v>20210928</v>
      </c>
      <c r="R25" t="n">
        <v>20291231</v>
      </c>
      <c r="S25" t="n">
        <v>20220527</v>
      </c>
      <c r="T25" t="n">
        <v>20271231</v>
      </c>
      <c r="U25" t="n">
        <v>150</v>
      </c>
      <c r="V25" t="inlineStr">
        <is>
          <t>MXN</t>
        </is>
      </c>
      <c r="W25" t="inlineStr">
        <is>
          <t>M3</t>
        </is>
      </c>
      <c r="X25" t="n">
        <v>135</v>
      </c>
      <c r="Y25" t="inlineStr">
        <is>
          <t>MXN</t>
        </is>
      </c>
      <c r="Z25" t="inlineStr">
        <is>
          <t>M3</t>
        </is>
      </c>
      <c r="AA25" t="inlineStr">
        <is>
          <t>66982658</t>
        </is>
      </c>
      <c r="AB25" t="inlineStr">
        <is>
          <t>I. ALJUCA ETAPA 2 (HTVM)</t>
        </is>
      </c>
      <c r="AC25" t="n">
        <v>56103590</v>
      </c>
      <c r="AD25" t="n">
        <v>6622261540</v>
      </c>
      <c r="AE25" t="n">
        <v>4</v>
      </c>
      <c r="AF25" t="inlineStr">
        <is>
          <t>ENTREGA DIRECTA</t>
        </is>
      </c>
      <c r="AG25" t="n">
        <v>1.249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D836-900007321-66982658-10216851-4</t>
        </is>
      </c>
    </row>
    <row r="26">
      <c r="A26" t="inlineStr">
        <is>
          <t>900006542D8366688696910000357</t>
        </is>
      </c>
      <c r="B26" t="inlineStr">
        <is>
          <t>4600047341-110</t>
        </is>
      </c>
      <c r="C26" t="n">
        <v>4600047341</v>
      </c>
      <c r="D26" t="n">
        <v>110</v>
      </c>
      <c r="E26" t="inlineStr">
        <is>
          <t>MXPO</t>
        </is>
      </c>
      <c r="F26" t="inlineStr">
        <is>
          <t>MXL</t>
        </is>
      </c>
      <c r="G26" t="n">
        <v>900006542</v>
      </c>
      <c r="H26" t="inlineStr">
        <is>
          <t>TP-OLIELL TORTON</t>
        </is>
      </c>
      <c r="I26" t="n">
        <v>5048484</v>
      </c>
      <c r="J26" t="inlineStr">
        <is>
          <t>COMERCIALIZADORA Y TRANSPORTADORA O</t>
        </is>
      </c>
      <c r="K26" t="inlineStr">
        <is>
          <t>N90</t>
        </is>
      </c>
      <c r="L26" t="inlineStr">
        <is>
          <t>(AP) NAFIN 90 Dias</t>
        </is>
      </c>
      <c r="M26" t="n">
        <v>10000357</v>
      </c>
      <c r="N26" t="inlineStr">
        <is>
          <t>Grava Triturada Andesita 20 mm - 3/4"</t>
        </is>
      </c>
      <c r="O26" t="inlineStr">
        <is>
          <t>D836</t>
        </is>
      </c>
      <c r="P26" t="inlineStr">
        <is>
          <t>MX-CED. CENTRO</t>
        </is>
      </c>
      <c r="Q26" t="n">
        <v>20200615</v>
      </c>
      <c r="R26" t="n">
        <v>20281231</v>
      </c>
      <c r="S26" t="n">
        <v>20200729</v>
      </c>
      <c r="T26" t="n">
        <v>20301231</v>
      </c>
      <c r="U26" t="n">
        <v>300</v>
      </c>
      <c r="V26" t="inlineStr">
        <is>
          <t>MXN</t>
        </is>
      </c>
      <c r="W26" t="inlineStr">
        <is>
          <t>M3</t>
        </is>
      </c>
      <c r="X26" t="n">
        <v>190</v>
      </c>
      <c r="Y26" t="inlineStr">
        <is>
          <t>MXN</t>
        </is>
      </c>
      <c r="Z26" t="inlineStr">
        <is>
          <t>M3</t>
        </is>
      </c>
      <c r="AA26" t="inlineStr">
        <is>
          <t>66886969</t>
        </is>
      </c>
      <c r="AB26" t="inlineStr">
        <is>
          <t>HELM</t>
        </is>
      </c>
      <c r="AC26" t="n">
        <v>56103637</v>
      </c>
      <c r="AD26" t="n">
        <v>6622261540</v>
      </c>
      <c r="AE26" t="n">
        <v>4</v>
      </c>
      <c r="AF26" t="inlineStr">
        <is>
          <t>ENTREGA DIRECTA</t>
        </is>
      </c>
      <c r="AG26" t="n">
        <v>1.326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D836-900006542-66886969-10000357-4</t>
        </is>
      </c>
    </row>
    <row r="27">
      <c r="A27" t="inlineStr">
        <is>
          <t>900003786D8366656665210000643</t>
        </is>
      </c>
      <c r="B27" t="inlineStr">
        <is>
          <t>4600034392-80</t>
        </is>
      </c>
      <c r="C27" t="n">
        <v>4600034392</v>
      </c>
      <c r="D27" t="n">
        <v>80</v>
      </c>
      <c r="E27" t="inlineStr">
        <is>
          <t>MXPO</t>
        </is>
      </c>
      <c r="F27" t="inlineStr">
        <is>
          <t>MXL</t>
        </is>
      </c>
      <c r="G27" t="n">
        <v>900003786</v>
      </c>
      <c r="H27" t="inlineStr">
        <is>
          <t>TP-TRIMCAV</t>
        </is>
      </c>
      <c r="I27" t="n">
        <v>5010147</v>
      </c>
      <c r="J27" t="inlineStr">
        <is>
          <t>TRITURACIONES DE MARMOL Y CALCIOS</t>
        </is>
      </c>
      <c r="K27" t="inlineStr">
        <is>
          <t>Z04</t>
        </is>
      </c>
      <c r="L27" t="inlineStr">
        <is>
          <t>(AP) 30 Dias</t>
        </is>
      </c>
      <c r="M27" t="n">
        <v>10000643</v>
      </c>
      <c r="N27" t="inlineStr">
        <is>
          <t>Grava Triturada Marmol 20 mm - 3/4"</t>
        </is>
      </c>
      <c r="O27" t="inlineStr">
        <is>
          <t>D836</t>
        </is>
      </c>
      <c r="P27" t="inlineStr">
        <is>
          <t>MX-CED. CENTRO</t>
        </is>
      </c>
      <c r="Q27" t="n">
        <v>20160627</v>
      </c>
      <c r="R27" t="n">
        <v>20241231</v>
      </c>
      <c r="S27" t="n">
        <v>20180830</v>
      </c>
      <c r="T27" t="n">
        <v>20241231</v>
      </c>
      <c r="U27" t="n">
        <v>731.5</v>
      </c>
      <c r="V27" t="inlineStr">
        <is>
          <t>MXN</t>
        </is>
      </c>
      <c r="W27" t="inlineStr">
        <is>
          <t>TN</t>
        </is>
      </c>
      <c r="X27" t="n">
        <v>350</v>
      </c>
      <c r="Y27" t="inlineStr">
        <is>
          <t>MXN</t>
        </is>
      </c>
      <c r="Z27" t="inlineStr">
        <is>
          <t>TN</t>
        </is>
      </c>
      <c r="AA27" t="inlineStr">
        <is>
          <t>66566652</t>
        </is>
      </c>
      <c r="AB27" t="inlineStr">
        <is>
          <t>EDUARDO MOLINA #113 (OMC)</t>
        </is>
      </c>
      <c r="AC27" t="n">
        <v>56103637</v>
      </c>
      <c r="AD27" t="n">
        <v>6622261540</v>
      </c>
      <c r="AE27" t="n">
        <v>4</v>
      </c>
      <c r="AF27" t="inlineStr">
        <is>
          <t>ENTREGA DIRECTA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D836-900003786-66566652-10000643-4</t>
        </is>
      </c>
    </row>
    <row r="28">
      <c r="A28" t="inlineStr">
        <is>
          <t>900006542D8366683856110000206</t>
        </is>
      </c>
      <c r="B28" t="inlineStr">
        <is>
          <t>4600047341-340</t>
        </is>
      </c>
      <c r="C28" t="n">
        <v>4600047341</v>
      </c>
      <c r="D28" t="n">
        <v>340</v>
      </c>
      <c r="E28" t="inlineStr">
        <is>
          <t>MXPO</t>
        </is>
      </c>
      <c r="F28" t="inlineStr">
        <is>
          <t>MXL</t>
        </is>
      </c>
      <c r="G28" t="n">
        <v>900006542</v>
      </c>
      <c r="H28" t="inlineStr">
        <is>
          <t>TP-OLIELL TORTON</t>
        </is>
      </c>
      <c r="I28" t="n">
        <v>5048484</v>
      </c>
      <c r="J28" t="inlineStr">
        <is>
          <t>COMERCIALIZADORA Y TRANSPORTADORA O</t>
        </is>
      </c>
      <c r="K28" t="inlineStr">
        <is>
          <t>N90</t>
        </is>
      </c>
      <c r="L28" t="inlineStr">
        <is>
          <t>(AP) NAFIN 90 Dias</t>
        </is>
      </c>
      <c r="M28" t="n">
        <v>10000206</v>
      </c>
      <c r="N28" t="inlineStr">
        <is>
          <t>Tepetate Triturado Tierra NA</t>
        </is>
      </c>
      <c r="O28" t="inlineStr">
        <is>
          <t>D836</t>
        </is>
      </c>
      <c r="P28" t="inlineStr">
        <is>
          <t>MX-CED. CENTRO</t>
        </is>
      </c>
      <c r="Q28" t="n">
        <v>20200615</v>
      </c>
      <c r="R28" t="n">
        <v>20281231</v>
      </c>
      <c r="S28" t="n">
        <v>20201030</v>
      </c>
      <c r="T28" t="n">
        <v>20291231</v>
      </c>
      <c r="U28" t="n">
        <v>125</v>
      </c>
      <c r="V28" t="inlineStr">
        <is>
          <t>MXN</t>
        </is>
      </c>
      <c r="W28" t="inlineStr">
        <is>
          <t>M3</t>
        </is>
      </c>
      <c r="X28" t="n">
        <v>95</v>
      </c>
      <c r="Y28" t="inlineStr">
        <is>
          <t>MXN</t>
        </is>
      </c>
      <c r="Z28" t="inlineStr">
        <is>
          <t>M3</t>
        </is>
      </c>
      <c r="AA28" t="inlineStr">
        <is>
          <t>66838561</t>
        </is>
      </c>
      <c r="AB28" t="inlineStr">
        <is>
          <t>REMODELACION DE PATIO TLALPIZAHUAC</t>
        </is>
      </c>
      <c r="AC28" t="n">
        <v>56103695</v>
      </c>
      <c r="AD28" t="n">
        <v>6622261540</v>
      </c>
      <c r="AE28" t="n">
        <v>4</v>
      </c>
      <c r="AF28" t="inlineStr">
        <is>
          <t>ENTREGA DIRECTA</t>
        </is>
      </c>
      <c r="AG28" t="n">
        <v>1.249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D836-900006542-66838561-10000206-4</t>
        </is>
      </c>
    </row>
    <row r="29">
      <c r="A29" t="inlineStr">
        <is>
          <t>900004077D8366683832610192940</t>
        </is>
      </c>
      <c r="B29" t="inlineStr">
        <is>
          <t>4600047844-440</t>
        </is>
      </c>
      <c r="C29" t="n">
        <v>4600047844</v>
      </c>
      <c r="D29" t="n">
        <v>440</v>
      </c>
      <c r="E29" t="inlineStr">
        <is>
          <t>MXPO</t>
        </is>
      </c>
      <c r="F29" t="inlineStr">
        <is>
          <t>MXL</t>
        </is>
      </c>
      <c r="G29" t="n">
        <v>900004077</v>
      </c>
      <c r="H29" t="inlineStr">
        <is>
          <t>TP-SAN JUAN (HUDASA)</t>
        </is>
      </c>
      <c r="I29" t="n">
        <v>5054686</v>
      </c>
      <c r="J29" t="inlineStr">
        <is>
          <t>GRUPO MERCANTIL HUDASA SA DE CV</t>
        </is>
      </c>
      <c r="K29" t="inlineStr">
        <is>
          <t>Z06</t>
        </is>
      </c>
      <c r="L29" t="inlineStr">
        <is>
          <t>(AP) 45 Dias</t>
        </is>
      </c>
      <c r="M29" t="n">
        <v>10192940</v>
      </c>
      <c r="N29" t="inlineStr">
        <is>
          <t>GRAVA TRITURADA ANDESITA 20 MM - 3/4" HD</t>
        </is>
      </c>
      <c r="O29" t="inlineStr">
        <is>
          <t>D836</t>
        </is>
      </c>
      <c r="P29" t="inlineStr">
        <is>
          <t>MX-CED. CENTRO</t>
        </is>
      </c>
      <c r="Q29" t="n">
        <v>20200825</v>
      </c>
      <c r="R29" t="n">
        <v>20301231</v>
      </c>
      <c r="S29" t="n">
        <v>20220422</v>
      </c>
      <c r="T29" t="n">
        <v>20271231</v>
      </c>
      <c r="U29" t="n">
        <v>283.3</v>
      </c>
      <c r="V29" t="inlineStr">
        <is>
          <t>MXN</t>
        </is>
      </c>
      <c r="W29" t="inlineStr">
        <is>
          <t>TN</t>
        </is>
      </c>
      <c r="X29" t="n">
        <v>190</v>
      </c>
      <c r="Y29" t="inlineStr">
        <is>
          <t>MXN</t>
        </is>
      </c>
      <c r="Z29" t="inlineStr">
        <is>
          <t>TN</t>
        </is>
      </c>
      <c r="AA29" t="inlineStr">
        <is>
          <t>66838326</t>
        </is>
      </c>
      <c r="AB29" t="inlineStr">
        <is>
          <t>OBRA FORD</t>
        </is>
      </c>
      <c r="AC29" t="n">
        <v>56103637</v>
      </c>
      <c r="AD29" t="n">
        <v>6622261540</v>
      </c>
      <c r="AE29" t="n">
        <v>4</v>
      </c>
      <c r="AF29" t="inlineStr">
        <is>
          <t>ENTREGA DIRECTA</t>
        </is>
      </c>
      <c r="AG29" t="n">
        <v>1</v>
      </c>
      <c r="AH29" t="inlineStr">
        <is>
          <t>TO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D836-900004077-66838326-10192940-4</t>
        </is>
      </c>
    </row>
    <row r="30">
      <c r="A30" t="inlineStr">
        <is>
          <t>900003786D8366655284510000643</t>
        </is>
      </c>
      <c r="B30" t="inlineStr">
        <is>
          <t>4600034392-100</t>
        </is>
      </c>
      <c r="C30" t="n">
        <v>4600034392</v>
      </c>
      <c r="D30" t="n">
        <v>100</v>
      </c>
      <c r="E30" t="inlineStr">
        <is>
          <t>MXPO</t>
        </is>
      </c>
      <c r="F30" t="inlineStr">
        <is>
          <t>MXL</t>
        </is>
      </c>
      <c r="G30" t="n">
        <v>900003786</v>
      </c>
      <c r="H30" t="inlineStr">
        <is>
          <t>TP-TRIMCAV</t>
        </is>
      </c>
      <c r="I30" t="n">
        <v>5010147</v>
      </c>
      <c r="J30" t="inlineStr">
        <is>
          <t>TRITURACIONES DE MARMOL Y CALCIOS</t>
        </is>
      </c>
      <c r="K30" t="inlineStr">
        <is>
          <t>Z04</t>
        </is>
      </c>
      <c r="L30" t="inlineStr">
        <is>
          <t>(AP) 30 Dias</t>
        </is>
      </c>
      <c r="M30" t="n">
        <v>10000643</v>
      </c>
      <c r="N30" t="inlineStr">
        <is>
          <t>Grava Triturada Marmol 20 mm - 3/4"</t>
        </is>
      </c>
      <c r="O30" t="inlineStr">
        <is>
          <t>D836</t>
        </is>
      </c>
      <c r="P30" t="inlineStr">
        <is>
          <t>MX-CED. CENTRO</t>
        </is>
      </c>
      <c r="Q30" t="n">
        <v>20160627</v>
      </c>
      <c r="R30" t="n">
        <v>20241231</v>
      </c>
      <c r="S30" t="n">
        <v>20180919</v>
      </c>
      <c r="T30" t="n">
        <v>20241231</v>
      </c>
      <c r="U30" t="n">
        <v>731.5</v>
      </c>
      <c r="V30" t="inlineStr">
        <is>
          <t>MXN</t>
        </is>
      </c>
      <c r="W30" t="inlineStr">
        <is>
          <t>TN</t>
        </is>
      </c>
      <c r="X30" t="n">
        <v>350</v>
      </c>
      <c r="Y30" t="inlineStr">
        <is>
          <t>MXN</t>
        </is>
      </c>
      <c r="Z30" t="inlineStr">
        <is>
          <t>TN</t>
        </is>
      </c>
      <c r="AA30" t="inlineStr">
        <is>
          <t>66552845</t>
        </is>
      </c>
      <c r="AB30" t="inlineStr">
        <is>
          <t>EMBAJADA DE EU AGREGADOS</t>
        </is>
      </c>
      <c r="AC30" t="n">
        <v>56103637</v>
      </c>
      <c r="AD30" t="n">
        <v>6622261540</v>
      </c>
      <c r="AE30" t="n">
        <v>4</v>
      </c>
      <c r="AF30" t="inlineStr">
        <is>
          <t>ENTREGA DIRECTA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D836-900003786-66552845-10000643-4</t>
        </is>
      </c>
    </row>
    <row r="31">
      <c r="A31" t="inlineStr">
        <is>
          <t>900006542D8366691209010000160</t>
        </is>
      </c>
      <c r="B31" t="inlineStr">
        <is>
          <t>4600047341-220</t>
        </is>
      </c>
      <c r="C31" t="n">
        <v>4600047341</v>
      </c>
      <c r="D31" t="n">
        <v>220</v>
      </c>
      <c r="E31" t="inlineStr">
        <is>
          <t>MXPO</t>
        </is>
      </c>
      <c r="F31" t="inlineStr">
        <is>
          <t>MXL</t>
        </is>
      </c>
      <c r="G31" t="n">
        <v>900006542</v>
      </c>
      <c r="H31" t="inlineStr">
        <is>
          <t>TP-OLIELL TORTON</t>
        </is>
      </c>
      <c r="I31" t="n">
        <v>5048484</v>
      </c>
      <c r="J31" t="inlineStr">
        <is>
          <t>COMERCIALIZADORA Y TRANSPORTADORA O</t>
        </is>
      </c>
      <c r="K31" t="inlineStr">
        <is>
          <t>N90</t>
        </is>
      </c>
      <c r="L31" t="inlineStr">
        <is>
          <t>(AP) NAFIN 90 Dias</t>
        </is>
      </c>
      <c r="M31" t="n">
        <v>10000160</v>
      </c>
      <c r="N31" t="inlineStr">
        <is>
          <t>Arena Triturada Andesita Malla 4</t>
        </is>
      </c>
      <c r="O31" t="inlineStr">
        <is>
          <t>D836</t>
        </is>
      </c>
      <c r="P31" t="inlineStr">
        <is>
          <t>MX-CED. CENTRO</t>
        </is>
      </c>
      <c r="Q31" t="n">
        <v>20200615</v>
      </c>
      <c r="R31" t="n">
        <v>20281231</v>
      </c>
      <c r="S31" t="n">
        <v>20201030</v>
      </c>
      <c r="T31" t="n">
        <v>20291231</v>
      </c>
      <c r="U31" t="n">
        <v>195</v>
      </c>
      <c r="V31" t="inlineStr">
        <is>
          <t>MXN</t>
        </is>
      </c>
      <c r="W31" t="inlineStr">
        <is>
          <t>M3</t>
        </is>
      </c>
      <c r="X31" t="n">
        <v>95</v>
      </c>
      <c r="Y31" t="inlineStr">
        <is>
          <t>MXN</t>
        </is>
      </c>
      <c r="Z31" t="inlineStr">
        <is>
          <t>M3</t>
        </is>
      </c>
      <c r="AA31" t="inlineStr">
        <is>
          <t>66912090</t>
        </is>
      </c>
      <c r="AB31" t="inlineStr">
        <is>
          <t>PATIO TLALPIZAHUAC CHALCO</t>
        </is>
      </c>
      <c r="AC31" t="n">
        <v>56103638</v>
      </c>
      <c r="AD31" t="n">
        <v>6622261540</v>
      </c>
      <c r="AE31" t="n">
        <v>4</v>
      </c>
      <c r="AF31" t="inlineStr">
        <is>
          <t>ENTREGA DIRECTA</t>
        </is>
      </c>
      <c r="AG31" t="n">
        <v>1.409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D836-900006542-66912090-10000160-4</t>
        </is>
      </c>
    </row>
    <row r="32">
      <c r="A32" t="inlineStr">
        <is>
          <t>900006542D8366688514410183535</t>
        </is>
      </c>
      <c r="B32" t="inlineStr">
        <is>
          <t>4600047341-360</t>
        </is>
      </c>
      <c r="C32" t="n">
        <v>4600047341</v>
      </c>
      <c r="D32" t="n">
        <v>360</v>
      </c>
      <c r="E32" t="inlineStr">
        <is>
          <t>MXPO</t>
        </is>
      </c>
      <c r="F32" t="inlineStr">
        <is>
          <t>MXL</t>
        </is>
      </c>
      <c r="G32" t="n">
        <v>900006542</v>
      </c>
      <c r="H32" t="inlineStr">
        <is>
          <t>TP-OLIELL TORTON</t>
        </is>
      </c>
      <c r="I32" t="n">
        <v>5048484</v>
      </c>
      <c r="J32" t="inlineStr">
        <is>
          <t>COMERCIALIZADORA Y TRANSPORTADORA O</t>
        </is>
      </c>
      <c r="K32" t="inlineStr">
        <is>
          <t>N90</t>
        </is>
      </c>
      <c r="L32" t="inlineStr">
        <is>
          <t>(AP) NAFIN 90 Dias</t>
        </is>
      </c>
      <c r="M32" t="n">
        <v>10183535</v>
      </c>
      <c r="N32" t="inlineStr">
        <is>
          <t>BALASTO TRITURADO BASALTO 3" - 1"</t>
        </is>
      </c>
      <c r="O32" t="inlineStr">
        <is>
          <t>D836</t>
        </is>
      </c>
      <c r="P32" t="inlineStr">
        <is>
          <t>MX-CED. CENTRO</t>
        </is>
      </c>
      <c r="Q32" t="n">
        <v>20200615</v>
      </c>
      <c r="R32" t="n">
        <v>20281231</v>
      </c>
      <c r="S32" t="n">
        <v>20201202</v>
      </c>
      <c r="T32" t="n">
        <v>20291231</v>
      </c>
      <c r="U32" t="n">
        <v>290</v>
      </c>
      <c r="V32" t="inlineStr">
        <is>
          <t>MXN</t>
        </is>
      </c>
      <c r="W32" t="inlineStr">
        <is>
          <t>M3</t>
        </is>
      </c>
      <c r="X32" t="n">
        <v>230</v>
      </c>
      <c r="Y32" t="inlineStr">
        <is>
          <t>MXN</t>
        </is>
      </c>
      <c r="Z32" t="inlineStr">
        <is>
          <t>M3</t>
        </is>
      </c>
      <c r="AA32" t="inlineStr">
        <is>
          <t>66885144</t>
        </is>
      </c>
      <c r="AB32" t="inlineStr">
        <is>
          <t>LA VICTORIA</t>
        </is>
      </c>
      <c r="AC32" t="n">
        <v>56103591</v>
      </c>
      <c r="AD32" t="n">
        <v>6622261540</v>
      </c>
      <c r="AE32" t="n">
        <v>4</v>
      </c>
      <c r="AF32" t="inlineStr">
        <is>
          <t>ENTREGA DIRECTA</t>
        </is>
      </c>
      <c r="AG32" t="n">
        <v>1.4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D836-900006542-66885144-10183535-4</t>
        </is>
      </c>
    </row>
    <row r="33">
      <c r="A33" t="inlineStr">
        <is>
          <t>900004323D8366651234610000357</t>
        </is>
      </c>
      <c r="B33" t="inlineStr">
        <is>
          <t>4600039874-30</t>
        </is>
      </c>
      <c r="C33" t="n">
        <v>4600039874</v>
      </c>
      <c r="D33" t="n">
        <v>30</v>
      </c>
      <c r="E33" t="inlineStr">
        <is>
          <t>MXPO</t>
        </is>
      </c>
      <c r="F33" t="inlineStr">
        <is>
          <t>MXL</t>
        </is>
      </c>
      <c r="G33" t="n">
        <v>900004323</v>
      </c>
      <c r="H33" t="inlineStr">
        <is>
          <t>TP-LAS TRANCAS</t>
        </is>
      </c>
      <c r="I33" t="n">
        <v>5047262</v>
      </c>
      <c r="J33" t="inlineStr">
        <is>
          <t>AGREGADOS PETREOS SAN CRISTOBAL</t>
        </is>
      </c>
      <c r="K33" t="inlineStr">
        <is>
          <t>Z03</t>
        </is>
      </c>
      <c r="L33" t="inlineStr">
        <is>
          <t>(AP) 15 Dias</t>
        </is>
      </c>
      <c r="M33" t="n">
        <v>10000357</v>
      </c>
      <c r="N33" t="inlineStr">
        <is>
          <t>Grava Triturada Andesita 20 mm - 3/4"</t>
        </is>
      </c>
      <c r="O33" t="inlineStr">
        <is>
          <t>D836</t>
        </is>
      </c>
      <c r="P33" t="inlineStr">
        <is>
          <t>MX-CED. CENTRO</t>
        </is>
      </c>
      <c r="Q33" t="n">
        <v>20170927</v>
      </c>
      <c r="R33" t="n">
        <v>20281231</v>
      </c>
      <c r="S33" t="n">
        <v>20180301</v>
      </c>
      <c r="T33" t="n">
        <v>20241231</v>
      </c>
      <c r="U33" t="n">
        <v>310</v>
      </c>
      <c r="V33" t="inlineStr">
        <is>
          <t>MXN</t>
        </is>
      </c>
      <c r="W33" t="inlineStr">
        <is>
          <t>M3</t>
        </is>
      </c>
      <c r="X33" t="n">
        <v>110</v>
      </c>
      <c r="Y33" t="inlineStr">
        <is>
          <t>MXN</t>
        </is>
      </c>
      <c r="Z33" t="inlineStr">
        <is>
          <t>M3</t>
        </is>
      </c>
      <c r="AA33" t="inlineStr">
        <is>
          <t>66512346</t>
        </is>
      </c>
      <c r="AB33" t="inlineStr">
        <is>
          <t>SUBESTACION CFE BUENAVISTA</t>
        </is>
      </c>
      <c r="AC33" t="n">
        <v>56103637</v>
      </c>
      <c r="AD33" t="n">
        <v>6622261540</v>
      </c>
      <c r="AE33" t="n">
        <v>4</v>
      </c>
      <c r="AF33" t="inlineStr">
        <is>
          <t>ENTREGA DIRECTA</t>
        </is>
      </c>
      <c r="AG33" t="n">
        <v>1.326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D836-900004323-66512346-10000357-4</t>
        </is>
      </c>
    </row>
    <row r="34">
      <c r="A34" t="inlineStr">
        <is>
          <t>900006371D8366709100410000160</t>
        </is>
      </c>
      <c r="B34" t="inlineStr">
        <is>
          <t>4600048255-200</t>
        </is>
      </c>
      <c r="C34" t="n">
        <v>4600048255</v>
      </c>
      <c r="D34" t="n">
        <v>200</v>
      </c>
      <c r="E34" t="inlineStr">
        <is>
          <t>MXPO</t>
        </is>
      </c>
      <c r="F34" t="inlineStr">
        <is>
          <t>MXL</t>
        </is>
      </c>
      <c r="G34" t="n">
        <v>900006371</v>
      </c>
      <c r="H34" t="inlineStr">
        <is>
          <t>SF TP-ED-TRIVOMEX</t>
        </is>
      </c>
      <c r="I34" t="n">
        <v>5033501</v>
      </c>
      <c r="J34" t="inlineStr">
        <is>
          <t>TRITURADOS VOLCANICOS DE MEXICO</t>
        </is>
      </c>
      <c r="K34" t="inlineStr">
        <is>
          <t>Z04</t>
        </is>
      </c>
      <c r="L34" t="inlineStr">
        <is>
          <t>(AP) 30 Dias</t>
        </is>
      </c>
      <c r="M34" t="n">
        <v>10000160</v>
      </c>
      <c r="N34" t="inlineStr">
        <is>
          <t>Arena Triturada Andesita Malla 4</t>
        </is>
      </c>
      <c r="O34" t="inlineStr">
        <is>
          <t>D836</t>
        </is>
      </c>
      <c r="P34" t="inlineStr">
        <is>
          <t>MX-CED. CENTRO</t>
        </is>
      </c>
      <c r="Q34" t="n">
        <v>20201015</v>
      </c>
      <c r="R34" t="n">
        <v>20291231</v>
      </c>
      <c r="S34" t="n">
        <v>20221109</v>
      </c>
      <c r="T34" t="n">
        <v>20271231</v>
      </c>
      <c r="U34" t="n">
        <v>249</v>
      </c>
      <c r="V34" t="inlineStr">
        <is>
          <t>MXN</t>
        </is>
      </c>
      <c r="W34" t="inlineStr">
        <is>
          <t>M3</t>
        </is>
      </c>
      <c r="X34" t="n">
        <v>160</v>
      </c>
      <c r="Y34" t="inlineStr">
        <is>
          <t>MXN</t>
        </is>
      </c>
      <c r="Z34" t="inlineStr">
        <is>
          <t>M3</t>
        </is>
      </c>
      <c r="AA34" t="inlineStr">
        <is>
          <t>67091004</t>
        </is>
      </c>
      <c r="AB34" t="inlineStr">
        <is>
          <t>PARQUE NACIONAL DE JUSTICIA (FISCAL</t>
        </is>
      </c>
      <c r="AC34" t="n">
        <v>56103638</v>
      </c>
      <c r="AD34" t="n">
        <v>6622261540</v>
      </c>
      <c r="AE34" t="n">
        <v>4</v>
      </c>
      <c r="AF34" t="inlineStr">
        <is>
          <t>ENTREGA DIRECTA</t>
        </is>
      </c>
      <c r="AG34" t="n">
        <v>1.409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D836-900006371-67091004-10000160-4</t>
        </is>
      </c>
    </row>
    <row r="35">
      <c r="A35" t="inlineStr">
        <is>
          <t>900003786D8366655284510000635</t>
        </is>
      </c>
      <c r="B35" t="inlineStr">
        <is>
          <t>4600034392-90</t>
        </is>
      </c>
      <c r="C35" t="n">
        <v>4600034392</v>
      </c>
      <c r="D35" t="n">
        <v>90</v>
      </c>
      <c r="E35" t="inlineStr">
        <is>
          <t>MXPO</t>
        </is>
      </c>
      <c r="F35" t="inlineStr">
        <is>
          <t>MXL</t>
        </is>
      </c>
      <c r="G35" t="n">
        <v>900003786</v>
      </c>
      <c r="H35" t="inlineStr">
        <is>
          <t>TP-TRIMCAV</t>
        </is>
      </c>
      <c r="I35" t="n">
        <v>5010147</v>
      </c>
      <c r="J35" t="inlineStr">
        <is>
          <t>TRITURACIONES DE MARMOL Y CALCIOS</t>
        </is>
      </c>
      <c r="K35" t="inlineStr">
        <is>
          <t>Z04</t>
        </is>
      </c>
      <c r="L35" t="inlineStr">
        <is>
          <t>(AP) 30 Dias</t>
        </is>
      </c>
      <c r="M35" t="n">
        <v>10000635</v>
      </c>
      <c r="N35" t="inlineStr">
        <is>
          <t>Arena Triturada Marmol Malla 4</t>
        </is>
      </c>
      <c r="O35" t="inlineStr">
        <is>
          <t>D836</t>
        </is>
      </c>
      <c r="P35" t="inlineStr">
        <is>
          <t>MX-CED. CENTRO</t>
        </is>
      </c>
      <c r="Q35" t="n">
        <v>20160627</v>
      </c>
      <c r="R35" t="n">
        <v>20241231</v>
      </c>
      <c r="S35" t="n">
        <v>20180919</v>
      </c>
      <c r="T35" t="n">
        <v>20241231</v>
      </c>
      <c r="U35" t="n">
        <v>731.5</v>
      </c>
      <c r="V35" t="inlineStr">
        <is>
          <t>MXN</t>
        </is>
      </c>
      <c r="W35" t="inlineStr">
        <is>
          <t>TN</t>
        </is>
      </c>
      <c r="X35" t="n">
        <v>350</v>
      </c>
      <c r="Y35" t="inlineStr">
        <is>
          <t>MXN</t>
        </is>
      </c>
      <c r="Z35" t="inlineStr">
        <is>
          <t>TN</t>
        </is>
      </c>
      <c r="AA35" t="inlineStr">
        <is>
          <t>66552845</t>
        </is>
      </c>
      <c r="AB35" t="inlineStr">
        <is>
          <t>EMBAJADA DE EU AGREGADOS</t>
        </is>
      </c>
      <c r="AC35" t="n">
        <v>56103638</v>
      </c>
      <c r="AD35" t="n">
        <v>6622261540</v>
      </c>
      <c r="AE35" t="n">
        <v>4</v>
      </c>
      <c r="AF35" t="inlineStr">
        <is>
          <t>ENTREGA DIRECTA</t>
        </is>
      </c>
      <c r="AG35" t="n">
        <v>1</v>
      </c>
      <c r="AH35" t="inlineStr">
        <is>
          <t>TO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D836-900003786-66552845-10000635-4</t>
        </is>
      </c>
    </row>
    <row r="36">
      <c r="A36" t="inlineStr">
        <is>
          <t>900006542D8366688696910000160</t>
        </is>
      </c>
      <c r="B36" t="inlineStr">
        <is>
          <t>4600047341-90</t>
        </is>
      </c>
      <c r="C36" t="n">
        <v>4600047341</v>
      </c>
      <c r="D36" t="n">
        <v>90</v>
      </c>
      <c r="E36" t="inlineStr">
        <is>
          <t>MXPO</t>
        </is>
      </c>
      <c r="F36" t="inlineStr">
        <is>
          <t>MXL</t>
        </is>
      </c>
      <c r="G36" t="n">
        <v>900006542</v>
      </c>
      <c r="H36" t="inlineStr">
        <is>
          <t>TP-OLIELL TORTON</t>
        </is>
      </c>
      <c r="I36" t="n">
        <v>5048484</v>
      </c>
      <c r="J36" t="inlineStr">
        <is>
          <t>COMERCIALIZADORA Y TRANSPORTADORA O</t>
        </is>
      </c>
      <c r="K36" t="inlineStr">
        <is>
          <t>N90</t>
        </is>
      </c>
      <c r="L36" t="inlineStr">
        <is>
          <t>(AP) NAFIN 90 Dias</t>
        </is>
      </c>
      <c r="M36" t="n">
        <v>10000160</v>
      </c>
      <c r="N36" t="inlineStr">
        <is>
          <t>Arena Triturada Andesita Malla 4</t>
        </is>
      </c>
      <c r="O36" t="inlineStr">
        <is>
          <t>D836</t>
        </is>
      </c>
      <c r="P36" t="inlineStr">
        <is>
          <t>MX-CED. CENTRO</t>
        </is>
      </c>
      <c r="Q36" t="n">
        <v>20200615</v>
      </c>
      <c r="R36" t="n">
        <v>20281231</v>
      </c>
      <c r="S36" t="n">
        <v>20200729</v>
      </c>
      <c r="T36" t="n">
        <v>20301231</v>
      </c>
      <c r="U36" t="n">
        <v>290</v>
      </c>
      <c r="V36" t="inlineStr">
        <is>
          <t>MXN</t>
        </is>
      </c>
      <c r="W36" t="inlineStr">
        <is>
          <t>M3</t>
        </is>
      </c>
      <c r="X36" t="n">
        <v>190</v>
      </c>
      <c r="Y36" t="inlineStr">
        <is>
          <t>MXN</t>
        </is>
      </c>
      <c r="Z36" t="inlineStr">
        <is>
          <t>M3</t>
        </is>
      </c>
      <c r="AA36" t="inlineStr">
        <is>
          <t>66886969</t>
        </is>
      </c>
      <c r="AB36" t="inlineStr">
        <is>
          <t>HELM</t>
        </is>
      </c>
      <c r="AC36" t="n">
        <v>56103638</v>
      </c>
      <c r="AD36" t="n">
        <v>6622261540</v>
      </c>
      <c r="AE36" t="n">
        <v>4</v>
      </c>
      <c r="AF36" t="inlineStr">
        <is>
          <t>ENTREGA DIRECTA</t>
        </is>
      </c>
      <c r="AG36" t="n">
        <v>1.409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D836-900006542-66886969-10000160-4</t>
        </is>
      </c>
    </row>
    <row r="37">
      <c r="A37" t="inlineStr">
        <is>
          <t>900004077D8366687461610192909</t>
        </is>
      </c>
      <c r="B37" t="inlineStr">
        <is>
          <t>4600047844-670</t>
        </is>
      </c>
      <c r="C37" t="n">
        <v>4600047844</v>
      </c>
      <c r="D37" t="n">
        <v>670</v>
      </c>
      <c r="E37" t="inlineStr">
        <is>
          <t>MXPO</t>
        </is>
      </c>
      <c r="F37" t="inlineStr">
        <is>
          <t>MXL</t>
        </is>
      </c>
      <c r="G37" t="n">
        <v>900004077</v>
      </c>
      <c r="H37" t="inlineStr">
        <is>
          <t>TP-SAN JUAN (HUDASA)</t>
        </is>
      </c>
      <c r="I37" t="n">
        <v>5054686</v>
      </c>
      <c r="J37" t="inlineStr">
        <is>
          <t>GRUPO MERCANTIL HUDASA SA DE CV</t>
        </is>
      </c>
      <c r="K37" t="inlineStr">
        <is>
          <t>Z06</t>
        </is>
      </c>
      <c r="L37" t="inlineStr">
        <is>
          <t>(AP) 45 Dias</t>
        </is>
      </c>
      <c r="M37" t="n">
        <v>10192909</v>
      </c>
      <c r="N37" t="inlineStr">
        <is>
          <t>GRAVA TRITURADA ANDESITA 10 MM - 3/8" HD</t>
        </is>
      </c>
      <c r="O37" t="inlineStr">
        <is>
          <t>D836</t>
        </is>
      </c>
      <c r="P37" t="inlineStr">
        <is>
          <t>MX-CED. CENTRO</t>
        </is>
      </c>
      <c r="Q37" t="n">
        <v>20200825</v>
      </c>
      <c r="R37" t="n">
        <v>20301231</v>
      </c>
      <c r="S37" t="n">
        <v>20220422</v>
      </c>
      <c r="T37" t="n">
        <v>20271231</v>
      </c>
      <c r="U37" t="n">
        <v>292.35</v>
      </c>
      <c r="V37" t="inlineStr">
        <is>
          <t>MXN</t>
        </is>
      </c>
      <c r="W37" t="inlineStr">
        <is>
          <t>TN</t>
        </is>
      </c>
      <c r="X37" t="n">
        <v>190</v>
      </c>
      <c r="Y37" t="inlineStr">
        <is>
          <t>MXN</t>
        </is>
      </c>
      <c r="Z37" t="inlineStr">
        <is>
          <t>TN</t>
        </is>
      </c>
      <c r="AA37" t="inlineStr">
        <is>
          <t>66874616</t>
        </is>
      </c>
      <c r="AB37" t="inlineStr">
        <is>
          <t>FORD LOMAS VERDES</t>
        </is>
      </c>
      <c r="AC37" t="n">
        <v>56103637</v>
      </c>
      <c r="AD37" t="n">
        <v>6622261540</v>
      </c>
      <c r="AE37" t="n">
        <v>4</v>
      </c>
      <c r="AF37" t="inlineStr">
        <is>
          <t>ENTREGA DIRECTA</t>
        </is>
      </c>
      <c r="AG37" t="n">
        <v>1</v>
      </c>
      <c r="AH37" t="inlineStr">
        <is>
          <t>TO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D836-900004077-66874616-10192909-4</t>
        </is>
      </c>
    </row>
    <row r="38">
      <c r="A38" t="inlineStr">
        <is>
          <t>900003592D83610000133</t>
        </is>
      </c>
      <c r="B38" t="inlineStr">
        <is>
          <t>4600056899-10</t>
        </is>
      </c>
      <c r="C38" t="n">
        <v>4600056899</v>
      </c>
      <c r="D38" t="n">
        <v>10</v>
      </c>
      <c r="E38" t="inlineStr">
        <is>
          <t>MXPO</t>
        </is>
      </c>
      <c r="F38" t="inlineStr">
        <is>
          <t>MXL</t>
        </is>
      </c>
      <c r="G38" t="n">
        <v>900003592</v>
      </c>
      <c r="H38" t="inlineStr">
        <is>
          <t>TP-CAL DE APASCO</t>
        </is>
      </c>
      <c r="I38" t="n">
        <v>5002762</v>
      </c>
      <c r="J38" t="inlineStr">
        <is>
          <t>CAL DE APASCO SA</t>
        </is>
      </c>
      <c r="K38" t="inlineStr">
        <is>
          <t>N60</t>
        </is>
      </c>
      <c r="L38" t="inlineStr">
        <is>
          <t>(AP) NAFIN 60 Dias</t>
        </is>
      </c>
      <c r="M38" t="n">
        <v>10000133</v>
      </c>
      <c r="N38" t="inlineStr">
        <is>
          <t>Grava Triturada Caliza 20 mm - 3/4"</t>
        </is>
      </c>
      <c r="O38" t="inlineStr">
        <is>
          <t>D836</t>
        </is>
      </c>
      <c r="P38" t="inlineStr">
        <is>
          <t>MX-CED. CENTRO</t>
        </is>
      </c>
      <c r="Q38" t="n">
        <v>20230208</v>
      </c>
      <c r="R38" t="n">
        <v>20281231</v>
      </c>
      <c r="S38" t="n">
        <v>20250731</v>
      </c>
      <c r="T38" t="n">
        <v>20301231</v>
      </c>
      <c r="U38" t="n">
        <v>100</v>
      </c>
      <c r="V38" t="inlineStr">
        <is>
          <t>MXN</t>
        </is>
      </c>
      <c r="W38" t="inlineStr">
        <is>
          <t>TN</t>
        </is>
      </c>
      <c r="X38" t="n">
        <v>0</v>
      </c>
      <c r="Y38" t="inlineStr">
        <is>
          <t>MXN</t>
        </is>
      </c>
      <c r="Z38" t="inlineStr">
        <is>
          <t>TN</t>
        </is>
      </c>
      <c r="AC38" t="n">
        <v>56103637</v>
      </c>
      <c r="AD38" t="n">
        <v>6622261540</v>
      </c>
      <c r="AE38" t="n">
        <v>1</v>
      </c>
      <c r="AF38" t="inlineStr">
        <is>
          <t>ENTREGADO</t>
        </is>
      </c>
      <c r="AG38" t="n">
        <v>1</v>
      </c>
      <c r="AH38" t="inlineStr">
        <is>
          <t>TO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20250804</v>
      </c>
      <c r="AM38" t="inlineStr">
        <is>
          <t>D836-900003592-10000133</t>
        </is>
      </c>
    </row>
    <row r="39">
      <c r="A39" t="inlineStr">
        <is>
          <t>900006542D8366685220610000357</t>
        </is>
      </c>
      <c r="B39" t="inlineStr">
        <is>
          <t>4600047341-380</t>
        </is>
      </c>
      <c r="C39" t="n">
        <v>4600047341</v>
      </c>
      <c r="D39" t="n">
        <v>380</v>
      </c>
      <c r="E39" t="inlineStr">
        <is>
          <t>MXPO</t>
        </is>
      </c>
      <c r="F39" t="inlineStr">
        <is>
          <t>MXL</t>
        </is>
      </c>
      <c r="G39" t="n">
        <v>900006542</v>
      </c>
      <c r="H39" t="inlineStr">
        <is>
          <t>TP-OLIELL TORTON</t>
        </is>
      </c>
      <c r="I39" t="n">
        <v>5048484</v>
      </c>
      <c r="J39" t="inlineStr">
        <is>
          <t>COMERCIALIZADORA Y TRANSPORTADORA O</t>
        </is>
      </c>
      <c r="K39" t="inlineStr">
        <is>
          <t>N90</t>
        </is>
      </c>
      <c r="L39" t="inlineStr">
        <is>
          <t>(AP) NAFIN 90 Dias</t>
        </is>
      </c>
      <c r="M39" t="n">
        <v>10000357</v>
      </c>
      <c r="N39" t="inlineStr">
        <is>
          <t>Grava Triturada Andesita 20 mm - 3/4"</t>
        </is>
      </c>
      <c r="O39" t="inlineStr">
        <is>
          <t>D836</t>
        </is>
      </c>
      <c r="P39" t="inlineStr">
        <is>
          <t>MX-CED. CENTRO</t>
        </is>
      </c>
      <c r="Q39" t="n">
        <v>20200615</v>
      </c>
      <c r="R39" t="n">
        <v>20281231</v>
      </c>
      <c r="S39" t="n">
        <v>20210120</v>
      </c>
      <c r="T39" t="n">
        <v>20291231</v>
      </c>
      <c r="U39" t="n">
        <v>270</v>
      </c>
      <c r="V39" t="inlineStr">
        <is>
          <t>MXN</t>
        </is>
      </c>
      <c r="W39" t="inlineStr">
        <is>
          <t>M3</t>
        </is>
      </c>
      <c r="X39" t="n">
        <v>160</v>
      </c>
      <c r="Y39" t="inlineStr">
        <is>
          <t>MXN</t>
        </is>
      </c>
      <c r="Z39" t="inlineStr">
        <is>
          <t>M3</t>
        </is>
      </c>
      <c r="AA39" t="inlineStr">
        <is>
          <t>66852206</t>
        </is>
      </c>
      <c r="AB39" t="inlineStr">
        <is>
          <t>VT01802 CPI DR. VERTIZ</t>
        </is>
      </c>
      <c r="AC39" t="n">
        <v>56103637</v>
      </c>
      <c r="AD39" t="n">
        <v>6622261540</v>
      </c>
      <c r="AE39" t="n">
        <v>4</v>
      </c>
      <c r="AF39" t="inlineStr">
        <is>
          <t>ENTREGA DIRECTA</t>
        </is>
      </c>
      <c r="AG39" t="n">
        <v>1.326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D836-900006542-66852206-10000357-4</t>
        </is>
      </c>
    </row>
    <row r="40">
      <c r="A40" t="inlineStr">
        <is>
          <t>900004365D8366698265810215930</t>
        </is>
      </c>
      <c r="B40" t="inlineStr">
        <is>
          <t>4600053008-30</t>
        </is>
      </c>
      <c r="C40" t="n">
        <v>4600053008</v>
      </c>
      <c r="D40" t="n">
        <v>30</v>
      </c>
      <c r="E40" t="inlineStr">
        <is>
          <t>MXPO</t>
        </is>
      </c>
      <c r="F40" t="inlineStr">
        <is>
          <t>MXL</t>
        </is>
      </c>
      <c r="G40" t="n">
        <v>900004365</v>
      </c>
      <c r="H40" t="inlineStr">
        <is>
          <t>TP-ED-DOS CERROS</t>
        </is>
      </c>
      <c r="I40" t="n">
        <v>5036168</v>
      </c>
      <c r="J40" t="inlineStr">
        <is>
          <t>TRITURADOS DOS CERROS SA DE CV</t>
        </is>
      </c>
      <c r="K40" t="inlineStr">
        <is>
          <t>Z04</t>
        </is>
      </c>
      <c r="L40" t="inlineStr">
        <is>
          <t>(AP) 30 Dias</t>
        </is>
      </c>
      <c r="M40" t="n">
        <v>10215930</v>
      </c>
      <c r="N40" t="inlineStr">
        <is>
          <t>BASE HIDRAÚLICA NG</t>
        </is>
      </c>
      <c r="O40" t="inlineStr">
        <is>
          <t>D836</t>
        </is>
      </c>
      <c r="P40" t="inlineStr">
        <is>
          <t>MX-CED. CENTRO</t>
        </is>
      </c>
      <c r="Q40" t="n">
        <v>20220128</v>
      </c>
      <c r="R40" t="n">
        <v>20281231</v>
      </c>
      <c r="S40" t="n">
        <v>20220525</v>
      </c>
      <c r="T40" t="n">
        <v>20271231</v>
      </c>
      <c r="U40" t="n">
        <v>150</v>
      </c>
      <c r="V40" t="inlineStr">
        <is>
          <t>MXN</t>
        </is>
      </c>
      <c r="W40" t="inlineStr">
        <is>
          <t>M3</t>
        </is>
      </c>
      <c r="X40" t="n">
        <v>135</v>
      </c>
      <c r="Y40" t="inlineStr">
        <is>
          <t>MXN</t>
        </is>
      </c>
      <c r="Z40" t="inlineStr">
        <is>
          <t>M3</t>
        </is>
      </c>
      <c r="AA40" t="inlineStr">
        <is>
          <t>66982658</t>
        </is>
      </c>
      <c r="AB40" t="inlineStr">
        <is>
          <t>I. ALJUCA ETAPA 2 (HTVM)</t>
        </is>
      </c>
      <c r="AC40" t="n">
        <v>56103590</v>
      </c>
      <c r="AD40" t="n">
        <v>6622261540</v>
      </c>
      <c r="AE40" t="n">
        <v>4</v>
      </c>
      <c r="AF40" t="inlineStr">
        <is>
          <t>ENTREGA DIRECTA</t>
        </is>
      </c>
      <c r="AG40" t="n">
        <v>1.249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D836-900004365-66982658-10215930-4</t>
        </is>
      </c>
    </row>
    <row r="41">
      <c r="A41" t="inlineStr">
        <is>
          <t>900003609D83610147486</t>
        </is>
      </c>
      <c r="B41" t="inlineStr">
        <is>
          <t>4600027606-210</t>
        </is>
      </c>
      <c r="C41" t="n">
        <v>4600027606</v>
      </c>
      <c r="D41" t="n">
        <v>210</v>
      </c>
      <c r="E41" t="inlineStr">
        <is>
          <t>MXPO</t>
        </is>
      </c>
      <c r="F41" t="inlineStr">
        <is>
          <t>M02</t>
        </is>
      </c>
      <c r="G41" t="n">
        <v>900003609</v>
      </c>
      <c r="H41" t="inlineStr">
        <is>
          <t>TP-LA VALENCIANA</t>
        </is>
      </c>
      <c r="I41" t="n">
        <v>5005431</v>
      </c>
      <c r="J41" t="inlineStr">
        <is>
          <t>CANTERAS LA VALENCIANA SA DE CV</t>
        </is>
      </c>
      <c r="K41" t="inlineStr">
        <is>
          <t>Z03</t>
        </is>
      </c>
      <c r="L41" t="inlineStr">
        <is>
          <t>(AP) 15 Dias</t>
        </is>
      </c>
      <c r="M41" t="n">
        <v>10147486</v>
      </c>
      <c r="N41" t="inlineStr">
        <is>
          <t>BALASTO TRITURADO</t>
        </is>
      </c>
      <c r="O41" t="inlineStr">
        <is>
          <t>D836</t>
        </is>
      </c>
      <c r="P41" t="inlineStr">
        <is>
          <t>MX-CED. CENTRO</t>
        </is>
      </c>
      <c r="Q41" t="n">
        <v>20141106</v>
      </c>
      <c r="R41" t="n">
        <v>20281231</v>
      </c>
      <c r="S41" t="n">
        <v>20250613</v>
      </c>
      <c r="T41" t="n">
        <v>20301231</v>
      </c>
      <c r="U41" t="n">
        <v>154.24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56103591</v>
      </c>
      <c r="AD41" t="n">
        <v>6622261540</v>
      </c>
      <c r="AE41" t="n">
        <v>1</v>
      </c>
      <c r="AF41" t="inlineStr">
        <is>
          <t>ENTREGADO</t>
        </is>
      </c>
      <c r="AG41" t="n">
        <v>1.56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20250618</v>
      </c>
      <c r="AM41" t="inlineStr">
        <is>
          <t>D836-900003609-10147486</t>
        </is>
      </c>
    </row>
    <row r="42">
      <c r="A42" t="inlineStr">
        <is>
          <t>900006542D8366685220610000160</t>
        </is>
      </c>
      <c r="B42" t="inlineStr">
        <is>
          <t>4600047341-370</t>
        </is>
      </c>
      <c r="C42" t="n">
        <v>4600047341</v>
      </c>
      <c r="D42" t="n">
        <v>370</v>
      </c>
      <c r="E42" t="inlineStr">
        <is>
          <t>MXPO</t>
        </is>
      </c>
      <c r="F42" t="inlineStr">
        <is>
          <t>MXL</t>
        </is>
      </c>
      <c r="G42" t="n">
        <v>900006542</v>
      </c>
      <c r="H42" t="inlineStr">
        <is>
          <t>TP-OLIELL TORTON</t>
        </is>
      </c>
      <c r="I42" t="n">
        <v>5048484</v>
      </c>
      <c r="J42" t="inlineStr">
        <is>
          <t>COMERCIALIZADORA Y TRANSPORTADORA O</t>
        </is>
      </c>
      <c r="K42" t="inlineStr">
        <is>
          <t>N90</t>
        </is>
      </c>
      <c r="L42" t="inlineStr">
        <is>
          <t>(AP) NAFIN 90 Dias</t>
        </is>
      </c>
      <c r="M42" t="n">
        <v>10000160</v>
      </c>
      <c r="N42" t="inlineStr">
        <is>
          <t>Arena Triturada Andesita Malla 4</t>
        </is>
      </c>
      <c r="O42" t="inlineStr">
        <is>
          <t>D836</t>
        </is>
      </c>
      <c r="P42" t="inlineStr">
        <is>
          <t>MX-CED. CENTRO</t>
        </is>
      </c>
      <c r="Q42" t="n">
        <v>20200615</v>
      </c>
      <c r="R42" t="n">
        <v>20281231</v>
      </c>
      <c r="S42" t="n">
        <v>20210120</v>
      </c>
      <c r="T42" t="n">
        <v>20291231</v>
      </c>
      <c r="U42" t="n">
        <v>260</v>
      </c>
      <c r="V42" t="inlineStr">
        <is>
          <t>MXN</t>
        </is>
      </c>
      <c r="W42" t="inlineStr">
        <is>
          <t>M3</t>
        </is>
      </c>
      <c r="X42" t="n">
        <v>160</v>
      </c>
      <c r="Y42" t="inlineStr">
        <is>
          <t>MXN</t>
        </is>
      </c>
      <c r="Z42" t="inlineStr">
        <is>
          <t>M3</t>
        </is>
      </c>
      <c r="AA42" t="inlineStr">
        <is>
          <t>66852206</t>
        </is>
      </c>
      <c r="AB42" t="inlineStr">
        <is>
          <t>VT01802 CPI DR. VERTIZ</t>
        </is>
      </c>
      <c r="AC42" t="n">
        <v>56103638</v>
      </c>
      <c r="AD42" t="n">
        <v>6622261540</v>
      </c>
      <c r="AE42" t="n">
        <v>4</v>
      </c>
      <c r="AF42" t="inlineStr">
        <is>
          <t>ENTREGA DIRECTA</t>
        </is>
      </c>
      <c r="AG42" t="n">
        <v>1.409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D836-900006542-66852206-10000160-4</t>
        </is>
      </c>
    </row>
    <row r="43">
      <c r="A43" t="inlineStr">
        <is>
          <t>900006542D8366688514410175723</t>
        </is>
      </c>
      <c r="B43" t="inlineStr">
        <is>
          <t>4600047341-160</t>
        </is>
      </c>
      <c r="C43" t="n">
        <v>4600047341</v>
      </c>
      <c r="D43" t="n">
        <v>160</v>
      </c>
      <c r="E43" t="inlineStr">
        <is>
          <t>MXPO</t>
        </is>
      </c>
      <c r="F43" t="inlineStr">
        <is>
          <t>MXL</t>
        </is>
      </c>
      <c r="G43" t="n">
        <v>900006542</v>
      </c>
      <c r="H43" t="inlineStr">
        <is>
          <t>TP-OLIELL TORTON</t>
        </is>
      </c>
      <c r="I43" t="n">
        <v>5048484</v>
      </c>
      <c r="J43" t="inlineStr">
        <is>
          <t>COMERCIALIZADORA Y TRANSPORTADORA O</t>
        </is>
      </c>
      <c r="K43" t="inlineStr">
        <is>
          <t>N90</t>
        </is>
      </c>
      <c r="L43" t="inlineStr">
        <is>
          <t>(AP) NAFIN 90 Dias</t>
        </is>
      </c>
      <c r="M43" t="n">
        <v>10175723</v>
      </c>
      <c r="N43" t="inlineStr">
        <is>
          <t>BASE HIDRAULICA ANDESITA DE 1 1/2" A FIN</t>
        </is>
      </c>
      <c r="O43" t="inlineStr">
        <is>
          <t>D836</t>
        </is>
      </c>
      <c r="P43" t="inlineStr">
        <is>
          <t>MX-CED. CENTRO</t>
        </is>
      </c>
      <c r="Q43" t="n">
        <v>20200615</v>
      </c>
      <c r="R43" t="n">
        <v>20281231</v>
      </c>
      <c r="S43" t="n">
        <v>20200813</v>
      </c>
      <c r="T43" t="n">
        <v>20301231</v>
      </c>
      <c r="U43" t="n">
        <v>310</v>
      </c>
      <c r="V43" t="inlineStr">
        <is>
          <t>MXN</t>
        </is>
      </c>
      <c r="W43" t="inlineStr">
        <is>
          <t>M3</t>
        </is>
      </c>
      <c r="X43" t="n">
        <v>190</v>
      </c>
      <c r="Y43" t="inlineStr">
        <is>
          <t>MXN</t>
        </is>
      </c>
      <c r="Z43" t="inlineStr">
        <is>
          <t>M3</t>
        </is>
      </c>
      <c r="AA43" t="inlineStr">
        <is>
          <t>66885144</t>
        </is>
      </c>
      <c r="AB43" t="inlineStr">
        <is>
          <t>LA VICTORIA</t>
        </is>
      </c>
      <c r="AC43" t="n">
        <v>56103590</v>
      </c>
      <c r="AD43" t="n">
        <v>6622261540</v>
      </c>
      <c r="AE43" t="n">
        <v>4</v>
      </c>
      <c r="AF43" t="inlineStr">
        <is>
          <t>ENTREGA DIRECTA</t>
        </is>
      </c>
      <c r="AG43" t="n">
        <v>1.65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D836-900006542-66885144-10175723-4</t>
        </is>
      </c>
    </row>
    <row r="44">
      <c r="A44" t="inlineStr">
        <is>
          <t>900004077D8366687461610192940</t>
        </is>
      </c>
      <c r="B44" t="inlineStr">
        <is>
          <t>4600047844-620</t>
        </is>
      </c>
      <c r="C44" t="n">
        <v>4600047844</v>
      </c>
      <c r="D44" t="n">
        <v>620</v>
      </c>
      <c r="E44" t="inlineStr">
        <is>
          <t>MXPO</t>
        </is>
      </c>
      <c r="F44" t="inlineStr">
        <is>
          <t>MXL</t>
        </is>
      </c>
      <c r="G44" t="n">
        <v>900004077</v>
      </c>
      <c r="H44" t="inlineStr">
        <is>
          <t>TP-SAN JUAN (HUDASA)</t>
        </is>
      </c>
      <c r="I44" t="n">
        <v>5054686</v>
      </c>
      <c r="J44" t="inlineStr">
        <is>
          <t>GRUPO MERCANTIL HUDASA SA DE CV</t>
        </is>
      </c>
      <c r="K44" t="inlineStr">
        <is>
          <t>Z06</t>
        </is>
      </c>
      <c r="L44" t="inlineStr">
        <is>
          <t>(AP) 45 Dias</t>
        </is>
      </c>
      <c r="M44" t="n">
        <v>10192940</v>
      </c>
      <c r="N44" t="inlineStr">
        <is>
          <t>GRAVA TRITURADA ANDESITA 20 MM - 3/4" HD</t>
        </is>
      </c>
      <c r="O44" t="inlineStr">
        <is>
          <t>D836</t>
        </is>
      </c>
      <c r="P44" t="inlineStr">
        <is>
          <t>MX-CED. CENTRO</t>
        </is>
      </c>
      <c r="Q44" t="n">
        <v>20200825</v>
      </c>
      <c r="R44" t="n">
        <v>20301231</v>
      </c>
      <c r="S44" t="n">
        <v>20220420</v>
      </c>
      <c r="T44" t="n">
        <v>20271231</v>
      </c>
      <c r="U44" t="n">
        <v>283.3</v>
      </c>
      <c r="V44" t="inlineStr">
        <is>
          <t>MXN</t>
        </is>
      </c>
      <c r="W44" t="inlineStr">
        <is>
          <t>TN</t>
        </is>
      </c>
      <c r="X44" t="n">
        <v>190</v>
      </c>
      <c r="Y44" t="inlineStr">
        <is>
          <t>MXN</t>
        </is>
      </c>
      <c r="Z44" t="inlineStr">
        <is>
          <t>TN</t>
        </is>
      </c>
      <c r="AA44" t="inlineStr">
        <is>
          <t>66874616</t>
        </is>
      </c>
      <c r="AB44" t="inlineStr">
        <is>
          <t>FORD LOMAS VERDES</t>
        </is>
      </c>
      <c r="AC44" t="n">
        <v>56103637</v>
      </c>
      <c r="AD44" t="n">
        <v>6622261540</v>
      </c>
      <c r="AE44" t="n">
        <v>4</v>
      </c>
      <c r="AF44" t="inlineStr">
        <is>
          <t>ENTREGA DIRECTA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D836-900004077-66874616-10192940-4</t>
        </is>
      </c>
    </row>
    <row r="45">
      <c r="A45" t="inlineStr">
        <is>
          <t>900006185D8366683068310000160</t>
        </is>
      </c>
      <c r="B45" t="inlineStr">
        <is>
          <t>4600045002-110</t>
        </is>
      </c>
      <c r="C45" t="n">
        <v>4600045002</v>
      </c>
      <c r="D45" t="n">
        <v>110</v>
      </c>
      <c r="E45" t="inlineStr">
        <is>
          <t>MXPO</t>
        </is>
      </c>
      <c r="F45" t="inlineStr">
        <is>
          <t>MXL</t>
        </is>
      </c>
      <c r="G45" t="n">
        <v>900006185</v>
      </c>
      <c r="H45" t="inlineStr">
        <is>
          <t>TP-ED-OLIELL ALMACÉN</t>
        </is>
      </c>
      <c r="I45" t="n">
        <v>5048484</v>
      </c>
      <c r="J45" t="inlineStr">
        <is>
          <t>COMERCIALIZADORA Y TRANSPORTADORA O</t>
        </is>
      </c>
      <c r="K45" t="inlineStr">
        <is>
          <t>Z00</t>
        </is>
      </c>
      <c r="L45" t="inlineStr">
        <is>
          <t>(AP) Pagadero Inmediatamente</t>
        </is>
      </c>
      <c r="M45" t="n">
        <v>10000160</v>
      </c>
      <c r="N45" t="inlineStr">
        <is>
          <t>Arena Triturada Andesita Malla 4</t>
        </is>
      </c>
      <c r="O45" t="inlineStr">
        <is>
          <t>D836</t>
        </is>
      </c>
      <c r="P45" t="inlineStr">
        <is>
          <t>MX-CED. CENTRO</t>
        </is>
      </c>
      <c r="Q45" t="n">
        <v>20190628</v>
      </c>
      <c r="R45" t="n">
        <v>20281231</v>
      </c>
      <c r="S45" t="n">
        <v>20200325</v>
      </c>
      <c r="T45" t="n">
        <v>20291231</v>
      </c>
      <c r="U45" t="n">
        <v>862</v>
      </c>
      <c r="V45" t="inlineStr">
        <is>
          <t>MXN</t>
        </is>
      </c>
      <c r="W45" t="inlineStr">
        <is>
          <t>TN</t>
        </is>
      </c>
      <c r="X45" t="n">
        <v>431</v>
      </c>
      <c r="Y45" t="inlineStr">
        <is>
          <t>MXN</t>
        </is>
      </c>
      <c r="Z45" t="inlineStr">
        <is>
          <t>TN</t>
        </is>
      </c>
      <c r="AA45" t="inlineStr">
        <is>
          <t>66830683</t>
        </is>
      </c>
      <c r="AB45" t="inlineStr">
        <is>
          <t>MITLA 240 (LRR)</t>
        </is>
      </c>
      <c r="AC45" t="n">
        <v>56103638</v>
      </c>
      <c r="AD45" t="n">
        <v>6622261540</v>
      </c>
      <c r="AE45" t="n">
        <v>4</v>
      </c>
      <c r="AF45" t="inlineStr">
        <is>
          <t>ENTREGA DIRECTA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D836-900006185-66830683-10000160-4</t>
        </is>
      </c>
    </row>
    <row r="46">
      <c r="A46" t="inlineStr">
        <is>
          <t>900006185D8366685220610000357</t>
        </is>
      </c>
      <c r="B46" t="inlineStr">
        <is>
          <t>4600045002-180</t>
        </is>
      </c>
      <c r="C46" t="n">
        <v>4600045002</v>
      </c>
      <c r="D46" t="n">
        <v>180</v>
      </c>
      <c r="E46" t="inlineStr">
        <is>
          <t>MXPO</t>
        </is>
      </c>
      <c r="F46" t="inlineStr">
        <is>
          <t>MXL</t>
        </is>
      </c>
      <c r="G46" t="n">
        <v>900006185</v>
      </c>
      <c r="H46" t="inlineStr">
        <is>
          <t>TP-ED-OLIELL ALMACÉN</t>
        </is>
      </c>
      <c r="I46" t="n">
        <v>5048484</v>
      </c>
      <c r="J46" t="inlineStr">
        <is>
          <t>COMERCIALIZADORA Y TRANSPORTADORA O</t>
        </is>
      </c>
      <c r="K46" t="inlineStr">
        <is>
          <t>Z00</t>
        </is>
      </c>
      <c r="L46" t="inlineStr">
        <is>
          <t>(AP) Pagadero Inmediatamente</t>
        </is>
      </c>
      <c r="M46" t="n">
        <v>10000357</v>
      </c>
      <c r="N46" t="inlineStr">
        <is>
          <t>Grava Triturada Andesita 20 mm - 3/4"</t>
        </is>
      </c>
      <c r="O46" t="inlineStr">
        <is>
          <t>D836</t>
        </is>
      </c>
      <c r="P46" t="inlineStr">
        <is>
          <t>MX-CED. CENTRO</t>
        </is>
      </c>
      <c r="Q46" t="n">
        <v>20190628</v>
      </c>
      <c r="R46" t="n">
        <v>20281231</v>
      </c>
      <c r="S46" t="n">
        <v>20200401</v>
      </c>
      <c r="T46" t="n">
        <v>20291231</v>
      </c>
      <c r="U46" t="n">
        <v>862</v>
      </c>
      <c r="V46" t="inlineStr">
        <is>
          <t>MXN</t>
        </is>
      </c>
      <c r="W46" t="inlineStr">
        <is>
          <t>M3</t>
        </is>
      </c>
      <c r="X46" t="n">
        <v>431</v>
      </c>
      <c r="Y46" t="inlineStr">
        <is>
          <t>MXN</t>
        </is>
      </c>
      <c r="Z46" t="inlineStr">
        <is>
          <t>M3</t>
        </is>
      </c>
      <c r="AA46" t="inlineStr">
        <is>
          <t>66852206</t>
        </is>
      </c>
      <c r="AB46" t="inlineStr">
        <is>
          <t>VT01802 CPI DR. VERTIZ</t>
        </is>
      </c>
      <c r="AC46" t="n">
        <v>56103637</v>
      </c>
      <c r="AD46" t="n">
        <v>6622261540</v>
      </c>
      <c r="AE46" t="n">
        <v>4</v>
      </c>
      <c r="AF46" t="inlineStr">
        <is>
          <t>ENTREGA DIRECTA</t>
        </is>
      </c>
      <c r="AG46" t="n">
        <v>1.326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D836-900006185-66852206-10000357-4</t>
        </is>
      </c>
    </row>
    <row r="47">
      <c r="A47" t="inlineStr">
        <is>
          <t>900006185D8366685220610000160</t>
        </is>
      </c>
      <c r="B47" t="inlineStr">
        <is>
          <t>4600045002-170</t>
        </is>
      </c>
      <c r="C47" t="n">
        <v>4600045002</v>
      </c>
      <c r="D47" t="n">
        <v>170</v>
      </c>
      <c r="E47" t="inlineStr">
        <is>
          <t>MXPO</t>
        </is>
      </c>
      <c r="F47" t="inlineStr">
        <is>
          <t>MXL</t>
        </is>
      </c>
      <c r="G47" t="n">
        <v>900006185</v>
      </c>
      <c r="H47" t="inlineStr">
        <is>
          <t>TP-ED-OLIELL ALMACÉN</t>
        </is>
      </c>
      <c r="I47" t="n">
        <v>5048484</v>
      </c>
      <c r="J47" t="inlineStr">
        <is>
          <t>COMERCIALIZADORA Y TRANSPORTADORA O</t>
        </is>
      </c>
      <c r="K47" t="inlineStr">
        <is>
          <t>Z00</t>
        </is>
      </c>
      <c r="L47" t="inlineStr">
        <is>
          <t>(AP) Pagadero Inmediatamente</t>
        </is>
      </c>
      <c r="M47" t="n">
        <v>10000160</v>
      </c>
      <c r="N47" t="inlineStr">
        <is>
          <t>Arena Triturada Andesita Malla 4</t>
        </is>
      </c>
      <c r="O47" t="inlineStr">
        <is>
          <t>D836</t>
        </is>
      </c>
      <c r="P47" t="inlineStr">
        <is>
          <t>MX-CED. CENTRO</t>
        </is>
      </c>
      <c r="Q47" t="n">
        <v>20190628</v>
      </c>
      <c r="R47" t="n">
        <v>20281231</v>
      </c>
      <c r="S47" t="n">
        <v>20200401</v>
      </c>
      <c r="T47" t="n">
        <v>20291231</v>
      </c>
      <c r="U47" t="n">
        <v>862</v>
      </c>
      <c r="V47" t="inlineStr">
        <is>
          <t>MXN</t>
        </is>
      </c>
      <c r="W47" t="inlineStr">
        <is>
          <t>M3</t>
        </is>
      </c>
      <c r="X47" t="n">
        <v>431</v>
      </c>
      <c r="Y47" t="inlineStr">
        <is>
          <t>MXN</t>
        </is>
      </c>
      <c r="Z47" t="inlineStr">
        <is>
          <t>M3</t>
        </is>
      </c>
      <c r="AA47" t="inlineStr">
        <is>
          <t>66852206</t>
        </is>
      </c>
      <c r="AB47" t="inlineStr">
        <is>
          <t>VT01802 CPI DR. VERTIZ</t>
        </is>
      </c>
      <c r="AC47" t="n">
        <v>56103638</v>
      </c>
      <c r="AD47" t="n">
        <v>6622261540</v>
      </c>
      <c r="AE47" t="n">
        <v>4</v>
      </c>
      <c r="AF47" t="inlineStr">
        <is>
          <t>ENTREGA DIRECTA</t>
        </is>
      </c>
      <c r="AG47" t="n">
        <v>1.409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D836-900006185-66852206-10000160-4</t>
        </is>
      </c>
    </row>
    <row r="48">
      <c r="A48" t="inlineStr">
        <is>
          <t>900006185D8366699032210000651</t>
        </is>
      </c>
      <c r="B48" t="inlineStr">
        <is>
          <t>4600045002-340</t>
        </is>
      </c>
      <c r="C48" t="n">
        <v>4600045002</v>
      </c>
      <c r="D48" t="n">
        <v>340</v>
      </c>
      <c r="E48" t="inlineStr">
        <is>
          <t>MXPO</t>
        </is>
      </c>
      <c r="F48" t="inlineStr">
        <is>
          <t>MXL</t>
        </is>
      </c>
      <c r="G48" t="n">
        <v>900006185</v>
      </c>
      <c r="H48" t="inlineStr">
        <is>
          <t>TP-ED-OLIELL ALMACÉN</t>
        </is>
      </c>
      <c r="I48" t="n">
        <v>5048484</v>
      </c>
      <c r="J48" t="inlineStr">
        <is>
          <t>COMERCIALIZADORA Y TRANSPORTADORA O</t>
        </is>
      </c>
      <c r="K48" t="inlineStr">
        <is>
          <t>Z00</t>
        </is>
      </c>
      <c r="L48" t="inlineStr">
        <is>
          <t>(AP) Pagadero Inmediatamente</t>
        </is>
      </c>
      <c r="M48" t="n">
        <v>10000651</v>
      </c>
      <c r="N48" t="inlineStr">
        <is>
          <t>Arena Triturada Andesita Malla 8</t>
        </is>
      </c>
      <c r="O48" t="inlineStr">
        <is>
          <t>D836</t>
        </is>
      </c>
      <c r="P48" t="inlineStr">
        <is>
          <t>MX-CED. CENTRO</t>
        </is>
      </c>
      <c r="Q48" t="n">
        <v>20190628</v>
      </c>
      <c r="R48" t="n">
        <v>20281231</v>
      </c>
      <c r="S48" t="n">
        <v>20210721</v>
      </c>
      <c r="T48" t="n">
        <v>20261231</v>
      </c>
      <c r="U48" t="n">
        <v>1470</v>
      </c>
      <c r="V48" t="inlineStr">
        <is>
          <t>MXN</t>
        </is>
      </c>
      <c r="W48" t="inlineStr">
        <is>
          <t>M3</t>
        </is>
      </c>
      <c r="X48" t="n">
        <v>220</v>
      </c>
      <c r="Y48" t="inlineStr">
        <is>
          <t>MXN</t>
        </is>
      </c>
      <c r="Z48" t="inlineStr">
        <is>
          <t>M3</t>
        </is>
      </c>
      <c r="AA48" t="inlineStr">
        <is>
          <t>66990322</t>
        </is>
      </c>
      <c r="AB48" t="inlineStr">
        <is>
          <t>Londres 208</t>
        </is>
      </c>
      <c r="AC48" t="n">
        <v>56103638</v>
      </c>
      <c r="AD48" t="n">
        <v>6622261540</v>
      </c>
      <c r="AE48" t="n">
        <v>4</v>
      </c>
      <c r="AF48" t="inlineStr">
        <is>
          <t>ENTREGA DIRECTA</t>
        </is>
      </c>
      <c r="AG48" t="n">
        <v>1.35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D836-900006185-66990322-10000651-4</t>
        </is>
      </c>
    </row>
    <row r="49">
      <c r="A49" t="inlineStr">
        <is>
          <t>900006185D8366683068310000357</t>
        </is>
      </c>
      <c r="B49" t="inlineStr">
        <is>
          <t>4600045002-120</t>
        </is>
      </c>
      <c r="C49" t="n">
        <v>4600045002</v>
      </c>
      <c r="D49" t="n">
        <v>120</v>
      </c>
      <c r="E49" t="inlineStr">
        <is>
          <t>MXPO</t>
        </is>
      </c>
      <c r="F49" t="inlineStr">
        <is>
          <t>MXL</t>
        </is>
      </c>
      <c r="G49" t="n">
        <v>900006185</v>
      </c>
      <c r="H49" t="inlineStr">
        <is>
          <t>TP-ED-OLIELL ALMACÉN</t>
        </is>
      </c>
      <c r="I49" t="n">
        <v>5048484</v>
      </c>
      <c r="J49" t="inlineStr">
        <is>
          <t>COMERCIALIZADORA Y TRANSPORTADORA O</t>
        </is>
      </c>
      <c r="K49" t="inlineStr">
        <is>
          <t>Z00</t>
        </is>
      </c>
      <c r="L49" t="inlineStr">
        <is>
          <t>(AP) Pagadero Inmediatamente</t>
        </is>
      </c>
      <c r="M49" t="n">
        <v>10000357</v>
      </c>
      <c r="N49" t="inlineStr">
        <is>
          <t>Grava Triturada Andesita 20 mm - 3/4"</t>
        </is>
      </c>
      <c r="O49" t="inlineStr">
        <is>
          <t>D836</t>
        </is>
      </c>
      <c r="P49" t="inlineStr">
        <is>
          <t>MX-CED. CENTRO</t>
        </is>
      </c>
      <c r="Q49" t="n">
        <v>20190628</v>
      </c>
      <c r="R49" t="n">
        <v>20281231</v>
      </c>
      <c r="S49" t="n">
        <v>20200325</v>
      </c>
      <c r="T49" t="n">
        <v>20291231</v>
      </c>
      <c r="U49" t="n">
        <v>862</v>
      </c>
      <c r="V49" t="inlineStr">
        <is>
          <t>MXN</t>
        </is>
      </c>
      <c r="W49" t="inlineStr">
        <is>
          <t>TN</t>
        </is>
      </c>
      <c r="X49" t="n">
        <v>431</v>
      </c>
      <c r="Y49" t="inlineStr">
        <is>
          <t>MXN</t>
        </is>
      </c>
      <c r="Z49" t="inlineStr">
        <is>
          <t>TN</t>
        </is>
      </c>
      <c r="AA49" t="inlineStr">
        <is>
          <t>66830683</t>
        </is>
      </c>
      <c r="AB49" t="inlineStr">
        <is>
          <t>MITLA 240 (LRR)</t>
        </is>
      </c>
      <c r="AC49" t="n">
        <v>56103637</v>
      </c>
      <c r="AD49" t="n">
        <v>6622261540</v>
      </c>
      <c r="AE49" t="n">
        <v>4</v>
      </c>
      <c r="AF49" t="inlineStr">
        <is>
          <t>ENTREGA DIRECTA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D836-900006185-66830683-10000357-4</t>
        </is>
      </c>
    </row>
    <row r="50">
      <c r="A50" t="inlineStr">
        <is>
          <t>900006185D8366684714410000357</t>
        </is>
      </c>
      <c r="B50" t="inlineStr">
        <is>
          <t>4600045002-140</t>
        </is>
      </c>
      <c r="C50" t="n">
        <v>4600045002</v>
      </c>
      <c r="D50" t="n">
        <v>140</v>
      </c>
      <c r="E50" t="inlineStr">
        <is>
          <t>MXPO</t>
        </is>
      </c>
      <c r="F50" t="inlineStr">
        <is>
          <t>MXL</t>
        </is>
      </c>
      <c r="G50" t="n">
        <v>900006185</v>
      </c>
      <c r="H50" t="inlineStr">
        <is>
          <t>TP-ED-OLIELL ALMACÉN</t>
        </is>
      </c>
      <c r="I50" t="n">
        <v>5048484</v>
      </c>
      <c r="J50" t="inlineStr">
        <is>
          <t>COMERCIALIZADORA Y TRANSPORTADORA O</t>
        </is>
      </c>
      <c r="K50" t="inlineStr">
        <is>
          <t>Z00</t>
        </is>
      </c>
      <c r="L50" t="inlineStr">
        <is>
          <t>(AP) Pagadero Inmediatamente</t>
        </is>
      </c>
      <c r="M50" t="n">
        <v>10000357</v>
      </c>
      <c r="N50" t="inlineStr">
        <is>
          <t>Grava Triturada Andesita 20 mm - 3/4"</t>
        </is>
      </c>
      <c r="O50" t="inlineStr">
        <is>
          <t>D836</t>
        </is>
      </c>
      <c r="P50" t="inlineStr">
        <is>
          <t>MX-CED. CENTRO</t>
        </is>
      </c>
      <c r="Q50" t="n">
        <v>20190628</v>
      </c>
      <c r="R50" t="n">
        <v>20281231</v>
      </c>
      <c r="S50" t="n">
        <v>20200325</v>
      </c>
      <c r="T50" t="n">
        <v>20291231</v>
      </c>
      <c r="U50" t="n">
        <v>862</v>
      </c>
      <c r="V50" t="inlineStr">
        <is>
          <t>MXN</t>
        </is>
      </c>
      <c r="W50" t="inlineStr">
        <is>
          <t>TN</t>
        </is>
      </c>
      <c r="X50" t="n">
        <v>431</v>
      </c>
      <c r="Y50" t="inlineStr">
        <is>
          <t>MXN</t>
        </is>
      </c>
      <c r="Z50" t="inlineStr">
        <is>
          <t>TN</t>
        </is>
      </c>
      <c r="AA50" t="inlineStr">
        <is>
          <t>66847144</t>
        </is>
      </c>
      <c r="AB50" t="inlineStr">
        <is>
          <t>VERTIZ 1301 (LRR)</t>
        </is>
      </c>
      <c r="AC50" t="n">
        <v>56103637</v>
      </c>
      <c r="AD50" t="n">
        <v>6622261540</v>
      </c>
      <c r="AE50" t="n">
        <v>4</v>
      </c>
      <c r="AF50" t="inlineStr">
        <is>
          <t>ENTREGA DIRECTA</t>
        </is>
      </c>
      <c r="AG50" t="n">
        <v>1.326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D836-900006185-66847144-10000357-4</t>
        </is>
      </c>
    </row>
    <row r="51">
      <c r="A51" t="inlineStr">
        <is>
          <t>900006185D8366700591110000651</t>
        </is>
      </c>
      <c r="B51" t="inlineStr">
        <is>
          <t>4600045002-400</t>
        </is>
      </c>
      <c r="C51" t="n">
        <v>4600045002</v>
      </c>
      <c r="D51" t="n">
        <v>400</v>
      </c>
      <c r="E51" t="inlineStr">
        <is>
          <t>MXPO</t>
        </is>
      </c>
      <c r="F51" t="inlineStr">
        <is>
          <t>MXL</t>
        </is>
      </c>
      <c r="G51" t="n">
        <v>900006185</v>
      </c>
      <c r="H51" t="inlineStr">
        <is>
          <t>TP-ED-OLIELL ALMACÉN</t>
        </is>
      </c>
      <c r="I51" t="n">
        <v>5048484</v>
      </c>
      <c r="J51" t="inlineStr">
        <is>
          <t>COMERCIALIZADORA Y TRANSPORTADORA O</t>
        </is>
      </c>
      <c r="K51" t="inlineStr">
        <is>
          <t>Z00</t>
        </is>
      </c>
      <c r="L51" t="inlineStr">
        <is>
          <t>(AP) Pagadero Inmediatamente</t>
        </is>
      </c>
      <c r="M51" t="n">
        <v>10000651</v>
      </c>
      <c r="N51" t="inlineStr">
        <is>
          <t>Arena Triturada Andesita Malla 8</t>
        </is>
      </c>
      <c r="O51" t="inlineStr">
        <is>
          <t>D836</t>
        </is>
      </c>
      <c r="P51" t="inlineStr">
        <is>
          <t>MX-CED. CENTRO</t>
        </is>
      </c>
      <c r="Q51" t="n">
        <v>20190628</v>
      </c>
      <c r="R51" t="n">
        <v>20281231</v>
      </c>
      <c r="S51" t="n">
        <v>20210925</v>
      </c>
      <c r="T51" t="n">
        <v>20260925</v>
      </c>
      <c r="U51" t="n">
        <v>1470</v>
      </c>
      <c r="V51" t="inlineStr">
        <is>
          <t>MXN</t>
        </is>
      </c>
      <c r="W51" t="inlineStr">
        <is>
          <t>M3</t>
        </is>
      </c>
      <c r="X51" t="n">
        <v>220</v>
      </c>
      <c r="Y51" t="inlineStr">
        <is>
          <t>MXN</t>
        </is>
      </c>
      <c r="Z51" t="inlineStr">
        <is>
          <t>M3</t>
        </is>
      </c>
      <c r="AA51" t="inlineStr">
        <is>
          <t>67005911</t>
        </is>
      </c>
      <c r="AB51" t="inlineStr">
        <is>
          <t>SAN COSME</t>
        </is>
      </c>
      <c r="AC51" t="n">
        <v>56103638</v>
      </c>
      <c r="AD51" t="n">
        <v>6622261540</v>
      </c>
      <c r="AE51" t="n">
        <v>4</v>
      </c>
      <c r="AF51" t="inlineStr">
        <is>
          <t>ENTREGA DIRECTA</t>
        </is>
      </c>
      <c r="AG51" t="n">
        <v>1.35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D836-900006185-67005911-10000651-4</t>
        </is>
      </c>
    </row>
    <row r="52">
      <c r="A52" t="inlineStr">
        <is>
          <t>900006185D8366684269210000160</t>
        </is>
      </c>
      <c r="B52" t="inlineStr">
        <is>
          <t>4600045002-210</t>
        </is>
      </c>
      <c r="C52" t="n">
        <v>4600045002</v>
      </c>
      <c r="D52" t="n">
        <v>210</v>
      </c>
      <c r="E52" t="inlineStr">
        <is>
          <t>MXPO</t>
        </is>
      </c>
      <c r="F52" t="inlineStr">
        <is>
          <t>MXL</t>
        </is>
      </c>
      <c r="G52" t="n">
        <v>900006185</v>
      </c>
      <c r="H52" t="inlineStr">
        <is>
          <t>TP-ED-OLIELL ALMACÉN</t>
        </is>
      </c>
      <c r="I52" t="n">
        <v>5048484</v>
      </c>
      <c r="J52" t="inlineStr">
        <is>
          <t>COMERCIALIZADORA Y TRANSPORTADORA O</t>
        </is>
      </c>
      <c r="K52" t="inlineStr">
        <is>
          <t>Z00</t>
        </is>
      </c>
      <c r="L52" t="inlineStr">
        <is>
          <t>(AP) Pagadero Inmediatamente</t>
        </is>
      </c>
      <c r="M52" t="n">
        <v>10000160</v>
      </c>
      <c r="N52" t="inlineStr">
        <is>
          <t>Arena Triturada Andesita Malla 4</t>
        </is>
      </c>
      <c r="O52" t="inlineStr">
        <is>
          <t>D836</t>
        </is>
      </c>
      <c r="P52" t="inlineStr">
        <is>
          <t>MX-CED. CENTRO</t>
        </is>
      </c>
      <c r="Q52" t="n">
        <v>20190628</v>
      </c>
      <c r="R52" t="n">
        <v>20281231</v>
      </c>
      <c r="S52" t="n">
        <v>20200401</v>
      </c>
      <c r="T52" t="n">
        <v>20291231</v>
      </c>
      <c r="U52" t="n">
        <v>969.75</v>
      </c>
      <c r="V52" t="inlineStr">
        <is>
          <t>MXN</t>
        </is>
      </c>
      <c r="W52" t="inlineStr">
        <is>
          <t>M3</t>
        </is>
      </c>
      <c r="X52" t="n">
        <v>485</v>
      </c>
      <c r="Y52" t="inlineStr">
        <is>
          <t>MXN</t>
        </is>
      </c>
      <c r="Z52" t="inlineStr">
        <is>
          <t>M3</t>
        </is>
      </c>
      <c r="AA52" t="inlineStr">
        <is>
          <t>66842692</t>
        </is>
      </c>
      <c r="AB52" t="inlineStr">
        <is>
          <t>PCO HIDALGO  14  (JAM)</t>
        </is>
      </c>
      <c r="AC52" t="n">
        <v>56103638</v>
      </c>
      <c r="AD52" t="n">
        <v>6622261540</v>
      </c>
      <c r="AE52" t="n">
        <v>4</v>
      </c>
      <c r="AF52" t="inlineStr">
        <is>
          <t>ENTREGA DIRECTA</t>
        </is>
      </c>
      <c r="AG52" t="n">
        <v>1.409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D836-900006185-66842692-10000160-4</t>
        </is>
      </c>
    </row>
    <row r="53">
      <c r="A53" t="inlineStr">
        <is>
          <t>900007320D83610218000</t>
        </is>
      </c>
      <c r="B53" t="inlineStr">
        <is>
          <t>4600052075-40</t>
        </is>
      </c>
      <c r="C53" t="n">
        <v>4600052075</v>
      </c>
      <c r="D53" t="n">
        <v>40</v>
      </c>
      <c r="E53" t="inlineStr">
        <is>
          <t>MXPO</t>
        </is>
      </c>
      <c r="F53" t="inlineStr">
        <is>
          <t>MXL</t>
        </is>
      </c>
      <c r="G53" t="n">
        <v>900007320</v>
      </c>
      <c r="H53" t="inlineStr">
        <is>
          <t>SF TP-LOMA ANCHA SC</t>
        </is>
      </c>
      <c r="I53" t="n">
        <v>5047262</v>
      </c>
      <c r="J53" t="inlineStr">
        <is>
          <t>AGREGADOS PETREOS SAN CRISTOBAL</t>
        </is>
      </c>
      <c r="K53" t="inlineStr">
        <is>
          <t>Z03</t>
        </is>
      </c>
      <c r="L53" t="inlineStr">
        <is>
          <t>(AP) 15 Dias</t>
        </is>
      </c>
      <c r="M53" t="n">
        <v>10218000</v>
      </c>
      <c r="N53" t="inlineStr">
        <is>
          <t>PIEDRA MAMPOSTERIA NG</t>
        </is>
      </c>
      <c r="O53" t="inlineStr">
        <is>
          <t>D836</t>
        </is>
      </c>
      <c r="P53" t="inlineStr">
        <is>
          <t>MX-CED. CENTRO</t>
        </is>
      </c>
      <c r="Q53" t="n">
        <v>20210928</v>
      </c>
      <c r="R53" t="n">
        <v>20281231</v>
      </c>
      <c r="S53" t="n">
        <v>20220624</v>
      </c>
      <c r="T53" t="n">
        <v>20271231</v>
      </c>
      <c r="U53" t="n">
        <v>250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56103591</v>
      </c>
      <c r="AD53" t="n">
        <v>6622261540</v>
      </c>
      <c r="AE53" t="n">
        <v>1</v>
      </c>
      <c r="AF53" t="inlineStr">
        <is>
          <t>ENTREGADO</t>
        </is>
      </c>
      <c r="AG53" t="n">
        <v>1.35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D836-900007320-10218000</t>
        </is>
      </c>
    </row>
    <row r="54">
      <c r="A54" t="inlineStr">
        <is>
          <t>900006185D8366688696910000206</t>
        </is>
      </c>
      <c r="B54" t="inlineStr">
        <is>
          <t>4600045002-260</t>
        </is>
      </c>
      <c r="C54" t="n">
        <v>4600045002</v>
      </c>
      <c r="D54" t="n">
        <v>260</v>
      </c>
      <c r="E54" t="inlineStr">
        <is>
          <t>MXPO</t>
        </is>
      </c>
      <c r="F54" t="inlineStr">
        <is>
          <t>MXL</t>
        </is>
      </c>
      <c r="G54" t="n">
        <v>900006185</v>
      </c>
      <c r="H54" t="inlineStr">
        <is>
          <t>TP-ED-OLIELL ALMACÉN</t>
        </is>
      </c>
      <c r="I54" t="n">
        <v>5048484</v>
      </c>
      <c r="J54" t="inlineStr">
        <is>
          <t>COMERCIALIZADORA Y TRANSPORTADORA O</t>
        </is>
      </c>
      <c r="K54" t="inlineStr">
        <is>
          <t>Z00</t>
        </is>
      </c>
      <c r="L54" t="inlineStr">
        <is>
          <t>(AP) Pagadero Inmediatamente</t>
        </is>
      </c>
      <c r="M54" t="n">
        <v>10000206</v>
      </c>
      <c r="N54" t="inlineStr">
        <is>
          <t>Tepetate Triturado Tierra NA</t>
        </is>
      </c>
      <c r="O54" t="inlineStr">
        <is>
          <t>D836</t>
        </is>
      </c>
      <c r="P54" t="inlineStr">
        <is>
          <t>MX-CED. CENTRO</t>
        </is>
      </c>
      <c r="Q54" t="n">
        <v>20190628</v>
      </c>
      <c r="R54" t="n">
        <v>20281231</v>
      </c>
      <c r="S54" t="n">
        <v>20200922</v>
      </c>
      <c r="T54" t="n">
        <v>20291231</v>
      </c>
      <c r="U54" t="n">
        <v>671.5</v>
      </c>
      <c r="V54" t="inlineStr">
        <is>
          <t>MXN</t>
        </is>
      </c>
      <c r="W54" t="inlineStr">
        <is>
          <t>M3</t>
        </is>
      </c>
      <c r="X54" t="n">
        <v>396.5</v>
      </c>
      <c r="Y54" t="inlineStr">
        <is>
          <t>MXN</t>
        </is>
      </c>
      <c r="Z54" t="inlineStr">
        <is>
          <t>M3</t>
        </is>
      </c>
      <c r="AA54" t="inlineStr">
        <is>
          <t>66886969</t>
        </is>
      </c>
      <c r="AB54" t="inlineStr">
        <is>
          <t>HELM</t>
        </is>
      </c>
      <c r="AC54" t="n">
        <v>56103695</v>
      </c>
      <c r="AD54" t="n">
        <v>6622261540</v>
      </c>
      <c r="AE54" t="n">
        <v>4</v>
      </c>
      <c r="AF54" t="inlineStr">
        <is>
          <t>ENTREGA DIRECTA</t>
        </is>
      </c>
      <c r="AG54" t="n">
        <v>1.249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D836-900006185-66886969-10000206-4</t>
        </is>
      </c>
    </row>
    <row r="55">
      <c r="A55" t="inlineStr">
        <is>
          <t>900006185D8366715789910236867</t>
        </is>
      </c>
      <c r="B55" t="inlineStr">
        <is>
          <t>4600045002-480</t>
        </is>
      </c>
      <c r="C55" t="n">
        <v>4600045002</v>
      </c>
      <c r="D55" t="n">
        <v>480</v>
      </c>
      <c r="E55" t="inlineStr">
        <is>
          <t>MXPO</t>
        </is>
      </c>
      <c r="F55" t="inlineStr">
        <is>
          <t>MXL</t>
        </is>
      </c>
      <c r="G55" t="n">
        <v>900006185</v>
      </c>
      <c r="H55" t="inlineStr">
        <is>
          <t>TP-ED-OLIELL ALMACÉN</t>
        </is>
      </c>
      <c r="I55" t="n">
        <v>5048484</v>
      </c>
      <c r="J55" t="inlineStr">
        <is>
          <t>COMERCIALIZADORA Y TRANSPORTADORA O</t>
        </is>
      </c>
      <c r="K55" t="inlineStr">
        <is>
          <t>Z00</t>
        </is>
      </c>
      <c r="L55" t="inlineStr">
        <is>
          <t>(AP) Pagadero Inmediatamente</t>
        </is>
      </c>
      <c r="M55" t="n">
        <v>10236867</v>
      </c>
      <c r="N55" t="inlineStr">
        <is>
          <t>CERO FINO MARMOL - NG</t>
        </is>
      </c>
      <c r="O55" t="inlineStr">
        <is>
          <t>D836</t>
        </is>
      </c>
      <c r="P55" t="inlineStr">
        <is>
          <t>MX-CED. CENTRO</t>
        </is>
      </c>
      <c r="Q55" t="n">
        <v>20190628</v>
      </c>
      <c r="R55" t="n">
        <v>20281231</v>
      </c>
      <c r="S55" t="n">
        <v>20230703</v>
      </c>
      <c r="T55" t="n">
        <v>20281231</v>
      </c>
      <c r="U55" t="n">
        <v>2304</v>
      </c>
      <c r="V55" t="inlineStr">
        <is>
          <t>MXN</t>
        </is>
      </c>
      <c r="W55" t="inlineStr">
        <is>
          <t>TN</t>
        </is>
      </c>
      <c r="X55" t="n">
        <v>390</v>
      </c>
      <c r="Y55" t="inlineStr">
        <is>
          <t>MXN</t>
        </is>
      </c>
      <c r="Z55" t="inlineStr">
        <is>
          <t>TN</t>
        </is>
      </c>
      <c r="AA55" t="inlineStr">
        <is>
          <t>67157899</t>
        </is>
      </c>
      <c r="AB55" t="inlineStr">
        <is>
          <t>Nueva Embajada de EUA</t>
        </is>
      </c>
      <c r="AC55" t="n">
        <v>56103591</v>
      </c>
      <c r="AD55" t="n">
        <v>6622261540</v>
      </c>
      <c r="AE55" t="n">
        <v>4</v>
      </c>
      <c r="AF55" t="inlineStr">
        <is>
          <t>ENTREGA DIRECTA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D836-900006185-67157899-10236867-4</t>
        </is>
      </c>
    </row>
    <row r="56">
      <c r="A56" t="inlineStr">
        <is>
          <t>900006185D8366682319810000357</t>
        </is>
      </c>
      <c r="B56" t="inlineStr">
        <is>
          <t>4600045002-310</t>
        </is>
      </c>
      <c r="C56" t="n">
        <v>4600045002</v>
      </c>
      <c r="D56" t="n">
        <v>310</v>
      </c>
      <c r="E56" t="inlineStr">
        <is>
          <t>MXPO</t>
        </is>
      </c>
      <c r="F56" t="inlineStr">
        <is>
          <t>MXL</t>
        </is>
      </c>
      <c r="G56" t="n">
        <v>900006185</v>
      </c>
      <c r="H56" t="inlineStr">
        <is>
          <t>TP-ED-OLIELL ALMACÉN</t>
        </is>
      </c>
      <c r="I56" t="n">
        <v>5048484</v>
      </c>
      <c r="J56" t="inlineStr">
        <is>
          <t>COMERCIALIZADORA Y TRANSPORTADORA O</t>
        </is>
      </c>
      <c r="K56" t="inlineStr">
        <is>
          <t>Z00</t>
        </is>
      </c>
      <c r="L56" t="inlineStr">
        <is>
          <t>(AP) Pagadero Inmediatamente</t>
        </is>
      </c>
      <c r="M56" t="n">
        <v>10000357</v>
      </c>
      <c r="N56" t="inlineStr">
        <is>
          <t>Grava Triturada Andesita 20 mm - 3/4"</t>
        </is>
      </c>
      <c r="O56" t="inlineStr">
        <is>
          <t>D836</t>
        </is>
      </c>
      <c r="P56" t="inlineStr">
        <is>
          <t>MX-CED. CENTRO</t>
        </is>
      </c>
      <c r="Q56" t="n">
        <v>20190628</v>
      </c>
      <c r="R56" t="n">
        <v>20281231</v>
      </c>
      <c r="S56" t="n">
        <v>20210721</v>
      </c>
      <c r="T56" t="n">
        <v>20261231</v>
      </c>
      <c r="U56" t="n">
        <v>1545</v>
      </c>
      <c r="V56" t="inlineStr">
        <is>
          <t>MXN</t>
        </is>
      </c>
      <c r="W56" t="inlineStr">
        <is>
          <t>M3</t>
        </is>
      </c>
      <c r="X56" t="n">
        <v>220</v>
      </c>
      <c r="Y56" t="inlineStr">
        <is>
          <t>MXN</t>
        </is>
      </c>
      <c r="Z56" t="inlineStr">
        <is>
          <t>M3</t>
        </is>
      </c>
      <c r="AA56" t="inlineStr">
        <is>
          <t>66823198</t>
        </is>
      </c>
      <c r="AB56" t="inlineStr">
        <is>
          <t>LONDRES 208 (LRR)</t>
        </is>
      </c>
      <c r="AC56" t="n">
        <v>56103637</v>
      </c>
      <c r="AD56" t="n">
        <v>6622261540</v>
      </c>
      <c r="AE56" t="n">
        <v>4</v>
      </c>
      <c r="AF56" t="inlineStr">
        <is>
          <t>ENTREGA DIRECTA</t>
        </is>
      </c>
      <c r="AG56" t="n">
        <v>1.326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D836-900006185-66823198-10000357-4</t>
        </is>
      </c>
    </row>
    <row r="57">
      <c r="A57" t="inlineStr">
        <is>
          <t>900006185D8366690800410000651</t>
        </is>
      </c>
      <c r="B57" t="inlineStr">
        <is>
          <t>4600045002-360</t>
        </is>
      </c>
      <c r="C57" t="n">
        <v>4600045002</v>
      </c>
      <c r="D57" t="n">
        <v>360</v>
      </c>
      <c r="E57" t="inlineStr">
        <is>
          <t>MXPO</t>
        </is>
      </c>
      <c r="F57" t="inlineStr">
        <is>
          <t>MXL</t>
        </is>
      </c>
      <c r="G57" t="n">
        <v>900006185</v>
      </c>
      <c r="H57" t="inlineStr">
        <is>
          <t>TP-ED-OLIELL ALMACÉN</t>
        </is>
      </c>
      <c r="I57" t="n">
        <v>5048484</v>
      </c>
      <c r="J57" t="inlineStr">
        <is>
          <t>COMERCIALIZADORA Y TRANSPORTADORA O</t>
        </is>
      </c>
      <c r="K57" t="inlineStr">
        <is>
          <t>Z00</t>
        </is>
      </c>
      <c r="L57" t="inlineStr">
        <is>
          <t>(AP) Pagadero Inmediatamente</t>
        </is>
      </c>
      <c r="M57" t="n">
        <v>10000651</v>
      </c>
      <c r="N57" t="inlineStr">
        <is>
          <t>Arena Triturada Andesita Malla 8</t>
        </is>
      </c>
      <c r="O57" t="inlineStr">
        <is>
          <t>D836</t>
        </is>
      </c>
      <c r="P57" t="inlineStr">
        <is>
          <t>MX-CED. CENTRO</t>
        </is>
      </c>
      <c r="Q57" t="n">
        <v>20190628</v>
      </c>
      <c r="R57" t="n">
        <v>20281231</v>
      </c>
      <c r="S57" t="n">
        <v>20210805</v>
      </c>
      <c r="T57" t="n">
        <v>20261231</v>
      </c>
      <c r="U57" t="n">
        <v>1470</v>
      </c>
      <c r="V57" t="inlineStr">
        <is>
          <t>MXN</t>
        </is>
      </c>
      <c r="W57" t="inlineStr">
        <is>
          <t>M3</t>
        </is>
      </c>
      <c r="X57" t="n">
        <v>220</v>
      </c>
      <c r="Y57" t="inlineStr">
        <is>
          <t>MXN</t>
        </is>
      </c>
      <c r="Z57" t="inlineStr">
        <is>
          <t>M3</t>
        </is>
      </c>
      <c r="AA57" t="inlineStr">
        <is>
          <t>66908004</t>
        </is>
      </c>
      <c r="AB57" t="inlineStr">
        <is>
          <t>IGNACIO MANUEL ALTAMIRANO 7</t>
        </is>
      </c>
      <c r="AC57" t="n">
        <v>56103638</v>
      </c>
      <c r="AD57" t="n">
        <v>6622261540</v>
      </c>
      <c r="AE57" t="n">
        <v>4</v>
      </c>
      <c r="AF57" t="inlineStr">
        <is>
          <t>ENTREGA DIRECTA</t>
        </is>
      </c>
      <c r="AG57" t="n">
        <v>1.35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D836-900006185-66908004-10000651-4</t>
        </is>
      </c>
    </row>
    <row r="58">
      <c r="A58" t="inlineStr">
        <is>
          <t>900007320D83610216851</t>
        </is>
      </c>
      <c r="B58" t="inlineStr">
        <is>
          <t>4600052075-60</t>
        </is>
      </c>
      <c r="C58" t="n">
        <v>4600052075</v>
      </c>
      <c r="D58" t="n">
        <v>60</v>
      </c>
      <c r="E58" t="inlineStr">
        <is>
          <t>MXPO</t>
        </is>
      </c>
      <c r="F58" t="inlineStr">
        <is>
          <t>MXL</t>
        </is>
      </c>
      <c r="G58" t="n">
        <v>900007320</v>
      </c>
      <c r="H58" t="inlineStr">
        <is>
          <t>SF TP-LOMA ANCHA SC</t>
        </is>
      </c>
      <c r="I58" t="n">
        <v>5047262</v>
      </c>
      <c r="J58" t="inlineStr">
        <is>
          <t>AGREGADOS PETREOS SAN CRISTOBAL</t>
        </is>
      </c>
      <c r="K58" t="inlineStr">
        <is>
          <t>Z03</t>
        </is>
      </c>
      <c r="L58" t="inlineStr">
        <is>
          <t>(AP) 15 Dias</t>
        </is>
      </c>
      <c r="M58" t="n">
        <v>10216851</v>
      </c>
      <c r="N58" t="inlineStr">
        <is>
          <t>BASE HIDRAÚLICA - TEPETATE NG</t>
        </is>
      </c>
      <c r="O58" t="inlineStr">
        <is>
          <t>D836</t>
        </is>
      </c>
      <c r="P58" t="inlineStr">
        <is>
          <t>MX-CED. CENTRO</t>
        </is>
      </c>
      <c r="Q58" t="n">
        <v>20210928</v>
      </c>
      <c r="R58" t="n">
        <v>20281231</v>
      </c>
      <c r="S58" t="n">
        <v>20220624</v>
      </c>
      <c r="T58" t="n">
        <v>20271231</v>
      </c>
      <c r="U58" t="n">
        <v>15</v>
      </c>
      <c r="V58" t="inlineStr">
        <is>
          <t>MXN</t>
        </is>
      </c>
      <c r="W58" t="inlineStr">
        <is>
          <t>M3</t>
        </is>
      </c>
      <c r="X58" t="n">
        <v>0</v>
      </c>
      <c r="Y58" t="inlineStr">
        <is>
          <t>MXN</t>
        </is>
      </c>
      <c r="Z58" t="inlineStr">
        <is>
          <t>M3</t>
        </is>
      </c>
      <c r="AC58" t="n">
        <v>56103590</v>
      </c>
      <c r="AD58" t="n">
        <v>6622261540</v>
      </c>
      <c r="AE58" t="n">
        <v>1</v>
      </c>
      <c r="AF58" t="inlineStr">
        <is>
          <t>ENTREGADO</t>
        </is>
      </c>
      <c r="AG58" t="n">
        <v>1.249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D836-900007320-10216851</t>
        </is>
      </c>
    </row>
    <row r="59">
      <c r="A59" t="inlineStr">
        <is>
          <t>900006185D8366683068310000627</t>
        </is>
      </c>
      <c r="B59" t="inlineStr">
        <is>
          <t>4600045002-250</t>
        </is>
      </c>
      <c r="C59" t="n">
        <v>4600045002</v>
      </c>
      <c r="D59" t="n">
        <v>250</v>
      </c>
      <c r="E59" t="inlineStr">
        <is>
          <t>MXPO</t>
        </is>
      </c>
      <c r="F59" t="inlineStr">
        <is>
          <t>MXL</t>
        </is>
      </c>
      <c r="G59" t="n">
        <v>900006185</v>
      </c>
      <c r="H59" t="inlineStr">
        <is>
          <t>TP-ED-OLIELL ALMACÉN</t>
        </is>
      </c>
      <c r="I59" t="n">
        <v>5048484</v>
      </c>
      <c r="J59" t="inlineStr">
        <is>
          <t>COMERCIALIZADORA Y TRANSPORTADORA O</t>
        </is>
      </c>
      <c r="K59" t="inlineStr">
        <is>
          <t>Z00</t>
        </is>
      </c>
      <c r="L59" t="inlineStr">
        <is>
          <t>(AP) Pagadero Inmediatamente</t>
        </is>
      </c>
      <c r="M59" t="n">
        <v>10000627</v>
      </c>
      <c r="N59" t="inlineStr">
        <is>
          <t>Grava Triturada Andesita 10 mm - 3/8"</t>
        </is>
      </c>
      <c r="O59" t="inlineStr">
        <is>
          <t>D836</t>
        </is>
      </c>
      <c r="P59" t="inlineStr">
        <is>
          <t>MX-CED. CENTRO</t>
        </is>
      </c>
      <c r="Q59" t="n">
        <v>20190628</v>
      </c>
      <c r="R59" t="n">
        <v>20281231</v>
      </c>
      <c r="S59" t="n">
        <v>20200908</v>
      </c>
      <c r="T59" t="n">
        <v>20291231</v>
      </c>
      <c r="U59" t="n">
        <v>969.75</v>
      </c>
      <c r="V59" t="inlineStr">
        <is>
          <t>MXN</t>
        </is>
      </c>
      <c r="W59" t="inlineStr">
        <is>
          <t>M3</t>
        </is>
      </c>
      <c r="X59" t="n">
        <v>484.88</v>
      </c>
      <c r="Y59" t="inlineStr">
        <is>
          <t>MXN</t>
        </is>
      </c>
      <c r="Z59" t="inlineStr">
        <is>
          <t>M3</t>
        </is>
      </c>
      <c r="AA59" t="inlineStr">
        <is>
          <t>66830683</t>
        </is>
      </c>
      <c r="AB59" t="inlineStr">
        <is>
          <t>MITLA 240 (LRR)</t>
        </is>
      </c>
      <c r="AC59" t="n">
        <v>56103637</v>
      </c>
      <c r="AD59" t="n">
        <v>6622261540</v>
      </c>
      <c r="AE59" t="n">
        <v>4</v>
      </c>
      <c r="AF59" t="inlineStr">
        <is>
          <t>ENTREGA DIRECTA</t>
        </is>
      </c>
      <c r="AG59" t="n">
        <v>1.33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D836-900006185-66830683-10000627-4</t>
        </is>
      </c>
    </row>
    <row r="60">
      <c r="A60" t="inlineStr">
        <is>
          <t>900006185D8366650682710000133</t>
        </is>
      </c>
      <c r="B60" t="inlineStr">
        <is>
          <t>4600045002-280</t>
        </is>
      </c>
      <c r="C60" t="n">
        <v>4600045002</v>
      </c>
      <c r="D60" t="n">
        <v>280</v>
      </c>
      <c r="E60" t="inlineStr">
        <is>
          <t>MXPO</t>
        </is>
      </c>
      <c r="F60" t="inlineStr">
        <is>
          <t>MXL</t>
        </is>
      </c>
      <c r="G60" t="n">
        <v>900006185</v>
      </c>
      <c r="H60" t="inlineStr">
        <is>
          <t>TP-ED-OLIELL ALMACÉN</t>
        </is>
      </c>
      <c r="I60" t="n">
        <v>5048484</v>
      </c>
      <c r="J60" t="inlineStr">
        <is>
          <t>COMERCIALIZADORA Y TRANSPORTADORA O</t>
        </is>
      </c>
      <c r="K60" t="inlineStr">
        <is>
          <t>Z00</t>
        </is>
      </c>
      <c r="L60" t="inlineStr">
        <is>
          <t>(AP) Pagadero Inmediatamente</t>
        </is>
      </c>
      <c r="M60" t="n">
        <v>10000133</v>
      </c>
      <c r="N60" t="inlineStr">
        <is>
          <t>Grava Triturada Caliza 20 mm - 3/4"</t>
        </is>
      </c>
      <c r="O60" t="inlineStr">
        <is>
          <t>D836</t>
        </is>
      </c>
      <c r="P60" t="inlineStr">
        <is>
          <t>MX-CED. CENTRO</t>
        </is>
      </c>
      <c r="Q60" t="n">
        <v>20190628</v>
      </c>
      <c r="R60" t="n">
        <v>20281231</v>
      </c>
      <c r="S60" t="n">
        <v>20201028</v>
      </c>
      <c r="T60" t="n">
        <v>20291231</v>
      </c>
      <c r="U60" t="n">
        <v>1185.25</v>
      </c>
      <c r="V60" t="inlineStr">
        <is>
          <t>MXN</t>
        </is>
      </c>
      <c r="W60" t="inlineStr">
        <is>
          <t>M3</t>
        </is>
      </c>
      <c r="X60" t="n">
        <v>685.25</v>
      </c>
      <c r="Y60" t="inlineStr">
        <is>
          <t>MXN</t>
        </is>
      </c>
      <c r="Z60" t="inlineStr">
        <is>
          <t>M3</t>
        </is>
      </c>
      <c r="AA60" t="inlineStr">
        <is>
          <t>66506827</t>
        </is>
      </c>
      <c r="AB60" t="inlineStr">
        <is>
          <t>CC CRATER 823</t>
        </is>
      </c>
      <c r="AC60" t="n">
        <v>56103637</v>
      </c>
      <c r="AD60" t="n">
        <v>6622261540</v>
      </c>
      <c r="AE60" t="n">
        <v>4</v>
      </c>
      <c r="AF60" t="inlineStr">
        <is>
          <t>ENTREGA DIRECTA</t>
        </is>
      </c>
      <c r="AG60" t="n">
        <v>1.46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D836-900006185-66506827-10000133-4</t>
        </is>
      </c>
    </row>
    <row r="61">
      <c r="A61" t="inlineStr">
        <is>
          <t>900006185D8366690232010000357</t>
        </is>
      </c>
      <c r="B61" t="inlineStr">
        <is>
          <t>4600045002-390</t>
        </is>
      </c>
      <c r="C61" t="n">
        <v>4600045002</v>
      </c>
      <c r="D61" t="n">
        <v>390</v>
      </c>
      <c r="E61" t="inlineStr">
        <is>
          <t>MXPO</t>
        </is>
      </c>
      <c r="F61" t="inlineStr">
        <is>
          <t>MXL</t>
        </is>
      </c>
      <c r="G61" t="n">
        <v>900006185</v>
      </c>
      <c r="H61" t="inlineStr">
        <is>
          <t>TP-ED-OLIELL ALMACÉN</t>
        </is>
      </c>
      <c r="I61" t="n">
        <v>5048484</v>
      </c>
      <c r="J61" t="inlineStr">
        <is>
          <t>COMERCIALIZADORA Y TRANSPORTADORA O</t>
        </is>
      </c>
      <c r="K61" t="inlineStr">
        <is>
          <t>Z00</t>
        </is>
      </c>
      <c r="L61" t="inlineStr">
        <is>
          <t>(AP) Pagadero Inmediatamente</t>
        </is>
      </c>
      <c r="M61" t="n">
        <v>10000357</v>
      </c>
      <c r="N61" t="inlineStr">
        <is>
          <t>Grava Triturada Andesita 20 mm - 3/4"</t>
        </is>
      </c>
      <c r="O61" t="inlineStr">
        <is>
          <t>D836</t>
        </is>
      </c>
      <c r="P61" t="inlineStr">
        <is>
          <t>MX-CED. CENTRO</t>
        </is>
      </c>
      <c r="Q61" t="n">
        <v>20190628</v>
      </c>
      <c r="R61" t="n">
        <v>20281231</v>
      </c>
      <c r="S61" t="n">
        <v>20210805</v>
      </c>
      <c r="T61" t="n">
        <v>20261231</v>
      </c>
      <c r="U61" t="n">
        <v>1545</v>
      </c>
      <c r="V61" t="inlineStr">
        <is>
          <t>MXN</t>
        </is>
      </c>
      <c r="W61" t="inlineStr">
        <is>
          <t>M3</t>
        </is>
      </c>
      <c r="X61" t="n">
        <v>220</v>
      </c>
      <c r="Y61" t="inlineStr">
        <is>
          <t>MXN</t>
        </is>
      </c>
      <c r="Z61" t="inlineStr">
        <is>
          <t>M3</t>
        </is>
      </c>
      <c r="AA61" t="inlineStr">
        <is>
          <t>66902320</t>
        </is>
      </c>
      <c r="AB61" t="inlineStr">
        <is>
          <t>LONDRES #208</t>
        </is>
      </c>
      <c r="AC61" t="n">
        <v>56103637</v>
      </c>
      <c r="AD61" t="n">
        <v>6622261540</v>
      </c>
      <c r="AE61" t="n">
        <v>4</v>
      </c>
      <c r="AF61" t="inlineStr">
        <is>
          <t>ENTREGA DIRECTA</t>
        </is>
      </c>
      <c r="AG61" t="n">
        <v>1.326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D836-900006185-66902320-10000357-4</t>
        </is>
      </c>
    </row>
    <row r="62">
      <c r="A62" t="inlineStr">
        <is>
          <t>900006185D8366686965510000357</t>
        </is>
      </c>
      <c r="B62" t="inlineStr">
        <is>
          <t>4600045002-240</t>
        </is>
      </c>
      <c r="C62" t="n">
        <v>4600045002</v>
      </c>
      <c r="D62" t="n">
        <v>240</v>
      </c>
      <c r="E62" t="inlineStr">
        <is>
          <t>MXPO</t>
        </is>
      </c>
      <c r="F62" t="inlineStr">
        <is>
          <t>MXL</t>
        </is>
      </c>
      <c r="G62" t="n">
        <v>900006185</v>
      </c>
      <c r="H62" t="inlineStr">
        <is>
          <t>TP-ED-OLIELL ALMACÉN</t>
        </is>
      </c>
      <c r="I62" t="n">
        <v>5048484</v>
      </c>
      <c r="J62" t="inlineStr">
        <is>
          <t>COMERCIALIZADORA Y TRANSPORTADORA O</t>
        </is>
      </c>
      <c r="K62" t="inlineStr">
        <is>
          <t>Z00</t>
        </is>
      </c>
      <c r="L62" t="inlineStr">
        <is>
          <t>(AP) Pagadero Inmediatamente</t>
        </is>
      </c>
      <c r="M62" t="n">
        <v>10000357</v>
      </c>
      <c r="N62" t="inlineStr">
        <is>
          <t>Grava Triturada Andesita 20 mm - 3/4"</t>
        </is>
      </c>
      <c r="O62" t="inlineStr">
        <is>
          <t>D836</t>
        </is>
      </c>
      <c r="P62" t="inlineStr">
        <is>
          <t>MX-CED. CENTRO</t>
        </is>
      </c>
      <c r="Q62" t="n">
        <v>20190628</v>
      </c>
      <c r="R62" t="n">
        <v>20281231</v>
      </c>
      <c r="S62" t="n">
        <v>20200521</v>
      </c>
      <c r="T62" t="n">
        <v>20291231</v>
      </c>
      <c r="U62" t="n">
        <v>1293</v>
      </c>
      <c r="V62" t="inlineStr">
        <is>
          <t>MXN</t>
        </is>
      </c>
      <c r="W62" t="inlineStr">
        <is>
          <t>M3</t>
        </is>
      </c>
      <c r="X62" t="n">
        <v>646.5</v>
      </c>
      <c r="Y62" t="inlineStr">
        <is>
          <t>MXN</t>
        </is>
      </c>
      <c r="Z62" t="inlineStr">
        <is>
          <t>M3</t>
        </is>
      </c>
      <c r="AA62" t="inlineStr">
        <is>
          <t>66869655</t>
        </is>
      </c>
      <c r="AB62" t="inlineStr">
        <is>
          <t>ALEMANIA 11</t>
        </is>
      </c>
      <c r="AC62" t="n">
        <v>56103637</v>
      </c>
      <c r="AD62" t="n">
        <v>6622261540</v>
      </c>
      <c r="AE62" t="n">
        <v>4</v>
      </c>
      <c r="AF62" t="inlineStr">
        <is>
          <t>ENTREGA DIRECTA</t>
        </is>
      </c>
      <c r="AG62" t="n">
        <v>1.326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D836-900006185-66869655-10000357-4</t>
        </is>
      </c>
    </row>
    <row r="63">
      <c r="A63" t="inlineStr">
        <is>
          <t>900007320D83610217649</t>
        </is>
      </c>
      <c r="B63" t="inlineStr">
        <is>
          <t>4600052075-50</t>
        </is>
      </c>
      <c r="C63" t="n">
        <v>4600052075</v>
      </c>
      <c r="D63" t="n">
        <v>50</v>
      </c>
      <c r="E63" t="inlineStr">
        <is>
          <t>MXPO</t>
        </is>
      </c>
      <c r="F63" t="inlineStr">
        <is>
          <t>MXL</t>
        </is>
      </c>
      <c r="G63" t="n">
        <v>900007320</v>
      </c>
      <c r="H63" t="inlineStr">
        <is>
          <t>SF TP-LOMA ANCHA SC</t>
        </is>
      </c>
      <c r="I63" t="n">
        <v>5047262</v>
      </c>
      <c r="J63" t="inlineStr">
        <is>
          <t>AGREGADOS PETREOS SAN CRISTOBAL</t>
        </is>
      </c>
      <c r="K63" t="inlineStr">
        <is>
          <t>Z03</t>
        </is>
      </c>
      <c r="L63" t="inlineStr">
        <is>
          <t>(AP) 15 Dias</t>
        </is>
      </c>
      <c r="M63" t="n">
        <v>10217649</v>
      </c>
      <c r="N63" t="inlineStr">
        <is>
          <t>PIEDRA BRAZA NG</t>
        </is>
      </c>
      <c r="O63" t="inlineStr">
        <is>
          <t>D836</t>
        </is>
      </c>
      <c r="P63" t="inlineStr">
        <is>
          <t>MX-CED. CENTRO</t>
        </is>
      </c>
      <c r="Q63" t="n">
        <v>20210928</v>
      </c>
      <c r="R63" t="n">
        <v>20281231</v>
      </c>
      <c r="S63" t="n">
        <v>20220624</v>
      </c>
      <c r="T63" t="n">
        <v>20271231</v>
      </c>
      <c r="U63" t="n">
        <v>150</v>
      </c>
      <c r="V63" t="inlineStr">
        <is>
          <t>MXN</t>
        </is>
      </c>
      <c r="W63" t="inlineStr">
        <is>
          <t>M3</t>
        </is>
      </c>
      <c r="X63" t="n">
        <v>0</v>
      </c>
      <c r="Y63" t="inlineStr">
        <is>
          <t>MXN</t>
        </is>
      </c>
      <c r="Z63" t="inlineStr">
        <is>
          <t>M3</t>
        </is>
      </c>
      <c r="AC63" t="n">
        <v>56103591</v>
      </c>
      <c r="AD63" t="n">
        <v>6622261540</v>
      </c>
      <c r="AE63" t="n">
        <v>1</v>
      </c>
      <c r="AF63" t="inlineStr">
        <is>
          <t>ENTREGADO</t>
        </is>
      </c>
      <c r="AG63" t="n">
        <v>1.3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D836-900007320-10217649</t>
        </is>
      </c>
    </row>
    <row r="64">
      <c r="A64" t="inlineStr">
        <is>
          <t>900007320D83610000206</t>
        </is>
      </c>
      <c r="B64" t="inlineStr">
        <is>
          <t>4600052075-80</t>
        </is>
      </c>
      <c r="C64" t="n">
        <v>4600052075</v>
      </c>
      <c r="D64" t="n">
        <v>80</v>
      </c>
      <c r="E64" t="inlineStr">
        <is>
          <t>MXPO</t>
        </is>
      </c>
      <c r="F64" t="inlineStr">
        <is>
          <t>MXL</t>
        </is>
      </c>
      <c r="G64" t="n">
        <v>900007320</v>
      </c>
      <c r="H64" t="inlineStr">
        <is>
          <t>SF TP-LOMA ANCHA SC</t>
        </is>
      </c>
      <c r="I64" t="n">
        <v>5047262</v>
      </c>
      <c r="J64" t="inlineStr">
        <is>
          <t>AGREGADOS PETREOS SAN CRISTOBAL</t>
        </is>
      </c>
      <c r="K64" t="inlineStr">
        <is>
          <t>Z03</t>
        </is>
      </c>
      <c r="L64" t="inlineStr">
        <is>
          <t>(AP) 15 Dias</t>
        </is>
      </c>
      <c r="M64" t="n">
        <v>10000206</v>
      </c>
      <c r="N64" t="inlineStr">
        <is>
          <t>Tepetate Triturado Tierra NA</t>
        </is>
      </c>
      <c r="O64" t="inlineStr">
        <is>
          <t>D836</t>
        </is>
      </c>
      <c r="P64" t="inlineStr">
        <is>
          <t>MX-CED. CENTRO</t>
        </is>
      </c>
      <c r="Q64" t="n">
        <v>20210928</v>
      </c>
      <c r="R64" t="n">
        <v>20281231</v>
      </c>
      <c r="S64" t="n">
        <v>20221021</v>
      </c>
      <c r="T64" t="n">
        <v>20271231</v>
      </c>
      <c r="U64" t="n">
        <v>15</v>
      </c>
      <c r="V64" t="inlineStr">
        <is>
          <t>MXN</t>
        </is>
      </c>
      <c r="W64" t="inlineStr">
        <is>
          <t>M3</t>
        </is>
      </c>
      <c r="X64" t="n">
        <v>0</v>
      </c>
      <c r="Y64" t="inlineStr">
        <is>
          <t>MXN</t>
        </is>
      </c>
      <c r="Z64" t="inlineStr">
        <is>
          <t>M3</t>
        </is>
      </c>
      <c r="AC64" t="n">
        <v>56103695</v>
      </c>
      <c r="AD64" t="n">
        <v>6622261540</v>
      </c>
      <c r="AE64" t="n">
        <v>2</v>
      </c>
      <c r="AF64" t="inlineStr">
        <is>
          <t>RECOGIDO</t>
        </is>
      </c>
      <c r="AG64" t="n">
        <v>1.249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D836-900007320-10000206</t>
        </is>
      </c>
    </row>
    <row r="65">
      <c r="A65" t="inlineStr">
        <is>
          <t>900006185D8366699032210000357</t>
        </is>
      </c>
      <c r="B65" t="inlineStr">
        <is>
          <t>4600045002-350</t>
        </is>
      </c>
      <c r="C65" t="n">
        <v>4600045002</v>
      </c>
      <c r="D65" t="n">
        <v>350</v>
      </c>
      <c r="E65" t="inlineStr">
        <is>
          <t>MXPO</t>
        </is>
      </c>
      <c r="F65" t="inlineStr">
        <is>
          <t>MXL</t>
        </is>
      </c>
      <c r="G65" t="n">
        <v>900006185</v>
      </c>
      <c r="H65" t="inlineStr">
        <is>
          <t>TP-ED-OLIELL ALMACÉN</t>
        </is>
      </c>
      <c r="I65" t="n">
        <v>5048484</v>
      </c>
      <c r="J65" t="inlineStr">
        <is>
          <t>COMERCIALIZADORA Y TRANSPORTADORA O</t>
        </is>
      </c>
      <c r="K65" t="inlineStr">
        <is>
          <t>Z00</t>
        </is>
      </c>
      <c r="L65" t="inlineStr">
        <is>
          <t>(AP) Pagadero Inmediatamente</t>
        </is>
      </c>
      <c r="M65" t="n">
        <v>10000357</v>
      </c>
      <c r="N65" t="inlineStr">
        <is>
          <t>Grava Triturada Andesita 20 mm - 3/4"</t>
        </is>
      </c>
      <c r="O65" t="inlineStr">
        <is>
          <t>D836</t>
        </is>
      </c>
      <c r="P65" t="inlineStr">
        <is>
          <t>MX-CED. CENTRO</t>
        </is>
      </c>
      <c r="Q65" t="n">
        <v>20190628</v>
      </c>
      <c r="R65" t="n">
        <v>20281231</v>
      </c>
      <c r="S65" t="n">
        <v>20210721</v>
      </c>
      <c r="T65" t="n">
        <v>20261231</v>
      </c>
      <c r="U65" t="n">
        <v>1545</v>
      </c>
      <c r="V65" t="inlineStr">
        <is>
          <t>MXN</t>
        </is>
      </c>
      <c r="W65" t="inlineStr">
        <is>
          <t>M3</t>
        </is>
      </c>
      <c r="X65" t="n">
        <v>220</v>
      </c>
      <c r="Y65" t="inlineStr">
        <is>
          <t>MXN</t>
        </is>
      </c>
      <c r="Z65" t="inlineStr">
        <is>
          <t>M3</t>
        </is>
      </c>
      <c r="AA65" t="inlineStr">
        <is>
          <t>66990322</t>
        </is>
      </c>
      <c r="AB65" t="inlineStr">
        <is>
          <t>Londres 208</t>
        </is>
      </c>
      <c r="AC65" t="n">
        <v>56103637</v>
      </c>
      <c r="AD65" t="n">
        <v>6622261540</v>
      </c>
      <c r="AE65" t="n">
        <v>4</v>
      </c>
      <c r="AF65" t="inlineStr">
        <is>
          <t>ENTREGA DIRECTA</t>
        </is>
      </c>
      <c r="AG65" t="n">
        <v>1.326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D836-900006185-66990322-10000357-4</t>
        </is>
      </c>
    </row>
    <row r="66">
      <c r="A66" t="inlineStr">
        <is>
          <t>900006185D8366678875010000651</t>
        </is>
      </c>
      <c r="B66" t="inlineStr">
        <is>
          <t>4600045002-30</t>
        </is>
      </c>
      <c r="C66" t="n">
        <v>4600045002</v>
      </c>
      <c r="D66" t="n">
        <v>30</v>
      </c>
      <c r="E66" t="inlineStr">
        <is>
          <t>MXPO</t>
        </is>
      </c>
      <c r="F66" t="inlineStr">
        <is>
          <t>MXL</t>
        </is>
      </c>
      <c r="G66" t="n">
        <v>900006185</v>
      </c>
      <c r="H66" t="inlineStr">
        <is>
          <t>TP-ED-OLIELL ALMACÉN</t>
        </is>
      </c>
      <c r="I66" t="n">
        <v>5048484</v>
      </c>
      <c r="J66" t="inlineStr">
        <is>
          <t>COMERCIALIZADORA Y TRANSPORTADORA O</t>
        </is>
      </c>
      <c r="K66" t="inlineStr">
        <is>
          <t>Z00</t>
        </is>
      </c>
      <c r="L66" t="inlineStr">
        <is>
          <t>(AP) Pagadero Inmediatamente</t>
        </is>
      </c>
      <c r="M66" t="n">
        <v>10000651</v>
      </c>
      <c r="N66" t="inlineStr">
        <is>
          <t>Arena Triturada Andesita Malla 8</t>
        </is>
      </c>
      <c r="O66" t="inlineStr">
        <is>
          <t>D836</t>
        </is>
      </c>
      <c r="P66" t="inlineStr">
        <is>
          <t>MX-CED. CENTRO</t>
        </is>
      </c>
      <c r="Q66" t="n">
        <v>20190628</v>
      </c>
      <c r="R66" t="n">
        <v>20281231</v>
      </c>
      <c r="S66" t="n">
        <v>20191017</v>
      </c>
      <c r="T66" t="n">
        <v>20241231</v>
      </c>
      <c r="U66" t="n">
        <v>754.25</v>
      </c>
      <c r="V66" t="inlineStr">
        <is>
          <t>MXN</t>
        </is>
      </c>
      <c r="W66" t="inlineStr">
        <is>
          <t>TN</t>
        </is>
      </c>
      <c r="X66" t="n">
        <v>377.13</v>
      </c>
      <c r="Y66" t="inlineStr">
        <is>
          <t>MXN</t>
        </is>
      </c>
      <c r="Z66" t="inlineStr">
        <is>
          <t>TN</t>
        </is>
      </c>
      <c r="AA66" t="inlineStr">
        <is>
          <t>66788750</t>
        </is>
      </c>
      <c r="AB66" t="inlineStr">
        <is>
          <t>GABRIEL MANCERA</t>
        </is>
      </c>
      <c r="AC66" t="n">
        <v>56103638</v>
      </c>
      <c r="AD66" t="n">
        <v>6622261540</v>
      </c>
      <c r="AE66" t="n">
        <v>4</v>
      </c>
      <c r="AF66" t="inlineStr">
        <is>
          <t>ENTREGA DIRECTA</t>
        </is>
      </c>
      <c r="AG66" t="n">
        <v>1</v>
      </c>
      <c r="AH66" t="inlineStr">
        <is>
          <t>TO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D836-900006185-66788750-10000651-4</t>
        </is>
      </c>
    </row>
    <row r="67">
      <c r="A67" t="inlineStr">
        <is>
          <t>900006185D8366684269210000357</t>
        </is>
      </c>
      <c r="B67" t="inlineStr">
        <is>
          <t>4600045002-220</t>
        </is>
      </c>
      <c r="C67" t="n">
        <v>4600045002</v>
      </c>
      <c r="D67" t="n">
        <v>220</v>
      </c>
      <c r="E67" t="inlineStr">
        <is>
          <t>MXPO</t>
        </is>
      </c>
      <c r="F67" t="inlineStr">
        <is>
          <t>MXL</t>
        </is>
      </c>
      <c r="G67" t="n">
        <v>900006185</v>
      </c>
      <c r="H67" t="inlineStr">
        <is>
          <t>TP-ED-OLIELL ALMACÉN</t>
        </is>
      </c>
      <c r="I67" t="n">
        <v>5048484</v>
      </c>
      <c r="J67" t="inlineStr">
        <is>
          <t>COMERCIALIZADORA Y TRANSPORTADORA O</t>
        </is>
      </c>
      <c r="K67" t="inlineStr">
        <is>
          <t>Z00</t>
        </is>
      </c>
      <c r="L67" t="inlineStr">
        <is>
          <t>(AP) Pagadero Inmediatamente</t>
        </is>
      </c>
      <c r="M67" t="n">
        <v>10000357</v>
      </c>
      <c r="N67" t="inlineStr">
        <is>
          <t>Grava Triturada Andesita 20 mm - 3/4"</t>
        </is>
      </c>
      <c r="O67" t="inlineStr">
        <is>
          <t>D836</t>
        </is>
      </c>
      <c r="P67" t="inlineStr">
        <is>
          <t>MX-CED. CENTRO</t>
        </is>
      </c>
      <c r="Q67" t="n">
        <v>20190628</v>
      </c>
      <c r="R67" t="n">
        <v>20281231</v>
      </c>
      <c r="S67" t="n">
        <v>20200401</v>
      </c>
      <c r="T67" t="n">
        <v>20291231</v>
      </c>
      <c r="U67" t="n">
        <v>969.75</v>
      </c>
      <c r="V67" t="inlineStr">
        <is>
          <t>MXN</t>
        </is>
      </c>
      <c r="W67" t="inlineStr">
        <is>
          <t>M3</t>
        </is>
      </c>
      <c r="X67" t="n">
        <v>485</v>
      </c>
      <c r="Y67" t="inlineStr">
        <is>
          <t>MXN</t>
        </is>
      </c>
      <c r="Z67" t="inlineStr">
        <is>
          <t>M3</t>
        </is>
      </c>
      <c r="AA67" t="inlineStr">
        <is>
          <t>66842692</t>
        </is>
      </c>
      <c r="AB67" t="inlineStr">
        <is>
          <t>PCO HIDALGO  14  (JAM)</t>
        </is>
      </c>
      <c r="AC67" t="n">
        <v>56103637</v>
      </c>
      <c r="AD67" t="n">
        <v>6622261540</v>
      </c>
      <c r="AE67" t="n">
        <v>4</v>
      </c>
      <c r="AF67" t="inlineStr">
        <is>
          <t>ENTREGA DIRECTA</t>
        </is>
      </c>
      <c r="AG67" t="n">
        <v>1.326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D836-900006185-66842692-10000357-4</t>
        </is>
      </c>
    </row>
    <row r="68">
      <c r="A68" t="inlineStr">
        <is>
          <t>900006185D8366679447410000357</t>
        </is>
      </c>
      <c r="B68" t="inlineStr">
        <is>
          <t>4600045002-160</t>
        </is>
      </c>
      <c r="C68" t="n">
        <v>4600045002</v>
      </c>
      <c r="D68" t="n">
        <v>160</v>
      </c>
      <c r="E68" t="inlineStr">
        <is>
          <t>MXPO</t>
        </is>
      </c>
      <c r="F68" t="inlineStr">
        <is>
          <t>MXL</t>
        </is>
      </c>
      <c r="G68" t="n">
        <v>900006185</v>
      </c>
      <c r="H68" t="inlineStr">
        <is>
          <t>TP-ED-OLIELL ALMACÉN</t>
        </is>
      </c>
      <c r="I68" t="n">
        <v>5048484</v>
      </c>
      <c r="J68" t="inlineStr">
        <is>
          <t>COMERCIALIZADORA Y TRANSPORTADORA O</t>
        </is>
      </c>
      <c r="K68" t="inlineStr">
        <is>
          <t>Z00</t>
        </is>
      </c>
      <c r="L68" t="inlineStr">
        <is>
          <t>(AP) Pagadero Inmediatamente</t>
        </is>
      </c>
      <c r="M68" t="n">
        <v>10000357</v>
      </c>
      <c r="N68" t="inlineStr">
        <is>
          <t>Grava Triturada Andesita 20 mm - 3/4"</t>
        </is>
      </c>
      <c r="O68" t="inlineStr">
        <is>
          <t>D836</t>
        </is>
      </c>
      <c r="P68" t="inlineStr">
        <is>
          <t>MX-CED. CENTRO</t>
        </is>
      </c>
      <c r="Q68" t="n">
        <v>20190628</v>
      </c>
      <c r="R68" t="n">
        <v>20281231</v>
      </c>
      <c r="S68" t="n">
        <v>20200325</v>
      </c>
      <c r="T68" t="n">
        <v>20291231</v>
      </c>
      <c r="U68" t="n">
        <v>969.75</v>
      </c>
      <c r="V68" t="inlineStr">
        <is>
          <t>MXN</t>
        </is>
      </c>
      <c r="W68" t="inlineStr">
        <is>
          <t>TN</t>
        </is>
      </c>
      <c r="X68" t="n">
        <v>500</v>
      </c>
      <c r="Y68" t="inlineStr">
        <is>
          <t>MXN</t>
        </is>
      </c>
      <c r="Z68" t="inlineStr">
        <is>
          <t>TN</t>
        </is>
      </c>
      <c r="AA68" t="inlineStr">
        <is>
          <t>66794474</t>
        </is>
      </c>
      <c r="AB68" t="inlineStr">
        <is>
          <t>VT00901 CP-I LOSA ZAMORA</t>
        </is>
      </c>
      <c r="AC68" t="n">
        <v>56103637</v>
      </c>
      <c r="AD68" t="n">
        <v>6622261540</v>
      </c>
      <c r="AE68" t="n">
        <v>4</v>
      </c>
      <c r="AF68" t="inlineStr">
        <is>
          <t>ENTREGA DIRECTA</t>
        </is>
      </c>
      <c r="AG68" t="n">
        <v>1</v>
      </c>
      <c r="AH68" t="inlineStr">
        <is>
          <t>TO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D836-900006185-66794474-10000357-4</t>
        </is>
      </c>
    </row>
    <row r="69">
      <c r="A69" t="inlineStr">
        <is>
          <t>900006185D8366698900710178773</t>
        </is>
      </c>
      <c r="B69" t="inlineStr">
        <is>
          <t>4600045002-320</t>
        </is>
      </c>
      <c r="C69" t="n">
        <v>4600045002</v>
      </c>
      <c r="D69" t="n">
        <v>320</v>
      </c>
      <c r="E69" t="inlineStr">
        <is>
          <t>MXPO</t>
        </is>
      </c>
      <c r="F69" t="inlineStr">
        <is>
          <t>MXL</t>
        </is>
      </c>
      <c r="G69" t="n">
        <v>900006185</v>
      </c>
      <c r="H69" t="inlineStr">
        <is>
          <t>TP-ED-OLIELL ALMACÉN</t>
        </is>
      </c>
      <c r="I69" t="n">
        <v>5048484</v>
      </c>
      <c r="J69" t="inlineStr">
        <is>
          <t>COMERCIALIZADORA Y TRANSPORTADORA O</t>
        </is>
      </c>
      <c r="K69" t="inlineStr">
        <is>
          <t>Z00</t>
        </is>
      </c>
      <c r="L69" t="inlineStr">
        <is>
          <t>(AP) Pagadero Inmediatamente</t>
        </is>
      </c>
      <c r="M69" t="n">
        <v>10178773</v>
      </c>
      <c r="N69" t="inlineStr">
        <is>
          <t>GRAVA TRITURADA BASALTO 20 MM - 3/4"</t>
        </is>
      </c>
      <c r="O69" t="inlineStr">
        <is>
          <t>D836</t>
        </is>
      </c>
      <c r="P69" t="inlineStr">
        <is>
          <t>MX-CED. CENTRO</t>
        </is>
      </c>
      <c r="Q69" t="n">
        <v>20190628</v>
      </c>
      <c r="R69" t="n">
        <v>20281231</v>
      </c>
      <c r="S69" t="n">
        <v>20210721</v>
      </c>
      <c r="T69" t="n">
        <v>20261231</v>
      </c>
      <c r="U69" t="n">
        <v>2010</v>
      </c>
      <c r="V69" t="inlineStr">
        <is>
          <t>MXN</t>
        </is>
      </c>
      <c r="W69" t="inlineStr">
        <is>
          <t>M3</t>
        </is>
      </c>
      <c r="X69" t="n">
        <v>385</v>
      </c>
      <c r="Y69" t="inlineStr">
        <is>
          <t>MXN</t>
        </is>
      </c>
      <c r="Z69" t="inlineStr">
        <is>
          <t>M3</t>
        </is>
      </c>
      <c r="AA69" t="inlineStr">
        <is>
          <t>66989007</t>
        </is>
      </c>
      <c r="AB69" t="inlineStr">
        <is>
          <t>VT02102 CP-I 3a. Cda de citlali (la</t>
        </is>
      </c>
      <c r="AC69" t="n">
        <v>56103637</v>
      </c>
      <c r="AD69" t="n">
        <v>6622261540</v>
      </c>
      <c r="AE69" t="n">
        <v>4</v>
      </c>
      <c r="AF69" t="inlineStr">
        <is>
          <t>ENTREGA DIRECTA</t>
        </is>
      </c>
      <c r="AG69" t="n">
        <v>1.401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D836-900006185-66989007-10178773-4</t>
        </is>
      </c>
    </row>
    <row r="70">
      <c r="A70" t="inlineStr">
        <is>
          <t>900006185D8366655578110000160</t>
        </is>
      </c>
      <c r="B70" t="inlineStr">
        <is>
          <t>4600045002-50</t>
        </is>
      </c>
      <c r="C70" t="n">
        <v>4600045002</v>
      </c>
      <c r="D70" t="n">
        <v>50</v>
      </c>
      <c r="E70" t="inlineStr">
        <is>
          <t>MXPO</t>
        </is>
      </c>
      <c r="F70" t="inlineStr">
        <is>
          <t>MXL</t>
        </is>
      </c>
      <c r="G70" t="n">
        <v>900006185</v>
      </c>
      <c r="H70" t="inlineStr">
        <is>
          <t>TP-ED-OLIELL ALMACÉN</t>
        </is>
      </c>
      <c r="I70" t="n">
        <v>5048484</v>
      </c>
      <c r="J70" t="inlineStr">
        <is>
          <t>COMERCIALIZADORA Y TRANSPORTADORA O</t>
        </is>
      </c>
      <c r="K70" t="inlineStr">
        <is>
          <t>Z00</t>
        </is>
      </c>
      <c r="L70" t="inlineStr">
        <is>
          <t>(AP) Pagadero Inmediatamente</t>
        </is>
      </c>
      <c r="M70" t="n">
        <v>10000160</v>
      </c>
      <c r="N70" t="inlineStr">
        <is>
          <t>Arena Triturada Andesita Malla 4</t>
        </is>
      </c>
      <c r="O70" t="inlineStr">
        <is>
          <t>D836</t>
        </is>
      </c>
      <c r="P70" t="inlineStr">
        <is>
          <t>MX-CED. CENTRO</t>
        </is>
      </c>
      <c r="Q70" t="n">
        <v>20190628</v>
      </c>
      <c r="R70" t="n">
        <v>20281231</v>
      </c>
      <c r="S70" t="n">
        <v>20191104</v>
      </c>
      <c r="T70" t="n">
        <v>20241231</v>
      </c>
      <c r="U70" t="n">
        <v>1000</v>
      </c>
      <c r="V70" t="inlineStr">
        <is>
          <t>MXN</t>
        </is>
      </c>
      <c r="W70" t="inlineStr">
        <is>
          <t>M3</t>
        </is>
      </c>
      <c r="X70" t="n">
        <v>500</v>
      </c>
      <c r="Y70" t="inlineStr">
        <is>
          <t>MXN</t>
        </is>
      </c>
      <c r="Z70" t="inlineStr">
        <is>
          <t>M3</t>
        </is>
      </c>
      <c r="AA70" t="inlineStr">
        <is>
          <t>66555781</t>
        </is>
      </c>
      <c r="AB70" t="inlineStr">
        <is>
          <t>16 DE DICIEMBRE (DMS)</t>
        </is>
      </c>
      <c r="AC70" t="n">
        <v>56103638</v>
      </c>
      <c r="AD70" t="n">
        <v>6622261540</v>
      </c>
      <c r="AE70" t="n">
        <v>4</v>
      </c>
      <c r="AF70" t="inlineStr">
        <is>
          <t>ENTREGA DIRECTA</t>
        </is>
      </c>
      <c r="AG70" t="n">
        <v>1.409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D836-900006185-66555781-10000160-4</t>
        </is>
      </c>
    </row>
    <row r="71">
      <c r="A71" t="inlineStr">
        <is>
          <t>900006185D8366677927610175979</t>
        </is>
      </c>
      <c r="B71" t="inlineStr">
        <is>
          <t>4600045002-80</t>
        </is>
      </c>
      <c r="C71" t="n">
        <v>4600045002</v>
      </c>
      <c r="D71" t="n">
        <v>80</v>
      </c>
      <c r="E71" t="inlineStr">
        <is>
          <t>MXPO</t>
        </is>
      </c>
      <c r="F71" t="inlineStr">
        <is>
          <t>MXL</t>
        </is>
      </c>
      <c r="G71" t="n">
        <v>900006185</v>
      </c>
      <c r="H71" t="inlineStr">
        <is>
          <t>TP-ED-OLIELL ALMACÉN</t>
        </is>
      </c>
      <c r="I71" t="n">
        <v>5048484</v>
      </c>
      <c r="J71" t="inlineStr">
        <is>
          <t>COMERCIALIZADORA Y TRANSPORTADORA O</t>
        </is>
      </c>
      <c r="K71" t="inlineStr">
        <is>
          <t>Z00</t>
        </is>
      </c>
      <c r="L71" t="inlineStr">
        <is>
          <t>(AP) Pagadero Inmediatamente</t>
        </is>
      </c>
      <c r="M71" t="n">
        <v>10175979</v>
      </c>
      <c r="N71" t="inlineStr">
        <is>
          <t>CERO FINO MARMOL</t>
        </is>
      </c>
      <c r="O71" t="inlineStr">
        <is>
          <t>D836</t>
        </is>
      </c>
      <c r="P71" t="inlineStr">
        <is>
          <t>MX-CED. CENTRO</t>
        </is>
      </c>
      <c r="Q71" t="n">
        <v>20190628</v>
      </c>
      <c r="R71" t="n">
        <v>20281231</v>
      </c>
      <c r="S71" t="n">
        <v>20191114</v>
      </c>
      <c r="T71" t="n">
        <v>20241231</v>
      </c>
      <c r="U71" t="n">
        <v>1034.4</v>
      </c>
      <c r="V71" t="inlineStr">
        <is>
          <t>MXN</t>
        </is>
      </c>
      <c r="W71" t="inlineStr">
        <is>
          <t>TN</t>
        </is>
      </c>
      <c r="X71" t="n">
        <v>517.2</v>
      </c>
      <c r="Y71" t="inlineStr">
        <is>
          <t>MXN</t>
        </is>
      </c>
      <c r="Z71" t="inlineStr">
        <is>
          <t>TN</t>
        </is>
      </c>
      <c r="AA71" t="inlineStr">
        <is>
          <t>66779276</t>
        </is>
      </c>
      <c r="AB71" t="inlineStr">
        <is>
          <t>TVega Concretos</t>
        </is>
      </c>
      <c r="AC71" t="n">
        <v>56103638</v>
      </c>
      <c r="AD71" t="n">
        <v>6622261540</v>
      </c>
      <c r="AE71" t="n">
        <v>4</v>
      </c>
      <c r="AF71" t="inlineStr">
        <is>
          <t>ENTREGA DIRECTA</t>
        </is>
      </c>
      <c r="AG71" t="n">
        <v>1</v>
      </c>
      <c r="AH71" t="inlineStr">
        <is>
          <t>TO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D836-900006185-66779276-10175979-4</t>
        </is>
      </c>
    </row>
    <row r="72">
      <c r="A72" t="inlineStr">
        <is>
          <t>900007320D83610218415</t>
        </is>
      </c>
      <c r="B72" t="inlineStr">
        <is>
          <t>4600052075-70</t>
        </is>
      </c>
      <c r="C72" t="n">
        <v>4600052075</v>
      </c>
      <c r="D72" t="n">
        <v>70</v>
      </c>
      <c r="E72" t="inlineStr">
        <is>
          <t>MXPO</t>
        </is>
      </c>
      <c r="F72" t="inlineStr">
        <is>
          <t>MXL</t>
        </is>
      </c>
      <c r="G72" t="n">
        <v>900007320</v>
      </c>
      <c r="H72" t="inlineStr">
        <is>
          <t>SF TP-LOMA ANCHA SC</t>
        </is>
      </c>
      <c r="I72" t="n">
        <v>5047262</v>
      </c>
      <c r="J72" t="inlineStr">
        <is>
          <t>AGREGADOS PETREOS SAN CRISTOBAL</t>
        </is>
      </c>
      <c r="K72" t="inlineStr">
        <is>
          <t>Z03</t>
        </is>
      </c>
      <c r="L72" t="inlineStr">
        <is>
          <t>(AP) 15 Dias</t>
        </is>
      </c>
      <c r="M72" t="n">
        <v>10218415</v>
      </c>
      <c r="N72" t="inlineStr">
        <is>
          <t>ARENA TRITURADA ANDESITA MALLA 4 LOMA AN</t>
        </is>
      </c>
      <c r="O72" t="inlineStr">
        <is>
          <t>D836</t>
        </is>
      </c>
      <c r="P72" t="inlineStr">
        <is>
          <t>MX-CED. CENTRO</t>
        </is>
      </c>
      <c r="Q72" t="n">
        <v>20210928</v>
      </c>
      <c r="R72" t="n">
        <v>20281231</v>
      </c>
      <c r="S72" t="n">
        <v>20220719</v>
      </c>
      <c r="T72" t="n">
        <v>20271231</v>
      </c>
      <c r="U72" t="n">
        <v>85</v>
      </c>
      <c r="V72" t="inlineStr">
        <is>
          <t>MXN</t>
        </is>
      </c>
      <c r="W72" t="inlineStr">
        <is>
          <t>M3</t>
        </is>
      </c>
      <c r="X72" t="n">
        <v>0</v>
      </c>
      <c r="Y72" t="inlineStr">
        <is>
          <t>MXN</t>
        </is>
      </c>
      <c r="Z72" t="inlineStr">
        <is>
          <t>M3</t>
        </is>
      </c>
      <c r="AC72" t="n">
        <v>56103638</v>
      </c>
      <c r="AD72" t="n">
        <v>6622261540</v>
      </c>
      <c r="AE72" t="n">
        <v>2</v>
      </c>
      <c r="AF72" t="inlineStr">
        <is>
          <t>RECOGIDO</t>
        </is>
      </c>
      <c r="AG72" t="n">
        <v>1.409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D836-900007320-10218415</t>
        </is>
      </c>
    </row>
    <row r="73">
      <c r="A73" t="inlineStr">
        <is>
          <t>900006185D8366700591110000357</t>
        </is>
      </c>
      <c r="B73" t="inlineStr">
        <is>
          <t>4600045002-410</t>
        </is>
      </c>
      <c r="C73" t="n">
        <v>4600045002</v>
      </c>
      <c r="D73" t="n">
        <v>410</v>
      </c>
      <c r="E73" t="inlineStr">
        <is>
          <t>MXPO</t>
        </is>
      </c>
      <c r="F73" t="inlineStr">
        <is>
          <t>MXL</t>
        </is>
      </c>
      <c r="G73" t="n">
        <v>900006185</v>
      </c>
      <c r="H73" t="inlineStr">
        <is>
          <t>TP-ED-OLIELL ALMACÉN</t>
        </is>
      </c>
      <c r="I73" t="n">
        <v>5048484</v>
      </c>
      <c r="J73" t="inlineStr">
        <is>
          <t>COMERCIALIZADORA Y TRANSPORTADORA O</t>
        </is>
      </c>
      <c r="K73" t="inlineStr">
        <is>
          <t>Z00</t>
        </is>
      </c>
      <c r="L73" t="inlineStr">
        <is>
          <t>(AP) Pagadero Inmediatamente</t>
        </is>
      </c>
      <c r="M73" t="n">
        <v>10000357</v>
      </c>
      <c r="N73" t="inlineStr">
        <is>
          <t>Grava Triturada Andesita 20 mm - 3/4"</t>
        </is>
      </c>
      <c r="O73" t="inlineStr">
        <is>
          <t>D836</t>
        </is>
      </c>
      <c r="P73" t="inlineStr">
        <is>
          <t>MX-CED. CENTRO</t>
        </is>
      </c>
      <c r="Q73" t="n">
        <v>20190628</v>
      </c>
      <c r="R73" t="n">
        <v>20281231</v>
      </c>
      <c r="S73" t="n">
        <v>20210925</v>
      </c>
      <c r="T73" t="n">
        <v>20260925</v>
      </c>
      <c r="U73" t="n">
        <v>1545</v>
      </c>
      <c r="V73" t="inlineStr">
        <is>
          <t>MXN</t>
        </is>
      </c>
      <c r="W73" t="inlineStr">
        <is>
          <t>M3</t>
        </is>
      </c>
      <c r="X73" t="n">
        <v>220</v>
      </c>
      <c r="Y73" t="inlineStr">
        <is>
          <t>MXN</t>
        </is>
      </c>
      <c r="Z73" t="inlineStr">
        <is>
          <t>M3</t>
        </is>
      </c>
      <c r="AA73" t="inlineStr">
        <is>
          <t>67005911</t>
        </is>
      </c>
      <c r="AB73" t="inlineStr">
        <is>
          <t>SAN COSME</t>
        </is>
      </c>
      <c r="AC73" t="n">
        <v>56103637</v>
      </c>
      <c r="AD73" t="n">
        <v>6622261540</v>
      </c>
      <c r="AE73" t="n">
        <v>4</v>
      </c>
      <c r="AF73" t="inlineStr">
        <is>
          <t>ENTREGA DIRECTA</t>
        </is>
      </c>
      <c r="AG73" t="n">
        <v>1.326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D836-900006185-67005911-10000357-4</t>
        </is>
      </c>
    </row>
    <row r="74">
      <c r="A74" t="inlineStr">
        <is>
          <t>900006185D8366679447410000160</t>
        </is>
      </c>
      <c r="B74" t="inlineStr">
        <is>
          <t>4600045002-150</t>
        </is>
      </c>
      <c r="C74" t="n">
        <v>4600045002</v>
      </c>
      <c r="D74" t="n">
        <v>150</v>
      </c>
      <c r="E74" t="inlineStr">
        <is>
          <t>MXPO</t>
        </is>
      </c>
      <c r="F74" t="inlineStr">
        <is>
          <t>MXL</t>
        </is>
      </c>
      <c r="G74" t="n">
        <v>900006185</v>
      </c>
      <c r="H74" t="inlineStr">
        <is>
          <t>TP-ED-OLIELL ALMACÉN</t>
        </is>
      </c>
      <c r="I74" t="n">
        <v>5048484</v>
      </c>
      <c r="J74" t="inlineStr">
        <is>
          <t>COMERCIALIZADORA Y TRANSPORTADORA O</t>
        </is>
      </c>
      <c r="K74" t="inlineStr">
        <is>
          <t>Z00</t>
        </is>
      </c>
      <c r="L74" t="inlineStr">
        <is>
          <t>(AP) Pagadero Inmediatamente</t>
        </is>
      </c>
      <c r="M74" t="n">
        <v>10000160</v>
      </c>
      <c r="N74" t="inlineStr">
        <is>
          <t>Arena Triturada Andesita Malla 4</t>
        </is>
      </c>
      <c r="O74" t="inlineStr">
        <is>
          <t>D836</t>
        </is>
      </c>
      <c r="P74" t="inlineStr">
        <is>
          <t>MX-CED. CENTRO</t>
        </is>
      </c>
      <c r="Q74" t="n">
        <v>20190628</v>
      </c>
      <c r="R74" t="n">
        <v>20281231</v>
      </c>
      <c r="S74" t="n">
        <v>20200325</v>
      </c>
      <c r="T74" t="n">
        <v>20291231</v>
      </c>
      <c r="U74" t="n">
        <v>969.75</v>
      </c>
      <c r="V74" t="inlineStr">
        <is>
          <t>MXN</t>
        </is>
      </c>
      <c r="W74" t="inlineStr">
        <is>
          <t>TN</t>
        </is>
      </c>
      <c r="X74" t="n">
        <v>500</v>
      </c>
      <c r="Y74" t="inlineStr">
        <is>
          <t>MXN</t>
        </is>
      </c>
      <c r="Z74" t="inlineStr">
        <is>
          <t>TN</t>
        </is>
      </c>
      <c r="AA74" t="inlineStr">
        <is>
          <t>66794474</t>
        </is>
      </c>
      <c r="AB74" t="inlineStr">
        <is>
          <t>VT00901 CP-I LOSA ZAMORA</t>
        </is>
      </c>
      <c r="AC74" t="n">
        <v>56103638</v>
      </c>
      <c r="AD74" t="n">
        <v>6622261540</v>
      </c>
      <c r="AE74" t="n">
        <v>4</v>
      </c>
      <c r="AF74" t="inlineStr">
        <is>
          <t>ENTREGA DIRECTA</t>
        </is>
      </c>
      <c r="AG74" t="n">
        <v>1</v>
      </c>
      <c r="AH74" t="inlineStr">
        <is>
          <t>TO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D836-900006185-66794474-10000160-4</t>
        </is>
      </c>
    </row>
    <row r="75">
      <c r="A75" t="inlineStr">
        <is>
          <t>900006185D8366698900710000651</t>
        </is>
      </c>
      <c r="B75" t="inlineStr">
        <is>
          <t>4600045002-330</t>
        </is>
      </c>
      <c r="C75" t="n">
        <v>4600045002</v>
      </c>
      <c r="D75" t="n">
        <v>330</v>
      </c>
      <c r="E75" t="inlineStr">
        <is>
          <t>MXPO</t>
        </is>
      </c>
      <c r="F75" t="inlineStr">
        <is>
          <t>MXL</t>
        </is>
      </c>
      <c r="G75" t="n">
        <v>900006185</v>
      </c>
      <c r="H75" t="inlineStr">
        <is>
          <t>TP-ED-OLIELL ALMACÉN</t>
        </is>
      </c>
      <c r="I75" t="n">
        <v>5048484</v>
      </c>
      <c r="J75" t="inlineStr">
        <is>
          <t>COMERCIALIZADORA Y TRANSPORTADORA O</t>
        </is>
      </c>
      <c r="K75" t="inlineStr">
        <is>
          <t>Z00</t>
        </is>
      </c>
      <c r="L75" t="inlineStr">
        <is>
          <t>(AP) Pagadero Inmediatamente</t>
        </is>
      </c>
      <c r="M75" t="n">
        <v>10000651</v>
      </c>
      <c r="N75" t="inlineStr">
        <is>
          <t>Arena Triturada Andesita Malla 8</t>
        </is>
      </c>
      <c r="O75" t="inlineStr">
        <is>
          <t>D836</t>
        </is>
      </c>
      <c r="P75" t="inlineStr">
        <is>
          <t>MX-CED. CENTRO</t>
        </is>
      </c>
      <c r="Q75" t="n">
        <v>20190628</v>
      </c>
      <c r="R75" t="n">
        <v>20281231</v>
      </c>
      <c r="S75" t="n">
        <v>20210721</v>
      </c>
      <c r="T75" t="n">
        <v>20261231</v>
      </c>
      <c r="U75" t="n">
        <v>1635</v>
      </c>
      <c r="V75" t="inlineStr">
        <is>
          <t>MXN</t>
        </is>
      </c>
      <c r="W75" t="inlineStr">
        <is>
          <t>M3</t>
        </is>
      </c>
      <c r="X75" t="n">
        <v>385</v>
      </c>
      <c r="Y75" t="inlineStr">
        <is>
          <t>MXN</t>
        </is>
      </c>
      <c r="Z75" t="inlineStr">
        <is>
          <t>M3</t>
        </is>
      </c>
      <c r="AA75" t="inlineStr">
        <is>
          <t>66989007</t>
        </is>
      </c>
      <c r="AB75" t="inlineStr">
        <is>
          <t>VT02102 CP-I 3a. Cda de citlali (la</t>
        </is>
      </c>
      <c r="AC75" t="n">
        <v>56103638</v>
      </c>
      <c r="AD75" t="n">
        <v>6622261540</v>
      </c>
      <c r="AE75" t="n">
        <v>4</v>
      </c>
      <c r="AF75" t="inlineStr">
        <is>
          <t>ENTREGA DIRECTA</t>
        </is>
      </c>
      <c r="AG75" t="n">
        <v>1.35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D836-900006185-66989007-10000651-4</t>
        </is>
      </c>
    </row>
    <row r="76">
      <c r="A76" t="inlineStr">
        <is>
          <t>900002574D8366732774510000133</t>
        </is>
      </c>
      <c r="B76" t="inlineStr">
        <is>
          <t>4600027590-2650</t>
        </is>
      </c>
      <c r="C76" t="n">
        <v>4600027590</v>
      </c>
      <c r="D76" t="n">
        <v>2650</v>
      </c>
      <c r="E76" t="inlineStr">
        <is>
          <t>MXPO</t>
        </is>
      </c>
      <c r="F76" t="inlineStr">
        <is>
          <t>M02</t>
        </is>
      </c>
      <c r="G76" t="n">
        <v>900002574</v>
      </c>
      <c r="H76" t="inlineStr">
        <is>
          <t>TP-ED-OLIELL</t>
        </is>
      </c>
      <c r="I76" t="n">
        <v>5048484</v>
      </c>
      <c r="J76" t="inlineStr">
        <is>
          <t>COMERCIALIZADORA Y TRANSPORTADORA O</t>
        </is>
      </c>
      <c r="K76" t="inlineStr">
        <is>
          <t>N90</t>
        </is>
      </c>
      <c r="L76" t="inlineStr">
        <is>
          <t>(AP) NAFIN 90 Dias</t>
        </is>
      </c>
      <c r="M76" t="n">
        <v>10000133</v>
      </c>
      <c r="N76" t="inlineStr">
        <is>
          <t>Grava Triturada Caliza 20 mm - 3/4"</t>
        </is>
      </c>
      <c r="O76" t="inlineStr">
        <is>
          <t>D836</t>
        </is>
      </c>
      <c r="P76" t="inlineStr">
        <is>
          <t>MX-CED. CENTRO</t>
        </is>
      </c>
      <c r="Q76" t="n">
        <v>20141106</v>
      </c>
      <c r="R76" t="n">
        <v>20281231</v>
      </c>
      <c r="S76" t="n">
        <v>20250626</v>
      </c>
      <c r="T76" t="n">
        <v>20301231</v>
      </c>
      <c r="U76" t="n">
        <v>713.16</v>
      </c>
      <c r="V76" t="inlineStr">
        <is>
          <t>MXN</t>
        </is>
      </c>
      <c r="W76" t="inlineStr">
        <is>
          <t>M3</t>
        </is>
      </c>
      <c r="X76" t="n">
        <v>413.16</v>
      </c>
      <c r="Y76" t="inlineStr">
        <is>
          <t>MXN</t>
        </is>
      </c>
      <c r="Z76" t="inlineStr">
        <is>
          <t>M3</t>
        </is>
      </c>
      <c r="AA76" t="inlineStr">
        <is>
          <t>67327745</t>
        </is>
      </c>
      <c r="AB76" t="inlineStr">
        <is>
          <t xml:space="preserve"> GRUPO DESARROLLADOR INDUSTRIAL TEC</t>
        </is>
      </c>
      <c r="AC76" t="n">
        <v>56103637</v>
      </c>
      <c r="AD76" t="n">
        <v>6622261540</v>
      </c>
      <c r="AE76" t="n">
        <v>4</v>
      </c>
      <c r="AF76" t="inlineStr">
        <is>
          <t>ENTREGA DIRECTA</t>
        </is>
      </c>
      <c r="AG76" t="n">
        <v>1.46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20250701</v>
      </c>
      <c r="AM76" t="inlineStr">
        <is>
          <t>D836-900002574-67327745-10000133-4</t>
        </is>
      </c>
    </row>
    <row r="77">
      <c r="A77" t="inlineStr">
        <is>
          <t>900006185D8366677927610177979</t>
        </is>
      </c>
      <c r="B77" t="inlineStr">
        <is>
          <t>4600045002-90</t>
        </is>
      </c>
      <c r="C77" t="n">
        <v>4600045002</v>
      </c>
      <c r="D77" t="n">
        <v>90</v>
      </c>
      <c r="E77" t="inlineStr">
        <is>
          <t>MXPO</t>
        </is>
      </c>
      <c r="F77" t="inlineStr">
        <is>
          <t>MXL</t>
        </is>
      </c>
      <c r="G77" t="n">
        <v>900006185</v>
      </c>
      <c r="H77" t="inlineStr">
        <is>
          <t>TP-ED-OLIELL ALMACÉN</t>
        </is>
      </c>
      <c r="I77" t="n">
        <v>5048484</v>
      </c>
      <c r="J77" t="inlineStr">
        <is>
          <t>COMERCIALIZADORA Y TRANSPORTADORA O</t>
        </is>
      </c>
      <c r="K77" t="inlineStr">
        <is>
          <t>Z00</t>
        </is>
      </c>
      <c r="L77" t="inlineStr">
        <is>
          <t>(AP) Pagadero Inmediatamente</t>
        </is>
      </c>
      <c r="M77" t="n">
        <v>10177979</v>
      </c>
      <c r="N77" t="inlineStr">
        <is>
          <t>CERO GRUESO MARMOL</t>
        </is>
      </c>
      <c r="O77" t="inlineStr">
        <is>
          <t>D836</t>
        </is>
      </c>
      <c r="P77" t="inlineStr">
        <is>
          <t>MX-CED. CENTRO</t>
        </is>
      </c>
      <c r="Q77" t="n">
        <v>20190628</v>
      </c>
      <c r="R77" t="n">
        <v>20281231</v>
      </c>
      <c r="S77" t="n">
        <v>20191114</v>
      </c>
      <c r="T77" t="n">
        <v>20241231</v>
      </c>
      <c r="U77" t="n">
        <v>1034.4</v>
      </c>
      <c r="V77" t="inlineStr">
        <is>
          <t>MXN</t>
        </is>
      </c>
      <c r="W77" t="inlineStr">
        <is>
          <t>TN</t>
        </is>
      </c>
      <c r="X77" t="n">
        <v>517.2</v>
      </c>
      <c r="Y77" t="inlineStr">
        <is>
          <t>MXN</t>
        </is>
      </c>
      <c r="Z77" t="inlineStr">
        <is>
          <t>TN</t>
        </is>
      </c>
      <c r="AA77" t="inlineStr">
        <is>
          <t>66779276</t>
        </is>
      </c>
      <c r="AB77" t="inlineStr">
        <is>
          <t>TVega Concretos</t>
        </is>
      </c>
      <c r="AC77" t="n">
        <v>56103638</v>
      </c>
      <c r="AD77" t="n">
        <v>6622261540</v>
      </c>
      <c r="AE77" t="n">
        <v>4</v>
      </c>
      <c r="AF77" t="inlineStr">
        <is>
          <t>ENTREGA DIRECTA</t>
        </is>
      </c>
      <c r="AG77" t="n">
        <v>1</v>
      </c>
      <c r="AH77" t="inlineStr">
        <is>
          <t>TO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D836-900006185-66779276-10177979-4</t>
        </is>
      </c>
    </row>
    <row r="78">
      <c r="A78" t="inlineStr">
        <is>
          <t>900006185D8366690800410000357</t>
        </is>
      </c>
      <c r="B78" t="inlineStr">
        <is>
          <t>4600045002-370</t>
        </is>
      </c>
      <c r="C78" t="n">
        <v>4600045002</v>
      </c>
      <c r="D78" t="n">
        <v>370</v>
      </c>
      <c r="E78" t="inlineStr">
        <is>
          <t>MXPO</t>
        </is>
      </c>
      <c r="F78" t="inlineStr">
        <is>
          <t>MXL</t>
        </is>
      </c>
      <c r="G78" t="n">
        <v>900006185</v>
      </c>
      <c r="H78" t="inlineStr">
        <is>
          <t>TP-ED-OLIELL ALMACÉN</t>
        </is>
      </c>
      <c r="I78" t="n">
        <v>5048484</v>
      </c>
      <c r="J78" t="inlineStr">
        <is>
          <t>COMERCIALIZADORA Y TRANSPORTADORA O</t>
        </is>
      </c>
      <c r="K78" t="inlineStr">
        <is>
          <t>Z00</t>
        </is>
      </c>
      <c r="L78" t="inlineStr">
        <is>
          <t>(AP) Pagadero Inmediatamente</t>
        </is>
      </c>
      <c r="M78" t="n">
        <v>10000357</v>
      </c>
      <c r="N78" t="inlineStr">
        <is>
          <t>Grava Triturada Andesita 20 mm - 3/4"</t>
        </is>
      </c>
      <c r="O78" t="inlineStr">
        <is>
          <t>D836</t>
        </is>
      </c>
      <c r="P78" t="inlineStr">
        <is>
          <t>MX-CED. CENTRO</t>
        </is>
      </c>
      <c r="Q78" t="n">
        <v>20190628</v>
      </c>
      <c r="R78" t="n">
        <v>20281231</v>
      </c>
      <c r="S78" t="n">
        <v>20210805</v>
      </c>
      <c r="T78" t="n">
        <v>20261231</v>
      </c>
      <c r="U78" t="n">
        <v>1545</v>
      </c>
      <c r="V78" t="inlineStr">
        <is>
          <t>MXN</t>
        </is>
      </c>
      <c r="W78" t="inlineStr">
        <is>
          <t>M3</t>
        </is>
      </c>
      <c r="X78" t="n">
        <v>220</v>
      </c>
      <c r="Y78" t="inlineStr">
        <is>
          <t>MXN</t>
        </is>
      </c>
      <c r="Z78" t="inlineStr">
        <is>
          <t>M3</t>
        </is>
      </c>
      <c r="AA78" t="inlineStr">
        <is>
          <t>66908004</t>
        </is>
      </c>
      <c r="AB78" t="inlineStr">
        <is>
          <t>IGNACIO MANUEL ALTAMIRANO 7</t>
        </is>
      </c>
      <c r="AC78" t="n">
        <v>56103637</v>
      </c>
      <c r="AD78" t="n">
        <v>6622261540</v>
      </c>
      <c r="AE78" t="n">
        <v>4</v>
      </c>
      <c r="AF78" t="inlineStr">
        <is>
          <t>ENTREGA DIRECTA</t>
        </is>
      </c>
      <c r="AG78" t="n">
        <v>1.326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D836-900006185-66908004-10000357-4</t>
        </is>
      </c>
    </row>
    <row r="79">
      <c r="A79" t="inlineStr">
        <is>
          <t>900007320D83610003132</t>
        </is>
      </c>
      <c r="B79" t="inlineStr">
        <is>
          <t>4600052075-90</t>
        </is>
      </c>
      <c r="C79" t="n">
        <v>4600052075</v>
      </c>
      <c r="D79" t="n">
        <v>90</v>
      </c>
      <c r="E79" t="inlineStr">
        <is>
          <t>MXPO</t>
        </is>
      </c>
      <c r="F79" t="inlineStr">
        <is>
          <t>MXL</t>
        </is>
      </c>
      <c r="G79" t="n">
        <v>900007320</v>
      </c>
      <c r="H79" t="inlineStr">
        <is>
          <t>SF TP-LOMA ANCHA SC</t>
        </is>
      </c>
      <c r="I79" t="n">
        <v>5047262</v>
      </c>
      <c r="J79" t="inlineStr">
        <is>
          <t>AGREGADOS PETREOS SAN CRISTOBAL</t>
        </is>
      </c>
      <c r="K79" t="inlineStr">
        <is>
          <t>Z03</t>
        </is>
      </c>
      <c r="L79" t="inlineStr">
        <is>
          <t>(AP) 15 Dias</t>
        </is>
      </c>
      <c r="M79" t="n">
        <v>10003132</v>
      </c>
      <c r="N79" t="inlineStr">
        <is>
          <t>Base H Triturada Andesita  1 1/2" a Fino</t>
        </is>
      </c>
      <c r="O79" t="inlineStr">
        <is>
          <t>D836</t>
        </is>
      </c>
      <c r="P79" t="inlineStr">
        <is>
          <t>MX-CED. CENTRO</t>
        </is>
      </c>
      <c r="Q79" t="n">
        <v>20210928</v>
      </c>
      <c r="R79" t="n">
        <v>20281231</v>
      </c>
      <c r="S79" t="n">
        <v>20230221</v>
      </c>
      <c r="T79" t="n">
        <v>20281231</v>
      </c>
      <c r="U79" t="n">
        <v>105</v>
      </c>
      <c r="V79" t="inlineStr">
        <is>
          <t>MXN</t>
        </is>
      </c>
      <c r="W79" t="inlineStr">
        <is>
          <t>M3</t>
        </is>
      </c>
      <c r="X79" t="n">
        <v>0</v>
      </c>
      <c r="Y79" t="inlineStr">
        <is>
          <t>MXN</t>
        </is>
      </c>
      <c r="Z79" t="inlineStr">
        <is>
          <t>M3</t>
        </is>
      </c>
      <c r="AC79" t="n">
        <v>56103590</v>
      </c>
      <c r="AD79" t="n">
        <v>6622261540</v>
      </c>
      <c r="AE79" t="n">
        <v>1</v>
      </c>
      <c r="AF79" t="inlineStr">
        <is>
          <t>ENTREGADO</t>
        </is>
      </c>
      <c r="AG79" t="n">
        <v>1.29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D836-900007320-10003132</t>
        </is>
      </c>
    </row>
    <row r="80">
      <c r="A80" t="inlineStr">
        <is>
          <t>900006185D8366714527210000624</t>
        </is>
      </c>
      <c r="B80" t="inlineStr">
        <is>
          <t>4600045002-450</t>
        </is>
      </c>
      <c r="C80" t="n">
        <v>4600045002</v>
      </c>
      <c r="D80" t="n">
        <v>450</v>
      </c>
      <c r="E80" t="inlineStr">
        <is>
          <t>MXPO</t>
        </is>
      </c>
      <c r="F80" t="inlineStr">
        <is>
          <t>MXL</t>
        </is>
      </c>
      <c r="G80" t="n">
        <v>900006185</v>
      </c>
      <c r="H80" t="inlineStr">
        <is>
          <t>TP-ED-OLIELL ALMACÉN</t>
        </is>
      </c>
      <c r="I80" t="n">
        <v>5048484</v>
      </c>
      <c r="J80" t="inlineStr">
        <is>
          <t>COMERCIALIZADORA Y TRANSPORTADORA O</t>
        </is>
      </c>
      <c r="K80" t="inlineStr">
        <is>
          <t>Z00</t>
        </is>
      </c>
      <c r="L80" t="inlineStr">
        <is>
          <t>(AP) Pagadero Inmediatamente</t>
        </is>
      </c>
      <c r="M80" t="n">
        <v>10000624</v>
      </c>
      <c r="N80" t="inlineStr">
        <is>
          <t>Grava Triturada Caliza 40 mm - 1 1/2"</t>
        </is>
      </c>
      <c r="O80" t="inlineStr">
        <is>
          <t>D836</t>
        </is>
      </c>
      <c r="P80" t="inlineStr">
        <is>
          <t>MX-CED. CENTRO</t>
        </is>
      </c>
      <c r="Q80" t="n">
        <v>20190628</v>
      </c>
      <c r="R80" t="n">
        <v>20281231</v>
      </c>
      <c r="S80" t="n">
        <v>20230623</v>
      </c>
      <c r="T80" t="n">
        <v>20281231</v>
      </c>
      <c r="U80" t="n">
        <v>877.8</v>
      </c>
      <c r="V80" t="inlineStr">
        <is>
          <t>MXN</t>
        </is>
      </c>
      <c r="W80" t="inlineStr">
        <is>
          <t>M3</t>
        </is>
      </c>
      <c r="X80" t="n">
        <v>247.8</v>
      </c>
      <c r="Y80" t="inlineStr">
        <is>
          <t>MXN</t>
        </is>
      </c>
      <c r="Z80" t="inlineStr">
        <is>
          <t>M3</t>
        </is>
      </c>
      <c r="AA80" t="inlineStr">
        <is>
          <t>67145272</t>
        </is>
      </c>
      <c r="AB80" t="inlineStr">
        <is>
          <t>COMPLEJO FIVE  BOSQUE REAL</t>
        </is>
      </c>
      <c r="AC80" t="n">
        <v>56103637</v>
      </c>
      <c r="AD80" t="n">
        <v>6622261540</v>
      </c>
      <c r="AE80" t="n">
        <v>1</v>
      </c>
      <c r="AF80" t="inlineStr">
        <is>
          <t>ENTREGADO</t>
        </is>
      </c>
      <c r="AG80" t="n">
        <v>1.45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20230920</v>
      </c>
      <c r="AM80" t="inlineStr">
        <is>
          <t>D836-900006185-10000624</t>
        </is>
      </c>
    </row>
    <row r="81">
      <c r="A81" t="inlineStr">
        <is>
          <t>900006185D8366699864010000160</t>
        </is>
      </c>
      <c r="B81" t="inlineStr">
        <is>
          <t>4600045002-440</t>
        </is>
      </c>
      <c r="C81" t="n">
        <v>4600045002</v>
      </c>
      <c r="D81" t="n">
        <v>440</v>
      </c>
      <c r="E81" t="inlineStr">
        <is>
          <t>MXPO</t>
        </is>
      </c>
      <c r="F81" t="inlineStr">
        <is>
          <t>MXL</t>
        </is>
      </c>
      <c r="G81" t="n">
        <v>900006185</v>
      </c>
      <c r="H81" t="inlineStr">
        <is>
          <t>TP-ED-OLIELL ALMACÉN</t>
        </is>
      </c>
      <c r="I81" t="n">
        <v>5048484</v>
      </c>
      <c r="J81" t="inlineStr">
        <is>
          <t>COMERCIALIZADORA Y TRANSPORTADORA O</t>
        </is>
      </c>
      <c r="K81" t="inlineStr">
        <is>
          <t>Z00</t>
        </is>
      </c>
      <c r="L81" t="inlineStr">
        <is>
          <t>(AP) Pagadero Inmediatamente</t>
        </is>
      </c>
      <c r="M81" t="n">
        <v>10000160</v>
      </c>
      <c r="N81" t="inlineStr">
        <is>
          <t>Arena Triturada Andesita Malla 4</t>
        </is>
      </c>
      <c r="O81" t="inlineStr">
        <is>
          <t>D836</t>
        </is>
      </c>
      <c r="P81" t="inlineStr">
        <is>
          <t>MX-CED. CENTRO</t>
        </is>
      </c>
      <c r="Q81" t="n">
        <v>20190628</v>
      </c>
      <c r="R81" t="n">
        <v>20281231</v>
      </c>
      <c r="S81" t="n">
        <v>20211105</v>
      </c>
      <c r="T81" t="n">
        <v>20261231</v>
      </c>
      <c r="U81" t="n">
        <v>1764</v>
      </c>
      <c r="V81" t="inlineStr">
        <is>
          <t>MXN</t>
        </is>
      </c>
      <c r="W81" t="inlineStr">
        <is>
          <t>M3</t>
        </is>
      </c>
      <c r="X81" t="n">
        <v>264</v>
      </c>
      <c r="Y81" t="inlineStr">
        <is>
          <t>MXN</t>
        </is>
      </c>
      <c r="Z81" t="inlineStr">
        <is>
          <t>M3</t>
        </is>
      </c>
      <c r="AA81" t="inlineStr">
        <is>
          <t>66998640</t>
        </is>
      </c>
      <c r="AB81" t="inlineStr">
        <is>
          <t>CONSTRURAMA PAXSA.</t>
        </is>
      </c>
      <c r="AC81" t="n">
        <v>56103638</v>
      </c>
      <c r="AD81" t="n">
        <v>6622261540</v>
      </c>
      <c r="AE81" t="n">
        <v>4</v>
      </c>
      <c r="AF81" t="inlineStr">
        <is>
          <t>ENTREGA DIRECTA</t>
        </is>
      </c>
      <c r="AG81" t="n">
        <v>1.409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D836-900006185-66998640-10000160-4</t>
        </is>
      </c>
    </row>
    <row r="82">
      <c r="A82" t="inlineStr">
        <is>
          <t>900006185D8366678875010149994</t>
        </is>
      </c>
      <c r="B82" t="inlineStr">
        <is>
          <t>4600045002-10</t>
        </is>
      </c>
      <c r="C82" t="n">
        <v>4600045002</v>
      </c>
      <c r="D82" t="n">
        <v>10</v>
      </c>
      <c r="E82" t="inlineStr">
        <is>
          <t>MXPO</t>
        </is>
      </c>
      <c r="F82" t="inlineStr">
        <is>
          <t>MXL</t>
        </is>
      </c>
      <c r="G82" t="n">
        <v>900006185</v>
      </c>
      <c r="H82" t="inlineStr">
        <is>
          <t>TP-ED-OLIELL ALMACÉN</t>
        </is>
      </c>
      <c r="I82" t="n">
        <v>5048484</v>
      </c>
      <c r="J82" t="inlineStr">
        <is>
          <t>COMERCIALIZADORA Y TRANSPORTADORA O</t>
        </is>
      </c>
      <c r="K82" t="inlineStr">
        <is>
          <t>Z00</t>
        </is>
      </c>
      <c r="L82" t="inlineStr">
        <is>
          <t>(AP) Pagadero Inmediatamente</t>
        </is>
      </c>
      <c r="M82" t="n">
        <v>10149994</v>
      </c>
      <c r="N82" t="inlineStr">
        <is>
          <t>ARENA TRITURADA ANDESITA MALLA 4</t>
        </is>
      </c>
      <c r="O82" t="inlineStr">
        <is>
          <t>D836</t>
        </is>
      </c>
      <c r="P82" t="inlineStr">
        <is>
          <t>MX-CED. CENTRO</t>
        </is>
      </c>
      <c r="Q82" t="n">
        <v>20190628</v>
      </c>
      <c r="R82" t="n">
        <v>20281231</v>
      </c>
      <c r="S82" t="n">
        <v>20190628</v>
      </c>
      <c r="T82" t="n">
        <v>20241231</v>
      </c>
      <c r="U82" t="n">
        <v>754.3099999999999</v>
      </c>
      <c r="V82" t="inlineStr">
        <is>
          <t>MXN</t>
        </is>
      </c>
      <c r="W82" t="inlineStr">
        <is>
          <t>M3</t>
        </is>
      </c>
      <c r="X82" t="n">
        <v>377.16</v>
      </c>
      <c r="Y82" t="inlineStr">
        <is>
          <t>MXN</t>
        </is>
      </c>
      <c r="Z82" t="inlineStr">
        <is>
          <t>M3</t>
        </is>
      </c>
      <c r="AA82" t="inlineStr">
        <is>
          <t>66788750</t>
        </is>
      </c>
      <c r="AB82" t="inlineStr">
        <is>
          <t>GABRIEL MANCERA</t>
        </is>
      </c>
      <c r="AC82" t="n">
        <v>56103638</v>
      </c>
      <c r="AD82" t="n">
        <v>6622261540</v>
      </c>
      <c r="AE82" t="n">
        <v>4</v>
      </c>
      <c r="AF82" t="inlineStr">
        <is>
          <t>ENTREGA DIRECTA</t>
        </is>
      </c>
      <c r="AG82" t="n">
        <v>1.47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20230920</v>
      </c>
      <c r="AM82" t="inlineStr">
        <is>
          <t>D836-900006185-66788750-10149994-4</t>
        </is>
      </c>
    </row>
    <row r="83">
      <c r="A83" t="inlineStr">
        <is>
          <t>900006185D8366655578110000627</t>
        </is>
      </c>
      <c r="B83" t="inlineStr">
        <is>
          <t>4600045002-60</t>
        </is>
      </c>
      <c r="C83" t="n">
        <v>4600045002</v>
      </c>
      <c r="D83" t="n">
        <v>60</v>
      </c>
      <c r="E83" t="inlineStr">
        <is>
          <t>MXPO</t>
        </is>
      </c>
      <c r="F83" t="inlineStr">
        <is>
          <t>MXL</t>
        </is>
      </c>
      <c r="G83" t="n">
        <v>900006185</v>
      </c>
      <c r="H83" t="inlineStr">
        <is>
          <t>TP-ED-OLIELL ALMACÉN</t>
        </is>
      </c>
      <c r="I83" t="n">
        <v>5048484</v>
      </c>
      <c r="J83" t="inlineStr">
        <is>
          <t>COMERCIALIZADORA Y TRANSPORTADORA O</t>
        </is>
      </c>
      <c r="K83" t="inlineStr">
        <is>
          <t>Z00</t>
        </is>
      </c>
      <c r="L83" t="inlineStr">
        <is>
          <t>(AP) Pagadero Inmediatamente</t>
        </is>
      </c>
      <c r="M83" t="n">
        <v>10000627</v>
      </c>
      <c r="N83" t="inlineStr">
        <is>
          <t>Grava Triturada Andesita 10 mm - 3/8"</t>
        </is>
      </c>
      <c r="O83" t="inlineStr">
        <is>
          <t>D836</t>
        </is>
      </c>
      <c r="P83" t="inlineStr">
        <is>
          <t>MX-CED. CENTRO</t>
        </is>
      </c>
      <c r="Q83" t="n">
        <v>20190628</v>
      </c>
      <c r="R83" t="n">
        <v>20281231</v>
      </c>
      <c r="S83" t="n">
        <v>20191104</v>
      </c>
      <c r="T83" t="n">
        <v>20241231</v>
      </c>
      <c r="U83" t="n">
        <v>1000</v>
      </c>
      <c r="V83" t="inlineStr">
        <is>
          <t>MXN</t>
        </is>
      </c>
      <c r="W83" t="inlineStr">
        <is>
          <t>M3</t>
        </is>
      </c>
      <c r="X83" t="n">
        <v>500</v>
      </c>
      <c r="Y83" t="inlineStr">
        <is>
          <t>MXN</t>
        </is>
      </c>
      <c r="Z83" t="inlineStr">
        <is>
          <t>M3</t>
        </is>
      </c>
      <c r="AA83" t="inlineStr">
        <is>
          <t>66555781</t>
        </is>
      </c>
      <c r="AB83" t="inlineStr">
        <is>
          <t>16 DE DICIEMBRE (DMS)</t>
        </is>
      </c>
      <c r="AC83" t="n">
        <v>56103637</v>
      </c>
      <c r="AD83" t="n">
        <v>6622261540</v>
      </c>
      <c r="AE83" t="n">
        <v>4</v>
      </c>
      <c r="AF83" t="inlineStr">
        <is>
          <t>ENTREGA DIRECTA</t>
        </is>
      </c>
      <c r="AG83" t="n">
        <v>1.33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D836-900006185-66555781-10000627-4</t>
        </is>
      </c>
    </row>
    <row r="84">
      <c r="A84" t="inlineStr">
        <is>
          <t>900006185D8366660022710000357</t>
        </is>
      </c>
      <c r="B84" t="inlineStr">
        <is>
          <t>4600045002-430</t>
        </is>
      </c>
      <c r="C84" t="n">
        <v>4600045002</v>
      </c>
      <c r="D84" t="n">
        <v>430</v>
      </c>
      <c r="E84" t="inlineStr">
        <is>
          <t>MXPO</t>
        </is>
      </c>
      <c r="F84" t="inlineStr">
        <is>
          <t>MXL</t>
        </is>
      </c>
      <c r="G84" t="n">
        <v>900006185</v>
      </c>
      <c r="H84" t="inlineStr">
        <is>
          <t>TP-ED-OLIELL ALMACÉN</t>
        </is>
      </c>
      <c r="I84" t="n">
        <v>5048484</v>
      </c>
      <c r="J84" t="inlineStr">
        <is>
          <t>COMERCIALIZADORA Y TRANSPORTADORA O</t>
        </is>
      </c>
      <c r="K84" t="inlineStr">
        <is>
          <t>Z00</t>
        </is>
      </c>
      <c r="L84" t="inlineStr">
        <is>
          <t>(AP) Pagadero Inmediatamente</t>
        </is>
      </c>
      <c r="M84" t="n">
        <v>10000357</v>
      </c>
      <c r="N84" t="inlineStr">
        <is>
          <t>Grava Triturada Andesita 20 mm - 3/4"</t>
        </is>
      </c>
      <c r="O84" t="inlineStr">
        <is>
          <t>D836</t>
        </is>
      </c>
      <c r="P84" t="inlineStr">
        <is>
          <t>MX-CED. CENTRO</t>
        </is>
      </c>
      <c r="Q84" t="n">
        <v>20190628</v>
      </c>
      <c r="R84" t="n">
        <v>20281231</v>
      </c>
      <c r="S84" t="n">
        <v>20210925</v>
      </c>
      <c r="T84" t="n">
        <v>20260925</v>
      </c>
      <c r="U84" t="n">
        <v>1545</v>
      </c>
      <c r="V84" t="inlineStr">
        <is>
          <t>MXN</t>
        </is>
      </c>
      <c r="W84" t="inlineStr">
        <is>
          <t>M3</t>
        </is>
      </c>
      <c r="X84" t="n">
        <v>220</v>
      </c>
      <c r="Y84" t="inlineStr">
        <is>
          <t>MXN</t>
        </is>
      </c>
      <c r="Z84" t="inlineStr">
        <is>
          <t>M3</t>
        </is>
      </c>
      <c r="AA84" t="inlineStr">
        <is>
          <t>66600227</t>
        </is>
      </c>
      <c r="AB84" t="inlineStr">
        <is>
          <t>FA BENJAMIN HILL 261 (LRR)</t>
        </is>
      </c>
      <c r="AC84" t="n">
        <v>56103637</v>
      </c>
      <c r="AD84" t="n">
        <v>6622261540</v>
      </c>
      <c r="AE84" t="n">
        <v>4</v>
      </c>
      <c r="AF84" t="inlineStr">
        <is>
          <t>ENTREGA DIRECTA</t>
        </is>
      </c>
      <c r="AG84" t="n">
        <v>1.326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D836-900006185-66600227-10000357-4</t>
        </is>
      </c>
    </row>
    <row r="85">
      <c r="A85" t="inlineStr">
        <is>
          <t>900006185D8366655578110000357</t>
        </is>
      </c>
      <c r="B85" t="inlineStr">
        <is>
          <t>4600045002-40</t>
        </is>
      </c>
      <c r="C85" t="n">
        <v>4600045002</v>
      </c>
      <c r="D85" t="n">
        <v>40</v>
      </c>
      <c r="E85" t="inlineStr">
        <is>
          <t>MXPO</t>
        </is>
      </c>
      <c r="F85" t="inlineStr">
        <is>
          <t>MXL</t>
        </is>
      </c>
      <c r="G85" t="n">
        <v>900006185</v>
      </c>
      <c r="H85" t="inlineStr">
        <is>
          <t>TP-ED-OLIELL ALMACÉN</t>
        </is>
      </c>
      <c r="I85" t="n">
        <v>5048484</v>
      </c>
      <c r="J85" t="inlineStr">
        <is>
          <t>COMERCIALIZADORA Y TRANSPORTADORA O</t>
        </is>
      </c>
      <c r="K85" t="inlineStr">
        <is>
          <t>Z00</t>
        </is>
      </c>
      <c r="L85" t="inlineStr">
        <is>
          <t>(AP) Pagadero Inmediatamente</t>
        </is>
      </c>
      <c r="M85" t="n">
        <v>10000357</v>
      </c>
      <c r="N85" t="inlineStr">
        <is>
          <t>Grava Triturada Andesita 20 mm - 3/4"</t>
        </is>
      </c>
      <c r="O85" t="inlineStr">
        <is>
          <t>D836</t>
        </is>
      </c>
      <c r="P85" t="inlineStr">
        <is>
          <t>MX-CED. CENTRO</t>
        </is>
      </c>
      <c r="Q85" t="n">
        <v>20190628</v>
      </c>
      <c r="R85" t="n">
        <v>20281231</v>
      </c>
      <c r="S85" t="n">
        <v>20191104</v>
      </c>
      <c r="T85" t="n">
        <v>20241231</v>
      </c>
      <c r="U85" t="n">
        <v>1000</v>
      </c>
      <c r="V85" t="inlineStr">
        <is>
          <t>MXN</t>
        </is>
      </c>
      <c r="W85" t="inlineStr">
        <is>
          <t>M3</t>
        </is>
      </c>
      <c r="X85" t="n">
        <v>0</v>
      </c>
      <c r="Y85" t="inlineStr">
        <is>
          <t>MXN</t>
        </is>
      </c>
      <c r="Z85" t="inlineStr">
        <is>
          <t>M3</t>
        </is>
      </c>
      <c r="AA85" t="inlineStr">
        <is>
          <t>66555781</t>
        </is>
      </c>
      <c r="AB85" t="inlineStr">
        <is>
          <t>16 DE DICIEMBRE (DMS)</t>
        </is>
      </c>
      <c r="AC85" t="n">
        <v>56103637</v>
      </c>
      <c r="AD85" t="n">
        <v>6622261540</v>
      </c>
      <c r="AE85" t="n">
        <v>4</v>
      </c>
      <c r="AF85" t="inlineStr">
        <is>
          <t>ENTREGA DIRECTA</t>
        </is>
      </c>
      <c r="AG85" t="n">
        <v>1.326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D836-900006185-66555781-10000357-4</t>
        </is>
      </c>
    </row>
    <row r="86">
      <c r="A86" t="inlineStr">
        <is>
          <t>900006185D8366693331310000133</t>
        </is>
      </c>
      <c r="B86" t="inlineStr">
        <is>
          <t>4600045002-470</t>
        </is>
      </c>
      <c r="C86" t="n">
        <v>4600045002</v>
      </c>
      <c r="D86" t="n">
        <v>470</v>
      </c>
      <c r="E86" t="inlineStr">
        <is>
          <t>MXPO</t>
        </is>
      </c>
      <c r="F86" t="inlineStr">
        <is>
          <t>MXL</t>
        </is>
      </c>
      <c r="G86" t="n">
        <v>900006185</v>
      </c>
      <c r="H86" t="inlineStr">
        <is>
          <t>TP-ED-OLIELL ALMACÉN</t>
        </is>
      </c>
      <c r="I86" t="n">
        <v>5048484</v>
      </c>
      <c r="J86" t="inlineStr">
        <is>
          <t>COMERCIALIZADORA Y TRANSPORTADORA O</t>
        </is>
      </c>
      <c r="K86" t="inlineStr">
        <is>
          <t>Z00</t>
        </is>
      </c>
      <c r="L86" t="inlineStr">
        <is>
          <t>(AP) Pagadero Inmediatamente</t>
        </is>
      </c>
      <c r="M86" t="n">
        <v>10000133</v>
      </c>
      <c r="N86" t="inlineStr">
        <is>
          <t>Grava Triturada Caliza 20 mm - 3/4"</t>
        </is>
      </c>
      <c r="O86" t="inlineStr">
        <is>
          <t>D836</t>
        </is>
      </c>
      <c r="P86" t="inlineStr">
        <is>
          <t>MX-CED. CENTRO</t>
        </is>
      </c>
      <c r="Q86" t="n">
        <v>20190628</v>
      </c>
      <c r="R86" t="n">
        <v>20281231</v>
      </c>
      <c r="S86" t="n">
        <v>20230628</v>
      </c>
      <c r="T86" t="n">
        <v>20281231</v>
      </c>
      <c r="U86" t="n">
        <v>217.31</v>
      </c>
      <c r="V86" t="inlineStr">
        <is>
          <t>MXN</t>
        </is>
      </c>
      <c r="W86" t="inlineStr">
        <is>
          <t>TN</t>
        </is>
      </c>
      <c r="X86" t="n">
        <v>119.13</v>
      </c>
      <c r="Y86" t="inlineStr">
        <is>
          <t>MXN</t>
        </is>
      </c>
      <c r="Z86" t="inlineStr">
        <is>
          <t>TN</t>
        </is>
      </c>
      <c r="AA86" t="inlineStr">
        <is>
          <t>66933313</t>
        </is>
      </c>
      <c r="AB86" t="inlineStr">
        <is>
          <t>Centro Ecuestre Miguel Hidalgo</t>
        </is>
      </c>
      <c r="AC86" t="n">
        <v>56103637</v>
      </c>
      <c r="AD86" t="n">
        <v>6622261540</v>
      </c>
      <c r="AE86" t="n">
        <v>4</v>
      </c>
      <c r="AF86" t="inlineStr">
        <is>
          <t>ENTREGA DIRECTA</t>
        </is>
      </c>
      <c r="AG86" t="n">
        <v>1</v>
      </c>
      <c r="AH86" t="inlineStr">
        <is>
          <t>TO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D836-900006185-66933313-10000133-4</t>
        </is>
      </c>
    </row>
    <row r="87">
      <c r="A87" t="inlineStr">
        <is>
          <t>900006185D8366686965510000160</t>
        </is>
      </c>
      <c r="B87" t="inlineStr">
        <is>
          <t>4600045002-230</t>
        </is>
      </c>
      <c r="C87" t="n">
        <v>4600045002</v>
      </c>
      <c r="D87" t="n">
        <v>230</v>
      </c>
      <c r="E87" t="inlineStr">
        <is>
          <t>MXPO</t>
        </is>
      </c>
      <c r="F87" t="inlineStr">
        <is>
          <t>MXL</t>
        </is>
      </c>
      <c r="G87" t="n">
        <v>900006185</v>
      </c>
      <c r="H87" t="inlineStr">
        <is>
          <t>TP-ED-OLIELL ALMACÉN</t>
        </is>
      </c>
      <c r="I87" t="n">
        <v>5048484</v>
      </c>
      <c r="J87" t="inlineStr">
        <is>
          <t>COMERCIALIZADORA Y TRANSPORTADORA O</t>
        </is>
      </c>
      <c r="K87" t="inlineStr">
        <is>
          <t>Z00</t>
        </is>
      </c>
      <c r="L87" t="inlineStr">
        <is>
          <t>(AP) Pagadero Inmediatamente</t>
        </is>
      </c>
      <c r="M87" t="n">
        <v>10000160</v>
      </c>
      <c r="N87" t="inlineStr">
        <is>
          <t>Arena Triturada Andesita Malla 4</t>
        </is>
      </c>
      <c r="O87" t="inlineStr">
        <is>
          <t>D836</t>
        </is>
      </c>
      <c r="P87" t="inlineStr">
        <is>
          <t>MX-CED. CENTRO</t>
        </is>
      </c>
      <c r="Q87" t="n">
        <v>20190628</v>
      </c>
      <c r="R87" t="n">
        <v>20281231</v>
      </c>
      <c r="S87" t="n">
        <v>20200521</v>
      </c>
      <c r="T87" t="n">
        <v>20291231</v>
      </c>
      <c r="U87" t="n">
        <v>1293</v>
      </c>
      <c r="V87" t="inlineStr">
        <is>
          <t>MXN</t>
        </is>
      </c>
      <c r="W87" t="inlineStr">
        <is>
          <t>M3</t>
        </is>
      </c>
      <c r="X87" t="n">
        <v>646.5</v>
      </c>
      <c r="Y87" t="inlineStr">
        <is>
          <t>MXN</t>
        </is>
      </c>
      <c r="Z87" t="inlineStr">
        <is>
          <t>M3</t>
        </is>
      </c>
      <c r="AA87" t="inlineStr">
        <is>
          <t>66869655</t>
        </is>
      </c>
      <c r="AB87" t="inlineStr">
        <is>
          <t>ALEMANIA 11</t>
        </is>
      </c>
      <c r="AC87" t="n">
        <v>56103638</v>
      </c>
      <c r="AD87" t="n">
        <v>6622261540</v>
      </c>
      <c r="AE87" t="n">
        <v>4</v>
      </c>
      <c r="AF87" t="inlineStr">
        <is>
          <t>ENTREGA DIRECTA</t>
        </is>
      </c>
      <c r="AG87" t="n">
        <v>1.409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D836-900006185-66869655-10000160-4</t>
        </is>
      </c>
    </row>
    <row r="88">
      <c r="A88" t="inlineStr">
        <is>
          <t>900006185D8366693331310149994</t>
        </is>
      </c>
      <c r="B88" t="inlineStr">
        <is>
          <t>4600045002-460</t>
        </is>
      </c>
      <c r="C88" t="n">
        <v>4600045002</v>
      </c>
      <c r="D88" t="n">
        <v>460</v>
      </c>
      <c r="E88" t="inlineStr">
        <is>
          <t>MXPO</t>
        </is>
      </c>
      <c r="F88" t="inlineStr">
        <is>
          <t>MXL</t>
        </is>
      </c>
      <c r="G88" t="n">
        <v>900006185</v>
      </c>
      <c r="H88" t="inlineStr">
        <is>
          <t>TP-ED-OLIELL ALMACÉN</t>
        </is>
      </c>
      <c r="I88" t="n">
        <v>5048484</v>
      </c>
      <c r="J88" t="inlineStr">
        <is>
          <t>COMERCIALIZADORA Y TRANSPORTADORA O</t>
        </is>
      </c>
      <c r="K88" t="inlineStr">
        <is>
          <t>Z00</t>
        </is>
      </c>
      <c r="L88" t="inlineStr">
        <is>
          <t>(AP) Pagadero Inmediatamente</t>
        </is>
      </c>
      <c r="M88" t="n">
        <v>10149994</v>
      </c>
      <c r="N88" t="inlineStr">
        <is>
          <t>ARENA TRITURADA ANDESITA MALLA 4</t>
        </is>
      </c>
      <c r="O88" t="inlineStr">
        <is>
          <t>D836</t>
        </is>
      </c>
      <c r="P88" t="inlineStr">
        <is>
          <t>MX-CED. CENTRO</t>
        </is>
      </c>
      <c r="Q88" t="n">
        <v>20190628</v>
      </c>
      <c r="R88" t="n">
        <v>20281231</v>
      </c>
      <c r="S88" t="n">
        <v>20230628</v>
      </c>
      <c r="T88" t="n">
        <v>20281231</v>
      </c>
      <c r="U88" t="n">
        <v>191.68</v>
      </c>
      <c r="V88" t="inlineStr">
        <is>
          <t>MXN</t>
        </is>
      </c>
      <c r="W88" t="inlineStr">
        <is>
          <t>TN</t>
        </is>
      </c>
      <c r="X88" t="n">
        <v>107.49</v>
      </c>
      <c r="Y88" t="inlineStr">
        <is>
          <t>MXN</t>
        </is>
      </c>
      <c r="Z88" t="inlineStr">
        <is>
          <t>TN</t>
        </is>
      </c>
      <c r="AA88" t="inlineStr">
        <is>
          <t>66933313</t>
        </is>
      </c>
      <c r="AB88" t="inlineStr">
        <is>
          <t>Centro Ecuestre Miguel Hidalgo</t>
        </is>
      </c>
      <c r="AC88" t="n">
        <v>56103638</v>
      </c>
      <c r="AD88" t="n">
        <v>6622261540</v>
      </c>
      <c r="AE88" t="n">
        <v>4</v>
      </c>
      <c r="AF88" t="inlineStr">
        <is>
          <t>ENTREGA DIRECTA</t>
        </is>
      </c>
      <c r="AG88" t="n">
        <v>1</v>
      </c>
      <c r="AH88" t="inlineStr">
        <is>
          <t>TO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D836-900006185-66933313-10149994-4</t>
        </is>
      </c>
    </row>
    <row r="89">
      <c r="A89" t="inlineStr">
        <is>
          <t>900006185D8366697614010000133</t>
        </is>
      </c>
      <c r="B89" t="inlineStr">
        <is>
          <t>4600045002-290</t>
        </is>
      </c>
      <c r="C89" t="n">
        <v>4600045002</v>
      </c>
      <c r="D89" t="n">
        <v>290</v>
      </c>
      <c r="E89" t="inlineStr">
        <is>
          <t>MXPO</t>
        </is>
      </c>
      <c r="F89" t="inlineStr">
        <is>
          <t>MXL</t>
        </is>
      </c>
      <c r="G89" t="n">
        <v>900006185</v>
      </c>
      <c r="H89" t="inlineStr">
        <is>
          <t>TP-ED-OLIELL ALMACÉN</t>
        </is>
      </c>
      <c r="I89" t="n">
        <v>5048484</v>
      </c>
      <c r="J89" t="inlineStr">
        <is>
          <t>COMERCIALIZADORA Y TRANSPORTADORA O</t>
        </is>
      </c>
      <c r="K89" t="inlineStr">
        <is>
          <t>Z00</t>
        </is>
      </c>
      <c r="L89" t="inlineStr">
        <is>
          <t>(AP) Pagadero Inmediatamente</t>
        </is>
      </c>
      <c r="M89" t="n">
        <v>10000133</v>
      </c>
      <c r="N89" t="inlineStr">
        <is>
          <t>Grava Triturada Caliza 20 mm - 3/4"</t>
        </is>
      </c>
      <c r="O89" t="inlineStr">
        <is>
          <t>D836</t>
        </is>
      </c>
      <c r="P89" t="inlineStr">
        <is>
          <t>MX-CED. CENTRO</t>
        </is>
      </c>
      <c r="Q89" t="n">
        <v>20190628</v>
      </c>
      <c r="R89" t="n">
        <v>20281231</v>
      </c>
      <c r="S89" t="n">
        <v>20210528</v>
      </c>
      <c r="T89" t="n">
        <v>20291231</v>
      </c>
      <c r="U89" t="n">
        <v>1940</v>
      </c>
      <c r="V89" t="inlineStr">
        <is>
          <t>MXN</t>
        </is>
      </c>
      <c r="W89" t="inlineStr">
        <is>
          <t>M3</t>
        </is>
      </c>
      <c r="X89" t="n">
        <v>440</v>
      </c>
      <c r="Y89" t="inlineStr">
        <is>
          <t>MXN</t>
        </is>
      </c>
      <c r="Z89" t="inlineStr">
        <is>
          <t>M3</t>
        </is>
      </c>
      <c r="AA89" t="inlineStr">
        <is>
          <t>66976140</t>
        </is>
      </c>
      <c r="AB89" t="inlineStr">
        <is>
          <t>MELCHOR OCAMPO 7</t>
        </is>
      </c>
      <c r="AC89" t="n">
        <v>56103637</v>
      </c>
      <c r="AD89" t="n">
        <v>6622261540</v>
      </c>
      <c r="AE89" t="n">
        <v>4</v>
      </c>
      <c r="AF89" t="inlineStr">
        <is>
          <t>ENTREGA DIRECTA</t>
        </is>
      </c>
      <c r="AG89" t="n">
        <v>1.46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D836-900006185-66976140-10000133-4</t>
        </is>
      </c>
    </row>
    <row r="90">
      <c r="A90" t="inlineStr">
        <is>
          <t>900006185D8366678875010000133</t>
        </is>
      </c>
      <c r="B90" t="inlineStr">
        <is>
          <t>4600045002-20</t>
        </is>
      </c>
      <c r="C90" t="n">
        <v>4600045002</v>
      </c>
      <c r="D90" t="n">
        <v>20</v>
      </c>
      <c r="E90" t="inlineStr">
        <is>
          <t>MXPO</t>
        </is>
      </c>
      <c r="F90" t="inlineStr">
        <is>
          <t>MXL</t>
        </is>
      </c>
      <c r="G90" t="n">
        <v>900006185</v>
      </c>
      <c r="H90" t="inlineStr">
        <is>
          <t>TP-ED-OLIELL ALMACÉN</t>
        </is>
      </c>
      <c r="I90" t="n">
        <v>5048484</v>
      </c>
      <c r="J90" t="inlineStr">
        <is>
          <t>COMERCIALIZADORA Y TRANSPORTADORA O</t>
        </is>
      </c>
      <c r="K90" t="inlineStr">
        <is>
          <t>Z00</t>
        </is>
      </c>
      <c r="L90" t="inlineStr">
        <is>
          <t>(AP) Pagadero Inmediatamente</t>
        </is>
      </c>
      <c r="M90" t="n">
        <v>10000133</v>
      </c>
      <c r="N90" t="inlineStr">
        <is>
          <t>Grava Triturada Caliza 20 mm - 3/4"</t>
        </is>
      </c>
      <c r="O90" t="inlineStr">
        <is>
          <t>D836</t>
        </is>
      </c>
      <c r="P90" t="inlineStr">
        <is>
          <t>MX-CED. CENTRO</t>
        </is>
      </c>
      <c r="Q90" t="n">
        <v>20190628</v>
      </c>
      <c r="R90" t="n">
        <v>20281231</v>
      </c>
      <c r="S90" t="n">
        <v>20191015</v>
      </c>
      <c r="T90" t="n">
        <v>20241231</v>
      </c>
      <c r="U90" t="n">
        <v>754.25</v>
      </c>
      <c r="V90" t="inlineStr">
        <is>
          <t>MXN</t>
        </is>
      </c>
      <c r="W90" t="inlineStr">
        <is>
          <t>TN</t>
        </is>
      </c>
      <c r="X90" t="n">
        <v>377.13</v>
      </c>
      <c r="Y90" t="inlineStr">
        <is>
          <t>MXN</t>
        </is>
      </c>
      <c r="Z90" t="inlineStr">
        <is>
          <t>TN</t>
        </is>
      </c>
      <c r="AA90" t="inlineStr">
        <is>
          <t>66788750</t>
        </is>
      </c>
      <c r="AB90" t="inlineStr">
        <is>
          <t>GABRIEL MANCERA</t>
        </is>
      </c>
      <c r="AC90" t="n">
        <v>56103637</v>
      </c>
      <c r="AD90" t="n">
        <v>6622261540</v>
      </c>
      <c r="AE90" t="n">
        <v>4</v>
      </c>
      <c r="AF90" t="inlineStr">
        <is>
          <t>ENTREGA DIRECTA</t>
        </is>
      </c>
      <c r="AG90" t="n">
        <v>1</v>
      </c>
      <c r="AH90" t="inlineStr">
        <is>
          <t>TO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D836-900006185-66788750-10000133-4</t>
        </is>
      </c>
    </row>
    <row r="91">
      <c r="A91" t="inlineStr">
        <is>
          <t>900006185D8366682319810000651</t>
        </is>
      </c>
      <c r="B91" t="inlineStr">
        <is>
          <t>4600045002-300</t>
        </is>
      </c>
      <c r="C91" t="n">
        <v>4600045002</v>
      </c>
      <c r="D91" t="n">
        <v>300</v>
      </c>
      <c r="E91" t="inlineStr">
        <is>
          <t>MXPO</t>
        </is>
      </c>
      <c r="F91" t="inlineStr">
        <is>
          <t>MXL</t>
        </is>
      </c>
      <c r="G91" t="n">
        <v>900006185</v>
      </c>
      <c r="H91" t="inlineStr">
        <is>
          <t>TP-ED-OLIELL ALMACÉN</t>
        </is>
      </c>
      <c r="I91" t="n">
        <v>5048484</v>
      </c>
      <c r="J91" t="inlineStr">
        <is>
          <t>COMERCIALIZADORA Y TRANSPORTADORA O</t>
        </is>
      </c>
      <c r="K91" t="inlineStr">
        <is>
          <t>Z00</t>
        </is>
      </c>
      <c r="L91" t="inlineStr">
        <is>
          <t>(AP) Pagadero Inmediatamente</t>
        </is>
      </c>
      <c r="M91" t="n">
        <v>10000651</v>
      </c>
      <c r="N91" t="inlineStr">
        <is>
          <t>Arena Triturada Andesita Malla 8</t>
        </is>
      </c>
      <c r="O91" t="inlineStr">
        <is>
          <t>D836</t>
        </is>
      </c>
      <c r="P91" t="inlineStr">
        <is>
          <t>MX-CED. CENTRO</t>
        </is>
      </c>
      <c r="Q91" t="n">
        <v>20190628</v>
      </c>
      <c r="R91" t="n">
        <v>20281231</v>
      </c>
      <c r="S91" t="n">
        <v>20210721</v>
      </c>
      <c r="T91" t="n">
        <v>20261231</v>
      </c>
      <c r="U91" t="n">
        <v>1470</v>
      </c>
      <c r="V91" t="inlineStr">
        <is>
          <t>MXN</t>
        </is>
      </c>
      <c r="W91" t="inlineStr">
        <is>
          <t>M3</t>
        </is>
      </c>
      <c r="X91" t="n">
        <v>220</v>
      </c>
      <c r="Y91" t="inlineStr">
        <is>
          <t>MXN</t>
        </is>
      </c>
      <c r="Z91" t="inlineStr">
        <is>
          <t>M3</t>
        </is>
      </c>
      <c r="AA91" t="inlineStr">
        <is>
          <t>66823198</t>
        </is>
      </c>
      <c r="AB91" t="inlineStr">
        <is>
          <t>LONDRES 208 (LRR)</t>
        </is>
      </c>
      <c r="AC91" t="n">
        <v>56103638</v>
      </c>
      <c r="AD91" t="n">
        <v>6622261540</v>
      </c>
      <c r="AE91" t="n">
        <v>4</v>
      </c>
      <c r="AF91" t="inlineStr">
        <is>
          <t>ENTREGA DIRECTA</t>
        </is>
      </c>
      <c r="AG91" t="n">
        <v>1.35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D836-900006185-66823198-10000651-4</t>
        </is>
      </c>
    </row>
    <row r="92">
      <c r="A92" t="inlineStr">
        <is>
          <t>900006185D8366660022710000651</t>
        </is>
      </c>
      <c r="B92" t="inlineStr">
        <is>
          <t>4600045002-420</t>
        </is>
      </c>
      <c r="C92" t="n">
        <v>4600045002</v>
      </c>
      <c r="D92" t="n">
        <v>420</v>
      </c>
      <c r="E92" t="inlineStr">
        <is>
          <t>MXPO</t>
        </is>
      </c>
      <c r="F92" t="inlineStr">
        <is>
          <t>MXL</t>
        </is>
      </c>
      <c r="G92" t="n">
        <v>900006185</v>
      </c>
      <c r="H92" t="inlineStr">
        <is>
          <t>TP-ED-OLIELL ALMACÉN</t>
        </is>
      </c>
      <c r="I92" t="n">
        <v>5048484</v>
      </c>
      <c r="J92" t="inlineStr">
        <is>
          <t>COMERCIALIZADORA Y TRANSPORTADORA O</t>
        </is>
      </c>
      <c r="K92" t="inlineStr">
        <is>
          <t>Z00</t>
        </is>
      </c>
      <c r="L92" t="inlineStr">
        <is>
          <t>(AP) Pagadero Inmediatamente</t>
        </is>
      </c>
      <c r="M92" t="n">
        <v>10000651</v>
      </c>
      <c r="N92" t="inlineStr">
        <is>
          <t>Arena Triturada Andesita Malla 8</t>
        </is>
      </c>
      <c r="O92" t="inlineStr">
        <is>
          <t>D836</t>
        </is>
      </c>
      <c r="P92" t="inlineStr">
        <is>
          <t>MX-CED. CENTRO</t>
        </is>
      </c>
      <c r="Q92" t="n">
        <v>20190628</v>
      </c>
      <c r="R92" t="n">
        <v>20281231</v>
      </c>
      <c r="S92" t="n">
        <v>20210925</v>
      </c>
      <c r="T92" t="n">
        <v>20260925</v>
      </c>
      <c r="U92" t="n">
        <v>1470</v>
      </c>
      <c r="V92" t="inlineStr">
        <is>
          <t>MXN</t>
        </is>
      </c>
      <c r="W92" t="inlineStr">
        <is>
          <t>M3</t>
        </is>
      </c>
      <c r="X92" t="n">
        <v>220</v>
      </c>
      <c r="Y92" t="inlineStr">
        <is>
          <t>MXN</t>
        </is>
      </c>
      <c r="Z92" t="inlineStr">
        <is>
          <t>M3</t>
        </is>
      </c>
      <c r="AA92" t="inlineStr">
        <is>
          <t>66600227</t>
        </is>
      </c>
      <c r="AB92" t="inlineStr">
        <is>
          <t>FA BENJAMIN HILL 261 (LRR)</t>
        </is>
      </c>
      <c r="AC92" t="n">
        <v>56103638</v>
      </c>
      <c r="AD92" t="n">
        <v>6622261540</v>
      </c>
      <c r="AE92" t="n">
        <v>4</v>
      </c>
      <c r="AF92" t="inlineStr">
        <is>
          <t>ENTREGA DIRECTA</t>
        </is>
      </c>
      <c r="AG92" t="n">
        <v>1.35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D836-900006185-66600227-10000651-4</t>
        </is>
      </c>
    </row>
    <row r="93">
      <c r="A93" t="inlineStr">
        <is>
          <t>900006185D8366690232010000651</t>
        </is>
      </c>
      <c r="B93" t="inlineStr">
        <is>
          <t>4600045002-380</t>
        </is>
      </c>
      <c r="C93" t="n">
        <v>4600045002</v>
      </c>
      <c r="D93" t="n">
        <v>380</v>
      </c>
      <c r="E93" t="inlineStr">
        <is>
          <t>MXPO</t>
        </is>
      </c>
      <c r="F93" t="inlineStr">
        <is>
          <t>MXL</t>
        </is>
      </c>
      <c r="G93" t="n">
        <v>900006185</v>
      </c>
      <c r="H93" t="inlineStr">
        <is>
          <t>TP-ED-OLIELL ALMACÉN</t>
        </is>
      </c>
      <c r="I93" t="n">
        <v>5048484</v>
      </c>
      <c r="J93" t="inlineStr">
        <is>
          <t>COMERCIALIZADORA Y TRANSPORTADORA O</t>
        </is>
      </c>
      <c r="K93" t="inlineStr">
        <is>
          <t>Z00</t>
        </is>
      </c>
      <c r="L93" t="inlineStr">
        <is>
          <t>(AP) Pagadero Inmediatamente</t>
        </is>
      </c>
      <c r="M93" t="n">
        <v>10000651</v>
      </c>
      <c r="N93" t="inlineStr">
        <is>
          <t>Arena Triturada Andesita Malla 8</t>
        </is>
      </c>
      <c r="O93" t="inlineStr">
        <is>
          <t>D836</t>
        </is>
      </c>
      <c r="P93" t="inlineStr">
        <is>
          <t>MX-CED. CENTRO</t>
        </is>
      </c>
      <c r="Q93" t="n">
        <v>20190628</v>
      </c>
      <c r="R93" t="n">
        <v>20281231</v>
      </c>
      <c r="S93" t="n">
        <v>20210805</v>
      </c>
      <c r="T93" t="n">
        <v>20261231</v>
      </c>
      <c r="U93" t="n">
        <v>1470</v>
      </c>
      <c r="V93" t="inlineStr">
        <is>
          <t>MXN</t>
        </is>
      </c>
      <c r="W93" t="inlineStr">
        <is>
          <t>M3</t>
        </is>
      </c>
      <c r="X93" t="n">
        <v>220</v>
      </c>
      <c r="Y93" t="inlineStr">
        <is>
          <t>MXN</t>
        </is>
      </c>
      <c r="Z93" t="inlineStr">
        <is>
          <t>M3</t>
        </is>
      </c>
      <c r="AA93" t="inlineStr">
        <is>
          <t>66902320</t>
        </is>
      </c>
      <c r="AB93" t="inlineStr">
        <is>
          <t>LONDRES #208</t>
        </is>
      </c>
      <c r="AC93" t="n">
        <v>56103638</v>
      </c>
      <c r="AD93" t="n">
        <v>6622261540</v>
      </c>
      <c r="AE93" t="n">
        <v>4</v>
      </c>
      <c r="AF93" t="inlineStr">
        <is>
          <t>ENTREGA DIRECTA</t>
        </is>
      </c>
      <c r="AG93" t="n">
        <v>1.35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20230920</v>
      </c>
      <c r="AM93" t="inlineStr">
        <is>
          <t>D836-900006185-66902320-10000651-4</t>
        </is>
      </c>
    </row>
    <row r="94">
      <c r="A94" t="inlineStr">
        <is>
          <t>900006543D83610000651</t>
        </is>
      </c>
      <c r="B94" t="inlineStr">
        <is>
          <t>4600047486-40</t>
        </is>
      </c>
      <c r="C94" t="n">
        <v>4600047486</v>
      </c>
      <c r="D94" t="n">
        <v>40</v>
      </c>
      <c r="E94" t="inlineStr">
        <is>
          <t>MXPO</t>
        </is>
      </c>
      <c r="F94" t="inlineStr">
        <is>
          <t>MXL</t>
        </is>
      </c>
      <c r="G94" t="n">
        <v>900006543</v>
      </c>
      <c r="H94" t="inlineStr">
        <is>
          <t>TP-MARTINEZ VILLEGAS</t>
        </is>
      </c>
      <c r="I94" t="n">
        <v>5078107</v>
      </c>
      <c r="J94" t="inlineStr">
        <is>
          <t>MARTINEZ VILLEGAS SA DE CV</t>
        </is>
      </c>
      <c r="K94" t="inlineStr">
        <is>
          <t>Z04</t>
        </is>
      </c>
      <c r="L94" t="inlineStr">
        <is>
          <t>(AP) 30 Dias</t>
        </is>
      </c>
      <c r="M94" t="n">
        <v>10000651</v>
      </c>
      <c r="N94" t="inlineStr">
        <is>
          <t>Arena Triturada Andesita Malla 8</t>
        </is>
      </c>
      <c r="O94" t="inlineStr">
        <is>
          <t>D836</t>
        </is>
      </c>
      <c r="P94" t="inlineStr">
        <is>
          <t>MX-CED. CENTRO</t>
        </is>
      </c>
      <c r="Q94" t="n">
        <v>20200707</v>
      </c>
      <c r="R94" t="n">
        <v>20301231</v>
      </c>
      <c r="S94" t="n">
        <v>20201211</v>
      </c>
      <c r="T94" t="n">
        <v>20301231</v>
      </c>
      <c r="U94" t="n">
        <v>120</v>
      </c>
      <c r="V94" t="inlineStr">
        <is>
          <t>MXN</t>
        </is>
      </c>
      <c r="W94" t="inlineStr">
        <is>
          <t>M3</t>
        </is>
      </c>
      <c r="AC94" t="n">
        <v>56103638</v>
      </c>
      <c r="AD94" t="n">
        <v>6622261540</v>
      </c>
      <c r="AE94" t="n">
        <v>1</v>
      </c>
      <c r="AF94" t="inlineStr">
        <is>
          <t>ENTREGADO</t>
        </is>
      </c>
      <c r="AG94" t="n">
        <v>1.35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20250627</v>
      </c>
      <c r="AM94" t="inlineStr">
        <is>
          <t>D836-900006543-10000651</t>
        </is>
      </c>
    </row>
    <row r="95">
      <c r="A95" t="inlineStr">
        <is>
          <t>900001069D83610183535</t>
        </is>
      </c>
      <c r="B95" t="inlineStr">
        <is>
          <t>4600047079-10</t>
        </is>
      </c>
      <c r="C95" t="n">
        <v>4600047079</v>
      </c>
      <c r="D95" t="n">
        <v>10</v>
      </c>
      <c r="E95" t="inlineStr">
        <is>
          <t>MXPO</t>
        </is>
      </c>
      <c r="F95" t="inlineStr">
        <is>
          <t>MXL</t>
        </is>
      </c>
      <c r="G95" t="n">
        <v>900001069</v>
      </c>
      <c r="H95" t="inlineStr">
        <is>
          <t>SF MINA SAN LUIS</t>
        </is>
      </c>
      <c r="I95" t="n">
        <v>5033453</v>
      </c>
      <c r="J95" t="inlineStr">
        <is>
          <t>MEZCLAS ASFALTICAS</t>
        </is>
      </c>
      <c r="K95" t="inlineStr">
        <is>
          <t>Z06</t>
        </is>
      </c>
      <c r="L95" t="inlineStr">
        <is>
          <t>(AP) 45 Dias</t>
        </is>
      </c>
      <c r="M95" t="n">
        <v>10183535</v>
      </c>
      <c r="N95" t="inlineStr">
        <is>
          <t>BALASTO TRITURADO BASALTO 3" - 1"</t>
        </is>
      </c>
      <c r="O95" t="inlineStr">
        <is>
          <t>D836</t>
        </is>
      </c>
      <c r="P95" t="inlineStr">
        <is>
          <t>MX-CED. CENTRO</t>
        </is>
      </c>
      <c r="Q95" t="n">
        <v>20200401</v>
      </c>
      <c r="R95" t="n">
        <v>20301231</v>
      </c>
      <c r="S95" t="n">
        <v>20200401</v>
      </c>
      <c r="T95" t="n">
        <v>20301231</v>
      </c>
      <c r="U95" t="n">
        <v>221.4</v>
      </c>
      <c r="V95" t="inlineStr">
        <is>
          <t>MXN</t>
        </is>
      </c>
      <c r="W95" t="inlineStr">
        <is>
          <t>M3</t>
        </is>
      </c>
      <c r="AC95" t="n">
        <v>56103591</v>
      </c>
      <c r="AD95" t="n">
        <v>6622261540</v>
      </c>
      <c r="AE95" t="n">
        <v>1</v>
      </c>
      <c r="AF95" t="inlineStr">
        <is>
          <t>ENTREGADO</t>
        </is>
      </c>
      <c r="AG95" t="n">
        <v>1.4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20230920</v>
      </c>
      <c r="AM95" t="inlineStr">
        <is>
          <t>D836-900001069-10183535</t>
        </is>
      </c>
    </row>
    <row r="96">
      <c r="A96" t="inlineStr">
        <is>
          <t>900005627D83610260055</t>
        </is>
      </c>
      <c r="B96" t="inlineStr">
        <is>
          <t>4600071551-20</t>
        </is>
      </c>
      <c r="C96" t="n">
        <v>4600071551</v>
      </c>
      <c r="D96" t="n">
        <v>20</v>
      </c>
      <c r="E96" t="inlineStr">
        <is>
          <t>MXPO</t>
        </is>
      </c>
      <c r="F96" t="inlineStr">
        <is>
          <t>MXL</t>
        </is>
      </c>
      <c r="G96" t="n">
        <v>900005627</v>
      </c>
      <c r="H96" t="inlineStr">
        <is>
          <t>TP-DOS CERROS SAN LUIS</t>
        </is>
      </c>
      <c r="I96" t="n">
        <v>5036168</v>
      </c>
      <c r="J96" t="inlineStr">
        <is>
          <t>TRITURADOS DOS CERROS SA DE CV</t>
        </is>
      </c>
      <c r="K96" t="inlineStr">
        <is>
          <t>Z04</t>
        </is>
      </c>
      <c r="L96" t="inlineStr">
        <is>
          <t>(AP) 30 Dias</t>
        </is>
      </c>
      <c r="M96" t="n">
        <v>10260055</v>
      </c>
      <c r="N96" t="inlineStr">
        <is>
          <t>GREÑA</t>
        </is>
      </c>
      <c r="O96" t="inlineStr">
        <is>
          <t>D836</t>
        </is>
      </c>
      <c r="P96" t="inlineStr">
        <is>
          <t>MX-CED. CENTRO</t>
        </is>
      </c>
      <c r="Q96" t="n">
        <v>20250813</v>
      </c>
      <c r="R96" t="n">
        <v>20301231</v>
      </c>
      <c r="S96" t="n">
        <v>20250813</v>
      </c>
      <c r="T96" t="n">
        <v>20301231</v>
      </c>
      <c r="U96" t="n">
        <v>85</v>
      </c>
      <c r="V96" t="inlineStr">
        <is>
          <t>MXN</t>
        </is>
      </c>
      <c r="W96" t="inlineStr">
        <is>
          <t>M3</t>
        </is>
      </c>
      <c r="X96" t="n">
        <v>0</v>
      </c>
      <c r="Y96" t="inlineStr">
        <is>
          <t>MXN</t>
        </is>
      </c>
      <c r="Z96" t="inlineStr">
        <is>
          <t>M3</t>
        </is>
      </c>
      <c r="AC96" t="n">
        <v>56103637</v>
      </c>
      <c r="AD96" t="n">
        <v>6622261540</v>
      </c>
      <c r="AE96" t="n">
        <v>1</v>
      </c>
      <c r="AF96" t="inlineStr">
        <is>
          <t>ENTREGADO</t>
        </is>
      </c>
      <c r="AG96" t="n">
        <v>2.5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20250815</v>
      </c>
      <c r="AM96" t="inlineStr">
        <is>
          <t>D836-900005627-10260055</t>
        </is>
      </c>
    </row>
    <row r="97">
      <c r="A97" t="inlineStr">
        <is>
          <t>900005627D83610215074</t>
        </is>
      </c>
      <c r="B97" t="inlineStr">
        <is>
          <t>4600071551-10</t>
        </is>
      </c>
      <c r="C97" t="n">
        <v>4600071551</v>
      </c>
      <c r="D97" t="n">
        <v>10</v>
      </c>
      <c r="E97" t="inlineStr">
        <is>
          <t>MXPO</t>
        </is>
      </c>
      <c r="F97" t="inlineStr">
        <is>
          <t>MXL</t>
        </is>
      </c>
      <c r="G97" t="n">
        <v>900005627</v>
      </c>
      <c r="H97" t="inlineStr">
        <is>
          <t>TP-DOS CERROS SAN LUIS</t>
        </is>
      </c>
      <c r="I97" t="n">
        <v>5036168</v>
      </c>
      <c r="J97" t="inlineStr">
        <is>
          <t>TRITURADOS DOS CERROS SA DE CV</t>
        </is>
      </c>
      <c r="K97" t="inlineStr">
        <is>
          <t>Z04</t>
        </is>
      </c>
      <c r="L97" t="inlineStr">
        <is>
          <t>(AP) 30 Dias</t>
        </is>
      </c>
      <c r="M97" t="n">
        <v>10215074</v>
      </c>
      <c r="N97" t="inlineStr">
        <is>
          <t>TEZONTLE 3"</t>
        </is>
      </c>
      <c r="O97" t="inlineStr">
        <is>
          <t>D836</t>
        </is>
      </c>
      <c r="P97" t="inlineStr">
        <is>
          <t>MX-CED. CENTRO</t>
        </is>
      </c>
      <c r="Q97" t="n">
        <v>20250813</v>
      </c>
      <c r="R97" t="n">
        <v>20301231</v>
      </c>
      <c r="S97" t="n">
        <v>20250813</v>
      </c>
      <c r="T97" t="n">
        <v>20301231</v>
      </c>
      <c r="U97" t="n">
        <v>100</v>
      </c>
      <c r="V97" t="inlineStr">
        <is>
          <t>MXN</t>
        </is>
      </c>
      <c r="W97" t="inlineStr">
        <is>
          <t>M3</t>
        </is>
      </c>
      <c r="X97" t="n">
        <v>0</v>
      </c>
      <c r="Y97" t="inlineStr">
        <is>
          <t>MXN</t>
        </is>
      </c>
      <c r="Z97" t="inlineStr">
        <is>
          <t>M3</t>
        </is>
      </c>
      <c r="AC97" t="n">
        <v>56103637</v>
      </c>
      <c r="AD97" t="n">
        <v>6622261540</v>
      </c>
      <c r="AE97" t="n">
        <v>1</v>
      </c>
      <c r="AF97" t="inlineStr">
        <is>
          <t>ENTREGADO</t>
        </is>
      </c>
      <c r="AG97" t="n">
        <v>1.3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20250815</v>
      </c>
      <c r="AM97" t="inlineStr">
        <is>
          <t>D836-900005627-10215074</t>
        </is>
      </c>
    </row>
    <row r="98">
      <c r="A98" t="inlineStr">
        <is>
          <t>900004077D83610002802</t>
        </is>
      </c>
      <c r="B98" t="inlineStr">
        <is>
          <t>4600036871-10</t>
        </is>
      </c>
      <c r="C98" t="n">
        <v>4600036871</v>
      </c>
      <c r="D98" t="n">
        <v>10</v>
      </c>
      <c r="E98" t="inlineStr">
        <is>
          <t>MXPO</t>
        </is>
      </c>
      <c r="F98" t="inlineStr">
        <is>
          <t>MXL</t>
        </is>
      </c>
      <c r="G98" t="n">
        <v>900004077</v>
      </c>
      <c r="H98" t="inlineStr">
        <is>
          <t>TP-SAN JUAN (HUDASA)</t>
        </is>
      </c>
      <c r="I98" t="n">
        <v>5054686</v>
      </c>
      <c r="J98" t="inlineStr">
        <is>
          <t>GRUPO MERCANTIL HUDASA SA DE CV</t>
        </is>
      </c>
      <c r="K98" t="inlineStr">
        <is>
          <t>Z06</t>
        </is>
      </c>
      <c r="L98" t="inlineStr">
        <is>
          <t>(AP) 45 Dias</t>
        </is>
      </c>
      <c r="M98" t="n">
        <v>10002802</v>
      </c>
      <c r="N98" t="inlineStr">
        <is>
          <t>Arena Clasificada Río Malla 4 Lavado</t>
        </is>
      </c>
      <c r="O98" t="inlineStr">
        <is>
          <t>D836</t>
        </is>
      </c>
      <c r="P98" t="inlineStr">
        <is>
          <t>MX-CED. CENTRO</t>
        </is>
      </c>
      <c r="Q98" t="n">
        <v>20170220</v>
      </c>
      <c r="R98" t="n">
        <v>20241231</v>
      </c>
      <c r="S98" t="n">
        <v>20240612</v>
      </c>
      <c r="T98" t="n">
        <v>20291231</v>
      </c>
      <c r="U98" t="n">
        <v>135</v>
      </c>
      <c r="V98" t="inlineStr">
        <is>
          <t>MXN</t>
        </is>
      </c>
      <c r="W98" t="inlineStr">
        <is>
          <t>M3</t>
        </is>
      </c>
      <c r="X98" t="n">
        <v>0</v>
      </c>
      <c r="Y98" t="inlineStr">
        <is>
          <t>MXN</t>
        </is>
      </c>
      <c r="Z98" t="inlineStr">
        <is>
          <t>M3</t>
        </is>
      </c>
      <c r="AC98" t="n">
        <v>56103638</v>
      </c>
      <c r="AD98" t="n">
        <v>6622261540</v>
      </c>
      <c r="AE98" t="n">
        <v>1</v>
      </c>
      <c r="AF98" t="inlineStr">
        <is>
          <t>ENTREGADO</t>
        </is>
      </c>
      <c r="AG98" t="n">
        <v>1.463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20240614</v>
      </c>
      <c r="AM98" t="inlineStr">
        <is>
          <t>D836-900004077-10002802</t>
        </is>
      </c>
    </row>
    <row r="99">
      <c r="A99" t="inlineStr">
        <is>
          <t>900006371D8366501466410000206</t>
        </is>
      </c>
      <c r="B99" t="inlineStr">
        <is>
          <t>4600048255-290</t>
        </is>
      </c>
      <c r="C99" t="n">
        <v>4600048255</v>
      </c>
      <c r="D99" t="n">
        <v>290</v>
      </c>
      <c r="E99" t="inlineStr">
        <is>
          <t>MXPO</t>
        </is>
      </c>
      <c r="F99" t="inlineStr">
        <is>
          <t>MXL</t>
        </is>
      </c>
      <c r="G99" t="n">
        <v>900006371</v>
      </c>
      <c r="H99" t="inlineStr">
        <is>
          <t>SF TP-ED-TRIVOMEX</t>
        </is>
      </c>
      <c r="I99" t="n">
        <v>5033501</v>
      </c>
      <c r="J99" t="inlineStr">
        <is>
          <t>TRITURADOS VOLCANICOS DE MEXICO</t>
        </is>
      </c>
      <c r="K99" t="inlineStr">
        <is>
          <t>Z04</t>
        </is>
      </c>
      <c r="L99" t="inlineStr">
        <is>
          <t>(AP) 30 Dias</t>
        </is>
      </c>
      <c r="M99" t="n">
        <v>10000206</v>
      </c>
      <c r="N99" t="inlineStr">
        <is>
          <t>Tepetate Triturado Tierra NA</t>
        </is>
      </c>
      <c r="O99" t="inlineStr">
        <is>
          <t>D836</t>
        </is>
      </c>
      <c r="P99" t="inlineStr">
        <is>
          <t>MX-CED. CENTRO</t>
        </is>
      </c>
      <c r="Q99" t="n">
        <v>20201015</v>
      </c>
      <c r="R99" t="n">
        <v>20291231</v>
      </c>
      <c r="S99" t="n">
        <v>20251111</v>
      </c>
      <c r="T99" t="n">
        <v>20301231</v>
      </c>
      <c r="U99" t="n">
        <v>125</v>
      </c>
      <c r="V99" t="inlineStr">
        <is>
          <t>MXN</t>
        </is>
      </c>
      <c r="W99" t="inlineStr">
        <is>
          <t>M3</t>
        </is>
      </c>
      <c r="X99" t="n">
        <v>105</v>
      </c>
      <c r="Y99" t="inlineStr">
        <is>
          <t>MXN</t>
        </is>
      </c>
      <c r="Z99" t="inlineStr">
        <is>
          <t>M3</t>
        </is>
      </c>
      <c r="AA99" t="inlineStr">
        <is>
          <t>65014664</t>
        </is>
      </c>
      <c r="AB99" t="inlineStr">
        <is>
          <t>OBR-AGR IBM (DLC)</t>
        </is>
      </c>
      <c r="AC99" t="n">
        <v>56103695</v>
      </c>
      <c r="AD99" t="n">
        <v>6622261540</v>
      </c>
      <c r="AE99" t="n">
        <v>4</v>
      </c>
      <c r="AF99" t="inlineStr">
        <is>
          <t>ENTREGA DIRECTA</t>
        </is>
      </c>
      <c r="AG99" t="n">
        <v>1.249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20251113</v>
      </c>
      <c r="AM99" t="inlineStr">
        <is>
          <t>D836-900006371-65014664-10000206-4</t>
        </is>
      </c>
    </row>
    <row r="100">
      <c r="A100" t="inlineStr">
        <is>
          <t>900004323D83610000160</t>
        </is>
      </c>
      <c r="B100" t="inlineStr">
        <is>
          <t>4600033187-10</t>
        </is>
      </c>
      <c r="C100" t="n">
        <v>4600033187</v>
      </c>
      <c r="D100" t="n">
        <v>10</v>
      </c>
      <c r="E100" t="inlineStr">
        <is>
          <t>MXPO</t>
        </is>
      </c>
      <c r="F100" t="inlineStr">
        <is>
          <t>MXL</t>
        </is>
      </c>
      <c r="G100" t="n">
        <v>900004323</v>
      </c>
      <c r="H100" t="inlineStr">
        <is>
          <t>TP-LAS TRANCAS</t>
        </is>
      </c>
      <c r="I100" t="n">
        <v>5047262</v>
      </c>
      <c r="J100" t="inlineStr">
        <is>
          <t>AGREGADOS PETREOS SAN CRISTOBAL</t>
        </is>
      </c>
      <c r="K100" t="inlineStr">
        <is>
          <t>Z03</t>
        </is>
      </c>
      <c r="L100" t="inlineStr">
        <is>
          <t>(AP) 15 Dias</t>
        </is>
      </c>
      <c r="M100" t="n">
        <v>10000160</v>
      </c>
      <c r="N100" t="inlineStr">
        <is>
          <t>Arena Triturada Andesita Malla 4</t>
        </is>
      </c>
      <c r="O100" t="inlineStr">
        <is>
          <t>D836</t>
        </is>
      </c>
      <c r="P100" t="inlineStr">
        <is>
          <t>MX-CED. CENTRO</t>
        </is>
      </c>
      <c r="Q100" t="n">
        <v>20160201</v>
      </c>
      <c r="R100" t="n">
        <v>20241231</v>
      </c>
      <c r="S100" t="n">
        <v>20190315</v>
      </c>
      <c r="T100" t="n">
        <v>20241231</v>
      </c>
      <c r="U100" t="n">
        <v>81.5</v>
      </c>
      <c r="V100" t="inlineStr">
        <is>
          <t>MXN</t>
        </is>
      </c>
      <c r="W100" t="inlineStr">
        <is>
          <t>M3</t>
        </is>
      </c>
      <c r="X100" t="n">
        <v>0</v>
      </c>
      <c r="Y100" t="inlineStr">
        <is>
          <t>MXN</t>
        </is>
      </c>
      <c r="Z100" t="inlineStr">
        <is>
          <t>M3</t>
        </is>
      </c>
      <c r="AC100" t="n">
        <v>56103638</v>
      </c>
      <c r="AD100" t="n">
        <v>6622261540</v>
      </c>
      <c r="AE100" t="n">
        <v>1</v>
      </c>
      <c r="AF100" t="inlineStr">
        <is>
          <t>ENTREGADO</t>
        </is>
      </c>
      <c r="AG100" t="n">
        <v>1.409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20230920</v>
      </c>
      <c r="AM100" t="inlineStr">
        <is>
          <t>D836-900004323-10000160</t>
        </is>
      </c>
    </row>
    <row r="101">
      <c r="A101" t="inlineStr">
        <is>
          <t>900004077D83610215377</t>
        </is>
      </c>
      <c r="B101" t="inlineStr">
        <is>
          <t>4600036871-120</t>
        </is>
      </c>
      <c r="C101" t="n">
        <v>4600036871</v>
      </c>
      <c r="D101" t="n">
        <v>120</v>
      </c>
      <c r="E101" t="inlineStr">
        <is>
          <t>MXPO</t>
        </is>
      </c>
      <c r="F101" t="inlineStr">
        <is>
          <t>MXL</t>
        </is>
      </c>
      <c r="G101" t="n">
        <v>900004077</v>
      </c>
      <c r="H101" t="inlineStr">
        <is>
          <t>TP-SAN JUAN (HUDASA)</t>
        </is>
      </c>
      <c r="I101" t="n">
        <v>5054686</v>
      </c>
      <c r="J101" t="inlineStr">
        <is>
          <t>GRUPO MERCANTIL HUDASA SA DE CV</t>
        </is>
      </c>
      <c r="K101" t="inlineStr">
        <is>
          <t>Z06</t>
        </is>
      </c>
      <c r="L101" t="inlineStr">
        <is>
          <t>(AP) 45 Dias</t>
        </is>
      </c>
      <c r="M101" t="n">
        <v>10215377</v>
      </c>
      <c r="N101" t="inlineStr">
        <is>
          <t>ARENA CLASIFICADA RÍO MALLA 4 TIPO 2</t>
        </is>
      </c>
      <c r="O101" t="inlineStr">
        <is>
          <t>D836</t>
        </is>
      </c>
      <c r="P101" t="inlineStr">
        <is>
          <t>MX-CED. CENTRO</t>
        </is>
      </c>
      <c r="Q101" t="n">
        <v>20170220</v>
      </c>
      <c r="R101" t="n">
        <v>20241231</v>
      </c>
      <c r="S101" t="n">
        <v>20220411</v>
      </c>
      <c r="T101" t="n">
        <v>20271231</v>
      </c>
      <c r="U101" t="n">
        <v>114</v>
      </c>
      <c r="V101" t="inlineStr">
        <is>
          <t>MXN</t>
        </is>
      </c>
      <c r="W101" t="inlineStr">
        <is>
          <t>M3</t>
        </is>
      </c>
      <c r="X101" t="n">
        <v>0</v>
      </c>
      <c r="Y101" t="inlineStr">
        <is>
          <t>MXN</t>
        </is>
      </c>
      <c r="Z101" t="inlineStr">
        <is>
          <t>M3</t>
        </is>
      </c>
      <c r="AC101" t="n">
        <v>56103638</v>
      </c>
      <c r="AD101" t="n">
        <v>6622261540</v>
      </c>
      <c r="AE101" t="n">
        <v>1</v>
      </c>
      <c r="AF101" t="inlineStr">
        <is>
          <t>ENTREGADO</t>
        </is>
      </c>
      <c r="AG101" t="n">
        <v>1.463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20230920</v>
      </c>
      <c r="AM101" t="inlineStr">
        <is>
          <t>D836-900004077-10215377</t>
        </is>
      </c>
    </row>
    <row r="102">
      <c r="A102" t="inlineStr">
        <is>
          <t>900005401D83610000651</t>
        </is>
      </c>
      <c r="B102" t="inlineStr">
        <is>
          <t>4600039942-40</t>
        </is>
      </c>
      <c r="C102" t="n">
        <v>4600039942</v>
      </c>
      <c r="D102" t="n">
        <v>40</v>
      </c>
      <c r="E102" t="inlineStr">
        <is>
          <t>MXPO</t>
        </is>
      </c>
      <c r="F102" t="inlineStr">
        <is>
          <t>MXL</t>
        </is>
      </c>
      <c r="G102" t="n">
        <v>900005401</v>
      </c>
      <c r="H102" t="inlineStr">
        <is>
          <t>TP-DESARROLLO MINERO</t>
        </is>
      </c>
      <c r="I102" t="n">
        <v>5069420</v>
      </c>
      <c r="J102" t="inlineStr">
        <is>
          <t>PROMOTORA DE DESARROLLO MINERO</t>
        </is>
      </c>
      <c r="K102" t="inlineStr">
        <is>
          <t>Z09</t>
        </is>
      </c>
      <c r="L102" t="inlineStr">
        <is>
          <t>(AP) 90 Dias</t>
        </is>
      </c>
      <c r="M102" t="n">
        <v>10000651</v>
      </c>
      <c r="N102" t="inlineStr">
        <is>
          <t>Arena Triturada Andesita Malla 8</t>
        </is>
      </c>
      <c r="O102" t="inlineStr">
        <is>
          <t>D836</t>
        </is>
      </c>
      <c r="P102" t="inlineStr">
        <is>
          <t>MX-CED. CENTRO</t>
        </is>
      </c>
      <c r="Q102" t="n">
        <v>20171004</v>
      </c>
      <c r="R102" t="n">
        <v>20301231</v>
      </c>
      <c r="S102" t="n">
        <v>20190601</v>
      </c>
      <c r="T102" t="n">
        <v>20241231</v>
      </c>
      <c r="U102" t="n">
        <v>94.5</v>
      </c>
      <c r="V102" t="inlineStr">
        <is>
          <t>MXN</t>
        </is>
      </c>
      <c r="W102" t="inlineStr">
        <is>
          <t>M3</t>
        </is>
      </c>
      <c r="X102" t="n">
        <v>0</v>
      </c>
      <c r="Y102" t="inlineStr">
        <is>
          <t>MXN</t>
        </is>
      </c>
      <c r="Z102" t="inlineStr">
        <is>
          <t>M3</t>
        </is>
      </c>
      <c r="AC102" t="n">
        <v>56103638</v>
      </c>
      <c r="AD102" t="n">
        <v>6622261540</v>
      </c>
      <c r="AE102" t="n">
        <v>1</v>
      </c>
      <c r="AF102" t="inlineStr">
        <is>
          <t>ENTREGADO</t>
        </is>
      </c>
      <c r="AG102" t="n">
        <v>1.35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20230920</v>
      </c>
      <c r="AM102" t="inlineStr">
        <is>
          <t>D836-900005401-10000651</t>
        </is>
      </c>
    </row>
    <row r="103">
      <c r="A103" t="inlineStr">
        <is>
          <t>900005401D83610037590</t>
        </is>
      </c>
      <c r="B103" t="inlineStr">
        <is>
          <t>4600039942-50</t>
        </is>
      </c>
      <c r="C103" t="n">
        <v>4600039942</v>
      </c>
      <c r="D103" t="n">
        <v>50</v>
      </c>
      <c r="E103" t="inlineStr">
        <is>
          <t>MXPO</t>
        </is>
      </c>
      <c r="F103" t="inlineStr">
        <is>
          <t>MXL</t>
        </is>
      </c>
      <c r="G103" t="n">
        <v>900005401</v>
      </c>
      <c r="H103" t="inlineStr">
        <is>
          <t>TP-DESARROLLO MINERO</t>
        </is>
      </c>
      <c r="I103" t="n">
        <v>5069420</v>
      </c>
      <c r="J103" t="inlineStr">
        <is>
          <t>PROMOTORA DE DESARROLLO MINERO</t>
        </is>
      </c>
      <c r="K103" t="inlineStr">
        <is>
          <t>Z09</t>
        </is>
      </c>
      <c r="L103" t="inlineStr">
        <is>
          <t>(AP) 90 Dias</t>
        </is>
      </c>
      <c r="M103" t="n">
        <v>10037590</v>
      </c>
      <c r="N103" t="inlineStr">
        <is>
          <t>Grava Triturada Andesita 13 mm - 1/2"</t>
        </is>
      </c>
      <c r="O103" t="inlineStr">
        <is>
          <t>D836</t>
        </is>
      </c>
      <c r="P103" t="inlineStr">
        <is>
          <t>MX-CED. CENTRO</t>
        </is>
      </c>
      <c r="Q103" t="n">
        <v>20171004</v>
      </c>
      <c r="R103" t="n">
        <v>20301231</v>
      </c>
      <c r="S103" t="n">
        <v>20190213</v>
      </c>
      <c r="T103" t="n">
        <v>20241231</v>
      </c>
      <c r="U103" t="n">
        <v>75</v>
      </c>
      <c r="V103" t="inlineStr">
        <is>
          <t>MXN</t>
        </is>
      </c>
      <c r="W103" t="inlineStr">
        <is>
          <t>M3</t>
        </is>
      </c>
      <c r="X103" t="n">
        <v>0</v>
      </c>
      <c r="Y103" t="inlineStr">
        <is>
          <t>MXN</t>
        </is>
      </c>
      <c r="Z103" t="inlineStr">
        <is>
          <t>M3</t>
        </is>
      </c>
      <c r="AC103" t="n">
        <v>56103637</v>
      </c>
      <c r="AD103" t="n">
        <v>6622261540</v>
      </c>
      <c r="AE103" t="n">
        <v>1</v>
      </c>
      <c r="AF103" t="inlineStr">
        <is>
          <t>ENTREGADO</t>
        </is>
      </c>
      <c r="AG103" t="n">
        <v>1.262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20230920</v>
      </c>
      <c r="AM103" t="inlineStr">
        <is>
          <t>D836-900005401-10037590</t>
        </is>
      </c>
    </row>
    <row r="104">
      <c r="A104" t="inlineStr">
        <is>
          <t>900005627D83610159061</t>
        </is>
      </c>
      <c r="B104" t="inlineStr">
        <is>
          <t>4600042076-70</t>
        </is>
      </c>
      <c r="C104" t="n">
        <v>4600042076</v>
      </c>
      <c r="D104" t="n">
        <v>70</v>
      </c>
      <c r="E104" t="inlineStr">
        <is>
          <t>MXPO</t>
        </is>
      </c>
      <c r="F104" t="inlineStr">
        <is>
          <t>MXL</t>
        </is>
      </c>
      <c r="G104" t="n">
        <v>900005627</v>
      </c>
      <c r="H104" t="inlineStr">
        <is>
          <t>TP-DOS CERROS SAN LUIS</t>
        </is>
      </c>
      <c r="I104" t="n">
        <v>5036168</v>
      </c>
      <c r="J104" t="inlineStr">
        <is>
          <t>TRITURADOS DOS CERROS SA DE CV</t>
        </is>
      </c>
      <c r="K104" t="inlineStr">
        <is>
          <t>Z04</t>
        </is>
      </c>
      <c r="L104" t="inlineStr">
        <is>
          <t>(AP) 30 Dias</t>
        </is>
      </c>
      <c r="M104" t="n">
        <v>10159061</v>
      </c>
      <c r="N104" t="inlineStr">
        <is>
          <t>SUB-BALASTO TRITURADO BASALTO</t>
        </is>
      </c>
      <c r="O104" t="inlineStr">
        <is>
          <t>D836</t>
        </is>
      </c>
      <c r="P104" t="inlineStr">
        <is>
          <t>MX-CED. CENTRO</t>
        </is>
      </c>
      <c r="Q104" t="n">
        <v>20180511</v>
      </c>
      <c r="R104" t="n">
        <v>20281231</v>
      </c>
      <c r="S104" t="n">
        <v>20230818</v>
      </c>
      <c r="T104" t="n">
        <v>20281231</v>
      </c>
      <c r="U104" t="n">
        <v>136.5</v>
      </c>
      <c r="V104" t="inlineStr">
        <is>
          <t>MXN</t>
        </is>
      </c>
      <c r="W104" t="inlineStr">
        <is>
          <t>M3</t>
        </is>
      </c>
      <c r="X104" t="n">
        <v>0</v>
      </c>
      <c r="Y104" t="inlineStr">
        <is>
          <t>MXN</t>
        </is>
      </c>
      <c r="Z104" t="inlineStr">
        <is>
          <t>M3</t>
        </is>
      </c>
      <c r="AC104" t="n">
        <v>56103590</v>
      </c>
      <c r="AD104" t="n">
        <v>6622261540</v>
      </c>
      <c r="AE104" t="n">
        <v>1</v>
      </c>
      <c r="AF104" t="inlineStr">
        <is>
          <t>ENTREGADO</t>
        </is>
      </c>
      <c r="AG104" t="n">
        <v>1.6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20230920</v>
      </c>
      <c r="AM104" t="inlineStr">
        <is>
          <t>D836-900005627-10159061</t>
        </is>
      </c>
    </row>
    <row r="105">
      <c r="A105" t="inlineStr">
        <is>
          <t>900006543D83610000206</t>
        </is>
      </c>
      <c r="B105" t="inlineStr">
        <is>
          <t>4600047486-50</t>
        </is>
      </c>
      <c r="C105" t="n">
        <v>4600047486</v>
      </c>
      <c r="D105" t="n">
        <v>50</v>
      </c>
      <c r="E105" t="inlineStr">
        <is>
          <t>MXPO</t>
        </is>
      </c>
      <c r="F105" t="inlineStr">
        <is>
          <t>MXL</t>
        </is>
      </c>
      <c r="G105" t="n">
        <v>900006543</v>
      </c>
      <c r="H105" t="inlineStr">
        <is>
          <t>TP-MARTINEZ VILLEGAS</t>
        </is>
      </c>
      <c r="I105" t="n">
        <v>5078107</v>
      </c>
      <c r="J105" t="inlineStr">
        <is>
          <t>MARTINEZ VILLEGAS SA DE CV</t>
        </is>
      </c>
      <c r="K105" t="inlineStr">
        <is>
          <t>Z04</t>
        </is>
      </c>
      <c r="L105" t="inlineStr">
        <is>
          <t>(AP) 30 Dias</t>
        </is>
      </c>
      <c r="M105" t="n">
        <v>10000206</v>
      </c>
      <c r="N105" t="inlineStr">
        <is>
          <t>Tepetate Triturado Tierra NA</t>
        </is>
      </c>
      <c r="O105" t="inlineStr">
        <is>
          <t>D836</t>
        </is>
      </c>
      <c r="P105" t="inlineStr">
        <is>
          <t>MX-CED. CENTRO</t>
        </is>
      </c>
      <c r="Q105" t="n">
        <v>20200707</v>
      </c>
      <c r="R105" t="n">
        <v>20301231</v>
      </c>
      <c r="S105" t="n">
        <v>20220425</v>
      </c>
      <c r="T105" t="n">
        <v>20271231</v>
      </c>
      <c r="U105" t="n">
        <v>16</v>
      </c>
      <c r="V105" t="inlineStr">
        <is>
          <t>MXN</t>
        </is>
      </c>
      <c r="W105" t="inlineStr">
        <is>
          <t>M3</t>
        </is>
      </c>
      <c r="X105" t="n">
        <v>0</v>
      </c>
      <c r="Y105" t="inlineStr">
        <is>
          <t>MXN</t>
        </is>
      </c>
      <c r="Z105" t="inlineStr">
        <is>
          <t>M3</t>
        </is>
      </c>
      <c r="AC105" t="n">
        <v>56103695</v>
      </c>
      <c r="AD105" t="n">
        <v>6622261540</v>
      </c>
      <c r="AE105" t="n">
        <v>1</v>
      </c>
      <c r="AF105" t="inlineStr">
        <is>
          <t>ENTREGADO</t>
        </is>
      </c>
      <c r="AG105" t="n">
        <v>1.249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20230920</v>
      </c>
      <c r="AM105" t="inlineStr">
        <is>
          <t>D836-900006543-10000206</t>
        </is>
      </c>
    </row>
    <row r="106">
      <c r="A106" t="inlineStr">
        <is>
          <t>900006543D83610215930</t>
        </is>
      </c>
      <c r="B106" t="inlineStr">
        <is>
          <t>4600047486-60</t>
        </is>
      </c>
      <c r="C106" t="n">
        <v>4600047486</v>
      </c>
      <c r="D106" t="n">
        <v>60</v>
      </c>
      <c r="E106" t="inlineStr">
        <is>
          <t>MXPO</t>
        </is>
      </c>
      <c r="F106" t="inlineStr">
        <is>
          <t>MXL</t>
        </is>
      </c>
      <c r="G106" t="n">
        <v>900006543</v>
      </c>
      <c r="H106" t="inlineStr">
        <is>
          <t>TP-MARTINEZ VILLEGAS</t>
        </is>
      </c>
      <c r="I106" t="n">
        <v>5078107</v>
      </c>
      <c r="J106" t="inlineStr">
        <is>
          <t>MARTINEZ VILLEGAS SA DE CV</t>
        </is>
      </c>
      <c r="K106" t="inlineStr">
        <is>
          <t>Z04</t>
        </is>
      </c>
      <c r="L106" t="inlineStr">
        <is>
          <t>(AP) 30 Dias</t>
        </is>
      </c>
      <c r="M106" t="n">
        <v>10215930</v>
      </c>
      <c r="N106" t="inlineStr">
        <is>
          <t>BASE HIDRAÚLICA NG</t>
        </is>
      </c>
      <c r="O106" t="inlineStr">
        <is>
          <t>D836</t>
        </is>
      </c>
      <c r="P106" t="inlineStr">
        <is>
          <t>MX-CED. CENTRO</t>
        </is>
      </c>
      <c r="Q106" t="n">
        <v>20200707</v>
      </c>
      <c r="R106" t="n">
        <v>20301231</v>
      </c>
      <c r="S106" t="n">
        <v>20220509</v>
      </c>
      <c r="T106" t="n">
        <v>20271231</v>
      </c>
      <c r="U106" t="n">
        <v>16</v>
      </c>
      <c r="V106" t="inlineStr">
        <is>
          <t>MXN</t>
        </is>
      </c>
      <c r="W106" t="inlineStr">
        <is>
          <t>M3</t>
        </is>
      </c>
      <c r="X106" t="n">
        <v>0</v>
      </c>
      <c r="Y106" t="inlineStr">
        <is>
          <t>MXN</t>
        </is>
      </c>
      <c r="Z106" t="inlineStr">
        <is>
          <t>M3</t>
        </is>
      </c>
      <c r="AC106" t="n">
        <v>56103590</v>
      </c>
      <c r="AD106" t="n">
        <v>6622261540</v>
      </c>
      <c r="AE106" t="n">
        <v>1</v>
      </c>
      <c r="AF106" t="inlineStr">
        <is>
          <t>ENTREGADO</t>
        </is>
      </c>
      <c r="AG106" t="n">
        <v>1.249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20230920</v>
      </c>
      <c r="AM106" t="inlineStr">
        <is>
          <t>D836-900006543-10215930</t>
        </is>
      </c>
    </row>
    <row r="107">
      <c r="A107" t="inlineStr">
        <is>
          <t>900004323D83610000206</t>
        </is>
      </c>
      <c r="B107" t="inlineStr">
        <is>
          <t>4600033187-30</t>
        </is>
      </c>
      <c r="C107" t="n">
        <v>4600033187</v>
      </c>
      <c r="D107" t="n">
        <v>30</v>
      </c>
      <c r="E107" t="inlineStr">
        <is>
          <t>MXPO</t>
        </is>
      </c>
      <c r="F107" t="inlineStr">
        <is>
          <t>MXL</t>
        </is>
      </c>
      <c r="G107" t="n">
        <v>900004323</v>
      </c>
      <c r="H107" t="inlineStr">
        <is>
          <t>TP-LAS TRANCAS</t>
        </is>
      </c>
      <c r="I107" t="n">
        <v>5047262</v>
      </c>
      <c r="J107" t="inlineStr">
        <is>
          <t>AGREGADOS PETREOS SAN CRISTOBAL</t>
        </is>
      </c>
      <c r="K107" t="inlineStr">
        <is>
          <t>Z03</t>
        </is>
      </c>
      <c r="L107" t="inlineStr">
        <is>
          <t>(AP) 15 Dias</t>
        </is>
      </c>
      <c r="M107" t="n">
        <v>10000206</v>
      </c>
      <c r="N107" t="inlineStr">
        <is>
          <t>Tepetate Triturado Tierra NA</t>
        </is>
      </c>
      <c r="O107" t="inlineStr">
        <is>
          <t>D836</t>
        </is>
      </c>
      <c r="P107" t="inlineStr">
        <is>
          <t>MX-CED. CENTRO</t>
        </is>
      </c>
      <c r="Q107" t="n">
        <v>20160201</v>
      </c>
      <c r="R107" t="n">
        <v>20241231</v>
      </c>
      <c r="S107" t="n">
        <v>20170522</v>
      </c>
      <c r="T107" t="n">
        <v>20241231</v>
      </c>
      <c r="U107" t="n">
        <v>24</v>
      </c>
      <c r="V107" t="inlineStr">
        <is>
          <t>MXN</t>
        </is>
      </c>
      <c r="W107" t="inlineStr">
        <is>
          <t>M3</t>
        </is>
      </c>
      <c r="X107" t="n">
        <v>0</v>
      </c>
      <c r="Y107" t="inlineStr">
        <is>
          <t>MXN</t>
        </is>
      </c>
      <c r="Z107" t="inlineStr">
        <is>
          <t>M3</t>
        </is>
      </c>
      <c r="AC107" t="n">
        <v>56103695</v>
      </c>
      <c r="AD107" t="n">
        <v>6622261540</v>
      </c>
      <c r="AE107" t="n">
        <v>1</v>
      </c>
      <c r="AF107" t="inlineStr">
        <is>
          <t>ENTREGADO</t>
        </is>
      </c>
      <c r="AG107" t="n">
        <v>1.249</v>
      </c>
      <c r="AH107" t="inlineStr">
        <is>
          <t>M3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20230920</v>
      </c>
      <c r="AM107" t="inlineStr">
        <is>
          <t>D836-900004323-10000206</t>
        </is>
      </c>
    </row>
    <row r="108">
      <c r="A108" t="inlineStr">
        <is>
          <t>900004323D83610000594</t>
        </is>
      </c>
      <c r="B108" t="inlineStr">
        <is>
          <t>4600033187-70</t>
        </is>
      </c>
      <c r="C108" t="n">
        <v>4600033187</v>
      </c>
      <c r="D108" t="n">
        <v>70</v>
      </c>
      <c r="E108" t="inlineStr">
        <is>
          <t>MXPO</t>
        </is>
      </c>
      <c r="F108" t="inlineStr">
        <is>
          <t>MXL</t>
        </is>
      </c>
      <c r="G108" t="n">
        <v>900004323</v>
      </c>
      <c r="H108" t="inlineStr">
        <is>
          <t>TP-LAS TRANCAS</t>
        </is>
      </c>
      <c r="I108" t="n">
        <v>5047262</v>
      </c>
      <c r="J108" t="inlineStr">
        <is>
          <t>AGREGADOS PETREOS SAN CRISTOBAL</t>
        </is>
      </c>
      <c r="K108" t="inlineStr">
        <is>
          <t>Z03</t>
        </is>
      </c>
      <c r="L108" t="inlineStr">
        <is>
          <t>(AP) 15 Dias</t>
        </is>
      </c>
      <c r="M108" t="n">
        <v>10000594</v>
      </c>
      <c r="N108" t="inlineStr">
        <is>
          <t>Grava Triturada Basalto 20 mm - 3/4"</t>
        </is>
      </c>
      <c r="O108" t="inlineStr">
        <is>
          <t>D836</t>
        </is>
      </c>
      <c r="P108" t="inlineStr">
        <is>
          <t>MX-CED. CENTRO</t>
        </is>
      </c>
      <c r="Q108" t="n">
        <v>20160201</v>
      </c>
      <c r="R108" t="n">
        <v>20241231</v>
      </c>
      <c r="S108" t="n">
        <v>20180507</v>
      </c>
      <c r="T108" t="n">
        <v>20241231</v>
      </c>
      <c r="U108" t="n">
        <v>250</v>
      </c>
      <c r="V108" t="inlineStr">
        <is>
          <t>MXN</t>
        </is>
      </c>
      <c r="W108" t="inlineStr">
        <is>
          <t>M3</t>
        </is>
      </c>
      <c r="X108" t="n">
        <v>0</v>
      </c>
      <c r="Y108" t="inlineStr">
        <is>
          <t>MXN</t>
        </is>
      </c>
      <c r="Z108" t="inlineStr">
        <is>
          <t>M3</t>
        </is>
      </c>
      <c r="AC108" t="n">
        <v>56103637</v>
      </c>
      <c r="AD108" t="n">
        <v>6622261540</v>
      </c>
      <c r="AE108" t="n">
        <v>2</v>
      </c>
      <c r="AF108" t="inlineStr">
        <is>
          <t>RECOGIDO</t>
        </is>
      </c>
      <c r="AG108" t="n">
        <v>1.323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20230920</v>
      </c>
      <c r="AM108" t="inlineStr">
        <is>
          <t>D836-900004323-10000594</t>
        </is>
      </c>
    </row>
    <row r="109">
      <c r="A109" t="inlineStr">
        <is>
          <t>900005214D83610059181</t>
        </is>
      </c>
      <c r="B109" t="inlineStr">
        <is>
          <t>4600037761-10</t>
        </is>
      </c>
      <c r="C109" t="n">
        <v>4600037761</v>
      </c>
      <c r="D109" t="n">
        <v>10</v>
      </c>
      <c r="E109" t="inlineStr">
        <is>
          <t>MXPO</t>
        </is>
      </c>
      <c r="F109" t="inlineStr">
        <is>
          <t>MXL</t>
        </is>
      </c>
      <c r="G109" t="n">
        <v>900005214</v>
      </c>
      <c r="H109" t="inlineStr">
        <is>
          <t>TP-CAÑADA EL TESOYO</t>
        </is>
      </c>
      <c r="I109" t="n">
        <v>5045930</v>
      </c>
      <c r="J109" t="inlineStr">
        <is>
          <t>EL TESOYO SA</t>
        </is>
      </c>
      <c r="K109" t="inlineStr">
        <is>
          <t>Z06</t>
        </is>
      </c>
      <c r="L109" t="inlineStr">
        <is>
          <t>(AP) 45 Dias</t>
        </is>
      </c>
      <c r="M109" t="n">
        <v>10059181</v>
      </c>
      <c r="N109" t="inlineStr">
        <is>
          <t>Arena Triturada Andesita Malla 4</t>
        </is>
      </c>
      <c r="O109" t="inlineStr">
        <is>
          <t>D836</t>
        </is>
      </c>
      <c r="P109" t="inlineStr">
        <is>
          <t>MX-CED. CENTRO</t>
        </is>
      </c>
      <c r="Q109" t="n">
        <v>20170427</v>
      </c>
      <c r="R109" t="n">
        <v>20241231</v>
      </c>
      <c r="S109" t="n">
        <v>20180206</v>
      </c>
      <c r="T109" t="n">
        <v>20241231</v>
      </c>
      <c r="U109" t="n">
        <v>75</v>
      </c>
      <c r="V109" t="inlineStr">
        <is>
          <t>MXN</t>
        </is>
      </c>
      <c r="W109" t="inlineStr">
        <is>
          <t>M3</t>
        </is>
      </c>
      <c r="X109" t="n">
        <v>0</v>
      </c>
      <c r="Y109" t="inlineStr">
        <is>
          <t>MXN</t>
        </is>
      </c>
      <c r="Z109" t="inlineStr">
        <is>
          <t>M3</t>
        </is>
      </c>
      <c r="AC109" t="n">
        <v>56103638</v>
      </c>
      <c r="AD109" t="n">
        <v>6622261540</v>
      </c>
      <c r="AE109" t="n">
        <v>1</v>
      </c>
      <c r="AF109" t="inlineStr">
        <is>
          <t>ENTREGADO</t>
        </is>
      </c>
      <c r="AG109" t="n">
        <v>1.221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20230920</v>
      </c>
      <c r="AM109" t="inlineStr">
        <is>
          <t>D836-900005214-10059181</t>
        </is>
      </c>
    </row>
    <row r="110">
      <c r="A110" t="inlineStr">
        <is>
          <t>900005286D83610145811</t>
        </is>
      </c>
      <c r="B110" t="inlineStr">
        <is>
          <t>4600038427-40</t>
        </is>
      </c>
      <c r="C110" t="n">
        <v>4600038427</v>
      </c>
      <c r="D110" t="n">
        <v>40</v>
      </c>
      <c r="E110" t="inlineStr">
        <is>
          <t>MXPO</t>
        </is>
      </c>
      <c r="F110" t="inlineStr">
        <is>
          <t>MXL</t>
        </is>
      </c>
      <c r="G110" t="n">
        <v>900005286</v>
      </c>
      <c r="H110" t="inlineStr">
        <is>
          <t>TP-TLALOC</t>
        </is>
      </c>
      <c r="I110" t="n">
        <v>5068022</v>
      </c>
      <c r="J110" t="inlineStr">
        <is>
          <t>INMOBILIARIA PAVAGA SA DE CV</t>
        </is>
      </c>
      <c r="K110" t="inlineStr">
        <is>
          <t>N90</t>
        </is>
      </c>
      <c r="L110" t="inlineStr">
        <is>
          <t>(AP) NAFIN 90 Dias</t>
        </is>
      </c>
      <c r="M110" t="n">
        <v>10145811</v>
      </c>
      <c r="N110" t="inlineStr">
        <is>
          <t>GRAVA TRITURADA ANDESITA 6" A 1"</t>
        </is>
      </c>
      <c r="O110" t="inlineStr">
        <is>
          <t>D836</t>
        </is>
      </c>
      <c r="P110" t="inlineStr">
        <is>
          <t>MX-CED. CENTRO</t>
        </is>
      </c>
      <c r="Q110" t="n">
        <v>20170619</v>
      </c>
      <c r="R110" t="n">
        <v>20241231</v>
      </c>
      <c r="S110" t="n">
        <v>20180202</v>
      </c>
      <c r="T110" t="n">
        <v>20241231</v>
      </c>
      <c r="U110" t="n">
        <v>68</v>
      </c>
      <c r="V110" t="inlineStr">
        <is>
          <t>MXN</t>
        </is>
      </c>
      <c r="W110" t="inlineStr">
        <is>
          <t>M3</t>
        </is>
      </c>
      <c r="X110" t="n">
        <v>0</v>
      </c>
      <c r="Y110" t="inlineStr">
        <is>
          <t>MXN</t>
        </is>
      </c>
      <c r="Z110" t="inlineStr">
        <is>
          <t>M3</t>
        </is>
      </c>
      <c r="AC110" t="n">
        <v>56103637</v>
      </c>
      <c r="AD110" t="n">
        <v>6622261540</v>
      </c>
      <c r="AE110" t="n">
        <v>1</v>
      </c>
      <c r="AF110" t="inlineStr">
        <is>
          <t>ENTREGADO</t>
        </is>
      </c>
      <c r="AG110" t="n">
        <v>1.23</v>
      </c>
      <c r="AH110" t="inlineStr">
        <is>
          <t>M3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20230920</v>
      </c>
      <c r="AM110" t="inlineStr">
        <is>
          <t>D836-900005286-10145811</t>
        </is>
      </c>
    </row>
    <row r="111">
      <c r="A111" t="inlineStr">
        <is>
          <t>900005627D83610000598</t>
        </is>
      </c>
      <c r="B111" t="inlineStr">
        <is>
          <t>4600042076-20</t>
        </is>
      </c>
      <c r="C111" t="n">
        <v>4600042076</v>
      </c>
      <c r="D111" t="n">
        <v>20</v>
      </c>
      <c r="E111" t="inlineStr">
        <is>
          <t>MXPO</t>
        </is>
      </c>
      <c r="F111" t="inlineStr">
        <is>
          <t>MXL</t>
        </is>
      </c>
      <c r="G111" t="n">
        <v>900005627</v>
      </c>
      <c r="H111" t="inlineStr">
        <is>
          <t>TP-DOS CERROS SAN LUIS</t>
        </is>
      </c>
      <c r="I111" t="n">
        <v>5036168</v>
      </c>
      <c r="J111" t="inlineStr">
        <is>
          <t>TRITURADOS DOS CERROS SA DE CV</t>
        </is>
      </c>
      <c r="K111" t="inlineStr">
        <is>
          <t>Z04</t>
        </is>
      </c>
      <c r="L111" t="inlineStr">
        <is>
          <t>(AP) 30 Dias</t>
        </is>
      </c>
      <c r="M111" t="n">
        <v>10000598</v>
      </c>
      <c r="N111" t="inlineStr">
        <is>
          <t>Arena Triturada Basalto  Malla 4</t>
        </is>
      </c>
      <c r="O111" t="inlineStr">
        <is>
          <t>D836</t>
        </is>
      </c>
      <c r="P111" t="inlineStr">
        <is>
          <t>MX-CED. CENTRO</t>
        </is>
      </c>
      <c r="Q111" t="n">
        <v>20180511</v>
      </c>
      <c r="R111" t="n">
        <v>20281231</v>
      </c>
      <c r="S111" t="n">
        <v>20180511</v>
      </c>
      <c r="T111" t="n">
        <v>20241231</v>
      </c>
      <c r="U111" t="n">
        <v>280</v>
      </c>
      <c r="V111" t="inlineStr">
        <is>
          <t>MXN</t>
        </is>
      </c>
      <c r="W111" t="inlineStr">
        <is>
          <t>M3</t>
        </is>
      </c>
      <c r="X111" t="n">
        <v>0</v>
      </c>
      <c r="Y111" t="inlineStr">
        <is>
          <t>MXN</t>
        </is>
      </c>
      <c r="Z111" t="inlineStr">
        <is>
          <t>M3</t>
        </is>
      </c>
      <c r="AC111" t="n">
        <v>56103638</v>
      </c>
      <c r="AD111" t="n">
        <v>6622261540</v>
      </c>
      <c r="AE111" t="n">
        <v>1</v>
      </c>
      <c r="AF111" t="inlineStr">
        <is>
          <t>ENTREGADO</t>
        </is>
      </c>
      <c r="AG111" t="n">
        <v>1.469</v>
      </c>
      <c r="AH111" t="inlineStr">
        <is>
          <t>M3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20230920</v>
      </c>
      <c r="AM111" t="inlineStr">
        <is>
          <t>D836-900005627-10000598</t>
        </is>
      </c>
    </row>
    <row r="112">
      <c r="A112" t="inlineStr">
        <is>
          <t>900006005D83610000624</t>
        </is>
      </c>
      <c r="B112" t="inlineStr">
        <is>
          <t>4600044358-30</t>
        </is>
      </c>
      <c r="C112" t="n">
        <v>4600044358</v>
      </c>
      <c r="D112" t="n">
        <v>30</v>
      </c>
      <c r="E112" t="inlineStr">
        <is>
          <t>MXPO</t>
        </is>
      </c>
      <c r="F112" t="inlineStr">
        <is>
          <t>MXL</t>
        </is>
      </c>
      <c r="G112" t="n">
        <v>900006005</v>
      </c>
      <c r="H112" t="inlineStr">
        <is>
          <t>SF TP-ESTRATEGIAS AVANZADAS</t>
        </is>
      </c>
      <c r="I112" t="n">
        <v>5049458</v>
      </c>
      <c r="J112" t="inlineStr">
        <is>
          <t>ESTRATEGIAS AVANZADAS PARA OBTEN</t>
        </is>
      </c>
      <c r="K112" t="inlineStr">
        <is>
          <t>Z03</t>
        </is>
      </c>
      <c r="L112" t="inlineStr">
        <is>
          <t>(AP) 15 Dias</t>
        </is>
      </c>
      <c r="M112" t="n">
        <v>10000624</v>
      </c>
      <c r="N112" t="inlineStr">
        <is>
          <t>Grava Triturada Caliza 40 mm - 1 1/2"</t>
        </is>
      </c>
      <c r="O112" t="inlineStr">
        <is>
          <t>D836</t>
        </is>
      </c>
      <c r="P112" t="inlineStr">
        <is>
          <t>MX-CED. CENTRO</t>
        </is>
      </c>
      <c r="Q112" t="n">
        <v>20190325</v>
      </c>
      <c r="R112" t="n">
        <v>20241231</v>
      </c>
      <c r="S112" t="n">
        <v>20190325</v>
      </c>
      <c r="T112" t="n">
        <v>20241231</v>
      </c>
      <c r="U112" t="n">
        <v>128</v>
      </c>
      <c r="V112" t="inlineStr">
        <is>
          <t>MXN</t>
        </is>
      </c>
      <c r="W112" t="inlineStr">
        <is>
          <t>M3</t>
        </is>
      </c>
      <c r="X112" t="n">
        <v>0</v>
      </c>
      <c r="Y112" t="inlineStr">
        <is>
          <t>MXN</t>
        </is>
      </c>
      <c r="Z112" t="inlineStr">
        <is>
          <t>M3</t>
        </is>
      </c>
      <c r="AC112" t="n">
        <v>56103637</v>
      </c>
      <c r="AD112" t="n">
        <v>6622261540</v>
      </c>
      <c r="AE112" t="n">
        <v>1</v>
      </c>
      <c r="AF112" t="inlineStr">
        <is>
          <t>ENTREGADO</t>
        </is>
      </c>
      <c r="AG112" t="n">
        <v>1.45</v>
      </c>
      <c r="AH112" t="inlineStr">
        <is>
          <t>M3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20230920</v>
      </c>
      <c r="AM112" t="inlineStr">
        <is>
          <t>D836-900006005-10000624</t>
        </is>
      </c>
    </row>
    <row r="113">
      <c r="A113" t="inlineStr">
        <is>
          <t>900006543D83610216851</t>
        </is>
      </c>
      <c r="B113" t="inlineStr">
        <is>
          <t>4600047486-70</t>
        </is>
      </c>
      <c r="C113" t="n">
        <v>4600047486</v>
      </c>
      <c r="D113" t="n">
        <v>70</v>
      </c>
      <c r="E113" t="inlineStr">
        <is>
          <t>MXPO</t>
        </is>
      </c>
      <c r="F113" t="inlineStr">
        <is>
          <t>MXL</t>
        </is>
      </c>
      <c r="G113" t="n">
        <v>900006543</v>
      </c>
      <c r="H113" t="inlineStr">
        <is>
          <t>TP-MARTINEZ VILLEGAS</t>
        </is>
      </c>
      <c r="I113" t="n">
        <v>5078107</v>
      </c>
      <c r="J113" t="inlineStr">
        <is>
          <t>MARTINEZ VILLEGAS SA DE CV</t>
        </is>
      </c>
      <c r="K113" t="inlineStr">
        <is>
          <t>Z04</t>
        </is>
      </c>
      <c r="L113" t="inlineStr">
        <is>
          <t>(AP) 30 Dias</t>
        </is>
      </c>
      <c r="M113" t="n">
        <v>10216851</v>
      </c>
      <c r="N113" t="inlineStr">
        <is>
          <t>BASE HIDRAÚLICA - TEPETATE NG</t>
        </is>
      </c>
      <c r="O113" t="inlineStr">
        <is>
          <t>D836</t>
        </is>
      </c>
      <c r="P113" t="inlineStr">
        <is>
          <t>MX-CED. CENTRO</t>
        </is>
      </c>
      <c r="Q113" t="n">
        <v>20200707</v>
      </c>
      <c r="R113" t="n">
        <v>20301231</v>
      </c>
      <c r="S113" t="n">
        <v>20220531</v>
      </c>
      <c r="T113" t="n">
        <v>20270531</v>
      </c>
      <c r="U113" t="n">
        <v>16</v>
      </c>
      <c r="V113" t="inlineStr">
        <is>
          <t>MXN</t>
        </is>
      </c>
      <c r="W113" t="inlineStr">
        <is>
          <t>M3</t>
        </is>
      </c>
      <c r="X113" t="n">
        <v>0</v>
      </c>
      <c r="Y113" t="inlineStr">
        <is>
          <t>MXN</t>
        </is>
      </c>
      <c r="Z113" t="inlineStr">
        <is>
          <t>M3</t>
        </is>
      </c>
      <c r="AC113" t="n">
        <v>56103590</v>
      </c>
      <c r="AD113" t="n">
        <v>6622261540</v>
      </c>
      <c r="AE113" t="n">
        <v>1</v>
      </c>
      <c r="AF113" t="inlineStr">
        <is>
          <t>ENTREGADO</t>
        </is>
      </c>
      <c r="AG113" t="n">
        <v>1.249</v>
      </c>
      <c r="AH113" t="inlineStr">
        <is>
          <t>M3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20230920</v>
      </c>
      <c r="AM113" t="inlineStr">
        <is>
          <t>D836-900006543-10216851</t>
        </is>
      </c>
    </row>
    <row r="114">
      <c r="A114" t="inlineStr">
        <is>
          <t>900004323D83610003132</t>
        </is>
      </c>
      <c r="B114" t="inlineStr">
        <is>
          <t>4600033187-90</t>
        </is>
      </c>
      <c r="C114" t="n">
        <v>4600033187</v>
      </c>
      <c r="D114" t="n">
        <v>90</v>
      </c>
      <c r="E114" t="inlineStr">
        <is>
          <t>MXPO</t>
        </is>
      </c>
      <c r="F114" t="inlineStr">
        <is>
          <t>MXL</t>
        </is>
      </c>
      <c r="G114" t="n">
        <v>900004323</v>
      </c>
      <c r="H114" t="inlineStr">
        <is>
          <t>TP-LAS TRANCAS</t>
        </is>
      </c>
      <c r="I114" t="n">
        <v>5047262</v>
      </c>
      <c r="J114" t="inlineStr">
        <is>
          <t>AGREGADOS PETREOS SAN CRISTOBAL</t>
        </is>
      </c>
      <c r="K114" t="inlineStr">
        <is>
          <t>Z03</t>
        </is>
      </c>
      <c r="L114" t="inlineStr">
        <is>
          <t>(AP) 15 Dias</t>
        </is>
      </c>
      <c r="M114" t="n">
        <v>10003132</v>
      </c>
      <c r="N114" t="inlineStr">
        <is>
          <t>Base H Triturada Andesita  1 1/2" a Fino</t>
        </is>
      </c>
      <c r="O114" t="inlineStr">
        <is>
          <t>D836</t>
        </is>
      </c>
      <c r="P114" t="inlineStr">
        <is>
          <t>MX-CED. CENTRO</t>
        </is>
      </c>
      <c r="Q114" t="n">
        <v>20160201</v>
      </c>
      <c r="R114" t="n">
        <v>20241231</v>
      </c>
      <c r="S114" t="n">
        <v>20200129</v>
      </c>
      <c r="T114" t="n">
        <v>20291231</v>
      </c>
      <c r="U114" t="n">
        <v>110</v>
      </c>
      <c r="V114" t="inlineStr">
        <is>
          <t>MXN</t>
        </is>
      </c>
      <c r="W114" t="inlineStr">
        <is>
          <t>M3</t>
        </is>
      </c>
      <c r="X114" t="n">
        <v>0</v>
      </c>
      <c r="Y114" t="inlineStr">
        <is>
          <t>MXN</t>
        </is>
      </c>
      <c r="Z114" t="inlineStr">
        <is>
          <t>M3</t>
        </is>
      </c>
      <c r="AC114" t="n">
        <v>56103590</v>
      </c>
      <c r="AD114" t="n">
        <v>6622261540</v>
      </c>
      <c r="AE114" t="n">
        <v>1</v>
      </c>
      <c r="AF114" t="inlineStr">
        <is>
          <t>ENTREGADO</t>
        </is>
      </c>
      <c r="AG114" t="n">
        <v>1.29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20230920</v>
      </c>
      <c r="AM114" t="inlineStr">
        <is>
          <t>D836-900004323-10003132</t>
        </is>
      </c>
    </row>
    <row r="115">
      <c r="A115" t="inlineStr">
        <is>
          <t>900005356D83610233432</t>
        </is>
      </c>
      <c r="B115" t="inlineStr">
        <is>
          <t>4600039490-70</t>
        </is>
      </c>
      <c r="C115" t="n">
        <v>4600039490</v>
      </c>
      <c r="D115" t="n">
        <v>70</v>
      </c>
      <c r="E115" t="inlineStr">
        <is>
          <t>MXPO</t>
        </is>
      </c>
      <c r="F115" t="inlineStr">
        <is>
          <t>MXL</t>
        </is>
      </c>
      <c r="G115" t="n">
        <v>900005356</v>
      </c>
      <c r="H115" t="inlineStr">
        <is>
          <t>TP-TRIVOMEX RECOGIDO</t>
        </is>
      </c>
      <c r="I115" t="n">
        <v>5033501</v>
      </c>
      <c r="J115" t="inlineStr">
        <is>
          <t>TRITURADOS VOLCANICOS DE MEXICO</t>
        </is>
      </c>
      <c r="K115" t="inlineStr">
        <is>
          <t>Z04</t>
        </is>
      </c>
      <c r="L115" t="inlineStr">
        <is>
          <t>(AP) 30 Dias</t>
        </is>
      </c>
      <c r="M115" t="n">
        <v>10233432</v>
      </c>
      <c r="N115" t="inlineStr">
        <is>
          <t>ARENA TRITURADA ANDESITA MALLA 4 P</t>
        </is>
      </c>
      <c r="O115" t="inlineStr">
        <is>
          <t>D836</t>
        </is>
      </c>
      <c r="P115" t="inlineStr">
        <is>
          <t>MX-CED. CENTRO</t>
        </is>
      </c>
      <c r="Q115" t="n">
        <v>20170828</v>
      </c>
      <c r="R115" t="n">
        <v>20281231</v>
      </c>
      <c r="S115" t="n">
        <v>20230509</v>
      </c>
      <c r="T115" t="n">
        <v>20281231</v>
      </c>
      <c r="U115" t="n">
        <v>89</v>
      </c>
      <c r="V115" t="inlineStr">
        <is>
          <t>MXN</t>
        </is>
      </c>
      <c r="W115" t="inlineStr">
        <is>
          <t>M3</t>
        </is>
      </c>
      <c r="X115" t="n">
        <v>0</v>
      </c>
      <c r="Y115" t="inlineStr">
        <is>
          <t>MXN</t>
        </is>
      </c>
      <c r="Z115" t="inlineStr">
        <is>
          <t>M3</t>
        </is>
      </c>
      <c r="AC115" t="n">
        <v>56103638</v>
      </c>
      <c r="AD115" t="n">
        <v>6622261540</v>
      </c>
      <c r="AE115" t="n">
        <v>1</v>
      </c>
      <c r="AF115" t="inlineStr">
        <is>
          <t>ENTREGADO</t>
        </is>
      </c>
      <c r="AG115" t="n">
        <v>1.409</v>
      </c>
      <c r="AH115" t="inlineStr">
        <is>
          <t>M3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20230920</v>
      </c>
      <c r="AM115" t="inlineStr">
        <is>
          <t>D836-900005356-10233432</t>
        </is>
      </c>
    </row>
    <row r="116">
      <c r="A116" t="inlineStr">
        <is>
          <t>900003599D83610000360</t>
        </is>
      </c>
      <c r="B116" t="inlineStr">
        <is>
          <t>4600041240-30</t>
        </is>
      </c>
      <c r="C116" t="n">
        <v>4600041240</v>
      </c>
      <c r="D116" t="n">
        <v>30</v>
      </c>
      <c r="E116" t="inlineStr">
        <is>
          <t>MXPO</t>
        </is>
      </c>
      <c r="F116" t="inlineStr">
        <is>
          <t>MXL</t>
        </is>
      </c>
      <c r="G116" t="n">
        <v>900003599</v>
      </c>
      <c r="H116" t="inlineStr">
        <is>
          <t>TP-ED-ESTRATEGIAS AVANZADAS</t>
        </is>
      </c>
      <c r="I116" t="n">
        <v>5049458</v>
      </c>
      <c r="J116" t="inlineStr">
        <is>
          <t>ESTRATEGIAS AVANZADAS PARA OBTEN</t>
        </is>
      </c>
      <c r="K116" t="inlineStr">
        <is>
          <t>Z03</t>
        </is>
      </c>
      <c r="L116" t="inlineStr">
        <is>
          <t>(AP) 15 Dias</t>
        </is>
      </c>
      <c r="M116" t="n">
        <v>10000360</v>
      </c>
      <c r="N116" t="inlineStr">
        <is>
          <t>Base H Triturada Caliza 1 1/2" a Finos</t>
        </is>
      </c>
      <c r="O116" t="inlineStr">
        <is>
          <t>D836</t>
        </is>
      </c>
      <c r="P116" t="inlineStr">
        <is>
          <t>MX-CED. CENTRO</t>
        </is>
      </c>
      <c r="Q116" t="n">
        <v>20180215</v>
      </c>
      <c r="R116" t="n">
        <v>20301231</v>
      </c>
      <c r="S116" t="n">
        <v>20190401</v>
      </c>
      <c r="T116" t="n">
        <v>20241231</v>
      </c>
      <c r="U116" t="n">
        <v>70</v>
      </c>
      <c r="V116" t="inlineStr">
        <is>
          <t>MXN</t>
        </is>
      </c>
      <c r="W116" t="inlineStr">
        <is>
          <t>M3</t>
        </is>
      </c>
      <c r="X116" t="n">
        <v>0</v>
      </c>
      <c r="Y116" t="inlineStr">
        <is>
          <t>MXN</t>
        </is>
      </c>
      <c r="Z116" t="inlineStr">
        <is>
          <t>M3</t>
        </is>
      </c>
      <c r="AC116" t="n">
        <v>56103590</v>
      </c>
      <c r="AD116" t="n">
        <v>6622261540</v>
      </c>
      <c r="AE116" t="n">
        <v>1</v>
      </c>
      <c r="AF116" t="inlineStr">
        <is>
          <t>ENTREGADO</t>
        </is>
      </c>
      <c r="AG116" t="n">
        <v>1.5</v>
      </c>
      <c r="AH116" t="inlineStr">
        <is>
          <t>M3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20230920</v>
      </c>
      <c r="AM116" t="inlineStr">
        <is>
          <t>D836-900003599-10000360</t>
        </is>
      </c>
    </row>
    <row r="117">
      <c r="A117" t="inlineStr">
        <is>
          <t>900006030D83610166129</t>
        </is>
      </c>
      <c r="B117" t="inlineStr">
        <is>
          <t>4600044415-60</t>
        </is>
      </c>
      <c r="C117" t="n">
        <v>4600044415</v>
      </c>
      <c r="D117" t="n">
        <v>60</v>
      </c>
      <c r="E117" t="inlineStr">
        <is>
          <t>MXPO</t>
        </is>
      </c>
      <c r="F117" t="inlineStr">
        <is>
          <t>MXL</t>
        </is>
      </c>
      <c r="G117" t="n">
        <v>900006030</v>
      </c>
      <c r="H117" t="inlineStr">
        <is>
          <t>SF TP-ROCA DURA LERMA</t>
        </is>
      </c>
      <c r="I117" t="n">
        <v>5032274</v>
      </c>
      <c r="J117" t="inlineStr">
        <is>
          <t>TRITURADORA ROCA DURA SAN MIGUEL</t>
        </is>
      </c>
      <c r="K117" t="inlineStr">
        <is>
          <t>Z03</t>
        </is>
      </c>
      <c r="L117" t="inlineStr">
        <is>
          <t>(AP) 15 Dias</t>
        </is>
      </c>
      <c r="M117" t="n">
        <v>10166129</v>
      </c>
      <c r="N117" t="inlineStr">
        <is>
          <t>GRAVA TRITURADA BASALTO 40 MM - 1 1/2"</t>
        </is>
      </c>
      <c r="O117" t="inlineStr">
        <is>
          <t>D836</t>
        </is>
      </c>
      <c r="P117" t="inlineStr">
        <is>
          <t>MX-CED. CENTRO</t>
        </is>
      </c>
      <c r="Q117" t="n">
        <v>20190401</v>
      </c>
      <c r="R117" t="n">
        <v>20241231</v>
      </c>
      <c r="S117" t="n">
        <v>20200106</v>
      </c>
      <c r="T117" t="n">
        <v>20291231</v>
      </c>
      <c r="U117" t="n">
        <v>390</v>
      </c>
      <c r="V117" t="inlineStr">
        <is>
          <t>MXN</t>
        </is>
      </c>
      <c r="W117" t="inlineStr">
        <is>
          <t>M3</t>
        </is>
      </c>
      <c r="X117" t="n">
        <v>0</v>
      </c>
      <c r="Y117" t="inlineStr">
        <is>
          <t>MXN</t>
        </is>
      </c>
      <c r="Z117" t="inlineStr">
        <is>
          <t>M3</t>
        </is>
      </c>
      <c r="AC117" t="n">
        <v>56103637</v>
      </c>
      <c r="AD117" t="n">
        <v>6622261540</v>
      </c>
      <c r="AE117" t="n">
        <v>1</v>
      </c>
      <c r="AF117" t="inlineStr">
        <is>
          <t>ENTREGADO</t>
        </is>
      </c>
      <c r="AG117" t="n">
        <v>1.301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20230920</v>
      </c>
      <c r="AM117" t="inlineStr">
        <is>
          <t>D836-900006030-10166129</t>
        </is>
      </c>
    </row>
    <row r="118">
      <c r="A118" t="inlineStr">
        <is>
          <t>900006185D83610149994</t>
        </is>
      </c>
      <c r="B118" t="inlineStr">
        <is>
          <t>4600045638-10</t>
        </is>
      </c>
      <c r="C118" t="n">
        <v>4600045638</v>
      </c>
      <c r="D118" t="n">
        <v>10</v>
      </c>
      <c r="E118" t="inlineStr">
        <is>
          <t>MXPO</t>
        </is>
      </c>
      <c r="F118" t="inlineStr">
        <is>
          <t>MXL</t>
        </is>
      </c>
      <c r="G118" t="n">
        <v>900006185</v>
      </c>
      <c r="H118" t="inlineStr">
        <is>
          <t>TP-ED-OLIELL ALMACÉN</t>
        </is>
      </c>
      <c r="I118" t="n">
        <v>5048484</v>
      </c>
      <c r="J118" t="inlineStr">
        <is>
          <t>COMERCIALIZADORA Y TRANSPORTADORA O</t>
        </is>
      </c>
      <c r="K118" t="inlineStr">
        <is>
          <t>Z00</t>
        </is>
      </c>
      <c r="L118" t="inlineStr">
        <is>
          <t>(AP) Pagadero Inmediatamente</t>
        </is>
      </c>
      <c r="M118" t="n">
        <v>10149994</v>
      </c>
      <c r="N118" t="inlineStr">
        <is>
          <t>ARENA TRITURADA ANDESITA MALLA 4</t>
        </is>
      </c>
      <c r="O118" t="inlineStr">
        <is>
          <t>D836</t>
        </is>
      </c>
      <c r="P118" t="inlineStr">
        <is>
          <t>MX-CED. CENTRO</t>
        </is>
      </c>
      <c r="Q118" t="n">
        <v>20190927</v>
      </c>
      <c r="R118" t="n">
        <v>20241231</v>
      </c>
      <c r="S118" t="n">
        <v>20190927</v>
      </c>
      <c r="T118" t="n">
        <v>20241231</v>
      </c>
      <c r="U118" t="n">
        <v>210</v>
      </c>
      <c r="V118" t="inlineStr">
        <is>
          <t>MXN</t>
        </is>
      </c>
      <c r="W118" t="inlineStr">
        <is>
          <t>M3</t>
        </is>
      </c>
      <c r="X118" t="n">
        <v>0</v>
      </c>
      <c r="Y118" t="inlineStr">
        <is>
          <t>MXN</t>
        </is>
      </c>
      <c r="Z118" t="inlineStr">
        <is>
          <t>M3</t>
        </is>
      </c>
      <c r="AC118" t="n">
        <v>56103638</v>
      </c>
      <c r="AD118" t="n">
        <v>6622261540</v>
      </c>
      <c r="AE118" t="n">
        <v>1</v>
      </c>
      <c r="AF118" t="inlineStr">
        <is>
          <t>ENTREGADO</t>
        </is>
      </c>
      <c r="AG118" t="n">
        <v>1.47</v>
      </c>
      <c r="AH118" t="inlineStr">
        <is>
          <t>M3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20230920</v>
      </c>
      <c r="AM118" t="inlineStr">
        <is>
          <t>D836-900006185-10149994</t>
        </is>
      </c>
    </row>
    <row r="119">
      <c r="A119" t="inlineStr">
        <is>
          <t>900006351D83610000811</t>
        </is>
      </c>
      <c r="B119" t="inlineStr">
        <is>
          <t>4600045799-30</t>
        </is>
      </c>
      <c r="C119" t="n">
        <v>4600045799</v>
      </c>
      <c r="D119" t="n">
        <v>30</v>
      </c>
      <c r="E119" t="inlineStr">
        <is>
          <t>MXPO</t>
        </is>
      </c>
      <c r="F119" t="inlineStr">
        <is>
          <t>MXL</t>
        </is>
      </c>
      <c r="G119" t="n">
        <v>900006351</v>
      </c>
      <c r="H119" t="inlineStr">
        <is>
          <t>SF TP-HUDASA COMUNEROS</t>
        </is>
      </c>
      <c r="I119" t="n">
        <v>5054686</v>
      </c>
      <c r="J119" t="inlineStr">
        <is>
          <t>GRUPO MERCANTIL HUDASA SA DE CV</t>
        </is>
      </c>
      <c r="K119" t="inlineStr">
        <is>
          <t>N90</t>
        </is>
      </c>
      <c r="L119" t="inlineStr">
        <is>
          <t>(AP) NAFIN 90 Dias</t>
        </is>
      </c>
      <c r="M119" t="n">
        <v>10000811</v>
      </c>
      <c r="N119" t="inlineStr">
        <is>
          <t>Grava Triturada Caliza 20 mm - 3/4"</t>
        </is>
      </c>
      <c r="O119" t="inlineStr">
        <is>
          <t>D836</t>
        </is>
      </c>
      <c r="P119" t="inlineStr">
        <is>
          <t>MX-CED. CENTRO</t>
        </is>
      </c>
      <c r="Q119" t="n">
        <v>20191018</v>
      </c>
      <c r="R119" t="n">
        <v>20281231</v>
      </c>
      <c r="S119" t="n">
        <v>20191018</v>
      </c>
      <c r="T119" t="n">
        <v>20241231</v>
      </c>
      <c r="U119" t="n">
        <v>115</v>
      </c>
      <c r="V119" t="inlineStr">
        <is>
          <t>MXN</t>
        </is>
      </c>
      <c r="W119" t="inlineStr">
        <is>
          <t>M3</t>
        </is>
      </c>
      <c r="X119" t="n">
        <v>0</v>
      </c>
      <c r="Y119" t="inlineStr">
        <is>
          <t>MXN</t>
        </is>
      </c>
      <c r="Z119" t="inlineStr">
        <is>
          <t>M3</t>
        </is>
      </c>
      <c r="AC119" t="n">
        <v>56103637</v>
      </c>
      <c r="AD119" t="n">
        <v>6622261540</v>
      </c>
      <c r="AE119" t="n">
        <v>1</v>
      </c>
      <c r="AF119" t="inlineStr">
        <is>
          <t>ENTREGADO</t>
        </is>
      </c>
      <c r="AG119" t="n">
        <v>1.447</v>
      </c>
      <c r="AH119" t="inlineStr">
        <is>
          <t>M3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20230920</v>
      </c>
      <c r="AM119" t="inlineStr">
        <is>
          <t>D836-900006351-10000811</t>
        </is>
      </c>
    </row>
    <row r="120">
      <c r="A120" t="inlineStr">
        <is>
          <t>900006543D83610146897</t>
        </is>
      </c>
      <c r="B120" t="inlineStr">
        <is>
          <t>4600047486-80</t>
        </is>
      </c>
      <c r="C120" t="n">
        <v>4600047486</v>
      </c>
      <c r="D120" t="n">
        <v>80</v>
      </c>
      <c r="E120" t="inlineStr">
        <is>
          <t>MXPO</t>
        </is>
      </c>
      <c r="F120" t="inlineStr">
        <is>
          <t>MXL</t>
        </is>
      </c>
      <c r="G120" t="n">
        <v>900006543</v>
      </c>
      <c r="H120" t="inlineStr">
        <is>
          <t>TP-MARTINEZ VILLEGAS</t>
        </is>
      </c>
      <c r="I120" t="n">
        <v>5078107</v>
      </c>
      <c r="J120" t="inlineStr">
        <is>
          <t>MARTINEZ VILLEGAS SA DE CV</t>
        </is>
      </c>
      <c r="K120" t="inlineStr">
        <is>
          <t>Z04</t>
        </is>
      </c>
      <c r="L120" t="inlineStr">
        <is>
          <t>(AP) 30 Dias</t>
        </is>
      </c>
      <c r="M120" t="n">
        <v>10146897</v>
      </c>
      <c r="N120" t="inlineStr">
        <is>
          <t>ARENA TRITURADA ANDESITA MALLA 5</t>
        </is>
      </c>
      <c r="O120" t="inlineStr">
        <is>
          <t>D836</t>
        </is>
      </c>
      <c r="P120" t="inlineStr">
        <is>
          <t>MX-CED. CENTRO</t>
        </is>
      </c>
      <c r="Q120" t="n">
        <v>20200707</v>
      </c>
      <c r="R120" t="n">
        <v>20301231</v>
      </c>
      <c r="S120" t="n">
        <v>20221107</v>
      </c>
      <c r="T120" t="n">
        <v>20271231</v>
      </c>
      <c r="U120" t="n">
        <v>110</v>
      </c>
      <c r="V120" t="inlineStr">
        <is>
          <t>MXN</t>
        </is>
      </c>
      <c r="W120" t="inlineStr">
        <is>
          <t>M3</t>
        </is>
      </c>
      <c r="X120" t="n">
        <v>0</v>
      </c>
      <c r="Y120" t="inlineStr">
        <is>
          <t>MXN</t>
        </is>
      </c>
      <c r="Z120" t="inlineStr">
        <is>
          <t>M3</t>
        </is>
      </c>
      <c r="AC120" t="n">
        <v>56103638</v>
      </c>
      <c r="AD120" t="n">
        <v>6622261540</v>
      </c>
      <c r="AE120" t="n">
        <v>1</v>
      </c>
      <c r="AF120" t="inlineStr">
        <is>
          <t>ENTREGADO</t>
        </is>
      </c>
      <c r="AG120" t="n">
        <v>1.457</v>
      </c>
      <c r="AH120" t="inlineStr">
        <is>
          <t>M3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20230920</v>
      </c>
      <c r="AM120" t="inlineStr">
        <is>
          <t>D836-900006543-10146897</t>
        </is>
      </c>
    </row>
    <row r="121">
      <c r="A121" t="inlineStr">
        <is>
          <t>900004323D83610000598</t>
        </is>
      </c>
      <c r="B121" t="inlineStr">
        <is>
          <t>4600033187-80</t>
        </is>
      </c>
      <c r="C121" t="n">
        <v>4600033187</v>
      </c>
      <c r="D121" t="n">
        <v>80</v>
      </c>
      <c r="E121" t="inlineStr">
        <is>
          <t>MXPO</t>
        </is>
      </c>
      <c r="F121" t="inlineStr">
        <is>
          <t>MXL</t>
        </is>
      </c>
      <c r="G121" t="n">
        <v>900004323</v>
      </c>
      <c r="H121" t="inlineStr">
        <is>
          <t>TP-LAS TRANCAS</t>
        </is>
      </c>
      <c r="I121" t="n">
        <v>5047262</v>
      </c>
      <c r="J121" t="inlineStr">
        <is>
          <t>AGREGADOS PETREOS SAN CRISTOBAL</t>
        </is>
      </c>
      <c r="K121" t="inlineStr">
        <is>
          <t>Z03</t>
        </is>
      </c>
      <c r="L121" t="inlineStr">
        <is>
          <t>(AP) 15 Dias</t>
        </is>
      </c>
      <c r="M121" t="n">
        <v>10000598</v>
      </c>
      <c r="N121" t="inlineStr">
        <is>
          <t>Arena Triturada Basalto  Malla 4</t>
        </is>
      </c>
      <c r="O121" t="inlineStr">
        <is>
          <t>D836</t>
        </is>
      </c>
      <c r="P121" t="inlineStr">
        <is>
          <t>MX-CED. CENTRO</t>
        </is>
      </c>
      <c r="Q121" t="n">
        <v>20160201</v>
      </c>
      <c r="R121" t="n">
        <v>20241231</v>
      </c>
      <c r="S121" t="n">
        <v>20180507</v>
      </c>
      <c r="T121" t="n">
        <v>20241231</v>
      </c>
      <c r="U121" t="n">
        <v>280</v>
      </c>
      <c r="V121" t="inlineStr">
        <is>
          <t>MXN</t>
        </is>
      </c>
      <c r="W121" t="inlineStr">
        <is>
          <t>M3</t>
        </is>
      </c>
      <c r="X121" t="n">
        <v>0</v>
      </c>
      <c r="Y121" t="inlineStr">
        <is>
          <t>MXN</t>
        </is>
      </c>
      <c r="Z121" t="inlineStr">
        <is>
          <t>M3</t>
        </is>
      </c>
      <c r="AC121" t="n">
        <v>56103638</v>
      </c>
      <c r="AD121" t="n">
        <v>6622261540</v>
      </c>
      <c r="AE121" t="n">
        <v>2</v>
      </c>
      <c r="AF121" t="inlineStr">
        <is>
          <t>RECOGIDO</t>
        </is>
      </c>
      <c r="AG121" t="n">
        <v>1.469</v>
      </c>
      <c r="AH121" t="inlineStr">
        <is>
          <t>M3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20230920</v>
      </c>
      <c r="AM121" t="inlineStr">
        <is>
          <t>D836-900004323-10000598</t>
        </is>
      </c>
    </row>
    <row r="122">
      <c r="A122" t="inlineStr">
        <is>
          <t>900005259D83610000623</t>
        </is>
      </c>
      <c r="B122" t="inlineStr">
        <is>
          <t>4600038297-30</t>
        </is>
      </c>
      <c r="C122" t="n">
        <v>4600038297</v>
      </c>
      <c r="D122" t="n">
        <v>30</v>
      </c>
      <c r="E122" t="inlineStr">
        <is>
          <t>MXPO</t>
        </is>
      </c>
      <c r="F122" t="inlineStr">
        <is>
          <t>MXL</t>
        </is>
      </c>
      <c r="G122" t="n">
        <v>900005259</v>
      </c>
      <c r="H122" t="inlineStr">
        <is>
          <t>TP-TICSA</t>
        </is>
      </c>
      <c r="I122" t="n">
        <v>5068086</v>
      </c>
      <c r="J122" t="inlineStr">
        <is>
          <t>TECNOLOGIA EN INGENIERIA Y CONSTRU</t>
        </is>
      </c>
      <c r="K122" t="inlineStr">
        <is>
          <t>Z03</t>
        </is>
      </c>
      <c r="L122" t="inlineStr">
        <is>
          <t>(AP) 15 Dias</t>
        </is>
      </c>
      <c r="M122" t="n">
        <v>10000623</v>
      </c>
      <c r="N122" t="inlineStr">
        <is>
          <t>Grava Triturada Caliza 10 mm - 3/8"</t>
        </is>
      </c>
      <c r="O122" t="inlineStr">
        <is>
          <t>D836</t>
        </is>
      </c>
      <c r="P122" t="inlineStr">
        <is>
          <t>MX-CED. CENTRO</t>
        </is>
      </c>
      <c r="Q122" t="n">
        <v>20170612</v>
      </c>
      <c r="R122" t="n">
        <v>20241231</v>
      </c>
      <c r="S122" t="n">
        <v>20180710</v>
      </c>
      <c r="T122" t="n">
        <v>20241231</v>
      </c>
      <c r="U122" t="n">
        <v>130</v>
      </c>
      <c r="V122" t="inlineStr">
        <is>
          <t>MXN</t>
        </is>
      </c>
      <c r="W122" t="inlineStr">
        <is>
          <t>M3</t>
        </is>
      </c>
      <c r="X122" t="n">
        <v>0</v>
      </c>
      <c r="Y122" t="inlineStr">
        <is>
          <t>MXN</t>
        </is>
      </c>
      <c r="Z122" t="inlineStr">
        <is>
          <t>M3</t>
        </is>
      </c>
      <c r="AC122" t="n">
        <v>56103637</v>
      </c>
      <c r="AD122" t="n">
        <v>6622261540</v>
      </c>
      <c r="AE122" t="n">
        <v>1</v>
      </c>
      <c r="AF122" t="inlineStr">
        <is>
          <t>ENTREGADO</t>
        </is>
      </c>
      <c r="AG122" t="n">
        <v>1.41</v>
      </c>
      <c r="AH122" t="inlineStr">
        <is>
          <t>M3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20230920</v>
      </c>
      <c r="AM122" t="inlineStr">
        <is>
          <t>D836-900005259-10000623</t>
        </is>
      </c>
    </row>
    <row r="123">
      <c r="A123" t="inlineStr">
        <is>
          <t>900006185D83610000133</t>
        </is>
      </c>
      <c r="B123" t="inlineStr">
        <is>
          <t>4600045638-20</t>
        </is>
      </c>
      <c r="C123" t="n">
        <v>4600045638</v>
      </c>
      <c r="D123" t="n">
        <v>20</v>
      </c>
      <c r="E123" t="inlineStr">
        <is>
          <t>MXPO</t>
        </is>
      </c>
      <c r="F123" t="inlineStr">
        <is>
          <t>MXL</t>
        </is>
      </c>
      <c r="G123" t="n">
        <v>900006185</v>
      </c>
      <c r="H123" t="inlineStr">
        <is>
          <t>TP-ED-OLIELL ALMACÉN</t>
        </is>
      </c>
      <c r="I123" t="n">
        <v>5048484</v>
      </c>
      <c r="J123" t="inlineStr">
        <is>
          <t>COMERCIALIZADORA Y TRANSPORTADORA O</t>
        </is>
      </c>
      <c r="K123" t="inlineStr">
        <is>
          <t>Z00</t>
        </is>
      </c>
      <c r="L123" t="inlineStr">
        <is>
          <t>(AP) Pagadero Inmediatamente</t>
        </is>
      </c>
      <c r="M123" t="n">
        <v>10000133</v>
      </c>
      <c r="N123" t="inlineStr">
        <is>
          <t>Grava Triturada Caliza 20 mm - 3/4"</t>
        </is>
      </c>
      <c r="O123" t="inlineStr">
        <is>
          <t>D836</t>
        </is>
      </c>
      <c r="P123" t="inlineStr">
        <is>
          <t>MX-CED. CENTRO</t>
        </is>
      </c>
      <c r="Q123" t="n">
        <v>20190927</v>
      </c>
      <c r="R123" t="n">
        <v>20241231</v>
      </c>
      <c r="S123" t="n">
        <v>20190927</v>
      </c>
      <c r="T123" t="n">
        <v>20241231</v>
      </c>
      <c r="U123" t="n">
        <v>230</v>
      </c>
      <c r="V123" t="inlineStr">
        <is>
          <t>MXN</t>
        </is>
      </c>
      <c r="W123" t="inlineStr">
        <is>
          <t>M3</t>
        </is>
      </c>
      <c r="X123" t="n">
        <v>0</v>
      </c>
      <c r="Y123" t="inlineStr">
        <is>
          <t>MXN</t>
        </is>
      </c>
      <c r="Z123" t="inlineStr">
        <is>
          <t>M3</t>
        </is>
      </c>
      <c r="AC123" t="n">
        <v>56103637</v>
      </c>
      <c r="AD123" t="n">
        <v>6622261540</v>
      </c>
      <c r="AE123" t="n">
        <v>1</v>
      </c>
      <c r="AF123" t="inlineStr">
        <is>
          <t>ENTREGADO</t>
        </is>
      </c>
      <c r="AG123" t="n">
        <v>1.46</v>
      </c>
      <c r="AH123" t="inlineStr">
        <is>
          <t>M3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20230920</v>
      </c>
      <c r="AM123" t="inlineStr">
        <is>
          <t>D836-900006185-10000133</t>
        </is>
      </c>
    </row>
    <row r="124">
      <c r="A124" t="inlineStr">
        <is>
          <t>900004323D83610000140</t>
        </is>
      </c>
      <c r="B124" t="inlineStr">
        <is>
          <t>4600033187-50</t>
        </is>
      </c>
      <c r="C124" t="n">
        <v>4600033187</v>
      </c>
      <c r="D124" t="n">
        <v>50</v>
      </c>
      <c r="E124" t="inlineStr">
        <is>
          <t>MXPO</t>
        </is>
      </c>
      <c r="F124" t="inlineStr">
        <is>
          <t>MXL</t>
        </is>
      </c>
      <c r="G124" t="n">
        <v>900004323</v>
      </c>
      <c r="H124" t="inlineStr">
        <is>
          <t>TP-LAS TRANCAS</t>
        </is>
      </c>
      <c r="I124" t="n">
        <v>5047262</v>
      </c>
      <c r="J124" t="inlineStr">
        <is>
          <t>AGREGADOS PETREOS SAN CRISTOBAL</t>
        </is>
      </c>
      <c r="K124" t="inlineStr">
        <is>
          <t>Z03</t>
        </is>
      </c>
      <c r="L124" t="inlineStr">
        <is>
          <t>(AP) 15 Dias</t>
        </is>
      </c>
      <c r="M124" t="n">
        <v>10000140</v>
      </c>
      <c r="N124" t="inlineStr">
        <is>
          <t>Grava Triturada Andesita 40 mm - 1 1/2"</t>
        </is>
      </c>
      <c r="O124" t="inlineStr">
        <is>
          <t>D836</t>
        </is>
      </c>
      <c r="P124" t="inlineStr">
        <is>
          <t>MX-CED. CENTRO</t>
        </is>
      </c>
      <c r="Q124" t="n">
        <v>20160201</v>
      </c>
      <c r="R124" t="n">
        <v>20241231</v>
      </c>
      <c r="S124" t="n">
        <v>20180302</v>
      </c>
      <c r="T124" t="n">
        <v>20241231</v>
      </c>
      <c r="U124" t="n">
        <v>90</v>
      </c>
      <c r="V124" t="inlineStr">
        <is>
          <t>MXN</t>
        </is>
      </c>
      <c r="W124" t="inlineStr">
        <is>
          <t>M3</t>
        </is>
      </c>
      <c r="X124" t="n">
        <v>0</v>
      </c>
      <c r="Y124" t="inlineStr">
        <is>
          <t>MXN</t>
        </is>
      </c>
      <c r="Z124" t="inlineStr">
        <is>
          <t>M3</t>
        </is>
      </c>
      <c r="AC124" t="n">
        <v>56103637</v>
      </c>
      <c r="AD124" t="n">
        <v>6622261540</v>
      </c>
      <c r="AE124" t="n">
        <v>1</v>
      </c>
      <c r="AF124" t="inlineStr">
        <is>
          <t>ENTREGADO</t>
        </is>
      </c>
      <c r="AG124" t="n">
        <v>1.29</v>
      </c>
      <c r="AH124" t="inlineStr">
        <is>
          <t>M3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20230920</v>
      </c>
      <c r="AM124" t="inlineStr">
        <is>
          <t>D836-900004323-10000140</t>
        </is>
      </c>
    </row>
    <row r="125">
      <c r="A125" t="inlineStr">
        <is>
          <t>900005627D83610189652</t>
        </is>
      </c>
      <c r="B125" t="inlineStr">
        <is>
          <t>4600042076-30</t>
        </is>
      </c>
      <c r="C125" t="n">
        <v>4600042076</v>
      </c>
      <c r="D125" t="n">
        <v>30</v>
      </c>
      <c r="E125" t="inlineStr">
        <is>
          <t>MXPO</t>
        </is>
      </c>
      <c r="F125" t="inlineStr">
        <is>
          <t>MXL</t>
        </is>
      </c>
      <c r="G125" t="n">
        <v>900005627</v>
      </c>
      <c r="H125" t="inlineStr">
        <is>
          <t>TP-DOS CERROS SAN LUIS</t>
        </is>
      </c>
      <c r="I125" t="n">
        <v>5036168</v>
      </c>
      <c r="J125" t="inlineStr">
        <is>
          <t>TRITURADOS DOS CERROS SA DE CV</t>
        </is>
      </c>
      <c r="K125" t="inlineStr">
        <is>
          <t>Z04</t>
        </is>
      </c>
      <c r="L125" t="inlineStr">
        <is>
          <t>(AP) 30 Dias</t>
        </is>
      </c>
      <c r="M125" t="n">
        <v>10189652</v>
      </c>
      <c r="N125" t="inlineStr">
        <is>
          <t>BASALTO CLASIFICADO 16” A 8” NG</t>
        </is>
      </c>
      <c r="O125" t="inlineStr">
        <is>
          <t>D836</t>
        </is>
      </c>
      <c r="P125" t="inlineStr">
        <is>
          <t>MX-CED. CENTRO</t>
        </is>
      </c>
      <c r="Q125" t="n">
        <v>20180511</v>
      </c>
      <c r="R125" t="n">
        <v>20281231</v>
      </c>
      <c r="S125" t="n">
        <v>20220609</v>
      </c>
      <c r="T125" t="n">
        <v>20270531</v>
      </c>
      <c r="U125" t="n">
        <v>395</v>
      </c>
      <c r="V125" t="inlineStr">
        <is>
          <t>MXN</t>
        </is>
      </c>
      <c r="W125" t="inlineStr">
        <is>
          <t>M3</t>
        </is>
      </c>
      <c r="X125" t="n">
        <v>0</v>
      </c>
      <c r="Y125" t="inlineStr">
        <is>
          <t>MXN</t>
        </is>
      </c>
      <c r="Z125" t="inlineStr">
        <is>
          <t>M3</t>
        </is>
      </c>
      <c r="AC125" t="n">
        <v>56103637</v>
      </c>
      <c r="AD125" t="n">
        <v>6622261540</v>
      </c>
      <c r="AE125" t="n">
        <v>1</v>
      </c>
      <c r="AF125" t="inlineStr">
        <is>
          <t>ENTREGADO</t>
        </is>
      </c>
      <c r="AG125" t="n">
        <v>1.5</v>
      </c>
      <c r="AH125" t="inlineStr">
        <is>
          <t>M3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20230920</v>
      </c>
      <c r="AM125" t="inlineStr">
        <is>
          <t>D836-900005627-10189652</t>
        </is>
      </c>
    </row>
    <row r="126">
      <c r="A126" t="inlineStr">
        <is>
          <t>900005627D83610000432</t>
        </is>
      </c>
      <c r="B126" t="inlineStr">
        <is>
          <t>4600042076-60</t>
        </is>
      </c>
      <c r="C126" t="n">
        <v>4600042076</v>
      </c>
      <c r="D126" t="n">
        <v>60</v>
      </c>
      <c r="E126" t="inlineStr">
        <is>
          <t>MXPO</t>
        </is>
      </c>
      <c r="F126" t="inlineStr">
        <is>
          <t>MXL</t>
        </is>
      </c>
      <c r="G126" t="n">
        <v>900005627</v>
      </c>
      <c r="H126" t="inlineStr">
        <is>
          <t>TP-DOS CERROS SAN LUIS</t>
        </is>
      </c>
      <c r="I126" t="n">
        <v>5036168</v>
      </c>
      <c r="J126" t="inlineStr">
        <is>
          <t>TRITURADOS DOS CERROS SA DE CV</t>
        </is>
      </c>
      <c r="K126" t="inlineStr">
        <is>
          <t>Z04</t>
        </is>
      </c>
      <c r="L126" t="inlineStr">
        <is>
          <t>(AP) 30 Dias</t>
        </is>
      </c>
      <c r="M126" t="n">
        <v>10000432</v>
      </c>
      <c r="N126" t="inlineStr">
        <is>
          <t>Base H Triturada Basalto  1 1/2" a Finos</t>
        </is>
      </c>
      <c r="O126" t="inlineStr">
        <is>
          <t>D836</t>
        </is>
      </c>
      <c r="P126" t="inlineStr">
        <is>
          <t>MX-CED. CENTRO</t>
        </is>
      </c>
      <c r="Q126" t="n">
        <v>20180511</v>
      </c>
      <c r="R126" t="n">
        <v>20281231</v>
      </c>
      <c r="S126" t="n">
        <v>20230818</v>
      </c>
      <c r="T126" t="n">
        <v>20281231</v>
      </c>
      <c r="U126" t="n">
        <v>210</v>
      </c>
      <c r="V126" t="inlineStr">
        <is>
          <t>MXN</t>
        </is>
      </c>
      <c r="W126" t="inlineStr">
        <is>
          <t>M3</t>
        </is>
      </c>
      <c r="X126" t="n">
        <v>0</v>
      </c>
      <c r="Y126" t="inlineStr">
        <is>
          <t>MXN</t>
        </is>
      </c>
      <c r="Z126" t="inlineStr">
        <is>
          <t>M3</t>
        </is>
      </c>
      <c r="AC126" t="n">
        <v>56103590</v>
      </c>
      <c r="AD126" t="n">
        <v>6622261540</v>
      </c>
      <c r="AE126" t="n">
        <v>1</v>
      </c>
      <c r="AF126" t="inlineStr">
        <is>
          <t>ENTREGADO</t>
        </is>
      </c>
      <c r="AG126" t="n">
        <v>1.6</v>
      </c>
      <c r="AH126" t="inlineStr">
        <is>
          <t>M3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20230920</v>
      </c>
      <c r="AM126" t="inlineStr">
        <is>
          <t>D836-900005627-10000432</t>
        </is>
      </c>
    </row>
    <row r="127">
      <c r="A127" t="inlineStr">
        <is>
          <t>900006005D83610000623</t>
        </is>
      </c>
      <c r="B127" t="inlineStr">
        <is>
          <t>4600044358-20</t>
        </is>
      </c>
      <c r="C127" t="n">
        <v>4600044358</v>
      </c>
      <c r="D127" t="n">
        <v>20</v>
      </c>
      <c r="E127" t="inlineStr">
        <is>
          <t>MXPO</t>
        </is>
      </c>
      <c r="F127" t="inlineStr">
        <is>
          <t>MXL</t>
        </is>
      </c>
      <c r="G127" t="n">
        <v>900006005</v>
      </c>
      <c r="H127" t="inlineStr">
        <is>
          <t>SF TP-ESTRATEGIAS AVANZADAS</t>
        </is>
      </c>
      <c r="I127" t="n">
        <v>5049458</v>
      </c>
      <c r="J127" t="inlineStr">
        <is>
          <t>ESTRATEGIAS AVANZADAS PARA OBTEN</t>
        </is>
      </c>
      <c r="K127" t="inlineStr">
        <is>
          <t>Z03</t>
        </is>
      </c>
      <c r="L127" t="inlineStr">
        <is>
          <t>(AP) 15 Dias</t>
        </is>
      </c>
      <c r="M127" t="n">
        <v>10000623</v>
      </c>
      <c r="N127" t="inlineStr">
        <is>
          <t>Grava Triturada Caliza 10 mm - 3/8"</t>
        </is>
      </c>
      <c r="O127" t="inlineStr">
        <is>
          <t>D836</t>
        </is>
      </c>
      <c r="P127" t="inlineStr">
        <is>
          <t>MX-CED. CENTRO</t>
        </is>
      </c>
      <c r="Q127" t="n">
        <v>20190325</v>
      </c>
      <c r="R127" t="n">
        <v>20241231</v>
      </c>
      <c r="S127" t="n">
        <v>20190325</v>
      </c>
      <c r="T127" t="n">
        <v>20241231</v>
      </c>
      <c r="U127" t="n">
        <v>128</v>
      </c>
      <c r="V127" t="inlineStr">
        <is>
          <t>MXN</t>
        </is>
      </c>
      <c r="W127" t="inlineStr">
        <is>
          <t>M3</t>
        </is>
      </c>
      <c r="X127" t="n">
        <v>0</v>
      </c>
      <c r="Y127" t="inlineStr">
        <is>
          <t>MXN</t>
        </is>
      </c>
      <c r="Z127" t="inlineStr">
        <is>
          <t>M3</t>
        </is>
      </c>
      <c r="AC127" t="n">
        <v>56103637</v>
      </c>
      <c r="AD127" t="n">
        <v>6622261540</v>
      </c>
      <c r="AE127" t="n">
        <v>1</v>
      </c>
      <c r="AF127" t="inlineStr">
        <is>
          <t>ENTREGADO</t>
        </is>
      </c>
      <c r="AG127" t="n">
        <v>1.41</v>
      </c>
      <c r="AH127" t="inlineStr">
        <is>
          <t>M3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20230920</v>
      </c>
      <c r="AM127" t="inlineStr">
        <is>
          <t>D836-900006005-10000623</t>
        </is>
      </c>
    </row>
    <row r="128">
      <c r="A128" t="inlineStr">
        <is>
          <t>900003605D83610000811</t>
        </is>
      </c>
      <c r="B128" t="inlineStr">
        <is>
          <t>4600045797-20</t>
        </is>
      </c>
      <c r="C128" t="n">
        <v>4600045797</v>
      </c>
      <c r="D128" t="n">
        <v>20</v>
      </c>
      <c r="E128" t="inlineStr">
        <is>
          <t>MXPO</t>
        </is>
      </c>
      <c r="F128" t="inlineStr">
        <is>
          <t>MXL</t>
        </is>
      </c>
      <c r="G128" t="n">
        <v>900003605</v>
      </c>
      <c r="H128" t="inlineStr">
        <is>
          <t>TP-GRAVICOR</t>
        </is>
      </c>
      <c r="I128" t="n">
        <v>5014172</v>
      </c>
      <c r="J128" t="inlineStr">
        <is>
          <t>GRAVICOR SA DE CV</t>
        </is>
      </c>
      <c r="K128" t="inlineStr">
        <is>
          <t>Z04</t>
        </is>
      </c>
      <c r="L128" t="inlineStr">
        <is>
          <t>(AP) 30 Dias</t>
        </is>
      </c>
      <c r="M128" t="n">
        <v>10000811</v>
      </c>
      <c r="N128" t="inlineStr">
        <is>
          <t>Grava Triturada Caliza 20 mm - 3/4"</t>
        </is>
      </c>
      <c r="O128" t="inlineStr">
        <is>
          <t>D836</t>
        </is>
      </c>
      <c r="P128" t="inlineStr">
        <is>
          <t>MX-CED. CENTRO</t>
        </is>
      </c>
      <c r="Q128" t="n">
        <v>20191018</v>
      </c>
      <c r="R128" t="n">
        <v>20241231</v>
      </c>
      <c r="S128" t="n">
        <v>20191018</v>
      </c>
      <c r="T128" t="n">
        <v>20241231</v>
      </c>
      <c r="U128" t="n">
        <v>135</v>
      </c>
      <c r="V128" t="inlineStr">
        <is>
          <t>MXN</t>
        </is>
      </c>
      <c r="W128" t="inlineStr">
        <is>
          <t>M3</t>
        </is>
      </c>
      <c r="X128" t="n">
        <v>0</v>
      </c>
      <c r="Y128" t="inlineStr">
        <is>
          <t>MXN</t>
        </is>
      </c>
      <c r="Z128" t="inlineStr">
        <is>
          <t>M3</t>
        </is>
      </c>
      <c r="AC128" t="n">
        <v>56103637</v>
      </c>
      <c r="AD128" t="n">
        <v>6622261540</v>
      </c>
      <c r="AE128" t="n">
        <v>1</v>
      </c>
      <c r="AF128" t="inlineStr">
        <is>
          <t>ENTREGADO</t>
        </is>
      </c>
      <c r="AG128" t="n">
        <v>1.447</v>
      </c>
      <c r="AH128" t="inlineStr">
        <is>
          <t>M3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20230920</v>
      </c>
      <c r="AM128" t="inlineStr">
        <is>
          <t>D836-900003605-10000811</t>
        </is>
      </c>
    </row>
    <row r="129">
      <c r="A129" t="inlineStr">
        <is>
          <t>900006351D83610000623</t>
        </is>
      </c>
      <c r="B129" t="inlineStr">
        <is>
          <t>4600045799-10</t>
        </is>
      </c>
      <c r="C129" t="n">
        <v>4600045799</v>
      </c>
      <c r="D129" t="n">
        <v>10</v>
      </c>
      <c r="E129" t="inlineStr">
        <is>
          <t>MXPO</t>
        </is>
      </c>
      <c r="F129" t="inlineStr">
        <is>
          <t>MXL</t>
        </is>
      </c>
      <c r="G129" t="n">
        <v>900006351</v>
      </c>
      <c r="H129" t="inlineStr">
        <is>
          <t>SF TP-HUDASA COMUNEROS</t>
        </is>
      </c>
      <c r="I129" t="n">
        <v>5054686</v>
      </c>
      <c r="J129" t="inlineStr">
        <is>
          <t>GRUPO MERCANTIL HUDASA SA DE CV</t>
        </is>
      </c>
      <c r="K129" t="inlineStr">
        <is>
          <t>N90</t>
        </is>
      </c>
      <c r="L129" t="inlineStr">
        <is>
          <t>(AP) NAFIN 90 Dias</t>
        </is>
      </c>
      <c r="M129" t="n">
        <v>10000623</v>
      </c>
      <c r="N129" t="inlineStr">
        <is>
          <t>Grava Triturada Caliza 10 mm - 3/8"</t>
        </is>
      </c>
      <c r="O129" t="inlineStr">
        <is>
          <t>D836</t>
        </is>
      </c>
      <c r="P129" t="inlineStr">
        <is>
          <t>MX-CED. CENTRO</t>
        </is>
      </c>
      <c r="Q129" t="n">
        <v>20191018</v>
      </c>
      <c r="R129" t="n">
        <v>20281231</v>
      </c>
      <c r="S129" t="n">
        <v>20191018</v>
      </c>
      <c r="T129" t="n">
        <v>20241231</v>
      </c>
      <c r="U129" t="n">
        <v>120</v>
      </c>
      <c r="V129" t="inlineStr">
        <is>
          <t>MXN</t>
        </is>
      </c>
      <c r="W129" t="inlineStr">
        <is>
          <t>M3</t>
        </is>
      </c>
      <c r="X129" t="n">
        <v>0</v>
      </c>
      <c r="Y129" t="inlineStr">
        <is>
          <t>MXN</t>
        </is>
      </c>
      <c r="Z129" t="inlineStr">
        <is>
          <t>M3</t>
        </is>
      </c>
      <c r="AC129" t="n">
        <v>56103637</v>
      </c>
      <c r="AD129" t="n">
        <v>6622261540</v>
      </c>
      <c r="AE129" t="n">
        <v>1</v>
      </c>
      <c r="AF129" t="inlineStr">
        <is>
          <t>ENTREGADO</t>
        </is>
      </c>
      <c r="AG129" t="n">
        <v>1.41</v>
      </c>
      <c r="AH129" t="inlineStr">
        <is>
          <t>M3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20230920</v>
      </c>
      <c r="AM129" t="inlineStr">
        <is>
          <t>D836-900006351-10000623</t>
        </is>
      </c>
    </row>
    <row r="130">
      <c r="A130" t="inlineStr">
        <is>
          <t>900006351D83610000630</t>
        </is>
      </c>
      <c r="B130" t="inlineStr">
        <is>
          <t>4600045799-20</t>
        </is>
      </c>
      <c r="C130" t="n">
        <v>4600045799</v>
      </c>
      <c r="D130" t="n">
        <v>20</v>
      </c>
      <c r="E130" t="inlineStr">
        <is>
          <t>MXPO</t>
        </is>
      </c>
      <c r="F130" t="inlineStr">
        <is>
          <t>MXL</t>
        </is>
      </c>
      <c r="G130" t="n">
        <v>900006351</v>
      </c>
      <c r="H130" t="inlineStr">
        <is>
          <t>SF TP-HUDASA COMUNEROS</t>
        </is>
      </c>
      <c r="I130" t="n">
        <v>5054686</v>
      </c>
      <c r="J130" t="inlineStr">
        <is>
          <t>GRUPO MERCANTIL HUDASA SA DE CV</t>
        </is>
      </c>
      <c r="K130" t="inlineStr">
        <is>
          <t>N90</t>
        </is>
      </c>
      <c r="L130" t="inlineStr">
        <is>
          <t>(AP) NAFIN 90 Dias</t>
        </is>
      </c>
      <c r="M130" t="n">
        <v>10000630</v>
      </c>
      <c r="N130" t="inlineStr">
        <is>
          <t>Grava Triturada Caliza 13 mm - 1/2"</t>
        </is>
      </c>
      <c r="O130" t="inlineStr">
        <is>
          <t>D836</t>
        </is>
      </c>
      <c r="P130" t="inlineStr">
        <is>
          <t>MX-CED. CENTRO</t>
        </is>
      </c>
      <c r="Q130" t="n">
        <v>20191018</v>
      </c>
      <c r="R130" t="n">
        <v>20281231</v>
      </c>
      <c r="S130" t="n">
        <v>20230516</v>
      </c>
      <c r="T130" t="n">
        <v>20281231</v>
      </c>
      <c r="U130" t="n">
        <v>170</v>
      </c>
      <c r="V130" t="inlineStr">
        <is>
          <t>MXN</t>
        </is>
      </c>
      <c r="W130" t="inlineStr">
        <is>
          <t>M3</t>
        </is>
      </c>
      <c r="X130" t="n">
        <v>0</v>
      </c>
      <c r="Y130" t="inlineStr">
        <is>
          <t>MXN</t>
        </is>
      </c>
      <c r="Z130" t="inlineStr">
        <is>
          <t>M3</t>
        </is>
      </c>
      <c r="AC130" t="n">
        <v>56103637</v>
      </c>
      <c r="AD130" t="n">
        <v>6622261540</v>
      </c>
      <c r="AE130" t="n">
        <v>1</v>
      </c>
      <c r="AF130" t="inlineStr">
        <is>
          <t>ENTREGADO</t>
        </is>
      </c>
      <c r="AG130" t="n">
        <v>1.4</v>
      </c>
      <c r="AH130" t="inlineStr">
        <is>
          <t>M3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20230920</v>
      </c>
      <c r="AM130" t="inlineStr">
        <is>
          <t>D836-900006351-10000630</t>
        </is>
      </c>
    </row>
    <row r="131">
      <c r="A131" t="inlineStr">
        <is>
          <t>900004323D83610000357</t>
        </is>
      </c>
      <c r="B131" t="inlineStr">
        <is>
          <t>4600033187-40</t>
        </is>
      </c>
      <c r="C131" t="n">
        <v>4600033187</v>
      </c>
      <c r="D131" t="n">
        <v>40</v>
      </c>
      <c r="E131" t="inlineStr">
        <is>
          <t>MXPO</t>
        </is>
      </c>
      <c r="F131" t="inlineStr">
        <is>
          <t>MXL</t>
        </is>
      </c>
      <c r="G131" t="n">
        <v>900004323</v>
      </c>
      <c r="H131" t="inlineStr">
        <is>
          <t>TP-LAS TRANCAS</t>
        </is>
      </c>
      <c r="I131" t="n">
        <v>5047262</v>
      </c>
      <c r="J131" t="inlineStr">
        <is>
          <t>AGREGADOS PETREOS SAN CRISTOBAL</t>
        </is>
      </c>
      <c r="K131" t="inlineStr">
        <is>
          <t>Z03</t>
        </is>
      </c>
      <c r="L131" t="inlineStr">
        <is>
          <t>(AP) 15 Dias</t>
        </is>
      </c>
      <c r="M131" t="n">
        <v>10000357</v>
      </c>
      <c r="N131" t="inlineStr">
        <is>
          <t>Grava Triturada Andesita 20 mm - 3/4"</t>
        </is>
      </c>
      <c r="O131" t="inlineStr">
        <is>
          <t>D836</t>
        </is>
      </c>
      <c r="P131" t="inlineStr">
        <is>
          <t>MX-CED. CENTRO</t>
        </is>
      </c>
      <c r="Q131" t="n">
        <v>20160201</v>
      </c>
      <c r="R131" t="n">
        <v>20241231</v>
      </c>
      <c r="S131" t="n">
        <v>20190315</v>
      </c>
      <c r="T131" t="n">
        <v>20241231</v>
      </c>
      <c r="U131" t="n">
        <v>94.5</v>
      </c>
      <c r="V131" t="inlineStr">
        <is>
          <t>MXN</t>
        </is>
      </c>
      <c r="W131" t="inlineStr">
        <is>
          <t>M3</t>
        </is>
      </c>
      <c r="X131" t="n">
        <v>0</v>
      </c>
      <c r="Y131" t="inlineStr">
        <is>
          <t>MXN</t>
        </is>
      </c>
      <c r="Z131" t="inlineStr">
        <is>
          <t>M3</t>
        </is>
      </c>
      <c r="AC131" t="n">
        <v>56103637</v>
      </c>
      <c r="AD131" t="n">
        <v>6622261540</v>
      </c>
      <c r="AE131" t="n">
        <v>1</v>
      </c>
      <c r="AF131" t="inlineStr">
        <is>
          <t>ENTREGADO</t>
        </is>
      </c>
      <c r="AG131" t="n">
        <v>1.326</v>
      </c>
      <c r="AH131" t="inlineStr">
        <is>
          <t>M3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20230920</v>
      </c>
      <c r="AM131" t="inlineStr">
        <is>
          <t>D836-900004323-10000357</t>
        </is>
      </c>
    </row>
    <row r="132">
      <c r="A132" t="inlineStr">
        <is>
          <t>900004323D83610000627</t>
        </is>
      </c>
      <c r="B132" t="inlineStr">
        <is>
          <t>4600033187-60</t>
        </is>
      </c>
      <c r="C132" t="n">
        <v>4600033187</v>
      </c>
      <c r="D132" t="n">
        <v>60</v>
      </c>
      <c r="E132" t="inlineStr">
        <is>
          <t>MXPO</t>
        </is>
      </c>
      <c r="F132" t="inlineStr">
        <is>
          <t>MXL</t>
        </is>
      </c>
      <c r="G132" t="n">
        <v>900004323</v>
      </c>
      <c r="H132" t="inlineStr">
        <is>
          <t>TP-LAS TRANCAS</t>
        </is>
      </c>
      <c r="I132" t="n">
        <v>5047262</v>
      </c>
      <c r="J132" t="inlineStr">
        <is>
          <t>AGREGADOS PETREOS SAN CRISTOBAL</t>
        </is>
      </c>
      <c r="K132" t="inlineStr">
        <is>
          <t>Z03</t>
        </is>
      </c>
      <c r="L132" t="inlineStr">
        <is>
          <t>(AP) 15 Dias</t>
        </is>
      </c>
      <c r="M132" t="n">
        <v>10000627</v>
      </c>
      <c r="N132" t="inlineStr">
        <is>
          <t>Grava Triturada Andesita 10 mm - 3/8"</t>
        </is>
      </c>
      <c r="O132" t="inlineStr">
        <is>
          <t>D836</t>
        </is>
      </c>
      <c r="P132" t="inlineStr">
        <is>
          <t>MX-CED. CENTRO</t>
        </is>
      </c>
      <c r="Q132" t="n">
        <v>20160201</v>
      </c>
      <c r="R132" t="n">
        <v>20241231</v>
      </c>
      <c r="S132" t="n">
        <v>20180416</v>
      </c>
      <c r="T132" t="n">
        <v>20241231</v>
      </c>
      <c r="U132" t="n">
        <v>80</v>
      </c>
      <c r="V132" t="inlineStr">
        <is>
          <t>MXN</t>
        </is>
      </c>
      <c r="W132" t="inlineStr">
        <is>
          <t>M3</t>
        </is>
      </c>
      <c r="X132" t="n">
        <v>0</v>
      </c>
      <c r="Y132" t="inlineStr">
        <is>
          <t>MXN</t>
        </is>
      </c>
      <c r="Z132" t="inlineStr">
        <is>
          <t>M3</t>
        </is>
      </c>
      <c r="AC132" t="n">
        <v>56103637</v>
      </c>
      <c r="AD132" t="n">
        <v>6622261540</v>
      </c>
      <c r="AE132" t="n">
        <v>1</v>
      </c>
      <c r="AF132" t="inlineStr">
        <is>
          <t>ENTREGADO</t>
        </is>
      </c>
      <c r="AG132" t="n">
        <v>1.33</v>
      </c>
      <c r="AH132" t="inlineStr">
        <is>
          <t>M3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20230920</v>
      </c>
      <c r="AM132" t="inlineStr">
        <is>
          <t>D836-900004323-10000627</t>
        </is>
      </c>
    </row>
    <row r="133">
      <c r="A133" t="inlineStr">
        <is>
          <t>900005214D83610000627</t>
        </is>
      </c>
      <c r="B133" t="inlineStr">
        <is>
          <t>4600037761-30</t>
        </is>
      </c>
      <c r="C133" t="n">
        <v>4600037761</v>
      </c>
      <c r="D133" t="n">
        <v>30</v>
      </c>
      <c r="E133" t="inlineStr">
        <is>
          <t>MXPO</t>
        </is>
      </c>
      <c r="F133" t="inlineStr">
        <is>
          <t>MXL</t>
        </is>
      </c>
      <c r="G133" t="n">
        <v>900005214</v>
      </c>
      <c r="H133" t="inlineStr">
        <is>
          <t>TP-CAÑADA EL TESOYO</t>
        </is>
      </c>
      <c r="I133" t="n">
        <v>5045930</v>
      </c>
      <c r="J133" t="inlineStr">
        <is>
          <t>EL TESOYO SA</t>
        </is>
      </c>
      <c r="K133" t="inlineStr">
        <is>
          <t>Z06</t>
        </is>
      </c>
      <c r="L133" t="inlineStr">
        <is>
          <t>(AP) 45 Dias</t>
        </is>
      </c>
      <c r="M133" t="n">
        <v>10000627</v>
      </c>
      <c r="N133" t="inlineStr">
        <is>
          <t>Grava Triturada Andesita 10 mm - 3/8"</t>
        </is>
      </c>
      <c r="O133" t="inlineStr">
        <is>
          <t>D836</t>
        </is>
      </c>
      <c r="P133" t="inlineStr">
        <is>
          <t>MX-CED. CENTRO</t>
        </is>
      </c>
      <c r="Q133" t="n">
        <v>20170427</v>
      </c>
      <c r="R133" t="n">
        <v>20241231</v>
      </c>
      <c r="S133" t="n">
        <v>20180206</v>
      </c>
      <c r="T133" t="n">
        <v>20241231</v>
      </c>
      <c r="U133" t="n">
        <v>75</v>
      </c>
      <c r="V133" t="inlineStr">
        <is>
          <t>MXN</t>
        </is>
      </c>
      <c r="W133" t="inlineStr">
        <is>
          <t>M3</t>
        </is>
      </c>
      <c r="X133" t="n">
        <v>0</v>
      </c>
      <c r="Y133" t="inlineStr">
        <is>
          <t>MXN</t>
        </is>
      </c>
      <c r="Z133" t="inlineStr">
        <is>
          <t>M3</t>
        </is>
      </c>
      <c r="AC133" t="n">
        <v>56103637</v>
      </c>
      <c r="AD133" t="n">
        <v>6622261540</v>
      </c>
      <c r="AE133" t="n">
        <v>1</v>
      </c>
      <c r="AF133" t="inlineStr">
        <is>
          <t>ENTREGADO</t>
        </is>
      </c>
      <c r="AG133" t="n">
        <v>1.33</v>
      </c>
      <c r="AH133" t="inlineStr">
        <is>
          <t>M3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20230920</v>
      </c>
      <c r="AM133" t="inlineStr">
        <is>
          <t>D836-900005214-10000627</t>
        </is>
      </c>
    </row>
    <row r="134">
      <c r="A134" t="inlineStr">
        <is>
          <t>900004323D83610215930</t>
        </is>
      </c>
      <c r="B134" t="inlineStr">
        <is>
          <t>4600039874-140</t>
        </is>
      </c>
      <c r="C134" t="n">
        <v>4600039874</v>
      </c>
      <c r="D134" t="n">
        <v>140</v>
      </c>
      <c r="E134" t="inlineStr">
        <is>
          <t>MXPO</t>
        </is>
      </c>
      <c r="F134" t="inlineStr">
        <is>
          <t>MXL</t>
        </is>
      </c>
      <c r="G134" t="n">
        <v>900004323</v>
      </c>
      <c r="H134" t="inlineStr">
        <is>
          <t>TP-LAS TRANCAS</t>
        </is>
      </c>
      <c r="I134" t="n">
        <v>5047262</v>
      </c>
      <c r="J134" t="inlineStr">
        <is>
          <t>AGREGADOS PETREOS SAN CRISTOBAL</t>
        </is>
      </c>
      <c r="K134" t="inlineStr">
        <is>
          <t>Z03</t>
        </is>
      </c>
      <c r="L134" t="inlineStr">
        <is>
          <t>(AP) 15 Dias</t>
        </is>
      </c>
      <c r="M134" t="n">
        <v>10215930</v>
      </c>
      <c r="N134" t="inlineStr">
        <is>
          <t>BASE HIDRAÚLICA NG</t>
        </is>
      </c>
      <c r="O134" t="inlineStr">
        <is>
          <t>D836</t>
        </is>
      </c>
      <c r="P134" t="inlineStr">
        <is>
          <t>MX-CED. CENTRO</t>
        </is>
      </c>
      <c r="Q134" t="n">
        <v>20170927</v>
      </c>
      <c r="R134" t="n">
        <v>20281231</v>
      </c>
      <c r="S134" t="n">
        <v>20230301</v>
      </c>
      <c r="T134" t="n">
        <v>20281231</v>
      </c>
      <c r="U134" t="n">
        <v>110</v>
      </c>
      <c r="V134" t="inlineStr">
        <is>
          <t>MXN</t>
        </is>
      </c>
      <c r="W134" t="inlineStr">
        <is>
          <t>M3</t>
        </is>
      </c>
      <c r="X134" t="n">
        <v>0</v>
      </c>
      <c r="Y134" t="inlineStr">
        <is>
          <t>MXN</t>
        </is>
      </c>
      <c r="Z134" t="inlineStr">
        <is>
          <t>M3</t>
        </is>
      </c>
      <c r="AC134" t="n">
        <v>56103590</v>
      </c>
      <c r="AD134" t="n">
        <v>6622261540</v>
      </c>
      <c r="AE134" t="n">
        <v>1</v>
      </c>
      <c r="AF134" t="inlineStr">
        <is>
          <t>ENTREGADO</t>
        </is>
      </c>
      <c r="AG134" t="n">
        <v>1.249</v>
      </c>
      <c r="AH134" t="inlineStr">
        <is>
          <t>M3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20230920</v>
      </c>
      <c r="AM134" t="inlineStr">
        <is>
          <t>D836-900004323-10215930</t>
        </is>
      </c>
    </row>
    <row r="135">
      <c r="A135" t="inlineStr">
        <is>
          <t>900005627D83610154187</t>
        </is>
      </c>
      <c r="B135" t="inlineStr">
        <is>
          <t>4600042076-10</t>
        </is>
      </c>
      <c r="C135" t="n">
        <v>4600042076</v>
      </c>
      <c r="D135" t="n">
        <v>10</v>
      </c>
      <c r="E135" t="inlineStr">
        <is>
          <t>MXPO</t>
        </is>
      </c>
      <c r="F135" t="inlineStr">
        <is>
          <t>MXL</t>
        </is>
      </c>
      <c r="G135" t="n">
        <v>900005627</v>
      </c>
      <c r="H135" t="inlineStr">
        <is>
          <t>TP-DOS CERROS SAN LUIS</t>
        </is>
      </c>
      <c r="I135" t="n">
        <v>5036168</v>
      </c>
      <c r="J135" t="inlineStr">
        <is>
          <t>TRITURADOS DOS CERROS SA DE CV</t>
        </is>
      </c>
      <c r="K135" t="inlineStr">
        <is>
          <t>Z04</t>
        </is>
      </c>
      <c r="L135" t="inlineStr">
        <is>
          <t>(AP) 30 Dias</t>
        </is>
      </c>
      <c r="M135" t="n">
        <v>10154187</v>
      </c>
      <c r="N135" t="inlineStr">
        <is>
          <t>GRAVA TRITURADA BASALTO 5/8" A FINOS</t>
        </is>
      </c>
      <c r="O135" t="inlineStr">
        <is>
          <t>D836</t>
        </is>
      </c>
      <c r="P135" t="inlineStr">
        <is>
          <t>MX-CED. CENTRO</t>
        </is>
      </c>
      <c r="Q135" t="n">
        <v>20180511</v>
      </c>
      <c r="R135" t="n">
        <v>20281231</v>
      </c>
      <c r="S135" t="n">
        <v>20180511</v>
      </c>
      <c r="T135" t="n">
        <v>20241231</v>
      </c>
      <c r="U135" t="n">
        <v>270</v>
      </c>
      <c r="V135" t="inlineStr">
        <is>
          <t>MXN</t>
        </is>
      </c>
      <c r="W135" t="inlineStr">
        <is>
          <t>M3</t>
        </is>
      </c>
      <c r="X135" t="n">
        <v>0</v>
      </c>
      <c r="Y135" t="inlineStr">
        <is>
          <t>MXN</t>
        </is>
      </c>
      <c r="Z135" t="inlineStr">
        <is>
          <t>M3</t>
        </is>
      </c>
      <c r="AC135" t="n">
        <v>56103637</v>
      </c>
      <c r="AD135" t="n">
        <v>6622261540</v>
      </c>
      <c r="AE135" t="n">
        <v>1</v>
      </c>
      <c r="AF135" t="inlineStr">
        <is>
          <t>ENTREGADO</t>
        </is>
      </c>
      <c r="AG135" t="n">
        <v>1.75</v>
      </c>
      <c r="AH135" t="inlineStr">
        <is>
          <t>M3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20230920</v>
      </c>
      <c r="AM135" t="inlineStr">
        <is>
          <t>D836-900005627-10154187</t>
        </is>
      </c>
    </row>
    <row r="136">
      <c r="A136" t="inlineStr">
        <is>
          <t>900005627D83610145835</t>
        </is>
      </c>
      <c r="B136" t="inlineStr">
        <is>
          <t>4600042076-50</t>
        </is>
      </c>
      <c r="C136" t="n">
        <v>4600042076</v>
      </c>
      <c r="D136" t="n">
        <v>50</v>
      </c>
      <c r="E136" t="inlineStr">
        <is>
          <t>MXPO</t>
        </is>
      </c>
      <c r="F136" t="inlineStr">
        <is>
          <t>MXL</t>
        </is>
      </c>
      <c r="G136" t="n">
        <v>900005627</v>
      </c>
      <c r="H136" t="inlineStr">
        <is>
          <t>TP-DOS CERROS SAN LUIS</t>
        </is>
      </c>
      <c r="I136" t="n">
        <v>5036168</v>
      </c>
      <c r="J136" t="inlineStr">
        <is>
          <t>TRITURADOS DOS CERROS SA DE CV</t>
        </is>
      </c>
      <c r="K136" t="inlineStr">
        <is>
          <t>Z04</t>
        </is>
      </c>
      <c r="L136" t="inlineStr">
        <is>
          <t>(AP) 30 Dias</t>
        </is>
      </c>
      <c r="M136" t="n">
        <v>10145835</v>
      </c>
      <c r="N136" t="inlineStr">
        <is>
          <t>BALASTO TRITURADO BASALTO</t>
        </is>
      </c>
      <c r="O136" t="inlineStr">
        <is>
          <t>D836</t>
        </is>
      </c>
      <c r="P136" t="inlineStr">
        <is>
          <t>MX-CED. CENTRO</t>
        </is>
      </c>
      <c r="Q136" t="n">
        <v>20180511</v>
      </c>
      <c r="R136" t="n">
        <v>20281231</v>
      </c>
      <c r="S136" t="n">
        <v>20230818</v>
      </c>
      <c r="T136" t="n">
        <v>20281231</v>
      </c>
      <c r="U136" t="n">
        <v>136.5</v>
      </c>
      <c r="V136" t="inlineStr">
        <is>
          <t>MXN</t>
        </is>
      </c>
      <c r="W136" t="inlineStr">
        <is>
          <t>M3</t>
        </is>
      </c>
      <c r="X136" t="n">
        <v>0</v>
      </c>
      <c r="Y136" t="inlineStr">
        <is>
          <t>MXN</t>
        </is>
      </c>
      <c r="Z136" t="inlineStr">
        <is>
          <t>M3</t>
        </is>
      </c>
      <c r="AC136" t="n">
        <v>56103591</v>
      </c>
      <c r="AD136" t="n">
        <v>6622261540</v>
      </c>
      <c r="AE136" t="n">
        <v>1</v>
      </c>
      <c r="AF136" t="inlineStr">
        <is>
          <t>ENTREGADO</t>
        </is>
      </c>
      <c r="AG136" t="n">
        <v>1.38</v>
      </c>
      <c r="AH136" t="inlineStr">
        <is>
          <t>M3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20230920</v>
      </c>
      <c r="AM136" t="inlineStr">
        <is>
          <t>D836-900005627-10145835</t>
        </is>
      </c>
    </row>
    <row r="137">
      <c r="A137" t="inlineStr">
        <is>
          <t>900003605D83610000630</t>
        </is>
      </c>
      <c r="B137" t="inlineStr">
        <is>
          <t>4600045797-10</t>
        </is>
      </c>
      <c r="C137" t="n">
        <v>4600045797</v>
      </c>
      <c r="D137" t="n">
        <v>10</v>
      </c>
      <c r="E137" t="inlineStr">
        <is>
          <t>MXPO</t>
        </is>
      </c>
      <c r="F137" t="inlineStr">
        <is>
          <t>MXL</t>
        </is>
      </c>
      <c r="G137" t="n">
        <v>900003605</v>
      </c>
      <c r="H137" t="inlineStr">
        <is>
          <t>TP-GRAVICOR</t>
        </is>
      </c>
      <c r="I137" t="n">
        <v>5014172</v>
      </c>
      <c r="J137" t="inlineStr">
        <is>
          <t>GRAVICOR SA DE CV</t>
        </is>
      </c>
      <c r="K137" t="inlineStr">
        <is>
          <t>Z04</t>
        </is>
      </c>
      <c r="L137" t="inlineStr">
        <is>
          <t>(AP) 30 Dias</t>
        </is>
      </c>
      <c r="M137" t="n">
        <v>10000630</v>
      </c>
      <c r="N137" t="inlineStr">
        <is>
          <t>Grava Triturada Caliza 13 mm - 1/2"</t>
        </is>
      </c>
      <c r="O137" t="inlineStr">
        <is>
          <t>D836</t>
        </is>
      </c>
      <c r="P137" t="inlineStr">
        <is>
          <t>MX-CED. CENTRO</t>
        </is>
      </c>
      <c r="Q137" t="n">
        <v>20191018</v>
      </c>
      <c r="R137" t="n">
        <v>20241231</v>
      </c>
      <c r="S137" t="n">
        <v>20191018</v>
      </c>
      <c r="T137" t="n">
        <v>20241231</v>
      </c>
      <c r="U137" t="n">
        <v>135</v>
      </c>
      <c r="V137" t="inlineStr">
        <is>
          <t>MXN</t>
        </is>
      </c>
      <c r="W137" t="inlineStr">
        <is>
          <t>M3</t>
        </is>
      </c>
      <c r="X137" t="n">
        <v>0</v>
      </c>
      <c r="Y137" t="inlineStr">
        <is>
          <t>MXN</t>
        </is>
      </c>
      <c r="Z137" t="inlineStr">
        <is>
          <t>M3</t>
        </is>
      </c>
      <c r="AC137" t="n">
        <v>56103637</v>
      </c>
      <c r="AD137" t="n">
        <v>6622261540</v>
      </c>
      <c r="AE137" t="n">
        <v>1</v>
      </c>
      <c r="AF137" t="inlineStr">
        <is>
          <t>ENTREGADO</t>
        </is>
      </c>
      <c r="AG137" t="n">
        <v>1.4</v>
      </c>
      <c r="AH137" t="inlineStr">
        <is>
          <t>M3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20230920</v>
      </c>
      <c r="AM137" t="inlineStr">
        <is>
          <t>D836-900003605-10000630</t>
        </is>
      </c>
    </row>
    <row r="138">
      <c r="A138" t="inlineStr">
        <is>
          <t>900005357D83610000160</t>
        </is>
      </c>
      <c r="B138" t="inlineStr">
        <is>
          <t>4600039491-10</t>
        </is>
      </c>
      <c r="C138" t="n">
        <v>4600039491</v>
      </c>
      <c r="D138" t="n">
        <v>10</v>
      </c>
      <c r="E138" t="inlineStr">
        <is>
          <t>MXPO</t>
        </is>
      </c>
      <c r="F138" t="inlineStr">
        <is>
          <t>MXL</t>
        </is>
      </c>
      <c r="G138" t="n">
        <v>900005357</v>
      </c>
      <c r="H138" t="inlineStr">
        <is>
          <t>TP-LAS TRANCAS RECOGIDO</t>
        </is>
      </c>
      <c r="I138" t="n">
        <v>5047262</v>
      </c>
      <c r="J138" t="inlineStr">
        <is>
          <t>AGREGADOS PETREOS SAN CRISTOBAL</t>
        </is>
      </c>
      <c r="K138" t="inlineStr">
        <is>
          <t>Z03</t>
        </is>
      </c>
      <c r="L138" t="inlineStr">
        <is>
          <t>(AP) 15 Dias</t>
        </is>
      </c>
      <c r="M138" t="n">
        <v>10000160</v>
      </c>
      <c r="N138" t="inlineStr">
        <is>
          <t>Arena Triturada Andesita Malla 4</t>
        </is>
      </c>
      <c r="O138" t="inlineStr">
        <is>
          <t>D836</t>
        </is>
      </c>
      <c r="P138" t="inlineStr">
        <is>
          <t>MX-CED. CENTRO</t>
        </is>
      </c>
      <c r="Q138" t="n">
        <v>20170828</v>
      </c>
      <c r="R138" t="n">
        <v>20241231</v>
      </c>
      <c r="S138" t="n">
        <v>20190315</v>
      </c>
      <c r="T138" t="n">
        <v>20241231</v>
      </c>
      <c r="U138" t="n">
        <v>81.5</v>
      </c>
      <c r="V138" t="inlineStr">
        <is>
          <t>MXN</t>
        </is>
      </c>
      <c r="W138" t="inlineStr">
        <is>
          <t>M3</t>
        </is>
      </c>
      <c r="X138" t="n">
        <v>0</v>
      </c>
      <c r="Y138" t="inlineStr">
        <is>
          <t>MXN</t>
        </is>
      </c>
      <c r="Z138" t="inlineStr">
        <is>
          <t>M3</t>
        </is>
      </c>
      <c r="AC138" t="n">
        <v>56103638</v>
      </c>
      <c r="AD138" t="n">
        <v>6622261540</v>
      </c>
      <c r="AE138" t="n">
        <v>1</v>
      </c>
      <c r="AF138" t="inlineStr">
        <is>
          <t>ENTREGADO</t>
        </is>
      </c>
      <c r="AG138" t="n">
        <v>1.409</v>
      </c>
      <c r="AH138" t="inlineStr">
        <is>
          <t>M3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20230920</v>
      </c>
      <c r="AM138" t="inlineStr">
        <is>
          <t>D836-900005357-10000160</t>
        </is>
      </c>
    </row>
    <row r="139">
      <c r="A139" t="inlineStr">
        <is>
          <t>900005401D83610000627</t>
        </is>
      </c>
      <c r="B139" t="inlineStr">
        <is>
          <t>4600039942-30</t>
        </is>
      </c>
      <c r="C139" t="n">
        <v>4600039942</v>
      </c>
      <c r="D139" t="n">
        <v>30</v>
      </c>
      <c r="E139" t="inlineStr">
        <is>
          <t>MXPO</t>
        </is>
      </c>
      <c r="F139" t="inlineStr">
        <is>
          <t>MXL</t>
        </is>
      </c>
      <c r="G139" t="n">
        <v>900005401</v>
      </c>
      <c r="H139" t="inlineStr">
        <is>
          <t>TP-DESARROLLO MINERO</t>
        </is>
      </c>
      <c r="I139" t="n">
        <v>5069420</v>
      </c>
      <c r="J139" t="inlineStr">
        <is>
          <t>PROMOTORA DE DESARROLLO MINERO</t>
        </is>
      </c>
      <c r="K139" t="inlineStr">
        <is>
          <t>Z09</t>
        </is>
      </c>
      <c r="L139" t="inlineStr">
        <is>
          <t>(AP) 90 Dias</t>
        </is>
      </c>
      <c r="M139" t="n">
        <v>10000627</v>
      </c>
      <c r="N139" t="inlineStr">
        <is>
          <t>Grava Triturada Andesita 10 mm - 3/8"</t>
        </is>
      </c>
      <c r="O139" t="inlineStr">
        <is>
          <t>D836</t>
        </is>
      </c>
      <c r="P139" t="inlineStr">
        <is>
          <t>MX-CED. CENTRO</t>
        </is>
      </c>
      <c r="Q139" t="n">
        <v>20171004</v>
      </c>
      <c r="R139" t="n">
        <v>20301231</v>
      </c>
      <c r="S139" t="n">
        <v>20190601</v>
      </c>
      <c r="T139" t="n">
        <v>20241231</v>
      </c>
      <c r="U139" t="n">
        <v>78.75</v>
      </c>
      <c r="V139" t="inlineStr">
        <is>
          <t>MXN</t>
        </is>
      </c>
      <c r="W139" t="inlineStr">
        <is>
          <t>M3</t>
        </is>
      </c>
      <c r="X139" t="n">
        <v>0</v>
      </c>
      <c r="Y139" t="inlineStr">
        <is>
          <t>MXN</t>
        </is>
      </c>
      <c r="Z139" t="inlineStr">
        <is>
          <t>M3</t>
        </is>
      </c>
      <c r="AC139" t="n">
        <v>56103637</v>
      </c>
      <c r="AD139" t="n">
        <v>6622261540</v>
      </c>
      <c r="AE139" t="n">
        <v>1</v>
      </c>
      <c r="AF139" t="inlineStr">
        <is>
          <t>ENTREGADO</t>
        </is>
      </c>
      <c r="AG139" t="n">
        <v>1.33</v>
      </c>
      <c r="AH139" t="inlineStr">
        <is>
          <t>M3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20230920</v>
      </c>
      <c r="AM139" t="inlineStr">
        <is>
          <t>D836-900005401-10000627</t>
        </is>
      </c>
    </row>
    <row r="140">
      <c r="A140" t="inlineStr">
        <is>
          <t>900005627D83610189935</t>
        </is>
      </c>
      <c r="B140" t="inlineStr">
        <is>
          <t>4600042076-40</t>
        </is>
      </c>
      <c r="C140" t="n">
        <v>4600042076</v>
      </c>
      <c r="D140" t="n">
        <v>40</v>
      </c>
      <c r="E140" t="inlineStr">
        <is>
          <t>MXPO</t>
        </is>
      </c>
      <c r="F140" t="inlineStr">
        <is>
          <t>MXL</t>
        </is>
      </c>
      <c r="G140" t="n">
        <v>900005627</v>
      </c>
      <c r="H140" t="inlineStr">
        <is>
          <t>TP-DOS CERROS SAN LUIS</t>
        </is>
      </c>
      <c r="I140" t="n">
        <v>5036168</v>
      </c>
      <c r="J140" t="inlineStr">
        <is>
          <t>TRITURADOS DOS CERROS SA DE CV</t>
        </is>
      </c>
      <c r="K140" t="inlineStr">
        <is>
          <t>Z04</t>
        </is>
      </c>
      <c r="L140" t="inlineStr">
        <is>
          <t>(AP) 30 Dias</t>
        </is>
      </c>
      <c r="M140" t="n">
        <v>10189935</v>
      </c>
      <c r="N140" t="inlineStr">
        <is>
          <t>BASALTO CLASIFICADO 2.5” A 1/2” NG</t>
        </is>
      </c>
      <c r="O140" t="inlineStr">
        <is>
          <t>D836</t>
        </is>
      </c>
      <c r="P140" t="inlineStr">
        <is>
          <t>MX-CED. CENTRO</t>
        </is>
      </c>
      <c r="Q140" t="n">
        <v>20180511</v>
      </c>
      <c r="R140" t="n">
        <v>20281231</v>
      </c>
      <c r="S140" t="n">
        <v>20220609</v>
      </c>
      <c r="T140" t="n">
        <v>20270531</v>
      </c>
      <c r="U140" t="n">
        <v>330</v>
      </c>
      <c r="V140" t="inlineStr">
        <is>
          <t>MXN</t>
        </is>
      </c>
      <c r="W140" t="inlineStr">
        <is>
          <t>M3</t>
        </is>
      </c>
      <c r="X140" t="n">
        <v>0</v>
      </c>
      <c r="Y140" t="inlineStr">
        <is>
          <t>MXN</t>
        </is>
      </c>
      <c r="Z140" t="inlineStr">
        <is>
          <t>M3</t>
        </is>
      </c>
      <c r="AC140" t="n">
        <v>56103637</v>
      </c>
      <c r="AD140" t="n">
        <v>6622261540</v>
      </c>
      <c r="AE140" t="n">
        <v>1</v>
      </c>
      <c r="AF140" t="inlineStr">
        <is>
          <t>ENTREGADO</t>
        </is>
      </c>
      <c r="AG140" t="n">
        <v>1.55</v>
      </c>
      <c r="AH140" t="inlineStr">
        <is>
          <t>M3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20230920</v>
      </c>
      <c r="AM140" t="inlineStr">
        <is>
          <t>D836-900005627-10189935</t>
        </is>
      </c>
    </row>
    <row r="141">
      <c r="A141" t="inlineStr">
        <is>
          <t>900006005D83610000811</t>
        </is>
      </c>
      <c r="B141" t="inlineStr">
        <is>
          <t>4600044358-10</t>
        </is>
      </c>
      <c r="C141" t="n">
        <v>4600044358</v>
      </c>
      <c r="D141" t="n">
        <v>10</v>
      </c>
      <c r="E141" t="inlineStr">
        <is>
          <t>MXPO</t>
        </is>
      </c>
      <c r="F141" t="inlineStr">
        <is>
          <t>MXL</t>
        </is>
      </c>
      <c r="G141" t="n">
        <v>900006005</v>
      </c>
      <c r="H141" t="inlineStr">
        <is>
          <t>SF TP-ESTRATEGIAS AVANZADAS</t>
        </is>
      </c>
      <c r="I141" t="n">
        <v>5049458</v>
      </c>
      <c r="J141" t="inlineStr">
        <is>
          <t>ESTRATEGIAS AVANZADAS PARA OBTEN</t>
        </is>
      </c>
      <c r="K141" t="inlineStr">
        <is>
          <t>Z03</t>
        </is>
      </c>
      <c r="L141" t="inlineStr">
        <is>
          <t>(AP) 15 Dias</t>
        </is>
      </c>
      <c r="M141" t="n">
        <v>10000811</v>
      </c>
      <c r="N141" t="inlineStr">
        <is>
          <t>Grava Triturada Caliza 20 mm - 3/4"</t>
        </is>
      </c>
      <c r="O141" t="inlineStr">
        <is>
          <t>D836</t>
        </is>
      </c>
      <c r="P141" t="inlineStr">
        <is>
          <t>MX-CED. CENTRO</t>
        </is>
      </c>
      <c r="Q141" t="n">
        <v>20190325</v>
      </c>
      <c r="R141" t="n">
        <v>20241231</v>
      </c>
      <c r="S141" t="n">
        <v>20190325</v>
      </c>
      <c r="T141" t="n">
        <v>20241231</v>
      </c>
      <c r="U141" t="n">
        <v>128</v>
      </c>
      <c r="V141" t="inlineStr">
        <is>
          <t>MXN</t>
        </is>
      </c>
      <c r="W141" t="inlineStr">
        <is>
          <t>M3</t>
        </is>
      </c>
      <c r="X141" t="n">
        <v>0</v>
      </c>
      <c r="Y141" t="inlineStr">
        <is>
          <t>MXN</t>
        </is>
      </c>
      <c r="Z141" t="inlineStr">
        <is>
          <t>M3</t>
        </is>
      </c>
      <c r="AC141" t="n">
        <v>56103637</v>
      </c>
      <c r="AD141" t="n">
        <v>6622261540</v>
      </c>
      <c r="AE141" t="n">
        <v>1</v>
      </c>
      <c r="AF141" t="inlineStr">
        <is>
          <t>ENTREGADO</t>
        </is>
      </c>
      <c r="AG141" t="n">
        <v>1.447</v>
      </c>
      <c r="AH141" t="inlineStr">
        <is>
          <t>M3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20230920</v>
      </c>
      <c r="AM141" t="inlineStr">
        <is>
          <t>D836-900006005-10000811</t>
        </is>
      </c>
    </row>
    <row r="142">
      <c r="A142" t="inlineStr">
        <is>
          <t>900006005D83610000630</t>
        </is>
      </c>
      <c r="B142" t="inlineStr">
        <is>
          <t>4600044358-40</t>
        </is>
      </c>
      <c r="C142" t="n">
        <v>4600044358</v>
      </c>
      <c r="D142" t="n">
        <v>40</v>
      </c>
      <c r="E142" t="inlineStr">
        <is>
          <t>MXPO</t>
        </is>
      </c>
      <c r="F142" t="inlineStr">
        <is>
          <t>MXL</t>
        </is>
      </c>
      <c r="G142" t="n">
        <v>900006005</v>
      </c>
      <c r="H142" t="inlineStr">
        <is>
          <t>SF TP-ESTRATEGIAS AVANZADAS</t>
        </is>
      </c>
      <c r="I142" t="n">
        <v>5049458</v>
      </c>
      <c r="J142" t="inlineStr">
        <is>
          <t>ESTRATEGIAS AVANZADAS PARA OBTEN</t>
        </is>
      </c>
      <c r="K142" t="inlineStr">
        <is>
          <t>Z03</t>
        </is>
      </c>
      <c r="L142" t="inlineStr">
        <is>
          <t>(AP) 15 Dias</t>
        </is>
      </c>
      <c r="M142" t="n">
        <v>10000630</v>
      </c>
      <c r="N142" t="inlineStr">
        <is>
          <t>Grava Triturada Caliza 13 mm - 1/2"</t>
        </is>
      </c>
      <c r="O142" t="inlineStr">
        <is>
          <t>D836</t>
        </is>
      </c>
      <c r="P142" t="inlineStr">
        <is>
          <t>MX-CED. CENTRO</t>
        </is>
      </c>
      <c r="Q142" t="n">
        <v>20190325</v>
      </c>
      <c r="R142" t="n">
        <v>20241231</v>
      </c>
      <c r="S142" t="n">
        <v>20190930</v>
      </c>
      <c r="T142" t="n">
        <v>20241231</v>
      </c>
      <c r="U142" t="n">
        <v>110</v>
      </c>
      <c r="V142" t="inlineStr">
        <is>
          <t>MXN</t>
        </is>
      </c>
      <c r="W142" t="inlineStr">
        <is>
          <t>M3</t>
        </is>
      </c>
      <c r="X142" t="n">
        <v>0</v>
      </c>
      <c r="Y142" t="inlineStr">
        <is>
          <t>MXN</t>
        </is>
      </c>
      <c r="Z142" t="inlineStr">
        <is>
          <t>M3</t>
        </is>
      </c>
      <c r="AC142" t="n">
        <v>56103637</v>
      </c>
      <c r="AD142" t="n">
        <v>6622261540</v>
      </c>
      <c r="AE142" t="n">
        <v>1</v>
      </c>
      <c r="AF142" t="inlineStr">
        <is>
          <t>ENTREGADO</t>
        </is>
      </c>
      <c r="AG142" t="n">
        <v>1.4</v>
      </c>
      <c r="AH142" t="inlineStr">
        <is>
          <t>M3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20230920</v>
      </c>
      <c r="AM142" t="inlineStr">
        <is>
          <t>D836-900006005-10000630</t>
        </is>
      </c>
    </row>
    <row r="143">
      <c r="A143" t="inlineStr">
        <is>
          <t>900006228D83610170112</t>
        </is>
      </c>
      <c r="B143" t="inlineStr">
        <is>
          <t>4600045159-10</t>
        </is>
      </c>
      <c r="C143" t="n">
        <v>4600045159</v>
      </c>
      <c r="D143" t="n">
        <v>10</v>
      </c>
      <c r="E143" t="inlineStr">
        <is>
          <t>MXPO</t>
        </is>
      </c>
      <c r="F143" t="inlineStr">
        <is>
          <t>MXL</t>
        </is>
      </c>
      <c r="G143" t="n">
        <v>900006228</v>
      </c>
      <c r="H143" t="inlineStr">
        <is>
          <t>SF TP-EL ARBOLILLO</t>
        </is>
      </c>
      <c r="I143" t="n">
        <v>5075949</v>
      </c>
      <c r="J143" t="inlineStr">
        <is>
          <t>AZUL CONCRETOS Y PREMEZCLADOS</t>
        </is>
      </c>
      <c r="K143" t="inlineStr">
        <is>
          <t>Z06</t>
        </is>
      </c>
      <c r="L143" t="inlineStr">
        <is>
          <t>(AP) 45 Dias</t>
        </is>
      </c>
      <c r="M143" t="n">
        <v>10170112</v>
      </c>
      <c r="N143" t="inlineStr">
        <is>
          <t>GRAVA TRITURADA CALIZA 20 MM - 3/4"</t>
        </is>
      </c>
      <c r="O143" t="inlineStr">
        <is>
          <t>D836</t>
        </is>
      </c>
      <c r="P143" t="inlineStr">
        <is>
          <t>MX-CED. CENTRO</t>
        </is>
      </c>
      <c r="Q143" t="n">
        <v>20190723</v>
      </c>
      <c r="R143" t="n">
        <v>20241231</v>
      </c>
      <c r="S143" t="n">
        <v>20190901</v>
      </c>
      <c r="T143" t="n">
        <v>20241231</v>
      </c>
      <c r="U143" t="n">
        <v>140</v>
      </c>
      <c r="V143" t="inlineStr">
        <is>
          <t>MXN</t>
        </is>
      </c>
      <c r="W143" t="inlineStr">
        <is>
          <t>M3</t>
        </is>
      </c>
      <c r="X143" t="n">
        <v>0</v>
      </c>
      <c r="Y143" t="inlineStr">
        <is>
          <t>MXN</t>
        </is>
      </c>
      <c r="Z143" t="inlineStr">
        <is>
          <t>M3</t>
        </is>
      </c>
      <c r="AC143" t="n">
        <v>56103637</v>
      </c>
      <c r="AD143" t="n">
        <v>6622261540</v>
      </c>
      <c r="AE143" t="n">
        <v>1</v>
      </c>
      <c r="AF143" t="inlineStr">
        <is>
          <t>ENTREGADO</t>
        </is>
      </c>
      <c r="AG143" t="n">
        <v>1.423</v>
      </c>
      <c r="AH143" t="inlineStr">
        <is>
          <t>M3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20230920</v>
      </c>
      <c r="AM143" t="inlineStr">
        <is>
          <t>D836-900006228-10170112</t>
        </is>
      </c>
    </row>
    <row r="144">
      <c r="A144" t="inlineStr">
        <is>
          <t>900006350D83610000623</t>
        </is>
      </c>
      <c r="B144" t="inlineStr">
        <is>
          <t>4600045798-20</t>
        </is>
      </c>
      <c r="C144" t="n">
        <v>4600045798</v>
      </c>
      <c r="D144" t="n">
        <v>20</v>
      </c>
      <c r="E144" t="inlineStr">
        <is>
          <t>MXPO</t>
        </is>
      </c>
      <c r="F144" t="inlineStr">
        <is>
          <t>MXL</t>
        </is>
      </c>
      <c r="G144" t="n">
        <v>900006350</v>
      </c>
      <c r="H144" t="inlineStr">
        <is>
          <t>SF TP-HUDASA CONEJOS</t>
        </is>
      </c>
      <c r="I144" t="n">
        <v>5054686</v>
      </c>
      <c r="J144" t="inlineStr">
        <is>
          <t>GRUPO MERCANTIL HUDASA SA DE CV</t>
        </is>
      </c>
      <c r="K144" t="inlineStr">
        <is>
          <t>N90</t>
        </is>
      </c>
      <c r="L144" t="inlineStr">
        <is>
          <t>(AP) NAFIN 90 Dias</t>
        </is>
      </c>
      <c r="M144" t="n">
        <v>10000623</v>
      </c>
      <c r="N144" t="inlineStr">
        <is>
          <t>Grava Triturada Caliza 10 mm - 3/8"</t>
        </is>
      </c>
      <c r="O144" t="inlineStr">
        <is>
          <t>D836</t>
        </is>
      </c>
      <c r="P144" t="inlineStr">
        <is>
          <t>MX-CED. CENTRO</t>
        </is>
      </c>
      <c r="Q144" t="n">
        <v>20191018</v>
      </c>
      <c r="R144" t="n">
        <v>20241231</v>
      </c>
      <c r="S144" t="n">
        <v>20191018</v>
      </c>
      <c r="T144" t="n">
        <v>20241231</v>
      </c>
      <c r="U144" t="n">
        <v>135</v>
      </c>
      <c r="V144" t="inlineStr">
        <is>
          <t>MXN</t>
        </is>
      </c>
      <c r="W144" t="inlineStr">
        <is>
          <t>M3</t>
        </is>
      </c>
      <c r="X144" t="n">
        <v>0</v>
      </c>
      <c r="Y144" t="inlineStr">
        <is>
          <t>MXN</t>
        </is>
      </c>
      <c r="Z144" t="inlineStr">
        <is>
          <t>M3</t>
        </is>
      </c>
      <c r="AC144" t="n">
        <v>56103637</v>
      </c>
      <c r="AD144" t="n">
        <v>6622261540</v>
      </c>
      <c r="AE144" t="n">
        <v>1</v>
      </c>
      <c r="AF144" t="inlineStr">
        <is>
          <t>ENTREGADO</t>
        </is>
      </c>
      <c r="AG144" t="n">
        <v>1.41</v>
      </c>
      <c r="AH144" t="inlineStr">
        <is>
          <t>M3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20230920</v>
      </c>
      <c r="AM144" t="inlineStr">
        <is>
          <t>D836-900006350-10000623</t>
        </is>
      </c>
    </row>
    <row r="145">
      <c r="A145" t="inlineStr">
        <is>
          <t>900004447D83610000829</t>
        </is>
      </c>
      <c r="B145" t="inlineStr">
        <is>
          <t>4600033337-30</t>
        </is>
      </c>
      <c r="C145" t="n">
        <v>4600033337</v>
      </c>
      <c r="D145" t="n">
        <v>30</v>
      </c>
      <c r="E145" t="inlineStr">
        <is>
          <t>MXPO</t>
        </is>
      </c>
      <c r="F145" t="inlineStr">
        <is>
          <t>MXL</t>
        </is>
      </c>
      <c r="G145" t="n">
        <v>900004447</v>
      </c>
      <c r="H145" t="inlineStr">
        <is>
          <t>TP-CEKUR</t>
        </is>
      </c>
      <c r="I145" t="n">
        <v>5058788</v>
      </c>
      <c r="J145" t="inlineStr">
        <is>
          <t>INMOBILIARIA CEKUR S.A. DE C.V.</t>
        </is>
      </c>
      <c r="K145" t="inlineStr">
        <is>
          <t>Z06</t>
        </is>
      </c>
      <c r="L145" t="inlineStr">
        <is>
          <t>(AP) 45 Dias</t>
        </is>
      </c>
      <c r="M145" t="n">
        <v>10000829</v>
      </c>
      <c r="N145" t="inlineStr">
        <is>
          <t>Arena Triturada Basalto  Malla 5</t>
        </is>
      </c>
      <c r="O145" t="inlineStr">
        <is>
          <t>D836</t>
        </is>
      </c>
      <c r="P145" t="inlineStr">
        <is>
          <t>MX-CED. CENTRO</t>
        </is>
      </c>
      <c r="Q145" t="n">
        <v>20160301</v>
      </c>
      <c r="R145" t="n">
        <v>20241231</v>
      </c>
      <c r="S145" t="n">
        <v>20180209</v>
      </c>
      <c r="T145" t="n">
        <v>20241231</v>
      </c>
      <c r="U145" t="n">
        <v>50.68</v>
      </c>
      <c r="V145" t="inlineStr">
        <is>
          <t>MXN</t>
        </is>
      </c>
      <c r="W145" t="inlineStr">
        <is>
          <t>M3</t>
        </is>
      </c>
      <c r="X145" t="n">
        <v>0</v>
      </c>
      <c r="Y145" t="inlineStr">
        <is>
          <t>MXN</t>
        </is>
      </c>
      <c r="Z145" t="inlineStr">
        <is>
          <t>M3</t>
        </is>
      </c>
      <c r="AC145" t="n">
        <v>56103638</v>
      </c>
      <c r="AD145" t="n">
        <v>6622261540</v>
      </c>
      <c r="AE145" t="n">
        <v>1</v>
      </c>
      <c r="AF145" t="inlineStr">
        <is>
          <t>ENTREGADO</t>
        </is>
      </c>
      <c r="AG145" t="n">
        <v>1.43</v>
      </c>
      <c r="AH145" t="inlineStr">
        <is>
          <t>M3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20230920</v>
      </c>
      <c r="AM145" t="inlineStr">
        <is>
          <t>D836-900004447-10000829</t>
        </is>
      </c>
    </row>
    <row r="146">
      <c r="A146" t="inlineStr">
        <is>
          <t>900004077D83610000627</t>
        </is>
      </c>
      <c r="B146" t="inlineStr">
        <is>
          <t>4600036871-110</t>
        </is>
      </c>
      <c r="C146" t="n">
        <v>4600036871</v>
      </c>
      <c r="D146" t="n">
        <v>110</v>
      </c>
      <c r="E146" t="inlineStr">
        <is>
          <t>MXPO</t>
        </is>
      </c>
      <c r="F146" t="inlineStr">
        <is>
          <t>MXL</t>
        </is>
      </c>
      <c r="G146" t="n">
        <v>900004077</v>
      </c>
      <c r="H146" t="inlineStr">
        <is>
          <t>TP-SAN JUAN (HUDASA)</t>
        </is>
      </c>
      <c r="I146" t="n">
        <v>5054686</v>
      </c>
      <c r="J146" t="inlineStr">
        <is>
          <t>GRUPO MERCANTIL HUDASA SA DE CV</t>
        </is>
      </c>
      <c r="K146" t="inlineStr">
        <is>
          <t>Z06</t>
        </is>
      </c>
      <c r="L146" t="inlineStr">
        <is>
          <t>(AP) 45 Dias</t>
        </is>
      </c>
      <c r="M146" t="n">
        <v>10000627</v>
      </c>
      <c r="N146" t="inlineStr">
        <is>
          <t>Grava Triturada Andesita 10 mm - 3/8"</t>
        </is>
      </c>
      <c r="O146" t="inlineStr">
        <is>
          <t>D836</t>
        </is>
      </c>
      <c r="P146" t="inlineStr">
        <is>
          <t>MX-CED. CENTRO</t>
        </is>
      </c>
      <c r="Q146" t="n">
        <v>20170220</v>
      </c>
      <c r="R146" t="n">
        <v>20241231</v>
      </c>
      <c r="S146" t="n">
        <v>20200522</v>
      </c>
      <c r="T146" t="n">
        <v>20291231</v>
      </c>
      <c r="U146" t="n">
        <v>106.4</v>
      </c>
      <c r="V146" t="inlineStr">
        <is>
          <t>MXN</t>
        </is>
      </c>
      <c r="W146" t="inlineStr">
        <is>
          <t>M3</t>
        </is>
      </c>
      <c r="X146" t="n">
        <v>0</v>
      </c>
      <c r="Y146" t="inlineStr">
        <is>
          <t>MXN</t>
        </is>
      </c>
      <c r="Z146" t="inlineStr">
        <is>
          <t>M3</t>
        </is>
      </c>
      <c r="AC146" t="n">
        <v>56103637</v>
      </c>
      <c r="AD146" t="n">
        <v>6622261540</v>
      </c>
      <c r="AE146" t="n">
        <v>1</v>
      </c>
      <c r="AF146" t="inlineStr">
        <is>
          <t>ENTREGADO</t>
        </is>
      </c>
      <c r="AG146" t="n">
        <v>1.33</v>
      </c>
      <c r="AH146" t="inlineStr">
        <is>
          <t>M3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20230920</v>
      </c>
      <c r="AM146" t="inlineStr">
        <is>
          <t>D836-900004077-10000627</t>
        </is>
      </c>
    </row>
    <row r="147">
      <c r="A147" t="inlineStr">
        <is>
          <t>900005214D83610000253</t>
        </is>
      </c>
      <c r="B147" t="inlineStr">
        <is>
          <t>4600037761-20</t>
        </is>
      </c>
      <c r="C147" t="n">
        <v>4600037761</v>
      </c>
      <c r="D147" t="n">
        <v>20</v>
      </c>
      <c r="E147" t="inlineStr">
        <is>
          <t>MXPO</t>
        </is>
      </c>
      <c r="F147" t="inlineStr">
        <is>
          <t>MXL</t>
        </is>
      </c>
      <c r="G147" t="n">
        <v>900005214</v>
      </c>
      <c r="H147" t="inlineStr">
        <is>
          <t>TP-CAÑADA EL TESOYO</t>
        </is>
      </c>
      <c r="I147" t="n">
        <v>5045930</v>
      </c>
      <c r="J147" t="inlineStr">
        <is>
          <t>EL TESOYO SA</t>
        </is>
      </c>
      <c r="K147" t="inlineStr">
        <is>
          <t>Z06</t>
        </is>
      </c>
      <c r="L147" t="inlineStr">
        <is>
          <t>(AP) 45 Dias</t>
        </is>
      </c>
      <c r="M147" t="n">
        <v>10000253</v>
      </c>
      <c r="N147" t="inlineStr">
        <is>
          <t>Grava Triturada Andesita 20 mm - 3/4"</t>
        </is>
      </c>
      <c r="O147" t="inlineStr">
        <is>
          <t>D836</t>
        </is>
      </c>
      <c r="P147" t="inlineStr">
        <is>
          <t>MX-CED. CENTRO</t>
        </is>
      </c>
      <c r="Q147" t="n">
        <v>20170427</v>
      </c>
      <c r="R147" t="n">
        <v>20241231</v>
      </c>
      <c r="S147" t="n">
        <v>20180206</v>
      </c>
      <c r="T147" t="n">
        <v>20241231</v>
      </c>
      <c r="U147" t="n">
        <v>85</v>
      </c>
      <c r="V147" t="inlineStr">
        <is>
          <t>MXN</t>
        </is>
      </c>
      <c r="W147" t="inlineStr">
        <is>
          <t>M3</t>
        </is>
      </c>
      <c r="X147" t="n">
        <v>0</v>
      </c>
      <c r="Y147" t="inlineStr">
        <is>
          <t>MXN</t>
        </is>
      </c>
      <c r="Z147" t="inlineStr">
        <is>
          <t>M3</t>
        </is>
      </c>
      <c r="AC147" t="n">
        <v>56103637</v>
      </c>
      <c r="AD147" t="n">
        <v>6622261540</v>
      </c>
      <c r="AE147" t="n">
        <v>1</v>
      </c>
      <c r="AF147" t="inlineStr">
        <is>
          <t>ENTREGADO</t>
        </is>
      </c>
      <c r="AG147" t="n">
        <v>1.385</v>
      </c>
      <c r="AH147" t="inlineStr">
        <is>
          <t>M3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20230920</v>
      </c>
      <c r="AM147" t="inlineStr">
        <is>
          <t>D836-900005214-10000253</t>
        </is>
      </c>
    </row>
    <row r="148">
      <c r="A148" t="inlineStr">
        <is>
          <t>900005356D83610003132</t>
        </is>
      </c>
      <c r="B148" t="inlineStr">
        <is>
          <t>4600039490-40</t>
        </is>
      </c>
      <c r="C148" t="n">
        <v>4600039490</v>
      </c>
      <c r="D148" t="n">
        <v>40</v>
      </c>
      <c r="E148" t="inlineStr">
        <is>
          <t>MXPO</t>
        </is>
      </c>
      <c r="F148" t="inlineStr">
        <is>
          <t>MXL</t>
        </is>
      </c>
      <c r="G148" t="n">
        <v>900005356</v>
      </c>
      <c r="H148" t="inlineStr">
        <is>
          <t>TP-TRIVOMEX RECOGIDO</t>
        </is>
      </c>
      <c r="I148" t="n">
        <v>5033501</v>
      </c>
      <c r="J148" t="inlineStr">
        <is>
          <t>TRITURADOS VOLCANICOS DE MEXICO</t>
        </is>
      </c>
      <c r="K148" t="inlineStr">
        <is>
          <t>Z04</t>
        </is>
      </c>
      <c r="L148" t="inlineStr">
        <is>
          <t>(AP) 30 Dias</t>
        </is>
      </c>
      <c r="M148" t="n">
        <v>10003132</v>
      </c>
      <c r="N148" t="inlineStr">
        <is>
          <t>Base H Triturada Andesita  1 1/2" a Fino</t>
        </is>
      </c>
      <c r="O148" t="inlineStr">
        <is>
          <t>D836</t>
        </is>
      </c>
      <c r="P148" t="inlineStr">
        <is>
          <t>MX-CED. CENTRO</t>
        </is>
      </c>
      <c r="Q148" t="n">
        <v>20170828</v>
      </c>
      <c r="R148" t="n">
        <v>20281231</v>
      </c>
      <c r="S148" t="n">
        <v>20230301</v>
      </c>
      <c r="T148" t="n">
        <v>20281231</v>
      </c>
      <c r="U148" t="n">
        <v>120</v>
      </c>
      <c r="V148" t="inlineStr">
        <is>
          <t>MXN</t>
        </is>
      </c>
      <c r="W148" t="inlineStr">
        <is>
          <t>M3</t>
        </is>
      </c>
      <c r="X148" t="n">
        <v>0</v>
      </c>
      <c r="Y148" t="inlineStr">
        <is>
          <t>MXN</t>
        </is>
      </c>
      <c r="Z148" t="inlineStr">
        <is>
          <t>M3</t>
        </is>
      </c>
      <c r="AC148" t="n">
        <v>56103590</v>
      </c>
      <c r="AD148" t="n">
        <v>6622261540</v>
      </c>
      <c r="AE148" t="n">
        <v>1</v>
      </c>
      <c r="AF148" t="inlineStr">
        <is>
          <t>ENTREGADO</t>
        </is>
      </c>
      <c r="AG148" t="n">
        <v>1.29</v>
      </c>
      <c r="AH148" t="inlineStr">
        <is>
          <t>M3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20230920</v>
      </c>
      <c r="AM148" t="inlineStr">
        <is>
          <t>D836-900005356-10003132</t>
        </is>
      </c>
    </row>
    <row r="149">
      <c r="A149" t="inlineStr">
        <is>
          <t>900005401D83610182154</t>
        </is>
      </c>
      <c r="B149" t="inlineStr">
        <is>
          <t>4600039942-60</t>
        </is>
      </c>
      <c r="C149" t="n">
        <v>4600039942</v>
      </c>
      <c r="D149" t="n">
        <v>60</v>
      </c>
      <c r="E149" t="inlineStr">
        <is>
          <t>MXPO</t>
        </is>
      </c>
      <c r="F149" t="inlineStr">
        <is>
          <t>MXL</t>
        </is>
      </c>
      <c r="G149" t="n">
        <v>900005401</v>
      </c>
      <c r="H149" t="inlineStr">
        <is>
          <t>TP-DESARROLLO MINERO</t>
        </is>
      </c>
      <c r="I149" t="n">
        <v>5069420</v>
      </c>
      <c r="J149" t="inlineStr">
        <is>
          <t>PROMOTORA DE DESARROLLO MINERO</t>
        </is>
      </c>
      <c r="K149" t="inlineStr">
        <is>
          <t>Z09</t>
        </is>
      </c>
      <c r="L149" t="inlineStr">
        <is>
          <t>(AP) 90 Dias</t>
        </is>
      </c>
      <c r="M149" t="n">
        <v>10182154</v>
      </c>
      <c r="N149" t="inlineStr">
        <is>
          <t>ARENA TRITURADA ANDESITA MALLA 8 - ESPEC</t>
        </is>
      </c>
      <c r="O149" t="inlineStr">
        <is>
          <t>D836</t>
        </is>
      </c>
      <c r="P149" t="inlineStr">
        <is>
          <t>MX-CED. CENTRO</t>
        </is>
      </c>
      <c r="Q149" t="n">
        <v>20171004</v>
      </c>
      <c r="R149" t="n">
        <v>20301231</v>
      </c>
      <c r="S149" t="n">
        <v>20200317</v>
      </c>
      <c r="T149" t="n">
        <v>20291231</v>
      </c>
      <c r="U149" t="n">
        <v>94.5</v>
      </c>
      <c r="V149" t="inlineStr">
        <is>
          <t>MXN</t>
        </is>
      </c>
      <c r="W149" t="inlineStr">
        <is>
          <t>M3</t>
        </is>
      </c>
      <c r="X149" t="n">
        <v>0</v>
      </c>
      <c r="Y149" t="inlineStr">
        <is>
          <t>MXN</t>
        </is>
      </c>
      <c r="Z149" t="inlineStr">
        <is>
          <t>M3</t>
        </is>
      </c>
      <c r="AC149" t="n">
        <v>56103638</v>
      </c>
      <c r="AD149" t="n">
        <v>6622261540</v>
      </c>
      <c r="AE149" t="n">
        <v>1</v>
      </c>
      <c r="AF149" t="inlineStr">
        <is>
          <t>ENTREGADO</t>
        </is>
      </c>
      <c r="AG149" t="n">
        <v>1.35</v>
      </c>
      <c r="AH149" t="inlineStr">
        <is>
          <t>M3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20230920</v>
      </c>
      <c r="AM149" t="inlineStr">
        <is>
          <t>D836-900005401-10182154</t>
        </is>
      </c>
    </row>
    <row r="150">
      <c r="A150" t="inlineStr">
        <is>
          <t>900005533D83610159180</t>
        </is>
      </c>
      <c r="B150" t="inlineStr">
        <is>
          <t>4600043967-10</t>
        </is>
      </c>
      <c r="C150" t="n">
        <v>4600043967</v>
      </c>
      <c r="D150" t="n">
        <v>10</v>
      </c>
      <c r="E150" t="inlineStr">
        <is>
          <t>MXPO</t>
        </is>
      </c>
      <c r="F150" t="inlineStr">
        <is>
          <t>MXL</t>
        </is>
      </c>
      <c r="G150" t="n">
        <v>900005533</v>
      </c>
      <c r="H150" t="inlineStr">
        <is>
          <t>TP-ITHIEL BASALTO</t>
        </is>
      </c>
      <c r="I150" t="n">
        <v>5070589</v>
      </c>
      <c r="J150" t="inlineStr">
        <is>
          <t>ITHIEL S DE RL DE CV</t>
        </is>
      </c>
      <c r="K150" t="inlineStr">
        <is>
          <t>Z09</t>
        </is>
      </c>
      <c r="L150" t="inlineStr">
        <is>
          <t>(AP) 90 Dias</t>
        </is>
      </c>
      <c r="M150" t="n">
        <v>10159180</v>
      </c>
      <c r="N150" t="inlineStr">
        <is>
          <t>ARENA TRITURADA BASALTO MALLA 4</t>
        </is>
      </c>
      <c r="O150" t="inlineStr">
        <is>
          <t>D836</t>
        </is>
      </c>
      <c r="P150" t="inlineStr">
        <is>
          <t>MX-CED. CENTRO</t>
        </is>
      </c>
      <c r="Q150" t="n">
        <v>20190208</v>
      </c>
      <c r="R150" t="n">
        <v>20241231</v>
      </c>
      <c r="S150" t="n">
        <v>20190207</v>
      </c>
      <c r="T150" t="n">
        <v>20241231</v>
      </c>
      <c r="U150" t="n">
        <v>118</v>
      </c>
      <c r="V150" t="inlineStr">
        <is>
          <t>MXN</t>
        </is>
      </c>
      <c r="W150" t="inlineStr">
        <is>
          <t>M3</t>
        </is>
      </c>
      <c r="X150" t="n">
        <v>0</v>
      </c>
      <c r="Y150" t="inlineStr">
        <is>
          <t>MXN</t>
        </is>
      </c>
      <c r="Z150" t="inlineStr">
        <is>
          <t>M3</t>
        </is>
      </c>
      <c r="AC150" t="n">
        <v>56103638</v>
      </c>
      <c r="AD150" t="n">
        <v>6622261540</v>
      </c>
      <c r="AE150" t="n">
        <v>1</v>
      </c>
      <c r="AF150" t="inlineStr">
        <is>
          <t>ENTREGADO</t>
        </is>
      </c>
      <c r="AG150" t="n">
        <v>1.352</v>
      </c>
      <c r="AH150" t="inlineStr">
        <is>
          <t>M3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20230920</v>
      </c>
      <c r="AM150" t="inlineStr">
        <is>
          <t>D836-900005533-10159180</t>
        </is>
      </c>
    </row>
    <row r="151">
      <c r="A151" t="inlineStr">
        <is>
          <t>900006005D83610183920</t>
        </is>
      </c>
      <c r="B151" t="inlineStr">
        <is>
          <t>4600044358-50</t>
        </is>
      </c>
      <c r="C151" t="n">
        <v>4600044358</v>
      </c>
      <c r="D151" t="n">
        <v>50</v>
      </c>
      <c r="E151" t="inlineStr">
        <is>
          <t>MXPO</t>
        </is>
      </c>
      <c r="F151" t="inlineStr">
        <is>
          <t>MXL</t>
        </is>
      </c>
      <c r="G151" t="n">
        <v>900006005</v>
      </c>
      <c r="H151" t="inlineStr">
        <is>
          <t>SF TP-ESTRATEGIAS AVANZADAS</t>
        </is>
      </c>
      <c r="I151" t="n">
        <v>5049458</v>
      </c>
      <c r="J151" t="inlineStr">
        <is>
          <t>ESTRATEGIAS AVANZADAS PARA OBTEN</t>
        </is>
      </c>
      <c r="K151" t="inlineStr">
        <is>
          <t>Z03</t>
        </is>
      </c>
      <c r="L151" t="inlineStr">
        <is>
          <t>(AP) 15 Dias</t>
        </is>
      </c>
      <c r="M151" t="n">
        <v>10183920</v>
      </c>
      <c r="N151" t="inlineStr">
        <is>
          <t>GRAVA TRITURADA TEPOJAL 20 MM - 3/4"- NG</t>
        </is>
      </c>
      <c r="O151" t="inlineStr">
        <is>
          <t>D836</t>
        </is>
      </c>
      <c r="P151" t="inlineStr">
        <is>
          <t>MX-CED. CENTRO</t>
        </is>
      </c>
      <c r="Q151" t="n">
        <v>20190325</v>
      </c>
      <c r="R151" t="n">
        <v>20241231</v>
      </c>
      <c r="S151" t="n">
        <v>20200512</v>
      </c>
      <c r="T151" t="n">
        <v>20291231</v>
      </c>
      <c r="U151" t="n">
        <v>74</v>
      </c>
      <c r="V151" t="inlineStr">
        <is>
          <t>MXN</t>
        </is>
      </c>
      <c r="W151" t="inlineStr">
        <is>
          <t>M3</t>
        </is>
      </c>
      <c r="X151" t="n">
        <v>0</v>
      </c>
      <c r="Y151" t="inlineStr">
        <is>
          <t>MXN</t>
        </is>
      </c>
      <c r="Z151" t="inlineStr">
        <is>
          <t>M3</t>
        </is>
      </c>
      <c r="AC151" t="n">
        <v>56103637</v>
      </c>
      <c r="AD151" t="n">
        <v>6622261540</v>
      </c>
      <c r="AE151" t="n">
        <v>1</v>
      </c>
      <c r="AF151" t="inlineStr">
        <is>
          <t>ENTREGADO</t>
        </is>
      </c>
      <c r="AG151" t="n">
        <v>1.2</v>
      </c>
      <c r="AH151" t="inlineStr">
        <is>
          <t>M3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20230920</v>
      </c>
      <c r="AM151" t="inlineStr">
        <is>
          <t>D836-900006005-10183920</t>
        </is>
      </c>
    </row>
    <row r="152">
      <c r="A152" t="inlineStr">
        <is>
          <t>900006350D83610000811</t>
        </is>
      </c>
      <c r="B152" t="inlineStr">
        <is>
          <t>4600045798-30</t>
        </is>
      </c>
      <c r="C152" t="n">
        <v>4600045798</v>
      </c>
      <c r="D152" t="n">
        <v>30</v>
      </c>
      <c r="E152" t="inlineStr">
        <is>
          <t>MXPO</t>
        </is>
      </c>
      <c r="F152" t="inlineStr">
        <is>
          <t>MXL</t>
        </is>
      </c>
      <c r="G152" t="n">
        <v>900006350</v>
      </c>
      <c r="H152" t="inlineStr">
        <is>
          <t>SF TP-HUDASA CONEJOS</t>
        </is>
      </c>
      <c r="I152" t="n">
        <v>5054686</v>
      </c>
      <c r="J152" t="inlineStr">
        <is>
          <t>GRUPO MERCANTIL HUDASA SA DE CV</t>
        </is>
      </c>
      <c r="K152" t="inlineStr">
        <is>
          <t>N90</t>
        </is>
      </c>
      <c r="L152" t="inlineStr">
        <is>
          <t>(AP) NAFIN 90 Dias</t>
        </is>
      </c>
      <c r="M152" t="n">
        <v>10000811</v>
      </c>
      <c r="N152" t="inlineStr">
        <is>
          <t>Grava Triturada Caliza 20 mm - 3/4"</t>
        </is>
      </c>
      <c r="O152" t="inlineStr">
        <is>
          <t>D836</t>
        </is>
      </c>
      <c r="P152" t="inlineStr">
        <is>
          <t>MX-CED. CENTRO</t>
        </is>
      </c>
      <c r="Q152" t="n">
        <v>20191018</v>
      </c>
      <c r="R152" t="n">
        <v>20241231</v>
      </c>
      <c r="S152" t="n">
        <v>20191018</v>
      </c>
      <c r="T152" t="n">
        <v>20241231</v>
      </c>
      <c r="U152" t="n">
        <v>128</v>
      </c>
      <c r="V152" t="inlineStr">
        <is>
          <t>MXN</t>
        </is>
      </c>
      <c r="W152" t="inlineStr">
        <is>
          <t>M3</t>
        </is>
      </c>
      <c r="X152" t="n">
        <v>0</v>
      </c>
      <c r="Y152" t="inlineStr">
        <is>
          <t>MXN</t>
        </is>
      </c>
      <c r="Z152" t="inlineStr">
        <is>
          <t>M3</t>
        </is>
      </c>
      <c r="AC152" t="n">
        <v>56103637</v>
      </c>
      <c r="AD152" t="n">
        <v>6622261540</v>
      </c>
      <c r="AE152" t="n">
        <v>1</v>
      </c>
      <c r="AF152" t="inlineStr">
        <is>
          <t>ENTREGADO</t>
        </is>
      </c>
      <c r="AG152" t="n">
        <v>1.447</v>
      </c>
      <c r="AH152" t="inlineStr">
        <is>
          <t>M3</t>
        </is>
      </c>
      <c r="AI152" t="inlineStr">
        <is>
          <t>X</t>
        </is>
      </c>
      <c r="AJ152" t="n">
        <v>4</v>
      </c>
      <c r="AK152" t="inlineStr">
        <is>
          <t>V4</t>
        </is>
      </c>
      <c r="AL152" t="n">
        <v>20230920</v>
      </c>
      <c r="AM152" t="inlineStr">
        <is>
          <t>D836-900006350-10000811</t>
        </is>
      </c>
    </row>
    <row r="153">
      <c r="A153" t="inlineStr">
        <is>
          <t>900006350D83610000624</t>
        </is>
      </c>
      <c r="B153" t="inlineStr">
        <is>
          <t>4600045798-40</t>
        </is>
      </c>
      <c r="C153" t="n">
        <v>4600045798</v>
      </c>
      <c r="D153" t="n">
        <v>40</v>
      </c>
      <c r="E153" t="inlineStr">
        <is>
          <t>MXPO</t>
        </is>
      </c>
      <c r="F153" t="inlineStr">
        <is>
          <t>MXL</t>
        </is>
      </c>
      <c r="G153" t="n">
        <v>900006350</v>
      </c>
      <c r="H153" t="inlineStr">
        <is>
          <t>SF TP-HUDASA CONEJOS</t>
        </is>
      </c>
      <c r="I153" t="n">
        <v>5054686</v>
      </c>
      <c r="J153" t="inlineStr">
        <is>
          <t>GRUPO MERCANTIL HUDASA SA DE CV</t>
        </is>
      </c>
      <c r="K153" t="inlineStr">
        <is>
          <t>N90</t>
        </is>
      </c>
      <c r="L153" t="inlineStr">
        <is>
          <t>(AP) NAFIN 90 Dias</t>
        </is>
      </c>
      <c r="M153" t="n">
        <v>10000624</v>
      </c>
      <c r="N153" t="inlineStr">
        <is>
          <t>Grava Triturada Caliza 40 mm - 1 1/2"</t>
        </is>
      </c>
      <c r="O153" t="inlineStr">
        <is>
          <t>D836</t>
        </is>
      </c>
      <c r="P153" t="inlineStr">
        <is>
          <t>MX-CED. CENTRO</t>
        </is>
      </c>
      <c r="Q153" t="n">
        <v>20191018</v>
      </c>
      <c r="R153" t="n">
        <v>20241231</v>
      </c>
      <c r="S153" t="n">
        <v>20191018</v>
      </c>
      <c r="T153" t="n">
        <v>20241231</v>
      </c>
      <c r="U153" t="n">
        <v>128</v>
      </c>
      <c r="V153" t="inlineStr">
        <is>
          <t>MXN</t>
        </is>
      </c>
      <c r="W153" t="inlineStr">
        <is>
          <t>M3</t>
        </is>
      </c>
      <c r="X153" t="n">
        <v>0</v>
      </c>
      <c r="Y153" t="inlineStr">
        <is>
          <t>MXN</t>
        </is>
      </c>
      <c r="Z153" t="inlineStr">
        <is>
          <t>M3</t>
        </is>
      </c>
      <c r="AC153" t="n">
        <v>56103637</v>
      </c>
      <c r="AD153" t="n">
        <v>6622261540</v>
      </c>
      <c r="AE153" t="n">
        <v>1</v>
      </c>
      <c r="AF153" t="inlineStr">
        <is>
          <t>ENTREGADO</t>
        </is>
      </c>
      <c r="AG153" t="n">
        <v>1.45</v>
      </c>
      <c r="AH153" t="inlineStr">
        <is>
          <t>M3</t>
        </is>
      </c>
      <c r="AI153" t="inlineStr">
        <is>
          <t>X</t>
        </is>
      </c>
      <c r="AJ153" t="n">
        <v>4</v>
      </c>
      <c r="AK153" t="inlineStr">
        <is>
          <t>V4</t>
        </is>
      </c>
      <c r="AL153" t="n">
        <v>20230920</v>
      </c>
      <c r="AM153" t="inlineStr">
        <is>
          <t>D836-900006350-10000624</t>
        </is>
      </c>
    </row>
    <row r="154">
      <c r="A154" t="inlineStr">
        <is>
          <t>900007650D83610057633</t>
        </is>
      </c>
      <c r="B154" t="inlineStr">
        <is>
          <t>4600054225-20</t>
        </is>
      </c>
      <c r="C154" t="n">
        <v>4600054225</v>
      </c>
      <c r="D154" t="n">
        <v>20</v>
      </c>
      <c r="E154" t="inlineStr">
        <is>
          <t>MXPO</t>
        </is>
      </c>
      <c r="F154" t="inlineStr">
        <is>
          <t>MXL</t>
        </is>
      </c>
      <c r="G154" t="n">
        <v>900007650</v>
      </c>
      <c r="H154" t="inlineStr">
        <is>
          <t>SF TP-SAN ROMULO</t>
        </is>
      </c>
      <c r="I154" t="n">
        <v>5078107</v>
      </c>
      <c r="J154" t="inlineStr">
        <is>
          <t>MARTINEZ VILLEGAS SA DE CV</t>
        </is>
      </c>
      <c r="K154" t="inlineStr">
        <is>
          <t>Z04</t>
        </is>
      </c>
      <c r="L154" t="inlineStr">
        <is>
          <t>(AP) 30 Dias</t>
        </is>
      </c>
      <c r="M154" t="n">
        <v>10057633</v>
      </c>
      <c r="N154" t="inlineStr">
        <is>
          <t>Grava Triturada Basalto 10 mm - 3/8"</t>
        </is>
      </c>
      <c r="O154" t="inlineStr">
        <is>
          <t>D836</t>
        </is>
      </c>
      <c r="P154" t="inlineStr">
        <is>
          <t>MX-CED. CENTRO</t>
        </is>
      </c>
      <c r="Q154" t="n">
        <v>20220615</v>
      </c>
      <c r="R154" t="n">
        <v>20281231</v>
      </c>
      <c r="S154" t="n">
        <v>20221110</v>
      </c>
      <c r="T154" t="n">
        <v>20271110</v>
      </c>
      <c r="U154" t="n">
        <v>310</v>
      </c>
      <c r="V154" t="inlineStr">
        <is>
          <t>MXN</t>
        </is>
      </c>
      <c r="W154" t="inlineStr">
        <is>
          <t>M3</t>
        </is>
      </c>
      <c r="X154" t="n">
        <v>0</v>
      </c>
      <c r="Y154" t="inlineStr">
        <is>
          <t>MXN</t>
        </is>
      </c>
      <c r="Z154" t="inlineStr">
        <is>
          <t>M3</t>
        </is>
      </c>
      <c r="AC154" t="n">
        <v>56103637</v>
      </c>
      <c r="AD154" t="n">
        <v>6622261540</v>
      </c>
      <c r="AE154" t="n">
        <v>1</v>
      </c>
      <c r="AF154" t="inlineStr">
        <is>
          <t>ENTREGADO</t>
        </is>
      </c>
      <c r="AG154" t="n">
        <v>1.292</v>
      </c>
      <c r="AH154" t="inlineStr">
        <is>
          <t>M3</t>
        </is>
      </c>
      <c r="AI154" t="inlineStr">
        <is>
          <t>X</t>
        </is>
      </c>
      <c r="AJ154" t="n">
        <v>4</v>
      </c>
      <c r="AK154" t="inlineStr">
        <is>
          <t>V4</t>
        </is>
      </c>
      <c r="AL154" t="n">
        <v>20230920</v>
      </c>
      <c r="AM154" t="inlineStr">
        <is>
          <t>D836-900007650-10057633</t>
        </is>
      </c>
    </row>
    <row r="155">
      <c r="A155" t="inlineStr">
        <is>
          <t>900007650D83610128752</t>
        </is>
      </c>
      <c r="B155" t="inlineStr">
        <is>
          <t>4600054225-30</t>
        </is>
      </c>
      <c r="C155" t="n">
        <v>4600054225</v>
      </c>
      <c r="D155" t="n">
        <v>30</v>
      </c>
      <c r="E155" t="inlineStr">
        <is>
          <t>MXPO</t>
        </is>
      </c>
      <c r="F155" t="inlineStr">
        <is>
          <t>MXL</t>
        </is>
      </c>
      <c r="G155" t="n">
        <v>900007650</v>
      </c>
      <c r="H155" t="inlineStr">
        <is>
          <t>SF TP-SAN ROMULO</t>
        </is>
      </c>
      <c r="I155" t="n">
        <v>5078107</v>
      </c>
      <c r="J155" t="inlineStr">
        <is>
          <t>MARTINEZ VILLEGAS SA DE CV</t>
        </is>
      </c>
      <c r="K155" t="inlineStr">
        <is>
          <t>Z04</t>
        </is>
      </c>
      <c r="L155" t="inlineStr">
        <is>
          <t>(AP) 30 Dias</t>
        </is>
      </c>
      <c r="M155" t="n">
        <v>10128752</v>
      </c>
      <c r="N155" t="inlineStr">
        <is>
          <t>GRAVA TRITURADA BASALTO 40 MM - 1 1/2"</t>
        </is>
      </c>
      <c r="O155" t="inlineStr">
        <is>
          <t>D836</t>
        </is>
      </c>
      <c r="P155" t="inlineStr">
        <is>
          <t>MX-CED. CENTRO</t>
        </is>
      </c>
      <c r="Q155" t="n">
        <v>20220615</v>
      </c>
      <c r="R155" t="n">
        <v>20281231</v>
      </c>
      <c r="S155" t="n">
        <v>20230130</v>
      </c>
      <c r="T155" t="n">
        <v>20271231</v>
      </c>
      <c r="U155" t="n">
        <v>325</v>
      </c>
      <c r="V155" t="inlineStr">
        <is>
          <t>MXN</t>
        </is>
      </c>
      <c r="W155" t="inlineStr">
        <is>
          <t>M3</t>
        </is>
      </c>
      <c r="X155" t="n">
        <v>0</v>
      </c>
      <c r="Y155" t="inlineStr">
        <is>
          <t>MXN</t>
        </is>
      </c>
      <c r="Z155" t="inlineStr">
        <is>
          <t>M3</t>
        </is>
      </c>
      <c r="AC155" t="n">
        <v>56103637</v>
      </c>
      <c r="AD155" t="n">
        <v>6622261540</v>
      </c>
      <c r="AE155" t="n">
        <v>1</v>
      </c>
      <c r="AF155" t="inlineStr">
        <is>
          <t>ENTREGADO</t>
        </is>
      </c>
      <c r="AG155" t="n">
        <v>1.41</v>
      </c>
      <c r="AH155" t="inlineStr">
        <is>
          <t>M3</t>
        </is>
      </c>
      <c r="AI155" t="inlineStr">
        <is>
          <t>X</t>
        </is>
      </c>
      <c r="AJ155" t="n">
        <v>4</v>
      </c>
      <c r="AK155" t="inlineStr">
        <is>
          <t>V4</t>
        </is>
      </c>
      <c r="AL155" t="n">
        <v>20230920</v>
      </c>
      <c r="AM155" t="inlineStr">
        <is>
          <t>D836-900007650-10128752</t>
        </is>
      </c>
    </row>
    <row r="156">
      <c r="A156" t="inlineStr">
        <is>
          <t>900007650D83610000301</t>
        </is>
      </c>
      <c r="B156" t="inlineStr">
        <is>
          <t>4600054225-50</t>
        </is>
      </c>
      <c r="C156" t="n">
        <v>4600054225</v>
      </c>
      <c r="D156" t="n">
        <v>50</v>
      </c>
      <c r="E156" t="inlineStr">
        <is>
          <t>MXPO</t>
        </is>
      </c>
      <c r="F156" t="inlineStr">
        <is>
          <t>MXL</t>
        </is>
      </c>
      <c r="G156" t="n">
        <v>900007650</v>
      </c>
      <c r="H156" t="inlineStr">
        <is>
          <t>SF TP-SAN ROMULO</t>
        </is>
      </c>
      <c r="I156" t="n">
        <v>5078107</v>
      </c>
      <c r="J156" t="inlineStr">
        <is>
          <t>MARTINEZ VILLEGAS SA DE CV</t>
        </is>
      </c>
      <c r="K156" t="inlineStr">
        <is>
          <t>Z04</t>
        </is>
      </c>
      <c r="L156" t="inlineStr">
        <is>
          <t>(AP) 30 Dias</t>
        </is>
      </c>
      <c r="M156" t="n">
        <v>10000301</v>
      </c>
      <c r="N156" t="inlineStr">
        <is>
          <t>BALASTO DE 3 PULGADAS A FINOS</t>
        </is>
      </c>
      <c r="O156" t="inlineStr">
        <is>
          <t>D836</t>
        </is>
      </c>
      <c r="P156" t="inlineStr">
        <is>
          <t>MX-CED. CENTRO</t>
        </is>
      </c>
      <c r="Q156" t="n">
        <v>20220615</v>
      </c>
      <c r="R156" t="n">
        <v>20281231</v>
      </c>
      <c r="S156" t="n">
        <v>20230721</v>
      </c>
      <c r="T156" t="n">
        <v>20281231</v>
      </c>
      <c r="U156" t="n">
        <v>340</v>
      </c>
      <c r="V156" t="inlineStr">
        <is>
          <t>MXN</t>
        </is>
      </c>
      <c r="W156" t="inlineStr">
        <is>
          <t>M3</t>
        </is>
      </c>
      <c r="X156" t="n">
        <v>0</v>
      </c>
      <c r="Y156" t="inlineStr">
        <is>
          <t>MXN</t>
        </is>
      </c>
      <c r="Z156" t="inlineStr">
        <is>
          <t>M3</t>
        </is>
      </c>
      <c r="AC156" t="n">
        <v>56103591</v>
      </c>
      <c r="AD156" t="n">
        <v>6622261540</v>
      </c>
      <c r="AE156" t="n">
        <v>1</v>
      </c>
      <c r="AF156" t="inlineStr">
        <is>
          <t>ENTREGADO</t>
        </is>
      </c>
      <c r="AG156" t="n">
        <v>1.773</v>
      </c>
      <c r="AH156" t="inlineStr">
        <is>
          <t>M3</t>
        </is>
      </c>
      <c r="AI156" t="inlineStr">
        <is>
          <t>X</t>
        </is>
      </c>
      <c r="AJ156" t="n">
        <v>4</v>
      </c>
      <c r="AK156" t="inlineStr">
        <is>
          <t>V4</t>
        </is>
      </c>
      <c r="AL156" t="n">
        <v>20230920</v>
      </c>
      <c r="AM156" t="inlineStr">
        <is>
          <t>D836-900007650-10000301</t>
        </is>
      </c>
    </row>
    <row r="157">
      <c r="A157" t="inlineStr">
        <is>
          <t>900007650D83610000284</t>
        </is>
      </c>
      <c r="B157" t="inlineStr">
        <is>
          <t>4600054225-10</t>
        </is>
      </c>
      <c r="C157" t="n">
        <v>4600054225</v>
      </c>
      <c r="D157" t="n">
        <v>10</v>
      </c>
      <c r="E157" t="inlineStr">
        <is>
          <t>MXPO</t>
        </is>
      </c>
      <c r="F157" t="inlineStr">
        <is>
          <t>MXL</t>
        </is>
      </c>
      <c r="G157" t="n">
        <v>900007650</v>
      </c>
      <c r="H157" t="inlineStr">
        <is>
          <t>SF TP-SAN ROMULO</t>
        </is>
      </c>
      <c r="I157" t="n">
        <v>5078107</v>
      </c>
      <c r="J157" t="inlineStr">
        <is>
          <t>MARTINEZ VILLEGAS SA DE CV</t>
        </is>
      </c>
      <c r="K157" t="inlineStr">
        <is>
          <t>Z04</t>
        </is>
      </c>
      <c r="L157" t="inlineStr">
        <is>
          <t>(AP) 30 Dias</t>
        </is>
      </c>
      <c r="M157" t="n">
        <v>10000284</v>
      </c>
      <c r="N157" t="inlineStr">
        <is>
          <t>Grava Triturada Basalto  20 mm - 3/4"</t>
        </is>
      </c>
      <c r="O157" t="inlineStr">
        <is>
          <t>D836</t>
        </is>
      </c>
      <c r="P157" t="inlineStr">
        <is>
          <t>MX-CED. CENTRO</t>
        </is>
      </c>
      <c r="Q157" t="n">
        <v>20220615</v>
      </c>
      <c r="R157" t="n">
        <v>20281231</v>
      </c>
      <c r="S157" t="n">
        <v>20220615</v>
      </c>
      <c r="T157" t="n">
        <v>20271231</v>
      </c>
      <c r="U157" t="n">
        <v>310</v>
      </c>
      <c r="V157" t="inlineStr">
        <is>
          <t>MXN</t>
        </is>
      </c>
      <c r="W157" t="inlineStr">
        <is>
          <t>M3</t>
        </is>
      </c>
      <c r="X157" t="n">
        <v>0</v>
      </c>
      <c r="Y157" t="inlineStr">
        <is>
          <t>MXN</t>
        </is>
      </c>
      <c r="Z157" t="inlineStr">
        <is>
          <t>M3</t>
        </is>
      </c>
      <c r="AC157" t="n">
        <v>56103637</v>
      </c>
      <c r="AD157" t="n">
        <v>6622261867</v>
      </c>
      <c r="AE157" t="n">
        <v>1</v>
      </c>
      <c r="AF157" t="inlineStr">
        <is>
          <t>ENTREGADO</t>
        </is>
      </c>
      <c r="AG157" t="n">
        <v>1.429</v>
      </c>
      <c r="AH157" t="inlineStr">
        <is>
          <t>M3</t>
        </is>
      </c>
      <c r="AI157" t="inlineStr">
        <is>
          <t>X</t>
        </is>
      </c>
      <c r="AJ157" t="n">
        <v>4</v>
      </c>
      <c r="AK157" t="inlineStr">
        <is>
          <t>V4</t>
        </is>
      </c>
      <c r="AL157" t="n">
        <v>20230920</v>
      </c>
      <c r="AM157" t="inlineStr">
        <is>
          <t>D836-900007650-10000284</t>
        </is>
      </c>
    </row>
    <row r="158">
      <c r="A158" t="inlineStr">
        <is>
          <t>900006542D8366689746010000651</t>
        </is>
      </c>
      <c r="B158" t="inlineStr">
        <is>
          <t>4600047341-250</t>
        </is>
      </c>
      <c r="C158" t="n">
        <v>4600047341</v>
      </c>
      <c r="D158" t="n">
        <v>250</v>
      </c>
      <c r="E158" t="inlineStr">
        <is>
          <t>MXPO</t>
        </is>
      </c>
      <c r="F158" t="inlineStr">
        <is>
          <t>MXL</t>
        </is>
      </c>
      <c r="G158" t="n">
        <v>900006542</v>
      </c>
      <c r="H158" t="inlineStr">
        <is>
          <t>TP-OLIELL TORTON</t>
        </is>
      </c>
      <c r="I158" t="n">
        <v>5048484</v>
      </c>
      <c r="J158" t="inlineStr">
        <is>
          <t>COMERCIALIZADORA Y TRANSPORTADORA O</t>
        </is>
      </c>
      <c r="K158" t="inlineStr">
        <is>
          <t>N90</t>
        </is>
      </c>
      <c r="L158" t="inlineStr">
        <is>
          <t>(AP) NAFIN 90 Dias</t>
        </is>
      </c>
      <c r="M158" t="n">
        <v>10000651</v>
      </c>
      <c r="N158" t="inlineStr">
        <is>
          <t>Arena Triturada Andesita Malla 8</t>
        </is>
      </c>
      <c r="O158" t="inlineStr">
        <is>
          <t>D836</t>
        </is>
      </c>
      <c r="P158" t="inlineStr">
        <is>
          <t>MX-CED. CENTRO</t>
        </is>
      </c>
      <c r="Q158" t="n">
        <v>20200615</v>
      </c>
      <c r="R158" t="n">
        <v>20281231</v>
      </c>
      <c r="S158" t="n">
        <v>20201103</v>
      </c>
      <c r="T158" t="n">
        <v>20291231</v>
      </c>
      <c r="U158" t="n">
        <v>245</v>
      </c>
      <c r="V158" t="inlineStr">
        <is>
          <t>MXN</t>
        </is>
      </c>
      <c r="W158" t="inlineStr">
        <is>
          <t>M3</t>
        </is>
      </c>
      <c r="X158" t="n">
        <v>145</v>
      </c>
      <c r="Y158" t="inlineStr">
        <is>
          <t>MXN</t>
        </is>
      </c>
      <c r="Z158" t="inlineStr">
        <is>
          <t>M3</t>
        </is>
      </c>
      <c r="AA158" t="inlineStr">
        <is>
          <t>66897460</t>
        </is>
      </c>
      <c r="AB158" t="inlineStr">
        <is>
          <t>AV. CENTRAL ESQ AV 412</t>
        </is>
      </c>
      <c r="AC158" t="n">
        <v>56103638</v>
      </c>
      <c r="AD158" t="n">
        <v>6622261540</v>
      </c>
      <c r="AE158" t="n">
        <v>4</v>
      </c>
      <c r="AF158" t="inlineStr">
        <is>
          <t>ENTREGA DIRECTA</t>
        </is>
      </c>
      <c r="AG158" t="n">
        <v>1.35</v>
      </c>
      <c r="AH158" t="inlineStr">
        <is>
          <t>M3</t>
        </is>
      </c>
      <c r="AI158" t="inlineStr">
        <is>
          <t>X</t>
        </is>
      </c>
      <c r="AJ158" t="n">
        <v>4</v>
      </c>
      <c r="AK158" t="inlineStr">
        <is>
          <t>V4</t>
        </is>
      </c>
      <c r="AL158" t="n">
        <v>20230920</v>
      </c>
      <c r="AM158" t="inlineStr">
        <is>
          <t>D836-900006542-66897460-10000651-4</t>
        </is>
      </c>
    </row>
    <row r="159">
      <c r="A159" t="inlineStr">
        <is>
          <t>900004323D8366515582010000160</t>
        </is>
      </c>
      <c r="B159" t="inlineStr">
        <is>
          <t>4600039874-60</t>
        </is>
      </c>
      <c r="C159" t="n">
        <v>4600039874</v>
      </c>
      <c r="D159" t="n">
        <v>60</v>
      </c>
      <c r="E159" t="inlineStr">
        <is>
          <t>MXPO</t>
        </is>
      </c>
      <c r="F159" t="inlineStr">
        <is>
          <t>MXL</t>
        </is>
      </c>
      <c r="G159" t="n">
        <v>900004323</v>
      </c>
      <c r="H159" t="inlineStr">
        <is>
          <t>TP-LAS TRANCAS</t>
        </is>
      </c>
      <c r="I159" t="n">
        <v>5047262</v>
      </c>
      <c r="J159" t="inlineStr">
        <is>
          <t>AGREGADOS PETREOS SAN CRISTOBAL</t>
        </is>
      </c>
      <c r="K159" t="inlineStr">
        <is>
          <t>Z03</t>
        </is>
      </c>
      <c r="L159" t="inlineStr">
        <is>
          <t>(AP) 15 Dias</t>
        </is>
      </c>
      <c r="M159" t="n">
        <v>10000160</v>
      </c>
      <c r="N159" t="inlineStr">
        <is>
          <t>Arena Triturada Andesita Malla 4</t>
        </is>
      </c>
      <c r="O159" t="inlineStr">
        <is>
          <t>D836</t>
        </is>
      </c>
      <c r="P159" t="inlineStr">
        <is>
          <t>MX-CED. CENTRO</t>
        </is>
      </c>
      <c r="Q159" t="n">
        <v>20170927</v>
      </c>
      <c r="R159" t="n">
        <v>20281231</v>
      </c>
      <c r="S159" t="n">
        <v>20180824</v>
      </c>
      <c r="T159" t="n">
        <v>20241231</v>
      </c>
      <c r="U159" t="n">
        <v>185</v>
      </c>
      <c r="V159" t="inlineStr">
        <is>
          <t>MXN</t>
        </is>
      </c>
      <c r="W159" t="inlineStr">
        <is>
          <t>M3</t>
        </is>
      </c>
      <c r="X159" t="n">
        <v>108</v>
      </c>
      <c r="Y159" t="inlineStr">
        <is>
          <t>MXN</t>
        </is>
      </c>
      <c r="Z159" t="inlineStr">
        <is>
          <t>M3</t>
        </is>
      </c>
      <c r="AA159" t="inlineStr">
        <is>
          <t>65155820</t>
        </is>
      </c>
      <c r="AB159" t="inlineStr">
        <is>
          <t>GRUPO CASA BLANCA SAN LUIS</t>
        </is>
      </c>
      <c r="AC159" t="n">
        <v>56103638</v>
      </c>
      <c r="AD159" t="n">
        <v>6622261540</v>
      </c>
      <c r="AE159" t="n">
        <v>4</v>
      </c>
      <c r="AF159" t="inlineStr">
        <is>
          <t>ENTREGA DIRECTA</t>
        </is>
      </c>
      <c r="AG159" t="n">
        <v>1.409</v>
      </c>
      <c r="AH159" t="inlineStr">
        <is>
          <t>M3</t>
        </is>
      </c>
      <c r="AI159" t="inlineStr">
        <is>
          <t>X</t>
        </is>
      </c>
      <c r="AJ159" t="n">
        <v>4</v>
      </c>
      <c r="AK159" t="inlineStr">
        <is>
          <t>V4</t>
        </is>
      </c>
      <c r="AL159" t="n">
        <v>20230920</v>
      </c>
      <c r="AM159" t="inlineStr">
        <is>
          <t>D836-900004323-65155820-10000160-4</t>
        </is>
      </c>
    </row>
    <row r="160">
      <c r="A160" t="inlineStr">
        <is>
          <t>900006542D8366689746010154416</t>
        </is>
      </c>
      <c r="B160" t="inlineStr">
        <is>
          <t>4600047341-260</t>
        </is>
      </c>
      <c r="C160" t="n">
        <v>4600047341</v>
      </c>
      <c r="D160" t="n">
        <v>260</v>
      </c>
      <c r="E160" t="inlineStr">
        <is>
          <t>MXPO</t>
        </is>
      </c>
      <c r="F160" t="inlineStr">
        <is>
          <t>MXL</t>
        </is>
      </c>
      <c r="G160" t="n">
        <v>900006542</v>
      </c>
      <c r="H160" t="inlineStr">
        <is>
          <t>TP-OLIELL TORTON</t>
        </is>
      </c>
      <c r="I160" t="n">
        <v>5048484</v>
      </c>
      <c r="J160" t="inlineStr">
        <is>
          <t>COMERCIALIZADORA Y TRANSPORTADORA O</t>
        </is>
      </c>
      <c r="K160" t="inlineStr">
        <is>
          <t>N90</t>
        </is>
      </c>
      <c r="L160" t="inlineStr">
        <is>
          <t>(AP) NAFIN 90 Dias</t>
        </is>
      </c>
      <c r="M160" t="n">
        <v>10154416</v>
      </c>
      <c r="N160" t="inlineStr">
        <is>
          <t>GRAVA TEZONTLE DE 1 ½ A 2”</t>
        </is>
      </c>
      <c r="O160" t="inlineStr">
        <is>
          <t>D836</t>
        </is>
      </c>
      <c r="P160" t="inlineStr">
        <is>
          <t>MX-CED. CENTRO</t>
        </is>
      </c>
      <c r="Q160" t="n">
        <v>20200615</v>
      </c>
      <c r="R160" t="n">
        <v>20281231</v>
      </c>
      <c r="S160" t="n">
        <v>20201103</v>
      </c>
      <c r="T160" t="n">
        <v>20291231</v>
      </c>
      <c r="U160" t="n">
        <v>260</v>
      </c>
      <c r="V160" t="inlineStr">
        <is>
          <t>MXN</t>
        </is>
      </c>
      <c r="W160" t="inlineStr">
        <is>
          <t>M3</t>
        </is>
      </c>
      <c r="X160" t="n">
        <v>145</v>
      </c>
      <c r="Y160" t="inlineStr">
        <is>
          <t>MXN</t>
        </is>
      </c>
      <c r="Z160" t="inlineStr">
        <is>
          <t>M3</t>
        </is>
      </c>
      <c r="AA160" t="inlineStr">
        <is>
          <t>66897460</t>
        </is>
      </c>
      <c r="AB160" t="inlineStr">
        <is>
          <t>AV. CENTRAL ESQ AV 412</t>
        </is>
      </c>
      <c r="AC160" t="n">
        <v>56103637</v>
      </c>
      <c r="AD160" t="n">
        <v>6622261540</v>
      </c>
      <c r="AE160" t="n">
        <v>4</v>
      </c>
      <c r="AF160" t="inlineStr">
        <is>
          <t>ENTREGA DIRECTA</t>
        </is>
      </c>
      <c r="AG160" t="n">
        <v>1.3</v>
      </c>
      <c r="AH160" t="inlineStr">
        <is>
          <t>M3</t>
        </is>
      </c>
      <c r="AI160" t="inlineStr">
        <is>
          <t>X</t>
        </is>
      </c>
      <c r="AJ160" t="n">
        <v>4</v>
      </c>
      <c r="AK160" t="inlineStr">
        <is>
          <t>V4</t>
        </is>
      </c>
      <c r="AL160" t="n">
        <v>20230920</v>
      </c>
      <c r="AM160" t="inlineStr">
        <is>
          <t>D836-900006542-66897460-10154416-4</t>
        </is>
      </c>
    </row>
    <row r="161">
      <c r="A161" t="inlineStr">
        <is>
          <t>900006950D8366695831210000160</t>
        </is>
      </c>
      <c r="B161" t="inlineStr">
        <is>
          <t>4600048579-100</t>
        </is>
      </c>
      <c r="C161" t="n">
        <v>4600048579</v>
      </c>
      <c r="D161" t="n">
        <v>100</v>
      </c>
      <c r="E161" t="inlineStr">
        <is>
          <t>MXPO</t>
        </is>
      </c>
      <c r="F161" t="inlineStr">
        <is>
          <t>MXL</t>
        </is>
      </c>
      <c r="G161" t="n">
        <v>900006950</v>
      </c>
      <c r="H161" t="inlineStr">
        <is>
          <t>SF TP-ED-OLIELL GONDOLA</t>
        </is>
      </c>
      <c r="I161" t="n">
        <v>5048484</v>
      </c>
      <c r="J161" t="inlineStr">
        <is>
          <t>COMERCIALIZADORA Y TRANSPORTADORA O</t>
        </is>
      </c>
      <c r="K161" t="inlineStr">
        <is>
          <t>N90</t>
        </is>
      </c>
      <c r="L161" t="inlineStr">
        <is>
          <t>(AP) NAFIN 90 Dias</t>
        </is>
      </c>
      <c r="M161" t="n">
        <v>10000160</v>
      </c>
      <c r="N161" t="inlineStr">
        <is>
          <t>Arena Triturada Andesita Malla 4</t>
        </is>
      </c>
      <c r="O161" t="inlineStr">
        <is>
          <t>D836</t>
        </is>
      </c>
      <c r="P161" t="inlineStr">
        <is>
          <t>MX-CED. CENTRO</t>
        </is>
      </c>
      <c r="Q161" t="n">
        <v>20201201</v>
      </c>
      <c r="R161" t="n">
        <v>20291231</v>
      </c>
      <c r="S161" t="n">
        <v>20211013</v>
      </c>
      <c r="T161" t="n">
        <v>20261231</v>
      </c>
      <c r="U161" t="n">
        <v>185</v>
      </c>
      <c r="V161" t="inlineStr">
        <is>
          <t>MXN</t>
        </is>
      </c>
      <c r="W161" t="inlineStr">
        <is>
          <t>M3</t>
        </is>
      </c>
      <c r="X161" t="n">
        <v>65</v>
      </c>
      <c r="Y161" t="inlineStr">
        <is>
          <t>MXN</t>
        </is>
      </c>
      <c r="Z161" t="inlineStr">
        <is>
          <t>M3</t>
        </is>
      </c>
      <c r="AA161" t="inlineStr">
        <is>
          <t>66958312</t>
        </is>
      </c>
      <c r="AB161" t="inlineStr">
        <is>
          <t>CEDIS TLALPIZAHUAC</t>
        </is>
      </c>
      <c r="AC161" t="n">
        <v>56103638</v>
      </c>
      <c r="AD161" t="n">
        <v>6622261540</v>
      </c>
      <c r="AE161" t="n">
        <v>4</v>
      </c>
      <c r="AF161" t="inlineStr">
        <is>
          <t>ENTREGA DIRECTA</t>
        </is>
      </c>
      <c r="AG161" t="n">
        <v>1.409</v>
      </c>
      <c r="AH161" t="inlineStr">
        <is>
          <t>M3</t>
        </is>
      </c>
      <c r="AI161" t="inlineStr">
        <is>
          <t>X</t>
        </is>
      </c>
      <c r="AJ161" t="n">
        <v>4</v>
      </c>
      <c r="AK161" t="inlineStr">
        <is>
          <t>V4</t>
        </is>
      </c>
      <c r="AL161" t="n">
        <v>20230920</v>
      </c>
      <c r="AM161" t="inlineStr">
        <is>
          <t>D836-900006950-66958312-10000160-4</t>
        </is>
      </c>
    </row>
    <row r="162">
      <c r="A162" t="inlineStr">
        <is>
          <t>900001074D8366515582010000160</t>
        </is>
      </c>
      <c r="B162" t="inlineStr">
        <is>
          <t>4600027573-240</t>
        </is>
      </c>
      <c r="C162" t="n">
        <v>4600027573</v>
      </c>
      <c r="D162" t="n">
        <v>240</v>
      </c>
      <c r="E162" t="inlineStr">
        <is>
          <t>MXPO</t>
        </is>
      </c>
      <c r="F162" t="inlineStr">
        <is>
          <t>M02</t>
        </is>
      </c>
      <c r="G162" t="n">
        <v>900001074</v>
      </c>
      <c r="H162" t="inlineStr">
        <is>
          <t>TP-TRIVOMEX</t>
        </is>
      </c>
      <c r="I162" t="n">
        <v>5033501</v>
      </c>
      <c r="J162" t="inlineStr">
        <is>
          <t>TRITURADOS VOLCANICOS DE MEXICO</t>
        </is>
      </c>
      <c r="K162" t="inlineStr">
        <is>
          <t>Z04</t>
        </is>
      </c>
      <c r="L162" t="inlineStr">
        <is>
          <t>(AP) 30 Dias</t>
        </is>
      </c>
      <c r="M162" t="n">
        <v>10000160</v>
      </c>
      <c r="N162" t="inlineStr">
        <is>
          <t>Arena Triturada Andesita Malla 4</t>
        </is>
      </c>
      <c r="O162" t="inlineStr">
        <is>
          <t>D836</t>
        </is>
      </c>
      <c r="P162" t="inlineStr">
        <is>
          <t>MX-CED. CENTRO</t>
        </is>
      </c>
      <c r="Q162" t="n">
        <v>20140701</v>
      </c>
      <c r="R162" t="n">
        <v>20291231</v>
      </c>
      <c r="S162" t="n">
        <v>20180824</v>
      </c>
      <c r="T162" t="n">
        <v>20241231</v>
      </c>
      <c r="U162" t="n">
        <v>185</v>
      </c>
      <c r="V162" t="inlineStr">
        <is>
          <t>MXN</t>
        </is>
      </c>
      <c r="W162" t="inlineStr">
        <is>
          <t>M3</t>
        </is>
      </c>
      <c r="X162" t="n">
        <v>108</v>
      </c>
      <c r="Y162" t="inlineStr">
        <is>
          <t>MXN</t>
        </is>
      </c>
      <c r="Z162" t="inlineStr">
        <is>
          <t>M3</t>
        </is>
      </c>
      <c r="AA162" t="inlineStr">
        <is>
          <t>65155820</t>
        </is>
      </c>
      <c r="AB162" t="inlineStr">
        <is>
          <t>GRUPO CASA BLANCA SAN LUIS</t>
        </is>
      </c>
      <c r="AC162" t="n">
        <v>56103638</v>
      </c>
      <c r="AD162" t="n">
        <v>6622261540</v>
      </c>
      <c r="AE162" t="n">
        <v>4</v>
      </c>
      <c r="AF162" t="inlineStr">
        <is>
          <t>ENTREGA DIRECTA</t>
        </is>
      </c>
      <c r="AG162" t="n">
        <v>1.409</v>
      </c>
      <c r="AH162" t="inlineStr">
        <is>
          <t>M3</t>
        </is>
      </c>
      <c r="AI162" t="inlineStr">
        <is>
          <t>X</t>
        </is>
      </c>
      <c r="AJ162" t="n">
        <v>4</v>
      </c>
      <c r="AK162" t="inlineStr">
        <is>
          <t>V4</t>
        </is>
      </c>
      <c r="AL162" t="n">
        <v>20230920</v>
      </c>
      <c r="AM162" t="inlineStr">
        <is>
          <t>D836-900001074-65155820-10000160-4</t>
        </is>
      </c>
    </row>
    <row r="163">
      <c r="A163" t="inlineStr">
        <is>
          <t>900006542D8366689746010183535</t>
        </is>
      </c>
      <c r="B163" t="inlineStr">
        <is>
          <t>4600047341-270</t>
        </is>
      </c>
      <c r="C163" t="n">
        <v>4600047341</v>
      </c>
      <c r="D163" t="n">
        <v>270</v>
      </c>
      <c r="E163" t="inlineStr">
        <is>
          <t>MXPO</t>
        </is>
      </c>
      <c r="F163" t="inlineStr">
        <is>
          <t>MXL</t>
        </is>
      </c>
      <c r="G163" t="n">
        <v>900006542</v>
      </c>
      <c r="H163" t="inlineStr">
        <is>
          <t>TP-OLIELL TORTON</t>
        </is>
      </c>
      <c r="I163" t="n">
        <v>5048484</v>
      </c>
      <c r="J163" t="inlineStr">
        <is>
          <t>COMERCIALIZADORA Y TRANSPORTADORA O</t>
        </is>
      </c>
      <c r="K163" t="inlineStr">
        <is>
          <t>N90</t>
        </is>
      </c>
      <c r="L163" t="inlineStr">
        <is>
          <t>(AP) NAFIN 90 Dias</t>
        </is>
      </c>
      <c r="M163" t="n">
        <v>10183535</v>
      </c>
      <c r="N163" t="inlineStr">
        <is>
          <t>BALASTO TRITURADO BASALTO 3" - 1"</t>
        </is>
      </c>
      <c r="O163" t="inlineStr">
        <is>
          <t>D836</t>
        </is>
      </c>
      <c r="P163" t="inlineStr">
        <is>
          <t>MX-CED. CENTRO</t>
        </is>
      </c>
      <c r="Q163" t="n">
        <v>20200615</v>
      </c>
      <c r="R163" t="n">
        <v>20281231</v>
      </c>
      <c r="S163" t="n">
        <v>20201103</v>
      </c>
      <c r="T163" t="n">
        <v>20291231</v>
      </c>
      <c r="U163" t="n">
        <v>330</v>
      </c>
      <c r="V163" t="inlineStr">
        <is>
          <t>MXN</t>
        </is>
      </c>
      <c r="W163" t="inlineStr">
        <is>
          <t>M3</t>
        </is>
      </c>
      <c r="X163" t="n">
        <v>145</v>
      </c>
      <c r="Y163" t="inlineStr">
        <is>
          <t>MXN</t>
        </is>
      </c>
      <c r="Z163" t="inlineStr">
        <is>
          <t>M3</t>
        </is>
      </c>
      <c r="AA163" t="inlineStr">
        <is>
          <t>66897460</t>
        </is>
      </c>
      <c r="AB163" t="inlineStr">
        <is>
          <t>AV. CENTRAL ESQ AV 412</t>
        </is>
      </c>
      <c r="AC163" t="n">
        <v>56103591</v>
      </c>
      <c r="AD163" t="n">
        <v>6622261540</v>
      </c>
      <c r="AE163" t="n">
        <v>4</v>
      </c>
      <c r="AF163" t="inlineStr">
        <is>
          <t>ENTREGA DIRECTA</t>
        </is>
      </c>
      <c r="AG163" t="n">
        <v>1.4</v>
      </c>
      <c r="AH163" t="inlineStr">
        <is>
          <t>M3</t>
        </is>
      </c>
      <c r="AI163" t="inlineStr">
        <is>
          <t>X</t>
        </is>
      </c>
      <c r="AJ163" t="n">
        <v>4</v>
      </c>
      <c r="AK163" t="inlineStr">
        <is>
          <t>V4</t>
        </is>
      </c>
      <c r="AL163" t="n">
        <v>20230920</v>
      </c>
      <c r="AM163" t="inlineStr">
        <is>
          <t>D836-900006542-66897460-10183535-4</t>
        </is>
      </c>
    </row>
    <row r="164">
      <c r="A164" t="inlineStr">
        <is>
          <t>900001074D8366501466410000160</t>
        </is>
      </c>
      <c r="B164" t="inlineStr">
        <is>
          <t>4600027573-260</t>
        </is>
      </c>
      <c r="C164" t="n">
        <v>4600027573</v>
      </c>
      <c r="D164" t="n">
        <v>260</v>
      </c>
      <c r="E164" t="inlineStr">
        <is>
          <t>MXPO</t>
        </is>
      </c>
      <c r="F164" t="inlineStr">
        <is>
          <t>M02</t>
        </is>
      </c>
      <c r="G164" t="n">
        <v>900001074</v>
      </c>
      <c r="H164" t="inlineStr">
        <is>
          <t>TP-TRIVOMEX</t>
        </is>
      </c>
      <c r="I164" t="n">
        <v>5033501</v>
      </c>
      <c r="J164" t="inlineStr">
        <is>
          <t>TRITURADOS VOLCANICOS DE MEXICO</t>
        </is>
      </c>
      <c r="K164" t="inlineStr">
        <is>
          <t>Z04</t>
        </is>
      </c>
      <c r="L164" t="inlineStr">
        <is>
          <t>(AP) 30 Dias</t>
        </is>
      </c>
      <c r="M164" t="n">
        <v>10000160</v>
      </c>
      <c r="N164" t="inlineStr">
        <is>
          <t>Arena Triturada Andesita Malla 4</t>
        </is>
      </c>
      <c r="O164" t="inlineStr">
        <is>
          <t>D836</t>
        </is>
      </c>
      <c r="P164" t="inlineStr">
        <is>
          <t>MX-CED. CENTRO</t>
        </is>
      </c>
      <c r="Q164" t="n">
        <v>20140701</v>
      </c>
      <c r="R164" t="n">
        <v>20291231</v>
      </c>
      <c r="S164" t="n">
        <v>20230301</v>
      </c>
      <c r="T164" t="n">
        <v>20281231</v>
      </c>
      <c r="U164" t="n">
        <v>174</v>
      </c>
      <c r="V164" t="inlineStr">
        <is>
          <t>MXN</t>
        </is>
      </c>
      <c r="W164" t="inlineStr">
        <is>
          <t>M3</t>
        </is>
      </c>
      <c r="X164" t="n">
        <v>78</v>
      </c>
      <c r="Y164" t="inlineStr">
        <is>
          <t>MXN</t>
        </is>
      </c>
      <c r="Z164" t="inlineStr">
        <is>
          <t>M3</t>
        </is>
      </c>
      <c r="AA164" t="inlineStr">
        <is>
          <t>65014664</t>
        </is>
      </c>
      <c r="AB164" t="inlineStr">
        <is>
          <t>OBR-AGR IBM (DLC)</t>
        </is>
      </c>
      <c r="AC164" t="n">
        <v>56103638</v>
      </c>
      <c r="AD164" t="n">
        <v>6622261540</v>
      </c>
      <c r="AE164" t="n">
        <v>4</v>
      </c>
      <c r="AF164" t="inlineStr">
        <is>
          <t>ENTREGA DIRECTA</t>
        </is>
      </c>
      <c r="AG164" t="n">
        <v>1.409</v>
      </c>
      <c r="AH164" t="inlineStr">
        <is>
          <t>M3</t>
        </is>
      </c>
      <c r="AI164" t="inlineStr">
        <is>
          <t>X</t>
        </is>
      </c>
      <c r="AJ164" t="n">
        <v>4</v>
      </c>
      <c r="AK164" t="inlineStr">
        <is>
          <t>V4</t>
        </is>
      </c>
      <c r="AL164" t="n">
        <v>20250701</v>
      </c>
      <c r="AM164" t="inlineStr">
        <is>
          <t>D836-900001074-65014664-10000160-4</t>
        </is>
      </c>
    </row>
    <row r="165">
      <c r="A165" t="inlineStr">
        <is>
          <t>900004323D8366501466410000160</t>
        </is>
      </c>
      <c r="B165" t="inlineStr">
        <is>
          <t>4600039874-120</t>
        </is>
      </c>
      <c r="C165" t="n">
        <v>4600039874</v>
      </c>
      <c r="D165" t="n">
        <v>120</v>
      </c>
      <c r="E165" t="inlineStr">
        <is>
          <t>MXPO</t>
        </is>
      </c>
      <c r="F165" t="inlineStr">
        <is>
          <t>MXL</t>
        </is>
      </c>
      <c r="G165" t="n">
        <v>900004323</v>
      </c>
      <c r="H165" t="inlineStr">
        <is>
          <t>TP-LAS TRANCAS</t>
        </is>
      </c>
      <c r="I165" t="n">
        <v>5047262</v>
      </c>
      <c r="J165" t="inlineStr">
        <is>
          <t>AGREGADOS PETREOS SAN CRISTOBAL</t>
        </is>
      </c>
      <c r="K165" t="inlineStr">
        <is>
          <t>Z03</t>
        </is>
      </c>
      <c r="L165" t="inlineStr">
        <is>
          <t>(AP) 15 Dias</t>
        </is>
      </c>
      <c r="M165" t="n">
        <v>10000160</v>
      </c>
      <c r="N165" t="inlineStr">
        <is>
          <t>Arena Triturada Andesita Malla 4</t>
        </is>
      </c>
      <c r="O165" t="inlineStr">
        <is>
          <t>D836</t>
        </is>
      </c>
      <c r="P165" t="inlineStr">
        <is>
          <t>MX-CED. CENTRO</t>
        </is>
      </c>
      <c r="Q165" t="n">
        <v>20170927</v>
      </c>
      <c r="R165" t="n">
        <v>20281231</v>
      </c>
      <c r="S165" t="n">
        <v>20190822</v>
      </c>
      <c r="T165" t="n">
        <v>20241231</v>
      </c>
      <c r="U165" t="n">
        <v>148.5</v>
      </c>
      <c r="V165" t="inlineStr">
        <is>
          <t>MXN</t>
        </is>
      </c>
      <c r="W165" t="inlineStr">
        <is>
          <t>M3</t>
        </is>
      </c>
      <c r="X165" t="n">
        <v>67</v>
      </c>
      <c r="Y165" t="inlineStr">
        <is>
          <t>MXN</t>
        </is>
      </c>
      <c r="Z165" t="inlineStr">
        <is>
          <t>M3</t>
        </is>
      </c>
      <c r="AA165" t="inlineStr">
        <is>
          <t>65014664</t>
        </is>
      </c>
      <c r="AB165" t="inlineStr">
        <is>
          <t>OBR-AGR IBM (DLC)</t>
        </is>
      </c>
      <c r="AC165" t="n">
        <v>56103638</v>
      </c>
      <c r="AD165" t="n">
        <v>6622261540</v>
      </c>
      <c r="AE165" t="n">
        <v>4</v>
      </c>
      <c r="AF165" t="inlineStr">
        <is>
          <t>ENTREGA DIRECTA</t>
        </is>
      </c>
      <c r="AG165" t="n">
        <v>1.409</v>
      </c>
      <c r="AH165" t="inlineStr">
        <is>
          <t>M3</t>
        </is>
      </c>
      <c r="AI165" t="inlineStr">
        <is>
          <t>X</t>
        </is>
      </c>
      <c r="AJ165" t="n">
        <v>4</v>
      </c>
      <c r="AK165" t="inlineStr">
        <is>
          <t>V4</t>
        </is>
      </c>
      <c r="AL165" t="n">
        <v>20230920</v>
      </c>
      <c r="AM165" t="inlineStr">
        <is>
          <t>D836-900004323-65014664-10000160-4</t>
        </is>
      </c>
    </row>
    <row r="166">
      <c r="A166" t="inlineStr">
        <is>
          <t>900001074D8366637247510000206</t>
        </is>
      </c>
      <c r="B166" t="inlineStr">
        <is>
          <t>4600027573-340</t>
        </is>
      </c>
      <c r="C166" t="n">
        <v>4600027573</v>
      </c>
      <c r="D166" t="n">
        <v>340</v>
      </c>
      <c r="E166" t="inlineStr">
        <is>
          <t>MXPO</t>
        </is>
      </c>
      <c r="F166" t="inlineStr">
        <is>
          <t>M02</t>
        </is>
      </c>
      <c r="G166" t="n">
        <v>900001074</v>
      </c>
      <c r="H166" t="inlineStr">
        <is>
          <t>TP-TRIVOMEX</t>
        </is>
      </c>
      <c r="I166" t="n">
        <v>5033501</v>
      </c>
      <c r="J166" t="inlineStr">
        <is>
          <t>TRITURADOS VOLCANICOS DE MEXICO</t>
        </is>
      </c>
      <c r="K166" t="inlineStr">
        <is>
          <t>Z04</t>
        </is>
      </c>
      <c r="L166" t="inlineStr">
        <is>
          <t>(AP) 30 Dias</t>
        </is>
      </c>
      <c r="M166" t="n">
        <v>10000206</v>
      </c>
      <c r="N166" t="inlineStr">
        <is>
          <t>Tepetate Triturado Tierra NA</t>
        </is>
      </c>
      <c r="O166" t="inlineStr">
        <is>
          <t>D836</t>
        </is>
      </c>
      <c r="P166" t="inlineStr">
        <is>
          <t>MX-CED. CENTRO</t>
        </is>
      </c>
      <c r="Q166" t="n">
        <v>20140701</v>
      </c>
      <c r="R166" t="n">
        <v>20291231</v>
      </c>
      <c r="S166" t="n">
        <v>20210319</v>
      </c>
      <c r="T166" t="n">
        <v>20291231</v>
      </c>
      <c r="U166" t="n">
        <v>91</v>
      </c>
      <c r="V166" t="inlineStr">
        <is>
          <t>MXN</t>
        </is>
      </c>
      <c r="W166" t="inlineStr">
        <is>
          <t>M3</t>
        </is>
      </c>
      <c r="X166" t="n">
        <v>67</v>
      </c>
      <c r="Y166" t="inlineStr">
        <is>
          <t>MXN</t>
        </is>
      </c>
      <c r="Z166" t="inlineStr">
        <is>
          <t>M3</t>
        </is>
      </c>
      <c r="AA166" t="inlineStr">
        <is>
          <t>66372475</t>
        </is>
      </c>
      <c r="AB166" t="inlineStr">
        <is>
          <t>I. ALJUCA. (Amm)</t>
        </is>
      </c>
      <c r="AC166" t="n">
        <v>56103695</v>
      </c>
      <c r="AD166" t="n">
        <v>6622261540</v>
      </c>
      <c r="AE166" t="n">
        <v>4</v>
      </c>
      <c r="AF166" t="inlineStr">
        <is>
          <t>ENTREGA DIRECTA</t>
        </is>
      </c>
      <c r="AG166" t="n">
        <v>1.249</v>
      </c>
      <c r="AH166" t="inlineStr">
        <is>
          <t>M3</t>
        </is>
      </c>
      <c r="AI166" t="inlineStr">
        <is>
          <t>X</t>
        </is>
      </c>
      <c r="AJ166" t="n">
        <v>4</v>
      </c>
      <c r="AK166" t="inlineStr">
        <is>
          <t>V4</t>
        </is>
      </c>
      <c r="AL166" t="n">
        <v>20230920</v>
      </c>
      <c r="AM166" t="inlineStr">
        <is>
          <t>D836-900001074-66372475-10000206-4</t>
        </is>
      </c>
    </row>
    <row r="167">
      <c r="A167" t="inlineStr">
        <is>
          <t>900006542D8366500922910000160</t>
        </is>
      </c>
      <c r="B167" t="inlineStr">
        <is>
          <t>4600047341-10</t>
        </is>
      </c>
      <c r="C167" t="n">
        <v>4600047341</v>
      </c>
      <c r="D167" t="n">
        <v>10</v>
      </c>
      <c r="E167" t="inlineStr">
        <is>
          <t>MXPO</t>
        </is>
      </c>
      <c r="F167" t="inlineStr">
        <is>
          <t>MXL</t>
        </is>
      </c>
      <c r="G167" t="n">
        <v>900006542</v>
      </c>
      <c r="H167" t="inlineStr">
        <is>
          <t>TP-OLIELL TORTON</t>
        </is>
      </c>
      <c r="I167" t="n">
        <v>5048484</v>
      </c>
      <c r="J167" t="inlineStr">
        <is>
          <t>COMERCIALIZADORA Y TRANSPORTADORA O</t>
        </is>
      </c>
      <c r="K167" t="inlineStr">
        <is>
          <t>N90</t>
        </is>
      </c>
      <c r="L167" t="inlineStr">
        <is>
          <t>(AP) NAFIN 90 Dias</t>
        </is>
      </c>
      <c r="M167" t="n">
        <v>10000160</v>
      </c>
      <c r="N167" t="inlineStr">
        <is>
          <t>Arena Triturada Andesita Malla 4</t>
        </is>
      </c>
      <c r="O167" t="inlineStr">
        <is>
          <t>D836</t>
        </is>
      </c>
      <c r="P167" t="inlineStr">
        <is>
          <t>MX-CED. CENTRO</t>
        </is>
      </c>
      <c r="Q167" t="n">
        <v>20200615</v>
      </c>
      <c r="R167" t="n">
        <v>20281231</v>
      </c>
      <c r="S167" t="n">
        <v>20200615</v>
      </c>
      <c r="T167" t="n">
        <v>20301231</v>
      </c>
      <c r="U167" t="n">
        <v>239</v>
      </c>
      <c r="V167" t="inlineStr">
        <is>
          <t>MXN</t>
        </is>
      </c>
      <c r="W167" t="inlineStr">
        <is>
          <t>M3</t>
        </is>
      </c>
      <c r="X167" t="n">
        <v>133</v>
      </c>
      <c r="Y167" t="inlineStr">
        <is>
          <t>MXN</t>
        </is>
      </c>
      <c r="Z167" t="inlineStr">
        <is>
          <t>M3</t>
        </is>
      </c>
      <c r="AA167" t="inlineStr">
        <is>
          <t>65009229</t>
        </is>
      </c>
      <c r="AB167" t="inlineStr">
        <is>
          <t>FABRICA DE TABICON Y BLOCK SAN LUIS</t>
        </is>
      </c>
      <c r="AC167" t="n">
        <v>56103638</v>
      </c>
      <c r="AD167" t="n">
        <v>6622261540</v>
      </c>
      <c r="AE167" t="n">
        <v>4</v>
      </c>
      <c r="AF167" t="inlineStr">
        <is>
          <t>ENTREGA DIRECTA</t>
        </is>
      </c>
      <c r="AG167" t="n">
        <v>1.409</v>
      </c>
      <c r="AH167" t="inlineStr">
        <is>
          <t>M3</t>
        </is>
      </c>
      <c r="AI167" t="inlineStr">
        <is>
          <t>X</t>
        </is>
      </c>
      <c r="AJ167" t="n">
        <v>4</v>
      </c>
      <c r="AK167" t="inlineStr">
        <is>
          <t>V4</t>
        </is>
      </c>
      <c r="AL167" t="n">
        <v>20230920</v>
      </c>
      <c r="AM167" t="inlineStr">
        <is>
          <t>D836-900006542-65009229-10000160-4</t>
        </is>
      </c>
    </row>
    <row r="168">
      <c r="A168" t="inlineStr">
        <is>
          <t>900006542D8366648605910000160</t>
        </is>
      </c>
      <c r="B168" t="inlineStr">
        <is>
          <t>4600047341-420</t>
        </is>
      </c>
      <c r="C168" t="n">
        <v>4600047341</v>
      </c>
      <c r="D168" t="n">
        <v>420</v>
      </c>
      <c r="E168" t="inlineStr">
        <is>
          <t>MXPO</t>
        </is>
      </c>
      <c r="F168" t="inlineStr">
        <is>
          <t>MXL</t>
        </is>
      </c>
      <c r="G168" t="n">
        <v>900006542</v>
      </c>
      <c r="H168" t="inlineStr">
        <is>
          <t>TP-OLIELL TORTON</t>
        </is>
      </c>
      <c r="I168" t="n">
        <v>5048484</v>
      </c>
      <c r="J168" t="inlineStr">
        <is>
          <t>COMERCIALIZADORA Y TRANSPORTADORA O</t>
        </is>
      </c>
      <c r="K168" t="inlineStr">
        <is>
          <t>N90</t>
        </is>
      </c>
      <c r="L168" t="inlineStr">
        <is>
          <t>(AP) NAFIN 90 Dias</t>
        </is>
      </c>
      <c r="M168" t="n">
        <v>10000160</v>
      </c>
      <c r="N168" t="inlineStr">
        <is>
          <t>Arena Triturada Andesita Malla 4</t>
        </is>
      </c>
      <c r="O168" t="inlineStr">
        <is>
          <t>D836</t>
        </is>
      </c>
      <c r="P168" t="inlineStr">
        <is>
          <t>MX-CED. CENTRO</t>
        </is>
      </c>
      <c r="Q168" t="n">
        <v>20200615</v>
      </c>
      <c r="R168" t="n">
        <v>20281231</v>
      </c>
      <c r="S168" t="n">
        <v>20210205</v>
      </c>
      <c r="T168" t="n">
        <v>20291231</v>
      </c>
      <c r="U168" t="n">
        <v>445</v>
      </c>
      <c r="V168" t="inlineStr">
        <is>
          <t>MXN</t>
        </is>
      </c>
      <c r="W168" t="inlineStr">
        <is>
          <t>M3</t>
        </is>
      </c>
      <c r="X168" t="n">
        <v>345</v>
      </c>
      <c r="Y168" t="inlineStr">
        <is>
          <t>MXN</t>
        </is>
      </c>
      <c r="Z168" t="inlineStr">
        <is>
          <t>M3</t>
        </is>
      </c>
      <c r="AA168" t="inlineStr">
        <is>
          <t>66486059</t>
        </is>
      </c>
      <c r="AB168" t="inlineStr">
        <is>
          <t>Proveedora Matva</t>
        </is>
      </c>
      <c r="AC168" t="n">
        <v>56103638</v>
      </c>
      <c r="AD168" t="n">
        <v>6622261540</v>
      </c>
      <c r="AE168" t="n">
        <v>4</v>
      </c>
      <c r="AF168" t="inlineStr">
        <is>
          <t>ENTREGA DIRECTA</t>
        </is>
      </c>
      <c r="AG168" t="n">
        <v>1.409</v>
      </c>
      <c r="AH168" t="inlineStr">
        <is>
          <t>M3</t>
        </is>
      </c>
      <c r="AI168" t="inlineStr">
        <is>
          <t>X</t>
        </is>
      </c>
      <c r="AJ168" t="n">
        <v>4</v>
      </c>
      <c r="AK168" t="inlineStr">
        <is>
          <t>V4</t>
        </is>
      </c>
      <c r="AL168" t="n">
        <v>20230920</v>
      </c>
      <c r="AM168" t="inlineStr">
        <is>
          <t>D836-900006542-66486059-10000160-4</t>
        </is>
      </c>
    </row>
    <row r="169">
      <c r="A169" t="inlineStr">
        <is>
          <t>900006542D8366648605910000206</t>
        </is>
      </c>
      <c r="B169" t="inlineStr">
        <is>
          <t>4600047341-440</t>
        </is>
      </c>
      <c r="C169" t="n">
        <v>4600047341</v>
      </c>
      <c r="D169" t="n">
        <v>440</v>
      </c>
      <c r="E169" t="inlineStr">
        <is>
          <t>MXPO</t>
        </is>
      </c>
      <c r="F169" t="inlineStr">
        <is>
          <t>MXL</t>
        </is>
      </c>
      <c r="G169" t="n">
        <v>900006542</v>
      </c>
      <c r="H169" t="inlineStr">
        <is>
          <t>TP-OLIELL TORTON</t>
        </is>
      </c>
      <c r="I169" t="n">
        <v>5048484</v>
      </c>
      <c r="J169" t="inlineStr">
        <is>
          <t>COMERCIALIZADORA Y TRANSPORTADORA O</t>
        </is>
      </c>
      <c r="K169" t="inlineStr">
        <is>
          <t>N90</t>
        </is>
      </c>
      <c r="L169" t="inlineStr">
        <is>
          <t>(AP) NAFIN 90 Dias</t>
        </is>
      </c>
      <c r="M169" t="n">
        <v>10000206</v>
      </c>
      <c r="N169" t="inlineStr">
        <is>
          <t>Tepetate Triturado Tierra NA</t>
        </is>
      </c>
      <c r="O169" t="inlineStr">
        <is>
          <t>D836</t>
        </is>
      </c>
      <c r="P169" t="inlineStr">
        <is>
          <t>MX-CED. CENTRO</t>
        </is>
      </c>
      <c r="Q169" t="n">
        <v>20200615</v>
      </c>
      <c r="R169" t="n">
        <v>20281231</v>
      </c>
      <c r="S169" t="n">
        <v>20210205</v>
      </c>
      <c r="T169" t="n">
        <v>20291231</v>
      </c>
      <c r="U169" t="n">
        <v>395</v>
      </c>
      <c r="V169" t="inlineStr">
        <is>
          <t>MXN</t>
        </is>
      </c>
      <c r="W169" t="inlineStr">
        <is>
          <t>M3</t>
        </is>
      </c>
      <c r="X169" t="n">
        <v>345</v>
      </c>
      <c r="Y169" t="inlineStr">
        <is>
          <t>MXN</t>
        </is>
      </c>
      <c r="Z169" t="inlineStr">
        <is>
          <t>M3</t>
        </is>
      </c>
      <c r="AA169" t="inlineStr">
        <is>
          <t>66486059</t>
        </is>
      </c>
      <c r="AB169" t="inlineStr">
        <is>
          <t>Proveedora Matva</t>
        </is>
      </c>
      <c r="AC169" t="n">
        <v>56103695</v>
      </c>
      <c r="AD169" t="n">
        <v>6622261540</v>
      </c>
      <c r="AE169" t="n">
        <v>4</v>
      </c>
      <c r="AF169" t="inlineStr">
        <is>
          <t>ENTREGA DIRECTA</t>
        </is>
      </c>
      <c r="AG169" t="n">
        <v>1.249</v>
      </c>
      <c r="AH169" t="inlineStr">
        <is>
          <t>M3</t>
        </is>
      </c>
      <c r="AI169" t="inlineStr">
        <is>
          <t>X</t>
        </is>
      </c>
      <c r="AJ169" t="n">
        <v>4</v>
      </c>
      <c r="AK169" t="inlineStr">
        <is>
          <t>V4</t>
        </is>
      </c>
      <c r="AL169" t="n">
        <v>20230920</v>
      </c>
      <c r="AM169" t="inlineStr">
        <is>
          <t>D836-900006542-66486059-10000206-4</t>
        </is>
      </c>
    </row>
    <row r="170">
      <c r="A170" t="inlineStr">
        <is>
          <t>900006371D8366701490710057633</t>
        </is>
      </c>
      <c r="B170" t="inlineStr">
        <is>
          <t>4600048255-180</t>
        </is>
      </c>
      <c r="C170" t="n">
        <v>4600048255</v>
      </c>
      <c r="D170" t="n">
        <v>180</v>
      </c>
      <c r="E170" t="inlineStr">
        <is>
          <t>MXPO</t>
        </is>
      </c>
      <c r="F170" t="inlineStr">
        <is>
          <t>MXL</t>
        </is>
      </c>
      <c r="G170" t="n">
        <v>900006371</v>
      </c>
      <c r="H170" t="inlineStr">
        <is>
          <t>SF TP-ED-TRIVOMEX</t>
        </is>
      </c>
      <c r="I170" t="n">
        <v>5033501</v>
      </c>
      <c r="J170" t="inlineStr">
        <is>
          <t>TRITURADOS VOLCANICOS DE MEXICO</t>
        </is>
      </c>
      <c r="K170" t="inlineStr">
        <is>
          <t>Z04</t>
        </is>
      </c>
      <c r="L170" t="inlineStr">
        <is>
          <t>(AP) 30 Dias</t>
        </is>
      </c>
      <c r="M170" t="n">
        <v>10057633</v>
      </c>
      <c r="N170" t="inlineStr">
        <is>
          <t>Grava Triturada Basalto 10 mm - 3/8"</t>
        </is>
      </c>
      <c r="O170" t="inlineStr">
        <is>
          <t>D836</t>
        </is>
      </c>
      <c r="P170" t="inlineStr">
        <is>
          <t>MX-CED. CENTRO</t>
        </is>
      </c>
      <c r="Q170" t="n">
        <v>20201015</v>
      </c>
      <c r="R170" t="n">
        <v>20291231</v>
      </c>
      <c r="S170" t="n">
        <v>20211027</v>
      </c>
      <c r="T170" t="n">
        <v>20261231</v>
      </c>
      <c r="U170" t="n">
        <v>640</v>
      </c>
      <c r="V170" t="inlineStr">
        <is>
          <t>MXN</t>
        </is>
      </c>
      <c r="W170" t="inlineStr">
        <is>
          <t>M3</t>
        </is>
      </c>
      <c r="X170" t="n">
        <v>265</v>
      </c>
      <c r="Y170" t="inlineStr">
        <is>
          <t>MXN</t>
        </is>
      </c>
      <c r="Z170" t="inlineStr">
        <is>
          <t>M3</t>
        </is>
      </c>
      <c r="AA170" t="inlineStr">
        <is>
          <t>67014907</t>
        </is>
      </c>
      <c r="AB170" t="inlineStr">
        <is>
          <t>CASETA DE COBRO T-5 TULTITLAN</t>
        </is>
      </c>
      <c r="AC170" t="n">
        <v>56103637</v>
      </c>
      <c r="AD170" t="n">
        <v>6622261540</v>
      </c>
      <c r="AE170" t="n">
        <v>4</v>
      </c>
      <c r="AF170" t="inlineStr">
        <is>
          <t>ENTREGA DIRECTA</t>
        </is>
      </c>
      <c r="AG170" t="n">
        <v>1.292</v>
      </c>
      <c r="AH170" t="inlineStr">
        <is>
          <t>M3</t>
        </is>
      </c>
      <c r="AI170" t="inlineStr">
        <is>
          <t>X</t>
        </is>
      </c>
      <c r="AJ170" t="n">
        <v>4</v>
      </c>
      <c r="AK170" t="inlineStr">
        <is>
          <t>V4</t>
        </is>
      </c>
      <c r="AL170" t="n">
        <v>20230920</v>
      </c>
      <c r="AM170" t="inlineStr">
        <is>
          <t>D836-900006371-67014907-10057633-4</t>
        </is>
      </c>
    </row>
    <row r="171">
      <c r="A171" t="inlineStr">
        <is>
          <t>900007321D8366623009810000160</t>
        </is>
      </c>
      <c r="B171" t="inlineStr">
        <is>
          <t>4600052061-110</t>
        </is>
      </c>
      <c r="C171" t="n">
        <v>4600052061</v>
      </c>
      <c r="D171" t="n">
        <v>110</v>
      </c>
      <c r="E171" t="inlineStr">
        <is>
          <t>MXPO</t>
        </is>
      </c>
      <c r="F171" t="inlineStr">
        <is>
          <t>MXL</t>
        </is>
      </c>
      <c r="G171" t="n">
        <v>900007321</v>
      </c>
      <c r="H171" t="inlineStr">
        <is>
          <t>SF TP-ED-LOMA ANCHA SC</t>
        </is>
      </c>
      <c r="I171" t="n">
        <v>5047262</v>
      </c>
      <c r="J171" t="inlineStr">
        <is>
          <t>AGREGADOS PETREOS SAN CRISTOBAL</t>
        </is>
      </c>
      <c r="K171" t="inlineStr">
        <is>
          <t>Z03</t>
        </is>
      </c>
      <c r="L171" t="inlineStr">
        <is>
          <t>(AP) 15 Dias</t>
        </is>
      </c>
      <c r="M171" t="n">
        <v>10000160</v>
      </c>
      <c r="N171" t="inlineStr">
        <is>
          <t>Arena Triturada Andesita Malla 4</t>
        </is>
      </c>
      <c r="O171" t="inlineStr">
        <is>
          <t>D836</t>
        </is>
      </c>
      <c r="P171" t="inlineStr">
        <is>
          <t>MX-CED. CENTRO</t>
        </is>
      </c>
      <c r="Q171" t="n">
        <v>20210928</v>
      </c>
      <c r="R171" t="n">
        <v>20291231</v>
      </c>
      <c r="S171" t="n">
        <v>20230420</v>
      </c>
      <c r="T171" t="n">
        <v>20281231</v>
      </c>
      <c r="U171" t="n">
        <v>300</v>
      </c>
      <c r="V171" t="inlineStr">
        <is>
          <t>MXN</t>
        </is>
      </c>
      <c r="W171" t="inlineStr">
        <is>
          <t>M3</t>
        </is>
      </c>
      <c r="X171" t="n">
        <v>211</v>
      </c>
      <c r="Y171" t="inlineStr">
        <is>
          <t>MXN</t>
        </is>
      </c>
      <c r="Z171" t="inlineStr">
        <is>
          <t>M3</t>
        </is>
      </c>
      <c r="AA171" t="inlineStr">
        <is>
          <t>66230098</t>
        </is>
      </c>
      <c r="AB171" t="inlineStr">
        <is>
          <t>COMARCA PLANTA NAULCALPAN (JARV)</t>
        </is>
      </c>
      <c r="AC171" t="n">
        <v>56103638</v>
      </c>
      <c r="AD171" t="n">
        <v>6622261540</v>
      </c>
      <c r="AE171" t="n">
        <v>4</v>
      </c>
      <c r="AF171" t="inlineStr">
        <is>
          <t>ENTREGA DIRECTA</t>
        </is>
      </c>
      <c r="AG171" t="n">
        <v>1.409</v>
      </c>
      <c r="AH171" t="inlineStr">
        <is>
          <t>M3</t>
        </is>
      </c>
      <c r="AI171" t="inlineStr">
        <is>
          <t>X</t>
        </is>
      </c>
      <c r="AJ171" t="n">
        <v>4</v>
      </c>
      <c r="AK171" t="inlineStr">
        <is>
          <t>V4</t>
        </is>
      </c>
      <c r="AL171" t="n">
        <v>20230920</v>
      </c>
      <c r="AM171" t="inlineStr">
        <is>
          <t>D836-900007321-66230098-10000160-4</t>
        </is>
      </c>
    </row>
    <row r="172">
      <c r="A172" t="inlineStr">
        <is>
          <t>900001074D8366544038410000160</t>
        </is>
      </c>
      <c r="B172" t="inlineStr">
        <is>
          <t>4600027573-270</t>
        </is>
      </c>
      <c r="C172" t="n">
        <v>4600027573</v>
      </c>
      <c r="D172" t="n">
        <v>270</v>
      </c>
      <c r="E172" t="inlineStr">
        <is>
          <t>MXPO</t>
        </is>
      </c>
      <c r="F172" t="inlineStr">
        <is>
          <t>M02</t>
        </is>
      </c>
      <c r="G172" t="n">
        <v>900001074</v>
      </c>
      <c r="H172" t="inlineStr">
        <is>
          <t>TP-TRIVOMEX</t>
        </is>
      </c>
      <c r="I172" t="n">
        <v>5033501</v>
      </c>
      <c r="J172" t="inlineStr">
        <is>
          <t>TRITURADOS VOLCANICOS DE MEXICO</t>
        </is>
      </c>
      <c r="K172" t="inlineStr">
        <is>
          <t>Z04</t>
        </is>
      </c>
      <c r="L172" t="inlineStr">
        <is>
          <t>(AP) 30 Dias</t>
        </is>
      </c>
      <c r="M172" t="n">
        <v>10000160</v>
      </c>
      <c r="N172" t="inlineStr">
        <is>
          <t>Arena Triturada Andesita Malla 4</t>
        </is>
      </c>
      <c r="O172" t="inlineStr">
        <is>
          <t>D836</t>
        </is>
      </c>
      <c r="P172" t="inlineStr">
        <is>
          <t>MX-CED. CENTRO</t>
        </is>
      </c>
      <c r="Q172" t="n">
        <v>20140701</v>
      </c>
      <c r="R172" t="n">
        <v>20291231</v>
      </c>
      <c r="S172" t="n">
        <v>20230301</v>
      </c>
      <c r="T172" t="n">
        <v>20281231</v>
      </c>
      <c r="U172" t="n">
        <v>218</v>
      </c>
      <c r="V172" t="inlineStr">
        <is>
          <t>MXN</t>
        </is>
      </c>
      <c r="W172" t="inlineStr">
        <is>
          <t>M3</t>
        </is>
      </c>
      <c r="X172" t="n">
        <v>122</v>
      </c>
      <c r="Y172" t="inlineStr">
        <is>
          <t>MXN</t>
        </is>
      </c>
      <c r="Z172" t="inlineStr">
        <is>
          <t>M3</t>
        </is>
      </c>
      <c r="AA172" t="inlineStr">
        <is>
          <t>65440384</t>
        </is>
      </c>
      <c r="AB172" t="inlineStr">
        <is>
          <t>INDUSTRIAL BLOQUERA MEXICANA SA DE</t>
        </is>
      </c>
      <c r="AC172" t="n">
        <v>56103638</v>
      </c>
      <c r="AD172" t="n">
        <v>6622261540</v>
      </c>
      <c r="AE172" t="n">
        <v>4</v>
      </c>
      <c r="AF172" t="inlineStr">
        <is>
          <t>ENTREGA DIRECTA</t>
        </is>
      </c>
      <c r="AG172" t="n">
        <v>1.409</v>
      </c>
      <c r="AH172" t="inlineStr">
        <is>
          <t>M3</t>
        </is>
      </c>
      <c r="AI172" t="inlineStr">
        <is>
          <t>X</t>
        </is>
      </c>
      <c r="AJ172" t="n">
        <v>4</v>
      </c>
      <c r="AK172" t="inlineStr">
        <is>
          <t>V4</t>
        </is>
      </c>
      <c r="AL172" t="n">
        <v>20250701</v>
      </c>
      <c r="AM172" t="inlineStr">
        <is>
          <t>D836-900001074-65440384-10000160-4</t>
        </is>
      </c>
    </row>
    <row r="173">
      <c r="A173" t="inlineStr">
        <is>
          <t>900006542D8366685103410000357</t>
        </is>
      </c>
      <c r="B173" t="inlineStr">
        <is>
          <t>4600047341-190</t>
        </is>
      </c>
      <c r="C173" t="n">
        <v>4600047341</v>
      </c>
      <c r="D173" t="n">
        <v>190</v>
      </c>
      <c r="E173" t="inlineStr">
        <is>
          <t>MXPO</t>
        </is>
      </c>
      <c r="F173" t="inlineStr">
        <is>
          <t>MXL</t>
        </is>
      </c>
      <c r="G173" t="n">
        <v>900006542</v>
      </c>
      <c r="H173" t="inlineStr">
        <is>
          <t>TP-OLIELL TORTON</t>
        </is>
      </c>
      <c r="I173" t="n">
        <v>5048484</v>
      </c>
      <c r="J173" t="inlineStr">
        <is>
          <t>COMERCIALIZADORA Y TRANSPORTADORA O</t>
        </is>
      </c>
      <c r="K173" t="inlineStr">
        <is>
          <t>N90</t>
        </is>
      </c>
      <c r="L173" t="inlineStr">
        <is>
          <t>(AP) NAFIN 90 Dias</t>
        </is>
      </c>
      <c r="M173" t="n">
        <v>10000357</v>
      </c>
      <c r="N173" t="inlineStr">
        <is>
          <t>Grava Triturada Andesita 20 mm - 3/4"</t>
        </is>
      </c>
      <c r="O173" t="inlineStr">
        <is>
          <t>D836</t>
        </is>
      </c>
      <c r="P173" t="inlineStr">
        <is>
          <t>MX-CED. CENTRO</t>
        </is>
      </c>
      <c r="Q173" t="n">
        <v>20200615</v>
      </c>
      <c r="R173" t="n">
        <v>20281231</v>
      </c>
      <c r="S173" t="n">
        <v>20200909</v>
      </c>
      <c r="T173" t="n">
        <v>20291231</v>
      </c>
      <c r="U173" t="n">
        <v>228</v>
      </c>
      <c r="V173" t="inlineStr">
        <is>
          <t>MXN</t>
        </is>
      </c>
      <c r="W173" t="inlineStr">
        <is>
          <t>M3</t>
        </is>
      </c>
      <c r="X173" t="n">
        <v>118</v>
      </c>
      <c r="Y173" t="inlineStr">
        <is>
          <t>MXN</t>
        </is>
      </c>
      <c r="Z173" t="inlineStr">
        <is>
          <t>M3</t>
        </is>
      </c>
      <c r="AA173" t="inlineStr">
        <is>
          <t>66851034</t>
        </is>
      </c>
      <c r="AB173" t="inlineStr">
        <is>
          <t>INCLUSIV CALLE 4</t>
        </is>
      </c>
      <c r="AC173" t="n">
        <v>56103637</v>
      </c>
      <c r="AD173" t="n">
        <v>6622261540</v>
      </c>
      <c r="AE173" t="n">
        <v>4</v>
      </c>
      <c r="AF173" t="inlineStr">
        <is>
          <t>ENTREGA DIRECTA</t>
        </is>
      </c>
      <c r="AG173" t="n">
        <v>1.326</v>
      </c>
      <c r="AH173" t="inlineStr">
        <is>
          <t>M3</t>
        </is>
      </c>
      <c r="AI173" t="inlineStr">
        <is>
          <t>X</t>
        </is>
      </c>
      <c r="AJ173" t="n">
        <v>4</v>
      </c>
      <c r="AK173" t="inlineStr">
        <is>
          <t>V4</t>
        </is>
      </c>
      <c r="AL173" t="n">
        <v>20230920</v>
      </c>
      <c r="AM173" t="inlineStr">
        <is>
          <t>D836-900006542-66851034-10000357-4</t>
        </is>
      </c>
    </row>
    <row r="174">
      <c r="A174" t="inlineStr">
        <is>
          <t>900006542D8366500190510058345</t>
        </is>
      </c>
      <c r="B174" t="inlineStr">
        <is>
          <t>4600047341-300</t>
        </is>
      </c>
      <c r="C174" t="n">
        <v>4600047341</v>
      </c>
      <c r="D174" t="n">
        <v>300</v>
      </c>
      <c r="E174" t="inlineStr">
        <is>
          <t>MXPO</t>
        </is>
      </c>
      <c r="F174" t="inlineStr">
        <is>
          <t>MXL</t>
        </is>
      </c>
      <c r="G174" t="n">
        <v>900006542</v>
      </c>
      <c r="H174" t="inlineStr">
        <is>
          <t>TP-OLIELL TORTON</t>
        </is>
      </c>
      <c r="I174" t="n">
        <v>5048484</v>
      </c>
      <c r="J174" t="inlineStr">
        <is>
          <t>COMERCIALIZADORA Y TRANSPORTADORA O</t>
        </is>
      </c>
      <c r="K174" t="inlineStr">
        <is>
          <t>N90</t>
        </is>
      </c>
      <c r="L174" t="inlineStr">
        <is>
          <t>(AP) NAFIN 90 Dias</t>
        </is>
      </c>
      <c r="M174" t="n">
        <v>10058345</v>
      </c>
      <c r="N174" t="inlineStr">
        <is>
          <t>Arena Triturada Caliza Malla 4</t>
        </is>
      </c>
      <c r="O174" t="inlineStr">
        <is>
          <t>D836</t>
        </is>
      </c>
      <c r="P174" t="inlineStr">
        <is>
          <t>MX-CED. CENTRO</t>
        </is>
      </c>
      <c r="Q174" t="n">
        <v>20200615</v>
      </c>
      <c r="R174" t="n">
        <v>20281231</v>
      </c>
      <c r="S174" t="n">
        <v>20201125</v>
      </c>
      <c r="T174" t="n">
        <v>20291231</v>
      </c>
      <c r="U174" t="n">
        <v>340</v>
      </c>
      <c r="V174" t="inlineStr">
        <is>
          <t>MXN</t>
        </is>
      </c>
      <c r="W174" t="inlineStr">
        <is>
          <t>M3</t>
        </is>
      </c>
      <c r="X174" t="n">
        <v>265</v>
      </c>
      <c r="Y174" t="inlineStr">
        <is>
          <t>MXN</t>
        </is>
      </c>
      <c r="Z174" t="inlineStr">
        <is>
          <t>M3</t>
        </is>
      </c>
      <c r="AA174" t="inlineStr">
        <is>
          <t>65001905</t>
        </is>
      </c>
      <c r="AB174" t="inlineStr">
        <is>
          <t>(P) PRESFORZA, S.A. DE C.V.</t>
        </is>
      </c>
      <c r="AC174" t="n">
        <v>56103638</v>
      </c>
      <c r="AD174" t="n">
        <v>6622261540</v>
      </c>
      <c r="AE174" t="n">
        <v>4</v>
      </c>
      <c r="AF174" t="inlineStr">
        <is>
          <t>ENTREGA DIRECTA</t>
        </is>
      </c>
      <c r="AG174" t="n">
        <v>1.575</v>
      </c>
      <c r="AH174" t="inlineStr">
        <is>
          <t>M3</t>
        </is>
      </c>
      <c r="AI174" t="inlineStr">
        <is>
          <t>X</t>
        </is>
      </c>
      <c r="AJ174" t="n">
        <v>4</v>
      </c>
      <c r="AK174" t="inlineStr">
        <is>
          <t>V4</t>
        </is>
      </c>
      <c r="AL174" t="n">
        <v>20230920</v>
      </c>
      <c r="AM174" t="inlineStr">
        <is>
          <t>D836-900006542-65001905-10058345-4</t>
        </is>
      </c>
    </row>
    <row r="175">
      <c r="A175" t="inlineStr">
        <is>
          <t>900006542D8366714860610000133</t>
        </is>
      </c>
      <c r="B175" t="inlineStr">
        <is>
          <t>4600047341-580</t>
        </is>
      </c>
      <c r="C175" t="n">
        <v>4600047341</v>
      </c>
      <c r="D175" t="n">
        <v>580</v>
      </c>
      <c r="E175" t="inlineStr">
        <is>
          <t>MXPO</t>
        </is>
      </c>
      <c r="F175" t="inlineStr">
        <is>
          <t>MXL</t>
        </is>
      </c>
      <c r="G175" t="n">
        <v>900006542</v>
      </c>
      <c r="H175" t="inlineStr">
        <is>
          <t>TP-OLIELL TORTON</t>
        </is>
      </c>
      <c r="I175" t="n">
        <v>5048484</v>
      </c>
      <c r="J175" t="inlineStr">
        <is>
          <t>COMERCIALIZADORA Y TRANSPORTADORA O</t>
        </is>
      </c>
      <c r="K175" t="inlineStr">
        <is>
          <t>N90</t>
        </is>
      </c>
      <c r="L175" t="inlineStr">
        <is>
          <t>(AP) NAFIN 90 Dias</t>
        </is>
      </c>
      <c r="M175" t="n">
        <v>10000133</v>
      </c>
      <c r="N175" t="inlineStr">
        <is>
          <t>Grava Triturada Caliza 20 mm - 3/4"</t>
        </is>
      </c>
      <c r="O175" t="inlineStr">
        <is>
          <t>D836</t>
        </is>
      </c>
      <c r="P175" t="inlineStr">
        <is>
          <t>MX-CED. CENTRO</t>
        </is>
      </c>
      <c r="Q175" t="n">
        <v>20200615</v>
      </c>
      <c r="R175" t="n">
        <v>20281231</v>
      </c>
      <c r="S175" t="n">
        <v>20230523</v>
      </c>
      <c r="T175" t="n">
        <v>20281231</v>
      </c>
      <c r="U175" t="n">
        <v>868</v>
      </c>
      <c r="V175" t="inlineStr">
        <is>
          <t>MXN</t>
        </is>
      </c>
      <c r="W175" t="inlineStr">
        <is>
          <t>M3</t>
        </is>
      </c>
      <c r="X175" t="n">
        <v>168</v>
      </c>
      <c r="Y175" t="inlineStr">
        <is>
          <t>MXN</t>
        </is>
      </c>
      <c r="Z175" t="inlineStr">
        <is>
          <t>M3</t>
        </is>
      </c>
      <c r="AA175" t="inlineStr">
        <is>
          <t>67148606</t>
        </is>
      </c>
      <c r="AB175" t="inlineStr">
        <is>
          <t>REMODELACIÓN BODEGA AURRERA</t>
        </is>
      </c>
      <c r="AC175" t="n">
        <v>56103637</v>
      </c>
      <c r="AD175" t="n">
        <v>6622261540</v>
      </c>
      <c r="AE175" t="n">
        <v>4</v>
      </c>
      <c r="AF175" t="inlineStr">
        <is>
          <t>ENTREGA DIRECTA</t>
        </is>
      </c>
      <c r="AG175" t="n">
        <v>1.46</v>
      </c>
      <c r="AH175" t="inlineStr">
        <is>
          <t>M3</t>
        </is>
      </c>
      <c r="AI175" t="inlineStr">
        <is>
          <t>X</t>
        </is>
      </c>
      <c r="AJ175" t="n">
        <v>4</v>
      </c>
      <c r="AK175" t="inlineStr">
        <is>
          <t>V4</t>
        </is>
      </c>
      <c r="AL175" t="n">
        <v>20230920</v>
      </c>
      <c r="AM175" t="inlineStr">
        <is>
          <t>D836-900006542-67148606-10000133-4</t>
        </is>
      </c>
    </row>
    <row r="176">
      <c r="A176" t="inlineStr">
        <is>
          <t>900004077D8366500394510184011</t>
        </is>
      </c>
      <c r="B176" t="inlineStr">
        <is>
          <t>4600047844-20</t>
        </is>
      </c>
      <c r="C176" t="n">
        <v>4600047844</v>
      </c>
      <c r="D176" t="n">
        <v>20</v>
      </c>
      <c r="E176" t="inlineStr">
        <is>
          <t>MXPO</t>
        </is>
      </c>
      <c r="F176" t="inlineStr">
        <is>
          <t>MXL</t>
        </is>
      </c>
      <c r="G176" t="n">
        <v>900004077</v>
      </c>
      <c r="H176" t="inlineStr">
        <is>
          <t>TP-SAN JUAN (HUDASA)</t>
        </is>
      </c>
      <c r="I176" t="n">
        <v>5054686</v>
      </c>
      <c r="J176" t="inlineStr">
        <is>
          <t>GRUPO MERCANTIL HUDASA SA DE CV</t>
        </is>
      </c>
      <c r="K176" t="inlineStr">
        <is>
          <t>Z06</t>
        </is>
      </c>
      <c r="L176" t="inlineStr">
        <is>
          <t>(AP) 45 Dias</t>
        </is>
      </c>
      <c r="M176" t="n">
        <v>10184011</v>
      </c>
      <c r="N176" t="inlineStr">
        <is>
          <t>GRAVA TRITURADA CALIZA 20 MM - 3/4"</t>
        </is>
      </c>
      <c r="O176" t="inlineStr">
        <is>
          <t>D836</t>
        </is>
      </c>
      <c r="P176" t="inlineStr">
        <is>
          <t>MX-CED. CENTRO</t>
        </is>
      </c>
      <c r="Q176" t="n">
        <v>20200825</v>
      </c>
      <c r="R176" t="n">
        <v>20301231</v>
      </c>
      <c r="S176" t="n">
        <v>20200825</v>
      </c>
      <c r="T176" t="n">
        <v>20301231</v>
      </c>
      <c r="U176" t="n">
        <v>355</v>
      </c>
      <c r="V176" t="inlineStr">
        <is>
          <t>MXN</t>
        </is>
      </c>
      <c r="W176" t="inlineStr">
        <is>
          <t>M3</t>
        </is>
      </c>
      <c r="X176" t="n">
        <v>239</v>
      </c>
      <c r="Y176" t="inlineStr">
        <is>
          <t>MXN</t>
        </is>
      </c>
      <c r="Z176" t="inlineStr">
        <is>
          <t>M3</t>
        </is>
      </c>
      <c r="AA176" t="inlineStr">
        <is>
          <t>65003945</t>
        </is>
      </c>
      <c r="AB176" t="inlineStr">
        <is>
          <t>(P) OBR-AGR PREMEZCLADOS (RRL)</t>
        </is>
      </c>
      <c r="AC176" t="n">
        <v>56103637</v>
      </c>
      <c r="AD176" t="n">
        <v>6622261540</v>
      </c>
      <c r="AE176" t="n">
        <v>4</v>
      </c>
      <c r="AF176" t="inlineStr">
        <is>
          <t>ENTREGA DIRECTA</t>
        </is>
      </c>
      <c r="AG176" t="n">
        <v>1.462</v>
      </c>
      <c r="AH176" t="inlineStr">
        <is>
          <t>M3</t>
        </is>
      </c>
      <c r="AI176" t="inlineStr">
        <is>
          <t>X</t>
        </is>
      </c>
      <c r="AJ176" t="n">
        <v>4</v>
      </c>
      <c r="AK176" t="inlineStr">
        <is>
          <t>V4</t>
        </is>
      </c>
      <c r="AL176" t="n">
        <v>20230920</v>
      </c>
      <c r="AM176" t="inlineStr">
        <is>
          <t>D836-900004077-65003945-10184011-4</t>
        </is>
      </c>
    </row>
    <row r="177">
      <c r="A177" t="inlineStr">
        <is>
          <t>900004077D83610184142</t>
        </is>
      </c>
      <c r="B177" t="inlineStr">
        <is>
          <t>4600047844-60</t>
        </is>
      </c>
      <c r="C177" t="n">
        <v>4600047844</v>
      </c>
      <c r="D177" t="n">
        <v>60</v>
      </c>
      <c r="E177" t="inlineStr">
        <is>
          <t>MXPO</t>
        </is>
      </c>
      <c r="F177" t="inlineStr">
        <is>
          <t>MXL</t>
        </is>
      </c>
      <c r="G177" t="n">
        <v>900004077</v>
      </c>
      <c r="H177" t="inlineStr">
        <is>
          <t>TP-SAN JUAN (HUDASA)</t>
        </is>
      </c>
      <c r="I177" t="n">
        <v>5054686</v>
      </c>
      <c r="J177" t="inlineStr">
        <is>
          <t>GRUPO MERCANTIL HUDASA SA DE CV</t>
        </is>
      </c>
      <c r="K177" t="inlineStr">
        <is>
          <t>Z06</t>
        </is>
      </c>
      <c r="L177" t="inlineStr">
        <is>
          <t>(AP) 45 Dias</t>
        </is>
      </c>
      <c r="M177" t="n">
        <v>10184142</v>
      </c>
      <c r="N177" t="inlineStr">
        <is>
          <t>GRAVA TRITURADA CALIZA 40 MM - 1 1/2"</t>
        </is>
      </c>
      <c r="O177" t="inlineStr">
        <is>
          <t>D836</t>
        </is>
      </c>
      <c r="P177" t="inlineStr">
        <is>
          <t>MX-CED. CENTRO</t>
        </is>
      </c>
      <c r="Q177" t="n">
        <v>20200825</v>
      </c>
      <c r="R177" t="n">
        <v>20301231</v>
      </c>
      <c r="S177" t="n">
        <v>20200911</v>
      </c>
      <c r="T177" t="n">
        <v>20291231</v>
      </c>
      <c r="U177" t="n">
        <v>342.5</v>
      </c>
      <c r="V177" t="inlineStr">
        <is>
          <t>MXN</t>
        </is>
      </c>
      <c r="W177" t="inlineStr">
        <is>
          <t>M3</t>
        </is>
      </c>
      <c r="X177" t="n">
        <v>202.5</v>
      </c>
      <c r="Y177" t="inlineStr">
        <is>
          <t>MXN</t>
        </is>
      </c>
      <c r="Z177" t="inlineStr">
        <is>
          <t>M3</t>
        </is>
      </c>
      <c r="AC177" t="n">
        <v>56103637</v>
      </c>
      <c r="AD177" t="n">
        <v>6622261540</v>
      </c>
      <c r="AE177" t="n">
        <v>4</v>
      </c>
      <c r="AF177" t="inlineStr">
        <is>
          <t>ENTREGA DIRECTA</t>
        </is>
      </c>
      <c r="AG177" t="n">
        <v>1.446</v>
      </c>
      <c r="AH177" t="inlineStr">
        <is>
          <t>M3</t>
        </is>
      </c>
      <c r="AI177" t="inlineStr">
        <is>
          <t>X</t>
        </is>
      </c>
      <c r="AJ177" t="n">
        <v>4</v>
      </c>
      <c r="AK177" t="inlineStr">
        <is>
          <t>V4</t>
        </is>
      </c>
      <c r="AL177" t="n">
        <v>20230920</v>
      </c>
      <c r="AM177" t="inlineStr">
        <is>
          <t>D836-900004077--10184142-4</t>
        </is>
      </c>
    </row>
    <row r="178">
      <c r="A178" t="inlineStr">
        <is>
          <t>900006371D8366701250510145835</t>
        </is>
      </c>
      <c r="B178" t="inlineStr">
        <is>
          <t>4600048255-120</t>
        </is>
      </c>
      <c r="C178" t="n">
        <v>4600048255</v>
      </c>
      <c r="D178" t="n">
        <v>120</v>
      </c>
      <c r="E178" t="inlineStr">
        <is>
          <t>MXPO</t>
        </is>
      </c>
      <c r="F178" t="inlineStr">
        <is>
          <t>MXL</t>
        </is>
      </c>
      <c r="G178" t="n">
        <v>900006371</v>
      </c>
      <c r="H178" t="inlineStr">
        <is>
          <t>SF TP-ED-TRIVOMEX</t>
        </is>
      </c>
      <c r="I178" t="n">
        <v>5033501</v>
      </c>
      <c r="J178" t="inlineStr">
        <is>
          <t>TRITURADOS VOLCANICOS DE MEXICO</t>
        </is>
      </c>
      <c r="K178" t="inlineStr">
        <is>
          <t>Z04</t>
        </is>
      </c>
      <c r="L178" t="inlineStr">
        <is>
          <t>(AP) 30 Dias</t>
        </is>
      </c>
      <c r="M178" t="n">
        <v>10145835</v>
      </c>
      <c r="N178" t="inlineStr">
        <is>
          <t>BALASTO TRITURADO BASALTO</t>
        </is>
      </c>
      <c r="O178" t="inlineStr">
        <is>
          <t>D836</t>
        </is>
      </c>
      <c r="P178" t="inlineStr">
        <is>
          <t>MX-CED. CENTRO</t>
        </is>
      </c>
      <c r="Q178" t="n">
        <v>20201015</v>
      </c>
      <c r="R178" t="n">
        <v>20291231</v>
      </c>
      <c r="S178" t="n">
        <v>20211018</v>
      </c>
      <c r="T178" t="n">
        <v>20261231</v>
      </c>
      <c r="U178" t="n">
        <v>485</v>
      </c>
      <c r="V178" t="inlineStr">
        <is>
          <t>MXN</t>
        </is>
      </c>
      <c r="W178" t="inlineStr">
        <is>
          <t>M3</t>
        </is>
      </c>
      <c r="X178" t="n">
        <v>285</v>
      </c>
      <c r="Y178" t="inlineStr">
        <is>
          <t>MXN</t>
        </is>
      </c>
      <c r="Z178" t="inlineStr">
        <is>
          <t>M3</t>
        </is>
      </c>
      <c r="AA178" t="inlineStr">
        <is>
          <t>67012505</t>
        </is>
      </c>
      <c r="AB178" t="inlineStr">
        <is>
          <t>VALLEJO</t>
        </is>
      </c>
      <c r="AC178" t="n">
        <v>56103591</v>
      </c>
      <c r="AD178" t="n">
        <v>6622261540</v>
      </c>
      <c r="AE178" t="n">
        <v>4</v>
      </c>
      <c r="AF178" t="inlineStr">
        <is>
          <t>ENTREGA DIRECTA</t>
        </is>
      </c>
      <c r="AG178" t="n">
        <v>1.38</v>
      </c>
      <c r="AH178" t="inlineStr">
        <is>
          <t>M3</t>
        </is>
      </c>
      <c r="AI178" t="inlineStr">
        <is>
          <t>X</t>
        </is>
      </c>
      <c r="AJ178" t="n">
        <v>4</v>
      </c>
      <c r="AK178" t="inlineStr">
        <is>
          <t>V4</t>
        </is>
      </c>
      <c r="AL178" t="n">
        <v>20230920</v>
      </c>
      <c r="AM178" t="inlineStr">
        <is>
          <t>D836-900006371-67012505-10145835-4</t>
        </is>
      </c>
    </row>
    <row r="179">
      <c r="A179" t="inlineStr">
        <is>
          <t>900006542D8366658734810000160</t>
        </is>
      </c>
      <c r="B179" t="inlineStr">
        <is>
          <t>4600047341-30</t>
        </is>
      </c>
      <c r="C179" t="n">
        <v>4600047341</v>
      </c>
      <c r="D179" t="n">
        <v>30</v>
      </c>
      <c r="E179" t="inlineStr">
        <is>
          <t>MXPO</t>
        </is>
      </c>
      <c r="F179" t="inlineStr">
        <is>
          <t>MXL</t>
        </is>
      </c>
      <c r="G179" t="n">
        <v>900006542</v>
      </c>
      <c r="H179" t="inlineStr">
        <is>
          <t>TP-OLIELL TORTON</t>
        </is>
      </c>
      <c r="I179" t="n">
        <v>5048484</v>
      </c>
      <c r="J179" t="inlineStr">
        <is>
          <t>COMERCIALIZADORA Y TRANSPORTADORA O</t>
        </is>
      </c>
      <c r="K179" t="inlineStr">
        <is>
          <t>N90</t>
        </is>
      </c>
      <c r="L179" t="inlineStr">
        <is>
          <t>(AP) NAFIN 90 Dias</t>
        </is>
      </c>
      <c r="M179" t="n">
        <v>10000160</v>
      </c>
      <c r="N179" t="inlineStr">
        <is>
          <t>Arena Triturada Andesita Malla 4</t>
        </is>
      </c>
      <c r="O179" t="inlineStr">
        <is>
          <t>D836</t>
        </is>
      </c>
      <c r="P179" t="inlineStr">
        <is>
          <t>MX-CED. CENTRO</t>
        </is>
      </c>
      <c r="Q179" t="n">
        <v>20200615</v>
      </c>
      <c r="R179" t="n">
        <v>20281231</v>
      </c>
      <c r="S179" t="n">
        <v>20200617</v>
      </c>
      <c r="T179" t="n">
        <v>20301231</v>
      </c>
      <c r="U179" t="n">
        <v>301.72</v>
      </c>
      <c r="V179" t="inlineStr">
        <is>
          <t>MXN</t>
        </is>
      </c>
      <c r="W179" t="inlineStr">
        <is>
          <t>M3</t>
        </is>
      </c>
      <c r="X179" t="n">
        <v>201.72</v>
      </c>
      <c r="Y179" t="inlineStr">
        <is>
          <t>MXN</t>
        </is>
      </c>
      <c r="Z179" t="inlineStr">
        <is>
          <t>M3</t>
        </is>
      </c>
      <c r="AA179" t="inlineStr">
        <is>
          <t>66587348</t>
        </is>
      </c>
      <c r="AB179" t="inlineStr">
        <is>
          <t>MuSeO AnAHuAcALLI  (GCG)</t>
        </is>
      </c>
      <c r="AC179" t="n">
        <v>56103638</v>
      </c>
      <c r="AD179" t="n">
        <v>6622261540</v>
      </c>
      <c r="AE179" t="n">
        <v>4</v>
      </c>
      <c r="AF179" t="inlineStr">
        <is>
          <t>ENTREGA DIRECTA</t>
        </is>
      </c>
      <c r="AG179" t="n">
        <v>1.409</v>
      </c>
      <c r="AH179" t="inlineStr">
        <is>
          <t>M3</t>
        </is>
      </c>
      <c r="AI179" t="inlineStr">
        <is>
          <t>X</t>
        </is>
      </c>
      <c r="AJ179" t="n">
        <v>4</v>
      </c>
      <c r="AK179" t="inlineStr">
        <is>
          <t>V4</t>
        </is>
      </c>
      <c r="AL179" t="n">
        <v>20230920</v>
      </c>
      <c r="AM179" t="inlineStr">
        <is>
          <t>D836-900006542-66587348-10000160-4</t>
        </is>
      </c>
    </row>
    <row r="180">
      <c r="A180" t="inlineStr">
        <is>
          <t>900006542D8366685103410000160</t>
        </is>
      </c>
      <c r="B180" t="inlineStr">
        <is>
          <t>4600047341-180</t>
        </is>
      </c>
      <c r="C180" t="n">
        <v>4600047341</v>
      </c>
      <c r="D180" t="n">
        <v>180</v>
      </c>
      <c r="E180" t="inlineStr">
        <is>
          <t>MXPO</t>
        </is>
      </c>
      <c r="F180" t="inlineStr">
        <is>
          <t>MXL</t>
        </is>
      </c>
      <c r="G180" t="n">
        <v>900006542</v>
      </c>
      <c r="H180" t="inlineStr">
        <is>
          <t>TP-OLIELL TORTON</t>
        </is>
      </c>
      <c r="I180" t="n">
        <v>5048484</v>
      </c>
      <c r="J180" t="inlineStr">
        <is>
          <t>COMERCIALIZADORA Y TRANSPORTADORA O</t>
        </is>
      </c>
      <c r="K180" t="inlineStr">
        <is>
          <t>N90</t>
        </is>
      </c>
      <c r="L180" t="inlineStr">
        <is>
          <t>(AP) NAFIN 90 Dias</t>
        </is>
      </c>
      <c r="M180" t="n">
        <v>10000160</v>
      </c>
      <c r="N180" t="inlineStr">
        <is>
          <t>Arena Triturada Andesita Malla 4</t>
        </is>
      </c>
      <c r="O180" t="inlineStr">
        <is>
          <t>D836</t>
        </is>
      </c>
      <c r="P180" t="inlineStr">
        <is>
          <t>MX-CED. CENTRO</t>
        </is>
      </c>
      <c r="Q180" t="n">
        <v>20200615</v>
      </c>
      <c r="R180" t="n">
        <v>20281231</v>
      </c>
      <c r="S180" t="n">
        <v>20200909</v>
      </c>
      <c r="T180" t="n">
        <v>20291231</v>
      </c>
      <c r="U180" t="n">
        <v>218</v>
      </c>
      <c r="V180" t="inlineStr">
        <is>
          <t>MXN</t>
        </is>
      </c>
      <c r="W180" t="inlineStr">
        <is>
          <t>M3</t>
        </is>
      </c>
      <c r="X180" t="n">
        <v>118</v>
      </c>
      <c r="Y180" t="inlineStr">
        <is>
          <t>MXN</t>
        </is>
      </c>
      <c r="Z180" t="inlineStr">
        <is>
          <t>M3</t>
        </is>
      </c>
      <c r="AA180" t="inlineStr">
        <is>
          <t>66851034</t>
        </is>
      </c>
      <c r="AB180" t="inlineStr">
        <is>
          <t>INCLUSIV CALLE 4</t>
        </is>
      </c>
      <c r="AC180" t="n">
        <v>56103638</v>
      </c>
      <c r="AD180" t="n">
        <v>6622261540</v>
      </c>
      <c r="AE180" t="n">
        <v>4</v>
      </c>
      <c r="AF180" t="inlineStr">
        <is>
          <t>ENTREGA DIRECTA</t>
        </is>
      </c>
      <c r="AG180" t="n">
        <v>1.409</v>
      </c>
      <c r="AH180" t="inlineStr">
        <is>
          <t>M3</t>
        </is>
      </c>
      <c r="AI180" t="inlineStr">
        <is>
          <t>X</t>
        </is>
      </c>
      <c r="AJ180" t="n">
        <v>4</v>
      </c>
      <c r="AK180" t="inlineStr">
        <is>
          <t>V4</t>
        </is>
      </c>
      <c r="AL180" t="n">
        <v>20230920</v>
      </c>
      <c r="AM180" t="inlineStr">
        <is>
          <t>D836-900006542-66851034-10000160-4</t>
        </is>
      </c>
    </row>
    <row r="181">
      <c r="A181" t="inlineStr">
        <is>
          <t>900004077D83610184010</t>
        </is>
      </c>
      <c r="B181" t="inlineStr">
        <is>
          <t>4600047844-40</t>
        </is>
      </c>
      <c r="C181" t="n">
        <v>4600047844</v>
      </c>
      <c r="D181" t="n">
        <v>40</v>
      </c>
      <c r="E181" t="inlineStr">
        <is>
          <t>MXPO</t>
        </is>
      </c>
      <c r="F181" t="inlineStr">
        <is>
          <t>MXL</t>
        </is>
      </c>
      <c r="G181" t="n">
        <v>900004077</v>
      </c>
      <c r="H181" t="inlineStr">
        <is>
          <t>TP-SAN JUAN (HUDASA)</t>
        </is>
      </c>
      <c r="I181" t="n">
        <v>5054686</v>
      </c>
      <c r="J181" t="inlineStr">
        <is>
          <t>GRUPO MERCANTIL HUDASA SA DE CV</t>
        </is>
      </c>
      <c r="K181" t="inlineStr">
        <is>
          <t>Z06</t>
        </is>
      </c>
      <c r="L181" t="inlineStr">
        <is>
          <t>(AP) 45 Dias</t>
        </is>
      </c>
      <c r="M181" t="n">
        <v>10184010</v>
      </c>
      <c r="N181" t="inlineStr">
        <is>
          <t>GRAVA TRITURADA CALIZA 13 MM - 1/2"</t>
        </is>
      </c>
      <c r="O181" t="inlineStr">
        <is>
          <t>D836</t>
        </is>
      </c>
      <c r="P181" t="inlineStr">
        <is>
          <t>MX-CED. CENTRO</t>
        </is>
      </c>
      <c r="Q181" t="n">
        <v>20200825</v>
      </c>
      <c r="R181" t="n">
        <v>20301231</v>
      </c>
      <c r="S181" t="n">
        <v>20200911</v>
      </c>
      <c r="T181" t="n">
        <v>20291231</v>
      </c>
      <c r="U181" t="n">
        <v>342.5</v>
      </c>
      <c r="V181" t="inlineStr">
        <is>
          <t>MXN</t>
        </is>
      </c>
      <c r="W181" t="inlineStr">
        <is>
          <t>M3</t>
        </is>
      </c>
      <c r="X181" t="n">
        <v>202.5</v>
      </c>
      <c r="Y181" t="inlineStr">
        <is>
          <t>MXN</t>
        </is>
      </c>
      <c r="Z181" t="inlineStr">
        <is>
          <t>M3</t>
        </is>
      </c>
      <c r="AC181" t="n">
        <v>56103637</v>
      </c>
      <c r="AD181" t="n">
        <v>6622261540</v>
      </c>
      <c r="AE181" t="n">
        <v>4</v>
      </c>
      <c r="AF181" t="inlineStr">
        <is>
          <t>ENTREGA DIRECTA</t>
        </is>
      </c>
      <c r="AG181" t="n">
        <v>1.446</v>
      </c>
      <c r="AH181" t="inlineStr">
        <is>
          <t>M3</t>
        </is>
      </c>
      <c r="AI181" t="inlineStr">
        <is>
          <t>X</t>
        </is>
      </c>
      <c r="AJ181" t="n">
        <v>4</v>
      </c>
      <c r="AK181" t="inlineStr">
        <is>
          <t>V4</t>
        </is>
      </c>
      <c r="AL181" t="n">
        <v>20230920</v>
      </c>
      <c r="AM181" t="inlineStr">
        <is>
          <t>D836-900004077--10184010-4</t>
        </is>
      </c>
    </row>
    <row r="182">
      <c r="A182" t="inlineStr">
        <is>
          <t>900006371D8366680034610000313</t>
        </is>
      </c>
      <c r="B182" t="inlineStr">
        <is>
          <t>4600048255-160</t>
        </is>
      </c>
      <c r="C182" t="n">
        <v>4600048255</v>
      </c>
      <c r="D182" t="n">
        <v>160</v>
      </c>
      <c r="E182" t="inlineStr">
        <is>
          <t>MXPO</t>
        </is>
      </c>
      <c r="F182" t="inlineStr">
        <is>
          <t>MXL</t>
        </is>
      </c>
      <c r="G182" t="n">
        <v>900006371</v>
      </c>
      <c r="H182" t="inlineStr">
        <is>
          <t>SF TP-ED-TRIVOMEX</t>
        </is>
      </c>
      <c r="I182" t="n">
        <v>5033501</v>
      </c>
      <c r="J182" t="inlineStr">
        <is>
          <t>TRITURADOS VOLCANICOS DE MEXICO</t>
        </is>
      </c>
      <c r="K182" t="inlineStr">
        <is>
          <t>Z04</t>
        </is>
      </c>
      <c r="L182" t="inlineStr">
        <is>
          <t>(AP) 30 Dias</t>
        </is>
      </c>
      <c r="M182" t="n">
        <v>10000313</v>
      </c>
      <c r="N182" t="inlineStr">
        <is>
          <t>Grava Triturada Basalto  10 mm - 3/8"</t>
        </is>
      </c>
      <c r="O182" t="inlineStr">
        <is>
          <t>D836</t>
        </is>
      </c>
      <c r="P182" t="inlineStr">
        <is>
          <t>MX-CED. CENTRO</t>
        </is>
      </c>
      <c r="Q182" t="n">
        <v>20201015</v>
      </c>
      <c r="R182" t="n">
        <v>20291231</v>
      </c>
      <c r="S182" t="n">
        <v>20211027</v>
      </c>
      <c r="T182" t="n">
        <v>20261231</v>
      </c>
      <c r="U182" t="n">
        <v>640</v>
      </c>
      <c r="V182" t="inlineStr">
        <is>
          <t>MXN</t>
        </is>
      </c>
      <c r="W182" t="inlineStr">
        <is>
          <t>M3</t>
        </is>
      </c>
      <c r="X182" t="n">
        <v>265</v>
      </c>
      <c r="Y182" t="inlineStr">
        <is>
          <t>MXN</t>
        </is>
      </c>
      <c r="Z182" t="inlineStr">
        <is>
          <t>M3</t>
        </is>
      </c>
      <c r="AA182" t="inlineStr">
        <is>
          <t>66800346</t>
        </is>
      </c>
      <c r="AB182" t="inlineStr">
        <is>
          <t>C2002 CIRCUITO EXTERIOR MEXQUENSE (</t>
        </is>
      </c>
      <c r="AC182" t="n">
        <v>56103637</v>
      </c>
      <c r="AD182" t="n">
        <v>6622261540</v>
      </c>
      <c r="AE182" t="n">
        <v>4</v>
      </c>
      <c r="AF182" t="inlineStr">
        <is>
          <t>ENTREGA DIRECTA</t>
        </is>
      </c>
      <c r="AG182" t="n">
        <v>1.32</v>
      </c>
      <c r="AH182" t="inlineStr">
        <is>
          <t>M3</t>
        </is>
      </c>
      <c r="AI182" t="inlineStr">
        <is>
          <t>X</t>
        </is>
      </c>
      <c r="AJ182" t="n">
        <v>4</v>
      </c>
      <c r="AK182" t="inlineStr">
        <is>
          <t>V4</t>
        </is>
      </c>
      <c r="AL182" t="n">
        <v>20230920</v>
      </c>
      <c r="AM182" t="inlineStr">
        <is>
          <t>D836-900006371-66800346-10000313-4</t>
        </is>
      </c>
    </row>
    <row r="183">
      <c r="A183" t="inlineStr">
        <is>
          <t>900006371D8366701980210000287</t>
        </is>
      </c>
      <c r="B183" t="inlineStr">
        <is>
          <t>4600048255-190</t>
        </is>
      </c>
      <c r="C183" t="n">
        <v>4600048255</v>
      </c>
      <c r="D183" t="n">
        <v>190</v>
      </c>
      <c r="E183" t="inlineStr">
        <is>
          <t>MXPO</t>
        </is>
      </c>
      <c r="F183" t="inlineStr">
        <is>
          <t>MXL</t>
        </is>
      </c>
      <c r="G183" t="n">
        <v>900006371</v>
      </c>
      <c r="H183" t="inlineStr">
        <is>
          <t>SF TP-ED-TRIVOMEX</t>
        </is>
      </c>
      <c r="I183" t="n">
        <v>5033501</v>
      </c>
      <c r="J183" t="inlineStr">
        <is>
          <t>TRITURADOS VOLCANICOS DE MEXICO</t>
        </is>
      </c>
      <c r="K183" t="inlineStr">
        <is>
          <t>Z04</t>
        </is>
      </c>
      <c r="L183" t="inlineStr">
        <is>
          <t>(AP) 30 Dias</t>
        </is>
      </c>
      <c r="M183" t="n">
        <v>10000287</v>
      </c>
      <c r="N183" t="inlineStr">
        <is>
          <t>Grava Triturada Basalto  40 mm - 1 1/2"</t>
        </is>
      </c>
      <c r="O183" t="inlineStr">
        <is>
          <t>D836</t>
        </is>
      </c>
      <c r="P183" t="inlineStr">
        <is>
          <t>MX-CED. CENTRO</t>
        </is>
      </c>
      <c r="Q183" t="n">
        <v>20201015</v>
      </c>
      <c r="R183" t="n">
        <v>20291231</v>
      </c>
      <c r="S183" t="n">
        <v>20211121</v>
      </c>
      <c r="T183" t="n">
        <v>20261231</v>
      </c>
      <c r="U183" t="n">
        <v>474</v>
      </c>
      <c r="V183" t="inlineStr">
        <is>
          <t>MXN</t>
        </is>
      </c>
      <c r="W183" t="inlineStr">
        <is>
          <t>M3</t>
        </is>
      </c>
      <c r="X183" t="n">
        <v>228</v>
      </c>
      <c r="Y183" t="inlineStr">
        <is>
          <t>MXN</t>
        </is>
      </c>
      <c r="Z183" t="inlineStr">
        <is>
          <t>M3</t>
        </is>
      </c>
      <c r="AA183" t="inlineStr">
        <is>
          <t>67019802</t>
        </is>
      </c>
      <c r="AB183" t="inlineStr">
        <is>
          <t>H colegio Militar E.2</t>
        </is>
      </c>
      <c r="AC183" t="n">
        <v>56103637</v>
      </c>
      <c r="AD183" t="n">
        <v>6622261540</v>
      </c>
      <c r="AE183" t="n">
        <v>4</v>
      </c>
      <c r="AF183" t="inlineStr">
        <is>
          <t>ENTREGA DIRECTA</t>
        </is>
      </c>
      <c r="AG183" t="n">
        <v>1.44</v>
      </c>
      <c r="AH183" t="inlineStr">
        <is>
          <t>M3</t>
        </is>
      </c>
      <c r="AI183" t="inlineStr">
        <is>
          <t>X</t>
        </is>
      </c>
      <c r="AJ183" t="n">
        <v>4</v>
      </c>
      <c r="AK183" t="inlineStr">
        <is>
          <t>V4</t>
        </is>
      </c>
      <c r="AL183" t="n">
        <v>20230920</v>
      </c>
      <c r="AM183" t="inlineStr">
        <is>
          <t>D836-900006371-67019802-10000287-4</t>
        </is>
      </c>
    </row>
    <row r="184">
      <c r="A184" t="inlineStr">
        <is>
          <t>900007321D8366709100410000357</t>
        </is>
      </c>
      <c r="B184" t="inlineStr">
        <is>
          <t>4600052061-80</t>
        </is>
      </c>
      <c r="C184" t="n">
        <v>4600052061</v>
      </c>
      <c r="D184" t="n">
        <v>80</v>
      </c>
      <c r="E184" t="inlineStr">
        <is>
          <t>MXPO</t>
        </is>
      </c>
      <c r="F184" t="inlineStr">
        <is>
          <t>MXL</t>
        </is>
      </c>
      <c r="G184" t="n">
        <v>900007321</v>
      </c>
      <c r="H184" t="inlineStr">
        <is>
          <t>SF TP-ED-LOMA ANCHA SC</t>
        </is>
      </c>
      <c r="I184" t="n">
        <v>5047262</v>
      </c>
      <c r="J184" t="inlineStr">
        <is>
          <t>AGREGADOS PETREOS SAN CRISTOBAL</t>
        </is>
      </c>
      <c r="K184" t="inlineStr">
        <is>
          <t>Z03</t>
        </is>
      </c>
      <c r="L184" t="inlineStr">
        <is>
          <t>(AP) 15 Dias</t>
        </is>
      </c>
      <c r="M184" t="n">
        <v>10000357</v>
      </c>
      <c r="N184" t="inlineStr">
        <is>
          <t>Grava Triturada Andesita 20 mm - 3/4"</t>
        </is>
      </c>
      <c r="O184" t="inlineStr">
        <is>
          <t>D836</t>
        </is>
      </c>
      <c r="P184" t="inlineStr">
        <is>
          <t>MX-CED. CENTRO</t>
        </is>
      </c>
      <c r="Q184" t="n">
        <v>20210928</v>
      </c>
      <c r="R184" t="n">
        <v>20291231</v>
      </c>
      <c r="S184" t="n">
        <v>20220928</v>
      </c>
      <c r="T184" t="n">
        <v>20271231</v>
      </c>
      <c r="U184" t="n">
        <v>324</v>
      </c>
      <c r="V184" t="inlineStr">
        <is>
          <t>MXN</t>
        </is>
      </c>
      <c r="W184" t="inlineStr">
        <is>
          <t>M3</t>
        </is>
      </c>
      <c r="X184" t="n">
        <v>285</v>
      </c>
      <c r="Y184" t="inlineStr">
        <is>
          <t>MXN</t>
        </is>
      </c>
      <c r="Z184" t="inlineStr">
        <is>
          <t>M3</t>
        </is>
      </c>
      <c r="AA184" t="inlineStr">
        <is>
          <t>67091004</t>
        </is>
      </c>
      <c r="AB184" t="inlineStr">
        <is>
          <t>PARQUE NACIONAL DE JUSTICIA (FISCAL</t>
        </is>
      </c>
      <c r="AC184" t="n">
        <v>56103637</v>
      </c>
      <c r="AD184" t="n">
        <v>6622261540</v>
      </c>
      <c r="AE184" t="n">
        <v>4</v>
      </c>
      <c r="AF184" t="inlineStr">
        <is>
          <t>ENTREGA DIRECTA</t>
        </is>
      </c>
      <c r="AG184" t="n">
        <v>1.326</v>
      </c>
      <c r="AH184" t="inlineStr">
        <is>
          <t>M3</t>
        </is>
      </c>
      <c r="AI184" t="inlineStr">
        <is>
          <t>X</t>
        </is>
      </c>
      <c r="AJ184" t="n">
        <v>4</v>
      </c>
      <c r="AK184" t="inlineStr">
        <is>
          <t>V4</t>
        </is>
      </c>
      <c r="AL184" t="n">
        <v>20230920</v>
      </c>
      <c r="AM184" t="inlineStr">
        <is>
          <t>D836-900007321-67091004-10000357-4</t>
        </is>
      </c>
    </row>
    <row r="185">
      <c r="A185" t="inlineStr">
        <is>
          <t>900001074D8366679902910000357</t>
        </is>
      </c>
      <c r="B185" t="inlineStr">
        <is>
          <t>4600027573-360</t>
        </is>
      </c>
      <c r="C185" t="n">
        <v>4600027573</v>
      </c>
      <c r="D185" t="n">
        <v>360</v>
      </c>
      <c r="E185" t="inlineStr">
        <is>
          <t>MXPO</t>
        </is>
      </c>
      <c r="F185" t="inlineStr">
        <is>
          <t>M02</t>
        </is>
      </c>
      <c r="G185" t="n">
        <v>900001074</v>
      </c>
      <c r="H185" t="inlineStr">
        <is>
          <t>TP-TRIVOMEX</t>
        </is>
      </c>
      <c r="I185" t="n">
        <v>5033501</v>
      </c>
      <c r="J185" t="inlineStr">
        <is>
          <t>TRITURADOS VOLCANICOS DE MEXICO</t>
        </is>
      </c>
      <c r="K185" t="inlineStr">
        <is>
          <t>Z04</t>
        </is>
      </c>
      <c r="L185" t="inlineStr">
        <is>
          <t>(AP) 30 Dias</t>
        </is>
      </c>
      <c r="M185" t="n">
        <v>10000357</v>
      </c>
      <c r="N185" t="inlineStr">
        <is>
          <t>Grava Triturada Andesita 20 mm - 3/4"</t>
        </is>
      </c>
      <c r="O185" t="inlineStr">
        <is>
          <t>D836</t>
        </is>
      </c>
      <c r="P185" t="inlineStr">
        <is>
          <t>MX-CED. CENTRO</t>
        </is>
      </c>
      <c r="Q185" t="n">
        <v>20140701</v>
      </c>
      <c r="R185" t="n">
        <v>20291231</v>
      </c>
      <c r="S185" t="n">
        <v>20210326</v>
      </c>
      <c r="T185" t="n">
        <v>20291231</v>
      </c>
      <c r="U185" t="n">
        <v>228</v>
      </c>
      <c r="V185" t="inlineStr">
        <is>
          <t>MXN</t>
        </is>
      </c>
      <c r="W185" t="inlineStr">
        <is>
          <t>M3</t>
        </is>
      </c>
      <c r="X185" t="n">
        <v>133</v>
      </c>
      <c r="Y185" t="inlineStr">
        <is>
          <t>MXN</t>
        </is>
      </c>
      <c r="Z185" t="inlineStr">
        <is>
          <t>M3</t>
        </is>
      </c>
      <c r="AA185" t="inlineStr">
        <is>
          <t>66799029</t>
        </is>
      </c>
      <c r="AB185" t="inlineStr">
        <is>
          <t>BLOQUERA NEHUEN</t>
        </is>
      </c>
      <c r="AC185" t="n">
        <v>56103637</v>
      </c>
      <c r="AD185" t="n">
        <v>6622261540</v>
      </c>
      <c r="AE185" t="n">
        <v>4</v>
      </c>
      <c r="AF185" t="inlineStr">
        <is>
          <t>ENTREGA DIRECTA</t>
        </is>
      </c>
      <c r="AG185" t="n">
        <v>1.326</v>
      </c>
      <c r="AH185" t="inlineStr">
        <is>
          <t>M3</t>
        </is>
      </c>
      <c r="AI185" t="inlineStr">
        <is>
          <t>X</t>
        </is>
      </c>
      <c r="AJ185" t="n">
        <v>4</v>
      </c>
      <c r="AK185" t="inlineStr">
        <is>
          <t>V4</t>
        </is>
      </c>
      <c r="AL185" t="n">
        <v>20230920</v>
      </c>
      <c r="AM185" t="inlineStr">
        <is>
          <t>D836-900001074-66799029-10000357-4</t>
        </is>
      </c>
    </row>
    <row r="186">
      <c r="A186" t="inlineStr">
        <is>
          <t>900004365D8366707581110000284</t>
        </is>
      </c>
      <c r="B186" t="inlineStr">
        <is>
          <t>4600042122-70</t>
        </is>
      </c>
      <c r="C186" t="n">
        <v>4600042122</v>
      </c>
      <c r="D186" t="n">
        <v>70</v>
      </c>
      <c r="E186" t="inlineStr">
        <is>
          <t>MXPO</t>
        </is>
      </c>
      <c r="F186" t="inlineStr">
        <is>
          <t>MXL</t>
        </is>
      </c>
      <c r="G186" t="n">
        <v>900004365</v>
      </c>
      <c r="H186" t="inlineStr">
        <is>
          <t>TP-ED-DOS CERROS</t>
        </is>
      </c>
      <c r="I186" t="n">
        <v>5036168</v>
      </c>
      <c r="J186" t="inlineStr">
        <is>
          <t>TRITURADOS DOS CERROS SA DE CV</t>
        </is>
      </c>
      <c r="K186" t="inlineStr">
        <is>
          <t>Z04</t>
        </is>
      </c>
      <c r="L186" t="inlineStr">
        <is>
          <t>(AP) 30 Dias</t>
        </is>
      </c>
      <c r="M186" t="n">
        <v>10000284</v>
      </c>
      <c r="N186" t="inlineStr">
        <is>
          <t>Grava Triturada Basalto  20 mm - 3/4"</t>
        </is>
      </c>
      <c r="O186" t="inlineStr">
        <is>
          <t>D836</t>
        </is>
      </c>
      <c r="P186" t="inlineStr">
        <is>
          <t>MX-CED. CENTRO</t>
        </is>
      </c>
      <c r="Q186" t="n">
        <v>20180517</v>
      </c>
      <c r="R186" t="n">
        <v>20271231</v>
      </c>
      <c r="S186" t="n">
        <v>20220615</v>
      </c>
      <c r="T186" t="n">
        <v>20271231</v>
      </c>
      <c r="U186" t="n">
        <v>585</v>
      </c>
      <c r="V186" t="inlineStr">
        <is>
          <t>MXN</t>
        </is>
      </c>
      <c r="W186" t="inlineStr">
        <is>
          <t>M3</t>
        </is>
      </c>
      <c r="X186" t="n">
        <v>305</v>
      </c>
      <c r="Y186" t="inlineStr">
        <is>
          <t>MXN</t>
        </is>
      </c>
      <c r="Z186" t="inlineStr">
        <is>
          <t>M3</t>
        </is>
      </c>
      <c r="AA186" t="inlineStr">
        <is>
          <t>67075811</t>
        </is>
      </c>
      <c r="AB186" t="inlineStr">
        <is>
          <t>San Cristobal Ecatepec</t>
        </is>
      </c>
      <c r="AC186" t="n">
        <v>56103637</v>
      </c>
      <c r="AD186" t="n">
        <v>6622261867</v>
      </c>
      <c r="AE186" t="n">
        <v>4</v>
      </c>
      <c r="AF186" t="inlineStr">
        <is>
          <t>ENTREGA DIRECTA</t>
        </is>
      </c>
      <c r="AG186" t="n">
        <v>1.429</v>
      </c>
      <c r="AH186" t="inlineStr">
        <is>
          <t>M3</t>
        </is>
      </c>
      <c r="AI186" t="inlineStr">
        <is>
          <t>X</t>
        </is>
      </c>
      <c r="AJ186" t="n">
        <v>4</v>
      </c>
      <c r="AK186" t="inlineStr">
        <is>
          <t>V4</t>
        </is>
      </c>
      <c r="AL186" t="n">
        <v>20230920</v>
      </c>
      <c r="AM186" t="inlineStr">
        <is>
          <t>D836-900004365-67075811-10000284-4</t>
        </is>
      </c>
    </row>
    <row r="187">
      <c r="A187" t="inlineStr">
        <is>
          <t>900004077D83610184142</t>
        </is>
      </c>
      <c r="B187" t="inlineStr">
        <is>
          <t>4600047844-100</t>
        </is>
      </c>
      <c r="C187" t="n">
        <v>4600047844</v>
      </c>
      <c r="D187" t="n">
        <v>100</v>
      </c>
      <c r="E187" t="inlineStr">
        <is>
          <t>MXPO</t>
        </is>
      </c>
      <c r="F187" t="inlineStr">
        <is>
          <t>MXL</t>
        </is>
      </c>
      <c r="G187" t="n">
        <v>900004077</v>
      </c>
      <c r="H187" t="inlineStr">
        <is>
          <t>TP-SAN JUAN (HUDASA)</t>
        </is>
      </c>
      <c r="I187" t="n">
        <v>5054686</v>
      </c>
      <c r="J187" t="inlineStr">
        <is>
          <t>GRUPO MERCANTIL HUDASA SA DE CV</t>
        </is>
      </c>
      <c r="K187" t="inlineStr">
        <is>
          <t>Z06</t>
        </is>
      </c>
      <c r="L187" t="inlineStr">
        <is>
          <t>(AP) 45 Dias</t>
        </is>
      </c>
      <c r="M187" t="n">
        <v>10184142</v>
      </c>
      <c r="N187" t="inlineStr">
        <is>
          <t>GRAVA TRITURADA CALIZA 40 MM - 1 1/2"</t>
        </is>
      </c>
      <c r="O187" t="inlineStr">
        <is>
          <t>D836</t>
        </is>
      </c>
      <c r="P187" t="inlineStr">
        <is>
          <t>MX-CED. CENTRO</t>
        </is>
      </c>
      <c r="Q187" t="n">
        <v>20200825</v>
      </c>
      <c r="R187" t="n">
        <v>20301231</v>
      </c>
      <c r="S187" t="n">
        <v>20200911</v>
      </c>
      <c r="T187" t="n">
        <v>20291231</v>
      </c>
      <c r="U187" t="n">
        <v>342.5</v>
      </c>
      <c r="V187" t="inlineStr">
        <is>
          <t>MXN</t>
        </is>
      </c>
      <c r="W187" t="inlineStr">
        <is>
          <t>M3</t>
        </is>
      </c>
      <c r="X187" t="n">
        <v>202.5</v>
      </c>
      <c r="Y187" t="inlineStr">
        <is>
          <t>MXN</t>
        </is>
      </c>
      <c r="Z187" t="inlineStr">
        <is>
          <t>M3</t>
        </is>
      </c>
      <c r="AC187" t="n">
        <v>56103637</v>
      </c>
      <c r="AD187" t="n">
        <v>6622261540</v>
      </c>
      <c r="AE187" t="n">
        <v>4</v>
      </c>
      <c r="AF187" t="inlineStr">
        <is>
          <t>ENTREGA DIRECTA</t>
        </is>
      </c>
      <c r="AG187" t="n">
        <v>1.446</v>
      </c>
      <c r="AH187" t="inlineStr">
        <is>
          <t>M3</t>
        </is>
      </c>
      <c r="AI187" t="inlineStr">
        <is>
          <t>X</t>
        </is>
      </c>
      <c r="AJ187" t="n">
        <v>4</v>
      </c>
      <c r="AK187" t="inlineStr">
        <is>
          <t>V4</t>
        </is>
      </c>
      <c r="AL187" t="n">
        <v>20230920</v>
      </c>
      <c r="AM187" t="inlineStr">
        <is>
          <t>D836-900004077--10184142-4</t>
        </is>
      </c>
    </row>
    <row r="188">
      <c r="A188" t="inlineStr">
        <is>
          <t>900004077D83610184010</t>
        </is>
      </c>
      <c r="B188" t="inlineStr">
        <is>
          <t>4600047844-120</t>
        </is>
      </c>
      <c r="C188" t="n">
        <v>4600047844</v>
      </c>
      <c r="D188" t="n">
        <v>120</v>
      </c>
      <c r="E188" t="inlineStr">
        <is>
          <t>MXPO</t>
        </is>
      </c>
      <c r="F188" t="inlineStr">
        <is>
          <t>MXL</t>
        </is>
      </c>
      <c r="G188" t="n">
        <v>900004077</v>
      </c>
      <c r="H188" t="inlineStr">
        <is>
          <t>TP-SAN JUAN (HUDASA)</t>
        </is>
      </c>
      <c r="I188" t="n">
        <v>5054686</v>
      </c>
      <c r="J188" t="inlineStr">
        <is>
          <t>GRUPO MERCANTIL HUDASA SA DE CV</t>
        </is>
      </c>
      <c r="K188" t="inlineStr">
        <is>
          <t>Z06</t>
        </is>
      </c>
      <c r="L188" t="inlineStr">
        <is>
          <t>(AP) 45 Dias</t>
        </is>
      </c>
      <c r="M188" t="n">
        <v>10184010</v>
      </c>
      <c r="N188" t="inlineStr">
        <is>
          <t>GRAVA TRITURADA CALIZA 13 MM - 1/2"</t>
        </is>
      </c>
      <c r="O188" t="inlineStr">
        <is>
          <t>D836</t>
        </is>
      </c>
      <c r="P188" t="inlineStr">
        <is>
          <t>MX-CED. CENTRO</t>
        </is>
      </c>
      <c r="Q188" t="n">
        <v>20200825</v>
      </c>
      <c r="R188" t="n">
        <v>20301231</v>
      </c>
      <c r="S188" t="n">
        <v>20200911</v>
      </c>
      <c r="T188" t="n">
        <v>20291231</v>
      </c>
      <c r="U188" t="n">
        <v>342.5</v>
      </c>
      <c r="V188" t="inlineStr">
        <is>
          <t>MXN</t>
        </is>
      </c>
      <c r="W188" t="inlineStr">
        <is>
          <t>M3</t>
        </is>
      </c>
      <c r="X188" t="n">
        <v>202.5</v>
      </c>
      <c r="Y188" t="inlineStr">
        <is>
          <t>MXN</t>
        </is>
      </c>
      <c r="Z188" t="inlineStr">
        <is>
          <t>M3</t>
        </is>
      </c>
      <c r="AC188" t="n">
        <v>56103637</v>
      </c>
      <c r="AD188" t="n">
        <v>6622261540</v>
      </c>
      <c r="AE188" t="n">
        <v>4</v>
      </c>
      <c r="AF188" t="inlineStr">
        <is>
          <t>ENTREGA DIRECTA</t>
        </is>
      </c>
      <c r="AG188" t="n">
        <v>1.446</v>
      </c>
      <c r="AH188" t="inlineStr">
        <is>
          <t>M3</t>
        </is>
      </c>
      <c r="AI188" t="inlineStr">
        <is>
          <t>X</t>
        </is>
      </c>
      <c r="AJ188" t="n">
        <v>4</v>
      </c>
      <c r="AK188" t="inlineStr">
        <is>
          <t>V4</t>
        </is>
      </c>
      <c r="AL188" t="n">
        <v>20230920</v>
      </c>
      <c r="AM188" t="inlineStr">
        <is>
          <t>D836-900004077--10184010-4</t>
        </is>
      </c>
    </row>
    <row r="189">
      <c r="A189" t="inlineStr">
        <is>
          <t>900007321D8366679902910000160</t>
        </is>
      </c>
      <c r="B189" t="inlineStr">
        <is>
          <t>4600055089-10</t>
        </is>
      </c>
      <c r="C189" t="n">
        <v>4600055089</v>
      </c>
      <c r="D189" t="n">
        <v>10</v>
      </c>
      <c r="E189" t="inlineStr">
        <is>
          <t>MXPO</t>
        </is>
      </c>
      <c r="F189" t="inlineStr">
        <is>
          <t>MXL</t>
        </is>
      </c>
      <c r="G189" t="n">
        <v>900007321</v>
      </c>
      <c r="H189" t="inlineStr">
        <is>
          <t>SF TP-ED-LOMA ANCHA SC</t>
        </is>
      </c>
      <c r="I189" t="n">
        <v>5047262</v>
      </c>
      <c r="J189" t="inlineStr">
        <is>
          <t>AGREGADOS PETREOS SAN CRISTOBAL</t>
        </is>
      </c>
      <c r="K189" t="inlineStr">
        <is>
          <t>Z03</t>
        </is>
      </c>
      <c r="L189" t="inlineStr">
        <is>
          <t>(AP) 15 Dias</t>
        </is>
      </c>
      <c r="M189" t="n">
        <v>10000160</v>
      </c>
      <c r="N189" t="inlineStr">
        <is>
          <t>Arena Triturada Andesita Malla 4</t>
        </is>
      </c>
      <c r="O189" t="inlineStr">
        <is>
          <t>D836</t>
        </is>
      </c>
      <c r="P189" t="inlineStr">
        <is>
          <t>MX-CED. CENTRO</t>
        </is>
      </c>
      <c r="Q189" t="n">
        <v>20220905</v>
      </c>
      <c r="R189" t="n">
        <v>20271231</v>
      </c>
      <c r="S189" t="n">
        <v>20220905</v>
      </c>
      <c r="T189" t="n">
        <v>20271231</v>
      </c>
      <c r="U189" t="n">
        <v>240</v>
      </c>
      <c r="V189" t="inlineStr">
        <is>
          <t>MXN</t>
        </is>
      </c>
      <c r="W189" t="inlineStr">
        <is>
          <t>M3</t>
        </is>
      </c>
      <c r="X189" t="n">
        <v>148</v>
      </c>
      <c r="Y189" t="inlineStr">
        <is>
          <t>MXN</t>
        </is>
      </c>
      <c r="Z189" t="inlineStr">
        <is>
          <t>M3</t>
        </is>
      </c>
      <c r="AA189" t="inlineStr">
        <is>
          <t>66799029</t>
        </is>
      </c>
      <c r="AB189" t="inlineStr">
        <is>
          <t>BLOQUERA NEHUEN</t>
        </is>
      </c>
      <c r="AC189" t="n">
        <v>56103638</v>
      </c>
      <c r="AD189" t="n">
        <v>6622261540</v>
      </c>
      <c r="AE189" t="n">
        <v>4</v>
      </c>
      <c r="AF189" t="inlineStr">
        <is>
          <t>ENTREGA DIRECTA</t>
        </is>
      </c>
      <c r="AG189" t="n">
        <v>1.409</v>
      </c>
      <c r="AH189" t="inlineStr">
        <is>
          <t>M3</t>
        </is>
      </c>
      <c r="AI189" t="inlineStr">
        <is>
          <t>X</t>
        </is>
      </c>
      <c r="AJ189" t="n">
        <v>4</v>
      </c>
      <c r="AK189" t="inlineStr">
        <is>
          <t>V4</t>
        </is>
      </c>
      <c r="AL189" t="n">
        <v>20230920</v>
      </c>
      <c r="AM189" t="inlineStr">
        <is>
          <t>D836-900007321-66799029-10000160-4</t>
        </is>
      </c>
    </row>
    <row r="190">
      <c r="A190" t="inlineStr">
        <is>
          <t>900006542D8366714860610058345</t>
        </is>
      </c>
      <c r="B190" t="inlineStr">
        <is>
          <t>4600047341-590</t>
        </is>
      </c>
      <c r="C190" t="n">
        <v>4600047341</v>
      </c>
      <c r="D190" t="n">
        <v>590</v>
      </c>
      <c r="E190" t="inlineStr">
        <is>
          <t>MXPO</t>
        </is>
      </c>
      <c r="F190" t="inlineStr">
        <is>
          <t>MXL</t>
        </is>
      </c>
      <c r="G190" t="n">
        <v>900006542</v>
      </c>
      <c r="H190" t="inlineStr">
        <is>
          <t>TP-OLIELL TORTON</t>
        </is>
      </c>
      <c r="I190" t="n">
        <v>5048484</v>
      </c>
      <c r="J190" t="inlineStr">
        <is>
          <t>COMERCIALIZADORA Y TRANSPORTADORA O</t>
        </is>
      </c>
      <c r="K190" t="inlineStr">
        <is>
          <t>N90</t>
        </is>
      </c>
      <c r="L190" t="inlineStr">
        <is>
          <t>(AP) NAFIN 90 Dias</t>
        </is>
      </c>
      <c r="M190" t="n">
        <v>10058345</v>
      </c>
      <c r="N190" t="inlineStr">
        <is>
          <t>Arena Triturada Caliza Malla 4</t>
        </is>
      </c>
      <c r="O190" t="inlineStr">
        <is>
          <t>D836</t>
        </is>
      </c>
      <c r="P190" t="inlineStr">
        <is>
          <t>MX-CED. CENTRO</t>
        </is>
      </c>
      <c r="Q190" t="n">
        <v>20200615</v>
      </c>
      <c r="R190" t="n">
        <v>20281231</v>
      </c>
      <c r="S190" t="n">
        <v>20230523</v>
      </c>
      <c r="T190" t="n">
        <v>20281231</v>
      </c>
      <c r="U190" t="n">
        <v>768</v>
      </c>
      <c r="V190" t="inlineStr">
        <is>
          <t>MXN</t>
        </is>
      </c>
      <c r="W190" t="inlineStr">
        <is>
          <t>M3</t>
        </is>
      </c>
      <c r="X190" t="n">
        <v>168</v>
      </c>
      <c r="Y190" t="inlineStr">
        <is>
          <t>MXN</t>
        </is>
      </c>
      <c r="Z190" t="inlineStr">
        <is>
          <t>M3</t>
        </is>
      </c>
      <c r="AA190" t="inlineStr">
        <is>
          <t>67148606</t>
        </is>
      </c>
      <c r="AB190" t="inlineStr">
        <is>
          <t>REMODELACIÓN BODEGA AURRERA</t>
        </is>
      </c>
      <c r="AC190" t="n">
        <v>56103638</v>
      </c>
      <c r="AD190" t="n">
        <v>6622261540</v>
      </c>
      <c r="AE190" t="n">
        <v>4</v>
      </c>
      <c r="AF190" t="inlineStr">
        <is>
          <t>ENTREGA DIRECTA</t>
        </is>
      </c>
      <c r="AG190" t="n">
        <v>1.575</v>
      </c>
      <c r="AH190" t="inlineStr">
        <is>
          <t>M3</t>
        </is>
      </c>
      <c r="AI190" t="inlineStr">
        <is>
          <t>X</t>
        </is>
      </c>
      <c r="AJ190" t="n">
        <v>4</v>
      </c>
      <c r="AK190" t="inlineStr">
        <is>
          <t>V4</t>
        </is>
      </c>
      <c r="AL190" t="n">
        <v>20230920</v>
      </c>
      <c r="AM190" t="inlineStr">
        <is>
          <t>D836-900006542-67148606-10058345-4</t>
        </is>
      </c>
    </row>
    <row r="191">
      <c r="A191" t="inlineStr">
        <is>
          <t>900004077D83610184011</t>
        </is>
      </c>
      <c r="B191" t="inlineStr">
        <is>
          <t>4600047844-130</t>
        </is>
      </c>
      <c r="C191" t="n">
        <v>4600047844</v>
      </c>
      <c r="D191" t="n">
        <v>130</v>
      </c>
      <c r="E191" t="inlineStr">
        <is>
          <t>MXPO</t>
        </is>
      </c>
      <c r="F191" t="inlineStr">
        <is>
          <t>MXL</t>
        </is>
      </c>
      <c r="G191" t="n">
        <v>900004077</v>
      </c>
      <c r="H191" t="inlineStr">
        <is>
          <t>TP-SAN JUAN (HUDASA)</t>
        </is>
      </c>
      <c r="I191" t="n">
        <v>5054686</v>
      </c>
      <c r="J191" t="inlineStr">
        <is>
          <t>GRUPO MERCANTIL HUDASA SA DE CV</t>
        </is>
      </c>
      <c r="K191" t="inlineStr">
        <is>
          <t>Z06</t>
        </is>
      </c>
      <c r="L191" t="inlineStr">
        <is>
          <t>(AP) 45 Dias</t>
        </is>
      </c>
      <c r="M191" t="n">
        <v>10184011</v>
      </c>
      <c r="N191" t="inlineStr">
        <is>
          <t>GRAVA TRITURADA CALIZA 20 MM - 3/4"</t>
        </is>
      </c>
      <c r="O191" t="inlineStr">
        <is>
          <t>D836</t>
        </is>
      </c>
      <c r="P191" t="inlineStr">
        <is>
          <t>MX-CED. CENTRO</t>
        </is>
      </c>
      <c r="Q191" t="n">
        <v>20200825</v>
      </c>
      <c r="R191" t="n">
        <v>20301231</v>
      </c>
      <c r="S191" t="n">
        <v>20200911</v>
      </c>
      <c r="T191" t="n">
        <v>20291231</v>
      </c>
      <c r="U191" t="n">
        <v>342.5</v>
      </c>
      <c r="V191" t="inlineStr">
        <is>
          <t>MXN</t>
        </is>
      </c>
      <c r="W191" t="inlineStr">
        <is>
          <t>M3</t>
        </is>
      </c>
      <c r="X191" t="n">
        <v>202.5</v>
      </c>
      <c r="Y191" t="inlineStr">
        <is>
          <t>MXN</t>
        </is>
      </c>
      <c r="Z191" t="inlineStr">
        <is>
          <t>M3</t>
        </is>
      </c>
      <c r="AC191" t="n">
        <v>56103637</v>
      </c>
      <c r="AD191" t="n">
        <v>6622261540</v>
      </c>
      <c r="AE191" t="n">
        <v>4</v>
      </c>
      <c r="AF191" t="inlineStr">
        <is>
          <t>ENTREGA DIRECTA</t>
        </is>
      </c>
      <c r="AG191" t="n">
        <v>1.462</v>
      </c>
      <c r="AH191" t="inlineStr">
        <is>
          <t>M3</t>
        </is>
      </c>
      <c r="AI191" t="inlineStr">
        <is>
          <t>X</t>
        </is>
      </c>
      <c r="AJ191" t="n">
        <v>4</v>
      </c>
      <c r="AK191" t="inlineStr">
        <is>
          <t>V4</t>
        </is>
      </c>
      <c r="AL191" t="n">
        <v>20230920</v>
      </c>
      <c r="AM191" t="inlineStr">
        <is>
          <t>D836-900004077--10184011-4</t>
        </is>
      </c>
    </row>
    <row r="192">
      <c r="A192" t="inlineStr">
        <is>
          <t>900004077D83610184142</t>
        </is>
      </c>
      <c r="B192" t="inlineStr">
        <is>
          <t>4600047844-140</t>
        </is>
      </c>
      <c r="C192" t="n">
        <v>4600047844</v>
      </c>
      <c r="D192" t="n">
        <v>140</v>
      </c>
      <c r="E192" t="inlineStr">
        <is>
          <t>MXPO</t>
        </is>
      </c>
      <c r="F192" t="inlineStr">
        <is>
          <t>MXL</t>
        </is>
      </c>
      <c r="G192" t="n">
        <v>900004077</v>
      </c>
      <c r="H192" t="inlineStr">
        <is>
          <t>TP-SAN JUAN (HUDASA)</t>
        </is>
      </c>
      <c r="I192" t="n">
        <v>5054686</v>
      </c>
      <c r="J192" t="inlineStr">
        <is>
          <t>GRUPO MERCANTIL HUDASA SA DE CV</t>
        </is>
      </c>
      <c r="K192" t="inlineStr">
        <is>
          <t>Z06</t>
        </is>
      </c>
      <c r="L192" t="inlineStr">
        <is>
          <t>(AP) 45 Dias</t>
        </is>
      </c>
      <c r="M192" t="n">
        <v>10184142</v>
      </c>
      <c r="N192" t="inlineStr">
        <is>
          <t>GRAVA TRITURADA CALIZA 40 MM - 1 1/2"</t>
        </is>
      </c>
      <c r="O192" t="inlineStr">
        <is>
          <t>D836</t>
        </is>
      </c>
      <c r="P192" t="inlineStr">
        <is>
          <t>MX-CED. CENTRO</t>
        </is>
      </c>
      <c r="Q192" t="n">
        <v>20200825</v>
      </c>
      <c r="R192" t="n">
        <v>20301231</v>
      </c>
      <c r="S192" t="n">
        <v>20200911</v>
      </c>
      <c r="T192" t="n">
        <v>20291231</v>
      </c>
      <c r="U192" t="n">
        <v>342.5</v>
      </c>
      <c r="V192" t="inlineStr">
        <is>
          <t>MXN</t>
        </is>
      </c>
      <c r="W192" t="inlineStr">
        <is>
          <t>M3</t>
        </is>
      </c>
      <c r="X192" t="n">
        <v>202.5</v>
      </c>
      <c r="Y192" t="inlineStr">
        <is>
          <t>MXN</t>
        </is>
      </c>
      <c r="Z192" t="inlineStr">
        <is>
          <t>M3</t>
        </is>
      </c>
      <c r="AC192" t="n">
        <v>56103637</v>
      </c>
      <c r="AD192" t="n">
        <v>6622261540</v>
      </c>
      <c r="AE192" t="n">
        <v>4</v>
      </c>
      <c r="AF192" t="inlineStr">
        <is>
          <t>ENTREGA DIRECTA</t>
        </is>
      </c>
      <c r="AG192" t="n">
        <v>1.446</v>
      </c>
      <c r="AH192" t="inlineStr">
        <is>
          <t>M3</t>
        </is>
      </c>
      <c r="AI192" t="inlineStr">
        <is>
          <t>X</t>
        </is>
      </c>
      <c r="AJ192" t="n">
        <v>4</v>
      </c>
      <c r="AK192" t="inlineStr">
        <is>
          <t>V4</t>
        </is>
      </c>
      <c r="AL192" t="n">
        <v>20230920</v>
      </c>
      <c r="AM192" t="inlineStr">
        <is>
          <t>D836-900004077--10184142-4</t>
        </is>
      </c>
    </row>
    <row r="193">
      <c r="A193" t="inlineStr">
        <is>
          <t>900004077D8366500394510184142</t>
        </is>
      </c>
      <c r="B193" t="inlineStr">
        <is>
          <t>4600047844-350</t>
        </is>
      </c>
      <c r="C193" t="n">
        <v>4600047844</v>
      </c>
      <c r="D193" t="n">
        <v>350</v>
      </c>
      <c r="E193" t="inlineStr">
        <is>
          <t>MXPO</t>
        </is>
      </c>
      <c r="F193" t="inlineStr">
        <is>
          <t>MXL</t>
        </is>
      </c>
      <c r="G193" t="n">
        <v>900004077</v>
      </c>
      <c r="H193" t="inlineStr">
        <is>
          <t>TP-SAN JUAN (HUDASA)</t>
        </is>
      </c>
      <c r="I193" t="n">
        <v>5054686</v>
      </c>
      <c r="J193" t="inlineStr">
        <is>
          <t>GRUPO MERCANTIL HUDASA SA DE CV</t>
        </is>
      </c>
      <c r="K193" t="inlineStr">
        <is>
          <t>Z06</t>
        </is>
      </c>
      <c r="L193" t="inlineStr">
        <is>
          <t>(AP) 45 Dias</t>
        </is>
      </c>
      <c r="M193" t="n">
        <v>10184142</v>
      </c>
      <c r="N193" t="inlineStr">
        <is>
          <t>GRAVA TRITURADA CALIZA 40 MM - 1 1/2"</t>
        </is>
      </c>
      <c r="O193" t="inlineStr">
        <is>
          <t>D836</t>
        </is>
      </c>
      <c r="P193" t="inlineStr">
        <is>
          <t>MX-CED. CENTRO</t>
        </is>
      </c>
      <c r="Q193" t="n">
        <v>20200825</v>
      </c>
      <c r="R193" t="n">
        <v>20301231</v>
      </c>
      <c r="S193" t="n">
        <v>20201106</v>
      </c>
      <c r="T193" t="n">
        <v>20291231</v>
      </c>
      <c r="U193" t="n">
        <v>355</v>
      </c>
      <c r="V193" t="inlineStr">
        <is>
          <t>MXN</t>
        </is>
      </c>
      <c r="W193" t="inlineStr">
        <is>
          <t>M3</t>
        </is>
      </c>
      <c r="X193" t="n">
        <v>239</v>
      </c>
      <c r="Y193" t="inlineStr">
        <is>
          <t>MXN</t>
        </is>
      </c>
      <c r="Z193" t="inlineStr">
        <is>
          <t>M3</t>
        </is>
      </c>
      <c r="AA193" t="inlineStr">
        <is>
          <t>65003945</t>
        </is>
      </c>
      <c r="AB193" t="inlineStr">
        <is>
          <t>(P) OBR-AGR PREMEZCLADOS (RRL)</t>
        </is>
      </c>
      <c r="AC193" t="n">
        <v>56103637</v>
      </c>
      <c r="AD193" t="n">
        <v>6622261540</v>
      </c>
      <c r="AE193" t="n">
        <v>4</v>
      </c>
      <c r="AF193" t="inlineStr">
        <is>
          <t>ENTREGA DIRECTA</t>
        </is>
      </c>
      <c r="AG193" t="n">
        <v>1.446</v>
      </c>
      <c r="AH193" t="inlineStr">
        <is>
          <t>M3</t>
        </is>
      </c>
      <c r="AI193" t="inlineStr">
        <is>
          <t>X</t>
        </is>
      </c>
      <c r="AJ193" t="n">
        <v>4</v>
      </c>
      <c r="AK193" t="inlineStr">
        <is>
          <t>V4</t>
        </is>
      </c>
      <c r="AL193" t="n">
        <v>20230920</v>
      </c>
      <c r="AM193" t="inlineStr">
        <is>
          <t>D836-900004077-65003945-10184142-4</t>
        </is>
      </c>
    </row>
    <row r="194">
      <c r="A194" t="inlineStr">
        <is>
          <t>900006371D8366643350910000357</t>
        </is>
      </c>
      <c r="B194" t="inlineStr">
        <is>
          <t>4600048255-20</t>
        </is>
      </c>
      <c r="C194" t="n">
        <v>4600048255</v>
      </c>
      <c r="D194" t="n">
        <v>20</v>
      </c>
      <c r="E194" t="inlineStr">
        <is>
          <t>MXPO</t>
        </is>
      </c>
      <c r="F194" t="inlineStr">
        <is>
          <t>MXL</t>
        </is>
      </c>
      <c r="G194" t="n">
        <v>900006371</v>
      </c>
      <c r="H194" t="inlineStr">
        <is>
          <t>SF TP-ED-TRIVOMEX</t>
        </is>
      </c>
      <c r="I194" t="n">
        <v>5033501</v>
      </c>
      <c r="J194" t="inlineStr">
        <is>
          <t>TRITURADOS VOLCANICOS DE MEXICO</t>
        </is>
      </c>
      <c r="K194" t="inlineStr">
        <is>
          <t>Z04</t>
        </is>
      </c>
      <c r="L194" t="inlineStr">
        <is>
          <t>(AP) 30 Dias</t>
        </is>
      </c>
      <c r="M194" t="n">
        <v>10000357</v>
      </c>
      <c r="N194" t="inlineStr">
        <is>
          <t>Grava Triturada Andesita 20 mm - 3/4"</t>
        </is>
      </c>
      <c r="O194" t="inlineStr">
        <is>
          <t>D836</t>
        </is>
      </c>
      <c r="P194" t="inlineStr">
        <is>
          <t>MX-CED. CENTRO</t>
        </is>
      </c>
      <c r="Q194" t="n">
        <v>20201015</v>
      </c>
      <c r="R194" t="n">
        <v>20291231</v>
      </c>
      <c r="S194" t="n">
        <v>20201015</v>
      </c>
      <c r="T194" t="n">
        <v>20291231</v>
      </c>
      <c r="U194" t="n">
        <v>326.5</v>
      </c>
      <c r="V194" t="inlineStr">
        <is>
          <t>MXN</t>
        </is>
      </c>
      <c r="W194" t="inlineStr">
        <is>
          <t>M3</t>
        </is>
      </c>
      <c r="X194" t="n">
        <v>232</v>
      </c>
      <c r="Y194" t="inlineStr">
        <is>
          <t>MXN</t>
        </is>
      </c>
      <c r="Z194" t="inlineStr">
        <is>
          <t>M3</t>
        </is>
      </c>
      <c r="AA194" t="inlineStr">
        <is>
          <t>66433509</t>
        </is>
      </c>
      <c r="AB194" t="inlineStr">
        <is>
          <t>OBR AGR ALDECO CHILUCA</t>
        </is>
      </c>
      <c r="AC194" t="n">
        <v>56103637</v>
      </c>
      <c r="AD194" t="n">
        <v>6622261540</v>
      </c>
      <c r="AE194" t="n">
        <v>4</v>
      </c>
      <c r="AF194" t="inlineStr">
        <is>
          <t>ENTREGA DIRECTA</t>
        </is>
      </c>
      <c r="AG194" t="n">
        <v>1.326</v>
      </c>
      <c r="AH194" t="inlineStr">
        <is>
          <t>M3</t>
        </is>
      </c>
      <c r="AI194" t="inlineStr">
        <is>
          <t>X</t>
        </is>
      </c>
      <c r="AJ194" t="n">
        <v>4</v>
      </c>
      <c r="AK194" t="inlineStr">
        <is>
          <t>V4</t>
        </is>
      </c>
      <c r="AL194" t="n">
        <v>20230920</v>
      </c>
      <c r="AM194" t="inlineStr">
        <is>
          <t>D836-900006371-66433509-10000357-4</t>
        </is>
      </c>
    </row>
    <row r="195">
      <c r="A195" t="inlineStr">
        <is>
          <t>900006371D8366506168710000160</t>
        </is>
      </c>
      <c r="B195" t="inlineStr">
        <is>
          <t>4600048255-230</t>
        </is>
      </c>
      <c r="C195" t="n">
        <v>4600048255</v>
      </c>
      <c r="D195" t="n">
        <v>230</v>
      </c>
      <c r="E195" t="inlineStr">
        <is>
          <t>MXPO</t>
        </is>
      </c>
      <c r="F195" t="inlineStr">
        <is>
          <t>MXL</t>
        </is>
      </c>
      <c r="G195" t="n">
        <v>900006371</v>
      </c>
      <c r="H195" t="inlineStr">
        <is>
          <t>SF TP-ED-TRIVOMEX</t>
        </is>
      </c>
      <c r="I195" t="n">
        <v>5033501</v>
      </c>
      <c r="J195" t="inlineStr">
        <is>
          <t>TRITURADOS VOLCANICOS DE MEXICO</t>
        </is>
      </c>
      <c r="K195" t="inlineStr">
        <is>
          <t>Z04</t>
        </is>
      </c>
      <c r="L195" t="inlineStr">
        <is>
          <t>(AP) 30 Dias</t>
        </is>
      </c>
      <c r="M195" t="n">
        <v>10000160</v>
      </c>
      <c r="N195" t="inlineStr">
        <is>
          <t>Arena Triturada Andesita Malla 4</t>
        </is>
      </c>
      <c r="O195" t="inlineStr">
        <is>
          <t>D836</t>
        </is>
      </c>
      <c r="P195" t="inlineStr">
        <is>
          <t>MX-CED. CENTRO</t>
        </is>
      </c>
      <c r="Q195" t="n">
        <v>20201015</v>
      </c>
      <c r="R195" t="n">
        <v>20291231</v>
      </c>
      <c r="S195" t="n">
        <v>20230420</v>
      </c>
      <c r="T195" t="n">
        <v>20281231</v>
      </c>
      <c r="U195" t="n">
        <v>307</v>
      </c>
      <c r="V195" t="inlineStr">
        <is>
          <t>MXN</t>
        </is>
      </c>
      <c r="W195" t="inlineStr">
        <is>
          <t>M3</t>
        </is>
      </c>
      <c r="X195" t="n">
        <v>211</v>
      </c>
      <c r="Y195" t="inlineStr">
        <is>
          <t>MXN</t>
        </is>
      </c>
      <c r="Z195" t="inlineStr">
        <is>
          <t>M3</t>
        </is>
      </c>
      <c r="AA195" t="inlineStr">
        <is>
          <t>65061687</t>
        </is>
      </c>
      <c r="AB195" t="inlineStr">
        <is>
          <t>OBR-AGR CONCRETOS COMARCA-SAN VICEN</t>
        </is>
      </c>
      <c r="AC195" t="n">
        <v>56103638</v>
      </c>
      <c r="AD195" t="n">
        <v>6622261540</v>
      </c>
      <c r="AE195" t="n">
        <v>4</v>
      </c>
      <c r="AF195" t="inlineStr">
        <is>
          <t>ENTREGA DIRECTA</t>
        </is>
      </c>
      <c r="AG195" t="n">
        <v>1.409</v>
      </c>
      <c r="AH195" t="inlineStr">
        <is>
          <t>M3</t>
        </is>
      </c>
      <c r="AI195" t="inlineStr">
        <is>
          <t>X</t>
        </is>
      </c>
      <c r="AJ195" t="n">
        <v>4</v>
      </c>
      <c r="AK195" t="inlineStr">
        <is>
          <t>V4</t>
        </is>
      </c>
      <c r="AL195" t="n">
        <v>20230920</v>
      </c>
      <c r="AM195" t="inlineStr">
        <is>
          <t>D836-900006371-65061687-10000160-4</t>
        </is>
      </c>
    </row>
    <row r="196">
      <c r="A196" t="inlineStr">
        <is>
          <t>900001074D8366679902910000160</t>
        </is>
      </c>
      <c r="B196" t="inlineStr">
        <is>
          <t>4600027573-350</t>
        </is>
      </c>
      <c r="C196" t="n">
        <v>4600027573</v>
      </c>
      <c r="D196" t="n">
        <v>350</v>
      </c>
      <c r="E196" t="inlineStr">
        <is>
          <t>MXPO</t>
        </is>
      </c>
      <c r="F196" t="inlineStr">
        <is>
          <t>M02</t>
        </is>
      </c>
      <c r="G196" t="n">
        <v>900001074</v>
      </c>
      <c r="H196" t="inlineStr">
        <is>
          <t>TP-TRIVOMEX</t>
        </is>
      </c>
      <c r="I196" t="n">
        <v>5033501</v>
      </c>
      <c r="J196" t="inlineStr">
        <is>
          <t>TRITURADOS VOLCANICOS DE MEXICO</t>
        </is>
      </c>
      <c r="K196" t="inlineStr">
        <is>
          <t>Z04</t>
        </is>
      </c>
      <c r="L196" t="inlineStr">
        <is>
          <t>(AP) 30 Dias</t>
        </is>
      </c>
      <c r="M196" t="n">
        <v>10000160</v>
      </c>
      <c r="N196" t="inlineStr">
        <is>
          <t>Arena Triturada Andesita Malla 4</t>
        </is>
      </c>
      <c r="O196" t="inlineStr">
        <is>
          <t>D836</t>
        </is>
      </c>
      <c r="P196" t="inlineStr">
        <is>
          <t>MX-CED. CENTRO</t>
        </is>
      </c>
      <c r="Q196" t="n">
        <v>20140701</v>
      </c>
      <c r="R196" t="n">
        <v>20291231</v>
      </c>
      <c r="S196" t="n">
        <v>20210326</v>
      </c>
      <c r="T196" t="n">
        <v>20291231</v>
      </c>
      <c r="U196" t="n">
        <v>215</v>
      </c>
      <c r="V196" t="inlineStr">
        <is>
          <t>MXN</t>
        </is>
      </c>
      <c r="W196" t="inlineStr">
        <is>
          <t>M3</t>
        </is>
      </c>
      <c r="X196" t="n">
        <v>133</v>
      </c>
      <c r="Y196" t="inlineStr">
        <is>
          <t>MXN</t>
        </is>
      </c>
      <c r="Z196" t="inlineStr">
        <is>
          <t>M3</t>
        </is>
      </c>
      <c r="AA196" t="inlineStr">
        <is>
          <t>66799029</t>
        </is>
      </c>
      <c r="AB196" t="inlineStr">
        <is>
          <t>BLOQUERA NEHUEN</t>
        </is>
      </c>
      <c r="AC196" t="n">
        <v>56103638</v>
      </c>
      <c r="AD196" t="n">
        <v>6622261540</v>
      </c>
      <c r="AE196" t="n">
        <v>4</v>
      </c>
      <c r="AF196" t="inlineStr">
        <is>
          <t>ENTREGA DIRECTA</t>
        </is>
      </c>
      <c r="AG196" t="n">
        <v>1.409</v>
      </c>
      <c r="AH196" t="inlineStr">
        <is>
          <t>M3</t>
        </is>
      </c>
      <c r="AI196" t="inlineStr">
        <is>
          <t>X</t>
        </is>
      </c>
      <c r="AJ196" t="n">
        <v>4</v>
      </c>
      <c r="AK196" t="inlineStr">
        <is>
          <t>V4</t>
        </is>
      </c>
      <c r="AL196" t="n">
        <v>20230920</v>
      </c>
      <c r="AM196" t="inlineStr">
        <is>
          <t>D836-900001074-66799029-10000160-4</t>
        </is>
      </c>
    </row>
    <row r="197">
      <c r="A197" t="inlineStr">
        <is>
          <t>900006542D8366714860610019515</t>
        </is>
      </c>
      <c r="B197" t="inlineStr">
        <is>
          <t>4600047341-570</t>
        </is>
      </c>
      <c r="C197" t="n">
        <v>4600047341</v>
      </c>
      <c r="D197" t="n">
        <v>570</v>
      </c>
      <c r="E197" t="inlineStr">
        <is>
          <t>MXPO</t>
        </is>
      </c>
      <c r="F197" t="inlineStr">
        <is>
          <t>MXL</t>
        </is>
      </c>
      <c r="G197" t="n">
        <v>900006542</v>
      </c>
      <c r="H197" t="inlineStr">
        <is>
          <t>TP-OLIELL TORTON</t>
        </is>
      </c>
      <c r="I197" t="n">
        <v>5048484</v>
      </c>
      <c r="J197" t="inlineStr">
        <is>
          <t>COMERCIALIZADORA Y TRANSPORTADORA O</t>
        </is>
      </c>
      <c r="K197" t="inlineStr">
        <is>
          <t>N90</t>
        </is>
      </c>
      <c r="L197" t="inlineStr">
        <is>
          <t>(AP) NAFIN 90 Dias</t>
        </is>
      </c>
      <c r="M197" t="n">
        <v>10019515</v>
      </c>
      <c r="N197" t="inlineStr">
        <is>
          <t>Grava Triturada Tezontle 20mm - 3/4"</t>
        </is>
      </c>
      <c r="O197" t="inlineStr">
        <is>
          <t>D836</t>
        </is>
      </c>
      <c r="P197" t="inlineStr">
        <is>
          <t>MX-CED. CENTRO</t>
        </is>
      </c>
      <c r="Q197" t="n">
        <v>20200615</v>
      </c>
      <c r="R197" t="n">
        <v>20281231</v>
      </c>
      <c r="S197" t="n">
        <v>20230523</v>
      </c>
      <c r="T197" t="n">
        <v>20281231</v>
      </c>
      <c r="U197" t="n">
        <v>426</v>
      </c>
      <c r="V197" t="inlineStr">
        <is>
          <t>MXN</t>
        </is>
      </c>
      <c r="W197" t="inlineStr">
        <is>
          <t>M3</t>
        </is>
      </c>
      <c r="X197" t="n">
        <v>264</v>
      </c>
      <c r="Y197" t="inlineStr">
        <is>
          <t>MXN</t>
        </is>
      </c>
      <c r="Z197" t="inlineStr">
        <is>
          <t>M3</t>
        </is>
      </c>
      <c r="AA197" t="inlineStr">
        <is>
          <t>67148606</t>
        </is>
      </c>
      <c r="AB197" t="inlineStr">
        <is>
          <t>REMODELACIÓN BODEGA AURRERA</t>
        </is>
      </c>
      <c r="AC197" t="n">
        <v>56103637</v>
      </c>
      <c r="AD197" t="n">
        <v>6622261540</v>
      </c>
      <c r="AE197" t="n">
        <v>4</v>
      </c>
      <c r="AF197" t="inlineStr">
        <is>
          <t>ENTREGA DIRECTA</t>
        </is>
      </c>
      <c r="AG197" t="n">
        <v>1.3</v>
      </c>
      <c r="AH197" t="inlineStr">
        <is>
          <t>M3</t>
        </is>
      </c>
      <c r="AI197" t="inlineStr">
        <is>
          <t>X</t>
        </is>
      </c>
      <c r="AJ197" t="n">
        <v>4</v>
      </c>
      <c r="AK197" t="inlineStr">
        <is>
          <t>V4</t>
        </is>
      </c>
      <c r="AL197" t="n">
        <v>20230920</v>
      </c>
      <c r="AM197" t="inlineStr">
        <is>
          <t>D836-900006542-67148606-10019515-4</t>
        </is>
      </c>
    </row>
    <row r="198">
      <c r="A198" t="inlineStr">
        <is>
          <t>900004077D83610184011</t>
        </is>
      </c>
      <c r="B198" t="inlineStr">
        <is>
          <t>4600047844-90</t>
        </is>
      </c>
      <c r="C198" t="n">
        <v>4600047844</v>
      </c>
      <c r="D198" t="n">
        <v>90</v>
      </c>
      <c r="E198" t="inlineStr">
        <is>
          <t>MXPO</t>
        </is>
      </c>
      <c r="F198" t="inlineStr">
        <is>
          <t>MXL</t>
        </is>
      </c>
      <c r="G198" t="n">
        <v>900004077</v>
      </c>
      <c r="H198" t="inlineStr">
        <is>
          <t>TP-SAN JUAN (HUDASA)</t>
        </is>
      </c>
      <c r="I198" t="n">
        <v>5054686</v>
      </c>
      <c r="J198" t="inlineStr">
        <is>
          <t>GRUPO MERCANTIL HUDASA SA DE CV</t>
        </is>
      </c>
      <c r="K198" t="inlineStr">
        <is>
          <t>Z06</t>
        </is>
      </c>
      <c r="L198" t="inlineStr">
        <is>
          <t>(AP) 45 Dias</t>
        </is>
      </c>
      <c r="M198" t="n">
        <v>10184011</v>
      </c>
      <c r="N198" t="inlineStr">
        <is>
          <t>GRAVA TRITURADA CALIZA 20 MM - 3/4"</t>
        </is>
      </c>
      <c r="O198" t="inlineStr">
        <is>
          <t>D836</t>
        </is>
      </c>
      <c r="P198" t="inlineStr">
        <is>
          <t>MX-CED. CENTRO</t>
        </is>
      </c>
      <c r="Q198" t="n">
        <v>20200825</v>
      </c>
      <c r="R198" t="n">
        <v>20301231</v>
      </c>
      <c r="S198" t="n">
        <v>20200911</v>
      </c>
      <c r="T198" t="n">
        <v>20291231</v>
      </c>
      <c r="U198" t="n">
        <v>342.5</v>
      </c>
      <c r="V198" t="inlineStr">
        <is>
          <t>MXN</t>
        </is>
      </c>
      <c r="W198" t="inlineStr">
        <is>
          <t>M3</t>
        </is>
      </c>
      <c r="X198" t="n">
        <v>202.5</v>
      </c>
      <c r="Y198" t="inlineStr">
        <is>
          <t>MXN</t>
        </is>
      </c>
      <c r="Z198" t="inlineStr">
        <is>
          <t>M3</t>
        </is>
      </c>
      <c r="AC198" t="n">
        <v>56103637</v>
      </c>
      <c r="AD198" t="n">
        <v>6622261540</v>
      </c>
      <c r="AE198" t="n">
        <v>4</v>
      </c>
      <c r="AF198" t="inlineStr">
        <is>
          <t>ENTREGA DIRECTA</t>
        </is>
      </c>
      <c r="AG198" t="n">
        <v>1.462</v>
      </c>
      <c r="AH198" t="inlineStr">
        <is>
          <t>M3</t>
        </is>
      </c>
      <c r="AI198" t="inlineStr">
        <is>
          <t>X</t>
        </is>
      </c>
      <c r="AJ198" t="n">
        <v>4</v>
      </c>
      <c r="AK198" t="inlineStr">
        <is>
          <t>V4</t>
        </is>
      </c>
      <c r="AL198" t="n">
        <v>20230920</v>
      </c>
      <c r="AM198" t="inlineStr">
        <is>
          <t>D836-900004077--10184011-4</t>
        </is>
      </c>
    </row>
    <row r="199">
      <c r="A199" t="inlineStr">
        <is>
          <t>900006371D8366643350910000160</t>
        </is>
      </c>
      <c r="B199" t="inlineStr">
        <is>
          <t>4600048255-10</t>
        </is>
      </c>
      <c r="C199" t="n">
        <v>4600048255</v>
      </c>
      <c r="D199" t="n">
        <v>10</v>
      </c>
      <c r="E199" t="inlineStr">
        <is>
          <t>MXPO</t>
        </is>
      </c>
      <c r="F199" t="inlineStr">
        <is>
          <t>MXL</t>
        </is>
      </c>
      <c r="G199" t="n">
        <v>900006371</v>
      </c>
      <c r="H199" t="inlineStr">
        <is>
          <t>SF TP-ED-TRIVOMEX</t>
        </is>
      </c>
      <c r="I199" t="n">
        <v>5033501</v>
      </c>
      <c r="J199" t="inlineStr">
        <is>
          <t>TRITURADOS VOLCANICOS DE MEXICO</t>
        </is>
      </c>
      <c r="K199" t="inlineStr">
        <is>
          <t>Z04</t>
        </is>
      </c>
      <c r="L199" t="inlineStr">
        <is>
          <t>(AP) 30 Dias</t>
        </is>
      </c>
      <c r="M199" t="n">
        <v>10000160</v>
      </c>
      <c r="N199" t="inlineStr">
        <is>
          <t>Arena Triturada Andesita Malla 4</t>
        </is>
      </c>
      <c r="O199" t="inlineStr">
        <is>
          <t>D836</t>
        </is>
      </c>
      <c r="P199" t="inlineStr">
        <is>
          <t>MX-CED. CENTRO</t>
        </is>
      </c>
      <c r="Q199" t="n">
        <v>20201015</v>
      </c>
      <c r="R199" t="n">
        <v>20291231</v>
      </c>
      <c r="S199" t="n">
        <v>20201015</v>
      </c>
      <c r="T199" t="n">
        <v>20291231</v>
      </c>
      <c r="U199" t="n">
        <v>313.5</v>
      </c>
      <c r="V199" t="inlineStr">
        <is>
          <t>MXN</t>
        </is>
      </c>
      <c r="W199" t="inlineStr">
        <is>
          <t>M3</t>
        </is>
      </c>
      <c r="X199" t="n">
        <v>232</v>
      </c>
      <c r="Y199" t="inlineStr">
        <is>
          <t>MXN</t>
        </is>
      </c>
      <c r="Z199" t="inlineStr">
        <is>
          <t>M3</t>
        </is>
      </c>
      <c r="AA199" t="inlineStr">
        <is>
          <t>66433509</t>
        </is>
      </c>
      <c r="AB199" t="inlineStr">
        <is>
          <t>OBR AGR ALDECO CHILUCA</t>
        </is>
      </c>
      <c r="AC199" t="n">
        <v>56103638</v>
      </c>
      <c r="AD199" t="n">
        <v>6622261540</v>
      </c>
      <c r="AE199" t="n">
        <v>4</v>
      </c>
      <c r="AF199" t="inlineStr">
        <is>
          <t>ENTREGA DIRECTA</t>
        </is>
      </c>
      <c r="AG199" t="n">
        <v>1.409</v>
      </c>
      <c r="AH199" t="inlineStr">
        <is>
          <t>M3</t>
        </is>
      </c>
      <c r="AI199" t="inlineStr">
        <is>
          <t>X</t>
        </is>
      </c>
      <c r="AJ199" t="n">
        <v>4</v>
      </c>
      <c r="AK199" t="inlineStr">
        <is>
          <t>V4</t>
        </is>
      </c>
      <c r="AL199" t="n">
        <v>20230920</v>
      </c>
      <c r="AM199" t="inlineStr">
        <is>
          <t>D836-900006371-66433509-10000160-4</t>
        </is>
      </c>
    </row>
    <row r="200">
      <c r="A200" t="inlineStr">
        <is>
          <t>900006371D8366701490710000313</t>
        </is>
      </c>
      <c r="B200" t="inlineStr">
        <is>
          <t>4600048255-170</t>
        </is>
      </c>
      <c r="C200" t="n">
        <v>4600048255</v>
      </c>
      <c r="D200" t="n">
        <v>170</v>
      </c>
      <c r="E200" t="inlineStr">
        <is>
          <t>MXPO</t>
        </is>
      </c>
      <c r="F200" t="inlineStr">
        <is>
          <t>MXL</t>
        </is>
      </c>
      <c r="G200" t="n">
        <v>900006371</v>
      </c>
      <c r="H200" t="inlineStr">
        <is>
          <t>SF TP-ED-TRIVOMEX</t>
        </is>
      </c>
      <c r="I200" t="n">
        <v>5033501</v>
      </c>
      <c r="J200" t="inlineStr">
        <is>
          <t>TRITURADOS VOLCANICOS DE MEXICO</t>
        </is>
      </c>
      <c r="K200" t="inlineStr">
        <is>
          <t>Z04</t>
        </is>
      </c>
      <c r="L200" t="inlineStr">
        <is>
          <t>(AP) 30 Dias</t>
        </is>
      </c>
      <c r="M200" t="n">
        <v>10000313</v>
      </c>
      <c r="N200" t="inlineStr">
        <is>
          <t>Grava Triturada Basalto  10 mm - 3/8"</t>
        </is>
      </c>
      <c r="O200" t="inlineStr">
        <is>
          <t>D836</t>
        </is>
      </c>
      <c r="P200" t="inlineStr">
        <is>
          <t>MX-CED. CENTRO</t>
        </is>
      </c>
      <c r="Q200" t="n">
        <v>20201015</v>
      </c>
      <c r="R200" t="n">
        <v>20291231</v>
      </c>
      <c r="S200" t="n">
        <v>20211027</v>
      </c>
      <c r="T200" t="n">
        <v>20261231</v>
      </c>
      <c r="U200" t="n">
        <v>641</v>
      </c>
      <c r="V200" t="inlineStr">
        <is>
          <t>MXN</t>
        </is>
      </c>
      <c r="W200" t="inlineStr">
        <is>
          <t>M3</t>
        </is>
      </c>
      <c r="X200" t="n">
        <v>265</v>
      </c>
      <c r="Y200" t="inlineStr">
        <is>
          <t>MXN</t>
        </is>
      </c>
      <c r="Z200" t="inlineStr">
        <is>
          <t>M3</t>
        </is>
      </c>
      <c r="AA200" t="inlineStr">
        <is>
          <t>67014907</t>
        </is>
      </c>
      <c r="AB200" t="inlineStr">
        <is>
          <t>CASETA DE COBRO T-5 TULTITLAN</t>
        </is>
      </c>
      <c r="AC200" t="n">
        <v>56103637</v>
      </c>
      <c r="AD200" t="n">
        <v>6622261540</v>
      </c>
      <c r="AE200" t="n">
        <v>4</v>
      </c>
      <c r="AF200" t="inlineStr">
        <is>
          <t>ENTREGA DIRECTA</t>
        </is>
      </c>
      <c r="AG200" t="n">
        <v>1.32</v>
      </c>
      <c r="AH200" t="inlineStr">
        <is>
          <t>M3</t>
        </is>
      </c>
      <c r="AI200" t="inlineStr">
        <is>
          <t>X</t>
        </is>
      </c>
      <c r="AJ200" t="n">
        <v>4</v>
      </c>
      <c r="AK200" t="inlineStr">
        <is>
          <t>V4</t>
        </is>
      </c>
      <c r="AL200" t="n">
        <v>20230920</v>
      </c>
      <c r="AM200" t="inlineStr">
        <is>
          <t>D836-900006371-67014907-10000313-4</t>
        </is>
      </c>
    </row>
    <row r="201">
      <c r="A201" t="inlineStr">
        <is>
          <t>900007321D8366506168710000160</t>
        </is>
      </c>
      <c r="B201" t="inlineStr">
        <is>
          <t>4600052061-100</t>
        </is>
      </c>
      <c r="C201" t="n">
        <v>4600052061</v>
      </c>
      <c r="D201" t="n">
        <v>100</v>
      </c>
      <c r="E201" t="inlineStr">
        <is>
          <t>MXPO</t>
        </is>
      </c>
      <c r="F201" t="inlineStr">
        <is>
          <t>MXL</t>
        </is>
      </c>
      <c r="G201" t="n">
        <v>900007321</v>
      </c>
      <c r="H201" t="inlineStr">
        <is>
          <t>SF TP-ED-LOMA ANCHA SC</t>
        </is>
      </c>
      <c r="I201" t="n">
        <v>5047262</v>
      </c>
      <c r="J201" t="inlineStr">
        <is>
          <t>AGREGADOS PETREOS SAN CRISTOBAL</t>
        </is>
      </c>
      <c r="K201" t="inlineStr">
        <is>
          <t>Z03</t>
        </is>
      </c>
      <c r="L201" t="inlineStr">
        <is>
          <t>(AP) 15 Dias</t>
        </is>
      </c>
      <c r="M201" t="n">
        <v>10000160</v>
      </c>
      <c r="N201" t="inlineStr">
        <is>
          <t>Arena Triturada Andesita Malla 4</t>
        </is>
      </c>
      <c r="O201" t="inlineStr">
        <is>
          <t>D836</t>
        </is>
      </c>
      <c r="P201" t="inlineStr">
        <is>
          <t>MX-CED. CENTRO</t>
        </is>
      </c>
      <c r="Q201" t="n">
        <v>20210928</v>
      </c>
      <c r="R201" t="n">
        <v>20291231</v>
      </c>
      <c r="S201" t="n">
        <v>20230420</v>
      </c>
      <c r="T201" t="n">
        <v>20281231</v>
      </c>
      <c r="U201" t="n">
        <v>300</v>
      </c>
      <c r="V201" t="inlineStr">
        <is>
          <t>MXN</t>
        </is>
      </c>
      <c r="W201" t="inlineStr">
        <is>
          <t>M3</t>
        </is>
      </c>
      <c r="X201" t="n">
        <v>211</v>
      </c>
      <c r="Y201" t="inlineStr">
        <is>
          <t>MXN</t>
        </is>
      </c>
      <c r="Z201" t="inlineStr">
        <is>
          <t>M3</t>
        </is>
      </c>
      <c r="AA201" t="inlineStr">
        <is>
          <t>65061687</t>
        </is>
      </c>
      <c r="AB201" t="inlineStr">
        <is>
          <t>OBR-AGR CONCRETOS COMARCA-SAN VICEN</t>
        </is>
      </c>
      <c r="AC201" t="n">
        <v>56103638</v>
      </c>
      <c r="AD201" t="n">
        <v>6622261540</v>
      </c>
      <c r="AE201" t="n">
        <v>4</v>
      </c>
      <c r="AF201" t="inlineStr">
        <is>
          <t>ENTREGA DIRECTA</t>
        </is>
      </c>
      <c r="AG201" t="n">
        <v>1.409</v>
      </c>
      <c r="AH201" t="inlineStr">
        <is>
          <t>M3</t>
        </is>
      </c>
      <c r="AI201" t="inlineStr">
        <is>
          <t>X</t>
        </is>
      </c>
      <c r="AJ201" t="n">
        <v>4</v>
      </c>
      <c r="AK201" t="inlineStr">
        <is>
          <t>V4</t>
        </is>
      </c>
      <c r="AL201" t="n">
        <v>20230920</v>
      </c>
      <c r="AM201" t="inlineStr">
        <is>
          <t>D836-900007321-65061687-10000160-4</t>
        </is>
      </c>
    </row>
    <row r="202">
      <c r="A202" t="inlineStr">
        <is>
          <t>900004365D8366660801210019515</t>
        </is>
      </c>
      <c r="B202" t="inlineStr">
        <is>
          <t>4600042122-40</t>
        </is>
      </c>
      <c r="C202" t="n">
        <v>4600042122</v>
      </c>
      <c r="D202" t="n">
        <v>40</v>
      </c>
      <c r="E202" t="inlineStr">
        <is>
          <t>MXPO</t>
        </is>
      </c>
      <c r="F202" t="inlineStr">
        <is>
          <t>MXL</t>
        </is>
      </c>
      <c r="G202" t="n">
        <v>900004365</v>
      </c>
      <c r="H202" t="inlineStr">
        <is>
          <t>TP-ED-DOS CERROS</t>
        </is>
      </c>
      <c r="I202" t="n">
        <v>5036168</v>
      </c>
      <c r="J202" t="inlineStr">
        <is>
          <t>TRITURADOS DOS CERROS SA DE CV</t>
        </is>
      </c>
      <c r="K202" t="inlineStr">
        <is>
          <t>Z04</t>
        </is>
      </c>
      <c r="L202" t="inlineStr">
        <is>
          <t>(AP) 30 Dias</t>
        </is>
      </c>
      <c r="M202" t="n">
        <v>10019515</v>
      </c>
      <c r="N202" t="inlineStr">
        <is>
          <t>Grava Triturada Tezontle 20mm - 3/4"</t>
        </is>
      </c>
      <c r="O202" t="inlineStr">
        <is>
          <t>D836</t>
        </is>
      </c>
      <c r="P202" t="inlineStr">
        <is>
          <t>MX-CED. CENTRO</t>
        </is>
      </c>
      <c r="Q202" t="n">
        <v>20180517</v>
      </c>
      <c r="R202" t="n">
        <v>20271231</v>
      </c>
      <c r="S202" t="n">
        <v>20190701</v>
      </c>
      <c r="T202" t="n">
        <v>20241231</v>
      </c>
      <c r="U202" t="n">
        <v>306</v>
      </c>
      <c r="V202" t="inlineStr">
        <is>
          <t>MXN</t>
        </is>
      </c>
      <c r="W202" t="inlineStr">
        <is>
          <t>M3</t>
        </is>
      </c>
      <c r="X202" t="n">
        <v>176</v>
      </c>
      <c r="Y202" t="inlineStr">
        <is>
          <t>MXN</t>
        </is>
      </c>
      <c r="Z202" t="inlineStr">
        <is>
          <t>M3</t>
        </is>
      </c>
      <c r="AA202" t="inlineStr">
        <is>
          <t>66608012</t>
        </is>
      </c>
      <c r="AB202" t="inlineStr">
        <is>
          <t>LUCAS ALAMAN #50 (OMC)</t>
        </is>
      </c>
      <c r="AC202" t="n">
        <v>56103637</v>
      </c>
      <c r="AD202" t="n">
        <v>6622261540</v>
      </c>
      <c r="AE202" t="n">
        <v>4</v>
      </c>
      <c r="AF202" t="inlineStr">
        <is>
          <t>ENTREGA DIRECTA</t>
        </is>
      </c>
      <c r="AG202" t="n">
        <v>1.3</v>
      </c>
      <c r="AH202" t="inlineStr">
        <is>
          <t>M3</t>
        </is>
      </c>
      <c r="AI202" t="inlineStr">
        <is>
          <t>X</t>
        </is>
      </c>
      <c r="AJ202" t="n">
        <v>4</v>
      </c>
      <c r="AK202" t="inlineStr">
        <is>
          <t>V4</t>
        </is>
      </c>
      <c r="AL202" t="n">
        <v>20230920</v>
      </c>
      <c r="AM202" t="inlineStr">
        <is>
          <t>D836-900004365-66608012-10019515-4</t>
        </is>
      </c>
    </row>
    <row r="203">
      <c r="A203" t="inlineStr">
        <is>
          <t>900006542D8366500922910000357</t>
        </is>
      </c>
      <c r="B203" t="inlineStr">
        <is>
          <t>4600047341-20</t>
        </is>
      </c>
      <c r="C203" t="n">
        <v>4600047341</v>
      </c>
      <c r="D203" t="n">
        <v>20</v>
      </c>
      <c r="E203" t="inlineStr">
        <is>
          <t>MXPO</t>
        </is>
      </c>
      <c r="F203" t="inlineStr">
        <is>
          <t>MXL</t>
        </is>
      </c>
      <c r="G203" t="n">
        <v>900006542</v>
      </c>
      <c r="H203" t="inlineStr">
        <is>
          <t>TP-OLIELL TORTON</t>
        </is>
      </c>
      <c r="I203" t="n">
        <v>5048484</v>
      </c>
      <c r="J203" t="inlineStr">
        <is>
          <t>COMERCIALIZADORA Y TRANSPORTADORA O</t>
        </is>
      </c>
      <c r="K203" t="inlineStr">
        <is>
          <t>N90</t>
        </is>
      </c>
      <c r="L203" t="inlineStr">
        <is>
          <t>(AP) NAFIN 90 Dias</t>
        </is>
      </c>
      <c r="M203" t="n">
        <v>10000357</v>
      </c>
      <c r="N203" t="inlineStr">
        <is>
          <t>Grava Triturada Andesita 20 mm - 3/4"</t>
        </is>
      </c>
      <c r="O203" t="inlineStr">
        <is>
          <t>D836</t>
        </is>
      </c>
      <c r="P203" t="inlineStr">
        <is>
          <t>MX-CED. CENTRO</t>
        </is>
      </c>
      <c r="Q203" t="n">
        <v>20200615</v>
      </c>
      <c r="R203" t="n">
        <v>20281231</v>
      </c>
      <c r="S203" t="n">
        <v>20200615</v>
      </c>
      <c r="T203" t="n">
        <v>20301231</v>
      </c>
      <c r="U203" t="n">
        <v>270</v>
      </c>
      <c r="V203" t="inlineStr">
        <is>
          <t>MXN</t>
        </is>
      </c>
      <c r="W203" t="inlineStr">
        <is>
          <t>M3</t>
        </is>
      </c>
      <c r="X203" t="n">
        <v>133</v>
      </c>
      <c r="Y203" t="inlineStr">
        <is>
          <t>MXN</t>
        </is>
      </c>
      <c r="Z203" t="inlineStr">
        <is>
          <t>M3</t>
        </is>
      </c>
      <c r="AA203" t="inlineStr">
        <is>
          <t>65009229</t>
        </is>
      </c>
      <c r="AB203" t="inlineStr">
        <is>
          <t>FABRICA DE TABICON Y BLOCK SAN LUIS</t>
        </is>
      </c>
      <c r="AC203" t="n">
        <v>56103637</v>
      </c>
      <c r="AD203" t="n">
        <v>6622261540</v>
      </c>
      <c r="AE203" t="n">
        <v>4</v>
      </c>
      <c r="AF203" t="inlineStr">
        <is>
          <t>ENTREGA DIRECTA</t>
        </is>
      </c>
      <c r="AG203" t="n">
        <v>1.326</v>
      </c>
      <c r="AH203" t="inlineStr">
        <is>
          <t>M3</t>
        </is>
      </c>
      <c r="AI203" t="inlineStr">
        <is>
          <t>X</t>
        </is>
      </c>
      <c r="AJ203" t="n">
        <v>4</v>
      </c>
      <c r="AK203" t="inlineStr">
        <is>
          <t>V4</t>
        </is>
      </c>
      <c r="AL203" t="n">
        <v>20230920</v>
      </c>
      <c r="AM203" t="inlineStr">
        <is>
          <t>D836-900006542-65009229-10000357-4</t>
        </is>
      </c>
    </row>
    <row r="204">
      <c r="A204" t="inlineStr">
        <is>
          <t>900006542D8366500190510000133</t>
        </is>
      </c>
      <c r="B204" t="inlineStr">
        <is>
          <t>4600047341-310</t>
        </is>
      </c>
      <c r="C204" t="n">
        <v>4600047341</v>
      </c>
      <c r="D204" t="n">
        <v>310</v>
      </c>
      <c r="E204" t="inlineStr">
        <is>
          <t>MXPO</t>
        </is>
      </c>
      <c r="F204" t="inlineStr">
        <is>
          <t>MXL</t>
        </is>
      </c>
      <c r="G204" t="n">
        <v>900006542</v>
      </c>
      <c r="H204" t="inlineStr">
        <is>
          <t>TP-OLIELL TORTON</t>
        </is>
      </c>
      <c r="I204" t="n">
        <v>5048484</v>
      </c>
      <c r="J204" t="inlineStr">
        <is>
          <t>COMERCIALIZADORA Y TRANSPORTADORA O</t>
        </is>
      </c>
      <c r="K204" t="inlineStr">
        <is>
          <t>N90</t>
        </is>
      </c>
      <c r="L204" t="inlineStr">
        <is>
          <t>(AP) NAFIN 90 Dias</t>
        </is>
      </c>
      <c r="M204" t="n">
        <v>10000133</v>
      </c>
      <c r="N204" t="inlineStr">
        <is>
          <t>Grava Triturada Caliza 20 mm - 3/4"</t>
        </is>
      </c>
      <c r="O204" t="inlineStr">
        <is>
          <t>D836</t>
        </is>
      </c>
      <c r="P204" t="inlineStr">
        <is>
          <t>MX-CED. CENTRO</t>
        </is>
      </c>
      <c r="Q204" t="n">
        <v>20200615</v>
      </c>
      <c r="R204" t="n">
        <v>20281231</v>
      </c>
      <c r="S204" t="n">
        <v>20201125</v>
      </c>
      <c r="T204" t="n">
        <v>20291231</v>
      </c>
      <c r="U204" t="n">
        <v>450</v>
      </c>
      <c r="V204" t="inlineStr">
        <is>
          <t>MXN</t>
        </is>
      </c>
      <c r="W204" t="inlineStr">
        <is>
          <t>M3</t>
        </is>
      </c>
      <c r="X204" t="n">
        <v>265</v>
      </c>
      <c r="Y204" t="inlineStr">
        <is>
          <t>MXN</t>
        </is>
      </c>
      <c r="Z204" t="inlineStr">
        <is>
          <t>M3</t>
        </is>
      </c>
      <c r="AA204" t="inlineStr">
        <is>
          <t>65001905</t>
        </is>
      </c>
      <c r="AB204" t="inlineStr">
        <is>
          <t>(P) PRESFORZA, S.A. DE C.V.</t>
        </is>
      </c>
      <c r="AC204" t="n">
        <v>56103637</v>
      </c>
      <c r="AD204" t="n">
        <v>6622261540</v>
      </c>
      <c r="AE204" t="n">
        <v>4</v>
      </c>
      <c r="AF204" t="inlineStr">
        <is>
          <t>ENTREGA DIRECTA</t>
        </is>
      </c>
      <c r="AG204" t="n">
        <v>1.46</v>
      </c>
      <c r="AH204" t="inlineStr">
        <is>
          <t>M3</t>
        </is>
      </c>
      <c r="AI204" t="inlineStr">
        <is>
          <t>X</t>
        </is>
      </c>
      <c r="AJ204" t="n">
        <v>4</v>
      </c>
      <c r="AK204" t="inlineStr">
        <is>
          <t>V4</t>
        </is>
      </c>
      <c r="AL204" t="n">
        <v>20230920</v>
      </c>
      <c r="AM204" t="inlineStr">
        <is>
          <t>D836-900006542-65001905-10000133-4</t>
        </is>
      </c>
    </row>
    <row r="205">
      <c r="A205" t="inlineStr">
        <is>
          <t>900004077D83610184011</t>
        </is>
      </c>
      <c r="B205" t="inlineStr">
        <is>
          <t>4600047844-50</t>
        </is>
      </c>
      <c r="C205" t="n">
        <v>4600047844</v>
      </c>
      <c r="D205" t="n">
        <v>50</v>
      </c>
      <c r="E205" t="inlineStr">
        <is>
          <t>MXPO</t>
        </is>
      </c>
      <c r="F205" t="inlineStr">
        <is>
          <t>MXL</t>
        </is>
      </c>
      <c r="G205" t="n">
        <v>900004077</v>
      </c>
      <c r="H205" t="inlineStr">
        <is>
          <t>TP-SAN JUAN (HUDASA)</t>
        </is>
      </c>
      <c r="I205" t="n">
        <v>5054686</v>
      </c>
      <c r="J205" t="inlineStr">
        <is>
          <t>GRUPO MERCANTIL HUDASA SA DE CV</t>
        </is>
      </c>
      <c r="K205" t="inlineStr">
        <is>
          <t>Z06</t>
        </is>
      </c>
      <c r="L205" t="inlineStr">
        <is>
          <t>(AP) 45 Dias</t>
        </is>
      </c>
      <c r="M205" t="n">
        <v>10184011</v>
      </c>
      <c r="N205" t="inlineStr">
        <is>
          <t>GRAVA TRITURADA CALIZA 20 MM - 3/4"</t>
        </is>
      </c>
      <c r="O205" t="inlineStr">
        <is>
          <t>D836</t>
        </is>
      </c>
      <c r="P205" t="inlineStr">
        <is>
          <t>MX-CED. CENTRO</t>
        </is>
      </c>
      <c r="Q205" t="n">
        <v>20200825</v>
      </c>
      <c r="R205" t="n">
        <v>20301231</v>
      </c>
      <c r="S205" t="n">
        <v>20200911</v>
      </c>
      <c r="T205" t="n">
        <v>20291231</v>
      </c>
      <c r="U205" t="n">
        <v>342.5</v>
      </c>
      <c r="V205" t="inlineStr">
        <is>
          <t>MXN</t>
        </is>
      </c>
      <c r="W205" t="inlineStr">
        <is>
          <t>M3</t>
        </is>
      </c>
      <c r="X205" t="n">
        <v>202.5</v>
      </c>
      <c r="Y205" t="inlineStr">
        <is>
          <t>MXN</t>
        </is>
      </c>
      <c r="Z205" t="inlineStr">
        <is>
          <t>M3</t>
        </is>
      </c>
      <c r="AC205" t="n">
        <v>56103637</v>
      </c>
      <c r="AD205" t="n">
        <v>6622261540</v>
      </c>
      <c r="AE205" t="n">
        <v>4</v>
      </c>
      <c r="AF205" t="inlineStr">
        <is>
          <t>ENTREGA DIRECTA</t>
        </is>
      </c>
      <c r="AG205" t="n">
        <v>1.462</v>
      </c>
      <c r="AH205" t="inlineStr">
        <is>
          <t>M3</t>
        </is>
      </c>
      <c r="AI205" t="inlineStr">
        <is>
          <t>X</t>
        </is>
      </c>
      <c r="AJ205" t="n">
        <v>4</v>
      </c>
      <c r="AK205" t="inlineStr">
        <is>
          <t>V4</t>
        </is>
      </c>
      <c r="AL205" t="n">
        <v>20230920</v>
      </c>
      <c r="AM205" t="inlineStr">
        <is>
          <t>D836-900004077--10184011-4</t>
        </is>
      </c>
    </row>
    <row r="206">
      <c r="A206" t="inlineStr">
        <is>
          <t>900004077D8366689828110192944</t>
        </is>
      </c>
      <c r="B206" t="inlineStr">
        <is>
          <t>4600047844-580</t>
        </is>
      </c>
      <c r="C206" t="n">
        <v>4600047844</v>
      </c>
      <c r="D206" t="n">
        <v>580</v>
      </c>
      <c r="E206" t="inlineStr">
        <is>
          <t>MXPO</t>
        </is>
      </c>
      <c r="F206" t="inlineStr">
        <is>
          <t>MXL</t>
        </is>
      </c>
      <c r="G206" t="n">
        <v>900004077</v>
      </c>
      <c r="H206" t="inlineStr">
        <is>
          <t>TP-SAN JUAN (HUDASA)</t>
        </is>
      </c>
      <c r="I206" t="n">
        <v>5054686</v>
      </c>
      <c r="J206" t="inlineStr">
        <is>
          <t>GRUPO MERCANTIL HUDASA SA DE CV</t>
        </is>
      </c>
      <c r="K206" t="inlineStr">
        <is>
          <t>Z06</t>
        </is>
      </c>
      <c r="L206" t="inlineStr">
        <is>
          <t>(AP) 45 Dias</t>
        </is>
      </c>
      <c r="M206" t="n">
        <v>10192944</v>
      </c>
      <c r="N206" t="inlineStr">
        <is>
          <t>GRAVA TRITURADA CALIZA 20 MM - 3/4" HD</t>
        </is>
      </c>
      <c r="O206" t="inlineStr">
        <is>
          <t>D836</t>
        </is>
      </c>
      <c r="P206" t="inlineStr">
        <is>
          <t>MX-CED. CENTRO</t>
        </is>
      </c>
      <c r="Q206" t="n">
        <v>20200825</v>
      </c>
      <c r="R206" t="n">
        <v>20301231</v>
      </c>
      <c r="S206" t="n">
        <v>20210727</v>
      </c>
      <c r="T206" t="n">
        <v>20261231</v>
      </c>
      <c r="U206" t="n">
        <v>342.5</v>
      </c>
      <c r="V206" t="inlineStr">
        <is>
          <t>MXN</t>
        </is>
      </c>
      <c r="W206" t="inlineStr">
        <is>
          <t>M3</t>
        </is>
      </c>
      <c r="X206" t="n">
        <v>202.5</v>
      </c>
      <c r="Y206" t="inlineStr">
        <is>
          <t>MXN</t>
        </is>
      </c>
      <c r="Z206" t="inlineStr">
        <is>
          <t>M3</t>
        </is>
      </c>
      <c r="AA206" t="inlineStr">
        <is>
          <t>66898281</t>
        </is>
      </c>
      <c r="AB206" t="inlineStr">
        <is>
          <t>CHOYON TLANEPANTLA</t>
        </is>
      </c>
      <c r="AC206" t="n">
        <v>56103637</v>
      </c>
      <c r="AD206" t="n">
        <v>6622261540</v>
      </c>
      <c r="AE206" t="n">
        <v>4</v>
      </c>
      <c r="AF206" t="inlineStr">
        <is>
          <t>ENTREGA DIRECTA</t>
        </is>
      </c>
      <c r="AG206" t="n">
        <v>1.462</v>
      </c>
      <c r="AH206" t="inlineStr">
        <is>
          <t>M3</t>
        </is>
      </c>
      <c r="AI206" t="inlineStr">
        <is>
          <t>X</t>
        </is>
      </c>
      <c r="AJ206" t="n">
        <v>4</v>
      </c>
      <c r="AK206" t="inlineStr">
        <is>
          <t>V4</t>
        </is>
      </c>
      <c r="AL206" t="n">
        <v>20230920</v>
      </c>
      <c r="AM206" t="inlineStr">
        <is>
          <t>D836-900004077-66898281-10192944-4</t>
        </is>
      </c>
    </row>
    <row r="207">
      <c r="A207" t="inlineStr">
        <is>
          <t>900007321D8366709100410172240</t>
        </is>
      </c>
      <c r="B207" t="inlineStr">
        <is>
          <t>4600052061-90</t>
        </is>
      </c>
      <c r="C207" t="n">
        <v>4600052061</v>
      </c>
      <c r="D207" t="n">
        <v>90</v>
      </c>
      <c r="E207" t="inlineStr">
        <is>
          <t>MXPO</t>
        </is>
      </c>
      <c r="F207" t="inlineStr">
        <is>
          <t>MXL</t>
        </is>
      </c>
      <c r="G207" t="n">
        <v>900007321</v>
      </c>
      <c r="H207" t="inlineStr">
        <is>
          <t>SF TP-ED-LOMA ANCHA SC</t>
        </is>
      </c>
      <c r="I207" t="n">
        <v>5047262</v>
      </c>
      <c r="J207" t="inlineStr">
        <is>
          <t>AGREGADOS PETREOS SAN CRISTOBAL</t>
        </is>
      </c>
      <c r="K207" t="inlineStr">
        <is>
          <t>Z03</t>
        </is>
      </c>
      <c r="L207" t="inlineStr">
        <is>
          <t>(AP) 15 Dias</t>
        </is>
      </c>
      <c r="M207" t="n">
        <v>10172240</v>
      </c>
      <c r="N207" t="inlineStr">
        <is>
          <t>GRAVA TRITURADA TEZONTLE 20MM - 3/4" A F</t>
        </is>
      </c>
      <c r="O207" t="inlineStr">
        <is>
          <t>D836</t>
        </is>
      </c>
      <c r="P207" t="inlineStr">
        <is>
          <t>MX-CED. CENTRO</t>
        </is>
      </c>
      <c r="Q207" t="n">
        <v>20210928</v>
      </c>
      <c r="R207" t="n">
        <v>20291231</v>
      </c>
      <c r="S207" t="n">
        <v>20220928</v>
      </c>
      <c r="T207" t="n">
        <v>20271231</v>
      </c>
      <c r="U207" t="n">
        <v>351</v>
      </c>
      <c r="V207" t="inlineStr">
        <is>
          <t>MXN</t>
        </is>
      </c>
      <c r="W207" t="inlineStr">
        <is>
          <t>M3</t>
        </is>
      </c>
      <c r="X207" t="n">
        <v>285</v>
      </c>
      <c r="Y207" t="inlineStr">
        <is>
          <t>MXN</t>
        </is>
      </c>
      <c r="Z207" t="inlineStr">
        <is>
          <t>M3</t>
        </is>
      </c>
      <c r="AA207" t="inlineStr">
        <is>
          <t>67091004</t>
        </is>
      </c>
      <c r="AB207" t="inlineStr">
        <is>
          <t>PARQUE NACIONAL DE JUSTICIA (FISCAL</t>
        </is>
      </c>
      <c r="AC207" t="n">
        <v>56103637</v>
      </c>
      <c r="AD207" t="n">
        <v>6622261540</v>
      </c>
      <c r="AE207" t="n">
        <v>4</v>
      </c>
      <c r="AF207" t="inlineStr">
        <is>
          <t>ENTREGA DIRECTA</t>
        </is>
      </c>
      <c r="AG207" t="n">
        <v>1.3</v>
      </c>
      <c r="AH207" t="inlineStr">
        <is>
          <t>M3</t>
        </is>
      </c>
      <c r="AI207" t="inlineStr">
        <is>
          <t>X</t>
        </is>
      </c>
      <c r="AJ207" t="n">
        <v>4</v>
      </c>
      <c r="AK207" t="inlineStr">
        <is>
          <t>V4</t>
        </is>
      </c>
      <c r="AL207" t="n">
        <v>20230920</v>
      </c>
      <c r="AM207" t="inlineStr">
        <is>
          <t>D836-900007321-67091004-10172240-4</t>
        </is>
      </c>
    </row>
    <row r="208">
      <c r="A208" t="inlineStr">
        <is>
          <t>900004323D8366653526610000357</t>
        </is>
      </c>
      <c r="B208" t="inlineStr">
        <is>
          <t>4600039874-50</t>
        </is>
      </c>
      <c r="C208" t="n">
        <v>4600039874</v>
      </c>
      <c r="D208" t="n">
        <v>50</v>
      </c>
      <c r="E208" t="inlineStr">
        <is>
          <t>MXPO</t>
        </is>
      </c>
      <c r="F208" t="inlineStr">
        <is>
          <t>MXL</t>
        </is>
      </c>
      <c r="G208" t="n">
        <v>900004323</v>
      </c>
      <c r="H208" t="inlineStr">
        <is>
          <t>TP-LAS TRANCAS</t>
        </is>
      </c>
      <c r="I208" t="n">
        <v>5047262</v>
      </c>
      <c r="J208" t="inlineStr">
        <is>
          <t>AGREGADOS PETREOS SAN CRISTOBAL</t>
        </is>
      </c>
      <c r="K208" t="inlineStr">
        <is>
          <t>Z03</t>
        </is>
      </c>
      <c r="L208" t="inlineStr">
        <is>
          <t>(AP) 15 Dias</t>
        </is>
      </c>
      <c r="M208" t="n">
        <v>10000357</v>
      </c>
      <c r="N208" t="inlineStr">
        <is>
          <t>Grava Triturada Andesita 20 mm - 3/4"</t>
        </is>
      </c>
      <c r="O208" t="inlineStr">
        <is>
          <t>D836</t>
        </is>
      </c>
      <c r="P208" t="inlineStr">
        <is>
          <t>MX-CED. CENTRO</t>
        </is>
      </c>
      <c r="Q208" t="n">
        <v>20170927</v>
      </c>
      <c r="R208" t="n">
        <v>20281231</v>
      </c>
      <c r="S208" t="n">
        <v>20180503</v>
      </c>
      <c r="T208" t="n">
        <v>20241231</v>
      </c>
      <c r="U208" t="n">
        <v>324</v>
      </c>
      <c r="V208" t="inlineStr">
        <is>
          <t>MXN</t>
        </is>
      </c>
      <c r="W208" t="inlineStr">
        <is>
          <t>M3</t>
        </is>
      </c>
      <c r="X208" t="n">
        <v>234</v>
      </c>
      <c r="Y208" t="inlineStr">
        <is>
          <t>MXN</t>
        </is>
      </c>
      <c r="Z208" t="inlineStr">
        <is>
          <t>M3</t>
        </is>
      </c>
      <c r="AA208" t="inlineStr">
        <is>
          <t>66535266</t>
        </is>
      </c>
      <c r="AB208" t="inlineStr">
        <is>
          <t>AGREGADOS Y ENVASADOS MEXICANOS</t>
        </is>
      </c>
      <c r="AC208" t="n">
        <v>56103637</v>
      </c>
      <c r="AD208" t="n">
        <v>6622261540</v>
      </c>
      <c r="AE208" t="n">
        <v>4</v>
      </c>
      <c r="AF208" t="inlineStr">
        <is>
          <t>ENTREGA DIRECTA</t>
        </is>
      </c>
      <c r="AG208" t="n">
        <v>1.326</v>
      </c>
      <c r="AH208" t="inlineStr">
        <is>
          <t>M3</t>
        </is>
      </c>
      <c r="AI208" t="inlineStr">
        <is>
          <t>X</t>
        </is>
      </c>
      <c r="AJ208" t="n">
        <v>4</v>
      </c>
      <c r="AK208" t="inlineStr">
        <is>
          <t>V4</t>
        </is>
      </c>
      <c r="AL208" t="n">
        <v>20230920</v>
      </c>
      <c r="AM208" t="inlineStr">
        <is>
          <t>D836-900004323-66535266-10000357-4</t>
        </is>
      </c>
    </row>
    <row r="209">
      <c r="A209" t="inlineStr">
        <is>
          <t>900006542D8366689786710000160</t>
        </is>
      </c>
      <c r="B209" t="inlineStr">
        <is>
          <t>4600047341-200</t>
        </is>
      </c>
      <c r="C209" t="n">
        <v>4600047341</v>
      </c>
      <c r="D209" t="n">
        <v>200</v>
      </c>
      <c r="E209" t="inlineStr">
        <is>
          <t>MXPO</t>
        </is>
      </c>
      <c r="F209" t="inlineStr">
        <is>
          <t>MXL</t>
        </is>
      </c>
      <c r="G209" t="n">
        <v>900006542</v>
      </c>
      <c r="H209" t="inlineStr">
        <is>
          <t>TP-OLIELL TORTON</t>
        </is>
      </c>
      <c r="I209" t="n">
        <v>5048484</v>
      </c>
      <c r="J209" t="inlineStr">
        <is>
          <t>COMERCIALIZADORA Y TRANSPORTADORA O</t>
        </is>
      </c>
      <c r="K209" t="inlineStr">
        <is>
          <t>N90</t>
        </is>
      </c>
      <c r="L209" t="inlineStr">
        <is>
          <t>(AP) NAFIN 90 Dias</t>
        </is>
      </c>
      <c r="M209" t="n">
        <v>10000160</v>
      </c>
      <c r="N209" t="inlineStr">
        <is>
          <t>Arena Triturada Andesita Malla 4</t>
        </is>
      </c>
      <c r="O209" t="inlineStr">
        <is>
          <t>D836</t>
        </is>
      </c>
      <c r="P209" t="inlineStr">
        <is>
          <t>MX-CED. CENTRO</t>
        </is>
      </c>
      <c r="Q209" t="n">
        <v>20200615</v>
      </c>
      <c r="R209" t="n">
        <v>20281231</v>
      </c>
      <c r="S209" t="n">
        <v>20200911</v>
      </c>
      <c r="T209" t="n">
        <v>20291231</v>
      </c>
      <c r="U209" t="n">
        <v>305</v>
      </c>
      <c r="V209" t="inlineStr">
        <is>
          <t>MXN</t>
        </is>
      </c>
      <c r="W209" t="inlineStr">
        <is>
          <t>M3</t>
        </is>
      </c>
      <c r="X209" t="n">
        <v>205</v>
      </c>
      <c r="Y209" t="inlineStr">
        <is>
          <t>MXN</t>
        </is>
      </c>
      <c r="Z209" t="inlineStr">
        <is>
          <t>M3</t>
        </is>
      </c>
      <c r="AA209" t="inlineStr">
        <is>
          <t>66897867</t>
        </is>
      </c>
      <c r="AB209" t="inlineStr">
        <is>
          <t>LATONEROS 84</t>
        </is>
      </c>
      <c r="AC209" t="n">
        <v>56103638</v>
      </c>
      <c r="AD209" t="n">
        <v>6622261540</v>
      </c>
      <c r="AE209" t="n">
        <v>4</v>
      </c>
      <c r="AF209" t="inlineStr">
        <is>
          <t>ENTREGA DIRECTA</t>
        </is>
      </c>
      <c r="AG209" t="n">
        <v>1.409</v>
      </c>
      <c r="AH209" t="inlineStr">
        <is>
          <t>M3</t>
        </is>
      </c>
      <c r="AI209" t="inlineStr">
        <is>
          <t>X</t>
        </is>
      </c>
      <c r="AJ209" t="n">
        <v>4</v>
      </c>
      <c r="AK209" t="inlineStr">
        <is>
          <t>V4</t>
        </is>
      </c>
      <c r="AL209" t="n">
        <v>20230920</v>
      </c>
      <c r="AM209" t="inlineStr">
        <is>
          <t>D836-900006542-66897867-10000160-4</t>
        </is>
      </c>
    </row>
    <row r="210">
      <c r="A210" t="inlineStr">
        <is>
          <t>900006542D8366689786710000357</t>
        </is>
      </c>
      <c r="B210" t="inlineStr">
        <is>
          <t>4600047341-210</t>
        </is>
      </c>
      <c r="C210" t="n">
        <v>4600047341</v>
      </c>
      <c r="D210" t="n">
        <v>210</v>
      </c>
      <c r="E210" t="inlineStr">
        <is>
          <t>MXPO</t>
        </is>
      </c>
      <c r="F210" t="inlineStr">
        <is>
          <t>MXL</t>
        </is>
      </c>
      <c r="G210" t="n">
        <v>900006542</v>
      </c>
      <c r="H210" t="inlineStr">
        <is>
          <t>TP-OLIELL TORTON</t>
        </is>
      </c>
      <c r="I210" t="n">
        <v>5048484</v>
      </c>
      <c r="J210" t="inlineStr">
        <is>
          <t>COMERCIALIZADORA Y TRANSPORTADORA O</t>
        </is>
      </c>
      <c r="K210" t="inlineStr">
        <is>
          <t>N90</t>
        </is>
      </c>
      <c r="L210" t="inlineStr">
        <is>
          <t>(AP) NAFIN 90 Dias</t>
        </is>
      </c>
      <c r="M210" t="n">
        <v>10000357</v>
      </c>
      <c r="N210" t="inlineStr">
        <is>
          <t>Grava Triturada Andesita 20 mm - 3/4"</t>
        </is>
      </c>
      <c r="O210" t="inlineStr">
        <is>
          <t>D836</t>
        </is>
      </c>
      <c r="P210" t="inlineStr">
        <is>
          <t>MX-CED. CENTRO</t>
        </is>
      </c>
      <c r="Q210" t="n">
        <v>20200615</v>
      </c>
      <c r="R210" t="n">
        <v>20281231</v>
      </c>
      <c r="S210" t="n">
        <v>20200911</v>
      </c>
      <c r="T210" t="n">
        <v>20291231</v>
      </c>
      <c r="U210" t="n">
        <v>315</v>
      </c>
      <c r="V210" t="inlineStr">
        <is>
          <t>MXN</t>
        </is>
      </c>
      <c r="W210" t="inlineStr">
        <is>
          <t>M3</t>
        </is>
      </c>
      <c r="X210" t="n">
        <v>205</v>
      </c>
      <c r="Y210" t="inlineStr">
        <is>
          <t>MXN</t>
        </is>
      </c>
      <c r="Z210" t="inlineStr">
        <is>
          <t>M3</t>
        </is>
      </c>
      <c r="AA210" t="inlineStr">
        <is>
          <t>66897867</t>
        </is>
      </c>
      <c r="AB210" t="inlineStr">
        <is>
          <t>LATONEROS 84</t>
        </is>
      </c>
      <c r="AC210" t="n">
        <v>56103637</v>
      </c>
      <c r="AD210" t="n">
        <v>6622261540</v>
      </c>
      <c r="AE210" t="n">
        <v>4</v>
      </c>
      <c r="AF210" t="inlineStr">
        <is>
          <t>ENTREGA DIRECTA</t>
        </is>
      </c>
      <c r="AG210" t="n">
        <v>1.326</v>
      </c>
      <c r="AH210" t="inlineStr">
        <is>
          <t>M3</t>
        </is>
      </c>
      <c r="AI210" t="inlineStr">
        <is>
          <t>X</t>
        </is>
      </c>
      <c r="AJ210" t="n">
        <v>4</v>
      </c>
      <c r="AK210" t="inlineStr">
        <is>
          <t>V4</t>
        </is>
      </c>
      <c r="AL210" t="n">
        <v>20230920</v>
      </c>
      <c r="AM210" t="inlineStr">
        <is>
          <t>D836-900006542-66897867-10000357-4</t>
        </is>
      </c>
    </row>
    <row r="211">
      <c r="A211" t="inlineStr">
        <is>
          <t>900006542D8366648605910000357</t>
        </is>
      </c>
      <c r="B211" t="inlineStr">
        <is>
          <t>4600047341-430</t>
        </is>
      </c>
      <c r="C211" t="n">
        <v>4600047341</v>
      </c>
      <c r="D211" t="n">
        <v>430</v>
      </c>
      <c r="E211" t="inlineStr">
        <is>
          <t>MXPO</t>
        </is>
      </c>
      <c r="F211" t="inlineStr">
        <is>
          <t>MXL</t>
        </is>
      </c>
      <c r="G211" t="n">
        <v>900006542</v>
      </c>
      <c r="H211" t="inlineStr">
        <is>
          <t>TP-OLIELL TORTON</t>
        </is>
      </c>
      <c r="I211" t="n">
        <v>5048484</v>
      </c>
      <c r="J211" t="inlineStr">
        <is>
          <t>COMERCIALIZADORA Y TRANSPORTADORA O</t>
        </is>
      </c>
      <c r="K211" t="inlineStr">
        <is>
          <t>N90</t>
        </is>
      </c>
      <c r="L211" t="inlineStr">
        <is>
          <t>(AP) NAFIN 90 Dias</t>
        </is>
      </c>
      <c r="M211" t="n">
        <v>10000357</v>
      </c>
      <c r="N211" t="inlineStr">
        <is>
          <t>Grava Triturada Andesita 20 mm - 3/4"</t>
        </is>
      </c>
      <c r="O211" t="inlineStr">
        <is>
          <t>D836</t>
        </is>
      </c>
      <c r="P211" t="inlineStr">
        <is>
          <t>MX-CED. CENTRO</t>
        </is>
      </c>
      <c r="Q211" t="n">
        <v>20200615</v>
      </c>
      <c r="R211" t="n">
        <v>20281231</v>
      </c>
      <c r="S211" t="n">
        <v>20210205</v>
      </c>
      <c r="T211" t="n">
        <v>20291231</v>
      </c>
      <c r="U211" t="n">
        <v>455</v>
      </c>
      <c r="V211" t="inlineStr">
        <is>
          <t>MXN</t>
        </is>
      </c>
      <c r="W211" t="inlineStr">
        <is>
          <t>M3</t>
        </is>
      </c>
      <c r="X211" t="n">
        <v>345</v>
      </c>
      <c r="Y211" t="inlineStr">
        <is>
          <t>MXN</t>
        </is>
      </c>
      <c r="Z211" t="inlineStr">
        <is>
          <t>M3</t>
        </is>
      </c>
      <c r="AA211" t="inlineStr">
        <is>
          <t>66486059</t>
        </is>
      </c>
      <c r="AB211" t="inlineStr">
        <is>
          <t>Proveedora Matva</t>
        </is>
      </c>
      <c r="AC211" t="n">
        <v>56103637</v>
      </c>
      <c r="AD211" t="n">
        <v>6622261540</v>
      </c>
      <c r="AE211" t="n">
        <v>4</v>
      </c>
      <c r="AF211" t="inlineStr">
        <is>
          <t>ENTREGA DIRECTA</t>
        </is>
      </c>
      <c r="AG211" t="n">
        <v>1.326</v>
      </c>
      <c r="AH211" t="inlineStr">
        <is>
          <t>M3</t>
        </is>
      </c>
      <c r="AI211" t="inlineStr">
        <is>
          <t>X</t>
        </is>
      </c>
      <c r="AJ211" t="n">
        <v>4</v>
      </c>
      <c r="AK211" t="inlineStr">
        <is>
          <t>V4</t>
        </is>
      </c>
      <c r="AL211" t="n">
        <v>20230920</v>
      </c>
      <c r="AM211" t="inlineStr">
        <is>
          <t>D836-900006542-66486059-10000357-4</t>
        </is>
      </c>
    </row>
    <row r="212">
      <c r="A212" t="inlineStr">
        <is>
          <t>900004077D83610184010</t>
        </is>
      </c>
      <c r="B212" t="inlineStr">
        <is>
          <t>4600047844-80</t>
        </is>
      </c>
      <c r="C212" t="n">
        <v>4600047844</v>
      </c>
      <c r="D212" t="n">
        <v>80</v>
      </c>
      <c r="E212" t="inlineStr">
        <is>
          <t>MXPO</t>
        </is>
      </c>
      <c r="F212" t="inlineStr">
        <is>
          <t>MXL</t>
        </is>
      </c>
      <c r="G212" t="n">
        <v>900004077</v>
      </c>
      <c r="H212" t="inlineStr">
        <is>
          <t>TP-SAN JUAN (HUDASA)</t>
        </is>
      </c>
      <c r="I212" t="n">
        <v>5054686</v>
      </c>
      <c r="J212" t="inlineStr">
        <is>
          <t>GRUPO MERCANTIL HUDASA SA DE CV</t>
        </is>
      </c>
      <c r="K212" t="inlineStr">
        <is>
          <t>Z06</t>
        </is>
      </c>
      <c r="L212" t="inlineStr">
        <is>
          <t>(AP) 45 Dias</t>
        </is>
      </c>
      <c r="M212" t="n">
        <v>10184010</v>
      </c>
      <c r="N212" t="inlineStr">
        <is>
          <t>GRAVA TRITURADA CALIZA 13 MM - 1/2"</t>
        </is>
      </c>
      <c r="O212" t="inlineStr">
        <is>
          <t>D836</t>
        </is>
      </c>
      <c r="P212" t="inlineStr">
        <is>
          <t>MX-CED. CENTRO</t>
        </is>
      </c>
      <c r="Q212" t="n">
        <v>20200825</v>
      </c>
      <c r="R212" t="n">
        <v>20301231</v>
      </c>
      <c r="S212" t="n">
        <v>20200911</v>
      </c>
      <c r="T212" t="n">
        <v>20291231</v>
      </c>
      <c r="U212" t="n">
        <v>342.5</v>
      </c>
      <c r="V212" t="inlineStr">
        <is>
          <t>MXN</t>
        </is>
      </c>
      <c r="W212" t="inlineStr">
        <is>
          <t>M3</t>
        </is>
      </c>
      <c r="X212" t="n">
        <v>202.5</v>
      </c>
      <c r="Y212" t="inlineStr">
        <is>
          <t>MXN</t>
        </is>
      </c>
      <c r="Z212" t="inlineStr">
        <is>
          <t>M3</t>
        </is>
      </c>
      <c r="AC212" t="n">
        <v>56103637</v>
      </c>
      <c r="AD212" t="n">
        <v>6622261540</v>
      </c>
      <c r="AE212" t="n">
        <v>4</v>
      </c>
      <c r="AF212" t="inlineStr">
        <is>
          <t>ENTREGA DIRECTA</t>
        </is>
      </c>
      <c r="AG212" t="n">
        <v>1.446</v>
      </c>
      <c r="AH212" t="inlineStr">
        <is>
          <t>M3</t>
        </is>
      </c>
      <c r="AI212" t="inlineStr">
        <is>
          <t>X</t>
        </is>
      </c>
      <c r="AJ212" t="n">
        <v>4</v>
      </c>
      <c r="AK212" t="inlineStr">
        <is>
          <t>V4</t>
        </is>
      </c>
      <c r="AL212" t="n">
        <v>20230920</v>
      </c>
      <c r="AM212" t="inlineStr">
        <is>
          <t>D836-900004077--10184010-4</t>
        </is>
      </c>
    </row>
    <row r="213">
      <c r="A213" t="inlineStr">
        <is>
          <t>900006371D8366623009810000160</t>
        </is>
      </c>
      <c r="B213" t="inlineStr">
        <is>
          <t>4600048255-240</t>
        </is>
      </c>
      <c r="C213" t="n">
        <v>4600048255</v>
      </c>
      <c r="D213" t="n">
        <v>240</v>
      </c>
      <c r="E213" t="inlineStr">
        <is>
          <t>MXPO</t>
        </is>
      </c>
      <c r="F213" t="inlineStr">
        <is>
          <t>MXL</t>
        </is>
      </c>
      <c r="G213" t="n">
        <v>900006371</v>
      </c>
      <c r="H213" t="inlineStr">
        <is>
          <t>SF TP-ED-TRIVOMEX</t>
        </is>
      </c>
      <c r="I213" t="n">
        <v>5033501</v>
      </c>
      <c r="J213" t="inlineStr">
        <is>
          <t>TRITURADOS VOLCANICOS DE MEXICO</t>
        </is>
      </c>
      <c r="K213" t="inlineStr">
        <is>
          <t>Z04</t>
        </is>
      </c>
      <c r="L213" t="inlineStr">
        <is>
          <t>(AP) 30 Dias</t>
        </is>
      </c>
      <c r="M213" t="n">
        <v>10000160</v>
      </c>
      <c r="N213" t="inlineStr">
        <is>
          <t>Arena Triturada Andesita Malla 4</t>
        </is>
      </c>
      <c r="O213" t="inlineStr">
        <is>
          <t>D836</t>
        </is>
      </c>
      <c r="P213" t="inlineStr">
        <is>
          <t>MX-CED. CENTRO</t>
        </is>
      </c>
      <c r="Q213" t="n">
        <v>20201015</v>
      </c>
      <c r="R213" t="n">
        <v>20291231</v>
      </c>
      <c r="S213" t="n">
        <v>20230420</v>
      </c>
      <c r="T213" t="n">
        <v>20281231</v>
      </c>
      <c r="U213" t="n">
        <v>307</v>
      </c>
      <c r="V213" t="inlineStr">
        <is>
          <t>MXN</t>
        </is>
      </c>
      <c r="W213" t="inlineStr">
        <is>
          <t>M3</t>
        </is>
      </c>
      <c r="X213" t="n">
        <v>211</v>
      </c>
      <c r="Y213" t="inlineStr">
        <is>
          <t>MXN</t>
        </is>
      </c>
      <c r="Z213" t="inlineStr">
        <is>
          <t>M3</t>
        </is>
      </c>
      <c r="AA213" t="inlineStr">
        <is>
          <t>66230098</t>
        </is>
      </c>
      <c r="AB213" t="inlineStr">
        <is>
          <t>COMARCA PLANTA NAULCALPAN (JARV)</t>
        </is>
      </c>
      <c r="AC213" t="n">
        <v>56103638</v>
      </c>
      <c r="AD213" t="n">
        <v>6622261540</v>
      </c>
      <c r="AE213" t="n">
        <v>4</v>
      </c>
      <c r="AF213" t="inlineStr">
        <is>
          <t>ENTREGA DIRECTA</t>
        </is>
      </c>
      <c r="AG213" t="n">
        <v>1.409</v>
      </c>
      <c r="AH213" t="inlineStr">
        <is>
          <t>M3</t>
        </is>
      </c>
      <c r="AI213" t="inlineStr">
        <is>
          <t>X</t>
        </is>
      </c>
      <c r="AJ213" t="n">
        <v>4</v>
      </c>
      <c r="AK213" t="inlineStr">
        <is>
          <t>V4</t>
        </is>
      </c>
      <c r="AL213" t="n">
        <v>20230920</v>
      </c>
      <c r="AM213" t="inlineStr">
        <is>
          <t>D836-900006371-66230098-10000160-4</t>
        </is>
      </c>
    </row>
    <row r="214">
      <c r="A214" t="inlineStr">
        <is>
          <t>900006371D8366645007210000160</t>
        </is>
      </c>
      <c r="B214" t="inlineStr">
        <is>
          <t>4600048255-250</t>
        </is>
      </c>
      <c r="C214" t="n">
        <v>4600048255</v>
      </c>
      <c r="D214" t="n">
        <v>250</v>
      </c>
      <c r="E214" t="inlineStr">
        <is>
          <t>MXPO</t>
        </is>
      </c>
      <c r="F214" t="inlineStr">
        <is>
          <t>MXL</t>
        </is>
      </c>
      <c r="G214" t="n">
        <v>900006371</v>
      </c>
      <c r="H214" t="inlineStr">
        <is>
          <t>SF TP-ED-TRIVOMEX</t>
        </is>
      </c>
      <c r="I214" t="n">
        <v>5033501</v>
      </c>
      <c r="J214" t="inlineStr">
        <is>
          <t>TRITURADOS VOLCANICOS DE MEXICO</t>
        </is>
      </c>
      <c r="K214" t="inlineStr">
        <is>
          <t>Z04</t>
        </is>
      </c>
      <c r="L214" t="inlineStr">
        <is>
          <t>(AP) 30 Dias</t>
        </is>
      </c>
      <c r="M214" t="n">
        <v>10000160</v>
      </c>
      <c r="N214" t="inlineStr">
        <is>
          <t>Arena Triturada Andesita Malla 4</t>
        </is>
      </c>
      <c r="O214" t="inlineStr">
        <is>
          <t>D836</t>
        </is>
      </c>
      <c r="P214" t="inlineStr">
        <is>
          <t>MX-CED. CENTRO</t>
        </is>
      </c>
      <c r="Q214" t="n">
        <v>20201015</v>
      </c>
      <c r="R214" t="n">
        <v>20291231</v>
      </c>
      <c r="S214" t="n">
        <v>20230420</v>
      </c>
      <c r="T214" t="n">
        <v>20281231</v>
      </c>
      <c r="U214" t="n">
        <v>307</v>
      </c>
      <c r="V214" t="inlineStr">
        <is>
          <t>MXN</t>
        </is>
      </c>
      <c r="W214" t="inlineStr">
        <is>
          <t>M3</t>
        </is>
      </c>
      <c r="X214" t="n">
        <v>211</v>
      </c>
      <c r="Y214" t="inlineStr">
        <is>
          <t>MXN</t>
        </is>
      </c>
      <c r="Z214" t="inlineStr">
        <is>
          <t>M3</t>
        </is>
      </c>
      <c r="AA214" t="inlineStr">
        <is>
          <t>66450072</t>
        </is>
      </c>
      <c r="AB214" t="inlineStr">
        <is>
          <t>COMARCA ESMERALDA OBR-AGR</t>
        </is>
      </c>
      <c r="AC214" t="n">
        <v>56103638</v>
      </c>
      <c r="AD214" t="n">
        <v>6622261540</v>
      </c>
      <c r="AE214" t="n">
        <v>4</v>
      </c>
      <c r="AF214" t="inlineStr">
        <is>
          <t>ENTREGA DIRECTA</t>
        </is>
      </c>
      <c r="AG214" t="n">
        <v>1.409</v>
      </c>
      <c r="AH214" t="inlineStr">
        <is>
          <t>M3</t>
        </is>
      </c>
      <c r="AI214" t="inlineStr">
        <is>
          <t>X</t>
        </is>
      </c>
      <c r="AJ214" t="n">
        <v>4</v>
      </c>
      <c r="AK214" t="inlineStr">
        <is>
          <t>V4</t>
        </is>
      </c>
      <c r="AL214" t="n">
        <v>20230920</v>
      </c>
      <c r="AM214" t="inlineStr">
        <is>
          <t>D836-900006371-66450072-10000160-4</t>
        </is>
      </c>
    </row>
    <row r="215">
      <c r="A215" t="inlineStr">
        <is>
          <t>900007321D8366645007210000160</t>
        </is>
      </c>
      <c r="B215" t="inlineStr">
        <is>
          <t>4600052061-120</t>
        </is>
      </c>
      <c r="C215" t="n">
        <v>4600052061</v>
      </c>
      <c r="D215" t="n">
        <v>120</v>
      </c>
      <c r="E215" t="inlineStr">
        <is>
          <t>MXPO</t>
        </is>
      </c>
      <c r="F215" t="inlineStr">
        <is>
          <t>MXL</t>
        </is>
      </c>
      <c r="G215" t="n">
        <v>900007321</v>
      </c>
      <c r="H215" t="inlineStr">
        <is>
          <t>SF TP-ED-LOMA ANCHA SC</t>
        </is>
      </c>
      <c r="I215" t="n">
        <v>5047262</v>
      </c>
      <c r="J215" t="inlineStr">
        <is>
          <t>AGREGADOS PETREOS SAN CRISTOBAL</t>
        </is>
      </c>
      <c r="K215" t="inlineStr">
        <is>
          <t>Z03</t>
        </is>
      </c>
      <c r="L215" t="inlineStr">
        <is>
          <t>(AP) 15 Dias</t>
        </is>
      </c>
      <c r="M215" t="n">
        <v>10000160</v>
      </c>
      <c r="N215" t="inlineStr">
        <is>
          <t>Arena Triturada Andesita Malla 4</t>
        </is>
      </c>
      <c r="O215" t="inlineStr">
        <is>
          <t>D836</t>
        </is>
      </c>
      <c r="P215" t="inlineStr">
        <is>
          <t>MX-CED. CENTRO</t>
        </is>
      </c>
      <c r="Q215" t="n">
        <v>20210928</v>
      </c>
      <c r="R215" t="n">
        <v>20291231</v>
      </c>
      <c r="S215" t="n">
        <v>20230420</v>
      </c>
      <c r="T215" t="n">
        <v>20281231</v>
      </c>
      <c r="U215" t="n">
        <v>300</v>
      </c>
      <c r="V215" t="inlineStr">
        <is>
          <t>MXN</t>
        </is>
      </c>
      <c r="W215" t="inlineStr">
        <is>
          <t>M3</t>
        </is>
      </c>
      <c r="X215" t="n">
        <v>211</v>
      </c>
      <c r="Y215" t="inlineStr">
        <is>
          <t>MXN</t>
        </is>
      </c>
      <c r="Z215" t="inlineStr">
        <is>
          <t>M3</t>
        </is>
      </c>
      <c r="AA215" t="inlineStr">
        <is>
          <t>66450072</t>
        </is>
      </c>
      <c r="AB215" t="inlineStr">
        <is>
          <t>COMARCA ESMERALDA OBR-AGR</t>
        </is>
      </c>
      <c r="AC215" t="n">
        <v>56103638</v>
      </c>
      <c r="AD215" t="n">
        <v>6622261540</v>
      </c>
      <c r="AE215" t="n">
        <v>4</v>
      </c>
      <c r="AF215" t="inlineStr">
        <is>
          <t>ENTREGA DIRECTA</t>
        </is>
      </c>
      <c r="AG215" t="n">
        <v>1.409</v>
      </c>
      <c r="AH215" t="inlineStr">
        <is>
          <t>M3</t>
        </is>
      </c>
      <c r="AI215" t="inlineStr">
        <is>
          <t>X</t>
        </is>
      </c>
      <c r="AJ215" t="n">
        <v>4</v>
      </c>
      <c r="AK215" t="inlineStr">
        <is>
          <t>V4</t>
        </is>
      </c>
      <c r="AL215" t="n">
        <v>20230920</v>
      </c>
      <c r="AM215" t="inlineStr">
        <is>
          <t>D836-900007321-66450072-10000160-4</t>
        </is>
      </c>
    </row>
    <row r="216">
      <c r="A216" t="inlineStr">
        <is>
          <t>900006542D8366698270410000630</t>
        </is>
      </c>
      <c r="B216" t="inlineStr">
        <is>
          <t>4600047341-450</t>
        </is>
      </c>
      <c r="C216" t="n">
        <v>4600047341</v>
      </c>
      <c r="D216" t="n">
        <v>450</v>
      </c>
      <c r="E216" t="inlineStr">
        <is>
          <t>MXPO</t>
        </is>
      </c>
      <c r="F216" t="inlineStr">
        <is>
          <t>MXL</t>
        </is>
      </c>
      <c r="G216" t="n">
        <v>900006542</v>
      </c>
      <c r="H216" t="inlineStr">
        <is>
          <t>TP-OLIELL TORTON</t>
        </is>
      </c>
      <c r="I216" t="n">
        <v>5048484</v>
      </c>
      <c r="J216" t="inlineStr">
        <is>
          <t>COMERCIALIZADORA Y TRANSPORTADORA O</t>
        </is>
      </c>
      <c r="K216" t="inlineStr">
        <is>
          <t>N90</t>
        </is>
      </c>
      <c r="L216" t="inlineStr">
        <is>
          <t>(AP) NAFIN 90 Dias</t>
        </is>
      </c>
      <c r="M216" t="n">
        <v>10000630</v>
      </c>
      <c r="N216" t="inlineStr">
        <is>
          <t>Grava Triturada Caliza 13 mm - 1/2"</t>
        </is>
      </c>
      <c r="O216" t="inlineStr">
        <is>
          <t>D836</t>
        </is>
      </c>
      <c r="P216" t="inlineStr">
        <is>
          <t>MX-CED. CENTRO</t>
        </is>
      </c>
      <c r="Q216" t="n">
        <v>20200615</v>
      </c>
      <c r="R216" t="n">
        <v>20281231</v>
      </c>
      <c r="S216" t="n">
        <v>20210630</v>
      </c>
      <c r="T216" t="n">
        <v>20291231</v>
      </c>
      <c r="U216" t="n">
        <v>657.5</v>
      </c>
      <c r="V216" t="inlineStr">
        <is>
          <t>MXN</t>
        </is>
      </c>
      <c r="W216" t="inlineStr">
        <is>
          <t>M3</t>
        </is>
      </c>
      <c r="X216" t="n">
        <v>507.5</v>
      </c>
      <c r="Y216" t="inlineStr">
        <is>
          <t>MXN</t>
        </is>
      </c>
      <c r="Z216" t="inlineStr">
        <is>
          <t>M3</t>
        </is>
      </c>
      <c r="AA216" t="inlineStr">
        <is>
          <t>66982704</t>
        </is>
      </c>
      <c r="AB216" t="inlineStr">
        <is>
          <t>LA VIGA JH</t>
        </is>
      </c>
      <c r="AC216" t="n">
        <v>56103637</v>
      </c>
      <c r="AD216" t="n">
        <v>6622261540</v>
      </c>
      <c r="AE216" t="n">
        <v>4</v>
      </c>
      <c r="AF216" t="inlineStr">
        <is>
          <t>ENTREGA DIRECTA</t>
        </is>
      </c>
      <c r="AG216" t="n">
        <v>1.4</v>
      </c>
      <c r="AH216" t="inlineStr">
        <is>
          <t>M3</t>
        </is>
      </c>
      <c r="AI216" t="inlineStr">
        <is>
          <t>X</t>
        </is>
      </c>
      <c r="AJ216" t="n">
        <v>4</v>
      </c>
      <c r="AK216" t="inlineStr">
        <is>
          <t>V4</t>
        </is>
      </c>
      <c r="AL216" t="n">
        <v>20230920</v>
      </c>
      <c r="AM216" t="inlineStr">
        <is>
          <t>D836-900006542-66982704-10000630-4</t>
        </is>
      </c>
    </row>
    <row r="217">
      <c r="A217" t="inlineStr">
        <is>
          <t>900006371D8366680034610000313</t>
        </is>
      </c>
      <c r="B217" t="inlineStr">
        <is>
          <t>4600048255-30</t>
        </is>
      </c>
      <c r="C217" t="n">
        <v>4600048255</v>
      </c>
      <c r="D217" t="n">
        <v>30</v>
      </c>
      <c r="E217" t="inlineStr">
        <is>
          <t>MXPO</t>
        </is>
      </c>
      <c r="F217" t="inlineStr">
        <is>
          <t>MXL</t>
        </is>
      </c>
      <c r="G217" t="n">
        <v>900006371</v>
      </c>
      <c r="H217" t="inlineStr">
        <is>
          <t>SF TP-ED-TRIVOMEX</t>
        </is>
      </c>
      <c r="I217" t="n">
        <v>5033501</v>
      </c>
      <c r="J217" t="inlineStr">
        <is>
          <t>TRITURADOS VOLCANICOS DE MEXICO</t>
        </is>
      </c>
      <c r="K217" t="inlineStr">
        <is>
          <t>Z04</t>
        </is>
      </c>
      <c r="L217" t="inlineStr">
        <is>
          <t>(AP) 30 Dias</t>
        </is>
      </c>
      <c r="M217" t="n">
        <v>10000313</v>
      </c>
      <c r="N217" t="inlineStr">
        <is>
          <t>Grava Triturada Basalto  10 mm - 3/8"</t>
        </is>
      </c>
      <c r="O217" t="inlineStr">
        <is>
          <t>D836</t>
        </is>
      </c>
      <c r="P217" t="inlineStr">
        <is>
          <t>MX-CED. CENTRO</t>
        </is>
      </c>
      <c r="Q217" t="n">
        <v>20201015</v>
      </c>
      <c r="R217" t="n">
        <v>20291231</v>
      </c>
      <c r="S217" t="n">
        <v>20210519</v>
      </c>
      <c r="T217" t="n">
        <v>20291231</v>
      </c>
      <c r="U217" t="n">
        <v>567</v>
      </c>
      <c r="V217" t="inlineStr">
        <is>
          <t>MXN</t>
        </is>
      </c>
      <c r="W217" t="inlineStr">
        <is>
          <t>M3</t>
        </is>
      </c>
      <c r="X217" t="n">
        <v>267</v>
      </c>
      <c r="Y217" t="inlineStr">
        <is>
          <t>MXN</t>
        </is>
      </c>
      <c r="Z217" t="inlineStr">
        <is>
          <t>M3</t>
        </is>
      </c>
      <c r="AA217" t="inlineStr">
        <is>
          <t>66800346</t>
        </is>
      </c>
      <c r="AB217" t="inlineStr">
        <is>
          <t>C2002 CIRCUITO EXTERIOR MEXQUENSE (</t>
        </is>
      </c>
      <c r="AC217" t="n">
        <v>56103637</v>
      </c>
      <c r="AD217" t="n">
        <v>6622261540</v>
      </c>
      <c r="AE217" t="n">
        <v>4</v>
      </c>
      <c r="AF217" t="inlineStr">
        <is>
          <t>ENTREGA DIRECTA</t>
        </is>
      </c>
      <c r="AG217" t="n">
        <v>1.32</v>
      </c>
      <c r="AH217" t="inlineStr">
        <is>
          <t>M3</t>
        </is>
      </c>
      <c r="AI217" t="inlineStr">
        <is>
          <t>X</t>
        </is>
      </c>
      <c r="AJ217" t="n">
        <v>4</v>
      </c>
      <c r="AK217" t="inlineStr">
        <is>
          <t>V4</t>
        </is>
      </c>
      <c r="AL217" t="n">
        <v>20230920</v>
      </c>
      <c r="AM217" t="inlineStr">
        <is>
          <t>D836-900006371-66800346-10000313-4</t>
        </is>
      </c>
    </row>
    <row r="218">
      <c r="A218" t="inlineStr">
        <is>
          <t>900003599D8366645007210000623</t>
        </is>
      </c>
      <c r="B218" t="inlineStr">
        <is>
          <t>4600041240-110</t>
        </is>
      </c>
      <c r="C218" t="n">
        <v>4600041240</v>
      </c>
      <c r="D218" t="n">
        <v>110</v>
      </c>
      <c r="E218" t="inlineStr">
        <is>
          <t>MXPO</t>
        </is>
      </c>
      <c r="F218" t="inlineStr">
        <is>
          <t>MXL</t>
        </is>
      </c>
      <c r="G218" t="n">
        <v>900003599</v>
      </c>
      <c r="H218" t="inlineStr">
        <is>
          <t>TP-ED-ESTRATEGIAS AVANZADAS</t>
        </is>
      </c>
      <c r="I218" t="n">
        <v>5049458</v>
      </c>
      <c r="J218" t="inlineStr">
        <is>
          <t>ESTRATEGIAS AVANZADAS PARA OBTEN</t>
        </is>
      </c>
      <c r="K218" t="inlineStr">
        <is>
          <t>Z03</t>
        </is>
      </c>
      <c r="L218" t="inlineStr">
        <is>
          <t>(AP) 15 Dias</t>
        </is>
      </c>
      <c r="M218" t="n">
        <v>10000623</v>
      </c>
      <c r="N218" t="inlineStr">
        <is>
          <t>Grava Triturada Caliza 10 mm - 3/8"</t>
        </is>
      </c>
      <c r="O218" t="inlineStr">
        <is>
          <t>D836</t>
        </is>
      </c>
      <c r="P218" t="inlineStr">
        <is>
          <t>MX-CED. CENTRO</t>
        </is>
      </c>
      <c r="Q218" t="n">
        <v>20180215</v>
      </c>
      <c r="R218" t="n">
        <v>20301231</v>
      </c>
      <c r="S218" t="n">
        <v>20210330</v>
      </c>
      <c r="T218" t="n">
        <v>20291231</v>
      </c>
      <c r="U218" t="n">
        <v>363.5</v>
      </c>
      <c r="V218" t="inlineStr">
        <is>
          <t>MXN</t>
        </is>
      </c>
      <c r="W218" t="inlineStr">
        <is>
          <t>M3</t>
        </is>
      </c>
      <c r="X218" t="n">
        <v>223.5</v>
      </c>
      <c r="Y218" t="inlineStr">
        <is>
          <t>MXN</t>
        </is>
      </c>
      <c r="Z218" t="inlineStr">
        <is>
          <t>M3</t>
        </is>
      </c>
      <c r="AA218" t="inlineStr">
        <is>
          <t>66450072</t>
        </is>
      </c>
      <c r="AB218" t="inlineStr">
        <is>
          <t>COMARCA ESMERALDA OBR-AGR</t>
        </is>
      </c>
      <c r="AC218" t="n">
        <v>56103637</v>
      </c>
      <c r="AD218" t="n">
        <v>6622261540</v>
      </c>
      <c r="AE218" t="n">
        <v>4</v>
      </c>
      <c r="AF218" t="inlineStr">
        <is>
          <t>ENTREGA DIRECTA</t>
        </is>
      </c>
      <c r="AG218" t="n">
        <v>1.41</v>
      </c>
      <c r="AH218" t="inlineStr">
        <is>
          <t>M3</t>
        </is>
      </c>
      <c r="AI218" t="inlineStr">
        <is>
          <t>X</t>
        </is>
      </c>
      <c r="AJ218" t="n">
        <v>4</v>
      </c>
      <c r="AK218" t="inlineStr">
        <is>
          <t>V4</t>
        </is>
      </c>
      <c r="AL218" t="n">
        <v>20230920</v>
      </c>
      <c r="AM218" t="inlineStr">
        <is>
          <t>D836-900003599-66450072-10000623-4</t>
        </is>
      </c>
    </row>
    <row r="219">
      <c r="A219" t="inlineStr">
        <is>
          <t>900004077D8366689828010000623</t>
        </is>
      </c>
      <c r="B219" t="inlineStr">
        <is>
          <t>4600047844-290</t>
        </is>
      </c>
      <c r="C219" t="n">
        <v>4600047844</v>
      </c>
      <c r="D219" t="n">
        <v>290</v>
      </c>
      <c r="E219" t="inlineStr">
        <is>
          <t>MXPO</t>
        </is>
      </c>
      <c r="F219" t="inlineStr">
        <is>
          <t>MXL</t>
        </is>
      </c>
      <c r="G219" t="n">
        <v>900004077</v>
      </c>
      <c r="H219" t="inlineStr">
        <is>
          <t>TP-SAN JUAN (HUDASA)</t>
        </is>
      </c>
      <c r="I219" t="n">
        <v>5054686</v>
      </c>
      <c r="J219" t="inlineStr">
        <is>
          <t>GRUPO MERCANTIL HUDASA SA DE CV</t>
        </is>
      </c>
      <c r="K219" t="inlineStr">
        <is>
          <t>Z06</t>
        </is>
      </c>
      <c r="L219" t="inlineStr">
        <is>
          <t>(AP) 45 Dias</t>
        </is>
      </c>
      <c r="M219" t="n">
        <v>10000623</v>
      </c>
      <c r="N219" t="inlineStr">
        <is>
          <t>Grava Triturada Caliza 10 mm - 3/8"</t>
        </is>
      </c>
      <c r="O219" t="inlineStr">
        <is>
          <t>D836</t>
        </is>
      </c>
      <c r="P219" t="inlineStr">
        <is>
          <t>MX-CED. CENTRO</t>
        </is>
      </c>
      <c r="Q219" t="n">
        <v>20200825</v>
      </c>
      <c r="R219" t="n">
        <v>20301231</v>
      </c>
      <c r="S219" t="n">
        <v>20200929</v>
      </c>
      <c r="T219" t="n">
        <v>20291231</v>
      </c>
      <c r="U219" t="n">
        <v>339.8</v>
      </c>
      <c r="V219" t="inlineStr">
        <is>
          <t>MXN</t>
        </is>
      </c>
      <c r="W219" t="inlineStr">
        <is>
          <t>M3</t>
        </is>
      </c>
      <c r="X219" t="n">
        <v>209.8</v>
      </c>
      <c r="Y219" t="inlineStr">
        <is>
          <t>MXN</t>
        </is>
      </c>
      <c r="Z219" t="inlineStr">
        <is>
          <t>M3</t>
        </is>
      </c>
      <c r="AA219" t="inlineStr">
        <is>
          <t>66898280</t>
        </is>
      </c>
      <c r="AB219" t="inlineStr">
        <is>
          <t>CHOYON GIMSA</t>
        </is>
      </c>
      <c r="AC219" t="n">
        <v>56103637</v>
      </c>
      <c r="AD219" t="n">
        <v>6622261540</v>
      </c>
      <c r="AE219" t="n">
        <v>4</v>
      </c>
      <c r="AF219" t="inlineStr">
        <is>
          <t>ENTREGA DIRECTA</t>
        </is>
      </c>
      <c r="AG219" t="n">
        <v>1.41</v>
      </c>
      <c r="AH219" t="inlineStr">
        <is>
          <t>M3</t>
        </is>
      </c>
      <c r="AI219" t="inlineStr">
        <is>
          <t>X</t>
        </is>
      </c>
      <c r="AJ219" t="n">
        <v>4</v>
      </c>
      <c r="AK219" t="inlineStr">
        <is>
          <t>V4</t>
        </is>
      </c>
      <c r="AL219" t="n">
        <v>20230920</v>
      </c>
      <c r="AM219" t="inlineStr">
        <is>
          <t>D836-900004077-66898280-10000623-4</t>
        </is>
      </c>
    </row>
    <row r="220">
      <c r="A220" t="inlineStr">
        <is>
          <t>900004077D8366571380810184010</t>
        </is>
      </c>
      <c r="B220" t="inlineStr">
        <is>
          <t>4600047844-330</t>
        </is>
      </c>
      <c r="C220" t="n">
        <v>4600047844</v>
      </c>
      <c r="D220" t="n">
        <v>330</v>
      </c>
      <c r="E220" t="inlineStr">
        <is>
          <t>MXPO</t>
        </is>
      </c>
      <c r="F220" t="inlineStr">
        <is>
          <t>MXL</t>
        </is>
      </c>
      <c r="G220" t="n">
        <v>900004077</v>
      </c>
      <c r="H220" t="inlineStr">
        <is>
          <t>TP-SAN JUAN (HUDASA)</t>
        </is>
      </c>
      <c r="I220" t="n">
        <v>5054686</v>
      </c>
      <c r="J220" t="inlineStr">
        <is>
          <t>GRUPO MERCANTIL HUDASA SA DE CV</t>
        </is>
      </c>
      <c r="K220" t="inlineStr">
        <is>
          <t>Z06</t>
        </is>
      </c>
      <c r="L220" t="inlineStr">
        <is>
          <t>(AP) 45 Dias</t>
        </is>
      </c>
      <c r="M220" t="n">
        <v>10184010</v>
      </c>
      <c r="N220" t="inlineStr">
        <is>
          <t>GRAVA TRITURADA CALIZA 13 MM - 1/2"</t>
        </is>
      </c>
      <c r="O220" t="inlineStr">
        <is>
          <t>D836</t>
        </is>
      </c>
      <c r="P220" t="inlineStr">
        <is>
          <t>MX-CED. CENTRO</t>
        </is>
      </c>
      <c r="Q220" t="n">
        <v>20200825</v>
      </c>
      <c r="R220" t="n">
        <v>20301231</v>
      </c>
      <c r="S220" t="n">
        <v>20201027</v>
      </c>
      <c r="T220" t="n">
        <v>20291231</v>
      </c>
      <c r="U220" t="n">
        <v>354.8</v>
      </c>
      <c r="V220" t="inlineStr">
        <is>
          <t>MXN</t>
        </is>
      </c>
      <c r="W220" t="inlineStr">
        <is>
          <t>M3</t>
        </is>
      </c>
      <c r="X220" t="n">
        <v>235.8</v>
      </c>
      <c r="Y220" t="inlineStr">
        <is>
          <t>MXN</t>
        </is>
      </c>
      <c r="Z220" t="inlineStr">
        <is>
          <t>M3</t>
        </is>
      </c>
      <c r="AA220" t="inlineStr">
        <is>
          <t>65713808</t>
        </is>
      </c>
      <c r="AB220" t="inlineStr">
        <is>
          <t>MECANO INMOBILIARIA PLANTA TEXCOCO</t>
        </is>
      </c>
      <c r="AC220" t="n">
        <v>56103637</v>
      </c>
      <c r="AD220" t="n">
        <v>6622261540</v>
      </c>
      <c r="AE220" t="n">
        <v>4</v>
      </c>
      <c r="AF220" t="inlineStr">
        <is>
          <t>ENTREGA DIRECTA</t>
        </is>
      </c>
      <c r="AG220" t="n">
        <v>1.446</v>
      </c>
      <c r="AH220" t="inlineStr">
        <is>
          <t>M3</t>
        </is>
      </c>
      <c r="AI220" t="inlineStr">
        <is>
          <t>X</t>
        </is>
      </c>
      <c r="AJ220" t="n">
        <v>4</v>
      </c>
      <c r="AK220" t="inlineStr">
        <is>
          <t>V4</t>
        </is>
      </c>
      <c r="AL220" t="n">
        <v>20230920</v>
      </c>
      <c r="AM220" t="inlineStr">
        <is>
          <t>D836-900004077-65713808-10184010-4</t>
        </is>
      </c>
    </row>
    <row r="221">
      <c r="A221" t="inlineStr">
        <is>
          <t>900006950D8366695831210000206</t>
        </is>
      </c>
      <c r="B221" t="inlineStr">
        <is>
          <t>4600048579-80</t>
        </is>
      </c>
      <c r="C221" t="n">
        <v>4600048579</v>
      </c>
      <c r="D221" t="n">
        <v>80</v>
      </c>
      <c r="E221" t="inlineStr">
        <is>
          <t>MXPO</t>
        </is>
      </c>
      <c r="F221" t="inlineStr">
        <is>
          <t>MXL</t>
        </is>
      </c>
      <c r="G221" t="n">
        <v>900006950</v>
      </c>
      <c r="H221" t="inlineStr">
        <is>
          <t>SF TP-ED-OLIELL GONDOLA</t>
        </is>
      </c>
      <c r="I221" t="n">
        <v>5048484</v>
      </c>
      <c r="J221" t="inlineStr">
        <is>
          <t>COMERCIALIZADORA Y TRANSPORTADORA O</t>
        </is>
      </c>
      <c r="K221" t="inlineStr">
        <is>
          <t>N90</t>
        </is>
      </c>
      <c r="L221" t="inlineStr">
        <is>
          <t>(AP) NAFIN 90 Dias</t>
        </is>
      </c>
      <c r="M221" t="n">
        <v>10000206</v>
      </c>
      <c r="N221" t="inlineStr">
        <is>
          <t>Tepetate Triturado Tierra NA</t>
        </is>
      </c>
      <c r="O221" t="inlineStr">
        <is>
          <t>D836</t>
        </is>
      </c>
      <c r="P221" t="inlineStr">
        <is>
          <t>MX-CED. CENTRO</t>
        </is>
      </c>
      <c r="Q221" t="n">
        <v>20201201</v>
      </c>
      <c r="R221" t="n">
        <v>20291231</v>
      </c>
      <c r="S221" t="n">
        <v>20211004</v>
      </c>
      <c r="T221" t="n">
        <v>20261004</v>
      </c>
      <c r="U221" t="n">
        <v>110.8</v>
      </c>
      <c r="V221" t="inlineStr">
        <is>
          <t>MXN</t>
        </is>
      </c>
      <c r="W221" t="inlineStr">
        <is>
          <t>M3</t>
        </is>
      </c>
      <c r="X221" t="n">
        <v>85.8</v>
      </c>
      <c r="Y221" t="inlineStr">
        <is>
          <t>MXN</t>
        </is>
      </c>
      <c r="Z221" t="inlineStr">
        <is>
          <t>M3</t>
        </is>
      </c>
      <c r="AA221" t="inlineStr">
        <is>
          <t>66958312</t>
        </is>
      </c>
      <c r="AB221" t="inlineStr">
        <is>
          <t>CEDIS TLALPIZAHUAC</t>
        </is>
      </c>
      <c r="AC221" t="n">
        <v>56103695</v>
      </c>
      <c r="AD221" t="n">
        <v>6622261540</v>
      </c>
      <c r="AE221" t="n">
        <v>4</v>
      </c>
      <c r="AF221" t="inlineStr">
        <is>
          <t>ENTREGA DIRECTA</t>
        </is>
      </c>
      <c r="AG221" t="n">
        <v>1.249</v>
      </c>
      <c r="AH221" t="inlineStr">
        <is>
          <t>M3</t>
        </is>
      </c>
      <c r="AI221" t="inlineStr">
        <is>
          <t>X</t>
        </is>
      </c>
      <c r="AJ221" t="n">
        <v>4</v>
      </c>
      <c r="AK221" t="inlineStr">
        <is>
          <t>V4</t>
        </is>
      </c>
      <c r="AL221" t="n">
        <v>20230920</v>
      </c>
      <c r="AM221" t="inlineStr">
        <is>
          <t>D836-900006950-66958312-10000206-4</t>
        </is>
      </c>
    </row>
    <row r="222">
      <c r="A222" t="inlineStr">
        <is>
          <t>900006542D8366701882110000206</t>
        </is>
      </c>
      <c r="B222" t="inlineStr">
        <is>
          <t>4600047341-490</t>
        </is>
      </c>
      <c r="C222" t="n">
        <v>4600047341</v>
      </c>
      <c r="D222" t="n">
        <v>490</v>
      </c>
      <c r="E222" t="inlineStr">
        <is>
          <t>MXPO</t>
        </is>
      </c>
      <c r="F222" t="inlineStr">
        <is>
          <t>MXL</t>
        </is>
      </c>
      <c r="G222" t="n">
        <v>900006542</v>
      </c>
      <c r="H222" t="inlineStr">
        <is>
          <t>TP-OLIELL TORTON</t>
        </is>
      </c>
      <c r="I222" t="n">
        <v>5048484</v>
      </c>
      <c r="J222" t="inlineStr">
        <is>
          <t>COMERCIALIZADORA Y TRANSPORTADORA O</t>
        </is>
      </c>
      <c r="K222" t="inlineStr">
        <is>
          <t>N90</t>
        </is>
      </c>
      <c r="L222" t="inlineStr">
        <is>
          <t>(AP) NAFIN 90 Dias</t>
        </is>
      </c>
      <c r="M222" t="n">
        <v>10000206</v>
      </c>
      <c r="N222" t="inlineStr">
        <is>
          <t>Tepetate Triturado Tierra NA</t>
        </is>
      </c>
      <c r="O222" t="inlineStr">
        <is>
          <t>D836</t>
        </is>
      </c>
      <c r="P222" t="inlineStr">
        <is>
          <t>MX-CED. CENTRO</t>
        </is>
      </c>
      <c r="Q222" t="n">
        <v>20200615</v>
      </c>
      <c r="R222" t="n">
        <v>20281231</v>
      </c>
      <c r="S222" t="n">
        <v>20211111</v>
      </c>
      <c r="T222" t="n">
        <v>20261231</v>
      </c>
      <c r="U222" t="n">
        <v>317.5</v>
      </c>
      <c r="V222" t="inlineStr">
        <is>
          <t>MXN</t>
        </is>
      </c>
      <c r="W222" t="inlineStr">
        <is>
          <t>M3</t>
        </is>
      </c>
      <c r="X222" t="n">
        <v>137.5</v>
      </c>
      <c r="Y222" t="inlineStr">
        <is>
          <t>MXN</t>
        </is>
      </c>
      <c r="Z222" t="inlineStr">
        <is>
          <t>M3</t>
        </is>
      </c>
      <c r="AA222" t="inlineStr">
        <is>
          <t>67018821</t>
        </is>
      </c>
      <c r="AB222" t="inlineStr">
        <is>
          <t>REHAB. SANTO TOMAS AJUSCO</t>
        </is>
      </c>
      <c r="AC222" t="n">
        <v>56103695</v>
      </c>
      <c r="AD222" t="n">
        <v>6622261540</v>
      </c>
      <c r="AE222" t="n">
        <v>4</v>
      </c>
      <c r="AF222" t="inlineStr">
        <is>
          <t>ENTREGA DIRECTA</t>
        </is>
      </c>
      <c r="AG222" t="n">
        <v>1.249</v>
      </c>
      <c r="AH222" t="inlineStr">
        <is>
          <t>M3</t>
        </is>
      </c>
      <c r="AI222" t="inlineStr">
        <is>
          <t>X</t>
        </is>
      </c>
      <c r="AJ222" t="n">
        <v>4</v>
      </c>
      <c r="AK222" t="inlineStr">
        <is>
          <t>V4</t>
        </is>
      </c>
      <c r="AL222" t="n">
        <v>20230920</v>
      </c>
      <c r="AM222" t="inlineStr">
        <is>
          <t>D836-900006542-67018821-10000206-4</t>
        </is>
      </c>
    </row>
    <row r="223">
      <c r="A223" t="inlineStr">
        <is>
          <t>900004077D8366692837910192942</t>
        </is>
      </c>
      <c r="B223" t="inlineStr">
        <is>
          <t>4600047844-560</t>
        </is>
      </c>
      <c r="C223" t="n">
        <v>4600047844</v>
      </c>
      <c r="D223" t="n">
        <v>560</v>
      </c>
      <c r="E223" t="inlineStr">
        <is>
          <t>MXPO</t>
        </is>
      </c>
      <c r="F223" t="inlineStr">
        <is>
          <t>MXL</t>
        </is>
      </c>
      <c r="G223" t="n">
        <v>900004077</v>
      </c>
      <c r="H223" t="inlineStr">
        <is>
          <t>TP-SAN JUAN (HUDASA)</t>
        </is>
      </c>
      <c r="I223" t="n">
        <v>5054686</v>
      </c>
      <c r="J223" t="inlineStr">
        <is>
          <t>GRUPO MERCANTIL HUDASA SA DE CV</t>
        </is>
      </c>
      <c r="K223" t="inlineStr">
        <is>
          <t>Z06</t>
        </is>
      </c>
      <c r="L223" t="inlineStr">
        <is>
          <t>(AP) 45 Dias</t>
        </is>
      </c>
      <c r="M223" t="n">
        <v>10192942</v>
      </c>
      <c r="N223" t="inlineStr">
        <is>
          <t>ARENA TRITURADA ANDESITA HD</t>
        </is>
      </c>
      <c r="O223" t="inlineStr">
        <is>
          <t>D836</t>
        </is>
      </c>
      <c r="P223" t="inlineStr">
        <is>
          <t>MX-CED. CENTRO</t>
        </is>
      </c>
      <c r="Q223" t="n">
        <v>20200825</v>
      </c>
      <c r="R223" t="n">
        <v>20301231</v>
      </c>
      <c r="S223" t="n">
        <v>20210314</v>
      </c>
      <c r="T223" t="n">
        <v>20291231</v>
      </c>
      <c r="U223" t="n">
        <v>337.5</v>
      </c>
      <c r="V223" t="inlineStr">
        <is>
          <t>MXN</t>
        </is>
      </c>
      <c r="W223" t="inlineStr">
        <is>
          <t>M3</t>
        </is>
      </c>
      <c r="X223" t="n">
        <v>212.5</v>
      </c>
      <c r="Y223" t="inlineStr">
        <is>
          <t>MXN</t>
        </is>
      </c>
      <c r="Z223" t="inlineStr">
        <is>
          <t>M3</t>
        </is>
      </c>
      <c r="AA223" t="inlineStr">
        <is>
          <t>66928379</t>
        </is>
      </c>
      <c r="AB223" t="inlineStr">
        <is>
          <t>FORD GALLEGOS</t>
        </is>
      </c>
      <c r="AC223" t="n">
        <v>56103638</v>
      </c>
      <c r="AD223" t="n">
        <v>6622261540</v>
      </c>
      <c r="AE223" t="n">
        <v>4</v>
      </c>
      <c r="AF223" t="inlineStr">
        <is>
          <t>ENTREGA DIRECTA</t>
        </is>
      </c>
      <c r="AG223" t="n">
        <v>1.5</v>
      </c>
      <c r="AH223" t="inlineStr">
        <is>
          <t>M3</t>
        </is>
      </c>
      <c r="AI223" t="inlineStr">
        <is>
          <t>X</t>
        </is>
      </c>
      <c r="AJ223" t="n">
        <v>4</v>
      </c>
      <c r="AK223" t="inlineStr">
        <is>
          <t>V4</t>
        </is>
      </c>
      <c r="AL223" t="n">
        <v>20230920</v>
      </c>
      <c r="AM223" t="inlineStr">
        <is>
          <t>D836-900004077-66928379-10192942-4</t>
        </is>
      </c>
    </row>
    <row r="224">
      <c r="A224" t="inlineStr">
        <is>
          <t>900006542D8366701882110000357</t>
        </is>
      </c>
      <c r="B224" t="inlineStr">
        <is>
          <t>4600047341-480</t>
        </is>
      </c>
      <c r="C224" t="n">
        <v>4600047341</v>
      </c>
      <c r="D224" t="n">
        <v>480</v>
      </c>
      <c r="E224" t="inlineStr">
        <is>
          <t>MXPO</t>
        </is>
      </c>
      <c r="F224" t="inlineStr">
        <is>
          <t>MXL</t>
        </is>
      </c>
      <c r="G224" t="n">
        <v>900006542</v>
      </c>
      <c r="H224" t="inlineStr">
        <is>
          <t>TP-OLIELL TORTON</t>
        </is>
      </c>
      <c r="I224" t="n">
        <v>5048484</v>
      </c>
      <c r="J224" t="inlineStr">
        <is>
          <t>COMERCIALIZADORA Y TRANSPORTADORA O</t>
        </is>
      </c>
      <c r="K224" t="inlineStr">
        <is>
          <t>N90</t>
        </is>
      </c>
      <c r="L224" t="inlineStr">
        <is>
          <t>(AP) NAFIN 90 Dias</t>
        </is>
      </c>
      <c r="M224" t="n">
        <v>10000357</v>
      </c>
      <c r="N224" t="inlineStr">
        <is>
          <t>Grava Triturada Andesita 20 mm - 3/4"</t>
        </is>
      </c>
      <c r="O224" t="inlineStr">
        <is>
          <t>D836</t>
        </is>
      </c>
      <c r="P224" t="inlineStr">
        <is>
          <t>MX-CED. CENTRO</t>
        </is>
      </c>
      <c r="Q224" t="n">
        <v>20200615</v>
      </c>
      <c r="R224" t="n">
        <v>20281231</v>
      </c>
      <c r="S224" t="n">
        <v>20211111</v>
      </c>
      <c r="T224" t="n">
        <v>20261231</v>
      </c>
      <c r="U224" t="n">
        <v>427.5</v>
      </c>
      <c r="V224" t="inlineStr">
        <is>
          <t>MXN</t>
        </is>
      </c>
      <c r="W224" t="inlineStr">
        <is>
          <t>M3</t>
        </is>
      </c>
      <c r="X224" t="n">
        <v>137.5</v>
      </c>
      <c r="Y224" t="inlineStr">
        <is>
          <t>MXN</t>
        </is>
      </c>
      <c r="Z224" t="inlineStr">
        <is>
          <t>M3</t>
        </is>
      </c>
      <c r="AA224" t="inlineStr">
        <is>
          <t>67018821</t>
        </is>
      </c>
      <c r="AB224" t="inlineStr">
        <is>
          <t>REHAB. SANTO TOMAS AJUSCO</t>
        </is>
      </c>
      <c r="AC224" t="n">
        <v>56103637</v>
      </c>
      <c r="AD224" t="n">
        <v>6622261540</v>
      </c>
      <c r="AE224" t="n">
        <v>4</v>
      </c>
      <c r="AF224" t="inlineStr">
        <is>
          <t>ENTREGA DIRECTA</t>
        </is>
      </c>
      <c r="AG224" t="n">
        <v>1.326</v>
      </c>
      <c r="AH224" t="inlineStr">
        <is>
          <t>M3</t>
        </is>
      </c>
      <c r="AI224" t="inlineStr">
        <is>
          <t>X</t>
        </is>
      </c>
      <c r="AJ224" t="n">
        <v>4</v>
      </c>
      <c r="AK224" t="inlineStr">
        <is>
          <t>V4</t>
        </is>
      </c>
      <c r="AL224" t="n">
        <v>20230920</v>
      </c>
      <c r="AM224" t="inlineStr">
        <is>
          <t>D836-900006542-67018821-10000357-4</t>
        </is>
      </c>
    </row>
    <row r="225">
      <c r="A225" t="inlineStr">
        <is>
          <t>900006542D8366701250510178773</t>
        </is>
      </c>
      <c r="B225" t="inlineStr">
        <is>
          <t>4600047341-540</t>
        </is>
      </c>
      <c r="C225" t="n">
        <v>4600047341</v>
      </c>
      <c r="D225" t="n">
        <v>540</v>
      </c>
      <c r="E225" t="inlineStr">
        <is>
          <t>MXPO</t>
        </is>
      </c>
      <c r="F225" t="inlineStr">
        <is>
          <t>MXL</t>
        </is>
      </c>
      <c r="G225" t="n">
        <v>900006542</v>
      </c>
      <c r="H225" t="inlineStr">
        <is>
          <t>TP-OLIELL TORTON</t>
        </is>
      </c>
      <c r="I225" t="n">
        <v>5048484</v>
      </c>
      <c r="J225" t="inlineStr">
        <is>
          <t>COMERCIALIZADORA Y TRANSPORTADORA O</t>
        </is>
      </c>
      <c r="K225" t="inlineStr">
        <is>
          <t>N90</t>
        </is>
      </c>
      <c r="L225" t="inlineStr">
        <is>
          <t>(AP) NAFIN 90 Dias</t>
        </is>
      </c>
      <c r="M225" t="n">
        <v>10178773</v>
      </c>
      <c r="N225" t="inlineStr">
        <is>
          <t>GRAVA TRITURADA BASALTO 20 MM - 3/4"</t>
        </is>
      </c>
      <c r="O225" t="inlineStr">
        <is>
          <t>D836</t>
        </is>
      </c>
      <c r="P225" t="inlineStr">
        <is>
          <t>MX-CED. CENTRO</t>
        </is>
      </c>
      <c r="Q225" t="n">
        <v>20200615</v>
      </c>
      <c r="R225" t="n">
        <v>20281231</v>
      </c>
      <c r="S225" t="n">
        <v>20230116</v>
      </c>
      <c r="T225" t="n">
        <v>20271231</v>
      </c>
      <c r="U225" t="n">
        <v>740.2</v>
      </c>
      <c r="V225" t="inlineStr">
        <is>
          <t>MXN</t>
        </is>
      </c>
      <c r="W225" t="inlineStr">
        <is>
          <t>M3</t>
        </is>
      </c>
      <c r="X225" t="n">
        <v>403</v>
      </c>
      <c r="Y225" t="inlineStr">
        <is>
          <t>MXN</t>
        </is>
      </c>
      <c r="Z225" t="inlineStr">
        <is>
          <t>M3</t>
        </is>
      </c>
      <c r="AA225" t="inlineStr">
        <is>
          <t>67012505</t>
        </is>
      </c>
      <c r="AB225" t="inlineStr">
        <is>
          <t>VALLEJO</t>
        </is>
      </c>
      <c r="AC225" t="n">
        <v>56103637</v>
      </c>
      <c r="AD225" t="n">
        <v>6622261540</v>
      </c>
      <c r="AE225" t="n">
        <v>4</v>
      </c>
      <c r="AF225" t="inlineStr">
        <is>
          <t>ENTREGA DIRECTA</t>
        </is>
      </c>
      <c r="AG225" t="n">
        <v>1.401</v>
      </c>
      <c r="AH225" t="inlineStr">
        <is>
          <t>M3</t>
        </is>
      </c>
      <c r="AI225" t="inlineStr">
        <is>
          <t>X</t>
        </is>
      </c>
      <c r="AJ225" t="n">
        <v>4</v>
      </c>
      <c r="AK225" t="inlineStr">
        <is>
          <t>V4</t>
        </is>
      </c>
      <c r="AL225" t="n">
        <v>20230920</v>
      </c>
      <c r="AM225" t="inlineStr">
        <is>
          <t>D836-900006542-67012505-10178773-4</t>
        </is>
      </c>
    </row>
    <row r="226">
      <c r="A226" t="inlineStr">
        <is>
          <t>900004077D8366571380810184011</t>
        </is>
      </c>
      <c r="B226" t="inlineStr">
        <is>
          <t>4600047844-340</t>
        </is>
      </c>
      <c r="C226" t="n">
        <v>4600047844</v>
      </c>
      <c r="D226" t="n">
        <v>340</v>
      </c>
      <c r="E226" t="inlineStr">
        <is>
          <t>MXPO</t>
        </is>
      </c>
      <c r="F226" t="inlineStr">
        <is>
          <t>MXL</t>
        </is>
      </c>
      <c r="G226" t="n">
        <v>900004077</v>
      </c>
      <c r="H226" t="inlineStr">
        <is>
          <t>TP-SAN JUAN (HUDASA)</t>
        </is>
      </c>
      <c r="I226" t="n">
        <v>5054686</v>
      </c>
      <c r="J226" t="inlineStr">
        <is>
          <t>GRUPO MERCANTIL HUDASA SA DE CV</t>
        </is>
      </c>
      <c r="K226" t="inlineStr">
        <is>
          <t>Z06</t>
        </is>
      </c>
      <c r="L226" t="inlineStr">
        <is>
          <t>(AP) 45 Dias</t>
        </is>
      </c>
      <c r="M226" t="n">
        <v>10184011</v>
      </c>
      <c r="N226" t="inlineStr">
        <is>
          <t>GRAVA TRITURADA CALIZA 20 MM - 3/4"</t>
        </is>
      </c>
      <c r="O226" t="inlineStr">
        <is>
          <t>D836</t>
        </is>
      </c>
      <c r="P226" t="inlineStr">
        <is>
          <t>MX-CED. CENTRO</t>
        </is>
      </c>
      <c r="Q226" t="n">
        <v>20200825</v>
      </c>
      <c r="R226" t="n">
        <v>20301231</v>
      </c>
      <c r="S226" t="n">
        <v>20201027</v>
      </c>
      <c r="T226" t="n">
        <v>20291231</v>
      </c>
      <c r="U226" t="n">
        <v>359.14</v>
      </c>
      <c r="V226" t="inlineStr">
        <is>
          <t>MXN</t>
        </is>
      </c>
      <c r="W226" t="inlineStr">
        <is>
          <t>M3</t>
        </is>
      </c>
      <c r="X226" t="n">
        <v>235.8</v>
      </c>
      <c r="Y226" t="inlineStr">
        <is>
          <t>MXN</t>
        </is>
      </c>
      <c r="Z226" t="inlineStr">
        <is>
          <t>M3</t>
        </is>
      </c>
      <c r="AA226" t="inlineStr">
        <is>
          <t>65713808</t>
        </is>
      </c>
      <c r="AB226" t="inlineStr">
        <is>
          <t>MECANO INMOBILIARIA PLANTA TEXCOCO</t>
        </is>
      </c>
      <c r="AC226" t="n">
        <v>56103637</v>
      </c>
      <c r="AD226" t="n">
        <v>6622261540</v>
      </c>
      <c r="AE226" t="n">
        <v>4</v>
      </c>
      <c r="AF226" t="inlineStr">
        <is>
          <t>ENTREGA DIRECTA</t>
        </is>
      </c>
      <c r="AG226" t="n">
        <v>1.462</v>
      </c>
      <c r="AH226" t="inlineStr">
        <is>
          <t>M3</t>
        </is>
      </c>
      <c r="AI226" t="inlineStr">
        <is>
          <t>X</t>
        </is>
      </c>
      <c r="AJ226" t="n">
        <v>4</v>
      </c>
      <c r="AK226" t="inlineStr">
        <is>
          <t>V4</t>
        </is>
      </c>
      <c r="AL226" t="n">
        <v>20230920</v>
      </c>
      <c r="AM226" t="inlineStr">
        <is>
          <t>D836-900004077-65713808-10184011-4</t>
        </is>
      </c>
    </row>
    <row r="227">
      <c r="A227" t="inlineStr">
        <is>
          <t>900006824D8366687461610215377</t>
        </is>
      </c>
      <c r="B227" t="inlineStr">
        <is>
          <t>4600048689-70</t>
        </is>
      </c>
      <c r="C227" t="n">
        <v>4600048689</v>
      </c>
      <c r="D227" t="n">
        <v>70</v>
      </c>
      <c r="E227" t="inlineStr">
        <is>
          <t>MXPO</t>
        </is>
      </c>
      <c r="F227" t="inlineStr">
        <is>
          <t>MXL</t>
        </is>
      </c>
      <c r="G227" t="n">
        <v>900006824</v>
      </c>
      <c r="H227" t="inlineStr">
        <is>
          <t>SF TP-ED-SAN JUAN (HUDASA)</t>
        </is>
      </c>
      <c r="I227" t="n">
        <v>5054686</v>
      </c>
      <c r="J227" t="inlineStr">
        <is>
          <t>GRUPO MERCANTIL HUDASA SA DE CV</t>
        </is>
      </c>
      <c r="K227" t="inlineStr">
        <is>
          <t>N90</t>
        </is>
      </c>
      <c r="L227" t="inlineStr">
        <is>
          <t>(AP) NAFIN 90 Dias</t>
        </is>
      </c>
      <c r="M227" t="n">
        <v>10215377</v>
      </c>
      <c r="N227" t="inlineStr">
        <is>
          <t>ARENA CLASIFICADA RÍO MALLA 4 TIPO 2</t>
        </is>
      </c>
      <c r="O227" t="inlineStr">
        <is>
          <t>D836</t>
        </is>
      </c>
      <c r="P227" t="inlineStr">
        <is>
          <t>MX-CED. CENTRO</t>
        </is>
      </c>
      <c r="Q227" t="n">
        <v>20201217</v>
      </c>
      <c r="R227" t="n">
        <v>20291231</v>
      </c>
      <c r="S227" t="n">
        <v>20220517</v>
      </c>
      <c r="T227" t="n">
        <v>20271231</v>
      </c>
      <c r="U227" t="n">
        <v>381</v>
      </c>
      <c r="V227" t="inlineStr">
        <is>
          <t>MXN</t>
        </is>
      </c>
      <c r="W227" t="inlineStr">
        <is>
          <t>M3</t>
        </is>
      </c>
      <c r="X227" t="n">
        <v>267</v>
      </c>
      <c r="Y227" t="inlineStr">
        <is>
          <t>MXN</t>
        </is>
      </c>
      <c r="Z227" t="inlineStr">
        <is>
          <t>M3</t>
        </is>
      </c>
      <c r="AA227" t="inlineStr">
        <is>
          <t>66874616</t>
        </is>
      </c>
      <c r="AB227" t="inlineStr">
        <is>
          <t>FORD LOMAS VERDES</t>
        </is>
      </c>
      <c r="AC227" t="n">
        <v>56103638</v>
      </c>
      <c r="AD227" t="n">
        <v>6622261540</v>
      </c>
      <c r="AE227" t="n">
        <v>4</v>
      </c>
      <c r="AF227" t="inlineStr">
        <is>
          <t>ENTREGA DIRECTA</t>
        </is>
      </c>
      <c r="AG227" t="n">
        <v>1.463</v>
      </c>
      <c r="AH227" t="inlineStr">
        <is>
          <t>M3</t>
        </is>
      </c>
      <c r="AI227" t="inlineStr">
        <is>
          <t>X</t>
        </is>
      </c>
      <c r="AJ227" t="n">
        <v>4</v>
      </c>
      <c r="AK227" t="inlineStr">
        <is>
          <t>V4</t>
        </is>
      </c>
      <c r="AL227" t="n">
        <v>20230920</v>
      </c>
      <c r="AM227" t="inlineStr">
        <is>
          <t>D836-900006824-66874616-10215377-4</t>
        </is>
      </c>
    </row>
    <row r="228">
      <c r="A228" t="inlineStr">
        <is>
          <t>900006542D8366701882110000651</t>
        </is>
      </c>
      <c r="B228" t="inlineStr">
        <is>
          <t>4600047341-470</t>
        </is>
      </c>
      <c r="C228" t="n">
        <v>4600047341</v>
      </c>
      <c r="D228" t="n">
        <v>470</v>
      </c>
      <c r="E228" t="inlineStr">
        <is>
          <t>MXPO</t>
        </is>
      </c>
      <c r="F228" t="inlineStr">
        <is>
          <t>MXL</t>
        </is>
      </c>
      <c r="G228" t="n">
        <v>900006542</v>
      </c>
      <c r="H228" t="inlineStr">
        <is>
          <t>TP-OLIELL TORTON</t>
        </is>
      </c>
      <c r="I228" t="n">
        <v>5048484</v>
      </c>
      <c r="J228" t="inlineStr">
        <is>
          <t>COMERCIALIZADORA Y TRANSPORTADORA O</t>
        </is>
      </c>
      <c r="K228" t="inlineStr">
        <is>
          <t>N90</t>
        </is>
      </c>
      <c r="L228" t="inlineStr">
        <is>
          <t>(AP) NAFIN 90 Dias</t>
        </is>
      </c>
      <c r="M228" t="n">
        <v>10000651</v>
      </c>
      <c r="N228" t="inlineStr">
        <is>
          <t>Arena Triturada Andesita Malla 8</t>
        </is>
      </c>
      <c r="O228" t="inlineStr">
        <is>
          <t>D836</t>
        </is>
      </c>
      <c r="P228" t="inlineStr">
        <is>
          <t>MX-CED. CENTRO</t>
        </is>
      </c>
      <c r="Q228" t="n">
        <v>20200615</v>
      </c>
      <c r="R228" t="n">
        <v>20281231</v>
      </c>
      <c r="S228" t="n">
        <v>20211111</v>
      </c>
      <c r="T228" t="n">
        <v>20261231</v>
      </c>
      <c r="U228" t="n">
        <v>387.5</v>
      </c>
      <c r="V228" t="inlineStr">
        <is>
          <t>MXN</t>
        </is>
      </c>
      <c r="W228" t="inlineStr">
        <is>
          <t>M3</t>
        </is>
      </c>
      <c r="X228" t="n">
        <v>137.5</v>
      </c>
      <c r="Y228" t="inlineStr">
        <is>
          <t>MXN</t>
        </is>
      </c>
      <c r="Z228" t="inlineStr">
        <is>
          <t>M3</t>
        </is>
      </c>
      <c r="AA228" t="inlineStr">
        <is>
          <t>67018821</t>
        </is>
      </c>
      <c r="AB228" t="inlineStr">
        <is>
          <t>REHAB. SANTO TOMAS AJUSCO</t>
        </is>
      </c>
      <c r="AC228" t="n">
        <v>56103638</v>
      </c>
      <c r="AD228" t="n">
        <v>6622261540</v>
      </c>
      <c r="AE228" t="n">
        <v>4</v>
      </c>
      <c r="AF228" t="inlineStr">
        <is>
          <t>ENTREGA DIRECTA</t>
        </is>
      </c>
      <c r="AG228" t="n">
        <v>1.35</v>
      </c>
      <c r="AH228" t="inlineStr">
        <is>
          <t>M3</t>
        </is>
      </c>
      <c r="AI228" t="inlineStr">
        <is>
          <t>X</t>
        </is>
      </c>
      <c r="AJ228" t="n">
        <v>4</v>
      </c>
      <c r="AK228" t="inlineStr">
        <is>
          <t>V4</t>
        </is>
      </c>
      <c r="AL228" t="n">
        <v>20230920</v>
      </c>
      <c r="AM228" t="inlineStr">
        <is>
          <t>D836-900006542-67018821-10000651-4</t>
        </is>
      </c>
    </row>
    <row r="229">
      <c r="A229" t="inlineStr">
        <is>
          <t>900004077D8366689828110000623</t>
        </is>
      </c>
      <c r="B229" t="inlineStr">
        <is>
          <t>4600047844-300</t>
        </is>
      </c>
      <c r="C229" t="n">
        <v>4600047844</v>
      </c>
      <c r="D229" t="n">
        <v>300</v>
      </c>
      <c r="E229" t="inlineStr">
        <is>
          <t>MXPO</t>
        </is>
      </c>
      <c r="F229" t="inlineStr">
        <is>
          <t>MXL</t>
        </is>
      </c>
      <c r="G229" t="n">
        <v>900004077</v>
      </c>
      <c r="H229" t="inlineStr">
        <is>
          <t>TP-SAN JUAN (HUDASA)</t>
        </is>
      </c>
      <c r="I229" t="n">
        <v>5054686</v>
      </c>
      <c r="J229" t="inlineStr">
        <is>
          <t>GRUPO MERCANTIL HUDASA SA DE CV</t>
        </is>
      </c>
      <c r="K229" t="inlineStr">
        <is>
          <t>Z06</t>
        </is>
      </c>
      <c r="L229" t="inlineStr">
        <is>
          <t>(AP) 45 Dias</t>
        </is>
      </c>
      <c r="M229" t="n">
        <v>10000623</v>
      </c>
      <c r="N229" t="inlineStr">
        <is>
          <t>Grava Triturada Caliza 10 mm - 3/8"</t>
        </is>
      </c>
      <c r="O229" t="inlineStr">
        <is>
          <t>D836</t>
        </is>
      </c>
      <c r="P229" t="inlineStr">
        <is>
          <t>MX-CED. CENTRO</t>
        </is>
      </c>
      <c r="Q229" t="n">
        <v>20200825</v>
      </c>
      <c r="R229" t="n">
        <v>20301231</v>
      </c>
      <c r="S229" t="n">
        <v>20200929</v>
      </c>
      <c r="T229" t="n">
        <v>20291231</v>
      </c>
      <c r="U229" t="n">
        <v>339.8</v>
      </c>
      <c r="V229" t="inlineStr">
        <is>
          <t>MXN</t>
        </is>
      </c>
      <c r="W229" t="inlineStr">
        <is>
          <t>M3</t>
        </is>
      </c>
      <c r="X229" t="n">
        <v>209.8</v>
      </c>
      <c r="Y229" t="inlineStr">
        <is>
          <t>MXN</t>
        </is>
      </c>
      <c r="Z229" t="inlineStr">
        <is>
          <t>M3</t>
        </is>
      </c>
      <c r="AA229" t="inlineStr">
        <is>
          <t>66898281</t>
        </is>
      </c>
      <c r="AB229" t="inlineStr">
        <is>
          <t>CHOYON TLANEPANTLA</t>
        </is>
      </c>
      <c r="AC229" t="n">
        <v>56103637</v>
      </c>
      <c r="AD229" t="n">
        <v>6622261540</v>
      </c>
      <c r="AE229" t="n">
        <v>4</v>
      </c>
      <c r="AF229" t="inlineStr">
        <is>
          <t>ENTREGA DIRECTA</t>
        </is>
      </c>
      <c r="AG229" t="n">
        <v>1.41</v>
      </c>
      <c r="AH229" t="inlineStr">
        <is>
          <t>M3</t>
        </is>
      </c>
      <c r="AI229" t="inlineStr">
        <is>
          <t>X</t>
        </is>
      </c>
      <c r="AJ229" t="n">
        <v>4</v>
      </c>
      <c r="AK229" t="inlineStr">
        <is>
          <t>V4</t>
        </is>
      </c>
      <c r="AL229" t="n">
        <v>20230920</v>
      </c>
      <c r="AM229" t="inlineStr">
        <is>
          <t>D836-900004077-66898281-10000623-4</t>
        </is>
      </c>
    </row>
    <row r="230">
      <c r="A230" t="inlineStr">
        <is>
          <t>900006950D8366691186710000357</t>
        </is>
      </c>
      <c r="B230" t="inlineStr">
        <is>
          <t>4600048579-90</t>
        </is>
      </c>
      <c r="C230" t="n">
        <v>4600048579</v>
      </c>
      <c r="D230" t="n">
        <v>90</v>
      </c>
      <c r="E230" t="inlineStr">
        <is>
          <t>MXPO</t>
        </is>
      </c>
      <c r="F230" t="inlineStr">
        <is>
          <t>MXL</t>
        </is>
      </c>
      <c r="G230" t="n">
        <v>900006950</v>
      </c>
      <c r="H230" t="inlineStr">
        <is>
          <t>SF TP-ED-OLIELL GONDOLA</t>
        </is>
      </c>
      <c r="I230" t="n">
        <v>5048484</v>
      </c>
      <c r="J230" t="inlineStr">
        <is>
          <t>COMERCIALIZADORA Y TRANSPORTADORA O</t>
        </is>
      </c>
      <c r="K230" t="inlineStr">
        <is>
          <t>N90</t>
        </is>
      </c>
      <c r="L230" t="inlineStr">
        <is>
          <t>(AP) NAFIN 90 Dias</t>
        </is>
      </c>
      <c r="M230" t="n">
        <v>10000357</v>
      </c>
      <c r="N230" t="inlineStr">
        <is>
          <t>Grava Triturada Andesita 20 mm - 3/4"</t>
        </is>
      </c>
      <c r="O230" t="inlineStr">
        <is>
          <t>D836</t>
        </is>
      </c>
      <c r="P230" t="inlineStr">
        <is>
          <t>MX-CED. CENTRO</t>
        </is>
      </c>
      <c r="Q230" t="n">
        <v>20201201</v>
      </c>
      <c r="R230" t="n">
        <v>20291231</v>
      </c>
      <c r="S230" t="n">
        <v>20211007</v>
      </c>
      <c r="T230" t="n">
        <v>20261231</v>
      </c>
      <c r="U230" t="n">
        <v>242.4</v>
      </c>
      <c r="V230" t="inlineStr">
        <is>
          <t>MXN</t>
        </is>
      </c>
      <c r="W230" t="inlineStr">
        <is>
          <t>M3</t>
        </is>
      </c>
      <c r="X230" t="n">
        <v>122.4</v>
      </c>
      <c r="Y230" t="inlineStr">
        <is>
          <t>MXN</t>
        </is>
      </c>
      <c r="Z230" t="inlineStr">
        <is>
          <t>M3</t>
        </is>
      </c>
      <c r="AA230" t="inlineStr">
        <is>
          <t>66911867</t>
        </is>
      </c>
      <c r="AB230" t="inlineStr">
        <is>
          <t>AM SUCURSAL SABINO</t>
        </is>
      </c>
      <c r="AC230" t="n">
        <v>56103637</v>
      </c>
      <c r="AD230" t="n">
        <v>6622261540</v>
      </c>
      <c r="AE230" t="n">
        <v>4</v>
      </c>
      <c r="AF230" t="inlineStr">
        <is>
          <t>ENTREGA DIRECTA</t>
        </is>
      </c>
      <c r="AG230" t="n">
        <v>1.326</v>
      </c>
      <c r="AH230" t="inlineStr">
        <is>
          <t>M3</t>
        </is>
      </c>
      <c r="AI230" t="inlineStr">
        <is>
          <t>X</t>
        </is>
      </c>
      <c r="AJ230" t="n">
        <v>4</v>
      </c>
      <c r="AK230" t="inlineStr">
        <is>
          <t>V4</t>
        </is>
      </c>
      <c r="AL230" t="n">
        <v>20230920</v>
      </c>
      <c r="AM230" t="inlineStr">
        <is>
          <t>D836-900006950-66911867-10000357-4</t>
        </is>
      </c>
    </row>
    <row r="231">
      <c r="A231" t="inlineStr">
        <is>
          <t>900004077D8366682579710000623</t>
        </is>
      </c>
      <c r="B231" t="inlineStr">
        <is>
          <t>4600047844-310</t>
        </is>
      </c>
      <c r="C231" t="n">
        <v>4600047844</v>
      </c>
      <c r="D231" t="n">
        <v>310</v>
      </c>
      <c r="E231" t="inlineStr">
        <is>
          <t>MXPO</t>
        </is>
      </c>
      <c r="F231" t="inlineStr">
        <is>
          <t>MXL</t>
        </is>
      </c>
      <c r="G231" t="n">
        <v>900004077</v>
      </c>
      <c r="H231" t="inlineStr">
        <is>
          <t>TP-SAN JUAN (HUDASA)</t>
        </is>
      </c>
      <c r="I231" t="n">
        <v>5054686</v>
      </c>
      <c r="J231" t="inlineStr">
        <is>
          <t>GRUPO MERCANTIL HUDASA SA DE CV</t>
        </is>
      </c>
      <c r="K231" t="inlineStr">
        <is>
          <t>Z06</t>
        </is>
      </c>
      <c r="L231" t="inlineStr">
        <is>
          <t>(AP) 45 Dias</t>
        </is>
      </c>
      <c r="M231" t="n">
        <v>10000623</v>
      </c>
      <c r="N231" t="inlineStr">
        <is>
          <t>Grava Triturada Caliza 10 mm - 3/8"</t>
        </is>
      </c>
      <c r="O231" t="inlineStr">
        <is>
          <t>D836</t>
        </is>
      </c>
      <c r="P231" t="inlineStr">
        <is>
          <t>MX-CED. CENTRO</t>
        </is>
      </c>
      <c r="Q231" t="n">
        <v>20200825</v>
      </c>
      <c r="R231" t="n">
        <v>20301231</v>
      </c>
      <c r="S231" t="n">
        <v>20200929</v>
      </c>
      <c r="T231" t="n">
        <v>20291231</v>
      </c>
      <c r="U231" t="n">
        <v>339.8</v>
      </c>
      <c r="V231" t="inlineStr">
        <is>
          <t>MXN</t>
        </is>
      </c>
      <c r="W231" t="inlineStr">
        <is>
          <t>M3</t>
        </is>
      </c>
      <c r="X231" t="n">
        <v>209.8</v>
      </c>
      <c r="Y231" t="inlineStr">
        <is>
          <t>MXN</t>
        </is>
      </c>
      <c r="Z231" t="inlineStr">
        <is>
          <t>M3</t>
        </is>
      </c>
      <c r="AA231" t="inlineStr">
        <is>
          <t>66825797</t>
        </is>
      </c>
      <c r="AB231" t="inlineStr">
        <is>
          <t>OBR AGR CONCRETOS CHOYON</t>
        </is>
      </c>
      <c r="AC231" t="n">
        <v>56103637</v>
      </c>
      <c r="AD231" t="n">
        <v>6622261540</v>
      </c>
      <c r="AE231" t="n">
        <v>4</v>
      </c>
      <c r="AF231" t="inlineStr">
        <is>
          <t>ENTREGA DIRECTA</t>
        </is>
      </c>
      <c r="AG231" t="n">
        <v>1.41</v>
      </c>
      <c r="AH231" t="inlineStr">
        <is>
          <t>M3</t>
        </is>
      </c>
      <c r="AI231" t="inlineStr">
        <is>
          <t>X</t>
        </is>
      </c>
      <c r="AJ231" t="n">
        <v>4</v>
      </c>
      <c r="AK231" t="inlineStr">
        <is>
          <t>V4</t>
        </is>
      </c>
      <c r="AL231" t="n">
        <v>20230920</v>
      </c>
      <c r="AM231" t="inlineStr">
        <is>
          <t>D836-900004077-66825797-10000623-4</t>
        </is>
      </c>
    </row>
    <row r="232">
      <c r="A232" t="inlineStr">
        <is>
          <t>900004077D8366571380810058345</t>
        </is>
      </c>
      <c r="B232" t="inlineStr">
        <is>
          <t>4600047844-320</t>
        </is>
      </c>
      <c r="C232" t="n">
        <v>4600047844</v>
      </c>
      <c r="D232" t="n">
        <v>320</v>
      </c>
      <c r="E232" t="inlineStr">
        <is>
          <t>MXPO</t>
        </is>
      </c>
      <c r="F232" t="inlineStr">
        <is>
          <t>MXL</t>
        </is>
      </c>
      <c r="G232" t="n">
        <v>900004077</v>
      </c>
      <c r="H232" t="inlineStr">
        <is>
          <t>TP-SAN JUAN (HUDASA)</t>
        </is>
      </c>
      <c r="I232" t="n">
        <v>5054686</v>
      </c>
      <c r="J232" t="inlineStr">
        <is>
          <t>GRUPO MERCANTIL HUDASA SA DE CV</t>
        </is>
      </c>
      <c r="K232" t="inlineStr">
        <is>
          <t>Z06</t>
        </is>
      </c>
      <c r="L232" t="inlineStr">
        <is>
          <t>(AP) 45 Dias</t>
        </is>
      </c>
      <c r="M232" t="n">
        <v>10058345</v>
      </c>
      <c r="N232" t="inlineStr">
        <is>
          <t>Arena Triturada Caliza Malla 4</t>
        </is>
      </c>
      <c r="O232" t="inlineStr">
        <is>
          <t>D836</t>
        </is>
      </c>
      <c r="P232" t="inlineStr">
        <is>
          <t>MX-CED. CENTRO</t>
        </is>
      </c>
      <c r="Q232" t="n">
        <v>20200825</v>
      </c>
      <c r="R232" t="n">
        <v>20301231</v>
      </c>
      <c r="S232" t="n">
        <v>20201027</v>
      </c>
      <c r="T232" t="n">
        <v>20291231</v>
      </c>
      <c r="U232" t="n">
        <v>330.8</v>
      </c>
      <c r="V232" t="inlineStr">
        <is>
          <t>MXN</t>
        </is>
      </c>
      <c r="W232" t="inlineStr">
        <is>
          <t>M3</t>
        </is>
      </c>
      <c r="X232" t="n">
        <v>235.8</v>
      </c>
      <c r="Y232" t="inlineStr">
        <is>
          <t>MXN</t>
        </is>
      </c>
      <c r="Z232" t="inlineStr">
        <is>
          <t>M3</t>
        </is>
      </c>
      <c r="AA232" t="inlineStr">
        <is>
          <t>65713808</t>
        </is>
      </c>
      <c r="AB232" t="inlineStr">
        <is>
          <t>MECANO INMOBILIARIA PLANTA TEXCOCO</t>
        </is>
      </c>
      <c r="AC232" t="n">
        <v>56103638</v>
      </c>
      <c r="AD232" t="n">
        <v>6622261540</v>
      </c>
      <c r="AE232" t="n">
        <v>4</v>
      </c>
      <c r="AF232" t="inlineStr">
        <is>
          <t>ENTREGA DIRECTA</t>
        </is>
      </c>
      <c r="AG232" t="n">
        <v>1.575</v>
      </c>
      <c r="AH232" t="inlineStr">
        <is>
          <t>M3</t>
        </is>
      </c>
      <c r="AI232" t="inlineStr">
        <is>
          <t>X</t>
        </is>
      </c>
      <c r="AJ232" t="n">
        <v>4</v>
      </c>
      <c r="AK232" t="inlineStr">
        <is>
          <t>V4</t>
        </is>
      </c>
      <c r="AL232" t="n">
        <v>20230920</v>
      </c>
      <c r="AM232" t="inlineStr">
        <is>
          <t>D836-900004077-65713808-10058345-4</t>
        </is>
      </c>
    </row>
    <row r="233">
      <c r="A233" t="inlineStr">
        <is>
          <t>900003599D8366621263710153352</t>
        </is>
      </c>
      <c r="B233" t="inlineStr">
        <is>
          <t>4600041240-20</t>
        </is>
      </c>
      <c r="C233" t="n">
        <v>4600041240</v>
      </c>
      <c r="D233" t="n">
        <v>20</v>
      </c>
      <c r="E233" t="inlineStr">
        <is>
          <t>MXPO</t>
        </is>
      </c>
      <c r="F233" t="inlineStr">
        <is>
          <t>MXL</t>
        </is>
      </c>
      <c r="G233" t="n">
        <v>900003599</v>
      </c>
      <c r="H233" t="inlineStr">
        <is>
          <t>TP-ED-ESTRATEGIAS AVANZADAS</t>
        </is>
      </c>
      <c r="I233" t="n">
        <v>5049458</v>
      </c>
      <c r="J233" t="inlineStr">
        <is>
          <t>ESTRATEGIAS AVANZADAS PARA OBTEN</t>
        </is>
      </c>
      <c r="K233" t="inlineStr">
        <is>
          <t>Z03</t>
        </is>
      </c>
      <c r="L233" t="inlineStr">
        <is>
          <t>(AP) 15 Dias</t>
        </is>
      </c>
      <c r="M233" t="n">
        <v>10153352</v>
      </c>
      <c r="N233" t="inlineStr">
        <is>
          <t>GRAVA TRITURADA CALIZA 2" - 4"</t>
        </is>
      </c>
      <c r="O233" t="inlineStr">
        <is>
          <t>D836</t>
        </is>
      </c>
      <c r="P233" t="inlineStr">
        <is>
          <t>MX-CED. CENTRO</t>
        </is>
      </c>
      <c r="Q233" t="n">
        <v>20180215</v>
      </c>
      <c r="R233" t="n">
        <v>20301231</v>
      </c>
      <c r="S233" t="n">
        <v>20180409</v>
      </c>
      <c r="T233" t="n">
        <v>20241231</v>
      </c>
      <c r="U233" t="n">
        <v>470</v>
      </c>
      <c r="V233" t="inlineStr">
        <is>
          <t>MXN</t>
        </is>
      </c>
      <c r="W233" t="inlineStr">
        <is>
          <t>M3</t>
        </is>
      </c>
      <c r="X233" t="n">
        <v>301</v>
      </c>
      <c r="Y233" t="inlineStr">
        <is>
          <t>MXN</t>
        </is>
      </c>
      <c r="Z233" t="inlineStr">
        <is>
          <t>M3</t>
        </is>
      </c>
      <c r="AA233" t="inlineStr">
        <is>
          <t>66212637</t>
        </is>
      </c>
      <c r="AB233" t="inlineStr">
        <is>
          <t>AGREMAX DF (MMT)</t>
        </is>
      </c>
      <c r="AC233" t="n">
        <v>56103637</v>
      </c>
      <c r="AD233" t="n">
        <v>6622261540</v>
      </c>
      <c r="AE233" t="n">
        <v>4</v>
      </c>
      <c r="AF233" t="inlineStr">
        <is>
          <t>ENTREGA DIRECTA</t>
        </is>
      </c>
      <c r="AG233" t="n">
        <v>1.5</v>
      </c>
      <c r="AH233" t="inlineStr">
        <is>
          <t>M3</t>
        </is>
      </c>
      <c r="AI233" t="inlineStr">
        <is>
          <t>X</t>
        </is>
      </c>
      <c r="AJ233" t="n">
        <v>4</v>
      </c>
      <c r="AK233" t="inlineStr">
        <is>
          <t>V4</t>
        </is>
      </c>
      <c r="AL233" t="n">
        <v>20230920</v>
      </c>
      <c r="AM233" t="inlineStr">
        <is>
          <t>D836-900003599-66212637-10153352-4</t>
        </is>
      </c>
    </row>
    <row r="234">
      <c r="A234" t="inlineStr">
        <is>
          <t>900003599D8366681544410000160</t>
        </is>
      </c>
      <c r="B234" t="inlineStr">
        <is>
          <t>4600041240-40</t>
        </is>
      </c>
      <c r="C234" t="n">
        <v>4600041240</v>
      </c>
      <c r="D234" t="n">
        <v>40</v>
      </c>
      <c r="E234" t="inlineStr">
        <is>
          <t>MXPO</t>
        </is>
      </c>
      <c r="F234" t="inlineStr">
        <is>
          <t>MXL</t>
        </is>
      </c>
      <c r="G234" t="n">
        <v>900003599</v>
      </c>
      <c r="H234" t="inlineStr">
        <is>
          <t>TP-ED-ESTRATEGIAS AVANZADAS</t>
        </is>
      </c>
      <c r="I234" t="n">
        <v>5049458</v>
      </c>
      <c r="J234" t="inlineStr">
        <is>
          <t>ESTRATEGIAS AVANZADAS PARA OBTEN</t>
        </is>
      </c>
      <c r="K234" t="inlineStr">
        <is>
          <t>Z03</t>
        </is>
      </c>
      <c r="L234" t="inlineStr">
        <is>
          <t>(AP) 15 Dias</t>
        </is>
      </c>
      <c r="M234" t="n">
        <v>10000160</v>
      </c>
      <c r="N234" t="inlineStr">
        <is>
          <t>Arena Triturada Andesita Malla 4</t>
        </is>
      </c>
      <c r="O234" t="inlineStr">
        <is>
          <t>D836</t>
        </is>
      </c>
      <c r="P234" t="inlineStr">
        <is>
          <t>MX-CED. CENTRO</t>
        </is>
      </c>
      <c r="Q234" t="n">
        <v>20180215</v>
      </c>
      <c r="R234" t="n">
        <v>20301231</v>
      </c>
      <c r="S234" t="n">
        <v>20191112</v>
      </c>
      <c r="T234" t="n">
        <v>20241231</v>
      </c>
      <c r="U234" t="n">
        <v>125</v>
      </c>
      <c r="V234" t="inlineStr">
        <is>
          <t>MXN</t>
        </is>
      </c>
      <c r="W234" t="inlineStr">
        <is>
          <t>M3</t>
        </is>
      </c>
      <c r="X234" t="n">
        <v>62.5</v>
      </c>
      <c r="Y234" t="inlineStr">
        <is>
          <t>MXN</t>
        </is>
      </c>
      <c r="Z234" t="inlineStr">
        <is>
          <t>M3</t>
        </is>
      </c>
      <c r="AA234" t="inlineStr">
        <is>
          <t>66815444</t>
        </is>
      </c>
      <c r="AB234" t="inlineStr">
        <is>
          <t>TECNICA 57 OTM</t>
        </is>
      </c>
      <c r="AC234" t="n">
        <v>56103638</v>
      </c>
      <c r="AD234" t="n">
        <v>6622261540</v>
      </c>
      <c r="AE234" t="n">
        <v>4</v>
      </c>
      <c r="AF234" t="inlineStr">
        <is>
          <t>ENTREGA DIRECTA</t>
        </is>
      </c>
      <c r="AG234" t="n">
        <v>1.409</v>
      </c>
      <c r="AH234" t="inlineStr">
        <is>
          <t>M3</t>
        </is>
      </c>
      <c r="AI234" t="inlineStr">
        <is>
          <t>X</t>
        </is>
      </c>
      <c r="AJ234" t="n">
        <v>4</v>
      </c>
      <c r="AK234" t="inlineStr">
        <is>
          <t>V4</t>
        </is>
      </c>
      <c r="AL234" t="n">
        <v>20230920</v>
      </c>
      <c r="AM234" t="inlineStr">
        <is>
          <t>D836-900003599-66815444-10000160-4</t>
        </is>
      </c>
    </row>
    <row r="235">
      <c r="A235" t="inlineStr">
        <is>
          <t>900003599D8366658258010000630</t>
        </is>
      </c>
      <c r="B235" t="inlineStr">
        <is>
          <t>4600041240-60</t>
        </is>
      </c>
      <c r="C235" t="n">
        <v>4600041240</v>
      </c>
      <c r="D235" t="n">
        <v>60</v>
      </c>
      <c r="E235" t="inlineStr">
        <is>
          <t>MXPO</t>
        </is>
      </c>
      <c r="F235" t="inlineStr">
        <is>
          <t>MXL</t>
        </is>
      </c>
      <c r="G235" t="n">
        <v>900003599</v>
      </c>
      <c r="H235" t="inlineStr">
        <is>
          <t>TP-ED-ESTRATEGIAS AVANZADAS</t>
        </is>
      </c>
      <c r="I235" t="n">
        <v>5049458</v>
      </c>
      <c r="J235" t="inlineStr">
        <is>
          <t>ESTRATEGIAS AVANZADAS PARA OBTEN</t>
        </is>
      </c>
      <c r="K235" t="inlineStr">
        <is>
          <t>Z03</t>
        </is>
      </c>
      <c r="L235" t="inlineStr">
        <is>
          <t>(AP) 15 Dias</t>
        </is>
      </c>
      <c r="M235" t="n">
        <v>10000630</v>
      </c>
      <c r="N235" t="inlineStr">
        <is>
          <t>Grava Triturada Caliza 13 mm - 1/2"</t>
        </is>
      </c>
      <c r="O235" t="inlineStr">
        <is>
          <t>D836</t>
        </is>
      </c>
      <c r="P235" t="inlineStr">
        <is>
          <t>MX-CED. CENTRO</t>
        </is>
      </c>
      <c r="Q235" t="n">
        <v>20180215</v>
      </c>
      <c r="R235" t="n">
        <v>20301231</v>
      </c>
      <c r="S235" t="n">
        <v>20200101</v>
      </c>
      <c r="T235" t="n">
        <v>20291231</v>
      </c>
      <c r="U235" t="n">
        <v>275</v>
      </c>
      <c r="V235" t="inlineStr">
        <is>
          <t>MXN</t>
        </is>
      </c>
      <c r="W235" t="inlineStr">
        <is>
          <t>M3</t>
        </is>
      </c>
      <c r="X235" t="n">
        <v>137.5</v>
      </c>
      <c r="Y235" t="inlineStr">
        <is>
          <t>MXN</t>
        </is>
      </c>
      <c r="Z235" t="inlineStr">
        <is>
          <t>M3</t>
        </is>
      </c>
      <c r="AA235" t="inlineStr">
        <is>
          <t>66582580</t>
        </is>
      </c>
      <c r="AB235" t="inlineStr">
        <is>
          <t>KLAREA</t>
        </is>
      </c>
      <c r="AC235" t="n">
        <v>56103637</v>
      </c>
      <c r="AD235" t="n">
        <v>6622261540</v>
      </c>
      <c r="AE235" t="n">
        <v>4</v>
      </c>
      <c r="AF235" t="inlineStr">
        <is>
          <t>ENTREGA DIRECTA</t>
        </is>
      </c>
      <c r="AG235" t="n">
        <v>1.4</v>
      </c>
      <c r="AH235" t="inlineStr">
        <is>
          <t>M3</t>
        </is>
      </c>
      <c r="AI235" t="inlineStr">
        <is>
          <t>X</t>
        </is>
      </c>
      <c r="AJ235" t="n">
        <v>4</v>
      </c>
      <c r="AK235" t="inlineStr">
        <is>
          <t>V4</t>
        </is>
      </c>
      <c r="AL235" t="n">
        <v>20230920</v>
      </c>
      <c r="AM235" t="inlineStr">
        <is>
          <t>D836-900003599-66582580-10000630-4</t>
        </is>
      </c>
    </row>
    <row r="236">
      <c r="A236" t="inlineStr">
        <is>
          <t>900006542D8366688013210000206</t>
        </is>
      </c>
      <c r="B236" t="inlineStr">
        <is>
          <t>4600047341-80</t>
        </is>
      </c>
      <c r="C236" t="n">
        <v>4600047341</v>
      </c>
      <c r="D236" t="n">
        <v>80</v>
      </c>
      <c r="E236" t="inlineStr">
        <is>
          <t>MXPO</t>
        </is>
      </c>
      <c r="F236" t="inlineStr">
        <is>
          <t>MXL</t>
        </is>
      </c>
      <c r="G236" t="n">
        <v>900006542</v>
      </c>
      <c r="H236" t="inlineStr">
        <is>
          <t>TP-OLIELL TORTON</t>
        </is>
      </c>
      <c r="I236" t="n">
        <v>5048484</v>
      </c>
      <c r="J236" t="inlineStr">
        <is>
          <t>COMERCIALIZADORA Y TRANSPORTADORA O</t>
        </is>
      </c>
      <c r="K236" t="inlineStr">
        <is>
          <t>N90</t>
        </is>
      </c>
      <c r="L236" t="inlineStr">
        <is>
          <t>(AP) NAFIN 90 Dias</t>
        </is>
      </c>
      <c r="M236" t="n">
        <v>10000206</v>
      </c>
      <c r="N236" t="inlineStr">
        <is>
          <t>Tepetate Triturado Tierra NA</t>
        </is>
      </c>
      <c r="O236" t="inlineStr">
        <is>
          <t>D836</t>
        </is>
      </c>
      <c r="P236" t="inlineStr">
        <is>
          <t>MX-CED. CENTRO</t>
        </is>
      </c>
      <c r="Q236" t="n">
        <v>20200615</v>
      </c>
      <c r="R236" t="n">
        <v>20281231</v>
      </c>
      <c r="S236" t="n">
        <v>20200703</v>
      </c>
      <c r="T236" t="n">
        <v>20301231</v>
      </c>
      <c r="U236" t="n">
        <v>177.5</v>
      </c>
      <c r="V236" t="inlineStr">
        <is>
          <t>MXN</t>
        </is>
      </c>
      <c r="W236" t="inlineStr">
        <is>
          <t>M3</t>
        </is>
      </c>
      <c r="X236" t="n">
        <v>127.5</v>
      </c>
      <c r="Y236" t="inlineStr">
        <is>
          <t>MXN</t>
        </is>
      </c>
      <c r="Z236" t="inlineStr">
        <is>
          <t>M3</t>
        </is>
      </c>
      <c r="AA236" t="inlineStr">
        <is>
          <t>66880132</t>
        </is>
      </c>
      <c r="AB236" t="inlineStr">
        <is>
          <t>ADO AV EMILIANO ZAPATA</t>
        </is>
      </c>
      <c r="AC236" t="n">
        <v>56103695</v>
      </c>
      <c r="AD236" t="n">
        <v>6622261540</v>
      </c>
      <c r="AE236" t="n">
        <v>4</v>
      </c>
      <c r="AF236" t="inlineStr">
        <is>
          <t>ENTREGA DIRECTA</t>
        </is>
      </c>
      <c r="AG236" t="n">
        <v>1.249</v>
      </c>
      <c r="AH236" t="inlineStr">
        <is>
          <t>M3</t>
        </is>
      </c>
      <c r="AI236" t="inlineStr">
        <is>
          <t>X</t>
        </is>
      </c>
      <c r="AJ236" t="n">
        <v>4</v>
      </c>
      <c r="AK236" t="inlineStr">
        <is>
          <t>V4</t>
        </is>
      </c>
      <c r="AL236" t="n">
        <v>20230920</v>
      </c>
      <c r="AM236" t="inlineStr">
        <is>
          <t>D836-900006542-66880132-10000206-4</t>
        </is>
      </c>
    </row>
    <row r="237">
      <c r="A237" t="inlineStr">
        <is>
          <t>900009140D8366733063810184011</t>
        </is>
      </c>
      <c r="B237" t="inlineStr">
        <is>
          <t>4600070959-110</t>
        </is>
      </c>
      <c r="C237" t="n">
        <v>4600070959</v>
      </c>
      <c r="D237" t="n">
        <v>110</v>
      </c>
      <c r="E237" t="inlineStr">
        <is>
          <t>MXPO</t>
        </is>
      </c>
      <c r="F237" t="inlineStr">
        <is>
          <t>MXL</t>
        </is>
      </c>
      <c r="G237" t="n">
        <v>900009140</v>
      </c>
      <c r="H237" t="inlineStr">
        <is>
          <t>SF TP-ED CONCRETOS Y PAVIMENTOS</t>
        </is>
      </c>
      <c r="I237" t="n">
        <v>5089601</v>
      </c>
      <c r="J237" t="inlineStr">
        <is>
          <t>CONCRETOS Y PAVIMENTOS EXTERIORES S</t>
        </is>
      </c>
      <c r="K237" t="inlineStr">
        <is>
          <t>N90</t>
        </is>
      </c>
      <c r="L237" t="inlineStr">
        <is>
          <t>(AP) NAFIN 90 Dias</t>
        </is>
      </c>
      <c r="M237" t="n">
        <v>10184011</v>
      </c>
      <c r="N237" t="inlineStr">
        <is>
          <t>GRAVA TRITURADA CALIZA 20 MM - 3/4"</t>
        </is>
      </c>
      <c r="O237" t="inlineStr">
        <is>
          <t>D836</t>
        </is>
      </c>
      <c r="P237" t="inlineStr">
        <is>
          <t>MX-CED. CENTRO</t>
        </is>
      </c>
      <c r="Q237" t="n">
        <v>20250304</v>
      </c>
      <c r="R237" t="n">
        <v>20301231</v>
      </c>
      <c r="S237" t="n">
        <v>20260302</v>
      </c>
      <c r="T237" t="n">
        <v>20301231</v>
      </c>
      <c r="U237" t="n">
        <v>240.84</v>
      </c>
      <c r="V237" t="inlineStr">
        <is>
          <t>MXN</t>
        </is>
      </c>
      <c r="W237" t="inlineStr">
        <is>
          <t>TN</t>
        </is>
      </c>
      <c r="X237" t="n">
        <v>112.35</v>
      </c>
      <c r="Y237" t="inlineStr">
        <is>
          <t>MXN</t>
        </is>
      </c>
      <c r="Z237" t="inlineStr">
        <is>
          <t>TN</t>
        </is>
      </c>
      <c r="AA237" t="inlineStr">
        <is>
          <t>67330638</t>
        </is>
      </c>
      <c r="AB237" t="inlineStr">
        <is>
          <t>TANCOL</t>
        </is>
      </c>
      <c r="AC237" t="n">
        <v>56103637</v>
      </c>
      <c r="AD237" t="n">
        <v>6622261540</v>
      </c>
      <c r="AE237" t="n">
        <v>4</v>
      </c>
      <c r="AF237" t="inlineStr">
        <is>
          <t>ENTREGA DIRECTA</t>
        </is>
      </c>
      <c r="AG237" t="n">
        <v>1</v>
      </c>
      <c r="AH237" t="inlineStr">
        <is>
          <t>TO</t>
        </is>
      </c>
      <c r="AI237" t="inlineStr">
        <is>
          <t>X</t>
        </is>
      </c>
      <c r="AJ237" t="n">
        <v>4</v>
      </c>
      <c r="AK237" t="inlineStr">
        <is>
          <t>V4</t>
        </is>
      </c>
      <c r="AL237" t="n">
        <v>20260306</v>
      </c>
      <c r="AM237" t="inlineStr">
        <is>
          <t>D836-900009140-67330638-10184011-4</t>
        </is>
      </c>
    </row>
    <row r="238">
      <c r="A238" t="inlineStr">
        <is>
          <t>900009140D8366733063810001074</t>
        </is>
      </c>
      <c r="B238" t="inlineStr">
        <is>
          <t>4600070959-150</t>
        </is>
      </c>
      <c r="C238" t="n">
        <v>4600070959</v>
      </c>
      <c r="D238" t="n">
        <v>150</v>
      </c>
      <c r="E238" t="inlineStr">
        <is>
          <t>MXPO</t>
        </is>
      </c>
      <c r="F238" t="inlineStr">
        <is>
          <t>MXL</t>
        </is>
      </c>
      <c r="G238" t="n">
        <v>900009140</v>
      </c>
      <c r="H238" t="inlineStr">
        <is>
          <t>SF TP-ED CONCRETOS Y PAVIMENTOS</t>
        </is>
      </c>
      <c r="I238" t="n">
        <v>5089601</v>
      </c>
      <c r="J238" t="inlineStr">
        <is>
          <t>CONCRETOS Y PAVIMENTOS EXTERIORES S</t>
        </is>
      </c>
      <c r="K238" t="inlineStr">
        <is>
          <t>N90</t>
        </is>
      </c>
      <c r="L238" t="inlineStr">
        <is>
          <t>(AP) NAFIN 90 Dias</t>
        </is>
      </c>
      <c r="M238" t="n">
        <v>10001074</v>
      </c>
      <c r="N238" t="inlineStr">
        <is>
          <t>Grava Triturada Caliza 40 mm - 1 1/2"</t>
        </is>
      </c>
      <c r="O238" t="inlineStr">
        <is>
          <t>D836</t>
        </is>
      </c>
      <c r="P238" t="inlineStr">
        <is>
          <t>MX-CED. CENTRO</t>
        </is>
      </c>
      <c r="Q238" t="n">
        <v>20250304</v>
      </c>
      <c r="R238" t="n">
        <v>20301231</v>
      </c>
      <c r="S238" t="n">
        <v>20260302</v>
      </c>
      <c r="T238" t="n">
        <v>20301231</v>
      </c>
      <c r="U238" t="n">
        <v>240.84</v>
      </c>
      <c r="V238" t="inlineStr">
        <is>
          <t>MXN</t>
        </is>
      </c>
      <c r="W238" t="inlineStr">
        <is>
          <t>TN</t>
        </is>
      </c>
      <c r="X238" t="n">
        <v>117.7</v>
      </c>
      <c r="Y238" t="inlineStr">
        <is>
          <t>MXN</t>
        </is>
      </c>
      <c r="Z238" t="inlineStr">
        <is>
          <t>TN</t>
        </is>
      </c>
      <c r="AA238" t="inlineStr">
        <is>
          <t>67330638</t>
        </is>
      </c>
      <c r="AB238" t="inlineStr">
        <is>
          <t>TANCOL</t>
        </is>
      </c>
      <c r="AC238" t="n">
        <v>56103637</v>
      </c>
      <c r="AD238" t="n">
        <v>6622261540</v>
      </c>
      <c r="AE238" t="n">
        <v>4</v>
      </c>
      <c r="AF238" t="inlineStr">
        <is>
          <t>ENTREGA DIRECTA</t>
        </is>
      </c>
      <c r="AG238" t="n">
        <v>1</v>
      </c>
      <c r="AH238" t="inlineStr">
        <is>
          <t>TO</t>
        </is>
      </c>
      <c r="AI238" t="inlineStr">
        <is>
          <t>X</t>
        </is>
      </c>
      <c r="AJ238" t="n">
        <v>4</v>
      </c>
      <c r="AK238" t="inlineStr">
        <is>
          <t>V4</t>
        </is>
      </c>
      <c r="AL238" t="n">
        <v>20260306</v>
      </c>
      <c r="AM238" t="inlineStr">
        <is>
          <t>D836-900009140-67330638-10001074-4</t>
        </is>
      </c>
    </row>
    <row r="239">
      <c r="A239" t="inlineStr">
        <is>
          <t>900001074D83610000160</t>
        </is>
      </c>
      <c r="B239" t="inlineStr">
        <is>
          <t>4600027573-50</t>
        </is>
      </c>
      <c r="C239" t="n">
        <v>4600027573</v>
      </c>
      <c r="D239" t="n">
        <v>50</v>
      </c>
      <c r="E239" t="inlineStr">
        <is>
          <t>MXPO</t>
        </is>
      </c>
      <c r="F239" t="inlineStr">
        <is>
          <t>M02</t>
        </is>
      </c>
      <c r="G239" t="n">
        <v>900001074</v>
      </c>
      <c r="H239" t="inlineStr">
        <is>
          <t>TP-TRIVOMEX</t>
        </is>
      </c>
      <c r="I239" t="n">
        <v>5033501</v>
      </c>
      <c r="J239" t="inlineStr">
        <is>
          <t>TRITURADOS VOLCANICOS DE MEXICO</t>
        </is>
      </c>
      <c r="K239" t="inlineStr">
        <is>
          <t>Z04</t>
        </is>
      </c>
      <c r="L239" t="inlineStr">
        <is>
          <t>(AP) 30 Dias</t>
        </is>
      </c>
      <c r="M239" t="n">
        <v>10000160</v>
      </c>
      <c r="N239" t="inlineStr">
        <is>
          <t>Arena Triturada Andesita Malla 4</t>
        </is>
      </c>
      <c r="O239" t="inlineStr">
        <is>
          <t>D836</t>
        </is>
      </c>
      <c r="P239" t="inlineStr">
        <is>
          <t>MX-CED. CENTRO</t>
        </is>
      </c>
      <c r="Q239" t="n">
        <v>20140701</v>
      </c>
      <c r="R239" t="n">
        <v>20291231</v>
      </c>
      <c r="S239" t="n">
        <v>20260224</v>
      </c>
      <c r="T239" t="n">
        <v>20301231</v>
      </c>
      <c r="U239" t="n">
        <v>113</v>
      </c>
      <c r="V239" t="inlineStr">
        <is>
          <t>MXN</t>
        </is>
      </c>
      <c r="W239" t="inlineStr">
        <is>
          <t>M3</t>
        </is>
      </c>
      <c r="X239" t="n">
        <v>0</v>
      </c>
      <c r="Y239" t="inlineStr">
        <is>
          <t>MXN</t>
        </is>
      </c>
      <c r="Z239" t="inlineStr">
        <is>
          <t>M3</t>
        </is>
      </c>
      <c r="AC239" t="n">
        <v>56103638</v>
      </c>
      <c r="AD239" t="n">
        <v>6622261540</v>
      </c>
      <c r="AE239" t="n">
        <v>1</v>
      </c>
      <c r="AF239" t="inlineStr">
        <is>
          <t>ENTREGADO</t>
        </is>
      </c>
      <c r="AG239" t="n">
        <v>1.409</v>
      </c>
      <c r="AH239" t="inlineStr">
        <is>
          <t>M3</t>
        </is>
      </c>
      <c r="AI239" t="inlineStr">
        <is>
          <t>X</t>
        </is>
      </c>
      <c r="AJ239" t="n">
        <v>4</v>
      </c>
      <c r="AK239" t="inlineStr">
        <is>
          <t>V4</t>
        </is>
      </c>
      <c r="AL239" t="n">
        <v>20260227</v>
      </c>
      <c r="AM239" t="inlineStr">
        <is>
          <t>D836-900001074-10000160</t>
        </is>
      </c>
    </row>
    <row r="240">
      <c r="A240" t="inlineStr">
        <is>
          <t>900009140D8366733063810221480</t>
        </is>
      </c>
      <c r="B240" t="inlineStr">
        <is>
          <t>4600070959-180</t>
        </is>
      </c>
      <c r="C240" t="n">
        <v>4600070959</v>
      </c>
      <c r="D240" t="n">
        <v>180</v>
      </c>
      <c r="E240" t="inlineStr">
        <is>
          <t>MXPO</t>
        </is>
      </c>
      <c r="F240" t="inlineStr">
        <is>
          <t>MXL</t>
        </is>
      </c>
      <c r="G240" t="n">
        <v>900009140</v>
      </c>
      <c r="H240" t="inlineStr">
        <is>
          <t>SF TP-ED CONCRETOS Y PAVIMENTOS</t>
        </is>
      </c>
      <c r="I240" t="n">
        <v>5089601</v>
      </c>
      <c r="J240" t="inlineStr">
        <is>
          <t>CONCRETOS Y PAVIMENTOS EXTERIORES S</t>
        </is>
      </c>
      <c r="K240" t="inlineStr">
        <is>
          <t>N90</t>
        </is>
      </c>
      <c r="L240" t="inlineStr">
        <is>
          <t>(AP) NAFIN 90 Dias</t>
        </is>
      </c>
      <c r="M240" t="n">
        <v>10221480</v>
      </c>
      <c r="N240" t="inlineStr">
        <is>
          <t>GRAVA TRITURADA CALIZA 13 MM - 1/2"</t>
        </is>
      </c>
      <c r="O240" t="inlineStr">
        <is>
          <t>D836</t>
        </is>
      </c>
      <c r="P240" t="inlineStr">
        <is>
          <t>MX-CED. CENTRO</t>
        </is>
      </c>
      <c r="Q240" t="n">
        <v>20250304</v>
      </c>
      <c r="R240" t="n">
        <v>20301231</v>
      </c>
      <c r="S240" t="n">
        <v>20260302</v>
      </c>
      <c r="T240" t="n">
        <v>20301231</v>
      </c>
      <c r="U240" t="n">
        <v>387.72</v>
      </c>
      <c r="V240" t="inlineStr">
        <is>
          <t>MXN</t>
        </is>
      </c>
      <c r="W240" t="inlineStr">
        <is>
          <t>M3</t>
        </is>
      </c>
      <c r="X240" t="n">
        <v>193.32</v>
      </c>
      <c r="Y240" t="inlineStr">
        <is>
          <t>MXN</t>
        </is>
      </c>
      <c r="Z240" t="inlineStr">
        <is>
          <t>M3</t>
        </is>
      </c>
      <c r="AA240" t="inlineStr">
        <is>
          <t>67330638</t>
        </is>
      </c>
      <c r="AB240" t="inlineStr">
        <is>
          <t>TANCOL</t>
        </is>
      </c>
      <c r="AC240" t="n">
        <v>56103637</v>
      </c>
      <c r="AD240" t="n">
        <v>6622261540</v>
      </c>
      <c r="AE240" t="n">
        <v>4</v>
      </c>
      <c r="AF240" t="inlineStr">
        <is>
          <t>ENTREGA DIRECTA</t>
        </is>
      </c>
      <c r="AG240" t="n">
        <v>1.5</v>
      </c>
      <c r="AH240" t="inlineStr">
        <is>
          <t>M3</t>
        </is>
      </c>
      <c r="AI240" t="inlineStr">
        <is>
          <t>X</t>
        </is>
      </c>
      <c r="AJ240" t="n">
        <v>4</v>
      </c>
      <c r="AK240" t="inlineStr">
        <is>
          <t>V4</t>
        </is>
      </c>
      <c r="AL240" t="n">
        <v>20260306</v>
      </c>
      <c r="AM240" t="inlineStr">
        <is>
          <t>D836-900009140-67330638-10221480-4</t>
        </is>
      </c>
    </row>
    <row r="241">
      <c r="A241" t="inlineStr">
        <is>
          <t>900009140D8366733063810000403</t>
        </is>
      </c>
      <c r="B241" t="inlineStr">
        <is>
          <t>4600070959-160</t>
        </is>
      </c>
      <c r="C241" t="n">
        <v>4600070959</v>
      </c>
      <c r="D241" t="n">
        <v>160</v>
      </c>
      <c r="E241" t="inlineStr">
        <is>
          <t>MXPO</t>
        </is>
      </c>
      <c r="F241" t="inlineStr">
        <is>
          <t>MXL</t>
        </is>
      </c>
      <c r="G241" t="n">
        <v>900009140</v>
      </c>
      <c r="H241" t="inlineStr">
        <is>
          <t>SF TP-ED CONCRETOS Y PAVIMENTOS</t>
        </is>
      </c>
      <c r="I241" t="n">
        <v>5089601</v>
      </c>
      <c r="J241" t="inlineStr">
        <is>
          <t>CONCRETOS Y PAVIMENTOS EXTERIORES S</t>
        </is>
      </c>
      <c r="K241" t="inlineStr">
        <is>
          <t>N90</t>
        </is>
      </c>
      <c r="L241" t="inlineStr">
        <is>
          <t>(AP) NAFIN 90 Dias</t>
        </is>
      </c>
      <c r="M241" t="n">
        <v>10000403</v>
      </c>
      <c r="N241" t="inlineStr">
        <is>
          <t>Arena Triturada Caliza Malla 4</t>
        </is>
      </c>
      <c r="O241" t="inlineStr">
        <is>
          <t>D836</t>
        </is>
      </c>
      <c r="P241" t="inlineStr">
        <is>
          <t>MX-CED. CENTRO</t>
        </is>
      </c>
      <c r="Q241" t="n">
        <v>20250304</v>
      </c>
      <c r="R241" t="n">
        <v>20301231</v>
      </c>
      <c r="S241" t="n">
        <v>20260302</v>
      </c>
      <c r="T241" t="n">
        <v>20301231</v>
      </c>
      <c r="U241" t="n">
        <v>193.1</v>
      </c>
      <c r="V241" t="inlineStr">
        <is>
          <t>MXN</t>
        </is>
      </c>
      <c r="W241" t="inlineStr">
        <is>
          <t>TN</t>
        </is>
      </c>
      <c r="X241" t="n">
        <v>117.7</v>
      </c>
      <c r="Y241" t="inlineStr">
        <is>
          <t>MXN</t>
        </is>
      </c>
      <c r="Z241" t="inlineStr">
        <is>
          <t>TN</t>
        </is>
      </c>
      <c r="AA241" t="inlineStr">
        <is>
          <t>67330638</t>
        </is>
      </c>
      <c r="AB241" t="inlineStr">
        <is>
          <t>TANCOL</t>
        </is>
      </c>
      <c r="AC241" t="n">
        <v>56103638</v>
      </c>
      <c r="AD241" t="n">
        <v>6622261540</v>
      </c>
      <c r="AE241" t="n">
        <v>4</v>
      </c>
      <c r="AF241" t="inlineStr">
        <is>
          <t>ENTREGA DIRECTA</t>
        </is>
      </c>
      <c r="AG241" t="n">
        <v>1</v>
      </c>
      <c r="AH241" t="inlineStr">
        <is>
          <t>TO</t>
        </is>
      </c>
      <c r="AI241" t="inlineStr">
        <is>
          <t>X</t>
        </is>
      </c>
      <c r="AJ241" t="n">
        <v>4</v>
      </c>
      <c r="AK241" t="inlineStr">
        <is>
          <t>V4</t>
        </is>
      </c>
      <c r="AL241" t="n">
        <v>20260306</v>
      </c>
      <c r="AM241" t="inlineStr">
        <is>
          <t>D836-900009140-67330638-10000403-4</t>
        </is>
      </c>
    </row>
    <row r="242">
      <c r="A242" t="inlineStr">
        <is>
          <t>900007320D83610000160</t>
        </is>
      </c>
      <c r="B242" t="inlineStr">
        <is>
          <t>4600052075-10</t>
        </is>
      </c>
      <c r="C242" t="n">
        <v>4600052075</v>
      </c>
      <c r="D242" t="n">
        <v>10</v>
      </c>
      <c r="E242" t="inlineStr">
        <is>
          <t>MXPO</t>
        </is>
      </c>
      <c r="F242" t="inlineStr">
        <is>
          <t>MXL</t>
        </is>
      </c>
      <c r="G242" t="n">
        <v>900007320</v>
      </c>
      <c r="H242" t="inlineStr">
        <is>
          <t>SF TP-LOMA ANCHA SC</t>
        </is>
      </c>
      <c r="I242" t="n">
        <v>5047262</v>
      </c>
      <c r="J242" t="inlineStr">
        <is>
          <t>AGREGADOS PETREOS SAN CRISTOBAL</t>
        </is>
      </c>
      <c r="K242" t="inlineStr">
        <is>
          <t>Z03</t>
        </is>
      </c>
      <c r="L242" t="inlineStr">
        <is>
          <t>(AP) 15 Dias</t>
        </is>
      </c>
      <c r="M242" t="n">
        <v>10000160</v>
      </c>
      <c r="N242" t="inlineStr">
        <is>
          <t>Arena Triturada Andesita Malla 4</t>
        </is>
      </c>
      <c r="O242" t="inlineStr">
        <is>
          <t>D836</t>
        </is>
      </c>
      <c r="P242" t="inlineStr">
        <is>
          <t>MX-CED. CENTRO</t>
        </is>
      </c>
      <c r="Q242" t="n">
        <v>20210928</v>
      </c>
      <c r="R242" t="n">
        <v>20281231</v>
      </c>
      <c r="S242" t="n">
        <v>20260224</v>
      </c>
      <c r="T242" t="n">
        <v>20301231</v>
      </c>
      <c r="U242" t="n">
        <v>93</v>
      </c>
      <c r="V242" t="inlineStr">
        <is>
          <t>MXN</t>
        </is>
      </c>
      <c r="W242" t="inlineStr">
        <is>
          <t>M3</t>
        </is>
      </c>
      <c r="X242" t="n">
        <v>0</v>
      </c>
      <c r="Y242" t="inlineStr">
        <is>
          <t>MXN</t>
        </is>
      </c>
      <c r="Z242" t="inlineStr">
        <is>
          <t>M3</t>
        </is>
      </c>
      <c r="AC242" t="n">
        <v>56103638</v>
      </c>
      <c r="AD242" t="n">
        <v>6622261540</v>
      </c>
      <c r="AE242" t="n">
        <v>1</v>
      </c>
      <c r="AF242" t="inlineStr">
        <is>
          <t>ENTREGADO</t>
        </is>
      </c>
      <c r="AG242" t="n">
        <v>1.409</v>
      </c>
      <c r="AH242" t="inlineStr">
        <is>
          <t>M3</t>
        </is>
      </c>
      <c r="AI242" t="inlineStr">
        <is>
          <t>X</t>
        </is>
      </c>
      <c r="AJ242" t="n">
        <v>4</v>
      </c>
      <c r="AK242" t="inlineStr">
        <is>
          <t>V4</t>
        </is>
      </c>
      <c r="AL242" t="n">
        <v>20260227</v>
      </c>
      <c r="AM242" t="inlineStr">
        <is>
          <t>D836-900007320-10000160</t>
        </is>
      </c>
    </row>
    <row r="243">
      <c r="A243" t="inlineStr">
        <is>
          <t>900001074D83610000357</t>
        </is>
      </c>
      <c r="B243" t="inlineStr">
        <is>
          <t>4600027573-30</t>
        </is>
      </c>
      <c r="C243" t="n">
        <v>4600027573</v>
      </c>
      <c r="D243" t="n">
        <v>30</v>
      </c>
      <c r="E243" t="inlineStr">
        <is>
          <t>MXPO</t>
        </is>
      </c>
      <c r="F243" t="inlineStr">
        <is>
          <t>M02</t>
        </is>
      </c>
      <c r="G243" t="n">
        <v>900001074</v>
      </c>
      <c r="H243" t="inlineStr">
        <is>
          <t>TP-TRIVOMEX</t>
        </is>
      </c>
      <c r="I243" t="n">
        <v>5033501</v>
      </c>
      <c r="J243" t="inlineStr">
        <is>
          <t>TRITURADOS VOLCANICOS DE MEXICO</t>
        </is>
      </c>
      <c r="K243" t="inlineStr">
        <is>
          <t>Z04</t>
        </is>
      </c>
      <c r="L243" t="inlineStr">
        <is>
          <t>(AP) 30 Dias</t>
        </is>
      </c>
      <c r="M243" t="n">
        <v>10000357</v>
      </c>
      <c r="N243" t="inlineStr">
        <is>
          <t>Grava Triturada Andesita 20 mm - 3/4"</t>
        </is>
      </c>
      <c r="O243" t="inlineStr">
        <is>
          <t>D836</t>
        </is>
      </c>
      <c r="P243" t="inlineStr">
        <is>
          <t>MX-CED. CENTRO</t>
        </is>
      </c>
      <c r="Q243" t="n">
        <v>20140701</v>
      </c>
      <c r="R243" t="n">
        <v>20291231</v>
      </c>
      <c r="S243" t="n">
        <v>20260224</v>
      </c>
      <c r="T243" t="n">
        <v>20301231</v>
      </c>
      <c r="U243" t="n">
        <v>137</v>
      </c>
      <c r="V243" t="inlineStr">
        <is>
          <t>MXN</t>
        </is>
      </c>
      <c r="W243" t="inlineStr">
        <is>
          <t>M3</t>
        </is>
      </c>
      <c r="X243" t="n">
        <v>0</v>
      </c>
      <c r="Y243" t="inlineStr">
        <is>
          <t>MXN</t>
        </is>
      </c>
      <c r="Z243" t="inlineStr">
        <is>
          <t>M3</t>
        </is>
      </c>
      <c r="AC243" t="n">
        <v>56103637</v>
      </c>
      <c r="AD243" t="n">
        <v>6622261540</v>
      </c>
      <c r="AE243" t="n">
        <v>1</v>
      </c>
      <c r="AF243" t="inlineStr">
        <is>
          <t>ENTREGADO</t>
        </is>
      </c>
      <c r="AG243" t="n">
        <v>1.326</v>
      </c>
      <c r="AH243" t="inlineStr">
        <is>
          <t>M3</t>
        </is>
      </c>
      <c r="AI243" t="inlineStr">
        <is>
          <t>X</t>
        </is>
      </c>
      <c r="AJ243" t="n">
        <v>4</v>
      </c>
      <c r="AK243" t="inlineStr">
        <is>
          <t>V4</t>
        </is>
      </c>
      <c r="AL243" t="n">
        <v>20260227</v>
      </c>
      <c r="AM243" t="inlineStr">
        <is>
          <t>D836-900001074-10000357</t>
        </is>
      </c>
    </row>
    <row r="244">
      <c r="A244" t="inlineStr">
        <is>
          <t>900009140D8366733063810000630</t>
        </is>
      </c>
      <c r="B244" t="inlineStr">
        <is>
          <t>4600070959-190</t>
        </is>
      </c>
      <c r="C244" t="n">
        <v>4600070959</v>
      </c>
      <c r="D244" t="n">
        <v>190</v>
      </c>
      <c r="E244" t="inlineStr">
        <is>
          <t>MXPO</t>
        </is>
      </c>
      <c r="F244" t="inlineStr">
        <is>
          <t>MXL</t>
        </is>
      </c>
      <c r="G244" t="n">
        <v>900009140</v>
      </c>
      <c r="H244" t="inlineStr">
        <is>
          <t>SF TP-ED CONCRETOS Y PAVIMENTOS</t>
        </is>
      </c>
      <c r="I244" t="n">
        <v>5089601</v>
      </c>
      <c r="J244" t="inlineStr">
        <is>
          <t>CONCRETOS Y PAVIMENTOS EXTERIORES S</t>
        </is>
      </c>
      <c r="K244" t="inlineStr">
        <is>
          <t>N90</t>
        </is>
      </c>
      <c r="L244" t="inlineStr">
        <is>
          <t>(AP) NAFIN 90 Dias</t>
        </is>
      </c>
      <c r="M244" t="n">
        <v>10000630</v>
      </c>
      <c r="N244" t="inlineStr">
        <is>
          <t>Grava Triturada Caliza 13 mm - 1/2"</t>
        </is>
      </c>
      <c r="O244" t="inlineStr">
        <is>
          <t>D836</t>
        </is>
      </c>
      <c r="P244" t="inlineStr">
        <is>
          <t>MX-CED. CENTRO</t>
        </is>
      </c>
      <c r="Q244" t="n">
        <v>20250304</v>
      </c>
      <c r="R244" t="n">
        <v>20301231</v>
      </c>
      <c r="S244" t="n">
        <v>20260302</v>
      </c>
      <c r="T244" t="n">
        <v>20301231</v>
      </c>
      <c r="U244" t="n">
        <v>263.09</v>
      </c>
      <c r="V244" t="inlineStr">
        <is>
          <t>MXN</t>
        </is>
      </c>
      <c r="W244" t="inlineStr">
        <is>
          <t>TN</t>
        </is>
      </c>
      <c r="X244" t="n">
        <v>117.7</v>
      </c>
      <c r="Y244" t="inlineStr">
        <is>
          <t>MXN</t>
        </is>
      </c>
      <c r="Z244" t="inlineStr">
        <is>
          <t>TN</t>
        </is>
      </c>
      <c r="AA244" t="inlineStr">
        <is>
          <t>67330638</t>
        </is>
      </c>
      <c r="AB244" t="inlineStr">
        <is>
          <t>TANCOL</t>
        </is>
      </c>
      <c r="AC244" t="n">
        <v>56103637</v>
      </c>
      <c r="AD244" t="n">
        <v>6622261540</v>
      </c>
      <c r="AE244" t="n">
        <v>4</v>
      </c>
      <c r="AF244" t="inlineStr">
        <is>
          <t>ENTREGA DIRECTA</t>
        </is>
      </c>
      <c r="AG244" t="n">
        <v>1</v>
      </c>
      <c r="AH244" t="inlineStr">
        <is>
          <t>TO</t>
        </is>
      </c>
      <c r="AI244" t="inlineStr">
        <is>
          <t>X</t>
        </is>
      </c>
      <c r="AJ244" t="n">
        <v>4</v>
      </c>
      <c r="AK244" t="inlineStr">
        <is>
          <t>V4</t>
        </is>
      </c>
      <c r="AL244" t="n">
        <v>20260306</v>
      </c>
      <c r="AM244" t="inlineStr">
        <is>
          <t>D836-900009140-67330638-10000630-4</t>
        </is>
      </c>
    </row>
    <row r="245">
      <c r="A245" t="inlineStr">
        <is>
          <t>900006543D83610185477</t>
        </is>
      </c>
      <c r="B245" t="inlineStr">
        <is>
          <t>4600047486-20</t>
        </is>
      </c>
      <c r="C245" t="n">
        <v>4600047486</v>
      </c>
      <c r="D245" t="n">
        <v>20</v>
      </c>
      <c r="E245" t="inlineStr">
        <is>
          <t>MXPO</t>
        </is>
      </c>
      <c r="F245" t="inlineStr">
        <is>
          <t>MXL</t>
        </is>
      </c>
      <c r="G245" t="n">
        <v>900006543</v>
      </c>
      <c r="H245" t="inlineStr">
        <is>
          <t>TP-MARTINEZ VILLEGAS</t>
        </is>
      </c>
      <c r="I245" t="n">
        <v>5078107</v>
      </c>
      <c r="J245" t="inlineStr">
        <is>
          <t>MARTINEZ VILLEGAS SA DE CV</t>
        </is>
      </c>
      <c r="K245" t="inlineStr">
        <is>
          <t>Z04</t>
        </is>
      </c>
      <c r="L245" t="inlineStr">
        <is>
          <t>(AP) 30 Dias</t>
        </is>
      </c>
      <c r="M245" t="n">
        <v>10185477</v>
      </c>
      <c r="N245" t="inlineStr">
        <is>
          <t>GRAVA TRITURADA ANDESITA 20 MM - 3/4"</t>
        </is>
      </c>
      <c r="O245" t="inlineStr">
        <is>
          <t>D836</t>
        </is>
      </c>
      <c r="P245" t="inlineStr">
        <is>
          <t>MX-CED. CENTRO</t>
        </is>
      </c>
      <c r="Q245" t="n">
        <v>20200707</v>
      </c>
      <c r="R245" t="n">
        <v>20301231</v>
      </c>
      <c r="S245" t="n">
        <v>20260304</v>
      </c>
      <c r="T245" t="n">
        <v>20301231</v>
      </c>
      <c r="U245" t="n">
        <v>150</v>
      </c>
      <c r="V245" t="inlineStr">
        <is>
          <t>MXN</t>
        </is>
      </c>
      <c r="W245" t="inlineStr">
        <is>
          <t>M3</t>
        </is>
      </c>
      <c r="X245" t="n">
        <v>0</v>
      </c>
      <c r="Y245" t="inlineStr">
        <is>
          <t>MXN</t>
        </is>
      </c>
      <c r="Z245" t="inlineStr">
        <is>
          <t>M3</t>
        </is>
      </c>
      <c r="AC245" t="n">
        <v>56103637</v>
      </c>
      <c r="AD245" t="n">
        <v>6622261540</v>
      </c>
      <c r="AE245" t="n">
        <v>1</v>
      </c>
      <c r="AF245" t="inlineStr">
        <is>
          <t>ENTREGADO</t>
        </is>
      </c>
      <c r="AG245" t="n">
        <v>1.39</v>
      </c>
      <c r="AH245" t="inlineStr">
        <is>
          <t>M3</t>
        </is>
      </c>
      <c r="AI245" t="inlineStr">
        <is>
          <t>X</t>
        </is>
      </c>
      <c r="AJ245" t="n">
        <v>4</v>
      </c>
      <c r="AK245" t="inlineStr">
        <is>
          <t>V4</t>
        </is>
      </c>
      <c r="AL245" t="n">
        <v>20260306</v>
      </c>
      <c r="AM245" t="inlineStr">
        <is>
          <t>D836-900006543-10185477</t>
        </is>
      </c>
    </row>
    <row r="246">
      <c r="A246" t="inlineStr">
        <is>
          <t>900009140D8366733063810000623</t>
        </is>
      </c>
      <c r="B246" t="inlineStr">
        <is>
          <t>4600070959-130</t>
        </is>
      </c>
      <c r="C246" t="n">
        <v>4600070959</v>
      </c>
      <c r="D246" t="n">
        <v>130</v>
      </c>
      <c r="E246" t="inlineStr">
        <is>
          <t>MXPO</t>
        </is>
      </c>
      <c r="F246" t="inlineStr">
        <is>
          <t>MXL</t>
        </is>
      </c>
      <c r="G246" t="n">
        <v>900009140</v>
      </c>
      <c r="H246" t="inlineStr">
        <is>
          <t>SF TP-ED CONCRETOS Y PAVIMENTOS</t>
        </is>
      </c>
      <c r="I246" t="n">
        <v>5089601</v>
      </c>
      <c r="J246" t="inlineStr">
        <is>
          <t>CONCRETOS Y PAVIMENTOS EXTERIORES S</t>
        </is>
      </c>
      <c r="K246" t="inlineStr">
        <is>
          <t>N90</t>
        </is>
      </c>
      <c r="L246" t="inlineStr">
        <is>
          <t>(AP) NAFIN 90 Dias</t>
        </is>
      </c>
      <c r="M246" t="n">
        <v>10000623</v>
      </c>
      <c r="N246" t="inlineStr">
        <is>
          <t>Grava Triturada Caliza 10 mm - 3/8"</t>
        </is>
      </c>
      <c r="O246" t="inlineStr">
        <is>
          <t>D836</t>
        </is>
      </c>
      <c r="P246" t="inlineStr">
        <is>
          <t>MX-CED. CENTRO</t>
        </is>
      </c>
      <c r="Q246" t="n">
        <v>20250304</v>
      </c>
      <c r="R246" t="n">
        <v>20301231</v>
      </c>
      <c r="S246" t="n">
        <v>20260302</v>
      </c>
      <c r="T246" t="n">
        <v>20301231</v>
      </c>
      <c r="U246" t="n">
        <v>263.09</v>
      </c>
      <c r="V246" t="inlineStr">
        <is>
          <t>MXN</t>
        </is>
      </c>
      <c r="W246" t="inlineStr">
        <is>
          <t>TN</t>
        </is>
      </c>
      <c r="X246" t="n">
        <v>117.7</v>
      </c>
      <c r="Y246" t="inlineStr">
        <is>
          <t>MXN</t>
        </is>
      </c>
      <c r="Z246" t="inlineStr">
        <is>
          <t>TN</t>
        </is>
      </c>
      <c r="AA246" t="inlineStr">
        <is>
          <t>67330638</t>
        </is>
      </c>
      <c r="AB246" t="inlineStr">
        <is>
          <t>TANCOL</t>
        </is>
      </c>
      <c r="AC246" t="n">
        <v>56103637</v>
      </c>
      <c r="AD246" t="n">
        <v>6622261540</v>
      </c>
      <c r="AE246" t="n">
        <v>4</v>
      </c>
      <c r="AF246" t="inlineStr">
        <is>
          <t>ENTREGA DIRECTA</t>
        </is>
      </c>
      <c r="AG246" t="n">
        <v>1</v>
      </c>
      <c r="AH246" t="inlineStr">
        <is>
          <t>TO</t>
        </is>
      </c>
      <c r="AI246" t="inlineStr">
        <is>
          <t>X</t>
        </is>
      </c>
      <c r="AJ246" t="n">
        <v>4</v>
      </c>
      <c r="AK246" t="inlineStr">
        <is>
          <t>V4</t>
        </is>
      </c>
      <c r="AL246" t="n">
        <v>20260306</v>
      </c>
      <c r="AM246" t="inlineStr">
        <is>
          <t>D836-900009140-67330638-10000623-4</t>
        </is>
      </c>
    </row>
    <row r="247">
      <c r="A247" t="inlineStr">
        <is>
          <t>900006543D83610185476</t>
        </is>
      </c>
      <c r="B247" t="inlineStr">
        <is>
          <t>4600047486-10</t>
        </is>
      </c>
      <c r="C247" t="n">
        <v>4600047486</v>
      </c>
      <c r="D247" t="n">
        <v>10</v>
      </c>
      <c r="E247" t="inlineStr">
        <is>
          <t>MXPO</t>
        </is>
      </c>
      <c r="F247" t="inlineStr">
        <is>
          <t>MXL</t>
        </is>
      </c>
      <c r="G247" t="n">
        <v>900006543</v>
      </c>
      <c r="H247" t="inlineStr">
        <is>
          <t>TP-MARTINEZ VILLEGAS</t>
        </is>
      </c>
      <c r="I247" t="n">
        <v>5078107</v>
      </c>
      <c r="J247" t="inlineStr">
        <is>
          <t>MARTINEZ VILLEGAS SA DE CV</t>
        </is>
      </c>
      <c r="K247" t="inlineStr">
        <is>
          <t>Z04</t>
        </is>
      </c>
      <c r="L247" t="inlineStr">
        <is>
          <t>(AP) 30 Dias</t>
        </is>
      </c>
      <c r="M247" t="n">
        <v>10185476</v>
      </c>
      <c r="N247" t="inlineStr">
        <is>
          <t>ARENA TRITURADA ANDESITA MALLA 4</t>
        </is>
      </c>
      <c r="O247" t="inlineStr">
        <is>
          <t>D836</t>
        </is>
      </c>
      <c r="P247" t="inlineStr">
        <is>
          <t>MX-CED. CENTRO</t>
        </is>
      </c>
      <c r="Q247" t="n">
        <v>20200707</v>
      </c>
      <c r="R247" t="n">
        <v>20301231</v>
      </c>
      <c r="S247" t="n">
        <v>20260304</v>
      </c>
      <c r="T247" t="n">
        <v>20301231</v>
      </c>
      <c r="U247" t="n">
        <v>150</v>
      </c>
      <c r="V247" t="inlineStr">
        <is>
          <t>MXN</t>
        </is>
      </c>
      <c r="W247" t="inlineStr">
        <is>
          <t>M3</t>
        </is>
      </c>
      <c r="X247" t="n">
        <v>0</v>
      </c>
      <c r="Y247" t="inlineStr">
        <is>
          <t>MXN</t>
        </is>
      </c>
      <c r="Z247" t="inlineStr">
        <is>
          <t>M3</t>
        </is>
      </c>
      <c r="AC247" t="n">
        <v>56103638</v>
      </c>
      <c r="AD247" t="n">
        <v>6622261540</v>
      </c>
      <c r="AE247" t="n">
        <v>1</v>
      </c>
      <c r="AF247" t="inlineStr">
        <is>
          <t>ENTREGADO</t>
        </is>
      </c>
      <c r="AG247" t="n">
        <v>1.54</v>
      </c>
      <c r="AH247" t="inlineStr">
        <is>
          <t>M3</t>
        </is>
      </c>
      <c r="AI247" t="inlineStr">
        <is>
          <t>X</t>
        </is>
      </c>
      <c r="AJ247" t="n">
        <v>4</v>
      </c>
      <c r="AK247" t="inlineStr">
        <is>
          <t>V4</t>
        </is>
      </c>
      <c r="AL247" t="n">
        <v>20260306</v>
      </c>
      <c r="AM247" t="inlineStr">
        <is>
          <t>D836-900006543-10185476</t>
        </is>
      </c>
    </row>
    <row r="248">
      <c r="A248" t="inlineStr">
        <is>
          <t>900007320D83610000357</t>
        </is>
      </c>
      <c r="B248" t="inlineStr">
        <is>
          <t>4600052075-20</t>
        </is>
      </c>
      <c r="C248" t="n">
        <v>4600052075</v>
      </c>
      <c r="D248" t="n">
        <v>20</v>
      </c>
      <c r="E248" t="inlineStr">
        <is>
          <t>MXPO</t>
        </is>
      </c>
      <c r="F248" t="inlineStr">
        <is>
          <t>MXL</t>
        </is>
      </c>
      <c r="G248" t="n">
        <v>900007320</v>
      </c>
      <c r="H248" t="inlineStr">
        <is>
          <t>SF TP-LOMA ANCHA SC</t>
        </is>
      </c>
      <c r="I248" t="n">
        <v>5047262</v>
      </c>
      <c r="J248" t="inlineStr">
        <is>
          <t>AGREGADOS PETREOS SAN CRISTOBAL</t>
        </is>
      </c>
      <c r="K248" t="inlineStr">
        <is>
          <t>Z03</t>
        </is>
      </c>
      <c r="L248" t="inlineStr">
        <is>
          <t>(AP) 15 Dias</t>
        </is>
      </c>
      <c r="M248" t="n">
        <v>10000357</v>
      </c>
      <c r="N248" t="inlineStr">
        <is>
          <t>Grava Triturada Andesita 20 mm - 3/4"</t>
        </is>
      </c>
      <c r="O248" t="inlineStr">
        <is>
          <t>D836</t>
        </is>
      </c>
      <c r="P248" t="inlineStr">
        <is>
          <t>MX-CED. CENTRO</t>
        </is>
      </c>
      <c r="Q248" t="n">
        <v>20210928</v>
      </c>
      <c r="R248" t="n">
        <v>20281231</v>
      </c>
      <c r="S248" t="n">
        <v>20260224</v>
      </c>
      <c r="T248" t="n">
        <v>20301231</v>
      </c>
      <c r="U248" t="n">
        <v>115</v>
      </c>
      <c r="V248" t="inlineStr">
        <is>
          <t>MXN</t>
        </is>
      </c>
      <c r="W248" t="inlineStr">
        <is>
          <t>M3</t>
        </is>
      </c>
      <c r="X248" t="n">
        <v>0</v>
      </c>
      <c r="Y248" t="inlineStr">
        <is>
          <t>MXN</t>
        </is>
      </c>
      <c r="Z248" t="inlineStr">
        <is>
          <t>M3</t>
        </is>
      </c>
      <c r="AC248" t="n">
        <v>56103637</v>
      </c>
      <c r="AD248" t="n">
        <v>6622261540</v>
      </c>
      <c r="AE248" t="n">
        <v>1</v>
      </c>
      <c r="AF248" t="inlineStr">
        <is>
          <t>ENTREGADO</t>
        </is>
      </c>
      <c r="AG248" t="n">
        <v>1.326</v>
      </c>
      <c r="AH248" t="inlineStr">
        <is>
          <t>M3</t>
        </is>
      </c>
      <c r="AI248" t="inlineStr">
        <is>
          <t>X</t>
        </is>
      </c>
      <c r="AJ248" t="n">
        <v>4</v>
      </c>
      <c r="AK248" t="inlineStr">
        <is>
          <t>V4</t>
        </is>
      </c>
      <c r="AL248" t="n">
        <v>20260227</v>
      </c>
      <c r="AM248" t="inlineStr">
        <is>
          <t>D836-900007320-10000357</t>
        </is>
      </c>
    </row>
    <row r="249">
      <c r="A249" t="inlineStr">
        <is>
          <t>900001074D8366637247510000160</t>
        </is>
      </c>
      <c r="B249" t="inlineStr">
        <is>
          <t>4600027573-320</t>
        </is>
      </c>
      <c r="C249" t="n">
        <v>4600027573</v>
      </c>
      <c r="D249" t="n">
        <v>320</v>
      </c>
      <c r="E249" t="inlineStr">
        <is>
          <t>MXPO</t>
        </is>
      </c>
      <c r="F249" t="inlineStr">
        <is>
          <t>M02</t>
        </is>
      </c>
      <c r="G249" t="n">
        <v>900001074</v>
      </c>
      <c r="H249" t="inlineStr">
        <is>
          <t>TP-TRIVOMEX</t>
        </is>
      </c>
      <c r="I249" t="n">
        <v>5033501</v>
      </c>
      <c r="J249" t="inlineStr">
        <is>
          <t>TRITURADOS VOLCANICOS DE MEXICO</t>
        </is>
      </c>
      <c r="K249" t="inlineStr">
        <is>
          <t>Z04</t>
        </is>
      </c>
      <c r="L249" t="inlineStr">
        <is>
          <t>(AP) 30 Dias</t>
        </is>
      </c>
      <c r="M249" t="n">
        <v>10000160</v>
      </c>
      <c r="N249" t="inlineStr">
        <is>
          <t>Arena Triturada Andesita Malla 4</t>
        </is>
      </c>
      <c r="O249" t="inlineStr">
        <is>
          <t>D836</t>
        </is>
      </c>
      <c r="P249" t="inlineStr">
        <is>
          <t>MX-CED. CENTRO</t>
        </is>
      </c>
      <c r="Q249" t="n">
        <v>20140701</v>
      </c>
      <c r="R249" t="n">
        <v>20291231</v>
      </c>
      <c r="U249" t="n">
        <v>148.5</v>
      </c>
      <c r="V249" t="inlineStr">
        <is>
          <t>MXN</t>
        </is>
      </c>
      <c r="W249" t="inlineStr">
        <is>
          <t>M3</t>
        </is>
      </c>
      <c r="AA249" t="inlineStr">
        <is>
          <t>66372475</t>
        </is>
      </c>
      <c r="AB249" t="inlineStr">
        <is>
          <t>I. ALJUCA. (Amm)</t>
        </is>
      </c>
      <c r="AC249" t="n">
        <v>56103638</v>
      </c>
      <c r="AD249" t="n">
        <v>6622261540</v>
      </c>
      <c r="AE249" t="n">
        <v>4</v>
      </c>
      <c r="AF249" t="inlineStr">
        <is>
          <t>ENTREGA DIRECTA</t>
        </is>
      </c>
      <c r="AG249" t="n">
        <v>1.409</v>
      </c>
      <c r="AH249" t="inlineStr">
        <is>
          <t>M3</t>
        </is>
      </c>
      <c r="AI249" t="inlineStr">
        <is>
          <t>X</t>
        </is>
      </c>
      <c r="AJ249" t="n">
        <v>4</v>
      </c>
      <c r="AK249" t="inlineStr">
        <is>
          <t>V4</t>
        </is>
      </c>
      <c r="AL249" t="n">
        <v>20230920</v>
      </c>
      <c r="AM249" t="inlineStr">
        <is>
          <t>D836-900001074-66372475-10000160-4</t>
        </is>
      </c>
    </row>
    <row r="250">
      <c r="A250" t="inlineStr">
        <is>
          <t>900005356D83610200075</t>
        </is>
      </c>
      <c r="B250" t="inlineStr">
        <is>
          <t>4600039490-50</t>
        </is>
      </c>
      <c r="C250" t="n">
        <v>4600039490</v>
      </c>
      <c r="D250" t="n">
        <v>50</v>
      </c>
      <c r="E250" t="inlineStr">
        <is>
          <t>MXPO</t>
        </is>
      </c>
      <c r="F250" t="inlineStr">
        <is>
          <t>MXL</t>
        </is>
      </c>
      <c r="G250" t="n">
        <v>900005356</v>
      </c>
      <c r="H250" t="inlineStr">
        <is>
          <t>TP-TRIVOMEX RECOGIDO</t>
        </is>
      </c>
      <c r="I250" t="n">
        <v>5033501</v>
      </c>
      <c r="J250" t="inlineStr">
        <is>
          <t>TRITURADOS VOLCANICOS DE MEXICO</t>
        </is>
      </c>
      <c r="K250" t="inlineStr">
        <is>
          <t>Z04</t>
        </is>
      </c>
      <c r="L250" t="inlineStr">
        <is>
          <t>(AP) 30 Dias</t>
        </is>
      </c>
      <c r="M250" t="n">
        <v>10200075</v>
      </c>
      <c r="N250" t="inlineStr">
        <is>
          <t>TEZONTLE 15” A 10” NG</t>
        </is>
      </c>
      <c r="O250" t="inlineStr">
        <is>
          <t>D836</t>
        </is>
      </c>
      <c r="P250" t="inlineStr">
        <is>
          <t>MX-CED. CENTRO</t>
        </is>
      </c>
      <c r="Q250" t="n">
        <v>20170828</v>
      </c>
      <c r="R250" t="n">
        <v>20281231</v>
      </c>
      <c r="S250" t="n">
        <v>20210706</v>
      </c>
      <c r="T250" t="n">
        <v>20291231</v>
      </c>
      <c r="U250" t="n">
        <v>110</v>
      </c>
      <c r="V250" t="inlineStr">
        <is>
          <t>MXN</t>
        </is>
      </c>
      <c r="W250" t="inlineStr">
        <is>
          <t>M3</t>
        </is>
      </c>
      <c r="AC250" t="n">
        <v>56103637</v>
      </c>
      <c r="AD250" t="n">
        <v>6622261540</v>
      </c>
      <c r="AE250" t="n">
        <v>1</v>
      </c>
      <c r="AF250" t="inlineStr">
        <is>
          <t>ENTREGADO</t>
        </is>
      </c>
      <c r="AG250" t="n">
        <v>1.33</v>
      </c>
      <c r="AH250" t="inlineStr">
        <is>
          <t>M3</t>
        </is>
      </c>
      <c r="AI250" t="inlineStr">
        <is>
          <t>X</t>
        </is>
      </c>
      <c r="AJ250" t="n">
        <v>4</v>
      </c>
      <c r="AK250" t="inlineStr">
        <is>
          <t>V4</t>
        </is>
      </c>
      <c r="AL250" t="n">
        <v>20230920</v>
      </c>
      <c r="AM250" t="inlineStr">
        <is>
          <t>D836-900005356-10200075</t>
        </is>
      </c>
    </row>
    <row r="251">
      <c r="A251" t="inlineStr">
        <is>
          <t>900003592D83610184010</t>
        </is>
      </c>
      <c r="B251" t="inlineStr">
        <is>
          <t>4600056899-20</t>
        </is>
      </c>
      <c r="C251" t="n">
        <v>4600056899</v>
      </c>
      <c r="D251" t="n">
        <v>20</v>
      </c>
      <c r="E251" t="inlineStr">
        <is>
          <t>MXPO</t>
        </is>
      </c>
      <c r="F251" t="inlineStr">
        <is>
          <t>MXL</t>
        </is>
      </c>
      <c r="G251" t="n">
        <v>900003592</v>
      </c>
      <c r="H251" t="inlineStr">
        <is>
          <t>TP-CAL DE APASCO</t>
        </is>
      </c>
      <c r="I251" t="n">
        <v>5002762</v>
      </c>
      <c r="J251" t="inlineStr">
        <is>
          <t>CAL DE APASCO SA</t>
        </is>
      </c>
      <c r="K251" t="inlineStr">
        <is>
          <t>N60</t>
        </is>
      </c>
      <c r="L251" t="inlineStr">
        <is>
          <t>(AP) NAFIN 60 Dias</t>
        </is>
      </c>
      <c r="M251" t="n">
        <v>10184010</v>
      </c>
      <c r="N251" t="inlineStr">
        <is>
          <t>GRAVA TRITURADA CALIZA 13 MM - 1/2"</t>
        </is>
      </c>
      <c r="O251" t="inlineStr">
        <is>
          <t>D836</t>
        </is>
      </c>
      <c r="P251" t="inlineStr">
        <is>
          <t>MX-CED. CENTRO</t>
        </is>
      </c>
      <c r="Q251" t="n">
        <v>20230208</v>
      </c>
      <c r="R251" t="n">
        <v>20281231</v>
      </c>
      <c r="U251" t="n">
        <v>71</v>
      </c>
      <c r="V251" t="inlineStr">
        <is>
          <t>MXN</t>
        </is>
      </c>
      <c r="W251" t="inlineStr">
        <is>
          <t>TN</t>
        </is>
      </c>
      <c r="AC251" t="n">
        <v>56103637</v>
      </c>
      <c r="AD251" t="n">
        <v>6622261540</v>
      </c>
      <c r="AE251" t="n">
        <v>1</v>
      </c>
      <c r="AF251" t="inlineStr">
        <is>
          <t>ENTREGADO</t>
        </is>
      </c>
      <c r="AG251" t="n">
        <v>1</v>
      </c>
      <c r="AH251" t="inlineStr">
        <is>
          <t>TO</t>
        </is>
      </c>
      <c r="AI251" t="inlineStr">
        <is>
          <t>X</t>
        </is>
      </c>
      <c r="AJ251" t="n">
        <v>4</v>
      </c>
      <c r="AK251" t="inlineStr">
        <is>
          <t>V4</t>
        </is>
      </c>
      <c r="AL251" t="n">
        <v>20230920</v>
      </c>
      <c r="AM251" t="inlineStr">
        <is>
          <t>D836-900003592-10184010</t>
        </is>
      </c>
    </row>
    <row r="252">
      <c r="A252" t="inlineStr">
        <is>
          <t>900009140D8366501645110000630</t>
        </is>
      </c>
      <c r="B252" t="inlineStr">
        <is>
          <t>4600070959-200</t>
        </is>
      </c>
      <c r="C252" t="n">
        <v>4600070959</v>
      </c>
      <c r="D252" t="n">
        <v>200</v>
      </c>
      <c r="E252" t="inlineStr">
        <is>
          <t>MXPO</t>
        </is>
      </c>
      <c r="F252" t="inlineStr">
        <is>
          <t>MXL</t>
        </is>
      </c>
      <c r="G252" t="n">
        <v>900009140</v>
      </c>
      <c r="H252" t="inlineStr">
        <is>
          <t>SF TP-ED CONCRETOS Y PAVIMENTOS</t>
        </is>
      </c>
      <c r="I252" t="n">
        <v>5089601</v>
      </c>
      <c r="J252" t="inlineStr">
        <is>
          <t>CONCRETOS Y PAVIMENTOS EXTERIORES S</t>
        </is>
      </c>
      <c r="K252" t="inlineStr">
        <is>
          <t>N90</t>
        </is>
      </c>
      <c r="L252" t="inlineStr">
        <is>
          <t>(AP) NAFIN 90 Dias</t>
        </is>
      </c>
      <c r="M252" t="n">
        <v>10000630</v>
      </c>
      <c r="N252" t="inlineStr">
        <is>
          <t>Grava Triturada Caliza 13 mm - 1/2"</t>
        </is>
      </c>
      <c r="O252" t="inlineStr">
        <is>
          <t>D836</t>
        </is>
      </c>
      <c r="P252" t="inlineStr">
        <is>
          <t>MX-CED. CENTRO</t>
        </is>
      </c>
      <c r="Q252" t="n">
        <v>20250304</v>
      </c>
      <c r="R252" t="n">
        <v>20301231</v>
      </c>
      <c r="S252" t="n">
        <v>20260528</v>
      </c>
      <c r="T252" t="n">
        <v>20301231</v>
      </c>
      <c r="U252" t="n">
        <v>558.58</v>
      </c>
      <c r="V252" t="inlineStr">
        <is>
          <t>MXN</t>
        </is>
      </c>
      <c r="W252" t="inlineStr">
        <is>
          <t>M3</t>
        </is>
      </c>
      <c r="X252" t="n">
        <v>300</v>
      </c>
      <c r="Y252" t="inlineStr">
        <is>
          <t>MXN</t>
        </is>
      </c>
      <c r="Z252" t="inlineStr">
        <is>
          <t>M3</t>
        </is>
      </c>
      <c r="AA252" t="inlineStr">
        <is>
          <t>65016451</t>
        </is>
      </c>
      <c r="AB252" t="inlineStr">
        <is>
          <t>FACHADAS PREFABRICADAS SA DE CV.</t>
        </is>
      </c>
      <c r="AC252" t="n">
        <v>56103637</v>
      </c>
      <c r="AD252" t="n">
        <v>6622261540</v>
      </c>
      <c r="AE252" t="n">
        <v>4</v>
      </c>
      <c r="AF252" t="inlineStr">
        <is>
          <t>ENTREGA DIRECTA</t>
        </is>
      </c>
      <c r="AG252" t="n">
        <v>1.4</v>
      </c>
      <c r="AH252" t="inlineStr">
        <is>
          <t>M3</t>
        </is>
      </c>
      <c r="AI252" t="inlineStr">
        <is>
          <t>X</t>
        </is>
      </c>
      <c r="AJ252" t="n">
        <v>4</v>
      </c>
      <c r="AK252" t="inlineStr">
        <is>
          <t>V4</t>
        </is>
      </c>
      <c r="AL252" t="n">
        <v>20260528</v>
      </c>
      <c r="AM252" t="inlineStr">
        <is>
          <t>D836-900009140-65016451-10000630-4</t>
        </is>
      </c>
    </row>
    <row r="253">
      <c r="A253" t="inlineStr">
        <is>
          <t>900002574D8366707906010000133</t>
        </is>
      </c>
      <c r="B253" t="inlineStr">
        <is>
          <t>4600027590-2310</t>
        </is>
      </c>
      <c r="C253" t="n">
        <v>4600027590</v>
      </c>
      <c r="D253" t="n">
        <v>2310</v>
      </c>
      <c r="E253" t="inlineStr">
        <is>
          <t>MXPO</t>
        </is>
      </c>
      <c r="F253" t="inlineStr">
        <is>
          <t>M02</t>
        </is>
      </c>
      <c r="G253" t="n">
        <v>900002574</v>
      </c>
      <c r="H253" t="inlineStr">
        <is>
          <t>TP-ED-OLIELL</t>
        </is>
      </c>
      <c r="I253" t="n">
        <v>5048484</v>
      </c>
      <c r="J253" t="inlineStr">
        <is>
          <t>COMERCIALIZADORA Y TRANSPORTADORA O</t>
        </is>
      </c>
      <c r="K253" t="inlineStr">
        <is>
          <t>N90</t>
        </is>
      </c>
      <c r="L253" t="inlineStr">
        <is>
          <t>(AP) NAFIN 90 Dias</t>
        </is>
      </c>
      <c r="M253" t="n">
        <v>10000133</v>
      </c>
      <c r="N253" t="inlineStr">
        <is>
          <t>Grava Triturada Caliza 20 mm - 3/4"</t>
        </is>
      </c>
      <c r="O253" t="inlineStr">
        <is>
          <t>D836</t>
        </is>
      </c>
      <c r="P253" t="inlineStr">
        <is>
          <t>MX-CED. CENTRO</t>
        </is>
      </c>
      <c r="Q253" t="n">
        <v>20141106</v>
      </c>
      <c r="R253" t="n">
        <v>20281231</v>
      </c>
      <c r="S253" t="n">
        <v>20220629</v>
      </c>
      <c r="T253" t="n">
        <v>20271231</v>
      </c>
      <c r="U253" t="n">
        <v>576.5</v>
      </c>
      <c r="V253" t="inlineStr">
        <is>
          <t>MXN</t>
        </is>
      </c>
      <c r="W253" t="inlineStr">
        <is>
          <t>M3</t>
        </is>
      </c>
      <c r="X253" t="n">
        <v>126.5</v>
      </c>
      <c r="Y253" t="inlineStr">
        <is>
          <t>MXN</t>
        </is>
      </c>
      <c r="Z253" t="inlineStr">
        <is>
          <t>M3</t>
        </is>
      </c>
      <c r="AA253" t="inlineStr">
        <is>
          <t>67079060</t>
        </is>
      </c>
      <c r="AB253" t="inlineStr">
        <is>
          <t>AGG MICROS (EYAN)</t>
        </is>
      </c>
      <c r="AC253" t="n">
        <v>56103637</v>
      </c>
      <c r="AD253" t="n">
        <v>6622261540</v>
      </c>
      <c r="AE253" t="n">
        <v>4</v>
      </c>
      <c r="AF253" t="inlineStr">
        <is>
          <t>ENTREGA DIRECTA</t>
        </is>
      </c>
      <c r="AG253" t="n">
        <v>1.46</v>
      </c>
      <c r="AH253" t="inlineStr">
        <is>
          <t>M3</t>
        </is>
      </c>
      <c r="AI253" t="inlineStr">
        <is>
          <t>X</t>
        </is>
      </c>
      <c r="AJ253" t="n">
        <v>4</v>
      </c>
      <c r="AK253" t="inlineStr">
        <is>
          <t>V4</t>
        </is>
      </c>
      <c r="AL253" t="n">
        <v>20230920</v>
      </c>
      <c r="AM253" t="inlineStr">
        <is>
          <t>D836-900002574-67079060-10000133-4</t>
        </is>
      </c>
    </row>
    <row r="254">
      <c r="A254" t="inlineStr">
        <is>
          <t>900002574D8366698774910000623</t>
        </is>
      </c>
      <c r="B254" t="inlineStr">
        <is>
          <t>4600027590-2130</t>
        </is>
      </c>
      <c r="C254" t="n">
        <v>4600027590</v>
      </c>
      <c r="D254" t="n">
        <v>2130</v>
      </c>
      <c r="E254" t="inlineStr">
        <is>
          <t>MXPO</t>
        </is>
      </c>
      <c r="F254" t="inlineStr">
        <is>
          <t>M02</t>
        </is>
      </c>
      <c r="G254" t="n">
        <v>900002574</v>
      </c>
      <c r="H254" t="inlineStr">
        <is>
          <t>TP-ED-OLIELL</t>
        </is>
      </c>
      <c r="I254" t="n">
        <v>5048484</v>
      </c>
      <c r="J254" t="inlineStr">
        <is>
          <t>COMERCIALIZADORA Y TRANSPORTADORA O</t>
        </is>
      </c>
      <c r="K254" t="inlineStr">
        <is>
          <t>N90</t>
        </is>
      </c>
      <c r="L254" t="inlineStr">
        <is>
          <t>(AP) NAFIN 90 Dias</t>
        </is>
      </c>
      <c r="M254" t="n">
        <v>10000623</v>
      </c>
      <c r="N254" t="inlineStr">
        <is>
          <t>Grava Triturada Caliza 10 mm - 3/8"</t>
        </is>
      </c>
      <c r="O254" t="inlineStr">
        <is>
          <t>D836</t>
        </is>
      </c>
      <c r="P254" t="inlineStr">
        <is>
          <t>MX-CED. CENTRO</t>
        </is>
      </c>
      <c r="Q254" t="n">
        <v>20141106</v>
      </c>
      <c r="R254" t="n">
        <v>20281231</v>
      </c>
      <c r="S254" t="n">
        <v>20210907</v>
      </c>
      <c r="T254" t="n">
        <v>20261231</v>
      </c>
      <c r="U254" t="n">
        <v>735</v>
      </c>
      <c r="V254" t="inlineStr">
        <is>
          <t>MXN</t>
        </is>
      </c>
      <c r="W254" t="inlineStr">
        <is>
          <t>M3</t>
        </is>
      </c>
      <c r="X254" t="n">
        <v>625</v>
      </c>
      <c r="Y254" t="inlineStr">
        <is>
          <t>MXN</t>
        </is>
      </c>
      <c r="Z254" t="inlineStr">
        <is>
          <t>M3</t>
        </is>
      </c>
      <c r="AA254" t="inlineStr">
        <is>
          <t>66987749</t>
        </is>
      </c>
      <c r="AB254" t="inlineStr">
        <is>
          <t>PL Cllm Sum.  H colegio Militar E.2</t>
        </is>
      </c>
      <c r="AC254" t="n">
        <v>56103637</v>
      </c>
      <c r="AD254" t="n">
        <v>6622261540</v>
      </c>
      <c r="AE254" t="n">
        <v>4</v>
      </c>
      <c r="AF254" t="inlineStr">
        <is>
          <t>ENTREGA DIRECTA</t>
        </is>
      </c>
      <c r="AG254" t="n">
        <v>1.41</v>
      </c>
      <c r="AH254" t="inlineStr">
        <is>
          <t>M3</t>
        </is>
      </c>
      <c r="AI254" t="inlineStr">
        <is>
          <t>X</t>
        </is>
      </c>
      <c r="AJ254" t="n">
        <v>4</v>
      </c>
      <c r="AK254" t="inlineStr">
        <is>
          <t>V4</t>
        </is>
      </c>
      <c r="AL254" t="n">
        <v>20230920</v>
      </c>
      <c r="AM254" t="inlineStr">
        <is>
          <t>D836-900002574-66987749-10000623-4</t>
        </is>
      </c>
    </row>
    <row r="255">
      <c r="A255" t="inlineStr">
        <is>
          <t>900002574D8366643351110058345</t>
        </is>
      </c>
      <c r="B255" t="inlineStr">
        <is>
          <t>4600027590-2370</t>
        </is>
      </c>
      <c r="C255" t="n">
        <v>4600027590</v>
      </c>
      <c r="D255" t="n">
        <v>2370</v>
      </c>
      <c r="E255" t="inlineStr">
        <is>
          <t>MXPO</t>
        </is>
      </c>
      <c r="F255" t="inlineStr">
        <is>
          <t>M02</t>
        </is>
      </c>
      <c r="G255" t="n">
        <v>900002574</v>
      </c>
      <c r="H255" t="inlineStr">
        <is>
          <t>TP-ED-OLIELL</t>
        </is>
      </c>
      <c r="I255" t="n">
        <v>5048484</v>
      </c>
      <c r="J255" t="inlineStr">
        <is>
          <t>COMERCIALIZADORA Y TRANSPORTADORA O</t>
        </is>
      </c>
      <c r="K255" t="inlineStr">
        <is>
          <t>N90</t>
        </is>
      </c>
      <c r="L255" t="inlineStr">
        <is>
          <t>(AP) NAFIN 90 Dias</t>
        </is>
      </c>
      <c r="M255" t="n">
        <v>10058345</v>
      </c>
      <c r="N255" t="inlineStr">
        <is>
          <t>Arena Triturada Caliza Malla 4</t>
        </is>
      </c>
      <c r="O255" t="inlineStr">
        <is>
          <t>D836</t>
        </is>
      </c>
      <c r="P255" t="inlineStr">
        <is>
          <t>MX-CED. CENTRO</t>
        </is>
      </c>
      <c r="Q255" t="n">
        <v>20141106</v>
      </c>
      <c r="R255" t="n">
        <v>20281231</v>
      </c>
      <c r="S255" t="n">
        <v>20230509</v>
      </c>
      <c r="T255" t="n">
        <v>20281231</v>
      </c>
      <c r="U255" t="n">
        <v>750</v>
      </c>
      <c r="V255" t="inlineStr">
        <is>
          <t>MXN</t>
        </is>
      </c>
      <c r="W255" t="inlineStr">
        <is>
          <t>M3</t>
        </is>
      </c>
      <c r="X255" t="n">
        <v>75</v>
      </c>
      <c r="Y255" t="inlineStr">
        <is>
          <t>MXN</t>
        </is>
      </c>
      <c r="Z255" t="inlineStr">
        <is>
          <t>M3</t>
        </is>
      </c>
      <c r="AA255" t="inlineStr">
        <is>
          <t>66433511</t>
        </is>
      </c>
      <c r="AB255" t="inlineStr">
        <is>
          <t>OBRA AGR HUDASA CHILUCA</t>
        </is>
      </c>
      <c r="AC255" t="n">
        <v>56103638</v>
      </c>
      <c r="AD255" t="n">
        <v>6622261540</v>
      </c>
      <c r="AE255" t="n">
        <v>4</v>
      </c>
      <c r="AF255" t="inlineStr">
        <is>
          <t>ENTREGA DIRECTA</t>
        </is>
      </c>
      <c r="AG255" t="n">
        <v>1.575</v>
      </c>
      <c r="AH255" t="inlineStr">
        <is>
          <t>M3</t>
        </is>
      </c>
      <c r="AI255" t="inlineStr">
        <is>
          <t>X</t>
        </is>
      </c>
      <c r="AJ255" t="n">
        <v>4</v>
      </c>
      <c r="AK255" t="inlineStr">
        <is>
          <t>V4</t>
        </is>
      </c>
      <c r="AL255" t="n">
        <v>20230920</v>
      </c>
      <c r="AM255" t="inlineStr">
        <is>
          <t>D836-900002574-66433511-10058345-4</t>
        </is>
      </c>
    </row>
    <row r="256">
      <c r="A256" t="inlineStr">
        <is>
          <t>900002574D8366648605910000206</t>
        </is>
      </c>
      <c r="B256" t="inlineStr">
        <is>
          <t>4600027590-1960</t>
        </is>
      </c>
      <c r="C256" t="n">
        <v>4600027590</v>
      </c>
      <c r="D256" t="n">
        <v>1960</v>
      </c>
      <c r="E256" t="inlineStr">
        <is>
          <t>MXPO</t>
        </is>
      </c>
      <c r="F256" t="inlineStr">
        <is>
          <t>M02</t>
        </is>
      </c>
      <c r="G256" t="n">
        <v>900002574</v>
      </c>
      <c r="H256" t="inlineStr">
        <is>
          <t>TP-ED-OLIELL</t>
        </is>
      </c>
      <c r="I256" t="n">
        <v>5048484</v>
      </c>
      <c r="J256" t="inlineStr">
        <is>
          <t>COMERCIALIZADORA Y TRANSPORTADORA O</t>
        </is>
      </c>
      <c r="K256" t="inlineStr">
        <is>
          <t>N90</t>
        </is>
      </c>
      <c r="L256" t="inlineStr">
        <is>
          <t>(AP) NAFIN 90 Dias</t>
        </is>
      </c>
      <c r="M256" t="n">
        <v>10000206</v>
      </c>
      <c r="N256" t="inlineStr">
        <is>
          <t>Tepetate Triturado Tierra NA</t>
        </is>
      </c>
      <c r="O256" t="inlineStr">
        <is>
          <t>D836</t>
        </is>
      </c>
      <c r="P256" t="inlineStr">
        <is>
          <t>MX-CED. CENTRO</t>
        </is>
      </c>
      <c r="Q256" t="n">
        <v>20141106</v>
      </c>
      <c r="R256" t="n">
        <v>20281231</v>
      </c>
      <c r="S256" t="n">
        <v>20210205</v>
      </c>
      <c r="T256" t="n">
        <v>20291231</v>
      </c>
      <c r="U256" t="n">
        <v>491.38</v>
      </c>
      <c r="V256" t="inlineStr">
        <is>
          <t>MXN</t>
        </is>
      </c>
      <c r="W256" t="inlineStr">
        <is>
          <t>M3</t>
        </is>
      </c>
      <c r="X256" t="n">
        <v>477.59</v>
      </c>
      <c r="Y256" t="inlineStr">
        <is>
          <t>MXN</t>
        </is>
      </c>
      <c r="Z256" t="inlineStr">
        <is>
          <t>M3</t>
        </is>
      </c>
      <c r="AA256" t="inlineStr">
        <is>
          <t>66486059</t>
        </is>
      </c>
      <c r="AB256" t="inlineStr">
        <is>
          <t>Proveedora Matva</t>
        </is>
      </c>
      <c r="AC256" t="n">
        <v>56103695</v>
      </c>
      <c r="AD256" t="n">
        <v>6622261540</v>
      </c>
      <c r="AE256" t="n">
        <v>4</v>
      </c>
      <c r="AF256" t="inlineStr">
        <is>
          <t>ENTREGA DIRECTA</t>
        </is>
      </c>
      <c r="AG256" t="n">
        <v>1.249</v>
      </c>
      <c r="AH256" t="inlineStr">
        <is>
          <t>M3</t>
        </is>
      </c>
      <c r="AI256" t="inlineStr">
        <is>
          <t>X</t>
        </is>
      </c>
      <c r="AJ256" t="n">
        <v>4</v>
      </c>
      <c r="AK256" t="inlineStr">
        <is>
          <t>V4</t>
        </is>
      </c>
      <c r="AL256" t="n">
        <v>20230920</v>
      </c>
      <c r="AM256" t="inlineStr">
        <is>
          <t>D836-900002574-66486059-10000206-4</t>
        </is>
      </c>
    </row>
    <row r="257">
      <c r="A257" t="inlineStr">
        <is>
          <t>900002574D8366515056310000160</t>
        </is>
      </c>
      <c r="B257" t="inlineStr">
        <is>
          <t>4600027590-840</t>
        </is>
      </c>
      <c r="C257" t="n">
        <v>4600027590</v>
      </c>
      <c r="D257" t="n">
        <v>840</v>
      </c>
      <c r="E257" t="inlineStr">
        <is>
          <t>MXPO</t>
        </is>
      </c>
      <c r="F257" t="inlineStr">
        <is>
          <t>M02</t>
        </is>
      </c>
      <c r="G257" t="n">
        <v>900002574</v>
      </c>
      <c r="H257" t="inlineStr">
        <is>
          <t>TP-ED-OLIELL</t>
        </is>
      </c>
      <c r="I257" t="n">
        <v>5048484</v>
      </c>
      <c r="J257" t="inlineStr">
        <is>
          <t>COMERCIALIZADORA Y TRANSPORTADORA O</t>
        </is>
      </c>
      <c r="K257" t="inlineStr">
        <is>
          <t>N90</t>
        </is>
      </c>
      <c r="L257" t="inlineStr">
        <is>
          <t>(AP) NAFIN 90 Dias</t>
        </is>
      </c>
      <c r="M257" t="n">
        <v>10000160</v>
      </c>
      <c r="N257" t="inlineStr">
        <is>
          <t>Arena Triturada Andesita Malla 4</t>
        </is>
      </c>
      <c r="O257" t="inlineStr">
        <is>
          <t>D836</t>
        </is>
      </c>
      <c r="P257" t="inlineStr">
        <is>
          <t>MX-CED. CENTRO</t>
        </is>
      </c>
      <c r="Q257" t="n">
        <v>20141106</v>
      </c>
      <c r="R257" t="n">
        <v>20281231</v>
      </c>
      <c r="S257" t="n">
        <v>20211110</v>
      </c>
      <c r="T257" t="n">
        <v>20261231</v>
      </c>
      <c r="U257" t="n">
        <v>1090</v>
      </c>
      <c r="V257" t="inlineStr">
        <is>
          <t>MXN</t>
        </is>
      </c>
      <c r="W257" t="inlineStr">
        <is>
          <t>M3</t>
        </is>
      </c>
      <c r="X257" t="n">
        <v>720</v>
      </c>
      <c r="Y257" t="inlineStr">
        <is>
          <t>MXN</t>
        </is>
      </c>
      <c r="Z257" t="inlineStr">
        <is>
          <t>M3</t>
        </is>
      </c>
      <c r="AA257" t="inlineStr">
        <is>
          <t>65150563</t>
        </is>
      </c>
      <c r="AB257" t="inlineStr">
        <is>
          <t>AMPLIACION CEDROS</t>
        </is>
      </c>
      <c r="AC257" t="n">
        <v>56103638</v>
      </c>
      <c r="AD257" t="n">
        <v>6622261540</v>
      </c>
      <c r="AE257" t="n">
        <v>4</v>
      </c>
      <c r="AF257" t="inlineStr">
        <is>
          <t>ENTREGA DIRECTA</t>
        </is>
      </c>
      <c r="AG257" t="n">
        <v>1.409</v>
      </c>
      <c r="AH257" t="inlineStr">
        <is>
          <t>M3</t>
        </is>
      </c>
      <c r="AI257" t="inlineStr">
        <is>
          <t>X</t>
        </is>
      </c>
      <c r="AJ257" t="n">
        <v>4</v>
      </c>
      <c r="AK257" t="inlineStr">
        <is>
          <t>V4</t>
        </is>
      </c>
      <c r="AL257" t="n">
        <v>20230920</v>
      </c>
      <c r="AM257" t="inlineStr">
        <is>
          <t>D836-900002574-65150563-10000160-4</t>
        </is>
      </c>
    </row>
    <row r="258">
      <c r="A258" t="inlineStr">
        <is>
          <t>900002574D8366712121310000160</t>
        </is>
      </c>
      <c r="B258" t="inlineStr">
        <is>
          <t>4600027590-2340</t>
        </is>
      </c>
      <c r="C258" t="n">
        <v>4600027590</v>
      </c>
      <c r="D258" t="n">
        <v>2340</v>
      </c>
      <c r="E258" t="inlineStr">
        <is>
          <t>MXPO</t>
        </is>
      </c>
      <c r="F258" t="inlineStr">
        <is>
          <t>M02</t>
        </is>
      </c>
      <c r="G258" t="n">
        <v>900002574</v>
      </c>
      <c r="H258" t="inlineStr">
        <is>
          <t>TP-ED-OLIELL</t>
        </is>
      </c>
      <c r="I258" t="n">
        <v>5048484</v>
      </c>
      <c r="J258" t="inlineStr">
        <is>
          <t>COMERCIALIZADORA Y TRANSPORTADORA O</t>
        </is>
      </c>
      <c r="K258" t="inlineStr">
        <is>
          <t>N90</t>
        </is>
      </c>
      <c r="L258" t="inlineStr">
        <is>
          <t>(AP) NAFIN 90 Dias</t>
        </is>
      </c>
      <c r="M258" t="n">
        <v>10000160</v>
      </c>
      <c r="N258" t="inlineStr">
        <is>
          <t>Arena Triturada Andesita Malla 4</t>
        </is>
      </c>
      <c r="O258" t="inlineStr">
        <is>
          <t>D836</t>
        </is>
      </c>
      <c r="P258" t="inlineStr">
        <is>
          <t>MX-CED. CENTRO</t>
        </is>
      </c>
      <c r="Q258" t="n">
        <v>20141106</v>
      </c>
      <c r="R258" t="n">
        <v>20281231</v>
      </c>
      <c r="S258" t="n">
        <v>20220116</v>
      </c>
      <c r="T258" t="n">
        <v>20271231</v>
      </c>
      <c r="U258" t="n">
        <v>940</v>
      </c>
      <c r="V258" t="inlineStr">
        <is>
          <t>MXN</t>
        </is>
      </c>
      <c r="W258" t="inlineStr">
        <is>
          <t>M3</t>
        </is>
      </c>
      <c r="X258" t="n">
        <v>600</v>
      </c>
      <c r="Y258" t="inlineStr">
        <is>
          <t>MXN</t>
        </is>
      </c>
      <c r="Z258" t="inlineStr">
        <is>
          <t>M3</t>
        </is>
      </c>
      <c r="AA258" t="inlineStr">
        <is>
          <t>67121213</t>
        </is>
      </c>
      <c r="AB258" t="inlineStr">
        <is>
          <t>PANELES JUMEX</t>
        </is>
      </c>
      <c r="AC258" t="n">
        <v>56103638</v>
      </c>
      <c r="AD258" t="n">
        <v>6622261540</v>
      </c>
      <c r="AE258" t="n">
        <v>4</v>
      </c>
      <c r="AF258" t="inlineStr">
        <is>
          <t>ENTREGA DIRECTA</t>
        </is>
      </c>
      <c r="AG258" t="n">
        <v>1.409</v>
      </c>
      <c r="AH258" t="inlineStr">
        <is>
          <t>M3</t>
        </is>
      </c>
      <c r="AI258" t="inlineStr">
        <is>
          <t>X</t>
        </is>
      </c>
      <c r="AJ258" t="n">
        <v>4</v>
      </c>
      <c r="AK258" t="inlineStr">
        <is>
          <t>V4</t>
        </is>
      </c>
      <c r="AL258" t="n">
        <v>20230920</v>
      </c>
      <c r="AM258" t="inlineStr">
        <is>
          <t>D836-900002574-67121213-10000160-4</t>
        </is>
      </c>
    </row>
    <row r="259">
      <c r="A259" t="inlineStr">
        <is>
          <t>900002574D8366681118910000133</t>
        </is>
      </c>
      <c r="B259" t="inlineStr">
        <is>
          <t>4600027590-420</t>
        </is>
      </c>
      <c r="C259" t="n">
        <v>4600027590</v>
      </c>
      <c r="D259" t="n">
        <v>420</v>
      </c>
      <c r="E259" t="inlineStr">
        <is>
          <t>MXPO</t>
        </is>
      </c>
      <c r="F259" t="inlineStr">
        <is>
          <t>M02</t>
        </is>
      </c>
      <c r="G259" t="n">
        <v>900002574</v>
      </c>
      <c r="H259" t="inlineStr">
        <is>
          <t>TP-ED-OLIELL</t>
        </is>
      </c>
      <c r="I259" t="n">
        <v>5048484</v>
      </c>
      <c r="J259" t="inlineStr">
        <is>
          <t>COMERCIALIZADORA Y TRANSPORTADORA O</t>
        </is>
      </c>
      <c r="K259" t="inlineStr">
        <is>
          <t>N90</t>
        </is>
      </c>
      <c r="L259" t="inlineStr">
        <is>
          <t>(AP) NAFIN 90 Dias</t>
        </is>
      </c>
      <c r="M259" t="n">
        <v>10000133</v>
      </c>
      <c r="N259" t="inlineStr">
        <is>
          <t>Grava Triturada Caliza 20 mm - 3/4"</t>
        </is>
      </c>
      <c r="O259" t="inlineStr">
        <is>
          <t>D836</t>
        </is>
      </c>
      <c r="P259" t="inlineStr">
        <is>
          <t>MX-CED. CENTRO</t>
        </is>
      </c>
      <c r="Q259" t="n">
        <v>20141106</v>
      </c>
      <c r="R259" t="n">
        <v>20281231</v>
      </c>
      <c r="S259" t="n">
        <v>20191029</v>
      </c>
      <c r="T259" t="n">
        <v>20241231</v>
      </c>
      <c r="U259" t="n">
        <v>577</v>
      </c>
      <c r="V259" t="inlineStr">
        <is>
          <t>MXN</t>
        </is>
      </c>
      <c r="W259" t="inlineStr">
        <is>
          <t>M3</t>
        </is>
      </c>
      <c r="X259" t="n">
        <v>288.5</v>
      </c>
      <c r="Y259" t="inlineStr">
        <is>
          <t>MXN</t>
        </is>
      </c>
      <c r="Z259" t="inlineStr">
        <is>
          <t>M3</t>
        </is>
      </c>
      <c r="AA259" t="inlineStr">
        <is>
          <t>66811189</t>
        </is>
      </c>
      <c r="AB259" t="inlineStr">
        <is>
          <t>CDA SAN CARLOS</t>
        </is>
      </c>
      <c r="AC259" t="n">
        <v>56103637</v>
      </c>
      <c r="AD259" t="n">
        <v>6622261540</v>
      </c>
      <c r="AE259" t="n">
        <v>4</v>
      </c>
      <c r="AF259" t="inlineStr">
        <is>
          <t>ENTREGA DIRECTA</t>
        </is>
      </c>
      <c r="AG259" t="n">
        <v>1.46</v>
      </c>
      <c r="AH259" t="inlineStr">
        <is>
          <t>M3</t>
        </is>
      </c>
      <c r="AI259" t="inlineStr">
        <is>
          <t>X</t>
        </is>
      </c>
      <c r="AJ259" t="n">
        <v>4</v>
      </c>
      <c r="AK259" t="inlineStr">
        <is>
          <t>V4</t>
        </is>
      </c>
      <c r="AL259" t="n">
        <v>20230920</v>
      </c>
      <c r="AM259" t="inlineStr">
        <is>
          <t>D836-900002574-66811189-10000133-4</t>
        </is>
      </c>
    </row>
    <row r="260">
      <c r="A260" t="inlineStr">
        <is>
          <t>900002574D8366687550110000623</t>
        </is>
      </c>
      <c r="B260" t="inlineStr">
        <is>
          <t>4600027590-2260</t>
        </is>
      </c>
      <c r="C260" t="n">
        <v>4600027590</v>
      </c>
      <c r="D260" t="n">
        <v>2260</v>
      </c>
      <c r="E260" t="inlineStr">
        <is>
          <t>MXPO</t>
        </is>
      </c>
      <c r="F260" t="inlineStr">
        <is>
          <t>M02</t>
        </is>
      </c>
      <c r="G260" t="n">
        <v>900002574</v>
      </c>
      <c r="H260" t="inlineStr">
        <is>
          <t>TP-ED-OLIELL</t>
        </is>
      </c>
      <c r="I260" t="n">
        <v>5048484</v>
      </c>
      <c r="J260" t="inlineStr">
        <is>
          <t>COMERCIALIZADORA Y TRANSPORTADORA O</t>
        </is>
      </c>
      <c r="K260" t="inlineStr">
        <is>
          <t>N90</t>
        </is>
      </c>
      <c r="L260" t="inlineStr">
        <is>
          <t>(AP) NAFIN 90 Dias</t>
        </is>
      </c>
      <c r="M260" t="n">
        <v>10000623</v>
      </c>
      <c r="N260" t="inlineStr">
        <is>
          <t>Grava Triturada Caliza 10 mm - 3/8"</t>
        </is>
      </c>
      <c r="O260" t="inlineStr">
        <is>
          <t>D836</t>
        </is>
      </c>
      <c r="P260" t="inlineStr">
        <is>
          <t>MX-CED. CENTRO</t>
        </is>
      </c>
      <c r="Q260" t="n">
        <v>20141106</v>
      </c>
      <c r="R260" t="n">
        <v>20281231</v>
      </c>
      <c r="S260" t="n">
        <v>20220201</v>
      </c>
      <c r="T260" t="n">
        <v>20271231</v>
      </c>
      <c r="U260" t="n">
        <v>1000</v>
      </c>
      <c r="V260" t="inlineStr">
        <is>
          <t>MXN</t>
        </is>
      </c>
      <c r="W260" t="inlineStr">
        <is>
          <t>M3</t>
        </is>
      </c>
      <c r="X260" t="n">
        <v>406</v>
      </c>
      <c r="Y260" t="inlineStr">
        <is>
          <t>MXN</t>
        </is>
      </c>
      <c r="Z260" t="inlineStr">
        <is>
          <t>M3</t>
        </is>
      </c>
      <c r="AA260" t="inlineStr">
        <is>
          <t>66875501</t>
        </is>
      </c>
      <c r="AB260" t="inlineStr">
        <is>
          <t>COSTCO SANTA FE</t>
        </is>
      </c>
      <c r="AC260" t="n">
        <v>56103637</v>
      </c>
      <c r="AD260" t="n">
        <v>6622261540</v>
      </c>
      <c r="AE260" t="n">
        <v>4</v>
      </c>
      <c r="AF260" t="inlineStr">
        <is>
          <t>ENTREGA DIRECTA</t>
        </is>
      </c>
      <c r="AG260" t="n">
        <v>1.41</v>
      </c>
      <c r="AH260" t="inlineStr">
        <is>
          <t>M3</t>
        </is>
      </c>
      <c r="AI260" t="inlineStr">
        <is>
          <t>X</t>
        </is>
      </c>
      <c r="AJ260" t="n">
        <v>4</v>
      </c>
      <c r="AK260" t="inlineStr">
        <is>
          <t>V4</t>
        </is>
      </c>
      <c r="AL260" t="n">
        <v>20230920</v>
      </c>
      <c r="AM260" t="inlineStr">
        <is>
          <t>D836-900002574-66875501-10000623-4</t>
        </is>
      </c>
    </row>
    <row r="261">
      <c r="A261" t="inlineStr">
        <is>
          <t>900002574D8366682296110000160</t>
        </is>
      </c>
      <c r="B261" t="inlineStr">
        <is>
          <t>4600027590-500</t>
        </is>
      </c>
      <c r="C261" t="n">
        <v>4600027590</v>
      </c>
      <c r="D261" t="n">
        <v>500</v>
      </c>
      <c r="E261" t="inlineStr">
        <is>
          <t>MXPO</t>
        </is>
      </c>
      <c r="F261" t="inlineStr">
        <is>
          <t>M02</t>
        </is>
      </c>
      <c r="G261" t="n">
        <v>900002574</v>
      </c>
      <c r="H261" t="inlineStr">
        <is>
          <t>TP-ED-OLIELL</t>
        </is>
      </c>
      <c r="I261" t="n">
        <v>5048484</v>
      </c>
      <c r="J261" t="inlineStr">
        <is>
          <t>COMERCIALIZADORA Y TRANSPORTADORA O</t>
        </is>
      </c>
      <c r="K261" t="inlineStr">
        <is>
          <t>N90</t>
        </is>
      </c>
      <c r="L261" t="inlineStr">
        <is>
          <t>(AP) NAFIN 90 Dias</t>
        </is>
      </c>
      <c r="M261" t="n">
        <v>10000160</v>
      </c>
      <c r="N261" t="inlineStr">
        <is>
          <t>Arena Triturada Andesita Malla 4</t>
        </is>
      </c>
      <c r="O261" t="inlineStr">
        <is>
          <t>D836</t>
        </is>
      </c>
      <c r="P261" t="inlineStr">
        <is>
          <t>MX-CED. CENTRO</t>
        </is>
      </c>
      <c r="Q261" t="n">
        <v>20141106</v>
      </c>
      <c r="R261" t="n">
        <v>20281231</v>
      </c>
      <c r="S261" t="n">
        <v>20191127</v>
      </c>
      <c r="T261" t="n">
        <v>20241231</v>
      </c>
      <c r="U261" t="n">
        <v>474.13</v>
      </c>
      <c r="V261" t="inlineStr">
        <is>
          <t>MXN</t>
        </is>
      </c>
      <c r="W261" t="inlineStr">
        <is>
          <t>M3</t>
        </is>
      </c>
      <c r="X261" t="n">
        <v>237.07</v>
      </c>
      <c r="Y261" t="inlineStr">
        <is>
          <t>MXN</t>
        </is>
      </c>
      <c r="Z261" t="inlineStr">
        <is>
          <t>M3</t>
        </is>
      </c>
      <c r="AA261" t="inlineStr">
        <is>
          <t>66822961</t>
        </is>
      </c>
      <c r="AB261" t="inlineStr">
        <is>
          <t>GUSTAVO BAZ 13</t>
        </is>
      </c>
      <c r="AC261" t="n">
        <v>56103638</v>
      </c>
      <c r="AD261" t="n">
        <v>6622261540</v>
      </c>
      <c r="AE261" t="n">
        <v>4</v>
      </c>
      <c r="AF261" t="inlineStr">
        <is>
          <t>ENTREGA DIRECTA</t>
        </is>
      </c>
      <c r="AG261" t="n">
        <v>1.409</v>
      </c>
      <c r="AH261" t="inlineStr">
        <is>
          <t>M3</t>
        </is>
      </c>
      <c r="AI261" t="inlineStr">
        <is>
          <t>X</t>
        </is>
      </c>
      <c r="AJ261" t="n">
        <v>4</v>
      </c>
      <c r="AK261" t="inlineStr">
        <is>
          <t>V4</t>
        </is>
      </c>
      <c r="AL261" t="n">
        <v>20230920</v>
      </c>
      <c r="AM261" t="inlineStr">
        <is>
          <t>D836-900002574-66822961-10000160-4</t>
        </is>
      </c>
    </row>
    <row r="262">
      <c r="A262" t="inlineStr">
        <is>
          <t>900002574D8366689471110000206</t>
        </is>
      </c>
      <c r="B262" t="inlineStr">
        <is>
          <t>4600027590-1520</t>
        </is>
      </c>
      <c r="C262" t="n">
        <v>4600027590</v>
      </c>
      <c r="D262" t="n">
        <v>1520</v>
      </c>
      <c r="E262" t="inlineStr">
        <is>
          <t>MXPO</t>
        </is>
      </c>
      <c r="F262" t="inlineStr">
        <is>
          <t>M02</t>
        </is>
      </c>
      <c r="G262" t="n">
        <v>900002574</v>
      </c>
      <c r="H262" t="inlineStr">
        <is>
          <t>TP-ED-OLIELL</t>
        </is>
      </c>
      <c r="I262" t="n">
        <v>5048484</v>
      </c>
      <c r="J262" t="inlineStr">
        <is>
          <t>COMERCIALIZADORA Y TRANSPORTADORA O</t>
        </is>
      </c>
      <c r="K262" t="inlineStr">
        <is>
          <t>N90</t>
        </is>
      </c>
      <c r="L262" t="inlineStr">
        <is>
          <t>(AP) NAFIN 90 Dias</t>
        </is>
      </c>
      <c r="M262" t="n">
        <v>10000206</v>
      </c>
      <c r="N262" t="inlineStr">
        <is>
          <t>Tepetate Triturado Tierra NA</t>
        </is>
      </c>
      <c r="O262" t="inlineStr">
        <is>
          <t>D836</t>
        </is>
      </c>
      <c r="P262" t="inlineStr">
        <is>
          <t>MX-CED. CENTRO</t>
        </is>
      </c>
      <c r="Q262" t="n">
        <v>20141106</v>
      </c>
      <c r="R262" t="n">
        <v>20281231</v>
      </c>
      <c r="S262" t="n">
        <v>20200928</v>
      </c>
      <c r="T262" t="n">
        <v>20291231</v>
      </c>
      <c r="U262" t="n">
        <v>260</v>
      </c>
      <c r="V262" t="inlineStr">
        <is>
          <t>MXN</t>
        </is>
      </c>
      <c r="W262" t="inlineStr">
        <is>
          <t>M3</t>
        </is>
      </c>
      <c r="X262" t="n">
        <v>200</v>
      </c>
      <c r="Y262" t="inlineStr">
        <is>
          <t>MXN</t>
        </is>
      </c>
      <c r="Z262" t="inlineStr">
        <is>
          <t>M3</t>
        </is>
      </c>
      <c r="AA262" t="inlineStr">
        <is>
          <t>66894711</t>
        </is>
      </c>
      <c r="AB262" t="inlineStr">
        <is>
          <t>Almacen de Ayuntamiento de Tlalnepa</t>
        </is>
      </c>
      <c r="AC262" t="n">
        <v>56103695</v>
      </c>
      <c r="AD262" t="n">
        <v>6622261540</v>
      </c>
      <c r="AE262" t="n">
        <v>4</v>
      </c>
      <c r="AF262" t="inlineStr">
        <is>
          <t>ENTREGA DIRECTA</t>
        </is>
      </c>
      <c r="AG262" t="n">
        <v>1.249</v>
      </c>
      <c r="AH262" t="inlineStr">
        <is>
          <t>M3</t>
        </is>
      </c>
      <c r="AI262" t="inlineStr">
        <is>
          <t>X</t>
        </is>
      </c>
      <c r="AJ262" t="n">
        <v>4</v>
      </c>
      <c r="AK262" t="inlineStr">
        <is>
          <t>V4</t>
        </is>
      </c>
      <c r="AL262" t="n">
        <v>20230920</v>
      </c>
      <c r="AM262" t="inlineStr">
        <is>
          <t>D836-900002574-66894711-10000206-4</t>
        </is>
      </c>
    </row>
    <row r="263">
      <c r="A263" t="inlineStr">
        <is>
          <t>900002574D8366694907110000160</t>
        </is>
      </c>
      <c r="B263" t="inlineStr">
        <is>
          <t>4600027590-2020</t>
        </is>
      </c>
      <c r="C263" t="n">
        <v>4600027590</v>
      </c>
      <c r="D263" t="n">
        <v>2020</v>
      </c>
      <c r="E263" t="inlineStr">
        <is>
          <t>MXPO</t>
        </is>
      </c>
      <c r="F263" t="inlineStr">
        <is>
          <t>M02</t>
        </is>
      </c>
      <c r="G263" t="n">
        <v>900002574</v>
      </c>
      <c r="H263" t="inlineStr">
        <is>
          <t>TP-ED-OLIELL</t>
        </is>
      </c>
      <c r="I263" t="n">
        <v>5048484</v>
      </c>
      <c r="J263" t="inlineStr">
        <is>
          <t>COMERCIALIZADORA Y TRANSPORTADORA O</t>
        </is>
      </c>
      <c r="K263" t="inlineStr">
        <is>
          <t>N90</t>
        </is>
      </c>
      <c r="L263" t="inlineStr">
        <is>
          <t>(AP) NAFIN 90 Dias</t>
        </is>
      </c>
      <c r="M263" t="n">
        <v>10000160</v>
      </c>
      <c r="N263" t="inlineStr">
        <is>
          <t>Arena Triturada Andesita Malla 4</t>
        </is>
      </c>
      <c r="O263" t="inlineStr">
        <is>
          <t>D836</t>
        </is>
      </c>
      <c r="P263" t="inlineStr">
        <is>
          <t>MX-CED. CENTRO</t>
        </is>
      </c>
      <c r="Q263" t="n">
        <v>20141106</v>
      </c>
      <c r="R263" t="n">
        <v>20281231</v>
      </c>
      <c r="S263" t="n">
        <v>20210329</v>
      </c>
      <c r="T263" t="n">
        <v>20291231</v>
      </c>
      <c r="U263" t="n">
        <v>370</v>
      </c>
      <c r="V263" t="inlineStr">
        <is>
          <t>MXN</t>
        </is>
      </c>
      <c r="W263" t="inlineStr">
        <is>
          <t>M3</t>
        </is>
      </c>
      <c r="X263" t="n">
        <v>280</v>
      </c>
      <c r="Y263" t="inlineStr">
        <is>
          <t>MXN</t>
        </is>
      </c>
      <c r="Z263" t="inlineStr">
        <is>
          <t>M3</t>
        </is>
      </c>
      <c r="AA263" t="inlineStr">
        <is>
          <t>66949071</t>
        </is>
      </c>
      <c r="AB263" t="inlineStr">
        <is>
          <t>EDIFICIO SAN COSME</t>
        </is>
      </c>
      <c r="AC263" t="n">
        <v>56103638</v>
      </c>
      <c r="AD263" t="n">
        <v>6622261540</v>
      </c>
      <c r="AE263" t="n">
        <v>4</v>
      </c>
      <c r="AF263" t="inlineStr">
        <is>
          <t>ENTREGA DIRECTA</t>
        </is>
      </c>
      <c r="AG263" t="n">
        <v>1.409</v>
      </c>
      <c r="AH263" t="inlineStr">
        <is>
          <t>M3</t>
        </is>
      </c>
      <c r="AI263" t="inlineStr">
        <is>
          <t>X</t>
        </is>
      </c>
      <c r="AJ263" t="n">
        <v>4</v>
      </c>
      <c r="AK263" t="inlineStr">
        <is>
          <t>V4</t>
        </is>
      </c>
      <c r="AL263" t="n">
        <v>20230920</v>
      </c>
      <c r="AM263" t="inlineStr">
        <is>
          <t>D836-900002574-66949071-10000160-4</t>
        </is>
      </c>
    </row>
    <row r="264">
      <c r="A264" t="inlineStr">
        <is>
          <t>900002574D8366701862110000160</t>
        </is>
      </c>
      <c r="B264" t="inlineStr">
        <is>
          <t>4600027590-2190</t>
        </is>
      </c>
      <c r="C264" t="n">
        <v>4600027590</v>
      </c>
      <c r="D264" t="n">
        <v>2190</v>
      </c>
      <c r="E264" t="inlineStr">
        <is>
          <t>MXPO</t>
        </is>
      </c>
      <c r="F264" t="inlineStr">
        <is>
          <t>M02</t>
        </is>
      </c>
      <c r="G264" t="n">
        <v>900002574</v>
      </c>
      <c r="H264" t="inlineStr">
        <is>
          <t>TP-ED-OLIELL</t>
        </is>
      </c>
      <c r="I264" t="n">
        <v>5048484</v>
      </c>
      <c r="J264" t="inlineStr">
        <is>
          <t>COMERCIALIZADORA Y TRANSPORTADORA O</t>
        </is>
      </c>
      <c r="K264" t="inlineStr">
        <is>
          <t>N90</t>
        </is>
      </c>
      <c r="L264" t="inlineStr">
        <is>
          <t>(AP) NAFIN 90 Dias</t>
        </is>
      </c>
      <c r="M264" t="n">
        <v>10000160</v>
      </c>
      <c r="N264" t="inlineStr">
        <is>
          <t>Arena Triturada Andesita Malla 4</t>
        </is>
      </c>
      <c r="O264" t="inlineStr">
        <is>
          <t>D836</t>
        </is>
      </c>
      <c r="P264" t="inlineStr">
        <is>
          <t>MX-CED. CENTRO</t>
        </is>
      </c>
      <c r="Q264" t="n">
        <v>20141106</v>
      </c>
      <c r="R264" t="n">
        <v>20281231</v>
      </c>
      <c r="S264" t="n">
        <v>20211111</v>
      </c>
      <c r="T264" t="n">
        <v>20261231</v>
      </c>
      <c r="U264" t="n">
        <v>405.17</v>
      </c>
      <c r="V264" t="inlineStr">
        <is>
          <t>MXN</t>
        </is>
      </c>
      <c r="W264" t="inlineStr">
        <is>
          <t>M3</t>
        </is>
      </c>
      <c r="X264" t="n">
        <v>303</v>
      </c>
      <c r="Y264" t="inlineStr">
        <is>
          <t>MXN</t>
        </is>
      </c>
      <c r="Z264" t="inlineStr">
        <is>
          <t>M3</t>
        </is>
      </c>
      <c r="AA264" t="inlineStr">
        <is>
          <t>67018621</t>
        </is>
      </c>
      <c r="AB264" t="inlineStr">
        <is>
          <t>CALLE 13 #33</t>
        </is>
      </c>
      <c r="AC264" t="n">
        <v>56103638</v>
      </c>
      <c r="AD264" t="n">
        <v>6622261540</v>
      </c>
      <c r="AE264" t="n">
        <v>4</v>
      </c>
      <c r="AF264" t="inlineStr">
        <is>
          <t>ENTREGA DIRECTA</t>
        </is>
      </c>
      <c r="AG264" t="n">
        <v>1.409</v>
      </c>
      <c r="AH264" t="inlineStr">
        <is>
          <t>M3</t>
        </is>
      </c>
      <c r="AI264" t="inlineStr">
        <is>
          <t>X</t>
        </is>
      </c>
      <c r="AJ264" t="n">
        <v>4</v>
      </c>
      <c r="AK264" t="inlineStr">
        <is>
          <t>V4</t>
        </is>
      </c>
      <c r="AL264" t="n">
        <v>20230920</v>
      </c>
      <c r="AM264" t="inlineStr">
        <is>
          <t>D836-900002574-67018621-10000160-4</t>
        </is>
      </c>
    </row>
    <row r="265">
      <c r="A265" t="inlineStr">
        <is>
          <t>900002574D8366660801210000206</t>
        </is>
      </c>
      <c r="B265" t="inlineStr">
        <is>
          <t>4600027590-300</t>
        </is>
      </c>
      <c r="C265" t="n">
        <v>4600027590</v>
      </c>
      <c r="D265" t="n">
        <v>300</v>
      </c>
      <c r="E265" t="inlineStr">
        <is>
          <t>MXPO</t>
        </is>
      </c>
      <c r="F265" t="inlineStr">
        <is>
          <t>M02</t>
        </is>
      </c>
      <c r="G265" t="n">
        <v>900002574</v>
      </c>
      <c r="H265" t="inlineStr">
        <is>
          <t>TP-ED-OLIELL</t>
        </is>
      </c>
      <c r="I265" t="n">
        <v>5048484</v>
      </c>
      <c r="J265" t="inlineStr">
        <is>
          <t>COMERCIALIZADORA Y TRANSPORTADORA O</t>
        </is>
      </c>
      <c r="K265" t="inlineStr">
        <is>
          <t>N90</t>
        </is>
      </c>
      <c r="L265" t="inlineStr">
        <is>
          <t>(AP) NAFIN 90 Dias</t>
        </is>
      </c>
      <c r="M265" t="n">
        <v>10000206</v>
      </c>
      <c r="N265" t="inlineStr">
        <is>
          <t>Tepetate Triturado Tierra NA</t>
        </is>
      </c>
      <c r="O265" t="inlineStr">
        <is>
          <t>D836</t>
        </is>
      </c>
      <c r="P265" t="inlineStr">
        <is>
          <t>MX-CED. CENTRO</t>
        </is>
      </c>
      <c r="Q265" t="n">
        <v>20141106</v>
      </c>
      <c r="R265" t="n">
        <v>20281231</v>
      </c>
      <c r="S265" t="n">
        <v>20190925</v>
      </c>
      <c r="T265" t="n">
        <v>20241231</v>
      </c>
      <c r="U265" t="n">
        <v>318.96</v>
      </c>
      <c r="V265" t="inlineStr">
        <is>
          <t>MXN</t>
        </is>
      </c>
      <c r="W265" t="inlineStr">
        <is>
          <t>M3</t>
        </is>
      </c>
      <c r="X265" t="n">
        <v>159.48</v>
      </c>
      <c r="Y265" t="inlineStr">
        <is>
          <t>MXN</t>
        </is>
      </c>
      <c r="Z265" t="inlineStr">
        <is>
          <t>M3</t>
        </is>
      </c>
      <c r="AA265" t="inlineStr">
        <is>
          <t>66608012</t>
        </is>
      </c>
      <c r="AB265" t="inlineStr">
        <is>
          <t>LUCAS ALAMAN #50 (OMC)</t>
        </is>
      </c>
      <c r="AC265" t="n">
        <v>56103695</v>
      </c>
      <c r="AD265" t="n">
        <v>6622261540</v>
      </c>
      <c r="AE265" t="n">
        <v>4</v>
      </c>
      <c r="AF265" t="inlineStr">
        <is>
          <t>ENTREGA DIRECTA</t>
        </is>
      </c>
      <c r="AG265" t="n">
        <v>1.249</v>
      </c>
      <c r="AH265" t="inlineStr">
        <is>
          <t>M3</t>
        </is>
      </c>
      <c r="AI265" t="inlineStr">
        <is>
          <t>X</t>
        </is>
      </c>
      <c r="AJ265" t="n">
        <v>4</v>
      </c>
      <c r="AK265" t="inlineStr">
        <is>
          <t>V4</t>
        </is>
      </c>
      <c r="AL265" t="n">
        <v>20230920</v>
      </c>
      <c r="AM265" t="inlineStr">
        <is>
          <t>D836-900002574-66608012-10000206-4</t>
        </is>
      </c>
    </row>
    <row r="266">
      <c r="A266" t="inlineStr">
        <is>
          <t>900002574D8366689786710000357</t>
        </is>
      </c>
      <c r="B266" t="inlineStr">
        <is>
          <t>4600027590-1290</t>
        </is>
      </c>
      <c r="C266" t="n">
        <v>4600027590</v>
      </c>
      <c r="D266" t="n">
        <v>1290</v>
      </c>
      <c r="E266" t="inlineStr">
        <is>
          <t>MXPO</t>
        </is>
      </c>
      <c r="F266" t="inlineStr">
        <is>
          <t>M02</t>
        </is>
      </c>
      <c r="G266" t="n">
        <v>900002574</v>
      </c>
      <c r="H266" t="inlineStr">
        <is>
          <t>TP-ED-OLIELL</t>
        </is>
      </c>
      <c r="I266" t="n">
        <v>5048484</v>
      </c>
      <c r="J266" t="inlineStr">
        <is>
          <t>COMERCIALIZADORA Y TRANSPORTADORA O</t>
        </is>
      </c>
      <c r="K266" t="inlineStr">
        <is>
          <t>N90</t>
        </is>
      </c>
      <c r="L266" t="inlineStr">
        <is>
          <t>(AP) NAFIN 90 Dias</t>
        </is>
      </c>
      <c r="M266" t="n">
        <v>10000357</v>
      </c>
      <c r="N266" t="inlineStr">
        <is>
          <t>Grava Triturada Andesita 20 mm - 3/4"</t>
        </is>
      </c>
      <c r="O266" t="inlineStr">
        <is>
          <t>D836</t>
        </is>
      </c>
      <c r="P266" t="inlineStr">
        <is>
          <t>MX-CED. CENTRO</t>
        </is>
      </c>
      <c r="Q266" t="n">
        <v>20141106</v>
      </c>
      <c r="R266" t="n">
        <v>20281231</v>
      </c>
      <c r="S266" t="n">
        <v>20200928</v>
      </c>
      <c r="T266" t="n">
        <v>20291231</v>
      </c>
      <c r="U266" t="n">
        <v>502.16</v>
      </c>
      <c r="V266" t="inlineStr">
        <is>
          <t>MXN</t>
        </is>
      </c>
      <c r="W266" t="inlineStr">
        <is>
          <t>M3</t>
        </is>
      </c>
      <c r="X266" t="n">
        <v>372.92</v>
      </c>
      <c r="Y266" t="inlineStr">
        <is>
          <t>MXN</t>
        </is>
      </c>
      <c r="Z266" t="inlineStr">
        <is>
          <t>M3</t>
        </is>
      </c>
      <c r="AA266" t="inlineStr">
        <is>
          <t>66897867</t>
        </is>
      </c>
      <c r="AB266" t="inlineStr">
        <is>
          <t>LATONEROS 84</t>
        </is>
      </c>
      <c r="AC266" t="n">
        <v>56103637</v>
      </c>
      <c r="AD266" t="n">
        <v>6622261540</v>
      </c>
      <c r="AE266" t="n">
        <v>4</v>
      </c>
      <c r="AF266" t="inlineStr">
        <is>
          <t>ENTREGA DIRECTA</t>
        </is>
      </c>
      <c r="AG266" t="n">
        <v>1.326</v>
      </c>
      <c r="AH266" t="inlineStr">
        <is>
          <t>M3</t>
        </is>
      </c>
      <c r="AI266" t="inlineStr">
        <is>
          <t>X</t>
        </is>
      </c>
      <c r="AJ266" t="n">
        <v>4</v>
      </c>
      <c r="AK266" t="inlineStr">
        <is>
          <t>V4</t>
        </is>
      </c>
      <c r="AL266" t="n">
        <v>20230920</v>
      </c>
      <c r="AM266" t="inlineStr">
        <is>
          <t>D836-900002574-66897867-10000357-4</t>
        </is>
      </c>
    </row>
    <row r="267">
      <c r="A267" t="inlineStr">
        <is>
          <t>900002574D8366689934910000160</t>
        </is>
      </c>
      <c r="B267" t="inlineStr">
        <is>
          <t>4600027590-1320</t>
        </is>
      </c>
      <c r="C267" t="n">
        <v>4600027590</v>
      </c>
      <c r="D267" t="n">
        <v>1320</v>
      </c>
      <c r="E267" t="inlineStr">
        <is>
          <t>MXPO</t>
        </is>
      </c>
      <c r="F267" t="inlineStr">
        <is>
          <t>M02</t>
        </is>
      </c>
      <c r="G267" t="n">
        <v>900002574</v>
      </c>
      <c r="H267" t="inlineStr">
        <is>
          <t>TP-ED-OLIELL</t>
        </is>
      </c>
      <c r="I267" t="n">
        <v>5048484</v>
      </c>
      <c r="J267" t="inlineStr">
        <is>
          <t>COMERCIALIZADORA Y TRANSPORTADORA O</t>
        </is>
      </c>
      <c r="K267" t="inlineStr">
        <is>
          <t>N90</t>
        </is>
      </c>
      <c r="L267" t="inlineStr">
        <is>
          <t>(AP) NAFIN 90 Dias</t>
        </is>
      </c>
      <c r="M267" t="n">
        <v>10000160</v>
      </c>
      <c r="N267" t="inlineStr">
        <is>
          <t>Arena Triturada Andesita Malla 4</t>
        </is>
      </c>
      <c r="O267" t="inlineStr">
        <is>
          <t>D836</t>
        </is>
      </c>
      <c r="P267" t="inlineStr">
        <is>
          <t>MX-CED. CENTRO</t>
        </is>
      </c>
      <c r="Q267" t="n">
        <v>20141106</v>
      </c>
      <c r="R267" t="n">
        <v>20281231</v>
      </c>
      <c r="S267" t="n">
        <v>20200928</v>
      </c>
      <c r="T267" t="n">
        <v>20291231</v>
      </c>
      <c r="U267" t="n">
        <v>482.92</v>
      </c>
      <c r="V267" t="inlineStr">
        <is>
          <t>MXN</t>
        </is>
      </c>
      <c r="W267" t="inlineStr">
        <is>
          <t>M3</t>
        </is>
      </c>
      <c r="X267" t="n">
        <v>372.92</v>
      </c>
      <c r="Y267" t="inlineStr">
        <is>
          <t>MXN</t>
        </is>
      </c>
      <c r="Z267" t="inlineStr">
        <is>
          <t>M3</t>
        </is>
      </c>
      <c r="AA267" t="inlineStr">
        <is>
          <t>66899349</t>
        </is>
      </c>
      <c r="AC267" t="n">
        <v>56103638</v>
      </c>
      <c r="AD267" t="n">
        <v>6622261540</v>
      </c>
      <c r="AE267" t="n">
        <v>4</v>
      </c>
      <c r="AF267" t="inlineStr">
        <is>
          <t>ENTREGA DIRECTA</t>
        </is>
      </c>
      <c r="AG267" t="n">
        <v>1.409</v>
      </c>
      <c r="AH267" t="inlineStr">
        <is>
          <t>M3</t>
        </is>
      </c>
      <c r="AI267" t="inlineStr">
        <is>
          <t>X</t>
        </is>
      </c>
      <c r="AJ267" t="n">
        <v>4</v>
      </c>
      <c r="AK267" t="inlineStr">
        <is>
          <t>V4</t>
        </is>
      </c>
      <c r="AL267" t="n">
        <v>20230920</v>
      </c>
      <c r="AM267" t="inlineStr">
        <is>
          <t>D836-900002574-66899349-10000160-4</t>
        </is>
      </c>
    </row>
    <row r="268">
      <c r="A268" t="inlineStr">
        <is>
          <t>900002574D8366681799710000630</t>
        </is>
      </c>
      <c r="B268" t="inlineStr">
        <is>
          <t>4600027590-600</t>
        </is>
      </c>
      <c r="C268" t="n">
        <v>4600027590</v>
      </c>
      <c r="D268" t="n">
        <v>600</v>
      </c>
      <c r="E268" t="inlineStr">
        <is>
          <t>MXPO</t>
        </is>
      </c>
      <c r="F268" t="inlineStr">
        <is>
          <t>M02</t>
        </is>
      </c>
      <c r="G268" t="n">
        <v>900002574</v>
      </c>
      <c r="H268" t="inlineStr">
        <is>
          <t>TP-ED-OLIELL</t>
        </is>
      </c>
      <c r="I268" t="n">
        <v>5048484</v>
      </c>
      <c r="J268" t="inlineStr">
        <is>
          <t>COMERCIALIZADORA Y TRANSPORTADORA O</t>
        </is>
      </c>
      <c r="K268" t="inlineStr">
        <is>
          <t>N90</t>
        </is>
      </c>
      <c r="L268" t="inlineStr">
        <is>
          <t>(AP) NAFIN 90 Dias</t>
        </is>
      </c>
      <c r="M268" t="n">
        <v>10000630</v>
      </c>
      <c r="N268" t="inlineStr">
        <is>
          <t>Grava Triturada Caliza 13 mm - 1/2"</t>
        </is>
      </c>
      <c r="O268" t="inlineStr">
        <is>
          <t>D836</t>
        </is>
      </c>
      <c r="P268" t="inlineStr">
        <is>
          <t>MX-CED. CENTRO</t>
        </is>
      </c>
      <c r="Q268" t="n">
        <v>20141106</v>
      </c>
      <c r="R268" t="n">
        <v>20281231</v>
      </c>
      <c r="S268" t="n">
        <v>20191210</v>
      </c>
      <c r="T268" t="n">
        <v>20241231</v>
      </c>
      <c r="U268" t="n">
        <v>374</v>
      </c>
      <c r="V268" t="inlineStr">
        <is>
          <t>MXN</t>
        </is>
      </c>
      <c r="W268" t="inlineStr">
        <is>
          <t>M3</t>
        </is>
      </c>
      <c r="X268" t="n">
        <v>187</v>
      </c>
      <c r="Y268" t="inlineStr">
        <is>
          <t>MXN</t>
        </is>
      </c>
      <c r="Z268" t="inlineStr">
        <is>
          <t>M3</t>
        </is>
      </c>
      <c r="AA268" t="inlineStr">
        <is>
          <t>66817997</t>
        </is>
      </c>
      <c r="AB268" t="inlineStr">
        <is>
          <t>DEPTOS HOLBEIN 62</t>
        </is>
      </c>
      <c r="AC268" t="n">
        <v>56103637</v>
      </c>
      <c r="AD268" t="n">
        <v>6622261540</v>
      </c>
      <c r="AE268" t="n">
        <v>4</v>
      </c>
      <c r="AF268" t="inlineStr">
        <is>
          <t>ENTREGA DIRECTA</t>
        </is>
      </c>
      <c r="AG268" t="n">
        <v>1.4</v>
      </c>
      <c r="AH268" t="inlineStr">
        <is>
          <t>M3</t>
        </is>
      </c>
      <c r="AI268" t="inlineStr">
        <is>
          <t>X</t>
        </is>
      </c>
      <c r="AJ268" t="n">
        <v>4</v>
      </c>
      <c r="AK268" t="inlineStr">
        <is>
          <t>V4</t>
        </is>
      </c>
      <c r="AL268" t="n">
        <v>20230920</v>
      </c>
      <c r="AM268" t="inlineStr">
        <is>
          <t>D836-900002574-66817997-10000630-4</t>
        </is>
      </c>
    </row>
    <row r="269">
      <c r="A269" t="inlineStr">
        <is>
          <t>900002574D8366694907110000133</t>
        </is>
      </c>
      <c r="B269" t="inlineStr">
        <is>
          <t>4600027590-2030</t>
        </is>
      </c>
      <c r="C269" t="n">
        <v>4600027590</v>
      </c>
      <c r="D269" t="n">
        <v>2030</v>
      </c>
      <c r="E269" t="inlineStr">
        <is>
          <t>MXPO</t>
        </is>
      </c>
      <c r="F269" t="inlineStr">
        <is>
          <t>M02</t>
        </is>
      </c>
      <c r="G269" t="n">
        <v>900002574</v>
      </c>
      <c r="H269" t="inlineStr">
        <is>
          <t>TP-ED-OLIELL</t>
        </is>
      </c>
      <c r="I269" t="n">
        <v>5048484</v>
      </c>
      <c r="J269" t="inlineStr">
        <is>
          <t>COMERCIALIZADORA Y TRANSPORTADORA O</t>
        </is>
      </c>
      <c r="K269" t="inlineStr">
        <is>
          <t>N90</t>
        </is>
      </c>
      <c r="L269" t="inlineStr">
        <is>
          <t>(AP) NAFIN 90 Dias</t>
        </is>
      </c>
      <c r="M269" t="n">
        <v>10000133</v>
      </c>
      <c r="N269" t="inlineStr">
        <is>
          <t>Grava Triturada Caliza 20 mm - 3/4"</t>
        </is>
      </c>
      <c r="O269" t="inlineStr">
        <is>
          <t>D836</t>
        </is>
      </c>
      <c r="P269" t="inlineStr">
        <is>
          <t>MX-CED. CENTRO</t>
        </is>
      </c>
      <c r="Q269" t="n">
        <v>20141106</v>
      </c>
      <c r="R269" t="n">
        <v>20281231</v>
      </c>
      <c r="S269" t="n">
        <v>20210329</v>
      </c>
      <c r="T269" t="n">
        <v>20291231</v>
      </c>
      <c r="U269" t="n">
        <v>745</v>
      </c>
      <c r="V269" t="inlineStr">
        <is>
          <t>MXN</t>
        </is>
      </c>
      <c r="W269" t="inlineStr">
        <is>
          <t>M3</t>
        </is>
      </c>
      <c r="X269" t="n">
        <v>595</v>
      </c>
      <c r="Y269" t="inlineStr">
        <is>
          <t>MXN</t>
        </is>
      </c>
      <c r="Z269" t="inlineStr">
        <is>
          <t>M3</t>
        </is>
      </c>
      <c r="AA269" t="inlineStr">
        <is>
          <t>66949071</t>
        </is>
      </c>
      <c r="AB269" t="inlineStr">
        <is>
          <t>EDIFICIO SAN COSME</t>
        </is>
      </c>
      <c r="AC269" t="n">
        <v>56103637</v>
      </c>
      <c r="AD269" t="n">
        <v>6622261540</v>
      </c>
      <c r="AE269" t="n">
        <v>4</v>
      </c>
      <c r="AF269" t="inlineStr">
        <is>
          <t>ENTREGA DIRECTA</t>
        </is>
      </c>
      <c r="AG269" t="n">
        <v>1.46</v>
      </c>
      <c r="AH269" t="inlineStr">
        <is>
          <t>M3</t>
        </is>
      </c>
      <c r="AI269" t="inlineStr">
        <is>
          <t>X</t>
        </is>
      </c>
      <c r="AJ269" t="n">
        <v>4</v>
      </c>
      <c r="AK269" t="inlineStr">
        <is>
          <t>V4</t>
        </is>
      </c>
      <c r="AL269" t="n">
        <v>20230920</v>
      </c>
      <c r="AM269" t="inlineStr">
        <is>
          <t>D836-900002574-66949071-10000133-4</t>
        </is>
      </c>
    </row>
    <row r="270">
      <c r="A270" t="inlineStr">
        <is>
          <t>900002574D8366683856110000160</t>
        </is>
      </c>
      <c r="B270" t="inlineStr">
        <is>
          <t>4600027590-1910</t>
        </is>
      </c>
      <c r="C270" t="n">
        <v>4600027590</v>
      </c>
      <c r="D270" t="n">
        <v>1910</v>
      </c>
      <c r="E270" t="inlineStr">
        <is>
          <t>MXPO</t>
        </is>
      </c>
      <c r="F270" t="inlineStr">
        <is>
          <t>M02</t>
        </is>
      </c>
      <c r="G270" t="n">
        <v>900002574</v>
      </c>
      <c r="H270" t="inlineStr">
        <is>
          <t>TP-ED-OLIELL</t>
        </is>
      </c>
      <c r="I270" t="n">
        <v>5048484</v>
      </c>
      <c r="J270" t="inlineStr">
        <is>
          <t>COMERCIALIZADORA Y TRANSPORTADORA O</t>
        </is>
      </c>
      <c r="K270" t="inlineStr">
        <is>
          <t>N90</t>
        </is>
      </c>
      <c r="L270" t="inlineStr">
        <is>
          <t>(AP) NAFIN 90 Dias</t>
        </is>
      </c>
      <c r="M270" t="n">
        <v>10000160</v>
      </c>
      <c r="N270" t="inlineStr">
        <is>
          <t>Arena Triturada Andesita Malla 4</t>
        </is>
      </c>
      <c r="O270" t="inlineStr">
        <is>
          <t>D836</t>
        </is>
      </c>
      <c r="P270" t="inlineStr">
        <is>
          <t>MX-CED. CENTRO</t>
        </is>
      </c>
      <c r="Q270" t="n">
        <v>20141106</v>
      </c>
      <c r="R270" t="n">
        <v>20281231</v>
      </c>
      <c r="S270" t="n">
        <v>20201030</v>
      </c>
      <c r="T270" t="n">
        <v>20291231</v>
      </c>
      <c r="U270" t="n">
        <v>160</v>
      </c>
      <c r="V270" t="inlineStr">
        <is>
          <t>MXN</t>
        </is>
      </c>
      <c r="W270" t="inlineStr">
        <is>
          <t>M3</t>
        </is>
      </c>
      <c r="X270" t="n">
        <v>60</v>
      </c>
      <c r="Y270" t="inlineStr">
        <is>
          <t>MXN</t>
        </is>
      </c>
      <c r="Z270" t="inlineStr">
        <is>
          <t>M3</t>
        </is>
      </c>
      <c r="AA270" t="inlineStr">
        <is>
          <t>66838561</t>
        </is>
      </c>
      <c r="AB270" t="inlineStr">
        <is>
          <t>REMODELACION DE PATIO TLALPIZAHUAC</t>
        </is>
      </c>
      <c r="AC270" t="n">
        <v>56103638</v>
      </c>
      <c r="AD270" t="n">
        <v>6622261540</v>
      </c>
      <c r="AE270" t="n">
        <v>4</v>
      </c>
      <c r="AF270" t="inlineStr">
        <is>
          <t>ENTREGA DIRECTA</t>
        </is>
      </c>
      <c r="AG270" t="n">
        <v>1.409</v>
      </c>
      <c r="AH270" t="inlineStr">
        <is>
          <t>M3</t>
        </is>
      </c>
      <c r="AI270" t="inlineStr">
        <is>
          <t>X</t>
        </is>
      </c>
      <c r="AJ270" t="n">
        <v>4</v>
      </c>
      <c r="AK270" t="inlineStr">
        <is>
          <t>V4</t>
        </is>
      </c>
      <c r="AL270" t="n">
        <v>20230920</v>
      </c>
      <c r="AM270" t="inlineStr">
        <is>
          <t>D836-900002574-66838561-10000160-4</t>
        </is>
      </c>
    </row>
    <row r="271">
      <c r="A271" t="inlineStr">
        <is>
          <t>900009140D8366720863810000623</t>
        </is>
      </c>
      <c r="B271" t="inlineStr">
        <is>
          <t>4600070959-170</t>
        </is>
      </c>
      <c r="C271" t="n">
        <v>4600070959</v>
      </c>
      <c r="D271" t="n">
        <v>170</v>
      </c>
      <c r="E271" t="inlineStr">
        <is>
          <t>MXPO</t>
        </is>
      </c>
      <c r="F271" t="inlineStr">
        <is>
          <t>MXL</t>
        </is>
      </c>
      <c r="G271" t="n">
        <v>900009140</v>
      </c>
      <c r="H271" t="inlineStr">
        <is>
          <t>SF TP-ED CONCRETOS Y PAVIMENTOS</t>
        </is>
      </c>
      <c r="I271" t="n">
        <v>5089601</v>
      </c>
      <c r="J271" t="inlineStr">
        <is>
          <t>CONCRETOS Y PAVIMENTOS EXTERIORES S</t>
        </is>
      </c>
      <c r="K271" t="inlineStr">
        <is>
          <t>N90</t>
        </is>
      </c>
      <c r="L271" t="inlineStr">
        <is>
          <t>(AP) NAFIN 90 Dias</t>
        </is>
      </c>
      <c r="M271" t="n">
        <v>10000623</v>
      </c>
      <c r="N271" t="inlineStr">
        <is>
          <t>Grava Triturada Caliza 10 mm - 3/8"</t>
        </is>
      </c>
      <c r="O271" t="inlineStr">
        <is>
          <t>D836</t>
        </is>
      </c>
      <c r="P271" t="inlineStr">
        <is>
          <t>MX-CED. CENTRO</t>
        </is>
      </c>
      <c r="Q271" t="n">
        <v>20250304</v>
      </c>
      <c r="R271" t="n">
        <v>20301231</v>
      </c>
      <c r="S271" t="n">
        <v>20251127</v>
      </c>
      <c r="T271" t="n">
        <v>20301231</v>
      </c>
      <c r="U271" t="n">
        <v>355</v>
      </c>
      <c r="V271" t="inlineStr">
        <is>
          <t>MXN</t>
        </is>
      </c>
      <c r="W271" t="inlineStr">
        <is>
          <t>TN</t>
        </is>
      </c>
      <c r="X271" t="n">
        <v>200</v>
      </c>
      <c r="Y271" t="inlineStr">
        <is>
          <t>MXN</t>
        </is>
      </c>
      <c r="Z271" t="inlineStr">
        <is>
          <t>TN</t>
        </is>
      </c>
      <c r="AA271" t="inlineStr">
        <is>
          <t>67208638</t>
        </is>
      </c>
      <c r="AB271" t="inlineStr">
        <is>
          <t>GAMI Túnel Línea 12</t>
        </is>
      </c>
      <c r="AC271" t="n">
        <v>56103637</v>
      </c>
      <c r="AD271" t="n">
        <v>6622261540</v>
      </c>
      <c r="AE271" t="n">
        <v>4</v>
      </c>
      <c r="AF271" t="inlineStr">
        <is>
          <t>ENTREGA DIRECTA</t>
        </is>
      </c>
      <c r="AG271" t="n">
        <v>1</v>
      </c>
      <c r="AH271" t="inlineStr">
        <is>
          <t>TO</t>
        </is>
      </c>
      <c r="AI271" t="inlineStr">
        <is>
          <t>X</t>
        </is>
      </c>
      <c r="AJ271" t="n">
        <v>4</v>
      </c>
      <c r="AK271" t="inlineStr">
        <is>
          <t>V4</t>
        </is>
      </c>
      <c r="AL271" t="n">
        <v>20251202</v>
      </c>
      <c r="AM271" t="inlineStr">
        <is>
          <t>D836-900009140-67208638-10000623-4</t>
        </is>
      </c>
    </row>
    <row r="272">
      <c r="A272" t="inlineStr">
        <is>
          <t>900009460D83610264162</t>
        </is>
      </c>
      <c r="B272" t="inlineStr">
        <is>
          <t>4600071933-20</t>
        </is>
      </c>
      <c r="C272" t="n">
        <v>4600071933</v>
      </c>
      <c r="D272" t="n">
        <v>20</v>
      </c>
      <c r="E272" t="inlineStr">
        <is>
          <t>MXPO</t>
        </is>
      </c>
      <c r="F272" t="inlineStr">
        <is>
          <t>MXL</t>
        </is>
      </c>
      <c r="G272" t="n">
        <v>900009460</v>
      </c>
      <c r="H272" t="inlineStr">
        <is>
          <t>SF TP-PITUFOS</t>
        </is>
      </c>
      <c r="I272" t="n">
        <v>5010165</v>
      </c>
      <c r="J272" t="inlineStr">
        <is>
          <t>AGREGADOS COMO S.A. DE C.V.</t>
        </is>
      </c>
      <c r="K272" t="inlineStr">
        <is>
          <t>N60</t>
        </is>
      </c>
      <c r="L272" t="inlineStr">
        <is>
          <t>(AP) NAFIN 60 Dias</t>
        </is>
      </c>
      <c r="M272" t="n">
        <v>10264162</v>
      </c>
      <c r="N272" t="inlineStr">
        <is>
          <t>MP ARENA TRITURADA ANDESITA N° 4</t>
        </is>
      </c>
      <c r="O272" t="inlineStr">
        <is>
          <t>D836</t>
        </is>
      </c>
      <c r="P272" t="inlineStr">
        <is>
          <t>MX-CED. CENTRO</t>
        </is>
      </c>
      <c r="Q272" t="n">
        <v>20260123</v>
      </c>
      <c r="R272" t="n">
        <v>20301231</v>
      </c>
      <c r="S272" t="n">
        <v>20260417</v>
      </c>
      <c r="T272" t="n">
        <v>20301231</v>
      </c>
      <c r="U272" t="n">
        <v>115</v>
      </c>
      <c r="V272" t="inlineStr">
        <is>
          <t>MXN</t>
        </is>
      </c>
      <c r="W272" t="inlineStr">
        <is>
          <t>M3</t>
        </is>
      </c>
      <c r="X272" t="n">
        <v>0</v>
      </c>
      <c r="Y272" t="inlineStr">
        <is>
          <t>MXN</t>
        </is>
      </c>
      <c r="Z272" t="inlineStr">
        <is>
          <t>M3</t>
        </is>
      </c>
      <c r="AC272" t="n">
        <v>56103638</v>
      </c>
      <c r="AD272" t="n">
        <v>6622261540</v>
      </c>
      <c r="AE272" t="n">
        <v>1</v>
      </c>
      <c r="AF272" t="inlineStr">
        <is>
          <t>ENTREGADO</t>
        </is>
      </c>
      <c r="AG272" t="n">
        <v>1.536</v>
      </c>
      <c r="AH272" t="inlineStr">
        <is>
          <t>M3</t>
        </is>
      </c>
      <c r="AI272" t="inlineStr">
        <is>
          <t>X</t>
        </is>
      </c>
      <c r="AJ272" t="n">
        <v>4</v>
      </c>
      <c r="AK272" t="inlineStr">
        <is>
          <t>V4</t>
        </is>
      </c>
      <c r="AL272" t="n">
        <v>20260421</v>
      </c>
      <c r="AM272" t="inlineStr">
        <is>
          <t>D836-900009460-10264162</t>
        </is>
      </c>
    </row>
    <row r="273">
      <c r="A273" t="inlineStr">
        <is>
          <t>900002574D8366681575010000357</t>
        </is>
      </c>
      <c r="B273" t="inlineStr">
        <is>
          <t>4600027590-340</t>
        </is>
      </c>
      <c r="C273" t="n">
        <v>4600027590</v>
      </c>
      <c r="D273" t="n">
        <v>340</v>
      </c>
      <c r="E273" t="inlineStr">
        <is>
          <t>MXPO</t>
        </is>
      </c>
      <c r="F273" t="inlineStr">
        <is>
          <t>M02</t>
        </is>
      </c>
      <c r="G273" t="n">
        <v>900002574</v>
      </c>
      <c r="H273" t="inlineStr">
        <is>
          <t>TP-ED-OLIELL</t>
        </is>
      </c>
      <c r="I273" t="n">
        <v>5048484</v>
      </c>
      <c r="J273" t="inlineStr">
        <is>
          <t>COMERCIALIZADORA Y TRANSPORTADORA O</t>
        </is>
      </c>
      <c r="K273" t="inlineStr">
        <is>
          <t>N90</t>
        </is>
      </c>
      <c r="L273" t="inlineStr">
        <is>
          <t>(AP) NAFIN 90 Dias</t>
        </is>
      </c>
      <c r="M273" t="n">
        <v>10000357</v>
      </c>
      <c r="N273" t="inlineStr">
        <is>
          <t>Grava Triturada Andesita 20 mm - 3/4"</t>
        </is>
      </c>
      <c r="O273" t="inlineStr">
        <is>
          <t>D836</t>
        </is>
      </c>
      <c r="P273" t="inlineStr">
        <is>
          <t>MX-CED. CENTRO</t>
        </is>
      </c>
      <c r="Q273" t="n">
        <v>20141106</v>
      </c>
      <c r="R273" t="n">
        <v>20281231</v>
      </c>
      <c r="S273" t="n">
        <v>20191007</v>
      </c>
      <c r="T273" t="n">
        <v>20241231</v>
      </c>
      <c r="U273" t="n">
        <v>345</v>
      </c>
      <c r="V273" t="inlineStr">
        <is>
          <t>MXN</t>
        </is>
      </c>
      <c r="W273" t="inlineStr">
        <is>
          <t>M3</t>
        </is>
      </c>
      <c r="X273" t="n">
        <v>172.5</v>
      </c>
      <c r="Y273" t="inlineStr">
        <is>
          <t>MXN</t>
        </is>
      </c>
      <c r="Z273" t="inlineStr">
        <is>
          <t>M3</t>
        </is>
      </c>
      <c r="AA273" t="inlineStr">
        <is>
          <t>66815750</t>
        </is>
      </c>
      <c r="AB273" t="inlineStr">
        <is>
          <t>BODEGA POSTES 29 (SEBJ)</t>
        </is>
      </c>
      <c r="AC273" t="n">
        <v>56103637</v>
      </c>
      <c r="AD273" t="n">
        <v>6622261540</v>
      </c>
      <c r="AE273" t="n">
        <v>4</v>
      </c>
      <c r="AF273" t="inlineStr">
        <is>
          <t>ENTREGA DIRECTA</t>
        </is>
      </c>
      <c r="AG273" t="n">
        <v>1.326</v>
      </c>
      <c r="AH273" t="inlineStr">
        <is>
          <t>M3</t>
        </is>
      </c>
      <c r="AI273" t="inlineStr">
        <is>
          <t>X</t>
        </is>
      </c>
      <c r="AJ273" t="n">
        <v>4</v>
      </c>
      <c r="AK273" t="inlineStr">
        <is>
          <t>V4</t>
        </is>
      </c>
      <c r="AL273" t="n">
        <v>20230920</v>
      </c>
      <c r="AM273" t="inlineStr">
        <is>
          <t>D836-900002574-66815750-10000357-4</t>
        </is>
      </c>
    </row>
    <row r="274">
      <c r="A274" t="inlineStr">
        <is>
          <t>900002574D8366691209010000206</t>
        </is>
      </c>
      <c r="B274" t="inlineStr">
        <is>
          <t>4600027590-1770</t>
        </is>
      </c>
      <c r="C274" t="n">
        <v>4600027590</v>
      </c>
      <c r="D274" t="n">
        <v>1770</v>
      </c>
      <c r="E274" t="inlineStr">
        <is>
          <t>MXPO</t>
        </is>
      </c>
      <c r="F274" t="inlineStr">
        <is>
          <t>M02</t>
        </is>
      </c>
      <c r="G274" t="n">
        <v>900002574</v>
      </c>
      <c r="H274" t="inlineStr">
        <is>
          <t>TP-ED-OLIELL</t>
        </is>
      </c>
      <c r="I274" t="n">
        <v>5048484</v>
      </c>
      <c r="J274" t="inlineStr">
        <is>
          <t>COMERCIALIZADORA Y TRANSPORTADORA O</t>
        </is>
      </c>
      <c r="K274" t="inlineStr">
        <is>
          <t>N90</t>
        </is>
      </c>
      <c r="L274" t="inlineStr">
        <is>
          <t>(AP) NAFIN 90 Dias</t>
        </is>
      </c>
      <c r="M274" t="n">
        <v>10000206</v>
      </c>
      <c r="N274" t="inlineStr">
        <is>
          <t>Tepetate Triturado Tierra NA</t>
        </is>
      </c>
      <c r="O274" t="inlineStr">
        <is>
          <t>D836</t>
        </is>
      </c>
      <c r="P274" t="inlineStr">
        <is>
          <t>MX-CED. CENTRO</t>
        </is>
      </c>
      <c r="Q274" t="n">
        <v>20141106</v>
      </c>
      <c r="R274" t="n">
        <v>20281231</v>
      </c>
      <c r="S274" t="n">
        <v>20201030</v>
      </c>
      <c r="T274" t="n">
        <v>20291231</v>
      </c>
      <c r="U274" t="n">
        <v>95</v>
      </c>
      <c r="V274" t="inlineStr">
        <is>
          <t>MXN</t>
        </is>
      </c>
      <c r="W274" t="inlineStr">
        <is>
          <t>M3</t>
        </is>
      </c>
      <c r="X274" t="n">
        <v>60</v>
      </c>
      <c r="Y274" t="inlineStr">
        <is>
          <t>MXN</t>
        </is>
      </c>
      <c r="Z274" t="inlineStr">
        <is>
          <t>M3</t>
        </is>
      </c>
      <c r="AA274" t="inlineStr">
        <is>
          <t>66912090</t>
        </is>
      </c>
      <c r="AB274" t="inlineStr">
        <is>
          <t>PATIO TLALPIZAHUAC CHALCO</t>
        </is>
      </c>
      <c r="AC274" t="n">
        <v>56103695</v>
      </c>
      <c r="AD274" t="n">
        <v>6622261540</v>
      </c>
      <c r="AE274" t="n">
        <v>4</v>
      </c>
      <c r="AF274" t="inlineStr">
        <is>
          <t>ENTREGA DIRECTA</t>
        </is>
      </c>
      <c r="AG274" t="n">
        <v>1.249</v>
      </c>
      <c r="AH274" t="inlineStr">
        <is>
          <t>M3</t>
        </is>
      </c>
      <c r="AI274" t="inlineStr">
        <is>
          <t>X</t>
        </is>
      </c>
      <c r="AJ274" t="n">
        <v>4</v>
      </c>
      <c r="AK274" t="inlineStr">
        <is>
          <t>V4</t>
        </is>
      </c>
      <c r="AL274" t="n">
        <v>20230920</v>
      </c>
      <c r="AM274" t="inlineStr">
        <is>
          <t>D836-900002574-66912090-10000206-4</t>
        </is>
      </c>
    </row>
    <row r="275">
      <c r="A275" t="inlineStr">
        <is>
          <t>900002574D8366685862910000357</t>
        </is>
      </c>
      <c r="B275" t="inlineStr">
        <is>
          <t>4600027590-950</t>
        </is>
      </c>
      <c r="C275" t="n">
        <v>4600027590</v>
      </c>
      <c r="D275" t="n">
        <v>950</v>
      </c>
      <c r="E275" t="inlineStr">
        <is>
          <t>MXPO</t>
        </is>
      </c>
      <c r="F275" t="inlineStr">
        <is>
          <t>M02</t>
        </is>
      </c>
      <c r="G275" t="n">
        <v>900002574</v>
      </c>
      <c r="H275" t="inlineStr">
        <is>
          <t>TP-ED-OLIELL</t>
        </is>
      </c>
      <c r="I275" t="n">
        <v>5048484</v>
      </c>
      <c r="J275" t="inlineStr">
        <is>
          <t>COMERCIALIZADORA Y TRANSPORTADORA O</t>
        </is>
      </c>
      <c r="K275" t="inlineStr">
        <is>
          <t>N90</t>
        </is>
      </c>
      <c r="L275" t="inlineStr">
        <is>
          <t>(AP) NAFIN 90 Dias</t>
        </is>
      </c>
      <c r="M275" t="n">
        <v>10000357</v>
      </c>
      <c r="N275" t="inlineStr">
        <is>
          <t>Grava Triturada Andesita 20 mm - 3/4"</t>
        </is>
      </c>
      <c r="O275" t="inlineStr">
        <is>
          <t>D836</t>
        </is>
      </c>
      <c r="P275" t="inlineStr">
        <is>
          <t>MX-CED. CENTRO</t>
        </is>
      </c>
      <c r="Q275" t="n">
        <v>20141106</v>
      </c>
      <c r="R275" t="n">
        <v>20281231</v>
      </c>
      <c r="S275" t="n">
        <v>20200403</v>
      </c>
      <c r="T275" t="n">
        <v>20291231</v>
      </c>
      <c r="U275" t="n">
        <v>220</v>
      </c>
      <c r="V275" t="inlineStr">
        <is>
          <t>MXN</t>
        </is>
      </c>
      <c r="W275" t="inlineStr">
        <is>
          <t>M3</t>
        </is>
      </c>
      <c r="X275" t="n">
        <v>110</v>
      </c>
      <c r="Y275" t="inlineStr">
        <is>
          <t>MXN</t>
        </is>
      </c>
      <c r="Z275" t="inlineStr">
        <is>
          <t>M3</t>
        </is>
      </c>
      <c r="AA275" t="inlineStr">
        <is>
          <t>66858629</t>
        </is>
      </c>
      <c r="AB275" t="inlineStr">
        <is>
          <t>MANUEL GONZALEZ 89</t>
        </is>
      </c>
      <c r="AC275" t="n">
        <v>56103637</v>
      </c>
      <c r="AD275" t="n">
        <v>6622261540</v>
      </c>
      <c r="AE275" t="n">
        <v>4</v>
      </c>
      <c r="AF275" t="inlineStr">
        <is>
          <t>ENTREGA DIRECTA</t>
        </is>
      </c>
      <c r="AG275" t="n">
        <v>1.326</v>
      </c>
      <c r="AH275" t="inlineStr">
        <is>
          <t>M3</t>
        </is>
      </c>
      <c r="AI275" t="inlineStr">
        <is>
          <t>X</t>
        </is>
      </c>
      <c r="AJ275" t="n">
        <v>4</v>
      </c>
      <c r="AK275" t="inlineStr">
        <is>
          <t>V4</t>
        </is>
      </c>
      <c r="AL275" t="n">
        <v>20230920</v>
      </c>
      <c r="AM275" t="inlineStr">
        <is>
          <t>D836-900002574-66858629-10000357-4</t>
        </is>
      </c>
    </row>
    <row r="276">
      <c r="A276" t="inlineStr">
        <is>
          <t>900009460D83610274190</t>
        </is>
      </c>
      <c r="B276" t="inlineStr">
        <is>
          <t>4600071933-10</t>
        </is>
      </c>
      <c r="C276" t="n">
        <v>4600071933</v>
      </c>
      <c r="D276" t="n">
        <v>10</v>
      </c>
      <c r="E276" t="inlineStr">
        <is>
          <t>MXPO</t>
        </is>
      </c>
      <c r="F276" t="inlineStr">
        <is>
          <t>MXL</t>
        </is>
      </c>
      <c r="G276" t="n">
        <v>900009460</v>
      </c>
      <c r="H276" t="inlineStr">
        <is>
          <t>SF TP-PITUFOS</t>
        </is>
      </c>
      <c r="I276" t="n">
        <v>5010165</v>
      </c>
      <c r="J276" t="inlineStr">
        <is>
          <t>AGREGADOS COMO S.A. DE C.V.</t>
        </is>
      </c>
      <c r="K276" t="inlineStr">
        <is>
          <t>N60</t>
        </is>
      </c>
      <c r="L276" t="inlineStr">
        <is>
          <t>(AP) NAFIN 60 Dias</t>
        </is>
      </c>
      <c r="M276" t="n">
        <v>10274190</v>
      </c>
      <c r="N276" t="inlineStr">
        <is>
          <t>MP BASE HIDRAULICA ANDESITA 70-30</t>
        </is>
      </c>
      <c r="O276" t="inlineStr">
        <is>
          <t>D836</t>
        </is>
      </c>
      <c r="P276" t="inlineStr">
        <is>
          <t>MX-CED. CENTRO</t>
        </is>
      </c>
      <c r="Q276" t="n">
        <v>20260123</v>
      </c>
      <c r="R276" t="n">
        <v>20301231</v>
      </c>
      <c r="S276" t="n">
        <v>20260123</v>
      </c>
      <c r="T276" t="n">
        <v>20301231</v>
      </c>
      <c r="U276" t="n">
        <v>172.41</v>
      </c>
      <c r="V276" t="inlineStr">
        <is>
          <t>MXN</t>
        </is>
      </c>
      <c r="W276" t="inlineStr">
        <is>
          <t>M3</t>
        </is>
      </c>
      <c r="X276" t="n">
        <v>0</v>
      </c>
      <c r="Y276" t="inlineStr">
        <is>
          <t>MXN</t>
        </is>
      </c>
      <c r="Z276" t="inlineStr">
        <is>
          <t>M3</t>
        </is>
      </c>
      <c r="AC276" t="n">
        <v>56103590</v>
      </c>
      <c r="AD276" t="n">
        <v>6622261540</v>
      </c>
      <c r="AE276" t="n">
        <v>1</v>
      </c>
      <c r="AF276" t="inlineStr">
        <is>
          <t>ENTREGADO</t>
        </is>
      </c>
      <c r="AG276" t="n">
        <v>1.8</v>
      </c>
      <c r="AH276" t="inlineStr">
        <is>
          <t>M3</t>
        </is>
      </c>
      <c r="AI276" t="inlineStr">
        <is>
          <t>X</t>
        </is>
      </c>
      <c r="AJ276" t="n">
        <v>4</v>
      </c>
      <c r="AK276" t="inlineStr">
        <is>
          <t>V4</t>
        </is>
      </c>
      <c r="AL276" t="n">
        <v>20260127</v>
      </c>
      <c r="AM276" t="inlineStr">
        <is>
          <t>D836-900009460-10274190</t>
        </is>
      </c>
    </row>
    <row r="277">
      <c r="A277" t="inlineStr">
        <is>
          <t>900002574D8366716973410000160</t>
        </is>
      </c>
      <c r="B277" t="inlineStr">
        <is>
          <t>4600027590-2480</t>
        </is>
      </c>
      <c r="C277" t="n">
        <v>4600027590</v>
      </c>
      <c r="D277" t="n">
        <v>2480</v>
      </c>
      <c r="E277" t="inlineStr">
        <is>
          <t>MXPO</t>
        </is>
      </c>
      <c r="F277" t="inlineStr">
        <is>
          <t>M02</t>
        </is>
      </c>
      <c r="G277" t="n">
        <v>900002574</v>
      </c>
      <c r="H277" t="inlineStr">
        <is>
          <t>TP-ED-OLIELL</t>
        </is>
      </c>
      <c r="I277" t="n">
        <v>5048484</v>
      </c>
      <c r="J277" t="inlineStr">
        <is>
          <t>COMERCIALIZADORA Y TRANSPORTADORA O</t>
        </is>
      </c>
      <c r="K277" t="inlineStr">
        <is>
          <t>N90</t>
        </is>
      </c>
      <c r="L277" t="inlineStr">
        <is>
          <t>(AP) NAFIN 90 Dias</t>
        </is>
      </c>
      <c r="M277" t="n">
        <v>10000160</v>
      </c>
      <c r="N277" t="inlineStr">
        <is>
          <t>Arena Triturada Andesita Malla 4</t>
        </is>
      </c>
      <c r="O277" t="inlineStr">
        <is>
          <t>D836</t>
        </is>
      </c>
      <c r="P277" t="inlineStr">
        <is>
          <t>MX-CED. CENTRO</t>
        </is>
      </c>
      <c r="Q277" t="n">
        <v>20141106</v>
      </c>
      <c r="R277" t="n">
        <v>20281231</v>
      </c>
      <c r="S277" t="n">
        <v>20230825</v>
      </c>
      <c r="T277" t="n">
        <v>20281231</v>
      </c>
      <c r="U277" t="n">
        <v>670</v>
      </c>
      <c r="V277" t="inlineStr">
        <is>
          <t>MXN</t>
        </is>
      </c>
      <c r="W277" t="inlineStr">
        <is>
          <t>M3</t>
        </is>
      </c>
      <c r="X277" t="n">
        <v>384</v>
      </c>
      <c r="Y277" t="inlineStr">
        <is>
          <t>MXN</t>
        </is>
      </c>
      <c r="Z277" t="inlineStr">
        <is>
          <t>M3</t>
        </is>
      </c>
      <c r="AA277" t="inlineStr">
        <is>
          <t>67169734</t>
        </is>
      </c>
      <c r="AB277" t="inlineStr">
        <is>
          <t>lomas de cristo lagi</t>
        </is>
      </c>
      <c r="AC277" t="n">
        <v>56103638</v>
      </c>
      <c r="AD277" t="n">
        <v>6622261540</v>
      </c>
      <c r="AE277" t="n">
        <v>4</v>
      </c>
      <c r="AF277" t="inlineStr">
        <is>
          <t>ENTREGA DIRECTA</t>
        </is>
      </c>
      <c r="AG277" t="n">
        <v>1.409</v>
      </c>
      <c r="AH277" t="inlineStr">
        <is>
          <t>M3</t>
        </is>
      </c>
      <c r="AI277" t="inlineStr">
        <is>
          <t>X</t>
        </is>
      </c>
      <c r="AJ277" t="n">
        <v>4</v>
      </c>
      <c r="AK277" t="inlineStr">
        <is>
          <t>V4</t>
        </is>
      </c>
      <c r="AL277" t="n">
        <v>20230920</v>
      </c>
      <c r="AM277" t="inlineStr">
        <is>
          <t>D836-900002574-67169734-10000160-4</t>
        </is>
      </c>
    </row>
    <row r="278">
      <c r="A278" t="inlineStr">
        <is>
          <t>900002574D8366683068310000357</t>
        </is>
      </c>
      <c r="B278" t="inlineStr">
        <is>
          <t>4600027590-890</t>
        </is>
      </c>
      <c r="C278" t="n">
        <v>4600027590</v>
      </c>
      <c r="D278" t="n">
        <v>890</v>
      </c>
      <c r="E278" t="inlineStr">
        <is>
          <t>MXPO</t>
        </is>
      </c>
      <c r="F278" t="inlineStr">
        <is>
          <t>M02</t>
        </is>
      </c>
      <c r="G278" t="n">
        <v>900002574</v>
      </c>
      <c r="H278" t="inlineStr">
        <is>
          <t>TP-ED-OLIELL</t>
        </is>
      </c>
      <c r="I278" t="n">
        <v>5048484</v>
      </c>
      <c r="J278" t="inlineStr">
        <is>
          <t>COMERCIALIZADORA Y TRANSPORTADORA O</t>
        </is>
      </c>
      <c r="K278" t="inlineStr">
        <is>
          <t>N90</t>
        </is>
      </c>
      <c r="L278" t="inlineStr">
        <is>
          <t>(AP) NAFIN 90 Dias</t>
        </is>
      </c>
      <c r="M278" t="n">
        <v>10000357</v>
      </c>
      <c r="N278" t="inlineStr">
        <is>
          <t>Grava Triturada Andesita 20 mm - 3/4"</t>
        </is>
      </c>
      <c r="O278" t="inlineStr">
        <is>
          <t>D836</t>
        </is>
      </c>
      <c r="P278" t="inlineStr">
        <is>
          <t>MX-CED. CENTRO</t>
        </is>
      </c>
      <c r="Q278" t="n">
        <v>20141106</v>
      </c>
      <c r="R278" t="n">
        <v>20281231</v>
      </c>
      <c r="S278" t="n">
        <v>20200212</v>
      </c>
      <c r="T278" t="n">
        <v>20291231</v>
      </c>
      <c r="U278" t="n">
        <v>362.07</v>
      </c>
      <c r="V278" t="inlineStr">
        <is>
          <t>MXN</t>
        </is>
      </c>
      <c r="W278" t="inlineStr">
        <is>
          <t>M3</t>
        </is>
      </c>
      <c r="X278" t="n">
        <v>181</v>
      </c>
      <c r="Y278" t="inlineStr">
        <is>
          <t>MXN</t>
        </is>
      </c>
      <c r="Z278" t="inlineStr">
        <is>
          <t>M3</t>
        </is>
      </c>
      <c r="AA278" t="inlineStr">
        <is>
          <t>66830683</t>
        </is>
      </c>
      <c r="AB278" t="inlineStr">
        <is>
          <t>MITLA 240 (LRR)</t>
        </is>
      </c>
      <c r="AC278" t="n">
        <v>56103637</v>
      </c>
      <c r="AD278" t="n">
        <v>6622261540</v>
      </c>
      <c r="AE278" t="n">
        <v>4</v>
      </c>
      <c r="AF278" t="inlineStr">
        <is>
          <t>ENTREGA DIRECTA</t>
        </is>
      </c>
      <c r="AG278" t="n">
        <v>1.326</v>
      </c>
      <c r="AH278" t="inlineStr">
        <is>
          <t>M3</t>
        </is>
      </c>
      <c r="AI278" t="inlineStr">
        <is>
          <t>X</t>
        </is>
      </c>
      <c r="AJ278" t="n">
        <v>4</v>
      </c>
      <c r="AK278" t="inlineStr">
        <is>
          <t>V4</t>
        </is>
      </c>
      <c r="AL278" t="n">
        <v>20230920</v>
      </c>
      <c r="AM278" t="inlineStr">
        <is>
          <t>D836-900002574-66830683-10000357-4</t>
        </is>
      </c>
    </row>
    <row r="279">
      <c r="A279" t="inlineStr">
        <is>
          <t>900002574D8366682864610000357</t>
        </is>
      </c>
      <c r="B279" t="inlineStr">
        <is>
          <t>4600027590-530</t>
        </is>
      </c>
      <c r="C279" t="n">
        <v>4600027590</v>
      </c>
      <c r="D279" t="n">
        <v>530</v>
      </c>
      <c r="E279" t="inlineStr">
        <is>
          <t>MXPO</t>
        </is>
      </c>
      <c r="F279" t="inlineStr">
        <is>
          <t>M02</t>
        </is>
      </c>
      <c r="G279" t="n">
        <v>900002574</v>
      </c>
      <c r="H279" t="inlineStr">
        <is>
          <t>TP-ED-OLIELL</t>
        </is>
      </c>
      <c r="I279" t="n">
        <v>5048484</v>
      </c>
      <c r="J279" t="inlineStr">
        <is>
          <t>COMERCIALIZADORA Y TRANSPORTADORA O</t>
        </is>
      </c>
      <c r="K279" t="inlineStr">
        <is>
          <t>N90</t>
        </is>
      </c>
      <c r="L279" t="inlineStr">
        <is>
          <t>(AP) NAFIN 90 Dias</t>
        </is>
      </c>
      <c r="M279" t="n">
        <v>10000357</v>
      </c>
      <c r="N279" t="inlineStr">
        <is>
          <t>Grava Triturada Andesita 20 mm - 3/4"</t>
        </is>
      </c>
      <c r="O279" t="inlineStr">
        <is>
          <t>D836</t>
        </is>
      </c>
      <c r="P279" t="inlineStr">
        <is>
          <t>MX-CED. CENTRO</t>
        </is>
      </c>
      <c r="Q279" t="n">
        <v>20141106</v>
      </c>
      <c r="R279" t="n">
        <v>20281231</v>
      </c>
      <c r="S279" t="n">
        <v>20191129</v>
      </c>
      <c r="T279" t="n">
        <v>20241231</v>
      </c>
      <c r="U279" t="n">
        <v>310</v>
      </c>
      <c r="V279" t="inlineStr">
        <is>
          <t>MXN</t>
        </is>
      </c>
      <c r="W279" t="inlineStr">
        <is>
          <t>M3</t>
        </is>
      </c>
      <c r="X279" t="n">
        <v>155</v>
      </c>
      <c r="Y279" t="inlineStr">
        <is>
          <t>MXN</t>
        </is>
      </c>
      <c r="Z279" t="inlineStr">
        <is>
          <t>M3</t>
        </is>
      </c>
      <c r="AA279" t="inlineStr">
        <is>
          <t>66828646</t>
        </is>
      </c>
      <c r="AB279" t="inlineStr">
        <is>
          <t>TUXPAN 54</t>
        </is>
      </c>
      <c r="AC279" t="n">
        <v>56103637</v>
      </c>
      <c r="AD279" t="n">
        <v>6622261540</v>
      </c>
      <c r="AE279" t="n">
        <v>4</v>
      </c>
      <c r="AF279" t="inlineStr">
        <is>
          <t>ENTREGA DIRECTA</t>
        </is>
      </c>
      <c r="AG279" t="n">
        <v>1.326</v>
      </c>
      <c r="AH279" t="inlineStr">
        <is>
          <t>M3</t>
        </is>
      </c>
      <c r="AI279" t="inlineStr">
        <is>
          <t>X</t>
        </is>
      </c>
      <c r="AJ279" t="n">
        <v>4</v>
      </c>
      <c r="AK279" t="inlineStr">
        <is>
          <t>V4</t>
        </is>
      </c>
      <c r="AL279" t="n">
        <v>20230920</v>
      </c>
      <c r="AM279" t="inlineStr">
        <is>
          <t>D836-900002574-66828646-10000357-4</t>
        </is>
      </c>
    </row>
    <row r="280">
      <c r="A280" t="inlineStr">
        <is>
          <t>900002574D8366686047910000133</t>
        </is>
      </c>
      <c r="B280" t="inlineStr">
        <is>
          <t>4600027590-1000</t>
        </is>
      </c>
      <c r="C280" t="n">
        <v>4600027590</v>
      </c>
      <c r="D280" t="n">
        <v>1000</v>
      </c>
      <c r="E280" t="inlineStr">
        <is>
          <t>MXPO</t>
        </is>
      </c>
      <c r="F280" t="inlineStr">
        <is>
          <t>M02</t>
        </is>
      </c>
      <c r="G280" t="n">
        <v>900002574</v>
      </c>
      <c r="H280" t="inlineStr">
        <is>
          <t>TP-ED-OLIELL</t>
        </is>
      </c>
      <c r="I280" t="n">
        <v>5048484</v>
      </c>
      <c r="J280" t="inlineStr">
        <is>
          <t>COMERCIALIZADORA Y TRANSPORTADORA O</t>
        </is>
      </c>
      <c r="K280" t="inlineStr">
        <is>
          <t>N90</t>
        </is>
      </c>
      <c r="L280" t="inlineStr">
        <is>
          <t>(AP) NAFIN 90 Dias</t>
        </is>
      </c>
      <c r="M280" t="n">
        <v>10000133</v>
      </c>
      <c r="N280" t="inlineStr">
        <is>
          <t>Grava Triturada Caliza 20 mm - 3/4"</t>
        </is>
      </c>
      <c r="O280" t="inlineStr">
        <is>
          <t>D836</t>
        </is>
      </c>
      <c r="P280" t="inlineStr">
        <is>
          <t>MX-CED. CENTRO</t>
        </is>
      </c>
      <c r="Q280" t="n">
        <v>20141106</v>
      </c>
      <c r="R280" t="n">
        <v>20281231</v>
      </c>
      <c r="S280" t="n">
        <v>20200518</v>
      </c>
      <c r="T280" t="n">
        <v>20291231</v>
      </c>
      <c r="U280" t="n">
        <v>560.34</v>
      </c>
      <c r="V280" t="inlineStr">
        <is>
          <t>MXN</t>
        </is>
      </c>
      <c r="W280" t="inlineStr">
        <is>
          <t>M3</t>
        </is>
      </c>
      <c r="X280" t="n">
        <v>395</v>
      </c>
      <c r="Y280" t="inlineStr">
        <is>
          <t>MXN</t>
        </is>
      </c>
      <c r="Z280" t="inlineStr">
        <is>
          <t>M3</t>
        </is>
      </c>
      <c r="AA280" t="inlineStr">
        <is>
          <t>66860479</t>
        </is>
      </c>
      <c r="AB280" t="inlineStr">
        <is>
          <t>vivienda valle gomez</t>
        </is>
      </c>
      <c r="AC280" t="n">
        <v>56103637</v>
      </c>
      <c r="AD280" t="n">
        <v>6622261540</v>
      </c>
      <c r="AE280" t="n">
        <v>4</v>
      </c>
      <c r="AF280" t="inlineStr">
        <is>
          <t>ENTREGA DIRECTA</t>
        </is>
      </c>
      <c r="AG280" t="n">
        <v>1.46</v>
      </c>
      <c r="AH280" t="inlineStr">
        <is>
          <t>M3</t>
        </is>
      </c>
      <c r="AI280" t="inlineStr">
        <is>
          <t>X</t>
        </is>
      </c>
      <c r="AJ280" t="n">
        <v>4</v>
      </c>
      <c r="AK280" t="inlineStr">
        <is>
          <t>V4</t>
        </is>
      </c>
      <c r="AL280" t="n">
        <v>20230920</v>
      </c>
      <c r="AM280" t="inlineStr">
        <is>
          <t>D836-900002574-66860479-10000133-4</t>
        </is>
      </c>
    </row>
    <row r="281">
      <c r="A281" t="inlineStr">
        <is>
          <t>900002574D8366683765910058345</t>
        </is>
      </c>
      <c r="B281" t="inlineStr">
        <is>
          <t>4600027590-800</t>
        </is>
      </c>
      <c r="C281" t="n">
        <v>4600027590</v>
      </c>
      <c r="D281" t="n">
        <v>800</v>
      </c>
      <c r="E281" t="inlineStr">
        <is>
          <t>MXPO</t>
        </is>
      </c>
      <c r="F281" t="inlineStr">
        <is>
          <t>M02</t>
        </is>
      </c>
      <c r="G281" t="n">
        <v>900002574</v>
      </c>
      <c r="H281" t="inlineStr">
        <is>
          <t>TP-ED-OLIELL</t>
        </is>
      </c>
      <c r="I281" t="n">
        <v>5048484</v>
      </c>
      <c r="J281" t="inlineStr">
        <is>
          <t>COMERCIALIZADORA Y TRANSPORTADORA O</t>
        </is>
      </c>
      <c r="K281" t="inlineStr">
        <is>
          <t>N90</t>
        </is>
      </c>
      <c r="L281" t="inlineStr">
        <is>
          <t>(AP) NAFIN 90 Dias</t>
        </is>
      </c>
      <c r="M281" t="n">
        <v>10058345</v>
      </c>
      <c r="N281" t="inlineStr">
        <is>
          <t>Arena Triturada Caliza Malla 4</t>
        </is>
      </c>
      <c r="O281" t="inlineStr">
        <is>
          <t>D836</t>
        </is>
      </c>
      <c r="P281" t="inlineStr">
        <is>
          <t>MX-CED. CENTRO</t>
        </is>
      </c>
      <c r="Q281" t="n">
        <v>20141106</v>
      </c>
      <c r="R281" t="n">
        <v>20281231</v>
      </c>
      <c r="S281" t="n">
        <v>20200225</v>
      </c>
      <c r="T281" t="n">
        <v>20291231</v>
      </c>
      <c r="U281" t="n">
        <v>310</v>
      </c>
      <c r="V281" t="inlineStr">
        <is>
          <t>MXN</t>
        </is>
      </c>
      <c r="W281" t="inlineStr">
        <is>
          <t>M3</t>
        </is>
      </c>
      <c r="X281" t="n">
        <v>155</v>
      </c>
      <c r="Y281" t="inlineStr">
        <is>
          <t>MXN</t>
        </is>
      </c>
      <c r="Z281" t="inlineStr">
        <is>
          <t>M3</t>
        </is>
      </c>
      <c r="AA281" t="inlineStr">
        <is>
          <t>66837659</t>
        </is>
      </c>
      <c r="AB281" t="inlineStr">
        <is>
          <t>PILARES DPTVO PELON OSUNA</t>
        </is>
      </c>
      <c r="AC281" t="n">
        <v>56103638</v>
      </c>
      <c r="AD281" t="n">
        <v>6622261540</v>
      </c>
      <c r="AE281" t="n">
        <v>4</v>
      </c>
      <c r="AF281" t="inlineStr">
        <is>
          <t>ENTREGA DIRECTA</t>
        </is>
      </c>
      <c r="AG281" t="n">
        <v>1.575</v>
      </c>
      <c r="AH281" t="inlineStr">
        <is>
          <t>M3</t>
        </is>
      </c>
      <c r="AI281" t="inlineStr">
        <is>
          <t>X</t>
        </is>
      </c>
      <c r="AJ281" t="n">
        <v>4</v>
      </c>
      <c r="AK281" t="inlineStr">
        <is>
          <t>V4</t>
        </is>
      </c>
      <c r="AL281" t="n">
        <v>20230920</v>
      </c>
      <c r="AM281" t="inlineStr">
        <is>
          <t>D836-900002574-66837659-10058345-4</t>
        </is>
      </c>
    </row>
    <row r="282">
      <c r="A282" t="inlineStr">
        <is>
          <t>900002574D8366685641510000357</t>
        </is>
      </c>
      <c r="B282" t="inlineStr">
        <is>
          <t>4600027590-1640</t>
        </is>
      </c>
      <c r="C282" t="n">
        <v>4600027590</v>
      </c>
      <c r="D282" t="n">
        <v>1640</v>
      </c>
      <c r="E282" t="inlineStr">
        <is>
          <t>MXPO</t>
        </is>
      </c>
      <c r="F282" t="inlineStr">
        <is>
          <t>M02</t>
        </is>
      </c>
      <c r="G282" t="n">
        <v>900002574</v>
      </c>
      <c r="H282" t="inlineStr">
        <is>
          <t>TP-ED-OLIELL</t>
        </is>
      </c>
      <c r="I282" t="n">
        <v>5048484</v>
      </c>
      <c r="J282" t="inlineStr">
        <is>
          <t>COMERCIALIZADORA Y TRANSPORTADORA O</t>
        </is>
      </c>
      <c r="K282" t="inlineStr">
        <is>
          <t>N90</t>
        </is>
      </c>
      <c r="L282" t="inlineStr">
        <is>
          <t>(AP) NAFIN 90 Dias</t>
        </is>
      </c>
      <c r="M282" t="n">
        <v>10000357</v>
      </c>
      <c r="N282" t="inlineStr">
        <is>
          <t>Grava Triturada Andesita 20 mm - 3/4"</t>
        </is>
      </c>
      <c r="O282" t="inlineStr">
        <is>
          <t>D836</t>
        </is>
      </c>
      <c r="P282" t="inlineStr">
        <is>
          <t>MX-CED. CENTRO</t>
        </is>
      </c>
      <c r="Q282" t="n">
        <v>20141106</v>
      </c>
      <c r="R282" t="n">
        <v>20281231</v>
      </c>
      <c r="S282" t="n">
        <v>20201021</v>
      </c>
      <c r="T282" t="n">
        <v>20291231</v>
      </c>
      <c r="U282" t="n">
        <v>383.62</v>
      </c>
      <c r="V282" t="inlineStr">
        <is>
          <t>MXN</t>
        </is>
      </c>
      <c r="W282" t="inlineStr">
        <is>
          <t>M3</t>
        </is>
      </c>
      <c r="X282" t="n">
        <v>266.38</v>
      </c>
      <c r="Y282" t="inlineStr">
        <is>
          <t>MXN</t>
        </is>
      </c>
      <c r="Z282" t="inlineStr">
        <is>
          <t>M3</t>
        </is>
      </c>
      <c r="AA282" t="inlineStr">
        <is>
          <t>66856415</t>
        </is>
      </c>
      <c r="AB282" t="inlineStr">
        <is>
          <t>TESOREROS 37</t>
        </is>
      </c>
      <c r="AC282" t="n">
        <v>56103637</v>
      </c>
      <c r="AD282" t="n">
        <v>6622261540</v>
      </c>
      <c r="AE282" t="n">
        <v>4</v>
      </c>
      <c r="AF282" t="inlineStr">
        <is>
          <t>ENTREGA DIRECTA</t>
        </is>
      </c>
      <c r="AG282" t="n">
        <v>1.326</v>
      </c>
      <c r="AH282" t="inlineStr">
        <is>
          <t>M3</t>
        </is>
      </c>
      <c r="AI282" t="inlineStr">
        <is>
          <t>X</t>
        </is>
      </c>
      <c r="AJ282" t="n">
        <v>4</v>
      </c>
      <c r="AK282" t="inlineStr">
        <is>
          <t>V4</t>
        </is>
      </c>
      <c r="AL282" t="n">
        <v>20230920</v>
      </c>
      <c r="AM282" t="inlineStr">
        <is>
          <t>D836-900002574-66856415-10000357-4</t>
        </is>
      </c>
    </row>
    <row r="283">
      <c r="A283" t="inlineStr">
        <is>
          <t>900002574D8366687339010000649</t>
        </is>
      </c>
      <c r="B283" t="inlineStr">
        <is>
          <t>4600027590-1080</t>
        </is>
      </c>
      <c r="C283" t="n">
        <v>4600027590</v>
      </c>
      <c r="D283" t="n">
        <v>1080</v>
      </c>
      <c r="E283" t="inlineStr">
        <is>
          <t>MXPO</t>
        </is>
      </c>
      <c r="F283" t="inlineStr">
        <is>
          <t>M02</t>
        </is>
      </c>
      <c r="G283" t="n">
        <v>900002574</v>
      </c>
      <c r="H283" t="inlineStr">
        <is>
          <t>TP-ED-OLIELL</t>
        </is>
      </c>
      <c r="I283" t="n">
        <v>5048484</v>
      </c>
      <c r="J283" t="inlineStr">
        <is>
          <t>COMERCIALIZADORA Y TRANSPORTADORA O</t>
        </is>
      </c>
      <c r="K283" t="inlineStr">
        <is>
          <t>N90</t>
        </is>
      </c>
      <c r="L283" t="inlineStr">
        <is>
          <t>(AP) NAFIN 90 Dias</t>
        </is>
      </c>
      <c r="M283" t="n">
        <v>10000649</v>
      </c>
      <c r="N283" t="inlineStr">
        <is>
          <t>Grava Triturada Andesita 10 mm - 3/8"</t>
        </is>
      </c>
      <c r="O283" t="inlineStr">
        <is>
          <t>D836</t>
        </is>
      </c>
      <c r="P283" t="inlineStr">
        <is>
          <t>MX-CED. CENTRO</t>
        </is>
      </c>
      <c r="Q283" t="n">
        <v>20141106</v>
      </c>
      <c r="R283" t="n">
        <v>20281231</v>
      </c>
      <c r="S283" t="n">
        <v>20200630</v>
      </c>
      <c r="T283" t="n">
        <v>20291231</v>
      </c>
      <c r="U283" t="n">
        <v>368.6</v>
      </c>
      <c r="V283" t="inlineStr">
        <is>
          <t>MXN</t>
        </is>
      </c>
      <c r="W283" t="inlineStr">
        <is>
          <t>M3</t>
        </is>
      </c>
      <c r="X283" t="n">
        <v>230</v>
      </c>
      <c r="Y283" t="inlineStr">
        <is>
          <t>MXN</t>
        </is>
      </c>
      <c r="Z283" t="inlineStr">
        <is>
          <t>M3</t>
        </is>
      </c>
      <c r="AA283" t="inlineStr">
        <is>
          <t>66873390</t>
        </is>
      </c>
      <c r="AB283" t="inlineStr">
        <is>
          <t>PCO AMORES 1126</t>
        </is>
      </c>
      <c r="AC283" t="n">
        <v>56103637</v>
      </c>
      <c r="AD283" t="n">
        <v>6622261540</v>
      </c>
      <c r="AE283" t="n">
        <v>4</v>
      </c>
      <c r="AF283" t="inlineStr">
        <is>
          <t>ENTREGA DIRECTA</t>
        </is>
      </c>
      <c r="AG283" t="n">
        <v>1.315</v>
      </c>
      <c r="AH283" t="inlineStr">
        <is>
          <t>M3</t>
        </is>
      </c>
      <c r="AI283" t="inlineStr">
        <is>
          <t>X</t>
        </is>
      </c>
      <c r="AJ283" t="n">
        <v>4</v>
      </c>
      <c r="AK283" t="inlineStr">
        <is>
          <t>V4</t>
        </is>
      </c>
      <c r="AL283" t="n">
        <v>20230920</v>
      </c>
      <c r="AM283" t="inlineStr">
        <is>
          <t>D836-900002574-66873390-10000649-4</t>
        </is>
      </c>
    </row>
    <row r="284">
      <c r="A284" t="inlineStr">
        <is>
          <t>900002574D8366680567010000160</t>
        </is>
      </c>
      <c r="B284" t="inlineStr">
        <is>
          <t>4600027590-280</t>
        </is>
      </c>
      <c r="C284" t="n">
        <v>4600027590</v>
      </c>
      <c r="D284" t="n">
        <v>280</v>
      </c>
      <c r="E284" t="inlineStr">
        <is>
          <t>MXPO</t>
        </is>
      </c>
      <c r="F284" t="inlineStr">
        <is>
          <t>M02</t>
        </is>
      </c>
      <c r="G284" t="n">
        <v>900002574</v>
      </c>
      <c r="H284" t="inlineStr">
        <is>
          <t>TP-ED-OLIELL</t>
        </is>
      </c>
      <c r="I284" t="n">
        <v>5048484</v>
      </c>
      <c r="J284" t="inlineStr">
        <is>
          <t>COMERCIALIZADORA Y TRANSPORTADORA O</t>
        </is>
      </c>
      <c r="K284" t="inlineStr">
        <is>
          <t>N90</t>
        </is>
      </c>
      <c r="L284" t="inlineStr">
        <is>
          <t>(AP) NAFIN 90 Dias</t>
        </is>
      </c>
      <c r="M284" t="n">
        <v>10000160</v>
      </c>
      <c r="N284" t="inlineStr">
        <is>
          <t>Arena Triturada Andesita Malla 4</t>
        </is>
      </c>
      <c r="O284" t="inlineStr">
        <is>
          <t>D836</t>
        </is>
      </c>
      <c r="P284" t="inlineStr">
        <is>
          <t>MX-CED. CENTRO</t>
        </is>
      </c>
      <c r="Q284" t="n">
        <v>20141106</v>
      </c>
      <c r="R284" t="n">
        <v>20281231</v>
      </c>
      <c r="S284" t="n">
        <v>20190920</v>
      </c>
      <c r="T284" t="n">
        <v>20241231</v>
      </c>
      <c r="U284" t="n">
        <v>165</v>
      </c>
      <c r="V284" t="inlineStr">
        <is>
          <t>MXN</t>
        </is>
      </c>
      <c r="W284" t="inlineStr">
        <is>
          <t>M3</t>
        </is>
      </c>
      <c r="X284" t="n">
        <v>82.5</v>
      </c>
      <c r="Y284" t="inlineStr">
        <is>
          <t>MXN</t>
        </is>
      </c>
      <c r="Z284" t="inlineStr">
        <is>
          <t>M3</t>
        </is>
      </c>
      <c r="AA284" t="inlineStr">
        <is>
          <t>66805670</t>
        </is>
      </c>
      <c r="AB284" t="inlineStr">
        <is>
          <t>OLLM  SUMINISTRO AV LEIJA SEVIILA</t>
        </is>
      </c>
      <c r="AC284" t="n">
        <v>56103638</v>
      </c>
      <c r="AD284" t="n">
        <v>6622261540</v>
      </c>
      <c r="AE284" t="n">
        <v>4</v>
      </c>
      <c r="AF284" t="inlineStr">
        <is>
          <t>ENTREGA DIRECTA</t>
        </is>
      </c>
      <c r="AG284" t="n">
        <v>1.409</v>
      </c>
      <c r="AH284" t="inlineStr">
        <is>
          <t>M3</t>
        </is>
      </c>
      <c r="AI284" t="inlineStr">
        <is>
          <t>X</t>
        </is>
      </c>
      <c r="AJ284" t="n">
        <v>4</v>
      </c>
      <c r="AK284" t="inlineStr">
        <is>
          <t>V4</t>
        </is>
      </c>
      <c r="AL284" t="n">
        <v>20230920</v>
      </c>
      <c r="AM284" t="inlineStr">
        <is>
          <t>D836-900002574-66805670-10000160-4</t>
        </is>
      </c>
    </row>
    <row r="285">
      <c r="A285" t="inlineStr">
        <is>
          <t>900002574D8366681236310000357</t>
        </is>
      </c>
      <c r="B285" t="inlineStr">
        <is>
          <t>4600027590-380</t>
        </is>
      </c>
      <c r="C285" t="n">
        <v>4600027590</v>
      </c>
      <c r="D285" t="n">
        <v>380</v>
      </c>
      <c r="E285" t="inlineStr">
        <is>
          <t>MXPO</t>
        </is>
      </c>
      <c r="F285" t="inlineStr">
        <is>
          <t>M02</t>
        </is>
      </c>
      <c r="G285" t="n">
        <v>900002574</v>
      </c>
      <c r="H285" t="inlineStr">
        <is>
          <t>TP-ED-OLIELL</t>
        </is>
      </c>
      <c r="I285" t="n">
        <v>5048484</v>
      </c>
      <c r="J285" t="inlineStr">
        <is>
          <t>COMERCIALIZADORA Y TRANSPORTADORA O</t>
        </is>
      </c>
      <c r="K285" t="inlineStr">
        <is>
          <t>N90</t>
        </is>
      </c>
      <c r="L285" t="inlineStr">
        <is>
          <t>(AP) NAFIN 90 Dias</t>
        </is>
      </c>
      <c r="M285" t="n">
        <v>10000357</v>
      </c>
      <c r="N285" t="inlineStr">
        <is>
          <t>Grava Triturada Andesita 20 mm - 3/4"</t>
        </is>
      </c>
      <c r="O285" t="inlineStr">
        <is>
          <t>D836</t>
        </is>
      </c>
      <c r="P285" t="inlineStr">
        <is>
          <t>MX-CED. CENTRO</t>
        </is>
      </c>
      <c r="Q285" t="n">
        <v>20141106</v>
      </c>
      <c r="R285" t="n">
        <v>20281231</v>
      </c>
      <c r="S285" t="n">
        <v>20191008</v>
      </c>
      <c r="T285" t="n">
        <v>20241231</v>
      </c>
      <c r="U285" t="n">
        <v>527</v>
      </c>
      <c r="V285" t="inlineStr">
        <is>
          <t>MXN</t>
        </is>
      </c>
      <c r="W285" t="inlineStr">
        <is>
          <t>M3</t>
        </is>
      </c>
      <c r="X285" t="n">
        <v>263.5</v>
      </c>
      <c r="Y285" t="inlineStr">
        <is>
          <t>MXN</t>
        </is>
      </c>
      <c r="Z285" t="inlineStr">
        <is>
          <t>M3</t>
        </is>
      </c>
      <c r="AA285" t="inlineStr">
        <is>
          <t>66812363</t>
        </is>
      </c>
      <c r="AB285" t="inlineStr">
        <is>
          <t>PRIMARIA INDEPENDENCIA QUATTRO</t>
        </is>
      </c>
      <c r="AC285" t="n">
        <v>56103637</v>
      </c>
      <c r="AD285" t="n">
        <v>6622261540</v>
      </c>
      <c r="AE285" t="n">
        <v>4</v>
      </c>
      <c r="AF285" t="inlineStr">
        <is>
          <t>ENTREGA DIRECTA</t>
        </is>
      </c>
      <c r="AG285" t="n">
        <v>1.326</v>
      </c>
      <c r="AH285" t="inlineStr">
        <is>
          <t>M3</t>
        </is>
      </c>
      <c r="AI285" t="inlineStr">
        <is>
          <t>X</t>
        </is>
      </c>
      <c r="AJ285" t="n">
        <v>4</v>
      </c>
      <c r="AK285" t="inlineStr">
        <is>
          <t>V4</t>
        </is>
      </c>
      <c r="AL285" t="n">
        <v>20230920</v>
      </c>
      <c r="AM285" t="inlineStr">
        <is>
          <t>D836-900002574-66812363-10000357-4</t>
        </is>
      </c>
    </row>
    <row r="286">
      <c r="A286" t="inlineStr">
        <is>
          <t>900002574D8366683796410000160</t>
        </is>
      </c>
      <c r="B286" t="inlineStr">
        <is>
          <t>4600027590-670</t>
        </is>
      </c>
      <c r="C286" t="n">
        <v>4600027590</v>
      </c>
      <c r="D286" t="n">
        <v>670</v>
      </c>
      <c r="E286" t="inlineStr">
        <is>
          <t>MXPO</t>
        </is>
      </c>
      <c r="F286" t="inlineStr">
        <is>
          <t>M02</t>
        </is>
      </c>
      <c r="G286" t="n">
        <v>900002574</v>
      </c>
      <c r="H286" t="inlineStr">
        <is>
          <t>TP-ED-OLIELL</t>
        </is>
      </c>
      <c r="I286" t="n">
        <v>5048484</v>
      </c>
      <c r="J286" t="inlineStr">
        <is>
          <t>COMERCIALIZADORA Y TRANSPORTADORA O</t>
        </is>
      </c>
      <c r="K286" t="inlineStr">
        <is>
          <t>N90</t>
        </is>
      </c>
      <c r="L286" t="inlineStr">
        <is>
          <t>(AP) NAFIN 90 Dias</t>
        </is>
      </c>
      <c r="M286" t="n">
        <v>10000160</v>
      </c>
      <c r="N286" t="inlineStr">
        <is>
          <t>Arena Triturada Andesita Malla 4</t>
        </is>
      </c>
      <c r="O286" t="inlineStr">
        <is>
          <t>D836</t>
        </is>
      </c>
      <c r="P286" t="inlineStr">
        <is>
          <t>MX-CED. CENTRO</t>
        </is>
      </c>
      <c r="Q286" t="n">
        <v>20141106</v>
      </c>
      <c r="R286" t="n">
        <v>20281231</v>
      </c>
      <c r="S286" t="n">
        <v>20191226</v>
      </c>
      <c r="T286" t="n">
        <v>20241231</v>
      </c>
      <c r="U286" t="n">
        <v>344.82</v>
      </c>
      <c r="V286" t="inlineStr">
        <is>
          <t>MXN</t>
        </is>
      </c>
      <c r="W286" t="inlineStr">
        <is>
          <t>M3</t>
        </is>
      </c>
      <c r="X286" t="n">
        <v>172.41</v>
      </c>
      <c r="Y286" t="inlineStr">
        <is>
          <t>MXN</t>
        </is>
      </c>
      <c r="Z286" t="inlineStr">
        <is>
          <t>M3</t>
        </is>
      </c>
      <c r="AA286" t="inlineStr">
        <is>
          <t>66837964</t>
        </is>
      </c>
      <c r="AB286" t="inlineStr">
        <is>
          <t>CEREZAS 78(LRR)</t>
        </is>
      </c>
      <c r="AC286" t="n">
        <v>56103638</v>
      </c>
      <c r="AD286" t="n">
        <v>6622261540</v>
      </c>
      <c r="AE286" t="n">
        <v>4</v>
      </c>
      <c r="AF286" t="inlineStr">
        <is>
          <t>ENTREGA DIRECTA</t>
        </is>
      </c>
      <c r="AG286" t="n">
        <v>1.409</v>
      </c>
      <c r="AH286" t="inlineStr">
        <is>
          <t>M3</t>
        </is>
      </c>
      <c r="AI286" t="inlineStr">
        <is>
          <t>X</t>
        </is>
      </c>
      <c r="AJ286" t="n">
        <v>4</v>
      </c>
      <c r="AK286" t="inlineStr">
        <is>
          <t>V4</t>
        </is>
      </c>
      <c r="AL286" t="n">
        <v>20230920</v>
      </c>
      <c r="AM286" t="inlineStr">
        <is>
          <t>D836-900002574-66837964-10000160-4</t>
        </is>
      </c>
    </row>
    <row r="287">
      <c r="A287" t="inlineStr">
        <is>
          <t>900002574D8366686047910000160</t>
        </is>
      </c>
      <c r="B287" t="inlineStr">
        <is>
          <t>4600027590-970</t>
        </is>
      </c>
      <c r="C287" t="n">
        <v>4600027590</v>
      </c>
      <c r="D287" t="n">
        <v>970</v>
      </c>
      <c r="E287" t="inlineStr">
        <is>
          <t>MXPO</t>
        </is>
      </c>
      <c r="F287" t="inlineStr">
        <is>
          <t>M02</t>
        </is>
      </c>
      <c r="G287" t="n">
        <v>900002574</v>
      </c>
      <c r="H287" t="inlineStr">
        <is>
          <t>TP-ED-OLIELL</t>
        </is>
      </c>
      <c r="I287" t="n">
        <v>5048484</v>
      </c>
      <c r="J287" t="inlineStr">
        <is>
          <t>COMERCIALIZADORA Y TRANSPORTADORA O</t>
        </is>
      </c>
      <c r="K287" t="inlineStr">
        <is>
          <t>N90</t>
        </is>
      </c>
      <c r="L287" t="inlineStr">
        <is>
          <t>(AP) NAFIN 90 Dias</t>
        </is>
      </c>
      <c r="M287" t="n">
        <v>10000160</v>
      </c>
      <c r="N287" t="inlineStr">
        <is>
          <t>Arena Triturada Andesita Malla 4</t>
        </is>
      </c>
      <c r="O287" t="inlineStr">
        <is>
          <t>D836</t>
        </is>
      </c>
      <c r="P287" t="inlineStr">
        <is>
          <t>MX-CED. CENTRO</t>
        </is>
      </c>
      <c r="Q287" t="n">
        <v>20141106</v>
      </c>
      <c r="R287" t="n">
        <v>20281231</v>
      </c>
      <c r="S287" t="n">
        <v>20200518</v>
      </c>
      <c r="T287" t="n">
        <v>20291231</v>
      </c>
      <c r="U287" t="n">
        <v>387.93</v>
      </c>
      <c r="V287" t="inlineStr">
        <is>
          <t>MXN</t>
        </is>
      </c>
      <c r="W287" t="inlineStr">
        <is>
          <t>M3</t>
        </is>
      </c>
      <c r="X287" t="n">
        <v>290</v>
      </c>
      <c r="Y287" t="inlineStr">
        <is>
          <t>MXN</t>
        </is>
      </c>
      <c r="Z287" t="inlineStr">
        <is>
          <t>M3</t>
        </is>
      </c>
      <c r="AA287" t="inlineStr">
        <is>
          <t>66860479</t>
        </is>
      </c>
      <c r="AB287" t="inlineStr">
        <is>
          <t>vivienda valle gomez</t>
        </is>
      </c>
      <c r="AC287" t="n">
        <v>56103638</v>
      </c>
      <c r="AD287" t="n">
        <v>6622261540</v>
      </c>
      <c r="AE287" t="n">
        <v>4</v>
      </c>
      <c r="AF287" t="inlineStr">
        <is>
          <t>ENTREGA DIRECTA</t>
        </is>
      </c>
      <c r="AG287" t="n">
        <v>1.409</v>
      </c>
      <c r="AH287" t="inlineStr">
        <is>
          <t>M3</t>
        </is>
      </c>
      <c r="AI287" t="inlineStr">
        <is>
          <t>X</t>
        </is>
      </c>
      <c r="AJ287" t="n">
        <v>4</v>
      </c>
      <c r="AK287" t="inlineStr">
        <is>
          <t>V4</t>
        </is>
      </c>
      <c r="AL287" t="n">
        <v>20230920</v>
      </c>
      <c r="AM287" t="inlineStr">
        <is>
          <t>D836-900002574-66860479-10000160-4</t>
        </is>
      </c>
    </row>
    <row r="288">
      <c r="A288" t="inlineStr">
        <is>
          <t>900002574D8366680565710000160</t>
        </is>
      </c>
      <c r="B288" t="inlineStr">
        <is>
          <t>4600027590-260</t>
        </is>
      </c>
      <c r="C288" t="n">
        <v>4600027590</v>
      </c>
      <c r="D288" t="n">
        <v>260</v>
      </c>
      <c r="E288" t="inlineStr">
        <is>
          <t>MXPO</t>
        </is>
      </c>
      <c r="F288" t="inlineStr">
        <is>
          <t>M02</t>
        </is>
      </c>
      <c r="G288" t="n">
        <v>900002574</v>
      </c>
      <c r="H288" t="inlineStr">
        <is>
          <t>TP-ED-OLIELL</t>
        </is>
      </c>
      <c r="I288" t="n">
        <v>5048484</v>
      </c>
      <c r="J288" t="inlineStr">
        <is>
          <t>COMERCIALIZADORA Y TRANSPORTADORA O</t>
        </is>
      </c>
      <c r="K288" t="inlineStr">
        <is>
          <t>N90</t>
        </is>
      </c>
      <c r="L288" t="inlineStr">
        <is>
          <t>(AP) NAFIN 90 Dias</t>
        </is>
      </c>
      <c r="M288" t="n">
        <v>10000160</v>
      </c>
      <c r="N288" t="inlineStr">
        <is>
          <t>Arena Triturada Andesita Malla 4</t>
        </is>
      </c>
      <c r="O288" t="inlineStr">
        <is>
          <t>D836</t>
        </is>
      </c>
      <c r="P288" t="inlineStr">
        <is>
          <t>MX-CED. CENTRO</t>
        </is>
      </c>
      <c r="Q288" t="n">
        <v>20141106</v>
      </c>
      <c r="R288" t="n">
        <v>20281231</v>
      </c>
      <c r="S288" t="n">
        <v>20190920</v>
      </c>
      <c r="T288" t="n">
        <v>20241231</v>
      </c>
      <c r="U288" t="n">
        <v>165</v>
      </c>
      <c r="V288" t="inlineStr">
        <is>
          <t>MXN</t>
        </is>
      </c>
      <c r="W288" t="inlineStr">
        <is>
          <t>M3</t>
        </is>
      </c>
      <c r="X288" t="n">
        <v>82.5</v>
      </c>
      <c r="Y288" t="inlineStr">
        <is>
          <t>MXN</t>
        </is>
      </c>
      <c r="Z288" t="inlineStr">
        <is>
          <t>M3</t>
        </is>
      </c>
      <c r="AA288" t="inlineStr">
        <is>
          <t>66805657</t>
        </is>
      </c>
      <c r="AB288" t="inlineStr">
        <is>
          <t>OLLM SUMINISTRO AV SEVILLA MEDELLIN</t>
        </is>
      </c>
      <c r="AC288" t="n">
        <v>56103638</v>
      </c>
      <c r="AD288" t="n">
        <v>6622261540</v>
      </c>
      <c r="AE288" t="n">
        <v>4</v>
      </c>
      <c r="AF288" t="inlineStr">
        <is>
          <t>ENTREGA DIRECTA</t>
        </is>
      </c>
      <c r="AG288" t="n">
        <v>1.409</v>
      </c>
      <c r="AH288" t="inlineStr">
        <is>
          <t>M3</t>
        </is>
      </c>
      <c r="AI288" t="inlineStr">
        <is>
          <t>X</t>
        </is>
      </c>
      <c r="AJ288" t="n">
        <v>4</v>
      </c>
      <c r="AK288" t="inlineStr">
        <is>
          <t>V4</t>
        </is>
      </c>
      <c r="AL288" t="n">
        <v>20230920</v>
      </c>
      <c r="AM288" t="inlineStr">
        <is>
          <t>D836-900002574-66805657-10000160-4</t>
        </is>
      </c>
    </row>
    <row r="289">
      <c r="A289" t="inlineStr">
        <is>
          <t>900002574D8366500190510000357</t>
        </is>
      </c>
      <c r="B289" t="inlineStr">
        <is>
          <t>4600027590-1690</t>
        </is>
      </c>
      <c r="C289" t="n">
        <v>4600027590</v>
      </c>
      <c r="D289" t="n">
        <v>1690</v>
      </c>
      <c r="E289" t="inlineStr">
        <is>
          <t>MXPO</t>
        </is>
      </c>
      <c r="F289" t="inlineStr">
        <is>
          <t>M02</t>
        </is>
      </c>
      <c r="G289" t="n">
        <v>900002574</v>
      </c>
      <c r="H289" t="inlineStr">
        <is>
          <t>TP-ED-OLIELL</t>
        </is>
      </c>
      <c r="I289" t="n">
        <v>5048484</v>
      </c>
      <c r="J289" t="inlineStr">
        <is>
          <t>COMERCIALIZADORA Y TRANSPORTADORA O</t>
        </is>
      </c>
      <c r="K289" t="inlineStr">
        <is>
          <t>N90</t>
        </is>
      </c>
      <c r="L289" t="inlineStr">
        <is>
          <t>(AP) NAFIN 90 Dias</t>
        </is>
      </c>
      <c r="M289" t="n">
        <v>10000357</v>
      </c>
      <c r="N289" t="inlineStr">
        <is>
          <t>Grava Triturada Andesita 20 mm - 3/4"</t>
        </is>
      </c>
      <c r="O289" t="inlineStr">
        <is>
          <t>D836</t>
        </is>
      </c>
      <c r="P289" t="inlineStr">
        <is>
          <t>MX-CED. CENTRO</t>
        </is>
      </c>
      <c r="Q289" t="n">
        <v>20141106</v>
      </c>
      <c r="R289" t="n">
        <v>20281231</v>
      </c>
      <c r="S289" t="n">
        <v>20201027</v>
      </c>
      <c r="T289" t="n">
        <v>20291231</v>
      </c>
      <c r="U289" t="n">
        <v>305</v>
      </c>
      <c r="V289" t="inlineStr">
        <is>
          <t>MXN</t>
        </is>
      </c>
      <c r="W289" t="inlineStr">
        <is>
          <t>M3</t>
        </is>
      </c>
      <c r="X289" t="n">
        <v>195</v>
      </c>
      <c r="Y289" t="inlineStr">
        <is>
          <t>MXN</t>
        </is>
      </c>
      <c r="Z289" t="inlineStr">
        <is>
          <t>M3</t>
        </is>
      </c>
      <c r="AA289" t="inlineStr">
        <is>
          <t>65001905</t>
        </is>
      </c>
      <c r="AB289" t="inlineStr">
        <is>
          <t>(P) PRESFORZA, S.A. DE C.V.</t>
        </is>
      </c>
      <c r="AC289" t="n">
        <v>56103637</v>
      </c>
      <c r="AD289" t="n">
        <v>6622261540</v>
      </c>
      <c r="AE289" t="n">
        <v>4</v>
      </c>
      <c r="AF289" t="inlineStr">
        <is>
          <t>ENTREGA DIRECTA</t>
        </is>
      </c>
      <c r="AG289" t="n">
        <v>1.326</v>
      </c>
      <c r="AH289" t="inlineStr">
        <is>
          <t>M3</t>
        </is>
      </c>
      <c r="AI289" t="inlineStr">
        <is>
          <t>X</t>
        </is>
      </c>
      <c r="AJ289" t="n">
        <v>4</v>
      </c>
      <c r="AK289" t="inlineStr">
        <is>
          <t>V4</t>
        </is>
      </c>
      <c r="AL289" t="n">
        <v>20230920</v>
      </c>
      <c r="AM289" t="inlineStr">
        <is>
          <t>D836-900002574-65001905-10000357-4</t>
        </is>
      </c>
    </row>
    <row r="290">
      <c r="A290" t="inlineStr">
        <is>
          <t>900002574D8366704013310000649</t>
        </is>
      </c>
      <c r="B290" t="inlineStr">
        <is>
          <t>4600027590-2330</t>
        </is>
      </c>
      <c r="C290" t="n">
        <v>4600027590</v>
      </c>
      <c r="D290" t="n">
        <v>2330</v>
      </c>
      <c r="E290" t="inlineStr">
        <is>
          <t>MXPO</t>
        </is>
      </c>
      <c r="F290" t="inlineStr">
        <is>
          <t>M02</t>
        </is>
      </c>
      <c r="G290" t="n">
        <v>900002574</v>
      </c>
      <c r="H290" t="inlineStr">
        <is>
          <t>TP-ED-OLIELL</t>
        </is>
      </c>
      <c r="I290" t="n">
        <v>5048484</v>
      </c>
      <c r="J290" t="inlineStr">
        <is>
          <t>COMERCIALIZADORA Y TRANSPORTADORA O</t>
        </is>
      </c>
      <c r="K290" t="inlineStr">
        <is>
          <t>N90</t>
        </is>
      </c>
      <c r="L290" t="inlineStr">
        <is>
          <t>(AP) NAFIN 90 Dias</t>
        </is>
      </c>
      <c r="M290" t="n">
        <v>10000649</v>
      </c>
      <c r="N290" t="inlineStr">
        <is>
          <t>Grava Triturada Andesita 10 mm - 3/8"</t>
        </is>
      </c>
      <c r="O290" t="inlineStr">
        <is>
          <t>D836</t>
        </is>
      </c>
      <c r="P290" t="inlineStr">
        <is>
          <t>MX-CED. CENTRO</t>
        </is>
      </c>
      <c r="Q290" t="n">
        <v>20141106</v>
      </c>
      <c r="R290" t="n">
        <v>20281231</v>
      </c>
      <c r="S290" t="n">
        <v>20230102</v>
      </c>
      <c r="T290" t="n">
        <v>20271231</v>
      </c>
      <c r="U290" t="n">
        <v>700</v>
      </c>
      <c r="V290" t="inlineStr">
        <is>
          <t>MXN</t>
        </is>
      </c>
      <c r="W290" t="inlineStr">
        <is>
          <t>M3</t>
        </is>
      </c>
      <c r="X290" t="n">
        <v>370</v>
      </c>
      <c r="Y290" t="inlineStr">
        <is>
          <t>MXN</t>
        </is>
      </c>
      <c r="Z290" t="inlineStr">
        <is>
          <t>M3</t>
        </is>
      </c>
      <c r="AA290" t="inlineStr">
        <is>
          <t>67040133</t>
        </is>
      </c>
      <c r="AB290" t="inlineStr">
        <is>
          <t>EJE CENTRAL 1021 (EYAN)</t>
        </is>
      </c>
      <c r="AC290" t="n">
        <v>56103637</v>
      </c>
      <c r="AD290" t="n">
        <v>6622261540</v>
      </c>
      <c r="AE290" t="n">
        <v>4</v>
      </c>
      <c r="AF290" t="inlineStr">
        <is>
          <t>ENTREGA DIRECTA</t>
        </is>
      </c>
      <c r="AG290" t="n">
        <v>1.315</v>
      </c>
      <c r="AH290" t="inlineStr">
        <is>
          <t>M3</t>
        </is>
      </c>
      <c r="AI290" t="inlineStr">
        <is>
          <t>X</t>
        </is>
      </c>
      <c r="AJ290" t="n">
        <v>4</v>
      </c>
      <c r="AK290" t="inlineStr">
        <is>
          <t>V4</t>
        </is>
      </c>
      <c r="AL290" t="n">
        <v>20230920</v>
      </c>
      <c r="AM290" t="inlineStr">
        <is>
          <t>D836-900002574-67040133-10000649-4</t>
        </is>
      </c>
    </row>
    <row r="291">
      <c r="A291" t="inlineStr">
        <is>
          <t>900002574D8366680855610000160</t>
        </is>
      </c>
      <c r="B291" t="inlineStr">
        <is>
          <t>4600027590-1150</t>
        </is>
      </c>
      <c r="C291" t="n">
        <v>4600027590</v>
      </c>
      <c r="D291" t="n">
        <v>1150</v>
      </c>
      <c r="E291" t="inlineStr">
        <is>
          <t>MXPO</t>
        </is>
      </c>
      <c r="F291" t="inlineStr">
        <is>
          <t>M02</t>
        </is>
      </c>
      <c r="G291" t="n">
        <v>900002574</v>
      </c>
      <c r="H291" t="inlineStr">
        <is>
          <t>TP-ED-OLIELL</t>
        </is>
      </c>
      <c r="I291" t="n">
        <v>5048484</v>
      </c>
      <c r="J291" t="inlineStr">
        <is>
          <t>COMERCIALIZADORA Y TRANSPORTADORA O</t>
        </is>
      </c>
      <c r="K291" t="inlineStr">
        <is>
          <t>N90</t>
        </is>
      </c>
      <c r="L291" t="inlineStr">
        <is>
          <t>(AP) NAFIN 90 Dias</t>
        </is>
      </c>
      <c r="M291" t="n">
        <v>10000160</v>
      </c>
      <c r="N291" t="inlineStr">
        <is>
          <t>Arena Triturada Andesita Malla 4</t>
        </is>
      </c>
      <c r="O291" t="inlineStr">
        <is>
          <t>D836</t>
        </is>
      </c>
      <c r="P291" t="inlineStr">
        <is>
          <t>MX-CED. CENTRO</t>
        </is>
      </c>
      <c r="Q291" t="n">
        <v>20141106</v>
      </c>
      <c r="R291" t="n">
        <v>20281231</v>
      </c>
      <c r="S291" t="n">
        <v>20200804</v>
      </c>
      <c r="T291" t="n">
        <v>20291231</v>
      </c>
      <c r="U291" t="n">
        <v>413.79</v>
      </c>
      <c r="V291" t="inlineStr">
        <is>
          <t>MXN</t>
        </is>
      </c>
      <c r="W291" t="inlineStr">
        <is>
          <t>M3</t>
        </is>
      </c>
      <c r="X291" t="n">
        <v>313.03</v>
      </c>
      <c r="Y291" t="inlineStr">
        <is>
          <t>MXN</t>
        </is>
      </c>
      <c r="Z291" t="inlineStr">
        <is>
          <t>M3</t>
        </is>
      </c>
      <c r="AA291" t="inlineStr">
        <is>
          <t>66808556</t>
        </is>
      </c>
      <c r="AB291" t="inlineStr">
        <is>
          <t>RESIDENCE NUEVA YORK</t>
        </is>
      </c>
      <c r="AC291" t="n">
        <v>56103638</v>
      </c>
      <c r="AD291" t="n">
        <v>6622261540</v>
      </c>
      <c r="AE291" t="n">
        <v>4</v>
      </c>
      <c r="AF291" t="inlineStr">
        <is>
          <t>ENTREGA DIRECTA</t>
        </is>
      </c>
      <c r="AG291" t="n">
        <v>1.409</v>
      </c>
      <c r="AH291" t="inlineStr">
        <is>
          <t>M3</t>
        </is>
      </c>
      <c r="AI291" t="inlineStr">
        <is>
          <t>X</t>
        </is>
      </c>
      <c r="AJ291" t="n">
        <v>4</v>
      </c>
      <c r="AK291" t="inlineStr">
        <is>
          <t>V4</t>
        </is>
      </c>
      <c r="AL291" t="n">
        <v>20230920</v>
      </c>
      <c r="AM291" t="inlineStr">
        <is>
          <t>D836-900002574-66808556-10000160-4</t>
        </is>
      </c>
    </row>
    <row r="292">
      <c r="A292" t="inlineStr">
        <is>
          <t>900002574D8366646005310000160</t>
        </is>
      </c>
      <c r="B292" t="inlineStr">
        <is>
          <t>4600027590-710</t>
        </is>
      </c>
      <c r="C292" t="n">
        <v>4600027590</v>
      </c>
      <c r="D292" t="n">
        <v>710</v>
      </c>
      <c r="E292" t="inlineStr">
        <is>
          <t>MXPO</t>
        </is>
      </c>
      <c r="F292" t="inlineStr">
        <is>
          <t>M02</t>
        </is>
      </c>
      <c r="G292" t="n">
        <v>900002574</v>
      </c>
      <c r="H292" t="inlineStr">
        <is>
          <t>TP-ED-OLIELL</t>
        </is>
      </c>
      <c r="I292" t="n">
        <v>5048484</v>
      </c>
      <c r="J292" t="inlineStr">
        <is>
          <t>COMERCIALIZADORA Y TRANSPORTADORA O</t>
        </is>
      </c>
      <c r="K292" t="inlineStr">
        <is>
          <t>N90</t>
        </is>
      </c>
      <c r="L292" t="inlineStr">
        <is>
          <t>(AP) NAFIN 90 Dias</t>
        </is>
      </c>
      <c r="M292" t="n">
        <v>10000160</v>
      </c>
      <c r="N292" t="inlineStr">
        <is>
          <t>Arena Triturada Andesita Malla 4</t>
        </is>
      </c>
      <c r="O292" t="inlineStr">
        <is>
          <t>D836</t>
        </is>
      </c>
      <c r="P292" t="inlineStr">
        <is>
          <t>MX-CED. CENTRO</t>
        </is>
      </c>
      <c r="Q292" t="n">
        <v>20141106</v>
      </c>
      <c r="R292" t="n">
        <v>20281231</v>
      </c>
      <c r="S292" t="n">
        <v>20200212</v>
      </c>
      <c r="T292" t="n">
        <v>20291231</v>
      </c>
      <c r="U292" t="n">
        <v>362.07</v>
      </c>
      <c r="V292" t="inlineStr">
        <is>
          <t>MXN</t>
        </is>
      </c>
      <c r="W292" t="inlineStr">
        <is>
          <t>M3</t>
        </is>
      </c>
      <c r="X292" t="n">
        <v>181.04</v>
      </c>
      <c r="Y292" t="inlineStr">
        <is>
          <t>MXN</t>
        </is>
      </c>
      <c r="Z292" t="inlineStr">
        <is>
          <t>M3</t>
        </is>
      </c>
      <c r="AA292" t="inlineStr">
        <is>
          <t>66460053</t>
        </is>
      </c>
      <c r="AB292" t="inlineStr">
        <is>
          <t>RESIDENCIAL PUNTO CERO (RCJ)</t>
        </is>
      </c>
      <c r="AC292" t="n">
        <v>56103638</v>
      </c>
      <c r="AD292" t="n">
        <v>6622261540</v>
      </c>
      <c r="AE292" t="n">
        <v>4</v>
      </c>
      <c r="AF292" t="inlineStr">
        <is>
          <t>ENTREGA DIRECTA</t>
        </is>
      </c>
      <c r="AG292" t="n">
        <v>1.409</v>
      </c>
      <c r="AH292" t="inlineStr">
        <is>
          <t>M3</t>
        </is>
      </c>
      <c r="AI292" t="inlineStr">
        <is>
          <t>X</t>
        </is>
      </c>
      <c r="AJ292" t="n">
        <v>4</v>
      </c>
      <c r="AK292" t="inlineStr">
        <is>
          <t>V4</t>
        </is>
      </c>
      <c r="AL292" t="n">
        <v>20230920</v>
      </c>
      <c r="AM292" t="inlineStr">
        <is>
          <t>D836-900002574-66460053-10000160-4</t>
        </is>
      </c>
    </row>
    <row r="293">
      <c r="A293" t="inlineStr">
        <is>
          <t>900002574D8366689943110000357</t>
        </is>
      </c>
      <c r="B293" t="inlineStr">
        <is>
          <t>4600027590-1430</t>
        </is>
      </c>
      <c r="C293" t="n">
        <v>4600027590</v>
      </c>
      <c r="D293" t="n">
        <v>1430</v>
      </c>
      <c r="E293" t="inlineStr">
        <is>
          <t>MXPO</t>
        </is>
      </c>
      <c r="F293" t="inlineStr">
        <is>
          <t>M02</t>
        </is>
      </c>
      <c r="G293" t="n">
        <v>900002574</v>
      </c>
      <c r="H293" t="inlineStr">
        <is>
          <t>TP-ED-OLIELL</t>
        </is>
      </c>
      <c r="I293" t="n">
        <v>5048484</v>
      </c>
      <c r="J293" t="inlineStr">
        <is>
          <t>COMERCIALIZADORA Y TRANSPORTADORA O</t>
        </is>
      </c>
      <c r="K293" t="inlineStr">
        <is>
          <t>N90</t>
        </is>
      </c>
      <c r="L293" t="inlineStr">
        <is>
          <t>(AP) NAFIN 90 Dias</t>
        </is>
      </c>
      <c r="M293" t="n">
        <v>10000357</v>
      </c>
      <c r="N293" t="inlineStr">
        <is>
          <t>Grava Triturada Andesita 20 mm - 3/4"</t>
        </is>
      </c>
      <c r="O293" t="inlineStr">
        <is>
          <t>D836</t>
        </is>
      </c>
      <c r="P293" t="inlineStr">
        <is>
          <t>MX-CED. CENTRO</t>
        </is>
      </c>
      <c r="Q293" t="n">
        <v>20141106</v>
      </c>
      <c r="R293" t="n">
        <v>20281231</v>
      </c>
      <c r="S293" t="n">
        <v>20200928</v>
      </c>
      <c r="T293" t="n">
        <v>20291231</v>
      </c>
      <c r="U293" t="n">
        <v>502.16</v>
      </c>
      <c r="V293" t="inlineStr">
        <is>
          <t>MXN</t>
        </is>
      </c>
      <c r="W293" t="inlineStr">
        <is>
          <t>M3</t>
        </is>
      </c>
      <c r="X293" t="n">
        <v>372.92</v>
      </c>
      <c r="Y293" t="inlineStr">
        <is>
          <t>MXN</t>
        </is>
      </c>
      <c r="Z293" t="inlineStr">
        <is>
          <t>M3</t>
        </is>
      </c>
      <c r="AA293" t="inlineStr">
        <is>
          <t>66899431</t>
        </is>
      </c>
      <c r="AC293" t="n">
        <v>56103637</v>
      </c>
      <c r="AD293" t="n">
        <v>6622261540</v>
      </c>
      <c r="AE293" t="n">
        <v>4</v>
      </c>
      <c r="AF293" t="inlineStr">
        <is>
          <t>ENTREGA DIRECTA</t>
        </is>
      </c>
      <c r="AG293" t="n">
        <v>1.326</v>
      </c>
      <c r="AH293" t="inlineStr">
        <is>
          <t>M3</t>
        </is>
      </c>
      <c r="AI293" t="inlineStr">
        <is>
          <t>X</t>
        </is>
      </c>
      <c r="AJ293" t="n">
        <v>4</v>
      </c>
      <c r="AK293" t="inlineStr">
        <is>
          <t>V4</t>
        </is>
      </c>
      <c r="AL293" t="n">
        <v>20230920</v>
      </c>
      <c r="AM293" t="inlineStr">
        <is>
          <t>D836-900002574-66899431-10000357-4</t>
        </is>
      </c>
    </row>
    <row r="294">
      <c r="A294" t="inlineStr">
        <is>
          <t>900002574D8366694918610000160</t>
        </is>
      </c>
      <c r="B294" t="inlineStr">
        <is>
          <t>4600027590-2080</t>
        </is>
      </c>
      <c r="C294" t="n">
        <v>4600027590</v>
      </c>
      <c r="D294" t="n">
        <v>2080</v>
      </c>
      <c r="E294" t="inlineStr">
        <is>
          <t>MXPO</t>
        </is>
      </c>
      <c r="F294" t="inlineStr">
        <is>
          <t>M02</t>
        </is>
      </c>
      <c r="G294" t="n">
        <v>900002574</v>
      </c>
      <c r="H294" t="inlineStr">
        <is>
          <t>TP-ED-OLIELL</t>
        </is>
      </c>
      <c r="I294" t="n">
        <v>5048484</v>
      </c>
      <c r="J294" t="inlineStr">
        <is>
          <t>COMERCIALIZADORA Y TRANSPORTADORA O</t>
        </is>
      </c>
      <c r="K294" t="inlineStr">
        <is>
          <t>N90</t>
        </is>
      </c>
      <c r="L294" t="inlineStr">
        <is>
          <t>(AP) NAFIN 90 Dias</t>
        </is>
      </c>
      <c r="M294" t="n">
        <v>10000160</v>
      </c>
      <c r="N294" t="inlineStr">
        <is>
          <t>Arena Triturada Andesita Malla 4</t>
        </is>
      </c>
      <c r="O294" t="inlineStr">
        <is>
          <t>D836</t>
        </is>
      </c>
      <c r="P294" t="inlineStr">
        <is>
          <t>MX-CED. CENTRO</t>
        </is>
      </c>
      <c r="Q294" t="n">
        <v>20141106</v>
      </c>
      <c r="R294" t="n">
        <v>20281231</v>
      </c>
      <c r="S294" t="n">
        <v>20210414</v>
      </c>
      <c r="T294" t="n">
        <v>20291231</v>
      </c>
      <c r="U294" t="n">
        <v>360</v>
      </c>
      <c r="V294" t="inlineStr">
        <is>
          <t>MXN</t>
        </is>
      </c>
      <c r="W294" t="inlineStr">
        <is>
          <t>M3</t>
        </is>
      </c>
      <c r="X294" t="n">
        <v>250</v>
      </c>
      <c r="Y294" t="inlineStr">
        <is>
          <t>MXN</t>
        </is>
      </c>
      <c r="Z294" t="inlineStr">
        <is>
          <t>M3</t>
        </is>
      </c>
      <c r="AA294" t="inlineStr">
        <is>
          <t>66949186</t>
        </is>
      </c>
      <c r="AB294" t="inlineStr">
        <is>
          <t>COLEGIO LA ASUNCION (SEBJ)</t>
        </is>
      </c>
      <c r="AC294" t="n">
        <v>56103638</v>
      </c>
      <c r="AD294" t="n">
        <v>6622261540</v>
      </c>
      <c r="AE294" t="n">
        <v>4</v>
      </c>
      <c r="AF294" t="inlineStr">
        <is>
          <t>ENTREGA DIRECTA</t>
        </is>
      </c>
      <c r="AG294" t="n">
        <v>1.409</v>
      </c>
      <c r="AH294" t="inlineStr">
        <is>
          <t>M3</t>
        </is>
      </c>
      <c r="AI294" t="inlineStr">
        <is>
          <t>X</t>
        </is>
      </c>
      <c r="AJ294" t="n">
        <v>4</v>
      </c>
      <c r="AK294" t="inlineStr">
        <is>
          <t>V4</t>
        </is>
      </c>
      <c r="AL294" t="n">
        <v>20230920</v>
      </c>
      <c r="AM294" t="inlineStr">
        <is>
          <t>D836-900002574-66949186-10000160-4</t>
        </is>
      </c>
    </row>
    <row r="295">
      <c r="A295" t="inlineStr">
        <is>
          <t>900002574D8366656738410000160</t>
        </is>
      </c>
      <c r="B295" t="inlineStr">
        <is>
          <t>4600027590-640</t>
        </is>
      </c>
      <c r="C295" t="n">
        <v>4600027590</v>
      </c>
      <c r="D295" t="n">
        <v>640</v>
      </c>
      <c r="E295" t="inlineStr">
        <is>
          <t>MXPO</t>
        </is>
      </c>
      <c r="F295" t="inlineStr">
        <is>
          <t>M02</t>
        </is>
      </c>
      <c r="G295" t="n">
        <v>900002574</v>
      </c>
      <c r="H295" t="inlineStr">
        <is>
          <t>TP-ED-OLIELL</t>
        </is>
      </c>
      <c r="I295" t="n">
        <v>5048484</v>
      </c>
      <c r="J295" t="inlineStr">
        <is>
          <t>COMERCIALIZADORA Y TRANSPORTADORA O</t>
        </is>
      </c>
      <c r="K295" t="inlineStr">
        <is>
          <t>N90</t>
        </is>
      </c>
      <c r="L295" t="inlineStr">
        <is>
          <t>(AP) NAFIN 90 Dias</t>
        </is>
      </c>
      <c r="M295" t="n">
        <v>10000160</v>
      </c>
      <c r="N295" t="inlineStr">
        <is>
          <t>Arena Triturada Andesita Malla 4</t>
        </is>
      </c>
      <c r="O295" t="inlineStr">
        <is>
          <t>D836</t>
        </is>
      </c>
      <c r="P295" t="inlineStr">
        <is>
          <t>MX-CED. CENTRO</t>
        </is>
      </c>
      <c r="Q295" t="n">
        <v>20141106</v>
      </c>
      <c r="R295" t="n">
        <v>20281231</v>
      </c>
      <c r="S295" t="n">
        <v>20191212</v>
      </c>
      <c r="T295" t="n">
        <v>20241231</v>
      </c>
      <c r="U295" t="n">
        <v>362.06</v>
      </c>
      <c r="V295" t="inlineStr">
        <is>
          <t>MXN</t>
        </is>
      </c>
      <c r="W295" t="inlineStr">
        <is>
          <t>M3</t>
        </is>
      </c>
      <c r="X295" t="n">
        <v>181.03</v>
      </c>
      <c r="Y295" t="inlineStr">
        <is>
          <t>MXN</t>
        </is>
      </c>
      <c r="Z295" t="inlineStr">
        <is>
          <t>M3</t>
        </is>
      </c>
      <c r="AA295" t="inlineStr">
        <is>
          <t>66567384</t>
        </is>
      </c>
      <c r="AB295" t="inlineStr">
        <is>
          <t>SAN ANTONIO ABAD</t>
        </is>
      </c>
      <c r="AC295" t="n">
        <v>56103638</v>
      </c>
      <c r="AD295" t="n">
        <v>6622261540</v>
      </c>
      <c r="AE295" t="n">
        <v>4</v>
      </c>
      <c r="AF295" t="inlineStr">
        <is>
          <t>ENTREGA DIRECTA</t>
        </is>
      </c>
      <c r="AG295" t="n">
        <v>1.409</v>
      </c>
      <c r="AH295" t="inlineStr">
        <is>
          <t>M3</t>
        </is>
      </c>
      <c r="AI295" t="inlineStr">
        <is>
          <t>X</t>
        </is>
      </c>
      <c r="AJ295" t="n">
        <v>4</v>
      </c>
      <c r="AK295" t="inlineStr">
        <is>
          <t>V4</t>
        </is>
      </c>
      <c r="AL295" t="n">
        <v>20230920</v>
      </c>
      <c r="AM295" t="inlineStr">
        <is>
          <t>D836-900002574-66567384-10000160-4</t>
        </is>
      </c>
    </row>
    <row r="296">
      <c r="A296" t="inlineStr">
        <is>
          <t>900002574D8366703342510000133</t>
        </is>
      </c>
      <c r="B296" t="inlineStr">
        <is>
          <t>4600027590-2240</t>
        </is>
      </c>
      <c r="C296" t="n">
        <v>4600027590</v>
      </c>
      <c r="D296" t="n">
        <v>2240</v>
      </c>
      <c r="E296" t="inlineStr">
        <is>
          <t>MXPO</t>
        </is>
      </c>
      <c r="F296" t="inlineStr">
        <is>
          <t>M02</t>
        </is>
      </c>
      <c r="G296" t="n">
        <v>900002574</v>
      </c>
      <c r="H296" t="inlineStr">
        <is>
          <t>TP-ED-OLIELL</t>
        </is>
      </c>
      <c r="I296" t="n">
        <v>5048484</v>
      </c>
      <c r="J296" t="inlineStr">
        <is>
          <t>COMERCIALIZADORA Y TRANSPORTADORA O</t>
        </is>
      </c>
      <c r="K296" t="inlineStr">
        <is>
          <t>N90</t>
        </is>
      </c>
      <c r="L296" t="inlineStr">
        <is>
          <t>(AP) NAFIN 90 Dias</t>
        </is>
      </c>
      <c r="M296" t="n">
        <v>10000133</v>
      </c>
      <c r="N296" t="inlineStr">
        <is>
          <t>Grava Triturada Caliza 20 mm - 3/4"</t>
        </is>
      </c>
      <c r="O296" t="inlineStr">
        <is>
          <t>D836</t>
        </is>
      </c>
      <c r="P296" t="inlineStr">
        <is>
          <t>MX-CED. CENTRO</t>
        </is>
      </c>
      <c r="Q296" t="n">
        <v>20141106</v>
      </c>
      <c r="R296" t="n">
        <v>20281231</v>
      </c>
      <c r="S296" t="n">
        <v>20210112</v>
      </c>
      <c r="T296" t="n">
        <v>20271231</v>
      </c>
      <c r="U296" t="n">
        <v>618</v>
      </c>
      <c r="V296" t="inlineStr">
        <is>
          <t>MXN</t>
        </is>
      </c>
      <c r="W296" t="inlineStr">
        <is>
          <t>M3</t>
        </is>
      </c>
      <c r="X296" t="n">
        <v>408</v>
      </c>
      <c r="Y296" t="inlineStr">
        <is>
          <t>MXN</t>
        </is>
      </c>
      <c r="Z296" t="inlineStr">
        <is>
          <t>M3</t>
        </is>
      </c>
      <c r="AA296" t="inlineStr">
        <is>
          <t>67033425</t>
        </is>
      </c>
      <c r="AB296" t="inlineStr">
        <is>
          <t>Frente Indios Verdes</t>
        </is>
      </c>
      <c r="AC296" t="n">
        <v>56103637</v>
      </c>
      <c r="AD296" t="n">
        <v>6622261540</v>
      </c>
      <c r="AE296" t="n">
        <v>4</v>
      </c>
      <c r="AF296" t="inlineStr">
        <is>
          <t>ENTREGA DIRECTA</t>
        </is>
      </c>
      <c r="AG296" t="n">
        <v>1.46</v>
      </c>
      <c r="AH296" t="inlineStr">
        <is>
          <t>M3</t>
        </is>
      </c>
      <c r="AI296" t="inlineStr">
        <is>
          <t>X</t>
        </is>
      </c>
      <c r="AJ296" t="n">
        <v>4</v>
      </c>
      <c r="AK296" t="inlineStr">
        <is>
          <t>V4</t>
        </is>
      </c>
      <c r="AL296" t="n">
        <v>20230920</v>
      </c>
      <c r="AM296" t="inlineStr">
        <is>
          <t>D836-900002574-67033425-10000133-4</t>
        </is>
      </c>
    </row>
    <row r="297">
      <c r="A297" t="inlineStr">
        <is>
          <t>900002574D8366693331310000160</t>
        </is>
      </c>
      <c r="B297" t="inlineStr">
        <is>
          <t>4600027590-2450</t>
        </is>
      </c>
      <c r="C297" t="n">
        <v>4600027590</v>
      </c>
      <c r="D297" t="n">
        <v>2450</v>
      </c>
      <c r="E297" t="inlineStr">
        <is>
          <t>MXPO</t>
        </is>
      </c>
      <c r="F297" t="inlineStr">
        <is>
          <t>M02</t>
        </is>
      </c>
      <c r="G297" t="n">
        <v>900002574</v>
      </c>
      <c r="H297" t="inlineStr">
        <is>
          <t>TP-ED-OLIELL</t>
        </is>
      </c>
      <c r="I297" t="n">
        <v>5048484</v>
      </c>
      <c r="J297" t="inlineStr">
        <is>
          <t>COMERCIALIZADORA Y TRANSPORTADORA O</t>
        </is>
      </c>
      <c r="K297" t="inlineStr">
        <is>
          <t>N90</t>
        </is>
      </c>
      <c r="L297" t="inlineStr">
        <is>
          <t>(AP) NAFIN 90 Dias</t>
        </is>
      </c>
      <c r="M297" t="n">
        <v>10000160</v>
      </c>
      <c r="N297" t="inlineStr">
        <is>
          <t>Arena Triturada Andesita Malla 4</t>
        </is>
      </c>
      <c r="O297" t="inlineStr">
        <is>
          <t>D836</t>
        </is>
      </c>
      <c r="P297" t="inlineStr">
        <is>
          <t>MX-CED. CENTRO</t>
        </is>
      </c>
      <c r="Q297" t="n">
        <v>20141106</v>
      </c>
      <c r="R297" t="n">
        <v>20281231</v>
      </c>
      <c r="S297" t="n">
        <v>20230711</v>
      </c>
      <c r="T297" t="n">
        <v>20281231</v>
      </c>
      <c r="U297" t="n">
        <v>191.68</v>
      </c>
      <c r="V297" t="inlineStr">
        <is>
          <t>MXN</t>
        </is>
      </c>
      <c r="W297" t="inlineStr">
        <is>
          <t>TN</t>
        </is>
      </c>
      <c r="X297" t="n">
        <v>107.49</v>
      </c>
      <c r="Y297" t="inlineStr">
        <is>
          <t>MXN</t>
        </is>
      </c>
      <c r="Z297" t="inlineStr">
        <is>
          <t>TN</t>
        </is>
      </c>
      <c r="AA297" t="inlineStr">
        <is>
          <t>66933313</t>
        </is>
      </c>
      <c r="AB297" t="inlineStr">
        <is>
          <t>Centro Ecuestre Miguel Hidalgo</t>
        </is>
      </c>
      <c r="AC297" t="n">
        <v>56103638</v>
      </c>
      <c r="AD297" t="n">
        <v>6622261540</v>
      </c>
      <c r="AE297" t="n">
        <v>4</v>
      </c>
      <c r="AF297" t="inlineStr">
        <is>
          <t>ENTREGA DIRECTA</t>
        </is>
      </c>
      <c r="AG297" t="n">
        <v>1</v>
      </c>
      <c r="AH297" t="inlineStr">
        <is>
          <t>TO</t>
        </is>
      </c>
      <c r="AI297" t="inlineStr">
        <is>
          <t>X</t>
        </is>
      </c>
      <c r="AJ297" t="n">
        <v>4</v>
      </c>
      <c r="AK297" t="inlineStr">
        <is>
          <t>V4</t>
        </is>
      </c>
      <c r="AL297" t="n">
        <v>20230920</v>
      </c>
      <c r="AM297" t="inlineStr">
        <is>
          <t>D836-900002574-66933313-10000160-4</t>
        </is>
      </c>
    </row>
    <row r="298">
      <c r="A298" t="inlineStr">
        <is>
          <t>900002574D8366680856610000357</t>
        </is>
      </c>
      <c r="B298" t="inlineStr">
        <is>
          <t>4600027590-230</t>
        </is>
      </c>
      <c r="C298" t="n">
        <v>4600027590</v>
      </c>
      <c r="D298" t="n">
        <v>230</v>
      </c>
      <c r="E298" t="inlineStr">
        <is>
          <t>MXPO</t>
        </is>
      </c>
      <c r="F298" t="inlineStr">
        <is>
          <t>M02</t>
        </is>
      </c>
      <c r="G298" t="n">
        <v>900002574</v>
      </c>
      <c r="H298" t="inlineStr">
        <is>
          <t>TP-ED-OLIELL</t>
        </is>
      </c>
      <c r="I298" t="n">
        <v>5048484</v>
      </c>
      <c r="J298" t="inlineStr">
        <is>
          <t>COMERCIALIZADORA Y TRANSPORTADORA O</t>
        </is>
      </c>
      <c r="K298" t="inlineStr">
        <is>
          <t>N90</t>
        </is>
      </c>
      <c r="L298" t="inlineStr">
        <is>
          <t>(AP) NAFIN 90 Dias</t>
        </is>
      </c>
      <c r="M298" t="n">
        <v>10000357</v>
      </c>
      <c r="N298" t="inlineStr">
        <is>
          <t>Grava Triturada Andesita 20 mm - 3/4"</t>
        </is>
      </c>
      <c r="O298" t="inlineStr">
        <is>
          <t>D836</t>
        </is>
      </c>
      <c r="P298" t="inlineStr">
        <is>
          <t>MX-CED. CENTRO</t>
        </is>
      </c>
      <c r="Q298" t="n">
        <v>20141106</v>
      </c>
      <c r="R298" t="n">
        <v>20281231</v>
      </c>
      <c r="S298" t="n">
        <v>20190911</v>
      </c>
      <c r="T298" t="n">
        <v>20241231</v>
      </c>
      <c r="U298" t="n">
        <v>448.27</v>
      </c>
      <c r="V298" t="inlineStr">
        <is>
          <t>MXN</t>
        </is>
      </c>
      <c r="W298" t="inlineStr">
        <is>
          <t>M3</t>
        </is>
      </c>
      <c r="X298" t="n">
        <v>224.14</v>
      </c>
      <c r="Y298" t="inlineStr">
        <is>
          <t>MXN</t>
        </is>
      </c>
      <c r="Z298" t="inlineStr">
        <is>
          <t>M3</t>
        </is>
      </c>
      <c r="AA298" t="inlineStr">
        <is>
          <t>66808566</t>
        </is>
      </c>
      <c r="AB298" t="inlineStr">
        <is>
          <t>AV TAXIMETROS</t>
        </is>
      </c>
      <c r="AC298" t="n">
        <v>56103637</v>
      </c>
      <c r="AD298" t="n">
        <v>6622261540</v>
      </c>
      <c r="AE298" t="n">
        <v>4</v>
      </c>
      <c r="AF298" t="inlineStr">
        <is>
          <t>ENTREGA DIRECTA</t>
        </is>
      </c>
      <c r="AG298" t="n">
        <v>1.326</v>
      </c>
      <c r="AH298" t="inlineStr">
        <is>
          <t>M3</t>
        </is>
      </c>
      <c r="AI298" t="inlineStr">
        <is>
          <t>X</t>
        </is>
      </c>
      <c r="AJ298" t="n">
        <v>4</v>
      </c>
      <c r="AK298" t="inlineStr">
        <is>
          <t>V4</t>
        </is>
      </c>
      <c r="AL298" t="n">
        <v>20230920</v>
      </c>
      <c r="AM298" t="inlineStr">
        <is>
          <t>D836-900002574-66808566-10000357-4</t>
        </is>
      </c>
    </row>
    <row r="299">
      <c r="A299" t="inlineStr">
        <is>
          <t>900002574D8366682864610000160</t>
        </is>
      </c>
      <c r="B299" t="inlineStr">
        <is>
          <t>4600027590-540</t>
        </is>
      </c>
      <c r="C299" t="n">
        <v>4600027590</v>
      </c>
      <c r="D299" t="n">
        <v>540</v>
      </c>
      <c r="E299" t="inlineStr">
        <is>
          <t>MXPO</t>
        </is>
      </c>
      <c r="F299" t="inlineStr">
        <is>
          <t>M02</t>
        </is>
      </c>
      <c r="G299" t="n">
        <v>900002574</v>
      </c>
      <c r="H299" t="inlineStr">
        <is>
          <t>TP-ED-OLIELL</t>
        </is>
      </c>
      <c r="I299" t="n">
        <v>5048484</v>
      </c>
      <c r="J299" t="inlineStr">
        <is>
          <t>COMERCIALIZADORA Y TRANSPORTADORA O</t>
        </is>
      </c>
      <c r="K299" t="inlineStr">
        <is>
          <t>N90</t>
        </is>
      </c>
      <c r="L299" t="inlineStr">
        <is>
          <t>(AP) NAFIN 90 Dias</t>
        </is>
      </c>
      <c r="M299" t="n">
        <v>10000160</v>
      </c>
      <c r="N299" t="inlineStr">
        <is>
          <t>Arena Triturada Andesita Malla 4</t>
        </is>
      </c>
      <c r="O299" t="inlineStr">
        <is>
          <t>D836</t>
        </is>
      </c>
      <c r="P299" t="inlineStr">
        <is>
          <t>MX-CED. CENTRO</t>
        </is>
      </c>
      <c r="Q299" t="n">
        <v>20141106</v>
      </c>
      <c r="R299" t="n">
        <v>20281231</v>
      </c>
      <c r="S299" t="n">
        <v>20191129</v>
      </c>
      <c r="T299" t="n">
        <v>20241231</v>
      </c>
      <c r="U299" t="n">
        <v>300</v>
      </c>
      <c r="V299" t="inlineStr">
        <is>
          <t>MXN</t>
        </is>
      </c>
      <c r="W299" t="inlineStr">
        <is>
          <t>M3</t>
        </is>
      </c>
      <c r="X299" t="n">
        <v>150</v>
      </c>
      <c r="Y299" t="inlineStr">
        <is>
          <t>MXN</t>
        </is>
      </c>
      <c r="Z299" t="inlineStr">
        <is>
          <t>M3</t>
        </is>
      </c>
      <c r="AA299" t="inlineStr">
        <is>
          <t>66828646</t>
        </is>
      </c>
      <c r="AB299" t="inlineStr">
        <is>
          <t>TUXPAN 54</t>
        </is>
      </c>
      <c r="AC299" t="n">
        <v>56103638</v>
      </c>
      <c r="AD299" t="n">
        <v>6622261540</v>
      </c>
      <c r="AE299" t="n">
        <v>4</v>
      </c>
      <c r="AF299" t="inlineStr">
        <is>
          <t>ENTREGA DIRECTA</t>
        </is>
      </c>
      <c r="AG299" t="n">
        <v>1.409</v>
      </c>
      <c r="AH299" t="inlineStr">
        <is>
          <t>M3</t>
        </is>
      </c>
      <c r="AI299" t="inlineStr">
        <is>
          <t>X</t>
        </is>
      </c>
      <c r="AJ299" t="n">
        <v>4</v>
      </c>
      <c r="AK299" t="inlineStr">
        <is>
          <t>V4</t>
        </is>
      </c>
      <c r="AL299" t="n">
        <v>20230920</v>
      </c>
      <c r="AM299" t="inlineStr">
        <is>
          <t>D836-900002574-66828646-10000160-4</t>
        </is>
      </c>
    </row>
    <row r="300">
      <c r="A300" t="inlineStr">
        <is>
          <t>900002574D8366694072010058345</t>
        </is>
      </c>
      <c r="B300" t="inlineStr">
        <is>
          <t>4600027590-2160</t>
        </is>
      </c>
      <c r="C300" t="n">
        <v>4600027590</v>
      </c>
      <c r="D300" t="n">
        <v>2160</v>
      </c>
      <c r="E300" t="inlineStr">
        <is>
          <t>MXPO</t>
        </is>
      </c>
      <c r="F300" t="inlineStr">
        <is>
          <t>M02</t>
        </is>
      </c>
      <c r="G300" t="n">
        <v>900002574</v>
      </c>
      <c r="H300" t="inlineStr">
        <is>
          <t>TP-ED-OLIELL</t>
        </is>
      </c>
      <c r="I300" t="n">
        <v>5048484</v>
      </c>
      <c r="J300" t="inlineStr">
        <is>
          <t>COMERCIALIZADORA Y TRANSPORTADORA O</t>
        </is>
      </c>
      <c r="K300" t="inlineStr">
        <is>
          <t>N90</t>
        </is>
      </c>
      <c r="L300" t="inlineStr">
        <is>
          <t>(AP) NAFIN 90 Dias</t>
        </is>
      </c>
      <c r="M300" t="n">
        <v>10058345</v>
      </c>
      <c r="N300" t="inlineStr">
        <is>
          <t>Arena Triturada Caliza Malla 4</t>
        </is>
      </c>
      <c r="O300" t="inlineStr">
        <is>
          <t>D836</t>
        </is>
      </c>
      <c r="P300" t="inlineStr">
        <is>
          <t>MX-CED. CENTRO</t>
        </is>
      </c>
      <c r="Q300" t="n">
        <v>20141106</v>
      </c>
      <c r="R300" t="n">
        <v>20281231</v>
      </c>
      <c r="S300" t="n">
        <v>20211008</v>
      </c>
      <c r="T300" t="n">
        <v>20261231</v>
      </c>
      <c r="U300" t="n">
        <v>754</v>
      </c>
      <c r="V300" t="inlineStr">
        <is>
          <t>MXN</t>
        </is>
      </c>
      <c r="W300" t="inlineStr">
        <is>
          <t>M3</t>
        </is>
      </c>
      <c r="X300" t="n">
        <v>644</v>
      </c>
      <c r="Y300" t="inlineStr">
        <is>
          <t>MXN</t>
        </is>
      </c>
      <c r="Z300" t="inlineStr">
        <is>
          <t>M3</t>
        </is>
      </c>
      <c r="AA300" t="inlineStr">
        <is>
          <t>66940720</t>
        </is>
      </c>
      <c r="AB300" t="inlineStr">
        <is>
          <t>Frente Santa Rosa</t>
        </is>
      </c>
      <c r="AC300" t="n">
        <v>56103638</v>
      </c>
      <c r="AD300" t="n">
        <v>6622261540</v>
      </c>
      <c r="AE300" t="n">
        <v>4</v>
      </c>
      <c r="AF300" t="inlineStr">
        <is>
          <t>ENTREGA DIRECTA</t>
        </is>
      </c>
      <c r="AG300" t="n">
        <v>1.575</v>
      </c>
      <c r="AH300" t="inlineStr">
        <is>
          <t>M3</t>
        </is>
      </c>
      <c r="AI300" t="inlineStr">
        <is>
          <t>X</t>
        </is>
      </c>
      <c r="AJ300" t="n">
        <v>4</v>
      </c>
      <c r="AK300" t="inlineStr">
        <is>
          <t>V4</t>
        </is>
      </c>
      <c r="AL300" t="n">
        <v>20230920</v>
      </c>
      <c r="AM300" t="inlineStr">
        <is>
          <t>D836-900002574-66940720-10058345-4</t>
        </is>
      </c>
    </row>
    <row r="301">
      <c r="A301" t="inlineStr">
        <is>
          <t>900002574D8366688514410000441</t>
        </is>
      </c>
      <c r="B301" t="inlineStr">
        <is>
          <t>4600027590-1210</t>
        </is>
      </c>
      <c r="C301" t="n">
        <v>4600027590</v>
      </c>
      <c r="D301" t="n">
        <v>1210</v>
      </c>
      <c r="E301" t="inlineStr">
        <is>
          <t>MXPO</t>
        </is>
      </c>
      <c r="F301" t="inlineStr">
        <is>
          <t>M02</t>
        </is>
      </c>
      <c r="G301" t="n">
        <v>900002574</v>
      </c>
      <c r="H301" t="inlineStr">
        <is>
          <t>TP-ED-OLIELL</t>
        </is>
      </c>
      <c r="I301" t="n">
        <v>5048484</v>
      </c>
      <c r="J301" t="inlineStr">
        <is>
          <t>COMERCIALIZADORA Y TRANSPORTADORA O</t>
        </is>
      </c>
      <c r="K301" t="inlineStr">
        <is>
          <t>N90</t>
        </is>
      </c>
      <c r="L301" t="inlineStr">
        <is>
          <t>(AP) NAFIN 90 Dias</t>
        </is>
      </c>
      <c r="M301" t="n">
        <v>10000441</v>
      </c>
      <c r="N301" t="inlineStr">
        <is>
          <t>Grava Triturada Andesita 40 mm - 1 1/2"</t>
        </is>
      </c>
      <c r="O301" t="inlineStr">
        <is>
          <t>D836</t>
        </is>
      </c>
      <c r="P301" t="inlineStr">
        <is>
          <t>MX-CED. CENTRO</t>
        </is>
      </c>
      <c r="Q301" t="n">
        <v>20141106</v>
      </c>
      <c r="R301" t="n">
        <v>20281231</v>
      </c>
      <c r="S301" t="n">
        <v>20200810</v>
      </c>
      <c r="T301" t="n">
        <v>20291231</v>
      </c>
      <c r="U301" t="n">
        <v>474.13</v>
      </c>
      <c r="V301" t="inlineStr">
        <is>
          <t>MXN</t>
        </is>
      </c>
      <c r="W301" t="inlineStr">
        <is>
          <t>M3</t>
        </is>
      </c>
      <c r="X301" t="n">
        <v>364.13</v>
      </c>
      <c r="Y301" t="inlineStr">
        <is>
          <t>MXN</t>
        </is>
      </c>
      <c r="Z301" t="inlineStr">
        <is>
          <t>M3</t>
        </is>
      </c>
      <c r="AA301" t="inlineStr">
        <is>
          <t>66885144</t>
        </is>
      </c>
      <c r="AB301" t="inlineStr">
        <is>
          <t>LA VICTORIA</t>
        </is>
      </c>
      <c r="AC301" t="n">
        <v>56103637</v>
      </c>
      <c r="AD301" t="n">
        <v>6622261540</v>
      </c>
      <c r="AE301" t="n">
        <v>4</v>
      </c>
      <c r="AF301" t="inlineStr">
        <is>
          <t>ENTREGA DIRECTA</t>
        </is>
      </c>
      <c r="AG301" t="n">
        <v>1.415</v>
      </c>
      <c r="AH301" t="inlineStr">
        <is>
          <t>M3</t>
        </is>
      </c>
      <c r="AI301" t="inlineStr">
        <is>
          <t>X</t>
        </is>
      </c>
      <c r="AJ301" t="n">
        <v>4</v>
      </c>
      <c r="AK301" t="inlineStr">
        <is>
          <t>V4</t>
        </is>
      </c>
      <c r="AL301" t="n">
        <v>20230920</v>
      </c>
      <c r="AM301" t="inlineStr">
        <is>
          <t>D836-900002574-66885144-10000441-4</t>
        </is>
      </c>
    </row>
    <row r="302">
      <c r="A302" t="inlineStr">
        <is>
          <t>900002574D8366703342510058345</t>
        </is>
      </c>
      <c r="B302" t="inlineStr">
        <is>
          <t>4600027590-2230</t>
        </is>
      </c>
      <c r="C302" t="n">
        <v>4600027590</v>
      </c>
      <c r="D302" t="n">
        <v>2230</v>
      </c>
      <c r="E302" t="inlineStr">
        <is>
          <t>MXPO</t>
        </is>
      </c>
      <c r="F302" t="inlineStr">
        <is>
          <t>M02</t>
        </is>
      </c>
      <c r="G302" t="n">
        <v>900002574</v>
      </c>
      <c r="H302" t="inlineStr">
        <is>
          <t>TP-ED-OLIELL</t>
        </is>
      </c>
      <c r="I302" t="n">
        <v>5048484</v>
      </c>
      <c r="J302" t="inlineStr">
        <is>
          <t>COMERCIALIZADORA Y TRANSPORTADORA O</t>
        </is>
      </c>
      <c r="K302" t="inlineStr">
        <is>
          <t>N90</t>
        </is>
      </c>
      <c r="L302" t="inlineStr">
        <is>
          <t>(AP) NAFIN 90 Dias</t>
        </is>
      </c>
      <c r="M302" t="n">
        <v>10058345</v>
      </c>
      <c r="N302" t="inlineStr">
        <is>
          <t>Arena Triturada Caliza Malla 4</t>
        </is>
      </c>
      <c r="O302" t="inlineStr">
        <is>
          <t>D836</t>
        </is>
      </c>
      <c r="P302" t="inlineStr">
        <is>
          <t>MX-CED. CENTRO</t>
        </is>
      </c>
      <c r="Q302" t="n">
        <v>20141106</v>
      </c>
      <c r="R302" t="n">
        <v>20281231</v>
      </c>
      <c r="S302" t="n">
        <v>20210112</v>
      </c>
      <c r="T302" t="n">
        <v>20271231</v>
      </c>
      <c r="U302" t="n">
        <v>548</v>
      </c>
      <c r="V302" t="inlineStr">
        <is>
          <t>MXN</t>
        </is>
      </c>
      <c r="W302" t="inlineStr">
        <is>
          <t>M3</t>
        </is>
      </c>
      <c r="X302" t="n">
        <v>408</v>
      </c>
      <c r="Y302" t="inlineStr">
        <is>
          <t>MXN</t>
        </is>
      </c>
      <c r="Z302" t="inlineStr">
        <is>
          <t>M3</t>
        </is>
      </c>
      <c r="AA302" t="inlineStr">
        <is>
          <t>67033425</t>
        </is>
      </c>
      <c r="AB302" t="inlineStr">
        <is>
          <t>Frente Indios Verdes</t>
        </is>
      </c>
      <c r="AC302" t="n">
        <v>56103638</v>
      </c>
      <c r="AD302" t="n">
        <v>6622261540</v>
      </c>
      <c r="AE302" t="n">
        <v>4</v>
      </c>
      <c r="AF302" t="inlineStr">
        <is>
          <t>ENTREGA DIRECTA</t>
        </is>
      </c>
      <c r="AG302" t="n">
        <v>1.575</v>
      </c>
      <c r="AH302" t="inlineStr">
        <is>
          <t>M3</t>
        </is>
      </c>
      <c r="AI302" t="inlineStr">
        <is>
          <t>X</t>
        </is>
      </c>
      <c r="AJ302" t="n">
        <v>4</v>
      </c>
      <c r="AK302" t="inlineStr">
        <is>
          <t>V4</t>
        </is>
      </c>
      <c r="AL302" t="n">
        <v>20230920</v>
      </c>
      <c r="AM302" t="inlineStr">
        <is>
          <t>D836-900002574-67033425-10058345-4</t>
        </is>
      </c>
    </row>
    <row r="303">
      <c r="A303" t="inlineStr">
        <is>
          <t>900002574D8366684762610000160</t>
        </is>
      </c>
      <c r="B303" t="inlineStr">
        <is>
          <t>4600027590-820</t>
        </is>
      </c>
      <c r="C303" t="n">
        <v>4600027590</v>
      </c>
      <c r="D303" t="n">
        <v>820</v>
      </c>
      <c r="E303" t="inlineStr">
        <is>
          <t>MXPO</t>
        </is>
      </c>
      <c r="F303" t="inlineStr">
        <is>
          <t>M02</t>
        </is>
      </c>
      <c r="G303" t="n">
        <v>900002574</v>
      </c>
      <c r="H303" t="inlineStr">
        <is>
          <t>TP-ED-OLIELL</t>
        </is>
      </c>
      <c r="I303" t="n">
        <v>5048484</v>
      </c>
      <c r="J303" t="inlineStr">
        <is>
          <t>COMERCIALIZADORA Y TRANSPORTADORA O</t>
        </is>
      </c>
      <c r="K303" t="inlineStr">
        <is>
          <t>N90</t>
        </is>
      </c>
      <c r="L303" t="inlineStr">
        <is>
          <t>(AP) NAFIN 90 Dias</t>
        </is>
      </c>
      <c r="M303" t="n">
        <v>10000160</v>
      </c>
      <c r="N303" t="inlineStr">
        <is>
          <t>Arena Triturada Andesita Malla 4</t>
        </is>
      </c>
      <c r="O303" t="inlineStr">
        <is>
          <t>D836</t>
        </is>
      </c>
      <c r="P303" t="inlineStr">
        <is>
          <t>MX-CED. CENTRO</t>
        </is>
      </c>
      <c r="Q303" t="n">
        <v>20141106</v>
      </c>
      <c r="R303" t="n">
        <v>20281231</v>
      </c>
      <c r="S303" t="n">
        <v>20200225</v>
      </c>
      <c r="T303" t="n">
        <v>20291231</v>
      </c>
      <c r="U303" t="n">
        <v>517.24</v>
      </c>
      <c r="V303" t="inlineStr">
        <is>
          <t>MXN</t>
        </is>
      </c>
      <c r="W303" t="inlineStr">
        <is>
          <t>M3</t>
        </is>
      </c>
      <c r="X303" t="n">
        <v>258.62</v>
      </c>
      <c r="Y303" t="inlineStr">
        <is>
          <t>MXN</t>
        </is>
      </c>
      <c r="Z303" t="inlineStr">
        <is>
          <t>M3</t>
        </is>
      </c>
      <c r="AA303" t="inlineStr">
        <is>
          <t>66847626</t>
        </is>
      </c>
      <c r="AB303" t="inlineStr">
        <is>
          <t>CHAMACUERO/CAPULINES II</t>
        </is>
      </c>
      <c r="AC303" t="n">
        <v>56103638</v>
      </c>
      <c r="AD303" t="n">
        <v>6622261540</v>
      </c>
      <c r="AE303" t="n">
        <v>4</v>
      </c>
      <c r="AF303" t="inlineStr">
        <is>
          <t>ENTREGA DIRECTA</t>
        </is>
      </c>
      <c r="AG303" t="n">
        <v>1.409</v>
      </c>
      <c r="AH303" t="inlineStr">
        <is>
          <t>M3</t>
        </is>
      </c>
      <c r="AI303" t="inlineStr">
        <is>
          <t>X</t>
        </is>
      </c>
      <c r="AJ303" t="n">
        <v>4</v>
      </c>
      <c r="AK303" t="inlineStr">
        <is>
          <t>V4</t>
        </is>
      </c>
      <c r="AL303" t="n">
        <v>20230920</v>
      </c>
      <c r="AM303" t="inlineStr">
        <is>
          <t>D836-900002574-66847626-10000160-4</t>
        </is>
      </c>
    </row>
    <row r="304">
      <c r="A304" t="inlineStr">
        <is>
          <t>900002574D8366681544410000160</t>
        </is>
      </c>
      <c r="B304" t="inlineStr">
        <is>
          <t>4600027590-570</t>
        </is>
      </c>
      <c r="C304" t="n">
        <v>4600027590</v>
      </c>
      <c r="D304" t="n">
        <v>570</v>
      </c>
      <c r="E304" t="inlineStr">
        <is>
          <t>MXPO</t>
        </is>
      </c>
      <c r="F304" t="inlineStr">
        <is>
          <t>M02</t>
        </is>
      </c>
      <c r="G304" t="n">
        <v>900002574</v>
      </c>
      <c r="H304" t="inlineStr">
        <is>
          <t>TP-ED-OLIELL</t>
        </is>
      </c>
      <c r="I304" t="n">
        <v>5048484</v>
      </c>
      <c r="J304" t="inlineStr">
        <is>
          <t>COMERCIALIZADORA Y TRANSPORTADORA O</t>
        </is>
      </c>
      <c r="K304" t="inlineStr">
        <is>
          <t>N90</t>
        </is>
      </c>
      <c r="L304" t="inlineStr">
        <is>
          <t>(AP) NAFIN 90 Dias</t>
        </is>
      </c>
      <c r="M304" t="n">
        <v>10000160</v>
      </c>
      <c r="N304" t="inlineStr">
        <is>
          <t>Arena Triturada Andesita Malla 4</t>
        </is>
      </c>
      <c r="O304" t="inlineStr">
        <is>
          <t>D836</t>
        </is>
      </c>
      <c r="P304" t="inlineStr">
        <is>
          <t>MX-CED. CENTRO</t>
        </is>
      </c>
      <c r="Q304" t="n">
        <v>20141106</v>
      </c>
      <c r="R304" t="n">
        <v>20281231</v>
      </c>
      <c r="S304" t="n">
        <v>20191129</v>
      </c>
      <c r="T304" t="n">
        <v>20241231</v>
      </c>
      <c r="U304" t="n">
        <v>320</v>
      </c>
      <c r="V304" t="inlineStr">
        <is>
          <t>MXN</t>
        </is>
      </c>
      <c r="W304" t="inlineStr">
        <is>
          <t>M3</t>
        </is>
      </c>
      <c r="X304" t="n">
        <v>160</v>
      </c>
      <c r="Y304" t="inlineStr">
        <is>
          <t>MXN</t>
        </is>
      </c>
      <c r="Z304" t="inlineStr">
        <is>
          <t>M3</t>
        </is>
      </c>
      <c r="AA304" t="inlineStr">
        <is>
          <t>66815444</t>
        </is>
      </c>
      <c r="AB304" t="inlineStr">
        <is>
          <t>TECNICA 57 OTM</t>
        </is>
      </c>
      <c r="AC304" t="n">
        <v>56103638</v>
      </c>
      <c r="AD304" t="n">
        <v>6622261540</v>
      </c>
      <c r="AE304" t="n">
        <v>4</v>
      </c>
      <c r="AF304" t="inlineStr">
        <is>
          <t>ENTREGA DIRECTA</t>
        </is>
      </c>
      <c r="AG304" t="n">
        <v>1.409</v>
      </c>
      <c r="AH304" t="inlineStr">
        <is>
          <t>M3</t>
        </is>
      </c>
      <c r="AI304" t="inlineStr">
        <is>
          <t>X</t>
        </is>
      </c>
      <c r="AJ304" t="n">
        <v>4</v>
      </c>
      <c r="AK304" t="inlineStr">
        <is>
          <t>V4</t>
        </is>
      </c>
      <c r="AL304" t="n">
        <v>20230920</v>
      </c>
      <c r="AM304" t="inlineStr">
        <is>
          <t>D836-900002574-66815444-10000160-4</t>
        </is>
      </c>
    </row>
    <row r="305">
      <c r="A305" t="inlineStr">
        <is>
          <t>900002574D8366685862910000160</t>
        </is>
      </c>
      <c r="B305" t="inlineStr">
        <is>
          <t>4600027590-940</t>
        </is>
      </c>
      <c r="C305" t="n">
        <v>4600027590</v>
      </c>
      <c r="D305" t="n">
        <v>940</v>
      </c>
      <c r="E305" t="inlineStr">
        <is>
          <t>MXPO</t>
        </is>
      </c>
      <c r="F305" t="inlineStr">
        <is>
          <t>M02</t>
        </is>
      </c>
      <c r="G305" t="n">
        <v>900002574</v>
      </c>
      <c r="H305" t="inlineStr">
        <is>
          <t>TP-ED-OLIELL</t>
        </is>
      </c>
      <c r="I305" t="n">
        <v>5048484</v>
      </c>
      <c r="J305" t="inlineStr">
        <is>
          <t>COMERCIALIZADORA Y TRANSPORTADORA O</t>
        </is>
      </c>
      <c r="K305" t="inlineStr">
        <is>
          <t>N90</t>
        </is>
      </c>
      <c r="L305" t="inlineStr">
        <is>
          <t>(AP) NAFIN 90 Dias</t>
        </is>
      </c>
      <c r="M305" t="n">
        <v>10000160</v>
      </c>
      <c r="N305" t="inlineStr">
        <is>
          <t>Arena Triturada Andesita Malla 4</t>
        </is>
      </c>
      <c r="O305" t="inlineStr">
        <is>
          <t>D836</t>
        </is>
      </c>
      <c r="P305" t="inlineStr">
        <is>
          <t>MX-CED. CENTRO</t>
        </is>
      </c>
      <c r="Q305" t="n">
        <v>20141106</v>
      </c>
      <c r="R305" t="n">
        <v>20281231</v>
      </c>
      <c r="S305" t="n">
        <v>20200403</v>
      </c>
      <c r="T305" t="n">
        <v>20291231</v>
      </c>
      <c r="U305" t="n">
        <v>210</v>
      </c>
      <c r="V305" t="inlineStr">
        <is>
          <t>MXN</t>
        </is>
      </c>
      <c r="W305" t="inlineStr">
        <is>
          <t>M3</t>
        </is>
      </c>
      <c r="X305" t="n">
        <v>105</v>
      </c>
      <c r="Y305" t="inlineStr">
        <is>
          <t>MXN</t>
        </is>
      </c>
      <c r="Z305" t="inlineStr">
        <is>
          <t>M3</t>
        </is>
      </c>
      <c r="AA305" t="inlineStr">
        <is>
          <t>66858629</t>
        </is>
      </c>
      <c r="AB305" t="inlineStr">
        <is>
          <t>MANUEL GONZALEZ 89</t>
        </is>
      </c>
      <c r="AC305" t="n">
        <v>56103638</v>
      </c>
      <c r="AD305" t="n">
        <v>6622261540</v>
      </c>
      <c r="AE305" t="n">
        <v>4</v>
      </c>
      <c r="AF305" t="inlineStr">
        <is>
          <t>ENTREGA DIRECTA</t>
        </is>
      </c>
      <c r="AG305" t="n">
        <v>1.409</v>
      </c>
      <c r="AH305" t="inlineStr">
        <is>
          <t>M3</t>
        </is>
      </c>
      <c r="AI305" t="inlineStr">
        <is>
          <t>X</t>
        </is>
      </c>
      <c r="AJ305" t="n">
        <v>4</v>
      </c>
      <c r="AK305" t="inlineStr">
        <is>
          <t>V4</t>
        </is>
      </c>
      <c r="AL305" t="n">
        <v>20230920</v>
      </c>
      <c r="AM305" t="inlineStr">
        <is>
          <t>D836-900002574-66858629-10000160-4</t>
        </is>
      </c>
    </row>
    <row r="306">
      <c r="A306" t="inlineStr">
        <is>
          <t>900002574D8366694918610000133</t>
        </is>
      </c>
      <c r="B306" t="inlineStr">
        <is>
          <t>4600027590-2060</t>
        </is>
      </c>
      <c r="C306" t="n">
        <v>4600027590</v>
      </c>
      <c r="D306" t="n">
        <v>2060</v>
      </c>
      <c r="E306" t="inlineStr">
        <is>
          <t>MXPO</t>
        </is>
      </c>
      <c r="F306" t="inlineStr">
        <is>
          <t>M02</t>
        </is>
      </c>
      <c r="G306" t="n">
        <v>900002574</v>
      </c>
      <c r="H306" t="inlineStr">
        <is>
          <t>TP-ED-OLIELL</t>
        </is>
      </c>
      <c r="I306" t="n">
        <v>5048484</v>
      </c>
      <c r="J306" t="inlineStr">
        <is>
          <t>COMERCIALIZADORA Y TRANSPORTADORA O</t>
        </is>
      </c>
      <c r="K306" t="inlineStr">
        <is>
          <t>N90</t>
        </is>
      </c>
      <c r="L306" t="inlineStr">
        <is>
          <t>(AP) NAFIN 90 Dias</t>
        </is>
      </c>
      <c r="M306" t="n">
        <v>10000133</v>
      </c>
      <c r="N306" t="inlineStr">
        <is>
          <t>Grava Triturada Caliza 20 mm - 3/4"</t>
        </is>
      </c>
      <c r="O306" t="inlineStr">
        <is>
          <t>D836</t>
        </is>
      </c>
      <c r="P306" t="inlineStr">
        <is>
          <t>MX-CED. CENTRO</t>
        </is>
      </c>
      <c r="Q306" t="n">
        <v>20141106</v>
      </c>
      <c r="R306" t="n">
        <v>20281231</v>
      </c>
      <c r="S306" t="n">
        <v>20210414</v>
      </c>
      <c r="T306" t="n">
        <v>20291231</v>
      </c>
      <c r="U306" t="n">
        <v>540</v>
      </c>
      <c r="V306" t="inlineStr">
        <is>
          <t>MXN</t>
        </is>
      </c>
      <c r="W306" t="inlineStr">
        <is>
          <t>M3</t>
        </is>
      </c>
      <c r="X306" t="n">
        <v>400</v>
      </c>
      <c r="Y306" t="inlineStr">
        <is>
          <t>MXN</t>
        </is>
      </c>
      <c r="Z306" t="inlineStr">
        <is>
          <t>M3</t>
        </is>
      </c>
      <c r="AA306" t="inlineStr">
        <is>
          <t>66949186</t>
        </is>
      </c>
      <c r="AB306" t="inlineStr">
        <is>
          <t>COLEGIO LA ASUNCION (SEBJ)</t>
        </is>
      </c>
      <c r="AC306" t="n">
        <v>56103637</v>
      </c>
      <c r="AD306" t="n">
        <v>6622261540</v>
      </c>
      <c r="AE306" t="n">
        <v>4</v>
      </c>
      <c r="AF306" t="inlineStr">
        <is>
          <t>ENTREGA DIRECTA</t>
        </is>
      </c>
      <c r="AG306" t="n">
        <v>1.46</v>
      </c>
      <c r="AH306" t="inlineStr">
        <is>
          <t>M3</t>
        </is>
      </c>
      <c r="AI306" t="inlineStr">
        <is>
          <t>X</t>
        </is>
      </c>
      <c r="AJ306" t="n">
        <v>4</v>
      </c>
      <c r="AK306" t="inlineStr">
        <is>
          <t>V4</t>
        </is>
      </c>
      <c r="AL306" t="n">
        <v>20230920</v>
      </c>
      <c r="AM306" t="inlineStr">
        <is>
          <t>D836-900002574-66949186-10000133-4</t>
        </is>
      </c>
    </row>
    <row r="307">
      <c r="A307" t="inlineStr">
        <is>
          <t>900002574D8366660042210000133</t>
        </is>
      </c>
      <c r="B307" t="inlineStr">
        <is>
          <t>4600027590-390</t>
        </is>
      </c>
      <c r="C307" t="n">
        <v>4600027590</v>
      </c>
      <c r="D307" t="n">
        <v>390</v>
      </c>
      <c r="E307" t="inlineStr">
        <is>
          <t>MXPO</t>
        </is>
      </c>
      <c r="F307" t="inlineStr">
        <is>
          <t>M02</t>
        </is>
      </c>
      <c r="G307" t="n">
        <v>900002574</v>
      </c>
      <c r="H307" t="inlineStr">
        <is>
          <t>TP-ED-OLIELL</t>
        </is>
      </c>
      <c r="I307" t="n">
        <v>5048484</v>
      </c>
      <c r="J307" t="inlineStr">
        <is>
          <t>COMERCIALIZADORA Y TRANSPORTADORA O</t>
        </is>
      </c>
      <c r="K307" t="inlineStr">
        <is>
          <t>N90</t>
        </is>
      </c>
      <c r="L307" t="inlineStr">
        <is>
          <t>(AP) NAFIN 90 Dias</t>
        </is>
      </c>
      <c r="M307" t="n">
        <v>10000133</v>
      </c>
      <c r="N307" t="inlineStr">
        <is>
          <t>Grava Triturada Caliza 20 mm - 3/4"</t>
        </is>
      </c>
      <c r="O307" t="inlineStr">
        <is>
          <t>D836</t>
        </is>
      </c>
      <c r="P307" t="inlineStr">
        <is>
          <t>MX-CED. CENTRO</t>
        </is>
      </c>
      <c r="Q307" t="n">
        <v>20141106</v>
      </c>
      <c r="R307" t="n">
        <v>20281231</v>
      </c>
      <c r="S307" t="n">
        <v>20191014</v>
      </c>
      <c r="T307" t="n">
        <v>20241231</v>
      </c>
      <c r="U307" t="n">
        <v>330</v>
      </c>
      <c r="V307" t="inlineStr">
        <is>
          <t>MXN</t>
        </is>
      </c>
      <c r="W307" t="inlineStr">
        <is>
          <t>M3</t>
        </is>
      </c>
      <c r="X307" t="n">
        <v>165</v>
      </c>
      <c r="Y307" t="inlineStr">
        <is>
          <t>MXN</t>
        </is>
      </c>
      <c r="Z307" t="inlineStr">
        <is>
          <t>M3</t>
        </is>
      </c>
      <c r="AA307" t="inlineStr">
        <is>
          <t>66600422</t>
        </is>
      </c>
      <c r="AB307" t="inlineStr">
        <is>
          <t>SAN FELIPE 226</t>
        </is>
      </c>
      <c r="AC307" t="n">
        <v>56103637</v>
      </c>
      <c r="AD307" t="n">
        <v>6622261540</v>
      </c>
      <c r="AE307" t="n">
        <v>4</v>
      </c>
      <c r="AF307" t="inlineStr">
        <is>
          <t>ENTREGA DIRECTA</t>
        </is>
      </c>
      <c r="AG307" t="n">
        <v>1.46</v>
      </c>
      <c r="AH307" t="inlineStr">
        <is>
          <t>M3</t>
        </is>
      </c>
      <c r="AI307" t="inlineStr">
        <is>
          <t>X</t>
        </is>
      </c>
      <c r="AJ307" t="n">
        <v>4</v>
      </c>
      <c r="AK307" t="inlineStr">
        <is>
          <t>V4</t>
        </is>
      </c>
      <c r="AL307" t="n">
        <v>20230920</v>
      </c>
      <c r="AM307" t="inlineStr">
        <is>
          <t>D836-900002574-66600422-10000133-4</t>
        </is>
      </c>
    </row>
    <row r="308">
      <c r="A308" t="inlineStr">
        <is>
          <t>900002574D8366707318510000133</t>
        </is>
      </c>
      <c r="B308" t="inlineStr">
        <is>
          <t>4600027590-2300</t>
        </is>
      </c>
      <c r="C308" t="n">
        <v>4600027590</v>
      </c>
      <c r="D308" t="n">
        <v>2300</v>
      </c>
      <c r="E308" t="inlineStr">
        <is>
          <t>MXPO</t>
        </is>
      </c>
      <c r="F308" t="inlineStr">
        <is>
          <t>M02</t>
        </is>
      </c>
      <c r="G308" t="n">
        <v>900002574</v>
      </c>
      <c r="H308" t="inlineStr">
        <is>
          <t>TP-ED-OLIELL</t>
        </is>
      </c>
      <c r="I308" t="n">
        <v>5048484</v>
      </c>
      <c r="J308" t="inlineStr">
        <is>
          <t>COMERCIALIZADORA Y TRANSPORTADORA O</t>
        </is>
      </c>
      <c r="K308" t="inlineStr">
        <is>
          <t>N90</t>
        </is>
      </c>
      <c r="L308" t="inlineStr">
        <is>
          <t>(AP) NAFIN 90 Dias</t>
        </is>
      </c>
      <c r="M308" t="n">
        <v>10000133</v>
      </c>
      <c r="N308" t="inlineStr">
        <is>
          <t>Grava Triturada Caliza 20 mm - 3/4"</t>
        </is>
      </c>
      <c r="O308" t="inlineStr">
        <is>
          <t>D836</t>
        </is>
      </c>
      <c r="P308" t="inlineStr">
        <is>
          <t>MX-CED. CENTRO</t>
        </is>
      </c>
      <c r="Q308" t="n">
        <v>20141106</v>
      </c>
      <c r="R308" t="n">
        <v>20281231</v>
      </c>
      <c r="S308" t="n">
        <v>20220629</v>
      </c>
      <c r="T308" t="n">
        <v>20271231</v>
      </c>
      <c r="U308" t="n">
        <v>576.5</v>
      </c>
      <c r="V308" t="inlineStr">
        <is>
          <t>MXN</t>
        </is>
      </c>
      <c r="W308" t="inlineStr">
        <is>
          <t>M3</t>
        </is>
      </c>
      <c r="X308" t="n">
        <v>126.5</v>
      </c>
      <c r="Y308" t="inlineStr">
        <is>
          <t>MXN</t>
        </is>
      </c>
      <c r="Z308" t="inlineStr">
        <is>
          <t>M3</t>
        </is>
      </c>
      <c r="AA308" t="inlineStr">
        <is>
          <t>67073185</t>
        </is>
      </c>
      <c r="AB308" t="inlineStr">
        <is>
          <t>Planta Tecámac</t>
        </is>
      </c>
      <c r="AC308" t="n">
        <v>56103637</v>
      </c>
      <c r="AD308" t="n">
        <v>6622261540</v>
      </c>
      <c r="AE308" t="n">
        <v>4</v>
      </c>
      <c r="AF308" t="inlineStr">
        <is>
          <t>ENTREGA DIRECTA</t>
        </is>
      </c>
      <c r="AG308" t="n">
        <v>1.46</v>
      </c>
      <c r="AH308" t="inlineStr">
        <is>
          <t>M3</t>
        </is>
      </c>
      <c r="AI308" t="inlineStr">
        <is>
          <t>X</t>
        </is>
      </c>
      <c r="AJ308" t="n">
        <v>4</v>
      </c>
      <c r="AK308" t="inlineStr">
        <is>
          <t>V4</t>
        </is>
      </c>
      <c r="AL308" t="n">
        <v>20230920</v>
      </c>
      <c r="AM308" t="inlineStr">
        <is>
          <t>D836-900002574-67073185-10000133-4</t>
        </is>
      </c>
    </row>
    <row r="309">
      <c r="A309" t="inlineStr">
        <is>
          <t>900002574D8366689943110000160</t>
        </is>
      </c>
      <c r="B309" t="inlineStr">
        <is>
          <t>4600027590-1420</t>
        </is>
      </c>
      <c r="C309" t="n">
        <v>4600027590</v>
      </c>
      <c r="D309" t="n">
        <v>1420</v>
      </c>
      <c r="E309" t="inlineStr">
        <is>
          <t>MXPO</t>
        </is>
      </c>
      <c r="F309" t="inlineStr">
        <is>
          <t>M02</t>
        </is>
      </c>
      <c r="G309" t="n">
        <v>900002574</v>
      </c>
      <c r="H309" t="inlineStr">
        <is>
          <t>TP-ED-OLIELL</t>
        </is>
      </c>
      <c r="I309" t="n">
        <v>5048484</v>
      </c>
      <c r="J309" t="inlineStr">
        <is>
          <t>COMERCIALIZADORA Y TRANSPORTADORA O</t>
        </is>
      </c>
      <c r="K309" t="inlineStr">
        <is>
          <t>N90</t>
        </is>
      </c>
      <c r="L309" t="inlineStr">
        <is>
          <t>(AP) NAFIN 90 Dias</t>
        </is>
      </c>
      <c r="M309" t="n">
        <v>10000160</v>
      </c>
      <c r="N309" t="inlineStr">
        <is>
          <t>Arena Triturada Andesita Malla 4</t>
        </is>
      </c>
      <c r="O309" t="inlineStr">
        <is>
          <t>D836</t>
        </is>
      </c>
      <c r="P309" t="inlineStr">
        <is>
          <t>MX-CED. CENTRO</t>
        </is>
      </c>
      <c r="Q309" t="n">
        <v>20141106</v>
      </c>
      <c r="R309" t="n">
        <v>20281231</v>
      </c>
      <c r="S309" t="n">
        <v>20200928</v>
      </c>
      <c r="T309" t="n">
        <v>20291231</v>
      </c>
      <c r="U309" t="n">
        <v>482.92</v>
      </c>
      <c r="V309" t="inlineStr">
        <is>
          <t>MXN</t>
        </is>
      </c>
      <c r="W309" t="inlineStr">
        <is>
          <t>M3</t>
        </is>
      </c>
      <c r="X309" t="n">
        <v>372.92</v>
      </c>
      <c r="Y309" t="inlineStr">
        <is>
          <t>MXN</t>
        </is>
      </c>
      <c r="Z309" t="inlineStr">
        <is>
          <t>M3</t>
        </is>
      </c>
      <c r="AA309" t="inlineStr">
        <is>
          <t>66899431</t>
        </is>
      </c>
      <c r="AC309" t="n">
        <v>56103638</v>
      </c>
      <c r="AD309" t="n">
        <v>6622261540</v>
      </c>
      <c r="AE309" t="n">
        <v>4</v>
      </c>
      <c r="AF309" t="inlineStr">
        <is>
          <t>ENTREGA DIRECTA</t>
        </is>
      </c>
      <c r="AG309" t="n">
        <v>1.409</v>
      </c>
      <c r="AH309" t="inlineStr">
        <is>
          <t>M3</t>
        </is>
      </c>
      <c r="AI309" t="inlineStr">
        <is>
          <t>X</t>
        </is>
      </c>
      <c r="AJ309" t="n">
        <v>4</v>
      </c>
      <c r="AK309" t="inlineStr">
        <is>
          <t>V4</t>
        </is>
      </c>
      <c r="AL309" t="n">
        <v>20230920</v>
      </c>
      <c r="AM309" t="inlineStr">
        <is>
          <t>D836-900002574-66899431-10000160-4</t>
        </is>
      </c>
    </row>
    <row r="310">
      <c r="A310" t="inlineStr">
        <is>
          <t>900002574D8366689943910000357</t>
        </is>
      </c>
      <c r="B310" t="inlineStr">
        <is>
          <t>4600027590-1450</t>
        </is>
      </c>
      <c r="C310" t="n">
        <v>4600027590</v>
      </c>
      <c r="D310" t="n">
        <v>1450</v>
      </c>
      <c r="E310" t="inlineStr">
        <is>
          <t>MXPO</t>
        </is>
      </c>
      <c r="F310" t="inlineStr">
        <is>
          <t>M02</t>
        </is>
      </c>
      <c r="G310" t="n">
        <v>900002574</v>
      </c>
      <c r="H310" t="inlineStr">
        <is>
          <t>TP-ED-OLIELL</t>
        </is>
      </c>
      <c r="I310" t="n">
        <v>5048484</v>
      </c>
      <c r="J310" t="inlineStr">
        <is>
          <t>COMERCIALIZADORA Y TRANSPORTADORA O</t>
        </is>
      </c>
      <c r="K310" t="inlineStr">
        <is>
          <t>N90</t>
        </is>
      </c>
      <c r="L310" t="inlineStr">
        <is>
          <t>(AP) NAFIN 90 Dias</t>
        </is>
      </c>
      <c r="M310" t="n">
        <v>10000357</v>
      </c>
      <c r="N310" t="inlineStr">
        <is>
          <t>Grava Triturada Andesita 20 mm - 3/4"</t>
        </is>
      </c>
      <c r="O310" t="inlineStr">
        <is>
          <t>D836</t>
        </is>
      </c>
      <c r="P310" t="inlineStr">
        <is>
          <t>MX-CED. CENTRO</t>
        </is>
      </c>
      <c r="Q310" t="n">
        <v>20141106</v>
      </c>
      <c r="R310" t="n">
        <v>20281231</v>
      </c>
      <c r="S310" t="n">
        <v>20200928</v>
      </c>
      <c r="T310" t="n">
        <v>20291231</v>
      </c>
      <c r="U310" t="n">
        <v>502.16</v>
      </c>
      <c r="V310" t="inlineStr">
        <is>
          <t>MXN</t>
        </is>
      </c>
      <c r="W310" t="inlineStr">
        <is>
          <t>M3</t>
        </is>
      </c>
      <c r="X310" t="n">
        <v>372.92</v>
      </c>
      <c r="Y310" t="inlineStr">
        <is>
          <t>MXN</t>
        </is>
      </c>
      <c r="Z310" t="inlineStr">
        <is>
          <t>M3</t>
        </is>
      </c>
      <c r="AA310" t="inlineStr">
        <is>
          <t>66899439</t>
        </is>
      </c>
      <c r="AC310" t="n">
        <v>56103637</v>
      </c>
      <c r="AD310" t="n">
        <v>6622261540</v>
      </c>
      <c r="AE310" t="n">
        <v>4</v>
      </c>
      <c r="AF310" t="inlineStr">
        <is>
          <t>ENTREGA DIRECTA</t>
        </is>
      </c>
      <c r="AG310" t="n">
        <v>1.326</v>
      </c>
      <c r="AH310" t="inlineStr">
        <is>
          <t>M3</t>
        </is>
      </c>
      <c r="AI310" t="inlineStr">
        <is>
          <t>X</t>
        </is>
      </c>
      <c r="AJ310" t="n">
        <v>4</v>
      </c>
      <c r="AK310" t="inlineStr">
        <is>
          <t>V4</t>
        </is>
      </c>
      <c r="AL310" t="n">
        <v>20230920</v>
      </c>
      <c r="AM310" t="inlineStr">
        <is>
          <t>D836-900002574-66899439-10000357-4</t>
        </is>
      </c>
    </row>
    <row r="311">
      <c r="A311" t="inlineStr">
        <is>
          <t>900002574D8366682296110000357</t>
        </is>
      </c>
      <c r="B311" t="inlineStr">
        <is>
          <t>4600027590-510</t>
        </is>
      </c>
      <c r="C311" t="n">
        <v>4600027590</v>
      </c>
      <c r="D311" t="n">
        <v>510</v>
      </c>
      <c r="E311" t="inlineStr">
        <is>
          <t>MXPO</t>
        </is>
      </c>
      <c r="F311" t="inlineStr">
        <is>
          <t>M02</t>
        </is>
      </c>
      <c r="G311" t="n">
        <v>900002574</v>
      </c>
      <c r="H311" t="inlineStr">
        <is>
          <t>TP-ED-OLIELL</t>
        </is>
      </c>
      <c r="I311" t="n">
        <v>5048484</v>
      </c>
      <c r="J311" t="inlineStr">
        <is>
          <t>COMERCIALIZADORA Y TRANSPORTADORA O</t>
        </is>
      </c>
      <c r="K311" t="inlineStr">
        <is>
          <t>N90</t>
        </is>
      </c>
      <c r="L311" t="inlineStr">
        <is>
          <t>(AP) NAFIN 90 Dias</t>
        </is>
      </c>
      <c r="M311" t="n">
        <v>10000357</v>
      </c>
      <c r="N311" t="inlineStr">
        <is>
          <t>Grava Triturada Andesita 20 mm - 3/4"</t>
        </is>
      </c>
      <c r="O311" t="inlineStr">
        <is>
          <t>D836</t>
        </is>
      </c>
      <c r="P311" t="inlineStr">
        <is>
          <t>MX-CED. CENTRO</t>
        </is>
      </c>
      <c r="Q311" t="n">
        <v>20141106</v>
      </c>
      <c r="R311" t="n">
        <v>20281231</v>
      </c>
      <c r="S311" t="n">
        <v>20191127</v>
      </c>
      <c r="T311" t="n">
        <v>20241231</v>
      </c>
      <c r="U311" t="n">
        <v>491.37</v>
      </c>
      <c r="V311" t="inlineStr">
        <is>
          <t>MXN</t>
        </is>
      </c>
      <c r="W311" t="inlineStr">
        <is>
          <t>M3</t>
        </is>
      </c>
      <c r="X311" t="n">
        <v>245.69</v>
      </c>
      <c r="Y311" t="inlineStr">
        <is>
          <t>MXN</t>
        </is>
      </c>
      <c r="Z311" t="inlineStr">
        <is>
          <t>M3</t>
        </is>
      </c>
      <c r="AA311" t="inlineStr">
        <is>
          <t>66822961</t>
        </is>
      </c>
      <c r="AB311" t="inlineStr">
        <is>
          <t>GUSTAVO BAZ 13</t>
        </is>
      </c>
      <c r="AC311" t="n">
        <v>56103637</v>
      </c>
      <c r="AD311" t="n">
        <v>6622261540</v>
      </c>
      <c r="AE311" t="n">
        <v>4</v>
      </c>
      <c r="AF311" t="inlineStr">
        <is>
          <t>ENTREGA DIRECTA</t>
        </is>
      </c>
      <c r="AG311" t="n">
        <v>1.326</v>
      </c>
      <c r="AH311" t="inlineStr">
        <is>
          <t>M3</t>
        </is>
      </c>
      <c r="AI311" t="inlineStr">
        <is>
          <t>X</t>
        </is>
      </c>
      <c r="AJ311" t="n">
        <v>4</v>
      </c>
      <c r="AK311" t="inlineStr">
        <is>
          <t>V4</t>
        </is>
      </c>
      <c r="AL311" t="n">
        <v>20230920</v>
      </c>
      <c r="AM311" t="inlineStr">
        <is>
          <t>D836-900002574-66822961-10000357-4</t>
        </is>
      </c>
    </row>
    <row r="312">
      <c r="A312" t="inlineStr">
        <is>
          <t>900002574D8366701980210000623</t>
        </is>
      </c>
      <c r="B312" t="inlineStr">
        <is>
          <t>4600027590-2220</t>
        </is>
      </c>
      <c r="C312" t="n">
        <v>4600027590</v>
      </c>
      <c r="D312" t="n">
        <v>2220</v>
      </c>
      <c r="E312" t="inlineStr">
        <is>
          <t>MXPO</t>
        </is>
      </c>
      <c r="F312" t="inlineStr">
        <is>
          <t>M02</t>
        </is>
      </c>
      <c r="G312" t="n">
        <v>900002574</v>
      </c>
      <c r="H312" t="inlineStr">
        <is>
          <t>TP-ED-OLIELL</t>
        </is>
      </c>
      <c r="I312" t="n">
        <v>5048484</v>
      </c>
      <c r="J312" t="inlineStr">
        <is>
          <t>COMERCIALIZADORA Y TRANSPORTADORA O</t>
        </is>
      </c>
      <c r="K312" t="inlineStr">
        <is>
          <t>N90</t>
        </is>
      </c>
      <c r="L312" t="inlineStr">
        <is>
          <t>(AP) NAFIN 90 Dias</t>
        </is>
      </c>
      <c r="M312" t="n">
        <v>10000623</v>
      </c>
      <c r="N312" t="inlineStr">
        <is>
          <t>Grava Triturada Caliza 10 mm - 3/8"</t>
        </is>
      </c>
      <c r="O312" t="inlineStr">
        <is>
          <t>D836</t>
        </is>
      </c>
      <c r="P312" t="inlineStr">
        <is>
          <t>MX-CED. CENTRO</t>
        </is>
      </c>
      <c r="Q312" t="n">
        <v>20141106</v>
      </c>
      <c r="R312" t="n">
        <v>20281231</v>
      </c>
      <c r="S312" t="n">
        <v>20210907</v>
      </c>
      <c r="T312" t="n">
        <v>20261231</v>
      </c>
      <c r="U312" t="n">
        <v>735</v>
      </c>
      <c r="V312" t="inlineStr">
        <is>
          <t>MXN</t>
        </is>
      </c>
      <c r="W312" t="inlineStr">
        <is>
          <t>M3</t>
        </is>
      </c>
      <c r="X312" t="n">
        <v>625</v>
      </c>
      <c r="Y312" t="inlineStr">
        <is>
          <t>MXN</t>
        </is>
      </c>
      <c r="Z312" t="inlineStr">
        <is>
          <t>M3</t>
        </is>
      </c>
      <c r="AA312" t="inlineStr">
        <is>
          <t>67019802</t>
        </is>
      </c>
      <c r="AB312" t="inlineStr">
        <is>
          <t>H colegio Militar E.2</t>
        </is>
      </c>
      <c r="AC312" t="n">
        <v>56103637</v>
      </c>
      <c r="AD312" t="n">
        <v>6622261540</v>
      </c>
      <c r="AE312" t="n">
        <v>4</v>
      </c>
      <c r="AF312" t="inlineStr">
        <is>
          <t>ENTREGA DIRECTA</t>
        </is>
      </c>
      <c r="AG312" t="n">
        <v>1.41</v>
      </c>
      <c r="AH312" t="inlineStr">
        <is>
          <t>M3</t>
        </is>
      </c>
      <c r="AI312" t="inlineStr">
        <is>
          <t>X</t>
        </is>
      </c>
      <c r="AJ312" t="n">
        <v>4</v>
      </c>
      <c r="AK312" t="inlineStr">
        <is>
          <t>V4</t>
        </is>
      </c>
      <c r="AL312" t="n">
        <v>20230920</v>
      </c>
      <c r="AM312" t="inlineStr">
        <is>
          <t>D836-900002574-67019802-10000623-4</t>
        </is>
      </c>
    </row>
    <row r="313">
      <c r="A313" t="inlineStr">
        <is>
          <t>900002574D8366689471110000357</t>
        </is>
      </c>
      <c r="B313" t="inlineStr">
        <is>
          <t>4600027590-1510</t>
        </is>
      </c>
      <c r="C313" t="n">
        <v>4600027590</v>
      </c>
      <c r="D313" t="n">
        <v>1510</v>
      </c>
      <c r="E313" t="inlineStr">
        <is>
          <t>MXPO</t>
        </is>
      </c>
      <c r="F313" t="inlineStr">
        <is>
          <t>M02</t>
        </is>
      </c>
      <c r="G313" t="n">
        <v>900002574</v>
      </c>
      <c r="H313" t="inlineStr">
        <is>
          <t>TP-ED-OLIELL</t>
        </is>
      </c>
      <c r="I313" t="n">
        <v>5048484</v>
      </c>
      <c r="J313" t="inlineStr">
        <is>
          <t>COMERCIALIZADORA Y TRANSPORTADORA O</t>
        </is>
      </c>
      <c r="K313" t="inlineStr">
        <is>
          <t>N90</t>
        </is>
      </c>
      <c r="L313" t="inlineStr">
        <is>
          <t>(AP) NAFIN 90 Dias</t>
        </is>
      </c>
      <c r="M313" t="n">
        <v>10000357</v>
      </c>
      <c r="N313" t="inlineStr">
        <is>
          <t>Grava Triturada Andesita 20 mm - 3/4"</t>
        </is>
      </c>
      <c r="O313" t="inlineStr">
        <is>
          <t>D836</t>
        </is>
      </c>
      <c r="P313" t="inlineStr">
        <is>
          <t>MX-CED. CENTRO</t>
        </is>
      </c>
      <c r="Q313" t="n">
        <v>20141106</v>
      </c>
      <c r="R313" t="n">
        <v>20281231</v>
      </c>
      <c r="S313" t="n">
        <v>20200928</v>
      </c>
      <c r="T313" t="n">
        <v>20291231</v>
      </c>
      <c r="U313" t="n">
        <v>340</v>
      </c>
      <c r="V313" t="inlineStr">
        <is>
          <t>MXN</t>
        </is>
      </c>
      <c r="W313" t="inlineStr">
        <is>
          <t>M3</t>
        </is>
      </c>
      <c r="X313" t="n">
        <v>230</v>
      </c>
      <c r="Y313" t="inlineStr">
        <is>
          <t>MXN</t>
        </is>
      </c>
      <c r="Z313" t="inlineStr">
        <is>
          <t>M3</t>
        </is>
      </c>
      <c r="AA313" t="inlineStr">
        <is>
          <t>66894711</t>
        </is>
      </c>
      <c r="AB313" t="inlineStr">
        <is>
          <t>Almacen de Ayuntamiento de Tlalnepa</t>
        </is>
      </c>
      <c r="AC313" t="n">
        <v>56103637</v>
      </c>
      <c r="AD313" t="n">
        <v>6622261540</v>
      </c>
      <c r="AE313" t="n">
        <v>4</v>
      </c>
      <c r="AF313" t="inlineStr">
        <is>
          <t>ENTREGA DIRECTA</t>
        </is>
      </c>
      <c r="AG313" t="n">
        <v>1.326</v>
      </c>
      <c r="AH313" t="inlineStr">
        <is>
          <t>M3</t>
        </is>
      </c>
      <c r="AI313" t="inlineStr">
        <is>
          <t>X</t>
        </is>
      </c>
      <c r="AJ313" t="n">
        <v>4</v>
      </c>
      <c r="AK313" t="inlineStr">
        <is>
          <t>V4</t>
        </is>
      </c>
      <c r="AL313" t="n">
        <v>20230920</v>
      </c>
      <c r="AM313" t="inlineStr">
        <is>
          <t>D836-900002574-66894711-10000357-4</t>
        </is>
      </c>
    </row>
    <row r="314">
      <c r="A314" t="inlineStr">
        <is>
          <t>900002574D8366714860610000133</t>
        </is>
      </c>
      <c r="B314" t="inlineStr">
        <is>
          <t>4600027590-2400</t>
        </is>
      </c>
      <c r="C314" t="n">
        <v>4600027590</v>
      </c>
      <c r="D314" t="n">
        <v>2400</v>
      </c>
      <c r="E314" t="inlineStr">
        <is>
          <t>MXPO</t>
        </is>
      </c>
      <c r="F314" t="inlineStr">
        <is>
          <t>M02</t>
        </is>
      </c>
      <c r="G314" t="n">
        <v>900002574</v>
      </c>
      <c r="H314" t="inlineStr">
        <is>
          <t>TP-ED-OLIELL</t>
        </is>
      </c>
      <c r="I314" t="n">
        <v>5048484</v>
      </c>
      <c r="J314" t="inlineStr">
        <is>
          <t>COMERCIALIZADORA Y TRANSPORTADORA O</t>
        </is>
      </c>
      <c r="K314" t="inlineStr">
        <is>
          <t>N90</t>
        </is>
      </c>
      <c r="L314" t="inlineStr">
        <is>
          <t>(AP) NAFIN 90 Dias</t>
        </is>
      </c>
      <c r="M314" t="n">
        <v>10000133</v>
      </c>
      <c r="N314" t="inlineStr">
        <is>
          <t>Grava Triturada Caliza 20 mm - 3/4"</t>
        </is>
      </c>
      <c r="O314" t="inlineStr">
        <is>
          <t>D836</t>
        </is>
      </c>
      <c r="P314" t="inlineStr">
        <is>
          <t>MX-CED. CENTRO</t>
        </is>
      </c>
      <c r="Q314" t="n">
        <v>20141106</v>
      </c>
      <c r="R314" t="n">
        <v>20281231</v>
      </c>
      <c r="S314" t="n">
        <v>20230523</v>
      </c>
      <c r="T314" t="n">
        <v>20281231</v>
      </c>
      <c r="U314" t="n">
        <v>1036</v>
      </c>
      <c r="V314" t="inlineStr">
        <is>
          <t>MXN</t>
        </is>
      </c>
      <c r="W314" t="inlineStr">
        <is>
          <t>M3</t>
        </is>
      </c>
      <c r="X314" t="n">
        <v>336</v>
      </c>
      <c r="Y314" t="inlineStr">
        <is>
          <t>MXN</t>
        </is>
      </c>
      <c r="Z314" t="inlineStr">
        <is>
          <t>M3</t>
        </is>
      </c>
      <c r="AA314" t="inlineStr">
        <is>
          <t>67148606</t>
        </is>
      </c>
      <c r="AB314" t="inlineStr">
        <is>
          <t>REMODELACIÓN BODEGA AURRERA</t>
        </is>
      </c>
      <c r="AC314" t="n">
        <v>56103637</v>
      </c>
      <c r="AD314" t="n">
        <v>6622261540</v>
      </c>
      <c r="AE314" t="n">
        <v>4</v>
      </c>
      <c r="AF314" t="inlineStr">
        <is>
          <t>ENTREGA DIRECTA</t>
        </is>
      </c>
      <c r="AG314" t="n">
        <v>1.46</v>
      </c>
      <c r="AH314" t="inlineStr">
        <is>
          <t>M3</t>
        </is>
      </c>
      <c r="AI314" t="inlineStr">
        <is>
          <t>X</t>
        </is>
      </c>
      <c r="AJ314" t="n">
        <v>4</v>
      </c>
      <c r="AK314" t="inlineStr">
        <is>
          <t>V4</t>
        </is>
      </c>
      <c r="AL314" t="n">
        <v>20230920</v>
      </c>
      <c r="AM314" t="inlineStr">
        <is>
          <t>D836-900002574-67148606-10000133-4</t>
        </is>
      </c>
    </row>
    <row r="315">
      <c r="A315" t="inlineStr">
        <is>
          <t>900002574D8366515056310000651</t>
        </is>
      </c>
      <c r="B315" t="inlineStr">
        <is>
          <t>4600027590-2180</t>
        </is>
      </c>
      <c r="C315" t="n">
        <v>4600027590</v>
      </c>
      <c r="D315" t="n">
        <v>2180</v>
      </c>
      <c r="E315" t="inlineStr">
        <is>
          <t>MXPO</t>
        </is>
      </c>
      <c r="F315" t="inlineStr">
        <is>
          <t>M02</t>
        </is>
      </c>
      <c r="G315" t="n">
        <v>900002574</v>
      </c>
      <c r="H315" t="inlineStr">
        <is>
          <t>TP-ED-OLIELL</t>
        </is>
      </c>
      <c r="I315" t="n">
        <v>5048484</v>
      </c>
      <c r="J315" t="inlineStr">
        <is>
          <t>COMERCIALIZADORA Y TRANSPORTADORA O</t>
        </is>
      </c>
      <c r="K315" t="inlineStr">
        <is>
          <t>N90</t>
        </is>
      </c>
      <c r="L315" t="inlineStr">
        <is>
          <t>(AP) NAFIN 90 Dias</t>
        </is>
      </c>
      <c r="M315" t="n">
        <v>10000651</v>
      </c>
      <c r="N315" t="inlineStr">
        <is>
          <t>Arena Triturada Andesita Malla 8</t>
        </is>
      </c>
      <c r="O315" t="inlineStr">
        <is>
          <t>D836</t>
        </is>
      </c>
      <c r="P315" t="inlineStr">
        <is>
          <t>MX-CED. CENTRO</t>
        </is>
      </c>
      <c r="Q315" t="n">
        <v>20141106</v>
      </c>
      <c r="R315" t="n">
        <v>20281231</v>
      </c>
      <c r="S315" t="n">
        <v>20211110</v>
      </c>
      <c r="T315" t="n">
        <v>20261231</v>
      </c>
      <c r="U315" t="n">
        <v>1070</v>
      </c>
      <c r="V315" t="inlineStr">
        <is>
          <t>MXN</t>
        </is>
      </c>
      <c r="W315" t="inlineStr">
        <is>
          <t>M3</t>
        </is>
      </c>
      <c r="X315" t="n">
        <v>720</v>
      </c>
      <c r="Y315" t="inlineStr">
        <is>
          <t>MXN</t>
        </is>
      </c>
      <c r="Z315" t="inlineStr">
        <is>
          <t>M3</t>
        </is>
      </c>
      <c r="AA315" t="inlineStr">
        <is>
          <t>65150563</t>
        </is>
      </c>
      <c r="AB315" t="inlineStr">
        <is>
          <t>AMPLIACION CEDROS</t>
        </is>
      </c>
      <c r="AC315" t="n">
        <v>56103638</v>
      </c>
      <c r="AD315" t="n">
        <v>6622261540</v>
      </c>
      <c r="AE315" t="n">
        <v>4</v>
      </c>
      <c r="AF315" t="inlineStr">
        <is>
          <t>ENTREGA DIRECTA</t>
        </is>
      </c>
      <c r="AG315" t="n">
        <v>1.35</v>
      </c>
      <c r="AH315" t="inlineStr">
        <is>
          <t>M3</t>
        </is>
      </c>
      <c r="AI315" t="inlineStr">
        <is>
          <t>X</t>
        </is>
      </c>
      <c r="AJ315" t="n">
        <v>4</v>
      </c>
      <c r="AK315" t="inlineStr">
        <is>
          <t>V4</t>
        </is>
      </c>
      <c r="AL315" t="n">
        <v>20230920</v>
      </c>
      <c r="AM315" t="inlineStr">
        <is>
          <t>D836-900002574-65150563-10000651-4</t>
        </is>
      </c>
    </row>
    <row r="316">
      <c r="A316" t="inlineStr">
        <is>
          <t>900002574D8366691209010000357</t>
        </is>
      </c>
      <c r="B316" t="inlineStr">
        <is>
          <t>4600027590-1760</t>
        </is>
      </c>
      <c r="C316" t="n">
        <v>4600027590</v>
      </c>
      <c r="D316" t="n">
        <v>1760</v>
      </c>
      <c r="E316" t="inlineStr">
        <is>
          <t>MXPO</t>
        </is>
      </c>
      <c r="F316" t="inlineStr">
        <is>
          <t>M02</t>
        </is>
      </c>
      <c r="G316" t="n">
        <v>900002574</v>
      </c>
      <c r="H316" t="inlineStr">
        <is>
          <t>TP-ED-OLIELL</t>
        </is>
      </c>
      <c r="I316" t="n">
        <v>5048484</v>
      </c>
      <c r="J316" t="inlineStr">
        <is>
          <t>COMERCIALIZADORA Y TRANSPORTADORA O</t>
        </is>
      </c>
      <c r="K316" t="inlineStr">
        <is>
          <t>N90</t>
        </is>
      </c>
      <c r="L316" t="inlineStr">
        <is>
          <t>(AP) NAFIN 90 Dias</t>
        </is>
      </c>
      <c r="M316" t="n">
        <v>10000357</v>
      </c>
      <c r="N316" t="inlineStr">
        <is>
          <t>Grava Triturada Andesita 20 mm - 3/4"</t>
        </is>
      </c>
      <c r="O316" t="inlineStr">
        <is>
          <t>D836</t>
        </is>
      </c>
      <c r="P316" t="inlineStr">
        <is>
          <t>MX-CED. CENTRO</t>
        </is>
      </c>
      <c r="Q316" t="n">
        <v>20141106</v>
      </c>
      <c r="R316" t="n">
        <v>20281231</v>
      </c>
      <c r="S316" t="n">
        <v>20201030</v>
      </c>
      <c r="T316" t="n">
        <v>20291231</v>
      </c>
      <c r="U316" t="n">
        <v>170</v>
      </c>
      <c r="V316" t="inlineStr">
        <is>
          <t>MXN</t>
        </is>
      </c>
      <c r="W316" t="inlineStr">
        <is>
          <t>M3</t>
        </is>
      </c>
      <c r="X316" t="n">
        <v>60</v>
      </c>
      <c r="Y316" t="inlineStr">
        <is>
          <t>MXN</t>
        </is>
      </c>
      <c r="Z316" t="inlineStr">
        <is>
          <t>M3</t>
        </is>
      </c>
      <c r="AA316" t="inlineStr">
        <is>
          <t>66912090</t>
        </is>
      </c>
      <c r="AB316" t="inlineStr">
        <is>
          <t>PATIO TLALPIZAHUAC CHALCO</t>
        </is>
      </c>
      <c r="AC316" t="n">
        <v>56103637</v>
      </c>
      <c r="AD316" t="n">
        <v>6622261540</v>
      </c>
      <c r="AE316" t="n">
        <v>4</v>
      </c>
      <c r="AF316" t="inlineStr">
        <is>
          <t>ENTREGA DIRECTA</t>
        </is>
      </c>
      <c r="AG316" t="n">
        <v>1.326</v>
      </c>
      <c r="AH316" t="inlineStr">
        <is>
          <t>M3</t>
        </is>
      </c>
      <c r="AI316" t="inlineStr">
        <is>
          <t>X</t>
        </is>
      </c>
      <c r="AJ316" t="n">
        <v>4</v>
      </c>
      <c r="AK316" t="inlineStr">
        <is>
          <t>V4</t>
        </is>
      </c>
      <c r="AL316" t="n">
        <v>20230920</v>
      </c>
      <c r="AM316" t="inlineStr">
        <is>
          <t>D836-900002574-66912090-10000357-4</t>
        </is>
      </c>
    </row>
    <row r="317">
      <c r="A317" t="inlineStr">
        <is>
          <t>900002574D8366712121310000649</t>
        </is>
      </c>
      <c r="B317" t="inlineStr">
        <is>
          <t>4600027590-2350</t>
        </is>
      </c>
      <c r="C317" t="n">
        <v>4600027590</v>
      </c>
      <c r="D317" t="n">
        <v>2350</v>
      </c>
      <c r="E317" t="inlineStr">
        <is>
          <t>MXPO</t>
        </is>
      </c>
      <c r="F317" t="inlineStr">
        <is>
          <t>M02</t>
        </is>
      </c>
      <c r="G317" t="n">
        <v>900002574</v>
      </c>
      <c r="H317" t="inlineStr">
        <is>
          <t>TP-ED-OLIELL</t>
        </is>
      </c>
      <c r="I317" t="n">
        <v>5048484</v>
      </c>
      <c r="J317" t="inlineStr">
        <is>
          <t>COMERCIALIZADORA Y TRANSPORTADORA O</t>
        </is>
      </c>
      <c r="K317" t="inlineStr">
        <is>
          <t>N90</t>
        </is>
      </c>
      <c r="L317" t="inlineStr">
        <is>
          <t>(AP) NAFIN 90 Dias</t>
        </is>
      </c>
      <c r="M317" t="n">
        <v>10000649</v>
      </c>
      <c r="N317" t="inlineStr">
        <is>
          <t>Grava Triturada Andesita 10 mm - 3/8"</t>
        </is>
      </c>
      <c r="O317" t="inlineStr">
        <is>
          <t>D836</t>
        </is>
      </c>
      <c r="P317" t="inlineStr">
        <is>
          <t>MX-CED. CENTRO</t>
        </is>
      </c>
      <c r="Q317" t="n">
        <v>20141106</v>
      </c>
      <c r="R317" t="n">
        <v>20281231</v>
      </c>
      <c r="S317" t="n">
        <v>20220116</v>
      </c>
      <c r="T317" t="n">
        <v>20271231</v>
      </c>
      <c r="U317" t="n">
        <v>930</v>
      </c>
      <c r="V317" t="inlineStr">
        <is>
          <t>MXN</t>
        </is>
      </c>
      <c r="W317" t="inlineStr">
        <is>
          <t>M3</t>
        </is>
      </c>
      <c r="X317" t="n">
        <v>600</v>
      </c>
      <c r="Y317" t="inlineStr">
        <is>
          <t>MXN</t>
        </is>
      </c>
      <c r="Z317" t="inlineStr">
        <is>
          <t>M3</t>
        </is>
      </c>
      <c r="AA317" t="inlineStr">
        <is>
          <t>67121213</t>
        </is>
      </c>
      <c r="AB317" t="inlineStr">
        <is>
          <t>PANELES JUMEX</t>
        </is>
      </c>
      <c r="AC317" t="n">
        <v>56103637</v>
      </c>
      <c r="AD317" t="n">
        <v>6622261540</v>
      </c>
      <c r="AE317" t="n">
        <v>4</v>
      </c>
      <c r="AF317" t="inlineStr">
        <is>
          <t>ENTREGA DIRECTA</t>
        </is>
      </c>
      <c r="AG317" t="n">
        <v>1.315</v>
      </c>
      <c r="AH317" t="inlineStr">
        <is>
          <t>M3</t>
        </is>
      </c>
      <c r="AI317" t="inlineStr">
        <is>
          <t>X</t>
        </is>
      </c>
      <c r="AJ317" t="n">
        <v>4</v>
      </c>
      <c r="AK317" t="inlineStr">
        <is>
          <t>V4</t>
        </is>
      </c>
      <c r="AL317" t="n">
        <v>20230920</v>
      </c>
      <c r="AM317" t="inlineStr">
        <is>
          <t>D836-900002574-67121213-10000649-4</t>
        </is>
      </c>
    </row>
    <row r="318">
      <c r="A318" t="inlineStr">
        <is>
          <t>900002574D8366693331310000357</t>
        </is>
      </c>
      <c r="B318" t="inlineStr">
        <is>
          <t>4600027590-2460</t>
        </is>
      </c>
      <c r="C318" t="n">
        <v>4600027590</v>
      </c>
      <c r="D318" t="n">
        <v>2460</v>
      </c>
      <c r="E318" t="inlineStr">
        <is>
          <t>MXPO</t>
        </is>
      </c>
      <c r="F318" t="inlineStr">
        <is>
          <t>M02</t>
        </is>
      </c>
      <c r="G318" t="n">
        <v>900002574</v>
      </c>
      <c r="H318" t="inlineStr">
        <is>
          <t>TP-ED-OLIELL</t>
        </is>
      </c>
      <c r="I318" t="n">
        <v>5048484</v>
      </c>
      <c r="J318" t="inlineStr">
        <is>
          <t>COMERCIALIZADORA Y TRANSPORTADORA O</t>
        </is>
      </c>
      <c r="K318" t="inlineStr">
        <is>
          <t>N90</t>
        </is>
      </c>
      <c r="L318" t="inlineStr">
        <is>
          <t>(AP) NAFIN 90 Dias</t>
        </is>
      </c>
      <c r="M318" t="n">
        <v>10000357</v>
      </c>
      <c r="N318" t="inlineStr">
        <is>
          <t>Grava Triturada Andesita 20 mm - 3/4"</t>
        </is>
      </c>
      <c r="O318" t="inlineStr">
        <is>
          <t>D836</t>
        </is>
      </c>
      <c r="P318" t="inlineStr">
        <is>
          <t>MX-CED. CENTRO</t>
        </is>
      </c>
      <c r="Q318" t="n">
        <v>20141106</v>
      </c>
      <c r="R318" t="n">
        <v>20281231</v>
      </c>
      <c r="S318" t="n">
        <v>20230711</v>
      </c>
      <c r="T318" t="n">
        <v>20281231</v>
      </c>
      <c r="U318" t="n">
        <v>217.31</v>
      </c>
      <c r="V318" t="inlineStr">
        <is>
          <t>MXN</t>
        </is>
      </c>
      <c r="W318" t="inlineStr">
        <is>
          <t>TN</t>
        </is>
      </c>
      <c r="X318" t="n">
        <v>119.13</v>
      </c>
      <c r="Y318" t="inlineStr">
        <is>
          <t>MXN</t>
        </is>
      </c>
      <c r="Z318" t="inlineStr">
        <is>
          <t>TN</t>
        </is>
      </c>
      <c r="AA318" t="inlineStr">
        <is>
          <t>66933313</t>
        </is>
      </c>
      <c r="AB318" t="inlineStr">
        <is>
          <t>Centro Ecuestre Miguel Hidalgo</t>
        </is>
      </c>
      <c r="AC318" t="n">
        <v>56103637</v>
      </c>
      <c r="AD318" t="n">
        <v>6622261540</v>
      </c>
      <c r="AE318" t="n">
        <v>4</v>
      </c>
      <c r="AF318" t="inlineStr">
        <is>
          <t>ENTREGA DIRECTA</t>
        </is>
      </c>
      <c r="AG318" t="n">
        <v>1</v>
      </c>
      <c r="AH318" t="inlineStr">
        <is>
          <t>TO</t>
        </is>
      </c>
      <c r="AI318" t="inlineStr">
        <is>
          <t>X</t>
        </is>
      </c>
      <c r="AJ318" t="n">
        <v>4</v>
      </c>
      <c r="AK318" t="inlineStr">
        <is>
          <t>V4</t>
        </is>
      </c>
      <c r="AL318" t="n">
        <v>20230920</v>
      </c>
      <c r="AM318" t="inlineStr">
        <is>
          <t>D836-900002574-66933313-10000357-4</t>
        </is>
      </c>
    </row>
    <row r="319">
      <c r="A319" t="inlineStr">
        <is>
          <t>900002574D8366681232710000160</t>
        </is>
      </c>
      <c r="B319" t="inlineStr">
        <is>
          <t>4600027590-310</t>
        </is>
      </c>
      <c r="C319" t="n">
        <v>4600027590</v>
      </c>
      <c r="D319" t="n">
        <v>310</v>
      </c>
      <c r="E319" t="inlineStr">
        <is>
          <t>MXPO</t>
        </is>
      </c>
      <c r="F319" t="inlineStr">
        <is>
          <t>M02</t>
        </is>
      </c>
      <c r="G319" t="n">
        <v>900002574</v>
      </c>
      <c r="H319" t="inlineStr">
        <is>
          <t>TP-ED-OLIELL</t>
        </is>
      </c>
      <c r="I319" t="n">
        <v>5048484</v>
      </c>
      <c r="J319" t="inlineStr">
        <is>
          <t>COMERCIALIZADORA Y TRANSPORTADORA O</t>
        </is>
      </c>
      <c r="K319" t="inlineStr">
        <is>
          <t>N90</t>
        </is>
      </c>
      <c r="L319" t="inlineStr">
        <is>
          <t>(AP) NAFIN 90 Dias</t>
        </is>
      </c>
      <c r="M319" t="n">
        <v>10000160</v>
      </c>
      <c r="N319" t="inlineStr">
        <is>
          <t>Arena Triturada Andesita Malla 4</t>
        </is>
      </c>
      <c r="O319" t="inlineStr">
        <is>
          <t>D836</t>
        </is>
      </c>
      <c r="P319" t="inlineStr">
        <is>
          <t>MX-CED. CENTRO</t>
        </is>
      </c>
      <c r="Q319" t="n">
        <v>20141106</v>
      </c>
      <c r="R319" t="n">
        <v>20281231</v>
      </c>
      <c r="S319" t="n">
        <v>20191002</v>
      </c>
      <c r="T319" t="n">
        <v>20241231</v>
      </c>
      <c r="U319" t="n">
        <v>517.24</v>
      </c>
      <c r="V319" t="inlineStr">
        <is>
          <t>MXN</t>
        </is>
      </c>
      <c r="W319" t="inlineStr">
        <is>
          <t>M3</t>
        </is>
      </c>
      <c r="X319" t="n">
        <v>258.62</v>
      </c>
      <c r="Y319" t="inlineStr">
        <is>
          <t>MXN</t>
        </is>
      </c>
      <c r="Z319" t="inlineStr">
        <is>
          <t>M3</t>
        </is>
      </c>
      <c r="AA319" t="inlineStr">
        <is>
          <t>66812327</t>
        </is>
      </c>
      <c r="AB319" t="inlineStr">
        <is>
          <t>IGNACIO ZARAGOZA SOMOAN</t>
        </is>
      </c>
      <c r="AC319" t="n">
        <v>56103638</v>
      </c>
      <c r="AD319" t="n">
        <v>6622261540</v>
      </c>
      <c r="AE319" t="n">
        <v>4</v>
      </c>
      <c r="AF319" t="inlineStr">
        <is>
          <t>ENTREGA DIRECTA</t>
        </is>
      </c>
      <c r="AG319" t="n">
        <v>1.409</v>
      </c>
      <c r="AH319" t="inlineStr">
        <is>
          <t>M3</t>
        </is>
      </c>
      <c r="AI319" t="inlineStr">
        <is>
          <t>X</t>
        </is>
      </c>
      <c r="AJ319" t="n">
        <v>4</v>
      </c>
      <c r="AK319" t="inlineStr">
        <is>
          <t>V4</t>
        </is>
      </c>
      <c r="AL319" t="n">
        <v>20230920</v>
      </c>
      <c r="AM319" t="inlineStr">
        <is>
          <t>D836-900002574-66812327-10000160-4</t>
        </is>
      </c>
    </row>
    <row r="320">
      <c r="A320" t="inlineStr">
        <is>
          <t>900002574D8366690338110000357</t>
        </is>
      </c>
      <c r="B320" t="inlineStr">
        <is>
          <t>4600027590-1550</t>
        </is>
      </c>
      <c r="C320" t="n">
        <v>4600027590</v>
      </c>
      <c r="D320" t="n">
        <v>1550</v>
      </c>
      <c r="E320" t="inlineStr">
        <is>
          <t>MXPO</t>
        </is>
      </c>
      <c r="F320" t="inlineStr">
        <is>
          <t>M02</t>
        </is>
      </c>
      <c r="G320" t="n">
        <v>900002574</v>
      </c>
      <c r="H320" t="inlineStr">
        <is>
          <t>TP-ED-OLIELL</t>
        </is>
      </c>
      <c r="I320" t="n">
        <v>5048484</v>
      </c>
      <c r="J320" t="inlineStr">
        <is>
          <t>COMERCIALIZADORA Y TRANSPORTADORA O</t>
        </is>
      </c>
      <c r="K320" t="inlineStr">
        <is>
          <t>N90</t>
        </is>
      </c>
      <c r="L320" t="inlineStr">
        <is>
          <t>(AP) NAFIN 90 Dias</t>
        </is>
      </c>
      <c r="M320" t="n">
        <v>10000357</v>
      </c>
      <c r="N320" t="inlineStr">
        <is>
          <t>Grava Triturada Andesita 20 mm - 3/4"</t>
        </is>
      </c>
      <c r="O320" t="inlineStr">
        <is>
          <t>D836</t>
        </is>
      </c>
      <c r="P320" t="inlineStr">
        <is>
          <t>MX-CED. CENTRO</t>
        </is>
      </c>
      <c r="Q320" t="n">
        <v>20141106</v>
      </c>
      <c r="R320" t="n">
        <v>20281231</v>
      </c>
      <c r="S320" t="n">
        <v>20201007</v>
      </c>
      <c r="T320" t="n">
        <v>20291231</v>
      </c>
      <c r="U320" t="n">
        <v>502.16</v>
      </c>
      <c r="V320" t="inlineStr">
        <is>
          <t>MXN</t>
        </is>
      </c>
      <c r="W320" t="inlineStr">
        <is>
          <t>M3</t>
        </is>
      </c>
      <c r="X320" t="n">
        <v>372.92</v>
      </c>
      <c r="Y320" t="inlineStr">
        <is>
          <t>MXN</t>
        </is>
      </c>
      <c r="Z320" t="inlineStr">
        <is>
          <t>M3</t>
        </is>
      </c>
      <c r="AA320" t="inlineStr">
        <is>
          <t>66903381</t>
        </is>
      </c>
      <c r="AC320" t="n">
        <v>56103637</v>
      </c>
      <c r="AD320" t="n">
        <v>6622261540</v>
      </c>
      <c r="AE320" t="n">
        <v>4</v>
      </c>
      <c r="AF320" t="inlineStr">
        <is>
          <t>ENTREGA DIRECTA</t>
        </is>
      </c>
      <c r="AG320" t="n">
        <v>1.326</v>
      </c>
      <c r="AH320" t="inlineStr">
        <is>
          <t>M3</t>
        </is>
      </c>
      <c r="AI320" t="inlineStr">
        <is>
          <t>X</t>
        </is>
      </c>
      <c r="AJ320" t="n">
        <v>4</v>
      </c>
      <c r="AK320" t="inlineStr">
        <is>
          <t>V4</t>
        </is>
      </c>
      <c r="AL320" t="n">
        <v>20230920</v>
      </c>
      <c r="AM320" t="inlineStr">
        <is>
          <t>D836-900002574-66903381-10000357-4</t>
        </is>
      </c>
    </row>
    <row r="321">
      <c r="A321" t="inlineStr">
        <is>
          <t>900002574D8366691209010000160</t>
        </is>
      </c>
      <c r="B321" t="inlineStr">
        <is>
          <t>4600027590-1750</t>
        </is>
      </c>
      <c r="C321" t="n">
        <v>4600027590</v>
      </c>
      <c r="D321" t="n">
        <v>1750</v>
      </c>
      <c r="E321" t="inlineStr">
        <is>
          <t>MXPO</t>
        </is>
      </c>
      <c r="F321" t="inlineStr">
        <is>
          <t>M02</t>
        </is>
      </c>
      <c r="G321" t="n">
        <v>900002574</v>
      </c>
      <c r="H321" t="inlineStr">
        <is>
          <t>TP-ED-OLIELL</t>
        </is>
      </c>
      <c r="I321" t="n">
        <v>5048484</v>
      </c>
      <c r="J321" t="inlineStr">
        <is>
          <t>COMERCIALIZADORA Y TRANSPORTADORA O</t>
        </is>
      </c>
      <c r="K321" t="inlineStr">
        <is>
          <t>N90</t>
        </is>
      </c>
      <c r="L321" t="inlineStr">
        <is>
          <t>(AP) NAFIN 90 Dias</t>
        </is>
      </c>
      <c r="M321" t="n">
        <v>10000160</v>
      </c>
      <c r="N321" t="inlineStr">
        <is>
          <t>Arena Triturada Andesita Malla 4</t>
        </is>
      </c>
      <c r="O321" t="inlineStr">
        <is>
          <t>D836</t>
        </is>
      </c>
      <c r="P321" t="inlineStr">
        <is>
          <t>MX-CED. CENTRO</t>
        </is>
      </c>
      <c r="Q321" t="n">
        <v>20141106</v>
      </c>
      <c r="R321" t="n">
        <v>20281231</v>
      </c>
      <c r="S321" t="n">
        <v>20201030</v>
      </c>
      <c r="T321" t="n">
        <v>20291231</v>
      </c>
      <c r="U321" t="n">
        <v>160</v>
      </c>
      <c r="V321" t="inlineStr">
        <is>
          <t>MXN</t>
        </is>
      </c>
      <c r="W321" t="inlineStr">
        <is>
          <t>M3</t>
        </is>
      </c>
      <c r="X321" t="n">
        <v>60</v>
      </c>
      <c r="Y321" t="inlineStr">
        <is>
          <t>MXN</t>
        </is>
      </c>
      <c r="Z321" t="inlineStr">
        <is>
          <t>M3</t>
        </is>
      </c>
      <c r="AA321" t="inlineStr">
        <is>
          <t>66912090</t>
        </is>
      </c>
      <c r="AB321" t="inlineStr">
        <is>
          <t>PATIO TLALPIZAHUAC CHALCO</t>
        </is>
      </c>
      <c r="AC321" t="n">
        <v>56103638</v>
      </c>
      <c r="AD321" t="n">
        <v>6622261540</v>
      </c>
      <c r="AE321" t="n">
        <v>4</v>
      </c>
      <c r="AF321" t="inlineStr">
        <is>
          <t>ENTREGA DIRECTA</t>
        </is>
      </c>
      <c r="AG321" t="n">
        <v>1.409</v>
      </c>
      <c r="AH321" t="inlineStr">
        <is>
          <t>M3</t>
        </is>
      </c>
      <c r="AI321" t="inlineStr">
        <is>
          <t>X</t>
        </is>
      </c>
      <c r="AJ321" t="n">
        <v>4</v>
      </c>
      <c r="AK321" t="inlineStr">
        <is>
          <t>V4</t>
        </is>
      </c>
      <c r="AL321" t="n">
        <v>20230920</v>
      </c>
      <c r="AM321" t="inlineStr">
        <is>
          <t>D836-900002574-66912090-10000160-4</t>
        </is>
      </c>
    </row>
    <row r="322">
      <c r="A322" t="inlineStr">
        <is>
          <t>900002574D8366680855610000357</t>
        </is>
      </c>
      <c r="B322" t="inlineStr">
        <is>
          <t>4600027590-1170</t>
        </is>
      </c>
      <c r="C322" t="n">
        <v>4600027590</v>
      </c>
      <c r="D322" t="n">
        <v>1170</v>
      </c>
      <c r="E322" t="inlineStr">
        <is>
          <t>MXPO</t>
        </is>
      </c>
      <c r="F322" t="inlineStr">
        <is>
          <t>M02</t>
        </is>
      </c>
      <c r="G322" t="n">
        <v>900002574</v>
      </c>
      <c r="H322" t="inlineStr">
        <is>
          <t>TP-ED-OLIELL</t>
        </is>
      </c>
      <c r="I322" t="n">
        <v>5048484</v>
      </c>
      <c r="J322" t="inlineStr">
        <is>
          <t>COMERCIALIZADORA Y TRANSPORTADORA O</t>
        </is>
      </c>
      <c r="K322" t="inlineStr">
        <is>
          <t>N90</t>
        </is>
      </c>
      <c r="L322" t="inlineStr">
        <is>
          <t>(AP) NAFIN 90 Dias</t>
        </is>
      </c>
      <c r="M322" t="n">
        <v>10000357</v>
      </c>
      <c r="N322" t="inlineStr">
        <is>
          <t>Grava Triturada Andesita 20 mm - 3/4"</t>
        </is>
      </c>
      <c r="O322" t="inlineStr">
        <is>
          <t>D836</t>
        </is>
      </c>
      <c r="P322" t="inlineStr">
        <is>
          <t>MX-CED. CENTRO</t>
        </is>
      </c>
      <c r="Q322" t="n">
        <v>20141106</v>
      </c>
      <c r="R322" t="n">
        <v>20281231</v>
      </c>
      <c r="S322" t="n">
        <v>20200804</v>
      </c>
      <c r="T322" t="n">
        <v>20291231</v>
      </c>
      <c r="U322" t="n">
        <v>431.03</v>
      </c>
      <c r="V322" t="inlineStr">
        <is>
          <t>MXN</t>
        </is>
      </c>
      <c r="W322" t="inlineStr">
        <is>
          <t>M3</t>
        </is>
      </c>
      <c r="X322" t="n">
        <v>313.03</v>
      </c>
      <c r="Y322" t="inlineStr">
        <is>
          <t>MXN</t>
        </is>
      </c>
      <c r="Z322" t="inlineStr">
        <is>
          <t>M3</t>
        </is>
      </c>
      <c r="AA322" t="inlineStr">
        <is>
          <t>66808556</t>
        </is>
      </c>
      <c r="AB322" t="inlineStr">
        <is>
          <t>RESIDENCE NUEVA YORK</t>
        </is>
      </c>
      <c r="AC322" t="n">
        <v>56103637</v>
      </c>
      <c r="AD322" t="n">
        <v>6622261540</v>
      </c>
      <c r="AE322" t="n">
        <v>4</v>
      </c>
      <c r="AF322" t="inlineStr">
        <is>
          <t>ENTREGA DIRECTA</t>
        </is>
      </c>
      <c r="AG322" t="n">
        <v>1.326</v>
      </c>
      <c r="AH322" t="inlineStr">
        <is>
          <t>M3</t>
        </is>
      </c>
      <c r="AI322" t="inlineStr">
        <is>
          <t>X</t>
        </is>
      </c>
      <c r="AJ322" t="n">
        <v>4</v>
      </c>
      <c r="AK322" t="inlineStr">
        <is>
          <t>V4</t>
        </is>
      </c>
      <c r="AL322" t="n">
        <v>20230920</v>
      </c>
      <c r="AM322" t="inlineStr">
        <is>
          <t>D836-900002574-66808556-10000357-4</t>
        </is>
      </c>
    </row>
    <row r="323">
      <c r="A323" t="inlineStr">
        <is>
          <t>900002574D8366688696910000649</t>
        </is>
      </c>
      <c r="B323" t="inlineStr">
        <is>
          <t>4600027590-1130</t>
        </is>
      </c>
      <c r="C323" t="n">
        <v>4600027590</v>
      </c>
      <c r="D323" t="n">
        <v>1130</v>
      </c>
      <c r="E323" t="inlineStr">
        <is>
          <t>MXPO</t>
        </is>
      </c>
      <c r="F323" t="inlineStr">
        <is>
          <t>M02</t>
        </is>
      </c>
      <c r="G323" t="n">
        <v>900002574</v>
      </c>
      <c r="H323" t="inlineStr">
        <is>
          <t>TP-ED-OLIELL</t>
        </is>
      </c>
      <c r="I323" t="n">
        <v>5048484</v>
      </c>
      <c r="J323" t="inlineStr">
        <is>
          <t>COMERCIALIZADORA Y TRANSPORTADORA O</t>
        </is>
      </c>
      <c r="K323" t="inlineStr">
        <is>
          <t>N90</t>
        </is>
      </c>
      <c r="L323" t="inlineStr">
        <is>
          <t>(AP) NAFIN 90 Dias</t>
        </is>
      </c>
      <c r="M323" t="n">
        <v>10000649</v>
      </c>
      <c r="N323" t="inlineStr">
        <is>
          <t>Grava Triturada Andesita 10 mm - 3/8"</t>
        </is>
      </c>
      <c r="O323" t="inlineStr">
        <is>
          <t>D836</t>
        </is>
      </c>
      <c r="P323" t="inlineStr">
        <is>
          <t>MX-CED. CENTRO</t>
        </is>
      </c>
      <c r="Q323" t="n">
        <v>20141106</v>
      </c>
      <c r="R323" t="n">
        <v>20281231</v>
      </c>
      <c r="S323" t="n">
        <v>20200729</v>
      </c>
      <c r="T323" t="n">
        <v>20291231</v>
      </c>
      <c r="U323" t="n">
        <v>474.13</v>
      </c>
      <c r="V323" t="inlineStr">
        <is>
          <t>MXN</t>
        </is>
      </c>
      <c r="W323" t="inlineStr">
        <is>
          <t>M3</t>
        </is>
      </c>
      <c r="X323" t="n">
        <v>334.13</v>
      </c>
      <c r="Y323" t="inlineStr">
        <is>
          <t>MXN</t>
        </is>
      </c>
      <c r="Z323" t="inlineStr">
        <is>
          <t>M3</t>
        </is>
      </c>
      <c r="AA323" t="inlineStr">
        <is>
          <t>66886969</t>
        </is>
      </c>
      <c r="AB323" t="inlineStr">
        <is>
          <t>HELM</t>
        </is>
      </c>
      <c r="AC323" t="n">
        <v>56103637</v>
      </c>
      <c r="AD323" t="n">
        <v>6622261540</v>
      </c>
      <c r="AE323" t="n">
        <v>4</v>
      </c>
      <c r="AF323" t="inlineStr">
        <is>
          <t>ENTREGA DIRECTA</t>
        </is>
      </c>
      <c r="AG323" t="n">
        <v>1.315</v>
      </c>
      <c r="AH323" t="inlineStr">
        <is>
          <t>M3</t>
        </is>
      </c>
      <c r="AI323" t="inlineStr">
        <is>
          <t>X</t>
        </is>
      </c>
      <c r="AJ323" t="n">
        <v>4</v>
      </c>
      <c r="AK323" t="inlineStr">
        <is>
          <t>V4</t>
        </is>
      </c>
      <c r="AL323" t="n">
        <v>20230920</v>
      </c>
      <c r="AM323" t="inlineStr">
        <is>
          <t>D836-900002574-66886969-10000649-4</t>
        </is>
      </c>
    </row>
    <row r="324">
      <c r="A324" t="inlineStr">
        <is>
          <t>900002574D8366689746010000651</t>
        </is>
      </c>
      <c r="B324" t="inlineStr">
        <is>
          <t>4600027590-1780</t>
        </is>
      </c>
      <c r="C324" t="n">
        <v>4600027590</v>
      </c>
      <c r="D324" t="n">
        <v>1780</v>
      </c>
      <c r="E324" t="inlineStr">
        <is>
          <t>MXPO</t>
        </is>
      </c>
      <c r="F324" t="inlineStr">
        <is>
          <t>M02</t>
        </is>
      </c>
      <c r="G324" t="n">
        <v>900002574</v>
      </c>
      <c r="H324" t="inlineStr">
        <is>
          <t>TP-ED-OLIELL</t>
        </is>
      </c>
      <c r="I324" t="n">
        <v>5048484</v>
      </c>
      <c r="J324" t="inlineStr">
        <is>
          <t>COMERCIALIZADORA Y TRANSPORTADORA O</t>
        </is>
      </c>
      <c r="K324" t="inlineStr">
        <is>
          <t>N90</t>
        </is>
      </c>
      <c r="L324" t="inlineStr">
        <is>
          <t>(AP) NAFIN 90 Dias</t>
        </is>
      </c>
      <c r="M324" t="n">
        <v>10000651</v>
      </c>
      <c r="N324" t="inlineStr">
        <is>
          <t>Arena Triturada Andesita Malla 8</t>
        </is>
      </c>
      <c r="O324" t="inlineStr">
        <is>
          <t>D836</t>
        </is>
      </c>
      <c r="P324" t="inlineStr">
        <is>
          <t>MX-CED. CENTRO</t>
        </is>
      </c>
      <c r="Q324" t="n">
        <v>20141106</v>
      </c>
      <c r="R324" t="n">
        <v>20281231</v>
      </c>
      <c r="S324" t="n">
        <v>20201103</v>
      </c>
      <c r="T324" t="n">
        <v>20291231</v>
      </c>
      <c r="U324" t="n">
        <v>413.79</v>
      </c>
      <c r="V324" t="inlineStr">
        <is>
          <t>MXN</t>
        </is>
      </c>
      <c r="W324" t="inlineStr">
        <is>
          <t>M3</t>
        </is>
      </c>
      <c r="X324" t="n">
        <v>313.79</v>
      </c>
      <c r="Y324" t="inlineStr">
        <is>
          <t>MXN</t>
        </is>
      </c>
      <c r="Z324" t="inlineStr">
        <is>
          <t>M3</t>
        </is>
      </c>
      <c r="AA324" t="inlineStr">
        <is>
          <t>66897460</t>
        </is>
      </c>
      <c r="AB324" t="inlineStr">
        <is>
          <t>AV. CENTRAL ESQ AV 412</t>
        </is>
      </c>
      <c r="AC324" t="n">
        <v>56103638</v>
      </c>
      <c r="AD324" t="n">
        <v>6622261540</v>
      </c>
      <c r="AE324" t="n">
        <v>4</v>
      </c>
      <c r="AF324" t="inlineStr">
        <is>
          <t>ENTREGA DIRECTA</t>
        </is>
      </c>
      <c r="AG324" t="n">
        <v>1.35</v>
      </c>
      <c r="AH324" t="inlineStr">
        <is>
          <t>M3</t>
        </is>
      </c>
      <c r="AI324" t="inlineStr">
        <is>
          <t>X</t>
        </is>
      </c>
      <c r="AJ324" t="n">
        <v>4</v>
      </c>
      <c r="AK324" t="inlineStr">
        <is>
          <t>V4</t>
        </is>
      </c>
      <c r="AL324" t="n">
        <v>20230920</v>
      </c>
      <c r="AM324" t="inlineStr">
        <is>
          <t>D836-900002574-66897460-10000651-4</t>
        </is>
      </c>
    </row>
    <row r="325">
      <c r="A325" t="inlineStr">
        <is>
          <t>900002574D8366683765910000649</t>
        </is>
      </c>
      <c r="B325" t="inlineStr">
        <is>
          <t>4600027590-790</t>
        </is>
      </c>
      <c r="C325" t="n">
        <v>4600027590</v>
      </c>
      <c r="D325" t="n">
        <v>790</v>
      </c>
      <c r="E325" t="inlineStr">
        <is>
          <t>MXPO</t>
        </is>
      </c>
      <c r="F325" t="inlineStr">
        <is>
          <t>M02</t>
        </is>
      </c>
      <c r="G325" t="n">
        <v>900002574</v>
      </c>
      <c r="H325" t="inlineStr">
        <is>
          <t>TP-ED-OLIELL</t>
        </is>
      </c>
      <c r="I325" t="n">
        <v>5048484</v>
      </c>
      <c r="J325" t="inlineStr">
        <is>
          <t>COMERCIALIZADORA Y TRANSPORTADORA O</t>
        </is>
      </c>
      <c r="K325" t="inlineStr">
        <is>
          <t>N90</t>
        </is>
      </c>
      <c r="L325" t="inlineStr">
        <is>
          <t>(AP) NAFIN 90 Dias</t>
        </is>
      </c>
      <c r="M325" t="n">
        <v>10000649</v>
      </c>
      <c r="N325" t="inlineStr">
        <is>
          <t>Grava Triturada Andesita 10 mm - 3/8"</t>
        </is>
      </c>
      <c r="O325" t="inlineStr">
        <is>
          <t>D836</t>
        </is>
      </c>
      <c r="P325" t="inlineStr">
        <is>
          <t>MX-CED. CENTRO</t>
        </is>
      </c>
      <c r="Q325" t="n">
        <v>20141106</v>
      </c>
      <c r="R325" t="n">
        <v>20281231</v>
      </c>
      <c r="S325" t="n">
        <v>20200225</v>
      </c>
      <c r="T325" t="n">
        <v>20291231</v>
      </c>
      <c r="U325" t="n">
        <v>280</v>
      </c>
      <c r="V325" t="inlineStr">
        <is>
          <t>MXN</t>
        </is>
      </c>
      <c r="W325" t="inlineStr">
        <is>
          <t>M3</t>
        </is>
      </c>
      <c r="X325" t="n">
        <v>140</v>
      </c>
      <c r="Y325" t="inlineStr">
        <is>
          <t>MXN</t>
        </is>
      </c>
      <c r="Z325" t="inlineStr">
        <is>
          <t>M3</t>
        </is>
      </c>
      <c r="AA325" t="inlineStr">
        <is>
          <t>66837659</t>
        </is>
      </c>
      <c r="AB325" t="inlineStr">
        <is>
          <t>PILARES DPTVO PELON OSUNA</t>
        </is>
      </c>
      <c r="AC325" t="n">
        <v>56103637</v>
      </c>
      <c r="AD325" t="n">
        <v>6622261540</v>
      </c>
      <c r="AE325" t="n">
        <v>4</v>
      </c>
      <c r="AF325" t="inlineStr">
        <is>
          <t>ENTREGA DIRECTA</t>
        </is>
      </c>
      <c r="AG325" t="n">
        <v>1.315</v>
      </c>
      <c r="AH325" t="inlineStr">
        <is>
          <t>M3</t>
        </is>
      </c>
      <c r="AI325" t="inlineStr">
        <is>
          <t>X</t>
        </is>
      </c>
      <c r="AJ325" t="n">
        <v>4</v>
      </c>
      <c r="AK325" t="inlineStr">
        <is>
          <t>V4</t>
        </is>
      </c>
      <c r="AL325" t="n">
        <v>20230920</v>
      </c>
      <c r="AM325" t="inlineStr">
        <is>
          <t>D836-900002574-66837659-10000649-4</t>
        </is>
      </c>
    </row>
    <row r="326">
      <c r="A326" t="inlineStr">
        <is>
          <t>900002574D8366689942910000357</t>
        </is>
      </c>
      <c r="B326" t="inlineStr">
        <is>
          <t>4600027590-1410</t>
        </is>
      </c>
      <c r="C326" t="n">
        <v>4600027590</v>
      </c>
      <c r="D326" t="n">
        <v>1410</v>
      </c>
      <c r="E326" t="inlineStr">
        <is>
          <t>MXPO</t>
        </is>
      </c>
      <c r="F326" t="inlineStr">
        <is>
          <t>M02</t>
        </is>
      </c>
      <c r="G326" t="n">
        <v>900002574</v>
      </c>
      <c r="H326" t="inlineStr">
        <is>
          <t>TP-ED-OLIELL</t>
        </is>
      </c>
      <c r="I326" t="n">
        <v>5048484</v>
      </c>
      <c r="J326" t="inlineStr">
        <is>
          <t>COMERCIALIZADORA Y TRANSPORTADORA O</t>
        </is>
      </c>
      <c r="K326" t="inlineStr">
        <is>
          <t>N90</t>
        </is>
      </c>
      <c r="L326" t="inlineStr">
        <is>
          <t>(AP) NAFIN 90 Dias</t>
        </is>
      </c>
      <c r="M326" t="n">
        <v>10000357</v>
      </c>
      <c r="N326" t="inlineStr">
        <is>
          <t>Grava Triturada Andesita 20 mm - 3/4"</t>
        </is>
      </c>
      <c r="O326" t="inlineStr">
        <is>
          <t>D836</t>
        </is>
      </c>
      <c r="P326" t="inlineStr">
        <is>
          <t>MX-CED. CENTRO</t>
        </is>
      </c>
      <c r="Q326" t="n">
        <v>20141106</v>
      </c>
      <c r="R326" t="n">
        <v>20281231</v>
      </c>
      <c r="S326" t="n">
        <v>20200928</v>
      </c>
      <c r="T326" t="n">
        <v>20291231</v>
      </c>
      <c r="U326" t="n">
        <v>502.16</v>
      </c>
      <c r="V326" t="inlineStr">
        <is>
          <t>MXN</t>
        </is>
      </c>
      <c r="W326" t="inlineStr">
        <is>
          <t>M3</t>
        </is>
      </c>
      <c r="X326" t="n">
        <v>372.92</v>
      </c>
      <c r="Y326" t="inlineStr">
        <is>
          <t>MXN</t>
        </is>
      </c>
      <c r="Z326" t="inlineStr">
        <is>
          <t>M3</t>
        </is>
      </c>
      <c r="AA326" t="inlineStr">
        <is>
          <t>66899429</t>
        </is>
      </c>
      <c r="AC326" t="n">
        <v>56103637</v>
      </c>
      <c r="AD326" t="n">
        <v>6622261540</v>
      </c>
      <c r="AE326" t="n">
        <v>4</v>
      </c>
      <c r="AF326" t="inlineStr">
        <is>
          <t>ENTREGA DIRECTA</t>
        </is>
      </c>
      <c r="AG326" t="n">
        <v>1.326</v>
      </c>
      <c r="AH326" t="inlineStr">
        <is>
          <t>M3</t>
        </is>
      </c>
      <c r="AI326" t="inlineStr">
        <is>
          <t>X</t>
        </is>
      </c>
      <c r="AJ326" t="n">
        <v>4</v>
      </c>
      <c r="AK326" t="inlineStr">
        <is>
          <t>V4</t>
        </is>
      </c>
      <c r="AL326" t="n">
        <v>20230920</v>
      </c>
      <c r="AM326" t="inlineStr">
        <is>
          <t>D836-900002574-66899429-10000357-4</t>
        </is>
      </c>
    </row>
    <row r="327">
      <c r="A327" t="inlineStr">
        <is>
          <t>900002574D8366701862110000649</t>
        </is>
      </c>
      <c r="B327" t="inlineStr">
        <is>
          <t>4600027590-2210</t>
        </is>
      </c>
      <c r="C327" t="n">
        <v>4600027590</v>
      </c>
      <c r="D327" t="n">
        <v>2210</v>
      </c>
      <c r="E327" t="inlineStr">
        <is>
          <t>MXPO</t>
        </is>
      </c>
      <c r="F327" t="inlineStr">
        <is>
          <t>M02</t>
        </is>
      </c>
      <c r="G327" t="n">
        <v>900002574</v>
      </c>
      <c r="H327" t="inlineStr">
        <is>
          <t>TP-ED-OLIELL</t>
        </is>
      </c>
      <c r="I327" t="n">
        <v>5048484</v>
      </c>
      <c r="J327" t="inlineStr">
        <is>
          <t>COMERCIALIZADORA Y TRANSPORTADORA O</t>
        </is>
      </c>
      <c r="K327" t="inlineStr">
        <is>
          <t>N90</t>
        </is>
      </c>
      <c r="L327" t="inlineStr">
        <is>
          <t>(AP) NAFIN 90 Dias</t>
        </is>
      </c>
      <c r="M327" t="n">
        <v>10000649</v>
      </c>
      <c r="N327" t="inlineStr">
        <is>
          <t>Grava Triturada Andesita 10 mm - 3/8"</t>
        </is>
      </c>
      <c r="O327" t="inlineStr">
        <is>
          <t>D836</t>
        </is>
      </c>
      <c r="P327" t="inlineStr">
        <is>
          <t>MX-CED. CENTRO</t>
        </is>
      </c>
      <c r="Q327" t="n">
        <v>20141106</v>
      </c>
      <c r="R327" t="n">
        <v>20281231</v>
      </c>
      <c r="S327" t="n">
        <v>20211111</v>
      </c>
      <c r="T327" t="n">
        <v>20261231</v>
      </c>
      <c r="U327" t="n">
        <v>445</v>
      </c>
      <c r="V327" t="inlineStr">
        <is>
          <t>MXN</t>
        </is>
      </c>
      <c r="W327" t="inlineStr">
        <is>
          <t>M3</t>
        </is>
      </c>
      <c r="X327" t="n">
        <v>325</v>
      </c>
      <c r="Y327" t="inlineStr">
        <is>
          <t>MXN</t>
        </is>
      </c>
      <c r="Z327" t="inlineStr">
        <is>
          <t>M3</t>
        </is>
      </c>
      <c r="AA327" t="inlineStr">
        <is>
          <t>67018621</t>
        </is>
      </c>
      <c r="AB327" t="inlineStr">
        <is>
          <t>CALLE 13 #33</t>
        </is>
      </c>
      <c r="AC327" t="n">
        <v>56103637</v>
      </c>
      <c r="AD327" t="n">
        <v>6622261540</v>
      </c>
      <c r="AE327" t="n">
        <v>4</v>
      </c>
      <c r="AF327" t="inlineStr">
        <is>
          <t>ENTREGA DIRECTA</t>
        </is>
      </c>
      <c r="AG327" t="n">
        <v>1.315</v>
      </c>
      <c r="AH327" t="inlineStr">
        <is>
          <t>M3</t>
        </is>
      </c>
      <c r="AI327" t="inlineStr">
        <is>
          <t>X</t>
        </is>
      </c>
      <c r="AJ327" t="n">
        <v>4</v>
      </c>
      <c r="AK327" t="inlineStr">
        <is>
          <t>V4</t>
        </is>
      </c>
      <c r="AL327" t="n">
        <v>20230920</v>
      </c>
      <c r="AM327" t="inlineStr">
        <is>
          <t>D836-900002574-67018621-10000649-4</t>
        </is>
      </c>
    </row>
    <row r="328">
      <c r="A328" t="inlineStr">
        <is>
          <t>900002574D8366680800610058345</t>
        </is>
      </c>
      <c r="B328" t="inlineStr">
        <is>
          <t>4600027590-470</t>
        </is>
      </c>
      <c r="C328" t="n">
        <v>4600027590</v>
      </c>
      <c r="D328" t="n">
        <v>470</v>
      </c>
      <c r="E328" t="inlineStr">
        <is>
          <t>MXPO</t>
        </is>
      </c>
      <c r="F328" t="inlineStr">
        <is>
          <t>M02</t>
        </is>
      </c>
      <c r="G328" t="n">
        <v>900002574</v>
      </c>
      <c r="H328" t="inlineStr">
        <is>
          <t>TP-ED-OLIELL</t>
        </is>
      </c>
      <c r="I328" t="n">
        <v>5048484</v>
      </c>
      <c r="J328" t="inlineStr">
        <is>
          <t>COMERCIALIZADORA Y TRANSPORTADORA O</t>
        </is>
      </c>
      <c r="K328" t="inlineStr">
        <is>
          <t>N90</t>
        </is>
      </c>
      <c r="L328" t="inlineStr">
        <is>
          <t>(AP) NAFIN 90 Dias</t>
        </is>
      </c>
      <c r="M328" t="n">
        <v>10058345</v>
      </c>
      <c r="N328" t="inlineStr">
        <is>
          <t>Arena Triturada Caliza Malla 4</t>
        </is>
      </c>
      <c r="O328" t="inlineStr">
        <is>
          <t>D836</t>
        </is>
      </c>
      <c r="P328" t="inlineStr">
        <is>
          <t>MX-CED. CENTRO</t>
        </is>
      </c>
      <c r="Q328" t="n">
        <v>20141106</v>
      </c>
      <c r="R328" t="n">
        <v>20281231</v>
      </c>
      <c r="S328" t="n">
        <v>20191119</v>
      </c>
      <c r="T328" t="n">
        <v>20241231</v>
      </c>
      <c r="U328" t="n">
        <v>450</v>
      </c>
      <c r="V328" t="inlineStr">
        <is>
          <t>MXN</t>
        </is>
      </c>
      <c r="W328" t="inlineStr">
        <is>
          <t>M3</t>
        </is>
      </c>
      <c r="X328" t="n">
        <v>225</v>
      </c>
      <c r="Y328" t="inlineStr">
        <is>
          <t>MXN</t>
        </is>
      </c>
      <c r="Z328" t="inlineStr">
        <is>
          <t>M3</t>
        </is>
      </c>
      <c r="AA328" t="inlineStr">
        <is>
          <t>66808006</t>
        </is>
      </c>
      <c r="AB328" t="inlineStr">
        <is>
          <t>LOS REYES ACAQUILPAN</t>
        </is>
      </c>
      <c r="AC328" t="n">
        <v>56103638</v>
      </c>
      <c r="AD328" t="n">
        <v>6622261540</v>
      </c>
      <c r="AE328" t="n">
        <v>4</v>
      </c>
      <c r="AF328" t="inlineStr">
        <is>
          <t>ENTREGA DIRECTA</t>
        </is>
      </c>
      <c r="AG328" t="n">
        <v>1.575</v>
      </c>
      <c r="AH328" t="inlineStr">
        <is>
          <t>M3</t>
        </is>
      </c>
      <c r="AI328" t="inlineStr">
        <is>
          <t>X</t>
        </is>
      </c>
      <c r="AJ328" t="n">
        <v>4</v>
      </c>
      <c r="AK328" t="inlineStr">
        <is>
          <t>V4</t>
        </is>
      </c>
      <c r="AL328" t="n">
        <v>20230920</v>
      </c>
      <c r="AM328" t="inlineStr">
        <is>
          <t>D836-900002574-66808006-10058345-4</t>
        </is>
      </c>
    </row>
    <row r="329">
      <c r="A329" t="inlineStr">
        <is>
          <t>900002574D8366680800610000133</t>
        </is>
      </c>
      <c r="B329" t="inlineStr">
        <is>
          <t>4600027590-480</t>
        </is>
      </c>
      <c r="C329" t="n">
        <v>4600027590</v>
      </c>
      <c r="D329" t="n">
        <v>480</v>
      </c>
      <c r="E329" t="inlineStr">
        <is>
          <t>MXPO</t>
        </is>
      </c>
      <c r="F329" t="inlineStr">
        <is>
          <t>M02</t>
        </is>
      </c>
      <c r="G329" t="n">
        <v>900002574</v>
      </c>
      <c r="H329" t="inlineStr">
        <is>
          <t>TP-ED-OLIELL</t>
        </is>
      </c>
      <c r="I329" t="n">
        <v>5048484</v>
      </c>
      <c r="J329" t="inlineStr">
        <is>
          <t>COMERCIALIZADORA Y TRANSPORTADORA O</t>
        </is>
      </c>
      <c r="K329" t="inlineStr">
        <is>
          <t>N90</t>
        </is>
      </c>
      <c r="L329" t="inlineStr">
        <is>
          <t>(AP) NAFIN 90 Dias</t>
        </is>
      </c>
      <c r="M329" t="n">
        <v>10000133</v>
      </c>
      <c r="N329" t="inlineStr">
        <is>
          <t>Grava Triturada Caliza 20 mm - 3/4"</t>
        </is>
      </c>
      <c r="O329" t="inlineStr">
        <is>
          <t>D836</t>
        </is>
      </c>
      <c r="P329" t="inlineStr">
        <is>
          <t>MX-CED. CENTRO</t>
        </is>
      </c>
      <c r="Q329" t="n">
        <v>20141106</v>
      </c>
      <c r="R329" t="n">
        <v>20281231</v>
      </c>
      <c r="S329" t="n">
        <v>20191119</v>
      </c>
      <c r="T329" t="n">
        <v>20241231</v>
      </c>
      <c r="U329" t="n">
        <v>520</v>
      </c>
      <c r="V329" t="inlineStr">
        <is>
          <t>MXN</t>
        </is>
      </c>
      <c r="W329" t="inlineStr">
        <is>
          <t>M3</t>
        </is>
      </c>
      <c r="X329" t="n">
        <v>260</v>
      </c>
      <c r="Y329" t="inlineStr">
        <is>
          <t>MXN</t>
        </is>
      </c>
      <c r="Z329" t="inlineStr">
        <is>
          <t>M3</t>
        </is>
      </c>
      <c r="AA329" t="inlineStr">
        <is>
          <t>66808006</t>
        </is>
      </c>
      <c r="AB329" t="inlineStr">
        <is>
          <t>LOS REYES ACAQUILPAN</t>
        </is>
      </c>
      <c r="AC329" t="n">
        <v>56103637</v>
      </c>
      <c r="AD329" t="n">
        <v>6622261540</v>
      </c>
      <c r="AE329" t="n">
        <v>4</v>
      </c>
      <c r="AF329" t="inlineStr">
        <is>
          <t>ENTREGA DIRECTA</t>
        </is>
      </c>
      <c r="AG329" t="n">
        <v>1.46</v>
      </c>
      <c r="AH329" t="inlineStr">
        <is>
          <t>M3</t>
        </is>
      </c>
      <c r="AI329" t="inlineStr">
        <is>
          <t>X</t>
        </is>
      </c>
      <c r="AJ329" t="n">
        <v>4</v>
      </c>
      <c r="AK329" t="inlineStr">
        <is>
          <t>V4</t>
        </is>
      </c>
      <c r="AL329" t="n">
        <v>20230920</v>
      </c>
      <c r="AM329" t="inlineStr">
        <is>
          <t>D836-900002574-66808006-10000133-4</t>
        </is>
      </c>
    </row>
    <row r="330">
      <c r="A330" t="inlineStr">
        <is>
          <t>900002574D8366704013310000623</t>
        </is>
      </c>
      <c r="B330" t="inlineStr">
        <is>
          <t>4600027590-2320</t>
        </is>
      </c>
      <c r="C330" t="n">
        <v>4600027590</v>
      </c>
      <c r="D330" t="n">
        <v>2320</v>
      </c>
      <c r="E330" t="inlineStr">
        <is>
          <t>MXPO</t>
        </is>
      </c>
      <c r="F330" t="inlineStr">
        <is>
          <t>M02</t>
        </is>
      </c>
      <c r="G330" t="n">
        <v>900002574</v>
      </c>
      <c r="H330" t="inlineStr">
        <is>
          <t>TP-ED-OLIELL</t>
        </is>
      </c>
      <c r="I330" t="n">
        <v>5048484</v>
      </c>
      <c r="J330" t="inlineStr">
        <is>
          <t>COMERCIALIZADORA Y TRANSPORTADORA O</t>
        </is>
      </c>
      <c r="K330" t="inlineStr">
        <is>
          <t>N90</t>
        </is>
      </c>
      <c r="L330" t="inlineStr">
        <is>
          <t>(AP) NAFIN 90 Dias</t>
        </is>
      </c>
      <c r="M330" t="n">
        <v>10000623</v>
      </c>
      <c r="N330" t="inlineStr">
        <is>
          <t>Grava Triturada Caliza 10 mm - 3/8"</t>
        </is>
      </c>
      <c r="O330" t="inlineStr">
        <is>
          <t>D836</t>
        </is>
      </c>
      <c r="P330" t="inlineStr">
        <is>
          <t>MX-CED. CENTRO</t>
        </is>
      </c>
      <c r="Q330" t="n">
        <v>20141106</v>
      </c>
      <c r="R330" t="n">
        <v>20281231</v>
      </c>
      <c r="S330" t="n">
        <v>20221122</v>
      </c>
      <c r="T330" t="n">
        <v>20271231</v>
      </c>
      <c r="U330" t="n">
        <v>532.08</v>
      </c>
      <c r="V330" t="inlineStr">
        <is>
          <t>MXN</t>
        </is>
      </c>
      <c r="W330" t="inlineStr">
        <is>
          <t>M3</t>
        </is>
      </c>
      <c r="X330" t="n">
        <v>82.08</v>
      </c>
      <c r="Y330" t="inlineStr">
        <is>
          <t>MXN</t>
        </is>
      </c>
      <c r="Z330" t="inlineStr">
        <is>
          <t>M3</t>
        </is>
      </c>
      <c r="AA330" t="inlineStr">
        <is>
          <t>67040133</t>
        </is>
      </c>
      <c r="AB330" t="inlineStr">
        <is>
          <t>EJE CENTRAL 1021 (EYAN)</t>
        </is>
      </c>
      <c r="AC330" t="n">
        <v>56103637</v>
      </c>
      <c r="AD330" t="n">
        <v>6622261540</v>
      </c>
      <c r="AE330" t="n">
        <v>4</v>
      </c>
      <c r="AF330" t="inlineStr">
        <is>
          <t>ENTREGA DIRECTA</t>
        </is>
      </c>
      <c r="AG330" t="n">
        <v>1.41</v>
      </c>
      <c r="AH330" t="inlineStr">
        <is>
          <t>M3</t>
        </is>
      </c>
      <c r="AI330" t="inlineStr">
        <is>
          <t>X</t>
        </is>
      </c>
      <c r="AJ330" t="n">
        <v>4</v>
      </c>
      <c r="AK330" t="inlineStr">
        <is>
          <t>V4</t>
        </is>
      </c>
      <c r="AL330" t="n">
        <v>20230920</v>
      </c>
      <c r="AM330" t="inlineStr">
        <is>
          <t>D836-900002574-67040133-10000623-4</t>
        </is>
      </c>
    </row>
    <row r="331">
      <c r="A331" t="inlineStr">
        <is>
          <t>900002574D8366697614010000133</t>
        </is>
      </c>
      <c r="B331" t="inlineStr">
        <is>
          <t>4600027590-2100</t>
        </is>
      </c>
      <c r="C331" t="n">
        <v>4600027590</v>
      </c>
      <c r="D331" t="n">
        <v>2100</v>
      </c>
      <c r="E331" t="inlineStr">
        <is>
          <t>MXPO</t>
        </is>
      </c>
      <c r="F331" t="inlineStr">
        <is>
          <t>M02</t>
        </is>
      </c>
      <c r="G331" t="n">
        <v>900002574</v>
      </c>
      <c r="H331" t="inlineStr">
        <is>
          <t>TP-ED-OLIELL</t>
        </is>
      </c>
      <c r="I331" t="n">
        <v>5048484</v>
      </c>
      <c r="J331" t="inlineStr">
        <is>
          <t>COMERCIALIZADORA Y TRANSPORTADORA O</t>
        </is>
      </c>
      <c r="K331" t="inlineStr">
        <is>
          <t>N90</t>
        </is>
      </c>
      <c r="L331" t="inlineStr">
        <is>
          <t>(AP) NAFIN 90 Dias</t>
        </is>
      </c>
      <c r="M331" t="n">
        <v>10000133</v>
      </c>
      <c r="N331" t="inlineStr">
        <is>
          <t>Grava Triturada Caliza 20 mm - 3/4"</t>
        </is>
      </c>
      <c r="O331" t="inlineStr">
        <is>
          <t>D836</t>
        </is>
      </c>
      <c r="P331" t="inlineStr">
        <is>
          <t>MX-CED. CENTRO</t>
        </is>
      </c>
      <c r="Q331" t="n">
        <v>20141106</v>
      </c>
      <c r="R331" t="n">
        <v>20281231</v>
      </c>
      <c r="S331" t="n">
        <v>20210528</v>
      </c>
      <c r="T331" t="n">
        <v>20291231</v>
      </c>
      <c r="U331" t="n">
        <v>840</v>
      </c>
      <c r="V331" t="inlineStr">
        <is>
          <t>MXN</t>
        </is>
      </c>
      <c r="W331" t="inlineStr">
        <is>
          <t>M3</t>
        </is>
      </c>
      <c r="X331" t="n">
        <v>640</v>
      </c>
      <c r="Y331" t="inlineStr">
        <is>
          <t>MXN</t>
        </is>
      </c>
      <c r="Z331" t="inlineStr">
        <is>
          <t>M3</t>
        </is>
      </c>
      <c r="AA331" t="inlineStr">
        <is>
          <t>66976140</t>
        </is>
      </c>
      <c r="AB331" t="inlineStr">
        <is>
          <t>MELCHOR OCAMPO 7</t>
        </is>
      </c>
      <c r="AC331" t="n">
        <v>56103637</v>
      </c>
      <c r="AD331" t="n">
        <v>6622261540</v>
      </c>
      <c r="AE331" t="n">
        <v>4</v>
      </c>
      <c r="AF331" t="inlineStr">
        <is>
          <t>ENTREGA DIRECTA</t>
        </is>
      </c>
      <c r="AG331" t="n">
        <v>1.46</v>
      </c>
      <c r="AH331" t="inlineStr">
        <is>
          <t>M3</t>
        </is>
      </c>
      <c r="AI331" t="inlineStr">
        <is>
          <t>X</t>
        </is>
      </c>
      <c r="AJ331" t="n">
        <v>4</v>
      </c>
      <c r="AK331" t="inlineStr">
        <is>
          <t>V4</t>
        </is>
      </c>
      <c r="AL331" t="n">
        <v>20230920</v>
      </c>
      <c r="AM331" t="inlineStr">
        <is>
          <t>D836-900002574-66976140-10000133-4</t>
        </is>
      </c>
    </row>
    <row r="332">
      <c r="A332" t="inlineStr">
        <is>
          <t>900002574D8366652634310000206</t>
        </is>
      </c>
      <c r="B332" t="inlineStr">
        <is>
          <t>4600027590-180</t>
        </is>
      </c>
      <c r="C332" t="n">
        <v>4600027590</v>
      </c>
      <c r="D332" t="n">
        <v>180</v>
      </c>
      <c r="E332" t="inlineStr">
        <is>
          <t>MXPO</t>
        </is>
      </c>
      <c r="F332" t="inlineStr">
        <is>
          <t>M02</t>
        </is>
      </c>
      <c r="G332" t="n">
        <v>900002574</v>
      </c>
      <c r="H332" t="inlineStr">
        <is>
          <t>TP-ED-OLIELL</t>
        </is>
      </c>
      <c r="I332" t="n">
        <v>5048484</v>
      </c>
      <c r="J332" t="inlineStr">
        <is>
          <t>COMERCIALIZADORA Y TRANSPORTADORA O</t>
        </is>
      </c>
      <c r="K332" t="inlineStr">
        <is>
          <t>N90</t>
        </is>
      </c>
      <c r="L332" t="inlineStr">
        <is>
          <t>(AP) NAFIN 90 Dias</t>
        </is>
      </c>
      <c r="M332" t="n">
        <v>10000206</v>
      </c>
      <c r="N332" t="inlineStr">
        <is>
          <t>Tepetate Triturado Tierra NA</t>
        </is>
      </c>
      <c r="O332" t="inlineStr">
        <is>
          <t>D836</t>
        </is>
      </c>
      <c r="P332" t="inlineStr">
        <is>
          <t>MX-CED. CENTRO</t>
        </is>
      </c>
      <c r="Q332" t="n">
        <v>20141106</v>
      </c>
      <c r="R332" t="n">
        <v>20281231</v>
      </c>
      <c r="S332" t="n">
        <v>20180523</v>
      </c>
      <c r="T332" t="n">
        <v>20241231</v>
      </c>
      <c r="U332" t="n">
        <v>111.16</v>
      </c>
      <c r="V332" t="inlineStr">
        <is>
          <t>MXN</t>
        </is>
      </c>
      <c r="W332" t="inlineStr">
        <is>
          <t>M3</t>
        </is>
      </c>
      <c r="X332" t="n">
        <v>0</v>
      </c>
      <c r="Y332" t="inlineStr">
        <is>
          <t>MXN</t>
        </is>
      </c>
      <c r="Z332" t="inlineStr">
        <is>
          <t>M3</t>
        </is>
      </c>
      <c r="AA332" t="inlineStr">
        <is>
          <t>66526343</t>
        </is>
      </c>
      <c r="AB332" t="inlineStr">
        <is>
          <t>IPC- ZONA NAVAL COYOACAN</t>
        </is>
      </c>
      <c r="AC332" t="n">
        <v>56103695</v>
      </c>
      <c r="AD332" t="n">
        <v>6622261540</v>
      </c>
      <c r="AE332" t="n">
        <v>4</v>
      </c>
      <c r="AF332" t="inlineStr">
        <is>
          <t>ENTREGA DIRECTA</t>
        </is>
      </c>
      <c r="AG332" t="n">
        <v>1.249</v>
      </c>
      <c r="AH332" t="inlineStr">
        <is>
          <t>M3</t>
        </is>
      </c>
      <c r="AI332" t="inlineStr">
        <is>
          <t>X</t>
        </is>
      </c>
      <c r="AJ332" t="n">
        <v>4</v>
      </c>
      <c r="AK332" t="inlineStr">
        <is>
          <t>V4</t>
        </is>
      </c>
      <c r="AL332" t="n">
        <v>20230920</v>
      </c>
      <c r="AM332" t="inlineStr">
        <is>
          <t>D836-900002574-66526343-10000206-4</t>
        </is>
      </c>
    </row>
    <row r="333">
      <c r="A333" t="inlineStr">
        <is>
          <t>900002574D8366686047910000357</t>
        </is>
      </c>
      <c r="B333" t="inlineStr">
        <is>
          <t>4600027590-980</t>
        </is>
      </c>
      <c r="C333" t="n">
        <v>4600027590</v>
      </c>
      <c r="D333" t="n">
        <v>980</v>
      </c>
      <c r="E333" t="inlineStr">
        <is>
          <t>MXPO</t>
        </is>
      </c>
      <c r="F333" t="inlineStr">
        <is>
          <t>M02</t>
        </is>
      </c>
      <c r="G333" t="n">
        <v>900002574</v>
      </c>
      <c r="H333" t="inlineStr">
        <is>
          <t>TP-ED-OLIELL</t>
        </is>
      </c>
      <c r="I333" t="n">
        <v>5048484</v>
      </c>
      <c r="J333" t="inlineStr">
        <is>
          <t>COMERCIALIZADORA Y TRANSPORTADORA O</t>
        </is>
      </c>
      <c r="K333" t="inlineStr">
        <is>
          <t>N90</t>
        </is>
      </c>
      <c r="L333" t="inlineStr">
        <is>
          <t>(AP) NAFIN 90 Dias</t>
        </is>
      </c>
      <c r="M333" t="n">
        <v>10000357</v>
      </c>
      <c r="N333" t="inlineStr">
        <is>
          <t>Grava Triturada Andesita 20 mm - 3/4"</t>
        </is>
      </c>
      <c r="O333" t="inlineStr">
        <is>
          <t>D836</t>
        </is>
      </c>
      <c r="P333" t="inlineStr">
        <is>
          <t>MX-CED. CENTRO</t>
        </is>
      </c>
      <c r="Q333" t="n">
        <v>20141106</v>
      </c>
      <c r="R333" t="n">
        <v>20281231</v>
      </c>
      <c r="S333" t="n">
        <v>20200518</v>
      </c>
      <c r="T333" t="n">
        <v>20291231</v>
      </c>
      <c r="U333" t="n">
        <v>405.17</v>
      </c>
      <c r="V333" t="inlineStr">
        <is>
          <t>MXN</t>
        </is>
      </c>
      <c r="W333" t="inlineStr">
        <is>
          <t>M3</t>
        </is>
      </c>
      <c r="X333" t="n">
        <v>290</v>
      </c>
      <c r="Y333" t="inlineStr">
        <is>
          <t>MXN</t>
        </is>
      </c>
      <c r="Z333" t="inlineStr">
        <is>
          <t>M3</t>
        </is>
      </c>
      <c r="AA333" t="inlineStr">
        <is>
          <t>66860479</t>
        </is>
      </c>
      <c r="AB333" t="inlineStr">
        <is>
          <t>vivienda valle gomez</t>
        </is>
      </c>
      <c r="AC333" t="n">
        <v>56103637</v>
      </c>
      <c r="AD333" t="n">
        <v>6622261540</v>
      </c>
      <c r="AE333" t="n">
        <v>4</v>
      </c>
      <c r="AF333" t="inlineStr">
        <is>
          <t>ENTREGA DIRECTA</t>
        </is>
      </c>
      <c r="AG333" t="n">
        <v>1.326</v>
      </c>
      <c r="AH333" t="inlineStr">
        <is>
          <t>M3</t>
        </is>
      </c>
      <c r="AI333" t="inlineStr">
        <is>
          <t>X</t>
        </is>
      </c>
      <c r="AJ333" t="n">
        <v>4</v>
      </c>
      <c r="AK333" t="inlineStr">
        <is>
          <t>V4</t>
        </is>
      </c>
      <c r="AL333" t="n">
        <v>20230920</v>
      </c>
      <c r="AM333" t="inlineStr">
        <is>
          <t>D836-900002574-66860479-10000357-4</t>
        </is>
      </c>
    </row>
    <row r="334">
      <c r="A334" t="inlineStr">
        <is>
          <t>900009140D8366729725910269072</t>
        </is>
      </c>
      <c r="B334" t="inlineStr">
        <is>
          <t>4600070959-80</t>
        </is>
      </c>
      <c r="C334" t="n">
        <v>4600070959</v>
      </c>
      <c r="D334" t="n">
        <v>80</v>
      </c>
      <c r="E334" t="inlineStr">
        <is>
          <t>MXPO</t>
        </is>
      </c>
      <c r="F334" t="inlineStr">
        <is>
          <t>MXL</t>
        </is>
      </c>
      <c r="G334" t="n">
        <v>900009140</v>
      </c>
      <c r="H334" t="inlineStr">
        <is>
          <t>SF TP-ED CONCRETOS Y PAVIMENTOS</t>
        </is>
      </c>
      <c r="I334" t="n">
        <v>5089601</v>
      </c>
      <c r="J334" t="inlineStr">
        <is>
          <t>CONCRETOS Y PAVIMENTOS EXTERIORES S</t>
        </is>
      </c>
      <c r="K334" t="inlineStr">
        <is>
          <t>N90</t>
        </is>
      </c>
      <c r="L334" t="inlineStr">
        <is>
          <t>(AP) NAFIN 90 Dias</t>
        </is>
      </c>
      <c r="M334" t="n">
        <v>10269072</v>
      </c>
      <c r="N334" t="inlineStr">
        <is>
          <t>BASE HIDRÁULICA SCREEN</t>
        </is>
      </c>
      <c r="O334" t="inlineStr">
        <is>
          <t>D836</t>
        </is>
      </c>
      <c r="P334" t="inlineStr">
        <is>
          <t>MX-CED. CENTRO</t>
        </is>
      </c>
      <c r="Q334" t="n">
        <v>20250304</v>
      </c>
      <c r="R334" t="n">
        <v>20301231</v>
      </c>
      <c r="S334" t="n">
        <v>20250723</v>
      </c>
      <c r="T334" t="n">
        <v>20301231</v>
      </c>
      <c r="U334" t="n">
        <v>106</v>
      </c>
      <c r="V334" t="inlineStr">
        <is>
          <t>MXN</t>
        </is>
      </c>
      <c r="W334" t="inlineStr">
        <is>
          <t>TN</t>
        </is>
      </c>
      <c r="X334" t="n">
        <v>86</v>
      </c>
      <c r="Y334" t="inlineStr">
        <is>
          <t>MXN</t>
        </is>
      </c>
      <c r="Z334" t="inlineStr">
        <is>
          <t>TN</t>
        </is>
      </c>
      <c r="AA334" t="inlineStr">
        <is>
          <t>67297259</t>
        </is>
      </c>
      <c r="AB334" t="inlineStr">
        <is>
          <t>CLIENTE GLOBAL SOLUTION TORREBELL</t>
        </is>
      </c>
      <c r="AC334" t="n">
        <v>56103590</v>
      </c>
      <c r="AD334" t="n">
        <v>6622261540</v>
      </c>
      <c r="AE334" t="n">
        <v>4</v>
      </c>
      <c r="AF334" t="inlineStr">
        <is>
          <t>ENTREGA DIRECTA</t>
        </is>
      </c>
      <c r="AG334" t="n">
        <v>1</v>
      </c>
      <c r="AH334" t="inlineStr">
        <is>
          <t>TO</t>
        </is>
      </c>
      <c r="AI334" t="inlineStr">
        <is>
          <t>X</t>
        </is>
      </c>
      <c r="AJ334" t="n">
        <v>4</v>
      </c>
      <c r="AK334" t="inlineStr">
        <is>
          <t>V4</t>
        </is>
      </c>
      <c r="AL334" t="n">
        <v>20250729</v>
      </c>
      <c r="AM334" t="inlineStr">
        <is>
          <t>D836-900009140-67297259-10269072-4</t>
        </is>
      </c>
    </row>
    <row r="335">
      <c r="A335" t="inlineStr">
        <is>
          <t>900002574D8366500190510058345</t>
        </is>
      </c>
      <c r="B335" t="inlineStr">
        <is>
          <t>4600027590-1650</t>
        </is>
      </c>
      <c r="C335" t="n">
        <v>4600027590</v>
      </c>
      <c r="D335" t="n">
        <v>1650</v>
      </c>
      <c r="E335" t="inlineStr">
        <is>
          <t>MXPO</t>
        </is>
      </c>
      <c r="F335" t="inlineStr">
        <is>
          <t>M02</t>
        </is>
      </c>
      <c r="G335" t="n">
        <v>900002574</v>
      </c>
      <c r="H335" t="inlineStr">
        <is>
          <t>TP-ED-OLIELL</t>
        </is>
      </c>
      <c r="I335" t="n">
        <v>5048484</v>
      </c>
      <c r="J335" t="inlineStr">
        <is>
          <t>COMERCIALIZADORA Y TRANSPORTADORA O</t>
        </is>
      </c>
      <c r="K335" t="inlineStr">
        <is>
          <t>N90</t>
        </is>
      </c>
      <c r="L335" t="inlineStr">
        <is>
          <t>(AP) NAFIN 90 Dias</t>
        </is>
      </c>
      <c r="M335" t="n">
        <v>10058345</v>
      </c>
      <c r="N335" t="inlineStr">
        <is>
          <t>Arena Triturada Caliza Malla 4</t>
        </is>
      </c>
      <c r="O335" t="inlineStr">
        <is>
          <t>D836</t>
        </is>
      </c>
      <c r="P335" t="inlineStr">
        <is>
          <t>MX-CED. CENTRO</t>
        </is>
      </c>
      <c r="Q335" t="n">
        <v>20141106</v>
      </c>
      <c r="R335" t="n">
        <v>20281231</v>
      </c>
      <c r="S335" t="n">
        <v>20201027</v>
      </c>
      <c r="T335" t="n">
        <v>20291231</v>
      </c>
      <c r="U335" t="n">
        <v>346</v>
      </c>
      <c r="V335" t="inlineStr">
        <is>
          <t>MXN</t>
        </is>
      </c>
      <c r="W335" t="inlineStr">
        <is>
          <t>M3</t>
        </is>
      </c>
      <c r="X335" t="n">
        <v>260</v>
      </c>
      <c r="Y335" t="inlineStr">
        <is>
          <t>MXN</t>
        </is>
      </c>
      <c r="Z335" t="inlineStr">
        <is>
          <t>M3</t>
        </is>
      </c>
      <c r="AA335" t="inlineStr">
        <is>
          <t>65001905</t>
        </is>
      </c>
      <c r="AB335" t="inlineStr">
        <is>
          <t>(P) PRESFORZA, S.A. DE C.V.</t>
        </is>
      </c>
      <c r="AC335" t="n">
        <v>56103638</v>
      </c>
      <c r="AD335" t="n">
        <v>6622261540</v>
      </c>
      <c r="AE335" t="n">
        <v>4</v>
      </c>
      <c r="AF335" t="inlineStr">
        <is>
          <t>ENTREGA DIRECTA</t>
        </is>
      </c>
      <c r="AG335" t="n">
        <v>1.575</v>
      </c>
      <c r="AH335" t="inlineStr">
        <is>
          <t>M3</t>
        </is>
      </c>
      <c r="AI335" t="inlineStr">
        <is>
          <t>X</t>
        </is>
      </c>
      <c r="AJ335" t="n">
        <v>4</v>
      </c>
      <c r="AK335" t="inlineStr">
        <is>
          <t>V4</t>
        </is>
      </c>
      <c r="AL335" t="n">
        <v>20230920</v>
      </c>
      <c r="AM335" t="inlineStr">
        <is>
          <t>D836-900002574-65001905-10058345-4</t>
        </is>
      </c>
    </row>
    <row r="336">
      <c r="A336" t="inlineStr">
        <is>
          <t>900002574D8366689942810000160</t>
        </is>
      </c>
      <c r="B336" t="inlineStr">
        <is>
          <t>4600027590-1380</t>
        </is>
      </c>
      <c r="C336" t="n">
        <v>4600027590</v>
      </c>
      <c r="D336" t="n">
        <v>1380</v>
      </c>
      <c r="E336" t="inlineStr">
        <is>
          <t>MXPO</t>
        </is>
      </c>
      <c r="F336" t="inlineStr">
        <is>
          <t>M02</t>
        </is>
      </c>
      <c r="G336" t="n">
        <v>900002574</v>
      </c>
      <c r="H336" t="inlineStr">
        <is>
          <t>TP-ED-OLIELL</t>
        </is>
      </c>
      <c r="I336" t="n">
        <v>5048484</v>
      </c>
      <c r="J336" t="inlineStr">
        <is>
          <t>COMERCIALIZADORA Y TRANSPORTADORA O</t>
        </is>
      </c>
      <c r="K336" t="inlineStr">
        <is>
          <t>N90</t>
        </is>
      </c>
      <c r="L336" t="inlineStr">
        <is>
          <t>(AP) NAFIN 90 Dias</t>
        </is>
      </c>
      <c r="M336" t="n">
        <v>10000160</v>
      </c>
      <c r="N336" t="inlineStr">
        <is>
          <t>Arena Triturada Andesita Malla 4</t>
        </is>
      </c>
      <c r="O336" t="inlineStr">
        <is>
          <t>D836</t>
        </is>
      </c>
      <c r="P336" t="inlineStr">
        <is>
          <t>MX-CED. CENTRO</t>
        </is>
      </c>
      <c r="Q336" t="n">
        <v>20141106</v>
      </c>
      <c r="R336" t="n">
        <v>20281231</v>
      </c>
      <c r="S336" t="n">
        <v>20200928</v>
      </c>
      <c r="T336" t="n">
        <v>20291231</v>
      </c>
      <c r="U336" t="n">
        <v>482.92</v>
      </c>
      <c r="V336" t="inlineStr">
        <is>
          <t>MXN</t>
        </is>
      </c>
      <c r="W336" t="inlineStr">
        <is>
          <t>M3</t>
        </is>
      </c>
      <c r="X336" t="n">
        <v>372.92</v>
      </c>
      <c r="Y336" t="inlineStr">
        <is>
          <t>MXN</t>
        </is>
      </c>
      <c r="Z336" t="inlineStr">
        <is>
          <t>M3</t>
        </is>
      </c>
      <c r="AA336" t="inlineStr">
        <is>
          <t>66899428</t>
        </is>
      </c>
      <c r="AC336" t="n">
        <v>56103638</v>
      </c>
      <c r="AD336" t="n">
        <v>6622261540</v>
      </c>
      <c r="AE336" t="n">
        <v>4</v>
      </c>
      <c r="AF336" t="inlineStr">
        <is>
          <t>ENTREGA DIRECTA</t>
        </is>
      </c>
      <c r="AG336" t="n">
        <v>1.409</v>
      </c>
      <c r="AH336" t="inlineStr">
        <is>
          <t>M3</t>
        </is>
      </c>
      <c r="AI336" t="inlineStr">
        <is>
          <t>X</t>
        </is>
      </c>
      <c r="AJ336" t="n">
        <v>4</v>
      </c>
      <c r="AK336" t="inlineStr">
        <is>
          <t>V4</t>
        </is>
      </c>
      <c r="AL336" t="n">
        <v>20230920</v>
      </c>
      <c r="AM336" t="inlineStr">
        <is>
          <t>D836-900002574-66899428-10000160-4</t>
        </is>
      </c>
    </row>
    <row r="337">
      <c r="A337" t="inlineStr">
        <is>
          <t>900002574D8366648598110000357</t>
        </is>
      </c>
      <c r="B337" t="inlineStr">
        <is>
          <t>4600027590-440</t>
        </is>
      </c>
      <c r="C337" t="n">
        <v>4600027590</v>
      </c>
      <c r="D337" t="n">
        <v>440</v>
      </c>
      <c r="E337" t="inlineStr">
        <is>
          <t>MXPO</t>
        </is>
      </c>
      <c r="F337" t="inlineStr">
        <is>
          <t>M02</t>
        </is>
      </c>
      <c r="G337" t="n">
        <v>900002574</v>
      </c>
      <c r="H337" t="inlineStr">
        <is>
          <t>TP-ED-OLIELL</t>
        </is>
      </c>
      <c r="I337" t="n">
        <v>5048484</v>
      </c>
      <c r="J337" t="inlineStr">
        <is>
          <t>COMERCIALIZADORA Y TRANSPORTADORA O</t>
        </is>
      </c>
      <c r="K337" t="inlineStr">
        <is>
          <t>N90</t>
        </is>
      </c>
      <c r="L337" t="inlineStr">
        <is>
          <t>(AP) NAFIN 90 Dias</t>
        </is>
      </c>
      <c r="M337" t="n">
        <v>10000357</v>
      </c>
      <c r="N337" t="inlineStr">
        <is>
          <t>Grava Triturada Andesita 20 mm - 3/4"</t>
        </is>
      </c>
      <c r="O337" t="inlineStr">
        <is>
          <t>D836</t>
        </is>
      </c>
      <c r="P337" t="inlineStr">
        <is>
          <t>MX-CED. CENTRO</t>
        </is>
      </c>
      <c r="Q337" t="n">
        <v>20141106</v>
      </c>
      <c r="R337" t="n">
        <v>20281231</v>
      </c>
      <c r="S337" t="n">
        <v>20191108</v>
      </c>
      <c r="T337" t="n">
        <v>20241231</v>
      </c>
      <c r="U337" t="n">
        <v>406</v>
      </c>
      <c r="V337" t="inlineStr">
        <is>
          <t>MXN</t>
        </is>
      </c>
      <c r="W337" t="inlineStr">
        <is>
          <t>M3</t>
        </is>
      </c>
      <c r="X337" t="n">
        <v>203</v>
      </c>
      <c r="Y337" t="inlineStr">
        <is>
          <t>MXN</t>
        </is>
      </c>
      <c r="Z337" t="inlineStr">
        <is>
          <t>M3</t>
        </is>
      </c>
      <c r="AA337" t="inlineStr">
        <is>
          <t>66485981</t>
        </is>
      </c>
      <c r="AB337" t="inlineStr">
        <is>
          <t>DIAMANTE 11</t>
        </is>
      </c>
      <c r="AC337" t="n">
        <v>56103637</v>
      </c>
      <c r="AD337" t="n">
        <v>6622261540</v>
      </c>
      <c r="AE337" t="n">
        <v>4</v>
      </c>
      <c r="AF337" t="inlineStr">
        <is>
          <t>ENTREGA DIRECTA</t>
        </is>
      </c>
      <c r="AG337" t="n">
        <v>1.326</v>
      </c>
      <c r="AH337" t="inlineStr">
        <is>
          <t>M3</t>
        </is>
      </c>
      <c r="AI337" t="inlineStr">
        <is>
          <t>X</t>
        </is>
      </c>
      <c r="AJ337" t="n">
        <v>4</v>
      </c>
      <c r="AK337" t="inlineStr">
        <is>
          <t>V4</t>
        </is>
      </c>
      <c r="AL337" t="n">
        <v>20230920</v>
      </c>
      <c r="AM337" t="inlineStr">
        <is>
          <t>D836-900002574-66485981-10000357-4</t>
        </is>
      </c>
    </row>
    <row r="338">
      <c r="A338" t="inlineStr">
        <is>
          <t>900002574D8366680856610000160</t>
        </is>
      </c>
      <c r="B338" t="inlineStr">
        <is>
          <t>4600027590-220</t>
        </is>
      </c>
      <c r="C338" t="n">
        <v>4600027590</v>
      </c>
      <c r="D338" t="n">
        <v>220</v>
      </c>
      <c r="E338" t="inlineStr">
        <is>
          <t>MXPO</t>
        </is>
      </c>
      <c r="F338" t="inlineStr">
        <is>
          <t>M02</t>
        </is>
      </c>
      <c r="G338" t="n">
        <v>900002574</v>
      </c>
      <c r="H338" t="inlineStr">
        <is>
          <t>TP-ED-OLIELL</t>
        </is>
      </c>
      <c r="I338" t="n">
        <v>5048484</v>
      </c>
      <c r="J338" t="inlineStr">
        <is>
          <t>COMERCIALIZADORA Y TRANSPORTADORA O</t>
        </is>
      </c>
      <c r="K338" t="inlineStr">
        <is>
          <t>N90</t>
        </is>
      </c>
      <c r="L338" t="inlineStr">
        <is>
          <t>(AP) NAFIN 90 Dias</t>
        </is>
      </c>
      <c r="M338" t="n">
        <v>10000160</v>
      </c>
      <c r="N338" t="inlineStr">
        <is>
          <t>Arena Triturada Andesita Malla 4</t>
        </is>
      </c>
      <c r="O338" t="inlineStr">
        <is>
          <t>D836</t>
        </is>
      </c>
      <c r="P338" t="inlineStr">
        <is>
          <t>MX-CED. CENTRO</t>
        </is>
      </c>
      <c r="Q338" t="n">
        <v>20141106</v>
      </c>
      <c r="R338" t="n">
        <v>20281231</v>
      </c>
      <c r="S338" t="n">
        <v>20190911</v>
      </c>
      <c r="T338" t="n">
        <v>20241231</v>
      </c>
      <c r="U338" t="n">
        <v>431.03</v>
      </c>
      <c r="V338" t="inlineStr">
        <is>
          <t>MXN</t>
        </is>
      </c>
      <c r="W338" t="inlineStr">
        <is>
          <t>M3</t>
        </is>
      </c>
      <c r="X338" t="n">
        <v>215.52</v>
      </c>
      <c r="Y338" t="inlineStr">
        <is>
          <t>MXN</t>
        </is>
      </c>
      <c r="Z338" t="inlineStr">
        <is>
          <t>M3</t>
        </is>
      </c>
      <c r="AA338" t="inlineStr">
        <is>
          <t>66808566</t>
        </is>
      </c>
      <c r="AB338" t="inlineStr">
        <is>
          <t>AV TAXIMETROS</t>
        </is>
      </c>
      <c r="AC338" t="n">
        <v>56103638</v>
      </c>
      <c r="AD338" t="n">
        <v>6622261540</v>
      </c>
      <c r="AE338" t="n">
        <v>4</v>
      </c>
      <c r="AF338" t="inlineStr">
        <is>
          <t>ENTREGA DIRECTA</t>
        </is>
      </c>
      <c r="AG338" t="n">
        <v>1.409</v>
      </c>
      <c r="AH338" t="inlineStr">
        <is>
          <t>M3</t>
        </is>
      </c>
      <c r="AI338" t="inlineStr">
        <is>
          <t>X</t>
        </is>
      </c>
      <c r="AJ338" t="n">
        <v>4</v>
      </c>
      <c r="AK338" t="inlineStr">
        <is>
          <t>V4</t>
        </is>
      </c>
      <c r="AL338" t="n">
        <v>20230920</v>
      </c>
      <c r="AM338" t="inlineStr">
        <is>
          <t>D836-900002574-66808566-10000160-4</t>
        </is>
      </c>
    </row>
    <row r="339">
      <c r="A339" t="inlineStr">
        <is>
          <t>900002574D8366691627910000357</t>
        </is>
      </c>
      <c r="B339" t="inlineStr">
        <is>
          <t>4600027590-1820</t>
        </is>
      </c>
      <c r="C339" t="n">
        <v>4600027590</v>
      </c>
      <c r="D339" t="n">
        <v>1820</v>
      </c>
      <c r="E339" t="inlineStr">
        <is>
          <t>MXPO</t>
        </is>
      </c>
      <c r="F339" t="inlineStr">
        <is>
          <t>M02</t>
        </is>
      </c>
      <c r="G339" t="n">
        <v>900002574</v>
      </c>
      <c r="H339" t="inlineStr">
        <is>
          <t>TP-ED-OLIELL</t>
        </is>
      </c>
      <c r="I339" t="n">
        <v>5048484</v>
      </c>
      <c r="J339" t="inlineStr">
        <is>
          <t>COMERCIALIZADORA Y TRANSPORTADORA O</t>
        </is>
      </c>
      <c r="K339" t="inlineStr">
        <is>
          <t>N90</t>
        </is>
      </c>
      <c r="L339" t="inlineStr">
        <is>
          <t>(AP) NAFIN 90 Dias</t>
        </is>
      </c>
      <c r="M339" t="n">
        <v>10000357</v>
      </c>
      <c r="N339" t="inlineStr">
        <is>
          <t>Grava Triturada Andesita 20 mm - 3/4"</t>
        </is>
      </c>
      <c r="O339" t="inlineStr">
        <is>
          <t>D836</t>
        </is>
      </c>
      <c r="P339" t="inlineStr">
        <is>
          <t>MX-CED. CENTRO</t>
        </is>
      </c>
      <c r="Q339" t="n">
        <v>20141106</v>
      </c>
      <c r="R339" t="n">
        <v>20281231</v>
      </c>
      <c r="S339" t="n">
        <v>20201117</v>
      </c>
      <c r="T339" t="n">
        <v>20291231</v>
      </c>
      <c r="U339" t="n">
        <v>534.48</v>
      </c>
      <c r="V339" t="inlineStr">
        <is>
          <t>MXN</t>
        </is>
      </c>
      <c r="W339" t="inlineStr">
        <is>
          <t>M3</t>
        </is>
      </c>
      <c r="X339" t="n">
        <v>417.24</v>
      </c>
      <c r="Y339" t="inlineStr">
        <is>
          <t>MXN</t>
        </is>
      </c>
      <c r="Z339" t="inlineStr">
        <is>
          <t>M3</t>
        </is>
      </c>
      <c r="AA339" t="inlineStr">
        <is>
          <t>66916279</t>
        </is>
      </c>
      <c r="AB339" t="inlineStr">
        <is>
          <t>autopista cuajimalpa naucalpan</t>
        </is>
      </c>
      <c r="AC339" t="n">
        <v>56103637</v>
      </c>
      <c r="AD339" t="n">
        <v>6622261540</v>
      </c>
      <c r="AE339" t="n">
        <v>4</v>
      </c>
      <c r="AF339" t="inlineStr">
        <is>
          <t>ENTREGA DIRECTA</t>
        </is>
      </c>
      <c r="AG339" t="n">
        <v>1.326</v>
      </c>
      <c r="AH339" t="inlineStr">
        <is>
          <t>M3</t>
        </is>
      </c>
      <c r="AI339" t="inlineStr">
        <is>
          <t>X</t>
        </is>
      </c>
      <c r="AJ339" t="n">
        <v>4</v>
      </c>
      <c r="AK339" t="inlineStr">
        <is>
          <t>V4</t>
        </is>
      </c>
      <c r="AL339" t="n">
        <v>20230920</v>
      </c>
      <c r="AM339" t="inlineStr">
        <is>
          <t>D836-900002574-66916279-10000357-4</t>
        </is>
      </c>
    </row>
    <row r="340">
      <c r="A340" t="inlineStr">
        <is>
          <t>900002574D8366693331310000623</t>
        </is>
      </c>
      <c r="B340" t="inlineStr">
        <is>
          <t>4600027590-2430</t>
        </is>
      </c>
      <c r="C340" t="n">
        <v>4600027590</v>
      </c>
      <c r="D340" t="n">
        <v>2430</v>
      </c>
      <c r="E340" t="inlineStr">
        <is>
          <t>MXPO</t>
        </is>
      </c>
      <c r="F340" t="inlineStr">
        <is>
          <t>M02</t>
        </is>
      </c>
      <c r="G340" t="n">
        <v>900002574</v>
      </c>
      <c r="H340" t="inlineStr">
        <is>
          <t>TP-ED-OLIELL</t>
        </is>
      </c>
      <c r="I340" t="n">
        <v>5048484</v>
      </c>
      <c r="J340" t="inlineStr">
        <is>
          <t>COMERCIALIZADORA Y TRANSPORTADORA O</t>
        </is>
      </c>
      <c r="K340" t="inlineStr">
        <is>
          <t>N90</t>
        </is>
      </c>
      <c r="L340" t="inlineStr">
        <is>
          <t>(AP) NAFIN 90 Dias</t>
        </is>
      </c>
      <c r="M340" t="n">
        <v>10000623</v>
      </c>
      <c r="N340" t="inlineStr">
        <is>
          <t>Grava Triturada Caliza 10 mm - 3/8"</t>
        </is>
      </c>
      <c r="O340" t="inlineStr">
        <is>
          <t>D836</t>
        </is>
      </c>
      <c r="P340" t="inlineStr">
        <is>
          <t>MX-CED. CENTRO</t>
        </is>
      </c>
      <c r="Q340" t="n">
        <v>20141106</v>
      </c>
      <c r="R340" t="n">
        <v>20281231</v>
      </c>
      <c r="S340" t="n">
        <v>20230711</v>
      </c>
      <c r="T340" t="n">
        <v>20281231</v>
      </c>
      <c r="U340" t="n">
        <v>259.95</v>
      </c>
      <c r="V340" t="inlineStr">
        <is>
          <t>MXN</t>
        </is>
      </c>
      <c r="W340" t="inlineStr">
        <is>
          <t>TN</t>
        </is>
      </c>
      <c r="X340" t="n">
        <v>154.89</v>
      </c>
      <c r="Y340" t="inlineStr">
        <is>
          <t>MXN</t>
        </is>
      </c>
      <c r="Z340" t="inlineStr">
        <is>
          <t>TN</t>
        </is>
      </c>
      <c r="AA340" t="inlineStr">
        <is>
          <t>66933313</t>
        </is>
      </c>
      <c r="AB340" t="inlineStr">
        <is>
          <t>Centro Ecuestre Miguel Hidalgo</t>
        </is>
      </c>
      <c r="AC340" t="n">
        <v>56103637</v>
      </c>
      <c r="AD340" t="n">
        <v>6622261540</v>
      </c>
      <c r="AE340" t="n">
        <v>4</v>
      </c>
      <c r="AF340" t="inlineStr">
        <is>
          <t>ENTREGA DIRECTA</t>
        </is>
      </c>
      <c r="AG340" t="n">
        <v>1</v>
      </c>
      <c r="AH340" t="inlineStr">
        <is>
          <t>TO</t>
        </is>
      </c>
      <c r="AI340" t="inlineStr">
        <is>
          <t>X</t>
        </is>
      </c>
      <c r="AJ340" t="n">
        <v>4</v>
      </c>
      <c r="AK340" t="inlineStr">
        <is>
          <t>V4</t>
        </is>
      </c>
      <c r="AL340" t="n">
        <v>20230920</v>
      </c>
      <c r="AM340" t="inlineStr">
        <is>
          <t>D836-900002574-66933313-10000623-4</t>
        </is>
      </c>
    </row>
    <row r="341">
      <c r="A341" t="inlineStr">
        <is>
          <t>900002574D8366689936410000160</t>
        </is>
      </c>
      <c r="B341" t="inlineStr">
        <is>
          <t>4600027590-1340</t>
        </is>
      </c>
      <c r="C341" t="n">
        <v>4600027590</v>
      </c>
      <c r="D341" t="n">
        <v>1340</v>
      </c>
      <c r="E341" t="inlineStr">
        <is>
          <t>MXPO</t>
        </is>
      </c>
      <c r="F341" t="inlineStr">
        <is>
          <t>M02</t>
        </is>
      </c>
      <c r="G341" t="n">
        <v>900002574</v>
      </c>
      <c r="H341" t="inlineStr">
        <is>
          <t>TP-ED-OLIELL</t>
        </is>
      </c>
      <c r="I341" t="n">
        <v>5048484</v>
      </c>
      <c r="J341" t="inlineStr">
        <is>
          <t>COMERCIALIZADORA Y TRANSPORTADORA O</t>
        </is>
      </c>
      <c r="K341" t="inlineStr">
        <is>
          <t>N90</t>
        </is>
      </c>
      <c r="L341" t="inlineStr">
        <is>
          <t>(AP) NAFIN 90 Dias</t>
        </is>
      </c>
      <c r="M341" t="n">
        <v>10000160</v>
      </c>
      <c r="N341" t="inlineStr">
        <is>
          <t>Arena Triturada Andesita Malla 4</t>
        </is>
      </c>
      <c r="O341" t="inlineStr">
        <is>
          <t>D836</t>
        </is>
      </c>
      <c r="P341" t="inlineStr">
        <is>
          <t>MX-CED. CENTRO</t>
        </is>
      </c>
      <c r="Q341" t="n">
        <v>20141106</v>
      </c>
      <c r="R341" t="n">
        <v>20281231</v>
      </c>
      <c r="S341" t="n">
        <v>20200928</v>
      </c>
      <c r="T341" t="n">
        <v>20291231</v>
      </c>
      <c r="U341" t="n">
        <v>482.92</v>
      </c>
      <c r="V341" t="inlineStr">
        <is>
          <t>MXN</t>
        </is>
      </c>
      <c r="W341" t="inlineStr">
        <is>
          <t>M3</t>
        </is>
      </c>
      <c r="X341" t="n">
        <v>372.92</v>
      </c>
      <c r="Y341" t="inlineStr">
        <is>
          <t>MXN</t>
        </is>
      </c>
      <c r="Z341" t="inlineStr">
        <is>
          <t>M3</t>
        </is>
      </c>
      <c r="AA341" t="inlineStr">
        <is>
          <t>66899364</t>
        </is>
      </c>
      <c r="AC341" t="n">
        <v>56103638</v>
      </c>
      <c r="AD341" t="n">
        <v>6622261540</v>
      </c>
      <c r="AE341" t="n">
        <v>4</v>
      </c>
      <c r="AF341" t="inlineStr">
        <is>
          <t>ENTREGA DIRECTA</t>
        </is>
      </c>
      <c r="AG341" t="n">
        <v>1.409</v>
      </c>
      <c r="AH341" t="inlineStr">
        <is>
          <t>M3</t>
        </is>
      </c>
      <c r="AI341" t="inlineStr">
        <is>
          <t>X</t>
        </is>
      </c>
      <c r="AJ341" t="n">
        <v>4</v>
      </c>
      <c r="AK341" t="inlineStr">
        <is>
          <t>V4</t>
        </is>
      </c>
      <c r="AL341" t="n">
        <v>20230920</v>
      </c>
      <c r="AM341" t="inlineStr">
        <is>
          <t>D836-900002574-66899364-10000160-4</t>
        </is>
      </c>
    </row>
    <row r="342">
      <c r="A342" t="inlineStr">
        <is>
          <t>900002574D8366690655810000630</t>
        </is>
      </c>
      <c r="B342" t="inlineStr">
        <is>
          <t>4600027590-1570</t>
        </is>
      </c>
      <c r="C342" t="n">
        <v>4600027590</v>
      </c>
      <c r="D342" t="n">
        <v>1570</v>
      </c>
      <c r="E342" t="inlineStr">
        <is>
          <t>MXPO</t>
        </is>
      </c>
      <c r="F342" t="inlineStr">
        <is>
          <t>M02</t>
        </is>
      </c>
      <c r="G342" t="n">
        <v>900002574</v>
      </c>
      <c r="H342" t="inlineStr">
        <is>
          <t>TP-ED-OLIELL</t>
        </is>
      </c>
      <c r="I342" t="n">
        <v>5048484</v>
      </c>
      <c r="J342" t="inlineStr">
        <is>
          <t>COMERCIALIZADORA Y TRANSPORTADORA O</t>
        </is>
      </c>
      <c r="K342" t="inlineStr">
        <is>
          <t>N90</t>
        </is>
      </c>
      <c r="L342" t="inlineStr">
        <is>
          <t>(AP) NAFIN 90 Dias</t>
        </is>
      </c>
      <c r="M342" t="n">
        <v>10000630</v>
      </c>
      <c r="N342" t="inlineStr">
        <is>
          <t>Grava Triturada Caliza 13 mm - 1/2"</t>
        </is>
      </c>
      <c r="O342" t="inlineStr">
        <is>
          <t>D836</t>
        </is>
      </c>
      <c r="P342" t="inlineStr">
        <is>
          <t>MX-CED. CENTRO</t>
        </is>
      </c>
      <c r="Q342" t="n">
        <v>20141106</v>
      </c>
      <c r="R342" t="n">
        <v>20281231</v>
      </c>
      <c r="S342" t="n">
        <v>20201015</v>
      </c>
      <c r="T342" t="n">
        <v>20291231</v>
      </c>
      <c r="U342" t="n">
        <v>446</v>
      </c>
      <c r="V342" t="inlineStr">
        <is>
          <t>MXN</t>
        </is>
      </c>
      <c r="W342" t="inlineStr">
        <is>
          <t>M3</t>
        </is>
      </c>
      <c r="X342" t="n">
        <v>260</v>
      </c>
      <c r="Y342" t="inlineStr">
        <is>
          <t>MXN</t>
        </is>
      </c>
      <c r="Z342" t="inlineStr">
        <is>
          <t>M3</t>
        </is>
      </c>
      <c r="AA342" t="inlineStr">
        <is>
          <t>66906558</t>
        </is>
      </c>
      <c r="AB342" t="inlineStr">
        <is>
          <t>MEXICABLE - ECATEPEC</t>
        </is>
      </c>
      <c r="AC342" t="n">
        <v>56103637</v>
      </c>
      <c r="AD342" t="n">
        <v>6622261540</v>
      </c>
      <c r="AE342" t="n">
        <v>4</v>
      </c>
      <c r="AF342" t="inlineStr">
        <is>
          <t>ENTREGA DIRECTA</t>
        </is>
      </c>
      <c r="AG342" t="n">
        <v>1.4</v>
      </c>
      <c r="AH342" t="inlineStr">
        <is>
          <t>M3</t>
        </is>
      </c>
      <c r="AI342" t="inlineStr">
        <is>
          <t>X</t>
        </is>
      </c>
      <c r="AJ342" t="n">
        <v>4</v>
      </c>
      <c r="AK342" t="inlineStr">
        <is>
          <t>V4</t>
        </is>
      </c>
      <c r="AL342" t="n">
        <v>20230920</v>
      </c>
      <c r="AM342" t="inlineStr">
        <is>
          <t>D836-900002574-66906558-10000630-4</t>
        </is>
      </c>
    </row>
    <row r="343">
      <c r="A343" t="inlineStr">
        <is>
          <t>900002574D8366689874510000160</t>
        </is>
      </c>
      <c r="B343" t="inlineStr">
        <is>
          <t>4600027590-1860</t>
        </is>
      </c>
      <c r="C343" t="n">
        <v>4600027590</v>
      </c>
      <c r="D343" t="n">
        <v>1860</v>
      </c>
      <c r="E343" t="inlineStr">
        <is>
          <t>MXPO</t>
        </is>
      </c>
      <c r="F343" t="inlineStr">
        <is>
          <t>M02</t>
        </is>
      </c>
      <c r="G343" t="n">
        <v>900002574</v>
      </c>
      <c r="H343" t="inlineStr">
        <is>
          <t>TP-ED-OLIELL</t>
        </is>
      </c>
      <c r="I343" t="n">
        <v>5048484</v>
      </c>
      <c r="J343" t="inlineStr">
        <is>
          <t>COMERCIALIZADORA Y TRANSPORTADORA O</t>
        </is>
      </c>
      <c r="K343" t="inlineStr">
        <is>
          <t>N90</t>
        </is>
      </c>
      <c r="L343" t="inlineStr">
        <is>
          <t>(AP) NAFIN 90 Dias</t>
        </is>
      </c>
      <c r="M343" t="n">
        <v>10000160</v>
      </c>
      <c r="N343" t="inlineStr">
        <is>
          <t>Arena Triturada Andesita Malla 4</t>
        </is>
      </c>
      <c r="O343" t="inlineStr">
        <is>
          <t>D836</t>
        </is>
      </c>
      <c r="P343" t="inlineStr">
        <is>
          <t>MX-CED. CENTRO</t>
        </is>
      </c>
      <c r="Q343" t="n">
        <v>20141106</v>
      </c>
      <c r="R343" t="n">
        <v>20281231</v>
      </c>
      <c r="S343" t="n">
        <v>20201125</v>
      </c>
      <c r="T343" t="n">
        <v>20291231</v>
      </c>
      <c r="U343" t="n">
        <v>474.14</v>
      </c>
      <c r="V343" t="inlineStr">
        <is>
          <t>MXN</t>
        </is>
      </c>
      <c r="W343" t="inlineStr">
        <is>
          <t>M3</t>
        </is>
      </c>
      <c r="X343" t="n">
        <v>375</v>
      </c>
      <c r="Y343" t="inlineStr">
        <is>
          <t>MXN</t>
        </is>
      </c>
      <c r="Z343" t="inlineStr">
        <is>
          <t>M3</t>
        </is>
      </c>
      <c r="AA343" t="inlineStr">
        <is>
          <t>66898745</t>
        </is>
      </c>
      <c r="AB343" t="inlineStr">
        <is>
          <t>Eje Vial 4 Norte</t>
        </is>
      </c>
      <c r="AC343" t="n">
        <v>56103638</v>
      </c>
      <c r="AD343" t="n">
        <v>6622261540</v>
      </c>
      <c r="AE343" t="n">
        <v>4</v>
      </c>
      <c r="AF343" t="inlineStr">
        <is>
          <t>ENTREGA DIRECTA</t>
        </is>
      </c>
      <c r="AG343" t="n">
        <v>1.409</v>
      </c>
      <c r="AH343" t="inlineStr">
        <is>
          <t>M3</t>
        </is>
      </c>
      <c r="AI343" t="inlineStr">
        <is>
          <t>X</t>
        </is>
      </c>
      <c r="AJ343" t="n">
        <v>4</v>
      </c>
      <c r="AK343" t="inlineStr">
        <is>
          <t>V4</t>
        </is>
      </c>
      <c r="AL343" t="n">
        <v>20230920</v>
      </c>
      <c r="AM343" t="inlineStr">
        <is>
          <t>D836-900002574-66898745-10000160-4</t>
        </is>
      </c>
    </row>
    <row r="344">
      <c r="A344" t="inlineStr">
        <is>
          <t>900002574D8366689471110000160</t>
        </is>
      </c>
      <c r="B344" t="inlineStr">
        <is>
          <t>4600027590-1500</t>
        </is>
      </c>
      <c r="C344" t="n">
        <v>4600027590</v>
      </c>
      <c r="D344" t="n">
        <v>1500</v>
      </c>
      <c r="E344" t="inlineStr">
        <is>
          <t>MXPO</t>
        </is>
      </c>
      <c r="F344" t="inlineStr">
        <is>
          <t>M02</t>
        </is>
      </c>
      <c r="G344" t="n">
        <v>900002574</v>
      </c>
      <c r="H344" t="inlineStr">
        <is>
          <t>TP-ED-OLIELL</t>
        </is>
      </c>
      <c r="I344" t="n">
        <v>5048484</v>
      </c>
      <c r="J344" t="inlineStr">
        <is>
          <t>COMERCIALIZADORA Y TRANSPORTADORA O</t>
        </is>
      </c>
      <c r="K344" t="inlineStr">
        <is>
          <t>N90</t>
        </is>
      </c>
      <c r="L344" t="inlineStr">
        <is>
          <t>(AP) NAFIN 90 Dias</t>
        </is>
      </c>
      <c r="M344" t="n">
        <v>10000160</v>
      </c>
      <c r="N344" t="inlineStr">
        <is>
          <t>Arena Triturada Andesita Malla 4</t>
        </is>
      </c>
      <c r="O344" t="inlineStr">
        <is>
          <t>D836</t>
        </is>
      </c>
      <c r="P344" t="inlineStr">
        <is>
          <t>MX-CED. CENTRO</t>
        </is>
      </c>
      <c r="Q344" t="n">
        <v>20141106</v>
      </c>
      <c r="R344" t="n">
        <v>20281231</v>
      </c>
      <c r="S344" t="n">
        <v>20200928</v>
      </c>
      <c r="T344" t="n">
        <v>20291231</v>
      </c>
      <c r="U344" t="n">
        <v>330</v>
      </c>
      <c r="V344" t="inlineStr">
        <is>
          <t>MXN</t>
        </is>
      </c>
      <c r="W344" t="inlineStr">
        <is>
          <t>M3</t>
        </is>
      </c>
      <c r="X344" t="n">
        <v>230</v>
      </c>
      <c r="Y344" t="inlineStr">
        <is>
          <t>MXN</t>
        </is>
      </c>
      <c r="Z344" t="inlineStr">
        <is>
          <t>M3</t>
        </is>
      </c>
      <c r="AA344" t="inlineStr">
        <is>
          <t>66894711</t>
        </is>
      </c>
      <c r="AB344" t="inlineStr">
        <is>
          <t>Almacen de Ayuntamiento de Tlalnepa</t>
        </is>
      </c>
      <c r="AC344" t="n">
        <v>56103638</v>
      </c>
      <c r="AD344" t="n">
        <v>6622261540</v>
      </c>
      <c r="AE344" t="n">
        <v>4</v>
      </c>
      <c r="AF344" t="inlineStr">
        <is>
          <t>ENTREGA DIRECTA</t>
        </is>
      </c>
      <c r="AG344" t="n">
        <v>1.409</v>
      </c>
      <c r="AH344" t="inlineStr">
        <is>
          <t>M3</t>
        </is>
      </c>
      <c r="AJ344" t="n">
        <v>4</v>
      </c>
      <c r="AK344" t="inlineStr">
        <is>
          <t>V4</t>
        </is>
      </c>
      <c r="AL344" t="n">
        <v>20230920</v>
      </c>
      <c r="AM344" t="inlineStr">
        <is>
          <t>D836-900002574-66894711-10000160-4</t>
        </is>
      </c>
    </row>
    <row r="345">
      <c r="A345" t="inlineStr">
        <is>
          <t>900002574D8366685641510000160</t>
        </is>
      </c>
      <c r="B345" t="inlineStr">
        <is>
          <t>4600027590-1630</t>
        </is>
      </c>
      <c r="C345" t="n">
        <v>4600027590</v>
      </c>
      <c r="D345" t="n">
        <v>1630</v>
      </c>
      <c r="E345" t="inlineStr">
        <is>
          <t>MXPO</t>
        </is>
      </c>
      <c r="F345" t="inlineStr">
        <is>
          <t>M02</t>
        </is>
      </c>
      <c r="G345" t="n">
        <v>900002574</v>
      </c>
      <c r="H345" t="inlineStr">
        <is>
          <t>TP-ED-OLIELL</t>
        </is>
      </c>
      <c r="I345" t="n">
        <v>5048484</v>
      </c>
      <c r="J345" t="inlineStr">
        <is>
          <t>COMERCIALIZADORA Y TRANSPORTADORA O</t>
        </is>
      </c>
      <c r="K345" t="inlineStr">
        <is>
          <t>N90</t>
        </is>
      </c>
      <c r="L345" t="inlineStr">
        <is>
          <t>(AP) NAFIN 90 Dias</t>
        </is>
      </c>
      <c r="M345" t="n">
        <v>10000160</v>
      </c>
      <c r="N345" t="inlineStr">
        <is>
          <t>Arena Triturada Andesita Malla 4</t>
        </is>
      </c>
      <c r="O345" t="inlineStr">
        <is>
          <t>D836</t>
        </is>
      </c>
      <c r="P345" t="inlineStr">
        <is>
          <t>MX-CED. CENTRO</t>
        </is>
      </c>
      <c r="Q345" t="n">
        <v>20141106</v>
      </c>
      <c r="R345" t="n">
        <v>20281231</v>
      </c>
      <c r="S345" t="n">
        <v>20201021</v>
      </c>
      <c r="T345" t="n">
        <v>20291231</v>
      </c>
      <c r="U345" t="n">
        <v>366.38</v>
      </c>
      <c r="V345" t="inlineStr">
        <is>
          <t>MXN</t>
        </is>
      </c>
      <c r="W345" t="inlineStr">
        <is>
          <t>M3</t>
        </is>
      </c>
      <c r="X345" t="n">
        <v>266.38</v>
      </c>
      <c r="Y345" t="inlineStr">
        <is>
          <t>MXN</t>
        </is>
      </c>
      <c r="Z345" t="inlineStr">
        <is>
          <t>M3</t>
        </is>
      </c>
      <c r="AA345" t="inlineStr">
        <is>
          <t>66856415</t>
        </is>
      </c>
      <c r="AB345" t="inlineStr">
        <is>
          <t>TESOREROS 37</t>
        </is>
      </c>
      <c r="AC345" t="n">
        <v>56103638</v>
      </c>
      <c r="AD345" t="n">
        <v>6622261540</v>
      </c>
      <c r="AE345" t="n">
        <v>4</v>
      </c>
      <c r="AF345" t="inlineStr">
        <is>
          <t>ENTREGA DIRECTA</t>
        </is>
      </c>
      <c r="AG345" t="n">
        <v>1.409</v>
      </c>
      <c r="AH345" t="inlineStr">
        <is>
          <t>M3</t>
        </is>
      </c>
      <c r="AI345" t="inlineStr">
        <is>
          <t>X</t>
        </is>
      </c>
      <c r="AJ345" t="n">
        <v>4</v>
      </c>
      <c r="AK345" t="inlineStr">
        <is>
          <t>V4</t>
        </is>
      </c>
      <c r="AL345" t="n">
        <v>20230920</v>
      </c>
      <c r="AM345" t="inlineStr">
        <is>
          <t>D836-900002574-66856415-10000160-4</t>
        </is>
      </c>
    </row>
    <row r="346">
      <c r="A346" t="inlineStr">
        <is>
          <t>900002574D8366687550110000133</t>
        </is>
      </c>
      <c r="B346" t="inlineStr">
        <is>
          <t>4600027590-2270</t>
        </is>
      </c>
      <c r="C346" t="n">
        <v>4600027590</v>
      </c>
      <c r="D346" t="n">
        <v>2270</v>
      </c>
      <c r="E346" t="inlineStr">
        <is>
          <t>MXPO</t>
        </is>
      </c>
      <c r="F346" t="inlineStr">
        <is>
          <t>M02</t>
        </is>
      </c>
      <c r="G346" t="n">
        <v>900002574</v>
      </c>
      <c r="H346" t="inlineStr">
        <is>
          <t>TP-ED-OLIELL</t>
        </is>
      </c>
      <c r="I346" t="n">
        <v>5048484</v>
      </c>
      <c r="J346" t="inlineStr">
        <is>
          <t>COMERCIALIZADORA Y TRANSPORTADORA O</t>
        </is>
      </c>
      <c r="K346" t="inlineStr">
        <is>
          <t>N90</t>
        </is>
      </c>
      <c r="L346" t="inlineStr">
        <is>
          <t>(AP) NAFIN 90 Dias</t>
        </is>
      </c>
      <c r="M346" t="n">
        <v>10000133</v>
      </c>
      <c r="N346" t="inlineStr">
        <is>
          <t>Grava Triturada Caliza 20 mm - 3/4"</t>
        </is>
      </c>
      <c r="O346" t="inlineStr">
        <is>
          <t>D836</t>
        </is>
      </c>
      <c r="P346" t="inlineStr">
        <is>
          <t>MX-CED. CENTRO</t>
        </is>
      </c>
      <c r="Q346" t="n">
        <v>20141106</v>
      </c>
      <c r="R346" t="n">
        <v>20281231</v>
      </c>
      <c r="S346" t="n">
        <v>20220221</v>
      </c>
      <c r="T346" t="n">
        <v>20271231</v>
      </c>
      <c r="U346" t="n">
        <v>1021</v>
      </c>
      <c r="V346" t="inlineStr">
        <is>
          <t>MXN</t>
        </is>
      </c>
      <c r="W346" t="inlineStr">
        <is>
          <t>M3</t>
        </is>
      </c>
      <c r="X346" t="n">
        <v>406</v>
      </c>
      <c r="Y346" t="inlineStr">
        <is>
          <t>MXN</t>
        </is>
      </c>
      <c r="Z346" t="inlineStr">
        <is>
          <t>M3</t>
        </is>
      </c>
      <c r="AA346" t="inlineStr">
        <is>
          <t>66875501</t>
        </is>
      </c>
      <c r="AB346" t="inlineStr">
        <is>
          <t>COSTCO SANTA FE</t>
        </is>
      </c>
      <c r="AC346" t="n">
        <v>56103637</v>
      </c>
      <c r="AD346" t="n">
        <v>6622261540</v>
      </c>
      <c r="AE346" t="n">
        <v>4</v>
      </c>
      <c r="AF346" t="inlineStr">
        <is>
          <t>ENTREGA DIRECTA</t>
        </is>
      </c>
      <c r="AG346" t="n">
        <v>1.46</v>
      </c>
      <c r="AH346" t="inlineStr">
        <is>
          <t>M3</t>
        </is>
      </c>
      <c r="AI346" t="inlineStr">
        <is>
          <t>X</t>
        </is>
      </c>
      <c r="AJ346" t="n">
        <v>4</v>
      </c>
      <c r="AK346" t="inlineStr">
        <is>
          <t>V4</t>
        </is>
      </c>
      <c r="AL346" t="n">
        <v>20230920</v>
      </c>
      <c r="AM346" t="inlineStr">
        <is>
          <t>D836-900002574-66875501-10000133-4</t>
        </is>
      </c>
    </row>
    <row r="347">
      <c r="A347" t="inlineStr">
        <is>
          <t>900002574D8366683765910000160</t>
        </is>
      </c>
      <c r="B347" t="inlineStr">
        <is>
          <t>4600027590-780</t>
        </is>
      </c>
      <c r="C347" t="n">
        <v>4600027590</v>
      </c>
      <c r="D347" t="n">
        <v>780</v>
      </c>
      <c r="E347" t="inlineStr">
        <is>
          <t>MXPO</t>
        </is>
      </c>
      <c r="F347" t="inlineStr">
        <is>
          <t>M02</t>
        </is>
      </c>
      <c r="G347" t="n">
        <v>900002574</v>
      </c>
      <c r="H347" t="inlineStr">
        <is>
          <t>TP-ED-OLIELL</t>
        </is>
      </c>
      <c r="I347" t="n">
        <v>5048484</v>
      </c>
      <c r="J347" t="inlineStr">
        <is>
          <t>COMERCIALIZADORA Y TRANSPORTADORA O</t>
        </is>
      </c>
      <c r="K347" t="inlineStr">
        <is>
          <t>N90</t>
        </is>
      </c>
      <c r="L347" t="inlineStr">
        <is>
          <t>(AP) NAFIN 90 Dias</t>
        </is>
      </c>
      <c r="M347" t="n">
        <v>10000160</v>
      </c>
      <c r="N347" t="inlineStr">
        <is>
          <t>Arena Triturada Andesita Malla 4</t>
        </is>
      </c>
      <c r="O347" t="inlineStr">
        <is>
          <t>D836</t>
        </is>
      </c>
      <c r="P347" t="inlineStr">
        <is>
          <t>MX-CED. CENTRO</t>
        </is>
      </c>
      <c r="Q347" t="n">
        <v>20141106</v>
      </c>
      <c r="R347" t="n">
        <v>20281231</v>
      </c>
      <c r="S347" t="n">
        <v>20200225</v>
      </c>
      <c r="T347" t="n">
        <v>20291231</v>
      </c>
      <c r="U347" t="n">
        <v>250</v>
      </c>
      <c r="V347" t="inlineStr">
        <is>
          <t>MXN</t>
        </is>
      </c>
      <c r="W347" t="inlineStr">
        <is>
          <t>M3</t>
        </is>
      </c>
      <c r="X347" t="n">
        <v>125</v>
      </c>
      <c r="Y347" t="inlineStr">
        <is>
          <t>MXN</t>
        </is>
      </c>
      <c r="Z347" t="inlineStr">
        <is>
          <t>M3</t>
        </is>
      </c>
      <c r="AA347" t="inlineStr">
        <is>
          <t>66837659</t>
        </is>
      </c>
      <c r="AB347" t="inlineStr">
        <is>
          <t>PILARES DPTVO PELON OSUNA</t>
        </is>
      </c>
      <c r="AC347" t="n">
        <v>56103638</v>
      </c>
      <c r="AD347" t="n">
        <v>6622261540</v>
      </c>
      <c r="AE347" t="n">
        <v>4</v>
      </c>
      <c r="AF347" t="inlineStr">
        <is>
          <t>ENTREGA DIRECTA</t>
        </is>
      </c>
      <c r="AG347" t="n">
        <v>1.409</v>
      </c>
      <c r="AH347" t="inlineStr">
        <is>
          <t>M3</t>
        </is>
      </c>
      <c r="AI347" t="inlineStr">
        <is>
          <t>X</t>
        </is>
      </c>
      <c r="AJ347" t="n">
        <v>4</v>
      </c>
      <c r="AK347" t="inlineStr">
        <is>
          <t>V4</t>
        </is>
      </c>
      <c r="AL347" t="n">
        <v>20230920</v>
      </c>
      <c r="AM347" t="inlineStr">
        <is>
          <t>D836-900002574-66837659-10000160-4</t>
        </is>
      </c>
    </row>
    <row r="348">
      <c r="A348" t="inlineStr">
        <is>
          <t>900002574D8366690655810000133</t>
        </is>
      </c>
      <c r="B348" t="inlineStr">
        <is>
          <t>4600027590-2150</t>
        </is>
      </c>
      <c r="C348" t="n">
        <v>4600027590</v>
      </c>
      <c r="D348" t="n">
        <v>2150</v>
      </c>
      <c r="E348" t="inlineStr">
        <is>
          <t>MXPO</t>
        </is>
      </c>
      <c r="F348" t="inlineStr">
        <is>
          <t>M02</t>
        </is>
      </c>
      <c r="G348" t="n">
        <v>900002574</v>
      </c>
      <c r="H348" t="inlineStr">
        <is>
          <t>TP-ED-OLIELL</t>
        </is>
      </c>
      <c r="I348" t="n">
        <v>5048484</v>
      </c>
      <c r="J348" t="inlineStr">
        <is>
          <t>COMERCIALIZADORA Y TRANSPORTADORA O</t>
        </is>
      </c>
      <c r="K348" t="inlineStr">
        <is>
          <t>N90</t>
        </is>
      </c>
      <c r="L348" t="inlineStr">
        <is>
          <t>(AP) NAFIN 90 Dias</t>
        </is>
      </c>
      <c r="M348" t="n">
        <v>10000133</v>
      </c>
      <c r="N348" t="inlineStr">
        <is>
          <t>Grava Triturada Caliza 20 mm - 3/4"</t>
        </is>
      </c>
      <c r="O348" t="inlineStr">
        <is>
          <t>D836</t>
        </is>
      </c>
      <c r="P348" t="inlineStr">
        <is>
          <t>MX-CED. CENTRO</t>
        </is>
      </c>
      <c r="Q348" t="n">
        <v>20141106</v>
      </c>
      <c r="R348" t="n">
        <v>20281231</v>
      </c>
      <c r="S348" t="n">
        <v>20211008</v>
      </c>
      <c r="T348" t="n">
        <v>20261231</v>
      </c>
      <c r="U348" t="n">
        <v>934</v>
      </c>
      <c r="V348" t="inlineStr">
        <is>
          <t>MXN</t>
        </is>
      </c>
      <c r="W348" t="inlineStr">
        <is>
          <t>M3</t>
        </is>
      </c>
      <c r="X348" t="n">
        <v>784</v>
      </c>
      <c r="Y348" t="inlineStr">
        <is>
          <t>MXN</t>
        </is>
      </c>
      <c r="Z348" t="inlineStr">
        <is>
          <t>M3</t>
        </is>
      </c>
      <c r="AA348" t="inlineStr">
        <is>
          <t>66906558</t>
        </is>
      </c>
      <c r="AB348" t="inlineStr">
        <is>
          <t>MEXICABLE - ECATEPEC</t>
        </is>
      </c>
      <c r="AC348" t="n">
        <v>56103637</v>
      </c>
      <c r="AD348" t="n">
        <v>6622261540</v>
      </c>
      <c r="AE348" t="n">
        <v>4</v>
      </c>
      <c r="AF348" t="inlineStr">
        <is>
          <t>ENTREGA DIRECTA</t>
        </is>
      </c>
      <c r="AG348" t="n">
        <v>1.46</v>
      </c>
      <c r="AH348" t="inlineStr">
        <is>
          <t>M3</t>
        </is>
      </c>
      <c r="AI348" t="inlineStr">
        <is>
          <t>X</t>
        </is>
      </c>
      <c r="AJ348" t="n">
        <v>4</v>
      </c>
      <c r="AK348" t="inlineStr">
        <is>
          <t>V4</t>
        </is>
      </c>
      <c r="AL348" t="n">
        <v>20230920</v>
      </c>
      <c r="AM348" t="inlineStr">
        <is>
          <t>D836-900002574-66906558-10000133-4</t>
        </is>
      </c>
    </row>
    <row r="349">
      <c r="A349" t="inlineStr">
        <is>
          <t>900002574D8366689944010000357</t>
        </is>
      </c>
      <c r="B349" t="inlineStr">
        <is>
          <t>4600027590-1470</t>
        </is>
      </c>
      <c r="C349" t="n">
        <v>4600027590</v>
      </c>
      <c r="D349" t="n">
        <v>1470</v>
      </c>
      <c r="E349" t="inlineStr">
        <is>
          <t>MXPO</t>
        </is>
      </c>
      <c r="F349" t="inlineStr">
        <is>
          <t>M02</t>
        </is>
      </c>
      <c r="G349" t="n">
        <v>900002574</v>
      </c>
      <c r="H349" t="inlineStr">
        <is>
          <t>TP-ED-OLIELL</t>
        </is>
      </c>
      <c r="I349" t="n">
        <v>5048484</v>
      </c>
      <c r="J349" t="inlineStr">
        <is>
          <t>COMERCIALIZADORA Y TRANSPORTADORA O</t>
        </is>
      </c>
      <c r="K349" t="inlineStr">
        <is>
          <t>N90</t>
        </is>
      </c>
      <c r="L349" t="inlineStr">
        <is>
          <t>(AP) NAFIN 90 Dias</t>
        </is>
      </c>
      <c r="M349" t="n">
        <v>10000357</v>
      </c>
      <c r="N349" t="inlineStr">
        <is>
          <t>Grava Triturada Andesita 20 mm - 3/4"</t>
        </is>
      </c>
      <c r="O349" t="inlineStr">
        <is>
          <t>D836</t>
        </is>
      </c>
      <c r="P349" t="inlineStr">
        <is>
          <t>MX-CED. CENTRO</t>
        </is>
      </c>
      <c r="Q349" t="n">
        <v>20141106</v>
      </c>
      <c r="R349" t="n">
        <v>20281231</v>
      </c>
      <c r="S349" t="n">
        <v>20200928</v>
      </c>
      <c r="T349" t="n">
        <v>20291231</v>
      </c>
      <c r="U349" t="n">
        <v>502.16</v>
      </c>
      <c r="V349" t="inlineStr">
        <is>
          <t>MXN</t>
        </is>
      </c>
      <c r="W349" t="inlineStr">
        <is>
          <t>M3</t>
        </is>
      </c>
      <c r="X349" t="n">
        <v>372.92</v>
      </c>
      <c r="Y349" t="inlineStr">
        <is>
          <t>MXN</t>
        </is>
      </c>
      <c r="Z349" t="inlineStr">
        <is>
          <t>M3</t>
        </is>
      </c>
      <c r="AA349" t="inlineStr">
        <is>
          <t>66899440</t>
        </is>
      </c>
      <c r="AC349" t="n">
        <v>56103637</v>
      </c>
      <c r="AD349" t="n">
        <v>6622261540</v>
      </c>
      <c r="AE349" t="n">
        <v>4</v>
      </c>
      <c r="AF349" t="inlineStr">
        <is>
          <t>ENTREGA DIRECTA</t>
        </is>
      </c>
      <c r="AG349" t="n">
        <v>1.326</v>
      </c>
      <c r="AH349" t="inlineStr">
        <is>
          <t>M3</t>
        </is>
      </c>
      <c r="AI349" t="inlineStr">
        <is>
          <t>X</t>
        </is>
      </c>
      <c r="AJ349" t="n">
        <v>4</v>
      </c>
      <c r="AK349" t="inlineStr">
        <is>
          <t>V4</t>
        </is>
      </c>
      <c r="AL349" t="n">
        <v>20230920</v>
      </c>
      <c r="AM349" t="inlineStr">
        <is>
          <t>D836-900002574-66899440-10000357-4</t>
        </is>
      </c>
    </row>
    <row r="350">
      <c r="A350" t="inlineStr">
        <is>
          <t>900002574D8366689786710000160</t>
        </is>
      </c>
      <c r="B350" t="inlineStr">
        <is>
          <t>4600027590-1260</t>
        </is>
      </c>
      <c r="C350" t="n">
        <v>4600027590</v>
      </c>
      <c r="D350" t="n">
        <v>1260</v>
      </c>
      <c r="E350" t="inlineStr">
        <is>
          <t>MXPO</t>
        </is>
      </c>
      <c r="F350" t="inlineStr">
        <is>
          <t>M02</t>
        </is>
      </c>
      <c r="G350" t="n">
        <v>900002574</v>
      </c>
      <c r="H350" t="inlineStr">
        <is>
          <t>TP-ED-OLIELL</t>
        </is>
      </c>
      <c r="I350" t="n">
        <v>5048484</v>
      </c>
      <c r="J350" t="inlineStr">
        <is>
          <t>COMERCIALIZADORA Y TRANSPORTADORA O</t>
        </is>
      </c>
      <c r="K350" t="inlineStr">
        <is>
          <t>N90</t>
        </is>
      </c>
      <c r="L350" t="inlineStr">
        <is>
          <t>(AP) NAFIN 90 Dias</t>
        </is>
      </c>
      <c r="M350" t="n">
        <v>10000160</v>
      </c>
      <c r="N350" t="inlineStr">
        <is>
          <t>Arena Triturada Andesita Malla 4</t>
        </is>
      </c>
      <c r="O350" t="inlineStr">
        <is>
          <t>D836</t>
        </is>
      </c>
      <c r="P350" t="inlineStr">
        <is>
          <t>MX-CED. CENTRO</t>
        </is>
      </c>
      <c r="Q350" t="n">
        <v>20141106</v>
      </c>
      <c r="R350" t="n">
        <v>20281231</v>
      </c>
      <c r="S350" t="n">
        <v>20200911</v>
      </c>
      <c r="T350" t="n">
        <v>20291231</v>
      </c>
      <c r="U350" t="n">
        <v>474.13</v>
      </c>
      <c r="V350" t="inlineStr">
        <is>
          <t>MXN</t>
        </is>
      </c>
      <c r="W350" t="inlineStr">
        <is>
          <t>M3</t>
        </is>
      </c>
      <c r="X350" t="n">
        <v>376</v>
      </c>
      <c r="Y350" t="inlineStr">
        <is>
          <t>MXN</t>
        </is>
      </c>
      <c r="Z350" t="inlineStr">
        <is>
          <t>M3</t>
        </is>
      </c>
      <c r="AA350" t="inlineStr">
        <is>
          <t>66897867</t>
        </is>
      </c>
      <c r="AB350" t="inlineStr">
        <is>
          <t>LATONEROS 84</t>
        </is>
      </c>
      <c r="AC350" t="n">
        <v>56103638</v>
      </c>
      <c r="AD350" t="n">
        <v>6622261540</v>
      </c>
      <c r="AE350" t="n">
        <v>4</v>
      </c>
      <c r="AF350" t="inlineStr">
        <is>
          <t>ENTREGA DIRECTA</t>
        </is>
      </c>
      <c r="AG350" t="n">
        <v>1.409</v>
      </c>
      <c r="AH350" t="inlineStr">
        <is>
          <t>M3</t>
        </is>
      </c>
      <c r="AI350" t="inlineStr">
        <is>
          <t>X</t>
        </is>
      </c>
      <c r="AJ350" t="n">
        <v>4</v>
      </c>
      <c r="AK350" t="inlineStr">
        <is>
          <t>V4</t>
        </is>
      </c>
      <c r="AL350" t="n">
        <v>20230920</v>
      </c>
      <c r="AM350" t="inlineStr">
        <is>
          <t>D836-900002574-66897867-10000160-4</t>
        </is>
      </c>
    </row>
    <row r="351">
      <c r="A351" t="inlineStr">
        <is>
          <t>900002574D8366687807110000133</t>
        </is>
      </c>
      <c r="B351" t="inlineStr">
        <is>
          <t>4600027590-1040</t>
        </is>
      </c>
      <c r="C351" t="n">
        <v>4600027590</v>
      </c>
      <c r="D351" t="n">
        <v>1040</v>
      </c>
      <c r="E351" t="inlineStr">
        <is>
          <t>MXPO</t>
        </is>
      </c>
      <c r="F351" t="inlineStr">
        <is>
          <t>M02</t>
        </is>
      </c>
      <c r="G351" t="n">
        <v>900002574</v>
      </c>
      <c r="H351" t="inlineStr">
        <is>
          <t>TP-ED-OLIELL</t>
        </is>
      </c>
      <c r="I351" t="n">
        <v>5048484</v>
      </c>
      <c r="J351" t="inlineStr">
        <is>
          <t>COMERCIALIZADORA Y TRANSPORTADORA O</t>
        </is>
      </c>
      <c r="K351" t="inlineStr">
        <is>
          <t>N90</t>
        </is>
      </c>
      <c r="L351" t="inlineStr">
        <is>
          <t>(AP) NAFIN 90 Dias</t>
        </is>
      </c>
      <c r="M351" t="n">
        <v>10000133</v>
      </c>
      <c r="N351" t="inlineStr">
        <is>
          <t>Grava Triturada Caliza 20 mm - 3/4"</t>
        </is>
      </c>
      <c r="O351" t="inlineStr">
        <is>
          <t>D836</t>
        </is>
      </c>
      <c r="P351" t="inlineStr">
        <is>
          <t>MX-CED. CENTRO</t>
        </is>
      </c>
      <c r="Q351" t="n">
        <v>20141106</v>
      </c>
      <c r="R351" t="n">
        <v>20281231</v>
      </c>
      <c r="S351" t="n">
        <v>20200624</v>
      </c>
      <c r="T351" t="n">
        <v>20291231</v>
      </c>
      <c r="U351" t="n">
        <v>603.4400000000001</v>
      </c>
      <c r="V351" t="inlineStr">
        <is>
          <t>MXN</t>
        </is>
      </c>
      <c r="W351" t="inlineStr">
        <is>
          <t>M3</t>
        </is>
      </c>
      <c r="X351" t="n">
        <v>348.44</v>
      </c>
      <c r="Y351" t="inlineStr">
        <is>
          <t>MXN</t>
        </is>
      </c>
      <c r="Z351" t="inlineStr">
        <is>
          <t>M3</t>
        </is>
      </c>
      <c r="AA351" t="inlineStr">
        <is>
          <t>66878071</t>
        </is>
      </c>
      <c r="AB351" t="inlineStr">
        <is>
          <t>Curtidores 3</t>
        </is>
      </c>
      <c r="AC351" t="n">
        <v>56103637</v>
      </c>
      <c r="AD351" t="n">
        <v>6622261540</v>
      </c>
      <c r="AE351" t="n">
        <v>4</v>
      </c>
      <c r="AF351" t="inlineStr">
        <is>
          <t>ENTREGA DIRECTA</t>
        </is>
      </c>
      <c r="AG351" t="n">
        <v>1.46</v>
      </c>
      <c r="AH351" t="inlineStr">
        <is>
          <t>M3</t>
        </is>
      </c>
      <c r="AI351" t="inlineStr">
        <is>
          <t>X</t>
        </is>
      </c>
      <c r="AJ351" t="n">
        <v>4</v>
      </c>
      <c r="AK351" t="inlineStr">
        <is>
          <t>V4</t>
        </is>
      </c>
      <c r="AL351" t="n">
        <v>20230920</v>
      </c>
      <c r="AM351" t="inlineStr">
        <is>
          <t>D836-900002574-66878071-10000133-4</t>
        </is>
      </c>
    </row>
    <row r="352">
      <c r="A352" t="inlineStr">
        <is>
          <t>900002574D8366680565710000357</t>
        </is>
      </c>
      <c r="B352" t="inlineStr">
        <is>
          <t>4600027590-270</t>
        </is>
      </c>
      <c r="C352" t="n">
        <v>4600027590</v>
      </c>
      <c r="D352" t="n">
        <v>270</v>
      </c>
      <c r="E352" t="inlineStr">
        <is>
          <t>MXPO</t>
        </is>
      </c>
      <c r="F352" t="inlineStr">
        <is>
          <t>M02</t>
        </is>
      </c>
      <c r="G352" t="n">
        <v>900002574</v>
      </c>
      <c r="H352" t="inlineStr">
        <is>
          <t>TP-ED-OLIELL</t>
        </is>
      </c>
      <c r="I352" t="n">
        <v>5048484</v>
      </c>
      <c r="J352" t="inlineStr">
        <is>
          <t>COMERCIALIZADORA Y TRANSPORTADORA O</t>
        </is>
      </c>
      <c r="K352" t="inlineStr">
        <is>
          <t>N90</t>
        </is>
      </c>
      <c r="L352" t="inlineStr">
        <is>
          <t>(AP) NAFIN 90 Dias</t>
        </is>
      </c>
      <c r="M352" t="n">
        <v>10000357</v>
      </c>
      <c r="N352" t="inlineStr">
        <is>
          <t>Grava Triturada Andesita 20 mm - 3/4"</t>
        </is>
      </c>
      <c r="O352" t="inlineStr">
        <is>
          <t>D836</t>
        </is>
      </c>
      <c r="P352" t="inlineStr">
        <is>
          <t>MX-CED. CENTRO</t>
        </is>
      </c>
      <c r="Q352" t="n">
        <v>20141106</v>
      </c>
      <c r="R352" t="n">
        <v>20281231</v>
      </c>
      <c r="S352" t="n">
        <v>20190920</v>
      </c>
      <c r="T352" t="n">
        <v>20241231</v>
      </c>
      <c r="U352" t="n">
        <v>175</v>
      </c>
      <c r="V352" t="inlineStr">
        <is>
          <t>MXN</t>
        </is>
      </c>
      <c r="W352" t="inlineStr">
        <is>
          <t>M3</t>
        </is>
      </c>
      <c r="X352" t="n">
        <v>87.5</v>
      </c>
      <c r="Y352" t="inlineStr">
        <is>
          <t>MXN</t>
        </is>
      </c>
      <c r="Z352" t="inlineStr">
        <is>
          <t>M3</t>
        </is>
      </c>
      <c r="AA352" t="inlineStr">
        <is>
          <t>66805657</t>
        </is>
      </c>
      <c r="AB352" t="inlineStr">
        <is>
          <t>OLLM SUMINISTRO AV SEVILLA MEDELLIN</t>
        </is>
      </c>
      <c r="AC352" t="n">
        <v>56103637</v>
      </c>
      <c r="AD352" t="n">
        <v>6622261540</v>
      </c>
      <c r="AE352" t="n">
        <v>4</v>
      </c>
      <c r="AF352" t="inlineStr">
        <is>
          <t>ENTREGA DIRECTA</t>
        </is>
      </c>
      <c r="AG352" t="n">
        <v>1.326</v>
      </c>
      <c r="AH352" t="inlineStr">
        <is>
          <t>M3</t>
        </is>
      </c>
      <c r="AI352" t="inlineStr">
        <is>
          <t>X</t>
        </is>
      </c>
      <c r="AJ352" t="n">
        <v>4</v>
      </c>
      <c r="AK352" t="inlineStr">
        <is>
          <t>V4</t>
        </is>
      </c>
      <c r="AL352" t="n">
        <v>20230920</v>
      </c>
      <c r="AM352" t="inlineStr">
        <is>
          <t>D836-900002574-66805657-10000357-4</t>
        </is>
      </c>
    </row>
    <row r="353">
      <c r="A353" t="inlineStr">
        <is>
          <t>900002574D8366660955610058345</t>
        </is>
      </c>
      <c r="B353" t="inlineStr">
        <is>
          <t>4600027590-1240</t>
        </is>
      </c>
      <c r="C353" t="n">
        <v>4600027590</v>
      </c>
      <c r="D353" t="n">
        <v>1240</v>
      </c>
      <c r="E353" t="inlineStr">
        <is>
          <t>MXPO</t>
        </is>
      </c>
      <c r="F353" t="inlineStr">
        <is>
          <t>M02</t>
        </is>
      </c>
      <c r="G353" t="n">
        <v>900002574</v>
      </c>
      <c r="H353" t="inlineStr">
        <is>
          <t>TP-ED-OLIELL</t>
        </is>
      </c>
      <c r="I353" t="n">
        <v>5048484</v>
      </c>
      <c r="J353" t="inlineStr">
        <is>
          <t>COMERCIALIZADORA Y TRANSPORTADORA O</t>
        </is>
      </c>
      <c r="K353" t="inlineStr">
        <is>
          <t>N90</t>
        </is>
      </c>
      <c r="L353" t="inlineStr">
        <is>
          <t>(AP) NAFIN 90 Dias</t>
        </is>
      </c>
      <c r="M353" t="n">
        <v>10058345</v>
      </c>
      <c r="N353" t="inlineStr">
        <is>
          <t>Arena Triturada Caliza Malla 4</t>
        </is>
      </c>
      <c r="O353" t="inlineStr">
        <is>
          <t>D836</t>
        </is>
      </c>
      <c r="P353" t="inlineStr">
        <is>
          <t>MX-CED. CENTRO</t>
        </is>
      </c>
      <c r="Q353" t="n">
        <v>20141106</v>
      </c>
      <c r="R353" t="n">
        <v>20281231</v>
      </c>
      <c r="S353" t="n">
        <v>20200812</v>
      </c>
      <c r="T353" t="n">
        <v>20291231</v>
      </c>
      <c r="U353" t="n">
        <v>560.34</v>
      </c>
      <c r="V353" t="inlineStr">
        <is>
          <t>MXN</t>
        </is>
      </c>
      <c r="W353" t="inlineStr">
        <is>
          <t>M3</t>
        </is>
      </c>
      <c r="X353" t="n">
        <v>420.34</v>
      </c>
      <c r="Y353" t="inlineStr">
        <is>
          <t>MXN</t>
        </is>
      </c>
      <c r="Z353" t="inlineStr">
        <is>
          <t>M3</t>
        </is>
      </c>
      <c r="AA353" t="inlineStr">
        <is>
          <t>66609556</t>
        </is>
      </c>
      <c r="AB353" t="inlineStr">
        <is>
          <t>CPI-CDA POLVORA 2</t>
        </is>
      </c>
      <c r="AC353" t="n">
        <v>56103638</v>
      </c>
      <c r="AD353" t="n">
        <v>6622261540</v>
      </c>
      <c r="AE353" t="n">
        <v>4</v>
      </c>
      <c r="AF353" t="inlineStr">
        <is>
          <t>ENTREGA DIRECTA</t>
        </is>
      </c>
      <c r="AG353" t="n">
        <v>1.575</v>
      </c>
      <c r="AH353" t="inlineStr">
        <is>
          <t>M3</t>
        </is>
      </c>
      <c r="AI353" t="inlineStr">
        <is>
          <t>X</t>
        </is>
      </c>
      <c r="AJ353" t="n">
        <v>4</v>
      </c>
      <c r="AK353" t="inlineStr">
        <is>
          <t>V4</t>
        </is>
      </c>
      <c r="AL353" t="n">
        <v>20230920</v>
      </c>
      <c r="AM353" t="inlineStr">
        <is>
          <t>D836-900002574-66609556-10058345-4</t>
        </is>
      </c>
    </row>
    <row r="354">
      <c r="A354" t="inlineStr">
        <is>
          <t>900002574D8366646005310000357</t>
        </is>
      </c>
      <c r="B354" t="inlineStr">
        <is>
          <t>4600027590-730</t>
        </is>
      </c>
      <c r="C354" t="n">
        <v>4600027590</v>
      </c>
      <c r="D354" t="n">
        <v>730</v>
      </c>
      <c r="E354" t="inlineStr">
        <is>
          <t>MXPO</t>
        </is>
      </c>
      <c r="F354" t="inlineStr">
        <is>
          <t>M02</t>
        </is>
      </c>
      <c r="G354" t="n">
        <v>900002574</v>
      </c>
      <c r="H354" t="inlineStr">
        <is>
          <t>TP-ED-OLIELL</t>
        </is>
      </c>
      <c r="I354" t="n">
        <v>5048484</v>
      </c>
      <c r="J354" t="inlineStr">
        <is>
          <t>COMERCIALIZADORA Y TRANSPORTADORA O</t>
        </is>
      </c>
      <c r="K354" t="inlineStr">
        <is>
          <t>N90</t>
        </is>
      </c>
      <c r="L354" t="inlineStr">
        <is>
          <t>(AP) NAFIN 90 Dias</t>
        </is>
      </c>
      <c r="M354" t="n">
        <v>10000357</v>
      </c>
      <c r="N354" t="inlineStr">
        <is>
          <t>Grava Triturada Andesita 20 mm - 3/4"</t>
        </is>
      </c>
      <c r="O354" t="inlineStr">
        <is>
          <t>D836</t>
        </is>
      </c>
      <c r="P354" t="inlineStr">
        <is>
          <t>MX-CED. CENTRO</t>
        </is>
      </c>
      <c r="Q354" t="n">
        <v>20141106</v>
      </c>
      <c r="R354" t="n">
        <v>20281231</v>
      </c>
      <c r="S354" t="n">
        <v>20200212</v>
      </c>
      <c r="T354" t="n">
        <v>20291231</v>
      </c>
      <c r="U354" t="n">
        <v>379.31</v>
      </c>
      <c r="V354" t="inlineStr">
        <is>
          <t>MXN</t>
        </is>
      </c>
      <c r="W354" t="inlineStr">
        <is>
          <t>M3</t>
        </is>
      </c>
      <c r="X354" t="n">
        <v>189.66</v>
      </c>
      <c r="Y354" t="inlineStr">
        <is>
          <t>MXN</t>
        </is>
      </c>
      <c r="Z354" t="inlineStr">
        <is>
          <t>M3</t>
        </is>
      </c>
      <c r="AA354" t="inlineStr">
        <is>
          <t>66460053</t>
        </is>
      </c>
      <c r="AB354" t="inlineStr">
        <is>
          <t>RESIDENCIAL PUNTO CERO (RCJ)</t>
        </is>
      </c>
      <c r="AC354" t="n">
        <v>56103637</v>
      </c>
      <c r="AD354" t="n">
        <v>6622261540</v>
      </c>
      <c r="AE354" t="n">
        <v>4</v>
      </c>
      <c r="AF354" t="inlineStr">
        <is>
          <t>ENTREGA DIRECTA</t>
        </is>
      </c>
      <c r="AG354" t="n">
        <v>1.326</v>
      </c>
      <c r="AH354" t="inlineStr">
        <is>
          <t>M3</t>
        </is>
      </c>
      <c r="AI354" t="inlineStr">
        <is>
          <t>X</t>
        </is>
      </c>
      <c r="AJ354" t="n">
        <v>4</v>
      </c>
      <c r="AK354" t="inlineStr">
        <is>
          <t>V4</t>
        </is>
      </c>
      <c r="AL354" t="n">
        <v>20230920</v>
      </c>
      <c r="AM354" t="inlineStr">
        <is>
          <t>D836-900002574-66460053-10000357-4</t>
        </is>
      </c>
    </row>
    <row r="355">
      <c r="A355" t="inlineStr">
        <is>
          <t>900002574D8366691627910000284</t>
        </is>
      </c>
      <c r="B355" t="inlineStr">
        <is>
          <t>4600027590-1850</t>
        </is>
      </c>
      <c r="C355" t="n">
        <v>4600027590</v>
      </c>
      <c r="D355" t="n">
        <v>1850</v>
      </c>
      <c r="E355" t="inlineStr">
        <is>
          <t>MXPO</t>
        </is>
      </c>
      <c r="F355" t="inlineStr">
        <is>
          <t>M02</t>
        </is>
      </c>
      <c r="G355" t="n">
        <v>900002574</v>
      </c>
      <c r="H355" t="inlineStr">
        <is>
          <t>TP-ED-OLIELL</t>
        </is>
      </c>
      <c r="I355" t="n">
        <v>5048484</v>
      </c>
      <c r="J355" t="inlineStr">
        <is>
          <t>COMERCIALIZADORA Y TRANSPORTADORA O</t>
        </is>
      </c>
      <c r="K355" t="inlineStr">
        <is>
          <t>N90</t>
        </is>
      </c>
      <c r="L355" t="inlineStr">
        <is>
          <t>(AP) NAFIN 90 Dias</t>
        </is>
      </c>
      <c r="M355" t="n">
        <v>10000284</v>
      </c>
      <c r="N355" t="inlineStr">
        <is>
          <t>Grava Triturada Basalto  20 mm - 3/4"</t>
        </is>
      </c>
      <c r="O355" t="inlineStr">
        <is>
          <t>D836</t>
        </is>
      </c>
      <c r="P355" t="inlineStr">
        <is>
          <t>MX-CED. CENTRO</t>
        </is>
      </c>
      <c r="Q355" t="n">
        <v>20141106</v>
      </c>
      <c r="R355" t="n">
        <v>20281231</v>
      </c>
      <c r="S355" t="n">
        <v>20201117</v>
      </c>
      <c r="T355" t="n">
        <v>20291231</v>
      </c>
      <c r="U355" t="n">
        <v>780</v>
      </c>
      <c r="V355" t="inlineStr">
        <is>
          <t>MXN</t>
        </is>
      </c>
      <c r="W355" t="inlineStr">
        <is>
          <t>M3</t>
        </is>
      </c>
      <c r="X355" t="n">
        <v>620</v>
      </c>
      <c r="Y355" t="inlineStr">
        <is>
          <t>MXN</t>
        </is>
      </c>
      <c r="Z355" t="inlineStr">
        <is>
          <t>M3</t>
        </is>
      </c>
      <c r="AA355" t="inlineStr">
        <is>
          <t>66916279</t>
        </is>
      </c>
      <c r="AB355" t="inlineStr">
        <is>
          <t>autopista cuajimalpa naucalpan</t>
        </is>
      </c>
      <c r="AC355" t="n">
        <v>56103637</v>
      </c>
      <c r="AD355" t="n">
        <v>6622261867</v>
      </c>
      <c r="AE355" t="n">
        <v>4</v>
      </c>
      <c r="AF355" t="inlineStr">
        <is>
          <t>ENTREGA DIRECTA</t>
        </is>
      </c>
      <c r="AG355" t="n">
        <v>1.429</v>
      </c>
      <c r="AH355" t="inlineStr">
        <is>
          <t>M3</t>
        </is>
      </c>
      <c r="AI355" t="inlineStr">
        <is>
          <t>X</t>
        </is>
      </c>
      <c r="AJ355" t="n">
        <v>4</v>
      </c>
      <c r="AK355" t="inlineStr">
        <is>
          <t>V4</t>
        </is>
      </c>
      <c r="AL355" t="n">
        <v>20230920</v>
      </c>
      <c r="AM355" t="inlineStr">
        <is>
          <t>D836-900002574-66916279-10000284-4</t>
        </is>
      </c>
    </row>
    <row r="356">
      <c r="A356" t="inlineStr">
        <is>
          <t>900002574D8366682864610000623</t>
        </is>
      </c>
      <c r="B356" t="inlineStr">
        <is>
          <t>4600027590-550</t>
        </is>
      </c>
      <c r="C356" t="n">
        <v>4600027590</v>
      </c>
      <c r="D356" t="n">
        <v>550</v>
      </c>
      <c r="E356" t="inlineStr">
        <is>
          <t>MXPO</t>
        </is>
      </c>
      <c r="F356" t="inlineStr">
        <is>
          <t>M02</t>
        </is>
      </c>
      <c r="G356" t="n">
        <v>900002574</v>
      </c>
      <c r="H356" t="inlineStr">
        <is>
          <t>TP-ED-OLIELL</t>
        </is>
      </c>
      <c r="I356" t="n">
        <v>5048484</v>
      </c>
      <c r="J356" t="inlineStr">
        <is>
          <t>COMERCIALIZADORA Y TRANSPORTADORA O</t>
        </is>
      </c>
      <c r="K356" t="inlineStr">
        <is>
          <t>N90</t>
        </is>
      </c>
      <c r="L356" t="inlineStr">
        <is>
          <t>(AP) NAFIN 90 Dias</t>
        </is>
      </c>
      <c r="M356" t="n">
        <v>10000623</v>
      </c>
      <c r="N356" t="inlineStr">
        <is>
          <t>Grava Triturada Caliza 10 mm - 3/8"</t>
        </is>
      </c>
      <c r="O356" t="inlineStr">
        <is>
          <t>D836</t>
        </is>
      </c>
      <c r="P356" t="inlineStr">
        <is>
          <t>MX-CED. CENTRO</t>
        </is>
      </c>
      <c r="Q356" t="n">
        <v>20141106</v>
      </c>
      <c r="R356" t="n">
        <v>20281231</v>
      </c>
      <c r="S356" t="n">
        <v>20191129</v>
      </c>
      <c r="T356" t="n">
        <v>20241231</v>
      </c>
      <c r="U356" t="n">
        <v>520</v>
      </c>
      <c r="V356" t="inlineStr">
        <is>
          <t>MXN</t>
        </is>
      </c>
      <c r="W356" t="inlineStr">
        <is>
          <t>M3</t>
        </is>
      </c>
      <c r="X356" t="n">
        <v>260</v>
      </c>
      <c r="Y356" t="inlineStr">
        <is>
          <t>MXN</t>
        </is>
      </c>
      <c r="Z356" t="inlineStr">
        <is>
          <t>M3</t>
        </is>
      </c>
      <c r="AA356" t="inlineStr">
        <is>
          <t>66828646</t>
        </is>
      </c>
      <c r="AB356" t="inlineStr">
        <is>
          <t>TUXPAN 54</t>
        </is>
      </c>
      <c r="AC356" t="n">
        <v>56103637</v>
      </c>
      <c r="AD356" t="n">
        <v>6622261540</v>
      </c>
      <c r="AE356" t="n">
        <v>4</v>
      </c>
      <c r="AF356" t="inlineStr">
        <is>
          <t>ENTREGA DIRECTA</t>
        </is>
      </c>
      <c r="AG356" t="n">
        <v>1.41</v>
      </c>
      <c r="AH356" t="inlineStr">
        <is>
          <t>M3</t>
        </is>
      </c>
      <c r="AI356" t="inlineStr">
        <is>
          <t>X</t>
        </is>
      </c>
      <c r="AJ356" t="n">
        <v>4</v>
      </c>
      <c r="AK356" t="inlineStr">
        <is>
          <t>V4</t>
        </is>
      </c>
      <c r="AL356" t="n">
        <v>20230920</v>
      </c>
      <c r="AM356" t="inlineStr">
        <is>
          <t>D836-900002574-66828646-10000623-4</t>
        </is>
      </c>
    </row>
    <row r="357">
      <c r="A357" t="inlineStr">
        <is>
          <t>900002574D8366716973410000357</t>
        </is>
      </c>
      <c r="B357" t="inlineStr">
        <is>
          <t>4600027590-2470</t>
        </is>
      </c>
      <c r="C357" t="n">
        <v>4600027590</v>
      </c>
      <c r="D357" t="n">
        <v>2470</v>
      </c>
      <c r="E357" t="inlineStr">
        <is>
          <t>MXPO</t>
        </is>
      </c>
      <c r="F357" t="inlineStr">
        <is>
          <t>M02</t>
        </is>
      </c>
      <c r="G357" t="n">
        <v>900002574</v>
      </c>
      <c r="H357" t="inlineStr">
        <is>
          <t>TP-ED-OLIELL</t>
        </is>
      </c>
      <c r="I357" t="n">
        <v>5048484</v>
      </c>
      <c r="J357" t="inlineStr">
        <is>
          <t>COMERCIALIZADORA Y TRANSPORTADORA O</t>
        </is>
      </c>
      <c r="K357" t="inlineStr">
        <is>
          <t>N90</t>
        </is>
      </c>
      <c r="L357" t="inlineStr">
        <is>
          <t>(AP) NAFIN 90 Dias</t>
        </is>
      </c>
      <c r="M357" t="n">
        <v>10000357</v>
      </c>
      <c r="N357" t="inlineStr">
        <is>
          <t>Grava Triturada Andesita 20 mm - 3/4"</t>
        </is>
      </c>
      <c r="O357" t="inlineStr">
        <is>
          <t>D836</t>
        </is>
      </c>
      <c r="P357" t="inlineStr">
        <is>
          <t>MX-CED. CENTRO</t>
        </is>
      </c>
      <c r="Q357" t="n">
        <v>20141106</v>
      </c>
      <c r="R357" t="n">
        <v>20281231</v>
      </c>
      <c r="S357" t="n">
        <v>20230825</v>
      </c>
      <c r="T357" t="n">
        <v>20281231</v>
      </c>
      <c r="U357" t="n">
        <v>692</v>
      </c>
      <c r="V357" t="inlineStr">
        <is>
          <t>MXN</t>
        </is>
      </c>
      <c r="W357" t="inlineStr">
        <is>
          <t>M3</t>
        </is>
      </c>
      <c r="X357" t="n">
        <v>384</v>
      </c>
      <c r="Y357" t="inlineStr">
        <is>
          <t>MXN</t>
        </is>
      </c>
      <c r="Z357" t="inlineStr">
        <is>
          <t>M3</t>
        </is>
      </c>
      <c r="AA357" t="inlineStr">
        <is>
          <t>67169734</t>
        </is>
      </c>
      <c r="AB357" t="inlineStr">
        <is>
          <t>lomas de cristo lagi</t>
        </is>
      </c>
      <c r="AC357" t="n">
        <v>56103637</v>
      </c>
      <c r="AD357" t="n">
        <v>6622261540</v>
      </c>
      <c r="AE357" t="n">
        <v>4</v>
      </c>
      <c r="AF357" t="inlineStr">
        <is>
          <t>ENTREGA DIRECTA</t>
        </is>
      </c>
      <c r="AG357" t="n">
        <v>1.326</v>
      </c>
      <c r="AH357" t="inlineStr">
        <is>
          <t>M3</t>
        </is>
      </c>
      <c r="AI357" t="inlineStr">
        <is>
          <t>X</t>
        </is>
      </c>
      <c r="AJ357" t="n">
        <v>4</v>
      </c>
      <c r="AK357" t="inlineStr">
        <is>
          <t>V4</t>
        </is>
      </c>
      <c r="AL357" t="n">
        <v>20230920</v>
      </c>
      <c r="AM357" t="inlineStr">
        <is>
          <t>D836-900002574-67169734-10000357-4</t>
        </is>
      </c>
    </row>
    <row r="358">
      <c r="A358" t="inlineStr">
        <is>
          <t>900002574D8366694072010000133</t>
        </is>
      </c>
      <c r="B358" t="inlineStr">
        <is>
          <t>4600027590-2170</t>
        </is>
      </c>
      <c r="C358" t="n">
        <v>4600027590</v>
      </c>
      <c r="D358" t="n">
        <v>2170</v>
      </c>
      <c r="E358" t="inlineStr">
        <is>
          <t>MXPO</t>
        </is>
      </c>
      <c r="F358" t="inlineStr">
        <is>
          <t>M02</t>
        </is>
      </c>
      <c r="G358" t="n">
        <v>900002574</v>
      </c>
      <c r="H358" t="inlineStr">
        <is>
          <t>TP-ED-OLIELL</t>
        </is>
      </c>
      <c r="I358" t="n">
        <v>5048484</v>
      </c>
      <c r="J358" t="inlineStr">
        <is>
          <t>COMERCIALIZADORA Y TRANSPORTADORA O</t>
        </is>
      </c>
      <c r="K358" t="inlineStr">
        <is>
          <t>N90</t>
        </is>
      </c>
      <c r="L358" t="inlineStr">
        <is>
          <t>(AP) NAFIN 90 Dias</t>
        </is>
      </c>
      <c r="M358" t="n">
        <v>10000133</v>
      </c>
      <c r="N358" t="inlineStr">
        <is>
          <t>Grava Triturada Caliza 20 mm - 3/4"</t>
        </is>
      </c>
      <c r="O358" t="inlineStr">
        <is>
          <t>D836</t>
        </is>
      </c>
      <c r="P358" t="inlineStr">
        <is>
          <t>MX-CED. CENTRO</t>
        </is>
      </c>
      <c r="Q358" t="n">
        <v>20141106</v>
      </c>
      <c r="R358" t="n">
        <v>20281231</v>
      </c>
      <c r="S358" t="n">
        <v>20211008</v>
      </c>
      <c r="T358" t="n">
        <v>20261231</v>
      </c>
      <c r="U358" t="n">
        <v>934</v>
      </c>
      <c r="V358" t="inlineStr">
        <is>
          <t>MXN</t>
        </is>
      </c>
      <c r="W358" t="inlineStr">
        <is>
          <t>M3</t>
        </is>
      </c>
      <c r="X358" t="n">
        <v>784</v>
      </c>
      <c r="Y358" t="inlineStr">
        <is>
          <t>MXN</t>
        </is>
      </c>
      <c r="Z358" t="inlineStr">
        <is>
          <t>M3</t>
        </is>
      </c>
      <c r="AA358" t="inlineStr">
        <is>
          <t>66940720</t>
        </is>
      </c>
      <c r="AB358" t="inlineStr">
        <is>
          <t>Frente Santa Rosa</t>
        </is>
      </c>
      <c r="AC358" t="n">
        <v>56103637</v>
      </c>
      <c r="AD358" t="n">
        <v>6622261540</v>
      </c>
      <c r="AE358" t="n">
        <v>4</v>
      </c>
      <c r="AF358" t="inlineStr">
        <is>
          <t>ENTREGA DIRECTA</t>
        </is>
      </c>
      <c r="AG358" t="n">
        <v>1.46</v>
      </c>
      <c r="AH358" t="inlineStr">
        <is>
          <t>M3</t>
        </is>
      </c>
      <c r="AI358" t="inlineStr">
        <is>
          <t>X</t>
        </is>
      </c>
      <c r="AJ358" t="n">
        <v>4</v>
      </c>
      <c r="AK358" t="inlineStr">
        <is>
          <t>V4</t>
        </is>
      </c>
      <c r="AL358" t="n">
        <v>20230920</v>
      </c>
      <c r="AM358" t="inlineStr">
        <is>
          <t>D836-900002574-66940720-10000133-4</t>
        </is>
      </c>
    </row>
    <row r="359">
      <c r="A359" t="inlineStr">
        <is>
          <t>900002574D8366648605910000160</t>
        </is>
      </c>
      <c r="B359" t="inlineStr">
        <is>
          <t>4600027590-1940</t>
        </is>
      </c>
      <c r="C359" t="n">
        <v>4600027590</v>
      </c>
      <c r="D359" t="n">
        <v>1940</v>
      </c>
      <c r="E359" t="inlineStr">
        <is>
          <t>MXPO</t>
        </is>
      </c>
      <c r="F359" t="inlineStr">
        <is>
          <t>M02</t>
        </is>
      </c>
      <c r="G359" t="n">
        <v>900002574</v>
      </c>
      <c r="H359" t="inlineStr">
        <is>
          <t>TP-ED-OLIELL</t>
        </is>
      </c>
      <c r="I359" t="n">
        <v>5048484</v>
      </c>
      <c r="J359" t="inlineStr">
        <is>
          <t>COMERCIALIZADORA Y TRANSPORTADORA O</t>
        </is>
      </c>
      <c r="K359" t="inlineStr">
        <is>
          <t>N90</t>
        </is>
      </c>
      <c r="L359" t="inlineStr">
        <is>
          <t>(AP) NAFIN 90 Dias</t>
        </is>
      </c>
      <c r="M359" t="n">
        <v>10000160</v>
      </c>
      <c r="N359" t="inlineStr">
        <is>
          <t>Arena Triturada Andesita Malla 4</t>
        </is>
      </c>
      <c r="O359" t="inlineStr">
        <is>
          <t>D836</t>
        </is>
      </c>
      <c r="P359" t="inlineStr">
        <is>
          <t>MX-CED. CENTRO</t>
        </is>
      </c>
      <c r="Q359" t="n">
        <v>20141106</v>
      </c>
      <c r="R359" t="n">
        <v>20281231</v>
      </c>
      <c r="S359" t="n">
        <v>20210205</v>
      </c>
      <c r="T359" t="n">
        <v>20291231</v>
      </c>
      <c r="U359" t="n">
        <v>577.59</v>
      </c>
      <c r="V359" t="inlineStr">
        <is>
          <t>MXN</t>
        </is>
      </c>
      <c r="W359" t="inlineStr">
        <is>
          <t>M3</t>
        </is>
      </c>
      <c r="X359" t="n">
        <v>477.59</v>
      </c>
      <c r="Y359" t="inlineStr">
        <is>
          <t>MXN</t>
        </is>
      </c>
      <c r="Z359" t="inlineStr">
        <is>
          <t>M3</t>
        </is>
      </c>
      <c r="AA359" t="inlineStr">
        <is>
          <t>66486059</t>
        </is>
      </c>
      <c r="AB359" t="inlineStr">
        <is>
          <t>Proveedora Matva</t>
        </is>
      </c>
      <c r="AC359" t="n">
        <v>56103638</v>
      </c>
      <c r="AD359" t="n">
        <v>6622261540</v>
      </c>
      <c r="AE359" t="n">
        <v>4</v>
      </c>
      <c r="AF359" t="inlineStr">
        <is>
          <t>ENTREGA DIRECTA</t>
        </is>
      </c>
      <c r="AG359" t="n">
        <v>1.409</v>
      </c>
      <c r="AH359" t="inlineStr">
        <is>
          <t>M3</t>
        </is>
      </c>
      <c r="AI359" t="inlineStr">
        <is>
          <t>X</t>
        </is>
      </c>
      <c r="AJ359" t="n">
        <v>4</v>
      </c>
      <c r="AK359" t="inlineStr">
        <is>
          <t>V4</t>
        </is>
      </c>
      <c r="AL359" t="n">
        <v>20230920</v>
      </c>
      <c r="AM359" t="inlineStr">
        <is>
          <t>D836-900002574-66486059-10000160-4</t>
        </is>
      </c>
    </row>
    <row r="360">
      <c r="A360" t="inlineStr">
        <is>
          <t>900002574D8366689943910000160</t>
        </is>
      </c>
      <c r="B360" t="inlineStr">
        <is>
          <t>4600027590-1440</t>
        </is>
      </c>
      <c r="C360" t="n">
        <v>4600027590</v>
      </c>
      <c r="D360" t="n">
        <v>1440</v>
      </c>
      <c r="E360" t="inlineStr">
        <is>
          <t>MXPO</t>
        </is>
      </c>
      <c r="F360" t="inlineStr">
        <is>
          <t>M02</t>
        </is>
      </c>
      <c r="G360" t="n">
        <v>900002574</v>
      </c>
      <c r="H360" t="inlineStr">
        <is>
          <t>TP-ED-OLIELL</t>
        </is>
      </c>
      <c r="I360" t="n">
        <v>5048484</v>
      </c>
      <c r="J360" t="inlineStr">
        <is>
          <t>COMERCIALIZADORA Y TRANSPORTADORA O</t>
        </is>
      </c>
      <c r="K360" t="inlineStr">
        <is>
          <t>N90</t>
        </is>
      </c>
      <c r="L360" t="inlineStr">
        <is>
          <t>(AP) NAFIN 90 Dias</t>
        </is>
      </c>
      <c r="M360" t="n">
        <v>10000160</v>
      </c>
      <c r="N360" t="inlineStr">
        <is>
          <t>Arena Triturada Andesita Malla 4</t>
        </is>
      </c>
      <c r="O360" t="inlineStr">
        <is>
          <t>D836</t>
        </is>
      </c>
      <c r="P360" t="inlineStr">
        <is>
          <t>MX-CED. CENTRO</t>
        </is>
      </c>
      <c r="Q360" t="n">
        <v>20141106</v>
      </c>
      <c r="R360" t="n">
        <v>20281231</v>
      </c>
      <c r="S360" t="n">
        <v>20200928</v>
      </c>
      <c r="T360" t="n">
        <v>20291231</v>
      </c>
      <c r="U360" t="n">
        <v>482.92</v>
      </c>
      <c r="V360" t="inlineStr">
        <is>
          <t>MXN</t>
        </is>
      </c>
      <c r="W360" t="inlineStr">
        <is>
          <t>M3</t>
        </is>
      </c>
      <c r="X360" t="n">
        <v>372.92</v>
      </c>
      <c r="Y360" t="inlineStr">
        <is>
          <t>MXN</t>
        </is>
      </c>
      <c r="Z360" t="inlineStr">
        <is>
          <t>M3</t>
        </is>
      </c>
      <c r="AA360" t="inlineStr">
        <is>
          <t>66899439</t>
        </is>
      </c>
      <c r="AC360" t="n">
        <v>56103638</v>
      </c>
      <c r="AD360" t="n">
        <v>6622261540</v>
      </c>
      <c r="AE360" t="n">
        <v>4</v>
      </c>
      <c r="AF360" t="inlineStr">
        <is>
          <t>ENTREGA DIRECTA</t>
        </is>
      </c>
      <c r="AG360" t="n">
        <v>1.409</v>
      </c>
      <c r="AH360" t="inlineStr">
        <is>
          <t>M3</t>
        </is>
      </c>
      <c r="AI360" t="inlineStr">
        <is>
          <t>X</t>
        </is>
      </c>
      <c r="AJ360" t="n">
        <v>4</v>
      </c>
      <c r="AK360" t="inlineStr">
        <is>
          <t>V4</t>
        </is>
      </c>
      <c r="AL360" t="n">
        <v>20230920</v>
      </c>
      <c r="AM360" t="inlineStr">
        <is>
          <t>D836-900002574-66899439-10000160-4</t>
        </is>
      </c>
    </row>
    <row r="361">
      <c r="A361" t="inlineStr">
        <is>
          <t>900007321D8366693331310000160</t>
        </is>
      </c>
      <c r="B361" t="inlineStr">
        <is>
          <t>4600052061-20</t>
        </is>
      </c>
      <c r="C361" t="n">
        <v>4600052061</v>
      </c>
      <c r="D361" t="n">
        <v>20</v>
      </c>
      <c r="E361" t="inlineStr">
        <is>
          <t>MXPO</t>
        </is>
      </c>
      <c r="F361" t="inlineStr">
        <is>
          <t>MXL</t>
        </is>
      </c>
      <c r="G361" t="n">
        <v>900007321</v>
      </c>
      <c r="H361" t="inlineStr">
        <is>
          <t>SF TP-ED-LOMA ANCHA SC</t>
        </is>
      </c>
      <c r="I361" t="n">
        <v>5047262</v>
      </c>
      <c r="J361" t="inlineStr">
        <is>
          <t>AGREGADOS PETREOS SAN CRISTOBAL</t>
        </is>
      </c>
      <c r="K361" t="inlineStr">
        <is>
          <t>Z03</t>
        </is>
      </c>
      <c r="L361" t="inlineStr">
        <is>
          <t>(AP) 15 Dias</t>
        </is>
      </c>
      <c r="M361" t="n">
        <v>10000160</v>
      </c>
      <c r="N361" t="inlineStr">
        <is>
          <t>Arena Triturada Andesita Malla 4</t>
        </is>
      </c>
      <c r="O361" t="inlineStr">
        <is>
          <t>D836</t>
        </is>
      </c>
      <c r="P361" t="inlineStr">
        <is>
          <t>MX-CED. CENTRO</t>
        </is>
      </c>
      <c r="Q361" t="n">
        <v>20210928</v>
      </c>
      <c r="R361" t="n">
        <v>20291231</v>
      </c>
      <c r="S361" t="n">
        <v>20220214</v>
      </c>
      <c r="T361" t="n">
        <v>20271231</v>
      </c>
      <c r="U361" t="n">
        <v>237</v>
      </c>
      <c r="V361" t="inlineStr">
        <is>
          <t>MXN</t>
        </is>
      </c>
      <c r="W361" t="inlineStr">
        <is>
          <t>M3</t>
        </is>
      </c>
      <c r="X361" t="n">
        <v>137.5</v>
      </c>
      <c r="Y361" t="inlineStr">
        <is>
          <t>MXN</t>
        </is>
      </c>
      <c r="Z361" t="inlineStr">
        <is>
          <t>M3</t>
        </is>
      </c>
      <c r="AA361" t="inlineStr">
        <is>
          <t>66933313</t>
        </is>
      </c>
      <c r="AB361" t="inlineStr">
        <is>
          <t>Centro Ecuestre Miguel Hidalgo</t>
        </is>
      </c>
      <c r="AC361" t="n">
        <v>56103638</v>
      </c>
      <c r="AD361" t="n">
        <v>6622261540</v>
      </c>
      <c r="AE361" t="n">
        <v>4</v>
      </c>
      <c r="AF361" t="inlineStr">
        <is>
          <t>ENTREGA DIRECTA</t>
        </is>
      </c>
      <c r="AG361" t="n">
        <v>1.409</v>
      </c>
      <c r="AH361" t="inlineStr">
        <is>
          <t>M3</t>
        </is>
      </c>
      <c r="AI361" t="inlineStr">
        <is>
          <t>X</t>
        </is>
      </c>
      <c r="AJ361" t="n">
        <v>4</v>
      </c>
      <c r="AK361" t="inlineStr">
        <is>
          <t>V4</t>
        </is>
      </c>
      <c r="AL361" t="n">
        <v>20230920</v>
      </c>
      <c r="AM361" t="inlineStr">
        <is>
          <t>D836-900007321-66933313-10000160-4</t>
        </is>
      </c>
    </row>
    <row r="362">
      <c r="A362" t="inlineStr">
        <is>
          <t>900002574D8366688153910000160</t>
        </is>
      </c>
      <c r="B362" t="inlineStr">
        <is>
          <t>4600027590-1100</t>
        </is>
      </c>
      <c r="C362" t="n">
        <v>4600027590</v>
      </c>
      <c r="D362" t="n">
        <v>1100</v>
      </c>
      <c r="E362" t="inlineStr">
        <is>
          <t>MXPO</t>
        </is>
      </c>
      <c r="F362" t="inlineStr">
        <is>
          <t>M02</t>
        </is>
      </c>
      <c r="G362" t="n">
        <v>900002574</v>
      </c>
      <c r="H362" t="inlineStr">
        <is>
          <t>TP-ED-OLIELL</t>
        </is>
      </c>
      <c r="I362" t="n">
        <v>5048484</v>
      </c>
      <c r="J362" t="inlineStr">
        <is>
          <t>COMERCIALIZADORA Y TRANSPORTADORA O</t>
        </is>
      </c>
      <c r="K362" t="inlineStr">
        <is>
          <t>N90</t>
        </is>
      </c>
      <c r="L362" t="inlineStr">
        <is>
          <t>(AP) NAFIN 90 Dias</t>
        </is>
      </c>
      <c r="M362" t="n">
        <v>10000160</v>
      </c>
      <c r="N362" t="inlineStr">
        <is>
          <t>Arena Triturada Andesita Malla 4</t>
        </is>
      </c>
      <c r="O362" t="inlineStr">
        <is>
          <t>D836</t>
        </is>
      </c>
      <c r="P362" t="inlineStr">
        <is>
          <t>MX-CED. CENTRO</t>
        </is>
      </c>
      <c r="Q362" t="n">
        <v>20141106</v>
      </c>
      <c r="R362" t="n">
        <v>20281231</v>
      </c>
      <c r="S362" t="n">
        <v>20200707</v>
      </c>
      <c r="T362" t="n">
        <v>20291231</v>
      </c>
      <c r="U362" t="n">
        <v>344.82</v>
      </c>
      <c r="V362" t="inlineStr">
        <is>
          <t>MXN</t>
        </is>
      </c>
      <c r="W362" t="inlineStr">
        <is>
          <t>M3</t>
        </is>
      </c>
      <c r="X362" t="n">
        <v>244.82</v>
      </c>
      <c r="Y362" t="inlineStr">
        <is>
          <t>MXN</t>
        </is>
      </c>
      <c r="Z362" t="inlineStr">
        <is>
          <t>M3</t>
        </is>
      </c>
      <c r="AA362" t="inlineStr">
        <is>
          <t>66881539</t>
        </is>
      </c>
      <c r="AB362" t="inlineStr">
        <is>
          <t>ZAPOTE 13 (SEBJ)</t>
        </is>
      </c>
      <c r="AC362" t="n">
        <v>56103638</v>
      </c>
      <c r="AD362" t="n">
        <v>6622261540</v>
      </c>
      <c r="AE362" t="n">
        <v>4</v>
      </c>
      <c r="AF362" t="inlineStr">
        <is>
          <t>ENTREGA DIRECTA</t>
        </is>
      </c>
      <c r="AG362" t="n">
        <v>1.409</v>
      </c>
      <c r="AH362" t="inlineStr">
        <is>
          <t>M3</t>
        </is>
      </c>
      <c r="AI362" t="inlineStr">
        <is>
          <t>X</t>
        </is>
      </c>
      <c r="AJ362" t="n">
        <v>4</v>
      </c>
      <c r="AK362" t="inlineStr">
        <is>
          <t>V4</t>
        </is>
      </c>
      <c r="AL362" t="n">
        <v>20230920</v>
      </c>
      <c r="AM362" t="inlineStr">
        <is>
          <t>D836-900002574-66881539-10000160-4</t>
        </is>
      </c>
    </row>
    <row r="363">
      <c r="A363" t="inlineStr">
        <is>
          <t>900002574D8366689944710000160</t>
        </is>
      </c>
      <c r="B363" t="inlineStr">
        <is>
          <t>4600027590-1480</t>
        </is>
      </c>
      <c r="C363" t="n">
        <v>4600027590</v>
      </c>
      <c r="D363" t="n">
        <v>1480</v>
      </c>
      <c r="E363" t="inlineStr">
        <is>
          <t>MXPO</t>
        </is>
      </c>
      <c r="F363" t="inlineStr">
        <is>
          <t>M02</t>
        </is>
      </c>
      <c r="G363" t="n">
        <v>900002574</v>
      </c>
      <c r="H363" t="inlineStr">
        <is>
          <t>TP-ED-OLIELL</t>
        </is>
      </c>
      <c r="I363" t="n">
        <v>5048484</v>
      </c>
      <c r="J363" t="inlineStr">
        <is>
          <t>COMERCIALIZADORA Y TRANSPORTADORA O</t>
        </is>
      </c>
      <c r="K363" t="inlineStr">
        <is>
          <t>N90</t>
        </is>
      </c>
      <c r="L363" t="inlineStr">
        <is>
          <t>(AP) NAFIN 90 Dias</t>
        </is>
      </c>
      <c r="M363" t="n">
        <v>10000160</v>
      </c>
      <c r="N363" t="inlineStr">
        <is>
          <t>Arena Triturada Andesita Malla 4</t>
        </is>
      </c>
      <c r="O363" t="inlineStr">
        <is>
          <t>D836</t>
        </is>
      </c>
      <c r="P363" t="inlineStr">
        <is>
          <t>MX-CED. CENTRO</t>
        </is>
      </c>
      <c r="Q363" t="n">
        <v>20141106</v>
      </c>
      <c r="R363" t="n">
        <v>20281231</v>
      </c>
      <c r="S363" t="n">
        <v>20200928</v>
      </c>
      <c r="T363" t="n">
        <v>20291231</v>
      </c>
      <c r="U363" t="n">
        <v>482.92</v>
      </c>
      <c r="V363" t="inlineStr">
        <is>
          <t>MXN</t>
        </is>
      </c>
      <c r="W363" t="inlineStr">
        <is>
          <t>M3</t>
        </is>
      </c>
      <c r="X363" t="n">
        <v>372.92</v>
      </c>
      <c r="Y363" t="inlineStr">
        <is>
          <t>MXN</t>
        </is>
      </c>
      <c r="Z363" t="inlineStr">
        <is>
          <t>M3</t>
        </is>
      </c>
      <c r="AA363" t="inlineStr">
        <is>
          <t>66899447</t>
        </is>
      </c>
      <c r="AC363" t="n">
        <v>56103638</v>
      </c>
      <c r="AD363" t="n">
        <v>6622261540</v>
      </c>
      <c r="AE363" t="n">
        <v>4</v>
      </c>
      <c r="AF363" t="inlineStr">
        <is>
          <t>ENTREGA DIRECTA</t>
        </is>
      </c>
      <c r="AG363" t="n">
        <v>1.409</v>
      </c>
      <c r="AH363" t="inlineStr">
        <is>
          <t>M3</t>
        </is>
      </c>
      <c r="AI363" t="inlineStr">
        <is>
          <t>X</t>
        </is>
      </c>
      <c r="AJ363" t="n">
        <v>4</v>
      </c>
      <c r="AK363" t="inlineStr">
        <is>
          <t>V4</t>
        </is>
      </c>
      <c r="AL363" t="n">
        <v>20230920</v>
      </c>
      <c r="AM363" t="inlineStr">
        <is>
          <t>D836-900002574-66899447-10000160-4</t>
        </is>
      </c>
    </row>
    <row r="364">
      <c r="A364" t="inlineStr">
        <is>
          <t>900002574D8366686965510000357</t>
        </is>
      </c>
      <c r="B364" t="inlineStr">
        <is>
          <t>4600027590-1020</t>
        </is>
      </c>
      <c r="C364" t="n">
        <v>4600027590</v>
      </c>
      <c r="D364" t="n">
        <v>1020</v>
      </c>
      <c r="E364" t="inlineStr">
        <is>
          <t>MXPO</t>
        </is>
      </c>
      <c r="F364" t="inlineStr">
        <is>
          <t>M02</t>
        </is>
      </c>
      <c r="G364" t="n">
        <v>900002574</v>
      </c>
      <c r="H364" t="inlineStr">
        <is>
          <t>TP-ED-OLIELL</t>
        </is>
      </c>
      <c r="I364" t="n">
        <v>5048484</v>
      </c>
      <c r="J364" t="inlineStr">
        <is>
          <t>COMERCIALIZADORA Y TRANSPORTADORA O</t>
        </is>
      </c>
      <c r="K364" t="inlineStr">
        <is>
          <t>N90</t>
        </is>
      </c>
      <c r="L364" t="inlineStr">
        <is>
          <t>(AP) NAFIN 90 Dias</t>
        </is>
      </c>
      <c r="M364" t="n">
        <v>10000357</v>
      </c>
      <c r="N364" t="inlineStr">
        <is>
          <t>Grava Triturada Andesita 20 mm - 3/4"</t>
        </is>
      </c>
      <c r="O364" t="inlineStr">
        <is>
          <t>D836</t>
        </is>
      </c>
      <c r="P364" t="inlineStr">
        <is>
          <t>MX-CED. CENTRO</t>
        </is>
      </c>
      <c r="Q364" t="n">
        <v>20141106</v>
      </c>
      <c r="R364" t="n">
        <v>20281231</v>
      </c>
      <c r="S364" t="n">
        <v>20200521</v>
      </c>
      <c r="T364" t="n">
        <v>20291231</v>
      </c>
      <c r="U364" t="n">
        <v>517.24</v>
      </c>
      <c r="V364" t="inlineStr">
        <is>
          <t>MXN</t>
        </is>
      </c>
      <c r="W364" t="inlineStr">
        <is>
          <t>M3</t>
        </is>
      </c>
      <c r="X364" t="n">
        <v>385</v>
      </c>
      <c r="Y364" t="inlineStr">
        <is>
          <t>MXN</t>
        </is>
      </c>
      <c r="Z364" t="inlineStr">
        <is>
          <t>M3</t>
        </is>
      </c>
      <c r="AA364" t="inlineStr">
        <is>
          <t>66869655</t>
        </is>
      </c>
      <c r="AB364" t="inlineStr">
        <is>
          <t>ALEMANIA 11</t>
        </is>
      </c>
      <c r="AC364" t="n">
        <v>56103637</v>
      </c>
      <c r="AD364" t="n">
        <v>6622261540</v>
      </c>
      <c r="AE364" t="n">
        <v>4</v>
      </c>
      <c r="AF364" t="inlineStr">
        <is>
          <t>ENTREGA DIRECTA</t>
        </is>
      </c>
      <c r="AG364" t="n">
        <v>1.326</v>
      </c>
      <c r="AH364" t="inlineStr">
        <is>
          <t>M3</t>
        </is>
      </c>
      <c r="AI364" t="inlineStr">
        <is>
          <t>X</t>
        </is>
      </c>
      <c r="AJ364" t="n">
        <v>4</v>
      </c>
      <c r="AK364" t="inlineStr">
        <is>
          <t>V4</t>
        </is>
      </c>
      <c r="AL364" t="n">
        <v>20230920</v>
      </c>
      <c r="AM364" t="inlineStr">
        <is>
          <t>D836-900002574-66869655-10000357-4</t>
        </is>
      </c>
    </row>
    <row r="365">
      <c r="A365" t="inlineStr">
        <is>
          <t>900002574D8366714860610019515</t>
        </is>
      </c>
      <c r="B365" t="inlineStr">
        <is>
          <t>4600027590-2390</t>
        </is>
      </c>
      <c r="C365" t="n">
        <v>4600027590</v>
      </c>
      <c r="D365" t="n">
        <v>2390</v>
      </c>
      <c r="E365" t="inlineStr">
        <is>
          <t>MXPO</t>
        </is>
      </c>
      <c r="F365" t="inlineStr">
        <is>
          <t>M02</t>
        </is>
      </c>
      <c r="G365" t="n">
        <v>900002574</v>
      </c>
      <c r="H365" t="inlineStr">
        <is>
          <t>TP-ED-OLIELL</t>
        </is>
      </c>
      <c r="I365" t="n">
        <v>5048484</v>
      </c>
      <c r="J365" t="inlineStr">
        <is>
          <t>COMERCIALIZADORA Y TRANSPORTADORA O</t>
        </is>
      </c>
      <c r="K365" t="inlineStr">
        <is>
          <t>N90</t>
        </is>
      </c>
      <c r="L365" t="inlineStr">
        <is>
          <t>(AP) NAFIN 90 Dias</t>
        </is>
      </c>
      <c r="M365" t="n">
        <v>10019515</v>
      </c>
      <c r="N365" t="inlineStr">
        <is>
          <t>Grava Triturada Tezontle 20mm - 3/4"</t>
        </is>
      </c>
      <c r="O365" t="inlineStr">
        <is>
          <t>D836</t>
        </is>
      </c>
      <c r="P365" t="inlineStr">
        <is>
          <t>MX-CED. CENTRO</t>
        </is>
      </c>
      <c r="Q365" t="n">
        <v>20141106</v>
      </c>
      <c r="R365" t="n">
        <v>20281231</v>
      </c>
      <c r="S365" t="n">
        <v>20230524</v>
      </c>
      <c r="T365" t="n">
        <v>20281231</v>
      </c>
      <c r="U365" t="n">
        <v>666</v>
      </c>
      <c r="V365" t="inlineStr">
        <is>
          <t>MXN</t>
        </is>
      </c>
      <c r="W365" t="inlineStr">
        <is>
          <t>M3</t>
        </is>
      </c>
      <c r="X365" t="n">
        <v>336</v>
      </c>
      <c r="Y365" t="inlineStr">
        <is>
          <t>MXN</t>
        </is>
      </c>
      <c r="Z365" t="inlineStr">
        <is>
          <t>M3</t>
        </is>
      </c>
      <c r="AA365" t="inlineStr">
        <is>
          <t>67148606</t>
        </is>
      </c>
      <c r="AB365" t="inlineStr">
        <is>
          <t>REMODELACIÓN BODEGA AURRERA</t>
        </is>
      </c>
      <c r="AC365" t="n">
        <v>56103637</v>
      </c>
      <c r="AD365" t="n">
        <v>6622261540</v>
      </c>
      <c r="AE365" t="n">
        <v>4</v>
      </c>
      <c r="AF365" t="inlineStr">
        <is>
          <t>ENTREGA DIRECTA</t>
        </is>
      </c>
      <c r="AG365" t="n">
        <v>1.3</v>
      </c>
      <c r="AH365" t="inlineStr">
        <is>
          <t>M3</t>
        </is>
      </c>
      <c r="AI365" t="inlineStr">
        <is>
          <t>X</t>
        </is>
      </c>
      <c r="AJ365" t="n">
        <v>4</v>
      </c>
      <c r="AK365" t="inlineStr">
        <is>
          <t>V4</t>
        </is>
      </c>
      <c r="AL365" t="n">
        <v>20230920</v>
      </c>
      <c r="AM365" t="inlineStr">
        <is>
          <t>D836-900002574-67148606-10019515-4</t>
        </is>
      </c>
    </row>
    <row r="366">
      <c r="A366" t="inlineStr">
        <is>
          <t>900002574D8366707318510058345</t>
        </is>
      </c>
      <c r="B366" t="inlineStr">
        <is>
          <t>4600027590-2290</t>
        </is>
      </c>
      <c r="C366" t="n">
        <v>4600027590</v>
      </c>
      <c r="D366" t="n">
        <v>2290</v>
      </c>
      <c r="E366" t="inlineStr">
        <is>
          <t>MXPO</t>
        </is>
      </c>
      <c r="F366" t="inlineStr">
        <is>
          <t>M02</t>
        </is>
      </c>
      <c r="G366" t="n">
        <v>900002574</v>
      </c>
      <c r="H366" t="inlineStr">
        <is>
          <t>TP-ED-OLIELL</t>
        </is>
      </c>
      <c r="I366" t="n">
        <v>5048484</v>
      </c>
      <c r="J366" t="inlineStr">
        <is>
          <t>COMERCIALIZADORA Y TRANSPORTADORA O</t>
        </is>
      </c>
      <c r="K366" t="inlineStr">
        <is>
          <t>N90</t>
        </is>
      </c>
      <c r="L366" t="inlineStr">
        <is>
          <t>(AP) NAFIN 90 Dias</t>
        </is>
      </c>
      <c r="M366" t="n">
        <v>10058345</v>
      </c>
      <c r="N366" t="inlineStr">
        <is>
          <t>Arena Triturada Caliza Malla 4</t>
        </is>
      </c>
      <c r="O366" t="inlineStr">
        <is>
          <t>D836</t>
        </is>
      </c>
      <c r="P366" t="inlineStr">
        <is>
          <t>MX-CED. CENTRO</t>
        </is>
      </c>
      <c r="Q366" t="n">
        <v>20141106</v>
      </c>
      <c r="R366" t="n">
        <v>20281231</v>
      </c>
      <c r="S366" t="n">
        <v>20220608</v>
      </c>
      <c r="T366" t="n">
        <v>20271231</v>
      </c>
      <c r="U366" t="n">
        <v>179.58</v>
      </c>
      <c r="V366" t="inlineStr">
        <is>
          <t>MXN</t>
        </is>
      </c>
      <c r="W366" t="inlineStr">
        <is>
          <t>TN</t>
        </is>
      </c>
      <c r="X366" t="n">
        <v>93.33</v>
      </c>
      <c r="Y366" t="inlineStr">
        <is>
          <t>MXN</t>
        </is>
      </c>
      <c r="Z366" t="inlineStr">
        <is>
          <t>TN</t>
        </is>
      </c>
      <c r="AA366" t="inlineStr">
        <is>
          <t>67073185</t>
        </is>
      </c>
      <c r="AB366" t="inlineStr">
        <is>
          <t>Planta Tecámac</t>
        </is>
      </c>
      <c r="AC366" t="n">
        <v>56103638</v>
      </c>
      <c r="AD366" t="n">
        <v>6622261540</v>
      </c>
      <c r="AE366" t="n">
        <v>4</v>
      </c>
      <c r="AF366" t="inlineStr">
        <is>
          <t>ENTREGA DIRECTA</t>
        </is>
      </c>
      <c r="AG366" t="n">
        <v>1</v>
      </c>
      <c r="AH366" t="inlineStr">
        <is>
          <t>TO</t>
        </is>
      </c>
      <c r="AI366" t="inlineStr">
        <is>
          <t>X</t>
        </is>
      </c>
      <c r="AJ366" t="n">
        <v>4</v>
      </c>
      <c r="AK366" t="inlineStr">
        <is>
          <t>V4</t>
        </is>
      </c>
      <c r="AL366" t="n">
        <v>20230920</v>
      </c>
      <c r="AM366" t="inlineStr">
        <is>
          <t>D836-900002574-67073185-10058345-4</t>
        </is>
      </c>
    </row>
    <row r="367">
      <c r="A367" t="inlineStr">
        <is>
          <t>900002574D8366683856110000357</t>
        </is>
      </c>
      <c r="B367" t="inlineStr">
        <is>
          <t>4600027590-1920</t>
        </is>
      </c>
      <c r="C367" t="n">
        <v>4600027590</v>
      </c>
      <c r="D367" t="n">
        <v>1920</v>
      </c>
      <c r="E367" t="inlineStr">
        <is>
          <t>MXPO</t>
        </is>
      </c>
      <c r="F367" t="inlineStr">
        <is>
          <t>M02</t>
        </is>
      </c>
      <c r="G367" t="n">
        <v>900002574</v>
      </c>
      <c r="H367" t="inlineStr">
        <is>
          <t>TP-ED-OLIELL</t>
        </is>
      </c>
      <c r="I367" t="n">
        <v>5048484</v>
      </c>
      <c r="J367" t="inlineStr">
        <is>
          <t>COMERCIALIZADORA Y TRANSPORTADORA O</t>
        </is>
      </c>
      <c r="K367" t="inlineStr">
        <is>
          <t>N90</t>
        </is>
      </c>
      <c r="L367" t="inlineStr">
        <is>
          <t>(AP) NAFIN 90 Dias</t>
        </is>
      </c>
      <c r="M367" t="n">
        <v>10000357</v>
      </c>
      <c r="N367" t="inlineStr">
        <is>
          <t>Grava Triturada Andesita 20 mm - 3/4"</t>
        </is>
      </c>
      <c r="O367" t="inlineStr">
        <is>
          <t>D836</t>
        </is>
      </c>
      <c r="P367" t="inlineStr">
        <is>
          <t>MX-CED. CENTRO</t>
        </is>
      </c>
      <c r="Q367" t="n">
        <v>20141106</v>
      </c>
      <c r="R367" t="n">
        <v>20281231</v>
      </c>
      <c r="S367" t="n">
        <v>20201030</v>
      </c>
      <c r="T367" t="n">
        <v>20291231</v>
      </c>
      <c r="U367" t="n">
        <v>170</v>
      </c>
      <c r="V367" t="inlineStr">
        <is>
          <t>MXN</t>
        </is>
      </c>
      <c r="W367" t="inlineStr">
        <is>
          <t>M3</t>
        </is>
      </c>
      <c r="X367" t="n">
        <v>60</v>
      </c>
      <c r="Y367" t="inlineStr">
        <is>
          <t>MXN</t>
        </is>
      </c>
      <c r="Z367" t="inlineStr">
        <is>
          <t>M3</t>
        </is>
      </c>
      <c r="AA367" t="inlineStr">
        <is>
          <t>66838561</t>
        </is>
      </c>
      <c r="AB367" t="inlineStr">
        <is>
          <t>REMODELACION DE PATIO TLALPIZAHUAC</t>
        </is>
      </c>
      <c r="AC367" t="n">
        <v>56103637</v>
      </c>
      <c r="AD367" t="n">
        <v>6622261540</v>
      </c>
      <c r="AE367" t="n">
        <v>4</v>
      </c>
      <c r="AF367" t="inlineStr">
        <is>
          <t>ENTREGA DIRECTA</t>
        </is>
      </c>
      <c r="AG367" t="n">
        <v>1.326</v>
      </c>
      <c r="AH367" t="inlineStr">
        <is>
          <t>M3</t>
        </is>
      </c>
      <c r="AI367" t="inlineStr">
        <is>
          <t>X</t>
        </is>
      </c>
      <c r="AJ367" t="n">
        <v>4</v>
      </c>
      <c r="AK367" t="inlineStr">
        <is>
          <t>V4</t>
        </is>
      </c>
      <c r="AL367" t="n">
        <v>20230920</v>
      </c>
      <c r="AM367" t="inlineStr">
        <is>
          <t>D836-900002574-66838561-10000357-4</t>
        </is>
      </c>
    </row>
    <row r="368">
      <c r="A368" t="inlineStr">
        <is>
          <t>900002574D8366680588910000160</t>
        </is>
      </c>
      <c r="B368" t="inlineStr">
        <is>
          <t>4600027590-200</t>
        </is>
      </c>
      <c r="C368" t="n">
        <v>4600027590</v>
      </c>
      <c r="D368" t="n">
        <v>200</v>
      </c>
      <c r="E368" t="inlineStr">
        <is>
          <t>MXPO</t>
        </is>
      </c>
      <c r="F368" t="inlineStr">
        <is>
          <t>M02</t>
        </is>
      </c>
      <c r="G368" t="n">
        <v>900002574</v>
      </c>
      <c r="H368" t="inlineStr">
        <is>
          <t>TP-ED-OLIELL</t>
        </is>
      </c>
      <c r="I368" t="n">
        <v>5048484</v>
      </c>
      <c r="J368" t="inlineStr">
        <is>
          <t>COMERCIALIZADORA Y TRANSPORTADORA O</t>
        </is>
      </c>
      <c r="K368" t="inlineStr">
        <is>
          <t>N90</t>
        </is>
      </c>
      <c r="L368" t="inlineStr">
        <is>
          <t>(AP) NAFIN 90 Dias</t>
        </is>
      </c>
      <c r="M368" t="n">
        <v>10000160</v>
      </c>
      <c r="N368" t="inlineStr">
        <is>
          <t>Arena Triturada Andesita Malla 4</t>
        </is>
      </c>
      <c r="O368" t="inlineStr">
        <is>
          <t>D836</t>
        </is>
      </c>
      <c r="P368" t="inlineStr">
        <is>
          <t>MX-CED. CENTRO</t>
        </is>
      </c>
      <c r="Q368" t="n">
        <v>20141106</v>
      </c>
      <c r="R368" t="n">
        <v>20281231</v>
      </c>
      <c r="S368" t="n">
        <v>20190902</v>
      </c>
      <c r="T368" t="n">
        <v>20241231</v>
      </c>
      <c r="U368" t="n">
        <v>344.83</v>
      </c>
      <c r="V368" t="inlineStr">
        <is>
          <t>MXN</t>
        </is>
      </c>
      <c r="W368" t="inlineStr">
        <is>
          <t>M3</t>
        </is>
      </c>
      <c r="X368" t="n">
        <v>156.83</v>
      </c>
      <c r="Y368" t="inlineStr">
        <is>
          <t>MXN</t>
        </is>
      </c>
      <c r="Z368" t="inlineStr">
        <is>
          <t>M3</t>
        </is>
      </c>
      <c r="AA368" t="inlineStr">
        <is>
          <t>66805889</t>
        </is>
      </c>
      <c r="AB368" t="inlineStr">
        <is>
          <t>HECTOR ESPINOLA BLANDO</t>
        </is>
      </c>
      <c r="AC368" t="n">
        <v>56103638</v>
      </c>
      <c r="AD368" t="n">
        <v>6622261540</v>
      </c>
      <c r="AE368" t="n">
        <v>4</v>
      </c>
      <c r="AF368" t="inlineStr">
        <is>
          <t>ENTREGA DIRECTA</t>
        </is>
      </c>
      <c r="AG368" t="n">
        <v>1.409</v>
      </c>
      <c r="AH368" t="inlineStr">
        <is>
          <t>M3</t>
        </is>
      </c>
      <c r="AI368" t="inlineStr">
        <is>
          <t>X</t>
        </is>
      </c>
      <c r="AJ368" t="n">
        <v>4</v>
      </c>
      <c r="AK368" t="inlineStr">
        <is>
          <t>V4</t>
        </is>
      </c>
      <c r="AL368" t="n">
        <v>20230920</v>
      </c>
      <c r="AM368" t="inlineStr">
        <is>
          <t>D836-900002574-66805889-10000160-4</t>
        </is>
      </c>
    </row>
    <row r="369">
      <c r="A369" t="inlineStr">
        <is>
          <t>900002574D8366683765910000623</t>
        </is>
      </c>
      <c r="B369" t="inlineStr">
        <is>
          <t>4600027590-810</t>
        </is>
      </c>
      <c r="C369" t="n">
        <v>4600027590</v>
      </c>
      <c r="D369" t="n">
        <v>810</v>
      </c>
      <c r="E369" t="inlineStr">
        <is>
          <t>MXPO</t>
        </is>
      </c>
      <c r="F369" t="inlineStr">
        <is>
          <t>M02</t>
        </is>
      </c>
      <c r="G369" t="n">
        <v>900002574</v>
      </c>
      <c r="H369" t="inlineStr">
        <is>
          <t>TP-ED-OLIELL</t>
        </is>
      </c>
      <c r="I369" t="n">
        <v>5048484</v>
      </c>
      <c r="J369" t="inlineStr">
        <is>
          <t>COMERCIALIZADORA Y TRANSPORTADORA O</t>
        </is>
      </c>
      <c r="K369" t="inlineStr">
        <is>
          <t>N90</t>
        </is>
      </c>
      <c r="L369" t="inlineStr">
        <is>
          <t>(AP) NAFIN 90 Dias</t>
        </is>
      </c>
      <c r="M369" t="n">
        <v>10000623</v>
      </c>
      <c r="N369" t="inlineStr">
        <is>
          <t>Grava Triturada Caliza 10 mm - 3/8"</t>
        </is>
      </c>
      <c r="O369" t="inlineStr">
        <is>
          <t>D836</t>
        </is>
      </c>
      <c r="P369" t="inlineStr">
        <is>
          <t>MX-CED. CENTRO</t>
        </is>
      </c>
      <c r="Q369" t="n">
        <v>20141106</v>
      </c>
      <c r="R369" t="n">
        <v>20281231</v>
      </c>
      <c r="S369" t="n">
        <v>20200225</v>
      </c>
      <c r="T369" t="n">
        <v>20291231</v>
      </c>
      <c r="U369" t="n">
        <v>420</v>
      </c>
      <c r="V369" t="inlineStr">
        <is>
          <t>MXN</t>
        </is>
      </c>
      <c r="W369" t="inlineStr">
        <is>
          <t>M3</t>
        </is>
      </c>
      <c r="X369" t="n">
        <v>210</v>
      </c>
      <c r="Y369" t="inlineStr">
        <is>
          <t>MXN</t>
        </is>
      </c>
      <c r="Z369" t="inlineStr">
        <is>
          <t>M3</t>
        </is>
      </c>
      <c r="AA369" t="inlineStr">
        <is>
          <t>66837659</t>
        </is>
      </c>
      <c r="AB369" t="inlineStr">
        <is>
          <t>PILARES DPTVO PELON OSUNA</t>
        </is>
      </c>
      <c r="AC369" t="n">
        <v>56103637</v>
      </c>
      <c r="AD369" t="n">
        <v>6622261540</v>
      </c>
      <c r="AE369" t="n">
        <v>4</v>
      </c>
      <c r="AF369" t="inlineStr">
        <is>
          <t>ENTREGA DIRECTA</t>
        </is>
      </c>
      <c r="AG369" t="n">
        <v>1.41</v>
      </c>
      <c r="AH369" t="inlineStr">
        <is>
          <t>M3</t>
        </is>
      </c>
      <c r="AI369" t="inlineStr">
        <is>
          <t>X</t>
        </is>
      </c>
      <c r="AJ369" t="n">
        <v>4</v>
      </c>
      <c r="AK369" t="inlineStr">
        <is>
          <t>V4</t>
        </is>
      </c>
      <c r="AL369" t="n">
        <v>20230920</v>
      </c>
      <c r="AM369" t="inlineStr">
        <is>
          <t>D836-900002574-66837659-10000623-4</t>
        </is>
      </c>
    </row>
    <row r="370">
      <c r="A370" t="inlineStr">
        <is>
          <t>900002574D8366629716810000624</t>
        </is>
      </c>
      <c r="B370" t="inlineStr">
        <is>
          <t>4600027590-160</t>
        </is>
      </c>
      <c r="C370" t="n">
        <v>4600027590</v>
      </c>
      <c r="D370" t="n">
        <v>160</v>
      </c>
      <c r="E370" t="inlineStr">
        <is>
          <t>MXPO</t>
        </is>
      </c>
      <c r="F370" t="inlineStr">
        <is>
          <t>M02</t>
        </is>
      </c>
      <c r="G370" t="n">
        <v>900002574</v>
      </c>
      <c r="H370" t="inlineStr">
        <is>
          <t>TP-ED-OLIELL</t>
        </is>
      </c>
      <c r="I370" t="n">
        <v>5048484</v>
      </c>
      <c r="J370" t="inlineStr">
        <is>
          <t>COMERCIALIZADORA Y TRANSPORTADORA O</t>
        </is>
      </c>
      <c r="K370" t="inlineStr">
        <is>
          <t>N90</t>
        </is>
      </c>
      <c r="L370" t="inlineStr">
        <is>
          <t>(AP) NAFIN 90 Dias</t>
        </is>
      </c>
      <c r="M370" t="n">
        <v>10000624</v>
      </c>
      <c r="N370" t="inlineStr">
        <is>
          <t>Grava Triturada Caliza 40 mm - 1 1/2"</t>
        </is>
      </c>
      <c r="O370" t="inlineStr">
        <is>
          <t>D836</t>
        </is>
      </c>
      <c r="P370" t="inlineStr">
        <is>
          <t>MX-CED. CENTRO</t>
        </is>
      </c>
      <c r="Q370" t="n">
        <v>20141106</v>
      </c>
      <c r="R370" t="n">
        <v>20281231</v>
      </c>
      <c r="S370" t="n">
        <v>20180313</v>
      </c>
      <c r="T370" t="n">
        <v>20241231</v>
      </c>
      <c r="U370" t="n">
        <v>315</v>
      </c>
      <c r="V370" t="inlineStr">
        <is>
          <t>MXN</t>
        </is>
      </c>
      <c r="W370" t="inlineStr">
        <is>
          <t>M3</t>
        </is>
      </c>
      <c r="X370" t="n">
        <v>115</v>
      </c>
      <c r="Y370" t="inlineStr">
        <is>
          <t>MXN</t>
        </is>
      </c>
      <c r="Z370" t="inlineStr">
        <is>
          <t>M3</t>
        </is>
      </c>
      <c r="AA370" t="inlineStr">
        <is>
          <t>66297168</t>
        </is>
      </c>
      <c r="AB370" t="inlineStr">
        <is>
          <t>CENTRAL ABASTOS CHI (AGREGADOS)</t>
        </is>
      </c>
      <c r="AC370" t="n">
        <v>56103637</v>
      </c>
      <c r="AD370" t="n">
        <v>6622261540</v>
      </c>
      <c r="AE370" t="n">
        <v>4</v>
      </c>
      <c r="AF370" t="inlineStr">
        <is>
          <t>ENTREGA DIRECTA</t>
        </is>
      </c>
      <c r="AG370" t="n">
        <v>1.45</v>
      </c>
      <c r="AH370" t="inlineStr">
        <is>
          <t>M3</t>
        </is>
      </c>
      <c r="AI370" t="inlineStr">
        <is>
          <t>X</t>
        </is>
      </c>
      <c r="AJ370" t="n">
        <v>4</v>
      </c>
      <c r="AK370" t="inlineStr">
        <is>
          <t>V4</t>
        </is>
      </c>
      <c r="AL370" t="n">
        <v>20230920</v>
      </c>
      <c r="AM370" t="inlineStr">
        <is>
          <t>D836-900002574-66297168-10000624-4</t>
        </is>
      </c>
    </row>
    <row r="371">
      <c r="A371" t="inlineStr">
        <is>
          <t>900002574D8366687339010000160</t>
        </is>
      </c>
      <c r="B371" t="inlineStr">
        <is>
          <t>4600027590-1070</t>
        </is>
      </c>
      <c r="C371" t="n">
        <v>4600027590</v>
      </c>
      <c r="D371" t="n">
        <v>1070</v>
      </c>
      <c r="E371" t="inlineStr">
        <is>
          <t>MXPO</t>
        </is>
      </c>
      <c r="F371" t="inlineStr">
        <is>
          <t>M02</t>
        </is>
      </c>
      <c r="G371" t="n">
        <v>900002574</v>
      </c>
      <c r="H371" t="inlineStr">
        <is>
          <t>TP-ED-OLIELL</t>
        </is>
      </c>
      <c r="I371" t="n">
        <v>5048484</v>
      </c>
      <c r="J371" t="inlineStr">
        <is>
          <t>COMERCIALIZADORA Y TRANSPORTADORA O</t>
        </is>
      </c>
      <c r="K371" t="inlineStr">
        <is>
          <t>N90</t>
        </is>
      </c>
      <c r="L371" t="inlineStr">
        <is>
          <t>(AP) NAFIN 90 Dias</t>
        </is>
      </c>
      <c r="M371" t="n">
        <v>10000160</v>
      </c>
      <c r="N371" t="inlineStr">
        <is>
          <t>Arena Triturada Andesita Malla 4</t>
        </is>
      </c>
      <c r="O371" t="inlineStr">
        <is>
          <t>D836</t>
        </is>
      </c>
      <c r="P371" t="inlineStr">
        <is>
          <t>MX-CED. CENTRO</t>
        </is>
      </c>
      <c r="Q371" t="n">
        <v>20141106</v>
      </c>
      <c r="R371" t="n">
        <v>20281231</v>
      </c>
      <c r="S371" t="n">
        <v>20200630</v>
      </c>
      <c r="T371" t="n">
        <v>20291231</v>
      </c>
      <c r="U371" t="n">
        <v>327.75</v>
      </c>
      <c r="V371" t="inlineStr">
        <is>
          <t>MXN</t>
        </is>
      </c>
      <c r="W371" t="inlineStr">
        <is>
          <t>M3</t>
        </is>
      </c>
      <c r="X371" t="n">
        <v>230</v>
      </c>
      <c r="Y371" t="inlineStr">
        <is>
          <t>MXN</t>
        </is>
      </c>
      <c r="Z371" t="inlineStr">
        <is>
          <t>M3</t>
        </is>
      </c>
      <c r="AA371" t="inlineStr">
        <is>
          <t>66873390</t>
        </is>
      </c>
      <c r="AB371" t="inlineStr">
        <is>
          <t>PCO AMORES 1126</t>
        </is>
      </c>
      <c r="AC371" t="n">
        <v>56103638</v>
      </c>
      <c r="AD371" t="n">
        <v>6622261540</v>
      </c>
      <c r="AE371" t="n">
        <v>4</v>
      </c>
      <c r="AF371" t="inlineStr">
        <is>
          <t>ENTREGA DIRECTA</t>
        </is>
      </c>
      <c r="AG371" t="n">
        <v>1.409</v>
      </c>
      <c r="AH371" t="inlineStr">
        <is>
          <t>M3</t>
        </is>
      </c>
      <c r="AJ371" t="n">
        <v>4</v>
      </c>
      <c r="AK371" t="inlineStr">
        <is>
          <t>V4</t>
        </is>
      </c>
      <c r="AL371" t="n">
        <v>20230920</v>
      </c>
      <c r="AM371" t="inlineStr">
        <is>
          <t>D836-900002574-66873390-10000160-4</t>
        </is>
      </c>
    </row>
    <row r="372">
      <c r="A372" t="inlineStr">
        <is>
          <t>900002574D8366689941510000160</t>
        </is>
      </c>
      <c r="B372" t="inlineStr">
        <is>
          <t>4600027590-1360</t>
        </is>
      </c>
      <c r="C372" t="n">
        <v>4600027590</v>
      </c>
      <c r="D372" t="n">
        <v>1360</v>
      </c>
      <c r="E372" t="inlineStr">
        <is>
          <t>MXPO</t>
        </is>
      </c>
      <c r="F372" t="inlineStr">
        <is>
          <t>M02</t>
        </is>
      </c>
      <c r="G372" t="n">
        <v>900002574</v>
      </c>
      <c r="H372" t="inlineStr">
        <is>
          <t>TP-ED-OLIELL</t>
        </is>
      </c>
      <c r="I372" t="n">
        <v>5048484</v>
      </c>
      <c r="J372" t="inlineStr">
        <is>
          <t>COMERCIALIZADORA Y TRANSPORTADORA O</t>
        </is>
      </c>
      <c r="K372" t="inlineStr">
        <is>
          <t>N90</t>
        </is>
      </c>
      <c r="L372" t="inlineStr">
        <is>
          <t>(AP) NAFIN 90 Dias</t>
        </is>
      </c>
      <c r="M372" t="n">
        <v>10000160</v>
      </c>
      <c r="N372" t="inlineStr">
        <is>
          <t>Arena Triturada Andesita Malla 4</t>
        </is>
      </c>
      <c r="O372" t="inlineStr">
        <is>
          <t>D836</t>
        </is>
      </c>
      <c r="P372" t="inlineStr">
        <is>
          <t>MX-CED. CENTRO</t>
        </is>
      </c>
      <c r="Q372" t="n">
        <v>20141106</v>
      </c>
      <c r="R372" t="n">
        <v>20281231</v>
      </c>
      <c r="S372" t="n">
        <v>20200928</v>
      </c>
      <c r="T372" t="n">
        <v>20291231</v>
      </c>
      <c r="U372" t="n">
        <v>482.92</v>
      </c>
      <c r="V372" t="inlineStr">
        <is>
          <t>MXN</t>
        </is>
      </c>
      <c r="W372" t="inlineStr">
        <is>
          <t>M3</t>
        </is>
      </c>
      <c r="X372" t="n">
        <v>372.92</v>
      </c>
      <c r="Y372" t="inlineStr">
        <is>
          <t>MXN</t>
        </is>
      </c>
      <c r="Z372" t="inlineStr">
        <is>
          <t>M3</t>
        </is>
      </c>
      <c r="AA372" t="inlineStr">
        <is>
          <t>66899415</t>
        </is>
      </c>
      <c r="AC372" t="n">
        <v>56103638</v>
      </c>
      <c r="AD372" t="n">
        <v>6622261540</v>
      </c>
      <c r="AE372" t="n">
        <v>4</v>
      </c>
      <c r="AF372" t="inlineStr">
        <is>
          <t>ENTREGA DIRECTA</t>
        </is>
      </c>
      <c r="AG372" t="n">
        <v>1.409</v>
      </c>
      <c r="AH372" t="inlineStr">
        <is>
          <t>M3</t>
        </is>
      </c>
      <c r="AI372" t="inlineStr">
        <is>
          <t>X</t>
        </is>
      </c>
      <c r="AJ372" t="n">
        <v>4</v>
      </c>
      <c r="AK372" t="inlineStr">
        <is>
          <t>V4</t>
        </is>
      </c>
      <c r="AL372" t="n">
        <v>20230920</v>
      </c>
      <c r="AM372" t="inlineStr">
        <is>
          <t>D836-900002574-66899415-10000160-4</t>
        </is>
      </c>
    </row>
    <row r="373">
      <c r="A373" t="inlineStr">
        <is>
          <t>900002574D8366500190510000630</t>
        </is>
      </c>
      <c r="B373" t="inlineStr">
        <is>
          <t>4600027590-1660</t>
        </is>
      </c>
      <c r="C373" t="n">
        <v>4600027590</v>
      </c>
      <c r="D373" t="n">
        <v>1660</v>
      </c>
      <c r="E373" t="inlineStr">
        <is>
          <t>MXPO</t>
        </is>
      </c>
      <c r="F373" t="inlineStr">
        <is>
          <t>M02</t>
        </is>
      </c>
      <c r="G373" t="n">
        <v>900002574</v>
      </c>
      <c r="H373" t="inlineStr">
        <is>
          <t>TP-ED-OLIELL</t>
        </is>
      </c>
      <c r="I373" t="n">
        <v>5048484</v>
      </c>
      <c r="J373" t="inlineStr">
        <is>
          <t>COMERCIALIZADORA Y TRANSPORTADORA O</t>
        </is>
      </c>
      <c r="K373" t="inlineStr">
        <is>
          <t>N90</t>
        </is>
      </c>
      <c r="L373" t="inlineStr">
        <is>
          <t>(AP) NAFIN 90 Dias</t>
        </is>
      </c>
      <c r="M373" t="n">
        <v>10000630</v>
      </c>
      <c r="N373" t="inlineStr">
        <is>
          <t>Grava Triturada Caliza 13 mm - 1/2"</t>
        </is>
      </c>
      <c r="O373" t="inlineStr">
        <is>
          <t>D836</t>
        </is>
      </c>
      <c r="P373" t="inlineStr">
        <is>
          <t>MX-CED. CENTRO</t>
        </is>
      </c>
      <c r="Q373" t="n">
        <v>20141106</v>
      </c>
      <c r="R373" t="n">
        <v>20281231</v>
      </c>
      <c r="S373" t="n">
        <v>20201027</v>
      </c>
      <c r="T373" t="n">
        <v>20291231</v>
      </c>
      <c r="U373" t="n">
        <v>446</v>
      </c>
      <c r="V373" t="inlineStr">
        <is>
          <t>MXN</t>
        </is>
      </c>
      <c r="W373" t="inlineStr">
        <is>
          <t>M3</t>
        </is>
      </c>
      <c r="X373" t="n">
        <v>260</v>
      </c>
      <c r="Y373" t="inlineStr">
        <is>
          <t>MXN</t>
        </is>
      </c>
      <c r="Z373" t="inlineStr">
        <is>
          <t>M3</t>
        </is>
      </c>
      <c r="AA373" t="inlineStr">
        <is>
          <t>65001905</t>
        </is>
      </c>
      <c r="AB373" t="inlineStr">
        <is>
          <t>(P) PRESFORZA, S.A. DE C.V.</t>
        </is>
      </c>
      <c r="AC373" t="n">
        <v>56103637</v>
      </c>
      <c r="AD373" t="n">
        <v>6622261540</v>
      </c>
      <c r="AE373" t="n">
        <v>4</v>
      </c>
      <c r="AF373" t="inlineStr">
        <is>
          <t>ENTREGA DIRECTA</t>
        </is>
      </c>
      <c r="AG373" t="n">
        <v>1.4</v>
      </c>
      <c r="AH373" t="inlineStr">
        <is>
          <t>M3</t>
        </is>
      </c>
      <c r="AI373" t="inlineStr">
        <is>
          <t>X</t>
        </is>
      </c>
      <c r="AJ373" t="n">
        <v>4</v>
      </c>
      <c r="AK373" t="inlineStr">
        <is>
          <t>V4</t>
        </is>
      </c>
      <c r="AL373" t="n">
        <v>20230920</v>
      </c>
      <c r="AM373" t="inlineStr">
        <is>
          <t>D836-900002574-65001905-10000630-4</t>
        </is>
      </c>
    </row>
    <row r="374">
      <c r="A374" t="inlineStr">
        <is>
          <t>900002574D8366687339010000133</t>
        </is>
      </c>
      <c r="B374" t="inlineStr">
        <is>
          <t>4600027590-1060</t>
        </is>
      </c>
      <c r="C374" t="n">
        <v>4600027590</v>
      </c>
      <c r="D374" t="n">
        <v>1060</v>
      </c>
      <c r="E374" t="inlineStr">
        <is>
          <t>MXPO</t>
        </is>
      </c>
      <c r="F374" t="inlineStr">
        <is>
          <t>M02</t>
        </is>
      </c>
      <c r="G374" t="n">
        <v>900002574</v>
      </c>
      <c r="H374" t="inlineStr">
        <is>
          <t>TP-ED-OLIELL</t>
        </is>
      </c>
      <c r="I374" t="n">
        <v>5048484</v>
      </c>
      <c r="J374" t="inlineStr">
        <is>
          <t>COMERCIALIZADORA Y TRANSPORTADORA O</t>
        </is>
      </c>
      <c r="K374" t="inlineStr">
        <is>
          <t>N90</t>
        </is>
      </c>
      <c r="L374" t="inlineStr">
        <is>
          <t>(AP) NAFIN 90 Dias</t>
        </is>
      </c>
      <c r="M374" t="n">
        <v>10000133</v>
      </c>
      <c r="N374" t="inlineStr">
        <is>
          <t>Grava Triturada Caliza 20 mm - 3/4"</t>
        </is>
      </c>
      <c r="O374" t="inlineStr">
        <is>
          <t>D836</t>
        </is>
      </c>
      <c r="P374" t="inlineStr">
        <is>
          <t>MX-CED. CENTRO</t>
        </is>
      </c>
      <c r="Q374" t="n">
        <v>20141106</v>
      </c>
      <c r="R374" t="n">
        <v>20281231</v>
      </c>
      <c r="S374" t="n">
        <v>20200630</v>
      </c>
      <c r="T374" t="n">
        <v>20291231</v>
      </c>
      <c r="U374" t="n">
        <v>492.1</v>
      </c>
      <c r="V374" t="inlineStr">
        <is>
          <t>MXN</t>
        </is>
      </c>
      <c r="W374" t="inlineStr">
        <is>
          <t>M3</t>
        </is>
      </c>
      <c r="X374" t="n">
        <v>230</v>
      </c>
      <c r="Y374" t="inlineStr">
        <is>
          <t>MXN</t>
        </is>
      </c>
      <c r="Z374" t="inlineStr">
        <is>
          <t>M3</t>
        </is>
      </c>
      <c r="AA374" t="inlineStr">
        <is>
          <t>66873390</t>
        </is>
      </c>
      <c r="AB374" t="inlineStr">
        <is>
          <t>PCO AMORES 1126</t>
        </is>
      </c>
      <c r="AC374" t="n">
        <v>56103637</v>
      </c>
      <c r="AD374" t="n">
        <v>6622261540</v>
      </c>
      <c r="AE374" t="n">
        <v>4</v>
      </c>
      <c r="AF374" t="inlineStr">
        <is>
          <t>ENTREGA DIRECTA</t>
        </is>
      </c>
      <c r="AG374" t="n">
        <v>1.46</v>
      </c>
      <c r="AH374" t="inlineStr">
        <is>
          <t>M3</t>
        </is>
      </c>
      <c r="AI374" t="inlineStr">
        <is>
          <t>X</t>
        </is>
      </c>
      <c r="AJ374" t="n">
        <v>4</v>
      </c>
      <c r="AK374" t="inlineStr">
        <is>
          <t>V4</t>
        </is>
      </c>
      <c r="AL374" t="n">
        <v>20230920</v>
      </c>
      <c r="AM374" t="inlineStr">
        <is>
          <t>D836-900002574-66873390-10000133-4</t>
        </is>
      </c>
    </row>
    <row r="375">
      <c r="A375" t="inlineStr">
        <is>
          <t>900002574D8366684762610000357</t>
        </is>
      </c>
      <c r="B375" t="inlineStr">
        <is>
          <t>4600027590-830</t>
        </is>
      </c>
      <c r="C375" t="n">
        <v>4600027590</v>
      </c>
      <c r="D375" t="n">
        <v>830</v>
      </c>
      <c r="E375" t="inlineStr">
        <is>
          <t>MXPO</t>
        </is>
      </c>
      <c r="F375" t="inlineStr">
        <is>
          <t>M02</t>
        </is>
      </c>
      <c r="G375" t="n">
        <v>900002574</v>
      </c>
      <c r="H375" t="inlineStr">
        <is>
          <t>TP-ED-OLIELL</t>
        </is>
      </c>
      <c r="I375" t="n">
        <v>5048484</v>
      </c>
      <c r="J375" t="inlineStr">
        <is>
          <t>COMERCIALIZADORA Y TRANSPORTADORA O</t>
        </is>
      </c>
      <c r="K375" t="inlineStr">
        <is>
          <t>N90</t>
        </is>
      </c>
      <c r="L375" t="inlineStr">
        <is>
          <t>(AP) NAFIN 90 Dias</t>
        </is>
      </c>
      <c r="M375" t="n">
        <v>10000357</v>
      </c>
      <c r="N375" t="inlineStr">
        <is>
          <t>Grava Triturada Andesita 20 mm - 3/4"</t>
        </is>
      </c>
      <c r="O375" t="inlineStr">
        <is>
          <t>D836</t>
        </is>
      </c>
      <c r="P375" t="inlineStr">
        <is>
          <t>MX-CED. CENTRO</t>
        </is>
      </c>
      <c r="Q375" t="n">
        <v>20141106</v>
      </c>
      <c r="R375" t="n">
        <v>20281231</v>
      </c>
      <c r="S375" t="n">
        <v>20200225</v>
      </c>
      <c r="T375" t="n">
        <v>20291231</v>
      </c>
      <c r="U375" t="n">
        <v>534.48</v>
      </c>
      <c r="V375" t="inlineStr">
        <is>
          <t>MXN</t>
        </is>
      </c>
      <c r="W375" t="inlineStr">
        <is>
          <t>M3</t>
        </is>
      </c>
      <c r="X375" t="n">
        <v>267.24</v>
      </c>
      <c r="Y375" t="inlineStr">
        <is>
          <t>MXN</t>
        </is>
      </c>
      <c r="Z375" t="inlineStr">
        <is>
          <t>M3</t>
        </is>
      </c>
      <c r="AA375" t="inlineStr">
        <is>
          <t>66847626</t>
        </is>
      </c>
      <c r="AB375" t="inlineStr">
        <is>
          <t>CHAMACUERO/CAPULINES II</t>
        </is>
      </c>
      <c r="AC375" t="n">
        <v>56103637</v>
      </c>
      <c r="AD375" t="n">
        <v>6622261540</v>
      </c>
      <c r="AE375" t="n">
        <v>4</v>
      </c>
      <c r="AF375" t="inlineStr">
        <is>
          <t>ENTREGA DIRECTA</t>
        </is>
      </c>
      <c r="AG375" t="n">
        <v>1.326</v>
      </c>
      <c r="AH375" t="inlineStr">
        <is>
          <t>M3</t>
        </is>
      </c>
      <c r="AI375" t="inlineStr">
        <is>
          <t>X</t>
        </is>
      </c>
      <c r="AJ375" t="n">
        <v>4</v>
      </c>
      <c r="AK375" t="inlineStr">
        <is>
          <t>V4</t>
        </is>
      </c>
      <c r="AL375" t="n">
        <v>20230920</v>
      </c>
      <c r="AM375" t="inlineStr">
        <is>
          <t>D836-900002574-66847626-10000357-4</t>
        </is>
      </c>
    </row>
    <row r="376">
      <c r="A376" t="inlineStr">
        <is>
          <t>900002574D8366689746010154416</t>
        </is>
      </c>
      <c r="B376" t="inlineStr">
        <is>
          <t>4600027590-1790</t>
        </is>
      </c>
      <c r="C376" t="n">
        <v>4600027590</v>
      </c>
      <c r="D376" t="n">
        <v>1790</v>
      </c>
      <c r="E376" t="inlineStr">
        <is>
          <t>MXPO</t>
        </is>
      </c>
      <c r="F376" t="inlineStr">
        <is>
          <t>M02</t>
        </is>
      </c>
      <c r="G376" t="n">
        <v>900002574</v>
      </c>
      <c r="H376" t="inlineStr">
        <is>
          <t>TP-ED-OLIELL</t>
        </is>
      </c>
      <c r="I376" t="n">
        <v>5048484</v>
      </c>
      <c r="J376" t="inlineStr">
        <is>
          <t>COMERCIALIZADORA Y TRANSPORTADORA O</t>
        </is>
      </c>
      <c r="K376" t="inlineStr">
        <is>
          <t>N90</t>
        </is>
      </c>
      <c r="L376" t="inlineStr">
        <is>
          <t>(AP) NAFIN 90 Dias</t>
        </is>
      </c>
      <c r="M376" t="n">
        <v>10154416</v>
      </c>
      <c r="N376" t="inlineStr">
        <is>
          <t>GRAVA TEZONTLE DE 1 ½ A 2”</t>
        </is>
      </c>
      <c r="O376" t="inlineStr">
        <is>
          <t>D836</t>
        </is>
      </c>
      <c r="P376" t="inlineStr">
        <is>
          <t>MX-CED. CENTRO</t>
        </is>
      </c>
      <c r="Q376" t="n">
        <v>20141106</v>
      </c>
      <c r="R376" t="n">
        <v>20281231</v>
      </c>
      <c r="S376" t="n">
        <v>20201103</v>
      </c>
      <c r="T376" t="n">
        <v>20291231</v>
      </c>
      <c r="U376" t="n">
        <v>500</v>
      </c>
      <c r="V376" t="inlineStr">
        <is>
          <t>MXN</t>
        </is>
      </c>
      <c r="W376" t="inlineStr">
        <is>
          <t>M3</t>
        </is>
      </c>
      <c r="X376" t="n">
        <v>385</v>
      </c>
      <c r="Y376" t="inlineStr">
        <is>
          <t>MXN</t>
        </is>
      </c>
      <c r="Z376" t="inlineStr">
        <is>
          <t>M3</t>
        </is>
      </c>
      <c r="AA376" t="inlineStr">
        <is>
          <t>66897460</t>
        </is>
      </c>
      <c r="AB376" t="inlineStr">
        <is>
          <t>AV. CENTRAL ESQ AV 412</t>
        </is>
      </c>
      <c r="AC376" t="n">
        <v>56103637</v>
      </c>
      <c r="AD376" t="n">
        <v>6622261540</v>
      </c>
      <c r="AE376" t="n">
        <v>4</v>
      </c>
      <c r="AF376" t="inlineStr">
        <is>
          <t>ENTREGA DIRECTA</t>
        </is>
      </c>
      <c r="AG376" t="n">
        <v>1.3</v>
      </c>
      <c r="AH376" t="inlineStr">
        <is>
          <t>M3</t>
        </is>
      </c>
      <c r="AI376" t="inlineStr">
        <is>
          <t>X</t>
        </is>
      </c>
      <c r="AJ376" t="n">
        <v>4</v>
      </c>
      <c r="AK376" t="inlineStr">
        <is>
          <t>V4</t>
        </is>
      </c>
      <c r="AL376" t="n">
        <v>20230920</v>
      </c>
      <c r="AM376" t="inlineStr">
        <is>
          <t>D836-900002574-66897460-10154416-4</t>
        </is>
      </c>
    </row>
    <row r="377">
      <c r="A377" t="inlineStr">
        <is>
          <t>900002574D8366689941510000357</t>
        </is>
      </c>
      <c r="B377" t="inlineStr">
        <is>
          <t>4600027590-1370</t>
        </is>
      </c>
      <c r="C377" t="n">
        <v>4600027590</v>
      </c>
      <c r="D377" t="n">
        <v>1370</v>
      </c>
      <c r="E377" t="inlineStr">
        <is>
          <t>MXPO</t>
        </is>
      </c>
      <c r="F377" t="inlineStr">
        <is>
          <t>M02</t>
        </is>
      </c>
      <c r="G377" t="n">
        <v>900002574</v>
      </c>
      <c r="H377" t="inlineStr">
        <is>
          <t>TP-ED-OLIELL</t>
        </is>
      </c>
      <c r="I377" t="n">
        <v>5048484</v>
      </c>
      <c r="J377" t="inlineStr">
        <is>
          <t>COMERCIALIZADORA Y TRANSPORTADORA O</t>
        </is>
      </c>
      <c r="K377" t="inlineStr">
        <is>
          <t>N90</t>
        </is>
      </c>
      <c r="L377" t="inlineStr">
        <is>
          <t>(AP) NAFIN 90 Dias</t>
        </is>
      </c>
      <c r="M377" t="n">
        <v>10000357</v>
      </c>
      <c r="N377" t="inlineStr">
        <is>
          <t>Grava Triturada Andesita 20 mm - 3/4"</t>
        </is>
      </c>
      <c r="O377" t="inlineStr">
        <is>
          <t>D836</t>
        </is>
      </c>
      <c r="P377" t="inlineStr">
        <is>
          <t>MX-CED. CENTRO</t>
        </is>
      </c>
      <c r="Q377" t="n">
        <v>20141106</v>
      </c>
      <c r="R377" t="n">
        <v>20281231</v>
      </c>
      <c r="S377" t="n">
        <v>20200928</v>
      </c>
      <c r="T377" t="n">
        <v>20291231</v>
      </c>
      <c r="U377" t="n">
        <v>502.16</v>
      </c>
      <c r="V377" t="inlineStr">
        <is>
          <t>MXN</t>
        </is>
      </c>
      <c r="W377" t="inlineStr">
        <is>
          <t>M3</t>
        </is>
      </c>
      <c r="X377" t="n">
        <v>372.92</v>
      </c>
      <c r="Y377" t="inlineStr">
        <is>
          <t>MXN</t>
        </is>
      </c>
      <c r="Z377" t="inlineStr">
        <is>
          <t>M3</t>
        </is>
      </c>
      <c r="AA377" t="inlineStr">
        <is>
          <t>66899415</t>
        </is>
      </c>
      <c r="AC377" t="n">
        <v>56103637</v>
      </c>
      <c r="AD377" t="n">
        <v>6622261540</v>
      </c>
      <c r="AE377" t="n">
        <v>4</v>
      </c>
      <c r="AF377" t="inlineStr">
        <is>
          <t>ENTREGA DIRECTA</t>
        </is>
      </c>
      <c r="AG377" t="n">
        <v>1.326</v>
      </c>
      <c r="AH377" t="inlineStr">
        <is>
          <t>M3</t>
        </is>
      </c>
      <c r="AI377" t="inlineStr">
        <is>
          <t>X</t>
        </is>
      </c>
      <c r="AJ377" t="n">
        <v>4</v>
      </c>
      <c r="AK377" t="inlineStr">
        <is>
          <t>V4</t>
        </is>
      </c>
      <c r="AL377" t="n">
        <v>20230920</v>
      </c>
      <c r="AM377" t="inlineStr">
        <is>
          <t>D836-900002574-66899415-10000357-4</t>
        </is>
      </c>
    </row>
    <row r="378">
      <c r="A378" t="inlineStr">
        <is>
          <t>900002574D8366681799710000651</t>
        </is>
      </c>
      <c r="B378" t="inlineStr">
        <is>
          <t>4600027590-620</t>
        </is>
      </c>
      <c r="C378" t="n">
        <v>4600027590</v>
      </c>
      <c r="D378" t="n">
        <v>620</v>
      </c>
      <c r="E378" t="inlineStr">
        <is>
          <t>MXPO</t>
        </is>
      </c>
      <c r="F378" t="inlineStr">
        <is>
          <t>M02</t>
        </is>
      </c>
      <c r="G378" t="n">
        <v>900002574</v>
      </c>
      <c r="H378" t="inlineStr">
        <is>
          <t>TP-ED-OLIELL</t>
        </is>
      </c>
      <c r="I378" t="n">
        <v>5048484</v>
      </c>
      <c r="J378" t="inlineStr">
        <is>
          <t>COMERCIALIZADORA Y TRANSPORTADORA O</t>
        </is>
      </c>
      <c r="K378" t="inlineStr">
        <is>
          <t>N90</t>
        </is>
      </c>
      <c r="L378" t="inlineStr">
        <is>
          <t>(AP) NAFIN 90 Dias</t>
        </is>
      </c>
      <c r="M378" t="n">
        <v>10000651</v>
      </c>
      <c r="N378" t="inlineStr">
        <is>
          <t>Arena Triturada Andesita Malla 8</t>
        </is>
      </c>
      <c r="O378" t="inlineStr">
        <is>
          <t>D836</t>
        </is>
      </c>
      <c r="P378" t="inlineStr">
        <is>
          <t>MX-CED. CENTRO</t>
        </is>
      </c>
      <c r="Q378" t="n">
        <v>20141106</v>
      </c>
      <c r="R378" t="n">
        <v>20281231</v>
      </c>
      <c r="S378" t="n">
        <v>20191210</v>
      </c>
      <c r="T378" t="n">
        <v>20241231</v>
      </c>
      <c r="U378" t="n">
        <v>355</v>
      </c>
      <c r="V378" t="inlineStr">
        <is>
          <t>MXN</t>
        </is>
      </c>
      <c r="W378" t="inlineStr">
        <is>
          <t>M3</t>
        </is>
      </c>
      <c r="X378" t="n">
        <v>177.5</v>
      </c>
      <c r="Y378" t="inlineStr">
        <is>
          <t>MXN</t>
        </is>
      </c>
      <c r="Z378" t="inlineStr">
        <is>
          <t>M3</t>
        </is>
      </c>
      <c r="AA378" t="inlineStr">
        <is>
          <t>66817997</t>
        </is>
      </c>
      <c r="AB378" t="inlineStr">
        <is>
          <t>DEPTOS HOLBEIN 62</t>
        </is>
      </c>
      <c r="AC378" t="n">
        <v>56103638</v>
      </c>
      <c r="AD378" t="n">
        <v>6622261540</v>
      </c>
      <c r="AE378" t="n">
        <v>4</v>
      </c>
      <c r="AF378" t="inlineStr">
        <is>
          <t>ENTREGA DIRECTA</t>
        </is>
      </c>
      <c r="AG378" t="n">
        <v>1.35</v>
      </c>
      <c r="AH378" t="inlineStr">
        <is>
          <t>M3</t>
        </is>
      </c>
      <c r="AI378" t="inlineStr">
        <is>
          <t>X</t>
        </is>
      </c>
      <c r="AJ378" t="n">
        <v>4</v>
      </c>
      <c r="AK378" t="inlineStr">
        <is>
          <t>V4</t>
        </is>
      </c>
      <c r="AL378" t="n">
        <v>20230920</v>
      </c>
      <c r="AM378" t="inlineStr">
        <is>
          <t>D836-900002574-66817997-10000651-4</t>
        </is>
      </c>
    </row>
    <row r="379">
      <c r="A379" t="inlineStr">
        <is>
          <t>900002574D8366681118910000160</t>
        </is>
      </c>
      <c r="B379" t="inlineStr">
        <is>
          <t>4600027590-400</t>
        </is>
      </c>
      <c r="C379" t="n">
        <v>4600027590</v>
      </c>
      <c r="D379" t="n">
        <v>400</v>
      </c>
      <c r="E379" t="inlineStr">
        <is>
          <t>MXPO</t>
        </is>
      </c>
      <c r="F379" t="inlineStr">
        <is>
          <t>M02</t>
        </is>
      </c>
      <c r="G379" t="n">
        <v>900002574</v>
      </c>
      <c r="H379" t="inlineStr">
        <is>
          <t>TP-ED-OLIELL</t>
        </is>
      </c>
      <c r="I379" t="n">
        <v>5048484</v>
      </c>
      <c r="J379" t="inlineStr">
        <is>
          <t>COMERCIALIZADORA Y TRANSPORTADORA O</t>
        </is>
      </c>
      <c r="K379" t="inlineStr">
        <is>
          <t>N90</t>
        </is>
      </c>
      <c r="L379" t="inlineStr">
        <is>
          <t>(AP) NAFIN 90 Dias</t>
        </is>
      </c>
      <c r="M379" t="n">
        <v>10000160</v>
      </c>
      <c r="N379" t="inlineStr">
        <is>
          <t>Arena Triturada Andesita Malla 4</t>
        </is>
      </c>
      <c r="O379" t="inlineStr">
        <is>
          <t>D836</t>
        </is>
      </c>
      <c r="P379" t="inlineStr">
        <is>
          <t>MX-CED. CENTRO</t>
        </is>
      </c>
      <c r="Q379" t="n">
        <v>20141106</v>
      </c>
      <c r="R379" t="n">
        <v>20281231</v>
      </c>
      <c r="S379" t="n">
        <v>20191029</v>
      </c>
      <c r="T379" t="n">
        <v>20241231</v>
      </c>
      <c r="U379" t="n">
        <v>432</v>
      </c>
      <c r="V379" t="inlineStr">
        <is>
          <t>MXN</t>
        </is>
      </c>
      <c r="W379" t="inlineStr">
        <is>
          <t>M3</t>
        </is>
      </c>
      <c r="X379" t="n">
        <v>216</v>
      </c>
      <c r="Y379" t="inlineStr">
        <is>
          <t>MXN</t>
        </is>
      </c>
      <c r="Z379" t="inlineStr">
        <is>
          <t>M3</t>
        </is>
      </c>
      <c r="AA379" t="inlineStr">
        <is>
          <t>66811189</t>
        </is>
      </c>
      <c r="AB379" t="inlineStr">
        <is>
          <t>CDA SAN CARLOS</t>
        </is>
      </c>
      <c r="AC379" t="n">
        <v>56103638</v>
      </c>
      <c r="AD379" t="n">
        <v>6622261540</v>
      </c>
      <c r="AE379" t="n">
        <v>4</v>
      </c>
      <c r="AF379" t="inlineStr">
        <is>
          <t>ENTREGA DIRECTA</t>
        </is>
      </c>
      <c r="AG379" t="n">
        <v>1.409</v>
      </c>
      <c r="AH379" t="inlineStr">
        <is>
          <t>M3</t>
        </is>
      </c>
      <c r="AI379" t="inlineStr">
        <is>
          <t>X</t>
        </is>
      </c>
      <c r="AJ379" t="n">
        <v>4</v>
      </c>
      <c r="AK379" t="inlineStr">
        <is>
          <t>V4</t>
        </is>
      </c>
      <c r="AL379" t="n">
        <v>20230920</v>
      </c>
      <c r="AM379" t="inlineStr">
        <is>
          <t>D836-900002574-66811189-10000160-4</t>
        </is>
      </c>
    </row>
    <row r="380">
      <c r="A380" t="inlineStr">
        <is>
          <t>900002574D8366685641510000357</t>
        </is>
      </c>
      <c r="B380" t="inlineStr">
        <is>
          <t>4600027590-2000</t>
        </is>
      </c>
      <c r="C380" t="n">
        <v>4600027590</v>
      </c>
      <c r="D380" t="n">
        <v>2000</v>
      </c>
      <c r="E380" t="inlineStr">
        <is>
          <t>MXPO</t>
        </is>
      </c>
      <c r="F380" t="inlineStr">
        <is>
          <t>M02</t>
        </is>
      </c>
      <c r="G380" t="n">
        <v>900002574</v>
      </c>
      <c r="H380" t="inlineStr">
        <is>
          <t>TP-ED-OLIELL</t>
        </is>
      </c>
      <c r="I380" t="n">
        <v>5048484</v>
      </c>
      <c r="J380" t="inlineStr">
        <is>
          <t>COMERCIALIZADORA Y TRANSPORTADORA O</t>
        </is>
      </c>
      <c r="K380" t="inlineStr">
        <is>
          <t>N90</t>
        </is>
      </c>
      <c r="L380" t="inlineStr">
        <is>
          <t>(AP) NAFIN 90 Dias</t>
        </is>
      </c>
      <c r="M380" t="n">
        <v>10000357</v>
      </c>
      <c r="N380" t="inlineStr">
        <is>
          <t>Grava Triturada Andesita 20 mm - 3/4"</t>
        </is>
      </c>
      <c r="O380" t="inlineStr">
        <is>
          <t>D836</t>
        </is>
      </c>
      <c r="P380" t="inlineStr">
        <is>
          <t>MX-CED. CENTRO</t>
        </is>
      </c>
      <c r="Q380" t="n">
        <v>20141106</v>
      </c>
      <c r="R380" t="n">
        <v>20281231</v>
      </c>
      <c r="S380" t="n">
        <v>20210325</v>
      </c>
      <c r="T380" t="n">
        <v>20291231</v>
      </c>
      <c r="U380" t="n">
        <v>280</v>
      </c>
      <c r="V380" t="inlineStr">
        <is>
          <t>MXN</t>
        </is>
      </c>
      <c r="W380" t="inlineStr">
        <is>
          <t>M3</t>
        </is>
      </c>
      <c r="X380" t="n">
        <v>160</v>
      </c>
      <c r="Y380" t="inlineStr">
        <is>
          <t>MXN</t>
        </is>
      </c>
      <c r="Z380" t="inlineStr">
        <is>
          <t>M3</t>
        </is>
      </c>
      <c r="AA380" t="inlineStr">
        <is>
          <t>66856415</t>
        </is>
      </c>
      <c r="AB380" t="inlineStr">
        <is>
          <t>TESOREROS 37</t>
        </is>
      </c>
      <c r="AC380" t="n">
        <v>56103637</v>
      </c>
      <c r="AD380" t="n">
        <v>6622261540</v>
      </c>
      <c r="AE380" t="n">
        <v>4</v>
      </c>
      <c r="AF380" t="inlineStr">
        <is>
          <t>ENTREGA DIRECTA</t>
        </is>
      </c>
      <c r="AG380" t="n">
        <v>1.326</v>
      </c>
      <c r="AH380" t="inlineStr">
        <is>
          <t>M3</t>
        </is>
      </c>
      <c r="AI380" t="inlineStr">
        <is>
          <t>X</t>
        </is>
      </c>
      <c r="AJ380" t="n">
        <v>4</v>
      </c>
      <c r="AK380" t="inlineStr">
        <is>
          <t>V4</t>
        </is>
      </c>
      <c r="AL380" t="n">
        <v>20230920</v>
      </c>
      <c r="AM380" t="inlineStr">
        <is>
          <t>D836-900002574-66856415-10000357-4</t>
        </is>
      </c>
    </row>
    <row r="381">
      <c r="A381" t="inlineStr">
        <is>
          <t>900002574D8366680855610000133</t>
        </is>
      </c>
      <c r="B381" t="inlineStr">
        <is>
          <t>4600027590-1200</t>
        </is>
      </c>
      <c r="C381" t="n">
        <v>4600027590</v>
      </c>
      <c r="D381" t="n">
        <v>1200</v>
      </c>
      <c r="E381" t="inlineStr">
        <is>
          <t>MXPO</t>
        </is>
      </c>
      <c r="F381" t="inlineStr">
        <is>
          <t>M02</t>
        </is>
      </c>
      <c r="G381" t="n">
        <v>900002574</v>
      </c>
      <c r="H381" t="inlineStr">
        <is>
          <t>TP-ED-OLIELL</t>
        </is>
      </c>
      <c r="I381" t="n">
        <v>5048484</v>
      </c>
      <c r="J381" t="inlineStr">
        <is>
          <t>COMERCIALIZADORA Y TRANSPORTADORA O</t>
        </is>
      </c>
      <c r="K381" t="inlineStr">
        <is>
          <t>N90</t>
        </is>
      </c>
      <c r="L381" t="inlineStr">
        <is>
          <t>(AP) NAFIN 90 Dias</t>
        </is>
      </c>
      <c r="M381" t="n">
        <v>10000133</v>
      </c>
      <c r="N381" t="inlineStr">
        <is>
          <t>Grava Triturada Caliza 20 mm - 3/4"</t>
        </is>
      </c>
      <c r="O381" t="inlineStr">
        <is>
          <t>D836</t>
        </is>
      </c>
      <c r="P381" t="inlineStr">
        <is>
          <t>MX-CED. CENTRO</t>
        </is>
      </c>
      <c r="Q381" t="n">
        <v>20141106</v>
      </c>
      <c r="R381" t="n">
        <v>20281231</v>
      </c>
      <c r="S381" t="n">
        <v>20200804</v>
      </c>
      <c r="T381" t="n">
        <v>20291231</v>
      </c>
      <c r="U381" t="n">
        <v>517.24</v>
      </c>
      <c r="V381" t="inlineStr">
        <is>
          <t>MXN</t>
        </is>
      </c>
      <c r="W381" t="inlineStr">
        <is>
          <t>M3</t>
        </is>
      </c>
      <c r="X381" t="n">
        <v>354.03</v>
      </c>
      <c r="Y381" t="inlineStr">
        <is>
          <t>MXN</t>
        </is>
      </c>
      <c r="Z381" t="inlineStr">
        <is>
          <t>M3</t>
        </is>
      </c>
      <c r="AA381" t="inlineStr">
        <is>
          <t>66808556</t>
        </is>
      </c>
      <c r="AB381" t="inlineStr">
        <is>
          <t>RESIDENCE NUEVA YORK</t>
        </is>
      </c>
      <c r="AC381" t="n">
        <v>56103637</v>
      </c>
      <c r="AD381" t="n">
        <v>6622261540</v>
      </c>
      <c r="AE381" t="n">
        <v>4</v>
      </c>
      <c r="AF381" t="inlineStr">
        <is>
          <t>ENTREGA DIRECTA</t>
        </is>
      </c>
      <c r="AG381" t="n">
        <v>1.46</v>
      </c>
      <c r="AH381" t="inlineStr">
        <is>
          <t>M3</t>
        </is>
      </c>
      <c r="AI381" t="inlineStr">
        <is>
          <t>X</t>
        </is>
      </c>
      <c r="AJ381" t="n">
        <v>4</v>
      </c>
      <c r="AK381" t="inlineStr">
        <is>
          <t>V4</t>
        </is>
      </c>
      <c r="AL381" t="n">
        <v>20230920</v>
      </c>
      <c r="AM381" t="inlineStr">
        <is>
          <t>D836-900002574-66808556-10000133-4</t>
        </is>
      </c>
    </row>
    <row r="382">
      <c r="A382" t="inlineStr">
        <is>
          <t>900002574D8366670455610000206</t>
        </is>
      </c>
      <c r="B382" t="inlineStr">
        <is>
          <t>4600027590-190</t>
        </is>
      </c>
      <c r="C382" t="n">
        <v>4600027590</v>
      </c>
      <c r="D382" t="n">
        <v>190</v>
      </c>
      <c r="E382" t="inlineStr">
        <is>
          <t>MXPO</t>
        </is>
      </c>
      <c r="F382" t="inlineStr">
        <is>
          <t>M02</t>
        </is>
      </c>
      <c r="G382" t="n">
        <v>900002574</v>
      </c>
      <c r="H382" t="inlineStr">
        <is>
          <t>TP-ED-OLIELL</t>
        </is>
      </c>
      <c r="I382" t="n">
        <v>5048484</v>
      </c>
      <c r="J382" t="inlineStr">
        <is>
          <t>COMERCIALIZADORA Y TRANSPORTADORA O</t>
        </is>
      </c>
      <c r="K382" t="inlineStr">
        <is>
          <t>N90</t>
        </is>
      </c>
      <c r="L382" t="inlineStr">
        <is>
          <t>(AP) NAFIN 90 Dias</t>
        </is>
      </c>
      <c r="M382" t="n">
        <v>10000206</v>
      </c>
      <c r="N382" t="inlineStr">
        <is>
          <t>Tepetate Triturado Tierra NA</t>
        </is>
      </c>
      <c r="O382" t="inlineStr">
        <is>
          <t>D836</t>
        </is>
      </c>
      <c r="P382" t="inlineStr">
        <is>
          <t>MX-CED. CENTRO</t>
        </is>
      </c>
      <c r="Q382" t="n">
        <v>20141106</v>
      </c>
      <c r="R382" t="n">
        <v>20281231</v>
      </c>
      <c r="S382" t="n">
        <v>20190705</v>
      </c>
      <c r="T382" t="n">
        <v>20241231</v>
      </c>
      <c r="U382" t="n">
        <v>111.16</v>
      </c>
      <c r="V382" t="inlineStr">
        <is>
          <t>MXN</t>
        </is>
      </c>
      <c r="W382" t="inlineStr">
        <is>
          <t>M3</t>
        </is>
      </c>
      <c r="X382" t="n">
        <v>98.67</v>
      </c>
      <c r="Y382" t="inlineStr">
        <is>
          <t>MXN</t>
        </is>
      </c>
      <c r="Z382" t="inlineStr">
        <is>
          <t>M3</t>
        </is>
      </c>
      <c r="AA382" t="inlineStr">
        <is>
          <t>66704556</t>
        </is>
      </c>
      <c r="AB382" t="inlineStr">
        <is>
          <t>ESCUELA NAVAL</t>
        </is>
      </c>
      <c r="AC382" t="n">
        <v>56103695</v>
      </c>
      <c r="AD382" t="n">
        <v>6622261540</v>
      </c>
      <c r="AE382" t="n">
        <v>4</v>
      </c>
      <c r="AF382" t="inlineStr">
        <is>
          <t>ENTREGA DIRECTA</t>
        </is>
      </c>
      <c r="AG382" t="n">
        <v>1.249</v>
      </c>
      <c r="AH382" t="inlineStr">
        <is>
          <t>M3</t>
        </is>
      </c>
      <c r="AI382" t="inlineStr">
        <is>
          <t>X</t>
        </is>
      </c>
      <c r="AJ382" t="n">
        <v>4</v>
      </c>
      <c r="AK382" t="inlineStr">
        <is>
          <t>V4</t>
        </is>
      </c>
      <c r="AL382" t="n">
        <v>20230920</v>
      </c>
      <c r="AM382" t="inlineStr">
        <is>
          <t>D836-900002574-66704556-10000206-4</t>
        </is>
      </c>
    </row>
    <row r="383">
      <c r="A383" t="inlineStr">
        <is>
          <t>900002574D8366695125510000357</t>
        </is>
      </c>
      <c r="B383" t="inlineStr">
        <is>
          <t>4600027590-2050</t>
        </is>
      </c>
      <c r="C383" t="n">
        <v>4600027590</v>
      </c>
      <c r="D383" t="n">
        <v>2050</v>
      </c>
      <c r="E383" t="inlineStr">
        <is>
          <t>MXPO</t>
        </is>
      </c>
      <c r="F383" t="inlineStr">
        <is>
          <t>M02</t>
        </is>
      </c>
      <c r="G383" t="n">
        <v>900002574</v>
      </c>
      <c r="H383" t="inlineStr">
        <is>
          <t>TP-ED-OLIELL</t>
        </is>
      </c>
      <c r="I383" t="n">
        <v>5048484</v>
      </c>
      <c r="J383" t="inlineStr">
        <is>
          <t>COMERCIALIZADORA Y TRANSPORTADORA O</t>
        </is>
      </c>
      <c r="K383" t="inlineStr">
        <is>
          <t>N90</t>
        </is>
      </c>
      <c r="L383" t="inlineStr">
        <is>
          <t>(AP) NAFIN 90 Dias</t>
        </is>
      </c>
      <c r="M383" t="n">
        <v>10000357</v>
      </c>
      <c r="N383" t="inlineStr">
        <is>
          <t>Grava Triturada Andesita 20 mm - 3/4"</t>
        </is>
      </c>
      <c r="O383" t="inlineStr">
        <is>
          <t>D836</t>
        </is>
      </c>
      <c r="P383" t="inlineStr">
        <is>
          <t>MX-CED. CENTRO</t>
        </is>
      </c>
      <c r="Q383" t="n">
        <v>20141106</v>
      </c>
      <c r="R383" t="n">
        <v>20281231</v>
      </c>
      <c r="S383" t="n">
        <v>20210329</v>
      </c>
      <c r="T383" t="n">
        <v>20291231</v>
      </c>
      <c r="U383" t="n">
        <v>577.59</v>
      </c>
      <c r="V383" t="inlineStr">
        <is>
          <t>MXN</t>
        </is>
      </c>
      <c r="W383" t="inlineStr">
        <is>
          <t>M3</t>
        </is>
      </c>
      <c r="X383" t="n">
        <v>462.34</v>
      </c>
      <c r="Y383" t="inlineStr">
        <is>
          <t>MXN</t>
        </is>
      </c>
      <c r="Z383" t="inlineStr">
        <is>
          <t>M3</t>
        </is>
      </c>
      <c r="AA383" t="inlineStr">
        <is>
          <t>66951255</t>
        </is>
      </c>
      <c r="AB383" t="inlineStr">
        <is>
          <t>COPPEL HOGARES</t>
        </is>
      </c>
      <c r="AC383" t="n">
        <v>56103637</v>
      </c>
      <c r="AD383" t="n">
        <v>6622261540</v>
      </c>
      <c r="AE383" t="n">
        <v>4</v>
      </c>
      <c r="AF383" t="inlineStr">
        <is>
          <t>ENTREGA DIRECTA</t>
        </is>
      </c>
      <c r="AG383" t="n">
        <v>1.326</v>
      </c>
      <c r="AH383" t="inlineStr">
        <is>
          <t>M3</t>
        </is>
      </c>
      <c r="AI383" t="inlineStr">
        <is>
          <t>X</t>
        </is>
      </c>
      <c r="AJ383" t="n">
        <v>4</v>
      </c>
      <c r="AK383" t="inlineStr">
        <is>
          <t>V4</t>
        </is>
      </c>
      <c r="AL383" t="n">
        <v>20230920</v>
      </c>
      <c r="AM383" t="inlineStr">
        <is>
          <t>D836-900002574-66951255-10000357-4</t>
        </is>
      </c>
    </row>
    <row r="384">
      <c r="A384" t="inlineStr">
        <is>
          <t>900002574D8366691627910000160</t>
        </is>
      </c>
      <c r="B384" t="inlineStr">
        <is>
          <t>4600027590-1810</t>
        </is>
      </c>
      <c r="C384" t="n">
        <v>4600027590</v>
      </c>
      <c r="D384" t="n">
        <v>1810</v>
      </c>
      <c r="E384" t="inlineStr">
        <is>
          <t>MXPO</t>
        </is>
      </c>
      <c r="F384" t="inlineStr">
        <is>
          <t>M02</t>
        </is>
      </c>
      <c r="G384" t="n">
        <v>900002574</v>
      </c>
      <c r="H384" t="inlineStr">
        <is>
          <t>TP-ED-OLIELL</t>
        </is>
      </c>
      <c r="I384" t="n">
        <v>5048484</v>
      </c>
      <c r="J384" t="inlineStr">
        <is>
          <t>COMERCIALIZADORA Y TRANSPORTADORA O</t>
        </is>
      </c>
      <c r="K384" t="inlineStr">
        <is>
          <t>N90</t>
        </is>
      </c>
      <c r="L384" t="inlineStr">
        <is>
          <t>(AP) NAFIN 90 Dias</t>
        </is>
      </c>
      <c r="M384" t="n">
        <v>10000160</v>
      </c>
      <c r="N384" t="inlineStr">
        <is>
          <t>Arena Triturada Andesita Malla 4</t>
        </is>
      </c>
      <c r="O384" t="inlineStr">
        <is>
          <t>D836</t>
        </is>
      </c>
      <c r="P384" t="inlineStr">
        <is>
          <t>MX-CED. CENTRO</t>
        </is>
      </c>
      <c r="Q384" t="n">
        <v>20141106</v>
      </c>
      <c r="R384" t="n">
        <v>20281231</v>
      </c>
      <c r="S384" t="n">
        <v>20201117</v>
      </c>
      <c r="T384" t="n">
        <v>20291231</v>
      </c>
      <c r="U384" t="n">
        <v>517.24</v>
      </c>
      <c r="V384" t="inlineStr">
        <is>
          <t>MXN</t>
        </is>
      </c>
      <c r="W384" t="inlineStr">
        <is>
          <t>M3</t>
        </is>
      </c>
      <c r="X384" t="n">
        <v>417.24</v>
      </c>
      <c r="Y384" t="inlineStr">
        <is>
          <t>MXN</t>
        </is>
      </c>
      <c r="Z384" t="inlineStr">
        <is>
          <t>M3</t>
        </is>
      </c>
      <c r="AA384" t="inlineStr">
        <is>
          <t>66916279</t>
        </is>
      </c>
      <c r="AB384" t="inlineStr">
        <is>
          <t>autopista cuajimalpa naucalpan</t>
        </is>
      </c>
      <c r="AC384" t="n">
        <v>56103638</v>
      </c>
      <c r="AD384" t="n">
        <v>6622261540</v>
      </c>
      <c r="AE384" t="n">
        <v>4</v>
      </c>
      <c r="AF384" t="inlineStr">
        <is>
          <t>ENTREGA DIRECTA</t>
        </is>
      </c>
      <c r="AG384" t="n">
        <v>1.409</v>
      </c>
      <c r="AH384" t="inlineStr">
        <is>
          <t>M3</t>
        </is>
      </c>
      <c r="AI384" t="inlineStr">
        <is>
          <t>X</t>
        </is>
      </c>
      <c r="AJ384" t="n">
        <v>4</v>
      </c>
      <c r="AK384" t="inlineStr">
        <is>
          <t>V4</t>
        </is>
      </c>
      <c r="AL384" t="n">
        <v>20230920</v>
      </c>
      <c r="AM384" t="inlineStr">
        <is>
          <t>D836-900002574-66916279-10000160-4</t>
        </is>
      </c>
    </row>
    <row r="385">
      <c r="A385" t="inlineStr">
        <is>
          <t>900002574D8366710494610000630</t>
        </is>
      </c>
      <c r="B385" t="inlineStr">
        <is>
          <t>4600027590-2360</t>
        </is>
      </c>
      <c r="C385" t="n">
        <v>4600027590</v>
      </c>
      <c r="D385" t="n">
        <v>2360</v>
      </c>
      <c r="E385" t="inlineStr">
        <is>
          <t>MXPO</t>
        </is>
      </c>
      <c r="F385" t="inlineStr">
        <is>
          <t>M02</t>
        </is>
      </c>
      <c r="G385" t="n">
        <v>900002574</v>
      </c>
      <c r="H385" t="inlineStr">
        <is>
          <t>TP-ED-OLIELL</t>
        </is>
      </c>
      <c r="I385" t="n">
        <v>5048484</v>
      </c>
      <c r="J385" t="inlineStr">
        <is>
          <t>COMERCIALIZADORA Y TRANSPORTADORA O</t>
        </is>
      </c>
      <c r="K385" t="inlineStr">
        <is>
          <t>N90</t>
        </is>
      </c>
      <c r="L385" t="inlineStr">
        <is>
          <t>(AP) NAFIN 90 Dias</t>
        </is>
      </c>
      <c r="M385" t="n">
        <v>10000630</v>
      </c>
      <c r="N385" t="inlineStr">
        <is>
          <t>Grava Triturada Caliza 13 mm - 1/2"</t>
        </is>
      </c>
      <c r="O385" t="inlineStr">
        <is>
          <t>D836</t>
        </is>
      </c>
      <c r="P385" t="inlineStr">
        <is>
          <t>MX-CED. CENTRO</t>
        </is>
      </c>
      <c r="Q385" t="n">
        <v>20141106</v>
      </c>
      <c r="R385" t="n">
        <v>20281231</v>
      </c>
      <c r="S385" t="n">
        <v>20230502</v>
      </c>
      <c r="T385" t="n">
        <v>20281231</v>
      </c>
      <c r="U385" t="n">
        <v>720</v>
      </c>
      <c r="V385" t="inlineStr">
        <is>
          <t>MXN</t>
        </is>
      </c>
      <c r="W385" t="inlineStr">
        <is>
          <t>M3</t>
        </is>
      </c>
      <c r="X385" t="n">
        <v>180</v>
      </c>
      <c r="Y385" t="inlineStr">
        <is>
          <t>MXN</t>
        </is>
      </c>
      <c r="Z385" t="inlineStr">
        <is>
          <t>M3</t>
        </is>
      </c>
      <c r="AA385" t="inlineStr">
        <is>
          <t>67104946</t>
        </is>
      </c>
      <c r="AB385" t="inlineStr">
        <is>
          <t>Viaducto 147</t>
        </is>
      </c>
      <c r="AC385" t="n">
        <v>56103637</v>
      </c>
      <c r="AD385" t="n">
        <v>6622261540</v>
      </c>
      <c r="AE385" t="n">
        <v>4</v>
      </c>
      <c r="AF385" t="inlineStr">
        <is>
          <t>ENTREGA DIRECTA</t>
        </is>
      </c>
      <c r="AG385" t="n">
        <v>1.4</v>
      </c>
      <c r="AH385" t="inlineStr">
        <is>
          <t>M3</t>
        </is>
      </c>
      <c r="AI385" t="inlineStr">
        <is>
          <t>X</t>
        </is>
      </c>
      <c r="AJ385" t="n">
        <v>4</v>
      </c>
      <c r="AK385" t="inlineStr">
        <is>
          <t>V4</t>
        </is>
      </c>
      <c r="AL385" t="n">
        <v>20230920</v>
      </c>
      <c r="AM385" t="inlineStr">
        <is>
          <t>D836-900002574-67104946-10000630-4</t>
        </is>
      </c>
    </row>
    <row r="386">
      <c r="A386" t="inlineStr">
        <is>
          <t>900002574D8366691627910058345</t>
        </is>
      </c>
      <c r="B386" t="inlineStr">
        <is>
          <t>4600027590-1830</t>
        </is>
      </c>
      <c r="C386" t="n">
        <v>4600027590</v>
      </c>
      <c r="D386" t="n">
        <v>1830</v>
      </c>
      <c r="E386" t="inlineStr">
        <is>
          <t>MXPO</t>
        </is>
      </c>
      <c r="F386" t="inlineStr">
        <is>
          <t>M02</t>
        </is>
      </c>
      <c r="G386" t="n">
        <v>900002574</v>
      </c>
      <c r="H386" t="inlineStr">
        <is>
          <t>TP-ED-OLIELL</t>
        </is>
      </c>
      <c r="I386" t="n">
        <v>5048484</v>
      </c>
      <c r="J386" t="inlineStr">
        <is>
          <t>COMERCIALIZADORA Y TRANSPORTADORA O</t>
        </is>
      </c>
      <c r="K386" t="inlineStr">
        <is>
          <t>N90</t>
        </is>
      </c>
      <c r="L386" t="inlineStr">
        <is>
          <t>(AP) NAFIN 90 Dias</t>
        </is>
      </c>
      <c r="M386" t="n">
        <v>10058345</v>
      </c>
      <c r="N386" t="inlineStr">
        <is>
          <t>Arena Triturada Caliza Malla 4</t>
        </is>
      </c>
      <c r="O386" t="inlineStr">
        <is>
          <t>D836</t>
        </is>
      </c>
      <c r="P386" t="inlineStr">
        <is>
          <t>MX-CED. CENTRO</t>
        </is>
      </c>
      <c r="Q386" t="n">
        <v>20141106</v>
      </c>
      <c r="R386" t="n">
        <v>20281231</v>
      </c>
      <c r="S386" t="n">
        <v>20201117</v>
      </c>
      <c r="T386" t="n">
        <v>20291231</v>
      </c>
      <c r="U386" t="n">
        <v>620.6900000000001</v>
      </c>
      <c r="V386" t="inlineStr">
        <is>
          <t>MXN</t>
        </is>
      </c>
      <c r="W386" t="inlineStr">
        <is>
          <t>M3</t>
        </is>
      </c>
      <c r="X386" t="n">
        <v>510.69</v>
      </c>
      <c r="Y386" t="inlineStr">
        <is>
          <t>MXN</t>
        </is>
      </c>
      <c r="Z386" t="inlineStr">
        <is>
          <t>M3</t>
        </is>
      </c>
      <c r="AA386" t="inlineStr">
        <is>
          <t>66916279</t>
        </is>
      </c>
      <c r="AB386" t="inlineStr">
        <is>
          <t>autopista cuajimalpa naucalpan</t>
        </is>
      </c>
      <c r="AC386" t="n">
        <v>56103638</v>
      </c>
      <c r="AD386" t="n">
        <v>6622261540</v>
      </c>
      <c r="AE386" t="n">
        <v>4</v>
      </c>
      <c r="AF386" t="inlineStr">
        <is>
          <t>ENTREGA DIRECTA</t>
        </is>
      </c>
      <c r="AG386" t="n">
        <v>1.575</v>
      </c>
      <c r="AH386" t="inlineStr">
        <is>
          <t>M3</t>
        </is>
      </c>
      <c r="AI386" t="inlineStr">
        <is>
          <t>X</t>
        </is>
      </c>
      <c r="AJ386" t="n">
        <v>4</v>
      </c>
      <c r="AK386" t="inlineStr">
        <is>
          <t>V4</t>
        </is>
      </c>
      <c r="AL386" t="n">
        <v>20230920</v>
      </c>
      <c r="AM386" t="inlineStr">
        <is>
          <t>D836-900002574-66916279-10058345-4</t>
        </is>
      </c>
    </row>
    <row r="387">
      <c r="A387" t="inlineStr">
        <is>
          <t>900002574D8366694918610000623</t>
        </is>
      </c>
      <c r="B387" t="inlineStr">
        <is>
          <t>4600027590-2070</t>
        </is>
      </c>
      <c r="C387" t="n">
        <v>4600027590</v>
      </c>
      <c r="D387" t="n">
        <v>2070</v>
      </c>
      <c r="E387" t="inlineStr">
        <is>
          <t>MXPO</t>
        </is>
      </c>
      <c r="F387" t="inlineStr">
        <is>
          <t>M02</t>
        </is>
      </c>
      <c r="G387" t="n">
        <v>900002574</v>
      </c>
      <c r="H387" t="inlineStr">
        <is>
          <t>TP-ED-OLIELL</t>
        </is>
      </c>
      <c r="I387" t="n">
        <v>5048484</v>
      </c>
      <c r="J387" t="inlineStr">
        <is>
          <t>COMERCIALIZADORA Y TRANSPORTADORA O</t>
        </is>
      </c>
      <c r="K387" t="inlineStr">
        <is>
          <t>N90</t>
        </is>
      </c>
      <c r="L387" t="inlineStr">
        <is>
          <t>(AP) NAFIN 90 Dias</t>
        </is>
      </c>
      <c r="M387" t="n">
        <v>10000623</v>
      </c>
      <c r="N387" t="inlineStr">
        <is>
          <t>Grava Triturada Caliza 10 mm - 3/8"</t>
        </is>
      </c>
      <c r="O387" t="inlineStr">
        <is>
          <t>D836</t>
        </is>
      </c>
      <c r="P387" t="inlineStr">
        <is>
          <t>MX-CED. CENTRO</t>
        </is>
      </c>
      <c r="Q387" t="n">
        <v>20141106</v>
      </c>
      <c r="R387" t="n">
        <v>20281231</v>
      </c>
      <c r="S387" t="n">
        <v>20210414</v>
      </c>
      <c r="T387" t="n">
        <v>20291231</v>
      </c>
      <c r="U387" t="n">
        <v>590</v>
      </c>
      <c r="V387" t="inlineStr">
        <is>
          <t>MXN</t>
        </is>
      </c>
      <c r="W387" t="inlineStr">
        <is>
          <t>M3</t>
        </is>
      </c>
      <c r="X387" t="n">
        <v>400</v>
      </c>
      <c r="Y387" t="inlineStr">
        <is>
          <t>MXN</t>
        </is>
      </c>
      <c r="Z387" t="inlineStr">
        <is>
          <t>M3</t>
        </is>
      </c>
      <c r="AA387" t="inlineStr">
        <is>
          <t>66949186</t>
        </is>
      </c>
      <c r="AB387" t="inlineStr">
        <is>
          <t>COLEGIO LA ASUNCION (SEBJ)</t>
        </is>
      </c>
      <c r="AC387" t="n">
        <v>56103637</v>
      </c>
      <c r="AD387" t="n">
        <v>6622261540</v>
      </c>
      <c r="AE387" t="n">
        <v>4</v>
      </c>
      <c r="AF387" t="inlineStr">
        <is>
          <t>ENTREGA DIRECTA</t>
        </is>
      </c>
      <c r="AG387" t="n">
        <v>1.41</v>
      </c>
      <c r="AH387" t="inlineStr">
        <is>
          <t>M3</t>
        </is>
      </c>
      <c r="AI387" t="inlineStr">
        <is>
          <t>X</t>
        </is>
      </c>
      <c r="AJ387" t="n">
        <v>4</v>
      </c>
      <c r="AK387" t="inlineStr">
        <is>
          <t>V4</t>
        </is>
      </c>
      <c r="AL387" t="n">
        <v>20230920</v>
      </c>
      <c r="AM387" t="inlineStr">
        <is>
          <t>D836-900002574-66949186-10000623-4</t>
        </is>
      </c>
    </row>
    <row r="388">
      <c r="A388" t="inlineStr">
        <is>
          <t>900002574D8366515056310000206</t>
        </is>
      </c>
      <c r="B388" t="inlineStr">
        <is>
          <t>4600027590-1030</t>
        </is>
      </c>
      <c r="C388" t="n">
        <v>4600027590</v>
      </c>
      <c r="D388" t="n">
        <v>1030</v>
      </c>
      <c r="E388" t="inlineStr">
        <is>
          <t>MXPO</t>
        </is>
      </c>
      <c r="F388" t="inlineStr">
        <is>
          <t>M02</t>
        </is>
      </c>
      <c r="G388" t="n">
        <v>900002574</v>
      </c>
      <c r="H388" t="inlineStr">
        <is>
          <t>TP-ED-OLIELL</t>
        </is>
      </c>
      <c r="I388" t="n">
        <v>5048484</v>
      </c>
      <c r="J388" t="inlineStr">
        <is>
          <t>COMERCIALIZADORA Y TRANSPORTADORA O</t>
        </is>
      </c>
      <c r="K388" t="inlineStr">
        <is>
          <t>N90</t>
        </is>
      </c>
      <c r="L388" t="inlineStr">
        <is>
          <t>(AP) NAFIN 90 Dias</t>
        </is>
      </c>
      <c r="M388" t="n">
        <v>10000206</v>
      </c>
      <c r="N388" t="inlineStr">
        <is>
          <t>Tepetate Triturado Tierra NA</t>
        </is>
      </c>
      <c r="O388" t="inlineStr">
        <is>
          <t>D836</t>
        </is>
      </c>
      <c r="P388" t="inlineStr">
        <is>
          <t>MX-CED. CENTRO</t>
        </is>
      </c>
      <c r="Q388" t="n">
        <v>20141106</v>
      </c>
      <c r="R388" t="n">
        <v>20281231</v>
      </c>
      <c r="S388" t="n">
        <v>20200623</v>
      </c>
      <c r="T388" t="n">
        <v>20291231</v>
      </c>
      <c r="U388" t="n">
        <v>431.03</v>
      </c>
      <c r="V388" t="inlineStr">
        <is>
          <t>MXN</t>
        </is>
      </c>
      <c r="W388" t="inlineStr">
        <is>
          <t>M3</t>
        </is>
      </c>
      <c r="X388" t="n">
        <v>351</v>
      </c>
      <c r="Y388" t="inlineStr">
        <is>
          <t>MXN</t>
        </is>
      </c>
      <c r="Z388" t="inlineStr">
        <is>
          <t>M3</t>
        </is>
      </c>
      <c r="AA388" t="inlineStr">
        <is>
          <t>65150563</t>
        </is>
      </c>
      <c r="AB388" t="inlineStr">
        <is>
          <t>AMPLIACION CEDROS</t>
        </is>
      </c>
      <c r="AC388" t="n">
        <v>56103695</v>
      </c>
      <c r="AD388" t="n">
        <v>6622261540</v>
      </c>
      <c r="AE388" t="n">
        <v>4</v>
      </c>
      <c r="AF388" t="inlineStr">
        <is>
          <t>ENTREGA DIRECTA</t>
        </is>
      </c>
      <c r="AG388" t="n">
        <v>1.249</v>
      </c>
      <c r="AH388" t="inlineStr">
        <is>
          <t>M3</t>
        </is>
      </c>
      <c r="AI388" t="inlineStr">
        <is>
          <t>X</t>
        </is>
      </c>
      <c r="AJ388" t="n">
        <v>4</v>
      </c>
      <c r="AK388" t="inlineStr">
        <is>
          <t>V4</t>
        </is>
      </c>
      <c r="AL388" t="n">
        <v>20230920</v>
      </c>
      <c r="AM388" t="inlineStr">
        <is>
          <t>D836-900002574-65150563-10000206-4</t>
        </is>
      </c>
    </row>
    <row r="389">
      <c r="A389" t="inlineStr">
        <is>
          <t>900002574D8366690711810058345</t>
        </is>
      </c>
      <c r="B389" t="inlineStr">
        <is>
          <t>4600027590-1700</t>
        </is>
      </c>
      <c r="C389" t="n">
        <v>4600027590</v>
      </c>
      <c r="D389" t="n">
        <v>1700</v>
      </c>
      <c r="E389" t="inlineStr">
        <is>
          <t>MXPO</t>
        </is>
      </c>
      <c r="F389" t="inlineStr">
        <is>
          <t>M02</t>
        </is>
      </c>
      <c r="G389" t="n">
        <v>900002574</v>
      </c>
      <c r="H389" t="inlineStr">
        <is>
          <t>TP-ED-OLIELL</t>
        </is>
      </c>
      <c r="I389" t="n">
        <v>5048484</v>
      </c>
      <c r="J389" t="inlineStr">
        <is>
          <t>COMERCIALIZADORA Y TRANSPORTADORA O</t>
        </is>
      </c>
      <c r="K389" t="inlineStr">
        <is>
          <t>N90</t>
        </is>
      </c>
      <c r="L389" t="inlineStr">
        <is>
          <t>(AP) NAFIN 90 Dias</t>
        </is>
      </c>
      <c r="M389" t="n">
        <v>10058345</v>
      </c>
      <c r="N389" t="inlineStr">
        <is>
          <t>Arena Triturada Caliza Malla 4</t>
        </is>
      </c>
      <c r="O389" t="inlineStr">
        <is>
          <t>D836</t>
        </is>
      </c>
      <c r="P389" t="inlineStr">
        <is>
          <t>MX-CED. CENTRO</t>
        </is>
      </c>
      <c r="Q389" t="n">
        <v>20141106</v>
      </c>
      <c r="R389" t="n">
        <v>20281231</v>
      </c>
      <c r="S389" t="n">
        <v>20201027</v>
      </c>
      <c r="T389" t="n">
        <v>20291231</v>
      </c>
      <c r="U389" t="n">
        <v>346</v>
      </c>
      <c r="V389" t="inlineStr">
        <is>
          <t>MXN</t>
        </is>
      </c>
      <c r="W389" t="inlineStr">
        <is>
          <t>M3</t>
        </is>
      </c>
      <c r="X389" t="n">
        <v>260</v>
      </c>
      <c r="Y389" t="inlineStr">
        <is>
          <t>MXN</t>
        </is>
      </c>
      <c r="Z389" t="inlineStr">
        <is>
          <t>M3</t>
        </is>
      </c>
      <c r="AA389" t="inlineStr">
        <is>
          <t>66907118</t>
        </is>
      </c>
      <c r="AC389" t="n">
        <v>56103638</v>
      </c>
      <c r="AD389" t="n">
        <v>6622261540</v>
      </c>
      <c r="AE389" t="n">
        <v>4</v>
      </c>
      <c r="AF389" t="inlineStr">
        <is>
          <t>ENTREGA DIRECTA</t>
        </is>
      </c>
      <c r="AG389" t="n">
        <v>1.575</v>
      </c>
      <c r="AH389" t="inlineStr">
        <is>
          <t>M3</t>
        </is>
      </c>
      <c r="AI389" t="inlineStr">
        <is>
          <t>X</t>
        </is>
      </c>
      <c r="AJ389" t="n">
        <v>4</v>
      </c>
      <c r="AK389" t="inlineStr">
        <is>
          <t>V4</t>
        </is>
      </c>
      <c r="AL389" t="n">
        <v>20230920</v>
      </c>
      <c r="AM389" t="inlineStr">
        <is>
          <t>D836-900002574-66907118-10058345-4</t>
        </is>
      </c>
    </row>
    <row r="390">
      <c r="A390" t="inlineStr">
        <is>
          <t>900002574D8366689944010000160</t>
        </is>
      </c>
      <c r="B390" t="inlineStr">
        <is>
          <t>4600027590-1460</t>
        </is>
      </c>
      <c r="C390" t="n">
        <v>4600027590</v>
      </c>
      <c r="D390" t="n">
        <v>1460</v>
      </c>
      <c r="E390" t="inlineStr">
        <is>
          <t>MXPO</t>
        </is>
      </c>
      <c r="F390" t="inlineStr">
        <is>
          <t>M02</t>
        </is>
      </c>
      <c r="G390" t="n">
        <v>900002574</v>
      </c>
      <c r="H390" t="inlineStr">
        <is>
          <t>TP-ED-OLIELL</t>
        </is>
      </c>
      <c r="I390" t="n">
        <v>5048484</v>
      </c>
      <c r="J390" t="inlineStr">
        <is>
          <t>COMERCIALIZADORA Y TRANSPORTADORA O</t>
        </is>
      </c>
      <c r="K390" t="inlineStr">
        <is>
          <t>N90</t>
        </is>
      </c>
      <c r="L390" t="inlineStr">
        <is>
          <t>(AP) NAFIN 90 Dias</t>
        </is>
      </c>
      <c r="M390" t="n">
        <v>10000160</v>
      </c>
      <c r="N390" t="inlineStr">
        <is>
          <t>Arena Triturada Andesita Malla 4</t>
        </is>
      </c>
      <c r="O390" t="inlineStr">
        <is>
          <t>D836</t>
        </is>
      </c>
      <c r="P390" t="inlineStr">
        <is>
          <t>MX-CED. CENTRO</t>
        </is>
      </c>
      <c r="Q390" t="n">
        <v>20141106</v>
      </c>
      <c r="R390" t="n">
        <v>20281231</v>
      </c>
      <c r="S390" t="n">
        <v>20200928</v>
      </c>
      <c r="T390" t="n">
        <v>20291231</v>
      </c>
      <c r="U390" t="n">
        <v>482.92</v>
      </c>
      <c r="V390" t="inlineStr">
        <is>
          <t>MXN</t>
        </is>
      </c>
      <c r="W390" t="inlineStr">
        <is>
          <t>M3</t>
        </is>
      </c>
      <c r="X390" t="n">
        <v>372.92</v>
      </c>
      <c r="Y390" t="inlineStr">
        <is>
          <t>MXN</t>
        </is>
      </c>
      <c r="Z390" t="inlineStr">
        <is>
          <t>M3</t>
        </is>
      </c>
      <c r="AA390" t="inlineStr">
        <is>
          <t>66899440</t>
        </is>
      </c>
      <c r="AC390" t="n">
        <v>56103638</v>
      </c>
      <c r="AD390" t="n">
        <v>6622261540</v>
      </c>
      <c r="AE390" t="n">
        <v>4</v>
      </c>
      <c r="AF390" t="inlineStr">
        <is>
          <t>ENTREGA DIRECTA</t>
        </is>
      </c>
      <c r="AG390" t="n">
        <v>1.409</v>
      </c>
      <c r="AH390" t="inlineStr">
        <is>
          <t>M3</t>
        </is>
      </c>
      <c r="AI390" t="inlineStr">
        <is>
          <t>X</t>
        </is>
      </c>
      <c r="AJ390" t="n">
        <v>4</v>
      </c>
      <c r="AK390" t="inlineStr">
        <is>
          <t>V4</t>
        </is>
      </c>
      <c r="AL390" t="n">
        <v>20230920</v>
      </c>
      <c r="AM390" t="inlineStr">
        <is>
          <t>D836-900002574-66899440-10000160-4</t>
        </is>
      </c>
    </row>
    <row r="391">
      <c r="A391" t="inlineStr">
        <is>
          <t>900002574D8366687339010058345</t>
        </is>
      </c>
      <c r="B391" t="inlineStr">
        <is>
          <t>4600027590-1050</t>
        </is>
      </c>
      <c r="C391" t="n">
        <v>4600027590</v>
      </c>
      <c r="D391" t="n">
        <v>1050</v>
      </c>
      <c r="E391" t="inlineStr">
        <is>
          <t>MXPO</t>
        </is>
      </c>
      <c r="F391" t="inlineStr">
        <is>
          <t>M02</t>
        </is>
      </c>
      <c r="G391" t="n">
        <v>900002574</v>
      </c>
      <c r="H391" t="inlineStr">
        <is>
          <t>TP-ED-OLIELL</t>
        </is>
      </c>
      <c r="I391" t="n">
        <v>5048484</v>
      </c>
      <c r="J391" t="inlineStr">
        <is>
          <t>COMERCIALIZADORA Y TRANSPORTADORA O</t>
        </is>
      </c>
      <c r="K391" t="inlineStr">
        <is>
          <t>N90</t>
        </is>
      </c>
      <c r="L391" t="inlineStr">
        <is>
          <t>(AP) NAFIN 90 Dias</t>
        </is>
      </c>
      <c r="M391" t="n">
        <v>10058345</v>
      </c>
      <c r="N391" t="inlineStr">
        <is>
          <t>Arena Triturada Caliza Malla 4</t>
        </is>
      </c>
      <c r="O391" t="inlineStr">
        <is>
          <t>D836</t>
        </is>
      </c>
      <c r="P391" t="inlineStr">
        <is>
          <t>MX-CED. CENTRO</t>
        </is>
      </c>
      <c r="Q391" t="n">
        <v>20141106</v>
      </c>
      <c r="R391" t="n">
        <v>20281231</v>
      </c>
      <c r="S391" t="n">
        <v>20200630</v>
      </c>
      <c r="T391" t="n">
        <v>20291231</v>
      </c>
      <c r="U391" t="n">
        <v>410.4</v>
      </c>
      <c r="V391" t="inlineStr">
        <is>
          <t>MXN</t>
        </is>
      </c>
      <c r="W391" t="inlineStr">
        <is>
          <t>M3</t>
        </is>
      </c>
      <c r="X391" t="n">
        <v>230</v>
      </c>
      <c r="Y391" t="inlineStr">
        <is>
          <t>MXN</t>
        </is>
      </c>
      <c r="Z391" t="inlineStr">
        <is>
          <t>M3</t>
        </is>
      </c>
      <c r="AA391" t="inlineStr">
        <is>
          <t>66873390</t>
        </is>
      </c>
      <c r="AB391" t="inlineStr">
        <is>
          <t>PCO AMORES 1126</t>
        </is>
      </c>
      <c r="AC391" t="n">
        <v>56103638</v>
      </c>
      <c r="AD391" t="n">
        <v>6622261540</v>
      </c>
      <c r="AE391" t="n">
        <v>4</v>
      </c>
      <c r="AF391" t="inlineStr">
        <is>
          <t>ENTREGA DIRECTA</t>
        </is>
      </c>
      <c r="AG391" t="n">
        <v>1.575</v>
      </c>
      <c r="AH391" t="inlineStr">
        <is>
          <t>M3</t>
        </is>
      </c>
      <c r="AI391" t="inlineStr">
        <is>
          <t>X</t>
        </is>
      </c>
      <c r="AJ391" t="n">
        <v>4</v>
      </c>
      <c r="AK391" t="inlineStr">
        <is>
          <t>V4</t>
        </is>
      </c>
      <c r="AL391" t="n">
        <v>20230920</v>
      </c>
      <c r="AM391" t="inlineStr">
        <is>
          <t>D836-900002574-66873390-10058345-4</t>
        </is>
      </c>
    </row>
    <row r="392">
      <c r="A392" t="inlineStr">
        <is>
          <t>900002574D8366683856110000206</t>
        </is>
      </c>
      <c r="B392" t="inlineStr">
        <is>
          <t>4600027590-1930</t>
        </is>
      </c>
      <c r="C392" t="n">
        <v>4600027590</v>
      </c>
      <c r="D392" t="n">
        <v>1930</v>
      </c>
      <c r="E392" t="inlineStr">
        <is>
          <t>MXPO</t>
        </is>
      </c>
      <c r="F392" t="inlineStr">
        <is>
          <t>M02</t>
        </is>
      </c>
      <c r="G392" t="n">
        <v>900002574</v>
      </c>
      <c r="H392" t="inlineStr">
        <is>
          <t>TP-ED-OLIELL</t>
        </is>
      </c>
      <c r="I392" t="n">
        <v>5048484</v>
      </c>
      <c r="J392" t="inlineStr">
        <is>
          <t>COMERCIALIZADORA Y TRANSPORTADORA O</t>
        </is>
      </c>
      <c r="K392" t="inlineStr">
        <is>
          <t>N90</t>
        </is>
      </c>
      <c r="L392" t="inlineStr">
        <is>
          <t>(AP) NAFIN 90 Dias</t>
        </is>
      </c>
      <c r="M392" t="n">
        <v>10000206</v>
      </c>
      <c r="N392" t="inlineStr">
        <is>
          <t>Tepetate Triturado Tierra NA</t>
        </is>
      </c>
      <c r="O392" t="inlineStr">
        <is>
          <t>D836</t>
        </is>
      </c>
      <c r="P392" t="inlineStr">
        <is>
          <t>MX-CED. CENTRO</t>
        </is>
      </c>
      <c r="Q392" t="n">
        <v>20141106</v>
      </c>
      <c r="R392" t="n">
        <v>20281231</v>
      </c>
      <c r="S392" t="n">
        <v>20201030</v>
      </c>
      <c r="T392" t="n">
        <v>20291231</v>
      </c>
      <c r="U392" t="n">
        <v>95</v>
      </c>
      <c r="V392" t="inlineStr">
        <is>
          <t>MXN</t>
        </is>
      </c>
      <c r="W392" t="inlineStr">
        <is>
          <t>M3</t>
        </is>
      </c>
      <c r="X392" t="n">
        <v>60</v>
      </c>
      <c r="Y392" t="inlineStr">
        <is>
          <t>MXN</t>
        </is>
      </c>
      <c r="Z392" t="inlineStr">
        <is>
          <t>M3</t>
        </is>
      </c>
      <c r="AA392" t="inlineStr">
        <is>
          <t>66838561</t>
        </is>
      </c>
      <c r="AB392" t="inlineStr">
        <is>
          <t>REMODELACION DE PATIO TLALPIZAHUAC</t>
        </is>
      </c>
      <c r="AC392" t="n">
        <v>56103695</v>
      </c>
      <c r="AD392" t="n">
        <v>6622261540</v>
      </c>
      <c r="AE392" t="n">
        <v>4</v>
      </c>
      <c r="AF392" t="inlineStr">
        <is>
          <t>ENTREGA DIRECTA</t>
        </is>
      </c>
      <c r="AG392" t="n">
        <v>1.249</v>
      </c>
      <c r="AH392" t="inlineStr">
        <is>
          <t>M3</t>
        </is>
      </c>
      <c r="AI392" t="inlineStr">
        <is>
          <t>X</t>
        </is>
      </c>
      <c r="AJ392" t="n">
        <v>4</v>
      </c>
      <c r="AK392" t="inlineStr">
        <is>
          <t>V4</t>
        </is>
      </c>
      <c r="AL392" t="n">
        <v>20230920</v>
      </c>
      <c r="AM392" t="inlineStr">
        <is>
          <t>D836-900002574-66838561-10000206-4</t>
        </is>
      </c>
    </row>
    <row r="393">
      <c r="A393" t="inlineStr">
        <is>
          <t>900002574D8366681236310000160</t>
        </is>
      </c>
      <c r="B393" t="inlineStr">
        <is>
          <t>4600027590-370</t>
        </is>
      </c>
      <c r="C393" t="n">
        <v>4600027590</v>
      </c>
      <c r="D393" t="n">
        <v>370</v>
      </c>
      <c r="E393" t="inlineStr">
        <is>
          <t>MXPO</t>
        </is>
      </c>
      <c r="F393" t="inlineStr">
        <is>
          <t>M02</t>
        </is>
      </c>
      <c r="G393" t="n">
        <v>900002574</v>
      </c>
      <c r="H393" t="inlineStr">
        <is>
          <t>TP-ED-OLIELL</t>
        </is>
      </c>
      <c r="I393" t="n">
        <v>5048484</v>
      </c>
      <c r="J393" t="inlineStr">
        <is>
          <t>COMERCIALIZADORA Y TRANSPORTADORA O</t>
        </is>
      </c>
      <c r="K393" t="inlineStr">
        <is>
          <t>N90</t>
        </is>
      </c>
      <c r="L393" t="inlineStr">
        <is>
          <t>(AP) NAFIN 90 Dias</t>
        </is>
      </c>
      <c r="M393" t="n">
        <v>10000160</v>
      </c>
      <c r="N393" t="inlineStr">
        <is>
          <t>Arena Triturada Andesita Malla 4</t>
        </is>
      </c>
      <c r="O393" t="inlineStr">
        <is>
          <t>D836</t>
        </is>
      </c>
      <c r="P393" t="inlineStr">
        <is>
          <t>MX-CED. CENTRO</t>
        </is>
      </c>
      <c r="Q393" t="n">
        <v>20141106</v>
      </c>
      <c r="R393" t="n">
        <v>20281231</v>
      </c>
      <c r="S393" t="n">
        <v>20191008</v>
      </c>
      <c r="T393" t="n">
        <v>20241231</v>
      </c>
      <c r="U393" t="n">
        <v>717</v>
      </c>
      <c r="V393" t="inlineStr">
        <is>
          <t>MXN</t>
        </is>
      </c>
      <c r="W393" t="inlineStr">
        <is>
          <t>M3</t>
        </is>
      </c>
      <c r="X393" t="n">
        <v>358.5</v>
      </c>
      <c r="Y393" t="inlineStr">
        <is>
          <t>MXN</t>
        </is>
      </c>
      <c r="Z393" t="inlineStr">
        <is>
          <t>M3</t>
        </is>
      </c>
      <c r="AA393" t="inlineStr">
        <is>
          <t>66812363</t>
        </is>
      </c>
      <c r="AB393" t="inlineStr">
        <is>
          <t>PRIMARIA INDEPENDENCIA QUATTRO</t>
        </is>
      </c>
      <c r="AC393" t="n">
        <v>56103638</v>
      </c>
      <c r="AD393" t="n">
        <v>6622261540</v>
      </c>
      <c r="AE393" t="n">
        <v>4</v>
      </c>
      <c r="AF393" t="inlineStr">
        <is>
          <t>ENTREGA DIRECTA</t>
        </is>
      </c>
      <c r="AG393" t="n">
        <v>1.409</v>
      </c>
      <c r="AH393" t="inlineStr">
        <is>
          <t>M3</t>
        </is>
      </c>
      <c r="AI393" t="inlineStr">
        <is>
          <t>X</t>
        </is>
      </c>
      <c r="AJ393" t="n">
        <v>4</v>
      </c>
      <c r="AK393" t="inlineStr">
        <is>
          <t>V4</t>
        </is>
      </c>
      <c r="AL393" t="n">
        <v>20230920</v>
      </c>
      <c r="AM393" t="inlineStr">
        <is>
          <t>D836-900002574-66812363-10000160-4</t>
        </is>
      </c>
    </row>
    <row r="394">
      <c r="A394" t="inlineStr">
        <is>
          <t>900002574D8366515582010000357</t>
        </is>
      </c>
      <c r="B394" t="inlineStr">
        <is>
          <t>4600027590-750</t>
        </is>
      </c>
      <c r="C394" t="n">
        <v>4600027590</v>
      </c>
      <c r="D394" t="n">
        <v>750</v>
      </c>
      <c r="E394" t="inlineStr">
        <is>
          <t>MXPO</t>
        </is>
      </c>
      <c r="F394" t="inlineStr">
        <is>
          <t>M02</t>
        </is>
      </c>
      <c r="G394" t="n">
        <v>900002574</v>
      </c>
      <c r="H394" t="inlineStr">
        <is>
          <t>TP-ED-OLIELL</t>
        </is>
      </c>
      <c r="I394" t="n">
        <v>5048484</v>
      </c>
      <c r="J394" t="inlineStr">
        <is>
          <t>COMERCIALIZADORA Y TRANSPORTADORA O</t>
        </is>
      </c>
      <c r="K394" t="inlineStr">
        <is>
          <t>N90</t>
        </is>
      </c>
      <c r="L394" t="inlineStr">
        <is>
          <t>(AP) NAFIN 90 Dias</t>
        </is>
      </c>
      <c r="M394" t="n">
        <v>10000357</v>
      </c>
      <c r="N394" t="inlineStr">
        <is>
          <t>Grava Triturada Andesita 20 mm - 3/4"</t>
        </is>
      </c>
      <c r="O394" t="inlineStr">
        <is>
          <t>D836</t>
        </is>
      </c>
      <c r="P394" t="inlineStr">
        <is>
          <t>MX-CED. CENTRO</t>
        </is>
      </c>
      <c r="Q394" t="n">
        <v>20141106</v>
      </c>
      <c r="R394" t="n">
        <v>20281231</v>
      </c>
      <c r="S394" t="n">
        <v>20200218</v>
      </c>
      <c r="T394" t="n">
        <v>20291231</v>
      </c>
      <c r="U394" t="n">
        <v>278</v>
      </c>
      <c r="V394" t="inlineStr">
        <is>
          <t>MXN</t>
        </is>
      </c>
      <c r="W394" t="inlineStr">
        <is>
          <t>M3</t>
        </is>
      </c>
      <c r="X394" t="n">
        <v>139</v>
      </c>
      <c r="Y394" t="inlineStr">
        <is>
          <t>MXN</t>
        </is>
      </c>
      <c r="Z394" t="inlineStr">
        <is>
          <t>M3</t>
        </is>
      </c>
      <c r="AA394" t="inlineStr">
        <is>
          <t>65155820</t>
        </is>
      </c>
      <c r="AB394" t="inlineStr">
        <is>
          <t>GRUPO CASA BLANCA SAN LUIS</t>
        </is>
      </c>
      <c r="AC394" t="n">
        <v>56103637</v>
      </c>
      <c r="AD394" t="n">
        <v>6622261540</v>
      </c>
      <c r="AE394" t="n">
        <v>4</v>
      </c>
      <c r="AF394" t="inlineStr">
        <is>
          <t>ENTREGA DIRECTA</t>
        </is>
      </c>
      <c r="AG394" t="n">
        <v>1.326</v>
      </c>
      <c r="AH394" t="inlineStr">
        <is>
          <t>M3</t>
        </is>
      </c>
      <c r="AI394" t="inlineStr">
        <is>
          <t>X</t>
        </is>
      </c>
      <c r="AJ394" t="n">
        <v>4</v>
      </c>
      <c r="AK394" t="inlineStr">
        <is>
          <t>V4</t>
        </is>
      </c>
      <c r="AL394" t="n">
        <v>20230920</v>
      </c>
      <c r="AM394" t="inlineStr">
        <is>
          <t>D836-900002574-65155820-10000357-4</t>
        </is>
      </c>
    </row>
    <row r="395">
      <c r="A395" t="inlineStr">
        <is>
          <t>900002574D8366688696910000160</t>
        </is>
      </c>
      <c r="B395" t="inlineStr">
        <is>
          <t>4600027590-1120</t>
        </is>
      </c>
      <c r="C395" t="n">
        <v>4600027590</v>
      </c>
      <c r="D395" t="n">
        <v>1120</v>
      </c>
      <c r="E395" t="inlineStr">
        <is>
          <t>MXPO</t>
        </is>
      </c>
      <c r="F395" t="inlineStr">
        <is>
          <t>M02</t>
        </is>
      </c>
      <c r="G395" t="n">
        <v>900002574</v>
      </c>
      <c r="H395" t="inlineStr">
        <is>
          <t>TP-ED-OLIELL</t>
        </is>
      </c>
      <c r="I395" t="n">
        <v>5048484</v>
      </c>
      <c r="J395" t="inlineStr">
        <is>
          <t>COMERCIALIZADORA Y TRANSPORTADORA O</t>
        </is>
      </c>
      <c r="K395" t="inlineStr">
        <is>
          <t>N90</t>
        </is>
      </c>
      <c r="L395" t="inlineStr">
        <is>
          <t>(AP) NAFIN 90 Dias</t>
        </is>
      </c>
      <c r="M395" t="n">
        <v>10000160</v>
      </c>
      <c r="N395" t="inlineStr">
        <is>
          <t>Arena Triturada Andesita Malla 4</t>
        </is>
      </c>
      <c r="O395" t="inlineStr">
        <is>
          <t>D836</t>
        </is>
      </c>
      <c r="P395" t="inlineStr">
        <is>
          <t>MX-CED. CENTRO</t>
        </is>
      </c>
      <c r="Q395" t="n">
        <v>20141106</v>
      </c>
      <c r="R395" t="n">
        <v>20281231</v>
      </c>
      <c r="S395" t="n">
        <v>20200729</v>
      </c>
      <c r="T395" t="n">
        <v>20291231</v>
      </c>
      <c r="U395" t="n">
        <v>431.03</v>
      </c>
      <c r="V395" t="inlineStr">
        <is>
          <t>MXN</t>
        </is>
      </c>
      <c r="W395" t="inlineStr">
        <is>
          <t>M3</t>
        </is>
      </c>
      <c r="X395" t="n">
        <v>331.03</v>
      </c>
      <c r="Y395" t="inlineStr">
        <is>
          <t>MXN</t>
        </is>
      </c>
      <c r="Z395" t="inlineStr">
        <is>
          <t>M3</t>
        </is>
      </c>
      <c r="AA395" t="inlineStr">
        <is>
          <t>66886969</t>
        </is>
      </c>
      <c r="AB395" t="inlineStr">
        <is>
          <t>HELM</t>
        </is>
      </c>
      <c r="AC395" t="n">
        <v>56103638</v>
      </c>
      <c r="AD395" t="n">
        <v>6622261540</v>
      </c>
      <c r="AE395" t="n">
        <v>4</v>
      </c>
      <c r="AF395" t="inlineStr">
        <is>
          <t>ENTREGA DIRECTA</t>
        </is>
      </c>
      <c r="AG395" t="n">
        <v>1.409</v>
      </c>
      <c r="AH395" t="inlineStr">
        <is>
          <t>M3</t>
        </is>
      </c>
      <c r="AI395" t="inlineStr">
        <is>
          <t>X</t>
        </is>
      </c>
      <c r="AJ395" t="n">
        <v>4</v>
      </c>
      <c r="AK395" t="inlineStr">
        <is>
          <t>V4</t>
        </is>
      </c>
      <c r="AL395" t="n">
        <v>20230920</v>
      </c>
      <c r="AM395" t="inlineStr">
        <is>
          <t>D836-900002574-66886969-10000160-4</t>
        </is>
      </c>
    </row>
    <row r="396">
      <c r="A396" t="inlineStr">
        <is>
          <t>900002574D8366680855610058345</t>
        </is>
      </c>
      <c r="B396" t="inlineStr">
        <is>
          <t>4600027590-1180</t>
        </is>
      </c>
      <c r="C396" t="n">
        <v>4600027590</v>
      </c>
      <c r="D396" t="n">
        <v>1180</v>
      </c>
      <c r="E396" t="inlineStr">
        <is>
          <t>MXPO</t>
        </is>
      </c>
      <c r="F396" t="inlineStr">
        <is>
          <t>M02</t>
        </is>
      </c>
      <c r="G396" t="n">
        <v>900002574</v>
      </c>
      <c r="H396" t="inlineStr">
        <is>
          <t>TP-ED-OLIELL</t>
        </is>
      </c>
      <c r="I396" t="n">
        <v>5048484</v>
      </c>
      <c r="J396" t="inlineStr">
        <is>
          <t>COMERCIALIZADORA Y TRANSPORTADORA O</t>
        </is>
      </c>
      <c r="K396" t="inlineStr">
        <is>
          <t>N90</t>
        </is>
      </c>
      <c r="L396" t="inlineStr">
        <is>
          <t>(AP) NAFIN 90 Dias</t>
        </is>
      </c>
      <c r="M396" t="n">
        <v>10058345</v>
      </c>
      <c r="N396" t="inlineStr">
        <is>
          <t>Arena Triturada Caliza Malla 4</t>
        </is>
      </c>
      <c r="O396" t="inlineStr">
        <is>
          <t>D836</t>
        </is>
      </c>
      <c r="P396" t="inlineStr">
        <is>
          <t>MX-CED. CENTRO</t>
        </is>
      </c>
      <c r="Q396" t="n">
        <v>20141106</v>
      </c>
      <c r="R396" t="n">
        <v>20281231</v>
      </c>
      <c r="S396" t="n">
        <v>20200804</v>
      </c>
      <c r="T396" t="n">
        <v>20291231</v>
      </c>
      <c r="U396" t="n">
        <v>474.03</v>
      </c>
      <c r="V396" t="inlineStr">
        <is>
          <t>MXN</t>
        </is>
      </c>
      <c r="W396" t="inlineStr">
        <is>
          <t>M3</t>
        </is>
      </c>
      <c r="X396" t="n">
        <v>354.03</v>
      </c>
      <c r="Y396" t="inlineStr">
        <is>
          <t>MXN</t>
        </is>
      </c>
      <c r="Z396" t="inlineStr">
        <is>
          <t>M3</t>
        </is>
      </c>
      <c r="AA396" t="inlineStr">
        <is>
          <t>66808556</t>
        </is>
      </c>
      <c r="AB396" t="inlineStr">
        <is>
          <t>RESIDENCE NUEVA YORK</t>
        </is>
      </c>
      <c r="AC396" t="n">
        <v>56103638</v>
      </c>
      <c r="AD396" t="n">
        <v>6622261540</v>
      </c>
      <c r="AE396" t="n">
        <v>4</v>
      </c>
      <c r="AF396" t="inlineStr">
        <is>
          <t>ENTREGA DIRECTA</t>
        </is>
      </c>
      <c r="AG396" t="n">
        <v>1.575</v>
      </c>
      <c r="AH396" t="inlineStr">
        <is>
          <t>M3</t>
        </is>
      </c>
      <c r="AI396" t="inlineStr">
        <is>
          <t>X</t>
        </is>
      </c>
      <c r="AJ396" t="n">
        <v>4</v>
      </c>
      <c r="AK396" t="inlineStr">
        <is>
          <t>V4</t>
        </is>
      </c>
      <c r="AL396" t="n">
        <v>20230920</v>
      </c>
      <c r="AM396" t="inlineStr">
        <is>
          <t>D836-900002574-66808556-10058345-4</t>
        </is>
      </c>
    </row>
    <row r="397">
      <c r="A397" t="inlineStr">
        <is>
          <t>900002574D8366681799710000357</t>
        </is>
      </c>
      <c r="B397" t="inlineStr">
        <is>
          <t>4600027590-590</t>
        </is>
      </c>
      <c r="C397" t="n">
        <v>4600027590</v>
      </c>
      <c r="D397" t="n">
        <v>590</v>
      </c>
      <c r="E397" t="inlineStr">
        <is>
          <t>MXPO</t>
        </is>
      </c>
      <c r="F397" t="inlineStr">
        <is>
          <t>M02</t>
        </is>
      </c>
      <c r="G397" t="n">
        <v>900002574</v>
      </c>
      <c r="H397" t="inlineStr">
        <is>
          <t>TP-ED-OLIELL</t>
        </is>
      </c>
      <c r="I397" t="n">
        <v>5048484</v>
      </c>
      <c r="J397" t="inlineStr">
        <is>
          <t>COMERCIALIZADORA Y TRANSPORTADORA O</t>
        </is>
      </c>
      <c r="K397" t="inlineStr">
        <is>
          <t>N90</t>
        </is>
      </c>
      <c r="L397" t="inlineStr">
        <is>
          <t>(AP) NAFIN 90 Dias</t>
        </is>
      </c>
      <c r="M397" t="n">
        <v>10000357</v>
      </c>
      <c r="N397" t="inlineStr">
        <is>
          <t>Grava Triturada Andesita 20 mm - 3/4"</t>
        </is>
      </c>
      <c r="O397" t="inlineStr">
        <is>
          <t>D836</t>
        </is>
      </c>
      <c r="P397" t="inlineStr">
        <is>
          <t>MX-CED. CENTRO</t>
        </is>
      </c>
      <c r="Q397" t="n">
        <v>20141106</v>
      </c>
      <c r="R397" t="n">
        <v>20281231</v>
      </c>
      <c r="S397" t="n">
        <v>20191210</v>
      </c>
      <c r="T397" t="n">
        <v>20241231</v>
      </c>
      <c r="U397" t="n">
        <v>362.06</v>
      </c>
      <c r="V397" t="inlineStr">
        <is>
          <t>MXN</t>
        </is>
      </c>
      <c r="W397" t="inlineStr">
        <is>
          <t>M3</t>
        </is>
      </c>
      <c r="X397" t="n">
        <v>181.03</v>
      </c>
      <c r="Y397" t="inlineStr">
        <is>
          <t>MXN</t>
        </is>
      </c>
      <c r="Z397" t="inlineStr">
        <is>
          <t>M3</t>
        </is>
      </c>
      <c r="AA397" t="inlineStr">
        <is>
          <t>66817997</t>
        </is>
      </c>
      <c r="AB397" t="inlineStr">
        <is>
          <t>DEPTOS HOLBEIN 62</t>
        </is>
      </c>
      <c r="AC397" t="n">
        <v>56103637</v>
      </c>
      <c r="AD397" t="n">
        <v>6622261540</v>
      </c>
      <c r="AE397" t="n">
        <v>4</v>
      </c>
      <c r="AF397" t="inlineStr">
        <is>
          <t>ENTREGA DIRECTA</t>
        </is>
      </c>
      <c r="AG397" t="n">
        <v>1.326</v>
      </c>
      <c r="AH397" t="inlineStr">
        <is>
          <t>M3</t>
        </is>
      </c>
      <c r="AI397" t="inlineStr">
        <is>
          <t>X</t>
        </is>
      </c>
      <c r="AJ397" t="n">
        <v>4</v>
      </c>
      <c r="AK397" t="inlineStr">
        <is>
          <t>V4</t>
        </is>
      </c>
      <c r="AL397" t="n">
        <v>20230920</v>
      </c>
      <c r="AM397" t="inlineStr">
        <is>
          <t>D836-900002574-66817997-10000357-4</t>
        </is>
      </c>
    </row>
    <row r="398">
      <c r="A398" t="inlineStr">
        <is>
          <t>900002574D8366683336210000624</t>
        </is>
      </c>
      <c r="B398" t="inlineStr">
        <is>
          <t>4600027590-660</t>
        </is>
      </c>
      <c r="C398" t="n">
        <v>4600027590</v>
      </c>
      <c r="D398" t="n">
        <v>660</v>
      </c>
      <c r="E398" t="inlineStr">
        <is>
          <t>MXPO</t>
        </is>
      </c>
      <c r="F398" t="inlineStr">
        <is>
          <t>M02</t>
        </is>
      </c>
      <c r="G398" t="n">
        <v>900002574</v>
      </c>
      <c r="H398" t="inlineStr">
        <is>
          <t>TP-ED-OLIELL</t>
        </is>
      </c>
      <c r="I398" t="n">
        <v>5048484</v>
      </c>
      <c r="J398" t="inlineStr">
        <is>
          <t>COMERCIALIZADORA Y TRANSPORTADORA O</t>
        </is>
      </c>
      <c r="K398" t="inlineStr">
        <is>
          <t>N90</t>
        </is>
      </c>
      <c r="L398" t="inlineStr">
        <is>
          <t>(AP) NAFIN 90 Dias</t>
        </is>
      </c>
      <c r="M398" t="n">
        <v>10000624</v>
      </c>
      <c r="N398" t="inlineStr">
        <is>
          <t>Grava Triturada Caliza 40 mm - 1 1/2"</t>
        </is>
      </c>
      <c r="O398" t="inlineStr">
        <is>
          <t>D836</t>
        </is>
      </c>
      <c r="P398" t="inlineStr">
        <is>
          <t>MX-CED. CENTRO</t>
        </is>
      </c>
      <c r="Q398" t="n">
        <v>20141106</v>
      </c>
      <c r="R398" t="n">
        <v>20281231</v>
      </c>
      <c r="S398" t="n">
        <v>20191219</v>
      </c>
      <c r="T398" t="n">
        <v>20241231</v>
      </c>
      <c r="U398" t="n">
        <v>320</v>
      </c>
      <c r="V398" t="inlineStr">
        <is>
          <t>MXN</t>
        </is>
      </c>
      <c r="W398" t="inlineStr">
        <is>
          <t>M3</t>
        </is>
      </c>
      <c r="X398" t="n">
        <v>160</v>
      </c>
      <c r="Y398" t="inlineStr">
        <is>
          <t>MXN</t>
        </is>
      </c>
      <c r="Z398" t="inlineStr">
        <is>
          <t>M3</t>
        </is>
      </c>
      <c r="AA398" t="inlineStr">
        <is>
          <t>66833362</t>
        </is>
      </c>
      <c r="AB398" t="inlineStr">
        <is>
          <t>MACRO QUÍMICA</t>
        </is>
      </c>
      <c r="AC398" t="n">
        <v>56103637</v>
      </c>
      <c r="AD398" t="n">
        <v>6622261540</v>
      </c>
      <c r="AE398" t="n">
        <v>4</v>
      </c>
      <c r="AF398" t="inlineStr">
        <is>
          <t>ENTREGA DIRECTA</t>
        </is>
      </c>
      <c r="AG398" t="n">
        <v>1.45</v>
      </c>
      <c r="AH398" t="inlineStr">
        <is>
          <t>M3</t>
        </is>
      </c>
      <c r="AI398" t="inlineStr">
        <is>
          <t>X</t>
        </is>
      </c>
      <c r="AJ398" t="n">
        <v>4</v>
      </c>
      <c r="AK398" t="inlineStr">
        <is>
          <t>V4</t>
        </is>
      </c>
      <c r="AL398" t="n">
        <v>20230920</v>
      </c>
      <c r="AM398" t="inlineStr">
        <is>
          <t>D836-900002574-66833362-10000624-4</t>
        </is>
      </c>
    </row>
    <row r="399">
      <c r="A399" t="inlineStr">
        <is>
          <t>900002574D8366683068310000160</t>
        </is>
      </c>
      <c r="B399" t="inlineStr">
        <is>
          <t>4600027590-900</t>
        </is>
      </c>
      <c r="C399" t="n">
        <v>4600027590</v>
      </c>
      <c r="D399" t="n">
        <v>900</v>
      </c>
      <c r="E399" t="inlineStr">
        <is>
          <t>MXPO</t>
        </is>
      </c>
      <c r="F399" t="inlineStr">
        <is>
          <t>M02</t>
        </is>
      </c>
      <c r="G399" t="n">
        <v>900002574</v>
      </c>
      <c r="H399" t="inlineStr">
        <is>
          <t>TP-ED-OLIELL</t>
        </is>
      </c>
      <c r="I399" t="n">
        <v>5048484</v>
      </c>
      <c r="J399" t="inlineStr">
        <is>
          <t>COMERCIALIZADORA Y TRANSPORTADORA O</t>
        </is>
      </c>
      <c r="K399" t="inlineStr">
        <is>
          <t>N90</t>
        </is>
      </c>
      <c r="L399" t="inlineStr">
        <is>
          <t>(AP) NAFIN 90 Dias</t>
        </is>
      </c>
      <c r="M399" t="n">
        <v>10000160</v>
      </c>
      <c r="N399" t="inlineStr">
        <is>
          <t>Arena Triturada Andesita Malla 4</t>
        </is>
      </c>
      <c r="O399" t="inlineStr">
        <is>
          <t>D836</t>
        </is>
      </c>
      <c r="P399" t="inlineStr">
        <is>
          <t>MX-CED. CENTRO</t>
        </is>
      </c>
      <c r="Q399" t="n">
        <v>20141106</v>
      </c>
      <c r="R399" t="n">
        <v>20281231</v>
      </c>
      <c r="S399" t="n">
        <v>20200212</v>
      </c>
      <c r="T399" t="n">
        <v>20291231</v>
      </c>
      <c r="U399" t="n">
        <v>344.82</v>
      </c>
      <c r="V399" t="inlineStr">
        <is>
          <t>MXN</t>
        </is>
      </c>
      <c r="W399" t="inlineStr">
        <is>
          <t>M3</t>
        </is>
      </c>
      <c r="X399" t="n">
        <v>172</v>
      </c>
      <c r="Y399" t="inlineStr">
        <is>
          <t>MXN</t>
        </is>
      </c>
      <c r="Z399" t="inlineStr">
        <is>
          <t>M3</t>
        </is>
      </c>
      <c r="AA399" t="inlineStr">
        <is>
          <t>66830683</t>
        </is>
      </c>
      <c r="AB399" t="inlineStr">
        <is>
          <t>MITLA 240 (LRR)</t>
        </is>
      </c>
      <c r="AC399" t="n">
        <v>56103638</v>
      </c>
      <c r="AD399" t="n">
        <v>6622261540</v>
      </c>
      <c r="AE399" t="n">
        <v>4</v>
      </c>
      <c r="AF399" t="inlineStr">
        <is>
          <t>ENTREGA DIRECTA</t>
        </is>
      </c>
      <c r="AG399" t="n">
        <v>1.409</v>
      </c>
      <c r="AH399" t="inlineStr">
        <is>
          <t>M3</t>
        </is>
      </c>
      <c r="AI399" t="inlineStr">
        <is>
          <t>X</t>
        </is>
      </c>
      <c r="AJ399" t="n">
        <v>4</v>
      </c>
      <c r="AK399" t="inlineStr">
        <is>
          <t>V4</t>
        </is>
      </c>
      <c r="AL399" t="n">
        <v>20230920</v>
      </c>
      <c r="AM399" t="inlineStr">
        <is>
          <t>D836-900002574-66830683-10000160-4</t>
        </is>
      </c>
    </row>
    <row r="400">
      <c r="A400" t="inlineStr">
        <is>
          <t>900002574D8366686047910058345</t>
        </is>
      </c>
      <c r="B400" t="inlineStr">
        <is>
          <t>4600027590-990</t>
        </is>
      </c>
      <c r="C400" t="n">
        <v>4600027590</v>
      </c>
      <c r="D400" t="n">
        <v>990</v>
      </c>
      <c r="E400" t="inlineStr">
        <is>
          <t>MXPO</t>
        </is>
      </c>
      <c r="F400" t="inlineStr">
        <is>
          <t>M02</t>
        </is>
      </c>
      <c r="G400" t="n">
        <v>900002574</v>
      </c>
      <c r="H400" t="inlineStr">
        <is>
          <t>TP-ED-OLIELL</t>
        </is>
      </c>
      <c r="I400" t="n">
        <v>5048484</v>
      </c>
      <c r="J400" t="inlineStr">
        <is>
          <t>COMERCIALIZADORA Y TRANSPORTADORA O</t>
        </is>
      </c>
      <c r="K400" t="inlineStr">
        <is>
          <t>N90</t>
        </is>
      </c>
      <c r="L400" t="inlineStr">
        <is>
          <t>(AP) NAFIN 90 Dias</t>
        </is>
      </c>
      <c r="M400" t="n">
        <v>10058345</v>
      </c>
      <c r="N400" t="inlineStr">
        <is>
          <t>Arena Triturada Caliza Malla 4</t>
        </is>
      </c>
      <c r="O400" t="inlineStr">
        <is>
          <t>D836</t>
        </is>
      </c>
      <c r="P400" t="inlineStr">
        <is>
          <t>MX-CED. CENTRO</t>
        </is>
      </c>
      <c r="Q400" t="n">
        <v>20141106</v>
      </c>
      <c r="R400" t="n">
        <v>20281231</v>
      </c>
      <c r="S400" t="n">
        <v>20200518</v>
      </c>
      <c r="T400" t="n">
        <v>20291231</v>
      </c>
      <c r="U400" t="n">
        <v>517.24</v>
      </c>
      <c r="V400" t="inlineStr">
        <is>
          <t>MXN</t>
        </is>
      </c>
      <c r="W400" t="inlineStr">
        <is>
          <t>M3</t>
        </is>
      </c>
      <c r="X400" t="n">
        <v>395</v>
      </c>
      <c r="Y400" t="inlineStr">
        <is>
          <t>MXN</t>
        </is>
      </c>
      <c r="Z400" t="inlineStr">
        <is>
          <t>M3</t>
        </is>
      </c>
      <c r="AA400" t="inlineStr">
        <is>
          <t>66860479</t>
        </is>
      </c>
      <c r="AB400" t="inlineStr">
        <is>
          <t>vivienda valle gomez</t>
        </is>
      </c>
      <c r="AC400" t="n">
        <v>56103638</v>
      </c>
      <c r="AD400" t="n">
        <v>6622261540</v>
      </c>
      <c r="AE400" t="n">
        <v>4</v>
      </c>
      <c r="AF400" t="inlineStr">
        <is>
          <t>ENTREGA DIRECTA</t>
        </is>
      </c>
      <c r="AG400" t="n">
        <v>1.575</v>
      </c>
      <c r="AH400" t="inlineStr">
        <is>
          <t>M3</t>
        </is>
      </c>
      <c r="AI400" t="inlineStr">
        <is>
          <t>X</t>
        </is>
      </c>
      <c r="AJ400" t="n">
        <v>4</v>
      </c>
      <c r="AK400" t="inlineStr">
        <is>
          <t>V4</t>
        </is>
      </c>
      <c r="AL400" t="n">
        <v>20230920</v>
      </c>
      <c r="AM400" t="inlineStr">
        <is>
          <t>D836-900002574-66860479-10058345-4</t>
        </is>
      </c>
    </row>
    <row r="401">
      <c r="A401" t="inlineStr">
        <is>
          <t>900002574D8366515582010000160</t>
        </is>
      </c>
      <c r="B401" t="inlineStr">
        <is>
          <t>4600027590-740</t>
        </is>
      </c>
      <c r="C401" t="n">
        <v>4600027590</v>
      </c>
      <c r="D401" t="n">
        <v>740</v>
      </c>
      <c r="E401" t="inlineStr">
        <is>
          <t>MXPO</t>
        </is>
      </c>
      <c r="F401" t="inlineStr">
        <is>
          <t>M02</t>
        </is>
      </c>
      <c r="G401" t="n">
        <v>900002574</v>
      </c>
      <c r="H401" t="inlineStr">
        <is>
          <t>TP-ED-OLIELL</t>
        </is>
      </c>
      <c r="I401" t="n">
        <v>5048484</v>
      </c>
      <c r="J401" t="inlineStr">
        <is>
          <t>COMERCIALIZADORA Y TRANSPORTADORA O</t>
        </is>
      </c>
      <c r="K401" t="inlineStr">
        <is>
          <t>N90</t>
        </is>
      </c>
      <c r="L401" t="inlineStr">
        <is>
          <t>(AP) NAFIN 90 Dias</t>
        </is>
      </c>
      <c r="M401" t="n">
        <v>10000160</v>
      </c>
      <c r="N401" t="inlineStr">
        <is>
          <t>Arena Triturada Andesita Malla 4</t>
        </is>
      </c>
      <c r="O401" t="inlineStr">
        <is>
          <t>D836</t>
        </is>
      </c>
      <c r="P401" t="inlineStr">
        <is>
          <t>MX-CED. CENTRO</t>
        </is>
      </c>
      <c r="Q401" t="n">
        <v>20141106</v>
      </c>
      <c r="R401" t="n">
        <v>20281231</v>
      </c>
      <c r="S401" t="n">
        <v>20200218</v>
      </c>
      <c r="T401" t="n">
        <v>20291231</v>
      </c>
      <c r="U401" t="n">
        <v>268</v>
      </c>
      <c r="V401" t="inlineStr">
        <is>
          <t>MXN</t>
        </is>
      </c>
      <c r="W401" t="inlineStr">
        <is>
          <t>M3</t>
        </is>
      </c>
      <c r="X401" t="n">
        <v>134</v>
      </c>
      <c r="Y401" t="inlineStr">
        <is>
          <t>MXN</t>
        </is>
      </c>
      <c r="Z401" t="inlineStr">
        <is>
          <t>M3</t>
        </is>
      </c>
      <c r="AA401" t="inlineStr">
        <is>
          <t>65155820</t>
        </is>
      </c>
      <c r="AB401" t="inlineStr">
        <is>
          <t>GRUPO CASA BLANCA SAN LUIS</t>
        </is>
      </c>
      <c r="AC401" t="n">
        <v>56103638</v>
      </c>
      <c r="AD401" t="n">
        <v>6622261540</v>
      </c>
      <c r="AE401" t="n">
        <v>4</v>
      </c>
      <c r="AF401" t="inlineStr">
        <is>
          <t>ENTREGA DIRECTA</t>
        </is>
      </c>
      <c r="AG401" t="n">
        <v>1.409</v>
      </c>
      <c r="AH401" t="inlineStr">
        <is>
          <t>M3</t>
        </is>
      </c>
      <c r="AI401" t="inlineStr">
        <is>
          <t>X</t>
        </is>
      </c>
      <c r="AJ401" t="n">
        <v>4</v>
      </c>
      <c r="AK401" t="inlineStr">
        <is>
          <t>V4</t>
        </is>
      </c>
      <c r="AL401" t="n">
        <v>20230920</v>
      </c>
      <c r="AM401" t="inlineStr">
        <is>
          <t>D836-900002574-65155820-10000160-4</t>
        </is>
      </c>
    </row>
    <row r="402">
      <c r="A402" t="inlineStr">
        <is>
          <t>900002574D8366690808210000357</t>
        </is>
      </c>
      <c r="B402" t="inlineStr">
        <is>
          <t>4600027590-1620</t>
        </is>
      </c>
      <c r="C402" t="n">
        <v>4600027590</v>
      </c>
      <c r="D402" t="n">
        <v>1620</v>
      </c>
      <c r="E402" t="inlineStr">
        <is>
          <t>MXPO</t>
        </is>
      </c>
      <c r="F402" t="inlineStr">
        <is>
          <t>M02</t>
        </is>
      </c>
      <c r="G402" t="n">
        <v>900002574</v>
      </c>
      <c r="H402" t="inlineStr">
        <is>
          <t>TP-ED-OLIELL</t>
        </is>
      </c>
      <c r="I402" t="n">
        <v>5048484</v>
      </c>
      <c r="J402" t="inlineStr">
        <is>
          <t>COMERCIALIZADORA Y TRANSPORTADORA O</t>
        </is>
      </c>
      <c r="K402" t="inlineStr">
        <is>
          <t>N90</t>
        </is>
      </c>
      <c r="L402" t="inlineStr">
        <is>
          <t>(AP) NAFIN 90 Dias</t>
        </is>
      </c>
      <c r="M402" t="n">
        <v>10000357</v>
      </c>
      <c r="N402" t="inlineStr">
        <is>
          <t>Grava Triturada Andesita 20 mm - 3/4"</t>
        </is>
      </c>
      <c r="O402" t="inlineStr">
        <is>
          <t>D836</t>
        </is>
      </c>
      <c r="P402" t="inlineStr">
        <is>
          <t>MX-CED. CENTRO</t>
        </is>
      </c>
      <c r="Q402" t="n">
        <v>20141106</v>
      </c>
      <c r="R402" t="n">
        <v>20281231</v>
      </c>
      <c r="S402" t="n">
        <v>20201016</v>
      </c>
      <c r="T402" t="n">
        <v>20291231</v>
      </c>
      <c r="U402" t="n">
        <v>170</v>
      </c>
      <c r="V402" t="inlineStr">
        <is>
          <t>MXN</t>
        </is>
      </c>
      <c r="W402" t="inlineStr">
        <is>
          <t>M3</t>
        </is>
      </c>
      <c r="X402" t="n">
        <v>60</v>
      </c>
      <c r="Y402" t="inlineStr">
        <is>
          <t>MXN</t>
        </is>
      </c>
      <c r="Z402" t="inlineStr">
        <is>
          <t>M3</t>
        </is>
      </c>
      <c r="AA402" t="inlineStr">
        <is>
          <t>66908082</t>
        </is>
      </c>
      <c r="AB402" t="inlineStr">
        <is>
          <t>AGREGADO LOS REYES</t>
        </is>
      </c>
      <c r="AC402" t="n">
        <v>56103637</v>
      </c>
      <c r="AD402" t="n">
        <v>6622261540</v>
      </c>
      <c r="AE402" t="n">
        <v>4</v>
      </c>
      <c r="AF402" t="inlineStr">
        <is>
          <t>ENTREGA DIRECTA</t>
        </is>
      </c>
      <c r="AG402" t="n">
        <v>1.326</v>
      </c>
      <c r="AH402" t="inlineStr">
        <is>
          <t>M3</t>
        </is>
      </c>
      <c r="AI402" t="inlineStr">
        <is>
          <t>X</t>
        </is>
      </c>
      <c r="AJ402" t="n">
        <v>4</v>
      </c>
      <c r="AK402" t="inlineStr">
        <is>
          <t>V4</t>
        </is>
      </c>
      <c r="AL402" t="n">
        <v>20230920</v>
      </c>
      <c r="AM402" t="inlineStr">
        <is>
          <t>D836-900002574-66908082-10000357-4</t>
        </is>
      </c>
    </row>
    <row r="403">
      <c r="A403" t="inlineStr">
        <is>
          <t>900002574D8366689786710000160</t>
        </is>
      </c>
      <c r="B403" t="inlineStr">
        <is>
          <t>4600027590-1280</t>
        </is>
      </c>
      <c r="C403" t="n">
        <v>4600027590</v>
      </c>
      <c r="D403" t="n">
        <v>1280</v>
      </c>
      <c r="E403" t="inlineStr">
        <is>
          <t>MXPO</t>
        </is>
      </c>
      <c r="F403" t="inlineStr">
        <is>
          <t>M02</t>
        </is>
      </c>
      <c r="G403" t="n">
        <v>900002574</v>
      </c>
      <c r="H403" t="inlineStr">
        <is>
          <t>TP-ED-OLIELL</t>
        </is>
      </c>
      <c r="I403" t="n">
        <v>5048484</v>
      </c>
      <c r="J403" t="inlineStr">
        <is>
          <t>COMERCIALIZADORA Y TRANSPORTADORA O</t>
        </is>
      </c>
      <c r="K403" t="inlineStr">
        <is>
          <t>N90</t>
        </is>
      </c>
      <c r="L403" t="inlineStr">
        <is>
          <t>(AP) NAFIN 90 Dias</t>
        </is>
      </c>
      <c r="M403" t="n">
        <v>10000160</v>
      </c>
      <c r="N403" t="inlineStr">
        <is>
          <t>Arena Triturada Andesita Malla 4</t>
        </is>
      </c>
      <c r="O403" t="inlineStr">
        <is>
          <t>D836</t>
        </is>
      </c>
      <c r="P403" t="inlineStr">
        <is>
          <t>MX-CED. CENTRO</t>
        </is>
      </c>
      <c r="Q403" t="n">
        <v>20141106</v>
      </c>
      <c r="R403" t="n">
        <v>20281231</v>
      </c>
      <c r="S403" t="n">
        <v>20200928</v>
      </c>
      <c r="T403" t="n">
        <v>20291231</v>
      </c>
      <c r="U403" t="n">
        <v>482.92</v>
      </c>
      <c r="V403" t="inlineStr">
        <is>
          <t>MXN</t>
        </is>
      </c>
      <c r="W403" t="inlineStr">
        <is>
          <t>M3</t>
        </is>
      </c>
      <c r="X403" t="n">
        <v>372.92</v>
      </c>
      <c r="Y403" t="inlineStr">
        <is>
          <t>MXN</t>
        </is>
      </c>
      <c r="Z403" t="inlineStr">
        <is>
          <t>M3</t>
        </is>
      </c>
      <c r="AA403" t="inlineStr">
        <is>
          <t>66897867</t>
        </is>
      </c>
      <c r="AB403" t="inlineStr">
        <is>
          <t>LATONEROS 84</t>
        </is>
      </c>
      <c r="AC403" t="n">
        <v>56103638</v>
      </c>
      <c r="AD403" t="n">
        <v>6622261540</v>
      </c>
      <c r="AE403" t="n">
        <v>4</v>
      </c>
      <c r="AF403" t="inlineStr">
        <is>
          <t>ENTREGA DIRECTA</t>
        </is>
      </c>
      <c r="AG403" t="n">
        <v>1.409</v>
      </c>
      <c r="AH403" t="inlineStr">
        <is>
          <t>M3</t>
        </is>
      </c>
      <c r="AI403" t="inlineStr">
        <is>
          <t>X</t>
        </is>
      </c>
      <c r="AJ403" t="n">
        <v>4</v>
      </c>
      <c r="AK403" t="inlineStr">
        <is>
          <t>V4</t>
        </is>
      </c>
      <c r="AL403" t="n">
        <v>20230920</v>
      </c>
      <c r="AM403" t="inlineStr">
        <is>
          <t>D836-900002574-66897867-10000160-4</t>
        </is>
      </c>
    </row>
    <row r="404">
      <c r="A404" t="inlineStr">
        <is>
          <t>900002574D8366691627910000133</t>
        </is>
      </c>
      <c r="B404" t="inlineStr">
        <is>
          <t>4600027590-1840</t>
        </is>
      </c>
      <c r="C404" t="n">
        <v>4600027590</v>
      </c>
      <c r="D404" t="n">
        <v>1840</v>
      </c>
      <c r="E404" t="inlineStr">
        <is>
          <t>MXPO</t>
        </is>
      </c>
      <c r="F404" t="inlineStr">
        <is>
          <t>M02</t>
        </is>
      </c>
      <c r="G404" t="n">
        <v>900002574</v>
      </c>
      <c r="H404" t="inlineStr">
        <is>
          <t>TP-ED-OLIELL</t>
        </is>
      </c>
      <c r="I404" t="n">
        <v>5048484</v>
      </c>
      <c r="J404" t="inlineStr">
        <is>
          <t>COMERCIALIZADORA Y TRANSPORTADORA O</t>
        </is>
      </c>
      <c r="K404" t="inlineStr">
        <is>
          <t>N90</t>
        </is>
      </c>
      <c r="L404" t="inlineStr">
        <is>
          <t>(AP) NAFIN 90 Dias</t>
        </is>
      </c>
      <c r="M404" t="n">
        <v>10000133</v>
      </c>
      <c r="N404" t="inlineStr">
        <is>
          <t>Grava Triturada Caliza 20 mm - 3/4"</t>
        </is>
      </c>
      <c r="O404" t="inlineStr">
        <is>
          <t>D836</t>
        </is>
      </c>
      <c r="P404" t="inlineStr">
        <is>
          <t>MX-CED. CENTRO</t>
        </is>
      </c>
      <c r="Q404" t="n">
        <v>20141106</v>
      </c>
      <c r="R404" t="n">
        <v>20281231</v>
      </c>
      <c r="S404" t="n">
        <v>20201117</v>
      </c>
      <c r="T404" t="n">
        <v>20291231</v>
      </c>
      <c r="U404" t="n">
        <v>663.79</v>
      </c>
      <c r="V404" t="inlineStr">
        <is>
          <t>MXN</t>
        </is>
      </c>
      <c r="W404" t="inlineStr">
        <is>
          <t>M3</t>
        </is>
      </c>
      <c r="X404" t="n">
        <v>510.69</v>
      </c>
      <c r="Y404" t="inlineStr">
        <is>
          <t>MXN</t>
        </is>
      </c>
      <c r="Z404" t="inlineStr">
        <is>
          <t>M3</t>
        </is>
      </c>
      <c r="AA404" t="inlineStr">
        <is>
          <t>66916279</t>
        </is>
      </c>
      <c r="AB404" t="inlineStr">
        <is>
          <t>autopista cuajimalpa naucalpan</t>
        </is>
      </c>
      <c r="AC404" t="n">
        <v>56103637</v>
      </c>
      <c r="AD404" t="n">
        <v>6622261540</v>
      </c>
      <c r="AE404" t="n">
        <v>4</v>
      </c>
      <c r="AF404" t="inlineStr">
        <is>
          <t>ENTREGA DIRECTA</t>
        </is>
      </c>
      <c r="AG404" t="n">
        <v>1.46</v>
      </c>
      <c r="AH404" t="inlineStr">
        <is>
          <t>M3</t>
        </is>
      </c>
      <c r="AI404" t="inlineStr">
        <is>
          <t>X</t>
        </is>
      </c>
      <c r="AJ404" t="n">
        <v>4</v>
      </c>
      <c r="AK404" t="inlineStr">
        <is>
          <t>V4</t>
        </is>
      </c>
      <c r="AL404" t="n">
        <v>20230920</v>
      </c>
      <c r="AM404" t="inlineStr">
        <is>
          <t>D836-900002574-66916279-10000133-4</t>
        </is>
      </c>
    </row>
    <row r="405">
      <c r="A405" t="inlineStr">
        <is>
          <t>900002574D8366685220610000357</t>
        </is>
      </c>
      <c r="B405" t="inlineStr">
        <is>
          <t>4600027590-770</t>
        </is>
      </c>
      <c r="C405" t="n">
        <v>4600027590</v>
      </c>
      <c r="D405" t="n">
        <v>770</v>
      </c>
      <c r="E405" t="inlineStr">
        <is>
          <t>MXPO</t>
        </is>
      </c>
      <c r="F405" t="inlineStr">
        <is>
          <t>M02</t>
        </is>
      </c>
      <c r="G405" t="n">
        <v>900002574</v>
      </c>
      <c r="H405" t="inlineStr">
        <is>
          <t>TP-ED-OLIELL</t>
        </is>
      </c>
      <c r="I405" t="n">
        <v>5048484</v>
      </c>
      <c r="J405" t="inlineStr">
        <is>
          <t>COMERCIALIZADORA Y TRANSPORTADORA O</t>
        </is>
      </c>
      <c r="K405" t="inlineStr">
        <is>
          <t>N90</t>
        </is>
      </c>
      <c r="L405" t="inlineStr">
        <is>
          <t>(AP) NAFIN 90 Dias</t>
        </is>
      </c>
      <c r="M405" t="n">
        <v>10000357</v>
      </c>
      <c r="N405" t="inlineStr">
        <is>
          <t>Grava Triturada Andesita 20 mm - 3/4"</t>
        </is>
      </c>
      <c r="O405" t="inlineStr">
        <is>
          <t>D836</t>
        </is>
      </c>
      <c r="P405" t="inlineStr">
        <is>
          <t>MX-CED. CENTRO</t>
        </is>
      </c>
      <c r="Q405" t="n">
        <v>20141106</v>
      </c>
      <c r="R405" t="n">
        <v>20281231</v>
      </c>
      <c r="S405" t="n">
        <v>20210120</v>
      </c>
      <c r="T405" t="n">
        <v>20291231</v>
      </c>
      <c r="U405" t="n">
        <v>422.41</v>
      </c>
      <c r="V405" t="inlineStr">
        <is>
          <t>MXN</t>
        </is>
      </c>
      <c r="W405" t="inlineStr">
        <is>
          <t>M3</t>
        </is>
      </c>
      <c r="X405" t="n">
        <v>303</v>
      </c>
      <c r="Y405" t="inlineStr">
        <is>
          <t>MXN</t>
        </is>
      </c>
      <c r="Z405" t="inlineStr">
        <is>
          <t>M3</t>
        </is>
      </c>
      <c r="AA405" t="inlineStr">
        <is>
          <t>66852206</t>
        </is>
      </c>
      <c r="AB405" t="inlineStr">
        <is>
          <t>VT01802 CPI DR. VERTIZ</t>
        </is>
      </c>
      <c r="AC405" t="n">
        <v>56103637</v>
      </c>
      <c r="AD405" t="n">
        <v>6622261540</v>
      </c>
      <c r="AE405" t="n">
        <v>4</v>
      </c>
      <c r="AF405" t="inlineStr">
        <is>
          <t>ENTREGA DIRECTA</t>
        </is>
      </c>
      <c r="AG405" t="n">
        <v>1.326</v>
      </c>
      <c r="AH405" t="inlineStr">
        <is>
          <t>M3</t>
        </is>
      </c>
      <c r="AI405" t="inlineStr">
        <is>
          <t>X</t>
        </is>
      </c>
      <c r="AJ405" t="n">
        <v>4</v>
      </c>
      <c r="AK405" t="inlineStr">
        <is>
          <t>V4</t>
        </is>
      </c>
      <c r="AL405" t="n">
        <v>20230920</v>
      </c>
      <c r="AM405" t="inlineStr">
        <is>
          <t>D836-900002574-66852206-10000357-4</t>
        </is>
      </c>
    </row>
    <row r="406">
      <c r="A406" t="inlineStr">
        <is>
          <t>900002574D8366687339010000357</t>
        </is>
      </c>
      <c r="B406" t="inlineStr">
        <is>
          <t>4600027590-1090</t>
        </is>
      </c>
      <c r="C406" t="n">
        <v>4600027590</v>
      </c>
      <c r="D406" t="n">
        <v>1090</v>
      </c>
      <c r="E406" t="inlineStr">
        <is>
          <t>MXPO</t>
        </is>
      </c>
      <c r="F406" t="inlineStr">
        <is>
          <t>M02</t>
        </is>
      </c>
      <c r="G406" t="n">
        <v>900002574</v>
      </c>
      <c r="H406" t="inlineStr">
        <is>
          <t>TP-ED-OLIELL</t>
        </is>
      </c>
      <c r="I406" t="n">
        <v>5048484</v>
      </c>
      <c r="J406" t="inlineStr">
        <is>
          <t>COMERCIALIZADORA Y TRANSPORTADORA O</t>
        </is>
      </c>
      <c r="K406" t="inlineStr">
        <is>
          <t>N90</t>
        </is>
      </c>
      <c r="L406" t="inlineStr">
        <is>
          <t>(AP) NAFIN 90 Dias</t>
        </is>
      </c>
      <c r="M406" t="n">
        <v>10000357</v>
      </c>
      <c r="N406" t="inlineStr">
        <is>
          <t>Grava Triturada Andesita 20 mm - 3/4"</t>
        </is>
      </c>
      <c r="O406" t="inlineStr">
        <is>
          <t>D836</t>
        </is>
      </c>
      <c r="P406" t="inlineStr">
        <is>
          <t>MX-CED. CENTRO</t>
        </is>
      </c>
      <c r="Q406" t="n">
        <v>20141106</v>
      </c>
      <c r="R406" t="n">
        <v>20281231</v>
      </c>
      <c r="S406" t="n">
        <v>20200630</v>
      </c>
      <c r="T406" t="n">
        <v>20291231</v>
      </c>
      <c r="U406" t="n">
        <v>344.85</v>
      </c>
      <c r="V406" t="inlineStr">
        <is>
          <t>MXN</t>
        </is>
      </c>
      <c r="W406" t="inlineStr">
        <is>
          <t>M3</t>
        </is>
      </c>
      <c r="X406" t="n">
        <v>230</v>
      </c>
      <c r="Y406" t="inlineStr">
        <is>
          <t>MXN</t>
        </is>
      </c>
      <c r="Z406" t="inlineStr">
        <is>
          <t>M3</t>
        </is>
      </c>
      <c r="AA406" t="inlineStr">
        <is>
          <t>66873390</t>
        </is>
      </c>
      <c r="AB406" t="inlineStr">
        <is>
          <t>PCO AMORES 1126</t>
        </is>
      </c>
      <c r="AC406" t="n">
        <v>56103637</v>
      </c>
      <c r="AD406" t="n">
        <v>6622261540</v>
      </c>
      <c r="AE406" t="n">
        <v>4</v>
      </c>
      <c r="AF406" t="inlineStr">
        <is>
          <t>ENTREGA DIRECTA</t>
        </is>
      </c>
      <c r="AG406" t="n">
        <v>1.326</v>
      </c>
      <c r="AH406" t="inlineStr">
        <is>
          <t>M3</t>
        </is>
      </c>
      <c r="AI406" t="inlineStr">
        <is>
          <t>X</t>
        </is>
      </c>
      <c r="AJ406" t="n">
        <v>4</v>
      </c>
      <c r="AK406" t="inlineStr">
        <is>
          <t>V4</t>
        </is>
      </c>
      <c r="AL406" t="n">
        <v>20230920</v>
      </c>
      <c r="AM406" t="inlineStr">
        <is>
          <t>D836-900002574-66873390-10000357-4</t>
        </is>
      </c>
    </row>
    <row r="407">
      <c r="A407" t="inlineStr">
        <is>
          <t>900002574D8366681575010000160</t>
        </is>
      </c>
      <c r="B407" t="inlineStr">
        <is>
          <t>4600027590-330</t>
        </is>
      </c>
      <c r="C407" t="n">
        <v>4600027590</v>
      </c>
      <c r="D407" t="n">
        <v>330</v>
      </c>
      <c r="E407" t="inlineStr">
        <is>
          <t>MXPO</t>
        </is>
      </c>
      <c r="F407" t="inlineStr">
        <is>
          <t>M02</t>
        </is>
      </c>
      <c r="G407" t="n">
        <v>900002574</v>
      </c>
      <c r="H407" t="inlineStr">
        <is>
          <t>TP-ED-OLIELL</t>
        </is>
      </c>
      <c r="I407" t="n">
        <v>5048484</v>
      </c>
      <c r="J407" t="inlineStr">
        <is>
          <t>COMERCIALIZADORA Y TRANSPORTADORA O</t>
        </is>
      </c>
      <c r="K407" t="inlineStr">
        <is>
          <t>N90</t>
        </is>
      </c>
      <c r="L407" t="inlineStr">
        <is>
          <t>(AP) NAFIN 90 Dias</t>
        </is>
      </c>
      <c r="M407" t="n">
        <v>10000160</v>
      </c>
      <c r="N407" t="inlineStr">
        <is>
          <t>Arena Triturada Andesita Malla 4</t>
        </is>
      </c>
      <c r="O407" t="inlineStr">
        <is>
          <t>D836</t>
        </is>
      </c>
      <c r="P407" t="inlineStr">
        <is>
          <t>MX-CED. CENTRO</t>
        </is>
      </c>
      <c r="Q407" t="n">
        <v>20141106</v>
      </c>
      <c r="R407" t="n">
        <v>20281231</v>
      </c>
      <c r="S407" t="n">
        <v>20191007</v>
      </c>
      <c r="T407" t="n">
        <v>20241231</v>
      </c>
      <c r="U407" t="n">
        <v>375</v>
      </c>
      <c r="V407" t="inlineStr">
        <is>
          <t>MXN</t>
        </is>
      </c>
      <c r="W407" t="inlineStr">
        <is>
          <t>M3</t>
        </is>
      </c>
      <c r="X407" t="n">
        <v>187.5</v>
      </c>
      <c r="Y407" t="inlineStr">
        <is>
          <t>MXN</t>
        </is>
      </c>
      <c r="Z407" t="inlineStr">
        <is>
          <t>M3</t>
        </is>
      </c>
      <c r="AA407" t="inlineStr">
        <is>
          <t>66815750</t>
        </is>
      </c>
      <c r="AB407" t="inlineStr">
        <is>
          <t>BODEGA POSTES 29 (SEBJ)</t>
        </is>
      </c>
      <c r="AC407" t="n">
        <v>56103638</v>
      </c>
      <c r="AD407" t="n">
        <v>6622261540</v>
      </c>
      <c r="AE407" t="n">
        <v>4</v>
      </c>
      <c r="AF407" t="inlineStr">
        <is>
          <t>ENTREGA DIRECTA</t>
        </is>
      </c>
      <c r="AG407" t="n">
        <v>1.409</v>
      </c>
      <c r="AH407" t="inlineStr">
        <is>
          <t>M3</t>
        </is>
      </c>
      <c r="AI407" t="inlineStr">
        <is>
          <t>X</t>
        </is>
      </c>
      <c r="AJ407" t="n">
        <v>4</v>
      </c>
      <c r="AK407" t="inlineStr">
        <is>
          <t>V4</t>
        </is>
      </c>
      <c r="AL407" t="n">
        <v>20230920</v>
      </c>
      <c r="AM407" t="inlineStr">
        <is>
          <t>D836-900002574-66815750-10000160-4</t>
        </is>
      </c>
    </row>
    <row r="408">
      <c r="A408" t="inlineStr">
        <is>
          <t>900002574D8366660042210000160</t>
        </is>
      </c>
      <c r="B408" t="inlineStr">
        <is>
          <t>4600027590-240</t>
        </is>
      </c>
      <c r="C408" t="n">
        <v>4600027590</v>
      </c>
      <c r="D408" t="n">
        <v>240</v>
      </c>
      <c r="E408" t="inlineStr">
        <is>
          <t>MXPO</t>
        </is>
      </c>
      <c r="F408" t="inlineStr">
        <is>
          <t>M02</t>
        </is>
      </c>
      <c r="G408" t="n">
        <v>900002574</v>
      </c>
      <c r="H408" t="inlineStr">
        <is>
          <t>TP-ED-OLIELL</t>
        </is>
      </c>
      <c r="I408" t="n">
        <v>5048484</v>
      </c>
      <c r="J408" t="inlineStr">
        <is>
          <t>COMERCIALIZADORA Y TRANSPORTADORA O</t>
        </is>
      </c>
      <c r="K408" t="inlineStr">
        <is>
          <t>N90</t>
        </is>
      </c>
      <c r="L408" t="inlineStr">
        <is>
          <t>(AP) NAFIN 90 Dias</t>
        </is>
      </c>
      <c r="M408" t="n">
        <v>10000160</v>
      </c>
      <c r="N408" t="inlineStr">
        <is>
          <t>Arena Triturada Andesita Malla 4</t>
        </is>
      </c>
      <c r="O408" t="inlineStr">
        <is>
          <t>D836</t>
        </is>
      </c>
      <c r="P408" t="inlineStr">
        <is>
          <t>MX-CED. CENTRO</t>
        </is>
      </c>
      <c r="Q408" t="n">
        <v>20141106</v>
      </c>
      <c r="R408" t="n">
        <v>20281231</v>
      </c>
      <c r="S408" t="n">
        <v>20190919</v>
      </c>
      <c r="T408" t="n">
        <v>20241231</v>
      </c>
      <c r="U408" t="n">
        <v>318.96</v>
      </c>
      <c r="V408" t="inlineStr">
        <is>
          <t>MXN</t>
        </is>
      </c>
      <c r="W408" t="inlineStr">
        <is>
          <t>M3</t>
        </is>
      </c>
      <c r="X408" t="n">
        <v>159.48</v>
      </c>
      <c r="Y408" t="inlineStr">
        <is>
          <t>MXN</t>
        </is>
      </c>
      <c r="Z408" t="inlineStr">
        <is>
          <t>M3</t>
        </is>
      </c>
      <c r="AA408" t="inlineStr">
        <is>
          <t>66600422</t>
        </is>
      </c>
      <c r="AB408" t="inlineStr">
        <is>
          <t>SAN FELIPE 226</t>
        </is>
      </c>
      <c r="AC408" t="n">
        <v>56103638</v>
      </c>
      <c r="AD408" t="n">
        <v>6622261540</v>
      </c>
      <c r="AE408" t="n">
        <v>4</v>
      </c>
      <c r="AF408" t="inlineStr">
        <is>
          <t>ENTREGA DIRECTA</t>
        </is>
      </c>
      <c r="AG408" t="n">
        <v>1.409</v>
      </c>
      <c r="AH408" t="inlineStr">
        <is>
          <t>M3</t>
        </is>
      </c>
      <c r="AI408" t="inlineStr">
        <is>
          <t>X</t>
        </is>
      </c>
      <c r="AJ408" t="n">
        <v>4</v>
      </c>
      <c r="AK408" t="inlineStr">
        <is>
          <t>V4</t>
        </is>
      </c>
      <c r="AL408" t="n">
        <v>20230920</v>
      </c>
      <c r="AM408" t="inlineStr">
        <is>
          <t>D836-900002574-66600422-10000160-4</t>
        </is>
      </c>
    </row>
    <row r="409">
      <c r="A409" t="inlineStr">
        <is>
          <t>900002574D8366714860610058345</t>
        </is>
      </c>
      <c r="B409" t="inlineStr">
        <is>
          <t>4600027590-2410</t>
        </is>
      </c>
      <c r="C409" t="n">
        <v>4600027590</v>
      </c>
      <c r="D409" t="n">
        <v>2410</v>
      </c>
      <c r="E409" t="inlineStr">
        <is>
          <t>MXPO</t>
        </is>
      </c>
      <c r="F409" t="inlineStr">
        <is>
          <t>M02</t>
        </is>
      </c>
      <c r="G409" t="n">
        <v>900002574</v>
      </c>
      <c r="H409" t="inlineStr">
        <is>
          <t>TP-ED-OLIELL</t>
        </is>
      </c>
      <c r="I409" t="n">
        <v>5048484</v>
      </c>
      <c r="J409" t="inlineStr">
        <is>
          <t>COMERCIALIZADORA Y TRANSPORTADORA O</t>
        </is>
      </c>
      <c r="K409" t="inlineStr">
        <is>
          <t>N90</t>
        </is>
      </c>
      <c r="L409" t="inlineStr">
        <is>
          <t>(AP) NAFIN 90 Dias</t>
        </is>
      </c>
      <c r="M409" t="n">
        <v>10058345</v>
      </c>
      <c r="N409" t="inlineStr">
        <is>
          <t>Arena Triturada Caliza Malla 4</t>
        </is>
      </c>
      <c r="O409" t="inlineStr">
        <is>
          <t>D836</t>
        </is>
      </c>
      <c r="P409" t="inlineStr">
        <is>
          <t>MX-CED. CENTRO</t>
        </is>
      </c>
      <c r="Q409" t="n">
        <v>20141106</v>
      </c>
      <c r="R409" t="n">
        <v>20281231</v>
      </c>
      <c r="S409" t="n">
        <v>20230523</v>
      </c>
      <c r="T409" t="n">
        <v>20281231</v>
      </c>
      <c r="U409" t="n">
        <v>936</v>
      </c>
      <c r="V409" t="inlineStr">
        <is>
          <t>MXN</t>
        </is>
      </c>
      <c r="W409" t="inlineStr">
        <is>
          <t>M3</t>
        </is>
      </c>
      <c r="X409" t="n">
        <v>336</v>
      </c>
      <c r="Y409" t="inlineStr">
        <is>
          <t>MXN</t>
        </is>
      </c>
      <c r="Z409" t="inlineStr">
        <is>
          <t>M3</t>
        </is>
      </c>
      <c r="AA409" t="inlineStr">
        <is>
          <t>67148606</t>
        </is>
      </c>
      <c r="AB409" t="inlineStr">
        <is>
          <t>REMODELACIÓN BODEGA AURRERA</t>
        </is>
      </c>
      <c r="AC409" t="n">
        <v>56103638</v>
      </c>
      <c r="AD409" t="n">
        <v>6622261540</v>
      </c>
      <c r="AE409" t="n">
        <v>4</v>
      </c>
      <c r="AF409" t="inlineStr">
        <is>
          <t>ENTREGA DIRECTA</t>
        </is>
      </c>
      <c r="AG409" t="n">
        <v>1.575</v>
      </c>
      <c r="AH409" t="inlineStr">
        <is>
          <t>M3</t>
        </is>
      </c>
      <c r="AI409" t="inlineStr">
        <is>
          <t>X</t>
        </is>
      </c>
      <c r="AJ409" t="n">
        <v>4</v>
      </c>
      <c r="AK409" t="inlineStr">
        <is>
          <t>V4</t>
        </is>
      </c>
      <c r="AL409" t="n">
        <v>20230920</v>
      </c>
      <c r="AM409" t="inlineStr">
        <is>
          <t>D836-900002574-67148606-10058345-4</t>
        </is>
      </c>
    </row>
    <row r="410">
      <c r="A410" t="inlineStr">
        <is>
          <t>900002574D8366681118910000357</t>
        </is>
      </c>
      <c r="B410" t="inlineStr">
        <is>
          <t>4600027590-410</t>
        </is>
      </c>
      <c r="C410" t="n">
        <v>4600027590</v>
      </c>
      <c r="D410" t="n">
        <v>410</v>
      </c>
      <c r="E410" t="inlineStr">
        <is>
          <t>MXPO</t>
        </is>
      </c>
      <c r="F410" t="inlineStr">
        <is>
          <t>M02</t>
        </is>
      </c>
      <c r="G410" t="n">
        <v>900002574</v>
      </c>
      <c r="H410" t="inlineStr">
        <is>
          <t>TP-ED-OLIELL</t>
        </is>
      </c>
      <c r="I410" t="n">
        <v>5048484</v>
      </c>
      <c r="J410" t="inlineStr">
        <is>
          <t>COMERCIALIZADORA Y TRANSPORTADORA O</t>
        </is>
      </c>
      <c r="K410" t="inlineStr">
        <is>
          <t>N90</t>
        </is>
      </c>
      <c r="L410" t="inlineStr">
        <is>
          <t>(AP) NAFIN 90 Dias</t>
        </is>
      </c>
      <c r="M410" t="n">
        <v>10000357</v>
      </c>
      <c r="N410" t="inlineStr">
        <is>
          <t>Grava Triturada Andesita 20 mm - 3/4"</t>
        </is>
      </c>
      <c r="O410" t="inlineStr">
        <is>
          <t>D836</t>
        </is>
      </c>
      <c r="P410" t="inlineStr">
        <is>
          <t>MX-CED. CENTRO</t>
        </is>
      </c>
      <c r="Q410" t="n">
        <v>20141106</v>
      </c>
      <c r="R410" t="n">
        <v>20281231</v>
      </c>
      <c r="S410" t="n">
        <v>20191029</v>
      </c>
      <c r="T410" t="n">
        <v>20241231</v>
      </c>
      <c r="U410" t="n">
        <v>449</v>
      </c>
      <c r="V410" t="inlineStr">
        <is>
          <t>MXN</t>
        </is>
      </c>
      <c r="W410" t="inlineStr">
        <is>
          <t>M3</t>
        </is>
      </c>
      <c r="X410" t="n">
        <v>224.5</v>
      </c>
      <c r="Y410" t="inlineStr">
        <is>
          <t>MXN</t>
        </is>
      </c>
      <c r="Z410" t="inlineStr">
        <is>
          <t>M3</t>
        </is>
      </c>
      <c r="AA410" t="inlineStr">
        <is>
          <t>66811189</t>
        </is>
      </c>
      <c r="AB410" t="inlineStr">
        <is>
          <t>CDA SAN CARLOS</t>
        </is>
      </c>
      <c r="AC410" t="n">
        <v>56103637</v>
      </c>
      <c r="AD410" t="n">
        <v>6622261540</v>
      </c>
      <c r="AE410" t="n">
        <v>4</v>
      </c>
      <c r="AF410" t="inlineStr">
        <is>
          <t>ENTREGA DIRECTA</t>
        </is>
      </c>
      <c r="AG410" t="n">
        <v>1.326</v>
      </c>
      <c r="AH410" t="inlineStr">
        <is>
          <t>M3</t>
        </is>
      </c>
      <c r="AI410" t="inlineStr">
        <is>
          <t>X</t>
        </is>
      </c>
      <c r="AJ410" t="n">
        <v>4</v>
      </c>
      <c r="AK410" t="inlineStr">
        <is>
          <t>V4</t>
        </is>
      </c>
      <c r="AL410" t="n">
        <v>20230920</v>
      </c>
      <c r="AM410" t="inlineStr">
        <is>
          <t>D836-900002574-66811189-10000357-4</t>
        </is>
      </c>
    </row>
    <row r="411">
      <c r="A411" t="inlineStr">
        <is>
          <t>900002574D8366643351110000133</t>
        </is>
      </c>
      <c r="B411" t="inlineStr">
        <is>
          <t>4600027590-2380</t>
        </is>
      </c>
      <c r="C411" t="n">
        <v>4600027590</v>
      </c>
      <c r="D411" t="n">
        <v>2380</v>
      </c>
      <c r="E411" t="inlineStr">
        <is>
          <t>MXPO</t>
        </is>
      </c>
      <c r="F411" t="inlineStr">
        <is>
          <t>M02</t>
        </is>
      </c>
      <c r="G411" t="n">
        <v>900002574</v>
      </c>
      <c r="H411" t="inlineStr">
        <is>
          <t>TP-ED-OLIELL</t>
        </is>
      </c>
      <c r="I411" t="n">
        <v>5048484</v>
      </c>
      <c r="J411" t="inlineStr">
        <is>
          <t>COMERCIALIZADORA Y TRANSPORTADORA O</t>
        </is>
      </c>
      <c r="K411" t="inlineStr">
        <is>
          <t>N90</t>
        </is>
      </c>
      <c r="L411" t="inlineStr">
        <is>
          <t>(AP) NAFIN 90 Dias</t>
        </is>
      </c>
      <c r="M411" t="n">
        <v>10000133</v>
      </c>
      <c r="N411" t="inlineStr">
        <is>
          <t>Grava Triturada Caliza 20 mm - 3/4"</t>
        </is>
      </c>
      <c r="O411" t="inlineStr">
        <is>
          <t>D836</t>
        </is>
      </c>
      <c r="P411" t="inlineStr">
        <is>
          <t>MX-CED. CENTRO</t>
        </is>
      </c>
      <c r="Q411" t="n">
        <v>20141106</v>
      </c>
      <c r="R411" t="n">
        <v>20281231</v>
      </c>
      <c r="S411" t="n">
        <v>20230509</v>
      </c>
      <c r="T411" t="n">
        <v>20281231</v>
      </c>
      <c r="U411" t="n">
        <v>825</v>
      </c>
      <c r="V411" t="inlineStr">
        <is>
          <t>MXN</t>
        </is>
      </c>
      <c r="W411" t="inlineStr">
        <is>
          <t>M3</t>
        </is>
      </c>
      <c r="X411" t="n">
        <v>75</v>
      </c>
      <c r="Y411" t="inlineStr">
        <is>
          <t>MXN</t>
        </is>
      </c>
      <c r="Z411" t="inlineStr">
        <is>
          <t>M3</t>
        </is>
      </c>
      <c r="AA411" t="inlineStr">
        <is>
          <t>66433511</t>
        </is>
      </c>
      <c r="AB411" t="inlineStr">
        <is>
          <t>OBRA AGR HUDASA CHILUCA</t>
        </is>
      </c>
      <c r="AC411" t="n">
        <v>56103637</v>
      </c>
      <c r="AD411" t="n">
        <v>6622261540</v>
      </c>
      <c r="AE411" t="n">
        <v>4</v>
      </c>
      <c r="AF411" t="inlineStr">
        <is>
          <t>ENTREGA DIRECTA</t>
        </is>
      </c>
      <c r="AG411" t="n">
        <v>1.46</v>
      </c>
      <c r="AH411" t="inlineStr">
        <is>
          <t>M3</t>
        </is>
      </c>
      <c r="AI411" t="inlineStr">
        <is>
          <t>X</t>
        </is>
      </c>
      <c r="AJ411" t="n">
        <v>4</v>
      </c>
      <c r="AK411" t="inlineStr">
        <is>
          <t>V4</t>
        </is>
      </c>
      <c r="AL411" t="n">
        <v>20230920</v>
      </c>
      <c r="AM411" t="inlineStr">
        <is>
          <t>D836-900002574-66433511-10000133-4</t>
        </is>
      </c>
    </row>
    <row r="412">
      <c r="A412" t="inlineStr">
        <is>
          <t>900002574D8366700791710189325</t>
        </is>
      </c>
      <c r="B412" t="inlineStr">
        <is>
          <t>4600027590-2420</t>
        </is>
      </c>
      <c r="C412" t="n">
        <v>4600027590</v>
      </c>
      <c r="D412" t="n">
        <v>2420</v>
      </c>
      <c r="E412" t="inlineStr">
        <is>
          <t>MXPO</t>
        </is>
      </c>
      <c r="F412" t="inlineStr">
        <is>
          <t>M02</t>
        </is>
      </c>
      <c r="G412" t="n">
        <v>900002574</v>
      </c>
      <c r="H412" t="inlineStr">
        <is>
          <t>TP-ED-OLIELL</t>
        </is>
      </c>
      <c r="I412" t="n">
        <v>5048484</v>
      </c>
      <c r="J412" t="inlineStr">
        <is>
          <t>COMERCIALIZADORA Y TRANSPORTADORA O</t>
        </is>
      </c>
      <c r="K412" t="inlineStr">
        <is>
          <t>N90</t>
        </is>
      </c>
      <c r="L412" t="inlineStr">
        <is>
          <t>(AP) NAFIN 90 Dias</t>
        </is>
      </c>
      <c r="M412" t="n">
        <v>10189325</v>
      </c>
      <c r="N412" t="inlineStr">
        <is>
          <t>GRAVA TRITURADA TEZONTLE 10MM - 3/8"</t>
        </is>
      </c>
      <c r="O412" t="inlineStr">
        <is>
          <t>D836</t>
        </is>
      </c>
      <c r="P412" t="inlineStr">
        <is>
          <t>MX-CED. CENTRO</t>
        </is>
      </c>
      <c r="Q412" t="n">
        <v>20141106</v>
      </c>
      <c r="R412" t="n">
        <v>20281231</v>
      </c>
      <c r="S412" t="n">
        <v>20230530</v>
      </c>
      <c r="T412" t="n">
        <v>20281231</v>
      </c>
      <c r="U412" t="n">
        <v>650</v>
      </c>
      <c r="V412" t="inlineStr">
        <is>
          <t>MXN</t>
        </is>
      </c>
      <c r="W412" t="inlineStr">
        <is>
          <t>M3</t>
        </is>
      </c>
      <c r="X412" t="n">
        <v>300</v>
      </c>
      <c r="Y412" t="inlineStr">
        <is>
          <t>MXN</t>
        </is>
      </c>
      <c r="Z412" t="inlineStr">
        <is>
          <t>M3</t>
        </is>
      </c>
      <c r="AA412" t="inlineStr">
        <is>
          <t>67007917</t>
        </is>
      </c>
      <c r="AB412" t="inlineStr">
        <is>
          <t>PASO ANCHO 136 (SEBJ)</t>
        </is>
      </c>
      <c r="AC412" t="n">
        <v>56103637</v>
      </c>
      <c r="AD412" t="n">
        <v>6622261540</v>
      </c>
      <c r="AE412" t="n">
        <v>4</v>
      </c>
      <c r="AF412" t="inlineStr">
        <is>
          <t>ENTREGA DIRECTA</t>
        </is>
      </c>
      <c r="AG412" t="n">
        <v>1.3</v>
      </c>
      <c r="AH412" t="inlineStr">
        <is>
          <t>M3</t>
        </is>
      </c>
      <c r="AI412" t="inlineStr">
        <is>
          <t>X</t>
        </is>
      </c>
      <c r="AJ412" t="n">
        <v>4</v>
      </c>
      <c r="AK412" t="inlineStr">
        <is>
          <t>V4</t>
        </is>
      </c>
      <c r="AL412" t="n">
        <v>20230920</v>
      </c>
      <c r="AM412" t="inlineStr">
        <is>
          <t>D836-900002574-67007917-10189325-4</t>
        </is>
      </c>
    </row>
    <row r="413">
      <c r="A413" t="inlineStr">
        <is>
          <t>900002574D8366682335210145835</t>
        </is>
      </c>
      <c r="B413" t="inlineStr">
        <is>
          <t>4600027590-520</t>
        </is>
      </c>
      <c r="C413" t="n">
        <v>4600027590</v>
      </c>
      <c r="D413" t="n">
        <v>520</v>
      </c>
      <c r="E413" t="inlineStr">
        <is>
          <t>MXPO</t>
        </is>
      </c>
      <c r="F413" t="inlineStr">
        <is>
          <t>M02</t>
        </is>
      </c>
      <c r="G413" t="n">
        <v>900002574</v>
      </c>
      <c r="H413" t="inlineStr">
        <is>
          <t>TP-ED-OLIELL</t>
        </is>
      </c>
      <c r="I413" t="n">
        <v>5048484</v>
      </c>
      <c r="J413" t="inlineStr">
        <is>
          <t>COMERCIALIZADORA Y TRANSPORTADORA O</t>
        </is>
      </c>
      <c r="K413" t="inlineStr">
        <is>
          <t>N90</t>
        </is>
      </c>
      <c r="L413" t="inlineStr">
        <is>
          <t>(AP) NAFIN 90 Dias</t>
        </is>
      </c>
      <c r="M413" t="n">
        <v>10145835</v>
      </c>
      <c r="N413" t="inlineStr">
        <is>
          <t>BALASTO TRITURADO BASALTO</t>
        </is>
      </c>
      <c r="O413" t="inlineStr">
        <is>
          <t>D836</t>
        </is>
      </c>
      <c r="P413" t="inlineStr">
        <is>
          <t>MX-CED. CENTRO</t>
        </is>
      </c>
      <c r="Q413" t="n">
        <v>20141106</v>
      </c>
      <c r="R413" t="n">
        <v>20281231</v>
      </c>
      <c r="S413" t="n">
        <v>20191127</v>
      </c>
      <c r="T413" t="n">
        <v>20241231</v>
      </c>
      <c r="U413" t="n">
        <v>750</v>
      </c>
      <c r="V413" t="inlineStr">
        <is>
          <t>MXN</t>
        </is>
      </c>
      <c r="W413" t="inlineStr">
        <is>
          <t>M3</t>
        </is>
      </c>
      <c r="X413" t="n">
        <v>375</v>
      </c>
      <c r="Y413" t="inlineStr">
        <is>
          <t>MXN</t>
        </is>
      </c>
      <c r="Z413" t="inlineStr">
        <is>
          <t>M3</t>
        </is>
      </c>
      <c r="AA413" t="inlineStr">
        <is>
          <t>66823352</t>
        </is>
      </c>
      <c r="AB413" t="inlineStr">
        <is>
          <t>CTO. NIÑOS HEROES</t>
        </is>
      </c>
      <c r="AC413" t="n">
        <v>56103591</v>
      </c>
      <c r="AD413" t="n">
        <v>6622261540</v>
      </c>
      <c r="AE413" t="n">
        <v>4</v>
      </c>
      <c r="AF413" t="inlineStr">
        <is>
          <t>ENTREGA DIRECTA</t>
        </is>
      </c>
      <c r="AG413" t="n">
        <v>1.38</v>
      </c>
      <c r="AH413" t="inlineStr">
        <is>
          <t>M3</t>
        </is>
      </c>
      <c r="AI413" t="inlineStr">
        <is>
          <t>X</t>
        </is>
      </c>
      <c r="AJ413" t="n">
        <v>4</v>
      </c>
      <c r="AK413" t="inlineStr">
        <is>
          <t>V4</t>
        </is>
      </c>
      <c r="AL413" t="n">
        <v>20230920</v>
      </c>
      <c r="AM413" t="inlineStr">
        <is>
          <t>D836-900002574-66823352-10145835-4</t>
        </is>
      </c>
    </row>
    <row r="414">
      <c r="A414" t="inlineStr">
        <is>
          <t>900002574D8366687550110000630</t>
        </is>
      </c>
      <c r="B414" t="inlineStr">
        <is>
          <t>4600027590-2280</t>
        </is>
      </c>
      <c r="C414" t="n">
        <v>4600027590</v>
      </c>
      <c r="D414" t="n">
        <v>2280</v>
      </c>
      <c r="E414" t="inlineStr">
        <is>
          <t>MXPO</t>
        </is>
      </c>
      <c r="F414" t="inlineStr">
        <is>
          <t>M02</t>
        </is>
      </c>
      <c r="G414" t="n">
        <v>900002574</v>
      </c>
      <c r="H414" t="inlineStr">
        <is>
          <t>TP-ED-OLIELL</t>
        </is>
      </c>
      <c r="I414" t="n">
        <v>5048484</v>
      </c>
      <c r="J414" t="inlineStr">
        <is>
          <t>COMERCIALIZADORA Y TRANSPORTADORA O</t>
        </is>
      </c>
      <c r="K414" t="inlineStr">
        <is>
          <t>N90</t>
        </is>
      </c>
      <c r="L414" t="inlineStr">
        <is>
          <t>(AP) NAFIN 90 Dias</t>
        </is>
      </c>
      <c r="M414" t="n">
        <v>10000630</v>
      </c>
      <c r="N414" t="inlineStr">
        <is>
          <t>Grava Triturada Caliza 13 mm - 1/2"</t>
        </is>
      </c>
      <c r="O414" t="inlineStr">
        <is>
          <t>D836</t>
        </is>
      </c>
      <c r="P414" t="inlineStr">
        <is>
          <t>MX-CED. CENTRO</t>
        </is>
      </c>
      <c r="Q414" t="n">
        <v>20141106</v>
      </c>
      <c r="R414" t="n">
        <v>20281231</v>
      </c>
      <c r="S414" t="n">
        <v>20220221</v>
      </c>
      <c r="T414" t="n">
        <v>20271231</v>
      </c>
      <c r="U414" t="n">
        <v>1021</v>
      </c>
      <c r="V414" t="inlineStr">
        <is>
          <t>MXN</t>
        </is>
      </c>
      <c r="W414" t="inlineStr">
        <is>
          <t>M3</t>
        </is>
      </c>
      <c r="X414" t="n">
        <v>406</v>
      </c>
      <c r="Y414" t="inlineStr">
        <is>
          <t>MXN</t>
        </is>
      </c>
      <c r="Z414" t="inlineStr">
        <is>
          <t>M3</t>
        </is>
      </c>
      <c r="AA414" t="inlineStr">
        <is>
          <t>66875501</t>
        </is>
      </c>
      <c r="AB414" t="inlineStr">
        <is>
          <t>COSTCO SANTA FE</t>
        </is>
      </c>
      <c r="AC414" t="n">
        <v>56103637</v>
      </c>
      <c r="AD414" t="n">
        <v>6622261540</v>
      </c>
      <c r="AE414" t="n">
        <v>4</v>
      </c>
      <c r="AF414" t="inlineStr">
        <is>
          <t>ENTREGA DIRECTA</t>
        </is>
      </c>
      <c r="AG414" t="n">
        <v>1.4</v>
      </c>
      <c r="AH414" t="inlineStr">
        <is>
          <t>M3</t>
        </is>
      </c>
      <c r="AI414" t="inlineStr">
        <is>
          <t>X</t>
        </is>
      </c>
      <c r="AJ414" t="n">
        <v>4</v>
      </c>
      <c r="AK414" t="inlineStr">
        <is>
          <t>V4</t>
        </is>
      </c>
      <c r="AL414" t="n">
        <v>20230920</v>
      </c>
      <c r="AM414" t="inlineStr">
        <is>
          <t>D836-900002574-66875501-10000630-4</t>
        </is>
      </c>
    </row>
    <row r="415">
      <c r="A415" t="inlineStr">
        <is>
          <t>900002574D8366680588910000357</t>
        </is>
      </c>
      <c r="B415" t="inlineStr">
        <is>
          <t>4600027590-210</t>
        </is>
      </c>
      <c r="C415" t="n">
        <v>4600027590</v>
      </c>
      <c r="D415" t="n">
        <v>210</v>
      </c>
      <c r="E415" t="inlineStr">
        <is>
          <t>MXPO</t>
        </is>
      </c>
      <c r="F415" t="inlineStr">
        <is>
          <t>M02</t>
        </is>
      </c>
      <c r="G415" t="n">
        <v>900002574</v>
      </c>
      <c r="H415" t="inlineStr">
        <is>
          <t>TP-ED-OLIELL</t>
        </is>
      </c>
      <c r="I415" t="n">
        <v>5048484</v>
      </c>
      <c r="J415" t="inlineStr">
        <is>
          <t>COMERCIALIZADORA Y TRANSPORTADORA O</t>
        </is>
      </c>
      <c r="K415" t="inlineStr">
        <is>
          <t>N90</t>
        </is>
      </c>
      <c r="L415" t="inlineStr">
        <is>
          <t>(AP) NAFIN 90 Dias</t>
        </is>
      </c>
      <c r="M415" t="n">
        <v>10000357</v>
      </c>
      <c r="N415" t="inlineStr">
        <is>
          <t>Grava Triturada Andesita 20 mm - 3/4"</t>
        </is>
      </c>
      <c r="O415" t="inlineStr">
        <is>
          <t>D836</t>
        </is>
      </c>
      <c r="P415" t="inlineStr">
        <is>
          <t>MX-CED. CENTRO</t>
        </is>
      </c>
      <c r="Q415" t="n">
        <v>20141106</v>
      </c>
      <c r="R415" t="n">
        <v>20281231</v>
      </c>
      <c r="S415" t="n">
        <v>20190902</v>
      </c>
      <c r="T415" t="n">
        <v>20241231</v>
      </c>
      <c r="U415" t="n">
        <v>362.07</v>
      </c>
      <c r="V415" t="inlineStr">
        <is>
          <t>MXN</t>
        </is>
      </c>
      <c r="W415" t="inlineStr">
        <is>
          <t>M3</t>
        </is>
      </c>
      <c r="X415" t="n">
        <v>137.07</v>
      </c>
      <c r="Y415" t="inlineStr">
        <is>
          <t>MXN</t>
        </is>
      </c>
      <c r="Z415" t="inlineStr">
        <is>
          <t>M3</t>
        </is>
      </c>
      <c r="AA415" t="inlineStr">
        <is>
          <t>66805889</t>
        </is>
      </c>
      <c r="AB415" t="inlineStr">
        <is>
          <t>HECTOR ESPINOLA BLANDO</t>
        </is>
      </c>
      <c r="AC415" t="n">
        <v>56103637</v>
      </c>
      <c r="AD415" t="n">
        <v>6622261540</v>
      </c>
      <c r="AE415" t="n">
        <v>4</v>
      </c>
      <c r="AF415" t="inlineStr">
        <is>
          <t>ENTREGA DIRECTA</t>
        </is>
      </c>
      <c r="AG415" t="n">
        <v>1.326</v>
      </c>
      <c r="AH415" t="inlineStr">
        <is>
          <t>M3</t>
        </is>
      </c>
      <c r="AI415" t="inlineStr">
        <is>
          <t>X</t>
        </is>
      </c>
      <c r="AJ415" t="n">
        <v>4</v>
      </c>
      <c r="AK415" t="inlineStr">
        <is>
          <t>V4</t>
        </is>
      </c>
      <c r="AL415" t="n">
        <v>20230920</v>
      </c>
      <c r="AM415" t="inlineStr">
        <is>
          <t>D836-900002574-66805889-10000357-4</t>
        </is>
      </c>
    </row>
    <row r="416">
      <c r="A416" t="inlineStr">
        <is>
          <t>900002574D8366690655810058345</t>
        </is>
      </c>
      <c r="B416" t="inlineStr">
        <is>
          <t>4600027590-2140</t>
        </is>
      </c>
      <c r="C416" t="n">
        <v>4600027590</v>
      </c>
      <c r="D416" t="n">
        <v>2140</v>
      </c>
      <c r="E416" t="inlineStr">
        <is>
          <t>MXPO</t>
        </is>
      </c>
      <c r="F416" t="inlineStr">
        <is>
          <t>M02</t>
        </is>
      </c>
      <c r="G416" t="n">
        <v>900002574</v>
      </c>
      <c r="H416" t="inlineStr">
        <is>
          <t>TP-ED-OLIELL</t>
        </is>
      </c>
      <c r="I416" t="n">
        <v>5048484</v>
      </c>
      <c r="J416" t="inlineStr">
        <is>
          <t>COMERCIALIZADORA Y TRANSPORTADORA O</t>
        </is>
      </c>
      <c r="K416" t="inlineStr">
        <is>
          <t>N90</t>
        </is>
      </c>
      <c r="L416" t="inlineStr">
        <is>
          <t>(AP) NAFIN 90 Dias</t>
        </is>
      </c>
      <c r="M416" t="n">
        <v>10058345</v>
      </c>
      <c r="N416" t="inlineStr">
        <is>
          <t>Arena Triturada Caliza Malla 4</t>
        </is>
      </c>
      <c r="O416" t="inlineStr">
        <is>
          <t>D836</t>
        </is>
      </c>
      <c r="P416" t="inlineStr">
        <is>
          <t>MX-CED. CENTRO</t>
        </is>
      </c>
      <c r="Q416" t="n">
        <v>20141106</v>
      </c>
      <c r="R416" t="n">
        <v>20281231</v>
      </c>
      <c r="S416" t="n">
        <v>20211008</v>
      </c>
      <c r="T416" t="n">
        <v>20261231</v>
      </c>
      <c r="U416" t="n">
        <v>754</v>
      </c>
      <c r="V416" t="inlineStr">
        <is>
          <t>MXN</t>
        </is>
      </c>
      <c r="W416" t="inlineStr">
        <is>
          <t>M3</t>
        </is>
      </c>
      <c r="X416" t="n">
        <v>644</v>
      </c>
      <c r="Y416" t="inlineStr">
        <is>
          <t>MXN</t>
        </is>
      </c>
      <c r="Z416" t="inlineStr">
        <is>
          <t>M3</t>
        </is>
      </c>
      <c r="AA416" t="inlineStr">
        <is>
          <t>66906558</t>
        </is>
      </c>
      <c r="AB416" t="inlineStr">
        <is>
          <t>MEXICABLE - ECATEPEC</t>
        </is>
      </c>
      <c r="AC416" t="n">
        <v>56103638</v>
      </c>
      <c r="AD416" t="n">
        <v>6622261540</v>
      </c>
      <c r="AE416" t="n">
        <v>4</v>
      </c>
      <c r="AF416" t="inlineStr">
        <is>
          <t>ENTREGA DIRECTA</t>
        </is>
      </c>
      <c r="AG416" t="n">
        <v>1.575</v>
      </c>
      <c r="AH416" t="inlineStr">
        <is>
          <t>M3</t>
        </is>
      </c>
      <c r="AI416" t="inlineStr">
        <is>
          <t>X</t>
        </is>
      </c>
      <c r="AJ416" t="n">
        <v>4</v>
      </c>
      <c r="AK416" t="inlineStr">
        <is>
          <t>V4</t>
        </is>
      </c>
      <c r="AL416" t="n">
        <v>20230920</v>
      </c>
      <c r="AM416" t="inlineStr">
        <is>
          <t>D836-900002574-66906558-10058345-4</t>
        </is>
      </c>
    </row>
    <row r="417">
      <c r="A417" t="inlineStr">
        <is>
          <t>900002574D8366680567010000357</t>
        </is>
      </c>
      <c r="B417" t="inlineStr">
        <is>
          <t>4600027590-290</t>
        </is>
      </c>
      <c r="C417" t="n">
        <v>4600027590</v>
      </c>
      <c r="D417" t="n">
        <v>290</v>
      </c>
      <c r="E417" t="inlineStr">
        <is>
          <t>MXPO</t>
        </is>
      </c>
      <c r="F417" t="inlineStr">
        <is>
          <t>M02</t>
        </is>
      </c>
      <c r="G417" t="n">
        <v>900002574</v>
      </c>
      <c r="H417" t="inlineStr">
        <is>
          <t>TP-ED-OLIELL</t>
        </is>
      </c>
      <c r="I417" t="n">
        <v>5048484</v>
      </c>
      <c r="J417" t="inlineStr">
        <is>
          <t>COMERCIALIZADORA Y TRANSPORTADORA O</t>
        </is>
      </c>
      <c r="K417" t="inlineStr">
        <is>
          <t>N90</t>
        </is>
      </c>
      <c r="L417" t="inlineStr">
        <is>
          <t>(AP) NAFIN 90 Dias</t>
        </is>
      </c>
      <c r="M417" t="n">
        <v>10000357</v>
      </c>
      <c r="N417" t="inlineStr">
        <is>
          <t>Grava Triturada Andesita 20 mm - 3/4"</t>
        </is>
      </c>
      <c r="O417" t="inlineStr">
        <is>
          <t>D836</t>
        </is>
      </c>
      <c r="P417" t="inlineStr">
        <is>
          <t>MX-CED. CENTRO</t>
        </is>
      </c>
      <c r="Q417" t="n">
        <v>20141106</v>
      </c>
      <c r="R417" t="n">
        <v>20281231</v>
      </c>
      <c r="S417" t="n">
        <v>20190920</v>
      </c>
      <c r="T417" t="n">
        <v>20241231</v>
      </c>
      <c r="U417" t="n">
        <v>175</v>
      </c>
      <c r="V417" t="inlineStr">
        <is>
          <t>MXN</t>
        </is>
      </c>
      <c r="W417" t="inlineStr">
        <is>
          <t>M3</t>
        </is>
      </c>
      <c r="X417" t="n">
        <v>87.5</v>
      </c>
      <c r="Y417" t="inlineStr">
        <is>
          <t>MXN</t>
        </is>
      </c>
      <c r="Z417" t="inlineStr">
        <is>
          <t>M3</t>
        </is>
      </c>
      <c r="AA417" t="inlineStr">
        <is>
          <t>66805670</t>
        </is>
      </c>
      <c r="AB417" t="inlineStr">
        <is>
          <t>OLLM  SUMINISTRO AV LEIJA SEVIILA</t>
        </is>
      </c>
      <c r="AC417" t="n">
        <v>56103637</v>
      </c>
      <c r="AD417" t="n">
        <v>6622261540</v>
      </c>
      <c r="AE417" t="n">
        <v>4</v>
      </c>
      <c r="AF417" t="inlineStr">
        <is>
          <t>ENTREGA DIRECTA</t>
        </is>
      </c>
      <c r="AG417" t="n">
        <v>1.326</v>
      </c>
      <c r="AH417" t="inlineStr">
        <is>
          <t>M3</t>
        </is>
      </c>
      <c r="AI417" t="inlineStr">
        <is>
          <t>X</t>
        </is>
      </c>
      <c r="AJ417" t="n">
        <v>4</v>
      </c>
      <c r="AK417" t="inlineStr">
        <is>
          <t>V4</t>
        </is>
      </c>
      <c r="AL417" t="n">
        <v>20230920</v>
      </c>
      <c r="AM417" t="inlineStr">
        <is>
          <t>D836-900002574-66805670-10000357-4</t>
        </is>
      </c>
    </row>
    <row r="418">
      <c r="A418" t="inlineStr">
        <is>
          <t>900002574D836E49210000357</t>
        </is>
      </c>
      <c r="B418" t="inlineStr">
        <is>
          <t>4600027590-1980</t>
        </is>
      </c>
      <c r="C418" t="n">
        <v>4600027590</v>
      </c>
      <c r="D418" t="n">
        <v>1980</v>
      </c>
      <c r="E418" t="inlineStr">
        <is>
          <t>MXPO</t>
        </is>
      </c>
      <c r="F418" t="inlineStr">
        <is>
          <t>M02</t>
        </is>
      </c>
      <c r="G418" t="n">
        <v>900002574</v>
      </c>
      <c r="H418" t="inlineStr">
        <is>
          <t>TP-ED-OLIELL</t>
        </is>
      </c>
      <c r="I418" t="n">
        <v>5048484</v>
      </c>
      <c r="J418" t="inlineStr">
        <is>
          <t>COMERCIALIZADORA Y TRANSPORTADORA O</t>
        </is>
      </c>
      <c r="K418" t="inlineStr">
        <is>
          <t>N90</t>
        </is>
      </c>
      <c r="L418" t="inlineStr">
        <is>
          <t>(AP) NAFIN 90 Dias</t>
        </is>
      </c>
      <c r="M418" t="n">
        <v>10000357</v>
      </c>
      <c r="N418" t="inlineStr">
        <is>
          <t>Grava Triturada Andesita 20 mm - 3/4"</t>
        </is>
      </c>
      <c r="O418" t="inlineStr">
        <is>
          <t>D836</t>
        </is>
      </c>
      <c r="P418" t="inlineStr">
        <is>
          <t>MX-CED. CENTRO</t>
        </is>
      </c>
      <c r="Q418" t="n">
        <v>20141106</v>
      </c>
      <c r="R418" t="n">
        <v>20281231</v>
      </c>
      <c r="S418" t="n">
        <v>20201125</v>
      </c>
      <c r="T418" t="n">
        <v>20291231</v>
      </c>
      <c r="U418" t="n">
        <v>491.38</v>
      </c>
      <c r="V418" t="inlineStr">
        <is>
          <t>MXN</t>
        </is>
      </c>
      <c r="W418" t="inlineStr">
        <is>
          <t>M3</t>
        </is>
      </c>
      <c r="X418" t="n">
        <v>375</v>
      </c>
      <c r="Y418" t="inlineStr">
        <is>
          <t>MXN</t>
        </is>
      </c>
      <c r="Z418" t="inlineStr">
        <is>
          <t>M3</t>
        </is>
      </c>
      <c r="AA418" t="inlineStr">
        <is>
          <t>E492</t>
        </is>
      </c>
      <c r="AB418" t="inlineStr">
        <is>
          <t>MEXICO</t>
        </is>
      </c>
      <c r="AC418" t="n">
        <v>56103637</v>
      </c>
      <c r="AD418" t="n">
        <v>6622261540</v>
      </c>
      <c r="AE418" t="n">
        <v>4</v>
      </c>
      <c r="AF418" t="inlineStr">
        <is>
          <t>ENTREGA DIRECTA</t>
        </is>
      </c>
      <c r="AG418" t="n">
        <v>1.326</v>
      </c>
      <c r="AH418" t="inlineStr">
        <is>
          <t>M3</t>
        </is>
      </c>
      <c r="AI418" t="inlineStr">
        <is>
          <t>X</t>
        </is>
      </c>
      <c r="AJ418" t="n">
        <v>4</v>
      </c>
      <c r="AK418" t="inlineStr">
        <is>
          <t>V4</t>
        </is>
      </c>
      <c r="AL418" t="n">
        <v>20230920</v>
      </c>
      <c r="AM418" t="inlineStr">
        <is>
          <t>D836-900002574-E492-10000357-4</t>
        </is>
      </c>
    </row>
    <row r="419">
      <c r="A419" t="inlineStr">
        <is>
          <t>900002574D8366689936410000357</t>
        </is>
      </c>
      <c r="B419" t="inlineStr">
        <is>
          <t>4600027590-1350</t>
        </is>
      </c>
      <c r="C419" t="n">
        <v>4600027590</v>
      </c>
      <c r="D419" t="n">
        <v>1350</v>
      </c>
      <c r="E419" t="inlineStr">
        <is>
          <t>MXPO</t>
        </is>
      </c>
      <c r="F419" t="inlineStr">
        <is>
          <t>M02</t>
        </is>
      </c>
      <c r="G419" t="n">
        <v>900002574</v>
      </c>
      <c r="H419" t="inlineStr">
        <is>
          <t>TP-ED-OLIELL</t>
        </is>
      </c>
      <c r="I419" t="n">
        <v>5048484</v>
      </c>
      <c r="J419" t="inlineStr">
        <is>
          <t>COMERCIALIZADORA Y TRANSPORTADORA O</t>
        </is>
      </c>
      <c r="K419" t="inlineStr">
        <is>
          <t>N90</t>
        </is>
      </c>
      <c r="L419" t="inlineStr">
        <is>
          <t>(AP) NAFIN 90 Dias</t>
        </is>
      </c>
      <c r="M419" t="n">
        <v>10000357</v>
      </c>
      <c r="N419" t="inlineStr">
        <is>
          <t>Grava Triturada Andesita 20 mm - 3/4"</t>
        </is>
      </c>
      <c r="O419" t="inlineStr">
        <is>
          <t>D836</t>
        </is>
      </c>
      <c r="P419" t="inlineStr">
        <is>
          <t>MX-CED. CENTRO</t>
        </is>
      </c>
      <c r="Q419" t="n">
        <v>20141106</v>
      </c>
      <c r="R419" t="n">
        <v>20281231</v>
      </c>
      <c r="S419" t="n">
        <v>20200928</v>
      </c>
      <c r="T419" t="n">
        <v>20291231</v>
      </c>
      <c r="U419" t="n">
        <v>502.16</v>
      </c>
      <c r="V419" t="inlineStr">
        <is>
          <t>MXN</t>
        </is>
      </c>
      <c r="W419" t="inlineStr">
        <is>
          <t>M3</t>
        </is>
      </c>
      <c r="X419" t="n">
        <v>372.92</v>
      </c>
      <c r="Y419" t="inlineStr">
        <is>
          <t>MXN</t>
        </is>
      </c>
      <c r="Z419" t="inlineStr">
        <is>
          <t>M3</t>
        </is>
      </c>
      <c r="AA419" t="inlineStr">
        <is>
          <t>66899364</t>
        </is>
      </c>
      <c r="AC419" t="n">
        <v>56103637</v>
      </c>
      <c r="AD419" t="n">
        <v>6622261540</v>
      </c>
      <c r="AE419" t="n">
        <v>4</v>
      </c>
      <c r="AF419" t="inlineStr">
        <is>
          <t>ENTREGA DIRECTA</t>
        </is>
      </c>
      <c r="AG419" t="n">
        <v>1.326</v>
      </c>
      <c r="AH419" t="inlineStr">
        <is>
          <t>M3</t>
        </is>
      </c>
      <c r="AI419" t="inlineStr">
        <is>
          <t>X</t>
        </is>
      </c>
      <c r="AJ419" t="n">
        <v>4</v>
      </c>
      <c r="AK419" t="inlineStr">
        <is>
          <t>V4</t>
        </is>
      </c>
      <c r="AL419" t="n">
        <v>20230920</v>
      </c>
      <c r="AM419" t="inlineStr">
        <is>
          <t>D836-900002574-66899364-10000357-4</t>
        </is>
      </c>
    </row>
    <row r="420">
      <c r="A420" t="inlineStr">
        <is>
          <t>900002574D8366689942910000160</t>
        </is>
      </c>
      <c r="B420" t="inlineStr">
        <is>
          <t>4600027590-1400</t>
        </is>
      </c>
      <c r="C420" t="n">
        <v>4600027590</v>
      </c>
      <c r="D420" t="n">
        <v>1400</v>
      </c>
      <c r="E420" t="inlineStr">
        <is>
          <t>MXPO</t>
        </is>
      </c>
      <c r="F420" t="inlineStr">
        <is>
          <t>M02</t>
        </is>
      </c>
      <c r="G420" t="n">
        <v>900002574</v>
      </c>
      <c r="H420" t="inlineStr">
        <is>
          <t>TP-ED-OLIELL</t>
        </is>
      </c>
      <c r="I420" t="n">
        <v>5048484</v>
      </c>
      <c r="J420" t="inlineStr">
        <is>
          <t>COMERCIALIZADORA Y TRANSPORTADORA O</t>
        </is>
      </c>
      <c r="K420" t="inlineStr">
        <is>
          <t>N90</t>
        </is>
      </c>
      <c r="L420" t="inlineStr">
        <is>
          <t>(AP) NAFIN 90 Dias</t>
        </is>
      </c>
      <c r="M420" t="n">
        <v>10000160</v>
      </c>
      <c r="N420" t="inlineStr">
        <is>
          <t>Arena Triturada Andesita Malla 4</t>
        </is>
      </c>
      <c r="O420" t="inlineStr">
        <is>
          <t>D836</t>
        </is>
      </c>
      <c r="P420" t="inlineStr">
        <is>
          <t>MX-CED. CENTRO</t>
        </is>
      </c>
      <c r="Q420" t="n">
        <v>20141106</v>
      </c>
      <c r="R420" t="n">
        <v>20281231</v>
      </c>
      <c r="S420" t="n">
        <v>20200928</v>
      </c>
      <c r="T420" t="n">
        <v>20291231</v>
      </c>
      <c r="U420" t="n">
        <v>482.92</v>
      </c>
      <c r="V420" t="inlineStr">
        <is>
          <t>MXN</t>
        </is>
      </c>
      <c r="W420" t="inlineStr">
        <is>
          <t>M3</t>
        </is>
      </c>
      <c r="X420" t="n">
        <v>372.92</v>
      </c>
      <c r="Y420" t="inlineStr">
        <is>
          <t>MXN</t>
        </is>
      </c>
      <c r="Z420" t="inlineStr">
        <is>
          <t>M3</t>
        </is>
      </c>
      <c r="AA420" t="inlineStr">
        <is>
          <t>66899429</t>
        </is>
      </c>
      <c r="AC420" t="n">
        <v>56103638</v>
      </c>
      <c r="AD420" t="n">
        <v>6622261540</v>
      </c>
      <c r="AE420" t="n">
        <v>4</v>
      </c>
      <c r="AF420" t="inlineStr">
        <is>
          <t>ENTREGA DIRECTA</t>
        </is>
      </c>
      <c r="AG420" t="n">
        <v>1.409</v>
      </c>
      <c r="AH420" t="inlineStr">
        <is>
          <t>M3</t>
        </is>
      </c>
      <c r="AI420" t="inlineStr">
        <is>
          <t>X</t>
        </is>
      </c>
      <c r="AJ420" t="n">
        <v>4</v>
      </c>
      <c r="AK420" t="inlineStr">
        <is>
          <t>V4</t>
        </is>
      </c>
      <c r="AL420" t="n">
        <v>20230920</v>
      </c>
      <c r="AM420" t="inlineStr">
        <is>
          <t>D836-900002574-66899429-10000160-4</t>
        </is>
      </c>
    </row>
    <row r="421">
      <c r="A421" t="inlineStr">
        <is>
          <t>900002574D8366500190510000160</t>
        </is>
      </c>
      <c r="B421" t="inlineStr">
        <is>
          <t>4600027590-1680</t>
        </is>
      </c>
      <c r="C421" t="n">
        <v>4600027590</v>
      </c>
      <c r="D421" t="n">
        <v>1680</v>
      </c>
      <c r="E421" t="inlineStr">
        <is>
          <t>MXPO</t>
        </is>
      </c>
      <c r="F421" t="inlineStr">
        <is>
          <t>M02</t>
        </is>
      </c>
      <c r="G421" t="n">
        <v>900002574</v>
      </c>
      <c r="H421" t="inlineStr">
        <is>
          <t>TP-ED-OLIELL</t>
        </is>
      </c>
      <c r="I421" t="n">
        <v>5048484</v>
      </c>
      <c r="J421" t="inlineStr">
        <is>
          <t>COMERCIALIZADORA Y TRANSPORTADORA O</t>
        </is>
      </c>
      <c r="K421" t="inlineStr">
        <is>
          <t>N90</t>
        </is>
      </c>
      <c r="L421" t="inlineStr">
        <is>
          <t>(AP) NAFIN 90 Dias</t>
        </is>
      </c>
      <c r="M421" t="n">
        <v>10000160</v>
      </c>
      <c r="N421" t="inlineStr">
        <is>
          <t>Arena Triturada Andesita Malla 4</t>
        </is>
      </c>
      <c r="O421" t="inlineStr">
        <is>
          <t>D836</t>
        </is>
      </c>
      <c r="P421" t="inlineStr">
        <is>
          <t>MX-CED. CENTRO</t>
        </is>
      </c>
      <c r="Q421" t="n">
        <v>20141106</v>
      </c>
      <c r="R421" t="n">
        <v>20281231</v>
      </c>
      <c r="S421" t="n">
        <v>20201027</v>
      </c>
      <c r="T421" t="n">
        <v>20291231</v>
      </c>
      <c r="U421" t="n">
        <v>295</v>
      </c>
      <c r="V421" t="inlineStr">
        <is>
          <t>MXN</t>
        </is>
      </c>
      <c r="W421" t="inlineStr">
        <is>
          <t>M3</t>
        </is>
      </c>
      <c r="X421" t="n">
        <v>195</v>
      </c>
      <c r="Y421" t="inlineStr">
        <is>
          <t>MXN</t>
        </is>
      </c>
      <c r="Z421" t="inlineStr">
        <is>
          <t>M3</t>
        </is>
      </c>
      <c r="AA421" t="inlineStr">
        <is>
          <t>65001905</t>
        </is>
      </c>
      <c r="AB421" t="inlineStr">
        <is>
          <t>(P) PRESFORZA, S.A. DE C.V.</t>
        </is>
      </c>
      <c r="AC421" t="n">
        <v>56103638</v>
      </c>
      <c r="AD421" t="n">
        <v>6622261540</v>
      </c>
      <c r="AE421" t="n">
        <v>4</v>
      </c>
      <c r="AF421" t="inlineStr">
        <is>
          <t>ENTREGA DIRECTA</t>
        </is>
      </c>
      <c r="AG421" t="n">
        <v>1.409</v>
      </c>
      <c r="AH421" t="inlineStr">
        <is>
          <t>M3</t>
        </is>
      </c>
      <c r="AI421" t="inlineStr">
        <is>
          <t>X</t>
        </is>
      </c>
      <c r="AJ421" t="n">
        <v>4</v>
      </c>
      <c r="AK421" t="inlineStr">
        <is>
          <t>V4</t>
        </is>
      </c>
      <c r="AL421" t="n">
        <v>20230920</v>
      </c>
      <c r="AM421" t="inlineStr">
        <is>
          <t>D836-900002574-65001905-10000160-4</t>
        </is>
      </c>
    </row>
    <row r="422">
      <c r="A422" t="inlineStr">
        <is>
          <t>900002574D8366689933110000357</t>
        </is>
      </c>
      <c r="B422" t="inlineStr">
        <is>
          <t>4600027590-1310</t>
        </is>
      </c>
      <c r="C422" t="n">
        <v>4600027590</v>
      </c>
      <c r="D422" t="n">
        <v>1310</v>
      </c>
      <c r="E422" t="inlineStr">
        <is>
          <t>MXPO</t>
        </is>
      </c>
      <c r="F422" t="inlineStr">
        <is>
          <t>M02</t>
        </is>
      </c>
      <c r="G422" t="n">
        <v>900002574</v>
      </c>
      <c r="H422" t="inlineStr">
        <is>
          <t>TP-ED-OLIELL</t>
        </is>
      </c>
      <c r="I422" t="n">
        <v>5048484</v>
      </c>
      <c r="J422" t="inlineStr">
        <is>
          <t>COMERCIALIZADORA Y TRANSPORTADORA O</t>
        </is>
      </c>
      <c r="K422" t="inlineStr">
        <is>
          <t>N90</t>
        </is>
      </c>
      <c r="L422" t="inlineStr">
        <is>
          <t>(AP) NAFIN 90 Dias</t>
        </is>
      </c>
      <c r="M422" t="n">
        <v>10000357</v>
      </c>
      <c r="N422" t="inlineStr">
        <is>
          <t>Grava Triturada Andesita 20 mm - 3/4"</t>
        </is>
      </c>
      <c r="O422" t="inlineStr">
        <is>
          <t>D836</t>
        </is>
      </c>
      <c r="P422" t="inlineStr">
        <is>
          <t>MX-CED. CENTRO</t>
        </is>
      </c>
      <c r="Q422" t="n">
        <v>20141106</v>
      </c>
      <c r="R422" t="n">
        <v>20281231</v>
      </c>
      <c r="S422" t="n">
        <v>20200928</v>
      </c>
      <c r="T422" t="n">
        <v>20291231</v>
      </c>
      <c r="U422" t="n">
        <v>502.16</v>
      </c>
      <c r="V422" t="inlineStr">
        <is>
          <t>MXN</t>
        </is>
      </c>
      <c r="W422" t="inlineStr">
        <is>
          <t>M3</t>
        </is>
      </c>
      <c r="X422" t="n">
        <v>372.92</v>
      </c>
      <c r="Y422" t="inlineStr">
        <is>
          <t>MXN</t>
        </is>
      </c>
      <c r="Z422" t="inlineStr">
        <is>
          <t>M3</t>
        </is>
      </c>
      <c r="AA422" t="inlineStr">
        <is>
          <t>66899331</t>
        </is>
      </c>
      <c r="AC422" t="n">
        <v>56103637</v>
      </c>
      <c r="AD422" t="n">
        <v>6622261540</v>
      </c>
      <c r="AE422" t="n">
        <v>4</v>
      </c>
      <c r="AF422" t="inlineStr">
        <is>
          <t>ENTREGA DIRECTA</t>
        </is>
      </c>
      <c r="AG422" t="n">
        <v>1.326</v>
      </c>
      <c r="AH422" t="inlineStr">
        <is>
          <t>M3</t>
        </is>
      </c>
      <c r="AI422" t="inlineStr">
        <is>
          <t>X</t>
        </is>
      </c>
      <c r="AJ422" t="n">
        <v>4</v>
      </c>
      <c r="AK422" t="inlineStr">
        <is>
          <t>V4</t>
        </is>
      </c>
      <c r="AL422" t="n">
        <v>20230920</v>
      </c>
      <c r="AM422" t="inlineStr">
        <is>
          <t>D836-900002574-66899331-10000357-4</t>
        </is>
      </c>
    </row>
    <row r="423">
      <c r="A423" t="inlineStr">
        <is>
          <t>900002574D8366689471110189325</t>
        </is>
      </c>
      <c r="B423" t="inlineStr">
        <is>
          <t>4600027590-1530</t>
        </is>
      </c>
      <c r="C423" t="n">
        <v>4600027590</v>
      </c>
      <c r="D423" t="n">
        <v>1530</v>
      </c>
      <c r="E423" t="inlineStr">
        <is>
          <t>MXPO</t>
        </is>
      </c>
      <c r="F423" t="inlineStr">
        <is>
          <t>M02</t>
        </is>
      </c>
      <c r="G423" t="n">
        <v>900002574</v>
      </c>
      <c r="H423" t="inlineStr">
        <is>
          <t>TP-ED-OLIELL</t>
        </is>
      </c>
      <c r="I423" t="n">
        <v>5048484</v>
      </c>
      <c r="J423" t="inlineStr">
        <is>
          <t>COMERCIALIZADORA Y TRANSPORTADORA O</t>
        </is>
      </c>
      <c r="K423" t="inlineStr">
        <is>
          <t>N90</t>
        </is>
      </c>
      <c r="L423" t="inlineStr">
        <is>
          <t>(AP) NAFIN 90 Dias</t>
        </is>
      </c>
      <c r="M423" t="n">
        <v>10189325</v>
      </c>
      <c r="N423" t="inlineStr">
        <is>
          <t>GRAVA TRITURADA TEZONTLE 10MM - 3/8"</t>
        </is>
      </c>
      <c r="O423" t="inlineStr">
        <is>
          <t>D836</t>
        </is>
      </c>
      <c r="P423" t="inlineStr">
        <is>
          <t>MX-CED. CENTRO</t>
        </is>
      </c>
      <c r="Q423" t="n">
        <v>20141106</v>
      </c>
      <c r="R423" t="n">
        <v>20281231</v>
      </c>
      <c r="S423" t="n">
        <v>20200928</v>
      </c>
      <c r="T423" t="n">
        <v>20291231</v>
      </c>
      <c r="U423" t="n">
        <v>380</v>
      </c>
      <c r="V423" t="inlineStr">
        <is>
          <t>MXN</t>
        </is>
      </c>
      <c r="W423" t="inlineStr">
        <is>
          <t>M3</t>
        </is>
      </c>
      <c r="X423" t="n">
        <v>240</v>
      </c>
      <c r="Y423" t="inlineStr">
        <is>
          <t>MXN</t>
        </is>
      </c>
      <c r="Z423" t="inlineStr">
        <is>
          <t>M3</t>
        </is>
      </c>
      <c r="AA423" t="inlineStr">
        <is>
          <t>66894711</t>
        </is>
      </c>
      <c r="AB423" t="inlineStr">
        <is>
          <t>Almacen de Ayuntamiento de Tlalnepa</t>
        </is>
      </c>
      <c r="AC423" t="n">
        <v>56103637</v>
      </c>
      <c r="AD423" t="n">
        <v>6622261540</v>
      </c>
      <c r="AE423" t="n">
        <v>4</v>
      </c>
      <c r="AF423" t="inlineStr">
        <is>
          <t>ENTREGA DIRECTA</t>
        </is>
      </c>
      <c r="AG423" t="n">
        <v>1.3</v>
      </c>
      <c r="AH423" t="inlineStr">
        <is>
          <t>M3</t>
        </is>
      </c>
      <c r="AI423" t="inlineStr">
        <is>
          <t>X</t>
        </is>
      </c>
      <c r="AJ423" t="n">
        <v>4</v>
      </c>
      <c r="AK423" t="inlineStr">
        <is>
          <t>V4</t>
        </is>
      </c>
      <c r="AL423" t="n">
        <v>20230920</v>
      </c>
      <c r="AM423" t="inlineStr">
        <is>
          <t>D836-900002574-66894711-10189325-4</t>
        </is>
      </c>
    </row>
    <row r="424">
      <c r="A424" t="inlineStr">
        <is>
          <t>900002574D8366690711810000357</t>
        </is>
      </c>
      <c r="B424" t="inlineStr">
        <is>
          <t>4600027590-1740</t>
        </is>
      </c>
      <c r="C424" t="n">
        <v>4600027590</v>
      </c>
      <c r="D424" t="n">
        <v>1740</v>
      </c>
      <c r="E424" t="inlineStr">
        <is>
          <t>MXPO</t>
        </is>
      </c>
      <c r="F424" t="inlineStr">
        <is>
          <t>M02</t>
        </is>
      </c>
      <c r="G424" t="n">
        <v>900002574</v>
      </c>
      <c r="H424" t="inlineStr">
        <is>
          <t>TP-ED-OLIELL</t>
        </is>
      </c>
      <c r="I424" t="n">
        <v>5048484</v>
      </c>
      <c r="J424" t="inlineStr">
        <is>
          <t>COMERCIALIZADORA Y TRANSPORTADORA O</t>
        </is>
      </c>
      <c r="K424" t="inlineStr">
        <is>
          <t>N90</t>
        </is>
      </c>
      <c r="L424" t="inlineStr">
        <is>
          <t>(AP) NAFIN 90 Dias</t>
        </is>
      </c>
      <c r="M424" t="n">
        <v>10000357</v>
      </c>
      <c r="N424" t="inlineStr">
        <is>
          <t>Grava Triturada Andesita 20 mm - 3/4"</t>
        </is>
      </c>
      <c r="O424" t="inlineStr">
        <is>
          <t>D836</t>
        </is>
      </c>
      <c r="P424" t="inlineStr">
        <is>
          <t>MX-CED. CENTRO</t>
        </is>
      </c>
      <c r="Q424" t="n">
        <v>20141106</v>
      </c>
      <c r="R424" t="n">
        <v>20281231</v>
      </c>
      <c r="S424" t="n">
        <v>20201027</v>
      </c>
      <c r="T424" t="n">
        <v>20291231</v>
      </c>
      <c r="U424" t="n">
        <v>305</v>
      </c>
      <c r="V424" t="inlineStr">
        <is>
          <t>MXN</t>
        </is>
      </c>
      <c r="W424" t="inlineStr">
        <is>
          <t>M3</t>
        </is>
      </c>
      <c r="X424" t="n">
        <v>195</v>
      </c>
      <c r="Y424" t="inlineStr">
        <is>
          <t>MXN</t>
        </is>
      </c>
      <c r="Z424" t="inlineStr">
        <is>
          <t>M3</t>
        </is>
      </c>
      <c r="AA424" t="inlineStr">
        <is>
          <t>66907118</t>
        </is>
      </c>
      <c r="AC424" t="n">
        <v>56103637</v>
      </c>
      <c r="AD424" t="n">
        <v>6622261540</v>
      </c>
      <c r="AE424" t="n">
        <v>4</v>
      </c>
      <c r="AF424" t="inlineStr">
        <is>
          <t>ENTREGA DIRECTA</t>
        </is>
      </c>
      <c r="AG424" t="n">
        <v>1.326</v>
      </c>
      <c r="AH424" t="inlineStr">
        <is>
          <t>M3</t>
        </is>
      </c>
      <c r="AI424" t="inlineStr">
        <is>
          <t>X</t>
        </is>
      </c>
      <c r="AJ424" t="n">
        <v>4</v>
      </c>
      <c r="AK424" t="inlineStr">
        <is>
          <t>V4</t>
        </is>
      </c>
      <c r="AL424" t="n">
        <v>20230920</v>
      </c>
      <c r="AM424" t="inlineStr">
        <is>
          <t>D836-900002574-66907118-10000357-4</t>
        </is>
      </c>
    </row>
    <row r="425">
      <c r="A425" t="inlineStr">
        <is>
          <t>900002574D8366689933110000160</t>
        </is>
      </c>
      <c r="B425" t="inlineStr">
        <is>
          <t>4600027590-1300</t>
        </is>
      </c>
      <c r="C425" t="n">
        <v>4600027590</v>
      </c>
      <c r="D425" t="n">
        <v>1300</v>
      </c>
      <c r="E425" t="inlineStr">
        <is>
          <t>MXPO</t>
        </is>
      </c>
      <c r="F425" t="inlineStr">
        <is>
          <t>M02</t>
        </is>
      </c>
      <c r="G425" t="n">
        <v>900002574</v>
      </c>
      <c r="H425" t="inlineStr">
        <is>
          <t>TP-ED-OLIELL</t>
        </is>
      </c>
      <c r="I425" t="n">
        <v>5048484</v>
      </c>
      <c r="J425" t="inlineStr">
        <is>
          <t>COMERCIALIZADORA Y TRANSPORTADORA O</t>
        </is>
      </c>
      <c r="K425" t="inlineStr">
        <is>
          <t>N90</t>
        </is>
      </c>
      <c r="L425" t="inlineStr">
        <is>
          <t>(AP) NAFIN 90 Dias</t>
        </is>
      </c>
      <c r="M425" t="n">
        <v>10000160</v>
      </c>
      <c r="N425" t="inlineStr">
        <is>
          <t>Arena Triturada Andesita Malla 4</t>
        </is>
      </c>
      <c r="O425" t="inlineStr">
        <is>
          <t>D836</t>
        </is>
      </c>
      <c r="P425" t="inlineStr">
        <is>
          <t>MX-CED. CENTRO</t>
        </is>
      </c>
      <c r="Q425" t="n">
        <v>20141106</v>
      </c>
      <c r="R425" t="n">
        <v>20281231</v>
      </c>
      <c r="S425" t="n">
        <v>20200928</v>
      </c>
      <c r="T425" t="n">
        <v>20291231</v>
      </c>
      <c r="U425" t="n">
        <v>482.92</v>
      </c>
      <c r="V425" t="inlineStr">
        <is>
          <t>MXN</t>
        </is>
      </c>
      <c r="W425" t="inlineStr">
        <is>
          <t>M3</t>
        </is>
      </c>
      <c r="X425" t="n">
        <v>372.92</v>
      </c>
      <c r="Y425" t="inlineStr">
        <is>
          <t>MXN</t>
        </is>
      </c>
      <c r="Z425" t="inlineStr">
        <is>
          <t>M3</t>
        </is>
      </c>
      <c r="AA425" t="inlineStr">
        <is>
          <t>66899331</t>
        </is>
      </c>
      <c r="AC425" t="n">
        <v>56103638</v>
      </c>
      <c r="AD425" t="n">
        <v>6622261540</v>
      </c>
      <c r="AE425" t="n">
        <v>4</v>
      </c>
      <c r="AF425" t="inlineStr">
        <is>
          <t>ENTREGA DIRECTA</t>
        </is>
      </c>
      <c r="AG425" t="n">
        <v>1.409</v>
      </c>
      <c r="AH425" t="inlineStr">
        <is>
          <t>M3</t>
        </is>
      </c>
      <c r="AI425" t="inlineStr">
        <is>
          <t>X</t>
        </is>
      </c>
      <c r="AJ425" t="n">
        <v>4</v>
      </c>
      <c r="AK425" t="inlineStr">
        <is>
          <t>V4</t>
        </is>
      </c>
      <c r="AL425" t="n">
        <v>20230920</v>
      </c>
      <c r="AM425" t="inlineStr">
        <is>
          <t>D836-900002574-66899331-10000160-4</t>
        </is>
      </c>
    </row>
    <row r="426">
      <c r="A426" t="inlineStr">
        <is>
          <t>900002574D8366681544410000357</t>
        </is>
      </c>
      <c r="B426" t="inlineStr">
        <is>
          <t>4600027590-580</t>
        </is>
      </c>
      <c r="C426" t="n">
        <v>4600027590</v>
      </c>
      <c r="D426" t="n">
        <v>580</v>
      </c>
      <c r="E426" t="inlineStr">
        <is>
          <t>MXPO</t>
        </is>
      </c>
      <c r="F426" t="inlineStr">
        <is>
          <t>M02</t>
        </is>
      </c>
      <c r="G426" t="n">
        <v>900002574</v>
      </c>
      <c r="H426" t="inlineStr">
        <is>
          <t>TP-ED-OLIELL</t>
        </is>
      </c>
      <c r="I426" t="n">
        <v>5048484</v>
      </c>
      <c r="J426" t="inlineStr">
        <is>
          <t>COMERCIALIZADORA Y TRANSPORTADORA O</t>
        </is>
      </c>
      <c r="K426" t="inlineStr">
        <is>
          <t>N90</t>
        </is>
      </c>
      <c r="L426" t="inlineStr">
        <is>
          <t>(AP) NAFIN 90 Dias</t>
        </is>
      </c>
      <c r="M426" t="n">
        <v>10000357</v>
      </c>
      <c r="N426" t="inlineStr">
        <is>
          <t>Grava Triturada Andesita 20 mm - 3/4"</t>
        </is>
      </c>
      <c r="O426" t="inlineStr">
        <is>
          <t>D836</t>
        </is>
      </c>
      <c r="P426" t="inlineStr">
        <is>
          <t>MX-CED. CENTRO</t>
        </is>
      </c>
      <c r="Q426" t="n">
        <v>20141106</v>
      </c>
      <c r="R426" t="n">
        <v>20281231</v>
      </c>
      <c r="S426" t="n">
        <v>20191129</v>
      </c>
      <c r="T426" t="n">
        <v>20241231</v>
      </c>
      <c r="U426" t="n">
        <v>330</v>
      </c>
      <c r="V426" t="inlineStr">
        <is>
          <t>MXN</t>
        </is>
      </c>
      <c r="W426" t="inlineStr">
        <is>
          <t>M3</t>
        </is>
      </c>
      <c r="X426" t="n">
        <v>165</v>
      </c>
      <c r="Y426" t="inlineStr">
        <is>
          <t>MXN</t>
        </is>
      </c>
      <c r="Z426" t="inlineStr">
        <is>
          <t>M3</t>
        </is>
      </c>
      <c r="AA426" t="inlineStr">
        <is>
          <t>66815444</t>
        </is>
      </c>
      <c r="AB426" t="inlineStr">
        <is>
          <t>TECNICA 57 OTM</t>
        </is>
      </c>
      <c r="AC426" t="n">
        <v>56103637</v>
      </c>
      <c r="AD426" t="n">
        <v>6622261540</v>
      </c>
      <c r="AE426" t="n">
        <v>4</v>
      </c>
      <c r="AF426" t="inlineStr">
        <is>
          <t>ENTREGA DIRECTA</t>
        </is>
      </c>
      <c r="AG426" t="n">
        <v>1.326</v>
      </c>
      <c r="AH426" t="inlineStr">
        <is>
          <t>M3</t>
        </is>
      </c>
      <c r="AI426" t="inlineStr">
        <is>
          <t>X</t>
        </is>
      </c>
      <c r="AJ426" t="n">
        <v>4</v>
      </c>
      <c r="AK426" t="inlineStr">
        <is>
          <t>V4</t>
        </is>
      </c>
      <c r="AL426" t="n">
        <v>20230920</v>
      </c>
      <c r="AM426" t="inlineStr">
        <is>
          <t>D836-900002574-66815444-10000357-4</t>
        </is>
      </c>
    </row>
    <row r="427">
      <c r="A427" t="inlineStr">
        <is>
          <t>900002574D8366684714410000160</t>
        </is>
      </c>
      <c r="B427" t="inlineStr">
        <is>
          <t>4600027590-870</t>
        </is>
      </c>
      <c r="C427" t="n">
        <v>4600027590</v>
      </c>
      <c r="D427" t="n">
        <v>870</v>
      </c>
      <c r="E427" t="inlineStr">
        <is>
          <t>MXPO</t>
        </is>
      </c>
      <c r="F427" t="inlineStr">
        <is>
          <t>M02</t>
        </is>
      </c>
      <c r="G427" t="n">
        <v>900002574</v>
      </c>
      <c r="H427" t="inlineStr">
        <is>
          <t>TP-ED-OLIELL</t>
        </is>
      </c>
      <c r="I427" t="n">
        <v>5048484</v>
      </c>
      <c r="J427" t="inlineStr">
        <is>
          <t>COMERCIALIZADORA Y TRANSPORTADORA O</t>
        </is>
      </c>
      <c r="K427" t="inlineStr">
        <is>
          <t>N90</t>
        </is>
      </c>
      <c r="L427" t="inlineStr">
        <is>
          <t>(AP) NAFIN 90 Dias</t>
        </is>
      </c>
      <c r="M427" t="n">
        <v>10000160</v>
      </c>
      <c r="N427" t="inlineStr">
        <is>
          <t>Arena Triturada Andesita Malla 4</t>
        </is>
      </c>
      <c r="O427" t="inlineStr">
        <is>
          <t>D836</t>
        </is>
      </c>
      <c r="P427" t="inlineStr">
        <is>
          <t>MX-CED. CENTRO</t>
        </is>
      </c>
      <c r="Q427" t="n">
        <v>20141106</v>
      </c>
      <c r="R427" t="n">
        <v>20281231</v>
      </c>
      <c r="S427" t="n">
        <v>20200212</v>
      </c>
      <c r="T427" t="n">
        <v>20291231</v>
      </c>
      <c r="U427" t="n">
        <v>344.82</v>
      </c>
      <c r="V427" t="inlineStr">
        <is>
          <t>MXN</t>
        </is>
      </c>
      <c r="W427" t="inlineStr">
        <is>
          <t>M3</t>
        </is>
      </c>
      <c r="X427" t="n">
        <v>172</v>
      </c>
      <c r="Y427" t="inlineStr">
        <is>
          <t>MXN</t>
        </is>
      </c>
      <c r="Z427" t="inlineStr">
        <is>
          <t>M3</t>
        </is>
      </c>
      <c r="AA427" t="inlineStr">
        <is>
          <t>66847144</t>
        </is>
      </c>
      <c r="AB427" t="inlineStr">
        <is>
          <t>VERTIZ 1301 (LRR)</t>
        </is>
      </c>
      <c r="AC427" t="n">
        <v>56103638</v>
      </c>
      <c r="AD427" t="n">
        <v>6622261540</v>
      </c>
      <c r="AE427" t="n">
        <v>4</v>
      </c>
      <c r="AF427" t="inlineStr">
        <is>
          <t>ENTREGA DIRECTA</t>
        </is>
      </c>
      <c r="AG427" t="n">
        <v>1.409</v>
      </c>
      <c r="AH427" t="inlineStr">
        <is>
          <t>M3</t>
        </is>
      </c>
      <c r="AI427" t="inlineStr">
        <is>
          <t>X</t>
        </is>
      </c>
      <c r="AJ427" t="n">
        <v>4</v>
      </c>
      <c r="AK427" t="inlineStr">
        <is>
          <t>V4</t>
        </is>
      </c>
      <c r="AL427" t="n">
        <v>20230920</v>
      </c>
      <c r="AM427" t="inlineStr">
        <is>
          <t>D836-900002574-66847144-10000160-4</t>
        </is>
      </c>
    </row>
    <row r="428">
      <c r="A428" t="inlineStr">
        <is>
          <t>900002574D8366680855610000623</t>
        </is>
      </c>
      <c r="B428" t="inlineStr">
        <is>
          <t>4600027590-1190</t>
        </is>
      </c>
      <c r="C428" t="n">
        <v>4600027590</v>
      </c>
      <c r="D428" t="n">
        <v>1190</v>
      </c>
      <c r="E428" t="inlineStr">
        <is>
          <t>MXPO</t>
        </is>
      </c>
      <c r="F428" t="inlineStr">
        <is>
          <t>M02</t>
        </is>
      </c>
      <c r="G428" t="n">
        <v>900002574</v>
      </c>
      <c r="H428" t="inlineStr">
        <is>
          <t>TP-ED-OLIELL</t>
        </is>
      </c>
      <c r="I428" t="n">
        <v>5048484</v>
      </c>
      <c r="J428" t="inlineStr">
        <is>
          <t>COMERCIALIZADORA Y TRANSPORTADORA O</t>
        </is>
      </c>
      <c r="K428" t="inlineStr">
        <is>
          <t>N90</t>
        </is>
      </c>
      <c r="L428" t="inlineStr">
        <is>
          <t>(AP) NAFIN 90 Dias</t>
        </is>
      </c>
      <c r="M428" t="n">
        <v>10000623</v>
      </c>
      <c r="N428" t="inlineStr">
        <is>
          <t>Grava Triturada Caliza 10 mm - 3/8"</t>
        </is>
      </c>
      <c r="O428" t="inlineStr">
        <is>
          <t>D836</t>
        </is>
      </c>
      <c r="P428" t="inlineStr">
        <is>
          <t>MX-CED. CENTRO</t>
        </is>
      </c>
      <c r="Q428" t="n">
        <v>20141106</v>
      </c>
      <c r="R428" t="n">
        <v>20281231</v>
      </c>
      <c r="S428" t="n">
        <v>20200804</v>
      </c>
      <c r="T428" t="n">
        <v>20291231</v>
      </c>
      <c r="U428" t="n">
        <v>543.1</v>
      </c>
      <c r="V428" t="inlineStr">
        <is>
          <t>MXN</t>
        </is>
      </c>
      <c r="W428" t="inlineStr">
        <is>
          <t>M3</t>
        </is>
      </c>
      <c r="X428" t="n">
        <v>354.04</v>
      </c>
      <c r="Y428" t="inlineStr">
        <is>
          <t>MXN</t>
        </is>
      </c>
      <c r="Z428" t="inlineStr">
        <is>
          <t>M3</t>
        </is>
      </c>
      <c r="AA428" t="inlineStr">
        <is>
          <t>66808556</t>
        </is>
      </c>
      <c r="AB428" t="inlineStr">
        <is>
          <t>RESIDENCE NUEVA YORK</t>
        </is>
      </c>
      <c r="AC428" t="n">
        <v>56103637</v>
      </c>
      <c r="AD428" t="n">
        <v>6622261540</v>
      </c>
      <c r="AE428" t="n">
        <v>4</v>
      </c>
      <c r="AF428" t="inlineStr">
        <is>
          <t>ENTREGA DIRECTA</t>
        </is>
      </c>
      <c r="AG428" t="n">
        <v>1.41</v>
      </c>
      <c r="AH428" t="inlineStr">
        <is>
          <t>M3</t>
        </is>
      </c>
      <c r="AI428" t="inlineStr">
        <is>
          <t>X</t>
        </is>
      </c>
      <c r="AJ428" t="n">
        <v>4</v>
      </c>
      <c r="AK428" t="inlineStr">
        <is>
          <t>V4</t>
        </is>
      </c>
      <c r="AL428" t="n">
        <v>20230920</v>
      </c>
      <c r="AM428" t="inlineStr">
        <is>
          <t>D836-900002574-66808556-10000623-4</t>
        </is>
      </c>
    </row>
    <row r="429">
      <c r="A429" t="inlineStr">
        <is>
          <t>900002574D8366682864610000630</t>
        </is>
      </c>
      <c r="B429" t="inlineStr">
        <is>
          <t>4600027590-560</t>
        </is>
      </c>
      <c r="C429" t="n">
        <v>4600027590</v>
      </c>
      <c r="D429" t="n">
        <v>560</v>
      </c>
      <c r="E429" t="inlineStr">
        <is>
          <t>MXPO</t>
        </is>
      </c>
      <c r="F429" t="inlineStr">
        <is>
          <t>M02</t>
        </is>
      </c>
      <c r="G429" t="n">
        <v>900002574</v>
      </c>
      <c r="H429" t="inlineStr">
        <is>
          <t>TP-ED-OLIELL</t>
        </is>
      </c>
      <c r="I429" t="n">
        <v>5048484</v>
      </c>
      <c r="J429" t="inlineStr">
        <is>
          <t>COMERCIALIZADORA Y TRANSPORTADORA O</t>
        </is>
      </c>
      <c r="K429" t="inlineStr">
        <is>
          <t>N90</t>
        </is>
      </c>
      <c r="L429" t="inlineStr">
        <is>
          <t>(AP) NAFIN 90 Dias</t>
        </is>
      </c>
      <c r="M429" t="n">
        <v>10000630</v>
      </c>
      <c r="N429" t="inlineStr">
        <is>
          <t>Grava Triturada Caliza 13 mm - 1/2"</t>
        </is>
      </c>
      <c r="O429" t="inlineStr">
        <is>
          <t>D836</t>
        </is>
      </c>
      <c r="P429" t="inlineStr">
        <is>
          <t>MX-CED. CENTRO</t>
        </is>
      </c>
      <c r="Q429" t="n">
        <v>20141106</v>
      </c>
      <c r="R429" t="n">
        <v>20281231</v>
      </c>
      <c r="S429" t="n">
        <v>20191129</v>
      </c>
      <c r="T429" t="n">
        <v>20241231</v>
      </c>
      <c r="U429" t="n">
        <v>520</v>
      </c>
      <c r="V429" t="inlineStr">
        <is>
          <t>MXN</t>
        </is>
      </c>
      <c r="W429" t="inlineStr">
        <is>
          <t>M3</t>
        </is>
      </c>
      <c r="X429" t="n">
        <v>260</v>
      </c>
      <c r="Y429" t="inlineStr">
        <is>
          <t>MXN</t>
        </is>
      </c>
      <c r="Z429" t="inlineStr">
        <is>
          <t>M3</t>
        </is>
      </c>
      <c r="AA429" t="inlineStr">
        <is>
          <t>66828646</t>
        </is>
      </c>
      <c r="AB429" t="inlineStr">
        <is>
          <t>TUXPAN 54</t>
        </is>
      </c>
      <c r="AC429" t="n">
        <v>56103637</v>
      </c>
      <c r="AD429" t="n">
        <v>6622261540</v>
      </c>
      <c r="AE429" t="n">
        <v>4</v>
      </c>
      <c r="AF429" t="inlineStr">
        <is>
          <t>ENTREGA DIRECTA</t>
        </is>
      </c>
      <c r="AG429" t="n">
        <v>1.4</v>
      </c>
      <c r="AH429" t="inlineStr">
        <is>
          <t>M3</t>
        </is>
      </c>
      <c r="AI429" t="inlineStr">
        <is>
          <t>X</t>
        </is>
      </c>
      <c r="AJ429" t="n">
        <v>4</v>
      </c>
      <c r="AK429" t="inlineStr">
        <is>
          <t>V4</t>
        </is>
      </c>
      <c r="AL429" t="n">
        <v>20230920</v>
      </c>
      <c r="AM429" t="inlineStr">
        <is>
          <t>D836-900002574-66828646-10000630-4</t>
        </is>
      </c>
    </row>
    <row r="430">
      <c r="A430" t="inlineStr">
        <is>
          <t>900002574D8366648598110000160</t>
        </is>
      </c>
      <c r="B430" t="inlineStr">
        <is>
          <t>4600027590-430</t>
        </is>
      </c>
      <c r="C430" t="n">
        <v>4600027590</v>
      </c>
      <c r="D430" t="n">
        <v>430</v>
      </c>
      <c r="E430" t="inlineStr">
        <is>
          <t>MXPO</t>
        </is>
      </c>
      <c r="F430" t="inlineStr">
        <is>
          <t>M02</t>
        </is>
      </c>
      <c r="G430" t="n">
        <v>900002574</v>
      </c>
      <c r="H430" t="inlineStr">
        <is>
          <t>TP-ED-OLIELL</t>
        </is>
      </c>
      <c r="I430" t="n">
        <v>5048484</v>
      </c>
      <c r="J430" t="inlineStr">
        <is>
          <t>COMERCIALIZADORA Y TRANSPORTADORA O</t>
        </is>
      </c>
      <c r="K430" t="inlineStr">
        <is>
          <t>N90</t>
        </is>
      </c>
      <c r="L430" t="inlineStr">
        <is>
          <t>(AP) NAFIN 90 Dias</t>
        </is>
      </c>
      <c r="M430" t="n">
        <v>10000160</v>
      </c>
      <c r="N430" t="inlineStr">
        <is>
          <t>Arena Triturada Andesita Malla 4</t>
        </is>
      </c>
      <c r="O430" t="inlineStr">
        <is>
          <t>D836</t>
        </is>
      </c>
      <c r="P430" t="inlineStr">
        <is>
          <t>MX-CED. CENTRO</t>
        </is>
      </c>
      <c r="Q430" t="n">
        <v>20141106</v>
      </c>
      <c r="R430" t="n">
        <v>20281231</v>
      </c>
      <c r="S430" t="n">
        <v>20191108</v>
      </c>
      <c r="T430" t="n">
        <v>20241231</v>
      </c>
      <c r="U430" t="n">
        <v>388</v>
      </c>
      <c r="V430" t="inlineStr">
        <is>
          <t>MXN</t>
        </is>
      </c>
      <c r="W430" t="inlineStr">
        <is>
          <t>M3</t>
        </is>
      </c>
      <c r="X430" t="n">
        <v>194</v>
      </c>
      <c r="Y430" t="inlineStr">
        <is>
          <t>MXN</t>
        </is>
      </c>
      <c r="Z430" t="inlineStr">
        <is>
          <t>M3</t>
        </is>
      </c>
      <c r="AA430" t="inlineStr">
        <is>
          <t>66485981</t>
        </is>
      </c>
      <c r="AB430" t="inlineStr">
        <is>
          <t>DIAMANTE 11</t>
        </is>
      </c>
      <c r="AC430" t="n">
        <v>56103638</v>
      </c>
      <c r="AD430" t="n">
        <v>6622261540</v>
      </c>
      <c r="AE430" t="n">
        <v>4</v>
      </c>
      <c r="AF430" t="inlineStr">
        <is>
          <t>ENTREGA DIRECTA</t>
        </is>
      </c>
      <c r="AG430" t="n">
        <v>1.409</v>
      </c>
      <c r="AH430" t="inlineStr">
        <is>
          <t>M3</t>
        </is>
      </c>
      <c r="AI430" t="inlineStr">
        <is>
          <t>X</t>
        </is>
      </c>
      <c r="AJ430" t="n">
        <v>4</v>
      </c>
      <c r="AK430" t="inlineStr">
        <is>
          <t>V4</t>
        </is>
      </c>
      <c r="AL430" t="n">
        <v>20230920</v>
      </c>
      <c r="AM430" t="inlineStr">
        <is>
          <t>D836-900002574-66485981-10000160-4</t>
        </is>
      </c>
    </row>
    <row r="431">
      <c r="A431" t="inlineStr">
        <is>
          <t>900002574D8366689944710000357</t>
        </is>
      </c>
      <c r="B431" t="inlineStr">
        <is>
          <t>4600027590-1490</t>
        </is>
      </c>
      <c r="C431" t="n">
        <v>4600027590</v>
      </c>
      <c r="D431" t="n">
        <v>1490</v>
      </c>
      <c r="E431" t="inlineStr">
        <is>
          <t>MXPO</t>
        </is>
      </c>
      <c r="F431" t="inlineStr">
        <is>
          <t>M02</t>
        </is>
      </c>
      <c r="G431" t="n">
        <v>900002574</v>
      </c>
      <c r="H431" t="inlineStr">
        <is>
          <t>TP-ED-OLIELL</t>
        </is>
      </c>
      <c r="I431" t="n">
        <v>5048484</v>
      </c>
      <c r="J431" t="inlineStr">
        <is>
          <t>COMERCIALIZADORA Y TRANSPORTADORA O</t>
        </is>
      </c>
      <c r="K431" t="inlineStr">
        <is>
          <t>N90</t>
        </is>
      </c>
      <c r="L431" t="inlineStr">
        <is>
          <t>(AP) NAFIN 90 Dias</t>
        </is>
      </c>
      <c r="M431" t="n">
        <v>10000357</v>
      </c>
      <c r="N431" t="inlineStr">
        <is>
          <t>Grava Triturada Andesita 20 mm - 3/4"</t>
        </is>
      </c>
      <c r="O431" t="inlineStr">
        <is>
          <t>D836</t>
        </is>
      </c>
      <c r="P431" t="inlineStr">
        <is>
          <t>MX-CED. CENTRO</t>
        </is>
      </c>
      <c r="Q431" t="n">
        <v>20141106</v>
      </c>
      <c r="R431" t="n">
        <v>20281231</v>
      </c>
      <c r="S431" t="n">
        <v>20200928</v>
      </c>
      <c r="T431" t="n">
        <v>20291231</v>
      </c>
      <c r="U431" t="n">
        <v>502.16</v>
      </c>
      <c r="V431" t="inlineStr">
        <is>
          <t>MXN</t>
        </is>
      </c>
      <c r="W431" t="inlineStr">
        <is>
          <t>M3</t>
        </is>
      </c>
      <c r="X431" t="n">
        <v>372.92</v>
      </c>
      <c r="Y431" t="inlineStr">
        <is>
          <t>MXN</t>
        </is>
      </c>
      <c r="Z431" t="inlineStr">
        <is>
          <t>M3</t>
        </is>
      </c>
      <c r="AA431" t="inlineStr">
        <is>
          <t>66899447</t>
        </is>
      </c>
      <c r="AC431" t="n">
        <v>56103637</v>
      </c>
      <c r="AD431" t="n">
        <v>6622261540</v>
      </c>
      <c r="AE431" t="n">
        <v>4</v>
      </c>
      <c r="AF431" t="inlineStr">
        <is>
          <t>ENTREGA DIRECTA</t>
        </is>
      </c>
      <c r="AG431" t="n">
        <v>1.326</v>
      </c>
      <c r="AH431" t="inlineStr">
        <is>
          <t>M3</t>
        </is>
      </c>
      <c r="AI431" t="inlineStr">
        <is>
          <t>X</t>
        </is>
      </c>
      <c r="AJ431" t="n">
        <v>4</v>
      </c>
      <c r="AK431" t="inlineStr">
        <is>
          <t>V4</t>
        </is>
      </c>
      <c r="AL431" t="n">
        <v>20230920</v>
      </c>
      <c r="AM431" t="inlineStr">
        <is>
          <t>D836-900002574-66899447-10000357-4</t>
        </is>
      </c>
    </row>
    <row r="432">
      <c r="A432" t="inlineStr">
        <is>
          <t>900002574D8366689934910000357</t>
        </is>
      </c>
      <c r="B432" t="inlineStr">
        <is>
          <t>4600027590-1330</t>
        </is>
      </c>
      <c r="C432" t="n">
        <v>4600027590</v>
      </c>
      <c r="D432" t="n">
        <v>1330</v>
      </c>
      <c r="E432" t="inlineStr">
        <is>
          <t>MXPO</t>
        </is>
      </c>
      <c r="F432" t="inlineStr">
        <is>
          <t>M02</t>
        </is>
      </c>
      <c r="G432" t="n">
        <v>900002574</v>
      </c>
      <c r="H432" t="inlineStr">
        <is>
          <t>TP-ED-OLIELL</t>
        </is>
      </c>
      <c r="I432" t="n">
        <v>5048484</v>
      </c>
      <c r="J432" t="inlineStr">
        <is>
          <t>COMERCIALIZADORA Y TRANSPORTADORA O</t>
        </is>
      </c>
      <c r="K432" t="inlineStr">
        <is>
          <t>N90</t>
        </is>
      </c>
      <c r="L432" t="inlineStr">
        <is>
          <t>(AP) NAFIN 90 Dias</t>
        </is>
      </c>
      <c r="M432" t="n">
        <v>10000357</v>
      </c>
      <c r="N432" t="inlineStr">
        <is>
          <t>Grava Triturada Andesita 20 mm - 3/4"</t>
        </is>
      </c>
      <c r="O432" t="inlineStr">
        <is>
          <t>D836</t>
        </is>
      </c>
      <c r="P432" t="inlineStr">
        <is>
          <t>MX-CED. CENTRO</t>
        </is>
      </c>
      <c r="Q432" t="n">
        <v>20141106</v>
      </c>
      <c r="R432" t="n">
        <v>20281231</v>
      </c>
      <c r="S432" t="n">
        <v>20200928</v>
      </c>
      <c r="T432" t="n">
        <v>20291231</v>
      </c>
      <c r="U432" t="n">
        <v>502.16</v>
      </c>
      <c r="V432" t="inlineStr">
        <is>
          <t>MXN</t>
        </is>
      </c>
      <c r="W432" t="inlineStr">
        <is>
          <t>M3</t>
        </is>
      </c>
      <c r="X432" t="n">
        <v>372.92</v>
      </c>
      <c r="Y432" t="inlineStr">
        <is>
          <t>MXN</t>
        </is>
      </c>
      <c r="Z432" t="inlineStr">
        <is>
          <t>M3</t>
        </is>
      </c>
      <c r="AA432" t="inlineStr">
        <is>
          <t>66899349</t>
        </is>
      </c>
      <c r="AC432" t="n">
        <v>56103637</v>
      </c>
      <c r="AD432" t="n">
        <v>6622261540</v>
      </c>
      <c r="AE432" t="n">
        <v>4</v>
      </c>
      <c r="AF432" t="inlineStr">
        <is>
          <t>ENTREGA DIRECTA</t>
        </is>
      </c>
      <c r="AG432" t="n">
        <v>1.326</v>
      </c>
      <c r="AH432" t="inlineStr">
        <is>
          <t>M3</t>
        </is>
      </c>
      <c r="AI432" t="inlineStr">
        <is>
          <t>X</t>
        </is>
      </c>
      <c r="AJ432" t="n">
        <v>4</v>
      </c>
      <c r="AK432" t="inlineStr">
        <is>
          <t>V4</t>
        </is>
      </c>
      <c r="AL432" t="n">
        <v>20230920</v>
      </c>
      <c r="AM432" t="inlineStr">
        <is>
          <t>D836-900002574-66899349-10000357-4</t>
        </is>
      </c>
    </row>
    <row r="433">
      <c r="A433" t="inlineStr">
        <is>
          <t>900002574D8366686965510000160</t>
        </is>
      </c>
      <c r="B433" t="inlineStr">
        <is>
          <t>4600027590-1010</t>
        </is>
      </c>
      <c r="C433" t="n">
        <v>4600027590</v>
      </c>
      <c r="D433" t="n">
        <v>1010</v>
      </c>
      <c r="E433" t="inlineStr">
        <is>
          <t>MXPO</t>
        </is>
      </c>
      <c r="F433" t="inlineStr">
        <is>
          <t>M02</t>
        </is>
      </c>
      <c r="G433" t="n">
        <v>900002574</v>
      </c>
      <c r="H433" t="inlineStr">
        <is>
          <t>TP-ED-OLIELL</t>
        </is>
      </c>
      <c r="I433" t="n">
        <v>5048484</v>
      </c>
      <c r="J433" t="inlineStr">
        <is>
          <t>COMERCIALIZADORA Y TRANSPORTADORA O</t>
        </is>
      </c>
      <c r="K433" t="inlineStr">
        <is>
          <t>N90</t>
        </is>
      </c>
      <c r="L433" t="inlineStr">
        <is>
          <t>(AP) NAFIN 90 Dias</t>
        </is>
      </c>
      <c r="M433" t="n">
        <v>10000160</v>
      </c>
      <c r="N433" t="inlineStr">
        <is>
          <t>Arena Triturada Andesita Malla 4</t>
        </is>
      </c>
      <c r="O433" t="inlineStr">
        <is>
          <t>D836</t>
        </is>
      </c>
      <c r="P433" t="inlineStr">
        <is>
          <t>MX-CED. CENTRO</t>
        </is>
      </c>
      <c r="Q433" t="n">
        <v>20141106</v>
      </c>
      <c r="R433" t="n">
        <v>20281231</v>
      </c>
      <c r="S433" t="n">
        <v>20200521</v>
      </c>
      <c r="T433" t="n">
        <v>20291231</v>
      </c>
      <c r="U433" t="n">
        <v>500</v>
      </c>
      <c r="V433" t="inlineStr">
        <is>
          <t>MXN</t>
        </is>
      </c>
      <c r="W433" t="inlineStr">
        <is>
          <t>M3</t>
        </is>
      </c>
      <c r="X433" t="n">
        <v>385</v>
      </c>
      <c r="Y433" t="inlineStr">
        <is>
          <t>MXN</t>
        </is>
      </c>
      <c r="Z433" t="inlineStr">
        <is>
          <t>M3</t>
        </is>
      </c>
      <c r="AA433" t="inlineStr">
        <is>
          <t>66869655</t>
        </is>
      </c>
      <c r="AB433" t="inlineStr">
        <is>
          <t>ALEMANIA 11</t>
        </is>
      </c>
      <c r="AC433" t="n">
        <v>56103638</v>
      </c>
      <c r="AD433" t="n">
        <v>6622261540</v>
      </c>
      <c r="AE433" t="n">
        <v>4</v>
      </c>
      <c r="AF433" t="inlineStr">
        <is>
          <t>ENTREGA DIRECTA</t>
        </is>
      </c>
      <c r="AG433" t="n">
        <v>1.409</v>
      </c>
      <c r="AH433" t="inlineStr">
        <is>
          <t>M3</t>
        </is>
      </c>
      <c r="AI433" t="inlineStr">
        <is>
          <t>X</t>
        </is>
      </c>
      <c r="AJ433" t="n">
        <v>4</v>
      </c>
      <c r="AK433" t="inlineStr">
        <is>
          <t>V4</t>
        </is>
      </c>
      <c r="AL433" t="n">
        <v>20230920</v>
      </c>
      <c r="AM433" t="inlineStr">
        <is>
          <t>D836-900002574-66869655-10000160-4</t>
        </is>
      </c>
    </row>
    <row r="434">
      <c r="A434" t="inlineStr">
        <is>
          <t>900002574D8366684714410000357</t>
        </is>
      </c>
      <c r="B434" t="inlineStr">
        <is>
          <t>4600027590-860</t>
        </is>
      </c>
      <c r="C434" t="n">
        <v>4600027590</v>
      </c>
      <c r="D434" t="n">
        <v>860</v>
      </c>
      <c r="E434" t="inlineStr">
        <is>
          <t>MXPO</t>
        </is>
      </c>
      <c r="F434" t="inlineStr">
        <is>
          <t>M02</t>
        </is>
      </c>
      <c r="G434" t="n">
        <v>900002574</v>
      </c>
      <c r="H434" t="inlineStr">
        <is>
          <t>TP-ED-OLIELL</t>
        </is>
      </c>
      <c r="I434" t="n">
        <v>5048484</v>
      </c>
      <c r="J434" t="inlineStr">
        <is>
          <t>COMERCIALIZADORA Y TRANSPORTADORA O</t>
        </is>
      </c>
      <c r="K434" t="inlineStr">
        <is>
          <t>N90</t>
        </is>
      </c>
      <c r="L434" t="inlineStr">
        <is>
          <t>(AP) NAFIN 90 Dias</t>
        </is>
      </c>
      <c r="M434" t="n">
        <v>10000357</v>
      </c>
      <c r="N434" t="inlineStr">
        <is>
          <t>Grava Triturada Andesita 20 mm - 3/4"</t>
        </is>
      </c>
      <c r="O434" t="inlineStr">
        <is>
          <t>D836</t>
        </is>
      </c>
      <c r="P434" t="inlineStr">
        <is>
          <t>MX-CED. CENTRO</t>
        </is>
      </c>
      <c r="Q434" t="n">
        <v>20141106</v>
      </c>
      <c r="R434" t="n">
        <v>20281231</v>
      </c>
      <c r="S434" t="n">
        <v>20200212</v>
      </c>
      <c r="T434" t="n">
        <v>20291231</v>
      </c>
      <c r="U434" t="n">
        <v>362.07</v>
      </c>
      <c r="V434" t="inlineStr">
        <is>
          <t>MXN</t>
        </is>
      </c>
      <c r="W434" t="inlineStr">
        <is>
          <t>M3</t>
        </is>
      </c>
      <c r="X434" t="n">
        <v>181</v>
      </c>
      <c r="Y434" t="inlineStr">
        <is>
          <t>MXN</t>
        </is>
      </c>
      <c r="Z434" t="inlineStr">
        <is>
          <t>M3</t>
        </is>
      </c>
      <c r="AA434" t="inlineStr">
        <is>
          <t>66847144</t>
        </is>
      </c>
      <c r="AB434" t="inlineStr">
        <is>
          <t>VERTIZ 1301 (LRR)</t>
        </is>
      </c>
      <c r="AC434" t="n">
        <v>56103637</v>
      </c>
      <c r="AD434" t="n">
        <v>6622261540</v>
      </c>
      <c r="AE434" t="n">
        <v>4</v>
      </c>
      <c r="AF434" t="inlineStr">
        <is>
          <t>ENTREGA DIRECTA</t>
        </is>
      </c>
      <c r="AG434" t="n">
        <v>1.326</v>
      </c>
      <c r="AH434" t="inlineStr">
        <is>
          <t>M3</t>
        </is>
      </c>
      <c r="AI434" t="inlineStr">
        <is>
          <t>X</t>
        </is>
      </c>
      <c r="AJ434" t="n">
        <v>4</v>
      </c>
      <c r="AK434" t="inlineStr">
        <is>
          <t>V4</t>
        </is>
      </c>
      <c r="AL434" t="n">
        <v>20230920</v>
      </c>
      <c r="AM434" t="inlineStr">
        <is>
          <t>D836-900002574-66847144-10000357-4</t>
        </is>
      </c>
    </row>
    <row r="435">
      <c r="A435" t="inlineStr">
        <is>
          <t>900002574D8366687550110058345</t>
        </is>
      </c>
      <c r="B435" t="inlineStr">
        <is>
          <t>4600027590-2250</t>
        </is>
      </c>
      <c r="C435" t="n">
        <v>4600027590</v>
      </c>
      <c r="D435" t="n">
        <v>2250</v>
      </c>
      <c r="E435" t="inlineStr">
        <is>
          <t>MXPO</t>
        </is>
      </c>
      <c r="F435" t="inlineStr">
        <is>
          <t>M02</t>
        </is>
      </c>
      <c r="G435" t="n">
        <v>900002574</v>
      </c>
      <c r="H435" t="inlineStr">
        <is>
          <t>TP-ED-OLIELL</t>
        </is>
      </c>
      <c r="I435" t="n">
        <v>5048484</v>
      </c>
      <c r="J435" t="inlineStr">
        <is>
          <t>COMERCIALIZADORA Y TRANSPORTADORA O</t>
        </is>
      </c>
      <c r="K435" t="inlineStr">
        <is>
          <t>N90</t>
        </is>
      </c>
      <c r="L435" t="inlineStr">
        <is>
          <t>(AP) NAFIN 90 Dias</t>
        </is>
      </c>
      <c r="M435" t="n">
        <v>10058345</v>
      </c>
      <c r="N435" t="inlineStr">
        <is>
          <t>Arena Triturada Caliza Malla 4</t>
        </is>
      </c>
      <c r="O435" t="inlineStr">
        <is>
          <t>D836</t>
        </is>
      </c>
      <c r="P435" t="inlineStr">
        <is>
          <t>MX-CED. CENTRO</t>
        </is>
      </c>
      <c r="Q435" t="n">
        <v>20141106</v>
      </c>
      <c r="R435" t="n">
        <v>20281231</v>
      </c>
      <c r="S435" t="n">
        <v>20220201</v>
      </c>
      <c r="T435" t="n">
        <v>20271231</v>
      </c>
      <c r="U435" t="n">
        <v>846</v>
      </c>
      <c r="V435" t="inlineStr">
        <is>
          <t>MXN</t>
        </is>
      </c>
      <c r="W435" t="inlineStr">
        <is>
          <t>M3</t>
        </is>
      </c>
      <c r="X435" t="n">
        <v>406</v>
      </c>
      <c r="Y435" t="inlineStr">
        <is>
          <t>MXN</t>
        </is>
      </c>
      <c r="Z435" t="inlineStr">
        <is>
          <t>M3</t>
        </is>
      </c>
      <c r="AA435" t="inlineStr">
        <is>
          <t>66875501</t>
        </is>
      </c>
      <c r="AB435" t="inlineStr">
        <is>
          <t>COSTCO SANTA FE</t>
        </is>
      </c>
      <c r="AC435" t="n">
        <v>56103638</v>
      </c>
      <c r="AD435" t="n">
        <v>6622261540</v>
      </c>
      <c r="AE435" t="n">
        <v>4</v>
      </c>
      <c r="AF435" t="inlineStr">
        <is>
          <t>ENTREGA DIRECTA</t>
        </is>
      </c>
      <c r="AG435" t="n">
        <v>1.575</v>
      </c>
      <c r="AH435" t="inlineStr">
        <is>
          <t>M3</t>
        </is>
      </c>
      <c r="AI435" t="inlineStr">
        <is>
          <t>X</t>
        </is>
      </c>
      <c r="AJ435" t="n">
        <v>4</v>
      </c>
      <c r="AK435" t="inlineStr">
        <is>
          <t>V4</t>
        </is>
      </c>
      <c r="AL435" t="n">
        <v>20230920</v>
      </c>
      <c r="AM435" t="inlineStr">
        <is>
          <t>D836-900002574-66875501-10058345-4</t>
        </is>
      </c>
    </row>
    <row r="436">
      <c r="A436" t="inlineStr">
        <is>
          <t>900002574D8366679447410000160</t>
        </is>
      </c>
      <c r="B436" t="inlineStr">
        <is>
          <t>4600027590-920</t>
        </is>
      </c>
      <c r="C436" t="n">
        <v>4600027590</v>
      </c>
      <c r="D436" t="n">
        <v>920</v>
      </c>
      <c r="E436" t="inlineStr">
        <is>
          <t>MXPO</t>
        </is>
      </c>
      <c r="F436" t="inlineStr">
        <is>
          <t>M02</t>
        </is>
      </c>
      <c r="G436" t="n">
        <v>900002574</v>
      </c>
      <c r="H436" t="inlineStr">
        <is>
          <t>TP-ED-OLIELL</t>
        </is>
      </c>
      <c r="I436" t="n">
        <v>5048484</v>
      </c>
      <c r="J436" t="inlineStr">
        <is>
          <t>COMERCIALIZADORA Y TRANSPORTADORA O</t>
        </is>
      </c>
      <c r="K436" t="inlineStr">
        <is>
          <t>N90</t>
        </is>
      </c>
      <c r="L436" t="inlineStr">
        <is>
          <t>(AP) NAFIN 90 Dias</t>
        </is>
      </c>
      <c r="M436" t="n">
        <v>10000160</v>
      </c>
      <c r="N436" t="inlineStr">
        <is>
          <t>Arena Triturada Andesita Malla 4</t>
        </is>
      </c>
      <c r="O436" t="inlineStr">
        <is>
          <t>D836</t>
        </is>
      </c>
      <c r="P436" t="inlineStr">
        <is>
          <t>MX-CED. CENTRO</t>
        </is>
      </c>
      <c r="Q436" t="n">
        <v>20141106</v>
      </c>
      <c r="R436" t="n">
        <v>20281231</v>
      </c>
      <c r="S436" t="n">
        <v>20200325</v>
      </c>
      <c r="T436" t="n">
        <v>20291231</v>
      </c>
      <c r="U436" t="n">
        <v>387.93</v>
      </c>
      <c r="V436" t="inlineStr">
        <is>
          <t>MXN</t>
        </is>
      </c>
      <c r="W436" t="inlineStr">
        <is>
          <t>M3</t>
        </is>
      </c>
      <c r="X436" t="n">
        <v>200</v>
      </c>
      <c r="Y436" t="inlineStr">
        <is>
          <t>MXN</t>
        </is>
      </c>
      <c r="Z436" t="inlineStr">
        <is>
          <t>M3</t>
        </is>
      </c>
      <c r="AA436" t="inlineStr">
        <is>
          <t>66794474</t>
        </is>
      </c>
      <c r="AB436" t="inlineStr">
        <is>
          <t>VT00901 CP-I LOSA ZAMORA</t>
        </is>
      </c>
      <c r="AC436" t="n">
        <v>56103638</v>
      </c>
      <c r="AD436" t="n">
        <v>6622261540</v>
      </c>
      <c r="AE436" t="n">
        <v>4</v>
      </c>
      <c r="AF436" t="inlineStr">
        <is>
          <t>ENTREGA DIRECTA</t>
        </is>
      </c>
      <c r="AG436" t="n">
        <v>1.409</v>
      </c>
      <c r="AH436" t="inlineStr">
        <is>
          <t>M3</t>
        </is>
      </c>
      <c r="AI436" t="inlineStr">
        <is>
          <t>X</t>
        </is>
      </c>
      <c r="AJ436" t="n">
        <v>4</v>
      </c>
      <c r="AK436" t="inlineStr">
        <is>
          <t>V4</t>
        </is>
      </c>
      <c r="AL436" t="n">
        <v>20230920</v>
      </c>
      <c r="AM436" t="inlineStr">
        <is>
          <t>D836-900002574-66794474-10000160-4</t>
        </is>
      </c>
    </row>
    <row r="437">
      <c r="A437" t="inlineStr">
        <is>
          <t>900002574D8366660042210000357</t>
        </is>
      </c>
      <c r="B437" t="inlineStr">
        <is>
          <t>4600027590-250</t>
        </is>
      </c>
      <c r="C437" t="n">
        <v>4600027590</v>
      </c>
      <c r="D437" t="n">
        <v>250</v>
      </c>
      <c r="E437" t="inlineStr">
        <is>
          <t>MXPO</t>
        </is>
      </c>
      <c r="F437" t="inlineStr">
        <is>
          <t>M02</t>
        </is>
      </c>
      <c r="G437" t="n">
        <v>900002574</v>
      </c>
      <c r="H437" t="inlineStr">
        <is>
          <t>TP-ED-OLIELL</t>
        </is>
      </c>
      <c r="I437" t="n">
        <v>5048484</v>
      </c>
      <c r="J437" t="inlineStr">
        <is>
          <t>COMERCIALIZADORA Y TRANSPORTADORA O</t>
        </is>
      </c>
      <c r="K437" t="inlineStr">
        <is>
          <t>N90</t>
        </is>
      </c>
      <c r="L437" t="inlineStr">
        <is>
          <t>(AP) NAFIN 90 Dias</t>
        </is>
      </c>
      <c r="M437" t="n">
        <v>10000357</v>
      </c>
      <c r="N437" t="inlineStr">
        <is>
          <t>Grava Triturada Andesita 20 mm - 3/4"</t>
        </is>
      </c>
      <c r="O437" t="inlineStr">
        <is>
          <t>D836</t>
        </is>
      </c>
      <c r="P437" t="inlineStr">
        <is>
          <t>MX-CED. CENTRO</t>
        </is>
      </c>
      <c r="Q437" t="n">
        <v>20141106</v>
      </c>
      <c r="R437" t="n">
        <v>20281231</v>
      </c>
      <c r="S437" t="n">
        <v>20190919</v>
      </c>
      <c r="T437" t="n">
        <v>20241231</v>
      </c>
      <c r="U437" t="n">
        <v>301.72</v>
      </c>
      <c r="V437" t="inlineStr">
        <is>
          <t>MXN</t>
        </is>
      </c>
      <c r="W437" t="inlineStr">
        <is>
          <t>M3</t>
        </is>
      </c>
      <c r="X437" t="n">
        <v>150.86</v>
      </c>
      <c r="Y437" t="inlineStr">
        <is>
          <t>MXN</t>
        </is>
      </c>
      <c r="Z437" t="inlineStr">
        <is>
          <t>M3</t>
        </is>
      </c>
      <c r="AA437" t="inlineStr">
        <is>
          <t>66600422</t>
        </is>
      </c>
      <c r="AB437" t="inlineStr">
        <is>
          <t>SAN FELIPE 226</t>
        </is>
      </c>
      <c r="AC437" t="n">
        <v>56103637</v>
      </c>
      <c r="AD437" t="n">
        <v>6622261540</v>
      </c>
      <c r="AE437" t="n">
        <v>4</v>
      </c>
      <c r="AF437" t="inlineStr">
        <is>
          <t>ENTREGA DIRECTA</t>
        </is>
      </c>
      <c r="AG437" t="n">
        <v>1.326</v>
      </c>
      <c r="AH437" t="inlineStr">
        <is>
          <t>M3</t>
        </is>
      </c>
      <c r="AI437" t="inlineStr">
        <is>
          <t>X</t>
        </is>
      </c>
      <c r="AJ437" t="n">
        <v>4</v>
      </c>
      <c r="AK437" t="inlineStr">
        <is>
          <t>V4</t>
        </is>
      </c>
      <c r="AL437" t="n">
        <v>20230920</v>
      </c>
      <c r="AM437" t="inlineStr">
        <is>
          <t>D836-900002574-66600422-10000357-4</t>
        </is>
      </c>
    </row>
    <row r="438">
      <c r="A438" t="inlineStr">
        <is>
          <t>900002574D8366694918610000357</t>
        </is>
      </c>
      <c r="B438" t="inlineStr">
        <is>
          <t>4600027590-2090</t>
        </is>
      </c>
      <c r="C438" t="n">
        <v>4600027590</v>
      </c>
      <c r="D438" t="n">
        <v>2090</v>
      </c>
      <c r="E438" t="inlineStr">
        <is>
          <t>MXPO</t>
        </is>
      </c>
      <c r="F438" t="inlineStr">
        <is>
          <t>M02</t>
        </is>
      </c>
      <c r="G438" t="n">
        <v>900002574</v>
      </c>
      <c r="H438" t="inlineStr">
        <is>
          <t>TP-ED-OLIELL</t>
        </is>
      </c>
      <c r="I438" t="n">
        <v>5048484</v>
      </c>
      <c r="J438" t="inlineStr">
        <is>
          <t>COMERCIALIZADORA Y TRANSPORTADORA O</t>
        </is>
      </c>
      <c r="K438" t="inlineStr">
        <is>
          <t>N90</t>
        </is>
      </c>
      <c r="L438" t="inlineStr">
        <is>
          <t>(AP) NAFIN 90 Dias</t>
        </is>
      </c>
      <c r="M438" t="n">
        <v>10000357</v>
      </c>
      <c r="N438" t="inlineStr">
        <is>
          <t>Grava Triturada Andesita 20 mm - 3/4"</t>
        </is>
      </c>
      <c r="O438" t="inlineStr">
        <is>
          <t>D836</t>
        </is>
      </c>
      <c r="P438" t="inlineStr">
        <is>
          <t>MX-CED. CENTRO</t>
        </is>
      </c>
      <c r="Q438" t="n">
        <v>20141106</v>
      </c>
      <c r="R438" t="n">
        <v>20281231</v>
      </c>
      <c r="S438" t="n">
        <v>20210414</v>
      </c>
      <c r="T438" t="n">
        <v>20291231</v>
      </c>
      <c r="U438" t="n">
        <v>380</v>
      </c>
      <c r="V438" t="inlineStr">
        <is>
          <t>MXN</t>
        </is>
      </c>
      <c r="W438" t="inlineStr">
        <is>
          <t>M3</t>
        </is>
      </c>
      <c r="X438" t="n">
        <v>250</v>
      </c>
      <c r="Y438" t="inlineStr">
        <is>
          <t>MXN</t>
        </is>
      </c>
      <c r="Z438" t="inlineStr">
        <is>
          <t>M3</t>
        </is>
      </c>
      <c r="AA438" t="inlineStr">
        <is>
          <t>66949186</t>
        </is>
      </c>
      <c r="AB438" t="inlineStr">
        <is>
          <t>COLEGIO LA ASUNCION (SEBJ)</t>
        </is>
      </c>
      <c r="AC438" t="n">
        <v>56103637</v>
      </c>
      <c r="AD438" t="n">
        <v>6622261540</v>
      </c>
      <c r="AE438" t="n">
        <v>4</v>
      </c>
      <c r="AF438" t="inlineStr">
        <is>
          <t>ENTREGA DIRECTA</t>
        </is>
      </c>
      <c r="AG438" t="n">
        <v>1.326</v>
      </c>
      <c r="AH438" t="inlineStr">
        <is>
          <t>M3</t>
        </is>
      </c>
      <c r="AI438" t="inlineStr">
        <is>
          <t>X</t>
        </is>
      </c>
      <c r="AJ438" t="n">
        <v>4</v>
      </c>
      <c r="AK438" t="inlineStr">
        <is>
          <t>V4</t>
        </is>
      </c>
      <c r="AL438" t="n">
        <v>20230920</v>
      </c>
      <c r="AM438" t="inlineStr">
        <is>
          <t>D836-900002574-66949186-10000357-4</t>
        </is>
      </c>
    </row>
    <row r="439">
      <c r="A439" t="inlineStr">
        <is>
          <t>900002574D8366689786710000357</t>
        </is>
      </c>
      <c r="B439" t="inlineStr">
        <is>
          <t>4600027590-1270</t>
        </is>
      </c>
      <c r="C439" t="n">
        <v>4600027590</v>
      </c>
      <c r="D439" t="n">
        <v>1270</v>
      </c>
      <c r="E439" t="inlineStr">
        <is>
          <t>MXPO</t>
        </is>
      </c>
      <c r="F439" t="inlineStr">
        <is>
          <t>M02</t>
        </is>
      </c>
      <c r="G439" t="n">
        <v>900002574</v>
      </c>
      <c r="H439" t="inlineStr">
        <is>
          <t>TP-ED-OLIELL</t>
        </is>
      </c>
      <c r="I439" t="n">
        <v>5048484</v>
      </c>
      <c r="J439" t="inlineStr">
        <is>
          <t>COMERCIALIZADORA Y TRANSPORTADORA O</t>
        </is>
      </c>
      <c r="K439" t="inlineStr">
        <is>
          <t>N90</t>
        </is>
      </c>
      <c r="L439" t="inlineStr">
        <is>
          <t>(AP) NAFIN 90 Dias</t>
        </is>
      </c>
      <c r="M439" t="n">
        <v>10000357</v>
      </c>
      <c r="N439" t="inlineStr">
        <is>
          <t>Grava Triturada Andesita 20 mm - 3/4"</t>
        </is>
      </c>
      <c r="O439" t="inlineStr">
        <is>
          <t>D836</t>
        </is>
      </c>
      <c r="P439" t="inlineStr">
        <is>
          <t>MX-CED. CENTRO</t>
        </is>
      </c>
      <c r="Q439" t="n">
        <v>20141106</v>
      </c>
      <c r="R439" t="n">
        <v>20281231</v>
      </c>
      <c r="S439" t="n">
        <v>20200911</v>
      </c>
      <c r="T439" t="n">
        <v>20291231</v>
      </c>
      <c r="U439" t="n">
        <v>491.37</v>
      </c>
      <c r="V439" t="inlineStr">
        <is>
          <t>MXN</t>
        </is>
      </c>
      <c r="W439" t="inlineStr">
        <is>
          <t>M3</t>
        </is>
      </c>
      <c r="X439" t="n">
        <v>376</v>
      </c>
      <c r="Y439" t="inlineStr">
        <is>
          <t>MXN</t>
        </is>
      </c>
      <c r="Z439" t="inlineStr">
        <is>
          <t>M3</t>
        </is>
      </c>
      <c r="AA439" t="inlineStr">
        <is>
          <t>66897867</t>
        </is>
      </c>
      <c r="AB439" t="inlineStr">
        <is>
          <t>LATONEROS 84</t>
        </is>
      </c>
      <c r="AC439" t="n">
        <v>56103637</v>
      </c>
      <c r="AD439" t="n">
        <v>6622261540</v>
      </c>
      <c r="AE439" t="n">
        <v>4</v>
      </c>
      <c r="AF439" t="inlineStr">
        <is>
          <t>ENTREGA DIRECTA</t>
        </is>
      </c>
      <c r="AG439" t="n">
        <v>1.326</v>
      </c>
      <c r="AH439" t="inlineStr">
        <is>
          <t>M3</t>
        </is>
      </c>
      <c r="AI439" t="inlineStr">
        <is>
          <t>X</t>
        </is>
      </c>
      <c r="AJ439" t="n">
        <v>4</v>
      </c>
      <c r="AK439" t="inlineStr">
        <is>
          <t>V4</t>
        </is>
      </c>
      <c r="AL439" t="n">
        <v>20230920</v>
      </c>
      <c r="AM439" t="inlineStr">
        <is>
          <t>D836-900002574-66897867-10000357-4</t>
        </is>
      </c>
    </row>
    <row r="440">
      <c r="A440" t="inlineStr">
        <is>
          <t>900002574D8366646005310000651</t>
        </is>
      </c>
      <c r="B440" t="inlineStr">
        <is>
          <t>4600027590-720</t>
        </is>
      </c>
      <c r="C440" t="n">
        <v>4600027590</v>
      </c>
      <c r="D440" t="n">
        <v>720</v>
      </c>
      <c r="E440" t="inlineStr">
        <is>
          <t>MXPO</t>
        </is>
      </c>
      <c r="F440" t="inlineStr">
        <is>
          <t>M02</t>
        </is>
      </c>
      <c r="G440" t="n">
        <v>900002574</v>
      </c>
      <c r="H440" t="inlineStr">
        <is>
          <t>TP-ED-OLIELL</t>
        </is>
      </c>
      <c r="I440" t="n">
        <v>5048484</v>
      </c>
      <c r="J440" t="inlineStr">
        <is>
          <t>COMERCIALIZADORA Y TRANSPORTADORA O</t>
        </is>
      </c>
      <c r="K440" t="inlineStr">
        <is>
          <t>N90</t>
        </is>
      </c>
      <c r="L440" t="inlineStr">
        <is>
          <t>(AP) NAFIN 90 Dias</t>
        </is>
      </c>
      <c r="M440" t="n">
        <v>10000651</v>
      </c>
      <c r="N440" t="inlineStr">
        <is>
          <t>Arena Triturada Andesita Malla 8</t>
        </is>
      </c>
      <c r="O440" t="inlineStr">
        <is>
          <t>D836</t>
        </is>
      </c>
      <c r="P440" t="inlineStr">
        <is>
          <t>MX-CED. CENTRO</t>
        </is>
      </c>
      <c r="Q440" t="n">
        <v>20141106</v>
      </c>
      <c r="R440" t="n">
        <v>20281231</v>
      </c>
      <c r="S440" t="n">
        <v>20200212</v>
      </c>
      <c r="T440" t="n">
        <v>20291231</v>
      </c>
      <c r="U440" t="n">
        <v>344.83</v>
      </c>
      <c r="V440" t="inlineStr">
        <is>
          <t>MXN</t>
        </is>
      </c>
      <c r="W440" t="inlineStr">
        <is>
          <t>M3</t>
        </is>
      </c>
      <c r="X440" t="n">
        <v>172.42</v>
      </c>
      <c r="Y440" t="inlineStr">
        <is>
          <t>MXN</t>
        </is>
      </c>
      <c r="Z440" t="inlineStr">
        <is>
          <t>M3</t>
        </is>
      </c>
      <c r="AA440" t="inlineStr">
        <is>
          <t>66460053</t>
        </is>
      </c>
      <c r="AB440" t="inlineStr">
        <is>
          <t>RESIDENCIAL PUNTO CERO (RCJ)</t>
        </is>
      </c>
      <c r="AC440" t="n">
        <v>56103638</v>
      </c>
      <c r="AD440" t="n">
        <v>6622261540</v>
      </c>
      <c r="AE440" t="n">
        <v>4</v>
      </c>
      <c r="AF440" t="inlineStr">
        <is>
          <t>ENTREGA DIRECTA</t>
        </is>
      </c>
      <c r="AG440" t="n">
        <v>1.35</v>
      </c>
      <c r="AH440" t="inlineStr">
        <is>
          <t>M3</t>
        </is>
      </c>
      <c r="AI440" t="inlineStr">
        <is>
          <t>X</t>
        </is>
      </c>
      <c r="AJ440" t="n">
        <v>4</v>
      </c>
      <c r="AK440" t="inlineStr">
        <is>
          <t>V4</t>
        </is>
      </c>
      <c r="AL440" t="n">
        <v>20230920</v>
      </c>
      <c r="AM440" t="inlineStr">
        <is>
          <t>D836-900002574-66460053-10000651-4</t>
        </is>
      </c>
    </row>
    <row r="441">
      <c r="A441" t="inlineStr">
        <is>
          <t>900002574D8366660955610000357</t>
        </is>
      </c>
      <c r="B441" t="inlineStr">
        <is>
          <t>4600027590-1230</t>
        </is>
      </c>
      <c r="C441" t="n">
        <v>4600027590</v>
      </c>
      <c r="D441" t="n">
        <v>1230</v>
      </c>
      <c r="E441" t="inlineStr">
        <is>
          <t>MXPO</t>
        </is>
      </c>
      <c r="F441" t="inlineStr">
        <is>
          <t>M02</t>
        </is>
      </c>
      <c r="G441" t="n">
        <v>900002574</v>
      </c>
      <c r="H441" t="inlineStr">
        <is>
          <t>TP-ED-OLIELL</t>
        </is>
      </c>
      <c r="I441" t="n">
        <v>5048484</v>
      </c>
      <c r="J441" t="inlineStr">
        <is>
          <t>COMERCIALIZADORA Y TRANSPORTADORA O</t>
        </is>
      </c>
      <c r="K441" t="inlineStr">
        <is>
          <t>N90</t>
        </is>
      </c>
      <c r="L441" t="inlineStr">
        <is>
          <t>(AP) NAFIN 90 Dias</t>
        </is>
      </c>
      <c r="M441" t="n">
        <v>10000357</v>
      </c>
      <c r="N441" t="inlineStr">
        <is>
          <t>Grava Triturada Andesita 20 mm - 3/4"</t>
        </is>
      </c>
      <c r="O441" t="inlineStr">
        <is>
          <t>D836</t>
        </is>
      </c>
      <c r="P441" t="inlineStr">
        <is>
          <t>MX-CED. CENTRO</t>
        </is>
      </c>
      <c r="Q441" t="n">
        <v>20141106</v>
      </c>
      <c r="R441" t="n">
        <v>20281231</v>
      </c>
      <c r="S441" t="n">
        <v>20200812</v>
      </c>
      <c r="T441" t="n">
        <v>20291231</v>
      </c>
      <c r="U441" t="n">
        <v>491.31</v>
      </c>
      <c r="V441" t="inlineStr">
        <is>
          <t>MXN</t>
        </is>
      </c>
      <c r="W441" t="inlineStr">
        <is>
          <t>M3</t>
        </is>
      </c>
      <c r="X441" t="n">
        <v>374.13</v>
      </c>
      <c r="Y441" t="inlineStr">
        <is>
          <t>MXN</t>
        </is>
      </c>
      <c r="Z441" t="inlineStr">
        <is>
          <t>M3</t>
        </is>
      </c>
      <c r="AA441" t="inlineStr">
        <is>
          <t>66609556</t>
        </is>
      </c>
      <c r="AB441" t="inlineStr">
        <is>
          <t>CPI-CDA POLVORA 2</t>
        </is>
      </c>
      <c r="AC441" t="n">
        <v>56103637</v>
      </c>
      <c r="AD441" t="n">
        <v>6622261540</v>
      </c>
      <c r="AE441" t="n">
        <v>4</v>
      </c>
      <c r="AF441" t="inlineStr">
        <is>
          <t>ENTREGA DIRECTA</t>
        </is>
      </c>
      <c r="AG441" t="n">
        <v>1.326</v>
      </c>
      <c r="AH441" t="inlineStr">
        <is>
          <t>M3</t>
        </is>
      </c>
      <c r="AI441" t="inlineStr">
        <is>
          <t>X</t>
        </is>
      </c>
      <c r="AJ441" t="n">
        <v>4</v>
      </c>
      <c r="AK441" t="inlineStr">
        <is>
          <t>V4</t>
        </is>
      </c>
      <c r="AL441" t="n">
        <v>20230920</v>
      </c>
      <c r="AM441" t="inlineStr">
        <is>
          <t>D836-900002574-66609556-10000357-4</t>
        </is>
      </c>
    </row>
    <row r="442">
      <c r="A442" t="inlineStr">
        <is>
          <t>900002574D8366685641510000160</t>
        </is>
      </c>
      <c r="B442" t="inlineStr">
        <is>
          <t>4600027590-1990</t>
        </is>
      </c>
      <c r="C442" t="n">
        <v>4600027590</v>
      </c>
      <c r="D442" t="n">
        <v>1990</v>
      </c>
      <c r="E442" t="inlineStr">
        <is>
          <t>MXPO</t>
        </is>
      </c>
      <c r="F442" t="inlineStr">
        <is>
          <t>M02</t>
        </is>
      </c>
      <c r="G442" t="n">
        <v>900002574</v>
      </c>
      <c r="H442" t="inlineStr">
        <is>
          <t>TP-ED-OLIELL</t>
        </is>
      </c>
      <c r="I442" t="n">
        <v>5048484</v>
      </c>
      <c r="J442" t="inlineStr">
        <is>
          <t>COMERCIALIZADORA Y TRANSPORTADORA O</t>
        </is>
      </c>
      <c r="K442" t="inlineStr">
        <is>
          <t>N90</t>
        </is>
      </c>
      <c r="L442" t="inlineStr">
        <is>
          <t>(AP) NAFIN 90 Dias</t>
        </is>
      </c>
      <c r="M442" t="n">
        <v>10000160</v>
      </c>
      <c r="N442" t="inlineStr">
        <is>
          <t>Arena Triturada Andesita Malla 4</t>
        </is>
      </c>
      <c r="O442" t="inlineStr">
        <is>
          <t>D836</t>
        </is>
      </c>
      <c r="P442" t="inlineStr">
        <is>
          <t>MX-CED. CENTRO</t>
        </is>
      </c>
      <c r="Q442" t="n">
        <v>20141106</v>
      </c>
      <c r="R442" t="n">
        <v>20281231</v>
      </c>
      <c r="S442" t="n">
        <v>20210325</v>
      </c>
      <c r="T442" t="n">
        <v>20291231</v>
      </c>
      <c r="U442" t="n">
        <v>260</v>
      </c>
      <c r="V442" t="inlineStr">
        <is>
          <t>MXN</t>
        </is>
      </c>
      <c r="W442" t="inlineStr">
        <is>
          <t>M3</t>
        </is>
      </c>
      <c r="X442" t="n">
        <v>160</v>
      </c>
      <c r="Y442" t="inlineStr">
        <is>
          <t>MXN</t>
        </is>
      </c>
      <c r="Z442" t="inlineStr">
        <is>
          <t>M3</t>
        </is>
      </c>
      <c r="AA442" t="inlineStr">
        <is>
          <t>66856415</t>
        </is>
      </c>
      <c r="AB442" t="inlineStr">
        <is>
          <t>TESOREROS 37</t>
        </is>
      </c>
      <c r="AC442" t="n">
        <v>56103638</v>
      </c>
      <c r="AD442" t="n">
        <v>6622261540</v>
      </c>
      <c r="AE442" t="n">
        <v>4</v>
      </c>
      <c r="AF442" t="inlineStr">
        <is>
          <t>ENTREGA DIRECTA</t>
        </is>
      </c>
      <c r="AG442" t="n">
        <v>1.409</v>
      </c>
      <c r="AH442" t="inlineStr">
        <is>
          <t>M3</t>
        </is>
      </c>
      <c r="AI442" t="inlineStr">
        <is>
          <t>X</t>
        </is>
      </c>
      <c r="AJ442" t="n">
        <v>4</v>
      </c>
      <c r="AK442" t="inlineStr">
        <is>
          <t>V4</t>
        </is>
      </c>
      <c r="AL442" t="n">
        <v>20230920</v>
      </c>
      <c r="AM442" t="inlineStr">
        <is>
          <t>D836-900002574-66856415-10000160-4</t>
        </is>
      </c>
    </row>
    <row r="443">
      <c r="A443" t="inlineStr">
        <is>
          <t>900002574D8366689942810000357</t>
        </is>
      </c>
      <c r="B443" t="inlineStr">
        <is>
          <t>4600027590-1390</t>
        </is>
      </c>
      <c r="C443" t="n">
        <v>4600027590</v>
      </c>
      <c r="D443" t="n">
        <v>1390</v>
      </c>
      <c r="E443" t="inlineStr">
        <is>
          <t>MXPO</t>
        </is>
      </c>
      <c r="F443" t="inlineStr">
        <is>
          <t>M02</t>
        </is>
      </c>
      <c r="G443" t="n">
        <v>900002574</v>
      </c>
      <c r="H443" t="inlineStr">
        <is>
          <t>TP-ED-OLIELL</t>
        </is>
      </c>
      <c r="I443" t="n">
        <v>5048484</v>
      </c>
      <c r="J443" t="inlineStr">
        <is>
          <t>COMERCIALIZADORA Y TRANSPORTADORA O</t>
        </is>
      </c>
      <c r="K443" t="inlineStr">
        <is>
          <t>N90</t>
        </is>
      </c>
      <c r="L443" t="inlineStr">
        <is>
          <t>(AP) NAFIN 90 Dias</t>
        </is>
      </c>
      <c r="M443" t="n">
        <v>10000357</v>
      </c>
      <c r="N443" t="inlineStr">
        <is>
          <t>Grava Triturada Andesita 20 mm - 3/4"</t>
        </is>
      </c>
      <c r="O443" t="inlineStr">
        <is>
          <t>D836</t>
        </is>
      </c>
      <c r="P443" t="inlineStr">
        <is>
          <t>MX-CED. CENTRO</t>
        </is>
      </c>
      <c r="Q443" t="n">
        <v>20141106</v>
      </c>
      <c r="R443" t="n">
        <v>20281231</v>
      </c>
      <c r="S443" t="n">
        <v>20200928</v>
      </c>
      <c r="T443" t="n">
        <v>20291231</v>
      </c>
      <c r="U443" t="n">
        <v>502.16</v>
      </c>
      <c r="V443" t="inlineStr">
        <is>
          <t>MXN</t>
        </is>
      </c>
      <c r="W443" t="inlineStr">
        <is>
          <t>M3</t>
        </is>
      </c>
      <c r="X443" t="n">
        <v>372.92</v>
      </c>
      <c r="Y443" t="inlineStr">
        <is>
          <t>MXN</t>
        </is>
      </c>
      <c r="Z443" t="inlineStr">
        <is>
          <t>M3</t>
        </is>
      </c>
      <c r="AA443" t="inlineStr">
        <is>
          <t>66899428</t>
        </is>
      </c>
      <c r="AC443" t="n">
        <v>56103637</v>
      </c>
      <c r="AD443" t="n">
        <v>6622261540</v>
      </c>
      <c r="AE443" t="n">
        <v>4</v>
      </c>
      <c r="AF443" t="inlineStr">
        <is>
          <t>ENTREGA DIRECTA</t>
        </is>
      </c>
      <c r="AG443" t="n">
        <v>1.326</v>
      </c>
      <c r="AH443" t="inlineStr">
        <is>
          <t>M3</t>
        </is>
      </c>
      <c r="AI443" t="inlineStr">
        <is>
          <t>X</t>
        </is>
      </c>
      <c r="AJ443" t="n">
        <v>4</v>
      </c>
      <c r="AK443" t="inlineStr">
        <is>
          <t>V4</t>
        </is>
      </c>
      <c r="AL443" t="n">
        <v>20230920</v>
      </c>
      <c r="AM443" t="inlineStr">
        <is>
          <t>D836-900002574-66899428-10000357-4</t>
        </is>
      </c>
    </row>
    <row r="444">
      <c r="A444" t="inlineStr">
        <is>
          <t>900002574D8366679447410000357</t>
        </is>
      </c>
      <c r="B444" t="inlineStr">
        <is>
          <t>4600027590-930</t>
        </is>
      </c>
      <c r="C444" t="n">
        <v>4600027590</v>
      </c>
      <c r="D444" t="n">
        <v>930</v>
      </c>
      <c r="E444" t="inlineStr">
        <is>
          <t>MXPO</t>
        </is>
      </c>
      <c r="F444" t="inlineStr">
        <is>
          <t>M02</t>
        </is>
      </c>
      <c r="G444" t="n">
        <v>900002574</v>
      </c>
      <c r="H444" t="inlineStr">
        <is>
          <t>TP-ED-OLIELL</t>
        </is>
      </c>
      <c r="I444" t="n">
        <v>5048484</v>
      </c>
      <c r="J444" t="inlineStr">
        <is>
          <t>COMERCIALIZADORA Y TRANSPORTADORA O</t>
        </is>
      </c>
      <c r="K444" t="inlineStr">
        <is>
          <t>N90</t>
        </is>
      </c>
      <c r="L444" t="inlineStr">
        <is>
          <t>(AP) NAFIN 90 Dias</t>
        </is>
      </c>
      <c r="M444" t="n">
        <v>10000357</v>
      </c>
      <c r="N444" t="inlineStr">
        <is>
          <t>Grava Triturada Andesita 20 mm - 3/4"</t>
        </is>
      </c>
      <c r="O444" t="inlineStr">
        <is>
          <t>D836</t>
        </is>
      </c>
      <c r="P444" t="inlineStr">
        <is>
          <t>MX-CED. CENTRO</t>
        </is>
      </c>
      <c r="Q444" t="n">
        <v>20141106</v>
      </c>
      <c r="R444" t="n">
        <v>20281231</v>
      </c>
      <c r="S444" t="n">
        <v>20200325</v>
      </c>
      <c r="T444" t="n">
        <v>20291231</v>
      </c>
      <c r="U444" t="n">
        <v>405.17</v>
      </c>
      <c r="V444" t="inlineStr">
        <is>
          <t>MXN</t>
        </is>
      </c>
      <c r="W444" t="inlineStr">
        <is>
          <t>M3</t>
        </is>
      </c>
      <c r="X444" t="n">
        <v>200</v>
      </c>
      <c r="Y444" t="inlineStr">
        <is>
          <t>MXN</t>
        </is>
      </c>
      <c r="Z444" t="inlineStr">
        <is>
          <t>M3</t>
        </is>
      </c>
      <c r="AA444" t="inlineStr">
        <is>
          <t>66794474</t>
        </is>
      </c>
      <c r="AB444" t="inlineStr">
        <is>
          <t>VT00901 CP-I LOSA ZAMORA</t>
        </is>
      </c>
      <c r="AC444" t="n">
        <v>56103637</v>
      </c>
      <c r="AD444" t="n">
        <v>6622261540</v>
      </c>
      <c r="AE444" t="n">
        <v>4</v>
      </c>
      <c r="AF444" t="inlineStr">
        <is>
          <t>ENTREGA DIRECTA</t>
        </is>
      </c>
      <c r="AG444" t="n">
        <v>1.326</v>
      </c>
      <c r="AH444" t="inlineStr">
        <is>
          <t>M3</t>
        </is>
      </c>
      <c r="AI444" t="inlineStr">
        <is>
          <t>X</t>
        </is>
      </c>
      <c r="AJ444" t="n">
        <v>4</v>
      </c>
      <c r="AK444" t="inlineStr">
        <is>
          <t>V4</t>
        </is>
      </c>
      <c r="AL444" t="n">
        <v>20230920</v>
      </c>
      <c r="AM444" t="inlineStr">
        <is>
          <t>D836-900002574-66794474-10000357-4</t>
        </is>
      </c>
    </row>
    <row r="445">
      <c r="A445" t="inlineStr">
        <is>
          <t>900002574D8366681646810000160</t>
        </is>
      </c>
      <c r="B445" t="inlineStr">
        <is>
          <t>4600027590-350</t>
        </is>
      </c>
      <c r="C445" t="n">
        <v>4600027590</v>
      </c>
      <c r="D445" t="n">
        <v>350</v>
      </c>
      <c r="E445" t="inlineStr">
        <is>
          <t>MXPO</t>
        </is>
      </c>
      <c r="F445" t="inlineStr">
        <is>
          <t>M02</t>
        </is>
      </c>
      <c r="G445" t="n">
        <v>900002574</v>
      </c>
      <c r="H445" t="inlineStr">
        <is>
          <t>TP-ED-OLIELL</t>
        </is>
      </c>
      <c r="I445" t="n">
        <v>5048484</v>
      </c>
      <c r="J445" t="inlineStr">
        <is>
          <t>COMERCIALIZADORA Y TRANSPORTADORA O</t>
        </is>
      </c>
      <c r="K445" t="inlineStr">
        <is>
          <t>N90</t>
        </is>
      </c>
      <c r="L445" t="inlineStr">
        <is>
          <t>(AP) NAFIN 90 Dias</t>
        </is>
      </c>
      <c r="M445" t="n">
        <v>10000160</v>
      </c>
      <c r="N445" t="inlineStr">
        <is>
          <t>Arena Triturada Andesita Malla 4</t>
        </is>
      </c>
      <c r="O445" t="inlineStr">
        <is>
          <t>D836</t>
        </is>
      </c>
      <c r="P445" t="inlineStr">
        <is>
          <t>MX-CED. CENTRO</t>
        </is>
      </c>
      <c r="Q445" t="n">
        <v>20141106</v>
      </c>
      <c r="R445" t="n">
        <v>20281231</v>
      </c>
      <c r="S445" t="n">
        <v>20191008</v>
      </c>
      <c r="T445" t="n">
        <v>20241231</v>
      </c>
      <c r="U445" t="n">
        <v>804</v>
      </c>
      <c r="V445" t="inlineStr">
        <is>
          <t>MXN</t>
        </is>
      </c>
      <c r="W445" t="inlineStr">
        <is>
          <t>M3</t>
        </is>
      </c>
      <c r="X445" t="n">
        <v>402</v>
      </c>
      <c r="Y445" t="inlineStr">
        <is>
          <t>MXN</t>
        </is>
      </c>
      <c r="Z445" t="inlineStr">
        <is>
          <t>M3</t>
        </is>
      </c>
      <c r="AA445" t="inlineStr">
        <is>
          <t>66816468</t>
        </is>
      </c>
      <c r="AB445" t="inlineStr">
        <is>
          <t>REAL ACUITLAPILCO QUATTRO</t>
        </is>
      </c>
      <c r="AC445" t="n">
        <v>56103638</v>
      </c>
      <c r="AD445" t="n">
        <v>6622261540</v>
      </c>
      <c r="AE445" t="n">
        <v>4</v>
      </c>
      <c r="AF445" t="inlineStr">
        <is>
          <t>ENTREGA DIRECTA</t>
        </is>
      </c>
      <c r="AG445" t="n">
        <v>1.409</v>
      </c>
      <c r="AH445" t="inlineStr">
        <is>
          <t>M3</t>
        </is>
      </c>
      <c r="AI445" t="inlineStr">
        <is>
          <t>X</t>
        </is>
      </c>
      <c r="AJ445" t="n">
        <v>4</v>
      </c>
      <c r="AK445" t="inlineStr">
        <is>
          <t>V4</t>
        </is>
      </c>
      <c r="AL445" t="n">
        <v>20230920</v>
      </c>
      <c r="AM445" t="inlineStr">
        <is>
          <t>D836-900002574-66816468-10000160-4</t>
        </is>
      </c>
    </row>
    <row r="446">
      <c r="A446" t="inlineStr">
        <is>
          <t>900002574D8366683068310000651</t>
        </is>
      </c>
      <c r="B446" t="inlineStr">
        <is>
          <t>4600027590-910</t>
        </is>
      </c>
      <c r="C446" t="n">
        <v>4600027590</v>
      </c>
      <c r="D446" t="n">
        <v>910</v>
      </c>
      <c r="E446" t="inlineStr">
        <is>
          <t>MXPO</t>
        </is>
      </c>
      <c r="F446" t="inlineStr">
        <is>
          <t>M02</t>
        </is>
      </c>
      <c r="G446" t="n">
        <v>900002574</v>
      </c>
      <c r="H446" t="inlineStr">
        <is>
          <t>TP-ED-OLIELL</t>
        </is>
      </c>
      <c r="I446" t="n">
        <v>5048484</v>
      </c>
      <c r="J446" t="inlineStr">
        <is>
          <t>COMERCIALIZADORA Y TRANSPORTADORA O</t>
        </is>
      </c>
      <c r="K446" t="inlineStr">
        <is>
          <t>N90</t>
        </is>
      </c>
      <c r="L446" t="inlineStr">
        <is>
          <t>(AP) NAFIN 90 Dias</t>
        </is>
      </c>
      <c r="M446" t="n">
        <v>10000651</v>
      </c>
      <c r="N446" t="inlineStr">
        <is>
          <t>Arena Triturada Andesita Malla 8</t>
        </is>
      </c>
      <c r="O446" t="inlineStr">
        <is>
          <t>D836</t>
        </is>
      </c>
      <c r="P446" t="inlineStr">
        <is>
          <t>MX-CED. CENTRO</t>
        </is>
      </c>
      <c r="Q446" t="n">
        <v>20141106</v>
      </c>
      <c r="R446" t="n">
        <v>20281231</v>
      </c>
      <c r="S446" t="n">
        <v>20200212</v>
      </c>
      <c r="T446" t="n">
        <v>20291231</v>
      </c>
      <c r="U446" t="n">
        <v>318.96</v>
      </c>
      <c r="V446" t="inlineStr">
        <is>
          <t>MXN</t>
        </is>
      </c>
      <c r="W446" t="inlineStr">
        <is>
          <t>M3</t>
        </is>
      </c>
      <c r="X446" t="n">
        <v>159</v>
      </c>
      <c r="Y446" t="inlineStr">
        <is>
          <t>MXN</t>
        </is>
      </c>
      <c r="Z446" t="inlineStr">
        <is>
          <t>M3</t>
        </is>
      </c>
      <c r="AA446" t="inlineStr">
        <is>
          <t>66830683</t>
        </is>
      </c>
      <c r="AB446" t="inlineStr">
        <is>
          <t>MITLA 240 (LRR)</t>
        </is>
      </c>
      <c r="AC446" t="n">
        <v>56103638</v>
      </c>
      <c r="AD446" t="n">
        <v>6622261540</v>
      </c>
      <c r="AE446" t="n">
        <v>4</v>
      </c>
      <c r="AF446" t="inlineStr">
        <is>
          <t>ENTREGA DIRECTA</t>
        </is>
      </c>
      <c r="AG446" t="n">
        <v>1.35</v>
      </c>
      <c r="AH446" t="inlineStr">
        <is>
          <t>M3</t>
        </is>
      </c>
      <c r="AI446" t="inlineStr">
        <is>
          <t>X</t>
        </is>
      </c>
      <c r="AJ446" t="n">
        <v>4</v>
      </c>
      <c r="AK446" t="inlineStr">
        <is>
          <t>V4</t>
        </is>
      </c>
      <c r="AL446" t="n">
        <v>20230920</v>
      </c>
      <c r="AM446" t="inlineStr">
        <is>
          <t>D836-900002574-66830683-10000651-4</t>
        </is>
      </c>
    </row>
    <row r="447">
      <c r="A447" t="inlineStr">
        <is>
          <t>900002574D8366683796410000649</t>
        </is>
      </c>
      <c r="B447" t="inlineStr">
        <is>
          <t>4600027590-690</t>
        </is>
      </c>
      <c r="C447" t="n">
        <v>4600027590</v>
      </c>
      <c r="D447" t="n">
        <v>690</v>
      </c>
      <c r="E447" t="inlineStr">
        <is>
          <t>MXPO</t>
        </is>
      </c>
      <c r="F447" t="inlineStr">
        <is>
          <t>M02</t>
        </is>
      </c>
      <c r="G447" t="n">
        <v>900002574</v>
      </c>
      <c r="H447" t="inlineStr">
        <is>
          <t>TP-ED-OLIELL</t>
        </is>
      </c>
      <c r="I447" t="n">
        <v>5048484</v>
      </c>
      <c r="J447" t="inlineStr">
        <is>
          <t>COMERCIALIZADORA Y TRANSPORTADORA O</t>
        </is>
      </c>
      <c r="K447" t="inlineStr">
        <is>
          <t>N90</t>
        </is>
      </c>
      <c r="L447" t="inlineStr">
        <is>
          <t>(AP) NAFIN 90 Dias</t>
        </is>
      </c>
      <c r="M447" t="n">
        <v>10000649</v>
      </c>
      <c r="N447" t="inlineStr">
        <is>
          <t>Grava Triturada Andesita 10 mm - 3/8"</t>
        </is>
      </c>
      <c r="O447" t="inlineStr">
        <is>
          <t>D836</t>
        </is>
      </c>
      <c r="P447" t="inlineStr">
        <is>
          <t>MX-CED. CENTRO</t>
        </is>
      </c>
      <c r="Q447" t="n">
        <v>20141106</v>
      </c>
      <c r="R447" t="n">
        <v>20281231</v>
      </c>
      <c r="S447" t="n">
        <v>20191226</v>
      </c>
      <c r="T447" t="n">
        <v>20241231</v>
      </c>
      <c r="U447" t="n">
        <v>393</v>
      </c>
      <c r="V447" t="inlineStr">
        <is>
          <t>MXN</t>
        </is>
      </c>
      <c r="W447" t="inlineStr">
        <is>
          <t>M3</t>
        </is>
      </c>
      <c r="X447" t="n">
        <v>196.5</v>
      </c>
      <c r="Y447" t="inlineStr">
        <is>
          <t>MXN</t>
        </is>
      </c>
      <c r="Z447" t="inlineStr">
        <is>
          <t>M3</t>
        </is>
      </c>
      <c r="AA447" t="inlineStr">
        <is>
          <t>66837964</t>
        </is>
      </c>
      <c r="AB447" t="inlineStr">
        <is>
          <t>CEREZAS 78(LRR)</t>
        </is>
      </c>
      <c r="AC447" t="n">
        <v>56103637</v>
      </c>
      <c r="AD447" t="n">
        <v>6622261540</v>
      </c>
      <c r="AE447" t="n">
        <v>4</v>
      </c>
      <c r="AF447" t="inlineStr">
        <is>
          <t>ENTREGA DIRECTA</t>
        </is>
      </c>
      <c r="AG447" t="n">
        <v>1.315</v>
      </c>
      <c r="AH447" t="inlineStr">
        <is>
          <t>M3</t>
        </is>
      </c>
      <c r="AI447" t="inlineStr">
        <is>
          <t>X</t>
        </is>
      </c>
      <c r="AJ447" t="n">
        <v>4</v>
      </c>
      <c r="AK447" t="inlineStr">
        <is>
          <t>V4</t>
        </is>
      </c>
      <c r="AL447" t="n">
        <v>20230920</v>
      </c>
      <c r="AM447" t="inlineStr">
        <is>
          <t>D836-900002574-66837964-10000649-4</t>
        </is>
      </c>
    </row>
    <row r="448">
      <c r="A448" t="inlineStr">
        <is>
          <t>900002574D8366515056310000357</t>
        </is>
      </c>
      <c r="B448" t="inlineStr">
        <is>
          <t>4600027590-850</t>
        </is>
      </c>
      <c r="C448" t="n">
        <v>4600027590</v>
      </c>
      <c r="D448" t="n">
        <v>850</v>
      </c>
      <c r="E448" t="inlineStr">
        <is>
          <t>MXPO</t>
        </is>
      </c>
      <c r="F448" t="inlineStr">
        <is>
          <t>M02</t>
        </is>
      </c>
      <c r="G448" t="n">
        <v>900002574</v>
      </c>
      <c r="H448" t="inlineStr">
        <is>
          <t>TP-ED-OLIELL</t>
        </is>
      </c>
      <c r="I448" t="n">
        <v>5048484</v>
      </c>
      <c r="J448" t="inlineStr">
        <is>
          <t>COMERCIALIZADORA Y TRANSPORTADORA O</t>
        </is>
      </c>
      <c r="K448" t="inlineStr">
        <is>
          <t>N90</t>
        </is>
      </c>
      <c r="L448" t="inlineStr">
        <is>
          <t>(AP) NAFIN 90 Dias</t>
        </is>
      </c>
      <c r="M448" t="n">
        <v>10000357</v>
      </c>
      <c r="N448" t="inlineStr">
        <is>
          <t>Grava Triturada Andesita 20 mm - 3/4"</t>
        </is>
      </c>
      <c r="O448" t="inlineStr">
        <is>
          <t>D836</t>
        </is>
      </c>
      <c r="P448" t="inlineStr">
        <is>
          <t>MX-CED. CENTRO</t>
        </is>
      </c>
      <c r="Q448" t="n">
        <v>20141106</v>
      </c>
      <c r="R448" t="n">
        <v>20281231</v>
      </c>
      <c r="S448" t="n">
        <v>20211110</v>
      </c>
      <c r="T448" t="n">
        <v>20261231</v>
      </c>
      <c r="U448" t="n">
        <v>1010</v>
      </c>
      <c r="V448" t="inlineStr">
        <is>
          <t>MXN</t>
        </is>
      </c>
      <c r="W448" t="inlineStr">
        <is>
          <t>M3</t>
        </is>
      </c>
      <c r="X448" t="n">
        <v>720</v>
      </c>
      <c r="Y448" t="inlineStr">
        <is>
          <t>MXN</t>
        </is>
      </c>
      <c r="Z448" t="inlineStr">
        <is>
          <t>M3</t>
        </is>
      </c>
      <c r="AA448" t="inlineStr">
        <is>
          <t>65150563</t>
        </is>
      </c>
      <c r="AB448" t="inlineStr">
        <is>
          <t>AMPLIACION CEDROS</t>
        </is>
      </c>
      <c r="AC448" t="n">
        <v>56103637</v>
      </c>
      <c r="AD448" t="n">
        <v>6622261540</v>
      </c>
      <c r="AE448" t="n">
        <v>4</v>
      </c>
      <c r="AF448" t="inlineStr">
        <is>
          <t>ENTREGA DIRECTA</t>
        </is>
      </c>
      <c r="AG448" t="n">
        <v>1.326</v>
      </c>
      <c r="AH448" t="inlineStr">
        <is>
          <t>M3</t>
        </is>
      </c>
      <c r="AI448" t="inlineStr">
        <is>
          <t>X</t>
        </is>
      </c>
      <c r="AJ448" t="n">
        <v>4</v>
      </c>
      <c r="AK448" t="inlineStr">
        <is>
          <t>V4</t>
        </is>
      </c>
      <c r="AL448" t="n">
        <v>20230920</v>
      </c>
      <c r="AM448" t="inlineStr">
        <is>
          <t>D836-900002574-65150563-10000357-4</t>
        </is>
      </c>
    </row>
    <row r="449">
      <c r="A449" t="inlineStr">
        <is>
          <t>900002574D8366691619010000160</t>
        </is>
      </c>
      <c r="B449" t="inlineStr">
        <is>
          <t>4600027590-1880</t>
        </is>
      </c>
      <c r="C449" t="n">
        <v>4600027590</v>
      </c>
      <c r="D449" t="n">
        <v>1880</v>
      </c>
      <c r="E449" t="inlineStr">
        <is>
          <t>MXPO</t>
        </is>
      </c>
      <c r="F449" t="inlineStr">
        <is>
          <t>M02</t>
        </is>
      </c>
      <c r="G449" t="n">
        <v>900002574</v>
      </c>
      <c r="H449" t="inlineStr">
        <is>
          <t>TP-ED-OLIELL</t>
        </is>
      </c>
      <c r="I449" t="n">
        <v>5048484</v>
      </c>
      <c r="J449" t="inlineStr">
        <is>
          <t>COMERCIALIZADORA Y TRANSPORTADORA O</t>
        </is>
      </c>
      <c r="K449" t="inlineStr">
        <is>
          <t>N90</t>
        </is>
      </c>
      <c r="L449" t="inlineStr">
        <is>
          <t>(AP) NAFIN 90 Dias</t>
        </is>
      </c>
      <c r="M449" t="n">
        <v>10000160</v>
      </c>
      <c r="N449" t="inlineStr">
        <is>
          <t>Arena Triturada Andesita Malla 4</t>
        </is>
      </c>
      <c r="O449" t="inlineStr">
        <is>
          <t>D836</t>
        </is>
      </c>
      <c r="P449" t="inlineStr">
        <is>
          <t>MX-CED. CENTRO</t>
        </is>
      </c>
      <c r="Q449" t="n">
        <v>20141106</v>
      </c>
      <c r="R449" t="n">
        <v>20281231</v>
      </c>
      <c r="S449" t="n">
        <v>20201126</v>
      </c>
      <c r="T449" t="n">
        <v>20291231</v>
      </c>
      <c r="U449" t="n">
        <v>362.06</v>
      </c>
      <c r="V449" t="inlineStr">
        <is>
          <t>MXN</t>
        </is>
      </c>
      <c r="W449" t="inlineStr">
        <is>
          <t>M3</t>
        </is>
      </c>
      <c r="X449" t="n">
        <v>264</v>
      </c>
      <c r="Y449" t="inlineStr">
        <is>
          <t>MXN</t>
        </is>
      </c>
      <c r="Z449" t="inlineStr">
        <is>
          <t>M3</t>
        </is>
      </c>
      <c r="AA449" t="inlineStr">
        <is>
          <t>66916190</t>
        </is>
      </c>
      <c r="AB449" t="inlineStr">
        <is>
          <t>PETEN 594</t>
        </is>
      </c>
      <c r="AC449" t="n">
        <v>56103638</v>
      </c>
      <c r="AD449" t="n">
        <v>6622261540</v>
      </c>
      <c r="AE449" t="n">
        <v>4</v>
      </c>
      <c r="AF449" t="inlineStr">
        <is>
          <t>ENTREGA DIRECTA</t>
        </is>
      </c>
      <c r="AG449" t="n">
        <v>1.409</v>
      </c>
      <c r="AH449" t="inlineStr">
        <is>
          <t>M3</t>
        </is>
      </c>
      <c r="AI449" t="inlineStr">
        <is>
          <t>X</t>
        </is>
      </c>
      <c r="AJ449" t="n">
        <v>4</v>
      </c>
      <c r="AK449" t="inlineStr">
        <is>
          <t>V4</t>
        </is>
      </c>
      <c r="AL449" t="n">
        <v>20230920</v>
      </c>
      <c r="AM449" t="inlineStr">
        <is>
          <t>D836-900002574-66916190-10000160-4</t>
        </is>
      </c>
    </row>
    <row r="450">
      <c r="A450" t="inlineStr">
        <is>
          <t>900002574D8366688696910000357</t>
        </is>
      </c>
      <c r="B450" t="inlineStr">
        <is>
          <t>4600027590-1140</t>
        </is>
      </c>
      <c r="C450" t="n">
        <v>4600027590</v>
      </c>
      <c r="D450" t="n">
        <v>1140</v>
      </c>
      <c r="E450" t="inlineStr">
        <is>
          <t>MXPO</t>
        </is>
      </c>
      <c r="F450" t="inlineStr">
        <is>
          <t>M02</t>
        </is>
      </c>
      <c r="G450" t="n">
        <v>900002574</v>
      </c>
      <c r="H450" t="inlineStr">
        <is>
          <t>TP-ED-OLIELL</t>
        </is>
      </c>
      <c r="I450" t="n">
        <v>5048484</v>
      </c>
      <c r="J450" t="inlineStr">
        <is>
          <t>COMERCIALIZADORA Y TRANSPORTADORA O</t>
        </is>
      </c>
      <c r="K450" t="inlineStr">
        <is>
          <t>N90</t>
        </is>
      </c>
      <c r="L450" t="inlineStr">
        <is>
          <t>(AP) NAFIN 90 Dias</t>
        </is>
      </c>
      <c r="M450" t="n">
        <v>10000357</v>
      </c>
      <c r="N450" t="inlineStr">
        <is>
          <t>Grava Triturada Andesita 20 mm - 3/4"</t>
        </is>
      </c>
      <c r="O450" t="inlineStr">
        <is>
          <t>D836</t>
        </is>
      </c>
      <c r="P450" t="inlineStr">
        <is>
          <t>MX-CED. CENTRO</t>
        </is>
      </c>
      <c r="Q450" t="n">
        <v>20141106</v>
      </c>
      <c r="R450" t="n">
        <v>20281231</v>
      </c>
      <c r="S450" t="n">
        <v>20200729</v>
      </c>
      <c r="T450" t="n">
        <v>20291231</v>
      </c>
      <c r="U450" t="n">
        <v>448.27</v>
      </c>
      <c r="V450" t="inlineStr">
        <is>
          <t>MXN</t>
        </is>
      </c>
      <c r="W450" t="inlineStr">
        <is>
          <t>M3</t>
        </is>
      </c>
      <c r="X450" t="n">
        <v>338.27</v>
      </c>
      <c r="Y450" t="inlineStr">
        <is>
          <t>MXN</t>
        </is>
      </c>
      <c r="Z450" t="inlineStr">
        <is>
          <t>M3</t>
        </is>
      </c>
      <c r="AA450" t="inlineStr">
        <is>
          <t>66886969</t>
        </is>
      </c>
      <c r="AB450" t="inlineStr">
        <is>
          <t>HELM</t>
        </is>
      </c>
      <c r="AC450" t="n">
        <v>56103637</v>
      </c>
      <c r="AD450" t="n">
        <v>6622261540</v>
      </c>
      <c r="AE450" t="n">
        <v>4</v>
      </c>
      <c r="AF450" t="inlineStr">
        <is>
          <t>ENTREGA DIRECTA</t>
        </is>
      </c>
      <c r="AG450" t="n">
        <v>1.326</v>
      </c>
      <c r="AH450" t="inlineStr">
        <is>
          <t>M3</t>
        </is>
      </c>
      <c r="AI450" t="inlineStr">
        <is>
          <t>X</t>
        </is>
      </c>
      <c r="AJ450" t="n">
        <v>4</v>
      </c>
      <c r="AK450" t="inlineStr">
        <is>
          <t>V4</t>
        </is>
      </c>
      <c r="AL450" t="n">
        <v>20230920</v>
      </c>
      <c r="AM450" t="inlineStr">
        <is>
          <t>D836-900002574-66886969-10000357-4</t>
        </is>
      </c>
    </row>
    <row r="451">
      <c r="A451" t="inlineStr">
        <is>
          <t>900002574D8366690655810058345</t>
        </is>
      </c>
      <c r="B451" t="inlineStr">
        <is>
          <t>4600027590-1560</t>
        </is>
      </c>
      <c r="C451" t="n">
        <v>4600027590</v>
      </c>
      <c r="D451" t="n">
        <v>1560</v>
      </c>
      <c r="E451" t="inlineStr">
        <is>
          <t>MXPO</t>
        </is>
      </c>
      <c r="F451" t="inlineStr">
        <is>
          <t>M02</t>
        </is>
      </c>
      <c r="G451" t="n">
        <v>900002574</v>
      </c>
      <c r="H451" t="inlineStr">
        <is>
          <t>TP-ED-OLIELL</t>
        </is>
      </c>
      <c r="I451" t="n">
        <v>5048484</v>
      </c>
      <c r="J451" t="inlineStr">
        <is>
          <t>COMERCIALIZADORA Y TRANSPORTADORA O</t>
        </is>
      </c>
      <c r="K451" t="inlineStr">
        <is>
          <t>N90</t>
        </is>
      </c>
      <c r="L451" t="inlineStr">
        <is>
          <t>(AP) NAFIN 90 Dias</t>
        </is>
      </c>
      <c r="M451" t="n">
        <v>10058345</v>
      </c>
      <c r="N451" t="inlineStr">
        <is>
          <t>Arena Triturada Caliza Malla 4</t>
        </is>
      </c>
      <c r="O451" t="inlineStr">
        <is>
          <t>D836</t>
        </is>
      </c>
      <c r="P451" t="inlineStr">
        <is>
          <t>MX-CED. CENTRO</t>
        </is>
      </c>
      <c r="Q451" t="n">
        <v>20141106</v>
      </c>
      <c r="R451" t="n">
        <v>20281231</v>
      </c>
      <c r="S451" t="n">
        <v>20201015</v>
      </c>
      <c r="T451" t="n">
        <v>20291231</v>
      </c>
      <c r="U451" t="n">
        <v>346</v>
      </c>
      <c r="V451" t="inlineStr">
        <is>
          <t>MXN</t>
        </is>
      </c>
      <c r="W451" t="inlineStr">
        <is>
          <t>M3</t>
        </is>
      </c>
      <c r="X451" t="n">
        <v>260</v>
      </c>
      <c r="Y451" t="inlineStr">
        <is>
          <t>MXN</t>
        </is>
      </c>
      <c r="Z451" t="inlineStr">
        <is>
          <t>M3</t>
        </is>
      </c>
      <c r="AA451" t="inlineStr">
        <is>
          <t>66906558</t>
        </is>
      </c>
      <c r="AB451" t="inlineStr">
        <is>
          <t>MEXICABLE - ECATEPEC</t>
        </is>
      </c>
      <c r="AC451" t="n">
        <v>56103638</v>
      </c>
      <c r="AD451" t="n">
        <v>6622261540</v>
      </c>
      <c r="AE451" t="n">
        <v>4</v>
      </c>
      <c r="AF451" t="inlineStr">
        <is>
          <t>ENTREGA DIRECTA</t>
        </is>
      </c>
      <c r="AG451" t="n">
        <v>1.575</v>
      </c>
      <c r="AH451" t="inlineStr">
        <is>
          <t>M3</t>
        </is>
      </c>
      <c r="AI451" t="inlineStr">
        <is>
          <t>X</t>
        </is>
      </c>
      <c r="AJ451" t="n">
        <v>4</v>
      </c>
      <c r="AK451" t="inlineStr">
        <is>
          <t>V4</t>
        </is>
      </c>
      <c r="AL451" t="n">
        <v>20230920</v>
      </c>
      <c r="AM451" t="inlineStr">
        <is>
          <t>D836-900002574-66906558-10058345-4</t>
        </is>
      </c>
    </row>
    <row r="452">
      <c r="A452" t="inlineStr">
        <is>
          <t>900002574D8366500190510000133</t>
        </is>
      </c>
      <c r="B452" t="inlineStr">
        <is>
          <t>4600027590-1670</t>
        </is>
      </c>
      <c r="C452" t="n">
        <v>4600027590</v>
      </c>
      <c r="D452" t="n">
        <v>1670</v>
      </c>
      <c r="E452" t="inlineStr">
        <is>
          <t>MXPO</t>
        </is>
      </c>
      <c r="F452" t="inlineStr">
        <is>
          <t>M02</t>
        </is>
      </c>
      <c r="G452" t="n">
        <v>900002574</v>
      </c>
      <c r="H452" t="inlineStr">
        <is>
          <t>TP-ED-OLIELL</t>
        </is>
      </c>
      <c r="I452" t="n">
        <v>5048484</v>
      </c>
      <c r="J452" t="inlineStr">
        <is>
          <t>COMERCIALIZADORA Y TRANSPORTADORA O</t>
        </is>
      </c>
      <c r="K452" t="inlineStr">
        <is>
          <t>N90</t>
        </is>
      </c>
      <c r="L452" t="inlineStr">
        <is>
          <t>(AP) NAFIN 90 Dias</t>
        </is>
      </c>
      <c r="M452" t="n">
        <v>10000133</v>
      </c>
      <c r="N452" t="inlineStr">
        <is>
          <t>Grava Triturada Caliza 20 mm - 3/4"</t>
        </is>
      </c>
      <c r="O452" t="inlineStr">
        <is>
          <t>D836</t>
        </is>
      </c>
      <c r="P452" t="inlineStr">
        <is>
          <t>MX-CED. CENTRO</t>
        </is>
      </c>
      <c r="Q452" t="n">
        <v>20141106</v>
      </c>
      <c r="R452" t="n">
        <v>20281231</v>
      </c>
      <c r="S452" t="n">
        <v>20201027</v>
      </c>
      <c r="T452" t="n">
        <v>20291231</v>
      </c>
      <c r="U452" t="n">
        <v>426</v>
      </c>
      <c r="V452" t="inlineStr">
        <is>
          <t>MXN</t>
        </is>
      </c>
      <c r="W452" t="inlineStr">
        <is>
          <t>M3</t>
        </is>
      </c>
      <c r="X452" t="n">
        <v>260</v>
      </c>
      <c r="Y452" t="inlineStr">
        <is>
          <t>MXN</t>
        </is>
      </c>
      <c r="Z452" t="inlineStr">
        <is>
          <t>M3</t>
        </is>
      </c>
      <c r="AA452" t="inlineStr">
        <is>
          <t>65001905</t>
        </is>
      </c>
      <c r="AB452" t="inlineStr">
        <is>
          <t>(P) PRESFORZA, S.A. DE C.V.</t>
        </is>
      </c>
      <c r="AC452" t="n">
        <v>56103637</v>
      </c>
      <c r="AD452" t="n">
        <v>6622261540</v>
      </c>
      <c r="AE452" t="n">
        <v>4</v>
      </c>
      <c r="AF452" t="inlineStr">
        <is>
          <t>ENTREGA DIRECTA</t>
        </is>
      </c>
      <c r="AG452" t="n">
        <v>1.46</v>
      </c>
      <c r="AH452" t="inlineStr">
        <is>
          <t>M3</t>
        </is>
      </c>
      <c r="AI452" t="inlineStr">
        <is>
          <t>X</t>
        </is>
      </c>
      <c r="AJ452" t="n">
        <v>4</v>
      </c>
      <c r="AK452" t="inlineStr">
        <is>
          <t>V4</t>
        </is>
      </c>
      <c r="AL452" t="n">
        <v>20230920</v>
      </c>
      <c r="AM452" t="inlineStr">
        <is>
          <t>D836-900002574-65001905-10000133-4</t>
        </is>
      </c>
    </row>
    <row r="453">
      <c r="A453" t="inlineStr">
        <is>
          <t>900002574D8366652634110000206</t>
        </is>
      </c>
      <c r="B453" t="inlineStr">
        <is>
          <t>4600027590-170</t>
        </is>
      </c>
      <c r="C453" t="n">
        <v>4600027590</v>
      </c>
      <c r="D453" t="n">
        <v>170</v>
      </c>
      <c r="E453" t="inlineStr">
        <is>
          <t>MXPO</t>
        </is>
      </c>
      <c r="F453" t="inlineStr">
        <is>
          <t>M02</t>
        </is>
      </c>
      <c r="G453" t="n">
        <v>900002574</v>
      </c>
      <c r="H453" t="inlineStr">
        <is>
          <t>TP-ED-OLIELL</t>
        </is>
      </c>
      <c r="I453" t="n">
        <v>5048484</v>
      </c>
      <c r="J453" t="inlineStr">
        <is>
          <t>COMERCIALIZADORA Y TRANSPORTADORA O</t>
        </is>
      </c>
      <c r="K453" t="inlineStr">
        <is>
          <t>N90</t>
        </is>
      </c>
      <c r="L453" t="inlineStr">
        <is>
          <t>(AP) NAFIN 90 Dias</t>
        </is>
      </c>
      <c r="M453" t="n">
        <v>10000206</v>
      </c>
      <c r="N453" t="inlineStr">
        <is>
          <t>Tepetate Triturado Tierra NA</t>
        </is>
      </c>
      <c r="O453" t="inlineStr">
        <is>
          <t>D836</t>
        </is>
      </c>
      <c r="P453" t="inlineStr">
        <is>
          <t>MX-CED. CENTRO</t>
        </is>
      </c>
      <c r="Q453" t="n">
        <v>20141106</v>
      </c>
      <c r="R453" t="n">
        <v>20281231</v>
      </c>
      <c r="S453" t="n">
        <v>20180523</v>
      </c>
      <c r="T453" t="n">
        <v>20241231</v>
      </c>
      <c r="U453" t="n">
        <v>111.16</v>
      </c>
      <c r="V453" t="inlineStr">
        <is>
          <t>MXN</t>
        </is>
      </c>
      <c r="W453" t="inlineStr">
        <is>
          <t>M3</t>
        </is>
      </c>
      <c r="X453" t="n">
        <v>0</v>
      </c>
      <c r="Y453" t="inlineStr">
        <is>
          <t>MXN</t>
        </is>
      </c>
      <c r="Z453" t="inlineStr">
        <is>
          <t>M3</t>
        </is>
      </c>
      <c r="AA453" t="inlineStr">
        <is>
          <t>66526341</t>
        </is>
      </c>
      <c r="AB453" t="inlineStr">
        <is>
          <t>VTL IPC-ZONA NAVAL MANZANILLO</t>
        </is>
      </c>
      <c r="AC453" t="n">
        <v>56103695</v>
      </c>
      <c r="AD453" t="n">
        <v>6622261540</v>
      </c>
      <c r="AE453" t="n">
        <v>4</v>
      </c>
      <c r="AF453" t="inlineStr">
        <is>
          <t>ENTREGA DIRECTA</t>
        </is>
      </c>
      <c r="AG453" t="n">
        <v>1.249</v>
      </c>
      <c r="AH453" t="inlineStr">
        <is>
          <t>M3</t>
        </is>
      </c>
      <c r="AI453" t="inlineStr">
        <is>
          <t>X</t>
        </is>
      </c>
      <c r="AJ453" t="n">
        <v>4</v>
      </c>
      <c r="AK453" t="inlineStr">
        <is>
          <t>V4</t>
        </is>
      </c>
      <c r="AL453" t="n">
        <v>20230920</v>
      </c>
      <c r="AM453" t="inlineStr">
        <is>
          <t>D836-900002574-66526341-10000206-4</t>
        </is>
      </c>
    </row>
    <row r="454">
      <c r="A454" t="inlineStr">
        <is>
          <t>900002574D8366567413210000624</t>
        </is>
      </c>
      <c r="B454" t="inlineStr">
        <is>
          <t>4600027590-150</t>
        </is>
      </c>
      <c r="C454" t="n">
        <v>4600027590</v>
      </c>
      <c r="D454" t="n">
        <v>150</v>
      </c>
      <c r="E454" t="inlineStr">
        <is>
          <t>MXPO</t>
        </is>
      </c>
      <c r="F454" t="inlineStr">
        <is>
          <t>M02</t>
        </is>
      </c>
      <c r="G454" t="n">
        <v>900002574</v>
      </c>
      <c r="H454" t="inlineStr">
        <is>
          <t>TP-ED-OLIELL</t>
        </is>
      </c>
      <c r="I454" t="n">
        <v>5048484</v>
      </c>
      <c r="J454" t="inlineStr">
        <is>
          <t>COMERCIALIZADORA Y TRANSPORTADORA O</t>
        </is>
      </c>
      <c r="K454" t="inlineStr">
        <is>
          <t>N90</t>
        </is>
      </c>
      <c r="L454" t="inlineStr">
        <is>
          <t>(AP) NAFIN 90 Dias</t>
        </is>
      </c>
      <c r="M454" t="n">
        <v>10000624</v>
      </c>
      <c r="N454" t="inlineStr">
        <is>
          <t>Grava Triturada Caliza 40 mm - 1 1/2"</t>
        </is>
      </c>
      <c r="O454" t="inlineStr">
        <is>
          <t>D836</t>
        </is>
      </c>
      <c r="P454" t="inlineStr">
        <is>
          <t>MX-CED. CENTRO</t>
        </is>
      </c>
      <c r="Q454" t="n">
        <v>20141106</v>
      </c>
      <c r="R454" t="n">
        <v>20281231</v>
      </c>
      <c r="S454" t="n">
        <v>20180313</v>
      </c>
      <c r="T454" t="n">
        <v>20241231</v>
      </c>
      <c r="U454" t="n">
        <v>315</v>
      </c>
      <c r="V454" t="inlineStr">
        <is>
          <t>MXN</t>
        </is>
      </c>
      <c r="W454" t="inlineStr">
        <is>
          <t>M3</t>
        </is>
      </c>
      <c r="X454" t="n">
        <v>115</v>
      </c>
      <c r="Y454" t="inlineStr">
        <is>
          <t>MXN</t>
        </is>
      </c>
      <c r="Z454" t="inlineStr">
        <is>
          <t>M3</t>
        </is>
      </c>
      <c r="AA454" t="inlineStr">
        <is>
          <t>65674132</t>
        </is>
      </c>
      <c r="AB454" t="inlineStr">
        <is>
          <t>OBR AGR DOLMEN SAN VICENTE (EIPL)</t>
        </is>
      </c>
      <c r="AC454" t="n">
        <v>56103637</v>
      </c>
      <c r="AD454" t="n">
        <v>6622261540</v>
      </c>
      <c r="AE454" t="n">
        <v>4</v>
      </c>
      <c r="AF454" t="inlineStr">
        <is>
          <t>ENTREGA DIRECTA</t>
        </is>
      </c>
      <c r="AG454" t="n">
        <v>1.45</v>
      </c>
      <c r="AH454" t="inlineStr">
        <is>
          <t>M3</t>
        </is>
      </c>
      <c r="AI454" t="inlineStr">
        <is>
          <t>X</t>
        </is>
      </c>
      <c r="AJ454" t="n">
        <v>4</v>
      </c>
      <c r="AK454" t="inlineStr">
        <is>
          <t>V4</t>
        </is>
      </c>
      <c r="AL454" t="n">
        <v>20230920</v>
      </c>
      <c r="AM454" t="inlineStr">
        <is>
          <t>D836-900002574-65674132-10000624-4</t>
        </is>
      </c>
    </row>
    <row r="455">
      <c r="A455" t="inlineStr">
        <is>
          <t>900002574D8366656738410000357</t>
        </is>
      </c>
      <c r="B455" t="inlineStr">
        <is>
          <t>4600027590-630</t>
        </is>
      </c>
      <c r="C455" t="n">
        <v>4600027590</v>
      </c>
      <c r="D455" t="n">
        <v>630</v>
      </c>
      <c r="E455" t="inlineStr">
        <is>
          <t>MXPO</t>
        </is>
      </c>
      <c r="F455" t="inlineStr">
        <is>
          <t>M02</t>
        </is>
      </c>
      <c r="G455" t="n">
        <v>900002574</v>
      </c>
      <c r="H455" t="inlineStr">
        <is>
          <t>TP-ED-OLIELL</t>
        </is>
      </c>
      <c r="I455" t="n">
        <v>5048484</v>
      </c>
      <c r="J455" t="inlineStr">
        <is>
          <t>COMERCIALIZADORA Y TRANSPORTADORA O</t>
        </is>
      </c>
      <c r="K455" t="inlineStr">
        <is>
          <t>N90</t>
        </is>
      </c>
      <c r="L455" t="inlineStr">
        <is>
          <t>(AP) NAFIN 90 Dias</t>
        </is>
      </c>
      <c r="M455" t="n">
        <v>10000357</v>
      </c>
      <c r="N455" t="inlineStr">
        <is>
          <t>Grava Triturada Andesita 20 mm - 3/4"</t>
        </is>
      </c>
      <c r="O455" t="inlineStr">
        <is>
          <t>D836</t>
        </is>
      </c>
      <c r="P455" t="inlineStr">
        <is>
          <t>MX-CED. CENTRO</t>
        </is>
      </c>
      <c r="Q455" t="n">
        <v>20141106</v>
      </c>
      <c r="R455" t="n">
        <v>20281231</v>
      </c>
      <c r="S455" t="n">
        <v>20191212</v>
      </c>
      <c r="T455" t="n">
        <v>20241231</v>
      </c>
      <c r="U455" t="n">
        <v>344.82</v>
      </c>
      <c r="V455" t="inlineStr">
        <is>
          <t>MXN</t>
        </is>
      </c>
      <c r="W455" t="inlineStr">
        <is>
          <t>M3</t>
        </is>
      </c>
      <c r="X455" t="n">
        <v>172.41</v>
      </c>
      <c r="Y455" t="inlineStr">
        <is>
          <t>MXN</t>
        </is>
      </c>
      <c r="Z455" t="inlineStr">
        <is>
          <t>M3</t>
        </is>
      </c>
      <c r="AA455" t="inlineStr">
        <is>
          <t>66567384</t>
        </is>
      </c>
      <c r="AB455" t="inlineStr">
        <is>
          <t>SAN ANTONIO ABAD</t>
        </is>
      </c>
      <c r="AC455" t="n">
        <v>56103637</v>
      </c>
      <c r="AD455" t="n">
        <v>6622261540</v>
      </c>
      <c r="AE455" t="n">
        <v>4</v>
      </c>
      <c r="AF455" t="inlineStr">
        <is>
          <t>ENTREGA DIRECTA</t>
        </is>
      </c>
      <c r="AG455" t="n">
        <v>1.326</v>
      </c>
      <c r="AH455" t="inlineStr">
        <is>
          <t>M3</t>
        </is>
      </c>
      <c r="AI455" t="inlineStr">
        <is>
          <t>X</t>
        </is>
      </c>
      <c r="AJ455" t="n">
        <v>4</v>
      </c>
      <c r="AK455" t="inlineStr">
        <is>
          <t>V4</t>
        </is>
      </c>
      <c r="AL455" t="n">
        <v>20230920</v>
      </c>
      <c r="AM455" t="inlineStr">
        <is>
          <t>D836-900002574-66567384-10000357-4</t>
        </is>
      </c>
    </row>
    <row r="456">
      <c r="A456" t="inlineStr">
        <is>
          <t>900002574D8366693331310000133</t>
        </is>
      </c>
      <c r="B456" t="inlineStr">
        <is>
          <t>4600027590-2440</t>
        </is>
      </c>
      <c r="C456" t="n">
        <v>4600027590</v>
      </c>
      <c r="D456" t="n">
        <v>2440</v>
      </c>
      <c r="E456" t="inlineStr">
        <is>
          <t>MXPO</t>
        </is>
      </c>
      <c r="F456" t="inlineStr">
        <is>
          <t>M02</t>
        </is>
      </c>
      <c r="G456" t="n">
        <v>900002574</v>
      </c>
      <c r="H456" t="inlineStr">
        <is>
          <t>TP-ED-OLIELL</t>
        </is>
      </c>
      <c r="I456" t="n">
        <v>5048484</v>
      </c>
      <c r="J456" t="inlineStr">
        <is>
          <t>COMERCIALIZADORA Y TRANSPORTADORA O</t>
        </is>
      </c>
      <c r="K456" t="inlineStr">
        <is>
          <t>N90</t>
        </is>
      </c>
      <c r="L456" t="inlineStr">
        <is>
          <t>(AP) NAFIN 90 Dias</t>
        </is>
      </c>
      <c r="M456" t="n">
        <v>10000133</v>
      </c>
      <c r="N456" t="inlineStr">
        <is>
          <t>Grava Triturada Caliza 20 mm - 3/4"</t>
        </is>
      </c>
      <c r="O456" t="inlineStr">
        <is>
          <t>D836</t>
        </is>
      </c>
      <c r="P456" t="inlineStr">
        <is>
          <t>MX-CED. CENTRO</t>
        </is>
      </c>
      <c r="Q456" t="n">
        <v>20141106</v>
      </c>
      <c r="R456" t="n">
        <v>20281231</v>
      </c>
      <c r="S456" t="n">
        <v>20230711</v>
      </c>
      <c r="T456" t="n">
        <v>20281231</v>
      </c>
      <c r="U456" t="n">
        <v>259.95</v>
      </c>
      <c r="V456" t="inlineStr">
        <is>
          <t>MXN</t>
        </is>
      </c>
      <c r="W456" t="inlineStr">
        <is>
          <t>TN</t>
        </is>
      </c>
      <c r="X456" t="n">
        <v>154.89</v>
      </c>
      <c r="Y456" t="inlineStr">
        <is>
          <t>MXN</t>
        </is>
      </c>
      <c r="Z456" t="inlineStr">
        <is>
          <t>TN</t>
        </is>
      </c>
      <c r="AA456" t="inlineStr">
        <is>
          <t>66933313</t>
        </is>
      </c>
      <c r="AB456" t="inlineStr">
        <is>
          <t>Centro Ecuestre Miguel Hidalgo</t>
        </is>
      </c>
      <c r="AC456" t="n">
        <v>56103637</v>
      </c>
      <c r="AD456" t="n">
        <v>6622261540</v>
      </c>
      <c r="AE456" t="n">
        <v>4</v>
      </c>
      <c r="AF456" t="inlineStr">
        <is>
          <t>ENTREGA DIRECTA</t>
        </is>
      </c>
      <c r="AG456" t="n">
        <v>1</v>
      </c>
      <c r="AH456" t="inlineStr">
        <is>
          <t>TO</t>
        </is>
      </c>
      <c r="AI456" t="inlineStr">
        <is>
          <t>X</t>
        </is>
      </c>
      <c r="AJ456" t="n">
        <v>4</v>
      </c>
      <c r="AK456" t="inlineStr">
        <is>
          <t>V4</t>
        </is>
      </c>
      <c r="AL456" t="n">
        <v>20230920</v>
      </c>
      <c r="AM456" t="inlineStr">
        <is>
          <t>D836-900002574-66933313-10000133-4</t>
        </is>
      </c>
    </row>
    <row r="457">
      <c r="A457" t="inlineStr">
        <is>
          <t>900002574D8366660955610000133</t>
        </is>
      </c>
      <c r="B457" t="inlineStr">
        <is>
          <t>4600027590-1250</t>
        </is>
      </c>
      <c r="C457" t="n">
        <v>4600027590</v>
      </c>
      <c r="D457" t="n">
        <v>1250</v>
      </c>
      <c r="E457" t="inlineStr">
        <is>
          <t>MXPO</t>
        </is>
      </c>
      <c r="F457" t="inlineStr">
        <is>
          <t>M02</t>
        </is>
      </c>
      <c r="G457" t="n">
        <v>900002574</v>
      </c>
      <c r="H457" t="inlineStr">
        <is>
          <t>TP-ED-OLIELL</t>
        </is>
      </c>
      <c r="I457" t="n">
        <v>5048484</v>
      </c>
      <c r="J457" t="inlineStr">
        <is>
          <t>COMERCIALIZADORA Y TRANSPORTADORA O</t>
        </is>
      </c>
      <c r="K457" t="inlineStr">
        <is>
          <t>N90</t>
        </is>
      </c>
      <c r="L457" t="inlineStr">
        <is>
          <t>(AP) NAFIN 90 Dias</t>
        </is>
      </c>
      <c r="M457" t="n">
        <v>10000133</v>
      </c>
      <c r="N457" t="inlineStr">
        <is>
          <t>Grava Triturada Caliza 20 mm - 3/4"</t>
        </is>
      </c>
      <c r="O457" t="inlineStr">
        <is>
          <t>D836</t>
        </is>
      </c>
      <c r="P457" t="inlineStr">
        <is>
          <t>MX-CED. CENTRO</t>
        </is>
      </c>
      <c r="Q457" t="n">
        <v>20141106</v>
      </c>
      <c r="R457" t="n">
        <v>20281231</v>
      </c>
      <c r="S457" t="n">
        <v>20200812</v>
      </c>
      <c r="T457" t="n">
        <v>20291231</v>
      </c>
      <c r="U457" t="n">
        <v>603.4400000000001</v>
      </c>
      <c r="V457" t="inlineStr">
        <is>
          <t>MXN</t>
        </is>
      </c>
      <c r="W457" t="inlineStr">
        <is>
          <t>M3</t>
        </is>
      </c>
      <c r="X457" t="n">
        <v>420.34</v>
      </c>
      <c r="Y457" t="inlineStr">
        <is>
          <t>MXN</t>
        </is>
      </c>
      <c r="Z457" t="inlineStr">
        <is>
          <t>M3</t>
        </is>
      </c>
      <c r="AA457" t="inlineStr">
        <is>
          <t>66609556</t>
        </is>
      </c>
      <c r="AB457" t="inlineStr">
        <is>
          <t>CPI-CDA POLVORA 2</t>
        </is>
      </c>
      <c r="AC457" t="n">
        <v>56103637</v>
      </c>
      <c r="AD457" t="n">
        <v>6622261540</v>
      </c>
      <c r="AE457" t="n">
        <v>4</v>
      </c>
      <c r="AF457" t="inlineStr">
        <is>
          <t>ENTREGA DIRECTA</t>
        </is>
      </c>
      <c r="AG457" t="n">
        <v>1.46</v>
      </c>
      <c r="AH457" t="inlineStr">
        <is>
          <t>M3</t>
        </is>
      </c>
      <c r="AI457" t="inlineStr">
        <is>
          <t>X</t>
        </is>
      </c>
      <c r="AJ457" t="n">
        <v>4</v>
      </c>
      <c r="AK457" t="inlineStr">
        <is>
          <t>V4</t>
        </is>
      </c>
      <c r="AL457" t="n">
        <v>20230920</v>
      </c>
      <c r="AM457" t="inlineStr">
        <is>
          <t>D836-900002574-66609556-10000133-4</t>
        </is>
      </c>
    </row>
    <row r="458">
      <c r="A458" t="inlineStr">
        <is>
          <t>900002574D8366682296110000651</t>
        </is>
      </c>
      <c r="B458" t="inlineStr">
        <is>
          <t>4600027590-490</t>
        </is>
      </c>
      <c r="C458" t="n">
        <v>4600027590</v>
      </c>
      <c r="D458" t="n">
        <v>490</v>
      </c>
      <c r="E458" t="inlineStr">
        <is>
          <t>MXPO</t>
        </is>
      </c>
      <c r="F458" t="inlineStr">
        <is>
          <t>M02</t>
        </is>
      </c>
      <c r="G458" t="n">
        <v>900002574</v>
      </c>
      <c r="H458" t="inlineStr">
        <is>
          <t>TP-ED-OLIELL</t>
        </is>
      </c>
      <c r="I458" t="n">
        <v>5048484</v>
      </c>
      <c r="J458" t="inlineStr">
        <is>
          <t>COMERCIALIZADORA Y TRANSPORTADORA O</t>
        </is>
      </c>
      <c r="K458" t="inlineStr">
        <is>
          <t>N90</t>
        </is>
      </c>
      <c r="L458" t="inlineStr">
        <is>
          <t>(AP) NAFIN 90 Dias</t>
        </is>
      </c>
      <c r="M458" t="n">
        <v>10000651</v>
      </c>
      <c r="N458" t="inlineStr">
        <is>
          <t>Arena Triturada Andesita Malla 8</t>
        </is>
      </c>
      <c r="O458" t="inlineStr">
        <is>
          <t>D836</t>
        </is>
      </c>
      <c r="P458" t="inlineStr">
        <is>
          <t>MX-CED. CENTRO</t>
        </is>
      </c>
      <c r="Q458" t="n">
        <v>20141106</v>
      </c>
      <c r="R458" t="n">
        <v>20281231</v>
      </c>
      <c r="S458" t="n">
        <v>20191127</v>
      </c>
      <c r="T458" t="n">
        <v>20241231</v>
      </c>
      <c r="U458" t="n">
        <v>448.27</v>
      </c>
      <c r="V458" t="inlineStr">
        <is>
          <t>MXN</t>
        </is>
      </c>
      <c r="W458" t="inlineStr">
        <is>
          <t>M3</t>
        </is>
      </c>
      <c r="X458" t="n">
        <v>224.14</v>
      </c>
      <c r="Y458" t="inlineStr">
        <is>
          <t>MXN</t>
        </is>
      </c>
      <c r="Z458" t="inlineStr">
        <is>
          <t>M3</t>
        </is>
      </c>
      <c r="AA458" t="inlineStr">
        <is>
          <t>66822961</t>
        </is>
      </c>
      <c r="AB458" t="inlineStr">
        <is>
          <t>GUSTAVO BAZ 13</t>
        </is>
      </c>
      <c r="AC458" t="n">
        <v>56103638</v>
      </c>
      <c r="AD458" t="n">
        <v>6622261540</v>
      </c>
      <c r="AE458" t="n">
        <v>4</v>
      </c>
      <c r="AF458" t="inlineStr">
        <is>
          <t>ENTREGA DIRECTA</t>
        </is>
      </c>
      <c r="AG458" t="n">
        <v>1.35</v>
      </c>
      <c r="AH458" t="inlineStr">
        <is>
          <t>M3</t>
        </is>
      </c>
      <c r="AI458" t="inlineStr">
        <is>
          <t>X</t>
        </is>
      </c>
      <c r="AJ458" t="n">
        <v>4</v>
      </c>
      <c r="AK458" t="inlineStr">
        <is>
          <t>V4</t>
        </is>
      </c>
      <c r="AL458" t="n">
        <v>20230920</v>
      </c>
      <c r="AM458" t="inlineStr">
        <is>
          <t>D836-900002574-66822961-10000651-4</t>
        </is>
      </c>
    </row>
    <row r="459">
      <c r="A459" t="inlineStr">
        <is>
          <t>900002574D8366716973410000287</t>
        </is>
      </c>
      <c r="B459" t="inlineStr">
        <is>
          <t>4600027590-2490</t>
        </is>
      </c>
      <c r="C459" t="n">
        <v>4600027590</v>
      </c>
      <c r="D459" t="n">
        <v>2490</v>
      </c>
      <c r="E459" t="inlineStr">
        <is>
          <t>MXPO</t>
        </is>
      </c>
      <c r="F459" t="inlineStr">
        <is>
          <t>M02</t>
        </is>
      </c>
      <c r="G459" t="n">
        <v>900002574</v>
      </c>
      <c r="H459" t="inlineStr">
        <is>
          <t>TP-ED-OLIELL</t>
        </is>
      </c>
      <c r="I459" t="n">
        <v>5048484</v>
      </c>
      <c r="J459" t="inlineStr">
        <is>
          <t>COMERCIALIZADORA Y TRANSPORTADORA O</t>
        </is>
      </c>
      <c r="K459" t="inlineStr">
        <is>
          <t>N90</t>
        </is>
      </c>
      <c r="L459" t="inlineStr">
        <is>
          <t>(AP) NAFIN 90 Dias</t>
        </is>
      </c>
      <c r="M459" t="n">
        <v>10000287</v>
      </c>
      <c r="N459" t="inlineStr">
        <is>
          <t>Grava Triturada Basalto  40 mm - 1 1/2"</t>
        </is>
      </c>
      <c r="O459" t="inlineStr">
        <is>
          <t>D836</t>
        </is>
      </c>
      <c r="P459" t="inlineStr">
        <is>
          <t>MX-CED. CENTRO</t>
        </is>
      </c>
      <c r="Q459" t="n">
        <v>20141106</v>
      </c>
      <c r="R459" t="n">
        <v>20281231</v>
      </c>
      <c r="S459" t="n">
        <v>20230825</v>
      </c>
      <c r="T459" t="n">
        <v>20281231</v>
      </c>
      <c r="U459" t="n">
        <v>1105</v>
      </c>
      <c r="V459" t="inlineStr">
        <is>
          <t>MXN</t>
        </is>
      </c>
      <c r="W459" t="inlineStr">
        <is>
          <t>M3</t>
        </is>
      </c>
      <c r="X459" t="n">
        <v>720</v>
      </c>
      <c r="Y459" t="inlineStr">
        <is>
          <t>MXN</t>
        </is>
      </c>
      <c r="Z459" t="inlineStr">
        <is>
          <t>M3</t>
        </is>
      </c>
      <c r="AA459" t="inlineStr">
        <is>
          <t>67169734</t>
        </is>
      </c>
      <c r="AB459" t="inlineStr">
        <is>
          <t>lomas de cristo lagi</t>
        </is>
      </c>
      <c r="AC459" t="n">
        <v>56103637</v>
      </c>
      <c r="AD459" t="n">
        <v>6622261540</v>
      </c>
      <c r="AE459" t="n">
        <v>4</v>
      </c>
      <c r="AF459" t="inlineStr">
        <is>
          <t>ENTREGA DIRECTA</t>
        </is>
      </c>
      <c r="AG459" t="n">
        <v>1.44</v>
      </c>
      <c r="AH459" t="inlineStr">
        <is>
          <t>M3</t>
        </is>
      </c>
      <c r="AI459" t="inlineStr">
        <is>
          <t>X</t>
        </is>
      </c>
      <c r="AJ459" t="n">
        <v>4</v>
      </c>
      <c r="AK459" t="inlineStr">
        <is>
          <t>V4</t>
        </is>
      </c>
      <c r="AL459" t="n">
        <v>20230920</v>
      </c>
      <c r="AM459" t="inlineStr">
        <is>
          <t>D836-900002574-67169734-10000287-4</t>
        </is>
      </c>
    </row>
    <row r="460">
      <c r="A460" t="inlineStr">
        <is>
          <t>900002574D8366681232710000357</t>
        </is>
      </c>
      <c r="B460" t="inlineStr">
        <is>
          <t>4600027590-320</t>
        </is>
      </c>
      <c r="C460" t="n">
        <v>4600027590</v>
      </c>
      <c r="D460" t="n">
        <v>320</v>
      </c>
      <c r="E460" t="inlineStr">
        <is>
          <t>MXPO</t>
        </is>
      </c>
      <c r="F460" t="inlineStr">
        <is>
          <t>M02</t>
        </is>
      </c>
      <c r="G460" t="n">
        <v>900002574</v>
      </c>
      <c r="H460" t="inlineStr">
        <is>
          <t>TP-ED-OLIELL</t>
        </is>
      </c>
      <c r="I460" t="n">
        <v>5048484</v>
      </c>
      <c r="J460" t="inlineStr">
        <is>
          <t>COMERCIALIZADORA Y TRANSPORTADORA O</t>
        </is>
      </c>
      <c r="K460" t="inlineStr">
        <is>
          <t>N90</t>
        </is>
      </c>
      <c r="L460" t="inlineStr">
        <is>
          <t>(AP) NAFIN 90 Dias</t>
        </is>
      </c>
      <c r="M460" t="n">
        <v>10000357</v>
      </c>
      <c r="N460" t="inlineStr">
        <is>
          <t>Grava Triturada Andesita 20 mm - 3/4"</t>
        </is>
      </c>
      <c r="O460" t="inlineStr">
        <is>
          <t>D836</t>
        </is>
      </c>
      <c r="P460" t="inlineStr">
        <is>
          <t>MX-CED. CENTRO</t>
        </is>
      </c>
      <c r="Q460" t="n">
        <v>20141106</v>
      </c>
      <c r="R460" t="n">
        <v>20281231</v>
      </c>
      <c r="S460" t="n">
        <v>20191002</v>
      </c>
      <c r="T460" t="n">
        <v>20241231</v>
      </c>
      <c r="U460" t="n">
        <v>534.48</v>
      </c>
      <c r="V460" t="inlineStr">
        <is>
          <t>MXN</t>
        </is>
      </c>
      <c r="W460" t="inlineStr">
        <is>
          <t>M3</t>
        </is>
      </c>
      <c r="X460" t="n">
        <v>267.24</v>
      </c>
      <c r="Y460" t="inlineStr">
        <is>
          <t>MXN</t>
        </is>
      </c>
      <c r="Z460" t="inlineStr">
        <is>
          <t>M3</t>
        </is>
      </c>
      <c r="AA460" t="inlineStr">
        <is>
          <t>66812327</t>
        </is>
      </c>
      <c r="AB460" t="inlineStr">
        <is>
          <t>IGNACIO ZARAGOZA SOMOAN</t>
        </is>
      </c>
      <c r="AC460" t="n">
        <v>56103637</v>
      </c>
      <c r="AD460" t="n">
        <v>6622261540</v>
      </c>
      <c r="AE460" t="n">
        <v>4</v>
      </c>
      <c r="AF460" t="inlineStr">
        <is>
          <t>ENTREGA DIRECTA</t>
        </is>
      </c>
      <c r="AG460" t="n">
        <v>1.326</v>
      </c>
      <c r="AH460" t="inlineStr">
        <is>
          <t>M3</t>
        </is>
      </c>
      <c r="AI460" t="inlineStr">
        <is>
          <t>X</t>
        </is>
      </c>
      <c r="AJ460" t="n">
        <v>4</v>
      </c>
      <c r="AK460" t="inlineStr">
        <is>
          <t>V4</t>
        </is>
      </c>
      <c r="AL460" t="n">
        <v>20230920</v>
      </c>
      <c r="AM460" t="inlineStr">
        <is>
          <t>D836-900002574-66812327-10000357-4</t>
        </is>
      </c>
    </row>
    <row r="461">
      <c r="A461" t="inlineStr">
        <is>
          <t>900002574D8366690711810000630</t>
        </is>
      </c>
      <c r="B461" t="inlineStr">
        <is>
          <t>4600027590-1710</t>
        </is>
      </c>
      <c r="C461" t="n">
        <v>4600027590</v>
      </c>
      <c r="D461" t="n">
        <v>1710</v>
      </c>
      <c r="E461" t="inlineStr">
        <is>
          <t>MXPO</t>
        </is>
      </c>
      <c r="F461" t="inlineStr">
        <is>
          <t>M02</t>
        </is>
      </c>
      <c r="G461" t="n">
        <v>900002574</v>
      </c>
      <c r="H461" t="inlineStr">
        <is>
          <t>TP-ED-OLIELL</t>
        </is>
      </c>
      <c r="I461" t="n">
        <v>5048484</v>
      </c>
      <c r="J461" t="inlineStr">
        <is>
          <t>COMERCIALIZADORA Y TRANSPORTADORA O</t>
        </is>
      </c>
      <c r="K461" t="inlineStr">
        <is>
          <t>N90</t>
        </is>
      </c>
      <c r="L461" t="inlineStr">
        <is>
          <t>(AP) NAFIN 90 Dias</t>
        </is>
      </c>
      <c r="M461" t="n">
        <v>10000630</v>
      </c>
      <c r="N461" t="inlineStr">
        <is>
          <t>Grava Triturada Caliza 13 mm - 1/2"</t>
        </is>
      </c>
      <c r="O461" t="inlineStr">
        <is>
          <t>D836</t>
        </is>
      </c>
      <c r="P461" t="inlineStr">
        <is>
          <t>MX-CED. CENTRO</t>
        </is>
      </c>
      <c r="Q461" t="n">
        <v>20141106</v>
      </c>
      <c r="R461" t="n">
        <v>20281231</v>
      </c>
      <c r="S461" t="n">
        <v>20201027</v>
      </c>
      <c r="T461" t="n">
        <v>20291231</v>
      </c>
      <c r="U461" t="n">
        <v>446</v>
      </c>
      <c r="V461" t="inlineStr">
        <is>
          <t>MXN</t>
        </is>
      </c>
      <c r="W461" t="inlineStr">
        <is>
          <t>M3</t>
        </is>
      </c>
      <c r="X461" t="n">
        <v>260</v>
      </c>
      <c r="Y461" t="inlineStr">
        <is>
          <t>MXN</t>
        </is>
      </c>
      <c r="Z461" t="inlineStr">
        <is>
          <t>M3</t>
        </is>
      </c>
      <c r="AA461" t="inlineStr">
        <is>
          <t>66907118</t>
        </is>
      </c>
      <c r="AC461" t="n">
        <v>56103637</v>
      </c>
      <c r="AD461" t="n">
        <v>6622261540</v>
      </c>
      <c r="AE461" t="n">
        <v>4</v>
      </c>
      <c r="AF461" t="inlineStr">
        <is>
          <t>ENTREGA DIRECTA</t>
        </is>
      </c>
      <c r="AG461" t="n">
        <v>1.4</v>
      </c>
      <c r="AH461" t="inlineStr">
        <is>
          <t>M3</t>
        </is>
      </c>
      <c r="AI461" t="inlineStr">
        <is>
          <t>X</t>
        </is>
      </c>
      <c r="AJ461" t="n">
        <v>4</v>
      </c>
      <c r="AK461" t="inlineStr">
        <is>
          <t>V4</t>
        </is>
      </c>
      <c r="AL461" t="n">
        <v>20230920</v>
      </c>
      <c r="AM461" t="inlineStr">
        <is>
          <t>D836-900002574-66907118-10000630-4</t>
        </is>
      </c>
    </row>
    <row r="462">
      <c r="A462" t="inlineStr">
        <is>
          <t>900002574D8366660955610000160</t>
        </is>
      </c>
      <c r="B462" t="inlineStr">
        <is>
          <t>4600027590-1220</t>
        </is>
      </c>
      <c r="C462" t="n">
        <v>4600027590</v>
      </c>
      <c r="D462" t="n">
        <v>1220</v>
      </c>
      <c r="E462" t="inlineStr">
        <is>
          <t>MXPO</t>
        </is>
      </c>
      <c r="F462" t="inlineStr">
        <is>
          <t>M02</t>
        </is>
      </c>
      <c r="G462" t="n">
        <v>900002574</v>
      </c>
      <c r="H462" t="inlineStr">
        <is>
          <t>TP-ED-OLIELL</t>
        </is>
      </c>
      <c r="I462" t="n">
        <v>5048484</v>
      </c>
      <c r="J462" t="inlineStr">
        <is>
          <t>COMERCIALIZADORA Y TRANSPORTADORA O</t>
        </is>
      </c>
      <c r="K462" t="inlineStr">
        <is>
          <t>N90</t>
        </is>
      </c>
      <c r="L462" t="inlineStr">
        <is>
          <t>(AP) NAFIN 90 Dias</t>
        </is>
      </c>
      <c r="M462" t="n">
        <v>10000160</v>
      </c>
      <c r="N462" t="inlineStr">
        <is>
          <t>Arena Triturada Andesita Malla 4</t>
        </is>
      </c>
      <c r="O462" t="inlineStr">
        <is>
          <t>D836</t>
        </is>
      </c>
      <c r="P462" t="inlineStr">
        <is>
          <t>MX-CED. CENTRO</t>
        </is>
      </c>
      <c r="Q462" t="n">
        <v>20141106</v>
      </c>
      <c r="R462" t="n">
        <v>20281231</v>
      </c>
      <c r="S462" t="n">
        <v>20200812</v>
      </c>
      <c r="T462" t="n">
        <v>20291231</v>
      </c>
      <c r="U462" t="n">
        <v>474.13</v>
      </c>
      <c r="V462" t="inlineStr">
        <is>
          <t>MXN</t>
        </is>
      </c>
      <c r="W462" t="inlineStr">
        <is>
          <t>M3</t>
        </is>
      </c>
      <c r="X462" t="n">
        <v>374.13</v>
      </c>
      <c r="Y462" t="inlineStr">
        <is>
          <t>MXN</t>
        </is>
      </c>
      <c r="Z462" t="inlineStr">
        <is>
          <t>M3</t>
        </is>
      </c>
      <c r="AA462" t="inlineStr">
        <is>
          <t>66609556</t>
        </is>
      </c>
      <c r="AB462" t="inlineStr">
        <is>
          <t>CPI-CDA POLVORA 2</t>
        </is>
      </c>
      <c r="AC462" t="n">
        <v>56103638</v>
      </c>
      <c r="AD462" t="n">
        <v>6622261540</v>
      </c>
      <c r="AE462" t="n">
        <v>4</v>
      </c>
      <c r="AF462" t="inlineStr">
        <is>
          <t>ENTREGA DIRECTA</t>
        </is>
      </c>
      <c r="AG462" t="n">
        <v>1.409</v>
      </c>
      <c r="AH462" t="inlineStr">
        <is>
          <t>M3</t>
        </is>
      </c>
      <c r="AI462" t="inlineStr">
        <is>
          <t>X</t>
        </is>
      </c>
      <c r="AJ462" t="n">
        <v>4</v>
      </c>
      <c r="AK462" t="inlineStr">
        <is>
          <t>V4</t>
        </is>
      </c>
      <c r="AL462" t="n">
        <v>20230920</v>
      </c>
      <c r="AM462" t="inlineStr">
        <is>
          <t>D836-900002574-66609556-10000160-4</t>
        </is>
      </c>
    </row>
    <row r="463">
      <c r="A463" t="inlineStr">
        <is>
          <t>900002574D8366695125510000160</t>
        </is>
      </c>
      <c r="B463" t="inlineStr">
        <is>
          <t>4600027590-2040</t>
        </is>
      </c>
      <c r="C463" t="n">
        <v>4600027590</v>
      </c>
      <c r="D463" t="n">
        <v>2040</v>
      </c>
      <c r="E463" t="inlineStr">
        <is>
          <t>MXPO</t>
        </is>
      </c>
      <c r="F463" t="inlineStr">
        <is>
          <t>M02</t>
        </is>
      </c>
      <c r="G463" t="n">
        <v>900002574</v>
      </c>
      <c r="H463" t="inlineStr">
        <is>
          <t>TP-ED-OLIELL</t>
        </is>
      </c>
      <c r="I463" t="n">
        <v>5048484</v>
      </c>
      <c r="J463" t="inlineStr">
        <is>
          <t>COMERCIALIZADORA Y TRANSPORTADORA O</t>
        </is>
      </c>
      <c r="K463" t="inlineStr">
        <is>
          <t>N90</t>
        </is>
      </c>
      <c r="L463" t="inlineStr">
        <is>
          <t>(AP) NAFIN 90 Dias</t>
        </is>
      </c>
      <c r="M463" t="n">
        <v>10000160</v>
      </c>
      <c r="N463" t="inlineStr">
        <is>
          <t>Arena Triturada Andesita Malla 4</t>
        </is>
      </c>
      <c r="O463" t="inlineStr">
        <is>
          <t>D836</t>
        </is>
      </c>
      <c r="P463" t="inlineStr">
        <is>
          <t>MX-CED. CENTRO</t>
        </is>
      </c>
      <c r="Q463" t="n">
        <v>20141106</v>
      </c>
      <c r="R463" t="n">
        <v>20281231</v>
      </c>
      <c r="S463" t="n">
        <v>20210329</v>
      </c>
      <c r="T463" t="n">
        <v>20291231</v>
      </c>
      <c r="U463" t="n">
        <v>560.34</v>
      </c>
      <c r="V463" t="inlineStr">
        <is>
          <t>MXN</t>
        </is>
      </c>
      <c r="W463" t="inlineStr">
        <is>
          <t>M3</t>
        </is>
      </c>
      <c r="X463" t="n">
        <v>462.34</v>
      </c>
      <c r="Y463" t="inlineStr">
        <is>
          <t>MXN</t>
        </is>
      </c>
      <c r="Z463" t="inlineStr">
        <is>
          <t>M3</t>
        </is>
      </c>
      <c r="AA463" t="inlineStr">
        <is>
          <t>66951255</t>
        </is>
      </c>
      <c r="AB463" t="inlineStr">
        <is>
          <t>COPPEL HOGARES</t>
        </is>
      </c>
      <c r="AC463" t="n">
        <v>56103638</v>
      </c>
      <c r="AD463" t="n">
        <v>6622261540</v>
      </c>
      <c r="AE463" t="n">
        <v>4</v>
      </c>
      <c r="AF463" t="inlineStr">
        <is>
          <t>ENTREGA DIRECTA</t>
        </is>
      </c>
      <c r="AG463" t="n">
        <v>1.409</v>
      </c>
      <c r="AH463" t="inlineStr">
        <is>
          <t>M3</t>
        </is>
      </c>
      <c r="AI463" t="inlineStr">
        <is>
          <t>X</t>
        </is>
      </c>
      <c r="AJ463" t="n">
        <v>4</v>
      </c>
      <c r="AK463" t="inlineStr">
        <is>
          <t>V4</t>
        </is>
      </c>
      <c r="AL463" t="n">
        <v>20230920</v>
      </c>
      <c r="AM463" t="inlineStr">
        <is>
          <t>D836-900002574-66951255-10000160-4</t>
        </is>
      </c>
    </row>
    <row r="464">
      <c r="A464" t="inlineStr">
        <is>
          <t>900002574D8366684714410000651</t>
        </is>
      </c>
      <c r="B464" t="inlineStr">
        <is>
          <t>4600027590-880</t>
        </is>
      </c>
      <c r="C464" t="n">
        <v>4600027590</v>
      </c>
      <c r="D464" t="n">
        <v>880</v>
      </c>
      <c r="E464" t="inlineStr">
        <is>
          <t>MXPO</t>
        </is>
      </c>
      <c r="F464" t="inlineStr">
        <is>
          <t>M02</t>
        </is>
      </c>
      <c r="G464" t="n">
        <v>900002574</v>
      </c>
      <c r="H464" t="inlineStr">
        <is>
          <t>TP-ED-OLIELL</t>
        </is>
      </c>
      <c r="I464" t="n">
        <v>5048484</v>
      </c>
      <c r="J464" t="inlineStr">
        <is>
          <t>COMERCIALIZADORA Y TRANSPORTADORA O</t>
        </is>
      </c>
      <c r="K464" t="inlineStr">
        <is>
          <t>N90</t>
        </is>
      </c>
      <c r="L464" t="inlineStr">
        <is>
          <t>(AP) NAFIN 90 Dias</t>
        </is>
      </c>
      <c r="M464" t="n">
        <v>10000651</v>
      </c>
      <c r="N464" t="inlineStr">
        <is>
          <t>Arena Triturada Andesita Malla 8</t>
        </is>
      </c>
      <c r="O464" t="inlineStr">
        <is>
          <t>D836</t>
        </is>
      </c>
      <c r="P464" t="inlineStr">
        <is>
          <t>MX-CED. CENTRO</t>
        </is>
      </c>
      <c r="Q464" t="n">
        <v>20141106</v>
      </c>
      <c r="R464" t="n">
        <v>20281231</v>
      </c>
      <c r="S464" t="n">
        <v>20200212</v>
      </c>
      <c r="T464" t="n">
        <v>20291231</v>
      </c>
      <c r="U464" t="n">
        <v>318.96</v>
      </c>
      <c r="V464" t="inlineStr">
        <is>
          <t>MXN</t>
        </is>
      </c>
      <c r="W464" t="inlineStr">
        <is>
          <t>M3</t>
        </is>
      </c>
      <c r="X464" t="n">
        <v>159</v>
      </c>
      <c r="Y464" t="inlineStr">
        <is>
          <t>MXN</t>
        </is>
      </c>
      <c r="Z464" t="inlineStr">
        <is>
          <t>M3</t>
        </is>
      </c>
      <c r="AA464" t="inlineStr">
        <is>
          <t>66847144</t>
        </is>
      </c>
      <c r="AB464" t="inlineStr">
        <is>
          <t>VERTIZ 1301 (LRR)</t>
        </is>
      </c>
      <c r="AC464" t="n">
        <v>56103638</v>
      </c>
      <c r="AD464" t="n">
        <v>6622261540</v>
      </c>
      <c r="AE464" t="n">
        <v>4</v>
      </c>
      <c r="AF464" t="inlineStr">
        <is>
          <t>ENTREGA DIRECTA</t>
        </is>
      </c>
      <c r="AG464" t="n">
        <v>1.35</v>
      </c>
      <c r="AH464" t="inlineStr">
        <is>
          <t>M3</t>
        </is>
      </c>
      <c r="AI464" t="inlineStr">
        <is>
          <t>X</t>
        </is>
      </c>
      <c r="AJ464" t="n">
        <v>4</v>
      </c>
      <c r="AK464" t="inlineStr">
        <is>
          <t>V4</t>
        </is>
      </c>
      <c r="AL464" t="n">
        <v>20230920</v>
      </c>
      <c r="AM464" t="inlineStr">
        <is>
          <t>D836-900002574-66847144-10000651-4</t>
        </is>
      </c>
    </row>
    <row r="465">
      <c r="A465" t="inlineStr">
        <is>
          <t>900002574D8366691619010000357</t>
        </is>
      </c>
      <c r="B465" t="inlineStr">
        <is>
          <t>4600027590-1890</t>
        </is>
      </c>
      <c r="C465" t="n">
        <v>4600027590</v>
      </c>
      <c r="D465" t="n">
        <v>1890</v>
      </c>
      <c r="E465" t="inlineStr">
        <is>
          <t>MXPO</t>
        </is>
      </c>
      <c r="F465" t="inlineStr">
        <is>
          <t>M02</t>
        </is>
      </c>
      <c r="G465" t="n">
        <v>900002574</v>
      </c>
      <c r="H465" t="inlineStr">
        <is>
          <t>TP-ED-OLIELL</t>
        </is>
      </c>
      <c r="I465" t="n">
        <v>5048484</v>
      </c>
      <c r="J465" t="inlineStr">
        <is>
          <t>COMERCIALIZADORA Y TRANSPORTADORA O</t>
        </is>
      </c>
      <c r="K465" t="inlineStr">
        <is>
          <t>N90</t>
        </is>
      </c>
      <c r="L465" t="inlineStr">
        <is>
          <t>(AP) NAFIN 90 Dias</t>
        </is>
      </c>
      <c r="M465" t="n">
        <v>10000357</v>
      </c>
      <c r="N465" t="inlineStr">
        <is>
          <t>Grava Triturada Andesita 20 mm - 3/4"</t>
        </is>
      </c>
      <c r="O465" t="inlineStr">
        <is>
          <t>D836</t>
        </is>
      </c>
      <c r="P465" t="inlineStr">
        <is>
          <t>MX-CED. CENTRO</t>
        </is>
      </c>
      <c r="Q465" t="n">
        <v>20141106</v>
      </c>
      <c r="R465" t="n">
        <v>20281231</v>
      </c>
      <c r="S465" t="n">
        <v>20201126</v>
      </c>
      <c r="T465" t="n">
        <v>20291231</v>
      </c>
      <c r="U465" t="n">
        <v>379.31</v>
      </c>
      <c r="V465" t="inlineStr">
        <is>
          <t>MXN</t>
        </is>
      </c>
      <c r="W465" t="inlineStr">
        <is>
          <t>M3</t>
        </is>
      </c>
      <c r="X465" t="n">
        <v>264</v>
      </c>
      <c r="Y465" t="inlineStr">
        <is>
          <t>MXN</t>
        </is>
      </c>
      <c r="Z465" t="inlineStr">
        <is>
          <t>M3</t>
        </is>
      </c>
      <c r="AA465" t="inlineStr">
        <is>
          <t>66916190</t>
        </is>
      </c>
      <c r="AB465" t="inlineStr">
        <is>
          <t>PETEN 594</t>
        </is>
      </c>
      <c r="AC465" t="n">
        <v>56103637</v>
      </c>
      <c r="AD465" t="n">
        <v>6622261540</v>
      </c>
      <c r="AE465" t="n">
        <v>4</v>
      </c>
      <c r="AF465" t="inlineStr">
        <is>
          <t>ENTREGA DIRECTA</t>
        </is>
      </c>
      <c r="AG465" t="n">
        <v>1.326</v>
      </c>
      <c r="AH465" t="inlineStr">
        <is>
          <t>M3</t>
        </is>
      </c>
      <c r="AI465" t="inlineStr">
        <is>
          <t>X</t>
        </is>
      </c>
      <c r="AJ465" t="n">
        <v>4</v>
      </c>
      <c r="AK465" t="inlineStr">
        <is>
          <t>V4</t>
        </is>
      </c>
      <c r="AL465" t="n">
        <v>20230920</v>
      </c>
      <c r="AM465" t="inlineStr">
        <is>
          <t>D836-900002574-66916190-10000357-4</t>
        </is>
      </c>
    </row>
    <row r="466">
      <c r="A466" t="inlineStr">
        <is>
          <t>900002574D8366680800610000357</t>
        </is>
      </c>
      <c r="B466" t="inlineStr">
        <is>
          <t>4600027590-460</t>
        </is>
      </c>
      <c r="C466" t="n">
        <v>4600027590</v>
      </c>
      <c r="D466" t="n">
        <v>460</v>
      </c>
      <c r="E466" t="inlineStr">
        <is>
          <t>MXPO</t>
        </is>
      </c>
      <c r="F466" t="inlineStr">
        <is>
          <t>M02</t>
        </is>
      </c>
      <c r="G466" t="n">
        <v>900002574</v>
      </c>
      <c r="H466" t="inlineStr">
        <is>
          <t>TP-ED-OLIELL</t>
        </is>
      </c>
      <c r="I466" t="n">
        <v>5048484</v>
      </c>
      <c r="J466" t="inlineStr">
        <is>
          <t>COMERCIALIZADORA Y TRANSPORTADORA O</t>
        </is>
      </c>
      <c r="K466" t="inlineStr">
        <is>
          <t>N90</t>
        </is>
      </c>
      <c r="L466" t="inlineStr">
        <is>
          <t>(AP) NAFIN 90 Dias</t>
        </is>
      </c>
      <c r="M466" t="n">
        <v>10000357</v>
      </c>
      <c r="N466" t="inlineStr">
        <is>
          <t>Grava Triturada Andesita 20 mm - 3/4"</t>
        </is>
      </c>
      <c r="O466" t="inlineStr">
        <is>
          <t>D836</t>
        </is>
      </c>
      <c r="P466" t="inlineStr">
        <is>
          <t>MX-CED. CENTRO</t>
        </is>
      </c>
      <c r="Q466" t="n">
        <v>20141106</v>
      </c>
      <c r="R466" t="n">
        <v>20281231</v>
      </c>
      <c r="S466" t="n">
        <v>20191119</v>
      </c>
      <c r="T466" t="n">
        <v>20241231</v>
      </c>
      <c r="U466" t="n">
        <v>205</v>
      </c>
      <c r="V466" t="inlineStr">
        <is>
          <t>MXN</t>
        </is>
      </c>
      <c r="W466" t="inlineStr">
        <is>
          <t>M3</t>
        </is>
      </c>
      <c r="X466" t="n">
        <v>102.5</v>
      </c>
      <c r="Y466" t="inlineStr">
        <is>
          <t>MXN</t>
        </is>
      </c>
      <c r="Z466" t="inlineStr">
        <is>
          <t>M3</t>
        </is>
      </c>
      <c r="AA466" t="inlineStr">
        <is>
          <t>66808006</t>
        </is>
      </c>
      <c r="AB466" t="inlineStr">
        <is>
          <t>LOS REYES ACAQUILPAN</t>
        </is>
      </c>
      <c r="AC466" t="n">
        <v>56103637</v>
      </c>
      <c r="AD466" t="n">
        <v>6622261540</v>
      </c>
      <c r="AE466" t="n">
        <v>4</v>
      </c>
      <c r="AF466" t="inlineStr">
        <is>
          <t>ENTREGA DIRECTA</t>
        </is>
      </c>
      <c r="AG466" t="n">
        <v>1.326</v>
      </c>
      <c r="AH466" t="inlineStr">
        <is>
          <t>M3</t>
        </is>
      </c>
      <c r="AI466" t="inlineStr">
        <is>
          <t>X</t>
        </is>
      </c>
      <c r="AJ466" t="n">
        <v>4</v>
      </c>
      <c r="AK466" t="inlineStr">
        <is>
          <t>V4</t>
        </is>
      </c>
      <c r="AL466" t="n">
        <v>20230920</v>
      </c>
      <c r="AM466" t="inlineStr">
        <is>
          <t>D836-900002574-66808006-10000357-4</t>
        </is>
      </c>
    </row>
    <row r="467">
      <c r="A467" t="inlineStr">
        <is>
          <t>900002574D8366689874510000357</t>
        </is>
      </c>
      <c r="B467" t="inlineStr">
        <is>
          <t>4600027590-1870</t>
        </is>
      </c>
      <c r="C467" t="n">
        <v>4600027590</v>
      </c>
      <c r="D467" t="n">
        <v>1870</v>
      </c>
      <c r="E467" t="inlineStr">
        <is>
          <t>MXPO</t>
        </is>
      </c>
      <c r="F467" t="inlineStr">
        <is>
          <t>M02</t>
        </is>
      </c>
      <c r="G467" t="n">
        <v>900002574</v>
      </c>
      <c r="H467" t="inlineStr">
        <is>
          <t>TP-ED-OLIELL</t>
        </is>
      </c>
      <c r="I467" t="n">
        <v>5048484</v>
      </c>
      <c r="J467" t="inlineStr">
        <is>
          <t>COMERCIALIZADORA Y TRANSPORTADORA O</t>
        </is>
      </c>
      <c r="K467" t="inlineStr">
        <is>
          <t>N90</t>
        </is>
      </c>
      <c r="L467" t="inlineStr">
        <is>
          <t>(AP) NAFIN 90 Dias</t>
        </is>
      </c>
      <c r="M467" t="n">
        <v>10000357</v>
      </c>
      <c r="N467" t="inlineStr">
        <is>
          <t>Grava Triturada Andesita 20 mm - 3/4"</t>
        </is>
      </c>
      <c r="O467" t="inlineStr">
        <is>
          <t>D836</t>
        </is>
      </c>
      <c r="P467" t="inlineStr">
        <is>
          <t>MX-CED. CENTRO</t>
        </is>
      </c>
      <c r="Q467" t="n">
        <v>20141106</v>
      </c>
      <c r="R467" t="n">
        <v>20281231</v>
      </c>
      <c r="S467" t="n">
        <v>20201125</v>
      </c>
      <c r="T467" t="n">
        <v>20291231</v>
      </c>
      <c r="U467" t="n">
        <v>491.38</v>
      </c>
      <c r="V467" t="inlineStr">
        <is>
          <t>MXN</t>
        </is>
      </c>
      <c r="W467" t="inlineStr">
        <is>
          <t>M3</t>
        </is>
      </c>
      <c r="X467" t="n">
        <v>375</v>
      </c>
      <c r="Y467" t="inlineStr">
        <is>
          <t>MXN</t>
        </is>
      </c>
      <c r="Z467" t="inlineStr">
        <is>
          <t>M3</t>
        </is>
      </c>
      <c r="AA467" t="inlineStr">
        <is>
          <t>66898745</t>
        </is>
      </c>
      <c r="AB467" t="inlineStr">
        <is>
          <t>Eje Vial 4 Norte</t>
        </is>
      </c>
      <c r="AC467" t="n">
        <v>56103637</v>
      </c>
      <c r="AD467" t="n">
        <v>6622261540</v>
      </c>
      <c r="AE467" t="n">
        <v>4</v>
      </c>
      <c r="AF467" t="inlineStr">
        <is>
          <t>ENTREGA DIRECTA</t>
        </is>
      </c>
      <c r="AG467" t="n">
        <v>1.326</v>
      </c>
      <c r="AH467" t="inlineStr">
        <is>
          <t>M3</t>
        </is>
      </c>
      <c r="AI467" t="inlineStr">
        <is>
          <t>X</t>
        </is>
      </c>
      <c r="AJ467" t="n">
        <v>4</v>
      </c>
      <c r="AK467" t="inlineStr">
        <is>
          <t>V4</t>
        </is>
      </c>
      <c r="AL467" t="n">
        <v>20230920</v>
      </c>
      <c r="AM467" t="inlineStr">
        <is>
          <t>D836-900002574-66898745-10000357-4</t>
        </is>
      </c>
    </row>
    <row r="468">
      <c r="A468" t="inlineStr">
        <is>
          <t>900002574D8366656738410178773</t>
        </is>
      </c>
      <c r="B468" t="inlineStr">
        <is>
          <t>4600027590-650</t>
        </is>
      </c>
      <c r="C468" t="n">
        <v>4600027590</v>
      </c>
      <c r="D468" t="n">
        <v>650</v>
      </c>
      <c r="E468" t="inlineStr">
        <is>
          <t>MXPO</t>
        </is>
      </c>
      <c r="F468" t="inlineStr">
        <is>
          <t>M02</t>
        </is>
      </c>
      <c r="G468" t="n">
        <v>900002574</v>
      </c>
      <c r="H468" t="inlineStr">
        <is>
          <t>TP-ED-OLIELL</t>
        </is>
      </c>
      <c r="I468" t="n">
        <v>5048484</v>
      </c>
      <c r="J468" t="inlineStr">
        <is>
          <t>COMERCIALIZADORA Y TRANSPORTADORA O</t>
        </is>
      </c>
      <c r="K468" t="inlineStr">
        <is>
          <t>N90</t>
        </is>
      </c>
      <c r="L468" t="inlineStr">
        <is>
          <t>(AP) NAFIN 90 Dias</t>
        </is>
      </c>
      <c r="M468" t="n">
        <v>10178773</v>
      </c>
      <c r="N468" t="inlineStr">
        <is>
          <t>GRAVA TRITURADA BASALTO 20 MM - 3/4"</t>
        </is>
      </c>
      <c r="O468" t="inlineStr">
        <is>
          <t>D836</t>
        </is>
      </c>
      <c r="P468" t="inlineStr">
        <is>
          <t>MX-CED. CENTRO</t>
        </is>
      </c>
      <c r="Q468" t="n">
        <v>20141106</v>
      </c>
      <c r="R468" t="n">
        <v>20281231</v>
      </c>
      <c r="S468" t="n">
        <v>20191212</v>
      </c>
      <c r="T468" t="n">
        <v>20241231</v>
      </c>
      <c r="U468" t="n">
        <v>580</v>
      </c>
      <c r="V468" t="inlineStr">
        <is>
          <t>MXN</t>
        </is>
      </c>
      <c r="W468" t="inlineStr">
        <is>
          <t>M3</t>
        </is>
      </c>
      <c r="X468" t="n">
        <v>290</v>
      </c>
      <c r="Y468" t="inlineStr">
        <is>
          <t>MXN</t>
        </is>
      </c>
      <c r="Z468" t="inlineStr">
        <is>
          <t>M3</t>
        </is>
      </c>
      <c r="AA468" t="inlineStr">
        <is>
          <t>66567384</t>
        </is>
      </c>
      <c r="AB468" t="inlineStr">
        <is>
          <t>SAN ANTONIO ABAD</t>
        </is>
      </c>
      <c r="AC468" t="n">
        <v>56103637</v>
      </c>
      <c r="AD468" t="n">
        <v>6622261540</v>
      </c>
      <c r="AE468" t="n">
        <v>4</v>
      </c>
      <c r="AF468" t="inlineStr">
        <is>
          <t>ENTREGA DIRECTA</t>
        </is>
      </c>
      <c r="AG468" t="n">
        <v>1.401</v>
      </c>
      <c r="AH468" t="inlineStr">
        <is>
          <t>M3</t>
        </is>
      </c>
      <c r="AI468" t="inlineStr">
        <is>
          <t>X</t>
        </is>
      </c>
      <c r="AJ468" t="n">
        <v>4</v>
      </c>
      <c r="AK468" t="inlineStr">
        <is>
          <t>V4</t>
        </is>
      </c>
      <c r="AL468" t="n">
        <v>20230920</v>
      </c>
      <c r="AM468" t="inlineStr">
        <is>
          <t>D836-900002574-66567384-10178773-4</t>
        </is>
      </c>
    </row>
    <row r="469">
      <c r="A469" t="inlineStr">
        <is>
          <t>900002574D8366681799710000160</t>
        </is>
      </c>
      <c r="B469" t="inlineStr">
        <is>
          <t>4600027590-610</t>
        </is>
      </c>
      <c r="C469" t="n">
        <v>4600027590</v>
      </c>
      <c r="D469" t="n">
        <v>610</v>
      </c>
      <c r="E469" t="inlineStr">
        <is>
          <t>MXPO</t>
        </is>
      </c>
      <c r="F469" t="inlineStr">
        <is>
          <t>M02</t>
        </is>
      </c>
      <c r="G469" t="n">
        <v>900002574</v>
      </c>
      <c r="H469" t="inlineStr">
        <is>
          <t>TP-ED-OLIELL</t>
        </is>
      </c>
      <c r="I469" t="n">
        <v>5048484</v>
      </c>
      <c r="J469" t="inlineStr">
        <is>
          <t>COMERCIALIZADORA Y TRANSPORTADORA O</t>
        </is>
      </c>
      <c r="K469" t="inlineStr">
        <is>
          <t>N90</t>
        </is>
      </c>
      <c r="L469" t="inlineStr">
        <is>
          <t>(AP) NAFIN 90 Dias</t>
        </is>
      </c>
      <c r="M469" t="n">
        <v>10000160</v>
      </c>
      <c r="N469" t="inlineStr">
        <is>
          <t>Arena Triturada Andesita Malla 4</t>
        </is>
      </c>
      <c r="O469" t="inlineStr">
        <is>
          <t>D836</t>
        </is>
      </c>
      <c r="P469" t="inlineStr">
        <is>
          <t>MX-CED. CENTRO</t>
        </is>
      </c>
      <c r="Q469" t="n">
        <v>20141106</v>
      </c>
      <c r="R469" t="n">
        <v>20281231</v>
      </c>
      <c r="S469" t="n">
        <v>20191210</v>
      </c>
      <c r="T469" t="n">
        <v>20241231</v>
      </c>
      <c r="U469" t="n">
        <v>344.82</v>
      </c>
      <c r="V469" t="inlineStr">
        <is>
          <t>MXN</t>
        </is>
      </c>
      <c r="W469" t="inlineStr">
        <is>
          <t>M3</t>
        </is>
      </c>
      <c r="X469" t="n">
        <v>172.41</v>
      </c>
      <c r="Y469" t="inlineStr">
        <is>
          <t>MXN</t>
        </is>
      </c>
      <c r="Z469" t="inlineStr">
        <is>
          <t>M3</t>
        </is>
      </c>
      <c r="AA469" t="inlineStr">
        <is>
          <t>66817997</t>
        </is>
      </c>
      <c r="AB469" t="inlineStr">
        <is>
          <t>DEPTOS HOLBEIN 62</t>
        </is>
      </c>
      <c r="AC469" t="n">
        <v>56103638</v>
      </c>
      <c r="AD469" t="n">
        <v>6622261540</v>
      </c>
      <c r="AE469" t="n">
        <v>4</v>
      </c>
      <c r="AF469" t="inlineStr">
        <is>
          <t>ENTREGA DIRECTA</t>
        </is>
      </c>
      <c r="AG469" t="n">
        <v>1.409</v>
      </c>
      <c r="AH469" t="inlineStr">
        <is>
          <t>M3</t>
        </is>
      </c>
      <c r="AI469" t="inlineStr">
        <is>
          <t>X</t>
        </is>
      </c>
      <c r="AJ469" t="n">
        <v>4</v>
      </c>
      <c r="AK469" t="inlineStr">
        <is>
          <t>V4</t>
        </is>
      </c>
      <c r="AL469" t="n">
        <v>20230920</v>
      </c>
      <c r="AM469" t="inlineStr">
        <is>
          <t>D836-900002574-66817997-10000160-4</t>
        </is>
      </c>
    </row>
    <row r="470">
      <c r="A470" t="inlineStr">
        <is>
          <t>900002574D8366690808210000160</t>
        </is>
      </c>
      <c r="B470" t="inlineStr">
        <is>
          <t>4600027590-1610</t>
        </is>
      </c>
      <c r="C470" t="n">
        <v>4600027590</v>
      </c>
      <c r="D470" t="n">
        <v>1610</v>
      </c>
      <c r="E470" t="inlineStr">
        <is>
          <t>MXPO</t>
        </is>
      </c>
      <c r="F470" t="inlineStr">
        <is>
          <t>M02</t>
        </is>
      </c>
      <c r="G470" t="n">
        <v>900002574</v>
      </c>
      <c r="H470" t="inlineStr">
        <is>
          <t>TP-ED-OLIELL</t>
        </is>
      </c>
      <c r="I470" t="n">
        <v>5048484</v>
      </c>
      <c r="J470" t="inlineStr">
        <is>
          <t>COMERCIALIZADORA Y TRANSPORTADORA O</t>
        </is>
      </c>
      <c r="K470" t="inlineStr">
        <is>
          <t>N90</t>
        </is>
      </c>
      <c r="L470" t="inlineStr">
        <is>
          <t>(AP) NAFIN 90 Dias</t>
        </is>
      </c>
      <c r="M470" t="n">
        <v>10000160</v>
      </c>
      <c r="N470" t="inlineStr">
        <is>
          <t>Arena Triturada Andesita Malla 4</t>
        </is>
      </c>
      <c r="O470" t="inlineStr">
        <is>
          <t>D836</t>
        </is>
      </c>
      <c r="P470" t="inlineStr">
        <is>
          <t>MX-CED. CENTRO</t>
        </is>
      </c>
      <c r="Q470" t="n">
        <v>20141106</v>
      </c>
      <c r="R470" t="n">
        <v>20281231</v>
      </c>
      <c r="S470" t="n">
        <v>20201016</v>
      </c>
      <c r="T470" t="n">
        <v>20291231</v>
      </c>
      <c r="U470" t="n">
        <v>160</v>
      </c>
      <c r="V470" t="inlineStr">
        <is>
          <t>MXN</t>
        </is>
      </c>
      <c r="W470" t="inlineStr">
        <is>
          <t>M3</t>
        </is>
      </c>
      <c r="X470" t="n">
        <v>60</v>
      </c>
      <c r="Y470" t="inlineStr">
        <is>
          <t>MXN</t>
        </is>
      </c>
      <c r="Z470" t="inlineStr">
        <is>
          <t>M3</t>
        </is>
      </c>
      <c r="AA470" t="inlineStr">
        <is>
          <t>66908082</t>
        </is>
      </c>
      <c r="AB470" t="inlineStr">
        <is>
          <t>AGREGADO LOS REYES</t>
        </is>
      </c>
      <c r="AC470" t="n">
        <v>56103638</v>
      </c>
      <c r="AD470" t="n">
        <v>6622261540</v>
      </c>
      <c r="AE470" t="n">
        <v>4</v>
      </c>
      <c r="AF470" t="inlineStr">
        <is>
          <t>ENTREGA DIRECTA</t>
        </is>
      </c>
      <c r="AG470" t="n">
        <v>1.409</v>
      </c>
      <c r="AH470" t="inlineStr">
        <is>
          <t>M3</t>
        </is>
      </c>
      <c r="AI470" t="inlineStr">
        <is>
          <t>X</t>
        </is>
      </c>
      <c r="AJ470" t="n">
        <v>4</v>
      </c>
      <c r="AK470" t="inlineStr">
        <is>
          <t>V4</t>
        </is>
      </c>
      <c r="AL470" t="n">
        <v>20230920</v>
      </c>
      <c r="AM470" t="inlineStr">
        <is>
          <t>D836-900002574-66908082-10000160-4</t>
        </is>
      </c>
    </row>
    <row r="471">
      <c r="A471" t="inlineStr">
        <is>
          <t>900002574D8366690711810000160</t>
        </is>
      </c>
      <c r="B471" t="inlineStr">
        <is>
          <t>4600027590-1730</t>
        </is>
      </c>
      <c r="C471" t="n">
        <v>4600027590</v>
      </c>
      <c r="D471" t="n">
        <v>1730</v>
      </c>
      <c r="E471" t="inlineStr">
        <is>
          <t>MXPO</t>
        </is>
      </c>
      <c r="F471" t="inlineStr">
        <is>
          <t>M02</t>
        </is>
      </c>
      <c r="G471" t="n">
        <v>900002574</v>
      </c>
      <c r="H471" t="inlineStr">
        <is>
          <t>TP-ED-OLIELL</t>
        </is>
      </c>
      <c r="I471" t="n">
        <v>5048484</v>
      </c>
      <c r="J471" t="inlineStr">
        <is>
          <t>COMERCIALIZADORA Y TRANSPORTADORA O</t>
        </is>
      </c>
      <c r="K471" t="inlineStr">
        <is>
          <t>N90</t>
        </is>
      </c>
      <c r="L471" t="inlineStr">
        <is>
          <t>(AP) NAFIN 90 Dias</t>
        </is>
      </c>
      <c r="M471" t="n">
        <v>10000160</v>
      </c>
      <c r="N471" t="inlineStr">
        <is>
          <t>Arena Triturada Andesita Malla 4</t>
        </is>
      </c>
      <c r="O471" t="inlineStr">
        <is>
          <t>D836</t>
        </is>
      </c>
      <c r="P471" t="inlineStr">
        <is>
          <t>MX-CED. CENTRO</t>
        </is>
      </c>
      <c r="Q471" t="n">
        <v>20141106</v>
      </c>
      <c r="R471" t="n">
        <v>20281231</v>
      </c>
      <c r="S471" t="n">
        <v>20201027</v>
      </c>
      <c r="T471" t="n">
        <v>20291231</v>
      </c>
      <c r="U471" t="n">
        <v>295</v>
      </c>
      <c r="V471" t="inlineStr">
        <is>
          <t>MXN</t>
        </is>
      </c>
      <c r="W471" t="inlineStr">
        <is>
          <t>M3</t>
        </is>
      </c>
      <c r="X471" t="n">
        <v>195</v>
      </c>
      <c r="Y471" t="inlineStr">
        <is>
          <t>MXN</t>
        </is>
      </c>
      <c r="Z471" t="inlineStr">
        <is>
          <t>M3</t>
        </is>
      </c>
      <c r="AA471" t="inlineStr">
        <is>
          <t>66907118</t>
        </is>
      </c>
      <c r="AC471" t="n">
        <v>56103638</v>
      </c>
      <c r="AD471" t="n">
        <v>6622261540</v>
      </c>
      <c r="AE471" t="n">
        <v>4</v>
      </c>
      <c r="AF471" t="inlineStr">
        <is>
          <t>ENTREGA DIRECTA</t>
        </is>
      </c>
      <c r="AG471" t="n">
        <v>1.409</v>
      </c>
      <c r="AH471" t="inlineStr">
        <is>
          <t>M3</t>
        </is>
      </c>
      <c r="AI471" t="inlineStr">
        <is>
          <t>X</t>
        </is>
      </c>
      <c r="AJ471" t="n">
        <v>4</v>
      </c>
      <c r="AK471" t="inlineStr">
        <is>
          <t>V4</t>
        </is>
      </c>
      <c r="AL471" t="n">
        <v>20230920</v>
      </c>
      <c r="AM471" t="inlineStr">
        <is>
          <t>D836-900002574-66907118-10000160-4</t>
        </is>
      </c>
    </row>
    <row r="472">
      <c r="A472" t="inlineStr">
        <is>
          <t>900002574D8366701862110000357</t>
        </is>
      </c>
      <c r="B472" t="inlineStr">
        <is>
          <t>4600027590-2200</t>
        </is>
      </c>
      <c r="C472" t="n">
        <v>4600027590</v>
      </c>
      <c r="D472" t="n">
        <v>2200</v>
      </c>
      <c r="E472" t="inlineStr">
        <is>
          <t>MXPO</t>
        </is>
      </c>
      <c r="F472" t="inlineStr">
        <is>
          <t>M02</t>
        </is>
      </c>
      <c r="G472" t="n">
        <v>900002574</v>
      </c>
      <c r="H472" t="inlineStr">
        <is>
          <t>TP-ED-OLIELL</t>
        </is>
      </c>
      <c r="I472" t="n">
        <v>5048484</v>
      </c>
      <c r="J472" t="inlineStr">
        <is>
          <t>COMERCIALIZADORA Y TRANSPORTADORA O</t>
        </is>
      </c>
      <c r="K472" t="inlineStr">
        <is>
          <t>N90</t>
        </is>
      </c>
      <c r="L472" t="inlineStr">
        <is>
          <t>(AP) NAFIN 90 Dias</t>
        </is>
      </c>
      <c r="M472" t="n">
        <v>10000357</v>
      </c>
      <c r="N472" t="inlineStr">
        <is>
          <t>Grava Triturada Andesita 20 mm - 3/4"</t>
        </is>
      </c>
      <c r="O472" t="inlineStr">
        <is>
          <t>D836</t>
        </is>
      </c>
      <c r="P472" t="inlineStr">
        <is>
          <t>MX-CED. CENTRO</t>
        </is>
      </c>
      <c r="Q472" t="n">
        <v>20141106</v>
      </c>
      <c r="R472" t="n">
        <v>20281231</v>
      </c>
      <c r="S472" t="n">
        <v>20211111</v>
      </c>
      <c r="T472" t="n">
        <v>20261231</v>
      </c>
      <c r="U472" t="n">
        <v>422.41</v>
      </c>
      <c r="V472" t="inlineStr">
        <is>
          <t>MXN</t>
        </is>
      </c>
      <c r="W472" t="inlineStr">
        <is>
          <t>M3</t>
        </is>
      </c>
      <c r="X472" t="n">
        <v>303</v>
      </c>
      <c r="Y472" t="inlineStr">
        <is>
          <t>MXN</t>
        </is>
      </c>
      <c r="Z472" t="inlineStr">
        <is>
          <t>M3</t>
        </is>
      </c>
      <c r="AA472" t="inlineStr">
        <is>
          <t>67018621</t>
        </is>
      </c>
      <c r="AB472" t="inlineStr">
        <is>
          <t>CALLE 13 #33</t>
        </is>
      </c>
      <c r="AC472" t="n">
        <v>56103637</v>
      </c>
      <c r="AD472" t="n">
        <v>6622261540</v>
      </c>
      <c r="AE472" t="n">
        <v>4</v>
      </c>
      <c r="AF472" t="inlineStr">
        <is>
          <t>ENTREGA DIRECTA</t>
        </is>
      </c>
      <c r="AG472" t="n">
        <v>1.326</v>
      </c>
      <c r="AH472" t="inlineStr">
        <is>
          <t>M3</t>
        </is>
      </c>
      <c r="AI472" t="inlineStr">
        <is>
          <t>X</t>
        </is>
      </c>
      <c r="AJ472" t="n">
        <v>4</v>
      </c>
      <c r="AK472" t="inlineStr">
        <is>
          <t>V4</t>
        </is>
      </c>
      <c r="AL472" t="n">
        <v>20230920</v>
      </c>
      <c r="AM472" t="inlineStr">
        <is>
          <t>D836-900002574-67018621-10000357-4</t>
        </is>
      </c>
    </row>
    <row r="473">
      <c r="A473" t="inlineStr">
        <is>
          <t>900002574D8366680855610000649</t>
        </is>
      </c>
      <c r="B473" t="inlineStr">
        <is>
          <t>4600027590-1160</t>
        </is>
      </c>
      <c r="C473" t="n">
        <v>4600027590</v>
      </c>
      <c r="D473" t="n">
        <v>1160</v>
      </c>
      <c r="E473" t="inlineStr">
        <is>
          <t>MXPO</t>
        </is>
      </c>
      <c r="F473" t="inlineStr">
        <is>
          <t>M02</t>
        </is>
      </c>
      <c r="G473" t="n">
        <v>900002574</v>
      </c>
      <c r="H473" t="inlineStr">
        <is>
          <t>TP-ED-OLIELL</t>
        </is>
      </c>
      <c r="I473" t="n">
        <v>5048484</v>
      </c>
      <c r="J473" t="inlineStr">
        <is>
          <t>COMERCIALIZADORA Y TRANSPORTADORA O</t>
        </is>
      </c>
      <c r="K473" t="inlineStr">
        <is>
          <t>N90</t>
        </is>
      </c>
      <c r="L473" t="inlineStr">
        <is>
          <t>(AP) NAFIN 90 Dias</t>
        </is>
      </c>
      <c r="M473" t="n">
        <v>10000649</v>
      </c>
      <c r="N473" t="inlineStr">
        <is>
          <t>Grava Triturada Andesita 10 mm - 3/8"</t>
        </is>
      </c>
      <c r="O473" t="inlineStr">
        <is>
          <t>D836</t>
        </is>
      </c>
      <c r="P473" t="inlineStr">
        <is>
          <t>MX-CED. CENTRO</t>
        </is>
      </c>
      <c r="Q473" t="n">
        <v>20141106</v>
      </c>
      <c r="R473" t="n">
        <v>20281231</v>
      </c>
      <c r="S473" t="n">
        <v>20200804</v>
      </c>
      <c r="T473" t="n">
        <v>20291231</v>
      </c>
      <c r="U473" t="n">
        <v>456.89</v>
      </c>
      <c r="V473" t="inlineStr">
        <is>
          <t>MXN</t>
        </is>
      </c>
      <c r="W473" t="inlineStr">
        <is>
          <t>M3</t>
        </is>
      </c>
      <c r="X473" t="n">
        <v>313.03</v>
      </c>
      <c r="Y473" t="inlineStr">
        <is>
          <t>MXN</t>
        </is>
      </c>
      <c r="Z473" t="inlineStr">
        <is>
          <t>M3</t>
        </is>
      </c>
      <c r="AA473" t="inlineStr">
        <is>
          <t>66808556</t>
        </is>
      </c>
      <c r="AB473" t="inlineStr">
        <is>
          <t>RESIDENCE NUEVA YORK</t>
        </is>
      </c>
      <c r="AC473" t="n">
        <v>56103637</v>
      </c>
      <c r="AD473" t="n">
        <v>6622261540</v>
      </c>
      <c r="AE473" t="n">
        <v>4</v>
      </c>
      <c r="AF473" t="inlineStr">
        <is>
          <t>ENTREGA DIRECTA</t>
        </is>
      </c>
      <c r="AG473" t="n">
        <v>1.315</v>
      </c>
      <c r="AH473" t="inlineStr">
        <is>
          <t>M3</t>
        </is>
      </c>
      <c r="AI473" t="inlineStr">
        <is>
          <t>X</t>
        </is>
      </c>
      <c r="AJ473" t="n">
        <v>4</v>
      </c>
      <c r="AK473" t="inlineStr">
        <is>
          <t>V4</t>
        </is>
      </c>
      <c r="AL473" t="n">
        <v>20230920</v>
      </c>
      <c r="AM473" t="inlineStr">
        <is>
          <t>D836-900002574-66808556-10000649-4</t>
        </is>
      </c>
    </row>
    <row r="474">
      <c r="A474" t="inlineStr">
        <is>
          <t>900002574D8366680800610000160</t>
        </is>
      </c>
      <c r="B474" t="inlineStr">
        <is>
          <t>4600027590-450</t>
        </is>
      </c>
      <c r="C474" t="n">
        <v>4600027590</v>
      </c>
      <c r="D474" t="n">
        <v>450</v>
      </c>
      <c r="E474" t="inlineStr">
        <is>
          <t>MXPO</t>
        </is>
      </c>
      <c r="F474" t="inlineStr">
        <is>
          <t>M02</t>
        </is>
      </c>
      <c r="G474" t="n">
        <v>900002574</v>
      </c>
      <c r="H474" t="inlineStr">
        <is>
          <t>TP-ED-OLIELL</t>
        </is>
      </c>
      <c r="I474" t="n">
        <v>5048484</v>
      </c>
      <c r="J474" t="inlineStr">
        <is>
          <t>COMERCIALIZADORA Y TRANSPORTADORA O</t>
        </is>
      </c>
      <c r="K474" t="inlineStr">
        <is>
          <t>N90</t>
        </is>
      </c>
      <c r="L474" t="inlineStr">
        <is>
          <t>(AP) NAFIN 90 Dias</t>
        </is>
      </c>
      <c r="M474" t="n">
        <v>10000160</v>
      </c>
      <c r="N474" t="inlineStr">
        <is>
          <t>Arena Triturada Andesita Malla 4</t>
        </is>
      </c>
      <c r="O474" t="inlineStr">
        <is>
          <t>D836</t>
        </is>
      </c>
      <c r="P474" t="inlineStr">
        <is>
          <t>MX-CED. CENTRO</t>
        </is>
      </c>
      <c r="Q474" t="n">
        <v>20141106</v>
      </c>
      <c r="R474" t="n">
        <v>20281231</v>
      </c>
      <c r="S474" t="n">
        <v>20191119</v>
      </c>
      <c r="T474" t="n">
        <v>20241231</v>
      </c>
      <c r="U474" t="n">
        <v>195</v>
      </c>
      <c r="V474" t="inlineStr">
        <is>
          <t>MXN</t>
        </is>
      </c>
      <c r="W474" t="inlineStr">
        <is>
          <t>M3</t>
        </is>
      </c>
      <c r="X474" t="n">
        <v>97.5</v>
      </c>
      <c r="Y474" t="inlineStr">
        <is>
          <t>MXN</t>
        </is>
      </c>
      <c r="Z474" t="inlineStr">
        <is>
          <t>M3</t>
        </is>
      </c>
      <c r="AA474" t="inlineStr">
        <is>
          <t>66808006</t>
        </is>
      </c>
      <c r="AB474" t="inlineStr">
        <is>
          <t>LOS REYES ACAQUILPAN</t>
        </is>
      </c>
      <c r="AC474" t="n">
        <v>56103638</v>
      </c>
      <c r="AD474" t="n">
        <v>6622261540</v>
      </c>
      <c r="AE474" t="n">
        <v>4</v>
      </c>
      <c r="AF474" t="inlineStr">
        <is>
          <t>ENTREGA DIRECTA</t>
        </is>
      </c>
      <c r="AG474" t="n">
        <v>1.409</v>
      </c>
      <c r="AH474" t="inlineStr">
        <is>
          <t>M3</t>
        </is>
      </c>
      <c r="AI474" t="inlineStr">
        <is>
          <t>X</t>
        </is>
      </c>
      <c r="AJ474" t="n">
        <v>4</v>
      </c>
      <c r="AK474" t="inlineStr">
        <is>
          <t>V4</t>
        </is>
      </c>
      <c r="AL474" t="n">
        <v>20230920</v>
      </c>
      <c r="AM474" t="inlineStr">
        <is>
          <t>D836-900002574-66808006-10000160-4</t>
        </is>
      </c>
    </row>
    <row r="475">
      <c r="A475" t="inlineStr">
        <is>
          <t>900002574D8366690338110000160</t>
        </is>
      </c>
      <c r="B475" t="inlineStr">
        <is>
          <t>4600027590-1540</t>
        </is>
      </c>
      <c r="C475" t="n">
        <v>4600027590</v>
      </c>
      <c r="D475" t="n">
        <v>1540</v>
      </c>
      <c r="E475" t="inlineStr">
        <is>
          <t>MXPO</t>
        </is>
      </c>
      <c r="F475" t="inlineStr">
        <is>
          <t>M02</t>
        </is>
      </c>
      <c r="G475" t="n">
        <v>900002574</v>
      </c>
      <c r="H475" t="inlineStr">
        <is>
          <t>TP-ED-OLIELL</t>
        </is>
      </c>
      <c r="I475" t="n">
        <v>5048484</v>
      </c>
      <c r="J475" t="inlineStr">
        <is>
          <t>COMERCIALIZADORA Y TRANSPORTADORA O</t>
        </is>
      </c>
      <c r="K475" t="inlineStr">
        <is>
          <t>N90</t>
        </is>
      </c>
      <c r="L475" t="inlineStr">
        <is>
          <t>(AP) NAFIN 90 Dias</t>
        </is>
      </c>
      <c r="M475" t="n">
        <v>10000160</v>
      </c>
      <c r="N475" t="inlineStr">
        <is>
          <t>Arena Triturada Andesita Malla 4</t>
        </is>
      </c>
      <c r="O475" t="inlineStr">
        <is>
          <t>D836</t>
        </is>
      </c>
      <c r="P475" t="inlineStr">
        <is>
          <t>MX-CED. CENTRO</t>
        </is>
      </c>
      <c r="Q475" t="n">
        <v>20141106</v>
      </c>
      <c r="R475" t="n">
        <v>20281231</v>
      </c>
      <c r="S475" t="n">
        <v>20201007</v>
      </c>
      <c r="T475" t="n">
        <v>20291231</v>
      </c>
      <c r="U475" t="n">
        <v>482.92</v>
      </c>
      <c r="V475" t="inlineStr">
        <is>
          <t>MXN</t>
        </is>
      </c>
      <c r="W475" t="inlineStr">
        <is>
          <t>M3</t>
        </is>
      </c>
      <c r="X475" t="n">
        <v>372.92</v>
      </c>
      <c r="Y475" t="inlineStr">
        <is>
          <t>MXN</t>
        </is>
      </c>
      <c r="Z475" t="inlineStr">
        <is>
          <t>M3</t>
        </is>
      </c>
      <c r="AA475" t="inlineStr">
        <is>
          <t>66903381</t>
        </is>
      </c>
      <c r="AC475" t="n">
        <v>56103638</v>
      </c>
      <c r="AD475" t="n">
        <v>6622261540</v>
      </c>
      <c r="AE475" t="n">
        <v>4</v>
      </c>
      <c r="AF475" t="inlineStr">
        <is>
          <t>ENTREGA DIRECTA</t>
        </is>
      </c>
      <c r="AG475" t="n">
        <v>1.409</v>
      </c>
      <c r="AH475" t="inlineStr">
        <is>
          <t>M3</t>
        </is>
      </c>
      <c r="AI475" t="inlineStr">
        <is>
          <t>X</t>
        </is>
      </c>
      <c r="AJ475" t="n">
        <v>4</v>
      </c>
      <c r="AK475" t="inlineStr">
        <is>
          <t>V4</t>
        </is>
      </c>
      <c r="AL475" t="n">
        <v>20230920</v>
      </c>
      <c r="AM475" t="inlineStr">
        <is>
          <t>D836-900002574-66903381-10000160-4</t>
        </is>
      </c>
    </row>
    <row r="476">
      <c r="A476" t="inlineStr">
        <is>
          <t>900002574D8366690711810000133</t>
        </is>
      </c>
      <c r="B476" t="inlineStr">
        <is>
          <t>4600027590-1720</t>
        </is>
      </c>
      <c r="C476" t="n">
        <v>4600027590</v>
      </c>
      <c r="D476" t="n">
        <v>1720</v>
      </c>
      <c r="E476" t="inlineStr">
        <is>
          <t>MXPO</t>
        </is>
      </c>
      <c r="F476" t="inlineStr">
        <is>
          <t>M02</t>
        </is>
      </c>
      <c r="G476" t="n">
        <v>900002574</v>
      </c>
      <c r="H476" t="inlineStr">
        <is>
          <t>TP-ED-OLIELL</t>
        </is>
      </c>
      <c r="I476" t="n">
        <v>5048484</v>
      </c>
      <c r="J476" t="inlineStr">
        <is>
          <t>COMERCIALIZADORA Y TRANSPORTADORA O</t>
        </is>
      </c>
      <c r="K476" t="inlineStr">
        <is>
          <t>N90</t>
        </is>
      </c>
      <c r="L476" t="inlineStr">
        <is>
          <t>(AP) NAFIN 90 Dias</t>
        </is>
      </c>
      <c r="M476" t="n">
        <v>10000133</v>
      </c>
      <c r="N476" t="inlineStr">
        <is>
          <t>Grava Triturada Caliza 20 mm - 3/4"</t>
        </is>
      </c>
      <c r="O476" t="inlineStr">
        <is>
          <t>D836</t>
        </is>
      </c>
      <c r="P476" t="inlineStr">
        <is>
          <t>MX-CED. CENTRO</t>
        </is>
      </c>
      <c r="Q476" t="n">
        <v>20141106</v>
      </c>
      <c r="R476" t="n">
        <v>20281231</v>
      </c>
      <c r="S476" t="n">
        <v>20201027</v>
      </c>
      <c r="T476" t="n">
        <v>20291231</v>
      </c>
      <c r="U476" t="n">
        <v>426</v>
      </c>
      <c r="V476" t="inlineStr">
        <is>
          <t>MXN</t>
        </is>
      </c>
      <c r="W476" t="inlineStr">
        <is>
          <t>M3</t>
        </is>
      </c>
      <c r="X476" t="n">
        <v>260</v>
      </c>
      <c r="Y476" t="inlineStr">
        <is>
          <t>MXN</t>
        </is>
      </c>
      <c r="Z476" t="inlineStr">
        <is>
          <t>M3</t>
        </is>
      </c>
      <c r="AA476" t="inlineStr">
        <is>
          <t>66907118</t>
        </is>
      </c>
      <c r="AC476" t="n">
        <v>56103637</v>
      </c>
      <c r="AD476" t="n">
        <v>6622261540</v>
      </c>
      <c r="AE476" t="n">
        <v>4</v>
      </c>
      <c r="AF476" t="inlineStr">
        <is>
          <t>ENTREGA DIRECTA</t>
        </is>
      </c>
      <c r="AG476" t="n">
        <v>1.46</v>
      </c>
      <c r="AH476" t="inlineStr">
        <is>
          <t>M3</t>
        </is>
      </c>
      <c r="AI476" t="inlineStr">
        <is>
          <t>X</t>
        </is>
      </c>
      <c r="AJ476" t="n">
        <v>4</v>
      </c>
      <c r="AK476" t="inlineStr">
        <is>
          <t>V4</t>
        </is>
      </c>
      <c r="AL476" t="n">
        <v>20230920</v>
      </c>
      <c r="AM476" t="inlineStr">
        <is>
          <t>D836-900002574-66907118-10000133-4</t>
        </is>
      </c>
    </row>
    <row r="477">
      <c r="A477" t="inlineStr">
        <is>
          <t>900002574D8366690655810000133</t>
        </is>
      </c>
      <c r="B477" t="inlineStr">
        <is>
          <t>4600027590-1580</t>
        </is>
      </c>
      <c r="C477" t="n">
        <v>4600027590</v>
      </c>
      <c r="D477" t="n">
        <v>1580</v>
      </c>
      <c r="E477" t="inlineStr">
        <is>
          <t>MXPO</t>
        </is>
      </c>
      <c r="F477" t="inlineStr">
        <is>
          <t>M02</t>
        </is>
      </c>
      <c r="G477" t="n">
        <v>900002574</v>
      </c>
      <c r="H477" t="inlineStr">
        <is>
          <t>TP-ED-OLIELL</t>
        </is>
      </c>
      <c r="I477" t="n">
        <v>5048484</v>
      </c>
      <c r="J477" t="inlineStr">
        <is>
          <t>COMERCIALIZADORA Y TRANSPORTADORA O</t>
        </is>
      </c>
      <c r="K477" t="inlineStr">
        <is>
          <t>N90</t>
        </is>
      </c>
      <c r="L477" t="inlineStr">
        <is>
          <t>(AP) NAFIN 90 Dias</t>
        </is>
      </c>
      <c r="M477" t="n">
        <v>10000133</v>
      </c>
      <c r="N477" t="inlineStr">
        <is>
          <t>Grava Triturada Caliza 20 mm - 3/4"</t>
        </is>
      </c>
      <c r="O477" t="inlineStr">
        <is>
          <t>D836</t>
        </is>
      </c>
      <c r="P477" t="inlineStr">
        <is>
          <t>MX-CED. CENTRO</t>
        </is>
      </c>
      <c r="Q477" t="n">
        <v>20141106</v>
      </c>
      <c r="R477" t="n">
        <v>20281231</v>
      </c>
      <c r="S477" t="n">
        <v>20201015</v>
      </c>
      <c r="T477" t="n">
        <v>20291231</v>
      </c>
      <c r="U477" t="n">
        <v>426</v>
      </c>
      <c r="V477" t="inlineStr">
        <is>
          <t>MXN</t>
        </is>
      </c>
      <c r="W477" t="inlineStr">
        <is>
          <t>M3</t>
        </is>
      </c>
      <c r="X477" t="n">
        <v>260</v>
      </c>
      <c r="Y477" t="inlineStr">
        <is>
          <t>MXN</t>
        </is>
      </c>
      <c r="Z477" t="inlineStr">
        <is>
          <t>M3</t>
        </is>
      </c>
      <c r="AA477" t="inlineStr">
        <is>
          <t>66906558</t>
        </is>
      </c>
      <c r="AB477" t="inlineStr">
        <is>
          <t>MEXICABLE - ECATEPEC</t>
        </is>
      </c>
      <c r="AC477" t="n">
        <v>56103637</v>
      </c>
      <c r="AD477" t="n">
        <v>6622261540</v>
      </c>
      <c r="AE477" t="n">
        <v>4</v>
      </c>
      <c r="AF477" t="inlineStr">
        <is>
          <t>ENTREGA DIRECTA</t>
        </is>
      </c>
      <c r="AG477" t="n">
        <v>1.46</v>
      </c>
      <c r="AH477" t="inlineStr">
        <is>
          <t>M3</t>
        </is>
      </c>
      <c r="AI477" t="inlineStr">
        <is>
          <t>X</t>
        </is>
      </c>
      <c r="AJ477" t="n">
        <v>4</v>
      </c>
      <c r="AK477" t="inlineStr">
        <is>
          <t>V4</t>
        </is>
      </c>
      <c r="AL477" t="n">
        <v>20230920</v>
      </c>
      <c r="AM477" t="inlineStr">
        <is>
          <t>D836-900002574-66906558-10000133-4</t>
        </is>
      </c>
    </row>
    <row r="478">
      <c r="A478" t="inlineStr">
        <is>
          <t>900002574D8366677927610000655</t>
        </is>
      </c>
      <c r="B478" t="inlineStr">
        <is>
          <t>4600027590-700</t>
        </is>
      </c>
      <c r="C478" t="n">
        <v>4600027590</v>
      </c>
      <c r="D478" t="n">
        <v>700</v>
      </c>
      <c r="E478" t="inlineStr">
        <is>
          <t>MXPO</t>
        </is>
      </c>
      <c r="F478" t="inlineStr">
        <is>
          <t>M02</t>
        </is>
      </c>
      <c r="G478" t="n">
        <v>900002574</v>
      </c>
      <c r="H478" t="inlineStr">
        <is>
          <t>TP-ED-OLIELL</t>
        </is>
      </c>
      <c r="I478" t="n">
        <v>5048484</v>
      </c>
      <c r="J478" t="inlineStr">
        <is>
          <t>COMERCIALIZADORA Y TRANSPORTADORA O</t>
        </is>
      </c>
      <c r="K478" t="inlineStr">
        <is>
          <t>N90</t>
        </is>
      </c>
      <c r="L478" t="inlineStr">
        <is>
          <t>(AP) NAFIN 90 Dias</t>
        </is>
      </c>
      <c r="M478" t="n">
        <v>10000655</v>
      </c>
      <c r="N478" t="inlineStr">
        <is>
          <t>Grava Triturada Marmol 10 mm - 3/8"</t>
        </is>
      </c>
      <c r="O478" t="inlineStr">
        <is>
          <t>D836</t>
        </is>
      </c>
      <c r="P478" t="inlineStr">
        <is>
          <t>MX-CED. CENTRO</t>
        </is>
      </c>
      <c r="Q478" t="n">
        <v>20141106</v>
      </c>
      <c r="R478" t="n">
        <v>20281231</v>
      </c>
      <c r="S478" t="n">
        <v>20200129</v>
      </c>
      <c r="T478" t="n">
        <v>20291231</v>
      </c>
      <c r="U478" t="n">
        <v>2758.6</v>
      </c>
      <c r="V478" t="inlineStr">
        <is>
          <t>MXN</t>
        </is>
      </c>
      <c r="W478" t="inlineStr">
        <is>
          <t>TN</t>
        </is>
      </c>
      <c r="X478" t="n">
        <v>1379.3</v>
      </c>
      <c r="Y478" t="inlineStr">
        <is>
          <t>MXN</t>
        </is>
      </c>
      <c r="Z478" t="inlineStr">
        <is>
          <t>TN</t>
        </is>
      </c>
      <c r="AA478" t="inlineStr">
        <is>
          <t>66779276</t>
        </is>
      </c>
      <c r="AB478" t="inlineStr">
        <is>
          <t>TVega Concretos</t>
        </is>
      </c>
      <c r="AC478" t="n">
        <v>56103637</v>
      </c>
      <c r="AD478" t="n">
        <v>6622261540</v>
      </c>
      <c r="AE478" t="n">
        <v>4</v>
      </c>
      <c r="AF478" t="inlineStr">
        <is>
          <t>ENTREGA DIRECTA</t>
        </is>
      </c>
      <c r="AG478" t="n">
        <v>1</v>
      </c>
      <c r="AH478" t="inlineStr">
        <is>
          <t>TO</t>
        </is>
      </c>
      <c r="AI478" t="inlineStr">
        <is>
          <t>X</t>
        </is>
      </c>
      <c r="AJ478" t="n">
        <v>4</v>
      </c>
      <c r="AK478" t="inlineStr">
        <is>
          <t>V4</t>
        </is>
      </c>
      <c r="AL478" t="n">
        <v>20230920</v>
      </c>
      <c r="AM478" t="inlineStr">
        <is>
          <t>D836-900002574-66779276-10000655-4</t>
        </is>
      </c>
    </row>
    <row r="479">
      <c r="A479" t="inlineStr">
        <is>
          <t>900002574D8366683796410000357</t>
        </is>
      </c>
      <c r="B479" t="inlineStr">
        <is>
          <t>4600027590-680</t>
        </is>
      </c>
      <c r="C479" t="n">
        <v>4600027590</v>
      </c>
      <c r="D479" t="n">
        <v>680</v>
      </c>
      <c r="E479" t="inlineStr">
        <is>
          <t>MXPO</t>
        </is>
      </c>
      <c r="F479" t="inlineStr">
        <is>
          <t>M02</t>
        </is>
      </c>
      <c r="G479" t="n">
        <v>900002574</v>
      </c>
      <c r="H479" t="inlineStr">
        <is>
          <t>TP-ED-OLIELL</t>
        </is>
      </c>
      <c r="I479" t="n">
        <v>5048484</v>
      </c>
      <c r="J479" t="inlineStr">
        <is>
          <t>COMERCIALIZADORA Y TRANSPORTADORA O</t>
        </is>
      </c>
      <c r="K479" t="inlineStr">
        <is>
          <t>N90</t>
        </is>
      </c>
      <c r="L479" t="inlineStr">
        <is>
          <t>(AP) NAFIN 90 Dias</t>
        </is>
      </c>
      <c r="M479" t="n">
        <v>10000357</v>
      </c>
      <c r="N479" t="inlineStr">
        <is>
          <t>Grava Triturada Andesita 20 mm - 3/4"</t>
        </is>
      </c>
      <c r="O479" t="inlineStr">
        <is>
          <t>D836</t>
        </is>
      </c>
      <c r="P479" t="inlineStr">
        <is>
          <t>MX-CED. CENTRO</t>
        </is>
      </c>
      <c r="Q479" t="n">
        <v>20141106</v>
      </c>
      <c r="R479" t="n">
        <v>20281231</v>
      </c>
      <c r="S479" t="n">
        <v>20191226</v>
      </c>
      <c r="T479" t="n">
        <v>20241231</v>
      </c>
      <c r="U479" t="n">
        <v>362.07</v>
      </c>
      <c r="V479" t="inlineStr">
        <is>
          <t>MXN</t>
        </is>
      </c>
      <c r="W479" t="inlineStr">
        <is>
          <t>M3</t>
        </is>
      </c>
      <c r="X479" t="n">
        <v>181.04</v>
      </c>
      <c r="Y479" t="inlineStr">
        <is>
          <t>MXN</t>
        </is>
      </c>
      <c r="Z479" t="inlineStr">
        <is>
          <t>M3</t>
        </is>
      </c>
      <c r="AA479" t="inlineStr">
        <is>
          <t>66837964</t>
        </is>
      </c>
      <c r="AB479" t="inlineStr">
        <is>
          <t>CEREZAS 78(LRR)</t>
        </is>
      </c>
      <c r="AC479" t="n">
        <v>56103637</v>
      </c>
      <c r="AD479" t="n">
        <v>6622261540</v>
      </c>
      <c r="AE479" t="n">
        <v>4</v>
      </c>
      <c r="AF479" t="inlineStr">
        <is>
          <t>ENTREGA DIRECTA</t>
        </is>
      </c>
      <c r="AG479" t="n">
        <v>1.326</v>
      </c>
      <c r="AH479" t="inlineStr">
        <is>
          <t>M3</t>
        </is>
      </c>
      <c r="AI479" t="inlineStr">
        <is>
          <t>X</t>
        </is>
      </c>
      <c r="AJ479" t="n">
        <v>4</v>
      </c>
      <c r="AK479" t="inlineStr">
        <is>
          <t>V4</t>
        </is>
      </c>
      <c r="AL479" t="n">
        <v>20230920</v>
      </c>
      <c r="AM479" t="inlineStr">
        <is>
          <t>D836-900002574-66837964-10000357-4</t>
        </is>
      </c>
    </row>
    <row r="480">
      <c r="A480" t="inlineStr">
        <is>
          <t>900002574D8366685641510019515</t>
        </is>
      </c>
      <c r="B480" t="inlineStr">
        <is>
          <t>4600027590-2010</t>
        </is>
      </c>
      <c r="C480" t="n">
        <v>4600027590</v>
      </c>
      <c r="D480" t="n">
        <v>2010</v>
      </c>
      <c r="E480" t="inlineStr">
        <is>
          <t>MXPO</t>
        </is>
      </c>
      <c r="F480" t="inlineStr">
        <is>
          <t>M02</t>
        </is>
      </c>
      <c r="G480" t="n">
        <v>900002574</v>
      </c>
      <c r="H480" t="inlineStr">
        <is>
          <t>TP-ED-OLIELL</t>
        </is>
      </c>
      <c r="I480" t="n">
        <v>5048484</v>
      </c>
      <c r="J480" t="inlineStr">
        <is>
          <t>COMERCIALIZADORA Y TRANSPORTADORA O</t>
        </is>
      </c>
      <c r="K480" t="inlineStr">
        <is>
          <t>N90</t>
        </is>
      </c>
      <c r="L480" t="inlineStr">
        <is>
          <t>(AP) NAFIN 90 Dias</t>
        </is>
      </c>
      <c r="M480" t="n">
        <v>10019515</v>
      </c>
      <c r="N480" t="inlineStr">
        <is>
          <t>Grava Triturada Tezontle 20mm - 3/4"</t>
        </is>
      </c>
      <c r="O480" t="inlineStr">
        <is>
          <t>D836</t>
        </is>
      </c>
      <c r="P480" t="inlineStr">
        <is>
          <t>MX-CED. CENTRO</t>
        </is>
      </c>
      <c r="Q480" t="n">
        <v>20141106</v>
      </c>
      <c r="R480" t="n">
        <v>20281231</v>
      </c>
      <c r="S480" t="n">
        <v>20210325</v>
      </c>
      <c r="T480" t="n">
        <v>20291231</v>
      </c>
      <c r="U480" t="n">
        <v>380</v>
      </c>
      <c r="V480" t="inlineStr">
        <is>
          <t>MXN</t>
        </is>
      </c>
      <c r="W480" t="inlineStr">
        <is>
          <t>M3</t>
        </is>
      </c>
      <c r="X480" t="n">
        <v>160</v>
      </c>
      <c r="Y480" t="inlineStr">
        <is>
          <t>MXN</t>
        </is>
      </c>
      <c r="Z480" t="inlineStr">
        <is>
          <t>M3</t>
        </is>
      </c>
      <c r="AA480" t="inlineStr">
        <is>
          <t>66856415</t>
        </is>
      </c>
      <c r="AB480" t="inlineStr">
        <is>
          <t>TESOREROS 37</t>
        </is>
      </c>
      <c r="AC480" t="n">
        <v>56103637</v>
      </c>
      <c r="AD480" t="n">
        <v>6622261540</v>
      </c>
      <c r="AE480" t="n">
        <v>4</v>
      </c>
      <c r="AF480" t="inlineStr">
        <is>
          <t>ENTREGA DIRECTA</t>
        </is>
      </c>
      <c r="AG480" t="n">
        <v>1.3</v>
      </c>
      <c r="AH480" t="inlineStr">
        <is>
          <t>M3</t>
        </is>
      </c>
      <c r="AI480" t="inlineStr">
        <is>
          <t>X</t>
        </is>
      </c>
      <c r="AJ480" t="n">
        <v>4</v>
      </c>
      <c r="AK480" t="inlineStr">
        <is>
          <t>V4</t>
        </is>
      </c>
      <c r="AL480" t="n">
        <v>20230920</v>
      </c>
      <c r="AM480" t="inlineStr">
        <is>
          <t>D836-900002574-66856415-10019515-4</t>
        </is>
      </c>
    </row>
    <row r="481">
      <c r="A481" t="inlineStr">
        <is>
          <t>900002574D8366685220610000160</t>
        </is>
      </c>
      <c r="B481" t="inlineStr">
        <is>
          <t>4600027590-760</t>
        </is>
      </c>
      <c r="C481" t="n">
        <v>4600027590</v>
      </c>
      <c r="D481" t="n">
        <v>760</v>
      </c>
      <c r="E481" t="inlineStr">
        <is>
          <t>MXPO</t>
        </is>
      </c>
      <c r="F481" t="inlineStr">
        <is>
          <t>M02</t>
        </is>
      </c>
      <c r="G481" t="n">
        <v>900002574</v>
      </c>
      <c r="H481" t="inlineStr">
        <is>
          <t>TP-ED-OLIELL</t>
        </is>
      </c>
      <c r="I481" t="n">
        <v>5048484</v>
      </c>
      <c r="J481" t="inlineStr">
        <is>
          <t>COMERCIALIZADORA Y TRANSPORTADORA O</t>
        </is>
      </c>
      <c r="K481" t="inlineStr">
        <is>
          <t>N90</t>
        </is>
      </c>
      <c r="L481" t="inlineStr">
        <is>
          <t>(AP) NAFIN 90 Dias</t>
        </is>
      </c>
      <c r="M481" t="n">
        <v>10000160</v>
      </c>
      <c r="N481" t="inlineStr">
        <is>
          <t>Arena Triturada Andesita Malla 4</t>
        </is>
      </c>
      <c r="O481" t="inlineStr">
        <is>
          <t>D836</t>
        </is>
      </c>
      <c r="P481" t="inlineStr">
        <is>
          <t>MX-CED. CENTRO</t>
        </is>
      </c>
      <c r="Q481" t="n">
        <v>20141106</v>
      </c>
      <c r="R481" t="n">
        <v>20281231</v>
      </c>
      <c r="S481" t="n">
        <v>20210120</v>
      </c>
      <c r="T481" t="n">
        <v>20291231</v>
      </c>
      <c r="U481" t="n">
        <v>405.17</v>
      </c>
      <c r="V481" t="inlineStr">
        <is>
          <t>MXN</t>
        </is>
      </c>
      <c r="W481" t="inlineStr">
        <is>
          <t>M3</t>
        </is>
      </c>
      <c r="X481" t="n">
        <v>303</v>
      </c>
      <c r="Y481" t="inlineStr">
        <is>
          <t>MXN</t>
        </is>
      </c>
      <c r="Z481" t="inlineStr">
        <is>
          <t>M3</t>
        </is>
      </c>
      <c r="AA481" t="inlineStr">
        <is>
          <t>66852206</t>
        </is>
      </c>
      <c r="AB481" t="inlineStr">
        <is>
          <t>VT01802 CPI DR. VERTIZ</t>
        </is>
      </c>
      <c r="AC481" t="n">
        <v>56103638</v>
      </c>
      <c r="AD481" t="n">
        <v>6622261540</v>
      </c>
      <c r="AE481" t="n">
        <v>4</v>
      </c>
      <c r="AF481" t="inlineStr">
        <is>
          <t>ENTREGA DIRECTA</t>
        </is>
      </c>
      <c r="AG481" t="n">
        <v>1.409</v>
      </c>
      <c r="AH481" t="inlineStr">
        <is>
          <t>M3</t>
        </is>
      </c>
      <c r="AI481" t="inlineStr">
        <is>
          <t>X</t>
        </is>
      </c>
      <c r="AJ481" t="n">
        <v>4</v>
      </c>
      <c r="AK481" t="inlineStr">
        <is>
          <t>V4</t>
        </is>
      </c>
      <c r="AL481" t="n">
        <v>20230920</v>
      </c>
      <c r="AM481" t="inlineStr">
        <is>
          <t>D836-900002574-66852206-10000160-4</t>
        </is>
      </c>
    </row>
    <row r="482">
      <c r="A482" t="inlineStr">
        <is>
          <t>900002574D8366688153910000357</t>
        </is>
      </c>
      <c r="B482" t="inlineStr">
        <is>
          <t>4600027590-1110</t>
        </is>
      </c>
      <c r="C482" t="n">
        <v>4600027590</v>
      </c>
      <c r="D482" t="n">
        <v>1110</v>
      </c>
      <c r="E482" t="inlineStr">
        <is>
          <t>MXPO</t>
        </is>
      </c>
      <c r="F482" t="inlineStr">
        <is>
          <t>M02</t>
        </is>
      </c>
      <c r="G482" t="n">
        <v>900002574</v>
      </c>
      <c r="H482" t="inlineStr">
        <is>
          <t>TP-ED-OLIELL</t>
        </is>
      </c>
      <c r="I482" t="n">
        <v>5048484</v>
      </c>
      <c r="J482" t="inlineStr">
        <is>
          <t>COMERCIALIZADORA Y TRANSPORTADORA O</t>
        </is>
      </c>
      <c r="K482" t="inlineStr">
        <is>
          <t>N90</t>
        </is>
      </c>
      <c r="L482" t="inlineStr">
        <is>
          <t>(AP) NAFIN 90 Dias</t>
        </is>
      </c>
      <c r="M482" t="n">
        <v>10000357</v>
      </c>
      <c r="N482" t="inlineStr">
        <is>
          <t>Grava Triturada Andesita 20 mm - 3/4"</t>
        </is>
      </c>
      <c r="O482" t="inlineStr">
        <is>
          <t>D836</t>
        </is>
      </c>
      <c r="P482" t="inlineStr">
        <is>
          <t>MX-CED. CENTRO</t>
        </is>
      </c>
      <c r="Q482" t="n">
        <v>20141106</v>
      </c>
      <c r="R482" t="n">
        <v>20281231</v>
      </c>
      <c r="S482" t="n">
        <v>20200707</v>
      </c>
      <c r="T482" t="n">
        <v>20291231</v>
      </c>
      <c r="U482" t="n">
        <v>362.07</v>
      </c>
      <c r="V482" t="inlineStr">
        <is>
          <t>MXN</t>
        </is>
      </c>
      <c r="W482" t="inlineStr">
        <is>
          <t>M3</t>
        </is>
      </c>
      <c r="X482" t="n">
        <v>252.07</v>
      </c>
      <c r="Y482" t="inlineStr">
        <is>
          <t>MXN</t>
        </is>
      </c>
      <c r="Z482" t="inlineStr">
        <is>
          <t>M3</t>
        </is>
      </c>
      <c r="AA482" t="inlineStr">
        <is>
          <t>66881539</t>
        </is>
      </c>
      <c r="AB482" t="inlineStr">
        <is>
          <t>ZAPOTE 13 (SEBJ)</t>
        </is>
      </c>
      <c r="AC482" t="n">
        <v>56103637</v>
      </c>
      <c r="AD482" t="n">
        <v>6622261540</v>
      </c>
      <c r="AE482" t="n">
        <v>4</v>
      </c>
      <c r="AF482" t="inlineStr">
        <is>
          <t>ENTREGA DIRECTA</t>
        </is>
      </c>
      <c r="AG482" t="n">
        <v>1.326</v>
      </c>
      <c r="AH482" t="inlineStr">
        <is>
          <t>M3</t>
        </is>
      </c>
      <c r="AI482" t="inlineStr">
        <is>
          <t>X</t>
        </is>
      </c>
      <c r="AJ482" t="n">
        <v>4</v>
      </c>
      <c r="AK482" t="inlineStr">
        <is>
          <t>V4</t>
        </is>
      </c>
      <c r="AL482" t="n">
        <v>20230920</v>
      </c>
      <c r="AM482" t="inlineStr">
        <is>
          <t>D836-900002574-66881539-10000357-4</t>
        </is>
      </c>
    </row>
    <row r="483">
      <c r="A483" t="inlineStr">
        <is>
          <t>900002574D8366685862910000649</t>
        </is>
      </c>
      <c r="B483" t="inlineStr">
        <is>
          <t>4600027590-960</t>
        </is>
      </c>
      <c r="C483" t="n">
        <v>4600027590</v>
      </c>
      <c r="D483" t="n">
        <v>960</v>
      </c>
      <c r="E483" t="inlineStr">
        <is>
          <t>MXPO</t>
        </is>
      </c>
      <c r="F483" t="inlineStr">
        <is>
          <t>M02</t>
        </is>
      </c>
      <c r="G483" t="n">
        <v>900002574</v>
      </c>
      <c r="H483" t="inlineStr">
        <is>
          <t>TP-ED-OLIELL</t>
        </is>
      </c>
      <c r="I483" t="n">
        <v>5048484</v>
      </c>
      <c r="J483" t="inlineStr">
        <is>
          <t>COMERCIALIZADORA Y TRANSPORTADORA O</t>
        </is>
      </c>
      <c r="K483" t="inlineStr">
        <is>
          <t>N90</t>
        </is>
      </c>
      <c r="L483" t="inlineStr">
        <is>
          <t>(AP) NAFIN 90 Dias</t>
        </is>
      </c>
      <c r="M483" t="n">
        <v>10000649</v>
      </c>
      <c r="N483" t="inlineStr">
        <is>
          <t>Grava Triturada Andesita 10 mm - 3/8"</t>
        </is>
      </c>
      <c r="O483" t="inlineStr">
        <is>
          <t>D836</t>
        </is>
      </c>
      <c r="P483" t="inlineStr">
        <is>
          <t>MX-CED. CENTRO</t>
        </is>
      </c>
      <c r="Q483" t="n">
        <v>20141106</v>
      </c>
      <c r="R483" t="n">
        <v>20281231</v>
      </c>
      <c r="S483" t="n">
        <v>20200403</v>
      </c>
      <c r="T483" t="n">
        <v>20291231</v>
      </c>
      <c r="U483" t="n">
        <v>250</v>
      </c>
      <c r="V483" t="inlineStr">
        <is>
          <t>MXN</t>
        </is>
      </c>
      <c r="W483" t="inlineStr">
        <is>
          <t>M3</t>
        </is>
      </c>
      <c r="X483" t="n">
        <v>125</v>
      </c>
      <c r="Y483" t="inlineStr">
        <is>
          <t>MXN</t>
        </is>
      </c>
      <c r="Z483" t="inlineStr">
        <is>
          <t>M3</t>
        </is>
      </c>
      <c r="AA483" t="inlineStr">
        <is>
          <t>66858629</t>
        </is>
      </c>
      <c r="AB483" t="inlineStr">
        <is>
          <t>MANUEL GONZALEZ 89</t>
        </is>
      </c>
      <c r="AC483" t="n">
        <v>56103637</v>
      </c>
      <c r="AD483" t="n">
        <v>6622261540</v>
      </c>
      <c r="AE483" t="n">
        <v>4</v>
      </c>
      <c r="AF483" t="inlineStr">
        <is>
          <t>ENTREGA DIRECTA</t>
        </is>
      </c>
      <c r="AG483" t="n">
        <v>1.315</v>
      </c>
      <c r="AH483" t="inlineStr">
        <is>
          <t>M3</t>
        </is>
      </c>
      <c r="AI483" t="inlineStr">
        <is>
          <t>X</t>
        </is>
      </c>
      <c r="AJ483" t="n">
        <v>4</v>
      </c>
      <c r="AK483" t="inlineStr">
        <is>
          <t>V4</t>
        </is>
      </c>
      <c r="AL483" t="n">
        <v>20230920</v>
      </c>
      <c r="AM483" t="inlineStr">
        <is>
          <t>D836-900002574-66858629-10000649-4</t>
        </is>
      </c>
    </row>
    <row r="484">
      <c r="A484" t="inlineStr">
        <is>
          <t>900002574D8366648605910000357</t>
        </is>
      </c>
      <c r="B484" t="inlineStr">
        <is>
          <t>4600027590-1950</t>
        </is>
      </c>
      <c r="C484" t="n">
        <v>4600027590</v>
      </c>
      <c r="D484" t="n">
        <v>1950</v>
      </c>
      <c r="E484" t="inlineStr">
        <is>
          <t>MXPO</t>
        </is>
      </c>
      <c r="F484" t="inlineStr">
        <is>
          <t>M02</t>
        </is>
      </c>
      <c r="G484" t="n">
        <v>900002574</v>
      </c>
      <c r="H484" t="inlineStr">
        <is>
          <t>TP-ED-OLIELL</t>
        </is>
      </c>
      <c r="I484" t="n">
        <v>5048484</v>
      </c>
      <c r="J484" t="inlineStr">
        <is>
          <t>COMERCIALIZADORA Y TRANSPORTADORA O</t>
        </is>
      </c>
      <c r="K484" t="inlineStr">
        <is>
          <t>N90</t>
        </is>
      </c>
      <c r="L484" t="inlineStr">
        <is>
          <t>(AP) NAFIN 90 Dias</t>
        </is>
      </c>
      <c r="M484" t="n">
        <v>10000357</v>
      </c>
      <c r="N484" t="inlineStr">
        <is>
          <t>Grava Triturada Andesita 20 mm - 3/4"</t>
        </is>
      </c>
      <c r="O484" t="inlineStr">
        <is>
          <t>D836</t>
        </is>
      </c>
      <c r="P484" t="inlineStr">
        <is>
          <t>MX-CED. CENTRO</t>
        </is>
      </c>
      <c r="Q484" t="n">
        <v>20141106</v>
      </c>
      <c r="R484" t="n">
        <v>20281231</v>
      </c>
      <c r="S484" t="n">
        <v>20210205</v>
      </c>
      <c r="T484" t="n">
        <v>20291231</v>
      </c>
      <c r="U484" t="n">
        <v>594.83</v>
      </c>
      <c r="V484" t="inlineStr">
        <is>
          <t>MXN</t>
        </is>
      </c>
      <c r="W484" t="inlineStr">
        <is>
          <t>M3</t>
        </is>
      </c>
      <c r="X484" t="n">
        <v>477.59</v>
      </c>
      <c r="Y484" t="inlineStr">
        <is>
          <t>MXN</t>
        </is>
      </c>
      <c r="Z484" t="inlineStr">
        <is>
          <t>M3</t>
        </is>
      </c>
      <c r="AA484" t="inlineStr">
        <is>
          <t>66486059</t>
        </is>
      </c>
      <c r="AB484" t="inlineStr">
        <is>
          <t>Proveedora Matva</t>
        </is>
      </c>
      <c r="AC484" t="n">
        <v>56103637</v>
      </c>
      <c r="AD484" t="n">
        <v>6622261540</v>
      </c>
      <c r="AE484" t="n">
        <v>4</v>
      </c>
      <c r="AF484" t="inlineStr">
        <is>
          <t>ENTREGA DIRECTA</t>
        </is>
      </c>
      <c r="AG484" t="n">
        <v>1.326</v>
      </c>
      <c r="AH484" t="inlineStr">
        <is>
          <t>M3</t>
        </is>
      </c>
      <c r="AI484" t="inlineStr">
        <is>
          <t>X</t>
        </is>
      </c>
      <c r="AJ484" t="n">
        <v>4</v>
      </c>
      <c r="AK484" t="inlineStr">
        <is>
          <t>V4</t>
        </is>
      </c>
      <c r="AL484" t="n">
        <v>20230920</v>
      </c>
      <c r="AM484" t="inlineStr">
        <is>
          <t>D836-900002574-66486059-10000357-4</t>
        </is>
      </c>
    </row>
    <row r="485">
      <c r="A485" t="inlineStr">
        <is>
          <t>900002574D8366691619010000206</t>
        </is>
      </c>
      <c r="B485" t="inlineStr">
        <is>
          <t>4600027590-1900</t>
        </is>
      </c>
      <c r="C485" t="n">
        <v>4600027590</v>
      </c>
      <c r="D485" t="n">
        <v>1900</v>
      </c>
      <c r="E485" t="inlineStr">
        <is>
          <t>MXPO</t>
        </is>
      </c>
      <c r="F485" t="inlineStr">
        <is>
          <t>M02</t>
        </is>
      </c>
      <c r="G485" t="n">
        <v>900002574</v>
      </c>
      <c r="H485" t="inlineStr">
        <is>
          <t>TP-ED-OLIELL</t>
        </is>
      </c>
      <c r="I485" t="n">
        <v>5048484</v>
      </c>
      <c r="J485" t="inlineStr">
        <is>
          <t>COMERCIALIZADORA Y TRANSPORTADORA O</t>
        </is>
      </c>
      <c r="K485" t="inlineStr">
        <is>
          <t>N90</t>
        </is>
      </c>
      <c r="L485" t="inlineStr">
        <is>
          <t>(AP) NAFIN 90 Dias</t>
        </is>
      </c>
      <c r="M485" t="n">
        <v>10000206</v>
      </c>
      <c r="N485" t="inlineStr">
        <is>
          <t>Tepetate Triturado Tierra NA</t>
        </is>
      </c>
      <c r="O485" t="inlineStr">
        <is>
          <t>D836</t>
        </is>
      </c>
      <c r="P485" t="inlineStr">
        <is>
          <t>MX-CED. CENTRO</t>
        </is>
      </c>
      <c r="Q485" t="n">
        <v>20141106</v>
      </c>
      <c r="R485" t="n">
        <v>20281231</v>
      </c>
      <c r="S485" t="n">
        <v>20201126</v>
      </c>
      <c r="T485" t="n">
        <v>20291231</v>
      </c>
      <c r="U485" t="n">
        <v>318.96</v>
      </c>
      <c r="V485" t="inlineStr">
        <is>
          <t>MXN</t>
        </is>
      </c>
      <c r="W485" t="inlineStr">
        <is>
          <t>M3</t>
        </is>
      </c>
      <c r="X485" t="n">
        <v>264</v>
      </c>
      <c r="Y485" t="inlineStr">
        <is>
          <t>MXN</t>
        </is>
      </c>
      <c r="Z485" t="inlineStr">
        <is>
          <t>M3</t>
        </is>
      </c>
      <c r="AA485" t="inlineStr">
        <is>
          <t>66916190</t>
        </is>
      </c>
      <c r="AB485" t="inlineStr">
        <is>
          <t>PETEN 594</t>
        </is>
      </c>
      <c r="AC485" t="n">
        <v>56103695</v>
      </c>
      <c r="AD485" t="n">
        <v>6622261540</v>
      </c>
      <c r="AE485" t="n">
        <v>4</v>
      </c>
      <c r="AF485" t="inlineStr">
        <is>
          <t>ENTREGA DIRECTA</t>
        </is>
      </c>
      <c r="AG485" t="n">
        <v>1.249</v>
      </c>
      <c r="AH485" t="inlineStr">
        <is>
          <t>M3</t>
        </is>
      </c>
      <c r="AI485" t="inlineStr">
        <is>
          <t>X</t>
        </is>
      </c>
      <c r="AJ485" t="n">
        <v>4</v>
      </c>
      <c r="AK485" t="inlineStr">
        <is>
          <t>V4</t>
        </is>
      </c>
      <c r="AL485" t="n">
        <v>20230920</v>
      </c>
      <c r="AM485" t="inlineStr">
        <is>
          <t>D836-900002574-66916190-10000206-4</t>
        </is>
      </c>
    </row>
    <row r="486">
      <c r="A486" t="inlineStr">
        <is>
          <t>900002574D8366681646810000357</t>
        </is>
      </c>
      <c r="B486" t="inlineStr">
        <is>
          <t>4600027590-360</t>
        </is>
      </c>
      <c r="C486" t="n">
        <v>4600027590</v>
      </c>
      <c r="D486" t="n">
        <v>360</v>
      </c>
      <c r="E486" t="inlineStr">
        <is>
          <t>MXPO</t>
        </is>
      </c>
      <c r="F486" t="inlineStr">
        <is>
          <t>M02</t>
        </is>
      </c>
      <c r="G486" t="n">
        <v>900002574</v>
      </c>
      <c r="H486" t="inlineStr">
        <is>
          <t>TP-ED-OLIELL</t>
        </is>
      </c>
      <c r="I486" t="n">
        <v>5048484</v>
      </c>
      <c r="J486" t="inlineStr">
        <is>
          <t>COMERCIALIZADORA Y TRANSPORTADORA O</t>
        </is>
      </c>
      <c r="K486" t="inlineStr">
        <is>
          <t>N90</t>
        </is>
      </c>
      <c r="L486" t="inlineStr">
        <is>
          <t>(AP) NAFIN 90 Dias</t>
        </is>
      </c>
      <c r="M486" t="n">
        <v>10000357</v>
      </c>
      <c r="N486" t="inlineStr">
        <is>
          <t>Grava Triturada Andesita 20 mm - 3/4"</t>
        </is>
      </c>
      <c r="O486" t="inlineStr">
        <is>
          <t>D836</t>
        </is>
      </c>
      <c r="P486" t="inlineStr">
        <is>
          <t>MX-CED. CENTRO</t>
        </is>
      </c>
      <c r="Q486" t="n">
        <v>20141106</v>
      </c>
      <c r="R486" t="n">
        <v>20281231</v>
      </c>
      <c r="S486" t="n">
        <v>20191008</v>
      </c>
      <c r="T486" t="n">
        <v>20241231</v>
      </c>
      <c r="U486" t="n">
        <v>607</v>
      </c>
      <c r="V486" t="inlineStr">
        <is>
          <t>MXN</t>
        </is>
      </c>
      <c r="W486" t="inlineStr">
        <is>
          <t>M3</t>
        </is>
      </c>
      <c r="X486" t="n">
        <v>303.5</v>
      </c>
      <c r="Y486" t="inlineStr">
        <is>
          <t>MXN</t>
        </is>
      </c>
      <c r="Z486" t="inlineStr">
        <is>
          <t>M3</t>
        </is>
      </c>
      <c r="AA486" t="inlineStr">
        <is>
          <t>66816468</t>
        </is>
      </c>
      <c r="AB486" t="inlineStr">
        <is>
          <t>REAL ACUITLAPILCO QUATTRO</t>
        </is>
      </c>
      <c r="AC486" t="n">
        <v>56103637</v>
      </c>
      <c r="AD486" t="n">
        <v>6622261540</v>
      </c>
      <c r="AE486" t="n">
        <v>4</v>
      </c>
      <c r="AF486" t="inlineStr">
        <is>
          <t>ENTREGA DIRECTA</t>
        </is>
      </c>
      <c r="AG486" t="n">
        <v>1.326</v>
      </c>
      <c r="AH486" t="inlineStr">
        <is>
          <t>M3</t>
        </is>
      </c>
      <c r="AI486" t="inlineStr">
        <is>
          <t>X</t>
        </is>
      </c>
      <c r="AJ486" t="n">
        <v>4</v>
      </c>
      <c r="AK486" t="inlineStr">
        <is>
          <t>V4</t>
        </is>
      </c>
      <c r="AL486" t="n">
        <v>20230920</v>
      </c>
      <c r="AM486" t="inlineStr">
        <is>
          <t>D836-900002574-66816468-10000357-4</t>
        </is>
      </c>
    </row>
    <row r="487">
      <c r="A487" t="inlineStr">
        <is>
          <t>900002574D8366685220610000649</t>
        </is>
      </c>
      <c r="B487" t="inlineStr">
        <is>
          <t>4600027590-2120</t>
        </is>
      </c>
      <c r="C487" t="n">
        <v>4600027590</v>
      </c>
      <c r="D487" t="n">
        <v>2120</v>
      </c>
      <c r="E487" t="inlineStr">
        <is>
          <t>MXPO</t>
        </is>
      </c>
      <c r="F487" t="inlineStr">
        <is>
          <t>M02</t>
        </is>
      </c>
      <c r="G487" t="n">
        <v>900002574</v>
      </c>
      <c r="H487" t="inlineStr">
        <is>
          <t>TP-ED-OLIELL</t>
        </is>
      </c>
      <c r="I487" t="n">
        <v>5048484</v>
      </c>
      <c r="J487" t="inlineStr">
        <is>
          <t>COMERCIALIZADORA Y TRANSPORTADORA O</t>
        </is>
      </c>
      <c r="K487" t="inlineStr">
        <is>
          <t>N90</t>
        </is>
      </c>
      <c r="L487" t="inlineStr">
        <is>
          <t>(AP) NAFIN 90 Dias</t>
        </is>
      </c>
      <c r="M487" t="n">
        <v>10000649</v>
      </c>
      <c r="N487" t="inlineStr">
        <is>
          <t>Grava Triturada Andesita 10 mm - 3/8"</t>
        </is>
      </c>
      <c r="O487" t="inlineStr">
        <is>
          <t>D836</t>
        </is>
      </c>
      <c r="P487" t="inlineStr">
        <is>
          <t>MX-CED. CENTRO</t>
        </is>
      </c>
      <c r="Q487" t="n">
        <v>20141106</v>
      </c>
      <c r="R487" t="n">
        <v>20281231</v>
      </c>
      <c r="S487" t="n">
        <v>20210728</v>
      </c>
      <c r="T487" t="n">
        <v>20261231</v>
      </c>
      <c r="U487" t="n">
        <v>445</v>
      </c>
      <c r="V487" t="inlineStr">
        <is>
          <t>MXN</t>
        </is>
      </c>
      <c r="W487" t="inlineStr">
        <is>
          <t>M3</t>
        </is>
      </c>
      <c r="X487" t="n">
        <v>325</v>
      </c>
      <c r="Y487" t="inlineStr">
        <is>
          <t>MXN</t>
        </is>
      </c>
      <c r="Z487" t="inlineStr">
        <is>
          <t>M3</t>
        </is>
      </c>
      <c r="AA487" t="inlineStr">
        <is>
          <t>66852206</t>
        </is>
      </c>
      <c r="AB487" t="inlineStr">
        <is>
          <t>VT01802 CPI DR. VERTIZ</t>
        </is>
      </c>
      <c r="AC487" t="n">
        <v>56103637</v>
      </c>
      <c r="AD487" t="n">
        <v>6622261540</v>
      </c>
      <c r="AE487" t="n">
        <v>4</v>
      </c>
      <c r="AF487" t="inlineStr">
        <is>
          <t>ENTREGA DIRECTA</t>
        </is>
      </c>
      <c r="AG487" t="n">
        <v>1.315</v>
      </c>
      <c r="AH487" t="inlineStr">
        <is>
          <t>M3</t>
        </is>
      </c>
      <c r="AI487" t="inlineStr">
        <is>
          <t>X</t>
        </is>
      </c>
      <c r="AJ487" t="n">
        <v>4</v>
      </c>
      <c r="AK487" t="inlineStr">
        <is>
          <t>V4</t>
        </is>
      </c>
      <c r="AL487" t="n">
        <v>20230920</v>
      </c>
      <c r="AM487" t="inlineStr">
        <is>
          <t>D836-900002574-66852206-10000649-4</t>
        </is>
      </c>
    </row>
    <row r="488">
      <c r="A488" t="inlineStr">
        <is>
          <t>900002574D8366690655810000160</t>
        </is>
      </c>
      <c r="B488" t="inlineStr">
        <is>
          <t>4600027590-1590</t>
        </is>
      </c>
      <c r="C488" t="n">
        <v>4600027590</v>
      </c>
      <c r="D488" t="n">
        <v>1590</v>
      </c>
      <c r="E488" t="inlineStr">
        <is>
          <t>MXPO</t>
        </is>
      </c>
      <c r="F488" t="inlineStr">
        <is>
          <t>M02</t>
        </is>
      </c>
      <c r="G488" t="n">
        <v>900002574</v>
      </c>
      <c r="H488" t="inlineStr">
        <is>
          <t>TP-ED-OLIELL</t>
        </is>
      </c>
      <c r="I488" t="n">
        <v>5048484</v>
      </c>
      <c r="J488" t="inlineStr">
        <is>
          <t>COMERCIALIZADORA Y TRANSPORTADORA O</t>
        </is>
      </c>
      <c r="K488" t="inlineStr">
        <is>
          <t>N90</t>
        </is>
      </c>
      <c r="L488" t="inlineStr">
        <is>
          <t>(AP) NAFIN 90 Dias</t>
        </is>
      </c>
      <c r="M488" t="n">
        <v>10000160</v>
      </c>
      <c r="N488" t="inlineStr">
        <is>
          <t>Arena Triturada Andesita Malla 4</t>
        </is>
      </c>
      <c r="O488" t="inlineStr">
        <is>
          <t>D836</t>
        </is>
      </c>
      <c r="P488" t="inlineStr">
        <is>
          <t>MX-CED. CENTRO</t>
        </is>
      </c>
      <c r="Q488" t="n">
        <v>20141106</v>
      </c>
      <c r="R488" t="n">
        <v>20281231</v>
      </c>
      <c r="S488" t="n">
        <v>20201015</v>
      </c>
      <c r="T488" t="n">
        <v>20291231</v>
      </c>
      <c r="U488" t="n">
        <v>295</v>
      </c>
      <c r="V488" t="inlineStr">
        <is>
          <t>MXN</t>
        </is>
      </c>
      <c r="W488" t="inlineStr">
        <is>
          <t>M3</t>
        </is>
      </c>
      <c r="X488" t="n">
        <v>195</v>
      </c>
      <c r="Y488" t="inlineStr">
        <is>
          <t>MXN</t>
        </is>
      </c>
      <c r="Z488" t="inlineStr">
        <is>
          <t>M3</t>
        </is>
      </c>
      <c r="AA488" t="inlineStr">
        <is>
          <t>66906558</t>
        </is>
      </c>
      <c r="AB488" t="inlineStr">
        <is>
          <t>MEXICABLE - ECATEPEC</t>
        </is>
      </c>
      <c r="AC488" t="n">
        <v>56103638</v>
      </c>
      <c r="AD488" t="n">
        <v>6622261540</v>
      </c>
      <c r="AE488" t="n">
        <v>4</v>
      </c>
      <c r="AF488" t="inlineStr">
        <is>
          <t>ENTREGA DIRECTA</t>
        </is>
      </c>
      <c r="AG488" t="n">
        <v>1.409</v>
      </c>
      <c r="AH488" t="inlineStr">
        <is>
          <t>M3</t>
        </is>
      </c>
      <c r="AI488" t="inlineStr">
        <is>
          <t>X</t>
        </is>
      </c>
      <c r="AJ488" t="n">
        <v>4</v>
      </c>
      <c r="AK488" t="inlineStr">
        <is>
          <t>V4</t>
        </is>
      </c>
      <c r="AL488" t="n">
        <v>20230920</v>
      </c>
      <c r="AM488" t="inlineStr">
        <is>
          <t>D836-900002574-66906558-10000160-4</t>
        </is>
      </c>
    </row>
    <row r="489">
      <c r="A489" t="inlineStr">
        <is>
          <t>900002574D8366690655810000357</t>
        </is>
      </c>
      <c r="B489" t="inlineStr">
        <is>
          <t>4600027590-1600</t>
        </is>
      </c>
      <c r="C489" t="n">
        <v>4600027590</v>
      </c>
      <c r="D489" t="n">
        <v>1600</v>
      </c>
      <c r="E489" t="inlineStr">
        <is>
          <t>MXPO</t>
        </is>
      </c>
      <c r="F489" t="inlineStr">
        <is>
          <t>M02</t>
        </is>
      </c>
      <c r="G489" t="n">
        <v>900002574</v>
      </c>
      <c r="H489" t="inlineStr">
        <is>
          <t>TP-ED-OLIELL</t>
        </is>
      </c>
      <c r="I489" t="n">
        <v>5048484</v>
      </c>
      <c r="J489" t="inlineStr">
        <is>
          <t>COMERCIALIZADORA Y TRANSPORTADORA O</t>
        </is>
      </c>
      <c r="K489" t="inlineStr">
        <is>
          <t>N90</t>
        </is>
      </c>
      <c r="L489" t="inlineStr">
        <is>
          <t>(AP) NAFIN 90 Dias</t>
        </is>
      </c>
      <c r="M489" t="n">
        <v>10000357</v>
      </c>
      <c r="N489" t="inlineStr">
        <is>
          <t>Grava Triturada Andesita 20 mm - 3/4"</t>
        </is>
      </c>
      <c r="O489" t="inlineStr">
        <is>
          <t>D836</t>
        </is>
      </c>
      <c r="P489" t="inlineStr">
        <is>
          <t>MX-CED. CENTRO</t>
        </is>
      </c>
      <c r="Q489" t="n">
        <v>20141106</v>
      </c>
      <c r="R489" t="n">
        <v>20281231</v>
      </c>
      <c r="S489" t="n">
        <v>20201015</v>
      </c>
      <c r="T489" t="n">
        <v>20291231</v>
      </c>
      <c r="U489" t="n">
        <v>305</v>
      </c>
      <c r="V489" t="inlineStr">
        <is>
          <t>MXN</t>
        </is>
      </c>
      <c r="W489" t="inlineStr">
        <is>
          <t>M3</t>
        </is>
      </c>
      <c r="X489" t="n">
        <v>195</v>
      </c>
      <c r="Y489" t="inlineStr">
        <is>
          <t>MXN</t>
        </is>
      </c>
      <c r="Z489" t="inlineStr">
        <is>
          <t>M3</t>
        </is>
      </c>
      <c r="AA489" t="inlineStr">
        <is>
          <t>66906558</t>
        </is>
      </c>
      <c r="AB489" t="inlineStr">
        <is>
          <t>MEXICABLE - ECATEPEC</t>
        </is>
      </c>
      <c r="AC489" t="n">
        <v>56103637</v>
      </c>
      <c r="AD489" t="n">
        <v>6622261540</v>
      </c>
      <c r="AE489" t="n">
        <v>4</v>
      </c>
      <c r="AF489" t="inlineStr">
        <is>
          <t>ENTREGA DIRECTA</t>
        </is>
      </c>
      <c r="AG489" t="n">
        <v>1.326</v>
      </c>
      <c r="AH489" t="inlineStr">
        <is>
          <t>M3</t>
        </is>
      </c>
      <c r="AI489" t="inlineStr">
        <is>
          <t>X</t>
        </is>
      </c>
      <c r="AJ489" t="n">
        <v>4</v>
      </c>
      <c r="AK489" t="inlineStr">
        <is>
          <t>V4</t>
        </is>
      </c>
      <c r="AL489" t="n">
        <v>20230920</v>
      </c>
      <c r="AM489" t="inlineStr">
        <is>
          <t>D836-900002574-66906558-10000357-4</t>
        </is>
      </c>
    </row>
    <row r="490">
      <c r="A490" t="inlineStr">
        <is>
          <t>900002574D8366689746010183535</t>
        </is>
      </c>
      <c r="B490" t="inlineStr">
        <is>
          <t>4600027590-1800</t>
        </is>
      </c>
      <c r="C490" t="n">
        <v>4600027590</v>
      </c>
      <c r="D490" t="n">
        <v>1800</v>
      </c>
      <c r="E490" t="inlineStr">
        <is>
          <t>MXPO</t>
        </is>
      </c>
      <c r="F490" t="inlineStr">
        <is>
          <t>M02</t>
        </is>
      </c>
      <c r="G490" t="n">
        <v>900002574</v>
      </c>
      <c r="H490" t="inlineStr">
        <is>
          <t>TP-ED-OLIELL</t>
        </is>
      </c>
      <c r="I490" t="n">
        <v>5048484</v>
      </c>
      <c r="J490" t="inlineStr">
        <is>
          <t>COMERCIALIZADORA Y TRANSPORTADORA O</t>
        </is>
      </c>
      <c r="K490" t="inlineStr">
        <is>
          <t>N90</t>
        </is>
      </c>
      <c r="L490" t="inlineStr">
        <is>
          <t>(AP) NAFIN 90 Dias</t>
        </is>
      </c>
      <c r="M490" t="n">
        <v>10183535</v>
      </c>
      <c r="N490" t="inlineStr">
        <is>
          <t>BALASTO TRITURADO BASALTO 3" - 1"</t>
        </is>
      </c>
      <c r="O490" t="inlineStr">
        <is>
          <t>D836</t>
        </is>
      </c>
      <c r="P490" t="inlineStr">
        <is>
          <t>MX-CED. CENTRO</t>
        </is>
      </c>
      <c r="Q490" t="n">
        <v>20141106</v>
      </c>
      <c r="R490" t="n">
        <v>20281231</v>
      </c>
      <c r="S490" t="n">
        <v>20201103</v>
      </c>
      <c r="T490" t="n">
        <v>20291231</v>
      </c>
      <c r="U490" t="n">
        <v>630</v>
      </c>
      <c r="V490" t="inlineStr">
        <is>
          <t>MXN</t>
        </is>
      </c>
      <c r="W490" t="inlineStr">
        <is>
          <t>M3</t>
        </is>
      </c>
      <c r="X490" t="n">
        <v>445</v>
      </c>
      <c r="Y490" t="inlineStr">
        <is>
          <t>MXN</t>
        </is>
      </c>
      <c r="Z490" t="inlineStr">
        <is>
          <t>M3</t>
        </is>
      </c>
      <c r="AA490" t="inlineStr">
        <is>
          <t>66897460</t>
        </is>
      </c>
      <c r="AB490" t="inlineStr">
        <is>
          <t>AV. CENTRAL ESQ AV 412</t>
        </is>
      </c>
      <c r="AC490" t="n">
        <v>56103591</v>
      </c>
      <c r="AD490" t="n">
        <v>6622261540</v>
      </c>
      <c r="AE490" t="n">
        <v>4</v>
      </c>
      <c r="AF490" t="inlineStr">
        <is>
          <t>ENTREGA DIRECTA</t>
        </is>
      </c>
      <c r="AG490" t="n">
        <v>1.4</v>
      </c>
      <c r="AH490" t="inlineStr">
        <is>
          <t>M3</t>
        </is>
      </c>
      <c r="AI490" t="inlineStr">
        <is>
          <t>X</t>
        </is>
      </c>
      <c r="AJ490" t="n">
        <v>4</v>
      </c>
      <c r="AK490" t="inlineStr">
        <is>
          <t>V4</t>
        </is>
      </c>
      <c r="AL490" t="n">
        <v>20230920</v>
      </c>
      <c r="AM490" t="inlineStr">
        <is>
          <t>D836-900002574-66897460-10183535-4</t>
        </is>
      </c>
    </row>
    <row r="491">
      <c r="A491" t="inlineStr">
        <is>
          <t>900003601D83610161492</t>
        </is>
      </c>
      <c r="B491" t="inlineStr">
        <is>
          <t>4600027604-120</t>
        </is>
      </c>
      <c r="C491" t="n">
        <v>4600027604</v>
      </c>
      <c r="D491" t="n">
        <v>120</v>
      </c>
      <c r="E491" t="inlineStr">
        <is>
          <t>MXPO</t>
        </is>
      </c>
      <c r="F491" t="inlineStr">
        <is>
          <t>M02</t>
        </is>
      </c>
      <c r="G491" t="n">
        <v>900003601</v>
      </c>
      <c r="H491" t="inlineStr">
        <is>
          <t>TP-EJIDO PROGRESO</t>
        </is>
      </c>
      <c r="I491" t="n">
        <v>5001924</v>
      </c>
      <c r="J491" t="inlineStr">
        <is>
          <t>EJIDO PROGRESO</t>
        </is>
      </c>
      <c r="K491" t="inlineStr">
        <is>
          <t>Z04</t>
        </is>
      </c>
      <c r="L491" t="inlineStr">
        <is>
          <t>(AP) 30 Dias</t>
        </is>
      </c>
      <c r="M491" t="n">
        <v>10161492</v>
      </c>
      <c r="N491" t="inlineStr">
        <is>
          <t>ARENA TRITURADA CALIZA MALLA 4</t>
        </is>
      </c>
      <c r="O491" t="inlineStr">
        <is>
          <t>D836</t>
        </is>
      </c>
      <c r="P491" t="inlineStr">
        <is>
          <t>MX-CED. CENTRO</t>
        </is>
      </c>
      <c r="Q491" t="n">
        <v>20141106</v>
      </c>
      <c r="R491" t="n">
        <v>20291231</v>
      </c>
      <c r="S491" t="n">
        <v>20230905</v>
      </c>
      <c r="T491" t="n">
        <v>20281231</v>
      </c>
      <c r="U491" t="n">
        <v>35</v>
      </c>
      <c r="V491" t="inlineStr">
        <is>
          <t>MXN</t>
        </is>
      </c>
      <c r="W491" t="inlineStr">
        <is>
          <t>TN</t>
        </is>
      </c>
      <c r="X491" t="n">
        <v>0</v>
      </c>
      <c r="Y491" t="inlineStr">
        <is>
          <t>MXN</t>
        </is>
      </c>
      <c r="Z491" t="inlineStr">
        <is>
          <t>TN</t>
        </is>
      </c>
      <c r="AC491" t="n">
        <v>56103638</v>
      </c>
      <c r="AD491" t="n">
        <v>6622261540</v>
      </c>
      <c r="AE491" t="n">
        <v>1</v>
      </c>
      <c r="AF491" t="inlineStr">
        <is>
          <t>ENTREGADO</t>
        </is>
      </c>
      <c r="AG491" t="n">
        <v>1</v>
      </c>
      <c r="AH491" t="inlineStr">
        <is>
          <t>TO</t>
        </is>
      </c>
      <c r="AI491" t="inlineStr">
        <is>
          <t>X</t>
        </is>
      </c>
      <c r="AJ491" t="n">
        <v>4</v>
      </c>
      <c r="AK491" t="inlineStr">
        <is>
          <t>V4</t>
        </is>
      </c>
      <c r="AL491" t="n">
        <v>20230905</v>
      </c>
      <c r="AM491" t="inlineStr">
        <is>
          <t>D836-900003601-10161492</t>
        </is>
      </c>
    </row>
    <row r="492">
      <c r="A492" t="inlineStr">
        <is>
          <t>900006542D8366683856110000357</t>
        </is>
      </c>
      <c r="B492" t="inlineStr">
        <is>
          <t>4600047341-330</t>
        </is>
      </c>
      <c r="C492" t="n">
        <v>4600047341</v>
      </c>
      <c r="D492" t="n">
        <v>330</v>
      </c>
      <c r="E492" t="inlineStr">
        <is>
          <t>MXPO</t>
        </is>
      </c>
      <c r="F492" t="inlineStr">
        <is>
          <t>MXL</t>
        </is>
      </c>
      <c r="G492" t="n">
        <v>900006542</v>
      </c>
      <c r="H492" t="inlineStr">
        <is>
          <t>TP-OLIELL TORTON</t>
        </is>
      </c>
      <c r="I492" t="n">
        <v>5048484</v>
      </c>
      <c r="J492" t="inlineStr">
        <is>
          <t>COMERCIALIZADORA Y TRANSPORTADORA O</t>
        </is>
      </c>
      <c r="K492" t="inlineStr">
        <is>
          <t>N90</t>
        </is>
      </c>
      <c r="L492" t="inlineStr">
        <is>
          <t>(AP) NAFIN 90 Dias</t>
        </is>
      </c>
      <c r="M492" t="n">
        <v>10000357</v>
      </c>
      <c r="N492" t="inlineStr">
        <is>
          <t>Grava Triturada Andesita 20 mm - 3/4"</t>
        </is>
      </c>
      <c r="O492" t="inlineStr">
        <is>
          <t>D836</t>
        </is>
      </c>
      <c r="P492" t="inlineStr">
        <is>
          <t>MX-CED. CENTRO</t>
        </is>
      </c>
      <c r="Q492" t="n">
        <v>20200615</v>
      </c>
      <c r="R492" t="n">
        <v>20281231</v>
      </c>
      <c r="S492" t="n">
        <v>20201030</v>
      </c>
      <c r="T492" t="n">
        <v>20291231</v>
      </c>
      <c r="U492" t="n">
        <v>215</v>
      </c>
      <c r="V492" t="inlineStr">
        <is>
          <t>MXN</t>
        </is>
      </c>
      <c r="W492" t="inlineStr">
        <is>
          <t>M3</t>
        </is>
      </c>
      <c r="X492" t="n">
        <v>105</v>
      </c>
      <c r="Y492" t="inlineStr">
        <is>
          <t>MXN</t>
        </is>
      </c>
      <c r="Z492" t="inlineStr">
        <is>
          <t>M3</t>
        </is>
      </c>
      <c r="AA492" t="inlineStr">
        <is>
          <t>66838561</t>
        </is>
      </c>
      <c r="AB492" t="inlineStr">
        <is>
          <t>REMODELACION DE PATIO TLALPIZAHUAC</t>
        </is>
      </c>
      <c r="AC492" t="n">
        <v>56103637</v>
      </c>
      <c r="AD492" t="n">
        <v>6622261540</v>
      </c>
      <c r="AE492" t="n">
        <v>4</v>
      </c>
      <c r="AF492" t="inlineStr">
        <is>
          <t>ENTREGA DIRECTA</t>
        </is>
      </c>
      <c r="AG492" t="n">
        <v>1.326</v>
      </c>
      <c r="AH492" t="inlineStr">
        <is>
          <t>M3</t>
        </is>
      </c>
      <c r="AI492" t="inlineStr">
        <is>
          <t>X</t>
        </is>
      </c>
      <c r="AJ492" t="n">
        <v>4</v>
      </c>
      <c r="AK492" t="inlineStr">
        <is>
          <t>V4</t>
        </is>
      </c>
      <c r="AL492" t="n">
        <v>20230920</v>
      </c>
      <c r="AM492" t="inlineStr">
        <is>
          <t>D836-900006542-66838561-10000357-4</t>
        </is>
      </c>
    </row>
    <row r="493">
      <c r="A493" t="inlineStr">
        <is>
          <t>900003588D83610000140</t>
        </is>
      </c>
      <c r="B493" t="inlineStr">
        <is>
          <t>4600027599-80</t>
        </is>
      </c>
      <c r="C493" t="n">
        <v>4600027599</v>
      </c>
      <c r="D493" t="n">
        <v>80</v>
      </c>
      <c r="E493" t="inlineStr">
        <is>
          <t>MXPO</t>
        </is>
      </c>
      <c r="F493" t="inlineStr">
        <is>
          <t>M02</t>
        </is>
      </c>
      <c r="G493" t="n">
        <v>900003588</v>
      </c>
      <c r="H493" t="inlineStr">
        <is>
          <t>TP-ARENERA LA FE</t>
        </is>
      </c>
      <c r="I493" t="n">
        <v>5003482</v>
      </c>
      <c r="J493" t="inlineStr">
        <is>
          <t>ARENERA LA FE S.A. DE C.V.</t>
        </is>
      </c>
      <c r="K493" t="inlineStr">
        <is>
          <t>N90</t>
        </is>
      </c>
      <c r="L493" t="inlineStr">
        <is>
          <t>(AP) NAFIN 90 Dias</t>
        </is>
      </c>
      <c r="M493" t="n">
        <v>10000140</v>
      </c>
      <c r="N493" t="inlineStr">
        <is>
          <t>Grava Triturada Andesita 40 mm - 1 1/2"</t>
        </is>
      </c>
      <c r="O493" t="inlineStr">
        <is>
          <t>D836</t>
        </is>
      </c>
      <c r="P493" t="inlineStr">
        <is>
          <t>MX-CED. CENTRO</t>
        </is>
      </c>
      <c r="Q493" t="n">
        <v>20141106</v>
      </c>
      <c r="R493" t="n">
        <v>20261231</v>
      </c>
      <c r="S493" t="n">
        <v>20241023</v>
      </c>
      <c r="T493" t="n">
        <v>20291231</v>
      </c>
      <c r="U493" t="n">
        <v>142.25</v>
      </c>
      <c r="V493" t="inlineStr">
        <is>
          <t>MXN</t>
        </is>
      </c>
      <c r="W493" t="inlineStr">
        <is>
          <t>TN</t>
        </is>
      </c>
      <c r="X493" t="n">
        <v>0</v>
      </c>
      <c r="Y493" t="inlineStr">
        <is>
          <t>MXN</t>
        </is>
      </c>
      <c r="Z493" t="inlineStr">
        <is>
          <t>TN</t>
        </is>
      </c>
      <c r="AC493" t="n">
        <v>56103637</v>
      </c>
      <c r="AD493" t="n">
        <v>6622261540</v>
      </c>
      <c r="AE493" t="n">
        <v>1</v>
      </c>
      <c r="AF493" t="inlineStr">
        <is>
          <t>ENTREGADO</t>
        </is>
      </c>
      <c r="AG493" t="n">
        <v>1</v>
      </c>
      <c r="AH493" t="inlineStr">
        <is>
          <t>TO</t>
        </is>
      </c>
      <c r="AI493" t="inlineStr">
        <is>
          <t>X</t>
        </is>
      </c>
      <c r="AJ493" t="n">
        <v>4</v>
      </c>
      <c r="AK493" t="inlineStr">
        <is>
          <t>V4</t>
        </is>
      </c>
      <c r="AL493" t="n">
        <v>20241025</v>
      </c>
      <c r="AM493" t="inlineStr">
        <is>
          <t>D836-900003588-10000140</t>
        </is>
      </c>
    </row>
    <row r="494">
      <c r="A494" t="inlineStr">
        <is>
          <t>900006950D8366500190510000133</t>
        </is>
      </c>
      <c r="B494" t="inlineStr">
        <is>
          <t>4600048579-20</t>
        </is>
      </c>
      <c r="C494" t="n">
        <v>4600048579</v>
      </c>
      <c r="D494" t="n">
        <v>20</v>
      </c>
      <c r="E494" t="inlineStr">
        <is>
          <t>MXPO</t>
        </is>
      </c>
      <c r="F494" t="inlineStr">
        <is>
          <t>MXL</t>
        </is>
      </c>
      <c r="G494" t="n">
        <v>900006950</v>
      </c>
      <c r="H494" t="inlineStr">
        <is>
          <t>SF TP-ED-OLIELL GONDOLA</t>
        </is>
      </c>
      <c r="I494" t="n">
        <v>5048484</v>
      </c>
      <c r="J494" t="inlineStr">
        <is>
          <t>COMERCIALIZADORA Y TRANSPORTADORA O</t>
        </is>
      </c>
      <c r="K494" t="inlineStr">
        <is>
          <t>N90</t>
        </is>
      </c>
      <c r="L494" t="inlineStr">
        <is>
          <t>(AP) NAFIN 90 Dias</t>
        </is>
      </c>
      <c r="M494" t="n">
        <v>10000133</v>
      </c>
      <c r="N494" t="inlineStr">
        <is>
          <t>Grava Triturada Caliza 20 mm - 3/4"</t>
        </is>
      </c>
      <c r="O494" t="inlineStr">
        <is>
          <t>D836</t>
        </is>
      </c>
      <c r="P494" t="inlineStr">
        <is>
          <t>MX-CED. CENTRO</t>
        </is>
      </c>
      <c r="Q494" t="n">
        <v>20201201</v>
      </c>
      <c r="R494" t="n">
        <v>20291231</v>
      </c>
      <c r="S494" t="n">
        <v>20201201</v>
      </c>
      <c r="T494" t="n">
        <v>20291231</v>
      </c>
      <c r="U494" t="n">
        <v>315</v>
      </c>
      <c r="V494" t="inlineStr">
        <is>
          <t>MXN</t>
        </is>
      </c>
      <c r="W494" t="inlineStr">
        <is>
          <t>M3</t>
        </is>
      </c>
      <c r="X494" t="n">
        <v>155</v>
      </c>
      <c r="Y494" t="inlineStr">
        <is>
          <t>MXN</t>
        </is>
      </c>
      <c r="Z494" t="inlineStr">
        <is>
          <t>M3</t>
        </is>
      </c>
      <c r="AA494" t="inlineStr">
        <is>
          <t>65001905</t>
        </is>
      </c>
      <c r="AB494" t="inlineStr">
        <is>
          <t>(P) PRESFORZA, S.A. DE C.V.</t>
        </is>
      </c>
      <c r="AC494" t="n">
        <v>56103637</v>
      </c>
      <c r="AD494" t="n">
        <v>6622261540</v>
      </c>
      <c r="AE494" t="n">
        <v>4</v>
      </c>
      <c r="AF494" t="inlineStr">
        <is>
          <t>ENTREGA DIRECTA</t>
        </is>
      </c>
      <c r="AG494" t="n">
        <v>1.46</v>
      </c>
      <c r="AH494" t="inlineStr">
        <is>
          <t>M3</t>
        </is>
      </c>
      <c r="AI494" t="inlineStr">
        <is>
          <t>X</t>
        </is>
      </c>
      <c r="AJ494" t="n">
        <v>4</v>
      </c>
      <c r="AK494" t="inlineStr">
        <is>
          <t>V4</t>
        </is>
      </c>
      <c r="AL494" t="n">
        <v>20230920</v>
      </c>
      <c r="AM494" t="inlineStr">
        <is>
          <t>D836-900006950-65001905-10000133-4</t>
        </is>
      </c>
    </row>
    <row r="495">
      <c r="A495" t="inlineStr">
        <is>
          <t>900006950D8366500190510058345</t>
        </is>
      </c>
      <c r="B495" t="inlineStr">
        <is>
          <t>4600048579-10</t>
        </is>
      </c>
      <c r="C495" t="n">
        <v>4600048579</v>
      </c>
      <c r="D495" t="n">
        <v>10</v>
      </c>
      <c r="E495" t="inlineStr">
        <is>
          <t>MXPO</t>
        </is>
      </c>
      <c r="F495" t="inlineStr">
        <is>
          <t>MXL</t>
        </is>
      </c>
      <c r="G495" t="n">
        <v>900006950</v>
      </c>
      <c r="H495" t="inlineStr">
        <is>
          <t>SF TP-ED-OLIELL GONDOLA</t>
        </is>
      </c>
      <c r="I495" t="n">
        <v>5048484</v>
      </c>
      <c r="J495" t="inlineStr">
        <is>
          <t>COMERCIALIZADORA Y TRANSPORTADORA O</t>
        </is>
      </c>
      <c r="K495" t="inlineStr">
        <is>
          <t>N90</t>
        </is>
      </c>
      <c r="L495" t="inlineStr">
        <is>
          <t>(AP) NAFIN 90 Dias</t>
        </is>
      </c>
      <c r="M495" t="n">
        <v>10058345</v>
      </c>
      <c r="N495" t="inlineStr">
        <is>
          <t>Arena Triturada Caliza Malla 4</t>
        </is>
      </c>
      <c r="O495" t="inlineStr">
        <is>
          <t>D836</t>
        </is>
      </c>
      <c r="P495" t="inlineStr">
        <is>
          <t>MX-CED. CENTRO</t>
        </is>
      </c>
      <c r="Q495" t="n">
        <v>20201201</v>
      </c>
      <c r="R495" t="n">
        <v>20291231</v>
      </c>
      <c r="S495" t="n">
        <v>20201201</v>
      </c>
      <c r="T495" t="n">
        <v>20291231</v>
      </c>
      <c r="U495" t="n">
        <v>230</v>
      </c>
      <c r="V495" t="inlineStr">
        <is>
          <t>MXN</t>
        </is>
      </c>
      <c r="W495" t="inlineStr">
        <is>
          <t>M3</t>
        </is>
      </c>
      <c r="X495" t="n">
        <v>155</v>
      </c>
      <c r="Y495" t="inlineStr">
        <is>
          <t>MXN</t>
        </is>
      </c>
      <c r="Z495" t="inlineStr">
        <is>
          <t>M3</t>
        </is>
      </c>
      <c r="AA495" t="inlineStr">
        <is>
          <t>65001905</t>
        </is>
      </c>
      <c r="AB495" t="inlineStr">
        <is>
          <t>(P) PRESFORZA, S.A. DE C.V.</t>
        </is>
      </c>
      <c r="AC495" t="n">
        <v>56103638</v>
      </c>
      <c r="AD495" t="n">
        <v>6622261540</v>
      </c>
      <c r="AE495" t="n">
        <v>4</v>
      </c>
      <c r="AF495" t="inlineStr">
        <is>
          <t>ENTREGA DIRECTA</t>
        </is>
      </c>
      <c r="AG495" t="n">
        <v>1.575</v>
      </c>
      <c r="AH495" t="inlineStr">
        <is>
          <t>M3</t>
        </is>
      </c>
      <c r="AI495" t="inlineStr">
        <is>
          <t>X</t>
        </is>
      </c>
      <c r="AJ495" t="n">
        <v>4</v>
      </c>
      <c r="AK495" t="inlineStr">
        <is>
          <t>V4</t>
        </is>
      </c>
      <c r="AL495" t="n">
        <v>20230920</v>
      </c>
      <c r="AM495" t="inlineStr">
        <is>
          <t>D836-900006950-65001905-10058345-4</t>
        </is>
      </c>
    </row>
    <row r="496">
      <c r="A496" t="inlineStr">
        <is>
          <t>900002574D8366728962410000160</t>
        </is>
      </c>
      <c r="B496" t="inlineStr">
        <is>
          <t>4600027590-2630</t>
        </is>
      </c>
      <c r="C496" t="n">
        <v>4600027590</v>
      </c>
      <c r="D496" t="n">
        <v>2630</v>
      </c>
      <c r="E496" t="inlineStr">
        <is>
          <t>MXPO</t>
        </is>
      </c>
      <c r="F496" t="inlineStr">
        <is>
          <t>M02</t>
        </is>
      </c>
      <c r="G496" t="n">
        <v>900002574</v>
      </c>
      <c r="H496" t="inlineStr">
        <is>
          <t>TP-ED-OLIELL</t>
        </is>
      </c>
      <c r="I496" t="n">
        <v>5048484</v>
      </c>
      <c r="J496" t="inlineStr">
        <is>
          <t>COMERCIALIZADORA Y TRANSPORTADORA O</t>
        </is>
      </c>
      <c r="K496" t="inlineStr">
        <is>
          <t>N90</t>
        </is>
      </c>
      <c r="L496" t="inlineStr">
        <is>
          <t>(AP) NAFIN 90 Dias</t>
        </is>
      </c>
      <c r="M496" t="n">
        <v>10000160</v>
      </c>
      <c r="N496" t="inlineStr">
        <is>
          <t>Arena Triturada Andesita Malla 4</t>
        </is>
      </c>
      <c r="O496" t="inlineStr">
        <is>
          <t>D836</t>
        </is>
      </c>
      <c r="P496" t="inlineStr">
        <is>
          <t>MX-CED. CENTRO</t>
        </is>
      </c>
      <c r="Q496" t="n">
        <v>20141106</v>
      </c>
      <c r="R496" t="n">
        <v>20281231</v>
      </c>
      <c r="S496" t="n">
        <v>20241023</v>
      </c>
      <c r="T496" t="n">
        <v>20291231</v>
      </c>
      <c r="U496" t="n">
        <v>712.14</v>
      </c>
      <c r="V496" t="inlineStr">
        <is>
          <t>MXN</t>
        </is>
      </c>
      <c r="W496" t="inlineStr">
        <is>
          <t>M3</t>
        </is>
      </c>
      <c r="X496" t="n">
        <v>500</v>
      </c>
      <c r="Y496" t="inlineStr">
        <is>
          <t>MXN</t>
        </is>
      </c>
      <c r="Z496" t="inlineStr">
        <is>
          <t>M3</t>
        </is>
      </c>
      <c r="AA496" t="inlineStr">
        <is>
          <t>67289624</t>
        </is>
      </c>
      <c r="AB496" t="inlineStr">
        <is>
          <t>PREVÍ MINAS OFICINAS</t>
        </is>
      </c>
      <c r="AC496" t="n">
        <v>56103638</v>
      </c>
      <c r="AD496" t="n">
        <v>6622261540</v>
      </c>
      <c r="AE496" t="n">
        <v>4</v>
      </c>
      <c r="AF496" t="inlineStr">
        <is>
          <t>ENTREGA DIRECTA</t>
        </is>
      </c>
      <c r="AG496" t="n">
        <v>1.409</v>
      </c>
      <c r="AH496" t="inlineStr">
        <is>
          <t>M3</t>
        </is>
      </c>
      <c r="AI496" t="inlineStr">
        <is>
          <t>X</t>
        </is>
      </c>
      <c r="AJ496" t="n">
        <v>4</v>
      </c>
      <c r="AK496" t="inlineStr">
        <is>
          <t>V4</t>
        </is>
      </c>
      <c r="AL496" t="n">
        <v>20241024</v>
      </c>
      <c r="AM496" t="inlineStr">
        <is>
          <t>D836-900002574-67289624-10000160-4</t>
        </is>
      </c>
    </row>
    <row r="497">
      <c r="A497" t="inlineStr">
        <is>
          <t>900006542D8366691209010000357</t>
        </is>
      </c>
      <c r="B497" t="inlineStr">
        <is>
          <t>4600047341-230</t>
        </is>
      </c>
      <c r="C497" t="n">
        <v>4600047341</v>
      </c>
      <c r="D497" t="n">
        <v>230</v>
      </c>
      <c r="E497" t="inlineStr">
        <is>
          <t>MXPO</t>
        </is>
      </c>
      <c r="F497" t="inlineStr">
        <is>
          <t>MXL</t>
        </is>
      </c>
      <c r="G497" t="n">
        <v>900006542</v>
      </c>
      <c r="H497" t="inlineStr">
        <is>
          <t>TP-OLIELL TORTON</t>
        </is>
      </c>
      <c r="I497" t="n">
        <v>5048484</v>
      </c>
      <c r="J497" t="inlineStr">
        <is>
          <t>COMERCIALIZADORA Y TRANSPORTADORA O</t>
        </is>
      </c>
      <c r="K497" t="inlineStr">
        <is>
          <t>N90</t>
        </is>
      </c>
      <c r="L497" t="inlineStr">
        <is>
          <t>(AP) NAFIN 90 Dias</t>
        </is>
      </c>
      <c r="M497" t="n">
        <v>10000357</v>
      </c>
      <c r="N497" t="inlineStr">
        <is>
          <t>Grava Triturada Andesita 20 mm - 3/4"</t>
        </is>
      </c>
      <c r="O497" t="inlineStr">
        <is>
          <t>D836</t>
        </is>
      </c>
      <c r="P497" t="inlineStr">
        <is>
          <t>MX-CED. CENTRO</t>
        </is>
      </c>
      <c r="Q497" t="n">
        <v>20200615</v>
      </c>
      <c r="R497" t="n">
        <v>20281231</v>
      </c>
      <c r="S497" t="n">
        <v>20201030</v>
      </c>
      <c r="T497" t="n">
        <v>20291231</v>
      </c>
      <c r="U497" t="n">
        <v>215</v>
      </c>
      <c r="V497" t="inlineStr">
        <is>
          <t>MXN</t>
        </is>
      </c>
      <c r="W497" t="inlineStr">
        <is>
          <t>M3</t>
        </is>
      </c>
      <c r="X497" t="n">
        <v>105</v>
      </c>
      <c r="Y497" t="inlineStr">
        <is>
          <t>MXN</t>
        </is>
      </c>
      <c r="Z497" t="inlineStr">
        <is>
          <t>M3</t>
        </is>
      </c>
      <c r="AA497" t="inlineStr">
        <is>
          <t>66912090</t>
        </is>
      </c>
      <c r="AB497" t="inlineStr">
        <is>
          <t>PATIO TLALPIZAHUAC CHALCO</t>
        </is>
      </c>
      <c r="AC497" t="n">
        <v>56103637</v>
      </c>
      <c r="AD497" t="n">
        <v>6622261540</v>
      </c>
      <c r="AE497" t="n">
        <v>4</v>
      </c>
      <c r="AF497" t="inlineStr">
        <is>
          <t>ENTREGA DIRECTA</t>
        </is>
      </c>
      <c r="AG497" t="n">
        <v>1.326</v>
      </c>
      <c r="AH497" t="inlineStr">
        <is>
          <t>M3</t>
        </is>
      </c>
      <c r="AI497" t="inlineStr">
        <is>
          <t>X</t>
        </is>
      </c>
      <c r="AJ497" t="n">
        <v>4</v>
      </c>
      <c r="AK497" t="inlineStr">
        <is>
          <t>V4</t>
        </is>
      </c>
      <c r="AL497" t="n">
        <v>20230920</v>
      </c>
      <c r="AM497" t="inlineStr">
        <is>
          <t>D836-900006542-66912090-10000357-4</t>
        </is>
      </c>
    </row>
    <row r="498">
      <c r="A498" t="inlineStr">
        <is>
          <t>900004598D83610006150</t>
        </is>
      </c>
      <c r="B498" t="inlineStr">
        <is>
          <t>4600070451-20</t>
        </is>
      </c>
      <c r="C498" t="n">
        <v>4600070451</v>
      </c>
      <c r="D498" t="n">
        <v>20</v>
      </c>
      <c r="E498" t="inlineStr">
        <is>
          <t>MXPO</t>
        </is>
      </c>
      <c r="F498" t="inlineStr">
        <is>
          <t>MXL</t>
        </is>
      </c>
      <c r="G498" t="n">
        <v>900004598</v>
      </c>
      <c r="H498" t="inlineStr">
        <is>
          <t>TP-GALEANA</t>
        </is>
      </c>
      <c r="I498" t="n">
        <v>5062433</v>
      </c>
      <c r="J498" t="inlineStr">
        <is>
          <t>CAMINOS Y PAVIMENTOS DEL</t>
        </is>
      </c>
      <c r="K498" t="inlineStr">
        <is>
          <t>Z06</t>
        </is>
      </c>
      <c r="L498" t="inlineStr">
        <is>
          <t>(AP) 45 Dias</t>
        </is>
      </c>
      <c r="M498" t="n">
        <v>10006150</v>
      </c>
      <c r="N498" t="inlineStr">
        <is>
          <t>Grava Triturada Caliza 20 mm - 3/4"</t>
        </is>
      </c>
      <c r="O498" t="inlineStr">
        <is>
          <t>D836</t>
        </is>
      </c>
      <c r="P498" t="inlineStr">
        <is>
          <t>MX-CED. CENTRO</t>
        </is>
      </c>
      <c r="Q498" t="n">
        <v>20241022</v>
      </c>
      <c r="R498" t="n">
        <v>20291231</v>
      </c>
      <c r="S498" t="n">
        <v>20241022</v>
      </c>
      <c r="T498" t="n">
        <v>20291231</v>
      </c>
      <c r="U498" t="n">
        <v>300</v>
      </c>
      <c r="V498" t="inlineStr">
        <is>
          <t>MXN</t>
        </is>
      </c>
      <c r="W498" t="inlineStr">
        <is>
          <t>M3</t>
        </is>
      </c>
      <c r="X498" t="n">
        <v>0</v>
      </c>
      <c r="Y498" t="inlineStr">
        <is>
          <t>MXN</t>
        </is>
      </c>
      <c r="Z498" t="inlineStr">
        <is>
          <t>M3</t>
        </is>
      </c>
      <c r="AC498" t="n">
        <v>56103637</v>
      </c>
      <c r="AD498" t="n">
        <v>6622261540</v>
      </c>
      <c r="AE498" t="n">
        <v>1</v>
      </c>
      <c r="AF498" t="inlineStr">
        <is>
          <t>ENTREGADO</t>
        </is>
      </c>
      <c r="AG498" t="n">
        <v>1.387</v>
      </c>
      <c r="AH498" t="inlineStr">
        <is>
          <t>M3</t>
        </is>
      </c>
      <c r="AI498" t="inlineStr">
        <is>
          <t>X</t>
        </is>
      </c>
      <c r="AJ498" t="n">
        <v>4</v>
      </c>
      <c r="AK498" t="inlineStr">
        <is>
          <t>V4</t>
        </is>
      </c>
      <c r="AL498" t="n">
        <v>20241028</v>
      </c>
      <c r="AM498" t="inlineStr">
        <is>
          <t>D836-900004598-10006150</t>
        </is>
      </c>
    </row>
    <row r="499">
      <c r="A499" t="inlineStr">
        <is>
          <t>900004598D83610047573</t>
        </is>
      </c>
      <c r="B499" t="inlineStr">
        <is>
          <t>4600070451-10</t>
        </is>
      </c>
      <c r="C499" t="n">
        <v>4600070451</v>
      </c>
      <c r="D499" t="n">
        <v>10</v>
      </c>
      <c r="E499" t="inlineStr">
        <is>
          <t>MXPO</t>
        </is>
      </c>
      <c r="F499" t="inlineStr">
        <is>
          <t>MXL</t>
        </is>
      </c>
      <c r="G499" t="n">
        <v>900004598</v>
      </c>
      <c r="H499" t="inlineStr">
        <is>
          <t>TP-GALEANA</t>
        </is>
      </c>
      <c r="I499" t="n">
        <v>5062433</v>
      </c>
      <c r="J499" t="inlineStr">
        <is>
          <t>CAMINOS Y PAVIMENTOS DEL</t>
        </is>
      </c>
      <c r="K499" t="inlineStr">
        <is>
          <t>Z06</t>
        </is>
      </c>
      <c r="L499" t="inlineStr">
        <is>
          <t>(AP) 45 Dias</t>
        </is>
      </c>
      <c r="M499" t="n">
        <v>10047573</v>
      </c>
      <c r="N499" t="inlineStr">
        <is>
          <t>Arena Triturada Caliza Malla 4</t>
        </is>
      </c>
      <c r="O499" t="inlineStr">
        <is>
          <t>D836</t>
        </is>
      </c>
      <c r="P499" t="inlineStr">
        <is>
          <t>MX-CED. CENTRO</t>
        </is>
      </c>
      <c r="Q499" t="n">
        <v>20241022</v>
      </c>
      <c r="R499" t="n">
        <v>20291231</v>
      </c>
      <c r="S499" t="n">
        <v>20241022</v>
      </c>
      <c r="T499" t="n">
        <v>20291231</v>
      </c>
      <c r="U499" t="n">
        <v>55</v>
      </c>
      <c r="V499" t="inlineStr">
        <is>
          <t>MXN</t>
        </is>
      </c>
      <c r="W499" t="inlineStr">
        <is>
          <t>M3</t>
        </is>
      </c>
      <c r="X499" t="n">
        <v>0</v>
      </c>
      <c r="Y499" t="inlineStr">
        <is>
          <t>MXN</t>
        </is>
      </c>
      <c r="Z499" t="inlineStr">
        <is>
          <t>M3</t>
        </is>
      </c>
      <c r="AC499" t="n">
        <v>56103638</v>
      </c>
      <c r="AD499" t="n">
        <v>6622261540</v>
      </c>
      <c r="AE499" t="n">
        <v>1</v>
      </c>
      <c r="AF499" t="inlineStr">
        <is>
          <t>ENTREGADO</t>
        </is>
      </c>
      <c r="AG499" t="n">
        <v>1.607</v>
      </c>
      <c r="AH499" t="inlineStr">
        <is>
          <t>M3</t>
        </is>
      </c>
      <c r="AI499" t="inlineStr">
        <is>
          <t>X</t>
        </is>
      </c>
      <c r="AJ499" t="n">
        <v>4</v>
      </c>
      <c r="AK499" t="inlineStr">
        <is>
          <t>V4</t>
        </is>
      </c>
      <c r="AL499" t="n">
        <v>20241028</v>
      </c>
      <c r="AM499" t="inlineStr">
        <is>
          <t>D836-900004598-10047573</t>
        </is>
      </c>
    </row>
    <row r="500">
      <c r="A500" t="inlineStr">
        <is>
          <t>900006185D8366684714410000160</t>
        </is>
      </c>
      <c r="B500" t="inlineStr">
        <is>
          <t>4600045002-130</t>
        </is>
      </c>
      <c r="C500" t="n">
        <v>4600045002</v>
      </c>
      <c r="D500" t="n">
        <v>130</v>
      </c>
      <c r="E500" t="inlineStr">
        <is>
          <t>MXPO</t>
        </is>
      </c>
      <c r="F500" t="inlineStr">
        <is>
          <t>MXL</t>
        </is>
      </c>
      <c r="G500" t="n">
        <v>900006185</v>
      </c>
      <c r="H500" t="inlineStr">
        <is>
          <t>TP-ED-OLIELL ALMACÉN</t>
        </is>
      </c>
      <c r="I500" t="n">
        <v>5048484</v>
      </c>
      <c r="J500" t="inlineStr">
        <is>
          <t>COMERCIALIZADORA Y TRANSPORTADORA O</t>
        </is>
      </c>
      <c r="K500" t="inlineStr">
        <is>
          <t>Z00</t>
        </is>
      </c>
      <c r="L500" t="inlineStr">
        <is>
          <t>(AP) Pagadero Inmediatamente</t>
        </is>
      </c>
      <c r="M500" t="n">
        <v>10000160</v>
      </c>
      <c r="N500" t="inlineStr">
        <is>
          <t>Arena Triturada Andesita Malla 4</t>
        </is>
      </c>
      <c r="O500" t="inlineStr">
        <is>
          <t>D836</t>
        </is>
      </c>
      <c r="P500" t="inlineStr">
        <is>
          <t>MX-CED. CENTRO</t>
        </is>
      </c>
      <c r="Q500" t="n">
        <v>20190628</v>
      </c>
      <c r="R500" t="n">
        <v>20281231</v>
      </c>
      <c r="S500" t="n">
        <v>20200423</v>
      </c>
      <c r="T500" t="n">
        <v>20291231</v>
      </c>
      <c r="U500" t="n">
        <v>862</v>
      </c>
      <c r="V500" t="inlineStr">
        <is>
          <t>MXN</t>
        </is>
      </c>
      <c r="W500" t="inlineStr">
        <is>
          <t>M3</t>
        </is>
      </c>
      <c r="AA500" t="inlineStr">
        <is>
          <t>66847144</t>
        </is>
      </c>
      <c r="AB500" t="inlineStr">
        <is>
          <t>VERTIZ 1301 (LRR)</t>
        </is>
      </c>
      <c r="AC500" t="n">
        <v>56103638</v>
      </c>
      <c r="AD500" t="n">
        <v>6622261540</v>
      </c>
      <c r="AE500" t="n">
        <v>4</v>
      </c>
      <c r="AF500" t="inlineStr">
        <is>
          <t>ENTREGA DIRECTA</t>
        </is>
      </c>
      <c r="AG500" t="n">
        <v>1.409</v>
      </c>
      <c r="AH500" t="inlineStr">
        <is>
          <t>M3</t>
        </is>
      </c>
      <c r="AI500" t="inlineStr">
        <is>
          <t>X</t>
        </is>
      </c>
      <c r="AJ500" t="n">
        <v>4</v>
      </c>
      <c r="AK500" t="inlineStr">
        <is>
          <t>V4</t>
        </is>
      </c>
      <c r="AL500" t="n">
        <v>20230920</v>
      </c>
      <c r="AM500" t="inlineStr">
        <is>
          <t>D836-900006185-66847144-10000160-4</t>
        </is>
      </c>
    </row>
    <row r="501">
      <c r="A501" t="inlineStr">
        <is>
          <t>900002574D83610000651</t>
        </is>
      </c>
      <c r="B501" t="inlineStr">
        <is>
          <t>4600027590-2110</t>
        </is>
      </c>
      <c r="C501" t="n">
        <v>4600027590</v>
      </c>
      <c r="D501" t="n">
        <v>2110</v>
      </c>
      <c r="E501" t="inlineStr">
        <is>
          <t>MXPO</t>
        </is>
      </c>
      <c r="F501" t="inlineStr">
        <is>
          <t>M02</t>
        </is>
      </c>
      <c r="G501" t="n">
        <v>900002574</v>
      </c>
      <c r="H501" t="inlineStr">
        <is>
          <t>TP-ED-OLIELL</t>
        </is>
      </c>
      <c r="I501" t="n">
        <v>5048484</v>
      </c>
      <c r="J501" t="inlineStr">
        <is>
          <t>COMERCIALIZADORA Y TRANSPORTADORA O</t>
        </is>
      </c>
      <c r="K501" t="inlineStr">
        <is>
          <t>N90</t>
        </is>
      </c>
      <c r="L501" t="inlineStr">
        <is>
          <t>(AP) NAFIN 90 Dias</t>
        </is>
      </c>
      <c r="M501" t="n">
        <v>10000651</v>
      </c>
      <c r="N501" t="inlineStr">
        <is>
          <t>Arena Triturada Andesita Malla 8</t>
        </is>
      </c>
      <c r="O501" t="inlineStr">
        <is>
          <t>D836</t>
        </is>
      </c>
      <c r="P501" t="inlineStr">
        <is>
          <t>MX-CED. CENTRO</t>
        </is>
      </c>
      <c r="Q501" t="n">
        <v>20141106</v>
      </c>
      <c r="R501" t="n">
        <v>20281231</v>
      </c>
      <c r="S501" t="n">
        <v>20210713</v>
      </c>
      <c r="T501" t="n">
        <v>20291231</v>
      </c>
      <c r="U501" t="n">
        <v>95</v>
      </c>
      <c r="V501" t="inlineStr">
        <is>
          <t>MXN</t>
        </is>
      </c>
      <c r="W501" t="inlineStr">
        <is>
          <t>M3</t>
        </is>
      </c>
      <c r="AC501" t="n">
        <v>56103638</v>
      </c>
      <c r="AD501" t="n">
        <v>6622261540</v>
      </c>
      <c r="AE501" t="n">
        <v>1</v>
      </c>
      <c r="AF501" t="inlineStr">
        <is>
          <t>ENTREGADO</t>
        </is>
      </c>
      <c r="AG501" t="n">
        <v>1.35</v>
      </c>
      <c r="AH501" t="inlineStr">
        <is>
          <t>M3</t>
        </is>
      </c>
      <c r="AI501" t="inlineStr">
        <is>
          <t>X</t>
        </is>
      </c>
      <c r="AJ501" t="n">
        <v>4</v>
      </c>
      <c r="AK501" t="inlineStr">
        <is>
          <t>V4</t>
        </is>
      </c>
      <c r="AL501" t="n">
        <v>20230920</v>
      </c>
      <c r="AM501" t="inlineStr">
        <is>
          <t>D836-900002574-10000651</t>
        </is>
      </c>
    </row>
    <row r="502">
      <c r="A502" t="inlineStr">
        <is>
          <t>900006542D8366714616510000133</t>
        </is>
      </c>
      <c r="B502" t="inlineStr">
        <is>
          <t>4600047341-560</t>
        </is>
      </c>
      <c r="C502" t="n">
        <v>4600047341</v>
      </c>
      <c r="D502" t="n">
        <v>560</v>
      </c>
      <c r="E502" t="inlineStr">
        <is>
          <t>MXPO</t>
        </is>
      </c>
      <c r="F502" t="inlineStr">
        <is>
          <t>MXL</t>
        </is>
      </c>
      <c r="G502" t="n">
        <v>900006542</v>
      </c>
      <c r="H502" t="inlineStr">
        <is>
          <t>TP-OLIELL TORTON</t>
        </is>
      </c>
      <c r="I502" t="n">
        <v>5048484</v>
      </c>
      <c r="J502" t="inlineStr">
        <is>
          <t>COMERCIALIZADORA Y TRANSPORTADORA O</t>
        </is>
      </c>
      <c r="K502" t="inlineStr">
        <is>
          <t>N90</t>
        </is>
      </c>
      <c r="L502" t="inlineStr">
        <is>
          <t>(AP) NAFIN 90 Dias</t>
        </is>
      </c>
      <c r="M502" t="n">
        <v>10000133</v>
      </c>
      <c r="N502" t="inlineStr">
        <is>
          <t>Grava Triturada Caliza 20 mm - 3/4"</t>
        </is>
      </c>
      <c r="O502" t="inlineStr">
        <is>
          <t>D836</t>
        </is>
      </c>
      <c r="P502" t="inlineStr">
        <is>
          <t>MX-CED. CENTRO</t>
        </is>
      </c>
      <c r="Q502" t="n">
        <v>20200615</v>
      </c>
      <c r="R502" t="n">
        <v>20281231</v>
      </c>
      <c r="U502" t="n">
        <v>728</v>
      </c>
      <c r="V502" t="inlineStr">
        <is>
          <t>MXN</t>
        </is>
      </c>
      <c r="W502" t="inlineStr">
        <is>
          <t>M3</t>
        </is>
      </c>
      <c r="AA502" t="inlineStr">
        <is>
          <t>67146165</t>
        </is>
      </c>
      <c r="AB502" t="inlineStr">
        <is>
          <t>OBRA LA ROMA</t>
        </is>
      </c>
      <c r="AC502" t="n">
        <v>56103637</v>
      </c>
      <c r="AD502" t="n">
        <v>6622261540</v>
      </c>
      <c r="AE502" t="n">
        <v>4</v>
      </c>
      <c r="AF502" t="inlineStr">
        <is>
          <t>ENTREGA DIRECTA</t>
        </is>
      </c>
      <c r="AG502" t="n">
        <v>1.46</v>
      </c>
      <c r="AH502" t="inlineStr">
        <is>
          <t>M3</t>
        </is>
      </c>
      <c r="AI502" t="inlineStr">
        <is>
          <t>X</t>
        </is>
      </c>
      <c r="AJ502" t="n">
        <v>4</v>
      </c>
      <c r="AK502" t="inlineStr">
        <is>
          <t>V4</t>
        </is>
      </c>
      <c r="AL502" t="n">
        <v>20230920</v>
      </c>
      <c r="AM502" t="inlineStr">
        <is>
          <t>D836-900006542-67146165-10000133-4</t>
        </is>
      </c>
    </row>
    <row r="503">
      <c r="A503" t="inlineStr">
        <is>
          <t>900006543D83610000627</t>
        </is>
      </c>
      <c r="B503" t="inlineStr">
        <is>
          <t>4600047486-30</t>
        </is>
      </c>
      <c r="C503" t="n">
        <v>4600047486</v>
      </c>
      <c r="D503" t="n">
        <v>30</v>
      </c>
      <c r="E503" t="inlineStr">
        <is>
          <t>MXPO</t>
        </is>
      </c>
      <c r="F503" t="inlineStr">
        <is>
          <t>MXL</t>
        </is>
      </c>
      <c r="G503" t="n">
        <v>900006543</v>
      </c>
      <c r="H503" t="inlineStr">
        <is>
          <t>TP-MARTINEZ VILLEGAS</t>
        </is>
      </c>
      <c r="I503" t="n">
        <v>5078107</v>
      </c>
      <c r="J503" t="inlineStr">
        <is>
          <t>MARTINEZ VILLEGAS SA DE CV</t>
        </is>
      </c>
      <c r="K503" t="inlineStr">
        <is>
          <t>Z04</t>
        </is>
      </c>
      <c r="L503" t="inlineStr">
        <is>
          <t>(AP) 30 Dias</t>
        </is>
      </c>
      <c r="M503" t="n">
        <v>10000627</v>
      </c>
      <c r="N503" t="inlineStr">
        <is>
          <t>Grava Triturada Andesita 10 mm - 3/8"</t>
        </is>
      </c>
      <c r="O503" t="inlineStr">
        <is>
          <t>D836</t>
        </is>
      </c>
      <c r="P503" t="inlineStr">
        <is>
          <t>MX-CED. CENTRO</t>
        </is>
      </c>
      <c r="Q503" t="n">
        <v>20200707</v>
      </c>
      <c r="R503" t="n">
        <v>20301231</v>
      </c>
      <c r="S503" t="n">
        <v>20201104</v>
      </c>
      <c r="T503" t="n">
        <v>20291231</v>
      </c>
      <c r="U503" t="n">
        <v>110</v>
      </c>
      <c r="V503" t="inlineStr">
        <is>
          <t>MXN</t>
        </is>
      </c>
      <c r="W503" t="inlineStr">
        <is>
          <t>M3</t>
        </is>
      </c>
      <c r="AC503" t="n">
        <v>56103637</v>
      </c>
      <c r="AD503" t="n">
        <v>6622261540</v>
      </c>
      <c r="AE503" t="n">
        <v>1</v>
      </c>
      <c r="AF503" t="inlineStr">
        <is>
          <t>ENTREGADO</t>
        </is>
      </c>
      <c r="AG503" t="n">
        <v>1.33</v>
      </c>
      <c r="AH503" t="inlineStr">
        <is>
          <t>M3</t>
        </is>
      </c>
      <c r="AI503" t="inlineStr">
        <is>
          <t>X</t>
        </is>
      </c>
      <c r="AJ503" t="n">
        <v>4</v>
      </c>
      <c r="AK503" t="inlineStr">
        <is>
          <t>V4</t>
        </is>
      </c>
      <c r="AL503" t="n">
        <v>20230920</v>
      </c>
      <c r="AM503" t="inlineStr">
        <is>
          <t>D836-900006543-10000627</t>
        </is>
      </c>
    </row>
    <row r="504">
      <c r="A504" t="inlineStr">
        <is>
          <t>900001069D83610159061</t>
        </is>
      </c>
      <c r="B504" t="inlineStr">
        <is>
          <t>4600047079-20</t>
        </is>
      </c>
      <c r="C504" t="n">
        <v>4600047079</v>
      </c>
      <c r="D504" t="n">
        <v>20</v>
      </c>
      <c r="E504" t="inlineStr">
        <is>
          <t>MXPO</t>
        </is>
      </c>
      <c r="F504" t="inlineStr">
        <is>
          <t>MXL</t>
        </is>
      </c>
      <c r="G504" t="n">
        <v>900001069</v>
      </c>
      <c r="H504" t="inlineStr">
        <is>
          <t>SF MINA SAN LUIS</t>
        </is>
      </c>
      <c r="I504" t="n">
        <v>5033453</v>
      </c>
      <c r="J504" t="inlineStr">
        <is>
          <t>MEZCLAS ASFALTICAS</t>
        </is>
      </c>
      <c r="K504" t="inlineStr">
        <is>
          <t>Z06</t>
        </is>
      </c>
      <c r="L504" t="inlineStr">
        <is>
          <t>(AP) 45 Dias</t>
        </is>
      </c>
      <c r="M504" t="n">
        <v>10159061</v>
      </c>
      <c r="N504" t="inlineStr">
        <is>
          <t>SUB-BALASTO TRITURADO BASALTO</t>
        </is>
      </c>
      <c r="O504" t="inlineStr">
        <is>
          <t>D836</t>
        </is>
      </c>
      <c r="P504" t="inlineStr">
        <is>
          <t>MX-CED. CENTRO</t>
        </is>
      </c>
      <c r="Q504" t="n">
        <v>20200401</v>
      </c>
      <c r="R504" t="n">
        <v>20301231</v>
      </c>
      <c r="S504" t="n">
        <v>20200401</v>
      </c>
      <c r="T504" t="n">
        <v>20301231</v>
      </c>
      <c r="U504" t="n">
        <v>315</v>
      </c>
      <c r="V504" t="inlineStr">
        <is>
          <t>MXN</t>
        </is>
      </c>
      <c r="W504" t="inlineStr">
        <is>
          <t>M3</t>
        </is>
      </c>
      <c r="AC504" t="n">
        <v>56103590</v>
      </c>
      <c r="AD504" t="n">
        <v>6622261540</v>
      </c>
      <c r="AE504" t="n">
        <v>1</v>
      </c>
      <c r="AF504" t="inlineStr">
        <is>
          <t>ENTREGADO</t>
        </is>
      </c>
      <c r="AG504" t="n">
        <v>1.6</v>
      </c>
      <c r="AH504" t="inlineStr">
        <is>
          <t>M3</t>
        </is>
      </c>
      <c r="AI504" t="inlineStr">
        <is>
          <t>X</t>
        </is>
      </c>
      <c r="AJ504" t="n">
        <v>4</v>
      </c>
      <c r="AK504" t="inlineStr">
        <is>
          <t>V4</t>
        </is>
      </c>
      <c r="AL504" t="n">
        <v>20230920</v>
      </c>
      <c r="AM504" t="inlineStr">
        <is>
          <t>D836-900001069-10159061</t>
        </is>
      </c>
    </row>
    <row r="505">
      <c r="A505" t="inlineStr">
        <is>
          <t>900008869D8366724238210000623</t>
        </is>
      </c>
      <c r="B505" t="inlineStr">
        <is>
          <t>4600071976-20</t>
        </is>
      </c>
      <c r="C505" t="n">
        <v>4600071976</v>
      </c>
      <c r="D505" t="n">
        <v>20</v>
      </c>
      <c r="E505" t="inlineStr">
        <is>
          <t>MXPO</t>
        </is>
      </c>
      <c r="F505" t="inlineStr">
        <is>
          <t>MXL</t>
        </is>
      </c>
      <c r="G505" t="n">
        <v>900008869</v>
      </c>
      <c r="H505" t="inlineStr">
        <is>
          <t>SF TP-ED CONTROL Y MANEJO OBRAS</t>
        </is>
      </c>
      <c r="I505" t="n">
        <v>5092110</v>
      </c>
      <c r="J505" t="inlineStr">
        <is>
          <t>CONTROL Y MANEJO DE OBRAS SA DE CV</t>
        </is>
      </c>
      <c r="K505" t="inlineStr">
        <is>
          <t>Z04</t>
        </is>
      </c>
      <c r="L505" t="inlineStr">
        <is>
          <t>(AP) 30 Dias</t>
        </is>
      </c>
      <c r="M505" t="n">
        <v>10000623</v>
      </c>
      <c r="N505" t="inlineStr">
        <is>
          <t>Grava Triturada Caliza 10 mm - 3/8"</t>
        </is>
      </c>
      <c r="O505" t="inlineStr">
        <is>
          <t>D836</t>
        </is>
      </c>
      <c r="P505" t="inlineStr">
        <is>
          <t>MX-CED. CENTRO</t>
        </is>
      </c>
      <c r="Q505" t="n">
        <v>20260211</v>
      </c>
      <c r="R505" t="n">
        <v>20301231</v>
      </c>
      <c r="S505" t="n">
        <v>20260211</v>
      </c>
      <c r="T505" t="n">
        <v>20301231</v>
      </c>
      <c r="U505" t="n">
        <v>495</v>
      </c>
      <c r="V505" t="inlineStr">
        <is>
          <t>MXN</t>
        </is>
      </c>
      <c r="W505" t="inlineStr">
        <is>
          <t>TN</t>
        </is>
      </c>
      <c r="X505" t="n">
        <v>320</v>
      </c>
      <c r="Y505" t="inlineStr">
        <is>
          <t>MXN</t>
        </is>
      </c>
      <c r="Z505" t="inlineStr">
        <is>
          <t>TN</t>
        </is>
      </c>
      <c r="AA505" t="inlineStr">
        <is>
          <t>67242382</t>
        </is>
      </c>
      <c r="AB505" t="inlineStr">
        <is>
          <t>COMOSA /  TEZOYUCA</t>
        </is>
      </c>
      <c r="AC505" t="n">
        <v>56103637</v>
      </c>
      <c r="AD505" t="n">
        <v>6622261540</v>
      </c>
      <c r="AE505" t="n">
        <v>4</v>
      </c>
      <c r="AF505" t="inlineStr">
        <is>
          <t>ENTREGA DIRECTA</t>
        </is>
      </c>
      <c r="AG505" t="n">
        <v>1</v>
      </c>
      <c r="AH505" t="inlineStr">
        <is>
          <t>TO</t>
        </is>
      </c>
      <c r="AI505" t="inlineStr">
        <is>
          <t>X</t>
        </is>
      </c>
      <c r="AJ505" t="n">
        <v>4</v>
      </c>
      <c r="AK505" t="inlineStr">
        <is>
          <t>V4</t>
        </is>
      </c>
      <c r="AL505" t="n">
        <v>20260216</v>
      </c>
      <c r="AM505" t="inlineStr">
        <is>
          <t>D836-900008869-67242382-10000623-4</t>
        </is>
      </c>
    </row>
    <row r="506">
      <c r="A506" t="inlineStr">
        <is>
          <t>900008869D8366728350310000623</t>
        </is>
      </c>
      <c r="B506" t="inlineStr">
        <is>
          <t>4600071976-40</t>
        </is>
      </c>
      <c r="C506" t="n">
        <v>4600071976</v>
      </c>
      <c r="D506" t="n">
        <v>40</v>
      </c>
      <c r="E506" t="inlineStr">
        <is>
          <t>MXPO</t>
        </is>
      </c>
      <c r="F506" t="inlineStr">
        <is>
          <t>MXL</t>
        </is>
      </c>
      <c r="G506" t="n">
        <v>900008869</v>
      </c>
      <c r="H506" t="inlineStr">
        <is>
          <t>SF TP-ED CONTROL Y MANEJO OBRAS</t>
        </is>
      </c>
      <c r="I506" t="n">
        <v>5092110</v>
      </c>
      <c r="J506" t="inlineStr">
        <is>
          <t>CONTROL Y MANEJO DE OBRAS SA DE CV</t>
        </is>
      </c>
      <c r="K506" t="inlineStr">
        <is>
          <t>Z04</t>
        </is>
      </c>
      <c r="L506" t="inlineStr">
        <is>
          <t>(AP) 30 Dias</t>
        </is>
      </c>
      <c r="M506" t="n">
        <v>10000623</v>
      </c>
      <c r="N506" t="inlineStr">
        <is>
          <t>Grava Triturada Caliza 10 mm - 3/8"</t>
        </is>
      </c>
      <c r="O506" t="inlineStr">
        <is>
          <t>D836</t>
        </is>
      </c>
      <c r="P506" t="inlineStr">
        <is>
          <t>MX-CED. CENTRO</t>
        </is>
      </c>
      <c r="Q506" t="n">
        <v>20260211</v>
      </c>
      <c r="R506" t="n">
        <v>20301231</v>
      </c>
      <c r="S506" t="n">
        <v>20260211</v>
      </c>
      <c r="T506" t="n">
        <v>20301231</v>
      </c>
      <c r="U506" t="n">
        <v>495</v>
      </c>
      <c r="V506" t="inlineStr">
        <is>
          <t>MXN</t>
        </is>
      </c>
      <c r="W506" t="inlineStr">
        <is>
          <t>TN</t>
        </is>
      </c>
      <c r="X506" t="n">
        <v>320</v>
      </c>
      <c r="Y506" t="inlineStr">
        <is>
          <t>MXN</t>
        </is>
      </c>
      <c r="Z506" t="inlineStr">
        <is>
          <t>TN</t>
        </is>
      </c>
      <c r="AA506" t="inlineStr">
        <is>
          <t>67283503</t>
        </is>
      </c>
      <c r="AB506" t="inlineStr">
        <is>
          <t>COMOSA /  CUAUTLA</t>
        </is>
      </c>
      <c r="AC506" t="n">
        <v>56103637</v>
      </c>
      <c r="AD506" t="n">
        <v>6622261540</v>
      </c>
      <c r="AE506" t="n">
        <v>4</v>
      </c>
      <c r="AF506" t="inlineStr">
        <is>
          <t>ENTREGA DIRECTA</t>
        </is>
      </c>
      <c r="AG506" t="n">
        <v>1</v>
      </c>
      <c r="AH506" t="inlineStr">
        <is>
          <t>TO</t>
        </is>
      </c>
      <c r="AI506" t="inlineStr">
        <is>
          <t>X</t>
        </is>
      </c>
      <c r="AJ506" t="n">
        <v>4</v>
      </c>
      <c r="AK506" t="inlineStr">
        <is>
          <t>V4</t>
        </is>
      </c>
      <c r="AL506" t="n">
        <v>20260216</v>
      </c>
      <c r="AM506" t="inlineStr">
        <is>
          <t>D836-900008869-67283503-10000623-4</t>
        </is>
      </c>
    </row>
    <row r="507">
      <c r="A507" t="inlineStr">
        <is>
          <t>900008869D8366724238510000623</t>
        </is>
      </c>
      <c r="B507" t="inlineStr">
        <is>
          <t>4600071976-30</t>
        </is>
      </c>
      <c r="C507" t="n">
        <v>4600071976</v>
      </c>
      <c r="D507" t="n">
        <v>30</v>
      </c>
      <c r="E507" t="inlineStr">
        <is>
          <t>MXPO</t>
        </is>
      </c>
      <c r="F507" t="inlineStr">
        <is>
          <t>MXL</t>
        </is>
      </c>
      <c r="G507" t="n">
        <v>900008869</v>
      </c>
      <c r="H507" t="inlineStr">
        <is>
          <t>SF TP-ED CONTROL Y MANEJO OBRAS</t>
        </is>
      </c>
      <c r="I507" t="n">
        <v>5092110</v>
      </c>
      <c r="J507" t="inlineStr">
        <is>
          <t>CONTROL Y MANEJO DE OBRAS SA DE CV</t>
        </is>
      </c>
      <c r="K507" t="inlineStr">
        <is>
          <t>Z04</t>
        </is>
      </c>
      <c r="L507" t="inlineStr">
        <is>
          <t>(AP) 30 Dias</t>
        </is>
      </c>
      <c r="M507" t="n">
        <v>10000623</v>
      </c>
      <c r="N507" t="inlineStr">
        <is>
          <t>Grava Triturada Caliza 10 mm - 3/8"</t>
        </is>
      </c>
      <c r="O507" t="inlineStr">
        <is>
          <t>D836</t>
        </is>
      </c>
      <c r="P507" t="inlineStr">
        <is>
          <t>MX-CED. CENTRO</t>
        </is>
      </c>
      <c r="Q507" t="n">
        <v>20260211</v>
      </c>
      <c r="R507" t="n">
        <v>20301231</v>
      </c>
      <c r="S507" t="n">
        <v>20260211</v>
      </c>
      <c r="T507" t="n">
        <v>20301231</v>
      </c>
      <c r="U507" t="n">
        <v>470</v>
      </c>
      <c r="V507" t="inlineStr">
        <is>
          <t>MXN</t>
        </is>
      </c>
      <c r="W507" t="inlineStr">
        <is>
          <t>TN</t>
        </is>
      </c>
      <c r="X507" t="n">
        <v>320</v>
      </c>
      <c r="Y507" t="inlineStr">
        <is>
          <t>MXN</t>
        </is>
      </c>
      <c r="Z507" t="inlineStr">
        <is>
          <t>TN</t>
        </is>
      </c>
      <c r="AA507" t="inlineStr">
        <is>
          <t>67242385</t>
        </is>
      </c>
      <c r="AB507" t="inlineStr">
        <is>
          <t>COMOSA /  CUERNAVACA</t>
        </is>
      </c>
      <c r="AC507" t="n">
        <v>56103637</v>
      </c>
      <c r="AD507" t="n">
        <v>6622261540</v>
      </c>
      <c r="AE507" t="n">
        <v>4</v>
      </c>
      <c r="AF507" t="inlineStr">
        <is>
          <t>ENTREGA DIRECTA</t>
        </is>
      </c>
      <c r="AG507" t="n">
        <v>1</v>
      </c>
      <c r="AH507" t="inlineStr">
        <is>
          <t>TO</t>
        </is>
      </c>
      <c r="AI507" t="inlineStr">
        <is>
          <t>X</t>
        </is>
      </c>
      <c r="AJ507" t="n">
        <v>4</v>
      </c>
      <c r="AK507" t="inlineStr">
        <is>
          <t>V4</t>
        </is>
      </c>
      <c r="AL507" t="n">
        <v>20260216</v>
      </c>
      <c r="AM507" t="inlineStr">
        <is>
          <t>D836-900008869-67242385-10000623-4</t>
        </is>
      </c>
    </row>
    <row r="508">
      <c r="A508" t="inlineStr">
        <is>
          <t>900008869D8366724072910000623</t>
        </is>
      </c>
      <c r="B508" t="inlineStr">
        <is>
          <t>4600071976-10</t>
        </is>
      </c>
      <c r="C508" t="n">
        <v>4600071976</v>
      </c>
      <c r="D508" t="n">
        <v>10</v>
      </c>
      <c r="E508" t="inlineStr">
        <is>
          <t>MXPO</t>
        </is>
      </c>
      <c r="F508" t="inlineStr">
        <is>
          <t>MXL</t>
        </is>
      </c>
      <c r="G508" t="n">
        <v>900008869</v>
      </c>
      <c r="H508" t="inlineStr">
        <is>
          <t>SF TP-ED CONTROL Y MANEJO OBRAS</t>
        </is>
      </c>
      <c r="I508" t="n">
        <v>5092110</v>
      </c>
      <c r="J508" t="inlineStr">
        <is>
          <t>CONTROL Y MANEJO DE OBRAS SA DE CV</t>
        </is>
      </c>
      <c r="K508" t="inlineStr">
        <is>
          <t>Z04</t>
        </is>
      </c>
      <c r="L508" t="inlineStr">
        <is>
          <t>(AP) 30 Dias</t>
        </is>
      </c>
      <c r="M508" t="n">
        <v>10000623</v>
      </c>
      <c r="N508" t="inlineStr">
        <is>
          <t>Grava Triturada Caliza 10 mm - 3/8"</t>
        </is>
      </c>
      <c r="O508" t="inlineStr">
        <is>
          <t>D836</t>
        </is>
      </c>
      <c r="P508" t="inlineStr">
        <is>
          <t>MX-CED. CENTRO</t>
        </is>
      </c>
      <c r="Q508" t="n">
        <v>20260211</v>
      </c>
      <c r="R508" t="n">
        <v>20301231</v>
      </c>
      <c r="S508" t="n">
        <v>20260211</v>
      </c>
      <c r="T508" t="n">
        <v>20301231</v>
      </c>
      <c r="U508" t="n">
        <v>500</v>
      </c>
      <c r="V508" t="inlineStr">
        <is>
          <t>MXN</t>
        </is>
      </c>
      <c r="W508" t="inlineStr">
        <is>
          <t>TN</t>
        </is>
      </c>
      <c r="X508" t="n">
        <v>370</v>
      </c>
      <c r="Y508" t="inlineStr">
        <is>
          <t>MXN</t>
        </is>
      </c>
      <c r="Z508" t="inlineStr">
        <is>
          <t>TN</t>
        </is>
      </c>
      <c r="AA508" t="inlineStr">
        <is>
          <t>67240729</t>
        </is>
      </c>
      <c r="AB508" t="inlineStr">
        <is>
          <t>COMOSA / SEPSA</t>
        </is>
      </c>
      <c r="AC508" t="n">
        <v>56103637</v>
      </c>
      <c r="AD508" t="n">
        <v>6622261540</v>
      </c>
      <c r="AE508" t="n">
        <v>4</v>
      </c>
      <c r="AF508" t="inlineStr">
        <is>
          <t>ENTREGA DIRECTA</t>
        </is>
      </c>
      <c r="AG508" t="n">
        <v>1</v>
      </c>
      <c r="AH508" t="inlineStr">
        <is>
          <t>TO</t>
        </is>
      </c>
      <c r="AI508" t="inlineStr">
        <is>
          <t>X</t>
        </is>
      </c>
      <c r="AJ508" t="n">
        <v>4</v>
      </c>
      <c r="AK508" t="inlineStr">
        <is>
          <t>V4</t>
        </is>
      </c>
      <c r="AL508" t="n">
        <v>20260216</v>
      </c>
      <c r="AM508" t="inlineStr">
        <is>
          <t>D836-900008869-67240729-10000623-4</t>
        </is>
      </c>
    </row>
    <row r="509">
      <c r="A509" t="inlineStr">
        <is>
          <t>900001074D8366515582010000357</t>
        </is>
      </c>
      <c r="B509" t="inlineStr">
        <is>
          <t>4600027573-250</t>
        </is>
      </c>
      <c r="C509" t="n">
        <v>4600027573</v>
      </c>
      <c r="D509" t="n">
        <v>250</v>
      </c>
      <c r="E509" t="inlineStr">
        <is>
          <t>MXPO</t>
        </is>
      </c>
      <c r="F509" t="inlineStr">
        <is>
          <t>M02</t>
        </is>
      </c>
      <c r="G509" t="n">
        <v>900001074</v>
      </c>
      <c r="H509" t="inlineStr">
        <is>
          <t>TP-TRIVOMEX</t>
        </is>
      </c>
      <c r="I509" t="n">
        <v>5033501</v>
      </c>
      <c r="J509" t="inlineStr">
        <is>
          <t>TRITURADOS VOLCANICOS DE MEXICO</t>
        </is>
      </c>
      <c r="K509" t="inlineStr">
        <is>
          <t>Z04</t>
        </is>
      </c>
      <c r="L509" t="inlineStr">
        <is>
          <t>(AP) 30 Dias</t>
        </is>
      </c>
      <c r="M509" t="n">
        <v>10000357</v>
      </c>
      <c r="N509" t="inlineStr">
        <is>
          <t>Grava Triturada Andesita 20 mm - 3/4"</t>
        </is>
      </c>
      <c r="O509" t="inlineStr">
        <is>
          <t>D836</t>
        </is>
      </c>
      <c r="P509" t="inlineStr">
        <is>
          <t>MX-CED. CENTRO</t>
        </is>
      </c>
      <c r="Q509" t="n">
        <v>20140701</v>
      </c>
      <c r="R509" t="n">
        <v>20291231</v>
      </c>
      <c r="S509" t="n">
        <v>20180911</v>
      </c>
      <c r="T509" t="n">
        <v>20241231</v>
      </c>
      <c r="U509" t="n">
        <v>193.05</v>
      </c>
      <c r="V509" t="inlineStr">
        <is>
          <t>MXN</t>
        </is>
      </c>
      <c r="W509" t="inlineStr">
        <is>
          <t>M3</t>
        </is>
      </c>
      <c r="X509" t="n">
        <v>103.05</v>
      </c>
      <c r="Y509" t="inlineStr">
        <is>
          <t>MXN</t>
        </is>
      </c>
      <c r="Z509" t="inlineStr">
        <is>
          <t>M3</t>
        </is>
      </c>
      <c r="AA509" t="inlineStr">
        <is>
          <t>65155820</t>
        </is>
      </c>
      <c r="AB509" t="inlineStr">
        <is>
          <t>GRUPO CASA BLANCA SAN LUIS</t>
        </is>
      </c>
      <c r="AC509" t="n">
        <v>56103637</v>
      </c>
      <c r="AD509" t="n">
        <v>6622261540</v>
      </c>
      <c r="AE509" t="n">
        <v>4</v>
      </c>
      <c r="AF509" t="inlineStr">
        <is>
          <t>ENTREGA DIRECTA</t>
        </is>
      </c>
      <c r="AG509" t="n">
        <v>1.326</v>
      </c>
      <c r="AH509" t="inlineStr">
        <is>
          <t>M3</t>
        </is>
      </c>
      <c r="AI509" t="inlineStr">
        <is>
          <t>X</t>
        </is>
      </c>
      <c r="AJ509" t="n">
        <v>4</v>
      </c>
      <c r="AK509" t="inlineStr">
        <is>
          <t>V4</t>
        </is>
      </c>
      <c r="AL509" t="n">
        <v>20230920</v>
      </c>
      <c r="AM509" t="inlineStr">
        <is>
          <t>D836-900001074-65155820-10000357-4</t>
        </is>
      </c>
    </row>
    <row r="510">
      <c r="A510" t="inlineStr">
        <is>
          <t>900002267D8366728303510140399</t>
        </is>
      </c>
      <c r="B510" t="inlineStr">
        <is>
          <t>4600070301-10</t>
        </is>
      </c>
      <c r="C510" t="n">
        <v>4600070301</v>
      </c>
      <c r="D510" t="n">
        <v>10</v>
      </c>
      <c r="E510" t="inlineStr">
        <is>
          <t>MXPO</t>
        </is>
      </c>
      <c r="F510" t="inlineStr">
        <is>
          <t>MXL</t>
        </is>
      </c>
      <c r="G510" t="n">
        <v>900002267</v>
      </c>
      <c r="H510" t="inlineStr">
        <is>
          <t>TP-ED-ADOLFO SANCHEZ</t>
        </is>
      </c>
      <c r="I510" t="n">
        <v>5045808</v>
      </c>
      <c r="J510" t="inlineStr">
        <is>
          <t>SANCHEZ LUNA ADOLFO</t>
        </is>
      </c>
      <c r="K510" t="inlineStr">
        <is>
          <t>Z03</t>
        </is>
      </c>
      <c r="L510" t="inlineStr">
        <is>
          <t>(AP) 15 Dias</t>
        </is>
      </c>
      <c r="M510" t="n">
        <v>10140399</v>
      </c>
      <c r="N510" t="inlineStr">
        <is>
          <t>ARENA ANDESITA MALLA 4</t>
        </is>
      </c>
      <c r="O510" t="inlineStr">
        <is>
          <t>D836</t>
        </is>
      </c>
      <c r="P510" t="inlineStr">
        <is>
          <t>MX-CED. CENTRO</t>
        </is>
      </c>
      <c r="Q510" t="n">
        <v>20240925</v>
      </c>
      <c r="R510" t="n">
        <v>20291231</v>
      </c>
      <c r="S510" t="n">
        <v>20240925</v>
      </c>
      <c r="T510" t="n">
        <v>20291231</v>
      </c>
      <c r="U510" t="n">
        <v>1375</v>
      </c>
      <c r="V510" t="inlineStr">
        <is>
          <t>MXN</t>
        </is>
      </c>
      <c r="W510" t="inlineStr">
        <is>
          <t>M3</t>
        </is>
      </c>
      <c r="X510" t="n">
        <v>1275</v>
      </c>
      <c r="Y510" t="inlineStr">
        <is>
          <t>MXN</t>
        </is>
      </c>
      <c r="Z510" t="inlineStr">
        <is>
          <t>M3</t>
        </is>
      </c>
      <c r="AA510" t="inlineStr">
        <is>
          <t>67283035</t>
        </is>
      </c>
      <c r="AB510" t="inlineStr">
        <is>
          <t>ALTA CALIDAD EN SERVICIOS INDUSTRIA</t>
        </is>
      </c>
      <c r="AC510" t="n">
        <v>56103638</v>
      </c>
      <c r="AD510" t="n">
        <v>6622261540</v>
      </c>
      <c r="AE510" t="n">
        <v>4</v>
      </c>
      <c r="AF510" t="inlineStr">
        <is>
          <t>ENTREGA DIRECTA</t>
        </is>
      </c>
      <c r="AG510" t="n">
        <v>1.554</v>
      </c>
      <c r="AH510" t="inlineStr">
        <is>
          <t>M3</t>
        </is>
      </c>
      <c r="AI510" t="inlineStr">
        <is>
          <t>X</t>
        </is>
      </c>
      <c r="AJ510" t="n">
        <v>4</v>
      </c>
      <c r="AK510" t="inlineStr">
        <is>
          <t>V4</t>
        </is>
      </c>
      <c r="AL510" t="n">
        <v>20240927</v>
      </c>
      <c r="AM510" t="inlineStr">
        <is>
          <t>D836-900002267-67283035-10140399-4</t>
        </is>
      </c>
    </row>
    <row r="511">
      <c r="A511" t="inlineStr">
        <is>
          <t>900002574D8366724941610000133</t>
        </is>
      </c>
      <c r="B511" t="inlineStr">
        <is>
          <t>4600027590-2570</t>
        </is>
      </c>
      <c r="C511" t="n">
        <v>4600027590</v>
      </c>
      <c r="D511" t="n">
        <v>2570</v>
      </c>
      <c r="E511" t="inlineStr">
        <is>
          <t>MXPO</t>
        </is>
      </c>
      <c r="F511" t="inlineStr">
        <is>
          <t>M02</t>
        </is>
      </c>
      <c r="G511" t="n">
        <v>900002574</v>
      </c>
      <c r="H511" t="inlineStr">
        <is>
          <t>TP-ED-OLIELL</t>
        </is>
      </c>
      <c r="I511" t="n">
        <v>5048484</v>
      </c>
      <c r="J511" t="inlineStr">
        <is>
          <t>COMERCIALIZADORA Y TRANSPORTADORA O</t>
        </is>
      </c>
      <c r="K511" t="inlineStr">
        <is>
          <t>N90</t>
        </is>
      </c>
      <c r="L511" t="inlineStr">
        <is>
          <t>(AP) NAFIN 90 Dias</t>
        </is>
      </c>
      <c r="M511" t="n">
        <v>10000133</v>
      </c>
      <c r="N511" t="inlineStr">
        <is>
          <t>Grava Triturada Caliza 20 mm - 3/4"</t>
        </is>
      </c>
      <c r="O511" t="inlineStr">
        <is>
          <t>D836</t>
        </is>
      </c>
      <c r="P511" t="inlineStr">
        <is>
          <t>MX-CED. CENTRO</t>
        </is>
      </c>
      <c r="Q511" t="n">
        <v>20141106</v>
      </c>
      <c r="R511" t="n">
        <v>20281231</v>
      </c>
      <c r="S511" t="n">
        <v>20240729</v>
      </c>
      <c r="T511" t="n">
        <v>20291231</v>
      </c>
      <c r="U511" t="n">
        <v>308.78</v>
      </c>
      <c r="V511" t="inlineStr">
        <is>
          <t>MXN</t>
        </is>
      </c>
      <c r="W511" t="inlineStr">
        <is>
          <t>TN</t>
        </is>
      </c>
      <c r="X511" t="n">
        <v>200</v>
      </c>
      <c r="Y511" t="inlineStr">
        <is>
          <t>MXN</t>
        </is>
      </c>
      <c r="Z511" t="inlineStr">
        <is>
          <t>TN</t>
        </is>
      </c>
      <c r="AA511" t="inlineStr">
        <is>
          <t>67249416</t>
        </is>
      </c>
      <c r="AB511" t="inlineStr">
        <is>
          <t>RASIMEC AGREGADO</t>
        </is>
      </c>
      <c r="AC511" t="n">
        <v>56103637</v>
      </c>
      <c r="AD511" t="n">
        <v>6622261540</v>
      </c>
      <c r="AE511" t="n">
        <v>4</v>
      </c>
      <c r="AF511" t="inlineStr">
        <is>
          <t>ENTREGA DIRECTA</t>
        </is>
      </c>
      <c r="AG511" t="n">
        <v>1</v>
      </c>
      <c r="AH511" t="inlineStr">
        <is>
          <t>TO</t>
        </is>
      </c>
      <c r="AI511" t="inlineStr">
        <is>
          <t>X</t>
        </is>
      </c>
      <c r="AJ511" t="n">
        <v>4</v>
      </c>
      <c r="AK511" t="inlineStr">
        <is>
          <t>V4</t>
        </is>
      </c>
      <c r="AL511" t="n">
        <v>20240731</v>
      </c>
      <c r="AM511" t="inlineStr">
        <is>
          <t>D836-900002574-67249416-10000133-4</t>
        </is>
      </c>
    </row>
    <row r="512">
      <c r="A512" t="inlineStr">
        <is>
          <t>900003588D83610000651</t>
        </is>
      </c>
      <c r="B512" t="inlineStr">
        <is>
          <t>4600027599-70</t>
        </is>
      </c>
      <c r="C512" t="n">
        <v>4600027599</v>
      </c>
      <c r="D512" t="n">
        <v>70</v>
      </c>
      <c r="E512" t="inlineStr">
        <is>
          <t>MXPO</t>
        </is>
      </c>
      <c r="F512" t="inlineStr">
        <is>
          <t>M02</t>
        </is>
      </c>
      <c r="G512" t="n">
        <v>900003588</v>
      </c>
      <c r="H512" t="inlineStr">
        <is>
          <t>TP-ARENERA LA FE</t>
        </is>
      </c>
      <c r="I512" t="n">
        <v>5003482</v>
      </c>
      <c r="J512" t="inlineStr">
        <is>
          <t>ARENERA LA FE S.A. DE C.V.</t>
        </is>
      </c>
      <c r="K512" t="inlineStr">
        <is>
          <t>N90</t>
        </is>
      </c>
      <c r="L512" t="inlineStr">
        <is>
          <t>(AP) NAFIN 90 Dias</t>
        </is>
      </c>
      <c r="M512" t="n">
        <v>10000651</v>
      </c>
      <c r="N512" t="inlineStr">
        <is>
          <t>Arena Triturada Andesita Malla 8</t>
        </is>
      </c>
      <c r="O512" t="inlineStr">
        <is>
          <t>D836</t>
        </is>
      </c>
      <c r="P512" t="inlineStr">
        <is>
          <t>MX-CED. CENTRO</t>
        </is>
      </c>
      <c r="Q512" t="n">
        <v>20141106</v>
      </c>
      <c r="R512" t="n">
        <v>20261231</v>
      </c>
      <c r="S512" t="n">
        <v>20240412</v>
      </c>
      <c r="T512" t="n">
        <v>20291231</v>
      </c>
      <c r="U512" t="n">
        <v>53.21</v>
      </c>
      <c r="V512" t="inlineStr">
        <is>
          <t>MXN</t>
        </is>
      </c>
      <c r="W512" t="inlineStr">
        <is>
          <t>TN</t>
        </is>
      </c>
      <c r="X512" t="n">
        <v>0</v>
      </c>
      <c r="Y512" t="inlineStr">
        <is>
          <t>MXN</t>
        </is>
      </c>
      <c r="Z512" t="inlineStr">
        <is>
          <t>TN</t>
        </is>
      </c>
      <c r="AC512" t="n">
        <v>56103638</v>
      </c>
      <c r="AD512" t="n">
        <v>6622261540</v>
      </c>
      <c r="AE512" t="n">
        <v>1</v>
      </c>
      <c r="AF512" t="inlineStr">
        <is>
          <t>ENTREGADO</t>
        </is>
      </c>
      <c r="AG512" t="n">
        <v>1</v>
      </c>
      <c r="AH512" t="inlineStr">
        <is>
          <t>TO</t>
        </is>
      </c>
      <c r="AI512" t="inlineStr">
        <is>
          <t>X</t>
        </is>
      </c>
      <c r="AJ512" t="n">
        <v>4</v>
      </c>
      <c r="AK512" t="inlineStr">
        <is>
          <t>V4</t>
        </is>
      </c>
      <c r="AL512" t="n">
        <v>20240416</v>
      </c>
      <c r="AM512" t="inlineStr">
        <is>
          <t>D836-900003588-10000651</t>
        </is>
      </c>
    </row>
    <row r="513">
      <c r="A513" t="inlineStr">
        <is>
          <t>900008845D83610227598</t>
        </is>
      </c>
      <c r="B513" t="inlineStr">
        <is>
          <t>4600069775-10</t>
        </is>
      </c>
      <c r="C513" t="n">
        <v>4600069775</v>
      </c>
      <c r="D513" t="n">
        <v>10</v>
      </c>
      <c r="E513" t="inlineStr">
        <is>
          <t>MXPO</t>
        </is>
      </c>
      <c r="F513" t="inlineStr">
        <is>
          <t>MXL</t>
        </is>
      </c>
      <c r="G513" t="n">
        <v>900008845</v>
      </c>
      <c r="H513" t="inlineStr">
        <is>
          <t>SF TP-INTERMEX</t>
        </is>
      </c>
      <c r="I513" t="n">
        <v>5082993</v>
      </c>
      <c r="J513" t="inlineStr">
        <is>
          <t>CAMINOS Y PUENTES INTERMEX SA DE CV</t>
        </is>
      </c>
      <c r="K513" t="inlineStr">
        <is>
          <t>N90</t>
        </is>
      </c>
      <c r="L513" t="inlineStr">
        <is>
          <t>(AP) NAFIN 90 Dias</t>
        </is>
      </c>
      <c r="M513" t="n">
        <v>10227598</v>
      </c>
      <c r="N513" t="inlineStr">
        <is>
          <t>ARENA ANDESITA LIGERA</t>
        </is>
      </c>
      <c r="O513" t="inlineStr">
        <is>
          <t>D836</t>
        </is>
      </c>
      <c r="P513" t="inlineStr">
        <is>
          <t>MX-CED. CENTRO</t>
        </is>
      </c>
      <c r="Q513" t="n">
        <v>20240628</v>
      </c>
      <c r="R513" t="n">
        <v>20291231</v>
      </c>
      <c r="S513" t="n">
        <v>20240628</v>
      </c>
      <c r="T513" t="n">
        <v>20291231</v>
      </c>
      <c r="U513" t="n">
        <v>70</v>
      </c>
      <c r="V513" t="inlineStr">
        <is>
          <t>MXN</t>
        </is>
      </c>
      <c r="W513" t="inlineStr">
        <is>
          <t>M3</t>
        </is>
      </c>
      <c r="X513" t="n">
        <v>0</v>
      </c>
      <c r="Y513" t="inlineStr">
        <is>
          <t>MXN</t>
        </is>
      </c>
      <c r="Z513" t="inlineStr">
        <is>
          <t>M3</t>
        </is>
      </c>
      <c r="AC513" t="n">
        <v>56103638</v>
      </c>
      <c r="AD513" t="n">
        <v>6622261540</v>
      </c>
      <c r="AE513" t="n">
        <v>1</v>
      </c>
      <c r="AF513" t="inlineStr">
        <is>
          <t>ENTREGADO</t>
        </is>
      </c>
      <c r="AG513" t="n">
        <v>1.185</v>
      </c>
      <c r="AH513" t="inlineStr">
        <is>
          <t>M3</t>
        </is>
      </c>
      <c r="AI513" t="inlineStr">
        <is>
          <t>X</t>
        </is>
      </c>
      <c r="AJ513" t="n">
        <v>4</v>
      </c>
      <c r="AK513" t="inlineStr">
        <is>
          <t>V4</t>
        </is>
      </c>
      <c r="AL513" t="n">
        <v>20240701</v>
      </c>
      <c r="AM513" t="inlineStr">
        <is>
          <t>D836-900008845-10227598</t>
        </is>
      </c>
    </row>
    <row r="514">
      <c r="A514" t="inlineStr">
        <is>
          <t>900001074D8366637247510000357</t>
        </is>
      </c>
      <c r="B514" t="inlineStr">
        <is>
          <t>4600027573-330</t>
        </is>
      </c>
      <c r="C514" t="n">
        <v>4600027573</v>
      </c>
      <c r="D514" t="n">
        <v>330</v>
      </c>
      <c r="E514" t="inlineStr">
        <is>
          <t>MXPO</t>
        </is>
      </c>
      <c r="F514" t="inlineStr">
        <is>
          <t>M02</t>
        </is>
      </c>
      <c r="G514" t="n">
        <v>900001074</v>
      </c>
      <c r="H514" t="inlineStr">
        <is>
          <t>TP-TRIVOMEX</t>
        </is>
      </c>
      <c r="I514" t="n">
        <v>5033501</v>
      </c>
      <c r="J514" t="inlineStr">
        <is>
          <t>TRITURADOS VOLCANICOS DE MEXICO</t>
        </is>
      </c>
      <c r="K514" t="inlineStr">
        <is>
          <t>Z04</t>
        </is>
      </c>
      <c r="L514" t="inlineStr">
        <is>
          <t>(AP) 30 Dias</t>
        </is>
      </c>
      <c r="M514" t="n">
        <v>10000357</v>
      </c>
      <c r="N514" t="inlineStr">
        <is>
          <t>Grava Triturada Andesita 20 mm - 3/4"</t>
        </is>
      </c>
      <c r="O514" t="inlineStr">
        <is>
          <t>D836</t>
        </is>
      </c>
      <c r="P514" t="inlineStr">
        <is>
          <t>MX-CED. CENTRO</t>
        </is>
      </c>
      <c r="Q514" t="n">
        <v>20140701</v>
      </c>
      <c r="R514" t="n">
        <v>20291231</v>
      </c>
      <c r="U514" t="n">
        <v>161.5</v>
      </c>
      <c r="V514" t="inlineStr">
        <is>
          <t>MXN</t>
        </is>
      </c>
      <c r="W514" t="inlineStr">
        <is>
          <t>M3</t>
        </is>
      </c>
      <c r="AA514" t="inlineStr">
        <is>
          <t>66372475</t>
        </is>
      </c>
      <c r="AB514" t="inlineStr">
        <is>
          <t>I. ALJUCA. (Amm)</t>
        </is>
      </c>
      <c r="AC514" t="n">
        <v>56103637</v>
      </c>
      <c r="AD514" t="n">
        <v>6622261540</v>
      </c>
      <c r="AE514" t="n">
        <v>4</v>
      </c>
      <c r="AF514" t="inlineStr">
        <is>
          <t>ENTREGA DIRECTA</t>
        </is>
      </c>
      <c r="AG514" t="n">
        <v>1.326</v>
      </c>
      <c r="AH514" t="inlineStr">
        <is>
          <t>M3</t>
        </is>
      </c>
      <c r="AI514" t="inlineStr">
        <is>
          <t>X</t>
        </is>
      </c>
      <c r="AJ514" t="n">
        <v>4</v>
      </c>
      <c r="AK514" t="inlineStr">
        <is>
          <t>V4</t>
        </is>
      </c>
      <c r="AL514" t="n">
        <v>20230920</v>
      </c>
      <c r="AM514" t="inlineStr">
        <is>
          <t>D836-900001074-66372475-10000357-4</t>
        </is>
      </c>
    </row>
    <row r="515">
      <c r="A515" t="inlineStr">
        <is>
          <t>900003877D83610000632</t>
        </is>
      </c>
      <c r="B515" t="inlineStr">
        <is>
          <t>4600047807-20</t>
        </is>
      </c>
      <c r="C515" t="n">
        <v>4600047807</v>
      </c>
      <c r="D515" t="n">
        <v>20</v>
      </c>
      <c r="E515" t="inlineStr">
        <is>
          <t>MXPO</t>
        </is>
      </c>
      <c r="F515" t="inlineStr">
        <is>
          <t>MXL</t>
        </is>
      </c>
      <c r="G515" t="n">
        <v>900003877</v>
      </c>
      <c r="H515" t="inlineStr">
        <is>
          <t>TP-MAT Y FORRAJES</t>
        </is>
      </c>
      <c r="I515" t="n">
        <v>5054376</v>
      </c>
      <c r="J515" t="inlineStr">
        <is>
          <t>DISTRIBUIDORA DE MATERIALES Y FORRA</t>
        </is>
      </c>
      <c r="K515" t="inlineStr">
        <is>
          <t>N15</t>
        </is>
      </c>
      <c r="L515" t="inlineStr">
        <is>
          <t>(AP) NAFIN 15 Dias</t>
        </is>
      </c>
      <c r="M515" t="n">
        <v>10000632</v>
      </c>
      <c r="N515" t="inlineStr">
        <is>
          <t>Grava Triturada Caliza 20 mm - 3/4"</t>
        </is>
      </c>
      <c r="O515" t="inlineStr">
        <is>
          <t>D836</t>
        </is>
      </c>
      <c r="P515" t="inlineStr">
        <is>
          <t>MX-CED. CENTRO</t>
        </is>
      </c>
      <c r="Q515" t="n">
        <v>20200820</v>
      </c>
      <c r="R515" t="n">
        <v>20301231</v>
      </c>
      <c r="S515" t="n">
        <v>20200820</v>
      </c>
      <c r="T515" t="n">
        <v>20301231</v>
      </c>
      <c r="U515" t="n">
        <v>149.8</v>
      </c>
      <c r="V515" t="inlineStr">
        <is>
          <t>MXN</t>
        </is>
      </c>
      <c r="W515" t="inlineStr">
        <is>
          <t>M3</t>
        </is>
      </c>
      <c r="AC515" t="n">
        <v>56103637</v>
      </c>
      <c r="AD515" t="n">
        <v>6622261540</v>
      </c>
      <c r="AE515" t="n">
        <v>1</v>
      </c>
      <c r="AF515" t="inlineStr">
        <is>
          <t>ENTREGADO</t>
        </is>
      </c>
      <c r="AG515" t="n">
        <v>1.533</v>
      </c>
      <c r="AH515" t="inlineStr">
        <is>
          <t>M3</t>
        </is>
      </c>
      <c r="AI515" t="inlineStr">
        <is>
          <t>X</t>
        </is>
      </c>
      <c r="AJ515" t="n">
        <v>4</v>
      </c>
      <c r="AK515" t="inlineStr">
        <is>
          <t>V4</t>
        </is>
      </c>
      <c r="AL515" t="n">
        <v>20230920</v>
      </c>
      <c r="AM515" t="inlineStr">
        <is>
          <t>D836-900003877-10000632</t>
        </is>
      </c>
    </row>
    <row r="516">
      <c r="A516" t="inlineStr">
        <is>
          <t>900003613D83610000253</t>
        </is>
      </c>
      <c r="B516" t="inlineStr">
        <is>
          <t>4600029050-20</t>
        </is>
      </c>
      <c r="C516" t="n">
        <v>4600029050</v>
      </c>
      <c r="D516" t="n">
        <v>20</v>
      </c>
      <c r="E516" t="inlineStr">
        <is>
          <t>MXPO</t>
        </is>
      </c>
      <c r="F516" t="inlineStr">
        <is>
          <t>MXL</t>
        </is>
      </c>
      <c r="G516" t="n">
        <v>900003613</v>
      </c>
      <c r="H516" t="inlineStr">
        <is>
          <t>TP-TESOYO</t>
        </is>
      </c>
      <c r="I516" t="n">
        <v>5045930</v>
      </c>
      <c r="J516" t="inlineStr">
        <is>
          <t>EL TESOYO SA</t>
        </is>
      </c>
      <c r="K516" t="inlineStr">
        <is>
          <t>Z06</t>
        </is>
      </c>
      <c r="L516" t="inlineStr">
        <is>
          <t>(AP) 45 Dias</t>
        </is>
      </c>
      <c r="M516" t="n">
        <v>10000253</v>
      </c>
      <c r="N516" t="inlineStr">
        <is>
          <t>Grava Triturada Andesita 20 mm - 3/4"</t>
        </is>
      </c>
      <c r="O516" t="inlineStr">
        <is>
          <t>D836</t>
        </is>
      </c>
      <c r="P516" t="inlineStr">
        <is>
          <t>MX-CED. CENTRO</t>
        </is>
      </c>
      <c r="Q516" t="n">
        <v>20150101</v>
      </c>
      <c r="R516" t="n">
        <v>20241231</v>
      </c>
      <c r="S516" t="n">
        <v>20250101</v>
      </c>
      <c r="T516" t="n">
        <v>99991231</v>
      </c>
      <c r="U516" t="n">
        <v>85</v>
      </c>
      <c r="V516" t="inlineStr">
        <is>
          <t>MXN</t>
        </is>
      </c>
      <c r="W516" t="inlineStr">
        <is>
          <t>M3</t>
        </is>
      </c>
      <c r="AC516" t="n">
        <v>56103637</v>
      </c>
      <c r="AD516" t="n">
        <v>6622261540</v>
      </c>
      <c r="AE516" t="n">
        <v>1</v>
      </c>
      <c r="AF516" t="inlineStr">
        <is>
          <t>ENTREGADO</t>
        </is>
      </c>
      <c r="AG516" t="n">
        <v>1.385</v>
      </c>
      <c r="AH516" t="inlineStr">
        <is>
          <t>M3</t>
        </is>
      </c>
      <c r="AI516" t="inlineStr">
        <is>
          <t>X</t>
        </is>
      </c>
      <c r="AJ516" t="n">
        <v>4</v>
      </c>
      <c r="AK516" t="inlineStr">
        <is>
          <t>V4</t>
        </is>
      </c>
      <c r="AL516" t="n">
        <v>20250527</v>
      </c>
      <c r="AM516" t="inlineStr">
        <is>
          <t>D836-900003613-10000253</t>
        </is>
      </c>
    </row>
    <row r="517">
      <c r="A517" t="inlineStr">
        <is>
          <t>900001074D83610217514</t>
        </is>
      </c>
      <c r="B517" t="inlineStr">
        <is>
          <t>4600027573-430</t>
        </is>
      </c>
      <c r="C517" t="n">
        <v>4600027573</v>
      </c>
      <c r="D517" t="n">
        <v>430</v>
      </c>
      <c r="E517" t="inlineStr">
        <is>
          <t>MXPO</t>
        </is>
      </c>
      <c r="F517" t="inlineStr">
        <is>
          <t>M02</t>
        </is>
      </c>
      <c r="G517" t="n">
        <v>900001074</v>
      </c>
      <c r="H517" t="inlineStr">
        <is>
          <t>TP-TRIVOMEX</t>
        </is>
      </c>
      <c r="I517" t="n">
        <v>5033501</v>
      </c>
      <c r="J517" t="inlineStr">
        <is>
          <t>TRITURADOS VOLCANICOS DE MEXICO</t>
        </is>
      </c>
      <c r="K517" t="inlineStr">
        <is>
          <t>Z04</t>
        </is>
      </c>
      <c r="L517" t="inlineStr">
        <is>
          <t>(AP) 30 Dias</t>
        </is>
      </c>
      <c r="M517" t="n">
        <v>10217514</v>
      </c>
      <c r="N517" t="inlineStr">
        <is>
          <t>ECOBASE</t>
        </is>
      </c>
      <c r="O517" t="inlineStr">
        <is>
          <t>D836</t>
        </is>
      </c>
      <c r="P517" t="inlineStr">
        <is>
          <t>MX-CED. CENTRO</t>
        </is>
      </c>
      <c r="Q517" t="n">
        <v>20140701</v>
      </c>
      <c r="R517" t="n">
        <v>20291231</v>
      </c>
      <c r="S517" t="n">
        <v>20260908</v>
      </c>
      <c r="T517" t="n">
        <v>20301231</v>
      </c>
      <c r="U517" t="n">
        <v>1</v>
      </c>
      <c r="V517" t="inlineStr">
        <is>
          <t>MXN</t>
        </is>
      </c>
      <c r="W517" t="inlineStr">
        <is>
          <t>M3</t>
        </is>
      </c>
      <c r="X517" t="n">
        <v>0</v>
      </c>
      <c r="Y517" t="inlineStr">
        <is>
          <t>MXN</t>
        </is>
      </c>
      <c r="Z517" t="inlineStr">
        <is>
          <t>M3</t>
        </is>
      </c>
      <c r="AC517" t="n">
        <v>56103590</v>
      </c>
      <c r="AD517" t="n">
        <v>6622261540</v>
      </c>
      <c r="AE517" t="n">
        <v>1</v>
      </c>
      <c r="AF517" t="inlineStr">
        <is>
          <t>ENTREGADO</t>
        </is>
      </c>
      <c r="AG517" t="n">
        <v>1.5</v>
      </c>
      <c r="AH517" t="inlineStr">
        <is>
          <t>M3</t>
        </is>
      </c>
      <c r="AI517" t="inlineStr">
        <is>
          <t>X</t>
        </is>
      </c>
      <c r="AJ517" t="n">
        <v>4</v>
      </c>
      <c r="AK517" t="inlineStr">
        <is>
          <t>V4</t>
        </is>
      </c>
      <c r="AL517" t="n">
        <v>20260910</v>
      </c>
      <c r="AM517" t="inlineStr">
        <is>
          <t>D836-900001074-10217514</t>
        </is>
      </c>
    </row>
    <row r="518">
      <c r="A518" t="inlineStr">
        <is>
          <t>900006950D8366506168710183920</t>
        </is>
      </c>
      <c r="B518" t="inlineStr">
        <is>
          <t>4600048579-140</t>
        </is>
      </c>
      <c r="C518" t="n">
        <v>4600048579</v>
      </c>
      <c r="D518" t="n">
        <v>140</v>
      </c>
      <c r="E518" t="inlineStr">
        <is>
          <t>MXPO</t>
        </is>
      </c>
      <c r="F518" t="inlineStr">
        <is>
          <t>MXL</t>
        </is>
      </c>
      <c r="G518" t="n">
        <v>900006950</v>
      </c>
      <c r="H518" t="inlineStr">
        <is>
          <t>SF TP-ED-OLIELL GONDOLA</t>
        </is>
      </c>
      <c r="I518" t="n">
        <v>5048484</v>
      </c>
      <c r="J518" t="inlineStr">
        <is>
          <t>COMERCIALIZADORA Y TRANSPORTADORA O</t>
        </is>
      </c>
      <c r="K518" t="inlineStr">
        <is>
          <t>N90</t>
        </is>
      </c>
      <c r="L518" t="inlineStr">
        <is>
          <t>(AP) NAFIN 90 Dias</t>
        </is>
      </c>
      <c r="M518" t="n">
        <v>10183920</v>
      </c>
      <c r="N518" t="inlineStr">
        <is>
          <t>GRAVA TRITURADA TEPOJAL 20 MM - 3/4"- NG</t>
        </is>
      </c>
      <c r="O518" t="inlineStr">
        <is>
          <t>D836</t>
        </is>
      </c>
      <c r="P518" t="inlineStr">
        <is>
          <t>MX-CED. CENTRO</t>
        </is>
      </c>
      <c r="Q518" t="n">
        <v>20201201</v>
      </c>
      <c r="R518" t="n">
        <v>20291231</v>
      </c>
      <c r="S518" t="n">
        <v>20240621</v>
      </c>
      <c r="T518" t="n">
        <v>20291231</v>
      </c>
      <c r="U518" t="n">
        <v>345</v>
      </c>
      <c r="V518" t="inlineStr">
        <is>
          <t>MXN</t>
        </is>
      </c>
      <c r="W518" t="inlineStr">
        <is>
          <t>M3</t>
        </is>
      </c>
      <c r="X518" t="n">
        <v>100</v>
      </c>
      <c r="Y518" t="inlineStr">
        <is>
          <t>MXN</t>
        </is>
      </c>
      <c r="Z518" t="inlineStr">
        <is>
          <t>M3</t>
        </is>
      </c>
      <c r="AA518" t="inlineStr">
        <is>
          <t>65061687</t>
        </is>
      </c>
      <c r="AB518" t="inlineStr">
        <is>
          <t>OBR-AGR CONCRETOS COMARCA-SAN VICEN</t>
        </is>
      </c>
      <c r="AC518" t="n">
        <v>56103637</v>
      </c>
      <c r="AD518" t="n">
        <v>6622261540</v>
      </c>
      <c r="AE518" t="n">
        <v>4</v>
      </c>
      <c r="AF518" t="inlineStr">
        <is>
          <t>ENTREGA DIRECTA</t>
        </is>
      </c>
      <c r="AG518" t="n">
        <v>1.2</v>
      </c>
      <c r="AH518" t="inlineStr">
        <is>
          <t>M3</t>
        </is>
      </c>
      <c r="AI518" t="inlineStr">
        <is>
          <t>X</t>
        </is>
      </c>
      <c r="AJ518" t="n">
        <v>4</v>
      </c>
      <c r="AK518" t="inlineStr">
        <is>
          <t>V4</t>
        </is>
      </c>
      <c r="AL518" t="n">
        <v>20240627</v>
      </c>
      <c r="AM518" t="inlineStr">
        <is>
          <t>D836-900006950-65061687-10183920-4</t>
        </is>
      </c>
    </row>
    <row r="519">
      <c r="A519" t="inlineStr">
        <is>
          <t>900003786D8366694598010173438</t>
        </is>
      </c>
      <c r="B519" t="inlineStr">
        <is>
          <t>4600034392-130</t>
        </is>
      </c>
      <c r="C519" t="n">
        <v>4600034392</v>
      </c>
      <c r="D519" t="n">
        <v>130</v>
      </c>
      <c r="E519" t="inlineStr">
        <is>
          <t>MXPO</t>
        </is>
      </c>
      <c r="F519" t="inlineStr">
        <is>
          <t>MXL</t>
        </is>
      </c>
      <c r="G519" t="n">
        <v>900003786</v>
      </c>
      <c r="H519" t="inlineStr">
        <is>
          <t>TP-TRIMCAV</t>
        </is>
      </c>
      <c r="I519" t="n">
        <v>5010147</v>
      </c>
      <c r="J519" t="inlineStr">
        <is>
          <t>TRITURACIONES DE MARMOL Y CALCIOS</t>
        </is>
      </c>
      <c r="K519" t="inlineStr">
        <is>
          <t>Z04</t>
        </is>
      </c>
      <c r="L519" t="inlineStr">
        <is>
          <t>(AP) 30 Dias</t>
        </is>
      </c>
      <c r="M519" t="n">
        <v>10173438</v>
      </c>
      <c r="N519" t="inlineStr">
        <is>
          <t>GRAVA TRITURADA MARMOL 20 MM - 3/4" - NG</t>
        </is>
      </c>
      <c r="O519" t="inlineStr">
        <is>
          <t>D836</t>
        </is>
      </c>
      <c r="P519" t="inlineStr">
        <is>
          <t>MX-CED. CENTRO</t>
        </is>
      </c>
      <c r="Q519" t="n">
        <v>20160627</v>
      </c>
      <c r="R519" t="n">
        <v>20241231</v>
      </c>
      <c r="S519" t="n">
        <v>20210411</v>
      </c>
      <c r="T519" t="n">
        <v>20261231</v>
      </c>
      <c r="U519" t="n">
        <v>1400</v>
      </c>
      <c r="V519" t="inlineStr">
        <is>
          <t>MXN</t>
        </is>
      </c>
      <c r="W519" t="inlineStr">
        <is>
          <t>TN</t>
        </is>
      </c>
      <c r="X519" t="n">
        <v>850</v>
      </c>
      <c r="Y519" t="inlineStr">
        <is>
          <t>MXN</t>
        </is>
      </c>
      <c r="Z519" t="inlineStr">
        <is>
          <t>TN</t>
        </is>
      </c>
      <c r="AA519" t="inlineStr">
        <is>
          <t>66945980</t>
        </is>
      </c>
      <c r="AB519" t="inlineStr">
        <is>
          <t>BOSQUE DE CHIHUAHUA 73</t>
        </is>
      </c>
      <c r="AC519" t="n">
        <v>56103637</v>
      </c>
      <c r="AD519" t="n">
        <v>6622261540</v>
      </c>
      <c r="AE519" t="n">
        <v>4</v>
      </c>
      <c r="AF519" t="inlineStr">
        <is>
          <t>ENTREGA DIRECTA</t>
        </is>
      </c>
      <c r="AG519" t="n">
        <v>1</v>
      </c>
      <c r="AH519" t="inlineStr">
        <is>
          <t>TO</t>
        </is>
      </c>
      <c r="AI519" t="inlineStr">
        <is>
          <t>X</t>
        </is>
      </c>
      <c r="AJ519" t="n">
        <v>4</v>
      </c>
      <c r="AK519" t="inlineStr">
        <is>
          <t>V4</t>
        </is>
      </c>
      <c r="AL519" t="n">
        <v>20230920</v>
      </c>
      <c r="AM519" t="inlineStr">
        <is>
          <t>D836-900003786-66945980-10173438-4</t>
        </is>
      </c>
    </row>
    <row r="520">
      <c r="A520" t="inlineStr">
        <is>
          <t>900003786D8366655411310000643</t>
        </is>
      </c>
      <c r="B520" t="inlineStr">
        <is>
          <t>4600034392-40</t>
        </is>
      </c>
      <c r="C520" t="n">
        <v>4600034392</v>
      </c>
      <c r="D520" t="n">
        <v>40</v>
      </c>
      <c r="E520" t="inlineStr">
        <is>
          <t>MXPO</t>
        </is>
      </c>
      <c r="F520" t="inlineStr">
        <is>
          <t>MXL</t>
        </is>
      </c>
      <c r="G520" t="n">
        <v>900003786</v>
      </c>
      <c r="H520" t="inlineStr">
        <is>
          <t>TP-TRIMCAV</t>
        </is>
      </c>
      <c r="I520" t="n">
        <v>5010147</v>
      </c>
      <c r="J520" t="inlineStr">
        <is>
          <t>TRITURACIONES DE MARMOL Y CALCIOS</t>
        </is>
      </c>
      <c r="K520" t="inlineStr">
        <is>
          <t>Z04</t>
        </is>
      </c>
      <c r="L520" t="inlineStr">
        <is>
          <t>(AP) 30 Dias</t>
        </is>
      </c>
      <c r="M520" t="n">
        <v>10000643</v>
      </c>
      <c r="N520" t="inlineStr">
        <is>
          <t>Grava Triturada Marmol 20 mm - 3/4"</t>
        </is>
      </c>
      <c r="O520" t="inlineStr">
        <is>
          <t>D836</t>
        </is>
      </c>
      <c r="P520" t="inlineStr">
        <is>
          <t>MX-CED. CENTRO</t>
        </is>
      </c>
      <c r="Q520" t="n">
        <v>20160627</v>
      </c>
      <c r="R520" t="n">
        <v>20241231</v>
      </c>
      <c r="S520" t="n">
        <v>20180628</v>
      </c>
      <c r="T520" t="n">
        <v>20241231</v>
      </c>
      <c r="U520" t="n">
        <v>731.5</v>
      </c>
      <c r="V520" t="inlineStr">
        <is>
          <t>MXN</t>
        </is>
      </c>
      <c r="W520" t="inlineStr">
        <is>
          <t>TN</t>
        </is>
      </c>
      <c r="X520" t="n">
        <v>385</v>
      </c>
      <c r="Y520" t="inlineStr">
        <is>
          <t>MXN</t>
        </is>
      </c>
      <c r="Z520" t="inlineStr">
        <is>
          <t>TN</t>
        </is>
      </c>
      <c r="AA520" t="inlineStr">
        <is>
          <t>66554113</t>
        </is>
      </c>
      <c r="AB520" t="inlineStr">
        <is>
          <t>FISCALES 55</t>
        </is>
      </c>
      <c r="AC520" t="n">
        <v>56103637</v>
      </c>
      <c r="AD520" t="n">
        <v>6622261540</v>
      </c>
      <c r="AE520" t="n">
        <v>4</v>
      </c>
      <c r="AF520" t="inlineStr">
        <is>
          <t>ENTREGA DIRECTA</t>
        </is>
      </c>
      <c r="AG520" t="n">
        <v>1</v>
      </c>
      <c r="AH520" t="inlineStr">
        <is>
          <t>TO</t>
        </is>
      </c>
      <c r="AI520" t="inlineStr">
        <is>
          <t>X</t>
        </is>
      </c>
      <c r="AJ520" t="n">
        <v>4</v>
      </c>
      <c r="AK520" t="inlineStr">
        <is>
          <t>V4</t>
        </is>
      </c>
      <c r="AL520" t="n">
        <v>20230920</v>
      </c>
      <c r="AM520" t="inlineStr">
        <is>
          <t>D836-900003786-66554113-10000643-4</t>
        </is>
      </c>
    </row>
    <row r="521">
      <c r="A521" t="inlineStr">
        <is>
          <t>900003786D8366655411310000635</t>
        </is>
      </c>
      <c r="B521" t="inlineStr">
        <is>
          <t>4600034392-30</t>
        </is>
      </c>
      <c r="C521" t="n">
        <v>4600034392</v>
      </c>
      <c r="D521" t="n">
        <v>30</v>
      </c>
      <c r="E521" t="inlineStr">
        <is>
          <t>MXPO</t>
        </is>
      </c>
      <c r="F521" t="inlineStr">
        <is>
          <t>MXL</t>
        </is>
      </c>
      <c r="G521" t="n">
        <v>900003786</v>
      </c>
      <c r="H521" t="inlineStr">
        <is>
          <t>TP-TRIMCAV</t>
        </is>
      </c>
      <c r="I521" t="n">
        <v>5010147</v>
      </c>
      <c r="J521" t="inlineStr">
        <is>
          <t>TRITURACIONES DE MARMOL Y CALCIOS</t>
        </is>
      </c>
      <c r="K521" t="inlineStr">
        <is>
          <t>Z04</t>
        </is>
      </c>
      <c r="L521" t="inlineStr">
        <is>
          <t>(AP) 30 Dias</t>
        </is>
      </c>
      <c r="M521" t="n">
        <v>10000635</v>
      </c>
      <c r="N521" t="inlineStr">
        <is>
          <t>Arena Triturada Marmol Malla 4</t>
        </is>
      </c>
      <c r="O521" t="inlineStr">
        <is>
          <t>D836</t>
        </is>
      </c>
      <c r="P521" t="inlineStr">
        <is>
          <t>MX-CED. CENTRO</t>
        </is>
      </c>
      <c r="Q521" t="n">
        <v>20160627</v>
      </c>
      <c r="R521" t="n">
        <v>20241231</v>
      </c>
      <c r="S521" t="n">
        <v>20180628</v>
      </c>
      <c r="T521" t="n">
        <v>20241231</v>
      </c>
      <c r="U521" t="n">
        <v>731.5</v>
      </c>
      <c r="V521" t="inlineStr">
        <is>
          <t>MXN</t>
        </is>
      </c>
      <c r="W521" t="inlineStr">
        <is>
          <t>TN</t>
        </is>
      </c>
      <c r="X521" t="n">
        <v>385</v>
      </c>
      <c r="Y521" t="inlineStr">
        <is>
          <t>MXN</t>
        </is>
      </c>
      <c r="Z521" t="inlineStr">
        <is>
          <t>TN</t>
        </is>
      </c>
      <c r="AA521" t="inlineStr">
        <is>
          <t>66554113</t>
        </is>
      </c>
      <c r="AB521" t="inlineStr">
        <is>
          <t>FISCALES 55</t>
        </is>
      </c>
      <c r="AC521" t="n">
        <v>56103638</v>
      </c>
      <c r="AD521" t="n">
        <v>6622261540</v>
      </c>
      <c r="AE521" t="n">
        <v>4</v>
      </c>
      <c r="AF521" t="inlineStr">
        <is>
          <t>ENTREGA DIRECTA</t>
        </is>
      </c>
      <c r="AG521" t="n">
        <v>1</v>
      </c>
      <c r="AH521" t="inlineStr">
        <is>
          <t>TO</t>
        </is>
      </c>
      <c r="AI521" t="inlineStr">
        <is>
          <t>X</t>
        </is>
      </c>
      <c r="AJ521" t="n">
        <v>4</v>
      </c>
      <c r="AK521" t="inlineStr">
        <is>
          <t>V4</t>
        </is>
      </c>
      <c r="AL521" t="n">
        <v>20230920</v>
      </c>
      <c r="AM521" t="inlineStr">
        <is>
          <t>D836-900003786-66554113-10000635-4</t>
        </is>
      </c>
    </row>
    <row r="522">
      <c r="A522" t="inlineStr">
        <is>
          <t>900004077D8366692837910192943</t>
        </is>
      </c>
      <c r="B522" t="inlineStr">
        <is>
          <t>4600047844-540</t>
        </is>
      </c>
      <c r="C522" t="n">
        <v>4600047844</v>
      </c>
      <c r="D522" t="n">
        <v>540</v>
      </c>
      <c r="E522" t="inlineStr">
        <is>
          <t>MXPO</t>
        </is>
      </c>
      <c r="F522" t="inlineStr">
        <is>
          <t>MXL</t>
        </is>
      </c>
      <c r="G522" t="n">
        <v>900004077</v>
      </c>
      <c r="H522" t="inlineStr">
        <is>
          <t>TP-SAN JUAN (HUDASA)</t>
        </is>
      </c>
      <c r="I522" t="n">
        <v>5054686</v>
      </c>
      <c r="J522" t="inlineStr">
        <is>
          <t>GRUPO MERCANTIL HUDASA SA DE CV</t>
        </is>
      </c>
      <c r="K522" t="inlineStr">
        <is>
          <t>Z06</t>
        </is>
      </c>
      <c r="L522" t="inlineStr">
        <is>
          <t>(AP) 45 Dias</t>
        </is>
      </c>
      <c r="M522" t="n">
        <v>10192943</v>
      </c>
      <c r="N522" t="inlineStr">
        <is>
          <t>GRAVA TRITURADA CALIZA 40 MM - 1 1/2" HD</t>
        </is>
      </c>
      <c r="O522" t="inlineStr">
        <is>
          <t>D836</t>
        </is>
      </c>
      <c r="P522" t="inlineStr">
        <is>
          <t>MX-CED. CENTRO</t>
        </is>
      </c>
      <c r="Q522" t="n">
        <v>20200825</v>
      </c>
      <c r="R522" t="n">
        <v>20301231</v>
      </c>
      <c r="S522" t="n">
        <v>20210201</v>
      </c>
      <c r="T522" t="n">
        <v>20291231</v>
      </c>
      <c r="U522" t="n">
        <v>248.52</v>
      </c>
      <c r="V522" t="inlineStr">
        <is>
          <t>MXN</t>
        </is>
      </c>
      <c r="W522" t="inlineStr">
        <is>
          <t>TN</t>
        </is>
      </c>
      <c r="X522" t="n">
        <v>135.32</v>
      </c>
      <c r="Y522" t="inlineStr">
        <is>
          <t>MXN</t>
        </is>
      </c>
      <c r="Z522" t="inlineStr">
        <is>
          <t>TN</t>
        </is>
      </c>
      <c r="AA522" t="inlineStr">
        <is>
          <t>66928379</t>
        </is>
      </c>
      <c r="AB522" t="inlineStr">
        <is>
          <t>FORD GALLEGOS</t>
        </is>
      </c>
      <c r="AC522" t="n">
        <v>56103637</v>
      </c>
      <c r="AD522" t="n">
        <v>6622261540</v>
      </c>
      <c r="AE522" t="n">
        <v>4</v>
      </c>
      <c r="AF522" t="inlineStr">
        <is>
          <t>ENTREGA DIRECTA</t>
        </is>
      </c>
      <c r="AG522" t="n">
        <v>1</v>
      </c>
      <c r="AH522" t="inlineStr">
        <is>
          <t>TO</t>
        </is>
      </c>
      <c r="AI522" t="inlineStr">
        <is>
          <t>X</t>
        </is>
      </c>
      <c r="AJ522" t="n">
        <v>4</v>
      </c>
      <c r="AK522" t="inlineStr">
        <is>
          <t>V4</t>
        </is>
      </c>
      <c r="AL522" t="n">
        <v>20230920</v>
      </c>
      <c r="AM522" t="inlineStr">
        <is>
          <t>D836-900004077-66928379-10192943-4</t>
        </is>
      </c>
    </row>
    <row r="523">
      <c r="A523" t="inlineStr">
        <is>
          <t>900004077D8366687461610192942</t>
        </is>
      </c>
      <c r="B523" t="inlineStr">
        <is>
          <t>4600047844-630</t>
        </is>
      </c>
      <c r="C523" t="n">
        <v>4600047844</v>
      </c>
      <c r="D523" t="n">
        <v>630</v>
      </c>
      <c r="E523" t="inlineStr">
        <is>
          <t>MXPO</t>
        </is>
      </c>
      <c r="F523" t="inlineStr">
        <is>
          <t>MXL</t>
        </is>
      </c>
      <c r="G523" t="n">
        <v>900004077</v>
      </c>
      <c r="H523" t="inlineStr">
        <is>
          <t>TP-SAN JUAN (HUDASA)</t>
        </is>
      </c>
      <c r="I523" t="n">
        <v>5054686</v>
      </c>
      <c r="J523" t="inlineStr">
        <is>
          <t>GRUPO MERCANTIL HUDASA SA DE CV</t>
        </is>
      </c>
      <c r="K523" t="inlineStr">
        <is>
          <t>Z06</t>
        </is>
      </c>
      <c r="L523" t="inlineStr">
        <is>
          <t>(AP) 45 Dias</t>
        </is>
      </c>
      <c r="M523" t="n">
        <v>10192942</v>
      </c>
      <c r="N523" t="inlineStr">
        <is>
          <t>ARENA TRITURADA ANDESITA HD</t>
        </is>
      </c>
      <c r="O523" t="inlineStr">
        <is>
          <t>D836</t>
        </is>
      </c>
      <c r="P523" t="inlineStr">
        <is>
          <t>MX-CED. CENTRO</t>
        </is>
      </c>
      <c r="Q523" t="n">
        <v>20200825</v>
      </c>
      <c r="R523" t="n">
        <v>20301231</v>
      </c>
      <c r="S523" t="n">
        <v>20220420</v>
      </c>
      <c r="T523" t="n">
        <v>20271231</v>
      </c>
      <c r="U523" t="n">
        <v>254</v>
      </c>
      <c r="V523" t="inlineStr">
        <is>
          <t>MXN</t>
        </is>
      </c>
      <c r="W523" t="inlineStr">
        <is>
          <t>TN</t>
        </is>
      </c>
      <c r="X523" t="n">
        <v>159</v>
      </c>
      <c r="Y523" t="inlineStr">
        <is>
          <t>MXN</t>
        </is>
      </c>
      <c r="Z523" t="inlineStr">
        <is>
          <t>TN</t>
        </is>
      </c>
      <c r="AA523" t="inlineStr">
        <is>
          <t>66874616</t>
        </is>
      </c>
      <c r="AB523" t="inlineStr">
        <is>
          <t>FORD LOMAS VERDES</t>
        </is>
      </c>
      <c r="AC523" t="n">
        <v>56103638</v>
      </c>
      <c r="AD523" t="n">
        <v>6622261540</v>
      </c>
      <c r="AE523" t="n">
        <v>4</v>
      </c>
      <c r="AF523" t="inlineStr">
        <is>
          <t>ENTREGA DIRECTA</t>
        </is>
      </c>
      <c r="AG523" t="n">
        <v>1</v>
      </c>
      <c r="AH523" t="inlineStr">
        <is>
          <t>TO</t>
        </is>
      </c>
      <c r="AI523" t="inlineStr">
        <is>
          <t>X</t>
        </is>
      </c>
      <c r="AJ523" t="n">
        <v>4</v>
      </c>
      <c r="AK523" t="inlineStr">
        <is>
          <t>V4</t>
        </is>
      </c>
      <c r="AL523" t="n">
        <v>20230920</v>
      </c>
      <c r="AM523" t="inlineStr">
        <is>
          <t>D836-900004077-66874616-10192942-4</t>
        </is>
      </c>
    </row>
    <row r="524">
      <c r="A524" t="inlineStr">
        <is>
          <t>900004077D8366686554710184142</t>
        </is>
      </c>
      <c r="B524" t="inlineStr">
        <is>
          <t>4600047844-280</t>
        </is>
      </c>
      <c r="C524" t="n">
        <v>4600047844</v>
      </c>
      <c r="D524" t="n">
        <v>280</v>
      </c>
      <c r="E524" t="inlineStr">
        <is>
          <t>MXPO</t>
        </is>
      </c>
      <c r="F524" t="inlineStr">
        <is>
          <t>MXL</t>
        </is>
      </c>
      <c r="G524" t="n">
        <v>900004077</v>
      </c>
      <c r="H524" t="inlineStr">
        <is>
          <t>TP-SAN JUAN (HUDASA)</t>
        </is>
      </c>
      <c r="I524" t="n">
        <v>5054686</v>
      </c>
      <c r="J524" t="inlineStr">
        <is>
          <t>GRUPO MERCANTIL HUDASA SA DE CV</t>
        </is>
      </c>
      <c r="K524" t="inlineStr">
        <is>
          <t>Z06</t>
        </is>
      </c>
      <c r="L524" t="inlineStr">
        <is>
          <t>(AP) 45 Dias</t>
        </is>
      </c>
      <c r="M524" t="n">
        <v>10184142</v>
      </c>
      <c r="N524" t="inlineStr">
        <is>
          <t>GRAVA TRITURADA CALIZA 40 MM - 1 1/2"</t>
        </is>
      </c>
      <c r="O524" t="inlineStr">
        <is>
          <t>D836</t>
        </is>
      </c>
      <c r="P524" t="inlineStr">
        <is>
          <t>MX-CED. CENTRO</t>
        </is>
      </c>
      <c r="Q524" t="n">
        <v>20200825</v>
      </c>
      <c r="R524" t="n">
        <v>20301231</v>
      </c>
      <c r="S524" t="n">
        <v>20200922</v>
      </c>
      <c r="T524" t="n">
        <v>20291231</v>
      </c>
      <c r="U524" t="n">
        <v>248.52</v>
      </c>
      <c r="V524" t="inlineStr">
        <is>
          <t>MXN</t>
        </is>
      </c>
      <c r="W524" t="inlineStr">
        <is>
          <t>TN</t>
        </is>
      </c>
      <c r="X524" t="n">
        <v>135.32</v>
      </c>
      <c r="Y524" t="inlineStr">
        <is>
          <t>MXN</t>
        </is>
      </c>
      <c r="Z524" t="inlineStr">
        <is>
          <t>TN</t>
        </is>
      </c>
      <c r="AA524" t="inlineStr">
        <is>
          <t>66865547</t>
        </is>
      </c>
      <c r="AB524" t="inlineStr">
        <is>
          <t>ALDECO</t>
        </is>
      </c>
      <c r="AC524" t="n">
        <v>56103637</v>
      </c>
      <c r="AD524" t="n">
        <v>6622261540</v>
      </c>
      <c r="AE524" t="n">
        <v>4</v>
      </c>
      <c r="AF524" t="inlineStr">
        <is>
          <t>ENTREGA DIRECTA</t>
        </is>
      </c>
      <c r="AG524" t="n">
        <v>1</v>
      </c>
      <c r="AH524" t="inlineStr">
        <is>
          <t>TO</t>
        </is>
      </c>
      <c r="AI524" t="inlineStr">
        <is>
          <t>X</t>
        </is>
      </c>
      <c r="AJ524" t="n">
        <v>4</v>
      </c>
      <c r="AK524" t="inlineStr">
        <is>
          <t>V4</t>
        </is>
      </c>
      <c r="AL524" t="n">
        <v>20230920</v>
      </c>
      <c r="AM524" t="inlineStr">
        <is>
          <t>D836-900004077-66865547-10184142-4</t>
        </is>
      </c>
    </row>
    <row r="525">
      <c r="A525" t="inlineStr">
        <is>
          <t>900004077D8366692837910192940</t>
        </is>
      </c>
      <c r="B525" t="inlineStr">
        <is>
          <t>4600047844-500</t>
        </is>
      </c>
      <c r="C525" t="n">
        <v>4600047844</v>
      </c>
      <c r="D525" t="n">
        <v>500</v>
      </c>
      <c r="E525" t="inlineStr">
        <is>
          <t>MXPO</t>
        </is>
      </c>
      <c r="F525" t="inlineStr">
        <is>
          <t>MXL</t>
        </is>
      </c>
      <c r="G525" t="n">
        <v>900004077</v>
      </c>
      <c r="H525" t="inlineStr">
        <is>
          <t>TP-SAN JUAN (HUDASA)</t>
        </is>
      </c>
      <c r="I525" t="n">
        <v>5054686</v>
      </c>
      <c r="J525" t="inlineStr">
        <is>
          <t>GRUPO MERCANTIL HUDASA SA DE CV</t>
        </is>
      </c>
      <c r="K525" t="inlineStr">
        <is>
          <t>Z06</t>
        </is>
      </c>
      <c r="L525" t="inlineStr">
        <is>
          <t>(AP) 45 Dias</t>
        </is>
      </c>
      <c r="M525" t="n">
        <v>10192940</v>
      </c>
      <c r="N525" t="inlineStr">
        <is>
          <t>GRAVA TRITURADA ANDESITA 20 MM - 3/4" HD</t>
        </is>
      </c>
      <c r="O525" t="inlineStr">
        <is>
          <t>D836</t>
        </is>
      </c>
      <c r="P525" t="inlineStr">
        <is>
          <t>MX-CED. CENTRO</t>
        </is>
      </c>
      <c r="Q525" t="n">
        <v>20200825</v>
      </c>
      <c r="R525" t="n">
        <v>20301231</v>
      </c>
      <c r="S525" t="n">
        <v>20210201</v>
      </c>
      <c r="T525" t="n">
        <v>20291231</v>
      </c>
      <c r="U525" t="n">
        <v>228.01</v>
      </c>
      <c r="V525" t="inlineStr">
        <is>
          <t>MXN</t>
        </is>
      </c>
      <c r="W525" t="inlineStr">
        <is>
          <t>TN</t>
        </is>
      </c>
      <c r="X525" t="n">
        <v>148.01</v>
      </c>
      <c r="Y525" t="inlineStr">
        <is>
          <t>MXN</t>
        </is>
      </c>
      <c r="Z525" t="inlineStr">
        <is>
          <t>TN</t>
        </is>
      </c>
      <c r="AA525" t="inlineStr">
        <is>
          <t>66928379</t>
        </is>
      </c>
      <c r="AB525" t="inlineStr">
        <is>
          <t>FORD GALLEGOS</t>
        </is>
      </c>
      <c r="AC525" t="n">
        <v>56103637</v>
      </c>
      <c r="AD525" t="n">
        <v>6622261540</v>
      </c>
      <c r="AE525" t="n">
        <v>4</v>
      </c>
      <c r="AF525" t="inlineStr">
        <is>
          <t>ENTREGA DIRECTA</t>
        </is>
      </c>
      <c r="AG525" t="n">
        <v>1</v>
      </c>
      <c r="AH525" t="inlineStr">
        <is>
          <t>TO</t>
        </is>
      </c>
      <c r="AI525" t="inlineStr">
        <is>
          <t>X</t>
        </is>
      </c>
      <c r="AJ525" t="n">
        <v>4</v>
      </c>
      <c r="AK525" t="inlineStr">
        <is>
          <t>V4</t>
        </is>
      </c>
      <c r="AL525" t="n">
        <v>20230920</v>
      </c>
      <c r="AM525" t="inlineStr">
        <is>
          <t>D836-900004077-66928379-10192940-4</t>
        </is>
      </c>
    </row>
    <row r="526">
      <c r="A526" t="inlineStr">
        <is>
          <t>900004077D8366692837910192941</t>
        </is>
      </c>
      <c r="B526" t="inlineStr">
        <is>
          <t>4600047844-510</t>
        </is>
      </c>
      <c r="C526" t="n">
        <v>4600047844</v>
      </c>
      <c r="D526" t="n">
        <v>510</v>
      </c>
      <c r="E526" t="inlineStr">
        <is>
          <t>MXPO</t>
        </is>
      </c>
      <c r="F526" t="inlineStr">
        <is>
          <t>MXL</t>
        </is>
      </c>
      <c r="G526" t="n">
        <v>900004077</v>
      </c>
      <c r="H526" t="inlineStr">
        <is>
          <t>TP-SAN JUAN (HUDASA)</t>
        </is>
      </c>
      <c r="I526" t="n">
        <v>5054686</v>
      </c>
      <c r="J526" t="inlineStr">
        <is>
          <t>GRUPO MERCANTIL HUDASA SA DE CV</t>
        </is>
      </c>
      <c r="K526" t="inlineStr">
        <is>
          <t>Z06</t>
        </is>
      </c>
      <c r="L526" t="inlineStr">
        <is>
          <t>(AP) 45 Dias</t>
        </is>
      </c>
      <c r="M526" t="n">
        <v>10192941</v>
      </c>
      <c r="N526" t="inlineStr">
        <is>
          <t>GRAVA TRITURADA CALIZA 10 MM - 3/8" HD</t>
        </is>
      </c>
      <c r="O526" t="inlineStr">
        <is>
          <t>D836</t>
        </is>
      </c>
      <c r="P526" t="inlineStr">
        <is>
          <t>MX-CED. CENTRO</t>
        </is>
      </c>
      <c r="Q526" t="n">
        <v>20200825</v>
      </c>
      <c r="R526" t="n">
        <v>20301231</v>
      </c>
      <c r="S526" t="n">
        <v>20210201</v>
      </c>
      <c r="T526" t="n">
        <v>20291231</v>
      </c>
      <c r="U526" t="n">
        <v>251.5</v>
      </c>
      <c r="V526" t="inlineStr">
        <is>
          <t>MXN</t>
        </is>
      </c>
      <c r="W526" t="inlineStr">
        <is>
          <t>TN</t>
        </is>
      </c>
      <c r="X526" t="n">
        <v>138.3</v>
      </c>
      <c r="Y526" t="inlineStr">
        <is>
          <t>MXN</t>
        </is>
      </c>
      <c r="Z526" t="inlineStr">
        <is>
          <t>TN</t>
        </is>
      </c>
      <c r="AA526" t="inlineStr">
        <is>
          <t>66928379</t>
        </is>
      </c>
      <c r="AB526" t="inlineStr">
        <is>
          <t>FORD GALLEGOS</t>
        </is>
      </c>
      <c r="AC526" t="n">
        <v>56103637</v>
      </c>
      <c r="AD526" t="n">
        <v>6622261540</v>
      </c>
      <c r="AE526" t="n">
        <v>4</v>
      </c>
      <c r="AF526" t="inlineStr">
        <is>
          <t>ENTREGA DIRECTA</t>
        </is>
      </c>
      <c r="AG526" t="n">
        <v>1</v>
      </c>
      <c r="AH526" t="inlineStr">
        <is>
          <t>TO</t>
        </is>
      </c>
      <c r="AI526" t="inlineStr">
        <is>
          <t>X</t>
        </is>
      </c>
      <c r="AJ526" t="n">
        <v>4</v>
      </c>
      <c r="AK526" t="inlineStr">
        <is>
          <t>V4</t>
        </is>
      </c>
      <c r="AL526" t="n">
        <v>20230920</v>
      </c>
      <c r="AM526" t="inlineStr">
        <is>
          <t>D836-900004077-66928379-10192941-4</t>
        </is>
      </c>
    </row>
    <row r="527">
      <c r="A527" t="inlineStr">
        <is>
          <t>900006824D8366709100410192945</t>
        </is>
      </c>
      <c r="B527" t="inlineStr">
        <is>
          <t>4600048689-100</t>
        </is>
      </c>
      <c r="C527" t="n">
        <v>4600048689</v>
      </c>
      <c r="D527" t="n">
        <v>100</v>
      </c>
      <c r="E527" t="inlineStr">
        <is>
          <t>MXPO</t>
        </is>
      </c>
      <c r="F527" t="inlineStr">
        <is>
          <t>MXL</t>
        </is>
      </c>
      <c r="G527" t="n">
        <v>900006824</v>
      </c>
      <c r="H527" t="inlineStr">
        <is>
          <t>SF TP-ED-SAN JUAN (HUDASA)</t>
        </is>
      </c>
      <c r="I527" t="n">
        <v>5054686</v>
      </c>
      <c r="J527" t="inlineStr">
        <is>
          <t>GRUPO MERCANTIL HUDASA SA DE CV</t>
        </is>
      </c>
      <c r="K527" t="inlineStr">
        <is>
          <t>N90</t>
        </is>
      </c>
      <c r="L527" t="inlineStr">
        <is>
          <t>(AP) NAFIN 90 Dias</t>
        </is>
      </c>
      <c r="M527" t="n">
        <v>10192945</v>
      </c>
      <c r="N527" t="inlineStr">
        <is>
          <t>GRAVA TRITURADA CALIZA 13 MM - 1/2" HD</t>
        </is>
      </c>
      <c r="O527" t="inlineStr">
        <is>
          <t>D836</t>
        </is>
      </c>
      <c r="P527" t="inlineStr">
        <is>
          <t>MX-CED. CENTRO</t>
        </is>
      </c>
      <c r="Q527" t="n">
        <v>20201217</v>
      </c>
      <c r="R527" t="n">
        <v>20291231</v>
      </c>
      <c r="S527" t="n">
        <v>20221208</v>
      </c>
      <c r="T527" t="n">
        <v>20271231</v>
      </c>
      <c r="U527" t="n">
        <v>330.59</v>
      </c>
      <c r="V527" t="inlineStr">
        <is>
          <t>MXN</t>
        </is>
      </c>
      <c r="W527" t="inlineStr">
        <is>
          <t>TN</t>
        </is>
      </c>
      <c r="X527" t="n">
        <v>190.59</v>
      </c>
      <c r="Y527" t="inlineStr">
        <is>
          <t>MXN</t>
        </is>
      </c>
      <c r="Z527" t="inlineStr">
        <is>
          <t>TN</t>
        </is>
      </c>
      <c r="AA527" t="inlineStr">
        <is>
          <t>67091004</t>
        </is>
      </c>
      <c r="AB527" t="inlineStr">
        <is>
          <t>PARQUE NACIONAL DE JUSTICIA (FISCAL</t>
        </is>
      </c>
      <c r="AC527" t="n">
        <v>56103637</v>
      </c>
      <c r="AD527" t="n">
        <v>6622261540</v>
      </c>
      <c r="AE527" t="n">
        <v>4</v>
      </c>
      <c r="AF527" t="inlineStr">
        <is>
          <t>ENTREGA DIRECTA</t>
        </is>
      </c>
      <c r="AG527" t="n">
        <v>1</v>
      </c>
      <c r="AH527" t="inlineStr">
        <is>
          <t>TO</t>
        </is>
      </c>
      <c r="AI527" t="inlineStr">
        <is>
          <t>X</t>
        </is>
      </c>
      <c r="AJ527" t="n">
        <v>4</v>
      </c>
      <c r="AK527" t="inlineStr">
        <is>
          <t>V4</t>
        </is>
      </c>
      <c r="AL527" t="n">
        <v>20230920</v>
      </c>
      <c r="AM527" t="inlineStr">
        <is>
          <t>D836-900006824-67091004-10192945-4</t>
        </is>
      </c>
    </row>
    <row r="528">
      <c r="A528" t="inlineStr">
        <is>
          <t>900004077D8366686554710000623</t>
        </is>
      </c>
      <c r="B528" t="inlineStr">
        <is>
          <t>4600047844-250</t>
        </is>
      </c>
      <c r="C528" t="n">
        <v>4600047844</v>
      </c>
      <c r="D528" t="n">
        <v>250</v>
      </c>
      <c r="E528" t="inlineStr">
        <is>
          <t>MXPO</t>
        </is>
      </c>
      <c r="F528" t="inlineStr">
        <is>
          <t>MXL</t>
        </is>
      </c>
      <c r="G528" t="n">
        <v>900004077</v>
      </c>
      <c r="H528" t="inlineStr">
        <is>
          <t>TP-SAN JUAN (HUDASA)</t>
        </is>
      </c>
      <c r="I528" t="n">
        <v>5054686</v>
      </c>
      <c r="J528" t="inlineStr">
        <is>
          <t>GRUPO MERCANTIL HUDASA SA DE CV</t>
        </is>
      </c>
      <c r="K528" t="inlineStr">
        <is>
          <t>Z06</t>
        </is>
      </c>
      <c r="L528" t="inlineStr">
        <is>
          <t>(AP) 45 Dias</t>
        </is>
      </c>
      <c r="M528" t="n">
        <v>10000623</v>
      </c>
      <c r="N528" t="inlineStr">
        <is>
          <t>Grava Triturada Caliza 10 mm - 3/8"</t>
        </is>
      </c>
      <c r="O528" t="inlineStr">
        <is>
          <t>D836</t>
        </is>
      </c>
      <c r="P528" t="inlineStr">
        <is>
          <t>MX-CED. CENTRO</t>
        </is>
      </c>
      <c r="Q528" t="n">
        <v>20200825</v>
      </c>
      <c r="R528" t="n">
        <v>20301231</v>
      </c>
      <c r="S528" t="n">
        <v>20200922</v>
      </c>
      <c r="T528" t="n">
        <v>20291231</v>
      </c>
      <c r="U528" t="n">
        <v>251.5</v>
      </c>
      <c r="V528" t="inlineStr">
        <is>
          <t>MXN</t>
        </is>
      </c>
      <c r="W528" t="inlineStr">
        <is>
          <t>TN</t>
        </is>
      </c>
      <c r="X528" t="n">
        <v>138.3</v>
      </c>
      <c r="Y528" t="inlineStr">
        <is>
          <t>MXN</t>
        </is>
      </c>
      <c r="Z528" t="inlineStr">
        <is>
          <t>TN</t>
        </is>
      </c>
      <c r="AA528" t="inlineStr">
        <is>
          <t>66865547</t>
        </is>
      </c>
      <c r="AB528" t="inlineStr">
        <is>
          <t>ALDECO</t>
        </is>
      </c>
      <c r="AC528" t="n">
        <v>56103637</v>
      </c>
      <c r="AD528" t="n">
        <v>6622261540</v>
      </c>
      <c r="AE528" t="n">
        <v>4</v>
      </c>
      <c r="AF528" t="inlineStr">
        <is>
          <t>ENTREGA DIRECTA</t>
        </is>
      </c>
      <c r="AG528" t="n">
        <v>1</v>
      </c>
      <c r="AH528" t="inlineStr">
        <is>
          <t>TO</t>
        </is>
      </c>
      <c r="AI528" t="inlineStr">
        <is>
          <t>X</t>
        </is>
      </c>
      <c r="AJ528" t="n">
        <v>4</v>
      </c>
      <c r="AK528" t="inlineStr">
        <is>
          <t>V4</t>
        </is>
      </c>
      <c r="AL528" t="n">
        <v>20230920</v>
      </c>
      <c r="AM528" t="inlineStr">
        <is>
          <t>D836-900004077-66865547-10000623-4</t>
        </is>
      </c>
    </row>
    <row r="529">
      <c r="A529" t="inlineStr">
        <is>
          <t>900004077D8366686554710184011</t>
        </is>
      </c>
      <c r="B529" t="inlineStr">
        <is>
          <t>4600047844-270</t>
        </is>
      </c>
      <c r="C529" t="n">
        <v>4600047844</v>
      </c>
      <c r="D529" t="n">
        <v>270</v>
      </c>
      <c r="E529" t="inlineStr">
        <is>
          <t>MXPO</t>
        </is>
      </c>
      <c r="F529" t="inlineStr">
        <is>
          <t>MXL</t>
        </is>
      </c>
      <c r="G529" t="n">
        <v>900004077</v>
      </c>
      <c r="H529" t="inlineStr">
        <is>
          <t>TP-SAN JUAN (HUDASA)</t>
        </is>
      </c>
      <c r="I529" t="n">
        <v>5054686</v>
      </c>
      <c r="J529" t="inlineStr">
        <is>
          <t>GRUPO MERCANTIL HUDASA SA DE CV</t>
        </is>
      </c>
      <c r="K529" t="inlineStr">
        <is>
          <t>Z06</t>
        </is>
      </c>
      <c r="L529" t="inlineStr">
        <is>
          <t>(AP) 45 Dias</t>
        </is>
      </c>
      <c r="M529" t="n">
        <v>10184011</v>
      </c>
      <c r="N529" t="inlineStr">
        <is>
          <t>GRAVA TRITURADA CALIZA 20 MM - 3/4"</t>
        </is>
      </c>
      <c r="O529" t="inlineStr">
        <is>
          <t>D836</t>
        </is>
      </c>
      <c r="P529" t="inlineStr">
        <is>
          <t>MX-CED. CENTRO</t>
        </is>
      </c>
      <c r="Q529" t="n">
        <v>20200825</v>
      </c>
      <c r="R529" t="n">
        <v>20301231</v>
      </c>
      <c r="S529" t="n">
        <v>20200922</v>
      </c>
      <c r="T529" t="n">
        <v>20291231</v>
      </c>
      <c r="U529" t="n">
        <v>250</v>
      </c>
      <c r="V529" t="inlineStr">
        <is>
          <t>MXN</t>
        </is>
      </c>
      <c r="W529" t="inlineStr">
        <is>
          <t>TN</t>
        </is>
      </c>
      <c r="X529" t="n">
        <v>136.8</v>
      </c>
      <c r="Y529" t="inlineStr">
        <is>
          <t>MXN</t>
        </is>
      </c>
      <c r="Z529" t="inlineStr">
        <is>
          <t>TN</t>
        </is>
      </c>
      <c r="AA529" t="inlineStr">
        <is>
          <t>66865547</t>
        </is>
      </c>
      <c r="AB529" t="inlineStr">
        <is>
          <t>ALDECO</t>
        </is>
      </c>
      <c r="AC529" t="n">
        <v>56103637</v>
      </c>
      <c r="AD529" t="n">
        <v>6622261540</v>
      </c>
      <c r="AE529" t="n">
        <v>4</v>
      </c>
      <c r="AF529" t="inlineStr">
        <is>
          <t>ENTREGA DIRECTA</t>
        </is>
      </c>
      <c r="AG529" t="n">
        <v>1</v>
      </c>
      <c r="AH529" t="inlineStr">
        <is>
          <t>TO</t>
        </is>
      </c>
      <c r="AI529" t="inlineStr">
        <is>
          <t>X</t>
        </is>
      </c>
      <c r="AJ529" t="n">
        <v>4</v>
      </c>
      <c r="AK529" t="inlineStr">
        <is>
          <t>V4</t>
        </is>
      </c>
      <c r="AL529" t="n">
        <v>20230920</v>
      </c>
      <c r="AM529" t="inlineStr">
        <is>
          <t>D836-900004077-66865547-10184011-4</t>
        </is>
      </c>
    </row>
    <row r="530">
      <c r="A530" t="inlineStr">
        <is>
          <t>900004077D8366687461610192944</t>
        </is>
      </c>
      <c r="B530" t="inlineStr">
        <is>
          <t>4600047844-600</t>
        </is>
      </c>
      <c r="C530" t="n">
        <v>4600047844</v>
      </c>
      <c r="D530" t="n">
        <v>600</v>
      </c>
      <c r="E530" t="inlineStr">
        <is>
          <t>MXPO</t>
        </is>
      </c>
      <c r="F530" t="inlineStr">
        <is>
          <t>MXL</t>
        </is>
      </c>
      <c r="G530" t="n">
        <v>900004077</v>
      </c>
      <c r="H530" t="inlineStr">
        <is>
          <t>TP-SAN JUAN (HUDASA)</t>
        </is>
      </c>
      <c r="I530" t="n">
        <v>5054686</v>
      </c>
      <c r="J530" t="inlineStr">
        <is>
          <t>GRUPO MERCANTIL HUDASA SA DE CV</t>
        </is>
      </c>
      <c r="K530" t="inlineStr">
        <is>
          <t>Z06</t>
        </is>
      </c>
      <c r="L530" t="inlineStr">
        <is>
          <t>(AP) 45 Dias</t>
        </is>
      </c>
      <c r="M530" t="n">
        <v>10192944</v>
      </c>
      <c r="N530" t="inlineStr">
        <is>
          <t>GRAVA TRITURADA CALIZA 20 MM - 3/4" HD</t>
        </is>
      </c>
      <c r="O530" t="inlineStr">
        <is>
          <t>D836</t>
        </is>
      </c>
      <c r="P530" t="inlineStr">
        <is>
          <t>MX-CED. CENTRO</t>
        </is>
      </c>
      <c r="Q530" t="n">
        <v>20200825</v>
      </c>
      <c r="R530" t="n">
        <v>20301231</v>
      </c>
      <c r="S530" t="n">
        <v>20220311</v>
      </c>
      <c r="T530" t="n">
        <v>20271231</v>
      </c>
      <c r="U530" t="n">
        <v>250</v>
      </c>
      <c r="V530" t="inlineStr">
        <is>
          <t>MXN</t>
        </is>
      </c>
      <c r="W530" t="inlineStr">
        <is>
          <t>TN</t>
        </is>
      </c>
      <c r="X530" t="n">
        <v>136.8</v>
      </c>
      <c r="Y530" t="inlineStr">
        <is>
          <t>MXN</t>
        </is>
      </c>
      <c r="Z530" t="inlineStr">
        <is>
          <t>TN</t>
        </is>
      </c>
      <c r="AA530" t="inlineStr">
        <is>
          <t>66874616</t>
        </is>
      </c>
      <c r="AB530" t="inlineStr">
        <is>
          <t>FORD LOMAS VERDES</t>
        </is>
      </c>
      <c r="AC530" t="n">
        <v>56103637</v>
      </c>
      <c r="AD530" t="n">
        <v>6622261540</v>
      </c>
      <c r="AE530" t="n">
        <v>4</v>
      </c>
      <c r="AF530" t="inlineStr">
        <is>
          <t>ENTREGA DIRECTA</t>
        </is>
      </c>
      <c r="AG530" t="n">
        <v>1</v>
      </c>
      <c r="AH530" t="inlineStr">
        <is>
          <t>TO</t>
        </is>
      </c>
      <c r="AI530" t="inlineStr">
        <is>
          <t>X</t>
        </is>
      </c>
      <c r="AJ530" t="n">
        <v>4</v>
      </c>
      <c r="AK530" t="inlineStr">
        <is>
          <t>V4</t>
        </is>
      </c>
      <c r="AL530" t="n">
        <v>20230920</v>
      </c>
      <c r="AM530" t="inlineStr">
        <is>
          <t>D836-900004077-66874616-10192944-4</t>
        </is>
      </c>
    </row>
    <row r="531">
      <c r="A531" t="inlineStr">
        <is>
          <t>900004077D8366687461610192943</t>
        </is>
      </c>
      <c r="B531" t="inlineStr">
        <is>
          <t>4600047844-660</t>
        </is>
      </c>
      <c r="C531" t="n">
        <v>4600047844</v>
      </c>
      <c r="D531" t="n">
        <v>660</v>
      </c>
      <c r="E531" t="inlineStr">
        <is>
          <t>MXPO</t>
        </is>
      </c>
      <c r="F531" t="inlineStr">
        <is>
          <t>MXL</t>
        </is>
      </c>
      <c r="G531" t="n">
        <v>900004077</v>
      </c>
      <c r="H531" t="inlineStr">
        <is>
          <t>TP-SAN JUAN (HUDASA)</t>
        </is>
      </c>
      <c r="I531" t="n">
        <v>5054686</v>
      </c>
      <c r="J531" t="inlineStr">
        <is>
          <t>GRUPO MERCANTIL HUDASA SA DE CV</t>
        </is>
      </c>
      <c r="K531" t="inlineStr">
        <is>
          <t>Z06</t>
        </is>
      </c>
      <c r="L531" t="inlineStr">
        <is>
          <t>(AP) 45 Dias</t>
        </is>
      </c>
      <c r="M531" t="n">
        <v>10192943</v>
      </c>
      <c r="N531" t="inlineStr">
        <is>
          <t>GRAVA TRITURADA CALIZA 40 MM - 1 1/2" HD</t>
        </is>
      </c>
      <c r="O531" t="inlineStr">
        <is>
          <t>D836</t>
        </is>
      </c>
      <c r="P531" t="inlineStr">
        <is>
          <t>MX-CED. CENTRO</t>
        </is>
      </c>
      <c r="Q531" t="n">
        <v>20200825</v>
      </c>
      <c r="R531" t="n">
        <v>20301231</v>
      </c>
      <c r="S531" t="n">
        <v>20220420</v>
      </c>
      <c r="T531" t="n">
        <v>20271231</v>
      </c>
      <c r="U531" t="n">
        <v>281</v>
      </c>
      <c r="V531" t="inlineStr">
        <is>
          <t>MXN</t>
        </is>
      </c>
      <c r="W531" t="inlineStr">
        <is>
          <t>TN</t>
        </is>
      </c>
      <c r="X531" t="n">
        <v>163</v>
      </c>
      <c r="Y531" t="inlineStr">
        <is>
          <t>MXN</t>
        </is>
      </c>
      <c r="Z531" t="inlineStr">
        <is>
          <t>TN</t>
        </is>
      </c>
      <c r="AA531" t="inlineStr">
        <is>
          <t>66874616</t>
        </is>
      </c>
      <c r="AB531" t="inlineStr">
        <is>
          <t>FORD LOMAS VERDES</t>
        </is>
      </c>
      <c r="AC531" t="n">
        <v>56103637</v>
      </c>
      <c r="AD531" t="n">
        <v>6622261540</v>
      </c>
      <c r="AE531" t="n">
        <v>4</v>
      </c>
      <c r="AF531" t="inlineStr">
        <is>
          <t>ENTREGA DIRECTA</t>
        </is>
      </c>
      <c r="AG531" t="n">
        <v>1</v>
      </c>
      <c r="AH531" t="inlineStr">
        <is>
          <t>TO</t>
        </is>
      </c>
      <c r="AI531" t="inlineStr">
        <is>
          <t>X</t>
        </is>
      </c>
      <c r="AJ531" t="n">
        <v>4</v>
      </c>
      <c r="AK531" t="inlineStr">
        <is>
          <t>V4</t>
        </is>
      </c>
      <c r="AL531" t="n">
        <v>20230920</v>
      </c>
      <c r="AM531" t="inlineStr">
        <is>
          <t>D836-900004077-66874616-10192943-4</t>
        </is>
      </c>
    </row>
    <row r="532">
      <c r="A532" t="inlineStr">
        <is>
          <t>900006950D8366677927610000624</t>
        </is>
      </c>
      <c r="B532" t="inlineStr">
        <is>
          <t>4600048579-120</t>
        </is>
      </c>
      <c r="C532" t="n">
        <v>4600048579</v>
      </c>
      <c r="D532" t="n">
        <v>120</v>
      </c>
      <c r="E532" t="inlineStr">
        <is>
          <t>MXPO</t>
        </is>
      </c>
      <c r="F532" t="inlineStr">
        <is>
          <t>MXL</t>
        </is>
      </c>
      <c r="G532" t="n">
        <v>900006950</v>
      </c>
      <c r="H532" t="inlineStr">
        <is>
          <t>SF TP-ED-OLIELL GONDOLA</t>
        </is>
      </c>
      <c r="I532" t="n">
        <v>5048484</v>
      </c>
      <c r="J532" t="inlineStr">
        <is>
          <t>COMERCIALIZADORA Y TRANSPORTADORA O</t>
        </is>
      </c>
      <c r="K532" t="inlineStr">
        <is>
          <t>N90</t>
        </is>
      </c>
      <c r="L532" t="inlineStr">
        <is>
          <t>(AP) NAFIN 90 Dias</t>
        </is>
      </c>
      <c r="M532" t="n">
        <v>10000624</v>
      </c>
      <c r="N532" t="inlineStr">
        <is>
          <t>Grava Triturada Caliza 40 mm - 1 1/2"</t>
        </is>
      </c>
      <c r="O532" t="inlineStr">
        <is>
          <t>D836</t>
        </is>
      </c>
      <c r="P532" t="inlineStr">
        <is>
          <t>MX-CED. CENTRO</t>
        </is>
      </c>
      <c r="Q532" t="n">
        <v>20201201</v>
      </c>
      <c r="R532" t="n">
        <v>20291231</v>
      </c>
      <c r="S532" t="n">
        <v>20220221</v>
      </c>
      <c r="T532" t="n">
        <v>20261231</v>
      </c>
      <c r="U532" t="n">
        <v>427.61</v>
      </c>
      <c r="V532" t="inlineStr">
        <is>
          <t>MXN</t>
        </is>
      </c>
      <c r="W532" t="inlineStr">
        <is>
          <t>TN</t>
        </is>
      </c>
      <c r="X532" t="n">
        <v>237.71</v>
      </c>
      <c r="Y532" t="inlineStr">
        <is>
          <t>MXN</t>
        </is>
      </c>
      <c r="Z532" t="inlineStr">
        <is>
          <t>TN</t>
        </is>
      </c>
      <c r="AA532" t="inlineStr">
        <is>
          <t>66779276</t>
        </is>
      </c>
      <c r="AB532" t="inlineStr">
        <is>
          <t>TVega Concretos</t>
        </is>
      </c>
      <c r="AC532" t="n">
        <v>56103637</v>
      </c>
      <c r="AD532" t="n">
        <v>6622261540</v>
      </c>
      <c r="AE532" t="n">
        <v>4</v>
      </c>
      <c r="AF532" t="inlineStr">
        <is>
          <t>ENTREGA DIRECTA</t>
        </is>
      </c>
      <c r="AG532" t="n">
        <v>1</v>
      </c>
      <c r="AH532" t="inlineStr">
        <is>
          <t>TO</t>
        </is>
      </c>
      <c r="AI532" t="inlineStr">
        <is>
          <t>X</t>
        </is>
      </c>
      <c r="AJ532" t="n">
        <v>4</v>
      </c>
      <c r="AK532" t="inlineStr">
        <is>
          <t>V4</t>
        </is>
      </c>
      <c r="AL532" t="n">
        <v>20230920</v>
      </c>
      <c r="AM532" t="inlineStr">
        <is>
          <t>D836-900006950-66779276-10000624-4</t>
        </is>
      </c>
    </row>
    <row r="533">
      <c r="A533" t="inlineStr">
        <is>
          <t>900004077D8366683832610192943</t>
        </is>
      </c>
      <c r="B533" t="inlineStr">
        <is>
          <t>4600047844-480</t>
        </is>
      </c>
      <c r="C533" t="n">
        <v>4600047844</v>
      </c>
      <c r="D533" t="n">
        <v>480</v>
      </c>
      <c r="E533" t="inlineStr">
        <is>
          <t>MXPO</t>
        </is>
      </c>
      <c r="F533" t="inlineStr">
        <is>
          <t>MXL</t>
        </is>
      </c>
      <c r="G533" t="n">
        <v>900004077</v>
      </c>
      <c r="H533" t="inlineStr">
        <is>
          <t>TP-SAN JUAN (HUDASA)</t>
        </is>
      </c>
      <c r="I533" t="n">
        <v>5054686</v>
      </c>
      <c r="J533" t="inlineStr">
        <is>
          <t>GRUPO MERCANTIL HUDASA SA DE CV</t>
        </is>
      </c>
      <c r="K533" t="inlineStr">
        <is>
          <t>Z06</t>
        </is>
      </c>
      <c r="L533" t="inlineStr">
        <is>
          <t>(AP) 45 Dias</t>
        </is>
      </c>
      <c r="M533" t="n">
        <v>10192943</v>
      </c>
      <c r="N533" t="inlineStr">
        <is>
          <t>GRAVA TRITURADA CALIZA 40 MM - 1 1/2" HD</t>
        </is>
      </c>
      <c r="O533" t="inlineStr">
        <is>
          <t>D836</t>
        </is>
      </c>
      <c r="P533" t="inlineStr">
        <is>
          <t>MX-CED. CENTRO</t>
        </is>
      </c>
      <c r="Q533" t="n">
        <v>20200825</v>
      </c>
      <c r="R533" t="n">
        <v>20301231</v>
      </c>
      <c r="S533" t="n">
        <v>20220422</v>
      </c>
      <c r="T533" t="n">
        <v>20271231</v>
      </c>
      <c r="U533" t="n">
        <v>281</v>
      </c>
      <c r="V533" t="inlineStr">
        <is>
          <t>MXN</t>
        </is>
      </c>
      <c r="W533" t="inlineStr">
        <is>
          <t>TN</t>
        </is>
      </c>
      <c r="X533" t="n">
        <v>163</v>
      </c>
      <c r="Y533" t="inlineStr">
        <is>
          <t>MXN</t>
        </is>
      </c>
      <c r="Z533" t="inlineStr">
        <is>
          <t>TN</t>
        </is>
      </c>
      <c r="AA533" t="inlineStr">
        <is>
          <t>66838326</t>
        </is>
      </c>
      <c r="AB533" t="inlineStr">
        <is>
          <t>OBRA FORD</t>
        </is>
      </c>
      <c r="AC533" t="n">
        <v>56103637</v>
      </c>
      <c r="AD533" t="n">
        <v>6622261540</v>
      </c>
      <c r="AE533" t="n">
        <v>4</v>
      </c>
      <c r="AF533" t="inlineStr">
        <is>
          <t>ENTREGA DIRECTA</t>
        </is>
      </c>
      <c r="AG533" t="n">
        <v>1</v>
      </c>
      <c r="AH533" t="inlineStr">
        <is>
          <t>TO</t>
        </is>
      </c>
      <c r="AI533" t="inlineStr">
        <is>
          <t>X</t>
        </is>
      </c>
      <c r="AJ533" t="n">
        <v>4</v>
      </c>
      <c r="AK533" t="inlineStr">
        <is>
          <t>V4</t>
        </is>
      </c>
      <c r="AL533" t="n">
        <v>20230920</v>
      </c>
      <c r="AM533" t="inlineStr">
        <is>
          <t>D836-900004077-66838326-10192943-4</t>
        </is>
      </c>
    </row>
    <row r="534">
      <c r="A534" t="inlineStr">
        <is>
          <t>900006950D8366677927610000133</t>
        </is>
      </c>
      <c r="B534" t="inlineStr">
        <is>
          <t>4600048579-110</t>
        </is>
      </c>
      <c r="C534" t="n">
        <v>4600048579</v>
      </c>
      <c r="D534" t="n">
        <v>110</v>
      </c>
      <c r="E534" t="inlineStr">
        <is>
          <t>MXPO</t>
        </is>
      </c>
      <c r="F534" t="inlineStr">
        <is>
          <t>MXL</t>
        </is>
      </c>
      <c r="G534" t="n">
        <v>900006950</v>
      </c>
      <c r="H534" t="inlineStr">
        <is>
          <t>SF TP-ED-OLIELL GONDOLA</t>
        </is>
      </c>
      <c r="I534" t="n">
        <v>5048484</v>
      </c>
      <c r="J534" t="inlineStr">
        <is>
          <t>COMERCIALIZADORA Y TRANSPORTADORA O</t>
        </is>
      </c>
      <c r="K534" t="inlineStr">
        <is>
          <t>N90</t>
        </is>
      </c>
      <c r="L534" t="inlineStr">
        <is>
          <t>(AP) NAFIN 90 Dias</t>
        </is>
      </c>
      <c r="M534" t="n">
        <v>10000133</v>
      </c>
      <c r="N534" t="inlineStr">
        <is>
          <t>Grava Triturada Caliza 20 mm - 3/4"</t>
        </is>
      </c>
      <c r="O534" t="inlineStr">
        <is>
          <t>D836</t>
        </is>
      </c>
      <c r="P534" t="inlineStr">
        <is>
          <t>MX-CED. CENTRO</t>
        </is>
      </c>
      <c r="Q534" t="n">
        <v>20201201</v>
      </c>
      <c r="R534" t="n">
        <v>20291231</v>
      </c>
      <c r="S534" t="n">
        <v>20220221</v>
      </c>
      <c r="T534" t="n">
        <v>20261231</v>
      </c>
      <c r="U534" t="n">
        <v>417.53</v>
      </c>
      <c r="V534" t="inlineStr">
        <is>
          <t>MXN</t>
        </is>
      </c>
      <c r="W534" t="inlineStr">
        <is>
          <t>TN</t>
        </is>
      </c>
      <c r="X534" t="n">
        <v>227.63</v>
      </c>
      <c r="Y534" t="inlineStr">
        <is>
          <t>MXN</t>
        </is>
      </c>
      <c r="Z534" t="inlineStr">
        <is>
          <t>TN</t>
        </is>
      </c>
      <c r="AA534" t="inlineStr">
        <is>
          <t>66779276</t>
        </is>
      </c>
      <c r="AB534" t="inlineStr">
        <is>
          <t>TVega Concretos</t>
        </is>
      </c>
      <c r="AC534" t="n">
        <v>56103637</v>
      </c>
      <c r="AD534" t="n">
        <v>6622261540</v>
      </c>
      <c r="AE534" t="n">
        <v>4</v>
      </c>
      <c r="AF534" t="inlineStr">
        <is>
          <t>ENTREGA DIRECTA</t>
        </is>
      </c>
      <c r="AG534" t="n">
        <v>1</v>
      </c>
      <c r="AH534" t="inlineStr">
        <is>
          <t>TO</t>
        </is>
      </c>
      <c r="AI534" t="inlineStr">
        <is>
          <t>X</t>
        </is>
      </c>
      <c r="AJ534" t="n">
        <v>4</v>
      </c>
      <c r="AK534" t="inlineStr">
        <is>
          <t>V4</t>
        </is>
      </c>
      <c r="AL534" t="n">
        <v>20230920</v>
      </c>
      <c r="AM534" t="inlineStr">
        <is>
          <t>D836-900006950-66779276-10000133-4</t>
        </is>
      </c>
    </row>
    <row r="535">
      <c r="A535" t="inlineStr">
        <is>
          <t>900006542D8366710471810000623</t>
        </is>
      </c>
      <c r="B535" t="inlineStr">
        <is>
          <t>4600047341-510</t>
        </is>
      </c>
      <c r="C535" t="n">
        <v>4600047341</v>
      </c>
      <c r="D535" t="n">
        <v>510</v>
      </c>
      <c r="E535" t="inlineStr">
        <is>
          <t>MXPO</t>
        </is>
      </c>
      <c r="F535" t="inlineStr">
        <is>
          <t>MXL</t>
        </is>
      </c>
      <c r="G535" t="n">
        <v>900006542</v>
      </c>
      <c r="H535" t="inlineStr">
        <is>
          <t>TP-OLIELL TORTON</t>
        </is>
      </c>
      <c r="I535" t="n">
        <v>5048484</v>
      </c>
      <c r="J535" t="inlineStr">
        <is>
          <t>COMERCIALIZADORA Y TRANSPORTADORA O</t>
        </is>
      </c>
      <c r="K535" t="inlineStr">
        <is>
          <t>N90</t>
        </is>
      </c>
      <c r="L535" t="inlineStr">
        <is>
          <t>(AP) NAFIN 90 Dias</t>
        </is>
      </c>
      <c r="M535" t="n">
        <v>10000623</v>
      </c>
      <c r="N535" t="inlineStr">
        <is>
          <t>Grava Triturada Caliza 10 mm - 3/8"</t>
        </is>
      </c>
      <c r="O535" t="inlineStr">
        <is>
          <t>D836</t>
        </is>
      </c>
      <c r="P535" t="inlineStr">
        <is>
          <t>MX-CED. CENTRO</t>
        </is>
      </c>
      <c r="Q535" t="n">
        <v>20200615</v>
      </c>
      <c r="R535" t="n">
        <v>20281231</v>
      </c>
      <c r="S535" t="n">
        <v>20221027</v>
      </c>
      <c r="T535" t="n">
        <v>20271231</v>
      </c>
      <c r="U535" t="n">
        <v>600.6799999999999</v>
      </c>
      <c r="V535" t="inlineStr">
        <is>
          <t>MXN</t>
        </is>
      </c>
      <c r="W535" t="inlineStr">
        <is>
          <t>TN</t>
        </is>
      </c>
      <c r="X535" t="n">
        <v>444.68</v>
      </c>
      <c r="Y535" t="inlineStr">
        <is>
          <t>MXN</t>
        </is>
      </c>
      <c r="Z535" t="inlineStr">
        <is>
          <t>TN</t>
        </is>
      </c>
      <c r="AA535" t="inlineStr">
        <is>
          <t>67104718</t>
        </is>
      </c>
      <c r="AB535" t="inlineStr">
        <is>
          <t>GRUPO DESARROLLADOR INDUSTRIAL</t>
        </is>
      </c>
      <c r="AC535" t="n">
        <v>56103637</v>
      </c>
      <c r="AD535" t="n">
        <v>6622261540</v>
      </c>
      <c r="AE535" t="n">
        <v>4</v>
      </c>
      <c r="AF535" t="inlineStr">
        <is>
          <t>ENTREGA DIRECTA</t>
        </is>
      </c>
      <c r="AG535" t="n">
        <v>1</v>
      </c>
      <c r="AH535" t="inlineStr">
        <is>
          <t>TO</t>
        </is>
      </c>
      <c r="AI535" t="inlineStr">
        <is>
          <t>X</t>
        </is>
      </c>
      <c r="AJ535" t="n">
        <v>4</v>
      </c>
      <c r="AK535" t="inlineStr">
        <is>
          <t>V4</t>
        </is>
      </c>
      <c r="AL535" t="n">
        <v>20230920</v>
      </c>
      <c r="AM535" t="inlineStr">
        <is>
          <t>D836-900006542-67104718-10000623-4</t>
        </is>
      </c>
    </row>
    <row r="536">
      <c r="A536" t="inlineStr">
        <is>
          <t>900004077D8366686554710000357</t>
        </is>
      </c>
      <c r="B536" t="inlineStr">
        <is>
          <t>4600047844-230</t>
        </is>
      </c>
      <c r="C536" t="n">
        <v>4600047844</v>
      </c>
      <c r="D536" t="n">
        <v>230</v>
      </c>
      <c r="E536" t="inlineStr">
        <is>
          <t>MXPO</t>
        </is>
      </c>
      <c r="F536" t="inlineStr">
        <is>
          <t>MXL</t>
        </is>
      </c>
      <c r="G536" t="n">
        <v>900004077</v>
      </c>
      <c r="H536" t="inlineStr">
        <is>
          <t>TP-SAN JUAN (HUDASA)</t>
        </is>
      </c>
      <c r="I536" t="n">
        <v>5054686</v>
      </c>
      <c r="J536" t="inlineStr">
        <is>
          <t>GRUPO MERCANTIL HUDASA SA DE CV</t>
        </is>
      </c>
      <c r="K536" t="inlineStr">
        <is>
          <t>Z06</t>
        </is>
      </c>
      <c r="L536" t="inlineStr">
        <is>
          <t>(AP) 45 Dias</t>
        </is>
      </c>
      <c r="M536" t="n">
        <v>10000357</v>
      </c>
      <c r="N536" t="inlineStr">
        <is>
          <t>Grava Triturada Andesita 20 mm - 3/4"</t>
        </is>
      </c>
      <c r="O536" t="inlineStr">
        <is>
          <t>D836</t>
        </is>
      </c>
      <c r="P536" t="inlineStr">
        <is>
          <t>MX-CED. CENTRO</t>
        </is>
      </c>
      <c r="Q536" t="n">
        <v>20200825</v>
      </c>
      <c r="R536" t="n">
        <v>20301231</v>
      </c>
      <c r="S536" t="n">
        <v>20200922</v>
      </c>
      <c r="T536" t="n">
        <v>20291231</v>
      </c>
      <c r="U536" t="n">
        <v>228.01</v>
      </c>
      <c r="V536" t="inlineStr">
        <is>
          <t>MXN</t>
        </is>
      </c>
      <c r="W536" t="inlineStr">
        <is>
          <t>TN</t>
        </is>
      </c>
      <c r="X536" t="n">
        <v>148.01</v>
      </c>
      <c r="Y536" t="inlineStr">
        <is>
          <t>MXN</t>
        </is>
      </c>
      <c r="Z536" t="inlineStr">
        <is>
          <t>TN</t>
        </is>
      </c>
      <c r="AA536" t="inlineStr">
        <is>
          <t>66865547</t>
        </is>
      </c>
      <c r="AB536" t="inlineStr">
        <is>
          <t>ALDECO</t>
        </is>
      </c>
      <c r="AC536" t="n">
        <v>56103637</v>
      </c>
      <c r="AD536" t="n">
        <v>6622261540</v>
      </c>
      <c r="AE536" t="n">
        <v>4</v>
      </c>
      <c r="AF536" t="inlineStr">
        <is>
          <t>ENTREGA DIRECTA</t>
        </is>
      </c>
      <c r="AG536" t="n">
        <v>1</v>
      </c>
      <c r="AH536" t="inlineStr">
        <is>
          <t>TO</t>
        </is>
      </c>
      <c r="AI536" t="inlineStr">
        <is>
          <t>X</t>
        </is>
      </c>
      <c r="AJ536" t="n">
        <v>4</v>
      </c>
      <c r="AK536" t="inlineStr">
        <is>
          <t>V4</t>
        </is>
      </c>
      <c r="AL536" t="n">
        <v>20230920</v>
      </c>
      <c r="AM536" t="inlineStr">
        <is>
          <t>D836-900004077-66865547-10000357-4</t>
        </is>
      </c>
    </row>
    <row r="537">
      <c r="A537" t="inlineStr">
        <is>
          <t>900006950D8366710471810000623</t>
        </is>
      </c>
      <c r="B537" t="inlineStr">
        <is>
          <t>4600048579-130</t>
        </is>
      </c>
      <c r="C537" t="n">
        <v>4600048579</v>
      </c>
      <c r="D537" t="n">
        <v>130</v>
      </c>
      <c r="E537" t="inlineStr">
        <is>
          <t>MXPO</t>
        </is>
      </c>
      <c r="F537" t="inlineStr">
        <is>
          <t>MXL</t>
        </is>
      </c>
      <c r="G537" t="n">
        <v>900006950</v>
      </c>
      <c r="H537" t="inlineStr">
        <is>
          <t>SF TP-ED-OLIELL GONDOLA</t>
        </is>
      </c>
      <c r="I537" t="n">
        <v>5048484</v>
      </c>
      <c r="J537" t="inlineStr">
        <is>
          <t>COMERCIALIZADORA Y TRANSPORTADORA O</t>
        </is>
      </c>
      <c r="K537" t="inlineStr">
        <is>
          <t>N90</t>
        </is>
      </c>
      <c r="L537" t="inlineStr">
        <is>
          <t>(AP) NAFIN 90 Dias</t>
        </is>
      </c>
      <c r="M537" t="n">
        <v>10000623</v>
      </c>
      <c r="N537" t="inlineStr">
        <is>
          <t>Grava Triturada Caliza 10 mm - 3/8"</t>
        </is>
      </c>
      <c r="O537" t="inlineStr">
        <is>
          <t>D836</t>
        </is>
      </c>
      <c r="P537" t="inlineStr">
        <is>
          <t>MX-CED. CENTRO</t>
        </is>
      </c>
      <c r="Q537" t="n">
        <v>20201201</v>
      </c>
      <c r="R537" t="n">
        <v>20291231</v>
      </c>
      <c r="S537" t="n">
        <v>20221027</v>
      </c>
      <c r="T537" t="n">
        <v>20271231</v>
      </c>
      <c r="U537" t="n">
        <v>382.38</v>
      </c>
      <c r="V537" t="inlineStr">
        <is>
          <t>MXN</t>
        </is>
      </c>
      <c r="W537" t="inlineStr">
        <is>
          <t>TN</t>
        </is>
      </c>
      <c r="X537" t="n">
        <v>226.38</v>
      </c>
      <c r="Y537" t="inlineStr">
        <is>
          <t>MXN</t>
        </is>
      </c>
      <c r="Z537" t="inlineStr">
        <is>
          <t>TN</t>
        </is>
      </c>
      <c r="AA537" t="inlineStr">
        <is>
          <t>67104718</t>
        </is>
      </c>
      <c r="AB537" t="inlineStr">
        <is>
          <t>GRUPO DESARROLLADOR INDUSTRIAL</t>
        </is>
      </c>
      <c r="AC537" t="n">
        <v>56103637</v>
      </c>
      <c r="AD537" t="n">
        <v>6622261540</v>
      </c>
      <c r="AE537" t="n">
        <v>4</v>
      </c>
      <c r="AF537" t="inlineStr">
        <is>
          <t>ENTREGA DIRECTA</t>
        </is>
      </c>
      <c r="AG537" t="n">
        <v>1</v>
      </c>
      <c r="AH537" t="inlineStr">
        <is>
          <t>TO</t>
        </is>
      </c>
      <c r="AI537" t="inlineStr">
        <is>
          <t>X</t>
        </is>
      </c>
      <c r="AJ537" t="n">
        <v>4</v>
      </c>
      <c r="AK537" t="inlineStr">
        <is>
          <t>V4</t>
        </is>
      </c>
      <c r="AL537" t="n">
        <v>20230920</v>
      </c>
      <c r="AM537" t="inlineStr">
        <is>
          <t>D836-900006950-67104718-10000623-4</t>
        </is>
      </c>
    </row>
    <row r="538">
      <c r="A538" t="inlineStr">
        <is>
          <t>900006542D8366632311510000160</t>
        </is>
      </c>
      <c r="B538" t="inlineStr">
        <is>
          <t>4600047341-460</t>
        </is>
      </c>
      <c r="C538" t="n">
        <v>4600047341</v>
      </c>
      <c r="D538" t="n">
        <v>460</v>
      </c>
      <c r="E538" t="inlineStr">
        <is>
          <t>MXPO</t>
        </is>
      </c>
      <c r="F538" t="inlineStr">
        <is>
          <t>MXL</t>
        </is>
      </c>
      <c r="G538" t="n">
        <v>900006542</v>
      </c>
      <c r="H538" t="inlineStr">
        <is>
          <t>TP-OLIELL TORTON</t>
        </is>
      </c>
      <c r="I538" t="n">
        <v>5048484</v>
      </c>
      <c r="J538" t="inlineStr">
        <is>
          <t>COMERCIALIZADORA Y TRANSPORTADORA O</t>
        </is>
      </c>
      <c r="K538" t="inlineStr">
        <is>
          <t>N90</t>
        </is>
      </c>
      <c r="L538" t="inlineStr">
        <is>
          <t>(AP) NAFIN 90 Dias</t>
        </is>
      </c>
      <c r="M538" t="n">
        <v>10000160</v>
      </c>
      <c r="N538" t="inlineStr">
        <is>
          <t>Arena Triturada Andesita Malla 4</t>
        </is>
      </c>
      <c r="O538" t="inlineStr">
        <is>
          <t>D836</t>
        </is>
      </c>
      <c r="P538" t="inlineStr">
        <is>
          <t>MX-CED. CENTRO</t>
        </is>
      </c>
      <c r="Q538" t="n">
        <v>20200615</v>
      </c>
      <c r="R538" t="n">
        <v>20281231</v>
      </c>
      <c r="S538" t="n">
        <v>20211011</v>
      </c>
      <c r="T538" t="n">
        <v>20261231</v>
      </c>
      <c r="U538" t="n">
        <v>255.99</v>
      </c>
      <c r="V538" t="inlineStr">
        <is>
          <t>MXN</t>
        </is>
      </c>
      <c r="W538" t="inlineStr">
        <is>
          <t>TN</t>
        </is>
      </c>
      <c r="X538" t="n">
        <v>171.99</v>
      </c>
      <c r="Y538" t="inlineStr">
        <is>
          <t>MXN</t>
        </is>
      </c>
      <c r="Z538" t="inlineStr">
        <is>
          <t>TN</t>
        </is>
      </c>
      <c r="AA538" t="inlineStr">
        <is>
          <t>66323115</t>
        </is>
      </c>
      <c r="AB538" t="inlineStr">
        <is>
          <t>EDIFICIO REVOLUCIÓN  366</t>
        </is>
      </c>
      <c r="AC538" t="n">
        <v>56103638</v>
      </c>
      <c r="AD538" t="n">
        <v>6622261540</v>
      </c>
      <c r="AE538" t="n">
        <v>4</v>
      </c>
      <c r="AF538" t="inlineStr">
        <is>
          <t>ENTREGA DIRECTA</t>
        </is>
      </c>
      <c r="AG538" t="n">
        <v>1</v>
      </c>
      <c r="AH538" t="inlineStr">
        <is>
          <t>TO</t>
        </is>
      </c>
      <c r="AI538" t="inlineStr">
        <is>
          <t>X</t>
        </is>
      </c>
      <c r="AJ538" t="n">
        <v>4</v>
      </c>
      <c r="AK538" t="inlineStr">
        <is>
          <t>V4</t>
        </is>
      </c>
      <c r="AL538" t="n">
        <v>20230920</v>
      </c>
      <c r="AM538" t="inlineStr">
        <is>
          <t>D836-900006542-66323115-10000160-4</t>
        </is>
      </c>
    </row>
    <row r="539">
      <c r="A539" t="inlineStr">
        <is>
          <t>900004077D8366686554710184010</t>
        </is>
      </c>
      <c r="B539" t="inlineStr">
        <is>
          <t>4600047844-260</t>
        </is>
      </c>
      <c r="C539" t="n">
        <v>4600047844</v>
      </c>
      <c r="D539" t="n">
        <v>260</v>
      </c>
      <c r="E539" t="inlineStr">
        <is>
          <t>MXPO</t>
        </is>
      </c>
      <c r="F539" t="inlineStr">
        <is>
          <t>MXL</t>
        </is>
      </c>
      <c r="G539" t="n">
        <v>900004077</v>
      </c>
      <c r="H539" t="inlineStr">
        <is>
          <t>TP-SAN JUAN (HUDASA)</t>
        </is>
      </c>
      <c r="I539" t="n">
        <v>5054686</v>
      </c>
      <c r="J539" t="inlineStr">
        <is>
          <t>GRUPO MERCANTIL HUDASA SA DE CV</t>
        </is>
      </c>
      <c r="K539" t="inlineStr">
        <is>
          <t>Z06</t>
        </is>
      </c>
      <c r="L539" t="inlineStr">
        <is>
          <t>(AP) 45 Dias</t>
        </is>
      </c>
      <c r="M539" t="n">
        <v>10184010</v>
      </c>
      <c r="N539" t="inlineStr">
        <is>
          <t>GRAVA TRITURADA CALIZA 13 MM - 1/2"</t>
        </is>
      </c>
      <c r="O539" t="inlineStr">
        <is>
          <t>D836</t>
        </is>
      </c>
      <c r="P539" t="inlineStr">
        <is>
          <t>MX-CED. CENTRO</t>
        </is>
      </c>
      <c r="Q539" t="n">
        <v>20200825</v>
      </c>
      <c r="R539" t="n">
        <v>20301231</v>
      </c>
      <c r="S539" t="n">
        <v>20200922</v>
      </c>
      <c r="T539" t="n">
        <v>20291231</v>
      </c>
      <c r="U539" t="n">
        <v>251.5</v>
      </c>
      <c r="V539" t="inlineStr">
        <is>
          <t>MXN</t>
        </is>
      </c>
      <c r="W539" t="inlineStr">
        <is>
          <t>TN</t>
        </is>
      </c>
      <c r="X539" t="n">
        <v>138.3</v>
      </c>
      <c r="Y539" t="inlineStr">
        <is>
          <t>MXN</t>
        </is>
      </c>
      <c r="Z539" t="inlineStr">
        <is>
          <t>TN</t>
        </is>
      </c>
      <c r="AA539" t="inlineStr">
        <is>
          <t>66865547</t>
        </is>
      </c>
      <c r="AB539" t="inlineStr">
        <is>
          <t>ALDECO</t>
        </is>
      </c>
      <c r="AC539" t="n">
        <v>56103637</v>
      </c>
      <c r="AD539" t="n">
        <v>6622261540</v>
      </c>
      <c r="AE539" t="n">
        <v>4</v>
      </c>
      <c r="AF539" t="inlineStr">
        <is>
          <t>ENTREGA DIRECTA</t>
        </is>
      </c>
      <c r="AG539" t="n">
        <v>1</v>
      </c>
      <c r="AH539" t="inlineStr">
        <is>
          <t>TO</t>
        </is>
      </c>
      <c r="AI539" t="inlineStr">
        <is>
          <t>X</t>
        </is>
      </c>
      <c r="AJ539" t="n">
        <v>4</v>
      </c>
      <c r="AK539" t="inlineStr">
        <is>
          <t>V4</t>
        </is>
      </c>
      <c r="AL539" t="n">
        <v>20230920</v>
      </c>
      <c r="AM539" t="inlineStr">
        <is>
          <t>D836-900004077-66865547-10184010-4</t>
        </is>
      </c>
    </row>
    <row r="540">
      <c r="A540" t="inlineStr">
        <is>
          <t>900004077D8366692837910192945</t>
        </is>
      </c>
      <c r="B540" t="inlineStr">
        <is>
          <t>4600047844-520</t>
        </is>
      </c>
      <c r="C540" t="n">
        <v>4600047844</v>
      </c>
      <c r="D540" t="n">
        <v>520</v>
      </c>
      <c r="E540" t="inlineStr">
        <is>
          <t>MXPO</t>
        </is>
      </c>
      <c r="F540" t="inlineStr">
        <is>
          <t>MXL</t>
        </is>
      </c>
      <c r="G540" t="n">
        <v>900004077</v>
      </c>
      <c r="H540" t="inlineStr">
        <is>
          <t>TP-SAN JUAN (HUDASA)</t>
        </is>
      </c>
      <c r="I540" t="n">
        <v>5054686</v>
      </c>
      <c r="J540" t="inlineStr">
        <is>
          <t>GRUPO MERCANTIL HUDASA SA DE CV</t>
        </is>
      </c>
      <c r="K540" t="inlineStr">
        <is>
          <t>Z06</t>
        </is>
      </c>
      <c r="L540" t="inlineStr">
        <is>
          <t>(AP) 45 Dias</t>
        </is>
      </c>
      <c r="M540" t="n">
        <v>10192945</v>
      </c>
      <c r="N540" t="inlineStr">
        <is>
          <t>GRAVA TRITURADA CALIZA 13 MM - 1/2" HD</t>
        </is>
      </c>
      <c r="O540" t="inlineStr">
        <is>
          <t>D836</t>
        </is>
      </c>
      <c r="P540" t="inlineStr">
        <is>
          <t>MX-CED. CENTRO</t>
        </is>
      </c>
      <c r="Q540" t="n">
        <v>20200825</v>
      </c>
      <c r="R540" t="n">
        <v>20301231</v>
      </c>
      <c r="S540" t="n">
        <v>20210201</v>
      </c>
      <c r="T540" t="n">
        <v>20291231</v>
      </c>
      <c r="U540" t="n">
        <v>251.5</v>
      </c>
      <c r="V540" t="inlineStr">
        <is>
          <t>MXN</t>
        </is>
      </c>
      <c r="W540" t="inlineStr">
        <is>
          <t>TN</t>
        </is>
      </c>
      <c r="X540" t="n">
        <v>138.3</v>
      </c>
      <c r="Y540" t="inlineStr">
        <is>
          <t>MXN</t>
        </is>
      </c>
      <c r="Z540" t="inlineStr">
        <is>
          <t>TN</t>
        </is>
      </c>
      <c r="AA540" t="inlineStr">
        <is>
          <t>66928379</t>
        </is>
      </c>
      <c r="AB540" t="inlineStr">
        <is>
          <t>FORD GALLEGOS</t>
        </is>
      </c>
      <c r="AC540" t="n">
        <v>56103637</v>
      </c>
      <c r="AD540" t="n">
        <v>6622261540</v>
      </c>
      <c r="AE540" t="n">
        <v>4</v>
      </c>
      <c r="AF540" t="inlineStr">
        <is>
          <t>ENTREGA DIRECTA</t>
        </is>
      </c>
      <c r="AG540" t="n">
        <v>1</v>
      </c>
      <c r="AH540" t="inlineStr">
        <is>
          <t>TO</t>
        </is>
      </c>
      <c r="AI540" t="inlineStr">
        <is>
          <t>X</t>
        </is>
      </c>
      <c r="AJ540" t="n">
        <v>4</v>
      </c>
      <c r="AK540" t="inlineStr">
        <is>
          <t>V4</t>
        </is>
      </c>
      <c r="AL540" t="n">
        <v>20230920</v>
      </c>
      <c r="AM540" t="inlineStr">
        <is>
          <t>D836-900004077-66928379-10192945-4</t>
        </is>
      </c>
    </row>
    <row r="541">
      <c r="A541" t="inlineStr">
        <is>
          <t>900004077D8366692837910192944</t>
        </is>
      </c>
      <c r="B541" t="inlineStr">
        <is>
          <t>4600047844-530</t>
        </is>
      </c>
      <c r="C541" t="n">
        <v>4600047844</v>
      </c>
      <c r="D541" t="n">
        <v>530</v>
      </c>
      <c r="E541" t="inlineStr">
        <is>
          <t>MXPO</t>
        </is>
      </c>
      <c r="F541" t="inlineStr">
        <is>
          <t>MXL</t>
        </is>
      </c>
      <c r="G541" t="n">
        <v>900004077</v>
      </c>
      <c r="H541" t="inlineStr">
        <is>
          <t>TP-SAN JUAN (HUDASA)</t>
        </is>
      </c>
      <c r="I541" t="n">
        <v>5054686</v>
      </c>
      <c r="J541" t="inlineStr">
        <is>
          <t>GRUPO MERCANTIL HUDASA SA DE CV</t>
        </is>
      </c>
      <c r="K541" t="inlineStr">
        <is>
          <t>Z06</t>
        </is>
      </c>
      <c r="L541" t="inlineStr">
        <is>
          <t>(AP) 45 Dias</t>
        </is>
      </c>
      <c r="M541" t="n">
        <v>10192944</v>
      </c>
      <c r="N541" t="inlineStr">
        <is>
          <t>GRAVA TRITURADA CALIZA 20 MM - 3/4" HD</t>
        </is>
      </c>
      <c r="O541" t="inlineStr">
        <is>
          <t>D836</t>
        </is>
      </c>
      <c r="P541" t="inlineStr">
        <is>
          <t>MX-CED. CENTRO</t>
        </is>
      </c>
      <c r="Q541" t="n">
        <v>20200825</v>
      </c>
      <c r="R541" t="n">
        <v>20301231</v>
      </c>
      <c r="S541" t="n">
        <v>20210201</v>
      </c>
      <c r="T541" t="n">
        <v>20291231</v>
      </c>
      <c r="U541" t="n">
        <v>250</v>
      </c>
      <c r="V541" t="inlineStr">
        <is>
          <t>MXN</t>
        </is>
      </c>
      <c r="W541" t="inlineStr">
        <is>
          <t>TN</t>
        </is>
      </c>
      <c r="X541" t="n">
        <v>136.8</v>
      </c>
      <c r="Y541" t="inlineStr">
        <is>
          <t>MXN</t>
        </is>
      </c>
      <c r="Z541" t="inlineStr">
        <is>
          <t>TN</t>
        </is>
      </c>
      <c r="AA541" t="inlineStr">
        <is>
          <t>66928379</t>
        </is>
      </c>
      <c r="AB541" t="inlineStr">
        <is>
          <t>FORD GALLEGOS</t>
        </is>
      </c>
      <c r="AC541" t="n">
        <v>56103637</v>
      </c>
      <c r="AD541" t="n">
        <v>6622261540</v>
      </c>
      <c r="AE541" t="n">
        <v>4</v>
      </c>
      <c r="AF541" t="inlineStr">
        <is>
          <t>ENTREGA DIRECTA</t>
        </is>
      </c>
      <c r="AG541" t="n">
        <v>1</v>
      </c>
      <c r="AH541" t="inlineStr">
        <is>
          <t>TO</t>
        </is>
      </c>
      <c r="AI541" t="inlineStr">
        <is>
          <t>X</t>
        </is>
      </c>
      <c r="AJ541" t="n">
        <v>4</v>
      </c>
      <c r="AK541" t="inlineStr">
        <is>
          <t>V4</t>
        </is>
      </c>
      <c r="AL541" t="n">
        <v>20230920</v>
      </c>
      <c r="AM541" t="inlineStr">
        <is>
          <t>D836-900004077-66928379-10192944-4</t>
        </is>
      </c>
    </row>
    <row r="542">
      <c r="A542" t="inlineStr">
        <is>
          <t>900007321D8366677927610000627</t>
        </is>
      </c>
      <c r="B542" t="inlineStr">
        <is>
          <t>4600052061-40</t>
        </is>
      </c>
      <c r="C542" t="n">
        <v>4600052061</v>
      </c>
      <c r="D542" t="n">
        <v>40</v>
      </c>
      <c r="E542" t="inlineStr">
        <is>
          <t>MXPO</t>
        </is>
      </c>
      <c r="F542" t="inlineStr">
        <is>
          <t>MXL</t>
        </is>
      </c>
      <c r="G542" t="n">
        <v>900007321</v>
      </c>
      <c r="H542" t="inlineStr">
        <is>
          <t>SF TP-ED-LOMA ANCHA SC</t>
        </is>
      </c>
      <c r="I542" t="n">
        <v>5047262</v>
      </c>
      <c r="J542" t="inlineStr">
        <is>
          <t>AGREGADOS PETREOS SAN CRISTOBAL</t>
        </is>
      </c>
      <c r="K542" t="inlineStr">
        <is>
          <t>Z03</t>
        </is>
      </c>
      <c r="L542" t="inlineStr">
        <is>
          <t>(AP) 15 Dias</t>
        </is>
      </c>
      <c r="M542" t="n">
        <v>10000627</v>
      </c>
      <c r="N542" t="inlineStr">
        <is>
          <t>Grava Triturada Andesita 10 mm - 3/8"</t>
        </is>
      </c>
      <c r="O542" t="inlineStr">
        <is>
          <t>D836</t>
        </is>
      </c>
      <c r="P542" t="inlineStr">
        <is>
          <t>MX-CED. CENTRO</t>
        </is>
      </c>
      <c r="Q542" t="n">
        <v>20210928</v>
      </c>
      <c r="R542" t="n">
        <v>20291231</v>
      </c>
      <c r="S542" t="n">
        <v>20250425</v>
      </c>
      <c r="T542" t="n">
        <v>20301231</v>
      </c>
      <c r="U542" t="n">
        <v>240</v>
      </c>
      <c r="V542" t="inlineStr">
        <is>
          <t>MXN</t>
        </is>
      </c>
      <c r="W542" t="inlineStr">
        <is>
          <t>M3</t>
        </is>
      </c>
      <c r="X542" t="n">
        <v>160</v>
      </c>
      <c r="Y542" t="inlineStr">
        <is>
          <t>MXN</t>
        </is>
      </c>
      <c r="Z542" t="inlineStr">
        <is>
          <t>M3</t>
        </is>
      </c>
      <c r="AA542" t="inlineStr">
        <is>
          <t>66779276</t>
        </is>
      </c>
      <c r="AB542" t="inlineStr">
        <is>
          <t>TVega Concretos</t>
        </is>
      </c>
      <c r="AC542" t="n">
        <v>56103637</v>
      </c>
      <c r="AD542" t="n">
        <v>6622261540</v>
      </c>
      <c r="AE542" t="n">
        <v>4</v>
      </c>
      <c r="AF542" t="inlineStr">
        <is>
          <t>ENTREGA DIRECTA</t>
        </is>
      </c>
      <c r="AG542" t="n">
        <v>1.33</v>
      </c>
      <c r="AH542" t="inlineStr">
        <is>
          <t>M3</t>
        </is>
      </c>
      <c r="AI542" t="inlineStr">
        <is>
          <t>X</t>
        </is>
      </c>
      <c r="AJ542" t="n">
        <v>4</v>
      </c>
      <c r="AK542" t="inlineStr">
        <is>
          <t>V4</t>
        </is>
      </c>
      <c r="AL542" t="n">
        <v>20250429</v>
      </c>
      <c r="AM542" t="inlineStr">
        <is>
          <t>D836-900007321-66779276-10000627-4</t>
        </is>
      </c>
    </row>
    <row r="543">
      <c r="A543" t="inlineStr">
        <is>
          <t>900002574D8366724941610000623</t>
        </is>
      </c>
      <c r="B543" t="inlineStr">
        <is>
          <t>4600027590-2580</t>
        </is>
      </c>
      <c r="C543" t="n">
        <v>4600027590</v>
      </c>
      <c r="D543" t="n">
        <v>2580</v>
      </c>
      <c r="E543" t="inlineStr">
        <is>
          <t>MXPO</t>
        </is>
      </c>
      <c r="F543" t="inlineStr">
        <is>
          <t>M02</t>
        </is>
      </c>
      <c r="G543" t="n">
        <v>900002574</v>
      </c>
      <c r="H543" t="inlineStr">
        <is>
          <t>TP-ED-OLIELL</t>
        </is>
      </c>
      <c r="I543" t="n">
        <v>5048484</v>
      </c>
      <c r="J543" t="inlineStr">
        <is>
          <t>COMERCIALIZADORA Y TRANSPORTADORA O</t>
        </is>
      </c>
      <c r="K543" t="inlineStr">
        <is>
          <t>N90</t>
        </is>
      </c>
      <c r="L543" t="inlineStr">
        <is>
          <t>(AP) NAFIN 90 Dias</t>
        </is>
      </c>
      <c r="M543" t="n">
        <v>10000623</v>
      </c>
      <c r="N543" t="inlineStr">
        <is>
          <t>Grava Triturada Caliza 10 mm - 3/8"</t>
        </is>
      </c>
      <c r="O543" t="inlineStr">
        <is>
          <t>D836</t>
        </is>
      </c>
      <c r="P543" t="inlineStr">
        <is>
          <t>MX-CED. CENTRO</t>
        </is>
      </c>
      <c r="Q543" t="n">
        <v>20141106</v>
      </c>
      <c r="R543" t="n">
        <v>20281231</v>
      </c>
      <c r="S543" t="n">
        <v>20240729</v>
      </c>
      <c r="T543" t="n">
        <v>20291231</v>
      </c>
      <c r="U543" t="n">
        <v>316.87</v>
      </c>
      <c r="V543" t="inlineStr">
        <is>
          <t>MXN</t>
        </is>
      </c>
      <c r="W543" t="inlineStr">
        <is>
          <t>TN</t>
        </is>
      </c>
      <c r="X543" t="n">
        <v>200</v>
      </c>
      <c r="Y543" t="inlineStr">
        <is>
          <t>MXN</t>
        </is>
      </c>
      <c r="Z543" t="inlineStr">
        <is>
          <t>TN</t>
        </is>
      </c>
      <c r="AA543" t="inlineStr">
        <is>
          <t>67249416</t>
        </is>
      </c>
      <c r="AB543" t="inlineStr">
        <is>
          <t>RASIMEC AGREGADO</t>
        </is>
      </c>
      <c r="AC543" t="n">
        <v>56103637</v>
      </c>
      <c r="AD543" t="n">
        <v>6622261540</v>
      </c>
      <c r="AE543" t="n">
        <v>4</v>
      </c>
      <c r="AF543" t="inlineStr">
        <is>
          <t>ENTREGA DIRECTA</t>
        </is>
      </c>
      <c r="AG543" t="n">
        <v>1</v>
      </c>
      <c r="AH543" t="inlineStr">
        <is>
          <t>TO</t>
        </is>
      </c>
      <c r="AI543" t="inlineStr">
        <is>
          <t>X</t>
        </is>
      </c>
      <c r="AJ543" t="n">
        <v>4</v>
      </c>
      <c r="AK543" t="inlineStr">
        <is>
          <t>V4</t>
        </is>
      </c>
      <c r="AL543" t="n">
        <v>20240731</v>
      </c>
      <c r="AM543" t="inlineStr">
        <is>
          <t>D836-900002574-67249416-10000623-4</t>
        </is>
      </c>
    </row>
    <row r="544">
      <c r="A544" t="inlineStr">
        <is>
          <t>900002574D8366724941610058345</t>
        </is>
      </c>
      <c r="B544" t="inlineStr">
        <is>
          <t>4600027590-2560</t>
        </is>
      </c>
      <c r="C544" t="n">
        <v>4600027590</v>
      </c>
      <c r="D544" t="n">
        <v>2560</v>
      </c>
      <c r="E544" t="inlineStr">
        <is>
          <t>MXPO</t>
        </is>
      </c>
      <c r="F544" t="inlineStr">
        <is>
          <t>M02</t>
        </is>
      </c>
      <c r="G544" t="n">
        <v>900002574</v>
      </c>
      <c r="H544" t="inlineStr">
        <is>
          <t>TP-ED-OLIELL</t>
        </is>
      </c>
      <c r="I544" t="n">
        <v>5048484</v>
      </c>
      <c r="J544" t="inlineStr">
        <is>
          <t>COMERCIALIZADORA Y TRANSPORTADORA O</t>
        </is>
      </c>
      <c r="K544" t="inlineStr">
        <is>
          <t>N90</t>
        </is>
      </c>
      <c r="L544" t="inlineStr">
        <is>
          <t>(AP) NAFIN 90 Dias</t>
        </is>
      </c>
      <c r="M544" t="n">
        <v>10058345</v>
      </c>
      <c r="N544" t="inlineStr">
        <is>
          <t>Arena Triturada Caliza Malla 4</t>
        </is>
      </c>
      <c r="O544" t="inlineStr">
        <is>
          <t>D836</t>
        </is>
      </c>
      <c r="P544" t="inlineStr">
        <is>
          <t>MX-CED. CENTRO</t>
        </is>
      </c>
      <c r="Q544" t="n">
        <v>20141106</v>
      </c>
      <c r="R544" t="n">
        <v>20281231</v>
      </c>
      <c r="S544" t="n">
        <v>20240729</v>
      </c>
      <c r="T544" t="n">
        <v>20291231</v>
      </c>
      <c r="U544" t="n">
        <v>259.18</v>
      </c>
      <c r="V544" t="inlineStr">
        <is>
          <t>MXN</t>
        </is>
      </c>
      <c r="W544" t="inlineStr">
        <is>
          <t>TN</t>
        </is>
      </c>
      <c r="X544" t="n">
        <v>200</v>
      </c>
      <c r="Y544" t="inlineStr">
        <is>
          <t>MXN</t>
        </is>
      </c>
      <c r="Z544" t="inlineStr">
        <is>
          <t>TN</t>
        </is>
      </c>
      <c r="AA544" t="inlineStr">
        <is>
          <t>67249416</t>
        </is>
      </c>
      <c r="AB544" t="inlineStr">
        <is>
          <t>RASIMEC AGREGADO</t>
        </is>
      </c>
      <c r="AC544" t="n">
        <v>56103638</v>
      </c>
      <c r="AD544" t="n">
        <v>6622261540</v>
      </c>
      <c r="AE544" t="n">
        <v>4</v>
      </c>
      <c r="AF544" t="inlineStr">
        <is>
          <t>ENTREGA DIRECTA</t>
        </is>
      </c>
      <c r="AG544" t="n">
        <v>1</v>
      </c>
      <c r="AH544" t="inlineStr">
        <is>
          <t>TO</t>
        </is>
      </c>
      <c r="AI544" t="inlineStr">
        <is>
          <t>X</t>
        </is>
      </c>
      <c r="AJ544" t="n">
        <v>4</v>
      </c>
      <c r="AK544" t="inlineStr">
        <is>
          <t>V4</t>
        </is>
      </c>
      <c r="AL544" t="n">
        <v>20240731</v>
      </c>
      <c r="AM544" t="inlineStr">
        <is>
          <t>D836-900002574-67249416-10058345-4</t>
        </is>
      </c>
    </row>
    <row r="545">
      <c r="A545" t="inlineStr">
        <is>
          <t>900001074D83610259792</t>
        </is>
      </c>
      <c r="B545" t="inlineStr">
        <is>
          <t>4600027573-410</t>
        </is>
      </c>
      <c r="C545" t="n">
        <v>4600027573</v>
      </c>
      <c r="D545" t="n">
        <v>410</v>
      </c>
      <c r="E545" t="inlineStr">
        <is>
          <t>MXPO</t>
        </is>
      </c>
      <c r="F545" t="inlineStr">
        <is>
          <t>M02</t>
        </is>
      </c>
      <c r="G545" t="n">
        <v>900001074</v>
      </c>
      <c r="H545" t="inlineStr">
        <is>
          <t>TP-TRIVOMEX</t>
        </is>
      </c>
      <c r="I545" t="n">
        <v>5033501</v>
      </c>
      <c r="J545" t="inlineStr">
        <is>
          <t>TRITURADOS VOLCANICOS DE MEXICO</t>
        </is>
      </c>
      <c r="K545" t="inlineStr">
        <is>
          <t>Z04</t>
        </is>
      </c>
      <c r="L545" t="inlineStr">
        <is>
          <t>(AP) 30 Dias</t>
        </is>
      </c>
      <c r="M545" t="n">
        <v>10259792</v>
      </c>
      <c r="N545" t="inlineStr">
        <is>
          <t>ARENA TRIT ANDESITA #4 - FZ</t>
        </is>
      </c>
      <c r="O545" t="inlineStr">
        <is>
          <t>D836</t>
        </is>
      </c>
      <c r="P545" t="inlineStr">
        <is>
          <t>MX-CED. CENTRO</t>
        </is>
      </c>
      <c r="Q545" t="n">
        <v>20140701</v>
      </c>
      <c r="R545" t="n">
        <v>20291231</v>
      </c>
      <c r="S545" t="n">
        <v>20240820</v>
      </c>
      <c r="T545" t="n">
        <v>20291231</v>
      </c>
      <c r="U545" t="n">
        <v>102</v>
      </c>
      <c r="V545" t="inlineStr">
        <is>
          <t>MXN</t>
        </is>
      </c>
      <c r="W545" t="inlineStr">
        <is>
          <t>M3</t>
        </is>
      </c>
      <c r="X545" t="n">
        <v>0</v>
      </c>
      <c r="Y545" t="inlineStr">
        <is>
          <t>MXN</t>
        </is>
      </c>
      <c r="Z545" t="inlineStr">
        <is>
          <t>M3</t>
        </is>
      </c>
      <c r="AC545" t="n">
        <v>56103638</v>
      </c>
      <c r="AD545" t="n">
        <v>6622261540</v>
      </c>
      <c r="AE545" t="n">
        <v>1</v>
      </c>
      <c r="AF545" t="inlineStr">
        <is>
          <t>ENTREGADO</t>
        </is>
      </c>
      <c r="AG545" t="n">
        <v>1.555</v>
      </c>
      <c r="AH545" t="inlineStr">
        <is>
          <t>M3</t>
        </is>
      </c>
      <c r="AI545" t="inlineStr">
        <is>
          <t>X</t>
        </is>
      </c>
      <c r="AJ545" t="n">
        <v>4</v>
      </c>
      <c r="AK545" t="inlineStr">
        <is>
          <t>V4</t>
        </is>
      </c>
      <c r="AL545" t="n">
        <v>20240821</v>
      </c>
      <c r="AM545" t="inlineStr">
        <is>
          <t>D836-900001074-10259792</t>
        </is>
      </c>
    </row>
    <row r="546">
      <c r="A546" t="inlineStr">
        <is>
          <t>900005356D83610259792</t>
        </is>
      </c>
      <c r="B546" t="inlineStr">
        <is>
          <t>4600039490-80</t>
        </is>
      </c>
      <c r="C546" t="n">
        <v>4600039490</v>
      </c>
      <c r="D546" t="n">
        <v>80</v>
      </c>
      <c r="E546" t="inlineStr">
        <is>
          <t>MXPO</t>
        </is>
      </c>
      <c r="F546" t="inlineStr">
        <is>
          <t>MXL</t>
        </is>
      </c>
      <c r="G546" t="n">
        <v>900005356</v>
      </c>
      <c r="H546" t="inlineStr">
        <is>
          <t>TP-TRIVOMEX RECOGIDO</t>
        </is>
      </c>
      <c r="I546" t="n">
        <v>5033501</v>
      </c>
      <c r="J546" t="inlineStr">
        <is>
          <t>TRITURADOS VOLCANICOS DE MEXICO</t>
        </is>
      </c>
      <c r="K546" t="inlineStr">
        <is>
          <t>Z04</t>
        </is>
      </c>
      <c r="L546" t="inlineStr">
        <is>
          <t>(AP) 30 Dias</t>
        </is>
      </c>
      <c r="M546" t="n">
        <v>10259792</v>
      </c>
      <c r="N546" t="inlineStr">
        <is>
          <t>ARENA TRIT ANDESITA #4 - FZ</t>
        </is>
      </c>
      <c r="O546" t="inlineStr">
        <is>
          <t>D836</t>
        </is>
      </c>
      <c r="P546" t="inlineStr">
        <is>
          <t>MX-CED. CENTRO</t>
        </is>
      </c>
      <c r="Q546" t="n">
        <v>20170828</v>
      </c>
      <c r="R546" t="n">
        <v>20281231</v>
      </c>
      <c r="S546" t="n">
        <v>20240820</v>
      </c>
      <c r="T546" t="n">
        <v>20291231</v>
      </c>
      <c r="U546" t="n">
        <v>102</v>
      </c>
      <c r="V546" t="inlineStr">
        <is>
          <t>MXN</t>
        </is>
      </c>
      <c r="W546" t="inlineStr">
        <is>
          <t>M3</t>
        </is>
      </c>
      <c r="X546" t="n">
        <v>0</v>
      </c>
      <c r="Y546" t="inlineStr">
        <is>
          <t>MXN</t>
        </is>
      </c>
      <c r="Z546" t="inlineStr">
        <is>
          <t>M3</t>
        </is>
      </c>
      <c r="AC546" t="n">
        <v>56103638</v>
      </c>
      <c r="AD546" t="n">
        <v>6622261540</v>
      </c>
      <c r="AE546" t="n">
        <v>1</v>
      </c>
      <c r="AF546" t="inlineStr">
        <is>
          <t>ENTREGADO</t>
        </is>
      </c>
      <c r="AG546" t="n">
        <v>1.555</v>
      </c>
      <c r="AH546" t="inlineStr">
        <is>
          <t>M3</t>
        </is>
      </c>
      <c r="AI546" t="inlineStr">
        <is>
          <t>X</t>
        </is>
      </c>
      <c r="AJ546" t="n">
        <v>4</v>
      </c>
      <c r="AK546" t="inlineStr">
        <is>
          <t>V4</t>
        </is>
      </c>
      <c r="AL546" t="n">
        <v>20240821</v>
      </c>
      <c r="AM546" t="inlineStr">
        <is>
          <t>D836-900005356-10259792</t>
        </is>
      </c>
    </row>
    <row r="547">
      <c r="A547" t="inlineStr">
        <is>
          <t>900007321D8366677927610000357</t>
        </is>
      </c>
      <c r="B547" t="inlineStr">
        <is>
          <t>4600052061-50</t>
        </is>
      </c>
      <c r="C547" t="n">
        <v>4600052061</v>
      </c>
      <c r="D547" t="n">
        <v>50</v>
      </c>
      <c r="E547" t="inlineStr">
        <is>
          <t>MXPO</t>
        </is>
      </c>
      <c r="F547" t="inlineStr">
        <is>
          <t>MXL</t>
        </is>
      </c>
      <c r="G547" t="n">
        <v>900007321</v>
      </c>
      <c r="H547" t="inlineStr">
        <is>
          <t>SF TP-ED-LOMA ANCHA SC</t>
        </is>
      </c>
      <c r="I547" t="n">
        <v>5047262</v>
      </c>
      <c r="J547" t="inlineStr">
        <is>
          <t>AGREGADOS PETREOS SAN CRISTOBAL</t>
        </is>
      </c>
      <c r="K547" t="inlineStr">
        <is>
          <t>Z03</t>
        </is>
      </c>
      <c r="L547" t="inlineStr">
        <is>
          <t>(AP) 15 Dias</t>
        </is>
      </c>
      <c r="M547" t="n">
        <v>10000357</v>
      </c>
      <c r="N547" t="inlineStr">
        <is>
          <t>Grava Triturada Andesita 20 mm - 3/4"</t>
        </is>
      </c>
      <c r="O547" t="inlineStr">
        <is>
          <t>D836</t>
        </is>
      </c>
      <c r="P547" t="inlineStr">
        <is>
          <t>MX-CED. CENTRO</t>
        </is>
      </c>
      <c r="Q547" t="n">
        <v>20210928</v>
      </c>
      <c r="R547" t="n">
        <v>20291231</v>
      </c>
      <c r="S547" t="n">
        <v>20250425</v>
      </c>
      <c r="T547" t="n">
        <v>20301231</v>
      </c>
      <c r="U547" t="n">
        <v>280</v>
      </c>
      <c r="V547" t="inlineStr">
        <is>
          <t>MXN</t>
        </is>
      </c>
      <c r="W547" t="inlineStr">
        <is>
          <t>M3</t>
        </is>
      </c>
      <c r="X547" t="n">
        <v>160</v>
      </c>
      <c r="Y547" t="inlineStr">
        <is>
          <t>MXN</t>
        </is>
      </c>
      <c r="Z547" t="inlineStr">
        <is>
          <t>M3</t>
        </is>
      </c>
      <c r="AA547" t="inlineStr">
        <is>
          <t>66779276</t>
        </is>
      </c>
      <c r="AB547" t="inlineStr">
        <is>
          <t>TVega Concretos</t>
        </is>
      </c>
      <c r="AC547" t="n">
        <v>56103637</v>
      </c>
      <c r="AD547" t="n">
        <v>6622261540</v>
      </c>
      <c r="AE547" t="n">
        <v>4</v>
      </c>
      <c r="AF547" t="inlineStr">
        <is>
          <t>ENTREGA DIRECTA</t>
        </is>
      </c>
      <c r="AG547" t="n">
        <v>1.326</v>
      </c>
      <c r="AH547" t="inlineStr">
        <is>
          <t>M3</t>
        </is>
      </c>
      <c r="AI547" t="inlineStr">
        <is>
          <t>X</t>
        </is>
      </c>
      <c r="AJ547" t="n">
        <v>4</v>
      </c>
      <c r="AK547" t="inlineStr">
        <is>
          <t>V4</t>
        </is>
      </c>
      <c r="AL547" t="n">
        <v>20250429</v>
      </c>
      <c r="AM547" t="inlineStr">
        <is>
          <t>D836-900007321-66779276-10000357-4</t>
        </is>
      </c>
    </row>
    <row r="548">
      <c r="A548" t="inlineStr">
        <is>
          <t>900002574D8366734039210058345</t>
        </is>
      </c>
      <c r="B548" t="inlineStr">
        <is>
          <t>4600027590-2660</t>
        </is>
      </c>
      <c r="C548" t="n">
        <v>4600027590</v>
      </c>
      <c r="D548" t="n">
        <v>2660</v>
      </c>
      <c r="E548" t="inlineStr">
        <is>
          <t>MXPO</t>
        </is>
      </c>
      <c r="F548" t="inlineStr">
        <is>
          <t>M02</t>
        </is>
      </c>
      <c r="G548" t="n">
        <v>900002574</v>
      </c>
      <c r="H548" t="inlineStr">
        <is>
          <t>TP-ED-OLIELL</t>
        </is>
      </c>
      <c r="I548" t="n">
        <v>5048484</v>
      </c>
      <c r="J548" t="inlineStr">
        <is>
          <t>COMERCIALIZADORA Y TRANSPORTADORA O</t>
        </is>
      </c>
      <c r="K548" t="inlineStr">
        <is>
          <t>N90</t>
        </is>
      </c>
      <c r="L548" t="inlineStr">
        <is>
          <t>(AP) NAFIN 90 Dias</t>
        </is>
      </c>
      <c r="M548" t="n">
        <v>10058345</v>
      </c>
      <c r="N548" t="inlineStr">
        <is>
          <t>Arena Triturada Caliza Malla 4</t>
        </is>
      </c>
      <c r="O548" t="inlineStr">
        <is>
          <t>D836</t>
        </is>
      </c>
      <c r="P548" t="inlineStr">
        <is>
          <t>MX-CED. CENTRO</t>
        </is>
      </c>
      <c r="Q548" t="n">
        <v>20141106</v>
      </c>
      <c r="R548" t="n">
        <v>20281231</v>
      </c>
      <c r="S548" t="n">
        <v>20250925</v>
      </c>
      <c r="T548" t="n">
        <v>20301231</v>
      </c>
      <c r="U548" t="n">
        <v>1400</v>
      </c>
      <c r="V548" t="inlineStr">
        <is>
          <t>MXN</t>
        </is>
      </c>
      <c r="W548" t="inlineStr">
        <is>
          <t>TN</t>
        </is>
      </c>
      <c r="X548" t="n">
        <v>1000</v>
      </c>
      <c r="Y548" t="inlineStr">
        <is>
          <t>MXN</t>
        </is>
      </c>
      <c r="Z548" t="inlineStr">
        <is>
          <t>TN</t>
        </is>
      </c>
      <c r="AA548" t="inlineStr">
        <is>
          <t>67340392</t>
        </is>
      </c>
      <c r="AB548" t="inlineStr">
        <is>
          <t>UNIVERSIDAD AUTONOMA DE MEXICO</t>
        </is>
      </c>
      <c r="AC548" t="n">
        <v>56103638</v>
      </c>
      <c r="AD548" t="n">
        <v>6622261540</v>
      </c>
      <c r="AE548" t="n">
        <v>4</v>
      </c>
      <c r="AF548" t="inlineStr">
        <is>
          <t>ENTREGA DIRECTA</t>
        </is>
      </c>
      <c r="AG548" t="n">
        <v>1</v>
      </c>
      <c r="AH548" t="inlineStr">
        <is>
          <t>TO</t>
        </is>
      </c>
      <c r="AI548" t="inlineStr">
        <is>
          <t>X</t>
        </is>
      </c>
      <c r="AJ548" t="n">
        <v>4</v>
      </c>
      <c r="AK548" t="inlineStr">
        <is>
          <t>V4</t>
        </is>
      </c>
      <c r="AL548" t="n">
        <v>20250929</v>
      </c>
      <c r="AM548" t="inlineStr">
        <is>
          <t>D836-900002574-67340392-10058345-4</t>
        </is>
      </c>
    </row>
    <row r="549">
      <c r="A549" t="inlineStr">
        <is>
          <t>900006542D8366658734810000357</t>
        </is>
      </c>
      <c r="B549" t="inlineStr">
        <is>
          <t>4600047341-40</t>
        </is>
      </c>
      <c r="C549" t="n">
        <v>4600047341</v>
      </c>
      <c r="D549" t="n">
        <v>40</v>
      </c>
      <c r="E549" t="inlineStr">
        <is>
          <t>MXPO</t>
        </is>
      </c>
      <c r="F549" t="inlineStr">
        <is>
          <t>MXL</t>
        </is>
      </c>
      <c r="G549" t="n">
        <v>900006542</v>
      </c>
      <c r="H549" t="inlineStr">
        <is>
          <t>TP-OLIELL TORTON</t>
        </is>
      </c>
      <c r="I549" t="n">
        <v>5048484</v>
      </c>
      <c r="J549" t="inlineStr">
        <is>
          <t>COMERCIALIZADORA Y TRANSPORTADORA O</t>
        </is>
      </c>
      <c r="K549" t="inlineStr">
        <is>
          <t>N90</t>
        </is>
      </c>
      <c r="L549" t="inlineStr">
        <is>
          <t>(AP) NAFIN 90 Dias</t>
        </is>
      </c>
      <c r="M549" t="n">
        <v>10000357</v>
      </c>
      <c r="N549" t="inlineStr">
        <is>
          <t>Grava Triturada Andesita 20 mm - 3/4"</t>
        </is>
      </c>
      <c r="O549" t="inlineStr">
        <is>
          <t>D836</t>
        </is>
      </c>
      <c r="P549" t="inlineStr">
        <is>
          <t>MX-CED. CENTRO</t>
        </is>
      </c>
      <c r="Q549" t="n">
        <v>20200615</v>
      </c>
      <c r="R549" t="n">
        <v>20281231</v>
      </c>
      <c r="S549" t="n">
        <v>20200617</v>
      </c>
      <c r="T549" t="n">
        <v>20301231</v>
      </c>
      <c r="U549" t="n">
        <v>318.96</v>
      </c>
      <c r="V549" t="inlineStr">
        <is>
          <t>MXN</t>
        </is>
      </c>
      <c r="W549" t="inlineStr">
        <is>
          <t>M3</t>
        </is>
      </c>
      <c r="X549" t="n">
        <v>181.96</v>
      </c>
      <c r="Y549" t="inlineStr">
        <is>
          <t>MXN</t>
        </is>
      </c>
      <c r="Z549" t="inlineStr">
        <is>
          <t>M3</t>
        </is>
      </c>
      <c r="AA549" t="inlineStr">
        <is>
          <t>66587348</t>
        </is>
      </c>
      <c r="AB549" t="inlineStr">
        <is>
          <t>MuSeO AnAHuAcALLI  (GCG)</t>
        </is>
      </c>
      <c r="AC549" t="n">
        <v>56103637</v>
      </c>
      <c r="AD549" t="n">
        <v>6622261540</v>
      </c>
      <c r="AE549" t="n">
        <v>4</v>
      </c>
      <c r="AF549" t="inlineStr">
        <is>
          <t>ENTREGA DIRECTA</t>
        </is>
      </c>
      <c r="AG549" t="n">
        <v>1.326</v>
      </c>
      <c r="AH549" t="inlineStr">
        <is>
          <t>M3</t>
        </is>
      </c>
      <c r="AI549" t="inlineStr">
        <is>
          <t>X</t>
        </is>
      </c>
      <c r="AJ549" t="n">
        <v>4</v>
      </c>
      <c r="AK549" t="inlineStr">
        <is>
          <t>V4</t>
        </is>
      </c>
      <c r="AL549" t="n">
        <v>20230920</v>
      </c>
      <c r="AM549" t="inlineStr">
        <is>
          <t>D836-900006542-66587348-10000357-4</t>
        </is>
      </c>
    </row>
    <row r="550">
      <c r="A550" t="inlineStr">
        <is>
          <t>900004077D8366692837910192909</t>
        </is>
      </c>
      <c r="B550" t="inlineStr">
        <is>
          <t>4600047844-490</t>
        </is>
      </c>
      <c r="C550" t="n">
        <v>4600047844</v>
      </c>
      <c r="D550" t="n">
        <v>490</v>
      </c>
      <c r="E550" t="inlineStr">
        <is>
          <t>MXPO</t>
        </is>
      </c>
      <c r="F550" t="inlineStr">
        <is>
          <t>MXL</t>
        </is>
      </c>
      <c r="G550" t="n">
        <v>900004077</v>
      </c>
      <c r="H550" t="inlineStr">
        <is>
          <t>TP-SAN JUAN (HUDASA)</t>
        </is>
      </c>
      <c r="I550" t="n">
        <v>5054686</v>
      </c>
      <c r="J550" t="inlineStr">
        <is>
          <t>GRUPO MERCANTIL HUDASA SA DE CV</t>
        </is>
      </c>
      <c r="K550" t="inlineStr">
        <is>
          <t>Z06</t>
        </is>
      </c>
      <c r="L550" t="inlineStr">
        <is>
          <t>(AP) 45 Dias</t>
        </is>
      </c>
      <c r="M550" t="n">
        <v>10192909</v>
      </c>
      <c r="N550" t="inlineStr">
        <is>
          <t>GRAVA TRITURADA ANDESITA 10 MM - 3/8" HD</t>
        </is>
      </c>
      <c r="O550" t="inlineStr">
        <is>
          <t>D836</t>
        </is>
      </c>
      <c r="P550" t="inlineStr">
        <is>
          <t>MX-CED. CENTRO</t>
        </is>
      </c>
      <c r="Q550" t="n">
        <v>20200825</v>
      </c>
      <c r="R550" t="n">
        <v>20301231</v>
      </c>
      <c r="S550" t="n">
        <v>20210201</v>
      </c>
      <c r="T550" t="n">
        <v>20291231</v>
      </c>
      <c r="U550" t="n">
        <v>334.74</v>
      </c>
      <c r="V550" t="inlineStr">
        <is>
          <t>MXN</t>
        </is>
      </c>
      <c r="W550" t="inlineStr">
        <is>
          <t>M3</t>
        </is>
      </c>
      <c r="X550" t="n">
        <v>228.34</v>
      </c>
      <c r="Y550" t="inlineStr">
        <is>
          <t>MXN</t>
        </is>
      </c>
      <c r="Z550" t="inlineStr">
        <is>
          <t>M3</t>
        </is>
      </c>
      <c r="AA550" t="inlineStr">
        <is>
          <t>66928379</t>
        </is>
      </c>
      <c r="AB550" t="inlineStr">
        <is>
          <t>FORD GALLEGOS</t>
        </is>
      </c>
      <c r="AC550" t="n">
        <v>56103637</v>
      </c>
      <c r="AD550" t="n">
        <v>6622261540</v>
      </c>
      <c r="AE550" t="n">
        <v>4</v>
      </c>
      <c r="AF550" t="inlineStr">
        <is>
          <t>ENTREGA DIRECTA</t>
        </is>
      </c>
      <c r="AG550" t="n">
        <v>1.234</v>
      </c>
      <c r="AH550" t="inlineStr">
        <is>
          <t>M3</t>
        </is>
      </c>
      <c r="AI550" t="inlineStr">
        <is>
          <t>X</t>
        </is>
      </c>
      <c r="AJ550" t="n">
        <v>4</v>
      </c>
      <c r="AK550" t="inlineStr">
        <is>
          <t>V4</t>
        </is>
      </c>
      <c r="AL550" t="n">
        <v>20230920</v>
      </c>
      <c r="AM550" t="inlineStr">
        <is>
          <t>D836-900004077-66928379-10192909-4</t>
        </is>
      </c>
    </row>
    <row r="551">
      <c r="A551" t="inlineStr">
        <is>
          <t>900006542D8366687636210000160</t>
        </is>
      </c>
      <c r="B551" t="inlineStr">
        <is>
          <t>4600047341-50</t>
        </is>
      </c>
      <c r="C551" t="n">
        <v>4600047341</v>
      </c>
      <c r="D551" t="n">
        <v>50</v>
      </c>
      <c r="E551" t="inlineStr">
        <is>
          <t>MXPO</t>
        </is>
      </c>
      <c r="F551" t="inlineStr">
        <is>
          <t>MXL</t>
        </is>
      </c>
      <c r="G551" t="n">
        <v>900006542</v>
      </c>
      <c r="H551" t="inlineStr">
        <is>
          <t>TP-OLIELL TORTON</t>
        </is>
      </c>
      <c r="I551" t="n">
        <v>5048484</v>
      </c>
      <c r="J551" t="inlineStr">
        <is>
          <t>COMERCIALIZADORA Y TRANSPORTADORA O</t>
        </is>
      </c>
      <c r="K551" t="inlineStr">
        <is>
          <t>N90</t>
        </is>
      </c>
      <c r="L551" t="inlineStr">
        <is>
          <t>(AP) NAFIN 90 Dias</t>
        </is>
      </c>
      <c r="M551" t="n">
        <v>10000160</v>
      </c>
      <c r="N551" t="inlineStr">
        <is>
          <t>Arena Triturada Andesita Malla 4</t>
        </is>
      </c>
      <c r="O551" t="inlineStr">
        <is>
          <t>D836</t>
        </is>
      </c>
      <c r="P551" t="inlineStr">
        <is>
          <t>MX-CED. CENTRO</t>
        </is>
      </c>
      <c r="Q551" t="n">
        <v>20200615</v>
      </c>
      <c r="R551" t="n">
        <v>20281231</v>
      </c>
      <c r="S551" t="n">
        <v>20200617</v>
      </c>
      <c r="T551" t="n">
        <v>20301231</v>
      </c>
      <c r="U551" t="n">
        <v>387.93</v>
      </c>
      <c r="V551" t="inlineStr">
        <is>
          <t>MXN</t>
        </is>
      </c>
      <c r="W551" t="inlineStr">
        <is>
          <t>M3</t>
        </is>
      </c>
      <c r="X551" t="n">
        <v>287.93</v>
      </c>
      <c r="Y551" t="inlineStr">
        <is>
          <t>MXN</t>
        </is>
      </c>
      <c r="Z551" t="inlineStr">
        <is>
          <t>M3</t>
        </is>
      </c>
      <c r="AA551" t="inlineStr">
        <is>
          <t>66876362</t>
        </is>
      </c>
      <c r="AB551" t="inlineStr">
        <is>
          <t>HOSPITAL ANGELES PEDREGAL</t>
        </is>
      </c>
      <c r="AC551" t="n">
        <v>56103638</v>
      </c>
      <c r="AD551" t="n">
        <v>6622261540</v>
      </c>
      <c r="AE551" t="n">
        <v>4</v>
      </c>
      <c r="AF551" t="inlineStr">
        <is>
          <t>ENTREGA DIRECTA</t>
        </is>
      </c>
      <c r="AG551" t="n">
        <v>1.409</v>
      </c>
      <c r="AH551" t="inlineStr">
        <is>
          <t>M3</t>
        </is>
      </c>
      <c r="AI551" t="inlineStr">
        <is>
          <t>X</t>
        </is>
      </c>
      <c r="AJ551" t="n">
        <v>4</v>
      </c>
      <c r="AK551" t="inlineStr">
        <is>
          <t>V4</t>
        </is>
      </c>
      <c r="AL551" t="n">
        <v>20230920</v>
      </c>
      <c r="AM551" t="inlineStr">
        <is>
          <t>D836-900006542-66876362-10000160-4</t>
        </is>
      </c>
    </row>
    <row r="552">
      <c r="A552" t="inlineStr">
        <is>
          <t>900006542D8366687636210000357</t>
        </is>
      </c>
      <c r="B552" t="inlineStr">
        <is>
          <t>4600047341-60</t>
        </is>
      </c>
      <c r="C552" t="n">
        <v>4600047341</v>
      </c>
      <c r="D552" t="n">
        <v>60</v>
      </c>
      <c r="E552" t="inlineStr">
        <is>
          <t>MXPO</t>
        </is>
      </c>
      <c r="F552" t="inlineStr">
        <is>
          <t>MXL</t>
        </is>
      </c>
      <c r="G552" t="n">
        <v>900006542</v>
      </c>
      <c r="H552" t="inlineStr">
        <is>
          <t>TP-OLIELL TORTON</t>
        </is>
      </c>
      <c r="I552" t="n">
        <v>5048484</v>
      </c>
      <c r="J552" t="inlineStr">
        <is>
          <t>COMERCIALIZADORA Y TRANSPORTADORA O</t>
        </is>
      </c>
      <c r="K552" t="inlineStr">
        <is>
          <t>N90</t>
        </is>
      </c>
      <c r="L552" t="inlineStr">
        <is>
          <t>(AP) NAFIN 90 Dias</t>
        </is>
      </c>
      <c r="M552" t="n">
        <v>10000357</v>
      </c>
      <c r="N552" t="inlineStr">
        <is>
          <t>Grava Triturada Andesita 20 mm - 3/4"</t>
        </is>
      </c>
      <c r="O552" t="inlineStr">
        <is>
          <t>D836</t>
        </is>
      </c>
      <c r="P552" t="inlineStr">
        <is>
          <t>MX-CED. CENTRO</t>
        </is>
      </c>
      <c r="Q552" t="n">
        <v>20200615</v>
      </c>
      <c r="R552" t="n">
        <v>20281231</v>
      </c>
      <c r="S552" t="n">
        <v>20200617</v>
      </c>
      <c r="T552" t="n">
        <v>20301231</v>
      </c>
      <c r="U552" t="n">
        <v>405.17</v>
      </c>
      <c r="V552" t="inlineStr">
        <is>
          <t>MXN</t>
        </is>
      </c>
      <c r="W552" t="inlineStr">
        <is>
          <t>M3</t>
        </is>
      </c>
      <c r="X552" t="n">
        <v>268.17</v>
      </c>
      <c r="Y552" t="inlineStr">
        <is>
          <t>MXN</t>
        </is>
      </c>
      <c r="Z552" t="inlineStr">
        <is>
          <t>M3</t>
        </is>
      </c>
      <c r="AA552" t="inlineStr">
        <is>
          <t>66876362</t>
        </is>
      </c>
      <c r="AB552" t="inlineStr">
        <is>
          <t>HOSPITAL ANGELES PEDREGAL</t>
        </is>
      </c>
      <c r="AC552" t="n">
        <v>56103637</v>
      </c>
      <c r="AD552" t="n">
        <v>6622261540</v>
      </c>
      <c r="AE552" t="n">
        <v>4</v>
      </c>
      <c r="AF552" t="inlineStr">
        <is>
          <t>ENTREGA DIRECTA</t>
        </is>
      </c>
      <c r="AG552" t="n">
        <v>1.326</v>
      </c>
      <c r="AH552" t="inlineStr">
        <is>
          <t>M3</t>
        </is>
      </c>
      <c r="AI552" t="inlineStr">
        <is>
          <t>X</t>
        </is>
      </c>
      <c r="AJ552" t="n">
        <v>4</v>
      </c>
      <c r="AK552" t="inlineStr">
        <is>
          <t>V4</t>
        </is>
      </c>
      <c r="AL552" t="n">
        <v>20230920</v>
      </c>
      <c r="AM552" t="inlineStr">
        <is>
          <t>D836-900006542-66876362-10000357-4</t>
        </is>
      </c>
    </row>
    <row r="553">
      <c r="A553" t="inlineStr">
        <is>
          <t>900004323D8366515582010000357</t>
        </is>
      </c>
      <c r="B553" t="inlineStr">
        <is>
          <t>4600039874-70</t>
        </is>
      </c>
      <c r="C553" t="n">
        <v>4600039874</v>
      </c>
      <c r="D553" t="n">
        <v>70</v>
      </c>
      <c r="E553" t="inlineStr">
        <is>
          <t>MXPO</t>
        </is>
      </c>
      <c r="F553" t="inlineStr">
        <is>
          <t>MXL</t>
        </is>
      </c>
      <c r="G553" t="n">
        <v>900004323</v>
      </c>
      <c r="H553" t="inlineStr">
        <is>
          <t>TP-LAS TRANCAS</t>
        </is>
      </c>
      <c r="I553" t="n">
        <v>5047262</v>
      </c>
      <c r="J553" t="inlineStr">
        <is>
          <t>AGREGADOS PETREOS SAN CRISTOBAL</t>
        </is>
      </c>
      <c r="K553" t="inlineStr">
        <is>
          <t>Z03</t>
        </is>
      </c>
      <c r="L553" t="inlineStr">
        <is>
          <t>(AP) 15 Dias</t>
        </is>
      </c>
      <c r="M553" t="n">
        <v>10000357</v>
      </c>
      <c r="N553" t="inlineStr">
        <is>
          <t>Grava Triturada Andesita 20 mm - 3/4"</t>
        </is>
      </c>
      <c r="O553" t="inlineStr">
        <is>
          <t>D836</t>
        </is>
      </c>
      <c r="P553" t="inlineStr">
        <is>
          <t>MX-CED. CENTRO</t>
        </is>
      </c>
      <c r="Q553" t="n">
        <v>20170927</v>
      </c>
      <c r="R553" t="n">
        <v>20281231</v>
      </c>
      <c r="S553" t="n">
        <v>20180911</v>
      </c>
      <c r="T553" t="n">
        <v>20241231</v>
      </c>
      <c r="U553" t="n">
        <v>193.05</v>
      </c>
      <c r="V553" t="inlineStr">
        <is>
          <t>MXN</t>
        </is>
      </c>
      <c r="W553" t="inlineStr">
        <is>
          <t>M3</t>
        </is>
      </c>
      <c r="X553" t="n">
        <v>103.05</v>
      </c>
      <c r="Y553" t="inlineStr">
        <is>
          <t>MXN</t>
        </is>
      </c>
      <c r="Z553" t="inlineStr">
        <is>
          <t>M3</t>
        </is>
      </c>
      <c r="AA553" t="inlineStr">
        <is>
          <t>65155820</t>
        </is>
      </c>
      <c r="AB553" t="inlineStr">
        <is>
          <t>GRUPO CASA BLANCA SAN LUIS</t>
        </is>
      </c>
      <c r="AC553" t="n">
        <v>56103637</v>
      </c>
      <c r="AD553" t="n">
        <v>6622261540</v>
      </c>
      <c r="AE553" t="n">
        <v>4</v>
      </c>
      <c r="AF553" t="inlineStr">
        <is>
          <t>ENTREGA DIRECTA</t>
        </is>
      </c>
      <c r="AG553" t="n">
        <v>1.326</v>
      </c>
      <c r="AH553" t="inlineStr">
        <is>
          <t>M3</t>
        </is>
      </c>
      <c r="AI553" t="inlineStr">
        <is>
          <t>X</t>
        </is>
      </c>
      <c r="AJ553" t="n">
        <v>4</v>
      </c>
      <c r="AK553" t="inlineStr">
        <is>
          <t>V4</t>
        </is>
      </c>
      <c r="AL553" t="n">
        <v>20230920</v>
      </c>
      <c r="AM553" t="inlineStr">
        <is>
          <t>D836-900004323-65155820-10000357-4</t>
        </is>
      </c>
    </row>
    <row r="554">
      <c r="A554" t="inlineStr">
        <is>
          <t>900003599D8366500394510000623</t>
        </is>
      </c>
      <c r="B554" t="inlineStr">
        <is>
          <t>4600041240-120</t>
        </is>
      </c>
      <c r="C554" t="n">
        <v>4600041240</v>
      </c>
      <c r="D554" t="n">
        <v>120</v>
      </c>
      <c r="E554" t="inlineStr">
        <is>
          <t>MXPO</t>
        </is>
      </c>
      <c r="F554" t="inlineStr">
        <is>
          <t>MXL</t>
        </is>
      </c>
      <c r="G554" t="n">
        <v>900003599</v>
      </c>
      <c r="H554" t="inlineStr">
        <is>
          <t>TP-ED-ESTRATEGIAS AVANZADAS</t>
        </is>
      </c>
      <c r="I554" t="n">
        <v>5049458</v>
      </c>
      <c r="J554" t="inlineStr">
        <is>
          <t>ESTRATEGIAS AVANZADAS PARA OBTEN</t>
        </is>
      </c>
      <c r="K554" t="inlineStr">
        <is>
          <t>Z03</t>
        </is>
      </c>
      <c r="L554" t="inlineStr">
        <is>
          <t>(AP) 15 Dias</t>
        </is>
      </c>
      <c r="M554" t="n">
        <v>10000623</v>
      </c>
      <c r="N554" t="inlineStr">
        <is>
          <t>Grava Triturada Caliza 10 mm - 3/8"</t>
        </is>
      </c>
      <c r="O554" t="inlineStr">
        <is>
          <t>D836</t>
        </is>
      </c>
      <c r="P554" t="inlineStr">
        <is>
          <t>MX-CED. CENTRO</t>
        </is>
      </c>
      <c r="Q554" t="n">
        <v>20180215</v>
      </c>
      <c r="R554" t="n">
        <v>20301231</v>
      </c>
      <c r="S554" t="n">
        <v>20211102</v>
      </c>
      <c r="T554" t="n">
        <v>20261231</v>
      </c>
      <c r="U554" t="n">
        <v>434.5</v>
      </c>
      <c r="V554" t="inlineStr">
        <is>
          <t>MXN</t>
        </is>
      </c>
      <c r="W554" t="inlineStr">
        <is>
          <t>M3</t>
        </is>
      </c>
      <c r="X554" t="n">
        <v>334.5</v>
      </c>
      <c r="Y554" t="inlineStr">
        <is>
          <t>MXN</t>
        </is>
      </c>
      <c r="Z554" t="inlineStr">
        <is>
          <t>M3</t>
        </is>
      </c>
      <c r="AA554" t="inlineStr">
        <is>
          <t>65003945</t>
        </is>
      </c>
      <c r="AB554" t="inlineStr">
        <is>
          <t>(P) OBR-AGR PREMEZCLADOS (RRL)</t>
        </is>
      </c>
      <c r="AC554" t="n">
        <v>56103637</v>
      </c>
      <c r="AD554" t="n">
        <v>6622261540</v>
      </c>
      <c r="AE554" t="n">
        <v>4</v>
      </c>
      <c r="AF554" t="inlineStr">
        <is>
          <t>ENTREGA DIRECTA</t>
        </is>
      </c>
      <c r="AG554" t="n">
        <v>1.41</v>
      </c>
      <c r="AH554" t="inlineStr">
        <is>
          <t>M3</t>
        </is>
      </c>
      <c r="AI554" t="inlineStr">
        <is>
          <t>X</t>
        </is>
      </c>
      <c r="AJ554" t="n">
        <v>4</v>
      </c>
      <c r="AK554" t="inlineStr">
        <is>
          <t>V4</t>
        </is>
      </c>
      <c r="AL554" t="n">
        <v>20230920</v>
      </c>
      <c r="AM554" t="inlineStr">
        <is>
          <t>D836-900003599-65003945-10000623-4</t>
        </is>
      </c>
    </row>
    <row r="555">
      <c r="A555" t="inlineStr">
        <is>
          <t>900004077D8366686554710000627</t>
        </is>
      </c>
      <c r="B555" t="inlineStr">
        <is>
          <t>4600047844-220</t>
        </is>
      </c>
      <c r="C555" t="n">
        <v>4600047844</v>
      </c>
      <c r="D555" t="n">
        <v>220</v>
      </c>
      <c r="E555" t="inlineStr">
        <is>
          <t>MXPO</t>
        </is>
      </c>
      <c r="F555" t="inlineStr">
        <is>
          <t>MXL</t>
        </is>
      </c>
      <c r="G555" t="n">
        <v>900004077</v>
      </c>
      <c r="H555" t="inlineStr">
        <is>
          <t>TP-SAN JUAN (HUDASA)</t>
        </is>
      </c>
      <c r="I555" t="n">
        <v>5054686</v>
      </c>
      <c r="J555" t="inlineStr">
        <is>
          <t>GRUPO MERCANTIL HUDASA SA DE CV</t>
        </is>
      </c>
      <c r="K555" t="inlineStr">
        <is>
          <t>Z06</t>
        </is>
      </c>
      <c r="L555" t="inlineStr">
        <is>
          <t>(AP) 45 Dias</t>
        </is>
      </c>
      <c r="M555" t="n">
        <v>10000627</v>
      </c>
      <c r="N555" t="inlineStr">
        <is>
          <t>Grava Triturada Andesita 10 mm - 3/8"</t>
        </is>
      </c>
      <c r="O555" t="inlineStr">
        <is>
          <t>D836</t>
        </is>
      </c>
      <c r="P555" t="inlineStr">
        <is>
          <t>MX-CED. CENTRO</t>
        </is>
      </c>
      <c r="Q555" t="n">
        <v>20200825</v>
      </c>
      <c r="R555" t="n">
        <v>20301231</v>
      </c>
      <c r="S555" t="n">
        <v>20200922</v>
      </c>
      <c r="T555" t="n">
        <v>20291231</v>
      </c>
      <c r="U555" t="n">
        <v>334.74</v>
      </c>
      <c r="V555" t="inlineStr">
        <is>
          <t>MXN</t>
        </is>
      </c>
      <c r="W555" t="inlineStr">
        <is>
          <t>M3</t>
        </is>
      </c>
      <c r="X555" t="n">
        <v>228.34</v>
      </c>
      <c r="Y555" t="inlineStr">
        <is>
          <t>MXN</t>
        </is>
      </c>
      <c r="Z555" t="inlineStr">
        <is>
          <t>M3</t>
        </is>
      </c>
      <c r="AA555" t="inlineStr">
        <is>
          <t>66865547</t>
        </is>
      </c>
      <c r="AB555" t="inlineStr">
        <is>
          <t>ALDECO</t>
        </is>
      </c>
      <c r="AC555" t="n">
        <v>56103637</v>
      </c>
      <c r="AD555" t="n">
        <v>6622261540</v>
      </c>
      <c r="AE555" t="n">
        <v>4</v>
      </c>
      <c r="AF555" t="inlineStr">
        <is>
          <t>ENTREGA DIRECTA</t>
        </is>
      </c>
      <c r="AG555" t="n">
        <v>1.33</v>
      </c>
      <c r="AH555" t="inlineStr">
        <is>
          <t>M3</t>
        </is>
      </c>
      <c r="AI555" t="inlineStr">
        <is>
          <t>X</t>
        </is>
      </c>
      <c r="AJ555" t="n">
        <v>4</v>
      </c>
      <c r="AK555" t="inlineStr">
        <is>
          <t>V4</t>
        </is>
      </c>
      <c r="AL555" t="n">
        <v>20230920</v>
      </c>
      <c r="AM555" t="inlineStr">
        <is>
          <t>D836-900004077-66865547-10000627-4</t>
        </is>
      </c>
    </row>
    <row r="556">
      <c r="A556" t="inlineStr">
        <is>
          <t>900006542D8366707906010000133</t>
        </is>
      </c>
      <c r="B556" t="inlineStr">
        <is>
          <t>4600047341-500</t>
        </is>
      </c>
      <c r="C556" t="n">
        <v>4600047341</v>
      </c>
      <c r="D556" t="n">
        <v>500</v>
      </c>
      <c r="E556" t="inlineStr">
        <is>
          <t>MXPO</t>
        </is>
      </c>
      <c r="F556" t="inlineStr">
        <is>
          <t>MXL</t>
        </is>
      </c>
      <c r="G556" t="n">
        <v>900006542</v>
      </c>
      <c r="H556" t="inlineStr">
        <is>
          <t>TP-OLIELL TORTON</t>
        </is>
      </c>
      <c r="I556" t="n">
        <v>5048484</v>
      </c>
      <c r="J556" t="inlineStr">
        <is>
          <t>COMERCIALIZADORA Y TRANSPORTADORA O</t>
        </is>
      </c>
      <c r="K556" t="inlineStr">
        <is>
          <t>N90</t>
        </is>
      </c>
      <c r="L556" t="inlineStr">
        <is>
          <t>(AP) NAFIN 90 Dias</t>
        </is>
      </c>
      <c r="M556" t="n">
        <v>10000133</v>
      </c>
      <c r="N556" t="inlineStr">
        <is>
          <t>Grava Triturada Caliza 20 mm - 3/4"</t>
        </is>
      </c>
      <c r="O556" t="inlineStr">
        <is>
          <t>D836</t>
        </is>
      </c>
      <c r="P556" t="inlineStr">
        <is>
          <t>MX-CED. CENTRO</t>
        </is>
      </c>
      <c r="Q556" t="n">
        <v>20200615</v>
      </c>
      <c r="R556" t="n">
        <v>20281231</v>
      </c>
      <c r="S556" t="n">
        <v>20220628</v>
      </c>
      <c r="T556" t="n">
        <v>20271231</v>
      </c>
      <c r="U556" t="n">
        <v>517.1</v>
      </c>
      <c r="V556" t="inlineStr">
        <is>
          <t>MXN</t>
        </is>
      </c>
      <c r="W556" t="inlineStr">
        <is>
          <t>M3</t>
        </is>
      </c>
      <c r="X556" t="n">
        <v>67.09999999999999</v>
      </c>
      <c r="Y556" t="inlineStr">
        <is>
          <t>MXN</t>
        </is>
      </c>
      <c r="Z556" t="inlineStr">
        <is>
          <t>M3</t>
        </is>
      </c>
      <c r="AA556" t="inlineStr">
        <is>
          <t>67079060</t>
        </is>
      </c>
      <c r="AB556" t="inlineStr">
        <is>
          <t>AGG MICROS (EYAN)</t>
        </is>
      </c>
      <c r="AC556" t="n">
        <v>56103637</v>
      </c>
      <c r="AD556" t="n">
        <v>6622261540</v>
      </c>
      <c r="AE556" t="n">
        <v>4</v>
      </c>
      <c r="AF556" t="inlineStr">
        <is>
          <t>ENTREGA DIRECTA</t>
        </is>
      </c>
      <c r="AG556" t="n">
        <v>1.46</v>
      </c>
      <c r="AH556" t="inlineStr">
        <is>
          <t>M3</t>
        </is>
      </c>
      <c r="AI556" t="inlineStr">
        <is>
          <t>X</t>
        </is>
      </c>
      <c r="AJ556" t="n">
        <v>4</v>
      </c>
      <c r="AK556" t="inlineStr">
        <is>
          <t>V4</t>
        </is>
      </c>
      <c r="AL556" t="n">
        <v>20230920</v>
      </c>
      <c r="AM556" t="inlineStr">
        <is>
          <t>D836-900006542-67079060-10000133-4</t>
        </is>
      </c>
    </row>
    <row r="557">
      <c r="A557" t="inlineStr">
        <is>
          <t>900003496D8366724340810000643</t>
        </is>
      </c>
      <c r="B557" t="inlineStr">
        <is>
          <t>4600048147-80</t>
        </is>
      </c>
      <c r="C557" t="n">
        <v>4600048147</v>
      </c>
      <c r="D557" t="n">
        <v>80</v>
      </c>
      <c r="E557" t="inlineStr">
        <is>
          <t>MXPO</t>
        </is>
      </c>
      <c r="F557" t="inlineStr">
        <is>
          <t>MXL</t>
        </is>
      </c>
      <c r="G557" t="n">
        <v>900003496</v>
      </c>
      <c r="H557" t="inlineStr">
        <is>
          <t>TP-ED-TRIMCAV</t>
        </is>
      </c>
      <c r="I557" t="n">
        <v>5010147</v>
      </c>
      <c r="J557" t="inlineStr">
        <is>
          <t>TRITURACIONES DE MARMOL Y CALCIOS</t>
        </is>
      </c>
      <c r="K557" t="inlineStr">
        <is>
          <t>Z04</t>
        </is>
      </c>
      <c r="L557" t="inlineStr">
        <is>
          <t>(AP) 30 Dias</t>
        </is>
      </c>
      <c r="M557" t="n">
        <v>10000643</v>
      </c>
      <c r="N557" t="inlineStr">
        <is>
          <t>Grava Triturada Marmol 20 mm - 3/4"</t>
        </is>
      </c>
      <c r="O557" t="inlineStr">
        <is>
          <t>D836</t>
        </is>
      </c>
      <c r="P557" t="inlineStr">
        <is>
          <t>MX-CED. CENTRO</t>
        </is>
      </c>
      <c r="Q557" t="n">
        <v>20200929</v>
      </c>
      <c r="R557" t="n">
        <v>20291231</v>
      </c>
      <c r="S557" t="n">
        <v>20250923</v>
      </c>
      <c r="T557" t="n">
        <v>20301231</v>
      </c>
      <c r="U557" t="n">
        <v>1085.01</v>
      </c>
      <c r="V557" t="inlineStr">
        <is>
          <t>MXN</t>
        </is>
      </c>
      <c r="W557" t="inlineStr">
        <is>
          <t>TN</t>
        </is>
      </c>
      <c r="X557" t="n">
        <v>571.0700000000001</v>
      </c>
      <c r="Y557" t="inlineStr">
        <is>
          <t>MXN</t>
        </is>
      </c>
      <c r="Z557" t="inlineStr">
        <is>
          <t>TN</t>
        </is>
      </c>
      <c r="AA557" t="inlineStr">
        <is>
          <t>67243408</t>
        </is>
      </c>
      <c r="AB557" t="inlineStr">
        <is>
          <t>Planta Interlomas</t>
        </is>
      </c>
      <c r="AC557" t="n">
        <v>56103637</v>
      </c>
      <c r="AD557" t="n">
        <v>6622261540</v>
      </c>
      <c r="AE557" t="n">
        <v>4</v>
      </c>
      <c r="AF557" t="inlineStr">
        <is>
          <t>ENTREGA DIRECTA</t>
        </is>
      </c>
      <c r="AG557" t="n">
        <v>1</v>
      </c>
      <c r="AH557" t="inlineStr">
        <is>
          <t>TO</t>
        </is>
      </c>
      <c r="AI557" t="inlineStr">
        <is>
          <t>X</t>
        </is>
      </c>
      <c r="AJ557" t="n">
        <v>4</v>
      </c>
      <c r="AK557" t="inlineStr">
        <is>
          <t>V4</t>
        </is>
      </c>
      <c r="AL557" t="n">
        <v>20250925</v>
      </c>
      <c r="AM557" t="inlineStr">
        <is>
          <t>D836-900003496-67243408-10000643-4</t>
        </is>
      </c>
    </row>
    <row r="558">
      <c r="A558" t="inlineStr">
        <is>
          <t>900005356D83610200676</t>
        </is>
      </c>
      <c r="B558" t="inlineStr">
        <is>
          <t>4600039490-60</t>
        </is>
      </c>
      <c r="C558" t="n">
        <v>4600039490</v>
      </c>
      <c r="D558" t="n">
        <v>60</v>
      </c>
      <c r="E558" t="inlineStr">
        <is>
          <t>MXPO</t>
        </is>
      </c>
      <c r="F558" t="inlineStr">
        <is>
          <t>MXL</t>
        </is>
      </c>
      <c r="G558" t="n">
        <v>900005356</v>
      </c>
      <c r="H558" t="inlineStr">
        <is>
          <t>TP-TRIVOMEX RECOGIDO</t>
        </is>
      </c>
      <c r="I558" t="n">
        <v>5033501</v>
      </c>
      <c r="J558" t="inlineStr">
        <is>
          <t>TRITURADOS VOLCANICOS DE MEXICO</t>
        </is>
      </c>
      <c r="K558" t="inlineStr">
        <is>
          <t>Z04</t>
        </is>
      </c>
      <c r="L558" t="inlineStr">
        <is>
          <t>(AP) 30 Dias</t>
        </is>
      </c>
      <c r="M558" t="n">
        <v>10200676</v>
      </c>
      <c r="N558" t="inlineStr">
        <is>
          <t>TEZONTLE SELECCIONADO 15 A 10” NG</t>
        </is>
      </c>
      <c r="O558" t="inlineStr">
        <is>
          <t>D836</t>
        </is>
      </c>
      <c r="P558" t="inlineStr">
        <is>
          <t>MX-CED. CENTRO</t>
        </is>
      </c>
      <c r="Q558" t="n">
        <v>20170828</v>
      </c>
      <c r="R558" t="n">
        <v>20281231</v>
      </c>
      <c r="S558" t="n">
        <v>20210723</v>
      </c>
      <c r="T558" t="n">
        <v>20261231</v>
      </c>
      <c r="U558" t="n">
        <v>110</v>
      </c>
      <c r="V558" t="inlineStr">
        <is>
          <t>MXN</t>
        </is>
      </c>
      <c r="W558" t="inlineStr">
        <is>
          <t>M3</t>
        </is>
      </c>
      <c r="AC558" t="n">
        <v>56103637</v>
      </c>
      <c r="AD558" t="n">
        <v>6622261540</v>
      </c>
      <c r="AE558" t="n">
        <v>1</v>
      </c>
      <c r="AF558" t="inlineStr">
        <is>
          <t>ENTREGADO</t>
        </is>
      </c>
      <c r="AG558" t="n">
        <v>1.4</v>
      </c>
      <c r="AH558" t="inlineStr">
        <is>
          <t>M3</t>
        </is>
      </c>
      <c r="AI558" t="inlineStr">
        <is>
          <t>X</t>
        </is>
      </c>
      <c r="AJ558" t="n">
        <v>4</v>
      </c>
      <c r="AK558" t="inlineStr">
        <is>
          <t>V4</t>
        </is>
      </c>
      <c r="AL558" t="n">
        <v>20230920</v>
      </c>
      <c r="AM558" t="inlineStr">
        <is>
          <t>D836-900005356-10200676</t>
        </is>
      </c>
    </row>
    <row r="559">
      <c r="A559" t="inlineStr">
        <is>
          <t>900002574D83610183535</t>
        </is>
      </c>
      <c r="B559" t="inlineStr">
        <is>
          <t>4600027590-1970</t>
        </is>
      </c>
      <c r="C559" t="n">
        <v>4600027590</v>
      </c>
      <c r="D559" t="n">
        <v>1970</v>
      </c>
      <c r="E559" t="inlineStr">
        <is>
          <t>MXPO</t>
        </is>
      </c>
      <c r="F559" t="inlineStr">
        <is>
          <t>M02</t>
        </is>
      </c>
      <c r="G559" t="n">
        <v>900002574</v>
      </c>
      <c r="H559" t="inlineStr">
        <is>
          <t>TP-ED-OLIELL</t>
        </is>
      </c>
      <c r="I559" t="n">
        <v>5048484</v>
      </c>
      <c r="J559" t="inlineStr">
        <is>
          <t>COMERCIALIZADORA Y TRANSPORTADORA O</t>
        </is>
      </c>
      <c r="K559" t="inlineStr">
        <is>
          <t>N90</t>
        </is>
      </c>
      <c r="L559" t="inlineStr">
        <is>
          <t>(AP) NAFIN 90 Dias</t>
        </is>
      </c>
      <c r="M559" t="n">
        <v>10183535</v>
      </c>
      <c r="N559" t="inlineStr">
        <is>
          <t>BALASTO TRITURADO BASALTO 3" - 1"</t>
        </is>
      </c>
      <c r="O559" t="inlineStr">
        <is>
          <t>D836</t>
        </is>
      </c>
      <c r="P559" t="inlineStr">
        <is>
          <t>MX-CED. CENTRO</t>
        </is>
      </c>
      <c r="Q559" t="n">
        <v>20141106</v>
      </c>
      <c r="R559" t="n">
        <v>20281231</v>
      </c>
      <c r="S559" t="n">
        <v>20210212</v>
      </c>
      <c r="T559" t="n">
        <v>20291231</v>
      </c>
      <c r="U559" t="n">
        <v>135</v>
      </c>
      <c r="V559" t="inlineStr">
        <is>
          <t>MXN</t>
        </is>
      </c>
      <c r="W559" t="inlineStr">
        <is>
          <t>M3</t>
        </is>
      </c>
      <c r="AC559" t="n">
        <v>56103591</v>
      </c>
      <c r="AD559" t="n">
        <v>6622261540</v>
      </c>
      <c r="AE559" t="n">
        <v>1</v>
      </c>
      <c r="AF559" t="inlineStr">
        <is>
          <t>ENTREGADO</t>
        </is>
      </c>
      <c r="AG559" t="n">
        <v>1.4</v>
      </c>
      <c r="AH559" t="inlineStr">
        <is>
          <t>M3</t>
        </is>
      </c>
      <c r="AI559" t="inlineStr">
        <is>
          <t>X</t>
        </is>
      </c>
      <c r="AJ559" t="n">
        <v>4</v>
      </c>
      <c r="AK559" t="inlineStr">
        <is>
          <t>V4</t>
        </is>
      </c>
      <c r="AL559" t="n">
        <v>20230920</v>
      </c>
      <c r="AM559" t="inlineStr">
        <is>
          <t>D836-900002574-10183535</t>
        </is>
      </c>
    </row>
    <row r="560">
      <c r="A560" t="inlineStr">
        <is>
          <t>900006542D8366714616510058345</t>
        </is>
      </c>
      <c r="B560" t="inlineStr">
        <is>
          <t>4600047341-550</t>
        </is>
      </c>
      <c r="C560" t="n">
        <v>4600047341</v>
      </c>
      <c r="D560" t="n">
        <v>550</v>
      </c>
      <c r="E560" t="inlineStr">
        <is>
          <t>MXPO</t>
        </is>
      </c>
      <c r="F560" t="inlineStr">
        <is>
          <t>MXL</t>
        </is>
      </c>
      <c r="G560" t="n">
        <v>900006542</v>
      </c>
      <c r="H560" t="inlineStr">
        <is>
          <t>TP-OLIELL TORTON</t>
        </is>
      </c>
      <c r="I560" t="n">
        <v>5048484</v>
      </c>
      <c r="J560" t="inlineStr">
        <is>
          <t>COMERCIALIZADORA Y TRANSPORTADORA O</t>
        </is>
      </c>
      <c r="K560" t="inlineStr">
        <is>
          <t>N90</t>
        </is>
      </c>
      <c r="L560" t="inlineStr">
        <is>
          <t>(AP) NAFIN 90 Dias</t>
        </is>
      </c>
      <c r="M560" t="n">
        <v>10058345</v>
      </c>
      <c r="N560" t="inlineStr">
        <is>
          <t>Arena Triturada Caliza Malla 4</t>
        </is>
      </c>
      <c r="O560" t="inlineStr">
        <is>
          <t>D836</t>
        </is>
      </c>
      <c r="P560" t="inlineStr">
        <is>
          <t>MX-CED. CENTRO</t>
        </is>
      </c>
      <c r="Q560" t="n">
        <v>20200615</v>
      </c>
      <c r="R560" t="n">
        <v>20281231</v>
      </c>
      <c r="U560" t="n">
        <v>680</v>
      </c>
      <c r="V560" t="inlineStr">
        <is>
          <t>MXN</t>
        </is>
      </c>
      <c r="W560" t="inlineStr">
        <is>
          <t>M3</t>
        </is>
      </c>
      <c r="AA560" t="inlineStr">
        <is>
          <t>67146165</t>
        </is>
      </c>
      <c r="AB560" t="inlineStr">
        <is>
          <t>OBRA LA ROMA</t>
        </is>
      </c>
      <c r="AC560" t="n">
        <v>56103638</v>
      </c>
      <c r="AD560" t="n">
        <v>6622261540</v>
      </c>
      <c r="AE560" t="n">
        <v>4</v>
      </c>
      <c r="AF560" t="inlineStr">
        <is>
          <t>ENTREGA DIRECTA</t>
        </is>
      </c>
      <c r="AG560" t="n">
        <v>1.575</v>
      </c>
      <c r="AH560" t="inlineStr">
        <is>
          <t>M3</t>
        </is>
      </c>
      <c r="AI560" t="inlineStr">
        <is>
          <t>X</t>
        </is>
      </c>
      <c r="AJ560" t="n">
        <v>4</v>
      </c>
      <c r="AK560" t="inlineStr">
        <is>
          <t>V4</t>
        </is>
      </c>
      <c r="AL560" t="n">
        <v>20230920</v>
      </c>
      <c r="AM560" t="inlineStr">
        <is>
          <t>D836-900006542-67146165-10058345-4</t>
        </is>
      </c>
    </row>
    <row r="561">
      <c r="A561" t="inlineStr">
        <is>
          <t>900003496D83610000643</t>
        </is>
      </c>
      <c r="B561" t="inlineStr">
        <is>
          <t>4600048147-20</t>
        </is>
      </c>
      <c r="C561" t="n">
        <v>4600048147</v>
      </c>
      <c r="D561" t="n">
        <v>20</v>
      </c>
      <c r="E561" t="inlineStr">
        <is>
          <t>MXPO</t>
        </is>
      </c>
      <c r="F561" t="inlineStr">
        <is>
          <t>MXL</t>
        </is>
      </c>
      <c r="G561" t="n">
        <v>900003496</v>
      </c>
      <c r="H561" t="inlineStr">
        <is>
          <t>TP-ED-TRIMCAV</t>
        </is>
      </c>
      <c r="I561" t="n">
        <v>5010147</v>
      </c>
      <c r="J561" t="inlineStr">
        <is>
          <t>TRITURACIONES DE MARMOL Y CALCIOS</t>
        </is>
      </c>
      <c r="K561" t="inlineStr">
        <is>
          <t>Z04</t>
        </is>
      </c>
      <c r="L561" t="inlineStr">
        <is>
          <t>(AP) 30 Dias</t>
        </is>
      </c>
      <c r="M561" t="n">
        <v>10000643</v>
      </c>
      <c r="N561" t="inlineStr">
        <is>
          <t>Grava Triturada Marmol 20 mm - 3/4"</t>
        </is>
      </c>
      <c r="O561" t="inlineStr">
        <is>
          <t>D836</t>
        </is>
      </c>
      <c r="P561" t="inlineStr">
        <is>
          <t>MX-CED. CENTRO</t>
        </is>
      </c>
      <c r="Q561" t="n">
        <v>20200929</v>
      </c>
      <c r="R561" t="n">
        <v>20291231</v>
      </c>
      <c r="S561" t="n">
        <v>20200929</v>
      </c>
      <c r="T561" t="n">
        <v>20291231</v>
      </c>
      <c r="U561" t="n">
        <v>350</v>
      </c>
      <c r="V561" t="inlineStr">
        <is>
          <t>MXN</t>
        </is>
      </c>
      <c r="W561" t="inlineStr">
        <is>
          <t>TN</t>
        </is>
      </c>
      <c r="AC561" t="n">
        <v>56103637</v>
      </c>
      <c r="AD561" t="n">
        <v>6622261540</v>
      </c>
      <c r="AE561" t="n">
        <v>1</v>
      </c>
      <c r="AF561" t="inlineStr">
        <is>
          <t>ENTREGADO</t>
        </is>
      </c>
      <c r="AG561" t="n">
        <v>1</v>
      </c>
      <c r="AH561" t="inlineStr">
        <is>
          <t>TO</t>
        </is>
      </c>
      <c r="AI561" t="inlineStr">
        <is>
          <t>X</t>
        </is>
      </c>
      <c r="AJ561" t="n">
        <v>4</v>
      </c>
      <c r="AK561" t="inlineStr">
        <is>
          <t>V4</t>
        </is>
      </c>
      <c r="AL561" t="n">
        <v>20230920</v>
      </c>
      <c r="AM561" t="inlineStr">
        <is>
          <t>D836-900003496-10000643</t>
        </is>
      </c>
    </row>
    <row r="562">
      <c r="A562" t="inlineStr">
        <is>
          <t>900006551D83610196021</t>
        </is>
      </c>
      <c r="B562" t="inlineStr">
        <is>
          <t>4600049704-20</t>
        </is>
      </c>
      <c r="C562" t="n">
        <v>4600049704</v>
      </c>
      <c r="D562" t="n">
        <v>20</v>
      </c>
      <c r="E562" t="inlineStr">
        <is>
          <t>MXPO</t>
        </is>
      </c>
      <c r="F562" t="inlineStr">
        <is>
          <t>MXL</t>
        </is>
      </c>
      <c r="G562" t="n">
        <v>900006551</v>
      </c>
      <c r="H562" t="inlineStr">
        <is>
          <t>SF TP- CONCRETOS SUSTENTABLES</t>
        </is>
      </c>
      <c r="I562" t="n">
        <v>5078165</v>
      </c>
      <c r="J562" t="inlineStr">
        <is>
          <t>CONCRETOS SUSTENTABLES MEXICANOS</t>
        </is>
      </c>
      <c r="K562" t="inlineStr">
        <is>
          <t>Z09</t>
        </is>
      </c>
      <c r="L562" t="inlineStr">
        <is>
          <t>(AP) 90 Dias</t>
        </is>
      </c>
      <c r="M562" t="n">
        <v>10196021</v>
      </c>
      <c r="N562" t="inlineStr">
        <is>
          <t>RCD MEZCLADOS &gt;50% DE IMPROPIOS NG</t>
        </is>
      </c>
      <c r="O562" t="inlineStr">
        <is>
          <t>D836</t>
        </is>
      </c>
      <c r="P562" t="inlineStr">
        <is>
          <t>MX-CED. CENTRO</t>
        </is>
      </c>
      <c r="Q562" t="n">
        <v>20210420</v>
      </c>
      <c r="R562" t="n">
        <v>20291231</v>
      </c>
      <c r="S562" t="n">
        <v>20210420</v>
      </c>
      <c r="T562" t="n">
        <v>20291231</v>
      </c>
      <c r="U562" t="n">
        <v>350</v>
      </c>
      <c r="V562" t="inlineStr">
        <is>
          <t>MXN</t>
        </is>
      </c>
      <c r="W562" t="inlineStr">
        <is>
          <t>M3</t>
        </is>
      </c>
      <c r="AC562" t="n">
        <v>56103590</v>
      </c>
      <c r="AD562" t="n">
        <v>6622261540</v>
      </c>
      <c r="AE562" t="n">
        <v>1</v>
      </c>
      <c r="AF562" t="inlineStr">
        <is>
          <t>ENTREGADO</t>
        </is>
      </c>
      <c r="AG562" t="n">
        <v>1.35</v>
      </c>
      <c r="AH562" t="inlineStr">
        <is>
          <t>M3</t>
        </is>
      </c>
      <c r="AI562" t="inlineStr">
        <is>
          <t>X</t>
        </is>
      </c>
      <c r="AJ562" t="n">
        <v>4</v>
      </c>
      <c r="AK562" t="inlineStr">
        <is>
          <t>V4</t>
        </is>
      </c>
      <c r="AL562" t="n">
        <v>20230920</v>
      </c>
      <c r="AM562" t="inlineStr">
        <is>
          <t>D836-900006551-10196021</t>
        </is>
      </c>
    </row>
    <row r="563">
      <c r="A563" t="inlineStr">
        <is>
          <t>900009140D8366715577710140399</t>
        </is>
      </c>
      <c r="B563" t="inlineStr">
        <is>
          <t>4600070959-210</t>
        </is>
      </c>
      <c r="C563" t="n">
        <v>4600070959</v>
      </c>
      <c r="D563" t="n">
        <v>210</v>
      </c>
      <c r="E563" t="inlineStr">
        <is>
          <t>MXPO</t>
        </is>
      </c>
      <c r="F563" t="inlineStr">
        <is>
          <t>MXL</t>
        </is>
      </c>
      <c r="G563" t="n">
        <v>900009140</v>
      </c>
      <c r="H563" t="inlineStr">
        <is>
          <t>SF TP-ED CONCRETOS Y PAVIMENTOS</t>
        </is>
      </c>
      <c r="I563" t="n">
        <v>5089601</v>
      </c>
      <c r="J563" t="inlineStr">
        <is>
          <t>CONCRETOS Y PAVIMENTOS EXTERIORES S</t>
        </is>
      </c>
      <c r="K563" t="inlineStr">
        <is>
          <t>N90</t>
        </is>
      </c>
      <c r="L563" t="inlineStr">
        <is>
          <t>(AP) NAFIN 90 Dias</t>
        </is>
      </c>
      <c r="M563" t="n">
        <v>10140399</v>
      </c>
      <c r="N563" t="inlineStr">
        <is>
          <t>ARENA ANDESITA MALLA 4</t>
        </is>
      </c>
      <c r="O563" t="inlineStr">
        <is>
          <t>D836</t>
        </is>
      </c>
      <c r="P563" t="inlineStr">
        <is>
          <t>MX-CED. CENTRO</t>
        </is>
      </c>
      <c r="Q563" t="n">
        <v>20250304</v>
      </c>
      <c r="R563" t="n">
        <v>20301231</v>
      </c>
      <c r="S563" t="n">
        <v>20260622</v>
      </c>
      <c r="T563" t="n">
        <v>20301231</v>
      </c>
      <c r="U563" t="n">
        <v>330</v>
      </c>
      <c r="V563" t="inlineStr">
        <is>
          <t>MXN</t>
        </is>
      </c>
      <c r="W563" t="inlineStr">
        <is>
          <t>M3</t>
        </is>
      </c>
      <c r="X563" t="n">
        <v>255.6</v>
      </c>
      <c r="Y563" t="inlineStr">
        <is>
          <t>MXN</t>
        </is>
      </c>
      <c r="Z563" t="inlineStr">
        <is>
          <t>M3</t>
        </is>
      </c>
      <c r="AA563" t="inlineStr">
        <is>
          <t>67155777</t>
        </is>
      </c>
      <c r="AB563" t="inlineStr">
        <is>
          <t>Abeto Lifestyle Tizara URBA (JOA)</t>
        </is>
      </c>
      <c r="AC563" t="n">
        <v>56103638</v>
      </c>
      <c r="AD563" t="n">
        <v>6622261540</v>
      </c>
      <c r="AE563" t="n">
        <v>4</v>
      </c>
      <c r="AF563" t="inlineStr">
        <is>
          <t>ENTREGA DIRECTA</t>
        </is>
      </c>
      <c r="AG563" t="n">
        <v>1.554</v>
      </c>
      <c r="AH563" t="inlineStr">
        <is>
          <t>M3</t>
        </is>
      </c>
      <c r="AI563" t="inlineStr">
        <is>
          <t>X</t>
        </is>
      </c>
      <c r="AJ563" t="n">
        <v>4</v>
      </c>
      <c r="AK563" t="inlineStr">
        <is>
          <t>V4</t>
        </is>
      </c>
      <c r="AL563" t="n">
        <v>20260629</v>
      </c>
      <c r="AM563" t="inlineStr">
        <is>
          <t>D836-900009140-67155777-10140399-4</t>
        </is>
      </c>
    </row>
    <row r="564">
      <c r="A564" t="inlineStr">
        <is>
          <t>900009140D8366716274610140399</t>
        </is>
      </c>
      <c r="B564" t="inlineStr">
        <is>
          <t>4600070959-220</t>
        </is>
      </c>
      <c r="C564" t="n">
        <v>4600070959</v>
      </c>
      <c r="D564" t="n">
        <v>220</v>
      </c>
      <c r="E564" t="inlineStr">
        <is>
          <t>MXPO</t>
        </is>
      </c>
      <c r="F564" t="inlineStr">
        <is>
          <t>MXL</t>
        </is>
      </c>
      <c r="G564" t="n">
        <v>900009140</v>
      </c>
      <c r="H564" t="inlineStr">
        <is>
          <t>SF TP-ED CONCRETOS Y PAVIMENTOS</t>
        </is>
      </c>
      <c r="I564" t="n">
        <v>5089601</v>
      </c>
      <c r="J564" t="inlineStr">
        <is>
          <t>CONCRETOS Y PAVIMENTOS EXTERIORES S</t>
        </is>
      </c>
      <c r="K564" t="inlineStr">
        <is>
          <t>N90</t>
        </is>
      </c>
      <c r="L564" t="inlineStr">
        <is>
          <t>(AP) NAFIN 90 Dias</t>
        </is>
      </c>
      <c r="M564" t="n">
        <v>10140399</v>
      </c>
      <c r="N564" t="inlineStr">
        <is>
          <t>ARENA ANDESITA MALLA 4</t>
        </is>
      </c>
      <c r="O564" t="inlineStr">
        <is>
          <t>D836</t>
        </is>
      </c>
      <c r="P564" t="inlineStr">
        <is>
          <t>MX-CED. CENTRO</t>
        </is>
      </c>
      <c r="Q564" t="n">
        <v>20250304</v>
      </c>
      <c r="R564" t="n">
        <v>20301231</v>
      </c>
      <c r="S564" t="n">
        <v>20260622</v>
      </c>
      <c r="T564" t="n">
        <v>20301231</v>
      </c>
      <c r="U564" t="n">
        <v>330</v>
      </c>
      <c r="V564" t="inlineStr">
        <is>
          <t>MXN</t>
        </is>
      </c>
      <c r="W564" t="inlineStr">
        <is>
          <t>M3</t>
        </is>
      </c>
      <c r="X564" t="n">
        <v>255.6</v>
      </c>
      <c r="Y564" t="inlineStr">
        <is>
          <t>MXN</t>
        </is>
      </c>
      <c r="Z564" t="inlineStr">
        <is>
          <t>M3</t>
        </is>
      </c>
      <c r="AA564" t="inlineStr">
        <is>
          <t>67162746</t>
        </is>
      </c>
      <c r="AB564" t="inlineStr">
        <is>
          <t>BASALTO URBANIZACION (YZS)</t>
        </is>
      </c>
      <c r="AC564" t="n">
        <v>56103638</v>
      </c>
      <c r="AD564" t="n">
        <v>6622261540</v>
      </c>
      <c r="AE564" t="n">
        <v>4</v>
      </c>
      <c r="AF564" t="inlineStr">
        <is>
          <t>ENTREGA DIRECTA</t>
        </is>
      </c>
      <c r="AG564" t="n">
        <v>1.554</v>
      </c>
      <c r="AH564" t="inlineStr">
        <is>
          <t>M3</t>
        </is>
      </c>
      <c r="AI564" t="inlineStr">
        <is>
          <t>X</t>
        </is>
      </c>
      <c r="AJ564" t="n">
        <v>4</v>
      </c>
      <c r="AK564" t="inlineStr">
        <is>
          <t>V4</t>
        </is>
      </c>
      <c r="AL564" t="n">
        <v>20260629</v>
      </c>
      <c r="AM564" t="inlineStr">
        <is>
          <t>D836-900009140-67162746-10140399-4</t>
        </is>
      </c>
    </row>
    <row r="565">
      <c r="A565" t="inlineStr">
        <is>
          <t>900002574D8366734476110000623</t>
        </is>
      </c>
      <c r="B565" t="inlineStr">
        <is>
          <t>4600027590-2670</t>
        </is>
      </c>
      <c r="C565" t="n">
        <v>4600027590</v>
      </c>
      <c r="D565" t="n">
        <v>2670</v>
      </c>
      <c r="E565" t="inlineStr">
        <is>
          <t>MXPO</t>
        </is>
      </c>
      <c r="F565" t="inlineStr">
        <is>
          <t>M02</t>
        </is>
      </c>
      <c r="G565" t="n">
        <v>900002574</v>
      </c>
      <c r="H565" t="inlineStr">
        <is>
          <t>TP-ED-OLIELL</t>
        </is>
      </c>
      <c r="I565" t="n">
        <v>5048484</v>
      </c>
      <c r="J565" t="inlineStr">
        <is>
          <t>COMERCIALIZADORA Y TRANSPORTADORA O</t>
        </is>
      </c>
      <c r="K565" t="inlineStr">
        <is>
          <t>N90</t>
        </is>
      </c>
      <c r="L565" t="inlineStr">
        <is>
          <t>(AP) NAFIN 90 Dias</t>
        </is>
      </c>
      <c r="M565" t="n">
        <v>10000623</v>
      </c>
      <c r="N565" t="inlineStr">
        <is>
          <t>Grava Triturada Caliza 10 mm - 3/8"</t>
        </is>
      </c>
      <c r="O565" t="inlineStr">
        <is>
          <t>D836</t>
        </is>
      </c>
      <c r="P565" t="inlineStr">
        <is>
          <t>MX-CED. CENTRO</t>
        </is>
      </c>
      <c r="Q565" t="n">
        <v>20141106</v>
      </c>
      <c r="R565" t="n">
        <v>20281231</v>
      </c>
      <c r="S565" t="n">
        <v>20251020</v>
      </c>
      <c r="T565" t="n">
        <v>20301231</v>
      </c>
      <c r="U565" t="n">
        <v>751.7</v>
      </c>
      <c r="V565" t="inlineStr">
        <is>
          <t>MXN</t>
        </is>
      </c>
      <c r="W565" t="inlineStr">
        <is>
          <t>M3</t>
        </is>
      </c>
      <c r="X565" t="n">
        <v>500</v>
      </c>
      <c r="Y565" t="inlineStr">
        <is>
          <t>MXN</t>
        </is>
      </c>
      <c r="Z565" t="inlineStr">
        <is>
          <t>M3</t>
        </is>
      </c>
      <c r="AA565" t="inlineStr">
        <is>
          <t>67344761</t>
        </is>
      </c>
      <c r="AB565" t="inlineStr">
        <is>
          <t>AGG- AGATHA DEL VALLE</t>
        </is>
      </c>
      <c r="AC565" t="n">
        <v>56103637</v>
      </c>
      <c r="AD565" t="n">
        <v>6622261540</v>
      </c>
      <c r="AE565" t="n">
        <v>4</v>
      </c>
      <c r="AF565" t="inlineStr">
        <is>
          <t>ENTREGA DIRECTA</t>
        </is>
      </c>
      <c r="AG565" t="n">
        <v>1.41</v>
      </c>
      <c r="AH565" t="inlineStr">
        <is>
          <t>M3</t>
        </is>
      </c>
      <c r="AI565" t="inlineStr">
        <is>
          <t>X</t>
        </is>
      </c>
      <c r="AJ565" t="n">
        <v>4</v>
      </c>
      <c r="AK565" t="inlineStr">
        <is>
          <t>V4</t>
        </is>
      </c>
      <c r="AL565" t="n">
        <v>20251022</v>
      </c>
      <c r="AM565" t="inlineStr">
        <is>
          <t>D836-900002574-67344761-10000623-4</t>
        </is>
      </c>
    </row>
    <row r="566">
      <c r="A566" t="inlineStr">
        <is>
          <t>900002313D83610001353</t>
        </is>
      </c>
      <c r="B566" t="inlineStr">
        <is>
          <t>4600070480-20</t>
        </is>
      </c>
      <c r="C566" t="n">
        <v>4600070480</v>
      </c>
      <c r="D566" t="n">
        <v>20</v>
      </c>
      <c r="E566" t="inlineStr">
        <is>
          <t>MXPO</t>
        </is>
      </c>
      <c r="F566" t="inlineStr">
        <is>
          <t>MXL</t>
        </is>
      </c>
      <c r="G566" t="n">
        <v>900002313</v>
      </c>
      <c r="H566" t="inlineStr">
        <is>
          <t>TP-CERRITO</t>
        </is>
      </c>
      <c r="I566" t="n">
        <v>5002861</v>
      </c>
      <c r="J566" t="inlineStr">
        <is>
          <t>AGREGADOS BASALTICO DE MEXICO SA DE</t>
        </is>
      </c>
      <c r="K566" t="inlineStr">
        <is>
          <t>Z03</t>
        </is>
      </c>
      <c r="L566" t="inlineStr">
        <is>
          <t>(AP) 15 Dias</t>
        </is>
      </c>
      <c r="M566" t="n">
        <v>10001353</v>
      </c>
      <c r="N566" t="inlineStr">
        <is>
          <t>Arena Triturada Andesita Malla 4-AB</t>
        </is>
      </c>
      <c r="O566" t="inlineStr">
        <is>
          <t>D836</t>
        </is>
      </c>
      <c r="P566" t="inlineStr">
        <is>
          <t>MX-CED. CENTRO</t>
        </is>
      </c>
      <c r="Q566" t="n">
        <v>20241028</v>
      </c>
      <c r="R566" t="n">
        <v>20291231</v>
      </c>
      <c r="S566" t="n">
        <v>20251015</v>
      </c>
      <c r="T566" t="n">
        <v>20301231</v>
      </c>
      <c r="U566" t="n">
        <v>125.98</v>
      </c>
      <c r="V566" t="inlineStr">
        <is>
          <t>MXN</t>
        </is>
      </c>
      <c r="W566" t="inlineStr">
        <is>
          <t>M3</t>
        </is>
      </c>
      <c r="X566" t="n">
        <v>0</v>
      </c>
      <c r="Y566" t="inlineStr">
        <is>
          <t>MXN</t>
        </is>
      </c>
      <c r="Z566" t="inlineStr">
        <is>
          <t>M3</t>
        </is>
      </c>
      <c r="AC566" t="n">
        <v>56103638</v>
      </c>
      <c r="AD566" t="n">
        <v>6622261540</v>
      </c>
      <c r="AE566" t="n">
        <v>1</v>
      </c>
      <c r="AF566" t="inlineStr">
        <is>
          <t>ENTREGADO</t>
        </is>
      </c>
      <c r="AG566" t="n">
        <v>1.49</v>
      </c>
      <c r="AH566" t="inlineStr">
        <is>
          <t>M3</t>
        </is>
      </c>
      <c r="AI566" t="inlineStr">
        <is>
          <t>X</t>
        </is>
      </c>
      <c r="AJ566" t="n">
        <v>4</v>
      </c>
      <c r="AK566" t="inlineStr">
        <is>
          <t>V4</t>
        </is>
      </c>
      <c r="AL566" t="n">
        <v>20251021</v>
      </c>
      <c r="AM566" t="inlineStr">
        <is>
          <t>D836-900002313-10001353</t>
        </is>
      </c>
    </row>
    <row r="567">
      <c r="A567" t="inlineStr">
        <is>
          <t>900002313D83610000160</t>
        </is>
      </c>
      <c r="B567" t="inlineStr">
        <is>
          <t>4600070480-30</t>
        </is>
      </c>
      <c r="C567" t="n">
        <v>4600070480</v>
      </c>
      <c r="D567" t="n">
        <v>30</v>
      </c>
      <c r="E567" t="inlineStr">
        <is>
          <t>MXPO</t>
        </is>
      </c>
      <c r="F567" t="inlineStr">
        <is>
          <t>MXL</t>
        </is>
      </c>
      <c r="G567" t="n">
        <v>900002313</v>
      </c>
      <c r="H567" t="inlineStr">
        <is>
          <t>TP-CERRITO</t>
        </is>
      </c>
      <c r="I567" t="n">
        <v>5002861</v>
      </c>
      <c r="J567" t="inlineStr">
        <is>
          <t>AGREGADOS BASALTICO DE MEXICO SA DE</t>
        </is>
      </c>
      <c r="K567" t="inlineStr">
        <is>
          <t>Z03</t>
        </is>
      </c>
      <c r="L567" t="inlineStr">
        <is>
          <t>(AP) 15 Dias</t>
        </is>
      </c>
      <c r="M567" t="n">
        <v>10000160</v>
      </c>
      <c r="N567" t="inlineStr">
        <is>
          <t>Arena Triturada Andesita Malla 4</t>
        </is>
      </c>
      <c r="O567" t="inlineStr">
        <is>
          <t>D836</t>
        </is>
      </c>
      <c r="P567" t="inlineStr">
        <is>
          <t>MX-CED. CENTRO</t>
        </is>
      </c>
      <c r="Q567" t="n">
        <v>20241028</v>
      </c>
      <c r="R567" t="n">
        <v>20291231</v>
      </c>
      <c r="S567" t="n">
        <v>20251015</v>
      </c>
      <c r="T567" t="n">
        <v>20301231</v>
      </c>
      <c r="U567" t="n">
        <v>147.82</v>
      </c>
      <c r="V567" t="inlineStr">
        <is>
          <t>MXN</t>
        </is>
      </c>
      <c r="W567" t="inlineStr">
        <is>
          <t>M3</t>
        </is>
      </c>
      <c r="X567" t="n">
        <v>0</v>
      </c>
      <c r="Y567" t="inlineStr">
        <is>
          <t>MXN</t>
        </is>
      </c>
      <c r="Z567" t="inlineStr">
        <is>
          <t>M3</t>
        </is>
      </c>
      <c r="AC567" t="n">
        <v>56103638</v>
      </c>
      <c r="AD567" t="n">
        <v>6622261540</v>
      </c>
      <c r="AE567" t="n">
        <v>1</v>
      </c>
      <c r="AF567" t="inlineStr">
        <is>
          <t>ENTREGADO</t>
        </is>
      </c>
      <c r="AG567" t="n">
        <v>1.409</v>
      </c>
      <c r="AH567" t="inlineStr">
        <is>
          <t>M3</t>
        </is>
      </c>
      <c r="AI567" t="inlineStr">
        <is>
          <t>X</t>
        </is>
      </c>
      <c r="AJ567" t="n">
        <v>4</v>
      </c>
      <c r="AK567" t="inlineStr">
        <is>
          <t>V4</t>
        </is>
      </c>
      <c r="AL567" t="n">
        <v>20251021</v>
      </c>
      <c r="AM567" t="inlineStr">
        <is>
          <t>D836-900002313-10000160</t>
        </is>
      </c>
    </row>
    <row r="568">
      <c r="A568" t="inlineStr">
        <is>
          <t>900002313D83610001354</t>
        </is>
      </c>
      <c r="B568" t="inlineStr">
        <is>
          <t>4600070480-10</t>
        </is>
      </c>
      <c r="C568" t="n">
        <v>4600070480</v>
      </c>
      <c r="D568" t="n">
        <v>10</v>
      </c>
      <c r="E568" t="inlineStr">
        <is>
          <t>MXPO</t>
        </is>
      </c>
      <c r="F568" t="inlineStr">
        <is>
          <t>MXL</t>
        </is>
      </c>
      <c r="G568" t="n">
        <v>900002313</v>
      </c>
      <c r="H568" t="inlineStr">
        <is>
          <t>TP-CERRITO</t>
        </is>
      </c>
      <c r="I568" t="n">
        <v>5002861</v>
      </c>
      <c r="J568" t="inlineStr">
        <is>
          <t>AGREGADOS BASALTICO DE MEXICO SA DE</t>
        </is>
      </c>
      <c r="K568" t="inlineStr">
        <is>
          <t>Z03</t>
        </is>
      </c>
      <c r="L568" t="inlineStr">
        <is>
          <t>(AP) 15 Dias</t>
        </is>
      </c>
      <c r="M568" t="n">
        <v>10001354</v>
      </c>
      <c r="N568" t="inlineStr">
        <is>
          <t>Grava Triturada Andesita 20 mm - 3/4"-AB</t>
        </is>
      </c>
      <c r="O568" t="inlineStr">
        <is>
          <t>D836</t>
        </is>
      </c>
      <c r="P568" t="inlineStr">
        <is>
          <t>MX-CED. CENTRO</t>
        </is>
      </c>
      <c r="Q568" t="n">
        <v>20241028</v>
      </c>
      <c r="R568" t="n">
        <v>20291231</v>
      </c>
      <c r="S568" t="n">
        <v>20251015</v>
      </c>
      <c r="T568" t="n">
        <v>20301231</v>
      </c>
      <c r="U568" t="n">
        <v>102.1</v>
      </c>
      <c r="V568" t="inlineStr">
        <is>
          <t>MXN</t>
        </is>
      </c>
      <c r="W568" t="inlineStr">
        <is>
          <t>M3</t>
        </is>
      </c>
      <c r="X568" t="n">
        <v>0</v>
      </c>
      <c r="Y568" t="inlineStr">
        <is>
          <t>MXN</t>
        </is>
      </c>
      <c r="Z568" t="inlineStr">
        <is>
          <t>M3</t>
        </is>
      </c>
      <c r="AC568" t="n">
        <v>56103637</v>
      </c>
      <c r="AD568" t="n">
        <v>6622261540</v>
      </c>
      <c r="AE568" t="n">
        <v>1</v>
      </c>
      <c r="AF568" t="inlineStr">
        <is>
          <t>ENTREGADO</t>
        </is>
      </c>
      <c r="AG568" t="n">
        <v>1.29</v>
      </c>
      <c r="AH568" t="inlineStr">
        <is>
          <t>M3</t>
        </is>
      </c>
      <c r="AI568" t="inlineStr">
        <is>
          <t>X</t>
        </is>
      </c>
      <c r="AJ568" t="n">
        <v>4</v>
      </c>
      <c r="AK568" t="inlineStr">
        <is>
          <t>V4</t>
        </is>
      </c>
      <c r="AL568" t="n">
        <v>20251021</v>
      </c>
      <c r="AM568" t="inlineStr">
        <is>
          <t>D836-900002313-10001354</t>
        </is>
      </c>
    </row>
    <row r="569">
      <c r="A569" t="inlineStr">
        <is>
          <t>900006542D83610192941</t>
        </is>
      </c>
      <c r="B569" t="inlineStr">
        <is>
          <t>4600068541-40</t>
        </is>
      </c>
      <c r="C569" t="n">
        <v>4600068541</v>
      </c>
      <c r="D569" t="n">
        <v>40</v>
      </c>
      <c r="E569" t="inlineStr">
        <is>
          <t>MXPO</t>
        </is>
      </c>
      <c r="F569" t="inlineStr">
        <is>
          <t>MXL</t>
        </is>
      </c>
      <c r="G569" t="n">
        <v>900006542</v>
      </c>
      <c r="H569" t="inlineStr">
        <is>
          <t>TP-OLIELL TORTON</t>
        </is>
      </c>
      <c r="I569" t="n">
        <v>5048484</v>
      </c>
      <c r="J569" t="inlineStr">
        <is>
          <t>COMERCIALIZADORA Y TRANSPORTADORA O</t>
        </is>
      </c>
      <c r="K569" t="inlineStr">
        <is>
          <t>N90</t>
        </is>
      </c>
      <c r="L569" t="inlineStr">
        <is>
          <t>(AP) NAFIN 90 Dias</t>
        </is>
      </c>
      <c r="M569" t="n">
        <v>10192941</v>
      </c>
      <c r="N569" t="inlineStr">
        <is>
          <t>GRAVA TRITURADA CALIZA 10 MM - 3/8" HD</t>
        </is>
      </c>
      <c r="O569" t="inlineStr">
        <is>
          <t>D836</t>
        </is>
      </c>
      <c r="P569" t="inlineStr">
        <is>
          <t>MX-CED. CENTRO</t>
        </is>
      </c>
      <c r="Q569" t="n">
        <v>20230927</v>
      </c>
      <c r="R569" t="n">
        <v>20281231</v>
      </c>
      <c r="S569" t="n">
        <v>20250902</v>
      </c>
      <c r="T569" t="n">
        <v>20301231</v>
      </c>
      <c r="U569" t="n">
        <v>90</v>
      </c>
      <c r="V569" t="inlineStr">
        <is>
          <t>MXN</t>
        </is>
      </c>
      <c r="W569" t="inlineStr">
        <is>
          <t>TN</t>
        </is>
      </c>
      <c r="X569" t="n">
        <v>0</v>
      </c>
      <c r="Y569" t="inlineStr">
        <is>
          <t>MXN</t>
        </is>
      </c>
      <c r="Z569" t="inlineStr">
        <is>
          <t>TN</t>
        </is>
      </c>
      <c r="AC569" t="n">
        <v>56103637</v>
      </c>
      <c r="AD569" t="n">
        <v>6622261540</v>
      </c>
      <c r="AE569" t="n">
        <v>1</v>
      </c>
      <c r="AF569" t="inlineStr">
        <is>
          <t>ENTREGADO</t>
        </is>
      </c>
      <c r="AG569" t="n">
        <v>1</v>
      </c>
      <c r="AH569" t="inlineStr">
        <is>
          <t>TO</t>
        </is>
      </c>
      <c r="AI569" t="inlineStr">
        <is>
          <t>X</t>
        </is>
      </c>
      <c r="AJ569" t="n">
        <v>4</v>
      </c>
      <c r="AK569" t="inlineStr">
        <is>
          <t>V4</t>
        </is>
      </c>
      <c r="AL569" t="n">
        <v>20250904</v>
      </c>
      <c r="AM569" t="inlineStr">
        <is>
          <t>D836-900006542-10192941</t>
        </is>
      </c>
    </row>
    <row r="570">
      <c r="A570" t="inlineStr">
        <is>
          <t>900006542D83610171624</t>
        </is>
      </c>
      <c r="B570" t="inlineStr">
        <is>
          <t>4600068541-30</t>
        </is>
      </c>
      <c r="C570" t="n">
        <v>4600068541</v>
      </c>
      <c r="D570" t="n">
        <v>30</v>
      </c>
      <c r="E570" t="inlineStr">
        <is>
          <t>MXPO</t>
        </is>
      </c>
      <c r="F570" t="inlineStr">
        <is>
          <t>MXL</t>
        </is>
      </c>
      <c r="G570" t="n">
        <v>900006542</v>
      </c>
      <c r="H570" t="inlineStr">
        <is>
          <t>TP-OLIELL TORTON</t>
        </is>
      </c>
      <c r="I570" t="n">
        <v>5048484</v>
      </c>
      <c r="J570" t="inlineStr">
        <is>
          <t>COMERCIALIZADORA Y TRANSPORTADORA O</t>
        </is>
      </c>
      <c r="K570" t="inlineStr">
        <is>
          <t>N90</t>
        </is>
      </c>
      <c r="L570" t="inlineStr">
        <is>
          <t>(AP) NAFIN 90 Dias</t>
        </is>
      </c>
      <c r="M570" t="n">
        <v>10171624</v>
      </c>
      <c r="N570" t="inlineStr">
        <is>
          <t>ARENA TRITURADA CALIZA MALLA 4</t>
        </is>
      </c>
      <c r="O570" t="inlineStr">
        <is>
          <t>D836</t>
        </is>
      </c>
      <c r="P570" t="inlineStr">
        <is>
          <t>MX-CED. CENTRO</t>
        </is>
      </c>
      <c r="Q570" t="n">
        <v>20230927</v>
      </c>
      <c r="R570" t="n">
        <v>20281231</v>
      </c>
      <c r="S570" t="n">
        <v>20250902</v>
      </c>
      <c r="T570" t="n">
        <v>20301231</v>
      </c>
      <c r="U570" t="n">
        <v>70</v>
      </c>
      <c r="V570" t="inlineStr">
        <is>
          <t>MXN</t>
        </is>
      </c>
      <c r="W570" t="inlineStr">
        <is>
          <t>TN</t>
        </is>
      </c>
      <c r="X570" t="n">
        <v>0</v>
      </c>
      <c r="Y570" t="inlineStr">
        <is>
          <t>MXN</t>
        </is>
      </c>
      <c r="Z570" t="inlineStr">
        <is>
          <t>TN</t>
        </is>
      </c>
      <c r="AC570" t="n">
        <v>56103638</v>
      </c>
      <c r="AD570" t="n">
        <v>6622261540</v>
      </c>
      <c r="AE570" t="n">
        <v>1</v>
      </c>
      <c r="AF570" t="inlineStr">
        <is>
          <t>ENTREGADO</t>
        </is>
      </c>
      <c r="AG570" t="n">
        <v>1</v>
      </c>
      <c r="AH570" t="inlineStr">
        <is>
          <t>TO</t>
        </is>
      </c>
      <c r="AI570" t="inlineStr">
        <is>
          <t>X</t>
        </is>
      </c>
      <c r="AJ570" t="n">
        <v>4</v>
      </c>
      <c r="AK570" t="inlineStr">
        <is>
          <t>V4</t>
        </is>
      </c>
      <c r="AL570" t="n">
        <v>20250904</v>
      </c>
      <c r="AM570" t="inlineStr">
        <is>
          <t>D836-900006542-10171624</t>
        </is>
      </c>
    </row>
    <row r="571">
      <c r="A571" t="inlineStr">
        <is>
          <t>900002574D8366732774510000623</t>
        </is>
      </c>
      <c r="B571" t="inlineStr">
        <is>
          <t>4600027590-2690</t>
        </is>
      </c>
      <c r="C571" t="n">
        <v>4600027590</v>
      </c>
      <c r="D571" t="n">
        <v>2690</v>
      </c>
      <c r="E571" t="inlineStr">
        <is>
          <t>MXPO</t>
        </is>
      </c>
      <c r="F571" t="inlineStr">
        <is>
          <t>M02</t>
        </is>
      </c>
      <c r="G571" t="n">
        <v>900002574</v>
      </c>
      <c r="H571" t="inlineStr">
        <is>
          <t>TP-ED-OLIELL</t>
        </is>
      </c>
      <c r="I571" t="n">
        <v>5048484</v>
      </c>
      <c r="J571" t="inlineStr">
        <is>
          <t>COMERCIALIZADORA Y TRANSPORTADORA O</t>
        </is>
      </c>
      <c r="K571" t="inlineStr">
        <is>
          <t>N90</t>
        </is>
      </c>
      <c r="L571" t="inlineStr">
        <is>
          <t>(AP) NAFIN 90 Dias</t>
        </is>
      </c>
      <c r="M571" t="n">
        <v>10000623</v>
      </c>
      <c r="N571" t="inlineStr">
        <is>
          <t>Grava Triturada Caliza 10 mm - 3/8"</t>
        </is>
      </c>
      <c r="O571" t="inlineStr">
        <is>
          <t>D836</t>
        </is>
      </c>
      <c r="P571" t="inlineStr">
        <is>
          <t>MX-CED. CENTRO</t>
        </is>
      </c>
      <c r="Q571" t="n">
        <v>20141106</v>
      </c>
      <c r="R571" t="n">
        <v>20281231</v>
      </c>
      <c r="S571" t="n">
        <v>20260401</v>
      </c>
      <c r="T571" t="n">
        <v>20301231</v>
      </c>
      <c r="U571" t="n">
        <v>1022.5</v>
      </c>
      <c r="V571" t="inlineStr">
        <is>
          <t>MXN</t>
        </is>
      </c>
      <c r="W571" t="inlineStr">
        <is>
          <t>M3</t>
        </is>
      </c>
      <c r="X571" t="n">
        <v>762.5</v>
      </c>
      <c r="Y571" t="inlineStr">
        <is>
          <t>MXN</t>
        </is>
      </c>
      <c r="Z571" t="inlineStr">
        <is>
          <t>M3</t>
        </is>
      </c>
      <c r="AA571" t="inlineStr">
        <is>
          <t>67327745</t>
        </is>
      </c>
      <c r="AB571" t="inlineStr">
        <is>
          <t xml:space="preserve"> GRUPO DESARROLLADOR INDUSTRIAL TEC</t>
        </is>
      </c>
      <c r="AC571" t="n">
        <v>56103637</v>
      </c>
      <c r="AD571" t="n">
        <v>6622261540</v>
      </c>
      <c r="AE571" t="n">
        <v>4</v>
      </c>
      <c r="AF571" t="inlineStr">
        <is>
          <t>ENTREGA DIRECTA</t>
        </is>
      </c>
      <c r="AG571" t="n">
        <v>1.41</v>
      </c>
      <c r="AH571" t="inlineStr">
        <is>
          <t>M3</t>
        </is>
      </c>
      <c r="AI571" t="inlineStr">
        <is>
          <t>X</t>
        </is>
      </c>
      <c r="AJ571" t="n">
        <v>4</v>
      </c>
      <c r="AK571" t="inlineStr">
        <is>
          <t>V4</t>
        </is>
      </c>
      <c r="AL571" t="n">
        <v>20260408</v>
      </c>
      <c r="AM571" t="inlineStr">
        <is>
          <t>D836-900002574-67327745-10000623-4</t>
        </is>
      </c>
    </row>
    <row r="572">
      <c r="A572" t="inlineStr">
        <is>
          <t>900006824D8366677927610192943</t>
        </is>
      </c>
      <c r="B572" t="inlineStr">
        <is>
          <t>4600048689-60</t>
        </is>
      </c>
      <c r="C572" t="n">
        <v>4600048689</v>
      </c>
      <c r="D572" t="n">
        <v>60</v>
      </c>
      <c r="E572" t="inlineStr">
        <is>
          <t>MXPO</t>
        </is>
      </c>
      <c r="F572" t="inlineStr">
        <is>
          <t>MXL</t>
        </is>
      </c>
      <c r="G572" t="n">
        <v>900006824</v>
      </c>
      <c r="H572" t="inlineStr">
        <is>
          <t>SF TP-ED-SAN JUAN (HUDASA)</t>
        </is>
      </c>
      <c r="I572" t="n">
        <v>5054686</v>
      </c>
      <c r="J572" t="inlineStr">
        <is>
          <t>GRUPO MERCANTIL HUDASA SA DE CV</t>
        </is>
      </c>
      <c r="K572" t="inlineStr">
        <is>
          <t>N90</t>
        </is>
      </c>
      <c r="L572" t="inlineStr">
        <is>
          <t>(AP) NAFIN 90 Dias</t>
        </is>
      </c>
      <c r="M572" t="n">
        <v>10192943</v>
      </c>
      <c r="N572" t="inlineStr">
        <is>
          <t>GRAVA TRITURADA CALIZA 40 MM - 1 1/2" HD</t>
        </is>
      </c>
      <c r="O572" t="inlineStr">
        <is>
          <t>D836</t>
        </is>
      </c>
      <c r="P572" t="inlineStr">
        <is>
          <t>MX-CED. CENTRO</t>
        </is>
      </c>
      <c r="Q572" t="n">
        <v>20201217</v>
      </c>
      <c r="R572" t="n">
        <v>20291231</v>
      </c>
      <c r="S572" t="n">
        <v>20240403</v>
      </c>
      <c r="T572" t="n">
        <v>20291231</v>
      </c>
      <c r="U572" t="n">
        <v>405.08</v>
      </c>
      <c r="V572" t="inlineStr">
        <is>
          <t>MXN</t>
        </is>
      </c>
      <c r="W572" t="inlineStr">
        <is>
          <t>TN</t>
        </is>
      </c>
      <c r="X572" t="n">
        <v>220</v>
      </c>
      <c r="Y572" t="inlineStr">
        <is>
          <t>MXN</t>
        </is>
      </c>
      <c r="Z572" t="inlineStr">
        <is>
          <t>TN</t>
        </is>
      </c>
      <c r="AA572" t="inlineStr">
        <is>
          <t>66779276</t>
        </is>
      </c>
      <c r="AB572" t="inlineStr">
        <is>
          <t>TVega Concretos</t>
        </is>
      </c>
      <c r="AC572" t="n">
        <v>56103637</v>
      </c>
      <c r="AD572" t="n">
        <v>6622261540</v>
      </c>
      <c r="AE572" t="n">
        <v>4</v>
      </c>
      <c r="AF572" t="inlineStr">
        <is>
          <t>ENTREGA DIRECTA</t>
        </is>
      </c>
      <c r="AG572" t="n">
        <v>1</v>
      </c>
      <c r="AH572" t="inlineStr">
        <is>
          <t>TO</t>
        </is>
      </c>
      <c r="AI572" t="inlineStr">
        <is>
          <t>X</t>
        </is>
      </c>
      <c r="AJ572" t="n">
        <v>4</v>
      </c>
      <c r="AK572" t="inlineStr">
        <is>
          <t>V4</t>
        </is>
      </c>
      <c r="AL572" t="n">
        <v>20240405</v>
      </c>
      <c r="AM572" t="inlineStr">
        <is>
          <t>D836-900006824-66779276-10192943-4</t>
        </is>
      </c>
    </row>
    <row r="573">
      <c r="A573" t="inlineStr">
        <is>
          <t>900001074D83610000206</t>
        </is>
      </c>
      <c r="B573" t="inlineStr">
        <is>
          <t>4600055099-10</t>
        </is>
      </c>
      <c r="C573" t="n">
        <v>4600055099</v>
      </c>
      <c r="D573" t="n">
        <v>10</v>
      </c>
      <c r="E573" t="inlineStr">
        <is>
          <t>MXPO</t>
        </is>
      </c>
      <c r="F573" t="inlineStr">
        <is>
          <t>MXL</t>
        </is>
      </c>
      <c r="G573" t="n">
        <v>900001074</v>
      </c>
      <c r="H573" t="inlineStr">
        <is>
          <t>TP-TRIVOMEX</t>
        </is>
      </c>
      <c r="I573" t="n">
        <v>5033501</v>
      </c>
      <c r="J573" t="inlineStr">
        <is>
          <t>TRITURADOS VOLCANICOS DE MEXICO</t>
        </is>
      </c>
      <c r="K573" t="inlineStr">
        <is>
          <t>Z04</t>
        </is>
      </c>
      <c r="L573" t="inlineStr">
        <is>
          <t>(AP) 30 Dias</t>
        </is>
      </c>
      <c r="M573" t="n">
        <v>10000206</v>
      </c>
      <c r="N573" t="inlineStr">
        <is>
          <t>Tepetate Triturado Tierra NA</t>
        </is>
      </c>
      <c r="O573" t="inlineStr">
        <is>
          <t>D836</t>
        </is>
      </c>
      <c r="P573" t="inlineStr">
        <is>
          <t>MX-CED. CENTRO</t>
        </is>
      </c>
      <c r="Q573" t="n">
        <v>20220906</v>
      </c>
      <c r="R573" t="n">
        <v>20271231</v>
      </c>
      <c r="S573" t="n">
        <v>20260303</v>
      </c>
      <c r="T573" t="n">
        <v>20301231</v>
      </c>
      <c r="U573" t="n">
        <v>20</v>
      </c>
      <c r="V573" t="inlineStr">
        <is>
          <t>MXN</t>
        </is>
      </c>
      <c r="W573" t="inlineStr">
        <is>
          <t>M3</t>
        </is>
      </c>
      <c r="X573" t="n">
        <v>0</v>
      </c>
      <c r="Y573" t="inlineStr">
        <is>
          <t>MXN</t>
        </is>
      </c>
      <c r="Z573" t="inlineStr">
        <is>
          <t>M3</t>
        </is>
      </c>
      <c r="AC573" t="n">
        <v>56103695</v>
      </c>
      <c r="AD573" t="n">
        <v>6622261540</v>
      </c>
      <c r="AE573" t="n">
        <v>2</v>
      </c>
      <c r="AF573" t="inlineStr">
        <is>
          <t>RECOGIDO</t>
        </is>
      </c>
      <c r="AG573" t="n">
        <v>1.249</v>
      </c>
      <c r="AH573" t="inlineStr">
        <is>
          <t>M3</t>
        </is>
      </c>
      <c r="AI573" t="inlineStr">
        <is>
          <t>X</t>
        </is>
      </c>
      <c r="AJ573" t="n">
        <v>4</v>
      </c>
      <c r="AK573" t="inlineStr">
        <is>
          <t>V4</t>
        </is>
      </c>
      <c r="AL573" t="n">
        <v>20260309</v>
      </c>
      <c r="AM573" t="inlineStr">
        <is>
          <t>D836-900001074-10000206</t>
        </is>
      </c>
    </row>
    <row r="574">
      <c r="A574" t="inlineStr">
        <is>
          <t>900006824D8366677927610192944</t>
        </is>
      </c>
      <c r="B574" t="inlineStr">
        <is>
          <t>4600048689-50</t>
        </is>
      </c>
      <c r="C574" t="n">
        <v>4600048689</v>
      </c>
      <c r="D574" t="n">
        <v>50</v>
      </c>
      <c r="E574" t="inlineStr">
        <is>
          <t>MXPO</t>
        </is>
      </c>
      <c r="F574" t="inlineStr">
        <is>
          <t>MXL</t>
        </is>
      </c>
      <c r="G574" t="n">
        <v>900006824</v>
      </c>
      <c r="H574" t="inlineStr">
        <is>
          <t>SF TP-ED-SAN JUAN (HUDASA)</t>
        </is>
      </c>
      <c r="I574" t="n">
        <v>5054686</v>
      </c>
      <c r="J574" t="inlineStr">
        <is>
          <t>GRUPO MERCANTIL HUDASA SA DE CV</t>
        </is>
      </c>
      <c r="K574" t="inlineStr">
        <is>
          <t>N90</t>
        </is>
      </c>
      <c r="L574" t="inlineStr">
        <is>
          <t>(AP) NAFIN 90 Dias</t>
        </is>
      </c>
      <c r="M574" t="n">
        <v>10192944</v>
      </c>
      <c r="N574" t="inlineStr">
        <is>
          <t>GRAVA TRITURADA CALIZA 20 MM - 3/4" HD</t>
        </is>
      </c>
      <c r="O574" t="inlineStr">
        <is>
          <t>D836</t>
        </is>
      </c>
      <c r="P574" t="inlineStr">
        <is>
          <t>MX-CED. CENTRO</t>
        </is>
      </c>
      <c r="Q574" t="n">
        <v>20201217</v>
      </c>
      <c r="R574" t="n">
        <v>20291231</v>
      </c>
      <c r="S574" t="n">
        <v>20240403</v>
      </c>
      <c r="T574" t="n">
        <v>20291231</v>
      </c>
      <c r="U574" t="n">
        <v>402.44</v>
      </c>
      <c r="V574" t="inlineStr">
        <is>
          <t>MXN</t>
        </is>
      </c>
      <c r="W574" t="inlineStr">
        <is>
          <t>TN</t>
        </is>
      </c>
      <c r="X574" t="n">
        <v>210</v>
      </c>
      <c r="Y574" t="inlineStr">
        <is>
          <t>MXN</t>
        </is>
      </c>
      <c r="Z574" t="inlineStr">
        <is>
          <t>TN</t>
        </is>
      </c>
      <c r="AA574" t="inlineStr">
        <is>
          <t>66779276</t>
        </is>
      </c>
      <c r="AB574" t="inlineStr">
        <is>
          <t>TVega Concretos</t>
        </is>
      </c>
      <c r="AC574" t="n">
        <v>56103637</v>
      </c>
      <c r="AD574" t="n">
        <v>6622261540</v>
      </c>
      <c r="AE574" t="n">
        <v>4</v>
      </c>
      <c r="AF574" t="inlineStr">
        <is>
          <t>ENTREGA DIRECTA</t>
        </is>
      </c>
      <c r="AG574" t="n">
        <v>1</v>
      </c>
      <c r="AH574" t="inlineStr">
        <is>
          <t>TO</t>
        </is>
      </c>
      <c r="AI574" t="inlineStr">
        <is>
          <t>X</t>
        </is>
      </c>
      <c r="AJ574" t="n">
        <v>4</v>
      </c>
      <c r="AK574" t="inlineStr">
        <is>
          <t>V4</t>
        </is>
      </c>
      <c r="AL574" t="n">
        <v>20240405</v>
      </c>
      <c r="AM574" t="inlineStr">
        <is>
          <t>D836-900006824-66779276-10192944-4</t>
        </is>
      </c>
    </row>
    <row r="575">
      <c r="A575" t="inlineStr">
        <is>
          <t>900003496D8366722167410000635</t>
        </is>
      </c>
      <c r="B575" t="inlineStr">
        <is>
          <t>4600048147-40</t>
        </is>
      </c>
      <c r="C575" t="n">
        <v>4600048147</v>
      </c>
      <c r="D575" t="n">
        <v>40</v>
      </c>
      <c r="E575" t="inlineStr">
        <is>
          <t>MXPO</t>
        </is>
      </c>
      <c r="F575" t="inlineStr">
        <is>
          <t>MXL</t>
        </is>
      </c>
      <c r="G575" t="n">
        <v>900003496</v>
      </c>
      <c r="H575" t="inlineStr">
        <is>
          <t>TP-ED-TRIMCAV</t>
        </is>
      </c>
      <c r="I575" t="n">
        <v>5010147</v>
      </c>
      <c r="J575" t="inlineStr">
        <is>
          <t>TRITURACIONES DE MARMOL Y CALCIOS</t>
        </is>
      </c>
      <c r="K575" t="inlineStr">
        <is>
          <t>Z04</t>
        </is>
      </c>
      <c r="L575" t="inlineStr">
        <is>
          <t>(AP) 30 Dias</t>
        </is>
      </c>
      <c r="M575" t="n">
        <v>10000635</v>
      </c>
      <c r="N575" t="inlineStr">
        <is>
          <t>Arena Triturada Marmol Malla 4</t>
        </is>
      </c>
      <c r="O575" t="inlineStr">
        <is>
          <t>D836</t>
        </is>
      </c>
      <c r="P575" t="inlineStr">
        <is>
          <t>MX-CED. CENTRO</t>
        </is>
      </c>
      <c r="Q575" t="n">
        <v>20200929</v>
      </c>
      <c r="R575" t="n">
        <v>20291231</v>
      </c>
      <c r="S575" t="n">
        <v>20240729</v>
      </c>
      <c r="T575" t="n">
        <v>20291231</v>
      </c>
      <c r="U575" t="n">
        <v>1004.64</v>
      </c>
      <c r="V575" t="inlineStr">
        <is>
          <t>MXN</t>
        </is>
      </c>
      <c r="W575" t="inlineStr">
        <is>
          <t>TN</t>
        </is>
      </c>
      <c r="X575" t="n">
        <v>500</v>
      </c>
      <c r="Y575" t="inlineStr">
        <is>
          <t>MXN</t>
        </is>
      </c>
      <c r="Z575" t="inlineStr">
        <is>
          <t>TN</t>
        </is>
      </c>
      <c r="AA575" t="inlineStr">
        <is>
          <t>67221674</t>
        </is>
      </c>
      <c r="AB575" t="inlineStr">
        <is>
          <t>GRUPO CYPESA -WERK</t>
        </is>
      </c>
      <c r="AC575" t="n">
        <v>56103638</v>
      </c>
      <c r="AD575" t="n">
        <v>6622261540</v>
      </c>
      <c r="AE575" t="n">
        <v>4</v>
      </c>
      <c r="AF575" t="inlineStr">
        <is>
          <t>ENTREGA DIRECTA</t>
        </is>
      </c>
      <c r="AG575" t="n">
        <v>1</v>
      </c>
      <c r="AH575" t="inlineStr">
        <is>
          <t>TO</t>
        </is>
      </c>
      <c r="AI575" t="inlineStr">
        <is>
          <t>X</t>
        </is>
      </c>
      <c r="AJ575" t="n">
        <v>4</v>
      </c>
      <c r="AK575" t="inlineStr">
        <is>
          <t>V4</t>
        </is>
      </c>
      <c r="AL575" t="n">
        <v>20240730</v>
      </c>
      <c r="AM575" t="inlineStr">
        <is>
          <t>D836-900003496-67221674-10000635-4</t>
        </is>
      </c>
    </row>
    <row r="576">
      <c r="A576" t="inlineStr">
        <is>
          <t>900003496D8366722167410000655</t>
        </is>
      </c>
      <c r="B576" t="inlineStr">
        <is>
          <t>4600048147-50</t>
        </is>
      </c>
      <c r="C576" t="n">
        <v>4600048147</v>
      </c>
      <c r="D576" t="n">
        <v>50</v>
      </c>
      <c r="E576" t="inlineStr">
        <is>
          <t>MXPO</t>
        </is>
      </c>
      <c r="F576" t="inlineStr">
        <is>
          <t>MXL</t>
        </is>
      </c>
      <c r="G576" t="n">
        <v>900003496</v>
      </c>
      <c r="H576" t="inlineStr">
        <is>
          <t>TP-ED-TRIMCAV</t>
        </is>
      </c>
      <c r="I576" t="n">
        <v>5010147</v>
      </c>
      <c r="J576" t="inlineStr">
        <is>
          <t>TRITURACIONES DE MARMOL Y CALCIOS</t>
        </is>
      </c>
      <c r="K576" t="inlineStr">
        <is>
          <t>Z04</t>
        </is>
      </c>
      <c r="L576" t="inlineStr">
        <is>
          <t>(AP) 30 Dias</t>
        </is>
      </c>
      <c r="M576" t="n">
        <v>10000655</v>
      </c>
      <c r="N576" t="inlineStr">
        <is>
          <t>Grava Triturada Marmol 10 mm - 3/8"</t>
        </is>
      </c>
      <c r="O576" t="inlineStr">
        <is>
          <t>D836</t>
        </is>
      </c>
      <c r="P576" t="inlineStr">
        <is>
          <t>MX-CED. CENTRO</t>
        </is>
      </c>
      <c r="Q576" t="n">
        <v>20200929</v>
      </c>
      <c r="R576" t="n">
        <v>20291231</v>
      </c>
      <c r="S576" t="n">
        <v>20240729</v>
      </c>
      <c r="T576" t="n">
        <v>20291231</v>
      </c>
      <c r="U576" t="n">
        <v>1004.64</v>
      </c>
      <c r="V576" t="inlineStr">
        <is>
          <t>MXN</t>
        </is>
      </c>
      <c r="W576" t="inlineStr">
        <is>
          <t>TN</t>
        </is>
      </c>
      <c r="X576" t="n">
        <v>500</v>
      </c>
      <c r="Y576" t="inlineStr">
        <is>
          <t>MXN</t>
        </is>
      </c>
      <c r="Z576" t="inlineStr">
        <is>
          <t>TN</t>
        </is>
      </c>
      <c r="AA576" t="inlineStr">
        <is>
          <t>67221674</t>
        </is>
      </c>
      <c r="AB576" t="inlineStr">
        <is>
          <t>GRUPO CYPESA -WERK</t>
        </is>
      </c>
      <c r="AC576" t="n">
        <v>56103637</v>
      </c>
      <c r="AD576" t="n">
        <v>6622261540</v>
      </c>
      <c r="AE576" t="n">
        <v>4</v>
      </c>
      <c r="AF576" t="inlineStr">
        <is>
          <t>ENTREGA DIRECTA</t>
        </is>
      </c>
      <c r="AG576" t="n">
        <v>1</v>
      </c>
      <c r="AH576" t="inlineStr">
        <is>
          <t>TO</t>
        </is>
      </c>
      <c r="AI576" t="inlineStr">
        <is>
          <t>X</t>
        </is>
      </c>
      <c r="AJ576" t="n">
        <v>4</v>
      </c>
      <c r="AK576" t="inlineStr">
        <is>
          <t>V4</t>
        </is>
      </c>
      <c r="AL576" t="n">
        <v>20240730</v>
      </c>
      <c r="AM576" t="inlineStr">
        <is>
          <t>D836-900003496-67221674-10000655-4</t>
        </is>
      </c>
    </row>
    <row r="577">
      <c r="A577" t="inlineStr">
        <is>
          <t>900002574D8366658134810000160</t>
        </is>
      </c>
      <c r="B577" t="inlineStr">
        <is>
          <t>4600027590-2550</t>
        </is>
      </c>
      <c r="C577" t="n">
        <v>4600027590</v>
      </c>
      <c r="D577" t="n">
        <v>2550</v>
      </c>
      <c r="E577" t="inlineStr">
        <is>
          <t>MXPO</t>
        </is>
      </c>
      <c r="F577" t="inlineStr">
        <is>
          <t>M02</t>
        </is>
      </c>
      <c r="G577" t="n">
        <v>900002574</v>
      </c>
      <c r="H577" t="inlineStr">
        <is>
          <t>TP-ED-OLIELL</t>
        </is>
      </c>
      <c r="I577" t="n">
        <v>5048484</v>
      </c>
      <c r="J577" t="inlineStr">
        <is>
          <t>COMERCIALIZADORA Y TRANSPORTADORA O</t>
        </is>
      </c>
      <c r="K577" t="inlineStr">
        <is>
          <t>N90</t>
        </is>
      </c>
      <c r="L577" t="inlineStr">
        <is>
          <t>(AP) NAFIN 90 Dias</t>
        </is>
      </c>
      <c r="M577" t="n">
        <v>10000160</v>
      </c>
      <c r="N577" t="inlineStr">
        <is>
          <t>Arena Triturada Andesita Malla 4</t>
        </is>
      </c>
      <c r="O577" t="inlineStr">
        <is>
          <t>D836</t>
        </is>
      </c>
      <c r="P577" t="inlineStr">
        <is>
          <t>MX-CED. CENTRO</t>
        </is>
      </c>
      <c r="Q577" t="n">
        <v>20141106</v>
      </c>
      <c r="R577" t="n">
        <v>20281231</v>
      </c>
      <c r="S577" t="n">
        <v>20240729</v>
      </c>
      <c r="T577" t="n">
        <v>20291231</v>
      </c>
      <c r="U577" t="n">
        <v>629.08</v>
      </c>
      <c r="V577" t="inlineStr">
        <is>
          <t>MXN</t>
        </is>
      </c>
      <c r="W577" t="inlineStr">
        <is>
          <t>M3</t>
        </is>
      </c>
      <c r="X577" t="n">
        <v>500</v>
      </c>
      <c r="Y577" t="inlineStr">
        <is>
          <t>MXN</t>
        </is>
      </c>
      <c r="Z577" t="inlineStr">
        <is>
          <t>M3</t>
        </is>
      </c>
      <c r="AA577" t="inlineStr">
        <is>
          <t>66581348</t>
        </is>
      </c>
      <c r="AB577" t="inlineStr">
        <is>
          <t>MERCED GÓMEZ</t>
        </is>
      </c>
      <c r="AC577" t="n">
        <v>56103638</v>
      </c>
      <c r="AD577" t="n">
        <v>6622261540</v>
      </c>
      <c r="AE577" t="n">
        <v>4</v>
      </c>
      <c r="AF577" t="inlineStr">
        <is>
          <t>ENTREGA DIRECTA</t>
        </is>
      </c>
      <c r="AG577" t="n">
        <v>1.409</v>
      </c>
      <c r="AH577" t="inlineStr">
        <is>
          <t>M3</t>
        </is>
      </c>
      <c r="AI577" t="inlineStr">
        <is>
          <t>X</t>
        </is>
      </c>
      <c r="AJ577" t="n">
        <v>4</v>
      </c>
      <c r="AK577" t="inlineStr">
        <is>
          <t>V4</t>
        </is>
      </c>
      <c r="AL577" t="n">
        <v>20240730</v>
      </c>
      <c r="AM577" t="inlineStr">
        <is>
          <t>D836-900002574-66581348-10000160-4</t>
        </is>
      </c>
    </row>
    <row r="578">
      <c r="A578" t="inlineStr">
        <is>
          <t>900009140D8366729725910147486</t>
        </is>
      </c>
      <c r="B578" t="inlineStr">
        <is>
          <t>4600070959-70</t>
        </is>
      </c>
      <c r="C578" t="n">
        <v>4600070959</v>
      </c>
      <c r="D578" t="n">
        <v>70</v>
      </c>
      <c r="E578" t="inlineStr">
        <is>
          <t>MXPO</t>
        </is>
      </c>
      <c r="F578" t="inlineStr">
        <is>
          <t>MXL</t>
        </is>
      </c>
      <c r="G578" t="n">
        <v>900009140</v>
      </c>
      <c r="H578" t="inlineStr">
        <is>
          <t>SF TP-ED CONCRETOS Y PAVIMENTOS</t>
        </is>
      </c>
      <c r="I578" t="n">
        <v>5089601</v>
      </c>
      <c r="J578" t="inlineStr">
        <is>
          <t>CONCRETOS Y PAVIMENTOS EXTERIORES S</t>
        </is>
      </c>
      <c r="K578" t="inlineStr">
        <is>
          <t>N90</t>
        </is>
      </c>
      <c r="L578" t="inlineStr">
        <is>
          <t>(AP) NAFIN 90 Dias</t>
        </is>
      </c>
      <c r="M578" t="n">
        <v>10147486</v>
      </c>
      <c r="N578" t="inlineStr">
        <is>
          <t>BALASTO TRITURADO</t>
        </is>
      </c>
      <c r="O578" t="inlineStr">
        <is>
          <t>D836</t>
        </is>
      </c>
      <c r="P578" t="inlineStr">
        <is>
          <t>MX-CED. CENTRO</t>
        </is>
      </c>
      <c r="Q578" t="n">
        <v>20250304</v>
      </c>
      <c r="R578" t="n">
        <v>20301231</v>
      </c>
      <c r="S578" t="n">
        <v>20250722</v>
      </c>
      <c r="T578" t="n">
        <v>20301231</v>
      </c>
      <c r="U578" t="n">
        <v>336</v>
      </c>
      <c r="V578" t="inlineStr">
        <is>
          <t>MXN</t>
        </is>
      </c>
      <c r="W578" t="inlineStr">
        <is>
          <t>M3</t>
        </is>
      </c>
      <c r="X578" t="n">
        <v>200</v>
      </c>
      <c r="Y578" t="inlineStr">
        <is>
          <t>MXN</t>
        </is>
      </c>
      <c r="Z578" t="inlineStr">
        <is>
          <t>M3</t>
        </is>
      </c>
      <c r="AA578" t="inlineStr">
        <is>
          <t>67297259</t>
        </is>
      </c>
      <c r="AB578" t="inlineStr">
        <is>
          <t>CLIENTE GLOBAL SOLUTION TORREBELL</t>
        </is>
      </c>
      <c r="AC578" t="n">
        <v>56103591</v>
      </c>
      <c r="AD578" t="n">
        <v>6622261540</v>
      </c>
      <c r="AE578" t="n">
        <v>4</v>
      </c>
      <c r="AF578" t="inlineStr">
        <is>
          <t>ENTREGA DIRECTA</t>
        </is>
      </c>
      <c r="AG578" t="n">
        <v>1.56</v>
      </c>
      <c r="AH578" t="inlineStr">
        <is>
          <t>M3</t>
        </is>
      </c>
      <c r="AI578" t="inlineStr">
        <is>
          <t>X</t>
        </is>
      </c>
      <c r="AJ578" t="n">
        <v>4</v>
      </c>
      <c r="AK578" t="inlineStr">
        <is>
          <t>V4</t>
        </is>
      </c>
      <c r="AL578" t="n">
        <v>20250725</v>
      </c>
      <c r="AM578" t="inlineStr">
        <is>
          <t>D836-900009140-67297259-10147486-4</t>
        </is>
      </c>
    </row>
    <row r="579">
      <c r="A579" t="inlineStr">
        <is>
          <t>900003601D83610000623</t>
        </is>
      </c>
      <c r="B579" t="inlineStr">
        <is>
          <t>4600027604-60</t>
        </is>
      </c>
      <c r="C579" t="n">
        <v>4600027604</v>
      </c>
      <c r="D579" t="n">
        <v>60</v>
      </c>
      <c r="E579" t="inlineStr">
        <is>
          <t>MXPO</t>
        </is>
      </c>
      <c r="F579" t="inlineStr">
        <is>
          <t>M02</t>
        </is>
      </c>
      <c r="G579" t="n">
        <v>900003601</v>
      </c>
      <c r="H579" t="inlineStr">
        <is>
          <t>TP-EJIDO PROGRESO</t>
        </is>
      </c>
      <c r="I579" t="n">
        <v>5001924</v>
      </c>
      <c r="J579" t="inlineStr">
        <is>
          <t>EJIDO PROGRESO</t>
        </is>
      </c>
      <c r="K579" t="inlineStr">
        <is>
          <t>Z04</t>
        </is>
      </c>
      <c r="L579" t="inlineStr">
        <is>
          <t>(AP) 30 Dias</t>
        </is>
      </c>
      <c r="M579" t="n">
        <v>10000623</v>
      </c>
      <c r="N579" t="inlineStr">
        <is>
          <t>Grava Triturada Caliza 10 mm - 3/8"</t>
        </is>
      </c>
      <c r="O579" t="inlineStr">
        <is>
          <t>D836</t>
        </is>
      </c>
      <c r="P579" t="inlineStr">
        <is>
          <t>MX-CED. CENTRO</t>
        </is>
      </c>
      <c r="Q579" t="n">
        <v>20141106</v>
      </c>
      <c r="R579" t="n">
        <v>20291231</v>
      </c>
      <c r="S579" t="n">
        <v>20250721</v>
      </c>
      <c r="T579" t="n">
        <v>20301231</v>
      </c>
      <c r="U579" t="n">
        <v>100</v>
      </c>
      <c r="V579" t="inlineStr">
        <is>
          <t>MXN</t>
        </is>
      </c>
      <c r="W579" t="inlineStr">
        <is>
          <t>TN</t>
        </is>
      </c>
      <c r="X579" t="n">
        <v>0</v>
      </c>
      <c r="Y579" t="inlineStr">
        <is>
          <t>MXN</t>
        </is>
      </c>
      <c r="Z579" t="inlineStr">
        <is>
          <t>TN</t>
        </is>
      </c>
      <c r="AC579" t="n">
        <v>56103637</v>
      </c>
      <c r="AD579" t="n">
        <v>6622261540</v>
      </c>
      <c r="AE579" t="n">
        <v>1</v>
      </c>
      <c r="AF579" t="inlineStr">
        <is>
          <t>ENTREGADO</t>
        </is>
      </c>
      <c r="AG579" t="n">
        <v>1</v>
      </c>
      <c r="AH579" t="inlineStr">
        <is>
          <t>TO</t>
        </is>
      </c>
      <c r="AI579" t="inlineStr">
        <is>
          <t>X</t>
        </is>
      </c>
      <c r="AJ579" t="n">
        <v>4</v>
      </c>
      <c r="AK579" t="inlineStr">
        <is>
          <t>V4</t>
        </is>
      </c>
      <c r="AL579" t="n">
        <v>20250724</v>
      </c>
      <c r="AM579" t="inlineStr">
        <is>
          <t>D836-900003601-10000623</t>
        </is>
      </c>
    </row>
    <row r="580">
      <c r="A580" t="inlineStr">
        <is>
          <t>900003601D83610000811</t>
        </is>
      </c>
      <c r="B580" t="inlineStr">
        <is>
          <t>4600027604-20</t>
        </is>
      </c>
      <c r="C580" t="n">
        <v>4600027604</v>
      </c>
      <c r="D580" t="n">
        <v>20</v>
      </c>
      <c r="E580" t="inlineStr">
        <is>
          <t>MXPO</t>
        </is>
      </c>
      <c r="F580" t="inlineStr">
        <is>
          <t>M02</t>
        </is>
      </c>
      <c r="G580" t="n">
        <v>900003601</v>
      </c>
      <c r="H580" t="inlineStr">
        <is>
          <t>TP-EJIDO PROGRESO</t>
        </is>
      </c>
      <c r="I580" t="n">
        <v>5001924</v>
      </c>
      <c r="J580" t="inlineStr">
        <is>
          <t>EJIDO PROGRESO</t>
        </is>
      </c>
      <c r="K580" t="inlineStr">
        <is>
          <t>Z04</t>
        </is>
      </c>
      <c r="L580" t="inlineStr">
        <is>
          <t>(AP) 30 Dias</t>
        </is>
      </c>
      <c r="M580" t="n">
        <v>10000811</v>
      </c>
      <c r="N580" t="inlineStr">
        <is>
          <t>Grava Triturada Caliza 20 mm - 3/4"</t>
        </is>
      </c>
      <c r="O580" t="inlineStr">
        <is>
          <t>D836</t>
        </is>
      </c>
      <c r="P580" t="inlineStr">
        <is>
          <t>MX-CED. CENTRO</t>
        </is>
      </c>
      <c r="Q580" t="n">
        <v>20141106</v>
      </c>
      <c r="R580" t="n">
        <v>20291231</v>
      </c>
      <c r="S580" t="n">
        <v>20250721</v>
      </c>
      <c r="T580" t="n">
        <v>20301231</v>
      </c>
      <c r="U580" t="n">
        <v>110</v>
      </c>
      <c r="V580" t="inlineStr">
        <is>
          <t>MXN</t>
        </is>
      </c>
      <c r="W580" t="inlineStr">
        <is>
          <t>TN</t>
        </is>
      </c>
      <c r="X580" t="n">
        <v>0</v>
      </c>
      <c r="Y580" t="inlineStr">
        <is>
          <t>MXN</t>
        </is>
      </c>
      <c r="Z580" t="inlineStr">
        <is>
          <t>TN</t>
        </is>
      </c>
      <c r="AC580" t="n">
        <v>56103637</v>
      </c>
      <c r="AD580" t="n">
        <v>6622261540</v>
      </c>
      <c r="AE580" t="n">
        <v>1</v>
      </c>
      <c r="AF580" t="inlineStr">
        <is>
          <t>ENTREGADO</t>
        </is>
      </c>
      <c r="AG580" t="n">
        <v>1</v>
      </c>
      <c r="AH580" t="inlineStr">
        <is>
          <t>TO</t>
        </is>
      </c>
      <c r="AI580" t="inlineStr">
        <is>
          <t>X</t>
        </is>
      </c>
      <c r="AJ580" t="n">
        <v>4</v>
      </c>
      <c r="AK580" t="inlineStr">
        <is>
          <t>V4</t>
        </is>
      </c>
      <c r="AL580" t="n">
        <v>20250724</v>
      </c>
      <c r="AM580" t="inlineStr">
        <is>
          <t>D836-900003601-10000811</t>
        </is>
      </c>
    </row>
    <row r="581">
      <c r="A581" t="inlineStr">
        <is>
          <t>900003593D83610000160</t>
        </is>
      </c>
      <c r="B581" t="inlineStr">
        <is>
          <t>4600070766-10</t>
        </is>
      </c>
      <c r="C581" t="n">
        <v>4600070766</v>
      </c>
      <c r="D581" t="n">
        <v>10</v>
      </c>
      <c r="E581" t="inlineStr">
        <is>
          <t>MXPO</t>
        </is>
      </c>
      <c r="F581" t="inlineStr">
        <is>
          <t>MXL</t>
        </is>
      </c>
      <c r="G581" t="n">
        <v>900003593</v>
      </c>
      <c r="H581" t="inlineStr">
        <is>
          <t>TP-COMO</t>
        </is>
      </c>
      <c r="I581" t="n">
        <v>5010165</v>
      </c>
      <c r="J581" t="inlineStr">
        <is>
          <t>AGREGADOS COMO S.A. DE C.V.</t>
        </is>
      </c>
      <c r="K581" t="inlineStr">
        <is>
          <t>N60</t>
        </is>
      </c>
      <c r="L581" t="inlineStr">
        <is>
          <t>(AP) NAFIN 60 Dias</t>
        </is>
      </c>
      <c r="M581" t="n">
        <v>10000160</v>
      </c>
      <c r="N581" t="inlineStr">
        <is>
          <t>Arena Triturada Andesita Malla 4</t>
        </is>
      </c>
      <c r="O581" t="inlineStr">
        <is>
          <t>D836</t>
        </is>
      </c>
      <c r="P581" t="inlineStr">
        <is>
          <t>MX-CED. CENTRO</t>
        </is>
      </c>
      <c r="Q581" t="n">
        <v>20250122</v>
      </c>
      <c r="R581" t="n">
        <v>20301231</v>
      </c>
      <c r="S581" t="n">
        <v>20250120</v>
      </c>
      <c r="T581" t="n">
        <v>20301231</v>
      </c>
      <c r="U581" t="n">
        <v>110</v>
      </c>
      <c r="V581" t="inlineStr">
        <is>
          <t>MXN</t>
        </is>
      </c>
      <c r="W581" t="inlineStr">
        <is>
          <t>M3</t>
        </is>
      </c>
      <c r="X581" t="n">
        <v>0</v>
      </c>
      <c r="Y581" t="inlineStr">
        <is>
          <t>MXN</t>
        </is>
      </c>
      <c r="Z581" t="inlineStr">
        <is>
          <t>M3</t>
        </is>
      </c>
      <c r="AC581" t="n">
        <v>56103638</v>
      </c>
      <c r="AD581" t="n">
        <v>6622261540</v>
      </c>
      <c r="AE581" t="n">
        <v>1</v>
      </c>
      <c r="AF581" t="inlineStr">
        <is>
          <t>ENTREGADO</t>
        </is>
      </c>
      <c r="AG581" t="n">
        <v>1.409</v>
      </c>
      <c r="AH581" t="inlineStr">
        <is>
          <t>M3</t>
        </is>
      </c>
      <c r="AI581" t="inlineStr">
        <is>
          <t>X</t>
        </is>
      </c>
      <c r="AJ581" t="n">
        <v>4</v>
      </c>
      <c r="AK581" t="inlineStr">
        <is>
          <t>V4</t>
        </is>
      </c>
      <c r="AL581" t="n">
        <v>20250122</v>
      </c>
      <c r="AM581" t="inlineStr">
        <is>
          <t>D836-900003593-10000160</t>
        </is>
      </c>
    </row>
    <row r="582">
      <c r="A582" t="inlineStr">
        <is>
          <t>900003601D83610000624</t>
        </is>
      </c>
      <c r="B582" t="inlineStr">
        <is>
          <t>4600027604-10</t>
        </is>
      </c>
      <c r="C582" t="n">
        <v>4600027604</v>
      </c>
      <c r="D582" t="n">
        <v>10</v>
      </c>
      <c r="E582" t="inlineStr">
        <is>
          <t>MXPO</t>
        </is>
      </c>
      <c r="F582" t="inlineStr">
        <is>
          <t>M02</t>
        </is>
      </c>
      <c r="G582" t="n">
        <v>900003601</v>
      </c>
      <c r="H582" t="inlineStr">
        <is>
          <t>TP-EJIDO PROGRESO</t>
        </is>
      </c>
      <c r="I582" t="n">
        <v>5001924</v>
      </c>
      <c r="J582" t="inlineStr">
        <is>
          <t>EJIDO PROGRESO</t>
        </is>
      </c>
      <c r="K582" t="inlineStr">
        <is>
          <t>Z04</t>
        </is>
      </c>
      <c r="L582" t="inlineStr">
        <is>
          <t>(AP) 30 Dias</t>
        </is>
      </c>
      <c r="M582" t="n">
        <v>10000624</v>
      </c>
      <c r="N582" t="inlineStr">
        <is>
          <t>Grava Triturada Caliza 40 mm - 1 1/2"</t>
        </is>
      </c>
      <c r="O582" t="inlineStr">
        <is>
          <t>D836</t>
        </is>
      </c>
      <c r="P582" t="inlineStr">
        <is>
          <t>MX-CED. CENTRO</t>
        </is>
      </c>
      <c r="Q582" t="n">
        <v>20141106</v>
      </c>
      <c r="R582" t="n">
        <v>20291231</v>
      </c>
      <c r="S582" t="n">
        <v>20250721</v>
      </c>
      <c r="T582" t="n">
        <v>20301231</v>
      </c>
      <c r="U582" t="n">
        <v>98</v>
      </c>
      <c r="V582" t="inlineStr">
        <is>
          <t>MXN</t>
        </is>
      </c>
      <c r="W582" t="inlineStr">
        <is>
          <t>TN</t>
        </is>
      </c>
      <c r="X582" t="n">
        <v>0</v>
      </c>
      <c r="Y582" t="inlineStr">
        <is>
          <t>MXN</t>
        </is>
      </c>
      <c r="Z582" t="inlineStr">
        <is>
          <t>TN</t>
        </is>
      </c>
      <c r="AC582" t="n">
        <v>56103637</v>
      </c>
      <c r="AD582" t="n">
        <v>6622261540</v>
      </c>
      <c r="AE582" t="n">
        <v>1</v>
      </c>
      <c r="AF582" t="inlineStr">
        <is>
          <t>ENTREGADO</t>
        </is>
      </c>
      <c r="AG582" t="n">
        <v>1</v>
      </c>
      <c r="AH582" t="inlineStr">
        <is>
          <t>TO</t>
        </is>
      </c>
      <c r="AI582" t="inlineStr">
        <is>
          <t>X</t>
        </is>
      </c>
      <c r="AJ582" t="n">
        <v>4</v>
      </c>
      <c r="AK582" t="inlineStr">
        <is>
          <t>V4</t>
        </is>
      </c>
      <c r="AL582" t="n">
        <v>20250724</v>
      </c>
      <c r="AM582" t="inlineStr">
        <is>
          <t>D836-900003601-10000624</t>
        </is>
      </c>
    </row>
    <row r="583">
      <c r="A583" t="inlineStr">
        <is>
          <t>900002574D8366736425510002802</t>
        </is>
      </c>
      <c r="B583" t="inlineStr">
        <is>
          <t>4600027590-2680</t>
        </is>
      </c>
      <c r="C583" t="n">
        <v>4600027590</v>
      </c>
      <c r="D583" t="n">
        <v>2680</v>
      </c>
      <c r="E583" t="inlineStr">
        <is>
          <t>MXPO</t>
        </is>
      </c>
      <c r="F583" t="inlineStr">
        <is>
          <t>M02</t>
        </is>
      </c>
      <c r="G583" t="n">
        <v>900002574</v>
      </c>
      <c r="H583" t="inlineStr">
        <is>
          <t>TP-ED-OLIELL</t>
        </is>
      </c>
      <c r="I583" t="n">
        <v>5048484</v>
      </c>
      <c r="J583" t="inlineStr">
        <is>
          <t>COMERCIALIZADORA Y TRANSPORTADORA O</t>
        </is>
      </c>
      <c r="K583" t="inlineStr">
        <is>
          <t>N90</t>
        </is>
      </c>
      <c r="L583" t="inlineStr">
        <is>
          <t>(AP) NAFIN 90 Dias</t>
        </is>
      </c>
      <c r="M583" t="n">
        <v>10002802</v>
      </c>
      <c r="N583" t="inlineStr">
        <is>
          <t>Arena Clasificada Río Malla 4 Lavado</t>
        </is>
      </c>
      <c r="O583" t="inlineStr">
        <is>
          <t>D836</t>
        </is>
      </c>
      <c r="P583" t="inlineStr">
        <is>
          <t>MX-CED. CENTRO</t>
        </is>
      </c>
      <c r="Q583" t="n">
        <v>20141106</v>
      </c>
      <c r="R583" t="n">
        <v>20281231</v>
      </c>
      <c r="S583" t="n">
        <v>20260205</v>
      </c>
      <c r="T583" t="n">
        <v>20301231</v>
      </c>
      <c r="U583" t="n">
        <v>455.5</v>
      </c>
      <c r="V583" t="inlineStr">
        <is>
          <t>MXN</t>
        </is>
      </c>
      <c r="W583" t="inlineStr">
        <is>
          <t>M3</t>
        </is>
      </c>
      <c r="X583" t="n">
        <v>318.85</v>
      </c>
      <c r="Y583" t="inlineStr">
        <is>
          <t>MXN</t>
        </is>
      </c>
      <c r="Z583" t="inlineStr">
        <is>
          <t>M3</t>
        </is>
      </c>
      <c r="AA583" t="inlineStr">
        <is>
          <t>67364255</t>
        </is>
      </c>
      <c r="AB583" t="inlineStr">
        <is>
          <t>URBANIZACIONES Y DESARROLLOS URDES</t>
        </is>
      </c>
      <c r="AC583" t="n">
        <v>56103638</v>
      </c>
      <c r="AD583" t="n">
        <v>6622261540</v>
      </c>
      <c r="AE583" t="n">
        <v>4</v>
      </c>
      <c r="AF583" t="inlineStr">
        <is>
          <t>ENTREGA DIRECTA</t>
        </is>
      </c>
      <c r="AG583" t="n">
        <v>1.463</v>
      </c>
      <c r="AH583" t="inlineStr">
        <is>
          <t>M3</t>
        </is>
      </c>
      <c r="AI583" t="inlineStr">
        <is>
          <t>X</t>
        </is>
      </c>
      <c r="AJ583" t="n">
        <v>4</v>
      </c>
      <c r="AK583" t="inlineStr">
        <is>
          <t>V4</t>
        </is>
      </c>
      <c r="AL583" t="n">
        <v>20260209</v>
      </c>
      <c r="AM583" t="inlineStr">
        <is>
          <t>D836-900002574-67364255-10002802-4</t>
        </is>
      </c>
    </row>
    <row r="584">
      <c r="A584" t="inlineStr">
        <is>
          <t>900005627D83610260064</t>
        </is>
      </c>
      <c r="B584" t="inlineStr">
        <is>
          <t>4600042076-140</t>
        </is>
      </c>
      <c r="C584" t="n">
        <v>4600042076</v>
      </c>
      <c r="D584" t="n">
        <v>140</v>
      </c>
      <c r="E584" t="inlineStr">
        <is>
          <t>MXPO</t>
        </is>
      </c>
      <c r="F584" t="inlineStr">
        <is>
          <t>MXL</t>
        </is>
      </c>
      <c r="G584" t="n">
        <v>900005627</v>
      </c>
      <c r="H584" t="inlineStr">
        <is>
          <t>TP-DOS CERROS SAN LUIS</t>
        </is>
      </c>
      <c r="I584" t="n">
        <v>5036168</v>
      </c>
      <c r="J584" t="inlineStr">
        <is>
          <t>TRITURADOS DOS CERROS SA DE CV</t>
        </is>
      </c>
      <c r="K584" t="inlineStr">
        <is>
          <t>Z04</t>
        </is>
      </c>
      <c r="L584" t="inlineStr">
        <is>
          <t>(AP) 30 Dias</t>
        </is>
      </c>
      <c r="M584" t="n">
        <v>10260064</v>
      </c>
      <c r="N584" t="inlineStr">
        <is>
          <t>ARENA FINA</t>
        </is>
      </c>
      <c r="O584" t="inlineStr">
        <is>
          <t>D836</t>
        </is>
      </c>
      <c r="P584" t="inlineStr">
        <is>
          <t>MX-CED. CENTRO</t>
        </is>
      </c>
      <c r="Q584" t="n">
        <v>20180511</v>
      </c>
      <c r="R584" t="n">
        <v>20281231</v>
      </c>
      <c r="S584" t="n">
        <v>20241030</v>
      </c>
      <c r="T584" t="n">
        <v>20291231</v>
      </c>
      <c r="U584" t="n">
        <v>80</v>
      </c>
      <c r="V584" t="inlineStr">
        <is>
          <t>MXN</t>
        </is>
      </c>
      <c r="W584" t="inlineStr">
        <is>
          <t>M3</t>
        </is>
      </c>
      <c r="X584" t="n">
        <v>0</v>
      </c>
      <c r="Y584" t="inlineStr">
        <is>
          <t>MXN</t>
        </is>
      </c>
      <c r="Z584" t="inlineStr">
        <is>
          <t>M3</t>
        </is>
      </c>
      <c r="AC584" t="n">
        <v>56103638</v>
      </c>
      <c r="AD584" t="n">
        <v>6622261540</v>
      </c>
      <c r="AE584" t="n">
        <v>1</v>
      </c>
      <c r="AF584" t="inlineStr">
        <is>
          <t>ENTREGADO</t>
        </is>
      </c>
      <c r="AG584" t="n">
        <v>1.621</v>
      </c>
      <c r="AH584" t="inlineStr">
        <is>
          <t>M3</t>
        </is>
      </c>
      <c r="AI584" t="inlineStr">
        <is>
          <t>X</t>
        </is>
      </c>
      <c r="AJ584" t="n">
        <v>4</v>
      </c>
      <c r="AK584" t="inlineStr">
        <is>
          <t>V4</t>
        </is>
      </c>
      <c r="AL584" t="n">
        <v>20241031</v>
      </c>
      <c r="AM584" t="inlineStr">
        <is>
          <t>D836-900005627-10260064</t>
        </is>
      </c>
    </row>
    <row r="585">
      <c r="A585" t="inlineStr">
        <is>
          <t>900006185D8366655578110000140</t>
        </is>
      </c>
      <c r="B585" t="inlineStr">
        <is>
          <t>4600045002-70</t>
        </is>
      </c>
      <c r="C585" t="n">
        <v>4600045002</v>
      </c>
      <c r="D585" t="n">
        <v>70</v>
      </c>
      <c r="E585" t="inlineStr">
        <is>
          <t>MXPO</t>
        </is>
      </c>
      <c r="F585" t="inlineStr">
        <is>
          <t>MXL</t>
        </is>
      </c>
      <c r="G585" t="n">
        <v>900006185</v>
      </c>
      <c r="H585" t="inlineStr">
        <is>
          <t>TP-ED-OLIELL ALMACÉN</t>
        </is>
      </c>
      <c r="I585" t="n">
        <v>5048484</v>
      </c>
      <c r="J585" t="inlineStr">
        <is>
          <t>COMERCIALIZADORA Y TRANSPORTADORA O</t>
        </is>
      </c>
      <c r="K585" t="inlineStr">
        <is>
          <t>Z00</t>
        </is>
      </c>
      <c r="L585" t="inlineStr">
        <is>
          <t>(AP) Pagadero Inmediatamente</t>
        </is>
      </c>
      <c r="M585" t="n">
        <v>10000140</v>
      </c>
      <c r="N585" t="inlineStr">
        <is>
          <t>Grava Triturada Andesita 40 mm - 1 1/2"</t>
        </is>
      </c>
      <c r="O585" t="inlineStr">
        <is>
          <t>D836</t>
        </is>
      </c>
      <c r="P585" t="inlineStr">
        <is>
          <t>MX-CED. CENTRO</t>
        </is>
      </c>
      <c r="Q585" t="n">
        <v>20190628</v>
      </c>
      <c r="R585" t="n">
        <v>20281231</v>
      </c>
      <c r="S585" t="n">
        <v>20191104</v>
      </c>
      <c r="T585" t="n">
        <v>20241231</v>
      </c>
      <c r="U585" t="n">
        <v>1000</v>
      </c>
      <c r="V585" t="inlineStr">
        <is>
          <t>MXN</t>
        </is>
      </c>
      <c r="W585" t="inlineStr">
        <is>
          <t>M3</t>
        </is>
      </c>
      <c r="X585" t="n">
        <v>500</v>
      </c>
      <c r="Y585" t="inlineStr">
        <is>
          <t>MXN</t>
        </is>
      </c>
      <c r="Z585" t="inlineStr">
        <is>
          <t>M3</t>
        </is>
      </c>
      <c r="AA585" t="inlineStr">
        <is>
          <t>66555781</t>
        </is>
      </c>
      <c r="AB585" t="inlineStr">
        <is>
          <t>16 DE DICIEMBRE (DMS)</t>
        </is>
      </c>
      <c r="AC585" t="n">
        <v>56103637</v>
      </c>
      <c r="AD585" t="n">
        <v>6622261540</v>
      </c>
      <c r="AE585" t="n">
        <v>4</v>
      </c>
      <c r="AF585" t="inlineStr">
        <is>
          <t>ENTREGA DIRECTA</t>
        </is>
      </c>
      <c r="AG585" t="n">
        <v>1.29</v>
      </c>
      <c r="AH585" t="inlineStr">
        <is>
          <t>M3</t>
        </is>
      </c>
      <c r="AI585" t="inlineStr">
        <is>
          <t>X</t>
        </is>
      </c>
      <c r="AJ585" t="n">
        <v>4</v>
      </c>
      <c r="AK585" t="inlineStr">
        <is>
          <t>V4</t>
        </is>
      </c>
      <c r="AL585" t="n">
        <v>20230920</v>
      </c>
      <c r="AM585" t="inlineStr">
        <is>
          <t>D836-900006185-66555781-10000140-4</t>
        </is>
      </c>
    </row>
    <row r="586">
      <c r="A586" t="inlineStr">
        <is>
          <t>900005627D83610260053</t>
        </is>
      </c>
      <c r="B586" t="inlineStr">
        <is>
          <t>4600042076-110</t>
        </is>
      </c>
      <c r="C586" t="n">
        <v>4600042076</v>
      </c>
      <c r="D586" t="n">
        <v>110</v>
      </c>
      <c r="E586" t="inlineStr">
        <is>
          <t>MXPO</t>
        </is>
      </c>
      <c r="F586" t="inlineStr">
        <is>
          <t>MXL</t>
        </is>
      </c>
      <c r="G586" t="n">
        <v>900005627</v>
      </c>
      <c r="H586" t="inlineStr">
        <is>
          <t>TP-DOS CERROS SAN LUIS</t>
        </is>
      </c>
      <c r="I586" t="n">
        <v>5036168</v>
      </c>
      <c r="J586" t="inlineStr">
        <is>
          <t>TRITURADOS DOS CERROS SA DE CV</t>
        </is>
      </c>
      <c r="K586" t="inlineStr">
        <is>
          <t>Z04</t>
        </is>
      </c>
      <c r="L586" t="inlineStr">
        <is>
          <t>(AP) 30 Dias</t>
        </is>
      </c>
      <c r="M586" t="n">
        <v>10260053</v>
      </c>
      <c r="N586" t="inlineStr">
        <is>
          <t>GRAVILLA ROJA 3/4</t>
        </is>
      </c>
      <c r="O586" t="inlineStr">
        <is>
          <t>D836</t>
        </is>
      </c>
      <c r="P586" t="inlineStr">
        <is>
          <t>MX-CED. CENTRO</t>
        </is>
      </c>
      <c r="Q586" t="n">
        <v>20180511</v>
      </c>
      <c r="R586" t="n">
        <v>20281231</v>
      </c>
      <c r="S586" t="n">
        <v>20241030</v>
      </c>
      <c r="T586" t="n">
        <v>20291231</v>
      </c>
      <c r="U586" t="n">
        <v>120</v>
      </c>
      <c r="V586" t="inlineStr">
        <is>
          <t>MXN</t>
        </is>
      </c>
      <c r="W586" t="inlineStr">
        <is>
          <t>M3</t>
        </is>
      </c>
      <c r="X586" t="n">
        <v>0</v>
      </c>
      <c r="Y586" t="inlineStr">
        <is>
          <t>MXN</t>
        </is>
      </c>
      <c r="Z586" t="inlineStr">
        <is>
          <t>M3</t>
        </is>
      </c>
      <c r="AC586" t="n">
        <v>56103637</v>
      </c>
      <c r="AD586" t="n">
        <v>6622261540</v>
      </c>
      <c r="AE586" t="n">
        <v>1</v>
      </c>
      <c r="AF586" t="inlineStr">
        <is>
          <t>ENTREGADO</t>
        </is>
      </c>
      <c r="AG586" t="n">
        <v>1.53</v>
      </c>
      <c r="AH586" t="inlineStr">
        <is>
          <t>M3</t>
        </is>
      </c>
      <c r="AI586" t="inlineStr">
        <is>
          <t>X</t>
        </is>
      </c>
      <c r="AJ586" t="n">
        <v>4</v>
      </c>
      <c r="AK586" t="inlineStr">
        <is>
          <t>V4</t>
        </is>
      </c>
      <c r="AL586" t="n">
        <v>20241031</v>
      </c>
      <c r="AM586" t="inlineStr">
        <is>
          <t>D836-900005627-10260053</t>
        </is>
      </c>
    </row>
    <row r="587">
      <c r="A587" t="inlineStr">
        <is>
          <t>900005627D83610260054</t>
        </is>
      </c>
      <c r="B587" t="inlineStr">
        <is>
          <t>4600042076-120</t>
        </is>
      </c>
      <c r="C587" t="n">
        <v>4600042076</v>
      </c>
      <c r="D587" t="n">
        <v>120</v>
      </c>
      <c r="E587" t="inlineStr">
        <is>
          <t>MXPO</t>
        </is>
      </c>
      <c r="F587" t="inlineStr">
        <is>
          <t>MXL</t>
        </is>
      </c>
      <c r="G587" t="n">
        <v>900005627</v>
      </c>
      <c r="H587" t="inlineStr">
        <is>
          <t>TP-DOS CERROS SAN LUIS</t>
        </is>
      </c>
      <c r="I587" t="n">
        <v>5036168</v>
      </c>
      <c r="J587" t="inlineStr">
        <is>
          <t>TRITURADOS DOS CERROS SA DE CV</t>
        </is>
      </c>
      <c r="K587" t="inlineStr">
        <is>
          <t>Z04</t>
        </is>
      </c>
      <c r="L587" t="inlineStr">
        <is>
          <t>(AP) 30 Dias</t>
        </is>
      </c>
      <c r="M587" t="n">
        <v>10260054</v>
      </c>
      <c r="N587" t="inlineStr">
        <is>
          <t>ARENILLA ROJA</t>
        </is>
      </c>
      <c r="O587" t="inlineStr">
        <is>
          <t>D836</t>
        </is>
      </c>
      <c r="P587" t="inlineStr">
        <is>
          <t>MX-CED. CENTRO</t>
        </is>
      </c>
      <c r="Q587" t="n">
        <v>20180511</v>
      </c>
      <c r="R587" t="n">
        <v>20281231</v>
      </c>
      <c r="S587" t="n">
        <v>20241030</v>
      </c>
      <c r="T587" t="n">
        <v>20291231</v>
      </c>
      <c r="U587" t="n">
        <v>80</v>
      </c>
      <c r="V587" t="inlineStr">
        <is>
          <t>MXN</t>
        </is>
      </c>
      <c r="W587" t="inlineStr">
        <is>
          <t>M3</t>
        </is>
      </c>
      <c r="X587" t="n">
        <v>0</v>
      </c>
      <c r="Y587" t="inlineStr">
        <is>
          <t>MXN</t>
        </is>
      </c>
      <c r="Z587" t="inlineStr">
        <is>
          <t>M3</t>
        </is>
      </c>
      <c r="AC587" t="n">
        <v>56103638</v>
      </c>
      <c r="AD587" t="n">
        <v>6622261540</v>
      </c>
      <c r="AE587" t="n">
        <v>1</v>
      </c>
      <c r="AF587" t="inlineStr">
        <is>
          <t>ENTREGADO</t>
        </is>
      </c>
      <c r="AG587" t="n">
        <v>1.7</v>
      </c>
      <c r="AH587" t="inlineStr">
        <is>
          <t>M3</t>
        </is>
      </c>
      <c r="AI587" t="inlineStr">
        <is>
          <t>X</t>
        </is>
      </c>
      <c r="AJ587" t="n">
        <v>4</v>
      </c>
      <c r="AK587" t="inlineStr">
        <is>
          <t>V4</t>
        </is>
      </c>
      <c r="AL587" t="n">
        <v>20241031</v>
      </c>
      <c r="AM587" t="inlineStr">
        <is>
          <t>D836-900005627-10260054</t>
        </is>
      </c>
    </row>
    <row r="588">
      <c r="A588" t="inlineStr">
        <is>
          <t>900006185D8366683068310000206</t>
        </is>
      </c>
      <c r="B588" t="inlineStr">
        <is>
          <t>4600045002-270</t>
        </is>
      </c>
      <c r="C588" t="n">
        <v>4600045002</v>
      </c>
      <c r="D588" t="n">
        <v>270</v>
      </c>
      <c r="E588" t="inlineStr">
        <is>
          <t>MXPO</t>
        </is>
      </c>
      <c r="F588" t="inlineStr">
        <is>
          <t>MXL</t>
        </is>
      </c>
      <c r="G588" t="n">
        <v>900006185</v>
      </c>
      <c r="H588" t="inlineStr">
        <is>
          <t>TP-ED-OLIELL ALMACÉN</t>
        </is>
      </c>
      <c r="I588" t="n">
        <v>5048484</v>
      </c>
      <c r="J588" t="inlineStr">
        <is>
          <t>COMERCIALIZADORA Y TRANSPORTADORA O</t>
        </is>
      </c>
      <c r="K588" t="inlineStr">
        <is>
          <t>Z00</t>
        </is>
      </c>
      <c r="L588" t="inlineStr">
        <is>
          <t>(AP) Pagadero Inmediatamente</t>
        </is>
      </c>
      <c r="M588" t="n">
        <v>10000206</v>
      </c>
      <c r="N588" t="inlineStr">
        <is>
          <t>Tepetate Triturado Tierra NA</t>
        </is>
      </c>
      <c r="O588" t="inlineStr">
        <is>
          <t>D836</t>
        </is>
      </c>
      <c r="P588" t="inlineStr">
        <is>
          <t>MX-CED. CENTRO</t>
        </is>
      </c>
      <c r="Q588" t="n">
        <v>20190628</v>
      </c>
      <c r="R588" t="n">
        <v>20281231</v>
      </c>
      <c r="S588" t="n">
        <v>20200922</v>
      </c>
      <c r="T588" t="n">
        <v>20291231</v>
      </c>
      <c r="U588" t="n">
        <v>671.5</v>
      </c>
      <c r="V588" t="inlineStr">
        <is>
          <t>MXN</t>
        </is>
      </c>
      <c r="W588" t="inlineStr">
        <is>
          <t>M3</t>
        </is>
      </c>
      <c r="X588" t="n">
        <v>396.5</v>
      </c>
      <c r="Y588" t="inlineStr">
        <is>
          <t>MXN</t>
        </is>
      </c>
      <c r="Z588" t="inlineStr">
        <is>
          <t>M3</t>
        </is>
      </c>
      <c r="AA588" t="inlineStr">
        <is>
          <t>66830683</t>
        </is>
      </c>
      <c r="AB588" t="inlineStr">
        <is>
          <t>MITLA 240 (LRR)</t>
        </is>
      </c>
      <c r="AC588" t="n">
        <v>56103695</v>
      </c>
      <c r="AD588" t="n">
        <v>6622261540</v>
      </c>
      <c r="AE588" t="n">
        <v>4</v>
      </c>
      <c r="AF588" t="inlineStr">
        <is>
          <t>ENTREGA DIRECTA</t>
        </is>
      </c>
      <c r="AG588" t="n">
        <v>1.249</v>
      </c>
      <c r="AH588" t="inlineStr">
        <is>
          <t>M3</t>
        </is>
      </c>
      <c r="AI588" t="inlineStr">
        <is>
          <t>X</t>
        </is>
      </c>
      <c r="AJ588" t="n">
        <v>4</v>
      </c>
      <c r="AK588" t="inlineStr">
        <is>
          <t>V4</t>
        </is>
      </c>
      <c r="AL588" t="n">
        <v>20230920</v>
      </c>
      <c r="AM588" t="inlineStr">
        <is>
          <t>D836-900006185-66830683-10000206-4</t>
        </is>
      </c>
    </row>
    <row r="589">
      <c r="A589" t="inlineStr">
        <is>
          <t>900005627D83610261589</t>
        </is>
      </c>
      <c r="B589" t="inlineStr">
        <is>
          <t>4600042076-90</t>
        </is>
      </c>
      <c r="C589" t="n">
        <v>4600042076</v>
      </c>
      <c r="D589" t="n">
        <v>90</v>
      </c>
      <c r="E589" t="inlineStr">
        <is>
          <t>MXPO</t>
        </is>
      </c>
      <c r="F589" t="inlineStr">
        <is>
          <t>MXL</t>
        </is>
      </c>
      <c r="G589" t="n">
        <v>900005627</v>
      </c>
      <c r="H589" t="inlineStr">
        <is>
          <t>TP-DOS CERROS SAN LUIS</t>
        </is>
      </c>
      <c r="I589" t="n">
        <v>5036168</v>
      </c>
      <c r="J589" t="inlineStr">
        <is>
          <t>TRITURADOS DOS CERROS SA DE CV</t>
        </is>
      </c>
      <c r="K589" t="inlineStr">
        <is>
          <t>Z04</t>
        </is>
      </c>
      <c r="L589" t="inlineStr">
        <is>
          <t>(AP) 30 Dias</t>
        </is>
      </c>
      <c r="M589" t="n">
        <v>10261589</v>
      </c>
      <c r="N589" t="inlineStr">
        <is>
          <t>ARENILLA NEGRA</t>
        </is>
      </c>
      <c r="O589" t="inlineStr">
        <is>
          <t>D836</t>
        </is>
      </c>
      <c r="P589" t="inlineStr">
        <is>
          <t>MX-CED. CENTRO</t>
        </is>
      </c>
      <c r="Q589" t="n">
        <v>20180511</v>
      </c>
      <c r="R589" t="n">
        <v>20281231</v>
      </c>
      <c r="S589" t="n">
        <v>20241030</v>
      </c>
      <c r="T589" t="n">
        <v>20291231</v>
      </c>
      <c r="U589" t="n">
        <v>55</v>
      </c>
      <c r="V589" t="inlineStr">
        <is>
          <t>MXN</t>
        </is>
      </c>
      <c r="W589" t="inlineStr">
        <is>
          <t>M3</t>
        </is>
      </c>
      <c r="X589" t="n">
        <v>0</v>
      </c>
      <c r="Y589" t="inlineStr">
        <is>
          <t>MXN</t>
        </is>
      </c>
      <c r="Z589" t="inlineStr">
        <is>
          <t>M3</t>
        </is>
      </c>
      <c r="AC589" t="n">
        <v>56103638</v>
      </c>
      <c r="AD589" t="n">
        <v>6622261540</v>
      </c>
      <c r="AE589" t="n">
        <v>1</v>
      </c>
      <c r="AF589" t="inlineStr">
        <is>
          <t>ENTREGADO</t>
        </is>
      </c>
      <c r="AG589" t="n">
        <v>1.7</v>
      </c>
      <c r="AH589" t="inlineStr">
        <is>
          <t>M3</t>
        </is>
      </c>
      <c r="AI589" t="inlineStr">
        <is>
          <t>X</t>
        </is>
      </c>
      <c r="AJ589" t="n">
        <v>4</v>
      </c>
      <c r="AK589" t="inlineStr">
        <is>
          <t>V4</t>
        </is>
      </c>
      <c r="AL589" t="n">
        <v>20241031</v>
      </c>
      <c r="AM589" t="inlineStr">
        <is>
          <t>D836-900005627-10261589</t>
        </is>
      </c>
    </row>
    <row r="590">
      <c r="A590" t="inlineStr">
        <is>
          <t>900005627D83610260052</t>
        </is>
      </c>
      <c r="B590" t="inlineStr">
        <is>
          <t>4600042076-100</t>
        </is>
      </c>
      <c r="C590" t="n">
        <v>4600042076</v>
      </c>
      <c r="D590" t="n">
        <v>100</v>
      </c>
      <c r="E590" t="inlineStr">
        <is>
          <t>MXPO</t>
        </is>
      </c>
      <c r="F590" t="inlineStr">
        <is>
          <t>MXL</t>
        </is>
      </c>
      <c r="G590" t="n">
        <v>900005627</v>
      </c>
      <c r="H590" t="inlineStr">
        <is>
          <t>TP-DOS CERROS SAN LUIS</t>
        </is>
      </c>
      <c r="I590" t="n">
        <v>5036168</v>
      </c>
      <c r="J590" t="inlineStr">
        <is>
          <t>TRITURADOS DOS CERROS SA DE CV</t>
        </is>
      </c>
      <c r="K590" t="inlineStr">
        <is>
          <t>Z04</t>
        </is>
      </c>
      <c r="L590" t="inlineStr">
        <is>
          <t>(AP) 30 Dias</t>
        </is>
      </c>
      <c r="M590" t="n">
        <v>10260052</v>
      </c>
      <c r="N590" t="inlineStr">
        <is>
          <t>GRAVILLA 3/4</t>
        </is>
      </c>
      <c r="O590" t="inlineStr">
        <is>
          <t>D836</t>
        </is>
      </c>
      <c r="P590" t="inlineStr">
        <is>
          <t>MX-CED. CENTRO</t>
        </is>
      </c>
      <c r="Q590" t="n">
        <v>20180511</v>
      </c>
      <c r="R590" t="n">
        <v>20281231</v>
      </c>
      <c r="S590" t="n">
        <v>20241030</v>
      </c>
      <c r="T590" t="n">
        <v>20291231</v>
      </c>
      <c r="U590" t="n">
        <v>115</v>
      </c>
      <c r="V590" t="inlineStr">
        <is>
          <t>MXN</t>
        </is>
      </c>
      <c r="W590" t="inlineStr">
        <is>
          <t>M3</t>
        </is>
      </c>
      <c r="X590" t="n">
        <v>0</v>
      </c>
      <c r="Y590" t="inlineStr">
        <is>
          <t>MXN</t>
        </is>
      </c>
      <c r="Z590" t="inlineStr">
        <is>
          <t>M3</t>
        </is>
      </c>
      <c r="AC590" t="n">
        <v>56103637</v>
      </c>
      <c r="AD590" t="n">
        <v>6622261540</v>
      </c>
      <c r="AE590" t="n">
        <v>1</v>
      </c>
      <c r="AF590" t="inlineStr">
        <is>
          <t>ENTREGADO</t>
        </is>
      </c>
      <c r="AG590" t="n">
        <v>1.53</v>
      </c>
      <c r="AH590" t="inlineStr">
        <is>
          <t>M3</t>
        </is>
      </c>
      <c r="AI590" t="inlineStr">
        <is>
          <t>X</t>
        </is>
      </c>
      <c r="AJ590" t="n">
        <v>4</v>
      </c>
      <c r="AK590" t="inlineStr">
        <is>
          <t>V4</t>
        </is>
      </c>
      <c r="AL590" t="n">
        <v>20241031</v>
      </c>
      <c r="AM590" t="inlineStr">
        <is>
          <t>D836-900005627-10260052</t>
        </is>
      </c>
    </row>
    <row r="591">
      <c r="A591" t="inlineStr">
        <is>
          <t>900007028D83610000566</t>
        </is>
      </c>
      <c r="B591" t="inlineStr">
        <is>
          <t>4600049602-10</t>
        </is>
      </c>
      <c r="C591" t="n">
        <v>4600049602</v>
      </c>
      <c r="D591" t="n">
        <v>10</v>
      </c>
      <c r="E591" t="inlineStr">
        <is>
          <t>MXPO</t>
        </is>
      </c>
      <c r="F591" t="inlineStr">
        <is>
          <t>MXL</t>
        </is>
      </c>
      <c r="G591" t="n">
        <v>900007028</v>
      </c>
      <c r="H591" t="inlineStr">
        <is>
          <t>SF TP-CALES EDO MEX</t>
        </is>
      </c>
      <c r="I591" t="n">
        <v>5077927</v>
      </c>
      <c r="J591" t="inlineStr">
        <is>
          <t>CALES Y MINAS DE MEXICO SA DE CV</t>
        </is>
      </c>
      <c r="K591" t="inlineStr">
        <is>
          <t>Z09</t>
        </is>
      </c>
      <c r="L591" t="inlineStr">
        <is>
          <t>(AP) 90 Dias</t>
        </is>
      </c>
      <c r="M591" t="n">
        <v>10000566</v>
      </c>
      <c r="N591" t="inlineStr">
        <is>
          <t>Grava Triturada Caliza 20 mm - 3/4"</t>
        </is>
      </c>
      <c r="O591" t="inlineStr">
        <is>
          <t>D836</t>
        </is>
      </c>
      <c r="P591" t="inlineStr">
        <is>
          <t>MX-CED. CENTRO</t>
        </is>
      </c>
      <c r="Q591" t="n">
        <v>20210407</v>
      </c>
      <c r="R591" t="n">
        <v>20291231</v>
      </c>
      <c r="S591" t="n">
        <v>20210407</v>
      </c>
      <c r="T591" t="n">
        <v>20291231</v>
      </c>
      <c r="U591" t="n">
        <v>70</v>
      </c>
      <c r="V591" t="inlineStr">
        <is>
          <t>MXN</t>
        </is>
      </c>
      <c r="W591" t="inlineStr">
        <is>
          <t>TN</t>
        </is>
      </c>
      <c r="AC591" t="n">
        <v>56103637</v>
      </c>
      <c r="AD591" t="n">
        <v>6622261540</v>
      </c>
      <c r="AE591" t="n">
        <v>1</v>
      </c>
      <c r="AF591" t="inlineStr">
        <is>
          <t>ENTREGADO</t>
        </is>
      </c>
      <c r="AG591" t="n">
        <v>1</v>
      </c>
      <c r="AH591" t="inlineStr">
        <is>
          <t>TO</t>
        </is>
      </c>
      <c r="AI591" t="inlineStr">
        <is>
          <t>X</t>
        </is>
      </c>
      <c r="AJ591" t="n">
        <v>4</v>
      </c>
      <c r="AK591" t="inlineStr">
        <is>
          <t>V4</t>
        </is>
      </c>
      <c r="AL591" t="n">
        <v>20230920</v>
      </c>
      <c r="AM591" t="inlineStr">
        <is>
          <t>D836-900007028-10000566</t>
        </is>
      </c>
    </row>
    <row r="592">
      <c r="A592" t="inlineStr">
        <is>
          <t>900003877D83610000735</t>
        </is>
      </c>
      <c r="B592" t="inlineStr">
        <is>
          <t>4600047807-10</t>
        </is>
      </c>
      <c r="C592" t="n">
        <v>4600047807</v>
      </c>
      <c r="D592" t="n">
        <v>10</v>
      </c>
      <c r="E592" t="inlineStr">
        <is>
          <t>MXPO</t>
        </is>
      </c>
      <c r="F592" t="inlineStr">
        <is>
          <t>MXL</t>
        </is>
      </c>
      <c r="G592" t="n">
        <v>900003877</v>
      </c>
      <c r="H592" t="inlineStr">
        <is>
          <t>TP-MAT Y FORRAJES</t>
        </is>
      </c>
      <c r="I592" t="n">
        <v>5054376</v>
      </c>
      <c r="J592" t="inlineStr">
        <is>
          <t>DISTRIBUIDORA DE MATERIALES Y FORRA</t>
        </is>
      </c>
      <c r="K592" t="inlineStr">
        <is>
          <t>N15</t>
        </is>
      </c>
      <c r="L592" t="inlineStr">
        <is>
          <t>(AP) NAFIN 15 Dias</t>
        </is>
      </c>
      <c r="M592" t="n">
        <v>10000735</v>
      </c>
      <c r="N592" t="inlineStr">
        <is>
          <t>Grava Triturada Caliza 10 mm - 3/8"</t>
        </is>
      </c>
      <c r="O592" t="inlineStr">
        <is>
          <t>D836</t>
        </is>
      </c>
      <c r="P592" t="inlineStr">
        <is>
          <t>MX-CED. CENTRO</t>
        </is>
      </c>
      <c r="Q592" t="n">
        <v>20200820</v>
      </c>
      <c r="R592" t="n">
        <v>20301231</v>
      </c>
      <c r="S592" t="n">
        <v>20200820</v>
      </c>
      <c r="T592" t="n">
        <v>20301231</v>
      </c>
      <c r="U592" t="n">
        <v>174.9</v>
      </c>
      <c r="V592" t="inlineStr">
        <is>
          <t>MXN</t>
        </is>
      </c>
      <c r="W592" t="inlineStr">
        <is>
          <t>M3</t>
        </is>
      </c>
      <c r="AC592" t="n">
        <v>56103637</v>
      </c>
      <c r="AD592" t="n">
        <v>6622261540</v>
      </c>
      <c r="AE592" t="n">
        <v>1</v>
      </c>
      <c r="AF592" t="inlineStr">
        <is>
          <t>ENTREGADO</t>
        </is>
      </c>
      <c r="AG592" t="n">
        <v>1.41</v>
      </c>
      <c r="AH592" t="inlineStr">
        <is>
          <t>M3</t>
        </is>
      </c>
      <c r="AI592" t="inlineStr">
        <is>
          <t>X</t>
        </is>
      </c>
      <c r="AJ592" t="n">
        <v>4</v>
      </c>
      <c r="AK592" t="inlineStr">
        <is>
          <t>V4</t>
        </is>
      </c>
      <c r="AL592" t="n">
        <v>20230920</v>
      </c>
      <c r="AM592" t="inlineStr">
        <is>
          <t>D836-900003877-10000735</t>
        </is>
      </c>
    </row>
    <row r="593">
      <c r="A593" t="inlineStr">
        <is>
          <t>900004077D8366683832610192942</t>
        </is>
      </c>
      <c r="B593" t="inlineStr">
        <is>
          <t>4600047844-550</t>
        </is>
      </c>
      <c r="C593" t="n">
        <v>4600047844</v>
      </c>
      <c r="D593" t="n">
        <v>550</v>
      </c>
      <c r="E593" t="inlineStr">
        <is>
          <t>MXPO</t>
        </is>
      </c>
      <c r="F593" t="inlineStr">
        <is>
          <t>MXL</t>
        </is>
      </c>
      <c r="G593" t="n">
        <v>900004077</v>
      </c>
      <c r="H593" t="inlineStr">
        <is>
          <t>TP-SAN JUAN (HUDASA)</t>
        </is>
      </c>
      <c r="I593" t="n">
        <v>5054686</v>
      </c>
      <c r="J593" t="inlineStr">
        <is>
          <t>GRUPO MERCANTIL HUDASA SA DE CV</t>
        </is>
      </c>
      <c r="K593" t="inlineStr">
        <is>
          <t>Z06</t>
        </is>
      </c>
      <c r="L593" t="inlineStr">
        <is>
          <t>(AP) 45 Dias</t>
        </is>
      </c>
      <c r="M593" t="n">
        <v>10192942</v>
      </c>
      <c r="N593" t="inlineStr">
        <is>
          <t>ARENA TRITURADA ANDESITA HD</t>
        </is>
      </c>
      <c r="O593" t="inlineStr">
        <is>
          <t>D836</t>
        </is>
      </c>
      <c r="P593" t="inlineStr">
        <is>
          <t>MX-CED. CENTRO</t>
        </is>
      </c>
      <c r="Q593" t="n">
        <v>20200825</v>
      </c>
      <c r="R593" t="n">
        <v>20301231</v>
      </c>
      <c r="S593" t="n">
        <v>20220422</v>
      </c>
      <c r="T593" t="n">
        <v>20271231</v>
      </c>
      <c r="U593" t="n">
        <v>254</v>
      </c>
      <c r="V593" t="inlineStr">
        <is>
          <t>MXN</t>
        </is>
      </c>
      <c r="W593" t="inlineStr">
        <is>
          <t>TN</t>
        </is>
      </c>
      <c r="X593" t="n">
        <v>159</v>
      </c>
      <c r="Y593" t="inlineStr">
        <is>
          <t>MXN</t>
        </is>
      </c>
      <c r="Z593" t="inlineStr">
        <is>
          <t>TN</t>
        </is>
      </c>
      <c r="AA593" t="inlineStr">
        <is>
          <t>66838326</t>
        </is>
      </c>
      <c r="AB593" t="inlineStr">
        <is>
          <t>OBRA FORD</t>
        </is>
      </c>
      <c r="AC593" t="n">
        <v>56103638</v>
      </c>
      <c r="AD593" t="n">
        <v>6622261540</v>
      </c>
      <c r="AE593" t="n">
        <v>4</v>
      </c>
      <c r="AF593" t="inlineStr">
        <is>
          <t>ENTREGA DIRECTA</t>
        </is>
      </c>
      <c r="AG593" t="n">
        <v>1</v>
      </c>
      <c r="AH593" t="inlineStr">
        <is>
          <t>TO</t>
        </is>
      </c>
      <c r="AI593" t="inlineStr">
        <is>
          <t>X</t>
        </is>
      </c>
      <c r="AJ593" t="n">
        <v>4</v>
      </c>
      <c r="AK593" t="inlineStr">
        <is>
          <t>V4</t>
        </is>
      </c>
      <c r="AL593" t="n">
        <v>20230920</v>
      </c>
      <c r="AM593" t="inlineStr">
        <is>
          <t>D836-900004077-66838326-10192942-4</t>
        </is>
      </c>
    </row>
    <row r="594">
      <c r="A594" t="inlineStr">
        <is>
          <t>900005627D83610267273</t>
        </is>
      </c>
      <c r="B594" t="inlineStr">
        <is>
          <t>4600042076-170</t>
        </is>
      </c>
      <c r="C594" t="n">
        <v>4600042076</v>
      </c>
      <c r="D594" t="n">
        <v>170</v>
      </c>
      <c r="E594" t="inlineStr">
        <is>
          <t>MXPO</t>
        </is>
      </c>
      <c r="F594" t="inlineStr">
        <is>
          <t>MXL</t>
        </is>
      </c>
      <c r="G594" t="n">
        <v>900005627</v>
      </c>
      <c r="H594" t="inlineStr">
        <is>
          <t>TP-DOS CERROS SAN LUIS</t>
        </is>
      </c>
      <c r="I594" t="n">
        <v>5036168</v>
      </c>
      <c r="J594" t="inlineStr">
        <is>
          <t>TRITURADOS DOS CERROS SA DE CV</t>
        </is>
      </c>
      <c r="K594" t="inlineStr">
        <is>
          <t>Z04</t>
        </is>
      </c>
      <c r="L594" t="inlineStr">
        <is>
          <t>(AP) 30 Dias</t>
        </is>
      </c>
      <c r="M594" t="n">
        <v>10267273</v>
      </c>
      <c r="N594" t="inlineStr">
        <is>
          <t>MP TEZONTLE 1 1/2" A FINOS</t>
        </is>
      </c>
      <c r="O594" t="inlineStr">
        <is>
          <t>D836</t>
        </is>
      </c>
      <c r="P594" t="inlineStr">
        <is>
          <t>MX-CED. CENTRO</t>
        </is>
      </c>
      <c r="Q594" t="n">
        <v>20180511</v>
      </c>
      <c r="R594" t="n">
        <v>20281231</v>
      </c>
      <c r="S594" t="n">
        <v>20250526</v>
      </c>
      <c r="T594" t="n">
        <v>20301231</v>
      </c>
      <c r="U594" t="n">
        <v>150</v>
      </c>
      <c r="V594" t="inlineStr">
        <is>
          <t>MXN</t>
        </is>
      </c>
      <c r="W594" t="inlineStr">
        <is>
          <t>M3</t>
        </is>
      </c>
      <c r="X594" t="n">
        <v>0</v>
      </c>
      <c r="Y594" t="inlineStr">
        <is>
          <t>MXN</t>
        </is>
      </c>
      <c r="Z594" t="inlineStr">
        <is>
          <t>M3</t>
        </is>
      </c>
      <c r="AC594" t="n">
        <v>56103637</v>
      </c>
      <c r="AD594" t="n">
        <v>6622261540</v>
      </c>
      <c r="AE594" t="n">
        <v>1</v>
      </c>
      <c r="AF594" t="inlineStr">
        <is>
          <t>ENTREGADO</t>
        </is>
      </c>
      <c r="AG594" t="n">
        <v>2</v>
      </c>
      <c r="AH594" t="inlineStr">
        <is>
          <t>M3</t>
        </is>
      </c>
      <c r="AI594" t="inlineStr">
        <is>
          <t>X</t>
        </is>
      </c>
      <c r="AJ594" t="n">
        <v>4</v>
      </c>
      <c r="AK594" t="inlineStr">
        <is>
          <t>V4</t>
        </is>
      </c>
      <c r="AL594" t="n">
        <v>20250529</v>
      </c>
      <c r="AM594" t="inlineStr">
        <is>
          <t>D836-900005627-10267273</t>
        </is>
      </c>
    </row>
    <row r="595">
      <c r="A595" t="inlineStr">
        <is>
          <t>900002574D8366724941610000624</t>
        </is>
      </c>
      <c r="B595" t="inlineStr">
        <is>
          <t>4600027590-2590</t>
        </is>
      </c>
      <c r="C595" t="n">
        <v>4600027590</v>
      </c>
      <c r="D595" t="n">
        <v>2590</v>
      </c>
      <c r="E595" t="inlineStr">
        <is>
          <t>MXPO</t>
        </is>
      </c>
      <c r="F595" t="inlineStr">
        <is>
          <t>M02</t>
        </is>
      </c>
      <c r="G595" t="n">
        <v>900002574</v>
      </c>
      <c r="H595" t="inlineStr">
        <is>
          <t>TP-ED-OLIELL</t>
        </is>
      </c>
      <c r="I595" t="n">
        <v>5048484</v>
      </c>
      <c r="J595" t="inlineStr">
        <is>
          <t>COMERCIALIZADORA Y TRANSPORTADORA O</t>
        </is>
      </c>
      <c r="K595" t="inlineStr">
        <is>
          <t>N90</t>
        </is>
      </c>
      <c r="L595" t="inlineStr">
        <is>
          <t>(AP) NAFIN 90 Dias</t>
        </is>
      </c>
      <c r="M595" t="n">
        <v>10000624</v>
      </c>
      <c r="N595" t="inlineStr">
        <is>
          <t>Grava Triturada Caliza 40 mm - 1 1/2"</t>
        </is>
      </c>
      <c r="O595" t="inlineStr">
        <is>
          <t>D836</t>
        </is>
      </c>
      <c r="P595" t="inlineStr">
        <is>
          <t>MX-CED. CENTRO</t>
        </is>
      </c>
      <c r="Q595" t="n">
        <v>20141106</v>
      </c>
      <c r="R595" t="n">
        <v>20281231</v>
      </c>
      <c r="S595" t="n">
        <v>20240729</v>
      </c>
      <c r="T595" t="n">
        <v>20291231</v>
      </c>
      <c r="U595" t="n">
        <v>318.01</v>
      </c>
      <c r="V595" t="inlineStr">
        <is>
          <t>MXN</t>
        </is>
      </c>
      <c r="W595" t="inlineStr">
        <is>
          <t>TN</t>
        </is>
      </c>
      <c r="X595" t="n">
        <v>200</v>
      </c>
      <c r="Y595" t="inlineStr">
        <is>
          <t>MXN</t>
        </is>
      </c>
      <c r="Z595" t="inlineStr">
        <is>
          <t>TN</t>
        </is>
      </c>
      <c r="AA595" t="inlineStr">
        <is>
          <t>67249416</t>
        </is>
      </c>
      <c r="AB595" t="inlineStr">
        <is>
          <t>RASIMEC AGREGADO</t>
        </is>
      </c>
      <c r="AC595" t="n">
        <v>56103637</v>
      </c>
      <c r="AD595" t="n">
        <v>6622261540</v>
      </c>
      <c r="AE595" t="n">
        <v>4</v>
      </c>
      <c r="AF595" t="inlineStr">
        <is>
          <t>ENTREGA DIRECTA</t>
        </is>
      </c>
      <c r="AG595" t="n">
        <v>1</v>
      </c>
      <c r="AH595" t="inlineStr">
        <is>
          <t>TO</t>
        </is>
      </c>
      <c r="AI595" t="inlineStr">
        <is>
          <t>X</t>
        </is>
      </c>
      <c r="AJ595" t="n">
        <v>4</v>
      </c>
      <c r="AK595" t="inlineStr">
        <is>
          <t>V4</t>
        </is>
      </c>
      <c r="AL595" t="n">
        <v>20240731</v>
      </c>
      <c r="AM595" t="inlineStr">
        <is>
          <t>D836-900002574-67249416-10000624-4</t>
        </is>
      </c>
    </row>
    <row r="596">
      <c r="A596" t="inlineStr">
        <is>
          <t>900005627D83610267271</t>
        </is>
      </c>
      <c r="B596" t="inlineStr">
        <is>
          <t>4600042076-150</t>
        </is>
      </c>
      <c r="C596" t="n">
        <v>4600042076</v>
      </c>
      <c r="D596" t="n">
        <v>150</v>
      </c>
      <c r="E596" t="inlineStr">
        <is>
          <t>MXPO</t>
        </is>
      </c>
      <c r="F596" t="inlineStr">
        <is>
          <t>MXL</t>
        </is>
      </c>
      <c r="G596" t="n">
        <v>900005627</v>
      </c>
      <c r="H596" t="inlineStr">
        <is>
          <t>TP-DOS CERROS SAN LUIS</t>
        </is>
      </c>
      <c r="I596" t="n">
        <v>5036168</v>
      </c>
      <c r="J596" t="inlineStr">
        <is>
          <t>TRITURADOS DOS CERROS SA DE CV</t>
        </is>
      </c>
      <c r="K596" t="inlineStr">
        <is>
          <t>Z04</t>
        </is>
      </c>
      <c r="L596" t="inlineStr">
        <is>
          <t>(AP) 30 Dias</t>
        </is>
      </c>
      <c r="M596" t="n">
        <v>10267271</v>
      </c>
      <c r="N596" t="inlineStr">
        <is>
          <t>MP TEZONTLE 2 1/2" A 1"</t>
        </is>
      </c>
      <c r="O596" t="inlineStr">
        <is>
          <t>D836</t>
        </is>
      </c>
      <c r="P596" t="inlineStr">
        <is>
          <t>MX-CED. CENTRO</t>
        </is>
      </c>
      <c r="Q596" t="n">
        <v>20180511</v>
      </c>
      <c r="R596" t="n">
        <v>20281231</v>
      </c>
      <c r="S596" t="n">
        <v>20250526</v>
      </c>
      <c r="T596" t="n">
        <v>20301231</v>
      </c>
      <c r="U596" t="n">
        <v>150</v>
      </c>
      <c r="V596" t="inlineStr">
        <is>
          <t>MXN</t>
        </is>
      </c>
      <c r="W596" t="inlineStr">
        <is>
          <t>M3</t>
        </is>
      </c>
      <c r="X596" t="n">
        <v>0</v>
      </c>
      <c r="Y596" t="inlineStr">
        <is>
          <t>MXN</t>
        </is>
      </c>
      <c r="Z596" t="inlineStr">
        <is>
          <t>M3</t>
        </is>
      </c>
      <c r="AC596" t="n">
        <v>56103637</v>
      </c>
      <c r="AD596" t="n">
        <v>6622261540</v>
      </c>
      <c r="AE596" t="n">
        <v>1</v>
      </c>
      <c r="AF596" t="inlineStr">
        <is>
          <t>ENTREGADO</t>
        </is>
      </c>
      <c r="AG596" t="n">
        <v>2</v>
      </c>
      <c r="AH596" t="inlineStr">
        <is>
          <t>M3</t>
        </is>
      </c>
      <c r="AI596" t="inlineStr">
        <is>
          <t>X</t>
        </is>
      </c>
      <c r="AJ596" t="n">
        <v>4</v>
      </c>
      <c r="AK596" t="inlineStr">
        <is>
          <t>V4</t>
        </is>
      </c>
      <c r="AL596" t="n">
        <v>20250529</v>
      </c>
      <c r="AM596" t="inlineStr">
        <is>
          <t>D836-900005627-10267271</t>
        </is>
      </c>
    </row>
    <row r="597">
      <c r="A597" t="inlineStr">
        <is>
          <t>900003496D8366724340810000635</t>
        </is>
      </c>
      <c r="B597" t="inlineStr">
        <is>
          <t>4600048147-60</t>
        </is>
      </c>
      <c r="C597" t="n">
        <v>4600048147</v>
      </c>
      <c r="D597" t="n">
        <v>60</v>
      </c>
      <c r="E597" t="inlineStr">
        <is>
          <t>MXPO</t>
        </is>
      </c>
      <c r="F597" t="inlineStr">
        <is>
          <t>MXL</t>
        </is>
      </c>
      <c r="G597" t="n">
        <v>900003496</v>
      </c>
      <c r="H597" t="inlineStr">
        <is>
          <t>TP-ED-TRIMCAV</t>
        </is>
      </c>
      <c r="I597" t="n">
        <v>5010147</v>
      </c>
      <c r="J597" t="inlineStr">
        <is>
          <t>TRITURACIONES DE MARMOL Y CALCIOS</t>
        </is>
      </c>
      <c r="K597" t="inlineStr">
        <is>
          <t>Z04</t>
        </is>
      </c>
      <c r="L597" t="inlineStr">
        <is>
          <t>(AP) 30 Dias</t>
        </is>
      </c>
      <c r="M597" t="n">
        <v>10000635</v>
      </c>
      <c r="N597" t="inlineStr">
        <is>
          <t>Arena Triturada Marmol Malla 4</t>
        </is>
      </c>
      <c r="O597" t="inlineStr">
        <is>
          <t>D836</t>
        </is>
      </c>
      <c r="P597" t="inlineStr">
        <is>
          <t>MX-CED. CENTRO</t>
        </is>
      </c>
      <c r="Q597" t="n">
        <v>20200929</v>
      </c>
      <c r="R597" t="n">
        <v>20291231</v>
      </c>
      <c r="S597" t="n">
        <v>20250917</v>
      </c>
      <c r="T597" t="n">
        <v>20301231</v>
      </c>
      <c r="U597" t="n">
        <v>1085.01</v>
      </c>
      <c r="V597" t="inlineStr">
        <is>
          <t>MXN</t>
        </is>
      </c>
      <c r="W597" t="inlineStr">
        <is>
          <t>TN</t>
        </is>
      </c>
      <c r="X597" t="n">
        <v>571.0700000000001</v>
      </c>
      <c r="Y597" t="inlineStr">
        <is>
          <t>MXN</t>
        </is>
      </c>
      <c r="Z597" t="inlineStr">
        <is>
          <t>TN</t>
        </is>
      </c>
      <c r="AA597" t="inlineStr">
        <is>
          <t>67243408</t>
        </is>
      </c>
      <c r="AB597" t="inlineStr">
        <is>
          <t>Planta Interlomas</t>
        </is>
      </c>
      <c r="AC597" t="n">
        <v>56103638</v>
      </c>
      <c r="AD597" t="n">
        <v>6622261540</v>
      </c>
      <c r="AE597" t="n">
        <v>4</v>
      </c>
      <c r="AF597" t="inlineStr">
        <is>
          <t>ENTREGA DIRECTA</t>
        </is>
      </c>
      <c r="AG597" t="n">
        <v>1</v>
      </c>
      <c r="AH597" t="inlineStr">
        <is>
          <t>TO</t>
        </is>
      </c>
      <c r="AI597" t="inlineStr">
        <is>
          <t>X</t>
        </is>
      </c>
      <c r="AJ597" t="n">
        <v>4</v>
      </c>
      <c r="AK597" t="inlineStr">
        <is>
          <t>V4</t>
        </is>
      </c>
      <c r="AL597" t="n">
        <v>20250922</v>
      </c>
      <c r="AM597" t="inlineStr">
        <is>
          <t>D836-900003496-67243408-10000635-4</t>
        </is>
      </c>
    </row>
    <row r="598">
      <c r="A598" t="inlineStr">
        <is>
          <t>900006185D8366655578110037590</t>
        </is>
      </c>
      <c r="B598" t="inlineStr">
        <is>
          <t>4600045002-100</t>
        </is>
      </c>
      <c r="C598" t="n">
        <v>4600045002</v>
      </c>
      <c r="D598" t="n">
        <v>100</v>
      </c>
      <c r="E598" t="inlineStr">
        <is>
          <t>MXPO</t>
        </is>
      </c>
      <c r="F598" t="inlineStr">
        <is>
          <t>MXL</t>
        </is>
      </c>
      <c r="G598" t="n">
        <v>900006185</v>
      </c>
      <c r="H598" t="inlineStr">
        <is>
          <t>TP-ED-OLIELL ALMACÉN</t>
        </is>
      </c>
      <c r="I598" t="n">
        <v>5048484</v>
      </c>
      <c r="J598" t="inlineStr">
        <is>
          <t>COMERCIALIZADORA Y TRANSPORTADORA O</t>
        </is>
      </c>
      <c r="K598" t="inlineStr">
        <is>
          <t>Z00</t>
        </is>
      </c>
      <c r="L598" t="inlineStr">
        <is>
          <t>(AP) Pagadero Inmediatamente</t>
        </is>
      </c>
      <c r="M598" t="n">
        <v>10037590</v>
      </c>
      <c r="N598" t="inlineStr">
        <is>
          <t>Grava Triturada Andesita 13 mm - 1/2"</t>
        </is>
      </c>
      <c r="O598" t="inlineStr">
        <is>
          <t>D836</t>
        </is>
      </c>
      <c r="P598" t="inlineStr">
        <is>
          <t>MX-CED. CENTRO</t>
        </is>
      </c>
      <c r="Q598" t="n">
        <v>20190628</v>
      </c>
      <c r="R598" t="n">
        <v>20281231</v>
      </c>
      <c r="S598" t="n">
        <v>20191129</v>
      </c>
      <c r="T598" t="n">
        <v>20241231</v>
      </c>
      <c r="U598" t="n">
        <v>1000</v>
      </c>
      <c r="V598" t="inlineStr">
        <is>
          <t>MXN</t>
        </is>
      </c>
      <c r="W598" t="inlineStr">
        <is>
          <t>M3</t>
        </is>
      </c>
      <c r="X598" t="n">
        <v>500</v>
      </c>
      <c r="Y598" t="inlineStr">
        <is>
          <t>MXN</t>
        </is>
      </c>
      <c r="Z598" t="inlineStr">
        <is>
          <t>M3</t>
        </is>
      </c>
      <c r="AA598" t="inlineStr">
        <is>
          <t>66555781</t>
        </is>
      </c>
      <c r="AB598" t="inlineStr">
        <is>
          <t>16 DE DICIEMBRE (DMS)</t>
        </is>
      </c>
      <c r="AC598" t="n">
        <v>56103637</v>
      </c>
      <c r="AD598" t="n">
        <v>6622261540</v>
      </c>
      <c r="AE598" t="n">
        <v>4</v>
      </c>
      <c r="AF598" t="inlineStr">
        <is>
          <t>ENTREGA DIRECTA</t>
        </is>
      </c>
      <c r="AG598" t="n">
        <v>1.262</v>
      </c>
      <c r="AH598" t="inlineStr">
        <is>
          <t>M3</t>
        </is>
      </c>
      <c r="AI598" t="inlineStr">
        <is>
          <t>X</t>
        </is>
      </c>
      <c r="AJ598" t="n">
        <v>4</v>
      </c>
      <c r="AK598" t="inlineStr">
        <is>
          <t>V4</t>
        </is>
      </c>
      <c r="AL598" t="n">
        <v>20230920</v>
      </c>
      <c r="AM598" t="inlineStr">
        <is>
          <t>D836-900006185-66555781-10037590-4</t>
        </is>
      </c>
    </row>
    <row r="599">
      <c r="A599" t="inlineStr">
        <is>
          <t>900003496D8366724340810000655</t>
        </is>
      </c>
      <c r="B599" t="inlineStr">
        <is>
          <t>4600048147-70</t>
        </is>
      </c>
      <c r="C599" t="n">
        <v>4600048147</v>
      </c>
      <c r="D599" t="n">
        <v>70</v>
      </c>
      <c r="E599" t="inlineStr">
        <is>
          <t>MXPO</t>
        </is>
      </c>
      <c r="F599" t="inlineStr">
        <is>
          <t>MXL</t>
        </is>
      </c>
      <c r="G599" t="n">
        <v>900003496</v>
      </c>
      <c r="H599" t="inlineStr">
        <is>
          <t>TP-ED-TRIMCAV</t>
        </is>
      </c>
      <c r="I599" t="n">
        <v>5010147</v>
      </c>
      <c r="J599" t="inlineStr">
        <is>
          <t>TRITURACIONES DE MARMOL Y CALCIOS</t>
        </is>
      </c>
      <c r="K599" t="inlineStr">
        <is>
          <t>Z04</t>
        </is>
      </c>
      <c r="L599" t="inlineStr">
        <is>
          <t>(AP) 30 Dias</t>
        </is>
      </c>
      <c r="M599" t="n">
        <v>10000655</v>
      </c>
      <c r="N599" t="inlineStr">
        <is>
          <t>Grava Triturada Marmol 10 mm - 3/8"</t>
        </is>
      </c>
      <c r="O599" t="inlineStr">
        <is>
          <t>D836</t>
        </is>
      </c>
      <c r="P599" t="inlineStr">
        <is>
          <t>MX-CED. CENTRO</t>
        </is>
      </c>
      <c r="Q599" t="n">
        <v>20200929</v>
      </c>
      <c r="R599" t="n">
        <v>20291231</v>
      </c>
      <c r="S599" t="n">
        <v>20250917</v>
      </c>
      <c r="T599" t="n">
        <v>20301231</v>
      </c>
      <c r="U599" t="n">
        <v>1085.01</v>
      </c>
      <c r="V599" t="inlineStr">
        <is>
          <t>MXN</t>
        </is>
      </c>
      <c r="W599" t="inlineStr">
        <is>
          <t>TN</t>
        </is>
      </c>
      <c r="X599" t="n">
        <v>571.0700000000001</v>
      </c>
      <c r="Y599" t="inlineStr">
        <is>
          <t>MXN</t>
        </is>
      </c>
      <c r="Z599" t="inlineStr">
        <is>
          <t>TN</t>
        </is>
      </c>
      <c r="AA599" t="inlineStr">
        <is>
          <t>67243408</t>
        </is>
      </c>
      <c r="AB599" t="inlineStr">
        <is>
          <t>Planta Interlomas</t>
        </is>
      </c>
      <c r="AC599" t="n">
        <v>56103637</v>
      </c>
      <c r="AD599" t="n">
        <v>6622261540</v>
      </c>
      <c r="AE599" t="n">
        <v>4</v>
      </c>
      <c r="AF599" t="inlineStr">
        <is>
          <t>ENTREGA DIRECTA</t>
        </is>
      </c>
      <c r="AG599" t="n">
        <v>1</v>
      </c>
      <c r="AH599" t="inlineStr">
        <is>
          <t>TO</t>
        </is>
      </c>
      <c r="AI599" t="inlineStr">
        <is>
          <t>X</t>
        </is>
      </c>
      <c r="AJ599" t="n">
        <v>4</v>
      </c>
      <c r="AK599" t="inlineStr">
        <is>
          <t>V4</t>
        </is>
      </c>
      <c r="AL599" t="n">
        <v>20250922</v>
      </c>
      <c r="AM599" t="inlineStr">
        <is>
          <t>D836-900003496-67243408-10000655-4</t>
        </is>
      </c>
    </row>
    <row r="600">
      <c r="A600" t="inlineStr">
        <is>
          <t>900005627D83610267274</t>
        </is>
      </c>
      <c r="B600" t="inlineStr">
        <is>
          <t>4600042076-180</t>
        </is>
      </c>
      <c r="C600" t="n">
        <v>4600042076</v>
      </c>
      <c r="D600" t="n">
        <v>180</v>
      </c>
      <c r="E600" t="inlineStr">
        <is>
          <t>MXPO</t>
        </is>
      </c>
      <c r="F600" t="inlineStr">
        <is>
          <t>MXL</t>
        </is>
      </c>
      <c r="G600" t="n">
        <v>900005627</v>
      </c>
      <c r="H600" t="inlineStr">
        <is>
          <t>TP-DOS CERROS SAN LUIS</t>
        </is>
      </c>
      <c r="I600" t="n">
        <v>5036168</v>
      </c>
      <c r="J600" t="inlineStr">
        <is>
          <t>TRITURADOS DOS CERROS SA DE CV</t>
        </is>
      </c>
      <c r="K600" t="inlineStr">
        <is>
          <t>Z04</t>
        </is>
      </c>
      <c r="L600" t="inlineStr">
        <is>
          <t>(AP) 30 Dias</t>
        </is>
      </c>
      <c r="M600" t="n">
        <v>10267274</v>
      </c>
      <c r="N600" t="inlineStr">
        <is>
          <t>MP ARENILLA</t>
        </is>
      </c>
      <c r="O600" t="inlineStr">
        <is>
          <t>D836</t>
        </is>
      </c>
      <c r="P600" t="inlineStr">
        <is>
          <t>MX-CED. CENTRO</t>
        </is>
      </c>
      <c r="Q600" t="n">
        <v>20180511</v>
      </c>
      <c r="R600" t="n">
        <v>20281231</v>
      </c>
      <c r="S600" t="n">
        <v>20250526</v>
      </c>
      <c r="T600" t="n">
        <v>20301231</v>
      </c>
      <c r="U600" t="n">
        <v>60</v>
      </c>
      <c r="V600" t="inlineStr">
        <is>
          <t>MXN</t>
        </is>
      </c>
      <c r="W600" t="inlineStr">
        <is>
          <t>M3</t>
        </is>
      </c>
      <c r="X600" t="n">
        <v>0</v>
      </c>
      <c r="Y600" t="inlineStr">
        <is>
          <t>MXN</t>
        </is>
      </c>
      <c r="Z600" t="inlineStr">
        <is>
          <t>M3</t>
        </is>
      </c>
      <c r="AC600" t="n">
        <v>56103638</v>
      </c>
      <c r="AD600" t="n">
        <v>6622261540</v>
      </c>
      <c r="AE600" t="n">
        <v>1</v>
      </c>
      <c r="AF600" t="inlineStr">
        <is>
          <t>ENTREGADO</t>
        </is>
      </c>
      <c r="AG600" t="n">
        <v>1.7</v>
      </c>
      <c r="AH600" t="inlineStr">
        <is>
          <t>M3</t>
        </is>
      </c>
      <c r="AI600" t="inlineStr">
        <is>
          <t>X</t>
        </is>
      </c>
      <c r="AJ600" t="n">
        <v>4</v>
      </c>
      <c r="AK600" t="inlineStr">
        <is>
          <t>V4</t>
        </is>
      </c>
      <c r="AL600" t="n">
        <v>20250529</v>
      </c>
      <c r="AM600" t="inlineStr">
        <is>
          <t>D836-900005627-10267274</t>
        </is>
      </c>
    </row>
    <row r="601">
      <c r="A601" t="inlineStr">
        <is>
          <t>900005627D83610267272</t>
        </is>
      </c>
      <c r="B601" t="inlineStr">
        <is>
          <t>4600042076-160</t>
        </is>
      </c>
      <c r="C601" t="n">
        <v>4600042076</v>
      </c>
      <c r="D601" t="n">
        <v>160</v>
      </c>
      <c r="E601" t="inlineStr">
        <is>
          <t>MXPO</t>
        </is>
      </c>
      <c r="F601" t="inlineStr">
        <is>
          <t>MXL</t>
        </is>
      </c>
      <c r="G601" t="n">
        <v>900005627</v>
      </c>
      <c r="H601" t="inlineStr">
        <is>
          <t>TP-DOS CERROS SAN LUIS</t>
        </is>
      </c>
      <c r="I601" t="n">
        <v>5036168</v>
      </c>
      <c r="J601" t="inlineStr">
        <is>
          <t>TRITURADOS DOS CERROS SA DE CV</t>
        </is>
      </c>
      <c r="K601" t="inlineStr">
        <is>
          <t>Z04</t>
        </is>
      </c>
      <c r="L601" t="inlineStr">
        <is>
          <t>(AP) 30 Dias</t>
        </is>
      </c>
      <c r="M601" t="n">
        <v>10267272</v>
      </c>
      <c r="N601" t="inlineStr">
        <is>
          <t>MP TEZONTLE 2 1/2" A FINOS</t>
        </is>
      </c>
      <c r="O601" t="inlineStr">
        <is>
          <t>D836</t>
        </is>
      </c>
      <c r="P601" t="inlineStr">
        <is>
          <t>MX-CED. CENTRO</t>
        </is>
      </c>
      <c r="Q601" t="n">
        <v>20180511</v>
      </c>
      <c r="R601" t="n">
        <v>20281231</v>
      </c>
      <c r="S601" t="n">
        <v>20250526</v>
      </c>
      <c r="T601" t="n">
        <v>20301231</v>
      </c>
      <c r="U601" t="n">
        <v>150</v>
      </c>
      <c r="V601" t="inlineStr">
        <is>
          <t>MXN</t>
        </is>
      </c>
      <c r="W601" t="inlineStr">
        <is>
          <t>M3</t>
        </is>
      </c>
      <c r="X601" t="n">
        <v>0</v>
      </c>
      <c r="Y601" t="inlineStr">
        <is>
          <t>MXN</t>
        </is>
      </c>
      <c r="Z601" t="inlineStr">
        <is>
          <t>M3</t>
        </is>
      </c>
      <c r="AC601" t="n">
        <v>56103637</v>
      </c>
      <c r="AD601" t="n">
        <v>6622261540</v>
      </c>
      <c r="AE601" t="n">
        <v>1</v>
      </c>
      <c r="AF601" t="inlineStr">
        <is>
          <t>ENTREGADO</t>
        </is>
      </c>
      <c r="AG601" t="n">
        <v>2</v>
      </c>
      <c r="AH601" t="inlineStr">
        <is>
          <t>M3</t>
        </is>
      </c>
      <c r="AI601" t="inlineStr">
        <is>
          <t>X</t>
        </is>
      </c>
      <c r="AJ601" t="n">
        <v>4</v>
      </c>
      <c r="AK601" t="inlineStr">
        <is>
          <t>V4</t>
        </is>
      </c>
      <c r="AL601" t="n">
        <v>20250529</v>
      </c>
      <c r="AM601" t="inlineStr">
        <is>
          <t>D836-900005627-10267272</t>
        </is>
      </c>
    </row>
    <row r="602">
      <c r="A602" t="inlineStr">
        <is>
          <t>900001074D83610220797</t>
        </is>
      </c>
      <c r="B602" t="inlineStr">
        <is>
          <t>4600027573-400</t>
        </is>
      </c>
      <c r="C602" t="n">
        <v>4600027573</v>
      </c>
      <c r="D602" t="n">
        <v>400</v>
      </c>
      <c r="E602" t="inlineStr">
        <is>
          <t>MXPO</t>
        </is>
      </c>
      <c r="F602" t="inlineStr">
        <is>
          <t>M02</t>
        </is>
      </c>
      <c r="G602" t="n">
        <v>900001074</v>
      </c>
      <c r="H602" t="inlineStr">
        <is>
          <t>TP-TRIVOMEX</t>
        </is>
      </c>
      <c r="I602" t="n">
        <v>5033501</v>
      </c>
      <c r="J602" t="inlineStr">
        <is>
          <t>TRITURADOS VOLCANICOS DE MEXICO</t>
        </is>
      </c>
      <c r="K602" t="inlineStr">
        <is>
          <t>Z04</t>
        </is>
      </c>
      <c r="L602" t="inlineStr">
        <is>
          <t>(AP) 30 Dias</t>
        </is>
      </c>
      <c r="M602" t="n">
        <v>10220797</v>
      </c>
      <c r="N602" t="inlineStr">
        <is>
          <t>BASE HIDRAULICA TEP NG</t>
        </is>
      </c>
      <c r="O602" t="inlineStr">
        <is>
          <t>D836</t>
        </is>
      </c>
      <c r="P602" t="inlineStr">
        <is>
          <t>MX-CED. CENTRO</t>
        </is>
      </c>
      <c r="Q602" t="n">
        <v>20140701</v>
      </c>
      <c r="R602" t="n">
        <v>20291231</v>
      </c>
      <c r="S602" t="n">
        <v>20220810</v>
      </c>
      <c r="T602" t="n">
        <v>20271231</v>
      </c>
      <c r="U602" t="n">
        <v>15</v>
      </c>
      <c r="V602" t="inlineStr">
        <is>
          <t>MXN</t>
        </is>
      </c>
      <c r="W602" t="inlineStr">
        <is>
          <t>M3</t>
        </is>
      </c>
      <c r="X602" t="n">
        <v>0</v>
      </c>
      <c r="Y602" t="inlineStr">
        <is>
          <t>MXN</t>
        </is>
      </c>
      <c r="Z602" t="inlineStr">
        <is>
          <t>M3</t>
        </is>
      </c>
      <c r="AC602" t="n">
        <v>56103590</v>
      </c>
      <c r="AD602" t="n">
        <v>6622261540</v>
      </c>
      <c r="AE602" t="n">
        <v>1</v>
      </c>
      <c r="AF602" t="inlineStr">
        <is>
          <t>ENTREGADO</t>
        </is>
      </c>
      <c r="AG602" t="n">
        <v>1.5</v>
      </c>
      <c r="AH602" t="inlineStr">
        <is>
          <t>M3</t>
        </is>
      </c>
      <c r="AI602" t="inlineStr">
        <is>
          <t>X</t>
        </is>
      </c>
      <c r="AJ602" t="n">
        <v>4</v>
      </c>
      <c r="AK602" t="inlineStr">
        <is>
          <t>V4</t>
        </is>
      </c>
      <c r="AL602" t="n">
        <v>20230920</v>
      </c>
      <c r="AM602" t="inlineStr">
        <is>
          <t>D836-900001074-10220797</t>
        </is>
      </c>
    </row>
    <row r="603">
      <c r="A603" t="inlineStr">
        <is>
          <t>900003613D83610000651</t>
        </is>
      </c>
      <c r="B603" t="inlineStr">
        <is>
          <t>4600029050-30</t>
        </is>
      </c>
      <c r="C603" t="n">
        <v>4600029050</v>
      </c>
      <c r="D603" t="n">
        <v>30</v>
      </c>
      <c r="E603" t="inlineStr">
        <is>
          <t>MXPO</t>
        </is>
      </c>
      <c r="F603" t="inlineStr">
        <is>
          <t>MXL</t>
        </is>
      </c>
      <c r="G603" t="n">
        <v>900003613</v>
      </c>
      <c r="H603" t="inlineStr">
        <is>
          <t>TP-TESOYO</t>
        </is>
      </c>
      <c r="I603" t="n">
        <v>5045930</v>
      </c>
      <c r="J603" t="inlineStr">
        <is>
          <t>EL TESOYO SA</t>
        </is>
      </c>
      <c r="K603" t="inlineStr">
        <is>
          <t>Z06</t>
        </is>
      </c>
      <c r="L603" t="inlineStr">
        <is>
          <t>(AP) 45 Dias</t>
        </is>
      </c>
      <c r="M603" t="n">
        <v>10000651</v>
      </c>
      <c r="N603" t="inlineStr">
        <is>
          <t>Arena Triturada Andesita Malla 8</t>
        </is>
      </c>
      <c r="O603" t="inlineStr">
        <is>
          <t>D836</t>
        </is>
      </c>
      <c r="P603" t="inlineStr">
        <is>
          <t>MX-CED. CENTRO</t>
        </is>
      </c>
      <c r="Q603" t="n">
        <v>20150101</v>
      </c>
      <c r="R603" t="n">
        <v>20241231</v>
      </c>
      <c r="S603" t="n">
        <v>20180206</v>
      </c>
      <c r="T603" t="n">
        <v>20241231</v>
      </c>
      <c r="U603" t="n">
        <v>90</v>
      </c>
      <c r="V603" t="inlineStr">
        <is>
          <t>MXN</t>
        </is>
      </c>
      <c r="W603" t="inlineStr">
        <is>
          <t>M3</t>
        </is>
      </c>
      <c r="X603" t="n">
        <v>0</v>
      </c>
      <c r="Y603" t="inlineStr">
        <is>
          <t>MXN</t>
        </is>
      </c>
      <c r="Z603" t="inlineStr">
        <is>
          <t>M3</t>
        </is>
      </c>
      <c r="AC603" t="n">
        <v>56103638</v>
      </c>
      <c r="AD603" t="n">
        <v>6622261540</v>
      </c>
      <c r="AE603" t="n">
        <v>1</v>
      </c>
      <c r="AF603" t="inlineStr">
        <is>
          <t>ENTREGADO</t>
        </is>
      </c>
      <c r="AG603" t="n">
        <v>1.35</v>
      </c>
      <c r="AH603" t="inlineStr">
        <is>
          <t>M3</t>
        </is>
      </c>
      <c r="AI603" t="inlineStr">
        <is>
          <t>X</t>
        </is>
      </c>
      <c r="AJ603" t="n">
        <v>4</v>
      </c>
      <c r="AK603" t="inlineStr">
        <is>
          <t>V4</t>
        </is>
      </c>
      <c r="AL603" t="n">
        <v>20230920</v>
      </c>
      <c r="AM603" t="inlineStr">
        <is>
          <t>D836-900003613-10000651</t>
        </is>
      </c>
    </row>
    <row r="604">
      <c r="A604" t="inlineStr">
        <is>
          <t>900003609D83610000625</t>
        </is>
      </c>
      <c r="B604" t="inlineStr">
        <is>
          <t>4600027606-150</t>
        </is>
      </c>
      <c r="C604" t="n">
        <v>4600027606</v>
      </c>
      <c r="D604" t="n">
        <v>150</v>
      </c>
      <c r="E604" t="inlineStr">
        <is>
          <t>MXPO</t>
        </is>
      </c>
      <c r="F604" t="inlineStr">
        <is>
          <t>M02</t>
        </is>
      </c>
      <c r="G604" t="n">
        <v>900003609</v>
      </c>
      <c r="H604" t="inlineStr">
        <is>
          <t>TP-LA VALENCIANA</t>
        </is>
      </c>
      <c r="I604" t="n">
        <v>5005431</v>
      </c>
      <c r="J604" t="inlineStr">
        <is>
          <t>CANTERAS LA VALENCIANA SA DE CV</t>
        </is>
      </c>
      <c r="K604" t="inlineStr">
        <is>
          <t>Z03</t>
        </is>
      </c>
      <c r="L604" t="inlineStr">
        <is>
          <t>(AP) 15 Dias</t>
        </is>
      </c>
      <c r="M604" t="n">
        <v>10000625</v>
      </c>
      <c r="N604" t="inlineStr">
        <is>
          <t>Arena Triturada Andesita Malla 4</t>
        </is>
      </c>
      <c r="O604" t="inlineStr">
        <is>
          <t>D836</t>
        </is>
      </c>
      <c r="P604" t="inlineStr">
        <is>
          <t>MX-CED. CENTRO</t>
        </is>
      </c>
      <c r="Q604" t="n">
        <v>20141106</v>
      </c>
      <c r="R604" t="n">
        <v>20281231</v>
      </c>
      <c r="S604" t="n">
        <v>20181022</v>
      </c>
      <c r="T604" t="n">
        <v>20241231</v>
      </c>
      <c r="U604" t="n">
        <v>125</v>
      </c>
      <c r="V604" t="inlineStr">
        <is>
          <t>MXN</t>
        </is>
      </c>
      <c r="W604" t="inlineStr">
        <is>
          <t>M3</t>
        </is>
      </c>
      <c r="X604" t="n">
        <v>0</v>
      </c>
      <c r="Y604" t="inlineStr">
        <is>
          <t>MXN</t>
        </is>
      </c>
      <c r="Z604" t="inlineStr">
        <is>
          <t>M3</t>
        </is>
      </c>
      <c r="AC604" t="n">
        <v>56103638</v>
      </c>
      <c r="AD604" t="n">
        <v>6622261540</v>
      </c>
      <c r="AE604" t="n">
        <v>1</v>
      </c>
      <c r="AF604" t="inlineStr">
        <is>
          <t>ENTREGADO</t>
        </is>
      </c>
      <c r="AG604" t="n">
        <v>1.45</v>
      </c>
      <c r="AH604" t="inlineStr">
        <is>
          <t>M3</t>
        </is>
      </c>
      <c r="AI604" t="inlineStr">
        <is>
          <t>X</t>
        </is>
      </c>
      <c r="AJ604" t="n">
        <v>4</v>
      </c>
      <c r="AK604" t="inlineStr">
        <is>
          <t>V4</t>
        </is>
      </c>
      <c r="AL604" t="n">
        <v>20230920</v>
      </c>
      <c r="AM604" t="inlineStr">
        <is>
          <t>D836-900003609-10000625</t>
        </is>
      </c>
    </row>
    <row r="605">
      <c r="A605" t="inlineStr">
        <is>
          <t>900002574D8366720863810000160</t>
        </is>
      </c>
      <c r="B605" t="inlineStr">
        <is>
          <t>4600027590-2520</t>
        </is>
      </c>
      <c r="C605" t="n">
        <v>4600027590</v>
      </c>
      <c r="D605" t="n">
        <v>2520</v>
      </c>
      <c r="E605" t="inlineStr">
        <is>
          <t>MXPO</t>
        </is>
      </c>
      <c r="F605" t="inlineStr">
        <is>
          <t>M02</t>
        </is>
      </c>
      <c r="G605" t="n">
        <v>900002574</v>
      </c>
      <c r="H605" t="inlineStr">
        <is>
          <t>TP-ED-OLIELL</t>
        </is>
      </c>
      <c r="I605" t="n">
        <v>5048484</v>
      </c>
      <c r="J605" t="inlineStr">
        <is>
          <t>COMERCIALIZADORA Y TRANSPORTADORA O</t>
        </is>
      </c>
      <c r="K605" t="inlineStr">
        <is>
          <t>N90</t>
        </is>
      </c>
      <c r="L605" t="inlineStr">
        <is>
          <t>(AP) NAFIN 90 Dias</t>
        </is>
      </c>
      <c r="M605" t="n">
        <v>10000160</v>
      </c>
      <c r="N605" t="inlineStr">
        <is>
          <t>Arena Triturada Andesita Malla 4</t>
        </is>
      </c>
      <c r="O605" t="inlineStr">
        <is>
          <t>D836</t>
        </is>
      </c>
      <c r="P605" t="inlineStr">
        <is>
          <t>MX-CED. CENTRO</t>
        </is>
      </c>
      <c r="Q605" t="n">
        <v>20141106</v>
      </c>
      <c r="R605" t="n">
        <v>20281231</v>
      </c>
      <c r="S605" t="n">
        <v>20240328</v>
      </c>
      <c r="T605" t="n">
        <v>20281231</v>
      </c>
      <c r="U605" t="n">
        <v>634</v>
      </c>
      <c r="V605" t="inlineStr">
        <is>
          <t>MXN</t>
        </is>
      </c>
      <c r="W605" t="inlineStr">
        <is>
          <t>M3</t>
        </is>
      </c>
      <c r="X605" t="n">
        <v>180</v>
      </c>
      <c r="Y605" t="inlineStr">
        <is>
          <t>MXN</t>
        </is>
      </c>
      <c r="Z605" t="inlineStr">
        <is>
          <t>M3</t>
        </is>
      </c>
      <c r="AA605" t="inlineStr">
        <is>
          <t>67208638</t>
        </is>
      </c>
      <c r="AB605" t="inlineStr">
        <is>
          <t>GAMI Túnel Línea 12</t>
        </is>
      </c>
      <c r="AC605" t="n">
        <v>56103638</v>
      </c>
      <c r="AD605" t="n">
        <v>6622261540</v>
      </c>
      <c r="AE605" t="n">
        <v>4</v>
      </c>
      <c r="AF605" t="inlineStr">
        <is>
          <t>ENTREGA DIRECTA</t>
        </is>
      </c>
      <c r="AG605" t="n">
        <v>1.409</v>
      </c>
      <c r="AH605" t="inlineStr">
        <is>
          <t>M3</t>
        </is>
      </c>
      <c r="AI605" t="inlineStr">
        <is>
          <t>X</t>
        </is>
      </c>
      <c r="AJ605" t="n">
        <v>4</v>
      </c>
      <c r="AK605" t="inlineStr">
        <is>
          <t>V4</t>
        </is>
      </c>
      <c r="AL605" t="n">
        <v>20240331</v>
      </c>
      <c r="AM605" t="inlineStr">
        <is>
          <t>D836-900002574-67208638-10000160-4</t>
        </is>
      </c>
    </row>
    <row r="606">
      <c r="A606" t="inlineStr">
        <is>
          <t>900002574D8366720863810000649</t>
        </is>
      </c>
      <c r="B606" t="inlineStr">
        <is>
          <t>4600027590-2530</t>
        </is>
      </c>
      <c r="C606" t="n">
        <v>4600027590</v>
      </c>
      <c r="D606" t="n">
        <v>2530</v>
      </c>
      <c r="E606" t="inlineStr">
        <is>
          <t>MXPO</t>
        </is>
      </c>
      <c r="F606" t="inlineStr">
        <is>
          <t>M02</t>
        </is>
      </c>
      <c r="G606" t="n">
        <v>900002574</v>
      </c>
      <c r="H606" t="inlineStr">
        <is>
          <t>TP-ED-OLIELL</t>
        </is>
      </c>
      <c r="I606" t="n">
        <v>5048484</v>
      </c>
      <c r="J606" t="inlineStr">
        <is>
          <t>COMERCIALIZADORA Y TRANSPORTADORA O</t>
        </is>
      </c>
      <c r="K606" t="inlineStr">
        <is>
          <t>N90</t>
        </is>
      </c>
      <c r="L606" t="inlineStr">
        <is>
          <t>(AP) NAFIN 90 Dias</t>
        </is>
      </c>
      <c r="M606" t="n">
        <v>10000649</v>
      </c>
      <c r="N606" t="inlineStr">
        <is>
          <t>Grava Triturada Andesita 10 mm - 3/8"</t>
        </is>
      </c>
      <c r="O606" t="inlineStr">
        <is>
          <t>D836</t>
        </is>
      </c>
      <c r="P606" t="inlineStr">
        <is>
          <t>MX-CED. CENTRO</t>
        </is>
      </c>
      <c r="Q606" t="n">
        <v>20141106</v>
      </c>
      <c r="R606" t="n">
        <v>20281231</v>
      </c>
      <c r="S606" t="n">
        <v>20240328</v>
      </c>
      <c r="T606" t="n">
        <v>20281231</v>
      </c>
      <c r="U606" t="n">
        <v>635.2</v>
      </c>
      <c r="V606" t="inlineStr">
        <is>
          <t>MXN</t>
        </is>
      </c>
      <c r="W606" t="inlineStr">
        <is>
          <t>M3</t>
        </is>
      </c>
      <c r="X606" t="n">
        <v>180</v>
      </c>
      <c r="Y606" t="inlineStr">
        <is>
          <t>MXN</t>
        </is>
      </c>
      <c r="Z606" t="inlineStr">
        <is>
          <t>M3</t>
        </is>
      </c>
      <c r="AA606" t="inlineStr">
        <is>
          <t>67208638</t>
        </is>
      </c>
      <c r="AB606" t="inlineStr">
        <is>
          <t>GAMI Túnel Línea 12</t>
        </is>
      </c>
      <c r="AC606" t="n">
        <v>56103637</v>
      </c>
      <c r="AD606" t="n">
        <v>6622261540</v>
      </c>
      <c r="AE606" t="n">
        <v>4</v>
      </c>
      <c r="AF606" t="inlineStr">
        <is>
          <t>ENTREGA DIRECTA</t>
        </is>
      </c>
      <c r="AG606" t="n">
        <v>1.315</v>
      </c>
      <c r="AH606" t="inlineStr">
        <is>
          <t>M3</t>
        </is>
      </c>
      <c r="AI606" t="inlineStr">
        <is>
          <t>X</t>
        </is>
      </c>
      <c r="AJ606" t="n">
        <v>4</v>
      </c>
      <c r="AK606" t="inlineStr">
        <is>
          <t>V4</t>
        </is>
      </c>
      <c r="AL606" t="n">
        <v>20240331</v>
      </c>
      <c r="AM606" t="inlineStr">
        <is>
          <t>D836-900002574-67208638-10000649-4</t>
        </is>
      </c>
    </row>
    <row r="607">
      <c r="A607" t="inlineStr">
        <is>
          <t>900005356D83610000627</t>
        </is>
      </c>
      <c r="B607" t="inlineStr">
        <is>
          <t>4600039490-20</t>
        </is>
      </c>
      <c r="C607" t="n">
        <v>4600039490</v>
      </c>
      <c r="D607" t="n">
        <v>20</v>
      </c>
      <c r="E607" t="inlineStr">
        <is>
          <t>MXPO</t>
        </is>
      </c>
      <c r="F607" t="inlineStr">
        <is>
          <t>MXL</t>
        </is>
      </c>
      <c r="G607" t="n">
        <v>900005356</v>
      </c>
      <c r="H607" t="inlineStr">
        <is>
          <t>TP-TRIVOMEX RECOGIDO</t>
        </is>
      </c>
      <c r="I607" t="n">
        <v>5033501</v>
      </c>
      <c r="J607" t="inlineStr">
        <is>
          <t>TRITURADOS VOLCANICOS DE MEXICO</t>
        </is>
      </c>
      <c r="K607" t="inlineStr">
        <is>
          <t>Z04</t>
        </is>
      </c>
      <c r="L607" t="inlineStr">
        <is>
          <t>(AP) 30 Dias</t>
        </is>
      </c>
      <c r="M607" t="n">
        <v>10000627</v>
      </c>
      <c r="N607" t="inlineStr">
        <is>
          <t>Grava Triturada Andesita 10 mm - 3/8"</t>
        </is>
      </c>
      <c r="O607" t="inlineStr">
        <is>
          <t>D836</t>
        </is>
      </c>
      <c r="P607" t="inlineStr">
        <is>
          <t>MX-CED. CENTRO</t>
        </is>
      </c>
      <c r="Q607" t="n">
        <v>20170828</v>
      </c>
      <c r="R607" t="n">
        <v>20281231</v>
      </c>
      <c r="S607" t="n">
        <v>20240330</v>
      </c>
      <c r="T607" t="n">
        <v>20291231</v>
      </c>
      <c r="U607" t="n">
        <v>85</v>
      </c>
      <c r="V607" t="inlineStr">
        <is>
          <t>MXN</t>
        </is>
      </c>
      <c r="W607" t="inlineStr">
        <is>
          <t>M3</t>
        </is>
      </c>
      <c r="X607" t="n">
        <v>0</v>
      </c>
      <c r="Y607" t="inlineStr">
        <is>
          <t>MXN</t>
        </is>
      </c>
      <c r="Z607" t="inlineStr">
        <is>
          <t>M3</t>
        </is>
      </c>
      <c r="AC607" t="n">
        <v>56103637</v>
      </c>
      <c r="AD607" t="n">
        <v>6622261540</v>
      </c>
      <c r="AE607" t="n">
        <v>1</v>
      </c>
      <c r="AF607" t="inlineStr">
        <is>
          <t>ENTREGADO</t>
        </is>
      </c>
      <c r="AG607" t="n">
        <v>1.33</v>
      </c>
      <c r="AH607" t="inlineStr">
        <is>
          <t>M3</t>
        </is>
      </c>
      <c r="AI607" t="inlineStr">
        <is>
          <t>X</t>
        </is>
      </c>
      <c r="AJ607" t="n">
        <v>4</v>
      </c>
      <c r="AK607" t="inlineStr">
        <is>
          <t>V4</t>
        </is>
      </c>
      <c r="AL607" t="n">
        <v>20240331</v>
      </c>
      <c r="AM607" t="inlineStr">
        <is>
          <t>D836-900005356-10000627</t>
        </is>
      </c>
    </row>
    <row r="608">
      <c r="A608" t="inlineStr">
        <is>
          <t>900003613D83610000627</t>
        </is>
      </c>
      <c r="B608" t="inlineStr">
        <is>
          <t>4600029050-40</t>
        </is>
      </c>
      <c r="C608" t="n">
        <v>4600029050</v>
      </c>
      <c r="D608" t="n">
        <v>40</v>
      </c>
      <c r="E608" t="inlineStr">
        <is>
          <t>MXPO</t>
        </is>
      </c>
      <c r="F608" t="inlineStr">
        <is>
          <t>MXL</t>
        </is>
      </c>
      <c r="G608" t="n">
        <v>900003613</v>
      </c>
      <c r="H608" t="inlineStr">
        <is>
          <t>TP-TESOYO</t>
        </is>
      </c>
      <c r="I608" t="n">
        <v>5045930</v>
      </c>
      <c r="J608" t="inlineStr">
        <is>
          <t>EL TESOYO SA</t>
        </is>
      </c>
      <c r="K608" t="inlineStr">
        <is>
          <t>Z06</t>
        </is>
      </c>
      <c r="L608" t="inlineStr">
        <is>
          <t>(AP) 45 Dias</t>
        </is>
      </c>
      <c r="M608" t="n">
        <v>10000627</v>
      </c>
      <c r="N608" t="inlineStr">
        <is>
          <t>Grava Triturada Andesita 10 mm - 3/8"</t>
        </is>
      </c>
      <c r="O608" t="inlineStr">
        <is>
          <t>D836</t>
        </is>
      </c>
      <c r="P608" t="inlineStr">
        <is>
          <t>MX-CED. CENTRO</t>
        </is>
      </c>
      <c r="Q608" t="n">
        <v>20150101</v>
      </c>
      <c r="R608" t="n">
        <v>20241231</v>
      </c>
      <c r="S608" t="n">
        <v>20180206</v>
      </c>
      <c r="T608" t="n">
        <v>20241231</v>
      </c>
      <c r="U608" t="n">
        <v>75</v>
      </c>
      <c r="V608" t="inlineStr">
        <is>
          <t>MXN</t>
        </is>
      </c>
      <c r="W608" t="inlineStr">
        <is>
          <t>M3</t>
        </is>
      </c>
      <c r="X608" t="n">
        <v>0</v>
      </c>
      <c r="Y608" t="inlineStr">
        <is>
          <t>MXN</t>
        </is>
      </c>
      <c r="Z608" t="inlineStr">
        <is>
          <t>M3</t>
        </is>
      </c>
      <c r="AC608" t="n">
        <v>56103637</v>
      </c>
      <c r="AD608" t="n">
        <v>6622261540</v>
      </c>
      <c r="AE608" t="n">
        <v>1</v>
      </c>
      <c r="AF608" t="inlineStr">
        <is>
          <t>ENTREGADO</t>
        </is>
      </c>
      <c r="AG608" t="n">
        <v>1.33</v>
      </c>
      <c r="AH608" t="inlineStr">
        <is>
          <t>M3</t>
        </is>
      </c>
      <c r="AI608" t="inlineStr">
        <is>
          <t>X</t>
        </is>
      </c>
      <c r="AJ608" t="n">
        <v>4</v>
      </c>
      <c r="AK608" t="inlineStr">
        <is>
          <t>V4</t>
        </is>
      </c>
      <c r="AL608" t="n">
        <v>20230920</v>
      </c>
      <c r="AM608" t="inlineStr">
        <is>
          <t>D836-900003613-10000627</t>
        </is>
      </c>
    </row>
    <row r="609">
      <c r="A609" t="inlineStr">
        <is>
          <t>900007320D83610218415</t>
        </is>
      </c>
      <c r="B609" t="inlineStr">
        <is>
          <t>4600055037-10</t>
        </is>
      </c>
      <c r="C609" t="n">
        <v>4600055037</v>
      </c>
      <c r="D609" t="n">
        <v>10</v>
      </c>
      <c r="E609" t="inlineStr">
        <is>
          <t>MXPO</t>
        </is>
      </c>
      <c r="F609" t="inlineStr">
        <is>
          <t>MXL</t>
        </is>
      </c>
      <c r="G609" t="n">
        <v>900007320</v>
      </c>
      <c r="H609" t="inlineStr">
        <is>
          <t>SF TP-LOMA ANCHA SC</t>
        </is>
      </c>
      <c r="I609" t="n">
        <v>5047262</v>
      </c>
      <c r="J609" t="inlineStr">
        <is>
          <t>AGREGADOS PETREOS SAN CRISTOBAL</t>
        </is>
      </c>
      <c r="K609" t="inlineStr">
        <is>
          <t>Z03</t>
        </is>
      </c>
      <c r="L609" t="inlineStr">
        <is>
          <t>(AP) 15 Dias</t>
        </is>
      </c>
      <c r="M609" t="n">
        <v>10218415</v>
      </c>
      <c r="N609" t="inlineStr">
        <is>
          <t>ARENA TRITURADA ANDESITA MALLA 4 LOMA AN</t>
        </is>
      </c>
      <c r="O609" t="inlineStr">
        <is>
          <t>D836</t>
        </is>
      </c>
      <c r="P609" t="inlineStr">
        <is>
          <t>MX-CED. CENTRO</t>
        </is>
      </c>
      <c r="Q609" t="n">
        <v>20220825</v>
      </c>
      <c r="R609" t="n">
        <v>20271231</v>
      </c>
      <c r="S609" t="n">
        <v>20220825</v>
      </c>
      <c r="T609" t="n">
        <v>20271231</v>
      </c>
      <c r="U609" t="n">
        <v>85</v>
      </c>
      <c r="V609" t="inlineStr">
        <is>
          <t>MXN</t>
        </is>
      </c>
      <c r="W609" t="inlineStr">
        <is>
          <t>M3</t>
        </is>
      </c>
      <c r="X609" t="n">
        <v>0</v>
      </c>
      <c r="Y609" t="inlineStr">
        <is>
          <t>MXN</t>
        </is>
      </c>
      <c r="Z609" t="inlineStr">
        <is>
          <t>M3</t>
        </is>
      </c>
      <c r="AC609" t="n">
        <v>56103638</v>
      </c>
      <c r="AD609" t="n">
        <v>6622261540</v>
      </c>
      <c r="AE609" t="n">
        <v>1</v>
      </c>
      <c r="AF609" t="inlineStr">
        <is>
          <t>ENTREGADO</t>
        </is>
      </c>
      <c r="AG609" t="n">
        <v>1.409</v>
      </c>
      <c r="AH609" t="inlineStr">
        <is>
          <t>M3</t>
        </is>
      </c>
      <c r="AI609" t="inlineStr">
        <is>
          <t>X</t>
        </is>
      </c>
      <c r="AJ609" t="n">
        <v>4</v>
      </c>
      <c r="AK609" t="inlineStr">
        <is>
          <t>V4</t>
        </is>
      </c>
      <c r="AL609" t="n">
        <v>20230920</v>
      </c>
      <c r="AM609" t="inlineStr">
        <is>
          <t>D836-900007320-10218415</t>
        </is>
      </c>
    </row>
    <row r="610">
      <c r="A610" t="inlineStr">
        <is>
          <t>900001074D83610215074</t>
        </is>
      </c>
      <c r="B610" t="inlineStr">
        <is>
          <t>4600027573-370</t>
        </is>
      </c>
      <c r="C610" t="n">
        <v>4600027573</v>
      </c>
      <c r="D610" t="n">
        <v>370</v>
      </c>
      <c r="E610" t="inlineStr">
        <is>
          <t>MXPO</t>
        </is>
      </c>
      <c r="F610" t="inlineStr">
        <is>
          <t>M02</t>
        </is>
      </c>
      <c r="G610" t="n">
        <v>900001074</v>
      </c>
      <c r="H610" t="inlineStr">
        <is>
          <t>TP-TRIVOMEX</t>
        </is>
      </c>
      <c r="I610" t="n">
        <v>5033501</v>
      </c>
      <c r="J610" t="inlineStr">
        <is>
          <t>TRITURADOS VOLCANICOS DE MEXICO</t>
        </is>
      </c>
      <c r="K610" t="inlineStr">
        <is>
          <t>Z04</t>
        </is>
      </c>
      <c r="L610" t="inlineStr">
        <is>
          <t>(AP) 30 Dias</t>
        </is>
      </c>
      <c r="M610" t="n">
        <v>10215074</v>
      </c>
      <c r="N610" t="inlineStr">
        <is>
          <t>TEZONTLE 3"</t>
        </is>
      </c>
      <c r="O610" t="inlineStr">
        <is>
          <t>D836</t>
        </is>
      </c>
      <c r="P610" t="inlineStr">
        <is>
          <t>MX-CED. CENTRO</t>
        </is>
      </c>
      <c r="Q610" t="n">
        <v>20140701</v>
      </c>
      <c r="R610" t="n">
        <v>20291231</v>
      </c>
      <c r="S610" t="n">
        <v>20220405</v>
      </c>
      <c r="T610" t="n">
        <v>20271231</v>
      </c>
      <c r="U610" t="n">
        <v>120</v>
      </c>
      <c r="V610" t="inlineStr">
        <is>
          <t>MXN</t>
        </is>
      </c>
      <c r="W610" t="inlineStr">
        <is>
          <t>M3</t>
        </is>
      </c>
      <c r="X610" t="n">
        <v>0</v>
      </c>
      <c r="Y610" t="inlineStr">
        <is>
          <t>MXN</t>
        </is>
      </c>
      <c r="Z610" t="inlineStr">
        <is>
          <t>M3</t>
        </is>
      </c>
      <c r="AC610" t="n">
        <v>56103637</v>
      </c>
      <c r="AD610" t="n">
        <v>6622261540</v>
      </c>
      <c r="AE610" t="n">
        <v>1</v>
      </c>
      <c r="AF610" t="inlineStr">
        <is>
          <t>ENTREGADO</t>
        </is>
      </c>
      <c r="AG610" t="n">
        <v>1.3</v>
      </c>
      <c r="AH610" t="inlineStr">
        <is>
          <t>M3</t>
        </is>
      </c>
      <c r="AI610" t="inlineStr">
        <is>
          <t>X</t>
        </is>
      </c>
      <c r="AJ610" t="n">
        <v>4</v>
      </c>
      <c r="AK610" t="inlineStr">
        <is>
          <t>V4</t>
        </is>
      </c>
      <c r="AL610" t="n">
        <v>20230920</v>
      </c>
      <c r="AM610" t="inlineStr">
        <is>
          <t>D836-900001074-10215074</t>
        </is>
      </c>
    </row>
    <row r="611">
      <c r="A611" t="inlineStr">
        <is>
          <t>900003609D83610000360</t>
        </is>
      </c>
      <c r="B611" t="inlineStr">
        <is>
          <t>4600027606-160</t>
        </is>
      </c>
      <c r="C611" t="n">
        <v>4600027606</v>
      </c>
      <c r="D611" t="n">
        <v>160</v>
      </c>
      <c r="E611" t="inlineStr">
        <is>
          <t>MXPO</t>
        </is>
      </c>
      <c r="F611" t="inlineStr">
        <is>
          <t>M02</t>
        </is>
      </c>
      <c r="G611" t="n">
        <v>900003609</v>
      </c>
      <c r="H611" t="inlineStr">
        <is>
          <t>TP-LA VALENCIANA</t>
        </is>
      </c>
      <c r="I611" t="n">
        <v>5005431</v>
      </c>
      <c r="J611" t="inlineStr">
        <is>
          <t>CANTERAS LA VALENCIANA SA DE CV</t>
        </is>
      </c>
      <c r="K611" t="inlineStr">
        <is>
          <t>Z03</t>
        </is>
      </c>
      <c r="L611" t="inlineStr">
        <is>
          <t>(AP) 15 Dias</t>
        </is>
      </c>
      <c r="M611" t="n">
        <v>10000360</v>
      </c>
      <c r="N611" t="inlineStr">
        <is>
          <t>Base H Triturada Caliza 1 1/2" a Finos</t>
        </is>
      </c>
      <c r="O611" t="inlineStr">
        <is>
          <t>D836</t>
        </is>
      </c>
      <c r="P611" t="inlineStr">
        <is>
          <t>MX-CED. CENTRO</t>
        </is>
      </c>
      <c r="Q611" t="n">
        <v>20141106</v>
      </c>
      <c r="R611" t="n">
        <v>20281231</v>
      </c>
      <c r="S611" t="n">
        <v>20200423</v>
      </c>
      <c r="T611" t="n">
        <v>20291231</v>
      </c>
      <c r="U611" t="n">
        <v>120</v>
      </c>
      <c r="V611" t="inlineStr">
        <is>
          <t>MXN</t>
        </is>
      </c>
      <c r="W611" t="inlineStr">
        <is>
          <t>M3</t>
        </is>
      </c>
      <c r="X611" t="n">
        <v>0</v>
      </c>
      <c r="Y611" t="inlineStr">
        <is>
          <t>MXN</t>
        </is>
      </c>
      <c r="Z611" t="inlineStr">
        <is>
          <t>M3</t>
        </is>
      </c>
      <c r="AC611" t="n">
        <v>56103590</v>
      </c>
      <c r="AD611" t="n">
        <v>6622261540</v>
      </c>
      <c r="AE611" t="n">
        <v>1</v>
      </c>
      <c r="AF611" t="inlineStr">
        <is>
          <t>ENTREGADO</t>
        </is>
      </c>
      <c r="AG611" t="n">
        <v>1.5</v>
      </c>
      <c r="AH611" t="inlineStr">
        <is>
          <t>M3</t>
        </is>
      </c>
      <c r="AI611" t="inlineStr">
        <is>
          <t>X</t>
        </is>
      </c>
      <c r="AJ611" t="n">
        <v>4</v>
      </c>
      <c r="AK611" t="inlineStr">
        <is>
          <t>V4</t>
        </is>
      </c>
      <c r="AL611" t="n">
        <v>20230920</v>
      </c>
      <c r="AM611" t="inlineStr">
        <is>
          <t>D836-900003609-10000360</t>
        </is>
      </c>
    </row>
    <row r="612">
      <c r="A612" t="inlineStr">
        <is>
          <t>900003609D83610226561</t>
        </is>
      </c>
      <c r="B612" t="inlineStr">
        <is>
          <t>4600027606-190</t>
        </is>
      </c>
      <c r="C612" t="n">
        <v>4600027606</v>
      </c>
      <c r="D612" t="n">
        <v>190</v>
      </c>
      <c r="E612" t="inlineStr">
        <is>
          <t>MXPO</t>
        </is>
      </c>
      <c r="F612" t="inlineStr">
        <is>
          <t>M02</t>
        </is>
      </c>
      <c r="G612" t="n">
        <v>900003609</v>
      </c>
      <c r="H612" t="inlineStr">
        <is>
          <t>TP-LA VALENCIANA</t>
        </is>
      </c>
      <c r="I612" t="n">
        <v>5005431</v>
      </c>
      <c r="J612" t="inlineStr">
        <is>
          <t>CANTERAS LA VALENCIANA SA DE CV</t>
        </is>
      </c>
      <c r="K612" t="inlineStr">
        <is>
          <t>Z03</t>
        </is>
      </c>
      <c r="L612" t="inlineStr">
        <is>
          <t>(AP) 15 Dias</t>
        </is>
      </c>
      <c r="M612" t="n">
        <v>10226561</v>
      </c>
      <c r="N612" t="inlineStr">
        <is>
          <t>BASE HIDRÁULICA 70%FINOS-30%GRUESOS C</t>
        </is>
      </c>
      <c r="O612" t="inlineStr">
        <is>
          <t>D836</t>
        </is>
      </c>
      <c r="P612" t="inlineStr">
        <is>
          <t>MX-CED. CENTRO</t>
        </is>
      </c>
      <c r="Q612" t="n">
        <v>20141106</v>
      </c>
      <c r="R612" t="n">
        <v>20281231</v>
      </c>
      <c r="S612" t="n">
        <v>20221205</v>
      </c>
      <c r="T612" t="n">
        <v>20271231</v>
      </c>
      <c r="U612" t="n">
        <v>143</v>
      </c>
      <c r="V612" t="inlineStr">
        <is>
          <t>MXN</t>
        </is>
      </c>
      <c r="W612" t="inlineStr">
        <is>
          <t>M3</t>
        </is>
      </c>
      <c r="X612" t="n">
        <v>0</v>
      </c>
      <c r="Y612" t="inlineStr">
        <is>
          <t>MXN</t>
        </is>
      </c>
      <c r="Z612" t="inlineStr">
        <is>
          <t>M3</t>
        </is>
      </c>
      <c r="AC612" t="n">
        <v>56103590</v>
      </c>
      <c r="AD612" t="n">
        <v>6622261540</v>
      </c>
      <c r="AE612" t="n">
        <v>1</v>
      </c>
      <c r="AF612" t="inlineStr">
        <is>
          <t>ENTREGADO</t>
        </is>
      </c>
      <c r="AG612" t="n">
        <v>1.7</v>
      </c>
      <c r="AH612" t="inlineStr">
        <is>
          <t>M3</t>
        </is>
      </c>
      <c r="AI612" t="inlineStr">
        <is>
          <t>X</t>
        </is>
      </c>
      <c r="AJ612" t="n">
        <v>4</v>
      </c>
      <c r="AK612" t="inlineStr">
        <is>
          <t>V4</t>
        </is>
      </c>
      <c r="AL612" t="n">
        <v>20230920</v>
      </c>
      <c r="AM612" t="inlineStr">
        <is>
          <t>D836-900003609-10226561</t>
        </is>
      </c>
    </row>
    <row r="613">
      <c r="A613" t="inlineStr">
        <is>
          <t>900003609D83610233033</t>
        </is>
      </c>
      <c r="B613" t="inlineStr">
        <is>
          <t>4600027606-200</t>
        </is>
      </c>
      <c r="C613" t="n">
        <v>4600027606</v>
      </c>
      <c r="D613" t="n">
        <v>200</v>
      </c>
      <c r="E613" t="inlineStr">
        <is>
          <t>MXPO</t>
        </is>
      </c>
      <c r="F613" t="inlineStr">
        <is>
          <t>M02</t>
        </is>
      </c>
      <c r="G613" t="n">
        <v>900003609</v>
      </c>
      <c r="H613" t="inlineStr">
        <is>
          <t>TP-LA VALENCIANA</t>
        </is>
      </c>
      <c r="I613" t="n">
        <v>5005431</v>
      </c>
      <c r="J613" t="inlineStr">
        <is>
          <t>CANTERAS LA VALENCIANA SA DE CV</t>
        </is>
      </c>
      <c r="K613" t="inlineStr">
        <is>
          <t>Z03</t>
        </is>
      </c>
      <c r="L613" t="inlineStr">
        <is>
          <t>(AP) 15 Dias</t>
        </is>
      </c>
      <c r="M613" t="n">
        <v>10233033</v>
      </c>
      <c r="N613" t="inlineStr">
        <is>
          <t>GRAVA TRITURADA CALIZA 13 MM - 1/2" P</t>
        </is>
      </c>
      <c r="O613" t="inlineStr">
        <is>
          <t>D836</t>
        </is>
      </c>
      <c r="P613" t="inlineStr">
        <is>
          <t>MX-CED. CENTRO</t>
        </is>
      </c>
      <c r="Q613" t="n">
        <v>20141106</v>
      </c>
      <c r="R613" t="n">
        <v>20281231</v>
      </c>
      <c r="S613" t="n">
        <v>20230424</v>
      </c>
      <c r="T613" t="n">
        <v>20281231</v>
      </c>
      <c r="U613" t="n">
        <v>140.5</v>
      </c>
      <c r="V613" t="inlineStr">
        <is>
          <t>MXN</t>
        </is>
      </c>
      <c r="W613" t="inlineStr">
        <is>
          <t>M3</t>
        </is>
      </c>
      <c r="X613" t="n">
        <v>0</v>
      </c>
      <c r="Y613" t="inlineStr">
        <is>
          <t>MXN</t>
        </is>
      </c>
      <c r="Z613" t="inlineStr">
        <is>
          <t>M3</t>
        </is>
      </c>
      <c r="AC613" t="n">
        <v>56103637</v>
      </c>
      <c r="AD613" t="n">
        <v>6622261540</v>
      </c>
      <c r="AE613" t="n">
        <v>1</v>
      </c>
      <c r="AF613" t="inlineStr">
        <is>
          <t>ENTREGADO</t>
        </is>
      </c>
      <c r="AG613" t="n">
        <v>1.4</v>
      </c>
      <c r="AH613" t="inlineStr">
        <is>
          <t>M3</t>
        </is>
      </c>
      <c r="AI613" t="inlineStr">
        <is>
          <t>X</t>
        </is>
      </c>
      <c r="AJ613" t="n">
        <v>4</v>
      </c>
      <c r="AK613" t="inlineStr">
        <is>
          <t>V4</t>
        </is>
      </c>
      <c r="AL613" t="n">
        <v>20230920</v>
      </c>
      <c r="AM613" t="inlineStr">
        <is>
          <t>D836-900003609-10233033</t>
        </is>
      </c>
    </row>
    <row r="614">
      <c r="A614" t="inlineStr">
        <is>
          <t>900001074D83610000206</t>
        </is>
      </c>
      <c r="B614" t="inlineStr">
        <is>
          <t>4600027573-390</t>
        </is>
      </c>
      <c r="C614" t="n">
        <v>4600027573</v>
      </c>
      <c r="D614" t="n">
        <v>390</v>
      </c>
      <c r="E614" t="inlineStr">
        <is>
          <t>MXPO</t>
        </is>
      </c>
      <c r="F614" t="inlineStr">
        <is>
          <t>M02</t>
        </is>
      </c>
      <c r="G614" t="n">
        <v>900001074</v>
      </c>
      <c r="H614" t="inlineStr">
        <is>
          <t>TP-TRIVOMEX</t>
        </is>
      </c>
      <c r="I614" t="n">
        <v>5033501</v>
      </c>
      <c r="J614" t="inlineStr">
        <is>
          <t>TRITURADOS VOLCANICOS DE MEXICO</t>
        </is>
      </c>
      <c r="K614" t="inlineStr">
        <is>
          <t>Z04</t>
        </is>
      </c>
      <c r="L614" t="inlineStr">
        <is>
          <t>(AP) 30 Dias</t>
        </is>
      </c>
      <c r="M614" t="n">
        <v>10000206</v>
      </c>
      <c r="N614" t="inlineStr">
        <is>
          <t>Tepetate Triturado Tierra NA</t>
        </is>
      </c>
      <c r="O614" t="inlineStr">
        <is>
          <t>D836</t>
        </is>
      </c>
      <c r="P614" t="inlineStr">
        <is>
          <t>MX-CED. CENTRO</t>
        </is>
      </c>
      <c r="Q614" t="n">
        <v>20140701</v>
      </c>
      <c r="R614" t="n">
        <v>20291231</v>
      </c>
      <c r="S614" t="n">
        <v>20220801</v>
      </c>
      <c r="T614" t="n">
        <v>20271231</v>
      </c>
      <c r="U614" t="n">
        <v>91</v>
      </c>
      <c r="V614" t="inlineStr">
        <is>
          <t>MXN</t>
        </is>
      </c>
      <c r="W614" t="inlineStr">
        <is>
          <t>M3</t>
        </is>
      </c>
      <c r="X614" t="n">
        <v>0</v>
      </c>
      <c r="Y614" t="inlineStr">
        <is>
          <t>MXN</t>
        </is>
      </c>
      <c r="Z614" t="inlineStr">
        <is>
          <t>M3</t>
        </is>
      </c>
      <c r="AC614" t="n">
        <v>56103695</v>
      </c>
      <c r="AD614" t="n">
        <v>6622261540</v>
      </c>
      <c r="AE614" t="n">
        <v>1</v>
      </c>
      <c r="AF614" t="inlineStr">
        <is>
          <t>ENTREGADO</t>
        </is>
      </c>
      <c r="AG614" t="n">
        <v>1.249</v>
      </c>
      <c r="AH614" t="inlineStr">
        <is>
          <t>M3</t>
        </is>
      </c>
      <c r="AI614" t="inlineStr">
        <is>
          <t>X</t>
        </is>
      </c>
      <c r="AJ614" t="n">
        <v>4</v>
      </c>
      <c r="AK614" t="inlineStr">
        <is>
          <t>V4</t>
        </is>
      </c>
      <c r="AL614" t="n">
        <v>20230920</v>
      </c>
      <c r="AM614" t="inlineStr">
        <is>
          <t>D836-900001074-10000206</t>
        </is>
      </c>
    </row>
    <row r="615">
      <c r="A615" t="inlineStr">
        <is>
          <t>900003609D83610198730</t>
        </is>
      </c>
      <c r="B615" t="inlineStr">
        <is>
          <t>4600027606-180</t>
        </is>
      </c>
      <c r="C615" t="n">
        <v>4600027606</v>
      </c>
      <c r="D615" t="n">
        <v>180</v>
      </c>
      <c r="E615" t="inlineStr">
        <is>
          <t>MXPO</t>
        </is>
      </c>
      <c r="F615" t="inlineStr">
        <is>
          <t>M02</t>
        </is>
      </c>
      <c r="G615" t="n">
        <v>900003609</v>
      </c>
      <c r="H615" t="inlineStr">
        <is>
          <t>TP-LA VALENCIANA</t>
        </is>
      </c>
      <c r="I615" t="n">
        <v>5005431</v>
      </c>
      <c r="J615" t="inlineStr">
        <is>
          <t>CANTERAS LA VALENCIANA SA DE CV</t>
        </is>
      </c>
      <c r="K615" t="inlineStr">
        <is>
          <t>Z03</t>
        </is>
      </c>
      <c r="L615" t="inlineStr">
        <is>
          <t>(AP) 15 Dias</t>
        </is>
      </c>
      <c r="M615" t="n">
        <v>10198730</v>
      </c>
      <c r="N615" t="inlineStr">
        <is>
          <t>ARENA TRITURADA CALIZA MALLA 4 AB</t>
        </is>
      </c>
      <c r="O615" t="inlineStr">
        <is>
          <t>D836</t>
        </is>
      </c>
      <c r="P615" t="inlineStr">
        <is>
          <t>MX-CED. CENTRO</t>
        </is>
      </c>
      <c r="Q615" t="n">
        <v>20141106</v>
      </c>
      <c r="R615" t="n">
        <v>20281231</v>
      </c>
      <c r="S615" t="n">
        <v>20211025</v>
      </c>
      <c r="T615" t="n">
        <v>20261231</v>
      </c>
      <c r="U615" t="n">
        <v>88</v>
      </c>
      <c r="V615" t="inlineStr">
        <is>
          <t>MXN</t>
        </is>
      </c>
      <c r="W615" t="inlineStr">
        <is>
          <t>M3</t>
        </is>
      </c>
      <c r="X615" t="n">
        <v>0</v>
      </c>
      <c r="Y615" t="inlineStr">
        <is>
          <t>MXN</t>
        </is>
      </c>
      <c r="Z615" t="inlineStr">
        <is>
          <t>M3</t>
        </is>
      </c>
      <c r="AC615" t="n">
        <v>56103638</v>
      </c>
      <c r="AD615" t="n">
        <v>6622261867</v>
      </c>
      <c r="AE615" t="n">
        <v>1</v>
      </c>
      <c r="AF615" t="inlineStr">
        <is>
          <t>ENTREGADO</t>
        </is>
      </c>
      <c r="AG615" t="n">
        <v>1.56</v>
      </c>
      <c r="AH615" t="inlineStr">
        <is>
          <t>M3</t>
        </is>
      </c>
      <c r="AI615" t="inlineStr">
        <is>
          <t>X</t>
        </is>
      </c>
      <c r="AJ615" t="n">
        <v>4</v>
      </c>
      <c r="AK615" t="inlineStr">
        <is>
          <t>V4</t>
        </is>
      </c>
      <c r="AL615" t="n">
        <v>20230920</v>
      </c>
      <c r="AM615" t="inlineStr">
        <is>
          <t>D836-900003609-10198730</t>
        </is>
      </c>
    </row>
    <row r="616">
      <c r="A616" t="inlineStr">
        <is>
          <t>900001074D83610172240</t>
        </is>
      </c>
      <c r="B616" t="inlineStr">
        <is>
          <t>4600027573-280</t>
        </is>
      </c>
      <c r="C616" t="n">
        <v>4600027573</v>
      </c>
      <c r="D616" t="n">
        <v>280</v>
      </c>
      <c r="E616" t="inlineStr">
        <is>
          <t>MXPO</t>
        </is>
      </c>
      <c r="F616" t="inlineStr">
        <is>
          <t>M02</t>
        </is>
      </c>
      <c r="G616" t="n">
        <v>900001074</v>
      </c>
      <c r="H616" t="inlineStr">
        <is>
          <t>TP-TRIVOMEX</t>
        </is>
      </c>
      <c r="I616" t="n">
        <v>5033501</v>
      </c>
      <c r="J616" t="inlineStr">
        <is>
          <t>TRITURADOS VOLCANICOS DE MEXICO</t>
        </is>
      </c>
      <c r="K616" t="inlineStr">
        <is>
          <t>Z04</t>
        </is>
      </c>
      <c r="L616" t="inlineStr">
        <is>
          <t>(AP) 30 Dias</t>
        </is>
      </c>
      <c r="M616" t="n">
        <v>10172240</v>
      </c>
      <c r="N616" t="inlineStr">
        <is>
          <t>GRAVA TRITURADA TEZONTLE 20MM - 3/4" A F</t>
        </is>
      </c>
      <c r="O616" t="inlineStr">
        <is>
          <t>D836</t>
        </is>
      </c>
      <c r="P616" t="inlineStr">
        <is>
          <t>MX-CED. CENTRO</t>
        </is>
      </c>
      <c r="Q616" t="n">
        <v>20140701</v>
      </c>
      <c r="R616" t="n">
        <v>20291231</v>
      </c>
      <c r="S616" t="n">
        <v>20190829</v>
      </c>
      <c r="T616" t="n">
        <v>20241231</v>
      </c>
      <c r="U616" t="n">
        <v>120</v>
      </c>
      <c r="V616" t="inlineStr">
        <is>
          <t>MXN</t>
        </is>
      </c>
      <c r="W616" t="inlineStr">
        <is>
          <t>M3</t>
        </is>
      </c>
      <c r="X616" t="n">
        <v>0</v>
      </c>
      <c r="Y616" t="inlineStr">
        <is>
          <t>MXN</t>
        </is>
      </c>
      <c r="Z616" t="inlineStr">
        <is>
          <t>M3</t>
        </is>
      </c>
      <c r="AC616" t="n">
        <v>56103637</v>
      </c>
      <c r="AD616" t="n">
        <v>6622261540</v>
      </c>
      <c r="AE616" t="n">
        <v>1</v>
      </c>
      <c r="AF616" t="inlineStr">
        <is>
          <t>ENTREGADO</t>
        </is>
      </c>
      <c r="AG616" t="n">
        <v>1.3</v>
      </c>
      <c r="AH616" t="inlineStr">
        <is>
          <t>M3</t>
        </is>
      </c>
      <c r="AI616" t="inlineStr">
        <is>
          <t>X</t>
        </is>
      </c>
      <c r="AJ616" t="n">
        <v>4</v>
      </c>
      <c r="AK616" t="inlineStr">
        <is>
          <t>V4</t>
        </is>
      </c>
      <c r="AL616" t="n">
        <v>20230920</v>
      </c>
      <c r="AM616" t="inlineStr">
        <is>
          <t>D836-900001074-10172240</t>
        </is>
      </c>
    </row>
    <row r="617">
      <c r="A617" t="inlineStr">
        <is>
          <t>900003609D83610221141</t>
        </is>
      </c>
      <c r="B617" t="inlineStr">
        <is>
          <t>4600055079-10</t>
        </is>
      </c>
      <c r="C617" t="n">
        <v>4600055079</v>
      </c>
      <c r="D617" t="n">
        <v>10</v>
      </c>
      <c r="E617" t="inlineStr">
        <is>
          <t>MXPO</t>
        </is>
      </c>
      <c r="F617" t="inlineStr">
        <is>
          <t>MXL</t>
        </is>
      </c>
      <c r="G617" t="n">
        <v>900003609</v>
      </c>
      <c r="H617" t="inlineStr">
        <is>
          <t>TP-LA VALENCIANA</t>
        </is>
      </c>
      <c r="I617" t="n">
        <v>5005431</v>
      </c>
      <c r="J617" t="inlineStr">
        <is>
          <t>CANTERAS LA VALENCIANA SA DE CV</t>
        </is>
      </c>
      <c r="K617" t="inlineStr">
        <is>
          <t>Z03</t>
        </is>
      </c>
      <c r="L617" t="inlineStr">
        <is>
          <t>(AP) 15 Dias</t>
        </is>
      </c>
      <c r="M617" t="n">
        <v>10221141</v>
      </c>
      <c r="N617" t="inlineStr">
        <is>
          <t>GRAVA CALIZA COMBINADA "3/4 ""1 1/2"</t>
        </is>
      </c>
      <c r="O617" t="inlineStr">
        <is>
          <t>D836</t>
        </is>
      </c>
      <c r="P617" t="inlineStr">
        <is>
          <t>MX-CED. CENTRO</t>
        </is>
      </c>
      <c r="Q617" t="n">
        <v>20220901</v>
      </c>
      <c r="R617" t="n">
        <v>20271231</v>
      </c>
      <c r="S617" t="n">
        <v>20220901</v>
      </c>
      <c r="T617" t="n">
        <v>20271231</v>
      </c>
      <c r="U617" t="n">
        <v>154.24</v>
      </c>
      <c r="V617" t="inlineStr">
        <is>
          <t>MXN</t>
        </is>
      </c>
      <c r="W617" t="inlineStr">
        <is>
          <t>M3</t>
        </is>
      </c>
      <c r="X617" t="n">
        <v>0</v>
      </c>
      <c r="Y617" t="inlineStr">
        <is>
          <t>MXN</t>
        </is>
      </c>
      <c r="Z617" t="inlineStr">
        <is>
          <t>M3</t>
        </is>
      </c>
      <c r="AC617" t="n">
        <v>56103637</v>
      </c>
      <c r="AD617" t="n">
        <v>6622261540</v>
      </c>
      <c r="AE617" t="n">
        <v>2</v>
      </c>
      <c r="AF617" t="inlineStr">
        <is>
          <t>RECOGIDO</t>
        </is>
      </c>
      <c r="AG617" t="n">
        <v>1.53</v>
      </c>
      <c r="AH617" t="inlineStr">
        <is>
          <t>M3</t>
        </is>
      </c>
      <c r="AI617" t="inlineStr">
        <is>
          <t>X</t>
        </is>
      </c>
      <c r="AJ617" t="n">
        <v>4</v>
      </c>
      <c r="AK617" t="inlineStr">
        <is>
          <t>V4</t>
        </is>
      </c>
      <c r="AL617" t="n">
        <v>20230920</v>
      </c>
      <c r="AM617" t="inlineStr">
        <is>
          <t>D836-900003609-10221141</t>
        </is>
      </c>
    </row>
    <row r="618">
      <c r="A618" t="inlineStr">
        <is>
          <t>900003609D83610053281</t>
        </is>
      </c>
      <c r="B618" t="inlineStr">
        <is>
          <t>4600027606-140</t>
        </is>
      </c>
      <c r="C618" t="n">
        <v>4600027606</v>
      </c>
      <c r="D618" t="n">
        <v>140</v>
      </c>
      <c r="E618" t="inlineStr">
        <is>
          <t>MXPO</t>
        </is>
      </c>
      <c r="F618" t="inlineStr">
        <is>
          <t>M02</t>
        </is>
      </c>
      <c r="G618" t="n">
        <v>900003609</v>
      </c>
      <c r="H618" t="inlineStr">
        <is>
          <t>TP-LA VALENCIANA</t>
        </is>
      </c>
      <c r="I618" t="n">
        <v>5005431</v>
      </c>
      <c r="J618" t="inlineStr">
        <is>
          <t>CANTERAS LA VALENCIANA SA DE CV</t>
        </is>
      </c>
      <c r="K618" t="inlineStr">
        <is>
          <t>Z03</t>
        </is>
      </c>
      <c r="L618" t="inlineStr">
        <is>
          <t>(AP) 15 Dias</t>
        </is>
      </c>
      <c r="M618" t="n">
        <v>10053281</v>
      </c>
      <c r="N618" t="inlineStr">
        <is>
          <t>Grava Triturada Caliza 20 mm - 3/4"</t>
        </is>
      </c>
      <c r="O618" t="inlineStr">
        <is>
          <t>D836</t>
        </is>
      </c>
      <c r="P618" t="inlineStr">
        <is>
          <t>MX-CED. CENTRO</t>
        </is>
      </c>
      <c r="Q618" t="n">
        <v>20141106</v>
      </c>
      <c r="R618" t="n">
        <v>20281231</v>
      </c>
      <c r="S618" t="n">
        <v>20220516</v>
      </c>
      <c r="T618" t="n">
        <v>20271231</v>
      </c>
      <c r="U618" t="n">
        <v>154.24</v>
      </c>
      <c r="V618" t="inlineStr">
        <is>
          <t>MXN</t>
        </is>
      </c>
      <c r="W618" t="inlineStr">
        <is>
          <t>M3</t>
        </is>
      </c>
      <c r="X618" t="n">
        <v>0</v>
      </c>
      <c r="Y618" t="inlineStr">
        <is>
          <t>MXN</t>
        </is>
      </c>
      <c r="Z618" t="inlineStr">
        <is>
          <t>M3</t>
        </is>
      </c>
      <c r="AC618" t="n">
        <v>56103637</v>
      </c>
      <c r="AD618" t="n">
        <v>6622261540</v>
      </c>
      <c r="AE618" t="n">
        <v>1</v>
      </c>
      <c r="AF618" t="inlineStr">
        <is>
          <t>ENTREGADO</t>
        </is>
      </c>
      <c r="AG618" t="n">
        <v>1.375</v>
      </c>
      <c r="AH618" t="inlineStr">
        <is>
          <t>M3</t>
        </is>
      </c>
      <c r="AI618" t="inlineStr">
        <is>
          <t>X</t>
        </is>
      </c>
      <c r="AJ618" t="n">
        <v>4</v>
      </c>
      <c r="AK618" t="inlineStr">
        <is>
          <t>V4</t>
        </is>
      </c>
      <c r="AL618" t="n">
        <v>20230920</v>
      </c>
      <c r="AM618" t="inlineStr">
        <is>
          <t>D836-900003609-10053281</t>
        </is>
      </c>
    </row>
    <row r="619">
      <c r="A619" t="inlineStr">
        <is>
          <t>900001074D83610019515</t>
        </is>
      </c>
      <c r="B619" t="inlineStr">
        <is>
          <t>4600027573-190</t>
        </is>
      </c>
      <c r="C619" t="n">
        <v>4600027573</v>
      </c>
      <c r="D619" t="n">
        <v>190</v>
      </c>
      <c r="E619" t="inlineStr">
        <is>
          <t>MXPO</t>
        </is>
      </c>
      <c r="F619" t="inlineStr">
        <is>
          <t>M02</t>
        </is>
      </c>
      <c r="G619" t="n">
        <v>900001074</v>
      </c>
      <c r="H619" t="inlineStr">
        <is>
          <t>TP-TRIVOMEX</t>
        </is>
      </c>
      <c r="I619" t="n">
        <v>5033501</v>
      </c>
      <c r="J619" t="inlineStr">
        <is>
          <t>TRITURADOS VOLCANICOS DE MEXICO</t>
        </is>
      </c>
      <c r="K619" t="inlineStr">
        <is>
          <t>Z04</t>
        </is>
      </c>
      <c r="L619" t="inlineStr">
        <is>
          <t>(AP) 30 Dias</t>
        </is>
      </c>
      <c r="M619" t="n">
        <v>10019515</v>
      </c>
      <c r="N619" t="inlineStr">
        <is>
          <t>Grava Triturada Tezontle 20mm - 3/4"</t>
        </is>
      </c>
      <c r="O619" t="inlineStr">
        <is>
          <t>D836</t>
        </is>
      </c>
      <c r="P619" t="inlineStr">
        <is>
          <t>MX-CED. CENTRO</t>
        </is>
      </c>
      <c r="Q619" t="n">
        <v>20140701</v>
      </c>
      <c r="R619" t="n">
        <v>20291231</v>
      </c>
      <c r="S619" t="n">
        <v>20230623</v>
      </c>
      <c r="T619" t="n">
        <v>20281231</v>
      </c>
      <c r="U619" t="n">
        <v>130</v>
      </c>
      <c r="V619" t="inlineStr">
        <is>
          <t>MXN</t>
        </is>
      </c>
      <c r="W619" t="inlineStr">
        <is>
          <t>M3</t>
        </is>
      </c>
      <c r="X619" t="n">
        <v>0</v>
      </c>
      <c r="Y619" t="inlineStr">
        <is>
          <t>MXN</t>
        </is>
      </c>
      <c r="Z619" t="inlineStr">
        <is>
          <t>M3</t>
        </is>
      </c>
      <c r="AC619" t="n">
        <v>56103637</v>
      </c>
      <c r="AD619" t="n">
        <v>6622261540</v>
      </c>
      <c r="AE619" t="n">
        <v>1</v>
      </c>
      <c r="AF619" t="inlineStr">
        <is>
          <t>ENTREGADO</t>
        </is>
      </c>
      <c r="AG619" t="n">
        <v>1.3</v>
      </c>
      <c r="AH619" t="inlineStr">
        <is>
          <t>M3</t>
        </is>
      </c>
      <c r="AI619" t="inlineStr">
        <is>
          <t>X</t>
        </is>
      </c>
      <c r="AJ619" t="n">
        <v>4</v>
      </c>
      <c r="AK619" t="inlineStr">
        <is>
          <t>V4</t>
        </is>
      </c>
      <c r="AL619" t="n">
        <v>20250701</v>
      </c>
      <c r="AM619" t="inlineStr">
        <is>
          <t>D836-900001074-10019515</t>
        </is>
      </c>
    </row>
    <row r="620">
      <c r="A620" t="inlineStr">
        <is>
          <t>900001074D83610000140</t>
        </is>
      </c>
      <c r="B620" t="inlineStr">
        <is>
          <t>4600027573-210</t>
        </is>
      </c>
      <c r="C620" t="n">
        <v>4600027573</v>
      </c>
      <c r="D620" t="n">
        <v>210</v>
      </c>
      <c r="E620" t="inlineStr">
        <is>
          <t>MXPO</t>
        </is>
      </c>
      <c r="F620" t="inlineStr">
        <is>
          <t>M02</t>
        </is>
      </c>
      <c r="G620" t="n">
        <v>900001074</v>
      </c>
      <c r="H620" t="inlineStr">
        <is>
          <t>TP-TRIVOMEX</t>
        </is>
      </c>
      <c r="I620" t="n">
        <v>5033501</v>
      </c>
      <c r="J620" t="inlineStr">
        <is>
          <t>TRITURADOS VOLCANICOS DE MEXICO</t>
        </is>
      </c>
      <c r="K620" t="inlineStr">
        <is>
          <t>Z04</t>
        </is>
      </c>
      <c r="L620" t="inlineStr">
        <is>
          <t>(AP) 30 Dias</t>
        </is>
      </c>
      <c r="M620" t="n">
        <v>10000140</v>
      </c>
      <c r="N620" t="inlineStr">
        <is>
          <t>Grava Triturada Andesita 40 mm - 1 1/2"</t>
        </is>
      </c>
      <c r="O620" t="inlineStr">
        <is>
          <t>D836</t>
        </is>
      </c>
      <c r="P620" t="inlineStr">
        <is>
          <t>MX-CED. CENTRO</t>
        </is>
      </c>
      <c r="Q620" t="n">
        <v>20140701</v>
      </c>
      <c r="R620" t="n">
        <v>20291231</v>
      </c>
      <c r="S620" t="n">
        <v>20180302</v>
      </c>
      <c r="T620" t="n">
        <v>20241231</v>
      </c>
      <c r="U620" t="n">
        <v>90</v>
      </c>
      <c r="V620" t="inlineStr">
        <is>
          <t>MXN</t>
        </is>
      </c>
      <c r="W620" t="inlineStr">
        <is>
          <t>M3</t>
        </is>
      </c>
      <c r="X620" t="n">
        <v>0</v>
      </c>
      <c r="Y620" t="inlineStr">
        <is>
          <t>MXN</t>
        </is>
      </c>
      <c r="Z620" t="inlineStr">
        <is>
          <t>M3</t>
        </is>
      </c>
      <c r="AC620" t="n">
        <v>56103637</v>
      </c>
      <c r="AD620" t="n">
        <v>6622261540</v>
      </c>
      <c r="AE620" t="n">
        <v>1</v>
      </c>
      <c r="AF620" t="inlineStr">
        <is>
          <t>ENTREGADO</t>
        </is>
      </c>
      <c r="AG620" t="n">
        <v>1.29</v>
      </c>
      <c r="AH620" t="inlineStr">
        <is>
          <t>M3</t>
        </is>
      </c>
      <c r="AI620" t="inlineStr">
        <is>
          <t>X</t>
        </is>
      </c>
      <c r="AJ620" t="n">
        <v>4</v>
      </c>
      <c r="AK620" t="inlineStr">
        <is>
          <t>V4</t>
        </is>
      </c>
      <c r="AL620" t="n">
        <v>20230920</v>
      </c>
      <c r="AM620" t="inlineStr">
        <is>
          <t>D836-900001074-10000140</t>
        </is>
      </c>
    </row>
    <row r="621">
      <c r="A621" t="inlineStr">
        <is>
          <t>900001074D83610043251</t>
        </is>
      </c>
      <c r="B621" t="inlineStr">
        <is>
          <t>4600027573-310</t>
        </is>
      </c>
      <c r="C621" t="n">
        <v>4600027573</v>
      </c>
      <c r="D621" t="n">
        <v>310</v>
      </c>
      <c r="E621" t="inlineStr">
        <is>
          <t>MXPO</t>
        </is>
      </c>
      <c r="F621" t="inlineStr">
        <is>
          <t>M02</t>
        </is>
      </c>
      <c r="G621" t="n">
        <v>900001074</v>
      </c>
      <c r="H621" t="inlineStr">
        <is>
          <t>TP-TRIVOMEX</t>
        </is>
      </c>
      <c r="I621" t="n">
        <v>5033501</v>
      </c>
      <c r="J621" t="inlineStr">
        <is>
          <t>TRITURADOS VOLCANICOS DE MEXICO</t>
        </is>
      </c>
      <c r="K621" t="inlineStr">
        <is>
          <t>Z04</t>
        </is>
      </c>
      <c r="L621" t="inlineStr">
        <is>
          <t>(AP) 30 Dias</t>
        </is>
      </c>
      <c r="M621" t="n">
        <v>10043251</v>
      </c>
      <c r="N621" t="inlineStr">
        <is>
          <t>Base Estabilizada - Tepetate</t>
        </is>
      </c>
      <c r="O621" t="inlineStr">
        <is>
          <t>D836</t>
        </is>
      </c>
      <c r="P621" t="inlineStr">
        <is>
          <t>MX-CED. CENTRO</t>
        </is>
      </c>
      <c r="Q621" t="n">
        <v>20140701</v>
      </c>
      <c r="R621" t="n">
        <v>20291231</v>
      </c>
      <c r="S621" t="n">
        <v>20200529</v>
      </c>
      <c r="T621" t="n">
        <v>20291231</v>
      </c>
      <c r="U621" t="n">
        <v>100</v>
      </c>
      <c r="V621" t="inlineStr">
        <is>
          <t>MXN</t>
        </is>
      </c>
      <c r="W621" t="inlineStr">
        <is>
          <t>M3</t>
        </is>
      </c>
      <c r="X621" t="n">
        <v>0</v>
      </c>
      <c r="Y621" t="inlineStr">
        <is>
          <t>MXN</t>
        </is>
      </c>
      <c r="Z621" t="inlineStr">
        <is>
          <t>M3</t>
        </is>
      </c>
      <c r="AC621" t="n">
        <v>56103590</v>
      </c>
      <c r="AD621" t="n">
        <v>6622261540</v>
      </c>
      <c r="AE621" t="n">
        <v>1</v>
      </c>
      <c r="AF621" t="inlineStr">
        <is>
          <t>ENTREGADO</t>
        </is>
      </c>
      <c r="AG621" t="n">
        <v>1.5</v>
      </c>
      <c r="AH621" t="inlineStr">
        <is>
          <t>M3</t>
        </is>
      </c>
      <c r="AI621" t="inlineStr">
        <is>
          <t>X</t>
        </is>
      </c>
      <c r="AJ621" t="n">
        <v>4</v>
      </c>
      <c r="AK621" t="inlineStr">
        <is>
          <t>V4</t>
        </is>
      </c>
      <c r="AL621" t="n">
        <v>20250701</v>
      </c>
      <c r="AM621" t="inlineStr">
        <is>
          <t>D836-900001074-10043251</t>
        </is>
      </c>
    </row>
    <row r="622">
      <c r="A622" t="inlineStr">
        <is>
          <t>900001074D83610175723</t>
        </is>
      </c>
      <c r="B622" t="inlineStr">
        <is>
          <t>4600027573-380</t>
        </is>
      </c>
      <c r="C622" t="n">
        <v>4600027573</v>
      </c>
      <c r="D622" t="n">
        <v>380</v>
      </c>
      <c r="E622" t="inlineStr">
        <is>
          <t>MXPO</t>
        </is>
      </c>
      <c r="F622" t="inlineStr">
        <is>
          <t>M02</t>
        </is>
      </c>
      <c r="G622" t="n">
        <v>900001074</v>
      </c>
      <c r="H622" t="inlineStr">
        <is>
          <t>TP-TRIVOMEX</t>
        </is>
      </c>
      <c r="I622" t="n">
        <v>5033501</v>
      </c>
      <c r="J622" t="inlineStr">
        <is>
          <t>TRITURADOS VOLCANICOS DE MEXICO</t>
        </is>
      </c>
      <c r="K622" t="inlineStr">
        <is>
          <t>Z04</t>
        </is>
      </c>
      <c r="L622" t="inlineStr">
        <is>
          <t>(AP) 30 Dias</t>
        </is>
      </c>
      <c r="M622" t="n">
        <v>10175723</v>
      </c>
      <c r="N622" t="inlineStr">
        <is>
          <t>BASE HIDRAULICA ANDESITA DE 1 1/2" A FIN</t>
        </is>
      </c>
      <c r="O622" t="inlineStr">
        <is>
          <t>D836</t>
        </is>
      </c>
      <c r="P622" t="inlineStr">
        <is>
          <t>MX-CED. CENTRO</t>
        </is>
      </c>
      <c r="Q622" t="n">
        <v>20140701</v>
      </c>
      <c r="R622" t="n">
        <v>20291231</v>
      </c>
      <c r="S622" t="n">
        <v>20230301</v>
      </c>
      <c r="T622" t="n">
        <v>20281231</v>
      </c>
      <c r="U622" t="n">
        <v>120</v>
      </c>
      <c r="V622" t="inlineStr">
        <is>
          <t>MXN</t>
        </is>
      </c>
      <c r="W622" t="inlineStr">
        <is>
          <t>M3</t>
        </is>
      </c>
      <c r="X622" t="n">
        <v>0</v>
      </c>
      <c r="Y622" t="inlineStr">
        <is>
          <t>MXN</t>
        </is>
      </c>
      <c r="Z622" t="inlineStr">
        <is>
          <t>M3</t>
        </is>
      </c>
      <c r="AC622" t="n">
        <v>56103590</v>
      </c>
      <c r="AD622" t="n">
        <v>6622261540</v>
      </c>
      <c r="AE622" t="n">
        <v>1</v>
      </c>
      <c r="AF622" t="inlineStr">
        <is>
          <t>ENTREGADO</t>
        </is>
      </c>
      <c r="AG622" t="n">
        <v>1.65</v>
      </c>
      <c r="AH622" t="inlineStr">
        <is>
          <t>M3</t>
        </is>
      </c>
      <c r="AI622" t="inlineStr">
        <is>
          <t>X</t>
        </is>
      </c>
      <c r="AJ622" t="n">
        <v>4</v>
      </c>
      <c r="AK622" t="inlineStr">
        <is>
          <t>V4</t>
        </is>
      </c>
      <c r="AL622" t="n">
        <v>20230920</v>
      </c>
      <c r="AM622" t="inlineStr">
        <is>
          <t>D836-900001074-10175723</t>
        </is>
      </c>
    </row>
    <row r="623">
      <c r="A623" t="inlineStr">
        <is>
          <t>900004365D8366591131310149994</t>
        </is>
      </c>
      <c r="B623" t="inlineStr">
        <is>
          <t>4600053008-190</t>
        </is>
      </c>
      <c r="C623" t="n">
        <v>4600053008</v>
      </c>
      <c r="D623" t="n">
        <v>190</v>
      </c>
      <c r="E623" t="inlineStr">
        <is>
          <t>MXPO</t>
        </is>
      </c>
      <c r="F623" t="inlineStr">
        <is>
          <t>MXL</t>
        </is>
      </c>
      <c r="G623" t="n">
        <v>900004365</v>
      </c>
      <c r="H623" t="inlineStr">
        <is>
          <t>TP-ED-DOS CERROS</t>
        </is>
      </c>
      <c r="I623" t="n">
        <v>5036168</v>
      </c>
      <c r="J623" t="inlineStr">
        <is>
          <t>TRITURADOS DOS CERROS SA DE CV</t>
        </is>
      </c>
      <c r="K623" t="inlineStr">
        <is>
          <t>Z04</t>
        </is>
      </c>
      <c r="L623" t="inlineStr">
        <is>
          <t>(AP) 30 Dias</t>
        </is>
      </c>
      <c r="M623" t="n">
        <v>10149994</v>
      </c>
      <c r="N623" t="inlineStr">
        <is>
          <t>ARENA TRITURADA ANDESITA MALLA 4</t>
        </is>
      </c>
      <c r="O623" t="inlineStr">
        <is>
          <t>D836</t>
        </is>
      </c>
      <c r="P623" t="inlineStr">
        <is>
          <t>MX-CED. CENTRO</t>
        </is>
      </c>
      <c r="Q623" t="n">
        <v>20220128</v>
      </c>
      <c r="R623" t="n">
        <v>20281231</v>
      </c>
      <c r="S623" t="n">
        <v>20240509</v>
      </c>
      <c r="T623" t="n">
        <v>20291231</v>
      </c>
      <c r="U623" t="n">
        <v>309</v>
      </c>
      <c r="V623" t="inlineStr">
        <is>
          <t>MXN</t>
        </is>
      </c>
      <c r="W623" t="inlineStr">
        <is>
          <t>M3</t>
        </is>
      </c>
      <c r="X623" t="n">
        <v>214</v>
      </c>
      <c r="Y623" t="inlineStr">
        <is>
          <t>MXN</t>
        </is>
      </c>
      <c r="Z623" t="inlineStr">
        <is>
          <t>M3</t>
        </is>
      </c>
      <c r="AA623" t="inlineStr">
        <is>
          <t>65911313</t>
        </is>
      </c>
      <c r="AB623" t="inlineStr">
        <is>
          <t>OBR AGR GABINO VELAZQUEZ AGG (RRL)</t>
        </is>
      </c>
      <c r="AC623" t="n">
        <v>56103638</v>
      </c>
      <c r="AD623" t="n">
        <v>6622261540</v>
      </c>
      <c r="AE623" t="n">
        <v>4</v>
      </c>
      <c r="AF623" t="inlineStr">
        <is>
          <t>ENTREGA DIRECTA</t>
        </is>
      </c>
      <c r="AG623" t="n">
        <v>1.47</v>
      </c>
      <c r="AH623" t="inlineStr">
        <is>
          <t>M3</t>
        </is>
      </c>
      <c r="AI623" t="inlineStr">
        <is>
          <t>X</t>
        </is>
      </c>
      <c r="AJ623" t="n">
        <v>4</v>
      </c>
      <c r="AK623" t="inlineStr">
        <is>
          <t>V4</t>
        </is>
      </c>
      <c r="AL623" t="n">
        <v>20240515</v>
      </c>
      <c r="AM623" t="inlineStr">
        <is>
          <t>D836-900004365-65911313-10149994-4</t>
        </is>
      </c>
    </row>
    <row r="624">
      <c r="A624" t="inlineStr">
        <is>
          <t>900004365D8366591131310000357</t>
        </is>
      </c>
      <c r="B624" t="inlineStr">
        <is>
          <t>4600053008-220</t>
        </is>
      </c>
      <c r="C624" t="n">
        <v>4600053008</v>
      </c>
      <c r="D624" t="n">
        <v>220</v>
      </c>
      <c r="E624" t="inlineStr">
        <is>
          <t>MXPO</t>
        </is>
      </c>
      <c r="F624" t="inlineStr">
        <is>
          <t>MXL</t>
        </is>
      </c>
      <c r="G624" t="n">
        <v>900004365</v>
      </c>
      <c r="H624" t="inlineStr">
        <is>
          <t>TP-ED-DOS CERROS</t>
        </is>
      </c>
      <c r="I624" t="n">
        <v>5036168</v>
      </c>
      <c r="J624" t="inlineStr">
        <is>
          <t>TRITURADOS DOS CERROS SA DE CV</t>
        </is>
      </c>
      <c r="K624" t="inlineStr">
        <is>
          <t>Z04</t>
        </is>
      </c>
      <c r="L624" t="inlineStr">
        <is>
          <t>(AP) 30 Dias</t>
        </is>
      </c>
      <c r="M624" t="n">
        <v>10000357</v>
      </c>
      <c r="N624" t="inlineStr">
        <is>
          <t>Grava Triturada Andesita 20 mm - 3/4"</t>
        </is>
      </c>
      <c r="O624" t="inlineStr">
        <is>
          <t>D836</t>
        </is>
      </c>
      <c r="P624" t="inlineStr">
        <is>
          <t>MX-CED. CENTRO</t>
        </is>
      </c>
      <c r="Q624" t="n">
        <v>20220128</v>
      </c>
      <c r="R624" t="n">
        <v>20281231</v>
      </c>
      <c r="S624" t="n">
        <v>20240509</v>
      </c>
      <c r="T624" t="n">
        <v>20291231</v>
      </c>
      <c r="U624" t="n">
        <v>329</v>
      </c>
      <c r="V624" t="inlineStr">
        <is>
          <t>MXN</t>
        </is>
      </c>
      <c r="W624" t="inlineStr">
        <is>
          <t>M3</t>
        </is>
      </c>
      <c r="X624" t="n">
        <v>214</v>
      </c>
      <c r="Y624" t="inlineStr">
        <is>
          <t>MXN</t>
        </is>
      </c>
      <c r="Z624" t="inlineStr">
        <is>
          <t>M3</t>
        </is>
      </c>
      <c r="AA624" t="inlineStr">
        <is>
          <t>65911313</t>
        </is>
      </c>
      <c r="AB624" t="inlineStr">
        <is>
          <t>OBR AGR GABINO VELAZQUEZ AGG (RRL)</t>
        </is>
      </c>
      <c r="AC624" t="n">
        <v>56103637</v>
      </c>
      <c r="AD624" t="n">
        <v>6622261540</v>
      </c>
      <c r="AE624" t="n">
        <v>4</v>
      </c>
      <c r="AF624" t="inlineStr">
        <is>
          <t>ENTREGA DIRECTA</t>
        </is>
      </c>
      <c r="AG624" t="n">
        <v>1.326</v>
      </c>
      <c r="AH624" t="inlineStr">
        <is>
          <t>M3</t>
        </is>
      </c>
      <c r="AI624" t="inlineStr">
        <is>
          <t>X</t>
        </is>
      </c>
      <c r="AJ624" t="n">
        <v>4</v>
      </c>
      <c r="AK624" t="inlineStr">
        <is>
          <t>V4</t>
        </is>
      </c>
      <c r="AL624" t="n">
        <v>20240515</v>
      </c>
      <c r="AM624" t="inlineStr">
        <is>
          <t>D836-900004365-65911313-10000357-4</t>
        </is>
      </c>
    </row>
    <row r="625">
      <c r="A625" t="inlineStr">
        <is>
          <t>900004365D8366540606210000357</t>
        </is>
      </c>
      <c r="B625" t="inlineStr">
        <is>
          <t>4600053008-210</t>
        </is>
      </c>
      <c r="C625" t="n">
        <v>4600053008</v>
      </c>
      <c r="D625" t="n">
        <v>210</v>
      </c>
      <c r="E625" t="inlineStr">
        <is>
          <t>MXPO</t>
        </is>
      </c>
      <c r="F625" t="inlineStr">
        <is>
          <t>MXL</t>
        </is>
      </c>
      <c r="G625" t="n">
        <v>900004365</v>
      </c>
      <c r="H625" t="inlineStr">
        <is>
          <t>TP-ED-DOS CERROS</t>
        </is>
      </c>
      <c r="I625" t="n">
        <v>5036168</v>
      </c>
      <c r="J625" t="inlineStr">
        <is>
          <t>TRITURADOS DOS CERROS SA DE CV</t>
        </is>
      </c>
      <c r="K625" t="inlineStr">
        <is>
          <t>Z04</t>
        </is>
      </c>
      <c r="L625" t="inlineStr">
        <is>
          <t>(AP) 30 Dias</t>
        </is>
      </c>
      <c r="M625" t="n">
        <v>10000357</v>
      </c>
      <c r="N625" t="inlineStr">
        <is>
          <t>Grava Triturada Andesita 20 mm - 3/4"</t>
        </is>
      </c>
      <c r="O625" t="inlineStr">
        <is>
          <t>D836</t>
        </is>
      </c>
      <c r="P625" t="inlineStr">
        <is>
          <t>MX-CED. CENTRO</t>
        </is>
      </c>
      <c r="Q625" t="n">
        <v>20220128</v>
      </c>
      <c r="R625" t="n">
        <v>20281231</v>
      </c>
      <c r="S625" t="n">
        <v>20240509</v>
      </c>
      <c r="T625" t="n">
        <v>20291231</v>
      </c>
      <c r="U625" t="n">
        <v>329</v>
      </c>
      <c r="V625" t="inlineStr">
        <is>
          <t>MXN</t>
        </is>
      </c>
      <c r="W625" t="inlineStr">
        <is>
          <t>M3</t>
        </is>
      </c>
      <c r="X625" t="n">
        <v>214</v>
      </c>
      <c r="Y625" t="inlineStr">
        <is>
          <t>MXN</t>
        </is>
      </c>
      <c r="Z625" t="inlineStr">
        <is>
          <t>M3</t>
        </is>
      </c>
      <c r="AA625" t="inlineStr">
        <is>
          <t>65406062</t>
        </is>
      </c>
      <c r="AB625" t="inlineStr">
        <is>
          <t>JUAN JESUS ESCAMILLA SILIS</t>
        </is>
      </c>
      <c r="AC625" t="n">
        <v>56103637</v>
      </c>
      <c r="AD625" t="n">
        <v>6622261540</v>
      </c>
      <c r="AE625" t="n">
        <v>4</v>
      </c>
      <c r="AF625" t="inlineStr">
        <is>
          <t>ENTREGA DIRECTA</t>
        </is>
      </c>
      <c r="AG625" t="n">
        <v>1.326</v>
      </c>
      <c r="AH625" t="inlineStr">
        <is>
          <t>M3</t>
        </is>
      </c>
      <c r="AI625" t="inlineStr">
        <is>
          <t>X</t>
        </is>
      </c>
      <c r="AJ625" t="n">
        <v>4</v>
      </c>
      <c r="AK625" t="inlineStr">
        <is>
          <t>V4</t>
        </is>
      </c>
      <c r="AL625" t="n">
        <v>20240515</v>
      </c>
      <c r="AM625" t="inlineStr">
        <is>
          <t>D836-900004365-65406062-10000357-4</t>
        </is>
      </c>
    </row>
    <row r="626">
      <c r="A626" t="inlineStr">
        <is>
          <t>900001074D83610000627</t>
        </is>
      </c>
      <c r="B626" t="inlineStr">
        <is>
          <t>4600027573-100</t>
        </is>
      </c>
      <c r="C626" t="n">
        <v>4600027573</v>
      </c>
      <c r="D626" t="n">
        <v>100</v>
      </c>
      <c r="E626" t="inlineStr">
        <is>
          <t>MXPO</t>
        </is>
      </c>
      <c r="F626" t="inlineStr">
        <is>
          <t>M02</t>
        </is>
      </c>
      <c r="G626" t="n">
        <v>900001074</v>
      </c>
      <c r="H626" t="inlineStr">
        <is>
          <t>TP-TRIVOMEX</t>
        </is>
      </c>
      <c r="I626" t="n">
        <v>5033501</v>
      </c>
      <c r="J626" t="inlineStr">
        <is>
          <t>TRITURADOS VOLCANICOS DE MEXICO</t>
        </is>
      </c>
      <c r="K626" t="inlineStr">
        <is>
          <t>Z04</t>
        </is>
      </c>
      <c r="L626" t="inlineStr">
        <is>
          <t>(AP) 30 Dias</t>
        </is>
      </c>
      <c r="M626" t="n">
        <v>10000627</v>
      </c>
      <c r="N626" t="inlineStr">
        <is>
          <t>Grava Triturada Andesita 10 mm - 3/8"</t>
        </is>
      </c>
      <c r="O626" t="inlineStr">
        <is>
          <t>D836</t>
        </is>
      </c>
      <c r="P626" t="inlineStr">
        <is>
          <t>MX-CED. CENTRO</t>
        </is>
      </c>
      <c r="Q626" t="n">
        <v>20140701</v>
      </c>
      <c r="R626" t="n">
        <v>20291231</v>
      </c>
      <c r="S626" t="n">
        <v>20240408</v>
      </c>
      <c r="T626" t="n">
        <v>20291231</v>
      </c>
      <c r="U626" t="n">
        <v>85</v>
      </c>
      <c r="V626" t="inlineStr">
        <is>
          <t>MXN</t>
        </is>
      </c>
      <c r="W626" t="inlineStr">
        <is>
          <t>M3</t>
        </is>
      </c>
      <c r="X626" t="n">
        <v>0</v>
      </c>
      <c r="Y626" t="inlineStr">
        <is>
          <t>MXN</t>
        </is>
      </c>
      <c r="Z626" t="inlineStr">
        <is>
          <t>M3</t>
        </is>
      </c>
      <c r="AC626" t="n">
        <v>56103637</v>
      </c>
      <c r="AD626" t="n">
        <v>6622261540</v>
      </c>
      <c r="AE626" t="n">
        <v>1</v>
      </c>
      <c r="AF626" t="inlineStr">
        <is>
          <t>ENTREGADO</t>
        </is>
      </c>
      <c r="AG626" t="n">
        <v>1.33</v>
      </c>
      <c r="AH626" t="inlineStr">
        <is>
          <t>M3</t>
        </is>
      </c>
      <c r="AI626" t="inlineStr">
        <is>
          <t>X</t>
        </is>
      </c>
      <c r="AJ626" t="n">
        <v>4</v>
      </c>
      <c r="AK626" t="inlineStr">
        <is>
          <t>V4</t>
        </is>
      </c>
      <c r="AL626" t="n">
        <v>20250701</v>
      </c>
      <c r="AM626" t="inlineStr">
        <is>
          <t>D836-900001074-10000627</t>
        </is>
      </c>
    </row>
    <row r="627">
      <c r="A627" t="inlineStr">
        <is>
          <t>900004365D8366540606210149994</t>
        </is>
      </c>
      <c r="B627" t="inlineStr">
        <is>
          <t>4600053008-180</t>
        </is>
      </c>
      <c r="C627" t="n">
        <v>4600053008</v>
      </c>
      <c r="D627" t="n">
        <v>180</v>
      </c>
      <c r="E627" t="inlineStr">
        <is>
          <t>MXPO</t>
        </is>
      </c>
      <c r="F627" t="inlineStr">
        <is>
          <t>MXL</t>
        </is>
      </c>
      <c r="G627" t="n">
        <v>900004365</v>
      </c>
      <c r="H627" t="inlineStr">
        <is>
          <t>TP-ED-DOS CERROS</t>
        </is>
      </c>
      <c r="I627" t="n">
        <v>5036168</v>
      </c>
      <c r="J627" t="inlineStr">
        <is>
          <t>TRITURADOS DOS CERROS SA DE CV</t>
        </is>
      </c>
      <c r="K627" t="inlineStr">
        <is>
          <t>Z04</t>
        </is>
      </c>
      <c r="L627" t="inlineStr">
        <is>
          <t>(AP) 30 Dias</t>
        </is>
      </c>
      <c r="M627" t="n">
        <v>10149994</v>
      </c>
      <c r="N627" t="inlineStr">
        <is>
          <t>ARENA TRITURADA ANDESITA MALLA 4</t>
        </is>
      </c>
      <c r="O627" t="inlineStr">
        <is>
          <t>D836</t>
        </is>
      </c>
      <c r="P627" t="inlineStr">
        <is>
          <t>MX-CED. CENTRO</t>
        </is>
      </c>
      <c r="Q627" t="n">
        <v>20220128</v>
      </c>
      <c r="R627" t="n">
        <v>20281231</v>
      </c>
      <c r="S627" t="n">
        <v>20240509</v>
      </c>
      <c r="T627" t="n">
        <v>20291231</v>
      </c>
      <c r="U627" t="n">
        <v>309</v>
      </c>
      <c r="V627" t="inlineStr">
        <is>
          <t>MXN</t>
        </is>
      </c>
      <c r="W627" t="inlineStr">
        <is>
          <t>M3</t>
        </is>
      </c>
      <c r="X627" t="n">
        <v>214</v>
      </c>
      <c r="Y627" t="inlineStr">
        <is>
          <t>MXN</t>
        </is>
      </c>
      <c r="Z627" t="inlineStr">
        <is>
          <t>M3</t>
        </is>
      </c>
      <c r="AA627" t="inlineStr">
        <is>
          <t>65406062</t>
        </is>
      </c>
      <c r="AB627" t="inlineStr">
        <is>
          <t>JUAN JESUS ESCAMILLA SILIS</t>
        </is>
      </c>
      <c r="AC627" t="n">
        <v>56103638</v>
      </c>
      <c r="AD627" t="n">
        <v>6622261540</v>
      </c>
      <c r="AE627" t="n">
        <v>4</v>
      </c>
      <c r="AF627" t="inlineStr">
        <is>
          <t>ENTREGA DIRECTA</t>
        </is>
      </c>
      <c r="AG627" t="n">
        <v>1.47</v>
      </c>
      <c r="AH627" t="inlineStr">
        <is>
          <t>M3</t>
        </is>
      </c>
      <c r="AI627" t="inlineStr">
        <is>
          <t>X</t>
        </is>
      </c>
      <c r="AJ627" t="n">
        <v>4</v>
      </c>
      <c r="AK627" t="inlineStr">
        <is>
          <t>V4</t>
        </is>
      </c>
      <c r="AL627" t="n">
        <v>20240515</v>
      </c>
      <c r="AM627" t="inlineStr">
        <is>
          <t>D836-900004365-65406062-10149994-4</t>
        </is>
      </c>
    </row>
    <row r="628">
      <c r="A628" t="inlineStr">
        <is>
          <t>900004365D8366540606410149994</t>
        </is>
      </c>
      <c r="B628" t="inlineStr">
        <is>
          <t>4600053008-170</t>
        </is>
      </c>
      <c r="C628" t="n">
        <v>4600053008</v>
      </c>
      <c r="D628" t="n">
        <v>170</v>
      </c>
      <c r="E628" t="inlineStr">
        <is>
          <t>MXPO</t>
        </is>
      </c>
      <c r="F628" t="inlineStr">
        <is>
          <t>MXL</t>
        </is>
      </c>
      <c r="G628" t="n">
        <v>900004365</v>
      </c>
      <c r="H628" t="inlineStr">
        <is>
          <t>TP-ED-DOS CERROS</t>
        </is>
      </c>
      <c r="I628" t="n">
        <v>5036168</v>
      </c>
      <c r="J628" t="inlineStr">
        <is>
          <t>TRITURADOS DOS CERROS SA DE CV</t>
        </is>
      </c>
      <c r="K628" t="inlineStr">
        <is>
          <t>Z04</t>
        </is>
      </c>
      <c r="L628" t="inlineStr">
        <is>
          <t>(AP) 30 Dias</t>
        </is>
      </c>
      <c r="M628" t="n">
        <v>10149994</v>
      </c>
      <c r="N628" t="inlineStr">
        <is>
          <t>ARENA TRITURADA ANDESITA MALLA 4</t>
        </is>
      </c>
      <c r="O628" t="inlineStr">
        <is>
          <t>D836</t>
        </is>
      </c>
      <c r="P628" t="inlineStr">
        <is>
          <t>MX-CED. CENTRO</t>
        </is>
      </c>
      <c r="Q628" t="n">
        <v>20220128</v>
      </c>
      <c r="R628" t="n">
        <v>20281231</v>
      </c>
      <c r="S628" t="n">
        <v>20240509</v>
      </c>
      <c r="T628" t="n">
        <v>20291231</v>
      </c>
      <c r="U628" t="n">
        <v>309</v>
      </c>
      <c r="V628" t="inlineStr">
        <is>
          <t>MXN</t>
        </is>
      </c>
      <c r="W628" t="inlineStr">
        <is>
          <t>M3</t>
        </is>
      </c>
      <c r="X628" t="n">
        <v>214</v>
      </c>
      <c r="Y628" t="inlineStr">
        <is>
          <t>MXN</t>
        </is>
      </c>
      <c r="Z628" t="inlineStr">
        <is>
          <t>M3</t>
        </is>
      </c>
      <c r="AA628" t="inlineStr">
        <is>
          <t>65406064</t>
        </is>
      </c>
      <c r="AB628" t="inlineStr">
        <is>
          <t>CONSTRURAMA PRESIDENTES</t>
        </is>
      </c>
      <c r="AC628" t="n">
        <v>56103638</v>
      </c>
      <c r="AD628" t="n">
        <v>6622261540</v>
      </c>
      <c r="AE628" t="n">
        <v>4</v>
      </c>
      <c r="AF628" t="inlineStr">
        <is>
          <t>ENTREGA DIRECTA</t>
        </is>
      </c>
      <c r="AG628" t="n">
        <v>1.47</v>
      </c>
      <c r="AH628" t="inlineStr">
        <is>
          <t>M3</t>
        </is>
      </c>
      <c r="AI628" t="inlineStr">
        <is>
          <t>X</t>
        </is>
      </c>
      <c r="AJ628" t="n">
        <v>4</v>
      </c>
      <c r="AK628" t="inlineStr">
        <is>
          <t>V4</t>
        </is>
      </c>
      <c r="AL628" t="n">
        <v>20240515</v>
      </c>
      <c r="AM628" t="inlineStr">
        <is>
          <t>D836-900004365-65406064-10149994-4</t>
        </is>
      </c>
    </row>
    <row r="629">
      <c r="A629" t="inlineStr">
        <is>
          <t>900006542D8366720863810000623</t>
        </is>
      </c>
      <c r="B629" t="inlineStr">
        <is>
          <t>4600068541-50</t>
        </is>
      </c>
      <c r="C629" t="n">
        <v>4600068541</v>
      </c>
      <c r="D629" t="n">
        <v>50</v>
      </c>
      <c r="E629" t="inlineStr">
        <is>
          <t>MXPO</t>
        </is>
      </c>
      <c r="F629" t="inlineStr">
        <is>
          <t>MXL</t>
        </is>
      </c>
      <c r="G629" t="n">
        <v>900006542</v>
      </c>
      <c r="H629" t="inlineStr">
        <is>
          <t>TP-OLIELL TORTON</t>
        </is>
      </c>
      <c r="I629" t="n">
        <v>5048484</v>
      </c>
      <c r="J629" t="inlineStr">
        <is>
          <t>COMERCIALIZADORA Y TRANSPORTADORA O</t>
        </is>
      </c>
      <c r="K629" t="inlineStr">
        <is>
          <t>N90</t>
        </is>
      </c>
      <c r="L629" t="inlineStr">
        <is>
          <t>(AP) NAFIN 90 Dias</t>
        </is>
      </c>
      <c r="M629" t="n">
        <v>10000623</v>
      </c>
      <c r="N629" t="inlineStr">
        <is>
          <t>Grava Triturada Caliza 10 mm - 3/8"</t>
        </is>
      </c>
      <c r="O629" t="inlineStr">
        <is>
          <t>D836</t>
        </is>
      </c>
      <c r="P629" t="inlineStr">
        <is>
          <t>MX-CED. CENTRO</t>
        </is>
      </c>
      <c r="Q629" t="n">
        <v>20230927</v>
      </c>
      <c r="R629" t="n">
        <v>20281231</v>
      </c>
      <c r="S629" t="n">
        <v>20260328</v>
      </c>
      <c r="T629" t="n">
        <v>20301231</v>
      </c>
      <c r="U629" t="n">
        <v>1036.42</v>
      </c>
      <c r="V629" t="inlineStr">
        <is>
          <t>MXN</t>
        </is>
      </c>
      <c r="W629" t="inlineStr">
        <is>
          <t>M3</t>
        </is>
      </c>
      <c r="X629" t="n">
        <v>736.42</v>
      </c>
      <c r="Y629" t="inlineStr">
        <is>
          <t>MXN</t>
        </is>
      </c>
      <c r="Z629" t="inlineStr">
        <is>
          <t>M3</t>
        </is>
      </c>
      <c r="AA629" t="inlineStr">
        <is>
          <t>67208638</t>
        </is>
      </c>
      <c r="AB629" t="inlineStr">
        <is>
          <t>GAMI Túnel Línea 12</t>
        </is>
      </c>
      <c r="AC629" t="n">
        <v>56103637</v>
      </c>
      <c r="AD629" t="n">
        <v>6622261540</v>
      </c>
      <c r="AE629" t="n">
        <v>4</v>
      </c>
      <c r="AF629" t="inlineStr">
        <is>
          <t>ENTREGA DIRECTA</t>
        </is>
      </c>
      <c r="AG629" t="n">
        <v>1.41</v>
      </c>
      <c r="AH629" t="inlineStr">
        <is>
          <t>M3</t>
        </is>
      </c>
      <c r="AI629" t="inlineStr">
        <is>
          <t>X</t>
        </is>
      </c>
      <c r="AJ629" t="n">
        <v>4</v>
      </c>
      <c r="AK629" t="inlineStr">
        <is>
          <t>V4</t>
        </is>
      </c>
      <c r="AL629" t="n">
        <v>20260331</v>
      </c>
      <c r="AM629" t="inlineStr">
        <is>
          <t>D836-900006542-67208638-10000623-4</t>
        </is>
      </c>
    </row>
    <row r="630">
      <c r="A630" t="inlineStr">
        <is>
          <t>900004365D8366540606410000357</t>
        </is>
      </c>
      <c r="B630" t="inlineStr">
        <is>
          <t>4600053008-200</t>
        </is>
      </c>
      <c r="C630" t="n">
        <v>4600053008</v>
      </c>
      <c r="D630" t="n">
        <v>200</v>
      </c>
      <c r="E630" t="inlineStr">
        <is>
          <t>MXPO</t>
        </is>
      </c>
      <c r="F630" t="inlineStr">
        <is>
          <t>MXL</t>
        </is>
      </c>
      <c r="G630" t="n">
        <v>900004365</v>
      </c>
      <c r="H630" t="inlineStr">
        <is>
          <t>TP-ED-DOS CERROS</t>
        </is>
      </c>
      <c r="I630" t="n">
        <v>5036168</v>
      </c>
      <c r="J630" t="inlineStr">
        <is>
          <t>TRITURADOS DOS CERROS SA DE CV</t>
        </is>
      </c>
      <c r="K630" t="inlineStr">
        <is>
          <t>Z04</t>
        </is>
      </c>
      <c r="L630" t="inlineStr">
        <is>
          <t>(AP) 30 Dias</t>
        </is>
      </c>
      <c r="M630" t="n">
        <v>10000357</v>
      </c>
      <c r="N630" t="inlineStr">
        <is>
          <t>Grava Triturada Andesita 20 mm - 3/4"</t>
        </is>
      </c>
      <c r="O630" t="inlineStr">
        <is>
          <t>D836</t>
        </is>
      </c>
      <c r="P630" t="inlineStr">
        <is>
          <t>MX-CED. CENTRO</t>
        </is>
      </c>
      <c r="Q630" t="n">
        <v>20220128</v>
      </c>
      <c r="R630" t="n">
        <v>20281231</v>
      </c>
      <c r="S630" t="n">
        <v>20240509</v>
      </c>
      <c r="T630" t="n">
        <v>20291231</v>
      </c>
      <c r="U630" t="n">
        <v>329</v>
      </c>
      <c r="V630" t="inlineStr">
        <is>
          <t>MXN</t>
        </is>
      </c>
      <c r="W630" t="inlineStr">
        <is>
          <t>M3</t>
        </is>
      </c>
      <c r="X630" t="n">
        <v>214</v>
      </c>
      <c r="Y630" t="inlineStr">
        <is>
          <t>MXN</t>
        </is>
      </c>
      <c r="Z630" t="inlineStr">
        <is>
          <t>M3</t>
        </is>
      </c>
      <c r="AA630" t="inlineStr">
        <is>
          <t>65406064</t>
        </is>
      </c>
      <c r="AB630" t="inlineStr">
        <is>
          <t>CONSTRURAMA PRESIDENTES</t>
        </is>
      </c>
      <c r="AC630" t="n">
        <v>56103637</v>
      </c>
      <c r="AD630" t="n">
        <v>6622261540</v>
      </c>
      <c r="AE630" t="n">
        <v>4</v>
      </c>
      <c r="AF630" t="inlineStr">
        <is>
          <t>ENTREGA DIRECTA</t>
        </is>
      </c>
      <c r="AG630" t="n">
        <v>1.326</v>
      </c>
      <c r="AH630" t="inlineStr">
        <is>
          <t>M3</t>
        </is>
      </c>
      <c r="AI630" t="inlineStr">
        <is>
          <t>X</t>
        </is>
      </c>
      <c r="AJ630" t="n">
        <v>4</v>
      </c>
      <c r="AK630" t="inlineStr">
        <is>
          <t>V4</t>
        </is>
      </c>
      <c r="AL630" t="n">
        <v>20240515</v>
      </c>
      <c r="AM630" t="inlineStr">
        <is>
          <t>D836-900004365-65406064-10000357-4</t>
        </is>
      </c>
    </row>
    <row r="631">
      <c r="A631" t="inlineStr">
        <is>
          <t>900006371D8366592519410000160</t>
        </is>
      </c>
      <c r="B631" t="inlineStr">
        <is>
          <t>4600048255-280</t>
        </is>
      </c>
      <c r="C631" t="n">
        <v>4600048255</v>
      </c>
      <c r="D631" t="n">
        <v>280</v>
      </c>
      <c r="E631" t="inlineStr">
        <is>
          <t>MXPO</t>
        </is>
      </c>
      <c r="F631" t="inlineStr">
        <is>
          <t>MXL</t>
        </is>
      </c>
      <c r="G631" t="n">
        <v>900006371</v>
      </c>
      <c r="H631" t="inlineStr">
        <is>
          <t>SF TP-ED-TRIVOMEX</t>
        </is>
      </c>
      <c r="I631" t="n">
        <v>5033501</v>
      </c>
      <c r="J631" t="inlineStr">
        <is>
          <t>TRITURADOS VOLCANICOS DE MEXICO</t>
        </is>
      </c>
      <c r="K631" t="inlineStr">
        <is>
          <t>Z04</t>
        </is>
      </c>
      <c r="L631" t="inlineStr">
        <is>
          <t>(AP) 30 Dias</t>
        </is>
      </c>
      <c r="M631" t="n">
        <v>10000160</v>
      </c>
      <c r="N631" t="inlineStr">
        <is>
          <t>Arena Triturada Andesita Malla 4</t>
        </is>
      </c>
      <c r="O631" t="inlineStr">
        <is>
          <t>D836</t>
        </is>
      </c>
      <c r="P631" t="inlineStr">
        <is>
          <t>MX-CED. CENTRO</t>
        </is>
      </c>
      <c r="Q631" t="n">
        <v>20201015</v>
      </c>
      <c r="R631" t="n">
        <v>20291231</v>
      </c>
      <c r="S631" t="n">
        <v>20240408</v>
      </c>
      <c r="T631" t="n">
        <v>20291231</v>
      </c>
      <c r="U631" t="n">
        <v>192</v>
      </c>
      <c r="V631" t="inlineStr">
        <is>
          <t>MXN</t>
        </is>
      </c>
      <c r="W631" t="inlineStr">
        <is>
          <t>M3</t>
        </is>
      </c>
      <c r="X631" t="n">
        <v>90</v>
      </c>
      <c r="Y631" t="inlineStr">
        <is>
          <t>MXN</t>
        </is>
      </c>
      <c r="Z631" t="inlineStr">
        <is>
          <t>M3</t>
        </is>
      </c>
      <c r="AA631" t="inlineStr">
        <is>
          <t>65925194</t>
        </is>
      </c>
      <c r="AB631" t="inlineStr">
        <is>
          <t>OBR-AGR IBM CXT (DLC)</t>
        </is>
      </c>
      <c r="AC631" t="n">
        <v>56103638</v>
      </c>
      <c r="AD631" t="n">
        <v>6622261540</v>
      </c>
      <c r="AE631" t="n">
        <v>4</v>
      </c>
      <c r="AF631" t="inlineStr">
        <is>
          <t>ENTREGA DIRECTA</t>
        </is>
      </c>
      <c r="AG631" t="n">
        <v>1.409</v>
      </c>
      <c r="AH631" t="inlineStr">
        <is>
          <t>M3</t>
        </is>
      </c>
      <c r="AI631" t="inlineStr">
        <is>
          <t>X</t>
        </is>
      </c>
      <c r="AJ631" t="n">
        <v>4</v>
      </c>
      <c r="AK631" t="inlineStr">
        <is>
          <t>V4</t>
        </is>
      </c>
      <c r="AL631" t="n">
        <v>20240413</v>
      </c>
      <c r="AM631" t="inlineStr">
        <is>
          <t>D836-900006371-65925194-10000160-4</t>
        </is>
      </c>
    </row>
    <row r="632">
      <c r="A632" t="inlineStr">
        <is>
          <t>900003610D83610000651</t>
        </is>
      </c>
      <c r="B632" t="inlineStr">
        <is>
          <t>4600071981-10</t>
        </is>
      </c>
      <c r="C632" t="n">
        <v>4600071981</v>
      </c>
      <c r="D632" t="n">
        <v>10</v>
      </c>
      <c r="E632" t="inlineStr">
        <is>
          <t>MXPO</t>
        </is>
      </c>
      <c r="F632" t="inlineStr">
        <is>
          <t>MXL</t>
        </is>
      </c>
      <c r="G632" t="n">
        <v>900003610</v>
      </c>
      <c r="H632" t="inlineStr">
        <is>
          <t>TP-PROCESADORA JIMENEZ</t>
        </is>
      </c>
      <c r="I632" t="n">
        <v>5005184</v>
      </c>
      <c r="J632" t="inlineStr">
        <is>
          <t>JIMENEZ VALDEZ GABRIEL</t>
        </is>
      </c>
      <c r="K632" t="inlineStr">
        <is>
          <t>Z09</t>
        </is>
      </c>
      <c r="L632" t="inlineStr">
        <is>
          <t>(AP) 90 Dias</t>
        </is>
      </c>
      <c r="M632" t="n">
        <v>10000651</v>
      </c>
      <c r="N632" t="inlineStr">
        <is>
          <t>Arena Triturada Andesita Malla 8</t>
        </is>
      </c>
      <c r="O632" t="inlineStr">
        <is>
          <t>D836</t>
        </is>
      </c>
      <c r="P632" t="inlineStr">
        <is>
          <t>MX-CED. CENTRO</t>
        </is>
      </c>
      <c r="Q632" t="n">
        <v>20260213</v>
      </c>
      <c r="R632" t="n">
        <v>20301231</v>
      </c>
      <c r="S632" t="n">
        <v>20260213</v>
      </c>
      <c r="T632" t="n">
        <v>20301231</v>
      </c>
      <c r="U632" t="n">
        <v>100.32</v>
      </c>
      <c r="V632" t="inlineStr">
        <is>
          <t>MXN</t>
        </is>
      </c>
      <c r="W632" t="inlineStr">
        <is>
          <t>M3</t>
        </is>
      </c>
      <c r="X632" t="n">
        <v>0</v>
      </c>
      <c r="Y632" t="inlineStr">
        <is>
          <t>MXN</t>
        </is>
      </c>
      <c r="Z632" t="inlineStr">
        <is>
          <t>M3</t>
        </is>
      </c>
      <c r="AC632" t="n">
        <v>56103638</v>
      </c>
      <c r="AD632" t="n">
        <v>6622261540</v>
      </c>
      <c r="AE632" t="n">
        <v>1</v>
      </c>
      <c r="AF632" t="inlineStr">
        <is>
          <t>ENTREGADO</t>
        </is>
      </c>
      <c r="AG632" t="n">
        <v>1.35</v>
      </c>
      <c r="AH632" t="inlineStr">
        <is>
          <t>M3</t>
        </is>
      </c>
      <c r="AI632" t="inlineStr">
        <is>
          <t>X</t>
        </is>
      </c>
      <c r="AJ632" t="n">
        <v>4</v>
      </c>
      <c r="AK632" t="inlineStr">
        <is>
          <t>V4</t>
        </is>
      </c>
      <c r="AL632" t="n">
        <v>20260217</v>
      </c>
      <c r="AM632" t="inlineStr">
        <is>
          <t>D836-900003610-10000651</t>
        </is>
      </c>
    </row>
    <row r="633">
      <c r="A633" t="inlineStr">
        <is>
          <t>900003609D83610000811</t>
        </is>
      </c>
      <c r="B633" t="inlineStr">
        <is>
          <t>4600027606-130</t>
        </is>
      </c>
      <c r="C633" t="n">
        <v>4600027606</v>
      </c>
      <c r="D633" t="n">
        <v>130</v>
      </c>
      <c r="E633" t="inlineStr">
        <is>
          <t>MXPO</t>
        </is>
      </c>
      <c r="F633" t="inlineStr">
        <is>
          <t>M02</t>
        </is>
      </c>
      <c r="G633" t="n">
        <v>900003609</v>
      </c>
      <c r="H633" t="inlineStr">
        <is>
          <t>TP-LA VALENCIANA</t>
        </is>
      </c>
      <c r="I633" t="n">
        <v>5005431</v>
      </c>
      <c r="J633" t="inlineStr">
        <is>
          <t>CANTERAS LA VALENCIANA SA DE CV</t>
        </is>
      </c>
      <c r="K633" t="inlineStr">
        <is>
          <t>Z03</t>
        </is>
      </c>
      <c r="L633" t="inlineStr">
        <is>
          <t>(AP) 15 Dias</t>
        </is>
      </c>
      <c r="M633" t="n">
        <v>10000811</v>
      </c>
      <c r="N633" t="inlineStr">
        <is>
          <t>Grava Triturada Caliza 20 mm - 3/4"</t>
        </is>
      </c>
      <c r="O633" t="inlineStr">
        <is>
          <t>D836</t>
        </is>
      </c>
      <c r="P633" t="inlineStr">
        <is>
          <t>MX-CED. CENTRO</t>
        </is>
      </c>
      <c r="Q633" t="n">
        <v>20141106</v>
      </c>
      <c r="R633" t="n">
        <v>20281231</v>
      </c>
      <c r="S633" t="n">
        <v>20260213</v>
      </c>
      <c r="T633" t="n">
        <v>20301231</v>
      </c>
      <c r="U633" t="n">
        <v>166.58</v>
      </c>
      <c r="V633" t="inlineStr">
        <is>
          <t>MXN</t>
        </is>
      </c>
      <c r="W633" t="inlineStr">
        <is>
          <t>M3</t>
        </is>
      </c>
      <c r="X633" t="n">
        <v>0</v>
      </c>
      <c r="Y633" t="inlineStr">
        <is>
          <t>MXN</t>
        </is>
      </c>
      <c r="Z633" t="inlineStr">
        <is>
          <t>M3</t>
        </is>
      </c>
      <c r="AC633" t="n">
        <v>56103637</v>
      </c>
      <c r="AD633" t="n">
        <v>6622261540</v>
      </c>
      <c r="AE633" t="n">
        <v>1</v>
      </c>
      <c r="AF633" t="inlineStr">
        <is>
          <t>ENTREGADO</t>
        </is>
      </c>
      <c r="AG633" t="n">
        <v>1.447</v>
      </c>
      <c r="AH633" t="inlineStr">
        <is>
          <t>M3</t>
        </is>
      </c>
      <c r="AI633" t="inlineStr">
        <is>
          <t>X</t>
        </is>
      </c>
      <c r="AJ633" t="n">
        <v>4</v>
      </c>
      <c r="AK633" t="inlineStr">
        <is>
          <t>V4</t>
        </is>
      </c>
      <c r="AL633" t="n">
        <v>20260218</v>
      </c>
      <c r="AM633" t="inlineStr">
        <is>
          <t>D836-900003609-10000811</t>
        </is>
      </c>
    </row>
    <row r="634">
      <c r="A634" t="inlineStr">
        <is>
          <t>900003609D83610000722</t>
        </is>
      </c>
      <c r="B634" t="inlineStr">
        <is>
          <t>4600027606-110</t>
        </is>
      </c>
      <c r="C634" t="n">
        <v>4600027606</v>
      </c>
      <c r="D634" t="n">
        <v>110</v>
      </c>
      <c r="E634" t="inlineStr">
        <is>
          <t>MXPO</t>
        </is>
      </c>
      <c r="F634" t="inlineStr">
        <is>
          <t>M02</t>
        </is>
      </c>
      <c r="G634" t="n">
        <v>900003609</v>
      </c>
      <c r="H634" t="inlineStr">
        <is>
          <t>TP-LA VALENCIANA</t>
        </is>
      </c>
      <c r="I634" t="n">
        <v>5005431</v>
      </c>
      <c r="J634" t="inlineStr">
        <is>
          <t>CANTERAS LA VALENCIANA SA DE CV</t>
        </is>
      </c>
      <c r="K634" t="inlineStr">
        <is>
          <t>Z03</t>
        </is>
      </c>
      <c r="L634" t="inlineStr">
        <is>
          <t>(AP) 15 Dias</t>
        </is>
      </c>
      <c r="M634" t="n">
        <v>10000722</v>
      </c>
      <c r="N634" t="inlineStr">
        <is>
          <t>Grava Triturada Caliza 20 mm - 3/4"</t>
        </is>
      </c>
      <c r="O634" t="inlineStr">
        <is>
          <t>D836</t>
        </is>
      </c>
      <c r="P634" t="inlineStr">
        <is>
          <t>MX-CED. CENTRO</t>
        </is>
      </c>
      <c r="Q634" t="n">
        <v>20141106</v>
      </c>
      <c r="R634" t="n">
        <v>20281231</v>
      </c>
      <c r="S634" t="n">
        <v>20260213</v>
      </c>
      <c r="T634" t="n">
        <v>20301231</v>
      </c>
      <c r="U634" t="n">
        <v>166.58</v>
      </c>
      <c r="V634" t="inlineStr">
        <is>
          <t>MXN</t>
        </is>
      </c>
      <c r="W634" t="inlineStr">
        <is>
          <t>M3</t>
        </is>
      </c>
      <c r="X634" t="n">
        <v>0</v>
      </c>
      <c r="Y634" t="inlineStr">
        <is>
          <t>MXN</t>
        </is>
      </c>
      <c r="Z634" t="inlineStr">
        <is>
          <t>M3</t>
        </is>
      </c>
      <c r="AC634" t="n">
        <v>56103637</v>
      </c>
      <c r="AD634" t="n">
        <v>6622261540</v>
      </c>
      <c r="AE634" t="n">
        <v>1</v>
      </c>
      <c r="AF634" t="inlineStr">
        <is>
          <t>ENTREGADO</t>
        </is>
      </c>
      <c r="AG634" t="n">
        <v>1.44</v>
      </c>
      <c r="AH634" t="inlineStr">
        <is>
          <t>M3</t>
        </is>
      </c>
      <c r="AI634" t="inlineStr">
        <is>
          <t>X</t>
        </is>
      </c>
      <c r="AJ634" t="n">
        <v>4</v>
      </c>
      <c r="AK634" t="inlineStr">
        <is>
          <t>V4</t>
        </is>
      </c>
      <c r="AL634" t="n">
        <v>20260218</v>
      </c>
      <c r="AM634" t="inlineStr">
        <is>
          <t>D836-900003609-10000722</t>
        </is>
      </c>
    </row>
    <row r="635">
      <c r="A635" t="inlineStr">
        <is>
          <t>900006551D83610267564</t>
        </is>
      </c>
      <c r="B635" t="inlineStr">
        <is>
          <t>4600049704-30</t>
        </is>
      </c>
      <c r="C635" t="n">
        <v>4600049704</v>
      </c>
      <c r="D635" t="n">
        <v>30</v>
      </c>
      <c r="E635" t="inlineStr">
        <is>
          <t>MXPO</t>
        </is>
      </c>
      <c r="F635" t="inlineStr">
        <is>
          <t>MXL</t>
        </is>
      </c>
      <c r="G635" t="n">
        <v>900006551</v>
      </c>
      <c r="H635" t="inlineStr">
        <is>
          <t>SF TP- CONCRETOS SUSTENTABLES</t>
        </is>
      </c>
      <c r="I635" t="n">
        <v>5078165</v>
      </c>
      <c r="J635" t="inlineStr">
        <is>
          <t>CONCRETOS SUSTENTABLES MEXICANOS</t>
        </is>
      </c>
      <c r="K635" t="inlineStr">
        <is>
          <t>Z09</t>
        </is>
      </c>
      <c r="L635" t="inlineStr">
        <is>
          <t>(AP) 90 Dias</t>
        </is>
      </c>
      <c r="M635" t="n">
        <v>10267564</v>
      </c>
      <c r="N635" t="inlineStr">
        <is>
          <t>MP RESIDUO DE CONCRETO LIMPIO</t>
        </is>
      </c>
      <c r="O635" t="inlineStr">
        <is>
          <t>D836</t>
        </is>
      </c>
      <c r="P635" t="inlineStr">
        <is>
          <t>MX-CED. CENTRO</t>
        </is>
      </c>
      <c r="Q635" t="n">
        <v>20210420</v>
      </c>
      <c r="R635" t="n">
        <v>20291231</v>
      </c>
      <c r="S635" t="n">
        <v>20250605</v>
      </c>
      <c r="T635" t="n">
        <v>20301231</v>
      </c>
      <c r="U635" t="n">
        <v>85</v>
      </c>
      <c r="V635" t="inlineStr">
        <is>
          <t>MXN</t>
        </is>
      </c>
      <c r="W635" t="inlineStr">
        <is>
          <t>M3</t>
        </is>
      </c>
      <c r="X635" t="n">
        <v>0</v>
      </c>
      <c r="Y635" t="inlineStr">
        <is>
          <t>MXN</t>
        </is>
      </c>
      <c r="Z635" t="inlineStr">
        <is>
          <t>M3</t>
        </is>
      </c>
      <c r="AC635" t="n">
        <v>56103636</v>
      </c>
      <c r="AD635" t="n">
        <v>6622261540</v>
      </c>
      <c r="AE635" t="n">
        <v>1</v>
      </c>
      <c r="AF635" t="inlineStr">
        <is>
          <t>ENTREGADO</t>
        </is>
      </c>
      <c r="AG635" t="n">
        <v>1.5</v>
      </c>
      <c r="AH635" t="inlineStr">
        <is>
          <t>M3</t>
        </is>
      </c>
      <c r="AI635" t="inlineStr">
        <is>
          <t>X</t>
        </is>
      </c>
      <c r="AJ635" t="n">
        <v>4</v>
      </c>
      <c r="AK635" t="inlineStr">
        <is>
          <t>V4</t>
        </is>
      </c>
      <c r="AL635" t="n">
        <v>20250616</v>
      </c>
      <c r="AM635" t="inlineStr">
        <is>
          <t>D836-900006551-10267564</t>
        </is>
      </c>
    </row>
    <row r="636">
      <c r="A636" t="inlineStr">
        <is>
          <t>900003609D83610268133</t>
        </is>
      </c>
      <c r="B636" t="inlineStr">
        <is>
          <t>4600071368-10</t>
        </is>
      </c>
      <c r="C636" t="n">
        <v>4600071368</v>
      </c>
      <c r="D636" t="n">
        <v>10</v>
      </c>
      <c r="E636" t="inlineStr">
        <is>
          <t>MXPO</t>
        </is>
      </c>
      <c r="F636" t="inlineStr">
        <is>
          <t>MXL</t>
        </is>
      </c>
      <c r="G636" t="n">
        <v>900003609</v>
      </c>
      <c r="H636" t="inlineStr">
        <is>
          <t>TP-LA VALENCIANA</t>
        </is>
      </c>
      <c r="I636" t="n">
        <v>5005431</v>
      </c>
      <c r="J636" t="inlineStr">
        <is>
          <t>CANTERAS LA VALENCIANA SA DE CV</t>
        </is>
      </c>
      <c r="K636" t="inlineStr">
        <is>
          <t>Z03</t>
        </is>
      </c>
      <c r="L636" t="inlineStr">
        <is>
          <t>(AP) 15 Dias</t>
        </is>
      </c>
      <c r="M636" t="n">
        <v>10268133</v>
      </c>
      <c r="N636" t="inlineStr">
        <is>
          <t>MP GRAVA TRIT CALIZA 20 MM - 3/4"</t>
        </is>
      </c>
      <c r="O636" t="inlineStr">
        <is>
          <t>D836</t>
        </is>
      </c>
      <c r="P636" t="inlineStr">
        <is>
          <t>MX-CED. CENTRO</t>
        </is>
      </c>
      <c r="Q636" t="n">
        <v>20250618</v>
      </c>
      <c r="R636" t="n">
        <v>20301231</v>
      </c>
      <c r="S636" t="n">
        <v>20260213</v>
      </c>
      <c r="T636" t="n">
        <v>20301231</v>
      </c>
      <c r="U636" t="n">
        <v>166.58</v>
      </c>
      <c r="V636" t="inlineStr">
        <is>
          <t>MXN</t>
        </is>
      </c>
      <c r="W636" t="inlineStr">
        <is>
          <t>M3</t>
        </is>
      </c>
      <c r="X636" t="n">
        <v>0</v>
      </c>
      <c r="Y636" t="inlineStr">
        <is>
          <t>MXN</t>
        </is>
      </c>
      <c r="Z636" t="inlineStr">
        <is>
          <t>M3</t>
        </is>
      </c>
      <c r="AC636" t="n">
        <v>56103637</v>
      </c>
      <c r="AD636" t="n">
        <v>6622261540</v>
      </c>
      <c r="AE636" t="n">
        <v>1</v>
      </c>
      <c r="AF636" t="inlineStr">
        <is>
          <t>ENTREGADO</t>
        </is>
      </c>
      <c r="AG636" t="n">
        <v>1.48</v>
      </c>
      <c r="AH636" t="inlineStr">
        <is>
          <t>M3</t>
        </is>
      </c>
      <c r="AI636" t="inlineStr">
        <is>
          <t>X</t>
        </is>
      </c>
      <c r="AJ636" t="n">
        <v>4</v>
      </c>
      <c r="AK636" t="inlineStr">
        <is>
          <t>V4</t>
        </is>
      </c>
      <c r="AL636" t="n">
        <v>20260218</v>
      </c>
      <c r="AM636" t="inlineStr">
        <is>
          <t>D836-900003609-10268133</t>
        </is>
      </c>
    </row>
    <row r="637">
      <c r="A637" t="inlineStr">
        <is>
          <t>900003609D83610000624</t>
        </is>
      </c>
      <c r="B637" t="inlineStr">
        <is>
          <t>4600027606-120</t>
        </is>
      </c>
      <c r="C637" t="n">
        <v>4600027606</v>
      </c>
      <c r="D637" t="n">
        <v>120</v>
      </c>
      <c r="E637" t="inlineStr">
        <is>
          <t>MXPO</t>
        </is>
      </c>
      <c r="F637" t="inlineStr">
        <is>
          <t>M02</t>
        </is>
      </c>
      <c r="G637" t="n">
        <v>900003609</v>
      </c>
      <c r="H637" t="inlineStr">
        <is>
          <t>TP-LA VALENCIANA</t>
        </is>
      </c>
      <c r="I637" t="n">
        <v>5005431</v>
      </c>
      <c r="J637" t="inlineStr">
        <is>
          <t>CANTERAS LA VALENCIANA SA DE CV</t>
        </is>
      </c>
      <c r="K637" t="inlineStr">
        <is>
          <t>Z03</t>
        </is>
      </c>
      <c r="L637" t="inlineStr">
        <is>
          <t>(AP) 15 Dias</t>
        </is>
      </c>
      <c r="M637" t="n">
        <v>10000624</v>
      </c>
      <c r="N637" t="inlineStr">
        <is>
          <t>Grava Triturada Caliza 40 mm - 1 1/2"</t>
        </is>
      </c>
      <c r="O637" t="inlineStr">
        <is>
          <t>D836</t>
        </is>
      </c>
      <c r="P637" t="inlineStr">
        <is>
          <t>MX-CED. CENTRO</t>
        </is>
      </c>
      <c r="Q637" t="n">
        <v>20141106</v>
      </c>
      <c r="R637" t="n">
        <v>20281231</v>
      </c>
      <c r="S637" t="n">
        <v>20260213</v>
      </c>
      <c r="T637" t="n">
        <v>20301231</v>
      </c>
      <c r="U637" t="n">
        <v>159.52</v>
      </c>
      <c r="V637" t="inlineStr">
        <is>
          <t>MXN</t>
        </is>
      </c>
      <c r="W637" t="inlineStr">
        <is>
          <t>M3</t>
        </is>
      </c>
      <c r="X637" t="n">
        <v>0</v>
      </c>
      <c r="Y637" t="inlineStr">
        <is>
          <t>MXN</t>
        </is>
      </c>
      <c r="Z637" t="inlineStr">
        <is>
          <t>M3</t>
        </is>
      </c>
      <c r="AC637" t="n">
        <v>56103637</v>
      </c>
      <c r="AD637" t="n">
        <v>6622261540</v>
      </c>
      <c r="AE637" t="n">
        <v>1</v>
      </c>
      <c r="AF637" t="inlineStr">
        <is>
          <t>ENTREGADO</t>
        </is>
      </c>
      <c r="AG637" t="n">
        <v>1.45</v>
      </c>
      <c r="AH637" t="inlineStr">
        <is>
          <t>M3</t>
        </is>
      </c>
      <c r="AI637" t="inlineStr">
        <is>
          <t>X</t>
        </is>
      </c>
      <c r="AJ637" t="n">
        <v>4</v>
      </c>
      <c r="AK637" t="inlineStr">
        <is>
          <t>V4</t>
        </is>
      </c>
      <c r="AL637" t="n">
        <v>20260218</v>
      </c>
      <c r="AM637" t="inlineStr">
        <is>
          <t>D836-900003609-10000624</t>
        </is>
      </c>
    </row>
    <row r="638">
      <c r="A638" t="inlineStr">
        <is>
          <t>900003609D83610058345</t>
        </is>
      </c>
      <c r="B638" t="inlineStr">
        <is>
          <t>4600027606-170</t>
        </is>
      </c>
      <c r="C638" t="n">
        <v>4600027606</v>
      </c>
      <c r="D638" t="n">
        <v>170</v>
      </c>
      <c r="E638" t="inlineStr">
        <is>
          <t>MXPO</t>
        </is>
      </c>
      <c r="F638" t="inlineStr">
        <is>
          <t>M02</t>
        </is>
      </c>
      <c r="G638" t="n">
        <v>900003609</v>
      </c>
      <c r="H638" t="inlineStr">
        <is>
          <t>TP-LA VALENCIANA</t>
        </is>
      </c>
      <c r="I638" t="n">
        <v>5005431</v>
      </c>
      <c r="J638" t="inlineStr">
        <is>
          <t>CANTERAS LA VALENCIANA SA DE CV</t>
        </is>
      </c>
      <c r="K638" t="inlineStr">
        <is>
          <t>Z03</t>
        </is>
      </c>
      <c r="L638" t="inlineStr">
        <is>
          <t>(AP) 15 Dias</t>
        </is>
      </c>
      <c r="M638" t="n">
        <v>10058345</v>
      </c>
      <c r="N638" t="inlineStr">
        <is>
          <t>Arena Triturada Caliza Malla 4</t>
        </is>
      </c>
      <c r="O638" t="inlineStr">
        <is>
          <t>D836</t>
        </is>
      </c>
      <c r="P638" t="inlineStr">
        <is>
          <t>MX-CED. CENTRO</t>
        </is>
      </c>
      <c r="Q638" t="n">
        <v>20141106</v>
      </c>
      <c r="R638" t="n">
        <v>20281231</v>
      </c>
      <c r="S638" t="n">
        <v>20260213</v>
      </c>
      <c r="T638" t="n">
        <v>20301231</v>
      </c>
      <c r="U638" t="n">
        <v>135</v>
      </c>
      <c r="V638" t="inlineStr">
        <is>
          <t>MXN</t>
        </is>
      </c>
      <c r="W638" t="inlineStr">
        <is>
          <t>M3</t>
        </is>
      </c>
      <c r="X638" t="n">
        <v>0</v>
      </c>
      <c r="Y638" t="inlineStr">
        <is>
          <t>MXN</t>
        </is>
      </c>
      <c r="Z638" t="inlineStr">
        <is>
          <t>M3</t>
        </is>
      </c>
      <c r="AC638" t="n">
        <v>56103638</v>
      </c>
      <c r="AD638" t="n">
        <v>6622261540</v>
      </c>
      <c r="AE638" t="n">
        <v>1</v>
      </c>
      <c r="AF638" t="inlineStr">
        <is>
          <t>ENTREGADO</t>
        </is>
      </c>
      <c r="AG638" t="n">
        <v>1.575</v>
      </c>
      <c r="AH638" t="inlineStr">
        <is>
          <t>M3</t>
        </is>
      </c>
      <c r="AI638" t="inlineStr">
        <is>
          <t>X</t>
        </is>
      </c>
      <c r="AJ638" t="n">
        <v>4</v>
      </c>
      <c r="AK638" t="inlineStr">
        <is>
          <t>V4</t>
        </is>
      </c>
      <c r="AL638" t="n">
        <v>20260218</v>
      </c>
      <c r="AM638" t="inlineStr">
        <is>
          <t>D836-900003609-10058345</t>
        </is>
      </c>
    </row>
    <row r="639">
      <c r="A639" t="inlineStr">
        <is>
          <t>900006542D83610000655</t>
        </is>
      </c>
      <c r="B639" t="inlineStr">
        <is>
          <t>4600068541-20</t>
        </is>
      </c>
      <c r="C639" t="n">
        <v>4600068541</v>
      </c>
      <c r="D639" t="n">
        <v>20</v>
      </c>
      <c r="E639" t="inlineStr">
        <is>
          <t>MXPO</t>
        </is>
      </c>
      <c r="F639" t="inlineStr">
        <is>
          <t>MXL</t>
        </is>
      </c>
      <c r="G639" t="n">
        <v>900006542</v>
      </c>
      <c r="H639" t="inlineStr">
        <is>
          <t>TP-OLIELL TORTON</t>
        </is>
      </c>
      <c r="I639" t="n">
        <v>5048484</v>
      </c>
      <c r="J639" t="inlineStr">
        <is>
          <t>COMERCIALIZADORA Y TRANSPORTADORA O</t>
        </is>
      </c>
      <c r="K639" t="inlineStr">
        <is>
          <t>N90</t>
        </is>
      </c>
      <c r="L639" t="inlineStr">
        <is>
          <t>(AP) NAFIN 90 Dias</t>
        </is>
      </c>
      <c r="M639" t="n">
        <v>10000655</v>
      </c>
      <c r="N639" t="inlineStr">
        <is>
          <t>Grava Triturada Marmol 10 mm - 3/8"</t>
        </is>
      </c>
      <c r="O639" t="inlineStr">
        <is>
          <t>D836</t>
        </is>
      </c>
      <c r="P639" t="inlineStr">
        <is>
          <t>MX-CED. CENTRO</t>
        </is>
      </c>
      <c r="Q639" t="n">
        <v>20230927</v>
      </c>
      <c r="R639" t="n">
        <v>20281231</v>
      </c>
      <c r="S639" t="n">
        <v>20231031</v>
      </c>
      <c r="T639" t="n">
        <v>20281231</v>
      </c>
      <c r="U639" t="n">
        <v>921.6</v>
      </c>
      <c r="V639" t="inlineStr">
        <is>
          <t>MXN</t>
        </is>
      </c>
      <c r="W639" t="inlineStr">
        <is>
          <t>TN</t>
        </is>
      </c>
      <c r="X639" t="n">
        <v>0</v>
      </c>
      <c r="Y639" t="inlineStr">
        <is>
          <t>MXN</t>
        </is>
      </c>
      <c r="Z639" t="inlineStr">
        <is>
          <t>TN</t>
        </is>
      </c>
      <c r="AC639" t="n">
        <v>56103637</v>
      </c>
      <c r="AD639" t="n">
        <v>6622261540</v>
      </c>
      <c r="AE639" t="n">
        <v>1</v>
      </c>
      <c r="AF639" t="inlineStr">
        <is>
          <t>ENTREGADO</t>
        </is>
      </c>
      <c r="AG639" t="n">
        <v>1</v>
      </c>
      <c r="AH639" t="inlineStr">
        <is>
          <t>TO</t>
        </is>
      </c>
      <c r="AI639" t="inlineStr">
        <is>
          <t>X</t>
        </is>
      </c>
      <c r="AJ639" t="n">
        <v>4</v>
      </c>
      <c r="AK639" t="inlineStr">
        <is>
          <t>V4</t>
        </is>
      </c>
      <c r="AL639" t="n">
        <v>20231102</v>
      </c>
      <c r="AM639" t="inlineStr">
        <is>
          <t>D836-900006542-10000655</t>
        </is>
      </c>
    </row>
    <row r="640">
      <c r="A640" t="inlineStr">
        <is>
          <t>900003609D83610207890</t>
        </is>
      </c>
      <c r="B640" t="inlineStr">
        <is>
          <t>4600058216-20</t>
        </is>
      </c>
      <c r="C640" t="n">
        <v>4600058216</v>
      </c>
      <c r="D640" t="n">
        <v>20</v>
      </c>
      <c r="E640" t="inlineStr">
        <is>
          <t>MXPO</t>
        </is>
      </c>
      <c r="F640" t="inlineStr">
        <is>
          <t>MXL</t>
        </is>
      </c>
      <c r="G640" t="n">
        <v>900003609</v>
      </c>
      <c r="H640" t="inlineStr">
        <is>
          <t>TP-LA VALENCIANA</t>
        </is>
      </c>
      <c r="I640" t="n">
        <v>5005431</v>
      </c>
      <c r="J640" t="inlineStr">
        <is>
          <t>CANTERAS LA VALENCIANA SA DE CV</t>
        </is>
      </c>
      <c r="K640" t="inlineStr">
        <is>
          <t>Z03</t>
        </is>
      </c>
      <c r="L640" t="inlineStr">
        <is>
          <t>(AP) 15 Dias</t>
        </is>
      </c>
      <c r="M640" t="n">
        <v>10207890</v>
      </c>
      <c r="N640" t="inlineStr">
        <is>
          <t>GRAVA TRITURADA CALIZA 40 MM - 1 1/2" (V</t>
        </is>
      </c>
      <c r="O640" t="inlineStr">
        <is>
          <t>D836</t>
        </is>
      </c>
      <c r="P640" t="inlineStr">
        <is>
          <t>MX-CED. CENTRO</t>
        </is>
      </c>
      <c r="Q640" t="n">
        <v>20230727</v>
      </c>
      <c r="R640" t="n">
        <v>20281231</v>
      </c>
      <c r="S640" t="n">
        <v>20260213</v>
      </c>
      <c r="T640" t="n">
        <v>20301231</v>
      </c>
      <c r="U640" t="n">
        <v>159.52</v>
      </c>
      <c r="V640" t="inlineStr">
        <is>
          <t>MXN</t>
        </is>
      </c>
      <c r="W640" t="inlineStr">
        <is>
          <t>M3</t>
        </is>
      </c>
      <c r="X640" t="n">
        <v>0</v>
      </c>
      <c r="Y640" t="inlineStr">
        <is>
          <t>MXN</t>
        </is>
      </c>
      <c r="Z640" t="inlineStr">
        <is>
          <t>M3</t>
        </is>
      </c>
      <c r="AC640" t="n">
        <v>56103637</v>
      </c>
      <c r="AD640" t="n">
        <v>6622261540</v>
      </c>
      <c r="AE640" t="n">
        <v>1</v>
      </c>
      <c r="AF640" t="inlineStr">
        <is>
          <t>ENTREGADO</t>
        </is>
      </c>
      <c r="AG640" t="n">
        <v>1.45</v>
      </c>
      <c r="AH640" t="inlineStr">
        <is>
          <t>M3</t>
        </is>
      </c>
      <c r="AI640" t="inlineStr">
        <is>
          <t>X</t>
        </is>
      </c>
      <c r="AJ640" t="n">
        <v>4</v>
      </c>
      <c r="AK640" t="inlineStr">
        <is>
          <t>V4</t>
        </is>
      </c>
      <c r="AL640" t="n">
        <v>20260218</v>
      </c>
      <c r="AM640" t="inlineStr">
        <is>
          <t>D836-900003609-10207890</t>
        </is>
      </c>
    </row>
    <row r="641">
      <c r="A641" t="inlineStr">
        <is>
          <t>900003609D83610268134</t>
        </is>
      </c>
      <c r="B641" t="inlineStr">
        <is>
          <t>4600071368-20</t>
        </is>
      </c>
      <c r="C641" t="n">
        <v>4600071368</v>
      </c>
      <c r="D641" t="n">
        <v>20</v>
      </c>
      <c r="E641" t="inlineStr">
        <is>
          <t>MXPO</t>
        </is>
      </c>
      <c r="F641" t="inlineStr">
        <is>
          <t>MXL</t>
        </is>
      </c>
      <c r="G641" t="n">
        <v>900003609</v>
      </c>
      <c r="H641" t="inlineStr">
        <is>
          <t>TP-LA VALENCIANA</t>
        </is>
      </c>
      <c r="I641" t="n">
        <v>5005431</v>
      </c>
      <c r="J641" t="inlineStr">
        <is>
          <t>CANTERAS LA VALENCIANA SA DE CV</t>
        </is>
      </c>
      <c r="K641" t="inlineStr">
        <is>
          <t>Z03</t>
        </is>
      </c>
      <c r="L641" t="inlineStr">
        <is>
          <t>(AP) 15 Dias</t>
        </is>
      </c>
      <c r="M641" t="n">
        <v>10268134</v>
      </c>
      <c r="N641" t="inlineStr">
        <is>
          <t>MP ARENA TRIT CALIZA MALLA 4</t>
        </is>
      </c>
      <c r="O641" t="inlineStr">
        <is>
          <t>D836</t>
        </is>
      </c>
      <c r="P641" t="inlineStr">
        <is>
          <t>MX-CED. CENTRO</t>
        </is>
      </c>
      <c r="Q641" t="n">
        <v>20250618</v>
      </c>
      <c r="R641" t="n">
        <v>20301231</v>
      </c>
      <c r="S641" t="n">
        <v>20260213</v>
      </c>
      <c r="T641" t="n">
        <v>20301231</v>
      </c>
      <c r="U641" t="n">
        <v>135</v>
      </c>
      <c r="V641" t="inlineStr">
        <is>
          <t>MXN</t>
        </is>
      </c>
      <c r="W641" t="inlineStr">
        <is>
          <t>M3</t>
        </is>
      </c>
      <c r="X641" t="n">
        <v>0</v>
      </c>
      <c r="Y641" t="inlineStr">
        <is>
          <t>MXN</t>
        </is>
      </c>
      <c r="Z641" t="inlineStr">
        <is>
          <t>M3</t>
        </is>
      </c>
      <c r="AC641" t="n">
        <v>56103638</v>
      </c>
      <c r="AD641" t="n">
        <v>6622261540</v>
      </c>
      <c r="AE641" t="n">
        <v>1</v>
      </c>
      <c r="AF641" t="inlineStr">
        <is>
          <t>ENTREGADO</t>
        </is>
      </c>
      <c r="AG641" t="n">
        <v>1.61</v>
      </c>
      <c r="AH641" t="inlineStr">
        <is>
          <t>M3</t>
        </is>
      </c>
      <c r="AI641" t="inlineStr">
        <is>
          <t>X</t>
        </is>
      </c>
      <c r="AJ641" t="n">
        <v>4</v>
      </c>
      <c r="AK641" t="inlineStr">
        <is>
          <t>V4</t>
        </is>
      </c>
      <c r="AL641" t="n">
        <v>20260218</v>
      </c>
      <c r="AM641" t="inlineStr">
        <is>
          <t>D836-900003609-10268134</t>
        </is>
      </c>
    </row>
    <row r="642">
      <c r="A642" t="inlineStr">
        <is>
          <t>900003609D83610000133</t>
        </is>
      </c>
      <c r="B642" t="inlineStr">
        <is>
          <t>4600058216-10</t>
        </is>
      </c>
      <c r="C642" t="n">
        <v>4600058216</v>
      </c>
      <c r="D642" t="n">
        <v>10</v>
      </c>
      <c r="E642" t="inlineStr">
        <is>
          <t>MXPO</t>
        </is>
      </c>
      <c r="F642" t="inlineStr">
        <is>
          <t>MXL</t>
        </is>
      </c>
      <c r="G642" t="n">
        <v>900003609</v>
      </c>
      <c r="H642" t="inlineStr">
        <is>
          <t>TP-LA VALENCIANA</t>
        </is>
      </c>
      <c r="I642" t="n">
        <v>5005431</v>
      </c>
      <c r="J642" t="inlineStr">
        <is>
          <t>CANTERAS LA VALENCIANA SA DE CV</t>
        </is>
      </c>
      <c r="K642" t="inlineStr">
        <is>
          <t>Z03</t>
        </is>
      </c>
      <c r="L642" t="inlineStr">
        <is>
          <t>(AP) 15 Dias</t>
        </is>
      </c>
      <c r="M642" t="n">
        <v>10000133</v>
      </c>
      <c r="N642" t="inlineStr">
        <is>
          <t>Grava Triturada Caliza 20 mm - 3/4"</t>
        </is>
      </c>
      <c r="O642" t="inlineStr">
        <is>
          <t>D836</t>
        </is>
      </c>
      <c r="P642" t="inlineStr">
        <is>
          <t>MX-CED. CENTRO</t>
        </is>
      </c>
      <c r="Q642" t="n">
        <v>20230727</v>
      </c>
      <c r="R642" t="n">
        <v>20281231</v>
      </c>
      <c r="S642" t="n">
        <v>20230727</v>
      </c>
      <c r="T642" t="n">
        <v>20281231</v>
      </c>
      <c r="U642" t="n">
        <v>141.5</v>
      </c>
      <c r="V642" t="inlineStr">
        <is>
          <t>MXN</t>
        </is>
      </c>
      <c r="W642" t="inlineStr">
        <is>
          <t>M3</t>
        </is>
      </c>
      <c r="X642" t="n">
        <v>0</v>
      </c>
      <c r="Y642" t="inlineStr">
        <is>
          <t>MXN</t>
        </is>
      </c>
      <c r="Z642" t="inlineStr">
        <is>
          <t>M3</t>
        </is>
      </c>
      <c r="AC642" t="n">
        <v>56103637</v>
      </c>
      <c r="AD642" t="n">
        <v>6622261540</v>
      </c>
      <c r="AE642" t="n">
        <v>1</v>
      </c>
      <c r="AF642" t="inlineStr">
        <is>
          <t>ENTREGADO</t>
        </is>
      </c>
      <c r="AG642" t="n">
        <v>1.46</v>
      </c>
      <c r="AH642" t="inlineStr">
        <is>
          <t>M3</t>
        </is>
      </c>
      <c r="AI642" t="inlineStr">
        <is>
          <t>X</t>
        </is>
      </c>
      <c r="AJ642" t="n">
        <v>4</v>
      </c>
      <c r="AK642" t="inlineStr">
        <is>
          <t>V4</t>
        </is>
      </c>
      <c r="AL642" t="n">
        <v>20230920</v>
      </c>
      <c r="AM642" t="inlineStr">
        <is>
          <t>D836-900003609-10000133</t>
        </is>
      </c>
    </row>
    <row r="643">
      <c r="A643" t="inlineStr">
        <is>
          <t>900007650D83610000432</t>
        </is>
      </c>
      <c r="B643" t="inlineStr">
        <is>
          <t>4600054225-40</t>
        </is>
      </c>
      <c r="C643" t="n">
        <v>4600054225</v>
      </c>
      <c r="D643" t="n">
        <v>40</v>
      </c>
      <c r="E643" t="inlineStr">
        <is>
          <t>MXPO</t>
        </is>
      </c>
      <c r="F643" t="inlineStr">
        <is>
          <t>MXL</t>
        </is>
      </c>
      <c r="G643" t="n">
        <v>900007650</v>
      </c>
      <c r="H643" t="inlineStr">
        <is>
          <t>SF TP-SAN ROMULO</t>
        </is>
      </c>
      <c r="I643" t="n">
        <v>5078107</v>
      </c>
      <c r="J643" t="inlineStr">
        <is>
          <t>MARTINEZ VILLEGAS SA DE CV</t>
        </is>
      </c>
      <c r="K643" t="inlineStr">
        <is>
          <t>Z04</t>
        </is>
      </c>
      <c r="L643" t="inlineStr">
        <is>
          <t>(AP) 30 Dias</t>
        </is>
      </c>
      <c r="M643" t="n">
        <v>10000432</v>
      </c>
      <c r="N643" t="inlineStr">
        <is>
          <t>Base H Triturada Basalto  1 1/2" a Finos</t>
        </is>
      </c>
      <c r="O643" t="inlineStr">
        <is>
          <t>D836</t>
        </is>
      </c>
      <c r="P643" t="inlineStr">
        <is>
          <t>MX-CED. CENTRO</t>
        </is>
      </c>
      <c r="Q643" t="n">
        <v>20220615</v>
      </c>
      <c r="R643" t="n">
        <v>20281231</v>
      </c>
      <c r="S643" t="n">
        <v>20230721</v>
      </c>
      <c r="T643" t="n">
        <v>20281231</v>
      </c>
      <c r="U643" t="n">
        <v>340</v>
      </c>
      <c r="V643" t="inlineStr">
        <is>
          <t>MXN</t>
        </is>
      </c>
      <c r="W643" t="inlineStr">
        <is>
          <t>M3</t>
        </is>
      </c>
      <c r="X643" t="n">
        <v>0</v>
      </c>
      <c r="Y643" t="inlineStr">
        <is>
          <t>MXN</t>
        </is>
      </c>
      <c r="Z643" t="inlineStr">
        <is>
          <t>M3</t>
        </is>
      </c>
      <c r="AC643" t="n">
        <v>56103590</v>
      </c>
      <c r="AD643" t="n">
        <v>6622261540</v>
      </c>
      <c r="AE643" t="n">
        <v>1</v>
      </c>
      <c r="AF643" t="inlineStr">
        <is>
          <t>ENTREGADO</t>
        </is>
      </c>
      <c r="AG643" t="n">
        <v>1.6</v>
      </c>
      <c r="AH643" t="inlineStr">
        <is>
          <t>M3</t>
        </is>
      </c>
      <c r="AI643" t="inlineStr">
        <is>
          <t>X</t>
        </is>
      </c>
      <c r="AJ643" t="n">
        <v>4</v>
      </c>
      <c r="AK643" t="inlineStr">
        <is>
          <t>V4</t>
        </is>
      </c>
      <c r="AL643" t="n">
        <v>20230920</v>
      </c>
      <c r="AM643" t="inlineStr">
        <is>
          <t>D836-900007650-10000432</t>
        </is>
      </c>
    </row>
    <row r="644">
      <c r="A644" t="inlineStr">
        <is>
          <t>900000034D83610000624</t>
        </is>
      </c>
      <c r="B644" t="inlineStr">
        <is>
          <t>4600027549-50</t>
        </is>
      </c>
      <c r="C644" t="n">
        <v>4600027549</v>
      </c>
      <c r="D644" t="n">
        <v>50</v>
      </c>
      <c r="E644" t="inlineStr">
        <is>
          <t>MXPO</t>
        </is>
      </c>
      <c r="F644" t="inlineStr">
        <is>
          <t>M02</t>
        </is>
      </c>
      <c r="G644" t="n">
        <v>900000034</v>
      </c>
      <c r="H644" t="inlineStr">
        <is>
          <t>TC-EJIDO PROGRESO</t>
        </is>
      </c>
      <c r="I644" t="n">
        <v>5001924</v>
      </c>
      <c r="J644" t="inlineStr">
        <is>
          <t>EJIDO PROGRESO</t>
        </is>
      </c>
      <c r="K644" t="inlineStr">
        <is>
          <t>Z04</t>
        </is>
      </c>
      <c r="L644" t="inlineStr">
        <is>
          <t>(AP) 30 Dias</t>
        </is>
      </c>
      <c r="M644" t="n">
        <v>10000624</v>
      </c>
      <c r="N644" t="inlineStr">
        <is>
          <t>Grava Triturada Caliza 40 mm - 1 1/2"</t>
        </is>
      </c>
      <c r="O644" t="inlineStr">
        <is>
          <t>D836</t>
        </is>
      </c>
      <c r="P644" t="inlineStr">
        <is>
          <t>MX-CED. CENTRO</t>
        </is>
      </c>
      <c r="Q644" t="n">
        <v>20141106</v>
      </c>
      <c r="R644" t="n">
        <v>20241231</v>
      </c>
      <c r="S644" t="n">
        <v>20180209</v>
      </c>
      <c r="T644" t="n">
        <v>20241231</v>
      </c>
      <c r="U644" t="n">
        <v>81.5</v>
      </c>
      <c r="V644" t="inlineStr">
        <is>
          <t>MXN</t>
        </is>
      </c>
      <c r="W644" t="inlineStr">
        <is>
          <t>TN</t>
        </is>
      </c>
      <c r="X644" t="n">
        <v>0</v>
      </c>
      <c r="Y644" t="inlineStr">
        <is>
          <t>MXN</t>
        </is>
      </c>
      <c r="Z644" t="inlineStr">
        <is>
          <t>TN</t>
        </is>
      </c>
      <c r="AC644" t="n">
        <v>56103637</v>
      </c>
      <c r="AD644" t="n">
        <v>6622261540</v>
      </c>
      <c r="AE644" t="n">
        <v>1</v>
      </c>
      <c r="AF644" t="inlineStr">
        <is>
          <t>ENTREGADO</t>
        </is>
      </c>
      <c r="AG644" t="n">
        <v>1</v>
      </c>
      <c r="AH644" t="inlineStr">
        <is>
          <t>TO</t>
        </is>
      </c>
      <c r="AI644" t="inlineStr">
        <is>
          <t>X</t>
        </is>
      </c>
      <c r="AJ644" t="n">
        <v>4</v>
      </c>
      <c r="AK644" t="inlineStr">
        <is>
          <t>V4</t>
        </is>
      </c>
      <c r="AL644" t="n">
        <v>20230920</v>
      </c>
      <c r="AM644" t="inlineStr">
        <is>
          <t>D836-900000034-10000624</t>
        </is>
      </c>
    </row>
    <row r="645">
      <c r="A645" t="inlineStr">
        <is>
          <t>900003588D83610000627</t>
        </is>
      </c>
      <c r="B645" t="inlineStr">
        <is>
          <t>4600027599-40</t>
        </is>
      </c>
      <c r="C645" t="n">
        <v>4600027599</v>
      </c>
      <c r="D645" t="n">
        <v>40</v>
      </c>
      <c r="E645" t="inlineStr">
        <is>
          <t>MXPO</t>
        </is>
      </c>
      <c r="F645" t="inlineStr">
        <is>
          <t>M02</t>
        </is>
      </c>
      <c r="G645" t="n">
        <v>900003588</v>
      </c>
      <c r="H645" t="inlineStr">
        <is>
          <t>TP-ARENERA LA FE</t>
        </is>
      </c>
      <c r="I645" t="n">
        <v>5003482</v>
      </c>
      <c r="J645" t="inlineStr">
        <is>
          <t>ARENERA LA FE S.A. DE C.V.</t>
        </is>
      </c>
      <c r="K645" t="inlineStr">
        <is>
          <t>N90</t>
        </is>
      </c>
      <c r="L645" t="inlineStr">
        <is>
          <t>(AP) NAFIN 90 Dias</t>
        </is>
      </c>
      <c r="M645" t="n">
        <v>10000627</v>
      </c>
      <c r="N645" t="inlineStr">
        <is>
          <t>Grava Triturada Andesita 10 mm - 3/8"</t>
        </is>
      </c>
      <c r="O645" t="inlineStr">
        <is>
          <t>D836</t>
        </is>
      </c>
      <c r="P645" t="inlineStr">
        <is>
          <t>MX-CED. CENTRO</t>
        </is>
      </c>
      <c r="Q645" t="n">
        <v>20141106</v>
      </c>
      <c r="R645" t="n">
        <v>20261231</v>
      </c>
      <c r="S645" t="n">
        <v>20170118</v>
      </c>
      <c r="T645" t="n">
        <v>20241231</v>
      </c>
      <c r="U645" t="n">
        <v>56.05</v>
      </c>
      <c r="V645" t="inlineStr">
        <is>
          <t>MXN</t>
        </is>
      </c>
      <c r="W645" t="inlineStr">
        <is>
          <t>TN</t>
        </is>
      </c>
      <c r="X645" t="n">
        <v>0</v>
      </c>
      <c r="Y645" t="inlineStr">
        <is>
          <t>MXN</t>
        </is>
      </c>
      <c r="Z645" t="inlineStr">
        <is>
          <t>TN</t>
        </is>
      </c>
      <c r="AC645" t="n">
        <v>56103637</v>
      </c>
      <c r="AD645" t="n">
        <v>6622261540</v>
      </c>
      <c r="AE645" t="n">
        <v>1</v>
      </c>
      <c r="AF645" t="inlineStr">
        <is>
          <t>ENTREGADO</t>
        </is>
      </c>
      <c r="AG645" t="n">
        <v>1</v>
      </c>
      <c r="AH645" t="inlineStr">
        <is>
          <t>TO</t>
        </is>
      </c>
      <c r="AI645" t="inlineStr">
        <is>
          <t>X</t>
        </is>
      </c>
      <c r="AJ645" t="n">
        <v>4</v>
      </c>
      <c r="AK645" t="inlineStr">
        <is>
          <t>V4</t>
        </is>
      </c>
      <c r="AL645" t="n">
        <v>20230920</v>
      </c>
      <c r="AM645" t="inlineStr">
        <is>
          <t>D836-900003588-10000627</t>
        </is>
      </c>
    </row>
    <row r="646">
      <c r="A646" t="inlineStr">
        <is>
          <t>900003786D83610000635</t>
        </is>
      </c>
      <c r="B646" t="inlineStr">
        <is>
          <t>4600034392-50</t>
        </is>
      </c>
      <c r="C646" t="n">
        <v>4600034392</v>
      </c>
      <c r="D646" t="n">
        <v>50</v>
      </c>
      <c r="E646" t="inlineStr">
        <is>
          <t>MXPO</t>
        </is>
      </c>
      <c r="F646" t="inlineStr">
        <is>
          <t>MXL</t>
        </is>
      </c>
      <c r="G646" t="n">
        <v>900003786</v>
      </c>
      <c r="H646" t="inlineStr">
        <is>
          <t>TP-TRIMCAV</t>
        </is>
      </c>
      <c r="I646" t="n">
        <v>5010147</v>
      </c>
      <c r="J646" t="inlineStr">
        <is>
          <t>TRITURACIONES DE MARMOL Y CALCIOS</t>
        </is>
      </c>
      <c r="K646" t="inlineStr">
        <is>
          <t>Z04</t>
        </is>
      </c>
      <c r="L646" t="inlineStr">
        <is>
          <t>(AP) 30 Dias</t>
        </is>
      </c>
      <c r="M646" t="n">
        <v>10000635</v>
      </c>
      <c r="N646" t="inlineStr">
        <is>
          <t>Arena Triturada Marmol Malla 4</t>
        </is>
      </c>
      <c r="O646" t="inlineStr">
        <is>
          <t>D836</t>
        </is>
      </c>
      <c r="P646" t="inlineStr">
        <is>
          <t>MX-CED. CENTRO</t>
        </is>
      </c>
      <c r="Q646" t="n">
        <v>20160627</v>
      </c>
      <c r="R646" t="n">
        <v>20241231</v>
      </c>
      <c r="S646" t="n">
        <v>20180725</v>
      </c>
      <c r="T646" t="n">
        <v>20241231</v>
      </c>
      <c r="U646" t="n">
        <v>346.5</v>
      </c>
      <c r="V646" t="inlineStr">
        <is>
          <t>MXN</t>
        </is>
      </c>
      <c r="W646" t="inlineStr">
        <is>
          <t>TN</t>
        </is>
      </c>
      <c r="X646" t="n">
        <v>0</v>
      </c>
      <c r="Y646" t="inlineStr">
        <is>
          <t>MXN</t>
        </is>
      </c>
      <c r="Z646" t="inlineStr">
        <is>
          <t>TN</t>
        </is>
      </c>
      <c r="AC646" t="n">
        <v>56103638</v>
      </c>
      <c r="AD646" t="n">
        <v>6622261540</v>
      </c>
      <c r="AE646" t="n">
        <v>2</v>
      </c>
      <c r="AF646" t="inlineStr">
        <is>
          <t>RECOGIDO</t>
        </is>
      </c>
      <c r="AG646" t="n">
        <v>1</v>
      </c>
      <c r="AH646" t="inlineStr">
        <is>
          <t>TO</t>
        </is>
      </c>
      <c r="AI646" t="inlineStr">
        <is>
          <t>X</t>
        </is>
      </c>
      <c r="AJ646" t="n">
        <v>4</v>
      </c>
      <c r="AK646" t="inlineStr">
        <is>
          <t>V4</t>
        </is>
      </c>
      <c r="AL646" t="n">
        <v>20230920</v>
      </c>
      <c r="AM646" t="inlineStr">
        <is>
          <t>D836-900003786-10000635</t>
        </is>
      </c>
    </row>
    <row r="647">
      <c r="A647" t="inlineStr">
        <is>
          <t>900003786D83610000643</t>
        </is>
      </c>
      <c r="B647" t="inlineStr">
        <is>
          <t>4600034392-60</t>
        </is>
      </c>
      <c r="C647" t="n">
        <v>4600034392</v>
      </c>
      <c r="D647" t="n">
        <v>60</v>
      </c>
      <c r="E647" t="inlineStr">
        <is>
          <t>MXPO</t>
        </is>
      </c>
      <c r="F647" t="inlineStr">
        <is>
          <t>MXL</t>
        </is>
      </c>
      <c r="G647" t="n">
        <v>900003786</v>
      </c>
      <c r="H647" t="inlineStr">
        <is>
          <t>TP-TRIMCAV</t>
        </is>
      </c>
      <c r="I647" t="n">
        <v>5010147</v>
      </c>
      <c r="J647" t="inlineStr">
        <is>
          <t>TRITURACIONES DE MARMOL Y CALCIOS</t>
        </is>
      </c>
      <c r="K647" t="inlineStr">
        <is>
          <t>Z04</t>
        </is>
      </c>
      <c r="L647" t="inlineStr">
        <is>
          <t>(AP) 30 Dias</t>
        </is>
      </c>
      <c r="M647" t="n">
        <v>10000643</v>
      </c>
      <c r="N647" t="inlineStr">
        <is>
          <t>Grava Triturada Marmol 20 mm - 3/4"</t>
        </is>
      </c>
      <c r="O647" t="inlineStr">
        <is>
          <t>D836</t>
        </is>
      </c>
      <c r="P647" t="inlineStr">
        <is>
          <t>MX-CED. CENTRO</t>
        </is>
      </c>
      <c r="Q647" t="n">
        <v>20160627</v>
      </c>
      <c r="R647" t="n">
        <v>20241231</v>
      </c>
      <c r="S647" t="n">
        <v>20180725</v>
      </c>
      <c r="T647" t="n">
        <v>20241231</v>
      </c>
      <c r="U647" t="n">
        <v>346.5</v>
      </c>
      <c r="V647" t="inlineStr">
        <is>
          <t>MXN</t>
        </is>
      </c>
      <c r="W647" t="inlineStr">
        <is>
          <t>TN</t>
        </is>
      </c>
      <c r="X647" t="n">
        <v>0</v>
      </c>
      <c r="Y647" t="inlineStr">
        <is>
          <t>MXN</t>
        </is>
      </c>
      <c r="Z647" t="inlineStr">
        <is>
          <t>TN</t>
        </is>
      </c>
      <c r="AC647" t="n">
        <v>56103637</v>
      </c>
      <c r="AD647" t="n">
        <v>6622261540</v>
      </c>
      <c r="AE647" t="n">
        <v>2</v>
      </c>
      <c r="AF647" t="inlineStr">
        <is>
          <t>RECOGIDO</t>
        </is>
      </c>
      <c r="AG647" t="n">
        <v>1</v>
      </c>
      <c r="AH647" t="inlineStr">
        <is>
          <t>TO</t>
        </is>
      </c>
      <c r="AI647" t="inlineStr">
        <is>
          <t>X</t>
        </is>
      </c>
      <c r="AJ647" t="n">
        <v>4</v>
      </c>
      <c r="AK647" t="inlineStr">
        <is>
          <t>V4</t>
        </is>
      </c>
      <c r="AL647" t="n">
        <v>20230920</v>
      </c>
      <c r="AM647" t="inlineStr">
        <is>
          <t>D836-900003786-10000643</t>
        </is>
      </c>
    </row>
    <row r="648">
      <c r="A648" t="inlineStr">
        <is>
          <t>900000034D83610000623</t>
        </is>
      </c>
      <c r="B648" t="inlineStr">
        <is>
          <t>4600027549-20</t>
        </is>
      </c>
      <c r="C648" t="n">
        <v>4600027549</v>
      </c>
      <c r="D648" t="n">
        <v>20</v>
      </c>
      <c r="E648" t="inlineStr">
        <is>
          <t>MXPO</t>
        </is>
      </c>
      <c r="F648" t="inlineStr">
        <is>
          <t>M02</t>
        </is>
      </c>
      <c r="G648" t="n">
        <v>900000034</v>
      </c>
      <c r="H648" t="inlineStr">
        <is>
          <t>TC-EJIDO PROGRESO</t>
        </is>
      </c>
      <c r="I648" t="n">
        <v>5001924</v>
      </c>
      <c r="J648" t="inlineStr">
        <is>
          <t>EJIDO PROGRESO</t>
        </is>
      </c>
      <c r="K648" t="inlineStr">
        <is>
          <t>Z04</t>
        </is>
      </c>
      <c r="L648" t="inlineStr">
        <is>
          <t>(AP) 30 Dias</t>
        </is>
      </c>
      <c r="M648" t="n">
        <v>10000623</v>
      </c>
      <c r="N648" t="inlineStr">
        <is>
          <t>Grava Triturada Caliza 10 mm - 3/8"</t>
        </is>
      </c>
      <c r="O648" t="inlineStr">
        <is>
          <t>D836</t>
        </is>
      </c>
      <c r="P648" t="inlineStr">
        <is>
          <t>MX-CED. CENTRO</t>
        </is>
      </c>
      <c r="Q648" t="n">
        <v>20141106</v>
      </c>
      <c r="R648" t="n">
        <v>20241231</v>
      </c>
      <c r="S648" t="n">
        <v>20180209</v>
      </c>
      <c r="T648" t="n">
        <v>20241231</v>
      </c>
      <c r="U648" t="n">
        <v>90</v>
      </c>
      <c r="V648" t="inlineStr">
        <is>
          <t>MXN</t>
        </is>
      </c>
      <c r="W648" t="inlineStr">
        <is>
          <t>TN</t>
        </is>
      </c>
      <c r="X648" t="n">
        <v>0</v>
      </c>
      <c r="Y648" t="inlineStr">
        <is>
          <t>MXN</t>
        </is>
      </c>
      <c r="Z648" t="inlineStr">
        <is>
          <t>TN</t>
        </is>
      </c>
      <c r="AC648" t="n">
        <v>56103637</v>
      </c>
      <c r="AD648" t="n">
        <v>6622261540</v>
      </c>
      <c r="AE648" t="n">
        <v>1</v>
      </c>
      <c r="AF648" t="inlineStr">
        <is>
          <t>ENTREGADO</t>
        </is>
      </c>
      <c r="AG648" t="n">
        <v>1</v>
      </c>
      <c r="AH648" t="inlineStr">
        <is>
          <t>TO</t>
        </is>
      </c>
      <c r="AI648" t="inlineStr">
        <is>
          <t>X</t>
        </is>
      </c>
      <c r="AJ648" t="n">
        <v>4</v>
      </c>
      <c r="AK648" t="inlineStr">
        <is>
          <t>V4</t>
        </is>
      </c>
      <c r="AL648" t="n">
        <v>20230920</v>
      </c>
      <c r="AM648" t="inlineStr">
        <is>
          <t>D836-900000034-10000623</t>
        </is>
      </c>
    </row>
    <row r="649">
      <c r="A649" t="inlineStr">
        <is>
          <t>900000034D83610000811</t>
        </is>
      </c>
      <c r="B649" t="inlineStr">
        <is>
          <t>4600027549-40</t>
        </is>
      </c>
      <c r="C649" t="n">
        <v>4600027549</v>
      </c>
      <c r="D649" t="n">
        <v>40</v>
      </c>
      <c r="E649" t="inlineStr">
        <is>
          <t>MXPO</t>
        </is>
      </c>
      <c r="F649" t="inlineStr">
        <is>
          <t>M02</t>
        </is>
      </c>
      <c r="G649" t="n">
        <v>900000034</v>
      </c>
      <c r="H649" t="inlineStr">
        <is>
          <t>TC-EJIDO PROGRESO</t>
        </is>
      </c>
      <c r="I649" t="n">
        <v>5001924</v>
      </c>
      <c r="J649" t="inlineStr">
        <is>
          <t>EJIDO PROGRESO</t>
        </is>
      </c>
      <c r="K649" t="inlineStr">
        <is>
          <t>Z04</t>
        </is>
      </c>
      <c r="L649" t="inlineStr">
        <is>
          <t>(AP) 30 Dias</t>
        </is>
      </c>
      <c r="M649" t="n">
        <v>10000811</v>
      </c>
      <c r="N649" t="inlineStr">
        <is>
          <t>Grava Triturada Caliza 20 mm - 3/4"</t>
        </is>
      </c>
      <c r="O649" t="inlineStr">
        <is>
          <t>D836</t>
        </is>
      </c>
      <c r="P649" t="inlineStr">
        <is>
          <t>MX-CED. CENTRO</t>
        </is>
      </c>
      <c r="Q649" t="n">
        <v>20141106</v>
      </c>
      <c r="R649" t="n">
        <v>20241231</v>
      </c>
      <c r="S649" t="n">
        <v>20180209</v>
      </c>
      <c r="T649" t="n">
        <v>20241231</v>
      </c>
      <c r="U649" t="n">
        <v>90</v>
      </c>
      <c r="V649" t="inlineStr">
        <is>
          <t>MXN</t>
        </is>
      </c>
      <c r="W649" t="inlineStr">
        <is>
          <t>TN</t>
        </is>
      </c>
      <c r="X649" t="n">
        <v>0</v>
      </c>
      <c r="Y649" t="inlineStr">
        <is>
          <t>MXN</t>
        </is>
      </c>
      <c r="Z649" t="inlineStr">
        <is>
          <t>TN</t>
        </is>
      </c>
      <c r="AC649" t="n">
        <v>56103637</v>
      </c>
      <c r="AD649" t="n">
        <v>6622261540</v>
      </c>
      <c r="AE649" t="n">
        <v>1</v>
      </c>
      <c r="AF649" t="inlineStr">
        <is>
          <t>ENTREGADO</t>
        </is>
      </c>
      <c r="AG649" t="n">
        <v>1</v>
      </c>
      <c r="AH649" t="inlineStr">
        <is>
          <t>TO</t>
        </is>
      </c>
      <c r="AI649" t="inlineStr">
        <is>
          <t>X</t>
        </is>
      </c>
      <c r="AJ649" t="n">
        <v>4</v>
      </c>
      <c r="AK649" t="inlineStr">
        <is>
          <t>V4</t>
        </is>
      </c>
      <c r="AL649" t="n">
        <v>20230920</v>
      </c>
      <c r="AM649" t="inlineStr">
        <is>
          <t>D836-900000034-10000811</t>
        </is>
      </c>
    </row>
    <row r="650">
      <c r="A650" t="inlineStr">
        <is>
          <t>900003588D83610001354</t>
        </is>
      </c>
      <c r="B650" t="inlineStr">
        <is>
          <t>4600027599-50</t>
        </is>
      </c>
      <c r="C650" t="n">
        <v>4600027599</v>
      </c>
      <c r="D650" t="n">
        <v>50</v>
      </c>
      <c r="E650" t="inlineStr">
        <is>
          <t>MXPO</t>
        </is>
      </c>
      <c r="F650" t="inlineStr">
        <is>
          <t>M02</t>
        </is>
      </c>
      <c r="G650" t="n">
        <v>900003588</v>
      </c>
      <c r="H650" t="inlineStr">
        <is>
          <t>TP-ARENERA LA FE</t>
        </is>
      </c>
      <c r="I650" t="n">
        <v>5003482</v>
      </c>
      <c r="J650" t="inlineStr">
        <is>
          <t>ARENERA LA FE S.A. DE C.V.</t>
        </is>
      </c>
      <c r="K650" t="inlineStr">
        <is>
          <t>N90</t>
        </is>
      </c>
      <c r="L650" t="inlineStr">
        <is>
          <t>(AP) NAFIN 90 Dias</t>
        </is>
      </c>
      <c r="M650" t="n">
        <v>10001354</v>
      </c>
      <c r="N650" t="inlineStr">
        <is>
          <t>Grava Triturada Andesita 20 mm - 3/4"-AB</t>
        </is>
      </c>
      <c r="O650" t="inlineStr">
        <is>
          <t>D836</t>
        </is>
      </c>
      <c r="P650" t="inlineStr">
        <is>
          <t>MX-CED. CENTRO</t>
        </is>
      </c>
      <c r="Q650" t="n">
        <v>20141106</v>
      </c>
      <c r="R650" t="n">
        <v>20261231</v>
      </c>
      <c r="S650" t="n">
        <v>20180102</v>
      </c>
      <c r="T650" t="n">
        <v>20241231</v>
      </c>
      <c r="U650" t="n">
        <v>123</v>
      </c>
      <c r="V650" t="inlineStr">
        <is>
          <t>MXN</t>
        </is>
      </c>
      <c r="W650" t="inlineStr">
        <is>
          <t>TN</t>
        </is>
      </c>
      <c r="X650" t="n">
        <v>0</v>
      </c>
      <c r="Y650" t="inlineStr">
        <is>
          <t>MXN</t>
        </is>
      </c>
      <c r="Z650" t="inlineStr">
        <is>
          <t>TN</t>
        </is>
      </c>
      <c r="AC650" t="n">
        <v>56103637</v>
      </c>
      <c r="AD650" t="n">
        <v>6622261540</v>
      </c>
      <c r="AE650" t="n">
        <v>1</v>
      </c>
      <c r="AF650" t="inlineStr">
        <is>
          <t>ENTREGADO</t>
        </is>
      </c>
      <c r="AG650" t="n">
        <v>1</v>
      </c>
      <c r="AH650" t="inlineStr">
        <is>
          <t>TO</t>
        </is>
      </c>
      <c r="AI650" t="inlineStr">
        <is>
          <t>X</t>
        </is>
      </c>
      <c r="AJ650" t="n">
        <v>4</v>
      </c>
      <c r="AK650" t="inlineStr">
        <is>
          <t>V4</t>
        </is>
      </c>
      <c r="AL650" t="n">
        <v>20230920</v>
      </c>
      <c r="AM650" t="inlineStr">
        <is>
          <t>D836-900003588-10001354</t>
        </is>
      </c>
    </row>
    <row r="651">
      <c r="A651" t="inlineStr">
        <is>
          <t>900003601D83610159432</t>
        </is>
      </c>
      <c r="B651" t="inlineStr">
        <is>
          <t>4600027604-100</t>
        </is>
      </c>
      <c r="C651" t="n">
        <v>4600027604</v>
      </c>
      <c r="D651" t="n">
        <v>100</v>
      </c>
      <c r="E651" t="inlineStr">
        <is>
          <t>MXPO</t>
        </is>
      </c>
      <c r="F651" t="inlineStr">
        <is>
          <t>M02</t>
        </is>
      </c>
      <c r="G651" t="n">
        <v>900003601</v>
      </c>
      <c r="H651" t="inlineStr">
        <is>
          <t>TP-EJIDO PROGRESO</t>
        </is>
      </c>
      <c r="I651" t="n">
        <v>5001924</v>
      </c>
      <c r="J651" t="inlineStr">
        <is>
          <t>EJIDO PROGRESO</t>
        </is>
      </c>
      <c r="K651" t="inlineStr">
        <is>
          <t>Z04</t>
        </is>
      </c>
      <c r="L651" t="inlineStr">
        <is>
          <t>(AP) 30 Dias</t>
        </is>
      </c>
      <c r="M651" t="n">
        <v>10159432</v>
      </c>
      <c r="N651" t="inlineStr">
        <is>
          <t>GRAVA TRITURADA CALIZA 1"</t>
        </is>
      </c>
      <c r="O651" t="inlineStr">
        <is>
          <t>D836</t>
        </is>
      </c>
      <c r="P651" t="inlineStr">
        <is>
          <t>MX-CED. CENTRO</t>
        </is>
      </c>
      <c r="Q651" t="n">
        <v>20141106</v>
      </c>
      <c r="R651" t="n">
        <v>20291231</v>
      </c>
      <c r="S651" t="n">
        <v>20230501</v>
      </c>
      <c r="T651" t="n">
        <v>20281231</v>
      </c>
      <c r="U651" t="n">
        <v>95</v>
      </c>
      <c r="V651" t="inlineStr">
        <is>
          <t>MXN</t>
        </is>
      </c>
      <c r="W651" t="inlineStr">
        <is>
          <t>TN</t>
        </is>
      </c>
      <c r="X651" t="n">
        <v>0</v>
      </c>
      <c r="Y651" t="inlineStr">
        <is>
          <t>MXN</t>
        </is>
      </c>
      <c r="Z651" t="inlineStr">
        <is>
          <t>TN</t>
        </is>
      </c>
      <c r="AC651" t="n">
        <v>56103637</v>
      </c>
      <c r="AD651" t="n">
        <v>6622261540</v>
      </c>
      <c r="AE651" t="n">
        <v>1</v>
      </c>
      <c r="AF651" t="inlineStr">
        <is>
          <t>ENTREGADO</t>
        </is>
      </c>
      <c r="AG651" t="n">
        <v>1</v>
      </c>
      <c r="AH651" t="inlineStr">
        <is>
          <t>TO</t>
        </is>
      </c>
      <c r="AI651" t="inlineStr">
        <is>
          <t>X</t>
        </is>
      </c>
      <c r="AJ651" t="n">
        <v>4</v>
      </c>
      <c r="AK651" t="inlineStr">
        <is>
          <t>V4</t>
        </is>
      </c>
      <c r="AL651" t="n">
        <v>20230920</v>
      </c>
      <c r="AM651" t="inlineStr">
        <is>
          <t>D836-900003601-10159432</t>
        </is>
      </c>
    </row>
    <row r="652">
      <c r="A652" t="inlineStr">
        <is>
          <t>900004077D83610184011</t>
        </is>
      </c>
      <c r="B652" t="inlineStr">
        <is>
          <t>4600036871-80</t>
        </is>
      </c>
      <c r="C652" t="n">
        <v>4600036871</v>
      </c>
      <c r="D652" t="n">
        <v>80</v>
      </c>
      <c r="E652" t="inlineStr">
        <is>
          <t>MXPO</t>
        </is>
      </c>
      <c r="F652" t="inlineStr">
        <is>
          <t>MXL</t>
        </is>
      </c>
      <c r="G652" t="n">
        <v>900004077</v>
      </c>
      <c r="H652" t="inlineStr">
        <is>
          <t>TP-SAN JUAN (HUDASA)</t>
        </is>
      </c>
      <c r="I652" t="n">
        <v>5054686</v>
      </c>
      <c r="J652" t="inlineStr">
        <is>
          <t>GRUPO MERCANTIL HUDASA SA DE CV</t>
        </is>
      </c>
      <c r="K652" t="inlineStr">
        <is>
          <t>Z06</t>
        </is>
      </c>
      <c r="L652" t="inlineStr">
        <is>
          <t>(AP) 45 Dias</t>
        </is>
      </c>
      <c r="M652" t="n">
        <v>10184011</v>
      </c>
      <c r="N652" t="inlineStr">
        <is>
          <t>GRAVA TRITURADA CALIZA 20 MM - 3/4"</t>
        </is>
      </c>
      <c r="O652" t="inlineStr">
        <is>
          <t>D836</t>
        </is>
      </c>
      <c r="P652" t="inlineStr">
        <is>
          <t>MX-CED. CENTRO</t>
        </is>
      </c>
      <c r="Q652" t="n">
        <v>20170220</v>
      </c>
      <c r="R652" t="n">
        <v>20241231</v>
      </c>
      <c r="S652" t="n">
        <v>20200501</v>
      </c>
      <c r="T652" t="n">
        <v>20291231</v>
      </c>
      <c r="U652" t="n">
        <v>113.2</v>
      </c>
      <c r="V652" t="inlineStr">
        <is>
          <t>MXN</t>
        </is>
      </c>
      <c r="W652" t="inlineStr">
        <is>
          <t>TN</t>
        </is>
      </c>
      <c r="X652" t="n">
        <v>0</v>
      </c>
      <c r="Y652" t="inlineStr">
        <is>
          <t>MXN</t>
        </is>
      </c>
      <c r="Z652" t="inlineStr">
        <is>
          <t>TN</t>
        </is>
      </c>
      <c r="AC652" t="n">
        <v>56103637</v>
      </c>
      <c r="AD652" t="n">
        <v>6622261540</v>
      </c>
      <c r="AE652" t="n">
        <v>1</v>
      </c>
      <c r="AF652" t="inlineStr">
        <is>
          <t>ENTREGADO</t>
        </is>
      </c>
      <c r="AG652" t="n">
        <v>1</v>
      </c>
      <c r="AH652" t="inlineStr">
        <is>
          <t>TO</t>
        </is>
      </c>
      <c r="AI652" t="inlineStr">
        <is>
          <t>X</t>
        </is>
      </c>
      <c r="AJ652" t="n">
        <v>4</v>
      </c>
      <c r="AK652" t="inlineStr">
        <is>
          <t>V4</t>
        </is>
      </c>
      <c r="AL652" t="n">
        <v>20230920</v>
      </c>
      <c r="AM652" t="inlineStr">
        <is>
          <t>D836-900004077-10184011</t>
        </is>
      </c>
    </row>
    <row r="653">
      <c r="A653" t="inlineStr">
        <is>
          <t>900004077D83610000357</t>
        </is>
      </c>
      <c r="B653" t="inlineStr">
        <is>
          <t>4600036871-100</t>
        </is>
      </c>
      <c r="C653" t="n">
        <v>4600036871</v>
      </c>
      <c r="D653" t="n">
        <v>100</v>
      </c>
      <c r="E653" t="inlineStr">
        <is>
          <t>MXPO</t>
        </is>
      </c>
      <c r="F653" t="inlineStr">
        <is>
          <t>MXL</t>
        </is>
      </c>
      <c r="G653" t="n">
        <v>900004077</v>
      </c>
      <c r="H653" t="inlineStr">
        <is>
          <t>TP-SAN JUAN (HUDASA)</t>
        </is>
      </c>
      <c r="I653" t="n">
        <v>5054686</v>
      </c>
      <c r="J653" t="inlineStr">
        <is>
          <t>GRUPO MERCANTIL HUDASA SA DE CV</t>
        </is>
      </c>
      <c r="K653" t="inlineStr">
        <is>
          <t>Z06</t>
        </is>
      </c>
      <c r="L653" t="inlineStr">
        <is>
          <t>(AP) 45 Dias</t>
        </is>
      </c>
      <c r="M653" t="n">
        <v>10000357</v>
      </c>
      <c r="N653" t="inlineStr">
        <is>
          <t>Grava Triturada Andesita 20 mm - 3/4"</t>
        </is>
      </c>
      <c r="O653" t="inlineStr">
        <is>
          <t>D836</t>
        </is>
      </c>
      <c r="P653" t="inlineStr">
        <is>
          <t>MX-CED. CENTRO</t>
        </is>
      </c>
      <c r="Q653" t="n">
        <v>20170220</v>
      </c>
      <c r="R653" t="n">
        <v>20241231</v>
      </c>
      <c r="S653" t="n">
        <v>20200522</v>
      </c>
      <c r="T653" t="n">
        <v>20291231</v>
      </c>
      <c r="U653" t="n">
        <v>80</v>
      </c>
      <c r="V653" t="inlineStr">
        <is>
          <t>MXN</t>
        </is>
      </c>
      <c r="W653" t="inlineStr">
        <is>
          <t>TN</t>
        </is>
      </c>
      <c r="X653" t="n">
        <v>0</v>
      </c>
      <c r="Y653" t="inlineStr">
        <is>
          <t>MXN</t>
        </is>
      </c>
      <c r="Z653" t="inlineStr">
        <is>
          <t>TN</t>
        </is>
      </c>
      <c r="AC653" t="n">
        <v>56103637</v>
      </c>
      <c r="AD653" t="n">
        <v>6622261540</v>
      </c>
      <c r="AE653" t="n">
        <v>1</v>
      </c>
      <c r="AF653" t="inlineStr">
        <is>
          <t>ENTREGADO</t>
        </is>
      </c>
      <c r="AG653" t="n">
        <v>1</v>
      </c>
      <c r="AH653" t="inlineStr">
        <is>
          <t>TO</t>
        </is>
      </c>
      <c r="AI653" t="inlineStr">
        <is>
          <t>X</t>
        </is>
      </c>
      <c r="AJ653" t="n">
        <v>4</v>
      </c>
      <c r="AK653" t="inlineStr">
        <is>
          <t>V4</t>
        </is>
      </c>
      <c r="AL653" t="n">
        <v>20230920</v>
      </c>
      <c r="AM653" t="inlineStr">
        <is>
          <t>D836-900004077-10000357</t>
        </is>
      </c>
    </row>
    <row r="654">
      <c r="A654" t="inlineStr">
        <is>
          <t>900003588D83610000625</t>
        </is>
      </c>
      <c r="B654" t="inlineStr">
        <is>
          <t>4600027599-10</t>
        </is>
      </c>
      <c r="C654" t="n">
        <v>4600027599</v>
      </c>
      <c r="D654" t="n">
        <v>10</v>
      </c>
      <c r="E654" t="inlineStr">
        <is>
          <t>MXPO</t>
        </is>
      </c>
      <c r="F654" t="inlineStr">
        <is>
          <t>M02</t>
        </is>
      </c>
      <c r="G654" t="n">
        <v>900003588</v>
      </c>
      <c r="H654" t="inlineStr">
        <is>
          <t>TP-ARENERA LA FE</t>
        </is>
      </c>
      <c r="I654" t="n">
        <v>5003482</v>
      </c>
      <c r="J654" t="inlineStr">
        <is>
          <t>ARENERA LA FE S.A. DE C.V.</t>
        </is>
      </c>
      <c r="K654" t="inlineStr">
        <is>
          <t>N90</t>
        </is>
      </c>
      <c r="L654" t="inlineStr">
        <is>
          <t>(AP) NAFIN 90 Dias</t>
        </is>
      </c>
      <c r="M654" t="n">
        <v>10000625</v>
      </c>
      <c r="N654" t="inlineStr">
        <is>
          <t>Arena Triturada Andesita Malla 4</t>
        </is>
      </c>
      <c r="O654" t="inlineStr">
        <is>
          <t>D836</t>
        </is>
      </c>
      <c r="P654" t="inlineStr">
        <is>
          <t>MX-CED. CENTRO</t>
        </is>
      </c>
      <c r="Q654" t="n">
        <v>20141106</v>
      </c>
      <c r="R654" t="n">
        <v>20261231</v>
      </c>
      <c r="S654" t="n">
        <v>20170118</v>
      </c>
      <c r="T654" t="n">
        <v>20241231</v>
      </c>
      <c r="U654" t="n">
        <v>47.23</v>
      </c>
      <c r="V654" t="inlineStr">
        <is>
          <t>MXN</t>
        </is>
      </c>
      <c r="W654" t="inlineStr">
        <is>
          <t>TN</t>
        </is>
      </c>
      <c r="X654" t="n">
        <v>0</v>
      </c>
      <c r="Y654" t="inlineStr">
        <is>
          <t>MXN</t>
        </is>
      </c>
      <c r="Z654" t="inlineStr">
        <is>
          <t>TN</t>
        </is>
      </c>
      <c r="AC654" t="n">
        <v>56103638</v>
      </c>
      <c r="AD654" t="n">
        <v>6622261540</v>
      </c>
      <c r="AE654" t="n">
        <v>1</v>
      </c>
      <c r="AF654" t="inlineStr">
        <is>
          <t>ENTREGADO</t>
        </is>
      </c>
      <c r="AG654" t="n">
        <v>1</v>
      </c>
      <c r="AH654" t="inlineStr">
        <is>
          <t>TO</t>
        </is>
      </c>
      <c r="AI654" t="inlineStr">
        <is>
          <t>X</t>
        </is>
      </c>
      <c r="AJ654" t="n">
        <v>4</v>
      </c>
      <c r="AK654" t="inlineStr">
        <is>
          <t>V4</t>
        </is>
      </c>
      <c r="AL654" t="n">
        <v>20230920</v>
      </c>
      <c r="AM654" t="inlineStr">
        <is>
          <t>D836-900003588-10000625</t>
        </is>
      </c>
    </row>
    <row r="655">
      <c r="A655" t="inlineStr">
        <is>
          <t>900003588D83610003132</t>
        </is>
      </c>
      <c r="B655" t="inlineStr">
        <is>
          <t>4600027599-60</t>
        </is>
      </c>
      <c r="C655" t="n">
        <v>4600027599</v>
      </c>
      <c r="D655" t="n">
        <v>60</v>
      </c>
      <c r="E655" t="inlineStr">
        <is>
          <t>MXPO</t>
        </is>
      </c>
      <c r="F655" t="inlineStr">
        <is>
          <t>M02</t>
        </is>
      </c>
      <c r="G655" t="n">
        <v>900003588</v>
      </c>
      <c r="H655" t="inlineStr">
        <is>
          <t>TP-ARENERA LA FE</t>
        </is>
      </c>
      <c r="I655" t="n">
        <v>5003482</v>
      </c>
      <c r="J655" t="inlineStr">
        <is>
          <t>ARENERA LA FE S.A. DE C.V.</t>
        </is>
      </c>
      <c r="K655" t="inlineStr">
        <is>
          <t>N90</t>
        </is>
      </c>
      <c r="L655" t="inlineStr">
        <is>
          <t>(AP) NAFIN 90 Dias</t>
        </is>
      </c>
      <c r="M655" t="n">
        <v>10003132</v>
      </c>
      <c r="N655" t="inlineStr">
        <is>
          <t>Base H Triturada Andesita  1 1/2" a Fino</t>
        </is>
      </c>
      <c r="O655" t="inlineStr">
        <is>
          <t>D836</t>
        </is>
      </c>
      <c r="P655" t="inlineStr">
        <is>
          <t>MX-CED. CENTRO</t>
        </is>
      </c>
      <c r="Q655" t="n">
        <v>20141106</v>
      </c>
      <c r="R655" t="n">
        <v>20261231</v>
      </c>
      <c r="S655" t="n">
        <v>20211108</v>
      </c>
      <c r="T655" t="n">
        <v>20241231</v>
      </c>
      <c r="U655" t="n">
        <v>135</v>
      </c>
      <c r="V655" t="inlineStr">
        <is>
          <t>MXN</t>
        </is>
      </c>
      <c r="W655" t="inlineStr">
        <is>
          <t>TN</t>
        </is>
      </c>
      <c r="X655" t="n">
        <v>0</v>
      </c>
      <c r="Y655" t="inlineStr">
        <is>
          <t>MXN</t>
        </is>
      </c>
      <c r="Z655" t="inlineStr">
        <is>
          <t>TN</t>
        </is>
      </c>
      <c r="AC655" t="n">
        <v>56103590</v>
      </c>
      <c r="AD655" t="n">
        <v>6622261540</v>
      </c>
      <c r="AE655" t="n">
        <v>1</v>
      </c>
      <c r="AF655" t="inlineStr">
        <is>
          <t>ENTREGADO</t>
        </is>
      </c>
      <c r="AG655" t="n">
        <v>1</v>
      </c>
      <c r="AH655" t="inlineStr">
        <is>
          <t>TO</t>
        </is>
      </c>
      <c r="AI655" t="inlineStr">
        <is>
          <t>X</t>
        </is>
      </c>
      <c r="AJ655" t="n">
        <v>4</v>
      </c>
      <c r="AK655" t="inlineStr">
        <is>
          <t>V4</t>
        </is>
      </c>
      <c r="AL655" t="n">
        <v>20230920</v>
      </c>
      <c r="AM655" t="inlineStr">
        <is>
          <t>D836-900003588-10003132</t>
        </is>
      </c>
    </row>
    <row r="656">
      <c r="A656" t="inlineStr">
        <is>
          <t>900004077D83610000623</t>
        </is>
      </c>
      <c r="B656" t="inlineStr">
        <is>
          <t>4600036871-50</t>
        </is>
      </c>
      <c r="C656" t="n">
        <v>4600036871</v>
      </c>
      <c r="D656" t="n">
        <v>50</v>
      </c>
      <c r="E656" t="inlineStr">
        <is>
          <t>MXPO</t>
        </is>
      </c>
      <c r="F656" t="inlineStr">
        <is>
          <t>MXL</t>
        </is>
      </c>
      <c r="G656" t="n">
        <v>900004077</v>
      </c>
      <c r="H656" t="inlineStr">
        <is>
          <t>TP-SAN JUAN (HUDASA)</t>
        </is>
      </c>
      <c r="I656" t="n">
        <v>5054686</v>
      </c>
      <c r="J656" t="inlineStr">
        <is>
          <t>GRUPO MERCANTIL HUDASA SA DE CV</t>
        </is>
      </c>
      <c r="K656" t="inlineStr">
        <is>
          <t>Z06</t>
        </is>
      </c>
      <c r="L656" t="inlineStr">
        <is>
          <t>(AP) 45 Dias</t>
        </is>
      </c>
      <c r="M656" t="n">
        <v>10000623</v>
      </c>
      <c r="N656" t="inlineStr">
        <is>
          <t>Grava Triturada Caliza 10 mm - 3/8"</t>
        </is>
      </c>
      <c r="O656" t="inlineStr">
        <is>
          <t>D836</t>
        </is>
      </c>
      <c r="P656" t="inlineStr">
        <is>
          <t>MX-CED. CENTRO</t>
        </is>
      </c>
      <c r="Q656" t="n">
        <v>20170220</v>
      </c>
      <c r="R656" t="n">
        <v>20241231</v>
      </c>
      <c r="S656" t="n">
        <v>20200402</v>
      </c>
      <c r="T656" t="n">
        <v>20291231</v>
      </c>
      <c r="U656" t="n">
        <v>113.2</v>
      </c>
      <c r="V656" t="inlineStr">
        <is>
          <t>MXN</t>
        </is>
      </c>
      <c r="W656" t="inlineStr">
        <is>
          <t>TN</t>
        </is>
      </c>
      <c r="X656" t="n">
        <v>0</v>
      </c>
      <c r="Y656" t="inlineStr">
        <is>
          <t>MXN</t>
        </is>
      </c>
      <c r="Z656" t="inlineStr">
        <is>
          <t>TN</t>
        </is>
      </c>
      <c r="AC656" t="n">
        <v>56103637</v>
      </c>
      <c r="AD656" t="n">
        <v>6622261540</v>
      </c>
      <c r="AE656" t="n">
        <v>1</v>
      </c>
      <c r="AF656" t="inlineStr">
        <is>
          <t>ENTREGADO</t>
        </is>
      </c>
      <c r="AG656" t="n">
        <v>1</v>
      </c>
      <c r="AH656" t="inlineStr">
        <is>
          <t>TO</t>
        </is>
      </c>
      <c r="AI656" t="inlineStr">
        <is>
          <t>X</t>
        </is>
      </c>
      <c r="AJ656" t="n">
        <v>4</v>
      </c>
      <c r="AK656" t="inlineStr">
        <is>
          <t>V4</t>
        </is>
      </c>
      <c r="AL656" t="n">
        <v>20230920</v>
      </c>
      <c r="AM656" t="inlineStr">
        <is>
          <t>D836-900004077-10000623</t>
        </is>
      </c>
    </row>
    <row r="657">
      <c r="A657" t="inlineStr">
        <is>
          <t>900004077D83610184010</t>
        </is>
      </c>
      <c r="B657" t="inlineStr">
        <is>
          <t>4600036871-70</t>
        </is>
      </c>
      <c r="C657" t="n">
        <v>4600036871</v>
      </c>
      <c r="D657" t="n">
        <v>70</v>
      </c>
      <c r="E657" t="inlineStr">
        <is>
          <t>MXPO</t>
        </is>
      </c>
      <c r="F657" t="inlineStr">
        <is>
          <t>MXL</t>
        </is>
      </c>
      <c r="G657" t="n">
        <v>900004077</v>
      </c>
      <c r="H657" t="inlineStr">
        <is>
          <t>TP-SAN JUAN (HUDASA)</t>
        </is>
      </c>
      <c r="I657" t="n">
        <v>5054686</v>
      </c>
      <c r="J657" t="inlineStr">
        <is>
          <t>GRUPO MERCANTIL HUDASA SA DE CV</t>
        </is>
      </c>
      <c r="K657" t="inlineStr">
        <is>
          <t>Z06</t>
        </is>
      </c>
      <c r="L657" t="inlineStr">
        <is>
          <t>(AP) 45 Dias</t>
        </is>
      </c>
      <c r="M657" t="n">
        <v>10184010</v>
      </c>
      <c r="N657" t="inlineStr">
        <is>
          <t>GRAVA TRITURADA CALIZA 13 MM - 1/2"</t>
        </is>
      </c>
      <c r="O657" t="inlineStr">
        <is>
          <t>D836</t>
        </is>
      </c>
      <c r="P657" t="inlineStr">
        <is>
          <t>MX-CED. CENTRO</t>
        </is>
      </c>
      <c r="Q657" t="n">
        <v>20170220</v>
      </c>
      <c r="R657" t="n">
        <v>20241231</v>
      </c>
      <c r="S657" t="n">
        <v>20200501</v>
      </c>
      <c r="T657" t="n">
        <v>20291231</v>
      </c>
      <c r="U657" t="n">
        <v>113.2</v>
      </c>
      <c r="V657" t="inlineStr">
        <is>
          <t>MXN</t>
        </is>
      </c>
      <c r="W657" t="inlineStr">
        <is>
          <t>TN</t>
        </is>
      </c>
      <c r="X657" t="n">
        <v>0</v>
      </c>
      <c r="Y657" t="inlineStr">
        <is>
          <t>MXN</t>
        </is>
      </c>
      <c r="Z657" t="inlineStr">
        <is>
          <t>TN</t>
        </is>
      </c>
      <c r="AC657" t="n">
        <v>56103637</v>
      </c>
      <c r="AD657" t="n">
        <v>6622261540</v>
      </c>
      <c r="AE657" t="n">
        <v>1</v>
      </c>
      <c r="AF657" t="inlineStr">
        <is>
          <t>ENTREGADO</t>
        </is>
      </c>
      <c r="AG657" t="n">
        <v>1</v>
      </c>
      <c r="AH657" t="inlineStr">
        <is>
          <t>TO</t>
        </is>
      </c>
      <c r="AI657" t="inlineStr">
        <is>
          <t>X</t>
        </is>
      </c>
      <c r="AJ657" t="n">
        <v>4</v>
      </c>
      <c r="AK657" t="inlineStr">
        <is>
          <t>V4</t>
        </is>
      </c>
      <c r="AL657" t="n">
        <v>20230920</v>
      </c>
      <c r="AM657" t="inlineStr">
        <is>
          <t>D836-900004077-10184010</t>
        </is>
      </c>
    </row>
    <row r="658">
      <c r="A658" t="inlineStr">
        <is>
          <t>900003601D83610000722</t>
        </is>
      </c>
      <c r="B658" t="inlineStr">
        <is>
          <t>4600027604-90</t>
        </is>
      </c>
      <c r="C658" t="n">
        <v>4600027604</v>
      </c>
      <c r="D658" t="n">
        <v>90</v>
      </c>
      <c r="E658" t="inlineStr">
        <is>
          <t>MXPO</t>
        </is>
      </c>
      <c r="F658" t="inlineStr">
        <is>
          <t>M02</t>
        </is>
      </c>
      <c r="G658" t="n">
        <v>900003601</v>
      </c>
      <c r="H658" t="inlineStr">
        <is>
          <t>TP-EJIDO PROGRESO</t>
        </is>
      </c>
      <c r="I658" t="n">
        <v>5001924</v>
      </c>
      <c r="J658" t="inlineStr">
        <is>
          <t>EJIDO PROGRESO</t>
        </is>
      </c>
      <c r="K658" t="inlineStr">
        <is>
          <t>Z04</t>
        </is>
      </c>
      <c r="L658" t="inlineStr">
        <is>
          <t>(AP) 30 Dias</t>
        </is>
      </c>
      <c r="M658" t="n">
        <v>10000722</v>
      </c>
      <c r="N658" t="inlineStr">
        <is>
          <t>Grava Triturada Caliza 20 mm - 3/4"</t>
        </is>
      </c>
      <c r="O658" t="inlineStr">
        <is>
          <t>D836</t>
        </is>
      </c>
      <c r="P658" t="inlineStr">
        <is>
          <t>MX-CED. CENTRO</t>
        </is>
      </c>
      <c r="Q658" t="n">
        <v>20141106</v>
      </c>
      <c r="R658" t="n">
        <v>20291231</v>
      </c>
      <c r="S658" t="n">
        <v>20230501</v>
      </c>
      <c r="T658" t="n">
        <v>20281231</v>
      </c>
      <c r="U658" t="n">
        <v>100</v>
      </c>
      <c r="V658" t="inlineStr">
        <is>
          <t>MXN</t>
        </is>
      </c>
      <c r="W658" t="inlineStr">
        <is>
          <t>TN</t>
        </is>
      </c>
      <c r="X658" t="n">
        <v>0</v>
      </c>
      <c r="Y658" t="inlineStr">
        <is>
          <t>MXN</t>
        </is>
      </c>
      <c r="Z658" t="inlineStr">
        <is>
          <t>TN</t>
        </is>
      </c>
      <c r="AC658" t="n">
        <v>56103637</v>
      </c>
      <c r="AD658" t="n">
        <v>6622261540</v>
      </c>
      <c r="AE658" t="n">
        <v>1</v>
      </c>
      <c r="AF658" t="inlineStr">
        <is>
          <t>ENTREGADO</t>
        </is>
      </c>
      <c r="AG658" t="n">
        <v>1</v>
      </c>
      <c r="AH658" t="inlineStr">
        <is>
          <t>TO</t>
        </is>
      </c>
      <c r="AI658" t="inlineStr">
        <is>
          <t>X</t>
        </is>
      </c>
      <c r="AJ658" t="n">
        <v>4</v>
      </c>
      <c r="AK658" t="inlineStr">
        <is>
          <t>V4</t>
        </is>
      </c>
      <c r="AL658" t="n">
        <v>20230920</v>
      </c>
      <c r="AM658" t="inlineStr">
        <is>
          <t>D836-900003601-10000722</t>
        </is>
      </c>
    </row>
    <row r="659">
      <c r="A659" t="inlineStr">
        <is>
          <t>900004077D83610184142</t>
        </is>
      </c>
      <c r="B659" t="inlineStr">
        <is>
          <t>4600036871-90</t>
        </is>
      </c>
      <c r="C659" t="n">
        <v>4600036871</v>
      </c>
      <c r="D659" t="n">
        <v>90</v>
      </c>
      <c r="E659" t="inlineStr">
        <is>
          <t>MXPO</t>
        </is>
      </c>
      <c r="F659" t="inlineStr">
        <is>
          <t>MXL</t>
        </is>
      </c>
      <c r="G659" t="n">
        <v>900004077</v>
      </c>
      <c r="H659" t="inlineStr">
        <is>
          <t>TP-SAN JUAN (HUDASA)</t>
        </is>
      </c>
      <c r="I659" t="n">
        <v>5054686</v>
      </c>
      <c r="J659" t="inlineStr">
        <is>
          <t>GRUPO MERCANTIL HUDASA SA DE CV</t>
        </is>
      </c>
      <c r="K659" t="inlineStr">
        <is>
          <t>Z06</t>
        </is>
      </c>
      <c r="L659" t="inlineStr">
        <is>
          <t>(AP) 45 Dias</t>
        </is>
      </c>
      <c r="M659" t="n">
        <v>10184142</v>
      </c>
      <c r="N659" t="inlineStr">
        <is>
          <t>GRAVA TRITURADA CALIZA 40 MM - 1 1/2"</t>
        </is>
      </c>
      <c r="O659" t="inlineStr">
        <is>
          <t>D836</t>
        </is>
      </c>
      <c r="P659" t="inlineStr">
        <is>
          <t>MX-CED. CENTRO</t>
        </is>
      </c>
      <c r="Q659" t="n">
        <v>20170220</v>
      </c>
      <c r="R659" t="n">
        <v>20241231</v>
      </c>
      <c r="S659" t="n">
        <v>20200521</v>
      </c>
      <c r="T659" t="n">
        <v>20291231</v>
      </c>
      <c r="U659" t="n">
        <v>113.2</v>
      </c>
      <c r="V659" t="inlineStr">
        <is>
          <t>MXN</t>
        </is>
      </c>
      <c r="W659" t="inlineStr">
        <is>
          <t>TN</t>
        </is>
      </c>
      <c r="X659" t="n">
        <v>0</v>
      </c>
      <c r="Y659" t="inlineStr">
        <is>
          <t>MXN</t>
        </is>
      </c>
      <c r="Z659" t="inlineStr">
        <is>
          <t>TN</t>
        </is>
      </c>
      <c r="AC659" t="n">
        <v>56103637</v>
      </c>
      <c r="AD659" t="n">
        <v>6622261540</v>
      </c>
      <c r="AE659" t="n">
        <v>1</v>
      </c>
      <c r="AF659" t="inlineStr">
        <is>
          <t>ENTREGADO</t>
        </is>
      </c>
      <c r="AG659" t="n">
        <v>1</v>
      </c>
      <c r="AH659" t="inlineStr">
        <is>
          <t>TO</t>
        </is>
      </c>
      <c r="AI659" t="inlineStr">
        <is>
          <t>X</t>
        </is>
      </c>
      <c r="AJ659" t="n">
        <v>4</v>
      </c>
      <c r="AK659" t="inlineStr">
        <is>
          <t>V4</t>
        </is>
      </c>
      <c r="AL659" t="n">
        <v>20230920</v>
      </c>
      <c r="AM659" t="inlineStr">
        <is>
          <t>D836-900004077-10184142</t>
        </is>
      </c>
    </row>
    <row r="660">
      <c r="A660" t="inlineStr">
        <is>
          <t>900006185D83610037590</t>
        </is>
      </c>
      <c r="B660" t="inlineStr">
        <is>
          <t>4600045638-30</t>
        </is>
      </c>
      <c r="C660" t="n">
        <v>4600045638</v>
      </c>
      <c r="D660" t="n">
        <v>30</v>
      </c>
      <c r="E660" t="inlineStr">
        <is>
          <t>MXPO</t>
        </is>
      </c>
      <c r="F660" t="inlineStr">
        <is>
          <t>MXL</t>
        </is>
      </c>
      <c r="G660" t="n">
        <v>900006185</v>
      </c>
      <c r="H660" t="inlineStr">
        <is>
          <t>TP-ED-OLIELL ALMACÉN</t>
        </is>
      </c>
      <c r="I660" t="n">
        <v>5048484</v>
      </c>
      <c r="J660" t="inlineStr">
        <is>
          <t>COMERCIALIZADORA Y TRANSPORTADORA O</t>
        </is>
      </c>
      <c r="K660" t="inlineStr">
        <is>
          <t>Z00</t>
        </is>
      </c>
      <c r="L660" t="inlineStr">
        <is>
          <t>(AP) Pagadero Inmediatamente</t>
        </is>
      </c>
      <c r="M660" t="n">
        <v>10037590</v>
      </c>
      <c r="N660" t="inlineStr">
        <is>
          <t>Grava Triturada Andesita 13 mm - 1/2"</t>
        </is>
      </c>
      <c r="O660" t="inlineStr">
        <is>
          <t>D836</t>
        </is>
      </c>
      <c r="P660" t="inlineStr">
        <is>
          <t>MX-CED. CENTRO</t>
        </is>
      </c>
      <c r="Q660" t="n">
        <v>20190927</v>
      </c>
      <c r="R660" t="n">
        <v>20241231</v>
      </c>
      <c r="S660" t="n">
        <v>20200318</v>
      </c>
      <c r="T660" t="n">
        <v>20291231</v>
      </c>
      <c r="U660" t="n">
        <v>646.5</v>
      </c>
      <c r="V660" t="inlineStr">
        <is>
          <t>MXN</t>
        </is>
      </c>
      <c r="W660" t="inlineStr">
        <is>
          <t>TN</t>
        </is>
      </c>
      <c r="X660" t="n">
        <v>0</v>
      </c>
      <c r="Y660" t="inlineStr">
        <is>
          <t>MXN</t>
        </is>
      </c>
      <c r="Z660" t="inlineStr">
        <is>
          <t>TN</t>
        </is>
      </c>
      <c r="AC660" t="n">
        <v>56103637</v>
      </c>
      <c r="AD660" t="n">
        <v>6622261540</v>
      </c>
      <c r="AE660" t="n">
        <v>1</v>
      </c>
      <c r="AF660" t="inlineStr">
        <is>
          <t>ENTREGADO</t>
        </is>
      </c>
      <c r="AG660" t="n">
        <v>1</v>
      </c>
      <c r="AH660" t="inlineStr">
        <is>
          <t>TO</t>
        </is>
      </c>
      <c r="AI660" t="inlineStr">
        <is>
          <t>X</t>
        </is>
      </c>
      <c r="AJ660" t="n">
        <v>4</v>
      </c>
      <c r="AK660" t="inlineStr">
        <is>
          <t>V4</t>
        </is>
      </c>
      <c r="AL660" t="n">
        <v>20230920</v>
      </c>
      <c r="AM660" t="inlineStr">
        <is>
          <t>D836-900006185-10037590</t>
        </is>
      </c>
    </row>
    <row r="661">
      <c r="A661" t="inlineStr">
        <is>
          <t>900003601D83610058345</t>
        </is>
      </c>
      <c r="B661" t="inlineStr">
        <is>
          <t>4600027604-110</t>
        </is>
      </c>
      <c r="C661" t="n">
        <v>4600027604</v>
      </c>
      <c r="D661" t="n">
        <v>110</v>
      </c>
      <c r="E661" t="inlineStr">
        <is>
          <t>MXPO</t>
        </is>
      </c>
      <c r="F661" t="inlineStr">
        <is>
          <t>M02</t>
        </is>
      </c>
      <c r="G661" t="n">
        <v>900003601</v>
      </c>
      <c r="H661" t="inlineStr">
        <is>
          <t>TP-EJIDO PROGRESO</t>
        </is>
      </c>
      <c r="I661" t="n">
        <v>5001924</v>
      </c>
      <c r="J661" t="inlineStr">
        <is>
          <t>EJIDO PROGRESO</t>
        </is>
      </c>
      <c r="K661" t="inlineStr">
        <is>
          <t>Z04</t>
        </is>
      </c>
      <c r="L661" t="inlineStr">
        <is>
          <t>(AP) 30 Dias</t>
        </is>
      </c>
      <c r="M661" t="n">
        <v>10058345</v>
      </c>
      <c r="N661" t="inlineStr">
        <is>
          <t>Arena Triturada Caliza Malla 4</t>
        </is>
      </c>
      <c r="O661" t="inlineStr">
        <is>
          <t>D836</t>
        </is>
      </c>
      <c r="P661" t="inlineStr">
        <is>
          <t>MX-CED. CENTRO</t>
        </is>
      </c>
      <c r="Q661" t="n">
        <v>20141106</v>
      </c>
      <c r="R661" t="n">
        <v>20291231</v>
      </c>
      <c r="S661" t="n">
        <v>20230208</v>
      </c>
      <c r="T661" t="n">
        <v>20281231</v>
      </c>
      <c r="U661" t="n">
        <v>38</v>
      </c>
      <c r="V661" t="inlineStr">
        <is>
          <t>MXN</t>
        </is>
      </c>
      <c r="W661" t="inlineStr">
        <is>
          <t>TN</t>
        </is>
      </c>
      <c r="X661" t="n">
        <v>0</v>
      </c>
      <c r="Y661" t="inlineStr">
        <is>
          <t>MXN</t>
        </is>
      </c>
      <c r="Z661" t="inlineStr">
        <is>
          <t>TN</t>
        </is>
      </c>
      <c r="AC661" t="n">
        <v>56103638</v>
      </c>
      <c r="AD661" t="n">
        <v>6622261540</v>
      </c>
      <c r="AE661" t="n">
        <v>1</v>
      </c>
      <c r="AF661" t="inlineStr">
        <is>
          <t>ENTREGADO</t>
        </is>
      </c>
      <c r="AG661" t="n">
        <v>1</v>
      </c>
      <c r="AH661" t="inlineStr">
        <is>
          <t>TO</t>
        </is>
      </c>
      <c r="AI661" t="inlineStr">
        <is>
          <t>X</t>
        </is>
      </c>
      <c r="AJ661" t="n">
        <v>4</v>
      </c>
      <c r="AK661" t="inlineStr">
        <is>
          <t>V4</t>
        </is>
      </c>
      <c r="AL661" t="n">
        <v>20230920</v>
      </c>
      <c r="AM661" t="inlineStr">
        <is>
          <t>D836-900003601-10058345</t>
        </is>
      </c>
    </row>
    <row r="662">
      <c r="A662" t="inlineStr">
        <is>
          <t>900004323D8366651234610000206</t>
        </is>
      </c>
      <c r="B662" t="inlineStr">
        <is>
          <t>4600039874-40</t>
        </is>
      </c>
      <c r="C662" t="n">
        <v>4600039874</v>
      </c>
      <c r="D662" t="n">
        <v>40</v>
      </c>
      <c r="E662" t="inlineStr">
        <is>
          <t>MXPO</t>
        </is>
      </c>
      <c r="F662" t="inlineStr">
        <is>
          <t>MXL</t>
        </is>
      </c>
      <c r="G662" t="n">
        <v>900004323</v>
      </c>
      <c r="H662" t="inlineStr">
        <is>
          <t>TP-LAS TRANCAS</t>
        </is>
      </c>
      <c r="I662" t="n">
        <v>5047262</v>
      </c>
      <c r="J662" t="inlineStr">
        <is>
          <t>AGREGADOS PETREOS SAN CRISTOBAL</t>
        </is>
      </c>
      <c r="K662" t="inlineStr">
        <is>
          <t>Z03</t>
        </is>
      </c>
      <c r="L662" t="inlineStr">
        <is>
          <t>(AP) 15 Dias</t>
        </is>
      </c>
      <c r="M662" t="n">
        <v>10000206</v>
      </c>
      <c r="N662" t="inlineStr">
        <is>
          <t>Tepetate Triturado Tierra NA</t>
        </is>
      </c>
      <c r="O662" t="inlineStr">
        <is>
          <t>D836</t>
        </is>
      </c>
      <c r="P662" t="inlineStr">
        <is>
          <t>MX-CED. CENTRO</t>
        </is>
      </c>
      <c r="Q662" t="n">
        <v>20170927</v>
      </c>
      <c r="R662" t="n">
        <v>20281231</v>
      </c>
      <c r="S662" t="n">
        <v>20180301</v>
      </c>
      <c r="T662" t="n">
        <v>20241231</v>
      </c>
      <c r="U662" t="n">
        <v>220</v>
      </c>
      <c r="V662" t="inlineStr">
        <is>
          <t>MXN</t>
        </is>
      </c>
      <c r="W662" t="inlineStr">
        <is>
          <t>M3</t>
        </is>
      </c>
      <c r="X662" t="n">
        <v>100</v>
      </c>
      <c r="Y662" t="inlineStr">
        <is>
          <t>MXN</t>
        </is>
      </c>
      <c r="Z662" t="inlineStr">
        <is>
          <t>M3</t>
        </is>
      </c>
      <c r="AA662" t="inlineStr">
        <is>
          <t>66512346</t>
        </is>
      </c>
      <c r="AB662" t="inlineStr">
        <is>
          <t>SUBESTACION CFE BUENAVISTA</t>
        </is>
      </c>
      <c r="AC662" t="n">
        <v>56103695</v>
      </c>
      <c r="AD662" t="n">
        <v>6622261540</v>
      </c>
      <c r="AE662" t="n">
        <v>4</v>
      </c>
      <c r="AF662" t="inlineStr">
        <is>
          <t>ENTREGA DIRECTA</t>
        </is>
      </c>
      <c r="AG662" t="n">
        <v>1.249</v>
      </c>
      <c r="AH662" t="inlineStr">
        <is>
          <t>M3</t>
        </is>
      </c>
      <c r="AI662" t="inlineStr">
        <is>
          <t>X</t>
        </is>
      </c>
      <c r="AJ662" t="n">
        <v>4</v>
      </c>
      <c r="AK662" t="inlineStr">
        <is>
          <t>V4</t>
        </is>
      </c>
      <c r="AL662" t="n">
        <v>20230920</v>
      </c>
      <c r="AM662" t="inlineStr">
        <is>
          <t>D836-900004323-66512346-10000206-4</t>
        </is>
      </c>
    </row>
    <row r="663">
      <c r="A663" t="inlineStr">
        <is>
          <t>900006542D8366688696910000649</t>
        </is>
      </c>
      <c r="B663" t="inlineStr">
        <is>
          <t>4600047341-100</t>
        </is>
      </c>
      <c r="C663" t="n">
        <v>4600047341</v>
      </c>
      <c r="D663" t="n">
        <v>100</v>
      </c>
      <c r="E663" t="inlineStr">
        <is>
          <t>MXPO</t>
        </is>
      </c>
      <c r="F663" t="inlineStr">
        <is>
          <t>MXL</t>
        </is>
      </c>
      <c r="G663" t="n">
        <v>900006542</v>
      </c>
      <c r="H663" t="inlineStr">
        <is>
          <t>TP-OLIELL TORTON</t>
        </is>
      </c>
      <c r="I663" t="n">
        <v>5048484</v>
      </c>
      <c r="J663" t="inlineStr">
        <is>
          <t>COMERCIALIZADORA Y TRANSPORTADORA O</t>
        </is>
      </c>
      <c r="K663" t="inlineStr">
        <is>
          <t>N90</t>
        </is>
      </c>
      <c r="L663" t="inlineStr">
        <is>
          <t>(AP) NAFIN 90 Dias</t>
        </is>
      </c>
      <c r="M663" t="n">
        <v>10000649</v>
      </c>
      <c r="N663" t="inlineStr">
        <is>
          <t>Grava Triturada Andesita 10 mm - 3/8"</t>
        </is>
      </c>
      <c r="O663" t="inlineStr">
        <is>
          <t>D836</t>
        </is>
      </c>
      <c r="P663" t="inlineStr">
        <is>
          <t>MX-CED. CENTRO</t>
        </is>
      </c>
      <c r="Q663" t="n">
        <v>20200615</v>
      </c>
      <c r="R663" t="n">
        <v>20281231</v>
      </c>
      <c r="S663" t="n">
        <v>20200729</v>
      </c>
      <c r="T663" t="n">
        <v>20301231</v>
      </c>
      <c r="U663" t="n">
        <v>330</v>
      </c>
      <c r="V663" t="inlineStr">
        <is>
          <t>MXN</t>
        </is>
      </c>
      <c r="W663" t="inlineStr">
        <is>
          <t>M3</t>
        </is>
      </c>
      <c r="AA663" t="inlineStr">
        <is>
          <t>66886969</t>
        </is>
      </c>
      <c r="AB663" t="inlineStr">
        <is>
          <t>HELM</t>
        </is>
      </c>
      <c r="AC663" t="n">
        <v>56103637</v>
      </c>
      <c r="AD663" t="n">
        <v>6622261540</v>
      </c>
      <c r="AE663" t="n">
        <v>4</v>
      </c>
      <c r="AF663" t="inlineStr">
        <is>
          <t>ENTREGA DIRECTA</t>
        </is>
      </c>
      <c r="AG663" t="n">
        <v>1.315</v>
      </c>
      <c r="AH663" t="inlineStr">
        <is>
          <t>M3</t>
        </is>
      </c>
      <c r="AI663" t="inlineStr">
        <is>
          <t>X</t>
        </is>
      </c>
      <c r="AJ663" t="n">
        <v>4</v>
      </c>
      <c r="AK663" t="inlineStr">
        <is>
          <t>V4</t>
        </is>
      </c>
      <c r="AL663" t="n">
        <v>20230920</v>
      </c>
      <c r="AM663" t="inlineStr">
        <is>
          <t>D836-900006542-66886969-10000649-4</t>
        </is>
      </c>
    </row>
    <row r="664">
      <c r="A664" t="inlineStr">
        <is>
          <t>900003496D83610000635</t>
        </is>
      </c>
      <c r="B664" t="inlineStr">
        <is>
          <t>4600048147-10</t>
        </is>
      </c>
      <c r="C664" t="n">
        <v>4600048147</v>
      </c>
      <c r="D664" t="n">
        <v>10</v>
      </c>
      <c r="E664" t="inlineStr">
        <is>
          <t>MXPO</t>
        </is>
      </c>
      <c r="F664" t="inlineStr">
        <is>
          <t>MXL</t>
        </is>
      </c>
      <c r="G664" t="n">
        <v>900003496</v>
      </c>
      <c r="H664" t="inlineStr">
        <is>
          <t>TP-ED-TRIMCAV</t>
        </is>
      </c>
      <c r="I664" t="n">
        <v>5010147</v>
      </c>
      <c r="J664" t="inlineStr">
        <is>
          <t>TRITURACIONES DE MARMOL Y CALCIOS</t>
        </is>
      </c>
      <c r="K664" t="inlineStr">
        <is>
          <t>Z04</t>
        </is>
      </c>
      <c r="L664" t="inlineStr">
        <is>
          <t>(AP) 30 Dias</t>
        </is>
      </c>
      <c r="M664" t="n">
        <v>10000635</v>
      </c>
      <c r="N664" t="inlineStr">
        <is>
          <t>Arena Triturada Marmol Malla 4</t>
        </is>
      </c>
      <c r="O664" t="inlineStr">
        <is>
          <t>D836</t>
        </is>
      </c>
      <c r="P664" t="inlineStr">
        <is>
          <t>MX-CED. CENTRO</t>
        </is>
      </c>
      <c r="Q664" t="n">
        <v>20200929</v>
      </c>
      <c r="R664" t="n">
        <v>20291231</v>
      </c>
      <c r="S664" t="n">
        <v>20200929</v>
      </c>
      <c r="T664" t="n">
        <v>20291231</v>
      </c>
      <c r="U664" t="n">
        <v>350</v>
      </c>
      <c r="V664" t="inlineStr">
        <is>
          <t>MXN</t>
        </is>
      </c>
      <c r="W664" t="inlineStr">
        <is>
          <t>TN</t>
        </is>
      </c>
      <c r="AC664" t="n">
        <v>56103638</v>
      </c>
      <c r="AD664" t="n">
        <v>6622261540</v>
      </c>
      <c r="AE664" t="n">
        <v>1</v>
      </c>
      <c r="AF664" t="inlineStr">
        <is>
          <t>ENTREGADO</t>
        </is>
      </c>
      <c r="AG664" t="n">
        <v>1</v>
      </c>
      <c r="AH664" t="inlineStr">
        <is>
          <t>TO</t>
        </is>
      </c>
      <c r="AI664" t="inlineStr">
        <is>
          <t>X</t>
        </is>
      </c>
      <c r="AJ664" t="n">
        <v>4</v>
      </c>
      <c r="AK664" t="inlineStr">
        <is>
          <t>V4</t>
        </is>
      </c>
      <c r="AL664" t="n">
        <v>20230920</v>
      </c>
      <c r="AM664" t="inlineStr">
        <is>
          <t>D836-900003496-10000635</t>
        </is>
      </c>
    </row>
    <row r="665">
      <c r="A665" t="inlineStr">
        <is>
          <t>900008571D83610002802</t>
        </is>
      </c>
      <c r="B665" t="inlineStr">
        <is>
          <t>4600069432-30</t>
        </is>
      </c>
      <c r="C665" t="n">
        <v>4600069432</v>
      </c>
      <c r="D665" t="n">
        <v>30</v>
      </c>
      <c r="E665" t="inlineStr">
        <is>
          <t>MXPO</t>
        </is>
      </c>
      <c r="F665" t="inlineStr">
        <is>
          <t>MXL</t>
        </is>
      </c>
      <c r="G665" t="n">
        <v>900008571</v>
      </c>
      <c r="H665" t="inlineStr">
        <is>
          <t>SF TP-MINA EL DUENDE</t>
        </is>
      </c>
      <c r="I665" t="n">
        <v>5090107</v>
      </c>
      <c r="J665" t="inlineStr">
        <is>
          <t>MORALES BARRIOS GASPAR GERARDO</t>
        </is>
      </c>
      <c r="K665" t="inlineStr">
        <is>
          <t>Z09</t>
        </is>
      </c>
      <c r="L665" t="inlineStr">
        <is>
          <t>(AP) 90 Dias</t>
        </is>
      </c>
      <c r="M665" t="n">
        <v>10002802</v>
      </c>
      <c r="N665" t="inlineStr">
        <is>
          <t>Arena Clasificada Río Malla 4 Lavado</t>
        </is>
      </c>
      <c r="O665" t="inlineStr">
        <is>
          <t>D836</t>
        </is>
      </c>
      <c r="P665" t="inlineStr">
        <is>
          <t>MX-CED. CENTRO</t>
        </is>
      </c>
      <c r="Q665" t="n">
        <v>20240423</v>
      </c>
      <c r="R665" t="n">
        <v>20291231</v>
      </c>
      <c r="S665" t="n">
        <v>20240423</v>
      </c>
      <c r="T665" t="n">
        <v>99991231</v>
      </c>
      <c r="U665" t="n">
        <v>129.31</v>
      </c>
      <c r="V665" t="inlineStr">
        <is>
          <t>MXN</t>
        </is>
      </c>
      <c r="W665" t="inlineStr">
        <is>
          <t>M3</t>
        </is>
      </c>
      <c r="AC665" t="n">
        <v>56103638</v>
      </c>
      <c r="AD665" t="n">
        <v>6622261540</v>
      </c>
      <c r="AE665" t="n">
        <v>1</v>
      </c>
      <c r="AF665" t="inlineStr">
        <is>
          <t>ENTREGADO</t>
        </is>
      </c>
      <c r="AG665" t="n">
        <v>1.463</v>
      </c>
      <c r="AH665" t="inlineStr">
        <is>
          <t>M3</t>
        </is>
      </c>
      <c r="AI665" t="inlineStr">
        <is>
          <t>X</t>
        </is>
      </c>
      <c r="AJ665" t="n">
        <v>4</v>
      </c>
      <c r="AK665" t="inlineStr">
        <is>
          <t>V4</t>
        </is>
      </c>
      <c r="AL665" t="n">
        <v>20240426</v>
      </c>
      <c r="AM665" t="inlineStr">
        <is>
          <t>D836-900008571-10002802</t>
        </is>
      </c>
    </row>
    <row r="666">
      <c r="A666" t="inlineStr">
        <is>
          <t>900006543D83610259792</t>
        </is>
      </c>
      <c r="B666" t="inlineStr">
        <is>
          <t>4600047486-90</t>
        </is>
      </c>
      <c r="C666" t="n">
        <v>4600047486</v>
      </c>
      <c r="D666" t="n">
        <v>90</v>
      </c>
      <c r="E666" t="inlineStr">
        <is>
          <t>MXPO</t>
        </is>
      </c>
      <c r="F666" t="inlineStr">
        <is>
          <t>MXL</t>
        </is>
      </c>
      <c r="G666" t="n">
        <v>900006543</v>
      </c>
      <c r="H666" t="inlineStr">
        <is>
          <t>TP-MARTINEZ VILLEGAS</t>
        </is>
      </c>
      <c r="I666" t="n">
        <v>5078107</v>
      </c>
      <c r="J666" t="inlineStr">
        <is>
          <t>MARTINEZ VILLEGAS SA DE CV</t>
        </is>
      </c>
      <c r="K666" t="inlineStr">
        <is>
          <t>Z04</t>
        </is>
      </c>
      <c r="L666" t="inlineStr">
        <is>
          <t>(AP) 30 Dias</t>
        </is>
      </c>
      <c r="M666" t="n">
        <v>10259792</v>
      </c>
      <c r="N666" t="inlineStr">
        <is>
          <t>ARENA TRIT ANDESITA #4 - FZ</t>
        </is>
      </c>
      <c r="O666" t="inlineStr">
        <is>
          <t>D836</t>
        </is>
      </c>
      <c r="P666" t="inlineStr">
        <is>
          <t>MX-CED. CENTRO</t>
        </is>
      </c>
      <c r="Q666" t="n">
        <v>20200707</v>
      </c>
      <c r="R666" t="n">
        <v>20301231</v>
      </c>
      <c r="S666" t="n">
        <v>20260513</v>
      </c>
      <c r="T666" t="n">
        <v>20301231</v>
      </c>
      <c r="U666" t="n">
        <v>150</v>
      </c>
      <c r="V666" t="inlineStr">
        <is>
          <t>MXN</t>
        </is>
      </c>
      <c r="W666" t="inlineStr">
        <is>
          <t>M3</t>
        </is>
      </c>
      <c r="X666" t="n">
        <v>0</v>
      </c>
      <c r="Y666" t="inlineStr">
        <is>
          <t>MXN</t>
        </is>
      </c>
      <c r="Z666" t="inlineStr">
        <is>
          <t>M3</t>
        </is>
      </c>
      <c r="AC666" t="n">
        <v>56103638</v>
      </c>
      <c r="AD666" t="n">
        <v>6622261540</v>
      </c>
      <c r="AE666" t="n">
        <v>1</v>
      </c>
      <c r="AF666" t="inlineStr">
        <is>
          <t>ENTREGADO</t>
        </is>
      </c>
      <c r="AG666" t="n">
        <v>1.49</v>
      </c>
      <c r="AH666" t="inlineStr">
        <is>
          <t>M3</t>
        </is>
      </c>
      <c r="AI666" t="inlineStr">
        <is>
          <t>X</t>
        </is>
      </c>
      <c r="AJ666" t="n">
        <v>4</v>
      </c>
      <c r="AK666" t="inlineStr">
        <is>
          <t>V4</t>
        </is>
      </c>
      <c r="AL666" t="n">
        <v>20260520</v>
      </c>
      <c r="AM666" t="inlineStr">
        <is>
          <t>D836-900006543-10259792</t>
        </is>
      </c>
    </row>
    <row r="667">
      <c r="A667" t="inlineStr">
        <is>
          <t>900004323D8366660801210000160</t>
        </is>
      </c>
      <c r="B667" t="inlineStr">
        <is>
          <t>4600039874-80</t>
        </is>
      </c>
      <c r="C667" t="n">
        <v>4600039874</v>
      </c>
      <c r="D667" t="n">
        <v>80</v>
      </c>
      <c r="E667" t="inlineStr">
        <is>
          <t>MXPO</t>
        </is>
      </c>
      <c r="F667" t="inlineStr">
        <is>
          <t>MXL</t>
        </is>
      </c>
      <c r="G667" t="n">
        <v>900004323</v>
      </c>
      <c r="H667" t="inlineStr">
        <is>
          <t>TP-LAS TRANCAS</t>
        </is>
      </c>
      <c r="I667" t="n">
        <v>5047262</v>
      </c>
      <c r="J667" t="inlineStr">
        <is>
          <t>AGREGADOS PETREOS SAN CRISTOBAL</t>
        </is>
      </c>
      <c r="K667" t="inlineStr">
        <is>
          <t>Z03</t>
        </is>
      </c>
      <c r="L667" t="inlineStr">
        <is>
          <t>(AP) 15 Dias</t>
        </is>
      </c>
      <c r="M667" t="n">
        <v>10000160</v>
      </c>
      <c r="N667" t="inlineStr">
        <is>
          <t>Arena Triturada Andesita Malla 4</t>
        </is>
      </c>
      <c r="O667" t="inlineStr">
        <is>
          <t>D836</t>
        </is>
      </c>
      <c r="P667" t="inlineStr">
        <is>
          <t>MX-CED. CENTRO</t>
        </is>
      </c>
      <c r="Q667" t="n">
        <v>20170927</v>
      </c>
      <c r="R667" t="n">
        <v>20281231</v>
      </c>
      <c r="S667" t="n">
        <v>20190725</v>
      </c>
      <c r="T667" t="n">
        <v>20241231</v>
      </c>
      <c r="U667" t="n">
        <v>281.5</v>
      </c>
      <c r="V667" t="inlineStr">
        <is>
          <t>MXN</t>
        </is>
      </c>
      <c r="W667" t="inlineStr">
        <is>
          <t>M3</t>
        </is>
      </c>
      <c r="X667" t="n">
        <v>200</v>
      </c>
      <c r="Y667" t="inlineStr">
        <is>
          <t>MXN</t>
        </is>
      </c>
      <c r="Z667" t="inlineStr">
        <is>
          <t>M3</t>
        </is>
      </c>
      <c r="AA667" t="inlineStr">
        <is>
          <t>66608012</t>
        </is>
      </c>
      <c r="AB667" t="inlineStr">
        <is>
          <t>LUCAS ALAMAN #50 (OMC)</t>
        </is>
      </c>
      <c r="AC667" t="n">
        <v>56103638</v>
      </c>
      <c r="AD667" t="n">
        <v>6622261540</v>
      </c>
      <c r="AE667" t="n">
        <v>4</v>
      </c>
      <c r="AF667" t="inlineStr">
        <is>
          <t>ENTREGA DIRECTA</t>
        </is>
      </c>
      <c r="AG667" t="n">
        <v>1.409</v>
      </c>
      <c r="AH667" t="inlineStr">
        <is>
          <t>M3</t>
        </is>
      </c>
      <c r="AI667" t="inlineStr">
        <is>
          <t>X</t>
        </is>
      </c>
      <c r="AJ667" t="n">
        <v>4</v>
      </c>
      <c r="AK667" t="inlineStr">
        <is>
          <t>V4</t>
        </is>
      </c>
      <c r="AL667" t="n">
        <v>20230920</v>
      </c>
      <c r="AM667" t="inlineStr">
        <is>
          <t>D836-900004323-66608012-10000160-4</t>
        </is>
      </c>
    </row>
    <row r="668">
      <c r="A668" t="inlineStr">
        <is>
          <t>900004365D8366663972610019515</t>
        </is>
      </c>
      <c r="B668" t="inlineStr">
        <is>
          <t>4600042122-50</t>
        </is>
      </c>
      <c r="C668" t="n">
        <v>4600042122</v>
      </c>
      <c r="D668" t="n">
        <v>50</v>
      </c>
      <c r="E668" t="inlineStr">
        <is>
          <t>MXPO</t>
        </is>
      </c>
      <c r="F668" t="inlineStr">
        <is>
          <t>MXL</t>
        </is>
      </c>
      <c r="G668" t="n">
        <v>900004365</v>
      </c>
      <c r="H668" t="inlineStr">
        <is>
          <t>TP-ED-DOS CERROS</t>
        </is>
      </c>
      <c r="I668" t="n">
        <v>5036168</v>
      </c>
      <c r="J668" t="inlineStr">
        <is>
          <t>TRITURADOS DOS CERROS SA DE CV</t>
        </is>
      </c>
      <c r="K668" t="inlineStr">
        <is>
          <t>Z04</t>
        </is>
      </c>
      <c r="L668" t="inlineStr">
        <is>
          <t>(AP) 30 Dias</t>
        </is>
      </c>
      <c r="M668" t="n">
        <v>10019515</v>
      </c>
      <c r="N668" t="inlineStr">
        <is>
          <t>Grava Triturada Tezontle 20mm - 3/4"</t>
        </is>
      </c>
      <c r="O668" t="inlineStr">
        <is>
          <t>D836</t>
        </is>
      </c>
      <c r="P668" t="inlineStr">
        <is>
          <t>MX-CED. CENTRO</t>
        </is>
      </c>
      <c r="Q668" t="n">
        <v>20180517</v>
      </c>
      <c r="R668" t="n">
        <v>20271231</v>
      </c>
      <c r="S668" t="n">
        <v>20190701</v>
      </c>
      <c r="T668" t="n">
        <v>20241231</v>
      </c>
      <c r="U668" t="n">
        <v>330</v>
      </c>
      <c r="V668" t="inlineStr">
        <is>
          <t>MXN</t>
        </is>
      </c>
      <c r="W668" t="inlineStr">
        <is>
          <t>M3</t>
        </is>
      </c>
      <c r="X668" t="n">
        <v>200</v>
      </c>
      <c r="Y668" t="inlineStr">
        <is>
          <t>MXN</t>
        </is>
      </c>
      <c r="Z668" t="inlineStr">
        <is>
          <t>M3</t>
        </is>
      </c>
      <c r="AA668" t="inlineStr">
        <is>
          <t>66639726</t>
        </is>
      </c>
      <c r="AB668" t="inlineStr">
        <is>
          <t>LAGUNA DE GUZMAN #39 (OMC)</t>
        </is>
      </c>
      <c r="AC668" t="n">
        <v>56103637</v>
      </c>
      <c r="AD668" t="n">
        <v>6622261540</v>
      </c>
      <c r="AE668" t="n">
        <v>4</v>
      </c>
      <c r="AF668" t="inlineStr">
        <is>
          <t>ENTREGA DIRECTA</t>
        </is>
      </c>
      <c r="AG668" t="n">
        <v>1.3</v>
      </c>
      <c r="AH668" t="inlineStr">
        <is>
          <t>M3</t>
        </is>
      </c>
      <c r="AI668" t="inlineStr">
        <is>
          <t>X</t>
        </is>
      </c>
      <c r="AJ668" t="n">
        <v>4</v>
      </c>
      <c r="AK668" t="inlineStr">
        <is>
          <t>V4</t>
        </is>
      </c>
      <c r="AL668" t="n">
        <v>20230920</v>
      </c>
      <c r="AM668" t="inlineStr">
        <is>
          <t>D836-900004365-66639726-10019515-4</t>
        </is>
      </c>
    </row>
    <row r="669">
      <c r="A669" t="inlineStr">
        <is>
          <t>900006542D8366689874510000357</t>
        </is>
      </c>
      <c r="B669" t="inlineStr">
        <is>
          <t>4600047341-290</t>
        </is>
      </c>
      <c r="C669" t="n">
        <v>4600047341</v>
      </c>
      <c r="D669" t="n">
        <v>290</v>
      </c>
      <c r="E669" t="inlineStr">
        <is>
          <t>MXPO</t>
        </is>
      </c>
      <c r="F669" t="inlineStr">
        <is>
          <t>MXL</t>
        </is>
      </c>
      <c r="G669" t="n">
        <v>900006542</v>
      </c>
      <c r="H669" t="inlineStr">
        <is>
          <t>TP-OLIELL TORTON</t>
        </is>
      </c>
      <c r="I669" t="n">
        <v>5048484</v>
      </c>
      <c r="J669" t="inlineStr">
        <is>
          <t>COMERCIALIZADORA Y TRANSPORTADORA O</t>
        </is>
      </c>
      <c r="K669" t="inlineStr">
        <is>
          <t>N90</t>
        </is>
      </c>
      <c r="L669" t="inlineStr">
        <is>
          <t>(AP) NAFIN 90 Dias</t>
        </is>
      </c>
      <c r="M669" t="n">
        <v>10000357</v>
      </c>
      <c r="N669" t="inlineStr">
        <is>
          <t>Grava Triturada Andesita 20 mm - 3/4"</t>
        </is>
      </c>
      <c r="O669" t="inlineStr">
        <is>
          <t>D836</t>
        </is>
      </c>
      <c r="P669" t="inlineStr">
        <is>
          <t>MX-CED. CENTRO</t>
        </is>
      </c>
      <c r="Q669" t="n">
        <v>20200615</v>
      </c>
      <c r="R669" t="n">
        <v>20281231</v>
      </c>
      <c r="S669" t="n">
        <v>20201125</v>
      </c>
      <c r="T669" t="n">
        <v>20291231</v>
      </c>
      <c r="U669" t="n">
        <v>310</v>
      </c>
      <c r="V669" t="inlineStr">
        <is>
          <t>MXN</t>
        </is>
      </c>
      <c r="W669" t="inlineStr">
        <is>
          <t>M3</t>
        </is>
      </c>
      <c r="X669" t="n">
        <v>200</v>
      </c>
      <c r="Y669" t="inlineStr">
        <is>
          <t>MXN</t>
        </is>
      </c>
      <c r="Z669" t="inlineStr">
        <is>
          <t>M3</t>
        </is>
      </c>
      <c r="AA669" t="inlineStr">
        <is>
          <t>66898745</t>
        </is>
      </c>
      <c r="AB669" t="inlineStr">
        <is>
          <t>Eje Vial 4 Norte</t>
        </is>
      </c>
      <c r="AC669" t="n">
        <v>56103637</v>
      </c>
      <c r="AD669" t="n">
        <v>6622261540</v>
      </c>
      <c r="AE669" t="n">
        <v>4</v>
      </c>
      <c r="AF669" t="inlineStr">
        <is>
          <t>ENTREGA DIRECTA</t>
        </is>
      </c>
      <c r="AG669" t="n">
        <v>1.326</v>
      </c>
      <c r="AH669" t="inlineStr">
        <is>
          <t>M3</t>
        </is>
      </c>
      <c r="AI669" t="inlineStr">
        <is>
          <t>X</t>
        </is>
      </c>
      <c r="AJ669" t="n">
        <v>4</v>
      </c>
      <c r="AK669" t="inlineStr">
        <is>
          <t>V4</t>
        </is>
      </c>
      <c r="AL669" t="n">
        <v>20230920</v>
      </c>
      <c r="AM669" t="inlineStr">
        <is>
          <t>D836-900006542-66898745-10000357-4</t>
        </is>
      </c>
    </row>
    <row r="670">
      <c r="A670" t="inlineStr">
        <is>
          <t>900004365D8366645007210000624</t>
        </is>
      </c>
      <c r="B670" t="inlineStr">
        <is>
          <t>4600053008-90</t>
        </is>
      </c>
      <c r="C670" t="n">
        <v>4600053008</v>
      </c>
      <c r="D670" t="n">
        <v>90</v>
      </c>
      <c r="E670" t="inlineStr">
        <is>
          <t>MXPO</t>
        </is>
      </c>
      <c r="F670" t="inlineStr">
        <is>
          <t>MXL</t>
        </is>
      </c>
      <c r="G670" t="n">
        <v>900004365</v>
      </c>
      <c r="H670" t="inlineStr">
        <is>
          <t>TP-ED-DOS CERROS</t>
        </is>
      </c>
      <c r="I670" t="n">
        <v>5036168</v>
      </c>
      <c r="J670" t="inlineStr">
        <is>
          <t>TRITURADOS DOS CERROS SA DE CV</t>
        </is>
      </c>
      <c r="K670" t="inlineStr">
        <is>
          <t>Z04</t>
        </is>
      </c>
      <c r="L670" t="inlineStr">
        <is>
          <t>(AP) 30 Dias</t>
        </is>
      </c>
      <c r="M670" t="n">
        <v>10000624</v>
      </c>
      <c r="N670" t="inlineStr">
        <is>
          <t>Grava Triturada Caliza 40 mm - 1 1/2"</t>
        </is>
      </c>
      <c r="O670" t="inlineStr">
        <is>
          <t>D836</t>
        </is>
      </c>
      <c r="P670" t="inlineStr">
        <is>
          <t>MX-CED. CENTRO</t>
        </is>
      </c>
      <c r="Q670" t="n">
        <v>20220128</v>
      </c>
      <c r="R670" t="n">
        <v>20281231</v>
      </c>
      <c r="S670" t="n">
        <v>20230601</v>
      </c>
      <c r="T670" t="n">
        <v>20281231</v>
      </c>
      <c r="U670" t="n">
        <v>397</v>
      </c>
      <c r="V670" t="inlineStr">
        <is>
          <t>MXN</t>
        </is>
      </c>
      <c r="W670" t="inlineStr">
        <is>
          <t>M3</t>
        </is>
      </c>
      <c r="X670" t="n">
        <v>200</v>
      </c>
      <c r="Y670" t="inlineStr">
        <is>
          <t>MXN</t>
        </is>
      </c>
      <c r="Z670" t="inlineStr">
        <is>
          <t>M3</t>
        </is>
      </c>
      <c r="AA670" t="inlineStr">
        <is>
          <t>66450072</t>
        </is>
      </c>
      <c r="AB670" t="inlineStr">
        <is>
          <t>COMARCA ESMERALDA OBR-AGR</t>
        </is>
      </c>
      <c r="AC670" t="n">
        <v>56103637</v>
      </c>
      <c r="AD670" t="n">
        <v>6622261540</v>
      </c>
      <c r="AE670" t="n">
        <v>4</v>
      </c>
      <c r="AF670" t="inlineStr">
        <is>
          <t>ENTREGA DIRECTA</t>
        </is>
      </c>
      <c r="AG670" t="n">
        <v>1.45</v>
      </c>
      <c r="AH670" t="inlineStr">
        <is>
          <t>M3</t>
        </is>
      </c>
      <c r="AI670" t="inlineStr">
        <is>
          <t>X</t>
        </is>
      </c>
      <c r="AJ670" t="n">
        <v>4</v>
      </c>
      <c r="AK670" t="inlineStr">
        <is>
          <t>V4</t>
        </is>
      </c>
      <c r="AL670" t="n">
        <v>20230920</v>
      </c>
      <c r="AM670" t="inlineStr">
        <is>
          <t>D836-900004365-66450072-10000624-4</t>
        </is>
      </c>
    </row>
    <row r="671">
      <c r="A671" t="inlineStr">
        <is>
          <t>900001200D8366686130310000811</t>
        </is>
      </c>
      <c r="B671" t="inlineStr">
        <is>
          <t>4600049316-50</t>
        </is>
      </c>
      <c r="C671" t="n">
        <v>4600049316</v>
      </c>
      <c r="D671" t="n">
        <v>50</v>
      </c>
      <c r="E671" t="inlineStr">
        <is>
          <t>MXPO</t>
        </is>
      </c>
      <c r="F671" t="inlineStr">
        <is>
          <t>MXL</t>
        </is>
      </c>
      <c r="G671" t="n">
        <v>900001200</v>
      </c>
      <c r="H671" t="inlineStr">
        <is>
          <t>TP-ED-LA VALENCIANA</t>
        </is>
      </c>
      <c r="I671" t="n">
        <v>5005431</v>
      </c>
      <c r="J671" t="inlineStr">
        <is>
          <t>CANTERAS LA VALENCIANA SA DE CV</t>
        </is>
      </c>
      <c r="K671" t="inlineStr">
        <is>
          <t>Z03</t>
        </is>
      </c>
      <c r="L671" t="inlineStr">
        <is>
          <t>(AP) 15 Dias</t>
        </is>
      </c>
      <c r="M671" t="n">
        <v>10000811</v>
      </c>
      <c r="N671" t="inlineStr">
        <is>
          <t>Grava Triturada Caliza 20 mm - 3/4"</t>
        </is>
      </c>
      <c r="O671" t="inlineStr">
        <is>
          <t>D836</t>
        </is>
      </c>
      <c r="P671" t="inlineStr">
        <is>
          <t>MX-CED. CENTRO</t>
        </is>
      </c>
      <c r="Q671" t="n">
        <v>20210304</v>
      </c>
      <c r="R671" t="n">
        <v>20261231</v>
      </c>
      <c r="S671" t="n">
        <v>20210304</v>
      </c>
      <c r="T671" t="n">
        <v>20261231</v>
      </c>
      <c r="U671" t="n">
        <v>386</v>
      </c>
      <c r="V671" t="inlineStr">
        <is>
          <t>MXN</t>
        </is>
      </c>
      <c r="W671" t="inlineStr">
        <is>
          <t>M3</t>
        </is>
      </c>
      <c r="X671" t="n">
        <v>250</v>
      </c>
      <c r="Y671" t="inlineStr">
        <is>
          <t>MXN</t>
        </is>
      </c>
      <c r="Z671" t="inlineStr">
        <is>
          <t>M3</t>
        </is>
      </c>
      <c r="AA671" t="inlineStr">
        <is>
          <t>66861303</t>
        </is>
      </c>
      <c r="AB671" t="inlineStr">
        <is>
          <t>PLANTA TLALPAN</t>
        </is>
      </c>
      <c r="AC671" t="n">
        <v>56103637</v>
      </c>
      <c r="AD671" t="n">
        <v>6622261540</v>
      </c>
      <c r="AE671" t="n">
        <v>4</v>
      </c>
      <c r="AF671" t="inlineStr">
        <is>
          <t>ENTREGA DIRECTA</t>
        </is>
      </c>
      <c r="AG671" t="n">
        <v>1.447</v>
      </c>
      <c r="AH671" t="inlineStr">
        <is>
          <t>M3</t>
        </is>
      </c>
      <c r="AI671" t="inlineStr">
        <is>
          <t>X</t>
        </is>
      </c>
      <c r="AJ671" t="n">
        <v>4</v>
      </c>
      <c r="AK671" t="inlineStr">
        <is>
          <t>V4</t>
        </is>
      </c>
      <c r="AL671" t="n">
        <v>20230920</v>
      </c>
      <c r="AM671" t="inlineStr">
        <is>
          <t>D836-900001200-66861303-10000811-4</t>
        </is>
      </c>
    </row>
    <row r="672">
      <c r="A672" t="inlineStr">
        <is>
          <t>900006553D8366704606210000669</t>
        </is>
      </c>
      <c r="B672" t="inlineStr">
        <is>
          <t>4600046953-140</t>
        </is>
      </c>
      <c r="C672" t="n">
        <v>4600046953</v>
      </c>
      <c r="D672" t="n">
        <v>140</v>
      </c>
      <c r="E672" t="inlineStr">
        <is>
          <t>MXPO</t>
        </is>
      </c>
      <c r="F672" t="inlineStr">
        <is>
          <t>MXL</t>
        </is>
      </c>
      <c r="G672" t="n">
        <v>900006553</v>
      </c>
      <c r="H672" t="inlineStr">
        <is>
          <t>SF TP-ED-COLON</t>
        </is>
      </c>
      <c r="I672" t="n">
        <v>5069557</v>
      </c>
      <c r="J672" t="inlineStr">
        <is>
          <t>RIVAS ZEIVY DANIELA</t>
        </is>
      </c>
      <c r="K672" t="inlineStr">
        <is>
          <t>N90</t>
        </is>
      </c>
      <c r="L672" t="inlineStr">
        <is>
          <t>(AP) NAFIN 90 Dias</t>
        </is>
      </c>
      <c r="M672" t="n">
        <v>10000669</v>
      </c>
      <c r="N672" t="inlineStr">
        <is>
          <t>Arena Clasificada Río Malla 4</t>
        </is>
      </c>
      <c r="O672" t="inlineStr">
        <is>
          <t>D836</t>
        </is>
      </c>
      <c r="P672" t="inlineStr">
        <is>
          <t>MX-CED. CENTRO</t>
        </is>
      </c>
      <c r="Q672" t="n">
        <v>20200407</v>
      </c>
      <c r="R672" t="n">
        <v>20291231</v>
      </c>
      <c r="S672" t="n">
        <v>20220308</v>
      </c>
      <c r="T672" t="n">
        <v>20271231</v>
      </c>
      <c r="U672" t="n">
        <v>220</v>
      </c>
      <c r="V672" t="inlineStr">
        <is>
          <t>MXN</t>
        </is>
      </c>
      <c r="W672" t="inlineStr">
        <is>
          <t>M3</t>
        </is>
      </c>
      <c r="X672" t="n">
        <v>70</v>
      </c>
      <c r="Y672" t="inlineStr">
        <is>
          <t>MXN</t>
        </is>
      </c>
      <c r="Z672" t="inlineStr">
        <is>
          <t>M3</t>
        </is>
      </c>
      <c r="AA672" t="inlineStr">
        <is>
          <t>67046062</t>
        </is>
      </c>
      <c r="AB672" t="inlineStr">
        <is>
          <t>CONCRETOS EBENSER</t>
        </is>
      </c>
      <c r="AC672" t="n">
        <v>56103638</v>
      </c>
      <c r="AD672" t="n">
        <v>6622261540</v>
      </c>
      <c r="AE672" t="n">
        <v>4</v>
      </c>
      <c r="AF672" t="inlineStr">
        <is>
          <t>ENTREGA DIRECTA</t>
        </is>
      </c>
      <c r="AG672" t="n">
        <v>1.312</v>
      </c>
      <c r="AH672" t="inlineStr">
        <is>
          <t>M3</t>
        </is>
      </c>
      <c r="AI672" t="inlineStr">
        <is>
          <t>X</t>
        </is>
      </c>
      <c r="AJ672" t="n">
        <v>4</v>
      </c>
      <c r="AK672" t="inlineStr">
        <is>
          <t>V4</t>
        </is>
      </c>
      <c r="AL672" t="n">
        <v>20230920</v>
      </c>
      <c r="AM672" t="inlineStr">
        <is>
          <t>D836-900006553-67046062-10000669-4</t>
        </is>
      </c>
    </row>
    <row r="673">
      <c r="A673" t="inlineStr">
        <is>
          <t>900006581D8366662466310146897</t>
        </is>
      </c>
      <c r="B673" t="inlineStr">
        <is>
          <t>4600047642-10</t>
        </is>
      </c>
      <c r="C673" t="n">
        <v>4600047642</v>
      </c>
      <c r="D673" t="n">
        <v>10</v>
      </c>
      <c r="E673" t="inlineStr">
        <is>
          <t>MXPO</t>
        </is>
      </c>
      <c r="F673" t="inlineStr">
        <is>
          <t>MXL</t>
        </is>
      </c>
      <c r="G673" t="n">
        <v>900006581</v>
      </c>
      <c r="H673" t="inlineStr">
        <is>
          <t>SF TP-ED-CJ2</t>
        </is>
      </c>
      <c r="I673" t="n">
        <v>5078298</v>
      </c>
      <c r="J673" t="inlineStr">
        <is>
          <t>CJ 2 CONCRETOS Y DERIVADOS</t>
        </is>
      </c>
      <c r="K673" t="inlineStr">
        <is>
          <t>Z09</t>
        </is>
      </c>
      <c r="L673" t="inlineStr">
        <is>
          <t>(AP) 90 Dias</t>
        </is>
      </c>
      <c r="M673" t="n">
        <v>10146897</v>
      </c>
      <c r="N673" t="inlineStr">
        <is>
          <t>ARENA TRITURADA ANDESITA MALLA 5</t>
        </is>
      </c>
      <c r="O673" t="inlineStr">
        <is>
          <t>D836</t>
        </is>
      </c>
      <c r="P673" t="inlineStr">
        <is>
          <t>MX-CED. CENTRO</t>
        </is>
      </c>
      <c r="Q673" t="n">
        <v>20200728</v>
      </c>
      <c r="R673" t="n">
        <v>20301231</v>
      </c>
      <c r="S673" t="n">
        <v>20200728</v>
      </c>
      <c r="T673" t="n">
        <v>20301231</v>
      </c>
      <c r="U673" t="n">
        <v>165</v>
      </c>
      <c r="V673" t="inlineStr">
        <is>
          <t>MXN</t>
        </is>
      </c>
      <c r="W673" t="inlineStr">
        <is>
          <t>M3</t>
        </is>
      </c>
      <c r="X673" t="n">
        <v>70</v>
      </c>
      <c r="Y673" t="inlineStr">
        <is>
          <t>MXN</t>
        </is>
      </c>
      <c r="Z673" t="inlineStr">
        <is>
          <t>M3</t>
        </is>
      </c>
      <c r="AA673" t="inlineStr">
        <is>
          <t>66624663</t>
        </is>
      </c>
      <c r="AB673" t="inlineStr">
        <is>
          <t>CONCRETOS IAPSA MEXICALCINGO</t>
        </is>
      </c>
      <c r="AC673" t="n">
        <v>56103638</v>
      </c>
      <c r="AD673" t="n">
        <v>6622261540</v>
      </c>
      <c r="AE673" t="n">
        <v>4</v>
      </c>
      <c r="AF673" t="inlineStr">
        <is>
          <t>ENTREGA DIRECTA</t>
        </is>
      </c>
      <c r="AG673" t="n">
        <v>1.457</v>
      </c>
      <c r="AH673" t="inlineStr">
        <is>
          <t>M3</t>
        </is>
      </c>
      <c r="AI673" t="inlineStr">
        <is>
          <t>X</t>
        </is>
      </c>
      <c r="AJ673" t="n">
        <v>4</v>
      </c>
      <c r="AK673" t="inlineStr">
        <is>
          <t>V4</t>
        </is>
      </c>
      <c r="AL673" t="n">
        <v>20230920</v>
      </c>
      <c r="AM673" t="inlineStr">
        <is>
          <t>D836-900006581-66624663-10146897-4</t>
        </is>
      </c>
    </row>
    <row r="674">
      <c r="A674" t="inlineStr">
        <is>
          <t>900006371D8366637247510000206</t>
        </is>
      </c>
      <c r="B674" t="inlineStr">
        <is>
          <t>4600048255-60</t>
        </is>
      </c>
      <c r="C674" t="n">
        <v>4600048255</v>
      </c>
      <c r="D674" t="n">
        <v>60</v>
      </c>
      <c r="E674" t="inlineStr">
        <is>
          <t>MXPO</t>
        </is>
      </c>
      <c r="F674" t="inlineStr">
        <is>
          <t>MXL</t>
        </is>
      </c>
      <c r="G674" t="n">
        <v>900006371</v>
      </c>
      <c r="H674" t="inlineStr">
        <is>
          <t>SF TP-ED-TRIVOMEX</t>
        </is>
      </c>
      <c r="I674" t="n">
        <v>5033501</v>
      </c>
      <c r="J674" t="inlineStr">
        <is>
          <t>TRITURADOS VOLCANICOS DE MEXICO</t>
        </is>
      </c>
      <c r="K674" t="inlineStr">
        <is>
          <t>Z04</t>
        </is>
      </c>
      <c r="L674" t="inlineStr">
        <is>
          <t>(AP) 30 Dias</t>
        </is>
      </c>
      <c r="M674" t="n">
        <v>10000206</v>
      </c>
      <c r="N674" t="inlineStr">
        <is>
          <t>Tepetate Triturado Tierra NA</t>
        </is>
      </c>
      <c r="O674" t="inlineStr">
        <is>
          <t>D836</t>
        </is>
      </c>
      <c r="P674" t="inlineStr">
        <is>
          <t>MX-CED. CENTRO</t>
        </is>
      </c>
      <c r="Q674" t="n">
        <v>20201015</v>
      </c>
      <c r="R674" t="n">
        <v>20291231</v>
      </c>
      <c r="S674" t="n">
        <v>20210524</v>
      </c>
      <c r="T674" t="n">
        <v>20291231</v>
      </c>
      <c r="U674" t="n">
        <v>94</v>
      </c>
      <c r="V674" t="inlineStr">
        <is>
          <t>MXN</t>
        </is>
      </c>
      <c r="W674" t="inlineStr">
        <is>
          <t>M3</t>
        </is>
      </c>
      <c r="X674" t="n">
        <v>70</v>
      </c>
      <c r="Y674" t="inlineStr">
        <is>
          <t>MXN</t>
        </is>
      </c>
      <c r="Z674" t="inlineStr">
        <is>
          <t>M3</t>
        </is>
      </c>
      <c r="AA674" t="inlineStr">
        <is>
          <t>66372475</t>
        </is>
      </c>
      <c r="AB674" t="inlineStr">
        <is>
          <t>I. ALJUCA. (Amm)</t>
        </is>
      </c>
      <c r="AC674" t="n">
        <v>56103695</v>
      </c>
      <c r="AD674" t="n">
        <v>6622261540</v>
      </c>
      <c r="AE674" t="n">
        <v>4</v>
      </c>
      <c r="AF674" t="inlineStr">
        <is>
          <t>ENTREGA DIRECTA</t>
        </is>
      </c>
      <c r="AG674" t="n">
        <v>1.249</v>
      </c>
      <c r="AH674" t="inlineStr">
        <is>
          <t>M3</t>
        </is>
      </c>
      <c r="AI674" t="inlineStr">
        <is>
          <t>X</t>
        </is>
      </c>
      <c r="AJ674" t="n">
        <v>4</v>
      </c>
      <c r="AK674" t="inlineStr">
        <is>
          <t>V4</t>
        </is>
      </c>
      <c r="AL674" t="n">
        <v>20230920</v>
      </c>
      <c r="AM674" t="inlineStr">
        <is>
          <t>D836-900006371-66372475-10000206-4</t>
        </is>
      </c>
    </row>
    <row r="675">
      <c r="A675" t="inlineStr">
        <is>
          <t>900006824D8366709245410000623</t>
        </is>
      </c>
      <c r="B675" t="inlineStr">
        <is>
          <t>4600048689-90</t>
        </is>
      </c>
      <c r="C675" t="n">
        <v>4600048689</v>
      </c>
      <c r="D675" t="n">
        <v>90</v>
      </c>
      <c r="E675" t="inlineStr">
        <is>
          <t>MXPO</t>
        </is>
      </c>
      <c r="F675" t="inlineStr">
        <is>
          <t>MXL</t>
        </is>
      </c>
      <c r="G675" t="n">
        <v>900006824</v>
      </c>
      <c r="H675" t="inlineStr">
        <is>
          <t>SF TP-ED-SAN JUAN (HUDASA)</t>
        </is>
      </c>
      <c r="I675" t="n">
        <v>5054686</v>
      </c>
      <c r="J675" t="inlineStr">
        <is>
          <t>GRUPO MERCANTIL HUDASA SA DE CV</t>
        </is>
      </c>
      <c r="K675" t="inlineStr">
        <is>
          <t>N90</t>
        </is>
      </c>
      <c r="L675" t="inlineStr">
        <is>
          <t>(AP) NAFIN 90 Dias</t>
        </is>
      </c>
      <c r="M675" t="n">
        <v>10000623</v>
      </c>
      <c r="N675" t="inlineStr">
        <is>
          <t>Grava Triturada Caliza 10 mm - 3/8"</t>
        </is>
      </c>
      <c r="O675" t="inlineStr">
        <is>
          <t>D836</t>
        </is>
      </c>
      <c r="P675" t="inlineStr">
        <is>
          <t>MX-CED. CENTRO</t>
        </is>
      </c>
      <c r="Q675" t="n">
        <v>20201217</v>
      </c>
      <c r="R675" t="n">
        <v>20291231</v>
      </c>
      <c r="S675" t="n">
        <v>20220725</v>
      </c>
      <c r="T675" t="n">
        <v>20271231</v>
      </c>
      <c r="U675" t="n">
        <v>260</v>
      </c>
      <c r="V675" t="inlineStr">
        <is>
          <t>MXN</t>
        </is>
      </c>
      <c r="W675" t="inlineStr">
        <is>
          <t>TN</t>
        </is>
      </c>
      <c r="X675" t="n">
        <v>140</v>
      </c>
      <c r="Y675" t="inlineStr">
        <is>
          <t>MXN</t>
        </is>
      </c>
      <c r="Z675" t="inlineStr">
        <is>
          <t>TN</t>
        </is>
      </c>
      <c r="AA675" t="inlineStr">
        <is>
          <t>67092454</t>
        </is>
      </c>
      <c r="AB675" t="inlineStr">
        <is>
          <t>BASE</t>
        </is>
      </c>
      <c r="AC675" t="n">
        <v>56103637</v>
      </c>
      <c r="AD675" t="n">
        <v>6622261540</v>
      </c>
      <c r="AE675" t="n">
        <v>4</v>
      </c>
      <c r="AF675" t="inlineStr">
        <is>
          <t>ENTREGA DIRECTA</t>
        </is>
      </c>
      <c r="AG675" t="n">
        <v>1</v>
      </c>
      <c r="AH675" t="inlineStr">
        <is>
          <t>TO</t>
        </is>
      </c>
      <c r="AI675" t="inlineStr">
        <is>
          <t>X</t>
        </is>
      </c>
      <c r="AJ675" t="n">
        <v>4</v>
      </c>
      <c r="AK675" t="inlineStr">
        <is>
          <t>V4</t>
        </is>
      </c>
      <c r="AL675" t="n">
        <v>20230920</v>
      </c>
      <c r="AM675" t="inlineStr">
        <is>
          <t>D836-900006824-67092454-10000623-4</t>
        </is>
      </c>
    </row>
    <row r="676">
      <c r="A676" t="inlineStr">
        <is>
          <t>900004077D8366687461610192945</t>
        </is>
      </c>
      <c r="B676" t="inlineStr">
        <is>
          <t>4600047844-650</t>
        </is>
      </c>
      <c r="C676" t="n">
        <v>4600047844</v>
      </c>
      <c r="D676" t="n">
        <v>650</v>
      </c>
      <c r="E676" t="inlineStr">
        <is>
          <t>MXPO</t>
        </is>
      </c>
      <c r="F676" t="inlineStr">
        <is>
          <t>MXL</t>
        </is>
      </c>
      <c r="G676" t="n">
        <v>900004077</v>
      </c>
      <c r="H676" t="inlineStr">
        <is>
          <t>TP-SAN JUAN (HUDASA)</t>
        </is>
      </c>
      <c r="I676" t="n">
        <v>5054686</v>
      </c>
      <c r="J676" t="inlineStr">
        <is>
          <t>GRUPO MERCANTIL HUDASA SA DE CV</t>
        </is>
      </c>
      <c r="K676" t="inlineStr">
        <is>
          <t>Z06</t>
        </is>
      </c>
      <c r="L676" t="inlineStr">
        <is>
          <t>(AP) 45 Dias</t>
        </is>
      </c>
      <c r="M676" t="n">
        <v>10192945</v>
      </c>
      <c r="N676" t="inlineStr">
        <is>
          <t>GRAVA TRITURADA CALIZA 13 MM - 1/2" HD</t>
        </is>
      </c>
      <c r="O676" t="inlineStr">
        <is>
          <t>D836</t>
        </is>
      </c>
      <c r="P676" t="inlineStr">
        <is>
          <t>MX-CED. CENTRO</t>
        </is>
      </c>
      <c r="Q676" t="n">
        <v>20200825</v>
      </c>
      <c r="R676" t="n">
        <v>20301231</v>
      </c>
      <c r="S676" t="n">
        <v>20220420</v>
      </c>
      <c r="T676" t="n">
        <v>20271231</v>
      </c>
      <c r="U676" t="n">
        <v>288</v>
      </c>
      <c r="V676" t="inlineStr">
        <is>
          <t>MXN</t>
        </is>
      </c>
      <c r="W676" t="inlineStr">
        <is>
          <t>TN</t>
        </is>
      </c>
      <c r="X676" t="n">
        <v>170</v>
      </c>
      <c r="Y676" t="inlineStr">
        <is>
          <t>MXN</t>
        </is>
      </c>
      <c r="Z676" t="inlineStr">
        <is>
          <t>TN</t>
        </is>
      </c>
      <c r="AA676" t="inlineStr">
        <is>
          <t>66874616</t>
        </is>
      </c>
      <c r="AB676" t="inlineStr">
        <is>
          <t>FORD LOMAS VERDES</t>
        </is>
      </c>
      <c r="AC676" t="n">
        <v>56103637</v>
      </c>
      <c r="AD676" t="n">
        <v>6622261540</v>
      </c>
      <c r="AE676" t="n">
        <v>4</v>
      </c>
      <c r="AF676" t="inlineStr">
        <is>
          <t>ENTREGA DIRECTA</t>
        </is>
      </c>
      <c r="AG676" t="n">
        <v>1</v>
      </c>
      <c r="AH676" t="inlineStr">
        <is>
          <t>TO</t>
        </is>
      </c>
      <c r="AI676" t="inlineStr">
        <is>
          <t>X</t>
        </is>
      </c>
      <c r="AJ676" t="n">
        <v>4</v>
      </c>
      <c r="AK676" t="inlineStr">
        <is>
          <t>V4</t>
        </is>
      </c>
      <c r="AL676" t="n">
        <v>20230920</v>
      </c>
      <c r="AM676" t="inlineStr">
        <is>
          <t>D836-900004077-66874616-10192945-4</t>
        </is>
      </c>
    </row>
    <row r="677">
      <c r="A677" t="inlineStr">
        <is>
          <t>900004365D8366509848110000133</t>
        </is>
      </c>
      <c r="B677" t="inlineStr">
        <is>
          <t>4600053008-140</t>
        </is>
      </c>
      <c r="C677" t="n">
        <v>4600053008</v>
      </c>
      <c r="D677" t="n">
        <v>140</v>
      </c>
      <c r="E677" t="inlineStr">
        <is>
          <t>MXPO</t>
        </is>
      </c>
      <c r="F677" t="inlineStr">
        <is>
          <t>MXL</t>
        </is>
      </c>
      <c r="G677" t="n">
        <v>900004365</v>
      </c>
      <c r="H677" t="inlineStr">
        <is>
          <t>TP-ED-DOS CERROS</t>
        </is>
      </c>
      <c r="I677" t="n">
        <v>5036168</v>
      </c>
      <c r="J677" t="inlineStr">
        <is>
          <t>TRITURADOS DOS CERROS SA DE CV</t>
        </is>
      </c>
      <c r="K677" t="inlineStr">
        <is>
          <t>Z04</t>
        </is>
      </c>
      <c r="L677" t="inlineStr">
        <is>
          <t>(AP) 30 Dias</t>
        </is>
      </c>
      <c r="M677" t="n">
        <v>10000133</v>
      </c>
      <c r="N677" t="inlineStr">
        <is>
          <t>Grava Triturada Caliza 20 mm - 3/4"</t>
        </is>
      </c>
      <c r="O677" t="inlineStr">
        <is>
          <t>D836</t>
        </is>
      </c>
      <c r="P677" t="inlineStr">
        <is>
          <t>MX-CED. CENTRO</t>
        </is>
      </c>
      <c r="Q677" t="n">
        <v>20220128</v>
      </c>
      <c r="R677" t="n">
        <v>20281231</v>
      </c>
      <c r="S677" t="n">
        <v>20230623</v>
      </c>
      <c r="T677" t="n">
        <v>20281231</v>
      </c>
      <c r="U677" t="n">
        <v>427.29</v>
      </c>
      <c r="V677" t="inlineStr">
        <is>
          <t>MXN</t>
        </is>
      </c>
      <c r="W677" t="inlineStr">
        <is>
          <t>M3</t>
        </is>
      </c>
      <c r="X677" t="n">
        <v>200</v>
      </c>
      <c r="Y677" t="inlineStr">
        <is>
          <t>MXN</t>
        </is>
      </c>
      <c r="Z677" t="inlineStr">
        <is>
          <t>M3</t>
        </is>
      </c>
      <c r="AA677" t="inlineStr">
        <is>
          <t>65098481</t>
        </is>
      </c>
      <c r="AB677" t="inlineStr">
        <is>
          <t>FACHADAS PREFABRICADAS FAPRESSA PLA</t>
        </is>
      </c>
      <c r="AC677" t="n">
        <v>56103637</v>
      </c>
      <c r="AD677" t="n">
        <v>6622261540</v>
      </c>
      <c r="AE677" t="n">
        <v>4</v>
      </c>
      <c r="AF677" t="inlineStr">
        <is>
          <t>ENTREGA DIRECTA</t>
        </is>
      </c>
      <c r="AG677" t="n">
        <v>1.46</v>
      </c>
      <c r="AH677" t="inlineStr">
        <is>
          <t>M3</t>
        </is>
      </c>
      <c r="AI677" t="inlineStr">
        <is>
          <t>X</t>
        </is>
      </c>
      <c r="AJ677" t="n">
        <v>4</v>
      </c>
      <c r="AK677" t="inlineStr">
        <is>
          <t>V4</t>
        </is>
      </c>
      <c r="AL677" t="n">
        <v>20230920</v>
      </c>
      <c r="AM677" t="inlineStr">
        <is>
          <t>D836-900004365-65098481-10000133-4</t>
        </is>
      </c>
    </row>
    <row r="678">
      <c r="A678" t="inlineStr">
        <is>
          <t>900006542D8366688514410000160</t>
        </is>
      </c>
      <c r="B678" t="inlineStr">
        <is>
          <t>4600047341-120</t>
        </is>
      </c>
      <c r="C678" t="n">
        <v>4600047341</v>
      </c>
      <c r="D678" t="n">
        <v>120</v>
      </c>
      <c r="E678" t="inlineStr">
        <is>
          <t>MXPO</t>
        </is>
      </c>
      <c r="F678" t="inlineStr">
        <is>
          <t>MXL</t>
        </is>
      </c>
      <c r="G678" t="n">
        <v>900006542</v>
      </c>
      <c r="H678" t="inlineStr">
        <is>
          <t>TP-OLIELL TORTON</t>
        </is>
      </c>
      <c r="I678" t="n">
        <v>5048484</v>
      </c>
      <c r="J678" t="inlineStr">
        <is>
          <t>COMERCIALIZADORA Y TRANSPORTADORA O</t>
        </is>
      </c>
      <c r="K678" t="inlineStr">
        <is>
          <t>N90</t>
        </is>
      </c>
      <c r="L678" t="inlineStr">
        <is>
          <t>(AP) NAFIN 90 Dias</t>
        </is>
      </c>
      <c r="M678" t="n">
        <v>10000160</v>
      </c>
      <c r="N678" t="inlineStr">
        <is>
          <t>Arena Triturada Andesita Malla 4</t>
        </is>
      </c>
      <c r="O678" t="inlineStr">
        <is>
          <t>D836</t>
        </is>
      </c>
      <c r="P678" t="inlineStr">
        <is>
          <t>MX-CED. CENTRO</t>
        </is>
      </c>
      <c r="Q678" t="n">
        <v>20200615</v>
      </c>
      <c r="R678" t="n">
        <v>20281231</v>
      </c>
      <c r="S678" t="n">
        <v>20200803</v>
      </c>
      <c r="T678" t="n">
        <v>20301231</v>
      </c>
      <c r="U678" t="n">
        <v>250</v>
      </c>
      <c r="V678" t="inlineStr">
        <is>
          <t>MXN</t>
        </is>
      </c>
      <c r="W678" t="inlineStr">
        <is>
          <t>M3</t>
        </is>
      </c>
      <c r="X678" t="n">
        <v>150</v>
      </c>
      <c r="Y678" t="inlineStr">
        <is>
          <t>MXN</t>
        </is>
      </c>
      <c r="Z678" t="inlineStr">
        <is>
          <t>M3</t>
        </is>
      </c>
      <c r="AA678" t="inlineStr">
        <is>
          <t>66885144</t>
        </is>
      </c>
      <c r="AB678" t="inlineStr">
        <is>
          <t>LA VICTORIA</t>
        </is>
      </c>
      <c r="AC678" t="n">
        <v>56103638</v>
      </c>
      <c r="AD678" t="n">
        <v>6622261540</v>
      </c>
      <c r="AE678" t="n">
        <v>4</v>
      </c>
      <c r="AF678" t="inlineStr">
        <is>
          <t>ENTREGA DIRECTA</t>
        </is>
      </c>
      <c r="AG678" t="n">
        <v>1.409</v>
      </c>
      <c r="AH678" t="inlineStr">
        <is>
          <t>M3</t>
        </is>
      </c>
      <c r="AI678" t="inlineStr">
        <is>
          <t>X</t>
        </is>
      </c>
      <c r="AJ678" t="n">
        <v>4</v>
      </c>
      <c r="AK678" t="inlineStr">
        <is>
          <t>V4</t>
        </is>
      </c>
      <c r="AL678" t="n">
        <v>20230920</v>
      </c>
      <c r="AM678" t="inlineStr">
        <is>
          <t>D836-900006542-66885144-10000160-4</t>
        </is>
      </c>
    </row>
    <row r="679">
      <c r="A679" t="inlineStr">
        <is>
          <t>900006542D8366688514410000357</t>
        </is>
      </c>
      <c r="B679" t="inlineStr">
        <is>
          <t>4600047341-140</t>
        </is>
      </c>
      <c r="C679" t="n">
        <v>4600047341</v>
      </c>
      <c r="D679" t="n">
        <v>140</v>
      </c>
      <c r="E679" t="inlineStr">
        <is>
          <t>MXPO</t>
        </is>
      </c>
      <c r="F679" t="inlineStr">
        <is>
          <t>MXL</t>
        </is>
      </c>
      <c r="G679" t="n">
        <v>900006542</v>
      </c>
      <c r="H679" t="inlineStr">
        <is>
          <t>TP-OLIELL TORTON</t>
        </is>
      </c>
      <c r="I679" t="n">
        <v>5048484</v>
      </c>
      <c r="J679" t="inlineStr">
        <is>
          <t>COMERCIALIZADORA Y TRANSPORTADORA O</t>
        </is>
      </c>
      <c r="K679" t="inlineStr">
        <is>
          <t>N90</t>
        </is>
      </c>
      <c r="L679" t="inlineStr">
        <is>
          <t>(AP) NAFIN 90 Dias</t>
        </is>
      </c>
      <c r="M679" t="n">
        <v>10000357</v>
      </c>
      <c r="N679" t="inlineStr">
        <is>
          <t>Grava Triturada Andesita 20 mm - 3/4"</t>
        </is>
      </c>
      <c r="O679" t="inlineStr">
        <is>
          <t>D836</t>
        </is>
      </c>
      <c r="P679" t="inlineStr">
        <is>
          <t>MX-CED. CENTRO</t>
        </is>
      </c>
      <c r="Q679" t="n">
        <v>20200615</v>
      </c>
      <c r="R679" t="n">
        <v>20281231</v>
      </c>
      <c r="S679" t="n">
        <v>20200803</v>
      </c>
      <c r="T679" t="n">
        <v>20301231</v>
      </c>
      <c r="U679" t="n">
        <v>260</v>
      </c>
      <c r="V679" t="inlineStr">
        <is>
          <t>MXN</t>
        </is>
      </c>
      <c r="W679" t="inlineStr">
        <is>
          <t>M3</t>
        </is>
      </c>
      <c r="X679" t="n">
        <v>150</v>
      </c>
      <c r="Y679" t="inlineStr">
        <is>
          <t>MXN</t>
        </is>
      </c>
      <c r="Z679" t="inlineStr">
        <is>
          <t>M3</t>
        </is>
      </c>
      <c r="AA679" t="inlineStr">
        <is>
          <t>66885144</t>
        </is>
      </c>
      <c r="AB679" t="inlineStr">
        <is>
          <t>LA VICTORIA</t>
        </is>
      </c>
      <c r="AC679" t="n">
        <v>56103637</v>
      </c>
      <c r="AD679" t="n">
        <v>6622261540</v>
      </c>
      <c r="AE679" t="n">
        <v>4</v>
      </c>
      <c r="AF679" t="inlineStr">
        <is>
          <t>ENTREGA DIRECTA</t>
        </is>
      </c>
      <c r="AG679" t="n">
        <v>1.326</v>
      </c>
      <c r="AH679" t="inlineStr">
        <is>
          <t>M3</t>
        </is>
      </c>
      <c r="AI679" t="inlineStr">
        <is>
          <t>X</t>
        </is>
      </c>
      <c r="AJ679" t="n">
        <v>4</v>
      </c>
      <c r="AK679" t="inlineStr">
        <is>
          <t>V4</t>
        </is>
      </c>
      <c r="AL679" t="n">
        <v>20230920</v>
      </c>
      <c r="AM679" t="inlineStr">
        <is>
          <t>D836-900006542-66885144-10000357-4</t>
        </is>
      </c>
    </row>
    <row r="680">
      <c r="A680" t="inlineStr">
        <is>
          <t>900004323D8366544526110000160</t>
        </is>
      </c>
      <c r="B680" t="inlineStr">
        <is>
          <t>4600039874-10</t>
        </is>
      </c>
      <c r="C680" t="n">
        <v>4600039874</v>
      </c>
      <c r="D680" t="n">
        <v>10</v>
      </c>
      <c r="E680" t="inlineStr">
        <is>
          <t>MXPO</t>
        </is>
      </c>
      <c r="F680" t="inlineStr">
        <is>
          <t>MXL</t>
        </is>
      </c>
      <c r="G680" t="n">
        <v>900004323</v>
      </c>
      <c r="H680" t="inlineStr">
        <is>
          <t>TP-LAS TRANCAS</t>
        </is>
      </c>
      <c r="I680" t="n">
        <v>5047262</v>
      </c>
      <c r="J680" t="inlineStr">
        <is>
          <t>AGREGADOS PETREOS SAN CRISTOBAL</t>
        </is>
      </c>
      <c r="K680" t="inlineStr">
        <is>
          <t>Z03</t>
        </is>
      </c>
      <c r="L680" t="inlineStr">
        <is>
          <t>(AP) 15 Dias</t>
        </is>
      </c>
      <c r="M680" t="n">
        <v>10000160</v>
      </c>
      <c r="N680" t="inlineStr">
        <is>
          <t>Arena Triturada Andesita Malla 4</t>
        </is>
      </c>
      <c r="O680" t="inlineStr">
        <is>
          <t>D836</t>
        </is>
      </c>
      <c r="P680" t="inlineStr">
        <is>
          <t>MX-CED. CENTRO</t>
        </is>
      </c>
      <c r="Q680" t="n">
        <v>20170927</v>
      </c>
      <c r="R680" t="n">
        <v>20281231</v>
      </c>
      <c r="S680" t="n">
        <v>20190315</v>
      </c>
      <c r="T680" t="n">
        <v>20241231</v>
      </c>
      <c r="U680" t="n">
        <v>132.15</v>
      </c>
      <c r="V680" t="inlineStr">
        <is>
          <t>MXN</t>
        </is>
      </c>
      <c r="W680" t="inlineStr">
        <is>
          <t>M3</t>
        </is>
      </c>
      <c r="X680" t="n">
        <v>45</v>
      </c>
      <c r="Y680" t="inlineStr">
        <is>
          <t>MXN</t>
        </is>
      </c>
      <c r="Z680" t="inlineStr">
        <is>
          <t>M3</t>
        </is>
      </c>
      <c r="AA680" t="inlineStr">
        <is>
          <t>65445261</t>
        </is>
      </c>
      <c r="AB680" t="inlineStr">
        <is>
          <t>OBR-AGR ARMACONCRETO PTA TULTITLAN</t>
        </is>
      </c>
      <c r="AC680" t="n">
        <v>56103638</v>
      </c>
      <c r="AD680" t="n">
        <v>6622261540</v>
      </c>
      <c r="AE680" t="n">
        <v>4</v>
      </c>
      <c r="AF680" t="inlineStr">
        <is>
          <t>ENTREGA DIRECTA</t>
        </is>
      </c>
      <c r="AG680" t="n">
        <v>1.409</v>
      </c>
      <c r="AH680" t="inlineStr">
        <is>
          <t>M3</t>
        </is>
      </c>
      <c r="AI680" t="inlineStr">
        <is>
          <t>X</t>
        </is>
      </c>
      <c r="AJ680" t="n">
        <v>4</v>
      </c>
      <c r="AK680" t="inlineStr">
        <is>
          <t>V4</t>
        </is>
      </c>
      <c r="AL680" t="n">
        <v>20230920</v>
      </c>
      <c r="AM680" t="inlineStr">
        <is>
          <t>D836-900004323-65445261-10000160-4</t>
        </is>
      </c>
    </row>
    <row r="681">
      <c r="A681" t="inlineStr">
        <is>
          <t>900004323D8366649095710000160</t>
        </is>
      </c>
      <c r="B681" t="inlineStr">
        <is>
          <t>4600039874-20</t>
        </is>
      </c>
      <c r="C681" t="n">
        <v>4600039874</v>
      </c>
      <c r="D681" t="n">
        <v>20</v>
      </c>
      <c r="E681" t="inlineStr">
        <is>
          <t>MXPO</t>
        </is>
      </c>
      <c r="F681" t="inlineStr">
        <is>
          <t>MXL</t>
        </is>
      </c>
      <c r="G681" t="n">
        <v>900004323</v>
      </c>
      <c r="H681" t="inlineStr">
        <is>
          <t>TP-LAS TRANCAS</t>
        </is>
      </c>
      <c r="I681" t="n">
        <v>5047262</v>
      </c>
      <c r="J681" t="inlineStr">
        <is>
          <t>AGREGADOS PETREOS SAN CRISTOBAL</t>
        </is>
      </c>
      <c r="K681" t="inlineStr">
        <is>
          <t>Z03</t>
        </is>
      </c>
      <c r="L681" t="inlineStr">
        <is>
          <t>(AP) 15 Dias</t>
        </is>
      </c>
      <c r="M681" t="n">
        <v>10000160</v>
      </c>
      <c r="N681" t="inlineStr">
        <is>
          <t>Arena Triturada Andesita Malla 4</t>
        </is>
      </c>
      <c r="O681" t="inlineStr">
        <is>
          <t>D836</t>
        </is>
      </c>
      <c r="P681" t="inlineStr">
        <is>
          <t>MX-CED. CENTRO</t>
        </is>
      </c>
      <c r="Q681" t="n">
        <v>20170927</v>
      </c>
      <c r="R681" t="n">
        <v>20281231</v>
      </c>
      <c r="S681" t="n">
        <v>20190315</v>
      </c>
      <c r="T681" t="n">
        <v>20241231</v>
      </c>
      <c r="U681" t="n">
        <v>132.15</v>
      </c>
      <c r="V681" t="inlineStr">
        <is>
          <t>MXN</t>
        </is>
      </c>
      <c r="W681" t="inlineStr">
        <is>
          <t>M3</t>
        </is>
      </c>
      <c r="X681" t="n">
        <v>45</v>
      </c>
      <c r="Y681" t="inlineStr">
        <is>
          <t>MXN</t>
        </is>
      </c>
      <c r="Z681" t="inlineStr">
        <is>
          <t>M3</t>
        </is>
      </c>
      <c r="AA681" t="inlineStr">
        <is>
          <t>66490957</t>
        </is>
      </c>
      <c r="AB681" t="inlineStr">
        <is>
          <t>OBR-AGR ARMACONCRETO SAN VICENTE</t>
        </is>
      </c>
      <c r="AC681" t="n">
        <v>56103638</v>
      </c>
      <c r="AD681" t="n">
        <v>6622261540</v>
      </c>
      <c r="AE681" t="n">
        <v>4</v>
      </c>
      <c r="AF681" t="inlineStr">
        <is>
          <t>ENTREGA DIRECTA</t>
        </is>
      </c>
      <c r="AG681" t="n">
        <v>1.409</v>
      </c>
      <c r="AH681" t="inlineStr">
        <is>
          <t>M3</t>
        </is>
      </c>
      <c r="AI681" t="inlineStr">
        <is>
          <t>X</t>
        </is>
      </c>
      <c r="AJ681" t="n">
        <v>4</v>
      </c>
      <c r="AK681" t="inlineStr">
        <is>
          <t>V4</t>
        </is>
      </c>
      <c r="AL681" t="n">
        <v>20230920</v>
      </c>
      <c r="AM681" t="inlineStr">
        <is>
          <t>D836-900004323-66490957-10000160-4</t>
        </is>
      </c>
    </row>
    <row r="682">
      <c r="A682" t="inlineStr">
        <is>
          <t>900006371D8366698265810000206</t>
        </is>
      </c>
      <c r="B682" t="inlineStr">
        <is>
          <t>4600048255-100</t>
        </is>
      </c>
      <c r="C682" t="n">
        <v>4600048255</v>
      </c>
      <c r="D682" t="n">
        <v>100</v>
      </c>
      <c r="E682" t="inlineStr">
        <is>
          <t>MXPO</t>
        </is>
      </c>
      <c r="F682" t="inlineStr">
        <is>
          <t>MXL</t>
        </is>
      </c>
      <c r="G682" t="n">
        <v>900006371</v>
      </c>
      <c r="H682" t="inlineStr">
        <is>
          <t>SF TP-ED-TRIVOMEX</t>
        </is>
      </c>
      <c r="I682" t="n">
        <v>5033501</v>
      </c>
      <c r="J682" t="inlineStr">
        <is>
          <t>TRITURADOS VOLCANICOS DE MEXICO</t>
        </is>
      </c>
      <c r="K682" t="inlineStr">
        <is>
          <t>Z04</t>
        </is>
      </c>
      <c r="L682" t="inlineStr">
        <is>
          <t>(AP) 30 Dias</t>
        </is>
      </c>
      <c r="M682" t="n">
        <v>10000206</v>
      </c>
      <c r="N682" t="inlineStr">
        <is>
          <t>Tepetate Triturado Tierra NA</t>
        </is>
      </c>
      <c r="O682" t="inlineStr">
        <is>
          <t>D836</t>
        </is>
      </c>
      <c r="P682" t="inlineStr">
        <is>
          <t>MX-CED. CENTRO</t>
        </is>
      </c>
      <c r="Q682" t="n">
        <v>20201015</v>
      </c>
      <c r="R682" t="n">
        <v>20291231</v>
      </c>
      <c r="S682" t="n">
        <v>20210524</v>
      </c>
      <c r="T682" t="n">
        <v>20291231</v>
      </c>
      <c r="U682" t="n">
        <v>94</v>
      </c>
      <c r="V682" t="inlineStr">
        <is>
          <t>MXN</t>
        </is>
      </c>
      <c r="W682" t="inlineStr">
        <is>
          <t>M3</t>
        </is>
      </c>
      <c r="X682" t="n">
        <v>70</v>
      </c>
      <c r="Y682" t="inlineStr">
        <is>
          <t>MXN</t>
        </is>
      </c>
      <c r="Z682" t="inlineStr">
        <is>
          <t>M3</t>
        </is>
      </c>
      <c r="AA682" t="inlineStr">
        <is>
          <t>66982658</t>
        </is>
      </c>
      <c r="AB682" t="inlineStr">
        <is>
          <t>I. ALJUCA ETAPA 2 (HTVM)</t>
        </is>
      </c>
      <c r="AC682" t="n">
        <v>56103695</v>
      </c>
      <c r="AD682" t="n">
        <v>6622261540</v>
      </c>
      <c r="AE682" t="n">
        <v>4</v>
      </c>
      <c r="AF682" t="inlineStr">
        <is>
          <t>ENTREGA DIRECTA</t>
        </is>
      </c>
      <c r="AG682" t="n">
        <v>1.249</v>
      </c>
      <c r="AH682" t="inlineStr">
        <is>
          <t>M3</t>
        </is>
      </c>
      <c r="AI682" t="inlineStr">
        <is>
          <t>X</t>
        </is>
      </c>
      <c r="AJ682" t="n">
        <v>4</v>
      </c>
      <c r="AK682" t="inlineStr">
        <is>
          <t>V4</t>
        </is>
      </c>
      <c r="AL682" t="n">
        <v>20230920</v>
      </c>
      <c r="AM682" t="inlineStr">
        <is>
          <t>D836-900006371-66982658-10000206-4</t>
        </is>
      </c>
    </row>
    <row r="683">
      <c r="A683" t="inlineStr">
        <is>
          <t>900004365D8366663654910019515</t>
        </is>
      </c>
      <c r="B683" t="inlineStr">
        <is>
          <t>4600042122-30</t>
        </is>
      </c>
      <c r="C683" t="n">
        <v>4600042122</v>
      </c>
      <c r="D683" t="n">
        <v>30</v>
      </c>
      <c r="E683" t="inlineStr">
        <is>
          <t>MXPO</t>
        </is>
      </c>
      <c r="F683" t="inlineStr">
        <is>
          <t>MXL</t>
        </is>
      </c>
      <c r="G683" t="n">
        <v>900004365</v>
      </c>
      <c r="H683" t="inlineStr">
        <is>
          <t>TP-ED-DOS CERROS</t>
        </is>
      </c>
      <c r="I683" t="n">
        <v>5036168</v>
      </c>
      <c r="J683" t="inlineStr">
        <is>
          <t>TRITURADOS DOS CERROS SA DE CV</t>
        </is>
      </c>
      <c r="K683" t="inlineStr">
        <is>
          <t>Z04</t>
        </is>
      </c>
      <c r="L683" t="inlineStr">
        <is>
          <t>(AP) 30 Dias</t>
        </is>
      </c>
      <c r="M683" t="n">
        <v>10019515</v>
      </c>
      <c r="N683" t="inlineStr">
        <is>
          <t>Grava Triturada Tezontle 20mm - 3/4"</t>
        </is>
      </c>
      <c r="O683" t="inlineStr">
        <is>
          <t>D836</t>
        </is>
      </c>
      <c r="P683" t="inlineStr">
        <is>
          <t>MX-CED. CENTRO</t>
        </is>
      </c>
      <c r="Q683" t="n">
        <v>20180517</v>
      </c>
      <c r="R683" t="n">
        <v>20271231</v>
      </c>
      <c r="S683" t="n">
        <v>20190705</v>
      </c>
      <c r="T683" t="n">
        <v>20241231</v>
      </c>
      <c r="U683" t="n">
        <v>330</v>
      </c>
      <c r="V683" t="inlineStr">
        <is>
          <t>MXN</t>
        </is>
      </c>
      <c r="W683" t="inlineStr">
        <is>
          <t>M3</t>
        </is>
      </c>
      <c r="X683" t="n">
        <v>220</v>
      </c>
      <c r="Y683" t="inlineStr">
        <is>
          <t>MXN</t>
        </is>
      </c>
      <c r="Z683" t="inlineStr">
        <is>
          <t>M3</t>
        </is>
      </c>
      <c r="AA683" t="inlineStr">
        <is>
          <t>66636549</t>
        </is>
      </c>
      <c r="AB683" t="inlineStr">
        <is>
          <t>BOLIVAR #747</t>
        </is>
      </c>
      <c r="AC683" t="n">
        <v>56103637</v>
      </c>
      <c r="AD683" t="n">
        <v>6622261540</v>
      </c>
      <c r="AE683" t="n">
        <v>4</v>
      </c>
      <c r="AF683" t="inlineStr">
        <is>
          <t>ENTREGA DIRECTA</t>
        </is>
      </c>
      <c r="AG683" t="n">
        <v>1.3</v>
      </c>
      <c r="AH683" t="inlineStr">
        <is>
          <t>M3</t>
        </is>
      </c>
      <c r="AI683" t="inlineStr">
        <is>
          <t>X</t>
        </is>
      </c>
      <c r="AJ683" t="n">
        <v>4</v>
      </c>
      <c r="AK683" t="inlineStr">
        <is>
          <t>V4</t>
        </is>
      </c>
      <c r="AL683" t="n">
        <v>20230920</v>
      </c>
      <c r="AM683" t="inlineStr">
        <is>
          <t>D836-900004365-66636549-10019515-4</t>
        </is>
      </c>
    </row>
    <row r="684">
      <c r="A684" t="inlineStr">
        <is>
          <t>900004077D8366683832610192944</t>
        </is>
      </c>
      <c r="B684" t="inlineStr">
        <is>
          <t>4600047844-470</t>
        </is>
      </c>
      <c r="C684" t="n">
        <v>4600047844</v>
      </c>
      <c r="D684" t="n">
        <v>470</v>
      </c>
      <c r="E684" t="inlineStr">
        <is>
          <t>MXPO</t>
        </is>
      </c>
      <c r="F684" t="inlineStr">
        <is>
          <t>MXL</t>
        </is>
      </c>
      <c r="G684" t="n">
        <v>900004077</v>
      </c>
      <c r="H684" t="inlineStr">
        <is>
          <t>TP-SAN JUAN (HUDASA)</t>
        </is>
      </c>
      <c r="I684" t="n">
        <v>5054686</v>
      </c>
      <c r="J684" t="inlineStr">
        <is>
          <t>GRUPO MERCANTIL HUDASA SA DE CV</t>
        </is>
      </c>
      <c r="K684" t="inlineStr">
        <is>
          <t>Z06</t>
        </is>
      </c>
      <c r="L684" t="inlineStr">
        <is>
          <t>(AP) 45 Dias</t>
        </is>
      </c>
      <c r="M684" t="n">
        <v>10192944</v>
      </c>
      <c r="N684" t="inlineStr">
        <is>
          <t>GRAVA TRITURADA CALIZA 20 MM - 3/4" HD</t>
        </is>
      </c>
      <c r="O684" t="inlineStr">
        <is>
          <t>D836</t>
        </is>
      </c>
      <c r="P684" t="inlineStr">
        <is>
          <t>MX-CED. CENTRO</t>
        </is>
      </c>
      <c r="Q684" t="n">
        <v>20200825</v>
      </c>
      <c r="R684" t="n">
        <v>20301231</v>
      </c>
      <c r="S684" t="n">
        <v>20220422</v>
      </c>
      <c r="T684" t="n">
        <v>20271231</v>
      </c>
      <c r="U684" t="n">
        <v>288</v>
      </c>
      <c r="V684" t="inlineStr">
        <is>
          <t>MXN</t>
        </is>
      </c>
      <c r="W684" t="inlineStr">
        <is>
          <t>TN</t>
        </is>
      </c>
      <c r="X684" t="n">
        <v>170</v>
      </c>
      <c r="Y684" t="inlineStr">
        <is>
          <t>MXN</t>
        </is>
      </c>
      <c r="Z684" t="inlineStr">
        <is>
          <t>TN</t>
        </is>
      </c>
      <c r="AA684" t="inlineStr">
        <is>
          <t>66838326</t>
        </is>
      </c>
      <c r="AB684" t="inlineStr">
        <is>
          <t>OBRA FORD</t>
        </is>
      </c>
      <c r="AC684" t="n">
        <v>56103637</v>
      </c>
      <c r="AD684" t="n">
        <v>6622261540</v>
      </c>
      <c r="AE684" t="n">
        <v>4</v>
      </c>
      <c r="AF684" t="inlineStr">
        <is>
          <t>ENTREGA DIRECTA</t>
        </is>
      </c>
      <c r="AG684" t="n">
        <v>1</v>
      </c>
      <c r="AH684" t="inlineStr">
        <is>
          <t>TO</t>
        </is>
      </c>
      <c r="AI684" t="inlineStr">
        <is>
          <t>X</t>
        </is>
      </c>
      <c r="AJ684" t="n">
        <v>4</v>
      </c>
      <c r="AK684" t="inlineStr">
        <is>
          <t>V4</t>
        </is>
      </c>
      <c r="AL684" t="n">
        <v>20230920</v>
      </c>
      <c r="AM684" t="inlineStr">
        <is>
          <t>D836-900004077-66838326-10192944-4</t>
        </is>
      </c>
    </row>
    <row r="685">
      <c r="A685" t="inlineStr">
        <is>
          <t>900004365D8366703181610215074</t>
        </is>
      </c>
      <c r="B685" t="inlineStr">
        <is>
          <t>4600042122-90</t>
        </is>
      </c>
      <c r="C685" t="n">
        <v>4600042122</v>
      </c>
      <c r="D685" t="n">
        <v>90</v>
      </c>
      <c r="E685" t="inlineStr">
        <is>
          <t>MXPO</t>
        </is>
      </c>
      <c r="F685" t="inlineStr">
        <is>
          <t>MXL</t>
        </is>
      </c>
      <c r="G685" t="n">
        <v>900004365</v>
      </c>
      <c r="H685" t="inlineStr">
        <is>
          <t>TP-ED-DOS CERROS</t>
        </is>
      </c>
      <c r="I685" t="n">
        <v>5036168</v>
      </c>
      <c r="J685" t="inlineStr">
        <is>
          <t>TRITURADOS DOS CERROS SA DE CV</t>
        </is>
      </c>
      <c r="K685" t="inlineStr">
        <is>
          <t>Z04</t>
        </is>
      </c>
      <c r="L685" t="inlineStr">
        <is>
          <t>(AP) 30 Dias</t>
        </is>
      </c>
      <c r="M685" t="n">
        <v>10215074</v>
      </c>
      <c r="N685" t="inlineStr">
        <is>
          <t>TEZONTLE 3"</t>
        </is>
      </c>
      <c r="O685" t="inlineStr">
        <is>
          <t>D836</t>
        </is>
      </c>
      <c r="P685" t="inlineStr">
        <is>
          <t>MX-CED. CENTRO</t>
        </is>
      </c>
      <c r="Q685" t="n">
        <v>20180517</v>
      </c>
      <c r="R685" t="n">
        <v>20271231</v>
      </c>
      <c r="S685" t="n">
        <v>20220708</v>
      </c>
      <c r="T685" t="n">
        <v>20271231</v>
      </c>
      <c r="U685" t="n">
        <v>350</v>
      </c>
      <c r="V685" t="inlineStr">
        <is>
          <t>MXN</t>
        </is>
      </c>
      <c r="W685" t="inlineStr">
        <is>
          <t>M3</t>
        </is>
      </c>
      <c r="X685" t="n">
        <v>300</v>
      </c>
      <c r="Y685" t="inlineStr">
        <is>
          <t>MXN</t>
        </is>
      </c>
      <c r="Z685" t="inlineStr">
        <is>
          <t>M3</t>
        </is>
      </c>
      <c r="AA685" t="inlineStr">
        <is>
          <t>67031816</t>
        </is>
      </c>
      <c r="AB685" t="inlineStr">
        <is>
          <t>CUAUTIPARK II NAVE 7 Y 8</t>
        </is>
      </c>
      <c r="AC685" t="n">
        <v>56103637</v>
      </c>
      <c r="AD685" t="n">
        <v>6622261540</v>
      </c>
      <c r="AE685" t="n">
        <v>4</v>
      </c>
      <c r="AF685" t="inlineStr">
        <is>
          <t>ENTREGA DIRECTA</t>
        </is>
      </c>
      <c r="AG685" t="n">
        <v>1.3</v>
      </c>
      <c r="AH685" t="inlineStr">
        <is>
          <t>M3</t>
        </is>
      </c>
      <c r="AI685" t="inlineStr">
        <is>
          <t>X</t>
        </is>
      </c>
      <c r="AJ685" t="n">
        <v>4</v>
      </c>
      <c r="AK685" t="inlineStr">
        <is>
          <t>V4</t>
        </is>
      </c>
      <c r="AL685" t="n">
        <v>20230920</v>
      </c>
      <c r="AM685" t="inlineStr">
        <is>
          <t>D836-900004365-67031816-10215074-4</t>
        </is>
      </c>
    </row>
    <row r="686">
      <c r="A686" t="inlineStr">
        <is>
          <t>900006542D8366689874510000160</t>
        </is>
      </c>
      <c r="B686" t="inlineStr">
        <is>
          <t>4600047341-280</t>
        </is>
      </c>
      <c r="C686" t="n">
        <v>4600047341</v>
      </c>
      <c r="D686" t="n">
        <v>280</v>
      </c>
      <c r="E686" t="inlineStr">
        <is>
          <t>MXPO</t>
        </is>
      </c>
      <c r="F686" t="inlineStr">
        <is>
          <t>MXL</t>
        </is>
      </c>
      <c r="G686" t="n">
        <v>900006542</v>
      </c>
      <c r="H686" t="inlineStr">
        <is>
          <t>TP-OLIELL TORTON</t>
        </is>
      </c>
      <c r="I686" t="n">
        <v>5048484</v>
      </c>
      <c r="J686" t="inlineStr">
        <is>
          <t>COMERCIALIZADORA Y TRANSPORTADORA O</t>
        </is>
      </c>
      <c r="K686" t="inlineStr">
        <is>
          <t>N90</t>
        </is>
      </c>
      <c r="L686" t="inlineStr">
        <is>
          <t>(AP) NAFIN 90 Dias</t>
        </is>
      </c>
      <c r="M686" t="n">
        <v>10000160</v>
      </c>
      <c r="N686" t="inlineStr">
        <is>
          <t>Arena Triturada Andesita Malla 4</t>
        </is>
      </c>
      <c r="O686" t="inlineStr">
        <is>
          <t>D836</t>
        </is>
      </c>
      <c r="P686" t="inlineStr">
        <is>
          <t>MX-CED. CENTRO</t>
        </is>
      </c>
      <c r="Q686" t="n">
        <v>20200615</v>
      </c>
      <c r="R686" t="n">
        <v>20281231</v>
      </c>
      <c r="S686" t="n">
        <v>20201125</v>
      </c>
      <c r="T686" t="n">
        <v>20291231</v>
      </c>
      <c r="U686" t="n">
        <v>300</v>
      </c>
      <c r="V686" t="inlineStr">
        <is>
          <t>MXN</t>
        </is>
      </c>
      <c r="W686" t="inlineStr">
        <is>
          <t>M3</t>
        </is>
      </c>
      <c r="X686" t="n">
        <v>200</v>
      </c>
      <c r="Y686" t="inlineStr">
        <is>
          <t>MXN</t>
        </is>
      </c>
      <c r="Z686" t="inlineStr">
        <is>
          <t>M3</t>
        </is>
      </c>
      <c r="AA686" t="inlineStr">
        <is>
          <t>66898745</t>
        </is>
      </c>
      <c r="AB686" t="inlineStr">
        <is>
          <t>Eje Vial 4 Norte</t>
        </is>
      </c>
      <c r="AC686" t="n">
        <v>56103638</v>
      </c>
      <c r="AD686" t="n">
        <v>6622261540</v>
      </c>
      <c r="AE686" t="n">
        <v>4</v>
      </c>
      <c r="AF686" t="inlineStr">
        <is>
          <t>ENTREGA DIRECTA</t>
        </is>
      </c>
      <c r="AG686" t="n">
        <v>1.409</v>
      </c>
      <c r="AH686" t="inlineStr">
        <is>
          <t>M3</t>
        </is>
      </c>
      <c r="AI686" t="inlineStr">
        <is>
          <t>X</t>
        </is>
      </c>
      <c r="AJ686" t="n">
        <v>4</v>
      </c>
      <c r="AK686" t="inlineStr">
        <is>
          <t>V4</t>
        </is>
      </c>
      <c r="AL686" t="n">
        <v>20230920</v>
      </c>
      <c r="AM686" t="inlineStr">
        <is>
          <t>D836-900006542-66898745-10000160-4</t>
        </is>
      </c>
    </row>
    <row r="687">
      <c r="A687" t="inlineStr">
        <is>
          <t>900006950D8366691924410058345</t>
        </is>
      </c>
      <c r="B687" t="inlineStr">
        <is>
          <t>4600048579-30</t>
        </is>
      </c>
      <c r="C687" t="n">
        <v>4600048579</v>
      </c>
      <c r="D687" t="n">
        <v>30</v>
      </c>
      <c r="E687" t="inlineStr">
        <is>
          <t>MXPO</t>
        </is>
      </c>
      <c r="F687" t="inlineStr">
        <is>
          <t>MXL</t>
        </is>
      </c>
      <c r="G687" t="n">
        <v>900006950</v>
      </c>
      <c r="H687" t="inlineStr">
        <is>
          <t>SF TP-ED-OLIELL GONDOLA</t>
        </is>
      </c>
      <c r="I687" t="n">
        <v>5048484</v>
      </c>
      <c r="J687" t="inlineStr">
        <is>
          <t>COMERCIALIZADORA Y TRANSPORTADORA O</t>
        </is>
      </c>
      <c r="K687" t="inlineStr">
        <is>
          <t>N90</t>
        </is>
      </c>
      <c r="L687" t="inlineStr">
        <is>
          <t>(AP) NAFIN 90 Dias</t>
        </is>
      </c>
      <c r="M687" t="n">
        <v>10058345</v>
      </c>
      <c r="N687" t="inlineStr">
        <is>
          <t>Arena Triturada Caliza Malla 4</t>
        </is>
      </c>
      <c r="O687" t="inlineStr">
        <is>
          <t>D836</t>
        </is>
      </c>
      <c r="P687" t="inlineStr">
        <is>
          <t>MX-CED. CENTRO</t>
        </is>
      </c>
      <c r="Q687" t="n">
        <v>20201201</v>
      </c>
      <c r="R687" t="n">
        <v>20291231</v>
      </c>
      <c r="S687" t="n">
        <v>20201229</v>
      </c>
      <c r="T687" t="n">
        <v>20291231</v>
      </c>
      <c r="U687" t="n">
        <v>290</v>
      </c>
      <c r="V687" t="inlineStr">
        <is>
          <t>MXN</t>
        </is>
      </c>
      <c r="W687" t="inlineStr">
        <is>
          <t>M3</t>
        </is>
      </c>
      <c r="X687" t="n">
        <v>200</v>
      </c>
      <c r="Y687" t="inlineStr">
        <is>
          <t>MXN</t>
        </is>
      </c>
      <c r="Z687" t="inlineStr">
        <is>
          <t>M3</t>
        </is>
      </c>
      <c r="AA687" t="inlineStr">
        <is>
          <t>66919244</t>
        </is>
      </c>
      <c r="AB687" t="inlineStr">
        <is>
          <t>Santa Rosa</t>
        </is>
      </c>
      <c r="AC687" t="n">
        <v>56103638</v>
      </c>
      <c r="AD687" t="n">
        <v>6622261540</v>
      </c>
      <c r="AE687" t="n">
        <v>4</v>
      </c>
      <c r="AF687" t="inlineStr">
        <is>
          <t>ENTREGA DIRECTA</t>
        </is>
      </c>
      <c r="AG687" t="n">
        <v>1.575</v>
      </c>
      <c r="AH687" t="inlineStr">
        <is>
          <t>M3</t>
        </is>
      </c>
      <c r="AI687" t="inlineStr">
        <is>
          <t>X</t>
        </is>
      </c>
      <c r="AJ687" t="n">
        <v>4</v>
      </c>
      <c r="AK687" t="inlineStr">
        <is>
          <t>V4</t>
        </is>
      </c>
      <c r="AL687" t="n">
        <v>20230920</v>
      </c>
      <c r="AM687" t="inlineStr">
        <is>
          <t>D836-900006950-66919244-10058345-4</t>
        </is>
      </c>
    </row>
    <row r="688">
      <c r="A688" t="inlineStr">
        <is>
          <t>900001200D8366686130310000630</t>
        </is>
      </c>
      <c r="B688" t="inlineStr">
        <is>
          <t>4600049316-40</t>
        </is>
      </c>
      <c r="C688" t="n">
        <v>4600049316</v>
      </c>
      <c r="D688" t="n">
        <v>40</v>
      </c>
      <c r="E688" t="inlineStr">
        <is>
          <t>MXPO</t>
        </is>
      </c>
      <c r="F688" t="inlineStr">
        <is>
          <t>MXL</t>
        </is>
      </c>
      <c r="G688" t="n">
        <v>900001200</v>
      </c>
      <c r="H688" t="inlineStr">
        <is>
          <t>TP-ED-LA VALENCIANA</t>
        </is>
      </c>
      <c r="I688" t="n">
        <v>5005431</v>
      </c>
      <c r="J688" t="inlineStr">
        <is>
          <t>CANTERAS LA VALENCIANA SA DE CV</t>
        </is>
      </c>
      <c r="K688" t="inlineStr">
        <is>
          <t>Z03</t>
        </is>
      </c>
      <c r="L688" t="inlineStr">
        <is>
          <t>(AP) 15 Dias</t>
        </is>
      </c>
      <c r="M688" t="n">
        <v>10000630</v>
      </c>
      <c r="N688" t="inlineStr">
        <is>
          <t>Grava Triturada Caliza 13 mm - 1/2"</t>
        </is>
      </c>
      <c r="O688" t="inlineStr">
        <is>
          <t>D836</t>
        </is>
      </c>
      <c r="P688" t="inlineStr">
        <is>
          <t>MX-CED. CENTRO</t>
        </is>
      </c>
      <c r="Q688" t="n">
        <v>20210304</v>
      </c>
      <c r="R688" t="n">
        <v>20261231</v>
      </c>
      <c r="S688" t="n">
        <v>20210304</v>
      </c>
      <c r="T688" t="n">
        <v>20261231</v>
      </c>
      <c r="U688" t="n">
        <v>385</v>
      </c>
      <c r="V688" t="inlineStr">
        <is>
          <t>MXN</t>
        </is>
      </c>
      <c r="W688" t="inlineStr">
        <is>
          <t>M3</t>
        </is>
      </c>
      <c r="X688" t="n">
        <v>250</v>
      </c>
      <c r="Y688" t="inlineStr">
        <is>
          <t>MXN</t>
        </is>
      </c>
      <c r="Z688" t="inlineStr">
        <is>
          <t>M3</t>
        </is>
      </c>
      <c r="AA688" t="inlineStr">
        <is>
          <t>66861303</t>
        </is>
      </c>
      <c r="AB688" t="inlineStr">
        <is>
          <t>PLANTA TLALPAN</t>
        </is>
      </c>
      <c r="AC688" t="n">
        <v>56103637</v>
      </c>
      <c r="AD688" t="n">
        <v>6622261540</v>
      </c>
      <c r="AE688" t="n">
        <v>4</v>
      </c>
      <c r="AF688" t="inlineStr">
        <is>
          <t>ENTREGA DIRECTA</t>
        </is>
      </c>
      <c r="AG688" t="n">
        <v>1.4</v>
      </c>
      <c r="AH688" t="inlineStr">
        <is>
          <t>M3</t>
        </is>
      </c>
      <c r="AI688" t="inlineStr">
        <is>
          <t>X</t>
        </is>
      </c>
      <c r="AJ688" t="n">
        <v>4</v>
      </c>
      <c r="AK688" t="inlineStr">
        <is>
          <t>V4</t>
        </is>
      </c>
      <c r="AL688" t="n">
        <v>20230920</v>
      </c>
      <c r="AM688" t="inlineStr">
        <is>
          <t>D836-900001200-66861303-10000630-4</t>
        </is>
      </c>
    </row>
    <row r="689">
      <c r="A689" t="inlineStr">
        <is>
          <t>900003599D8366621263710019515</t>
        </is>
      </c>
      <c r="B689" t="inlineStr">
        <is>
          <t>4600041240-10</t>
        </is>
      </c>
      <c r="C689" t="n">
        <v>4600041240</v>
      </c>
      <c r="D689" t="n">
        <v>10</v>
      </c>
      <c r="E689" t="inlineStr">
        <is>
          <t>MXPO</t>
        </is>
      </c>
      <c r="F689" t="inlineStr">
        <is>
          <t>MXL</t>
        </is>
      </c>
      <c r="G689" t="n">
        <v>900003599</v>
      </c>
      <c r="H689" t="inlineStr">
        <is>
          <t>TP-ED-ESTRATEGIAS AVANZADAS</t>
        </is>
      </c>
      <c r="I689" t="n">
        <v>5049458</v>
      </c>
      <c r="J689" t="inlineStr">
        <is>
          <t>ESTRATEGIAS AVANZADAS PARA OBTEN</t>
        </is>
      </c>
      <c r="K689" t="inlineStr">
        <is>
          <t>Z03</t>
        </is>
      </c>
      <c r="L689" t="inlineStr">
        <is>
          <t>(AP) 15 Dias</t>
        </is>
      </c>
      <c r="M689" t="n">
        <v>10019515</v>
      </c>
      <c r="N689" t="inlineStr">
        <is>
          <t>Grava Triturada Tezontle 20mm - 3/4"</t>
        </is>
      </c>
      <c r="O689" t="inlineStr">
        <is>
          <t>D836</t>
        </is>
      </c>
      <c r="P689" t="inlineStr">
        <is>
          <t>MX-CED. CENTRO</t>
        </is>
      </c>
      <c r="Q689" t="n">
        <v>20180215</v>
      </c>
      <c r="R689" t="n">
        <v>20301231</v>
      </c>
      <c r="S689" t="n">
        <v>20180215</v>
      </c>
      <c r="T689" t="n">
        <v>20241231</v>
      </c>
      <c r="U689" t="n">
        <v>200</v>
      </c>
      <c r="V689" t="inlineStr">
        <is>
          <t>MXN</t>
        </is>
      </c>
      <c r="W689" t="inlineStr">
        <is>
          <t>M3</t>
        </is>
      </c>
      <c r="X689" t="n">
        <v>90</v>
      </c>
      <c r="Y689" t="inlineStr">
        <is>
          <t>MXN</t>
        </is>
      </c>
      <c r="Z689" t="inlineStr">
        <is>
          <t>M3</t>
        </is>
      </c>
      <c r="AA689" t="inlineStr">
        <is>
          <t>66212637</t>
        </is>
      </c>
      <c r="AB689" t="inlineStr">
        <is>
          <t>AGREMAX DF (MMT)</t>
        </is>
      </c>
      <c r="AC689" t="n">
        <v>56103637</v>
      </c>
      <c r="AD689" t="n">
        <v>6622261540</v>
      </c>
      <c r="AE689" t="n">
        <v>4</v>
      </c>
      <c r="AF689" t="inlineStr">
        <is>
          <t>ENTREGA DIRECTA</t>
        </is>
      </c>
      <c r="AG689" t="n">
        <v>1.3</v>
      </c>
      <c r="AH689" t="inlineStr">
        <is>
          <t>M3</t>
        </is>
      </c>
      <c r="AI689" t="inlineStr">
        <is>
          <t>X</t>
        </is>
      </c>
      <c r="AJ689" t="n">
        <v>4</v>
      </c>
      <c r="AK689" t="inlineStr">
        <is>
          <t>V4</t>
        </is>
      </c>
      <c r="AL689" t="n">
        <v>20230920</v>
      </c>
      <c r="AM689" t="inlineStr">
        <is>
          <t>D836-900003599-66212637-10019515-4</t>
        </is>
      </c>
    </row>
    <row r="690">
      <c r="A690" t="inlineStr">
        <is>
          <t>900004365D8366705243810000313</t>
        </is>
      </c>
      <c r="B690" t="inlineStr">
        <is>
          <t>4600053008-20</t>
        </is>
      </c>
      <c r="C690" t="n">
        <v>4600053008</v>
      </c>
      <c r="D690" t="n">
        <v>20</v>
      </c>
      <c r="E690" t="inlineStr">
        <is>
          <t>MXPO</t>
        </is>
      </c>
      <c r="F690" t="inlineStr">
        <is>
          <t>MXL</t>
        </is>
      </c>
      <c r="G690" t="n">
        <v>900004365</v>
      </c>
      <c r="H690" t="inlineStr">
        <is>
          <t>TP-ED-DOS CERROS</t>
        </is>
      </c>
      <c r="I690" t="n">
        <v>5036168</v>
      </c>
      <c r="J690" t="inlineStr">
        <is>
          <t>TRITURADOS DOS CERROS SA DE CV</t>
        </is>
      </c>
      <c r="K690" t="inlineStr">
        <is>
          <t>Z04</t>
        </is>
      </c>
      <c r="L690" t="inlineStr">
        <is>
          <t>(AP) 30 Dias</t>
        </is>
      </c>
      <c r="M690" t="n">
        <v>10000313</v>
      </c>
      <c r="N690" t="inlineStr">
        <is>
          <t>Grava Triturada Basalto  10 mm - 3/8"</t>
        </is>
      </c>
      <c r="O690" t="inlineStr">
        <is>
          <t>D836</t>
        </is>
      </c>
      <c r="P690" t="inlineStr">
        <is>
          <t>MX-CED. CENTRO</t>
        </is>
      </c>
      <c r="Q690" t="n">
        <v>20220128</v>
      </c>
      <c r="R690" t="n">
        <v>20281231</v>
      </c>
      <c r="S690" t="n">
        <v>20220326</v>
      </c>
      <c r="T690" t="n">
        <v>20271231</v>
      </c>
      <c r="U690" t="n">
        <v>600</v>
      </c>
      <c r="V690" t="inlineStr">
        <is>
          <t>MXN</t>
        </is>
      </c>
      <c r="W690" t="inlineStr">
        <is>
          <t>M3</t>
        </is>
      </c>
      <c r="X690" t="n">
        <v>300</v>
      </c>
      <c r="Y690" t="inlineStr">
        <is>
          <t>MXN</t>
        </is>
      </c>
      <c r="Z690" t="inlineStr">
        <is>
          <t>M3</t>
        </is>
      </c>
      <c r="AA690" t="inlineStr">
        <is>
          <t>67052438</t>
        </is>
      </c>
      <c r="AB690" t="inlineStr">
        <is>
          <t>A5 ECATEPEC</t>
        </is>
      </c>
      <c r="AC690" t="n">
        <v>56103637</v>
      </c>
      <c r="AD690" t="n">
        <v>6622261540</v>
      </c>
      <c r="AE690" t="n">
        <v>4</v>
      </c>
      <c r="AF690" t="inlineStr">
        <is>
          <t>ENTREGA DIRECTA</t>
        </is>
      </c>
      <c r="AG690" t="n">
        <v>1.32</v>
      </c>
      <c r="AH690" t="inlineStr">
        <is>
          <t>M3</t>
        </is>
      </c>
      <c r="AI690" t="inlineStr">
        <is>
          <t>X</t>
        </is>
      </c>
      <c r="AJ690" t="n">
        <v>4</v>
      </c>
      <c r="AK690" t="inlineStr">
        <is>
          <t>V4</t>
        </is>
      </c>
      <c r="AL690" t="n">
        <v>20230920</v>
      </c>
      <c r="AM690" t="inlineStr">
        <is>
          <t>D836-900004365-67052438-10000313-4</t>
        </is>
      </c>
    </row>
    <row r="691">
      <c r="A691" t="inlineStr">
        <is>
          <t>900002574D8366687846210227598</t>
        </is>
      </c>
      <c r="B691" t="inlineStr">
        <is>
          <t>4600027590-2620</t>
        </is>
      </c>
      <c r="C691" t="n">
        <v>4600027590</v>
      </c>
      <c r="D691" t="n">
        <v>2620</v>
      </c>
      <c r="E691" t="inlineStr">
        <is>
          <t>MXPO</t>
        </is>
      </c>
      <c r="F691" t="inlineStr">
        <is>
          <t>M02</t>
        </is>
      </c>
      <c r="G691" t="n">
        <v>900002574</v>
      </c>
      <c r="H691" t="inlineStr">
        <is>
          <t>TP-ED-OLIELL</t>
        </is>
      </c>
      <c r="I691" t="n">
        <v>5048484</v>
      </c>
      <c r="J691" t="inlineStr">
        <is>
          <t>COMERCIALIZADORA Y TRANSPORTADORA O</t>
        </is>
      </c>
      <c r="K691" t="inlineStr">
        <is>
          <t>N90</t>
        </is>
      </c>
      <c r="L691" t="inlineStr">
        <is>
          <t>(AP) NAFIN 90 Dias</t>
        </is>
      </c>
      <c r="M691" t="n">
        <v>10227598</v>
      </c>
      <c r="N691" t="inlineStr">
        <is>
          <t>ARENA ANDESITA LIGERA</t>
        </is>
      </c>
      <c r="O691" t="inlineStr">
        <is>
          <t>D836</t>
        </is>
      </c>
      <c r="P691" t="inlineStr">
        <is>
          <t>MX-CED. CENTRO</t>
        </is>
      </c>
      <c r="Q691" t="n">
        <v>20141106</v>
      </c>
      <c r="R691" t="n">
        <v>20281231</v>
      </c>
      <c r="S691" t="n">
        <v>20241004</v>
      </c>
      <c r="T691" t="n">
        <v>20291231</v>
      </c>
      <c r="U691" t="n">
        <v>514</v>
      </c>
      <c r="V691" t="inlineStr">
        <is>
          <t>MXN</t>
        </is>
      </c>
      <c r="W691" t="inlineStr">
        <is>
          <t>M3</t>
        </is>
      </c>
      <c r="X691" t="n">
        <v>400</v>
      </c>
      <c r="Y691" t="inlineStr">
        <is>
          <t>MXN</t>
        </is>
      </c>
      <c r="Z691" t="inlineStr">
        <is>
          <t>M3</t>
        </is>
      </c>
      <c r="AA691" t="inlineStr">
        <is>
          <t>66878462</t>
        </is>
      </c>
      <c r="AB691" t="inlineStr">
        <is>
          <t>GRUPO DEL NORTE</t>
        </is>
      </c>
      <c r="AC691" t="n">
        <v>56103638</v>
      </c>
      <c r="AD691" t="n">
        <v>6622261540</v>
      </c>
      <c r="AE691" t="n">
        <v>4</v>
      </c>
      <c r="AF691" t="inlineStr">
        <is>
          <t>ENTREGA DIRECTA</t>
        </is>
      </c>
      <c r="AG691" t="n">
        <v>1.185</v>
      </c>
      <c r="AH691" t="inlineStr">
        <is>
          <t>M3</t>
        </is>
      </c>
      <c r="AI691" t="inlineStr">
        <is>
          <t>X</t>
        </is>
      </c>
      <c r="AJ691" t="n">
        <v>4</v>
      </c>
      <c r="AK691" t="inlineStr">
        <is>
          <t>V4</t>
        </is>
      </c>
      <c r="AL691" t="n">
        <v>20241009</v>
      </c>
      <c r="AM691" t="inlineStr">
        <is>
          <t>D836-900002574-66878462-10227598-4</t>
        </is>
      </c>
    </row>
    <row r="692">
      <c r="A692" t="inlineStr">
        <is>
          <t>900002574D8366687846210185477</t>
        </is>
      </c>
      <c r="B692" t="inlineStr">
        <is>
          <t>4600027590-2610</t>
        </is>
      </c>
      <c r="C692" t="n">
        <v>4600027590</v>
      </c>
      <c r="D692" t="n">
        <v>2610</v>
      </c>
      <c r="E692" t="inlineStr">
        <is>
          <t>MXPO</t>
        </is>
      </c>
      <c r="F692" t="inlineStr">
        <is>
          <t>M02</t>
        </is>
      </c>
      <c r="G692" t="n">
        <v>900002574</v>
      </c>
      <c r="H692" t="inlineStr">
        <is>
          <t>TP-ED-OLIELL</t>
        </is>
      </c>
      <c r="I692" t="n">
        <v>5048484</v>
      </c>
      <c r="J692" t="inlineStr">
        <is>
          <t>COMERCIALIZADORA Y TRANSPORTADORA O</t>
        </is>
      </c>
      <c r="K692" t="inlineStr">
        <is>
          <t>N90</t>
        </is>
      </c>
      <c r="L692" t="inlineStr">
        <is>
          <t>(AP) NAFIN 90 Dias</t>
        </is>
      </c>
      <c r="M692" t="n">
        <v>10185477</v>
      </c>
      <c r="N692" t="inlineStr">
        <is>
          <t>GRAVA TRITURADA ANDESITA 20 MM - 3/4"</t>
        </is>
      </c>
      <c r="O692" t="inlineStr">
        <is>
          <t>D836</t>
        </is>
      </c>
      <c r="P692" t="inlineStr">
        <is>
          <t>MX-CED. CENTRO</t>
        </is>
      </c>
      <c r="Q692" t="n">
        <v>20141106</v>
      </c>
      <c r="R692" t="n">
        <v>20281231</v>
      </c>
      <c r="S692" t="n">
        <v>20241004</v>
      </c>
      <c r="T692" t="n">
        <v>20291231</v>
      </c>
      <c r="U692" t="n">
        <v>595</v>
      </c>
      <c r="V692" t="inlineStr">
        <is>
          <t>MXN</t>
        </is>
      </c>
      <c r="W692" t="inlineStr">
        <is>
          <t>M3</t>
        </is>
      </c>
      <c r="X692" t="n">
        <v>400</v>
      </c>
      <c r="Y692" t="inlineStr">
        <is>
          <t>MXN</t>
        </is>
      </c>
      <c r="Z692" t="inlineStr">
        <is>
          <t>M3</t>
        </is>
      </c>
      <c r="AA692" t="inlineStr">
        <is>
          <t>66878462</t>
        </is>
      </c>
      <c r="AB692" t="inlineStr">
        <is>
          <t>GRUPO DEL NORTE</t>
        </is>
      </c>
      <c r="AC692" t="n">
        <v>56103637</v>
      </c>
      <c r="AD692" t="n">
        <v>6622261540</v>
      </c>
      <c r="AE692" t="n">
        <v>4</v>
      </c>
      <c r="AF692" t="inlineStr">
        <is>
          <t>ENTREGA DIRECTA</t>
        </is>
      </c>
      <c r="AG692" t="n">
        <v>1.39</v>
      </c>
      <c r="AH692" t="inlineStr">
        <is>
          <t>M3</t>
        </is>
      </c>
      <c r="AI692" t="inlineStr">
        <is>
          <t>X</t>
        </is>
      </c>
      <c r="AJ692" t="n">
        <v>4</v>
      </c>
      <c r="AK692" t="inlineStr">
        <is>
          <t>V4</t>
        </is>
      </c>
      <c r="AL692" t="n">
        <v>20241009</v>
      </c>
      <c r="AM692" t="inlineStr">
        <is>
          <t>D836-900002574-66878462-10185477-4</t>
        </is>
      </c>
    </row>
    <row r="693">
      <c r="A693" t="inlineStr">
        <is>
          <t>900002574D8366687846210185476</t>
        </is>
      </c>
      <c r="B693" t="inlineStr">
        <is>
          <t>4600027590-2600</t>
        </is>
      </c>
      <c r="C693" t="n">
        <v>4600027590</v>
      </c>
      <c r="D693" t="n">
        <v>2600</v>
      </c>
      <c r="E693" t="inlineStr">
        <is>
          <t>MXPO</t>
        </is>
      </c>
      <c r="F693" t="inlineStr">
        <is>
          <t>M02</t>
        </is>
      </c>
      <c r="G693" t="n">
        <v>900002574</v>
      </c>
      <c r="H693" t="inlineStr">
        <is>
          <t>TP-ED-OLIELL</t>
        </is>
      </c>
      <c r="I693" t="n">
        <v>5048484</v>
      </c>
      <c r="J693" t="inlineStr">
        <is>
          <t>COMERCIALIZADORA Y TRANSPORTADORA O</t>
        </is>
      </c>
      <c r="K693" t="inlineStr">
        <is>
          <t>N90</t>
        </is>
      </c>
      <c r="L693" t="inlineStr">
        <is>
          <t>(AP) NAFIN 90 Dias</t>
        </is>
      </c>
      <c r="M693" t="n">
        <v>10185476</v>
      </c>
      <c r="N693" t="inlineStr">
        <is>
          <t>ARENA TRITURADA ANDESITA MALLA 4</t>
        </is>
      </c>
      <c r="O693" t="inlineStr">
        <is>
          <t>D836</t>
        </is>
      </c>
      <c r="P693" t="inlineStr">
        <is>
          <t>MX-CED. CENTRO</t>
        </is>
      </c>
      <c r="Q693" t="n">
        <v>20141106</v>
      </c>
      <c r="R693" t="n">
        <v>20281231</v>
      </c>
      <c r="S693" t="n">
        <v>20241004</v>
      </c>
      <c r="T693" t="n">
        <v>20291231</v>
      </c>
      <c r="U693" t="n">
        <v>583</v>
      </c>
      <c r="V693" t="inlineStr">
        <is>
          <t>MXN</t>
        </is>
      </c>
      <c r="W693" t="inlineStr">
        <is>
          <t>M3</t>
        </is>
      </c>
      <c r="X693" t="n">
        <v>400</v>
      </c>
      <c r="Y693" t="inlineStr">
        <is>
          <t>MXN</t>
        </is>
      </c>
      <c r="Z693" t="inlineStr">
        <is>
          <t>M3</t>
        </is>
      </c>
      <c r="AA693" t="inlineStr">
        <is>
          <t>66878462</t>
        </is>
      </c>
      <c r="AB693" t="inlineStr">
        <is>
          <t>GRUPO DEL NORTE</t>
        </is>
      </c>
      <c r="AC693" t="n">
        <v>56103638</v>
      </c>
      <c r="AD693" t="n">
        <v>6622261540</v>
      </c>
      <c r="AE693" t="n">
        <v>4</v>
      </c>
      <c r="AF693" t="inlineStr">
        <is>
          <t>ENTREGA DIRECTA</t>
        </is>
      </c>
      <c r="AG693" t="n">
        <v>1.54</v>
      </c>
      <c r="AH693" t="inlineStr">
        <is>
          <t>M3</t>
        </is>
      </c>
      <c r="AI693" t="inlineStr">
        <is>
          <t>X</t>
        </is>
      </c>
      <c r="AJ693" t="n">
        <v>4</v>
      </c>
      <c r="AK693" t="inlineStr">
        <is>
          <t>V4</t>
        </is>
      </c>
      <c r="AL693" t="n">
        <v>20241009</v>
      </c>
      <c r="AM693" t="inlineStr">
        <is>
          <t>D836-900002574-66878462-10185476-4</t>
        </is>
      </c>
    </row>
    <row r="694">
      <c r="A694" t="inlineStr">
        <is>
          <t>900004365D8366506168710000623</t>
        </is>
      </c>
      <c r="B694" t="inlineStr">
        <is>
          <t>4600053008-40</t>
        </is>
      </c>
      <c r="C694" t="n">
        <v>4600053008</v>
      </c>
      <c r="D694" t="n">
        <v>40</v>
      </c>
      <c r="E694" t="inlineStr">
        <is>
          <t>MXPO</t>
        </is>
      </c>
      <c r="F694" t="inlineStr">
        <is>
          <t>MXL</t>
        </is>
      </c>
      <c r="G694" t="n">
        <v>900004365</v>
      </c>
      <c r="H694" t="inlineStr">
        <is>
          <t>TP-ED-DOS CERROS</t>
        </is>
      </c>
      <c r="I694" t="n">
        <v>5036168</v>
      </c>
      <c r="J694" t="inlineStr">
        <is>
          <t>TRITURADOS DOS CERROS SA DE CV</t>
        </is>
      </c>
      <c r="K694" t="inlineStr">
        <is>
          <t>Z04</t>
        </is>
      </c>
      <c r="L694" t="inlineStr">
        <is>
          <t>(AP) 30 Dias</t>
        </is>
      </c>
      <c r="M694" t="n">
        <v>10000623</v>
      </c>
      <c r="N694" t="inlineStr">
        <is>
          <t>Grava Triturada Caliza 10 mm - 3/8"</t>
        </is>
      </c>
      <c r="O694" t="inlineStr">
        <is>
          <t>D836</t>
        </is>
      </c>
      <c r="P694" t="inlineStr">
        <is>
          <t>MX-CED. CENTRO</t>
        </is>
      </c>
      <c r="Q694" t="n">
        <v>20220128</v>
      </c>
      <c r="R694" t="n">
        <v>20281231</v>
      </c>
      <c r="S694" t="n">
        <v>20230601</v>
      </c>
      <c r="T694" t="n">
        <v>20281231</v>
      </c>
      <c r="U694" t="n">
        <v>363</v>
      </c>
      <c r="V694" t="inlineStr">
        <is>
          <t>MXN</t>
        </is>
      </c>
      <c r="W694" t="inlineStr">
        <is>
          <t>M3</t>
        </is>
      </c>
      <c r="X694" t="n">
        <v>200</v>
      </c>
      <c r="Y694" t="inlineStr">
        <is>
          <t>MXN</t>
        </is>
      </c>
      <c r="Z694" t="inlineStr">
        <is>
          <t>M3</t>
        </is>
      </c>
      <c r="AA694" t="inlineStr">
        <is>
          <t>65061687</t>
        </is>
      </c>
      <c r="AB694" t="inlineStr">
        <is>
          <t>OBR-AGR CONCRETOS COMARCA-SAN VICEN</t>
        </is>
      </c>
      <c r="AC694" t="n">
        <v>56103637</v>
      </c>
      <c r="AD694" t="n">
        <v>6622261540</v>
      </c>
      <c r="AE694" t="n">
        <v>4</v>
      </c>
      <c r="AF694" t="inlineStr">
        <is>
          <t>ENTREGA DIRECTA</t>
        </is>
      </c>
      <c r="AG694" t="n">
        <v>1.41</v>
      </c>
      <c r="AH694" t="inlineStr">
        <is>
          <t>M3</t>
        </is>
      </c>
      <c r="AI694" t="inlineStr">
        <is>
          <t>X</t>
        </is>
      </c>
      <c r="AJ694" t="n">
        <v>4</v>
      </c>
      <c r="AK694" t="inlineStr">
        <is>
          <t>V4</t>
        </is>
      </c>
      <c r="AL694" t="n">
        <v>20230920</v>
      </c>
      <c r="AM694" t="inlineStr">
        <is>
          <t>D836-900004365-65061687-10000623-4</t>
        </is>
      </c>
    </row>
    <row r="695">
      <c r="A695" t="inlineStr">
        <is>
          <t>900004365D8366506168710000133</t>
        </is>
      </c>
      <c r="B695" t="inlineStr">
        <is>
          <t>4600053008-50</t>
        </is>
      </c>
      <c r="C695" t="n">
        <v>4600053008</v>
      </c>
      <c r="D695" t="n">
        <v>50</v>
      </c>
      <c r="E695" t="inlineStr">
        <is>
          <t>MXPO</t>
        </is>
      </c>
      <c r="F695" t="inlineStr">
        <is>
          <t>MXL</t>
        </is>
      </c>
      <c r="G695" t="n">
        <v>900004365</v>
      </c>
      <c r="H695" t="inlineStr">
        <is>
          <t>TP-ED-DOS CERROS</t>
        </is>
      </c>
      <c r="I695" t="n">
        <v>5036168</v>
      </c>
      <c r="J695" t="inlineStr">
        <is>
          <t>TRITURADOS DOS CERROS SA DE CV</t>
        </is>
      </c>
      <c r="K695" t="inlineStr">
        <is>
          <t>Z04</t>
        </is>
      </c>
      <c r="L695" t="inlineStr">
        <is>
          <t>(AP) 30 Dias</t>
        </is>
      </c>
      <c r="M695" t="n">
        <v>10000133</v>
      </c>
      <c r="N695" t="inlineStr">
        <is>
          <t>Grava Triturada Caliza 20 mm - 3/4"</t>
        </is>
      </c>
      <c r="O695" t="inlineStr">
        <is>
          <t>D836</t>
        </is>
      </c>
      <c r="P695" t="inlineStr">
        <is>
          <t>MX-CED. CENTRO</t>
        </is>
      </c>
      <c r="Q695" t="n">
        <v>20220128</v>
      </c>
      <c r="R695" t="n">
        <v>20281231</v>
      </c>
      <c r="S695" t="n">
        <v>20230601</v>
      </c>
      <c r="T695" t="n">
        <v>20281231</v>
      </c>
      <c r="U695" t="n">
        <v>349</v>
      </c>
      <c r="V695" t="inlineStr">
        <is>
          <t>MXN</t>
        </is>
      </c>
      <c r="W695" t="inlineStr">
        <is>
          <t>M3</t>
        </is>
      </c>
      <c r="X695" t="n">
        <v>200</v>
      </c>
      <c r="Y695" t="inlineStr">
        <is>
          <t>MXN</t>
        </is>
      </c>
      <c r="Z695" t="inlineStr">
        <is>
          <t>M3</t>
        </is>
      </c>
      <c r="AA695" t="inlineStr">
        <is>
          <t>65061687</t>
        </is>
      </c>
      <c r="AB695" t="inlineStr">
        <is>
          <t>OBR-AGR CONCRETOS COMARCA-SAN VICEN</t>
        </is>
      </c>
      <c r="AC695" t="n">
        <v>56103637</v>
      </c>
      <c r="AD695" t="n">
        <v>6622261540</v>
      </c>
      <c r="AE695" t="n">
        <v>4</v>
      </c>
      <c r="AF695" t="inlineStr">
        <is>
          <t>ENTREGA DIRECTA</t>
        </is>
      </c>
      <c r="AG695" t="n">
        <v>1.46</v>
      </c>
      <c r="AH695" t="inlineStr">
        <is>
          <t>M3</t>
        </is>
      </c>
      <c r="AI695" t="inlineStr">
        <is>
          <t>X</t>
        </is>
      </c>
      <c r="AJ695" t="n">
        <v>4</v>
      </c>
      <c r="AK695" t="inlineStr">
        <is>
          <t>V4</t>
        </is>
      </c>
      <c r="AL695" t="n">
        <v>20230920</v>
      </c>
      <c r="AM695" t="inlineStr">
        <is>
          <t>D836-900004365-65061687-10000133-4</t>
        </is>
      </c>
    </row>
    <row r="696">
      <c r="A696" t="inlineStr">
        <is>
          <t>900004365D8366506168710000624</t>
        </is>
      </c>
      <c r="B696" t="inlineStr">
        <is>
          <t>4600053008-60</t>
        </is>
      </c>
      <c r="C696" t="n">
        <v>4600053008</v>
      </c>
      <c r="D696" t="n">
        <v>60</v>
      </c>
      <c r="E696" t="inlineStr">
        <is>
          <t>MXPO</t>
        </is>
      </c>
      <c r="F696" t="inlineStr">
        <is>
          <t>MXL</t>
        </is>
      </c>
      <c r="G696" t="n">
        <v>900004365</v>
      </c>
      <c r="H696" t="inlineStr">
        <is>
          <t>TP-ED-DOS CERROS</t>
        </is>
      </c>
      <c r="I696" t="n">
        <v>5036168</v>
      </c>
      <c r="J696" t="inlineStr">
        <is>
          <t>TRITURADOS DOS CERROS SA DE CV</t>
        </is>
      </c>
      <c r="K696" t="inlineStr">
        <is>
          <t>Z04</t>
        </is>
      </c>
      <c r="L696" t="inlineStr">
        <is>
          <t>(AP) 30 Dias</t>
        </is>
      </c>
      <c r="M696" t="n">
        <v>10000624</v>
      </c>
      <c r="N696" t="inlineStr">
        <is>
          <t>Grava Triturada Caliza 40 mm - 1 1/2"</t>
        </is>
      </c>
      <c r="O696" t="inlineStr">
        <is>
          <t>D836</t>
        </is>
      </c>
      <c r="P696" t="inlineStr">
        <is>
          <t>MX-CED. CENTRO</t>
        </is>
      </c>
      <c r="Q696" t="n">
        <v>20220128</v>
      </c>
      <c r="R696" t="n">
        <v>20281231</v>
      </c>
      <c r="S696" t="n">
        <v>20230601</v>
      </c>
      <c r="T696" t="n">
        <v>20281231</v>
      </c>
      <c r="U696" t="n">
        <v>358</v>
      </c>
      <c r="V696" t="inlineStr">
        <is>
          <t>MXN</t>
        </is>
      </c>
      <c r="W696" t="inlineStr">
        <is>
          <t>M3</t>
        </is>
      </c>
      <c r="X696" t="n">
        <v>200</v>
      </c>
      <c r="Y696" t="inlineStr">
        <is>
          <t>MXN</t>
        </is>
      </c>
      <c r="Z696" t="inlineStr">
        <is>
          <t>M3</t>
        </is>
      </c>
      <c r="AA696" t="inlineStr">
        <is>
          <t>65061687</t>
        </is>
      </c>
      <c r="AB696" t="inlineStr">
        <is>
          <t>OBR-AGR CONCRETOS COMARCA-SAN VICEN</t>
        </is>
      </c>
      <c r="AC696" t="n">
        <v>56103637</v>
      </c>
      <c r="AD696" t="n">
        <v>6622261540</v>
      </c>
      <c r="AE696" t="n">
        <v>4</v>
      </c>
      <c r="AF696" t="inlineStr">
        <is>
          <t>ENTREGA DIRECTA</t>
        </is>
      </c>
      <c r="AG696" t="n">
        <v>1.45</v>
      </c>
      <c r="AH696" t="inlineStr">
        <is>
          <t>M3</t>
        </is>
      </c>
      <c r="AI696" t="inlineStr">
        <is>
          <t>X</t>
        </is>
      </c>
      <c r="AJ696" t="n">
        <v>4</v>
      </c>
      <c r="AK696" t="inlineStr">
        <is>
          <t>V4</t>
        </is>
      </c>
      <c r="AL696" t="n">
        <v>20230920</v>
      </c>
      <c r="AM696" t="inlineStr">
        <is>
          <t>D836-900004365-65061687-10000624-4</t>
        </is>
      </c>
    </row>
    <row r="697">
      <c r="A697" t="inlineStr">
        <is>
          <t>900004365D8366645007210000133</t>
        </is>
      </c>
      <c r="B697" t="inlineStr">
        <is>
          <t>4600053008-80</t>
        </is>
      </c>
      <c r="C697" t="n">
        <v>4600053008</v>
      </c>
      <c r="D697" t="n">
        <v>80</v>
      </c>
      <c r="E697" t="inlineStr">
        <is>
          <t>MXPO</t>
        </is>
      </c>
      <c r="F697" t="inlineStr">
        <is>
          <t>MXL</t>
        </is>
      </c>
      <c r="G697" t="n">
        <v>900004365</v>
      </c>
      <c r="H697" t="inlineStr">
        <is>
          <t>TP-ED-DOS CERROS</t>
        </is>
      </c>
      <c r="I697" t="n">
        <v>5036168</v>
      </c>
      <c r="J697" t="inlineStr">
        <is>
          <t>TRITURADOS DOS CERROS SA DE CV</t>
        </is>
      </c>
      <c r="K697" t="inlineStr">
        <is>
          <t>Z04</t>
        </is>
      </c>
      <c r="L697" t="inlineStr">
        <is>
          <t>(AP) 30 Dias</t>
        </is>
      </c>
      <c r="M697" t="n">
        <v>10000133</v>
      </c>
      <c r="N697" t="inlineStr">
        <is>
          <t>Grava Triturada Caliza 20 mm - 3/4"</t>
        </is>
      </c>
      <c r="O697" t="inlineStr">
        <is>
          <t>D836</t>
        </is>
      </c>
      <c r="P697" t="inlineStr">
        <is>
          <t>MX-CED. CENTRO</t>
        </is>
      </c>
      <c r="Q697" t="n">
        <v>20220128</v>
      </c>
      <c r="R697" t="n">
        <v>20281231</v>
      </c>
      <c r="S697" t="n">
        <v>20230601</v>
      </c>
      <c r="T697" t="n">
        <v>20281231</v>
      </c>
      <c r="U697" t="n">
        <v>387</v>
      </c>
      <c r="V697" t="inlineStr">
        <is>
          <t>MXN</t>
        </is>
      </c>
      <c r="W697" t="inlineStr">
        <is>
          <t>M3</t>
        </is>
      </c>
      <c r="X697" t="n">
        <v>200</v>
      </c>
      <c r="Y697" t="inlineStr">
        <is>
          <t>MXN</t>
        </is>
      </c>
      <c r="Z697" t="inlineStr">
        <is>
          <t>M3</t>
        </is>
      </c>
      <c r="AA697" t="inlineStr">
        <is>
          <t>66450072</t>
        </is>
      </c>
      <c r="AB697" t="inlineStr">
        <is>
          <t>COMARCA ESMERALDA OBR-AGR</t>
        </is>
      </c>
      <c r="AC697" t="n">
        <v>56103637</v>
      </c>
      <c r="AD697" t="n">
        <v>6622261540</v>
      </c>
      <c r="AE697" t="n">
        <v>4</v>
      </c>
      <c r="AF697" t="inlineStr">
        <is>
          <t>ENTREGA DIRECTA</t>
        </is>
      </c>
      <c r="AG697" t="n">
        <v>1.46</v>
      </c>
      <c r="AH697" t="inlineStr">
        <is>
          <t>M3</t>
        </is>
      </c>
      <c r="AI697" t="inlineStr">
        <is>
          <t>X</t>
        </is>
      </c>
      <c r="AJ697" t="n">
        <v>4</v>
      </c>
      <c r="AK697" t="inlineStr">
        <is>
          <t>V4</t>
        </is>
      </c>
      <c r="AL697" t="n">
        <v>20230920</v>
      </c>
      <c r="AM697" t="inlineStr">
        <is>
          <t>D836-900004365-66450072-10000133-4</t>
        </is>
      </c>
    </row>
    <row r="698">
      <c r="A698" t="inlineStr">
        <is>
          <t>900004365D8366509848110149994</t>
        </is>
      </c>
      <c r="B698" t="inlineStr">
        <is>
          <t>4600053008-150</t>
        </is>
      </c>
      <c r="C698" t="n">
        <v>4600053008</v>
      </c>
      <c r="D698" t="n">
        <v>150</v>
      </c>
      <c r="E698" t="inlineStr">
        <is>
          <t>MXPO</t>
        </is>
      </c>
      <c r="F698" t="inlineStr">
        <is>
          <t>MXL</t>
        </is>
      </c>
      <c r="G698" t="n">
        <v>900004365</v>
      </c>
      <c r="H698" t="inlineStr">
        <is>
          <t>TP-ED-DOS CERROS</t>
        </is>
      </c>
      <c r="I698" t="n">
        <v>5036168</v>
      </c>
      <c r="J698" t="inlineStr">
        <is>
          <t>TRITURADOS DOS CERROS SA DE CV</t>
        </is>
      </c>
      <c r="K698" t="inlineStr">
        <is>
          <t>Z04</t>
        </is>
      </c>
      <c r="L698" t="inlineStr">
        <is>
          <t>(AP) 30 Dias</t>
        </is>
      </c>
      <c r="M698" t="n">
        <v>10149994</v>
      </c>
      <c r="N698" t="inlineStr">
        <is>
          <t>ARENA TRITURADA ANDESITA MALLA 4</t>
        </is>
      </c>
      <c r="O698" t="inlineStr">
        <is>
          <t>D836</t>
        </is>
      </c>
      <c r="P698" t="inlineStr">
        <is>
          <t>MX-CED. CENTRO</t>
        </is>
      </c>
      <c r="Q698" t="n">
        <v>20220128</v>
      </c>
      <c r="R698" t="n">
        <v>20281231</v>
      </c>
      <c r="S698" t="n">
        <v>20230623</v>
      </c>
      <c r="T698" t="n">
        <v>20281231</v>
      </c>
      <c r="U698" t="n">
        <v>379.9</v>
      </c>
      <c r="V698" t="inlineStr">
        <is>
          <t>MXN</t>
        </is>
      </c>
      <c r="W698" t="inlineStr">
        <is>
          <t>M3</t>
        </is>
      </c>
      <c r="X698" t="n">
        <v>200</v>
      </c>
      <c r="Y698" t="inlineStr">
        <is>
          <t>MXN</t>
        </is>
      </c>
      <c r="Z698" t="inlineStr">
        <is>
          <t>M3</t>
        </is>
      </c>
      <c r="AA698" t="inlineStr">
        <is>
          <t>65098481</t>
        </is>
      </c>
      <c r="AB698" t="inlineStr">
        <is>
          <t>FACHADAS PREFABRICADAS FAPRESSA PLA</t>
        </is>
      </c>
      <c r="AC698" t="n">
        <v>56103638</v>
      </c>
      <c r="AD698" t="n">
        <v>6622261540</v>
      </c>
      <c r="AE698" t="n">
        <v>4</v>
      </c>
      <c r="AF698" t="inlineStr">
        <is>
          <t>ENTREGA DIRECTA</t>
        </is>
      </c>
      <c r="AG698" t="n">
        <v>1.47</v>
      </c>
      <c r="AH698" t="inlineStr">
        <is>
          <t>M3</t>
        </is>
      </c>
      <c r="AI698" t="inlineStr">
        <is>
          <t>X</t>
        </is>
      </c>
      <c r="AJ698" t="n">
        <v>4</v>
      </c>
      <c r="AK698" t="inlineStr">
        <is>
          <t>V4</t>
        </is>
      </c>
      <c r="AL698" t="n">
        <v>20230920</v>
      </c>
      <c r="AM698" t="inlineStr">
        <is>
          <t>D836-900004365-65098481-10149994-4</t>
        </is>
      </c>
    </row>
    <row r="699">
      <c r="A699" t="inlineStr">
        <is>
          <t>900006542D8366688514410000651</t>
        </is>
      </c>
      <c r="B699" t="inlineStr">
        <is>
          <t>4600047341-130</t>
        </is>
      </c>
      <c r="C699" t="n">
        <v>4600047341</v>
      </c>
      <c r="D699" t="n">
        <v>130</v>
      </c>
      <c r="E699" t="inlineStr">
        <is>
          <t>MXPO</t>
        </is>
      </c>
      <c r="F699" t="inlineStr">
        <is>
          <t>MXL</t>
        </is>
      </c>
      <c r="G699" t="n">
        <v>900006542</v>
      </c>
      <c r="H699" t="inlineStr">
        <is>
          <t>TP-OLIELL TORTON</t>
        </is>
      </c>
      <c r="I699" t="n">
        <v>5048484</v>
      </c>
      <c r="J699" t="inlineStr">
        <is>
          <t>COMERCIALIZADORA Y TRANSPORTADORA O</t>
        </is>
      </c>
      <c r="K699" t="inlineStr">
        <is>
          <t>N90</t>
        </is>
      </c>
      <c r="L699" t="inlineStr">
        <is>
          <t>(AP) NAFIN 90 Dias</t>
        </is>
      </c>
      <c r="M699" t="n">
        <v>10000651</v>
      </c>
      <c r="N699" t="inlineStr">
        <is>
          <t>Arena Triturada Andesita Malla 8</t>
        </is>
      </c>
      <c r="O699" t="inlineStr">
        <is>
          <t>D836</t>
        </is>
      </c>
      <c r="P699" t="inlineStr">
        <is>
          <t>MX-CED. CENTRO</t>
        </is>
      </c>
      <c r="Q699" t="n">
        <v>20200615</v>
      </c>
      <c r="R699" t="n">
        <v>20281231</v>
      </c>
      <c r="S699" t="n">
        <v>20200803</v>
      </c>
      <c r="T699" t="n">
        <v>20301231</v>
      </c>
      <c r="U699" t="n">
        <v>235</v>
      </c>
      <c r="V699" t="inlineStr">
        <is>
          <t>MXN</t>
        </is>
      </c>
      <c r="W699" t="inlineStr">
        <is>
          <t>M3</t>
        </is>
      </c>
      <c r="X699" t="n">
        <v>150</v>
      </c>
      <c r="Y699" t="inlineStr">
        <is>
          <t>MXN</t>
        </is>
      </c>
      <c r="Z699" t="inlineStr">
        <is>
          <t>M3</t>
        </is>
      </c>
      <c r="AA699" t="inlineStr">
        <is>
          <t>66885144</t>
        </is>
      </c>
      <c r="AB699" t="inlineStr">
        <is>
          <t>LA VICTORIA</t>
        </is>
      </c>
      <c r="AC699" t="n">
        <v>56103638</v>
      </c>
      <c r="AD699" t="n">
        <v>6622261540</v>
      </c>
      <c r="AE699" t="n">
        <v>4</v>
      </c>
      <c r="AF699" t="inlineStr">
        <is>
          <t>ENTREGA DIRECTA</t>
        </is>
      </c>
      <c r="AG699" t="n">
        <v>1.35</v>
      </c>
      <c r="AH699" t="inlineStr">
        <is>
          <t>M3</t>
        </is>
      </c>
      <c r="AI699" t="inlineStr">
        <is>
          <t>X</t>
        </is>
      </c>
      <c r="AJ699" t="n">
        <v>4</v>
      </c>
      <c r="AK699" t="inlineStr">
        <is>
          <t>V4</t>
        </is>
      </c>
      <c r="AL699" t="n">
        <v>20230920</v>
      </c>
      <c r="AM699" t="inlineStr">
        <is>
          <t>D836-900006542-66885144-10000651-4</t>
        </is>
      </c>
    </row>
    <row r="700">
      <c r="A700" t="inlineStr">
        <is>
          <t>900001200D8366646379210000624</t>
        </is>
      </c>
      <c r="B700" t="inlineStr">
        <is>
          <t>4600049316-30</t>
        </is>
      </c>
      <c r="C700" t="n">
        <v>4600049316</v>
      </c>
      <c r="D700" t="n">
        <v>30</v>
      </c>
      <c r="E700" t="inlineStr">
        <is>
          <t>MXPO</t>
        </is>
      </c>
      <c r="F700" t="inlineStr">
        <is>
          <t>MXL</t>
        </is>
      </c>
      <c r="G700" t="n">
        <v>900001200</v>
      </c>
      <c r="H700" t="inlineStr">
        <is>
          <t>TP-ED-LA VALENCIANA</t>
        </is>
      </c>
      <c r="I700" t="n">
        <v>5005431</v>
      </c>
      <c r="J700" t="inlineStr">
        <is>
          <t>CANTERAS LA VALENCIANA SA DE CV</t>
        </is>
      </c>
      <c r="K700" t="inlineStr">
        <is>
          <t>Z03</t>
        </is>
      </c>
      <c r="L700" t="inlineStr">
        <is>
          <t>(AP) 15 Dias</t>
        </is>
      </c>
      <c r="M700" t="n">
        <v>10000624</v>
      </c>
      <c r="N700" t="inlineStr">
        <is>
          <t>Grava Triturada Caliza 40 mm - 1 1/2"</t>
        </is>
      </c>
      <c r="O700" t="inlineStr">
        <is>
          <t>D836</t>
        </is>
      </c>
      <c r="P700" t="inlineStr">
        <is>
          <t>MX-CED. CENTRO</t>
        </is>
      </c>
      <c r="Q700" t="n">
        <v>20210304</v>
      </c>
      <c r="R700" t="n">
        <v>20261231</v>
      </c>
      <c r="S700" t="n">
        <v>20210304</v>
      </c>
      <c r="T700" t="n">
        <v>20261231</v>
      </c>
      <c r="U700" t="n">
        <v>380</v>
      </c>
      <c r="V700" t="inlineStr">
        <is>
          <t>MXN</t>
        </is>
      </c>
      <c r="W700" t="inlineStr">
        <is>
          <t>M3</t>
        </is>
      </c>
      <c r="X700" t="n">
        <v>250</v>
      </c>
      <c r="Y700" t="inlineStr">
        <is>
          <t>MXN</t>
        </is>
      </c>
      <c r="Z700" t="inlineStr">
        <is>
          <t>M3</t>
        </is>
      </c>
      <c r="AA700" t="inlineStr">
        <is>
          <t>66463792</t>
        </is>
      </c>
      <c r="AB700" t="inlineStr">
        <is>
          <t>PLANTA TLALPAN</t>
        </is>
      </c>
      <c r="AC700" t="n">
        <v>56103637</v>
      </c>
      <c r="AD700" t="n">
        <v>6622261540</v>
      </c>
      <c r="AE700" t="n">
        <v>4</v>
      </c>
      <c r="AF700" t="inlineStr">
        <is>
          <t>ENTREGA DIRECTA</t>
        </is>
      </c>
      <c r="AG700" t="n">
        <v>1.45</v>
      </c>
      <c r="AH700" t="inlineStr">
        <is>
          <t>M3</t>
        </is>
      </c>
      <c r="AI700" t="inlineStr">
        <is>
          <t>X</t>
        </is>
      </c>
      <c r="AJ700" t="n">
        <v>4</v>
      </c>
      <c r="AK700" t="inlineStr">
        <is>
          <t>V4</t>
        </is>
      </c>
      <c r="AL700" t="n">
        <v>20230920</v>
      </c>
      <c r="AM700" t="inlineStr">
        <is>
          <t>D836-900001200-66463792-10000624-4</t>
        </is>
      </c>
    </row>
    <row r="701">
      <c r="A701" t="inlineStr">
        <is>
          <t>900006371D8366698265810000357</t>
        </is>
      </c>
      <c r="B701" t="inlineStr">
        <is>
          <t>4600048255-90</t>
        </is>
      </c>
      <c r="C701" t="n">
        <v>4600048255</v>
      </c>
      <c r="D701" t="n">
        <v>90</v>
      </c>
      <c r="E701" t="inlineStr">
        <is>
          <t>MXPO</t>
        </is>
      </c>
      <c r="F701" t="inlineStr">
        <is>
          <t>MXL</t>
        </is>
      </c>
      <c r="G701" t="n">
        <v>900006371</v>
      </c>
      <c r="H701" t="inlineStr">
        <is>
          <t>SF TP-ED-TRIVOMEX</t>
        </is>
      </c>
      <c r="I701" t="n">
        <v>5033501</v>
      </c>
      <c r="J701" t="inlineStr">
        <is>
          <t>TRITURADOS VOLCANICOS DE MEXICO</t>
        </is>
      </c>
      <c r="K701" t="inlineStr">
        <is>
          <t>Z04</t>
        </is>
      </c>
      <c r="L701" t="inlineStr">
        <is>
          <t>(AP) 30 Dias</t>
        </is>
      </c>
      <c r="M701" t="n">
        <v>10000357</v>
      </c>
      <c r="N701" t="inlineStr">
        <is>
          <t>Grava Triturada Andesita 20 mm - 3/4"</t>
        </is>
      </c>
      <c r="O701" t="inlineStr">
        <is>
          <t>D836</t>
        </is>
      </c>
      <c r="P701" t="inlineStr">
        <is>
          <t>MX-CED. CENTRO</t>
        </is>
      </c>
      <c r="Q701" t="n">
        <v>20201015</v>
      </c>
      <c r="R701" t="n">
        <v>20291231</v>
      </c>
      <c r="S701" t="n">
        <v>20210524</v>
      </c>
      <c r="T701" t="n">
        <v>20291231</v>
      </c>
      <c r="U701" t="n">
        <v>164.5</v>
      </c>
      <c r="V701" t="inlineStr">
        <is>
          <t>MXN</t>
        </is>
      </c>
      <c r="W701" t="inlineStr">
        <is>
          <t>M3</t>
        </is>
      </c>
      <c r="X701" t="n">
        <v>70</v>
      </c>
      <c r="Y701" t="inlineStr">
        <is>
          <t>MXN</t>
        </is>
      </c>
      <c r="Z701" t="inlineStr">
        <is>
          <t>M3</t>
        </is>
      </c>
      <c r="AA701" t="inlineStr">
        <is>
          <t>66982658</t>
        </is>
      </c>
      <c r="AB701" t="inlineStr">
        <is>
          <t>I. ALJUCA ETAPA 2 (HTVM)</t>
        </is>
      </c>
      <c r="AC701" t="n">
        <v>56103637</v>
      </c>
      <c r="AD701" t="n">
        <v>6622261540</v>
      </c>
      <c r="AE701" t="n">
        <v>4</v>
      </c>
      <c r="AF701" t="inlineStr">
        <is>
          <t>ENTREGA DIRECTA</t>
        </is>
      </c>
      <c r="AG701" t="n">
        <v>1.326</v>
      </c>
      <c r="AH701" t="inlineStr">
        <is>
          <t>M3</t>
        </is>
      </c>
      <c r="AI701" t="inlineStr">
        <is>
          <t>X</t>
        </is>
      </c>
      <c r="AJ701" t="n">
        <v>4</v>
      </c>
      <c r="AK701" t="inlineStr">
        <is>
          <t>V4</t>
        </is>
      </c>
      <c r="AL701" t="n">
        <v>20230920</v>
      </c>
      <c r="AM701" t="inlineStr">
        <is>
          <t>D836-900006371-66982658-10000357-4</t>
        </is>
      </c>
    </row>
    <row r="702">
      <c r="A702" t="inlineStr">
        <is>
          <t>900002574D8366712669810029712</t>
        </is>
      </c>
      <c r="B702" t="inlineStr">
        <is>
          <t>4600027590-2640</t>
        </is>
      </c>
      <c r="C702" t="n">
        <v>4600027590</v>
      </c>
      <c r="D702" t="n">
        <v>2640</v>
      </c>
      <c r="E702" t="inlineStr">
        <is>
          <t>MXPO</t>
        </is>
      </c>
      <c r="F702" t="inlineStr">
        <is>
          <t>M02</t>
        </is>
      </c>
      <c r="G702" t="n">
        <v>900002574</v>
      </c>
      <c r="H702" t="inlineStr">
        <is>
          <t>TP-ED-OLIELL</t>
        </is>
      </c>
      <c r="I702" t="n">
        <v>5048484</v>
      </c>
      <c r="J702" t="inlineStr">
        <is>
          <t>COMERCIALIZADORA Y TRANSPORTADORA O</t>
        </is>
      </c>
      <c r="K702" t="inlineStr">
        <is>
          <t>N90</t>
        </is>
      </c>
      <c r="L702" t="inlineStr">
        <is>
          <t>(AP) NAFIN 90 Dias</t>
        </is>
      </c>
      <c r="M702" t="n">
        <v>10029712</v>
      </c>
      <c r="N702" t="inlineStr">
        <is>
          <t>Grava Triturada Tepojal 20 mm - 3/4"</t>
        </is>
      </c>
      <c r="O702" t="inlineStr">
        <is>
          <t>D836</t>
        </is>
      </c>
      <c r="P702" t="inlineStr">
        <is>
          <t>MX-CED. CENTRO</t>
        </is>
      </c>
      <c r="Q702" t="n">
        <v>20141106</v>
      </c>
      <c r="R702" t="n">
        <v>20281231</v>
      </c>
      <c r="S702" t="n">
        <v>20250311</v>
      </c>
      <c r="T702" t="n">
        <v>20301231</v>
      </c>
      <c r="U702" t="n">
        <v>535</v>
      </c>
      <c r="V702" t="inlineStr">
        <is>
          <t>MXN</t>
        </is>
      </c>
      <c r="W702" t="inlineStr">
        <is>
          <t>M3</t>
        </is>
      </c>
      <c r="X702" t="n">
        <v>300</v>
      </c>
      <c r="Y702" t="inlineStr">
        <is>
          <t>MXN</t>
        </is>
      </c>
      <c r="Z702" t="inlineStr">
        <is>
          <t>M3</t>
        </is>
      </c>
      <c r="AA702" t="inlineStr">
        <is>
          <t>67126698</t>
        </is>
      </c>
      <c r="AB702" t="inlineStr">
        <is>
          <t>ROCACERO TEPOTZOTLAN 2</t>
        </is>
      </c>
      <c r="AC702" t="n">
        <v>56103637</v>
      </c>
      <c r="AD702" t="n">
        <v>6622261540</v>
      </c>
      <c r="AE702" t="n">
        <v>4</v>
      </c>
      <c r="AF702" t="inlineStr">
        <is>
          <t>ENTREGA DIRECTA</t>
        </is>
      </c>
      <c r="AG702" t="n">
        <v>1.2</v>
      </c>
      <c r="AH702" t="inlineStr">
        <is>
          <t>M3</t>
        </is>
      </c>
      <c r="AI702" t="inlineStr">
        <is>
          <t>X</t>
        </is>
      </c>
      <c r="AJ702" t="n">
        <v>4</v>
      </c>
      <c r="AK702" t="inlineStr">
        <is>
          <t>V4</t>
        </is>
      </c>
      <c r="AL702" t="n">
        <v>20250313</v>
      </c>
      <c r="AM702" t="inlineStr">
        <is>
          <t>D836-900002574-67126698-10029712-4</t>
        </is>
      </c>
    </row>
    <row r="703">
      <c r="A703" t="inlineStr">
        <is>
          <t>900004323D8366670138310000160</t>
        </is>
      </c>
      <c r="B703" t="inlineStr">
        <is>
          <t>4600039874-110</t>
        </is>
      </c>
      <c r="C703" t="n">
        <v>4600039874</v>
      </c>
      <c r="D703" t="n">
        <v>110</v>
      </c>
      <c r="E703" t="inlineStr">
        <is>
          <t>MXPO</t>
        </is>
      </c>
      <c r="F703" t="inlineStr">
        <is>
          <t>MXL</t>
        </is>
      </c>
      <c r="G703" t="n">
        <v>900004323</v>
      </c>
      <c r="H703" t="inlineStr">
        <is>
          <t>TP-LAS TRANCAS</t>
        </is>
      </c>
      <c r="I703" t="n">
        <v>5047262</v>
      </c>
      <c r="J703" t="inlineStr">
        <is>
          <t>AGREGADOS PETREOS SAN CRISTOBAL</t>
        </is>
      </c>
      <c r="K703" t="inlineStr">
        <is>
          <t>Z03</t>
        </is>
      </c>
      <c r="L703" t="inlineStr">
        <is>
          <t>(AP) 15 Dias</t>
        </is>
      </c>
      <c r="M703" t="n">
        <v>10000160</v>
      </c>
      <c r="N703" t="inlineStr">
        <is>
          <t>Arena Triturada Andesita Malla 4</t>
        </is>
      </c>
      <c r="O703" t="inlineStr">
        <is>
          <t>D836</t>
        </is>
      </c>
      <c r="P703" t="inlineStr">
        <is>
          <t>MX-CED. CENTRO</t>
        </is>
      </c>
      <c r="Q703" t="n">
        <v>20170927</v>
      </c>
      <c r="R703" t="n">
        <v>20281231</v>
      </c>
      <c r="S703" t="n">
        <v>20190725</v>
      </c>
      <c r="T703" t="n">
        <v>20241231</v>
      </c>
      <c r="U703" t="n">
        <v>281.5</v>
      </c>
      <c r="V703" t="inlineStr">
        <is>
          <t>MXN</t>
        </is>
      </c>
      <c r="W703" t="inlineStr">
        <is>
          <t>M3</t>
        </is>
      </c>
      <c r="X703" t="n">
        <v>200</v>
      </c>
      <c r="Y703" t="inlineStr">
        <is>
          <t>MXN</t>
        </is>
      </c>
      <c r="Z703" t="inlineStr">
        <is>
          <t>M3</t>
        </is>
      </c>
      <c r="AA703" t="inlineStr">
        <is>
          <t>66701383</t>
        </is>
      </c>
      <c r="AB703" t="inlineStr">
        <is>
          <t>AV. EMPERADORES #163 (OMC)</t>
        </is>
      </c>
      <c r="AC703" t="n">
        <v>56103638</v>
      </c>
      <c r="AD703" t="n">
        <v>6622261540</v>
      </c>
      <c r="AE703" t="n">
        <v>4</v>
      </c>
      <c r="AF703" t="inlineStr">
        <is>
          <t>ENTREGA DIRECTA</t>
        </is>
      </c>
      <c r="AG703" t="n">
        <v>1.409</v>
      </c>
      <c r="AH703" t="inlineStr">
        <is>
          <t>M3</t>
        </is>
      </c>
      <c r="AI703" t="inlineStr">
        <is>
          <t>X</t>
        </is>
      </c>
      <c r="AJ703" t="n">
        <v>4</v>
      </c>
      <c r="AK703" t="inlineStr">
        <is>
          <t>V4</t>
        </is>
      </c>
      <c r="AL703" t="n">
        <v>20230920</v>
      </c>
      <c r="AM703" t="inlineStr">
        <is>
          <t>D836-900004323-66701383-10000160-4</t>
        </is>
      </c>
    </row>
    <row r="704">
      <c r="A704" t="inlineStr">
        <is>
          <t>900006950D8366691924410000133</t>
        </is>
      </c>
      <c r="B704" t="inlineStr">
        <is>
          <t>4600048579-40</t>
        </is>
      </c>
      <c r="C704" t="n">
        <v>4600048579</v>
      </c>
      <c r="D704" t="n">
        <v>40</v>
      </c>
      <c r="E704" t="inlineStr">
        <is>
          <t>MXPO</t>
        </is>
      </c>
      <c r="F704" t="inlineStr">
        <is>
          <t>MXL</t>
        </is>
      </c>
      <c r="G704" t="n">
        <v>900006950</v>
      </c>
      <c r="H704" t="inlineStr">
        <is>
          <t>SF TP-ED-OLIELL GONDOLA</t>
        </is>
      </c>
      <c r="I704" t="n">
        <v>5048484</v>
      </c>
      <c r="J704" t="inlineStr">
        <is>
          <t>COMERCIALIZADORA Y TRANSPORTADORA O</t>
        </is>
      </c>
      <c r="K704" t="inlineStr">
        <is>
          <t>N90</t>
        </is>
      </c>
      <c r="L704" t="inlineStr">
        <is>
          <t>(AP) NAFIN 90 Dias</t>
        </is>
      </c>
      <c r="M704" t="n">
        <v>10000133</v>
      </c>
      <c r="N704" t="inlineStr">
        <is>
          <t>Grava Triturada Caliza 20 mm - 3/4"</t>
        </is>
      </c>
      <c r="O704" t="inlineStr">
        <is>
          <t>D836</t>
        </is>
      </c>
      <c r="P704" t="inlineStr">
        <is>
          <t>MX-CED. CENTRO</t>
        </is>
      </c>
      <c r="Q704" t="n">
        <v>20201201</v>
      </c>
      <c r="R704" t="n">
        <v>20291231</v>
      </c>
      <c r="S704" t="n">
        <v>20201229</v>
      </c>
      <c r="T704" t="n">
        <v>20291231</v>
      </c>
      <c r="U704" t="n">
        <v>375</v>
      </c>
      <c r="V704" t="inlineStr">
        <is>
          <t>MXN</t>
        </is>
      </c>
      <c r="W704" t="inlineStr">
        <is>
          <t>M3</t>
        </is>
      </c>
      <c r="X704" t="n">
        <v>200</v>
      </c>
      <c r="Y704" t="inlineStr">
        <is>
          <t>MXN</t>
        </is>
      </c>
      <c r="Z704" t="inlineStr">
        <is>
          <t>M3</t>
        </is>
      </c>
      <c r="AA704" t="inlineStr">
        <is>
          <t>66919244</t>
        </is>
      </c>
      <c r="AB704" t="inlineStr">
        <is>
          <t>Santa Rosa</t>
        </is>
      </c>
      <c r="AC704" t="n">
        <v>56103637</v>
      </c>
      <c r="AD704" t="n">
        <v>6622261540</v>
      </c>
      <c r="AE704" t="n">
        <v>4</v>
      </c>
      <c r="AF704" t="inlineStr">
        <is>
          <t>ENTREGA DIRECTA</t>
        </is>
      </c>
      <c r="AG704" t="n">
        <v>1.46</v>
      </c>
      <c r="AH704" t="inlineStr">
        <is>
          <t>M3</t>
        </is>
      </c>
      <c r="AI704" t="inlineStr">
        <is>
          <t>X</t>
        </is>
      </c>
      <c r="AJ704" t="n">
        <v>4</v>
      </c>
      <c r="AK704" t="inlineStr">
        <is>
          <t>V4</t>
        </is>
      </c>
      <c r="AL704" t="n">
        <v>20230920</v>
      </c>
      <c r="AM704" t="inlineStr">
        <is>
          <t>D836-900006950-66919244-10000133-4</t>
        </is>
      </c>
    </row>
    <row r="705">
      <c r="A705" t="inlineStr">
        <is>
          <t>900004365D8366645007210000623</t>
        </is>
      </c>
      <c r="B705" t="inlineStr">
        <is>
          <t>4600053008-70</t>
        </is>
      </c>
      <c r="C705" t="n">
        <v>4600053008</v>
      </c>
      <c r="D705" t="n">
        <v>70</v>
      </c>
      <c r="E705" t="inlineStr">
        <is>
          <t>MXPO</t>
        </is>
      </c>
      <c r="F705" t="inlineStr">
        <is>
          <t>MXL</t>
        </is>
      </c>
      <c r="G705" t="n">
        <v>900004365</v>
      </c>
      <c r="H705" t="inlineStr">
        <is>
          <t>TP-ED-DOS CERROS</t>
        </is>
      </c>
      <c r="I705" t="n">
        <v>5036168</v>
      </c>
      <c r="J705" t="inlineStr">
        <is>
          <t>TRITURADOS DOS CERROS SA DE CV</t>
        </is>
      </c>
      <c r="K705" t="inlineStr">
        <is>
          <t>Z04</t>
        </is>
      </c>
      <c r="L705" t="inlineStr">
        <is>
          <t>(AP) 30 Dias</t>
        </is>
      </c>
      <c r="M705" t="n">
        <v>10000623</v>
      </c>
      <c r="N705" t="inlineStr">
        <is>
          <t>Grava Triturada Caliza 10 mm - 3/8"</t>
        </is>
      </c>
      <c r="O705" t="inlineStr">
        <is>
          <t>D836</t>
        </is>
      </c>
      <c r="P705" t="inlineStr">
        <is>
          <t>MX-CED. CENTRO</t>
        </is>
      </c>
      <c r="Q705" t="n">
        <v>20220128</v>
      </c>
      <c r="R705" t="n">
        <v>20281231</v>
      </c>
      <c r="S705" t="n">
        <v>20230601</v>
      </c>
      <c r="T705" t="n">
        <v>20281231</v>
      </c>
      <c r="U705" t="n">
        <v>400</v>
      </c>
      <c r="V705" t="inlineStr">
        <is>
          <t>MXN</t>
        </is>
      </c>
      <c r="W705" t="inlineStr">
        <is>
          <t>M3</t>
        </is>
      </c>
      <c r="X705" t="n">
        <v>200</v>
      </c>
      <c r="Y705" t="inlineStr">
        <is>
          <t>MXN</t>
        </is>
      </c>
      <c r="Z705" t="inlineStr">
        <is>
          <t>M3</t>
        </is>
      </c>
      <c r="AA705" t="inlineStr">
        <is>
          <t>66450072</t>
        </is>
      </c>
      <c r="AB705" t="inlineStr">
        <is>
          <t>COMARCA ESMERALDA OBR-AGR</t>
        </is>
      </c>
      <c r="AC705" t="n">
        <v>56103637</v>
      </c>
      <c r="AD705" t="n">
        <v>6622261540</v>
      </c>
      <c r="AE705" t="n">
        <v>4</v>
      </c>
      <c r="AF705" t="inlineStr">
        <is>
          <t>ENTREGA DIRECTA</t>
        </is>
      </c>
      <c r="AG705" t="n">
        <v>1.41</v>
      </c>
      <c r="AH705" t="inlineStr">
        <is>
          <t>M3</t>
        </is>
      </c>
      <c r="AI705" t="inlineStr">
        <is>
          <t>X</t>
        </is>
      </c>
      <c r="AJ705" t="n">
        <v>4</v>
      </c>
      <c r="AK705" t="inlineStr">
        <is>
          <t>V4</t>
        </is>
      </c>
      <c r="AL705" t="n">
        <v>20230920</v>
      </c>
      <c r="AM705" t="inlineStr">
        <is>
          <t>D836-900004365-66450072-10000623-4</t>
        </is>
      </c>
    </row>
    <row r="706">
      <c r="A706" t="inlineStr">
        <is>
          <t>900004365D8366623009810000133</t>
        </is>
      </c>
      <c r="B706" t="inlineStr">
        <is>
          <t>4600053008-110</t>
        </is>
      </c>
      <c r="C706" t="n">
        <v>4600053008</v>
      </c>
      <c r="D706" t="n">
        <v>110</v>
      </c>
      <c r="E706" t="inlineStr">
        <is>
          <t>MXPO</t>
        </is>
      </c>
      <c r="F706" t="inlineStr">
        <is>
          <t>MXL</t>
        </is>
      </c>
      <c r="G706" t="n">
        <v>900004365</v>
      </c>
      <c r="H706" t="inlineStr">
        <is>
          <t>TP-ED-DOS CERROS</t>
        </is>
      </c>
      <c r="I706" t="n">
        <v>5036168</v>
      </c>
      <c r="J706" t="inlineStr">
        <is>
          <t>TRITURADOS DOS CERROS SA DE CV</t>
        </is>
      </c>
      <c r="K706" t="inlineStr">
        <is>
          <t>Z04</t>
        </is>
      </c>
      <c r="L706" t="inlineStr">
        <is>
          <t>(AP) 30 Dias</t>
        </is>
      </c>
      <c r="M706" t="n">
        <v>10000133</v>
      </c>
      <c r="N706" t="inlineStr">
        <is>
          <t>Grava Triturada Caliza 20 mm - 3/4"</t>
        </is>
      </c>
      <c r="O706" t="inlineStr">
        <is>
          <t>D836</t>
        </is>
      </c>
      <c r="P706" t="inlineStr">
        <is>
          <t>MX-CED. CENTRO</t>
        </is>
      </c>
      <c r="Q706" t="n">
        <v>20220128</v>
      </c>
      <c r="R706" t="n">
        <v>20281231</v>
      </c>
      <c r="S706" t="n">
        <v>20230601</v>
      </c>
      <c r="T706" t="n">
        <v>20281231</v>
      </c>
      <c r="U706" t="n">
        <v>382</v>
      </c>
      <c r="V706" t="inlineStr">
        <is>
          <t>MXN</t>
        </is>
      </c>
      <c r="W706" t="inlineStr">
        <is>
          <t>M3</t>
        </is>
      </c>
      <c r="X706" t="n">
        <v>200</v>
      </c>
      <c r="Y706" t="inlineStr">
        <is>
          <t>MXN</t>
        </is>
      </c>
      <c r="Z706" t="inlineStr">
        <is>
          <t>M3</t>
        </is>
      </c>
      <c r="AA706" t="inlineStr">
        <is>
          <t>66230098</t>
        </is>
      </c>
      <c r="AB706" t="inlineStr">
        <is>
          <t>COMARCA PLANTA NAULCALPAN (JARV)</t>
        </is>
      </c>
      <c r="AC706" t="n">
        <v>56103637</v>
      </c>
      <c r="AD706" t="n">
        <v>6622261540</v>
      </c>
      <c r="AE706" t="n">
        <v>4</v>
      </c>
      <c r="AF706" t="inlineStr">
        <is>
          <t>ENTREGA DIRECTA</t>
        </is>
      </c>
      <c r="AG706" t="n">
        <v>1.46</v>
      </c>
      <c r="AH706" t="inlineStr">
        <is>
          <t>M3</t>
        </is>
      </c>
      <c r="AI706" t="inlineStr">
        <is>
          <t>X</t>
        </is>
      </c>
      <c r="AJ706" t="n">
        <v>4</v>
      </c>
      <c r="AK706" t="inlineStr">
        <is>
          <t>V4</t>
        </is>
      </c>
      <c r="AL706" t="n">
        <v>20230920</v>
      </c>
      <c r="AM706" t="inlineStr">
        <is>
          <t>D836-900004365-66230098-10000133-4</t>
        </is>
      </c>
    </row>
    <row r="707">
      <c r="A707" t="inlineStr">
        <is>
          <t>900006542D8366687807110000133</t>
        </is>
      </c>
      <c r="B707" t="inlineStr">
        <is>
          <t>4600047341-70</t>
        </is>
      </c>
      <c r="C707" t="n">
        <v>4600047341</v>
      </c>
      <c r="D707" t="n">
        <v>70</v>
      </c>
      <c r="E707" t="inlineStr">
        <is>
          <t>MXPO</t>
        </is>
      </c>
      <c r="F707" t="inlineStr">
        <is>
          <t>MXL</t>
        </is>
      </c>
      <c r="G707" t="n">
        <v>900006542</v>
      </c>
      <c r="H707" t="inlineStr">
        <is>
          <t>TP-OLIELL TORTON</t>
        </is>
      </c>
      <c r="I707" t="n">
        <v>5048484</v>
      </c>
      <c r="J707" t="inlineStr">
        <is>
          <t>COMERCIALIZADORA Y TRANSPORTADORA O</t>
        </is>
      </c>
      <c r="K707" t="inlineStr">
        <is>
          <t>N90</t>
        </is>
      </c>
      <c r="L707" t="inlineStr">
        <is>
          <t>(AP) NAFIN 90 Dias</t>
        </is>
      </c>
      <c r="M707" t="n">
        <v>10000133</v>
      </c>
      <c r="N707" t="inlineStr">
        <is>
          <t>Grava Triturada Caliza 20 mm - 3/4"</t>
        </is>
      </c>
      <c r="O707" t="inlineStr">
        <is>
          <t>D836</t>
        </is>
      </c>
      <c r="P707" t="inlineStr">
        <is>
          <t>MX-CED. CENTRO</t>
        </is>
      </c>
      <c r="Q707" t="n">
        <v>20200615</v>
      </c>
      <c r="R707" t="n">
        <v>20281231</v>
      </c>
      <c r="S707" t="n">
        <v>20200624</v>
      </c>
      <c r="T707" t="n">
        <v>20301231</v>
      </c>
      <c r="U707" t="n">
        <v>405</v>
      </c>
      <c r="V707" t="inlineStr">
        <is>
          <t>MXN</t>
        </is>
      </c>
      <c r="W707" t="inlineStr">
        <is>
          <t>M3</t>
        </is>
      </c>
      <c r="X707" t="n">
        <v>150</v>
      </c>
      <c r="Y707" t="inlineStr">
        <is>
          <t>MXN</t>
        </is>
      </c>
      <c r="Z707" t="inlineStr">
        <is>
          <t>M3</t>
        </is>
      </c>
      <c r="AA707" t="inlineStr">
        <is>
          <t>66878071</t>
        </is>
      </c>
      <c r="AB707" t="inlineStr">
        <is>
          <t>Curtidores 3</t>
        </is>
      </c>
      <c r="AC707" t="n">
        <v>56103637</v>
      </c>
      <c r="AD707" t="n">
        <v>6622261540</v>
      </c>
      <c r="AE707" t="n">
        <v>4</v>
      </c>
      <c r="AF707" t="inlineStr">
        <is>
          <t>ENTREGA DIRECTA</t>
        </is>
      </c>
      <c r="AG707" t="n">
        <v>1.46</v>
      </c>
      <c r="AH707" t="inlineStr">
        <is>
          <t>M3</t>
        </is>
      </c>
      <c r="AI707" t="inlineStr">
        <is>
          <t>X</t>
        </is>
      </c>
      <c r="AJ707" t="n">
        <v>4</v>
      </c>
      <c r="AK707" t="inlineStr">
        <is>
          <t>V4</t>
        </is>
      </c>
      <c r="AL707" t="n">
        <v>20230920</v>
      </c>
      <c r="AM707" t="inlineStr">
        <is>
          <t>D836-900006542-66878071-10000133-4</t>
        </is>
      </c>
    </row>
    <row r="708">
      <c r="A708" t="inlineStr">
        <is>
          <t>900006371D8366637247510000357</t>
        </is>
      </c>
      <c r="B708" t="inlineStr">
        <is>
          <t>4600048255-50</t>
        </is>
      </c>
      <c r="C708" t="n">
        <v>4600048255</v>
      </c>
      <c r="D708" t="n">
        <v>50</v>
      </c>
      <c r="E708" t="inlineStr">
        <is>
          <t>MXPO</t>
        </is>
      </c>
      <c r="F708" t="inlineStr">
        <is>
          <t>MXL</t>
        </is>
      </c>
      <c r="G708" t="n">
        <v>900006371</v>
      </c>
      <c r="H708" t="inlineStr">
        <is>
          <t>SF TP-ED-TRIVOMEX</t>
        </is>
      </c>
      <c r="I708" t="n">
        <v>5033501</v>
      </c>
      <c r="J708" t="inlineStr">
        <is>
          <t>TRITURADOS VOLCANICOS DE MEXICO</t>
        </is>
      </c>
      <c r="K708" t="inlineStr">
        <is>
          <t>Z04</t>
        </is>
      </c>
      <c r="L708" t="inlineStr">
        <is>
          <t>(AP) 30 Dias</t>
        </is>
      </c>
      <c r="M708" t="n">
        <v>10000357</v>
      </c>
      <c r="N708" t="inlineStr">
        <is>
          <t>Grava Triturada Andesita 20 mm - 3/4"</t>
        </is>
      </c>
      <c r="O708" t="inlineStr">
        <is>
          <t>D836</t>
        </is>
      </c>
      <c r="P708" t="inlineStr">
        <is>
          <t>MX-CED. CENTRO</t>
        </is>
      </c>
      <c r="Q708" t="n">
        <v>20201015</v>
      </c>
      <c r="R708" t="n">
        <v>20291231</v>
      </c>
      <c r="S708" t="n">
        <v>20210524</v>
      </c>
      <c r="T708" t="n">
        <v>20291231</v>
      </c>
      <c r="U708" t="n">
        <v>164.5</v>
      </c>
      <c r="V708" t="inlineStr">
        <is>
          <t>MXN</t>
        </is>
      </c>
      <c r="W708" t="inlineStr">
        <is>
          <t>M3</t>
        </is>
      </c>
      <c r="X708" t="n">
        <v>70</v>
      </c>
      <c r="Y708" t="inlineStr">
        <is>
          <t>MXN</t>
        </is>
      </c>
      <c r="Z708" t="inlineStr">
        <is>
          <t>M3</t>
        </is>
      </c>
      <c r="AA708" t="inlineStr">
        <is>
          <t>66372475</t>
        </is>
      </c>
      <c r="AB708" t="inlineStr">
        <is>
          <t>I. ALJUCA. (Amm)</t>
        </is>
      </c>
      <c r="AC708" t="n">
        <v>56103637</v>
      </c>
      <c r="AD708" t="n">
        <v>6622261540</v>
      </c>
      <c r="AE708" t="n">
        <v>4</v>
      </c>
      <c r="AF708" t="inlineStr">
        <is>
          <t>ENTREGA DIRECTA</t>
        </is>
      </c>
      <c r="AG708" t="n">
        <v>1.326</v>
      </c>
      <c r="AH708" t="inlineStr">
        <is>
          <t>M3</t>
        </is>
      </c>
      <c r="AI708" t="inlineStr">
        <is>
          <t>X</t>
        </is>
      </c>
      <c r="AJ708" t="n">
        <v>4</v>
      </c>
      <c r="AK708" t="inlineStr">
        <is>
          <t>V4</t>
        </is>
      </c>
      <c r="AL708" t="n">
        <v>20230920</v>
      </c>
      <c r="AM708" t="inlineStr">
        <is>
          <t>D836-900006371-66372475-10000357-4</t>
        </is>
      </c>
    </row>
    <row r="709">
      <c r="A709" t="inlineStr">
        <is>
          <t>900006371D8366637247510003132</t>
        </is>
      </c>
      <c r="B709" t="inlineStr">
        <is>
          <t>4600048255-70</t>
        </is>
      </c>
      <c r="C709" t="n">
        <v>4600048255</v>
      </c>
      <c r="D709" t="n">
        <v>70</v>
      </c>
      <c r="E709" t="inlineStr">
        <is>
          <t>MXPO</t>
        </is>
      </c>
      <c r="F709" t="inlineStr">
        <is>
          <t>MXL</t>
        </is>
      </c>
      <c r="G709" t="n">
        <v>900006371</v>
      </c>
      <c r="H709" t="inlineStr">
        <is>
          <t>SF TP-ED-TRIVOMEX</t>
        </is>
      </c>
      <c r="I709" t="n">
        <v>5033501</v>
      </c>
      <c r="J709" t="inlineStr">
        <is>
          <t>TRITURADOS VOLCANICOS DE MEXICO</t>
        </is>
      </c>
      <c r="K709" t="inlineStr">
        <is>
          <t>Z04</t>
        </is>
      </c>
      <c r="L709" t="inlineStr">
        <is>
          <t>(AP) 30 Dias</t>
        </is>
      </c>
      <c r="M709" t="n">
        <v>10003132</v>
      </c>
      <c r="N709" t="inlineStr">
        <is>
          <t>Base H Triturada Andesita  1 1/2" a Fino</t>
        </is>
      </c>
      <c r="O709" t="inlineStr">
        <is>
          <t>D836</t>
        </is>
      </c>
      <c r="P709" t="inlineStr">
        <is>
          <t>MX-CED. CENTRO</t>
        </is>
      </c>
      <c r="Q709" t="n">
        <v>20201015</v>
      </c>
      <c r="R709" t="n">
        <v>20291231</v>
      </c>
      <c r="S709" t="n">
        <v>20210524</v>
      </c>
      <c r="T709" t="n">
        <v>20291231</v>
      </c>
      <c r="U709" t="n">
        <v>180</v>
      </c>
      <c r="V709" t="inlineStr">
        <is>
          <t>MXN</t>
        </is>
      </c>
      <c r="W709" t="inlineStr">
        <is>
          <t>M3</t>
        </is>
      </c>
      <c r="X709" t="n">
        <v>70</v>
      </c>
      <c r="Y709" t="inlineStr">
        <is>
          <t>MXN</t>
        </is>
      </c>
      <c r="Z709" t="inlineStr">
        <is>
          <t>M3</t>
        </is>
      </c>
      <c r="AA709" t="inlineStr">
        <is>
          <t>66372475</t>
        </is>
      </c>
      <c r="AB709" t="inlineStr">
        <is>
          <t>I. ALJUCA. (Amm)</t>
        </is>
      </c>
      <c r="AC709" t="n">
        <v>56103590</v>
      </c>
      <c r="AD709" t="n">
        <v>6622261540</v>
      </c>
      <c r="AE709" t="n">
        <v>4</v>
      </c>
      <c r="AF709" t="inlineStr">
        <is>
          <t>ENTREGA DIRECTA</t>
        </is>
      </c>
      <c r="AG709" t="n">
        <v>1.29</v>
      </c>
      <c r="AH709" t="inlineStr">
        <is>
          <t>M3</t>
        </is>
      </c>
      <c r="AI709" t="inlineStr">
        <is>
          <t>X</t>
        </is>
      </c>
      <c r="AJ709" t="n">
        <v>4</v>
      </c>
      <c r="AK709" t="inlineStr">
        <is>
          <t>V4</t>
        </is>
      </c>
      <c r="AL709" t="n">
        <v>20230920</v>
      </c>
      <c r="AM709" t="inlineStr">
        <is>
          <t>D836-900006371-66372475-10003132-4</t>
        </is>
      </c>
    </row>
    <row r="710">
      <c r="A710" t="inlineStr">
        <is>
          <t>900006371D8366698265810000160</t>
        </is>
      </c>
      <c r="B710" t="inlineStr">
        <is>
          <t>4600048255-80</t>
        </is>
      </c>
      <c r="C710" t="n">
        <v>4600048255</v>
      </c>
      <c r="D710" t="n">
        <v>80</v>
      </c>
      <c r="E710" t="inlineStr">
        <is>
          <t>MXPO</t>
        </is>
      </c>
      <c r="F710" t="inlineStr">
        <is>
          <t>MXL</t>
        </is>
      </c>
      <c r="G710" t="n">
        <v>900006371</v>
      </c>
      <c r="H710" t="inlineStr">
        <is>
          <t>SF TP-ED-TRIVOMEX</t>
        </is>
      </c>
      <c r="I710" t="n">
        <v>5033501</v>
      </c>
      <c r="J710" t="inlineStr">
        <is>
          <t>TRITURADOS VOLCANICOS DE MEXICO</t>
        </is>
      </c>
      <c r="K710" t="inlineStr">
        <is>
          <t>Z04</t>
        </is>
      </c>
      <c r="L710" t="inlineStr">
        <is>
          <t>(AP) 30 Dias</t>
        </is>
      </c>
      <c r="M710" t="n">
        <v>10000160</v>
      </c>
      <c r="N710" t="inlineStr">
        <is>
          <t>Arena Triturada Andesita Malla 4</t>
        </is>
      </c>
      <c r="O710" t="inlineStr">
        <is>
          <t>D836</t>
        </is>
      </c>
      <c r="P710" t="inlineStr">
        <is>
          <t>MX-CED. CENTRO</t>
        </is>
      </c>
      <c r="Q710" t="n">
        <v>20201015</v>
      </c>
      <c r="R710" t="n">
        <v>20291231</v>
      </c>
      <c r="S710" t="n">
        <v>20210524</v>
      </c>
      <c r="T710" t="n">
        <v>20291231</v>
      </c>
      <c r="U710" t="n">
        <v>151.5</v>
      </c>
      <c r="V710" t="inlineStr">
        <is>
          <t>MXN</t>
        </is>
      </c>
      <c r="W710" t="inlineStr">
        <is>
          <t>M3</t>
        </is>
      </c>
      <c r="X710" t="n">
        <v>70</v>
      </c>
      <c r="Y710" t="inlineStr">
        <is>
          <t>MXN</t>
        </is>
      </c>
      <c r="Z710" t="inlineStr">
        <is>
          <t>M3</t>
        </is>
      </c>
      <c r="AA710" t="inlineStr">
        <is>
          <t>66982658</t>
        </is>
      </c>
      <c r="AB710" t="inlineStr">
        <is>
          <t>I. ALJUCA ETAPA 2 (HTVM)</t>
        </is>
      </c>
      <c r="AC710" t="n">
        <v>56103638</v>
      </c>
      <c r="AD710" t="n">
        <v>6622261540</v>
      </c>
      <c r="AE710" t="n">
        <v>4</v>
      </c>
      <c r="AF710" t="inlineStr">
        <is>
          <t>ENTREGA DIRECTA</t>
        </is>
      </c>
      <c r="AG710" t="n">
        <v>1.409</v>
      </c>
      <c r="AH710" t="inlineStr">
        <is>
          <t>M3</t>
        </is>
      </c>
      <c r="AI710" t="inlineStr">
        <is>
          <t>X</t>
        </is>
      </c>
      <c r="AJ710" t="n">
        <v>4</v>
      </c>
      <c r="AK710" t="inlineStr">
        <is>
          <t>V4</t>
        </is>
      </c>
      <c r="AL710" t="n">
        <v>20230920</v>
      </c>
      <c r="AM710" t="inlineStr">
        <is>
          <t>D836-900006371-66982658-10000160-4</t>
        </is>
      </c>
    </row>
    <row r="711">
      <c r="A711" t="inlineStr">
        <is>
          <t>900006371D8366698265810003132</t>
        </is>
      </c>
      <c r="B711" t="inlineStr">
        <is>
          <t>4600048255-110</t>
        </is>
      </c>
      <c r="C711" t="n">
        <v>4600048255</v>
      </c>
      <c r="D711" t="n">
        <v>110</v>
      </c>
      <c r="E711" t="inlineStr">
        <is>
          <t>MXPO</t>
        </is>
      </c>
      <c r="F711" t="inlineStr">
        <is>
          <t>MXL</t>
        </is>
      </c>
      <c r="G711" t="n">
        <v>900006371</v>
      </c>
      <c r="H711" t="inlineStr">
        <is>
          <t>SF TP-ED-TRIVOMEX</t>
        </is>
      </c>
      <c r="I711" t="n">
        <v>5033501</v>
      </c>
      <c r="J711" t="inlineStr">
        <is>
          <t>TRITURADOS VOLCANICOS DE MEXICO</t>
        </is>
      </c>
      <c r="K711" t="inlineStr">
        <is>
          <t>Z04</t>
        </is>
      </c>
      <c r="L711" t="inlineStr">
        <is>
          <t>(AP) 30 Dias</t>
        </is>
      </c>
      <c r="M711" t="n">
        <v>10003132</v>
      </c>
      <c r="N711" t="inlineStr">
        <is>
          <t>Base H Triturada Andesita  1 1/2" a Fino</t>
        </is>
      </c>
      <c r="O711" t="inlineStr">
        <is>
          <t>D836</t>
        </is>
      </c>
      <c r="P711" t="inlineStr">
        <is>
          <t>MX-CED. CENTRO</t>
        </is>
      </c>
      <c r="Q711" t="n">
        <v>20201015</v>
      </c>
      <c r="R711" t="n">
        <v>20291231</v>
      </c>
      <c r="S711" t="n">
        <v>20210524</v>
      </c>
      <c r="T711" t="n">
        <v>20291231</v>
      </c>
      <c r="U711" t="n">
        <v>180</v>
      </c>
      <c r="V711" t="inlineStr">
        <is>
          <t>MXN</t>
        </is>
      </c>
      <c r="W711" t="inlineStr">
        <is>
          <t>M3</t>
        </is>
      </c>
      <c r="X711" t="n">
        <v>70</v>
      </c>
      <c r="Y711" t="inlineStr">
        <is>
          <t>MXN</t>
        </is>
      </c>
      <c r="Z711" t="inlineStr">
        <is>
          <t>M3</t>
        </is>
      </c>
      <c r="AA711" t="inlineStr">
        <is>
          <t>66982658</t>
        </is>
      </c>
      <c r="AB711" t="inlineStr">
        <is>
          <t>I. ALJUCA ETAPA 2 (HTVM)</t>
        </is>
      </c>
      <c r="AC711" t="n">
        <v>56103590</v>
      </c>
      <c r="AD711" t="n">
        <v>6622261540</v>
      </c>
      <c r="AE711" t="n">
        <v>4</v>
      </c>
      <c r="AF711" t="inlineStr">
        <is>
          <t>ENTREGA DIRECTA</t>
        </is>
      </c>
      <c r="AG711" t="n">
        <v>1.29</v>
      </c>
      <c r="AH711" t="inlineStr">
        <is>
          <t>M3</t>
        </is>
      </c>
      <c r="AI711" t="inlineStr">
        <is>
          <t>X</t>
        </is>
      </c>
      <c r="AJ711" t="n">
        <v>4</v>
      </c>
      <c r="AK711" t="inlineStr">
        <is>
          <t>V4</t>
        </is>
      </c>
      <c r="AL711" t="n">
        <v>20230920</v>
      </c>
      <c r="AM711" t="inlineStr">
        <is>
          <t>D836-900006371-66982658-10003132-4</t>
        </is>
      </c>
    </row>
    <row r="712">
      <c r="A712" t="inlineStr">
        <is>
          <t>900006950D8366694218610019515</t>
        </is>
      </c>
      <c r="B712" t="inlineStr">
        <is>
          <t>4600048579-70</t>
        </is>
      </c>
      <c r="C712" t="n">
        <v>4600048579</v>
      </c>
      <c r="D712" t="n">
        <v>70</v>
      </c>
      <c r="E712" t="inlineStr">
        <is>
          <t>MXPO</t>
        </is>
      </c>
      <c r="F712" t="inlineStr">
        <is>
          <t>MXL</t>
        </is>
      </c>
      <c r="G712" t="n">
        <v>900006950</v>
      </c>
      <c r="H712" t="inlineStr">
        <is>
          <t>SF TP-ED-OLIELL GONDOLA</t>
        </is>
      </c>
      <c r="I712" t="n">
        <v>5048484</v>
      </c>
      <c r="J712" t="inlineStr">
        <is>
          <t>COMERCIALIZADORA Y TRANSPORTADORA O</t>
        </is>
      </c>
      <c r="K712" t="inlineStr">
        <is>
          <t>N90</t>
        </is>
      </c>
      <c r="L712" t="inlineStr">
        <is>
          <t>(AP) NAFIN 90 Dias</t>
        </is>
      </c>
      <c r="M712" t="n">
        <v>10019515</v>
      </c>
      <c r="N712" t="inlineStr">
        <is>
          <t>Grava Triturada Tezontle 20mm - 3/4"</t>
        </is>
      </c>
      <c r="O712" t="inlineStr">
        <is>
          <t>D836</t>
        </is>
      </c>
      <c r="P712" t="inlineStr">
        <is>
          <t>MX-CED. CENTRO</t>
        </is>
      </c>
      <c r="Q712" t="n">
        <v>20201201</v>
      </c>
      <c r="R712" t="n">
        <v>20291231</v>
      </c>
      <c r="S712" t="n">
        <v>20210610</v>
      </c>
      <c r="T712" t="n">
        <v>20291231</v>
      </c>
      <c r="U712" t="n">
        <v>172</v>
      </c>
      <c r="V712" t="inlineStr">
        <is>
          <t>MXN</t>
        </is>
      </c>
      <c r="W712" t="inlineStr">
        <is>
          <t>M3</t>
        </is>
      </c>
      <c r="X712" t="n">
        <v>120</v>
      </c>
      <c r="Y712" t="inlineStr">
        <is>
          <t>MXN</t>
        </is>
      </c>
      <c r="Z712" t="inlineStr">
        <is>
          <t>M3</t>
        </is>
      </c>
      <c r="AA712" t="inlineStr">
        <is>
          <t>66942186</t>
        </is>
      </c>
      <c r="AB712" t="inlineStr">
        <is>
          <t>CPI ARANJUEZ 4</t>
        </is>
      </c>
      <c r="AC712" t="n">
        <v>56103637</v>
      </c>
      <c r="AD712" t="n">
        <v>6622261540</v>
      </c>
      <c r="AE712" t="n">
        <v>4</v>
      </c>
      <c r="AF712" t="inlineStr">
        <is>
          <t>ENTREGA DIRECTA</t>
        </is>
      </c>
      <c r="AG712" t="n">
        <v>1.3</v>
      </c>
      <c r="AH712" t="inlineStr">
        <is>
          <t>M3</t>
        </is>
      </c>
      <c r="AI712" t="inlineStr">
        <is>
          <t>X</t>
        </is>
      </c>
      <c r="AJ712" t="n">
        <v>4</v>
      </c>
      <c r="AK712" t="inlineStr">
        <is>
          <t>V4</t>
        </is>
      </c>
      <c r="AL712" t="n">
        <v>20230920</v>
      </c>
      <c r="AM712" t="inlineStr">
        <is>
          <t>D836-900006950-66942186-10019515-4</t>
        </is>
      </c>
    </row>
    <row r="713">
      <c r="A713" t="inlineStr">
        <is>
          <t>900004365D8366703181610019515</t>
        </is>
      </c>
      <c r="B713" t="inlineStr">
        <is>
          <t>4600042122-80</t>
        </is>
      </c>
      <c r="C713" t="n">
        <v>4600042122</v>
      </c>
      <c r="D713" t="n">
        <v>80</v>
      </c>
      <c r="E713" t="inlineStr">
        <is>
          <t>MXPO</t>
        </is>
      </c>
      <c r="F713" t="inlineStr">
        <is>
          <t>MXL</t>
        </is>
      </c>
      <c r="G713" t="n">
        <v>900004365</v>
      </c>
      <c r="H713" t="inlineStr">
        <is>
          <t>TP-ED-DOS CERROS</t>
        </is>
      </c>
      <c r="I713" t="n">
        <v>5036168</v>
      </c>
      <c r="J713" t="inlineStr">
        <is>
          <t>TRITURADOS DOS CERROS SA DE CV</t>
        </is>
      </c>
      <c r="K713" t="inlineStr">
        <is>
          <t>Z04</t>
        </is>
      </c>
      <c r="L713" t="inlineStr">
        <is>
          <t>(AP) 30 Dias</t>
        </is>
      </c>
      <c r="M713" t="n">
        <v>10019515</v>
      </c>
      <c r="N713" t="inlineStr">
        <is>
          <t>Grava Triturada Tezontle 20mm - 3/4"</t>
        </is>
      </c>
      <c r="O713" t="inlineStr">
        <is>
          <t>D836</t>
        </is>
      </c>
      <c r="P713" t="inlineStr">
        <is>
          <t>MX-CED. CENTRO</t>
        </is>
      </c>
      <c r="Q713" t="n">
        <v>20180517</v>
      </c>
      <c r="R713" t="n">
        <v>20271231</v>
      </c>
      <c r="S713" t="n">
        <v>20220708</v>
      </c>
      <c r="T713" t="n">
        <v>20271231</v>
      </c>
      <c r="U713" t="n">
        <v>400</v>
      </c>
      <c r="V713" t="inlineStr">
        <is>
          <t>MXN</t>
        </is>
      </c>
      <c r="W713" t="inlineStr">
        <is>
          <t>M3</t>
        </is>
      </c>
      <c r="X713" t="n">
        <v>300</v>
      </c>
      <c r="Y713" t="inlineStr">
        <is>
          <t>MXN</t>
        </is>
      </c>
      <c r="Z713" t="inlineStr">
        <is>
          <t>M3</t>
        </is>
      </c>
      <c r="AA713" t="inlineStr">
        <is>
          <t>67031816</t>
        </is>
      </c>
      <c r="AB713" t="inlineStr">
        <is>
          <t>CUAUTIPARK II NAVE 7 Y 8</t>
        </is>
      </c>
      <c r="AC713" t="n">
        <v>56103637</v>
      </c>
      <c r="AD713" t="n">
        <v>6622261540</v>
      </c>
      <c r="AE713" t="n">
        <v>4</v>
      </c>
      <c r="AF713" t="inlineStr">
        <is>
          <t>ENTREGA DIRECTA</t>
        </is>
      </c>
      <c r="AG713" t="n">
        <v>1.3</v>
      </c>
      <c r="AH713" t="inlineStr">
        <is>
          <t>M3</t>
        </is>
      </c>
      <c r="AI713" t="inlineStr">
        <is>
          <t>X</t>
        </is>
      </c>
      <c r="AJ713" t="n">
        <v>4</v>
      </c>
      <c r="AK713" t="inlineStr">
        <is>
          <t>V4</t>
        </is>
      </c>
      <c r="AL713" t="n">
        <v>20230920</v>
      </c>
      <c r="AM713" t="inlineStr">
        <is>
          <t>D836-900004365-67031816-10019515-4</t>
        </is>
      </c>
    </row>
    <row r="714">
      <c r="A714" t="inlineStr">
        <is>
          <t>900003786D8366663173110173438</t>
        </is>
      </c>
      <c r="B714" t="inlineStr">
        <is>
          <t>4600034392-120</t>
        </is>
      </c>
      <c r="C714" t="n">
        <v>4600034392</v>
      </c>
      <c r="D714" t="n">
        <v>120</v>
      </c>
      <c r="E714" t="inlineStr">
        <is>
          <t>MXPO</t>
        </is>
      </c>
      <c r="F714" t="inlineStr">
        <is>
          <t>MXL</t>
        </is>
      </c>
      <c r="G714" t="n">
        <v>900003786</v>
      </c>
      <c r="H714" t="inlineStr">
        <is>
          <t>TP-TRIMCAV</t>
        </is>
      </c>
      <c r="I714" t="n">
        <v>5010147</v>
      </c>
      <c r="J714" t="inlineStr">
        <is>
          <t>TRITURACIONES DE MARMOL Y CALCIOS</t>
        </is>
      </c>
      <c r="K714" t="inlineStr">
        <is>
          <t>Z04</t>
        </is>
      </c>
      <c r="L714" t="inlineStr">
        <is>
          <t>(AP) 30 Dias</t>
        </is>
      </c>
      <c r="M714" t="n">
        <v>10173438</v>
      </c>
      <c r="N714" t="inlineStr">
        <is>
          <t>GRAVA TRITURADA MARMOL 20 MM - 3/4" - NG</t>
        </is>
      </c>
      <c r="O714" t="inlineStr">
        <is>
          <t>D836</t>
        </is>
      </c>
      <c r="P714" t="inlineStr">
        <is>
          <t>MX-CED. CENTRO</t>
        </is>
      </c>
      <c r="Q714" t="n">
        <v>20160627</v>
      </c>
      <c r="R714" t="n">
        <v>20241231</v>
      </c>
      <c r="S714" t="n">
        <v>20200205</v>
      </c>
      <c r="T714" t="n">
        <v>20291231</v>
      </c>
      <c r="U714" t="n">
        <v>731.5</v>
      </c>
      <c r="V714" t="inlineStr">
        <is>
          <t>MXN</t>
        </is>
      </c>
      <c r="W714" t="inlineStr">
        <is>
          <t>TN</t>
        </is>
      </c>
      <c r="X714" t="n">
        <v>200</v>
      </c>
      <c r="Y714" t="inlineStr">
        <is>
          <t>MXN</t>
        </is>
      </c>
      <c r="Z714" t="inlineStr">
        <is>
          <t>TN</t>
        </is>
      </c>
      <c r="AA714" t="inlineStr">
        <is>
          <t>66631731</t>
        </is>
      </c>
      <c r="AB714" t="inlineStr">
        <is>
          <t>LOMAS DE VISTA HERMOSA</t>
        </is>
      </c>
      <c r="AC714" t="n">
        <v>56103637</v>
      </c>
      <c r="AD714" t="n">
        <v>6622261540</v>
      </c>
      <c r="AE714" t="n">
        <v>4</v>
      </c>
      <c r="AF714" t="inlineStr">
        <is>
          <t>ENTREGA DIRECTA</t>
        </is>
      </c>
      <c r="AG714" t="n">
        <v>1</v>
      </c>
      <c r="AH714" t="inlineStr">
        <is>
          <t>TO</t>
        </is>
      </c>
      <c r="AI714" t="inlineStr">
        <is>
          <t>X</t>
        </is>
      </c>
      <c r="AJ714" t="n">
        <v>4</v>
      </c>
      <c r="AK714" t="inlineStr">
        <is>
          <t>V4</t>
        </is>
      </c>
      <c r="AL714" t="n">
        <v>20230920</v>
      </c>
      <c r="AM714" t="inlineStr">
        <is>
          <t>D836-900003786-66631731-10173438-4</t>
        </is>
      </c>
    </row>
    <row r="715">
      <c r="A715" t="inlineStr">
        <is>
          <t>900004323D8366663972610000160</t>
        </is>
      </c>
      <c r="B715" t="inlineStr">
        <is>
          <t>4600039874-90</t>
        </is>
      </c>
      <c r="C715" t="n">
        <v>4600039874</v>
      </c>
      <c r="D715" t="n">
        <v>90</v>
      </c>
      <c r="E715" t="inlineStr">
        <is>
          <t>MXPO</t>
        </is>
      </c>
      <c r="F715" t="inlineStr">
        <is>
          <t>MXL</t>
        </is>
      </c>
      <c r="G715" t="n">
        <v>900004323</v>
      </c>
      <c r="H715" t="inlineStr">
        <is>
          <t>TP-LAS TRANCAS</t>
        </is>
      </c>
      <c r="I715" t="n">
        <v>5047262</v>
      </c>
      <c r="J715" t="inlineStr">
        <is>
          <t>AGREGADOS PETREOS SAN CRISTOBAL</t>
        </is>
      </c>
      <c r="K715" t="inlineStr">
        <is>
          <t>Z03</t>
        </is>
      </c>
      <c r="L715" t="inlineStr">
        <is>
          <t>(AP) 15 Dias</t>
        </is>
      </c>
      <c r="M715" t="n">
        <v>10000160</v>
      </c>
      <c r="N715" t="inlineStr">
        <is>
          <t>Arena Triturada Andesita Malla 4</t>
        </is>
      </c>
      <c r="O715" t="inlineStr">
        <is>
          <t>D836</t>
        </is>
      </c>
      <c r="P715" t="inlineStr">
        <is>
          <t>MX-CED. CENTRO</t>
        </is>
      </c>
      <c r="Q715" t="n">
        <v>20170927</v>
      </c>
      <c r="R715" t="n">
        <v>20281231</v>
      </c>
      <c r="S715" t="n">
        <v>20190725</v>
      </c>
      <c r="T715" t="n">
        <v>20241231</v>
      </c>
      <c r="U715" t="n">
        <v>281.5</v>
      </c>
      <c r="V715" t="inlineStr">
        <is>
          <t>MXN</t>
        </is>
      </c>
      <c r="W715" t="inlineStr">
        <is>
          <t>M3</t>
        </is>
      </c>
      <c r="X715" t="n">
        <v>200</v>
      </c>
      <c r="Y715" t="inlineStr">
        <is>
          <t>MXN</t>
        </is>
      </c>
      <c r="Z715" t="inlineStr">
        <is>
          <t>M3</t>
        </is>
      </c>
      <c r="AA715" t="inlineStr">
        <is>
          <t>66639726</t>
        </is>
      </c>
      <c r="AB715" t="inlineStr">
        <is>
          <t>LAGUNA DE GUZMAN #39 (OMC)</t>
        </is>
      </c>
      <c r="AC715" t="n">
        <v>56103638</v>
      </c>
      <c r="AD715" t="n">
        <v>6622261540</v>
      </c>
      <c r="AE715" t="n">
        <v>4</v>
      </c>
      <c r="AF715" t="inlineStr">
        <is>
          <t>ENTREGA DIRECTA</t>
        </is>
      </c>
      <c r="AG715" t="n">
        <v>1.409</v>
      </c>
      <c r="AH715" t="inlineStr">
        <is>
          <t>M3</t>
        </is>
      </c>
      <c r="AI715" t="inlineStr">
        <is>
          <t>X</t>
        </is>
      </c>
      <c r="AJ715" t="n">
        <v>4</v>
      </c>
      <c r="AK715" t="inlineStr">
        <is>
          <t>V4</t>
        </is>
      </c>
      <c r="AL715" t="n">
        <v>20230920</v>
      </c>
      <c r="AM715" t="inlineStr">
        <is>
          <t>D836-900004323-66639726-10000160-4</t>
        </is>
      </c>
    </row>
    <row r="716">
      <c r="A716" t="inlineStr">
        <is>
          <t>900004365D8366623009810000623</t>
        </is>
      </c>
      <c r="B716" t="inlineStr">
        <is>
          <t>4600053008-100</t>
        </is>
      </c>
      <c r="C716" t="n">
        <v>4600053008</v>
      </c>
      <c r="D716" t="n">
        <v>100</v>
      </c>
      <c r="E716" t="inlineStr">
        <is>
          <t>MXPO</t>
        </is>
      </c>
      <c r="F716" t="inlineStr">
        <is>
          <t>MXL</t>
        </is>
      </c>
      <c r="G716" t="n">
        <v>900004365</v>
      </c>
      <c r="H716" t="inlineStr">
        <is>
          <t>TP-ED-DOS CERROS</t>
        </is>
      </c>
      <c r="I716" t="n">
        <v>5036168</v>
      </c>
      <c r="J716" t="inlineStr">
        <is>
          <t>TRITURADOS DOS CERROS SA DE CV</t>
        </is>
      </c>
      <c r="K716" t="inlineStr">
        <is>
          <t>Z04</t>
        </is>
      </c>
      <c r="L716" t="inlineStr">
        <is>
          <t>(AP) 30 Dias</t>
        </is>
      </c>
      <c r="M716" t="n">
        <v>10000623</v>
      </c>
      <c r="N716" t="inlineStr">
        <is>
          <t>Grava Triturada Caliza 10 mm - 3/8"</t>
        </is>
      </c>
      <c r="O716" t="inlineStr">
        <is>
          <t>D836</t>
        </is>
      </c>
      <c r="P716" t="inlineStr">
        <is>
          <t>MX-CED. CENTRO</t>
        </is>
      </c>
      <c r="Q716" t="n">
        <v>20220128</v>
      </c>
      <c r="R716" t="n">
        <v>20281231</v>
      </c>
      <c r="S716" t="n">
        <v>20230601</v>
      </c>
      <c r="T716" t="n">
        <v>20281231</v>
      </c>
      <c r="U716" t="n">
        <v>395</v>
      </c>
      <c r="V716" t="inlineStr">
        <is>
          <t>MXN</t>
        </is>
      </c>
      <c r="W716" t="inlineStr">
        <is>
          <t>M3</t>
        </is>
      </c>
      <c r="X716" t="n">
        <v>200</v>
      </c>
      <c r="Y716" t="inlineStr">
        <is>
          <t>MXN</t>
        </is>
      </c>
      <c r="Z716" t="inlineStr">
        <is>
          <t>M3</t>
        </is>
      </c>
      <c r="AA716" t="inlineStr">
        <is>
          <t>66230098</t>
        </is>
      </c>
      <c r="AB716" t="inlineStr">
        <is>
          <t>COMARCA PLANTA NAULCALPAN (JARV)</t>
        </is>
      </c>
      <c r="AC716" t="n">
        <v>56103637</v>
      </c>
      <c r="AD716" t="n">
        <v>6622261540</v>
      </c>
      <c r="AE716" t="n">
        <v>4</v>
      </c>
      <c r="AF716" t="inlineStr">
        <is>
          <t>ENTREGA DIRECTA</t>
        </is>
      </c>
      <c r="AG716" t="n">
        <v>1.41</v>
      </c>
      <c r="AH716" t="inlineStr">
        <is>
          <t>M3</t>
        </is>
      </c>
      <c r="AI716" t="inlineStr">
        <is>
          <t>X</t>
        </is>
      </c>
      <c r="AJ716" t="n">
        <v>4</v>
      </c>
      <c r="AK716" t="inlineStr">
        <is>
          <t>V4</t>
        </is>
      </c>
      <c r="AL716" t="n">
        <v>20230920</v>
      </c>
      <c r="AM716" t="inlineStr">
        <is>
          <t>D836-900004365-66230098-10000623-4</t>
        </is>
      </c>
    </row>
    <row r="717">
      <c r="A717" t="inlineStr">
        <is>
          <t>900004365D8366623009810000624</t>
        </is>
      </c>
      <c r="B717" t="inlineStr">
        <is>
          <t>4600053008-120</t>
        </is>
      </c>
      <c r="C717" t="n">
        <v>4600053008</v>
      </c>
      <c r="D717" t="n">
        <v>120</v>
      </c>
      <c r="E717" t="inlineStr">
        <is>
          <t>MXPO</t>
        </is>
      </c>
      <c r="F717" t="inlineStr">
        <is>
          <t>MXL</t>
        </is>
      </c>
      <c r="G717" t="n">
        <v>900004365</v>
      </c>
      <c r="H717" t="inlineStr">
        <is>
          <t>TP-ED-DOS CERROS</t>
        </is>
      </c>
      <c r="I717" t="n">
        <v>5036168</v>
      </c>
      <c r="J717" t="inlineStr">
        <is>
          <t>TRITURADOS DOS CERROS SA DE CV</t>
        </is>
      </c>
      <c r="K717" t="inlineStr">
        <is>
          <t>Z04</t>
        </is>
      </c>
      <c r="L717" t="inlineStr">
        <is>
          <t>(AP) 30 Dias</t>
        </is>
      </c>
      <c r="M717" t="n">
        <v>10000624</v>
      </c>
      <c r="N717" t="inlineStr">
        <is>
          <t>Grava Triturada Caliza 40 mm - 1 1/2"</t>
        </is>
      </c>
      <c r="O717" t="inlineStr">
        <is>
          <t>D836</t>
        </is>
      </c>
      <c r="P717" t="inlineStr">
        <is>
          <t>MX-CED. CENTRO</t>
        </is>
      </c>
      <c r="Q717" t="n">
        <v>20220128</v>
      </c>
      <c r="R717" t="n">
        <v>20281231</v>
      </c>
      <c r="S717" t="n">
        <v>20230601</v>
      </c>
      <c r="T717" t="n">
        <v>20281231</v>
      </c>
      <c r="U717" t="n">
        <v>392</v>
      </c>
      <c r="V717" t="inlineStr">
        <is>
          <t>MXN</t>
        </is>
      </c>
      <c r="W717" t="inlineStr">
        <is>
          <t>M3</t>
        </is>
      </c>
      <c r="X717" t="n">
        <v>200</v>
      </c>
      <c r="Y717" t="inlineStr">
        <is>
          <t>MXN</t>
        </is>
      </c>
      <c r="Z717" t="inlineStr">
        <is>
          <t>M3</t>
        </is>
      </c>
      <c r="AA717" t="inlineStr">
        <is>
          <t>66230098</t>
        </is>
      </c>
      <c r="AB717" t="inlineStr">
        <is>
          <t>COMARCA PLANTA NAULCALPAN (JARV)</t>
        </is>
      </c>
      <c r="AC717" t="n">
        <v>56103637</v>
      </c>
      <c r="AD717" t="n">
        <v>6622261540</v>
      </c>
      <c r="AE717" t="n">
        <v>4</v>
      </c>
      <c r="AF717" t="inlineStr">
        <is>
          <t>ENTREGA DIRECTA</t>
        </is>
      </c>
      <c r="AG717" t="n">
        <v>1.45</v>
      </c>
      <c r="AH717" t="inlineStr">
        <is>
          <t>M3</t>
        </is>
      </c>
      <c r="AI717" t="inlineStr">
        <is>
          <t>X</t>
        </is>
      </c>
      <c r="AJ717" t="n">
        <v>4</v>
      </c>
      <c r="AK717" t="inlineStr">
        <is>
          <t>V4</t>
        </is>
      </c>
      <c r="AL717" t="n">
        <v>20230920</v>
      </c>
      <c r="AM717" t="inlineStr">
        <is>
          <t>D836-900004365-66230098-10000624-4</t>
        </is>
      </c>
    </row>
    <row r="718">
      <c r="A718" t="inlineStr">
        <is>
          <t>900001200D8366686130310000624</t>
        </is>
      </c>
      <c r="B718" t="inlineStr">
        <is>
          <t>4600049316-60</t>
        </is>
      </c>
      <c r="C718" t="n">
        <v>4600049316</v>
      </c>
      <c r="D718" t="n">
        <v>60</v>
      </c>
      <c r="E718" t="inlineStr">
        <is>
          <t>MXPO</t>
        </is>
      </c>
      <c r="F718" t="inlineStr">
        <is>
          <t>MXL</t>
        </is>
      </c>
      <c r="G718" t="n">
        <v>900001200</v>
      </c>
      <c r="H718" t="inlineStr">
        <is>
          <t>TP-ED-LA VALENCIANA</t>
        </is>
      </c>
      <c r="I718" t="n">
        <v>5005431</v>
      </c>
      <c r="J718" t="inlineStr">
        <is>
          <t>CANTERAS LA VALENCIANA SA DE CV</t>
        </is>
      </c>
      <c r="K718" t="inlineStr">
        <is>
          <t>Z03</t>
        </is>
      </c>
      <c r="L718" t="inlineStr">
        <is>
          <t>(AP) 15 Dias</t>
        </is>
      </c>
      <c r="M718" t="n">
        <v>10000624</v>
      </c>
      <c r="N718" t="inlineStr">
        <is>
          <t>Grava Triturada Caliza 40 mm - 1 1/2"</t>
        </is>
      </c>
      <c r="O718" t="inlineStr">
        <is>
          <t>D836</t>
        </is>
      </c>
      <c r="P718" t="inlineStr">
        <is>
          <t>MX-CED. CENTRO</t>
        </is>
      </c>
      <c r="Q718" t="n">
        <v>20210304</v>
      </c>
      <c r="R718" t="n">
        <v>20261231</v>
      </c>
      <c r="S718" t="n">
        <v>20210304</v>
      </c>
      <c r="T718" t="n">
        <v>20261231</v>
      </c>
      <c r="U718" t="n">
        <v>380</v>
      </c>
      <c r="V718" t="inlineStr">
        <is>
          <t>MXN</t>
        </is>
      </c>
      <c r="W718" t="inlineStr">
        <is>
          <t>M3</t>
        </is>
      </c>
      <c r="X718" t="n">
        <v>250</v>
      </c>
      <c r="Y718" t="inlineStr">
        <is>
          <t>MXN</t>
        </is>
      </c>
      <c r="Z718" t="inlineStr">
        <is>
          <t>M3</t>
        </is>
      </c>
      <c r="AA718" t="inlineStr">
        <is>
          <t>66861303</t>
        </is>
      </c>
      <c r="AB718" t="inlineStr">
        <is>
          <t>PLANTA TLALPAN</t>
        </is>
      </c>
      <c r="AC718" t="n">
        <v>56103637</v>
      </c>
      <c r="AD718" t="n">
        <v>6622261540</v>
      </c>
      <c r="AE718" t="n">
        <v>4</v>
      </c>
      <c r="AF718" t="inlineStr">
        <is>
          <t>ENTREGA DIRECTA</t>
        </is>
      </c>
      <c r="AG718" t="n">
        <v>1.45</v>
      </c>
      <c r="AH718" t="inlineStr">
        <is>
          <t>M3</t>
        </is>
      </c>
      <c r="AI718" t="inlineStr">
        <is>
          <t>X</t>
        </is>
      </c>
      <c r="AJ718" t="n">
        <v>4</v>
      </c>
      <c r="AK718" t="inlineStr">
        <is>
          <t>V4</t>
        </is>
      </c>
      <c r="AL718" t="n">
        <v>20230920</v>
      </c>
      <c r="AM718" t="inlineStr">
        <is>
          <t>D836-900001200-66861303-10000624-4</t>
        </is>
      </c>
    </row>
    <row r="719">
      <c r="A719" t="inlineStr">
        <is>
          <t>900006542D8366688514410000441</t>
        </is>
      </c>
      <c r="B719" t="inlineStr">
        <is>
          <t>4600047341-150</t>
        </is>
      </c>
      <c r="C719" t="n">
        <v>4600047341</v>
      </c>
      <c r="D719" t="n">
        <v>150</v>
      </c>
      <c r="E719" t="inlineStr">
        <is>
          <t>MXPO</t>
        </is>
      </c>
      <c r="F719" t="inlineStr">
        <is>
          <t>MXL</t>
        </is>
      </c>
      <c r="G719" t="n">
        <v>900006542</v>
      </c>
      <c r="H719" t="inlineStr">
        <is>
          <t>TP-OLIELL TORTON</t>
        </is>
      </c>
      <c r="I719" t="n">
        <v>5048484</v>
      </c>
      <c r="J719" t="inlineStr">
        <is>
          <t>COMERCIALIZADORA Y TRANSPORTADORA O</t>
        </is>
      </c>
      <c r="K719" t="inlineStr">
        <is>
          <t>N90</t>
        </is>
      </c>
      <c r="L719" t="inlineStr">
        <is>
          <t>(AP) NAFIN 90 Dias</t>
        </is>
      </c>
      <c r="M719" t="n">
        <v>10000441</v>
      </c>
      <c r="N719" t="inlineStr">
        <is>
          <t>Grava Triturada Andesita 40 mm - 1 1/2"</t>
        </is>
      </c>
      <c r="O719" t="inlineStr">
        <is>
          <t>D836</t>
        </is>
      </c>
      <c r="P719" t="inlineStr">
        <is>
          <t>MX-CED. CENTRO</t>
        </is>
      </c>
      <c r="Q719" t="n">
        <v>20200615</v>
      </c>
      <c r="R719" t="n">
        <v>20281231</v>
      </c>
      <c r="S719" t="n">
        <v>20200810</v>
      </c>
      <c r="T719" t="n">
        <v>20301231</v>
      </c>
      <c r="U719" t="n">
        <v>290</v>
      </c>
      <c r="V719" t="inlineStr">
        <is>
          <t>MXN</t>
        </is>
      </c>
      <c r="W719" t="inlineStr">
        <is>
          <t>M3</t>
        </is>
      </c>
      <c r="X719" t="n">
        <v>180</v>
      </c>
      <c r="Y719" t="inlineStr">
        <is>
          <t>MXN</t>
        </is>
      </c>
      <c r="Z719" t="inlineStr">
        <is>
          <t>M3</t>
        </is>
      </c>
      <c r="AA719" t="inlineStr">
        <is>
          <t>66885144</t>
        </is>
      </c>
      <c r="AB719" t="inlineStr">
        <is>
          <t>LA VICTORIA</t>
        </is>
      </c>
      <c r="AC719" t="n">
        <v>56103637</v>
      </c>
      <c r="AD719" t="n">
        <v>6622261540</v>
      </c>
      <c r="AE719" t="n">
        <v>4</v>
      </c>
      <c r="AF719" t="inlineStr">
        <is>
          <t>ENTREGA DIRECTA</t>
        </is>
      </c>
      <c r="AG719" t="n">
        <v>1.415</v>
      </c>
      <c r="AH719" t="inlineStr">
        <is>
          <t>M3</t>
        </is>
      </c>
      <c r="AI719" t="inlineStr">
        <is>
          <t>X</t>
        </is>
      </c>
      <c r="AJ719" t="n">
        <v>4</v>
      </c>
      <c r="AK719" t="inlineStr">
        <is>
          <t>V4</t>
        </is>
      </c>
      <c r="AL719" t="n">
        <v>20230920</v>
      </c>
      <c r="AM719" t="inlineStr">
        <is>
          <t>D836-900006542-66885144-10000441-4</t>
        </is>
      </c>
    </row>
    <row r="720">
      <c r="A720" t="inlineStr">
        <is>
          <t>900004077D8366687461610192941</t>
        </is>
      </c>
      <c r="B720" t="inlineStr">
        <is>
          <t>4600047844-680</t>
        </is>
      </c>
      <c r="C720" t="n">
        <v>4600047844</v>
      </c>
      <c r="D720" t="n">
        <v>680</v>
      </c>
      <c r="E720" t="inlineStr">
        <is>
          <t>MXPO</t>
        </is>
      </c>
      <c r="F720" t="inlineStr">
        <is>
          <t>MXL</t>
        </is>
      </c>
      <c r="G720" t="n">
        <v>900004077</v>
      </c>
      <c r="H720" t="inlineStr">
        <is>
          <t>TP-SAN JUAN (HUDASA)</t>
        </is>
      </c>
      <c r="I720" t="n">
        <v>5054686</v>
      </c>
      <c r="J720" t="inlineStr">
        <is>
          <t>GRUPO MERCANTIL HUDASA SA DE CV</t>
        </is>
      </c>
      <c r="K720" t="inlineStr">
        <is>
          <t>Z06</t>
        </is>
      </c>
      <c r="L720" t="inlineStr">
        <is>
          <t>(AP) 45 Dias</t>
        </is>
      </c>
      <c r="M720" t="n">
        <v>10192941</v>
      </c>
      <c r="N720" t="inlineStr">
        <is>
          <t>GRAVA TRITURADA CALIZA 10 MM - 3/8" HD</t>
        </is>
      </c>
      <c r="O720" t="inlineStr">
        <is>
          <t>D836</t>
        </is>
      </c>
      <c r="P720" t="inlineStr">
        <is>
          <t>MX-CED. CENTRO</t>
        </is>
      </c>
      <c r="Q720" t="n">
        <v>20200825</v>
      </c>
      <c r="R720" t="n">
        <v>20301231</v>
      </c>
      <c r="S720" t="n">
        <v>20220422</v>
      </c>
      <c r="T720" t="n">
        <v>20271231</v>
      </c>
      <c r="U720" t="n">
        <v>290.87</v>
      </c>
      <c r="V720" t="inlineStr">
        <is>
          <t>MXN</t>
        </is>
      </c>
      <c r="W720" t="inlineStr">
        <is>
          <t>TN</t>
        </is>
      </c>
      <c r="X720" t="n">
        <v>170</v>
      </c>
      <c r="Y720" t="inlineStr">
        <is>
          <t>MXN</t>
        </is>
      </c>
      <c r="Z720" t="inlineStr">
        <is>
          <t>TN</t>
        </is>
      </c>
      <c r="AA720" t="inlineStr">
        <is>
          <t>66874616</t>
        </is>
      </c>
      <c r="AB720" t="inlineStr">
        <is>
          <t>FORD LOMAS VERDES</t>
        </is>
      </c>
      <c r="AC720" t="n">
        <v>56103637</v>
      </c>
      <c r="AD720" t="n">
        <v>6622261540</v>
      </c>
      <c r="AE720" t="n">
        <v>4</v>
      </c>
      <c r="AF720" t="inlineStr">
        <is>
          <t>ENTREGA DIRECTA</t>
        </is>
      </c>
      <c r="AG720" t="n">
        <v>1</v>
      </c>
      <c r="AH720" t="inlineStr">
        <is>
          <t>TO</t>
        </is>
      </c>
      <c r="AI720" t="inlineStr">
        <is>
          <t>X</t>
        </is>
      </c>
      <c r="AJ720" t="n">
        <v>4</v>
      </c>
      <c r="AK720" t="inlineStr">
        <is>
          <t>V4</t>
        </is>
      </c>
      <c r="AL720" t="n">
        <v>20230920</v>
      </c>
      <c r="AM720" t="inlineStr">
        <is>
          <t>D836-900004077-66874616-10192941-4</t>
        </is>
      </c>
    </row>
    <row r="721">
      <c r="A721" t="inlineStr">
        <is>
          <t>900006950D8366695831210000357</t>
        </is>
      </c>
      <c r="B721" t="inlineStr">
        <is>
          <t>4600048579-60</t>
        </is>
      </c>
      <c r="C721" t="n">
        <v>4600048579</v>
      </c>
      <c r="D721" t="n">
        <v>60</v>
      </c>
      <c r="E721" t="inlineStr">
        <is>
          <t>MXPO</t>
        </is>
      </c>
      <c r="F721" t="inlineStr">
        <is>
          <t>MXL</t>
        </is>
      </c>
      <c r="G721" t="n">
        <v>900006950</v>
      </c>
      <c r="H721" t="inlineStr">
        <is>
          <t>SF TP-ED-OLIELL GONDOLA</t>
        </is>
      </c>
      <c r="I721" t="n">
        <v>5048484</v>
      </c>
      <c r="J721" t="inlineStr">
        <is>
          <t>COMERCIALIZADORA Y TRANSPORTADORA O</t>
        </is>
      </c>
      <c r="K721" t="inlineStr">
        <is>
          <t>N90</t>
        </is>
      </c>
      <c r="L721" t="inlineStr">
        <is>
          <t>(AP) NAFIN 90 Dias</t>
        </is>
      </c>
      <c r="M721" t="n">
        <v>10000357</v>
      </c>
      <c r="N721" t="inlineStr">
        <is>
          <t>Grava Triturada Andesita 20 mm - 3/4"</t>
        </is>
      </c>
      <c r="O721" t="inlineStr">
        <is>
          <t>D836</t>
        </is>
      </c>
      <c r="P721" t="inlineStr">
        <is>
          <t>MX-CED. CENTRO</t>
        </is>
      </c>
      <c r="Q721" t="n">
        <v>20201201</v>
      </c>
      <c r="R721" t="n">
        <v>20291231</v>
      </c>
      <c r="S721" t="n">
        <v>20210524</v>
      </c>
      <c r="T721" t="n">
        <v>20291231</v>
      </c>
      <c r="U721" t="n">
        <v>175</v>
      </c>
      <c r="V721" t="inlineStr">
        <is>
          <t>MXN</t>
        </is>
      </c>
      <c r="W721" t="inlineStr">
        <is>
          <t>M3</t>
        </is>
      </c>
      <c r="X721" t="n">
        <v>75</v>
      </c>
      <c r="Y721" t="inlineStr">
        <is>
          <t>MXN</t>
        </is>
      </c>
      <c r="Z721" t="inlineStr">
        <is>
          <t>M3</t>
        </is>
      </c>
      <c r="AA721" t="inlineStr">
        <is>
          <t>66958312</t>
        </is>
      </c>
      <c r="AB721" t="inlineStr">
        <is>
          <t>CEDIS TLALPIZAHUAC</t>
        </is>
      </c>
      <c r="AC721" t="n">
        <v>56103637</v>
      </c>
      <c r="AD721" t="n">
        <v>6622261540</v>
      </c>
      <c r="AE721" t="n">
        <v>4</v>
      </c>
      <c r="AF721" t="inlineStr">
        <is>
          <t>ENTREGA DIRECTA</t>
        </is>
      </c>
      <c r="AG721" t="n">
        <v>1.326</v>
      </c>
      <c r="AH721" t="inlineStr">
        <is>
          <t>M3</t>
        </is>
      </c>
      <c r="AI721" t="inlineStr">
        <is>
          <t>X</t>
        </is>
      </c>
      <c r="AJ721" t="n">
        <v>4</v>
      </c>
      <c r="AK721" t="inlineStr">
        <is>
          <t>V4</t>
        </is>
      </c>
      <c r="AL721" t="n">
        <v>20230920</v>
      </c>
      <c r="AM721" t="inlineStr">
        <is>
          <t>D836-900006950-66958312-10000357-4</t>
        </is>
      </c>
    </row>
    <row r="722">
      <c r="A722" t="inlineStr">
        <is>
          <t>900001074D8366682055110000160</t>
        </is>
      </c>
      <c r="B722" t="inlineStr">
        <is>
          <t>4600027573-290</t>
        </is>
      </c>
      <c r="C722" t="n">
        <v>4600027573</v>
      </c>
      <c r="D722" t="n">
        <v>290</v>
      </c>
      <c r="E722" t="inlineStr">
        <is>
          <t>MXPO</t>
        </is>
      </c>
      <c r="F722" t="inlineStr">
        <is>
          <t>M02</t>
        </is>
      </c>
      <c r="G722" t="n">
        <v>900001074</v>
      </c>
      <c r="H722" t="inlineStr">
        <is>
          <t>TP-TRIVOMEX</t>
        </is>
      </c>
      <c r="I722" t="n">
        <v>5033501</v>
      </c>
      <c r="J722" t="inlineStr">
        <is>
          <t>TRITURADOS VOLCANICOS DE MEXICO</t>
        </is>
      </c>
      <c r="K722" t="inlineStr">
        <is>
          <t>Z04</t>
        </is>
      </c>
      <c r="L722" t="inlineStr">
        <is>
          <t>(AP) 30 Dias</t>
        </is>
      </c>
      <c r="M722" t="n">
        <v>10000160</v>
      </c>
      <c r="N722" t="inlineStr">
        <is>
          <t>Arena Triturada Andesita Malla 4</t>
        </is>
      </c>
      <c r="O722" t="inlineStr">
        <is>
          <t>D836</t>
        </is>
      </c>
      <c r="P722" t="inlineStr">
        <is>
          <t>MX-CED. CENTRO</t>
        </is>
      </c>
      <c r="Q722" t="n">
        <v>20140701</v>
      </c>
      <c r="R722" t="n">
        <v>20291231</v>
      </c>
      <c r="S722" t="n">
        <v>20191107</v>
      </c>
      <c r="T722" t="n">
        <v>20241231</v>
      </c>
      <c r="U722" t="n">
        <v>281.5</v>
      </c>
      <c r="V722" t="inlineStr">
        <is>
          <t>MXN</t>
        </is>
      </c>
      <c r="W722" t="inlineStr">
        <is>
          <t>M3</t>
        </is>
      </c>
      <c r="X722" t="n">
        <v>200</v>
      </c>
      <c r="Y722" t="inlineStr">
        <is>
          <t>MXN</t>
        </is>
      </c>
      <c r="Z722" t="inlineStr">
        <is>
          <t>M3</t>
        </is>
      </c>
      <c r="AA722" t="inlineStr">
        <is>
          <t>66820551</t>
        </is>
      </c>
      <c r="AB722" t="inlineStr">
        <is>
          <t>CERTIFICADOS #23</t>
        </is>
      </c>
      <c r="AC722" t="n">
        <v>56103638</v>
      </c>
      <c r="AD722" t="n">
        <v>6622261540</v>
      </c>
      <c r="AE722" t="n">
        <v>4</v>
      </c>
      <c r="AF722" t="inlineStr">
        <is>
          <t>ENTREGA DIRECTA</t>
        </is>
      </c>
      <c r="AG722" t="n">
        <v>1.409</v>
      </c>
      <c r="AH722" t="inlineStr">
        <is>
          <t>M3</t>
        </is>
      </c>
      <c r="AI722" t="inlineStr">
        <is>
          <t>X</t>
        </is>
      </c>
      <c r="AJ722" t="n">
        <v>4</v>
      </c>
      <c r="AK722" t="inlineStr">
        <is>
          <t>V4</t>
        </is>
      </c>
      <c r="AL722" t="n">
        <v>20230920</v>
      </c>
      <c r="AM722" t="inlineStr">
        <is>
          <t>D836-900001074-66820551-10000160-4</t>
        </is>
      </c>
    </row>
    <row r="723">
      <c r="A723" t="inlineStr">
        <is>
          <t>900001074D8366682055110000357</t>
        </is>
      </c>
      <c r="B723" t="inlineStr">
        <is>
          <t>4600027573-300</t>
        </is>
      </c>
      <c r="C723" t="n">
        <v>4600027573</v>
      </c>
      <c r="D723" t="n">
        <v>300</v>
      </c>
      <c r="E723" t="inlineStr">
        <is>
          <t>MXPO</t>
        </is>
      </c>
      <c r="F723" t="inlineStr">
        <is>
          <t>M02</t>
        </is>
      </c>
      <c r="G723" t="n">
        <v>900001074</v>
      </c>
      <c r="H723" t="inlineStr">
        <is>
          <t>TP-TRIVOMEX</t>
        </is>
      </c>
      <c r="I723" t="n">
        <v>5033501</v>
      </c>
      <c r="J723" t="inlineStr">
        <is>
          <t>TRITURADOS VOLCANICOS DE MEXICO</t>
        </is>
      </c>
      <c r="K723" t="inlineStr">
        <is>
          <t>Z04</t>
        </is>
      </c>
      <c r="L723" t="inlineStr">
        <is>
          <t>(AP) 30 Dias</t>
        </is>
      </c>
      <c r="M723" t="n">
        <v>10000357</v>
      </c>
      <c r="N723" t="inlineStr">
        <is>
          <t>Grava Triturada Andesita 20 mm - 3/4"</t>
        </is>
      </c>
      <c r="O723" t="inlineStr">
        <is>
          <t>D836</t>
        </is>
      </c>
      <c r="P723" t="inlineStr">
        <is>
          <t>MX-CED. CENTRO</t>
        </is>
      </c>
      <c r="Q723" t="n">
        <v>20140701</v>
      </c>
      <c r="R723" t="n">
        <v>20291231</v>
      </c>
      <c r="S723" t="n">
        <v>20191107</v>
      </c>
      <c r="T723" t="n">
        <v>20241231</v>
      </c>
      <c r="U723" t="n">
        <v>294.5</v>
      </c>
      <c r="V723" t="inlineStr">
        <is>
          <t>MXN</t>
        </is>
      </c>
      <c r="W723" t="inlineStr">
        <is>
          <t>M3</t>
        </is>
      </c>
      <c r="X723" t="n">
        <v>200</v>
      </c>
      <c r="Y723" t="inlineStr">
        <is>
          <t>MXN</t>
        </is>
      </c>
      <c r="Z723" t="inlineStr">
        <is>
          <t>M3</t>
        </is>
      </c>
      <c r="AA723" t="inlineStr">
        <is>
          <t>66820551</t>
        </is>
      </c>
      <c r="AB723" t="inlineStr">
        <is>
          <t>CERTIFICADOS #23</t>
        </is>
      </c>
      <c r="AC723" t="n">
        <v>56103637</v>
      </c>
      <c r="AD723" t="n">
        <v>6622261540</v>
      </c>
      <c r="AE723" t="n">
        <v>4</v>
      </c>
      <c r="AF723" t="inlineStr">
        <is>
          <t>ENTREGA DIRECTA</t>
        </is>
      </c>
      <c r="AG723" t="n">
        <v>1.326</v>
      </c>
      <c r="AH723" t="inlineStr">
        <is>
          <t>M3</t>
        </is>
      </c>
      <c r="AI723" t="inlineStr">
        <is>
          <t>X</t>
        </is>
      </c>
      <c r="AJ723" t="n">
        <v>4</v>
      </c>
      <c r="AK723" t="inlineStr">
        <is>
          <t>V4</t>
        </is>
      </c>
      <c r="AL723" t="n">
        <v>20230920</v>
      </c>
      <c r="AM723" t="inlineStr">
        <is>
          <t>D836-900001074-66820551-10000357-4</t>
        </is>
      </c>
    </row>
    <row r="724">
      <c r="A724" t="inlineStr">
        <is>
          <t>900004323D8366663654910000160</t>
        </is>
      </c>
      <c r="B724" t="inlineStr">
        <is>
          <t>4600039874-100</t>
        </is>
      </c>
      <c r="C724" t="n">
        <v>4600039874</v>
      </c>
      <c r="D724" t="n">
        <v>100</v>
      </c>
      <c r="E724" t="inlineStr">
        <is>
          <t>MXPO</t>
        </is>
      </c>
      <c r="F724" t="inlineStr">
        <is>
          <t>MXL</t>
        </is>
      </c>
      <c r="G724" t="n">
        <v>900004323</v>
      </c>
      <c r="H724" t="inlineStr">
        <is>
          <t>TP-LAS TRANCAS</t>
        </is>
      </c>
      <c r="I724" t="n">
        <v>5047262</v>
      </c>
      <c r="J724" t="inlineStr">
        <is>
          <t>AGREGADOS PETREOS SAN CRISTOBAL</t>
        </is>
      </c>
      <c r="K724" t="inlineStr">
        <is>
          <t>Z03</t>
        </is>
      </c>
      <c r="L724" t="inlineStr">
        <is>
          <t>(AP) 15 Dias</t>
        </is>
      </c>
      <c r="M724" t="n">
        <v>10000160</v>
      </c>
      <c r="N724" t="inlineStr">
        <is>
          <t>Arena Triturada Andesita Malla 4</t>
        </is>
      </c>
      <c r="O724" t="inlineStr">
        <is>
          <t>D836</t>
        </is>
      </c>
      <c r="P724" t="inlineStr">
        <is>
          <t>MX-CED. CENTRO</t>
        </is>
      </c>
      <c r="Q724" t="n">
        <v>20170927</v>
      </c>
      <c r="R724" t="n">
        <v>20281231</v>
      </c>
      <c r="S724" t="n">
        <v>20190725</v>
      </c>
      <c r="T724" t="n">
        <v>20241231</v>
      </c>
      <c r="U724" t="n">
        <v>281.5</v>
      </c>
      <c r="V724" t="inlineStr">
        <is>
          <t>MXN</t>
        </is>
      </c>
      <c r="W724" t="inlineStr">
        <is>
          <t>M3</t>
        </is>
      </c>
      <c r="X724" t="n">
        <v>200</v>
      </c>
      <c r="Y724" t="inlineStr">
        <is>
          <t>MXN</t>
        </is>
      </c>
      <c r="Z724" t="inlineStr">
        <is>
          <t>M3</t>
        </is>
      </c>
      <c r="AA724" t="inlineStr">
        <is>
          <t>66636549</t>
        </is>
      </c>
      <c r="AB724" t="inlineStr">
        <is>
          <t>BOLIVAR #747</t>
        </is>
      </c>
      <c r="AC724" t="n">
        <v>56103638</v>
      </c>
      <c r="AD724" t="n">
        <v>6622261540</v>
      </c>
      <c r="AE724" t="n">
        <v>4</v>
      </c>
      <c r="AF724" t="inlineStr">
        <is>
          <t>ENTREGA DIRECTA</t>
        </is>
      </c>
      <c r="AG724" t="n">
        <v>1.409</v>
      </c>
      <c r="AH724" t="inlineStr">
        <is>
          <t>M3</t>
        </is>
      </c>
      <c r="AI724" t="inlineStr">
        <is>
          <t>X</t>
        </is>
      </c>
      <c r="AJ724" t="n">
        <v>4</v>
      </c>
      <c r="AK724" t="inlineStr">
        <is>
          <t>V4</t>
        </is>
      </c>
      <c r="AL724" t="n">
        <v>20230920</v>
      </c>
      <c r="AM724" t="inlineStr">
        <is>
          <t>D836-900004323-66636549-10000160-4</t>
        </is>
      </c>
    </row>
    <row r="725">
      <c r="A725" t="inlineStr">
        <is>
          <t>900001200D8366646379210000630</t>
        </is>
      </c>
      <c r="B725" t="inlineStr">
        <is>
          <t>4600049316-10</t>
        </is>
      </c>
      <c r="C725" t="n">
        <v>4600049316</v>
      </c>
      <c r="D725" t="n">
        <v>10</v>
      </c>
      <c r="E725" t="inlineStr">
        <is>
          <t>MXPO</t>
        </is>
      </c>
      <c r="F725" t="inlineStr">
        <is>
          <t>MXL</t>
        </is>
      </c>
      <c r="G725" t="n">
        <v>900001200</v>
      </c>
      <c r="H725" t="inlineStr">
        <is>
          <t>TP-ED-LA VALENCIANA</t>
        </is>
      </c>
      <c r="I725" t="n">
        <v>5005431</v>
      </c>
      <c r="J725" t="inlineStr">
        <is>
          <t>CANTERAS LA VALENCIANA SA DE CV</t>
        </is>
      </c>
      <c r="K725" t="inlineStr">
        <is>
          <t>Z03</t>
        </is>
      </c>
      <c r="L725" t="inlineStr">
        <is>
          <t>(AP) 15 Dias</t>
        </is>
      </c>
      <c r="M725" t="n">
        <v>10000630</v>
      </c>
      <c r="N725" t="inlineStr">
        <is>
          <t>Grava Triturada Caliza 13 mm - 1/2"</t>
        </is>
      </c>
      <c r="O725" t="inlineStr">
        <is>
          <t>D836</t>
        </is>
      </c>
      <c r="P725" t="inlineStr">
        <is>
          <t>MX-CED. CENTRO</t>
        </is>
      </c>
      <c r="Q725" t="n">
        <v>20210304</v>
      </c>
      <c r="R725" t="n">
        <v>20261231</v>
      </c>
      <c r="S725" t="n">
        <v>20210304</v>
      </c>
      <c r="T725" t="n">
        <v>20261231</v>
      </c>
      <c r="U725" t="n">
        <v>385</v>
      </c>
      <c r="V725" t="inlineStr">
        <is>
          <t>MXN</t>
        </is>
      </c>
      <c r="W725" t="inlineStr">
        <is>
          <t>M3</t>
        </is>
      </c>
      <c r="X725" t="n">
        <v>250</v>
      </c>
      <c r="Y725" t="inlineStr">
        <is>
          <t>MXN</t>
        </is>
      </c>
      <c r="Z725" t="inlineStr">
        <is>
          <t>M3</t>
        </is>
      </c>
      <c r="AA725" t="inlineStr">
        <is>
          <t>66463792</t>
        </is>
      </c>
      <c r="AB725" t="inlineStr">
        <is>
          <t>PLANTA TLALPAN</t>
        </is>
      </c>
      <c r="AC725" t="n">
        <v>56103637</v>
      </c>
      <c r="AD725" t="n">
        <v>6622261540</v>
      </c>
      <c r="AE725" t="n">
        <v>4</v>
      </c>
      <c r="AF725" t="inlineStr">
        <is>
          <t>ENTREGA DIRECTA</t>
        </is>
      </c>
      <c r="AG725" t="n">
        <v>1.4</v>
      </c>
      <c r="AH725" t="inlineStr">
        <is>
          <t>M3</t>
        </is>
      </c>
      <c r="AI725" t="inlineStr">
        <is>
          <t>X</t>
        </is>
      </c>
      <c r="AJ725" t="n">
        <v>4</v>
      </c>
      <c r="AK725" t="inlineStr">
        <is>
          <t>V4</t>
        </is>
      </c>
      <c r="AL725" t="n">
        <v>20230920</v>
      </c>
      <c r="AM725" t="inlineStr">
        <is>
          <t>D836-900001200-66463792-10000630-4</t>
        </is>
      </c>
    </row>
    <row r="726">
      <c r="A726" t="inlineStr">
        <is>
          <t>900001200D8366646379210000811</t>
        </is>
      </c>
      <c r="B726" t="inlineStr">
        <is>
          <t>4600049316-20</t>
        </is>
      </c>
      <c r="C726" t="n">
        <v>4600049316</v>
      </c>
      <c r="D726" t="n">
        <v>20</v>
      </c>
      <c r="E726" t="inlineStr">
        <is>
          <t>MXPO</t>
        </is>
      </c>
      <c r="F726" t="inlineStr">
        <is>
          <t>MXL</t>
        </is>
      </c>
      <c r="G726" t="n">
        <v>900001200</v>
      </c>
      <c r="H726" t="inlineStr">
        <is>
          <t>TP-ED-LA VALENCIANA</t>
        </is>
      </c>
      <c r="I726" t="n">
        <v>5005431</v>
      </c>
      <c r="J726" t="inlineStr">
        <is>
          <t>CANTERAS LA VALENCIANA SA DE CV</t>
        </is>
      </c>
      <c r="K726" t="inlineStr">
        <is>
          <t>Z03</t>
        </is>
      </c>
      <c r="L726" t="inlineStr">
        <is>
          <t>(AP) 15 Dias</t>
        </is>
      </c>
      <c r="M726" t="n">
        <v>10000811</v>
      </c>
      <c r="N726" t="inlineStr">
        <is>
          <t>Grava Triturada Caliza 20 mm - 3/4"</t>
        </is>
      </c>
      <c r="O726" t="inlineStr">
        <is>
          <t>D836</t>
        </is>
      </c>
      <c r="P726" t="inlineStr">
        <is>
          <t>MX-CED. CENTRO</t>
        </is>
      </c>
      <c r="Q726" t="n">
        <v>20210304</v>
      </c>
      <c r="R726" t="n">
        <v>20261231</v>
      </c>
      <c r="S726" t="n">
        <v>20210304</v>
      </c>
      <c r="T726" t="n">
        <v>20261231</v>
      </c>
      <c r="U726" t="n">
        <v>386</v>
      </c>
      <c r="V726" t="inlineStr">
        <is>
          <t>MXN</t>
        </is>
      </c>
      <c r="W726" t="inlineStr">
        <is>
          <t>M3</t>
        </is>
      </c>
      <c r="X726" t="n">
        <v>250</v>
      </c>
      <c r="Y726" t="inlineStr">
        <is>
          <t>MXN</t>
        </is>
      </c>
      <c r="Z726" t="inlineStr">
        <is>
          <t>M3</t>
        </is>
      </c>
      <c r="AA726" t="inlineStr">
        <is>
          <t>66463792</t>
        </is>
      </c>
      <c r="AB726" t="inlineStr">
        <is>
          <t>PLANTA TLALPAN</t>
        </is>
      </c>
      <c r="AC726" t="n">
        <v>56103637</v>
      </c>
      <c r="AD726" t="n">
        <v>6622261540</v>
      </c>
      <c r="AE726" t="n">
        <v>4</v>
      </c>
      <c r="AF726" t="inlineStr">
        <is>
          <t>ENTREGA DIRECTA</t>
        </is>
      </c>
      <c r="AG726" t="n">
        <v>1.447</v>
      </c>
      <c r="AH726" t="inlineStr">
        <is>
          <t>M3</t>
        </is>
      </c>
      <c r="AI726" t="inlineStr">
        <is>
          <t>X</t>
        </is>
      </c>
      <c r="AJ726" t="n">
        <v>4</v>
      </c>
      <c r="AK726" t="inlineStr">
        <is>
          <t>V4</t>
        </is>
      </c>
      <c r="AL726" t="n">
        <v>20230920</v>
      </c>
      <c r="AM726" t="inlineStr">
        <is>
          <t>D836-900001200-66463792-10000811-4</t>
        </is>
      </c>
    </row>
    <row r="727">
      <c r="A727" t="inlineStr">
        <is>
          <t>900004365D8366670138310019515</t>
        </is>
      </c>
      <c r="B727" t="inlineStr">
        <is>
          <t>4600042122-60</t>
        </is>
      </c>
      <c r="C727" t="n">
        <v>4600042122</v>
      </c>
      <c r="D727" t="n">
        <v>60</v>
      </c>
      <c r="E727" t="inlineStr">
        <is>
          <t>MXPO</t>
        </is>
      </c>
      <c r="F727" t="inlineStr">
        <is>
          <t>MXL</t>
        </is>
      </c>
      <c r="G727" t="n">
        <v>900004365</v>
      </c>
      <c r="H727" t="inlineStr">
        <is>
          <t>TP-ED-DOS CERROS</t>
        </is>
      </c>
      <c r="I727" t="n">
        <v>5036168</v>
      </c>
      <c r="J727" t="inlineStr">
        <is>
          <t>TRITURADOS DOS CERROS SA DE CV</t>
        </is>
      </c>
      <c r="K727" t="inlineStr">
        <is>
          <t>Z04</t>
        </is>
      </c>
      <c r="L727" t="inlineStr">
        <is>
          <t>(AP) 30 Dias</t>
        </is>
      </c>
      <c r="M727" t="n">
        <v>10019515</v>
      </c>
      <c r="N727" t="inlineStr">
        <is>
          <t>Grava Triturada Tezontle 20mm - 3/4"</t>
        </is>
      </c>
      <c r="O727" t="inlineStr">
        <is>
          <t>D836</t>
        </is>
      </c>
      <c r="P727" t="inlineStr">
        <is>
          <t>MX-CED. CENTRO</t>
        </is>
      </c>
      <c r="Q727" t="n">
        <v>20180517</v>
      </c>
      <c r="R727" t="n">
        <v>20271231</v>
      </c>
      <c r="S727" t="n">
        <v>20190705</v>
      </c>
      <c r="T727" t="n">
        <v>20241231</v>
      </c>
      <c r="U727" t="n">
        <v>330</v>
      </c>
      <c r="V727" t="inlineStr">
        <is>
          <t>MXN</t>
        </is>
      </c>
      <c r="W727" t="inlineStr">
        <is>
          <t>M3</t>
        </is>
      </c>
      <c r="X727" t="n">
        <v>220</v>
      </c>
      <c r="Y727" t="inlineStr">
        <is>
          <t>MXN</t>
        </is>
      </c>
      <c r="Z727" t="inlineStr">
        <is>
          <t>M3</t>
        </is>
      </c>
      <c r="AA727" t="inlineStr">
        <is>
          <t>66701383</t>
        </is>
      </c>
      <c r="AB727" t="inlineStr">
        <is>
          <t>AV. EMPERADORES #163 (OMC)</t>
        </is>
      </c>
      <c r="AC727" t="n">
        <v>56103637</v>
      </c>
      <c r="AD727" t="n">
        <v>6622261540</v>
      </c>
      <c r="AE727" t="n">
        <v>4</v>
      </c>
      <c r="AF727" t="inlineStr">
        <is>
          <t>ENTREGA DIRECTA</t>
        </is>
      </c>
      <c r="AG727" t="n">
        <v>1.3</v>
      </c>
      <c r="AH727" t="inlineStr">
        <is>
          <t>M3</t>
        </is>
      </c>
      <c r="AI727" t="inlineStr">
        <is>
          <t>X</t>
        </is>
      </c>
      <c r="AJ727" t="n">
        <v>4</v>
      </c>
      <c r="AK727" t="inlineStr">
        <is>
          <t>V4</t>
        </is>
      </c>
      <c r="AL727" t="n">
        <v>20230920</v>
      </c>
      <c r="AM727" t="inlineStr">
        <is>
          <t>D836-900004365-66701383-10019515-4</t>
        </is>
      </c>
    </row>
    <row r="728">
      <c r="A728" t="inlineStr">
        <is>
          <t>900001074D8366652634310155487</t>
        </is>
      </c>
      <c r="B728" t="inlineStr">
        <is>
          <t>4600027573-230</t>
        </is>
      </c>
      <c r="C728" t="n">
        <v>4600027573</v>
      </c>
      <c r="D728" t="n">
        <v>230</v>
      </c>
      <c r="E728" t="inlineStr">
        <is>
          <t>MXPO</t>
        </is>
      </c>
      <c r="F728" t="inlineStr">
        <is>
          <t>M02</t>
        </is>
      </c>
      <c r="G728" t="n">
        <v>900001074</v>
      </c>
      <c r="H728" t="inlineStr">
        <is>
          <t>TP-TRIVOMEX</t>
        </is>
      </c>
      <c r="I728" t="n">
        <v>5033501</v>
      </c>
      <c r="J728" t="inlineStr">
        <is>
          <t>TRITURADOS VOLCANICOS DE MEXICO</t>
        </is>
      </c>
      <c r="K728" t="inlineStr">
        <is>
          <t>Z04</t>
        </is>
      </c>
      <c r="L728" t="inlineStr">
        <is>
          <t>(AP) 30 Dias</t>
        </is>
      </c>
      <c r="M728" t="n">
        <v>10155487</v>
      </c>
      <c r="N728" t="inlineStr">
        <is>
          <t>GRAVA BASALTO 8" CONTROLADO A FINOS</t>
        </is>
      </c>
      <c r="O728" t="inlineStr">
        <is>
          <t>D836</t>
        </is>
      </c>
      <c r="P728" t="inlineStr">
        <is>
          <t>MX-CED. CENTRO</t>
        </is>
      </c>
      <c r="Q728" t="n">
        <v>20140701</v>
      </c>
      <c r="R728" t="n">
        <v>20291231</v>
      </c>
      <c r="S728" t="n">
        <v>20180709</v>
      </c>
      <c r="T728" t="n">
        <v>20241231</v>
      </c>
      <c r="U728" t="n">
        <v>255</v>
      </c>
      <c r="V728" t="inlineStr">
        <is>
          <t>MXN</t>
        </is>
      </c>
      <c r="W728" t="inlineStr">
        <is>
          <t>M3</t>
        </is>
      </c>
      <c r="X728" t="n">
        <v>120</v>
      </c>
      <c r="Y728" t="inlineStr">
        <is>
          <t>MXN</t>
        </is>
      </c>
      <c r="Z728" t="inlineStr">
        <is>
          <t>M3</t>
        </is>
      </c>
      <c r="AA728" t="inlineStr">
        <is>
          <t>66526343</t>
        </is>
      </c>
      <c r="AB728" t="inlineStr">
        <is>
          <t>IPC- ZONA NAVAL COYOACAN</t>
        </is>
      </c>
      <c r="AC728" t="n">
        <v>56103637</v>
      </c>
      <c r="AD728" t="n">
        <v>6622261540</v>
      </c>
      <c r="AE728" t="n">
        <v>4</v>
      </c>
      <c r="AF728" t="inlineStr">
        <is>
          <t>ENTREGA DIRECTA</t>
        </is>
      </c>
      <c r="AG728" t="n">
        <v>1.53</v>
      </c>
      <c r="AH728" t="inlineStr">
        <is>
          <t>M3</t>
        </is>
      </c>
      <c r="AI728" t="inlineStr">
        <is>
          <t>X</t>
        </is>
      </c>
      <c r="AJ728" t="n">
        <v>4</v>
      </c>
      <c r="AK728" t="inlineStr">
        <is>
          <t>V4</t>
        </is>
      </c>
      <c r="AL728" t="n">
        <v>20230920</v>
      </c>
      <c r="AM728" t="inlineStr">
        <is>
          <t>D836-900001074-66526343-10155487-4</t>
        </is>
      </c>
    </row>
    <row r="729">
      <c r="A729" t="inlineStr">
        <is>
          <t>900004365D8366652634110154416</t>
        </is>
      </c>
      <c r="B729" t="inlineStr">
        <is>
          <t>4600042122-10</t>
        </is>
      </c>
      <c r="C729" t="n">
        <v>4600042122</v>
      </c>
      <c r="D729" t="n">
        <v>10</v>
      </c>
      <c r="E729" t="inlineStr">
        <is>
          <t>MXPO</t>
        </is>
      </c>
      <c r="F729" t="inlineStr">
        <is>
          <t>MXL</t>
        </is>
      </c>
      <c r="G729" t="n">
        <v>900004365</v>
      </c>
      <c r="H729" t="inlineStr">
        <is>
          <t>TP-ED-DOS CERROS</t>
        </is>
      </c>
      <c r="I729" t="n">
        <v>5036168</v>
      </c>
      <c r="J729" t="inlineStr">
        <is>
          <t>TRITURADOS DOS CERROS SA DE CV</t>
        </is>
      </c>
      <c r="K729" t="inlineStr">
        <is>
          <t>Z04</t>
        </is>
      </c>
      <c r="L729" t="inlineStr">
        <is>
          <t>(AP) 30 Dias</t>
        </is>
      </c>
      <c r="M729" t="n">
        <v>10154416</v>
      </c>
      <c r="N729" t="inlineStr">
        <is>
          <t>GRAVA TEZONTLE DE 1 ½ A 2”</t>
        </is>
      </c>
      <c r="O729" t="inlineStr">
        <is>
          <t>D836</t>
        </is>
      </c>
      <c r="P729" t="inlineStr">
        <is>
          <t>MX-CED. CENTRO</t>
        </is>
      </c>
      <c r="Q729" t="n">
        <v>20180517</v>
      </c>
      <c r="R729" t="n">
        <v>20271231</v>
      </c>
      <c r="S729" t="n">
        <v>20180517</v>
      </c>
      <c r="T729" t="n">
        <v>20241231</v>
      </c>
      <c r="U729" t="n">
        <v>220</v>
      </c>
      <c r="V729" t="inlineStr">
        <is>
          <t>MXN</t>
        </is>
      </c>
      <c r="W729" t="inlineStr">
        <is>
          <t>M3</t>
        </is>
      </c>
      <c r="X729" t="n">
        <v>120</v>
      </c>
      <c r="Y729" t="inlineStr">
        <is>
          <t>MXN</t>
        </is>
      </c>
      <c r="Z729" t="inlineStr">
        <is>
          <t>M3</t>
        </is>
      </c>
      <c r="AA729" t="inlineStr">
        <is>
          <t>66526341</t>
        </is>
      </c>
      <c r="AB729" t="inlineStr">
        <is>
          <t>VTL IPC-ZONA NAVAL MANZANILLO</t>
        </is>
      </c>
      <c r="AC729" t="n">
        <v>56103637</v>
      </c>
      <c r="AD729" t="n">
        <v>6622261540</v>
      </c>
      <c r="AE729" t="n">
        <v>4</v>
      </c>
      <c r="AF729" t="inlineStr">
        <is>
          <t>ENTREGA DIRECTA</t>
        </is>
      </c>
      <c r="AG729" t="n">
        <v>1.3</v>
      </c>
      <c r="AH729" t="inlineStr">
        <is>
          <t>M3</t>
        </is>
      </c>
      <c r="AI729" t="inlineStr">
        <is>
          <t>X</t>
        </is>
      </c>
      <c r="AJ729" t="n">
        <v>4</v>
      </c>
      <c r="AK729" t="inlineStr">
        <is>
          <t>V4</t>
        </is>
      </c>
      <c r="AL729" t="n">
        <v>20230920</v>
      </c>
      <c r="AM729" t="inlineStr">
        <is>
          <t>D836-900004365-66526341-10154416-4</t>
        </is>
      </c>
    </row>
    <row r="730">
      <c r="A730" t="inlineStr">
        <is>
          <t>900004077D8366687461610192944</t>
        </is>
      </c>
      <c r="B730" t="inlineStr">
        <is>
          <t>4600047844-640</t>
        </is>
      </c>
      <c r="C730" t="n">
        <v>4600047844</v>
      </c>
      <c r="D730" t="n">
        <v>640</v>
      </c>
      <c r="E730" t="inlineStr">
        <is>
          <t>MXPO</t>
        </is>
      </c>
      <c r="F730" t="inlineStr">
        <is>
          <t>MXL</t>
        </is>
      </c>
      <c r="G730" t="n">
        <v>900004077</v>
      </c>
      <c r="H730" t="inlineStr">
        <is>
          <t>TP-SAN JUAN (HUDASA)</t>
        </is>
      </c>
      <c r="I730" t="n">
        <v>5054686</v>
      </c>
      <c r="J730" t="inlineStr">
        <is>
          <t>GRUPO MERCANTIL HUDASA SA DE CV</t>
        </is>
      </c>
      <c r="K730" t="inlineStr">
        <is>
          <t>Z06</t>
        </is>
      </c>
      <c r="L730" t="inlineStr">
        <is>
          <t>(AP) 45 Dias</t>
        </is>
      </c>
      <c r="M730" t="n">
        <v>10192944</v>
      </c>
      <c r="N730" t="inlineStr">
        <is>
          <t>GRAVA TRITURADA CALIZA 20 MM - 3/4" HD</t>
        </is>
      </c>
      <c r="O730" t="inlineStr">
        <is>
          <t>D836</t>
        </is>
      </c>
      <c r="P730" t="inlineStr">
        <is>
          <t>MX-CED. CENTRO</t>
        </is>
      </c>
      <c r="Q730" t="n">
        <v>20200825</v>
      </c>
      <c r="R730" t="n">
        <v>20301231</v>
      </c>
      <c r="S730" t="n">
        <v>20220420</v>
      </c>
      <c r="T730" t="n">
        <v>20271231</v>
      </c>
      <c r="U730" t="n">
        <v>288</v>
      </c>
      <c r="V730" t="inlineStr">
        <is>
          <t>MXN</t>
        </is>
      </c>
      <c r="W730" t="inlineStr">
        <is>
          <t>TN</t>
        </is>
      </c>
      <c r="X730" t="n">
        <v>170</v>
      </c>
      <c r="Y730" t="inlineStr">
        <is>
          <t>MXN</t>
        </is>
      </c>
      <c r="Z730" t="inlineStr">
        <is>
          <t>TN</t>
        </is>
      </c>
      <c r="AA730" t="inlineStr">
        <is>
          <t>66874616</t>
        </is>
      </c>
      <c r="AB730" t="inlineStr">
        <is>
          <t>FORD LOMAS VERDES</t>
        </is>
      </c>
      <c r="AC730" t="n">
        <v>56103637</v>
      </c>
      <c r="AD730" t="n">
        <v>6622261540</v>
      </c>
      <c r="AE730" t="n">
        <v>4</v>
      </c>
      <c r="AF730" t="inlineStr">
        <is>
          <t>ENTREGA DIRECTA</t>
        </is>
      </c>
      <c r="AG730" t="n">
        <v>1</v>
      </c>
      <c r="AH730" t="inlineStr">
        <is>
          <t>TO</t>
        </is>
      </c>
      <c r="AI730" t="inlineStr">
        <is>
          <t>X</t>
        </is>
      </c>
      <c r="AJ730" t="n">
        <v>4</v>
      </c>
      <c r="AK730" t="inlineStr">
        <is>
          <t>V4</t>
        </is>
      </c>
      <c r="AL730" t="n">
        <v>20230920</v>
      </c>
      <c r="AM730" t="inlineStr">
        <is>
          <t>D836-900004077-66874616-10192944-4</t>
        </is>
      </c>
    </row>
    <row r="731">
      <c r="A731" t="inlineStr">
        <is>
          <t>900006542D8366712121310000160</t>
        </is>
      </c>
      <c r="B731" t="inlineStr">
        <is>
          <t>4600047341-520</t>
        </is>
      </c>
      <c r="C731" t="n">
        <v>4600047341</v>
      </c>
      <c r="D731" t="n">
        <v>520</v>
      </c>
      <c r="E731" t="inlineStr">
        <is>
          <t>MXPO</t>
        </is>
      </c>
      <c r="F731" t="inlineStr">
        <is>
          <t>MXL</t>
        </is>
      </c>
      <c r="G731" t="n">
        <v>900006542</v>
      </c>
      <c r="H731" t="inlineStr">
        <is>
          <t>TP-OLIELL TORTON</t>
        </is>
      </c>
      <c r="I731" t="n">
        <v>5048484</v>
      </c>
      <c r="J731" t="inlineStr">
        <is>
          <t>COMERCIALIZADORA Y TRANSPORTADORA O</t>
        </is>
      </c>
      <c r="K731" t="inlineStr">
        <is>
          <t>N90</t>
        </is>
      </c>
      <c r="L731" t="inlineStr">
        <is>
          <t>(AP) NAFIN 90 Dias</t>
        </is>
      </c>
      <c r="M731" t="n">
        <v>10000160</v>
      </c>
      <c r="N731" t="inlineStr">
        <is>
          <t>Arena Triturada Andesita Malla 4</t>
        </is>
      </c>
      <c r="O731" t="inlineStr">
        <is>
          <t>D836</t>
        </is>
      </c>
      <c r="P731" t="inlineStr">
        <is>
          <t>MX-CED. CENTRO</t>
        </is>
      </c>
      <c r="Q731" t="n">
        <v>20200615</v>
      </c>
      <c r="R731" t="n">
        <v>20281231</v>
      </c>
      <c r="S731" t="n">
        <v>20220116</v>
      </c>
      <c r="T731" t="n">
        <v>20271231</v>
      </c>
      <c r="U731" t="n">
        <v>640</v>
      </c>
      <c r="V731" t="inlineStr">
        <is>
          <t>MXN</t>
        </is>
      </c>
      <c r="W731" t="inlineStr">
        <is>
          <t>M3</t>
        </is>
      </c>
      <c r="X731" t="n">
        <v>300</v>
      </c>
      <c r="Y731" t="inlineStr">
        <is>
          <t>MXN</t>
        </is>
      </c>
      <c r="Z731" t="inlineStr">
        <is>
          <t>M3</t>
        </is>
      </c>
      <c r="AA731" t="inlineStr">
        <is>
          <t>67121213</t>
        </is>
      </c>
      <c r="AB731" t="inlineStr">
        <is>
          <t>PANELES JUMEX</t>
        </is>
      </c>
      <c r="AC731" t="n">
        <v>56103638</v>
      </c>
      <c r="AD731" t="n">
        <v>6622261540</v>
      </c>
      <c r="AE731" t="n">
        <v>4</v>
      </c>
      <c r="AF731" t="inlineStr">
        <is>
          <t>ENTREGA DIRECTA</t>
        </is>
      </c>
      <c r="AG731" t="n">
        <v>1.409</v>
      </c>
      <c r="AH731" t="inlineStr">
        <is>
          <t>M3</t>
        </is>
      </c>
      <c r="AI731" t="inlineStr">
        <is>
          <t>X</t>
        </is>
      </c>
      <c r="AJ731" t="n">
        <v>4</v>
      </c>
      <c r="AK731" t="inlineStr">
        <is>
          <t>V4</t>
        </is>
      </c>
      <c r="AL731" t="n">
        <v>20230920</v>
      </c>
      <c r="AM731" t="inlineStr">
        <is>
          <t>D836-900006542-67121213-10000160-4</t>
        </is>
      </c>
    </row>
    <row r="732">
      <c r="A732" t="inlineStr">
        <is>
          <t>900004365D8366509848110000624</t>
        </is>
      </c>
      <c r="B732" t="inlineStr">
        <is>
          <t>4600053008-130</t>
        </is>
      </c>
      <c r="C732" t="n">
        <v>4600053008</v>
      </c>
      <c r="D732" t="n">
        <v>130</v>
      </c>
      <c r="E732" t="inlineStr">
        <is>
          <t>MXPO</t>
        </is>
      </c>
      <c r="F732" t="inlineStr">
        <is>
          <t>MXL</t>
        </is>
      </c>
      <c r="G732" t="n">
        <v>900004365</v>
      </c>
      <c r="H732" t="inlineStr">
        <is>
          <t>TP-ED-DOS CERROS</t>
        </is>
      </c>
      <c r="I732" t="n">
        <v>5036168</v>
      </c>
      <c r="J732" t="inlineStr">
        <is>
          <t>TRITURADOS DOS CERROS SA DE CV</t>
        </is>
      </c>
      <c r="K732" t="inlineStr">
        <is>
          <t>Z04</t>
        </is>
      </c>
      <c r="L732" t="inlineStr">
        <is>
          <t>(AP) 30 Dias</t>
        </is>
      </c>
      <c r="M732" t="n">
        <v>10000624</v>
      </c>
      <c r="N732" t="inlineStr">
        <is>
          <t>Grava Triturada Caliza 40 mm - 1 1/2"</t>
        </is>
      </c>
      <c r="O732" t="inlineStr">
        <is>
          <t>D836</t>
        </is>
      </c>
      <c r="P732" t="inlineStr">
        <is>
          <t>MX-CED. CENTRO</t>
        </is>
      </c>
      <c r="Q732" t="n">
        <v>20220128</v>
      </c>
      <c r="R732" t="n">
        <v>20281231</v>
      </c>
      <c r="S732" t="n">
        <v>20230609</v>
      </c>
      <c r="T732" t="n">
        <v>20281231</v>
      </c>
      <c r="U732" t="n">
        <v>405.05</v>
      </c>
      <c r="V732" t="inlineStr">
        <is>
          <t>MXN</t>
        </is>
      </c>
      <c r="W732" t="inlineStr">
        <is>
          <t>M3</t>
        </is>
      </c>
      <c r="X732" t="n">
        <v>200</v>
      </c>
      <c r="Y732" t="inlineStr">
        <is>
          <t>MXN</t>
        </is>
      </c>
      <c r="Z732" t="inlineStr">
        <is>
          <t>M3</t>
        </is>
      </c>
      <c r="AA732" t="inlineStr">
        <is>
          <t>65098481</t>
        </is>
      </c>
      <c r="AB732" t="inlineStr">
        <is>
          <t>FACHADAS PREFABRICADAS FAPRESSA PLA</t>
        </is>
      </c>
      <c r="AC732" t="n">
        <v>56103637</v>
      </c>
      <c r="AD732" t="n">
        <v>6622261540</v>
      </c>
      <c r="AE732" t="n">
        <v>4</v>
      </c>
      <c r="AF732" t="inlineStr">
        <is>
          <t>ENTREGA DIRECTA</t>
        </is>
      </c>
      <c r="AG732" t="n">
        <v>1.45</v>
      </c>
      <c r="AH732" t="inlineStr">
        <is>
          <t>M3</t>
        </is>
      </c>
      <c r="AI732" t="inlineStr">
        <is>
          <t>X</t>
        </is>
      </c>
      <c r="AJ732" t="n">
        <v>4</v>
      </c>
      <c r="AK732" t="inlineStr">
        <is>
          <t>V4</t>
        </is>
      </c>
      <c r="AL732" t="n">
        <v>20230920</v>
      </c>
      <c r="AM732" t="inlineStr">
        <is>
          <t>D836-900004365-65098481-10000624-4</t>
        </is>
      </c>
    </row>
    <row r="733">
      <c r="A733" t="inlineStr">
        <is>
          <t>900004365D8366509848110184010</t>
        </is>
      </c>
      <c r="B733" t="inlineStr">
        <is>
          <t>4600053008-160</t>
        </is>
      </c>
      <c r="C733" t="n">
        <v>4600053008</v>
      </c>
      <c r="D733" t="n">
        <v>160</v>
      </c>
      <c r="E733" t="inlineStr">
        <is>
          <t>MXPO</t>
        </is>
      </c>
      <c r="F733" t="inlineStr">
        <is>
          <t>MXL</t>
        </is>
      </c>
      <c r="G733" t="n">
        <v>900004365</v>
      </c>
      <c r="H733" t="inlineStr">
        <is>
          <t>TP-ED-DOS CERROS</t>
        </is>
      </c>
      <c r="I733" t="n">
        <v>5036168</v>
      </c>
      <c r="J733" t="inlineStr">
        <is>
          <t>TRITURADOS DOS CERROS SA DE CV</t>
        </is>
      </c>
      <c r="K733" t="inlineStr">
        <is>
          <t>Z04</t>
        </is>
      </c>
      <c r="L733" t="inlineStr">
        <is>
          <t>(AP) 30 Dias</t>
        </is>
      </c>
      <c r="M733" t="n">
        <v>10184010</v>
      </c>
      <c r="N733" t="inlineStr">
        <is>
          <t>GRAVA TRITURADA CALIZA 13 MM - 1/2"</t>
        </is>
      </c>
      <c r="O733" t="inlineStr">
        <is>
          <t>D836</t>
        </is>
      </c>
      <c r="P733" t="inlineStr">
        <is>
          <t>MX-CED. CENTRO</t>
        </is>
      </c>
      <c r="Q733" t="n">
        <v>20220128</v>
      </c>
      <c r="R733" t="n">
        <v>20281231</v>
      </c>
      <c r="S733" t="n">
        <v>20230623</v>
      </c>
      <c r="T733" t="n">
        <v>20281231</v>
      </c>
      <c r="U733" t="n">
        <v>430.05</v>
      </c>
      <c r="V733" t="inlineStr">
        <is>
          <t>MXN</t>
        </is>
      </c>
      <c r="W733" t="inlineStr">
        <is>
          <t>M3</t>
        </is>
      </c>
      <c r="X733" t="n">
        <v>200</v>
      </c>
      <c r="Y733" t="inlineStr">
        <is>
          <t>MXN</t>
        </is>
      </c>
      <c r="Z733" t="inlineStr">
        <is>
          <t>M3</t>
        </is>
      </c>
      <c r="AA733" t="inlineStr">
        <is>
          <t>65098481</t>
        </is>
      </c>
      <c r="AB733" t="inlineStr">
        <is>
          <t>FACHADAS PREFABRICADAS FAPRESSA PLA</t>
        </is>
      </c>
      <c r="AC733" t="n">
        <v>56103637</v>
      </c>
      <c r="AD733" t="n">
        <v>6622261540</v>
      </c>
      <c r="AE733" t="n">
        <v>4</v>
      </c>
      <c r="AF733" t="inlineStr">
        <is>
          <t>ENTREGA DIRECTA</t>
        </is>
      </c>
      <c r="AG733" t="n">
        <v>1.446</v>
      </c>
      <c r="AH733" t="inlineStr">
        <is>
          <t>M3</t>
        </is>
      </c>
      <c r="AI733" t="inlineStr">
        <is>
          <t>X</t>
        </is>
      </c>
      <c r="AJ733" t="n">
        <v>4</v>
      </c>
      <c r="AK733" t="inlineStr">
        <is>
          <t>V4</t>
        </is>
      </c>
      <c r="AL733" t="n">
        <v>20230920</v>
      </c>
      <c r="AM733" t="inlineStr">
        <is>
          <t>D836-900004365-65098481-10184010-4</t>
        </is>
      </c>
    </row>
    <row r="734">
      <c r="A734" t="inlineStr">
        <is>
          <t>900006371D8366637247510000160</t>
        </is>
      </c>
      <c r="B734" t="inlineStr">
        <is>
          <t>4600048255-40</t>
        </is>
      </c>
      <c r="C734" t="n">
        <v>4600048255</v>
      </c>
      <c r="D734" t="n">
        <v>40</v>
      </c>
      <c r="E734" t="inlineStr">
        <is>
          <t>MXPO</t>
        </is>
      </c>
      <c r="F734" t="inlineStr">
        <is>
          <t>MXL</t>
        </is>
      </c>
      <c r="G734" t="n">
        <v>900006371</v>
      </c>
      <c r="H734" t="inlineStr">
        <is>
          <t>SF TP-ED-TRIVOMEX</t>
        </is>
      </c>
      <c r="I734" t="n">
        <v>5033501</v>
      </c>
      <c r="J734" t="inlineStr">
        <is>
          <t>TRITURADOS VOLCANICOS DE MEXICO</t>
        </is>
      </c>
      <c r="K734" t="inlineStr">
        <is>
          <t>Z04</t>
        </is>
      </c>
      <c r="L734" t="inlineStr">
        <is>
          <t>(AP) 30 Dias</t>
        </is>
      </c>
      <c r="M734" t="n">
        <v>10000160</v>
      </c>
      <c r="N734" t="inlineStr">
        <is>
          <t>Arena Triturada Andesita Malla 4</t>
        </is>
      </c>
      <c r="O734" t="inlineStr">
        <is>
          <t>D836</t>
        </is>
      </c>
      <c r="P734" t="inlineStr">
        <is>
          <t>MX-CED. CENTRO</t>
        </is>
      </c>
      <c r="Q734" t="n">
        <v>20201015</v>
      </c>
      <c r="R734" t="n">
        <v>20291231</v>
      </c>
      <c r="S734" t="n">
        <v>20210524</v>
      </c>
      <c r="T734" t="n">
        <v>20291231</v>
      </c>
      <c r="U734" t="n">
        <v>151.5</v>
      </c>
      <c r="V734" t="inlineStr">
        <is>
          <t>MXN</t>
        </is>
      </c>
      <c r="W734" t="inlineStr">
        <is>
          <t>M3</t>
        </is>
      </c>
      <c r="X734" t="n">
        <v>70</v>
      </c>
      <c r="Y734" t="inlineStr">
        <is>
          <t>MXN</t>
        </is>
      </c>
      <c r="Z734" t="inlineStr">
        <is>
          <t>M3</t>
        </is>
      </c>
      <c r="AA734" t="inlineStr">
        <is>
          <t>66372475</t>
        </is>
      </c>
      <c r="AB734" t="inlineStr">
        <is>
          <t>I. ALJUCA. (Amm)</t>
        </is>
      </c>
      <c r="AC734" t="n">
        <v>56103638</v>
      </c>
      <c r="AD734" t="n">
        <v>6622261540</v>
      </c>
      <c r="AE734" t="n">
        <v>4</v>
      </c>
      <c r="AF734" t="inlineStr">
        <is>
          <t>ENTREGA DIRECTA</t>
        </is>
      </c>
      <c r="AG734" t="n">
        <v>1.409</v>
      </c>
      <c r="AH734" t="inlineStr">
        <is>
          <t>M3</t>
        </is>
      </c>
      <c r="AI734" t="inlineStr">
        <is>
          <t>X</t>
        </is>
      </c>
      <c r="AJ734" t="n">
        <v>4</v>
      </c>
      <c r="AK734" t="inlineStr">
        <is>
          <t>V4</t>
        </is>
      </c>
      <c r="AL734" t="n">
        <v>20230920</v>
      </c>
      <c r="AM734" t="inlineStr">
        <is>
          <t>D836-900006371-66372475-10000160-4</t>
        </is>
      </c>
    </row>
    <row r="735">
      <c r="A735" t="inlineStr">
        <is>
          <t>900001074D8366652634110155487</t>
        </is>
      </c>
      <c r="B735" t="inlineStr">
        <is>
          <t>4600027573-220</t>
        </is>
      </c>
      <c r="C735" t="n">
        <v>4600027573</v>
      </c>
      <c r="D735" t="n">
        <v>220</v>
      </c>
      <c r="E735" t="inlineStr">
        <is>
          <t>MXPO</t>
        </is>
      </c>
      <c r="F735" t="inlineStr">
        <is>
          <t>M02</t>
        </is>
      </c>
      <c r="G735" t="n">
        <v>900001074</v>
      </c>
      <c r="H735" t="inlineStr">
        <is>
          <t>TP-TRIVOMEX</t>
        </is>
      </c>
      <c r="I735" t="n">
        <v>5033501</v>
      </c>
      <c r="J735" t="inlineStr">
        <is>
          <t>TRITURADOS VOLCANICOS DE MEXICO</t>
        </is>
      </c>
      <c r="K735" t="inlineStr">
        <is>
          <t>Z04</t>
        </is>
      </c>
      <c r="L735" t="inlineStr">
        <is>
          <t>(AP) 30 Dias</t>
        </is>
      </c>
      <c r="M735" t="n">
        <v>10155487</v>
      </c>
      <c r="N735" t="inlineStr">
        <is>
          <t>GRAVA BASALTO 8" CONTROLADO A FINOS</t>
        </is>
      </c>
      <c r="O735" t="inlineStr">
        <is>
          <t>D836</t>
        </is>
      </c>
      <c r="P735" t="inlineStr">
        <is>
          <t>MX-CED. CENTRO</t>
        </is>
      </c>
      <c r="Q735" t="n">
        <v>20140701</v>
      </c>
      <c r="R735" t="n">
        <v>20291231</v>
      </c>
      <c r="S735" t="n">
        <v>20180709</v>
      </c>
      <c r="T735" t="n">
        <v>20241231</v>
      </c>
      <c r="U735" t="n">
        <v>255</v>
      </c>
      <c r="V735" t="inlineStr">
        <is>
          <t>MXN</t>
        </is>
      </c>
      <c r="W735" t="inlineStr">
        <is>
          <t>M3</t>
        </is>
      </c>
      <c r="X735" t="n">
        <v>120</v>
      </c>
      <c r="Y735" t="inlineStr">
        <is>
          <t>MXN</t>
        </is>
      </c>
      <c r="Z735" t="inlineStr">
        <is>
          <t>M3</t>
        </is>
      </c>
      <c r="AA735" t="inlineStr">
        <is>
          <t>66526341</t>
        </is>
      </c>
      <c r="AB735" t="inlineStr">
        <is>
          <t>VTL IPC-ZONA NAVAL MANZANILLO</t>
        </is>
      </c>
      <c r="AC735" t="n">
        <v>56103637</v>
      </c>
      <c r="AD735" t="n">
        <v>6622261540</v>
      </c>
      <c r="AE735" t="n">
        <v>4</v>
      </c>
      <c r="AF735" t="inlineStr">
        <is>
          <t>ENTREGA DIRECTA</t>
        </is>
      </c>
      <c r="AG735" t="n">
        <v>1.53</v>
      </c>
      <c r="AH735" t="inlineStr">
        <is>
          <t>M3</t>
        </is>
      </c>
      <c r="AI735" t="inlineStr">
        <is>
          <t>X</t>
        </is>
      </c>
      <c r="AJ735" t="n">
        <v>4</v>
      </c>
      <c r="AK735" t="inlineStr">
        <is>
          <t>V4</t>
        </is>
      </c>
      <c r="AL735" t="n">
        <v>20230920</v>
      </c>
      <c r="AM735" t="inlineStr">
        <is>
          <t>D836-900001074-66526341-10155487-4</t>
        </is>
      </c>
    </row>
    <row r="736">
      <c r="A736" t="inlineStr">
        <is>
          <t>900004365D8366652634310154416</t>
        </is>
      </c>
      <c r="B736" t="inlineStr">
        <is>
          <t>4600042122-20</t>
        </is>
      </c>
      <c r="C736" t="n">
        <v>4600042122</v>
      </c>
      <c r="D736" t="n">
        <v>20</v>
      </c>
      <c r="E736" t="inlineStr">
        <is>
          <t>MXPO</t>
        </is>
      </c>
      <c r="F736" t="inlineStr">
        <is>
          <t>MXL</t>
        </is>
      </c>
      <c r="G736" t="n">
        <v>900004365</v>
      </c>
      <c r="H736" t="inlineStr">
        <is>
          <t>TP-ED-DOS CERROS</t>
        </is>
      </c>
      <c r="I736" t="n">
        <v>5036168</v>
      </c>
      <c r="J736" t="inlineStr">
        <is>
          <t>TRITURADOS DOS CERROS SA DE CV</t>
        </is>
      </c>
      <c r="K736" t="inlineStr">
        <is>
          <t>Z04</t>
        </is>
      </c>
      <c r="L736" t="inlineStr">
        <is>
          <t>(AP) 30 Dias</t>
        </is>
      </c>
      <c r="M736" t="n">
        <v>10154416</v>
      </c>
      <c r="N736" t="inlineStr">
        <is>
          <t>GRAVA TEZONTLE DE 1 ½ A 2”</t>
        </is>
      </c>
      <c r="O736" t="inlineStr">
        <is>
          <t>D836</t>
        </is>
      </c>
      <c r="P736" t="inlineStr">
        <is>
          <t>MX-CED. CENTRO</t>
        </is>
      </c>
      <c r="Q736" t="n">
        <v>20180517</v>
      </c>
      <c r="R736" t="n">
        <v>20271231</v>
      </c>
      <c r="S736" t="n">
        <v>20180517</v>
      </c>
      <c r="T736" t="n">
        <v>20241231</v>
      </c>
      <c r="U736" t="n">
        <v>220</v>
      </c>
      <c r="V736" t="inlineStr">
        <is>
          <t>MXN</t>
        </is>
      </c>
      <c r="W736" t="inlineStr">
        <is>
          <t>M3</t>
        </is>
      </c>
      <c r="X736" t="n">
        <v>120</v>
      </c>
      <c r="Y736" t="inlineStr">
        <is>
          <t>MXN</t>
        </is>
      </c>
      <c r="Z736" t="inlineStr">
        <is>
          <t>M3</t>
        </is>
      </c>
      <c r="AA736" t="inlineStr">
        <is>
          <t>66526343</t>
        </is>
      </c>
      <c r="AB736" t="inlineStr">
        <is>
          <t>IPC- ZONA NAVAL COYOACAN</t>
        </is>
      </c>
      <c r="AC736" t="n">
        <v>56103637</v>
      </c>
      <c r="AD736" t="n">
        <v>6622261540</v>
      </c>
      <c r="AE736" t="n">
        <v>4</v>
      </c>
      <c r="AF736" t="inlineStr">
        <is>
          <t>ENTREGA DIRECTA</t>
        </is>
      </c>
      <c r="AG736" t="n">
        <v>1.3</v>
      </c>
      <c r="AH736" t="inlineStr">
        <is>
          <t>M3</t>
        </is>
      </c>
      <c r="AI736" t="inlineStr">
        <is>
          <t>X</t>
        </is>
      </c>
      <c r="AJ736" t="n">
        <v>4</v>
      </c>
      <c r="AK736" t="inlineStr">
        <is>
          <t>V4</t>
        </is>
      </c>
      <c r="AL736" t="n">
        <v>20230920</v>
      </c>
      <c r="AM736" t="inlineStr">
        <is>
          <t>D836-900004365-66526343-10154416-4</t>
        </is>
      </c>
    </row>
    <row r="737">
      <c r="A737" t="inlineStr">
        <is>
          <t>900006824D8366700850710000623</t>
        </is>
      </c>
      <c r="B737" t="inlineStr">
        <is>
          <t>4600048689-80</t>
        </is>
      </c>
      <c r="C737" t="n">
        <v>4600048689</v>
      </c>
      <c r="D737" t="n">
        <v>80</v>
      </c>
      <c r="E737" t="inlineStr">
        <is>
          <t>MXPO</t>
        </is>
      </c>
      <c r="F737" t="inlineStr">
        <is>
          <t>MXL</t>
        </is>
      </c>
      <c r="G737" t="n">
        <v>900006824</v>
      </c>
      <c r="H737" t="inlineStr">
        <is>
          <t>SF TP-ED-SAN JUAN (HUDASA)</t>
        </is>
      </c>
      <c r="I737" t="n">
        <v>5054686</v>
      </c>
      <c r="J737" t="inlineStr">
        <is>
          <t>GRUPO MERCANTIL HUDASA SA DE CV</t>
        </is>
      </c>
      <c r="K737" t="inlineStr">
        <is>
          <t>N90</t>
        </is>
      </c>
      <c r="L737" t="inlineStr">
        <is>
          <t>(AP) NAFIN 90 Dias</t>
        </is>
      </c>
      <c r="M737" t="n">
        <v>10000623</v>
      </c>
      <c r="N737" t="inlineStr">
        <is>
          <t>Grava Triturada Caliza 10 mm - 3/8"</t>
        </is>
      </c>
      <c r="O737" t="inlineStr">
        <is>
          <t>D836</t>
        </is>
      </c>
      <c r="P737" t="inlineStr">
        <is>
          <t>MX-CED. CENTRO</t>
        </is>
      </c>
      <c r="Q737" t="n">
        <v>20201217</v>
      </c>
      <c r="R737" t="n">
        <v>20291231</v>
      </c>
      <c r="S737" t="n">
        <v>20220727</v>
      </c>
      <c r="T737" t="n">
        <v>20271231</v>
      </c>
      <c r="U737" t="n">
        <v>260</v>
      </c>
      <c r="V737" t="inlineStr">
        <is>
          <t>MXN</t>
        </is>
      </c>
      <c r="W737" t="inlineStr">
        <is>
          <t>TN</t>
        </is>
      </c>
      <c r="X737" t="n">
        <v>140</v>
      </c>
      <c r="Y737" t="inlineStr">
        <is>
          <t>MXN</t>
        </is>
      </c>
      <c r="Z737" t="inlineStr">
        <is>
          <t>TN</t>
        </is>
      </c>
      <c r="AA737" t="inlineStr">
        <is>
          <t>67008507</t>
        </is>
      </c>
      <c r="AB737" t="inlineStr">
        <is>
          <t>CONSERVACION Y TECNOLOGIAS EN PAVIM</t>
        </is>
      </c>
      <c r="AC737" t="n">
        <v>56103637</v>
      </c>
      <c r="AD737" t="n">
        <v>6622261540</v>
      </c>
      <c r="AE737" t="n">
        <v>4</v>
      </c>
      <c r="AF737" t="inlineStr">
        <is>
          <t>ENTREGA DIRECTA</t>
        </is>
      </c>
      <c r="AG737" t="n">
        <v>1</v>
      </c>
      <c r="AH737" t="inlineStr">
        <is>
          <t>TO</t>
        </is>
      </c>
      <c r="AI737" t="inlineStr">
        <is>
          <t>X</t>
        </is>
      </c>
      <c r="AJ737" t="n">
        <v>4</v>
      </c>
      <c r="AK737" t="inlineStr">
        <is>
          <t>V4</t>
        </is>
      </c>
      <c r="AL737" t="n">
        <v>20230920</v>
      </c>
      <c r="AM737" t="inlineStr">
        <is>
          <t>D836-900006824-67008507-10000623-4</t>
        </is>
      </c>
    </row>
    <row r="738">
      <c r="A738" t="inlineStr">
        <is>
          <t>900007670D8366707318510000284</t>
        </is>
      </c>
      <c r="B738" t="inlineStr">
        <is>
          <t>4600054224-10</t>
        </is>
      </c>
      <c r="C738" t="n">
        <v>4600054224</v>
      </c>
      <c r="D738" t="n">
        <v>10</v>
      </c>
      <c r="E738" t="inlineStr">
        <is>
          <t>MXPO</t>
        </is>
      </c>
      <c r="F738" t="inlineStr">
        <is>
          <t>MXL</t>
        </is>
      </c>
      <c r="G738" t="n">
        <v>900007670</v>
      </c>
      <c r="H738" t="inlineStr">
        <is>
          <t>SF TP-ED-SAN ROMULO</t>
        </is>
      </c>
      <c r="I738" t="n">
        <v>5078107</v>
      </c>
      <c r="J738" t="inlineStr">
        <is>
          <t>MARTINEZ VILLEGAS SA DE CV</t>
        </is>
      </c>
      <c r="K738" t="inlineStr">
        <is>
          <t>Z04</t>
        </is>
      </c>
      <c r="L738" t="inlineStr">
        <is>
          <t>(AP) 30 Dias</t>
        </is>
      </c>
      <c r="M738" t="n">
        <v>10000284</v>
      </c>
      <c r="N738" t="inlineStr">
        <is>
          <t>Grava Triturada Basalto  20 mm - 3/4"</t>
        </is>
      </c>
      <c r="O738" t="inlineStr">
        <is>
          <t>D836</t>
        </is>
      </c>
      <c r="P738" t="inlineStr">
        <is>
          <t>MX-CED. CENTRO</t>
        </is>
      </c>
      <c r="Q738" t="n">
        <v>20220615</v>
      </c>
      <c r="R738" t="n">
        <v>20271231</v>
      </c>
      <c r="S738" t="n">
        <v>20220615</v>
      </c>
      <c r="T738" t="n">
        <v>20271231</v>
      </c>
      <c r="U738" t="n">
        <v>450</v>
      </c>
      <c r="V738" t="inlineStr">
        <is>
          <t>MXN</t>
        </is>
      </c>
      <c r="W738" t="inlineStr">
        <is>
          <t>M3</t>
        </is>
      </c>
      <c r="X738" t="n">
        <v>140</v>
      </c>
      <c r="Y738" t="inlineStr">
        <is>
          <t>MXN</t>
        </is>
      </c>
      <c r="Z738" t="inlineStr">
        <is>
          <t>M3</t>
        </is>
      </c>
      <c r="AA738" t="inlineStr">
        <is>
          <t>67073185</t>
        </is>
      </c>
      <c r="AB738" t="inlineStr">
        <is>
          <t>Planta Tecámac</t>
        </is>
      </c>
      <c r="AC738" t="n">
        <v>56103637</v>
      </c>
      <c r="AD738" t="n">
        <v>6622261867</v>
      </c>
      <c r="AE738" t="n">
        <v>4</v>
      </c>
      <c r="AF738" t="inlineStr">
        <is>
          <t>ENTREGA DIRECTA</t>
        </is>
      </c>
      <c r="AG738" t="n">
        <v>1.429</v>
      </c>
      <c r="AH738" t="inlineStr">
        <is>
          <t>M3</t>
        </is>
      </c>
      <c r="AI738" t="inlineStr">
        <is>
          <t>X</t>
        </is>
      </c>
      <c r="AJ738" t="n">
        <v>4</v>
      </c>
      <c r="AK738" t="inlineStr">
        <is>
          <t>V4</t>
        </is>
      </c>
      <c r="AL738" t="n">
        <v>20230920</v>
      </c>
      <c r="AM738" t="inlineStr">
        <is>
          <t>D836-900007670-67073185-10000284-4</t>
        </is>
      </c>
    </row>
    <row r="739">
      <c r="A739" t="inlineStr">
        <is>
          <t>900004077D8366683832610192941</t>
        </is>
      </c>
      <c r="B739" t="inlineStr">
        <is>
          <t>4600047844-450</t>
        </is>
      </c>
      <c r="C739" t="n">
        <v>4600047844</v>
      </c>
      <c r="D739" t="n">
        <v>450</v>
      </c>
      <c r="E739" t="inlineStr">
        <is>
          <t>MXPO</t>
        </is>
      </c>
      <c r="F739" t="inlineStr">
        <is>
          <t>MXL</t>
        </is>
      </c>
      <c r="G739" t="n">
        <v>900004077</v>
      </c>
      <c r="H739" t="inlineStr">
        <is>
          <t>TP-SAN JUAN (HUDASA)</t>
        </is>
      </c>
      <c r="I739" t="n">
        <v>5054686</v>
      </c>
      <c r="J739" t="inlineStr">
        <is>
          <t>GRUPO MERCANTIL HUDASA SA DE CV</t>
        </is>
      </c>
      <c r="K739" t="inlineStr">
        <is>
          <t>Z06</t>
        </is>
      </c>
      <c r="L739" t="inlineStr">
        <is>
          <t>(AP) 45 Dias</t>
        </is>
      </c>
      <c r="M739" t="n">
        <v>10192941</v>
      </c>
      <c r="N739" t="inlineStr">
        <is>
          <t>GRAVA TRITURADA CALIZA 10 MM - 3/8" HD</t>
        </is>
      </c>
      <c r="O739" t="inlineStr">
        <is>
          <t>D836</t>
        </is>
      </c>
      <c r="P739" t="inlineStr">
        <is>
          <t>MX-CED. CENTRO</t>
        </is>
      </c>
      <c r="Q739" t="n">
        <v>20200825</v>
      </c>
      <c r="R739" t="n">
        <v>20301231</v>
      </c>
      <c r="S739" t="n">
        <v>20220422</v>
      </c>
      <c r="T739" t="n">
        <v>20271231</v>
      </c>
      <c r="U739" t="n">
        <v>290.87</v>
      </c>
      <c r="V739" t="inlineStr">
        <is>
          <t>MXN</t>
        </is>
      </c>
      <c r="W739" t="inlineStr">
        <is>
          <t>TN</t>
        </is>
      </c>
      <c r="X739" t="n">
        <v>170</v>
      </c>
      <c r="Y739" t="inlineStr">
        <is>
          <t>MXN</t>
        </is>
      </c>
      <c r="Z739" t="inlineStr">
        <is>
          <t>TN</t>
        </is>
      </c>
      <c r="AA739" t="inlineStr">
        <is>
          <t>66838326</t>
        </is>
      </c>
      <c r="AB739" t="inlineStr">
        <is>
          <t>OBRA FORD</t>
        </is>
      </c>
      <c r="AC739" t="n">
        <v>56103637</v>
      </c>
      <c r="AD739" t="n">
        <v>6622261540</v>
      </c>
      <c r="AE739" t="n">
        <v>4</v>
      </c>
      <c r="AF739" t="inlineStr">
        <is>
          <t>ENTREGA DIRECTA</t>
        </is>
      </c>
      <c r="AG739" t="n">
        <v>1</v>
      </c>
      <c r="AH739" t="inlineStr">
        <is>
          <t>TO</t>
        </is>
      </c>
      <c r="AI739" t="inlineStr">
        <is>
          <t>X</t>
        </is>
      </c>
      <c r="AJ739" t="n">
        <v>4</v>
      </c>
      <c r="AK739" t="inlineStr">
        <is>
          <t>V4</t>
        </is>
      </c>
      <c r="AL739" t="n">
        <v>20230920</v>
      </c>
      <c r="AM739" t="inlineStr">
        <is>
          <t>D836-900004077-66838326-10192941-4</t>
        </is>
      </c>
    </row>
    <row r="740">
      <c r="A740" t="inlineStr">
        <is>
          <t>900004077D8366683832610192945</t>
        </is>
      </c>
      <c r="B740" t="inlineStr">
        <is>
          <t>4600047844-460</t>
        </is>
      </c>
      <c r="C740" t="n">
        <v>4600047844</v>
      </c>
      <c r="D740" t="n">
        <v>460</v>
      </c>
      <c r="E740" t="inlineStr">
        <is>
          <t>MXPO</t>
        </is>
      </c>
      <c r="F740" t="inlineStr">
        <is>
          <t>MXL</t>
        </is>
      </c>
      <c r="G740" t="n">
        <v>900004077</v>
      </c>
      <c r="H740" t="inlineStr">
        <is>
          <t>TP-SAN JUAN (HUDASA)</t>
        </is>
      </c>
      <c r="I740" t="n">
        <v>5054686</v>
      </c>
      <c r="J740" t="inlineStr">
        <is>
          <t>GRUPO MERCANTIL HUDASA SA DE CV</t>
        </is>
      </c>
      <c r="K740" t="inlineStr">
        <is>
          <t>Z06</t>
        </is>
      </c>
      <c r="L740" t="inlineStr">
        <is>
          <t>(AP) 45 Dias</t>
        </is>
      </c>
      <c r="M740" t="n">
        <v>10192945</v>
      </c>
      <c r="N740" t="inlineStr">
        <is>
          <t>GRAVA TRITURADA CALIZA 13 MM - 1/2" HD</t>
        </is>
      </c>
      <c r="O740" t="inlineStr">
        <is>
          <t>D836</t>
        </is>
      </c>
      <c r="P740" t="inlineStr">
        <is>
          <t>MX-CED. CENTRO</t>
        </is>
      </c>
      <c r="Q740" t="n">
        <v>20200825</v>
      </c>
      <c r="R740" t="n">
        <v>20301231</v>
      </c>
      <c r="S740" t="n">
        <v>20220422</v>
      </c>
      <c r="T740" t="n">
        <v>20271231</v>
      </c>
      <c r="U740" t="n">
        <v>288</v>
      </c>
      <c r="V740" t="inlineStr">
        <is>
          <t>MXN</t>
        </is>
      </c>
      <c r="W740" t="inlineStr">
        <is>
          <t>TN</t>
        </is>
      </c>
      <c r="X740" t="n">
        <v>170</v>
      </c>
      <c r="Y740" t="inlineStr">
        <is>
          <t>MXN</t>
        </is>
      </c>
      <c r="Z740" t="inlineStr">
        <is>
          <t>TN</t>
        </is>
      </c>
      <c r="AA740" t="inlineStr">
        <is>
          <t>66838326</t>
        </is>
      </c>
      <c r="AB740" t="inlineStr">
        <is>
          <t>OBRA FORD</t>
        </is>
      </c>
      <c r="AC740" t="n">
        <v>56103637</v>
      </c>
      <c r="AD740" t="n">
        <v>6622261540</v>
      </c>
      <c r="AE740" t="n">
        <v>4</v>
      </c>
      <c r="AF740" t="inlineStr">
        <is>
          <t>ENTREGA DIRECTA</t>
        </is>
      </c>
      <c r="AG740" t="n">
        <v>1</v>
      </c>
      <c r="AH740" t="inlineStr">
        <is>
          <t>TO</t>
        </is>
      </c>
      <c r="AI740" t="inlineStr">
        <is>
          <t>X</t>
        </is>
      </c>
      <c r="AJ740" t="n">
        <v>4</v>
      </c>
      <c r="AK740" t="inlineStr">
        <is>
          <t>V4</t>
        </is>
      </c>
      <c r="AL740" t="n">
        <v>20230920</v>
      </c>
      <c r="AM740" t="inlineStr">
        <is>
          <t>D836-900004077-66838326-10192945-4</t>
        </is>
      </c>
    </row>
    <row r="741">
      <c r="A741" t="inlineStr">
        <is>
          <t>900006542D8366712121310000649</t>
        </is>
      </c>
      <c r="B741" t="inlineStr">
        <is>
          <t>4600047341-530</t>
        </is>
      </c>
      <c r="C741" t="n">
        <v>4600047341</v>
      </c>
      <c r="D741" t="n">
        <v>530</v>
      </c>
      <c r="E741" t="inlineStr">
        <is>
          <t>MXPO</t>
        </is>
      </c>
      <c r="F741" t="inlineStr">
        <is>
          <t>MXL</t>
        </is>
      </c>
      <c r="G741" t="n">
        <v>900006542</v>
      </c>
      <c r="H741" t="inlineStr">
        <is>
          <t>TP-OLIELL TORTON</t>
        </is>
      </c>
      <c r="I741" t="n">
        <v>5048484</v>
      </c>
      <c r="J741" t="inlineStr">
        <is>
          <t>COMERCIALIZADORA Y TRANSPORTADORA O</t>
        </is>
      </c>
      <c r="K741" t="inlineStr">
        <is>
          <t>N90</t>
        </is>
      </c>
      <c r="L741" t="inlineStr">
        <is>
          <t>(AP) NAFIN 90 Dias</t>
        </is>
      </c>
      <c r="M741" t="n">
        <v>10000649</v>
      </c>
      <c r="N741" t="inlineStr">
        <is>
          <t>Grava Triturada Andesita 10 mm - 3/8"</t>
        </is>
      </c>
      <c r="O741" t="inlineStr">
        <is>
          <t>D836</t>
        </is>
      </c>
      <c r="P741" t="inlineStr">
        <is>
          <t>MX-CED. CENTRO</t>
        </is>
      </c>
      <c r="Q741" t="n">
        <v>20200615</v>
      </c>
      <c r="R741" t="n">
        <v>20281231</v>
      </c>
      <c r="S741" t="n">
        <v>20220116</v>
      </c>
      <c r="T741" t="n">
        <v>20271231</v>
      </c>
      <c r="U741" t="n">
        <v>630</v>
      </c>
      <c r="V741" t="inlineStr">
        <is>
          <t>MXN</t>
        </is>
      </c>
      <c r="W741" t="inlineStr">
        <is>
          <t>M3</t>
        </is>
      </c>
      <c r="X741" t="n">
        <v>300</v>
      </c>
      <c r="Y741" t="inlineStr">
        <is>
          <t>MXN</t>
        </is>
      </c>
      <c r="Z741" t="inlineStr">
        <is>
          <t>M3</t>
        </is>
      </c>
      <c r="AA741" t="inlineStr">
        <is>
          <t>67121213</t>
        </is>
      </c>
      <c r="AB741" t="inlineStr">
        <is>
          <t>PANELES JUMEX</t>
        </is>
      </c>
      <c r="AC741" t="n">
        <v>56103637</v>
      </c>
      <c r="AD741" t="n">
        <v>6622261540</v>
      </c>
      <c r="AE741" t="n">
        <v>4</v>
      </c>
      <c r="AF741" t="inlineStr">
        <is>
          <t>ENTREGA DIRECTA</t>
        </is>
      </c>
      <c r="AG741" t="n">
        <v>1.315</v>
      </c>
      <c r="AH741" t="inlineStr">
        <is>
          <t>M3</t>
        </is>
      </c>
      <c r="AI741" t="inlineStr">
        <is>
          <t>X</t>
        </is>
      </c>
      <c r="AJ741" t="n">
        <v>4</v>
      </c>
      <c r="AK741" t="inlineStr">
        <is>
          <t>V4</t>
        </is>
      </c>
      <c r="AL741" t="n">
        <v>20230920</v>
      </c>
      <c r="AM741" t="inlineStr">
        <is>
          <t>D836-900006542-67121213-10000649-4</t>
        </is>
      </c>
    </row>
    <row r="742">
      <c r="A742" t="inlineStr">
        <is>
          <t>900005356D83610000160</t>
        </is>
      </c>
      <c r="B742" t="inlineStr">
        <is>
          <t>4600039490-10</t>
        </is>
      </c>
      <c r="C742" t="n">
        <v>4600039490</v>
      </c>
      <c r="D742" t="n">
        <v>10</v>
      </c>
      <c r="E742" t="inlineStr">
        <is>
          <t>MXPO</t>
        </is>
      </c>
      <c r="F742" t="inlineStr">
        <is>
          <t>MXL</t>
        </is>
      </c>
      <c r="G742" t="n">
        <v>900005356</v>
      </c>
      <c r="H742" t="inlineStr">
        <is>
          <t>TP-TRIVOMEX RECOGIDO</t>
        </is>
      </c>
      <c r="I742" t="n">
        <v>5033501</v>
      </c>
      <c r="J742" t="inlineStr">
        <is>
          <t>TRITURADOS VOLCANICOS DE MEXICO</t>
        </is>
      </c>
      <c r="K742" t="inlineStr">
        <is>
          <t>Z04</t>
        </is>
      </c>
      <c r="L742" t="inlineStr">
        <is>
          <t>(AP) 30 Dias</t>
        </is>
      </c>
      <c r="M742" t="n">
        <v>10000160</v>
      </c>
      <c r="N742" t="inlineStr">
        <is>
          <t>Arena Triturada Andesita Malla 4</t>
        </is>
      </c>
      <c r="O742" t="inlineStr">
        <is>
          <t>D836</t>
        </is>
      </c>
      <c r="P742" t="inlineStr">
        <is>
          <t>MX-CED. CENTRO</t>
        </is>
      </c>
      <c r="Q742" t="n">
        <v>20170828</v>
      </c>
      <c r="R742" t="n">
        <v>20281231</v>
      </c>
      <c r="S742" t="n">
        <v>20260427</v>
      </c>
      <c r="T742" t="n">
        <v>20301231</v>
      </c>
      <c r="U742" t="n">
        <v>113</v>
      </c>
      <c r="V742" t="inlineStr">
        <is>
          <t>MXN</t>
        </is>
      </c>
      <c r="W742" t="inlineStr">
        <is>
          <t>M3</t>
        </is>
      </c>
      <c r="X742" t="n">
        <v>0</v>
      </c>
      <c r="Y742" t="inlineStr">
        <is>
          <t>MXN</t>
        </is>
      </c>
      <c r="Z742" t="inlineStr">
        <is>
          <t>M3</t>
        </is>
      </c>
      <c r="AC742" t="n">
        <v>56103638</v>
      </c>
      <c r="AD742" t="n">
        <v>6622261540</v>
      </c>
      <c r="AE742" t="n">
        <v>1</v>
      </c>
      <c r="AF742" t="inlineStr">
        <is>
          <t>ENTREGADO</t>
        </is>
      </c>
      <c r="AG742" t="n">
        <v>1.409</v>
      </c>
      <c r="AH742" t="inlineStr">
        <is>
          <t>M3</t>
        </is>
      </c>
      <c r="AI742" t="inlineStr">
        <is>
          <t>X</t>
        </is>
      </c>
      <c r="AJ742" t="n">
        <v>4</v>
      </c>
      <c r="AK742" t="inlineStr">
        <is>
          <t>V4</t>
        </is>
      </c>
      <c r="AL742" t="n">
        <v>20260430</v>
      </c>
      <c r="AM742" t="inlineStr">
        <is>
          <t>D836-900005356-10000160</t>
        </is>
      </c>
    </row>
    <row r="743">
      <c r="A743" t="inlineStr">
        <is>
          <t>900009460D83610276711</t>
        </is>
      </c>
      <c r="B743" t="inlineStr">
        <is>
          <t>4600071933-40</t>
        </is>
      </c>
      <c r="C743" t="n">
        <v>4600071933</v>
      </c>
      <c r="D743" t="n">
        <v>40</v>
      </c>
      <c r="E743" t="inlineStr">
        <is>
          <t>MXPO</t>
        </is>
      </c>
      <c r="F743" t="inlineStr">
        <is>
          <t>MXL</t>
        </is>
      </c>
      <c r="G743" t="n">
        <v>900009460</v>
      </c>
      <c r="H743" t="inlineStr">
        <is>
          <t>SF TP-PITUFOS</t>
        </is>
      </c>
      <c r="I743" t="n">
        <v>5010165</v>
      </c>
      <c r="J743" t="inlineStr">
        <is>
          <t>AGREGADOS COMO S.A. DE C.V.</t>
        </is>
      </c>
      <c r="K743" t="inlineStr">
        <is>
          <t>N60</t>
        </is>
      </c>
      <c r="L743" t="inlineStr">
        <is>
          <t>(AP) NAFIN 60 Dias</t>
        </is>
      </c>
      <c r="M743" t="n">
        <v>10276711</v>
      </c>
      <c r="N743" t="inlineStr">
        <is>
          <t>MP ARENA TRIT ANDESITA MALLA 4 FZ</t>
        </is>
      </c>
      <c r="O743" t="inlineStr">
        <is>
          <t>D836</t>
        </is>
      </c>
      <c r="P743" t="inlineStr">
        <is>
          <t>MX-CED. CENTRO</t>
        </is>
      </c>
      <c r="Q743" t="n">
        <v>20260123</v>
      </c>
      <c r="R743" t="n">
        <v>20301231</v>
      </c>
      <c r="S743" t="n">
        <v>20260427</v>
      </c>
      <c r="T743" t="n">
        <v>20301231</v>
      </c>
      <c r="U743" t="n">
        <v>115</v>
      </c>
      <c r="V743" t="inlineStr">
        <is>
          <t>MXN</t>
        </is>
      </c>
      <c r="W743" t="inlineStr">
        <is>
          <t>M3</t>
        </is>
      </c>
      <c r="X743" t="n">
        <v>0</v>
      </c>
      <c r="Y743" t="inlineStr">
        <is>
          <t>MXN</t>
        </is>
      </c>
      <c r="Z743" t="inlineStr">
        <is>
          <t>M3</t>
        </is>
      </c>
      <c r="AC743" t="n">
        <v>56103638</v>
      </c>
      <c r="AD743" t="n">
        <v>6622261540</v>
      </c>
      <c r="AE743" t="n">
        <v>1</v>
      </c>
      <c r="AF743" t="inlineStr">
        <is>
          <t>ENTREGADO</t>
        </is>
      </c>
      <c r="AG743" t="n">
        <v>1.5</v>
      </c>
      <c r="AH743" t="inlineStr">
        <is>
          <t>M3</t>
        </is>
      </c>
      <c r="AI743" t="inlineStr">
        <is>
          <t>X</t>
        </is>
      </c>
      <c r="AJ743" t="n">
        <v>4</v>
      </c>
      <c r="AK743" t="inlineStr">
        <is>
          <t>V4</t>
        </is>
      </c>
      <c r="AL743" t="n">
        <v>20260428</v>
      </c>
      <c r="AM743" t="inlineStr">
        <is>
          <t>D836-900009460-10276711</t>
        </is>
      </c>
    </row>
    <row r="744">
      <c r="A744" t="inlineStr">
        <is>
          <t>900006371D8366677927610000627</t>
        </is>
      </c>
      <c r="B744" t="inlineStr">
        <is>
          <t>4600048255-130</t>
        </is>
      </c>
      <c r="C744" t="n">
        <v>4600048255</v>
      </c>
      <c r="D744" t="n">
        <v>130</v>
      </c>
      <c r="E744" t="inlineStr">
        <is>
          <t>MXPO</t>
        </is>
      </c>
      <c r="F744" t="inlineStr">
        <is>
          <t>MXL</t>
        </is>
      </c>
      <c r="G744" t="n">
        <v>900006371</v>
      </c>
      <c r="H744" t="inlineStr">
        <is>
          <t>SF TP-ED-TRIVOMEX</t>
        </is>
      </c>
      <c r="I744" t="n">
        <v>5033501</v>
      </c>
      <c r="J744" t="inlineStr">
        <is>
          <t>TRITURADOS VOLCANICOS DE MEXICO</t>
        </is>
      </c>
      <c r="K744" t="inlineStr">
        <is>
          <t>Z04</t>
        </is>
      </c>
      <c r="L744" t="inlineStr">
        <is>
          <t>(AP) 30 Dias</t>
        </is>
      </c>
      <c r="M744" t="n">
        <v>10000627</v>
      </c>
      <c r="N744" t="inlineStr">
        <is>
          <t>Grava Triturada Andesita 10 mm - 3/8"</t>
        </is>
      </c>
      <c r="O744" t="inlineStr">
        <is>
          <t>D836</t>
        </is>
      </c>
      <c r="P744" t="inlineStr">
        <is>
          <t>MX-CED. CENTRO</t>
        </is>
      </c>
      <c r="Q744" t="n">
        <v>20201015</v>
      </c>
      <c r="R744" t="n">
        <v>20291231</v>
      </c>
      <c r="S744" t="n">
        <v>20260420</v>
      </c>
      <c r="T744" t="n">
        <v>20301231</v>
      </c>
      <c r="U744" t="n">
        <v>253</v>
      </c>
      <c r="V744" t="inlineStr">
        <is>
          <t>MXN</t>
        </is>
      </c>
      <c r="W744" t="inlineStr">
        <is>
          <t>M3</t>
        </is>
      </c>
      <c r="X744" t="n">
        <v>168</v>
      </c>
      <c r="Y744" t="inlineStr">
        <is>
          <t>MXN</t>
        </is>
      </c>
      <c r="Z744" t="inlineStr">
        <is>
          <t>M3</t>
        </is>
      </c>
      <c r="AA744" t="inlineStr">
        <is>
          <t>66779276</t>
        </is>
      </c>
      <c r="AB744" t="inlineStr">
        <is>
          <t>TVega Concretos</t>
        </is>
      </c>
      <c r="AC744" t="n">
        <v>56103637</v>
      </c>
      <c r="AD744" t="n">
        <v>6622261540</v>
      </c>
      <c r="AE744" t="n">
        <v>4</v>
      </c>
      <c r="AF744" t="inlineStr">
        <is>
          <t>ENTREGA DIRECTA</t>
        </is>
      </c>
      <c r="AG744" t="n">
        <v>1.33</v>
      </c>
      <c r="AH744" t="inlineStr">
        <is>
          <t>M3</t>
        </is>
      </c>
      <c r="AI744" t="inlineStr">
        <is>
          <t>X</t>
        </is>
      </c>
      <c r="AJ744" t="n">
        <v>4</v>
      </c>
      <c r="AK744" t="inlineStr">
        <is>
          <t>V4</t>
        </is>
      </c>
      <c r="AL744" t="n">
        <v>20260426</v>
      </c>
      <c r="AM744" t="inlineStr">
        <is>
          <t>D836-900006371-66779276-10000627-4</t>
        </is>
      </c>
    </row>
    <row r="745">
      <c r="A745" t="inlineStr">
        <is>
          <t>900006542D83610058345</t>
        </is>
      </c>
      <c r="B745" t="inlineStr">
        <is>
          <t>4600047341-600</t>
        </is>
      </c>
      <c r="C745" t="n">
        <v>4600047341</v>
      </c>
      <c r="D745" t="n">
        <v>600</v>
      </c>
      <c r="E745" t="inlineStr">
        <is>
          <t>MXPO</t>
        </is>
      </c>
      <c r="F745" t="inlineStr">
        <is>
          <t>MXL</t>
        </is>
      </c>
      <c r="G745" t="n">
        <v>900006542</v>
      </c>
      <c r="H745" t="inlineStr">
        <is>
          <t>TP-OLIELL TORTON</t>
        </is>
      </c>
      <c r="I745" t="n">
        <v>5048484</v>
      </c>
      <c r="J745" t="inlineStr">
        <is>
          <t>COMERCIALIZADORA Y TRANSPORTADORA O</t>
        </is>
      </c>
      <c r="K745" t="inlineStr">
        <is>
          <t>N90</t>
        </is>
      </c>
      <c r="L745" t="inlineStr">
        <is>
          <t>(AP) NAFIN 90 Dias</t>
        </is>
      </c>
      <c r="M745" t="n">
        <v>10058345</v>
      </c>
      <c r="N745" t="inlineStr">
        <is>
          <t>Arena Triturada Caliza Malla 4</t>
        </is>
      </c>
      <c r="O745" t="inlineStr">
        <is>
          <t>D836</t>
        </is>
      </c>
      <c r="P745" t="inlineStr">
        <is>
          <t>MX-CED. CENTRO</t>
        </is>
      </c>
      <c r="Q745" t="n">
        <v>20200615</v>
      </c>
      <c r="R745" t="n">
        <v>20281231</v>
      </c>
      <c r="S745" t="n">
        <v>20260320</v>
      </c>
      <c r="T745" t="n">
        <v>20301231</v>
      </c>
      <c r="U745" t="n">
        <v>1104.6</v>
      </c>
      <c r="V745" t="inlineStr">
        <is>
          <t>MXN</t>
        </is>
      </c>
      <c r="W745" t="inlineStr">
        <is>
          <t>M3</t>
        </is>
      </c>
      <c r="X745" t="n">
        <v>0</v>
      </c>
      <c r="Y745" t="inlineStr">
        <is>
          <t>MXN</t>
        </is>
      </c>
      <c r="Z745" t="inlineStr">
        <is>
          <t>M3</t>
        </is>
      </c>
      <c r="AC745" t="n">
        <v>56103638</v>
      </c>
      <c r="AD745" t="n">
        <v>6622261540</v>
      </c>
      <c r="AE745" t="n">
        <v>1</v>
      </c>
      <c r="AF745" t="inlineStr">
        <is>
          <t>ENTREGADO</t>
        </is>
      </c>
      <c r="AG745" t="n">
        <v>1.575</v>
      </c>
      <c r="AH745" t="inlineStr">
        <is>
          <t>M3</t>
        </is>
      </c>
      <c r="AI745" t="inlineStr">
        <is>
          <t>X</t>
        </is>
      </c>
      <c r="AJ745" t="n">
        <v>4</v>
      </c>
      <c r="AK745" t="inlineStr">
        <is>
          <t>V4</t>
        </is>
      </c>
      <c r="AL745" t="n">
        <v>20260323</v>
      </c>
      <c r="AM745" t="inlineStr">
        <is>
          <t>D836-900006542-10058345</t>
        </is>
      </c>
    </row>
    <row r="746">
      <c r="A746" t="inlineStr">
        <is>
          <t>900006542D83610227598</t>
        </is>
      </c>
      <c r="B746" t="inlineStr">
        <is>
          <t>4600068541-10</t>
        </is>
      </c>
      <c r="C746" t="n">
        <v>4600068541</v>
      </c>
      <c r="D746" t="n">
        <v>10</v>
      </c>
      <c r="E746" t="inlineStr">
        <is>
          <t>MXPO</t>
        </is>
      </c>
      <c r="F746" t="inlineStr">
        <is>
          <t>MXL</t>
        </is>
      </c>
      <c r="G746" t="n">
        <v>900006542</v>
      </c>
      <c r="H746" t="inlineStr">
        <is>
          <t>TP-OLIELL TORTON</t>
        </is>
      </c>
      <c r="I746" t="n">
        <v>5048484</v>
      </c>
      <c r="J746" t="inlineStr">
        <is>
          <t>COMERCIALIZADORA Y TRANSPORTADORA O</t>
        </is>
      </c>
      <c r="K746" t="inlineStr">
        <is>
          <t>N90</t>
        </is>
      </c>
      <c r="L746" t="inlineStr">
        <is>
          <t>(AP) NAFIN 90 Dias</t>
        </is>
      </c>
      <c r="M746" t="n">
        <v>10227598</v>
      </c>
      <c r="N746" t="inlineStr">
        <is>
          <t>ARENA ANDESITA LIGERA</t>
        </is>
      </c>
      <c r="O746" t="inlineStr">
        <is>
          <t>D836</t>
        </is>
      </c>
      <c r="P746" t="inlineStr">
        <is>
          <t>MX-CED. CENTRO</t>
        </is>
      </c>
      <c r="Q746" t="n">
        <v>20230927</v>
      </c>
      <c r="R746" t="n">
        <v>20281231</v>
      </c>
      <c r="S746" t="n">
        <v>20230927</v>
      </c>
      <c r="T746" t="n">
        <v>20281231</v>
      </c>
      <c r="U746" t="n">
        <v>82.5</v>
      </c>
      <c r="V746" t="inlineStr">
        <is>
          <t>MXN</t>
        </is>
      </c>
      <c r="W746" t="inlineStr">
        <is>
          <t>M3</t>
        </is>
      </c>
      <c r="X746" t="n">
        <v>0</v>
      </c>
      <c r="Y746" t="inlineStr">
        <is>
          <t>MXN</t>
        </is>
      </c>
      <c r="Z746" t="inlineStr">
        <is>
          <t>M3</t>
        </is>
      </c>
      <c r="AC746" t="n">
        <v>56103638</v>
      </c>
      <c r="AD746" t="n">
        <v>6622261540</v>
      </c>
      <c r="AE746" t="n">
        <v>1</v>
      </c>
      <c r="AF746" t="inlineStr">
        <is>
          <t>ENTREGADO</t>
        </is>
      </c>
      <c r="AG746" t="n">
        <v>1.185</v>
      </c>
      <c r="AH746" t="inlineStr">
        <is>
          <t>M3</t>
        </is>
      </c>
      <c r="AI746" t="inlineStr">
        <is>
          <t>X</t>
        </is>
      </c>
      <c r="AJ746" t="n">
        <v>4</v>
      </c>
      <c r="AK746" t="inlineStr">
        <is>
          <t>V4</t>
        </is>
      </c>
      <c r="AL746" t="n">
        <v>20230928</v>
      </c>
      <c r="AM746" t="inlineStr">
        <is>
          <t>D836-900006542-10227598</t>
        </is>
      </c>
    </row>
    <row r="747">
      <c r="A747" t="inlineStr">
        <is>
          <t>900007321D8366544038410000627</t>
        </is>
      </c>
      <c r="B747" t="inlineStr">
        <is>
          <t>4600052061-140</t>
        </is>
      </c>
      <c r="C747" t="n">
        <v>4600052061</v>
      </c>
      <c r="D747" t="n">
        <v>140</v>
      </c>
      <c r="E747" t="inlineStr">
        <is>
          <t>MXPO</t>
        </is>
      </c>
      <c r="F747" t="inlineStr">
        <is>
          <t>MXL</t>
        </is>
      </c>
      <c r="G747" t="n">
        <v>900007321</v>
      </c>
      <c r="H747" t="inlineStr">
        <is>
          <t>SF TP-ED-LOMA ANCHA SC</t>
        </is>
      </c>
      <c r="I747" t="n">
        <v>5047262</v>
      </c>
      <c r="J747" t="inlineStr">
        <is>
          <t>AGREGADOS PETREOS SAN CRISTOBAL</t>
        </is>
      </c>
      <c r="K747" t="inlineStr">
        <is>
          <t>Z03</t>
        </is>
      </c>
      <c r="L747" t="inlineStr">
        <is>
          <t>(AP) 15 Dias</t>
        </is>
      </c>
      <c r="M747" t="n">
        <v>10000627</v>
      </c>
      <c r="N747" t="inlineStr">
        <is>
          <t>Grava Triturada Andesita 10 mm - 3/8"</t>
        </is>
      </c>
      <c r="O747" t="inlineStr">
        <is>
          <t>D836</t>
        </is>
      </c>
      <c r="P747" t="inlineStr">
        <is>
          <t>MX-CED. CENTRO</t>
        </is>
      </c>
      <c r="Q747" t="n">
        <v>20210928</v>
      </c>
      <c r="R747" t="n">
        <v>20291231</v>
      </c>
      <c r="S747" t="n">
        <v>20260420</v>
      </c>
      <c r="T747" t="n">
        <v>20301231</v>
      </c>
      <c r="U747" t="n">
        <v>260</v>
      </c>
      <c r="V747" t="inlineStr">
        <is>
          <t>MXN</t>
        </is>
      </c>
      <c r="W747" t="inlineStr">
        <is>
          <t>M3</t>
        </is>
      </c>
      <c r="X747" t="n">
        <v>190</v>
      </c>
      <c r="Y747" t="inlineStr">
        <is>
          <t>MXN</t>
        </is>
      </c>
      <c r="Z747" t="inlineStr">
        <is>
          <t>M3</t>
        </is>
      </c>
      <c r="AA747" t="inlineStr">
        <is>
          <t>65440384</t>
        </is>
      </c>
      <c r="AB747" t="inlineStr">
        <is>
          <t>INDUSTRIAL BLOQUERA MEXICANA SA DE</t>
        </is>
      </c>
      <c r="AC747" t="n">
        <v>56103637</v>
      </c>
      <c r="AD747" t="n">
        <v>6622261540</v>
      </c>
      <c r="AE747" t="n">
        <v>4</v>
      </c>
      <c r="AF747" t="inlineStr">
        <is>
          <t>ENTREGA DIRECTA</t>
        </is>
      </c>
      <c r="AG747" t="n">
        <v>1.33</v>
      </c>
      <c r="AH747" t="inlineStr">
        <is>
          <t>M3</t>
        </is>
      </c>
      <c r="AI747" t="inlineStr">
        <is>
          <t>X</t>
        </is>
      </c>
      <c r="AJ747" t="n">
        <v>4</v>
      </c>
      <c r="AK747" t="inlineStr">
        <is>
          <t>V4</t>
        </is>
      </c>
      <c r="AL747" t="n">
        <v>20260426</v>
      </c>
      <c r="AM747" t="inlineStr">
        <is>
          <t>D836-900007321-65440384-10000627-4</t>
        </is>
      </c>
    </row>
    <row r="748">
      <c r="A748" t="inlineStr">
        <is>
          <t>900009140D8366501645110221480</t>
        </is>
      </c>
      <c r="B748" t="inlineStr">
        <is>
          <t>4600070959-20</t>
        </is>
      </c>
      <c r="C748" t="n">
        <v>4600070959</v>
      </c>
      <c r="D748" t="n">
        <v>20</v>
      </c>
      <c r="E748" t="inlineStr">
        <is>
          <t>MXPO</t>
        </is>
      </c>
      <c r="F748" t="inlineStr">
        <is>
          <t>MXL</t>
        </is>
      </c>
      <c r="G748" t="n">
        <v>900009140</v>
      </c>
      <c r="H748" t="inlineStr">
        <is>
          <t>SF TP-ED CONCRETOS Y PAVIMENTOS</t>
        </is>
      </c>
      <c r="I748" t="n">
        <v>5089601</v>
      </c>
      <c r="J748" t="inlineStr">
        <is>
          <t>CONCRETOS Y PAVIMENTOS EXTERIORES S</t>
        </is>
      </c>
      <c r="K748" t="inlineStr">
        <is>
          <t>N90</t>
        </is>
      </c>
      <c r="L748" t="inlineStr">
        <is>
          <t>(AP) NAFIN 90 Dias</t>
        </is>
      </c>
      <c r="M748" t="n">
        <v>10221480</v>
      </c>
      <c r="N748" t="inlineStr">
        <is>
          <t>GRAVA TRITURADA CALIZA 13 MM - 1/2"</t>
        </is>
      </c>
      <c r="O748" t="inlineStr">
        <is>
          <t>D836</t>
        </is>
      </c>
      <c r="P748" t="inlineStr">
        <is>
          <t>MX-CED. CENTRO</t>
        </is>
      </c>
      <c r="Q748" t="n">
        <v>20250304</v>
      </c>
      <c r="R748" t="n">
        <v>20301231</v>
      </c>
      <c r="S748" t="n">
        <v>20260424</v>
      </c>
      <c r="T748" t="n">
        <v>20301231</v>
      </c>
      <c r="U748" t="n">
        <v>382.07</v>
      </c>
      <c r="V748" t="inlineStr">
        <is>
          <t>MXN</t>
        </is>
      </c>
      <c r="W748" t="inlineStr">
        <is>
          <t>TN</t>
        </is>
      </c>
      <c r="X748" t="n">
        <v>200</v>
      </c>
      <c r="Y748" t="inlineStr">
        <is>
          <t>MXN</t>
        </is>
      </c>
      <c r="Z748" t="inlineStr">
        <is>
          <t>TN</t>
        </is>
      </c>
      <c r="AA748" t="inlineStr">
        <is>
          <t>65016451</t>
        </is>
      </c>
      <c r="AB748" t="inlineStr">
        <is>
          <t>FACHADAS PREFABRICADAS SA DE CV.</t>
        </is>
      </c>
      <c r="AC748" t="n">
        <v>56103637</v>
      </c>
      <c r="AD748" t="n">
        <v>6622261540</v>
      </c>
      <c r="AE748" t="n">
        <v>4</v>
      </c>
      <c r="AF748" t="inlineStr">
        <is>
          <t>ENTREGA DIRECTA</t>
        </is>
      </c>
      <c r="AG748" t="n">
        <v>1</v>
      </c>
      <c r="AH748" t="inlineStr">
        <is>
          <t>TO</t>
        </is>
      </c>
      <c r="AI748" t="inlineStr">
        <is>
          <t>X</t>
        </is>
      </c>
      <c r="AJ748" t="n">
        <v>4</v>
      </c>
      <c r="AK748" t="inlineStr">
        <is>
          <t>V4</t>
        </is>
      </c>
      <c r="AL748" t="n">
        <v>20260426</v>
      </c>
      <c r="AM748" t="inlineStr">
        <is>
          <t>D836-900009140-65016451-10221480-4</t>
        </is>
      </c>
    </row>
    <row r="749">
      <c r="A749" t="inlineStr">
        <is>
          <t>900006371D8366544038410000160</t>
        </is>
      </c>
      <c r="B749" t="inlineStr">
        <is>
          <t>4600048255-270</t>
        </is>
      </c>
      <c r="C749" t="n">
        <v>4600048255</v>
      </c>
      <c r="D749" t="n">
        <v>270</v>
      </c>
      <c r="E749" t="inlineStr">
        <is>
          <t>MXPO</t>
        </is>
      </c>
      <c r="F749" t="inlineStr">
        <is>
          <t>MXL</t>
        </is>
      </c>
      <c r="G749" t="n">
        <v>900006371</v>
      </c>
      <c r="H749" t="inlineStr">
        <is>
          <t>SF TP-ED-TRIVOMEX</t>
        </is>
      </c>
      <c r="I749" t="n">
        <v>5033501</v>
      </c>
      <c r="J749" t="inlineStr">
        <is>
          <t>TRITURADOS VOLCANICOS DE MEXICO</t>
        </is>
      </c>
      <c r="K749" t="inlineStr">
        <is>
          <t>Z04</t>
        </is>
      </c>
      <c r="L749" t="inlineStr">
        <is>
          <t>(AP) 30 Dias</t>
        </is>
      </c>
      <c r="M749" t="n">
        <v>10000160</v>
      </c>
      <c r="N749" t="inlineStr">
        <is>
          <t>Arena Triturada Andesita Malla 4</t>
        </is>
      </c>
      <c r="O749" t="inlineStr">
        <is>
          <t>D836</t>
        </is>
      </c>
      <c r="P749" t="inlineStr">
        <is>
          <t>MX-CED. CENTRO</t>
        </is>
      </c>
      <c r="Q749" t="n">
        <v>20201015</v>
      </c>
      <c r="R749" t="n">
        <v>20291231</v>
      </c>
      <c r="S749" t="n">
        <v>20260420</v>
      </c>
      <c r="T749" t="n">
        <v>20301231</v>
      </c>
      <c r="U749" t="n">
        <v>293</v>
      </c>
      <c r="V749" t="inlineStr">
        <is>
          <t>MXN</t>
        </is>
      </c>
      <c r="W749" t="inlineStr">
        <is>
          <t>M3</t>
        </is>
      </c>
      <c r="X749" t="n">
        <v>176</v>
      </c>
      <c r="Y749" t="inlineStr">
        <is>
          <t>MXN</t>
        </is>
      </c>
      <c r="Z749" t="inlineStr">
        <is>
          <t>M3</t>
        </is>
      </c>
      <c r="AA749" t="inlineStr">
        <is>
          <t>65440384</t>
        </is>
      </c>
      <c r="AB749" t="inlineStr">
        <is>
          <t>INDUSTRIAL BLOQUERA MEXICANA SA DE</t>
        </is>
      </c>
      <c r="AC749" t="n">
        <v>56103638</v>
      </c>
      <c r="AD749" t="n">
        <v>6622261540</v>
      </c>
      <c r="AE749" t="n">
        <v>4</v>
      </c>
      <c r="AF749" t="inlineStr">
        <is>
          <t>ENTREGA DIRECTA</t>
        </is>
      </c>
      <c r="AG749" t="n">
        <v>1.409</v>
      </c>
      <c r="AH749" t="inlineStr">
        <is>
          <t>M3</t>
        </is>
      </c>
      <c r="AI749" t="inlineStr">
        <is>
          <t>X</t>
        </is>
      </c>
      <c r="AJ749" t="n">
        <v>4</v>
      </c>
      <c r="AK749" t="inlineStr">
        <is>
          <t>V4</t>
        </is>
      </c>
      <c r="AL749" t="n">
        <v>20260426</v>
      </c>
      <c r="AM749" t="inlineStr">
        <is>
          <t>D836-900006371-65440384-10000160-4</t>
        </is>
      </c>
    </row>
    <row r="750">
      <c r="A750" t="inlineStr">
        <is>
          <t>900006371D8366677927610000357</t>
        </is>
      </c>
      <c r="B750" t="inlineStr">
        <is>
          <t>4600048255-140</t>
        </is>
      </c>
      <c r="C750" t="n">
        <v>4600048255</v>
      </c>
      <c r="D750" t="n">
        <v>140</v>
      </c>
      <c r="E750" t="inlineStr">
        <is>
          <t>MXPO</t>
        </is>
      </c>
      <c r="F750" t="inlineStr">
        <is>
          <t>MXL</t>
        </is>
      </c>
      <c r="G750" t="n">
        <v>900006371</v>
      </c>
      <c r="H750" t="inlineStr">
        <is>
          <t>SF TP-ED-TRIVOMEX</t>
        </is>
      </c>
      <c r="I750" t="n">
        <v>5033501</v>
      </c>
      <c r="J750" t="inlineStr">
        <is>
          <t>TRITURADOS VOLCANICOS DE MEXICO</t>
        </is>
      </c>
      <c r="K750" t="inlineStr">
        <is>
          <t>Z04</t>
        </is>
      </c>
      <c r="L750" t="inlineStr">
        <is>
          <t>(AP) 30 Dias</t>
        </is>
      </c>
      <c r="M750" t="n">
        <v>10000357</v>
      </c>
      <c r="N750" t="inlineStr">
        <is>
          <t>Grava Triturada Andesita 20 mm - 3/4"</t>
        </is>
      </c>
      <c r="O750" t="inlineStr">
        <is>
          <t>D836</t>
        </is>
      </c>
      <c r="P750" t="inlineStr">
        <is>
          <t>MX-CED. CENTRO</t>
        </is>
      </c>
      <c r="Q750" t="n">
        <v>20201015</v>
      </c>
      <c r="R750" t="n">
        <v>20291231</v>
      </c>
      <c r="S750" t="n">
        <v>20260420</v>
      </c>
      <c r="T750" t="n">
        <v>20301231</v>
      </c>
      <c r="U750" t="n">
        <v>305</v>
      </c>
      <c r="V750" t="inlineStr">
        <is>
          <t>MXN</t>
        </is>
      </c>
      <c r="W750" t="inlineStr">
        <is>
          <t>M3</t>
        </is>
      </c>
      <c r="X750" t="n">
        <v>168</v>
      </c>
      <c r="Y750" t="inlineStr">
        <is>
          <t>MXN</t>
        </is>
      </c>
      <c r="Z750" t="inlineStr">
        <is>
          <t>M3</t>
        </is>
      </c>
      <c r="AA750" t="inlineStr">
        <is>
          <t>66779276</t>
        </is>
      </c>
      <c r="AB750" t="inlineStr">
        <is>
          <t>TVega Concretos</t>
        </is>
      </c>
      <c r="AC750" t="n">
        <v>56103637</v>
      </c>
      <c r="AD750" t="n">
        <v>6622261540</v>
      </c>
      <c r="AE750" t="n">
        <v>4</v>
      </c>
      <c r="AF750" t="inlineStr">
        <is>
          <t>ENTREGA DIRECTA</t>
        </is>
      </c>
      <c r="AG750" t="n">
        <v>1.326</v>
      </c>
      <c r="AH750" t="inlineStr">
        <is>
          <t>M3</t>
        </is>
      </c>
      <c r="AI750" t="inlineStr">
        <is>
          <t>X</t>
        </is>
      </c>
      <c r="AJ750" t="n">
        <v>4</v>
      </c>
      <c r="AK750" t="inlineStr">
        <is>
          <t>V4</t>
        </is>
      </c>
      <c r="AL750" t="n">
        <v>20260426</v>
      </c>
      <c r="AM750" t="inlineStr">
        <is>
          <t>D836-900006371-66779276-10000357-4</t>
        </is>
      </c>
    </row>
    <row r="751">
      <c r="A751" t="inlineStr">
        <is>
          <t>900006371D8366501466410000627</t>
        </is>
      </c>
      <c r="B751" t="inlineStr">
        <is>
          <t>4600048255-300</t>
        </is>
      </c>
      <c r="C751" t="n">
        <v>4600048255</v>
      </c>
      <c r="D751" t="n">
        <v>300</v>
      </c>
      <c r="E751" t="inlineStr">
        <is>
          <t>MXPO</t>
        </is>
      </c>
      <c r="F751" t="inlineStr">
        <is>
          <t>MXL</t>
        </is>
      </c>
      <c r="G751" t="n">
        <v>900006371</v>
      </c>
      <c r="H751" t="inlineStr">
        <is>
          <t>SF TP-ED-TRIVOMEX</t>
        </is>
      </c>
      <c r="I751" t="n">
        <v>5033501</v>
      </c>
      <c r="J751" t="inlineStr">
        <is>
          <t>TRITURADOS VOLCANICOS DE MEXICO</t>
        </is>
      </c>
      <c r="K751" t="inlineStr">
        <is>
          <t>Z04</t>
        </is>
      </c>
      <c r="L751" t="inlineStr">
        <is>
          <t>(AP) 30 Dias</t>
        </is>
      </c>
      <c r="M751" t="n">
        <v>10000627</v>
      </c>
      <c r="N751" t="inlineStr">
        <is>
          <t>Grava Triturada Andesita 10 mm - 3/8"</t>
        </is>
      </c>
      <c r="O751" t="inlineStr">
        <is>
          <t>D836</t>
        </is>
      </c>
      <c r="P751" t="inlineStr">
        <is>
          <t>MX-CED. CENTRO</t>
        </is>
      </c>
      <c r="Q751" t="n">
        <v>20201015</v>
      </c>
      <c r="R751" t="n">
        <v>20291231</v>
      </c>
      <c r="S751" t="n">
        <v>20260420</v>
      </c>
      <c r="T751" t="n">
        <v>20301231</v>
      </c>
      <c r="U751" t="n">
        <v>205</v>
      </c>
      <c r="V751" t="inlineStr">
        <is>
          <t>MXN</t>
        </is>
      </c>
      <c r="W751" t="inlineStr">
        <is>
          <t>M3</t>
        </is>
      </c>
      <c r="X751" t="n">
        <v>100</v>
      </c>
      <c r="Y751" t="inlineStr">
        <is>
          <t>MXN</t>
        </is>
      </c>
      <c r="Z751" t="inlineStr">
        <is>
          <t>M3</t>
        </is>
      </c>
      <c r="AA751" t="inlineStr">
        <is>
          <t>65014664</t>
        </is>
      </c>
      <c r="AB751" t="inlineStr">
        <is>
          <t>OBR-AGR IBM (DLC)</t>
        </is>
      </c>
      <c r="AC751" t="n">
        <v>56103637</v>
      </c>
      <c r="AD751" t="n">
        <v>6622261540</v>
      </c>
      <c r="AE751" t="n">
        <v>4</v>
      </c>
      <c r="AF751" t="inlineStr">
        <is>
          <t>ENTREGA DIRECTA</t>
        </is>
      </c>
      <c r="AG751" t="n">
        <v>1.33</v>
      </c>
      <c r="AH751" t="inlineStr">
        <is>
          <t>M3</t>
        </is>
      </c>
      <c r="AI751" t="inlineStr">
        <is>
          <t>X</t>
        </is>
      </c>
      <c r="AJ751" t="n">
        <v>4</v>
      </c>
      <c r="AK751" t="inlineStr">
        <is>
          <t>V4</t>
        </is>
      </c>
      <c r="AL751" t="n">
        <v>20260426</v>
      </c>
      <c r="AM751" t="inlineStr">
        <is>
          <t>D836-900006371-65014664-10000627-4</t>
        </is>
      </c>
    </row>
    <row r="752">
      <c r="A752" t="inlineStr">
        <is>
          <t>900009460D83610274754</t>
        </is>
      </c>
      <c r="B752" t="inlineStr">
        <is>
          <t>4600071933-30</t>
        </is>
      </c>
      <c r="C752" t="n">
        <v>4600071933</v>
      </c>
      <c r="D752" t="n">
        <v>30</v>
      </c>
      <c r="E752" t="inlineStr">
        <is>
          <t>MXPO</t>
        </is>
      </c>
      <c r="F752" t="inlineStr">
        <is>
          <t>MXL</t>
        </is>
      </c>
      <c r="G752" t="n">
        <v>900009460</v>
      </c>
      <c r="H752" t="inlineStr">
        <is>
          <t>SF TP-PITUFOS</t>
        </is>
      </c>
      <c r="I752" t="n">
        <v>5010165</v>
      </c>
      <c r="J752" t="inlineStr">
        <is>
          <t>AGREGADOS COMO S.A. DE C.V.</t>
        </is>
      </c>
      <c r="K752" t="inlineStr">
        <is>
          <t>N60</t>
        </is>
      </c>
      <c r="L752" t="inlineStr">
        <is>
          <t>(AP) NAFIN 60 Dias</t>
        </is>
      </c>
      <c r="M752" t="n">
        <v>10274754</v>
      </c>
      <c r="N752" t="inlineStr">
        <is>
          <t>MP GRAVA TRIT. ANDESITA 20 MM - 3/4"</t>
        </is>
      </c>
      <c r="O752" t="inlineStr">
        <is>
          <t>D836</t>
        </is>
      </c>
      <c r="P752" t="inlineStr">
        <is>
          <t>MX-CED. CENTRO</t>
        </is>
      </c>
      <c r="Q752" t="n">
        <v>20260123</v>
      </c>
      <c r="R752" t="n">
        <v>20301231</v>
      </c>
      <c r="S752" t="n">
        <v>20260318</v>
      </c>
      <c r="T752" t="n">
        <v>20301231</v>
      </c>
      <c r="U752" t="n">
        <v>146.55</v>
      </c>
      <c r="V752" t="inlineStr">
        <is>
          <t>MXN</t>
        </is>
      </c>
      <c r="W752" t="inlineStr">
        <is>
          <t>M3</t>
        </is>
      </c>
      <c r="X752" t="n">
        <v>0</v>
      </c>
      <c r="Y752" t="inlineStr">
        <is>
          <t>MXN</t>
        </is>
      </c>
      <c r="Z752" t="inlineStr">
        <is>
          <t>M3</t>
        </is>
      </c>
      <c r="AC752" t="n">
        <v>56103637</v>
      </c>
      <c r="AD752" t="n">
        <v>6622261540</v>
      </c>
      <c r="AE752" t="n">
        <v>1</v>
      </c>
      <c r="AF752" t="inlineStr">
        <is>
          <t>ENTREGADO</t>
        </is>
      </c>
      <c r="AG752" t="n">
        <v>1.397</v>
      </c>
      <c r="AH752" t="inlineStr">
        <is>
          <t>M3</t>
        </is>
      </c>
      <c r="AI752" t="inlineStr">
        <is>
          <t>X</t>
        </is>
      </c>
      <c r="AJ752" t="n">
        <v>4</v>
      </c>
      <c r="AK752" t="inlineStr">
        <is>
          <t>V4</t>
        </is>
      </c>
      <c r="AL752" t="n">
        <v>20260324</v>
      </c>
      <c r="AM752" t="inlineStr">
        <is>
          <t>D836-900009460-10274754</t>
        </is>
      </c>
    </row>
    <row r="753">
      <c r="A753" t="inlineStr">
        <is>
          <t>900006542D83610000623</t>
        </is>
      </c>
      <c r="B753" t="inlineStr">
        <is>
          <t>4600047341-610</t>
        </is>
      </c>
      <c r="C753" t="n">
        <v>4600047341</v>
      </c>
      <c r="D753" t="n">
        <v>610</v>
      </c>
      <c r="E753" t="inlineStr">
        <is>
          <t>MXPO</t>
        </is>
      </c>
      <c r="F753" t="inlineStr">
        <is>
          <t>MXL</t>
        </is>
      </c>
      <c r="G753" t="n">
        <v>900006542</v>
      </c>
      <c r="H753" t="inlineStr">
        <is>
          <t>TP-OLIELL TORTON</t>
        </is>
      </c>
      <c r="I753" t="n">
        <v>5048484</v>
      </c>
      <c r="J753" t="inlineStr">
        <is>
          <t>COMERCIALIZADORA Y TRANSPORTADORA O</t>
        </is>
      </c>
      <c r="K753" t="inlineStr">
        <is>
          <t>N90</t>
        </is>
      </c>
      <c r="L753" t="inlineStr">
        <is>
          <t>(AP) NAFIN 90 Dias</t>
        </is>
      </c>
      <c r="M753" t="n">
        <v>10000623</v>
      </c>
      <c r="N753" t="inlineStr">
        <is>
          <t>Grava Triturada Caliza 10 mm - 3/8"</t>
        </is>
      </c>
      <c r="O753" t="inlineStr">
        <is>
          <t>D836</t>
        </is>
      </c>
      <c r="P753" t="inlineStr">
        <is>
          <t>MX-CED. CENTRO</t>
        </is>
      </c>
      <c r="Q753" t="n">
        <v>20200615</v>
      </c>
      <c r="R753" t="n">
        <v>20281231</v>
      </c>
      <c r="S753" t="n">
        <v>20260320</v>
      </c>
      <c r="T753" t="n">
        <v>20301231</v>
      </c>
      <c r="U753" t="n">
        <v>1260</v>
      </c>
      <c r="V753" t="inlineStr">
        <is>
          <t>MXN</t>
        </is>
      </c>
      <c r="W753" t="inlineStr">
        <is>
          <t>M3</t>
        </is>
      </c>
      <c r="X753" t="n">
        <v>0</v>
      </c>
      <c r="Y753" t="inlineStr">
        <is>
          <t>MXN</t>
        </is>
      </c>
      <c r="Z753" t="inlineStr">
        <is>
          <t>M3</t>
        </is>
      </c>
      <c r="AC753" t="n">
        <v>56103637</v>
      </c>
      <c r="AD753" t="n">
        <v>6622261540</v>
      </c>
      <c r="AE753" t="n">
        <v>1</v>
      </c>
      <c r="AF753" t="inlineStr">
        <is>
          <t>ENTREGADO</t>
        </is>
      </c>
      <c r="AG753" t="n">
        <v>1.41</v>
      </c>
      <c r="AH753" t="inlineStr">
        <is>
          <t>M3</t>
        </is>
      </c>
      <c r="AI753" t="inlineStr">
        <is>
          <t>X</t>
        </is>
      </c>
      <c r="AJ753" t="n">
        <v>4</v>
      </c>
      <c r="AK753" t="inlineStr">
        <is>
          <t>V4</t>
        </is>
      </c>
      <c r="AL753" t="n">
        <v>20260323</v>
      </c>
      <c r="AM753" t="inlineStr">
        <is>
          <t>D836-900006542-10000623</t>
        </is>
      </c>
    </row>
    <row r="754">
      <c r="A754" t="inlineStr">
        <is>
          <t>900006371D8366501466410000160</t>
        </is>
      </c>
      <c r="B754" t="inlineStr">
        <is>
          <t>4600048255-260</t>
        </is>
      </c>
      <c r="C754" t="n">
        <v>4600048255</v>
      </c>
      <c r="D754" t="n">
        <v>260</v>
      </c>
      <c r="E754" t="inlineStr">
        <is>
          <t>MXPO</t>
        </is>
      </c>
      <c r="F754" t="inlineStr">
        <is>
          <t>MXL</t>
        </is>
      </c>
      <c r="G754" t="n">
        <v>900006371</v>
      </c>
      <c r="H754" t="inlineStr">
        <is>
          <t>SF TP-ED-TRIVOMEX</t>
        </is>
      </c>
      <c r="I754" t="n">
        <v>5033501</v>
      </c>
      <c r="J754" t="inlineStr">
        <is>
          <t>TRITURADOS VOLCANICOS DE MEXICO</t>
        </is>
      </c>
      <c r="K754" t="inlineStr">
        <is>
          <t>Z04</t>
        </is>
      </c>
      <c r="L754" t="inlineStr">
        <is>
          <t>(AP) 30 Dias</t>
        </is>
      </c>
      <c r="M754" t="n">
        <v>10000160</v>
      </c>
      <c r="N754" t="inlineStr">
        <is>
          <t>Arena Triturada Andesita Malla 4</t>
        </is>
      </c>
      <c r="O754" t="inlineStr">
        <is>
          <t>D836</t>
        </is>
      </c>
      <c r="P754" t="inlineStr">
        <is>
          <t>MX-CED. CENTRO</t>
        </is>
      </c>
      <c r="Q754" t="n">
        <v>20201015</v>
      </c>
      <c r="R754" t="n">
        <v>20291231</v>
      </c>
      <c r="S754" t="n">
        <v>20260428</v>
      </c>
      <c r="T754" t="n">
        <v>20301231</v>
      </c>
      <c r="U754" t="n">
        <v>233</v>
      </c>
      <c r="V754" t="inlineStr">
        <is>
          <t>MXN</t>
        </is>
      </c>
      <c r="W754" t="inlineStr">
        <is>
          <t>M3</t>
        </is>
      </c>
      <c r="X754" t="n">
        <v>120</v>
      </c>
      <c r="Y754" t="inlineStr">
        <is>
          <t>MXN</t>
        </is>
      </c>
      <c r="Z754" t="inlineStr">
        <is>
          <t>M3</t>
        </is>
      </c>
      <c r="AA754" t="inlineStr">
        <is>
          <t>65014664</t>
        </is>
      </c>
      <c r="AB754" t="inlineStr">
        <is>
          <t>OBR-AGR IBM (DLC)</t>
        </is>
      </c>
      <c r="AC754" t="n">
        <v>56103638</v>
      </c>
      <c r="AD754" t="n">
        <v>6622261540</v>
      </c>
      <c r="AE754" t="n">
        <v>4</v>
      </c>
      <c r="AF754" t="inlineStr">
        <is>
          <t>ENTREGA DIRECTA</t>
        </is>
      </c>
      <c r="AG754" t="n">
        <v>1.409</v>
      </c>
      <c r="AH754" t="inlineStr">
        <is>
          <t>M3</t>
        </is>
      </c>
      <c r="AI754" t="inlineStr">
        <is>
          <t>X</t>
        </is>
      </c>
      <c r="AJ754" t="n">
        <v>4</v>
      </c>
      <c r="AK754" t="inlineStr">
        <is>
          <t>V4</t>
        </is>
      </c>
      <c r="AL754" t="n">
        <v>20260430</v>
      </c>
      <c r="AM754" t="inlineStr">
        <is>
          <t>D836-900006371-65014664-10000160-4</t>
        </is>
      </c>
    </row>
    <row r="755">
      <c r="A755" t="inlineStr">
        <is>
          <t>900006371D8366544038410000627</t>
        </is>
      </c>
      <c r="B755" t="inlineStr">
        <is>
          <t>4600048255-310</t>
        </is>
      </c>
      <c r="C755" t="n">
        <v>4600048255</v>
      </c>
      <c r="D755" t="n">
        <v>310</v>
      </c>
      <c r="E755" t="inlineStr">
        <is>
          <t>MXPO</t>
        </is>
      </c>
      <c r="F755" t="inlineStr">
        <is>
          <t>MXL</t>
        </is>
      </c>
      <c r="G755" t="n">
        <v>900006371</v>
      </c>
      <c r="H755" t="inlineStr">
        <is>
          <t>SF TP-ED-TRIVOMEX</t>
        </is>
      </c>
      <c r="I755" t="n">
        <v>5033501</v>
      </c>
      <c r="J755" t="inlineStr">
        <is>
          <t>TRITURADOS VOLCANICOS DE MEXICO</t>
        </is>
      </c>
      <c r="K755" t="inlineStr">
        <is>
          <t>Z04</t>
        </is>
      </c>
      <c r="L755" t="inlineStr">
        <is>
          <t>(AP) 30 Dias</t>
        </is>
      </c>
      <c r="M755" t="n">
        <v>10000627</v>
      </c>
      <c r="N755" t="inlineStr">
        <is>
          <t>Grava Triturada Andesita 10 mm - 3/8"</t>
        </is>
      </c>
      <c r="O755" t="inlineStr">
        <is>
          <t>D836</t>
        </is>
      </c>
      <c r="P755" t="inlineStr">
        <is>
          <t>MX-CED. CENTRO</t>
        </is>
      </c>
      <c r="Q755" t="n">
        <v>20201015</v>
      </c>
      <c r="R755" t="n">
        <v>20291231</v>
      </c>
      <c r="S755" t="n">
        <v>20260420</v>
      </c>
      <c r="T755" t="n">
        <v>20301231</v>
      </c>
      <c r="U755" t="n">
        <v>265</v>
      </c>
      <c r="V755" t="inlineStr">
        <is>
          <t>MXN</t>
        </is>
      </c>
      <c r="W755" t="inlineStr">
        <is>
          <t>M3</t>
        </is>
      </c>
      <c r="X755" t="n">
        <v>190</v>
      </c>
      <c r="Y755" t="inlineStr">
        <is>
          <t>MXN</t>
        </is>
      </c>
      <c r="Z755" t="inlineStr">
        <is>
          <t>M3</t>
        </is>
      </c>
      <c r="AA755" t="inlineStr">
        <is>
          <t>65440384</t>
        </is>
      </c>
      <c r="AB755" t="inlineStr">
        <is>
          <t>INDUSTRIAL BLOQUERA MEXICANA SA DE</t>
        </is>
      </c>
      <c r="AC755" t="n">
        <v>56103637</v>
      </c>
      <c r="AD755" t="n">
        <v>6622261540</v>
      </c>
      <c r="AE755" t="n">
        <v>4</v>
      </c>
      <c r="AF755" t="inlineStr">
        <is>
          <t>ENTREGA DIRECTA</t>
        </is>
      </c>
      <c r="AG755" t="n">
        <v>1.33</v>
      </c>
      <c r="AH755" t="inlineStr">
        <is>
          <t>M3</t>
        </is>
      </c>
      <c r="AI755" t="inlineStr">
        <is>
          <t>X</t>
        </is>
      </c>
      <c r="AJ755" t="n">
        <v>4</v>
      </c>
      <c r="AK755" t="inlineStr">
        <is>
          <t>V4</t>
        </is>
      </c>
      <c r="AL755" t="n">
        <v>20260426</v>
      </c>
      <c r="AM755" t="inlineStr">
        <is>
          <t>D836-900006371-65440384-10000627-4</t>
        </is>
      </c>
    </row>
    <row r="756">
      <c r="A756" t="inlineStr">
        <is>
          <t>900009140D8366501645110000133</t>
        </is>
      </c>
      <c r="B756" t="inlineStr">
        <is>
          <t>4600070959-30</t>
        </is>
      </c>
      <c r="C756" t="n">
        <v>4600070959</v>
      </c>
      <c r="D756" t="n">
        <v>30</v>
      </c>
      <c r="E756" t="inlineStr">
        <is>
          <t>MXPO</t>
        </is>
      </c>
      <c r="F756" t="inlineStr">
        <is>
          <t>MXL</t>
        </is>
      </c>
      <c r="G756" t="n">
        <v>900009140</v>
      </c>
      <c r="H756" t="inlineStr">
        <is>
          <t>SF TP-ED CONCRETOS Y PAVIMENTOS</t>
        </is>
      </c>
      <c r="I756" t="n">
        <v>5089601</v>
      </c>
      <c r="J756" t="inlineStr">
        <is>
          <t>CONCRETOS Y PAVIMENTOS EXTERIORES S</t>
        </is>
      </c>
      <c r="K756" t="inlineStr">
        <is>
          <t>N90</t>
        </is>
      </c>
      <c r="L756" t="inlineStr">
        <is>
          <t>(AP) NAFIN 90 Dias</t>
        </is>
      </c>
      <c r="M756" t="n">
        <v>10000133</v>
      </c>
      <c r="N756" t="inlineStr">
        <is>
          <t>Grava Triturada Caliza 20 mm - 3/4"</t>
        </is>
      </c>
      <c r="O756" t="inlineStr">
        <is>
          <t>D836</t>
        </is>
      </c>
      <c r="P756" t="inlineStr">
        <is>
          <t>MX-CED. CENTRO</t>
        </is>
      </c>
      <c r="Q756" t="n">
        <v>20250304</v>
      </c>
      <c r="R756" t="n">
        <v>20301231</v>
      </c>
      <c r="S756" t="n">
        <v>20260424</v>
      </c>
      <c r="T756" t="n">
        <v>20301231</v>
      </c>
      <c r="U756" t="n">
        <v>336</v>
      </c>
      <c r="V756" t="inlineStr">
        <is>
          <t>MXN</t>
        </is>
      </c>
      <c r="W756" t="inlineStr">
        <is>
          <t>TN</t>
        </is>
      </c>
      <c r="X756" t="n">
        <v>156</v>
      </c>
      <c r="Y756" t="inlineStr">
        <is>
          <t>MXN</t>
        </is>
      </c>
      <c r="Z756" t="inlineStr">
        <is>
          <t>TN</t>
        </is>
      </c>
      <c r="AA756" t="inlineStr">
        <is>
          <t>65016451</t>
        </is>
      </c>
      <c r="AB756" t="inlineStr">
        <is>
          <t>FACHADAS PREFABRICADAS SA DE CV.</t>
        </is>
      </c>
      <c r="AC756" t="n">
        <v>56103637</v>
      </c>
      <c r="AD756" t="n">
        <v>6622261540</v>
      </c>
      <c r="AE756" t="n">
        <v>4</v>
      </c>
      <c r="AF756" t="inlineStr">
        <is>
          <t>ENTREGA DIRECTA</t>
        </is>
      </c>
      <c r="AG756" t="n">
        <v>1</v>
      </c>
      <c r="AH756" t="inlineStr">
        <is>
          <t>TO</t>
        </is>
      </c>
      <c r="AI756" t="inlineStr">
        <is>
          <t>X</t>
        </is>
      </c>
      <c r="AJ756" t="n">
        <v>4</v>
      </c>
      <c r="AK756" t="inlineStr">
        <is>
          <t>V4</t>
        </is>
      </c>
      <c r="AL756" t="n">
        <v>20260426</v>
      </c>
      <c r="AM756" t="inlineStr">
        <is>
          <t>D836-900009140-65016451-10000133-4</t>
        </is>
      </c>
    </row>
    <row r="757">
      <c r="A757" t="inlineStr">
        <is>
          <t>900007321D8366501466410000160</t>
        </is>
      </c>
      <c r="B757" t="inlineStr">
        <is>
          <t>4600052061-10</t>
        </is>
      </c>
      <c r="C757" t="n">
        <v>4600052061</v>
      </c>
      <c r="D757" t="n">
        <v>10</v>
      </c>
      <c r="E757" t="inlineStr">
        <is>
          <t>MXPO</t>
        </is>
      </c>
      <c r="F757" t="inlineStr">
        <is>
          <t>MXL</t>
        </is>
      </c>
      <c r="G757" t="n">
        <v>900007321</v>
      </c>
      <c r="H757" t="inlineStr">
        <is>
          <t>SF TP-ED-LOMA ANCHA SC</t>
        </is>
      </c>
      <c r="I757" t="n">
        <v>5047262</v>
      </c>
      <c r="J757" t="inlineStr">
        <is>
          <t>AGREGADOS PETREOS SAN CRISTOBAL</t>
        </is>
      </c>
      <c r="K757" t="inlineStr">
        <is>
          <t>Z03</t>
        </is>
      </c>
      <c r="L757" t="inlineStr">
        <is>
          <t>(AP) 15 Dias</t>
        </is>
      </c>
      <c r="M757" t="n">
        <v>10000160</v>
      </c>
      <c r="N757" t="inlineStr">
        <is>
          <t>Arena Triturada Andesita Malla 4</t>
        </is>
      </c>
      <c r="O757" t="inlineStr">
        <is>
          <t>D836</t>
        </is>
      </c>
      <c r="P757" t="inlineStr">
        <is>
          <t>MX-CED. CENTRO</t>
        </is>
      </c>
      <c r="Q757" t="n">
        <v>20210928</v>
      </c>
      <c r="R757" t="n">
        <v>20291231</v>
      </c>
      <c r="S757" t="n">
        <v>20260420</v>
      </c>
      <c r="T757" t="n">
        <v>20301231</v>
      </c>
      <c r="U757" t="n">
        <v>213</v>
      </c>
      <c r="V757" t="inlineStr">
        <is>
          <t>MXN</t>
        </is>
      </c>
      <c r="W757" t="inlineStr">
        <is>
          <t>M3</t>
        </is>
      </c>
      <c r="X757" t="n">
        <v>120</v>
      </c>
      <c r="Y757" t="inlineStr">
        <is>
          <t>MXN</t>
        </is>
      </c>
      <c r="Z757" t="inlineStr">
        <is>
          <t>M3</t>
        </is>
      </c>
      <c r="AA757" t="inlineStr">
        <is>
          <t>65014664</t>
        </is>
      </c>
      <c r="AB757" t="inlineStr">
        <is>
          <t>OBR-AGR IBM (DLC)</t>
        </is>
      </c>
      <c r="AC757" t="n">
        <v>56103638</v>
      </c>
      <c r="AD757" t="n">
        <v>6622261540</v>
      </c>
      <c r="AE757" t="n">
        <v>4</v>
      </c>
      <c r="AF757" t="inlineStr">
        <is>
          <t>ENTREGA DIRECTA</t>
        </is>
      </c>
      <c r="AG757" t="n">
        <v>1.409</v>
      </c>
      <c r="AH757" t="inlineStr">
        <is>
          <t>M3</t>
        </is>
      </c>
      <c r="AI757" t="inlineStr">
        <is>
          <t>X</t>
        </is>
      </c>
      <c r="AJ757" t="n">
        <v>4</v>
      </c>
      <c r="AK757" t="inlineStr">
        <is>
          <t>V4</t>
        </is>
      </c>
      <c r="AL757" t="n">
        <v>20260426</v>
      </c>
      <c r="AM757" t="inlineStr">
        <is>
          <t>D836-900007321-65014664-10000160-4</t>
        </is>
      </c>
    </row>
    <row r="758">
      <c r="A758" t="inlineStr">
        <is>
          <t>900007321D8366501466410000627</t>
        </is>
      </c>
      <c r="B758" t="inlineStr">
        <is>
          <t>4600052061-130</t>
        </is>
      </c>
      <c r="C758" t="n">
        <v>4600052061</v>
      </c>
      <c r="D758" t="n">
        <v>130</v>
      </c>
      <c r="E758" t="inlineStr">
        <is>
          <t>MXPO</t>
        </is>
      </c>
      <c r="F758" t="inlineStr">
        <is>
          <t>MXL</t>
        </is>
      </c>
      <c r="G758" t="n">
        <v>900007321</v>
      </c>
      <c r="H758" t="inlineStr">
        <is>
          <t>SF TP-ED-LOMA ANCHA SC</t>
        </is>
      </c>
      <c r="I758" t="n">
        <v>5047262</v>
      </c>
      <c r="J758" t="inlineStr">
        <is>
          <t>AGREGADOS PETREOS SAN CRISTOBAL</t>
        </is>
      </c>
      <c r="K758" t="inlineStr">
        <is>
          <t>Z03</t>
        </is>
      </c>
      <c r="L758" t="inlineStr">
        <is>
          <t>(AP) 15 Dias</t>
        </is>
      </c>
      <c r="M758" t="n">
        <v>10000627</v>
      </c>
      <c r="N758" t="inlineStr">
        <is>
          <t>Grava Triturada Andesita 10 mm - 3/8"</t>
        </is>
      </c>
      <c r="O758" t="inlineStr">
        <is>
          <t>D836</t>
        </is>
      </c>
      <c r="P758" t="inlineStr">
        <is>
          <t>MX-CED. CENTRO</t>
        </is>
      </c>
      <c r="Q758" t="n">
        <v>20210928</v>
      </c>
      <c r="R758" t="n">
        <v>20291231</v>
      </c>
      <c r="S758" t="n">
        <v>20260420</v>
      </c>
      <c r="T758" t="n">
        <v>20301231</v>
      </c>
      <c r="U758" t="n">
        <v>200</v>
      </c>
      <c r="V758" t="inlineStr">
        <is>
          <t>MXN</t>
        </is>
      </c>
      <c r="W758" t="inlineStr">
        <is>
          <t>M3</t>
        </is>
      </c>
      <c r="X758" t="n">
        <v>100</v>
      </c>
      <c r="Y758" t="inlineStr">
        <is>
          <t>MXN</t>
        </is>
      </c>
      <c r="Z758" t="inlineStr">
        <is>
          <t>M3</t>
        </is>
      </c>
      <c r="AA758" t="inlineStr">
        <is>
          <t>65014664</t>
        </is>
      </c>
      <c r="AB758" t="inlineStr">
        <is>
          <t>OBR-AGR IBM (DLC)</t>
        </is>
      </c>
      <c r="AC758" t="n">
        <v>56103637</v>
      </c>
      <c r="AD758" t="n">
        <v>6622261540</v>
      </c>
      <c r="AE758" t="n">
        <v>4</v>
      </c>
      <c r="AF758" t="inlineStr">
        <is>
          <t>ENTREGA DIRECTA</t>
        </is>
      </c>
      <c r="AG758" t="n">
        <v>1.33</v>
      </c>
      <c r="AH758" t="inlineStr">
        <is>
          <t>M3</t>
        </is>
      </c>
      <c r="AI758" t="inlineStr">
        <is>
          <t>X</t>
        </is>
      </c>
      <c r="AJ758" t="n">
        <v>4</v>
      </c>
      <c r="AK758" t="inlineStr">
        <is>
          <t>V4</t>
        </is>
      </c>
      <c r="AL758" t="n">
        <v>20260426</v>
      </c>
      <c r="AM758" t="inlineStr">
        <is>
          <t>D836-900007321-65014664-10000627-4</t>
        </is>
      </c>
    </row>
    <row r="759">
      <c r="A759" t="inlineStr">
        <is>
          <t>900007321D8366544038410000160</t>
        </is>
      </c>
      <c r="B759" t="inlineStr">
        <is>
          <t>4600052061-30</t>
        </is>
      </c>
      <c r="C759" t="n">
        <v>4600052061</v>
      </c>
      <c r="D759" t="n">
        <v>30</v>
      </c>
      <c r="E759" t="inlineStr">
        <is>
          <t>MXPO</t>
        </is>
      </c>
      <c r="F759" t="inlineStr">
        <is>
          <t>MXL</t>
        </is>
      </c>
      <c r="G759" t="n">
        <v>900007321</v>
      </c>
      <c r="H759" t="inlineStr">
        <is>
          <t>SF TP-ED-LOMA ANCHA SC</t>
        </is>
      </c>
      <c r="I759" t="n">
        <v>5047262</v>
      </c>
      <c r="J759" t="inlineStr">
        <is>
          <t>AGREGADOS PETREOS SAN CRISTOBAL</t>
        </is>
      </c>
      <c r="K759" t="inlineStr">
        <is>
          <t>Z03</t>
        </is>
      </c>
      <c r="L759" t="inlineStr">
        <is>
          <t>(AP) 15 Dias</t>
        </is>
      </c>
      <c r="M759" t="n">
        <v>10000160</v>
      </c>
      <c r="N759" t="inlineStr">
        <is>
          <t>Arena Triturada Andesita Malla 4</t>
        </is>
      </c>
      <c r="O759" t="inlineStr">
        <is>
          <t>D836</t>
        </is>
      </c>
      <c r="P759" t="inlineStr">
        <is>
          <t>MX-CED. CENTRO</t>
        </is>
      </c>
      <c r="Q759" t="n">
        <v>20210928</v>
      </c>
      <c r="R759" t="n">
        <v>20291231</v>
      </c>
      <c r="S759" t="n">
        <v>20260420</v>
      </c>
      <c r="T759" t="n">
        <v>20301231</v>
      </c>
      <c r="U759" t="n">
        <v>273</v>
      </c>
      <c r="V759" t="inlineStr">
        <is>
          <t>MXN</t>
        </is>
      </c>
      <c r="W759" t="inlineStr">
        <is>
          <t>M3</t>
        </is>
      </c>
      <c r="X759" t="n">
        <v>190</v>
      </c>
      <c r="Y759" t="inlineStr">
        <is>
          <t>MXN</t>
        </is>
      </c>
      <c r="Z759" t="inlineStr">
        <is>
          <t>M3</t>
        </is>
      </c>
      <c r="AA759" t="inlineStr">
        <is>
          <t>65440384</t>
        </is>
      </c>
      <c r="AB759" t="inlineStr">
        <is>
          <t>INDUSTRIAL BLOQUERA MEXICANA SA DE</t>
        </is>
      </c>
      <c r="AC759" t="n">
        <v>56103638</v>
      </c>
      <c r="AD759" t="n">
        <v>6622261540</v>
      </c>
      <c r="AE759" t="n">
        <v>4</v>
      </c>
      <c r="AF759" t="inlineStr">
        <is>
          <t>ENTREGA DIRECTA</t>
        </is>
      </c>
      <c r="AG759" t="n">
        <v>1.409</v>
      </c>
      <c r="AH759" t="inlineStr">
        <is>
          <t>M3</t>
        </is>
      </c>
      <c r="AI759" t="inlineStr">
        <is>
          <t>X</t>
        </is>
      </c>
      <c r="AJ759" t="n">
        <v>4</v>
      </c>
      <c r="AK759" t="inlineStr">
        <is>
          <t>V4</t>
        </is>
      </c>
      <c r="AL759" t="n">
        <v>20260426</v>
      </c>
      <c r="AM759" t="inlineStr">
        <is>
          <t>D836-900007321-65440384-10000160-4</t>
        </is>
      </c>
    </row>
    <row r="760">
      <c r="A760" t="inlineStr">
        <is>
          <t>900005356D83610000357</t>
        </is>
      </c>
      <c r="B760" t="inlineStr">
        <is>
          <t>4600039490-30</t>
        </is>
      </c>
      <c r="C760" t="n">
        <v>4600039490</v>
      </c>
      <c r="D760" t="n">
        <v>30</v>
      </c>
      <c r="E760" t="inlineStr">
        <is>
          <t>MXPO</t>
        </is>
      </c>
      <c r="F760" t="inlineStr">
        <is>
          <t>MXL</t>
        </is>
      </c>
      <c r="G760" t="n">
        <v>900005356</v>
      </c>
      <c r="H760" t="inlineStr">
        <is>
          <t>TP-TRIVOMEX RECOGIDO</t>
        </is>
      </c>
      <c r="I760" t="n">
        <v>5033501</v>
      </c>
      <c r="J760" t="inlineStr">
        <is>
          <t>TRITURADOS VOLCANICOS DE MEXICO</t>
        </is>
      </c>
      <c r="K760" t="inlineStr">
        <is>
          <t>Z04</t>
        </is>
      </c>
      <c r="L760" t="inlineStr">
        <is>
          <t>(AP) 30 Dias</t>
        </is>
      </c>
      <c r="M760" t="n">
        <v>10000357</v>
      </c>
      <c r="N760" t="inlineStr">
        <is>
          <t>Grava Triturada Andesita 20 mm - 3/4"</t>
        </is>
      </c>
      <c r="O760" t="inlineStr">
        <is>
          <t>D836</t>
        </is>
      </c>
      <c r="P760" t="inlineStr">
        <is>
          <t>MX-CED. CENTRO</t>
        </is>
      </c>
      <c r="Q760" t="n">
        <v>20170828</v>
      </c>
      <c r="R760" t="n">
        <v>20281231</v>
      </c>
      <c r="S760" t="n">
        <v>20260427</v>
      </c>
      <c r="T760" t="n">
        <v>20301231</v>
      </c>
      <c r="U760" t="n">
        <v>137</v>
      </c>
      <c r="V760" t="inlineStr">
        <is>
          <t>MXN</t>
        </is>
      </c>
      <c r="W760" t="inlineStr">
        <is>
          <t>M3</t>
        </is>
      </c>
      <c r="X760" t="n">
        <v>0</v>
      </c>
      <c r="Y760" t="inlineStr">
        <is>
          <t>MXN</t>
        </is>
      </c>
      <c r="Z760" t="inlineStr">
        <is>
          <t>M3</t>
        </is>
      </c>
      <c r="AC760" t="n">
        <v>56103637</v>
      </c>
      <c r="AD760" t="n">
        <v>6622261540</v>
      </c>
      <c r="AE760" t="n">
        <v>1</v>
      </c>
      <c r="AF760" t="inlineStr">
        <is>
          <t>ENTREGADO</t>
        </is>
      </c>
      <c r="AG760" t="n">
        <v>1.326</v>
      </c>
      <c r="AH760" t="inlineStr">
        <is>
          <t>M3</t>
        </is>
      </c>
      <c r="AI760" t="inlineStr">
        <is>
          <t>X</t>
        </is>
      </c>
      <c r="AJ760" t="n">
        <v>4</v>
      </c>
      <c r="AK760" t="inlineStr">
        <is>
          <t>V4</t>
        </is>
      </c>
      <c r="AL760" t="n">
        <v>20260430</v>
      </c>
      <c r="AM760" t="inlineStr">
        <is>
          <t>D836-900005356-10000357</t>
        </is>
      </c>
    </row>
    <row r="761">
      <c r="A761" t="inlineStr">
        <is>
          <t>900007321D8366677927610000160</t>
        </is>
      </c>
      <c r="B761" t="inlineStr">
        <is>
          <t>4600052061-60</t>
        </is>
      </c>
      <c r="C761" t="n">
        <v>4600052061</v>
      </c>
      <c r="D761" t="n">
        <v>60</v>
      </c>
      <c r="E761" t="inlineStr">
        <is>
          <t>MXPO</t>
        </is>
      </c>
      <c r="F761" t="inlineStr">
        <is>
          <t>MXL</t>
        </is>
      </c>
      <c r="G761" t="n">
        <v>900007321</v>
      </c>
      <c r="H761" t="inlineStr">
        <is>
          <t>SF TP-ED-LOMA ANCHA SC</t>
        </is>
      </c>
      <c r="I761" t="n">
        <v>5047262</v>
      </c>
      <c r="J761" t="inlineStr">
        <is>
          <t>AGREGADOS PETREOS SAN CRISTOBAL</t>
        </is>
      </c>
      <c r="K761" t="inlineStr">
        <is>
          <t>Z03</t>
        </is>
      </c>
      <c r="L761" t="inlineStr">
        <is>
          <t>(AP) 15 Dias</t>
        </is>
      </c>
      <c r="M761" t="n">
        <v>10000160</v>
      </c>
      <c r="N761" t="inlineStr">
        <is>
          <t>Arena Triturada Andesita Malla 4</t>
        </is>
      </c>
      <c r="O761" t="inlineStr">
        <is>
          <t>D836</t>
        </is>
      </c>
      <c r="P761" t="inlineStr">
        <is>
          <t>MX-CED. CENTRO</t>
        </is>
      </c>
      <c r="Q761" t="n">
        <v>20210928</v>
      </c>
      <c r="R761" t="n">
        <v>20291231</v>
      </c>
      <c r="S761" t="n">
        <v>20260420</v>
      </c>
      <c r="T761" t="n">
        <v>20301231</v>
      </c>
      <c r="U761" t="n">
        <v>261</v>
      </c>
      <c r="V761" t="inlineStr">
        <is>
          <t>MXN</t>
        </is>
      </c>
      <c r="W761" t="inlineStr">
        <is>
          <t>M3</t>
        </is>
      </c>
      <c r="X761" t="n">
        <v>168</v>
      </c>
      <c r="Y761" t="inlineStr">
        <is>
          <t>MXN</t>
        </is>
      </c>
      <c r="Z761" t="inlineStr">
        <is>
          <t>M3</t>
        </is>
      </c>
      <c r="AA761" t="inlineStr">
        <is>
          <t>66779276</t>
        </is>
      </c>
      <c r="AB761" t="inlineStr">
        <is>
          <t>TVega Concretos</t>
        </is>
      </c>
      <c r="AC761" t="n">
        <v>56103638</v>
      </c>
      <c r="AD761" t="n">
        <v>6622261540</v>
      </c>
      <c r="AE761" t="n">
        <v>4</v>
      </c>
      <c r="AF761" t="inlineStr">
        <is>
          <t>ENTREGA DIRECTA</t>
        </is>
      </c>
      <c r="AG761" t="n">
        <v>1.409</v>
      </c>
      <c r="AH761" t="inlineStr">
        <is>
          <t>M3</t>
        </is>
      </c>
      <c r="AI761" t="inlineStr">
        <is>
          <t>X</t>
        </is>
      </c>
      <c r="AJ761" t="n">
        <v>4</v>
      </c>
      <c r="AK761" t="inlineStr">
        <is>
          <t>V4</t>
        </is>
      </c>
      <c r="AL761" t="n">
        <v>20260426</v>
      </c>
      <c r="AM761" t="inlineStr">
        <is>
          <t>D836-900007321-66779276-10000160-4</t>
        </is>
      </c>
    </row>
    <row r="762">
      <c r="A762" t="inlineStr">
        <is>
          <t>900009140D8366677927610184011</t>
        </is>
      </c>
      <c r="B762" t="inlineStr">
        <is>
          <t>4600070959-50</t>
        </is>
      </c>
      <c r="C762" t="n">
        <v>4600070959</v>
      </c>
      <c r="D762" t="n">
        <v>50</v>
      </c>
      <c r="E762" t="inlineStr">
        <is>
          <t>MXPO</t>
        </is>
      </c>
      <c r="F762" t="inlineStr">
        <is>
          <t>MXL</t>
        </is>
      </c>
      <c r="G762" t="n">
        <v>900009140</v>
      </c>
      <c r="H762" t="inlineStr">
        <is>
          <t>SF TP-ED CONCRETOS Y PAVIMENTOS</t>
        </is>
      </c>
      <c r="I762" t="n">
        <v>5089601</v>
      </c>
      <c r="J762" t="inlineStr">
        <is>
          <t>CONCRETOS Y PAVIMENTOS EXTERIORES S</t>
        </is>
      </c>
      <c r="K762" t="inlineStr">
        <is>
          <t>N90</t>
        </is>
      </c>
      <c r="L762" t="inlineStr">
        <is>
          <t>(AP) NAFIN 90 Dias</t>
        </is>
      </c>
      <c r="M762" t="n">
        <v>10184011</v>
      </c>
      <c r="N762" t="inlineStr">
        <is>
          <t>GRAVA TRITURADA CALIZA 20 MM - 3/4"</t>
        </is>
      </c>
      <c r="O762" t="inlineStr">
        <is>
          <t>D836</t>
        </is>
      </c>
      <c r="P762" t="inlineStr">
        <is>
          <t>MX-CED. CENTRO</t>
        </is>
      </c>
      <c r="Q762" t="n">
        <v>20250304</v>
      </c>
      <c r="R762" t="n">
        <v>20301231</v>
      </c>
      <c r="S762" t="n">
        <v>20260318</v>
      </c>
      <c r="T762" t="n">
        <v>20301231</v>
      </c>
      <c r="U762" t="n">
        <v>382.08</v>
      </c>
      <c r="V762" t="inlineStr">
        <is>
          <t>MXN</t>
        </is>
      </c>
      <c r="W762" t="inlineStr">
        <is>
          <t>TN</t>
        </is>
      </c>
      <c r="X762" t="n">
        <v>224</v>
      </c>
      <c r="Y762" t="inlineStr">
        <is>
          <t>MXN</t>
        </is>
      </c>
      <c r="Z762" t="inlineStr">
        <is>
          <t>TN</t>
        </is>
      </c>
      <c r="AA762" t="inlineStr">
        <is>
          <t>66779276</t>
        </is>
      </c>
      <c r="AB762" t="inlineStr">
        <is>
          <t>TVega Concretos</t>
        </is>
      </c>
      <c r="AC762" t="n">
        <v>56103637</v>
      </c>
      <c r="AD762" t="n">
        <v>6622261540</v>
      </c>
      <c r="AE762" t="n">
        <v>4</v>
      </c>
      <c r="AF762" t="inlineStr">
        <is>
          <t>ENTREGA DIRECTA</t>
        </is>
      </c>
      <c r="AG762" t="n">
        <v>1</v>
      </c>
      <c r="AH762" t="inlineStr">
        <is>
          <t>TO</t>
        </is>
      </c>
      <c r="AI762" t="inlineStr">
        <is>
          <t>X</t>
        </is>
      </c>
      <c r="AJ762" t="n">
        <v>4</v>
      </c>
      <c r="AK762" t="inlineStr">
        <is>
          <t>V4</t>
        </is>
      </c>
      <c r="AL762" t="n">
        <v>20260323</v>
      </c>
      <c r="AM762" t="inlineStr">
        <is>
          <t>D836-900009140-66779276-10184011-4</t>
        </is>
      </c>
    </row>
    <row r="763">
      <c r="A763" t="inlineStr">
        <is>
          <t>900002574D8366719816710058345</t>
        </is>
      </c>
      <c r="B763" t="inlineStr">
        <is>
          <t>4600027590-2500</t>
        </is>
      </c>
      <c r="C763" t="n">
        <v>4600027590</v>
      </c>
      <c r="D763" t="n">
        <v>2500</v>
      </c>
      <c r="E763" t="inlineStr">
        <is>
          <t>MXPO</t>
        </is>
      </c>
      <c r="F763" t="inlineStr">
        <is>
          <t>M02</t>
        </is>
      </c>
      <c r="G763" t="n">
        <v>900002574</v>
      </c>
      <c r="H763" t="inlineStr">
        <is>
          <t>TP-ED-OLIELL</t>
        </is>
      </c>
      <c r="I763" t="n">
        <v>5048484</v>
      </c>
      <c r="J763" t="inlineStr">
        <is>
          <t>COMERCIALIZADORA Y TRANSPORTADORA O</t>
        </is>
      </c>
      <c r="K763" t="inlineStr">
        <is>
          <t>N90</t>
        </is>
      </c>
      <c r="L763" t="inlineStr">
        <is>
          <t>(AP) NAFIN 90 Dias</t>
        </is>
      </c>
      <c r="M763" t="n">
        <v>10058345</v>
      </c>
      <c r="N763" t="inlineStr">
        <is>
          <t>Arena Triturada Caliza Malla 4</t>
        </is>
      </c>
      <c r="O763" t="inlineStr">
        <is>
          <t>D836</t>
        </is>
      </c>
      <c r="P763" t="inlineStr">
        <is>
          <t>MX-CED. CENTRO</t>
        </is>
      </c>
      <c r="Q763" t="n">
        <v>20141106</v>
      </c>
      <c r="R763" t="n">
        <v>20281231</v>
      </c>
      <c r="S763" t="n">
        <v>20230927</v>
      </c>
      <c r="T763" t="n">
        <v>20281231</v>
      </c>
      <c r="U763" t="n">
        <v>792.6799999999999</v>
      </c>
      <c r="V763" t="inlineStr">
        <is>
          <t>MXN</t>
        </is>
      </c>
      <c r="W763" t="inlineStr">
        <is>
          <t>M3</t>
        </is>
      </c>
      <c r="X763" t="n">
        <v>285</v>
      </c>
      <c r="Y763" t="inlineStr">
        <is>
          <t>MXN</t>
        </is>
      </c>
      <c r="Z763" t="inlineStr">
        <is>
          <t>M3</t>
        </is>
      </c>
      <c r="AA763" t="inlineStr">
        <is>
          <t>67198167</t>
        </is>
      </c>
      <c r="AB763" t="inlineStr">
        <is>
          <t>OAXACA 73</t>
        </is>
      </c>
      <c r="AC763" t="n">
        <v>56103638</v>
      </c>
      <c r="AD763" t="n">
        <v>6622261540</v>
      </c>
      <c r="AE763" t="n">
        <v>4</v>
      </c>
      <c r="AF763" t="inlineStr">
        <is>
          <t>ENTREGA DIRECTA</t>
        </is>
      </c>
      <c r="AG763" t="n">
        <v>1.575</v>
      </c>
      <c r="AH763" t="inlineStr">
        <is>
          <t>M3</t>
        </is>
      </c>
      <c r="AI763" t="inlineStr">
        <is>
          <t>X</t>
        </is>
      </c>
      <c r="AJ763" t="n">
        <v>4</v>
      </c>
      <c r="AK763" t="inlineStr">
        <is>
          <t>V4</t>
        </is>
      </c>
      <c r="AL763" t="n">
        <v>20230928</v>
      </c>
      <c r="AM763" t="inlineStr">
        <is>
          <t>D836-900002574-67198167-10058345-4</t>
        </is>
      </c>
    </row>
    <row r="764">
      <c r="A764" t="inlineStr">
        <is>
          <t>900002574D8366719816710000133</t>
        </is>
      </c>
      <c r="B764" t="inlineStr">
        <is>
          <t>4600027590-2510</t>
        </is>
      </c>
      <c r="C764" t="n">
        <v>4600027590</v>
      </c>
      <c r="D764" t="n">
        <v>2510</v>
      </c>
      <c r="E764" t="inlineStr">
        <is>
          <t>MXPO</t>
        </is>
      </c>
      <c r="F764" t="inlineStr">
        <is>
          <t>M02</t>
        </is>
      </c>
      <c r="G764" t="n">
        <v>900002574</v>
      </c>
      <c r="H764" t="inlineStr">
        <is>
          <t>TP-ED-OLIELL</t>
        </is>
      </c>
      <c r="I764" t="n">
        <v>5048484</v>
      </c>
      <c r="J764" t="inlineStr">
        <is>
          <t>COMERCIALIZADORA Y TRANSPORTADORA O</t>
        </is>
      </c>
      <c r="K764" t="inlineStr">
        <is>
          <t>N90</t>
        </is>
      </c>
      <c r="L764" t="inlineStr">
        <is>
          <t>(AP) NAFIN 90 Dias</t>
        </is>
      </c>
      <c r="M764" t="n">
        <v>10000133</v>
      </c>
      <c r="N764" t="inlineStr">
        <is>
          <t>Grava Triturada Caliza 20 mm - 3/4"</t>
        </is>
      </c>
      <c r="O764" t="inlineStr">
        <is>
          <t>D836</t>
        </is>
      </c>
      <c r="P764" t="inlineStr">
        <is>
          <t>MX-CED. CENTRO</t>
        </is>
      </c>
      <c r="Q764" t="n">
        <v>20141106</v>
      </c>
      <c r="R764" t="n">
        <v>20281231</v>
      </c>
      <c r="S764" t="n">
        <v>20230927</v>
      </c>
      <c r="T764" t="n">
        <v>20281231</v>
      </c>
      <c r="U764" t="n">
        <v>860.59</v>
      </c>
      <c r="V764" t="inlineStr">
        <is>
          <t>MXN</t>
        </is>
      </c>
      <c r="W764" t="inlineStr">
        <is>
          <t>M3</t>
        </is>
      </c>
      <c r="X764" t="n">
        <v>285</v>
      </c>
      <c r="Y764" t="inlineStr">
        <is>
          <t>MXN</t>
        </is>
      </c>
      <c r="Z764" t="inlineStr">
        <is>
          <t>M3</t>
        </is>
      </c>
      <c r="AA764" t="inlineStr">
        <is>
          <t>67198167</t>
        </is>
      </c>
      <c r="AB764" t="inlineStr">
        <is>
          <t>OAXACA 73</t>
        </is>
      </c>
      <c r="AC764" t="n">
        <v>56103637</v>
      </c>
      <c r="AD764" t="n">
        <v>6622261540</v>
      </c>
      <c r="AE764" t="n">
        <v>4</v>
      </c>
      <c r="AF764" t="inlineStr">
        <is>
          <t>ENTREGA DIRECTA</t>
        </is>
      </c>
      <c r="AG764" t="n">
        <v>1.46</v>
      </c>
      <c r="AH764" t="inlineStr">
        <is>
          <t>M3</t>
        </is>
      </c>
      <c r="AI764" t="inlineStr">
        <is>
          <t>X</t>
        </is>
      </c>
      <c r="AJ764" t="n">
        <v>4</v>
      </c>
      <c r="AK764" t="inlineStr">
        <is>
          <t>V4</t>
        </is>
      </c>
      <c r="AL764" t="n">
        <v>20230928</v>
      </c>
      <c r="AM764" t="inlineStr">
        <is>
          <t>D836-900002574-67198167-10000133-4</t>
        </is>
      </c>
    </row>
    <row r="765">
      <c r="A765" t="inlineStr">
        <is>
          <t>900006371D8366677927610000160</t>
        </is>
      </c>
      <c r="B765" t="inlineStr">
        <is>
          <t>4600048255-150</t>
        </is>
      </c>
      <c r="C765" t="n">
        <v>4600048255</v>
      </c>
      <c r="D765" t="n">
        <v>150</v>
      </c>
      <c r="E765" t="inlineStr">
        <is>
          <t>MXPO</t>
        </is>
      </c>
      <c r="F765" t="inlineStr">
        <is>
          <t>MXL</t>
        </is>
      </c>
      <c r="G765" t="n">
        <v>900006371</v>
      </c>
      <c r="H765" t="inlineStr">
        <is>
          <t>SF TP-ED-TRIVOMEX</t>
        </is>
      </c>
      <c r="I765" t="n">
        <v>5033501</v>
      </c>
      <c r="J765" t="inlineStr">
        <is>
          <t>TRITURADOS VOLCANICOS DE MEXICO</t>
        </is>
      </c>
      <c r="K765" t="inlineStr">
        <is>
          <t>Z04</t>
        </is>
      </c>
      <c r="L765" t="inlineStr">
        <is>
          <t>(AP) 30 Dias</t>
        </is>
      </c>
      <c r="M765" t="n">
        <v>10000160</v>
      </c>
      <c r="N765" t="inlineStr">
        <is>
          <t>Arena Triturada Andesita Malla 4</t>
        </is>
      </c>
      <c r="O765" t="inlineStr">
        <is>
          <t>D836</t>
        </is>
      </c>
      <c r="P765" t="inlineStr">
        <is>
          <t>MX-CED. CENTRO</t>
        </is>
      </c>
      <c r="Q765" t="n">
        <v>20201015</v>
      </c>
      <c r="R765" t="n">
        <v>20291231</v>
      </c>
      <c r="S765" t="n">
        <v>20260420</v>
      </c>
      <c r="T765" t="n">
        <v>20301231</v>
      </c>
      <c r="U765" t="n">
        <v>281</v>
      </c>
      <c r="V765" t="inlineStr">
        <is>
          <t>MXN</t>
        </is>
      </c>
      <c r="W765" t="inlineStr">
        <is>
          <t>M3</t>
        </is>
      </c>
      <c r="X765" t="n">
        <v>168</v>
      </c>
      <c r="Y765" t="inlineStr">
        <is>
          <t>MXN</t>
        </is>
      </c>
      <c r="Z765" t="inlineStr">
        <is>
          <t>M3</t>
        </is>
      </c>
      <c r="AA765" t="inlineStr">
        <is>
          <t>66779276</t>
        </is>
      </c>
      <c r="AB765" t="inlineStr">
        <is>
          <t>TVega Concretos</t>
        </is>
      </c>
      <c r="AC765" t="n">
        <v>56103638</v>
      </c>
      <c r="AD765" t="n">
        <v>6622261540</v>
      </c>
      <c r="AE765" t="n">
        <v>4</v>
      </c>
      <c r="AF765" t="inlineStr">
        <is>
          <t>ENTREGA DIRECTA</t>
        </is>
      </c>
      <c r="AG765" t="n">
        <v>1.409</v>
      </c>
      <c r="AH765" t="inlineStr">
        <is>
          <t>M3</t>
        </is>
      </c>
      <c r="AI765" t="inlineStr">
        <is>
          <t>X</t>
        </is>
      </c>
      <c r="AJ765" t="n">
        <v>4</v>
      </c>
      <c r="AK765" t="inlineStr">
        <is>
          <t>V4</t>
        </is>
      </c>
      <c r="AL765" t="n">
        <v>20260426</v>
      </c>
      <c r="AM765" t="inlineStr">
        <is>
          <t>D836-900006371-66779276-10000160-4</t>
        </is>
      </c>
    </row>
    <row r="766">
      <c r="A766" t="inlineStr">
        <is>
          <t>900009140D8366501645110140399</t>
        </is>
      </c>
      <c r="B766" t="inlineStr">
        <is>
          <t>4600070959-10</t>
        </is>
      </c>
      <c r="C766" t="n">
        <v>4600070959</v>
      </c>
      <c r="D766" t="n">
        <v>10</v>
      </c>
      <c r="E766" t="inlineStr">
        <is>
          <t>MXPO</t>
        </is>
      </c>
      <c r="F766" t="inlineStr">
        <is>
          <t>MXL</t>
        </is>
      </c>
      <c r="G766" t="n">
        <v>900009140</v>
      </c>
      <c r="H766" t="inlineStr">
        <is>
          <t>SF TP-ED CONCRETOS Y PAVIMENTOS</t>
        </is>
      </c>
      <c r="I766" t="n">
        <v>5089601</v>
      </c>
      <c r="J766" t="inlineStr">
        <is>
          <t>CONCRETOS Y PAVIMENTOS EXTERIORES S</t>
        </is>
      </c>
      <c r="K766" t="inlineStr">
        <is>
          <t>N90</t>
        </is>
      </c>
      <c r="L766" t="inlineStr">
        <is>
          <t>(AP) NAFIN 90 Dias</t>
        </is>
      </c>
      <c r="M766" t="n">
        <v>10140399</v>
      </c>
      <c r="N766" t="inlineStr">
        <is>
          <t>ARENA ANDESITA MALLA 4</t>
        </is>
      </c>
      <c r="O766" t="inlineStr">
        <is>
          <t>D836</t>
        </is>
      </c>
      <c r="P766" t="inlineStr">
        <is>
          <t>MX-CED. CENTRO</t>
        </is>
      </c>
      <c r="Q766" t="n">
        <v>20250304</v>
      </c>
      <c r="R766" t="n">
        <v>20301231</v>
      </c>
      <c r="S766" t="n">
        <v>20260424</v>
      </c>
      <c r="T766" t="n">
        <v>20301231</v>
      </c>
      <c r="U766" t="n">
        <v>274.4</v>
      </c>
      <c r="V766" t="inlineStr">
        <is>
          <t>MXN</t>
        </is>
      </c>
      <c r="W766" t="inlineStr">
        <is>
          <t>TN</t>
        </is>
      </c>
      <c r="X766" t="n">
        <v>200</v>
      </c>
      <c r="Y766" t="inlineStr">
        <is>
          <t>MXN</t>
        </is>
      </c>
      <c r="Z766" t="inlineStr">
        <is>
          <t>TN</t>
        </is>
      </c>
      <c r="AA766" t="inlineStr">
        <is>
          <t>65016451</t>
        </is>
      </c>
      <c r="AB766" t="inlineStr">
        <is>
          <t>FACHADAS PREFABRICADAS SA DE CV.</t>
        </is>
      </c>
      <c r="AC766" t="n">
        <v>56103638</v>
      </c>
      <c r="AD766" t="n">
        <v>6622261540</v>
      </c>
      <c r="AE766" t="n">
        <v>4</v>
      </c>
      <c r="AF766" t="inlineStr">
        <is>
          <t>ENTREGA DIRECTA</t>
        </is>
      </c>
      <c r="AG766" t="n">
        <v>1</v>
      </c>
      <c r="AH766" t="inlineStr">
        <is>
          <t>TO</t>
        </is>
      </c>
      <c r="AI766" t="inlineStr">
        <is>
          <t>X</t>
        </is>
      </c>
      <c r="AJ766" t="n">
        <v>4</v>
      </c>
      <c r="AK766" t="inlineStr">
        <is>
          <t>V4</t>
        </is>
      </c>
      <c r="AL766" t="n">
        <v>20260426</v>
      </c>
      <c r="AM766" t="inlineStr">
        <is>
          <t>D836-900009140-65016451-10140399-4</t>
        </is>
      </c>
    </row>
    <row r="767">
      <c r="A767" t="inlineStr">
        <is>
          <t>900009140D8366677927610001074</t>
        </is>
      </c>
      <c r="B767" t="inlineStr">
        <is>
          <t>4600070959-60</t>
        </is>
      </c>
      <c r="C767" t="n">
        <v>4600070959</v>
      </c>
      <c r="D767" t="n">
        <v>60</v>
      </c>
      <c r="E767" t="inlineStr">
        <is>
          <t>MXPO</t>
        </is>
      </c>
      <c r="F767" t="inlineStr">
        <is>
          <t>MXL</t>
        </is>
      </c>
      <c r="G767" t="n">
        <v>900009140</v>
      </c>
      <c r="H767" t="inlineStr">
        <is>
          <t>SF TP-ED CONCRETOS Y PAVIMENTOS</t>
        </is>
      </c>
      <c r="I767" t="n">
        <v>5089601</v>
      </c>
      <c r="J767" t="inlineStr">
        <is>
          <t>CONCRETOS Y PAVIMENTOS EXTERIORES S</t>
        </is>
      </c>
      <c r="K767" t="inlineStr">
        <is>
          <t>N90</t>
        </is>
      </c>
      <c r="L767" t="inlineStr">
        <is>
          <t>(AP) NAFIN 90 Dias</t>
        </is>
      </c>
      <c r="M767" t="n">
        <v>10001074</v>
      </c>
      <c r="N767" t="inlineStr">
        <is>
          <t>Grava Triturada Caliza 40 mm - 1 1/2"</t>
        </is>
      </c>
      <c r="O767" t="inlineStr">
        <is>
          <t>D836</t>
        </is>
      </c>
      <c r="P767" t="inlineStr">
        <is>
          <t>MX-CED. CENTRO</t>
        </is>
      </c>
      <c r="Q767" t="n">
        <v>20250304</v>
      </c>
      <c r="R767" t="n">
        <v>20301231</v>
      </c>
      <c r="S767" t="n">
        <v>20260318</v>
      </c>
      <c r="T767" t="n">
        <v>20301231</v>
      </c>
      <c r="U767" t="n">
        <v>382.08</v>
      </c>
      <c r="V767" t="inlineStr">
        <is>
          <t>MXN</t>
        </is>
      </c>
      <c r="W767" t="inlineStr">
        <is>
          <t>TN</t>
        </is>
      </c>
      <c r="X767" t="n">
        <v>224</v>
      </c>
      <c r="Y767" t="inlineStr">
        <is>
          <t>MXN</t>
        </is>
      </c>
      <c r="Z767" t="inlineStr">
        <is>
          <t>TN</t>
        </is>
      </c>
      <c r="AA767" t="inlineStr">
        <is>
          <t>66779276</t>
        </is>
      </c>
      <c r="AB767" t="inlineStr">
        <is>
          <t>TVega Concretos</t>
        </is>
      </c>
      <c r="AC767" t="n">
        <v>56103637</v>
      </c>
      <c r="AD767" t="n">
        <v>6622261540</v>
      </c>
      <c r="AE767" t="n">
        <v>4</v>
      </c>
      <c r="AF767" t="inlineStr">
        <is>
          <t>ENTREGA DIRECTA</t>
        </is>
      </c>
      <c r="AG767" t="n">
        <v>1</v>
      </c>
      <c r="AH767" t="inlineStr">
        <is>
          <t>TO</t>
        </is>
      </c>
      <c r="AI767" t="inlineStr">
        <is>
          <t>X</t>
        </is>
      </c>
      <c r="AJ767" t="n">
        <v>4</v>
      </c>
      <c r="AK767" t="inlineStr">
        <is>
          <t>V4</t>
        </is>
      </c>
      <c r="AL767" t="n">
        <v>20260323</v>
      </c>
      <c r="AM767" t="inlineStr">
        <is>
          <t>D836-900009140-66779276-10001074-4</t>
        </is>
      </c>
    </row>
    <row r="768">
      <c r="A768" t="inlineStr">
        <is>
          <t>900005627D83610155487</t>
        </is>
      </c>
      <c r="B768" t="inlineStr">
        <is>
          <t>4600042076-80</t>
        </is>
      </c>
      <c r="C768" t="n">
        <v>4600042076</v>
      </c>
      <c r="D768" t="n">
        <v>80</v>
      </c>
      <c r="E768" t="inlineStr">
        <is>
          <t>MXPO</t>
        </is>
      </c>
      <c r="F768" t="inlineStr">
        <is>
          <t>MXL</t>
        </is>
      </c>
      <c r="G768" t="n">
        <v>900005627</v>
      </c>
      <c r="H768" t="inlineStr">
        <is>
          <t>TP-DOS CERROS SAN LUIS</t>
        </is>
      </c>
      <c r="I768" t="n">
        <v>5036168</v>
      </c>
      <c r="J768" t="inlineStr">
        <is>
          <t>TRITURADOS DOS CERROS SA DE CV</t>
        </is>
      </c>
      <c r="K768" t="inlineStr">
        <is>
          <t>Z04</t>
        </is>
      </c>
      <c r="L768" t="inlineStr">
        <is>
          <t>(AP) 30 Dias</t>
        </is>
      </c>
      <c r="M768" t="n">
        <v>10155487</v>
      </c>
      <c r="N768" t="inlineStr">
        <is>
          <t>GRAVA BASALTO 8" CONTROLADO A FINOS</t>
        </is>
      </c>
      <c r="O768" t="inlineStr">
        <is>
          <t>D836</t>
        </is>
      </c>
      <c r="P768" t="inlineStr">
        <is>
          <t>MX-CED. CENTRO</t>
        </is>
      </c>
      <c r="Q768" t="n">
        <v>20180511</v>
      </c>
      <c r="R768" t="n">
        <v>20281231</v>
      </c>
      <c r="S768" t="n">
        <v>20230929</v>
      </c>
      <c r="T768" t="n">
        <v>20281231</v>
      </c>
      <c r="U768" t="n">
        <v>262.5</v>
      </c>
      <c r="V768" t="inlineStr">
        <is>
          <t>MXN</t>
        </is>
      </c>
      <c r="W768" t="inlineStr">
        <is>
          <t>M3</t>
        </is>
      </c>
      <c r="X768" t="n">
        <v>0</v>
      </c>
      <c r="Y768" t="inlineStr">
        <is>
          <t>MXN</t>
        </is>
      </c>
      <c r="Z768" t="inlineStr">
        <is>
          <t>M3</t>
        </is>
      </c>
      <c r="AC768" t="n">
        <v>56103637</v>
      </c>
      <c r="AD768" t="n">
        <v>6622261540</v>
      </c>
      <c r="AE768" t="n">
        <v>1</v>
      </c>
      <c r="AF768" t="inlineStr">
        <is>
          <t>ENTREGADO</t>
        </is>
      </c>
      <c r="AG768" t="n">
        <v>1.53</v>
      </c>
      <c r="AH768" t="inlineStr">
        <is>
          <t>M3</t>
        </is>
      </c>
      <c r="AI768" t="inlineStr">
        <is>
          <t>X</t>
        </is>
      </c>
      <c r="AJ768" t="n">
        <v>4</v>
      </c>
      <c r="AK768" t="inlineStr">
        <is>
          <t>V4</t>
        </is>
      </c>
      <c r="AL768" t="n">
        <v>20230929</v>
      </c>
      <c r="AM768" t="inlineStr">
        <is>
          <t>D836-900005627-10155487</t>
        </is>
      </c>
    </row>
    <row r="769">
      <c r="A769" t="inlineStr">
        <is>
          <t>900005087D83610139788</t>
        </is>
      </c>
      <c r="B769" t="inlineStr">
        <is>
          <t>4600068917-10</t>
        </is>
      </c>
      <c r="C769" t="n">
        <v>4600068917</v>
      </c>
      <c r="D769" t="n">
        <v>10</v>
      </c>
      <c r="E769" t="inlineStr">
        <is>
          <t>MXPO</t>
        </is>
      </c>
      <c r="F769" t="inlineStr">
        <is>
          <t>MXL</t>
        </is>
      </c>
      <c r="G769" t="n">
        <v>900005087</v>
      </c>
      <c r="H769" t="inlineStr">
        <is>
          <t>TP-LOMAS DEL CARRIL</t>
        </is>
      </c>
      <c r="I769" t="n">
        <v>5003798</v>
      </c>
      <c r="J769" t="inlineStr">
        <is>
          <t>MATERIALES P/LA CONST Y/EL DES URB</t>
        </is>
      </c>
      <c r="K769" t="inlineStr">
        <is>
          <t>N90</t>
        </is>
      </c>
      <c r="L769" t="inlineStr">
        <is>
          <t>(AP) NAFIN 90 Dias</t>
        </is>
      </c>
      <c r="M769" t="n">
        <v>10139788</v>
      </c>
      <c r="N769" t="inlineStr">
        <is>
          <t>GRAVA TRITURADA ANDESITA 10MM</t>
        </is>
      </c>
      <c r="O769" t="inlineStr">
        <is>
          <t>D836</t>
        </is>
      </c>
      <c r="P769" t="inlineStr">
        <is>
          <t>MX-CED. CENTRO</t>
        </is>
      </c>
      <c r="Q769" t="n">
        <v>20231216</v>
      </c>
      <c r="R769" t="n">
        <v>20281231</v>
      </c>
      <c r="S769" t="n">
        <v>20231216</v>
      </c>
      <c r="T769" t="n">
        <v>20281231</v>
      </c>
      <c r="U769" t="n">
        <v>115</v>
      </c>
      <c r="V769" t="inlineStr">
        <is>
          <t>MXN</t>
        </is>
      </c>
      <c r="W769" t="inlineStr">
        <is>
          <t>M3</t>
        </is>
      </c>
      <c r="X769" t="n">
        <v>0</v>
      </c>
      <c r="Y769" t="inlineStr">
        <is>
          <t>MXN</t>
        </is>
      </c>
      <c r="Z769" t="inlineStr">
        <is>
          <t>M3</t>
        </is>
      </c>
      <c r="AC769" t="n">
        <v>56103637</v>
      </c>
      <c r="AD769" t="n">
        <v>6622261540</v>
      </c>
      <c r="AE769" t="n">
        <v>1</v>
      </c>
      <c r="AF769" t="inlineStr">
        <is>
          <t>ENTREGADO</t>
        </is>
      </c>
      <c r="AG769" t="n">
        <v>1.303</v>
      </c>
      <c r="AH769" t="inlineStr">
        <is>
          <t>M3</t>
        </is>
      </c>
      <c r="AI769" t="inlineStr">
        <is>
          <t>X</t>
        </is>
      </c>
      <c r="AJ769" t="n">
        <v>4</v>
      </c>
      <c r="AK769" t="inlineStr">
        <is>
          <t>V4</t>
        </is>
      </c>
      <c r="AL769" t="n">
        <v>20231218</v>
      </c>
      <c r="AM769" t="inlineStr">
        <is>
          <t>D836-900005087-10139788</t>
        </is>
      </c>
    </row>
    <row r="770">
      <c r="A770" t="inlineStr">
        <is>
          <t>900005401D83610059181</t>
        </is>
      </c>
      <c r="B770" t="inlineStr">
        <is>
          <t>4600039942-10</t>
        </is>
      </c>
      <c r="C770" t="n">
        <v>4600039942</v>
      </c>
      <c r="D770" t="n">
        <v>10</v>
      </c>
      <c r="E770" t="inlineStr">
        <is>
          <t>MXPO</t>
        </is>
      </c>
      <c r="F770" t="inlineStr">
        <is>
          <t>MXL</t>
        </is>
      </c>
      <c r="G770" t="n">
        <v>900005401</v>
      </c>
      <c r="H770" t="inlineStr">
        <is>
          <t>TP-DESARROLLO MINERO</t>
        </is>
      </c>
      <c r="I770" t="n">
        <v>5069420</v>
      </c>
      <c r="J770" t="inlineStr">
        <is>
          <t>PROMOTORA DE DESARROLLO MINERO</t>
        </is>
      </c>
      <c r="K770" t="inlineStr">
        <is>
          <t>Z09</t>
        </is>
      </c>
      <c r="L770" t="inlineStr">
        <is>
          <t>(AP) 90 Dias</t>
        </is>
      </c>
      <c r="M770" t="n">
        <v>10059181</v>
      </c>
      <c r="N770" t="inlineStr">
        <is>
          <t>Arena Triturada Andesita Malla 4</t>
        </is>
      </c>
      <c r="O770" t="inlineStr">
        <is>
          <t>D836</t>
        </is>
      </c>
      <c r="P770" t="inlineStr">
        <is>
          <t>MX-CED. CENTRO</t>
        </is>
      </c>
      <c r="Q770" t="n">
        <v>20171004</v>
      </c>
      <c r="R770" t="n">
        <v>20301231</v>
      </c>
      <c r="S770" t="n">
        <v>20250728</v>
      </c>
      <c r="T770" t="n">
        <v>20301231</v>
      </c>
      <c r="U770" t="n">
        <v>80</v>
      </c>
      <c r="V770" t="inlineStr">
        <is>
          <t>MXN</t>
        </is>
      </c>
      <c r="W770" t="inlineStr">
        <is>
          <t>M3</t>
        </is>
      </c>
      <c r="X770" t="n">
        <v>0</v>
      </c>
      <c r="Y770" t="inlineStr">
        <is>
          <t>MXN</t>
        </is>
      </c>
      <c r="Z770" t="inlineStr">
        <is>
          <t>M3</t>
        </is>
      </c>
      <c r="AC770" t="n">
        <v>56103638</v>
      </c>
      <c r="AD770" t="n">
        <v>6622261540</v>
      </c>
      <c r="AE770" t="n">
        <v>1</v>
      </c>
      <c r="AF770" t="inlineStr">
        <is>
          <t>ENTREGADO</t>
        </is>
      </c>
      <c r="AG770" t="n">
        <v>1.221</v>
      </c>
      <c r="AH770" t="inlineStr">
        <is>
          <t>M3</t>
        </is>
      </c>
      <c r="AI770" t="inlineStr">
        <is>
          <t>X</t>
        </is>
      </c>
      <c r="AJ770" t="n">
        <v>4</v>
      </c>
      <c r="AK770" t="inlineStr">
        <is>
          <t>V4</t>
        </is>
      </c>
      <c r="AL770" t="n">
        <v>20250730</v>
      </c>
      <c r="AM770" t="inlineStr">
        <is>
          <t>D836-900005401-10059181</t>
        </is>
      </c>
    </row>
    <row r="771">
      <c r="A771" t="inlineStr">
        <is>
          <t>900005401D83610000253</t>
        </is>
      </c>
      <c r="B771" t="inlineStr">
        <is>
          <t>4600039942-20</t>
        </is>
      </c>
      <c r="C771" t="n">
        <v>4600039942</v>
      </c>
      <c r="D771" t="n">
        <v>20</v>
      </c>
      <c r="E771" t="inlineStr">
        <is>
          <t>MXPO</t>
        </is>
      </c>
      <c r="F771" t="inlineStr">
        <is>
          <t>MXL</t>
        </is>
      </c>
      <c r="G771" t="n">
        <v>900005401</v>
      </c>
      <c r="H771" t="inlineStr">
        <is>
          <t>TP-DESARROLLO MINERO</t>
        </is>
      </c>
      <c r="I771" t="n">
        <v>5069420</v>
      </c>
      <c r="J771" t="inlineStr">
        <is>
          <t>PROMOTORA DE DESARROLLO MINERO</t>
        </is>
      </c>
      <c r="K771" t="inlineStr">
        <is>
          <t>Z09</t>
        </is>
      </c>
      <c r="L771" t="inlineStr">
        <is>
          <t>(AP) 90 Dias</t>
        </is>
      </c>
      <c r="M771" t="n">
        <v>10000253</v>
      </c>
      <c r="N771" t="inlineStr">
        <is>
          <t>Grava Triturada Andesita 20 mm - 3/4"</t>
        </is>
      </c>
      <c r="O771" t="inlineStr">
        <is>
          <t>D836</t>
        </is>
      </c>
      <c r="P771" t="inlineStr">
        <is>
          <t>MX-CED. CENTRO</t>
        </is>
      </c>
      <c r="Q771" t="n">
        <v>20171004</v>
      </c>
      <c r="R771" t="n">
        <v>20301231</v>
      </c>
      <c r="S771" t="n">
        <v>20250728</v>
      </c>
      <c r="T771" t="n">
        <v>20301231</v>
      </c>
      <c r="U771" t="n">
        <v>90</v>
      </c>
      <c r="V771" t="inlineStr">
        <is>
          <t>MXN</t>
        </is>
      </c>
      <c r="W771" t="inlineStr">
        <is>
          <t>M3</t>
        </is>
      </c>
      <c r="X771" t="n">
        <v>0</v>
      </c>
      <c r="Y771" t="inlineStr">
        <is>
          <t>MXN</t>
        </is>
      </c>
      <c r="Z771" t="inlineStr">
        <is>
          <t>M3</t>
        </is>
      </c>
      <c r="AC771" t="n">
        <v>56103637</v>
      </c>
      <c r="AD771" t="n">
        <v>6622261540</v>
      </c>
      <c r="AE771" t="n">
        <v>1</v>
      </c>
      <c r="AF771" t="inlineStr">
        <is>
          <t>ENTREGADO</t>
        </is>
      </c>
      <c r="AG771" t="n">
        <v>1.385</v>
      </c>
      <c r="AH771" t="inlineStr">
        <is>
          <t>M3</t>
        </is>
      </c>
      <c r="AI771" t="inlineStr">
        <is>
          <t>X</t>
        </is>
      </c>
      <c r="AJ771" t="n">
        <v>4</v>
      </c>
      <c r="AK771" t="inlineStr">
        <is>
          <t>V4</t>
        </is>
      </c>
      <c r="AL771" t="n">
        <v>20250730</v>
      </c>
      <c r="AM771" t="inlineStr">
        <is>
          <t>D836-900005401-10000253</t>
        </is>
      </c>
    </row>
    <row r="772">
      <c r="A772" t="inlineStr">
        <is>
          <t>900002574D8366720863810000623</t>
        </is>
      </c>
      <c r="B772" t="inlineStr">
        <is>
          <t>4600027590-2540</t>
        </is>
      </c>
      <c r="C772" t="n">
        <v>4600027590</v>
      </c>
      <c r="D772" t="n">
        <v>2540</v>
      </c>
      <c r="E772" t="inlineStr">
        <is>
          <t>MXPO</t>
        </is>
      </c>
      <c r="F772" t="inlineStr">
        <is>
          <t>M02</t>
        </is>
      </c>
      <c r="G772" t="n">
        <v>900002574</v>
      </c>
      <c r="H772" t="inlineStr">
        <is>
          <t>TP-ED-OLIELL</t>
        </is>
      </c>
      <c r="I772" t="n">
        <v>5048484</v>
      </c>
      <c r="J772" t="inlineStr">
        <is>
          <t>COMERCIALIZADORA Y TRANSPORTADORA O</t>
        </is>
      </c>
      <c r="K772" t="inlineStr">
        <is>
          <t>N90</t>
        </is>
      </c>
      <c r="L772" t="inlineStr">
        <is>
          <t>(AP) NAFIN 90 Dias</t>
        </is>
      </c>
      <c r="M772" t="n">
        <v>10000623</v>
      </c>
      <c r="N772" t="inlineStr">
        <is>
          <t>Grava Triturada Caliza 10 mm - 3/8"</t>
        </is>
      </c>
      <c r="O772" t="inlineStr">
        <is>
          <t>D836</t>
        </is>
      </c>
      <c r="P772" t="inlineStr">
        <is>
          <t>MX-CED. CENTRO</t>
        </is>
      </c>
      <c r="Q772" t="n">
        <v>20141106</v>
      </c>
      <c r="R772" t="n">
        <v>20281231</v>
      </c>
      <c r="S772" t="n">
        <v>20240710</v>
      </c>
      <c r="T772" t="n">
        <v>20291231</v>
      </c>
      <c r="U772" t="n">
        <v>900.5599999999999</v>
      </c>
      <c r="V772" t="inlineStr">
        <is>
          <t>MXN</t>
        </is>
      </c>
      <c r="W772" t="inlineStr">
        <is>
          <t>M3</t>
        </is>
      </c>
      <c r="X772" t="n">
        <v>283.91</v>
      </c>
      <c r="Y772" t="inlineStr">
        <is>
          <t>MXN</t>
        </is>
      </c>
      <c r="Z772" t="inlineStr">
        <is>
          <t>M3</t>
        </is>
      </c>
      <c r="AA772" t="inlineStr">
        <is>
          <t>67208638</t>
        </is>
      </c>
      <c r="AB772" t="inlineStr">
        <is>
          <t>GAMI Túnel Línea 12</t>
        </is>
      </c>
      <c r="AC772" t="n">
        <v>56103637</v>
      </c>
      <c r="AD772" t="n">
        <v>6622261540</v>
      </c>
      <c r="AE772" t="n">
        <v>4</v>
      </c>
      <c r="AF772" t="inlineStr">
        <is>
          <t>ENTREGA DIRECTA</t>
        </is>
      </c>
      <c r="AG772" t="n">
        <v>1.41</v>
      </c>
      <c r="AH772" t="inlineStr">
        <is>
          <t>M3</t>
        </is>
      </c>
      <c r="AI772" t="inlineStr">
        <is>
          <t>X</t>
        </is>
      </c>
      <c r="AJ772" t="n">
        <v>4</v>
      </c>
      <c r="AK772" t="inlineStr">
        <is>
          <t>V4</t>
        </is>
      </c>
      <c r="AL772" t="n">
        <v>20240710</v>
      </c>
      <c r="AM772" t="inlineStr">
        <is>
          <t>D836-900002574-67208638-10000623-4</t>
        </is>
      </c>
    </row>
    <row r="773">
      <c r="A773" t="inlineStr">
        <is>
          <t>900005401D83610200676</t>
        </is>
      </c>
      <c r="B773" t="inlineStr">
        <is>
          <t>4600039942-70</t>
        </is>
      </c>
      <c r="C773" t="n">
        <v>4600039942</v>
      </c>
      <c r="D773" t="n">
        <v>70</v>
      </c>
      <c r="E773" t="inlineStr">
        <is>
          <t>MXPO</t>
        </is>
      </c>
      <c r="F773" t="inlineStr">
        <is>
          <t>MXL</t>
        </is>
      </c>
      <c r="G773" t="n">
        <v>900005401</v>
      </c>
      <c r="H773" t="inlineStr">
        <is>
          <t>TP-DESARROLLO MINERO</t>
        </is>
      </c>
      <c r="I773" t="n">
        <v>5069420</v>
      </c>
      <c r="J773" t="inlineStr">
        <is>
          <t>PROMOTORA DE DESARROLLO MINERO</t>
        </is>
      </c>
      <c r="K773" t="inlineStr">
        <is>
          <t>Z09</t>
        </is>
      </c>
      <c r="L773" t="inlineStr">
        <is>
          <t>(AP) 90 Dias</t>
        </is>
      </c>
      <c r="M773" t="n">
        <v>10200676</v>
      </c>
      <c r="N773" t="inlineStr">
        <is>
          <t>TEZONTLE SELECCIONADO 15 A 10” NG</t>
        </is>
      </c>
      <c r="O773" t="inlineStr">
        <is>
          <t>D836</t>
        </is>
      </c>
      <c r="P773" t="inlineStr">
        <is>
          <t>MX-CED. CENTRO</t>
        </is>
      </c>
      <c r="Q773" t="n">
        <v>20171004</v>
      </c>
      <c r="R773" t="n">
        <v>20301231</v>
      </c>
      <c r="S773" t="n">
        <v>20210830</v>
      </c>
      <c r="T773" t="n">
        <v>20251231</v>
      </c>
      <c r="U773" t="n">
        <v>110</v>
      </c>
      <c r="V773" t="inlineStr">
        <is>
          <t>MXN</t>
        </is>
      </c>
      <c r="W773" t="inlineStr">
        <is>
          <t>M3</t>
        </is>
      </c>
      <c r="AC773" t="n">
        <v>56103637</v>
      </c>
      <c r="AD773" t="n">
        <v>6622261540</v>
      </c>
      <c r="AE773" t="n">
        <v>1</v>
      </c>
      <c r="AF773" t="inlineStr">
        <is>
          <t>ENTREGADO</t>
        </is>
      </c>
      <c r="AG773" t="n">
        <v>1.4</v>
      </c>
      <c r="AH773" t="inlineStr">
        <is>
          <t>M3</t>
        </is>
      </c>
      <c r="AI773" t="inlineStr">
        <is>
          <t>X</t>
        </is>
      </c>
      <c r="AJ773" t="n">
        <v>4</v>
      </c>
      <c r="AK773" t="inlineStr">
        <is>
          <t>V4</t>
        </is>
      </c>
      <c r="AL773" t="n">
        <v>20230920</v>
      </c>
      <c r="AM773" t="inlineStr">
        <is>
          <t>D836-900005401-10200676</t>
        </is>
      </c>
    </row>
    <row r="774">
      <c r="A774" t="inlineStr">
        <is>
          <t>900006542D8366688514410000301</t>
        </is>
      </c>
      <c r="B774" t="inlineStr">
        <is>
          <t>4600047341-350</t>
        </is>
      </c>
      <c r="C774" t="n">
        <v>4600047341</v>
      </c>
      <c r="D774" t="n">
        <v>350</v>
      </c>
      <c r="E774" t="inlineStr">
        <is>
          <t>MXPO</t>
        </is>
      </c>
      <c r="F774" t="inlineStr">
        <is>
          <t>MXL</t>
        </is>
      </c>
      <c r="G774" t="n">
        <v>900006542</v>
      </c>
      <c r="H774" t="inlineStr">
        <is>
          <t>TP-OLIELL TORTON</t>
        </is>
      </c>
      <c r="I774" t="n">
        <v>5048484</v>
      </c>
      <c r="J774" t="inlineStr">
        <is>
          <t>COMERCIALIZADORA Y TRANSPORTADORA O</t>
        </is>
      </c>
      <c r="K774" t="inlineStr">
        <is>
          <t>N90</t>
        </is>
      </c>
      <c r="L774" t="inlineStr">
        <is>
          <t>(AP) NAFIN 90 Dias</t>
        </is>
      </c>
      <c r="M774" t="n">
        <v>10000301</v>
      </c>
      <c r="N774" t="inlineStr">
        <is>
          <t>BALASTO DE 3 PULGADAS A FINOS</t>
        </is>
      </c>
      <c r="O774" t="inlineStr">
        <is>
          <t>D836</t>
        </is>
      </c>
      <c r="P774" t="inlineStr">
        <is>
          <t>MX-CED. CENTRO</t>
        </is>
      </c>
      <c r="Q774" t="n">
        <v>20200615</v>
      </c>
      <c r="R774" t="n">
        <v>20281231</v>
      </c>
      <c r="S774" t="n">
        <v>20201130</v>
      </c>
      <c r="T774" t="n">
        <v>20301231</v>
      </c>
      <c r="U774" t="n">
        <v>290</v>
      </c>
      <c r="V774" t="inlineStr">
        <is>
          <t>MXN</t>
        </is>
      </c>
      <c r="W774" t="inlineStr">
        <is>
          <t>M3</t>
        </is>
      </c>
      <c r="AA774" t="inlineStr">
        <is>
          <t>66885144</t>
        </is>
      </c>
      <c r="AB774" t="inlineStr">
        <is>
          <t>LA VICTORIA</t>
        </is>
      </c>
      <c r="AC774" t="n">
        <v>56103591</v>
      </c>
      <c r="AD774" t="n">
        <v>6622261540</v>
      </c>
      <c r="AE774" t="n">
        <v>4</v>
      </c>
      <c r="AF774" t="inlineStr">
        <is>
          <t>ENTREGA DIRECTA</t>
        </is>
      </c>
      <c r="AG774" t="n">
        <v>1.773</v>
      </c>
      <c r="AH774" t="inlineStr">
        <is>
          <t>M3</t>
        </is>
      </c>
      <c r="AI774" t="inlineStr">
        <is>
          <t>X</t>
        </is>
      </c>
      <c r="AJ774" t="n">
        <v>4</v>
      </c>
      <c r="AK774" t="inlineStr">
        <is>
          <t>V4</t>
        </is>
      </c>
      <c r="AL774" t="n">
        <v>20230920</v>
      </c>
      <c r="AM774" t="inlineStr">
        <is>
          <t>D836-900006542-66885144-10000301-4</t>
        </is>
      </c>
    </row>
    <row r="775">
      <c r="A775" t="inlineStr">
        <is>
          <t>900006551D83610195952</t>
        </is>
      </c>
      <c r="B775" t="inlineStr">
        <is>
          <t>4600049704-10</t>
        </is>
      </c>
      <c r="C775" t="n">
        <v>4600049704</v>
      </c>
      <c r="D775" t="n">
        <v>10</v>
      </c>
      <c r="E775" t="inlineStr">
        <is>
          <t>MXPO</t>
        </is>
      </c>
      <c r="F775" t="inlineStr">
        <is>
          <t>MXL</t>
        </is>
      </c>
      <c r="G775" t="n">
        <v>900006551</v>
      </c>
      <c r="H775" t="inlineStr">
        <is>
          <t>SF TP- CONCRETOS SUSTENTABLES</t>
        </is>
      </c>
      <c r="I775" t="n">
        <v>5078165</v>
      </c>
      <c r="J775" t="inlineStr">
        <is>
          <t>CONCRETOS SUSTENTABLES MEXICANOS</t>
        </is>
      </c>
      <c r="K775" t="inlineStr">
        <is>
          <t>Z09</t>
        </is>
      </c>
      <c r="L775" t="inlineStr">
        <is>
          <t>(AP) 90 Dias</t>
        </is>
      </c>
      <c r="M775" t="n">
        <v>10195952</v>
      </c>
      <c r="N775" t="inlineStr">
        <is>
          <t>RCD MEZCLADOS &lt;30% DE IMPROPIOS NG</t>
        </is>
      </c>
      <c r="O775" t="inlineStr">
        <is>
          <t>D836</t>
        </is>
      </c>
      <c r="P775" t="inlineStr">
        <is>
          <t>MX-CED. CENTRO</t>
        </is>
      </c>
      <c r="Q775" t="n">
        <v>20210420</v>
      </c>
      <c r="R775" t="n">
        <v>20291231</v>
      </c>
      <c r="S775" t="n">
        <v>20210420</v>
      </c>
      <c r="T775" t="n">
        <v>20291231</v>
      </c>
      <c r="U775" t="n">
        <v>240</v>
      </c>
      <c r="V775" t="inlineStr">
        <is>
          <t>MXN</t>
        </is>
      </c>
      <c r="W775" t="inlineStr">
        <is>
          <t>M3</t>
        </is>
      </c>
      <c r="AC775" t="n">
        <v>56103590</v>
      </c>
      <c r="AD775" t="n">
        <v>6622261540</v>
      </c>
      <c r="AE775" t="n">
        <v>1</v>
      </c>
      <c r="AF775" t="inlineStr">
        <is>
          <t>ENTREGADO</t>
        </is>
      </c>
      <c r="AG775" t="n">
        <v>1.3</v>
      </c>
      <c r="AH775" t="inlineStr">
        <is>
          <t>M3</t>
        </is>
      </c>
      <c r="AI775" t="inlineStr">
        <is>
          <t>X</t>
        </is>
      </c>
      <c r="AJ775" t="n">
        <v>4</v>
      </c>
      <c r="AK775" t="inlineStr">
        <is>
          <t>V4</t>
        </is>
      </c>
      <c r="AL775" t="n">
        <v>20230920</v>
      </c>
      <c r="AM775" t="inlineStr">
        <is>
          <t>D836-900006551-10195952</t>
        </is>
      </c>
    </row>
    <row r="776">
      <c r="A776" t="inlineStr">
        <is>
          <t>900003496D83610000655</t>
        </is>
      </c>
      <c r="B776" t="inlineStr">
        <is>
          <t>4600048147-30</t>
        </is>
      </c>
      <c r="C776" t="n">
        <v>4600048147</v>
      </c>
      <c r="D776" t="n">
        <v>30</v>
      </c>
      <c r="E776" t="inlineStr">
        <is>
          <t>MXPO</t>
        </is>
      </c>
      <c r="F776" t="inlineStr">
        <is>
          <t>MXL</t>
        </is>
      </c>
      <c r="G776" t="n">
        <v>900003496</v>
      </c>
      <c r="H776" t="inlineStr">
        <is>
          <t>TP-ED-TRIMCAV</t>
        </is>
      </c>
      <c r="I776" t="n">
        <v>5010147</v>
      </c>
      <c r="J776" t="inlineStr">
        <is>
          <t>TRITURACIONES DE MARMOL Y CALCIOS</t>
        </is>
      </c>
      <c r="K776" t="inlineStr">
        <is>
          <t>Z04</t>
        </is>
      </c>
      <c r="L776" t="inlineStr">
        <is>
          <t>(AP) 30 Dias</t>
        </is>
      </c>
      <c r="M776" t="n">
        <v>10000655</v>
      </c>
      <c r="N776" t="inlineStr">
        <is>
          <t>Grava Triturada Marmol 10 mm - 3/8"</t>
        </is>
      </c>
      <c r="O776" t="inlineStr">
        <is>
          <t>D836</t>
        </is>
      </c>
      <c r="P776" t="inlineStr">
        <is>
          <t>MX-CED. CENTRO</t>
        </is>
      </c>
      <c r="Q776" t="n">
        <v>20200929</v>
      </c>
      <c r="R776" t="n">
        <v>20291231</v>
      </c>
      <c r="S776" t="n">
        <v>20200929</v>
      </c>
      <c r="T776" t="n">
        <v>20291231</v>
      </c>
      <c r="U776" t="n">
        <v>350</v>
      </c>
      <c r="V776" t="inlineStr">
        <is>
          <t>MXN</t>
        </is>
      </c>
      <c r="W776" t="inlineStr">
        <is>
          <t>TN</t>
        </is>
      </c>
      <c r="AC776" t="n">
        <v>56103637</v>
      </c>
      <c r="AD776" t="n">
        <v>6622261540</v>
      </c>
      <c r="AE776" t="n">
        <v>1</v>
      </c>
      <c r="AF776" t="inlineStr">
        <is>
          <t>ENTREGADO</t>
        </is>
      </c>
      <c r="AG776" t="n">
        <v>1</v>
      </c>
      <c r="AH776" t="inlineStr">
        <is>
          <t>TO</t>
        </is>
      </c>
      <c r="AI776" t="inlineStr">
        <is>
          <t>X</t>
        </is>
      </c>
      <c r="AJ776" t="n">
        <v>4</v>
      </c>
      <c r="AK776" t="inlineStr">
        <is>
          <t>V4</t>
        </is>
      </c>
      <c r="AL776" t="n">
        <v>20230920</v>
      </c>
      <c r="AM776" t="inlineStr">
        <is>
          <t>D836-900003496-10000655</t>
        </is>
      </c>
    </row>
    <row r="777">
      <c r="A777" t="inlineStr">
        <is>
          <t>900003613D83610059181</t>
        </is>
      </c>
      <c r="B777" t="inlineStr">
        <is>
          <t>4600029050-10</t>
        </is>
      </c>
      <c r="C777" t="n">
        <v>4600029050</v>
      </c>
      <c r="D777" t="n">
        <v>10</v>
      </c>
      <c r="E777" t="inlineStr">
        <is>
          <t>MXPO</t>
        </is>
      </c>
      <c r="F777" t="inlineStr">
        <is>
          <t>MXL</t>
        </is>
      </c>
      <c r="G777" t="n">
        <v>900003613</v>
      </c>
      <c r="H777" t="inlineStr">
        <is>
          <t>TP-TESOYO</t>
        </is>
      </c>
      <c r="I777" t="n">
        <v>5045930</v>
      </c>
      <c r="J777" t="inlineStr">
        <is>
          <t>EL TESOYO SA</t>
        </is>
      </c>
      <c r="K777" t="inlineStr">
        <is>
          <t>Z06</t>
        </is>
      </c>
      <c r="L777" t="inlineStr">
        <is>
          <t>(AP) 45 Dias</t>
        </is>
      </c>
      <c r="M777" t="n">
        <v>10059181</v>
      </c>
      <c r="N777" t="inlineStr">
        <is>
          <t>Arena Triturada Andesita Malla 4</t>
        </is>
      </c>
      <c r="O777" t="inlineStr">
        <is>
          <t>D836</t>
        </is>
      </c>
      <c r="P777" t="inlineStr">
        <is>
          <t>MX-CED. CENTRO</t>
        </is>
      </c>
      <c r="Q777" t="n">
        <v>20150101</v>
      </c>
      <c r="R777" t="n">
        <v>20241231</v>
      </c>
      <c r="S777" t="n">
        <v>20250101</v>
      </c>
      <c r="T777" t="n">
        <v>99991231</v>
      </c>
      <c r="U777" t="n">
        <v>75</v>
      </c>
      <c r="V777" t="inlineStr">
        <is>
          <t>MXN</t>
        </is>
      </c>
      <c r="W777" t="inlineStr">
        <is>
          <t>M3</t>
        </is>
      </c>
      <c r="AC777" t="n">
        <v>56103638</v>
      </c>
      <c r="AD777" t="n">
        <v>6622261540</v>
      </c>
      <c r="AE777" t="n">
        <v>1</v>
      </c>
      <c r="AF777" t="inlineStr">
        <is>
          <t>ENTREGADO</t>
        </is>
      </c>
      <c r="AG777" t="n">
        <v>1.221</v>
      </c>
      <c r="AH777" t="inlineStr">
        <is>
          <t>M3</t>
        </is>
      </c>
      <c r="AI777" t="inlineStr">
        <is>
          <t>X</t>
        </is>
      </c>
      <c r="AJ777" t="n">
        <v>4</v>
      </c>
      <c r="AK777" t="inlineStr">
        <is>
          <t>V4</t>
        </is>
      </c>
      <c r="AL777" t="n">
        <v>20250527</v>
      </c>
      <c r="AM777" t="inlineStr">
        <is>
          <t>D836-900003613-10059181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2026-09-14T16:02:07Z</dcterms:created>
  <dcterms:modified xsi:type="dcterms:W3CDTF">2026-09-14T16:02:13Z</dcterms:modified>
</cp:coreProperties>
</file>